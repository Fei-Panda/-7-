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判定条件" sheetId="1" state="visible" r:id="rId3"/>
    <sheet name="日ごとの判定" sheetId="2" state="visible" r:id="rId4"/>
    <sheet name="時間ごとの判定" sheetId="3" state="visible" r:id="rId5"/>
    <sheet name="時間帯の一覧_列8" sheetId="4" state="visible" r:id="rId6"/>
    <sheet name="時間帯の一覧_列11" sheetId="5" state="visible" r:id="rId7"/>
    <sheet name="時刻別の利用可時間数" sheetId="6" state="visible" r:id="rId8"/>
    <sheet name="データの不具合" sheetId="7" state="visible" r:id="rId9"/>
    <sheet name="しきい値の確認" sheetId="8" state="visible" r:id="rId10"/>
  </sheets>
  <definedNames>
    <definedName function="false" hidden="true" localSheetId="2" name="_xlnm._FilterDatabase" vbProcedure="false">時間ごとの判定!$A$2:$AY$1850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<sst xmlns="http://schemas.openxmlformats.org/spreadsheetml/2006/main" count="4275" uniqueCount="175">
  <si>
    <t xml:space="preserve">室外機の稼働状況による、分析に使える日・時間帯の判定</t>
  </si>
  <si>
    <r>
      <rPr>
        <sz val="9"/>
        <color rgb="FF5E6B7A"/>
        <rFont val="WenQuanYi Zen Hei"/>
        <family val="2"/>
      </rPr>
      <t xml:space="preserve">対象：</t>
    </r>
    <r>
      <rPr>
        <sz val="9"/>
        <color rgb="FF5E6B7A"/>
        <rFont val="游ゴシック"/>
        <family val="0"/>
        <charset val="1"/>
      </rPr>
      <t xml:space="preserve">2026/7/29</t>
    </r>
    <r>
      <rPr>
        <sz val="9"/>
        <color rgb="FF5E6B7A"/>
        <rFont val="WenQuanYi Zen Hei"/>
        <family val="2"/>
      </rPr>
      <t xml:space="preserve">〜</t>
    </r>
    <r>
      <rPr>
        <sz val="9"/>
        <color rgb="FF5E6B7A"/>
        <rFont val="游ゴシック"/>
        <family val="0"/>
        <charset val="1"/>
      </rPr>
      <t xml:space="preserve">10/13</t>
    </r>
    <r>
      <rPr>
        <sz val="9"/>
        <color rgb="FF5E6B7A"/>
        <rFont val="WenQuanYi Zen Hei"/>
        <family val="2"/>
      </rPr>
      <t xml:space="preserve">（</t>
    </r>
    <r>
      <rPr>
        <sz val="9"/>
        <color rgb="FF5E6B7A"/>
        <rFont val="游ゴシック"/>
        <family val="0"/>
        <charset val="1"/>
      </rPr>
      <t xml:space="preserve">1</t>
    </r>
    <r>
      <rPr>
        <sz val="9"/>
        <color rgb="FF5E6B7A"/>
        <rFont val="WenQuanYi Zen Hei"/>
        <family val="2"/>
      </rPr>
      <t xml:space="preserve">分値）。芋緑化ありの室外機と、同じ区画の芋緑化なし（</t>
    </r>
    <r>
      <rPr>
        <sz val="9"/>
        <color rgb="FF5E6B7A"/>
        <rFont val="游ゴシック"/>
        <family val="0"/>
        <charset val="1"/>
      </rPr>
      <t xml:space="preserve">OACP-3</t>
    </r>
    <r>
      <rPr>
        <sz val="9"/>
        <color rgb="FF5E6B7A"/>
        <rFont val="WenQuanYi Zen Hei"/>
        <family val="2"/>
      </rPr>
      <t xml:space="preserve">）の室外機を</t>
    </r>
    <r>
      <rPr>
        <sz val="9"/>
        <color rgb="FF5E6B7A"/>
        <rFont val="游ゴシック"/>
        <family val="0"/>
        <charset val="1"/>
      </rPr>
      <t xml:space="preserve">1</t>
    </r>
    <r>
      <rPr>
        <sz val="9"/>
        <color rgb="FF5E6B7A"/>
        <rFont val="WenQuanYi Zen Hei"/>
        <family val="2"/>
      </rPr>
      <t xml:space="preserve">組とし、</t>
    </r>
    <r>
      <rPr>
        <sz val="9"/>
        <color rgb="FF5E6B7A"/>
        <rFont val="游ゴシック"/>
        <family val="0"/>
        <charset val="1"/>
      </rPr>
      <t xml:space="preserve">2</t>
    </r>
    <r>
      <rPr>
        <sz val="9"/>
        <color rgb="FF5E6B7A"/>
        <rFont val="WenQuanYi Zen Hei"/>
        <family val="2"/>
      </rPr>
      <t xml:space="preserve">台とも運転している時間だけを「利用可」とする。黄色のセルを変えると、すべての判定が更新される。</t>
    </r>
  </si>
  <si>
    <t xml:space="preserve">段階</t>
  </si>
  <si>
    <t xml:space="preserve">値</t>
  </si>
  <si>
    <t xml:space="preserve">内容</t>
  </si>
  <si>
    <r>
      <rPr>
        <b val="true"/>
        <sz val="10"/>
        <color rgb="FF172033"/>
        <rFont val="游ゴシック"/>
        <family val="0"/>
        <charset val="1"/>
      </rPr>
      <t xml:space="preserve">① 1</t>
    </r>
    <r>
      <rPr>
        <b val="true"/>
        <sz val="10"/>
        <color rgb="FF172033"/>
        <rFont val="WenQuanYi Zen Hei"/>
        <family val="2"/>
      </rPr>
      <t xml:space="preserve">分ごとの運転判定（</t>
    </r>
    <r>
      <rPr>
        <b val="true"/>
        <sz val="10"/>
        <color rgb="FF172033"/>
        <rFont val="游ゴシック"/>
        <family val="0"/>
        <charset val="1"/>
      </rPr>
      <t xml:space="preserve">Python</t>
    </r>
    <r>
      <rPr>
        <b val="true"/>
        <sz val="10"/>
        <color rgb="FF172033"/>
        <rFont val="WenQuanYi Zen Hei"/>
        <family val="2"/>
      </rPr>
      <t xml:space="preserve">で計算）</t>
    </r>
  </si>
  <si>
    <r>
      <rPr>
        <b val="true"/>
        <sz val="10"/>
        <color rgb="FF172033"/>
        <rFont val="游ゴシック"/>
        <family val="0"/>
        <charset val="1"/>
      </rPr>
      <t xml:space="preserve">1.0℃</t>
    </r>
    <r>
      <rPr>
        <b val="true"/>
        <sz val="10"/>
        <color rgb="FF172033"/>
        <rFont val="WenQuanYi Zen Hei"/>
        <family val="2"/>
      </rPr>
      <t xml:space="preserve">以上</t>
    </r>
  </si>
  <si>
    <r>
      <rPr>
        <sz val="10"/>
        <color rgb="FF172033"/>
        <rFont val="WenQuanYi Zen Hei"/>
        <family val="2"/>
      </rPr>
      <t xml:space="preserve">排気温度 − 吸気温度（</t>
    </r>
    <r>
      <rPr>
        <sz val="10"/>
        <color rgb="FF172033"/>
        <rFont val="游ゴシック"/>
        <family val="0"/>
        <charset val="1"/>
      </rPr>
      <t xml:space="preserve">3</t>
    </r>
    <r>
      <rPr>
        <sz val="10"/>
        <color rgb="FF172033"/>
        <rFont val="WenQuanYi Zen Hei"/>
        <family val="2"/>
      </rPr>
      <t xml:space="preserve">方位の平均）の</t>
    </r>
    <r>
      <rPr>
        <sz val="10"/>
        <color rgb="FF172033"/>
        <rFont val="游ゴシック"/>
        <family val="0"/>
        <charset val="1"/>
      </rPr>
      <t xml:space="preserve">10</t>
    </r>
    <r>
      <rPr>
        <sz val="10"/>
        <color rgb="FF172033"/>
        <rFont val="WenQuanYi Zen Hei"/>
        <family val="2"/>
      </rPr>
      <t xml:space="preserve">分の移動中央値がこの値以上なら「運転中」。停止中は約</t>
    </r>
    <r>
      <rPr>
        <sz val="10"/>
        <color rgb="FF172033"/>
        <rFont val="游ゴシック"/>
        <family val="0"/>
        <charset val="1"/>
      </rPr>
      <t xml:space="preserve">0℃</t>
    </r>
    <r>
      <rPr>
        <sz val="10"/>
        <color rgb="FF172033"/>
        <rFont val="WenQuanYi Zen Hei"/>
        <family val="2"/>
      </rPr>
      <t xml:space="preserve">、運転中は</t>
    </r>
    <r>
      <rPr>
        <sz val="10"/>
        <color rgb="FF172033"/>
        <rFont val="游ゴシック"/>
        <family val="0"/>
        <charset val="1"/>
      </rPr>
      <t xml:space="preserve">2</t>
    </r>
    <r>
      <rPr>
        <sz val="10"/>
        <color rgb="FF172033"/>
        <rFont val="WenQuanYi Zen Hei"/>
        <family val="2"/>
      </rPr>
      <t xml:space="preserve">〜</t>
    </r>
    <r>
      <rPr>
        <sz val="10"/>
        <color rgb="FF172033"/>
        <rFont val="游ゴシック"/>
        <family val="0"/>
        <charset val="1"/>
      </rPr>
      <t xml:space="preserve">10℃</t>
    </r>
    <r>
      <rPr>
        <sz val="10"/>
        <color rgb="FF172033"/>
        <rFont val="WenQuanYi Zen Hei"/>
        <family val="2"/>
      </rPr>
      <t xml:space="preserve">に分かれ、その谷が</t>
    </r>
    <r>
      <rPr>
        <sz val="10"/>
        <color rgb="FF172033"/>
        <rFont val="游ゴシック"/>
        <family val="0"/>
        <charset val="1"/>
      </rPr>
      <t xml:space="preserve">1℃</t>
    </r>
    <r>
      <rPr>
        <sz val="10"/>
        <color rgb="FF172033"/>
        <rFont val="WenQuanYi Zen Hei"/>
        <family val="2"/>
      </rPr>
      <t xml:space="preserve">付近にある。</t>
    </r>
    <r>
      <rPr>
        <sz val="10"/>
        <color rgb="FF172033"/>
        <rFont val="游ゴシック"/>
        <family val="0"/>
        <charset val="1"/>
      </rPr>
      <t xml:space="preserve">11-3</t>
    </r>
    <r>
      <rPr>
        <sz val="10"/>
        <color rgb="FF172033"/>
        <rFont val="WenQuanYi Zen Hei"/>
        <family val="2"/>
      </rPr>
      <t xml:space="preserve">は北側を除く</t>
    </r>
    <r>
      <rPr>
        <sz val="10"/>
        <color rgb="FF172033"/>
        <rFont val="游ゴシック"/>
        <family val="0"/>
        <charset val="1"/>
      </rPr>
      <t xml:space="preserve">2</t>
    </r>
    <r>
      <rPr>
        <sz val="10"/>
        <color rgb="FF172033"/>
        <rFont val="WenQuanYi Zen Hei"/>
        <family val="2"/>
      </rPr>
      <t xml:space="preserve">方位。</t>
    </r>
    <r>
      <rPr>
        <sz val="10"/>
        <color rgb="FF172033"/>
        <rFont val="游ゴシック"/>
        <family val="0"/>
        <charset val="1"/>
      </rPr>
      <t xml:space="preserve">3-1</t>
    </r>
    <r>
      <rPr>
        <sz val="10"/>
        <color rgb="FF172033"/>
        <rFont val="WenQuanYi Zen Hei"/>
        <family val="2"/>
      </rPr>
      <t xml:space="preserve">北側吸気は異常期間を除く（「データの不具合」）</t>
    </r>
  </si>
  <si>
    <r>
      <rPr>
        <b val="true"/>
        <sz val="10"/>
        <color rgb="FF172033"/>
        <rFont val="游ゴシック"/>
        <family val="0"/>
        <charset val="1"/>
      </rPr>
      <t xml:space="preserve">② 1</t>
    </r>
    <r>
      <rPr>
        <b val="true"/>
        <sz val="10"/>
        <color rgb="FF172033"/>
        <rFont val="WenQuanYi Zen Hei"/>
        <family val="2"/>
      </rPr>
      <t xml:space="preserve">時間の判定に必要な有効データ［分］</t>
    </r>
  </si>
  <si>
    <r>
      <rPr>
        <sz val="10"/>
        <color rgb="FF172033"/>
        <rFont val="游ゴシック"/>
        <family val="0"/>
        <charset val="1"/>
      </rPr>
      <t xml:space="preserve">1</t>
    </r>
    <r>
      <rPr>
        <sz val="10"/>
        <color rgb="FF172033"/>
        <rFont val="WenQuanYi Zen Hei"/>
        <family val="2"/>
      </rPr>
      <t xml:space="preserve">時間のうち、①の判定ができた分がこれ未満なら「判定不能」（これまでの</t>
    </r>
    <r>
      <rPr>
        <sz val="10"/>
        <color rgb="FF172033"/>
        <rFont val="游ゴシック"/>
        <family val="0"/>
        <charset val="1"/>
      </rPr>
      <t xml:space="preserve">1</t>
    </r>
    <r>
      <rPr>
        <sz val="10"/>
        <color rgb="FF172033"/>
        <rFont val="WenQuanYi Zen Hei"/>
        <family val="2"/>
      </rPr>
      <t xml:space="preserve">時間平均の基準と同じ）</t>
    </r>
  </si>
  <si>
    <t xml:space="preserve">③ 室外機が「運転」とみなす割合</t>
  </si>
  <si>
    <t xml:space="preserve">有効な分のうち、運転中の分がこの割合以上なら「運転」</t>
  </si>
  <si>
    <t xml:space="preserve">④ 室外機が「停止」とみなす割合</t>
  </si>
  <si>
    <r>
      <rPr>
        <sz val="10"/>
        <color rgb="FF172033"/>
        <rFont val="WenQuanYi Zen Hei"/>
        <family val="2"/>
      </rPr>
      <t xml:space="preserve">運転中の分がこの割合以下なら「停止」。③と④の間は「断続」（</t>
    </r>
    <r>
      <rPr>
        <sz val="10"/>
        <color rgb="FF172033"/>
        <rFont val="游ゴシック"/>
        <family val="0"/>
        <charset val="1"/>
      </rPr>
      <t xml:space="preserve">1</t>
    </r>
    <r>
      <rPr>
        <sz val="10"/>
        <color rgb="FF172033"/>
        <rFont val="WenQuanYi Zen Hei"/>
        <family val="2"/>
      </rPr>
      <t xml:space="preserve">時間の中で運転と停止を繰り返す）</t>
    </r>
  </si>
  <si>
    <r>
      <rPr>
        <b val="true"/>
        <sz val="10"/>
        <color rgb="FF172033"/>
        <rFont val="WenQuanYi Zen Hei"/>
        <family val="2"/>
      </rPr>
      <t xml:space="preserve">⑤ 組が「利用可」となる、</t>
    </r>
    <r>
      <rPr>
        <b val="true"/>
        <sz val="10"/>
        <color rgb="FF172033"/>
        <rFont val="游ゴシック"/>
        <family val="0"/>
        <charset val="1"/>
      </rPr>
      <t xml:space="preserve">2</t>
    </r>
    <r>
      <rPr>
        <b val="true"/>
        <sz val="10"/>
        <color rgb="FF172033"/>
        <rFont val="WenQuanYi Zen Hei"/>
        <family val="2"/>
      </rPr>
      <t xml:space="preserve">台とも運転中の分数［分］</t>
    </r>
  </si>
  <si>
    <r>
      <rPr>
        <sz val="10"/>
        <color rgb="FF172033"/>
        <rFont val="WenQuanYi Zen Hei"/>
        <family val="2"/>
      </rPr>
      <t xml:space="preserve">その</t>
    </r>
    <r>
      <rPr>
        <sz val="10"/>
        <color rgb="FF172033"/>
        <rFont val="游ゴシック"/>
        <family val="0"/>
        <charset val="1"/>
      </rPr>
      <t xml:space="preserve">1</t>
    </r>
    <r>
      <rPr>
        <sz val="10"/>
        <color rgb="FF172033"/>
        <rFont val="WenQuanYi Zen Hei"/>
        <family val="2"/>
      </rPr>
      <t xml:space="preserve">時間に、</t>
    </r>
    <r>
      <rPr>
        <sz val="10"/>
        <color rgb="FF172033"/>
        <rFont val="游ゴシック"/>
        <family val="0"/>
        <charset val="1"/>
      </rPr>
      <t xml:space="preserve">2</t>
    </r>
    <r>
      <rPr>
        <sz val="10"/>
        <color rgb="FF172033"/>
        <rFont val="WenQuanYi Zen Hei"/>
        <family val="2"/>
      </rPr>
      <t xml:space="preserve">台とも運転中の分がこれ以上あれば「利用可」。吸気温度差はこの「</t>
    </r>
    <r>
      <rPr>
        <sz val="10"/>
        <color rgb="FF172033"/>
        <rFont val="游ゴシック"/>
        <family val="0"/>
        <charset val="1"/>
      </rPr>
      <t xml:space="preserve">2</t>
    </r>
    <r>
      <rPr>
        <sz val="10"/>
        <color rgb="FF172033"/>
        <rFont val="WenQuanYi Zen Hei"/>
        <family val="2"/>
      </rPr>
      <t xml:space="preserve">台とも運転中」の分だけで平均する</t>
    </r>
  </si>
  <si>
    <t xml:space="preserve">⑥ 日中の始まり［時台］</t>
  </si>
  <si>
    <r>
      <rPr>
        <sz val="10"/>
        <color rgb="FF172033"/>
        <rFont val="WenQuanYi Zen Hei"/>
        <family val="2"/>
      </rPr>
      <t xml:space="preserve">日ごとの判定で数える時間帯の始まり（これまでの「日中」と同じ</t>
    </r>
    <r>
      <rPr>
        <sz val="10"/>
        <color rgb="FF172033"/>
        <rFont val="游ゴシック"/>
        <family val="0"/>
        <charset val="1"/>
      </rPr>
      <t xml:space="preserve">9</t>
    </r>
    <r>
      <rPr>
        <sz val="10"/>
        <color rgb="FF172033"/>
        <rFont val="WenQuanYi Zen Hei"/>
        <family val="2"/>
      </rPr>
      <t xml:space="preserve">時台）</t>
    </r>
  </si>
  <si>
    <t xml:space="preserve">⑦ 日中の終わり［時台］</t>
  </si>
  <si>
    <r>
      <rPr>
        <sz val="10"/>
        <color rgb="FF172033"/>
        <rFont val="WenQuanYi Zen Hei"/>
        <family val="2"/>
      </rPr>
      <t xml:space="preserve">日ごとの判定で数える時間帯の終わり（</t>
    </r>
    <r>
      <rPr>
        <sz val="10"/>
        <color rgb="FF172033"/>
        <rFont val="游ゴシック"/>
        <family val="0"/>
        <charset val="1"/>
      </rPr>
      <t xml:space="preserve">17</t>
    </r>
    <r>
      <rPr>
        <sz val="10"/>
        <color rgb="FF172033"/>
        <rFont val="WenQuanYi Zen Hei"/>
        <family val="2"/>
      </rPr>
      <t xml:space="preserve">時台＝</t>
    </r>
    <r>
      <rPr>
        <sz val="10"/>
        <color rgb="FF172033"/>
        <rFont val="游ゴシック"/>
        <family val="0"/>
        <charset val="1"/>
      </rPr>
      <t xml:space="preserve">18</t>
    </r>
    <r>
      <rPr>
        <sz val="10"/>
        <color rgb="FF172033"/>
        <rFont val="WenQuanYi Zen Hei"/>
        <family val="2"/>
      </rPr>
      <t xml:space="preserve">時まで）</t>
    </r>
  </si>
  <si>
    <t xml:space="preserve">⑧ 日として使うのに必要な利用可の時間数</t>
  </si>
  <si>
    <r>
      <rPr>
        <sz val="10"/>
        <color rgb="FF172033"/>
        <rFont val="WenQuanYi Zen Hei"/>
        <family val="2"/>
      </rPr>
      <t xml:space="preserve">⑥〜⑦の</t>
    </r>
    <r>
      <rPr>
        <sz val="10"/>
        <color rgb="FF172033"/>
        <rFont val="游ゴシック"/>
        <family val="0"/>
        <charset val="1"/>
      </rPr>
      <t xml:space="preserve">9</t>
    </r>
    <r>
      <rPr>
        <sz val="10"/>
        <color rgb="FF172033"/>
        <rFont val="WenQuanYi Zen Hei"/>
        <family val="2"/>
      </rPr>
      <t xml:space="preserve">時間のうち、利用可がこの時間数以上ある日を「利用可」の日とする（これまでの「</t>
    </r>
    <r>
      <rPr>
        <sz val="10"/>
        <color rgb="FF172033"/>
        <rFont val="游ゴシック"/>
        <family val="0"/>
        <charset val="1"/>
      </rPr>
      <t xml:space="preserve">9</t>
    </r>
    <r>
      <rPr>
        <sz val="10"/>
        <color rgb="FF172033"/>
        <rFont val="WenQuanYi Zen Hei"/>
        <family val="2"/>
      </rPr>
      <t xml:space="preserve">時間中</t>
    </r>
    <r>
      <rPr>
        <sz val="10"/>
        <color rgb="FF172033"/>
        <rFont val="游ゴシック"/>
        <family val="0"/>
        <charset val="1"/>
      </rPr>
      <t xml:space="preserve">7</t>
    </r>
    <r>
      <rPr>
        <sz val="10"/>
        <color rgb="FF172033"/>
        <rFont val="WenQuanYi Zen Hei"/>
        <family val="2"/>
      </rPr>
      <t xml:space="preserve">時間以上」と同じ）</t>
    </r>
  </si>
  <si>
    <t xml:space="preserve">判定の名前</t>
  </si>
  <si>
    <t xml:space="preserve">利用可</t>
  </si>
  <si>
    <r>
      <rPr>
        <sz val="10"/>
        <color rgb="FF172033"/>
        <rFont val="游ゴシック"/>
        <family val="0"/>
        <charset val="1"/>
      </rPr>
      <t xml:space="preserve">2</t>
    </r>
    <r>
      <rPr>
        <sz val="10"/>
        <color rgb="FF172033"/>
        <rFont val="WenQuanYi Zen Hei"/>
        <family val="2"/>
      </rPr>
      <t xml:space="preserve">台とも運転中の分が⑤以上。分析に使う</t>
    </r>
  </si>
  <si>
    <t xml:space="preserve">両方停止</t>
  </si>
  <si>
    <r>
      <rPr>
        <sz val="10"/>
        <color rgb="FF172033"/>
        <rFont val="游ゴシック"/>
        <family val="0"/>
        <charset val="1"/>
      </rPr>
      <t xml:space="preserve">2</t>
    </r>
    <r>
      <rPr>
        <sz val="10"/>
        <color rgb="FF172033"/>
        <rFont val="WenQuanYi Zen Hei"/>
        <family val="2"/>
      </rPr>
      <t xml:space="preserve">台とも停止。運転中の比較には使わない（夜間・休日など）</t>
    </r>
  </si>
  <si>
    <t xml:space="preserve">運転がそろわない</t>
  </si>
  <si>
    <r>
      <rPr>
        <sz val="10"/>
        <color rgb="FF172033"/>
        <rFont val="WenQuanYi Zen Hei"/>
        <family val="2"/>
      </rPr>
      <t xml:space="preserve">片方だけ運転、または断続で</t>
    </r>
    <r>
      <rPr>
        <sz val="10"/>
        <color rgb="FF172033"/>
        <rFont val="游ゴシック"/>
        <family val="0"/>
        <charset val="1"/>
      </rPr>
      <t xml:space="preserve">2</t>
    </r>
    <r>
      <rPr>
        <sz val="10"/>
        <color rgb="FF172033"/>
        <rFont val="WenQuanYi Zen Hei"/>
        <family val="2"/>
      </rPr>
      <t xml:space="preserve">台とも運転中の分が⑤未満。使わない</t>
    </r>
  </si>
  <si>
    <t xml:space="preserve">判定不能</t>
  </si>
  <si>
    <t xml:space="preserve">排気温度・吸気温度が欠けていて運転状態がわからない。使わない</t>
  </si>
  <si>
    <r>
      <rPr>
        <b val="true"/>
        <sz val="10"/>
        <color rgb="FF172033"/>
        <rFont val="WenQuanYi Zen Hei"/>
        <family val="2"/>
      </rPr>
      <t xml:space="preserve">結果のまとめ（</t>
    </r>
    <r>
      <rPr>
        <b val="true"/>
        <sz val="10"/>
        <color rgb="FF172033"/>
        <rFont val="游ゴシック"/>
        <family val="0"/>
        <charset val="1"/>
      </rPr>
      <t xml:space="preserve">7/30</t>
    </r>
    <r>
      <rPr>
        <b val="true"/>
        <sz val="10"/>
        <color rgb="FF172033"/>
        <rFont val="WenQuanYi Zen Hei"/>
        <family val="2"/>
      </rPr>
      <t xml:space="preserve">〜</t>
    </r>
    <r>
      <rPr>
        <b val="true"/>
        <sz val="10"/>
        <color rgb="FF172033"/>
        <rFont val="游ゴシック"/>
        <family val="0"/>
        <charset val="1"/>
      </rPr>
      <t xml:space="preserve">10/13</t>
    </r>
    <r>
      <rPr>
        <b val="true"/>
        <sz val="10"/>
        <color rgb="FF172033"/>
        <rFont val="WenQuanYi Zen Hei"/>
        <family val="2"/>
      </rPr>
      <t xml:space="preserve">、日中）</t>
    </r>
  </si>
  <si>
    <t xml:space="preserve">組</t>
  </si>
  <si>
    <t xml:space="preserve">利用可の時間数</t>
  </si>
  <si>
    <t xml:space="preserve">利用可の日数（⑧を満たす日）</t>
  </si>
  <si>
    <r>
      <rPr>
        <b val="true"/>
        <sz val="10"/>
        <color rgb="FF172033"/>
        <rFont val="游ゴシック"/>
        <family val="0"/>
        <charset val="1"/>
      </rPr>
      <t xml:space="preserve">8-1</t>
    </r>
    <r>
      <rPr>
        <b val="true"/>
        <sz val="10"/>
        <color rgb="FF172033"/>
        <rFont val="WenQuanYi Zen Hei"/>
        <family val="2"/>
      </rPr>
      <t xml:space="preserve">と</t>
    </r>
    <r>
      <rPr>
        <b val="true"/>
        <sz val="10"/>
        <color rgb="FF172033"/>
        <rFont val="游ゴシック"/>
        <family val="0"/>
        <charset val="1"/>
      </rPr>
      <t xml:space="preserve">3-1</t>
    </r>
  </si>
  <si>
    <r>
      <rPr>
        <b val="true"/>
        <sz val="10"/>
        <color rgb="FF172033"/>
        <rFont val="游ゴシック"/>
        <family val="0"/>
        <charset val="1"/>
      </rPr>
      <t xml:space="preserve">8-2</t>
    </r>
    <r>
      <rPr>
        <b val="true"/>
        <sz val="10"/>
        <color rgb="FF172033"/>
        <rFont val="WenQuanYi Zen Hei"/>
        <family val="2"/>
      </rPr>
      <t xml:space="preserve">と</t>
    </r>
    <r>
      <rPr>
        <b val="true"/>
        <sz val="10"/>
        <color rgb="FF172033"/>
        <rFont val="游ゴシック"/>
        <family val="0"/>
        <charset val="1"/>
      </rPr>
      <t xml:space="preserve">3-2</t>
    </r>
  </si>
  <si>
    <r>
      <rPr>
        <b val="true"/>
        <sz val="10"/>
        <color rgb="FF172033"/>
        <rFont val="游ゴシック"/>
        <family val="0"/>
        <charset val="1"/>
      </rPr>
      <t xml:space="preserve">8-3</t>
    </r>
    <r>
      <rPr>
        <b val="true"/>
        <sz val="10"/>
        <color rgb="FF172033"/>
        <rFont val="WenQuanYi Zen Hei"/>
        <family val="2"/>
      </rPr>
      <t xml:space="preserve">と</t>
    </r>
    <r>
      <rPr>
        <b val="true"/>
        <sz val="10"/>
        <color rgb="FF172033"/>
        <rFont val="游ゴシック"/>
        <family val="0"/>
        <charset val="1"/>
      </rPr>
      <t xml:space="preserve">3-3</t>
    </r>
  </si>
  <si>
    <r>
      <rPr>
        <b val="true"/>
        <sz val="10"/>
        <color rgb="FF172033"/>
        <rFont val="游ゴシック"/>
        <family val="0"/>
        <charset val="1"/>
      </rPr>
      <t xml:space="preserve">11-1</t>
    </r>
    <r>
      <rPr>
        <b val="true"/>
        <sz val="10"/>
        <color rgb="FF172033"/>
        <rFont val="WenQuanYi Zen Hei"/>
        <family val="2"/>
      </rPr>
      <t xml:space="preserve">と</t>
    </r>
    <r>
      <rPr>
        <b val="true"/>
        <sz val="10"/>
        <color rgb="FF172033"/>
        <rFont val="游ゴシック"/>
        <family val="0"/>
        <charset val="1"/>
      </rPr>
      <t xml:space="preserve">3-1</t>
    </r>
  </si>
  <si>
    <r>
      <rPr>
        <b val="true"/>
        <sz val="10"/>
        <color rgb="FF172033"/>
        <rFont val="游ゴシック"/>
        <family val="0"/>
        <charset val="1"/>
      </rPr>
      <t xml:space="preserve">11-2</t>
    </r>
    <r>
      <rPr>
        <b val="true"/>
        <sz val="10"/>
        <color rgb="FF172033"/>
        <rFont val="WenQuanYi Zen Hei"/>
        <family val="2"/>
      </rPr>
      <t xml:space="preserve">と</t>
    </r>
    <r>
      <rPr>
        <b val="true"/>
        <sz val="10"/>
        <color rgb="FF172033"/>
        <rFont val="游ゴシック"/>
        <family val="0"/>
        <charset val="1"/>
      </rPr>
      <t xml:space="preserve">3-2</t>
    </r>
  </si>
  <si>
    <r>
      <rPr>
        <b val="true"/>
        <sz val="10"/>
        <color rgb="FF172033"/>
        <rFont val="游ゴシック"/>
        <family val="0"/>
        <charset val="1"/>
      </rPr>
      <t xml:space="preserve">11-3</t>
    </r>
    <r>
      <rPr>
        <b val="true"/>
        <sz val="10"/>
        <color rgb="FF172033"/>
        <rFont val="WenQuanYi Zen Hei"/>
        <family val="2"/>
      </rPr>
      <t xml:space="preserve">と</t>
    </r>
    <r>
      <rPr>
        <b val="true"/>
        <sz val="10"/>
        <color rgb="FF172033"/>
        <rFont val="游ゴシック"/>
        <family val="0"/>
        <charset val="1"/>
      </rPr>
      <t xml:space="preserve">3-3</t>
    </r>
  </si>
  <si>
    <r>
      <rPr>
        <b val="true"/>
        <sz val="10"/>
        <color rgb="FF172033"/>
        <rFont val="WenQuanYi Zen Hei"/>
        <family val="2"/>
      </rPr>
      <t xml:space="preserve">列</t>
    </r>
    <r>
      <rPr>
        <b val="true"/>
        <sz val="10"/>
        <color rgb="FF172033"/>
        <rFont val="游ゴシック"/>
        <family val="0"/>
        <charset val="1"/>
      </rPr>
      <t xml:space="preserve">8</t>
    </r>
    <r>
      <rPr>
        <b val="true"/>
        <sz val="10"/>
        <color rgb="FF172033"/>
        <rFont val="WenQuanYi Zen Hei"/>
        <family val="2"/>
      </rPr>
      <t xml:space="preserve">（</t>
    </r>
    <r>
      <rPr>
        <b val="true"/>
        <sz val="10"/>
        <color rgb="FF172033"/>
        <rFont val="游ゴシック"/>
        <family val="0"/>
        <charset val="1"/>
      </rPr>
      <t xml:space="preserve">3</t>
    </r>
    <r>
      <rPr>
        <b val="true"/>
        <sz val="10"/>
        <color rgb="FF172033"/>
        <rFont val="WenQuanYi Zen Hei"/>
        <family val="2"/>
      </rPr>
      <t xml:space="preserve">区画とも利用可の日）</t>
    </r>
  </si>
  <si>
    <r>
      <rPr>
        <b val="true"/>
        <sz val="10"/>
        <color rgb="FF172033"/>
        <rFont val="WenQuanYi Zen Hei"/>
        <family val="2"/>
      </rPr>
      <t xml:space="preserve">列</t>
    </r>
    <r>
      <rPr>
        <b val="true"/>
        <sz val="10"/>
        <color rgb="FF172033"/>
        <rFont val="游ゴシック"/>
        <family val="0"/>
        <charset val="1"/>
      </rPr>
      <t xml:space="preserve">11</t>
    </r>
    <r>
      <rPr>
        <b val="true"/>
        <sz val="10"/>
        <color rgb="FF172033"/>
        <rFont val="WenQuanYi Zen Hei"/>
        <family val="2"/>
      </rPr>
      <t xml:space="preserve">（</t>
    </r>
    <r>
      <rPr>
        <b val="true"/>
        <sz val="10"/>
        <color rgb="FF172033"/>
        <rFont val="游ゴシック"/>
        <family val="0"/>
        <charset val="1"/>
      </rPr>
      <t xml:space="preserve">3</t>
    </r>
    <r>
      <rPr>
        <b val="true"/>
        <sz val="10"/>
        <color rgb="FF172033"/>
        <rFont val="WenQuanYi Zen Hei"/>
        <family val="2"/>
      </rPr>
      <t xml:space="preserve">区画とも利用可の日）</t>
    </r>
  </si>
  <si>
    <r>
      <rPr>
        <sz val="9"/>
        <color rgb="FF5E6B7A"/>
        <rFont val="游ゴシック"/>
        <family val="0"/>
        <charset val="1"/>
      </rPr>
      <t xml:space="preserve">7/29</t>
    </r>
    <r>
      <rPr>
        <sz val="9"/>
        <color rgb="FF5E6B7A"/>
        <rFont val="WenQuanYi Zen Hei"/>
        <family val="2"/>
      </rPr>
      <t xml:space="preserve">は設置当日のため数えない。列</t>
    </r>
    <r>
      <rPr>
        <sz val="9"/>
        <color rgb="FF5E6B7A"/>
        <rFont val="游ゴシック"/>
        <family val="0"/>
        <charset val="1"/>
      </rPr>
      <t xml:space="preserve">8</t>
    </r>
    <r>
      <rPr>
        <sz val="9"/>
        <color rgb="FF5E6B7A"/>
        <rFont val="WenQuanYi Zen Hei"/>
        <family val="2"/>
      </rPr>
      <t xml:space="preserve">・列</t>
    </r>
    <r>
      <rPr>
        <sz val="9"/>
        <color rgb="FF5E6B7A"/>
        <rFont val="游ゴシック"/>
        <family val="0"/>
        <charset val="1"/>
      </rPr>
      <t xml:space="preserve">11</t>
    </r>
    <r>
      <rPr>
        <sz val="9"/>
        <color rgb="FF5E6B7A"/>
        <rFont val="WenQuanYi Zen Hei"/>
        <family val="2"/>
      </rPr>
      <t xml:space="preserve">の時間数は、その</t>
    </r>
    <r>
      <rPr>
        <sz val="9"/>
        <color rgb="FF5E6B7A"/>
        <rFont val="游ゴシック"/>
        <family val="0"/>
        <charset val="1"/>
      </rPr>
      <t xml:space="preserve">1</t>
    </r>
    <r>
      <rPr>
        <sz val="9"/>
        <color rgb="FF5E6B7A"/>
        <rFont val="WenQuanYi Zen Hei"/>
        <family val="2"/>
      </rPr>
      <t xml:space="preserve">時間に</t>
    </r>
    <r>
      <rPr>
        <sz val="9"/>
        <color rgb="FF5E6B7A"/>
        <rFont val="游ゴシック"/>
        <family val="0"/>
        <charset val="1"/>
      </rPr>
      <t xml:space="preserve">3</t>
    </r>
    <r>
      <rPr>
        <sz val="9"/>
        <color rgb="FF5E6B7A"/>
        <rFont val="WenQuanYi Zen Hei"/>
        <family val="2"/>
      </rPr>
      <t xml:space="preserve">組とも利用可の時間</t>
    </r>
  </si>
  <si>
    <t xml:space="preserve">日付</t>
  </si>
  <si>
    <t xml:space="preserve">曜日</t>
  </si>
  <si>
    <t xml:space="preserve">区分</t>
  </si>
  <si>
    <r>
      <rPr>
        <b val="true"/>
        <sz val="10"/>
        <color rgb="FFFFFFFF"/>
        <rFont val="游ゴシック"/>
        <family val="0"/>
        <charset val="1"/>
      </rPr>
      <t xml:space="preserve">8-1</t>
    </r>
    <r>
      <rPr>
        <b val="true"/>
        <sz val="10"/>
        <color rgb="FFFFFFFF"/>
        <rFont val="WenQuanYi Zen Hei"/>
        <family val="2"/>
      </rPr>
      <t xml:space="preserve">と</t>
    </r>
    <r>
      <rPr>
        <b val="true"/>
        <sz val="10"/>
        <color rgb="FFFFFFFF"/>
        <rFont val="游ゴシック"/>
        <family val="0"/>
        <charset val="1"/>
      </rPr>
      <t xml:space="preserve">3-1</t>
    </r>
  </si>
  <si>
    <r>
      <rPr>
        <b val="true"/>
        <sz val="10"/>
        <color rgb="FFFFFFFF"/>
        <rFont val="游ゴシック"/>
        <family val="0"/>
        <charset val="1"/>
      </rPr>
      <t xml:space="preserve">8-2</t>
    </r>
    <r>
      <rPr>
        <b val="true"/>
        <sz val="10"/>
        <color rgb="FFFFFFFF"/>
        <rFont val="WenQuanYi Zen Hei"/>
        <family val="2"/>
      </rPr>
      <t xml:space="preserve">と</t>
    </r>
    <r>
      <rPr>
        <b val="true"/>
        <sz val="10"/>
        <color rgb="FFFFFFFF"/>
        <rFont val="游ゴシック"/>
        <family val="0"/>
        <charset val="1"/>
      </rPr>
      <t xml:space="preserve">3-2</t>
    </r>
  </si>
  <si>
    <r>
      <rPr>
        <b val="true"/>
        <sz val="10"/>
        <color rgb="FFFFFFFF"/>
        <rFont val="游ゴシック"/>
        <family val="0"/>
        <charset val="1"/>
      </rPr>
      <t xml:space="preserve">8-3</t>
    </r>
    <r>
      <rPr>
        <b val="true"/>
        <sz val="10"/>
        <color rgb="FFFFFFFF"/>
        <rFont val="WenQuanYi Zen Hei"/>
        <family val="2"/>
      </rPr>
      <t xml:space="preserve">と</t>
    </r>
    <r>
      <rPr>
        <b val="true"/>
        <sz val="10"/>
        <color rgb="FFFFFFFF"/>
        <rFont val="游ゴシック"/>
        <family val="0"/>
        <charset val="1"/>
      </rPr>
      <t xml:space="preserve">3-3</t>
    </r>
  </si>
  <si>
    <r>
      <rPr>
        <b val="true"/>
        <sz val="10"/>
        <color rgb="FFFFFFFF"/>
        <rFont val="游ゴシック"/>
        <family val="0"/>
        <charset val="1"/>
      </rPr>
      <t xml:space="preserve">11-1</t>
    </r>
    <r>
      <rPr>
        <b val="true"/>
        <sz val="10"/>
        <color rgb="FFFFFFFF"/>
        <rFont val="WenQuanYi Zen Hei"/>
        <family val="2"/>
      </rPr>
      <t xml:space="preserve">と</t>
    </r>
    <r>
      <rPr>
        <b val="true"/>
        <sz val="10"/>
        <color rgb="FFFFFFFF"/>
        <rFont val="游ゴシック"/>
        <family val="0"/>
        <charset val="1"/>
      </rPr>
      <t xml:space="preserve">3-1</t>
    </r>
  </si>
  <si>
    <r>
      <rPr>
        <b val="true"/>
        <sz val="10"/>
        <color rgb="FFFFFFFF"/>
        <rFont val="游ゴシック"/>
        <family val="0"/>
        <charset val="1"/>
      </rPr>
      <t xml:space="preserve">11-2</t>
    </r>
    <r>
      <rPr>
        <b val="true"/>
        <sz val="10"/>
        <color rgb="FFFFFFFF"/>
        <rFont val="WenQuanYi Zen Hei"/>
        <family val="2"/>
      </rPr>
      <t xml:space="preserve">と</t>
    </r>
    <r>
      <rPr>
        <b val="true"/>
        <sz val="10"/>
        <color rgb="FFFFFFFF"/>
        <rFont val="游ゴシック"/>
        <family val="0"/>
        <charset val="1"/>
      </rPr>
      <t xml:space="preserve">3-2</t>
    </r>
  </si>
  <si>
    <r>
      <rPr>
        <b val="true"/>
        <sz val="10"/>
        <color rgb="FFFFFFFF"/>
        <rFont val="游ゴシック"/>
        <family val="0"/>
        <charset val="1"/>
      </rPr>
      <t xml:space="preserve">11-3</t>
    </r>
    <r>
      <rPr>
        <b val="true"/>
        <sz val="10"/>
        <color rgb="FFFFFFFF"/>
        <rFont val="WenQuanYi Zen Hei"/>
        <family val="2"/>
      </rPr>
      <t xml:space="preserve">と</t>
    </r>
    <r>
      <rPr>
        <b val="true"/>
        <sz val="10"/>
        <color rgb="FFFFFFFF"/>
        <rFont val="游ゴシック"/>
        <family val="0"/>
        <charset val="1"/>
      </rPr>
      <t xml:space="preserve">3-3</t>
    </r>
  </si>
  <si>
    <r>
      <rPr>
        <b val="true"/>
        <sz val="10"/>
        <color rgb="FFFFFFFF"/>
        <rFont val="WenQuanYi Zen Hei"/>
        <family val="2"/>
      </rPr>
      <t xml:space="preserve">列</t>
    </r>
    <r>
      <rPr>
        <b val="true"/>
        <sz val="10"/>
        <color rgb="FFFFFFFF"/>
        <rFont val="游ゴシック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（</t>
    </r>
    <r>
      <rPr>
        <b val="true"/>
        <sz val="10"/>
        <color rgb="FFFFFFFF"/>
        <rFont val="游ゴシック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区画とも利用可の日）</t>
    </r>
  </si>
  <si>
    <r>
      <rPr>
        <b val="true"/>
        <sz val="10"/>
        <color rgb="FFFFFFFF"/>
        <rFont val="WenQuanYi Zen Hei"/>
        <family val="2"/>
      </rPr>
      <t xml:space="preserve">列</t>
    </r>
    <r>
      <rPr>
        <b val="true"/>
        <sz val="10"/>
        <color rgb="FFFFFFFF"/>
        <rFont val="游ゴシック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（</t>
    </r>
    <r>
      <rPr>
        <b val="true"/>
        <sz val="10"/>
        <color rgb="FFFFFFFF"/>
        <rFont val="游ゴシック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区画とも利用可の日）</t>
    </r>
  </si>
  <si>
    <t xml:space="preserve">備考（データの欠け）</t>
  </si>
  <si>
    <t xml:space="preserve">日中の利用可［時間］</t>
  </si>
  <si>
    <t xml:space="preserve">日の判定</t>
  </si>
  <si>
    <t xml:space="preserve">水</t>
  </si>
  <si>
    <t xml:space="preserve">平日</t>
  </si>
  <si>
    <r>
      <rPr>
        <sz val="9"/>
        <color rgb="FF172033"/>
        <rFont val="WenQuanYi Zen Hei"/>
        <family val="2"/>
      </rPr>
      <t xml:space="preserve">設置当日（</t>
    </r>
    <r>
      <rPr>
        <sz val="9"/>
        <color rgb="FF172033"/>
        <rFont val="游ゴシック"/>
        <family val="0"/>
        <charset val="1"/>
      </rPr>
      <t xml:space="preserve">16:14</t>
    </r>
    <r>
      <rPr>
        <sz val="9"/>
        <color rgb="FF172033"/>
        <rFont val="WenQuanYi Zen Hei"/>
        <family val="2"/>
      </rPr>
      <t xml:space="preserve">から記録）。使わない</t>
    </r>
  </si>
  <si>
    <t xml:space="preserve">木</t>
  </si>
  <si>
    <t xml:space="preserve">金</t>
  </si>
  <si>
    <t xml:space="preserve">土</t>
  </si>
  <si>
    <t xml:space="preserve">土日</t>
  </si>
  <si>
    <t xml:space="preserve">日</t>
  </si>
  <si>
    <t xml:space="preserve">月</t>
  </si>
  <si>
    <t xml:space="preserve">火</t>
  </si>
  <si>
    <t xml:space="preserve">山の日</t>
  </si>
  <si>
    <r>
      <rPr>
        <sz val="9"/>
        <color rgb="FF172033"/>
        <rFont val="游ゴシック"/>
        <family val="0"/>
        <charset val="1"/>
      </rPr>
      <t xml:space="preserve">8-2</t>
    </r>
    <r>
      <rPr>
        <sz val="9"/>
        <color rgb="FF172033"/>
        <rFont val="WenQuanYi Zen Hei"/>
        <family val="2"/>
      </rPr>
      <t xml:space="preserve">の排気・吸気温度が欠け（判定不能）</t>
    </r>
  </si>
  <si>
    <r>
      <rPr>
        <sz val="9"/>
        <color rgb="FF172033"/>
        <rFont val="游ゴシック"/>
        <family val="0"/>
        <charset val="1"/>
      </rPr>
      <t xml:space="preserve">3-2</t>
    </r>
    <r>
      <rPr>
        <sz val="9"/>
        <color rgb="FF172033"/>
        <rFont val="WenQuanYi Zen Hei"/>
        <family val="2"/>
      </rPr>
      <t xml:space="preserve">の排気・吸気温度が欠け（判定不能）</t>
    </r>
  </si>
  <si>
    <r>
      <rPr>
        <sz val="9"/>
        <color rgb="FF172033"/>
        <rFont val="WenQuanYi Zen Hei"/>
        <family val="2"/>
      </rPr>
      <t xml:space="preserve">列</t>
    </r>
    <r>
      <rPr>
        <sz val="9"/>
        <color rgb="FF172033"/>
        <rFont val="游ゴシック"/>
        <family val="0"/>
        <charset val="1"/>
      </rPr>
      <t xml:space="preserve">11</t>
    </r>
    <r>
      <rPr>
        <sz val="9"/>
        <color rgb="FF172033"/>
        <rFont val="WenQuanYi Zen Hei"/>
        <family val="2"/>
      </rPr>
      <t xml:space="preserve">のデータなし、</t>
    </r>
    <r>
      <rPr>
        <sz val="9"/>
        <color rgb="FF172033"/>
        <rFont val="游ゴシック"/>
        <family val="0"/>
        <charset val="1"/>
      </rPr>
      <t xml:space="preserve">3-2</t>
    </r>
    <r>
      <rPr>
        <sz val="9"/>
        <color rgb="FF172033"/>
        <rFont val="WenQuanYi Zen Hei"/>
        <family val="2"/>
      </rPr>
      <t xml:space="preserve">の排気・吸気温度が欠け（判定不能）</t>
    </r>
  </si>
  <si>
    <t xml:space="preserve">敬老の日</t>
  </si>
  <si>
    <t xml:space="preserve">国民の休日</t>
  </si>
  <si>
    <t xml:space="preserve">秋分の日</t>
  </si>
  <si>
    <r>
      <rPr>
        <sz val="9"/>
        <color rgb="FF172033"/>
        <rFont val="WenQuanYi Zen Hei"/>
        <family val="2"/>
      </rPr>
      <t xml:space="preserve">列</t>
    </r>
    <r>
      <rPr>
        <sz val="9"/>
        <color rgb="FF172033"/>
        <rFont val="游ゴシック"/>
        <family val="0"/>
        <charset val="1"/>
      </rPr>
      <t xml:space="preserve">11</t>
    </r>
    <r>
      <rPr>
        <sz val="9"/>
        <color rgb="FF172033"/>
        <rFont val="WenQuanYi Zen Hei"/>
        <family val="2"/>
      </rPr>
      <t xml:space="preserve">のデータなし</t>
    </r>
  </si>
  <si>
    <t xml:space="preserve">スポーツの日</t>
  </si>
  <si>
    <r>
      <rPr>
        <sz val="9"/>
        <color rgb="FF172033"/>
        <rFont val="WenQuanYi Zen Hei"/>
        <family val="2"/>
      </rPr>
      <t xml:space="preserve">列</t>
    </r>
    <r>
      <rPr>
        <sz val="9"/>
        <color rgb="FF172033"/>
        <rFont val="游ゴシック"/>
        <family val="0"/>
        <charset val="1"/>
      </rPr>
      <t xml:space="preserve">11</t>
    </r>
    <r>
      <rPr>
        <sz val="9"/>
        <color rgb="FF172033"/>
        <rFont val="WenQuanYi Zen Hei"/>
        <family val="2"/>
      </rPr>
      <t xml:space="preserve">のデータなし、</t>
    </r>
    <r>
      <rPr>
        <sz val="9"/>
        <color rgb="FF172033"/>
        <rFont val="游ゴシック"/>
        <family val="0"/>
        <charset val="1"/>
      </rPr>
      <t xml:space="preserve">3-1</t>
    </r>
    <r>
      <rPr>
        <sz val="9"/>
        <color rgb="FF172033"/>
        <rFont val="WenQuanYi Zen Hei"/>
        <family val="2"/>
      </rPr>
      <t xml:space="preserve">・</t>
    </r>
    <r>
      <rPr>
        <sz val="9"/>
        <color rgb="FF172033"/>
        <rFont val="游ゴシック"/>
        <family val="0"/>
        <charset val="1"/>
      </rPr>
      <t xml:space="preserve">3-2</t>
    </r>
    <r>
      <rPr>
        <sz val="9"/>
        <color rgb="FF172033"/>
        <rFont val="WenQuanYi Zen Hei"/>
        <family val="2"/>
      </rPr>
      <t xml:space="preserve">・</t>
    </r>
    <r>
      <rPr>
        <sz val="9"/>
        <color rgb="FF172033"/>
        <rFont val="游ゴシック"/>
        <family val="0"/>
        <charset val="1"/>
      </rPr>
      <t xml:space="preserve">3-3</t>
    </r>
    <r>
      <rPr>
        <sz val="9"/>
        <color rgb="FF172033"/>
        <rFont val="WenQuanYi Zen Hei"/>
        <family val="2"/>
      </rPr>
      <t xml:space="preserve">・</t>
    </r>
    <r>
      <rPr>
        <sz val="9"/>
        <color rgb="FF172033"/>
        <rFont val="游ゴシック"/>
        <family val="0"/>
        <charset val="1"/>
      </rPr>
      <t xml:space="preserve">8-1</t>
    </r>
    <r>
      <rPr>
        <sz val="9"/>
        <color rgb="FF172033"/>
        <rFont val="WenQuanYi Zen Hei"/>
        <family val="2"/>
      </rPr>
      <t xml:space="preserve">・</t>
    </r>
    <r>
      <rPr>
        <sz val="9"/>
        <color rgb="FF172033"/>
        <rFont val="游ゴシック"/>
        <family val="0"/>
        <charset val="1"/>
      </rPr>
      <t xml:space="preserve">8-2</t>
    </r>
    <r>
      <rPr>
        <sz val="9"/>
        <color rgb="FF172033"/>
        <rFont val="WenQuanYi Zen Hei"/>
        <family val="2"/>
      </rPr>
      <t xml:space="preserve">・</t>
    </r>
    <r>
      <rPr>
        <sz val="9"/>
        <color rgb="FF172033"/>
        <rFont val="游ゴシック"/>
        <family val="0"/>
        <charset val="1"/>
      </rPr>
      <t xml:space="preserve">8-3</t>
    </r>
    <r>
      <rPr>
        <sz val="9"/>
        <color rgb="FF172033"/>
        <rFont val="WenQuanYi Zen Hei"/>
        <family val="2"/>
      </rPr>
      <t xml:space="preserve">の排気・吸気温度が欠け（判定不能）</t>
    </r>
  </si>
  <si>
    <t xml:space="preserve">時台</t>
  </si>
  <si>
    <r>
      <rPr>
        <b val="true"/>
        <sz val="10"/>
        <color rgb="FFFFFFFF"/>
        <rFont val="WenQuanYi Zen Hei"/>
        <family val="2"/>
      </rPr>
      <t xml:space="preserve">室外機 </t>
    </r>
    <r>
      <rPr>
        <b val="true"/>
        <sz val="10"/>
        <color rgb="FFFFFFFF"/>
        <rFont val="游ゴシック"/>
        <family val="0"/>
        <charset val="1"/>
      </rPr>
      <t xml:space="preserve">3-1</t>
    </r>
  </si>
  <si>
    <r>
      <rPr>
        <b val="true"/>
        <sz val="10"/>
        <color rgb="FFFFFFFF"/>
        <rFont val="WenQuanYi Zen Hei"/>
        <family val="2"/>
      </rPr>
      <t xml:space="preserve">室外機 </t>
    </r>
    <r>
      <rPr>
        <b val="true"/>
        <sz val="10"/>
        <color rgb="FFFFFFFF"/>
        <rFont val="游ゴシック"/>
        <family val="0"/>
        <charset val="1"/>
      </rPr>
      <t xml:space="preserve">3-2</t>
    </r>
  </si>
  <si>
    <r>
      <rPr>
        <b val="true"/>
        <sz val="10"/>
        <color rgb="FFFFFFFF"/>
        <rFont val="WenQuanYi Zen Hei"/>
        <family val="2"/>
      </rPr>
      <t xml:space="preserve">室外機 </t>
    </r>
    <r>
      <rPr>
        <b val="true"/>
        <sz val="10"/>
        <color rgb="FFFFFFFF"/>
        <rFont val="游ゴシック"/>
        <family val="0"/>
        <charset val="1"/>
      </rPr>
      <t xml:space="preserve">3-3</t>
    </r>
  </si>
  <si>
    <r>
      <rPr>
        <b val="true"/>
        <sz val="10"/>
        <color rgb="FFFFFFFF"/>
        <rFont val="WenQuanYi Zen Hei"/>
        <family val="2"/>
      </rPr>
      <t xml:space="preserve">室外機 </t>
    </r>
    <r>
      <rPr>
        <b val="true"/>
        <sz val="10"/>
        <color rgb="FFFFFFFF"/>
        <rFont val="游ゴシック"/>
        <family val="0"/>
        <charset val="1"/>
      </rPr>
      <t xml:space="preserve">8-1</t>
    </r>
  </si>
  <si>
    <r>
      <rPr>
        <b val="true"/>
        <sz val="10"/>
        <color rgb="FFFFFFFF"/>
        <rFont val="WenQuanYi Zen Hei"/>
        <family val="2"/>
      </rPr>
      <t xml:space="preserve">室外機 </t>
    </r>
    <r>
      <rPr>
        <b val="true"/>
        <sz val="10"/>
        <color rgb="FFFFFFFF"/>
        <rFont val="游ゴシック"/>
        <family val="0"/>
        <charset val="1"/>
      </rPr>
      <t xml:space="preserve">8-2</t>
    </r>
  </si>
  <si>
    <r>
      <rPr>
        <b val="true"/>
        <sz val="10"/>
        <color rgb="FFFFFFFF"/>
        <rFont val="WenQuanYi Zen Hei"/>
        <family val="2"/>
      </rPr>
      <t xml:space="preserve">室外機 </t>
    </r>
    <r>
      <rPr>
        <b val="true"/>
        <sz val="10"/>
        <color rgb="FFFFFFFF"/>
        <rFont val="游ゴシック"/>
        <family val="0"/>
        <charset val="1"/>
      </rPr>
      <t xml:space="preserve">8-3</t>
    </r>
  </si>
  <si>
    <r>
      <rPr>
        <b val="true"/>
        <sz val="10"/>
        <color rgb="FFFFFFFF"/>
        <rFont val="WenQuanYi Zen Hei"/>
        <family val="2"/>
      </rPr>
      <t xml:space="preserve">室外機 </t>
    </r>
    <r>
      <rPr>
        <b val="true"/>
        <sz val="10"/>
        <color rgb="FFFFFFFF"/>
        <rFont val="游ゴシック"/>
        <family val="0"/>
        <charset val="1"/>
      </rPr>
      <t xml:space="preserve">11-1</t>
    </r>
  </si>
  <si>
    <r>
      <rPr>
        <b val="true"/>
        <sz val="10"/>
        <color rgb="FFFFFFFF"/>
        <rFont val="WenQuanYi Zen Hei"/>
        <family val="2"/>
      </rPr>
      <t xml:space="preserve">室外機 </t>
    </r>
    <r>
      <rPr>
        <b val="true"/>
        <sz val="10"/>
        <color rgb="FFFFFFFF"/>
        <rFont val="游ゴシック"/>
        <family val="0"/>
        <charset val="1"/>
      </rPr>
      <t xml:space="preserve">11-2</t>
    </r>
  </si>
  <si>
    <r>
      <rPr>
        <b val="true"/>
        <sz val="10"/>
        <color rgb="FFFFFFFF"/>
        <rFont val="WenQuanYi Zen Hei"/>
        <family val="2"/>
      </rPr>
      <t xml:space="preserve">室外機 </t>
    </r>
    <r>
      <rPr>
        <b val="true"/>
        <sz val="10"/>
        <color rgb="FFFFFFFF"/>
        <rFont val="游ゴシック"/>
        <family val="0"/>
        <charset val="1"/>
      </rPr>
      <t xml:space="preserve">11-3</t>
    </r>
  </si>
  <si>
    <r>
      <rPr>
        <b val="true"/>
        <sz val="10"/>
        <color rgb="FFFFFFFF"/>
        <rFont val="WenQuanYi Zen Hei"/>
        <family val="2"/>
      </rPr>
      <t xml:space="preserve">組 </t>
    </r>
    <r>
      <rPr>
        <b val="true"/>
        <sz val="10"/>
        <color rgb="FFFFFFFF"/>
        <rFont val="游ゴシック"/>
        <family val="0"/>
        <charset val="1"/>
      </rPr>
      <t xml:space="preserve">8-1</t>
    </r>
    <r>
      <rPr>
        <b val="true"/>
        <sz val="10"/>
        <color rgb="FFFFFFFF"/>
        <rFont val="WenQuanYi Zen Hei"/>
        <family val="2"/>
      </rPr>
      <t xml:space="preserve">と</t>
    </r>
    <r>
      <rPr>
        <b val="true"/>
        <sz val="10"/>
        <color rgb="FFFFFFFF"/>
        <rFont val="游ゴシック"/>
        <family val="0"/>
        <charset val="1"/>
      </rPr>
      <t xml:space="preserve">3-1</t>
    </r>
  </si>
  <si>
    <r>
      <rPr>
        <b val="true"/>
        <sz val="10"/>
        <color rgb="FFFFFFFF"/>
        <rFont val="WenQuanYi Zen Hei"/>
        <family val="2"/>
      </rPr>
      <t xml:space="preserve">組 </t>
    </r>
    <r>
      <rPr>
        <b val="true"/>
        <sz val="10"/>
        <color rgb="FFFFFFFF"/>
        <rFont val="游ゴシック"/>
        <family val="0"/>
        <charset val="1"/>
      </rPr>
      <t xml:space="preserve">8-2</t>
    </r>
    <r>
      <rPr>
        <b val="true"/>
        <sz val="10"/>
        <color rgb="FFFFFFFF"/>
        <rFont val="WenQuanYi Zen Hei"/>
        <family val="2"/>
      </rPr>
      <t xml:space="preserve">と</t>
    </r>
    <r>
      <rPr>
        <b val="true"/>
        <sz val="10"/>
        <color rgb="FFFFFFFF"/>
        <rFont val="游ゴシック"/>
        <family val="0"/>
        <charset val="1"/>
      </rPr>
      <t xml:space="preserve">3-2</t>
    </r>
  </si>
  <si>
    <r>
      <rPr>
        <b val="true"/>
        <sz val="10"/>
        <color rgb="FFFFFFFF"/>
        <rFont val="WenQuanYi Zen Hei"/>
        <family val="2"/>
      </rPr>
      <t xml:space="preserve">組 </t>
    </r>
    <r>
      <rPr>
        <b val="true"/>
        <sz val="10"/>
        <color rgb="FFFFFFFF"/>
        <rFont val="游ゴシック"/>
        <family val="0"/>
        <charset val="1"/>
      </rPr>
      <t xml:space="preserve">8-3</t>
    </r>
    <r>
      <rPr>
        <b val="true"/>
        <sz val="10"/>
        <color rgb="FFFFFFFF"/>
        <rFont val="WenQuanYi Zen Hei"/>
        <family val="2"/>
      </rPr>
      <t xml:space="preserve">と</t>
    </r>
    <r>
      <rPr>
        <b val="true"/>
        <sz val="10"/>
        <color rgb="FFFFFFFF"/>
        <rFont val="游ゴシック"/>
        <family val="0"/>
        <charset val="1"/>
      </rPr>
      <t xml:space="preserve">3-3</t>
    </r>
  </si>
  <si>
    <r>
      <rPr>
        <b val="true"/>
        <sz val="10"/>
        <color rgb="FFFFFFFF"/>
        <rFont val="WenQuanYi Zen Hei"/>
        <family val="2"/>
      </rPr>
      <t xml:space="preserve">組 </t>
    </r>
    <r>
      <rPr>
        <b val="true"/>
        <sz val="10"/>
        <color rgb="FFFFFFFF"/>
        <rFont val="游ゴシック"/>
        <family val="0"/>
        <charset val="1"/>
      </rPr>
      <t xml:space="preserve">11-1</t>
    </r>
    <r>
      <rPr>
        <b val="true"/>
        <sz val="10"/>
        <color rgb="FFFFFFFF"/>
        <rFont val="WenQuanYi Zen Hei"/>
        <family val="2"/>
      </rPr>
      <t xml:space="preserve">と</t>
    </r>
    <r>
      <rPr>
        <b val="true"/>
        <sz val="10"/>
        <color rgb="FFFFFFFF"/>
        <rFont val="游ゴシック"/>
        <family val="0"/>
        <charset val="1"/>
      </rPr>
      <t xml:space="preserve">3-1</t>
    </r>
  </si>
  <si>
    <r>
      <rPr>
        <b val="true"/>
        <sz val="10"/>
        <color rgb="FFFFFFFF"/>
        <rFont val="WenQuanYi Zen Hei"/>
        <family val="2"/>
      </rPr>
      <t xml:space="preserve">組 </t>
    </r>
    <r>
      <rPr>
        <b val="true"/>
        <sz val="10"/>
        <color rgb="FFFFFFFF"/>
        <rFont val="游ゴシック"/>
        <family val="0"/>
        <charset val="1"/>
      </rPr>
      <t xml:space="preserve">11-2</t>
    </r>
    <r>
      <rPr>
        <b val="true"/>
        <sz val="10"/>
        <color rgb="FFFFFFFF"/>
        <rFont val="WenQuanYi Zen Hei"/>
        <family val="2"/>
      </rPr>
      <t xml:space="preserve">と</t>
    </r>
    <r>
      <rPr>
        <b val="true"/>
        <sz val="10"/>
        <color rgb="FFFFFFFF"/>
        <rFont val="游ゴシック"/>
        <family val="0"/>
        <charset val="1"/>
      </rPr>
      <t xml:space="preserve">3-2</t>
    </r>
  </si>
  <si>
    <r>
      <rPr>
        <b val="true"/>
        <sz val="10"/>
        <color rgb="FFFFFFFF"/>
        <rFont val="WenQuanYi Zen Hei"/>
        <family val="2"/>
      </rPr>
      <t xml:space="preserve">組 </t>
    </r>
    <r>
      <rPr>
        <b val="true"/>
        <sz val="10"/>
        <color rgb="FFFFFFFF"/>
        <rFont val="游ゴシック"/>
        <family val="0"/>
        <charset val="1"/>
      </rPr>
      <t xml:space="preserve">11-3</t>
    </r>
    <r>
      <rPr>
        <b val="true"/>
        <sz val="10"/>
        <color rgb="FFFFFFFF"/>
        <rFont val="WenQuanYi Zen Hei"/>
        <family val="2"/>
      </rPr>
      <t xml:space="preserve">と</t>
    </r>
    <r>
      <rPr>
        <b val="true"/>
        <sz val="10"/>
        <color rgb="FFFFFFFF"/>
        <rFont val="游ゴシック"/>
        <family val="0"/>
        <charset val="1"/>
      </rPr>
      <t xml:space="preserve">3-3</t>
    </r>
  </si>
  <si>
    <r>
      <rPr>
        <b val="true"/>
        <sz val="10"/>
        <color rgb="FFFFFFFF"/>
        <rFont val="WenQuanYi Zen Hei"/>
        <family val="2"/>
      </rPr>
      <t xml:space="preserve">列</t>
    </r>
    <r>
      <rPr>
        <b val="true"/>
        <sz val="10"/>
        <color rgb="FFFFFFFF"/>
        <rFont val="游ゴシック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（</t>
    </r>
    <r>
      <rPr>
        <b val="true"/>
        <sz val="10"/>
        <color rgb="FFFFFFFF"/>
        <rFont val="游ゴシック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区画とも利用可）</t>
    </r>
  </si>
  <si>
    <r>
      <rPr>
        <b val="true"/>
        <sz val="10"/>
        <color rgb="FFFFFFFF"/>
        <rFont val="WenQuanYi Zen Hei"/>
        <family val="2"/>
      </rPr>
      <t xml:space="preserve">列</t>
    </r>
    <r>
      <rPr>
        <b val="true"/>
        <sz val="10"/>
        <color rgb="FFFFFFFF"/>
        <rFont val="游ゴシック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（</t>
    </r>
    <r>
      <rPr>
        <b val="true"/>
        <sz val="10"/>
        <color rgb="FFFFFFFF"/>
        <rFont val="游ゴシック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区画とも利用可）</t>
    </r>
  </si>
  <si>
    <t xml:space="preserve">有効［分］</t>
  </si>
  <si>
    <t xml:space="preserve">運転中［分］</t>
  </si>
  <si>
    <t xml:space="preserve">判定</t>
  </si>
  <si>
    <r>
      <rPr>
        <b val="true"/>
        <sz val="10"/>
        <color rgb="FFFFFFFF"/>
        <rFont val="游ゴシック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台とも有効［分］</t>
    </r>
  </si>
  <si>
    <r>
      <rPr>
        <b val="true"/>
        <sz val="10"/>
        <color rgb="FFFFFFFF"/>
        <rFont val="游ゴシック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台とも運転中［分］</t>
    </r>
  </si>
  <si>
    <t xml:space="preserve">祝日</t>
  </si>
  <si>
    <r>
      <rPr>
        <b val="true"/>
        <sz val="10"/>
        <color rgb="FF172033"/>
        <rFont val="WenQuanYi Zen Hei"/>
        <family val="2"/>
      </rPr>
      <t xml:space="preserve">列</t>
    </r>
    <r>
      <rPr>
        <b val="true"/>
        <sz val="10"/>
        <color rgb="FF172033"/>
        <rFont val="游ゴシック"/>
        <family val="0"/>
        <charset val="1"/>
      </rPr>
      <t xml:space="preserve">8</t>
    </r>
    <r>
      <rPr>
        <b val="true"/>
        <sz val="10"/>
        <color rgb="FF172033"/>
        <rFont val="WenQuanYi Zen Hei"/>
        <family val="2"/>
      </rPr>
      <t xml:space="preserve">：組ごとの判定（○＝利用可、停＝両方停止、</t>
    </r>
    <r>
      <rPr>
        <b val="true"/>
        <sz val="10"/>
        <color rgb="FF172033"/>
        <rFont val="游ゴシック"/>
        <family val="0"/>
        <charset val="1"/>
      </rPr>
      <t xml:space="preserve">×</t>
    </r>
    <r>
      <rPr>
        <b val="true"/>
        <sz val="10"/>
        <color rgb="FF172033"/>
        <rFont val="WenQuanYi Zen Hei"/>
        <family val="2"/>
      </rPr>
      <t xml:space="preserve">＝運転がそろわない、－＝判定不能）</t>
    </r>
  </si>
  <si>
    <r>
      <rPr>
        <b val="true"/>
        <sz val="10"/>
        <color rgb="FF172033"/>
        <rFont val="WenQuanYi Zen Hei"/>
        <family val="2"/>
      </rPr>
      <t xml:space="preserve">列</t>
    </r>
    <r>
      <rPr>
        <b val="true"/>
        <sz val="10"/>
        <color rgb="FF172033"/>
        <rFont val="游ゴシック"/>
        <family val="0"/>
        <charset val="1"/>
      </rPr>
      <t xml:space="preserve">11</t>
    </r>
    <r>
      <rPr>
        <b val="true"/>
        <sz val="10"/>
        <color rgb="FF172033"/>
        <rFont val="WenQuanYi Zen Hei"/>
        <family val="2"/>
      </rPr>
      <t xml:space="preserve">：組ごとの判定（○＝利用可、停＝両方停止、</t>
    </r>
    <r>
      <rPr>
        <b val="true"/>
        <sz val="10"/>
        <color rgb="FF172033"/>
        <rFont val="游ゴシック"/>
        <family val="0"/>
        <charset val="1"/>
      </rPr>
      <t xml:space="preserve">×</t>
    </r>
    <r>
      <rPr>
        <b val="true"/>
        <sz val="10"/>
        <color rgb="FF172033"/>
        <rFont val="WenQuanYi Zen Hei"/>
        <family val="2"/>
      </rPr>
      <t xml:space="preserve">＝運転がそろわない、－＝判定不能）</t>
    </r>
  </si>
  <si>
    <r>
      <rPr>
        <b val="true"/>
        <sz val="10"/>
        <color rgb="FF172033"/>
        <rFont val="WenQuanYi Zen Hei"/>
        <family val="2"/>
      </rPr>
      <t xml:space="preserve">時刻ごとの利用可の時間数（</t>
    </r>
    <r>
      <rPr>
        <b val="true"/>
        <sz val="10"/>
        <color rgb="FF172033"/>
        <rFont val="游ゴシック"/>
        <family val="0"/>
        <charset val="1"/>
      </rPr>
      <t xml:space="preserve">7/30</t>
    </r>
    <r>
      <rPr>
        <b val="true"/>
        <sz val="10"/>
        <color rgb="FF172033"/>
        <rFont val="WenQuanYi Zen Hei"/>
        <family val="2"/>
      </rPr>
      <t xml:space="preserve">〜</t>
    </r>
    <r>
      <rPr>
        <b val="true"/>
        <sz val="10"/>
        <color rgb="FF172033"/>
        <rFont val="游ゴシック"/>
        <family val="0"/>
        <charset val="1"/>
      </rPr>
      <t xml:space="preserve">10/13</t>
    </r>
    <r>
      <rPr>
        <b val="true"/>
        <sz val="10"/>
        <color rgb="FF172033"/>
        <rFont val="WenQuanYi Zen Hei"/>
        <family val="2"/>
      </rPr>
      <t xml:space="preserve">の合計）。どの時間帯が分析に使えるかを見る</t>
    </r>
  </si>
  <si>
    <r>
      <rPr>
        <b val="true"/>
        <sz val="10"/>
        <color rgb="FFFFFFFF"/>
        <rFont val="游ゴシック"/>
        <family val="0"/>
        <charset val="1"/>
      </rPr>
      <t xml:space="preserve">0</t>
    </r>
    <r>
      <rPr>
        <b val="true"/>
        <sz val="10"/>
        <color rgb="FFFFFFFF"/>
        <rFont val="WenQuanYi Zen Hei"/>
        <family val="2"/>
      </rPr>
      <t xml:space="preserve">時台</t>
    </r>
  </si>
  <si>
    <r>
      <rPr>
        <b val="true"/>
        <sz val="10"/>
        <color rgb="FFFFFFFF"/>
        <rFont val="游ゴシック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時台</t>
    </r>
  </si>
  <si>
    <r>
      <rPr>
        <b val="true"/>
        <sz val="10"/>
        <color rgb="FFFFFFFF"/>
        <rFont val="游ゴシック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時台</t>
    </r>
  </si>
  <si>
    <r>
      <rPr>
        <b val="true"/>
        <sz val="10"/>
        <color rgb="FFFFFFFF"/>
        <rFont val="游ゴシック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時台</t>
    </r>
  </si>
  <si>
    <r>
      <rPr>
        <b val="true"/>
        <sz val="10"/>
        <color rgb="FFFFFFFF"/>
        <rFont val="游ゴシック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時台</t>
    </r>
  </si>
  <si>
    <r>
      <rPr>
        <b val="true"/>
        <sz val="10"/>
        <color rgb="FFFFFFFF"/>
        <rFont val="游ゴシック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時台</t>
    </r>
  </si>
  <si>
    <r>
      <rPr>
        <b val="true"/>
        <sz val="10"/>
        <color rgb="FFFFFFFF"/>
        <rFont val="游ゴシック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時台</t>
    </r>
  </si>
  <si>
    <r>
      <rPr>
        <b val="true"/>
        <sz val="10"/>
        <color rgb="FFFFFFFF"/>
        <rFont val="游ゴシック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時台</t>
    </r>
  </si>
  <si>
    <r>
      <rPr>
        <b val="true"/>
        <sz val="10"/>
        <color rgb="FFFFFFFF"/>
        <rFont val="游ゴシック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時台</t>
    </r>
  </si>
  <si>
    <r>
      <rPr>
        <b val="true"/>
        <sz val="10"/>
        <color rgb="FFFFFFFF"/>
        <rFont val="游ゴシック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時台</t>
    </r>
  </si>
  <si>
    <r>
      <rPr>
        <b val="true"/>
        <sz val="10"/>
        <color rgb="FFFFFFFF"/>
        <rFont val="游ゴシック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時台</t>
    </r>
  </si>
  <si>
    <r>
      <rPr>
        <b val="true"/>
        <sz val="10"/>
        <color rgb="FFFFFFFF"/>
        <rFont val="游ゴシック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時台</t>
    </r>
  </si>
  <si>
    <r>
      <rPr>
        <b val="true"/>
        <sz val="10"/>
        <color rgb="FFFFFFFF"/>
        <rFont val="游ゴシック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時台</t>
    </r>
  </si>
  <si>
    <r>
      <rPr>
        <b val="true"/>
        <sz val="10"/>
        <color rgb="FFFFFFFF"/>
        <rFont val="游ゴシック"/>
        <family val="0"/>
        <charset val="1"/>
      </rPr>
      <t xml:space="preserve">13</t>
    </r>
    <r>
      <rPr>
        <b val="true"/>
        <sz val="10"/>
        <color rgb="FFFFFFFF"/>
        <rFont val="WenQuanYi Zen Hei"/>
        <family val="2"/>
      </rPr>
      <t xml:space="preserve">時台</t>
    </r>
  </si>
  <si>
    <r>
      <rPr>
        <b val="true"/>
        <sz val="10"/>
        <color rgb="FFFFFFFF"/>
        <rFont val="游ゴシック"/>
        <family val="0"/>
        <charset val="1"/>
      </rPr>
      <t xml:space="preserve">14</t>
    </r>
    <r>
      <rPr>
        <b val="true"/>
        <sz val="10"/>
        <color rgb="FFFFFFFF"/>
        <rFont val="WenQuanYi Zen Hei"/>
        <family val="2"/>
      </rPr>
      <t xml:space="preserve">時台</t>
    </r>
  </si>
  <si>
    <r>
      <rPr>
        <b val="true"/>
        <sz val="10"/>
        <color rgb="FFFFFFFF"/>
        <rFont val="游ゴシック"/>
        <family val="0"/>
        <charset val="1"/>
      </rPr>
      <t xml:space="preserve">15</t>
    </r>
    <r>
      <rPr>
        <b val="true"/>
        <sz val="10"/>
        <color rgb="FFFFFFFF"/>
        <rFont val="WenQuanYi Zen Hei"/>
        <family val="2"/>
      </rPr>
      <t xml:space="preserve">時台</t>
    </r>
  </si>
  <si>
    <r>
      <rPr>
        <b val="true"/>
        <sz val="10"/>
        <color rgb="FFFFFFFF"/>
        <rFont val="游ゴシック"/>
        <family val="0"/>
        <charset val="1"/>
      </rPr>
      <t xml:space="preserve">16</t>
    </r>
    <r>
      <rPr>
        <b val="true"/>
        <sz val="10"/>
        <color rgb="FFFFFFFF"/>
        <rFont val="WenQuanYi Zen Hei"/>
        <family val="2"/>
      </rPr>
      <t xml:space="preserve">時台</t>
    </r>
  </si>
  <si>
    <r>
      <rPr>
        <b val="true"/>
        <sz val="10"/>
        <color rgb="FFFFFFFF"/>
        <rFont val="游ゴシック"/>
        <family val="0"/>
        <charset val="1"/>
      </rPr>
      <t xml:space="preserve">17</t>
    </r>
    <r>
      <rPr>
        <b val="true"/>
        <sz val="10"/>
        <color rgb="FFFFFFFF"/>
        <rFont val="WenQuanYi Zen Hei"/>
        <family val="2"/>
      </rPr>
      <t xml:space="preserve">時台</t>
    </r>
  </si>
  <si>
    <r>
      <rPr>
        <b val="true"/>
        <sz val="10"/>
        <color rgb="FFFFFFFF"/>
        <rFont val="游ゴシック"/>
        <family val="0"/>
        <charset val="1"/>
      </rPr>
      <t xml:space="preserve">18</t>
    </r>
    <r>
      <rPr>
        <b val="true"/>
        <sz val="10"/>
        <color rgb="FFFFFFFF"/>
        <rFont val="WenQuanYi Zen Hei"/>
        <family val="2"/>
      </rPr>
      <t xml:space="preserve">時台</t>
    </r>
  </si>
  <si>
    <r>
      <rPr>
        <b val="true"/>
        <sz val="10"/>
        <color rgb="FFFFFFFF"/>
        <rFont val="游ゴシック"/>
        <family val="0"/>
        <charset val="1"/>
      </rPr>
      <t xml:space="preserve">19</t>
    </r>
    <r>
      <rPr>
        <b val="true"/>
        <sz val="10"/>
        <color rgb="FFFFFFFF"/>
        <rFont val="WenQuanYi Zen Hei"/>
        <family val="2"/>
      </rPr>
      <t xml:space="preserve">時台</t>
    </r>
  </si>
  <si>
    <r>
      <rPr>
        <b val="true"/>
        <sz val="10"/>
        <color rgb="FFFFFFFF"/>
        <rFont val="游ゴシック"/>
        <family val="0"/>
        <charset val="1"/>
      </rPr>
      <t xml:space="preserve">20</t>
    </r>
    <r>
      <rPr>
        <b val="true"/>
        <sz val="10"/>
        <color rgb="FFFFFFFF"/>
        <rFont val="WenQuanYi Zen Hei"/>
        <family val="2"/>
      </rPr>
      <t xml:space="preserve">時台</t>
    </r>
  </si>
  <si>
    <r>
      <rPr>
        <b val="true"/>
        <sz val="10"/>
        <color rgb="FFFFFFFF"/>
        <rFont val="游ゴシック"/>
        <family val="0"/>
        <charset val="1"/>
      </rPr>
      <t xml:space="preserve">21</t>
    </r>
    <r>
      <rPr>
        <b val="true"/>
        <sz val="10"/>
        <color rgb="FFFFFFFF"/>
        <rFont val="WenQuanYi Zen Hei"/>
        <family val="2"/>
      </rPr>
      <t xml:space="preserve">時台</t>
    </r>
  </si>
  <si>
    <r>
      <rPr>
        <b val="true"/>
        <sz val="10"/>
        <color rgb="FFFFFFFF"/>
        <rFont val="游ゴシック"/>
        <family val="0"/>
        <charset val="1"/>
      </rPr>
      <t xml:space="preserve">22</t>
    </r>
    <r>
      <rPr>
        <b val="true"/>
        <sz val="10"/>
        <color rgb="FFFFFFFF"/>
        <rFont val="WenQuanYi Zen Hei"/>
        <family val="2"/>
      </rPr>
      <t xml:space="preserve">時台</t>
    </r>
  </si>
  <si>
    <r>
      <rPr>
        <b val="true"/>
        <sz val="10"/>
        <color rgb="FFFFFFFF"/>
        <rFont val="游ゴシック"/>
        <family val="0"/>
        <charset val="1"/>
      </rPr>
      <t xml:space="preserve">23</t>
    </r>
    <r>
      <rPr>
        <b val="true"/>
        <sz val="10"/>
        <color rgb="FFFFFFFF"/>
        <rFont val="WenQuanYi Zen Hei"/>
        <family val="2"/>
      </rPr>
      <t xml:space="preserve">時台</t>
    </r>
  </si>
  <si>
    <t xml:space="preserve">運転の判定に関わるデータの欠け・異常</t>
  </si>
  <si>
    <t xml:space="preserve">対象</t>
  </si>
  <si>
    <t xml:space="preserve">期間</t>
  </si>
  <si>
    <t xml:space="preserve">扱い</t>
  </si>
  <si>
    <r>
      <rPr>
        <sz val="10"/>
        <color rgb="FF172033"/>
        <rFont val="游ゴシック"/>
        <family val="0"/>
        <charset val="1"/>
      </rPr>
      <t xml:space="preserve">3-1 </t>
    </r>
    <r>
      <rPr>
        <sz val="10"/>
        <color rgb="FF172033"/>
        <rFont val="WenQuanYi Zen Hei"/>
        <family val="2"/>
      </rPr>
      <t xml:space="preserve">北側吸気（</t>
    </r>
    <r>
      <rPr>
        <sz val="10"/>
        <color rgb="FF172033"/>
        <rFont val="游ゴシック"/>
        <family val="0"/>
        <charset val="1"/>
      </rPr>
      <t xml:space="preserve">F</t>
    </r>
    <r>
      <rPr>
        <sz val="10"/>
        <color rgb="FF172033"/>
        <rFont val="WenQuanYi Zen Hei"/>
        <family val="2"/>
      </rPr>
      <t xml:space="preserve">列）</t>
    </r>
  </si>
  <si>
    <r>
      <rPr>
        <sz val="10"/>
        <color rgb="FF172033"/>
        <rFont val="游ゴシック"/>
        <family val="0"/>
        <charset val="1"/>
      </rPr>
      <t xml:space="preserve">9/14 18:47</t>
    </r>
    <r>
      <rPr>
        <sz val="10"/>
        <color rgb="FF172033"/>
        <rFont val="WenQuanYi Zen Hei"/>
        <family val="2"/>
      </rPr>
      <t xml:space="preserve">〜</t>
    </r>
    <r>
      <rPr>
        <sz val="10"/>
        <color rgb="FF172033"/>
        <rFont val="游ゴシック"/>
        <family val="0"/>
        <charset val="1"/>
      </rPr>
      <t xml:space="preserve">9/22 11:40</t>
    </r>
  </si>
  <si>
    <r>
      <rPr>
        <sz val="10"/>
        <color rgb="FF172033"/>
        <rFont val="WenQuanYi Zen Hei"/>
        <family val="2"/>
      </rPr>
      <t xml:space="preserve">夜間（全台停止）に周りの吸気温度より＋</t>
    </r>
    <r>
      <rPr>
        <sz val="10"/>
        <color rgb="FF172033"/>
        <rFont val="游ゴシック"/>
        <family val="0"/>
        <charset val="1"/>
      </rPr>
      <t xml:space="preserve">3.4</t>
    </r>
    <r>
      <rPr>
        <sz val="10"/>
        <color rgb="FF172033"/>
        <rFont val="WenQuanYi Zen Hei"/>
        <family val="2"/>
      </rPr>
      <t xml:space="preserve">〜＋</t>
    </r>
    <r>
      <rPr>
        <sz val="10"/>
        <color rgb="FF172033"/>
        <rFont val="游ゴシック"/>
        <family val="0"/>
        <charset val="1"/>
      </rPr>
      <t xml:space="preserve">4.4℃</t>
    </r>
    <r>
      <rPr>
        <sz val="10"/>
        <color rgb="FF172033"/>
        <rFont val="WenQuanYi Zen Hei"/>
        <family val="2"/>
      </rPr>
      <t xml:space="preserve">高い。急に高くなり、急に戻る</t>
    </r>
  </si>
  <si>
    <r>
      <rPr>
        <sz val="10"/>
        <color rgb="FF172033"/>
        <rFont val="WenQuanYi Zen Hei"/>
        <family val="2"/>
      </rPr>
      <t xml:space="preserve">この期間は使わない（</t>
    </r>
    <r>
      <rPr>
        <sz val="10"/>
        <color rgb="FF172033"/>
        <rFont val="游ゴシック"/>
        <family val="0"/>
        <charset val="1"/>
      </rPr>
      <t xml:space="preserve">3-1</t>
    </r>
    <r>
      <rPr>
        <sz val="10"/>
        <color rgb="FF172033"/>
        <rFont val="WenQuanYi Zen Hei"/>
        <family val="2"/>
      </rPr>
      <t xml:space="preserve">は正面・南側の</t>
    </r>
    <r>
      <rPr>
        <sz val="10"/>
        <color rgb="FF172033"/>
        <rFont val="游ゴシック"/>
        <family val="0"/>
        <charset val="1"/>
      </rPr>
      <t xml:space="preserve">2</t>
    </r>
    <r>
      <rPr>
        <sz val="10"/>
        <color rgb="FF172033"/>
        <rFont val="WenQuanYi Zen Hei"/>
        <family val="2"/>
      </rPr>
      <t xml:space="preserve">方位で計算）。今回見つけた異常</t>
    </r>
  </si>
  <si>
    <r>
      <rPr>
        <sz val="10"/>
        <color rgb="FF172033"/>
        <rFont val="游ゴシック"/>
        <family val="0"/>
        <charset val="1"/>
      </rPr>
      <t xml:space="preserve">9/25 23:20</t>
    </r>
    <r>
      <rPr>
        <sz val="10"/>
        <color rgb="FF172033"/>
        <rFont val="WenQuanYi Zen Hei"/>
        <family val="2"/>
      </rPr>
      <t xml:space="preserve">〜</t>
    </r>
    <r>
      <rPr>
        <sz val="10"/>
        <color rgb="FF172033"/>
        <rFont val="游ゴシック"/>
        <family val="0"/>
        <charset val="1"/>
      </rPr>
      <t xml:space="preserve">10/1 11:13</t>
    </r>
  </si>
  <si>
    <r>
      <rPr>
        <sz val="10"/>
        <color rgb="FF172033"/>
        <rFont val="WenQuanYi Zen Hei"/>
        <family val="2"/>
      </rPr>
      <t xml:space="preserve">同じく＋</t>
    </r>
    <r>
      <rPr>
        <sz val="10"/>
        <color rgb="FF172033"/>
        <rFont val="游ゴシック"/>
        <family val="0"/>
        <charset val="1"/>
      </rPr>
      <t xml:space="preserve">6.4</t>
    </r>
    <r>
      <rPr>
        <sz val="10"/>
        <color rgb="FF172033"/>
        <rFont val="WenQuanYi Zen Hei"/>
        <family val="2"/>
      </rPr>
      <t xml:space="preserve">〜＋</t>
    </r>
    <r>
      <rPr>
        <sz val="10"/>
        <color rgb="FF172033"/>
        <rFont val="游ゴシック"/>
        <family val="0"/>
        <charset val="1"/>
      </rPr>
      <t xml:space="preserve">9.9℃</t>
    </r>
    <r>
      <rPr>
        <sz val="10"/>
        <color rgb="FF172033"/>
        <rFont val="WenQuanYi Zen Hei"/>
        <family val="2"/>
      </rPr>
      <t xml:space="preserve">高い。</t>
    </r>
    <r>
      <rPr>
        <sz val="10"/>
        <color rgb="FF172033"/>
        <rFont val="游ゴシック"/>
        <family val="0"/>
        <charset val="1"/>
      </rPr>
      <t xml:space="preserve">10/1</t>
    </r>
    <r>
      <rPr>
        <sz val="10"/>
        <color rgb="FF172033"/>
        <rFont val="WenQuanYi Zen Hei"/>
        <family val="2"/>
      </rPr>
      <t xml:space="preserve">のデータ回収で戻っている</t>
    </r>
  </si>
  <si>
    <t xml:space="preserve">同上</t>
  </si>
  <si>
    <r>
      <rPr>
        <sz val="10"/>
        <color rgb="FF172033"/>
        <rFont val="游ゴシック"/>
        <family val="0"/>
        <charset val="1"/>
      </rPr>
      <t xml:space="preserve">8-2 </t>
    </r>
    <r>
      <rPr>
        <sz val="10"/>
        <color rgb="FF172033"/>
        <rFont val="WenQuanYi Zen Hei"/>
        <family val="2"/>
      </rPr>
      <t xml:space="preserve">排気温度（</t>
    </r>
    <r>
      <rPr>
        <sz val="10"/>
        <color rgb="FF172033"/>
        <rFont val="游ゴシック"/>
        <family val="0"/>
        <charset val="1"/>
      </rPr>
      <t xml:space="preserve">AC</t>
    </r>
    <r>
      <rPr>
        <sz val="10"/>
        <color rgb="FF172033"/>
        <rFont val="WenQuanYi Zen Hei"/>
        <family val="2"/>
      </rPr>
      <t xml:space="preserve">列）</t>
    </r>
  </si>
  <si>
    <r>
      <rPr>
        <sz val="10"/>
        <color rgb="FF172033"/>
        <rFont val="游ゴシック"/>
        <family val="0"/>
        <charset val="1"/>
      </rPr>
      <t xml:space="preserve">8/14 15:10</t>
    </r>
    <r>
      <rPr>
        <sz val="10"/>
        <color rgb="FF172033"/>
        <rFont val="WenQuanYi Zen Hei"/>
        <family val="2"/>
      </rPr>
      <t xml:space="preserve">〜</t>
    </r>
    <r>
      <rPr>
        <sz val="10"/>
        <color rgb="FF172033"/>
        <rFont val="游ゴシック"/>
        <family val="0"/>
        <charset val="1"/>
      </rPr>
      <t xml:space="preserve">8/28 10:25</t>
    </r>
  </si>
  <si>
    <t xml:space="preserve">設置不良で欠損（これまでと同じ）</t>
  </si>
  <si>
    <r>
      <rPr>
        <sz val="10"/>
        <color rgb="FF172033"/>
        <rFont val="游ゴシック"/>
        <family val="0"/>
        <charset val="1"/>
      </rPr>
      <t xml:space="preserve">8-2</t>
    </r>
    <r>
      <rPr>
        <sz val="10"/>
        <color rgb="FF172033"/>
        <rFont val="WenQuanYi Zen Hei"/>
        <family val="2"/>
      </rPr>
      <t xml:space="preserve">は判定不能。組</t>
    </r>
    <r>
      <rPr>
        <sz val="10"/>
        <color rgb="FF172033"/>
        <rFont val="游ゴシック"/>
        <family val="0"/>
        <charset val="1"/>
      </rPr>
      <t xml:space="preserve">8-2</t>
    </r>
    <r>
      <rPr>
        <sz val="10"/>
        <color rgb="FF172033"/>
        <rFont val="WenQuanYi Zen Hei"/>
        <family val="2"/>
      </rPr>
      <t xml:space="preserve">と</t>
    </r>
    <r>
      <rPr>
        <sz val="10"/>
        <color rgb="FF172033"/>
        <rFont val="游ゴシック"/>
        <family val="0"/>
        <charset val="1"/>
      </rPr>
      <t xml:space="preserve">3-2</t>
    </r>
    <r>
      <rPr>
        <sz val="10"/>
        <color rgb="FF172033"/>
        <rFont val="WenQuanYi Zen Hei"/>
        <family val="2"/>
      </rPr>
      <t xml:space="preserve">、列</t>
    </r>
    <r>
      <rPr>
        <sz val="10"/>
        <color rgb="FF172033"/>
        <rFont val="游ゴシック"/>
        <family val="0"/>
        <charset val="1"/>
      </rPr>
      <t xml:space="preserve">8</t>
    </r>
    <r>
      <rPr>
        <sz val="10"/>
        <color rgb="FF172033"/>
        <rFont val="WenQuanYi Zen Hei"/>
        <family val="2"/>
      </rPr>
      <t xml:space="preserve">は使えない</t>
    </r>
  </si>
  <si>
    <r>
      <rPr>
        <sz val="10"/>
        <color rgb="FF172033"/>
        <rFont val="游ゴシック"/>
        <family val="0"/>
        <charset val="1"/>
      </rPr>
      <t xml:space="preserve">3-2 </t>
    </r>
    <r>
      <rPr>
        <sz val="10"/>
        <color rgb="FF172033"/>
        <rFont val="WenQuanYi Zen Hei"/>
        <family val="2"/>
      </rPr>
      <t xml:space="preserve">排気温度（</t>
    </r>
    <r>
      <rPr>
        <sz val="10"/>
        <color rgb="FF172033"/>
        <rFont val="游ゴシック"/>
        <family val="0"/>
        <charset val="1"/>
      </rPr>
      <t xml:space="preserve">J</t>
    </r>
    <r>
      <rPr>
        <sz val="10"/>
        <color rgb="FF172033"/>
        <rFont val="WenQuanYi Zen Hei"/>
        <family val="2"/>
      </rPr>
      <t xml:space="preserve">列）</t>
    </r>
  </si>
  <si>
    <r>
      <rPr>
        <sz val="10"/>
        <color rgb="FF172033"/>
        <rFont val="游ゴシック"/>
        <family val="0"/>
        <charset val="1"/>
      </rPr>
      <t xml:space="preserve">8/30</t>
    </r>
    <r>
      <rPr>
        <sz val="10"/>
        <color rgb="FF172033"/>
        <rFont val="WenQuanYi Zen Hei"/>
        <family val="2"/>
      </rPr>
      <t xml:space="preserve">〜</t>
    </r>
    <r>
      <rPr>
        <sz val="10"/>
        <color rgb="FF172033"/>
        <rFont val="游ゴシック"/>
        <family val="0"/>
        <charset val="1"/>
      </rPr>
      <t xml:space="preserve">9/7</t>
    </r>
    <r>
      <rPr>
        <sz val="10"/>
        <color rgb="FF172033"/>
        <rFont val="WenQuanYi Zen Hei"/>
        <family val="2"/>
      </rPr>
      <t xml:space="preserve">、</t>
    </r>
    <r>
      <rPr>
        <sz val="10"/>
        <color rgb="FF172033"/>
        <rFont val="游ゴシック"/>
        <family val="0"/>
        <charset val="1"/>
      </rPr>
      <t xml:space="preserve">9/14</t>
    </r>
    <r>
      <rPr>
        <sz val="10"/>
        <color rgb="FF172033"/>
        <rFont val="WenQuanYi Zen Hei"/>
        <family val="2"/>
      </rPr>
      <t xml:space="preserve">〜</t>
    </r>
    <r>
      <rPr>
        <sz val="10"/>
        <color rgb="FF172033"/>
        <rFont val="游ゴシック"/>
        <family val="0"/>
        <charset val="1"/>
      </rPr>
      <t xml:space="preserve">9/22</t>
    </r>
    <r>
      <rPr>
        <sz val="10"/>
        <color rgb="FF172033"/>
        <rFont val="WenQuanYi Zen Hei"/>
        <family val="2"/>
      </rPr>
      <t xml:space="preserve">ごろ</t>
    </r>
  </si>
  <si>
    <t xml:space="preserve">センサー不良で欠損が多い（エラー値・起こり得ない値を空欄にしたもの）</t>
  </si>
  <si>
    <r>
      <rPr>
        <sz val="10"/>
        <color rgb="FF172033"/>
        <rFont val="WenQuanYi Zen Hei"/>
        <family val="2"/>
      </rPr>
      <t xml:space="preserve">欠けた時間は判定不能。組</t>
    </r>
    <r>
      <rPr>
        <sz val="10"/>
        <color rgb="FF172033"/>
        <rFont val="游ゴシック"/>
        <family val="0"/>
        <charset val="1"/>
      </rPr>
      <t xml:space="preserve">8-2</t>
    </r>
    <r>
      <rPr>
        <sz val="10"/>
        <color rgb="FF172033"/>
        <rFont val="WenQuanYi Zen Hei"/>
        <family val="2"/>
      </rPr>
      <t xml:space="preserve">・</t>
    </r>
    <r>
      <rPr>
        <sz val="10"/>
        <color rgb="FF172033"/>
        <rFont val="游ゴシック"/>
        <family val="0"/>
        <charset val="1"/>
      </rPr>
      <t xml:space="preserve">11-2</t>
    </r>
    <r>
      <rPr>
        <sz val="10"/>
        <color rgb="FF172033"/>
        <rFont val="WenQuanYi Zen Hei"/>
        <family val="2"/>
      </rPr>
      <t xml:space="preserve">と</t>
    </r>
    <r>
      <rPr>
        <sz val="10"/>
        <color rgb="FF172033"/>
        <rFont val="游ゴシック"/>
        <family val="0"/>
        <charset val="1"/>
      </rPr>
      <t xml:space="preserve">3-2</t>
    </r>
    <r>
      <rPr>
        <sz val="10"/>
        <color rgb="FF172033"/>
        <rFont val="WenQuanYi Zen Hei"/>
        <family val="2"/>
      </rPr>
      <t xml:space="preserve">は使えない時間が多い</t>
    </r>
  </si>
  <si>
    <r>
      <rPr>
        <sz val="10"/>
        <color rgb="FF172033"/>
        <rFont val="游ゴシック"/>
        <family val="0"/>
        <charset val="1"/>
      </rPr>
      <t xml:space="preserve">OACP-11 </t>
    </r>
    <r>
      <rPr>
        <sz val="10"/>
        <color rgb="FF172033"/>
        <rFont val="WenQuanYi Zen Hei"/>
        <family val="2"/>
      </rPr>
      <t xml:space="preserve">の熱電対（</t>
    </r>
    <r>
      <rPr>
        <sz val="10"/>
        <color rgb="FF172033"/>
        <rFont val="游ゴシック"/>
        <family val="0"/>
        <charset val="1"/>
      </rPr>
      <t xml:space="preserve">AR</t>
    </r>
    <r>
      <rPr>
        <sz val="10"/>
        <color rgb="FF172033"/>
        <rFont val="WenQuanYi Zen Hei"/>
        <family val="2"/>
      </rPr>
      <t xml:space="preserve">〜</t>
    </r>
    <r>
      <rPr>
        <sz val="10"/>
        <color rgb="FF172033"/>
        <rFont val="游ゴシック"/>
        <family val="0"/>
        <charset val="1"/>
      </rPr>
      <t xml:space="preserve">BK</t>
    </r>
    <r>
      <rPr>
        <sz val="10"/>
        <color rgb="FF172033"/>
        <rFont val="WenQuanYi Zen Hei"/>
        <family val="2"/>
      </rPr>
      <t xml:space="preserve">列）</t>
    </r>
  </si>
  <si>
    <r>
      <rPr>
        <sz val="10"/>
        <color rgb="FF172033"/>
        <rFont val="游ゴシック"/>
        <family val="0"/>
        <charset val="1"/>
      </rPr>
      <t xml:space="preserve">9/14 17:23</t>
    </r>
    <r>
      <rPr>
        <sz val="10"/>
        <color rgb="FF172033"/>
        <rFont val="WenQuanYi Zen Hei"/>
        <family val="2"/>
      </rPr>
      <t xml:space="preserve">〜</t>
    </r>
    <r>
      <rPr>
        <sz val="10"/>
        <color rgb="FF172033"/>
        <rFont val="游ゴシック"/>
        <family val="0"/>
        <charset val="1"/>
      </rPr>
      <t xml:space="preserve">10/1 15:01</t>
    </r>
  </si>
  <si>
    <t xml:space="preserve">元データがない</t>
  </si>
  <si>
    <r>
      <rPr>
        <sz val="10"/>
        <color rgb="FF172033"/>
        <rFont val="WenQuanYi Zen Hei"/>
        <family val="2"/>
      </rPr>
      <t xml:space="preserve">列</t>
    </r>
    <r>
      <rPr>
        <sz val="10"/>
        <color rgb="FF172033"/>
        <rFont val="游ゴシック"/>
        <family val="0"/>
        <charset val="1"/>
      </rPr>
      <t xml:space="preserve">11</t>
    </r>
    <r>
      <rPr>
        <sz val="10"/>
        <color rgb="FF172033"/>
        <rFont val="WenQuanYi Zen Hei"/>
        <family val="2"/>
      </rPr>
      <t xml:space="preserve">はこの期間すべて判定不能</t>
    </r>
  </si>
  <si>
    <r>
      <rPr>
        <sz val="10"/>
        <color rgb="FF172033"/>
        <rFont val="游ゴシック"/>
        <family val="0"/>
        <charset val="1"/>
      </rPr>
      <t xml:space="preserve">8-2 </t>
    </r>
    <r>
      <rPr>
        <sz val="10"/>
        <color rgb="FF172033"/>
        <rFont val="WenQuanYi Zen Hei"/>
        <family val="2"/>
      </rPr>
      <t xml:space="preserve">の運転</t>
    </r>
  </si>
  <si>
    <r>
      <rPr>
        <sz val="10"/>
        <color rgb="FF172033"/>
        <rFont val="游ゴシック"/>
        <family val="0"/>
        <charset val="1"/>
      </rPr>
      <t xml:space="preserve">8/8</t>
    </r>
    <r>
      <rPr>
        <sz val="10"/>
        <color rgb="FF172033"/>
        <rFont val="WenQuanYi Zen Hei"/>
        <family val="2"/>
      </rPr>
      <t xml:space="preserve">〜</t>
    </r>
    <r>
      <rPr>
        <sz val="10"/>
        <color rgb="FF172033"/>
        <rFont val="游ゴシック"/>
        <family val="0"/>
        <charset val="1"/>
      </rPr>
      <t xml:space="preserve">8/14</t>
    </r>
  </si>
  <si>
    <r>
      <rPr>
        <sz val="10"/>
        <color rgb="FF172033"/>
        <rFont val="游ゴシック"/>
        <family val="0"/>
        <charset val="1"/>
      </rPr>
      <t xml:space="preserve">8-1</t>
    </r>
    <r>
      <rPr>
        <sz val="10"/>
        <color rgb="FF172033"/>
        <rFont val="WenQuanYi Zen Hei"/>
        <family val="2"/>
      </rPr>
      <t xml:space="preserve">・</t>
    </r>
    <r>
      <rPr>
        <sz val="10"/>
        <color rgb="FF172033"/>
        <rFont val="游ゴシック"/>
        <family val="0"/>
        <charset val="1"/>
      </rPr>
      <t xml:space="preserve">8-3</t>
    </r>
    <r>
      <rPr>
        <sz val="10"/>
        <color rgb="FF172033"/>
        <rFont val="WenQuanYi Zen Hei"/>
        <family val="2"/>
      </rPr>
      <t xml:space="preserve">は運転しているが、</t>
    </r>
    <r>
      <rPr>
        <sz val="10"/>
        <color rgb="FF172033"/>
        <rFont val="游ゴシック"/>
        <family val="0"/>
        <charset val="1"/>
      </rPr>
      <t xml:space="preserve">8-2</t>
    </r>
    <r>
      <rPr>
        <sz val="10"/>
        <color rgb="FF172033"/>
        <rFont val="WenQuanYi Zen Hei"/>
        <family val="2"/>
      </rPr>
      <t xml:space="preserve">は日中も停止（データはある）</t>
    </r>
  </si>
  <si>
    <t xml:space="preserve">判定どおり「運転がそろわない」として使わない</t>
  </si>
  <si>
    <r>
      <rPr>
        <sz val="10"/>
        <color rgb="FF172033"/>
        <rFont val="游ゴシック"/>
        <family val="0"/>
        <charset val="1"/>
      </rPr>
      <t xml:space="preserve">3-3 </t>
    </r>
    <r>
      <rPr>
        <sz val="10"/>
        <color rgb="FF172033"/>
        <rFont val="WenQuanYi Zen Hei"/>
        <family val="2"/>
      </rPr>
      <t xml:space="preserve">の運転</t>
    </r>
  </si>
  <si>
    <r>
      <rPr>
        <sz val="10"/>
        <color rgb="FF172033"/>
        <rFont val="游ゴシック"/>
        <family val="0"/>
        <charset val="1"/>
      </rPr>
      <t xml:space="preserve">7/29</t>
    </r>
    <r>
      <rPr>
        <sz val="10"/>
        <color rgb="FF172033"/>
        <rFont val="WenQuanYi Zen Hei"/>
        <family val="2"/>
      </rPr>
      <t xml:space="preserve">〜</t>
    </r>
    <r>
      <rPr>
        <sz val="10"/>
        <color rgb="FF172033"/>
        <rFont val="游ゴシック"/>
        <family val="0"/>
        <charset val="1"/>
      </rPr>
      <t xml:space="preserve">8/14</t>
    </r>
    <r>
      <rPr>
        <sz val="10"/>
        <color rgb="FF172033"/>
        <rFont val="WenQuanYi Zen Hei"/>
        <family val="2"/>
      </rPr>
      <t xml:space="preserve">、</t>
    </r>
    <r>
      <rPr>
        <sz val="10"/>
        <color rgb="FF172033"/>
        <rFont val="游ゴシック"/>
        <family val="0"/>
        <charset val="1"/>
      </rPr>
      <t xml:space="preserve">9/2</t>
    </r>
    <r>
      <rPr>
        <sz val="10"/>
        <color rgb="FF172033"/>
        <rFont val="WenQuanYi Zen Hei"/>
        <family val="2"/>
      </rPr>
      <t xml:space="preserve">〜</t>
    </r>
    <r>
      <rPr>
        <sz val="10"/>
        <color rgb="FF172033"/>
        <rFont val="游ゴシック"/>
        <family val="0"/>
        <charset val="1"/>
      </rPr>
      <t xml:space="preserve">9/7</t>
    </r>
  </si>
  <si>
    <r>
      <rPr>
        <sz val="10"/>
        <color rgb="FF172033"/>
        <rFont val="WenQuanYi Zen Hei"/>
        <family val="2"/>
      </rPr>
      <t xml:space="preserve">夜間も運転（</t>
    </r>
    <r>
      <rPr>
        <sz val="10"/>
        <color rgb="FF172033"/>
        <rFont val="游ゴシック"/>
        <family val="0"/>
        <charset val="1"/>
      </rPr>
      <t xml:space="preserve">24</t>
    </r>
    <r>
      <rPr>
        <sz val="10"/>
        <color rgb="FF172033"/>
        <rFont val="WenQuanYi Zen Hei"/>
        <family val="2"/>
      </rPr>
      <t xml:space="preserve">時間運転）</t>
    </r>
  </si>
  <si>
    <r>
      <rPr>
        <sz val="10"/>
        <color rgb="FF172033"/>
        <rFont val="WenQuanYi Zen Hei"/>
        <family val="2"/>
      </rPr>
      <t xml:space="preserve">夜間は</t>
    </r>
    <r>
      <rPr>
        <sz val="10"/>
        <color rgb="FF172033"/>
        <rFont val="游ゴシック"/>
        <family val="0"/>
        <charset val="1"/>
      </rPr>
      <t xml:space="preserve">8-3</t>
    </r>
    <r>
      <rPr>
        <sz val="10"/>
        <color rgb="FF172033"/>
        <rFont val="WenQuanYi Zen Hei"/>
        <family val="2"/>
      </rPr>
      <t xml:space="preserve">・</t>
    </r>
    <r>
      <rPr>
        <sz val="10"/>
        <color rgb="FF172033"/>
        <rFont val="游ゴシック"/>
        <family val="0"/>
        <charset val="1"/>
      </rPr>
      <t xml:space="preserve">11-3</t>
    </r>
    <r>
      <rPr>
        <sz val="10"/>
        <color rgb="FF172033"/>
        <rFont val="WenQuanYi Zen Hei"/>
        <family val="2"/>
      </rPr>
      <t xml:space="preserve">が停止しているため「運転がそろわない」</t>
    </r>
  </si>
  <si>
    <t xml:space="preserve">ロガーの回収</t>
  </si>
  <si>
    <r>
      <rPr>
        <sz val="10"/>
        <color rgb="FF172033"/>
        <rFont val="游ゴシック"/>
        <family val="0"/>
        <charset val="1"/>
      </rPr>
      <t xml:space="preserve">8/14</t>
    </r>
    <r>
      <rPr>
        <sz val="10"/>
        <color rgb="FF172033"/>
        <rFont val="WenQuanYi Zen Hei"/>
        <family val="2"/>
      </rPr>
      <t xml:space="preserve">・</t>
    </r>
    <r>
      <rPr>
        <sz val="10"/>
        <color rgb="FF172033"/>
        <rFont val="游ゴシック"/>
        <family val="0"/>
        <charset val="1"/>
      </rPr>
      <t xml:space="preserve">8/28</t>
    </r>
    <r>
      <rPr>
        <sz val="10"/>
        <color rgb="FF172033"/>
        <rFont val="WenQuanYi Zen Hei"/>
        <family val="2"/>
      </rPr>
      <t xml:space="preserve">・</t>
    </r>
    <r>
      <rPr>
        <sz val="10"/>
        <color rgb="FF172033"/>
        <rFont val="游ゴシック"/>
        <family val="0"/>
        <charset val="1"/>
      </rPr>
      <t xml:space="preserve">9/7</t>
    </r>
    <r>
      <rPr>
        <sz val="10"/>
        <color rgb="FF172033"/>
        <rFont val="WenQuanYi Zen Hei"/>
        <family val="2"/>
      </rPr>
      <t xml:space="preserve">・</t>
    </r>
    <r>
      <rPr>
        <sz val="10"/>
        <color rgb="FF172033"/>
        <rFont val="游ゴシック"/>
        <family val="0"/>
        <charset val="1"/>
      </rPr>
      <t xml:space="preserve">9/14</t>
    </r>
    <r>
      <rPr>
        <sz val="10"/>
        <color rgb="FF172033"/>
        <rFont val="WenQuanYi Zen Hei"/>
        <family val="2"/>
      </rPr>
      <t xml:space="preserve">・</t>
    </r>
    <r>
      <rPr>
        <sz val="10"/>
        <color rgb="FF172033"/>
        <rFont val="游ゴシック"/>
        <family val="0"/>
        <charset val="1"/>
      </rPr>
      <t xml:space="preserve">10/1</t>
    </r>
    <r>
      <rPr>
        <sz val="10"/>
        <color rgb="FF172033"/>
        <rFont val="WenQuanYi Zen Hei"/>
        <family val="2"/>
      </rPr>
      <t xml:space="preserve">・</t>
    </r>
    <r>
      <rPr>
        <sz val="10"/>
        <color rgb="FF172033"/>
        <rFont val="游ゴシック"/>
        <family val="0"/>
        <charset val="1"/>
      </rPr>
      <t xml:space="preserve">10/13</t>
    </r>
  </si>
  <si>
    <r>
      <rPr>
        <sz val="10"/>
        <color rgb="FF172033"/>
        <rFont val="WenQuanYi Zen Hei"/>
        <family val="2"/>
      </rPr>
      <t xml:space="preserve">回収作業で数分〜</t>
    </r>
    <r>
      <rPr>
        <sz val="10"/>
        <color rgb="FF172033"/>
        <rFont val="游ゴシック"/>
        <family val="0"/>
        <charset val="1"/>
      </rPr>
      <t xml:space="preserve">1</t>
    </r>
    <r>
      <rPr>
        <sz val="10"/>
        <color rgb="FF172033"/>
        <rFont val="WenQuanYi Zen Hei"/>
        <family val="2"/>
      </rPr>
      <t xml:space="preserve">時間ほど記録が止まる</t>
    </r>
  </si>
  <si>
    <r>
      <rPr>
        <sz val="10"/>
        <color rgb="FF172033"/>
        <rFont val="WenQuanYi Zen Hei"/>
        <family val="2"/>
      </rPr>
      <t xml:space="preserve">有効データが</t>
    </r>
    <r>
      <rPr>
        <sz val="10"/>
        <color rgb="FF172033"/>
        <rFont val="游ゴシック"/>
        <family val="0"/>
        <charset val="1"/>
      </rPr>
      <t xml:space="preserve">48</t>
    </r>
    <r>
      <rPr>
        <sz val="10"/>
        <color rgb="FF172033"/>
        <rFont val="WenQuanYi Zen Hei"/>
        <family val="2"/>
      </rPr>
      <t xml:space="preserve">分未満の時間は判定不能</t>
    </r>
  </si>
  <si>
    <t xml:space="preserve">10/13</t>
  </si>
  <si>
    <r>
      <rPr>
        <sz val="10"/>
        <color rgb="FF172033"/>
        <rFont val="游ゴシック"/>
        <family val="0"/>
        <charset val="1"/>
      </rPr>
      <t xml:space="preserve">14</t>
    </r>
    <r>
      <rPr>
        <sz val="10"/>
        <color rgb="FF172033"/>
        <rFont val="WenQuanYi Zen Hei"/>
        <family val="2"/>
      </rPr>
      <t xml:space="preserve">時台以降</t>
    </r>
  </si>
  <si>
    <r>
      <rPr>
        <sz val="10"/>
        <color rgb="FF172033"/>
        <rFont val="WenQuanYi Zen Hei"/>
        <family val="2"/>
      </rPr>
      <t xml:space="preserve">記録の終わり（</t>
    </r>
    <r>
      <rPr>
        <sz val="10"/>
        <color rgb="FF172033"/>
        <rFont val="游ゴシック"/>
        <family val="0"/>
        <charset val="1"/>
      </rPr>
      <t xml:space="preserve">3</t>
    </r>
    <r>
      <rPr>
        <sz val="10"/>
        <color rgb="FF172033"/>
        <rFont val="WenQuanYi Zen Hei"/>
        <family val="2"/>
      </rPr>
      <t xml:space="preserve">列</t>
    </r>
    <r>
      <rPr>
        <sz val="10"/>
        <color rgb="FF172033"/>
        <rFont val="游ゴシック"/>
        <family val="0"/>
        <charset val="1"/>
      </rPr>
      <t xml:space="preserve">14:16</t>
    </r>
    <r>
      <rPr>
        <sz val="10"/>
        <color rgb="FF172033"/>
        <rFont val="WenQuanYi Zen Hei"/>
        <family val="2"/>
      </rPr>
      <t xml:space="preserve">、</t>
    </r>
    <r>
      <rPr>
        <sz val="10"/>
        <color rgb="FF172033"/>
        <rFont val="游ゴシック"/>
        <family val="0"/>
        <charset val="1"/>
      </rPr>
      <t xml:space="preserve">8</t>
    </r>
    <r>
      <rPr>
        <sz val="10"/>
        <color rgb="FF172033"/>
        <rFont val="WenQuanYi Zen Hei"/>
        <family val="2"/>
      </rPr>
      <t xml:space="preserve">列</t>
    </r>
    <r>
      <rPr>
        <sz val="10"/>
        <color rgb="FF172033"/>
        <rFont val="游ゴシック"/>
        <family val="0"/>
        <charset val="1"/>
      </rPr>
      <t xml:space="preserve">13:43</t>
    </r>
    <r>
      <rPr>
        <sz val="10"/>
        <color rgb="FF172033"/>
        <rFont val="WenQuanYi Zen Hei"/>
        <family val="2"/>
      </rPr>
      <t xml:space="preserve">、</t>
    </r>
    <r>
      <rPr>
        <sz val="10"/>
        <color rgb="FF172033"/>
        <rFont val="游ゴシック"/>
        <family val="0"/>
        <charset val="1"/>
      </rPr>
      <t xml:space="preserve">11</t>
    </r>
    <r>
      <rPr>
        <sz val="10"/>
        <color rgb="FF172033"/>
        <rFont val="WenQuanYi Zen Hei"/>
        <family val="2"/>
      </rPr>
      <t xml:space="preserve">列</t>
    </r>
    <r>
      <rPr>
        <sz val="10"/>
        <color rgb="FF172033"/>
        <rFont val="游ゴシック"/>
        <family val="0"/>
        <charset val="1"/>
      </rPr>
      <t xml:space="preserve">14:01</t>
    </r>
    <r>
      <rPr>
        <sz val="10"/>
        <color rgb="FF172033"/>
        <rFont val="WenQuanYi Zen Hei"/>
        <family val="2"/>
      </rPr>
      <t xml:space="preserve">）</t>
    </r>
  </si>
  <si>
    <t xml:space="preserve">（参考）屋上の気象</t>
  </si>
  <si>
    <r>
      <rPr>
        <sz val="10"/>
        <color rgb="FF172033"/>
        <rFont val="游ゴシック"/>
        <family val="0"/>
        <charset val="1"/>
      </rPr>
      <t xml:space="preserve">9/14</t>
    </r>
    <r>
      <rPr>
        <sz val="10"/>
        <color rgb="FF172033"/>
        <rFont val="WenQuanYi Zen Hei"/>
        <family val="2"/>
      </rPr>
      <t xml:space="preserve">、</t>
    </r>
    <r>
      <rPr>
        <sz val="10"/>
        <color rgb="FF172033"/>
        <rFont val="游ゴシック"/>
        <family val="0"/>
        <charset val="1"/>
      </rPr>
      <t xml:space="preserve">10/13</t>
    </r>
  </si>
  <si>
    <t xml:space="preserve">マルチ環境計測計のデータがない（運転の判定には使わない）</t>
  </si>
  <si>
    <r>
      <rPr>
        <sz val="10"/>
        <color rgb="FF172033"/>
        <rFont val="WenQuanYi Zen Hei"/>
        <family val="2"/>
      </rPr>
      <t xml:space="preserve">天気・気温を使う分析ではこの</t>
    </r>
    <r>
      <rPr>
        <sz val="10"/>
        <color rgb="FF172033"/>
        <rFont val="游ゴシック"/>
        <family val="0"/>
        <charset val="1"/>
      </rPr>
      <t xml:space="preserve">2</t>
    </r>
    <r>
      <rPr>
        <sz val="10"/>
        <color rgb="FF172033"/>
        <rFont val="WenQuanYi Zen Hei"/>
        <family val="2"/>
      </rPr>
      <t xml:space="preserve">日間を除く</t>
    </r>
  </si>
  <si>
    <r>
      <rPr>
        <b val="true"/>
        <sz val="10"/>
        <color rgb="FF172033"/>
        <rFont val="WenQuanYi Zen Hei"/>
        <family val="2"/>
      </rPr>
      <t xml:space="preserve">①のしきい値（排気−吸気）を変えたときの、日中の利用可の時間数（⑤＝</t>
    </r>
    <r>
      <rPr>
        <b val="true"/>
        <sz val="10"/>
        <color rgb="FF172033"/>
        <rFont val="游ゴシック"/>
        <family val="0"/>
        <charset val="1"/>
      </rPr>
      <t xml:space="preserve">30</t>
    </r>
    <r>
      <rPr>
        <b val="true"/>
        <sz val="10"/>
        <color rgb="FF172033"/>
        <rFont val="WenQuanYi Zen Hei"/>
        <family val="2"/>
      </rPr>
      <t xml:space="preserve">分、⑥〜⑦＝</t>
    </r>
    <r>
      <rPr>
        <b val="true"/>
        <sz val="10"/>
        <color rgb="FF172033"/>
        <rFont val="游ゴシック"/>
        <family val="0"/>
        <charset val="1"/>
      </rPr>
      <t xml:space="preserve">9</t>
    </r>
    <r>
      <rPr>
        <b val="true"/>
        <sz val="10"/>
        <color rgb="FF172033"/>
        <rFont val="WenQuanYi Zen Hei"/>
        <family val="2"/>
      </rPr>
      <t xml:space="preserve">〜</t>
    </r>
    <r>
      <rPr>
        <b val="true"/>
        <sz val="10"/>
        <color rgb="FF172033"/>
        <rFont val="游ゴシック"/>
        <family val="0"/>
        <charset val="1"/>
      </rPr>
      <t xml:space="preserve">17</t>
    </r>
    <r>
      <rPr>
        <b val="true"/>
        <sz val="10"/>
        <color rgb="FF172033"/>
        <rFont val="WenQuanYi Zen Hei"/>
        <family val="2"/>
      </rPr>
      <t xml:space="preserve">時台。</t>
    </r>
    <r>
      <rPr>
        <b val="true"/>
        <sz val="10"/>
        <color rgb="FF172033"/>
        <rFont val="游ゴシック"/>
        <family val="0"/>
        <charset val="1"/>
      </rPr>
      <t xml:space="preserve">Python</t>
    </r>
    <r>
      <rPr>
        <b val="true"/>
        <sz val="10"/>
        <color rgb="FF172033"/>
        <rFont val="WenQuanYi Zen Hei"/>
        <family val="2"/>
      </rPr>
      <t xml:space="preserve">で計算した値）</t>
    </r>
  </si>
  <si>
    <t xml:space="preserve">しきい値［℃］</t>
  </si>
  <si>
    <r>
      <rPr>
        <b val="true"/>
        <sz val="10"/>
        <color rgb="FFFFFFFF"/>
        <rFont val="WenQuanYi Zen Hei"/>
        <family val="2"/>
      </rPr>
      <t xml:space="preserve">室外機の判定が</t>
    </r>
    <r>
      <rPr>
        <b val="true"/>
        <sz val="10"/>
        <color rgb="FFFFFFFF"/>
        <rFont val="游ゴシック"/>
        <family val="0"/>
        <charset val="1"/>
      </rPr>
      <t xml:space="preserve">1.0℃</t>
    </r>
    <r>
      <rPr>
        <b val="true"/>
        <sz val="10"/>
        <color rgb="FFFFFFFF"/>
        <rFont val="WenQuanYi Zen Hei"/>
        <family val="2"/>
      </rPr>
      <t xml:space="preserve">のときと変わる割合</t>
    </r>
  </si>
  <si>
    <r>
      <rPr>
        <sz val="9"/>
        <color rgb="FF5E6B7A"/>
        <rFont val="游ゴシック"/>
        <family val="0"/>
        <charset val="1"/>
      </rPr>
      <t xml:space="preserve">1.0℃</t>
    </r>
    <r>
      <rPr>
        <sz val="9"/>
        <color rgb="FF5E6B7A"/>
        <rFont val="WenQuanYi Zen Hei"/>
        <family val="2"/>
      </rPr>
      <t xml:space="preserve">は、停止中（約</t>
    </r>
    <r>
      <rPr>
        <sz val="9"/>
        <color rgb="FF5E6B7A"/>
        <rFont val="游ゴシック"/>
        <family val="0"/>
        <charset val="1"/>
      </rPr>
      <t xml:space="preserve">0℃</t>
    </r>
    <r>
      <rPr>
        <sz val="9"/>
        <color rgb="FF5E6B7A"/>
        <rFont val="WenQuanYi Zen Hei"/>
        <family val="2"/>
      </rPr>
      <t xml:space="preserve">）と運転中（</t>
    </r>
    <r>
      <rPr>
        <sz val="9"/>
        <color rgb="FF5E6B7A"/>
        <rFont val="游ゴシック"/>
        <family val="0"/>
        <charset val="1"/>
      </rPr>
      <t xml:space="preserve">2</t>
    </r>
    <r>
      <rPr>
        <sz val="9"/>
        <color rgb="FF5E6B7A"/>
        <rFont val="WenQuanYi Zen Hei"/>
        <family val="2"/>
      </rPr>
      <t xml:space="preserve">〜</t>
    </r>
    <r>
      <rPr>
        <sz val="9"/>
        <color rgb="FF5E6B7A"/>
        <rFont val="游ゴシック"/>
        <family val="0"/>
        <charset val="1"/>
      </rPr>
      <t xml:space="preserve">10℃</t>
    </r>
    <r>
      <rPr>
        <sz val="9"/>
        <color rgb="FF5E6B7A"/>
        <rFont val="WenQuanYi Zen Hei"/>
        <family val="2"/>
      </rPr>
      <t xml:space="preserve">）の分布の谷にあたる。運転中は排気−吸気が</t>
    </r>
    <r>
      <rPr>
        <sz val="9"/>
        <color rgb="FF5E6B7A"/>
        <rFont val="游ゴシック"/>
        <family val="0"/>
        <charset val="1"/>
      </rPr>
      <t xml:space="preserve">0℃</t>
    </r>
    <r>
      <rPr>
        <sz val="9"/>
        <color rgb="FF5E6B7A"/>
        <rFont val="WenQuanYi Zen Hei"/>
        <family val="2"/>
      </rPr>
      <t xml:space="preserve">と</t>
    </r>
    <r>
      <rPr>
        <sz val="9"/>
        <color rgb="FF5E6B7A"/>
        <rFont val="游ゴシック"/>
        <family val="0"/>
        <charset val="1"/>
      </rPr>
      <t xml:space="preserve">5</t>
    </r>
    <r>
      <rPr>
        <sz val="9"/>
        <color rgb="FF5E6B7A"/>
        <rFont val="WenQuanYi Zen Hei"/>
        <family val="2"/>
      </rPr>
      <t xml:space="preserve">〜</t>
    </r>
    <r>
      <rPr>
        <sz val="9"/>
        <color rgb="FF5E6B7A"/>
        <rFont val="游ゴシック"/>
        <family val="0"/>
        <charset val="1"/>
      </rPr>
      <t xml:space="preserve">10℃</t>
    </r>
    <r>
      <rPr>
        <sz val="9"/>
        <color rgb="FF5E6B7A"/>
        <rFont val="WenQuanYi Zen Hei"/>
        <family val="2"/>
      </rPr>
      <t xml:space="preserve">の間を行き来するため、しきい値を変えて判定が変わるのは主に運転の始まり・終わりと低負荷の時間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</si>
</sst>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%"/>
    <numFmt numFmtId="167" formatCode="m/d"/>
    <numFmt numFmtId="168" formatCode="General"/>
    <numFmt numFmtId="169" formatCode="0.0"/>
    <numFmt numFmtId="170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2354F"/>
      <name val="WenQuanYi Zen Hei"/>
      <family val="2"/>
    </font>
    <font>
      <sz val="9"/>
      <color rgb="FF5E6B7A"/>
      <name val="WenQuanYi Zen Hei"/>
      <family val="2"/>
    </font>
    <font>
      <sz val="9"/>
      <color rgb="FF5E6B7A"/>
      <name val="游ゴシック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172033"/>
      <name val="游ゴシック"/>
      <family val="0"/>
      <charset val="1"/>
    </font>
    <font>
      <b val="true"/>
      <sz val="10"/>
      <color rgb="FF172033"/>
      <name val="WenQuanYi Zen Hei"/>
      <family val="2"/>
    </font>
    <font>
      <sz val="10"/>
      <color rgb="FF172033"/>
      <name val="WenQuanYi Zen Hei"/>
      <family val="2"/>
    </font>
    <font>
      <sz val="10"/>
      <color rgb="FF172033"/>
      <name val="游ゴシック"/>
      <family val="0"/>
      <charset val="1"/>
    </font>
    <font>
      <b val="true"/>
      <sz val="10"/>
      <color rgb="FF0000FF"/>
      <name val="游ゴシック"/>
      <family val="0"/>
      <charset val="1"/>
    </font>
    <font>
      <b val="true"/>
      <sz val="10"/>
      <color rgb="FFFFFFFF"/>
      <name val="游ゴシック"/>
      <family val="0"/>
      <charset val="1"/>
    </font>
    <font>
      <sz val="9"/>
      <color rgb="FF172033"/>
      <name val="游ゴシック"/>
      <family val="0"/>
      <charset val="1"/>
    </font>
    <font>
      <sz val="9"/>
      <color rgb="FF172033"/>
      <name val="WenQuanYi Zen Hei"/>
      <family val="2"/>
    </font>
    <font>
      <b val="true"/>
      <sz val="7"/>
      <color rgb="FFFFFFFF"/>
      <name val="游ゴシック"/>
      <family val="0"/>
      <charset val="1"/>
    </font>
    <font>
      <sz val="8"/>
      <color rgb="FF172033"/>
      <name val="游ゴシック"/>
      <family val="0"/>
      <charset val="1"/>
    </font>
    <font>
      <sz val="8"/>
      <color rgb="FF172033"/>
      <name val="WenQuanYi Zen Hei"/>
      <family val="2"/>
    </font>
    <font>
      <sz val="7"/>
      <color rgb="FF172033"/>
      <name val="WenQuanYi Zen Hei"/>
      <family val="2"/>
    </font>
    <font>
      <sz val="8"/>
      <color rgb="FFE66C64"/>
      <name val="WenQuanYi Zen Hei"/>
      <family val="2"/>
    </font>
  </fonts>
  <fills count="9">
    <fill>
      <patternFill patternType="none"/>
    </fill>
    <fill>
      <patternFill patternType="gray125"/>
    </fill>
    <fill>
      <patternFill patternType="solid">
        <fgColor rgb="FF22354F"/>
        <bgColor rgb="FF172033"/>
      </patternFill>
    </fill>
    <fill>
      <patternFill patternType="solid">
        <fgColor rgb="FFFFF2B3"/>
        <bgColor rgb="FFFFFF99"/>
      </patternFill>
    </fill>
    <fill>
      <patternFill patternType="solid">
        <fgColor rgb="FFB9E0AE"/>
        <bgColor rgb="FFC9D1DB"/>
      </patternFill>
    </fill>
    <fill>
      <patternFill patternType="solid">
        <fgColor rgb="FFD3D8DD"/>
        <bgColor rgb="FFC9D1DB"/>
      </patternFill>
    </fill>
    <fill>
      <patternFill patternType="solid">
        <fgColor rgb="FFF8CBAD"/>
        <bgColor rgb="FFD3D8DD"/>
      </patternFill>
    </fill>
    <fill>
      <patternFill patternType="solid">
        <fgColor rgb="FFFFFFFF"/>
        <bgColor rgb="FFEEF2F6"/>
      </patternFill>
    </fill>
    <fill>
      <patternFill patternType="solid">
        <fgColor rgb="FFEEF2F6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9D1DB"/>
      </left>
      <right style="thin">
        <color rgb="FFC9D1DB"/>
      </right>
      <top style="thin">
        <color rgb="FFC9D1DB"/>
      </top>
      <bottom style="thin">
        <color rgb="FFC9D1DB"/>
      </bottom>
      <diagonal/>
    </border>
    <border diagonalUp="false" diagonalDown="false">
      <left style="thin">
        <color rgb="FFC9D1DB"/>
      </left>
      <right/>
      <top style="thin">
        <color rgb="FFC9D1DB"/>
      </top>
      <bottom style="thin">
        <color rgb="FFC9D1DB"/>
      </bottom>
      <diagonal/>
    </border>
    <border diagonalUp="false" diagonalDown="false">
      <left style="thin">
        <color rgb="FFC9D1DB"/>
      </left>
      <right style="thin">
        <color rgb="FFC9D1DB"/>
      </right>
      <top style="thin">
        <color rgb="FFC9D1D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ont>
        <name val="游ゴシック"/>
        <charset val="1"/>
        <family val="0"/>
        <color rgb="FF172033"/>
        <sz val="9"/>
      </font>
      <fill>
        <patternFill>
          <bgColor rgb="FFB9E0AE"/>
        </patternFill>
      </fill>
    </dxf>
    <dxf>
      <font>
        <name val="游ゴシック"/>
        <charset val="1"/>
        <family val="0"/>
        <color rgb="FF172033"/>
        <sz val="9"/>
      </font>
      <fill>
        <patternFill>
          <bgColor rgb="FFF8CBAD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72033"/>
          <bgColor rgb="FF000000"/>
        </patternFill>
      </fill>
    </dxf>
    <dxf>
      <fill>
        <patternFill patternType="solid">
          <fgColor rgb="FF22354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9E0AE"/>
          <bgColor rgb="FF000000"/>
        </patternFill>
      </fill>
    </dxf>
    <dxf>
      <fill>
        <patternFill patternType="solid">
          <fgColor rgb="FFD3D8D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5E6B7A"/>
          <bgColor rgb="FF000000"/>
        </patternFill>
      </fill>
    </dxf>
    <dxf>
      <font>
        <name val="游ゴシック"/>
        <charset val="1"/>
        <family val="0"/>
        <color rgb="FF172033"/>
        <sz val="9"/>
      </font>
      <fill>
        <patternFill>
          <bgColor rgb="FFD3D8DD"/>
        </patternFill>
      </fill>
    </dxf>
    <dxf>
      <font>
        <name val="游ゴシック"/>
        <charset val="1"/>
        <family val="0"/>
        <color rgb="FF5E6B7A"/>
        <sz val="9"/>
      </font>
      <fill>
        <patternFill>
          <bgColor rgb="FFFFFFFF"/>
        </patternFill>
      </fill>
    </dxf>
    <dxf>
      <fill>
        <patternFill>
          <bgColor rgb="FFB9E0AE"/>
        </patternFill>
      </fill>
    </dxf>
    <dxf>
      <fill>
        <patternFill>
          <bgColor rgb="FFD3D8DD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8DD"/>
      <rgbColor rgb="FF808080"/>
      <rgbColor rgb="FF9999FF"/>
      <rgbColor rgb="FF993366"/>
      <rgbColor rgb="FFFFF2B3"/>
      <rgbColor rgb="FFEEF2F6"/>
      <rgbColor rgb="FF660066"/>
      <rgbColor rgb="FFE66C64"/>
      <rgbColor rgb="FF0066CC"/>
      <rgbColor rgb="FFC9D1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9E0A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E6B7A"/>
      <rgbColor rgb="FF969696"/>
      <rgbColor rgb="FF172033"/>
      <rgbColor rgb="FF339966"/>
      <rgbColor rgb="FF003300"/>
      <rgbColor rgb="FF333300"/>
      <rgbColor rgb="FF993300"/>
      <rgbColor rgb="FF993366"/>
      <rgbColor rgb="FF333399"/>
      <rgbColor rgb="FF2235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7.35" hidden="false" customHeight="false" outlineLevel="0" collapsed="false">
      <c r="B1" s="1" t="s">
        <v>0</v>
      </c>
    </row>
    <row r="2" customFormat="false" ht="30" hidden="false" customHeight="true" outlineLevel="0" collapsed="false">
      <c r="B2" s="2" t="s">
        <v>1</v>
      </c>
      <c r="C2" s="2"/>
      <c r="D2" s="2"/>
    </row>
    <row r="4" customFormat="false" ht="15" hidden="false" customHeight="false" outlineLevel="0" collapsed="false">
      <c r="B4" s="3" t="s">
        <v>2</v>
      </c>
      <c r="C4" s="3" t="s">
        <v>3</v>
      </c>
      <c r="D4" s="3" t="s">
        <v>4</v>
      </c>
    </row>
    <row r="5" customFormat="false" ht="45" hidden="false" customHeight="true" outlineLevel="0" collapsed="false">
      <c r="B5" s="4" t="s">
        <v>5</v>
      </c>
      <c r="C5" s="5" t="s">
        <v>6</v>
      </c>
      <c r="D5" s="6" t="s">
        <v>7</v>
      </c>
    </row>
    <row r="6" customFormat="false" ht="31.5" hidden="false" customHeight="true" outlineLevel="0" collapsed="false">
      <c r="B6" s="4" t="s">
        <v>8</v>
      </c>
      <c r="C6" s="7" t="n">
        <v>48</v>
      </c>
      <c r="D6" s="8" t="s">
        <v>9</v>
      </c>
    </row>
    <row r="7" customFormat="false" ht="31.5" hidden="false" customHeight="true" outlineLevel="0" collapsed="false">
      <c r="B7" s="9" t="s">
        <v>10</v>
      </c>
      <c r="C7" s="10" t="n">
        <v>0.8</v>
      </c>
      <c r="D7" s="6" t="s">
        <v>11</v>
      </c>
    </row>
    <row r="8" customFormat="false" ht="31.5" hidden="false" customHeight="true" outlineLevel="0" collapsed="false">
      <c r="B8" s="9" t="s">
        <v>12</v>
      </c>
      <c r="C8" s="10" t="n">
        <v>0.2</v>
      </c>
      <c r="D8" s="6" t="s">
        <v>13</v>
      </c>
    </row>
    <row r="9" customFormat="false" ht="31.5" hidden="false" customHeight="true" outlineLevel="0" collapsed="false">
      <c r="B9" s="9" t="s">
        <v>14</v>
      </c>
      <c r="C9" s="7" t="n">
        <v>30</v>
      </c>
      <c r="D9" s="6" t="s">
        <v>15</v>
      </c>
    </row>
    <row r="10" customFormat="false" ht="31.5" hidden="false" customHeight="true" outlineLevel="0" collapsed="false">
      <c r="B10" s="9" t="s">
        <v>16</v>
      </c>
      <c r="C10" s="7" t="n">
        <v>9</v>
      </c>
      <c r="D10" s="6" t="s">
        <v>17</v>
      </c>
    </row>
    <row r="11" customFormat="false" ht="31.5" hidden="false" customHeight="true" outlineLevel="0" collapsed="false">
      <c r="B11" s="9" t="s">
        <v>18</v>
      </c>
      <c r="C11" s="7" t="n">
        <v>17</v>
      </c>
      <c r="D11" s="6" t="s">
        <v>19</v>
      </c>
    </row>
    <row r="12" customFormat="false" ht="31.5" hidden="false" customHeight="true" outlineLevel="0" collapsed="false">
      <c r="B12" s="9" t="s">
        <v>20</v>
      </c>
      <c r="C12" s="7" t="n">
        <v>7</v>
      </c>
      <c r="D12" s="6" t="s">
        <v>21</v>
      </c>
    </row>
    <row r="14" customFormat="false" ht="15" hidden="false" customHeight="false" outlineLevel="0" collapsed="false">
      <c r="B14" s="11" t="s">
        <v>22</v>
      </c>
    </row>
    <row r="15" customFormat="false" ht="15" hidden="false" customHeight="false" outlineLevel="0" collapsed="false">
      <c r="B15" s="12" t="s">
        <v>23</v>
      </c>
      <c r="C15" s="13"/>
      <c r="D15" s="8" t="s">
        <v>24</v>
      </c>
    </row>
    <row r="16" customFormat="false" ht="15" hidden="false" customHeight="false" outlineLevel="0" collapsed="false">
      <c r="B16" s="14" t="s">
        <v>25</v>
      </c>
      <c r="C16" s="13"/>
      <c r="D16" s="8" t="s">
        <v>26</v>
      </c>
    </row>
    <row r="17" customFormat="false" ht="15" hidden="false" customHeight="false" outlineLevel="0" collapsed="false">
      <c r="B17" s="15" t="s">
        <v>27</v>
      </c>
      <c r="C17" s="13"/>
      <c r="D17" s="6" t="s">
        <v>28</v>
      </c>
    </row>
    <row r="18" customFormat="false" ht="15" hidden="false" customHeight="false" outlineLevel="0" collapsed="false">
      <c r="B18" s="16" t="s">
        <v>29</v>
      </c>
      <c r="C18" s="13"/>
      <c r="D18" s="6" t="s">
        <v>30</v>
      </c>
    </row>
    <row r="20" customFormat="false" ht="15" hidden="false" customHeight="false" outlineLevel="0" collapsed="false">
      <c r="B20" s="11" t="s">
        <v>31</v>
      </c>
    </row>
    <row r="21" customFormat="false" ht="15" hidden="false" customHeight="false" outlineLevel="0" collapsed="false">
      <c r="B21" s="3" t="s">
        <v>32</v>
      </c>
      <c r="C21" s="3" t="s">
        <v>33</v>
      </c>
      <c r="D21" s="3" t="s">
        <v>34</v>
      </c>
    </row>
    <row r="22" customFormat="false" ht="15" hidden="false" customHeight="false" outlineLevel="0" collapsed="false">
      <c r="B22" s="4" t="s">
        <v>35</v>
      </c>
      <c r="C22" s="13" t="n">
        <f aca="false">COUNTIFS(時間ごとの判定!$A$3:$A$1850,"&gt;="&amp;DATE(2026,7,30),時間ごとの判定!$B$3:$B$1850,"&gt;="&amp;判定条件!$C$10,時間ごとの判定!$B$3:$B$1850,"&lt;="&amp;判定条件!$C$11,時間ごとの判定!$AH$3:$AH$1850,"利用可")</f>
        <v>411</v>
      </c>
      <c r="D22" s="13" t="n">
        <f aca="false">COUNTIFS(日ごとの判定!$E$4:$E$79,"利用可")</f>
        <v>40</v>
      </c>
    </row>
    <row r="23" customFormat="false" ht="15" hidden="false" customHeight="false" outlineLevel="0" collapsed="false">
      <c r="B23" s="4" t="s">
        <v>36</v>
      </c>
      <c r="C23" s="13" t="n">
        <f aca="false">COUNTIFS(時間ごとの判定!$A$3:$A$1850,"&gt;="&amp;DATE(2026,7,30),時間ごとの判定!$B$3:$B$1850,"&gt;="&amp;判定条件!$C$10,時間ごとの判定!$B$3:$B$1850,"&lt;="&amp;判定条件!$C$11,時間ごとの判定!$AK$3:$AK$1850,"利用可")</f>
        <v>211</v>
      </c>
      <c r="D23" s="13" t="n">
        <f aca="false">COUNTIFS(日ごとの判定!$G$4:$G$79,"利用可")</f>
        <v>15</v>
      </c>
    </row>
    <row r="24" customFormat="false" ht="15" hidden="false" customHeight="false" outlineLevel="0" collapsed="false">
      <c r="B24" s="4" t="s">
        <v>37</v>
      </c>
      <c r="C24" s="13" t="n">
        <f aca="false">COUNTIFS(時間ごとの判定!$A$3:$A$1850,"&gt;="&amp;DATE(2026,7,30),時間ごとの判定!$B$3:$B$1850,"&gt;="&amp;判定条件!$C$10,時間ごとの判定!$B$3:$B$1850,"&lt;="&amp;判定条件!$C$11,時間ごとの判定!$AN$3:$AN$1850,"利用可")</f>
        <v>445</v>
      </c>
      <c r="D24" s="13" t="n">
        <f aca="false">COUNTIFS(日ごとの判定!$I$4:$I$79,"利用可")</f>
        <v>41</v>
      </c>
    </row>
    <row r="25" customFormat="false" ht="15" hidden="false" customHeight="false" outlineLevel="0" collapsed="false">
      <c r="B25" s="4" t="s">
        <v>38</v>
      </c>
      <c r="C25" s="13" t="n">
        <f aca="false">COUNTIFS(時間ごとの判定!$A$3:$A$1850,"&gt;="&amp;DATE(2026,7,30),時間ごとの判定!$B$3:$B$1850,"&gt;="&amp;判定条件!$C$10,時間ごとの判定!$B$3:$B$1850,"&lt;="&amp;判定条件!$C$11,時間ごとの判定!$AQ$3:$AQ$1850,"利用可")</f>
        <v>400</v>
      </c>
      <c r="D25" s="13" t="n">
        <f aca="false">COUNTIFS(日ごとの判定!$K$4:$K$79,"利用可")</f>
        <v>41</v>
      </c>
    </row>
    <row r="26" customFormat="false" ht="15" hidden="false" customHeight="false" outlineLevel="0" collapsed="false">
      <c r="B26" s="4" t="s">
        <v>39</v>
      </c>
      <c r="C26" s="13" t="n">
        <f aca="false">COUNTIFS(時間ごとの判定!$A$3:$A$1850,"&gt;="&amp;DATE(2026,7,30),時間ごとの判定!$B$3:$B$1850,"&gt;="&amp;判定条件!$C$10,時間ごとの判定!$B$3:$B$1850,"&lt;="&amp;判定条件!$C$11,時間ごとの判定!$AT$3:$AT$1850,"利用可")</f>
        <v>338</v>
      </c>
      <c r="D26" s="13" t="n">
        <f aca="false">COUNTIFS(日ごとの判定!$M$4:$M$79,"利用可")</f>
        <v>31</v>
      </c>
    </row>
    <row r="27" customFormat="false" ht="15" hidden="false" customHeight="false" outlineLevel="0" collapsed="false">
      <c r="B27" s="4" t="s">
        <v>40</v>
      </c>
      <c r="C27" s="13" t="n">
        <f aca="false">COUNTIFS(時間ごとの判定!$A$3:$A$1850,"&gt;="&amp;DATE(2026,7,30),時間ごとの判定!$B$3:$B$1850,"&gt;="&amp;判定条件!$C$10,時間ごとの判定!$B$3:$B$1850,"&lt;="&amp;判定条件!$C$11,時間ごとの判定!$AW$3:$AW$1850,"利用可")</f>
        <v>473</v>
      </c>
      <c r="D27" s="13" t="n">
        <f aca="false">COUNTIFS(日ごとの判定!$O$4:$O$79,"利用可")</f>
        <v>50</v>
      </c>
    </row>
    <row r="28" customFormat="false" ht="15" hidden="false" customHeight="false" outlineLevel="0" collapsed="false">
      <c r="B28" s="9" t="s">
        <v>41</v>
      </c>
      <c r="C28" s="13" t="n">
        <f aca="false">COUNTIFS(時間ごとの判定!$A$3:$A$1850,"&gt;="&amp;DATE(2026,7,30),時間ごとの判定!$B$3:$B$1850,"&gt;="&amp;判定条件!$C$10,時間ごとの判定!$B$3:$B$1850,"&lt;="&amp;判定条件!$C$11,時間ごとの判定!$AX$3:$AX$1850,"利用可")</f>
        <v>153</v>
      </c>
      <c r="D28" s="13" t="n">
        <f aca="false">COUNTIFS(日ごとの判定!$P$4:$P$79,"利用可")</f>
        <v>13</v>
      </c>
    </row>
    <row r="29" customFormat="false" ht="15" hidden="false" customHeight="false" outlineLevel="0" collapsed="false">
      <c r="B29" s="9" t="s">
        <v>42</v>
      </c>
      <c r="C29" s="13" t="n">
        <f aca="false">COUNTIFS(時間ごとの判定!$A$3:$A$1850,"&gt;="&amp;DATE(2026,7,30),時間ごとの判定!$B$3:$B$1850,"&gt;="&amp;判定条件!$C$10,時間ごとの判定!$B$3:$B$1850,"&lt;="&amp;判定条件!$C$11,時間ごとの判定!$AY$3:$AY$1850,"利用可")</f>
        <v>301</v>
      </c>
      <c r="D29" s="13" t="n">
        <f aca="false">COUNTIFS(日ごとの判定!$Q$4:$Q$79,"利用可")</f>
        <v>28</v>
      </c>
    </row>
    <row r="30" customFormat="false" ht="15" hidden="false" customHeight="false" outlineLevel="0" collapsed="false">
      <c r="B30" s="17" t="s">
        <v>43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8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7" min="16" style="0" width="11"/>
    <col collapsed="false" customWidth="true" hidden="false" outlineLevel="0" max="18" min="18" style="0" width="46"/>
  </cols>
  <sheetData>
    <row r="1" customFormat="false" ht="15" hidden="false" customHeight="true" outlineLevel="0" collapsed="false">
      <c r="A1" s="3" t="s">
        <v>44</v>
      </c>
      <c r="B1" s="3" t="s">
        <v>45</v>
      </c>
      <c r="C1" s="3" t="s">
        <v>46</v>
      </c>
      <c r="D1" s="18" t="s">
        <v>47</v>
      </c>
      <c r="E1" s="18"/>
      <c r="F1" s="18" t="s">
        <v>48</v>
      </c>
      <c r="G1" s="18"/>
      <c r="H1" s="18" t="s">
        <v>49</v>
      </c>
      <c r="I1" s="18"/>
      <c r="J1" s="18" t="s">
        <v>50</v>
      </c>
      <c r="K1" s="18"/>
      <c r="L1" s="18" t="s">
        <v>51</v>
      </c>
      <c r="M1" s="18"/>
      <c r="N1" s="18" t="s">
        <v>52</v>
      </c>
      <c r="O1" s="18"/>
      <c r="P1" s="19" t="s">
        <v>53</v>
      </c>
      <c r="Q1" s="19" t="s">
        <v>54</v>
      </c>
      <c r="R1" s="19" t="s">
        <v>55</v>
      </c>
    </row>
    <row r="2" customFormat="false" ht="42" hidden="false" customHeight="true" outlineLevel="0" collapsed="false">
      <c r="A2" s="3"/>
      <c r="B2" s="3"/>
      <c r="C2" s="3"/>
      <c r="D2" s="3" t="s">
        <v>56</v>
      </c>
      <c r="E2" s="3" t="s">
        <v>57</v>
      </c>
      <c r="F2" s="3" t="s">
        <v>56</v>
      </c>
      <c r="G2" s="3" t="s">
        <v>57</v>
      </c>
      <c r="H2" s="3" t="s">
        <v>56</v>
      </c>
      <c r="I2" s="3" t="s">
        <v>57</v>
      </c>
      <c r="J2" s="3" t="s">
        <v>56</v>
      </c>
      <c r="K2" s="3" t="s">
        <v>57</v>
      </c>
      <c r="L2" s="3" t="s">
        <v>56</v>
      </c>
      <c r="M2" s="3" t="s">
        <v>57</v>
      </c>
      <c r="N2" s="3" t="s">
        <v>56</v>
      </c>
      <c r="O2" s="3" t="s">
        <v>57</v>
      </c>
      <c r="P2" s="19"/>
      <c r="Q2" s="19"/>
      <c r="R2" s="19"/>
    </row>
    <row r="3" customFormat="false" ht="15" hidden="false" customHeight="false" outlineLevel="0" collapsed="false">
      <c r="A3" s="20" t="n">
        <v>46232</v>
      </c>
      <c r="B3" s="21" t="s">
        <v>58</v>
      </c>
      <c r="C3" s="21" t="s">
        <v>59</v>
      </c>
      <c r="D3" s="22" t="n">
        <f aca="false">COUNTIFS(時間ごとの判定!$A$3:$A$1850,$A3,時間ごとの判定!$B$3:$B$1850,"&gt;="&amp;判定条件!$C$10,時間ごとの判定!$B$3:$B$1850,"&lt;="&amp;判定条件!$C$11,時間ごとの判定!$AH$3:$AH$1850,"利用可")</f>
        <v>0</v>
      </c>
      <c r="E3" s="22" t="str">
        <f aca="false">IF(D3&gt;=判定条件!$C$12,"利用可","不可")</f>
        <v>不可</v>
      </c>
      <c r="F3" s="22" t="n">
        <f aca="false">COUNTIFS(時間ごとの判定!$A$3:$A$1850,$A3,時間ごとの判定!$B$3:$B$1850,"&gt;="&amp;判定条件!$C$10,時間ごとの判定!$B$3:$B$1850,"&lt;="&amp;判定条件!$C$11,時間ごとの判定!$AK$3:$AK$1850,"利用可")</f>
        <v>1</v>
      </c>
      <c r="G3" s="22" t="str">
        <f aca="false">IF(F3&gt;=判定条件!$C$12,"利用可","不可")</f>
        <v>不可</v>
      </c>
      <c r="H3" s="22" t="n">
        <f aca="false">COUNTIFS(時間ごとの判定!$A$3:$A$1850,$A3,時間ごとの判定!$B$3:$B$1850,"&gt;="&amp;判定条件!$C$10,時間ごとの判定!$B$3:$B$1850,"&lt;="&amp;判定条件!$C$11,時間ごとの判定!$AN$3:$AN$1850,"利用可")</f>
        <v>1</v>
      </c>
      <c r="I3" s="22" t="str">
        <f aca="false">IF(H3&gt;=判定条件!$C$12,"利用可","不可")</f>
        <v>不可</v>
      </c>
      <c r="J3" s="22" t="n">
        <f aca="false">COUNTIFS(時間ごとの判定!$A$3:$A$1850,$A3,時間ごとの判定!$B$3:$B$1850,"&gt;="&amp;判定条件!$C$10,時間ごとの判定!$B$3:$B$1850,"&lt;="&amp;判定条件!$C$11,時間ごとの判定!$AQ$3:$AQ$1850,"利用可")</f>
        <v>0</v>
      </c>
      <c r="K3" s="22" t="str">
        <f aca="false">IF(J3&gt;=判定条件!$C$12,"利用可","不可")</f>
        <v>不可</v>
      </c>
      <c r="L3" s="22" t="n">
        <f aca="false">COUNTIFS(時間ごとの判定!$A$3:$A$1850,$A3,時間ごとの判定!$B$3:$B$1850,"&gt;="&amp;判定条件!$C$10,時間ごとの判定!$B$3:$B$1850,"&lt;="&amp;判定条件!$C$11,時間ごとの判定!$AT$3:$AT$1850,"利用可")</f>
        <v>1</v>
      </c>
      <c r="M3" s="22" t="str">
        <f aca="false">IF(L3&gt;=判定条件!$C$12,"利用可","不可")</f>
        <v>不可</v>
      </c>
      <c r="N3" s="22" t="n">
        <f aca="false">COUNTIFS(時間ごとの判定!$A$3:$A$1850,$A3,時間ごとの判定!$B$3:$B$1850,"&gt;="&amp;判定条件!$C$10,時間ごとの判定!$B$3:$B$1850,"&lt;="&amp;判定条件!$C$11,時間ごとの判定!$AW$3:$AW$1850,"利用可")</f>
        <v>1</v>
      </c>
      <c r="O3" s="22" t="str">
        <f aca="false">IF(N3&gt;=判定条件!$C$12,"利用可","不可")</f>
        <v>不可</v>
      </c>
      <c r="P3" s="22" t="str">
        <f aca="false">IF(AND(E3="利用可",G3="利用可",I3="利用可"),"利用可","不可")</f>
        <v>不可</v>
      </c>
      <c r="Q3" s="22" t="str">
        <f aca="false">IF(AND(K3="利用可",M3="利用可",O3="利用可"),"利用可","不可")</f>
        <v>不可</v>
      </c>
      <c r="R3" s="23" t="s">
        <v>60</v>
      </c>
    </row>
    <row r="4" customFormat="false" ht="15" hidden="false" customHeight="false" outlineLevel="0" collapsed="false">
      <c r="A4" s="20" t="n">
        <v>46233</v>
      </c>
      <c r="B4" s="21" t="s">
        <v>61</v>
      </c>
      <c r="C4" s="21" t="s">
        <v>59</v>
      </c>
      <c r="D4" s="22" t="n">
        <f aca="false">COUNTIFS(時間ごとの判定!$A$3:$A$1850,$A4,時間ごとの判定!$B$3:$B$1850,"&gt;="&amp;判定条件!$C$10,時間ごとの判定!$B$3:$B$1850,"&lt;="&amp;判定条件!$C$11,時間ごとの判定!$AH$3:$AH$1850,"利用可")</f>
        <v>9</v>
      </c>
      <c r="E4" s="22" t="str">
        <f aca="false">IF(D4&gt;=判定条件!$C$12,"利用可","不可")</f>
        <v>利用可</v>
      </c>
      <c r="F4" s="22" t="n">
        <f aca="false">COUNTIFS(時間ごとの判定!$A$3:$A$1850,$A4,時間ごとの判定!$B$3:$B$1850,"&gt;="&amp;判定条件!$C$10,時間ごとの判定!$B$3:$B$1850,"&lt;="&amp;判定条件!$C$11,時間ごとの判定!$AK$3:$AK$1850,"利用可")</f>
        <v>9</v>
      </c>
      <c r="G4" s="22" t="str">
        <f aca="false">IF(F4&gt;=判定条件!$C$12,"利用可","不可")</f>
        <v>利用可</v>
      </c>
      <c r="H4" s="22" t="n">
        <f aca="false">COUNTIFS(時間ごとの判定!$A$3:$A$1850,$A4,時間ごとの判定!$B$3:$B$1850,"&gt;="&amp;判定条件!$C$10,時間ごとの判定!$B$3:$B$1850,"&lt;="&amp;判定条件!$C$11,時間ごとの判定!$AN$3:$AN$1850,"利用可")</f>
        <v>9</v>
      </c>
      <c r="I4" s="22" t="str">
        <f aca="false">IF(H4&gt;=判定条件!$C$12,"利用可","不可")</f>
        <v>利用可</v>
      </c>
      <c r="J4" s="22" t="n">
        <f aca="false">COUNTIFS(時間ごとの判定!$A$3:$A$1850,$A4,時間ごとの判定!$B$3:$B$1850,"&gt;="&amp;判定条件!$C$10,時間ごとの判定!$B$3:$B$1850,"&lt;="&amp;判定条件!$C$11,時間ごとの判定!$AQ$3:$AQ$1850,"利用可")</f>
        <v>9</v>
      </c>
      <c r="K4" s="22" t="str">
        <f aca="false">IF(J4&gt;=判定条件!$C$12,"利用可","不可")</f>
        <v>利用可</v>
      </c>
      <c r="L4" s="22" t="n">
        <f aca="false">COUNTIFS(時間ごとの判定!$A$3:$A$1850,$A4,時間ごとの判定!$B$3:$B$1850,"&gt;="&amp;判定条件!$C$10,時間ごとの判定!$B$3:$B$1850,"&lt;="&amp;判定条件!$C$11,時間ごとの判定!$AT$3:$AT$1850,"利用可")</f>
        <v>9</v>
      </c>
      <c r="M4" s="22" t="str">
        <f aca="false">IF(L4&gt;=判定条件!$C$12,"利用可","不可")</f>
        <v>利用可</v>
      </c>
      <c r="N4" s="22" t="n">
        <f aca="false">COUNTIFS(時間ごとの判定!$A$3:$A$1850,$A4,時間ごとの判定!$B$3:$B$1850,"&gt;="&amp;判定条件!$C$10,時間ごとの判定!$B$3:$B$1850,"&lt;="&amp;判定条件!$C$11,時間ごとの判定!$AW$3:$AW$1850,"利用可")</f>
        <v>9</v>
      </c>
      <c r="O4" s="22" t="str">
        <f aca="false">IF(N4&gt;=判定条件!$C$12,"利用可","不可")</f>
        <v>利用可</v>
      </c>
      <c r="P4" s="22" t="str">
        <f aca="false">IF(AND(E4="利用可",G4="利用可",I4="利用可"),"利用可","不可")</f>
        <v>利用可</v>
      </c>
      <c r="Q4" s="22" t="str">
        <f aca="false">IF(AND(K4="利用可",M4="利用可",O4="利用可"),"利用可","不可")</f>
        <v>利用可</v>
      </c>
      <c r="R4" s="23"/>
    </row>
    <row r="5" customFormat="false" ht="15" hidden="false" customHeight="false" outlineLevel="0" collapsed="false">
      <c r="A5" s="20" t="n">
        <v>46234</v>
      </c>
      <c r="B5" s="21" t="s">
        <v>62</v>
      </c>
      <c r="C5" s="21" t="s">
        <v>59</v>
      </c>
      <c r="D5" s="22" t="n">
        <f aca="false">COUNTIFS(時間ごとの判定!$A$3:$A$1850,$A5,時間ごとの判定!$B$3:$B$1850,"&gt;="&amp;判定条件!$C$10,時間ごとの判定!$B$3:$B$1850,"&lt;="&amp;判定条件!$C$11,時間ごとの判定!$AH$3:$AH$1850,"利用可")</f>
        <v>8</v>
      </c>
      <c r="E5" s="22" t="str">
        <f aca="false">IF(D5&gt;=判定条件!$C$12,"利用可","不可")</f>
        <v>利用可</v>
      </c>
      <c r="F5" s="22" t="n">
        <f aca="false">COUNTIFS(時間ごとの判定!$A$3:$A$1850,$A5,時間ごとの判定!$B$3:$B$1850,"&gt;="&amp;判定条件!$C$10,時間ごとの判定!$B$3:$B$1850,"&lt;="&amp;判定条件!$C$11,時間ごとの判定!$AK$3:$AK$1850,"利用可")</f>
        <v>9</v>
      </c>
      <c r="G5" s="22" t="str">
        <f aca="false">IF(F5&gt;=判定条件!$C$12,"利用可","不可")</f>
        <v>利用可</v>
      </c>
      <c r="H5" s="22" t="n">
        <f aca="false">COUNTIFS(時間ごとの判定!$A$3:$A$1850,$A5,時間ごとの判定!$B$3:$B$1850,"&gt;="&amp;判定条件!$C$10,時間ごとの判定!$B$3:$B$1850,"&lt;="&amp;判定条件!$C$11,時間ごとの判定!$AN$3:$AN$1850,"利用可")</f>
        <v>9</v>
      </c>
      <c r="I5" s="22" t="str">
        <f aca="false">IF(H5&gt;=判定条件!$C$12,"利用可","不可")</f>
        <v>利用可</v>
      </c>
      <c r="J5" s="22" t="n">
        <f aca="false">COUNTIFS(時間ごとの判定!$A$3:$A$1850,$A5,時間ごとの判定!$B$3:$B$1850,"&gt;="&amp;判定条件!$C$10,時間ごとの判定!$B$3:$B$1850,"&lt;="&amp;判定条件!$C$11,時間ごとの判定!$AQ$3:$AQ$1850,"利用可")</f>
        <v>9</v>
      </c>
      <c r="K5" s="22" t="str">
        <f aca="false">IF(J5&gt;=判定条件!$C$12,"利用可","不可")</f>
        <v>利用可</v>
      </c>
      <c r="L5" s="22" t="n">
        <f aca="false">COUNTIFS(時間ごとの判定!$A$3:$A$1850,$A5,時間ごとの判定!$B$3:$B$1850,"&gt;="&amp;判定条件!$C$10,時間ごとの判定!$B$3:$B$1850,"&lt;="&amp;判定条件!$C$11,時間ごとの判定!$AT$3:$AT$1850,"利用可")</f>
        <v>9</v>
      </c>
      <c r="M5" s="22" t="str">
        <f aca="false">IF(L5&gt;=判定条件!$C$12,"利用可","不可")</f>
        <v>利用可</v>
      </c>
      <c r="N5" s="22" t="n">
        <f aca="false">COUNTIFS(時間ごとの判定!$A$3:$A$1850,$A5,時間ごとの判定!$B$3:$B$1850,"&gt;="&amp;判定条件!$C$10,時間ごとの判定!$B$3:$B$1850,"&lt;="&amp;判定条件!$C$11,時間ごとの判定!$AW$3:$AW$1850,"利用可")</f>
        <v>9</v>
      </c>
      <c r="O5" s="22" t="str">
        <f aca="false">IF(N5&gt;=判定条件!$C$12,"利用可","不可")</f>
        <v>利用可</v>
      </c>
      <c r="P5" s="22" t="str">
        <f aca="false">IF(AND(E5="利用可",G5="利用可",I5="利用可"),"利用可","不可")</f>
        <v>利用可</v>
      </c>
      <c r="Q5" s="22" t="str">
        <f aca="false">IF(AND(K5="利用可",M5="利用可",O5="利用可"),"利用可","不可")</f>
        <v>利用可</v>
      </c>
      <c r="R5" s="23"/>
    </row>
    <row r="6" customFormat="false" ht="15" hidden="false" customHeight="false" outlineLevel="0" collapsed="false">
      <c r="A6" s="24" t="n">
        <v>46235</v>
      </c>
      <c r="B6" s="25" t="s">
        <v>63</v>
      </c>
      <c r="C6" s="25" t="s">
        <v>64</v>
      </c>
      <c r="D6" s="22" t="n">
        <f aca="false">COUNTIFS(時間ごとの判定!$A$3:$A$1850,$A6,時間ごとの判定!$B$3:$B$1850,"&gt;="&amp;判定条件!$C$10,時間ごとの判定!$B$3:$B$1850,"&lt;="&amp;判定条件!$C$11,時間ごとの判定!$AH$3:$AH$1850,"利用可")</f>
        <v>6</v>
      </c>
      <c r="E6" s="22" t="str">
        <f aca="false">IF(D6&gt;=判定条件!$C$12,"利用可","不可")</f>
        <v>不可</v>
      </c>
      <c r="F6" s="22" t="n">
        <f aca="false">COUNTIFS(時間ごとの判定!$A$3:$A$1850,$A6,時間ごとの判定!$B$3:$B$1850,"&gt;="&amp;判定条件!$C$10,時間ごとの判定!$B$3:$B$1850,"&lt;="&amp;判定条件!$C$11,時間ごとの判定!$AK$3:$AK$1850,"利用可")</f>
        <v>7</v>
      </c>
      <c r="G6" s="22" t="str">
        <f aca="false">IF(F6&gt;=判定条件!$C$12,"利用可","不可")</f>
        <v>利用可</v>
      </c>
      <c r="H6" s="22" t="n">
        <f aca="false">COUNTIFS(時間ごとの判定!$A$3:$A$1850,$A6,時間ごとの判定!$B$3:$B$1850,"&gt;="&amp;判定条件!$C$10,時間ごとの判定!$B$3:$B$1850,"&lt;="&amp;判定条件!$C$11,時間ごとの判定!$AN$3:$AN$1850,"利用可")</f>
        <v>7</v>
      </c>
      <c r="I6" s="22" t="str">
        <f aca="false">IF(H6&gt;=判定条件!$C$12,"利用可","不可")</f>
        <v>利用可</v>
      </c>
      <c r="J6" s="22" t="n">
        <f aca="false">COUNTIFS(時間ごとの判定!$A$3:$A$1850,$A6,時間ごとの判定!$B$3:$B$1850,"&gt;="&amp;判定条件!$C$10,時間ごとの判定!$B$3:$B$1850,"&lt;="&amp;判定条件!$C$11,時間ごとの判定!$AQ$3:$AQ$1850,"利用可")</f>
        <v>9</v>
      </c>
      <c r="K6" s="22" t="str">
        <f aca="false">IF(J6&gt;=判定条件!$C$12,"利用可","不可")</f>
        <v>利用可</v>
      </c>
      <c r="L6" s="22" t="n">
        <f aca="false">COUNTIFS(時間ごとの判定!$A$3:$A$1850,$A6,時間ごとの判定!$B$3:$B$1850,"&gt;="&amp;判定条件!$C$10,時間ごとの判定!$B$3:$B$1850,"&lt;="&amp;判定条件!$C$11,時間ごとの判定!$AT$3:$AT$1850,"利用可")</f>
        <v>9</v>
      </c>
      <c r="M6" s="22" t="str">
        <f aca="false">IF(L6&gt;=判定条件!$C$12,"利用可","不可")</f>
        <v>利用可</v>
      </c>
      <c r="N6" s="22" t="n">
        <f aca="false">COUNTIFS(時間ごとの判定!$A$3:$A$1850,$A6,時間ごとの判定!$B$3:$B$1850,"&gt;="&amp;判定条件!$C$10,時間ごとの判定!$B$3:$B$1850,"&lt;="&amp;判定条件!$C$11,時間ごとの判定!$AW$3:$AW$1850,"利用可")</f>
        <v>9</v>
      </c>
      <c r="O6" s="22" t="str">
        <f aca="false">IF(N6&gt;=判定条件!$C$12,"利用可","不可")</f>
        <v>利用可</v>
      </c>
      <c r="P6" s="22" t="str">
        <f aca="false">IF(AND(E6="利用可",G6="利用可",I6="利用可"),"利用可","不可")</f>
        <v>不可</v>
      </c>
      <c r="Q6" s="22" t="str">
        <f aca="false">IF(AND(K6="利用可",M6="利用可",O6="利用可"),"利用可","不可")</f>
        <v>利用可</v>
      </c>
      <c r="R6" s="23"/>
    </row>
    <row r="7" customFormat="false" ht="15" hidden="false" customHeight="false" outlineLevel="0" collapsed="false">
      <c r="A7" s="24" t="n">
        <v>46236</v>
      </c>
      <c r="B7" s="25" t="s">
        <v>65</v>
      </c>
      <c r="C7" s="25" t="s">
        <v>64</v>
      </c>
      <c r="D7" s="22" t="n">
        <f aca="false">COUNTIFS(時間ごとの判定!$A$3:$A$1850,$A7,時間ごとの判定!$B$3:$B$1850,"&gt;="&amp;判定条件!$C$10,時間ごとの判定!$B$3:$B$1850,"&lt;="&amp;判定条件!$C$11,時間ごとの判定!$AH$3:$AH$1850,"利用可")</f>
        <v>9</v>
      </c>
      <c r="E7" s="22" t="str">
        <f aca="false">IF(D7&gt;=判定条件!$C$12,"利用可","不可")</f>
        <v>利用可</v>
      </c>
      <c r="F7" s="22" t="n">
        <f aca="false">COUNTIFS(時間ごとの判定!$A$3:$A$1850,$A7,時間ごとの判定!$B$3:$B$1850,"&gt;="&amp;判定条件!$C$10,時間ごとの判定!$B$3:$B$1850,"&lt;="&amp;判定条件!$C$11,時間ごとの判定!$AK$3:$AK$1850,"利用可")</f>
        <v>3</v>
      </c>
      <c r="G7" s="22" t="str">
        <f aca="false">IF(F7&gt;=判定条件!$C$12,"利用可","不可")</f>
        <v>不可</v>
      </c>
      <c r="H7" s="22" t="n">
        <f aca="false">COUNTIFS(時間ごとの判定!$A$3:$A$1850,$A7,時間ごとの判定!$B$3:$B$1850,"&gt;="&amp;判定条件!$C$10,時間ごとの判定!$B$3:$B$1850,"&lt;="&amp;判定条件!$C$11,時間ごとの判定!$AN$3:$AN$1850,"利用可")</f>
        <v>0</v>
      </c>
      <c r="I7" s="22" t="str">
        <f aca="false">IF(H7&gt;=判定条件!$C$12,"利用可","不可")</f>
        <v>不可</v>
      </c>
      <c r="J7" s="22" t="n">
        <f aca="false">COUNTIFS(時間ごとの判定!$A$3:$A$1850,$A7,時間ごとの判定!$B$3:$B$1850,"&gt;="&amp;判定条件!$C$10,時間ごとの判定!$B$3:$B$1850,"&lt;="&amp;判定条件!$C$11,時間ごとの判定!$AQ$3:$AQ$1850,"利用可")</f>
        <v>9</v>
      </c>
      <c r="K7" s="22" t="str">
        <f aca="false">IF(J7&gt;=判定条件!$C$12,"利用可","不可")</f>
        <v>利用可</v>
      </c>
      <c r="L7" s="22" t="n">
        <f aca="false">COUNTIFS(時間ごとの判定!$A$3:$A$1850,$A7,時間ごとの判定!$B$3:$B$1850,"&gt;="&amp;判定条件!$C$10,時間ごとの判定!$B$3:$B$1850,"&lt;="&amp;判定条件!$C$11,時間ごとの判定!$AT$3:$AT$1850,"利用可")</f>
        <v>9</v>
      </c>
      <c r="M7" s="22" t="str">
        <f aca="false">IF(L7&gt;=判定条件!$C$12,"利用可","不可")</f>
        <v>利用可</v>
      </c>
      <c r="N7" s="22" t="n">
        <f aca="false">COUNTIFS(時間ごとの判定!$A$3:$A$1850,$A7,時間ごとの判定!$B$3:$B$1850,"&gt;="&amp;判定条件!$C$10,時間ごとの判定!$B$3:$B$1850,"&lt;="&amp;判定条件!$C$11,時間ごとの判定!$AW$3:$AW$1850,"利用可")</f>
        <v>9</v>
      </c>
      <c r="O7" s="22" t="str">
        <f aca="false">IF(N7&gt;=判定条件!$C$12,"利用可","不可")</f>
        <v>利用可</v>
      </c>
      <c r="P7" s="22" t="str">
        <f aca="false">IF(AND(E7="利用可",G7="利用可",I7="利用可"),"利用可","不可")</f>
        <v>不可</v>
      </c>
      <c r="Q7" s="22" t="str">
        <f aca="false">IF(AND(K7="利用可",M7="利用可",O7="利用可"),"利用可","不可")</f>
        <v>利用可</v>
      </c>
      <c r="R7" s="23"/>
    </row>
    <row r="8" customFormat="false" ht="15" hidden="false" customHeight="false" outlineLevel="0" collapsed="false">
      <c r="A8" s="20" t="n">
        <v>46237</v>
      </c>
      <c r="B8" s="21" t="s">
        <v>66</v>
      </c>
      <c r="C8" s="21" t="s">
        <v>59</v>
      </c>
      <c r="D8" s="22" t="n">
        <f aca="false">COUNTIFS(時間ごとの判定!$A$3:$A$1850,$A8,時間ごとの判定!$B$3:$B$1850,"&gt;="&amp;判定条件!$C$10,時間ごとの判定!$B$3:$B$1850,"&lt;="&amp;判定条件!$C$11,時間ごとの判定!$AH$3:$AH$1850,"利用可")</f>
        <v>9</v>
      </c>
      <c r="E8" s="22" t="str">
        <f aca="false">IF(D8&gt;=判定条件!$C$12,"利用可","不可")</f>
        <v>利用可</v>
      </c>
      <c r="F8" s="22" t="n">
        <f aca="false">COUNTIFS(時間ごとの判定!$A$3:$A$1850,$A8,時間ごとの判定!$B$3:$B$1850,"&gt;="&amp;判定条件!$C$10,時間ごとの判定!$B$3:$B$1850,"&lt;="&amp;判定条件!$C$11,時間ごとの判定!$AK$3:$AK$1850,"利用可")</f>
        <v>9</v>
      </c>
      <c r="G8" s="22" t="str">
        <f aca="false">IF(F8&gt;=判定条件!$C$12,"利用可","不可")</f>
        <v>利用可</v>
      </c>
      <c r="H8" s="22" t="n">
        <f aca="false">COUNTIFS(時間ごとの判定!$A$3:$A$1850,$A8,時間ごとの判定!$B$3:$B$1850,"&gt;="&amp;判定条件!$C$10,時間ごとの判定!$B$3:$B$1850,"&lt;="&amp;判定条件!$C$11,時間ごとの判定!$AN$3:$AN$1850,"利用可")</f>
        <v>9</v>
      </c>
      <c r="I8" s="22" t="str">
        <f aca="false">IF(H8&gt;=判定条件!$C$12,"利用可","不可")</f>
        <v>利用可</v>
      </c>
      <c r="J8" s="22" t="n">
        <f aca="false">COUNTIFS(時間ごとの判定!$A$3:$A$1850,$A8,時間ごとの判定!$B$3:$B$1850,"&gt;="&amp;判定条件!$C$10,時間ごとの判定!$B$3:$B$1850,"&lt;="&amp;判定条件!$C$11,時間ごとの判定!$AQ$3:$AQ$1850,"利用可")</f>
        <v>8</v>
      </c>
      <c r="K8" s="22" t="str">
        <f aca="false">IF(J8&gt;=判定条件!$C$12,"利用可","不可")</f>
        <v>利用可</v>
      </c>
      <c r="L8" s="22" t="n">
        <f aca="false">COUNTIFS(時間ごとの判定!$A$3:$A$1850,$A8,時間ごとの判定!$B$3:$B$1850,"&gt;="&amp;判定条件!$C$10,時間ごとの判定!$B$3:$B$1850,"&lt;="&amp;判定条件!$C$11,時間ごとの判定!$AT$3:$AT$1850,"利用可")</f>
        <v>9</v>
      </c>
      <c r="M8" s="22" t="str">
        <f aca="false">IF(L8&gt;=判定条件!$C$12,"利用可","不可")</f>
        <v>利用可</v>
      </c>
      <c r="N8" s="22" t="n">
        <f aca="false">COUNTIFS(時間ごとの判定!$A$3:$A$1850,$A8,時間ごとの判定!$B$3:$B$1850,"&gt;="&amp;判定条件!$C$10,時間ごとの判定!$B$3:$B$1850,"&lt;="&amp;判定条件!$C$11,時間ごとの判定!$AW$3:$AW$1850,"利用可")</f>
        <v>9</v>
      </c>
      <c r="O8" s="22" t="str">
        <f aca="false">IF(N8&gt;=判定条件!$C$12,"利用可","不可")</f>
        <v>利用可</v>
      </c>
      <c r="P8" s="22" t="str">
        <f aca="false">IF(AND(E8="利用可",G8="利用可",I8="利用可"),"利用可","不可")</f>
        <v>利用可</v>
      </c>
      <c r="Q8" s="22" t="str">
        <f aca="false">IF(AND(K8="利用可",M8="利用可",O8="利用可"),"利用可","不可")</f>
        <v>利用可</v>
      </c>
      <c r="R8" s="23"/>
    </row>
    <row r="9" customFormat="false" ht="15" hidden="false" customHeight="false" outlineLevel="0" collapsed="false">
      <c r="A9" s="20" t="n">
        <v>46238</v>
      </c>
      <c r="B9" s="21" t="s">
        <v>67</v>
      </c>
      <c r="C9" s="21" t="s">
        <v>59</v>
      </c>
      <c r="D9" s="22" t="n">
        <f aca="false">COUNTIFS(時間ごとの判定!$A$3:$A$1850,$A9,時間ごとの判定!$B$3:$B$1850,"&gt;="&amp;判定条件!$C$10,時間ごとの判定!$B$3:$B$1850,"&lt;="&amp;判定条件!$C$11,時間ごとの判定!$AH$3:$AH$1850,"利用可")</f>
        <v>9</v>
      </c>
      <c r="E9" s="22" t="str">
        <f aca="false">IF(D9&gt;=判定条件!$C$12,"利用可","不可")</f>
        <v>利用可</v>
      </c>
      <c r="F9" s="22" t="n">
        <f aca="false">COUNTIFS(時間ごとの判定!$A$3:$A$1850,$A9,時間ごとの判定!$B$3:$B$1850,"&gt;="&amp;判定条件!$C$10,時間ごとの判定!$B$3:$B$1850,"&lt;="&amp;判定条件!$C$11,時間ごとの判定!$AK$3:$AK$1850,"利用可")</f>
        <v>9</v>
      </c>
      <c r="G9" s="22" t="str">
        <f aca="false">IF(F9&gt;=判定条件!$C$12,"利用可","不可")</f>
        <v>利用可</v>
      </c>
      <c r="H9" s="22" t="n">
        <f aca="false">COUNTIFS(時間ごとの判定!$A$3:$A$1850,$A9,時間ごとの判定!$B$3:$B$1850,"&gt;="&amp;判定条件!$C$10,時間ごとの判定!$B$3:$B$1850,"&lt;="&amp;判定条件!$C$11,時間ごとの判定!$AN$3:$AN$1850,"利用可")</f>
        <v>9</v>
      </c>
      <c r="I9" s="22" t="str">
        <f aca="false">IF(H9&gt;=判定条件!$C$12,"利用可","不可")</f>
        <v>利用可</v>
      </c>
      <c r="J9" s="22" t="n">
        <f aca="false">COUNTIFS(時間ごとの判定!$A$3:$A$1850,$A9,時間ごとの判定!$B$3:$B$1850,"&gt;="&amp;判定条件!$C$10,時間ごとの判定!$B$3:$B$1850,"&lt;="&amp;判定条件!$C$11,時間ごとの判定!$AQ$3:$AQ$1850,"利用可")</f>
        <v>9</v>
      </c>
      <c r="K9" s="22" t="str">
        <f aca="false">IF(J9&gt;=判定条件!$C$12,"利用可","不可")</f>
        <v>利用可</v>
      </c>
      <c r="L9" s="22" t="n">
        <f aca="false">COUNTIFS(時間ごとの判定!$A$3:$A$1850,$A9,時間ごとの判定!$B$3:$B$1850,"&gt;="&amp;判定条件!$C$10,時間ごとの判定!$B$3:$B$1850,"&lt;="&amp;判定条件!$C$11,時間ごとの判定!$AT$3:$AT$1850,"利用可")</f>
        <v>8</v>
      </c>
      <c r="M9" s="22" t="str">
        <f aca="false">IF(L9&gt;=判定条件!$C$12,"利用可","不可")</f>
        <v>利用可</v>
      </c>
      <c r="N9" s="22" t="n">
        <f aca="false">COUNTIFS(時間ごとの判定!$A$3:$A$1850,$A9,時間ごとの判定!$B$3:$B$1850,"&gt;="&amp;判定条件!$C$10,時間ごとの判定!$B$3:$B$1850,"&lt;="&amp;判定条件!$C$11,時間ごとの判定!$AW$3:$AW$1850,"利用可")</f>
        <v>9</v>
      </c>
      <c r="O9" s="22" t="str">
        <f aca="false">IF(N9&gt;=判定条件!$C$12,"利用可","不可")</f>
        <v>利用可</v>
      </c>
      <c r="P9" s="22" t="str">
        <f aca="false">IF(AND(E9="利用可",G9="利用可",I9="利用可"),"利用可","不可")</f>
        <v>利用可</v>
      </c>
      <c r="Q9" s="22" t="str">
        <f aca="false">IF(AND(K9="利用可",M9="利用可",O9="利用可"),"利用可","不可")</f>
        <v>利用可</v>
      </c>
      <c r="R9" s="23"/>
    </row>
    <row r="10" customFormat="false" ht="15" hidden="false" customHeight="false" outlineLevel="0" collapsed="false">
      <c r="A10" s="20" t="n">
        <v>46239</v>
      </c>
      <c r="B10" s="21" t="s">
        <v>58</v>
      </c>
      <c r="C10" s="21" t="s">
        <v>59</v>
      </c>
      <c r="D10" s="22" t="n">
        <f aca="false">COUNTIFS(時間ごとの判定!$A$3:$A$1850,$A10,時間ごとの判定!$B$3:$B$1850,"&gt;="&amp;判定条件!$C$10,時間ごとの判定!$B$3:$B$1850,"&lt;="&amp;判定条件!$C$11,時間ごとの判定!$AH$3:$AH$1850,"利用可")</f>
        <v>9</v>
      </c>
      <c r="E10" s="22" t="str">
        <f aca="false">IF(D10&gt;=判定条件!$C$12,"利用可","不可")</f>
        <v>利用可</v>
      </c>
      <c r="F10" s="22" t="n">
        <f aca="false">COUNTIFS(時間ごとの判定!$A$3:$A$1850,$A10,時間ごとの判定!$B$3:$B$1850,"&gt;="&amp;判定条件!$C$10,時間ごとの判定!$B$3:$B$1850,"&lt;="&amp;判定条件!$C$11,時間ごとの判定!$AK$3:$AK$1850,"利用可")</f>
        <v>9</v>
      </c>
      <c r="G10" s="22" t="str">
        <f aca="false">IF(F10&gt;=判定条件!$C$12,"利用可","不可")</f>
        <v>利用可</v>
      </c>
      <c r="H10" s="22" t="n">
        <f aca="false">COUNTIFS(時間ごとの判定!$A$3:$A$1850,$A10,時間ごとの判定!$B$3:$B$1850,"&gt;="&amp;判定条件!$C$10,時間ごとの判定!$B$3:$B$1850,"&lt;="&amp;判定条件!$C$11,時間ごとの判定!$AN$3:$AN$1850,"利用可")</f>
        <v>9</v>
      </c>
      <c r="I10" s="22" t="str">
        <f aca="false">IF(H10&gt;=判定条件!$C$12,"利用可","不可")</f>
        <v>利用可</v>
      </c>
      <c r="J10" s="22" t="n">
        <f aca="false">COUNTIFS(時間ごとの判定!$A$3:$A$1850,$A10,時間ごとの判定!$B$3:$B$1850,"&gt;="&amp;判定条件!$C$10,時間ごとの判定!$B$3:$B$1850,"&lt;="&amp;判定条件!$C$11,時間ごとの判定!$AQ$3:$AQ$1850,"利用可")</f>
        <v>9</v>
      </c>
      <c r="K10" s="22" t="str">
        <f aca="false">IF(J10&gt;=判定条件!$C$12,"利用可","不可")</f>
        <v>利用可</v>
      </c>
      <c r="L10" s="22" t="n">
        <f aca="false">COUNTIFS(時間ごとの判定!$A$3:$A$1850,$A10,時間ごとの判定!$B$3:$B$1850,"&gt;="&amp;判定条件!$C$10,時間ごとの判定!$B$3:$B$1850,"&lt;="&amp;判定条件!$C$11,時間ごとの判定!$AT$3:$AT$1850,"利用可")</f>
        <v>9</v>
      </c>
      <c r="M10" s="22" t="str">
        <f aca="false">IF(L10&gt;=判定条件!$C$12,"利用可","不可")</f>
        <v>利用可</v>
      </c>
      <c r="N10" s="22" t="n">
        <f aca="false">COUNTIFS(時間ごとの判定!$A$3:$A$1850,$A10,時間ごとの判定!$B$3:$B$1850,"&gt;="&amp;判定条件!$C$10,時間ごとの判定!$B$3:$B$1850,"&lt;="&amp;判定条件!$C$11,時間ごとの判定!$AW$3:$AW$1850,"利用可")</f>
        <v>9</v>
      </c>
      <c r="O10" s="22" t="str">
        <f aca="false">IF(N10&gt;=判定条件!$C$12,"利用可","不可")</f>
        <v>利用可</v>
      </c>
      <c r="P10" s="22" t="str">
        <f aca="false">IF(AND(E10="利用可",G10="利用可",I10="利用可"),"利用可","不可")</f>
        <v>利用可</v>
      </c>
      <c r="Q10" s="22" t="str">
        <f aca="false">IF(AND(K10="利用可",M10="利用可",O10="利用可"),"利用可","不可")</f>
        <v>利用可</v>
      </c>
      <c r="R10" s="23"/>
    </row>
    <row r="11" customFormat="false" ht="15" hidden="false" customHeight="false" outlineLevel="0" collapsed="false">
      <c r="A11" s="20" t="n">
        <v>46240</v>
      </c>
      <c r="B11" s="21" t="s">
        <v>61</v>
      </c>
      <c r="C11" s="21" t="s">
        <v>59</v>
      </c>
      <c r="D11" s="22" t="n">
        <f aca="false">COUNTIFS(時間ごとの判定!$A$3:$A$1850,$A11,時間ごとの判定!$B$3:$B$1850,"&gt;="&amp;判定条件!$C$10,時間ごとの判定!$B$3:$B$1850,"&lt;="&amp;判定条件!$C$11,時間ごとの判定!$AH$3:$AH$1850,"利用可")</f>
        <v>9</v>
      </c>
      <c r="E11" s="22" t="str">
        <f aca="false">IF(D11&gt;=判定条件!$C$12,"利用可","不可")</f>
        <v>利用可</v>
      </c>
      <c r="F11" s="22" t="n">
        <f aca="false">COUNTIFS(時間ごとの判定!$A$3:$A$1850,$A11,時間ごとの判定!$B$3:$B$1850,"&gt;="&amp;判定条件!$C$10,時間ごとの判定!$B$3:$B$1850,"&lt;="&amp;判定条件!$C$11,時間ごとの判定!$AK$3:$AK$1850,"利用可")</f>
        <v>9</v>
      </c>
      <c r="G11" s="22" t="str">
        <f aca="false">IF(F11&gt;=判定条件!$C$12,"利用可","不可")</f>
        <v>利用可</v>
      </c>
      <c r="H11" s="22" t="n">
        <f aca="false">COUNTIFS(時間ごとの判定!$A$3:$A$1850,$A11,時間ごとの判定!$B$3:$B$1850,"&gt;="&amp;判定条件!$C$10,時間ごとの判定!$B$3:$B$1850,"&lt;="&amp;判定条件!$C$11,時間ごとの判定!$AN$3:$AN$1850,"利用可")</f>
        <v>9</v>
      </c>
      <c r="I11" s="22" t="str">
        <f aca="false">IF(H11&gt;=判定条件!$C$12,"利用可","不可")</f>
        <v>利用可</v>
      </c>
      <c r="J11" s="22" t="n">
        <f aca="false">COUNTIFS(時間ごとの判定!$A$3:$A$1850,$A11,時間ごとの判定!$B$3:$B$1850,"&gt;="&amp;判定条件!$C$10,時間ごとの判定!$B$3:$B$1850,"&lt;="&amp;判定条件!$C$11,時間ごとの判定!$AQ$3:$AQ$1850,"利用可")</f>
        <v>9</v>
      </c>
      <c r="K11" s="22" t="str">
        <f aca="false">IF(J11&gt;=判定条件!$C$12,"利用可","不可")</f>
        <v>利用可</v>
      </c>
      <c r="L11" s="22" t="n">
        <f aca="false">COUNTIFS(時間ごとの判定!$A$3:$A$1850,$A11,時間ごとの判定!$B$3:$B$1850,"&gt;="&amp;判定条件!$C$10,時間ごとの判定!$B$3:$B$1850,"&lt;="&amp;判定条件!$C$11,時間ごとの判定!$AT$3:$AT$1850,"利用可")</f>
        <v>9</v>
      </c>
      <c r="M11" s="22" t="str">
        <f aca="false">IF(L11&gt;=判定条件!$C$12,"利用可","不可")</f>
        <v>利用可</v>
      </c>
      <c r="N11" s="22" t="n">
        <f aca="false">COUNTIFS(時間ごとの判定!$A$3:$A$1850,$A11,時間ごとの判定!$B$3:$B$1850,"&gt;="&amp;判定条件!$C$10,時間ごとの判定!$B$3:$B$1850,"&lt;="&amp;判定条件!$C$11,時間ごとの判定!$AW$3:$AW$1850,"利用可")</f>
        <v>9</v>
      </c>
      <c r="O11" s="22" t="str">
        <f aca="false">IF(N11&gt;=判定条件!$C$12,"利用可","不可")</f>
        <v>利用可</v>
      </c>
      <c r="P11" s="22" t="str">
        <f aca="false">IF(AND(E11="利用可",G11="利用可",I11="利用可"),"利用可","不可")</f>
        <v>利用可</v>
      </c>
      <c r="Q11" s="22" t="str">
        <f aca="false">IF(AND(K11="利用可",M11="利用可",O11="利用可"),"利用可","不可")</f>
        <v>利用可</v>
      </c>
      <c r="R11" s="23"/>
    </row>
    <row r="12" customFormat="false" ht="15" hidden="false" customHeight="false" outlineLevel="0" collapsed="false">
      <c r="A12" s="20" t="n">
        <v>46241</v>
      </c>
      <c r="B12" s="21" t="s">
        <v>62</v>
      </c>
      <c r="C12" s="21" t="s">
        <v>59</v>
      </c>
      <c r="D12" s="22" t="n">
        <f aca="false">COUNTIFS(時間ごとの判定!$A$3:$A$1850,$A12,時間ごとの判定!$B$3:$B$1850,"&gt;="&amp;判定条件!$C$10,時間ごとの判定!$B$3:$B$1850,"&lt;="&amp;判定条件!$C$11,時間ごとの判定!$AH$3:$AH$1850,"利用可")</f>
        <v>9</v>
      </c>
      <c r="E12" s="22" t="str">
        <f aca="false">IF(D12&gt;=判定条件!$C$12,"利用可","不可")</f>
        <v>利用可</v>
      </c>
      <c r="F12" s="22" t="n">
        <f aca="false">COUNTIFS(時間ごとの判定!$A$3:$A$1850,$A12,時間ごとの判定!$B$3:$B$1850,"&gt;="&amp;判定条件!$C$10,時間ごとの判定!$B$3:$B$1850,"&lt;="&amp;判定条件!$C$11,時間ごとの判定!$AK$3:$AK$1850,"利用可")</f>
        <v>9</v>
      </c>
      <c r="G12" s="22" t="str">
        <f aca="false">IF(F12&gt;=判定条件!$C$12,"利用可","不可")</f>
        <v>利用可</v>
      </c>
      <c r="H12" s="22" t="n">
        <f aca="false">COUNTIFS(時間ごとの判定!$A$3:$A$1850,$A12,時間ごとの判定!$B$3:$B$1850,"&gt;="&amp;判定条件!$C$10,時間ごとの判定!$B$3:$B$1850,"&lt;="&amp;判定条件!$C$11,時間ごとの判定!$AN$3:$AN$1850,"利用可")</f>
        <v>9</v>
      </c>
      <c r="I12" s="22" t="str">
        <f aca="false">IF(H12&gt;=判定条件!$C$12,"利用可","不可")</f>
        <v>利用可</v>
      </c>
      <c r="J12" s="22" t="n">
        <f aca="false">COUNTIFS(時間ごとの判定!$A$3:$A$1850,$A12,時間ごとの判定!$B$3:$B$1850,"&gt;="&amp;判定条件!$C$10,時間ごとの判定!$B$3:$B$1850,"&lt;="&amp;判定条件!$C$11,時間ごとの判定!$AQ$3:$AQ$1850,"利用可")</f>
        <v>9</v>
      </c>
      <c r="K12" s="22" t="str">
        <f aca="false">IF(J12&gt;=判定条件!$C$12,"利用可","不可")</f>
        <v>利用可</v>
      </c>
      <c r="L12" s="22" t="n">
        <f aca="false">COUNTIFS(時間ごとの判定!$A$3:$A$1850,$A12,時間ごとの判定!$B$3:$B$1850,"&gt;="&amp;判定条件!$C$10,時間ごとの判定!$B$3:$B$1850,"&lt;="&amp;判定条件!$C$11,時間ごとの判定!$AT$3:$AT$1850,"利用可")</f>
        <v>9</v>
      </c>
      <c r="M12" s="22" t="str">
        <f aca="false">IF(L12&gt;=判定条件!$C$12,"利用可","不可")</f>
        <v>利用可</v>
      </c>
      <c r="N12" s="22" t="n">
        <f aca="false">COUNTIFS(時間ごとの判定!$A$3:$A$1850,$A12,時間ごとの判定!$B$3:$B$1850,"&gt;="&amp;判定条件!$C$10,時間ごとの判定!$B$3:$B$1850,"&lt;="&amp;判定条件!$C$11,時間ごとの判定!$AW$3:$AW$1850,"利用可")</f>
        <v>9</v>
      </c>
      <c r="O12" s="22" t="str">
        <f aca="false">IF(N12&gt;=判定条件!$C$12,"利用可","不可")</f>
        <v>利用可</v>
      </c>
      <c r="P12" s="22" t="str">
        <f aca="false">IF(AND(E12="利用可",G12="利用可",I12="利用可"),"利用可","不可")</f>
        <v>利用可</v>
      </c>
      <c r="Q12" s="22" t="str">
        <f aca="false">IF(AND(K12="利用可",M12="利用可",O12="利用可"),"利用可","不可")</f>
        <v>利用可</v>
      </c>
      <c r="R12" s="23"/>
    </row>
    <row r="13" customFormat="false" ht="15" hidden="false" customHeight="false" outlineLevel="0" collapsed="false">
      <c r="A13" s="24" t="n">
        <v>46242</v>
      </c>
      <c r="B13" s="25" t="s">
        <v>63</v>
      </c>
      <c r="C13" s="25" t="s">
        <v>64</v>
      </c>
      <c r="D13" s="22" t="n">
        <f aca="false">COUNTIFS(時間ごとの判定!$A$3:$A$1850,$A13,時間ごとの判定!$B$3:$B$1850,"&gt;="&amp;判定条件!$C$10,時間ごとの判定!$B$3:$B$1850,"&lt;="&amp;判定条件!$C$11,時間ごとの判定!$AH$3:$AH$1850,"利用可")</f>
        <v>9</v>
      </c>
      <c r="E13" s="22" t="str">
        <f aca="false">IF(D13&gt;=判定条件!$C$12,"利用可","不可")</f>
        <v>利用可</v>
      </c>
      <c r="F13" s="22" t="n">
        <f aca="false">COUNTIFS(時間ごとの判定!$A$3:$A$1850,$A13,時間ごとの判定!$B$3:$B$1850,"&gt;="&amp;判定条件!$C$10,時間ごとの判定!$B$3:$B$1850,"&lt;="&amp;判定条件!$C$11,時間ごとの判定!$AK$3:$AK$1850,"利用可")</f>
        <v>0</v>
      </c>
      <c r="G13" s="22" t="str">
        <f aca="false">IF(F13&gt;=判定条件!$C$12,"利用可","不可")</f>
        <v>不可</v>
      </c>
      <c r="H13" s="22" t="n">
        <f aca="false">COUNTIFS(時間ごとの判定!$A$3:$A$1850,$A13,時間ごとの判定!$B$3:$B$1850,"&gt;="&amp;判定条件!$C$10,時間ごとの判定!$B$3:$B$1850,"&lt;="&amp;判定条件!$C$11,時間ごとの判定!$AN$3:$AN$1850,"利用可")</f>
        <v>5</v>
      </c>
      <c r="I13" s="22" t="str">
        <f aca="false">IF(H13&gt;=判定条件!$C$12,"利用可","不可")</f>
        <v>不可</v>
      </c>
      <c r="J13" s="22" t="n">
        <f aca="false">COUNTIFS(時間ごとの判定!$A$3:$A$1850,$A13,時間ごとの判定!$B$3:$B$1850,"&gt;="&amp;判定条件!$C$10,時間ごとの判定!$B$3:$B$1850,"&lt;="&amp;判定条件!$C$11,時間ごとの判定!$AQ$3:$AQ$1850,"利用可")</f>
        <v>8</v>
      </c>
      <c r="K13" s="22" t="str">
        <f aca="false">IF(J13&gt;=判定条件!$C$12,"利用可","不可")</f>
        <v>利用可</v>
      </c>
      <c r="L13" s="22" t="n">
        <f aca="false">COUNTIFS(時間ごとの判定!$A$3:$A$1850,$A13,時間ごとの判定!$B$3:$B$1850,"&gt;="&amp;判定条件!$C$10,時間ごとの判定!$B$3:$B$1850,"&lt;="&amp;判定条件!$C$11,時間ごとの判定!$AT$3:$AT$1850,"利用可")</f>
        <v>9</v>
      </c>
      <c r="M13" s="22" t="str">
        <f aca="false">IF(L13&gt;=判定条件!$C$12,"利用可","不可")</f>
        <v>利用可</v>
      </c>
      <c r="N13" s="22" t="n">
        <f aca="false">COUNTIFS(時間ごとの判定!$A$3:$A$1850,$A13,時間ごとの判定!$B$3:$B$1850,"&gt;="&amp;判定条件!$C$10,時間ごとの判定!$B$3:$B$1850,"&lt;="&amp;判定条件!$C$11,時間ごとの判定!$AW$3:$AW$1850,"利用可")</f>
        <v>9</v>
      </c>
      <c r="O13" s="22" t="str">
        <f aca="false">IF(N13&gt;=判定条件!$C$12,"利用可","不可")</f>
        <v>利用可</v>
      </c>
      <c r="P13" s="22" t="str">
        <f aca="false">IF(AND(E13="利用可",G13="利用可",I13="利用可"),"利用可","不可")</f>
        <v>不可</v>
      </c>
      <c r="Q13" s="22" t="str">
        <f aca="false">IF(AND(K13="利用可",M13="利用可",O13="利用可"),"利用可","不可")</f>
        <v>利用可</v>
      </c>
      <c r="R13" s="23"/>
    </row>
    <row r="14" customFormat="false" ht="15" hidden="false" customHeight="false" outlineLevel="0" collapsed="false">
      <c r="A14" s="24" t="n">
        <v>46243</v>
      </c>
      <c r="B14" s="25" t="s">
        <v>65</v>
      </c>
      <c r="C14" s="25" t="s">
        <v>64</v>
      </c>
      <c r="D14" s="22" t="n">
        <f aca="false">COUNTIFS(時間ごとの判定!$A$3:$A$1850,$A14,時間ごとの判定!$B$3:$B$1850,"&gt;="&amp;判定条件!$C$10,時間ごとの判定!$B$3:$B$1850,"&lt;="&amp;判定条件!$C$11,時間ごとの判定!$AH$3:$AH$1850,"利用可")</f>
        <v>9</v>
      </c>
      <c r="E14" s="22" t="str">
        <f aca="false">IF(D14&gt;=判定条件!$C$12,"利用可","不可")</f>
        <v>利用可</v>
      </c>
      <c r="F14" s="22" t="n">
        <f aca="false">COUNTIFS(時間ごとの判定!$A$3:$A$1850,$A14,時間ごとの判定!$B$3:$B$1850,"&gt;="&amp;判定条件!$C$10,時間ごとの判定!$B$3:$B$1850,"&lt;="&amp;判定条件!$C$11,時間ごとの判定!$AK$3:$AK$1850,"利用可")</f>
        <v>0</v>
      </c>
      <c r="G14" s="22" t="str">
        <f aca="false">IF(F14&gt;=判定条件!$C$12,"利用可","不可")</f>
        <v>不可</v>
      </c>
      <c r="H14" s="22" t="n">
        <f aca="false">COUNTIFS(時間ごとの判定!$A$3:$A$1850,$A14,時間ごとの判定!$B$3:$B$1850,"&gt;="&amp;判定条件!$C$10,時間ごとの判定!$B$3:$B$1850,"&lt;="&amp;判定条件!$C$11,時間ごとの判定!$AN$3:$AN$1850,"利用可")</f>
        <v>0</v>
      </c>
      <c r="I14" s="22" t="str">
        <f aca="false">IF(H14&gt;=判定条件!$C$12,"利用可","不可")</f>
        <v>不可</v>
      </c>
      <c r="J14" s="22" t="n">
        <f aca="false">COUNTIFS(時間ごとの判定!$A$3:$A$1850,$A14,時間ごとの判定!$B$3:$B$1850,"&gt;="&amp;判定条件!$C$10,時間ごとの判定!$B$3:$B$1850,"&lt;="&amp;判定条件!$C$11,時間ごとの判定!$AQ$3:$AQ$1850,"利用可")</f>
        <v>8</v>
      </c>
      <c r="K14" s="22" t="str">
        <f aca="false">IF(J14&gt;=判定条件!$C$12,"利用可","不可")</f>
        <v>利用可</v>
      </c>
      <c r="L14" s="22" t="n">
        <f aca="false">COUNTIFS(時間ごとの判定!$A$3:$A$1850,$A14,時間ごとの判定!$B$3:$B$1850,"&gt;="&amp;判定条件!$C$10,時間ごとの判定!$B$3:$B$1850,"&lt;="&amp;判定条件!$C$11,時間ごとの判定!$AT$3:$AT$1850,"利用可")</f>
        <v>9</v>
      </c>
      <c r="M14" s="22" t="str">
        <f aca="false">IF(L14&gt;=判定条件!$C$12,"利用可","不可")</f>
        <v>利用可</v>
      </c>
      <c r="N14" s="22" t="n">
        <f aca="false">COUNTIFS(時間ごとの判定!$A$3:$A$1850,$A14,時間ごとの判定!$B$3:$B$1850,"&gt;="&amp;判定条件!$C$10,時間ごとの判定!$B$3:$B$1850,"&lt;="&amp;判定条件!$C$11,時間ごとの判定!$AW$3:$AW$1850,"利用可")</f>
        <v>9</v>
      </c>
      <c r="O14" s="22" t="str">
        <f aca="false">IF(N14&gt;=判定条件!$C$12,"利用可","不可")</f>
        <v>利用可</v>
      </c>
      <c r="P14" s="22" t="str">
        <f aca="false">IF(AND(E14="利用可",G14="利用可",I14="利用可"),"利用可","不可")</f>
        <v>不可</v>
      </c>
      <c r="Q14" s="22" t="str">
        <f aca="false">IF(AND(K14="利用可",M14="利用可",O14="利用可"),"利用可","不可")</f>
        <v>利用可</v>
      </c>
      <c r="R14" s="23"/>
    </row>
    <row r="15" customFormat="false" ht="15" hidden="false" customHeight="false" outlineLevel="0" collapsed="false">
      <c r="A15" s="20" t="n">
        <v>46244</v>
      </c>
      <c r="B15" s="21" t="s">
        <v>66</v>
      </c>
      <c r="C15" s="21" t="s">
        <v>59</v>
      </c>
      <c r="D15" s="22" t="n">
        <f aca="false">COUNTIFS(時間ごとの判定!$A$3:$A$1850,$A15,時間ごとの判定!$B$3:$B$1850,"&gt;="&amp;判定条件!$C$10,時間ごとの判定!$B$3:$B$1850,"&lt;="&amp;判定条件!$C$11,時間ごとの判定!$AH$3:$AH$1850,"利用可")</f>
        <v>9</v>
      </c>
      <c r="E15" s="22" t="str">
        <f aca="false">IF(D15&gt;=判定条件!$C$12,"利用可","不可")</f>
        <v>利用可</v>
      </c>
      <c r="F15" s="22" t="n">
        <f aca="false">COUNTIFS(時間ごとの判定!$A$3:$A$1850,$A15,時間ごとの判定!$B$3:$B$1850,"&gt;="&amp;判定条件!$C$10,時間ごとの判定!$B$3:$B$1850,"&lt;="&amp;判定条件!$C$11,時間ごとの判定!$AK$3:$AK$1850,"利用可")</f>
        <v>0</v>
      </c>
      <c r="G15" s="22" t="str">
        <f aca="false">IF(F15&gt;=判定条件!$C$12,"利用可","不可")</f>
        <v>不可</v>
      </c>
      <c r="H15" s="22" t="n">
        <f aca="false">COUNTIFS(時間ごとの判定!$A$3:$A$1850,$A15,時間ごとの判定!$B$3:$B$1850,"&gt;="&amp;判定条件!$C$10,時間ごとの判定!$B$3:$B$1850,"&lt;="&amp;判定条件!$C$11,時間ごとの判定!$AN$3:$AN$1850,"利用可")</f>
        <v>9</v>
      </c>
      <c r="I15" s="22" t="str">
        <f aca="false">IF(H15&gt;=判定条件!$C$12,"利用可","不可")</f>
        <v>利用可</v>
      </c>
      <c r="J15" s="22" t="n">
        <f aca="false">COUNTIFS(時間ごとの判定!$A$3:$A$1850,$A15,時間ごとの判定!$B$3:$B$1850,"&gt;="&amp;判定条件!$C$10,時間ごとの判定!$B$3:$B$1850,"&lt;="&amp;判定条件!$C$11,時間ごとの判定!$AQ$3:$AQ$1850,"利用可")</f>
        <v>9</v>
      </c>
      <c r="K15" s="22" t="str">
        <f aca="false">IF(J15&gt;=判定条件!$C$12,"利用可","不可")</f>
        <v>利用可</v>
      </c>
      <c r="L15" s="22" t="n">
        <f aca="false">COUNTIFS(時間ごとの判定!$A$3:$A$1850,$A15,時間ごとの判定!$B$3:$B$1850,"&gt;="&amp;判定条件!$C$10,時間ごとの判定!$B$3:$B$1850,"&lt;="&amp;判定条件!$C$11,時間ごとの判定!$AT$3:$AT$1850,"利用可")</f>
        <v>8</v>
      </c>
      <c r="M15" s="22" t="str">
        <f aca="false">IF(L15&gt;=判定条件!$C$12,"利用可","不可")</f>
        <v>利用可</v>
      </c>
      <c r="N15" s="22" t="n">
        <f aca="false">COUNTIFS(時間ごとの判定!$A$3:$A$1850,$A15,時間ごとの判定!$B$3:$B$1850,"&gt;="&amp;判定条件!$C$10,時間ごとの判定!$B$3:$B$1850,"&lt;="&amp;判定条件!$C$11,時間ごとの判定!$AW$3:$AW$1850,"利用可")</f>
        <v>9</v>
      </c>
      <c r="O15" s="22" t="str">
        <f aca="false">IF(N15&gt;=判定条件!$C$12,"利用可","不可")</f>
        <v>利用可</v>
      </c>
      <c r="P15" s="22" t="str">
        <f aca="false">IF(AND(E15="利用可",G15="利用可",I15="利用可"),"利用可","不可")</f>
        <v>不可</v>
      </c>
      <c r="Q15" s="22" t="str">
        <f aca="false">IF(AND(K15="利用可",M15="利用可",O15="利用可"),"利用可","不可")</f>
        <v>利用可</v>
      </c>
      <c r="R15" s="23"/>
    </row>
    <row r="16" customFormat="false" ht="15" hidden="false" customHeight="false" outlineLevel="0" collapsed="false">
      <c r="A16" s="24" t="n">
        <v>46245</v>
      </c>
      <c r="B16" s="25" t="s">
        <v>67</v>
      </c>
      <c r="C16" s="25" t="s">
        <v>68</v>
      </c>
      <c r="D16" s="22" t="n">
        <f aca="false">COUNTIFS(時間ごとの判定!$A$3:$A$1850,$A16,時間ごとの判定!$B$3:$B$1850,"&gt;="&amp;判定条件!$C$10,時間ごとの判定!$B$3:$B$1850,"&lt;="&amp;判定条件!$C$11,時間ごとの判定!$AH$3:$AH$1850,"利用可")</f>
        <v>1</v>
      </c>
      <c r="E16" s="22" t="str">
        <f aca="false">IF(D16&gt;=判定条件!$C$12,"利用可","不可")</f>
        <v>不可</v>
      </c>
      <c r="F16" s="22" t="n">
        <f aca="false">COUNTIFS(時間ごとの判定!$A$3:$A$1850,$A16,時間ごとの判定!$B$3:$B$1850,"&gt;="&amp;判定条件!$C$10,時間ごとの判定!$B$3:$B$1850,"&lt;="&amp;判定条件!$C$11,時間ごとの判定!$AK$3:$AK$1850,"利用可")</f>
        <v>0</v>
      </c>
      <c r="G16" s="22" t="str">
        <f aca="false">IF(F16&gt;=判定条件!$C$12,"利用可","不可")</f>
        <v>不可</v>
      </c>
      <c r="H16" s="22" t="n">
        <f aca="false">COUNTIFS(時間ごとの判定!$A$3:$A$1850,$A16,時間ごとの判定!$B$3:$B$1850,"&gt;="&amp;判定条件!$C$10,時間ごとの判定!$B$3:$B$1850,"&lt;="&amp;判定条件!$C$11,時間ごとの判定!$AN$3:$AN$1850,"利用可")</f>
        <v>3</v>
      </c>
      <c r="I16" s="22" t="str">
        <f aca="false">IF(H16&gt;=判定条件!$C$12,"利用可","不可")</f>
        <v>不可</v>
      </c>
      <c r="J16" s="22" t="n">
        <f aca="false">COUNTIFS(時間ごとの判定!$A$3:$A$1850,$A16,時間ごとの判定!$B$3:$B$1850,"&gt;="&amp;判定条件!$C$10,時間ごとの判定!$B$3:$B$1850,"&lt;="&amp;判定条件!$C$11,時間ごとの判定!$AQ$3:$AQ$1850,"利用可")</f>
        <v>5</v>
      </c>
      <c r="K16" s="22" t="str">
        <f aca="false">IF(J16&gt;=判定条件!$C$12,"利用可","不可")</f>
        <v>不可</v>
      </c>
      <c r="L16" s="22" t="n">
        <f aca="false">COUNTIFS(時間ごとの判定!$A$3:$A$1850,$A16,時間ごとの判定!$B$3:$B$1850,"&gt;="&amp;判定条件!$C$10,時間ごとの判定!$B$3:$B$1850,"&lt;="&amp;判定条件!$C$11,時間ごとの判定!$AT$3:$AT$1850,"利用可")</f>
        <v>4</v>
      </c>
      <c r="M16" s="22" t="str">
        <f aca="false">IF(L16&gt;=判定条件!$C$12,"利用可","不可")</f>
        <v>不可</v>
      </c>
      <c r="N16" s="22" t="n">
        <f aca="false">COUNTIFS(時間ごとの判定!$A$3:$A$1850,$A16,時間ごとの判定!$B$3:$B$1850,"&gt;="&amp;判定条件!$C$10,時間ごとの判定!$B$3:$B$1850,"&lt;="&amp;判定条件!$C$11,時間ごとの判定!$AW$3:$AW$1850,"利用可")</f>
        <v>9</v>
      </c>
      <c r="O16" s="22" t="str">
        <f aca="false">IF(N16&gt;=判定条件!$C$12,"利用可","不可")</f>
        <v>利用可</v>
      </c>
      <c r="P16" s="22" t="str">
        <f aca="false">IF(AND(E16="利用可",G16="利用可",I16="利用可"),"利用可","不可")</f>
        <v>不可</v>
      </c>
      <c r="Q16" s="22" t="str">
        <f aca="false">IF(AND(K16="利用可",M16="利用可",O16="利用可"),"利用可","不可")</f>
        <v>不可</v>
      </c>
      <c r="R16" s="23"/>
    </row>
    <row r="17" customFormat="false" ht="15" hidden="false" customHeight="false" outlineLevel="0" collapsed="false">
      <c r="A17" s="20" t="n">
        <v>46246</v>
      </c>
      <c r="B17" s="21" t="s">
        <v>58</v>
      </c>
      <c r="C17" s="21" t="s">
        <v>59</v>
      </c>
      <c r="D17" s="22" t="n">
        <f aca="false">COUNTIFS(時間ごとの判定!$A$3:$A$1850,$A17,時間ごとの判定!$B$3:$B$1850,"&gt;="&amp;判定条件!$C$10,時間ごとの判定!$B$3:$B$1850,"&lt;="&amp;判定条件!$C$11,時間ごとの判定!$AH$3:$AH$1850,"利用可")</f>
        <v>9</v>
      </c>
      <c r="E17" s="22" t="str">
        <f aca="false">IF(D17&gt;=判定条件!$C$12,"利用可","不可")</f>
        <v>利用可</v>
      </c>
      <c r="F17" s="22" t="n">
        <f aca="false">COUNTIFS(時間ごとの判定!$A$3:$A$1850,$A17,時間ごとの判定!$B$3:$B$1850,"&gt;="&amp;判定条件!$C$10,時間ごとの判定!$B$3:$B$1850,"&lt;="&amp;判定条件!$C$11,時間ごとの判定!$AK$3:$AK$1850,"利用可")</f>
        <v>3</v>
      </c>
      <c r="G17" s="22" t="str">
        <f aca="false">IF(F17&gt;=判定条件!$C$12,"利用可","不可")</f>
        <v>不可</v>
      </c>
      <c r="H17" s="22" t="n">
        <f aca="false">COUNTIFS(時間ごとの判定!$A$3:$A$1850,$A17,時間ごとの判定!$B$3:$B$1850,"&gt;="&amp;判定条件!$C$10,時間ごとの判定!$B$3:$B$1850,"&lt;="&amp;判定条件!$C$11,時間ごとの判定!$AN$3:$AN$1850,"利用可")</f>
        <v>9</v>
      </c>
      <c r="I17" s="22" t="str">
        <f aca="false">IF(H17&gt;=判定条件!$C$12,"利用可","不可")</f>
        <v>利用可</v>
      </c>
      <c r="J17" s="22" t="n">
        <f aca="false">COUNTIFS(時間ごとの判定!$A$3:$A$1850,$A17,時間ごとの判定!$B$3:$B$1850,"&gt;="&amp;判定条件!$C$10,時間ごとの判定!$B$3:$B$1850,"&lt;="&amp;判定条件!$C$11,時間ごとの判定!$AQ$3:$AQ$1850,"利用可")</f>
        <v>9</v>
      </c>
      <c r="K17" s="22" t="str">
        <f aca="false">IF(J17&gt;=判定条件!$C$12,"利用可","不可")</f>
        <v>利用可</v>
      </c>
      <c r="L17" s="22" t="n">
        <f aca="false">COUNTIFS(時間ごとの判定!$A$3:$A$1850,$A17,時間ごとの判定!$B$3:$B$1850,"&gt;="&amp;判定条件!$C$10,時間ごとの判定!$B$3:$B$1850,"&lt;="&amp;判定条件!$C$11,時間ごとの判定!$AT$3:$AT$1850,"利用可")</f>
        <v>9</v>
      </c>
      <c r="M17" s="22" t="str">
        <f aca="false">IF(L17&gt;=判定条件!$C$12,"利用可","不可")</f>
        <v>利用可</v>
      </c>
      <c r="N17" s="22" t="n">
        <f aca="false">COUNTIFS(時間ごとの判定!$A$3:$A$1850,$A17,時間ごとの判定!$B$3:$B$1850,"&gt;="&amp;判定条件!$C$10,時間ごとの判定!$B$3:$B$1850,"&lt;="&amp;判定条件!$C$11,時間ごとの判定!$AW$3:$AW$1850,"利用可")</f>
        <v>9</v>
      </c>
      <c r="O17" s="22" t="str">
        <f aca="false">IF(N17&gt;=判定条件!$C$12,"利用可","不可")</f>
        <v>利用可</v>
      </c>
      <c r="P17" s="22" t="str">
        <f aca="false">IF(AND(E17="利用可",G17="利用可",I17="利用可"),"利用可","不可")</f>
        <v>不可</v>
      </c>
      <c r="Q17" s="22" t="str">
        <f aca="false">IF(AND(K17="利用可",M17="利用可",O17="利用可"),"利用可","不可")</f>
        <v>利用可</v>
      </c>
      <c r="R17" s="23"/>
    </row>
    <row r="18" customFormat="false" ht="15" hidden="false" customHeight="false" outlineLevel="0" collapsed="false">
      <c r="A18" s="20" t="n">
        <v>46247</v>
      </c>
      <c r="B18" s="21" t="s">
        <v>61</v>
      </c>
      <c r="C18" s="21" t="s">
        <v>59</v>
      </c>
      <c r="D18" s="22" t="n">
        <f aca="false">COUNTIFS(時間ごとの判定!$A$3:$A$1850,$A18,時間ごとの判定!$B$3:$B$1850,"&gt;="&amp;判定条件!$C$10,時間ごとの判定!$B$3:$B$1850,"&lt;="&amp;判定条件!$C$11,時間ごとの判定!$AH$3:$AH$1850,"利用可")</f>
        <v>7</v>
      </c>
      <c r="E18" s="22" t="str">
        <f aca="false">IF(D18&gt;=判定条件!$C$12,"利用可","不可")</f>
        <v>利用可</v>
      </c>
      <c r="F18" s="22" t="n">
        <f aca="false">COUNTIFS(時間ごとの判定!$A$3:$A$1850,$A18,時間ごとの判定!$B$3:$B$1850,"&gt;="&amp;判定条件!$C$10,時間ごとの判定!$B$3:$B$1850,"&lt;="&amp;判定条件!$C$11,時間ごとの判定!$AK$3:$AK$1850,"利用可")</f>
        <v>0</v>
      </c>
      <c r="G18" s="22" t="str">
        <f aca="false">IF(F18&gt;=判定条件!$C$12,"利用可","不可")</f>
        <v>不可</v>
      </c>
      <c r="H18" s="22" t="n">
        <f aca="false">COUNTIFS(時間ごとの判定!$A$3:$A$1850,$A18,時間ごとの判定!$B$3:$B$1850,"&gt;="&amp;判定条件!$C$10,時間ごとの判定!$B$3:$B$1850,"&lt;="&amp;判定条件!$C$11,時間ごとの判定!$AN$3:$AN$1850,"利用可")</f>
        <v>9</v>
      </c>
      <c r="I18" s="22" t="str">
        <f aca="false">IF(H18&gt;=判定条件!$C$12,"利用可","不可")</f>
        <v>利用可</v>
      </c>
      <c r="J18" s="22" t="n">
        <f aca="false">COUNTIFS(時間ごとの判定!$A$3:$A$1850,$A18,時間ごとの判定!$B$3:$B$1850,"&gt;="&amp;判定条件!$C$10,時間ごとの判定!$B$3:$B$1850,"&lt;="&amp;判定条件!$C$11,時間ごとの判定!$AQ$3:$AQ$1850,"利用可")</f>
        <v>8</v>
      </c>
      <c r="K18" s="22" t="str">
        <f aca="false">IF(J18&gt;=判定条件!$C$12,"利用可","不可")</f>
        <v>利用可</v>
      </c>
      <c r="L18" s="22" t="n">
        <f aca="false">COUNTIFS(時間ごとの判定!$A$3:$A$1850,$A18,時間ごとの判定!$B$3:$B$1850,"&gt;="&amp;判定条件!$C$10,時間ごとの判定!$B$3:$B$1850,"&lt;="&amp;判定条件!$C$11,時間ごとの判定!$AT$3:$AT$1850,"利用可")</f>
        <v>7</v>
      </c>
      <c r="M18" s="22" t="str">
        <f aca="false">IF(L18&gt;=判定条件!$C$12,"利用可","不可")</f>
        <v>利用可</v>
      </c>
      <c r="N18" s="22" t="n">
        <f aca="false">COUNTIFS(時間ごとの判定!$A$3:$A$1850,$A18,時間ごとの判定!$B$3:$B$1850,"&gt;="&amp;判定条件!$C$10,時間ごとの判定!$B$3:$B$1850,"&lt;="&amp;判定条件!$C$11,時間ごとの判定!$AW$3:$AW$1850,"利用可")</f>
        <v>9</v>
      </c>
      <c r="O18" s="22" t="str">
        <f aca="false">IF(N18&gt;=判定条件!$C$12,"利用可","不可")</f>
        <v>利用可</v>
      </c>
      <c r="P18" s="22" t="str">
        <f aca="false">IF(AND(E18="利用可",G18="利用可",I18="利用可"),"利用可","不可")</f>
        <v>不可</v>
      </c>
      <c r="Q18" s="22" t="str">
        <f aca="false">IF(AND(K18="利用可",M18="利用可",O18="利用可"),"利用可","不可")</f>
        <v>利用可</v>
      </c>
      <c r="R18" s="23"/>
    </row>
    <row r="19" customFormat="false" ht="15" hidden="false" customHeight="false" outlineLevel="0" collapsed="false">
      <c r="A19" s="20" t="n">
        <v>46248</v>
      </c>
      <c r="B19" s="21" t="s">
        <v>62</v>
      </c>
      <c r="C19" s="21" t="s">
        <v>59</v>
      </c>
      <c r="D19" s="22" t="n">
        <f aca="false">COUNTIFS(時間ごとの判定!$A$3:$A$1850,$A19,時間ごとの判定!$B$3:$B$1850,"&gt;="&amp;判定条件!$C$10,時間ごとの判定!$B$3:$B$1850,"&lt;="&amp;判定条件!$C$11,時間ごとの判定!$AH$3:$AH$1850,"利用可")</f>
        <v>8</v>
      </c>
      <c r="E19" s="22" t="str">
        <f aca="false">IF(D19&gt;=判定条件!$C$12,"利用可","不可")</f>
        <v>利用可</v>
      </c>
      <c r="F19" s="22" t="n">
        <f aca="false">COUNTIFS(時間ごとの判定!$A$3:$A$1850,$A19,時間ごとの判定!$B$3:$B$1850,"&gt;="&amp;判定条件!$C$10,時間ごとの判定!$B$3:$B$1850,"&lt;="&amp;判定条件!$C$11,時間ごとの判定!$AK$3:$AK$1850,"利用可")</f>
        <v>1</v>
      </c>
      <c r="G19" s="22" t="str">
        <f aca="false">IF(F19&gt;=判定条件!$C$12,"利用可","不可")</f>
        <v>不可</v>
      </c>
      <c r="H19" s="22" t="n">
        <f aca="false">COUNTIFS(時間ごとの判定!$A$3:$A$1850,$A19,時間ごとの判定!$B$3:$B$1850,"&gt;="&amp;判定条件!$C$10,時間ごとの判定!$B$3:$B$1850,"&lt;="&amp;判定条件!$C$11,時間ごとの判定!$AN$3:$AN$1850,"利用可")</f>
        <v>7</v>
      </c>
      <c r="I19" s="22" t="str">
        <f aca="false">IF(H19&gt;=判定条件!$C$12,"利用可","不可")</f>
        <v>利用可</v>
      </c>
      <c r="J19" s="22" t="n">
        <f aca="false">COUNTIFS(時間ごとの判定!$A$3:$A$1850,$A19,時間ごとの判定!$B$3:$B$1850,"&gt;="&amp;判定条件!$C$10,時間ごとの判定!$B$3:$B$1850,"&lt;="&amp;判定条件!$C$11,時間ごとの判定!$AQ$3:$AQ$1850,"利用可")</f>
        <v>7</v>
      </c>
      <c r="K19" s="22" t="str">
        <f aca="false">IF(J19&gt;=判定条件!$C$12,"利用可","不可")</f>
        <v>利用可</v>
      </c>
      <c r="L19" s="22" t="n">
        <f aca="false">COUNTIFS(時間ごとの判定!$A$3:$A$1850,$A19,時間ごとの判定!$B$3:$B$1850,"&gt;="&amp;判定条件!$C$10,時間ごとの判定!$B$3:$B$1850,"&lt;="&amp;判定条件!$C$11,時間ごとの判定!$AT$3:$AT$1850,"利用可")</f>
        <v>7</v>
      </c>
      <c r="M19" s="22" t="str">
        <f aca="false">IF(L19&gt;=判定条件!$C$12,"利用可","不可")</f>
        <v>利用可</v>
      </c>
      <c r="N19" s="22" t="n">
        <f aca="false">COUNTIFS(時間ごとの判定!$A$3:$A$1850,$A19,時間ごとの判定!$B$3:$B$1850,"&gt;="&amp;判定条件!$C$10,時間ごとの判定!$B$3:$B$1850,"&lt;="&amp;判定条件!$C$11,時間ごとの判定!$AW$3:$AW$1850,"利用可")</f>
        <v>8</v>
      </c>
      <c r="O19" s="22" t="str">
        <f aca="false">IF(N19&gt;=判定条件!$C$12,"利用可","不可")</f>
        <v>利用可</v>
      </c>
      <c r="P19" s="22" t="str">
        <f aca="false">IF(AND(E19="利用可",G19="利用可",I19="利用可"),"利用可","不可")</f>
        <v>不可</v>
      </c>
      <c r="Q19" s="22" t="str">
        <f aca="false">IF(AND(K19="利用可",M19="利用可",O19="利用可"),"利用可","不可")</f>
        <v>利用可</v>
      </c>
      <c r="R19" s="26" t="s">
        <v>69</v>
      </c>
    </row>
    <row r="20" customFormat="false" ht="15" hidden="false" customHeight="false" outlineLevel="0" collapsed="false">
      <c r="A20" s="24" t="n">
        <v>46249</v>
      </c>
      <c r="B20" s="25" t="s">
        <v>63</v>
      </c>
      <c r="C20" s="25" t="s">
        <v>64</v>
      </c>
      <c r="D20" s="22" t="n">
        <f aca="false">COUNTIFS(時間ごとの判定!$A$3:$A$1850,$A20,時間ごとの判定!$B$3:$B$1850,"&gt;="&amp;判定条件!$C$10,時間ごとの判定!$B$3:$B$1850,"&lt;="&amp;判定条件!$C$11,時間ごとの判定!$AH$3:$AH$1850,"利用可")</f>
        <v>4</v>
      </c>
      <c r="E20" s="22" t="str">
        <f aca="false">IF(D20&gt;=判定条件!$C$12,"利用可","不可")</f>
        <v>不可</v>
      </c>
      <c r="F20" s="22" t="n">
        <f aca="false">COUNTIFS(時間ごとの判定!$A$3:$A$1850,$A20,時間ごとの判定!$B$3:$B$1850,"&gt;="&amp;判定条件!$C$10,時間ごとの判定!$B$3:$B$1850,"&lt;="&amp;判定条件!$C$11,時間ごとの判定!$AK$3:$AK$1850,"利用可")</f>
        <v>0</v>
      </c>
      <c r="G20" s="22" t="str">
        <f aca="false">IF(F20&gt;=判定条件!$C$12,"利用可","不可")</f>
        <v>不可</v>
      </c>
      <c r="H20" s="22" t="n">
        <f aca="false">COUNTIFS(時間ごとの判定!$A$3:$A$1850,$A20,時間ごとの判定!$B$3:$B$1850,"&gt;="&amp;判定条件!$C$10,時間ごとの判定!$B$3:$B$1850,"&lt;="&amp;判定条件!$C$11,時間ごとの判定!$AN$3:$AN$1850,"利用可")</f>
        <v>0</v>
      </c>
      <c r="I20" s="22" t="str">
        <f aca="false">IF(H20&gt;=判定条件!$C$12,"利用可","不可")</f>
        <v>不可</v>
      </c>
      <c r="J20" s="22" t="n">
        <f aca="false">COUNTIFS(時間ごとの判定!$A$3:$A$1850,$A20,時間ごとの判定!$B$3:$B$1850,"&gt;="&amp;判定条件!$C$10,時間ごとの判定!$B$3:$B$1850,"&lt;="&amp;判定条件!$C$11,時間ごとの判定!$AQ$3:$AQ$1850,"利用可")</f>
        <v>9</v>
      </c>
      <c r="K20" s="22" t="str">
        <f aca="false">IF(J20&gt;=判定条件!$C$12,"利用可","不可")</f>
        <v>利用可</v>
      </c>
      <c r="L20" s="22" t="n">
        <f aca="false">COUNTIFS(時間ごとの判定!$A$3:$A$1850,$A20,時間ごとの判定!$B$3:$B$1850,"&gt;="&amp;判定条件!$C$10,時間ごとの判定!$B$3:$B$1850,"&lt;="&amp;判定条件!$C$11,時間ごとの判定!$AT$3:$AT$1850,"利用可")</f>
        <v>4</v>
      </c>
      <c r="M20" s="22" t="str">
        <f aca="false">IF(L20&gt;=判定条件!$C$12,"利用可","不可")</f>
        <v>不可</v>
      </c>
      <c r="N20" s="22" t="n">
        <f aca="false">COUNTIFS(時間ごとの判定!$A$3:$A$1850,$A20,時間ごとの判定!$B$3:$B$1850,"&gt;="&amp;判定条件!$C$10,時間ごとの判定!$B$3:$B$1850,"&lt;="&amp;判定条件!$C$11,時間ごとの判定!$AW$3:$AW$1850,"利用可")</f>
        <v>9</v>
      </c>
      <c r="O20" s="22" t="str">
        <f aca="false">IF(N20&gt;=判定条件!$C$12,"利用可","不可")</f>
        <v>利用可</v>
      </c>
      <c r="P20" s="22" t="str">
        <f aca="false">IF(AND(E20="利用可",G20="利用可",I20="利用可"),"利用可","不可")</f>
        <v>不可</v>
      </c>
      <c r="Q20" s="22" t="str">
        <f aca="false">IF(AND(K20="利用可",M20="利用可",O20="利用可"),"利用可","不可")</f>
        <v>不可</v>
      </c>
      <c r="R20" s="26" t="s">
        <v>69</v>
      </c>
    </row>
    <row r="21" customFormat="false" ht="15" hidden="false" customHeight="false" outlineLevel="0" collapsed="false">
      <c r="A21" s="24" t="n">
        <v>46250</v>
      </c>
      <c r="B21" s="25" t="s">
        <v>65</v>
      </c>
      <c r="C21" s="25" t="s">
        <v>64</v>
      </c>
      <c r="D21" s="22" t="n">
        <f aca="false">COUNTIFS(時間ごとの判定!$A$3:$A$1850,$A21,時間ごとの判定!$B$3:$B$1850,"&gt;="&amp;判定条件!$C$10,時間ごとの判定!$B$3:$B$1850,"&lt;="&amp;判定条件!$C$11,時間ごとの判定!$AH$3:$AH$1850,"利用可")</f>
        <v>0</v>
      </c>
      <c r="E21" s="22" t="str">
        <f aca="false">IF(D21&gt;=判定条件!$C$12,"利用可","不可")</f>
        <v>不可</v>
      </c>
      <c r="F21" s="22" t="n">
        <f aca="false">COUNTIFS(時間ごとの判定!$A$3:$A$1850,$A21,時間ごとの判定!$B$3:$B$1850,"&gt;="&amp;判定条件!$C$10,時間ごとの判定!$B$3:$B$1850,"&lt;="&amp;判定条件!$C$11,時間ごとの判定!$AK$3:$AK$1850,"利用可")</f>
        <v>0</v>
      </c>
      <c r="G21" s="22" t="str">
        <f aca="false">IF(F21&gt;=判定条件!$C$12,"利用可","不可")</f>
        <v>不可</v>
      </c>
      <c r="H21" s="22" t="n">
        <f aca="false">COUNTIFS(時間ごとの判定!$A$3:$A$1850,$A21,時間ごとの判定!$B$3:$B$1850,"&gt;="&amp;判定条件!$C$10,時間ごとの判定!$B$3:$B$1850,"&lt;="&amp;判定条件!$C$11,時間ごとの判定!$AN$3:$AN$1850,"利用可")</f>
        <v>1</v>
      </c>
      <c r="I21" s="22" t="str">
        <f aca="false">IF(H21&gt;=判定条件!$C$12,"利用可","不可")</f>
        <v>不可</v>
      </c>
      <c r="J21" s="22" t="n">
        <f aca="false">COUNTIFS(時間ごとの判定!$A$3:$A$1850,$A21,時間ごとの判定!$B$3:$B$1850,"&gt;="&amp;判定条件!$C$10,時間ごとの判定!$B$3:$B$1850,"&lt;="&amp;判定条件!$C$11,時間ごとの判定!$AQ$3:$AQ$1850,"利用可")</f>
        <v>9</v>
      </c>
      <c r="K21" s="22" t="str">
        <f aca="false">IF(J21&gt;=判定条件!$C$12,"利用可","不可")</f>
        <v>利用可</v>
      </c>
      <c r="L21" s="22" t="n">
        <f aca="false">COUNTIFS(時間ごとの判定!$A$3:$A$1850,$A21,時間ごとの判定!$B$3:$B$1850,"&gt;="&amp;判定条件!$C$10,時間ごとの判定!$B$3:$B$1850,"&lt;="&amp;判定条件!$C$11,時間ごとの判定!$AT$3:$AT$1850,"利用可")</f>
        <v>4</v>
      </c>
      <c r="M21" s="22" t="str">
        <f aca="false">IF(L21&gt;=判定条件!$C$12,"利用可","不可")</f>
        <v>不可</v>
      </c>
      <c r="N21" s="22" t="n">
        <f aca="false">COUNTIFS(時間ごとの判定!$A$3:$A$1850,$A21,時間ごとの判定!$B$3:$B$1850,"&gt;="&amp;判定条件!$C$10,時間ごとの判定!$B$3:$B$1850,"&lt;="&amp;判定条件!$C$11,時間ごとの判定!$AW$3:$AW$1850,"利用可")</f>
        <v>9</v>
      </c>
      <c r="O21" s="22" t="str">
        <f aca="false">IF(N21&gt;=判定条件!$C$12,"利用可","不可")</f>
        <v>利用可</v>
      </c>
      <c r="P21" s="22" t="str">
        <f aca="false">IF(AND(E21="利用可",G21="利用可",I21="利用可"),"利用可","不可")</f>
        <v>不可</v>
      </c>
      <c r="Q21" s="22" t="str">
        <f aca="false">IF(AND(K21="利用可",M21="利用可",O21="利用可"),"利用可","不可")</f>
        <v>不可</v>
      </c>
      <c r="R21" s="26" t="s">
        <v>69</v>
      </c>
    </row>
    <row r="22" customFormat="false" ht="15" hidden="false" customHeight="false" outlineLevel="0" collapsed="false">
      <c r="A22" s="20" t="n">
        <v>46251</v>
      </c>
      <c r="B22" s="21" t="s">
        <v>66</v>
      </c>
      <c r="C22" s="21" t="s">
        <v>59</v>
      </c>
      <c r="D22" s="22" t="n">
        <f aca="false">COUNTIFS(時間ごとの判定!$A$3:$A$1850,$A22,時間ごとの判定!$B$3:$B$1850,"&gt;="&amp;判定条件!$C$10,時間ごとの判定!$B$3:$B$1850,"&lt;="&amp;判定条件!$C$11,時間ごとの判定!$AH$3:$AH$1850,"利用可")</f>
        <v>9</v>
      </c>
      <c r="E22" s="22" t="str">
        <f aca="false">IF(D22&gt;=判定条件!$C$12,"利用可","不可")</f>
        <v>利用可</v>
      </c>
      <c r="F22" s="22" t="n">
        <f aca="false">COUNTIFS(時間ごとの判定!$A$3:$A$1850,$A22,時間ごとの判定!$B$3:$B$1850,"&gt;="&amp;判定条件!$C$10,時間ごとの判定!$B$3:$B$1850,"&lt;="&amp;判定条件!$C$11,時間ごとの判定!$AK$3:$AK$1850,"利用可")</f>
        <v>0</v>
      </c>
      <c r="G22" s="22" t="str">
        <f aca="false">IF(F22&gt;=判定条件!$C$12,"利用可","不可")</f>
        <v>不可</v>
      </c>
      <c r="H22" s="22" t="n">
        <f aca="false">COUNTIFS(時間ごとの判定!$A$3:$A$1850,$A22,時間ごとの判定!$B$3:$B$1850,"&gt;="&amp;判定条件!$C$10,時間ごとの判定!$B$3:$B$1850,"&lt;="&amp;判定条件!$C$11,時間ごとの判定!$AN$3:$AN$1850,"利用可")</f>
        <v>9</v>
      </c>
      <c r="I22" s="22" t="str">
        <f aca="false">IF(H22&gt;=判定条件!$C$12,"利用可","不可")</f>
        <v>利用可</v>
      </c>
      <c r="J22" s="22" t="n">
        <f aca="false">COUNTIFS(時間ごとの判定!$A$3:$A$1850,$A22,時間ごとの判定!$B$3:$B$1850,"&gt;="&amp;判定条件!$C$10,時間ごとの判定!$B$3:$B$1850,"&lt;="&amp;判定条件!$C$11,時間ごとの判定!$AQ$3:$AQ$1850,"利用可")</f>
        <v>9</v>
      </c>
      <c r="K22" s="22" t="str">
        <f aca="false">IF(J22&gt;=判定条件!$C$12,"利用可","不可")</f>
        <v>利用可</v>
      </c>
      <c r="L22" s="22" t="n">
        <f aca="false">COUNTIFS(時間ごとの判定!$A$3:$A$1850,$A22,時間ごとの判定!$B$3:$B$1850,"&gt;="&amp;判定条件!$C$10,時間ごとの判定!$B$3:$B$1850,"&lt;="&amp;判定条件!$C$11,時間ごとの判定!$AT$3:$AT$1850,"利用可")</f>
        <v>8</v>
      </c>
      <c r="M22" s="22" t="str">
        <f aca="false">IF(L22&gt;=判定条件!$C$12,"利用可","不可")</f>
        <v>利用可</v>
      </c>
      <c r="N22" s="22" t="n">
        <f aca="false">COUNTIFS(時間ごとの判定!$A$3:$A$1850,$A22,時間ごとの判定!$B$3:$B$1850,"&gt;="&amp;判定条件!$C$10,時間ごとの判定!$B$3:$B$1850,"&lt;="&amp;判定条件!$C$11,時間ごとの判定!$AW$3:$AW$1850,"利用可")</f>
        <v>9</v>
      </c>
      <c r="O22" s="22" t="str">
        <f aca="false">IF(N22&gt;=判定条件!$C$12,"利用可","不可")</f>
        <v>利用可</v>
      </c>
      <c r="P22" s="22" t="str">
        <f aca="false">IF(AND(E22="利用可",G22="利用可",I22="利用可"),"利用可","不可")</f>
        <v>不可</v>
      </c>
      <c r="Q22" s="22" t="str">
        <f aca="false">IF(AND(K22="利用可",M22="利用可",O22="利用可"),"利用可","不可")</f>
        <v>利用可</v>
      </c>
      <c r="R22" s="26" t="s">
        <v>69</v>
      </c>
    </row>
    <row r="23" customFormat="false" ht="15" hidden="false" customHeight="false" outlineLevel="0" collapsed="false">
      <c r="A23" s="20" t="n">
        <v>46252</v>
      </c>
      <c r="B23" s="21" t="s">
        <v>67</v>
      </c>
      <c r="C23" s="21" t="s">
        <v>59</v>
      </c>
      <c r="D23" s="22" t="n">
        <f aca="false">COUNTIFS(時間ごとの判定!$A$3:$A$1850,$A23,時間ごとの判定!$B$3:$B$1850,"&gt;="&amp;判定条件!$C$10,時間ごとの判定!$B$3:$B$1850,"&lt;="&amp;判定条件!$C$11,時間ごとの判定!$AH$3:$AH$1850,"利用可")</f>
        <v>9</v>
      </c>
      <c r="E23" s="22" t="str">
        <f aca="false">IF(D23&gt;=判定条件!$C$12,"利用可","不可")</f>
        <v>利用可</v>
      </c>
      <c r="F23" s="22" t="n">
        <f aca="false">COUNTIFS(時間ごとの判定!$A$3:$A$1850,$A23,時間ごとの判定!$B$3:$B$1850,"&gt;="&amp;判定条件!$C$10,時間ごとの判定!$B$3:$B$1850,"&lt;="&amp;判定条件!$C$11,時間ごとの判定!$AK$3:$AK$1850,"利用可")</f>
        <v>0</v>
      </c>
      <c r="G23" s="22" t="str">
        <f aca="false">IF(F23&gt;=判定条件!$C$12,"利用可","不可")</f>
        <v>不可</v>
      </c>
      <c r="H23" s="22" t="n">
        <f aca="false">COUNTIFS(時間ごとの判定!$A$3:$A$1850,$A23,時間ごとの判定!$B$3:$B$1850,"&gt;="&amp;判定条件!$C$10,時間ごとの判定!$B$3:$B$1850,"&lt;="&amp;判定条件!$C$11,時間ごとの判定!$AN$3:$AN$1850,"利用可")</f>
        <v>9</v>
      </c>
      <c r="I23" s="22" t="str">
        <f aca="false">IF(H23&gt;=判定条件!$C$12,"利用可","不可")</f>
        <v>利用可</v>
      </c>
      <c r="J23" s="22" t="n">
        <f aca="false">COUNTIFS(時間ごとの判定!$A$3:$A$1850,$A23,時間ごとの判定!$B$3:$B$1850,"&gt;="&amp;判定条件!$C$10,時間ごとの判定!$B$3:$B$1850,"&lt;="&amp;判定条件!$C$11,時間ごとの判定!$AQ$3:$AQ$1850,"利用可")</f>
        <v>9</v>
      </c>
      <c r="K23" s="22" t="str">
        <f aca="false">IF(J23&gt;=判定条件!$C$12,"利用可","不可")</f>
        <v>利用可</v>
      </c>
      <c r="L23" s="22" t="n">
        <f aca="false">COUNTIFS(時間ごとの判定!$A$3:$A$1850,$A23,時間ごとの判定!$B$3:$B$1850,"&gt;="&amp;判定条件!$C$10,時間ごとの判定!$B$3:$B$1850,"&lt;="&amp;判定条件!$C$11,時間ごとの判定!$AT$3:$AT$1850,"利用可")</f>
        <v>9</v>
      </c>
      <c r="M23" s="22" t="str">
        <f aca="false">IF(L23&gt;=判定条件!$C$12,"利用可","不可")</f>
        <v>利用可</v>
      </c>
      <c r="N23" s="22" t="n">
        <f aca="false">COUNTIFS(時間ごとの判定!$A$3:$A$1850,$A23,時間ごとの判定!$B$3:$B$1850,"&gt;="&amp;判定条件!$C$10,時間ごとの判定!$B$3:$B$1850,"&lt;="&amp;判定条件!$C$11,時間ごとの判定!$AW$3:$AW$1850,"利用可")</f>
        <v>9</v>
      </c>
      <c r="O23" s="22" t="str">
        <f aca="false">IF(N23&gt;=判定条件!$C$12,"利用可","不可")</f>
        <v>利用可</v>
      </c>
      <c r="P23" s="22" t="str">
        <f aca="false">IF(AND(E23="利用可",G23="利用可",I23="利用可"),"利用可","不可")</f>
        <v>不可</v>
      </c>
      <c r="Q23" s="22" t="str">
        <f aca="false">IF(AND(K23="利用可",M23="利用可",O23="利用可"),"利用可","不可")</f>
        <v>利用可</v>
      </c>
      <c r="R23" s="26" t="s">
        <v>69</v>
      </c>
    </row>
    <row r="24" customFormat="false" ht="15" hidden="false" customHeight="false" outlineLevel="0" collapsed="false">
      <c r="A24" s="20" t="n">
        <v>46253</v>
      </c>
      <c r="B24" s="21" t="s">
        <v>58</v>
      </c>
      <c r="C24" s="21" t="s">
        <v>59</v>
      </c>
      <c r="D24" s="22" t="n">
        <f aca="false">COUNTIFS(時間ごとの判定!$A$3:$A$1850,$A24,時間ごとの判定!$B$3:$B$1850,"&gt;="&amp;判定条件!$C$10,時間ごとの判定!$B$3:$B$1850,"&lt;="&amp;判定条件!$C$11,時間ごとの判定!$AH$3:$AH$1850,"利用可")</f>
        <v>9</v>
      </c>
      <c r="E24" s="22" t="str">
        <f aca="false">IF(D24&gt;=判定条件!$C$12,"利用可","不可")</f>
        <v>利用可</v>
      </c>
      <c r="F24" s="22" t="n">
        <f aca="false">COUNTIFS(時間ごとの判定!$A$3:$A$1850,$A24,時間ごとの判定!$B$3:$B$1850,"&gt;="&amp;判定条件!$C$10,時間ごとの判定!$B$3:$B$1850,"&lt;="&amp;判定条件!$C$11,時間ごとの判定!$AK$3:$AK$1850,"利用可")</f>
        <v>0</v>
      </c>
      <c r="G24" s="22" t="str">
        <f aca="false">IF(F24&gt;=判定条件!$C$12,"利用可","不可")</f>
        <v>不可</v>
      </c>
      <c r="H24" s="22" t="n">
        <f aca="false">COUNTIFS(時間ごとの判定!$A$3:$A$1850,$A24,時間ごとの判定!$B$3:$B$1850,"&gt;="&amp;判定条件!$C$10,時間ごとの判定!$B$3:$B$1850,"&lt;="&amp;判定条件!$C$11,時間ごとの判定!$AN$3:$AN$1850,"利用可")</f>
        <v>8</v>
      </c>
      <c r="I24" s="22" t="str">
        <f aca="false">IF(H24&gt;=判定条件!$C$12,"利用可","不可")</f>
        <v>利用可</v>
      </c>
      <c r="J24" s="22" t="n">
        <f aca="false">COUNTIFS(時間ごとの判定!$A$3:$A$1850,$A24,時間ごとの判定!$B$3:$B$1850,"&gt;="&amp;判定条件!$C$10,時間ごとの判定!$B$3:$B$1850,"&lt;="&amp;判定条件!$C$11,時間ごとの判定!$AQ$3:$AQ$1850,"利用可")</f>
        <v>9</v>
      </c>
      <c r="K24" s="22" t="str">
        <f aca="false">IF(J24&gt;=判定条件!$C$12,"利用可","不可")</f>
        <v>利用可</v>
      </c>
      <c r="L24" s="22" t="n">
        <f aca="false">COUNTIFS(時間ごとの判定!$A$3:$A$1850,$A24,時間ごとの判定!$B$3:$B$1850,"&gt;="&amp;判定条件!$C$10,時間ごとの判定!$B$3:$B$1850,"&lt;="&amp;判定条件!$C$11,時間ごとの判定!$AT$3:$AT$1850,"利用可")</f>
        <v>8</v>
      </c>
      <c r="M24" s="22" t="str">
        <f aca="false">IF(L24&gt;=判定条件!$C$12,"利用可","不可")</f>
        <v>利用可</v>
      </c>
      <c r="N24" s="22" t="n">
        <f aca="false">COUNTIFS(時間ごとの判定!$A$3:$A$1850,$A24,時間ごとの判定!$B$3:$B$1850,"&gt;="&amp;判定条件!$C$10,時間ごとの判定!$B$3:$B$1850,"&lt;="&amp;判定条件!$C$11,時間ごとの判定!$AW$3:$AW$1850,"利用可")</f>
        <v>9</v>
      </c>
      <c r="O24" s="22" t="str">
        <f aca="false">IF(N24&gt;=判定条件!$C$12,"利用可","不可")</f>
        <v>利用可</v>
      </c>
      <c r="P24" s="22" t="str">
        <f aca="false">IF(AND(E24="利用可",G24="利用可",I24="利用可"),"利用可","不可")</f>
        <v>不可</v>
      </c>
      <c r="Q24" s="22" t="str">
        <f aca="false">IF(AND(K24="利用可",M24="利用可",O24="利用可"),"利用可","不可")</f>
        <v>利用可</v>
      </c>
      <c r="R24" s="26" t="s">
        <v>69</v>
      </c>
    </row>
    <row r="25" customFormat="false" ht="15" hidden="false" customHeight="false" outlineLevel="0" collapsed="false">
      <c r="A25" s="20" t="n">
        <v>46254</v>
      </c>
      <c r="B25" s="21" t="s">
        <v>61</v>
      </c>
      <c r="C25" s="21" t="s">
        <v>59</v>
      </c>
      <c r="D25" s="22" t="n">
        <f aca="false">COUNTIFS(時間ごとの判定!$A$3:$A$1850,$A25,時間ごとの判定!$B$3:$B$1850,"&gt;="&amp;判定条件!$C$10,時間ごとの判定!$B$3:$B$1850,"&lt;="&amp;判定条件!$C$11,時間ごとの判定!$AH$3:$AH$1850,"利用可")</f>
        <v>9</v>
      </c>
      <c r="E25" s="22" t="str">
        <f aca="false">IF(D25&gt;=判定条件!$C$12,"利用可","不可")</f>
        <v>利用可</v>
      </c>
      <c r="F25" s="22" t="n">
        <f aca="false">COUNTIFS(時間ごとの判定!$A$3:$A$1850,$A25,時間ごとの判定!$B$3:$B$1850,"&gt;="&amp;判定条件!$C$10,時間ごとの判定!$B$3:$B$1850,"&lt;="&amp;判定条件!$C$11,時間ごとの判定!$AK$3:$AK$1850,"利用可")</f>
        <v>0</v>
      </c>
      <c r="G25" s="22" t="str">
        <f aca="false">IF(F25&gt;=判定条件!$C$12,"利用可","不可")</f>
        <v>不可</v>
      </c>
      <c r="H25" s="22" t="n">
        <f aca="false">COUNTIFS(時間ごとの判定!$A$3:$A$1850,$A25,時間ごとの判定!$B$3:$B$1850,"&gt;="&amp;判定条件!$C$10,時間ごとの判定!$B$3:$B$1850,"&lt;="&amp;判定条件!$C$11,時間ごとの判定!$AN$3:$AN$1850,"利用可")</f>
        <v>9</v>
      </c>
      <c r="I25" s="22" t="str">
        <f aca="false">IF(H25&gt;=判定条件!$C$12,"利用可","不可")</f>
        <v>利用可</v>
      </c>
      <c r="J25" s="22" t="n">
        <f aca="false">COUNTIFS(時間ごとの判定!$A$3:$A$1850,$A25,時間ごとの判定!$B$3:$B$1850,"&gt;="&amp;判定条件!$C$10,時間ごとの判定!$B$3:$B$1850,"&lt;="&amp;判定条件!$C$11,時間ごとの判定!$AQ$3:$AQ$1850,"利用可")</f>
        <v>9</v>
      </c>
      <c r="K25" s="22" t="str">
        <f aca="false">IF(J25&gt;=判定条件!$C$12,"利用可","不可")</f>
        <v>利用可</v>
      </c>
      <c r="L25" s="22" t="n">
        <f aca="false">COUNTIFS(時間ごとの判定!$A$3:$A$1850,$A25,時間ごとの判定!$B$3:$B$1850,"&gt;="&amp;判定条件!$C$10,時間ごとの判定!$B$3:$B$1850,"&lt;="&amp;判定条件!$C$11,時間ごとの判定!$AT$3:$AT$1850,"利用可")</f>
        <v>8</v>
      </c>
      <c r="M25" s="22" t="str">
        <f aca="false">IF(L25&gt;=判定条件!$C$12,"利用可","不可")</f>
        <v>利用可</v>
      </c>
      <c r="N25" s="22" t="n">
        <f aca="false">COUNTIFS(時間ごとの判定!$A$3:$A$1850,$A25,時間ごとの判定!$B$3:$B$1850,"&gt;="&amp;判定条件!$C$10,時間ごとの判定!$B$3:$B$1850,"&lt;="&amp;判定条件!$C$11,時間ごとの判定!$AW$3:$AW$1850,"利用可")</f>
        <v>9</v>
      </c>
      <c r="O25" s="22" t="str">
        <f aca="false">IF(N25&gt;=判定条件!$C$12,"利用可","不可")</f>
        <v>利用可</v>
      </c>
      <c r="P25" s="22" t="str">
        <f aca="false">IF(AND(E25="利用可",G25="利用可",I25="利用可"),"利用可","不可")</f>
        <v>不可</v>
      </c>
      <c r="Q25" s="22" t="str">
        <f aca="false">IF(AND(K25="利用可",M25="利用可",O25="利用可"),"利用可","不可")</f>
        <v>利用可</v>
      </c>
      <c r="R25" s="26" t="s">
        <v>69</v>
      </c>
    </row>
    <row r="26" customFormat="false" ht="15" hidden="false" customHeight="false" outlineLevel="0" collapsed="false">
      <c r="A26" s="20" t="n">
        <v>46255</v>
      </c>
      <c r="B26" s="21" t="s">
        <v>62</v>
      </c>
      <c r="C26" s="21" t="s">
        <v>59</v>
      </c>
      <c r="D26" s="22" t="n">
        <f aca="false">COUNTIFS(時間ごとの判定!$A$3:$A$1850,$A26,時間ごとの判定!$B$3:$B$1850,"&gt;="&amp;判定条件!$C$10,時間ごとの判定!$B$3:$B$1850,"&lt;="&amp;判定条件!$C$11,時間ごとの判定!$AH$3:$AH$1850,"利用可")</f>
        <v>9</v>
      </c>
      <c r="E26" s="22" t="str">
        <f aca="false">IF(D26&gt;=判定条件!$C$12,"利用可","不可")</f>
        <v>利用可</v>
      </c>
      <c r="F26" s="22" t="n">
        <f aca="false">COUNTIFS(時間ごとの判定!$A$3:$A$1850,$A26,時間ごとの判定!$B$3:$B$1850,"&gt;="&amp;判定条件!$C$10,時間ごとの判定!$B$3:$B$1850,"&lt;="&amp;判定条件!$C$11,時間ごとの判定!$AK$3:$AK$1850,"利用可")</f>
        <v>0</v>
      </c>
      <c r="G26" s="22" t="str">
        <f aca="false">IF(F26&gt;=判定条件!$C$12,"利用可","不可")</f>
        <v>不可</v>
      </c>
      <c r="H26" s="22" t="n">
        <f aca="false">COUNTIFS(時間ごとの判定!$A$3:$A$1850,$A26,時間ごとの判定!$B$3:$B$1850,"&gt;="&amp;判定条件!$C$10,時間ごとの判定!$B$3:$B$1850,"&lt;="&amp;判定条件!$C$11,時間ごとの判定!$AN$3:$AN$1850,"利用可")</f>
        <v>9</v>
      </c>
      <c r="I26" s="22" t="str">
        <f aca="false">IF(H26&gt;=判定条件!$C$12,"利用可","不可")</f>
        <v>利用可</v>
      </c>
      <c r="J26" s="22" t="n">
        <f aca="false">COUNTIFS(時間ごとの判定!$A$3:$A$1850,$A26,時間ごとの判定!$B$3:$B$1850,"&gt;="&amp;判定条件!$C$10,時間ごとの判定!$B$3:$B$1850,"&lt;="&amp;判定条件!$C$11,時間ごとの判定!$AQ$3:$AQ$1850,"利用可")</f>
        <v>9</v>
      </c>
      <c r="K26" s="22" t="str">
        <f aca="false">IF(J26&gt;=判定条件!$C$12,"利用可","不可")</f>
        <v>利用可</v>
      </c>
      <c r="L26" s="22" t="n">
        <f aca="false">COUNTIFS(時間ごとの判定!$A$3:$A$1850,$A26,時間ごとの判定!$B$3:$B$1850,"&gt;="&amp;判定条件!$C$10,時間ごとの判定!$B$3:$B$1850,"&lt;="&amp;判定条件!$C$11,時間ごとの判定!$AT$3:$AT$1850,"利用可")</f>
        <v>9</v>
      </c>
      <c r="M26" s="22" t="str">
        <f aca="false">IF(L26&gt;=判定条件!$C$12,"利用可","不可")</f>
        <v>利用可</v>
      </c>
      <c r="N26" s="22" t="n">
        <f aca="false">COUNTIFS(時間ごとの判定!$A$3:$A$1850,$A26,時間ごとの判定!$B$3:$B$1850,"&gt;="&amp;判定条件!$C$10,時間ごとの判定!$B$3:$B$1850,"&lt;="&amp;判定条件!$C$11,時間ごとの判定!$AW$3:$AW$1850,"利用可")</f>
        <v>9</v>
      </c>
      <c r="O26" s="22" t="str">
        <f aca="false">IF(N26&gt;=判定条件!$C$12,"利用可","不可")</f>
        <v>利用可</v>
      </c>
      <c r="P26" s="22" t="str">
        <f aca="false">IF(AND(E26="利用可",G26="利用可",I26="利用可"),"利用可","不可")</f>
        <v>不可</v>
      </c>
      <c r="Q26" s="22" t="str">
        <f aca="false">IF(AND(K26="利用可",M26="利用可",O26="利用可"),"利用可","不可")</f>
        <v>利用可</v>
      </c>
      <c r="R26" s="26" t="s">
        <v>69</v>
      </c>
    </row>
    <row r="27" customFormat="false" ht="15" hidden="false" customHeight="false" outlineLevel="0" collapsed="false">
      <c r="A27" s="24" t="n">
        <v>46256</v>
      </c>
      <c r="B27" s="25" t="s">
        <v>63</v>
      </c>
      <c r="C27" s="25" t="s">
        <v>64</v>
      </c>
      <c r="D27" s="22" t="n">
        <f aca="false">COUNTIFS(時間ごとの判定!$A$3:$A$1850,$A27,時間ごとの判定!$B$3:$B$1850,"&gt;="&amp;判定条件!$C$10,時間ごとの判定!$B$3:$B$1850,"&lt;="&amp;判定条件!$C$11,時間ごとの判定!$AH$3:$AH$1850,"利用可")</f>
        <v>7</v>
      </c>
      <c r="E27" s="22" t="str">
        <f aca="false">IF(D27&gt;=判定条件!$C$12,"利用可","不可")</f>
        <v>利用可</v>
      </c>
      <c r="F27" s="22" t="n">
        <f aca="false">COUNTIFS(時間ごとの判定!$A$3:$A$1850,$A27,時間ごとの判定!$B$3:$B$1850,"&gt;="&amp;判定条件!$C$10,時間ごとの判定!$B$3:$B$1850,"&lt;="&amp;判定条件!$C$11,時間ごとの判定!$AK$3:$AK$1850,"利用可")</f>
        <v>0</v>
      </c>
      <c r="G27" s="22" t="str">
        <f aca="false">IF(F27&gt;=判定条件!$C$12,"利用可","不可")</f>
        <v>不可</v>
      </c>
      <c r="H27" s="22" t="n">
        <f aca="false">COUNTIFS(時間ごとの判定!$A$3:$A$1850,$A27,時間ごとの判定!$B$3:$B$1850,"&gt;="&amp;判定条件!$C$10,時間ごとの判定!$B$3:$B$1850,"&lt;="&amp;判定条件!$C$11,時間ごとの判定!$AN$3:$AN$1850,"利用可")</f>
        <v>4</v>
      </c>
      <c r="I27" s="22" t="str">
        <f aca="false">IF(H27&gt;=判定条件!$C$12,"利用可","不可")</f>
        <v>不可</v>
      </c>
      <c r="J27" s="22" t="n">
        <f aca="false">COUNTIFS(時間ごとの判定!$A$3:$A$1850,$A27,時間ごとの判定!$B$3:$B$1850,"&gt;="&amp;判定条件!$C$10,時間ごとの判定!$B$3:$B$1850,"&lt;="&amp;判定条件!$C$11,時間ごとの判定!$AQ$3:$AQ$1850,"利用可")</f>
        <v>8</v>
      </c>
      <c r="K27" s="22" t="str">
        <f aca="false">IF(J27&gt;=判定条件!$C$12,"利用可","不可")</f>
        <v>利用可</v>
      </c>
      <c r="L27" s="22" t="n">
        <f aca="false">COUNTIFS(時間ごとの判定!$A$3:$A$1850,$A27,時間ごとの判定!$B$3:$B$1850,"&gt;="&amp;判定条件!$C$10,時間ごとの判定!$B$3:$B$1850,"&lt;="&amp;判定条件!$C$11,時間ごとの判定!$AT$3:$AT$1850,"利用可")</f>
        <v>6</v>
      </c>
      <c r="M27" s="22" t="str">
        <f aca="false">IF(L27&gt;=判定条件!$C$12,"利用可","不可")</f>
        <v>不可</v>
      </c>
      <c r="N27" s="22" t="n">
        <f aca="false">COUNTIFS(時間ごとの判定!$A$3:$A$1850,$A27,時間ごとの判定!$B$3:$B$1850,"&gt;="&amp;判定条件!$C$10,時間ごとの判定!$B$3:$B$1850,"&lt;="&amp;判定条件!$C$11,時間ごとの判定!$AW$3:$AW$1850,"利用可")</f>
        <v>9</v>
      </c>
      <c r="O27" s="22" t="str">
        <f aca="false">IF(N27&gt;=判定条件!$C$12,"利用可","不可")</f>
        <v>利用可</v>
      </c>
      <c r="P27" s="22" t="str">
        <f aca="false">IF(AND(E27="利用可",G27="利用可",I27="利用可"),"利用可","不可")</f>
        <v>不可</v>
      </c>
      <c r="Q27" s="22" t="str">
        <f aca="false">IF(AND(K27="利用可",M27="利用可",O27="利用可"),"利用可","不可")</f>
        <v>不可</v>
      </c>
      <c r="R27" s="26" t="s">
        <v>69</v>
      </c>
    </row>
    <row r="28" customFormat="false" ht="15" hidden="false" customHeight="false" outlineLevel="0" collapsed="false">
      <c r="A28" s="24" t="n">
        <v>46257</v>
      </c>
      <c r="B28" s="25" t="s">
        <v>65</v>
      </c>
      <c r="C28" s="25" t="s">
        <v>64</v>
      </c>
      <c r="D28" s="22" t="n">
        <f aca="false">COUNTIFS(時間ごとの判定!$A$3:$A$1850,$A28,時間ごとの判定!$B$3:$B$1850,"&gt;="&amp;判定条件!$C$10,時間ごとの判定!$B$3:$B$1850,"&lt;="&amp;判定条件!$C$11,時間ごとの判定!$AH$3:$AH$1850,"利用可")</f>
        <v>7</v>
      </c>
      <c r="E28" s="22" t="str">
        <f aca="false">IF(D28&gt;=判定条件!$C$12,"利用可","不可")</f>
        <v>利用可</v>
      </c>
      <c r="F28" s="22" t="n">
        <f aca="false">COUNTIFS(時間ごとの判定!$A$3:$A$1850,$A28,時間ごとの判定!$B$3:$B$1850,"&gt;="&amp;判定条件!$C$10,時間ごとの判定!$B$3:$B$1850,"&lt;="&amp;判定条件!$C$11,時間ごとの判定!$AK$3:$AK$1850,"利用可")</f>
        <v>0</v>
      </c>
      <c r="G28" s="22" t="str">
        <f aca="false">IF(F28&gt;=判定条件!$C$12,"利用可","不可")</f>
        <v>不可</v>
      </c>
      <c r="H28" s="22" t="n">
        <f aca="false">COUNTIFS(時間ごとの判定!$A$3:$A$1850,$A28,時間ごとの判定!$B$3:$B$1850,"&gt;="&amp;判定条件!$C$10,時間ごとの判定!$B$3:$B$1850,"&lt;="&amp;判定条件!$C$11,時間ごとの判定!$AN$3:$AN$1850,"利用可")</f>
        <v>3</v>
      </c>
      <c r="I28" s="22" t="str">
        <f aca="false">IF(H28&gt;=判定条件!$C$12,"利用可","不可")</f>
        <v>不可</v>
      </c>
      <c r="J28" s="22" t="n">
        <f aca="false">COUNTIFS(時間ごとの判定!$A$3:$A$1850,$A28,時間ごとの判定!$B$3:$B$1850,"&gt;="&amp;判定条件!$C$10,時間ごとの判定!$B$3:$B$1850,"&lt;="&amp;判定条件!$C$11,時間ごとの判定!$AQ$3:$AQ$1850,"利用可")</f>
        <v>7</v>
      </c>
      <c r="K28" s="22" t="str">
        <f aca="false">IF(J28&gt;=判定条件!$C$12,"利用可","不可")</f>
        <v>利用可</v>
      </c>
      <c r="L28" s="22" t="n">
        <f aca="false">COUNTIFS(時間ごとの判定!$A$3:$A$1850,$A28,時間ごとの判定!$B$3:$B$1850,"&gt;="&amp;判定条件!$C$10,時間ごとの判定!$B$3:$B$1850,"&lt;="&amp;判定条件!$C$11,時間ごとの判定!$AT$3:$AT$1850,"利用可")</f>
        <v>5</v>
      </c>
      <c r="M28" s="22" t="str">
        <f aca="false">IF(L28&gt;=判定条件!$C$12,"利用可","不可")</f>
        <v>不可</v>
      </c>
      <c r="N28" s="22" t="n">
        <f aca="false">COUNTIFS(時間ごとの判定!$A$3:$A$1850,$A28,時間ごとの判定!$B$3:$B$1850,"&gt;="&amp;判定条件!$C$10,時間ごとの判定!$B$3:$B$1850,"&lt;="&amp;判定条件!$C$11,時間ごとの判定!$AW$3:$AW$1850,"利用可")</f>
        <v>9</v>
      </c>
      <c r="O28" s="22" t="str">
        <f aca="false">IF(N28&gt;=判定条件!$C$12,"利用可","不可")</f>
        <v>利用可</v>
      </c>
      <c r="P28" s="22" t="str">
        <f aca="false">IF(AND(E28="利用可",G28="利用可",I28="利用可"),"利用可","不可")</f>
        <v>不可</v>
      </c>
      <c r="Q28" s="22" t="str">
        <f aca="false">IF(AND(K28="利用可",M28="利用可",O28="利用可"),"利用可","不可")</f>
        <v>不可</v>
      </c>
      <c r="R28" s="26" t="s">
        <v>69</v>
      </c>
    </row>
    <row r="29" customFormat="false" ht="15" hidden="false" customHeight="false" outlineLevel="0" collapsed="false">
      <c r="A29" s="20" t="n">
        <v>46258</v>
      </c>
      <c r="B29" s="21" t="s">
        <v>66</v>
      </c>
      <c r="C29" s="21" t="s">
        <v>59</v>
      </c>
      <c r="D29" s="22" t="n">
        <f aca="false">COUNTIFS(時間ごとの判定!$A$3:$A$1850,$A29,時間ごとの判定!$B$3:$B$1850,"&gt;="&amp;判定条件!$C$10,時間ごとの判定!$B$3:$B$1850,"&lt;="&amp;判定条件!$C$11,時間ごとの判定!$AH$3:$AH$1850,"利用可")</f>
        <v>9</v>
      </c>
      <c r="E29" s="22" t="str">
        <f aca="false">IF(D29&gt;=判定条件!$C$12,"利用可","不可")</f>
        <v>利用可</v>
      </c>
      <c r="F29" s="22" t="n">
        <f aca="false">COUNTIFS(時間ごとの判定!$A$3:$A$1850,$A29,時間ごとの判定!$B$3:$B$1850,"&gt;="&amp;判定条件!$C$10,時間ごとの判定!$B$3:$B$1850,"&lt;="&amp;判定条件!$C$11,時間ごとの判定!$AK$3:$AK$1850,"利用可")</f>
        <v>0</v>
      </c>
      <c r="G29" s="22" t="str">
        <f aca="false">IF(F29&gt;=判定条件!$C$12,"利用可","不可")</f>
        <v>不可</v>
      </c>
      <c r="H29" s="22" t="n">
        <f aca="false">COUNTIFS(時間ごとの判定!$A$3:$A$1850,$A29,時間ごとの判定!$B$3:$B$1850,"&gt;="&amp;判定条件!$C$10,時間ごとの判定!$B$3:$B$1850,"&lt;="&amp;判定条件!$C$11,時間ごとの判定!$AN$3:$AN$1850,"利用可")</f>
        <v>9</v>
      </c>
      <c r="I29" s="22" t="str">
        <f aca="false">IF(H29&gt;=判定条件!$C$12,"利用可","不可")</f>
        <v>利用可</v>
      </c>
      <c r="J29" s="22" t="n">
        <f aca="false">COUNTIFS(時間ごとの判定!$A$3:$A$1850,$A29,時間ごとの判定!$B$3:$B$1850,"&gt;="&amp;判定条件!$C$10,時間ごとの判定!$B$3:$B$1850,"&lt;="&amp;判定条件!$C$11,時間ごとの判定!$AQ$3:$AQ$1850,"利用可")</f>
        <v>9</v>
      </c>
      <c r="K29" s="22" t="str">
        <f aca="false">IF(J29&gt;=判定条件!$C$12,"利用可","不可")</f>
        <v>利用可</v>
      </c>
      <c r="L29" s="22" t="n">
        <f aca="false">COUNTIFS(時間ごとの判定!$A$3:$A$1850,$A29,時間ごとの判定!$B$3:$B$1850,"&gt;="&amp;判定条件!$C$10,時間ごとの判定!$B$3:$B$1850,"&lt;="&amp;判定条件!$C$11,時間ごとの判定!$AT$3:$AT$1850,"利用可")</f>
        <v>9</v>
      </c>
      <c r="M29" s="22" t="str">
        <f aca="false">IF(L29&gt;=判定条件!$C$12,"利用可","不可")</f>
        <v>利用可</v>
      </c>
      <c r="N29" s="22" t="n">
        <f aca="false">COUNTIFS(時間ごとの判定!$A$3:$A$1850,$A29,時間ごとの判定!$B$3:$B$1850,"&gt;="&amp;判定条件!$C$10,時間ごとの判定!$B$3:$B$1850,"&lt;="&amp;判定条件!$C$11,時間ごとの判定!$AW$3:$AW$1850,"利用可")</f>
        <v>9</v>
      </c>
      <c r="O29" s="22" t="str">
        <f aca="false">IF(N29&gt;=判定条件!$C$12,"利用可","不可")</f>
        <v>利用可</v>
      </c>
      <c r="P29" s="22" t="str">
        <f aca="false">IF(AND(E29="利用可",G29="利用可",I29="利用可"),"利用可","不可")</f>
        <v>不可</v>
      </c>
      <c r="Q29" s="22" t="str">
        <f aca="false">IF(AND(K29="利用可",M29="利用可",O29="利用可"),"利用可","不可")</f>
        <v>利用可</v>
      </c>
      <c r="R29" s="26" t="s">
        <v>69</v>
      </c>
    </row>
    <row r="30" customFormat="false" ht="15" hidden="false" customHeight="false" outlineLevel="0" collapsed="false">
      <c r="A30" s="20" t="n">
        <v>46259</v>
      </c>
      <c r="B30" s="21" t="s">
        <v>67</v>
      </c>
      <c r="C30" s="21" t="s">
        <v>59</v>
      </c>
      <c r="D30" s="22" t="n">
        <f aca="false">COUNTIFS(時間ごとの判定!$A$3:$A$1850,$A30,時間ごとの判定!$B$3:$B$1850,"&gt;="&amp;判定条件!$C$10,時間ごとの判定!$B$3:$B$1850,"&lt;="&amp;判定条件!$C$11,時間ごとの判定!$AH$3:$AH$1850,"利用可")</f>
        <v>9</v>
      </c>
      <c r="E30" s="22" t="str">
        <f aca="false">IF(D30&gt;=判定条件!$C$12,"利用可","不可")</f>
        <v>利用可</v>
      </c>
      <c r="F30" s="22" t="n">
        <f aca="false">COUNTIFS(時間ごとの判定!$A$3:$A$1850,$A30,時間ごとの判定!$B$3:$B$1850,"&gt;="&amp;判定条件!$C$10,時間ごとの判定!$B$3:$B$1850,"&lt;="&amp;判定条件!$C$11,時間ごとの判定!$AK$3:$AK$1850,"利用可")</f>
        <v>0</v>
      </c>
      <c r="G30" s="22" t="str">
        <f aca="false">IF(F30&gt;=判定条件!$C$12,"利用可","不可")</f>
        <v>不可</v>
      </c>
      <c r="H30" s="22" t="n">
        <f aca="false">COUNTIFS(時間ごとの判定!$A$3:$A$1850,$A30,時間ごとの判定!$B$3:$B$1850,"&gt;="&amp;判定条件!$C$10,時間ごとの判定!$B$3:$B$1850,"&lt;="&amp;判定条件!$C$11,時間ごとの判定!$AN$3:$AN$1850,"利用可")</f>
        <v>9</v>
      </c>
      <c r="I30" s="22" t="str">
        <f aca="false">IF(H30&gt;=判定条件!$C$12,"利用可","不可")</f>
        <v>利用可</v>
      </c>
      <c r="J30" s="22" t="n">
        <f aca="false">COUNTIFS(時間ごとの判定!$A$3:$A$1850,$A30,時間ごとの判定!$B$3:$B$1850,"&gt;="&amp;判定条件!$C$10,時間ごとの判定!$B$3:$B$1850,"&lt;="&amp;判定条件!$C$11,時間ごとの判定!$AQ$3:$AQ$1850,"利用可")</f>
        <v>9</v>
      </c>
      <c r="K30" s="22" t="str">
        <f aca="false">IF(J30&gt;=判定条件!$C$12,"利用可","不可")</f>
        <v>利用可</v>
      </c>
      <c r="L30" s="22" t="n">
        <f aca="false">COUNTIFS(時間ごとの判定!$A$3:$A$1850,$A30,時間ごとの判定!$B$3:$B$1850,"&gt;="&amp;判定条件!$C$10,時間ごとの判定!$B$3:$B$1850,"&lt;="&amp;判定条件!$C$11,時間ごとの判定!$AT$3:$AT$1850,"利用可")</f>
        <v>9</v>
      </c>
      <c r="M30" s="22" t="str">
        <f aca="false">IF(L30&gt;=判定条件!$C$12,"利用可","不可")</f>
        <v>利用可</v>
      </c>
      <c r="N30" s="22" t="n">
        <f aca="false">COUNTIFS(時間ごとの判定!$A$3:$A$1850,$A30,時間ごとの判定!$B$3:$B$1850,"&gt;="&amp;判定条件!$C$10,時間ごとの判定!$B$3:$B$1850,"&lt;="&amp;判定条件!$C$11,時間ごとの判定!$AW$3:$AW$1850,"利用可")</f>
        <v>9</v>
      </c>
      <c r="O30" s="22" t="str">
        <f aca="false">IF(N30&gt;=判定条件!$C$12,"利用可","不可")</f>
        <v>利用可</v>
      </c>
      <c r="P30" s="22" t="str">
        <f aca="false">IF(AND(E30="利用可",G30="利用可",I30="利用可"),"利用可","不可")</f>
        <v>不可</v>
      </c>
      <c r="Q30" s="22" t="str">
        <f aca="false">IF(AND(K30="利用可",M30="利用可",O30="利用可"),"利用可","不可")</f>
        <v>利用可</v>
      </c>
      <c r="R30" s="26" t="s">
        <v>69</v>
      </c>
    </row>
    <row r="31" customFormat="false" ht="15" hidden="false" customHeight="false" outlineLevel="0" collapsed="false">
      <c r="A31" s="20" t="n">
        <v>46260</v>
      </c>
      <c r="B31" s="21" t="s">
        <v>58</v>
      </c>
      <c r="C31" s="21" t="s">
        <v>59</v>
      </c>
      <c r="D31" s="22" t="n">
        <f aca="false">COUNTIFS(時間ごとの判定!$A$3:$A$1850,$A31,時間ごとの判定!$B$3:$B$1850,"&gt;="&amp;判定条件!$C$10,時間ごとの判定!$B$3:$B$1850,"&lt;="&amp;判定条件!$C$11,時間ごとの判定!$AH$3:$AH$1850,"利用可")</f>
        <v>9</v>
      </c>
      <c r="E31" s="22" t="str">
        <f aca="false">IF(D31&gt;=判定条件!$C$12,"利用可","不可")</f>
        <v>利用可</v>
      </c>
      <c r="F31" s="22" t="n">
        <f aca="false">COUNTIFS(時間ごとの判定!$A$3:$A$1850,$A31,時間ごとの判定!$B$3:$B$1850,"&gt;="&amp;判定条件!$C$10,時間ごとの判定!$B$3:$B$1850,"&lt;="&amp;判定条件!$C$11,時間ごとの判定!$AK$3:$AK$1850,"利用可")</f>
        <v>0</v>
      </c>
      <c r="G31" s="22" t="str">
        <f aca="false">IF(F31&gt;=判定条件!$C$12,"利用可","不可")</f>
        <v>不可</v>
      </c>
      <c r="H31" s="22" t="n">
        <f aca="false">COUNTIFS(時間ごとの判定!$A$3:$A$1850,$A31,時間ごとの判定!$B$3:$B$1850,"&gt;="&amp;判定条件!$C$10,時間ごとの判定!$B$3:$B$1850,"&lt;="&amp;判定条件!$C$11,時間ごとの判定!$AN$3:$AN$1850,"利用可")</f>
        <v>9</v>
      </c>
      <c r="I31" s="22" t="str">
        <f aca="false">IF(H31&gt;=判定条件!$C$12,"利用可","不可")</f>
        <v>利用可</v>
      </c>
      <c r="J31" s="22" t="n">
        <f aca="false">COUNTIFS(時間ごとの判定!$A$3:$A$1850,$A31,時間ごとの判定!$B$3:$B$1850,"&gt;="&amp;判定条件!$C$10,時間ごとの判定!$B$3:$B$1850,"&lt;="&amp;判定条件!$C$11,時間ごとの判定!$AQ$3:$AQ$1850,"利用可")</f>
        <v>9</v>
      </c>
      <c r="K31" s="22" t="str">
        <f aca="false">IF(J31&gt;=判定条件!$C$12,"利用可","不可")</f>
        <v>利用可</v>
      </c>
      <c r="L31" s="22" t="n">
        <f aca="false">COUNTIFS(時間ごとの判定!$A$3:$A$1850,$A31,時間ごとの判定!$B$3:$B$1850,"&gt;="&amp;判定条件!$C$10,時間ごとの判定!$B$3:$B$1850,"&lt;="&amp;判定条件!$C$11,時間ごとの判定!$AT$3:$AT$1850,"利用可")</f>
        <v>9</v>
      </c>
      <c r="M31" s="22" t="str">
        <f aca="false">IF(L31&gt;=判定条件!$C$12,"利用可","不可")</f>
        <v>利用可</v>
      </c>
      <c r="N31" s="22" t="n">
        <f aca="false">COUNTIFS(時間ごとの判定!$A$3:$A$1850,$A31,時間ごとの判定!$B$3:$B$1850,"&gt;="&amp;判定条件!$C$10,時間ごとの判定!$B$3:$B$1850,"&lt;="&amp;判定条件!$C$11,時間ごとの判定!$AW$3:$AW$1850,"利用可")</f>
        <v>9</v>
      </c>
      <c r="O31" s="22" t="str">
        <f aca="false">IF(N31&gt;=判定条件!$C$12,"利用可","不可")</f>
        <v>利用可</v>
      </c>
      <c r="P31" s="22" t="str">
        <f aca="false">IF(AND(E31="利用可",G31="利用可",I31="利用可"),"利用可","不可")</f>
        <v>不可</v>
      </c>
      <c r="Q31" s="22" t="str">
        <f aca="false">IF(AND(K31="利用可",M31="利用可",O31="利用可"),"利用可","不可")</f>
        <v>利用可</v>
      </c>
      <c r="R31" s="26" t="s">
        <v>69</v>
      </c>
    </row>
    <row r="32" customFormat="false" ht="15" hidden="false" customHeight="false" outlineLevel="0" collapsed="false">
      <c r="A32" s="20" t="n">
        <v>46261</v>
      </c>
      <c r="B32" s="21" t="s">
        <v>61</v>
      </c>
      <c r="C32" s="21" t="s">
        <v>59</v>
      </c>
      <c r="D32" s="22" t="n">
        <f aca="false">COUNTIFS(時間ごとの判定!$A$3:$A$1850,$A32,時間ごとの判定!$B$3:$B$1850,"&gt;="&amp;判定条件!$C$10,時間ごとの判定!$B$3:$B$1850,"&lt;="&amp;判定条件!$C$11,時間ごとの判定!$AH$3:$AH$1850,"利用可")</f>
        <v>8</v>
      </c>
      <c r="E32" s="22" t="str">
        <f aca="false">IF(D32&gt;=判定条件!$C$12,"利用可","不可")</f>
        <v>利用可</v>
      </c>
      <c r="F32" s="22" t="n">
        <f aca="false">COUNTIFS(時間ごとの判定!$A$3:$A$1850,$A32,時間ごとの判定!$B$3:$B$1850,"&gt;="&amp;判定条件!$C$10,時間ごとの判定!$B$3:$B$1850,"&lt;="&amp;判定条件!$C$11,時間ごとの判定!$AK$3:$AK$1850,"利用可")</f>
        <v>0</v>
      </c>
      <c r="G32" s="22" t="str">
        <f aca="false">IF(F32&gt;=判定条件!$C$12,"利用可","不可")</f>
        <v>不可</v>
      </c>
      <c r="H32" s="22" t="n">
        <f aca="false">COUNTIFS(時間ごとの判定!$A$3:$A$1850,$A32,時間ごとの判定!$B$3:$B$1850,"&gt;="&amp;判定条件!$C$10,時間ごとの判定!$B$3:$B$1850,"&lt;="&amp;判定条件!$C$11,時間ごとの判定!$AN$3:$AN$1850,"利用可")</f>
        <v>9</v>
      </c>
      <c r="I32" s="22" t="str">
        <f aca="false">IF(H32&gt;=判定条件!$C$12,"利用可","不可")</f>
        <v>利用可</v>
      </c>
      <c r="J32" s="22" t="n">
        <f aca="false">COUNTIFS(時間ごとの判定!$A$3:$A$1850,$A32,時間ごとの判定!$B$3:$B$1850,"&gt;="&amp;判定条件!$C$10,時間ごとの判定!$B$3:$B$1850,"&lt;="&amp;判定条件!$C$11,時間ごとの判定!$AQ$3:$AQ$1850,"利用可")</f>
        <v>9</v>
      </c>
      <c r="K32" s="22" t="str">
        <f aca="false">IF(J32&gt;=判定条件!$C$12,"利用可","不可")</f>
        <v>利用可</v>
      </c>
      <c r="L32" s="22" t="n">
        <f aca="false">COUNTIFS(時間ごとの判定!$A$3:$A$1850,$A32,時間ごとの判定!$B$3:$B$1850,"&gt;="&amp;判定条件!$C$10,時間ごとの判定!$B$3:$B$1850,"&lt;="&amp;判定条件!$C$11,時間ごとの判定!$AT$3:$AT$1850,"利用可")</f>
        <v>9</v>
      </c>
      <c r="M32" s="22" t="str">
        <f aca="false">IF(L32&gt;=判定条件!$C$12,"利用可","不可")</f>
        <v>利用可</v>
      </c>
      <c r="N32" s="22" t="n">
        <f aca="false">COUNTIFS(時間ごとの判定!$A$3:$A$1850,$A32,時間ごとの判定!$B$3:$B$1850,"&gt;="&amp;判定条件!$C$10,時間ごとの判定!$B$3:$B$1850,"&lt;="&amp;判定条件!$C$11,時間ごとの判定!$AW$3:$AW$1850,"利用可")</f>
        <v>9</v>
      </c>
      <c r="O32" s="22" t="str">
        <f aca="false">IF(N32&gt;=判定条件!$C$12,"利用可","不可")</f>
        <v>利用可</v>
      </c>
      <c r="P32" s="22" t="str">
        <f aca="false">IF(AND(E32="利用可",G32="利用可",I32="利用可"),"利用可","不可")</f>
        <v>不可</v>
      </c>
      <c r="Q32" s="22" t="str">
        <f aca="false">IF(AND(K32="利用可",M32="利用可",O32="利用可"),"利用可","不可")</f>
        <v>利用可</v>
      </c>
      <c r="R32" s="26" t="s">
        <v>69</v>
      </c>
    </row>
    <row r="33" customFormat="false" ht="15" hidden="false" customHeight="false" outlineLevel="0" collapsed="false">
      <c r="A33" s="20" t="n">
        <v>46262</v>
      </c>
      <c r="B33" s="21" t="s">
        <v>62</v>
      </c>
      <c r="C33" s="21" t="s">
        <v>59</v>
      </c>
      <c r="D33" s="22" t="n">
        <f aca="false">COUNTIFS(時間ごとの判定!$A$3:$A$1850,$A33,時間ごとの判定!$B$3:$B$1850,"&gt;="&amp;判定条件!$C$10,時間ごとの判定!$B$3:$B$1850,"&lt;="&amp;判定条件!$C$11,時間ごとの判定!$AH$3:$AH$1850,"利用可")</f>
        <v>6</v>
      </c>
      <c r="E33" s="22" t="str">
        <f aca="false">IF(D33&gt;=判定条件!$C$12,"利用可","不可")</f>
        <v>不可</v>
      </c>
      <c r="F33" s="22" t="n">
        <f aca="false">COUNTIFS(時間ごとの判定!$A$3:$A$1850,$A33,時間ごとの判定!$B$3:$B$1850,"&gt;="&amp;判定条件!$C$10,時間ごとの判定!$B$3:$B$1850,"&lt;="&amp;判定条件!$C$11,時間ごとの判定!$AK$3:$AK$1850,"利用可")</f>
        <v>6</v>
      </c>
      <c r="G33" s="22" t="str">
        <f aca="false">IF(F33&gt;=判定条件!$C$12,"利用可","不可")</f>
        <v>不可</v>
      </c>
      <c r="H33" s="22" t="n">
        <f aca="false">COUNTIFS(時間ごとの判定!$A$3:$A$1850,$A33,時間ごとの判定!$B$3:$B$1850,"&gt;="&amp;判定条件!$C$10,時間ごとの判定!$B$3:$B$1850,"&lt;="&amp;判定条件!$C$11,時間ごとの判定!$AN$3:$AN$1850,"利用可")</f>
        <v>7</v>
      </c>
      <c r="I33" s="22" t="str">
        <f aca="false">IF(H33&gt;=判定条件!$C$12,"利用可","不可")</f>
        <v>利用可</v>
      </c>
      <c r="J33" s="22" t="n">
        <f aca="false">COUNTIFS(時間ごとの判定!$A$3:$A$1850,$A33,時間ごとの判定!$B$3:$B$1850,"&gt;="&amp;判定条件!$C$10,時間ごとの判定!$B$3:$B$1850,"&lt;="&amp;判定条件!$C$11,時間ごとの判定!$AQ$3:$AQ$1850,"利用可")</f>
        <v>9</v>
      </c>
      <c r="K33" s="22" t="str">
        <f aca="false">IF(J33&gt;=判定条件!$C$12,"利用可","不可")</f>
        <v>利用可</v>
      </c>
      <c r="L33" s="22" t="n">
        <f aca="false">COUNTIFS(時間ごとの判定!$A$3:$A$1850,$A33,時間ごとの判定!$B$3:$B$1850,"&gt;="&amp;判定条件!$C$10,時間ごとの判定!$B$3:$B$1850,"&lt;="&amp;判定条件!$C$11,時間ごとの判定!$AT$3:$AT$1850,"利用可")</f>
        <v>9</v>
      </c>
      <c r="M33" s="22" t="str">
        <f aca="false">IF(L33&gt;=判定条件!$C$12,"利用可","不可")</f>
        <v>利用可</v>
      </c>
      <c r="N33" s="22" t="n">
        <f aca="false">COUNTIFS(時間ごとの判定!$A$3:$A$1850,$A33,時間ごとの判定!$B$3:$B$1850,"&gt;="&amp;判定条件!$C$10,時間ごとの判定!$B$3:$B$1850,"&lt;="&amp;判定条件!$C$11,時間ごとの判定!$AW$3:$AW$1850,"利用可")</f>
        <v>9</v>
      </c>
      <c r="O33" s="22" t="str">
        <f aca="false">IF(N33&gt;=判定条件!$C$12,"利用可","不可")</f>
        <v>利用可</v>
      </c>
      <c r="P33" s="22" t="str">
        <f aca="false">IF(AND(E33="利用可",G33="利用可",I33="利用可"),"利用可","不可")</f>
        <v>不可</v>
      </c>
      <c r="Q33" s="22" t="str">
        <f aca="false">IF(AND(K33="利用可",M33="利用可",O33="利用可"),"利用可","不可")</f>
        <v>利用可</v>
      </c>
      <c r="R33" s="26" t="s">
        <v>69</v>
      </c>
    </row>
    <row r="34" customFormat="false" ht="15" hidden="false" customHeight="false" outlineLevel="0" collapsed="false">
      <c r="A34" s="24" t="n">
        <v>46263</v>
      </c>
      <c r="B34" s="25" t="s">
        <v>63</v>
      </c>
      <c r="C34" s="25" t="s">
        <v>64</v>
      </c>
      <c r="D34" s="22" t="n">
        <f aca="false">COUNTIFS(時間ごとの判定!$A$3:$A$1850,$A34,時間ごとの判定!$B$3:$B$1850,"&gt;="&amp;判定条件!$C$10,時間ごとの判定!$B$3:$B$1850,"&lt;="&amp;判定条件!$C$11,時間ごとの判定!$AH$3:$AH$1850,"利用可")</f>
        <v>0</v>
      </c>
      <c r="E34" s="22" t="str">
        <f aca="false">IF(D34&gt;=判定条件!$C$12,"利用可","不可")</f>
        <v>不可</v>
      </c>
      <c r="F34" s="22" t="n">
        <f aca="false">COUNTIFS(時間ごとの判定!$A$3:$A$1850,$A34,時間ごとの判定!$B$3:$B$1850,"&gt;="&amp;判定条件!$C$10,時間ごとの判定!$B$3:$B$1850,"&lt;="&amp;判定条件!$C$11,時間ごとの判定!$AK$3:$AK$1850,"利用可")</f>
        <v>4</v>
      </c>
      <c r="G34" s="22" t="str">
        <f aca="false">IF(F34&gt;=判定条件!$C$12,"利用可","不可")</f>
        <v>不可</v>
      </c>
      <c r="H34" s="22" t="n">
        <f aca="false">COUNTIFS(時間ごとの判定!$A$3:$A$1850,$A34,時間ごとの判定!$B$3:$B$1850,"&gt;="&amp;判定条件!$C$10,時間ごとの判定!$B$3:$B$1850,"&lt;="&amp;判定条件!$C$11,時間ごとの判定!$AN$3:$AN$1850,"利用可")</f>
        <v>6</v>
      </c>
      <c r="I34" s="22" t="str">
        <f aca="false">IF(H34&gt;=判定条件!$C$12,"利用可","不可")</f>
        <v>不可</v>
      </c>
      <c r="J34" s="22" t="n">
        <f aca="false">COUNTIFS(時間ごとの判定!$A$3:$A$1850,$A34,時間ごとの判定!$B$3:$B$1850,"&gt;="&amp;判定条件!$C$10,時間ごとの判定!$B$3:$B$1850,"&lt;="&amp;判定条件!$C$11,時間ごとの判定!$AQ$3:$AQ$1850,"利用可")</f>
        <v>7</v>
      </c>
      <c r="K34" s="22" t="str">
        <f aca="false">IF(J34&gt;=判定条件!$C$12,"利用可","不可")</f>
        <v>利用可</v>
      </c>
      <c r="L34" s="22" t="n">
        <f aca="false">COUNTIFS(時間ごとの判定!$A$3:$A$1850,$A34,時間ごとの判定!$B$3:$B$1850,"&gt;="&amp;判定条件!$C$10,時間ごとの判定!$B$3:$B$1850,"&lt;="&amp;判定条件!$C$11,時間ごとの判定!$AT$3:$AT$1850,"利用可")</f>
        <v>3</v>
      </c>
      <c r="M34" s="22" t="str">
        <f aca="false">IF(L34&gt;=判定条件!$C$12,"利用可","不可")</f>
        <v>不可</v>
      </c>
      <c r="N34" s="22" t="n">
        <f aca="false">COUNTIFS(時間ごとの判定!$A$3:$A$1850,$A34,時間ごとの判定!$B$3:$B$1850,"&gt;="&amp;判定条件!$C$10,時間ごとの判定!$B$3:$B$1850,"&lt;="&amp;判定条件!$C$11,時間ごとの判定!$AW$3:$AW$1850,"利用可")</f>
        <v>9</v>
      </c>
      <c r="O34" s="22" t="str">
        <f aca="false">IF(N34&gt;=判定条件!$C$12,"利用可","不可")</f>
        <v>利用可</v>
      </c>
      <c r="P34" s="22" t="str">
        <f aca="false">IF(AND(E34="利用可",G34="利用可",I34="利用可"),"利用可","不可")</f>
        <v>不可</v>
      </c>
      <c r="Q34" s="22" t="str">
        <f aca="false">IF(AND(K34="利用可",M34="利用可",O34="利用可"),"利用可","不可")</f>
        <v>不可</v>
      </c>
      <c r="R34" s="26"/>
    </row>
    <row r="35" customFormat="false" ht="15" hidden="false" customHeight="false" outlineLevel="0" collapsed="false">
      <c r="A35" s="24" t="n">
        <v>46264</v>
      </c>
      <c r="B35" s="25" t="s">
        <v>65</v>
      </c>
      <c r="C35" s="25" t="s">
        <v>64</v>
      </c>
      <c r="D35" s="22" t="n">
        <f aca="false">COUNTIFS(時間ごとの判定!$A$3:$A$1850,$A35,時間ごとの判定!$B$3:$B$1850,"&gt;="&amp;判定条件!$C$10,時間ごとの判定!$B$3:$B$1850,"&lt;="&amp;判定条件!$C$11,時間ごとの判定!$AH$3:$AH$1850,"利用可")</f>
        <v>7</v>
      </c>
      <c r="E35" s="22" t="str">
        <f aca="false">IF(D35&gt;=判定条件!$C$12,"利用可","不可")</f>
        <v>利用可</v>
      </c>
      <c r="F35" s="22" t="n">
        <f aca="false">COUNTIFS(時間ごとの判定!$A$3:$A$1850,$A35,時間ごとの判定!$B$3:$B$1850,"&gt;="&amp;判定条件!$C$10,時間ごとの判定!$B$3:$B$1850,"&lt;="&amp;判定条件!$C$11,時間ごとの判定!$AK$3:$AK$1850,"利用可")</f>
        <v>0</v>
      </c>
      <c r="G35" s="22" t="str">
        <f aca="false">IF(F35&gt;=判定条件!$C$12,"利用可","不可")</f>
        <v>不可</v>
      </c>
      <c r="H35" s="22" t="n">
        <f aca="false">COUNTIFS(時間ごとの判定!$A$3:$A$1850,$A35,時間ごとの判定!$B$3:$B$1850,"&gt;="&amp;判定条件!$C$10,時間ごとの判定!$B$3:$B$1850,"&lt;="&amp;判定条件!$C$11,時間ごとの判定!$AN$3:$AN$1850,"利用可")</f>
        <v>5</v>
      </c>
      <c r="I35" s="22" t="str">
        <f aca="false">IF(H35&gt;=判定条件!$C$12,"利用可","不可")</f>
        <v>不可</v>
      </c>
      <c r="J35" s="22" t="n">
        <f aca="false">COUNTIFS(時間ごとの判定!$A$3:$A$1850,$A35,時間ごとの判定!$B$3:$B$1850,"&gt;="&amp;判定条件!$C$10,時間ごとの判定!$B$3:$B$1850,"&lt;="&amp;判定条件!$C$11,時間ごとの判定!$AQ$3:$AQ$1850,"利用可")</f>
        <v>7</v>
      </c>
      <c r="K35" s="22" t="str">
        <f aca="false">IF(J35&gt;=判定条件!$C$12,"利用可","不可")</f>
        <v>利用可</v>
      </c>
      <c r="L35" s="22" t="n">
        <f aca="false">COUNTIFS(時間ごとの判定!$A$3:$A$1850,$A35,時間ごとの判定!$B$3:$B$1850,"&gt;="&amp;判定条件!$C$10,時間ごとの判定!$B$3:$B$1850,"&lt;="&amp;判定条件!$C$11,時間ごとの判定!$AT$3:$AT$1850,"利用可")</f>
        <v>0</v>
      </c>
      <c r="M35" s="22" t="str">
        <f aca="false">IF(L35&gt;=判定条件!$C$12,"利用可","不可")</f>
        <v>不可</v>
      </c>
      <c r="N35" s="22" t="n">
        <f aca="false">COUNTIFS(時間ごとの判定!$A$3:$A$1850,$A35,時間ごとの判定!$B$3:$B$1850,"&gt;="&amp;判定条件!$C$10,時間ごとの判定!$B$3:$B$1850,"&lt;="&amp;判定条件!$C$11,時間ごとの判定!$AW$3:$AW$1850,"利用可")</f>
        <v>8</v>
      </c>
      <c r="O35" s="22" t="str">
        <f aca="false">IF(N35&gt;=判定条件!$C$12,"利用可","不可")</f>
        <v>利用可</v>
      </c>
      <c r="P35" s="22" t="str">
        <f aca="false">IF(AND(E35="利用可",G35="利用可",I35="利用可"),"利用可","不可")</f>
        <v>不可</v>
      </c>
      <c r="Q35" s="22" t="str">
        <f aca="false">IF(AND(K35="利用可",M35="利用可",O35="利用可"),"利用可","不可")</f>
        <v>不可</v>
      </c>
      <c r="R35" s="26" t="s">
        <v>70</v>
      </c>
    </row>
    <row r="36" customFormat="false" ht="15" hidden="false" customHeight="false" outlineLevel="0" collapsed="false">
      <c r="A36" s="20" t="n">
        <v>46265</v>
      </c>
      <c r="B36" s="21" t="s">
        <v>66</v>
      </c>
      <c r="C36" s="21" t="s">
        <v>59</v>
      </c>
      <c r="D36" s="22" t="n">
        <f aca="false">COUNTIFS(時間ごとの判定!$A$3:$A$1850,$A36,時間ごとの判定!$B$3:$B$1850,"&gt;="&amp;判定条件!$C$10,時間ごとの判定!$B$3:$B$1850,"&lt;="&amp;判定条件!$C$11,時間ごとの判定!$AH$3:$AH$1850,"利用可")</f>
        <v>8</v>
      </c>
      <c r="E36" s="22" t="str">
        <f aca="false">IF(D36&gt;=判定条件!$C$12,"利用可","不可")</f>
        <v>利用可</v>
      </c>
      <c r="F36" s="22" t="n">
        <f aca="false">COUNTIFS(時間ごとの判定!$A$3:$A$1850,$A36,時間ごとの判定!$B$3:$B$1850,"&gt;="&amp;判定条件!$C$10,時間ごとの判定!$B$3:$B$1850,"&lt;="&amp;判定条件!$C$11,時間ごとの判定!$AK$3:$AK$1850,"利用可")</f>
        <v>0</v>
      </c>
      <c r="G36" s="22" t="str">
        <f aca="false">IF(F36&gt;=判定条件!$C$12,"利用可","不可")</f>
        <v>不可</v>
      </c>
      <c r="H36" s="22" t="n">
        <f aca="false">COUNTIFS(時間ごとの判定!$A$3:$A$1850,$A36,時間ごとの判定!$B$3:$B$1850,"&gt;="&amp;判定条件!$C$10,時間ごとの判定!$B$3:$B$1850,"&lt;="&amp;判定条件!$C$11,時間ごとの判定!$AN$3:$AN$1850,"利用可")</f>
        <v>8</v>
      </c>
      <c r="I36" s="22" t="str">
        <f aca="false">IF(H36&gt;=判定条件!$C$12,"利用可","不可")</f>
        <v>利用可</v>
      </c>
      <c r="J36" s="22" t="n">
        <f aca="false">COUNTIFS(時間ごとの判定!$A$3:$A$1850,$A36,時間ごとの判定!$B$3:$B$1850,"&gt;="&amp;判定条件!$C$10,時間ごとの判定!$B$3:$B$1850,"&lt;="&amp;判定条件!$C$11,時間ごとの判定!$AQ$3:$AQ$1850,"利用可")</f>
        <v>8</v>
      </c>
      <c r="K36" s="22" t="str">
        <f aca="false">IF(J36&gt;=判定条件!$C$12,"利用可","不可")</f>
        <v>利用可</v>
      </c>
      <c r="L36" s="22" t="n">
        <f aca="false">COUNTIFS(時間ごとの判定!$A$3:$A$1850,$A36,時間ごとの判定!$B$3:$B$1850,"&gt;="&amp;判定条件!$C$10,時間ごとの判定!$B$3:$B$1850,"&lt;="&amp;判定条件!$C$11,時間ごとの判定!$AT$3:$AT$1850,"利用可")</f>
        <v>0</v>
      </c>
      <c r="M36" s="22" t="str">
        <f aca="false">IF(L36&gt;=判定条件!$C$12,"利用可","不可")</f>
        <v>不可</v>
      </c>
      <c r="N36" s="22" t="n">
        <f aca="false">COUNTIFS(時間ごとの判定!$A$3:$A$1850,$A36,時間ごとの判定!$B$3:$B$1850,"&gt;="&amp;判定条件!$C$10,時間ごとの判定!$B$3:$B$1850,"&lt;="&amp;判定条件!$C$11,時間ごとの判定!$AW$3:$AW$1850,"利用可")</f>
        <v>9</v>
      </c>
      <c r="O36" s="22" t="str">
        <f aca="false">IF(N36&gt;=判定条件!$C$12,"利用可","不可")</f>
        <v>利用可</v>
      </c>
      <c r="P36" s="22" t="str">
        <f aca="false">IF(AND(E36="利用可",G36="利用可",I36="利用可"),"利用可","不可")</f>
        <v>不可</v>
      </c>
      <c r="Q36" s="22" t="str">
        <f aca="false">IF(AND(K36="利用可",M36="利用可",O36="利用可"),"利用可","不可")</f>
        <v>不可</v>
      </c>
      <c r="R36" s="26" t="s">
        <v>70</v>
      </c>
    </row>
    <row r="37" customFormat="false" ht="15" hidden="false" customHeight="false" outlineLevel="0" collapsed="false">
      <c r="A37" s="20" t="n">
        <v>46266</v>
      </c>
      <c r="B37" s="21" t="s">
        <v>67</v>
      </c>
      <c r="C37" s="21" t="s">
        <v>59</v>
      </c>
      <c r="D37" s="22" t="n">
        <f aca="false">COUNTIFS(時間ごとの判定!$A$3:$A$1850,$A37,時間ごとの判定!$B$3:$B$1850,"&gt;="&amp;判定条件!$C$10,時間ごとの判定!$B$3:$B$1850,"&lt;="&amp;判定条件!$C$11,時間ごとの判定!$AH$3:$AH$1850,"利用可")</f>
        <v>8</v>
      </c>
      <c r="E37" s="22" t="str">
        <f aca="false">IF(D37&gt;=判定条件!$C$12,"利用可","不可")</f>
        <v>利用可</v>
      </c>
      <c r="F37" s="22" t="n">
        <f aca="false">COUNTIFS(時間ごとの判定!$A$3:$A$1850,$A37,時間ごとの判定!$B$3:$B$1850,"&gt;="&amp;判定条件!$C$10,時間ごとの判定!$B$3:$B$1850,"&lt;="&amp;判定条件!$C$11,時間ごとの判定!$AK$3:$AK$1850,"利用可")</f>
        <v>0</v>
      </c>
      <c r="G37" s="22" t="str">
        <f aca="false">IF(F37&gt;=判定条件!$C$12,"利用可","不可")</f>
        <v>不可</v>
      </c>
      <c r="H37" s="22" t="n">
        <f aca="false">COUNTIFS(時間ごとの判定!$A$3:$A$1850,$A37,時間ごとの判定!$B$3:$B$1850,"&gt;="&amp;判定条件!$C$10,時間ごとの判定!$B$3:$B$1850,"&lt;="&amp;判定条件!$C$11,時間ごとの判定!$AN$3:$AN$1850,"利用可")</f>
        <v>9</v>
      </c>
      <c r="I37" s="22" t="str">
        <f aca="false">IF(H37&gt;=判定条件!$C$12,"利用可","不可")</f>
        <v>利用可</v>
      </c>
      <c r="J37" s="22" t="n">
        <f aca="false">COUNTIFS(時間ごとの判定!$A$3:$A$1850,$A37,時間ごとの判定!$B$3:$B$1850,"&gt;="&amp;判定条件!$C$10,時間ごとの判定!$B$3:$B$1850,"&lt;="&amp;判定条件!$C$11,時間ごとの判定!$AQ$3:$AQ$1850,"利用可")</f>
        <v>8</v>
      </c>
      <c r="K37" s="22" t="str">
        <f aca="false">IF(J37&gt;=判定条件!$C$12,"利用可","不可")</f>
        <v>利用可</v>
      </c>
      <c r="L37" s="22" t="n">
        <f aca="false">COUNTIFS(時間ごとの判定!$A$3:$A$1850,$A37,時間ごとの判定!$B$3:$B$1850,"&gt;="&amp;判定条件!$C$10,時間ごとの判定!$B$3:$B$1850,"&lt;="&amp;判定条件!$C$11,時間ごとの判定!$AT$3:$AT$1850,"利用可")</f>
        <v>0</v>
      </c>
      <c r="M37" s="22" t="str">
        <f aca="false">IF(L37&gt;=判定条件!$C$12,"利用可","不可")</f>
        <v>不可</v>
      </c>
      <c r="N37" s="22" t="n">
        <f aca="false">COUNTIFS(時間ごとの判定!$A$3:$A$1850,$A37,時間ごとの判定!$B$3:$B$1850,"&gt;="&amp;判定条件!$C$10,時間ごとの判定!$B$3:$B$1850,"&lt;="&amp;判定条件!$C$11,時間ごとの判定!$AW$3:$AW$1850,"利用可")</f>
        <v>9</v>
      </c>
      <c r="O37" s="22" t="str">
        <f aca="false">IF(N37&gt;=判定条件!$C$12,"利用可","不可")</f>
        <v>利用可</v>
      </c>
      <c r="P37" s="22" t="str">
        <f aca="false">IF(AND(E37="利用可",G37="利用可",I37="利用可"),"利用可","不可")</f>
        <v>不可</v>
      </c>
      <c r="Q37" s="22" t="str">
        <f aca="false">IF(AND(K37="利用可",M37="利用可",O37="利用可"),"利用可","不可")</f>
        <v>不可</v>
      </c>
      <c r="R37" s="26" t="s">
        <v>70</v>
      </c>
    </row>
    <row r="38" customFormat="false" ht="15" hidden="false" customHeight="false" outlineLevel="0" collapsed="false">
      <c r="A38" s="20" t="n">
        <v>46267</v>
      </c>
      <c r="B38" s="21" t="s">
        <v>58</v>
      </c>
      <c r="C38" s="21" t="s">
        <v>59</v>
      </c>
      <c r="D38" s="22" t="n">
        <f aca="false">COUNTIFS(時間ごとの判定!$A$3:$A$1850,$A38,時間ごとの判定!$B$3:$B$1850,"&gt;="&amp;判定条件!$C$10,時間ごとの判定!$B$3:$B$1850,"&lt;="&amp;判定条件!$C$11,時間ごとの判定!$AH$3:$AH$1850,"利用可")</f>
        <v>9</v>
      </c>
      <c r="E38" s="22" t="str">
        <f aca="false">IF(D38&gt;=判定条件!$C$12,"利用可","不可")</f>
        <v>利用可</v>
      </c>
      <c r="F38" s="22" t="n">
        <f aca="false">COUNTIFS(時間ごとの判定!$A$3:$A$1850,$A38,時間ごとの判定!$B$3:$B$1850,"&gt;="&amp;判定条件!$C$10,時間ごとの判定!$B$3:$B$1850,"&lt;="&amp;判定条件!$C$11,時間ごとの判定!$AK$3:$AK$1850,"利用可")</f>
        <v>0</v>
      </c>
      <c r="G38" s="22" t="str">
        <f aca="false">IF(F38&gt;=判定条件!$C$12,"利用可","不可")</f>
        <v>不可</v>
      </c>
      <c r="H38" s="22" t="n">
        <f aca="false">COUNTIFS(時間ごとの判定!$A$3:$A$1850,$A38,時間ごとの判定!$B$3:$B$1850,"&gt;="&amp;判定条件!$C$10,時間ごとの判定!$B$3:$B$1850,"&lt;="&amp;判定条件!$C$11,時間ごとの判定!$AN$3:$AN$1850,"利用可")</f>
        <v>9</v>
      </c>
      <c r="I38" s="22" t="str">
        <f aca="false">IF(H38&gt;=判定条件!$C$12,"利用可","不可")</f>
        <v>利用可</v>
      </c>
      <c r="J38" s="22" t="n">
        <f aca="false">COUNTIFS(時間ごとの判定!$A$3:$A$1850,$A38,時間ごとの判定!$B$3:$B$1850,"&gt;="&amp;判定条件!$C$10,時間ごとの判定!$B$3:$B$1850,"&lt;="&amp;判定条件!$C$11,時間ごとの判定!$AQ$3:$AQ$1850,"利用可")</f>
        <v>9</v>
      </c>
      <c r="K38" s="22" t="str">
        <f aca="false">IF(J38&gt;=判定条件!$C$12,"利用可","不可")</f>
        <v>利用可</v>
      </c>
      <c r="L38" s="22" t="n">
        <f aca="false">COUNTIFS(時間ごとの判定!$A$3:$A$1850,$A38,時間ごとの判定!$B$3:$B$1850,"&gt;="&amp;判定条件!$C$10,時間ごとの判定!$B$3:$B$1850,"&lt;="&amp;判定条件!$C$11,時間ごとの判定!$AT$3:$AT$1850,"利用可")</f>
        <v>0</v>
      </c>
      <c r="M38" s="22" t="str">
        <f aca="false">IF(L38&gt;=判定条件!$C$12,"利用可","不可")</f>
        <v>不可</v>
      </c>
      <c r="N38" s="22" t="n">
        <f aca="false">COUNTIFS(時間ごとの判定!$A$3:$A$1850,$A38,時間ごとの判定!$B$3:$B$1850,"&gt;="&amp;判定条件!$C$10,時間ごとの判定!$B$3:$B$1850,"&lt;="&amp;判定条件!$C$11,時間ごとの判定!$AW$3:$AW$1850,"利用可")</f>
        <v>9</v>
      </c>
      <c r="O38" s="22" t="str">
        <f aca="false">IF(N38&gt;=判定条件!$C$12,"利用可","不可")</f>
        <v>利用可</v>
      </c>
      <c r="P38" s="22" t="str">
        <f aca="false">IF(AND(E38="利用可",G38="利用可",I38="利用可"),"利用可","不可")</f>
        <v>不可</v>
      </c>
      <c r="Q38" s="22" t="str">
        <f aca="false">IF(AND(K38="利用可",M38="利用可",O38="利用可"),"利用可","不可")</f>
        <v>不可</v>
      </c>
      <c r="R38" s="26" t="s">
        <v>70</v>
      </c>
    </row>
    <row r="39" customFormat="false" ht="15" hidden="false" customHeight="false" outlineLevel="0" collapsed="false">
      <c r="A39" s="20" t="n">
        <v>46268</v>
      </c>
      <c r="B39" s="21" t="s">
        <v>61</v>
      </c>
      <c r="C39" s="21" t="s">
        <v>59</v>
      </c>
      <c r="D39" s="22" t="n">
        <f aca="false">COUNTIFS(時間ごとの判定!$A$3:$A$1850,$A39,時間ごとの判定!$B$3:$B$1850,"&gt;="&amp;判定条件!$C$10,時間ごとの判定!$B$3:$B$1850,"&lt;="&amp;判定条件!$C$11,時間ごとの判定!$AH$3:$AH$1850,"利用可")</f>
        <v>9</v>
      </c>
      <c r="E39" s="22" t="str">
        <f aca="false">IF(D39&gt;=判定条件!$C$12,"利用可","不可")</f>
        <v>利用可</v>
      </c>
      <c r="F39" s="22" t="n">
        <f aca="false">COUNTIFS(時間ごとの判定!$A$3:$A$1850,$A39,時間ごとの判定!$B$3:$B$1850,"&gt;="&amp;判定条件!$C$10,時間ごとの判定!$B$3:$B$1850,"&lt;="&amp;判定条件!$C$11,時間ごとの判定!$AK$3:$AK$1850,"利用可")</f>
        <v>0</v>
      </c>
      <c r="G39" s="22" t="str">
        <f aca="false">IF(F39&gt;=判定条件!$C$12,"利用可","不可")</f>
        <v>不可</v>
      </c>
      <c r="H39" s="22" t="n">
        <f aca="false">COUNTIFS(時間ごとの判定!$A$3:$A$1850,$A39,時間ごとの判定!$B$3:$B$1850,"&gt;="&amp;判定条件!$C$10,時間ごとの判定!$B$3:$B$1850,"&lt;="&amp;判定条件!$C$11,時間ごとの判定!$AN$3:$AN$1850,"利用可")</f>
        <v>9</v>
      </c>
      <c r="I39" s="22" t="str">
        <f aca="false">IF(H39&gt;=判定条件!$C$12,"利用可","不可")</f>
        <v>利用可</v>
      </c>
      <c r="J39" s="22" t="n">
        <f aca="false">COUNTIFS(時間ごとの判定!$A$3:$A$1850,$A39,時間ごとの判定!$B$3:$B$1850,"&gt;="&amp;判定条件!$C$10,時間ごとの判定!$B$3:$B$1850,"&lt;="&amp;判定条件!$C$11,時間ごとの判定!$AQ$3:$AQ$1850,"利用可")</f>
        <v>8</v>
      </c>
      <c r="K39" s="22" t="str">
        <f aca="false">IF(J39&gt;=判定条件!$C$12,"利用可","不可")</f>
        <v>利用可</v>
      </c>
      <c r="L39" s="22" t="n">
        <f aca="false">COUNTIFS(時間ごとの判定!$A$3:$A$1850,$A39,時間ごとの判定!$B$3:$B$1850,"&gt;="&amp;判定条件!$C$10,時間ごとの判定!$B$3:$B$1850,"&lt;="&amp;判定条件!$C$11,時間ごとの判定!$AT$3:$AT$1850,"利用可")</f>
        <v>0</v>
      </c>
      <c r="M39" s="22" t="str">
        <f aca="false">IF(L39&gt;=判定条件!$C$12,"利用可","不可")</f>
        <v>不可</v>
      </c>
      <c r="N39" s="22" t="n">
        <f aca="false">COUNTIFS(時間ごとの判定!$A$3:$A$1850,$A39,時間ごとの判定!$B$3:$B$1850,"&gt;="&amp;判定条件!$C$10,時間ごとの判定!$B$3:$B$1850,"&lt;="&amp;判定条件!$C$11,時間ごとの判定!$AW$3:$AW$1850,"利用可")</f>
        <v>9</v>
      </c>
      <c r="O39" s="22" t="str">
        <f aca="false">IF(N39&gt;=判定条件!$C$12,"利用可","不可")</f>
        <v>利用可</v>
      </c>
      <c r="P39" s="22" t="str">
        <f aca="false">IF(AND(E39="利用可",G39="利用可",I39="利用可"),"利用可","不可")</f>
        <v>不可</v>
      </c>
      <c r="Q39" s="22" t="str">
        <f aca="false">IF(AND(K39="利用可",M39="利用可",O39="利用可"),"利用可","不可")</f>
        <v>不可</v>
      </c>
      <c r="R39" s="26" t="s">
        <v>70</v>
      </c>
    </row>
    <row r="40" customFormat="false" ht="15" hidden="false" customHeight="false" outlineLevel="0" collapsed="false">
      <c r="A40" s="20" t="n">
        <v>46269</v>
      </c>
      <c r="B40" s="21" t="s">
        <v>62</v>
      </c>
      <c r="C40" s="21" t="s">
        <v>59</v>
      </c>
      <c r="D40" s="22" t="n">
        <f aca="false">COUNTIFS(時間ごとの判定!$A$3:$A$1850,$A40,時間ごとの判定!$B$3:$B$1850,"&gt;="&amp;判定条件!$C$10,時間ごとの判定!$B$3:$B$1850,"&lt;="&amp;判定条件!$C$11,時間ごとの判定!$AH$3:$AH$1850,"利用可")</f>
        <v>6</v>
      </c>
      <c r="E40" s="22" t="str">
        <f aca="false">IF(D40&gt;=判定条件!$C$12,"利用可","不可")</f>
        <v>不可</v>
      </c>
      <c r="F40" s="22" t="n">
        <f aca="false">COUNTIFS(時間ごとの判定!$A$3:$A$1850,$A40,時間ごとの判定!$B$3:$B$1850,"&gt;="&amp;判定条件!$C$10,時間ごとの判定!$B$3:$B$1850,"&lt;="&amp;判定条件!$C$11,時間ごとの判定!$AK$3:$AK$1850,"利用可")</f>
        <v>0</v>
      </c>
      <c r="G40" s="22" t="str">
        <f aca="false">IF(F40&gt;=判定条件!$C$12,"利用可","不可")</f>
        <v>不可</v>
      </c>
      <c r="H40" s="22" t="n">
        <f aca="false">COUNTIFS(時間ごとの判定!$A$3:$A$1850,$A40,時間ごとの判定!$B$3:$B$1850,"&gt;="&amp;判定条件!$C$10,時間ごとの判定!$B$3:$B$1850,"&lt;="&amp;判定条件!$C$11,時間ごとの判定!$AN$3:$AN$1850,"利用可")</f>
        <v>9</v>
      </c>
      <c r="I40" s="22" t="str">
        <f aca="false">IF(H40&gt;=判定条件!$C$12,"利用可","不可")</f>
        <v>利用可</v>
      </c>
      <c r="J40" s="22" t="n">
        <f aca="false">COUNTIFS(時間ごとの判定!$A$3:$A$1850,$A40,時間ごとの判定!$B$3:$B$1850,"&gt;="&amp;判定条件!$C$10,時間ごとの判定!$B$3:$B$1850,"&lt;="&amp;判定条件!$C$11,時間ごとの判定!$AQ$3:$AQ$1850,"利用可")</f>
        <v>6</v>
      </c>
      <c r="K40" s="22" t="str">
        <f aca="false">IF(J40&gt;=判定条件!$C$12,"利用可","不可")</f>
        <v>不可</v>
      </c>
      <c r="L40" s="22" t="n">
        <f aca="false">COUNTIFS(時間ごとの判定!$A$3:$A$1850,$A40,時間ごとの判定!$B$3:$B$1850,"&gt;="&amp;判定条件!$C$10,時間ごとの判定!$B$3:$B$1850,"&lt;="&amp;判定条件!$C$11,時間ごとの判定!$AT$3:$AT$1850,"利用可")</f>
        <v>0</v>
      </c>
      <c r="M40" s="22" t="str">
        <f aca="false">IF(L40&gt;=判定条件!$C$12,"利用可","不可")</f>
        <v>不可</v>
      </c>
      <c r="N40" s="22" t="n">
        <f aca="false">COUNTIFS(時間ごとの判定!$A$3:$A$1850,$A40,時間ごとの判定!$B$3:$B$1850,"&gt;="&amp;判定条件!$C$10,時間ごとの判定!$B$3:$B$1850,"&lt;="&amp;判定条件!$C$11,時間ごとの判定!$AW$3:$AW$1850,"利用可")</f>
        <v>9</v>
      </c>
      <c r="O40" s="22" t="str">
        <f aca="false">IF(N40&gt;=判定条件!$C$12,"利用可","不可")</f>
        <v>利用可</v>
      </c>
      <c r="P40" s="22" t="str">
        <f aca="false">IF(AND(E40="利用可",G40="利用可",I40="利用可"),"利用可","不可")</f>
        <v>不可</v>
      </c>
      <c r="Q40" s="22" t="str">
        <f aca="false">IF(AND(K40="利用可",M40="利用可",O40="利用可"),"利用可","不可")</f>
        <v>不可</v>
      </c>
      <c r="R40" s="26" t="s">
        <v>70</v>
      </c>
    </row>
    <row r="41" customFormat="false" ht="15" hidden="false" customHeight="false" outlineLevel="0" collapsed="false">
      <c r="A41" s="24" t="n">
        <v>46270</v>
      </c>
      <c r="B41" s="25" t="s">
        <v>63</v>
      </c>
      <c r="C41" s="25" t="s">
        <v>64</v>
      </c>
      <c r="D41" s="22" t="n">
        <f aca="false">COUNTIFS(時間ごとの判定!$A$3:$A$1850,$A41,時間ごとの判定!$B$3:$B$1850,"&gt;="&amp;判定条件!$C$10,時間ごとの判定!$B$3:$B$1850,"&lt;="&amp;判定条件!$C$11,時間ごとの判定!$AH$3:$AH$1850,"利用可")</f>
        <v>6</v>
      </c>
      <c r="E41" s="22" t="str">
        <f aca="false">IF(D41&gt;=判定条件!$C$12,"利用可","不可")</f>
        <v>不可</v>
      </c>
      <c r="F41" s="22" t="n">
        <f aca="false">COUNTIFS(時間ごとの判定!$A$3:$A$1850,$A41,時間ごとの判定!$B$3:$B$1850,"&gt;="&amp;判定条件!$C$10,時間ごとの判定!$B$3:$B$1850,"&lt;="&amp;判定条件!$C$11,時間ごとの判定!$AK$3:$AK$1850,"利用可")</f>
        <v>5</v>
      </c>
      <c r="G41" s="22" t="str">
        <f aca="false">IF(F41&gt;=判定条件!$C$12,"利用可","不可")</f>
        <v>不可</v>
      </c>
      <c r="H41" s="22" t="n">
        <f aca="false">COUNTIFS(時間ごとの判定!$A$3:$A$1850,$A41,時間ごとの判定!$B$3:$B$1850,"&gt;="&amp;判定条件!$C$10,時間ごとの判定!$B$3:$B$1850,"&lt;="&amp;判定条件!$C$11,時間ごとの判定!$AN$3:$AN$1850,"利用可")</f>
        <v>5</v>
      </c>
      <c r="I41" s="22" t="str">
        <f aca="false">IF(H41&gt;=判定条件!$C$12,"利用可","不可")</f>
        <v>不可</v>
      </c>
      <c r="J41" s="22" t="n">
        <f aca="false">COUNTIFS(時間ごとの判定!$A$3:$A$1850,$A41,時間ごとの判定!$B$3:$B$1850,"&gt;="&amp;判定条件!$C$10,時間ごとの判定!$B$3:$B$1850,"&lt;="&amp;判定条件!$C$11,時間ごとの判定!$AQ$3:$AQ$1850,"利用可")</f>
        <v>5</v>
      </c>
      <c r="K41" s="22" t="str">
        <f aca="false">IF(J41&gt;=判定条件!$C$12,"利用可","不可")</f>
        <v>不可</v>
      </c>
      <c r="L41" s="22" t="n">
        <f aca="false">COUNTIFS(時間ごとの判定!$A$3:$A$1850,$A41,時間ごとの判定!$B$3:$B$1850,"&gt;="&amp;判定条件!$C$10,時間ごとの判定!$B$3:$B$1850,"&lt;="&amp;判定条件!$C$11,時間ごとの判定!$AT$3:$AT$1850,"利用可")</f>
        <v>3</v>
      </c>
      <c r="M41" s="22" t="str">
        <f aca="false">IF(L41&gt;=判定条件!$C$12,"利用可","不可")</f>
        <v>不可</v>
      </c>
      <c r="N41" s="22" t="n">
        <f aca="false">COUNTIFS(時間ごとの判定!$A$3:$A$1850,$A41,時間ごとの判定!$B$3:$B$1850,"&gt;="&amp;判定条件!$C$10,時間ごとの判定!$B$3:$B$1850,"&lt;="&amp;判定条件!$C$11,時間ごとの判定!$AW$3:$AW$1850,"利用可")</f>
        <v>9</v>
      </c>
      <c r="O41" s="22" t="str">
        <f aca="false">IF(N41&gt;=判定条件!$C$12,"利用可","不可")</f>
        <v>利用可</v>
      </c>
      <c r="P41" s="22" t="str">
        <f aca="false">IF(AND(E41="利用可",G41="利用可",I41="利用可"),"利用可","不可")</f>
        <v>不可</v>
      </c>
      <c r="Q41" s="22" t="str">
        <f aca="false">IF(AND(K41="利用可",M41="利用可",O41="利用可"),"利用可","不可")</f>
        <v>不可</v>
      </c>
      <c r="R41" s="26"/>
    </row>
    <row r="42" customFormat="false" ht="15" hidden="false" customHeight="false" outlineLevel="0" collapsed="false">
      <c r="A42" s="24" t="n">
        <v>46271</v>
      </c>
      <c r="B42" s="25" t="s">
        <v>65</v>
      </c>
      <c r="C42" s="25" t="s">
        <v>64</v>
      </c>
      <c r="D42" s="22" t="n">
        <f aca="false">COUNTIFS(時間ごとの判定!$A$3:$A$1850,$A42,時間ごとの判定!$B$3:$B$1850,"&gt;="&amp;判定条件!$C$10,時間ごとの判定!$B$3:$B$1850,"&lt;="&amp;判定条件!$C$11,時間ごとの判定!$AH$3:$AH$1850,"利用可")</f>
        <v>0</v>
      </c>
      <c r="E42" s="22" t="str">
        <f aca="false">IF(D42&gt;=判定条件!$C$12,"利用可","不可")</f>
        <v>不可</v>
      </c>
      <c r="F42" s="22" t="n">
        <f aca="false">COUNTIFS(時間ごとの判定!$A$3:$A$1850,$A42,時間ごとの判定!$B$3:$B$1850,"&gt;="&amp;判定条件!$C$10,時間ごとの判定!$B$3:$B$1850,"&lt;="&amp;判定条件!$C$11,時間ごとの判定!$AK$3:$AK$1850,"利用可")</f>
        <v>0</v>
      </c>
      <c r="G42" s="22" t="str">
        <f aca="false">IF(F42&gt;=判定条件!$C$12,"利用可","不可")</f>
        <v>不可</v>
      </c>
      <c r="H42" s="22" t="n">
        <f aca="false">COUNTIFS(時間ごとの判定!$A$3:$A$1850,$A42,時間ごとの判定!$B$3:$B$1850,"&gt;="&amp;判定条件!$C$10,時間ごとの判定!$B$3:$B$1850,"&lt;="&amp;判定条件!$C$11,時間ごとの判定!$AN$3:$AN$1850,"利用可")</f>
        <v>0</v>
      </c>
      <c r="I42" s="22" t="str">
        <f aca="false">IF(H42&gt;=判定条件!$C$12,"利用可","不可")</f>
        <v>不可</v>
      </c>
      <c r="J42" s="22" t="n">
        <f aca="false">COUNTIFS(時間ごとの判定!$A$3:$A$1850,$A42,時間ごとの判定!$B$3:$B$1850,"&gt;="&amp;判定条件!$C$10,時間ごとの判定!$B$3:$B$1850,"&lt;="&amp;判定条件!$C$11,時間ごとの判定!$AQ$3:$AQ$1850,"利用可")</f>
        <v>0</v>
      </c>
      <c r="K42" s="22" t="str">
        <f aca="false">IF(J42&gt;=判定条件!$C$12,"利用可","不可")</f>
        <v>不可</v>
      </c>
      <c r="L42" s="22" t="n">
        <f aca="false">COUNTIFS(時間ごとの判定!$A$3:$A$1850,$A42,時間ごとの判定!$B$3:$B$1850,"&gt;="&amp;判定条件!$C$10,時間ごとの判定!$B$3:$B$1850,"&lt;="&amp;判定条件!$C$11,時間ごとの判定!$AT$3:$AT$1850,"利用可")</f>
        <v>0</v>
      </c>
      <c r="M42" s="22" t="str">
        <f aca="false">IF(L42&gt;=判定条件!$C$12,"利用可","不可")</f>
        <v>不可</v>
      </c>
      <c r="N42" s="22" t="n">
        <f aca="false">COUNTIFS(時間ごとの判定!$A$3:$A$1850,$A42,時間ごとの判定!$B$3:$B$1850,"&gt;="&amp;判定条件!$C$10,時間ごとの判定!$B$3:$B$1850,"&lt;="&amp;判定条件!$C$11,時間ごとの判定!$AW$3:$AW$1850,"利用可")</f>
        <v>9</v>
      </c>
      <c r="O42" s="22" t="str">
        <f aca="false">IF(N42&gt;=判定条件!$C$12,"利用可","不可")</f>
        <v>利用可</v>
      </c>
      <c r="P42" s="22" t="str">
        <f aca="false">IF(AND(E42="利用可",G42="利用可",I42="利用可"),"利用可","不可")</f>
        <v>不可</v>
      </c>
      <c r="Q42" s="22" t="str">
        <f aca="false">IF(AND(K42="利用可",M42="利用可",O42="利用可"),"利用可","不可")</f>
        <v>不可</v>
      </c>
      <c r="R42" s="26" t="s">
        <v>70</v>
      </c>
    </row>
    <row r="43" customFormat="false" ht="15" hidden="false" customHeight="false" outlineLevel="0" collapsed="false">
      <c r="A43" s="20" t="n">
        <v>46272</v>
      </c>
      <c r="B43" s="21" t="s">
        <v>66</v>
      </c>
      <c r="C43" s="21" t="s">
        <v>59</v>
      </c>
      <c r="D43" s="22" t="n">
        <f aca="false">COUNTIFS(時間ごとの判定!$A$3:$A$1850,$A43,時間ごとの判定!$B$3:$B$1850,"&gt;="&amp;判定条件!$C$10,時間ごとの判定!$B$3:$B$1850,"&lt;="&amp;判定条件!$C$11,時間ごとの判定!$AH$3:$AH$1850,"利用可")</f>
        <v>4</v>
      </c>
      <c r="E43" s="22" t="str">
        <f aca="false">IF(D43&gt;=判定条件!$C$12,"利用可","不可")</f>
        <v>不可</v>
      </c>
      <c r="F43" s="22" t="n">
        <f aca="false">COUNTIFS(時間ごとの判定!$A$3:$A$1850,$A43,時間ごとの判定!$B$3:$B$1850,"&gt;="&amp;判定条件!$C$10,時間ごとの判定!$B$3:$B$1850,"&lt;="&amp;判定条件!$C$11,時間ごとの判定!$AK$3:$AK$1850,"利用可")</f>
        <v>0</v>
      </c>
      <c r="G43" s="22" t="str">
        <f aca="false">IF(F43&gt;=判定条件!$C$12,"利用可","不可")</f>
        <v>不可</v>
      </c>
      <c r="H43" s="22" t="n">
        <f aca="false">COUNTIFS(時間ごとの判定!$A$3:$A$1850,$A43,時間ごとの判定!$B$3:$B$1850,"&gt;="&amp;判定条件!$C$10,時間ごとの判定!$B$3:$B$1850,"&lt;="&amp;判定条件!$C$11,時間ごとの判定!$AN$3:$AN$1850,"利用可")</f>
        <v>5</v>
      </c>
      <c r="I43" s="22" t="str">
        <f aca="false">IF(H43&gt;=判定条件!$C$12,"利用可","不可")</f>
        <v>不可</v>
      </c>
      <c r="J43" s="22" t="n">
        <f aca="false">COUNTIFS(時間ごとの判定!$A$3:$A$1850,$A43,時間ごとの判定!$B$3:$B$1850,"&gt;="&amp;判定条件!$C$10,時間ごとの判定!$B$3:$B$1850,"&lt;="&amp;判定条件!$C$11,時間ごとの判定!$AQ$3:$AQ$1850,"利用可")</f>
        <v>2</v>
      </c>
      <c r="K43" s="22" t="str">
        <f aca="false">IF(J43&gt;=判定条件!$C$12,"利用可","不可")</f>
        <v>不可</v>
      </c>
      <c r="L43" s="22" t="n">
        <f aca="false">COUNTIFS(時間ごとの判定!$A$3:$A$1850,$A43,時間ごとの判定!$B$3:$B$1850,"&gt;="&amp;判定条件!$C$10,時間ごとの判定!$B$3:$B$1850,"&lt;="&amp;判定条件!$C$11,時間ごとの判定!$AT$3:$AT$1850,"利用可")</f>
        <v>0</v>
      </c>
      <c r="M43" s="22" t="str">
        <f aca="false">IF(L43&gt;=判定条件!$C$12,"利用可","不可")</f>
        <v>不可</v>
      </c>
      <c r="N43" s="22" t="n">
        <f aca="false">COUNTIFS(時間ごとの判定!$A$3:$A$1850,$A43,時間ごとの判定!$B$3:$B$1850,"&gt;="&amp;判定条件!$C$10,時間ごとの判定!$B$3:$B$1850,"&lt;="&amp;判定条件!$C$11,時間ごとの判定!$AW$3:$AW$1850,"利用可")</f>
        <v>7</v>
      </c>
      <c r="O43" s="22" t="str">
        <f aca="false">IF(N43&gt;=判定条件!$C$12,"利用可","不可")</f>
        <v>利用可</v>
      </c>
      <c r="P43" s="22" t="str">
        <f aca="false">IF(AND(E43="利用可",G43="利用可",I43="利用可"),"利用可","不可")</f>
        <v>不可</v>
      </c>
      <c r="Q43" s="22" t="str">
        <f aca="false">IF(AND(K43="利用可",M43="利用可",O43="利用可"),"利用可","不可")</f>
        <v>不可</v>
      </c>
      <c r="R43" s="26" t="s">
        <v>70</v>
      </c>
    </row>
    <row r="44" customFormat="false" ht="15" hidden="false" customHeight="false" outlineLevel="0" collapsed="false">
      <c r="A44" s="20" t="n">
        <v>46273</v>
      </c>
      <c r="B44" s="21" t="s">
        <v>67</v>
      </c>
      <c r="C44" s="21" t="s">
        <v>59</v>
      </c>
      <c r="D44" s="22" t="n">
        <f aca="false">COUNTIFS(時間ごとの判定!$A$3:$A$1850,$A44,時間ごとの判定!$B$3:$B$1850,"&gt;="&amp;判定条件!$C$10,時間ごとの判定!$B$3:$B$1850,"&lt;="&amp;判定条件!$C$11,時間ごとの判定!$AH$3:$AH$1850,"利用可")</f>
        <v>7</v>
      </c>
      <c r="E44" s="22" t="str">
        <f aca="false">IF(D44&gt;=判定条件!$C$12,"利用可","不可")</f>
        <v>利用可</v>
      </c>
      <c r="F44" s="22" t="n">
        <f aca="false">COUNTIFS(時間ごとの判定!$A$3:$A$1850,$A44,時間ごとの判定!$B$3:$B$1850,"&gt;="&amp;判定条件!$C$10,時間ごとの判定!$B$3:$B$1850,"&lt;="&amp;判定条件!$C$11,時間ごとの判定!$AK$3:$AK$1850,"利用可")</f>
        <v>9</v>
      </c>
      <c r="G44" s="22" t="str">
        <f aca="false">IF(F44&gt;=判定条件!$C$12,"利用可","不可")</f>
        <v>利用可</v>
      </c>
      <c r="H44" s="22" t="n">
        <f aca="false">COUNTIFS(時間ごとの判定!$A$3:$A$1850,$A44,時間ごとの判定!$B$3:$B$1850,"&gt;="&amp;判定条件!$C$10,時間ごとの判定!$B$3:$B$1850,"&lt;="&amp;判定条件!$C$11,時間ごとの判定!$AN$3:$AN$1850,"利用可")</f>
        <v>8</v>
      </c>
      <c r="I44" s="22" t="str">
        <f aca="false">IF(H44&gt;=判定条件!$C$12,"利用可","不可")</f>
        <v>利用可</v>
      </c>
      <c r="J44" s="22" t="n">
        <f aca="false">COUNTIFS(時間ごとの判定!$A$3:$A$1850,$A44,時間ごとの判定!$B$3:$B$1850,"&gt;="&amp;判定条件!$C$10,時間ごとの判定!$B$3:$B$1850,"&lt;="&amp;判定条件!$C$11,時間ごとの判定!$AQ$3:$AQ$1850,"利用可")</f>
        <v>8</v>
      </c>
      <c r="K44" s="22" t="str">
        <f aca="false">IF(J44&gt;=判定条件!$C$12,"利用可","不可")</f>
        <v>利用可</v>
      </c>
      <c r="L44" s="22" t="n">
        <f aca="false">COUNTIFS(時間ごとの判定!$A$3:$A$1850,$A44,時間ごとの判定!$B$3:$B$1850,"&gt;="&amp;判定条件!$C$10,時間ごとの判定!$B$3:$B$1850,"&lt;="&amp;判定条件!$C$11,時間ごとの判定!$AT$3:$AT$1850,"利用可")</f>
        <v>8</v>
      </c>
      <c r="M44" s="22" t="str">
        <f aca="false">IF(L44&gt;=判定条件!$C$12,"利用可","不可")</f>
        <v>利用可</v>
      </c>
      <c r="N44" s="22" t="n">
        <f aca="false">COUNTIFS(時間ごとの判定!$A$3:$A$1850,$A44,時間ごとの判定!$B$3:$B$1850,"&gt;="&amp;判定条件!$C$10,時間ごとの判定!$B$3:$B$1850,"&lt;="&amp;判定条件!$C$11,時間ごとの判定!$AW$3:$AW$1850,"利用可")</f>
        <v>9</v>
      </c>
      <c r="O44" s="22" t="str">
        <f aca="false">IF(N44&gt;=判定条件!$C$12,"利用可","不可")</f>
        <v>利用可</v>
      </c>
      <c r="P44" s="22" t="str">
        <f aca="false">IF(AND(E44="利用可",G44="利用可",I44="利用可"),"利用可","不可")</f>
        <v>利用可</v>
      </c>
      <c r="Q44" s="22" t="str">
        <f aca="false">IF(AND(K44="利用可",M44="利用可",O44="利用可"),"利用可","不可")</f>
        <v>利用可</v>
      </c>
      <c r="R44" s="26"/>
    </row>
    <row r="45" customFormat="false" ht="15" hidden="false" customHeight="false" outlineLevel="0" collapsed="false">
      <c r="A45" s="20" t="n">
        <v>46274</v>
      </c>
      <c r="B45" s="21" t="s">
        <v>58</v>
      </c>
      <c r="C45" s="21" t="s">
        <v>59</v>
      </c>
      <c r="D45" s="22" t="n">
        <f aca="false">COUNTIFS(時間ごとの判定!$A$3:$A$1850,$A45,時間ごとの判定!$B$3:$B$1850,"&gt;="&amp;判定条件!$C$10,時間ごとの判定!$B$3:$B$1850,"&lt;="&amp;判定条件!$C$11,時間ごとの判定!$AH$3:$AH$1850,"利用可")</f>
        <v>7</v>
      </c>
      <c r="E45" s="22" t="str">
        <f aca="false">IF(D45&gt;=判定条件!$C$12,"利用可","不可")</f>
        <v>利用可</v>
      </c>
      <c r="F45" s="22" t="n">
        <f aca="false">COUNTIFS(時間ごとの判定!$A$3:$A$1850,$A45,時間ごとの判定!$B$3:$B$1850,"&gt;="&amp;判定条件!$C$10,時間ごとの判定!$B$3:$B$1850,"&lt;="&amp;判定条件!$C$11,時間ごとの判定!$AK$3:$AK$1850,"利用可")</f>
        <v>7</v>
      </c>
      <c r="G45" s="22" t="str">
        <f aca="false">IF(F45&gt;=判定条件!$C$12,"利用可","不可")</f>
        <v>利用可</v>
      </c>
      <c r="H45" s="22" t="n">
        <f aca="false">COUNTIFS(時間ごとの判定!$A$3:$A$1850,$A45,時間ごとの判定!$B$3:$B$1850,"&gt;="&amp;判定条件!$C$10,時間ごとの判定!$B$3:$B$1850,"&lt;="&amp;判定条件!$C$11,時間ごとの判定!$AN$3:$AN$1850,"利用可")</f>
        <v>8</v>
      </c>
      <c r="I45" s="22" t="str">
        <f aca="false">IF(H45&gt;=判定条件!$C$12,"利用可","不可")</f>
        <v>利用可</v>
      </c>
      <c r="J45" s="22" t="n">
        <f aca="false">COUNTIFS(時間ごとの判定!$A$3:$A$1850,$A45,時間ごとの判定!$B$3:$B$1850,"&gt;="&amp;判定条件!$C$10,時間ごとの判定!$B$3:$B$1850,"&lt;="&amp;判定条件!$C$11,時間ごとの判定!$AQ$3:$AQ$1850,"利用可")</f>
        <v>7</v>
      </c>
      <c r="K45" s="22" t="str">
        <f aca="false">IF(J45&gt;=判定条件!$C$12,"利用可","不可")</f>
        <v>利用可</v>
      </c>
      <c r="L45" s="22" t="n">
        <f aca="false">COUNTIFS(時間ごとの判定!$A$3:$A$1850,$A45,時間ごとの判定!$B$3:$B$1850,"&gt;="&amp;判定条件!$C$10,時間ごとの判定!$B$3:$B$1850,"&lt;="&amp;判定条件!$C$11,時間ごとの判定!$AT$3:$AT$1850,"利用可")</f>
        <v>7</v>
      </c>
      <c r="M45" s="22" t="str">
        <f aca="false">IF(L45&gt;=判定条件!$C$12,"利用可","不可")</f>
        <v>利用可</v>
      </c>
      <c r="N45" s="22" t="n">
        <f aca="false">COUNTIFS(時間ごとの判定!$A$3:$A$1850,$A45,時間ごとの判定!$B$3:$B$1850,"&gt;="&amp;判定条件!$C$10,時間ごとの判定!$B$3:$B$1850,"&lt;="&amp;判定条件!$C$11,時間ごとの判定!$AW$3:$AW$1850,"利用可")</f>
        <v>9</v>
      </c>
      <c r="O45" s="22" t="str">
        <f aca="false">IF(N45&gt;=判定条件!$C$12,"利用可","不可")</f>
        <v>利用可</v>
      </c>
      <c r="P45" s="22" t="str">
        <f aca="false">IF(AND(E45="利用可",G45="利用可",I45="利用可"),"利用可","不可")</f>
        <v>利用可</v>
      </c>
      <c r="Q45" s="22" t="str">
        <f aca="false">IF(AND(K45="利用可",M45="利用可",O45="利用可"),"利用可","不可")</f>
        <v>利用可</v>
      </c>
      <c r="R45" s="26"/>
    </row>
    <row r="46" customFormat="false" ht="15" hidden="false" customHeight="false" outlineLevel="0" collapsed="false">
      <c r="A46" s="20" t="n">
        <v>46275</v>
      </c>
      <c r="B46" s="21" t="s">
        <v>61</v>
      </c>
      <c r="C46" s="21" t="s">
        <v>59</v>
      </c>
      <c r="D46" s="22" t="n">
        <f aca="false">COUNTIFS(時間ごとの判定!$A$3:$A$1850,$A46,時間ごとの判定!$B$3:$B$1850,"&gt;="&amp;判定条件!$C$10,時間ごとの判定!$B$3:$B$1850,"&lt;="&amp;判定条件!$C$11,時間ごとの判定!$AH$3:$AH$1850,"利用可")</f>
        <v>0</v>
      </c>
      <c r="E46" s="22" t="str">
        <f aca="false">IF(D46&gt;=判定条件!$C$12,"利用可","不可")</f>
        <v>不可</v>
      </c>
      <c r="F46" s="22" t="n">
        <f aca="false">COUNTIFS(時間ごとの判定!$A$3:$A$1850,$A46,時間ごとの判定!$B$3:$B$1850,"&gt;="&amp;判定条件!$C$10,時間ごとの判定!$B$3:$B$1850,"&lt;="&amp;判定条件!$C$11,時間ごとの判定!$AK$3:$AK$1850,"利用可")</f>
        <v>5</v>
      </c>
      <c r="G46" s="22" t="str">
        <f aca="false">IF(F46&gt;=判定条件!$C$12,"利用可","不可")</f>
        <v>不可</v>
      </c>
      <c r="H46" s="22" t="n">
        <f aca="false">COUNTIFS(時間ごとの判定!$A$3:$A$1850,$A46,時間ごとの判定!$B$3:$B$1850,"&gt;="&amp;判定条件!$C$10,時間ごとの判定!$B$3:$B$1850,"&lt;="&amp;判定条件!$C$11,時間ごとの判定!$AN$3:$AN$1850,"利用可")</f>
        <v>7</v>
      </c>
      <c r="I46" s="22" t="str">
        <f aca="false">IF(H46&gt;=判定条件!$C$12,"利用可","不可")</f>
        <v>利用可</v>
      </c>
      <c r="J46" s="22" t="n">
        <f aca="false">COUNTIFS(時間ごとの判定!$A$3:$A$1850,$A46,時間ごとの判定!$B$3:$B$1850,"&gt;="&amp;判定条件!$C$10,時間ごとの判定!$B$3:$B$1850,"&lt;="&amp;判定条件!$C$11,時間ごとの判定!$AQ$3:$AQ$1850,"利用可")</f>
        <v>0</v>
      </c>
      <c r="K46" s="22" t="str">
        <f aca="false">IF(J46&gt;=判定条件!$C$12,"利用可","不可")</f>
        <v>不可</v>
      </c>
      <c r="L46" s="22" t="n">
        <f aca="false">COUNTIFS(時間ごとの判定!$A$3:$A$1850,$A46,時間ごとの判定!$B$3:$B$1850,"&gt;="&amp;判定条件!$C$10,時間ごとの判定!$B$3:$B$1850,"&lt;="&amp;判定条件!$C$11,時間ごとの判定!$AT$3:$AT$1850,"利用可")</f>
        <v>7</v>
      </c>
      <c r="M46" s="22" t="str">
        <f aca="false">IF(L46&gt;=判定条件!$C$12,"利用可","不可")</f>
        <v>利用可</v>
      </c>
      <c r="N46" s="22" t="n">
        <f aca="false">COUNTIFS(時間ごとの判定!$A$3:$A$1850,$A46,時間ごとの判定!$B$3:$B$1850,"&gt;="&amp;判定条件!$C$10,時間ごとの判定!$B$3:$B$1850,"&lt;="&amp;判定条件!$C$11,時間ごとの判定!$AW$3:$AW$1850,"利用可")</f>
        <v>7</v>
      </c>
      <c r="O46" s="22" t="str">
        <f aca="false">IF(N46&gt;=判定条件!$C$12,"利用可","不可")</f>
        <v>利用可</v>
      </c>
      <c r="P46" s="22" t="str">
        <f aca="false">IF(AND(E46="利用可",G46="利用可",I46="利用可"),"利用可","不可")</f>
        <v>不可</v>
      </c>
      <c r="Q46" s="22" t="str">
        <f aca="false">IF(AND(K46="利用可",M46="利用可",O46="利用可"),"利用可","不可")</f>
        <v>不可</v>
      </c>
      <c r="R46" s="26"/>
    </row>
    <row r="47" customFormat="false" ht="15" hidden="false" customHeight="false" outlineLevel="0" collapsed="false">
      <c r="A47" s="20" t="n">
        <v>46276</v>
      </c>
      <c r="B47" s="21" t="s">
        <v>62</v>
      </c>
      <c r="C47" s="21" t="s">
        <v>59</v>
      </c>
      <c r="D47" s="22" t="n">
        <f aca="false">COUNTIFS(時間ごとの判定!$A$3:$A$1850,$A47,時間ごとの判定!$B$3:$B$1850,"&gt;="&amp;判定条件!$C$10,時間ごとの判定!$B$3:$B$1850,"&lt;="&amp;判定条件!$C$11,時間ごとの判定!$AH$3:$AH$1850,"利用可")</f>
        <v>0</v>
      </c>
      <c r="E47" s="22" t="str">
        <f aca="false">IF(D47&gt;=判定条件!$C$12,"利用可","不可")</f>
        <v>不可</v>
      </c>
      <c r="F47" s="22" t="n">
        <f aca="false">COUNTIFS(時間ごとの判定!$A$3:$A$1850,$A47,時間ごとの判定!$B$3:$B$1850,"&gt;="&amp;判定条件!$C$10,時間ごとの判定!$B$3:$B$1850,"&lt;="&amp;判定条件!$C$11,時間ごとの判定!$AK$3:$AK$1850,"利用可")</f>
        <v>1</v>
      </c>
      <c r="G47" s="22" t="str">
        <f aca="false">IF(F47&gt;=判定条件!$C$12,"利用可","不可")</f>
        <v>不可</v>
      </c>
      <c r="H47" s="22" t="n">
        <f aca="false">COUNTIFS(時間ごとの判定!$A$3:$A$1850,$A47,時間ごとの判定!$B$3:$B$1850,"&gt;="&amp;判定条件!$C$10,時間ごとの判定!$B$3:$B$1850,"&lt;="&amp;判定条件!$C$11,時間ごとの判定!$AN$3:$AN$1850,"利用可")</f>
        <v>6</v>
      </c>
      <c r="I47" s="22" t="str">
        <f aca="false">IF(H47&gt;=判定条件!$C$12,"利用可","不可")</f>
        <v>不可</v>
      </c>
      <c r="J47" s="22" t="n">
        <f aca="false">COUNTIFS(時間ごとの判定!$A$3:$A$1850,$A47,時間ごとの判定!$B$3:$B$1850,"&gt;="&amp;判定条件!$C$10,時間ごとの判定!$B$3:$B$1850,"&lt;="&amp;判定条件!$C$11,時間ごとの判定!$AQ$3:$AQ$1850,"利用可")</f>
        <v>0</v>
      </c>
      <c r="K47" s="22" t="str">
        <f aca="false">IF(J47&gt;=判定条件!$C$12,"利用可","不可")</f>
        <v>不可</v>
      </c>
      <c r="L47" s="22" t="n">
        <f aca="false">COUNTIFS(時間ごとの判定!$A$3:$A$1850,$A47,時間ごとの判定!$B$3:$B$1850,"&gt;="&amp;判定条件!$C$10,時間ごとの判定!$B$3:$B$1850,"&lt;="&amp;判定条件!$C$11,時間ごとの判定!$AT$3:$AT$1850,"利用可")</f>
        <v>1</v>
      </c>
      <c r="M47" s="22" t="str">
        <f aca="false">IF(L47&gt;=判定条件!$C$12,"利用可","不可")</f>
        <v>不可</v>
      </c>
      <c r="N47" s="22" t="n">
        <f aca="false">COUNTIFS(時間ごとの判定!$A$3:$A$1850,$A47,時間ごとの判定!$B$3:$B$1850,"&gt;="&amp;判定条件!$C$10,時間ごとの判定!$B$3:$B$1850,"&lt;="&amp;判定条件!$C$11,時間ごとの判定!$AW$3:$AW$1850,"利用可")</f>
        <v>6</v>
      </c>
      <c r="O47" s="22" t="str">
        <f aca="false">IF(N47&gt;=判定条件!$C$12,"利用可","不可")</f>
        <v>不可</v>
      </c>
      <c r="P47" s="22" t="str">
        <f aca="false">IF(AND(E47="利用可",G47="利用可",I47="利用可"),"利用可","不可")</f>
        <v>不可</v>
      </c>
      <c r="Q47" s="22" t="str">
        <f aca="false">IF(AND(K47="利用可",M47="利用可",O47="利用可"),"利用可","不可")</f>
        <v>不可</v>
      </c>
      <c r="R47" s="26"/>
    </row>
    <row r="48" customFormat="false" ht="15" hidden="false" customHeight="false" outlineLevel="0" collapsed="false">
      <c r="A48" s="24" t="n">
        <v>46277</v>
      </c>
      <c r="B48" s="25" t="s">
        <v>63</v>
      </c>
      <c r="C48" s="25" t="s">
        <v>64</v>
      </c>
      <c r="D48" s="22" t="n">
        <f aca="false">COUNTIFS(時間ごとの判定!$A$3:$A$1850,$A48,時間ごとの判定!$B$3:$B$1850,"&gt;="&amp;判定条件!$C$10,時間ごとの判定!$B$3:$B$1850,"&lt;="&amp;判定条件!$C$11,時間ごとの判定!$AH$3:$AH$1850,"利用可")</f>
        <v>2</v>
      </c>
      <c r="E48" s="22" t="str">
        <f aca="false">IF(D48&gt;=判定条件!$C$12,"利用可","不可")</f>
        <v>不可</v>
      </c>
      <c r="F48" s="22" t="n">
        <f aca="false">COUNTIFS(時間ごとの判定!$A$3:$A$1850,$A48,時間ごとの判定!$B$3:$B$1850,"&gt;="&amp;判定条件!$C$10,時間ごとの判定!$B$3:$B$1850,"&lt;="&amp;判定条件!$C$11,時間ごとの判定!$AK$3:$AK$1850,"利用可")</f>
        <v>0</v>
      </c>
      <c r="G48" s="22" t="str">
        <f aca="false">IF(F48&gt;=判定条件!$C$12,"利用可","不可")</f>
        <v>不可</v>
      </c>
      <c r="H48" s="22" t="n">
        <f aca="false">COUNTIFS(時間ごとの判定!$A$3:$A$1850,$A48,時間ごとの判定!$B$3:$B$1850,"&gt;="&amp;判定条件!$C$10,時間ごとの判定!$B$3:$B$1850,"&lt;="&amp;判定条件!$C$11,時間ごとの判定!$AN$3:$AN$1850,"利用可")</f>
        <v>4</v>
      </c>
      <c r="I48" s="22" t="str">
        <f aca="false">IF(H48&gt;=判定条件!$C$12,"利用可","不可")</f>
        <v>不可</v>
      </c>
      <c r="J48" s="22" t="n">
        <f aca="false">COUNTIFS(時間ごとの判定!$A$3:$A$1850,$A48,時間ごとの判定!$B$3:$B$1850,"&gt;="&amp;判定条件!$C$10,時間ごとの判定!$B$3:$B$1850,"&lt;="&amp;判定条件!$C$11,時間ごとの判定!$AQ$3:$AQ$1850,"利用可")</f>
        <v>2</v>
      </c>
      <c r="K48" s="22" t="str">
        <f aca="false">IF(J48&gt;=判定条件!$C$12,"利用可","不可")</f>
        <v>不可</v>
      </c>
      <c r="L48" s="22" t="n">
        <f aca="false">COUNTIFS(時間ごとの判定!$A$3:$A$1850,$A48,時間ごとの判定!$B$3:$B$1850,"&gt;="&amp;判定条件!$C$10,時間ごとの判定!$B$3:$B$1850,"&lt;="&amp;判定条件!$C$11,時間ごとの判定!$AT$3:$AT$1850,"利用可")</f>
        <v>2</v>
      </c>
      <c r="M48" s="22" t="str">
        <f aca="false">IF(L48&gt;=判定条件!$C$12,"利用可","不可")</f>
        <v>不可</v>
      </c>
      <c r="N48" s="22" t="n">
        <f aca="false">COUNTIFS(時間ごとの判定!$A$3:$A$1850,$A48,時間ごとの判定!$B$3:$B$1850,"&gt;="&amp;判定条件!$C$10,時間ごとの判定!$B$3:$B$1850,"&lt;="&amp;判定条件!$C$11,時間ごとの判定!$AW$3:$AW$1850,"利用可")</f>
        <v>7</v>
      </c>
      <c r="O48" s="22" t="str">
        <f aca="false">IF(N48&gt;=判定条件!$C$12,"利用可","不可")</f>
        <v>利用可</v>
      </c>
      <c r="P48" s="22" t="str">
        <f aca="false">IF(AND(E48="利用可",G48="利用可",I48="利用可"),"利用可","不可")</f>
        <v>不可</v>
      </c>
      <c r="Q48" s="22" t="str">
        <f aca="false">IF(AND(K48="利用可",M48="利用可",O48="利用可"),"利用可","不可")</f>
        <v>不可</v>
      </c>
      <c r="R48" s="26"/>
    </row>
    <row r="49" customFormat="false" ht="15" hidden="false" customHeight="false" outlineLevel="0" collapsed="false">
      <c r="A49" s="24" t="n">
        <v>46278</v>
      </c>
      <c r="B49" s="25" t="s">
        <v>65</v>
      </c>
      <c r="C49" s="25" t="s">
        <v>64</v>
      </c>
      <c r="D49" s="22" t="n">
        <f aca="false">COUNTIFS(時間ごとの判定!$A$3:$A$1850,$A49,時間ごとの判定!$B$3:$B$1850,"&gt;="&amp;判定条件!$C$10,時間ごとの判定!$B$3:$B$1850,"&lt;="&amp;判定条件!$C$11,時間ごとの判定!$AH$3:$AH$1850,"利用可")</f>
        <v>2</v>
      </c>
      <c r="E49" s="22" t="str">
        <f aca="false">IF(D49&gt;=判定条件!$C$12,"利用可","不可")</f>
        <v>不可</v>
      </c>
      <c r="F49" s="22" t="n">
        <f aca="false">COUNTIFS(時間ごとの判定!$A$3:$A$1850,$A49,時間ごとの判定!$B$3:$B$1850,"&gt;="&amp;判定条件!$C$10,時間ごとの判定!$B$3:$B$1850,"&lt;="&amp;判定条件!$C$11,時間ごとの判定!$AK$3:$AK$1850,"利用可")</f>
        <v>4</v>
      </c>
      <c r="G49" s="22" t="str">
        <f aca="false">IF(F49&gt;=判定条件!$C$12,"利用可","不可")</f>
        <v>不可</v>
      </c>
      <c r="H49" s="22" t="n">
        <f aca="false">COUNTIFS(時間ごとの判定!$A$3:$A$1850,$A49,時間ごとの判定!$B$3:$B$1850,"&gt;="&amp;判定条件!$C$10,時間ごとの判定!$B$3:$B$1850,"&lt;="&amp;判定条件!$C$11,時間ごとの判定!$AN$3:$AN$1850,"利用可")</f>
        <v>3</v>
      </c>
      <c r="I49" s="22" t="str">
        <f aca="false">IF(H49&gt;=判定条件!$C$12,"利用可","不可")</f>
        <v>不可</v>
      </c>
      <c r="J49" s="22" t="n">
        <f aca="false">COUNTIFS(時間ごとの判定!$A$3:$A$1850,$A49,時間ごとの判定!$B$3:$B$1850,"&gt;="&amp;判定条件!$C$10,時間ごとの判定!$B$3:$B$1850,"&lt;="&amp;判定条件!$C$11,時間ごとの判定!$AQ$3:$AQ$1850,"利用可")</f>
        <v>5</v>
      </c>
      <c r="K49" s="22" t="str">
        <f aca="false">IF(J49&gt;=判定条件!$C$12,"利用可","不可")</f>
        <v>不可</v>
      </c>
      <c r="L49" s="22" t="n">
        <f aca="false">COUNTIFS(時間ごとの判定!$A$3:$A$1850,$A49,時間ごとの判定!$B$3:$B$1850,"&gt;="&amp;判定条件!$C$10,時間ごとの判定!$B$3:$B$1850,"&lt;="&amp;判定条件!$C$11,時間ごとの判定!$AT$3:$AT$1850,"利用可")</f>
        <v>3</v>
      </c>
      <c r="M49" s="22" t="str">
        <f aca="false">IF(L49&gt;=判定条件!$C$12,"利用可","不可")</f>
        <v>不可</v>
      </c>
      <c r="N49" s="22" t="n">
        <f aca="false">COUNTIFS(時間ごとの判定!$A$3:$A$1850,$A49,時間ごとの判定!$B$3:$B$1850,"&gt;="&amp;判定条件!$C$10,時間ごとの判定!$B$3:$B$1850,"&lt;="&amp;判定条件!$C$11,時間ごとの判定!$AW$3:$AW$1850,"利用可")</f>
        <v>5</v>
      </c>
      <c r="O49" s="22" t="str">
        <f aca="false">IF(N49&gt;=判定条件!$C$12,"利用可","不可")</f>
        <v>不可</v>
      </c>
      <c r="P49" s="22" t="str">
        <f aca="false">IF(AND(E49="利用可",G49="利用可",I49="利用可"),"利用可","不可")</f>
        <v>不可</v>
      </c>
      <c r="Q49" s="22" t="str">
        <f aca="false">IF(AND(K49="利用可",M49="利用可",O49="利用可"),"利用可","不可")</f>
        <v>不可</v>
      </c>
      <c r="R49" s="26"/>
    </row>
    <row r="50" customFormat="false" ht="15" hidden="false" customHeight="false" outlineLevel="0" collapsed="false">
      <c r="A50" s="20" t="n">
        <v>46279</v>
      </c>
      <c r="B50" s="21" t="s">
        <v>66</v>
      </c>
      <c r="C50" s="21" t="s">
        <v>59</v>
      </c>
      <c r="D50" s="22" t="n">
        <f aca="false">COUNTIFS(時間ごとの判定!$A$3:$A$1850,$A50,時間ごとの判定!$B$3:$B$1850,"&gt;="&amp;判定条件!$C$10,時間ごとの判定!$B$3:$B$1850,"&lt;="&amp;判定条件!$C$11,時間ごとの判定!$AH$3:$AH$1850,"利用可")</f>
        <v>8</v>
      </c>
      <c r="E50" s="22" t="str">
        <f aca="false">IF(D50&gt;=判定条件!$C$12,"利用可","不可")</f>
        <v>利用可</v>
      </c>
      <c r="F50" s="22" t="n">
        <f aca="false">COUNTIFS(時間ごとの判定!$A$3:$A$1850,$A50,時間ごとの判定!$B$3:$B$1850,"&gt;="&amp;判定条件!$C$10,時間ごとの判定!$B$3:$B$1850,"&lt;="&amp;判定条件!$C$11,時間ごとの判定!$AK$3:$AK$1850,"利用可")</f>
        <v>8</v>
      </c>
      <c r="G50" s="22" t="str">
        <f aca="false">IF(F50&gt;=判定条件!$C$12,"利用可","不可")</f>
        <v>利用可</v>
      </c>
      <c r="H50" s="22" t="n">
        <f aca="false">COUNTIFS(時間ごとの判定!$A$3:$A$1850,$A50,時間ごとの判定!$B$3:$B$1850,"&gt;="&amp;判定条件!$C$10,時間ごとの判定!$B$3:$B$1850,"&lt;="&amp;判定条件!$C$11,時間ごとの判定!$AN$3:$AN$1850,"利用可")</f>
        <v>8</v>
      </c>
      <c r="I50" s="22" t="str">
        <f aca="false">IF(H50&gt;=判定条件!$C$12,"利用可","不可")</f>
        <v>利用可</v>
      </c>
      <c r="J50" s="22" t="n">
        <f aca="false">COUNTIFS(時間ごとの判定!$A$3:$A$1850,$A50,時間ごとの判定!$B$3:$B$1850,"&gt;="&amp;判定条件!$C$10,時間ごとの判定!$B$3:$B$1850,"&lt;="&amp;判定条件!$C$11,時間ごとの判定!$AQ$3:$AQ$1850,"利用可")</f>
        <v>8</v>
      </c>
      <c r="K50" s="22" t="str">
        <f aca="false">IF(J50&gt;=判定条件!$C$12,"利用可","不可")</f>
        <v>利用可</v>
      </c>
      <c r="L50" s="22" t="n">
        <f aca="false">COUNTIFS(時間ごとの判定!$A$3:$A$1850,$A50,時間ごとの判定!$B$3:$B$1850,"&gt;="&amp;判定条件!$C$10,時間ごとの判定!$B$3:$B$1850,"&lt;="&amp;判定条件!$C$11,時間ごとの判定!$AT$3:$AT$1850,"利用可")</f>
        <v>8</v>
      </c>
      <c r="M50" s="22" t="str">
        <f aca="false">IF(L50&gt;=判定条件!$C$12,"利用可","不可")</f>
        <v>利用可</v>
      </c>
      <c r="N50" s="22" t="n">
        <f aca="false">COUNTIFS(時間ごとの判定!$A$3:$A$1850,$A50,時間ごとの判定!$B$3:$B$1850,"&gt;="&amp;判定条件!$C$10,時間ごとの判定!$B$3:$B$1850,"&lt;="&amp;判定条件!$C$11,時間ごとの判定!$AW$3:$AW$1850,"利用可")</f>
        <v>8</v>
      </c>
      <c r="O50" s="22" t="str">
        <f aca="false">IF(N50&gt;=判定条件!$C$12,"利用可","不可")</f>
        <v>利用可</v>
      </c>
      <c r="P50" s="22" t="str">
        <f aca="false">IF(AND(E50="利用可",G50="利用可",I50="利用可"),"利用可","不可")</f>
        <v>利用可</v>
      </c>
      <c r="Q50" s="22" t="str">
        <f aca="false">IF(AND(K50="利用可",M50="利用可",O50="利用可"),"利用可","不可")</f>
        <v>利用可</v>
      </c>
      <c r="R50" s="26"/>
    </row>
    <row r="51" customFormat="false" ht="15" hidden="false" customHeight="false" outlineLevel="0" collapsed="false">
      <c r="A51" s="20" t="n">
        <v>46280</v>
      </c>
      <c r="B51" s="21" t="s">
        <v>67</v>
      </c>
      <c r="C51" s="21" t="s">
        <v>59</v>
      </c>
      <c r="D51" s="22" t="n">
        <f aca="false">COUNTIFS(時間ごとの判定!$A$3:$A$1850,$A51,時間ごとの判定!$B$3:$B$1850,"&gt;="&amp;判定条件!$C$10,時間ごとの判定!$B$3:$B$1850,"&lt;="&amp;判定条件!$C$11,時間ごとの判定!$AH$3:$AH$1850,"利用可")</f>
        <v>8</v>
      </c>
      <c r="E51" s="22" t="str">
        <f aca="false">IF(D51&gt;=判定条件!$C$12,"利用可","不可")</f>
        <v>利用可</v>
      </c>
      <c r="F51" s="22" t="n">
        <f aca="false">COUNTIFS(時間ごとの判定!$A$3:$A$1850,$A51,時間ごとの判定!$B$3:$B$1850,"&gt;="&amp;判定条件!$C$10,時間ごとの判定!$B$3:$B$1850,"&lt;="&amp;判定条件!$C$11,時間ごとの判定!$AK$3:$AK$1850,"利用可")</f>
        <v>0</v>
      </c>
      <c r="G51" s="22" t="str">
        <f aca="false">IF(F51&gt;=判定条件!$C$12,"利用可","不可")</f>
        <v>不可</v>
      </c>
      <c r="H51" s="22" t="n">
        <f aca="false">COUNTIFS(時間ごとの判定!$A$3:$A$1850,$A51,時間ごとの判定!$B$3:$B$1850,"&gt;="&amp;判定条件!$C$10,時間ごとの判定!$B$3:$B$1850,"&lt;="&amp;判定条件!$C$11,時間ごとの判定!$AN$3:$AN$1850,"利用可")</f>
        <v>7</v>
      </c>
      <c r="I51" s="22" t="str">
        <f aca="false">IF(H51&gt;=判定条件!$C$12,"利用可","不可")</f>
        <v>利用可</v>
      </c>
      <c r="J51" s="22" t="n">
        <f aca="false">COUNTIFS(時間ごとの判定!$A$3:$A$1850,$A51,時間ごとの判定!$B$3:$B$1850,"&gt;="&amp;判定条件!$C$10,時間ごとの判定!$B$3:$B$1850,"&lt;="&amp;判定条件!$C$11,時間ごとの判定!$AQ$3:$AQ$1850,"利用可")</f>
        <v>0</v>
      </c>
      <c r="K51" s="22" t="str">
        <f aca="false">IF(J51&gt;=判定条件!$C$12,"利用可","不可")</f>
        <v>不可</v>
      </c>
      <c r="L51" s="22" t="n">
        <f aca="false">COUNTIFS(時間ごとの判定!$A$3:$A$1850,$A51,時間ごとの判定!$B$3:$B$1850,"&gt;="&amp;判定条件!$C$10,時間ごとの判定!$B$3:$B$1850,"&lt;="&amp;判定条件!$C$11,時間ごとの判定!$AT$3:$AT$1850,"利用可")</f>
        <v>0</v>
      </c>
      <c r="M51" s="22" t="str">
        <f aca="false">IF(L51&gt;=判定条件!$C$12,"利用可","不可")</f>
        <v>不可</v>
      </c>
      <c r="N51" s="22" t="n">
        <f aca="false">COUNTIFS(時間ごとの判定!$A$3:$A$1850,$A51,時間ごとの判定!$B$3:$B$1850,"&gt;="&amp;判定条件!$C$10,時間ごとの判定!$B$3:$B$1850,"&lt;="&amp;判定条件!$C$11,時間ごとの判定!$AW$3:$AW$1850,"利用可")</f>
        <v>0</v>
      </c>
      <c r="O51" s="22" t="str">
        <f aca="false">IF(N51&gt;=判定条件!$C$12,"利用可","不可")</f>
        <v>不可</v>
      </c>
      <c r="P51" s="22" t="str">
        <f aca="false">IF(AND(E51="利用可",G51="利用可",I51="利用可"),"利用可","不可")</f>
        <v>不可</v>
      </c>
      <c r="Q51" s="22" t="str">
        <f aca="false">IF(AND(K51="利用可",M51="利用可",O51="利用可"),"利用可","不可")</f>
        <v>不可</v>
      </c>
      <c r="R51" s="23" t="s">
        <v>71</v>
      </c>
    </row>
    <row r="52" customFormat="false" ht="15" hidden="false" customHeight="false" outlineLevel="0" collapsed="false">
      <c r="A52" s="20" t="n">
        <v>46281</v>
      </c>
      <c r="B52" s="21" t="s">
        <v>58</v>
      </c>
      <c r="C52" s="21" t="s">
        <v>59</v>
      </c>
      <c r="D52" s="22" t="n">
        <f aca="false">COUNTIFS(時間ごとの判定!$A$3:$A$1850,$A52,時間ごとの判定!$B$3:$B$1850,"&gt;="&amp;判定条件!$C$10,時間ごとの判定!$B$3:$B$1850,"&lt;="&amp;判定条件!$C$11,時間ごとの判定!$AH$3:$AH$1850,"利用可")</f>
        <v>0</v>
      </c>
      <c r="E52" s="22" t="str">
        <f aca="false">IF(D52&gt;=判定条件!$C$12,"利用可","不可")</f>
        <v>不可</v>
      </c>
      <c r="F52" s="22" t="n">
        <f aca="false">COUNTIFS(時間ごとの判定!$A$3:$A$1850,$A52,時間ごとの判定!$B$3:$B$1850,"&gt;="&amp;判定条件!$C$10,時間ごとの判定!$B$3:$B$1850,"&lt;="&amp;判定条件!$C$11,時間ごとの判定!$AK$3:$AK$1850,"利用可")</f>
        <v>0</v>
      </c>
      <c r="G52" s="22" t="str">
        <f aca="false">IF(F52&gt;=判定条件!$C$12,"利用可","不可")</f>
        <v>不可</v>
      </c>
      <c r="H52" s="22" t="n">
        <f aca="false">COUNTIFS(時間ごとの判定!$A$3:$A$1850,$A52,時間ごとの判定!$B$3:$B$1850,"&gt;="&amp;判定条件!$C$10,時間ごとの判定!$B$3:$B$1850,"&lt;="&amp;判定条件!$C$11,時間ごとの判定!$AN$3:$AN$1850,"利用可")</f>
        <v>0</v>
      </c>
      <c r="I52" s="22" t="str">
        <f aca="false">IF(H52&gt;=判定条件!$C$12,"利用可","不可")</f>
        <v>不可</v>
      </c>
      <c r="J52" s="22" t="n">
        <f aca="false">COUNTIFS(時間ごとの判定!$A$3:$A$1850,$A52,時間ごとの判定!$B$3:$B$1850,"&gt;="&amp;判定条件!$C$10,時間ごとの判定!$B$3:$B$1850,"&lt;="&amp;判定条件!$C$11,時間ごとの判定!$AQ$3:$AQ$1850,"利用可")</f>
        <v>0</v>
      </c>
      <c r="K52" s="22" t="str">
        <f aca="false">IF(J52&gt;=判定条件!$C$12,"利用可","不可")</f>
        <v>不可</v>
      </c>
      <c r="L52" s="22" t="n">
        <f aca="false">COUNTIFS(時間ごとの判定!$A$3:$A$1850,$A52,時間ごとの判定!$B$3:$B$1850,"&gt;="&amp;判定条件!$C$10,時間ごとの判定!$B$3:$B$1850,"&lt;="&amp;判定条件!$C$11,時間ごとの判定!$AT$3:$AT$1850,"利用可")</f>
        <v>0</v>
      </c>
      <c r="M52" s="22" t="str">
        <f aca="false">IF(L52&gt;=判定条件!$C$12,"利用可","不可")</f>
        <v>不可</v>
      </c>
      <c r="N52" s="22" t="n">
        <f aca="false">COUNTIFS(時間ごとの判定!$A$3:$A$1850,$A52,時間ごとの判定!$B$3:$B$1850,"&gt;="&amp;判定条件!$C$10,時間ごとの判定!$B$3:$B$1850,"&lt;="&amp;判定条件!$C$11,時間ごとの判定!$AW$3:$AW$1850,"利用可")</f>
        <v>0</v>
      </c>
      <c r="O52" s="22" t="str">
        <f aca="false">IF(N52&gt;=判定条件!$C$12,"利用可","不可")</f>
        <v>不可</v>
      </c>
      <c r="P52" s="22" t="str">
        <f aca="false">IF(AND(E52="利用可",G52="利用可",I52="利用可"),"利用可","不可")</f>
        <v>不可</v>
      </c>
      <c r="Q52" s="22" t="str">
        <f aca="false">IF(AND(K52="利用可",M52="利用可",O52="利用可"),"利用可","不可")</f>
        <v>不可</v>
      </c>
      <c r="R52" s="23" t="s">
        <v>71</v>
      </c>
    </row>
    <row r="53" customFormat="false" ht="15" hidden="false" customHeight="false" outlineLevel="0" collapsed="false">
      <c r="A53" s="20" t="n">
        <v>46282</v>
      </c>
      <c r="B53" s="21" t="s">
        <v>61</v>
      </c>
      <c r="C53" s="21" t="s">
        <v>59</v>
      </c>
      <c r="D53" s="22" t="n">
        <f aca="false">COUNTIFS(時間ごとの判定!$A$3:$A$1850,$A53,時間ごとの判定!$B$3:$B$1850,"&gt;="&amp;判定条件!$C$10,時間ごとの判定!$B$3:$B$1850,"&lt;="&amp;判定条件!$C$11,時間ごとの判定!$AH$3:$AH$1850,"利用可")</f>
        <v>6</v>
      </c>
      <c r="E53" s="22" t="str">
        <f aca="false">IF(D53&gt;=判定条件!$C$12,"利用可","不可")</f>
        <v>不可</v>
      </c>
      <c r="F53" s="22" t="n">
        <f aca="false">COUNTIFS(時間ごとの判定!$A$3:$A$1850,$A53,時間ごとの判定!$B$3:$B$1850,"&gt;="&amp;判定条件!$C$10,時間ごとの判定!$B$3:$B$1850,"&lt;="&amp;判定条件!$C$11,時間ごとの判定!$AK$3:$AK$1850,"利用可")</f>
        <v>0</v>
      </c>
      <c r="G53" s="22" t="str">
        <f aca="false">IF(F53&gt;=判定条件!$C$12,"利用可","不可")</f>
        <v>不可</v>
      </c>
      <c r="H53" s="22" t="n">
        <f aca="false">COUNTIFS(時間ごとの判定!$A$3:$A$1850,$A53,時間ごとの判定!$B$3:$B$1850,"&gt;="&amp;判定条件!$C$10,時間ごとの判定!$B$3:$B$1850,"&lt;="&amp;判定条件!$C$11,時間ごとの判定!$AN$3:$AN$1850,"利用可")</f>
        <v>7</v>
      </c>
      <c r="I53" s="22" t="str">
        <f aca="false">IF(H53&gt;=判定条件!$C$12,"利用可","不可")</f>
        <v>利用可</v>
      </c>
      <c r="J53" s="22" t="n">
        <f aca="false">COUNTIFS(時間ごとの判定!$A$3:$A$1850,$A53,時間ごとの判定!$B$3:$B$1850,"&gt;="&amp;判定条件!$C$10,時間ごとの判定!$B$3:$B$1850,"&lt;="&amp;判定条件!$C$11,時間ごとの判定!$AQ$3:$AQ$1850,"利用可")</f>
        <v>0</v>
      </c>
      <c r="K53" s="22" t="str">
        <f aca="false">IF(J53&gt;=判定条件!$C$12,"利用可","不可")</f>
        <v>不可</v>
      </c>
      <c r="L53" s="22" t="n">
        <f aca="false">COUNTIFS(時間ごとの判定!$A$3:$A$1850,$A53,時間ごとの判定!$B$3:$B$1850,"&gt;="&amp;判定条件!$C$10,時間ごとの判定!$B$3:$B$1850,"&lt;="&amp;判定条件!$C$11,時間ごとの判定!$AT$3:$AT$1850,"利用可")</f>
        <v>0</v>
      </c>
      <c r="M53" s="22" t="str">
        <f aca="false">IF(L53&gt;=判定条件!$C$12,"利用可","不可")</f>
        <v>不可</v>
      </c>
      <c r="N53" s="22" t="n">
        <f aca="false">COUNTIFS(時間ごとの判定!$A$3:$A$1850,$A53,時間ごとの判定!$B$3:$B$1850,"&gt;="&amp;判定条件!$C$10,時間ごとの判定!$B$3:$B$1850,"&lt;="&amp;判定条件!$C$11,時間ごとの判定!$AW$3:$AW$1850,"利用可")</f>
        <v>0</v>
      </c>
      <c r="O53" s="22" t="str">
        <f aca="false">IF(N53&gt;=判定条件!$C$12,"利用可","不可")</f>
        <v>不可</v>
      </c>
      <c r="P53" s="22" t="str">
        <f aca="false">IF(AND(E53="利用可",G53="利用可",I53="利用可"),"利用可","不可")</f>
        <v>不可</v>
      </c>
      <c r="Q53" s="22" t="str">
        <f aca="false">IF(AND(K53="利用可",M53="利用可",O53="利用可"),"利用可","不可")</f>
        <v>不可</v>
      </c>
      <c r="R53" s="23" t="s">
        <v>71</v>
      </c>
    </row>
    <row r="54" customFormat="false" ht="15" hidden="false" customHeight="false" outlineLevel="0" collapsed="false">
      <c r="A54" s="20" t="n">
        <v>46283</v>
      </c>
      <c r="B54" s="21" t="s">
        <v>62</v>
      </c>
      <c r="C54" s="21" t="s">
        <v>59</v>
      </c>
      <c r="D54" s="22" t="n">
        <f aca="false">COUNTIFS(時間ごとの判定!$A$3:$A$1850,$A54,時間ごとの判定!$B$3:$B$1850,"&gt;="&amp;判定条件!$C$10,時間ごとの判定!$B$3:$B$1850,"&lt;="&amp;判定条件!$C$11,時間ごとの判定!$AH$3:$AH$1850,"利用可")</f>
        <v>2</v>
      </c>
      <c r="E54" s="22" t="str">
        <f aca="false">IF(D54&gt;=判定条件!$C$12,"利用可","不可")</f>
        <v>不可</v>
      </c>
      <c r="F54" s="22" t="n">
        <f aca="false">COUNTIFS(時間ごとの判定!$A$3:$A$1850,$A54,時間ごとの判定!$B$3:$B$1850,"&gt;="&amp;判定条件!$C$10,時間ごとの判定!$B$3:$B$1850,"&lt;="&amp;判定条件!$C$11,時間ごとの判定!$AK$3:$AK$1850,"利用可")</f>
        <v>0</v>
      </c>
      <c r="G54" s="22" t="str">
        <f aca="false">IF(F54&gt;=判定条件!$C$12,"利用可","不可")</f>
        <v>不可</v>
      </c>
      <c r="H54" s="22" t="n">
        <f aca="false">COUNTIFS(時間ごとの判定!$A$3:$A$1850,$A54,時間ごとの判定!$B$3:$B$1850,"&gt;="&amp;判定条件!$C$10,時間ごとの判定!$B$3:$B$1850,"&lt;="&amp;判定条件!$C$11,時間ごとの判定!$AN$3:$AN$1850,"利用可")</f>
        <v>9</v>
      </c>
      <c r="I54" s="22" t="str">
        <f aca="false">IF(H54&gt;=判定条件!$C$12,"利用可","不可")</f>
        <v>利用可</v>
      </c>
      <c r="J54" s="22" t="n">
        <f aca="false">COUNTIFS(時間ごとの判定!$A$3:$A$1850,$A54,時間ごとの判定!$B$3:$B$1850,"&gt;="&amp;判定条件!$C$10,時間ごとの判定!$B$3:$B$1850,"&lt;="&amp;判定条件!$C$11,時間ごとの判定!$AQ$3:$AQ$1850,"利用可")</f>
        <v>0</v>
      </c>
      <c r="K54" s="22" t="str">
        <f aca="false">IF(J54&gt;=判定条件!$C$12,"利用可","不可")</f>
        <v>不可</v>
      </c>
      <c r="L54" s="22" t="n">
        <f aca="false">COUNTIFS(時間ごとの判定!$A$3:$A$1850,$A54,時間ごとの判定!$B$3:$B$1850,"&gt;="&amp;判定条件!$C$10,時間ごとの判定!$B$3:$B$1850,"&lt;="&amp;判定条件!$C$11,時間ごとの判定!$AT$3:$AT$1850,"利用可")</f>
        <v>0</v>
      </c>
      <c r="M54" s="22" t="str">
        <f aca="false">IF(L54&gt;=判定条件!$C$12,"利用可","不可")</f>
        <v>不可</v>
      </c>
      <c r="N54" s="22" t="n">
        <f aca="false">COUNTIFS(時間ごとの判定!$A$3:$A$1850,$A54,時間ごとの判定!$B$3:$B$1850,"&gt;="&amp;判定条件!$C$10,時間ごとの判定!$B$3:$B$1850,"&lt;="&amp;判定条件!$C$11,時間ごとの判定!$AW$3:$AW$1850,"利用可")</f>
        <v>0</v>
      </c>
      <c r="O54" s="22" t="str">
        <f aca="false">IF(N54&gt;=判定条件!$C$12,"利用可","不可")</f>
        <v>不可</v>
      </c>
      <c r="P54" s="22" t="str">
        <f aca="false">IF(AND(E54="利用可",G54="利用可",I54="利用可"),"利用可","不可")</f>
        <v>不可</v>
      </c>
      <c r="Q54" s="22" t="str">
        <f aca="false">IF(AND(K54="利用可",M54="利用可",O54="利用可"),"利用可","不可")</f>
        <v>不可</v>
      </c>
      <c r="R54" s="23" t="s">
        <v>71</v>
      </c>
    </row>
    <row r="55" customFormat="false" ht="15" hidden="false" customHeight="false" outlineLevel="0" collapsed="false">
      <c r="A55" s="24" t="n">
        <v>46284</v>
      </c>
      <c r="B55" s="25" t="s">
        <v>63</v>
      </c>
      <c r="C55" s="25" t="s">
        <v>64</v>
      </c>
      <c r="D55" s="22" t="n">
        <f aca="false">COUNTIFS(時間ごとの判定!$A$3:$A$1850,$A55,時間ごとの判定!$B$3:$B$1850,"&gt;="&amp;判定条件!$C$10,時間ごとの判定!$B$3:$B$1850,"&lt;="&amp;判定条件!$C$11,時間ごとの判定!$AH$3:$AH$1850,"利用可")</f>
        <v>0</v>
      </c>
      <c r="E55" s="22" t="str">
        <f aca="false">IF(D55&gt;=判定条件!$C$12,"利用可","不可")</f>
        <v>不可</v>
      </c>
      <c r="F55" s="22" t="n">
        <f aca="false">COUNTIFS(時間ごとの判定!$A$3:$A$1850,$A55,時間ごとの判定!$B$3:$B$1850,"&gt;="&amp;判定条件!$C$10,時間ごとの判定!$B$3:$B$1850,"&lt;="&amp;判定条件!$C$11,時間ごとの判定!$AK$3:$AK$1850,"利用可")</f>
        <v>0</v>
      </c>
      <c r="G55" s="22" t="str">
        <f aca="false">IF(F55&gt;=判定条件!$C$12,"利用可","不可")</f>
        <v>不可</v>
      </c>
      <c r="H55" s="22" t="n">
        <f aca="false">COUNTIFS(時間ごとの判定!$A$3:$A$1850,$A55,時間ごとの判定!$B$3:$B$1850,"&gt;="&amp;判定条件!$C$10,時間ごとの判定!$B$3:$B$1850,"&lt;="&amp;判定条件!$C$11,時間ごとの判定!$AN$3:$AN$1850,"利用可")</f>
        <v>4</v>
      </c>
      <c r="I55" s="22" t="str">
        <f aca="false">IF(H55&gt;=判定条件!$C$12,"利用可","不可")</f>
        <v>不可</v>
      </c>
      <c r="J55" s="22" t="n">
        <f aca="false">COUNTIFS(時間ごとの判定!$A$3:$A$1850,$A55,時間ごとの判定!$B$3:$B$1850,"&gt;="&amp;判定条件!$C$10,時間ごとの判定!$B$3:$B$1850,"&lt;="&amp;判定条件!$C$11,時間ごとの判定!$AQ$3:$AQ$1850,"利用可")</f>
        <v>0</v>
      </c>
      <c r="K55" s="22" t="str">
        <f aca="false">IF(J55&gt;=判定条件!$C$12,"利用可","不可")</f>
        <v>不可</v>
      </c>
      <c r="L55" s="22" t="n">
        <f aca="false">COUNTIFS(時間ごとの判定!$A$3:$A$1850,$A55,時間ごとの判定!$B$3:$B$1850,"&gt;="&amp;判定条件!$C$10,時間ごとの判定!$B$3:$B$1850,"&lt;="&amp;判定条件!$C$11,時間ごとの判定!$AT$3:$AT$1850,"利用可")</f>
        <v>0</v>
      </c>
      <c r="M55" s="22" t="str">
        <f aca="false">IF(L55&gt;=判定条件!$C$12,"利用可","不可")</f>
        <v>不可</v>
      </c>
      <c r="N55" s="22" t="n">
        <f aca="false">COUNTIFS(時間ごとの判定!$A$3:$A$1850,$A55,時間ごとの判定!$B$3:$B$1850,"&gt;="&amp;判定条件!$C$10,時間ごとの判定!$B$3:$B$1850,"&lt;="&amp;判定条件!$C$11,時間ごとの判定!$AW$3:$AW$1850,"利用可")</f>
        <v>0</v>
      </c>
      <c r="O55" s="22" t="str">
        <f aca="false">IF(N55&gt;=判定条件!$C$12,"利用可","不可")</f>
        <v>不可</v>
      </c>
      <c r="P55" s="22" t="str">
        <f aca="false">IF(AND(E55="利用可",G55="利用可",I55="利用可"),"利用可","不可")</f>
        <v>不可</v>
      </c>
      <c r="Q55" s="22" t="str">
        <f aca="false">IF(AND(K55="利用可",M55="利用可",O55="利用可"),"利用可","不可")</f>
        <v>不可</v>
      </c>
      <c r="R55" s="23" t="s">
        <v>71</v>
      </c>
    </row>
    <row r="56" customFormat="false" ht="15" hidden="false" customHeight="false" outlineLevel="0" collapsed="false">
      <c r="A56" s="24" t="n">
        <v>46285</v>
      </c>
      <c r="B56" s="25" t="s">
        <v>65</v>
      </c>
      <c r="C56" s="25" t="s">
        <v>64</v>
      </c>
      <c r="D56" s="22" t="n">
        <f aca="false">COUNTIFS(時間ごとの判定!$A$3:$A$1850,$A56,時間ごとの判定!$B$3:$B$1850,"&gt;="&amp;判定条件!$C$10,時間ごとの判定!$B$3:$B$1850,"&lt;="&amp;判定条件!$C$11,時間ごとの判定!$AH$3:$AH$1850,"利用可")</f>
        <v>0</v>
      </c>
      <c r="E56" s="22" t="str">
        <f aca="false">IF(D56&gt;=判定条件!$C$12,"利用可","不可")</f>
        <v>不可</v>
      </c>
      <c r="F56" s="22" t="n">
        <f aca="false">COUNTIFS(時間ごとの判定!$A$3:$A$1850,$A56,時間ごとの判定!$B$3:$B$1850,"&gt;="&amp;判定条件!$C$10,時間ごとの判定!$B$3:$B$1850,"&lt;="&amp;判定条件!$C$11,時間ごとの判定!$AK$3:$AK$1850,"利用可")</f>
        <v>0</v>
      </c>
      <c r="G56" s="22" t="str">
        <f aca="false">IF(F56&gt;=判定条件!$C$12,"利用可","不可")</f>
        <v>不可</v>
      </c>
      <c r="H56" s="22" t="n">
        <f aca="false">COUNTIFS(時間ごとの判定!$A$3:$A$1850,$A56,時間ごとの判定!$B$3:$B$1850,"&gt;="&amp;判定条件!$C$10,時間ごとの判定!$B$3:$B$1850,"&lt;="&amp;判定条件!$C$11,時間ごとの判定!$AN$3:$AN$1850,"利用可")</f>
        <v>0</v>
      </c>
      <c r="I56" s="22" t="str">
        <f aca="false">IF(H56&gt;=判定条件!$C$12,"利用可","不可")</f>
        <v>不可</v>
      </c>
      <c r="J56" s="22" t="n">
        <f aca="false">COUNTIFS(時間ごとの判定!$A$3:$A$1850,$A56,時間ごとの判定!$B$3:$B$1850,"&gt;="&amp;判定条件!$C$10,時間ごとの判定!$B$3:$B$1850,"&lt;="&amp;判定条件!$C$11,時間ごとの判定!$AQ$3:$AQ$1850,"利用可")</f>
        <v>0</v>
      </c>
      <c r="K56" s="22" t="str">
        <f aca="false">IF(J56&gt;=判定条件!$C$12,"利用可","不可")</f>
        <v>不可</v>
      </c>
      <c r="L56" s="22" t="n">
        <f aca="false">COUNTIFS(時間ごとの判定!$A$3:$A$1850,$A56,時間ごとの判定!$B$3:$B$1850,"&gt;="&amp;判定条件!$C$10,時間ごとの判定!$B$3:$B$1850,"&lt;="&amp;判定条件!$C$11,時間ごとの判定!$AT$3:$AT$1850,"利用可")</f>
        <v>0</v>
      </c>
      <c r="M56" s="22" t="str">
        <f aca="false">IF(L56&gt;=判定条件!$C$12,"利用可","不可")</f>
        <v>不可</v>
      </c>
      <c r="N56" s="22" t="n">
        <f aca="false">COUNTIFS(時間ごとの判定!$A$3:$A$1850,$A56,時間ごとの判定!$B$3:$B$1850,"&gt;="&amp;判定条件!$C$10,時間ごとの判定!$B$3:$B$1850,"&lt;="&amp;判定条件!$C$11,時間ごとの判定!$AW$3:$AW$1850,"利用可")</f>
        <v>0</v>
      </c>
      <c r="O56" s="22" t="str">
        <f aca="false">IF(N56&gt;=判定条件!$C$12,"利用可","不可")</f>
        <v>不可</v>
      </c>
      <c r="P56" s="22" t="str">
        <f aca="false">IF(AND(E56="利用可",G56="利用可",I56="利用可"),"利用可","不可")</f>
        <v>不可</v>
      </c>
      <c r="Q56" s="22" t="str">
        <f aca="false">IF(AND(K56="利用可",M56="利用可",O56="利用可"),"利用可","不可")</f>
        <v>不可</v>
      </c>
      <c r="R56" s="23" t="s">
        <v>71</v>
      </c>
    </row>
    <row r="57" customFormat="false" ht="15" hidden="false" customHeight="false" outlineLevel="0" collapsed="false">
      <c r="A57" s="24" t="n">
        <v>46286</v>
      </c>
      <c r="B57" s="25" t="s">
        <v>66</v>
      </c>
      <c r="C57" s="25" t="s">
        <v>72</v>
      </c>
      <c r="D57" s="22" t="n">
        <f aca="false">COUNTIFS(時間ごとの判定!$A$3:$A$1850,$A57,時間ごとの判定!$B$3:$B$1850,"&gt;="&amp;判定条件!$C$10,時間ごとの判定!$B$3:$B$1850,"&lt;="&amp;判定条件!$C$11,時間ごとの判定!$AH$3:$AH$1850,"利用可")</f>
        <v>0</v>
      </c>
      <c r="E57" s="22" t="str">
        <f aca="false">IF(D57&gt;=判定条件!$C$12,"利用可","不可")</f>
        <v>不可</v>
      </c>
      <c r="F57" s="22" t="n">
        <f aca="false">COUNTIFS(時間ごとの判定!$A$3:$A$1850,$A57,時間ごとの判定!$B$3:$B$1850,"&gt;="&amp;判定条件!$C$10,時間ごとの判定!$B$3:$B$1850,"&lt;="&amp;判定条件!$C$11,時間ごとの判定!$AK$3:$AK$1850,"利用可")</f>
        <v>0</v>
      </c>
      <c r="G57" s="22" t="str">
        <f aca="false">IF(F57&gt;=判定条件!$C$12,"利用可","不可")</f>
        <v>不可</v>
      </c>
      <c r="H57" s="22" t="n">
        <f aca="false">COUNTIFS(時間ごとの判定!$A$3:$A$1850,$A57,時間ごとの判定!$B$3:$B$1850,"&gt;="&amp;判定条件!$C$10,時間ごとの判定!$B$3:$B$1850,"&lt;="&amp;判定条件!$C$11,時間ごとの判定!$AN$3:$AN$1850,"利用可")</f>
        <v>0</v>
      </c>
      <c r="I57" s="22" t="str">
        <f aca="false">IF(H57&gt;=判定条件!$C$12,"利用可","不可")</f>
        <v>不可</v>
      </c>
      <c r="J57" s="22" t="n">
        <f aca="false">COUNTIFS(時間ごとの判定!$A$3:$A$1850,$A57,時間ごとの判定!$B$3:$B$1850,"&gt;="&amp;判定条件!$C$10,時間ごとの判定!$B$3:$B$1850,"&lt;="&amp;判定条件!$C$11,時間ごとの判定!$AQ$3:$AQ$1850,"利用可")</f>
        <v>0</v>
      </c>
      <c r="K57" s="22" t="str">
        <f aca="false">IF(J57&gt;=判定条件!$C$12,"利用可","不可")</f>
        <v>不可</v>
      </c>
      <c r="L57" s="22" t="n">
        <f aca="false">COUNTIFS(時間ごとの判定!$A$3:$A$1850,$A57,時間ごとの判定!$B$3:$B$1850,"&gt;="&amp;判定条件!$C$10,時間ごとの判定!$B$3:$B$1850,"&lt;="&amp;判定条件!$C$11,時間ごとの判定!$AT$3:$AT$1850,"利用可")</f>
        <v>0</v>
      </c>
      <c r="M57" s="22" t="str">
        <f aca="false">IF(L57&gt;=判定条件!$C$12,"利用可","不可")</f>
        <v>不可</v>
      </c>
      <c r="N57" s="22" t="n">
        <f aca="false">COUNTIFS(時間ごとの判定!$A$3:$A$1850,$A57,時間ごとの判定!$B$3:$B$1850,"&gt;="&amp;判定条件!$C$10,時間ごとの判定!$B$3:$B$1850,"&lt;="&amp;判定条件!$C$11,時間ごとの判定!$AW$3:$AW$1850,"利用可")</f>
        <v>0</v>
      </c>
      <c r="O57" s="22" t="str">
        <f aca="false">IF(N57&gt;=判定条件!$C$12,"利用可","不可")</f>
        <v>不可</v>
      </c>
      <c r="P57" s="22" t="str">
        <f aca="false">IF(AND(E57="利用可",G57="利用可",I57="利用可"),"利用可","不可")</f>
        <v>不可</v>
      </c>
      <c r="Q57" s="22" t="str">
        <f aca="false">IF(AND(K57="利用可",M57="利用可",O57="利用可"),"利用可","不可")</f>
        <v>不可</v>
      </c>
      <c r="R57" s="23" t="s">
        <v>71</v>
      </c>
    </row>
    <row r="58" customFormat="false" ht="15" hidden="false" customHeight="false" outlineLevel="0" collapsed="false">
      <c r="A58" s="24" t="n">
        <v>46287</v>
      </c>
      <c r="B58" s="25" t="s">
        <v>67</v>
      </c>
      <c r="C58" s="25" t="s">
        <v>73</v>
      </c>
      <c r="D58" s="22" t="n">
        <f aca="false">COUNTIFS(時間ごとの判定!$A$3:$A$1850,$A58,時間ごとの判定!$B$3:$B$1850,"&gt;="&amp;判定条件!$C$10,時間ごとの判定!$B$3:$B$1850,"&lt;="&amp;判定条件!$C$11,時間ごとの判定!$AH$3:$AH$1850,"利用可")</f>
        <v>7</v>
      </c>
      <c r="E58" s="22" t="str">
        <f aca="false">IF(D58&gt;=判定条件!$C$12,"利用可","不可")</f>
        <v>利用可</v>
      </c>
      <c r="F58" s="22" t="n">
        <f aca="false">COUNTIFS(時間ごとの判定!$A$3:$A$1850,$A58,時間ごとの判定!$B$3:$B$1850,"&gt;="&amp;判定条件!$C$10,時間ごとの判定!$B$3:$B$1850,"&lt;="&amp;判定条件!$C$11,時間ごとの判定!$AK$3:$AK$1850,"利用可")</f>
        <v>2</v>
      </c>
      <c r="G58" s="22" t="str">
        <f aca="false">IF(F58&gt;=判定条件!$C$12,"利用可","不可")</f>
        <v>不可</v>
      </c>
      <c r="H58" s="22" t="n">
        <f aca="false">COUNTIFS(時間ごとの判定!$A$3:$A$1850,$A58,時間ごとの判定!$B$3:$B$1850,"&gt;="&amp;判定条件!$C$10,時間ごとの判定!$B$3:$B$1850,"&lt;="&amp;判定条件!$C$11,時間ごとの判定!$AN$3:$AN$1850,"利用可")</f>
        <v>5</v>
      </c>
      <c r="I58" s="22" t="str">
        <f aca="false">IF(H58&gt;=判定条件!$C$12,"利用可","不可")</f>
        <v>不可</v>
      </c>
      <c r="J58" s="22" t="n">
        <f aca="false">COUNTIFS(時間ごとの判定!$A$3:$A$1850,$A58,時間ごとの判定!$B$3:$B$1850,"&gt;="&amp;判定条件!$C$10,時間ごとの判定!$B$3:$B$1850,"&lt;="&amp;判定条件!$C$11,時間ごとの判定!$AQ$3:$AQ$1850,"利用可")</f>
        <v>0</v>
      </c>
      <c r="K58" s="22" t="str">
        <f aca="false">IF(J58&gt;=判定条件!$C$12,"利用可","不可")</f>
        <v>不可</v>
      </c>
      <c r="L58" s="22" t="n">
        <f aca="false">COUNTIFS(時間ごとの判定!$A$3:$A$1850,$A58,時間ごとの判定!$B$3:$B$1850,"&gt;="&amp;判定条件!$C$10,時間ごとの判定!$B$3:$B$1850,"&lt;="&amp;判定条件!$C$11,時間ごとの判定!$AT$3:$AT$1850,"利用可")</f>
        <v>0</v>
      </c>
      <c r="M58" s="22" t="str">
        <f aca="false">IF(L58&gt;=判定条件!$C$12,"利用可","不可")</f>
        <v>不可</v>
      </c>
      <c r="N58" s="22" t="n">
        <f aca="false">COUNTIFS(時間ごとの判定!$A$3:$A$1850,$A58,時間ごとの判定!$B$3:$B$1850,"&gt;="&amp;判定条件!$C$10,時間ごとの判定!$B$3:$B$1850,"&lt;="&amp;判定条件!$C$11,時間ごとの判定!$AW$3:$AW$1850,"利用可")</f>
        <v>0</v>
      </c>
      <c r="O58" s="22" t="str">
        <f aca="false">IF(N58&gt;=判定条件!$C$12,"利用可","不可")</f>
        <v>不可</v>
      </c>
      <c r="P58" s="22" t="str">
        <f aca="false">IF(AND(E58="利用可",G58="利用可",I58="利用可"),"利用可","不可")</f>
        <v>不可</v>
      </c>
      <c r="Q58" s="22" t="str">
        <f aca="false">IF(AND(K58="利用可",M58="利用可",O58="利用可"),"利用可","不可")</f>
        <v>不可</v>
      </c>
      <c r="R58" s="23" t="s">
        <v>71</v>
      </c>
    </row>
    <row r="59" customFormat="false" ht="15" hidden="false" customHeight="false" outlineLevel="0" collapsed="false">
      <c r="A59" s="24" t="n">
        <v>46288</v>
      </c>
      <c r="B59" s="25" t="s">
        <v>58</v>
      </c>
      <c r="C59" s="25" t="s">
        <v>74</v>
      </c>
      <c r="D59" s="22" t="n">
        <f aca="false">COUNTIFS(時間ごとの判定!$A$3:$A$1850,$A59,時間ごとの判定!$B$3:$B$1850,"&gt;="&amp;判定条件!$C$10,時間ごとの判定!$B$3:$B$1850,"&lt;="&amp;判定条件!$C$11,時間ごとの判定!$AH$3:$AH$1850,"利用可")</f>
        <v>0</v>
      </c>
      <c r="E59" s="22" t="str">
        <f aca="false">IF(D59&gt;=判定条件!$C$12,"利用可","不可")</f>
        <v>不可</v>
      </c>
      <c r="F59" s="22" t="n">
        <f aca="false">COUNTIFS(時間ごとの判定!$A$3:$A$1850,$A59,時間ごとの判定!$B$3:$B$1850,"&gt;="&amp;判定条件!$C$10,時間ごとの判定!$B$3:$B$1850,"&lt;="&amp;判定条件!$C$11,時間ごとの判定!$AK$3:$AK$1850,"利用可")</f>
        <v>0</v>
      </c>
      <c r="G59" s="22" t="str">
        <f aca="false">IF(F59&gt;=判定条件!$C$12,"利用可","不可")</f>
        <v>不可</v>
      </c>
      <c r="H59" s="22" t="n">
        <f aca="false">COUNTIFS(時間ごとの判定!$A$3:$A$1850,$A59,時間ごとの判定!$B$3:$B$1850,"&gt;="&amp;判定条件!$C$10,時間ごとの判定!$B$3:$B$1850,"&lt;="&amp;判定条件!$C$11,時間ごとの判定!$AN$3:$AN$1850,"利用可")</f>
        <v>1</v>
      </c>
      <c r="I59" s="22" t="str">
        <f aca="false">IF(H59&gt;=判定条件!$C$12,"利用可","不可")</f>
        <v>不可</v>
      </c>
      <c r="J59" s="22" t="n">
        <f aca="false">COUNTIFS(時間ごとの判定!$A$3:$A$1850,$A59,時間ごとの判定!$B$3:$B$1850,"&gt;="&amp;判定条件!$C$10,時間ごとの判定!$B$3:$B$1850,"&lt;="&amp;判定条件!$C$11,時間ごとの判定!$AQ$3:$AQ$1850,"利用可")</f>
        <v>0</v>
      </c>
      <c r="K59" s="22" t="str">
        <f aca="false">IF(J59&gt;=判定条件!$C$12,"利用可","不可")</f>
        <v>不可</v>
      </c>
      <c r="L59" s="22" t="n">
        <f aca="false">COUNTIFS(時間ごとの判定!$A$3:$A$1850,$A59,時間ごとの判定!$B$3:$B$1850,"&gt;="&amp;判定条件!$C$10,時間ごとの判定!$B$3:$B$1850,"&lt;="&amp;判定条件!$C$11,時間ごとの判定!$AT$3:$AT$1850,"利用可")</f>
        <v>0</v>
      </c>
      <c r="M59" s="22" t="str">
        <f aca="false">IF(L59&gt;=判定条件!$C$12,"利用可","不可")</f>
        <v>不可</v>
      </c>
      <c r="N59" s="22" t="n">
        <f aca="false">COUNTIFS(時間ごとの判定!$A$3:$A$1850,$A59,時間ごとの判定!$B$3:$B$1850,"&gt;="&amp;判定条件!$C$10,時間ごとの判定!$B$3:$B$1850,"&lt;="&amp;判定条件!$C$11,時間ごとの判定!$AW$3:$AW$1850,"利用可")</f>
        <v>0</v>
      </c>
      <c r="O59" s="22" t="str">
        <f aca="false">IF(N59&gt;=判定条件!$C$12,"利用可","不可")</f>
        <v>不可</v>
      </c>
      <c r="P59" s="22" t="str">
        <f aca="false">IF(AND(E59="利用可",G59="利用可",I59="利用可"),"利用可","不可")</f>
        <v>不可</v>
      </c>
      <c r="Q59" s="22" t="str">
        <f aca="false">IF(AND(K59="利用可",M59="利用可",O59="利用可"),"利用可","不可")</f>
        <v>不可</v>
      </c>
      <c r="R59" s="23" t="s">
        <v>75</v>
      </c>
    </row>
    <row r="60" customFormat="false" ht="15" hidden="false" customHeight="false" outlineLevel="0" collapsed="false">
      <c r="A60" s="20" t="n">
        <v>46289</v>
      </c>
      <c r="B60" s="21" t="s">
        <v>61</v>
      </c>
      <c r="C60" s="21" t="s">
        <v>59</v>
      </c>
      <c r="D60" s="22" t="n">
        <f aca="false">COUNTIFS(時間ごとの判定!$A$3:$A$1850,$A60,時間ごとの判定!$B$3:$B$1850,"&gt;="&amp;判定条件!$C$10,時間ごとの判定!$B$3:$B$1850,"&lt;="&amp;判定条件!$C$11,時間ごとの判定!$AH$3:$AH$1850,"利用可")</f>
        <v>9</v>
      </c>
      <c r="E60" s="22" t="str">
        <f aca="false">IF(D60&gt;=判定条件!$C$12,"利用可","不可")</f>
        <v>利用可</v>
      </c>
      <c r="F60" s="22" t="n">
        <f aca="false">COUNTIFS(時間ごとの判定!$A$3:$A$1850,$A60,時間ごとの判定!$B$3:$B$1850,"&gt;="&amp;判定条件!$C$10,時間ごとの判定!$B$3:$B$1850,"&lt;="&amp;判定条件!$C$11,時間ごとの判定!$AK$3:$AK$1850,"利用可")</f>
        <v>9</v>
      </c>
      <c r="G60" s="22" t="str">
        <f aca="false">IF(F60&gt;=判定条件!$C$12,"利用可","不可")</f>
        <v>利用可</v>
      </c>
      <c r="H60" s="22" t="n">
        <f aca="false">COUNTIFS(時間ごとの判定!$A$3:$A$1850,$A60,時間ごとの判定!$B$3:$B$1850,"&gt;="&amp;判定条件!$C$10,時間ごとの判定!$B$3:$B$1850,"&lt;="&amp;判定条件!$C$11,時間ごとの判定!$AN$3:$AN$1850,"利用可")</f>
        <v>9</v>
      </c>
      <c r="I60" s="22" t="str">
        <f aca="false">IF(H60&gt;=判定条件!$C$12,"利用可","不可")</f>
        <v>利用可</v>
      </c>
      <c r="J60" s="22" t="n">
        <f aca="false">COUNTIFS(時間ごとの判定!$A$3:$A$1850,$A60,時間ごとの判定!$B$3:$B$1850,"&gt;="&amp;判定条件!$C$10,時間ごとの判定!$B$3:$B$1850,"&lt;="&amp;判定条件!$C$11,時間ごとの判定!$AQ$3:$AQ$1850,"利用可")</f>
        <v>0</v>
      </c>
      <c r="K60" s="22" t="str">
        <f aca="false">IF(J60&gt;=判定条件!$C$12,"利用可","不可")</f>
        <v>不可</v>
      </c>
      <c r="L60" s="22" t="n">
        <f aca="false">COUNTIFS(時間ごとの判定!$A$3:$A$1850,$A60,時間ごとの判定!$B$3:$B$1850,"&gt;="&amp;判定条件!$C$10,時間ごとの判定!$B$3:$B$1850,"&lt;="&amp;判定条件!$C$11,時間ごとの判定!$AT$3:$AT$1850,"利用可")</f>
        <v>0</v>
      </c>
      <c r="M60" s="22" t="str">
        <f aca="false">IF(L60&gt;=判定条件!$C$12,"利用可","不可")</f>
        <v>不可</v>
      </c>
      <c r="N60" s="22" t="n">
        <f aca="false">COUNTIFS(時間ごとの判定!$A$3:$A$1850,$A60,時間ごとの判定!$B$3:$B$1850,"&gt;="&amp;判定条件!$C$10,時間ごとの判定!$B$3:$B$1850,"&lt;="&amp;判定条件!$C$11,時間ごとの判定!$AW$3:$AW$1850,"利用可")</f>
        <v>0</v>
      </c>
      <c r="O60" s="22" t="str">
        <f aca="false">IF(N60&gt;=判定条件!$C$12,"利用可","不可")</f>
        <v>不可</v>
      </c>
      <c r="P60" s="22" t="str">
        <f aca="false">IF(AND(E60="利用可",G60="利用可",I60="利用可"),"利用可","不可")</f>
        <v>利用可</v>
      </c>
      <c r="Q60" s="22" t="str">
        <f aca="false">IF(AND(K60="利用可",M60="利用可",O60="利用可"),"利用可","不可")</f>
        <v>不可</v>
      </c>
      <c r="R60" s="23" t="s">
        <v>75</v>
      </c>
    </row>
    <row r="61" customFormat="false" ht="15" hidden="false" customHeight="false" outlineLevel="0" collapsed="false">
      <c r="A61" s="20" t="n">
        <v>46290</v>
      </c>
      <c r="B61" s="21" t="s">
        <v>62</v>
      </c>
      <c r="C61" s="21" t="s">
        <v>59</v>
      </c>
      <c r="D61" s="22" t="n">
        <f aca="false">COUNTIFS(時間ごとの判定!$A$3:$A$1850,$A61,時間ごとの判定!$B$3:$B$1850,"&gt;="&amp;判定条件!$C$10,時間ごとの判定!$B$3:$B$1850,"&lt;="&amp;判定条件!$C$11,時間ごとの判定!$AH$3:$AH$1850,"利用可")</f>
        <v>9</v>
      </c>
      <c r="E61" s="22" t="str">
        <f aca="false">IF(D61&gt;=判定条件!$C$12,"利用可","不可")</f>
        <v>利用可</v>
      </c>
      <c r="F61" s="22" t="n">
        <f aca="false">COUNTIFS(時間ごとの判定!$A$3:$A$1850,$A61,時間ごとの判定!$B$3:$B$1850,"&gt;="&amp;判定条件!$C$10,時間ごとの判定!$B$3:$B$1850,"&lt;="&amp;判定条件!$C$11,時間ごとの判定!$AK$3:$AK$1850,"利用可")</f>
        <v>9</v>
      </c>
      <c r="G61" s="22" t="str">
        <f aca="false">IF(F61&gt;=判定条件!$C$12,"利用可","不可")</f>
        <v>利用可</v>
      </c>
      <c r="H61" s="22" t="n">
        <f aca="false">COUNTIFS(時間ごとの判定!$A$3:$A$1850,$A61,時間ごとの判定!$B$3:$B$1850,"&gt;="&amp;判定条件!$C$10,時間ごとの判定!$B$3:$B$1850,"&lt;="&amp;判定条件!$C$11,時間ごとの判定!$AN$3:$AN$1850,"利用可")</f>
        <v>9</v>
      </c>
      <c r="I61" s="22" t="str">
        <f aca="false">IF(H61&gt;=判定条件!$C$12,"利用可","不可")</f>
        <v>利用可</v>
      </c>
      <c r="J61" s="22" t="n">
        <f aca="false">COUNTIFS(時間ごとの判定!$A$3:$A$1850,$A61,時間ごとの判定!$B$3:$B$1850,"&gt;="&amp;判定条件!$C$10,時間ごとの判定!$B$3:$B$1850,"&lt;="&amp;判定条件!$C$11,時間ごとの判定!$AQ$3:$AQ$1850,"利用可")</f>
        <v>0</v>
      </c>
      <c r="K61" s="22" t="str">
        <f aca="false">IF(J61&gt;=判定条件!$C$12,"利用可","不可")</f>
        <v>不可</v>
      </c>
      <c r="L61" s="22" t="n">
        <f aca="false">COUNTIFS(時間ごとの判定!$A$3:$A$1850,$A61,時間ごとの判定!$B$3:$B$1850,"&gt;="&amp;判定条件!$C$10,時間ごとの判定!$B$3:$B$1850,"&lt;="&amp;判定条件!$C$11,時間ごとの判定!$AT$3:$AT$1850,"利用可")</f>
        <v>0</v>
      </c>
      <c r="M61" s="22" t="str">
        <f aca="false">IF(L61&gt;=判定条件!$C$12,"利用可","不可")</f>
        <v>不可</v>
      </c>
      <c r="N61" s="22" t="n">
        <f aca="false">COUNTIFS(時間ごとの判定!$A$3:$A$1850,$A61,時間ごとの判定!$B$3:$B$1850,"&gt;="&amp;判定条件!$C$10,時間ごとの判定!$B$3:$B$1850,"&lt;="&amp;判定条件!$C$11,時間ごとの判定!$AW$3:$AW$1850,"利用可")</f>
        <v>0</v>
      </c>
      <c r="O61" s="22" t="str">
        <f aca="false">IF(N61&gt;=判定条件!$C$12,"利用可","不可")</f>
        <v>不可</v>
      </c>
      <c r="P61" s="22" t="str">
        <f aca="false">IF(AND(E61="利用可",G61="利用可",I61="利用可"),"利用可","不可")</f>
        <v>利用可</v>
      </c>
      <c r="Q61" s="22" t="str">
        <f aca="false">IF(AND(K61="利用可",M61="利用可",O61="利用可"),"利用可","不可")</f>
        <v>不可</v>
      </c>
      <c r="R61" s="23" t="s">
        <v>75</v>
      </c>
    </row>
    <row r="62" customFormat="false" ht="15" hidden="false" customHeight="false" outlineLevel="0" collapsed="false">
      <c r="A62" s="24" t="n">
        <v>46291</v>
      </c>
      <c r="B62" s="25" t="s">
        <v>63</v>
      </c>
      <c r="C62" s="25" t="s">
        <v>64</v>
      </c>
      <c r="D62" s="22" t="n">
        <f aca="false">COUNTIFS(時間ごとの判定!$A$3:$A$1850,$A62,時間ごとの判定!$B$3:$B$1850,"&gt;="&amp;判定条件!$C$10,時間ごとの判定!$B$3:$B$1850,"&lt;="&amp;判定条件!$C$11,時間ごとの判定!$AH$3:$AH$1850,"利用可")</f>
        <v>0</v>
      </c>
      <c r="E62" s="22" t="str">
        <f aca="false">IF(D62&gt;=判定条件!$C$12,"利用可","不可")</f>
        <v>不可</v>
      </c>
      <c r="F62" s="22" t="n">
        <f aca="false">COUNTIFS(時間ごとの判定!$A$3:$A$1850,$A62,時間ごとの判定!$B$3:$B$1850,"&gt;="&amp;判定条件!$C$10,時間ごとの判定!$B$3:$B$1850,"&lt;="&amp;判定条件!$C$11,時間ごとの判定!$AK$3:$AK$1850,"利用可")</f>
        <v>0</v>
      </c>
      <c r="G62" s="22" t="str">
        <f aca="false">IF(F62&gt;=判定条件!$C$12,"利用可","不可")</f>
        <v>不可</v>
      </c>
      <c r="H62" s="22" t="n">
        <f aca="false">COUNTIFS(時間ごとの判定!$A$3:$A$1850,$A62,時間ごとの判定!$B$3:$B$1850,"&gt;="&amp;判定条件!$C$10,時間ごとの判定!$B$3:$B$1850,"&lt;="&amp;判定条件!$C$11,時間ごとの判定!$AN$3:$AN$1850,"利用可")</f>
        <v>1</v>
      </c>
      <c r="I62" s="22" t="str">
        <f aca="false">IF(H62&gt;=判定条件!$C$12,"利用可","不可")</f>
        <v>不可</v>
      </c>
      <c r="J62" s="22" t="n">
        <f aca="false">COUNTIFS(時間ごとの判定!$A$3:$A$1850,$A62,時間ごとの判定!$B$3:$B$1850,"&gt;="&amp;判定条件!$C$10,時間ごとの判定!$B$3:$B$1850,"&lt;="&amp;判定条件!$C$11,時間ごとの判定!$AQ$3:$AQ$1850,"利用可")</f>
        <v>0</v>
      </c>
      <c r="K62" s="22" t="str">
        <f aca="false">IF(J62&gt;=判定条件!$C$12,"利用可","不可")</f>
        <v>不可</v>
      </c>
      <c r="L62" s="22" t="n">
        <f aca="false">COUNTIFS(時間ごとの判定!$A$3:$A$1850,$A62,時間ごとの判定!$B$3:$B$1850,"&gt;="&amp;判定条件!$C$10,時間ごとの判定!$B$3:$B$1850,"&lt;="&amp;判定条件!$C$11,時間ごとの判定!$AT$3:$AT$1850,"利用可")</f>
        <v>0</v>
      </c>
      <c r="M62" s="22" t="str">
        <f aca="false">IF(L62&gt;=判定条件!$C$12,"利用可","不可")</f>
        <v>不可</v>
      </c>
      <c r="N62" s="22" t="n">
        <f aca="false">COUNTIFS(時間ごとの判定!$A$3:$A$1850,$A62,時間ごとの判定!$B$3:$B$1850,"&gt;="&amp;判定条件!$C$10,時間ごとの判定!$B$3:$B$1850,"&lt;="&amp;判定条件!$C$11,時間ごとの判定!$AW$3:$AW$1850,"利用可")</f>
        <v>0</v>
      </c>
      <c r="O62" s="22" t="str">
        <f aca="false">IF(N62&gt;=判定条件!$C$12,"利用可","不可")</f>
        <v>不可</v>
      </c>
      <c r="P62" s="22" t="str">
        <f aca="false">IF(AND(E62="利用可",G62="利用可",I62="利用可"),"利用可","不可")</f>
        <v>不可</v>
      </c>
      <c r="Q62" s="22" t="str">
        <f aca="false">IF(AND(K62="利用可",M62="利用可",O62="利用可"),"利用可","不可")</f>
        <v>不可</v>
      </c>
      <c r="R62" s="23" t="s">
        <v>75</v>
      </c>
    </row>
    <row r="63" customFormat="false" ht="15" hidden="false" customHeight="false" outlineLevel="0" collapsed="false">
      <c r="A63" s="24" t="n">
        <v>46292</v>
      </c>
      <c r="B63" s="25" t="s">
        <v>65</v>
      </c>
      <c r="C63" s="25" t="s">
        <v>64</v>
      </c>
      <c r="D63" s="22" t="n">
        <f aca="false">COUNTIFS(時間ごとの判定!$A$3:$A$1850,$A63,時間ごとの判定!$B$3:$B$1850,"&gt;="&amp;判定条件!$C$10,時間ごとの判定!$B$3:$B$1850,"&lt;="&amp;判定条件!$C$11,時間ごとの判定!$AH$3:$AH$1850,"利用可")</f>
        <v>1</v>
      </c>
      <c r="E63" s="22" t="str">
        <f aca="false">IF(D63&gt;=判定条件!$C$12,"利用可","不可")</f>
        <v>不可</v>
      </c>
      <c r="F63" s="22" t="n">
        <f aca="false">COUNTIFS(時間ごとの判定!$A$3:$A$1850,$A63,時間ごとの判定!$B$3:$B$1850,"&gt;="&amp;判定条件!$C$10,時間ごとの判定!$B$3:$B$1850,"&lt;="&amp;判定条件!$C$11,時間ごとの判定!$AK$3:$AK$1850,"利用可")</f>
        <v>4</v>
      </c>
      <c r="G63" s="22" t="str">
        <f aca="false">IF(F63&gt;=判定条件!$C$12,"利用可","不可")</f>
        <v>不可</v>
      </c>
      <c r="H63" s="22" t="n">
        <f aca="false">COUNTIFS(時間ごとの判定!$A$3:$A$1850,$A63,時間ごとの判定!$B$3:$B$1850,"&gt;="&amp;判定条件!$C$10,時間ごとの判定!$B$3:$B$1850,"&lt;="&amp;判定条件!$C$11,時間ごとの判定!$AN$3:$AN$1850,"利用可")</f>
        <v>4</v>
      </c>
      <c r="I63" s="22" t="str">
        <f aca="false">IF(H63&gt;=判定条件!$C$12,"利用可","不可")</f>
        <v>不可</v>
      </c>
      <c r="J63" s="22" t="n">
        <f aca="false">COUNTIFS(時間ごとの判定!$A$3:$A$1850,$A63,時間ごとの判定!$B$3:$B$1850,"&gt;="&amp;判定条件!$C$10,時間ごとの判定!$B$3:$B$1850,"&lt;="&amp;判定条件!$C$11,時間ごとの判定!$AQ$3:$AQ$1850,"利用可")</f>
        <v>0</v>
      </c>
      <c r="K63" s="22" t="str">
        <f aca="false">IF(J63&gt;=判定条件!$C$12,"利用可","不可")</f>
        <v>不可</v>
      </c>
      <c r="L63" s="22" t="n">
        <f aca="false">COUNTIFS(時間ごとの判定!$A$3:$A$1850,$A63,時間ごとの判定!$B$3:$B$1850,"&gt;="&amp;判定条件!$C$10,時間ごとの判定!$B$3:$B$1850,"&lt;="&amp;判定条件!$C$11,時間ごとの判定!$AT$3:$AT$1850,"利用可")</f>
        <v>0</v>
      </c>
      <c r="M63" s="22" t="str">
        <f aca="false">IF(L63&gt;=判定条件!$C$12,"利用可","不可")</f>
        <v>不可</v>
      </c>
      <c r="N63" s="22" t="n">
        <f aca="false">COUNTIFS(時間ごとの判定!$A$3:$A$1850,$A63,時間ごとの判定!$B$3:$B$1850,"&gt;="&amp;判定条件!$C$10,時間ごとの判定!$B$3:$B$1850,"&lt;="&amp;判定条件!$C$11,時間ごとの判定!$AW$3:$AW$1850,"利用可")</f>
        <v>0</v>
      </c>
      <c r="O63" s="22" t="str">
        <f aca="false">IF(N63&gt;=判定条件!$C$12,"利用可","不可")</f>
        <v>不可</v>
      </c>
      <c r="P63" s="22" t="str">
        <f aca="false">IF(AND(E63="利用可",G63="利用可",I63="利用可"),"利用可","不可")</f>
        <v>不可</v>
      </c>
      <c r="Q63" s="22" t="str">
        <f aca="false">IF(AND(K63="利用可",M63="利用可",O63="利用可"),"利用可","不可")</f>
        <v>不可</v>
      </c>
      <c r="R63" s="23" t="s">
        <v>75</v>
      </c>
    </row>
    <row r="64" customFormat="false" ht="15" hidden="false" customHeight="false" outlineLevel="0" collapsed="false">
      <c r="A64" s="20" t="n">
        <v>46293</v>
      </c>
      <c r="B64" s="21" t="s">
        <v>66</v>
      </c>
      <c r="C64" s="21" t="s">
        <v>59</v>
      </c>
      <c r="D64" s="22" t="n">
        <f aca="false">COUNTIFS(時間ごとの判定!$A$3:$A$1850,$A64,時間ごとの判定!$B$3:$B$1850,"&gt;="&amp;判定条件!$C$10,時間ごとの判定!$B$3:$B$1850,"&lt;="&amp;判定条件!$C$11,時間ごとの判定!$AH$3:$AH$1850,"利用可")</f>
        <v>4</v>
      </c>
      <c r="E64" s="22" t="str">
        <f aca="false">IF(D64&gt;=判定条件!$C$12,"利用可","不可")</f>
        <v>不可</v>
      </c>
      <c r="F64" s="22" t="n">
        <f aca="false">COUNTIFS(時間ごとの判定!$A$3:$A$1850,$A64,時間ごとの判定!$B$3:$B$1850,"&gt;="&amp;判定条件!$C$10,時間ごとの判定!$B$3:$B$1850,"&lt;="&amp;判定条件!$C$11,時間ごとの判定!$AK$3:$AK$1850,"利用可")</f>
        <v>6</v>
      </c>
      <c r="G64" s="22" t="str">
        <f aca="false">IF(F64&gt;=判定条件!$C$12,"利用可","不可")</f>
        <v>不可</v>
      </c>
      <c r="H64" s="22" t="n">
        <f aca="false">COUNTIFS(時間ごとの判定!$A$3:$A$1850,$A64,時間ごとの判定!$B$3:$B$1850,"&gt;="&amp;判定条件!$C$10,時間ごとの判定!$B$3:$B$1850,"&lt;="&amp;判定条件!$C$11,時間ごとの判定!$AN$3:$AN$1850,"利用可")</f>
        <v>5</v>
      </c>
      <c r="I64" s="22" t="str">
        <f aca="false">IF(H64&gt;=判定条件!$C$12,"利用可","不可")</f>
        <v>不可</v>
      </c>
      <c r="J64" s="22" t="n">
        <f aca="false">COUNTIFS(時間ごとの判定!$A$3:$A$1850,$A64,時間ごとの判定!$B$3:$B$1850,"&gt;="&amp;判定条件!$C$10,時間ごとの判定!$B$3:$B$1850,"&lt;="&amp;判定条件!$C$11,時間ごとの判定!$AQ$3:$AQ$1850,"利用可")</f>
        <v>0</v>
      </c>
      <c r="K64" s="22" t="str">
        <f aca="false">IF(J64&gt;=判定条件!$C$12,"利用可","不可")</f>
        <v>不可</v>
      </c>
      <c r="L64" s="22" t="n">
        <f aca="false">COUNTIFS(時間ごとの判定!$A$3:$A$1850,$A64,時間ごとの判定!$B$3:$B$1850,"&gt;="&amp;判定条件!$C$10,時間ごとの判定!$B$3:$B$1850,"&lt;="&amp;判定条件!$C$11,時間ごとの判定!$AT$3:$AT$1850,"利用可")</f>
        <v>0</v>
      </c>
      <c r="M64" s="22" t="str">
        <f aca="false">IF(L64&gt;=判定条件!$C$12,"利用可","不可")</f>
        <v>不可</v>
      </c>
      <c r="N64" s="22" t="n">
        <f aca="false">COUNTIFS(時間ごとの判定!$A$3:$A$1850,$A64,時間ごとの判定!$B$3:$B$1850,"&gt;="&amp;判定条件!$C$10,時間ごとの判定!$B$3:$B$1850,"&lt;="&amp;判定条件!$C$11,時間ごとの判定!$AW$3:$AW$1850,"利用可")</f>
        <v>0</v>
      </c>
      <c r="O64" s="22" t="str">
        <f aca="false">IF(N64&gt;=判定条件!$C$12,"利用可","不可")</f>
        <v>不可</v>
      </c>
      <c r="P64" s="22" t="str">
        <f aca="false">IF(AND(E64="利用可",G64="利用可",I64="利用可"),"利用可","不可")</f>
        <v>不可</v>
      </c>
      <c r="Q64" s="22" t="str">
        <f aca="false">IF(AND(K64="利用可",M64="利用可",O64="利用可"),"利用可","不可")</f>
        <v>不可</v>
      </c>
      <c r="R64" s="23" t="s">
        <v>75</v>
      </c>
    </row>
    <row r="65" customFormat="false" ht="15" hidden="false" customHeight="false" outlineLevel="0" collapsed="false">
      <c r="A65" s="20" t="n">
        <v>46294</v>
      </c>
      <c r="B65" s="21" t="s">
        <v>67</v>
      </c>
      <c r="C65" s="21" t="s">
        <v>59</v>
      </c>
      <c r="D65" s="22" t="n">
        <f aca="false">COUNTIFS(時間ごとの判定!$A$3:$A$1850,$A65,時間ごとの判定!$B$3:$B$1850,"&gt;="&amp;判定条件!$C$10,時間ごとの判定!$B$3:$B$1850,"&lt;="&amp;判定条件!$C$11,時間ごとの判定!$AH$3:$AH$1850,"利用可")</f>
        <v>1</v>
      </c>
      <c r="E65" s="22" t="str">
        <f aca="false">IF(D65&gt;=判定条件!$C$12,"利用可","不可")</f>
        <v>不可</v>
      </c>
      <c r="F65" s="22" t="n">
        <f aca="false">COUNTIFS(時間ごとの判定!$A$3:$A$1850,$A65,時間ごとの判定!$B$3:$B$1850,"&gt;="&amp;判定条件!$C$10,時間ごとの判定!$B$3:$B$1850,"&lt;="&amp;判定条件!$C$11,時間ごとの判定!$AK$3:$AK$1850,"利用可")</f>
        <v>2</v>
      </c>
      <c r="G65" s="22" t="str">
        <f aca="false">IF(F65&gt;=判定条件!$C$12,"利用可","不可")</f>
        <v>不可</v>
      </c>
      <c r="H65" s="22" t="n">
        <f aca="false">COUNTIFS(時間ごとの判定!$A$3:$A$1850,$A65,時間ごとの判定!$B$3:$B$1850,"&gt;="&amp;判定条件!$C$10,時間ごとの判定!$B$3:$B$1850,"&lt;="&amp;判定条件!$C$11,時間ごとの判定!$AN$3:$AN$1850,"利用可")</f>
        <v>0</v>
      </c>
      <c r="I65" s="22" t="str">
        <f aca="false">IF(H65&gt;=判定条件!$C$12,"利用可","不可")</f>
        <v>不可</v>
      </c>
      <c r="J65" s="22" t="n">
        <f aca="false">COUNTIFS(時間ごとの判定!$A$3:$A$1850,$A65,時間ごとの判定!$B$3:$B$1850,"&gt;="&amp;判定条件!$C$10,時間ごとの判定!$B$3:$B$1850,"&lt;="&amp;判定条件!$C$11,時間ごとの判定!$AQ$3:$AQ$1850,"利用可")</f>
        <v>0</v>
      </c>
      <c r="K65" s="22" t="str">
        <f aca="false">IF(J65&gt;=判定条件!$C$12,"利用可","不可")</f>
        <v>不可</v>
      </c>
      <c r="L65" s="22" t="n">
        <f aca="false">COUNTIFS(時間ごとの判定!$A$3:$A$1850,$A65,時間ごとの判定!$B$3:$B$1850,"&gt;="&amp;判定条件!$C$10,時間ごとの判定!$B$3:$B$1850,"&lt;="&amp;判定条件!$C$11,時間ごとの判定!$AT$3:$AT$1850,"利用可")</f>
        <v>0</v>
      </c>
      <c r="M65" s="22" t="str">
        <f aca="false">IF(L65&gt;=判定条件!$C$12,"利用可","不可")</f>
        <v>不可</v>
      </c>
      <c r="N65" s="22" t="n">
        <f aca="false">COUNTIFS(時間ごとの判定!$A$3:$A$1850,$A65,時間ごとの判定!$B$3:$B$1850,"&gt;="&amp;判定条件!$C$10,時間ごとの判定!$B$3:$B$1850,"&lt;="&amp;判定条件!$C$11,時間ごとの判定!$AW$3:$AW$1850,"利用可")</f>
        <v>0</v>
      </c>
      <c r="O65" s="22" t="str">
        <f aca="false">IF(N65&gt;=判定条件!$C$12,"利用可","不可")</f>
        <v>不可</v>
      </c>
      <c r="P65" s="22" t="str">
        <f aca="false">IF(AND(E65="利用可",G65="利用可",I65="利用可"),"利用可","不可")</f>
        <v>不可</v>
      </c>
      <c r="Q65" s="22" t="str">
        <f aca="false">IF(AND(K65="利用可",M65="利用可",O65="利用可"),"利用可","不可")</f>
        <v>不可</v>
      </c>
      <c r="R65" s="23" t="s">
        <v>75</v>
      </c>
    </row>
    <row r="66" customFormat="false" ht="15" hidden="false" customHeight="false" outlineLevel="0" collapsed="false">
      <c r="A66" s="20" t="n">
        <v>46295</v>
      </c>
      <c r="B66" s="21" t="s">
        <v>58</v>
      </c>
      <c r="C66" s="21" t="s">
        <v>59</v>
      </c>
      <c r="D66" s="22" t="n">
        <f aca="false">COUNTIFS(時間ごとの判定!$A$3:$A$1850,$A66,時間ごとの判定!$B$3:$B$1850,"&gt;="&amp;判定条件!$C$10,時間ごとの判定!$B$3:$B$1850,"&lt;="&amp;判定条件!$C$11,時間ごとの判定!$AH$3:$AH$1850,"利用可")</f>
        <v>0</v>
      </c>
      <c r="E66" s="22" t="str">
        <f aca="false">IF(D66&gt;=判定条件!$C$12,"利用可","不可")</f>
        <v>不可</v>
      </c>
      <c r="F66" s="22" t="n">
        <f aca="false">COUNTIFS(時間ごとの判定!$A$3:$A$1850,$A66,時間ごとの判定!$B$3:$B$1850,"&gt;="&amp;判定条件!$C$10,時間ごとの判定!$B$3:$B$1850,"&lt;="&amp;判定条件!$C$11,時間ごとの判定!$AK$3:$AK$1850,"利用可")</f>
        <v>0</v>
      </c>
      <c r="G66" s="22" t="str">
        <f aca="false">IF(F66&gt;=判定条件!$C$12,"利用可","不可")</f>
        <v>不可</v>
      </c>
      <c r="H66" s="22" t="n">
        <f aca="false">COUNTIFS(時間ごとの判定!$A$3:$A$1850,$A66,時間ごとの判定!$B$3:$B$1850,"&gt;="&amp;判定条件!$C$10,時間ごとの判定!$B$3:$B$1850,"&lt;="&amp;判定条件!$C$11,時間ごとの判定!$AN$3:$AN$1850,"利用可")</f>
        <v>2</v>
      </c>
      <c r="I66" s="22" t="str">
        <f aca="false">IF(H66&gt;=判定条件!$C$12,"利用可","不可")</f>
        <v>不可</v>
      </c>
      <c r="J66" s="22" t="n">
        <f aca="false">COUNTIFS(時間ごとの判定!$A$3:$A$1850,$A66,時間ごとの判定!$B$3:$B$1850,"&gt;="&amp;判定条件!$C$10,時間ごとの判定!$B$3:$B$1850,"&lt;="&amp;判定条件!$C$11,時間ごとの判定!$AQ$3:$AQ$1850,"利用可")</f>
        <v>0</v>
      </c>
      <c r="K66" s="22" t="str">
        <f aca="false">IF(J66&gt;=判定条件!$C$12,"利用可","不可")</f>
        <v>不可</v>
      </c>
      <c r="L66" s="22" t="n">
        <f aca="false">COUNTIFS(時間ごとの判定!$A$3:$A$1850,$A66,時間ごとの判定!$B$3:$B$1850,"&gt;="&amp;判定条件!$C$10,時間ごとの判定!$B$3:$B$1850,"&lt;="&amp;判定条件!$C$11,時間ごとの判定!$AT$3:$AT$1850,"利用可")</f>
        <v>0</v>
      </c>
      <c r="M66" s="22" t="str">
        <f aca="false">IF(L66&gt;=判定条件!$C$12,"利用可","不可")</f>
        <v>不可</v>
      </c>
      <c r="N66" s="22" t="n">
        <f aca="false">COUNTIFS(時間ごとの判定!$A$3:$A$1850,$A66,時間ごとの判定!$B$3:$B$1850,"&gt;="&amp;判定条件!$C$10,時間ごとの判定!$B$3:$B$1850,"&lt;="&amp;判定条件!$C$11,時間ごとの判定!$AW$3:$AW$1850,"利用可")</f>
        <v>0</v>
      </c>
      <c r="O66" s="22" t="str">
        <f aca="false">IF(N66&gt;=判定条件!$C$12,"利用可","不可")</f>
        <v>不可</v>
      </c>
      <c r="P66" s="22" t="str">
        <f aca="false">IF(AND(E66="利用可",G66="利用可",I66="利用可"),"利用可","不可")</f>
        <v>不可</v>
      </c>
      <c r="Q66" s="22" t="str">
        <f aca="false">IF(AND(K66="利用可",M66="利用可",O66="利用可"),"利用可","不可")</f>
        <v>不可</v>
      </c>
      <c r="R66" s="23" t="s">
        <v>75</v>
      </c>
    </row>
    <row r="67" customFormat="false" ht="15" hidden="false" customHeight="false" outlineLevel="0" collapsed="false">
      <c r="A67" s="20" t="n">
        <v>46296</v>
      </c>
      <c r="B67" s="21" t="s">
        <v>61</v>
      </c>
      <c r="C67" s="21" t="s">
        <v>59</v>
      </c>
      <c r="D67" s="22" t="n">
        <f aca="false">COUNTIFS(時間ごとの判定!$A$3:$A$1850,$A67,時間ごとの判定!$B$3:$B$1850,"&gt;="&amp;判定条件!$C$10,時間ごとの判定!$B$3:$B$1850,"&lt;="&amp;判定条件!$C$11,時間ごとの判定!$AH$3:$AH$1850,"利用可")</f>
        <v>8</v>
      </c>
      <c r="E67" s="22" t="str">
        <f aca="false">IF(D67&gt;=判定条件!$C$12,"利用可","不可")</f>
        <v>利用可</v>
      </c>
      <c r="F67" s="22" t="n">
        <f aca="false">COUNTIFS(時間ごとの判定!$A$3:$A$1850,$A67,時間ごとの判定!$B$3:$B$1850,"&gt;="&amp;判定条件!$C$10,時間ごとの判定!$B$3:$B$1850,"&lt;="&amp;判定条件!$C$11,時間ごとの判定!$AK$3:$AK$1850,"利用可")</f>
        <v>8</v>
      </c>
      <c r="G67" s="22" t="str">
        <f aca="false">IF(F67&gt;=判定条件!$C$12,"利用可","不可")</f>
        <v>利用可</v>
      </c>
      <c r="H67" s="22" t="n">
        <f aca="false">COUNTIFS(時間ごとの判定!$A$3:$A$1850,$A67,時間ごとの判定!$B$3:$B$1850,"&gt;="&amp;判定条件!$C$10,時間ごとの判定!$B$3:$B$1850,"&lt;="&amp;判定条件!$C$11,時間ごとの判定!$AN$3:$AN$1850,"利用可")</f>
        <v>8</v>
      </c>
      <c r="I67" s="22" t="str">
        <f aca="false">IF(H67&gt;=判定条件!$C$12,"利用可","不可")</f>
        <v>利用可</v>
      </c>
      <c r="J67" s="22" t="n">
        <f aca="false">COUNTIFS(時間ごとの判定!$A$3:$A$1850,$A67,時間ごとの判定!$B$3:$B$1850,"&gt;="&amp;判定条件!$C$10,時間ごとの判定!$B$3:$B$1850,"&lt;="&amp;判定条件!$C$11,時間ごとの判定!$AQ$3:$AQ$1850,"利用可")</f>
        <v>3</v>
      </c>
      <c r="K67" s="22" t="str">
        <f aca="false">IF(J67&gt;=判定条件!$C$12,"利用可","不可")</f>
        <v>不可</v>
      </c>
      <c r="L67" s="22" t="n">
        <f aca="false">COUNTIFS(時間ごとの判定!$A$3:$A$1850,$A67,時間ごとの判定!$B$3:$B$1850,"&gt;="&amp;判定条件!$C$10,時間ごとの判定!$B$3:$B$1850,"&lt;="&amp;判定条件!$C$11,時間ごとの判定!$AT$3:$AT$1850,"利用可")</f>
        <v>3</v>
      </c>
      <c r="M67" s="22" t="str">
        <f aca="false">IF(L67&gt;=判定条件!$C$12,"利用可","不可")</f>
        <v>不可</v>
      </c>
      <c r="N67" s="22" t="n">
        <f aca="false">COUNTIFS(時間ごとの判定!$A$3:$A$1850,$A67,時間ごとの判定!$B$3:$B$1850,"&gt;="&amp;判定条件!$C$10,時間ごとの判定!$B$3:$B$1850,"&lt;="&amp;判定条件!$C$11,時間ごとの判定!$AW$3:$AW$1850,"利用可")</f>
        <v>2</v>
      </c>
      <c r="O67" s="22" t="str">
        <f aca="false">IF(N67&gt;=判定条件!$C$12,"利用可","不可")</f>
        <v>不可</v>
      </c>
      <c r="P67" s="22" t="str">
        <f aca="false">IF(AND(E67="利用可",G67="利用可",I67="利用可"),"利用可","不可")</f>
        <v>利用可</v>
      </c>
      <c r="Q67" s="22" t="str">
        <f aca="false">IF(AND(K67="利用可",M67="利用可",O67="利用可"),"利用可","不可")</f>
        <v>不可</v>
      </c>
      <c r="R67" s="23" t="s">
        <v>75</v>
      </c>
    </row>
    <row r="68" customFormat="false" ht="15" hidden="false" customHeight="false" outlineLevel="0" collapsed="false">
      <c r="A68" s="20" t="n">
        <v>46297</v>
      </c>
      <c r="B68" s="21" t="s">
        <v>62</v>
      </c>
      <c r="C68" s="21" t="s">
        <v>59</v>
      </c>
      <c r="D68" s="22" t="n">
        <f aca="false">COUNTIFS(時間ごとの判定!$A$3:$A$1850,$A68,時間ごとの判定!$B$3:$B$1850,"&gt;="&amp;判定条件!$C$10,時間ごとの判定!$B$3:$B$1850,"&lt;="&amp;判定条件!$C$11,時間ごとの判定!$AH$3:$AH$1850,"利用可")</f>
        <v>0</v>
      </c>
      <c r="E68" s="22" t="str">
        <f aca="false">IF(D68&gt;=判定条件!$C$12,"利用可","不可")</f>
        <v>不可</v>
      </c>
      <c r="F68" s="22" t="n">
        <f aca="false">COUNTIFS(時間ごとの判定!$A$3:$A$1850,$A68,時間ごとの判定!$B$3:$B$1850,"&gt;="&amp;判定条件!$C$10,時間ごとの判定!$B$3:$B$1850,"&lt;="&amp;判定条件!$C$11,時間ごとの判定!$AK$3:$AK$1850,"利用可")</f>
        <v>2</v>
      </c>
      <c r="G68" s="22" t="str">
        <f aca="false">IF(F68&gt;=判定条件!$C$12,"利用可","不可")</f>
        <v>不可</v>
      </c>
      <c r="H68" s="22" t="n">
        <f aca="false">COUNTIFS(時間ごとの判定!$A$3:$A$1850,$A68,時間ごとの判定!$B$3:$B$1850,"&gt;="&amp;判定条件!$C$10,時間ごとの判定!$B$3:$B$1850,"&lt;="&amp;判定条件!$C$11,時間ごとの判定!$AN$3:$AN$1850,"利用可")</f>
        <v>2</v>
      </c>
      <c r="I68" s="22" t="str">
        <f aca="false">IF(H68&gt;=判定条件!$C$12,"利用可","不可")</f>
        <v>不可</v>
      </c>
      <c r="J68" s="22" t="n">
        <f aca="false">COUNTIFS(時間ごとの判定!$A$3:$A$1850,$A68,時間ごとの判定!$B$3:$B$1850,"&gt;="&amp;判定条件!$C$10,時間ごとの判定!$B$3:$B$1850,"&lt;="&amp;判定条件!$C$11,時間ごとの判定!$AQ$3:$AQ$1850,"利用可")</f>
        <v>0</v>
      </c>
      <c r="K68" s="22" t="str">
        <f aca="false">IF(J68&gt;=判定条件!$C$12,"利用可","不可")</f>
        <v>不可</v>
      </c>
      <c r="L68" s="22" t="n">
        <f aca="false">COUNTIFS(時間ごとの判定!$A$3:$A$1850,$A68,時間ごとの判定!$B$3:$B$1850,"&gt;="&amp;判定条件!$C$10,時間ごとの判定!$B$3:$B$1850,"&lt;="&amp;判定条件!$C$11,時間ごとの判定!$AT$3:$AT$1850,"利用可")</f>
        <v>1</v>
      </c>
      <c r="M68" s="22" t="str">
        <f aca="false">IF(L68&gt;=判定条件!$C$12,"利用可","不可")</f>
        <v>不可</v>
      </c>
      <c r="N68" s="22" t="n">
        <f aca="false">COUNTIFS(時間ごとの判定!$A$3:$A$1850,$A68,時間ごとの判定!$B$3:$B$1850,"&gt;="&amp;判定条件!$C$10,時間ごとの判定!$B$3:$B$1850,"&lt;="&amp;判定条件!$C$11,時間ごとの判定!$AW$3:$AW$1850,"利用可")</f>
        <v>3</v>
      </c>
      <c r="O68" s="22" t="str">
        <f aca="false">IF(N68&gt;=判定条件!$C$12,"利用可","不可")</f>
        <v>不可</v>
      </c>
      <c r="P68" s="22" t="str">
        <f aca="false">IF(AND(E68="利用可",G68="利用可",I68="利用可"),"利用可","不可")</f>
        <v>不可</v>
      </c>
      <c r="Q68" s="22" t="str">
        <f aca="false">IF(AND(K68="利用可",M68="利用可",O68="利用可"),"利用可","不可")</f>
        <v>不可</v>
      </c>
      <c r="R68" s="26"/>
    </row>
    <row r="69" customFormat="false" ht="15" hidden="false" customHeight="false" outlineLevel="0" collapsed="false">
      <c r="A69" s="24" t="n">
        <v>46298</v>
      </c>
      <c r="B69" s="25" t="s">
        <v>63</v>
      </c>
      <c r="C69" s="25" t="s">
        <v>64</v>
      </c>
      <c r="D69" s="22" t="n">
        <f aca="false">COUNTIFS(時間ごとの判定!$A$3:$A$1850,$A69,時間ごとの判定!$B$3:$B$1850,"&gt;="&amp;判定条件!$C$10,時間ごとの判定!$B$3:$B$1850,"&lt;="&amp;判定条件!$C$11,時間ごとの判定!$AH$3:$AH$1850,"利用可")</f>
        <v>3</v>
      </c>
      <c r="E69" s="22" t="str">
        <f aca="false">IF(D69&gt;=判定条件!$C$12,"利用可","不可")</f>
        <v>不可</v>
      </c>
      <c r="F69" s="22" t="n">
        <f aca="false">COUNTIFS(時間ごとの判定!$A$3:$A$1850,$A69,時間ごとの判定!$B$3:$B$1850,"&gt;="&amp;判定条件!$C$10,時間ごとの判定!$B$3:$B$1850,"&lt;="&amp;判定条件!$C$11,時間ごとの判定!$AK$3:$AK$1850,"利用可")</f>
        <v>2</v>
      </c>
      <c r="G69" s="22" t="str">
        <f aca="false">IF(F69&gt;=判定条件!$C$12,"利用可","不可")</f>
        <v>不可</v>
      </c>
      <c r="H69" s="22" t="n">
        <f aca="false">COUNTIFS(時間ごとの判定!$A$3:$A$1850,$A69,時間ごとの判定!$B$3:$B$1850,"&gt;="&amp;判定条件!$C$10,時間ごとの判定!$B$3:$B$1850,"&lt;="&amp;判定条件!$C$11,時間ごとの判定!$AN$3:$AN$1850,"利用可")</f>
        <v>4</v>
      </c>
      <c r="I69" s="22" t="str">
        <f aca="false">IF(H69&gt;=判定条件!$C$12,"利用可","不可")</f>
        <v>不可</v>
      </c>
      <c r="J69" s="22" t="n">
        <f aca="false">COUNTIFS(時間ごとの判定!$A$3:$A$1850,$A69,時間ごとの判定!$B$3:$B$1850,"&gt;="&amp;判定条件!$C$10,時間ごとの判定!$B$3:$B$1850,"&lt;="&amp;判定条件!$C$11,時間ごとの判定!$AQ$3:$AQ$1850,"利用可")</f>
        <v>5</v>
      </c>
      <c r="K69" s="22" t="str">
        <f aca="false">IF(J69&gt;=判定条件!$C$12,"利用可","不可")</f>
        <v>不可</v>
      </c>
      <c r="L69" s="22" t="n">
        <f aca="false">COUNTIFS(時間ごとの判定!$A$3:$A$1850,$A69,時間ごとの判定!$B$3:$B$1850,"&gt;="&amp;判定条件!$C$10,時間ごとの判定!$B$3:$B$1850,"&lt;="&amp;判定条件!$C$11,時間ごとの判定!$AT$3:$AT$1850,"利用可")</f>
        <v>4</v>
      </c>
      <c r="M69" s="22" t="str">
        <f aca="false">IF(L69&gt;=判定条件!$C$12,"利用可","不可")</f>
        <v>不可</v>
      </c>
      <c r="N69" s="22" t="n">
        <f aca="false">COUNTIFS(時間ごとの判定!$A$3:$A$1850,$A69,時間ごとの判定!$B$3:$B$1850,"&gt;="&amp;判定条件!$C$10,時間ごとの判定!$B$3:$B$1850,"&lt;="&amp;判定条件!$C$11,時間ごとの判定!$AW$3:$AW$1850,"利用可")</f>
        <v>4</v>
      </c>
      <c r="O69" s="22" t="str">
        <f aca="false">IF(N69&gt;=判定条件!$C$12,"利用可","不可")</f>
        <v>不可</v>
      </c>
      <c r="P69" s="22" t="str">
        <f aca="false">IF(AND(E69="利用可",G69="利用可",I69="利用可"),"利用可","不可")</f>
        <v>不可</v>
      </c>
      <c r="Q69" s="22" t="str">
        <f aca="false">IF(AND(K69="利用可",M69="利用可",O69="利用可"),"利用可","不可")</f>
        <v>不可</v>
      </c>
      <c r="R69" s="26"/>
    </row>
    <row r="70" customFormat="false" ht="15" hidden="false" customHeight="false" outlineLevel="0" collapsed="false">
      <c r="A70" s="24" t="n">
        <v>46299</v>
      </c>
      <c r="B70" s="25" t="s">
        <v>65</v>
      </c>
      <c r="C70" s="25" t="s">
        <v>64</v>
      </c>
      <c r="D70" s="22" t="n">
        <f aca="false">COUNTIFS(時間ごとの判定!$A$3:$A$1850,$A70,時間ごとの判定!$B$3:$B$1850,"&gt;="&amp;判定条件!$C$10,時間ごとの判定!$B$3:$B$1850,"&lt;="&amp;判定条件!$C$11,時間ごとの判定!$AH$3:$AH$1850,"利用可")</f>
        <v>0</v>
      </c>
      <c r="E70" s="22" t="str">
        <f aca="false">IF(D70&gt;=判定条件!$C$12,"利用可","不可")</f>
        <v>不可</v>
      </c>
      <c r="F70" s="22" t="n">
        <f aca="false">COUNTIFS(時間ごとの判定!$A$3:$A$1850,$A70,時間ごとの判定!$B$3:$B$1850,"&gt;="&amp;判定条件!$C$10,時間ごとの判定!$B$3:$B$1850,"&lt;="&amp;判定条件!$C$11,時間ごとの判定!$AK$3:$AK$1850,"利用可")</f>
        <v>0</v>
      </c>
      <c r="G70" s="22" t="str">
        <f aca="false">IF(F70&gt;=判定条件!$C$12,"利用可","不可")</f>
        <v>不可</v>
      </c>
      <c r="H70" s="22" t="n">
        <f aca="false">COUNTIFS(時間ごとの判定!$A$3:$A$1850,$A70,時間ごとの判定!$B$3:$B$1850,"&gt;="&amp;判定条件!$C$10,時間ごとの判定!$B$3:$B$1850,"&lt;="&amp;判定条件!$C$11,時間ごとの判定!$AN$3:$AN$1850,"利用可")</f>
        <v>2</v>
      </c>
      <c r="I70" s="22" t="str">
        <f aca="false">IF(H70&gt;=判定条件!$C$12,"利用可","不可")</f>
        <v>不可</v>
      </c>
      <c r="J70" s="22" t="n">
        <f aca="false">COUNTIFS(時間ごとの判定!$A$3:$A$1850,$A70,時間ごとの判定!$B$3:$B$1850,"&gt;="&amp;判定条件!$C$10,時間ごとの判定!$B$3:$B$1850,"&lt;="&amp;判定条件!$C$11,時間ごとの判定!$AQ$3:$AQ$1850,"利用可")</f>
        <v>1</v>
      </c>
      <c r="K70" s="22" t="str">
        <f aca="false">IF(J70&gt;=判定条件!$C$12,"利用可","不可")</f>
        <v>不可</v>
      </c>
      <c r="L70" s="22" t="n">
        <f aca="false">COUNTIFS(時間ごとの判定!$A$3:$A$1850,$A70,時間ごとの判定!$B$3:$B$1850,"&gt;="&amp;判定条件!$C$10,時間ごとの判定!$B$3:$B$1850,"&lt;="&amp;判定条件!$C$11,時間ごとの判定!$AT$3:$AT$1850,"利用可")</f>
        <v>2</v>
      </c>
      <c r="M70" s="22" t="str">
        <f aca="false">IF(L70&gt;=判定条件!$C$12,"利用可","不可")</f>
        <v>不可</v>
      </c>
      <c r="N70" s="22" t="n">
        <f aca="false">COUNTIFS(時間ごとの判定!$A$3:$A$1850,$A70,時間ごとの判定!$B$3:$B$1850,"&gt;="&amp;判定条件!$C$10,時間ごとの判定!$B$3:$B$1850,"&lt;="&amp;判定条件!$C$11,時間ごとの判定!$AW$3:$AW$1850,"利用可")</f>
        <v>0</v>
      </c>
      <c r="O70" s="22" t="str">
        <f aca="false">IF(N70&gt;=判定条件!$C$12,"利用可","不可")</f>
        <v>不可</v>
      </c>
      <c r="P70" s="22" t="str">
        <f aca="false">IF(AND(E70="利用可",G70="利用可",I70="利用可"),"利用可","不可")</f>
        <v>不可</v>
      </c>
      <c r="Q70" s="22" t="str">
        <f aca="false">IF(AND(K70="利用可",M70="利用可",O70="利用可"),"利用可","不可")</f>
        <v>不可</v>
      </c>
      <c r="R70" s="26"/>
    </row>
    <row r="71" customFormat="false" ht="15" hidden="false" customHeight="false" outlineLevel="0" collapsed="false">
      <c r="A71" s="20" t="n">
        <v>46300</v>
      </c>
      <c r="B71" s="21" t="s">
        <v>66</v>
      </c>
      <c r="C71" s="21" t="s">
        <v>59</v>
      </c>
      <c r="D71" s="22" t="n">
        <f aca="false">COUNTIFS(時間ごとの判定!$A$3:$A$1850,$A71,時間ごとの判定!$B$3:$B$1850,"&gt;="&amp;判定条件!$C$10,時間ごとの判定!$B$3:$B$1850,"&lt;="&amp;判定条件!$C$11,時間ごとの判定!$AH$3:$AH$1850,"利用可")</f>
        <v>0</v>
      </c>
      <c r="E71" s="22" t="str">
        <f aca="false">IF(D71&gt;=判定条件!$C$12,"利用可","不可")</f>
        <v>不可</v>
      </c>
      <c r="F71" s="22" t="n">
        <f aca="false">COUNTIFS(時間ごとの判定!$A$3:$A$1850,$A71,時間ごとの判定!$B$3:$B$1850,"&gt;="&amp;判定条件!$C$10,時間ごとの判定!$B$3:$B$1850,"&lt;="&amp;判定条件!$C$11,時間ごとの判定!$AK$3:$AK$1850,"利用可")</f>
        <v>2</v>
      </c>
      <c r="G71" s="22" t="str">
        <f aca="false">IF(F71&gt;=判定条件!$C$12,"利用可","不可")</f>
        <v>不可</v>
      </c>
      <c r="H71" s="22" t="n">
        <f aca="false">COUNTIFS(時間ごとの判定!$A$3:$A$1850,$A71,時間ごとの判定!$B$3:$B$1850,"&gt;="&amp;判定条件!$C$10,時間ごとの判定!$B$3:$B$1850,"&lt;="&amp;判定条件!$C$11,時間ごとの判定!$AN$3:$AN$1850,"利用可")</f>
        <v>4</v>
      </c>
      <c r="I71" s="22" t="str">
        <f aca="false">IF(H71&gt;=判定条件!$C$12,"利用可","不可")</f>
        <v>不可</v>
      </c>
      <c r="J71" s="22" t="n">
        <f aca="false">COUNTIFS(時間ごとの判定!$A$3:$A$1850,$A71,時間ごとの判定!$B$3:$B$1850,"&gt;="&amp;判定条件!$C$10,時間ごとの判定!$B$3:$B$1850,"&lt;="&amp;判定条件!$C$11,時間ごとの判定!$AQ$3:$AQ$1850,"利用可")</f>
        <v>0</v>
      </c>
      <c r="K71" s="22" t="str">
        <f aca="false">IF(J71&gt;=判定条件!$C$12,"利用可","不可")</f>
        <v>不可</v>
      </c>
      <c r="L71" s="22" t="n">
        <f aca="false">COUNTIFS(時間ごとの判定!$A$3:$A$1850,$A71,時間ごとの判定!$B$3:$B$1850,"&gt;="&amp;判定条件!$C$10,時間ごとの判定!$B$3:$B$1850,"&lt;="&amp;判定条件!$C$11,時間ごとの判定!$AT$3:$AT$1850,"利用可")</f>
        <v>2</v>
      </c>
      <c r="M71" s="22" t="str">
        <f aca="false">IF(L71&gt;=判定条件!$C$12,"利用可","不可")</f>
        <v>不可</v>
      </c>
      <c r="N71" s="22" t="n">
        <f aca="false">COUNTIFS(時間ごとの判定!$A$3:$A$1850,$A71,時間ごとの判定!$B$3:$B$1850,"&gt;="&amp;判定条件!$C$10,時間ごとの判定!$B$3:$B$1850,"&lt;="&amp;判定条件!$C$11,時間ごとの判定!$AW$3:$AW$1850,"利用可")</f>
        <v>3</v>
      </c>
      <c r="O71" s="22" t="str">
        <f aca="false">IF(N71&gt;=判定条件!$C$12,"利用可","不可")</f>
        <v>不可</v>
      </c>
      <c r="P71" s="22" t="str">
        <f aca="false">IF(AND(E71="利用可",G71="利用可",I71="利用可"),"利用可","不可")</f>
        <v>不可</v>
      </c>
      <c r="Q71" s="22" t="str">
        <f aca="false">IF(AND(K71="利用可",M71="利用可",O71="利用可"),"利用可","不可")</f>
        <v>不可</v>
      </c>
      <c r="R71" s="26"/>
    </row>
    <row r="72" customFormat="false" ht="15" hidden="false" customHeight="false" outlineLevel="0" collapsed="false">
      <c r="A72" s="20" t="n">
        <v>46301</v>
      </c>
      <c r="B72" s="21" t="s">
        <v>67</v>
      </c>
      <c r="C72" s="21" t="s">
        <v>59</v>
      </c>
      <c r="D72" s="22" t="n">
        <f aca="false">COUNTIFS(時間ごとの判定!$A$3:$A$1850,$A72,時間ごとの判定!$B$3:$B$1850,"&gt;="&amp;判定条件!$C$10,時間ごとの判定!$B$3:$B$1850,"&lt;="&amp;判定条件!$C$11,時間ごとの判定!$AH$3:$AH$1850,"利用可")</f>
        <v>3</v>
      </c>
      <c r="E72" s="22" t="str">
        <f aca="false">IF(D72&gt;=判定条件!$C$12,"利用可","不可")</f>
        <v>不可</v>
      </c>
      <c r="F72" s="22" t="n">
        <f aca="false">COUNTIFS(時間ごとの判定!$A$3:$A$1850,$A72,時間ごとの判定!$B$3:$B$1850,"&gt;="&amp;判定条件!$C$10,時間ごとの判定!$B$3:$B$1850,"&lt;="&amp;判定条件!$C$11,時間ごとの判定!$AK$3:$AK$1850,"利用可")</f>
        <v>7</v>
      </c>
      <c r="G72" s="22" t="str">
        <f aca="false">IF(F72&gt;=判定条件!$C$12,"利用可","不可")</f>
        <v>利用可</v>
      </c>
      <c r="H72" s="22" t="n">
        <f aca="false">COUNTIFS(時間ごとの判定!$A$3:$A$1850,$A72,時間ごとの判定!$B$3:$B$1850,"&gt;="&amp;判定条件!$C$10,時間ごとの判定!$B$3:$B$1850,"&lt;="&amp;判定条件!$C$11,時間ごとの判定!$AN$3:$AN$1850,"利用可")</f>
        <v>9</v>
      </c>
      <c r="I72" s="22" t="str">
        <f aca="false">IF(H72&gt;=判定条件!$C$12,"利用可","不可")</f>
        <v>利用可</v>
      </c>
      <c r="J72" s="22" t="n">
        <f aca="false">COUNTIFS(時間ごとの判定!$A$3:$A$1850,$A72,時間ごとの判定!$B$3:$B$1850,"&gt;="&amp;判定条件!$C$10,時間ごとの判定!$B$3:$B$1850,"&lt;="&amp;判定条件!$C$11,時間ごとの判定!$AQ$3:$AQ$1850,"利用可")</f>
        <v>6</v>
      </c>
      <c r="K72" s="22" t="str">
        <f aca="false">IF(J72&gt;=判定条件!$C$12,"利用可","不可")</f>
        <v>不可</v>
      </c>
      <c r="L72" s="22" t="n">
        <f aca="false">COUNTIFS(時間ごとの判定!$A$3:$A$1850,$A72,時間ごとの判定!$B$3:$B$1850,"&gt;="&amp;判定条件!$C$10,時間ごとの判定!$B$3:$B$1850,"&lt;="&amp;判定条件!$C$11,時間ごとの判定!$AT$3:$AT$1850,"利用可")</f>
        <v>7</v>
      </c>
      <c r="M72" s="22" t="str">
        <f aca="false">IF(L72&gt;=判定条件!$C$12,"利用可","不可")</f>
        <v>利用可</v>
      </c>
      <c r="N72" s="22" t="n">
        <f aca="false">COUNTIFS(時間ごとの判定!$A$3:$A$1850,$A72,時間ごとの判定!$B$3:$B$1850,"&gt;="&amp;判定条件!$C$10,時間ごとの判定!$B$3:$B$1850,"&lt;="&amp;判定条件!$C$11,時間ごとの判定!$AW$3:$AW$1850,"利用可")</f>
        <v>9</v>
      </c>
      <c r="O72" s="22" t="str">
        <f aca="false">IF(N72&gt;=判定条件!$C$12,"利用可","不可")</f>
        <v>利用可</v>
      </c>
      <c r="P72" s="22" t="str">
        <f aca="false">IF(AND(E72="利用可",G72="利用可",I72="利用可"),"利用可","不可")</f>
        <v>不可</v>
      </c>
      <c r="Q72" s="22" t="str">
        <f aca="false">IF(AND(K72="利用可",M72="利用可",O72="利用可"),"利用可","不可")</f>
        <v>不可</v>
      </c>
      <c r="R72" s="26"/>
    </row>
    <row r="73" customFormat="false" ht="15" hidden="false" customHeight="false" outlineLevel="0" collapsed="false">
      <c r="A73" s="20" t="n">
        <v>46302</v>
      </c>
      <c r="B73" s="21" t="s">
        <v>58</v>
      </c>
      <c r="C73" s="21" t="s">
        <v>59</v>
      </c>
      <c r="D73" s="22" t="n">
        <f aca="false">COUNTIFS(時間ごとの判定!$A$3:$A$1850,$A73,時間ごとの判定!$B$3:$B$1850,"&gt;="&amp;判定条件!$C$10,時間ごとの判定!$B$3:$B$1850,"&lt;="&amp;判定条件!$C$11,時間ごとの判定!$AH$3:$AH$1850,"利用可")</f>
        <v>1</v>
      </c>
      <c r="E73" s="22" t="str">
        <f aca="false">IF(D73&gt;=判定条件!$C$12,"利用可","不可")</f>
        <v>不可</v>
      </c>
      <c r="F73" s="22" t="n">
        <f aca="false">COUNTIFS(時間ごとの判定!$A$3:$A$1850,$A73,時間ごとの判定!$B$3:$B$1850,"&gt;="&amp;判定条件!$C$10,時間ごとの判定!$B$3:$B$1850,"&lt;="&amp;判定条件!$C$11,時間ごとの判定!$AK$3:$AK$1850,"利用可")</f>
        <v>4</v>
      </c>
      <c r="G73" s="22" t="str">
        <f aca="false">IF(F73&gt;=判定条件!$C$12,"利用可","不可")</f>
        <v>不可</v>
      </c>
      <c r="H73" s="22" t="n">
        <f aca="false">COUNTIFS(時間ごとの判定!$A$3:$A$1850,$A73,時間ごとの判定!$B$3:$B$1850,"&gt;="&amp;判定条件!$C$10,時間ごとの判定!$B$3:$B$1850,"&lt;="&amp;判定条件!$C$11,時間ごとの判定!$AN$3:$AN$1850,"利用可")</f>
        <v>5</v>
      </c>
      <c r="I73" s="22" t="str">
        <f aca="false">IF(H73&gt;=判定条件!$C$12,"利用可","不可")</f>
        <v>不可</v>
      </c>
      <c r="J73" s="22" t="n">
        <f aca="false">COUNTIFS(時間ごとの判定!$A$3:$A$1850,$A73,時間ごとの判定!$B$3:$B$1850,"&gt;="&amp;判定条件!$C$10,時間ごとの判定!$B$3:$B$1850,"&lt;="&amp;判定条件!$C$11,時間ごとの判定!$AQ$3:$AQ$1850,"利用可")</f>
        <v>3</v>
      </c>
      <c r="K73" s="22" t="str">
        <f aca="false">IF(J73&gt;=判定条件!$C$12,"利用可","不可")</f>
        <v>不可</v>
      </c>
      <c r="L73" s="22" t="n">
        <f aca="false">COUNTIFS(時間ごとの判定!$A$3:$A$1850,$A73,時間ごとの判定!$B$3:$B$1850,"&gt;="&amp;判定条件!$C$10,時間ごとの判定!$B$3:$B$1850,"&lt;="&amp;判定条件!$C$11,時間ごとの判定!$AT$3:$AT$1850,"利用可")</f>
        <v>4</v>
      </c>
      <c r="M73" s="22" t="str">
        <f aca="false">IF(L73&gt;=判定条件!$C$12,"利用可","不可")</f>
        <v>不可</v>
      </c>
      <c r="N73" s="22" t="n">
        <f aca="false">COUNTIFS(時間ごとの判定!$A$3:$A$1850,$A73,時間ごとの判定!$B$3:$B$1850,"&gt;="&amp;判定条件!$C$10,時間ごとの判定!$B$3:$B$1850,"&lt;="&amp;判定条件!$C$11,時間ごとの判定!$AW$3:$AW$1850,"利用可")</f>
        <v>4</v>
      </c>
      <c r="O73" s="22" t="str">
        <f aca="false">IF(N73&gt;=判定条件!$C$12,"利用可","不可")</f>
        <v>不可</v>
      </c>
      <c r="P73" s="22" t="str">
        <f aca="false">IF(AND(E73="利用可",G73="利用可",I73="利用可"),"利用可","不可")</f>
        <v>不可</v>
      </c>
      <c r="Q73" s="22" t="str">
        <f aca="false">IF(AND(K73="利用可",M73="利用可",O73="利用可"),"利用可","不可")</f>
        <v>不可</v>
      </c>
      <c r="R73" s="26"/>
    </row>
    <row r="74" customFormat="false" ht="15" hidden="false" customHeight="false" outlineLevel="0" collapsed="false">
      <c r="A74" s="20" t="n">
        <v>46303</v>
      </c>
      <c r="B74" s="21" t="s">
        <v>61</v>
      </c>
      <c r="C74" s="21" t="s">
        <v>59</v>
      </c>
      <c r="D74" s="22" t="n">
        <f aca="false">COUNTIFS(時間ごとの判定!$A$3:$A$1850,$A74,時間ごとの判定!$B$3:$B$1850,"&gt;="&amp;判定条件!$C$10,時間ごとの判定!$B$3:$B$1850,"&lt;="&amp;判定条件!$C$11,時間ごとの判定!$AH$3:$AH$1850,"利用可")</f>
        <v>6</v>
      </c>
      <c r="E74" s="22" t="str">
        <f aca="false">IF(D74&gt;=判定条件!$C$12,"利用可","不可")</f>
        <v>不可</v>
      </c>
      <c r="F74" s="22" t="n">
        <f aca="false">COUNTIFS(時間ごとの判定!$A$3:$A$1850,$A74,時間ごとの判定!$B$3:$B$1850,"&gt;="&amp;判定条件!$C$10,時間ごとの判定!$B$3:$B$1850,"&lt;="&amp;判定条件!$C$11,時間ごとの判定!$AK$3:$AK$1850,"利用可")</f>
        <v>6</v>
      </c>
      <c r="G74" s="22" t="str">
        <f aca="false">IF(F74&gt;=判定条件!$C$12,"利用可","不可")</f>
        <v>不可</v>
      </c>
      <c r="H74" s="22" t="n">
        <f aca="false">COUNTIFS(時間ごとの判定!$A$3:$A$1850,$A74,時間ごとの判定!$B$3:$B$1850,"&gt;="&amp;判定条件!$C$10,時間ごとの判定!$B$3:$B$1850,"&lt;="&amp;判定条件!$C$11,時間ごとの判定!$AN$3:$AN$1850,"利用可")</f>
        <v>3</v>
      </c>
      <c r="I74" s="22" t="str">
        <f aca="false">IF(H74&gt;=判定条件!$C$12,"利用可","不可")</f>
        <v>不可</v>
      </c>
      <c r="J74" s="22" t="n">
        <f aca="false">COUNTIFS(時間ごとの判定!$A$3:$A$1850,$A74,時間ごとの判定!$B$3:$B$1850,"&gt;="&amp;判定条件!$C$10,時間ごとの判定!$B$3:$B$1850,"&lt;="&amp;判定条件!$C$11,時間ごとの判定!$AQ$3:$AQ$1850,"利用可")</f>
        <v>7</v>
      </c>
      <c r="K74" s="22" t="str">
        <f aca="false">IF(J74&gt;=判定条件!$C$12,"利用可","不可")</f>
        <v>利用可</v>
      </c>
      <c r="L74" s="22" t="n">
        <f aca="false">COUNTIFS(時間ごとの判定!$A$3:$A$1850,$A74,時間ごとの判定!$B$3:$B$1850,"&gt;="&amp;判定条件!$C$10,時間ごとの判定!$B$3:$B$1850,"&lt;="&amp;判定条件!$C$11,時間ごとの判定!$AT$3:$AT$1850,"利用可")</f>
        <v>6</v>
      </c>
      <c r="M74" s="22" t="str">
        <f aca="false">IF(L74&gt;=判定条件!$C$12,"利用可","不可")</f>
        <v>不可</v>
      </c>
      <c r="N74" s="22" t="n">
        <f aca="false">COUNTIFS(時間ごとの判定!$A$3:$A$1850,$A74,時間ごとの判定!$B$3:$B$1850,"&gt;="&amp;判定条件!$C$10,時間ごとの判定!$B$3:$B$1850,"&lt;="&amp;判定条件!$C$11,時間ごとの判定!$AW$3:$AW$1850,"利用可")</f>
        <v>3</v>
      </c>
      <c r="O74" s="22" t="str">
        <f aca="false">IF(N74&gt;=判定条件!$C$12,"利用可","不可")</f>
        <v>不可</v>
      </c>
      <c r="P74" s="22" t="str">
        <f aca="false">IF(AND(E74="利用可",G74="利用可",I74="利用可"),"利用可","不可")</f>
        <v>不可</v>
      </c>
      <c r="Q74" s="22" t="str">
        <f aca="false">IF(AND(K74="利用可",M74="利用可",O74="利用可"),"利用可","不可")</f>
        <v>不可</v>
      </c>
      <c r="R74" s="26"/>
    </row>
    <row r="75" customFormat="false" ht="15" hidden="false" customHeight="false" outlineLevel="0" collapsed="false">
      <c r="A75" s="20" t="n">
        <v>46304</v>
      </c>
      <c r="B75" s="21" t="s">
        <v>62</v>
      </c>
      <c r="C75" s="21" t="s">
        <v>59</v>
      </c>
      <c r="D75" s="22" t="n">
        <f aca="false">COUNTIFS(時間ごとの判定!$A$3:$A$1850,$A75,時間ごとの判定!$B$3:$B$1850,"&gt;="&amp;判定条件!$C$10,時間ごとの判定!$B$3:$B$1850,"&lt;="&amp;判定条件!$C$11,時間ごとの判定!$AH$3:$AH$1850,"利用可")</f>
        <v>7</v>
      </c>
      <c r="E75" s="22" t="str">
        <f aca="false">IF(D75&gt;=判定条件!$C$12,"利用可","不可")</f>
        <v>利用可</v>
      </c>
      <c r="F75" s="22" t="n">
        <f aca="false">COUNTIFS(時間ごとの判定!$A$3:$A$1850,$A75,時間ごとの判定!$B$3:$B$1850,"&gt;="&amp;判定条件!$C$10,時間ごとの判定!$B$3:$B$1850,"&lt;="&amp;判定条件!$C$11,時間ごとの判定!$AK$3:$AK$1850,"利用可")</f>
        <v>6</v>
      </c>
      <c r="G75" s="22" t="str">
        <f aca="false">IF(F75&gt;=判定条件!$C$12,"利用可","不可")</f>
        <v>不可</v>
      </c>
      <c r="H75" s="22" t="n">
        <f aca="false">COUNTIFS(時間ごとの判定!$A$3:$A$1850,$A75,時間ごとの判定!$B$3:$B$1850,"&gt;="&amp;判定条件!$C$10,時間ごとの判定!$B$3:$B$1850,"&lt;="&amp;判定条件!$C$11,時間ごとの判定!$AN$3:$AN$1850,"利用可")</f>
        <v>9</v>
      </c>
      <c r="I75" s="22" t="str">
        <f aca="false">IF(H75&gt;=判定条件!$C$12,"利用可","不可")</f>
        <v>利用可</v>
      </c>
      <c r="J75" s="22" t="n">
        <f aca="false">COUNTIFS(時間ごとの判定!$A$3:$A$1850,$A75,時間ごとの判定!$B$3:$B$1850,"&gt;="&amp;判定条件!$C$10,時間ごとの判定!$B$3:$B$1850,"&lt;="&amp;判定条件!$C$11,時間ごとの判定!$AQ$3:$AQ$1850,"利用可")</f>
        <v>7</v>
      </c>
      <c r="K75" s="22" t="str">
        <f aca="false">IF(J75&gt;=判定条件!$C$12,"利用可","不可")</f>
        <v>利用可</v>
      </c>
      <c r="L75" s="22" t="n">
        <f aca="false">COUNTIFS(時間ごとの判定!$A$3:$A$1850,$A75,時間ごとの判定!$B$3:$B$1850,"&gt;="&amp;判定条件!$C$10,時間ごとの判定!$B$3:$B$1850,"&lt;="&amp;判定条件!$C$11,時間ごとの判定!$AT$3:$AT$1850,"利用可")</f>
        <v>6</v>
      </c>
      <c r="M75" s="22" t="str">
        <f aca="false">IF(L75&gt;=判定条件!$C$12,"利用可","不可")</f>
        <v>不可</v>
      </c>
      <c r="N75" s="22" t="n">
        <f aca="false">COUNTIFS(時間ごとの判定!$A$3:$A$1850,$A75,時間ごとの判定!$B$3:$B$1850,"&gt;="&amp;判定条件!$C$10,時間ごとの判定!$B$3:$B$1850,"&lt;="&amp;判定条件!$C$11,時間ごとの判定!$AW$3:$AW$1850,"利用可")</f>
        <v>9</v>
      </c>
      <c r="O75" s="22" t="str">
        <f aca="false">IF(N75&gt;=判定条件!$C$12,"利用可","不可")</f>
        <v>利用可</v>
      </c>
      <c r="P75" s="22" t="str">
        <f aca="false">IF(AND(E75="利用可",G75="利用可",I75="利用可"),"利用可","不可")</f>
        <v>不可</v>
      </c>
      <c r="Q75" s="22" t="str">
        <f aca="false">IF(AND(K75="利用可",M75="利用可",O75="利用可"),"利用可","不可")</f>
        <v>不可</v>
      </c>
      <c r="R75" s="26"/>
    </row>
    <row r="76" customFormat="false" ht="15" hidden="false" customHeight="false" outlineLevel="0" collapsed="false">
      <c r="A76" s="24" t="n">
        <v>46305</v>
      </c>
      <c r="B76" s="25" t="s">
        <v>63</v>
      </c>
      <c r="C76" s="25" t="s">
        <v>64</v>
      </c>
      <c r="D76" s="22" t="n">
        <f aca="false">COUNTIFS(時間ごとの判定!$A$3:$A$1850,$A76,時間ごとの判定!$B$3:$B$1850,"&gt;="&amp;判定条件!$C$10,時間ごとの判定!$B$3:$B$1850,"&lt;="&amp;判定条件!$C$11,時間ごとの判定!$AH$3:$AH$1850,"利用可")</f>
        <v>6</v>
      </c>
      <c r="E76" s="22" t="str">
        <f aca="false">IF(D76&gt;=判定条件!$C$12,"利用可","不可")</f>
        <v>不可</v>
      </c>
      <c r="F76" s="22" t="n">
        <f aca="false">COUNTIFS(時間ごとの判定!$A$3:$A$1850,$A76,時間ごとの判定!$B$3:$B$1850,"&gt;="&amp;判定条件!$C$10,時間ごとの判定!$B$3:$B$1850,"&lt;="&amp;判定条件!$C$11,時間ごとの判定!$AK$3:$AK$1850,"利用可")</f>
        <v>5</v>
      </c>
      <c r="G76" s="22" t="str">
        <f aca="false">IF(F76&gt;=判定条件!$C$12,"利用可","不可")</f>
        <v>不可</v>
      </c>
      <c r="H76" s="22" t="n">
        <f aca="false">COUNTIFS(時間ごとの判定!$A$3:$A$1850,$A76,時間ごとの判定!$B$3:$B$1850,"&gt;="&amp;判定条件!$C$10,時間ごとの判定!$B$3:$B$1850,"&lt;="&amp;判定条件!$C$11,時間ごとの判定!$AN$3:$AN$1850,"利用可")</f>
        <v>7</v>
      </c>
      <c r="I76" s="22" t="str">
        <f aca="false">IF(H76&gt;=判定条件!$C$12,"利用可","不可")</f>
        <v>利用可</v>
      </c>
      <c r="J76" s="22" t="n">
        <f aca="false">COUNTIFS(時間ごとの判定!$A$3:$A$1850,$A76,時間ごとの判定!$B$3:$B$1850,"&gt;="&amp;判定条件!$C$10,時間ごとの判定!$B$3:$B$1850,"&lt;="&amp;判定条件!$C$11,時間ごとの判定!$AQ$3:$AQ$1850,"利用可")</f>
        <v>6</v>
      </c>
      <c r="K76" s="22" t="str">
        <f aca="false">IF(J76&gt;=判定条件!$C$12,"利用可","不可")</f>
        <v>不可</v>
      </c>
      <c r="L76" s="22" t="n">
        <f aca="false">COUNTIFS(時間ごとの判定!$A$3:$A$1850,$A76,時間ごとの判定!$B$3:$B$1850,"&gt;="&amp;判定条件!$C$10,時間ごとの判定!$B$3:$B$1850,"&lt;="&amp;判定条件!$C$11,時間ごとの判定!$AT$3:$AT$1850,"利用可")</f>
        <v>7</v>
      </c>
      <c r="M76" s="22" t="str">
        <f aca="false">IF(L76&gt;=判定条件!$C$12,"利用可","不可")</f>
        <v>利用可</v>
      </c>
      <c r="N76" s="22" t="n">
        <f aca="false">COUNTIFS(時間ごとの判定!$A$3:$A$1850,$A76,時間ごとの判定!$B$3:$B$1850,"&gt;="&amp;判定条件!$C$10,時間ごとの判定!$B$3:$B$1850,"&lt;="&amp;判定条件!$C$11,時間ごとの判定!$AW$3:$AW$1850,"利用可")</f>
        <v>9</v>
      </c>
      <c r="O76" s="22" t="str">
        <f aca="false">IF(N76&gt;=判定条件!$C$12,"利用可","不可")</f>
        <v>利用可</v>
      </c>
      <c r="P76" s="22" t="str">
        <f aca="false">IF(AND(E76="利用可",G76="利用可",I76="利用可"),"利用可","不可")</f>
        <v>不可</v>
      </c>
      <c r="Q76" s="22" t="str">
        <f aca="false">IF(AND(K76="利用可",M76="利用可",O76="利用可"),"利用可","不可")</f>
        <v>不可</v>
      </c>
      <c r="R76" s="26"/>
    </row>
    <row r="77" customFormat="false" ht="15" hidden="false" customHeight="false" outlineLevel="0" collapsed="false">
      <c r="A77" s="24" t="n">
        <v>46306</v>
      </c>
      <c r="B77" s="25" t="s">
        <v>65</v>
      </c>
      <c r="C77" s="25" t="s">
        <v>64</v>
      </c>
      <c r="D77" s="22" t="n">
        <f aca="false">COUNTIFS(時間ごとの判定!$A$3:$A$1850,$A77,時間ごとの判定!$B$3:$B$1850,"&gt;="&amp;判定条件!$C$10,時間ごとの判定!$B$3:$B$1850,"&lt;="&amp;判定条件!$C$11,時間ごとの判定!$AH$3:$AH$1850,"利用可")</f>
        <v>6</v>
      </c>
      <c r="E77" s="22" t="str">
        <f aca="false">IF(D77&gt;=判定条件!$C$12,"利用可","不可")</f>
        <v>不可</v>
      </c>
      <c r="F77" s="22" t="n">
        <f aca="false">COUNTIFS(時間ごとの判定!$A$3:$A$1850,$A77,時間ごとの判定!$B$3:$B$1850,"&gt;="&amp;判定条件!$C$10,時間ごとの判定!$B$3:$B$1850,"&lt;="&amp;判定条件!$C$11,時間ごとの判定!$AK$3:$AK$1850,"利用可")</f>
        <v>5</v>
      </c>
      <c r="G77" s="22" t="str">
        <f aca="false">IF(F77&gt;=判定条件!$C$12,"利用可","不可")</f>
        <v>不可</v>
      </c>
      <c r="H77" s="22" t="n">
        <f aca="false">COUNTIFS(時間ごとの判定!$A$3:$A$1850,$A77,時間ごとの判定!$B$3:$B$1850,"&gt;="&amp;判定条件!$C$10,時間ごとの判定!$B$3:$B$1850,"&lt;="&amp;判定条件!$C$11,時間ごとの判定!$AN$3:$AN$1850,"利用可")</f>
        <v>3</v>
      </c>
      <c r="I77" s="22" t="str">
        <f aca="false">IF(H77&gt;=判定条件!$C$12,"利用可","不可")</f>
        <v>不可</v>
      </c>
      <c r="J77" s="22" t="n">
        <f aca="false">COUNTIFS(時間ごとの判定!$A$3:$A$1850,$A77,時間ごとの判定!$B$3:$B$1850,"&gt;="&amp;判定条件!$C$10,時間ごとの判定!$B$3:$B$1850,"&lt;="&amp;判定条件!$C$11,時間ごとの判定!$AQ$3:$AQ$1850,"利用可")</f>
        <v>6</v>
      </c>
      <c r="K77" s="22" t="str">
        <f aca="false">IF(J77&gt;=判定条件!$C$12,"利用可","不可")</f>
        <v>不可</v>
      </c>
      <c r="L77" s="22" t="n">
        <f aca="false">COUNTIFS(時間ごとの判定!$A$3:$A$1850,$A77,時間ごとの判定!$B$3:$B$1850,"&gt;="&amp;判定条件!$C$10,時間ごとの判定!$B$3:$B$1850,"&lt;="&amp;判定条件!$C$11,時間ごとの判定!$AT$3:$AT$1850,"利用可")</f>
        <v>6</v>
      </c>
      <c r="M77" s="22" t="str">
        <f aca="false">IF(L77&gt;=判定条件!$C$12,"利用可","不可")</f>
        <v>不可</v>
      </c>
      <c r="N77" s="22" t="n">
        <f aca="false">COUNTIFS(時間ごとの判定!$A$3:$A$1850,$A77,時間ごとの判定!$B$3:$B$1850,"&gt;="&amp;判定条件!$C$10,時間ごとの判定!$B$3:$B$1850,"&lt;="&amp;判定条件!$C$11,時間ごとの判定!$AW$3:$AW$1850,"利用可")</f>
        <v>8</v>
      </c>
      <c r="O77" s="22" t="str">
        <f aca="false">IF(N77&gt;=判定条件!$C$12,"利用可","不可")</f>
        <v>利用可</v>
      </c>
      <c r="P77" s="22" t="str">
        <f aca="false">IF(AND(E77="利用可",G77="利用可",I77="利用可"),"利用可","不可")</f>
        <v>不可</v>
      </c>
      <c r="Q77" s="22" t="str">
        <f aca="false">IF(AND(K77="利用可",M77="利用可",O77="利用可"),"利用可","不可")</f>
        <v>不可</v>
      </c>
      <c r="R77" s="26"/>
    </row>
    <row r="78" customFormat="false" ht="15" hidden="false" customHeight="false" outlineLevel="0" collapsed="false">
      <c r="A78" s="24" t="n">
        <v>46307</v>
      </c>
      <c r="B78" s="25" t="s">
        <v>66</v>
      </c>
      <c r="C78" s="25" t="s">
        <v>76</v>
      </c>
      <c r="D78" s="22" t="n">
        <f aca="false">COUNTIFS(時間ごとの判定!$A$3:$A$1850,$A78,時間ごとの判定!$B$3:$B$1850,"&gt;="&amp;判定条件!$C$10,時間ごとの判定!$B$3:$B$1850,"&lt;="&amp;判定条件!$C$11,時間ごとの判定!$AH$3:$AH$1850,"利用可")</f>
        <v>7</v>
      </c>
      <c r="E78" s="22" t="str">
        <f aca="false">IF(D78&gt;=判定条件!$C$12,"利用可","不可")</f>
        <v>利用可</v>
      </c>
      <c r="F78" s="22" t="n">
        <f aca="false">COUNTIFS(時間ごとの判定!$A$3:$A$1850,$A78,時間ごとの判定!$B$3:$B$1850,"&gt;="&amp;判定条件!$C$10,時間ごとの判定!$B$3:$B$1850,"&lt;="&amp;判定条件!$C$11,時間ごとの判定!$AK$3:$AK$1850,"利用可")</f>
        <v>4</v>
      </c>
      <c r="G78" s="22" t="str">
        <f aca="false">IF(F78&gt;=判定条件!$C$12,"利用可","不可")</f>
        <v>不可</v>
      </c>
      <c r="H78" s="22" t="n">
        <f aca="false">COUNTIFS(時間ごとの判定!$A$3:$A$1850,$A78,時間ごとの判定!$B$3:$B$1850,"&gt;="&amp;判定条件!$C$10,時間ごとの判定!$B$3:$B$1850,"&lt;="&amp;判定条件!$C$11,時間ごとの判定!$AN$3:$AN$1850,"利用可")</f>
        <v>7</v>
      </c>
      <c r="I78" s="22" t="str">
        <f aca="false">IF(H78&gt;=判定条件!$C$12,"利用可","不可")</f>
        <v>利用可</v>
      </c>
      <c r="J78" s="22" t="n">
        <f aca="false">COUNTIFS(時間ごとの判定!$A$3:$A$1850,$A78,時間ごとの判定!$B$3:$B$1850,"&gt;="&amp;判定条件!$C$10,時間ごとの判定!$B$3:$B$1850,"&lt;="&amp;判定条件!$C$11,時間ごとの判定!$AQ$3:$AQ$1850,"利用可")</f>
        <v>7</v>
      </c>
      <c r="K78" s="22" t="str">
        <f aca="false">IF(J78&gt;=判定条件!$C$12,"利用可","不可")</f>
        <v>利用可</v>
      </c>
      <c r="L78" s="22" t="n">
        <f aca="false">COUNTIFS(時間ごとの判定!$A$3:$A$1850,$A78,時間ごとの判定!$B$3:$B$1850,"&gt;="&amp;判定条件!$C$10,時間ごとの判定!$B$3:$B$1850,"&lt;="&amp;判定条件!$C$11,時間ごとの判定!$AT$3:$AT$1850,"利用可")</f>
        <v>6</v>
      </c>
      <c r="M78" s="22" t="str">
        <f aca="false">IF(L78&gt;=判定条件!$C$12,"利用可","不可")</f>
        <v>不可</v>
      </c>
      <c r="N78" s="22" t="n">
        <f aca="false">COUNTIFS(時間ごとの判定!$A$3:$A$1850,$A78,時間ごとの判定!$B$3:$B$1850,"&gt;="&amp;判定条件!$C$10,時間ごとの判定!$B$3:$B$1850,"&lt;="&amp;判定条件!$C$11,時間ごとの判定!$AW$3:$AW$1850,"利用可")</f>
        <v>8</v>
      </c>
      <c r="O78" s="22" t="str">
        <f aca="false">IF(N78&gt;=判定条件!$C$12,"利用可","不可")</f>
        <v>利用可</v>
      </c>
      <c r="P78" s="22" t="str">
        <f aca="false">IF(AND(E78="利用可",G78="利用可",I78="利用可"),"利用可","不可")</f>
        <v>不可</v>
      </c>
      <c r="Q78" s="22" t="str">
        <f aca="false">IF(AND(K78="利用可",M78="利用可",O78="利用可"),"利用可","不可")</f>
        <v>不可</v>
      </c>
      <c r="R78" s="26"/>
    </row>
    <row r="79" customFormat="false" ht="25.35" hidden="false" customHeight="false" outlineLevel="0" collapsed="false">
      <c r="A79" s="20" t="n">
        <v>46308</v>
      </c>
      <c r="B79" s="21" t="s">
        <v>67</v>
      </c>
      <c r="C79" s="21" t="s">
        <v>59</v>
      </c>
      <c r="D79" s="22" t="n">
        <f aca="false">COUNTIFS(時間ごとの判定!$A$3:$A$1850,$A79,時間ごとの判定!$B$3:$B$1850,"&gt;="&amp;判定条件!$C$10,時間ごとの判定!$B$3:$B$1850,"&lt;="&amp;判定条件!$C$11,時間ごとの判定!$AH$3:$AH$1850,"利用可")</f>
        <v>1</v>
      </c>
      <c r="E79" s="22" t="str">
        <f aca="false">IF(D79&gt;=判定条件!$C$12,"利用可","不可")</f>
        <v>不可</v>
      </c>
      <c r="F79" s="22" t="n">
        <f aca="false">COUNTIFS(時間ごとの判定!$A$3:$A$1850,$A79,時間ごとの判定!$B$3:$B$1850,"&gt;="&amp;判定条件!$C$10,時間ごとの判定!$B$3:$B$1850,"&lt;="&amp;判定条件!$C$11,時間ごとの判定!$AK$3:$AK$1850,"利用可")</f>
        <v>2</v>
      </c>
      <c r="G79" s="22" t="str">
        <f aca="false">IF(F79&gt;=判定条件!$C$12,"利用可","不可")</f>
        <v>不可</v>
      </c>
      <c r="H79" s="22" t="n">
        <f aca="false">COUNTIFS(時間ごとの判定!$A$3:$A$1850,$A79,時間ごとの判定!$B$3:$B$1850,"&gt;="&amp;判定条件!$C$10,時間ごとの判定!$B$3:$B$1850,"&lt;="&amp;判定条件!$C$11,時間ごとの判定!$AN$3:$AN$1850,"利用可")</f>
        <v>3</v>
      </c>
      <c r="I79" s="22" t="str">
        <f aca="false">IF(H79&gt;=判定条件!$C$12,"利用可","不可")</f>
        <v>不可</v>
      </c>
      <c r="J79" s="22" t="n">
        <f aca="false">COUNTIFS(時間ごとの判定!$A$3:$A$1850,$A79,時間ごとの判定!$B$3:$B$1850,"&gt;="&amp;判定条件!$C$10,時間ごとの判定!$B$3:$B$1850,"&lt;="&amp;判定条件!$C$11,時間ごとの判定!$AQ$3:$AQ$1850,"利用可")</f>
        <v>2</v>
      </c>
      <c r="K79" s="22" t="str">
        <f aca="false">IF(J79&gt;=判定条件!$C$12,"利用可","不可")</f>
        <v>不可</v>
      </c>
      <c r="L79" s="22" t="n">
        <f aca="false">COUNTIFS(時間ごとの判定!$A$3:$A$1850,$A79,時間ごとの判定!$B$3:$B$1850,"&gt;="&amp;判定条件!$C$10,時間ごとの判定!$B$3:$B$1850,"&lt;="&amp;判定条件!$C$11,時間ごとの判定!$AT$3:$AT$1850,"利用可")</f>
        <v>3</v>
      </c>
      <c r="M79" s="22" t="str">
        <f aca="false">IF(L79&gt;=判定条件!$C$12,"利用可","不可")</f>
        <v>不可</v>
      </c>
      <c r="N79" s="22" t="n">
        <f aca="false">COUNTIFS(時間ごとの判定!$A$3:$A$1850,$A79,時間ごとの判定!$B$3:$B$1850,"&gt;="&amp;判定条件!$C$10,時間ごとの判定!$B$3:$B$1850,"&lt;="&amp;判定条件!$C$11,時間ごとの判定!$AW$3:$AW$1850,"利用可")</f>
        <v>4</v>
      </c>
      <c r="O79" s="22" t="str">
        <f aca="false">IF(N79&gt;=判定条件!$C$12,"利用可","不可")</f>
        <v>不可</v>
      </c>
      <c r="P79" s="22" t="str">
        <f aca="false">IF(AND(E79="利用可",G79="利用可",I79="利用可"),"利用可","不可")</f>
        <v>不可</v>
      </c>
      <c r="Q79" s="22" t="str">
        <f aca="false">IF(AND(K79="利用可",M79="利用可",O79="利用可"),"利用可","不可")</f>
        <v>不可</v>
      </c>
      <c r="R79" s="23" t="s">
        <v>77</v>
      </c>
    </row>
  </sheetData>
  <mergeCells count="12">
    <mergeCell ref="A1:A2"/>
    <mergeCell ref="B1:B2"/>
    <mergeCell ref="C1:C2"/>
    <mergeCell ref="D1:E1"/>
    <mergeCell ref="F1:G1"/>
    <mergeCell ref="H1:I1"/>
    <mergeCell ref="J1:K1"/>
    <mergeCell ref="L1:M1"/>
    <mergeCell ref="N1:O1"/>
    <mergeCell ref="P1:P2"/>
    <mergeCell ref="Q1:Q2"/>
    <mergeCell ref="R1:R2"/>
  </mergeCells>
  <conditionalFormatting sqref="D3:Q79">
    <cfRule type="cellIs" priority="2" operator="equal" aboveAverage="0" equalAverage="0" bottom="0" percent="0" rank="0" text="" dxfId="0">
      <formula>"利用可"</formula>
    </cfRule>
    <cfRule type="cellIs" priority="3" operator="equal" aboveAverage="0" equalAverage="0" bottom="0" percent="0" rank="0" text="" dxfId="1">
      <formula>"不可"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85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6"/>
    <col collapsed="false" customWidth="true" hidden="false" outlineLevel="0" max="4" min="4" style="0" width="8"/>
    <col collapsed="false" customWidth="true" hidden="false" outlineLevel="0" max="6" min="5" style="0" width="7"/>
    <col collapsed="false" customWidth="true" hidden="false" outlineLevel="0" max="7" min="7" style="0" width="8"/>
    <col collapsed="false" customWidth="true" hidden="false" outlineLevel="0" max="9" min="8" style="0" width="7"/>
    <col collapsed="false" customWidth="true" hidden="false" outlineLevel="0" max="10" min="10" style="0" width="8"/>
    <col collapsed="false" customWidth="true" hidden="false" outlineLevel="0" max="12" min="11" style="0" width="7"/>
    <col collapsed="false" customWidth="true" hidden="false" outlineLevel="0" max="13" min="13" style="0" width="8"/>
    <col collapsed="false" customWidth="true" hidden="false" outlineLevel="0" max="15" min="14" style="0" width="7"/>
    <col collapsed="false" customWidth="true" hidden="false" outlineLevel="0" max="16" min="16" style="0" width="8"/>
    <col collapsed="false" customWidth="true" hidden="false" outlineLevel="0" max="18" min="17" style="0" width="7"/>
    <col collapsed="false" customWidth="true" hidden="false" outlineLevel="0" max="19" min="19" style="0" width="8"/>
    <col collapsed="false" customWidth="true" hidden="false" outlineLevel="0" max="21" min="20" style="0" width="7"/>
    <col collapsed="false" customWidth="true" hidden="false" outlineLevel="0" max="22" min="22" style="0" width="8"/>
    <col collapsed="false" customWidth="true" hidden="false" outlineLevel="0" max="24" min="23" style="0" width="7"/>
    <col collapsed="false" customWidth="true" hidden="false" outlineLevel="0" max="25" min="25" style="0" width="8"/>
    <col collapsed="false" customWidth="true" hidden="false" outlineLevel="0" max="27" min="26" style="0" width="7"/>
    <col collapsed="false" customWidth="true" hidden="false" outlineLevel="0" max="28" min="28" style="0" width="8"/>
    <col collapsed="false" customWidth="true" hidden="false" outlineLevel="0" max="30" min="29" style="0" width="7"/>
    <col collapsed="false" customWidth="true" hidden="false" outlineLevel="0" max="33" min="31" style="0" width="8"/>
    <col collapsed="false" customWidth="true" hidden="false" outlineLevel="0" max="34" min="34" style="0" width="14"/>
    <col collapsed="false" customWidth="true" hidden="false" outlineLevel="0" max="36" min="35" style="0" width="8"/>
    <col collapsed="false" customWidth="true" hidden="false" outlineLevel="0" max="37" min="37" style="0" width="14"/>
    <col collapsed="false" customWidth="true" hidden="false" outlineLevel="0" max="39" min="38" style="0" width="8"/>
    <col collapsed="false" customWidth="true" hidden="false" outlineLevel="0" max="40" min="40" style="0" width="14"/>
    <col collapsed="false" customWidth="true" hidden="false" outlineLevel="0" max="42" min="41" style="0" width="8"/>
    <col collapsed="false" customWidth="true" hidden="false" outlineLevel="0" max="43" min="43" style="0" width="14"/>
    <col collapsed="false" customWidth="true" hidden="false" outlineLevel="0" max="45" min="44" style="0" width="8"/>
    <col collapsed="false" customWidth="true" hidden="false" outlineLevel="0" max="46" min="46" style="0" width="14"/>
    <col collapsed="false" customWidth="true" hidden="false" outlineLevel="0" max="48" min="47" style="0" width="8"/>
    <col collapsed="false" customWidth="true" hidden="false" outlineLevel="0" max="49" min="49" style="0" width="14"/>
    <col collapsed="false" customWidth="true" hidden="false" outlineLevel="0" max="51" min="50" style="0" width="12"/>
  </cols>
  <sheetData>
    <row r="1" customFormat="false" ht="15" hidden="false" customHeight="true" outlineLevel="0" collapsed="false">
      <c r="A1" s="3" t="s">
        <v>44</v>
      </c>
      <c r="B1" s="3" t="s">
        <v>78</v>
      </c>
      <c r="C1" s="3" t="s">
        <v>45</v>
      </c>
      <c r="D1" s="3" t="s">
        <v>46</v>
      </c>
      <c r="E1" s="27" t="s">
        <v>79</v>
      </c>
      <c r="F1" s="27"/>
      <c r="G1" s="27"/>
      <c r="H1" s="27" t="s">
        <v>80</v>
      </c>
      <c r="I1" s="27"/>
      <c r="J1" s="27"/>
      <c r="K1" s="27" t="s">
        <v>81</v>
      </c>
      <c r="L1" s="27"/>
      <c r="M1" s="27"/>
      <c r="N1" s="27" t="s">
        <v>82</v>
      </c>
      <c r="O1" s="27"/>
      <c r="P1" s="27"/>
      <c r="Q1" s="27" t="s">
        <v>83</v>
      </c>
      <c r="R1" s="27"/>
      <c r="S1" s="27"/>
      <c r="T1" s="27" t="s">
        <v>84</v>
      </c>
      <c r="U1" s="27"/>
      <c r="V1" s="27"/>
      <c r="W1" s="27" t="s">
        <v>85</v>
      </c>
      <c r="X1" s="27"/>
      <c r="Y1" s="27"/>
      <c r="Z1" s="27" t="s">
        <v>86</v>
      </c>
      <c r="AA1" s="27"/>
      <c r="AB1" s="27"/>
      <c r="AC1" s="27" t="s">
        <v>87</v>
      </c>
      <c r="AD1" s="27"/>
      <c r="AE1" s="27"/>
      <c r="AF1" s="27" t="s">
        <v>88</v>
      </c>
      <c r="AG1" s="27"/>
      <c r="AH1" s="27"/>
      <c r="AI1" s="27" t="s">
        <v>89</v>
      </c>
      <c r="AJ1" s="27"/>
      <c r="AK1" s="27"/>
      <c r="AL1" s="27" t="s">
        <v>90</v>
      </c>
      <c r="AM1" s="27"/>
      <c r="AN1" s="27"/>
      <c r="AO1" s="27" t="s">
        <v>91</v>
      </c>
      <c r="AP1" s="27"/>
      <c r="AQ1" s="27"/>
      <c r="AR1" s="27" t="s">
        <v>92</v>
      </c>
      <c r="AS1" s="27"/>
      <c r="AT1" s="27"/>
      <c r="AU1" s="27" t="s">
        <v>93</v>
      </c>
      <c r="AV1" s="27"/>
      <c r="AW1" s="27"/>
      <c r="AX1" s="19" t="s">
        <v>94</v>
      </c>
      <c r="AY1" s="19" t="s">
        <v>95</v>
      </c>
    </row>
    <row r="2" customFormat="false" ht="42" hidden="false" customHeight="true" outlineLevel="0" collapsed="false">
      <c r="A2" s="3"/>
      <c r="B2" s="3"/>
      <c r="C2" s="3"/>
      <c r="D2" s="3"/>
      <c r="E2" s="3" t="s">
        <v>96</v>
      </c>
      <c r="F2" s="3" t="s">
        <v>97</v>
      </c>
      <c r="G2" s="3" t="s">
        <v>98</v>
      </c>
      <c r="H2" s="3" t="s">
        <v>96</v>
      </c>
      <c r="I2" s="3" t="s">
        <v>97</v>
      </c>
      <c r="J2" s="3" t="s">
        <v>98</v>
      </c>
      <c r="K2" s="3" t="s">
        <v>96</v>
      </c>
      <c r="L2" s="3" t="s">
        <v>97</v>
      </c>
      <c r="M2" s="3" t="s">
        <v>98</v>
      </c>
      <c r="N2" s="3" t="s">
        <v>96</v>
      </c>
      <c r="O2" s="3" t="s">
        <v>97</v>
      </c>
      <c r="P2" s="3" t="s">
        <v>98</v>
      </c>
      <c r="Q2" s="3" t="s">
        <v>96</v>
      </c>
      <c r="R2" s="3" t="s">
        <v>97</v>
      </c>
      <c r="S2" s="3" t="s">
        <v>98</v>
      </c>
      <c r="T2" s="3" t="s">
        <v>96</v>
      </c>
      <c r="U2" s="3" t="s">
        <v>97</v>
      </c>
      <c r="V2" s="3" t="s">
        <v>98</v>
      </c>
      <c r="W2" s="3" t="s">
        <v>96</v>
      </c>
      <c r="X2" s="3" t="s">
        <v>97</v>
      </c>
      <c r="Y2" s="3" t="s">
        <v>98</v>
      </c>
      <c r="Z2" s="3" t="s">
        <v>96</v>
      </c>
      <c r="AA2" s="3" t="s">
        <v>97</v>
      </c>
      <c r="AB2" s="3" t="s">
        <v>98</v>
      </c>
      <c r="AC2" s="3" t="s">
        <v>96</v>
      </c>
      <c r="AD2" s="3" t="s">
        <v>97</v>
      </c>
      <c r="AE2" s="3" t="s">
        <v>98</v>
      </c>
      <c r="AF2" s="28" t="s">
        <v>99</v>
      </c>
      <c r="AG2" s="28" t="s">
        <v>100</v>
      </c>
      <c r="AH2" s="3" t="s">
        <v>98</v>
      </c>
      <c r="AI2" s="28" t="s">
        <v>99</v>
      </c>
      <c r="AJ2" s="28" t="s">
        <v>100</v>
      </c>
      <c r="AK2" s="3" t="s">
        <v>98</v>
      </c>
      <c r="AL2" s="28" t="s">
        <v>99</v>
      </c>
      <c r="AM2" s="28" t="s">
        <v>100</v>
      </c>
      <c r="AN2" s="3" t="s">
        <v>98</v>
      </c>
      <c r="AO2" s="28" t="s">
        <v>99</v>
      </c>
      <c r="AP2" s="28" t="s">
        <v>100</v>
      </c>
      <c r="AQ2" s="3" t="s">
        <v>98</v>
      </c>
      <c r="AR2" s="28" t="s">
        <v>99</v>
      </c>
      <c r="AS2" s="28" t="s">
        <v>100</v>
      </c>
      <c r="AT2" s="3" t="s">
        <v>98</v>
      </c>
      <c r="AU2" s="28" t="s">
        <v>99</v>
      </c>
      <c r="AV2" s="28" t="s">
        <v>100</v>
      </c>
      <c r="AW2" s="3" t="s">
        <v>98</v>
      </c>
      <c r="AX2" s="19"/>
      <c r="AY2" s="19"/>
    </row>
    <row r="3" customFormat="false" ht="15" hidden="false" customHeight="false" outlineLevel="0" collapsed="false">
      <c r="A3" s="29" t="n">
        <v>46232</v>
      </c>
      <c r="B3" s="30" t="n">
        <v>0</v>
      </c>
      <c r="C3" s="31" t="s">
        <v>58</v>
      </c>
      <c r="D3" s="31" t="s">
        <v>59</v>
      </c>
      <c r="E3" s="30" t="n">
        <v>0</v>
      </c>
      <c r="F3" s="30" t="n">
        <v>0</v>
      </c>
      <c r="G3" s="30" t="str">
        <f aca="false">IF(E3&lt;判定条件!$C$6,"判定不能",IF(F3&gt;=判定条件!$C$7*E3,"運転",IF(F3&lt;=判定条件!$C$8*E3,"停止","断続")))</f>
        <v>判定不能</v>
      </c>
      <c r="H3" s="30" t="n">
        <v>0</v>
      </c>
      <c r="I3" s="30" t="n">
        <v>0</v>
      </c>
      <c r="J3" s="30" t="str">
        <f aca="false">IF(H3&lt;判定条件!$C$6,"判定不能",IF(I3&gt;=判定条件!$C$7*H3,"運転",IF(I3&lt;=判定条件!$C$8*H3,"停止","断続")))</f>
        <v>判定不能</v>
      </c>
      <c r="K3" s="30" t="n">
        <v>0</v>
      </c>
      <c r="L3" s="30" t="n">
        <v>0</v>
      </c>
      <c r="M3" s="30" t="str">
        <f aca="false">IF(K3&lt;判定条件!$C$6,"判定不能",IF(L3&gt;=判定条件!$C$7*K3,"運転",IF(L3&lt;=判定条件!$C$8*K3,"停止","断続")))</f>
        <v>判定不能</v>
      </c>
      <c r="N3" s="30" t="n">
        <v>0</v>
      </c>
      <c r="O3" s="30" t="n">
        <v>0</v>
      </c>
      <c r="P3" s="30" t="str">
        <f aca="false">IF(N3&lt;判定条件!$C$6,"判定不能",IF(O3&gt;=判定条件!$C$7*N3,"運転",IF(O3&lt;=判定条件!$C$8*N3,"停止","断続")))</f>
        <v>判定不能</v>
      </c>
      <c r="Q3" s="30" t="n">
        <v>0</v>
      </c>
      <c r="R3" s="30" t="n">
        <v>0</v>
      </c>
      <c r="S3" s="30" t="str">
        <f aca="false">IF(Q3&lt;判定条件!$C$6,"判定不能",IF(R3&gt;=判定条件!$C$7*Q3,"運転",IF(R3&lt;=判定条件!$C$8*Q3,"停止","断続")))</f>
        <v>判定不能</v>
      </c>
      <c r="T3" s="30" t="n">
        <v>0</v>
      </c>
      <c r="U3" s="30" t="n">
        <v>0</v>
      </c>
      <c r="V3" s="30" t="str">
        <f aca="false">IF(T3&lt;判定条件!$C$6,"判定不能",IF(U3&gt;=判定条件!$C$7*T3,"運転",IF(U3&lt;=判定条件!$C$8*T3,"停止","断続")))</f>
        <v>判定不能</v>
      </c>
      <c r="W3" s="30" t="n">
        <v>0</v>
      </c>
      <c r="X3" s="30" t="n">
        <v>0</v>
      </c>
      <c r="Y3" s="30" t="str">
        <f aca="false">IF(W3&lt;判定条件!$C$6,"判定不能",IF(X3&gt;=判定条件!$C$7*W3,"運転",IF(X3&lt;=判定条件!$C$8*W3,"停止","断続")))</f>
        <v>判定不能</v>
      </c>
      <c r="Z3" s="30" t="n">
        <v>0</v>
      </c>
      <c r="AA3" s="30" t="n">
        <v>0</v>
      </c>
      <c r="AB3" s="30" t="str">
        <f aca="false">IF(Z3&lt;判定条件!$C$6,"判定不能",IF(AA3&gt;=判定条件!$C$7*Z3,"運転",IF(AA3&lt;=判定条件!$C$8*Z3,"停止","断続")))</f>
        <v>判定不能</v>
      </c>
      <c r="AC3" s="30" t="n">
        <v>0</v>
      </c>
      <c r="AD3" s="30" t="n">
        <v>0</v>
      </c>
      <c r="AE3" s="30" t="str">
        <f aca="false">IF(AC3&lt;判定条件!$C$6,"判定不能",IF(AD3&gt;=判定条件!$C$7*AC3,"運転",IF(AD3&lt;=判定条件!$C$8*AC3,"停止","断続")))</f>
        <v>判定不能</v>
      </c>
      <c r="AF3" s="30" t="n">
        <v>0</v>
      </c>
      <c r="AG3" s="30" t="n">
        <v>0</v>
      </c>
      <c r="AH3" s="30" t="str">
        <f aca="false">IF(OR(P3="判定不能",G3="判定不能"),"判定不能",IF(AG3&gt;=判定条件!$C$9,"利用可",IF(AND(P3="停止",G3="停止"),"両方停止","運転がそろわない")))</f>
        <v>判定不能</v>
      </c>
      <c r="AI3" s="30" t="n">
        <v>0</v>
      </c>
      <c r="AJ3" s="30" t="n">
        <v>0</v>
      </c>
      <c r="AK3" s="30" t="str">
        <f aca="false">IF(OR(S3="判定不能",J3="判定不能"),"判定不能",IF(AJ3&gt;=判定条件!$C$9,"利用可",IF(AND(S3="停止",J3="停止"),"両方停止","運転がそろわない")))</f>
        <v>判定不能</v>
      </c>
      <c r="AL3" s="30" t="n">
        <v>0</v>
      </c>
      <c r="AM3" s="30" t="n">
        <v>0</v>
      </c>
      <c r="AN3" s="30" t="str">
        <f aca="false">IF(OR(V3="判定不能",M3="判定不能"),"判定不能",IF(AM3&gt;=判定条件!$C$9,"利用可",IF(AND(V3="停止",M3="停止"),"両方停止","運転がそろわない")))</f>
        <v>判定不能</v>
      </c>
      <c r="AO3" s="30" t="n">
        <v>0</v>
      </c>
      <c r="AP3" s="30" t="n">
        <v>0</v>
      </c>
      <c r="AQ3" s="30" t="str">
        <f aca="false">IF(OR(Y3="判定不能",G3="判定不能"),"判定不能",IF(AP3&gt;=判定条件!$C$9,"利用可",IF(AND(Y3="停止",G3="停止"),"両方停止","運転がそろわない")))</f>
        <v>判定不能</v>
      </c>
      <c r="AR3" s="30" t="n">
        <v>0</v>
      </c>
      <c r="AS3" s="30" t="n">
        <v>0</v>
      </c>
      <c r="AT3" s="30" t="str">
        <f aca="false">IF(OR(AB3="判定不能",J3="判定不能"),"判定不能",IF(AS3&gt;=判定条件!$C$9,"利用可",IF(AND(AB3="停止",J3="停止"),"両方停止","運転がそろわない")))</f>
        <v>判定不能</v>
      </c>
      <c r="AU3" s="30" t="n">
        <v>0</v>
      </c>
      <c r="AV3" s="30" t="n">
        <v>0</v>
      </c>
      <c r="AW3" s="30" t="str">
        <f aca="false">IF(OR(AE3="判定不能",M3="判定不能"),"判定不能",IF(AV3&gt;=判定条件!$C$9,"利用可",IF(AND(AE3="停止",M3="停止"),"両方停止","運転がそろわない")))</f>
        <v>判定不能</v>
      </c>
      <c r="AX3" s="30" t="str">
        <f aca="false">IF(AND(AH3="利用可",AK3="利用可",AN3="利用可"),"利用可","不可")</f>
        <v>不可</v>
      </c>
      <c r="AY3" s="30" t="str">
        <f aca="false">IF(AND(AQ3="利用可",AT3="利用可",AW3="利用可"),"利用可","不可")</f>
        <v>不可</v>
      </c>
    </row>
    <row r="4" customFormat="false" ht="15" hidden="false" customHeight="false" outlineLevel="0" collapsed="false">
      <c r="A4" s="29" t="n">
        <v>46232</v>
      </c>
      <c r="B4" s="30" t="n">
        <v>1</v>
      </c>
      <c r="C4" s="31" t="s">
        <v>58</v>
      </c>
      <c r="D4" s="31" t="s">
        <v>59</v>
      </c>
      <c r="E4" s="30" t="n">
        <v>0</v>
      </c>
      <c r="F4" s="30" t="n">
        <v>0</v>
      </c>
      <c r="G4" s="30" t="str">
        <f aca="false">IF(E4&lt;判定条件!$C$6,"判定不能",IF(F4&gt;=判定条件!$C$7*E4,"運転",IF(F4&lt;=判定条件!$C$8*E4,"停止","断続")))</f>
        <v>判定不能</v>
      </c>
      <c r="H4" s="30" t="n">
        <v>0</v>
      </c>
      <c r="I4" s="30" t="n">
        <v>0</v>
      </c>
      <c r="J4" s="30" t="str">
        <f aca="false">IF(H4&lt;判定条件!$C$6,"判定不能",IF(I4&gt;=判定条件!$C$7*H4,"運転",IF(I4&lt;=判定条件!$C$8*H4,"停止","断続")))</f>
        <v>判定不能</v>
      </c>
      <c r="K4" s="30" t="n">
        <v>0</v>
      </c>
      <c r="L4" s="30" t="n">
        <v>0</v>
      </c>
      <c r="M4" s="30" t="str">
        <f aca="false">IF(K4&lt;判定条件!$C$6,"判定不能",IF(L4&gt;=判定条件!$C$7*K4,"運転",IF(L4&lt;=判定条件!$C$8*K4,"停止","断続")))</f>
        <v>判定不能</v>
      </c>
      <c r="N4" s="30" t="n">
        <v>0</v>
      </c>
      <c r="O4" s="30" t="n">
        <v>0</v>
      </c>
      <c r="P4" s="30" t="str">
        <f aca="false">IF(N4&lt;判定条件!$C$6,"判定不能",IF(O4&gt;=判定条件!$C$7*N4,"運転",IF(O4&lt;=判定条件!$C$8*N4,"停止","断続")))</f>
        <v>判定不能</v>
      </c>
      <c r="Q4" s="30" t="n">
        <v>0</v>
      </c>
      <c r="R4" s="30" t="n">
        <v>0</v>
      </c>
      <c r="S4" s="30" t="str">
        <f aca="false">IF(Q4&lt;判定条件!$C$6,"判定不能",IF(R4&gt;=判定条件!$C$7*Q4,"運転",IF(R4&lt;=判定条件!$C$8*Q4,"停止","断続")))</f>
        <v>判定不能</v>
      </c>
      <c r="T4" s="30" t="n">
        <v>0</v>
      </c>
      <c r="U4" s="30" t="n">
        <v>0</v>
      </c>
      <c r="V4" s="30" t="str">
        <f aca="false">IF(T4&lt;判定条件!$C$6,"判定不能",IF(U4&gt;=判定条件!$C$7*T4,"運転",IF(U4&lt;=判定条件!$C$8*T4,"停止","断続")))</f>
        <v>判定不能</v>
      </c>
      <c r="W4" s="30" t="n">
        <v>0</v>
      </c>
      <c r="X4" s="30" t="n">
        <v>0</v>
      </c>
      <c r="Y4" s="30" t="str">
        <f aca="false">IF(W4&lt;判定条件!$C$6,"判定不能",IF(X4&gt;=判定条件!$C$7*W4,"運転",IF(X4&lt;=判定条件!$C$8*W4,"停止","断続")))</f>
        <v>判定不能</v>
      </c>
      <c r="Z4" s="30" t="n">
        <v>0</v>
      </c>
      <c r="AA4" s="30" t="n">
        <v>0</v>
      </c>
      <c r="AB4" s="30" t="str">
        <f aca="false">IF(Z4&lt;判定条件!$C$6,"判定不能",IF(AA4&gt;=判定条件!$C$7*Z4,"運転",IF(AA4&lt;=判定条件!$C$8*Z4,"停止","断続")))</f>
        <v>判定不能</v>
      </c>
      <c r="AC4" s="30" t="n">
        <v>0</v>
      </c>
      <c r="AD4" s="30" t="n">
        <v>0</v>
      </c>
      <c r="AE4" s="30" t="str">
        <f aca="false">IF(AC4&lt;判定条件!$C$6,"判定不能",IF(AD4&gt;=判定条件!$C$7*AC4,"運転",IF(AD4&lt;=判定条件!$C$8*AC4,"停止","断続")))</f>
        <v>判定不能</v>
      </c>
      <c r="AF4" s="30" t="n">
        <v>0</v>
      </c>
      <c r="AG4" s="30" t="n">
        <v>0</v>
      </c>
      <c r="AH4" s="30" t="str">
        <f aca="false">IF(OR(P4="判定不能",G4="判定不能"),"判定不能",IF(AG4&gt;=判定条件!$C$9,"利用可",IF(AND(P4="停止",G4="停止"),"両方停止","運転がそろわない")))</f>
        <v>判定不能</v>
      </c>
      <c r="AI4" s="30" t="n">
        <v>0</v>
      </c>
      <c r="AJ4" s="30" t="n">
        <v>0</v>
      </c>
      <c r="AK4" s="30" t="str">
        <f aca="false">IF(OR(S4="判定不能",J4="判定不能"),"判定不能",IF(AJ4&gt;=判定条件!$C$9,"利用可",IF(AND(S4="停止",J4="停止"),"両方停止","運転がそろわない")))</f>
        <v>判定不能</v>
      </c>
      <c r="AL4" s="30" t="n">
        <v>0</v>
      </c>
      <c r="AM4" s="30" t="n">
        <v>0</v>
      </c>
      <c r="AN4" s="30" t="str">
        <f aca="false">IF(OR(V4="判定不能",M4="判定不能"),"判定不能",IF(AM4&gt;=判定条件!$C$9,"利用可",IF(AND(V4="停止",M4="停止"),"両方停止","運転がそろわない")))</f>
        <v>判定不能</v>
      </c>
      <c r="AO4" s="30" t="n">
        <v>0</v>
      </c>
      <c r="AP4" s="30" t="n">
        <v>0</v>
      </c>
      <c r="AQ4" s="30" t="str">
        <f aca="false">IF(OR(Y4="判定不能",G4="判定不能"),"判定不能",IF(AP4&gt;=判定条件!$C$9,"利用可",IF(AND(Y4="停止",G4="停止"),"両方停止","運転がそろわない")))</f>
        <v>判定不能</v>
      </c>
      <c r="AR4" s="30" t="n">
        <v>0</v>
      </c>
      <c r="AS4" s="30" t="n">
        <v>0</v>
      </c>
      <c r="AT4" s="30" t="str">
        <f aca="false">IF(OR(AB4="判定不能",J4="判定不能"),"判定不能",IF(AS4&gt;=判定条件!$C$9,"利用可",IF(AND(AB4="停止",J4="停止"),"両方停止","運転がそろわない")))</f>
        <v>判定不能</v>
      </c>
      <c r="AU4" s="30" t="n">
        <v>0</v>
      </c>
      <c r="AV4" s="30" t="n">
        <v>0</v>
      </c>
      <c r="AW4" s="30" t="str">
        <f aca="false">IF(OR(AE4="判定不能",M4="判定不能"),"判定不能",IF(AV4&gt;=判定条件!$C$9,"利用可",IF(AND(AE4="停止",M4="停止"),"両方停止","運転がそろわない")))</f>
        <v>判定不能</v>
      </c>
      <c r="AX4" s="30" t="str">
        <f aca="false">IF(AND(AH4="利用可",AK4="利用可",AN4="利用可"),"利用可","不可")</f>
        <v>不可</v>
      </c>
      <c r="AY4" s="30" t="str">
        <f aca="false">IF(AND(AQ4="利用可",AT4="利用可",AW4="利用可"),"利用可","不可")</f>
        <v>不可</v>
      </c>
    </row>
    <row r="5" customFormat="false" ht="15" hidden="false" customHeight="false" outlineLevel="0" collapsed="false">
      <c r="A5" s="29" t="n">
        <v>46232</v>
      </c>
      <c r="B5" s="30" t="n">
        <v>2</v>
      </c>
      <c r="C5" s="31" t="s">
        <v>58</v>
      </c>
      <c r="D5" s="31" t="s">
        <v>59</v>
      </c>
      <c r="E5" s="30" t="n">
        <v>0</v>
      </c>
      <c r="F5" s="30" t="n">
        <v>0</v>
      </c>
      <c r="G5" s="30" t="str">
        <f aca="false">IF(E5&lt;判定条件!$C$6,"判定不能",IF(F5&gt;=判定条件!$C$7*E5,"運転",IF(F5&lt;=判定条件!$C$8*E5,"停止","断続")))</f>
        <v>判定不能</v>
      </c>
      <c r="H5" s="30" t="n">
        <v>0</v>
      </c>
      <c r="I5" s="30" t="n">
        <v>0</v>
      </c>
      <c r="J5" s="30" t="str">
        <f aca="false">IF(H5&lt;判定条件!$C$6,"判定不能",IF(I5&gt;=判定条件!$C$7*H5,"運転",IF(I5&lt;=判定条件!$C$8*H5,"停止","断続")))</f>
        <v>判定不能</v>
      </c>
      <c r="K5" s="30" t="n">
        <v>0</v>
      </c>
      <c r="L5" s="30" t="n">
        <v>0</v>
      </c>
      <c r="M5" s="30" t="str">
        <f aca="false">IF(K5&lt;判定条件!$C$6,"判定不能",IF(L5&gt;=判定条件!$C$7*K5,"運転",IF(L5&lt;=判定条件!$C$8*K5,"停止","断続")))</f>
        <v>判定不能</v>
      </c>
      <c r="N5" s="30" t="n">
        <v>0</v>
      </c>
      <c r="O5" s="30" t="n">
        <v>0</v>
      </c>
      <c r="P5" s="30" t="str">
        <f aca="false">IF(N5&lt;判定条件!$C$6,"判定不能",IF(O5&gt;=判定条件!$C$7*N5,"運転",IF(O5&lt;=判定条件!$C$8*N5,"停止","断続")))</f>
        <v>判定不能</v>
      </c>
      <c r="Q5" s="30" t="n">
        <v>0</v>
      </c>
      <c r="R5" s="30" t="n">
        <v>0</v>
      </c>
      <c r="S5" s="30" t="str">
        <f aca="false">IF(Q5&lt;判定条件!$C$6,"判定不能",IF(R5&gt;=判定条件!$C$7*Q5,"運転",IF(R5&lt;=判定条件!$C$8*Q5,"停止","断続")))</f>
        <v>判定不能</v>
      </c>
      <c r="T5" s="30" t="n">
        <v>0</v>
      </c>
      <c r="U5" s="30" t="n">
        <v>0</v>
      </c>
      <c r="V5" s="30" t="str">
        <f aca="false">IF(T5&lt;判定条件!$C$6,"判定不能",IF(U5&gt;=判定条件!$C$7*T5,"運転",IF(U5&lt;=判定条件!$C$8*T5,"停止","断続")))</f>
        <v>判定不能</v>
      </c>
      <c r="W5" s="30" t="n">
        <v>0</v>
      </c>
      <c r="X5" s="30" t="n">
        <v>0</v>
      </c>
      <c r="Y5" s="30" t="str">
        <f aca="false">IF(W5&lt;判定条件!$C$6,"判定不能",IF(X5&gt;=判定条件!$C$7*W5,"運転",IF(X5&lt;=判定条件!$C$8*W5,"停止","断続")))</f>
        <v>判定不能</v>
      </c>
      <c r="Z5" s="30" t="n">
        <v>0</v>
      </c>
      <c r="AA5" s="30" t="n">
        <v>0</v>
      </c>
      <c r="AB5" s="30" t="str">
        <f aca="false">IF(Z5&lt;判定条件!$C$6,"判定不能",IF(AA5&gt;=判定条件!$C$7*Z5,"運転",IF(AA5&lt;=判定条件!$C$8*Z5,"停止","断続")))</f>
        <v>判定不能</v>
      </c>
      <c r="AC5" s="30" t="n">
        <v>0</v>
      </c>
      <c r="AD5" s="30" t="n">
        <v>0</v>
      </c>
      <c r="AE5" s="30" t="str">
        <f aca="false">IF(AC5&lt;判定条件!$C$6,"判定不能",IF(AD5&gt;=判定条件!$C$7*AC5,"運転",IF(AD5&lt;=判定条件!$C$8*AC5,"停止","断続")))</f>
        <v>判定不能</v>
      </c>
      <c r="AF5" s="30" t="n">
        <v>0</v>
      </c>
      <c r="AG5" s="30" t="n">
        <v>0</v>
      </c>
      <c r="AH5" s="30" t="str">
        <f aca="false">IF(OR(P5="判定不能",G5="判定不能"),"判定不能",IF(AG5&gt;=判定条件!$C$9,"利用可",IF(AND(P5="停止",G5="停止"),"両方停止","運転がそろわない")))</f>
        <v>判定不能</v>
      </c>
      <c r="AI5" s="30" t="n">
        <v>0</v>
      </c>
      <c r="AJ5" s="30" t="n">
        <v>0</v>
      </c>
      <c r="AK5" s="30" t="str">
        <f aca="false">IF(OR(S5="判定不能",J5="判定不能"),"判定不能",IF(AJ5&gt;=判定条件!$C$9,"利用可",IF(AND(S5="停止",J5="停止"),"両方停止","運転がそろわない")))</f>
        <v>判定不能</v>
      </c>
      <c r="AL5" s="30" t="n">
        <v>0</v>
      </c>
      <c r="AM5" s="30" t="n">
        <v>0</v>
      </c>
      <c r="AN5" s="30" t="str">
        <f aca="false">IF(OR(V5="判定不能",M5="判定不能"),"判定不能",IF(AM5&gt;=判定条件!$C$9,"利用可",IF(AND(V5="停止",M5="停止"),"両方停止","運転がそろわない")))</f>
        <v>判定不能</v>
      </c>
      <c r="AO5" s="30" t="n">
        <v>0</v>
      </c>
      <c r="AP5" s="30" t="n">
        <v>0</v>
      </c>
      <c r="AQ5" s="30" t="str">
        <f aca="false">IF(OR(Y5="判定不能",G5="判定不能"),"判定不能",IF(AP5&gt;=判定条件!$C$9,"利用可",IF(AND(Y5="停止",G5="停止"),"両方停止","運転がそろわない")))</f>
        <v>判定不能</v>
      </c>
      <c r="AR5" s="30" t="n">
        <v>0</v>
      </c>
      <c r="AS5" s="30" t="n">
        <v>0</v>
      </c>
      <c r="AT5" s="30" t="str">
        <f aca="false">IF(OR(AB5="判定不能",J5="判定不能"),"判定不能",IF(AS5&gt;=判定条件!$C$9,"利用可",IF(AND(AB5="停止",J5="停止"),"両方停止","運転がそろわない")))</f>
        <v>判定不能</v>
      </c>
      <c r="AU5" s="30" t="n">
        <v>0</v>
      </c>
      <c r="AV5" s="30" t="n">
        <v>0</v>
      </c>
      <c r="AW5" s="30" t="str">
        <f aca="false">IF(OR(AE5="判定不能",M5="判定不能"),"判定不能",IF(AV5&gt;=判定条件!$C$9,"利用可",IF(AND(AE5="停止",M5="停止"),"両方停止","運転がそろわない")))</f>
        <v>判定不能</v>
      </c>
      <c r="AX5" s="30" t="str">
        <f aca="false">IF(AND(AH5="利用可",AK5="利用可",AN5="利用可"),"利用可","不可")</f>
        <v>不可</v>
      </c>
      <c r="AY5" s="30" t="str">
        <f aca="false">IF(AND(AQ5="利用可",AT5="利用可",AW5="利用可"),"利用可","不可")</f>
        <v>不可</v>
      </c>
    </row>
    <row r="6" customFormat="false" ht="15" hidden="false" customHeight="false" outlineLevel="0" collapsed="false">
      <c r="A6" s="29" t="n">
        <v>46232</v>
      </c>
      <c r="B6" s="30" t="n">
        <v>3</v>
      </c>
      <c r="C6" s="31" t="s">
        <v>58</v>
      </c>
      <c r="D6" s="31" t="s">
        <v>59</v>
      </c>
      <c r="E6" s="30" t="n">
        <v>0</v>
      </c>
      <c r="F6" s="30" t="n">
        <v>0</v>
      </c>
      <c r="G6" s="30" t="str">
        <f aca="false">IF(E6&lt;判定条件!$C$6,"判定不能",IF(F6&gt;=判定条件!$C$7*E6,"運転",IF(F6&lt;=判定条件!$C$8*E6,"停止","断続")))</f>
        <v>判定不能</v>
      </c>
      <c r="H6" s="30" t="n">
        <v>0</v>
      </c>
      <c r="I6" s="30" t="n">
        <v>0</v>
      </c>
      <c r="J6" s="30" t="str">
        <f aca="false">IF(H6&lt;判定条件!$C$6,"判定不能",IF(I6&gt;=判定条件!$C$7*H6,"運転",IF(I6&lt;=判定条件!$C$8*H6,"停止","断続")))</f>
        <v>判定不能</v>
      </c>
      <c r="K6" s="30" t="n">
        <v>0</v>
      </c>
      <c r="L6" s="30" t="n">
        <v>0</v>
      </c>
      <c r="M6" s="30" t="str">
        <f aca="false">IF(K6&lt;判定条件!$C$6,"判定不能",IF(L6&gt;=判定条件!$C$7*K6,"運転",IF(L6&lt;=判定条件!$C$8*K6,"停止","断続")))</f>
        <v>判定不能</v>
      </c>
      <c r="N6" s="30" t="n">
        <v>0</v>
      </c>
      <c r="O6" s="30" t="n">
        <v>0</v>
      </c>
      <c r="P6" s="30" t="str">
        <f aca="false">IF(N6&lt;判定条件!$C$6,"判定不能",IF(O6&gt;=判定条件!$C$7*N6,"運転",IF(O6&lt;=判定条件!$C$8*N6,"停止","断続")))</f>
        <v>判定不能</v>
      </c>
      <c r="Q6" s="30" t="n">
        <v>0</v>
      </c>
      <c r="R6" s="30" t="n">
        <v>0</v>
      </c>
      <c r="S6" s="30" t="str">
        <f aca="false">IF(Q6&lt;判定条件!$C$6,"判定不能",IF(R6&gt;=判定条件!$C$7*Q6,"運転",IF(R6&lt;=判定条件!$C$8*Q6,"停止","断続")))</f>
        <v>判定不能</v>
      </c>
      <c r="T6" s="30" t="n">
        <v>0</v>
      </c>
      <c r="U6" s="30" t="n">
        <v>0</v>
      </c>
      <c r="V6" s="30" t="str">
        <f aca="false">IF(T6&lt;判定条件!$C$6,"判定不能",IF(U6&gt;=判定条件!$C$7*T6,"運転",IF(U6&lt;=判定条件!$C$8*T6,"停止","断続")))</f>
        <v>判定不能</v>
      </c>
      <c r="W6" s="30" t="n">
        <v>0</v>
      </c>
      <c r="X6" s="30" t="n">
        <v>0</v>
      </c>
      <c r="Y6" s="30" t="str">
        <f aca="false">IF(W6&lt;判定条件!$C$6,"判定不能",IF(X6&gt;=判定条件!$C$7*W6,"運転",IF(X6&lt;=判定条件!$C$8*W6,"停止","断続")))</f>
        <v>判定不能</v>
      </c>
      <c r="Z6" s="30" t="n">
        <v>0</v>
      </c>
      <c r="AA6" s="30" t="n">
        <v>0</v>
      </c>
      <c r="AB6" s="30" t="str">
        <f aca="false">IF(Z6&lt;判定条件!$C$6,"判定不能",IF(AA6&gt;=判定条件!$C$7*Z6,"運転",IF(AA6&lt;=判定条件!$C$8*Z6,"停止","断続")))</f>
        <v>判定不能</v>
      </c>
      <c r="AC6" s="30" t="n">
        <v>0</v>
      </c>
      <c r="AD6" s="30" t="n">
        <v>0</v>
      </c>
      <c r="AE6" s="30" t="str">
        <f aca="false">IF(AC6&lt;判定条件!$C$6,"判定不能",IF(AD6&gt;=判定条件!$C$7*AC6,"運転",IF(AD6&lt;=判定条件!$C$8*AC6,"停止","断続")))</f>
        <v>判定不能</v>
      </c>
      <c r="AF6" s="30" t="n">
        <v>0</v>
      </c>
      <c r="AG6" s="30" t="n">
        <v>0</v>
      </c>
      <c r="AH6" s="30" t="str">
        <f aca="false">IF(OR(P6="判定不能",G6="判定不能"),"判定不能",IF(AG6&gt;=判定条件!$C$9,"利用可",IF(AND(P6="停止",G6="停止"),"両方停止","運転がそろわない")))</f>
        <v>判定不能</v>
      </c>
      <c r="AI6" s="30" t="n">
        <v>0</v>
      </c>
      <c r="AJ6" s="30" t="n">
        <v>0</v>
      </c>
      <c r="AK6" s="30" t="str">
        <f aca="false">IF(OR(S6="判定不能",J6="判定不能"),"判定不能",IF(AJ6&gt;=判定条件!$C$9,"利用可",IF(AND(S6="停止",J6="停止"),"両方停止","運転がそろわない")))</f>
        <v>判定不能</v>
      </c>
      <c r="AL6" s="30" t="n">
        <v>0</v>
      </c>
      <c r="AM6" s="30" t="n">
        <v>0</v>
      </c>
      <c r="AN6" s="30" t="str">
        <f aca="false">IF(OR(V6="判定不能",M6="判定不能"),"判定不能",IF(AM6&gt;=判定条件!$C$9,"利用可",IF(AND(V6="停止",M6="停止"),"両方停止","運転がそろわない")))</f>
        <v>判定不能</v>
      </c>
      <c r="AO6" s="30" t="n">
        <v>0</v>
      </c>
      <c r="AP6" s="30" t="n">
        <v>0</v>
      </c>
      <c r="AQ6" s="30" t="str">
        <f aca="false">IF(OR(Y6="判定不能",G6="判定不能"),"判定不能",IF(AP6&gt;=判定条件!$C$9,"利用可",IF(AND(Y6="停止",G6="停止"),"両方停止","運転がそろわない")))</f>
        <v>判定不能</v>
      </c>
      <c r="AR6" s="30" t="n">
        <v>0</v>
      </c>
      <c r="AS6" s="30" t="n">
        <v>0</v>
      </c>
      <c r="AT6" s="30" t="str">
        <f aca="false">IF(OR(AB6="判定不能",J6="判定不能"),"判定不能",IF(AS6&gt;=判定条件!$C$9,"利用可",IF(AND(AB6="停止",J6="停止"),"両方停止","運転がそろわない")))</f>
        <v>判定不能</v>
      </c>
      <c r="AU6" s="30" t="n">
        <v>0</v>
      </c>
      <c r="AV6" s="30" t="n">
        <v>0</v>
      </c>
      <c r="AW6" s="30" t="str">
        <f aca="false">IF(OR(AE6="判定不能",M6="判定不能"),"判定不能",IF(AV6&gt;=判定条件!$C$9,"利用可",IF(AND(AE6="停止",M6="停止"),"両方停止","運転がそろわない")))</f>
        <v>判定不能</v>
      </c>
      <c r="AX6" s="30" t="str">
        <f aca="false">IF(AND(AH6="利用可",AK6="利用可",AN6="利用可"),"利用可","不可")</f>
        <v>不可</v>
      </c>
      <c r="AY6" s="30" t="str">
        <f aca="false">IF(AND(AQ6="利用可",AT6="利用可",AW6="利用可"),"利用可","不可")</f>
        <v>不可</v>
      </c>
    </row>
    <row r="7" customFormat="false" ht="15" hidden="false" customHeight="false" outlineLevel="0" collapsed="false">
      <c r="A7" s="29" t="n">
        <v>46232</v>
      </c>
      <c r="B7" s="30" t="n">
        <v>4</v>
      </c>
      <c r="C7" s="31" t="s">
        <v>58</v>
      </c>
      <c r="D7" s="31" t="s">
        <v>59</v>
      </c>
      <c r="E7" s="30" t="n">
        <v>0</v>
      </c>
      <c r="F7" s="30" t="n">
        <v>0</v>
      </c>
      <c r="G7" s="30" t="str">
        <f aca="false">IF(E7&lt;判定条件!$C$6,"判定不能",IF(F7&gt;=判定条件!$C$7*E7,"運転",IF(F7&lt;=判定条件!$C$8*E7,"停止","断続")))</f>
        <v>判定不能</v>
      </c>
      <c r="H7" s="30" t="n">
        <v>0</v>
      </c>
      <c r="I7" s="30" t="n">
        <v>0</v>
      </c>
      <c r="J7" s="30" t="str">
        <f aca="false">IF(H7&lt;判定条件!$C$6,"判定不能",IF(I7&gt;=判定条件!$C$7*H7,"運転",IF(I7&lt;=判定条件!$C$8*H7,"停止","断続")))</f>
        <v>判定不能</v>
      </c>
      <c r="K7" s="30" t="n">
        <v>0</v>
      </c>
      <c r="L7" s="30" t="n">
        <v>0</v>
      </c>
      <c r="M7" s="30" t="str">
        <f aca="false">IF(K7&lt;判定条件!$C$6,"判定不能",IF(L7&gt;=判定条件!$C$7*K7,"運転",IF(L7&lt;=判定条件!$C$8*K7,"停止","断続")))</f>
        <v>判定不能</v>
      </c>
      <c r="N7" s="30" t="n">
        <v>0</v>
      </c>
      <c r="O7" s="30" t="n">
        <v>0</v>
      </c>
      <c r="P7" s="30" t="str">
        <f aca="false">IF(N7&lt;判定条件!$C$6,"判定不能",IF(O7&gt;=判定条件!$C$7*N7,"運転",IF(O7&lt;=判定条件!$C$8*N7,"停止","断続")))</f>
        <v>判定不能</v>
      </c>
      <c r="Q7" s="30" t="n">
        <v>0</v>
      </c>
      <c r="R7" s="30" t="n">
        <v>0</v>
      </c>
      <c r="S7" s="30" t="str">
        <f aca="false">IF(Q7&lt;判定条件!$C$6,"判定不能",IF(R7&gt;=判定条件!$C$7*Q7,"運転",IF(R7&lt;=判定条件!$C$8*Q7,"停止","断続")))</f>
        <v>判定不能</v>
      </c>
      <c r="T7" s="30" t="n">
        <v>0</v>
      </c>
      <c r="U7" s="30" t="n">
        <v>0</v>
      </c>
      <c r="V7" s="30" t="str">
        <f aca="false">IF(T7&lt;判定条件!$C$6,"判定不能",IF(U7&gt;=判定条件!$C$7*T7,"運転",IF(U7&lt;=判定条件!$C$8*T7,"停止","断続")))</f>
        <v>判定不能</v>
      </c>
      <c r="W7" s="30" t="n">
        <v>0</v>
      </c>
      <c r="X7" s="30" t="n">
        <v>0</v>
      </c>
      <c r="Y7" s="30" t="str">
        <f aca="false">IF(W7&lt;判定条件!$C$6,"判定不能",IF(X7&gt;=判定条件!$C$7*W7,"運転",IF(X7&lt;=判定条件!$C$8*W7,"停止","断続")))</f>
        <v>判定不能</v>
      </c>
      <c r="Z7" s="30" t="n">
        <v>0</v>
      </c>
      <c r="AA7" s="30" t="n">
        <v>0</v>
      </c>
      <c r="AB7" s="30" t="str">
        <f aca="false">IF(Z7&lt;判定条件!$C$6,"判定不能",IF(AA7&gt;=判定条件!$C$7*Z7,"運転",IF(AA7&lt;=判定条件!$C$8*Z7,"停止","断続")))</f>
        <v>判定不能</v>
      </c>
      <c r="AC7" s="30" t="n">
        <v>0</v>
      </c>
      <c r="AD7" s="30" t="n">
        <v>0</v>
      </c>
      <c r="AE7" s="30" t="str">
        <f aca="false">IF(AC7&lt;判定条件!$C$6,"判定不能",IF(AD7&gt;=判定条件!$C$7*AC7,"運転",IF(AD7&lt;=判定条件!$C$8*AC7,"停止","断続")))</f>
        <v>判定不能</v>
      </c>
      <c r="AF7" s="30" t="n">
        <v>0</v>
      </c>
      <c r="AG7" s="30" t="n">
        <v>0</v>
      </c>
      <c r="AH7" s="30" t="str">
        <f aca="false">IF(OR(P7="判定不能",G7="判定不能"),"判定不能",IF(AG7&gt;=判定条件!$C$9,"利用可",IF(AND(P7="停止",G7="停止"),"両方停止","運転がそろわない")))</f>
        <v>判定不能</v>
      </c>
      <c r="AI7" s="30" t="n">
        <v>0</v>
      </c>
      <c r="AJ7" s="30" t="n">
        <v>0</v>
      </c>
      <c r="AK7" s="30" t="str">
        <f aca="false">IF(OR(S7="判定不能",J7="判定不能"),"判定不能",IF(AJ7&gt;=判定条件!$C$9,"利用可",IF(AND(S7="停止",J7="停止"),"両方停止","運転がそろわない")))</f>
        <v>判定不能</v>
      </c>
      <c r="AL7" s="30" t="n">
        <v>0</v>
      </c>
      <c r="AM7" s="30" t="n">
        <v>0</v>
      </c>
      <c r="AN7" s="30" t="str">
        <f aca="false">IF(OR(V7="判定不能",M7="判定不能"),"判定不能",IF(AM7&gt;=判定条件!$C$9,"利用可",IF(AND(V7="停止",M7="停止"),"両方停止","運転がそろわない")))</f>
        <v>判定不能</v>
      </c>
      <c r="AO7" s="30" t="n">
        <v>0</v>
      </c>
      <c r="AP7" s="30" t="n">
        <v>0</v>
      </c>
      <c r="AQ7" s="30" t="str">
        <f aca="false">IF(OR(Y7="判定不能",G7="判定不能"),"判定不能",IF(AP7&gt;=判定条件!$C$9,"利用可",IF(AND(Y7="停止",G7="停止"),"両方停止","運転がそろわない")))</f>
        <v>判定不能</v>
      </c>
      <c r="AR7" s="30" t="n">
        <v>0</v>
      </c>
      <c r="AS7" s="30" t="n">
        <v>0</v>
      </c>
      <c r="AT7" s="30" t="str">
        <f aca="false">IF(OR(AB7="判定不能",J7="判定不能"),"判定不能",IF(AS7&gt;=判定条件!$C$9,"利用可",IF(AND(AB7="停止",J7="停止"),"両方停止","運転がそろわない")))</f>
        <v>判定不能</v>
      </c>
      <c r="AU7" s="30" t="n">
        <v>0</v>
      </c>
      <c r="AV7" s="30" t="n">
        <v>0</v>
      </c>
      <c r="AW7" s="30" t="str">
        <f aca="false">IF(OR(AE7="判定不能",M7="判定不能"),"判定不能",IF(AV7&gt;=判定条件!$C$9,"利用可",IF(AND(AE7="停止",M7="停止"),"両方停止","運転がそろわない")))</f>
        <v>判定不能</v>
      </c>
      <c r="AX7" s="30" t="str">
        <f aca="false">IF(AND(AH7="利用可",AK7="利用可",AN7="利用可"),"利用可","不可")</f>
        <v>不可</v>
      </c>
      <c r="AY7" s="30" t="str">
        <f aca="false">IF(AND(AQ7="利用可",AT7="利用可",AW7="利用可"),"利用可","不可")</f>
        <v>不可</v>
      </c>
    </row>
    <row r="8" customFormat="false" ht="15" hidden="false" customHeight="false" outlineLevel="0" collapsed="false">
      <c r="A8" s="29" t="n">
        <v>46232</v>
      </c>
      <c r="B8" s="30" t="n">
        <v>5</v>
      </c>
      <c r="C8" s="31" t="s">
        <v>58</v>
      </c>
      <c r="D8" s="31" t="s">
        <v>59</v>
      </c>
      <c r="E8" s="30" t="n">
        <v>0</v>
      </c>
      <c r="F8" s="30" t="n">
        <v>0</v>
      </c>
      <c r="G8" s="30" t="str">
        <f aca="false">IF(E8&lt;判定条件!$C$6,"判定不能",IF(F8&gt;=判定条件!$C$7*E8,"運転",IF(F8&lt;=判定条件!$C$8*E8,"停止","断続")))</f>
        <v>判定不能</v>
      </c>
      <c r="H8" s="30" t="n">
        <v>0</v>
      </c>
      <c r="I8" s="30" t="n">
        <v>0</v>
      </c>
      <c r="J8" s="30" t="str">
        <f aca="false">IF(H8&lt;判定条件!$C$6,"判定不能",IF(I8&gt;=判定条件!$C$7*H8,"運転",IF(I8&lt;=判定条件!$C$8*H8,"停止","断続")))</f>
        <v>判定不能</v>
      </c>
      <c r="K8" s="30" t="n">
        <v>0</v>
      </c>
      <c r="L8" s="30" t="n">
        <v>0</v>
      </c>
      <c r="M8" s="30" t="str">
        <f aca="false">IF(K8&lt;判定条件!$C$6,"判定不能",IF(L8&gt;=判定条件!$C$7*K8,"運転",IF(L8&lt;=判定条件!$C$8*K8,"停止","断続")))</f>
        <v>判定不能</v>
      </c>
      <c r="N8" s="30" t="n">
        <v>0</v>
      </c>
      <c r="O8" s="30" t="n">
        <v>0</v>
      </c>
      <c r="P8" s="30" t="str">
        <f aca="false">IF(N8&lt;判定条件!$C$6,"判定不能",IF(O8&gt;=判定条件!$C$7*N8,"運転",IF(O8&lt;=判定条件!$C$8*N8,"停止","断続")))</f>
        <v>判定不能</v>
      </c>
      <c r="Q8" s="30" t="n">
        <v>0</v>
      </c>
      <c r="R8" s="30" t="n">
        <v>0</v>
      </c>
      <c r="S8" s="30" t="str">
        <f aca="false">IF(Q8&lt;判定条件!$C$6,"判定不能",IF(R8&gt;=判定条件!$C$7*Q8,"運転",IF(R8&lt;=判定条件!$C$8*Q8,"停止","断続")))</f>
        <v>判定不能</v>
      </c>
      <c r="T8" s="30" t="n">
        <v>0</v>
      </c>
      <c r="U8" s="30" t="n">
        <v>0</v>
      </c>
      <c r="V8" s="30" t="str">
        <f aca="false">IF(T8&lt;判定条件!$C$6,"判定不能",IF(U8&gt;=判定条件!$C$7*T8,"運転",IF(U8&lt;=判定条件!$C$8*T8,"停止","断続")))</f>
        <v>判定不能</v>
      </c>
      <c r="W8" s="30" t="n">
        <v>0</v>
      </c>
      <c r="X8" s="30" t="n">
        <v>0</v>
      </c>
      <c r="Y8" s="30" t="str">
        <f aca="false">IF(W8&lt;判定条件!$C$6,"判定不能",IF(X8&gt;=判定条件!$C$7*W8,"運転",IF(X8&lt;=判定条件!$C$8*W8,"停止","断続")))</f>
        <v>判定不能</v>
      </c>
      <c r="Z8" s="30" t="n">
        <v>0</v>
      </c>
      <c r="AA8" s="30" t="n">
        <v>0</v>
      </c>
      <c r="AB8" s="30" t="str">
        <f aca="false">IF(Z8&lt;判定条件!$C$6,"判定不能",IF(AA8&gt;=判定条件!$C$7*Z8,"運転",IF(AA8&lt;=判定条件!$C$8*Z8,"停止","断続")))</f>
        <v>判定不能</v>
      </c>
      <c r="AC8" s="30" t="n">
        <v>0</v>
      </c>
      <c r="AD8" s="30" t="n">
        <v>0</v>
      </c>
      <c r="AE8" s="30" t="str">
        <f aca="false">IF(AC8&lt;判定条件!$C$6,"判定不能",IF(AD8&gt;=判定条件!$C$7*AC8,"運転",IF(AD8&lt;=判定条件!$C$8*AC8,"停止","断続")))</f>
        <v>判定不能</v>
      </c>
      <c r="AF8" s="30" t="n">
        <v>0</v>
      </c>
      <c r="AG8" s="30" t="n">
        <v>0</v>
      </c>
      <c r="AH8" s="30" t="str">
        <f aca="false">IF(OR(P8="判定不能",G8="判定不能"),"判定不能",IF(AG8&gt;=判定条件!$C$9,"利用可",IF(AND(P8="停止",G8="停止"),"両方停止","運転がそろわない")))</f>
        <v>判定不能</v>
      </c>
      <c r="AI8" s="30" t="n">
        <v>0</v>
      </c>
      <c r="AJ8" s="30" t="n">
        <v>0</v>
      </c>
      <c r="AK8" s="30" t="str">
        <f aca="false">IF(OR(S8="判定不能",J8="判定不能"),"判定不能",IF(AJ8&gt;=判定条件!$C$9,"利用可",IF(AND(S8="停止",J8="停止"),"両方停止","運転がそろわない")))</f>
        <v>判定不能</v>
      </c>
      <c r="AL8" s="30" t="n">
        <v>0</v>
      </c>
      <c r="AM8" s="30" t="n">
        <v>0</v>
      </c>
      <c r="AN8" s="30" t="str">
        <f aca="false">IF(OR(V8="判定不能",M8="判定不能"),"判定不能",IF(AM8&gt;=判定条件!$C$9,"利用可",IF(AND(V8="停止",M8="停止"),"両方停止","運転がそろわない")))</f>
        <v>判定不能</v>
      </c>
      <c r="AO8" s="30" t="n">
        <v>0</v>
      </c>
      <c r="AP8" s="30" t="n">
        <v>0</v>
      </c>
      <c r="AQ8" s="30" t="str">
        <f aca="false">IF(OR(Y8="判定不能",G8="判定不能"),"判定不能",IF(AP8&gt;=判定条件!$C$9,"利用可",IF(AND(Y8="停止",G8="停止"),"両方停止","運転がそろわない")))</f>
        <v>判定不能</v>
      </c>
      <c r="AR8" s="30" t="n">
        <v>0</v>
      </c>
      <c r="AS8" s="30" t="n">
        <v>0</v>
      </c>
      <c r="AT8" s="30" t="str">
        <f aca="false">IF(OR(AB8="判定不能",J8="判定不能"),"判定不能",IF(AS8&gt;=判定条件!$C$9,"利用可",IF(AND(AB8="停止",J8="停止"),"両方停止","運転がそろわない")))</f>
        <v>判定不能</v>
      </c>
      <c r="AU8" s="30" t="n">
        <v>0</v>
      </c>
      <c r="AV8" s="30" t="n">
        <v>0</v>
      </c>
      <c r="AW8" s="30" t="str">
        <f aca="false">IF(OR(AE8="判定不能",M8="判定不能"),"判定不能",IF(AV8&gt;=判定条件!$C$9,"利用可",IF(AND(AE8="停止",M8="停止"),"両方停止","運転がそろわない")))</f>
        <v>判定不能</v>
      </c>
      <c r="AX8" s="30" t="str">
        <f aca="false">IF(AND(AH8="利用可",AK8="利用可",AN8="利用可"),"利用可","不可")</f>
        <v>不可</v>
      </c>
      <c r="AY8" s="30" t="str">
        <f aca="false">IF(AND(AQ8="利用可",AT8="利用可",AW8="利用可"),"利用可","不可")</f>
        <v>不可</v>
      </c>
    </row>
    <row r="9" customFormat="false" ht="15" hidden="false" customHeight="false" outlineLevel="0" collapsed="false">
      <c r="A9" s="29" t="n">
        <v>46232</v>
      </c>
      <c r="B9" s="30" t="n">
        <v>6</v>
      </c>
      <c r="C9" s="31" t="s">
        <v>58</v>
      </c>
      <c r="D9" s="31" t="s">
        <v>59</v>
      </c>
      <c r="E9" s="30" t="n">
        <v>0</v>
      </c>
      <c r="F9" s="30" t="n">
        <v>0</v>
      </c>
      <c r="G9" s="30" t="str">
        <f aca="false">IF(E9&lt;判定条件!$C$6,"判定不能",IF(F9&gt;=判定条件!$C$7*E9,"運転",IF(F9&lt;=判定条件!$C$8*E9,"停止","断続")))</f>
        <v>判定不能</v>
      </c>
      <c r="H9" s="30" t="n">
        <v>0</v>
      </c>
      <c r="I9" s="30" t="n">
        <v>0</v>
      </c>
      <c r="J9" s="30" t="str">
        <f aca="false">IF(H9&lt;判定条件!$C$6,"判定不能",IF(I9&gt;=判定条件!$C$7*H9,"運転",IF(I9&lt;=判定条件!$C$8*H9,"停止","断続")))</f>
        <v>判定不能</v>
      </c>
      <c r="K9" s="30" t="n">
        <v>0</v>
      </c>
      <c r="L9" s="30" t="n">
        <v>0</v>
      </c>
      <c r="M9" s="30" t="str">
        <f aca="false">IF(K9&lt;判定条件!$C$6,"判定不能",IF(L9&gt;=判定条件!$C$7*K9,"運転",IF(L9&lt;=判定条件!$C$8*K9,"停止","断続")))</f>
        <v>判定不能</v>
      </c>
      <c r="N9" s="30" t="n">
        <v>0</v>
      </c>
      <c r="O9" s="30" t="n">
        <v>0</v>
      </c>
      <c r="P9" s="30" t="str">
        <f aca="false">IF(N9&lt;判定条件!$C$6,"判定不能",IF(O9&gt;=判定条件!$C$7*N9,"運転",IF(O9&lt;=判定条件!$C$8*N9,"停止","断続")))</f>
        <v>判定不能</v>
      </c>
      <c r="Q9" s="30" t="n">
        <v>0</v>
      </c>
      <c r="R9" s="30" t="n">
        <v>0</v>
      </c>
      <c r="S9" s="30" t="str">
        <f aca="false">IF(Q9&lt;判定条件!$C$6,"判定不能",IF(R9&gt;=判定条件!$C$7*Q9,"運転",IF(R9&lt;=判定条件!$C$8*Q9,"停止","断続")))</f>
        <v>判定不能</v>
      </c>
      <c r="T9" s="30" t="n">
        <v>0</v>
      </c>
      <c r="U9" s="30" t="n">
        <v>0</v>
      </c>
      <c r="V9" s="30" t="str">
        <f aca="false">IF(T9&lt;判定条件!$C$6,"判定不能",IF(U9&gt;=判定条件!$C$7*T9,"運転",IF(U9&lt;=判定条件!$C$8*T9,"停止","断続")))</f>
        <v>判定不能</v>
      </c>
      <c r="W9" s="30" t="n">
        <v>0</v>
      </c>
      <c r="X9" s="30" t="n">
        <v>0</v>
      </c>
      <c r="Y9" s="30" t="str">
        <f aca="false">IF(W9&lt;判定条件!$C$6,"判定不能",IF(X9&gt;=判定条件!$C$7*W9,"運転",IF(X9&lt;=判定条件!$C$8*W9,"停止","断続")))</f>
        <v>判定不能</v>
      </c>
      <c r="Z9" s="30" t="n">
        <v>0</v>
      </c>
      <c r="AA9" s="30" t="n">
        <v>0</v>
      </c>
      <c r="AB9" s="30" t="str">
        <f aca="false">IF(Z9&lt;判定条件!$C$6,"判定不能",IF(AA9&gt;=判定条件!$C$7*Z9,"運転",IF(AA9&lt;=判定条件!$C$8*Z9,"停止","断続")))</f>
        <v>判定不能</v>
      </c>
      <c r="AC9" s="30" t="n">
        <v>0</v>
      </c>
      <c r="AD9" s="30" t="n">
        <v>0</v>
      </c>
      <c r="AE9" s="30" t="str">
        <f aca="false">IF(AC9&lt;判定条件!$C$6,"判定不能",IF(AD9&gt;=判定条件!$C$7*AC9,"運転",IF(AD9&lt;=判定条件!$C$8*AC9,"停止","断続")))</f>
        <v>判定不能</v>
      </c>
      <c r="AF9" s="30" t="n">
        <v>0</v>
      </c>
      <c r="AG9" s="30" t="n">
        <v>0</v>
      </c>
      <c r="AH9" s="30" t="str">
        <f aca="false">IF(OR(P9="判定不能",G9="判定不能"),"判定不能",IF(AG9&gt;=判定条件!$C$9,"利用可",IF(AND(P9="停止",G9="停止"),"両方停止","運転がそろわない")))</f>
        <v>判定不能</v>
      </c>
      <c r="AI9" s="30" t="n">
        <v>0</v>
      </c>
      <c r="AJ9" s="30" t="n">
        <v>0</v>
      </c>
      <c r="AK9" s="30" t="str">
        <f aca="false">IF(OR(S9="判定不能",J9="判定不能"),"判定不能",IF(AJ9&gt;=判定条件!$C$9,"利用可",IF(AND(S9="停止",J9="停止"),"両方停止","運転がそろわない")))</f>
        <v>判定不能</v>
      </c>
      <c r="AL9" s="30" t="n">
        <v>0</v>
      </c>
      <c r="AM9" s="30" t="n">
        <v>0</v>
      </c>
      <c r="AN9" s="30" t="str">
        <f aca="false">IF(OR(V9="判定不能",M9="判定不能"),"判定不能",IF(AM9&gt;=判定条件!$C$9,"利用可",IF(AND(V9="停止",M9="停止"),"両方停止","運転がそろわない")))</f>
        <v>判定不能</v>
      </c>
      <c r="AO9" s="30" t="n">
        <v>0</v>
      </c>
      <c r="AP9" s="30" t="n">
        <v>0</v>
      </c>
      <c r="AQ9" s="30" t="str">
        <f aca="false">IF(OR(Y9="判定不能",G9="判定不能"),"判定不能",IF(AP9&gt;=判定条件!$C$9,"利用可",IF(AND(Y9="停止",G9="停止"),"両方停止","運転がそろわない")))</f>
        <v>判定不能</v>
      </c>
      <c r="AR9" s="30" t="n">
        <v>0</v>
      </c>
      <c r="AS9" s="30" t="n">
        <v>0</v>
      </c>
      <c r="AT9" s="30" t="str">
        <f aca="false">IF(OR(AB9="判定不能",J9="判定不能"),"判定不能",IF(AS9&gt;=判定条件!$C$9,"利用可",IF(AND(AB9="停止",J9="停止"),"両方停止","運転がそろわない")))</f>
        <v>判定不能</v>
      </c>
      <c r="AU9" s="30" t="n">
        <v>0</v>
      </c>
      <c r="AV9" s="30" t="n">
        <v>0</v>
      </c>
      <c r="AW9" s="30" t="str">
        <f aca="false">IF(OR(AE9="判定不能",M9="判定不能"),"判定不能",IF(AV9&gt;=判定条件!$C$9,"利用可",IF(AND(AE9="停止",M9="停止"),"両方停止","運転がそろわない")))</f>
        <v>判定不能</v>
      </c>
      <c r="AX9" s="30" t="str">
        <f aca="false">IF(AND(AH9="利用可",AK9="利用可",AN9="利用可"),"利用可","不可")</f>
        <v>不可</v>
      </c>
      <c r="AY9" s="30" t="str">
        <f aca="false">IF(AND(AQ9="利用可",AT9="利用可",AW9="利用可"),"利用可","不可")</f>
        <v>不可</v>
      </c>
    </row>
    <row r="10" customFormat="false" ht="15" hidden="false" customHeight="false" outlineLevel="0" collapsed="false">
      <c r="A10" s="29" t="n">
        <v>46232</v>
      </c>
      <c r="B10" s="30" t="n">
        <v>7</v>
      </c>
      <c r="C10" s="31" t="s">
        <v>58</v>
      </c>
      <c r="D10" s="31" t="s">
        <v>59</v>
      </c>
      <c r="E10" s="30" t="n">
        <v>0</v>
      </c>
      <c r="F10" s="30" t="n">
        <v>0</v>
      </c>
      <c r="G10" s="30" t="str">
        <f aca="false">IF(E10&lt;判定条件!$C$6,"判定不能",IF(F10&gt;=判定条件!$C$7*E10,"運転",IF(F10&lt;=判定条件!$C$8*E10,"停止","断続")))</f>
        <v>判定不能</v>
      </c>
      <c r="H10" s="30" t="n">
        <v>0</v>
      </c>
      <c r="I10" s="30" t="n">
        <v>0</v>
      </c>
      <c r="J10" s="30" t="str">
        <f aca="false">IF(H10&lt;判定条件!$C$6,"判定不能",IF(I10&gt;=判定条件!$C$7*H10,"運転",IF(I10&lt;=判定条件!$C$8*H10,"停止","断続")))</f>
        <v>判定不能</v>
      </c>
      <c r="K10" s="30" t="n">
        <v>0</v>
      </c>
      <c r="L10" s="30" t="n">
        <v>0</v>
      </c>
      <c r="M10" s="30" t="str">
        <f aca="false">IF(K10&lt;判定条件!$C$6,"判定不能",IF(L10&gt;=判定条件!$C$7*K10,"運転",IF(L10&lt;=判定条件!$C$8*K10,"停止","断続")))</f>
        <v>判定不能</v>
      </c>
      <c r="N10" s="30" t="n">
        <v>0</v>
      </c>
      <c r="O10" s="30" t="n">
        <v>0</v>
      </c>
      <c r="P10" s="30" t="str">
        <f aca="false">IF(N10&lt;判定条件!$C$6,"判定不能",IF(O10&gt;=判定条件!$C$7*N10,"運転",IF(O10&lt;=判定条件!$C$8*N10,"停止","断続")))</f>
        <v>判定不能</v>
      </c>
      <c r="Q10" s="30" t="n">
        <v>0</v>
      </c>
      <c r="R10" s="30" t="n">
        <v>0</v>
      </c>
      <c r="S10" s="30" t="str">
        <f aca="false">IF(Q10&lt;判定条件!$C$6,"判定不能",IF(R10&gt;=判定条件!$C$7*Q10,"運転",IF(R10&lt;=判定条件!$C$8*Q10,"停止","断続")))</f>
        <v>判定不能</v>
      </c>
      <c r="T10" s="30" t="n">
        <v>0</v>
      </c>
      <c r="U10" s="30" t="n">
        <v>0</v>
      </c>
      <c r="V10" s="30" t="str">
        <f aca="false">IF(T10&lt;判定条件!$C$6,"判定不能",IF(U10&gt;=判定条件!$C$7*T10,"運転",IF(U10&lt;=判定条件!$C$8*T10,"停止","断続")))</f>
        <v>判定不能</v>
      </c>
      <c r="W10" s="30" t="n">
        <v>0</v>
      </c>
      <c r="X10" s="30" t="n">
        <v>0</v>
      </c>
      <c r="Y10" s="30" t="str">
        <f aca="false">IF(W10&lt;判定条件!$C$6,"判定不能",IF(X10&gt;=判定条件!$C$7*W10,"運転",IF(X10&lt;=判定条件!$C$8*W10,"停止","断続")))</f>
        <v>判定不能</v>
      </c>
      <c r="Z10" s="30" t="n">
        <v>0</v>
      </c>
      <c r="AA10" s="30" t="n">
        <v>0</v>
      </c>
      <c r="AB10" s="30" t="str">
        <f aca="false">IF(Z10&lt;判定条件!$C$6,"判定不能",IF(AA10&gt;=判定条件!$C$7*Z10,"運転",IF(AA10&lt;=判定条件!$C$8*Z10,"停止","断続")))</f>
        <v>判定不能</v>
      </c>
      <c r="AC10" s="30" t="n">
        <v>0</v>
      </c>
      <c r="AD10" s="30" t="n">
        <v>0</v>
      </c>
      <c r="AE10" s="30" t="str">
        <f aca="false">IF(AC10&lt;判定条件!$C$6,"判定不能",IF(AD10&gt;=判定条件!$C$7*AC10,"運転",IF(AD10&lt;=判定条件!$C$8*AC10,"停止","断続")))</f>
        <v>判定不能</v>
      </c>
      <c r="AF10" s="30" t="n">
        <v>0</v>
      </c>
      <c r="AG10" s="30" t="n">
        <v>0</v>
      </c>
      <c r="AH10" s="30" t="str">
        <f aca="false">IF(OR(P10="判定不能",G10="判定不能"),"判定不能",IF(AG10&gt;=判定条件!$C$9,"利用可",IF(AND(P10="停止",G10="停止"),"両方停止","運転がそろわない")))</f>
        <v>判定不能</v>
      </c>
      <c r="AI10" s="30" t="n">
        <v>0</v>
      </c>
      <c r="AJ10" s="30" t="n">
        <v>0</v>
      </c>
      <c r="AK10" s="30" t="str">
        <f aca="false">IF(OR(S10="判定不能",J10="判定不能"),"判定不能",IF(AJ10&gt;=判定条件!$C$9,"利用可",IF(AND(S10="停止",J10="停止"),"両方停止","運転がそろわない")))</f>
        <v>判定不能</v>
      </c>
      <c r="AL10" s="30" t="n">
        <v>0</v>
      </c>
      <c r="AM10" s="30" t="n">
        <v>0</v>
      </c>
      <c r="AN10" s="30" t="str">
        <f aca="false">IF(OR(V10="判定不能",M10="判定不能"),"判定不能",IF(AM10&gt;=判定条件!$C$9,"利用可",IF(AND(V10="停止",M10="停止"),"両方停止","運転がそろわない")))</f>
        <v>判定不能</v>
      </c>
      <c r="AO10" s="30" t="n">
        <v>0</v>
      </c>
      <c r="AP10" s="30" t="n">
        <v>0</v>
      </c>
      <c r="AQ10" s="30" t="str">
        <f aca="false">IF(OR(Y10="判定不能",G10="判定不能"),"判定不能",IF(AP10&gt;=判定条件!$C$9,"利用可",IF(AND(Y10="停止",G10="停止"),"両方停止","運転がそろわない")))</f>
        <v>判定不能</v>
      </c>
      <c r="AR10" s="30" t="n">
        <v>0</v>
      </c>
      <c r="AS10" s="30" t="n">
        <v>0</v>
      </c>
      <c r="AT10" s="30" t="str">
        <f aca="false">IF(OR(AB10="判定不能",J10="判定不能"),"判定不能",IF(AS10&gt;=判定条件!$C$9,"利用可",IF(AND(AB10="停止",J10="停止"),"両方停止","運転がそろわない")))</f>
        <v>判定不能</v>
      </c>
      <c r="AU10" s="30" t="n">
        <v>0</v>
      </c>
      <c r="AV10" s="30" t="n">
        <v>0</v>
      </c>
      <c r="AW10" s="30" t="str">
        <f aca="false">IF(OR(AE10="判定不能",M10="判定不能"),"判定不能",IF(AV10&gt;=判定条件!$C$9,"利用可",IF(AND(AE10="停止",M10="停止"),"両方停止","運転がそろわない")))</f>
        <v>判定不能</v>
      </c>
      <c r="AX10" s="30" t="str">
        <f aca="false">IF(AND(AH10="利用可",AK10="利用可",AN10="利用可"),"利用可","不可")</f>
        <v>不可</v>
      </c>
      <c r="AY10" s="30" t="str">
        <f aca="false">IF(AND(AQ10="利用可",AT10="利用可",AW10="利用可"),"利用可","不可")</f>
        <v>不可</v>
      </c>
    </row>
    <row r="11" customFormat="false" ht="15" hidden="false" customHeight="false" outlineLevel="0" collapsed="false">
      <c r="A11" s="29" t="n">
        <v>46232</v>
      </c>
      <c r="B11" s="30" t="n">
        <v>8</v>
      </c>
      <c r="C11" s="31" t="s">
        <v>58</v>
      </c>
      <c r="D11" s="31" t="s">
        <v>59</v>
      </c>
      <c r="E11" s="30" t="n">
        <v>0</v>
      </c>
      <c r="F11" s="30" t="n">
        <v>0</v>
      </c>
      <c r="G11" s="30" t="str">
        <f aca="false">IF(E11&lt;判定条件!$C$6,"判定不能",IF(F11&gt;=判定条件!$C$7*E11,"運転",IF(F11&lt;=判定条件!$C$8*E11,"停止","断続")))</f>
        <v>判定不能</v>
      </c>
      <c r="H11" s="30" t="n">
        <v>0</v>
      </c>
      <c r="I11" s="30" t="n">
        <v>0</v>
      </c>
      <c r="J11" s="30" t="str">
        <f aca="false">IF(H11&lt;判定条件!$C$6,"判定不能",IF(I11&gt;=判定条件!$C$7*H11,"運転",IF(I11&lt;=判定条件!$C$8*H11,"停止","断続")))</f>
        <v>判定不能</v>
      </c>
      <c r="K11" s="30" t="n">
        <v>0</v>
      </c>
      <c r="L11" s="30" t="n">
        <v>0</v>
      </c>
      <c r="M11" s="30" t="str">
        <f aca="false">IF(K11&lt;判定条件!$C$6,"判定不能",IF(L11&gt;=判定条件!$C$7*K11,"運転",IF(L11&lt;=判定条件!$C$8*K11,"停止","断続")))</f>
        <v>判定不能</v>
      </c>
      <c r="N11" s="30" t="n">
        <v>0</v>
      </c>
      <c r="O11" s="30" t="n">
        <v>0</v>
      </c>
      <c r="P11" s="30" t="str">
        <f aca="false">IF(N11&lt;判定条件!$C$6,"判定不能",IF(O11&gt;=判定条件!$C$7*N11,"運転",IF(O11&lt;=判定条件!$C$8*N11,"停止","断続")))</f>
        <v>判定不能</v>
      </c>
      <c r="Q11" s="30" t="n">
        <v>0</v>
      </c>
      <c r="R11" s="30" t="n">
        <v>0</v>
      </c>
      <c r="S11" s="30" t="str">
        <f aca="false">IF(Q11&lt;判定条件!$C$6,"判定不能",IF(R11&gt;=判定条件!$C$7*Q11,"運転",IF(R11&lt;=判定条件!$C$8*Q11,"停止","断続")))</f>
        <v>判定不能</v>
      </c>
      <c r="T11" s="30" t="n">
        <v>0</v>
      </c>
      <c r="U11" s="30" t="n">
        <v>0</v>
      </c>
      <c r="V11" s="30" t="str">
        <f aca="false">IF(T11&lt;判定条件!$C$6,"判定不能",IF(U11&gt;=判定条件!$C$7*T11,"運転",IF(U11&lt;=判定条件!$C$8*T11,"停止","断続")))</f>
        <v>判定不能</v>
      </c>
      <c r="W11" s="30" t="n">
        <v>0</v>
      </c>
      <c r="X11" s="30" t="n">
        <v>0</v>
      </c>
      <c r="Y11" s="30" t="str">
        <f aca="false">IF(W11&lt;判定条件!$C$6,"判定不能",IF(X11&gt;=判定条件!$C$7*W11,"運転",IF(X11&lt;=判定条件!$C$8*W11,"停止","断続")))</f>
        <v>判定不能</v>
      </c>
      <c r="Z11" s="30" t="n">
        <v>0</v>
      </c>
      <c r="AA11" s="30" t="n">
        <v>0</v>
      </c>
      <c r="AB11" s="30" t="str">
        <f aca="false">IF(Z11&lt;判定条件!$C$6,"判定不能",IF(AA11&gt;=判定条件!$C$7*Z11,"運転",IF(AA11&lt;=判定条件!$C$8*Z11,"停止","断続")))</f>
        <v>判定不能</v>
      </c>
      <c r="AC11" s="30" t="n">
        <v>0</v>
      </c>
      <c r="AD11" s="30" t="n">
        <v>0</v>
      </c>
      <c r="AE11" s="30" t="str">
        <f aca="false">IF(AC11&lt;判定条件!$C$6,"判定不能",IF(AD11&gt;=判定条件!$C$7*AC11,"運転",IF(AD11&lt;=判定条件!$C$8*AC11,"停止","断続")))</f>
        <v>判定不能</v>
      </c>
      <c r="AF11" s="30" t="n">
        <v>0</v>
      </c>
      <c r="AG11" s="30" t="n">
        <v>0</v>
      </c>
      <c r="AH11" s="30" t="str">
        <f aca="false">IF(OR(P11="判定不能",G11="判定不能"),"判定不能",IF(AG11&gt;=判定条件!$C$9,"利用可",IF(AND(P11="停止",G11="停止"),"両方停止","運転がそろわない")))</f>
        <v>判定不能</v>
      </c>
      <c r="AI11" s="30" t="n">
        <v>0</v>
      </c>
      <c r="AJ11" s="30" t="n">
        <v>0</v>
      </c>
      <c r="AK11" s="30" t="str">
        <f aca="false">IF(OR(S11="判定不能",J11="判定不能"),"判定不能",IF(AJ11&gt;=判定条件!$C$9,"利用可",IF(AND(S11="停止",J11="停止"),"両方停止","運転がそろわない")))</f>
        <v>判定不能</v>
      </c>
      <c r="AL11" s="30" t="n">
        <v>0</v>
      </c>
      <c r="AM11" s="30" t="n">
        <v>0</v>
      </c>
      <c r="AN11" s="30" t="str">
        <f aca="false">IF(OR(V11="判定不能",M11="判定不能"),"判定不能",IF(AM11&gt;=判定条件!$C$9,"利用可",IF(AND(V11="停止",M11="停止"),"両方停止","運転がそろわない")))</f>
        <v>判定不能</v>
      </c>
      <c r="AO11" s="30" t="n">
        <v>0</v>
      </c>
      <c r="AP11" s="30" t="n">
        <v>0</v>
      </c>
      <c r="AQ11" s="30" t="str">
        <f aca="false">IF(OR(Y11="判定不能",G11="判定不能"),"判定不能",IF(AP11&gt;=判定条件!$C$9,"利用可",IF(AND(Y11="停止",G11="停止"),"両方停止","運転がそろわない")))</f>
        <v>判定不能</v>
      </c>
      <c r="AR11" s="30" t="n">
        <v>0</v>
      </c>
      <c r="AS11" s="30" t="n">
        <v>0</v>
      </c>
      <c r="AT11" s="30" t="str">
        <f aca="false">IF(OR(AB11="判定不能",J11="判定不能"),"判定不能",IF(AS11&gt;=判定条件!$C$9,"利用可",IF(AND(AB11="停止",J11="停止"),"両方停止","運転がそろわない")))</f>
        <v>判定不能</v>
      </c>
      <c r="AU11" s="30" t="n">
        <v>0</v>
      </c>
      <c r="AV11" s="30" t="n">
        <v>0</v>
      </c>
      <c r="AW11" s="30" t="str">
        <f aca="false">IF(OR(AE11="判定不能",M11="判定不能"),"判定不能",IF(AV11&gt;=判定条件!$C$9,"利用可",IF(AND(AE11="停止",M11="停止"),"両方停止","運転がそろわない")))</f>
        <v>判定不能</v>
      </c>
      <c r="AX11" s="30" t="str">
        <f aca="false">IF(AND(AH11="利用可",AK11="利用可",AN11="利用可"),"利用可","不可")</f>
        <v>不可</v>
      </c>
      <c r="AY11" s="30" t="str">
        <f aca="false">IF(AND(AQ11="利用可",AT11="利用可",AW11="利用可"),"利用可","不可")</f>
        <v>不可</v>
      </c>
    </row>
    <row r="12" customFormat="false" ht="15" hidden="false" customHeight="false" outlineLevel="0" collapsed="false">
      <c r="A12" s="29" t="n">
        <v>46232</v>
      </c>
      <c r="B12" s="30" t="n">
        <v>9</v>
      </c>
      <c r="C12" s="31" t="s">
        <v>58</v>
      </c>
      <c r="D12" s="31" t="s">
        <v>59</v>
      </c>
      <c r="E12" s="30" t="n">
        <v>0</v>
      </c>
      <c r="F12" s="30" t="n">
        <v>0</v>
      </c>
      <c r="G12" s="30" t="str">
        <f aca="false">IF(E12&lt;判定条件!$C$6,"判定不能",IF(F12&gt;=判定条件!$C$7*E12,"運転",IF(F12&lt;=判定条件!$C$8*E12,"停止","断続")))</f>
        <v>判定不能</v>
      </c>
      <c r="H12" s="30" t="n">
        <v>0</v>
      </c>
      <c r="I12" s="30" t="n">
        <v>0</v>
      </c>
      <c r="J12" s="30" t="str">
        <f aca="false">IF(H12&lt;判定条件!$C$6,"判定不能",IF(I12&gt;=判定条件!$C$7*H12,"運転",IF(I12&lt;=判定条件!$C$8*H12,"停止","断続")))</f>
        <v>判定不能</v>
      </c>
      <c r="K12" s="30" t="n">
        <v>0</v>
      </c>
      <c r="L12" s="30" t="n">
        <v>0</v>
      </c>
      <c r="M12" s="30" t="str">
        <f aca="false">IF(K12&lt;判定条件!$C$6,"判定不能",IF(L12&gt;=判定条件!$C$7*K12,"運転",IF(L12&lt;=判定条件!$C$8*K12,"停止","断続")))</f>
        <v>判定不能</v>
      </c>
      <c r="N12" s="30" t="n">
        <v>0</v>
      </c>
      <c r="O12" s="30" t="n">
        <v>0</v>
      </c>
      <c r="P12" s="30" t="str">
        <f aca="false">IF(N12&lt;判定条件!$C$6,"判定不能",IF(O12&gt;=判定条件!$C$7*N12,"運転",IF(O12&lt;=判定条件!$C$8*N12,"停止","断続")))</f>
        <v>判定不能</v>
      </c>
      <c r="Q12" s="30" t="n">
        <v>0</v>
      </c>
      <c r="R12" s="30" t="n">
        <v>0</v>
      </c>
      <c r="S12" s="30" t="str">
        <f aca="false">IF(Q12&lt;判定条件!$C$6,"判定不能",IF(R12&gt;=判定条件!$C$7*Q12,"運転",IF(R12&lt;=判定条件!$C$8*Q12,"停止","断続")))</f>
        <v>判定不能</v>
      </c>
      <c r="T12" s="30" t="n">
        <v>0</v>
      </c>
      <c r="U12" s="30" t="n">
        <v>0</v>
      </c>
      <c r="V12" s="30" t="str">
        <f aca="false">IF(T12&lt;判定条件!$C$6,"判定不能",IF(U12&gt;=判定条件!$C$7*T12,"運転",IF(U12&lt;=判定条件!$C$8*T12,"停止","断続")))</f>
        <v>判定不能</v>
      </c>
      <c r="W12" s="30" t="n">
        <v>0</v>
      </c>
      <c r="X12" s="30" t="n">
        <v>0</v>
      </c>
      <c r="Y12" s="30" t="str">
        <f aca="false">IF(W12&lt;判定条件!$C$6,"判定不能",IF(X12&gt;=判定条件!$C$7*W12,"運転",IF(X12&lt;=判定条件!$C$8*W12,"停止","断続")))</f>
        <v>判定不能</v>
      </c>
      <c r="Z12" s="30" t="n">
        <v>0</v>
      </c>
      <c r="AA12" s="30" t="n">
        <v>0</v>
      </c>
      <c r="AB12" s="30" t="str">
        <f aca="false">IF(Z12&lt;判定条件!$C$6,"判定不能",IF(AA12&gt;=判定条件!$C$7*Z12,"運転",IF(AA12&lt;=判定条件!$C$8*Z12,"停止","断続")))</f>
        <v>判定不能</v>
      </c>
      <c r="AC12" s="30" t="n">
        <v>0</v>
      </c>
      <c r="AD12" s="30" t="n">
        <v>0</v>
      </c>
      <c r="AE12" s="30" t="str">
        <f aca="false">IF(AC12&lt;判定条件!$C$6,"判定不能",IF(AD12&gt;=判定条件!$C$7*AC12,"運転",IF(AD12&lt;=判定条件!$C$8*AC12,"停止","断続")))</f>
        <v>判定不能</v>
      </c>
      <c r="AF12" s="30" t="n">
        <v>0</v>
      </c>
      <c r="AG12" s="30" t="n">
        <v>0</v>
      </c>
      <c r="AH12" s="30" t="str">
        <f aca="false">IF(OR(P12="判定不能",G12="判定不能"),"判定不能",IF(AG12&gt;=判定条件!$C$9,"利用可",IF(AND(P12="停止",G12="停止"),"両方停止","運転がそろわない")))</f>
        <v>判定不能</v>
      </c>
      <c r="AI12" s="30" t="n">
        <v>0</v>
      </c>
      <c r="AJ12" s="30" t="n">
        <v>0</v>
      </c>
      <c r="AK12" s="30" t="str">
        <f aca="false">IF(OR(S12="判定不能",J12="判定不能"),"判定不能",IF(AJ12&gt;=判定条件!$C$9,"利用可",IF(AND(S12="停止",J12="停止"),"両方停止","運転がそろわない")))</f>
        <v>判定不能</v>
      </c>
      <c r="AL12" s="30" t="n">
        <v>0</v>
      </c>
      <c r="AM12" s="30" t="n">
        <v>0</v>
      </c>
      <c r="AN12" s="30" t="str">
        <f aca="false">IF(OR(V12="判定不能",M12="判定不能"),"判定不能",IF(AM12&gt;=判定条件!$C$9,"利用可",IF(AND(V12="停止",M12="停止"),"両方停止","運転がそろわない")))</f>
        <v>判定不能</v>
      </c>
      <c r="AO12" s="30" t="n">
        <v>0</v>
      </c>
      <c r="AP12" s="30" t="n">
        <v>0</v>
      </c>
      <c r="AQ12" s="30" t="str">
        <f aca="false">IF(OR(Y12="判定不能",G12="判定不能"),"判定不能",IF(AP12&gt;=判定条件!$C$9,"利用可",IF(AND(Y12="停止",G12="停止"),"両方停止","運転がそろわない")))</f>
        <v>判定不能</v>
      </c>
      <c r="AR12" s="30" t="n">
        <v>0</v>
      </c>
      <c r="AS12" s="30" t="n">
        <v>0</v>
      </c>
      <c r="AT12" s="30" t="str">
        <f aca="false">IF(OR(AB12="判定不能",J12="判定不能"),"判定不能",IF(AS12&gt;=判定条件!$C$9,"利用可",IF(AND(AB12="停止",J12="停止"),"両方停止","運転がそろわない")))</f>
        <v>判定不能</v>
      </c>
      <c r="AU12" s="30" t="n">
        <v>0</v>
      </c>
      <c r="AV12" s="30" t="n">
        <v>0</v>
      </c>
      <c r="AW12" s="30" t="str">
        <f aca="false">IF(OR(AE12="判定不能",M12="判定不能"),"判定不能",IF(AV12&gt;=判定条件!$C$9,"利用可",IF(AND(AE12="停止",M12="停止"),"両方停止","運転がそろわない")))</f>
        <v>判定不能</v>
      </c>
      <c r="AX12" s="30" t="str">
        <f aca="false">IF(AND(AH12="利用可",AK12="利用可",AN12="利用可"),"利用可","不可")</f>
        <v>不可</v>
      </c>
      <c r="AY12" s="30" t="str">
        <f aca="false">IF(AND(AQ12="利用可",AT12="利用可",AW12="利用可"),"利用可","不可")</f>
        <v>不可</v>
      </c>
    </row>
    <row r="13" customFormat="false" ht="15" hidden="false" customHeight="false" outlineLevel="0" collapsed="false">
      <c r="A13" s="29" t="n">
        <v>46232</v>
      </c>
      <c r="B13" s="30" t="n">
        <v>10</v>
      </c>
      <c r="C13" s="31" t="s">
        <v>58</v>
      </c>
      <c r="D13" s="31" t="s">
        <v>59</v>
      </c>
      <c r="E13" s="30" t="n">
        <v>0</v>
      </c>
      <c r="F13" s="30" t="n">
        <v>0</v>
      </c>
      <c r="G13" s="30" t="str">
        <f aca="false">IF(E13&lt;判定条件!$C$6,"判定不能",IF(F13&gt;=判定条件!$C$7*E13,"運転",IF(F13&lt;=判定条件!$C$8*E13,"停止","断続")))</f>
        <v>判定不能</v>
      </c>
      <c r="H13" s="30" t="n">
        <v>0</v>
      </c>
      <c r="I13" s="30" t="n">
        <v>0</v>
      </c>
      <c r="J13" s="30" t="str">
        <f aca="false">IF(H13&lt;判定条件!$C$6,"判定不能",IF(I13&gt;=判定条件!$C$7*H13,"運転",IF(I13&lt;=判定条件!$C$8*H13,"停止","断続")))</f>
        <v>判定不能</v>
      </c>
      <c r="K13" s="30" t="n">
        <v>0</v>
      </c>
      <c r="L13" s="30" t="n">
        <v>0</v>
      </c>
      <c r="M13" s="30" t="str">
        <f aca="false">IF(K13&lt;判定条件!$C$6,"判定不能",IF(L13&gt;=判定条件!$C$7*K13,"運転",IF(L13&lt;=判定条件!$C$8*K13,"停止","断続")))</f>
        <v>判定不能</v>
      </c>
      <c r="N13" s="30" t="n">
        <v>0</v>
      </c>
      <c r="O13" s="30" t="n">
        <v>0</v>
      </c>
      <c r="P13" s="30" t="str">
        <f aca="false">IF(N13&lt;判定条件!$C$6,"判定不能",IF(O13&gt;=判定条件!$C$7*N13,"運転",IF(O13&lt;=判定条件!$C$8*N13,"停止","断続")))</f>
        <v>判定不能</v>
      </c>
      <c r="Q13" s="30" t="n">
        <v>0</v>
      </c>
      <c r="R13" s="30" t="n">
        <v>0</v>
      </c>
      <c r="S13" s="30" t="str">
        <f aca="false">IF(Q13&lt;判定条件!$C$6,"判定不能",IF(R13&gt;=判定条件!$C$7*Q13,"運転",IF(R13&lt;=判定条件!$C$8*Q13,"停止","断続")))</f>
        <v>判定不能</v>
      </c>
      <c r="T13" s="30" t="n">
        <v>0</v>
      </c>
      <c r="U13" s="30" t="n">
        <v>0</v>
      </c>
      <c r="V13" s="30" t="str">
        <f aca="false">IF(T13&lt;判定条件!$C$6,"判定不能",IF(U13&gt;=判定条件!$C$7*T13,"運転",IF(U13&lt;=判定条件!$C$8*T13,"停止","断続")))</f>
        <v>判定不能</v>
      </c>
      <c r="W13" s="30" t="n">
        <v>0</v>
      </c>
      <c r="X13" s="30" t="n">
        <v>0</v>
      </c>
      <c r="Y13" s="30" t="str">
        <f aca="false">IF(W13&lt;判定条件!$C$6,"判定不能",IF(X13&gt;=判定条件!$C$7*W13,"運転",IF(X13&lt;=判定条件!$C$8*W13,"停止","断続")))</f>
        <v>判定不能</v>
      </c>
      <c r="Z13" s="30" t="n">
        <v>0</v>
      </c>
      <c r="AA13" s="30" t="n">
        <v>0</v>
      </c>
      <c r="AB13" s="30" t="str">
        <f aca="false">IF(Z13&lt;判定条件!$C$6,"判定不能",IF(AA13&gt;=判定条件!$C$7*Z13,"運転",IF(AA13&lt;=判定条件!$C$8*Z13,"停止","断続")))</f>
        <v>判定不能</v>
      </c>
      <c r="AC13" s="30" t="n">
        <v>0</v>
      </c>
      <c r="AD13" s="30" t="n">
        <v>0</v>
      </c>
      <c r="AE13" s="30" t="str">
        <f aca="false">IF(AC13&lt;判定条件!$C$6,"判定不能",IF(AD13&gt;=判定条件!$C$7*AC13,"運転",IF(AD13&lt;=判定条件!$C$8*AC13,"停止","断続")))</f>
        <v>判定不能</v>
      </c>
      <c r="AF13" s="30" t="n">
        <v>0</v>
      </c>
      <c r="AG13" s="30" t="n">
        <v>0</v>
      </c>
      <c r="AH13" s="30" t="str">
        <f aca="false">IF(OR(P13="判定不能",G13="判定不能"),"判定不能",IF(AG13&gt;=判定条件!$C$9,"利用可",IF(AND(P13="停止",G13="停止"),"両方停止","運転がそろわない")))</f>
        <v>判定不能</v>
      </c>
      <c r="AI13" s="30" t="n">
        <v>0</v>
      </c>
      <c r="AJ13" s="30" t="n">
        <v>0</v>
      </c>
      <c r="AK13" s="30" t="str">
        <f aca="false">IF(OR(S13="判定不能",J13="判定不能"),"判定不能",IF(AJ13&gt;=判定条件!$C$9,"利用可",IF(AND(S13="停止",J13="停止"),"両方停止","運転がそろわない")))</f>
        <v>判定不能</v>
      </c>
      <c r="AL13" s="30" t="n">
        <v>0</v>
      </c>
      <c r="AM13" s="30" t="n">
        <v>0</v>
      </c>
      <c r="AN13" s="30" t="str">
        <f aca="false">IF(OR(V13="判定不能",M13="判定不能"),"判定不能",IF(AM13&gt;=判定条件!$C$9,"利用可",IF(AND(V13="停止",M13="停止"),"両方停止","運転がそろわない")))</f>
        <v>判定不能</v>
      </c>
      <c r="AO13" s="30" t="n">
        <v>0</v>
      </c>
      <c r="AP13" s="30" t="n">
        <v>0</v>
      </c>
      <c r="AQ13" s="30" t="str">
        <f aca="false">IF(OR(Y13="判定不能",G13="判定不能"),"判定不能",IF(AP13&gt;=判定条件!$C$9,"利用可",IF(AND(Y13="停止",G13="停止"),"両方停止","運転がそろわない")))</f>
        <v>判定不能</v>
      </c>
      <c r="AR13" s="30" t="n">
        <v>0</v>
      </c>
      <c r="AS13" s="30" t="n">
        <v>0</v>
      </c>
      <c r="AT13" s="30" t="str">
        <f aca="false">IF(OR(AB13="判定不能",J13="判定不能"),"判定不能",IF(AS13&gt;=判定条件!$C$9,"利用可",IF(AND(AB13="停止",J13="停止"),"両方停止","運転がそろわない")))</f>
        <v>判定不能</v>
      </c>
      <c r="AU13" s="30" t="n">
        <v>0</v>
      </c>
      <c r="AV13" s="30" t="n">
        <v>0</v>
      </c>
      <c r="AW13" s="30" t="str">
        <f aca="false">IF(OR(AE13="判定不能",M13="判定不能"),"判定不能",IF(AV13&gt;=判定条件!$C$9,"利用可",IF(AND(AE13="停止",M13="停止"),"両方停止","運転がそろわない")))</f>
        <v>判定不能</v>
      </c>
      <c r="AX13" s="30" t="str">
        <f aca="false">IF(AND(AH13="利用可",AK13="利用可",AN13="利用可"),"利用可","不可")</f>
        <v>不可</v>
      </c>
      <c r="AY13" s="30" t="str">
        <f aca="false">IF(AND(AQ13="利用可",AT13="利用可",AW13="利用可"),"利用可","不可")</f>
        <v>不可</v>
      </c>
    </row>
    <row r="14" customFormat="false" ht="15" hidden="false" customHeight="false" outlineLevel="0" collapsed="false">
      <c r="A14" s="29" t="n">
        <v>46232</v>
      </c>
      <c r="B14" s="30" t="n">
        <v>11</v>
      </c>
      <c r="C14" s="31" t="s">
        <v>58</v>
      </c>
      <c r="D14" s="31" t="s">
        <v>59</v>
      </c>
      <c r="E14" s="30" t="n">
        <v>0</v>
      </c>
      <c r="F14" s="30" t="n">
        <v>0</v>
      </c>
      <c r="G14" s="30" t="str">
        <f aca="false">IF(E14&lt;判定条件!$C$6,"判定不能",IF(F14&gt;=判定条件!$C$7*E14,"運転",IF(F14&lt;=判定条件!$C$8*E14,"停止","断続")))</f>
        <v>判定不能</v>
      </c>
      <c r="H14" s="30" t="n">
        <v>0</v>
      </c>
      <c r="I14" s="30" t="n">
        <v>0</v>
      </c>
      <c r="J14" s="30" t="str">
        <f aca="false">IF(H14&lt;判定条件!$C$6,"判定不能",IF(I14&gt;=判定条件!$C$7*H14,"運転",IF(I14&lt;=判定条件!$C$8*H14,"停止","断続")))</f>
        <v>判定不能</v>
      </c>
      <c r="K14" s="30" t="n">
        <v>0</v>
      </c>
      <c r="L14" s="30" t="n">
        <v>0</v>
      </c>
      <c r="M14" s="30" t="str">
        <f aca="false">IF(K14&lt;判定条件!$C$6,"判定不能",IF(L14&gt;=判定条件!$C$7*K14,"運転",IF(L14&lt;=判定条件!$C$8*K14,"停止","断続")))</f>
        <v>判定不能</v>
      </c>
      <c r="N14" s="30" t="n">
        <v>0</v>
      </c>
      <c r="O14" s="30" t="n">
        <v>0</v>
      </c>
      <c r="P14" s="30" t="str">
        <f aca="false">IF(N14&lt;判定条件!$C$6,"判定不能",IF(O14&gt;=判定条件!$C$7*N14,"運転",IF(O14&lt;=判定条件!$C$8*N14,"停止","断続")))</f>
        <v>判定不能</v>
      </c>
      <c r="Q14" s="30" t="n">
        <v>0</v>
      </c>
      <c r="R14" s="30" t="n">
        <v>0</v>
      </c>
      <c r="S14" s="30" t="str">
        <f aca="false">IF(Q14&lt;判定条件!$C$6,"判定不能",IF(R14&gt;=判定条件!$C$7*Q14,"運転",IF(R14&lt;=判定条件!$C$8*Q14,"停止","断続")))</f>
        <v>判定不能</v>
      </c>
      <c r="T14" s="30" t="n">
        <v>0</v>
      </c>
      <c r="U14" s="30" t="n">
        <v>0</v>
      </c>
      <c r="V14" s="30" t="str">
        <f aca="false">IF(T14&lt;判定条件!$C$6,"判定不能",IF(U14&gt;=判定条件!$C$7*T14,"運転",IF(U14&lt;=判定条件!$C$8*T14,"停止","断続")))</f>
        <v>判定不能</v>
      </c>
      <c r="W14" s="30" t="n">
        <v>0</v>
      </c>
      <c r="X14" s="30" t="n">
        <v>0</v>
      </c>
      <c r="Y14" s="30" t="str">
        <f aca="false">IF(W14&lt;判定条件!$C$6,"判定不能",IF(X14&gt;=判定条件!$C$7*W14,"運転",IF(X14&lt;=判定条件!$C$8*W14,"停止","断続")))</f>
        <v>判定不能</v>
      </c>
      <c r="Z14" s="30" t="n">
        <v>0</v>
      </c>
      <c r="AA14" s="30" t="n">
        <v>0</v>
      </c>
      <c r="AB14" s="30" t="str">
        <f aca="false">IF(Z14&lt;判定条件!$C$6,"判定不能",IF(AA14&gt;=判定条件!$C$7*Z14,"運転",IF(AA14&lt;=判定条件!$C$8*Z14,"停止","断続")))</f>
        <v>判定不能</v>
      </c>
      <c r="AC14" s="30" t="n">
        <v>0</v>
      </c>
      <c r="AD14" s="30" t="n">
        <v>0</v>
      </c>
      <c r="AE14" s="30" t="str">
        <f aca="false">IF(AC14&lt;判定条件!$C$6,"判定不能",IF(AD14&gt;=判定条件!$C$7*AC14,"運転",IF(AD14&lt;=判定条件!$C$8*AC14,"停止","断続")))</f>
        <v>判定不能</v>
      </c>
      <c r="AF14" s="30" t="n">
        <v>0</v>
      </c>
      <c r="AG14" s="30" t="n">
        <v>0</v>
      </c>
      <c r="AH14" s="30" t="str">
        <f aca="false">IF(OR(P14="判定不能",G14="判定不能"),"判定不能",IF(AG14&gt;=判定条件!$C$9,"利用可",IF(AND(P14="停止",G14="停止"),"両方停止","運転がそろわない")))</f>
        <v>判定不能</v>
      </c>
      <c r="AI14" s="30" t="n">
        <v>0</v>
      </c>
      <c r="AJ14" s="30" t="n">
        <v>0</v>
      </c>
      <c r="AK14" s="30" t="str">
        <f aca="false">IF(OR(S14="判定不能",J14="判定不能"),"判定不能",IF(AJ14&gt;=判定条件!$C$9,"利用可",IF(AND(S14="停止",J14="停止"),"両方停止","運転がそろわない")))</f>
        <v>判定不能</v>
      </c>
      <c r="AL14" s="30" t="n">
        <v>0</v>
      </c>
      <c r="AM14" s="30" t="n">
        <v>0</v>
      </c>
      <c r="AN14" s="30" t="str">
        <f aca="false">IF(OR(V14="判定不能",M14="判定不能"),"判定不能",IF(AM14&gt;=判定条件!$C$9,"利用可",IF(AND(V14="停止",M14="停止"),"両方停止","運転がそろわない")))</f>
        <v>判定不能</v>
      </c>
      <c r="AO14" s="30" t="n">
        <v>0</v>
      </c>
      <c r="AP14" s="30" t="n">
        <v>0</v>
      </c>
      <c r="AQ14" s="30" t="str">
        <f aca="false">IF(OR(Y14="判定不能",G14="判定不能"),"判定不能",IF(AP14&gt;=判定条件!$C$9,"利用可",IF(AND(Y14="停止",G14="停止"),"両方停止","運転がそろわない")))</f>
        <v>判定不能</v>
      </c>
      <c r="AR14" s="30" t="n">
        <v>0</v>
      </c>
      <c r="AS14" s="30" t="n">
        <v>0</v>
      </c>
      <c r="AT14" s="30" t="str">
        <f aca="false">IF(OR(AB14="判定不能",J14="判定不能"),"判定不能",IF(AS14&gt;=判定条件!$C$9,"利用可",IF(AND(AB14="停止",J14="停止"),"両方停止","運転がそろわない")))</f>
        <v>判定不能</v>
      </c>
      <c r="AU14" s="30" t="n">
        <v>0</v>
      </c>
      <c r="AV14" s="30" t="n">
        <v>0</v>
      </c>
      <c r="AW14" s="30" t="str">
        <f aca="false">IF(OR(AE14="判定不能",M14="判定不能"),"判定不能",IF(AV14&gt;=判定条件!$C$9,"利用可",IF(AND(AE14="停止",M14="停止"),"両方停止","運転がそろわない")))</f>
        <v>判定不能</v>
      </c>
      <c r="AX14" s="30" t="str">
        <f aca="false">IF(AND(AH14="利用可",AK14="利用可",AN14="利用可"),"利用可","不可")</f>
        <v>不可</v>
      </c>
      <c r="AY14" s="30" t="str">
        <f aca="false">IF(AND(AQ14="利用可",AT14="利用可",AW14="利用可"),"利用可","不可")</f>
        <v>不可</v>
      </c>
    </row>
    <row r="15" customFormat="false" ht="15" hidden="false" customHeight="false" outlineLevel="0" collapsed="false">
      <c r="A15" s="29" t="n">
        <v>46232</v>
      </c>
      <c r="B15" s="30" t="n">
        <v>12</v>
      </c>
      <c r="C15" s="31" t="s">
        <v>58</v>
      </c>
      <c r="D15" s="31" t="s">
        <v>59</v>
      </c>
      <c r="E15" s="30" t="n">
        <v>0</v>
      </c>
      <c r="F15" s="30" t="n">
        <v>0</v>
      </c>
      <c r="G15" s="30" t="str">
        <f aca="false">IF(E15&lt;判定条件!$C$6,"判定不能",IF(F15&gt;=判定条件!$C$7*E15,"運転",IF(F15&lt;=判定条件!$C$8*E15,"停止","断続")))</f>
        <v>判定不能</v>
      </c>
      <c r="H15" s="30" t="n">
        <v>0</v>
      </c>
      <c r="I15" s="30" t="n">
        <v>0</v>
      </c>
      <c r="J15" s="30" t="str">
        <f aca="false">IF(H15&lt;判定条件!$C$6,"判定不能",IF(I15&gt;=判定条件!$C$7*H15,"運転",IF(I15&lt;=判定条件!$C$8*H15,"停止","断続")))</f>
        <v>判定不能</v>
      </c>
      <c r="K15" s="30" t="n">
        <v>0</v>
      </c>
      <c r="L15" s="30" t="n">
        <v>0</v>
      </c>
      <c r="M15" s="30" t="str">
        <f aca="false">IF(K15&lt;判定条件!$C$6,"判定不能",IF(L15&gt;=判定条件!$C$7*K15,"運転",IF(L15&lt;=判定条件!$C$8*K15,"停止","断続")))</f>
        <v>判定不能</v>
      </c>
      <c r="N15" s="30" t="n">
        <v>0</v>
      </c>
      <c r="O15" s="30" t="n">
        <v>0</v>
      </c>
      <c r="P15" s="30" t="str">
        <f aca="false">IF(N15&lt;判定条件!$C$6,"判定不能",IF(O15&gt;=判定条件!$C$7*N15,"運転",IF(O15&lt;=判定条件!$C$8*N15,"停止","断続")))</f>
        <v>判定不能</v>
      </c>
      <c r="Q15" s="30" t="n">
        <v>0</v>
      </c>
      <c r="R15" s="30" t="n">
        <v>0</v>
      </c>
      <c r="S15" s="30" t="str">
        <f aca="false">IF(Q15&lt;判定条件!$C$6,"判定不能",IF(R15&gt;=判定条件!$C$7*Q15,"運転",IF(R15&lt;=判定条件!$C$8*Q15,"停止","断続")))</f>
        <v>判定不能</v>
      </c>
      <c r="T15" s="30" t="n">
        <v>0</v>
      </c>
      <c r="U15" s="30" t="n">
        <v>0</v>
      </c>
      <c r="V15" s="30" t="str">
        <f aca="false">IF(T15&lt;判定条件!$C$6,"判定不能",IF(U15&gt;=判定条件!$C$7*T15,"運転",IF(U15&lt;=判定条件!$C$8*T15,"停止","断続")))</f>
        <v>判定不能</v>
      </c>
      <c r="W15" s="30" t="n">
        <v>0</v>
      </c>
      <c r="X15" s="30" t="n">
        <v>0</v>
      </c>
      <c r="Y15" s="30" t="str">
        <f aca="false">IF(W15&lt;判定条件!$C$6,"判定不能",IF(X15&gt;=判定条件!$C$7*W15,"運転",IF(X15&lt;=判定条件!$C$8*W15,"停止","断続")))</f>
        <v>判定不能</v>
      </c>
      <c r="Z15" s="30" t="n">
        <v>0</v>
      </c>
      <c r="AA15" s="30" t="n">
        <v>0</v>
      </c>
      <c r="AB15" s="30" t="str">
        <f aca="false">IF(Z15&lt;判定条件!$C$6,"判定不能",IF(AA15&gt;=判定条件!$C$7*Z15,"運転",IF(AA15&lt;=判定条件!$C$8*Z15,"停止","断続")))</f>
        <v>判定不能</v>
      </c>
      <c r="AC15" s="30" t="n">
        <v>0</v>
      </c>
      <c r="AD15" s="30" t="n">
        <v>0</v>
      </c>
      <c r="AE15" s="30" t="str">
        <f aca="false">IF(AC15&lt;判定条件!$C$6,"判定不能",IF(AD15&gt;=判定条件!$C$7*AC15,"運転",IF(AD15&lt;=判定条件!$C$8*AC15,"停止","断続")))</f>
        <v>判定不能</v>
      </c>
      <c r="AF15" s="30" t="n">
        <v>0</v>
      </c>
      <c r="AG15" s="30" t="n">
        <v>0</v>
      </c>
      <c r="AH15" s="30" t="str">
        <f aca="false">IF(OR(P15="判定不能",G15="判定不能"),"判定不能",IF(AG15&gt;=判定条件!$C$9,"利用可",IF(AND(P15="停止",G15="停止"),"両方停止","運転がそろわない")))</f>
        <v>判定不能</v>
      </c>
      <c r="AI15" s="30" t="n">
        <v>0</v>
      </c>
      <c r="AJ15" s="30" t="n">
        <v>0</v>
      </c>
      <c r="AK15" s="30" t="str">
        <f aca="false">IF(OR(S15="判定不能",J15="判定不能"),"判定不能",IF(AJ15&gt;=判定条件!$C$9,"利用可",IF(AND(S15="停止",J15="停止"),"両方停止","運転がそろわない")))</f>
        <v>判定不能</v>
      </c>
      <c r="AL15" s="30" t="n">
        <v>0</v>
      </c>
      <c r="AM15" s="30" t="n">
        <v>0</v>
      </c>
      <c r="AN15" s="30" t="str">
        <f aca="false">IF(OR(V15="判定不能",M15="判定不能"),"判定不能",IF(AM15&gt;=判定条件!$C$9,"利用可",IF(AND(V15="停止",M15="停止"),"両方停止","運転がそろわない")))</f>
        <v>判定不能</v>
      </c>
      <c r="AO15" s="30" t="n">
        <v>0</v>
      </c>
      <c r="AP15" s="30" t="n">
        <v>0</v>
      </c>
      <c r="AQ15" s="30" t="str">
        <f aca="false">IF(OR(Y15="判定不能",G15="判定不能"),"判定不能",IF(AP15&gt;=判定条件!$C$9,"利用可",IF(AND(Y15="停止",G15="停止"),"両方停止","運転がそろわない")))</f>
        <v>判定不能</v>
      </c>
      <c r="AR15" s="30" t="n">
        <v>0</v>
      </c>
      <c r="AS15" s="30" t="n">
        <v>0</v>
      </c>
      <c r="AT15" s="30" t="str">
        <f aca="false">IF(OR(AB15="判定不能",J15="判定不能"),"判定不能",IF(AS15&gt;=判定条件!$C$9,"利用可",IF(AND(AB15="停止",J15="停止"),"両方停止","運転がそろわない")))</f>
        <v>判定不能</v>
      </c>
      <c r="AU15" s="30" t="n">
        <v>0</v>
      </c>
      <c r="AV15" s="30" t="n">
        <v>0</v>
      </c>
      <c r="AW15" s="30" t="str">
        <f aca="false">IF(OR(AE15="判定不能",M15="判定不能"),"判定不能",IF(AV15&gt;=判定条件!$C$9,"利用可",IF(AND(AE15="停止",M15="停止"),"両方停止","運転がそろわない")))</f>
        <v>判定不能</v>
      </c>
      <c r="AX15" s="30" t="str">
        <f aca="false">IF(AND(AH15="利用可",AK15="利用可",AN15="利用可"),"利用可","不可")</f>
        <v>不可</v>
      </c>
      <c r="AY15" s="30" t="str">
        <f aca="false">IF(AND(AQ15="利用可",AT15="利用可",AW15="利用可"),"利用可","不可")</f>
        <v>不可</v>
      </c>
    </row>
    <row r="16" customFormat="false" ht="15" hidden="false" customHeight="false" outlineLevel="0" collapsed="false">
      <c r="A16" s="29" t="n">
        <v>46232</v>
      </c>
      <c r="B16" s="30" t="n">
        <v>13</v>
      </c>
      <c r="C16" s="31" t="s">
        <v>58</v>
      </c>
      <c r="D16" s="31" t="s">
        <v>59</v>
      </c>
      <c r="E16" s="30" t="n">
        <v>0</v>
      </c>
      <c r="F16" s="30" t="n">
        <v>0</v>
      </c>
      <c r="G16" s="30" t="str">
        <f aca="false">IF(E16&lt;判定条件!$C$6,"判定不能",IF(F16&gt;=判定条件!$C$7*E16,"運転",IF(F16&lt;=判定条件!$C$8*E16,"停止","断続")))</f>
        <v>判定不能</v>
      </c>
      <c r="H16" s="30" t="n">
        <v>0</v>
      </c>
      <c r="I16" s="30" t="n">
        <v>0</v>
      </c>
      <c r="J16" s="30" t="str">
        <f aca="false">IF(H16&lt;判定条件!$C$6,"判定不能",IF(I16&gt;=判定条件!$C$7*H16,"運転",IF(I16&lt;=判定条件!$C$8*H16,"停止","断続")))</f>
        <v>判定不能</v>
      </c>
      <c r="K16" s="30" t="n">
        <v>0</v>
      </c>
      <c r="L16" s="30" t="n">
        <v>0</v>
      </c>
      <c r="M16" s="30" t="str">
        <f aca="false">IF(K16&lt;判定条件!$C$6,"判定不能",IF(L16&gt;=判定条件!$C$7*K16,"運転",IF(L16&lt;=判定条件!$C$8*K16,"停止","断続")))</f>
        <v>判定不能</v>
      </c>
      <c r="N16" s="30" t="n">
        <v>0</v>
      </c>
      <c r="O16" s="30" t="n">
        <v>0</v>
      </c>
      <c r="P16" s="30" t="str">
        <f aca="false">IF(N16&lt;判定条件!$C$6,"判定不能",IF(O16&gt;=判定条件!$C$7*N16,"運転",IF(O16&lt;=判定条件!$C$8*N16,"停止","断続")))</f>
        <v>判定不能</v>
      </c>
      <c r="Q16" s="30" t="n">
        <v>0</v>
      </c>
      <c r="R16" s="30" t="n">
        <v>0</v>
      </c>
      <c r="S16" s="30" t="str">
        <f aca="false">IF(Q16&lt;判定条件!$C$6,"判定不能",IF(R16&gt;=判定条件!$C$7*Q16,"運転",IF(R16&lt;=判定条件!$C$8*Q16,"停止","断続")))</f>
        <v>判定不能</v>
      </c>
      <c r="T16" s="30" t="n">
        <v>0</v>
      </c>
      <c r="U16" s="30" t="n">
        <v>0</v>
      </c>
      <c r="V16" s="30" t="str">
        <f aca="false">IF(T16&lt;判定条件!$C$6,"判定不能",IF(U16&gt;=判定条件!$C$7*T16,"運転",IF(U16&lt;=判定条件!$C$8*T16,"停止","断続")))</f>
        <v>判定不能</v>
      </c>
      <c r="W16" s="30" t="n">
        <v>0</v>
      </c>
      <c r="X16" s="30" t="n">
        <v>0</v>
      </c>
      <c r="Y16" s="30" t="str">
        <f aca="false">IF(W16&lt;判定条件!$C$6,"判定不能",IF(X16&gt;=判定条件!$C$7*W16,"運転",IF(X16&lt;=判定条件!$C$8*W16,"停止","断続")))</f>
        <v>判定不能</v>
      </c>
      <c r="Z16" s="30" t="n">
        <v>0</v>
      </c>
      <c r="AA16" s="30" t="n">
        <v>0</v>
      </c>
      <c r="AB16" s="30" t="str">
        <f aca="false">IF(Z16&lt;判定条件!$C$6,"判定不能",IF(AA16&gt;=判定条件!$C$7*Z16,"運転",IF(AA16&lt;=判定条件!$C$8*Z16,"停止","断続")))</f>
        <v>判定不能</v>
      </c>
      <c r="AC16" s="30" t="n">
        <v>0</v>
      </c>
      <c r="AD16" s="30" t="n">
        <v>0</v>
      </c>
      <c r="AE16" s="30" t="str">
        <f aca="false">IF(AC16&lt;判定条件!$C$6,"判定不能",IF(AD16&gt;=判定条件!$C$7*AC16,"運転",IF(AD16&lt;=判定条件!$C$8*AC16,"停止","断続")))</f>
        <v>判定不能</v>
      </c>
      <c r="AF16" s="30" t="n">
        <v>0</v>
      </c>
      <c r="AG16" s="30" t="n">
        <v>0</v>
      </c>
      <c r="AH16" s="30" t="str">
        <f aca="false">IF(OR(P16="判定不能",G16="判定不能"),"判定不能",IF(AG16&gt;=判定条件!$C$9,"利用可",IF(AND(P16="停止",G16="停止"),"両方停止","運転がそろわない")))</f>
        <v>判定不能</v>
      </c>
      <c r="AI16" s="30" t="n">
        <v>0</v>
      </c>
      <c r="AJ16" s="30" t="n">
        <v>0</v>
      </c>
      <c r="AK16" s="30" t="str">
        <f aca="false">IF(OR(S16="判定不能",J16="判定不能"),"判定不能",IF(AJ16&gt;=判定条件!$C$9,"利用可",IF(AND(S16="停止",J16="停止"),"両方停止","運転がそろわない")))</f>
        <v>判定不能</v>
      </c>
      <c r="AL16" s="30" t="n">
        <v>0</v>
      </c>
      <c r="AM16" s="30" t="n">
        <v>0</v>
      </c>
      <c r="AN16" s="30" t="str">
        <f aca="false">IF(OR(V16="判定不能",M16="判定不能"),"判定不能",IF(AM16&gt;=判定条件!$C$9,"利用可",IF(AND(V16="停止",M16="停止"),"両方停止","運転がそろわない")))</f>
        <v>判定不能</v>
      </c>
      <c r="AO16" s="30" t="n">
        <v>0</v>
      </c>
      <c r="AP16" s="30" t="n">
        <v>0</v>
      </c>
      <c r="AQ16" s="30" t="str">
        <f aca="false">IF(OR(Y16="判定不能",G16="判定不能"),"判定不能",IF(AP16&gt;=判定条件!$C$9,"利用可",IF(AND(Y16="停止",G16="停止"),"両方停止","運転がそろわない")))</f>
        <v>判定不能</v>
      </c>
      <c r="AR16" s="30" t="n">
        <v>0</v>
      </c>
      <c r="AS16" s="30" t="n">
        <v>0</v>
      </c>
      <c r="AT16" s="30" t="str">
        <f aca="false">IF(OR(AB16="判定不能",J16="判定不能"),"判定不能",IF(AS16&gt;=判定条件!$C$9,"利用可",IF(AND(AB16="停止",J16="停止"),"両方停止","運転がそろわない")))</f>
        <v>判定不能</v>
      </c>
      <c r="AU16" s="30" t="n">
        <v>0</v>
      </c>
      <c r="AV16" s="30" t="n">
        <v>0</v>
      </c>
      <c r="AW16" s="30" t="str">
        <f aca="false">IF(OR(AE16="判定不能",M16="判定不能"),"判定不能",IF(AV16&gt;=判定条件!$C$9,"利用可",IF(AND(AE16="停止",M16="停止"),"両方停止","運転がそろわない")))</f>
        <v>判定不能</v>
      </c>
      <c r="AX16" s="30" t="str">
        <f aca="false">IF(AND(AH16="利用可",AK16="利用可",AN16="利用可"),"利用可","不可")</f>
        <v>不可</v>
      </c>
      <c r="AY16" s="30" t="str">
        <f aca="false">IF(AND(AQ16="利用可",AT16="利用可",AW16="利用可"),"利用可","不可")</f>
        <v>不可</v>
      </c>
    </row>
    <row r="17" customFormat="false" ht="15" hidden="false" customHeight="false" outlineLevel="0" collapsed="false">
      <c r="A17" s="29" t="n">
        <v>46232</v>
      </c>
      <c r="B17" s="30" t="n">
        <v>14</v>
      </c>
      <c r="C17" s="31" t="s">
        <v>58</v>
      </c>
      <c r="D17" s="31" t="s">
        <v>59</v>
      </c>
      <c r="E17" s="30" t="n">
        <v>0</v>
      </c>
      <c r="F17" s="30" t="n">
        <v>0</v>
      </c>
      <c r="G17" s="30" t="str">
        <f aca="false">IF(E17&lt;判定条件!$C$6,"判定不能",IF(F17&gt;=判定条件!$C$7*E17,"運転",IF(F17&lt;=判定条件!$C$8*E17,"停止","断続")))</f>
        <v>判定不能</v>
      </c>
      <c r="H17" s="30" t="n">
        <v>0</v>
      </c>
      <c r="I17" s="30" t="n">
        <v>0</v>
      </c>
      <c r="J17" s="30" t="str">
        <f aca="false">IF(H17&lt;判定条件!$C$6,"判定不能",IF(I17&gt;=判定条件!$C$7*H17,"運転",IF(I17&lt;=判定条件!$C$8*H17,"停止","断続")))</f>
        <v>判定不能</v>
      </c>
      <c r="K17" s="30" t="n">
        <v>0</v>
      </c>
      <c r="L17" s="30" t="n">
        <v>0</v>
      </c>
      <c r="M17" s="30" t="str">
        <f aca="false">IF(K17&lt;判定条件!$C$6,"判定不能",IF(L17&gt;=判定条件!$C$7*K17,"運転",IF(L17&lt;=判定条件!$C$8*K17,"停止","断続")))</f>
        <v>判定不能</v>
      </c>
      <c r="N17" s="30" t="n">
        <v>0</v>
      </c>
      <c r="O17" s="30" t="n">
        <v>0</v>
      </c>
      <c r="P17" s="30" t="str">
        <f aca="false">IF(N17&lt;判定条件!$C$6,"判定不能",IF(O17&gt;=判定条件!$C$7*N17,"運転",IF(O17&lt;=判定条件!$C$8*N17,"停止","断続")))</f>
        <v>判定不能</v>
      </c>
      <c r="Q17" s="30" t="n">
        <v>0</v>
      </c>
      <c r="R17" s="30" t="n">
        <v>0</v>
      </c>
      <c r="S17" s="30" t="str">
        <f aca="false">IF(Q17&lt;判定条件!$C$6,"判定不能",IF(R17&gt;=判定条件!$C$7*Q17,"運転",IF(R17&lt;=判定条件!$C$8*Q17,"停止","断続")))</f>
        <v>判定不能</v>
      </c>
      <c r="T17" s="30" t="n">
        <v>0</v>
      </c>
      <c r="U17" s="30" t="n">
        <v>0</v>
      </c>
      <c r="V17" s="30" t="str">
        <f aca="false">IF(T17&lt;判定条件!$C$6,"判定不能",IF(U17&gt;=判定条件!$C$7*T17,"運転",IF(U17&lt;=判定条件!$C$8*T17,"停止","断続")))</f>
        <v>判定不能</v>
      </c>
      <c r="W17" s="30" t="n">
        <v>0</v>
      </c>
      <c r="X17" s="30" t="n">
        <v>0</v>
      </c>
      <c r="Y17" s="30" t="str">
        <f aca="false">IF(W17&lt;判定条件!$C$6,"判定不能",IF(X17&gt;=判定条件!$C$7*W17,"運転",IF(X17&lt;=判定条件!$C$8*W17,"停止","断続")))</f>
        <v>判定不能</v>
      </c>
      <c r="Z17" s="30" t="n">
        <v>0</v>
      </c>
      <c r="AA17" s="30" t="n">
        <v>0</v>
      </c>
      <c r="AB17" s="30" t="str">
        <f aca="false">IF(Z17&lt;判定条件!$C$6,"判定不能",IF(AA17&gt;=判定条件!$C$7*Z17,"運転",IF(AA17&lt;=判定条件!$C$8*Z17,"停止","断続")))</f>
        <v>判定不能</v>
      </c>
      <c r="AC17" s="30" t="n">
        <v>0</v>
      </c>
      <c r="AD17" s="30" t="n">
        <v>0</v>
      </c>
      <c r="AE17" s="30" t="str">
        <f aca="false">IF(AC17&lt;判定条件!$C$6,"判定不能",IF(AD17&gt;=判定条件!$C$7*AC17,"運転",IF(AD17&lt;=判定条件!$C$8*AC17,"停止","断続")))</f>
        <v>判定不能</v>
      </c>
      <c r="AF17" s="30" t="n">
        <v>0</v>
      </c>
      <c r="AG17" s="30" t="n">
        <v>0</v>
      </c>
      <c r="AH17" s="30" t="str">
        <f aca="false">IF(OR(P17="判定不能",G17="判定不能"),"判定不能",IF(AG17&gt;=判定条件!$C$9,"利用可",IF(AND(P17="停止",G17="停止"),"両方停止","運転がそろわない")))</f>
        <v>判定不能</v>
      </c>
      <c r="AI17" s="30" t="n">
        <v>0</v>
      </c>
      <c r="AJ17" s="30" t="n">
        <v>0</v>
      </c>
      <c r="AK17" s="30" t="str">
        <f aca="false">IF(OR(S17="判定不能",J17="判定不能"),"判定不能",IF(AJ17&gt;=判定条件!$C$9,"利用可",IF(AND(S17="停止",J17="停止"),"両方停止","運転がそろわない")))</f>
        <v>判定不能</v>
      </c>
      <c r="AL17" s="30" t="n">
        <v>0</v>
      </c>
      <c r="AM17" s="30" t="n">
        <v>0</v>
      </c>
      <c r="AN17" s="30" t="str">
        <f aca="false">IF(OR(V17="判定不能",M17="判定不能"),"判定不能",IF(AM17&gt;=判定条件!$C$9,"利用可",IF(AND(V17="停止",M17="停止"),"両方停止","運転がそろわない")))</f>
        <v>判定不能</v>
      </c>
      <c r="AO17" s="30" t="n">
        <v>0</v>
      </c>
      <c r="AP17" s="30" t="n">
        <v>0</v>
      </c>
      <c r="AQ17" s="30" t="str">
        <f aca="false">IF(OR(Y17="判定不能",G17="判定不能"),"判定不能",IF(AP17&gt;=判定条件!$C$9,"利用可",IF(AND(Y17="停止",G17="停止"),"両方停止","運転がそろわない")))</f>
        <v>判定不能</v>
      </c>
      <c r="AR17" s="30" t="n">
        <v>0</v>
      </c>
      <c r="AS17" s="30" t="n">
        <v>0</v>
      </c>
      <c r="AT17" s="30" t="str">
        <f aca="false">IF(OR(AB17="判定不能",J17="判定不能"),"判定不能",IF(AS17&gt;=判定条件!$C$9,"利用可",IF(AND(AB17="停止",J17="停止"),"両方停止","運転がそろわない")))</f>
        <v>判定不能</v>
      </c>
      <c r="AU17" s="30" t="n">
        <v>0</v>
      </c>
      <c r="AV17" s="30" t="n">
        <v>0</v>
      </c>
      <c r="AW17" s="30" t="str">
        <f aca="false">IF(OR(AE17="判定不能",M17="判定不能"),"判定不能",IF(AV17&gt;=判定条件!$C$9,"利用可",IF(AND(AE17="停止",M17="停止"),"両方停止","運転がそろわない")))</f>
        <v>判定不能</v>
      </c>
      <c r="AX17" s="30" t="str">
        <f aca="false">IF(AND(AH17="利用可",AK17="利用可",AN17="利用可"),"利用可","不可")</f>
        <v>不可</v>
      </c>
      <c r="AY17" s="30" t="str">
        <f aca="false">IF(AND(AQ17="利用可",AT17="利用可",AW17="利用可"),"利用可","不可")</f>
        <v>不可</v>
      </c>
    </row>
    <row r="18" customFormat="false" ht="15" hidden="false" customHeight="false" outlineLevel="0" collapsed="false">
      <c r="A18" s="29" t="n">
        <v>46232</v>
      </c>
      <c r="B18" s="30" t="n">
        <v>15</v>
      </c>
      <c r="C18" s="31" t="s">
        <v>58</v>
      </c>
      <c r="D18" s="31" t="s">
        <v>59</v>
      </c>
      <c r="E18" s="30" t="n">
        <v>0</v>
      </c>
      <c r="F18" s="30" t="n">
        <v>0</v>
      </c>
      <c r="G18" s="30" t="str">
        <f aca="false">IF(E18&lt;判定条件!$C$6,"判定不能",IF(F18&gt;=判定条件!$C$7*E18,"運転",IF(F18&lt;=判定条件!$C$8*E18,"停止","断続")))</f>
        <v>判定不能</v>
      </c>
      <c r="H18" s="30" t="n">
        <v>0</v>
      </c>
      <c r="I18" s="30" t="n">
        <v>0</v>
      </c>
      <c r="J18" s="30" t="str">
        <f aca="false">IF(H18&lt;判定条件!$C$6,"判定不能",IF(I18&gt;=判定条件!$C$7*H18,"運転",IF(I18&lt;=判定条件!$C$8*H18,"停止","断続")))</f>
        <v>判定不能</v>
      </c>
      <c r="K18" s="30" t="n">
        <v>0</v>
      </c>
      <c r="L18" s="30" t="n">
        <v>0</v>
      </c>
      <c r="M18" s="30" t="str">
        <f aca="false">IF(K18&lt;判定条件!$C$6,"判定不能",IF(L18&gt;=判定条件!$C$7*K18,"運転",IF(L18&lt;=判定条件!$C$8*K18,"停止","断続")))</f>
        <v>判定不能</v>
      </c>
      <c r="N18" s="30" t="n">
        <v>0</v>
      </c>
      <c r="O18" s="30" t="n">
        <v>0</v>
      </c>
      <c r="P18" s="30" t="str">
        <f aca="false">IF(N18&lt;判定条件!$C$6,"判定不能",IF(O18&gt;=判定条件!$C$7*N18,"運転",IF(O18&lt;=判定条件!$C$8*N18,"停止","断続")))</f>
        <v>判定不能</v>
      </c>
      <c r="Q18" s="30" t="n">
        <v>0</v>
      </c>
      <c r="R18" s="30" t="n">
        <v>0</v>
      </c>
      <c r="S18" s="30" t="str">
        <f aca="false">IF(Q18&lt;判定条件!$C$6,"判定不能",IF(R18&gt;=判定条件!$C$7*Q18,"運転",IF(R18&lt;=判定条件!$C$8*Q18,"停止","断続")))</f>
        <v>判定不能</v>
      </c>
      <c r="T18" s="30" t="n">
        <v>0</v>
      </c>
      <c r="U18" s="30" t="n">
        <v>0</v>
      </c>
      <c r="V18" s="30" t="str">
        <f aca="false">IF(T18&lt;判定条件!$C$6,"判定不能",IF(U18&gt;=判定条件!$C$7*T18,"運転",IF(U18&lt;=判定条件!$C$8*T18,"停止","断続")))</f>
        <v>判定不能</v>
      </c>
      <c r="W18" s="30" t="n">
        <v>0</v>
      </c>
      <c r="X18" s="30" t="n">
        <v>0</v>
      </c>
      <c r="Y18" s="30" t="str">
        <f aca="false">IF(W18&lt;判定条件!$C$6,"判定不能",IF(X18&gt;=判定条件!$C$7*W18,"運転",IF(X18&lt;=判定条件!$C$8*W18,"停止","断続")))</f>
        <v>判定不能</v>
      </c>
      <c r="Z18" s="30" t="n">
        <v>0</v>
      </c>
      <c r="AA18" s="30" t="n">
        <v>0</v>
      </c>
      <c r="AB18" s="30" t="str">
        <f aca="false">IF(Z18&lt;判定条件!$C$6,"判定不能",IF(AA18&gt;=判定条件!$C$7*Z18,"運転",IF(AA18&lt;=判定条件!$C$8*Z18,"停止","断続")))</f>
        <v>判定不能</v>
      </c>
      <c r="AC18" s="30" t="n">
        <v>0</v>
      </c>
      <c r="AD18" s="30" t="n">
        <v>0</v>
      </c>
      <c r="AE18" s="30" t="str">
        <f aca="false">IF(AC18&lt;判定条件!$C$6,"判定不能",IF(AD18&gt;=判定条件!$C$7*AC18,"運転",IF(AD18&lt;=判定条件!$C$8*AC18,"停止","断続")))</f>
        <v>判定不能</v>
      </c>
      <c r="AF18" s="30" t="n">
        <v>0</v>
      </c>
      <c r="AG18" s="30" t="n">
        <v>0</v>
      </c>
      <c r="AH18" s="30" t="str">
        <f aca="false">IF(OR(P18="判定不能",G18="判定不能"),"判定不能",IF(AG18&gt;=判定条件!$C$9,"利用可",IF(AND(P18="停止",G18="停止"),"両方停止","運転がそろわない")))</f>
        <v>判定不能</v>
      </c>
      <c r="AI18" s="30" t="n">
        <v>0</v>
      </c>
      <c r="AJ18" s="30" t="n">
        <v>0</v>
      </c>
      <c r="AK18" s="30" t="str">
        <f aca="false">IF(OR(S18="判定不能",J18="判定不能"),"判定不能",IF(AJ18&gt;=判定条件!$C$9,"利用可",IF(AND(S18="停止",J18="停止"),"両方停止","運転がそろわない")))</f>
        <v>判定不能</v>
      </c>
      <c r="AL18" s="30" t="n">
        <v>0</v>
      </c>
      <c r="AM18" s="30" t="n">
        <v>0</v>
      </c>
      <c r="AN18" s="30" t="str">
        <f aca="false">IF(OR(V18="判定不能",M18="判定不能"),"判定不能",IF(AM18&gt;=判定条件!$C$9,"利用可",IF(AND(V18="停止",M18="停止"),"両方停止","運転がそろわない")))</f>
        <v>判定不能</v>
      </c>
      <c r="AO18" s="30" t="n">
        <v>0</v>
      </c>
      <c r="AP18" s="30" t="n">
        <v>0</v>
      </c>
      <c r="AQ18" s="30" t="str">
        <f aca="false">IF(OR(Y18="判定不能",G18="判定不能"),"判定不能",IF(AP18&gt;=判定条件!$C$9,"利用可",IF(AND(Y18="停止",G18="停止"),"両方停止","運転がそろわない")))</f>
        <v>判定不能</v>
      </c>
      <c r="AR18" s="30" t="n">
        <v>0</v>
      </c>
      <c r="AS18" s="30" t="n">
        <v>0</v>
      </c>
      <c r="AT18" s="30" t="str">
        <f aca="false">IF(OR(AB18="判定不能",J18="判定不能"),"判定不能",IF(AS18&gt;=判定条件!$C$9,"利用可",IF(AND(AB18="停止",J18="停止"),"両方停止","運転がそろわない")))</f>
        <v>判定不能</v>
      </c>
      <c r="AU18" s="30" t="n">
        <v>0</v>
      </c>
      <c r="AV18" s="30" t="n">
        <v>0</v>
      </c>
      <c r="AW18" s="30" t="str">
        <f aca="false">IF(OR(AE18="判定不能",M18="判定不能"),"判定不能",IF(AV18&gt;=判定条件!$C$9,"利用可",IF(AND(AE18="停止",M18="停止"),"両方停止","運転がそろわない")))</f>
        <v>判定不能</v>
      </c>
      <c r="AX18" s="30" t="str">
        <f aca="false">IF(AND(AH18="利用可",AK18="利用可",AN18="利用可"),"利用可","不可")</f>
        <v>不可</v>
      </c>
      <c r="AY18" s="30" t="str">
        <f aca="false">IF(AND(AQ18="利用可",AT18="利用可",AW18="利用可"),"利用可","不可")</f>
        <v>不可</v>
      </c>
    </row>
    <row r="19" customFormat="false" ht="15" hidden="false" customHeight="false" outlineLevel="0" collapsed="false">
      <c r="A19" s="29" t="n">
        <v>46232</v>
      </c>
      <c r="B19" s="30" t="n">
        <v>16</v>
      </c>
      <c r="C19" s="31" t="s">
        <v>58</v>
      </c>
      <c r="D19" s="31" t="s">
        <v>59</v>
      </c>
      <c r="E19" s="30" t="n">
        <v>45</v>
      </c>
      <c r="F19" s="30" t="n">
        <v>18</v>
      </c>
      <c r="G19" s="30" t="str">
        <f aca="false">IF(E19&lt;判定条件!$C$6,"判定不能",IF(F19&gt;=判定条件!$C$7*E19,"運転",IF(F19&lt;=判定条件!$C$8*E19,"停止","断続")))</f>
        <v>判定不能</v>
      </c>
      <c r="H19" s="30" t="n">
        <v>45</v>
      </c>
      <c r="I19" s="30" t="n">
        <v>45</v>
      </c>
      <c r="J19" s="30" t="str">
        <f aca="false">IF(H19&lt;判定条件!$C$6,"判定不能",IF(I19&gt;=判定条件!$C$7*H19,"運転",IF(I19&lt;=判定条件!$C$8*H19,"停止","断続")))</f>
        <v>判定不能</v>
      </c>
      <c r="K19" s="30" t="n">
        <v>45</v>
      </c>
      <c r="L19" s="30" t="n">
        <v>45</v>
      </c>
      <c r="M19" s="30" t="str">
        <f aca="false">IF(K19&lt;判定条件!$C$6,"判定不能",IF(L19&gt;=判定条件!$C$7*K19,"運転",IF(L19&lt;=判定条件!$C$8*K19,"停止","断続")))</f>
        <v>判定不能</v>
      </c>
      <c r="N19" s="30" t="n">
        <v>45</v>
      </c>
      <c r="O19" s="30" t="n">
        <v>30</v>
      </c>
      <c r="P19" s="30" t="str">
        <f aca="false">IF(N19&lt;判定条件!$C$6,"判定不能",IF(O19&gt;=判定条件!$C$7*N19,"運転",IF(O19&lt;=判定条件!$C$8*N19,"停止","断続")))</f>
        <v>判定不能</v>
      </c>
      <c r="Q19" s="30" t="n">
        <v>45</v>
      </c>
      <c r="R19" s="30" t="n">
        <v>45</v>
      </c>
      <c r="S19" s="30" t="str">
        <f aca="false">IF(Q19&lt;判定条件!$C$6,"判定不能",IF(R19&gt;=判定条件!$C$7*Q19,"運転",IF(R19&lt;=判定条件!$C$8*Q19,"停止","断続")))</f>
        <v>判定不能</v>
      </c>
      <c r="T19" s="30" t="n">
        <v>45</v>
      </c>
      <c r="U19" s="30" t="n">
        <v>45</v>
      </c>
      <c r="V19" s="30" t="str">
        <f aca="false">IF(T19&lt;判定条件!$C$6,"判定不能",IF(U19&gt;=判定条件!$C$7*T19,"運転",IF(U19&lt;=判定条件!$C$8*T19,"停止","断続")))</f>
        <v>判定不能</v>
      </c>
      <c r="W19" s="30" t="n">
        <v>45</v>
      </c>
      <c r="X19" s="30" t="n">
        <v>30</v>
      </c>
      <c r="Y19" s="30" t="str">
        <f aca="false">IF(W19&lt;判定条件!$C$6,"判定不能",IF(X19&gt;=判定条件!$C$7*W19,"運転",IF(X19&lt;=判定条件!$C$8*W19,"停止","断続")))</f>
        <v>判定不能</v>
      </c>
      <c r="Z19" s="30" t="n">
        <v>45</v>
      </c>
      <c r="AA19" s="30" t="n">
        <v>32</v>
      </c>
      <c r="AB19" s="30" t="str">
        <f aca="false">IF(Z19&lt;判定条件!$C$6,"判定不能",IF(AA19&gt;=判定条件!$C$7*Z19,"運転",IF(AA19&lt;=判定条件!$C$8*Z19,"停止","断続")))</f>
        <v>判定不能</v>
      </c>
      <c r="AC19" s="30" t="n">
        <v>45</v>
      </c>
      <c r="AD19" s="30" t="n">
        <v>45</v>
      </c>
      <c r="AE19" s="30" t="str">
        <f aca="false">IF(AC19&lt;判定条件!$C$6,"判定不能",IF(AD19&gt;=判定条件!$C$7*AC19,"運転",IF(AD19&lt;=判定条件!$C$8*AC19,"停止","断続")))</f>
        <v>判定不能</v>
      </c>
      <c r="AF19" s="30" t="n">
        <v>45</v>
      </c>
      <c r="AG19" s="30" t="n">
        <v>12</v>
      </c>
      <c r="AH19" s="30" t="str">
        <f aca="false">IF(OR(P19="判定不能",G19="判定不能"),"判定不能",IF(AG19&gt;=判定条件!$C$9,"利用可",IF(AND(P19="停止",G19="停止"),"両方停止","運転がそろわない")))</f>
        <v>判定不能</v>
      </c>
      <c r="AI19" s="30" t="n">
        <v>45</v>
      </c>
      <c r="AJ19" s="30" t="n">
        <v>45</v>
      </c>
      <c r="AK19" s="30" t="str">
        <f aca="false">IF(OR(S19="判定不能",J19="判定不能"),"判定不能",IF(AJ19&gt;=判定条件!$C$9,"利用可",IF(AND(S19="停止",J19="停止"),"両方停止","運転がそろわない")))</f>
        <v>判定不能</v>
      </c>
      <c r="AL19" s="30" t="n">
        <v>45</v>
      </c>
      <c r="AM19" s="30" t="n">
        <v>45</v>
      </c>
      <c r="AN19" s="30" t="str">
        <f aca="false">IF(OR(V19="判定不能",M19="判定不能"),"判定不能",IF(AM19&gt;=判定条件!$C$9,"利用可",IF(AND(V19="停止",M19="停止"),"両方停止","運転がそろわない")))</f>
        <v>判定不能</v>
      </c>
      <c r="AO19" s="30" t="n">
        <v>45</v>
      </c>
      <c r="AP19" s="30" t="n">
        <v>18</v>
      </c>
      <c r="AQ19" s="30" t="str">
        <f aca="false">IF(OR(Y19="判定不能",G19="判定不能"),"判定不能",IF(AP19&gt;=判定条件!$C$9,"利用可",IF(AND(Y19="停止",G19="停止"),"両方停止","運転がそろわない")))</f>
        <v>判定不能</v>
      </c>
      <c r="AR19" s="30" t="n">
        <v>45</v>
      </c>
      <c r="AS19" s="30" t="n">
        <v>32</v>
      </c>
      <c r="AT19" s="30" t="str">
        <f aca="false">IF(OR(AB19="判定不能",J19="判定不能"),"判定不能",IF(AS19&gt;=判定条件!$C$9,"利用可",IF(AND(AB19="停止",J19="停止"),"両方停止","運転がそろわない")))</f>
        <v>判定不能</v>
      </c>
      <c r="AU19" s="30" t="n">
        <v>45</v>
      </c>
      <c r="AV19" s="30" t="n">
        <v>45</v>
      </c>
      <c r="AW19" s="30" t="str">
        <f aca="false">IF(OR(AE19="判定不能",M19="判定不能"),"判定不能",IF(AV19&gt;=判定条件!$C$9,"利用可",IF(AND(AE19="停止",M19="停止"),"両方停止","運転がそろわない")))</f>
        <v>判定不能</v>
      </c>
      <c r="AX19" s="30" t="str">
        <f aca="false">IF(AND(AH19="利用可",AK19="利用可",AN19="利用可"),"利用可","不可")</f>
        <v>不可</v>
      </c>
      <c r="AY19" s="30" t="str">
        <f aca="false">IF(AND(AQ19="利用可",AT19="利用可",AW19="利用可"),"利用可","不可")</f>
        <v>不可</v>
      </c>
    </row>
    <row r="20" customFormat="false" ht="15" hidden="false" customHeight="false" outlineLevel="0" collapsed="false">
      <c r="A20" s="29" t="n">
        <v>46232</v>
      </c>
      <c r="B20" s="30" t="n">
        <v>17</v>
      </c>
      <c r="C20" s="31" t="s">
        <v>58</v>
      </c>
      <c r="D20" s="31" t="s">
        <v>59</v>
      </c>
      <c r="E20" s="30" t="n">
        <v>60</v>
      </c>
      <c r="F20" s="30" t="n">
        <v>32</v>
      </c>
      <c r="G20" s="30" t="str">
        <f aca="false">IF(E20&lt;判定条件!$C$6,"判定不能",IF(F20&gt;=判定条件!$C$7*E20,"運転",IF(F20&lt;=判定条件!$C$8*E20,"停止","断続")))</f>
        <v>断続</v>
      </c>
      <c r="H20" s="30" t="n">
        <v>60</v>
      </c>
      <c r="I20" s="30" t="n">
        <v>54</v>
      </c>
      <c r="J20" s="30" t="str">
        <f aca="false">IF(H20&lt;判定条件!$C$6,"判定不能",IF(I20&gt;=判定条件!$C$7*H20,"運転",IF(I20&lt;=判定条件!$C$8*H20,"停止","断続")))</f>
        <v>運転</v>
      </c>
      <c r="K20" s="30" t="n">
        <v>60</v>
      </c>
      <c r="L20" s="30" t="n">
        <v>60</v>
      </c>
      <c r="M20" s="30" t="str">
        <f aca="false">IF(K20&lt;判定条件!$C$6,"判定不能",IF(L20&gt;=判定条件!$C$7*K20,"運転",IF(L20&lt;=判定条件!$C$8*K20,"停止","断続")))</f>
        <v>運転</v>
      </c>
      <c r="N20" s="30" t="n">
        <v>60</v>
      </c>
      <c r="O20" s="30" t="n">
        <v>28</v>
      </c>
      <c r="P20" s="30" t="str">
        <f aca="false">IF(N20&lt;判定条件!$C$6,"判定不能",IF(O20&gt;=判定条件!$C$7*N20,"運転",IF(O20&lt;=判定条件!$C$8*N20,"停止","断続")))</f>
        <v>断続</v>
      </c>
      <c r="Q20" s="30" t="n">
        <v>60</v>
      </c>
      <c r="R20" s="30" t="n">
        <v>60</v>
      </c>
      <c r="S20" s="30" t="str">
        <f aca="false">IF(Q20&lt;判定条件!$C$6,"判定不能",IF(R20&gt;=判定条件!$C$7*Q20,"運転",IF(R20&lt;=判定条件!$C$8*Q20,"停止","断続")))</f>
        <v>運転</v>
      </c>
      <c r="T20" s="30" t="n">
        <v>60</v>
      </c>
      <c r="U20" s="30" t="n">
        <v>38</v>
      </c>
      <c r="V20" s="30" t="str">
        <f aca="false">IF(T20&lt;判定条件!$C$6,"判定不能",IF(U20&gt;=判定条件!$C$7*T20,"運転",IF(U20&lt;=判定条件!$C$8*T20,"停止","断続")))</f>
        <v>断続</v>
      </c>
      <c r="W20" s="30" t="n">
        <v>60</v>
      </c>
      <c r="X20" s="30" t="n">
        <v>23</v>
      </c>
      <c r="Y20" s="30" t="str">
        <f aca="false">IF(W20&lt;判定条件!$C$6,"判定不能",IF(X20&gt;=判定条件!$C$7*W20,"運転",IF(X20&lt;=判定条件!$C$8*W20,"停止","断続")))</f>
        <v>断続</v>
      </c>
      <c r="Z20" s="30" t="n">
        <v>60</v>
      </c>
      <c r="AA20" s="30" t="n">
        <v>36</v>
      </c>
      <c r="AB20" s="30" t="str">
        <f aca="false">IF(Z20&lt;判定条件!$C$6,"判定不能",IF(AA20&gt;=判定条件!$C$7*Z20,"運転",IF(AA20&lt;=判定条件!$C$8*Z20,"停止","断続")))</f>
        <v>断続</v>
      </c>
      <c r="AC20" s="30" t="n">
        <v>60</v>
      </c>
      <c r="AD20" s="30" t="n">
        <v>55</v>
      </c>
      <c r="AE20" s="30" t="str">
        <f aca="false">IF(AC20&lt;判定条件!$C$6,"判定不能",IF(AD20&gt;=判定条件!$C$7*AC20,"運転",IF(AD20&lt;=判定条件!$C$8*AC20,"停止","断続")))</f>
        <v>運転</v>
      </c>
      <c r="AF20" s="30" t="n">
        <v>60</v>
      </c>
      <c r="AG20" s="30" t="n">
        <v>24</v>
      </c>
      <c r="AH20" s="30" t="str">
        <f aca="false">IF(OR(P20="判定不能",G20="判定不能"),"判定不能",IF(AG20&gt;=判定条件!$C$9,"利用可",IF(AND(P20="停止",G20="停止"),"両方停止","運転がそろわない")))</f>
        <v>運転がそろわない</v>
      </c>
      <c r="AI20" s="30" t="n">
        <v>60</v>
      </c>
      <c r="AJ20" s="30" t="n">
        <v>54</v>
      </c>
      <c r="AK20" s="30" t="str">
        <f aca="false">IF(OR(S20="判定不能",J20="判定不能"),"判定不能",IF(AJ20&gt;=判定条件!$C$9,"利用可",IF(AND(S20="停止",J20="停止"),"両方停止","運転がそろわない")))</f>
        <v>利用可</v>
      </c>
      <c r="AL20" s="30" t="n">
        <v>60</v>
      </c>
      <c r="AM20" s="30" t="n">
        <v>38</v>
      </c>
      <c r="AN20" s="30" t="str">
        <f aca="false">IF(OR(V20="判定不能",M20="判定不能"),"判定不能",IF(AM20&gt;=判定条件!$C$9,"利用可",IF(AND(V20="停止",M20="停止"),"両方停止","運転がそろわない")))</f>
        <v>利用可</v>
      </c>
      <c r="AO20" s="30" t="n">
        <v>60</v>
      </c>
      <c r="AP20" s="30" t="n">
        <v>6</v>
      </c>
      <c r="AQ20" s="30" t="str">
        <f aca="false">IF(OR(Y20="判定不能",G20="判定不能"),"判定不能",IF(AP20&gt;=判定条件!$C$9,"利用可",IF(AND(Y20="停止",G20="停止"),"両方停止","運転がそろわない")))</f>
        <v>運転がそろわない</v>
      </c>
      <c r="AR20" s="30" t="n">
        <v>60</v>
      </c>
      <c r="AS20" s="30" t="n">
        <v>30</v>
      </c>
      <c r="AT20" s="30" t="str">
        <f aca="false">IF(OR(AB20="判定不能",J20="判定不能"),"判定不能",IF(AS20&gt;=判定条件!$C$9,"利用可",IF(AND(AB20="停止",J20="停止"),"両方停止","運転がそろわない")))</f>
        <v>利用可</v>
      </c>
      <c r="AU20" s="30" t="n">
        <v>60</v>
      </c>
      <c r="AV20" s="30" t="n">
        <v>55</v>
      </c>
      <c r="AW20" s="30" t="str">
        <f aca="false">IF(OR(AE20="判定不能",M20="判定不能"),"判定不能",IF(AV20&gt;=判定条件!$C$9,"利用可",IF(AND(AE20="停止",M20="停止"),"両方停止","運転がそろわない")))</f>
        <v>利用可</v>
      </c>
      <c r="AX20" s="30" t="str">
        <f aca="false">IF(AND(AH20="利用可",AK20="利用可",AN20="利用可"),"利用可","不可")</f>
        <v>不可</v>
      </c>
      <c r="AY20" s="30" t="str">
        <f aca="false">IF(AND(AQ20="利用可",AT20="利用可",AW20="利用可"),"利用可","不可")</f>
        <v>不可</v>
      </c>
    </row>
    <row r="21" customFormat="false" ht="15" hidden="false" customHeight="false" outlineLevel="0" collapsed="false">
      <c r="A21" s="29" t="n">
        <v>46232</v>
      </c>
      <c r="B21" s="30" t="n">
        <v>18</v>
      </c>
      <c r="C21" s="31" t="s">
        <v>58</v>
      </c>
      <c r="D21" s="31" t="s">
        <v>59</v>
      </c>
      <c r="E21" s="30" t="n">
        <v>60</v>
      </c>
      <c r="F21" s="30" t="n">
        <v>57</v>
      </c>
      <c r="G21" s="30" t="str">
        <f aca="false">IF(E21&lt;判定条件!$C$6,"判定不能",IF(F21&gt;=判定条件!$C$7*E21,"運転",IF(F21&lt;=判定条件!$C$8*E21,"停止","断続")))</f>
        <v>運転</v>
      </c>
      <c r="H21" s="30" t="n">
        <v>60</v>
      </c>
      <c r="I21" s="30" t="n">
        <v>60</v>
      </c>
      <c r="J21" s="30" t="str">
        <f aca="false">IF(H21&lt;判定条件!$C$6,"判定不能",IF(I21&gt;=判定条件!$C$7*H21,"運転",IF(I21&lt;=判定条件!$C$8*H21,"停止","断続")))</f>
        <v>運転</v>
      </c>
      <c r="K21" s="30" t="n">
        <v>60</v>
      </c>
      <c r="L21" s="30" t="n">
        <v>60</v>
      </c>
      <c r="M21" s="30" t="str">
        <f aca="false">IF(K21&lt;判定条件!$C$6,"判定不能",IF(L21&gt;=判定条件!$C$7*K21,"運転",IF(L21&lt;=判定条件!$C$8*K21,"停止","断続")))</f>
        <v>運転</v>
      </c>
      <c r="N21" s="30" t="n">
        <v>60</v>
      </c>
      <c r="O21" s="30" t="n">
        <v>1</v>
      </c>
      <c r="P21" s="30" t="str">
        <f aca="false">IF(N21&lt;判定条件!$C$6,"判定不能",IF(O21&gt;=判定条件!$C$7*N21,"運転",IF(O21&lt;=判定条件!$C$8*N21,"停止","断続")))</f>
        <v>停止</v>
      </c>
      <c r="Q21" s="30" t="n">
        <v>60</v>
      </c>
      <c r="R21" s="30" t="n">
        <v>38</v>
      </c>
      <c r="S21" s="30" t="str">
        <f aca="false">IF(Q21&lt;判定条件!$C$6,"判定不能",IF(R21&gt;=判定条件!$C$7*Q21,"運転",IF(R21&lt;=判定条件!$C$8*Q21,"停止","断続")))</f>
        <v>断続</v>
      </c>
      <c r="T21" s="30" t="n">
        <v>60</v>
      </c>
      <c r="U21" s="30" t="n">
        <v>3</v>
      </c>
      <c r="V21" s="30" t="str">
        <f aca="false">IF(T21&lt;判定条件!$C$6,"判定不能",IF(U21&gt;=判定条件!$C$7*T21,"運転",IF(U21&lt;=判定条件!$C$8*T21,"停止","断続")))</f>
        <v>停止</v>
      </c>
      <c r="W21" s="30" t="n">
        <v>60</v>
      </c>
      <c r="X21" s="30" t="n">
        <v>46</v>
      </c>
      <c r="Y21" s="30" t="str">
        <f aca="false">IF(W21&lt;判定条件!$C$6,"判定不能",IF(X21&gt;=判定条件!$C$7*W21,"運転",IF(X21&lt;=判定条件!$C$8*W21,"停止","断続")))</f>
        <v>断続</v>
      </c>
      <c r="Z21" s="30" t="n">
        <v>60</v>
      </c>
      <c r="AA21" s="30" t="n">
        <v>21</v>
      </c>
      <c r="AB21" s="30" t="str">
        <f aca="false">IF(Z21&lt;判定条件!$C$6,"判定不能",IF(AA21&gt;=判定条件!$C$7*Z21,"運転",IF(AA21&lt;=判定条件!$C$8*Z21,"停止","断続")))</f>
        <v>断続</v>
      </c>
      <c r="AC21" s="30" t="n">
        <v>60</v>
      </c>
      <c r="AD21" s="30" t="n">
        <v>60</v>
      </c>
      <c r="AE21" s="30" t="str">
        <f aca="false">IF(AC21&lt;判定条件!$C$6,"判定不能",IF(AD21&gt;=判定条件!$C$7*AC21,"運転",IF(AD21&lt;=判定条件!$C$8*AC21,"停止","断続")))</f>
        <v>運転</v>
      </c>
      <c r="AF21" s="30" t="n">
        <v>60</v>
      </c>
      <c r="AG21" s="30" t="n">
        <v>0</v>
      </c>
      <c r="AH21" s="30" t="str">
        <f aca="false">IF(OR(P21="判定不能",G21="判定不能"),"判定不能",IF(AG21&gt;=判定条件!$C$9,"利用可",IF(AND(P21="停止",G21="停止"),"両方停止","運転がそろわない")))</f>
        <v>運転がそろわない</v>
      </c>
      <c r="AI21" s="30" t="n">
        <v>60</v>
      </c>
      <c r="AJ21" s="30" t="n">
        <v>38</v>
      </c>
      <c r="AK21" s="30" t="str">
        <f aca="false">IF(OR(S21="判定不能",J21="判定不能"),"判定不能",IF(AJ21&gt;=判定条件!$C$9,"利用可",IF(AND(S21="停止",J21="停止"),"両方停止","運転がそろわない")))</f>
        <v>利用可</v>
      </c>
      <c r="AL21" s="30" t="n">
        <v>60</v>
      </c>
      <c r="AM21" s="30" t="n">
        <v>3</v>
      </c>
      <c r="AN21" s="30" t="str">
        <f aca="false">IF(OR(V21="判定不能",M21="判定不能"),"判定不能",IF(AM21&gt;=判定条件!$C$9,"利用可",IF(AND(V21="停止",M21="停止"),"両方停止","運転がそろわない")))</f>
        <v>運転がそろわない</v>
      </c>
      <c r="AO21" s="30" t="n">
        <v>60</v>
      </c>
      <c r="AP21" s="30" t="n">
        <v>44</v>
      </c>
      <c r="AQ21" s="30" t="str">
        <f aca="false">IF(OR(Y21="判定不能",G21="判定不能"),"判定不能",IF(AP21&gt;=判定条件!$C$9,"利用可",IF(AND(Y21="停止",G21="停止"),"両方停止","運転がそろわない")))</f>
        <v>利用可</v>
      </c>
      <c r="AR21" s="30" t="n">
        <v>60</v>
      </c>
      <c r="AS21" s="30" t="n">
        <v>21</v>
      </c>
      <c r="AT21" s="30" t="str">
        <f aca="false">IF(OR(AB21="判定不能",J21="判定不能"),"判定不能",IF(AS21&gt;=判定条件!$C$9,"利用可",IF(AND(AB21="停止",J21="停止"),"両方停止","運転がそろわない")))</f>
        <v>運転がそろわない</v>
      </c>
      <c r="AU21" s="30" t="n">
        <v>60</v>
      </c>
      <c r="AV21" s="30" t="n">
        <v>60</v>
      </c>
      <c r="AW21" s="30" t="str">
        <f aca="false">IF(OR(AE21="判定不能",M21="判定不能"),"判定不能",IF(AV21&gt;=判定条件!$C$9,"利用可",IF(AND(AE21="停止",M21="停止"),"両方停止","運転がそろわない")))</f>
        <v>利用可</v>
      </c>
      <c r="AX21" s="30" t="str">
        <f aca="false">IF(AND(AH21="利用可",AK21="利用可",AN21="利用可"),"利用可","不可")</f>
        <v>不可</v>
      </c>
      <c r="AY21" s="30" t="str">
        <f aca="false">IF(AND(AQ21="利用可",AT21="利用可",AW21="利用可"),"利用可","不可")</f>
        <v>不可</v>
      </c>
    </row>
    <row r="22" customFormat="false" ht="15" hidden="false" customHeight="false" outlineLevel="0" collapsed="false">
      <c r="A22" s="29" t="n">
        <v>46232</v>
      </c>
      <c r="B22" s="30" t="n">
        <v>19</v>
      </c>
      <c r="C22" s="31" t="s">
        <v>58</v>
      </c>
      <c r="D22" s="31" t="s">
        <v>59</v>
      </c>
      <c r="E22" s="30" t="n">
        <v>60</v>
      </c>
      <c r="F22" s="30" t="n">
        <v>60</v>
      </c>
      <c r="G22" s="30" t="str">
        <f aca="false">IF(E22&lt;判定条件!$C$6,"判定不能",IF(F22&gt;=判定条件!$C$7*E22,"運転",IF(F22&lt;=判定条件!$C$8*E22,"停止","断続")))</f>
        <v>運転</v>
      </c>
      <c r="H22" s="30" t="n">
        <v>60</v>
      </c>
      <c r="I22" s="30" t="n">
        <v>60</v>
      </c>
      <c r="J22" s="30" t="str">
        <f aca="false">IF(H22&lt;判定条件!$C$6,"判定不能",IF(I22&gt;=判定条件!$C$7*H22,"運転",IF(I22&lt;=判定条件!$C$8*H22,"停止","断続")))</f>
        <v>運転</v>
      </c>
      <c r="K22" s="30" t="n">
        <v>60</v>
      </c>
      <c r="L22" s="30" t="n">
        <v>60</v>
      </c>
      <c r="M22" s="30" t="str">
        <f aca="false">IF(K22&lt;判定条件!$C$6,"判定不能",IF(L22&gt;=判定条件!$C$7*K22,"運転",IF(L22&lt;=判定条件!$C$8*K22,"停止","断続")))</f>
        <v>運転</v>
      </c>
      <c r="N22" s="30" t="n">
        <v>60</v>
      </c>
      <c r="O22" s="30" t="n">
        <v>0</v>
      </c>
      <c r="P22" s="30" t="str">
        <f aca="false">IF(N22&lt;判定条件!$C$6,"判定不能",IF(O22&gt;=判定条件!$C$7*N22,"運転",IF(O22&lt;=判定条件!$C$8*N22,"停止","断続")))</f>
        <v>停止</v>
      </c>
      <c r="Q22" s="30" t="n">
        <v>60</v>
      </c>
      <c r="R22" s="30" t="n">
        <v>60</v>
      </c>
      <c r="S22" s="30" t="str">
        <f aca="false">IF(Q22&lt;判定条件!$C$6,"判定不能",IF(R22&gt;=判定条件!$C$7*Q22,"運転",IF(R22&lt;=判定条件!$C$8*Q22,"停止","断続")))</f>
        <v>運転</v>
      </c>
      <c r="T22" s="30" t="n">
        <v>60</v>
      </c>
      <c r="U22" s="30" t="n">
        <v>22</v>
      </c>
      <c r="V22" s="30" t="str">
        <f aca="false">IF(T22&lt;判定条件!$C$6,"判定不能",IF(U22&gt;=判定条件!$C$7*T22,"運転",IF(U22&lt;=判定条件!$C$8*T22,"停止","断続")))</f>
        <v>断続</v>
      </c>
      <c r="W22" s="30" t="n">
        <v>60</v>
      </c>
      <c r="X22" s="30" t="n">
        <v>0</v>
      </c>
      <c r="Y22" s="30" t="str">
        <f aca="false">IF(W22&lt;判定条件!$C$6,"判定不能",IF(X22&gt;=判定条件!$C$7*W22,"運転",IF(X22&lt;=判定条件!$C$8*W22,"停止","断続")))</f>
        <v>停止</v>
      </c>
      <c r="Z22" s="30" t="n">
        <v>60</v>
      </c>
      <c r="AA22" s="30" t="n">
        <v>0</v>
      </c>
      <c r="AB22" s="30" t="str">
        <f aca="false">IF(Z22&lt;判定条件!$C$6,"判定不能",IF(AA22&gt;=判定条件!$C$7*Z22,"運転",IF(AA22&lt;=判定条件!$C$8*Z22,"停止","断続")))</f>
        <v>停止</v>
      </c>
      <c r="AC22" s="30" t="n">
        <v>60</v>
      </c>
      <c r="AD22" s="30" t="n">
        <v>3</v>
      </c>
      <c r="AE22" s="30" t="str">
        <f aca="false">IF(AC22&lt;判定条件!$C$6,"判定不能",IF(AD22&gt;=判定条件!$C$7*AC22,"運転",IF(AD22&lt;=判定条件!$C$8*AC22,"停止","断続")))</f>
        <v>停止</v>
      </c>
      <c r="AF22" s="30" t="n">
        <v>60</v>
      </c>
      <c r="AG22" s="30" t="n">
        <v>0</v>
      </c>
      <c r="AH22" s="30" t="str">
        <f aca="false">IF(OR(P22="判定不能",G22="判定不能"),"判定不能",IF(AG22&gt;=判定条件!$C$9,"利用可",IF(AND(P22="停止",G22="停止"),"両方停止","運転がそろわない")))</f>
        <v>運転がそろわない</v>
      </c>
      <c r="AI22" s="30" t="n">
        <v>60</v>
      </c>
      <c r="AJ22" s="30" t="n">
        <v>60</v>
      </c>
      <c r="AK22" s="30" t="str">
        <f aca="false">IF(OR(S22="判定不能",J22="判定不能"),"判定不能",IF(AJ22&gt;=判定条件!$C$9,"利用可",IF(AND(S22="停止",J22="停止"),"両方停止","運転がそろわない")))</f>
        <v>利用可</v>
      </c>
      <c r="AL22" s="30" t="n">
        <v>60</v>
      </c>
      <c r="AM22" s="30" t="n">
        <v>22</v>
      </c>
      <c r="AN22" s="30" t="str">
        <f aca="false">IF(OR(V22="判定不能",M22="判定不能"),"判定不能",IF(AM22&gt;=判定条件!$C$9,"利用可",IF(AND(V22="停止",M22="停止"),"両方停止","運転がそろわない")))</f>
        <v>運転がそろわない</v>
      </c>
      <c r="AO22" s="30" t="n">
        <v>60</v>
      </c>
      <c r="AP22" s="30" t="n">
        <v>0</v>
      </c>
      <c r="AQ22" s="30" t="str">
        <f aca="false">IF(OR(Y22="判定不能",G22="判定不能"),"判定不能",IF(AP22&gt;=判定条件!$C$9,"利用可",IF(AND(Y22="停止",G22="停止"),"両方停止","運転がそろわない")))</f>
        <v>運転がそろわない</v>
      </c>
      <c r="AR22" s="30" t="n">
        <v>60</v>
      </c>
      <c r="AS22" s="30" t="n">
        <v>0</v>
      </c>
      <c r="AT22" s="30" t="str">
        <f aca="false">IF(OR(AB22="判定不能",J22="判定不能"),"判定不能",IF(AS22&gt;=判定条件!$C$9,"利用可",IF(AND(AB22="停止",J22="停止"),"両方停止","運転がそろわない")))</f>
        <v>運転がそろわない</v>
      </c>
      <c r="AU22" s="30" t="n">
        <v>60</v>
      </c>
      <c r="AV22" s="30" t="n">
        <v>3</v>
      </c>
      <c r="AW22" s="30" t="str">
        <f aca="false">IF(OR(AE22="判定不能",M22="判定不能"),"判定不能",IF(AV22&gt;=判定条件!$C$9,"利用可",IF(AND(AE22="停止",M22="停止"),"両方停止","運転がそろわない")))</f>
        <v>運転がそろわない</v>
      </c>
      <c r="AX22" s="30" t="str">
        <f aca="false">IF(AND(AH22="利用可",AK22="利用可",AN22="利用可"),"利用可","不可")</f>
        <v>不可</v>
      </c>
      <c r="AY22" s="30" t="str">
        <f aca="false">IF(AND(AQ22="利用可",AT22="利用可",AW22="利用可"),"利用可","不可")</f>
        <v>不可</v>
      </c>
    </row>
    <row r="23" customFormat="false" ht="15" hidden="false" customHeight="false" outlineLevel="0" collapsed="false">
      <c r="A23" s="29" t="n">
        <v>46232</v>
      </c>
      <c r="B23" s="30" t="n">
        <v>20</v>
      </c>
      <c r="C23" s="31" t="s">
        <v>58</v>
      </c>
      <c r="D23" s="31" t="s">
        <v>59</v>
      </c>
      <c r="E23" s="30" t="n">
        <v>60</v>
      </c>
      <c r="F23" s="30" t="n">
        <v>39</v>
      </c>
      <c r="G23" s="30" t="str">
        <f aca="false">IF(E23&lt;判定条件!$C$6,"判定不能",IF(F23&gt;=判定条件!$C$7*E23,"運転",IF(F23&lt;=判定条件!$C$8*E23,"停止","断続")))</f>
        <v>断続</v>
      </c>
      <c r="H23" s="30" t="n">
        <v>60</v>
      </c>
      <c r="I23" s="30" t="n">
        <v>34</v>
      </c>
      <c r="J23" s="30" t="str">
        <f aca="false">IF(H23&lt;判定条件!$C$6,"判定不能",IF(I23&gt;=判定条件!$C$7*H23,"運転",IF(I23&lt;=判定条件!$C$8*H23,"停止","断続")))</f>
        <v>断続</v>
      </c>
      <c r="K23" s="30" t="n">
        <v>60</v>
      </c>
      <c r="L23" s="30" t="n">
        <v>60</v>
      </c>
      <c r="M23" s="30" t="str">
        <f aca="false">IF(K23&lt;判定条件!$C$6,"判定不能",IF(L23&gt;=判定条件!$C$7*K23,"運転",IF(L23&lt;=判定条件!$C$8*K23,"停止","断続")))</f>
        <v>運転</v>
      </c>
      <c r="N23" s="30" t="n">
        <v>60</v>
      </c>
      <c r="O23" s="30" t="n">
        <v>0</v>
      </c>
      <c r="P23" s="30" t="str">
        <f aca="false">IF(N23&lt;判定条件!$C$6,"判定不能",IF(O23&gt;=判定条件!$C$7*N23,"運転",IF(O23&lt;=判定条件!$C$8*N23,"停止","断続")))</f>
        <v>停止</v>
      </c>
      <c r="Q23" s="30" t="n">
        <v>60</v>
      </c>
      <c r="R23" s="30" t="n">
        <v>4</v>
      </c>
      <c r="S23" s="30" t="str">
        <f aca="false">IF(Q23&lt;判定条件!$C$6,"判定不能",IF(R23&gt;=判定条件!$C$7*Q23,"運転",IF(R23&lt;=判定条件!$C$8*Q23,"停止","断続")))</f>
        <v>停止</v>
      </c>
      <c r="T23" s="30" t="n">
        <v>60</v>
      </c>
      <c r="U23" s="30" t="n">
        <v>4</v>
      </c>
      <c r="V23" s="30" t="str">
        <f aca="false">IF(T23&lt;判定条件!$C$6,"判定不能",IF(U23&gt;=判定条件!$C$7*T23,"運転",IF(U23&lt;=判定条件!$C$8*T23,"停止","断続")))</f>
        <v>停止</v>
      </c>
      <c r="W23" s="30" t="n">
        <v>60</v>
      </c>
      <c r="X23" s="30" t="n">
        <v>0</v>
      </c>
      <c r="Y23" s="30" t="str">
        <f aca="false">IF(W23&lt;判定条件!$C$6,"判定不能",IF(X23&gt;=判定条件!$C$7*W23,"運転",IF(X23&lt;=判定条件!$C$8*W23,"停止","断続")))</f>
        <v>停止</v>
      </c>
      <c r="Z23" s="30" t="n">
        <v>60</v>
      </c>
      <c r="AA23" s="30" t="n">
        <v>0</v>
      </c>
      <c r="AB23" s="30" t="str">
        <f aca="false">IF(Z23&lt;判定条件!$C$6,"判定不能",IF(AA23&gt;=判定条件!$C$7*Z23,"運転",IF(AA23&lt;=判定条件!$C$8*Z23,"停止","断続")))</f>
        <v>停止</v>
      </c>
      <c r="AC23" s="30" t="n">
        <v>60</v>
      </c>
      <c r="AD23" s="30" t="n">
        <v>0</v>
      </c>
      <c r="AE23" s="30" t="str">
        <f aca="false">IF(AC23&lt;判定条件!$C$6,"判定不能",IF(AD23&gt;=判定条件!$C$7*AC23,"運転",IF(AD23&lt;=判定条件!$C$8*AC23,"停止","断続")))</f>
        <v>停止</v>
      </c>
      <c r="AF23" s="30" t="n">
        <v>60</v>
      </c>
      <c r="AG23" s="30" t="n">
        <v>0</v>
      </c>
      <c r="AH23" s="30" t="str">
        <f aca="false">IF(OR(P23="判定不能",G23="判定不能"),"判定不能",IF(AG23&gt;=判定条件!$C$9,"利用可",IF(AND(P23="停止",G23="停止"),"両方停止","運転がそろわない")))</f>
        <v>運転がそろわない</v>
      </c>
      <c r="AI23" s="30" t="n">
        <v>60</v>
      </c>
      <c r="AJ23" s="30" t="n">
        <v>4</v>
      </c>
      <c r="AK23" s="30" t="str">
        <f aca="false">IF(OR(S23="判定不能",J23="判定不能"),"判定不能",IF(AJ23&gt;=判定条件!$C$9,"利用可",IF(AND(S23="停止",J23="停止"),"両方停止","運転がそろわない")))</f>
        <v>運転がそろわない</v>
      </c>
      <c r="AL23" s="30" t="n">
        <v>60</v>
      </c>
      <c r="AM23" s="30" t="n">
        <v>4</v>
      </c>
      <c r="AN23" s="30" t="str">
        <f aca="false">IF(OR(V23="判定不能",M23="判定不能"),"判定不能",IF(AM23&gt;=判定条件!$C$9,"利用可",IF(AND(V23="停止",M23="停止"),"両方停止","運転がそろわない")))</f>
        <v>運転がそろわない</v>
      </c>
      <c r="AO23" s="30" t="n">
        <v>60</v>
      </c>
      <c r="AP23" s="30" t="n">
        <v>0</v>
      </c>
      <c r="AQ23" s="30" t="str">
        <f aca="false">IF(OR(Y23="判定不能",G23="判定不能"),"判定不能",IF(AP23&gt;=判定条件!$C$9,"利用可",IF(AND(Y23="停止",G23="停止"),"両方停止","運転がそろわない")))</f>
        <v>運転がそろわない</v>
      </c>
      <c r="AR23" s="30" t="n">
        <v>60</v>
      </c>
      <c r="AS23" s="30" t="n">
        <v>0</v>
      </c>
      <c r="AT23" s="30" t="str">
        <f aca="false">IF(OR(AB23="判定不能",J23="判定不能"),"判定不能",IF(AS23&gt;=判定条件!$C$9,"利用可",IF(AND(AB23="停止",J23="停止"),"両方停止","運転がそろわない")))</f>
        <v>運転がそろわない</v>
      </c>
      <c r="AU23" s="30" t="n">
        <v>60</v>
      </c>
      <c r="AV23" s="30" t="n">
        <v>0</v>
      </c>
      <c r="AW23" s="30" t="str">
        <f aca="false">IF(OR(AE23="判定不能",M23="判定不能"),"判定不能",IF(AV23&gt;=判定条件!$C$9,"利用可",IF(AND(AE23="停止",M23="停止"),"両方停止","運転がそろわない")))</f>
        <v>運転がそろわない</v>
      </c>
      <c r="AX23" s="30" t="str">
        <f aca="false">IF(AND(AH23="利用可",AK23="利用可",AN23="利用可"),"利用可","不可")</f>
        <v>不可</v>
      </c>
      <c r="AY23" s="30" t="str">
        <f aca="false">IF(AND(AQ23="利用可",AT23="利用可",AW23="利用可"),"利用可","不可")</f>
        <v>不可</v>
      </c>
    </row>
    <row r="24" customFormat="false" ht="15" hidden="false" customHeight="false" outlineLevel="0" collapsed="false">
      <c r="A24" s="29" t="n">
        <v>46232</v>
      </c>
      <c r="B24" s="30" t="n">
        <v>21</v>
      </c>
      <c r="C24" s="31" t="s">
        <v>58</v>
      </c>
      <c r="D24" s="31" t="s">
        <v>59</v>
      </c>
      <c r="E24" s="30" t="n">
        <v>60</v>
      </c>
      <c r="F24" s="30" t="n">
        <v>0</v>
      </c>
      <c r="G24" s="30" t="str">
        <f aca="false">IF(E24&lt;判定条件!$C$6,"判定不能",IF(F24&gt;=判定条件!$C$7*E24,"運転",IF(F24&lt;=判定条件!$C$8*E24,"停止","断続")))</f>
        <v>停止</v>
      </c>
      <c r="H24" s="30" t="n">
        <v>60</v>
      </c>
      <c r="I24" s="30" t="n">
        <v>0</v>
      </c>
      <c r="J24" s="30" t="str">
        <f aca="false">IF(H24&lt;判定条件!$C$6,"判定不能",IF(I24&gt;=判定条件!$C$7*H24,"運転",IF(I24&lt;=判定条件!$C$8*H24,"停止","断続")))</f>
        <v>停止</v>
      </c>
      <c r="K24" s="30" t="n">
        <v>60</v>
      </c>
      <c r="L24" s="30" t="n">
        <v>60</v>
      </c>
      <c r="M24" s="30" t="str">
        <f aca="false">IF(K24&lt;判定条件!$C$6,"判定不能",IF(L24&gt;=判定条件!$C$7*K24,"運転",IF(L24&lt;=判定条件!$C$8*K24,"停止","断続")))</f>
        <v>運転</v>
      </c>
      <c r="N24" s="30" t="n">
        <v>60</v>
      </c>
      <c r="O24" s="30" t="n">
        <v>0</v>
      </c>
      <c r="P24" s="30" t="str">
        <f aca="false">IF(N24&lt;判定条件!$C$6,"判定不能",IF(O24&gt;=判定条件!$C$7*N24,"運転",IF(O24&lt;=判定条件!$C$8*N24,"停止","断続")))</f>
        <v>停止</v>
      </c>
      <c r="Q24" s="30" t="n">
        <v>60</v>
      </c>
      <c r="R24" s="30" t="n">
        <v>0</v>
      </c>
      <c r="S24" s="30" t="str">
        <f aca="false">IF(Q24&lt;判定条件!$C$6,"判定不能",IF(R24&gt;=判定条件!$C$7*Q24,"運転",IF(R24&lt;=判定条件!$C$8*Q24,"停止","断続")))</f>
        <v>停止</v>
      </c>
      <c r="T24" s="30" t="n">
        <v>60</v>
      </c>
      <c r="U24" s="30" t="n">
        <v>0</v>
      </c>
      <c r="V24" s="30" t="str">
        <f aca="false">IF(T24&lt;判定条件!$C$6,"判定不能",IF(U24&gt;=判定条件!$C$7*T24,"運転",IF(U24&lt;=判定条件!$C$8*T24,"停止","断続")))</f>
        <v>停止</v>
      </c>
      <c r="W24" s="30" t="n">
        <v>60</v>
      </c>
      <c r="X24" s="30" t="n">
        <v>0</v>
      </c>
      <c r="Y24" s="30" t="str">
        <f aca="false">IF(W24&lt;判定条件!$C$6,"判定不能",IF(X24&gt;=判定条件!$C$7*W24,"運転",IF(X24&lt;=判定条件!$C$8*W24,"停止","断続")))</f>
        <v>停止</v>
      </c>
      <c r="Z24" s="30" t="n">
        <v>60</v>
      </c>
      <c r="AA24" s="30" t="n">
        <v>0</v>
      </c>
      <c r="AB24" s="30" t="str">
        <f aca="false">IF(Z24&lt;判定条件!$C$6,"判定不能",IF(AA24&gt;=判定条件!$C$7*Z24,"運転",IF(AA24&lt;=判定条件!$C$8*Z24,"停止","断続")))</f>
        <v>停止</v>
      </c>
      <c r="AC24" s="30" t="n">
        <v>60</v>
      </c>
      <c r="AD24" s="30" t="n">
        <v>0</v>
      </c>
      <c r="AE24" s="30" t="str">
        <f aca="false">IF(AC24&lt;判定条件!$C$6,"判定不能",IF(AD24&gt;=判定条件!$C$7*AC24,"運転",IF(AD24&lt;=判定条件!$C$8*AC24,"停止","断続")))</f>
        <v>停止</v>
      </c>
      <c r="AF24" s="30" t="n">
        <v>60</v>
      </c>
      <c r="AG24" s="30" t="n">
        <v>0</v>
      </c>
      <c r="AH24" s="30" t="str">
        <f aca="false">IF(OR(P24="判定不能",G24="判定不能"),"判定不能",IF(AG24&gt;=判定条件!$C$9,"利用可",IF(AND(P24="停止",G24="停止"),"両方停止","運転がそろわない")))</f>
        <v>両方停止</v>
      </c>
      <c r="AI24" s="30" t="n">
        <v>60</v>
      </c>
      <c r="AJ24" s="30" t="n">
        <v>0</v>
      </c>
      <c r="AK24" s="30" t="str">
        <f aca="false">IF(OR(S24="判定不能",J24="判定不能"),"判定不能",IF(AJ24&gt;=判定条件!$C$9,"利用可",IF(AND(S24="停止",J24="停止"),"両方停止","運転がそろわない")))</f>
        <v>両方停止</v>
      </c>
      <c r="AL24" s="30" t="n">
        <v>60</v>
      </c>
      <c r="AM24" s="30" t="n">
        <v>0</v>
      </c>
      <c r="AN24" s="30" t="str">
        <f aca="false">IF(OR(V24="判定不能",M24="判定不能"),"判定不能",IF(AM24&gt;=判定条件!$C$9,"利用可",IF(AND(V24="停止",M24="停止"),"両方停止","運転がそろわない")))</f>
        <v>運転がそろわない</v>
      </c>
      <c r="AO24" s="30" t="n">
        <v>60</v>
      </c>
      <c r="AP24" s="30" t="n">
        <v>0</v>
      </c>
      <c r="AQ24" s="30" t="str">
        <f aca="false">IF(OR(Y24="判定不能",G24="判定不能"),"判定不能",IF(AP24&gt;=判定条件!$C$9,"利用可",IF(AND(Y24="停止",G24="停止"),"両方停止","運転がそろわない")))</f>
        <v>両方停止</v>
      </c>
      <c r="AR24" s="30" t="n">
        <v>60</v>
      </c>
      <c r="AS24" s="30" t="n">
        <v>0</v>
      </c>
      <c r="AT24" s="30" t="str">
        <f aca="false">IF(OR(AB24="判定不能",J24="判定不能"),"判定不能",IF(AS24&gt;=判定条件!$C$9,"利用可",IF(AND(AB24="停止",J24="停止"),"両方停止","運転がそろわない")))</f>
        <v>両方停止</v>
      </c>
      <c r="AU24" s="30" t="n">
        <v>60</v>
      </c>
      <c r="AV24" s="30" t="n">
        <v>0</v>
      </c>
      <c r="AW24" s="30" t="str">
        <f aca="false">IF(OR(AE24="判定不能",M24="判定不能"),"判定不能",IF(AV24&gt;=判定条件!$C$9,"利用可",IF(AND(AE24="停止",M24="停止"),"両方停止","運転がそろわない")))</f>
        <v>運転がそろわない</v>
      </c>
      <c r="AX24" s="30" t="str">
        <f aca="false">IF(AND(AH24="利用可",AK24="利用可",AN24="利用可"),"利用可","不可")</f>
        <v>不可</v>
      </c>
      <c r="AY24" s="30" t="str">
        <f aca="false">IF(AND(AQ24="利用可",AT24="利用可",AW24="利用可"),"利用可","不可")</f>
        <v>不可</v>
      </c>
    </row>
    <row r="25" customFormat="false" ht="15" hidden="false" customHeight="false" outlineLevel="0" collapsed="false">
      <c r="A25" s="29" t="n">
        <v>46232</v>
      </c>
      <c r="B25" s="30" t="n">
        <v>22</v>
      </c>
      <c r="C25" s="31" t="s">
        <v>58</v>
      </c>
      <c r="D25" s="31" t="s">
        <v>59</v>
      </c>
      <c r="E25" s="30" t="n">
        <v>60</v>
      </c>
      <c r="F25" s="30" t="n">
        <v>0</v>
      </c>
      <c r="G25" s="30" t="str">
        <f aca="false">IF(E25&lt;判定条件!$C$6,"判定不能",IF(F25&gt;=判定条件!$C$7*E25,"運転",IF(F25&lt;=判定条件!$C$8*E25,"停止","断続")))</f>
        <v>停止</v>
      </c>
      <c r="H25" s="30" t="n">
        <v>60</v>
      </c>
      <c r="I25" s="30" t="n">
        <v>0</v>
      </c>
      <c r="J25" s="30" t="str">
        <f aca="false">IF(H25&lt;判定条件!$C$6,"判定不能",IF(I25&gt;=判定条件!$C$7*H25,"運転",IF(I25&lt;=判定条件!$C$8*H25,"停止","断続")))</f>
        <v>停止</v>
      </c>
      <c r="K25" s="30" t="n">
        <v>60</v>
      </c>
      <c r="L25" s="30" t="n">
        <v>60</v>
      </c>
      <c r="M25" s="30" t="str">
        <f aca="false">IF(K25&lt;判定条件!$C$6,"判定不能",IF(L25&gt;=判定条件!$C$7*K25,"運転",IF(L25&lt;=判定条件!$C$8*K25,"停止","断続")))</f>
        <v>運転</v>
      </c>
      <c r="N25" s="30" t="n">
        <v>60</v>
      </c>
      <c r="O25" s="30" t="n">
        <v>0</v>
      </c>
      <c r="P25" s="30" t="str">
        <f aca="false">IF(N25&lt;判定条件!$C$6,"判定不能",IF(O25&gt;=判定条件!$C$7*N25,"運転",IF(O25&lt;=判定条件!$C$8*N25,"停止","断続")))</f>
        <v>停止</v>
      </c>
      <c r="Q25" s="30" t="n">
        <v>60</v>
      </c>
      <c r="R25" s="30" t="n">
        <v>0</v>
      </c>
      <c r="S25" s="30" t="str">
        <f aca="false">IF(Q25&lt;判定条件!$C$6,"判定不能",IF(R25&gt;=判定条件!$C$7*Q25,"運転",IF(R25&lt;=判定条件!$C$8*Q25,"停止","断続")))</f>
        <v>停止</v>
      </c>
      <c r="T25" s="30" t="n">
        <v>60</v>
      </c>
      <c r="U25" s="30" t="n">
        <v>0</v>
      </c>
      <c r="V25" s="30" t="str">
        <f aca="false">IF(T25&lt;判定条件!$C$6,"判定不能",IF(U25&gt;=判定条件!$C$7*T25,"運転",IF(U25&lt;=判定条件!$C$8*T25,"停止","断続")))</f>
        <v>停止</v>
      </c>
      <c r="W25" s="30" t="n">
        <v>60</v>
      </c>
      <c r="X25" s="30" t="n">
        <v>0</v>
      </c>
      <c r="Y25" s="30" t="str">
        <f aca="false">IF(W25&lt;判定条件!$C$6,"判定不能",IF(X25&gt;=判定条件!$C$7*W25,"運転",IF(X25&lt;=判定条件!$C$8*W25,"停止","断続")))</f>
        <v>停止</v>
      </c>
      <c r="Z25" s="30" t="n">
        <v>60</v>
      </c>
      <c r="AA25" s="30" t="n">
        <v>12</v>
      </c>
      <c r="AB25" s="30" t="str">
        <f aca="false">IF(Z25&lt;判定条件!$C$6,"判定不能",IF(AA25&gt;=判定条件!$C$7*Z25,"運転",IF(AA25&lt;=判定条件!$C$8*Z25,"停止","断続")))</f>
        <v>停止</v>
      </c>
      <c r="AC25" s="30" t="n">
        <v>60</v>
      </c>
      <c r="AD25" s="30" t="n">
        <v>0</v>
      </c>
      <c r="AE25" s="30" t="str">
        <f aca="false">IF(AC25&lt;判定条件!$C$6,"判定不能",IF(AD25&gt;=判定条件!$C$7*AC25,"運転",IF(AD25&lt;=判定条件!$C$8*AC25,"停止","断続")))</f>
        <v>停止</v>
      </c>
      <c r="AF25" s="30" t="n">
        <v>60</v>
      </c>
      <c r="AG25" s="30" t="n">
        <v>0</v>
      </c>
      <c r="AH25" s="30" t="str">
        <f aca="false">IF(OR(P25="判定不能",G25="判定不能"),"判定不能",IF(AG25&gt;=判定条件!$C$9,"利用可",IF(AND(P25="停止",G25="停止"),"両方停止","運転がそろわない")))</f>
        <v>両方停止</v>
      </c>
      <c r="AI25" s="30" t="n">
        <v>60</v>
      </c>
      <c r="AJ25" s="30" t="n">
        <v>0</v>
      </c>
      <c r="AK25" s="30" t="str">
        <f aca="false">IF(OR(S25="判定不能",J25="判定不能"),"判定不能",IF(AJ25&gt;=判定条件!$C$9,"利用可",IF(AND(S25="停止",J25="停止"),"両方停止","運転がそろわない")))</f>
        <v>両方停止</v>
      </c>
      <c r="AL25" s="30" t="n">
        <v>60</v>
      </c>
      <c r="AM25" s="30" t="n">
        <v>0</v>
      </c>
      <c r="AN25" s="30" t="str">
        <f aca="false">IF(OR(V25="判定不能",M25="判定不能"),"判定不能",IF(AM25&gt;=判定条件!$C$9,"利用可",IF(AND(V25="停止",M25="停止"),"両方停止","運転がそろわない")))</f>
        <v>運転がそろわない</v>
      </c>
      <c r="AO25" s="30" t="n">
        <v>60</v>
      </c>
      <c r="AP25" s="30" t="n">
        <v>0</v>
      </c>
      <c r="AQ25" s="30" t="str">
        <f aca="false">IF(OR(Y25="判定不能",G25="判定不能"),"判定不能",IF(AP25&gt;=判定条件!$C$9,"利用可",IF(AND(Y25="停止",G25="停止"),"両方停止","運転がそろわない")))</f>
        <v>両方停止</v>
      </c>
      <c r="AR25" s="30" t="n">
        <v>60</v>
      </c>
      <c r="AS25" s="30" t="n">
        <v>0</v>
      </c>
      <c r="AT25" s="30" t="str">
        <f aca="false">IF(OR(AB25="判定不能",J25="判定不能"),"判定不能",IF(AS25&gt;=判定条件!$C$9,"利用可",IF(AND(AB25="停止",J25="停止"),"両方停止","運転がそろわない")))</f>
        <v>両方停止</v>
      </c>
      <c r="AU25" s="30" t="n">
        <v>60</v>
      </c>
      <c r="AV25" s="30" t="n">
        <v>0</v>
      </c>
      <c r="AW25" s="30" t="str">
        <f aca="false">IF(OR(AE25="判定不能",M25="判定不能"),"判定不能",IF(AV25&gt;=判定条件!$C$9,"利用可",IF(AND(AE25="停止",M25="停止"),"両方停止","運転がそろわない")))</f>
        <v>運転がそろわない</v>
      </c>
      <c r="AX25" s="30" t="str">
        <f aca="false">IF(AND(AH25="利用可",AK25="利用可",AN25="利用可"),"利用可","不可")</f>
        <v>不可</v>
      </c>
      <c r="AY25" s="30" t="str">
        <f aca="false">IF(AND(AQ25="利用可",AT25="利用可",AW25="利用可"),"利用可","不可")</f>
        <v>不可</v>
      </c>
    </row>
    <row r="26" customFormat="false" ht="15" hidden="false" customHeight="false" outlineLevel="0" collapsed="false">
      <c r="A26" s="29" t="n">
        <v>46232</v>
      </c>
      <c r="B26" s="30" t="n">
        <v>23</v>
      </c>
      <c r="C26" s="31" t="s">
        <v>58</v>
      </c>
      <c r="D26" s="31" t="s">
        <v>59</v>
      </c>
      <c r="E26" s="30" t="n">
        <v>60</v>
      </c>
      <c r="F26" s="30" t="n">
        <v>0</v>
      </c>
      <c r="G26" s="30" t="str">
        <f aca="false">IF(E26&lt;判定条件!$C$6,"判定不能",IF(F26&gt;=判定条件!$C$7*E26,"運転",IF(F26&lt;=判定条件!$C$8*E26,"停止","断続")))</f>
        <v>停止</v>
      </c>
      <c r="H26" s="30" t="n">
        <v>60</v>
      </c>
      <c r="I26" s="30" t="n">
        <v>0</v>
      </c>
      <c r="J26" s="30" t="str">
        <f aca="false">IF(H26&lt;判定条件!$C$6,"判定不能",IF(I26&gt;=判定条件!$C$7*H26,"運転",IF(I26&lt;=判定条件!$C$8*H26,"停止","断続")))</f>
        <v>停止</v>
      </c>
      <c r="K26" s="30" t="n">
        <v>60</v>
      </c>
      <c r="L26" s="30" t="n">
        <v>60</v>
      </c>
      <c r="M26" s="30" t="str">
        <f aca="false">IF(K26&lt;判定条件!$C$6,"判定不能",IF(L26&gt;=判定条件!$C$7*K26,"運転",IF(L26&lt;=判定条件!$C$8*K26,"停止","断続")))</f>
        <v>運転</v>
      </c>
      <c r="N26" s="30" t="n">
        <v>60</v>
      </c>
      <c r="O26" s="30" t="n">
        <v>0</v>
      </c>
      <c r="P26" s="30" t="str">
        <f aca="false">IF(N26&lt;判定条件!$C$6,"判定不能",IF(O26&gt;=判定条件!$C$7*N26,"運転",IF(O26&lt;=判定条件!$C$8*N26,"停止","断続")))</f>
        <v>停止</v>
      </c>
      <c r="Q26" s="30" t="n">
        <v>60</v>
      </c>
      <c r="R26" s="30" t="n">
        <v>0</v>
      </c>
      <c r="S26" s="30" t="str">
        <f aca="false">IF(Q26&lt;判定条件!$C$6,"判定不能",IF(R26&gt;=判定条件!$C$7*Q26,"運転",IF(R26&lt;=判定条件!$C$8*Q26,"停止","断続")))</f>
        <v>停止</v>
      </c>
      <c r="T26" s="30" t="n">
        <v>60</v>
      </c>
      <c r="U26" s="30" t="n">
        <v>0</v>
      </c>
      <c r="V26" s="30" t="str">
        <f aca="false">IF(T26&lt;判定条件!$C$6,"判定不能",IF(U26&gt;=判定条件!$C$7*T26,"運転",IF(U26&lt;=判定条件!$C$8*T26,"停止","断続")))</f>
        <v>停止</v>
      </c>
      <c r="W26" s="30" t="n">
        <v>60</v>
      </c>
      <c r="X26" s="30" t="n">
        <v>0</v>
      </c>
      <c r="Y26" s="30" t="str">
        <f aca="false">IF(W26&lt;判定条件!$C$6,"判定不能",IF(X26&gt;=判定条件!$C$7*W26,"運転",IF(X26&lt;=判定条件!$C$8*W26,"停止","断続")))</f>
        <v>停止</v>
      </c>
      <c r="Z26" s="30" t="n">
        <v>60</v>
      </c>
      <c r="AA26" s="30" t="n">
        <v>22</v>
      </c>
      <c r="AB26" s="30" t="str">
        <f aca="false">IF(Z26&lt;判定条件!$C$6,"判定不能",IF(AA26&gt;=判定条件!$C$7*Z26,"運転",IF(AA26&lt;=判定条件!$C$8*Z26,"停止","断続")))</f>
        <v>断続</v>
      </c>
      <c r="AC26" s="30" t="n">
        <v>60</v>
      </c>
      <c r="AD26" s="30" t="n">
        <v>0</v>
      </c>
      <c r="AE26" s="30" t="str">
        <f aca="false">IF(AC26&lt;判定条件!$C$6,"判定不能",IF(AD26&gt;=判定条件!$C$7*AC26,"運転",IF(AD26&lt;=判定条件!$C$8*AC26,"停止","断続")))</f>
        <v>停止</v>
      </c>
      <c r="AF26" s="30" t="n">
        <v>60</v>
      </c>
      <c r="AG26" s="30" t="n">
        <v>0</v>
      </c>
      <c r="AH26" s="30" t="str">
        <f aca="false">IF(OR(P26="判定不能",G26="判定不能"),"判定不能",IF(AG26&gt;=判定条件!$C$9,"利用可",IF(AND(P26="停止",G26="停止"),"両方停止","運転がそろわない")))</f>
        <v>両方停止</v>
      </c>
      <c r="AI26" s="30" t="n">
        <v>60</v>
      </c>
      <c r="AJ26" s="30" t="n">
        <v>0</v>
      </c>
      <c r="AK26" s="30" t="str">
        <f aca="false">IF(OR(S26="判定不能",J26="判定不能"),"判定不能",IF(AJ26&gt;=判定条件!$C$9,"利用可",IF(AND(S26="停止",J26="停止"),"両方停止","運転がそろわない")))</f>
        <v>両方停止</v>
      </c>
      <c r="AL26" s="30" t="n">
        <v>60</v>
      </c>
      <c r="AM26" s="30" t="n">
        <v>0</v>
      </c>
      <c r="AN26" s="30" t="str">
        <f aca="false">IF(OR(V26="判定不能",M26="判定不能"),"判定不能",IF(AM26&gt;=判定条件!$C$9,"利用可",IF(AND(V26="停止",M26="停止"),"両方停止","運転がそろわない")))</f>
        <v>運転がそろわない</v>
      </c>
      <c r="AO26" s="30" t="n">
        <v>60</v>
      </c>
      <c r="AP26" s="30" t="n">
        <v>0</v>
      </c>
      <c r="AQ26" s="30" t="str">
        <f aca="false">IF(OR(Y26="判定不能",G26="判定不能"),"判定不能",IF(AP26&gt;=判定条件!$C$9,"利用可",IF(AND(Y26="停止",G26="停止"),"両方停止","運転がそろわない")))</f>
        <v>両方停止</v>
      </c>
      <c r="AR26" s="30" t="n">
        <v>60</v>
      </c>
      <c r="AS26" s="30" t="n">
        <v>0</v>
      </c>
      <c r="AT26" s="30" t="str">
        <f aca="false">IF(OR(AB26="判定不能",J26="判定不能"),"判定不能",IF(AS26&gt;=判定条件!$C$9,"利用可",IF(AND(AB26="停止",J26="停止"),"両方停止","運転がそろわない")))</f>
        <v>運転がそろわない</v>
      </c>
      <c r="AU26" s="30" t="n">
        <v>60</v>
      </c>
      <c r="AV26" s="30" t="n">
        <v>0</v>
      </c>
      <c r="AW26" s="30" t="str">
        <f aca="false">IF(OR(AE26="判定不能",M26="判定不能"),"判定不能",IF(AV26&gt;=判定条件!$C$9,"利用可",IF(AND(AE26="停止",M26="停止"),"両方停止","運転がそろわない")))</f>
        <v>運転がそろわない</v>
      </c>
      <c r="AX26" s="30" t="str">
        <f aca="false">IF(AND(AH26="利用可",AK26="利用可",AN26="利用可"),"利用可","不可")</f>
        <v>不可</v>
      </c>
      <c r="AY26" s="30" t="str">
        <f aca="false">IF(AND(AQ26="利用可",AT26="利用可",AW26="利用可"),"利用可","不可")</f>
        <v>不可</v>
      </c>
    </row>
    <row r="27" customFormat="false" ht="15" hidden="false" customHeight="false" outlineLevel="0" collapsed="false">
      <c r="A27" s="29" t="n">
        <v>46233</v>
      </c>
      <c r="B27" s="30" t="n">
        <v>0</v>
      </c>
      <c r="C27" s="31" t="s">
        <v>61</v>
      </c>
      <c r="D27" s="31" t="s">
        <v>59</v>
      </c>
      <c r="E27" s="30" t="n">
        <v>60</v>
      </c>
      <c r="F27" s="30" t="n">
        <v>0</v>
      </c>
      <c r="G27" s="30" t="str">
        <f aca="false">IF(E27&lt;判定条件!$C$6,"判定不能",IF(F27&gt;=判定条件!$C$7*E27,"運転",IF(F27&lt;=判定条件!$C$8*E27,"停止","断続")))</f>
        <v>停止</v>
      </c>
      <c r="H27" s="30" t="n">
        <v>60</v>
      </c>
      <c r="I27" s="30" t="n">
        <v>0</v>
      </c>
      <c r="J27" s="30" t="str">
        <f aca="false">IF(H27&lt;判定条件!$C$6,"判定不能",IF(I27&gt;=判定条件!$C$7*H27,"運転",IF(I27&lt;=判定条件!$C$8*H27,"停止","断続")))</f>
        <v>停止</v>
      </c>
      <c r="K27" s="30" t="n">
        <v>60</v>
      </c>
      <c r="L27" s="30" t="n">
        <v>60</v>
      </c>
      <c r="M27" s="30" t="str">
        <f aca="false">IF(K27&lt;判定条件!$C$6,"判定不能",IF(L27&gt;=判定条件!$C$7*K27,"運転",IF(L27&lt;=判定条件!$C$8*K27,"停止","断続")))</f>
        <v>運転</v>
      </c>
      <c r="N27" s="30" t="n">
        <v>60</v>
      </c>
      <c r="O27" s="30" t="n">
        <v>0</v>
      </c>
      <c r="P27" s="30" t="str">
        <f aca="false">IF(N27&lt;判定条件!$C$6,"判定不能",IF(O27&gt;=判定条件!$C$7*N27,"運転",IF(O27&lt;=判定条件!$C$8*N27,"停止","断続")))</f>
        <v>停止</v>
      </c>
      <c r="Q27" s="30" t="n">
        <v>60</v>
      </c>
      <c r="R27" s="30" t="n">
        <v>0</v>
      </c>
      <c r="S27" s="30" t="str">
        <f aca="false">IF(Q27&lt;判定条件!$C$6,"判定不能",IF(R27&gt;=判定条件!$C$7*Q27,"運転",IF(R27&lt;=判定条件!$C$8*Q27,"停止","断続")))</f>
        <v>停止</v>
      </c>
      <c r="T27" s="30" t="n">
        <v>60</v>
      </c>
      <c r="U27" s="30" t="n">
        <v>0</v>
      </c>
      <c r="V27" s="30" t="str">
        <f aca="false">IF(T27&lt;判定条件!$C$6,"判定不能",IF(U27&gt;=判定条件!$C$7*T27,"運転",IF(U27&lt;=判定条件!$C$8*T27,"停止","断続")))</f>
        <v>停止</v>
      </c>
      <c r="W27" s="30" t="n">
        <v>60</v>
      </c>
      <c r="X27" s="30" t="n">
        <v>0</v>
      </c>
      <c r="Y27" s="30" t="str">
        <f aca="false">IF(W27&lt;判定条件!$C$6,"判定不能",IF(X27&gt;=判定条件!$C$7*W27,"運転",IF(X27&lt;=判定条件!$C$8*W27,"停止","断続")))</f>
        <v>停止</v>
      </c>
      <c r="Z27" s="30" t="n">
        <v>60</v>
      </c>
      <c r="AA27" s="30" t="n">
        <v>0</v>
      </c>
      <c r="AB27" s="30" t="str">
        <f aca="false">IF(Z27&lt;判定条件!$C$6,"判定不能",IF(AA27&gt;=判定条件!$C$7*Z27,"運転",IF(AA27&lt;=判定条件!$C$8*Z27,"停止","断続")))</f>
        <v>停止</v>
      </c>
      <c r="AC27" s="30" t="n">
        <v>60</v>
      </c>
      <c r="AD27" s="30" t="n">
        <v>0</v>
      </c>
      <c r="AE27" s="30" t="str">
        <f aca="false">IF(AC27&lt;判定条件!$C$6,"判定不能",IF(AD27&gt;=判定条件!$C$7*AC27,"運転",IF(AD27&lt;=判定条件!$C$8*AC27,"停止","断続")))</f>
        <v>停止</v>
      </c>
      <c r="AF27" s="30" t="n">
        <v>60</v>
      </c>
      <c r="AG27" s="30" t="n">
        <v>0</v>
      </c>
      <c r="AH27" s="30" t="str">
        <f aca="false">IF(OR(P27="判定不能",G27="判定不能"),"判定不能",IF(AG27&gt;=判定条件!$C$9,"利用可",IF(AND(P27="停止",G27="停止"),"両方停止","運転がそろわない")))</f>
        <v>両方停止</v>
      </c>
      <c r="AI27" s="30" t="n">
        <v>60</v>
      </c>
      <c r="AJ27" s="30" t="n">
        <v>0</v>
      </c>
      <c r="AK27" s="30" t="str">
        <f aca="false">IF(OR(S27="判定不能",J27="判定不能"),"判定不能",IF(AJ27&gt;=判定条件!$C$9,"利用可",IF(AND(S27="停止",J27="停止"),"両方停止","運転がそろわない")))</f>
        <v>両方停止</v>
      </c>
      <c r="AL27" s="30" t="n">
        <v>60</v>
      </c>
      <c r="AM27" s="30" t="n">
        <v>0</v>
      </c>
      <c r="AN27" s="30" t="str">
        <f aca="false">IF(OR(V27="判定不能",M27="判定不能"),"判定不能",IF(AM27&gt;=判定条件!$C$9,"利用可",IF(AND(V27="停止",M27="停止"),"両方停止","運転がそろわない")))</f>
        <v>運転がそろわない</v>
      </c>
      <c r="AO27" s="30" t="n">
        <v>60</v>
      </c>
      <c r="AP27" s="30" t="n">
        <v>0</v>
      </c>
      <c r="AQ27" s="30" t="str">
        <f aca="false">IF(OR(Y27="判定不能",G27="判定不能"),"判定不能",IF(AP27&gt;=判定条件!$C$9,"利用可",IF(AND(Y27="停止",G27="停止"),"両方停止","運転がそろわない")))</f>
        <v>両方停止</v>
      </c>
      <c r="AR27" s="30" t="n">
        <v>60</v>
      </c>
      <c r="AS27" s="30" t="n">
        <v>0</v>
      </c>
      <c r="AT27" s="30" t="str">
        <f aca="false">IF(OR(AB27="判定不能",J27="判定不能"),"判定不能",IF(AS27&gt;=判定条件!$C$9,"利用可",IF(AND(AB27="停止",J27="停止"),"両方停止","運転がそろわない")))</f>
        <v>両方停止</v>
      </c>
      <c r="AU27" s="30" t="n">
        <v>60</v>
      </c>
      <c r="AV27" s="30" t="n">
        <v>0</v>
      </c>
      <c r="AW27" s="30" t="str">
        <f aca="false">IF(OR(AE27="判定不能",M27="判定不能"),"判定不能",IF(AV27&gt;=判定条件!$C$9,"利用可",IF(AND(AE27="停止",M27="停止"),"両方停止","運転がそろわない")))</f>
        <v>運転がそろわない</v>
      </c>
      <c r="AX27" s="30" t="str">
        <f aca="false">IF(AND(AH27="利用可",AK27="利用可",AN27="利用可"),"利用可","不可")</f>
        <v>不可</v>
      </c>
      <c r="AY27" s="30" t="str">
        <f aca="false">IF(AND(AQ27="利用可",AT27="利用可",AW27="利用可"),"利用可","不可")</f>
        <v>不可</v>
      </c>
    </row>
    <row r="28" customFormat="false" ht="15" hidden="false" customHeight="false" outlineLevel="0" collapsed="false">
      <c r="A28" s="29" t="n">
        <v>46233</v>
      </c>
      <c r="B28" s="30" t="n">
        <v>1</v>
      </c>
      <c r="C28" s="31" t="s">
        <v>61</v>
      </c>
      <c r="D28" s="31" t="s">
        <v>59</v>
      </c>
      <c r="E28" s="30" t="n">
        <v>60</v>
      </c>
      <c r="F28" s="30" t="n">
        <v>0</v>
      </c>
      <c r="G28" s="30" t="str">
        <f aca="false">IF(E28&lt;判定条件!$C$6,"判定不能",IF(F28&gt;=判定条件!$C$7*E28,"運転",IF(F28&lt;=判定条件!$C$8*E28,"停止","断続")))</f>
        <v>停止</v>
      </c>
      <c r="H28" s="30" t="n">
        <v>60</v>
      </c>
      <c r="I28" s="30" t="n">
        <v>0</v>
      </c>
      <c r="J28" s="30" t="str">
        <f aca="false">IF(H28&lt;判定条件!$C$6,"判定不能",IF(I28&gt;=判定条件!$C$7*H28,"運転",IF(I28&lt;=判定条件!$C$8*H28,"停止","断続")))</f>
        <v>停止</v>
      </c>
      <c r="K28" s="30" t="n">
        <v>60</v>
      </c>
      <c r="L28" s="30" t="n">
        <v>60</v>
      </c>
      <c r="M28" s="30" t="str">
        <f aca="false">IF(K28&lt;判定条件!$C$6,"判定不能",IF(L28&gt;=判定条件!$C$7*K28,"運転",IF(L28&lt;=判定条件!$C$8*K28,"停止","断続")))</f>
        <v>運転</v>
      </c>
      <c r="N28" s="30" t="n">
        <v>60</v>
      </c>
      <c r="O28" s="30" t="n">
        <v>0</v>
      </c>
      <c r="P28" s="30" t="str">
        <f aca="false">IF(N28&lt;判定条件!$C$6,"判定不能",IF(O28&gt;=判定条件!$C$7*N28,"運転",IF(O28&lt;=判定条件!$C$8*N28,"停止","断続")))</f>
        <v>停止</v>
      </c>
      <c r="Q28" s="30" t="n">
        <v>60</v>
      </c>
      <c r="R28" s="30" t="n">
        <v>0</v>
      </c>
      <c r="S28" s="30" t="str">
        <f aca="false">IF(Q28&lt;判定条件!$C$6,"判定不能",IF(R28&gt;=判定条件!$C$7*Q28,"運転",IF(R28&lt;=判定条件!$C$8*Q28,"停止","断続")))</f>
        <v>停止</v>
      </c>
      <c r="T28" s="30" t="n">
        <v>60</v>
      </c>
      <c r="U28" s="30" t="n">
        <v>0</v>
      </c>
      <c r="V28" s="30" t="str">
        <f aca="false">IF(T28&lt;判定条件!$C$6,"判定不能",IF(U28&gt;=判定条件!$C$7*T28,"運転",IF(U28&lt;=判定条件!$C$8*T28,"停止","断続")))</f>
        <v>停止</v>
      </c>
      <c r="W28" s="30" t="n">
        <v>60</v>
      </c>
      <c r="X28" s="30" t="n">
        <v>0</v>
      </c>
      <c r="Y28" s="30" t="str">
        <f aca="false">IF(W28&lt;判定条件!$C$6,"判定不能",IF(X28&gt;=判定条件!$C$7*W28,"運転",IF(X28&lt;=判定条件!$C$8*W28,"停止","断続")))</f>
        <v>停止</v>
      </c>
      <c r="Z28" s="30" t="n">
        <v>60</v>
      </c>
      <c r="AA28" s="30" t="n">
        <v>0</v>
      </c>
      <c r="AB28" s="30" t="str">
        <f aca="false">IF(Z28&lt;判定条件!$C$6,"判定不能",IF(AA28&gt;=判定条件!$C$7*Z28,"運転",IF(AA28&lt;=判定条件!$C$8*Z28,"停止","断続")))</f>
        <v>停止</v>
      </c>
      <c r="AC28" s="30" t="n">
        <v>60</v>
      </c>
      <c r="AD28" s="30" t="n">
        <v>0</v>
      </c>
      <c r="AE28" s="30" t="str">
        <f aca="false">IF(AC28&lt;判定条件!$C$6,"判定不能",IF(AD28&gt;=判定条件!$C$7*AC28,"運転",IF(AD28&lt;=判定条件!$C$8*AC28,"停止","断続")))</f>
        <v>停止</v>
      </c>
      <c r="AF28" s="30" t="n">
        <v>60</v>
      </c>
      <c r="AG28" s="30" t="n">
        <v>0</v>
      </c>
      <c r="AH28" s="30" t="str">
        <f aca="false">IF(OR(P28="判定不能",G28="判定不能"),"判定不能",IF(AG28&gt;=判定条件!$C$9,"利用可",IF(AND(P28="停止",G28="停止"),"両方停止","運転がそろわない")))</f>
        <v>両方停止</v>
      </c>
      <c r="AI28" s="30" t="n">
        <v>60</v>
      </c>
      <c r="AJ28" s="30" t="n">
        <v>0</v>
      </c>
      <c r="AK28" s="30" t="str">
        <f aca="false">IF(OR(S28="判定不能",J28="判定不能"),"判定不能",IF(AJ28&gt;=判定条件!$C$9,"利用可",IF(AND(S28="停止",J28="停止"),"両方停止","運転がそろわない")))</f>
        <v>両方停止</v>
      </c>
      <c r="AL28" s="30" t="n">
        <v>60</v>
      </c>
      <c r="AM28" s="30" t="n">
        <v>0</v>
      </c>
      <c r="AN28" s="30" t="str">
        <f aca="false">IF(OR(V28="判定不能",M28="判定不能"),"判定不能",IF(AM28&gt;=判定条件!$C$9,"利用可",IF(AND(V28="停止",M28="停止"),"両方停止","運転がそろわない")))</f>
        <v>運転がそろわない</v>
      </c>
      <c r="AO28" s="30" t="n">
        <v>60</v>
      </c>
      <c r="AP28" s="30" t="n">
        <v>0</v>
      </c>
      <c r="AQ28" s="30" t="str">
        <f aca="false">IF(OR(Y28="判定不能",G28="判定不能"),"判定不能",IF(AP28&gt;=判定条件!$C$9,"利用可",IF(AND(Y28="停止",G28="停止"),"両方停止","運転がそろわない")))</f>
        <v>両方停止</v>
      </c>
      <c r="AR28" s="30" t="n">
        <v>60</v>
      </c>
      <c r="AS28" s="30" t="n">
        <v>0</v>
      </c>
      <c r="AT28" s="30" t="str">
        <f aca="false">IF(OR(AB28="判定不能",J28="判定不能"),"判定不能",IF(AS28&gt;=判定条件!$C$9,"利用可",IF(AND(AB28="停止",J28="停止"),"両方停止","運転がそろわない")))</f>
        <v>両方停止</v>
      </c>
      <c r="AU28" s="30" t="n">
        <v>60</v>
      </c>
      <c r="AV28" s="30" t="n">
        <v>0</v>
      </c>
      <c r="AW28" s="30" t="str">
        <f aca="false">IF(OR(AE28="判定不能",M28="判定不能"),"判定不能",IF(AV28&gt;=判定条件!$C$9,"利用可",IF(AND(AE28="停止",M28="停止"),"両方停止","運転がそろわない")))</f>
        <v>運転がそろわない</v>
      </c>
      <c r="AX28" s="30" t="str">
        <f aca="false">IF(AND(AH28="利用可",AK28="利用可",AN28="利用可"),"利用可","不可")</f>
        <v>不可</v>
      </c>
      <c r="AY28" s="30" t="str">
        <f aca="false">IF(AND(AQ28="利用可",AT28="利用可",AW28="利用可"),"利用可","不可")</f>
        <v>不可</v>
      </c>
    </row>
    <row r="29" customFormat="false" ht="15" hidden="false" customHeight="false" outlineLevel="0" collapsed="false">
      <c r="A29" s="29" t="n">
        <v>46233</v>
      </c>
      <c r="B29" s="30" t="n">
        <v>2</v>
      </c>
      <c r="C29" s="31" t="s">
        <v>61</v>
      </c>
      <c r="D29" s="31" t="s">
        <v>59</v>
      </c>
      <c r="E29" s="30" t="n">
        <v>60</v>
      </c>
      <c r="F29" s="30" t="n">
        <v>0</v>
      </c>
      <c r="G29" s="30" t="str">
        <f aca="false">IF(E29&lt;判定条件!$C$6,"判定不能",IF(F29&gt;=判定条件!$C$7*E29,"運転",IF(F29&lt;=判定条件!$C$8*E29,"停止","断続")))</f>
        <v>停止</v>
      </c>
      <c r="H29" s="30" t="n">
        <v>60</v>
      </c>
      <c r="I29" s="30" t="n">
        <v>0</v>
      </c>
      <c r="J29" s="30" t="str">
        <f aca="false">IF(H29&lt;判定条件!$C$6,"判定不能",IF(I29&gt;=判定条件!$C$7*H29,"運転",IF(I29&lt;=判定条件!$C$8*H29,"停止","断続")))</f>
        <v>停止</v>
      </c>
      <c r="K29" s="30" t="n">
        <v>60</v>
      </c>
      <c r="L29" s="30" t="n">
        <v>60</v>
      </c>
      <c r="M29" s="30" t="str">
        <f aca="false">IF(K29&lt;判定条件!$C$6,"判定不能",IF(L29&gt;=判定条件!$C$7*K29,"運転",IF(L29&lt;=判定条件!$C$8*K29,"停止","断続")))</f>
        <v>運転</v>
      </c>
      <c r="N29" s="30" t="n">
        <v>60</v>
      </c>
      <c r="O29" s="30" t="n">
        <v>0</v>
      </c>
      <c r="P29" s="30" t="str">
        <f aca="false">IF(N29&lt;判定条件!$C$6,"判定不能",IF(O29&gt;=判定条件!$C$7*N29,"運転",IF(O29&lt;=判定条件!$C$8*N29,"停止","断続")))</f>
        <v>停止</v>
      </c>
      <c r="Q29" s="30" t="n">
        <v>60</v>
      </c>
      <c r="R29" s="30" t="n">
        <v>0</v>
      </c>
      <c r="S29" s="30" t="str">
        <f aca="false">IF(Q29&lt;判定条件!$C$6,"判定不能",IF(R29&gt;=判定条件!$C$7*Q29,"運転",IF(R29&lt;=判定条件!$C$8*Q29,"停止","断続")))</f>
        <v>停止</v>
      </c>
      <c r="T29" s="30" t="n">
        <v>60</v>
      </c>
      <c r="U29" s="30" t="n">
        <v>0</v>
      </c>
      <c r="V29" s="30" t="str">
        <f aca="false">IF(T29&lt;判定条件!$C$6,"判定不能",IF(U29&gt;=判定条件!$C$7*T29,"運転",IF(U29&lt;=判定条件!$C$8*T29,"停止","断続")))</f>
        <v>停止</v>
      </c>
      <c r="W29" s="30" t="n">
        <v>60</v>
      </c>
      <c r="X29" s="30" t="n">
        <v>0</v>
      </c>
      <c r="Y29" s="30" t="str">
        <f aca="false">IF(W29&lt;判定条件!$C$6,"判定不能",IF(X29&gt;=判定条件!$C$7*W29,"運転",IF(X29&lt;=判定条件!$C$8*W29,"停止","断続")))</f>
        <v>停止</v>
      </c>
      <c r="Z29" s="30" t="n">
        <v>60</v>
      </c>
      <c r="AA29" s="30" t="n">
        <v>0</v>
      </c>
      <c r="AB29" s="30" t="str">
        <f aca="false">IF(Z29&lt;判定条件!$C$6,"判定不能",IF(AA29&gt;=判定条件!$C$7*Z29,"運転",IF(AA29&lt;=判定条件!$C$8*Z29,"停止","断続")))</f>
        <v>停止</v>
      </c>
      <c r="AC29" s="30" t="n">
        <v>60</v>
      </c>
      <c r="AD29" s="30" t="n">
        <v>0</v>
      </c>
      <c r="AE29" s="30" t="str">
        <f aca="false">IF(AC29&lt;判定条件!$C$6,"判定不能",IF(AD29&gt;=判定条件!$C$7*AC29,"運転",IF(AD29&lt;=判定条件!$C$8*AC29,"停止","断続")))</f>
        <v>停止</v>
      </c>
      <c r="AF29" s="30" t="n">
        <v>60</v>
      </c>
      <c r="AG29" s="30" t="n">
        <v>0</v>
      </c>
      <c r="AH29" s="30" t="str">
        <f aca="false">IF(OR(P29="判定不能",G29="判定不能"),"判定不能",IF(AG29&gt;=判定条件!$C$9,"利用可",IF(AND(P29="停止",G29="停止"),"両方停止","運転がそろわない")))</f>
        <v>両方停止</v>
      </c>
      <c r="AI29" s="30" t="n">
        <v>60</v>
      </c>
      <c r="AJ29" s="30" t="n">
        <v>0</v>
      </c>
      <c r="AK29" s="30" t="str">
        <f aca="false">IF(OR(S29="判定不能",J29="判定不能"),"判定不能",IF(AJ29&gt;=判定条件!$C$9,"利用可",IF(AND(S29="停止",J29="停止"),"両方停止","運転がそろわない")))</f>
        <v>両方停止</v>
      </c>
      <c r="AL29" s="30" t="n">
        <v>60</v>
      </c>
      <c r="AM29" s="30" t="n">
        <v>0</v>
      </c>
      <c r="AN29" s="30" t="str">
        <f aca="false">IF(OR(V29="判定不能",M29="判定不能"),"判定不能",IF(AM29&gt;=判定条件!$C$9,"利用可",IF(AND(V29="停止",M29="停止"),"両方停止","運転がそろわない")))</f>
        <v>運転がそろわない</v>
      </c>
      <c r="AO29" s="30" t="n">
        <v>60</v>
      </c>
      <c r="AP29" s="30" t="n">
        <v>0</v>
      </c>
      <c r="AQ29" s="30" t="str">
        <f aca="false">IF(OR(Y29="判定不能",G29="判定不能"),"判定不能",IF(AP29&gt;=判定条件!$C$9,"利用可",IF(AND(Y29="停止",G29="停止"),"両方停止","運転がそろわない")))</f>
        <v>両方停止</v>
      </c>
      <c r="AR29" s="30" t="n">
        <v>60</v>
      </c>
      <c r="AS29" s="30" t="n">
        <v>0</v>
      </c>
      <c r="AT29" s="30" t="str">
        <f aca="false">IF(OR(AB29="判定不能",J29="判定不能"),"判定不能",IF(AS29&gt;=判定条件!$C$9,"利用可",IF(AND(AB29="停止",J29="停止"),"両方停止","運転がそろわない")))</f>
        <v>両方停止</v>
      </c>
      <c r="AU29" s="30" t="n">
        <v>60</v>
      </c>
      <c r="AV29" s="30" t="n">
        <v>0</v>
      </c>
      <c r="AW29" s="30" t="str">
        <f aca="false">IF(OR(AE29="判定不能",M29="判定不能"),"判定不能",IF(AV29&gt;=判定条件!$C$9,"利用可",IF(AND(AE29="停止",M29="停止"),"両方停止","運転がそろわない")))</f>
        <v>運転がそろわない</v>
      </c>
      <c r="AX29" s="30" t="str">
        <f aca="false">IF(AND(AH29="利用可",AK29="利用可",AN29="利用可"),"利用可","不可")</f>
        <v>不可</v>
      </c>
      <c r="AY29" s="30" t="str">
        <f aca="false">IF(AND(AQ29="利用可",AT29="利用可",AW29="利用可"),"利用可","不可")</f>
        <v>不可</v>
      </c>
    </row>
    <row r="30" customFormat="false" ht="15" hidden="false" customHeight="false" outlineLevel="0" collapsed="false">
      <c r="A30" s="29" t="n">
        <v>46233</v>
      </c>
      <c r="B30" s="30" t="n">
        <v>3</v>
      </c>
      <c r="C30" s="31" t="s">
        <v>61</v>
      </c>
      <c r="D30" s="31" t="s">
        <v>59</v>
      </c>
      <c r="E30" s="30" t="n">
        <v>60</v>
      </c>
      <c r="F30" s="30" t="n">
        <v>0</v>
      </c>
      <c r="G30" s="30" t="str">
        <f aca="false">IF(E30&lt;判定条件!$C$6,"判定不能",IF(F30&gt;=判定条件!$C$7*E30,"運転",IF(F30&lt;=判定条件!$C$8*E30,"停止","断続")))</f>
        <v>停止</v>
      </c>
      <c r="H30" s="30" t="n">
        <v>60</v>
      </c>
      <c r="I30" s="30" t="n">
        <v>0</v>
      </c>
      <c r="J30" s="30" t="str">
        <f aca="false">IF(H30&lt;判定条件!$C$6,"判定不能",IF(I30&gt;=判定条件!$C$7*H30,"運転",IF(I30&lt;=判定条件!$C$8*H30,"停止","断続")))</f>
        <v>停止</v>
      </c>
      <c r="K30" s="30" t="n">
        <v>60</v>
      </c>
      <c r="L30" s="30" t="n">
        <v>60</v>
      </c>
      <c r="M30" s="30" t="str">
        <f aca="false">IF(K30&lt;判定条件!$C$6,"判定不能",IF(L30&gt;=判定条件!$C$7*K30,"運転",IF(L30&lt;=判定条件!$C$8*K30,"停止","断続")))</f>
        <v>運転</v>
      </c>
      <c r="N30" s="30" t="n">
        <v>60</v>
      </c>
      <c r="O30" s="30" t="n">
        <v>0</v>
      </c>
      <c r="P30" s="30" t="str">
        <f aca="false">IF(N30&lt;判定条件!$C$6,"判定不能",IF(O30&gt;=判定条件!$C$7*N30,"運転",IF(O30&lt;=判定条件!$C$8*N30,"停止","断続")))</f>
        <v>停止</v>
      </c>
      <c r="Q30" s="30" t="n">
        <v>60</v>
      </c>
      <c r="R30" s="30" t="n">
        <v>0</v>
      </c>
      <c r="S30" s="30" t="str">
        <f aca="false">IF(Q30&lt;判定条件!$C$6,"判定不能",IF(R30&gt;=判定条件!$C$7*Q30,"運転",IF(R30&lt;=判定条件!$C$8*Q30,"停止","断続")))</f>
        <v>停止</v>
      </c>
      <c r="T30" s="30" t="n">
        <v>60</v>
      </c>
      <c r="U30" s="30" t="n">
        <v>0</v>
      </c>
      <c r="V30" s="30" t="str">
        <f aca="false">IF(T30&lt;判定条件!$C$6,"判定不能",IF(U30&gt;=判定条件!$C$7*T30,"運転",IF(U30&lt;=判定条件!$C$8*T30,"停止","断続")))</f>
        <v>停止</v>
      </c>
      <c r="W30" s="30" t="n">
        <v>60</v>
      </c>
      <c r="X30" s="30" t="n">
        <v>0</v>
      </c>
      <c r="Y30" s="30" t="str">
        <f aca="false">IF(W30&lt;判定条件!$C$6,"判定不能",IF(X30&gt;=判定条件!$C$7*W30,"運転",IF(X30&lt;=判定条件!$C$8*W30,"停止","断続")))</f>
        <v>停止</v>
      </c>
      <c r="Z30" s="30" t="n">
        <v>60</v>
      </c>
      <c r="AA30" s="30" t="n">
        <v>0</v>
      </c>
      <c r="AB30" s="30" t="str">
        <f aca="false">IF(Z30&lt;判定条件!$C$6,"判定不能",IF(AA30&gt;=判定条件!$C$7*Z30,"運転",IF(AA30&lt;=判定条件!$C$8*Z30,"停止","断続")))</f>
        <v>停止</v>
      </c>
      <c r="AC30" s="30" t="n">
        <v>60</v>
      </c>
      <c r="AD30" s="30" t="n">
        <v>0</v>
      </c>
      <c r="AE30" s="30" t="str">
        <f aca="false">IF(AC30&lt;判定条件!$C$6,"判定不能",IF(AD30&gt;=判定条件!$C$7*AC30,"運転",IF(AD30&lt;=判定条件!$C$8*AC30,"停止","断続")))</f>
        <v>停止</v>
      </c>
      <c r="AF30" s="30" t="n">
        <v>60</v>
      </c>
      <c r="AG30" s="30" t="n">
        <v>0</v>
      </c>
      <c r="AH30" s="30" t="str">
        <f aca="false">IF(OR(P30="判定不能",G30="判定不能"),"判定不能",IF(AG30&gt;=判定条件!$C$9,"利用可",IF(AND(P30="停止",G30="停止"),"両方停止","運転がそろわない")))</f>
        <v>両方停止</v>
      </c>
      <c r="AI30" s="30" t="n">
        <v>60</v>
      </c>
      <c r="AJ30" s="30" t="n">
        <v>0</v>
      </c>
      <c r="AK30" s="30" t="str">
        <f aca="false">IF(OR(S30="判定不能",J30="判定不能"),"判定不能",IF(AJ30&gt;=判定条件!$C$9,"利用可",IF(AND(S30="停止",J30="停止"),"両方停止","運転がそろわない")))</f>
        <v>両方停止</v>
      </c>
      <c r="AL30" s="30" t="n">
        <v>60</v>
      </c>
      <c r="AM30" s="30" t="n">
        <v>0</v>
      </c>
      <c r="AN30" s="30" t="str">
        <f aca="false">IF(OR(V30="判定不能",M30="判定不能"),"判定不能",IF(AM30&gt;=判定条件!$C$9,"利用可",IF(AND(V30="停止",M30="停止"),"両方停止","運転がそろわない")))</f>
        <v>運転がそろわない</v>
      </c>
      <c r="AO30" s="30" t="n">
        <v>60</v>
      </c>
      <c r="AP30" s="30" t="n">
        <v>0</v>
      </c>
      <c r="AQ30" s="30" t="str">
        <f aca="false">IF(OR(Y30="判定不能",G30="判定不能"),"判定不能",IF(AP30&gt;=判定条件!$C$9,"利用可",IF(AND(Y30="停止",G30="停止"),"両方停止","運転がそろわない")))</f>
        <v>両方停止</v>
      </c>
      <c r="AR30" s="30" t="n">
        <v>60</v>
      </c>
      <c r="AS30" s="30" t="n">
        <v>0</v>
      </c>
      <c r="AT30" s="30" t="str">
        <f aca="false">IF(OR(AB30="判定不能",J30="判定不能"),"判定不能",IF(AS30&gt;=判定条件!$C$9,"利用可",IF(AND(AB30="停止",J30="停止"),"両方停止","運転がそろわない")))</f>
        <v>両方停止</v>
      </c>
      <c r="AU30" s="30" t="n">
        <v>60</v>
      </c>
      <c r="AV30" s="30" t="n">
        <v>0</v>
      </c>
      <c r="AW30" s="30" t="str">
        <f aca="false">IF(OR(AE30="判定不能",M30="判定不能"),"判定不能",IF(AV30&gt;=判定条件!$C$9,"利用可",IF(AND(AE30="停止",M30="停止"),"両方停止","運転がそろわない")))</f>
        <v>運転がそろわない</v>
      </c>
      <c r="AX30" s="30" t="str">
        <f aca="false">IF(AND(AH30="利用可",AK30="利用可",AN30="利用可"),"利用可","不可")</f>
        <v>不可</v>
      </c>
      <c r="AY30" s="30" t="str">
        <f aca="false">IF(AND(AQ30="利用可",AT30="利用可",AW30="利用可"),"利用可","不可")</f>
        <v>不可</v>
      </c>
    </row>
    <row r="31" customFormat="false" ht="15" hidden="false" customHeight="false" outlineLevel="0" collapsed="false">
      <c r="A31" s="29" t="n">
        <v>46233</v>
      </c>
      <c r="B31" s="30" t="n">
        <v>4</v>
      </c>
      <c r="C31" s="31" t="s">
        <v>61</v>
      </c>
      <c r="D31" s="31" t="s">
        <v>59</v>
      </c>
      <c r="E31" s="30" t="n">
        <v>60</v>
      </c>
      <c r="F31" s="30" t="n">
        <v>0</v>
      </c>
      <c r="G31" s="30" t="str">
        <f aca="false">IF(E31&lt;判定条件!$C$6,"判定不能",IF(F31&gt;=判定条件!$C$7*E31,"運転",IF(F31&lt;=判定条件!$C$8*E31,"停止","断続")))</f>
        <v>停止</v>
      </c>
      <c r="H31" s="30" t="n">
        <v>60</v>
      </c>
      <c r="I31" s="30" t="n">
        <v>0</v>
      </c>
      <c r="J31" s="30" t="str">
        <f aca="false">IF(H31&lt;判定条件!$C$6,"判定不能",IF(I31&gt;=判定条件!$C$7*H31,"運転",IF(I31&lt;=判定条件!$C$8*H31,"停止","断続")))</f>
        <v>停止</v>
      </c>
      <c r="K31" s="30" t="n">
        <v>60</v>
      </c>
      <c r="L31" s="30" t="n">
        <v>60</v>
      </c>
      <c r="M31" s="30" t="str">
        <f aca="false">IF(K31&lt;判定条件!$C$6,"判定不能",IF(L31&gt;=判定条件!$C$7*K31,"運転",IF(L31&lt;=判定条件!$C$8*K31,"停止","断続")))</f>
        <v>運転</v>
      </c>
      <c r="N31" s="30" t="n">
        <v>60</v>
      </c>
      <c r="O31" s="30" t="n">
        <v>0</v>
      </c>
      <c r="P31" s="30" t="str">
        <f aca="false">IF(N31&lt;判定条件!$C$6,"判定不能",IF(O31&gt;=判定条件!$C$7*N31,"運転",IF(O31&lt;=判定条件!$C$8*N31,"停止","断続")))</f>
        <v>停止</v>
      </c>
      <c r="Q31" s="30" t="n">
        <v>60</v>
      </c>
      <c r="R31" s="30" t="n">
        <v>0</v>
      </c>
      <c r="S31" s="30" t="str">
        <f aca="false">IF(Q31&lt;判定条件!$C$6,"判定不能",IF(R31&gt;=判定条件!$C$7*Q31,"運転",IF(R31&lt;=判定条件!$C$8*Q31,"停止","断続")))</f>
        <v>停止</v>
      </c>
      <c r="T31" s="30" t="n">
        <v>60</v>
      </c>
      <c r="U31" s="30" t="n">
        <v>0</v>
      </c>
      <c r="V31" s="30" t="str">
        <f aca="false">IF(T31&lt;判定条件!$C$6,"判定不能",IF(U31&gt;=判定条件!$C$7*T31,"運転",IF(U31&lt;=判定条件!$C$8*T31,"停止","断続")))</f>
        <v>停止</v>
      </c>
      <c r="W31" s="30" t="n">
        <v>60</v>
      </c>
      <c r="X31" s="30" t="n">
        <v>0</v>
      </c>
      <c r="Y31" s="30" t="str">
        <f aca="false">IF(W31&lt;判定条件!$C$6,"判定不能",IF(X31&gt;=判定条件!$C$7*W31,"運転",IF(X31&lt;=判定条件!$C$8*W31,"停止","断続")))</f>
        <v>停止</v>
      </c>
      <c r="Z31" s="30" t="n">
        <v>60</v>
      </c>
      <c r="AA31" s="30" t="n">
        <v>0</v>
      </c>
      <c r="AB31" s="30" t="str">
        <f aca="false">IF(Z31&lt;判定条件!$C$6,"判定不能",IF(AA31&gt;=判定条件!$C$7*Z31,"運転",IF(AA31&lt;=判定条件!$C$8*Z31,"停止","断続")))</f>
        <v>停止</v>
      </c>
      <c r="AC31" s="30" t="n">
        <v>60</v>
      </c>
      <c r="AD31" s="30" t="n">
        <v>0</v>
      </c>
      <c r="AE31" s="30" t="str">
        <f aca="false">IF(AC31&lt;判定条件!$C$6,"判定不能",IF(AD31&gt;=判定条件!$C$7*AC31,"運転",IF(AD31&lt;=判定条件!$C$8*AC31,"停止","断続")))</f>
        <v>停止</v>
      </c>
      <c r="AF31" s="30" t="n">
        <v>60</v>
      </c>
      <c r="AG31" s="30" t="n">
        <v>0</v>
      </c>
      <c r="AH31" s="30" t="str">
        <f aca="false">IF(OR(P31="判定不能",G31="判定不能"),"判定不能",IF(AG31&gt;=判定条件!$C$9,"利用可",IF(AND(P31="停止",G31="停止"),"両方停止","運転がそろわない")))</f>
        <v>両方停止</v>
      </c>
      <c r="AI31" s="30" t="n">
        <v>60</v>
      </c>
      <c r="AJ31" s="30" t="n">
        <v>0</v>
      </c>
      <c r="AK31" s="30" t="str">
        <f aca="false">IF(OR(S31="判定不能",J31="判定不能"),"判定不能",IF(AJ31&gt;=判定条件!$C$9,"利用可",IF(AND(S31="停止",J31="停止"),"両方停止","運転がそろわない")))</f>
        <v>両方停止</v>
      </c>
      <c r="AL31" s="30" t="n">
        <v>60</v>
      </c>
      <c r="AM31" s="30" t="n">
        <v>0</v>
      </c>
      <c r="AN31" s="30" t="str">
        <f aca="false">IF(OR(V31="判定不能",M31="判定不能"),"判定不能",IF(AM31&gt;=判定条件!$C$9,"利用可",IF(AND(V31="停止",M31="停止"),"両方停止","運転がそろわない")))</f>
        <v>運転がそろわない</v>
      </c>
      <c r="AO31" s="30" t="n">
        <v>60</v>
      </c>
      <c r="AP31" s="30" t="n">
        <v>0</v>
      </c>
      <c r="AQ31" s="30" t="str">
        <f aca="false">IF(OR(Y31="判定不能",G31="判定不能"),"判定不能",IF(AP31&gt;=判定条件!$C$9,"利用可",IF(AND(Y31="停止",G31="停止"),"両方停止","運転がそろわない")))</f>
        <v>両方停止</v>
      </c>
      <c r="AR31" s="30" t="n">
        <v>60</v>
      </c>
      <c r="AS31" s="30" t="n">
        <v>0</v>
      </c>
      <c r="AT31" s="30" t="str">
        <f aca="false">IF(OR(AB31="判定不能",J31="判定不能"),"判定不能",IF(AS31&gt;=判定条件!$C$9,"利用可",IF(AND(AB31="停止",J31="停止"),"両方停止","運転がそろわない")))</f>
        <v>両方停止</v>
      </c>
      <c r="AU31" s="30" t="n">
        <v>60</v>
      </c>
      <c r="AV31" s="30" t="n">
        <v>0</v>
      </c>
      <c r="AW31" s="30" t="str">
        <f aca="false">IF(OR(AE31="判定不能",M31="判定不能"),"判定不能",IF(AV31&gt;=判定条件!$C$9,"利用可",IF(AND(AE31="停止",M31="停止"),"両方停止","運転がそろわない")))</f>
        <v>運転がそろわない</v>
      </c>
      <c r="AX31" s="30" t="str">
        <f aca="false">IF(AND(AH31="利用可",AK31="利用可",AN31="利用可"),"利用可","不可")</f>
        <v>不可</v>
      </c>
      <c r="AY31" s="30" t="str">
        <f aca="false">IF(AND(AQ31="利用可",AT31="利用可",AW31="利用可"),"利用可","不可")</f>
        <v>不可</v>
      </c>
    </row>
    <row r="32" customFormat="false" ht="15" hidden="false" customHeight="false" outlineLevel="0" collapsed="false">
      <c r="A32" s="29" t="n">
        <v>46233</v>
      </c>
      <c r="B32" s="30" t="n">
        <v>5</v>
      </c>
      <c r="C32" s="31" t="s">
        <v>61</v>
      </c>
      <c r="D32" s="31" t="s">
        <v>59</v>
      </c>
      <c r="E32" s="30" t="n">
        <v>60</v>
      </c>
      <c r="F32" s="30" t="n">
        <v>0</v>
      </c>
      <c r="G32" s="30" t="str">
        <f aca="false">IF(E32&lt;判定条件!$C$6,"判定不能",IF(F32&gt;=判定条件!$C$7*E32,"運転",IF(F32&lt;=判定条件!$C$8*E32,"停止","断続")))</f>
        <v>停止</v>
      </c>
      <c r="H32" s="30" t="n">
        <v>60</v>
      </c>
      <c r="I32" s="30" t="n">
        <v>0</v>
      </c>
      <c r="J32" s="30" t="str">
        <f aca="false">IF(H32&lt;判定条件!$C$6,"判定不能",IF(I32&gt;=判定条件!$C$7*H32,"運転",IF(I32&lt;=判定条件!$C$8*H32,"停止","断続")))</f>
        <v>停止</v>
      </c>
      <c r="K32" s="30" t="n">
        <v>60</v>
      </c>
      <c r="L32" s="30" t="n">
        <v>60</v>
      </c>
      <c r="M32" s="30" t="str">
        <f aca="false">IF(K32&lt;判定条件!$C$6,"判定不能",IF(L32&gt;=判定条件!$C$7*K32,"運転",IF(L32&lt;=判定条件!$C$8*K32,"停止","断続")))</f>
        <v>運転</v>
      </c>
      <c r="N32" s="30" t="n">
        <v>60</v>
      </c>
      <c r="O32" s="30" t="n">
        <v>0</v>
      </c>
      <c r="P32" s="30" t="str">
        <f aca="false">IF(N32&lt;判定条件!$C$6,"判定不能",IF(O32&gt;=判定条件!$C$7*N32,"運転",IF(O32&lt;=判定条件!$C$8*N32,"停止","断続")))</f>
        <v>停止</v>
      </c>
      <c r="Q32" s="30" t="n">
        <v>60</v>
      </c>
      <c r="R32" s="30" t="n">
        <v>0</v>
      </c>
      <c r="S32" s="30" t="str">
        <f aca="false">IF(Q32&lt;判定条件!$C$6,"判定不能",IF(R32&gt;=判定条件!$C$7*Q32,"運転",IF(R32&lt;=判定条件!$C$8*Q32,"停止","断続")))</f>
        <v>停止</v>
      </c>
      <c r="T32" s="30" t="n">
        <v>60</v>
      </c>
      <c r="U32" s="30" t="n">
        <v>0</v>
      </c>
      <c r="V32" s="30" t="str">
        <f aca="false">IF(T32&lt;判定条件!$C$6,"判定不能",IF(U32&gt;=判定条件!$C$7*T32,"運転",IF(U32&lt;=判定条件!$C$8*T32,"停止","断続")))</f>
        <v>停止</v>
      </c>
      <c r="W32" s="30" t="n">
        <v>60</v>
      </c>
      <c r="X32" s="30" t="n">
        <v>0</v>
      </c>
      <c r="Y32" s="30" t="str">
        <f aca="false">IF(W32&lt;判定条件!$C$6,"判定不能",IF(X32&gt;=判定条件!$C$7*W32,"運転",IF(X32&lt;=判定条件!$C$8*W32,"停止","断続")))</f>
        <v>停止</v>
      </c>
      <c r="Z32" s="30" t="n">
        <v>60</v>
      </c>
      <c r="AA32" s="30" t="n">
        <v>0</v>
      </c>
      <c r="AB32" s="30" t="str">
        <f aca="false">IF(Z32&lt;判定条件!$C$6,"判定不能",IF(AA32&gt;=判定条件!$C$7*Z32,"運転",IF(AA32&lt;=判定条件!$C$8*Z32,"停止","断続")))</f>
        <v>停止</v>
      </c>
      <c r="AC32" s="30" t="n">
        <v>60</v>
      </c>
      <c r="AD32" s="30" t="n">
        <v>0</v>
      </c>
      <c r="AE32" s="30" t="str">
        <f aca="false">IF(AC32&lt;判定条件!$C$6,"判定不能",IF(AD32&gt;=判定条件!$C$7*AC32,"運転",IF(AD32&lt;=判定条件!$C$8*AC32,"停止","断続")))</f>
        <v>停止</v>
      </c>
      <c r="AF32" s="30" t="n">
        <v>60</v>
      </c>
      <c r="AG32" s="30" t="n">
        <v>0</v>
      </c>
      <c r="AH32" s="30" t="str">
        <f aca="false">IF(OR(P32="判定不能",G32="判定不能"),"判定不能",IF(AG32&gt;=判定条件!$C$9,"利用可",IF(AND(P32="停止",G32="停止"),"両方停止","運転がそろわない")))</f>
        <v>両方停止</v>
      </c>
      <c r="AI32" s="30" t="n">
        <v>60</v>
      </c>
      <c r="AJ32" s="30" t="n">
        <v>0</v>
      </c>
      <c r="AK32" s="30" t="str">
        <f aca="false">IF(OR(S32="判定不能",J32="判定不能"),"判定不能",IF(AJ32&gt;=判定条件!$C$9,"利用可",IF(AND(S32="停止",J32="停止"),"両方停止","運転がそろわない")))</f>
        <v>両方停止</v>
      </c>
      <c r="AL32" s="30" t="n">
        <v>60</v>
      </c>
      <c r="AM32" s="30" t="n">
        <v>0</v>
      </c>
      <c r="AN32" s="30" t="str">
        <f aca="false">IF(OR(V32="判定不能",M32="判定不能"),"判定不能",IF(AM32&gt;=判定条件!$C$9,"利用可",IF(AND(V32="停止",M32="停止"),"両方停止","運転がそろわない")))</f>
        <v>運転がそろわない</v>
      </c>
      <c r="AO32" s="30" t="n">
        <v>60</v>
      </c>
      <c r="AP32" s="30" t="n">
        <v>0</v>
      </c>
      <c r="AQ32" s="30" t="str">
        <f aca="false">IF(OR(Y32="判定不能",G32="判定不能"),"判定不能",IF(AP32&gt;=判定条件!$C$9,"利用可",IF(AND(Y32="停止",G32="停止"),"両方停止","運転がそろわない")))</f>
        <v>両方停止</v>
      </c>
      <c r="AR32" s="30" t="n">
        <v>60</v>
      </c>
      <c r="AS32" s="30" t="n">
        <v>0</v>
      </c>
      <c r="AT32" s="30" t="str">
        <f aca="false">IF(OR(AB32="判定不能",J32="判定不能"),"判定不能",IF(AS32&gt;=判定条件!$C$9,"利用可",IF(AND(AB32="停止",J32="停止"),"両方停止","運転がそろわない")))</f>
        <v>両方停止</v>
      </c>
      <c r="AU32" s="30" t="n">
        <v>60</v>
      </c>
      <c r="AV32" s="30" t="n">
        <v>0</v>
      </c>
      <c r="AW32" s="30" t="str">
        <f aca="false">IF(OR(AE32="判定不能",M32="判定不能"),"判定不能",IF(AV32&gt;=判定条件!$C$9,"利用可",IF(AND(AE32="停止",M32="停止"),"両方停止","運転がそろわない")))</f>
        <v>運転がそろわない</v>
      </c>
      <c r="AX32" s="30" t="str">
        <f aca="false">IF(AND(AH32="利用可",AK32="利用可",AN32="利用可"),"利用可","不可")</f>
        <v>不可</v>
      </c>
      <c r="AY32" s="30" t="str">
        <f aca="false">IF(AND(AQ32="利用可",AT32="利用可",AW32="利用可"),"利用可","不可")</f>
        <v>不可</v>
      </c>
    </row>
    <row r="33" customFormat="false" ht="15" hidden="false" customHeight="false" outlineLevel="0" collapsed="false">
      <c r="A33" s="29" t="n">
        <v>46233</v>
      </c>
      <c r="B33" s="30" t="n">
        <v>6</v>
      </c>
      <c r="C33" s="31" t="s">
        <v>61</v>
      </c>
      <c r="D33" s="31" t="s">
        <v>59</v>
      </c>
      <c r="E33" s="30" t="n">
        <v>60</v>
      </c>
      <c r="F33" s="30" t="n">
        <v>0</v>
      </c>
      <c r="G33" s="30" t="str">
        <f aca="false">IF(E33&lt;判定条件!$C$6,"判定不能",IF(F33&gt;=判定条件!$C$7*E33,"運転",IF(F33&lt;=判定条件!$C$8*E33,"停止","断続")))</f>
        <v>停止</v>
      </c>
      <c r="H33" s="30" t="n">
        <v>60</v>
      </c>
      <c r="I33" s="30" t="n">
        <v>0</v>
      </c>
      <c r="J33" s="30" t="str">
        <f aca="false">IF(H33&lt;判定条件!$C$6,"判定不能",IF(I33&gt;=判定条件!$C$7*H33,"運転",IF(I33&lt;=判定条件!$C$8*H33,"停止","断続")))</f>
        <v>停止</v>
      </c>
      <c r="K33" s="30" t="n">
        <v>60</v>
      </c>
      <c r="L33" s="30" t="n">
        <v>60</v>
      </c>
      <c r="M33" s="30" t="str">
        <f aca="false">IF(K33&lt;判定条件!$C$6,"判定不能",IF(L33&gt;=判定条件!$C$7*K33,"運転",IF(L33&lt;=判定条件!$C$8*K33,"停止","断続")))</f>
        <v>運転</v>
      </c>
      <c r="N33" s="30" t="n">
        <v>60</v>
      </c>
      <c r="O33" s="30" t="n">
        <v>7</v>
      </c>
      <c r="P33" s="30" t="str">
        <f aca="false">IF(N33&lt;判定条件!$C$6,"判定不能",IF(O33&gt;=判定条件!$C$7*N33,"運転",IF(O33&lt;=判定条件!$C$8*N33,"停止","断続")))</f>
        <v>停止</v>
      </c>
      <c r="Q33" s="30" t="n">
        <v>60</v>
      </c>
      <c r="R33" s="30" t="n">
        <v>7</v>
      </c>
      <c r="S33" s="30" t="str">
        <f aca="false">IF(Q33&lt;判定条件!$C$6,"判定不能",IF(R33&gt;=判定条件!$C$7*Q33,"運転",IF(R33&lt;=判定条件!$C$8*Q33,"停止","断続")))</f>
        <v>停止</v>
      </c>
      <c r="T33" s="30" t="n">
        <v>60</v>
      </c>
      <c r="U33" s="30" t="n">
        <v>0</v>
      </c>
      <c r="V33" s="30" t="str">
        <f aca="false">IF(T33&lt;判定条件!$C$6,"判定不能",IF(U33&gt;=判定条件!$C$7*T33,"運転",IF(U33&lt;=判定条件!$C$8*T33,"停止","断続")))</f>
        <v>停止</v>
      </c>
      <c r="W33" s="30" t="n">
        <v>60</v>
      </c>
      <c r="X33" s="30" t="n">
        <v>50</v>
      </c>
      <c r="Y33" s="30" t="str">
        <f aca="false">IF(W33&lt;判定条件!$C$6,"判定不能",IF(X33&gt;=判定条件!$C$7*W33,"運転",IF(X33&lt;=判定条件!$C$8*W33,"停止","断続")))</f>
        <v>運転</v>
      </c>
      <c r="Z33" s="30" t="n">
        <v>60</v>
      </c>
      <c r="AA33" s="30" t="n">
        <v>35</v>
      </c>
      <c r="AB33" s="30" t="str">
        <f aca="false">IF(Z33&lt;判定条件!$C$6,"判定不能",IF(AA33&gt;=判定条件!$C$7*Z33,"運転",IF(AA33&lt;=判定条件!$C$8*Z33,"停止","断続")))</f>
        <v>断続</v>
      </c>
      <c r="AC33" s="30" t="n">
        <v>60</v>
      </c>
      <c r="AD33" s="30" t="n">
        <v>35</v>
      </c>
      <c r="AE33" s="30" t="str">
        <f aca="false">IF(AC33&lt;判定条件!$C$6,"判定不能",IF(AD33&gt;=判定条件!$C$7*AC33,"運転",IF(AD33&lt;=判定条件!$C$8*AC33,"停止","断続")))</f>
        <v>断続</v>
      </c>
      <c r="AF33" s="30" t="n">
        <v>60</v>
      </c>
      <c r="AG33" s="30" t="n">
        <v>0</v>
      </c>
      <c r="AH33" s="30" t="str">
        <f aca="false">IF(OR(P33="判定不能",G33="判定不能"),"判定不能",IF(AG33&gt;=判定条件!$C$9,"利用可",IF(AND(P33="停止",G33="停止"),"両方停止","運転がそろわない")))</f>
        <v>両方停止</v>
      </c>
      <c r="AI33" s="30" t="n">
        <v>60</v>
      </c>
      <c r="AJ33" s="30" t="n">
        <v>0</v>
      </c>
      <c r="AK33" s="30" t="str">
        <f aca="false">IF(OR(S33="判定不能",J33="判定不能"),"判定不能",IF(AJ33&gt;=判定条件!$C$9,"利用可",IF(AND(S33="停止",J33="停止"),"両方停止","運転がそろわない")))</f>
        <v>両方停止</v>
      </c>
      <c r="AL33" s="30" t="n">
        <v>60</v>
      </c>
      <c r="AM33" s="30" t="n">
        <v>0</v>
      </c>
      <c r="AN33" s="30" t="str">
        <f aca="false">IF(OR(V33="判定不能",M33="判定不能"),"判定不能",IF(AM33&gt;=判定条件!$C$9,"利用可",IF(AND(V33="停止",M33="停止"),"両方停止","運転がそろわない")))</f>
        <v>運転がそろわない</v>
      </c>
      <c r="AO33" s="30" t="n">
        <v>60</v>
      </c>
      <c r="AP33" s="30" t="n">
        <v>0</v>
      </c>
      <c r="AQ33" s="30" t="str">
        <f aca="false">IF(OR(Y33="判定不能",G33="判定不能"),"判定不能",IF(AP33&gt;=判定条件!$C$9,"利用可",IF(AND(Y33="停止",G33="停止"),"両方停止","運転がそろわない")))</f>
        <v>運転がそろわない</v>
      </c>
      <c r="AR33" s="30" t="n">
        <v>60</v>
      </c>
      <c r="AS33" s="30" t="n">
        <v>0</v>
      </c>
      <c r="AT33" s="30" t="str">
        <f aca="false">IF(OR(AB33="判定不能",J33="判定不能"),"判定不能",IF(AS33&gt;=判定条件!$C$9,"利用可",IF(AND(AB33="停止",J33="停止"),"両方停止","運転がそろわない")))</f>
        <v>運転がそろわない</v>
      </c>
      <c r="AU33" s="30" t="n">
        <v>60</v>
      </c>
      <c r="AV33" s="30" t="n">
        <v>35</v>
      </c>
      <c r="AW33" s="30" t="str">
        <f aca="false">IF(OR(AE33="判定不能",M33="判定不能"),"判定不能",IF(AV33&gt;=判定条件!$C$9,"利用可",IF(AND(AE33="停止",M33="停止"),"両方停止","運転がそろわない")))</f>
        <v>利用可</v>
      </c>
      <c r="AX33" s="30" t="str">
        <f aca="false">IF(AND(AH33="利用可",AK33="利用可",AN33="利用可"),"利用可","不可")</f>
        <v>不可</v>
      </c>
      <c r="AY33" s="30" t="str">
        <f aca="false">IF(AND(AQ33="利用可",AT33="利用可",AW33="利用可"),"利用可","不可")</f>
        <v>不可</v>
      </c>
    </row>
    <row r="34" customFormat="false" ht="15" hidden="false" customHeight="false" outlineLevel="0" collapsed="false">
      <c r="A34" s="29" t="n">
        <v>46233</v>
      </c>
      <c r="B34" s="30" t="n">
        <v>7</v>
      </c>
      <c r="C34" s="31" t="s">
        <v>61</v>
      </c>
      <c r="D34" s="31" t="s">
        <v>59</v>
      </c>
      <c r="E34" s="30" t="n">
        <v>60</v>
      </c>
      <c r="F34" s="30" t="n">
        <v>0</v>
      </c>
      <c r="G34" s="30" t="str">
        <f aca="false">IF(E34&lt;判定条件!$C$6,"判定不能",IF(F34&gt;=判定条件!$C$7*E34,"運転",IF(F34&lt;=判定条件!$C$8*E34,"停止","断続")))</f>
        <v>停止</v>
      </c>
      <c r="H34" s="30" t="n">
        <v>60</v>
      </c>
      <c r="I34" s="30" t="n">
        <v>0</v>
      </c>
      <c r="J34" s="30" t="str">
        <f aca="false">IF(H34&lt;判定条件!$C$6,"判定不能",IF(I34&gt;=判定条件!$C$7*H34,"運転",IF(I34&lt;=判定条件!$C$8*H34,"停止","断続")))</f>
        <v>停止</v>
      </c>
      <c r="K34" s="30" t="n">
        <v>60</v>
      </c>
      <c r="L34" s="30" t="n">
        <v>60</v>
      </c>
      <c r="M34" s="30" t="str">
        <f aca="false">IF(K34&lt;判定条件!$C$6,"判定不能",IF(L34&gt;=判定条件!$C$7*K34,"運転",IF(L34&lt;=判定条件!$C$8*K34,"停止","断続")))</f>
        <v>運転</v>
      </c>
      <c r="N34" s="30" t="n">
        <v>60</v>
      </c>
      <c r="O34" s="30" t="n">
        <v>22</v>
      </c>
      <c r="P34" s="30" t="str">
        <f aca="false">IF(N34&lt;判定条件!$C$6,"判定不能",IF(O34&gt;=判定条件!$C$7*N34,"運転",IF(O34&lt;=判定条件!$C$8*N34,"停止","断続")))</f>
        <v>断続</v>
      </c>
      <c r="Q34" s="30" t="n">
        <v>60</v>
      </c>
      <c r="R34" s="30" t="n">
        <v>56</v>
      </c>
      <c r="S34" s="30" t="str">
        <f aca="false">IF(Q34&lt;判定条件!$C$6,"判定不能",IF(R34&gt;=判定条件!$C$7*Q34,"運転",IF(R34&lt;=判定条件!$C$8*Q34,"停止","断続")))</f>
        <v>運転</v>
      </c>
      <c r="T34" s="30" t="n">
        <v>60</v>
      </c>
      <c r="U34" s="30" t="n">
        <v>56</v>
      </c>
      <c r="V34" s="30" t="str">
        <f aca="false">IF(T34&lt;判定条件!$C$6,"判定不能",IF(U34&gt;=判定条件!$C$7*T34,"運転",IF(U34&lt;=判定条件!$C$8*T34,"停止","断続")))</f>
        <v>運転</v>
      </c>
      <c r="W34" s="30" t="n">
        <v>60</v>
      </c>
      <c r="X34" s="30" t="n">
        <v>60</v>
      </c>
      <c r="Y34" s="30" t="str">
        <f aca="false">IF(W34&lt;判定条件!$C$6,"判定不能",IF(X34&gt;=判定条件!$C$7*W34,"運転",IF(X34&lt;=判定条件!$C$8*W34,"停止","断続")))</f>
        <v>運転</v>
      </c>
      <c r="Z34" s="30" t="n">
        <v>60</v>
      </c>
      <c r="AA34" s="30" t="n">
        <v>50</v>
      </c>
      <c r="AB34" s="30" t="str">
        <f aca="false">IF(Z34&lt;判定条件!$C$6,"判定不能",IF(AA34&gt;=判定条件!$C$7*Z34,"運転",IF(AA34&lt;=判定条件!$C$8*Z34,"停止","断続")))</f>
        <v>運転</v>
      </c>
      <c r="AC34" s="30" t="n">
        <v>60</v>
      </c>
      <c r="AD34" s="30" t="n">
        <v>60</v>
      </c>
      <c r="AE34" s="30" t="str">
        <f aca="false">IF(AC34&lt;判定条件!$C$6,"判定不能",IF(AD34&gt;=判定条件!$C$7*AC34,"運転",IF(AD34&lt;=判定条件!$C$8*AC34,"停止","断続")))</f>
        <v>運転</v>
      </c>
      <c r="AF34" s="30" t="n">
        <v>60</v>
      </c>
      <c r="AG34" s="30" t="n">
        <v>0</v>
      </c>
      <c r="AH34" s="30" t="str">
        <f aca="false">IF(OR(P34="判定不能",G34="判定不能"),"判定不能",IF(AG34&gt;=判定条件!$C$9,"利用可",IF(AND(P34="停止",G34="停止"),"両方停止","運転がそろわない")))</f>
        <v>運転がそろわない</v>
      </c>
      <c r="AI34" s="30" t="n">
        <v>60</v>
      </c>
      <c r="AJ34" s="30" t="n">
        <v>0</v>
      </c>
      <c r="AK34" s="30" t="str">
        <f aca="false">IF(OR(S34="判定不能",J34="判定不能"),"判定不能",IF(AJ34&gt;=判定条件!$C$9,"利用可",IF(AND(S34="停止",J34="停止"),"両方停止","運転がそろわない")))</f>
        <v>運転がそろわない</v>
      </c>
      <c r="AL34" s="30" t="n">
        <v>60</v>
      </c>
      <c r="AM34" s="30" t="n">
        <v>56</v>
      </c>
      <c r="AN34" s="30" t="str">
        <f aca="false">IF(OR(V34="判定不能",M34="判定不能"),"判定不能",IF(AM34&gt;=判定条件!$C$9,"利用可",IF(AND(V34="停止",M34="停止"),"両方停止","運転がそろわない")))</f>
        <v>利用可</v>
      </c>
      <c r="AO34" s="30" t="n">
        <v>60</v>
      </c>
      <c r="AP34" s="30" t="n">
        <v>0</v>
      </c>
      <c r="AQ34" s="30" t="str">
        <f aca="false">IF(OR(Y34="判定不能",G34="判定不能"),"判定不能",IF(AP34&gt;=判定条件!$C$9,"利用可",IF(AND(Y34="停止",G34="停止"),"両方停止","運転がそろわない")))</f>
        <v>運転がそろわない</v>
      </c>
      <c r="AR34" s="30" t="n">
        <v>60</v>
      </c>
      <c r="AS34" s="30" t="n">
        <v>0</v>
      </c>
      <c r="AT34" s="30" t="str">
        <f aca="false">IF(OR(AB34="判定不能",J34="判定不能"),"判定不能",IF(AS34&gt;=判定条件!$C$9,"利用可",IF(AND(AB34="停止",J34="停止"),"両方停止","運転がそろわない")))</f>
        <v>運転がそろわない</v>
      </c>
      <c r="AU34" s="30" t="n">
        <v>60</v>
      </c>
      <c r="AV34" s="30" t="n">
        <v>60</v>
      </c>
      <c r="AW34" s="30" t="str">
        <f aca="false">IF(OR(AE34="判定不能",M34="判定不能"),"判定不能",IF(AV34&gt;=判定条件!$C$9,"利用可",IF(AND(AE34="停止",M34="停止"),"両方停止","運転がそろわない")))</f>
        <v>利用可</v>
      </c>
      <c r="AX34" s="30" t="str">
        <f aca="false">IF(AND(AH34="利用可",AK34="利用可",AN34="利用可"),"利用可","不可")</f>
        <v>不可</v>
      </c>
      <c r="AY34" s="30" t="str">
        <f aca="false">IF(AND(AQ34="利用可",AT34="利用可",AW34="利用可"),"利用可","不可")</f>
        <v>不可</v>
      </c>
    </row>
    <row r="35" customFormat="false" ht="15" hidden="false" customHeight="false" outlineLevel="0" collapsed="false">
      <c r="A35" s="29" t="n">
        <v>46233</v>
      </c>
      <c r="B35" s="30" t="n">
        <v>8</v>
      </c>
      <c r="C35" s="31" t="s">
        <v>61</v>
      </c>
      <c r="D35" s="31" t="s">
        <v>59</v>
      </c>
      <c r="E35" s="30" t="n">
        <v>60</v>
      </c>
      <c r="F35" s="30" t="n">
        <v>37</v>
      </c>
      <c r="G35" s="30" t="str">
        <f aca="false">IF(E35&lt;判定条件!$C$6,"判定不能",IF(F35&gt;=判定条件!$C$7*E35,"運転",IF(F35&lt;=判定条件!$C$8*E35,"停止","断続")))</f>
        <v>断続</v>
      </c>
      <c r="H35" s="30" t="n">
        <v>60</v>
      </c>
      <c r="I35" s="30" t="n">
        <v>38</v>
      </c>
      <c r="J35" s="30" t="str">
        <f aca="false">IF(H35&lt;判定条件!$C$6,"判定不能",IF(I35&gt;=判定条件!$C$7*H35,"運転",IF(I35&lt;=判定条件!$C$8*H35,"停止","断続")))</f>
        <v>断続</v>
      </c>
      <c r="K35" s="30" t="n">
        <v>60</v>
      </c>
      <c r="L35" s="30" t="n">
        <v>60</v>
      </c>
      <c r="M35" s="30" t="str">
        <f aca="false">IF(K35&lt;判定条件!$C$6,"判定不能",IF(L35&gt;=判定条件!$C$7*K35,"運転",IF(L35&lt;=判定条件!$C$8*K35,"停止","断続")))</f>
        <v>運転</v>
      </c>
      <c r="N35" s="30" t="n">
        <v>60</v>
      </c>
      <c r="O35" s="30" t="n">
        <v>60</v>
      </c>
      <c r="P35" s="30" t="str">
        <f aca="false">IF(N35&lt;判定条件!$C$6,"判定不能",IF(O35&gt;=判定条件!$C$7*N35,"運転",IF(O35&lt;=判定条件!$C$8*N35,"停止","断続")))</f>
        <v>運転</v>
      </c>
      <c r="Q35" s="30" t="n">
        <v>60</v>
      </c>
      <c r="R35" s="30" t="n">
        <v>60</v>
      </c>
      <c r="S35" s="30" t="str">
        <f aca="false">IF(Q35&lt;判定条件!$C$6,"判定不能",IF(R35&gt;=判定条件!$C$7*Q35,"運転",IF(R35&lt;=判定条件!$C$8*Q35,"停止","断続")))</f>
        <v>運転</v>
      </c>
      <c r="T35" s="30" t="n">
        <v>60</v>
      </c>
      <c r="U35" s="30" t="n">
        <v>60</v>
      </c>
      <c r="V35" s="30" t="str">
        <f aca="false">IF(T35&lt;判定条件!$C$6,"判定不能",IF(U35&gt;=判定条件!$C$7*T35,"運転",IF(U35&lt;=判定条件!$C$8*T35,"停止","断続")))</f>
        <v>運転</v>
      </c>
      <c r="W35" s="30" t="n">
        <v>60</v>
      </c>
      <c r="X35" s="30" t="n">
        <v>37</v>
      </c>
      <c r="Y35" s="30" t="str">
        <f aca="false">IF(W35&lt;判定条件!$C$6,"判定不能",IF(X35&gt;=判定条件!$C$7*W35,"運転",IF(X35&lt;=判定条件!$C$8*W35,"停止","断続")))</f>
        <v>断続</v>
      </c>
      <c r="Z35" s="30" t="n">
        <v>60</v>
      </c>
      <c r="AA35" s="30" t="n">
        <v>60</v>
      </c>
      <c r="AB35" s="30" t="str">
        <f aca="false">IF(Z35&lt;判定条件!$C$6,"判定不能",IF(AA35&gt;=判定条件!$C$7*Z35,"運転",IF(AA35&lt;=判定条件!$C$8*Z35,"停止","断続")))</f>
        <v>運転</v>
      </c>
      <c r="AC35" s="30" t="n">
        <v>60</v>
      </c>
      <c r="AD35" s="30" t="n">
        <v>60</v>
      </c>
      <c r="AE35" s="30" t="str">
        <f aca="false">IF(AC35&lt;判定条件!$C$6,"判定不能",IF(AD35&gt;=判定条件!$C$7*AC35,"運転",IF(AD35&lt;=判定条件!$C$8*AC35,"停止","断続")))</f>
        <v>運転</v>
      </c>
      <c r="AF35" s="30" t="n">
        <v>60</v>
      </c>
      <c r="AG35" s="30" t="n">
        <v>37</v>
      </c>
      <c r="AH35" s="30" t="str">
        <f aca="false">IF(OR(P35="判定不能",G35="判定不能"),"判定不能",IF(AG35&gt;=判定条件!$C$9,"利用可",IF(AND(P35="停止",G35="停止"),"両方停止","運転がそろわない")))</f>
        <v>利用可</v>
      </c>
      <c r="AI35" s="30" t="n">
        <v>60</v>
      </c>
      <c r="AJ35" s="30" t="n">
        <v>38</v>
      </c>
      <c r="AK35" s="30" t="str">
        <f aca="false">IF(OR(S35="判定不能",J35="判定不能"),"判定不能",IF(AJ35&gt;=判定条件!$C$9,"利用可",IF(AND(S35="停止",J35="停止"),"両方停止","運転がそろわない")))</f>
        <v>利用可</v>
      </c>
      <c r="AL35" s="30" t="n">
        <v>60</v>
      </c>
      <c r="AM35" s="30" t="n">
        <v>60</v>
      </c>
      <c r="AN35" s="30" t="str">
        <f aca="false">IF(OR(V35="判定不能",M35="判定不能"),"判定不能",IF(AM35&gt;=判定条件!$C$9,"利用可",IF(AND(V35="停止",M35="停止"),"両方停止","運転がそろわない")))</f>
        <v>利用可</v>
      </c>
      <c r="AO35" s="30" t="n">
        <v>60</v>
      </c>
      <c r="AP35" s="30" t="n">
        <v>17</v>
      </c>
      <c r="AQ35" s="30" t="str">
        <f aca="false">IF(OR(Y35="判定不能",G35="判定不能"),"判定不能",IF(AP35&gt;=判定条件!$C$9,"利用可",IF(AND(Y35="停止",G35="停止"),"両方停止","運転がそろわない")))</f>
        <v>運転がそろわない</v>
      </c>
      <c r="AR35" s="30" t="n">
        <v>60</v>
      </c>
      <c r="AS35" s="30" t="n">
        <v>38</v>
      </c>
      <c r="AT35" s="30" t="str">
        <f aca="false">IF(OR(AB35="判定不能",J35="判定不能"),"判定不能",IF(AS35&gt;=判定条件!$C$9,"利用可",IF(AND(AB35="停止",J35="停止"),"両方停止","運転がそろわない")))</f>
        <v>利用可</v>
      </c>
      <c r="AU35" s="30" t="n">
        <v>60</v>
      </c>
      <c r="AV35" s="30" t="n">
        <v>60</v>
      </c>
      <c r="AW35" s="30" t="str">
        <f aca="false">IF(OR(AE35="判定不能",M35="判定不能"),"判定不能",IF(AV35&gt;=判定条件!$C$9,"利用可",IF(AND(AE35="停止",M35="停止"),"両方停止","運転がそろわない")))</f>
        <v>利用可</v>
      </c>
      <c r="AX35" s="30" t="str">
        <f aca="false">IF(AND(AH35="利用可",AK35="利用可",AN35="利用可"),"利用可","不可")</f>
        <v>利用可</v>
      </c>
      <c r="AY35" s="30" t="str">
        <f aca="false">IF(AND(AQ35="利用可",AT35="利用可",AW35="利用可"),"利用可","不可")</f>
        <v>不可</v>
      </c>
    </row>
    <row r="36" customFormat="false" ht="15" hidden="false" customHeight="false" outlineLevel="0" collapsed="false">
      <c r="A36" s="29" t="n">
        <v>46233</v>
      </c>
      <c r="B36" s="30" t="n">
        <v>9</v>
      </c>
      <c r="C36" s="31" t="s">
        <v>61</v>
      </c>
      <c r="D36" s="31" t="s">
        <v>59</v>
      </c>
      <c r="E36" s="30" t="n">
        <v>60</v>
      </c>
      <c r="F36" s="30" t="n">
        <v>60</v>
      </c>
      <c r="G36" s="30" t="str">
        <f aca="false">IF(E36&lt;判定条件!$C$6,"判定不能",IF(F36&gt;=判定条件!$C$7*E36,"運転",IF(F36&lt;=判定条件!$C$8*E36,"停止","断続")))</f>
        <v>運転</v>
      </c>
      <c r="H36" s="30" t="n">
        <v>60</v>
      </c>
      <c r="I36" s="30" t="n">
        <v>60</v>
      </c>
      <c r="J36" s="30" t="str">
        <f aca="false">IF(H36&lt;判定条件!$C$6,"判定不能",IF(I36&gt;=判定条件!$C$7*H36,"運転",IF(I36&lt;=判定条件!$C$8*H36,"停止","断続")))</f>
        <v>運転</v>
      </c>
      <c r="K36" s="30" t="n">
        <v>60</v>
      </c>
      <c r="L36" s="30" t="n">
        <v>60</v>
      </c>
      <c r="M36" s="30" t="str">
        <f aca="false">IF(K36&lt;判定条件!$C$6,"判定不能",IF(L36&gt;=判定条件!$C$7*K36,"運転",IF(L36&lt;=判定条件!$C$8*K36,"停止","断続")))</f>
        <v>運転</v>
      </c>
      <c r="N36" s="30" t="n">
        <v>60</v>
      </c>
      <c r="O36" s="30" t="n">
        <v>60</v>
      </c>
      <c r="P36" s="30" t="str">
        <f aca="false">IF(N36&lt;判定条件!$C$6,"判定不能",IF(O36&gt;=判定条件!$C$7*N36,"運転",IF(O36&lt;=判定条件!$C$8*N36,"停止","断続")))</f>
        <v>運転</v>
      </c>
      <c r="Q36" s="30" t="n">
        <v>60</v>
      </c>
      <c r="R36" s="30" t="n">
        <v>60</v>
      </c>
      <c r="S36" s="30" t="str">
        <f aca="false">IF(Q36&lt;判定条件!$C$6,"判定不能",IF(R36&gt;=判定条件!$C$7*Q36,"運転",IF(R36&lt;=判定条件!$C$8*Q36,"停止","断続")))</f>
        <v>運転</v>
      </c>
      <c r="T36" s="30" t="n">
        <v>60</v>
      </c>
      <c r="U36" s="30" t="n">
        <v>46</v>
      </c>
      <c r="V36" s="30" t="str">
        <f aca="false">IF(T36&lt;判定条件!$C$6,"判定不能",IF(U36&gt;=判定条件!$C$7*T36,"運転",IF(U36&lt;=判定条件!$C$8*T36,"停止","断続")))</f>
        <v>断続</v>
      </c>
      <c r="W36" s="30" t="n">
        <v>60</v>
      </c>
      <c r="X36" s="30" t="n">
        <v>60</v>
      </c>
      <c r="Y36" s="30" t="str">
        <f aca="false">IF(W36&lt;判定条件!$C$6,"判定不能",IF(X36&gt;=判定条件!$C$7*W36,"運転",IF(X36&lt;=判定条件!$C$8*W36,"停止","断続")))</f>
        <v>運転</v>
      </c>
      <c r="Z36" s="30" t="n">
        <v>60</v>
      </c>
      <c r="AA36" s="30" t="n">
        <v>60</v>
      </c>
      <c r="AB36" s="30" t="str">
        <f aca="false">IF(Z36&lt;判定条件!$C$6,"判定不能",IF(AA36&gt;=判定条件!$C$7*Z36,"運転",IF(AA36&lt;=判定条件!$C$8*Z36,"停止","断続")))</f>
        <v>運転</v>
      </c>
      <c r="AC36" s="30" t="n">
        <v>60</v>
      </c>
      <c r="AD36" s="30" t="n">
        <v>60</v>
      </c>
      <c r="AE36" s="30" t="str">
        <f aca="false">IF(AC36&lt;判定条件!$C$6,"判定不能",IF(AD36&gt;=判定条件!$C$7*AC36,"運転",IF(AD36&lt;=判定条件!$C$8*AC36,"停止","断続")))</f>
        <v>運転</v>
      </c>
      <c r="AF36" s="30" t="n">
        <v>60</v>
      </c>
      <c r="AG36" s="30" t="n">
        <v>60</v>
      </c>
      <c r="AH36" s="30" t="str">
        <f aca="false">IF(OR(P36="判定不能",G36="判定不能"),"判定不能",IF(AG36&gt;=判定条件!$C$9,"利用可",IF(AND(P36="停止",G36="停止"),"両方停止","運転がそろわない")))</f>
        <v>利用可</v>
      </c>
      <c r="AI36" s="30" t="n">
        <v>60</v>
      </c>
      <c r="AJ36" s="30" t="n">
        <v>60</v>
      </c>
      <c r="AK36" s="30" t="str">
        <f aca="false">IF(OR(S36="判定不能",J36="判定不能"),"判定不能",IF(AJ36&gt;=判定条件!$C$9,"利用可",IF(AND(S36="停止",J36="停止"),"両方停止","運転がそろわない")))</f>
        <v>利用可</v>
      </c>
      <c r="AL36" s="30" t="n">
        <v>60</v>
      </c>
      <c r="AM36" s="30" t="n">
        <v>46</v>
      </c>
      <c r="AN36" s="30" t="str">
        <f aca="false">IF(OR(V36="判定不能",M36="判定不能"),"判定不能",IF(AM36&gt;=判定条件!$C$9,"利用可",IF(AND(V36="停止",M36="停止"),"両方停止","運転がそろわない")))</f>
        <v>利用可</v>
      </c>
      <c r="AO36" s="30" t="n">
        <v>60</v>
      </c>
      <c r="AP36" s="30" t="n">
        <v>60</v>
      </c>
      <c r="AQ36" s="30" t="str">
        <f aca="false">IF(OR(Y36="判定不能",G36="判定不能"),"判定不能",IF(AP36&gt;=判定条件!$C$9,"利用可",IF(AND(Y36="停止",G36="停止"),"両方停止","運転がそろわない")))</f>
        <v>利用可</v>
      </c>
      <c r="AR36" s="30" t="n">
        <v>60</v>
      </c>
      <c r="AS36" s="30" t="n">
        <v>60</v>
      </c>
      <c r="AT36" s="30" t="str">
        <f aca="false">IF(OR(AB36="判定不能",J36="判定不能"),"判定不能",IF(AS36&gt;=判定条件!$C$9,"利用可",IF(AND(AB36="停止",J36="停止"),"両方停止","運転がそろわない")))</f>
        <v>利用可</v>
      </c>
      <c r="AU36" s="30" t="n">
        <v>60</v>
      </c>
      <c r="AV36" s="30" t="n">
        <v>60</v>
      </c>
      <c r="AW36" s="30" t="str">
        <f aca="false">IF(OR(AE36="判定不能",M36="判定不能"),"判定不能",IF(AV36&gt;=判定条件!$C$9,"利用可",IF(AND(AE36="停止",M36="停止"),"両方停止","運転がそろわない")))</f>
        <v>利用可</v>
      </c>
      <c r="AX36" s="30" t="str">
        <f aca="false">IF(AND(AH36="利用可",AK36="利用可",AN36="利用可"),"利用可","不可")</f>
        <v>利用可</v>
      </c>
      <c r="AY36" s="30" t="str">
        <f aca="false">IF(AND(AQ36="利用可",AT36="利用可",AW36="利用可"),"利用可","不可")</f>
        <v>利用可</v>
      </c>
    </row>
    <row r="37" customFormat="false" ht="15" hidden="false" customHeight="false" outlineLevel="0" collapsed="false">
      <c r="A37" s="29" t="n">
        <v>46233</v>
      </c>
      <c r="B37" s="30" t="n">
        <v>10</v>
      </c>
      <c r="C37" s="31" t="s">
        <v>61</v>
      </c>
      <c r="D37" s="31" t="s">
        <v>59</v>
      </c>
      <c r="E37" s="30" t="n">
        <v>60</v>
      </c>
      <c r="F37" s="30" t="n">
        <v>60</v>
      </c>
      <c r="G37" s="30" t="str">
        <f aca="false">IF(E37&lt;判定条件!$C$6,"判定不能",IF(F37&gt;=判定条件!$C$7*E37,"運転",IF(F37&lt;=判定条件!$C$8*E37,"停止","断続")))</f>
        <v>運転</v>
      </c>
      <c r="H37" s="30" t="n">
        <v>60</v>
      </c>
      <c r="I37" s="30" t="n">
        <v>60</v>
      </c>
      <c r="J37" s="30" t="str">
        <f aca="false">IF(H37&lt;判定条件!$C$6,"判定不能",IF(I37&gt;=判定条件!$C$7*H37,"運転",IF(I37&lt;=判定条件!$C$8*H37,"停止","断続")))</f>
        <v>運転</v>
      </c>
      <c r="K37" s="30" t="n">
        <v>60</v>
      </c>
      <c r="L37" s="30" t="n">
        <v>60</v>
      </c>
      <c r="M37" s="30" t="str">
        <f aca="false">IF(K37&lt;判定条件!$C$6,"判定不能",IF(L37&gt;=判定条件!$C$7*K37,"運転",IF(L37&lt;=判定条件!$C$8*K37,"停止","断続")))</f>
        <v>運転</v>
      </c>
      <c r="N37" s="30" t="n">
        <v>60</v>
      </c>
      <c r="O37" s="30" t="n">
        <v>60</v>
      </c>
      <c r="P37" s="30" t="str">
        <f aca="false">IF(N37&lt;判定条件!$C$6,"判定不能",IF(O37&gt;=判定条件!$C$7*N37,"運転",IF(O37&lt;=判定条件!$C$8*N37,"停止","断続")))</f>
        <v>運転</v>
      </c>
      <c r="Q37" s="30" t="n">
        <v>60</v>
      </c>
      <c r="R37" s="30" t="n">
        <v>60</v>
      </c>
      <c r="S37" s="30" t="str">
        <f aca="false">IF(Q37&lt;判定条件!$C$6,"判定不能",IF(R37&gt;=判定条件!$C$7*Q37,"運転",IF(R37&lt;=判定条件!$C$8*Q37,"停止","断続")))</f>
        <v>運転</v>
      </c>
      <c r="T37" s="30" t="n">
        <v>60</v>
      </c>
      <c r="U37" s="30" t="n">
        <v>60</v>
      </c>
      <c r="V37" s="30" t="str">
        <f aca="false">IF(T37&lt;判定条件!$C$6,"判定不能",IF(U37&gt;=判定条件!$C$7*T37,"運転",IF(U37&lt;=判定条件!$C$8*T37,"停止","断続")))</f>
        <v>運転</v>
      </c>
      <c r="W37" s="30" t="n">
        <v>60</v>
      </c>
      <c r="X37" s="30" t="n">
        <v>60</v>
      </c>
      <c r="Y37" s="30" t="str">
        <f aca="false">IF(W37&lt;判定条件!$C$6,"判定不能",IF(X37&gt;=判定条件!$C$7*W37,"運転",IF(X37&lt;=判定条件!$C$8*W37,"停止","断続")))</f>
        <v>運転</v>
      </c>
      <c r="Z37" s="30" t="n">
        <v>60</v>
      </c>
      <c r="AA37" s="30" t="n">
        <v>60</v>
      </c>
      <c r="AB37" s="30" t="str">
        <f aca="false">IF(Z37&lt;判定条件!$C$6,"判定不能",IF(AA37&gt;=判定条件!$C$7*Z37,"運転",IF(AA37&lt;=判定条件!$C$8*Z37,"停止","断続")))</f>
        <v>運転</v>
      </c>
      <c r="AC37" s="30" t="n">
        <v>60</v>
      </c>
      <c r="AD37" s="30" t="n">
        <v>44</v>
      </c>
      <c r="AE37" s="30" t="str">
        <f aca="false">IF(AC37&lt;判定条件!$C$6,"判定不能",IF(AD37&gt;=判定条件!$C$7*AC37,"運転",IF(AD37&lt;=判定条件!$C$8*AC37,"停止","断続")))</f>
        <v>断続</v>
      </c>
      <c r="AF37" s="30" t="n">
        <v>60</v>
      </c>
      <c r="AG37" s="30" t="n">
        <v>60</v>
      </c>
      <c r="AH37" s="30" t="str">
        <f aca="false">IF(OR(P37="判定不能",G37="判定不能"),"判定不能",IF(AG37&gt;=判定条件!$C$9,"利用可",IF(AND(P37="停止",G37="停止"),"両方停止","運転がそろわない")))</f>
        <v>利用可</v>
      </c>
      <c r="AI37" s="30" t="n">
        <v>60</v>
      </c>
      <c r="AJ37" s="30" t="n">
        <v>60</v>
      </c>
      <c r="AK37" s="30" t="str">
        <f aca="false">IF(OR(S37="判定不能",J37="判定不能"),"判定不能",IF(AJ37&gt;=判定条件!$C$9,"利用可",IF(AND(S37="停止",J37="停止"),"両方停止","運転がそろわない")))</f>
        <v>利用可</v>
      </c>
      <c r="AL37" s="30" t="n">
        <v>60</v>
      </c>
      <c r="AM37" s="30" t="n">
        <v>60</v>
      </c>
      <c r="AN37" s="30" t="str">
        <f aca="false">IF(OR(V37="判定不能",M37="判定不能"),"判定不能",IF(AM37&gt;=判定条件!$C$9,"利用可",IF(AND(V37="停止",M37="停止"),"両方停止","運転がそろわない")))</f>
        <v>利用可</v>
      </c>
      <c r="AO37" s="30" t="n">
        <v>60</v>
      </c>
      <c r="AP37" s="30" t="n">
        <v>60</v>
      </c>
      <c r="AQ37" s="30" t="str">
        <f aca="false">IF(OR(Y37="判定不能",G37="判定不能"),"判定不能",IF(AP37&gt;=判定条件!$C$9,"利用可",IF(AND(Y37="停止",G37="停止"),"両方停止","運転がそろわない")))</f>
        <v>利用可</v>
      </c>
      <c r="AR37" s="30" t="n">
        <v>60</v>
      </c>
      <c r="AS37" s="30" t="n">
        <v>60</v>
      </c>
      <c r="AT37" s="30" t="str">
        <f aca="false">IF(OR(AB37="判定不能",J37="判定不能"),"判定不能",IF(AS37&gt;=判定条件!$C$9,"利用可",IF(AND(AB37="停止",J37="停止"),"両方停止","運転がそろわない")))</f>
        <v>利用可</v>
      </c>
      <c r="AU37" s="30" t="n">
        <v>60</v>
      </c>
      <c r="AV37" s="30" t="n">
        <v>44</v>
      </c>
      <c r="AW37" s="30" t="str">
        <f aca="false">IF(OR(AE37="判定不能",M37="判定不能"),"判定不能",IF(AV37&gt;=判定条件!$C$9,"利用可",IF(AND(AE37="停止",M37="停止"),"両方停止","運転がそろわない")))</f>
        <v>利用可</v>
      </c>
      <c r="AX37" s="30" t="str">
        <f aca="false">IF(AND(AH37="利用可",AK37="利用可",AN37="利用可"),"利用可","不可")</f>
        <v>利用可</v>
      </c>
      <c r="AY37" s="30" t="str">
        <f aca="false">IF(AND(AQ37="利用可",AT37="利用可",AW37="利用可"),"利用可","不可")</f>
        <v>利用可</v>
      </c>
    </row>
    <row r="38" customFormat="false" ht="15" hidden="false" customHeight="false" outlineLevel="0" collapsed="false">
      <c r="A38" s="29" t="n">
        <v>46233</v>
      </c>
      <c r="B38" s="30" t="n">
        <v>11</v>
      </c>
      <c r="C38" s="31" t="s">
        <v>61</v>
      </c>
      <c r="D38" s="31" t="s">
        <v>59</v>
      </c>
      <c r="E38" s="30" t="n">
        <v>60</v>
      </c>
      <c r="F38" s="30" t="n">
        <v>60</v>
      </c>
      <c r="G38" s="30" t="str">
        <f aca="false">IF(E38&lt;判定条件!$C$6,"判定不能",IF(F38&gt;=判定条件!$C$7*E38,"運転",IF(F38&lt;=判定条件!$C$8*E38,"停止","断続")))</f>
        <v>運転</v>
      </c>
      <c r="H38" s="30" t="n">
        <v>60</v>
      </c>
      <c r="I38" s="30" t="n">
        <v>60</v>
      </c>
      <c r="J38" s="30" t="str">
        <f aca="false">IF(H38&lt;判定条件!$C$6,"判定不能",IF(I38&gt;=判定条件!$C$7*H38,"運転",IF(I38&lt;=判定条件!$C$8*H38,"停止","断続")))</f>
        <v>運転</v>
      </c>
      <c r="K38" s="30" t="n">
        <v>60</v>
      </c>
      <c r="L38" s="30" t="n">
        <v>60</v>
      </c>
      <c r="M38" s="30" t="str">
        <f aca="false">IF(K38&lt;判定条件!$C$6,"判定不能",IF(L38&gt;=判定条件!$C$7*K38,"運転",IF(L38&lt;=判定条件!$C$8*K38,"停止","断続")))</f>
        <v>運転</v>
      </c>
      <c r="N38" s="30" t="n">
        <v>60</v>
      </c>
      <c r="O38" s="30" t="n">
        <v>60</v>
      </c>
      <c r="P38" s="30" t="str">
        <f aca="false">IF(N38&lt;判定条件!$C$6,"判定不能",IF(O38&gt;=判定条件!$C$7*N38,"運転",IF(O38&lt;=判定条件!$C$8*N38,"停止","断続")))</f>
        <v>運転</v>
      </c>
      <c r="Q38" s="30" t="n">
        <v>60</v>
      </c>
      <c r="R38" s="30" t="n">
        <v>60</v>
      </c>
      <c r="S38" s="30" t="str">
        <f aca="false">IF(Q38&lt;判定条件!$C$6,"判定不能",IF(R38&gt;=判定条件!$C$7*Q38,"運転",IF(R38&lt;=判定条件!$C$8*Q38,"停止","断続")))</f>
        <v>運転</v>
      </c>
      <c r="T38" s="30" t="n">
        <v>60</v>
      </c>
      <c r="U38" s="30" t="n">
        <v>60</v>
      </c>
      <c r="V38" s="30" t="str">
        <f aca="false">IF(T38&lt;判定条件!$C$6,"判定不能",IF(U38&gt;=判定条件!$C$7*T38,"運転",IF(U38&lt;=判定条件!$C$8*T38,"停止","断続")))</f>
        <v>運転</v>
      </c>
      <c r="W38" s="30" t="n">
        <v>60</v>
      </c>
      <c r="X38" s="30" t="n">
        <v>60</v>
      </c>
      <c r="Y38" s="30" t="str">
        <f aca="false">IF(W38&lt;判定条件!$C$6,"判定不能",IF(X38&gt;=判定条件!$C$7*W38,"運転",IF(X38&lt;=判定条件!$C$8*W38,"停止","断続")))</f>
        <v>運転</v>
      </c>
      <c r="Z38" s="30" t="n">
        <v>60</v>
      </c>
      <c r="AA38" s="30" t="n">
        <v>60</v>
      </c>
      <c r="AB38" s="30" t="str">
        <f aca="false">IF(Z38&lt;判定条件!$C$6,"判定不能",IF(AA38&gt;=判定条件!$C$7*Z38,"運転",IF(AA38&lt;=判定条件!$C$8*Z38,"停止","断続")))</f>
        <v>運転</v>
      </c>
      <c r="AC38" s="30" t="n">
        <v>60</v>
      </c>
      <c r="AD38" s="30" t="n">
        <v>60</v>
      </c>
      <c r="AE38" s="30" t="str">
        <f aca="false">IF(AC38&lt;判定条件!$C$6,"判定不能",IF(AD38&gt;=判定条件!$C$7*AC38,"運転",IF(AD38&lt;=判定条件!$C$8*AC38,"停止","断続")))</f>
        <v>運転</v>
      </c>
      <c r="AF38" s="30" t="n">
        <v>60</v>
      </c>
      <c r="AG38" s="30" t="n">
        <v>60</v>
      </c>
      <c r="AH38" s="30" t="str">
        <f aca="false">IF(OR(P38="判定不能",G38="判定不能"),"判定不能",IF(AG38&gt;=判定条件!$C$9,"利用可",IF(AND(P38="停止",G38="停止"),"両方停止","運転がそろわない")))</f>
        <v>利用可</v>
      </c>
      <c r="AI38" s="30" t="n">
        <v>60</v>
      </c>
      <c r="AJ38" s="30" t="n">
        <v>60</v>
      </c>
      <c r="AK38" s="30" t="str">
        <f aca="false">IF(OR(S38="判定不能",J38="判定不能"),"判定不能",IF(AJ38&gt;=判定条件!$C$9,"利用可",IF(AND(S38="停止",J38="停止"),"両方停止","運転がそろわない")))</f>
        <v>利用可</v>
      </c>
      <c r="AL38" s="30" t="n">
        <v>60</v>
      </c>
      <c r="AM38" s="30" t="n">
        <v>60</v>
      </c>
      <c r="AN38" s="30" t="str">
        <f aca="false">IF(OR(V38="判定不能",M38="判定不能"),"判定不能",IF(AM38&gt;=判定条件!$C$9,"利用可",IF(AND(V38="停止",M38="停止"),"両方停止","運転がそろわない")))</f>
        <v>利用可</v>
      </c>
      <c r="AO38" s="30" t="n">
        <v>60</v>
      </c>
      <c r="AP38" s="30" t="n">
        <v>60</v>
      </c>
      <c r="AQ38" s="30" t="str">
        <f aca="false">IF(OR(Y38="判定不能",G38="判定不能"),"判定不能",IF(AP38&gt;=判定条件!$C$9,"利用可",IF(AND(Y38="停止",G38="停止"),"両方停止","運転がそろわない")))</f>
        <v>利用可</v>
      </c>
      <c r="AR38" s="30" t="n">
        <v>60</v>
      </c>
      <c r="AS38" s="30" t="n">
        <v>60</v>
      </c>
      <c r="AT38" s="30" t="str">
        <f aca="false">IF(OR(AB38="判定不能",J38="判定不能"),"判定不能",IF(AS38&gt;=判定条件!$C$9,"利用可",IF(AND(AB38="停止",J38="停止"),"両方停止","運転がそろわない")))</f>
        <v>利用可</v>
      </c>
      <c r="AU38" s="30" t="n">
        <v>60</v>
      </c>
      <c r="AV38" s="30" t="n">
        <v>60</v>
      </c>
      <c r="AW38" s="30" t="str">
        <f aca="false">IF(OR(AE38="判定不能",M38="判定不能"),"判定不能",IF(AV38&gt;=判定条件!$C$9,"利用可",IF(AND(AE38="停止",M38="停止"),"両方停止","運転がそろわない")))</f>
        <v>利用可</v>
      </c>
      <c r="AX38" s="30" t="str">
        <f aca="false">IF(AND(AH38="利用可",AK38="利用可",AN38="利用可"),"利用可","不可")</f>
        <v>利用可</v>
      </c>
      <c r="AY38" s="30" t="str">
        <f aca="false">IF(AND(AQ38="利用可",AT38="利用可",AW38="利用可"),"利用可","不可")</f>
        <v>利用可</v>
      </c>
    </row>
    <row r="39" customFormat="false" ht="15" hidden="false" customHeight="false" outlineLevel="0" collapsed="false">
      <c r="A39" s="29" t="n">
        <v>46233</v>
      </c>
      <c r="B39" s="30" t="n">
        <v>12</v>
      </c>
      <c r="C39" s="31" t="s">
        <v>61</v>
      </c>
      <c r="D39" s="31" t="s">
        <v>59</v>
      </c>
      <c r="E39" s="30" t="n">
        <v>60</v>
      </c>
      <c r="F39" s="30" t="n">
        <v>60</v>
      </c>
      <c r="G39" s="30" t="str">
        <f aca="false">IF(E39&lt;判定条件!$C$6,"判定不能",IF(F39&gt;=判定条件!$C$7*E39,"運転",IF(F39&lt;=判定条件!$C$8*E39,"停止","断続")))</f>
        <v>運転</v>
      </c>
      <c r="H39" s="30" t="n">
        <v>60</v>
      </c>
      <c r="I39" s="30" t="n">
        <v>60</v>
      </c>
      <c r="J39" s="30" t="str">
        <f aca="false">IF(H39&lt;判定条件!$C$6,"判定不能",IF(I39&gt;=判定条件!$C$7*H39,"運転",IF(I39&lt;=判定条件!$C$8*H39,"停止","断続")))</f>
        <v>運転</v>
      </c>
      <c r="K39" s="30" t="n">
        <v>60</v>
      </c>
      <c r="L39" s="30" t="n">
        <v>60</v>
      </c>
      <c r="M39" s="30" t="str">
        <f aca="false">IF(K39&lt;判定条件!$C$6,"判定不能",IF(L39&gt;=判定条件!$C$7*K39,"運転",IF(L39&lt;=判定条件!$C$8*K39,"停止","断続")))</f>
        <v>運転</v>
      </c>
      <c r="N39" s="30" t="n">
        <v>60</v>
      </c>
      <c r="O39" s="30" t="n">
        <v>60</v>
      </c>
      <c r="P39" s="30" t="str">
        <f aca="false">IF(N39&lt;判定条件!$C$6,"判定不能",IF(O39&gt;=判定条件!$C$7*N39,"運転",IF(O39&lt;=判定条件!$C$8*N39,"停止","断続")))</f>
        <v>運転</v>
      </c>
      <c r="Q39" s="30" t="n">
        <v>60</v>
      </c>
      <c r="R39" s="30" t="n">
        <v>60</v>
      </c>
      <c r="S39" s="30" t="str">
        <f aca="false">IF(Q39&lt;判定条件!$C$6,"判定不能",IF(R39&gt;=判定条件!$C$7*Q39,"運転",IF(R39&lt;=判定条件!$C$8*Q39,"停止","断続")))</f>
        <v>運転</v>
      </c>
      <c r="T39" s="30" t="n">
        <v>60</v>
      </c>
      <c r="U39" s="30" t="n">
        <v>60</v>
      </c>
      <c r="V39" s="30" t="str">
        <f aca="false">IF(T39&lt;判定条件!$C$6,"判定不能",IF(U39&gt;=判定条件!$C$7*T39,"運転",IF(U39&lt;=判定条件!$C$8*T39,"停止","断続")))</f>
        <v>運転</v>
      </c>
      <c r="W39" s="30" t="n">
        <v>60</v>
      </c>
      <c r="X39" s="30" t="n">
        <v>60</v>
      </c>
      <c r="Y39" s="30" t="str">
        <f aca="false">IF(W39&lt;判定条件!$C$6,"判定不能",IF(X39&gt;=判定条件!$C$7*W39,"運転",IF(X39&lt;=判定条件!$C$8*W39,"停止","断続")))</f>
        <v>運転</v>
      </c>
      <c r="Z39" s="30" t="n">
        <v>60</v>
      </c>
      <c r="AA39" s="30" t="n">
        <v>60</v>
      </c>
      <c r="AB39" s="30" t="str">
        <f aca="false">IF(Z39&lt;判定条件!$C$6,"判定不能",IF(AA39&gt;=判定条件!$C$7*Z39,"運転",IF(AA39&lt;=判定条件!$C$8*Z39,"停止","断続")))</f>
        <v>運転</v>
      </c>
      <c r="AC39" s="30" t="n">
        <v>60</v>
      </c>
      <c r="AD39" s="30" t="n">
        <v>60</v>
      </c>
      <c r="AE39" s="30" t="str">
        <f aca="false">IF(AC39&lt;判定条件!$C$6,"判定不能",IF(AD39&gt;=判定条件!$C$7*AC39,"運転",IF(AD39&lt;=判定条件!$C$8*AC39,"停止","断続")))</f>
        <v>運転</v>
      </c>
      <c r="AF39" s="30" t="n">
        <v>60</v>
      </c>
      <c r="AG39" s="30" t="n">
        <v>60</v>
      </c>
      <c r="AH39" s="30" t="str">
        <f aca="false">IF(OR(P39="判定不能",G39="判定不能"),"判定不能",IF(AG39&gt;=判定条件!$C$9,"利用可",IF(AND(P39="停止",G39="停止"),"両方停止","運転がそろわない")))</f>
        <v>利用可</v>
      </c>
      <c r="AI39" s="30" t="n">
        <v>60</v>
      </c>
      <c r="AJ39" s="30" t="n">
        <v>60</v>
      </c>
      <c r="AK39" s="30" t="str">
        <f aca="false">IF(OR(S39="判定不能",J39="判定不能"),"判定不能",IF(AJ39&gt;=判定条件!$C$9,"利用可",IF(AND(S39="停止",J39="停止"),"両方停止","運転がそろわない")))</f>
        <v>利用可</v>
      </c>
      <c r="AL39" s="30" t="n">
        <v>60</v>
      </c>
      <c r="AM39" s="30" t="n">
        <v>60</v>
      </c>
      <c r="AN39" s="30" t="str">
        <f aca="false">IF(OR(V39="判定不能",M39="判定不能"),"判定不能",IF(AM39&gt;=判定条件!$C$9,"利用可",IF(AND(V39="停止",M39="停止"),"両方停止","運転がそろわない")))</f>
        <v>利用可</v>
      </c>
      <c r="AO39" s="30" t="n">
        <v>60</v>
      </c>
      <c r="AP39" s="30" t="n">
        <v>60</v>
      </c>
      <c r="AQ39" s="30" t="str">
        <f aca="false">IF(OR(Y39="判定不能",G39="判定不能"),"判定不能",IF(AP39&gt;=判定条件!$C$9,"利用可",IF(AND(Y39="停止",G39="停止"),"両方停止","運転がそろわない")))</f>
        <v>利用可</v>
      </c>
      <c r="AR39" s="30" t="n">
        <v>60</v>
      </c>
      <c r="AS39" s="30" t="n">
        <v>60</v>
      </c>
      <c r="AT39" s="30" t="str">
        <f aca="false">IF(OR(AB39="判定不能",J39="判定不能"),"判定不能",IF(AS39&gt;=判定条件!$C$9,"利用可",IF(AND(AB39="停止",J39="停止"),"両方停止","運転がそろわない")))</f>
        <v>利用可</v>
      </c>
      <c r="AU39" s="30" t="n">
        <v>60</v>
      </c>
      <c r="AV39" s="30" t="n">
        <v>60</v>
      </c>
      <c r="AW39" s="30" t="str">
        <f aca="false">IF(OR(AE39="判定不能",M39="判定不能"),"判定不能",IF(AV39&gt;=判定条件!$C$9,"利用可",IF(AND(AE39="停止",M39="停止"),"両方停止","運転がそろわない")))</f>
        <v>利用可</v>
      </c>
      <c r="AX39" s="30" t="str">
        <f aca="false">IF(AND(AH39="利用可",AK39="利用可",AN39="利用可"),"利用可","不可")</f>
        <v>利用可</v>
      </c>
      <c r="AY39" s="30" t="str">
        <f aca="false">IF(AND(AQ39="利用可",AT39="利用可",AW39="利用可"),"利用可","不可")</f>
        <v>利用可</v>
      </c>
    </row>
    <row r="40" customFormat="false" ht="15" hidden="false" customHeight="false" outlineLevel="0" collapsed="false">
      <c r="A40" s="29" t="n">
        <v>46233</v>
      </c>
      <c r="B40" s="30" t="n">
        <v>13</v>
      </c>
      <c r="C40" s="31" t="s">
        <v>61</v>
      </c>
      <c r="D40" s="31" t="s">
        <v>59</v>
      </c>
      <c r="E40" s="30" t="n">
        <v>60</v>
      </c>
      <c r="F40" s="30" t="n">
        <v>60</v>
      </c>
      <c r="G40" s="30" t="str">
        <f aca="false">IF(E40&lt;判定条件!$C$6,"判定不能",IF(F40&gt;=判定条件!$C$7*E40,"運転",IF(F40&lt;=判定条件!$C$8*E40,"停止","断続")))</f>
        <v>運転</v>
      </c>
      <c r="H40" s="30" t="n">
        <v>60</v>
      </c>
      <c r="I40" s="30" t="n">
        <v>60</v>
      </c>
      <c r="J40" s="30" t="str">
        <f aca="false">IF(H40&lt;判定条件!$C$6,"判定不能",IF(I40&gt;=判定条件!$C$7*H40,"運転",IF(I40&lt;=判定条件!$C$8*H40,"停止","断続")))</f>
        <v>運転</v>
      </c>
      <c r="K40" s="30" t="n">
        <v>60</v>
      </c>
      <c r="L40" s="30" t="n">
        <v>60</v>
      </c>
      <c r="M40" s="30" t="str">
        <f aca="false">IF(K40&lt;判定条件!$C$6,"判定不能",IF(L40&gt;=判定条件!$C$7*K40,"運転",IF(L40&lt;=判定条件!$C$8*K40,"停止","断続")))</f>
        <v>運転</v>
      </c>
      <c r="N40" s="30" t="n">
        <v>60</v>
      </c>
      <c r="O40" s="30" t="n">
        <v>60</v>
      </c>
      <c r="P40" s="30" t="str">
        <f aca="false">IF(N40&lt;判定条件!$C$6,"判定不能",IF(O40&gt;=判定条件!$C$7*N40,"運転",IF(O40&lt;=判定条件!$C$8*N40,"停止","断続")))</f>
        <v>運転</v>
      </c>
      <c r="Q40" s="30" t="n">
        <v>60</v>
      </c>
      <c r="R40" s="30" t="n">
        <v>60</v>
      </c>
      <c r="S40" s="30" t="str">
        <f aca="false">IF(Q40&lt;判定条件!$C$6,"判定不能",IF(R40&gt;=判定条件!$C$7*Q40,"運転",IF(R40&lt;=判定条件!$C$8*Q40,"停止","断続")))</f>
        <v>運転</v>
      </c>
      <c r="T40" s="30" t="n">
        <v>60</v>
      </c>
      <c r="U40" s="30" t="n">
        <v>60</v>
      </c>
      <c r="V40" s="30" t="str">
        <f aca="false">IF(T40&lt;判定条件!$C$6,"判定不能",IF(U40&gt;=判定条件!$C$7*T40,"運転",IF(U40&lt;=判定条件!$C$8*T40,"停止","断続")))</f>
        <v>運転</v>
      </c>
      <c r="W40" s="30" t="n">
        <v>60</v>
      </c>
      <c r="X40" s="30" t="n">
        <v>51</v>
      </c>
      <c r="Y40" s="30" t="str">
        <f aca="false">IF(W40&lt;判定条件!$C$6,"判定不能",IF(X40&gt;=判定条件!$C$7*W40,"運転",IF(X40&lt;=判定条件!$C$8*W40,"停止","断続")))</f>
        <v>運転</v>
      </c>
      <c r="Z40" s="30" t="n">
        <v>60</v>
      </c>
      <c r="AA40" s="30" t="n">
        <v>60</v>
      </c>
      <c r="AB40" s="30" t="str">
        <f aca="false">IF(Z40&lt;判定条件!$C$6,"判定不能",IF(AA40&gt;=判定条件!$C$7*Z40,"運転",IF(AA40&lt;=判定条件!$C$8*Z40,"停止","断続")))</f>
        <v>運転</v>
      </c>
      <c r="AC40" s="30" t="n">
        <v>60</v>
      </c>
      <c r="AD40" s="30" t="n">
        <v>60</v>
      </c>
      <c r="AE40" s="30" t="str">
        <f aca="false">IF(AC40&lt;判定条件!$C$6,"判定不能",IF(AD40&gt;=判定条件!$C$7*AC40,"運転",IF(AD40&lt;=判定条件!$C$8*AC40,"停止","断続")))</f>
        <v>運転</v>
      </c>
      <c r="AF40" s="30" t="n">
        <v>60</v>
      </c>
      <c r="AG40" s="30" t="n">
        <v>60</v>
      </c>
      <c r="AH40" s="30" t="str">
        <f aca="false">IF(OR(P40="判定不能",G40="判定不能"),"判定不能",IF(AG40&gt;=判定条件!$C$9,"利用可",IF(AND(P40="停止",G40="停止"),"両方停止","運転がそろわない")))</f>
        <v>利用可</v>
      </c>
      <c r="AI40" s="30" t="n">
        <v>60</v>
      </c>
      <c r="AJ40" s="30" t="n">
        <v>60</v>
      </c>
      <c r="AK40" s="30" t="str">
        <f aca="false">IF(OR(S40="判定不能",J40="判定不能"),"判定不能",IF(AJ40&gt;=判定条件!$C$9,"利用可",IF(AND(S40="停止",J40="停止"),"両方停止","運転がそろわない")))</f>
        <v>利用可</v>
      </c>
      <c r="AL40" s="30" t="n">
        <v>60</v>
      </c>
      <c r="AM40" s="30" t="n">
        <v>60</v>
      </c>
      <c r="AN40" s="30" t="str">
        <f aca="false">IF(OR(V40="判定不能",M40="判定不能"),"判定不能",IF(AM40&gt;=判定条件!$C$9,"利用可",IF(AND(V40="停止",M40="停止"),"両方停止","運転がそろわない")))</f>
        <v>利用可</v>
      </c>
      <c r="AO40" s="30" t="n">
        <v>60</v>
      </c>
      <c r="AP40" s="30" t="n">
        <v>51</v>
      </c>
      <c r="AQ40" s="30" t="str">
        <f aca="false">IF(OR(Y40="判定不能",G40="判定不能"),"判定不能",IF(AP40&gt;=判定条件!$C$9,"利用可",IF(AND(Y40="停止",G40="停止"),"両方停止","運転がそろわない")))</f>
        <v>利用可</v>
      </c>
      <c r="AR40" s="30" t="n">
        <v>60</v>
      </c>
      <c r="AS40" s="30" t="n">
        <v>60</v>
      </c>
      <c r="AT40" s="30" t="str">
        <f aca="false">IF(OR(AB40="判定不能",J40="判定不能"),"判定不能",IF(AS40&gt;=判定条件!$C$9,"利用可",IF(AND(AB40="停止",J40="停止"),"両方停止","運転がそろわない")))</f>
        <v>利用可</v>
      </c>
      <c r="AU40" s="30" t="n">
        <v>60</v>
      </c>
      <c r="AV40" s="30" t="n">
        <v>60</v>
      </c>
      <c r="AW40" s="30" t="str">
        <f aca="false">IF(OR(AE40="判定不能",M40="判定不能"),"判定不能",IF(AV40&gt;=判定条件!$C$9,"利用可",IF(AND(AE40="停止",M40="停止"),"両方停止","運転がそろわない")))</f>
        <v>利用可</v>
      </c>
      <c r="AX40" s="30" t="str">
        <f aca="false">IF(AND(AH40="利用可",AK40="利用可",AN40="利用可"),"利用可","不可")</f>
        <v>利用可</v>
      </c>
      <c r="AY40" s="30" t="str">
        <f aca="false">IF(AND(AQ40="利用可",AT40="利用可",AW40="利用可"),"利用可","不可")</f>
        <v>利用可</v>
      </c>
    </row>
    <row r="41" customFormat="false" ht="15" hidden="false" customHeight="false" outlineLevel="0" collapsed="false">
      <c r="A41" s="29" t="n">
        <v>46233</v>
      </c>
      <c r="B41" s="30" t="n">
        <v>14</v>
      </c>
      <c r="C41" s="31" t="s">
        <v>61</v>
      </c>
      <c r="D41" s="31" t="s">
        <v>59</v>
      </c>
      <c r="E41" s="30" t="n">
        <v>60</v>
      </c>
      <c r="F41" s="30" t="n">
        <v>60</v>
      </c>
      <c r="G41" s="30" t="str">
        <f aca="false">IF(E41&lt;判定条件!$C$6,"判定不能",IF(F41&gt;=判定条件!$C$7*E41,"運転",IF(F41&lt;=判定条件!$C$8*E41,"停止","断続")))</f>
        <v>運転</v>
      </c>
      <c r="H41" s="30" t="n">
        <v>60</v>
      </c>
      <c r="I41" s="30" t="n">
        <v>60</v>
      </c>
      <c r="J41" s="30" t="str">
        <f aca="false">IF(H41&lt;判定条件!$C$6,"判定不能",IF(I41&gt;=判定条件!$C$7*H41,"運転",IF(I41&lt;=判定条件!$C$8*H41,"停止","断続")))</f>
        <v>運転</v>
      </c>
      <c r="K41" s="30" t="n">
        <v>60</v>
      </c>
      <c r="L41" s="30" t="n">
        <v>60</v>
      </c>
      <c r="M41" s="30" t="str">
        <f aca="false">IF(K41&lt;判定条件!$C$6,"判定不能",IF(L41&gt;=判定条件!$C$7*K41,"運転",IF(L41&lt;=判定条件!$C$8*K41,"停止","断続")))</f>
        <v>運転</v>
      </c>
      <c r="N41" s="30" t="n">
        <v>60</v>
      </c>
      <c r="O41" s="30" t="n">
        <v>60</v>
      </c>
      <c r="P41" s="30" t="str">
        <f aca="false">IF(N41&lt;判定条件!$C$6,"判定不能",IF(O41&gt;=判定条件!$C$7*N41,"運転",IF(O41&lt;=判定条件!$C$8*N41,"停止","断続")))</f>
        <v>運転</v>
      </c>
      <c r="Q41" s="30" t="n">
        <v>60</v>
      </c>
      <c r="R41" s="30" t="n">
        <v>60</v>
      </c>
      <c r="S41" s="30" t="str">
        <f aca="false">IF(Q41&lt;判定条件!$C$6,"判定不能",IF(R41&gt;=判定条件!$C$7*Q41,"運転",IF(R41&lt;=判定条件!$C$8*Q41,"停止","断続")))</f>
        <v>運転</v>
      </c>
      <c r="T41" s="30" t="n">
        <v>60</v>
      </c>
      <c r="U41" s="30" t="n">
        <v>60</v>
      </c>
      <c r="V41" s="30" t="str">
        <f aca="false">IF(T41&lt;判定条件!$C$6,"判定不能",IF(U41&gt;=判定条件!$C$7*T41,"運転",IF(U41&lt;=判定条件!$C$8*T41,"停止","断続")))</f>
        <v>運転</v>
      </c>
      <c r="W41" s="30" t="n">
        <v>60</v>
      </c>
      <c r="X41" s="30" t="n">
        <v>60</v>
      </c>
      <c r="Y41" s="30" t="str">
        <f aca="false">IF(W41&lt;判定条件!$C$6,"判定不能",IF(X41&gt;=判定条件!$C$7*W41,"運転",IF(X41&lt;=判定条件!$C$8*W41,"停止","断続")))</f>
        <v>運転</v>
      </c>
      <c r="Z41" s="30" t="n">
        <v>60</v>
      </c>
      <c r="AA41" s="30" t="n">
        <v>60</v>
      </c>
      <c r="AB41" s="30" t="str">
        <f aca="false">IF(Z41&lt;判定条件!$C$6,"判定不能",IF(AA41&gt;=判定条件!$C$7*Z41,"運転",IF(AA41&lt;=判定条件!$C$8*Z41,"停止","断続")))</f>
        <v>運転</v>
      </c>
      <c r="AC41" s="30" t="n">
        <v>60</v>
      </c>
      <c r="AD41" s="30" t="n">
        <v>60</v>
      </c>
      <c r="AE41" s="30" t="str">
        <f aca="false">IF(AC41&lt;判定条件!$C$6,"判定不能",IF(AD41&gt;=判定条件!$C$7*AC41,"運転",IF(AD41&lt;=判定条件!$C$8*AC41,"停止","断続")))</f>
        <v>運転</v>
      </c>
      <c r="AF41" s="30" t="n">
        <v>60</v>
      </c>
      <c r="AG41" s="30" t="n">
        <v>60</v>
      </c>
      <c r="AH41" s="30" t="str">
        <f aca="false">IF(OR(P41="判定不能",G41="判定不能"),"判定不能",IF(AG41&gt;=判定条件!$C$9,"利用可",IF(AND(P41="停止",G41="停止"),"両方停止","運転がそろわない")))</f>
        <v>利用可</v>
      </c>
      <c r="AI41" s="30" t="n">
        <v>60</v>
      </c>
      <c r="AJ41" s="30" t="n">
        <v>60</v>
      </c>
      <c r="AK41" s="30" t="str">
        <f aca="false">IF(OR(S41="判定不能",J41="判定不能"),"判定不能",IF(AJ41&gt;=判定条件!$C$9,"利用可",IF(AND(S41="停止",J41="停止"),"両方停止","運転がそろわない")))</f>
        <v>利用可</v>
      </c>
      <c r="AL41" s="30" t="n">
        <v>60</v>
      </c>
      <c r="AM41" s="30" t="n">
        <v>60</v>
      </c>
      <c r="AN41" s="30" t="str">
        <f aca="false">IF(OR(V41="判定不能",M41="判定不能"),"判定不能",IF(AM41&gt;=判定条件!$C$9,"利用可",IF(AND(V41="停止",M41="停止"),"両方停止","運転がそろわない")))</f>
        <v>利用可</v>
      </c>
      <c r="AO41" s="30" t="n">
        <v>60</v>
      </c>
      <c r="AP41" s="30" t="n">
        <v>60</v>
      </c>
      <c r="AQ41" s="30" t="str">
        <f aca="false">IF(OR(Y41="判定不能",G41="判定不能"),"判定不能",IF(AP41&gt;=判定条件!$C$9,"利用可",IF(AND(Y41="停止",G41="停止"),"両方停止","運転がそろわない")))</f>
        <v>利用可</v>
      </c>
      <c r="AR41" s="30" t="n">
        <v>60</v>
      </c>
      <c r="AS41" s="30" t="n">
        <v>60</v>
      </c>
      <c r="AT41" s="30" t="str">
        <f aca="false">IF(OR(AB41="判定不能",J41="判定不能"),"判定不能",IF(AS41&gt;=判定条件!$C$9,"利用可",IF(AND(AB41="停止",J41="停止"),"両方停止","運転がそろわない")))</f>
        <v>利用可</v>
      </c>
      <c r="AU41" s="30" t="n">
        <v>60</v>
      </c>
      <c r="AV41" s="30" t="n">
        <v>60</v>
      </c>
      <c r="AW41" s="30" t="str">
        <f aca="false">IF(OR(AE41="判定不能",M41="判定不能"),"判定不能",IF(AV41&gt;=判定条件!$C$9,"利用可",IF(AND(AE41="停止",M41="停止"),"両方停止","運転がそろわない")))</f>
        <v>利用可</v>
      </c>
      <c r="AX41" s="30" t="str">
        <f aca="false">IF(AND(AH41="利用可",AK41="利用可",AN41="利用可"),"利用可","不可")</f>
        <v>利用可</v>
      </c>
      <c r="AY41" s="30" t="str">
        <f aca="false">IF(AND(AQ41="利用可",AT41="利用可",AW41="利用可"),"利用可","不可")</f>
        <v>利用可</v>
      </c>
    </row>
    <row r="42" customFormat="false" ht="15" hidden="false" customHeight="false" outlineLevel="0" collapsed="false">
      <c r="A42" s="29" t="n">
        <v>46233</v>
      </c>
      <c r="B42" s="30" t="n">
        <v>15</v>
      </c>
      <c r="C42" s="31" t="s">
        <v>61</v>
      </c>
      <c r="D42" s="31" t="s">
        <v>59</v>
      </c>
      <c r="E42" s="30" t="n">
        <v>60</v>
      </c>
      <c r="F42" s="30" t="n">
        <v>60</v>
      </c>
      <c r="G42" s="30" t="str">
        <f aca="false">IF(E42&lt;判定条件!$C$6,"判定不能",IF(F42&gt;=判定条件!$C$7*E42,"運転",IF(F42&lt;=判定条件!$C$8*E42,"停止","断続")))</f>
        <v>運転</v>
      </c>
      <c r="H42" s="30" t="n">
        <v>60</v>
      </c>
      <c r="I42" s="30" t="n">
        <v>60</v>
      </c>
      <c r="J42" s="30" t="str">
        <f aca="false">IF(H42&lt;判定条件!$C$6,"判定不能",IF(I42&gt;=判定条件!$C$7*H42,"運転",IF(I42&lt;=判定条件!$C$8*H42,"停止","断続")))</f>
        <v>運転</v>
      </c>
      <c r="K42" s="30" t="n">
        <v>60</v>
      </c>
      <c r="L42" s="30" t="n">
        <v>60</v>
      </c>
      <c r="M42" s="30" t="str">
        <f aca="false">IF(K42&lt;判定条件!$C$6,"判定不能",IF(L42&gt;=判定条件!$C$7*K42,"運転",IF(L42&lt;=判定条件!$C$8*K42,"停止","断続")))</f>
        <v>運転</v>
      </c>
      <c r="N42" s="30" t="n">
        <v>60</v>
      </c>
      <c r="O42" s="30" t="n">
        <v>60</v>
      </c>
      <c r="P42" s="30" t="str">
        <f aca="false">IF(N42&lt;判定条件!$C$6,"判定不能",IF(O42&gt;=判定条件!$C$7*N42,"運転",IF(O42&lt;=判定条件!$C$8*N42,"停止","断続")))</f>
        <v>運転</v>
      </c>
      <c r="Q42" s="30" t="n">
        <v>60</v>
      </c>
      <c r="R42" s="30" t="n">
        <v>60</v>
      </c>
      <c r="S42" s="30" t="str">
        <f aca="false">IF(Q42&lt;判定条件!$C$6,"判定不能",IF(R42&gt;=判定条件!$C$7*Q42,"運転",IF(R42&lt;=判定条件!$C$8*Q42,"停止","断続")))</f>
        <v>運転</v>
      </c>
      <c r="T42" s="30" t="n">
        <v>60</v>
      </c>
      <c r="U42" s="30" t="n">
        <v>60</v>
      </c>
      <c r="V42" s="30" t="str">
        <f aca="false">IF(T42&lt;判定条件!$C$6,"判定不能",IF(U42&gt;=判定条件!$C$7*T42,"運転",IF(U42&lt;=判定条件!$C$8*T42,"停止","断続")))</f>
        <v>運転</v>
      </c>
      <c r="W42" s="30" t="n">
        <v>60</v>
      </c>
      <c r="X42" s="30" t="n">
        <v>60</v>
      </c>
      <c r="Y42" s="30" t="str">
        <f aca="false">IF(W42&lt;判定条件!$C$6,"判定不能",IF(X42&gt;=判定条件!$C$7*W42,"運転",IF(X42&lt;=判定条件!$C$8*W42,"停止","断続")))</f>
        <v>運転</v>
      </c>
      <c r="Z42" s="30" t="n">
        <v>60</v>
      </c>
      <c r="AA42" s="30" t="n">
        <v>60</v>
      </c>
      <c r="AB42" s="30" t="str">
        <f aca="false">IF(Z42&lt;判定条件!$C$6,"判定不能",IF(AA42&gt;=判定条件!$C$7*Z42,"運転",IF(AA42&lt;=判定条件!$C$8*Z42,"停止","断続")))</f>
        <v>運転</v>
      </c>
      <c r="AC42" s="30" t="n">
        <v>60</v>
      </c>
      <c r="AD42" s="30" t="n">
        <v>60</v>
      </c>
      <c r="AE42" s="30" t="str">
        <f aca="false">IF(AC42&lt;判定条件!$C$6,"判定不能",IF(AD42&gt;=判定条件!$C$7*AC42,"運転",IF(AD42&lt;=判定条件!$C$8*AC42,"停止","断続")))</f>
        <v>運転</v>
      </c>
      <c r="AF42" s="30" t="n">
        <v>60</v>
      </c>
      <c r="AG42" s="30" t="n">
        <v>60</v>
      </c>
      <c r="AH42" s="30" t="str">
        <f aca="false">IF(OR(P42="判定不能",G42="判定不能"),"判定不能",IF(AG42&gt;=判定条件!$C$9,"利用可",IF(AND(P42="停止",G42="停止"),"両方停止","運転がそろわない")))</f>
        <v>利用可</v>
      </c>
      <c r="AI42" s="30" t="n">
        <v>60</v>
      </c>
      <c r="AJ42" s="30" t="n">
        <v>60</v>
      </c>
      <c r="AK42" s="30" t="str">
        <f aca="false">IF(OR(S42="判定不能",J42="判定不能"),"判定不能",IF(AJ42&gt;=判定条件!$C$9,"利用可",IF(AND(S42="停止",J42="停止"),"両方停止","運転がそろわない")))</f>
        <v>利用可</v>
      </c>
      <c r="AL42" s="30" t="n">
        <v>60</v>
      </c>
      <c r="AM42" s="30" t="n">
        <v>60</v>
      </c>
      <c r="AN42" s="30" t="str">
        <f aca="false">IF(OR(V42="判定不能",M42="判定不能"),"判定不能",IF(AM42&gt;=判定条件!$C$9,"利用可",IF(AND(V42="停止",M42="停止"),"両方停止","運転がそろわない")))</f>
        <v>利用可</v>
      </c>
      <c r="AO42" s="30" t="n">
        <v>60</v>
      </c>
      <c r="AP42" s="30" t="n">
        <v>60</v>
      </c>
      <c r="AQ42" s="30" t="str">
        <f aca="false">IF(OR(Y42="判定不能",G42="判定不能"),"判定不能",IF(AP42&gt;=判定条件!$C$9,"利用可",IF(AND(Y42="停止",G42="停止"),"両方停止","運転がそろわない")))</f>
        <v>利用可</v>
      </c>
      <c r="AR42" s="30" t="n">
        <v>60</v>
      </c>
      <c r="AS42" s="30" t="n">
        <v>60</v>
      </c>
      <c r="AT42" s="30" t="str">
        <f aca="false">IF(OR(AB42="判定不能",J42="判定不能"),"判定不能",IF(AS42&gt;=判定条件!$C$9,"利用可",IF(AND(AB42="停止",J42="停止"),"両方停止","運転がそろわない")))</f>
        <v>利用可</v>
      </c>
      <c r="AU42" s="30" t="n">
        <v>60</v>
      </c>
      <c r="AV42" s="30" t="n">
        <v>60</v>
      </c>
      <c r="AW42" s="30" t="str">
        <f aca="false">IF(OR(AE42="判定不能",M42="判定不能"),"判定不能",IF(AV42&gt;=判定条件!$C$9,"利用可",IF(AND(AE42="停止",M42="停止"),"両方停止","運転がそろわない")))</f>
        <v>利用可</v>
      </c>
      <c r="AX42" s="30" t="str">
        <f aca="false">IF(AND(AH42="利用可",AK42="利用可",AN42="利用可"),"利用可","不可")</f>
        <v>利用可</v>
      </c>
      <c r="AY42" s="30" t="str">
        <f aca="false">IF(AND(AQ42="利用可",AT42="利用可",AW42="利用可"),"利用可","不可")</f>
        <v>利用可</v>
      </c>
    </row>
    <row r="43" customFormat="false" ht="15" hidden="false" customHeight="false" outlineLevel="0" collapsed="false">
      <c r="A43" s="29" t="n">
        <v>46233</v>
      </c>
      <c r="B43" s="30" t="n">
        <v>16</v>
      </c>
      <c r="C43" s="31" t="s">
        <v>61</v>
      </c>
      <c r="D43" s="31" t="s">
        <v>59</v>
      </c>
      <c r="E43" s="30" t="n">
        <v>60</v>
      </c>
      <c r="F43" s="30" t="n">
        <v>60</v>
      </c>
      <c r="G43" s="30" t="str">
        <f aca="false">IF(E43&lt;判定条件!$C$6,"判定不能",IF(F43&gt;=判定条件!$C$7*E43,"運転",IF(F43&lt;=判定条件!$C$8*E43,"停止","断続")))</f>
        <v>運転</v>
      </c>
      <c r="H43" s="30" t="n">
        <v>60</v>
      </c>
      <c r="I43" s="30" t="n">
        <v>60</v>
      </c>
      <c r="J43" s="30" t="str">
        <f aca="false">IF(H43&lt;判定条件!$C$6,"判定不能",IF(I43&gt;=判定条件!$C$7*H43,"運転",IF(I43&lt;=判定条件!$C$8*H43,"停止","断続")))</f>
        <v>運転</v>
      </c>
      <c r="K43" s="30" t="n">
        <v>60</v>
      </c>
      <c r="L43" s="30" t="n">
        <v>60</v>
      </c>
      <c r="M43" s="30" t="str">
        <f aca="false">IF(K43&lt;判定条件!$C$6,"判定不能",IF(L43&gt;=判定条件!$C$7*K43,"運転",IF(L43&lt;=判定条件!$C$8*K43,"停止","断続")))</f>
        <v>運転</v>
      </c>
      <c r="N43" s="30" t="n">
        <v>60</v>
      </c>
      <c r="O43" s="30" t="n">
        <v>60</v>
      </c>
      <c r="P43" s="30" t="str">
        <f aca="false">IF(N43&lt;判定条件!$C$6,"判定不能",IF(O43&gt;=判定条件!$C$7*N43,"運転",IF(O43&lt;=判定条件!$C$8*N43,"停止","断続")))</f>
        <v>運転</v>
      </c>
      <c r="Q43" s="30" t="n">
        <v>60</v>
      </c>
      <c r="R43" s="30" t="n">
        <v>60</v>
      </c>
      <c r="S43" s="30" t="str">
        <f aca="false">IF(Q43&lt;判定条件!$C$6,"判定不能",IF(R43&gt;=判定条件!$C$7*Q43,"運転",IF(R43&lt;=判定条件!$C$8*Q43,"停止","断続")))</f>
        <v>運転</v>
      </c>
      <c r="T43" s="30" t="n">
        <v>60</v>
      </c>
      <c r="U43" s="30" t="n">
        <v>52</v>
      </c>
      <c r="V43" s="30" t="str">
        <f aca="false">IF(T43&lt;判定条件!$C$6,"判定不能",IF(U43&gt;=判定条件!$C$7*T43,"運転",IF(U43&lt;=判定条件!$C$8*T43,"停止","断続")))</f>
        <v>運転</v>
      </c>
      <c r="W43" s="30" t="n">
        <v>60</v>
      </c>
      <c r="X43" s="30" t="n">
        <v>60</v>
      </c>
      <c r="Y43" s="30" t="str">
        <f aca="false">IF(W43&lt;判定条件!$C$6,"判定不能",IF(X43&gt;=判定条件!$C$7*W43,"運転",IF(X43&lt;=判定条件!$C$8*W43,"停止","断続")))</f>
        <v>運転</v>
      </c>
      <c r="Z43" s="30" t="n">
        <v>60</v>
      </c>
      <c r="AA43" s="30" t="n">
        <v>60</v>
      </c>
      <c r="AB43" s="30" t="str">
        <f aca="false">IF(Z43&lt;判定条件!$C$6,"判定不能",IF(AA43&gt;=判定条件!$C$7*Z43,"運転",IF(AA43&lt;=判定条件!$C$8*Z43,"停止","断続")))</f>
        <v>運転</v>
      </c>
      <c r="AC43" s="30" t="n">
        <v>60</v>
      </c>
      <c r="AD43" s="30" t="n">
        <v>60</v>
      </c>
      <c r="AE43" s="30" t="str">
        <f aca="false">IF(AC43&lt;判定条件!$C$6,"判定不能",IF(AD43&gt;=判定条件!$C$7*AC43,"運転",IF(AD43&lt;=判定条件!$C$8*AC43,"停止","断続")))</f>
        <v>運転</v>
      </c>
      <c r="AF43" s="30" t="n">
        <v>60</v>
      </c>
      <c r="AG43" s="30" t="n">
        <v>60</v>
      </c>
      <c r="AH43" s="30" t="str">
        <f aca="false">IF(OR(P43="判定不能",G43="判定不能"),"判定不能",IF(AG43&gt;=判定条件!$C$9,"利用可",IF(AND(P43="停止",G43="停止"),"両方停止","運転がそろわない")))</f>
        <v>利用可</v>
      </c>
      <c r="AI43" s="30" t="n">
        <v>60</v>
      </c>
      <c r="AJ43" s="30" t="n">
        <v>60</v>
      </c>
      <c r="AK43" s="30" t="str">
        <f aca="false">IF(OR(S43="判定不能",J43="判定不能"),"判定不能",IF(AJ43&gt;=判定条件!$C$9,"利用可",IF(AND(S43="停止",J43="停止"),"両方停止","運転がそろわない")))</f>
        <v>利用可</v>
      </c>
      <c r="AL43" s="30" t="n">
        <v>60</v>
      </c>
      <c r="AM43" s="30" t="n">
        <v>52</v>
      </c>
      <c r="AN43" s="30" t="str">
        <f aca="false">IF(OR(V43="判定不能",M43="判定不能"),"判定不能",IF(AM43&gt;=判定条件!$C$9,"利用可",IF(AND(V43="停止",M43="停止"),"両方停止","運転がそろわない")))</f>
        <v>利用可</v>
      </c>
      <c r="AO43" s="30" t="n">
        <v>60</v>
      </c>
      <c r="AP43" s="30" t="n">
        <v>60</v>
      </c>
      <c r="AQ43" s="30" t="str">
        <f aca="false">IF(OR(Y43="判定不能",G43="判定不能"),"判定不能",IF(AP43&gt;=判定条件!$C$9,"利用可",IF(AND(Y43="停止",G43="停止"),"両方停止","運転がそろわない")))</f>
        <v>利用可</v>
      </c>
      <c r="AR43" s="30" t="n">
        <v>60</v>
      </c>
      <c r="AS43" s="30" t="n">
        <v>60</v>
      </c>
      <c r="AT43" s="30" t="str">
        <f aca="false">IF(OR(AB43="判定不能",J43="判定不能"),"判定不能",IF(AS43&gt;=判定条件!$C$9,"利用可",IF(AND(AB43="停止",J43="停止"),"両方停止","運転がそろわない")))</f>
        <v>利用可</v>
      </c>
      <c r="AU43" s="30" t="n">
        <v>60</v>
      </c>
      <c r="AV43" s="30" t="n">
        <v>60</v>
      </c>
      <c r="AW43" s="30" t="str">
        <f aca="false">IF(OR(AE43="判定不能",M43="判定不能"),"判定不能",IF(AV43&gt;=判定条件!$C$9,"利用可",IF(AND(AE43="停止",M43="停止"),"両方停止","運転がそろわない")))</f>
        <v>利用可</v>
      </c>
      <c r="AX43" s="30" t="str">
        <f aca="false">IF(AND(AH43="利用可",AK43="利用可",AN43="利用可"),"利用可","不可")</f>
        <v>利用可</v>
      </c>
      <c r="AY43" s="30" t="str">
        <f aca="false">IF(AND(AQ43="利用可",AT43="利用可",AW43="利用可"),"利用可","不可")</f>
        <v>利用可</v>
      </c>
    </row>
    <row r="44" customFormat="false" ht="15" hidden="false" customHeight="false" outlineLevel="0" collapsed="false">
      <c r="A44" s="29" t="n">
        <v>46233</v>
      </c>
      <c r="B44" s="30" t="n">
        <v>17</v>
      </c>
      <c r="C44" s="31" t="s">
        <v>61</v>
      </c>
      <c r="D44" s="31" t="s">
        <v>59</v>
      </c>
      <c r="E44" s="30" t="n">
        <v>60</v>
      </c>
      <c r="F44" s="30" t="n">
        <v>60</v>
      </c>
      <c r="G44" s="30" t="str">
        <f aca="false">IF(E44&lt;判定条件!$C$6,"判定不能",IF(F44&gt;=判定条件!$C$7*E44,"運転",IF(F44&lt;=判定条件!$C$8*E44,"停止","断続")))</f>
        <v>運転</v>
      </c>
      <c r="H44" s="30" t="n">
        <v>60</v>
      </c>
      <c r="I44" s="30" t="n">
        <v>60</v>
      </c>
      <c r="J44" s="30" t="str">
        <f aca="false">IF(H44&lt;判定条件!$C$6,"判定不能",IF(I44&gt;=判定条件!$C$7*H44,"運転",IF(I44&lt;=判定条件!$C$8*H44,"停止","断続")))</f>
        <v>運転</v>
      </c>
      <c r="K44" s="30" t="n">
        <v>60</v>
      </c>
      <c r="L44" s="30" t="n">
        <v>60</v>
      </c>
      <c r="M44" s="30" t="str">
        <f aca="false">IF(K44&lt;判定条件!$C$6,"判定不能",IF(L44&gt;=判定条件!$C$7*K44,"運転",IF(L44&lt;=判定条件!$C$8*K44,"停止","断続")))</f>
        <v>運転</v>
      </c>
      <c r="N44" s="30" t="n">
        <v>60</v>
      </c>
      <c r="O44" s="30" t="n">
        <v>47</v>
      </c>
      <c r="P44" s="30" t="str">
        <f aca="false">IF(N44&lt;判定条件!$C$6,"判定不能",IF(O44&gt;=判定条件!$C$7*N44,"運転",IF(O44&lt;=判定条件!$C$8*N44,"停止","断続")))</f>
        <v>断続</v>
      </c>
      <c r="Q44" s="30" t="n">
        <v>60</v>
      </c>
      <c r="R44" s="30" t="n">
        <v>60</v>
      </c>
      <c r="S44" s="30" t="str">
        <f aca="false">IF(Q44&lt;判定条件!$C$6,"判定不能",IF(R44&gt;=判定条件!$C$7*Q44,"運転",IF(R44&lt;=判定条件!$C$8*Q44,"停止","断続")))</f>
        <v>運転</v>
      </c>
      <c r="T44" s="30" t="n">
        <v>60</v>
      </c>
      <c r="U44" s="30" t="n">
        <v>56</v>
      </c>
      <c r="V44" s="30" t="str">
        <f aca="false">IF(T44&lt;判定条件!$C$6,"判定不能",IF(U44&gt;=判定条件!$C$7*T44,"運転",IF(U44&lt;=判定条件!$C$8*T44,"停止","断続")))</f>
        <v>運転</v>
      </c>
      <c r="W44" s="30" t="n">
        <v>60</v>
      </c>
      <c r="X44" s="30" t="n">
        <v>41</v>
      </c>
      <c r="Y44" s="30" t="str">
        <f aca="false">IF(W44&lt;判定条件!$C$6,"判定不能",IF(X44&gt;=判定条件!$C$7*W44,"運転",IF(X44&lt;=判定条件!$C$8*W44,"停止","断続")))</f>
        <v>断続</v>
      </c>
      <c r="Z44" s="30" t="n">
        <v>60</v>
      </c>
      <c r="AA44" s="30" t="n">
        <v>41</v>
      </c>
      <c r="AB44" s="30" t="str">
        <f aca="false">IF(Z44&lt;判定条件!$C$6,"判定不能",IF(AA44&gt;=判定条件!$C$7*Z44,"運転",IF(AA44&lt;=判定条件!$C$8*Z44,"停止","断続")))</f>
        <v>断続</v>
      </c>
      <c r="AC44" s="30" t="n">
        <v>60</v>
      </c>
      <c r="AD44" s="30" t="n">
        <v>60</v>
      </c>
      <c r="AE44" s="30" t="str">
        <f aca="false">IF(AC44&lt;判定条件!$C$6,"判定不能",IF(AD44&gt;=判定条件!$C$7*AC44,"運転",IF(AD44&lt;=判定条件!$C$8*AC44,"停止","断続")))</f>
        <v>運転</v>
      </c>
      <c r="AF44" s="30" t="n">
        <v>60</v>
      </c>
      <c r="AG44" s="30" t="n">
        <v>47</v>
      </c>
      <c r="AH44" s="30" t="str">
        <f aca="false">IF(OR(P44="判定不能",G44="判定不能"),"判定不能",IF(AG44&gt;=判定条件!$C$9,"利用可",IF(AND(P44="停止",G44="停止"),"両方停止","運転がそろわない")))</f>
        <v>利用可</v>
      </c>
      <c r="AI44" s="30" t="n">
        <v>60</v>
      </c>
      <c r="AJ44" s="30" t="n">
        <v>60</v>
      </c>
      <c r="AK44" s="30" t="str">
        <f aca="false">IF(OR(S44="判定不能",J44="判定不能"),"判定不能",IF(AJ44&gt;=判定条件!$C$9,"利用可",IF(AND(S44="停止",J44="停止"),"両方停止","運転がそろわない")))</f>
        <v>利用可</v>
      </c>
      <c r="AL44" s="30" t="n">
        <v>60</v>
      </c>
      <c r="AM44" s="30" t="n">
        <v>56</v>
      </c>
      <c r="AN44" s="30" t="str">
        <f aca="false">IF(OR(V44="判定不能",M44="判定不能"),"判定不能",IF(AM44&gt;=判定条件!$C$9,"利用可",IF(AND(V44="停止",M44="停止"),"両方停止","運転がそろわない")))</f>
        <v>利用可</v>
      </c>
      <c r="AO44" s="30" t="n">
        <v>60</v>
      </c>
      <c r="AP44" s="30" t="n">
        <v>41</v>
      </c>
      <c r="AQ44" s="30" t="str">
        <f aca="false">IF(OR(Y44="判定不能",G44="判定不能"),"判定不能",IF(AP44&gt;=判定条件!$C$9,"利用可",IF(AND(Y44="停止",G44="停止"),"両方停止","運転がそろわない")))</f>
        <v>利用可</v>
      </c>
      <c r="AR44" s="30" t="n">
        <v>60</v>
      </c>
      <c r="AS44" s="30" t="n">
        <v>41</v>
      </c>
      <c r="AT44" s="30" t="str">
        <f aca="false">IF(OR(AB44="判定不能",J44="判定不能"),"判定不能",IF(AS44&gt;=判定条件!$C$9,"利用可",IF(AND(AB44="停止",J44="停止"),"両方停止","運転がそろわない")))</f>
        <v>利用可</v>
      </c>
      <c r="AU44" s="30" t="n">
        <v>60</v>
      </c>
      <c r="AV44" s="30" t="n">
        <v>60</v>
      </c>
      <c r="AW44" s="30" t="str">
        <f aca="false">IF(OR(AE44="判定不能",M44="判定不能"),"判定不能",IF(AV44&gt;=判定条件!$C$9,"利用可",IF(AND(AE44="停止",M44="停止"),"両方停止","運転がそろわない")))</f>
        <v>利用可</v>
      </c>
      <c r="AX44" s="30" t="str">
        <f aca="false">IF(AND(AH44="利用可",AK44="利用可",AN44="利用可"),"利用可","不可")</f>
        <v>利用可</v>
      </c>
      <c r="AY44" s="30" t="str">
        <f aca="false">IF(AND(AQ44="利用可",AT44="利用可",AW44="利用可"),"利用可","不可")</f>
        <v>利用可</v>
      </c>
    </row>
    <row r="45" customFormat="false" ht="15" hidden="false" customHeight="false" outlineLevel="0" collapsed="false">
      <c r="A45" s="29" t="n">
        <v>46233</v>
      </c>
      <c r="B45" s="30" t="n">
        <v>18</v>
      </c>
      <c r="C45" s="31" t="s">
        <v>61</v>
      </c>
      <c r="D45" s="31" t="s">
        <v>59</v>
      </c>
      <c r="E45" s="30" t="n">
        <v>60</v>
      </c>
      <c r="F45" s="30" t="n">
        <v>60</v>
      </c>
      <c r="G45" s="30" t="str">
        <f aca="false">IF(E45&lt;判定条件!$C$6,"判定不能",IF(F45&gt;=判定条件!$C$7*E45,"運転",IF(F45&lt;=判定条件!$C$8*E45,"停止","断続")))</f>
        <v>運転</v>
      </c>
      <c r="H45" s="30" t="n">
        <v>60</v>
      </c>
      <c r="I45" s="30" t="n">
        <v>60</v>
      </c>
      <c r="J45" s="30" t="str">
        <f aca="false">IF(H45&lt;判定条件!$C$6,"判定不能",IF(I45&gt;=判定条件!$C$7*H45,"運転",IF(I45&lt;=判定条件!$C$8*H45,"停止","断続")))</f>
        <v>運転</v>
      </c>
      <c r="K45" s="30" t="n">
        <v>60</v>
      </c>
      <c r="L45" s="30" t="n">
        <v>60</v>
      </c>
      <c r="M45" s="30" t="str">
        <f aca="false">IF(K45&lt;判定条件!$C$6,"判定不能",IF(L45&gt;=判定条件!$C$7*K45,"運転",IF(L45&lt;=判定条件!$C$8*K45,"停止","断続")))</f>
        <v>運転</v>
      </c>
      <c r="N45" s="30" t="n">
        <v>60</v>
      </c>
      <c r="O45" s="30" t="n">
        <v>0</v>
      </c>
      <c r="P45" s="30" t="str">
        <f aca="false">IF(N45&lt;判定条件!$C$6,"判定不能",IF(O45&gt;=判定条件!$C$7*N45,"運転",IF(O45&lt;=判定条件!$C$8*N45,"停止","断続")))</f>
        <v>停止</v>
      </c>
      <c r="Q45" s="30" t="n">
        <v>60</v>
      </c>
      <c r="R45" s="30" t="n">
        <v>51</v>
      </c>
      <c r="S45" s="30" t="str">
        <f aca="false">IF(Q45&lt;判定条件!$C$6,"判定不能",IF(R45&gt;=判定条件!$C$7*Q45,"運転",IF(R45&lt;=判定条件!$C$8*Q45,"停止","断続")))</f>
        <v>運転</v>
      </c>
      <c r="T45" s="30" t="n">
        <v>60</v>
      </c>
      <c r="U45" s="30" t="n">
        <v>22</v>
      </c>
      <c r="V45" s="30" t="str">
        <f aca="false">IF(T45&lt;判定条件!$C$6,"判定不能",IF(U45&gt;=判定条件!$C$7*T45,"運転",IF(U45&lt;=判定条件!$C$8*T45,"停止","断続")))</f>
        <v>断続</v>
      </c>
      <c r="W45" s="30" t="n">
        <v>60</v>
      </c>
      <c r="X45" s="30" t="n">
        <v>45</v>
      </c>
      <c r="Y45" s="30" t="str">
        <f aca="false">IF(W45&lt;判定条件!$C$6,"判定不能",IF(X45&gt;=判定条件!$C$7*W45,"運転",IF(X45&lt;=判定条件!$C$8*W45,"停止","断続")))</f>
        <v>断続</v>
      </c>
      <c r="Z45" s="30" t="n">
        <v>60</v>
      </c>
      <c r="AA45" s="30" t="n">
        <v>54</v>
      </c>
      <c r="AB45" s="30" t="str">
        <f aca="false">IF(Z45&lt;判定条件!$C$6,"判定不能",IF(AA45&gt;=判定条件!$C$7*Z45,"運転",IF(AA45&lt;=判定条件!$C$8*Z45,"停止","断続")))</f>
        <v>運転</v>
      </c>
      <c r="AC45" s="30" t="n">
        <v>60</v>
      </c>
      <c r="AD45" s="30" t="n">
        <v>51</v>
      </c>
      <c r="AE45" s="30" t="str">
        <f aca="false">IF(AC45&lt;判定条件!$C$6,"判定不能",IF(AD45&gt;=判定条件!$C$7*AC45,"運転",IF(AD45&lt;=判定条件!$C$8*AC45,"停止","断続")))</f>
        <v>運転</v>
      </c>
      <c r="AF45" s="30" t="n">
        <v>60</v>
      </c>
      <c r="AG45" s="30" t="n">
        <v>0</v>
      </c>
      <c r="AH45" s="30" t="str">
        <f aca="false">IF(OR(P45="判定不能",G45="判定不能"),"判定不能",IF(AG45&gt;=判定条件!$C$9,"利用可",IF(AND(P45="停止",G45="停止"),"両方停止","運転がそろわない")))</f>
        <v>運転がそろわない</v>
      </c>
      <c r="AI45" s="30" t="n">
        <v>60</v>
      </c>
      <c r="AJ45" s="30" t="n">
        <v>51</v>
      </c>
      <c r="AK45" s="30" t="str">
        <f aca="false">IF(OR(S45="判定不能",J45="判定不能"),"判定不能",IF(AJ45&gt;=判定条件!$C$9,"利用可",IF(AND(S45="停止",J45="停止"),"両方停止","運転がそろわない")))</f>
        <v>利用可</v>
      </c>
      <c r="AL45" s="30" t="n">
        <v>60</v>
      </c>
      <c r="AM45" s="30" t="n">
        <v>22</v>
      </c>
      <c r="AN45" s="30" t="str">
        <f aca="false">IF(OR(V45="判定不能",M45="判定不能"),"判定不能",IF(AM45&gt;=判定条件!$C$9,"利用可",IF(AND(V45="停止",M45="停止"),"両方停止","運転がそろわない")))</f>
        <v>運転がそろわない</v>
      </c>
      <c r="AO45" s="30" t="n">
        <v>60</v>
      </c>
      <c r="AP45" s="30" t="n">
        <v>45</v>
      </c>
      <c r="AQ45" s="30" t="str">
        <f aca="false">IF(OR(Y45="判定不能",G45="判定不能"),"判定不能",IF(AP45&gt;=判定条件!$C$9,"利用可",IF(AND(Y45="停止",G45="停止"),"両方停止","運転がそろわない")))</f>
        <v>利用可</v>
      </c>
      <c r="AR45" s="30" t="n">
        <v>60</v>
      </c>
      <c r="AS45" s="30" t="n">
        <v>54</v>
      </c>
      <c r="AT45" s="30" t="str">
        <f aca="false">IF(OR(AB45="判定不能",J45="判定不能"),"判定不能",IF(AS45&gt;=判定条件!$C$9,"利用可",IF(AND(AB45="停止",J45="停止"),"両方停止","運転がそろわない")))</f>
        <v>利用可</v>
      </c>
      <c r="AU45" s="30" t="n">
        <v>60</v>
      </c>
      <c r="AV45" s="30" t="n">
        <v>51</v>
      </c>
      <c r="AW45" s="30" t="str">
        <f aca="false">IF(OR(AE45="判定不能",M45="判定不能"),"判定不能",IF(AV45&gt;=判定条件!$C$9,"利用可",IF(AND(AE45="停止",M45="停止"),"両方停止","運転がそろわない")))</f>
        <v>利用可</v>
      </c>
      <c r="AX45" s="30" t="str">
        <f aca="false">IF(AND(AH45="利用可",AK45="利用可",AN45="利用可"),"利用可","不可")</f>
        <v>不可</v>
      </c>
      <c r="AY45" s="30" t="str">
        <f aca="false">IF(AND(AQ45="利用可",AT45="利用可",AW45="利用可"),"利用可","不可")</f>
        <v>利用可</v>
      </c>
    </row>
    <row r="46" customFormat="false" ht="15" hidden="false" customHeight="false" outlineLevel="0" collapsed="false">
      <c r="A46" s="29" t="n">
        <v>46233</v>
      </c>
      <c r="B46" s="30" t="n">
        <v>19</v>
      </c>
      <c r="C46" s="31" t="s">
        <v>61</v>
      </c>
      <c r="D46" s="31" t="s">
        <v>59</v>
      </c>
      <c r="E46" s="30" t="n">
        <v>60</v>
      </c>
      <c r="F46" s="30" t="n">
        <v>60</v>
      </c>
      <c r="G46" s="30" t="str">
        <f aca="false">IF(E46&lt;判定条件!$C$6,"判定不能",IF(F46&gt;=判定条件!$C$7*E46,"運転",IF(F46&lt;=判定条件!$C$8*E46,"停止","断続")))</f>
        <v>運転</v>
      </c>
      <c r="H46" s="30" t="n">
        <v>60</v>
      </c>
      <c r="I46" s="30" t="n">
        <v>60</v>
      </c>
      <c r="J46" s="30" t="str">
        <f aca="false">IF(H46&lt;判定条件!$C$6,"判定不能",IF(I46&gt;=判定条件!$C$7*H46,"運転",IF(I46&lt;=判定条件!$C$8*H46,"停止","断続")))</f>
        <v>運転</v>
      </c>
      <c r="K46" s="30" t="n">
        <v>60</v>
      </c>
      <c r="L46" s="30" t="n">
        <v>60</v>
      </c>
      <c r="M46" s="30" t="str">
        <f aca="false">IF(K46&lt;判定条件!$C$6,"判定不能",IF(L46&gt;=判定条件!$C$7*K46,"運転",IF(L46&lt;=判定条件!$C$8*K46,"停止","断続")))</f>
        <v>運転</v>
      </c>
      <c r="N46" s="30" t="n">
        <v>60</v>
      </c>
      <c r="O46" s="30" t="n">
        <v>28</v>
      </c>
      <c r="P46" s="30" t="str">
        <f aca="false">IF(N46&lt;判定条件!$C$6,"判定不能",IF(O46&gt;=判定条件!$C$7*N46,"運転",IF(O46&lt;=判定条件!$C$8*N46,"停止","断続")))</f>
        <v>断続</v>
      </c>
      <c r="Q46" s="30" t="n">
        <v>60</v>
      </c>
      <c r="R46" s="30" t="n">
        <v>57</v>
      </c>
      <c r="S46" s="30" t="str">
        <f aca="false">IF(Q46&lt;判定条件!$C$6,"判定不能",IF(R46&gt;=判定条件!$C$7*Q46,"運転",IF(R46&lt;=判定条件!$C$8*Q46,"停止","断続")))</f>
        <v>運転</v>
      </c>
      <c r="T46" s="30" t="n">
        <v>60</v>
      </c>
      <c r="U46" s="30" t="n">
        <v>43</v>
      </c>
      <c r="V46" s="30" t="str">
        <f aca="false">IF(T46&lt;判定条件!$C$6,"判定不能",IF(U46&gt;=判定条件!$C$7*T46,"運転",IF(U46&lt;=判定条件!$C$8*T46,"停止","断続")))</f>
        <v>断続</v>
      </c>
      <c r="W46" s="30" t="n">
        <v>60</v>
      </c>
      <c r="X46" s="30" t="n">
        <v>0</v>
      </c>
      <c r="Y46" s="30" t="str">
        <f aca="false">IF(W46&lt;判定条件!$C$6,"判定不能",IF(X46&gt;=判定条件!$C$7*W46,"運転",IF(X46&lt;=判定条件!$C$8*W46,"停止","断続")))</f>
        <v>停止</v>
      </c>
      <c r="Z46" s="30" t="n">
        <v>60</v>
      </c>
      <c r="AA46" s="30" t="n">
        <v>22</v>
      </c>
      <c r="AB46" s="30" t="str">
        <f aca="false">IF(Z46&lt;判定条件!$C$6,"判定不能",IF(AA46&gt;=判定条件!$C$7*Z46,"運転",IF(AA46&lt;=判定条件!$C$8*Z46,"停止","断続")))</f>
        <v>断続</v>
      </c>
      <c r="AC46" s="30" t="n">
        <v>60</v>
      </c>
      <c r="AD46" s="30" t="n">
        <v>9</v>
      </c>
      <c r="AE46" s="30" t="str">
        <f aca="false">IF(AC46&lt;判定条件!$C$6,"判定不能",IF(AD46&gt;=判定条件!$C$7*AC46,"運転",IF(AD46&lt;=判定条件!$C$8*AC46,"停止","断続")))</f>
        <v>停止</v>
      </c>
      <c r="AF46" s="30" t="n">
        <v>60</v>
      </c>
      <c r="AG46" s="30" t="n">
        <v>28</v>
      </c>
      <c r="AH46" s="30" t="str">
        <f aca="false">IF(OR(P46="判定不能",G46="判定不能"),"判定不能",IF(AG46&gt;=判定条件!$C$9,"利用可",IF(AND(P46="停止",G46="停止"),"両方停止","運転がそろわない")))</f>
        <v>運転がそろわない</v>
      </c>
      <c r="AI46" s="30" t="n">
        <v>60</v>
      </c>
      <c r="AJ46" s="30" t="n">
        <v>57</v>
      </c>
      <c r="AK46" s="30" t="str">
        <f aca="false">IF(OR(S46="判定不能",J46="判定不能"),"判定不能",IF(AJ46&gt;=判定条件!$C$9,"利用可",IF(AND(S46="停止",J46="停止"),"両方停止","運転がそろわない")))</f>
        <v>利用可</v>
      </c>
      <c r="AL46" s="30" t="n">
        <v>60</v>
      </c>
      <c r="AM46" s="30" t="n">
        <v>43</v>
      </c>
      <c r="AN46" s="30" t="str">
        <f aca="false">IF(OR(V46="判定不能",M46="判定不能"),"判定不能",IF(AM46&gt;=判定条件!$C$9,"利用可",IF(AND(V46="停止",M46="停止"),"両方停止","運転がそろわない")))</f>
        <v>利用可</v>
      </c>
      <c r="AO46" s="30" t="n">
        <v>60</v>
      </c>
      <c r="AP46" s="30" t="n">
        <v>0</v>
      </c>
      <c r="AQ46" s="30" t="str">
        <f aca="false">IF(OR(Y46="判定不能",G46="判定不能"),"判定不能",IF(AP46&gt;=判定条件!$C$9,"利用可",IF(AND(Y46="停止",G46="停止"),"両方停止","運転がそろわない")))</f>
        <v>運転がそろわない</v>
      </c>
      <c r="AR46" s="30" t="n">
        <v>60</v>
      </c>
      <c r="AS46" s="30" t="n">
        <v>22</v>
      </c>
      <c r="AT46" s="30" t="str">
        <f aca="false">IF(OR(AB46="判定不能",J46="判定不能"),"判定不能",IF(AS46&gt;=判定条件!$C$9,"利用可",IF(AND(AB46="停止",J46="停止"),"両方停止","運転がそろわない")))</f>
        <v>運転がそろわない</v>
      </c>
      <c r="AU46" s="30" t="n">
        <v>60</v>
      </c>
      <c r="AV46" s="30" t="n">
        <v>9</v>
      </c>
      <c r="AW46" s="30" t="str">
        <f aca="false">IF(OR(AE46="判定不能",M46="判定不能"),"判定不能",IF(AV46&gt;=判定条件!$C$9,"利用可",IF(AND(AE46="停止",M46="停止"),"両方停止","運転がそろわない")))</f>
        <v>運転がそろわない</v>
      </c>
      <c r="AX46" s="30" t="str">
        <f aca="false">IF(AND(AH46="利用可",AK46="利用可",AN46="利用可"),"利用可","不可")</f>
        <v>不可</v>
      </c>
      <c r="AY46" s="30" t="str">
        <f aca="false">IF(AND(AQ46="利用可",AT46="利用可",AW46="利用可"),"利用可","不可")</f>
        <v>不可</v>
      </c>
    </row>
    <row r="47" customFormat="false" ht="15" hidden="false" customHeight="false" outlineLevel="0" collapsed="false">
      <c r="A47" s="29" t="n">
        <v>46233</v>
      </c>
      <c r="B47" s="30" t="n">
        <v>20</v>
      </c>
      <c r="C47" s="31" t="s">
        <v>61</v>
      </c>
      <c r="D47" s="31" t="s">
        <v>59</v>
      </c>
      <c r="E47" s="30" t="n">
        <v>60</v>
      </c>
      <c r="F47" s="30" t="n">
        <v>60</v>
      </c>
      <c r="G47" s="30" t="str">
        <f aca="false">IF(E47&lt;判定条件!$C$6,"判定不能",IF(F47&gt;=判定条件!$C$7*E47,"運転",IF(F47&lt;=判定条件!$C$8*E47,"停止","断続")))</f>
        <v>運転</v>
      </c>
      <c r="H47" s="30" t="n">
        <v>60</v>
      </c>
      <c r="I47" s="30" t="n">
        <v>53</v>
      </c>
      <c r="J47" s="30" t="str">
        <f aca="false">IF(H47&lt;判定条件!$C$6,"判定不能",IF(I47&gt;=判定条件!$C$7*H47,"運転",IF(I47&lt;=判定条件!$C$8*H47,"停止","断続")))</f>
        <v>運転</v>
      </c>
      <c r="K47" s="30" t="n">
        <v>60</v>
      </c>
      <c r="L47" s="30" t="n">
        <v>60</v>
      </c>
      <c r="M47" s="30" t="str">
        <f aca="false">IF(K47&lt;判定条件!$C$6,"判定不能",IF(L47&gt;=判定条件!$C$7*K47,"運転",IF(L47&lt;=判定条件!$C$8*K47,"停止","断続")))</f>
        <v>運転</v>
      </c>
      <c r="N47" s="30" t="n">
        <v>60</v>
      </c>
      <c r="O47" s="30" t="n">
        <v>40</v>
      </c>
      <c r="P47" s="30" t="str">
        <f aca="false">IF(N47&lt;判定条件!$C$6,"判定不能",IF(O47&gt;=判定条件!$C$7*N47,"運転",IF(O47&lt;=判定条件!$C$8*N47,"停止","断続")))</f>
        <v>断続</v>
      </c>
      <c r="Q47" s="30" t="n">
        <v>60</v>
      </c>
      <c r="R47" s="30" t="n">
        <v>37</v>
      </c>
      <c r="S47" s="30" t="str">
        <f aca="false">IF(Q47&lt;判定条件!$C$6,"判定不能",IF(R47&gt;=判定条件!$C$7*Q47,"運転",IF(R47&lt;=判定条件!$C$8*Q47,"停止","断続")))</f>
        <v>断続</v>
      </c>
      <c r="T47" s="30" t="n">
        <v>60</v>
      </c>
      <c r="U47" s="30" t="n">
        <v>16</v>
      </c>
      <c r="V47" s="30" t="str">
        <f aca="false">IF(T47&lt;判定条件!$C$6,"判定不能",IF(U47&gt;=判定条件!$C$7*T47,"運転",IF(U47&lt;=判定条件!$C$8*T47,"停止","断続")))</f>
        <v>断続</v>
      </c>
      <c r="W47" s="30" t="n">
        <v>60</v>
      </c>
      <c r="X47" s="30" t="n">
        <v>0</v>
      </c>
      <c r="Y47" s="30" t="str">
        <f aca="false">IF(W47&lt;判定条件!$C$6,"判定不能",IF(X47&gt;=判定条件!$C$7*W47,"運転",IF(X47&lt;=判定条件!$C$8*W47,"停止","断続")))</f>
        <v>停止</v>
      </c>
      <c r="Z47" s="30" t="n">
        <v>60</v>
      </c>
      <c r="AA47" s="30" t="n">
        <v>58</v>
      </c>
      <c r="AB47" s="30" t="str">
        <f aca="false">IF(Z47&lt;判定条件!$C$6,"判定不能",IF(AA47&gt;=判定条件!$C$7*Z47,"運転",IF(AA47&lt;=判定条件!$C$8*Z47,"停止","断続")))</f>
        <v>運転</v>
      </c>
      <c r="AC47" s="30" t="n">
        <v>60</v>
      </c>
      <c r="AD47" s="30" t="n">
        <v>1</v>
      </c>
      <c r="AE47" s="30" t="str">
        <f aca="false">IF(AC47&lt;判定条件!$C$6,"判定不能",IF(AD47&gt;=判定条件!$C$7*AC47,"運転",IF(AD47&lt;=判定条件!$C$8*AC47,"停止","断続")))</f>
        <v>停止</v>
      </c>
      <c r="AF47" s="30" t="n">
        <v>60</v>
      </c>
      <c r="AG47" s="30" t="n">
        <v>40</v>
      </c>
      <c r="AH47" s="30" t="str">
        <f aca="false">IF(OR(P47="判定不能",G47="判定不能"),"判定不能",IF(AG47&gt;=判定条件!$C$9,"利用可",IF(AND(P47="停止",G47="停止"),"両方停止","運転がそろわない")))</f>
        <v>利用可</v>
      </c>
      <c r="AI47" s="30" t="n">
        <v>60</v>
      </c>
      <c r="AJ47" s="30" t="n">
        <v>30</v>
      </c>
      <c r="AK47" s="30" t="str">
        <f aca="false">IF(OR(S47="判定不能",J47="判定不能"),"判定不能",IF(AJ47&gt;=判定条件!$C$9,"利用可",IF(AND(S47="停止",J47="停止"),"両方停止","運転がそろわない")))</f>
        <v>利用可</v>
      </c>
      <c r="AL47" s="30" t="n">
        <v>60</v>
      </c>
      <c r="AM47" s="30" t="n">
        <v>16</v>
      </c>
      <c r="AN47" s="30" t="str">
        <f aca="false">IF(OR(V47="判定不能",M47="判定不能"),"判定不能",IF(AM47&gt;=判定条件!$C$9,"利用可",IF(AND(V47="停止",M47="停止"),"両方停止","運転がそろわない")))</f>
        <v>運転がそろわない</v>
      </c>
      <c r="AO47" s="30" t="n">
        <v>60</v>
      </c>
      <c r="AP47" s="30" t="n">
        <v>0</v>
      </c>
      <c r="AQ47" s="30" t="str">
        <f aca="false">IF(OR(Y47="判定不能",G47="判定不能"),"判定不能",IF(AP47&gt;=判定条件!$C$9,"利用可",IF(AND(Y47="停止",G47="停止"),"両方停止","運転がそろわない")))</f>
        <v>運転がそろわない</v>
      </c>
      <c r="AR47" s="30" t="n">
        <v>60</v>
      </c>
      <c r="AS47" s="30" t="n">
        <v>51</v>
      </c>
      <c r="AT47" s="30" t="str">
        <f aca="false">IF(OR(AB47="判定不能",J47="判定不能"),"判定不能",IF(AS47&gt;=判定条件!$C$9,"利用可",IF(AND(AB47="停止",J47="停止"),"両方停止","運転がそろわない")))</f>
        <v>利用可</v>
      </c>
      <c r="AU47" s="30" t="n">
        <v>60</v>
      </c>
      <c r="AV47" s="30" t="n">
        <v>1</v>
      </c>
      <c r="AW47" s="30" t="str">
        <f aca="false">IF(OR(AE47="判定不能",M47="判定不能"),"判定不能",IF(AV47&gt;=判定条件!$C$9,"利用可",IF(AND(AE47="停止",M47="停止"),"両方停止","運転がそろわない")))</f>
        <v>運転がそろわない</v>
      </c>
      <c r="AX47" s="30" t="str">
        <f aca="false">IF(AND(AH47="利用可",AK47="利用可",AN47="利用可"),"利用可","不可")</f>
        <v>不可</v>
      </c>
      <c r="AY47" s="30" t="str">
        <f aca="false">IF(AND(AQ47="利用可",AT47="利用可",AW47="利用可"),"利用可","不可")</f>
        <v>不可</v>
      </c>
    </row>
    <row r="48" customFormat="false" ht="15" hidden="false" customHeight="false" outlineLevel="0" collapsed="false">
      <c r="A48" s="29" t="n">
        <v>46233</v>
      </c>
      <c r="B48" s="30" t="n">
        <v>21</v>
      </c>
      <c r="C48" s="31" t="s">
        <v>61</v>
      </c>
      <c r="D48" s="31" t="s">
        <v>59</v>
      </c>
      <c r="E48" s="30" t="n">
        <v>60</v>
      </c>
      <c r="F48" s="30" t="n">
        <v>3</v>
      </c>
      <c r="G48" s="30" t="str">
        <f aca="false">IF(E48&lt;判定条件!$C$6,"判定不能",IF(F48&gt;=判定条件!$C$7*E48,"運転",IF(F48&lt;=判定条件!$C$8*E48,"停止","断続")))</f>
        <v>停止</v>
      </c>
      <c r="H48" s="30" t="n">
        <v>60</v>
      </c>
      <c r="I48" s="30" t="n">
        <v>0</v>
      </c>
      <c r="J48" s="30" t="str">
        <f aca="false">IF(H48&lt;判定条件!$C$6,"判定不能",IF(I48&gt;=判定条件!$C$7*H48,"運転",IF(I48&lt;=判定条件!$C$8*H48,"停止","断続")))</f>
        <v>停止</v>
      </c>
      <c r="K48" s="30" t="n">
        <v>60</v>
      </c>
      <c r="L48" s="30" t="n">
        <v>60</v>
      </c>
      <c r="M48" s="30" t="str">
        <f aca="false">IF(K48&lt;判定条件!$C$6,"判定不能",IF(L48&gt;=判定条件!$C$7*K48,"運転",IF(L48&lt;=判定条件!$C$8*K48,"停止","断続")))</f>
        <v>運転</v>
      </c>
      <c r="N48" s="30" t="n">
        <v>60</v>
      </c>
      <c r="O48" s="30" t="n">
        <v>31</v>
      </c>
      <c r="P48" s="30" t="str">
        <f aca="false">IF(N48&lt;判定条件!$C$6,"判定不能",IF(O48&gt;=判定条件!$C$7*N48,"運転",IF(O48&lt;=判定条件!$C$8*N48,"停止","断続")))</f>
        <v>断続</v>
      </c>
      <c r="Q48" s="30" t="n">
        <v>60</v>
      </c>
      <c r="R48" s="30" t="n">
        <v>35</v>
      </c>
      <c r="S48" s="30" t="str">
        <f aca="false">IF(Q48&lt;判定条件!$C$6,"判定不能",IF(R48&gt;=判定条件!$C$7*Q48,"運転",IF(R48&lt;=判定条件!$C$8*Q48,"停止","断続")))</f>
        <v>断続</v>
      </c>
      <c r="T48" s="30" t="n">
        <v>60</v>
      </c>
      <c r="U48" s="30" t="n">
        <v>0</v>
      </c>
      <c r="V48" s="30" t="str">
        <f aca="false">IF(T48&lt;判定条件!$C$6,"判定不能",IF(U48&gt;=判定条件!$C$7*T48,"運転",IF(U48&lt;=判定条件!$C$8*T48,"停止","断続")))</f>
        <v>停止</v>
      </c>
      <c r="W48" s="30" t="n">
        <v>60</v>
      </c>
      <c r="X48" s="30" t="n">
        <v>44</v>
      </c>
      <c r="Y48" s="30" t="str">
        <f aca="false">IF(W48&lt;判定条件!$C$6,"判定不能",IF(X48&gt;=判定条件!$C$7*W48,"運転",IF(X48&lt;=判定条件!$C$8*W48,"停止","断続")))</f>
        <v>断続</v>
      </c>
      <c r="Z48" s="30" t="n">
        <v>60</v>
      </c>
      <c r="AA48" s="30" t="n">
        <v>52</v>
      </c>
      <c r="AB48" s="30" t="str">
        <f aca="false">IF(Z48&lt;判定条件!$C$6,"判定不能",IF(AA48&gt;=判定条件!$C$7*Z48,"運転",IF(AA48&lt;=判定条件!$C$8*Z48,"停止","断続")))</f>
        <v>運転</v>
      </c>
      <c r="AC48" s="30" t="n">
        <v>60</v>
      </c>
      <c r="AD48" s="30" t="n">
        <v>0</v>
      </c>
      <c r="AE48" s="30" t="str">
        <f aca="false">IF(AC48&lt;判定条件!$C$6,"判定不能",IF(AD48&gt;=判定条件!$C$7*AC48,"運転",IF(AD48&lt;=判定条件!$C$8*AC48,"停止","断続")))</f>
        <v>停止</v>
      </c>
      <c r="AF48" s="30" t="n">
        <v>60</v>
      </c>
      <c r="AG48" s="30" t="n">
        <v>2</v>
      </c>
      <c r="AH48" s="30" t="str">
        <f aca="false">IF(OR(P48="判定不能",G48="判定不能"),"判定不能",IF(AG48&gt;=判定条件!$C$9,"利用可",IF(AND(P48="停止",G48="停止"),"両方停止","運転がそろわない")))</f>
        <v>運転がそろわない</v>
      </c>
      <c r="AI48" s="30" t="n">
        <v>60</v>
      </c>
      <c r="AJ48" s="30" t="n">
        <v>0</v>
      </c>
      <c r="AK48" s="30" t="str">
        <f aca="false">IF(OR(S48="判定不能",J48="判定不能"),"判定不能",IF(AJ48&gt;=判定条件!$C$9,"利用可",IF(AND(S48="停止",J48="停止"),"両方停止","運転がそろわない")))</f>
        <v>運転がそろわない</v>
      </c>
      <c r="AL48" s="30" t="n">
        <v>60</v>
      </c>
      <c r="AM48" s="30" t="n">
        <v>0</v>
      </c>
      <c r="AN48" s="30" t="str">
        <f aca="false">IF(OR(V48="判定不能",M48="判定不能"),"判定不能",IF(AM48&gt;=判定条件!$C$9,"利用可",IF(AND(V48="停止",M48="停止"),"両方停止","運転がそろわない")))</f>
        <v>運転がそろわない</v>
      </c>
      <c r="AO48" s="30" t="n">
        <v>60</v>
      </c>
      <c r="AP48" s="30" t="n">
        <v>1</v>
      </c>
      <c r="AQ48" s="30" t="str">
        <f aca="false">IF(OR(Y48="判定不能",G48="判定不能"),"判定不能",IF(AP48&gt;=判定条件!$C$9,"利用可",IF(AND(Y48="停止",G48="停止"),"両方停止","運転がそろわない")))</f>
        <v>運転がそろわない</v>
      </c>
      <c r="AR48" s="30" t="n">
        <v>60</v>
      </c>
      <c r="AS48" s="30" t="n">
        <v>0</v>
      </c>
      <c r="AT48" s="30" t="str">
        <f aca="false">IF(OR(AB48="判定不能",J48="判定不能"),"判定不能",IF(AS48&gt;=判定条件!$C$9,"利用可",IF(AND(AB48="停止",J48="停止"),"両方停止","運転がそろわない")))</f>
        <v>運転がそろわない</v>
      </c>
      <c r="AU48" s="30" t="n">
        <v>60</v>
      </c>
      <c r="AV48" s="30" t="n">
        <v>0</v>
      </c>
      <c r="AW48" s="30" t="str">
        <f aca="false">IF(OR(AE48="判定不能",M48="判定不能"),"判定不能",IF(AV48&gt;=判定条件!$C$9,"利用可",IF(AND(AE48="停止",M48="停止"),"両方停止","運転がそろわない")))</f>
        <v>運転がそろわない</v>
      </c>
      <c r="AX48" s="30" t="str">
        <f aca="false">IF(AND(AH48="利用可",AK48="利用可",AN48="利用可"),"利用可","不可")</f>
        <v>不可</v>
      </c>
      <c r="AY48" s="30" t="str">
        <f aca="false">IF(AND(AQ48="利用可",AT48="利用可",AW48="利用可"),"利用可","不可")</f>
        <v>不可</v>
      </c>
    </row>
    <row r="49" customFormat="false" ht="15" hidden="false" customHeight="false" outlineLevel="0" collapsed="false">
      <c r="A49" s="29" t="n">
        <v>46233</v>
      </c>
      <c r="B49" s="30" t="n">
        <v>22</v>
      </c>
      <c r="C49" s="31" t="s">
        <v>61</v>
      </c>
      <c r="D49" s="31" t="s">
        <v>59</v>
      </c>
      <c r="E49" s="30" t="n">
        <v>60</v>
      </c>
      <c r="F49" s="30" t="n">
        <v>0</v>
      </c>
      <c r="G49" s="30" t="str">
        <f aca="false">IF(E49&lt;判定条件!$C$6,"判定不能",IF(F49&gt;=判定条件!$C$7*E49,"運転",IF(F49&lt;=判定条件!$C$8*E49,"停止","断続")))</f>
        <v>停止</v>
      </c>
      <c r="H49" s="30" t="n">
        <v>60</v>
      </c>
      <c r="I49" s="30" t="n">
        <v>0</v>
      </c>
      <c r="J49" s="30" t="str">
        <f aca="false">IF(H49&lt;判定条件!$C$6,"判定不能",IF(I49&gt;=判定条件!$C$7*H49,"運転",IF(I49&lt;=判定条件!$C$8*H49,"停止","断続")))</f>
        <v>停止</v>
      </c>
      <c r="K49" s="30" t="n">
        <v>60</v>
      </c>
      <c r="L49" s="30" t="n">
        <v>60</v>
      </c>
      <c r="M49" s="30" t="str">
        <f aca="false">IF(K49&lt;判定条件!$C$6,"判定不能",IF(L49&gt;=判定条件!$C$7*K49,"運転",IF(L49&lt;=判定条件!$C$8*K49,"停止","断続")))</f>
        <v>運転</v>
      </c>
      <c r="N49" s="30" t="n">
        <v>60</v>
      </c>
      <c r="O49" s="30" t="n">
        <v>60</v>
      </c>
      <c r="P49" s="30" t="str">
        <f aca="false">IF(N49&lt;判定条件!$C$6,"判定不能",IF(O49&gt;=判定条件!$C$7*N49,"運転",IF(O49&lt;=判定条件!$C$8*N49,"停止","断続")))</f>
        <v>運転</v>
      </c>
      <c r="Q49" s="30" t="n">
        <v>60</v>
      </c>
      <c r="R49" s="30" t="n">
        <v>0</v>
      </c>
      <c r="S49" s="30" t="str">
        <f aca="false">IF(Q49&lt;判定条件!$C$6,"判定不能",IF(R49&gt;=判定条件!$C$7*Q49,"運転",IF(R49&lt;=判定条件!$C$8*Q49,"停止","断続")))</f>
        <v>停止</v>
      </c>
      <c r="T49" s="30" t="n">
        <v>60</v>
      </c>
      <c r="U49" s="30" t="n">
        <v>0</v>
      </c>
      <c r="V49" s="30" t="str">
        <f aca="false">IF(T49&lt;判定条件!$C$6,"判定不能",IF(U49&gt;=判定条件!$C$7*T49,"運転",IF(U49&lt;=判定条件!$C$8*T49,"停止","断続")))</f>
        <v>停止</v>
      </c>
      <c r="W49" s="30" t="n">
        <v>60</v>
      </c>
      <c r="X49" s="30" t="n">
        <v>0</v>
      </c>
      <c r="Y49" s="30" t="str">
        <f aca="false">IF(W49&lt;判定条件!$C$6,"判定不能",IF(X49&gt;=判定条件!$C$7*W49,"運転",IF(X49&lt;=判定条件!$C$8*W49,"停止","断続")))</f>
        <v>停止</v>
      </c>
      <c r="Z49" s="30" t="n">
        <v>60</v>
      </c>
      <c r="AA49" s="30" t="n">
        <v>26</v>
      </c>
      <c r="AB49" s="30" t="str">
        <f aca="false">IF(Z49&lt;判定条件!$C$6,"判定不能",IF(AA49&gt;=判定条件!$C$7*Z49,"運転",IF(AA49&lt;=判定条件!$C$8*Z49,"停止","断続")))</f>
        <v>断続</v>
      </c>
      <c r="AC49" s="30" t="n">
        <v>60</v>
      </c>
      <c r="AD49" s="30" t="n">
        <v>0</v>
      </c>
      <c r="AE49" s="30" t="str">
        <f aca="false">IF(AC49&lt;判定条件!$C$6,"判定不能",IF(AD49&gt;=判定条件!$C$7*AC49,"運転",IF(AD49&lt;=判定条件!$C$8*AC49,"停止","断続")))</f>
        <v>停止</v>
      </c>
      <c r="AF49" s="30" t="n">
        <v>60</v>
      </c>
      <c r="AG49" s="30" t="n">
        <v>0</v>
      </c>
      <c r="AH49" s="30" t="str">
        <f aca="false">IF(OR(P49="判定不能",G49="判定不能"),"判定不能",IF(AG49&gt;=判定条件!$C$9,"利用可",IF(AND(P49="停止",G49="停止"),"両方停止","運転がそろわない")))</f>
        <v>運転がそろわない</v>
      </c>
      <c r="AI49" s="30" t="n">
        <v>60</v>
      </c>
      <c r="AJ49" s="30" t="n">
        <v>0</v>
      </c>
      <c r="AK49" s="30" t="str">
        <f aca="false">IF(OR(S49="判定不能",J49="判定不能"),"判定不能",IF(AJ49&gt;=判定条件!$C$9,"利用可",IF(AND(S49="停止",J49="停止"),"両方停止","運転がそろわない")))</f>
        <v>両方停止</v>
      </c>
      <c r="AL49" s="30" t="n">
        <v>60</v>
      </c>
      <c r="AM49" s="30" t="n">
        <v>0</v>
      </c>
      <c r="AN49" s="30" t="str">
        <f aca="false">IF(OR(V49="判定不能",M49="判定不能"),"判定不能",IF(AM49&gt;=判定条件!$C$9,"利用可",IF(AND(V49="停止",M49="停止"),"両方停止","運転がそろわない")))</f>
        <v>運転がそろわない</v>
      </c>
      <c r="AO49" s="30" t="n">
        <v>60</v>
      </c>
      <c r="AP49" s="30" t="n">
        <v>0</v>
      </c>
      <c r="AQ49" s="30" t="str">
        <f aca="false">IF(OR(Y49="判定不能",G49="判定不能"),"判定不能",IF(AP49&gt;=判定条件!$C$9,"利用可",IF(AND(Y49="停止",G49="停止"),"両方停止","運転がそろわない")))</f>
        <v>両方停止</v>
      </c>
      <c r="AR49" s="30" t="n">
        <v>60</v>
      </c>
      <c r="AS49" s="30" t="n">
        <v>0</v>
      </c>
      <c r="AT49" s="30" t="str">
        <f aca="false">IF(OR(AB49="判定不能",J49="判定不能"),"判定不能",IF(AS49&gt;=判定条件!$C$9,"利用可",IF(AND(AB49="停止",J49="停止"),"両方停止","運転がそろわない")))</f>
        <v>運転がそろわない</v>
      </c>
      <c r="AU49" s="30" t="n">
        <v>60</v>
      </c>
      <c r="AV49" s="30" t="n">
        <v>0</v>
      </c>
      <c r="AW49" s="30" t="str">
        <f aca="false">IF(OR(AE49="判定不能",M49="判定不能"),"判定不能",IF(AV49&gt;=判定条件!$C$9,"利用可",IF(AND(AE49="停止",M49="停止"),"両方停止","運転がそろわない")))</f>
        <v>運転がそろわない</v>
      </c>
      <c r="AX49" s="30" t="str">
        <f aca="false">IF(AND(AH49="利用可",AK49="利用可",AN49="利用可"),"利用可","不可")</f>
        <v>不可</v>
      </c>
      <c r="AY49" s="30" t="str">
        <f aca="false">IF(AND(AQ49="利用可",AT49="利用可",AW49="利用可"),"利用可","不可")</f>
        <v>不可</v>
      </c>
    </row>
    <row r="50" customFormat="false" ht="15" hidden="false" customHeight="false" outlineLevel="0" collapsed="false">
      <c r="A50" s="29" t="n">
        <v>46233</v>
      </c>
      <c r="B50" s="30" t="n">
        <v>23</v>
      </c>
      <c r="C50" s="31" t="s">
        <v>61</v>
      </c>
      <c r="D50" s="31" t="s">
        <v>59</v>
      </c>
      <c r="E50" s="30" t="n">
        <v>60</v>
      </c>
      <c r="F50" s="30" t="n">
        <v>0</v>
      </c>
      <c r="G50" s="30" t="str">
        <f aca="false">IF(E50&lt;判定条件!$C$6,"判定不能",IF(F50&gt;=判定条件!$C$7*E50,"運転",IF(F50&lt;=判定条件!$C$8*E50,"停止","断続")))</f>
        <v>停止</v>
      </c>
      <c r="H50" s="30" t="n">
        <v>60</v>
      </c>
      <c r="I50" s="30" t="n">
        <v>0</v>
      </c>
      <c r="J50" s="30" t="str">
        <f aca="false">IF(H50&lt;判定条件!$C$6,"判定不能",IF(I50&gt;=判定条件!$C$7*H50,"運転",IF(I50&lt;=判定条件!$C$8*H50,"停止","断続")))</f>
        <v>停止</v>
      </c>
      <c r="K50" s="30" t="n">
        <v>60</v>
      </c>
      <c r="L50" s="30" t="n">
        <v>60</v>
      </c>
      <c r="M50" s="30" t="str">
        <f aca="false">IF(K50&lt;判定条件!$C$6,"判定不能",IF(L50&gt;=判定条件!$C$7*K50,"運転",IF(L50&lt;=判定条件!$C$8*K50,"停止","断続")))</f>
        <v>運転</v>
      </c>
      <c r="N50" s="30" t="n">
        <v>60</v>
      </c>
      <c r="O50" s="30" t="n">
        <v>25</v>
      </c>
      <c r="P50" s="30" t="str">
        <f aca="false">IF(N50&lt;判定条件!$C$6,"判定不能",IF(O50&gt;=判定条件!$C$7*N50,"運転",IF(O50&lt;=判定条件!$C$8*N50,"停止","断続")))</f>
        <v>断続</v>
      </c>
      <c r="Q50" s="30" t="n">
        <v>60</v>
      </c>
      <c r="R50" s="30" t="n">
        <v>0</v>
      </c>
      <c r="S50" s="30" t="str">
        <f aca="false">IF(Q50&lt;判定条件!$C$6,"判定不能",IF(R50&gt;=判定条件!$C$7*Q50,"運転",IF(R50&lt;=判定条件!$C$8*Q50,"停止","断続")))</f>
        <v>停止</v>
      </c>
      <c r="T50" s="30" t="n">
        <v>60</v>
      </c>
      <c r="U50" s="30" t="n">
        <v>0</v>
      </c>
      <c r="V50" s="30" t="str">
        <f aca="false">IF(T50&lt;判定条件!$C$6,"判定不能",IF(U50&gt;=判定条件!$C$7*T50,"運転",IF(U50&lt;=判定条件!$C$8*T50,"停止","断続")))</f>
        <v>停止</v>
      </c>
      <c r="W50" s="30" t="n">
        <v>60</v>
      </c>
      <c r="X50" s="30" t="n">
        <v>0</v>
      </c>
      <c r="Y50" s="30" t="str">
        <f aca="false">IF(W50&lt;判定条件!$C$6,"判定不能",IF(X50&gt;=判定条件!$C$7*W50,"運転",IF(X50&lt;=判定条件!$C$8*W50,"停止","断続")))</f>
        <v>停止</v>
      </c>
      <c r="Z50" s="30" t="n">
        <v>60</v>
      </c>
      <c r="AA50" s="30" t="n">
        <v>0</v>
      </c>
      <c r="AB50" s="30" t="str">
        <f aca="false">IF(Z50&lt;判定条件!$C$6,"判定不能",IF(AA50&gt;=判定条件!$C$7*Z50,"運転",IF(AA50&lt;=判定条件!$C$8*Z50,"停止","断続")))</f>
        <v>停止</v>
      </c>
      <c r="AC50" s="30" t="n">
        <v>60</v>
      </c>
      <c r="AD50" s="30" t="n">
        <v>0</v>
      </c>
      <c r="AE50" s="30" t="str">
        <f aca="false">IF(AC50&lt;判定条件!$C$6,"判定不能",IF(AD50&gt;=判定条件!$C$7*AC50,"運転",IF(AD50&lt;=判定条件!$C$8*AC50,"停止","断続")))</f>
        <v>停止</v>
      </c>
      <c r="AF50" s="30" t="n">
        <v>60</v>
      </c>
      <c r="AG50" s="30" t="n">
        <v>0</v>
      </c>
      <c r="AH50" s="30" t="str">
        <f aca="false">IF(OR(P50="判定不能",G50="判定不能"),"判定不能",IF(AG50&gt;=判定条件!$C$9,"利用可",IF(AND(P50="停止",G50="停止"),"両方停止","運転がそろわない")))</f>
        <v>運転がそろわない</v>
      </c>
      <c r="AI50" s="30" t="n">
        <v>60</v>
      </c>
      <c r="AJ50" s="30" t="n">
        <v>0</v>
      </c>
      <c r="AK50" s="30" t="str">
        <f aca="false">IF(OR(S50="判定不能",J50="判定不能"),"判定不能",IF(AJ50&gt;=判定条件!$C$9,"利用可",IF(AND(S50="停止",J50="停止"),"両方停止","運転がそろわない")))</f>
        <v>両方停止</v>
      </c>
      <c r="AL50" s="30" t="n">
        <v>60</v>
      </c>
      <c r="AM50" s="30" t="n">
        <v>0</v>
      </c>
      <c r="AN50" s="30" t="str">
        <f aca="false">IF(OR(V50="判定不能",M50="判定不能"),"判定不能",IF(AM50&gt;=判定条件!$C$9,"利用可",IF(AND(V50="停止",M50="停止"),"両方停止","運転がそろわない")))</f>
        <v>運転がそろわない</v>
      </c>
      <c r="AO50" s="30" t="n">
        <v>60</v>
      </c>
      <c r="AP50" s="30" t="n">
        <v>0</v>
      </c>
      <c r="AQ50" s="30" t="str">
        <f aca="false">IF(OR(Y50="判定不能",G50="判定不能"),"判定不能",IF(AP50&gt;=判定条件!$C$9,"利用可",IF(AND(Y50="停止",G50="停止"),"両方停止","運転がそろわない")))</f>
        <v>両方停止</v>
      </c>
      <c r="AR50" s="30" t="n">
        <v>60</v>
      </c>
      <c r="AS50" s="30" t="n">
        <v>0</v>
      </c>
      <c r="AT50" s="30" t="str">
        <f aca="false">IF(OR(AB50="判定不能",J50="判定不能"),"判定不能",IF(AS50&gt;=判定条件!$C$9,"利用可",IF(AND(AB50="停止",J50="停止"),"両方停止","運転がそろわない")))</f>
        <v>両方停止</v>
      </c>
      <c r="AU50" s="30" t="n">
        <v>60</v>
      </c>
      <c r="AV50" s="30" t="n">
        <v>0</v>
      </c>
      <c r="AW50" s="30" t="str">
        <f aca="false">IF(OR(AE50="判定不能",M50="判定不能"),"判定不能",IF(AV50&gt;=判定条件!$C$9,"利用可",IF(AND(AE50="停止",M50="停止"),"両方停止","運転がそろわない")))</f>
        <v>運転がそろわない</v>
      </c>
      <c r="AX50" s="30" t="str">
        <f aca="false">IF(AND(AH50="利用可",AK50="利用可",AN50="利用可"),"利用可","不可")</f>
        <v>不可</v>
      </c>
      <c r="AY50" s="30" t="str">
        <f aca="false">IF(AND(AQ50="利用可",AT50="利用可",AW50="利用可"),"利用可","不可")</f>
        <v>不可</v>
      </c>
    </row>
    <row r="51" customFormat="false" ht="15" hidden="false" customHeight="false" outlineLevel="0" collapsed="false">
      <c r="A51" s="29" t="n">
        <v>46234</v>
      </c>
      <c r="B51" s="30" t="n">
        <v>0</v>
      </c>
      <c r="C51" s="31" t="s">
        <v>62</v>
      </c>
      <c r="D51" s="31" t="s">
        <v>59</v>
      </c>
      <c r="E51" s="30" t="n">
        <v>60</v>
      </c>
      <c r="F51" s="30" t="n">
        <v>0</v>
      </c>
      <c r="G51" s="30" t="str">
        <f aca="false">IF(E51&lt;判定条件!$C$6,"判定不能",IF(F51&gt;=判定条件!$C$7*E51,"運転",IF(F51&lt;=判定条件!$C$8*E51,"停止","断続")))</f>
        <v>停止</v>
      </c>
      <c r="H51" s="30" t="n">
        <v>60</v>
      </c>
      <c r="I51" s="30" t="n">
        <v>0</v>
      </c>
      <c r="J51" s="30" t="str">
        <f aca="false">IF(H51&lt;判定条件!$C$6,"判定不能",IF(I51&gt;=判定条件!$C$7*H51,"運転",IF(I51&lt;=判定条件!$C$8*H51,"停止","断続")))</f>
        <v>停止</v>
      </c>
      <c r="K51" s="30" t="n">
        <v>60</v>
      </c>
      <c r="L51" s="30" t="n">
        <v>60</v>
      </c>
      <c r="M51" s="30" t="str">
        <f aca="false">IF(K51&lt;判定条件!$C$6,"判定不能",IF(L51&gt;=判定条件!$C$7*K51,"運転",IF(L51&lt;=判定条件!$C$8*K51,"停止","断続")))</f>
        <v>運転</v>
      </c>
      <c r="N51" s="30" t="n">
        <v>60</v>
      </c>
      <c r="O51" s="30" t="n">
        <v>0</v>
      </c>
      <c r="P51" s="30" t="str">
        <f aca="false">IF(N51&lt;判定条件!$C$6,"判定不能",IF(O51&gt;=判定条件!$C$7*N51,"運転",IF(O51&lt;=判定条件!$C$8*N51,"停止","断続")))</f>
        <v>停止</v>
      </c>
      <c r="Q51" s="30" t="n">
        <v>60</v>
      </c>
      <c r="R51" s="30" t="n">
        <v>0</v>
      </c>
      <c r="S51" s="30" t="str">
        <f aca="false">IF(Q51&lt;判定条件!$C$6,"判定不能",IF(R51&gt;=判定条件!$C$7*Q51,"運転",IF(R51&lt;=判定条件!$C$8*Q51,"停止","断続")))</f>
        <v>停止</v>
      </c>
      <c r="T51" s="30" t="n">
        <v>60</v>
      </c>
      <c r="U51" s="30" t="n">
        <v>0</v>
      </c>
      <c r="V51" s="30" t="str">
        <f aca="false">IF(T51&lt;判定条件!$C$6,"判定不能",IF(U51&gt;=判定条件!$C$7*T51,"運転",IF(U51&lt;=判定条件!$C$8*T51,"停止","断続")))</f>
        <v>停止</v>
      </c>
      <c r="W51" s="30" t="n">
        <v>60</v>
      </c>
      <c r="X51" s="30" t="n">
        <v>0</v>
      </c>
      <c r="Y51" s="30" t="str">
        <f aca="false">IF(W51&lt;判定条件!$C$6,"判定不能",IF(X51&gt;=判定条件!$C$7*W51,"運転",IF(X51&lt;=判定条件!$C$8*W51,"停止","断続")))</f>
        <v>停止</v>
      </c>
      <c r="Z51" s="30" t="n">
        <v>60</v>
      </c>
      <c r="AA51" s="30" t="n">
        <v>0</v>
      </c>
      <c r="AB51" s="30" t="str">
        <f aca="false">IF(Z51&lt;判定条件!$C$6,"判定不能",IF(AA51&gt;=判定条件!$C$7*Z51,"運転",IF(AA51&lt;=判定条件!$C$8*Z51,"停止","断続")))</f>
        <v>停止</v>
      </c>
      <c r="AC51" s="30" t="n">
        <v>60</v>
      </c>
      <c r="AD51" s="30" t="n">
        <v>0</v>
      </c>
      <c r="AE51" s="30" t="str">
        <f aca="false">IF(AC51&lt;判定条件!$C$6,"判定不能",IF(AD51&gt;=判定条件!$C$7*AC51,"運転",IF(AD51&lt;=判定条件!$C$8*AC51,"停止","断続")))</f>
        <v>停止</v>
      </c>
      <c r="AF51" s="30" t="n">
        <v>60</v>
      </c>
      <c r="AG51" s="30" t="n">
        <v>0</v>
      </c>
      <c r="AH51" s="30" t="str">
        <f aca="false">IF(OR(P51="判定不能",G51="判定不能"),"判定不能",IF(AG51&gt;=判定条件!$C$9,"利用可",IF(AND(P51="停止",G51="停止"),"両方停止","運転がそろわない")))</f>
        <v>両方停止</v>
      </c>
      <c r="AI51" s="30" t="n">
        <v>60</v>
      </c>
      <c r="AJ51" s="30" t="n">
        <v>0</v>
      </c>
      <c r="AK51" s="30" t="str">
        <f aca="false">IF(OR(S51="判定不能",J51="判定不能"),"判定不能",IF(AJ51&gt;=判定条件!$C$9,"利用可",IF(AND(S51="停止",J51="停止"),"両方停止","運転がそろわない")))</f>
        <v>両方停止</v>
      </c>
      <c r="AL51" s="30" t="n">
        <v>60</v>
      </c>
      <c r="AM51" s="30" t="n">
        <v>0</v>
      </c>
      <c r="AN51" s="30" t="str">
        <f aca="false">IF(OR(V51="判定不能",M51="判定不能"),"判定不能",IF(AM51&gt;=判定条件!$C$9,"利用可",IF(AND(V51="停止",M51="停止"),"両方停止","運転がそろわない")))</f>
        <v>運転がそろわない</v>
      </c>
      <c r="AO51" s="30" t="n">
        <v>60</v>
      </c>
      <c r="AP51" s="30" t="n">
        <v>0</v>
      </c>
      <c r="AQ51" s="30" t="str">
        <f aca="false">IF(OR(Y51="判定不能",G51="判定不能"),"判定不能",IF(AP51&gt;=判定条件!$C$9,"利用可",IF(AND(Y51="停止",G51="停止"),"両方停止","運転がそろわない")))</f>
        <v>両方停止</v>
      </c>
      <c r="AR51" s="30" t="n">
        <v>60</v>
      </c>
      <c r="AS51" s="30" t="n">
        <v>0</v>
      </c>
      <c r="AT51" s="30" t="str">
        <f aca="false">IF(OR(AB51="判定不能",J51="判定不能"),"判定不能",IF(AS51&gt;=判定条件!$C$9,"利用可",IF(AND(AB51="停止",J51="停止"),"両方停止","運転がそろわない")))</f>
        <v>両方停止</v>
      </c>
      <c r="AU51" s="30" t="n">
        <v>60</v>
      </c>
      <c r="AV51" s="30" t="n">
        <v>0</v>
      </c>
      <c r="AW51" s="30" t="str">
        <f aca="false">IF(OR(AE51="判定不能",M51="判定不能"),"判定不能",IF(AV51&gt;=判定条件!$C$9,"利用可",IF(AND(AE51="停止",M51="停止"),"両方停止","運転がそろわない")))</f>
        <v>運転がそろわない</v>
      </c>
      <c r="AX51" s="30" t="str">
        <f aca="false">IF(AND(AH51="利用可",AK51="利用可",AN51="利用可"),"利用可","不可")</f>
        <v>不可</v>
      </c>
      <c r="AY51" s="30" t="str">
        <f aca="false">IF(AND(AQ51="利用可",AT51="利用可",AW51="利用可"),"利用可","不可")</f>
        <v>不可</v>
      </c>
    </row>
    <row r="52" customFormat="false" ht="15" hidden="false" customHeight="false" outlineLevel="0" collapsed="false">
      <c r="A52" s="29" t="n">
        <v>46234</v>
      </c>
      <c r="B52" s="30" t="n">
        <v>1</v>
      </c>
      <c r="C52" s="31" t="s">
        <v>62</v>
      </c>
      <c r="D52" s="31" t="s">
        <v>59</v>
      </c>
      <c r="E52" s="30" t="n">
        <v>60</v>
      </c>
      <c r="F52" s="30" t="n">
        <v>0</v>
      </c>
      <c r="G52" s="30" t="str">
        <f aca="false">IF(E52&lt;判定条件!$C$6,"判定不能",IF(F52&gt;=判定条件!$C$7*E52,"運転",IF(F52&lt;=判定条件!$C$8*E52,"停止","断続")))</f>
        <v>停止</v>
      </c>
      <c r="H52" s="30" t="n">
        <v>60</v>
      </c>
      <c r="I52" s="30" t="n">
        <v>0</v>
      </c>
      <c r="J52" s="30" t="str">
        <f aca="false">IF(H52&lt;判定条件!$C$6,"判定不能",IF(I52&gt;=判定条件!$C$7*H52,"運転",IF(I52&lt;=判定条件!$C$8*H52,"停止","断続")))</f>
        <v>停止</v>
      </c>
      <c r="K52" s="30" t="n">
        <v>60</v>
      </c>
      <c r="L52" s="30" t="n">
        <v>60</v>
      </c>
      <c r="M52" s="30" t="str">
        <f aca="false">IF(K52&lt;判定条件!$C$6,"判定不能",IF(L52&gt;=判定条件!$C$7*K52,"運転",IF(L52&lt;=判定条件!$C$8*K52,"停止","断続")))</f>
        <v>運転</v>
      </c>
      <c r="N52" s="30" t="n">
        <v>60</v>
      </c>
      <c r="O52" s="30" t="n">
        <v>0</v>
      </c>
      <c r="P52" s="30" t="str">
        <f aca="false">IF(N52&lt;判定条件!$C$6,"判定不能",IF(O52&gt;=判定条件!$C$7*N52,"運転",IF(O52&lt;=判定条件!$C$8*N52,"停止","断続")))</f>
        <v>停止</v>
      </c>
      <c r="Q52" s="30" t="n">
        <v>60</v>
      </c>
      <c r="R52" s="30" t="n">
        <v>0</v>
      </c>
      <c r="S52" s="30" t="str">
        <f aca="false">IF(Q52&lt;判定条件!$C$6,"判定不能",IF(R52&gt;=判定条件!$C$7*Q52,"運転",IF(R52&lt;=判定条件!$C$8*Q52,"停止","断続")))</f>
        <v>停止</v>
      </c>
      <c r="T52" s="30" t="n">
        <v>60</v>
      </c>
      <c r="U52" s="30" t="n">
        <v>0</v>
      </c>
      <c r="V52" s="30" t="str">
        <f aca="false">IF(T52&lt;判定条件!$C$6,"判定不能",IF(U52&gt;=判定条件!$C$7*T52,"運転",IF(U52&lt;=判定条件!$C$8*T52,"停止","断続")))</f>
        <v>停止</v>
      </c>
      <c r="W52" s="30" t="n">
        <v>60</v>
      </c>
      <c r="X52" s="30" t="n">
        <v>0</v>
      </c>
      <c r="Y52" s="30" t="str">
        <f aca="false">IF(W52&lt;判定条件!$C$6,"判定不能",IF(X52&gt;=判定条件!$C$7*W52,"運転",IF(X52&lt;=判定条件!$C$8*W52,"停止","断続")))</f>
        <v>停止</v>
      </c>
      <c r="Z52" s="30" t="n">
        <v>60</v>
      </c>
      <c r="AA52" s="30" t="n">
        <v>0</v>
      </c>
      <c r="AB52" s="30" t="str">
        <f aca="false">IF(Z52&lt;判定条件!$C$6,"判定不能",IF(AA52&gt;=判定条件!$C$7*Z52,"運転",IF(AA52&lt;=判定条件!$C$8*Z52,"停止","断続")))</f>
        <v>停止</v>
      </c>
      <c r="AC52" s="30" t="n">
        <v>60</v>
      </c>
      <c r="AD52" s="30" t="n">
        <v>0</v>
      </c>
      <c r="AE52" s="30" t="str">
        <f aca="false">IF(AC52&lt;判定条件!$C$6,"判定不能",IF(AD52&gt;=判定条件!$C$7*AC52,"運転",IF(AD52&lt;=判定条件!$C$8*AC52,"停止","断続")))</f>
        <v>停止</v>
      </c>
      <c r="AF52" s="30" t="n">
        <v>60</v>
      </c>
      <c r="AG52" s="30" t="n">
        <v>0</v>
      </c>
      <c r="AH52" s="30" t="str">
        <f aca="false">IF(OR(P52="判定不能",G52="判定不能"),"判定不能",IF(AG52&gt;=判定条件!$C$9,"利用可",IF(AND(P52="停止",G52="停止"),"両方停止","運転がそろわない")))</f>
        <v>両方停止</v>
      </c>
      <c r="AI52" s="30" t="n">
        <v>60</v>
      </c>
      <c r="AJ52" s="30" t="n">
        <v>0</v>
      </c>
      <c r="AK52" s="30" t="str">
        <f aca="false">IF(OR(S52="判定不能",J52="判定不能"),"判定不能",IF(AJ52&gt;=判定条件!$C$9,"利用可",IF(AND(S52="停止",J52="停止"),"両方停止","運転がそろわない")))</f>
        <v>両方停止</v>
      </c>
      <c r="AL52" s="30" t="n">
        <v>60</v>
      </c>
      <c r="AM52" s="30" t="n">
        <v>0</v>
      </c>
      <c r="AN52" s="30" t="str">
        <f aca="false">IF(OR(V52="判定不能",M52="判定不能"),"判定不能",IF(AM52&gt;=判定条件!$C$9,"利用可",IF(AND(V52="停止",M52="停止"),"両方停止","運転がそろわない")))</f>
        <v>運転がそろわない</v>
      </c>
      <c r="AO52" s="30" t="n">
        <v>60</v>
      </c>
      <c r="AP52" s="30" t="n">
        <v>0</v>
      </c>
      <c r="AQ52" s="30" t="str">
        <f aca="false">IF(OR(Y52="判定不能",G52="判定不能"),"判定不能",IF(AP52&gt;=判定条件!$C$9,"利用可",IF(AND(Y52="停止",G52="停止"),"両方停止","運転がそろわない")))</f>
        <v>両方停止</v>
      </c>
      <c r="AR52" s="30" t="n">
        <v>60</v>
      </c>
      <c r="AS52" s="30" t="n">
        <v>0</v>
      </c>
      <c r="AT52" s="30" t="str">
        <f aca="false">IF(OR(AB52="判定不能",J52="判定不能"),"判定不能",IF(AS52&gt;=判定条件!$C$9,"利用可",IF(AND(AB52="停止",J52="停止"),"両方停止","運転がそろわない")))</f>
        <v>両方停止</v>
      </c>
      <c r="AU52" s="30" t="n">
        <v>60</v>
      </c>
      <c r="AV52" s="30" t="n">
        <v>0</v>
      </c>
      <c r="AW52" s="30" t="str">
        <f aca="false">IF(OR(AE52="判定不能",M52="判定不能"),"判定不能",IF(AV52&gt;=判定条件!$C$9,"利用可",IF(AND(AE52="停止",M52="停止"),"両方停止","運転がそろわない")))</f>
        <v>運転がそろわない</v>
      </c>
      <c r="AX52" s="30" t="str">
        <f aca="false">IF(AND(AH52="利用可",AK52="利用可",AN52="利用可"),"利用可","不可")</f>
        <v>不可</v>
      </c>
      <c r="AY52" s="30" t="str">
        <f aca="false">IF(AND(AQ52="利用可",AT52="利用可",AW52="利用可"),"利用可","不可")</f>
        <v>不可</v>
      </c>
    </row>
    <row r="53" customFormat="false" ht="15" hidden="false" customHeight="false" outlineLevel="0" collapsed="false">
      <c r="A53" s="29" t="n">
        <v>46234</v>
      </c>
      <c r="B53" s="30" t="n">
        <v>2</v>
      </c>
      <c r="C53" s="31" t="s">
        <v>62</v>
      </c>
      <c r="D53" s="31" t="s">
        <v>59</v>
      </c>
      <c r="E53" s="30" t="n">
        <v>60</v>
      </c>
      <c r="F53" s="30" t="n">
        <v>0</v>
      </c>
      <c r="G53" s="30" t="str">
        <f aca="false">IF(E53&lt;判定条件!$C$6,"判定不能",IF(F53&gt;=判定条件!$C$7*E53,"運転",IF(F53&lt;=判定条件!$C$8*E53,"停止","断続")))</f>
        <v>停止</v>
      </c>
      <c r="H53" s="30" t="n">
        <v>60</v>
      </c>
      <c r="I53" s="30" t="n">
        <v>0</v>
      </c>
      <c r="J53" s="30" t="str">
        <f aca="false">IF(H53&lt;判定条件!$C$6,"判定不能",IF(I53&gt;=判定条件!$C$7*H53,"運転",IF(I53&lt;=判定条件!$C$8*H53,"停止","断続")))</f>
        <v>停止</v>
      </c>
      <c r="K53" s="30" t="n">
        <v>60</v>
      </c>
      <c r="L53" s="30" t="n">
        <v>60</v>
      </c>
      <c r="M53" s="30" t="str">
        <f aca="false">IF(K53&lt;判定条件!$C$6,"判定不能",IF(L53&gt;=判定条件!$C$7*K53,"運転",IF(L53&lt;=判定条件!$C$8*K53,"停止","断続")))</f>
        <v>運転</v>
      </c>
      <c r="N53" s="30" t="n">
        <v>60</v>
      </c>
      <c r="O53" s="30" t="n">
        <v>0</v>
      </c>
      <c r="P53" s="30" t="str">
        <f aca="false">IF(N53&lt;判定条件!$C$6,"判定不能",IF(O53&gt;=判定条件!$C$7*N53,"運転",IF(O53&lt;=判定条件!$C$8*N53,"停止","断続")))</f>
        <v>停止</v>
      </c>
      <c r="Q53" s="30" t="n">
        <v>60</v>
      </c>
      <c r="R53" s="30" t="n">
        <v>0</v>
      </c>
      <c r="S53" s="30" t="str">
        <f aca="false">IF(Q53&lt;判定条件!$C$6,"判定不能",IF(R53&gt;=判定条件!$C$7*Q53,"運転",IF(R53&lt;=判定条件!$C$8*Q53,"停止","断続")))</f>
        <v>停止</v>
      </c>
      <c r="T53" s="30" t="n">
        <v>60</v>
      </c>
      <c r="U53" s="30" t="n">
        <v>0</v>
      </c>
      <c r="V53" s="30" t="str">
        <f aca="false">IF(T53&lt;判定条件!$C$6,"判定不能",IF(U53&gt;=判定条件!$C$7*T53,"運転",IF(U53&lt;=判定条件!$C$8*T53,"停止","断続")))</f>
        <v>停止</v>
      </c>
      <c r="W53" s="30" t="n">
        <v>60</v>
      </c>
      <c r="X53" s="30" t="n">
        <v>0</v>
      </c>
      <c r="Y53" s="30" t="str">
        <f aca="false">IF(W53&lt;判定条件!$C$6,"判定不能",IF(X53&gt;=判定条件!$C$7*W53,"運転",IF(X53&lt;=判定条件!$C$8*W53,"停止","断続")))</f>
        <v>停止</v>
      </c>
      <c r="Z53" s="30" t="n">
        <v>60</v>
      </c>
      <c r="AA53" s="30" t="n">
        <v>0</v>
      </c>
      <c r="AB53" s="30" t="str">
        <f aca="false">IF(Z53&lt;判定条件!$C$6,"判定不能",IF(AA53&gt;=判定条件!$C$7*Z53,"運転",IF(AA53&lt;=判定条件!$C$8*Z53,"停止","断続")))</f>
        <v>停止</v>
      </c>
      <c r="AC53" s="30" t="n">
        <v>60</v>
      </c>
      <c r="AD53" s="30" t="n">
        <v>0</v>
      </c>
      <c r="AE53" s="30" t="str">
        <f aca="false">IF(AC53&lt;判定条件!$C$6,"判定不能",IF(AD53&gt;=判定条件!$C$7*AC53,"運転",IF(AD53&lt;=判定条件!$C$8*AC53,"停止","断続")))</f>
        <v>停止</v>
      </c>
      <c r="AF53" s="30" t="n">
        <v>60</v>
      </c>
      <c r="AG53" s="30" t="n">
        <v>0</v>
      </c>
      <c r="AH53" s="30" t="str">
        <f aca="false">IF(OR(P53="判定不能",G53="判定不能"),"判定不能",IF(AG53&gt;=判定条件!$C$9,"利用可",IF(AND(P53="停止",G53="停止"),"両方停止","運転がそろわない")))</f>
        <v>両方停止</v>
      </c>
      <c r="AI53" s="30" t="n">
        <v>60</v>
      </c>
      <c r="AJ53" s="30" t="n">
        <v>0</v>
      </c>
      <c r="AK53" s="30" t="str">
        <f aca="false">IF(OR(S53="判定不能",J53="判定不能"),"判定不能",IF(AJ53&gt;=判定条件!$C$9,"利用可",IF(AND(S53="停止",J53="停止"),"両方停止","運転がそろわない")))</f>
        <v>両方停止</v>
      </c>
      <c r="AL53" s="30" t="n">
        <v>60</v>
      </c>
      <c r="AM53" s="30" t="n">
        <v>0</v>
      </c>
      <c r="AN53" s="30" t="str">
        <f aca="false">IF(OR(V53="判定不能",M53="判定不能"),"判定不能",IF(AM53&gt;=判定条件!$C$9,"利用可",IF(AND(V53="停止",M53="停止"),"両方停止","運転がそろわない")))</f>
        <v>運転がそろわない</v>
      </c>
      <c r="AO53" s="30" t="n">
        <v>60</v>
      </c>
      <c r="AP53" s="30" t="n">
        <v>0</v>
      </c>
      <c r="AQ53" s="30" t="str">
        <f aca="false">IF(OR(Y53="判定不能",G53="判定不能"),"判定不能",IF(AP53&gt;=判定条件!$C$9,"利用可",IF(AND(Y53="停止",G53="停止"),"両方停止","運転がそろわない")))</f>
        <v>両方停止</v>
      </c>
      <c r="AR53" s="30" t="n">
        <v>60</v>
      </c>
      <c r="AS53" s="30" t="n">
        <v>0</v>
      </c>
      <c r="AT53" s="30" t="str">
        <f aca="false">IF(OR(AB53="判定不能",J53="判定不能"),"判定不能",IF(AS53&gt;=判定条件!$C$9,"利用可",IF(AND(AB53="停止",J53="停止"),"両方停止","運転がそろわない")))</f>
        <v>両方停止</v>
      </c>
      <c r="AU53" s="30" t="n">
        <v>60</v>
      </c>
      <c r="AV53" s="30" t="n">
        <v>0</v>
      </c>
      <c r="AW53" s="30" t="str">
        <f aca="false">IF(OR(AE53="判定不能",M53="判定不能"),"判定不能",IF(AV53&gt;=判定条件!$C$9,"利用可",IF(AND(AE53="停止",M53="停止"),"両方停止","運転がそろわない")))</f>
        <v>運転がそろわない</v>
      </c>
      <c r="AX53" s="30" t="str">
        <f aca="false">IF(AND(AH53="利用可",AK53="利用可",AN53="利用可"),"利用可","不可")</f>
        <v>不可</v>
      </c>
      <c r="AY53" s="30" t="str">
        <f aca="false">IF(AND(AQ53="利用可",AT53="利用可",AW53="利用可"),"利用可","不可")</f>
        <v>不可</v>
      </c>
    </row>
    <row r="54" customFormat="false" ht="15" hidden="false" customHeight="false" outlineLevel="0" collapsed="false">
      <c r="A54" s="29" t="n">
        <v>46234</v>
      </c>
      <c r="B54" s="30" t="n">
        <v>3</v>
      </c>
      <c r="C54" s="31" t="s">
        <v>62</v>
      </c>
      <c r="D54" s="31" t="s">
        <v>59</v>
      </c>
      <c r="E54" s="30" t="n">
        <v>60</v>
      </c>
      <c r="F54" s="30" t="n">
        <v>0</v>
      </c>
      <c r="G54" s="30" t="str">
        <f aca="false">IF(E54&lt;判定条件!$C$6,"判定不能",IF(F54&gt;=判定条件!$C$7*E54,"運転",IF(F54&lt;=判定条件!$C$8*E54,"停止","断続")))</f>
        <v>停止</v>
      </c>
      <c r="H54" s="30" t="n">
        <v>60</v>
      </c>
      <c r="I54" s="30" t="n">
        <v>0</v>
      </c>
      <c r="J54" s="30" t="str">
        <f aca="false">IF(H54&lt;判定条件!$C$6,"判定不能",IF(I54&gt;=判定条件!$C$7*H54,"運転",IF(I54&lt;=判定条件!$C$8*H54,"停止","断続")))</f>
        <v>停止</v>
      </c>
      <c r="K54" s="30" t="n">
        <v>60</v>
      </c>
      <c r="L54" s="30" t="n">
        <v>60</v>
      </c>
      <c r="M54" s="30" t="str">
        <f aca="false">IF(K54&lt;判定条件!$C$6,"判定不能",IF(L54&gt;=判定条件!$C$7*K54,"運転",IF(L54&lt;=判定条件!$C$8*K54,"停止","断続")))</f>
        <v>運転</v>
      </c>
      <c r="N54" s="30" t="n">
        <v>60</v>
      </c>
      <c r="O54" s="30" t="n">
        <v>0</v>
      </c>
      <c r="P54" s="30" t="str">
        <f aca="false">IF(N54&lt;判定条件!$C$6,"判定不能",IF(O54&gt;=判定条件!$C$7*N54,"運転",IF(O54&lt;=判定条件!$C$8*N54,"停止","断続")))</f>
        <v>停止</v>
      </c>
      <c r="Q54" s="30" t="n">
        <v>60</v>
      </c>
      <c r="R54" s="30" t="n">
        <v>0</v>
      </c>
      <c r="S54" s="30" t="str">
        <f aca="false">IF(Q54&lt;判定条件!$C$6,"判定不能",IF(R54&gt;=判定条件!$C$7*Q54,"運転",IF(R54&lt;=判定条件!$C$8*Q54,"停止","断続")))</f>
        <v>停止</v>
      </c>
      <c r="T54" s="30" t="n">
        <v>60</v>
      </c>
      <c r="U54" s="30" t="n">
        <v>0</v>
      </c>
      <c r="V54" s="30" t="str">
        <f aca="false">IF(T54&lt;判定条件!$C$6,"判定不能",IF(U54&gt;=判定条件!$C$7*T54,"運転",IF(U54&lt;=判定条件!$C$8*T54,"停止","断続")))</f>
        <v>停止</v>
      </c>
      <c r="W54" s="30" t="n">
        <v>60</v>
      </c>
      <c r="X54" s="30" t="n">
        <v>0</v>
      </c>
      <c r="Y54" s="30" t="str">
        <f aca="false">IF(W54&lt;判定条件!$C$6,"判定不能",IF(X54&gt;=判定条件!$C$7*W54,"運転",IF(X54&lt;=判定条件!$C$8*W54,"停止","断続")))</f>
        <v>停止</v>
      </c>
      <c r="Z54" s="30" t="n">
        <v>60</v>
      </c>
      <c r="AA54" s="30" t="n">
        <v>0</v>
      </c>
      <c r="AB54" s="30" t="str">
        <f aca="false">IF(Z54&lt;判定条件!$C$6,"判定不能",IF(AA54&gt;=判定条件!$C$7*Z54,"運転",IF(AA54&lt;=判定条件!$C$8*Z54,"停止","断続")))</f>
        <v>停止</v>
      </c>
      <c r="AC54" s="30" t="n">
        <v>60</v>
      </c>
      <c r="AD54" s="30" t="n">
        <v>0</v>
      </c>
      <c r="AE54" s="30" t="str">
        <f aca="false">IF(AC54&lt;判定条件!$C$6,"判定不能",IF(AD54&gt;=判定条件!$C$7*AC54,"運転",IF(AD54&lt;=判定条件!$C$8*AC54,"停止","断続")))</f>
        <v>停止</v>
      </c>
      <c r="AF54" s="30" t="n">
        <v>60</v>
      </c>
      <c r="AG54" s="30" t="n">
        <v>0</v>
      </c>
      <c r="AH54" s="30" t="str">
        <f aca="false">IF(OR(P54="判定不能",G54="判定不能"),"判定不能",IF(AG54&gt;=判定条件!$C$9,"利用可",IF(AND(P54="停止",G54="停止"),"両方停止","運転がそろわない")))</f>
        <v>両方停止</v>
      </c>
      <c r="AI54" s="30" t="n">
        <v>60</v>
      </c>
      <c r="AJ54" s="30" t="n">
        <v>0</v>
      </c>
      <c r="AK54" s="30" t="str">
        <f aca="false">IF(OR(S54="判定不能",J54="判定不能"),"判定不能",IF(AJ54&gt;=判定条件!$C$9,"利用可",IF(AND(S54="停止",J54="停止"),"両方停止","運転がそろわない")))</f>
        <v>両方停止</v>
      </c>
      <c r="AL54" s="30" t="n">
        <v>60</v>
      </c>
      <c r="AM54" s="30" t="n">
        <v>0</v>
      </c>
      <c r="AN54" s="30" t="str">
        <f aca="false">IF(OR(V54="判定不能",M54="判定不能"),"判定不能",IF(AM54&gt;=判定条件!$C$9,"利用可",IF(AND(V54="停止",M54="停止"),"両方停止","運転がそろわない")))</f>
        <v>運転がそろわない</v>
      </c>
      <c r="AO54" s="30" t="n">
        <v>60</v>
      </c>
      <c r="AP54" s="30" t="n">
        <v>0</v>
      </c>
      <c r="AQ54" s="30" t="str">
        <f aca="false">IF(OR(Y54="判定不能",G54="判定不能"),"判定不能",IF(AP54&gt;=判定条件!$C$9,"利用可",IF(AND(Y54="停止",G54="停止"),"両方停止","運転がそろわない")))</f>
        <v>両方停止</v>
      </c>
      <c r="AR54" s="30" t="n">
        <v>60</v>
      </c>
      <c r="AS54" s="30" t="n">
        <v>0</v>
      </c>
      <c r="AT54" s="30" t="str">
        <f aca="false">IF(OR(AB54="判定不能",J54="判定不能"),"判定不能",IF(AS54&gt;=判定条件!$C$9,"利用可",IF(AND(AB54="停止",J54="停止"),"両方停止","運転がそろわない")))</f>
        <v>両方停止</v>
      </c>
      <c r="AU54" s="30" t="n">
        <v>60</v>
      </c>
      <c r="AV54" s="30" t="n">
        <v>0</v>
      </c>
      <c r="AW54" s="30" t="str">
        <f aca="false">IF(OR(AE54="判定不能",M54="判定不能"),"判定不能",IF(AV54&gt;=判定条件!$C$9,"利用可",IF(AND(AE54="停止",M54="停止"),"両方停止","運転がそろわない")))</f>
        <v>運転がそろわない</v>
      </c>
      <c r="AX54" s="30" t="str">
        <f aca="false">IF(AND(AH54="利用可",AK54="利用可",AN54="利用可"),"利用可","不可")</f>
        <v>不可</v>
      </c>
      <c r="AY54" s="30" t="str">
        <f aca="false">IF(AND(AQ54="利用可",AT54="利用可",AW54="利用可"),"利用可","不可")</f>
        <v>不可</v>
      </c>
    </row>
    <row r="55" customFormat="false" ht="15" hidden="false" customHeight="false" outlineLevel="0" collapsed="false">
      <c r="A55" s="29" t="n">
        <v>46234</v>
      </c>
      <c r="B55" s="30" t="n">
        <v>4</v>
      </c>
      <c r="C55" s="31" t="s">
        <v>62</v>
      </c>
      <c r="D55" s="31" t="s">
        <v>59</v>
      </c>
      <c r="E55" s="30" t="n">
        <v>60</v>
      </c>
      <c r="F55" s="30" t="n">
        <v>0</v>
      </c>
      <c r="G55" s="30" t="str">
        <f aca="false">IF(E55&lt;判定条件!$C$6,"判定不能",IF(F55&gt;=判定条件!$C$7*E55,"運転",IF(F55&lt;=判定条件!$C$8*E55,"停止","断続")))</f>
        <v>停止</v>
      </c>
      <c r="H55" s="30" t="n">
        <v>60</v>
      </c>
      <c r="I55" s="30" t="n">
        <v>0</v>
      </c>
      <c r="J55" s="30" t="str">
        <f aca="false">IF(H55&lt;判定条件!$C$6,"判定不能",IF(I55&gt;=判定条件!$C$7*H55,"運転",IF(I55&lt;=判定条件!$C$8*H55,"停止","断続")))</f>
        <v>停止</v>
      </c>
      <c r="K55" s="30" t="n">
        <v>60</v>
      </c>
      <c r="L55" s="30" t="n">
        <v>60</v>
      </c>
      <c r="M55" s="30" t="str">
        <f aca="false">IF(K55&lt;判定条件!$C$6,"判定不能",IF(L55&gt;=判定条件!$C$7*K55,"運転",IF(L55&lt;=判定条件!$C$8*K55,"停止","断続")))</f>
        <v>運転</v>
      </c>
      <c r="N55" s="30" t="n">
        <v>60</v>
      </c>
      <c r="O55" s="30" t="n">
        <v>0</v>
      </c>
      <c r="P55" s="30" t="str">
        <f aca="false">IF(N55&lt;判定条件!$C$6,"判定不能",IF(O55&gt;=判定条件!$C$7*N55,"運転",IF(O55&lt;=判定条件!$C$8*N55,"停止","断続")))</f>
        <v>停止</v>
      </c>
      <c r="Q55" s="30" t="n">
        <v>60</v>
      </c>
      <c r="R55" s="30" t="n">
        <v>0</v>
      </c>
      <c r="S55" s="30" t="str">
        <f aca="false">IF(Q55&lt;判定条件!$C$6,"判定不能",IF(R55&gt;=判定条件!$C$7*Q55,"運転",IF(R55&lt;=判定条件!$C$8*Q55,"停止","断続")))</f>
        <v>停止</v>
      </c>
      <c r="T55" s="30" t="n">
        <v>60</v>
      </c>
      <c r="U55" s="30" t="n">
        <v>0</v>
      </c>
      <c r="V55" s="30" t="str">
        <f aca="false">IF(T55&lt;判定条件!$C$6,"判定不能",IF(U55&gt;=判定条件!$C$7*T55,"運転",IF(U55&lt;=判定条件!$C$8*T55,"停止","断続")))</f>
        <v>停止</v>
      </c>
      <c r="W55" s="30" t="n">
        <v>60</v>
      </c>
      <c r="X55" s="30" t="n">
        <v>0</v>
      </c>
      <c r="Y55" s="30" t="str">
        <f aca="false">IF(W55&lt;判定条件!$C$6,"判定不能",IF(X55&gt;=判定条件!$C$7*W55,"運転",IF(X55&lt;=判定条件!$C$8*W55,"停止","断続")))</f>
        <v>停止</v>
      </c>
      <c r="Z55" s="30" t="n">
        <v>60</v>
      </c>
      <c r="AA55" s="30" t="n">
        <v>0</v>
      </c>
      <c r="AB55" s="30" t="str">
        <f aca="false">IF(Z55&lt;判定条件!$C$6,"判定不能",IF(AA55&gt;=判定条件!$C$7*Z55,"運転",IF(AA55&lt;=判定条件!$C$8*Z55,"停止","断続")))</f>
        <v>停止</v>
      </c>
      <c r="AC55" s="30" t="n">
        <v>60</v>
      </c>
      <c r="AD55" s="30" t="n">
        <v>0</v>
      </c>
      <c r="AE55" s="30" t="str">
        <f aca="false">IF(AC55&lt;判定条件!$C$6,"判定不能",IF(AD55&gt;=判定条件!$C$7*AC55,"運転",IF(AD55&lt;=判定条件!$C$8*AC55,"停止","断続")))</f>
        <v>停止</v>
      </c>
      <c r="AF55" s="30" t="n">
        <v>60</v>
      </c>
      <c r="AG55" s="30" t="n">
        <v>0</v>
      </c>
      <c r="AH55" s="30" t="str">
        <f aca="false">IF(OR(P55="判定不能",G55="判定不能"),"判定不能",IF(AG55&gt;=判定条件!$C$9,"利用可",IF(AND(P55="停止",G55="停止"),"両方停止","運転がそろわない")))</f>
        <v>両方停止</v>
      </c>
      <c r="AI55" s="30" t="n">
        <v>60</v>
      </c>
      <c r="AJ55" s="30" t="n">
        <v>0</v>
      </c>
      <c r="AK55" s="30" t="str">
        <f aca="false">IF(OR(S55="判定不能",J55="判定不能"),"判定不能",IF(AJ55&gt;=判定条件!$C$9,"利用可",IF(AND(S55="停止",J55="停止"),"両方停止","運転がそろわない")))</f>
        <v>両方停止</v>
      </c>
      <c r="AL55" s="30" t="n">
        <v>60</v>
      </c>
      <c r="AM55" s="30" t="n">
        <v>0</v>
      </c>
      <c r="AN55" s="30" t="str">
        <f aca="false">IF(OR(V55="判定不能",M55="判定不能"),"判定不能",IF(AM55&gt;=判定条件!$C$9,"利用可",IF(AND(V55="停止",M55="停止"),"両方停止","運転がそろわない")))</f>
        <v>運転がそろわない</v>
      </c>
      <c r="AO55" s="30" t="n">
        <v>60</v>
      </c>
      <c r="AP55" s="30" t="n">
        <v>0</v>
      </c>
      <c r="AQ55" s="30" t="str">
        <f aca="false">IF(OR(Y55="判定不能",G55="判定不能"),"判定不能",IF(AP55&gt;=判定条件!$C$9,"利用可",IF(AND(Y55="停止",G55="停止"),"両方停止","運転がそろわない")))</f>
        <v>両方停止</v>
      </c>
      <c r="AR55" s="30" t="n">
        <v>60</v>
      </c>
      <c r="AS55" s="30" t="n">
        <v>0</v>
      </c>
      <c r="AT55" s="30" t="str">
        <f aca="false">IF(OR(AB55="判定不能",J55="判定不能"),"判定不能",IF(AS55&gt;=判定条件!$C$9,"利用可",IF(AND(AB55="停止",J55="停止"),"両方停止","運転がそろわない")))</f>
        <v>両方停止</v>
      </c>
      <c r="AU55" s="30" t="n">
        <v>60</v>
      </c>
      <c r="AV55" s="30" t="n">
        <v>0</v>
      </c>
      <c r="AW55" s="30" t="str">
        <f aca="false">IF(OR(AE55="判定不能",M55="判定不能"),"判定不能",IF(AV55&gt;=判定条件!$C$9,"利用可",IF(AND(AE55="停止",M55="停止"),"両方停止","運転がそろわない")))</f>
        <v>運転がそろわない</v>
      </c>
      <c r="AX55" s="30" t="str">
        <f aca="false">IF(AND(AH55="利用可",AK55="利用可",AN55="利用可"),"利用可","不可")</f>
        <v>不可</v>
      </c>
      <c r="AY55" s="30" t="str">
        <f aca="false">IF(AND(AQ55="利用可",AT55="利用可",AW55="利用可"),"利用可","不可")</f>
        <v>不可</v>
      </c>
    </row>
    <row r="56" customFormat="false" ht="15" hidden="false" customHeight="false" outlineLevel="0" collapsed="false">
      <c r="A56" s="29" t="n">
        <v>46234</v>
      </c>
      <c r="B56" s="30" t="n">
        <v>5</v>
      </c>
      <c r="C56" s="31" t="s">
        <v>62</v>
      </c>
      <c r="D56" s="31" t="s">
        <v>59</v>
      </c>
      <c r="E56" s="30" t="n">
        <v>60</v>
      </c>
      <c r="F56" s="30" t="n">
        <v>0</v>
      </c>
      <c r="G56" s="30" t="str">
        <f aca="false">IF(E56&lt;判定条件!$C$6,"判定不能",IF(F56&gt;=判定条件!$C$7*E56,"運転",IF(F56&lt;=判定条件!$C$8*E56,"停止","断続")))</f>
        <v>停止</v>
      </c>
      <c r="H56" s="30" t="n">
        <v>60</v>
      </c>
      <c r="I56" s="30" t="n">
        <v>0</v>
      </c>
      <c r="J56" s="30" t="str">
        <f aca="false">IF(H56&lt;判定条件!$C$6,"判定不能",IF(I56&gt;=判定条件!$C$7*H56,"運転",IF(I56&lt;=判定条件!$C$8*H56,"停止","断続")))</f>
        <v>停止</v>
      </c>
      <c r="K56" s="30" t="n">
        <v>60</v>
      </c>
      <c r="L56" s="30" t="n">
        <v>60</v>
      </c>
      <c r="M56" s="30" t="str">
        <f aca="false">IF(K56&lt;判定条件!$C$6,"判定不能",IF(L56&gt;=判定条件!$C$7*K56,"運転",IF(L56&lt;=判定条件!$C$8*K56,"停止","断続")))</f>
        <v>運転</v>
      </c>
      <c r="N56" s="30" t="n">
        <v>60</v>
      </c>
      <c r="O56" s="30" t="n">
        <v>0</v>
      </c>
      <c r="P56" s="30" t="str">
        <f aca="false">IF(N56&lt;判定条件!$C$6,"判定不能",IF(O56&gt;=判定条件!$C$7*N56,"運転",IF(O56&lt;=判定条件!$C$8*N56,"停止","断続")))</f>
        <v>停止</v>
      </c>
      <c r="Q56" s="30" t="n">
        <v>60</v>
      </c>
      <c r="R56" s="30" t="n">
        <v>0</v>
      </c>
      <c r="S56" s="30" t="str">
        <f aca="false">IF(Q56&lt;判定条件!$C$6,"判定不能",IF(R56&gt;=判定条件!$C$7*Q56,"運転",IF(R56&lt;=判定条件!$C$8*Q56,"停止","断続")))</f>
        <v>停止</v>
      </c>
      <c r="T56" s="30" t="n">
        <v>60</v>
      </c>
      <c r="U56" s="30" t="n">
        <v>0</v>
      </c>
      <c r="V56" s="30" t="str">
        <f aca="false">IF(T56&lt;判定条件!$C$6,"判定不能",IF(U56&gt;=判定条件!$C$7*T56,"運転",IF(U56&lt;=判定条件!$C$8*T56,"停止","断続")))</f>
        <v>停止</v>
      </c>
      <c r="W56" s="30" t="n">
        <v>60</v>
      </c>
      <c r="X56" s="30" t="n">
        <v>0</v>
      </c>
      <c r="Y56" s="30" t="str">
        <f aca="false">IF(W56&lt;判定条件!$C$6,"判定不能",IF(X56&gt;=判定条件!$C$7*W56,"運転",IF(X56&lt;=判定条件!$C$8*W56,"停止","断続")))</f>
        <v>停止</v>
      </c>
      <c r="Z56" s="30" t="n">
        <v>60</v>
      </c>
      <c r="AA56" s="30" t="n">
        <v>10</v>
      </c>
      <c r="AB56" s="30" t="str">
        <f aca="false">IF(Z56&lt;判定条件!$C$6,"判定不能",IF(AA56&gt;=判定条件!$C$7*Z56,"運転",IF(AA56&lt;=判定条件!$C$8*Z56,"停止","断続")))</f>
        <v>停止</v>
      </c>
      <c r="AC56" s="30" t="n">
        <v>60</v>
      </c>
      <c r="AD56" s="30" t="n">
        <v>10</v>
      </c>
      <c r="AE56" s="30" t="str">
        <f aca="false">IF(AC56&lt;判定条件!$C$6,"判定不能",IF(AD56&gt;=判定条件!$C$7*AC56,"運転",IF(AD56&lt;=判定条件!$C$8*AC56,"停止","断続")))</f>
        <v>停止</v>
      </c>
      <c r="AF56" s="30" t="n">
        <v>60</v>
      </c>
      <c r="AG56" s="30" t="n">
        <v>0</v>
      </c>
      <c r="AH56" s="30" t="str">
        <f aca="false">IF(OR(P56="判定不能",G56="判定不能"),"判定不能",IF(AG56&gt;=判定条件!$C$9,"利用可",IF(AND(P56="停止",G56="停止"),"両方停止","運転がそろわない")))</f>
        <v>両方停止</v>
      </c>
      <c r="AI56" s="30" t="n">
        <v>60</v>
      </c>
      <c r="AJ56" s="30" t="n">
        <v>0</v>
      </c>
      <c r="AK56" s="30" t="str">
        <f aca="false">IF(OR(S56="判定不能",J56="判定不能"),"判定不能",IF(AJ56&gt;=判定条件!$C$9,"利用可",IF(AND(S56="停止",J56="停止"),"両方停止","運転がそろわない")))</f>
        <v>両方停止</v>
      </c>
      <c r="AL56" s="30" t="n">
        <v>60</v>
      </c>
      <c r="AM56" s="30" t="n">
        <v>0</v>
      </c>
      <c r="AN56" s="30" t="str">
        <f aca="false">IF(OR(V56="判定不能",M56="判定不能"),"判定不能",IF(AM56&gt;=判定条件!$C$9,"利用可",IF(AND(V56="停止",M56="停止"),"両方停止","運転がそろわない")))</f>
        <v>運転がそろわない</v>
      </c>
      <c r="AO56" s="30" t="n">
        <v>60</v>
      </c>
      <c r="AP56" s="30" t="n">
        <v>0</v>
      </c>
      <c r="AQ56" s="30" t="str">
        <f aca="false">IF(OR(Y56="判定不能",G56="判定不能"),"判定不能",IF(AP56&gt;=判定条件!$C$9,"利用可",IF(AND(Y56="停止",G56="停止"),"両方停止","運転がそろわない")))</f>
        <v>両方停止</v>
      </c>
      <c r="AR56" s="30" t="n">
        <v>60</v>
      </c>
      <c r="AS56" s="30" t="n">
        <v>0</v>
      </c>
      <c r="AT56" s="30" t="str">
        <f aca="false">IF(OR(AB56="判定不能",J56="判定不能"),"判定不能",IF(AS56&gt;=判定条件!$C$9,"利用可",IF(AND(AB56="停止",J56="停止"),"両方停止","運転がそろわない")))</f>
        <v>両方停止</v>
      </c>
      <c r="AU56" s="30" t="n">
        <v>60</v>
      </c>
      <c r="AV56" s="30" t="n">
        <v>10</v>
      </c>
      <c r="AW56" s="30" t="str">
        <f aca="false">IF(OR(AE56="判定不能",M56="判定不能"),"判定不能",IF(AV56&gt;=判定条件!$C$9,"利用可",IF(AND(AE56="停止",M56="停止"),"両方停止","運転がそろわない")))</f>
        <v>運転がそろわない</v>
      </c>
      <c r="AX56" s="30" t="str">
        <f aca="false">IF(AND(AH56="利用可",AK56="利用可",AN56="利用可"),"利用可","不可")</f>
        <v>不可</v>
      </c>
      <c r="AY56" s="30" t="str">
        <f aca="false">IF(AND(AQ56="利用可",AT56="利用可",AW56="利用可"),"利用可","不可")</f>
        <v>不可</v>
      </c>
    </row>
    <row r="57" customFormat="false" ht="15" hidden="false" customHeight="false" outlineLevel="0" collapsed="false">
      <c r="A57" s="29" t="n">
        <v>46234</v>
      </c>
      <c r="B57" s="30" t="n">
        <v>6</v>
      </c>
      <c r="C57" s="31" t="s">
        <v>62</v>
      </c>
      <c r="D57" s="31" t="s">
        <v>59</v>
      </c>
      <c r="E57" s="30" t="n">
        <v>60</v>
      </c>
      <c r="F57" s="30" t="n">
        <v>0</v>
      </c>
      <c r="G57" s="30" t="str">
        <f aca="false">IF(E57&lt;判定条件!$C$6,"判定不能",IF(F57&gt;=判定条件!$C$7*E57,"運転",IF(F57&lt;=判定条件!$C$8*E57,"停止","断続")))</f>
        <v>停止</v>
      </c>
      <c r="H57" s="30" t="n">
        <v>60</v>
      </c>
      <c r="I57" s="30" t="n">
        <v>0</v>
      </c>
      <c r="J57" s="30" t="str">
        <f aca="false">IF(H57&lt;判定条件!$C$6,"判定不能",IF(I57&gt;=判定条件!$C$7*H57,"運転",IF(I57&lt;=判定条件!$C$8*H57,"停止","断続")))</f>
        <v>停止</v>
      </c>
      <c r="K57" s="30" t="n">
        <v>60</v>
      </c>
      <c r="L57" s="30" t="n">
        <v>60</v>
      </c>
      <c r="M57" s="30" t="str">
        <f aca="false">IF(K57&lt;判定条件!$C$6,"判定不能",IF(L57&gt;=判定条件!$C$7*K57,"運転",IF(L57&lt;=判定条件!$C$8*K57,"停止","断続")))</f>
        <v>運転</v>
      </c>
      <c r="N57" s="30" t="n">
        <v>60</v>
      </c>
      <c r="O57" s="30" t="n">
        <v>8</v>
      </c>
      <c r="P57" s="30" t="str">
        <f aca="false">IF(N57&lt;判定条件!$C$6,"判定不能",IF(O57&gt;=判定条件!$C$7*N57,"運転",IF(O57&lt;=判定条件!$C$8*N57,"停止","断続")))</f>
        <v>停止</v>
      </c>
      <c r="Q57" s="30" t="n">
        <v>60</v>
      </c>
      <c r="R57" s="30" t="n">
        <v>7</v>
      </c>
      <c r="S57" s="30" t="str">
        <f aca="false">IF(Q57&lt;判定条件!$C$6,"判定不能",IF(R57&gt;=判定条件!$C$7*Q57,"運転",IF(R57&lt;=判定条件!$C$8*Q57,"停止","断続")))</f>
        <v>停止</v>
      </c>
      <c r="T57" s="30" t="n">
        <v>60</v>
      </c>
      <c r="U57" s="30" t="n">
        <v>7</v>
      </c>
      <c r="V57" s="30" t="str">
        <f aca="false">IF(T57&lt;判定条件!$C$6,"判定不能",IF(U57&gt;=判定条件!$C$7*T57,"運転",IF(U57&lt;=判定条件!$C$8*T57,"停止","断続")))</f>
        <v>停止</v>
      </c>
      <c r="W57" s="30" t="n">
        <v>60</v>
      </c>
      <c r="X57" s="30" t="n">
        <v>36</v>
      </c>
      <c r="Y57" s="30" t="str">
        <f aca="false">IF(W57&lt;判定条件!$C$6,"判定不能",IF(X57&gt;=判定条件!$C$7*W57,"運転",IF(X57&lt;=判定条件!$C$8*W57,"停止","断続")))</f>
        <v>断続</v>
      </c>
      <c r="Z57" s="30" t="n">
        <v>60</v>
      </c>
      <c r="AA57" s="30" t="n">
        <v>60</v>
      </c>
      <c r="AB57" s="30" t="str">
        <f aca="false">IF(Z57&lt;判定条件!$C$6,"判定不能",IF(AA57&gt;=判定条件!$C$7*Z57,"運転",IF(AA57&lt;=判定条件!$C$8*Z57,"停止","断続")))</f>
        <v>運転</v>
      </c>
      <c r="AC57" s="30" t="n">
        <v>60</v>
      </c>
      <c r="AD57" s="30" t="n">
        <v>60</v>
      </c>
      <c r="AE57" s="30" t="str">
        <f aca="false">IF(AC57&lt;判定条件!$C$6,"判定不能",IF(AD57&gt;=判定条件!$C$7*AC57,"運転",IF(AD57&lt;=判定条件!$C$8*AC57,"停止","断続")))</f>
        <v>運転</v>
      </c>
      <c r="AF57" s="30" t="n">
        <v>60</v>
      </c>
      <c r="AG57" s="30" t="n">
        <v>0</v>
      </c>
      <c r="AH57" s="30" t="str">
        <f aca="false">IF(OR(P57="判定不能",G57="判定不能"),"判定不能",IF(AG57&gt;=判定条件!$C$9,"利用可",IF(AND(P57="停止",G57="停止"),"両方停止","運転がそろわない")))</f>
        <v>両方停止</v>
      </c>
      <c r="AI57" s="30" t="n">
        <v>60</v>
      </c>
      <c r="AJ57" s="30" t="n">
        <v>0</v>
      </c>
      <c r="AK57" s="30" t="str">
        <f aca="false">IF(OR(S57="判定不能",J57="判定不能"),"判定不能",IF(AJ57&gt;=判定条件!$C$9,"利用可",IF(AND(S57="停止",J57="停止"),"両方停止","運転がそろわない")))</f>
        <v>両方停止</v>
      </c>
      <c r="AL57" s="30" t="n">
        <v>60</v>
      </c>
      <c r="AM57" s="30" t="n">
        <v>7</v>
      </c>
      <c r="AN57" s="30" t="str">
        <f aca="false">IF(OR(V57="判定不能",M57="判定不能"),"判定不能",IF(AM57&gt;=判定条件!$C$9,"利用可",IF(AND(V57="停止",M57="停止"),"両方停止","運転がそろわない")))</f>
        <v>運転がそろわない</v>
      </c>
      <c r="AO57" s="30" t="n">
        <v>60</v>
      </c>
      <c r="AP57" s="30" t="n">
        <v>0</v>
      </c>
      <c r="AQ57" s="30" t="str">
        <f aca="false">IF(OR(Y57="判定不能",G57="判定不能"),"判定不能",IF(AP57&gt;=判定条件!$C$9,"利用可",IF(AND(Y57="停止",G57="停止"),"両方停止","運転がそろわない")))</f>
        <v>運転がそろわない</v>
      </c>
      <c r="AR57" s="30" t="n">
        <v>60</v>
      </c>
      <c r="AS57" s="30" t="n">
        <v>0</v>
      </c>
      <c r="AT57" s="30" t="str">
        <f aca="false">IF(OR(AB57="判定不能",J57="判定不能"),"判定不能",IF(AS57&gt;=判定条件!$C$9,"利用可",IF(AND(AB57="停止",J57="停止"),"両方停止","運転がそろわない")))</f>
        <v>運転がそろわない</v>
      </c>
      <c r="AU57" s="30" t="n">
        <v>60</v>
      </c>
      <c r="AV57" s="30" t="n">
        <v>60</v>
      </c>
      <c r="AW57" s="30" t="str">
        <f aca="false">IF(OR(AE57="判定不能",M57="判定不能"),"判定不能",IF(AV57&gt;=判定条件!$C$9,"利用可",IF(AND(AE57="停止",M57="停止"),"両方停止","運転がそろわない")))</f>
        <v>利用可</v>
      </c>
      <c r="AX57" s="30" t="str">
        <f aca="false">IF(AND(AH57="利用可",AK57="利用可",AN57="利用可"),"利用可","不可")</f>
        <v>不可</v>
      </c>
      <c r="AY57" s="30" t="str">
        <f aca="false">IF(AND(AQ57="利用可",AT57="利用可",AW57="利用可"),"利用可","不可")</f>
        <v>不可</v>
      </c>
    </row>
    <row r="58" customFormat="false" ht="15" hidden="false" customHeight="false" outlineLevel="0" collapsed="false">
      <c r="A58" s="29" t="n">
        <v>46234</v>
      </c>
      <c r="B58" s="30" t="n">
        <v>7</v>
      </c>
      <c r="C58" s="31" t="s">
        <v>62</v>
      </c>
      <c r="D58" s="31" t="s">
        <v>59</v>
      </c>
      <c r="E58" s="30" t="n">
        <v>60</v>
      </c>
      <c r="F58" s="30" t="n">
        <v>0</v>
      </c>
      <c r="G58" s="30" t="str">
        <f aca="false">IF(E58&lt;判定条件!$C$6,"判定不能",IF(F58&gt;=判定条件!$C$7*E58,"運転",IF(F58&lt;=判定条件!$C$8*E58,"停止","断続")))</f>
        <v>停止</v>
      </c>
      <c r="H58" s="30" t="n">
        <v>60</v>
      </c>
      <c r="I58" s="30" t="n">
        <v>0</v>
      </c>
      <c r="J58" s="30" t="str">
        <f aca="false">IF(H58&lt;判定条件!$C$6,"判定不能",IF(I58&gt;=判定条件!$C$7*H58,"運転",IF(I58&lt;=判定条件!$C$8*H58,"停止","断続")))</f>
        <v>停止</v>
      </c>
      <c r="K58" s="30" t="n">
        <v>60</v>
      </c>
      <c r="L58" s="30" t="n">
        <v>60</v>
      </c>
      <c r="M58" s="30" t="str">
        <f aca="false">IF(K58&lt;判定条件!$C$6,"判定不能",IF(L58&gt;=判定条件!$C$7*K58,"運転",IF(L58&lt;=判定条件!$C$8*K58,"停止","断続")))</f>
        <v>運転</v>
      </c>
      <c r="N58" s="30" t="n">
        <v>60</v>
      </c>
      <c r="O58" s="30" t="n">
        <v>60</v>
      </c>
      <c r="P58" s="30" t="str">
        <f aca="false">IF(N58&lt;判定条件!$C$6,"判定不能",IF(O58&gt;=判定条件!$C$7*N58,"運転",IF(O58&lt;=判定条件!$C$8*N58,"停止","断続")))</f>
        <v>運転</v>
      </c>
      <c r="Q58" s="30" t="n">
        <v>60</v>
      </c>
      <c r="R58" s="30" t="n">
        <v>60</v>
      </c>
      <c r="S58" s="30" t="str">
        <f aca="false">IF(Q58&lt;判定条件!$C$6,"判定不能",IF(R58&gt;=判定条件!$C$7*Q58,"運転",IF(R58&lt;=判定条件!$C$8*Q58,"停止","断続")))</f>
        <v>運転</v>
      </c>
      <c r="T58" s="30" t="n">
        <v>60</v>
      </c>
      <c r="U58" s="30" t="n">
        <v>44</v>
      </c>
      <c r="V58" s="30" t="str">
        <f aca="false">IF(T58&lt;判定条件!$C$6,"判定不能",IF(U58&gt;=判定条件!$C$7*T58,"運転",IF(U58&lt;=判定条件!$C$8*T58,"停止","断続")))</f>
        <v>断続</v>
      </c>
      <c r="W58" s="30" t="n">
        <v>60</v>
      </c>
      <c r="X58" s="30" t="n">
        <v>60</v>
      </c>
      <c r="Y58" s="30" t="str">
        <f aca="false">IF(W58&lt;判定条件!$C$6,"判定不能",IF(X58&gt;=判定条件!$C$7*W58,"運転",IF(X58&lt;=判定条件!$C$8*W58,"停止","断続")))</f>
        <v>運転</v>
      </c>
      <c r="Z58" s="30" t="n">
        <v>60</v>
      </c>
      <c r="AA58" s="30" t="n">
        <v>60</v>
      </c>
      <c r="AB58" s="30" t="str">
        <f aca="false">IF(Z58&lt;判定条件!$C$6,"判定不能",IF(AA58&gt;=判定条件!$C$7*Z58,"運転",IF(AA58&lt;=判定条件!$C$8*Z58,"停止","断続")))</f>
        <v>運転</v>
      </c>
      <c r="AC58" s="30" t="n">
        <v>60</v>
      </c>
      <c r="AD58" s="30" t="n">
        <v>60</v>
      </c>
      <c r="AE58" s="30" t="str">
        <f aca="false">IF(AC58&lt;判定条件!$C$6,"判定不能",IF(AD58&gt;=判定条件!$C$7*AC58,"運転",IF(AD58&lt;=判定条件!$C$8*AC58,"停止","断続")))</f>
        <v>運転</v>
      </c>
      <c r="AF58" s="30" t="n">
        <v>60</v>
      </c>
      <c r="AG58" s="30" t="n">
        <v>0</v>
      </c>
      <c r="AH58" s="30" t="str">
        <f aca="false">IF(OR(P58="判定不能",G58="判定不能"),"判定不能",IF(AG58&gt;=判定条件!$C$9,"利用可",IF(AND(P58="停止",G58="停止"),"両方停止","運転がそろわない")))</f>
        <v>運転がそろわない</v>
      </c>
      <c r="AI58" s="30" t="n">
        <v>60</v>
      </c>
      <c r="AJ58" s="30" t="n">
        <v>0</v>
      </c>
      <c r="AK58" s="30" t="str">
        <f aca="false">IF(OR(S58="判定不能",J58="判定不能"),"判定不能",IF(AJ58&gt;=判定条件!$C$9,"利用可",IF(AND(S58="停止",J58="停止"),"両方停止","運転がそろわない")))</f>
        <v>運転がそろわない</v>
      </c>
      <c r="AL58" s="30" t="n">
        <v>60</v>
      </c>
      <c r="AM58" s="30" t="n">
        <v>44</v>
      </c>
      <c r="AN58" s="30" t="str">
        <f aca="false">IF(OR(V58="判定不能",M58="判定不能"),"判定不能",IF(AM58&gt;=判定条件!$C$9,"利用可",IF(AND(V58="停止",M58="停止"),"両方停止","運転がそろわない")))</f>
        <v>利用可</v>
      </c>
      <c r="AO58" s="30" t="n">
        <v>60</v>
      </c>
      <c r="AP58" s="30" t="n">
        <v>0</v>
      </c>
      <c r="AQ58" s="30" t="str">
        <f aca="false">IF(OR(Y58="判定不能",G58="判定不能"),"判定不能",IF(AP58&gt;=判定条件!$C$9,"利用可",IF(AND(Y58="停止",G58="停止"),"両方停止","運転がそろわない")))</f>
        <v>運転がそろわない</v>
      </c>
      <c r="AR58" s="30" t="n">
        <v>60</v>
      </c>
      <c r="AS58" s="30" t="n">
        <v>0</v>
      </c>
      <c r="AT58" s="30" t="str">
        <f aca="false">IF(OR(AB58="判定不能",J58="判定不能"),"判定不能",IF(AS58&gt;=判定条件!$C$9,"利用可",IF(AND(AB58="停止",J58="停止"),"両方停止","運転がそろわない")))</f>
        <v>運転がそろわない</v>
      </c>
      <c r="AU58" s="30" t="n">
        <v>60</v>
      </c>
      <c r="AV58" s="30" t="n">
        <v>60</v>
      </c>
      <c r="AW58" s="30" t="str">
        <f aca="false">IF(OR(AE58="判定不能",M58="判定不能"),"判定不能",IF(AV58&gt;=判定条件!$C$9,"利用可",IF(AND(AE58="停止",M58="停止"),"両方停止","運転がそろわない")))</f>
        <v>利用可</v>
      </c>
      <c r="AX58" s="30" t="str">
        <f aca="false">IF(AND(AH58="利用可",AK58="利用可",AN58="利用可"),"利用可","不可")</f>
        <v>不可</v>
      </c>
      <c r="AY58" s="30" t="str">
        <f aca="false">IF(AND(AQ58="利用可",AT58="利用可",AW58="利用可"),"利用可","不可")</f>
        <v>不可</v>
      </c>
    </row>
    <row r="59" customFormat="false" ht="15" hidden="false" customHeight="false" outlineLevel="0" collapsed="false">
      <c r="A59" s="29" t="n">
        <v>46234</v>
      </c>
      <c r="B59" s="30" t="n">
        <v>8</v>
      </c>
      <c r="C59" s="31" t="s">
        <v>62</v>
      </c>
      <c r="D59" s="31" t="s">
        <v>59</v>
      </c>
      <c r="E59" s="30" t="n">
        <v>60</v>
      </c>
      <c r="F59" s="30" t="n">
        <v>5</v>
      </c>
      <c r="G59" s="30" t="str">
        <f aca="false">IF(E59&lt;判定条件!$C$6,"判定不能",IF(F59&gt;=判定条件!$C$7*E59,"運転",IF(F59&lt;=判定条件!$C$8*E59,"停止","断続")))</f>
        <v>停止</v>
      </c>
      <c r="H59" s="30" t="n">
        <v>60</v>
      </c>
      <c r="I59" s="30" t="n">
        <v>0</v>
      </c>
      <c r="J59" s="30" t="str">
        <f aca="false">IF(H59&lt;判定条件!$C$6,"判定不能",IF(I59&gt;=判定条件!$C$7*H59,"運転",IF(I59&lt;=判定条件!$C$8*H59,"停止","断続")))</f>
        <v>停止</v>
      </c>
      <c r="K59" s="30" t="n">
        <v>60</v>
      </c>
      <c r="L59" s="30" t="n">
        <v>60</v>
      </c>
      <c r="M59" s="30" t="str">
        <f aca="false">IF(K59&lt;判定条件!$C$6,"判定不能",IF(L59&gt;=判定条件!$C$7*K59,"運転",IF(L59&lt;=判定条件!$C$8*K59,"停止","断続")))</f>
        <v>運転</v>
      </c>
      <c r="N59" s="30" t="n">
        <v>60</v>
      </c>
      <c r="O59" s="30" t="n">
        <v>53</v>
      </c>
      <c r="P59" s="30" t="str">
        <f aca="false">IF(N59&lt;判定条件!$C$6,"判定不能",IF(O59&gt;=判定条件!$C$7*N59,"運転",IF(O59&lt;=判定条件!$C$8*N59,"停止","断続")))</f>
        <v>運転</v>
      </c>
      <c r="Q59" s="30" t="n">
        <v>60</v>
      </c>
      <c r="R59" s="30" t="n">
        <v>55</v>
      </c>
      <c r="S59" s="30" t="str">
        <f aca="false">IF(Q59&lt;判定条件!$C$6,"判定不能",IF(R59&gt;=判定条件!$C$7*Q59,"運転",IF(R59&lt;=判定条件!$C$8*Q59,"停止","断続")))</f>
        <v>運転</v>
      </c>
      <c r="T59" s="30" t="n">
        <v>60</v>
      </c>
      <c r="U59" s="30" t="n">
        <v>60</v>
      </c>
      <c r="V59" s="30" t="str">
        <f aca="false">IF(T59&lt;判定条件!$C$6,"判定不能",IF(U59&gt;=判定条件!$C$7*T59,"運転",IF(U59&lt;=判定条件!$C$8*T59,"停止","断続")))</f>
        <v>運転</v>
      </c>
      <c r="W59" s="30" t="n">
        <v>60</v>
      </c>
      <c r="X59" s="30" t="n">
        <v>47</v>
      </c>
      <c r="Y59" s="30" t="str">
        <f aca="false">IF(W59&lt;判定条件!$C$6,"判定不能",IF(X59&gt;=判定条件!$C$7*W59,"運転",IF(X59&lt;=判定条件!$C$8*W59,"停止","断続")))</f>
        <v>断続</v>
      </c>
      <c r="Z59" s="30" t="n">
        <v>60</v>
      </c>
      <c r="AA59" s="30" t="n">
        <v>54</v>
      </c>
      <c r="AB59" s="30" t="str">
        <f aca="false">IF(Z59&lt;判定条件!$C$6,"判定不能",IF(AA59&gt;=判定条件!$C$7*Z59,"運転",IF(AA59&lt;=判定条件!$C$8*Z59,"停止","断続")))</f>
        <v>運転</v>
      </c>
      <c r="AC59" s="30" t="n">
        <v>60</v>
      </c>
      <c r="AD59" s="30" t="n">
        <v>60</v>
      </c>
      <c r="AE59" s="30" t="str">
        <f aca="false">IF(AC59&lt;判定条件!$C$6,"判定不能",IF(AD59&gt;=判定条件!$C$7*AC59,"運転",IF(AD59&lt;=判定条件!$C$8*AC59,"停止","断続")))</f>
        <v>運転</v>
      </c>
      <c r="AF59" s="30" t="n">
        <v>60</v>
      </c>
      <c r="AG59" s="30" t="n">
        <v>5</v>
      </c>
      <c r="AH59" s="30" t="str">
        <f aca="false">IF(OR(P59="判定不能",G59="判定不能"),"判定不能",IF(AG59&gt;=判定条件!$C$9,"利用可",IF(AND(P59="停止",G59="停止"),"両方停止","運転がそろわない")))</f>
        <v>運転がそろわない</v>
      </c>
      <c r="AI59" s="30" t="n">
        <v>60</v>
      </c>
      <c r="AJ59" s="30" t="n">
        <v>0</v>
      </c>
      <c r="AK59" s="30" t="str">
        <f aca="false">IF(OR(S59="判定不能",J59="判定不能"),"判定不能",IF(AJ59&gt;=判定条件!$C$9,"利用可",IF(AND(S59="停止",J59="停止"),"両方停止","運転がそろわない")))</f>
        <v>運転がそろわない</v>
      </c>
      <c r="AL59" s="30" t="n">
        <v>60</v>
      </c>
      <c r="AM59" s="30" t="n">
        <v>60</v>
      </c>
      <c r="AN59" s="30" t="str">
        <f aca="false">IF(OR(V59="判定不能",M59="判定不能"),"判定不能",IF(AM59&gt;=判定条件!$C$9,"利用可",IF(AND(V59="停止",M59="停止"),"両方停止","運転がそろわない")))</f>
        <v>利用可</v>
      </c>
      <c r="AO59" s="30" t="n">
        <v>60</v>
      </c>
      <c r="AP59" s="30" t="n">
        <v>5</v>
      </c>
      <c r="AQ59" s="30" t="str">
        <f aca="false">IF(OR(Y59="判定不能",G59="判定不能"),"判定不能",IF(AP59&gt;=判定条件!$C$9,"利用可",IF(AND(Y59="停止",G59="停止"),"両方停止","運転がそろわない")))</f>
        <v>運転がそろわない</v>
      </c>
      <c r="AR59" s="30" t="n">
        <v>60</v>
      </c>
      <c r="AS59" s="30" t="n">
        <v>0</v>
      </c>
      <c r="AT59" s="30" t="str">
        <f aca="false">IF(OR(AB59="判定不能",J59="判定不能"),"判定不能",IF(AS59&gt;=判定条件!$C$9,"利用可",IF(AND(AB59="停止",J59="停止"),"両方停止","運転がそろわない")))</f>
        <v>運転がそろわない</v>
      </c>
      <c r="AU59" s="30" t="n">
        <v>60</v>
      </c>
      <c r="AV59" s="30" t="n">
        <v>60</v>
      </c>
      <c r="AW59" s="30" t="str">
        <f aca="false">IF(OR(AE59="判定不能",M59="判定不能"),"判定不能",IF(AV59&gt;=判定条件!$C$9,"利用可",IF(AND(AE59="停止",M59="停止"),"両方停止","運転がそろわない")))</f>
        <v>利用可</v>
      </c>
      <c r="AX59" s="30" t="str">
        <f aca="false">IF(AND(AH59="利用可",AK59="利用可",AN59="利用可"),"利用可","不可")</f>
        <v>不可</v>
      </c>
      <c r="AY59" s="30" t="str">
        <f aca="false">IF(AND(AQ59="利用可",AT59="利用可",AW59="利用可"),"利用可","不可")</f>
        <v>不可</v>
      </c>
    </row>
    <row r="60" customFormat="false" ht="15" hidden="false" customHeight="false" outlineLevel="0" collapsed="false">
      <c r="A60" s="29" t="n">
        <v>46234</v>
      </c>
      <c r="B60" s="30" t="n">
        <v>9</v>
      </c>
      <c r="C60" s="31" t="s">
        <v>62</v>
      </c>
      <c r="D60" s="31" t="s">
        <v>59</v>
      </c>
      <c r="E60" s="30" t="n">
        <v>60</v>
      </c>
      <c r="F60" s="30" t="n">
        <v>51</v>
      </c>
      <c r="G60" s="30" t="str">
        <f aca="false">IF(E60&lt;判定条件!$C$6,"判定不能",IF(F60&gt;=判定条件!$C$7*E60,"運転",IF(F60&lt;=判定条件!$C$8*E60,"停止","断続")))</f>
        <v>運転</v>
      </c>
      <c r="H60" s="30" t="n">
        <v>60</v>
      </c>
      <c r="I60" s="30" t="n">
        <v>50</v>
      </c>
      <c r="J60" s="30" t="str">
        <f aca="false">IF(H60&lt;判定条件!$C$6,"判定不能",IF(I60&gt;=判定条件!$C$7*H60,"運転",IF(I60&lt;=判定条件!$C$8*H60,"停止","断続")))</f>
        <v>運転</v>
      </c>
      <c r="K60" s="30" t="n">
        <v>60</v>
      </c>
      <c r="L60" s="30" t="n">
        <v>60</v>
      </c>
      <c r="M60" s="30" t="str">
        <f aca="false">IF(K60&lt;判定条件!$C$6,"判定不能",IF(L60&gt;=判定条件!$C$7*K60,"運転",IF(L60&lt;=判定条件!$C$8*K60,"停止","断続")))</f>
        <v>運転</v>
      </c>
      <c r="N60" s="30" t="n">
        <v>60</v>
      </c>
      <c r="O60" s="30" t="n">
        <v>42</v>
      </c>
      <c r="P60" s="30" t="str">
        <f aca="false">IF(N60&lt;判定条件!$C$6,"判定不能",IF(O60&gt;=判定条件!$C$7*N60,"運転",IF(O60&lt;=判定条件!$C$8*N60,"停止","断続")))</f>
        <v>断続</v>
      </c>
      <c r="Q60" s="30" t="n">
        <v>60</v>
      </c>
      <c r="R60" s="30" t="n">
        <v>60</v>
      </c>
      <c r="S60" s="30" t="str">
        <f aca="false">IF(Q60&lt;判定条件!$C$6,"判定不能",IF(R60&gt;=判定条件!$C$7*Q60,"運転",IF(R60&lt;=判定条件!$C$8*Q60,"停止","断続")))</f>
        <v>運転</v>
      </c>
      <c r="T60" s="30" t="n">
        <v>60</v>
      </c>
      <c r="U60" s="30" t="n">
        <v>51</v>
      </c>
      <c r="V60" s="30" t="str">
        <f aca="false">IF(T60&lt;判定条件!$C$6,"判定不能",IF(U60&gt;=判定条件!$C$7*T60,"運転",IF(U60&lt;=判定条件!$C$8*T60,"停止","断続")))</f>
        <v>運転</v>
      </c>
      <c r="W60" s="30" t="n">
        <v>60</v>
      </c>
      <c r="X60" s="30" t="n">
        <v>43</v>
      </c>
      <c r="Y60" s="30" t="str">
        <f aca="false">IF(W60&lt;判定条件!$C$6,"判定不能",IF(X60&gt;=判定条件!$C$7*W60,"運転",IF(X60&lt;=判定条件!$C$8*W60,"停止","断続")))</f>
        <v>断続</v>
      </c>
      <c r="Z60" s="30" t="n">
        <v>60</v>
      </c>
      <c r="AA60" s="30" t="n">
        <v>60</v>
      </c>
      <c r="AB60" s="30" t="str">
        <f aca="false">IF(Z60&lt;判定条件!$C$6,"判定不能",IF(AA60&gt;=判定条件!$C$7*Z60,"運転",IF(AA60&lt;=判定条件!$C$8*Z60,"停止","断続")))</f>
        <v>運転</v>
      </c>
      <c r="AC60" s="30" t="n">
        <v>60</v>
      </c>
      <c r="AD60" s="30" t="n">
        <v>60</v>
      </c>
      <c r="AE60" s="30" t="str">
        <f aca="false">IF(AC60&lt;判定条件!$C$6,"判定不能",IF(AD60&gt;=判定条件!$C$7*AC60,"運転",IF(AD60&lt;=判定条件!$C$8*AC60,"停止","断続")))</f>
        <v>運転</v>
      </c>
      <c r="AF60" s="30" t="n">
        <v>60</v>
      </c>
      <c r="AG60" s="30" t="n">
        <v>33</v>
      </c>
      <c r="AH60" s="30" t="str">
        <f aca="false">IF(OR(P60="判定不能",G60="判定不能"),"判定不能",IF(AG60&gt;=判定条件!$C$9,"利用可",IF(AND(P60="停止",G60="停止"),"両方停止","運転がそろわない")))</f>
        <v>利用可</v>
      </c>
      <c r="AI60" s="30" t="n">
        <v>60</v>
      </c>
      <c r="AJ60" s="30" t="n">
        <v>50</v>
      </c>
      <c r="AK60" s="30" t="str">
        <f aca="false">IF(OR(S60="判定不能",J60="判定不能"),"判定不能",IF(AJ60&gt;=判定条件!$C$9,"利用可",IF(AND(S60="停止",J60="停止"),"両方停止","運転がそろわない")))</f>
        <v>利用可</v>
      </c>
      <c r="AL60" s="30" t="n">
        <v>60</v>
      </c>
      <c r="AM60" s="30" t="n">
        <v>51</v>
      </c>
      <c r="AN60" s="30" t="str">
        <f aca="false">IF(OR(V60="判定不能",M60="判定不能"),"判定不能",IF(AM60&gt;=判定条件!$C$9,"利用可",IF(AND(V60="停止",M60="停止"),"両方停止","運転がそろわない")))</f>
        <v>利用可</v>
      </c>
      <c r="AO60" s="30" t="n">
        <v>60</v>
      </c>
      <c r="AP60" s="30" t="n">
        <v>34</v>
      </c>
      <c r="AQ60" s="30" t="str">
        <f aca="false">IF(OR(Y60="判定不能",G60="判定不能"),"判定不能",IF(AP60&gt;=判定条件!$C$9,"利用可",IF(AND(Y60="停止",G60="停止"),"両方停止","運転がそろわない")))</f>
        <v>利用可</v>
      </c>
      <c r="AR60" s="30" t="n">
        <v>60</v>
      </c>
      <c r="AS60" s="30" t="n">
        <v>50</v>
      </c>
      <c r="AT60" s="30" t="str">
        <f aca="false">IF(OR(AB60="判定不能",J60="判定不能"),"判定不能",IF(AS60&gt;=判定条件!$C$9,"利用可",IF(AND(AB60="停止",J60="停止"),"両方停止","運転がそろわない")))</f>
        <v>利用可</v>
      </c>
      <c r="AU60" s="30" t="n">
        <v>60</v>
      </c>
      <c r="AV60" s="30" t="n">
        <v>60</v>
      </c>
      <c r="AW60" s="30" t="str">
        <f aca="false">IF(OR(AE60="判定不能",M60="判定不能"),"判定不能",IF(AV60&gt;=判定条件!$C$9,"利用可",IF(AND(AE60="停止",M60="停止"),"両方停止","運転がそろわない")))</f>
        <v>利用可</v>
      </c>
      <c r="AX60" s="30" t="str">
        <f aca="false">IF(AND(AH60="利用可",AK60="利用可",AN60="利用可"),"利用可","不可")</f>
        <v>利用可</v>
      </c>
      <c r="AY60" s="30" t="str">
        <f aca="false">IF(AND(AQ60="利用可",AT60="利用可",AW60="利用可"),"利用可","不可")</f>
        <v>利用可</v>
      </c>
    </row>
    <row r="61" customFormat="false" ht="15" hidden="false" customHeight="false" outlineLevel="0" collapsed="false">
      <c r="A61" s="29" t="n">
        <v>46234</v>
      </c>
      <c r="B61" s="30" t="n">
        <v>10</v>
      </c>
      <c r="C61" s="31" t="s">
        <v>62</v>
      </c>
      <c r="D61" s="31" t="s">
        <v>59</v>
      </c>
      <c r="E61" s="30" t="n">
        <v>60</v>
      </c>
      <c r="F61" s="30" t="n">
        <v>60</v>
      </c>
      <c r="G61" s="30" t="str">
        <f aca="false">IF(E61&lt;判定条件!$C$6,"判定不能",IF(F61&gt;=判定条件!$C$7*E61,"運転",IF(F61&lt;=判定条件!$C$8*E61,"停止","断続")))</f>
        <v>運転</v>
      </c>
      <c r="H61" s="30" t="n">
        <v>60</v>
      </c>
      <c r="I61" s="30" t="n">
        <v>60</v>
      </c>
      <c r="J61" s="30" t="str">
        <f aca="false">IF(H61&lt;判定条件!$C$6,"判定不能",IF(I61&gt;=判定条件!$C$7*H61,"運転",IF(I61&lt;=判定条件!$C$8*H61,"停止","断続")))</f>
        <v>運転</v>
      </c>
      <c r="K61" s="30" t="n">
        <v>60</v>
      </c>
      <c r="L61" s="30" t="n">
        <v>60</v>
      </c>
      <c r="M61" s="30" t="str">
        <f aca="false">IF(K61&lt;判定条件!$C$6,"判定不能",IF(L61&gt;=判定条件!$C$7*K61,"運転",IF(L61&lt;=判定条件!$C$8*K61,"停止","断続")))</f>
        <v>運転</v>
      </c>
      <c r="N61" s="30" t="n">
        <v>60</v>
      </c>
      <c r="O61" s="30" t="n">
        <v>38</v>
      </c>
      <c r="P61" s="30" t="str">
        <f aca="false">IF(N61&lt;判定条件!$C$6,"判定不能",IF(O61&gt;=判定条件!$C$7*N61,"運転",IF(O61&lt;=判定条件!$C$8*N61,"停止","断続")))</f>
        <v>断続</v>
      </c>
      <c r="Q61" s="30" t="n">
        <v>60</v>
      </c>
      <c r="R61" s="30" t="n">
        <v>60</v>
      </c>
      <c r="S61" s="30" t="str">
        <f aca="false">IF(Q61&lt;判定条件!$C$6,"判定不能",IF(R61&gt;=判定条件!$C$7*Q61,"運転",IF(R61&lt;=判定条件!$C$8*Q61,"停止","断続")))</f>
        <v>運転</v>
      </c>
      <c r="T61" s="30" t="n">
        <v>60</v>
      </c>
      <c r="U61" s="30" t="n">
        <v>60</v>
      </c>
      <c r="V61" s="30" t="str">
        <f aca="false">IF(T61&lt;判定条件!$C$6,"判定不能",IF(U61&gt;=判定条件!$C$7*T61,"運転",IF(U61&lt;=判定条件!$C$8*T61,"停止","断続")))</f>
        <v>運転</v>
      </c>
      <c r="W61" s="30" t="n">
        <v>60</v>
      </c>
      <c r="X61" s="30" t="n">
        <v>60</v>
      </c>
      <c r="Y61" s="30" t="str">
        <f aca="false">IF(W61&lt;判定条件!$C$6,"判定不能",IF(X61&gt;=判定条件!$C$7*W61,"運転",IF(X61&lt;=判定条件!$C$8*W61,"停止","断続")))</f>
        <v>運転</v>
      </c>
      <c r="Z61" s="30" t="n">
        <v>60</v>
      </c>
      <c r="AA61" s="30" t="n">
        <v>47</v>
      </c>
      <c r="AB61" s="30" t="str">
        <f aca="false">IF(Z61&lt;判定条件!$C$6,"判定不能",IF(AA61&gt;=判定条件!$C$7*Z61,"運転",IF(AA61&lt;=判定条件!$C$8*Z61,"停止","断続")))</f>
        <v>断続</v>
      </c>
      <c r="AC61" s="30" t="n">
        <v>60</v>
      </c>
      <c r="AD61" s="30" t="n">
        <v>60</v>
      </c>
      <c r="AE61" s="30" t="str">
        <f aca="false">IF(AC61&lt;判定条件!$C$6,"判定不能",IF(AD61&gt;=判定条件!$C$7*AC61,"運転",IF(AD61&lt;=判定条件!$C$8*AC61,"停止","断続")))</f>
        <v>運転</v>
      </c>
      <c r="AF61" s="30" t="n">
        <v>60</v>
      </c>
      <c r="AG61" s="30" t="n">
        <v>38</v>
      </c>
      <c r="AH61" s="30" t="str">
        <f aca="false">IF(OR(P61="判定不能",G61="判定不能"),"判定不能",IF(AG61&gt;=判定条件!$C$9,"利用可",IF(AND(P61="停止",G61="停止"),"両方停止","運転がそろわない")))</f>
        <v>利用可</v>
      </c>
      <c r="AI61" s="30" t="n">
        <v>60</v>
      </c>
      <c r="AJ61" s="30" t="n">
        <v>60</v>
      </c>
      <c r="AK61" s="30" t="str">
        <f aca="false">IF(OR(S61="判定不能",J61="判定不能"),"判定不能",IF(AJ61&gt;=判定条件!$C$9,"利用可",IF(AND(S61="停止",J61="停止"),"両方停止","運転がそろわない")))</f>
        <v>利用可</v>
      </c>
      <c r="AL61" s="30" t="n">
        <v>60</v>
      </c>
      <c r="AM61" s="30" t="n">
        <v>60</v>
      </c>
      <c r="AN61" s="30" t="str">
        <f aca="false">IF(OR(V61="判定不能",M61="判定不能"),"判定不能",IF(AM61&gt;=判定条件!$C$9,"利用可",IF(AND(V61="停止",M61="停止"),"両方停止","運転がそろわない")))</f>
        <v>利用可</v>
      </c>
      <c r="AO61" s="30" t="n">
        <v>60</v>
      </c>
      <c r="AP61" s="30" t="n">
        <v>60</v>
      </c>
      <c r="AQ61" s="30" t="str">
        <f aca="false">IF(OR(Y61="判定不能",G61="判定不能"),"判定不能",IF(AP61&gt;=判定条件!$C$9,"利用可",IF(AND(Y61="停止",G61="停止"),"両方停止","運転がそろわない")))</f>
        <v>利用可</v>
      </c>
      <c r="AR61" s="30" t="n">
        <v>60</v>
      </c>
      <c r="AS61" s="30" t="n">
        <v>47</v>
      </c>
      <c r="AT61" s="30" t="str">
        <f aca="false">IF(OR(AB61="判定不能",J61="判定不能"),"判定不能",IF(AS61&gt;=判定条件!$C$9,"利用可",IF(AND(AB61="停止",J61="停止"),"両方停止","運転がそろわない")))</f>
        <v>利用可</v>
      </c>
      <c r="AU61" s="30" t="n">
        <v>60</v>
      </c>
      <c r="AV61" s="30" t="n">
        <v>60</v>
      </c>
      <c r="AW61" s="30" t="str">
        <f aca="false">IF(OR(AE61="判定不能",M61="判定不能"),"判定不能",IF(AV61&gt;=判定条件!$C$9,"利用可",IF(AND(AE61="停止",M61="停止"),"両方停止","運転がそろわない")))</f>
        <v>利用可</v>
      </c>
      <c r="AX61" s="30" t="str">
        <f aca="false">IF(AND(AH61="利用可",AK61="利用可",AN61="利用可"),"利用可","不可")</f>
        <v>利用可</v>
      </c>
      <c r="AY61" s="30" t="str">
        <f aca="false">IF(AND(AQ61="利用可",AT61="利用可",AW61="利用可"),"利用可","不可")</f>
        <v>利用可</v>
      </c>
    </row>
    <row r="62" customFormat="false" ht="15" hidden="false" customHeight="false" outlineLevel="0" collapsed="false">
      <c r="A62" s="29" t="n">
        <v>46234</v>
      </c>
      <c r="B62" s="30" t="n">
        <v>11</v>
      </c>
      <c r="C62" s="31" t="s">
        <v>62</v>
      </c>
      <c r="D62" s="31" t="s">
        <v>59</v>
      </c>
      <c r="E62" s="30" t="n">
        <v>60</v>
      </c>
      <c r="F62" s="30" t="n">
        <v>60</v>
      </c>
      <c r="G62" s="30" t="str">
        <f aca="false">IF(E62&lt;判定条件!$C$6,"判定不能",IF(F62&gt;=判定条件!$C$7*E62,"運転",IF(F62&lt;=判定条件!$C$8*E62,"停止","断続")))</f>
        <v>運転</v>
      </c>
      <c r="H62" s="30" t="n">
        <v>60</v>
      </c>
      <c r="I62" s="30" t="n">
        <v>60</v>
      </c>
      <c r="J62" s="30" t="str">
        <f aca="false">IF(H62&lt;判定条件!$C$6,"判定不能",IF(I62&gt;=判定条件!$C$7*H62,"運転",IF(I62&lt;=判定条件!$C$8*H62,"停止","断続")))</f>
        <v>運転</v>
      </c>
      <c r="K62" s="30" t="n">
        <v>60</v>
      </c>
      <c r="L62" s="30" t="n">
        <v>60</v>
      </c>
      <c r="M62" s="30" t="str">
        <f aca="false">IF(K62&lt;判定条件!$C$6,"判定不能",IF(L62&gt;=判定条件!$C$7*K62,"運転",IF(L62&lt;=判定条件!$C$8*K62,"停止","断続")))</f>
        <v>運転</v>
      </c>
      <c r="N62" s="30" t="n">
        <v>60</v>
      </c>
      <c r="O62" s="30" t="n">
        <v>29</v>
      </c>
      <c r="P62" s="30" t="str">
        <f aca="false">IF(N62&lt;判定条件!$C$6,"判定不能",IF(O62&gt;=判定条件!$C$7*N62,"運転",IF(O62&lt;=判定条件!$C$8*N62,"停止","断続")))</f>
        <v>断続</v>
      </c>
      <c r="Q62" s="30" t="n">
        <v>60</v>
      </c>
      <c r="R62" s="30" t="n">
        <v>60</v>
      </c>
      <c r="S62" s="30" t="str">
        <f aca="false">IF(Q62&lt;判定条件!$C$6,"判定不能",IF(R62&gt;=判定条件!$C$7*Q62,"運転",IF(R62&lt;=判定条件!$C$8*Q62,"停止","断続")))</f>
        <v>運転</v>
      </c>
      <c r="T62" s="30" t="n">
        <v>60</v>
      </c>
      <c r="U62" s="30" t="n">
        <v>49</v>
      </c>
      <c r="V62" s="30" t="str">
        <f aca="false">IF(T62&lt;判定条件!$C$6,"判定不能",IF(U62&gt;=判定条件!$C$7*T62,"運転",IF(U62&lt;=判定条件!$C$8*T62,"停止","断続")))</f>
        <v>運転</v>
      </c>
      <c r="W62" s="30" t="n">
        <v>60</v>
      </c>
      <c r="X62" s="30" t="n">
        <v>60</v>
      </c>
      <c r="Y62" s="30" t="str">
        <f aca="false">IF(W62&lt;判定条件!$C$6,"判定不能",IF(X62&gt;=判定条件!$C$7*W62,"運転",IF(X62&lt;=判定条件!$C$8*W62,"停止","断続")))</f>
        <v>運転</v>
      </c>
      <c r="Z62" s="30" t="n">
        <v>60</v>
      </c>
      <c r="AA62" s="30" t="n">
        <v>60</v>
      </c>
      <c r="AB62" s="30" t="str">
        <f aca="false">IF(Z62&lt;判定条件!$C$6,"判定不能",IF(AA62&gt;=判定条件!$C$7*Z62,"運転",IF(AA62&lt;=判定条件!$C$8*Z62,"停止","断続")))</f>
        <v>運転</v>
      </c>
      <c r="AC62" s="30" t="n">
        <v>60</v>
      </c>
      <c r="AD62" s="30" t="n">
        <v>60</v>
      </c>
      <c r="AE62" s="30" t="str">
        <f aca="false">IF(AC62&lt;判定条件!$C$6,"判定不能",IF(AD62&gt;=判定条件!$C$7*AC62,"運転",IF(AD62&lt;=判定条件!$C$8*AC62,"停止","断続")))</f>
        <v>運転</v>
      </c>
      <c r="AF62" s="30" t="n">
        <v>60</v>
      </c>
      <c r="AG62" s="30" t="n">
        <v>29</v>
      </c>
      <c r="AH62" s="30" t="str">
        <f aca="false">IF(OR(P62="判定不能",G62="判定不能"),"判定不能",IF(AG62&gt;=判定条件!$C$9,"利用可",IF(AND(P62="停止",G62="停止"),"両方停止","運転がそろわない")))</f>
        <v>運転がそろわない</v>
      </c>
      <c r="AI62" s="30" t="n">
        <v>60</v>
      </c>
      <c r="AJ62" s="30" t="n">
        <v>60</v>
      </c>
      <c r="AK62" s="30" t="str">
        <f aca="false">IF(OR(S62="判定不能",J62="判定不能"),"判定不能",IF(AJ62&gt;=判定条件!$C$9,"利用可",IF(AND(S62="停止",J62="停止"),"両方停止","運転がそろわない")))</f>
        <v>利用可</v>
      </c>
      <c r="AL62" s="30" t="n">
        <v>60</v>
      </c>
      <c r="AM62" s="30" t="n">
        <v>49</v>
      </c>
      <c r="AN62" s="30" t="str">
        <f aca="false">IF(OR(V62="判定不能",M62="判定不能"),"判定不能",IF(AM62&gt;=判定条件!$C$9,"利用可",IF(AND(V62="停止",M62="停止"),"両方停止","運転がそろわない")))</f>
        <v>利用可</v>
      </c>
      <c r="AO62" s="30" t="n">
        <v>60</v>
      </c>
      <c r="AP62" s="30" t="n">
        <v>60</v>
      </c>
      <c r="AQ62" s="30" t="str">
        <f aca="false">IF(OR(Y62="判定不能",G62="判定不能"),"判定不能",IF(AP62&gt;=判定条件!$C$9,"利用可",IF(AND(Y62="停止",G62="停止"),"両方停止","運転がそろわない")))</f>
        <v>利用可</v>
      </c>
      <c r="AR62" s="30" t="n">
        <v>60</v>
      </c>
      <c r="AS62" s="30" t="n">
        <v>60</v>
      </c>
      <c r="AT62" s="30" t="str">
        <f aca="false">IF(OR(AB62="判定不能",J62="判定不能"),"判定不能",IF(AS62&gt;=判定条件!$C$9,"利用可",IF(AND(AB62="停止",J62="停止"),"両方停止","運転がそろわない")))</f>
        <v>利用可</v>
      </c>
      <c r="AU62" s="30" t="n">
        <v>60</v>
      </c>
      <c r="AV62" s="30" t="n">
        <v>60</v>
      </c>
      <c r="AW62" s="30" t="str">
        <f aca="false">IF(OR(AE62="判定不能",M62="判定不能"),"判定不能",IF(AV62&gt;=判定条件!$C$9,"利用可",IF(AND(AE62="停止",M62="停止"),"両方停止","運転がそろわない")))</f>
        <v>利用可</v>
      </c>
      <c r="AX62" s="30" t="str">
        <f aca="false">IF(AND(AH62="利用可",AK62="利用可",AN62="利用可"),"利用可","不可")</f>
        <v>不可</v>
      </c>
      <c r="AY62" s="30" t="str">
        <f aca="false">IF(AND(AQ62="利用可",AT62="利用可",AW62="利用可"),"利用可","不可")</f>
        <v>利用可</v>
      </c>
    </row>
    <row r="63" customFormat="false" ht="15" hidden="false" customHeight="false" outlineLevel="0" collapsed="false">
      <c r="A63" s="29" t="n">
        <v>46234</v>
      </c>
      <c r="B63" s="30" t="n">
        <v>12</v>
      </c>
      <c r="C63" s="31" t="s">
        <v>62</v>
      </c>
      <c r="D63" s="31" t="s">
        <v>59</v>
      </c>
      <c r="E63" s="30" t="n">
        <v>60</v>
      </c>
      <c r="F63" s="30" t="n">
        <v>60</v>
      </c>
      <c r="G63" s="30" t="str">
        <f aca="false">IF(E63&lt;判定条件!$C$6,"判定不能",IF(F63&gt;=判定条件!$C$7*E63,"運転",IF(F63&lt;=判定条件!$C$8*E63,"停止","断続")))</f>
        <v>運転</v>
      </c>
      <c r="H63" s="30" t="n">
        <v>60</v>
      </c>
      <c r="I63" s="30" t="n">
        <v>60</v>
      </c>
      <c r="J63" s="30" t="str">
        <f aca="false">IF(H63&lt;判定条件!$C$6,"判定不能",IF(I63&gt;=判定条件!$C$7*H63,"運転",IF(I63&lt;=判定条件!$C$8*H63,"停止","断続")))</f>
        <v>運転</v>
      </c>
      <c r="K63" s="30" t="n">
        <v>60</v>
      </c>
      <c r="L63" s="30" t="n">
        <v>60</v>
      </c>
      <c r="M63" s="30" t="str">
        <f aca="false">IF(K63&lt;判定条件!$C$6,"判定不能",IF(L63&gt;=判定条件!$C$7*K63,"運転",IF(L63&lt;=判定条件!$C$8*K63,"停止","断続")))</f>
        <v>運転</v>
      </c>
      <c r="N63" s="30" t="n">
        <v>60</v>
      </c>
      <c r="O63" s="30" t="n">
        <v>49</v>
      </c>
      <c r="P63" s="30" t="str">
        <f aca="false">IF(N63&lt;判定条件!$C$6,"判定不能",IF(O63&gt;=判定条件!$C$7*N63,"運転",IF(O63&lt;=判定条件!$C$8*N63,"停止","断続")))</f>
        <v>運転</v>
      </c>
      <c r="Q63" s="30" t="n">
        <v>60</v>
      </c>
      <c r="R63" s="30" t="n">
        <v>60</v>
      </c>
      <c r="S63" s="30" t="str">
        <f aca="false">IF(Q63&lt;判定条件!$C$6,"判定不能",IF(R63&gt;=判定条件!$C$7*Q63,"運転",IF(R63&lt;=判定条件!$C$8*Q63,"停止","断続")))</f>
        <v>運転</v>
      </c>
      <c r="T63" s="30" t="n">
        <v>60</v>
      </c>
      <c r="U63" s="30" t="n">
        <v>51</v>
      </c>
      <c r="V63" s="30" t="str">
        <f aca="false">IF(T63&lt;判定条件!$C$6,"判定不能",IF(U63&gt;=判定条件!$C$7*T63,"運転",IF(U63&lt;=判定条件!$C$8*T63,"停止","断続")))</f>
        <v>運転</v>
      </c>
      <c r="W63" s="30" t="n">
        <v>60</v>
      </c>
      <c r="X63" s="30" t="n">
        <v>60</v>
      </c>
      <c r="Y63" s="30" t="str">
        <f aca="false">IF(W63&lt;判定条件!$C$6,"判定不能",IF(X63&gt;=判定条件!$C$7*W63,"運転",IF(X63&lt;=判定条件!$C$8*W63,"停止","断続")))</f>
        <v>運転</v>
      </c>
      <c r="Z63" s="30" t="n">
        <v>60</v>
      </c>
      <c r="AA63" s="30" t="n">
        <v>55</v>
      </c>
      <c r="AB63" s="30" t="str">
        <f aca="false">IF(Z63&lt;判定条件!$C$6,"判定不能",IF(AA63&gt;=判定条件!$C$7*Z63,"運転",IF(AA63&lt;=判定条件!$C$8*Z63,"停止","断続")))</f>
        <v>運転</v>
      </c>
      <c r="AC63" s="30" t="n">
        <v>60</v>
      </c>
      <c r="AD63" s="30" t="n">
        <v>60</v>
      </c>
      <c r="AE63" s="30" t="str">
        <f aca="false">IF(AC63&lt;判定条件!$C$6,"判定不能",IF(AD63&gt;=判定条件!$C$7*AC63,"運転",IF(AD63&lt;=判定条件!$C$8*AC63,"停止","断続")))</f>
        <v>運転</v>
      </c>
      <c r="AF63" s="30" t="n">
        <v>60</v>
      </c>
      <c r="AG63" s="30" t="n">
        <v>49</v>
      </c>
      <c r="AH63" s="30" t="str">
        <f aca="false">IF(OR(P63="判定不能",G63="判定不能"),"判定不能",IF(AG63&gt;=判定条件!$C$9,"利用可",IF(AND(P63="停止",G63="停止"),"両方停止","運転がそろわない")))</f>
        <v>利用可</v>
      </c>
      <c r="AI63" s="30" t="n">
        <v>60</v>
      </c>
      <c r="AJ63" s="30" t="n">
        <v>60</v>
      </c>
      <c r="AK63" s="30" t="str">
        <f aca="false">IF(OR(S63="判定不能",J63="判定不能"),"判定不能",IF(AJ63&gt;=判定条件!$C$9,"利用可",IF(AND(S63="停止",J63="停止"),"両方停止","運転がそろわない")))</f>
        <v>利用可</v>
      </c>
      <c r="AL63" s="30" t="n">
        <v>60</v>
      </c>
      <c r="AM63" s="30" t="n">
        <v>51</v>
      </c>
      <c r="AN63" s="30" t="str">
        <f aca="false">IF(OR(V63="判定不能",M63="判定不能"),"判定不能",IF(AM63&gt;=判定条件!$C$9,"利用可",IF(AND(V63="停止",M63="停止"),"両方停止","運転がそろわない")))</f>
        <v>利用可</v>
      </c>
      <c r="AO63" s="30" t="n">
        <v>60</v>
      </c>
      <c r="AP63" s="30" t="n">
        <v>60</v>
      </c>
      <c r="AQ63" s="30" t="str">
        <f aca="false">IF(OR(Y63="判定不能",G63="判定不能"),"判定不能",IF(AP63&gt;=判定条件!$C$9,"利用可",IF(AND(Y63="停止",G63="停止"),"両方停止","運転がそろわない")))</f>
        <v>利用可</v>
      </c>
      <c r="AR63" s="30" t="n">
        <v>60</v>
      </c>
      <c r="AS63" s="30" t="n">
        <v>55</v>
      </c>
      <c r="AT63" s="30" t="str">
        <f aca="false">IF(OR(AB63="判定不能",J63="判定不能"),"判定不能",IF(AS63&gt;=判定条件!$C$9,"利用可",IF(AND(AB63="停止",J63="停止"),"両方停止","運転がそろわない")))</f>
        <v>利用可</v>
      </c>
      <c r="AU63" s="30" t="n">
        <v>60</v>
      </c>
      <c r="AV63" s="30" t="n">
        <v>60</v>
      </c>
      <c r="AW63" s="30" t="str">
        <f aca="false">IF(OR(AE63="判定不能",M63="判定不能"),"判定不能",IF(AV63&gt;=判定条件!$C$9,"利用可",IF(AND(AE63="停止",M63="停止"),"両方停止","運転がそろわない")))</f>
        <v>利用可</v>
      </c>
      <c r="AX63" s="30" t="str">
        <f aca="false">IF(AND(AH63="利用可",AK63="利用可",AN63="利用可"),"利用可","不可")</f>
        <v>利用可</v>
      </c>
      <c r="AY63" s="30" t="str">
        <f aca="false">IF(AND(AQ63="利用可",AT63="利用可",AW63="利用可"),"利用可","不可")</f>
        <v>利用可</v>
      </c>
    </row>
    <row r="64" customFormat="false" ht="15" hidden="false" customHeight="false" outlineLevel="0" collapsed="false">
      <c r="A64" s="29" t="n">
        <v>46234</v>
      </c>
      <c r="B64" s="30" t="n">
        <v>13</v>
      </c>
      <c r="C64" s="31" t="s">
        <v>62</v>
      </c>
      <c r="D64" s="31" t="s">
        <v>59</v>
      </c>
      <c r="E64" s="30" t="n">
        <v>60</v>
      </c>
      <c r="F64" s="30" t="n">
        <v>60</v>
      </c>
      <c r="G64" s="30" t="str">
        <f aca="false">IF(E64&lt;判定条件!$C$6,"判定不能",IF(F64&gt;=判定条件!$C$7*E64,"運転",IF(F64&lt;=判定条件!$C$8*E64,"停止","断続")))</f>
        <v>運転</v>
      </c>
      <c r="H64" s="30" t="n">
        <v>60</v>
      </c>
      <c r="I64" s="30" t="n">
        <v>60</v>
      </c>
      <c r="J64" s="30" t="str">
        <f aca="false">IF(H64&lt;判定条件!$C$6,"判定不能",IF(I64&gt;=判定条件!$C$7*H64,"運転",IF(I64&lt;=判定条件!$C$8*H64,"停止","断続")))</f>
        <v>運転</v>
      </c>
      <c r="K64" s="30" t="n">
        <v>60</v>
      </c>
      <c r="L64" s="30" t="n">
        <v>60</v>
      </c>
      <c r="M64" s="30" t="str">
        <f aca="false">IF(K64&lt;判定条件!$C$6,"判定不能",IF(L64&gt;=判定条件!$C$7*K64,"運転",IF(L64&lt;=判定条件!$C$8*K64,"停止","断続")))</f>
        <v>運転</v>
      </c>
      <c r="N64" s="30" t="n">
        <v>60</v>
      </c>
      <c r="O64" s="30" t="n">
        <v>52</v>
      </c>
      <c r="P64" s="30" t="str">
        <f aca="false">IF(N64&lt;判定条件!$C$6,"判定不能",IF(O64&gt;=判定条件!$C$7*N64,"運転",IF(O64&lt;=判定条件!$C$8*N64,"停止","断続")))</f>
        <v>運転</v>
      </c>
      <c r="Q64" s="30" t="n">
        <v>60</v>
      </c>
      <c r="R64" s="30" t="n">
        <v>60</v>
      </c>
      <c r="S64" s="30" t="str">
        <f aca="false">IF(Q64&lt;判定条件!$C$6,"判定不能",IF(R64&gt;=判定条件!$C$7*Q64,"運転",IF(R64&lt;=判定条件!$C$8*Q64,"停止","断続")))</f>
        <v>運転</v>
      </c>
      <c r="T64" s="30" t="n">
        <v>60</v>
      </c>
      <c r="U64" s="30" t="n">
        <v>60</v>
      </c>
      <c r="V64" s="30" t="str">
        <f aca="false">IF(T64&lt;判定条件!$C$6,"判定不能",IF(U64&gt;=判定条件!$C$7*T64,"運転",IF(U64&lt;=判定条件!$C$8*T64,"停止","断続")))</f>
        <v>運転</v>
      </c>
      <c r="W64" s="30" t="n">
        <v>60</v>
      </c>
      <c r="X64" s="30" t="n">
        <v>44</v>
      </c>
      <c r="Y64" s="30" t="str">
        <f aca="false">IF(W64&lt;判定条件!$C$6,"判定不能",IF(X64&gt;=判定条件!$C$7*W64,"運転",IF(X64&lt;=判定条件!$C$8*W64,"停止","断続")))</f>
        <v>断続</v>
      </c>
      <c r="Z64" s="30" t="n">
        <v>60</v>
      </c>
      <c r="AA64" s="30" t="n">
        <v>60</v>
      </c>
      <c r="AB64" s="30" t="str">
        <f aca="false">IF(Z64&lt;判定条件!$C$6,"判定不能",IF(AA64&gt;=判定条件!$C$7*Z64,"運転",IF(AA64&lt;=判定条件!$C$8*Z64,"停止","断続")))</f>
        <v>運転</v>
      </c>
      <c r="AC64" s="30" t="n">
        <v>60</v>
      </c>
      <c r="AD64" s="30" t="n">
        <v>60</v>
      </c>
      <c r="AE64" s="30" t="str">
        <f aca="false">IF(AC64&lt;判定条件!$C$6,"判定不能",IF(AD64&gt;=判定条件!$C$7*AC64,"運転",IF(AD64&lt;=判定条件!$C$8*AC64,"停止","断続")))</f>
        <v>運転</v>
      </c>
      <c r="AF64" s="30" t="n">
        <v>60</v>
      </c>
      <c r="AG64" s="30" t="n">
        <v>52</v>
      </c>
      <c r="AH64" s="30" t="str">
        <f aca="false">IF(OR(P64="判定不能",G64="判定不能"),"判定不能",IF(AG64&gt;=判定条件!$C$9,"利用可",IF(AND(P64="停止",G64="停止"),"両方停止","運転がそろわない")))</f>
        <v>利用可</v>
      </c>
      <c r="AI64" s="30" t="n">
        <v>60</v>
      </c>
      <c r="AJ64" s="30" t="n">
        <v>60</v>
      </c>
      <c r="AK64" s="30" t="str">
        <f aca="false">IF(OR(S64="判定不能",J64="判定不能"),"判定不能",IF(AJ64&gt;=判定条件!$C$9,"利用可",IF(AND(S64="停止",J64="停止"),"両方停止","運転がそろわない")))</f>
        <v>利用可</v>
      </c>
      <c r="AL64" s="30" t="n">
        <v>60</v>
      </c>
      <c r="AM64" s="30" t="n">
        <v>60</v>
      </c>
      <c r="AN64" s="30" t="str">
        <f aca="false">IF(OR(V64="判定不能",M64="判定不能"),"判定不能",IF(AM64&gt;=判定条件!$C$9,"利用可",IF(AND(V64="停止",M64="停止"),"両方停止","運転がそろわない")))</f>
        <v>利用可</v>
      </c>
      <c r="AO64" s="30" t="n">
        <v>60</v>
      </c>
      <c r="AP64" s="30" t="n">
        <v>44</v>
      </c>
      <c r="AQ64" s="30" t="str">
        <f aca="false">IF(OR(Y64="判定不能",G64="判定不能"),"判定不能",IF(AP64&gt;=判定条件!$C$9,"利用可",IF(AND(Y64="停止",G64="停止"),"両方停止","運転がそろわない")))</f>
        <v>利用可</v>
      </c>
      <c r="AR64" s="30" t="n">
        <v>60</v>
      </c>
      <c r="AS64" s="30" t="n">
        <v>60</v>
      </c>
      <c r="AT64" s="30" t="str">
        <f aca="false">IF(OR(AB64="判定不能",J64="判定不能"),"判定不能",IF(AS64&gt;=判定条件!$C$9,"利用可",IF(AND(AB64="停止",J64="停止"),"両方停止","運転がそろわない")))</f>
        <v>利用可</v>
      </c>
      <c r="AU64" s="30" t="n">
        <v>60</v>
      </c>
      <c r="AV64" s="30" t="n">
        <v>60</v>
      </c>
      <c r="AW64" s="30" t="str">
        <f aca="false">IF(OR(AE64="判定不能",M64="判定不能"),"判定不能",IF(AV64&gt;=判定条件!$C$9,"利用可",IF(AND(AE64="停止",M64="停止"),"両方停止","運転がそろわない")))</f>
        <v>利用可</v>
      </c>
      <c r="AX64" s="30" t="str">
        <f aca="false">IF(AND(AH64="利用可",AK64="利用可",AN64="利用可"),"利用可","不可")</f>
        <v>利用可</v>
      </c>
      <c r="AY64" s="30" t="str">
        <f aca="false">IF(AND(AQ64="利用可",AT64="利用可",AW64="利用可"),"利用可","不可")</f>
        <v>利用可</v>
      </c>
    </row>
    <row r="65" customFormat="false" ht="15" hidden="false" customHeight="false" outlineLevel="0" collapsed="false">
      <c r="A65" s="29" t="n">
        <v>46234</v>
      </c>
      <c r="B65" s="30" t="n">
        <v>14</v>
      </c>
      <c r="C65" s="31" t="s">
        <v>62</v>
      </c>
      <c r="D65" s="31" t="s">
        <v>59</v>
      </c>
      <c r="E65" s="30" t="n">
        <v>60</v>
      </c>
      <c r="F65" s="30" t="n">
        <v>60</v>
      </c>
      <c r="G65" s="30" t="str">
        <f aca="false">IF(E65&lt;判定条件!$C$6,"判定不能",IF(F65&gt;=判定条件!$C$7*E65,"運転",IF(F65&lt;=判定条件!$C$8*E65,"停止","断続")))</f>
        <v>運転</v>
      </c>
      <c r="H65" s="30" t="n">
        <v>60</v>
      </c>
      <c r="I65" s="30" t="n">
        <v>60</v>
      </c>
      <c r="J65" s="30" t="str">
        <f aca="false">IF(H65&lt;判定条件!$C$6,"判定不能",IF(I65&gt;=判定条件!$C$7*H65,"運転",IF(I65&lt;=判定条件!$C$8*H65,"停止","断続")))</f>
        <v>運転</v>
      </c>
      <c r="K65" s="30" t="n">
        <v>60</v>
      </c>
      <c r="L65" s="30" t="n">
        <v>60</v>
      </c>
      <c r="M65" s="30" t="str">
        <f aca="false">IF(K65&lt;判定条件!$C$6,"判定不能",IF(L65&gt;=判定条件!$C$7*K65,"運転",IF(L65&lt;=判定条件!$C$8*K65,"停止","断続")))</f>
        <v>運転</v>
      </c>
      <c r="N65" s="30" t="n">
        <v>60</v>
      </c>
      <c r="O65" s="30" t="n">
        <v>60</v>
      </c>
      <c r="P65" s="30" t="str">
        <f aca="false">IF(N65&lt;判定条件!$C$6,"判定不能",IF(O65&gt;=判定条件!$C$7*N65,"運転",IF(O65&lt;=判定条件!$C$8*N65,"停止","断続")))</f>
        <v>運転</v>
      </c>
      <c r="Q65" s="30" t="n">
        <v>60</v>
      </c>
      <c r="R65" s="30" t="n">
        <v>60</v>
      </c>
      <c r="S65" s="30" t="str">
        <f aca="false">IF(Q65&lt;判定条件!$C$6,"判定不能",IF(R65&gt;=判定条件!$C$7*Q65,"運転",IF(R65&lt;=判定条件!$C$8*Q65,"停止","断続")))</f>
        <v>運転</v>
      </c>
      <c r="T65" s="30" t="n">
        <v>60</v>
      </c>
      <c r="U65" s="30" t="n">
        <v>44</v>
      </c>
      <c r="V65" s="30" t="str">
        <f aca="false">IF(T65&lt;判定条件!$C$6,"判定不能",IF(U65&gt;=判定条件!$C$7*T65,"運転",IF(U65&lt;=判定条件!$C$8*T65,"停止","断続")))</f>
        <v>断続</v>
      </c>
      <c r="W65" s="30" t="n">
        <v>60</v>
      </c>
      <c r="X65" s="30" t="n">
        <v>60</v>
      </c>
      <c r="Y65" s="30" t="str">
        <f aca="false">IF(W65&lt;判定条件!$C$6,"判定不能",IF(X65&gt;=判定条件!$C$7*W65,"運転",IF(X65&lt;=判定条件!$C$8*W65,"停止","断続")))</f>
        <v>運転</v>
      </c>
      <c r="Z65" s="30" t="n">
        <v>60</v>
      </c>
      <c r="AA65" s="30" t="n">
        <v>60</v>
      </c>
      <c r="AB65" s="30" t="str">
        <f aca="false">IF(Z65&lt;判定条件!$C$6,"判定不能",IF(AA65&gt;=判定条件!$C$7*Z65,"運転",IF(AA65&lt;=判定条件!$C$8*Z65,"停止","断続")))</f>
        <v>運転</v>
      </c>
      <c r="AC65" s="30" t="n">
        <v>60</v>
      </c>
      <c r="AD65" s="30" t="n">
        <v>60</v>
      </c>
      <c r="AE65" s="30" t="str">
        <f aca="false">IF(AC65&lt;判定条件!$C$6,"判定不能",IF(AD65&gt;=判定条件!$C$7*AC65,"運転",IF(AD65&lt;=判定条件!$C$8*AC65,"停止","断続")))</f>
        <v>運転</v>
      </c>
      <c r="AF65" s="30" t="n">
        <v>60</v>
      </c>
      <c r="AG65" s="30" t="n">
        <v>60</v>
      </c>
      <c r="AH65" s="30" t="str">
        <f aca="false">IF(OR(P65="判定不能",G65="判定不能"),"判定不能",IF(AG65&gt;=判定条件!$C$9,"利用可",IF(AND(P65="停止",G65="停止"),"両方停止","運転がそろわない")))</f>
        <v>利用可</v>
      </c>
      <c r="AI65" s="30" t="n">
        <v>60</v>
      </c>
      <c r="AJ65" s="30" t="n">
        <v>60</v>
      </c>
      <c r="AK65" s="30" t="str">
        <f aca="false">IF(OR(S65="判定不能",J65="判定不能"),"判定不能",IF(AJ65&gt;=判定条件!$C$9,"利用可",IF(AND(S65="停止",J65="停止"),"両方停止","運転がそろわない")))</f>
        <v>利用可</v>
      </c>
      <c r="AL65" s="30" t="n">
        <v>60</v>
      </c>
      <c r="AM65" s="30" t="n">
        <v>44</v>
      </c>
      <c r="AN65" s="30" t="str">
        <f aca="false">IF(OR(V65="判定不能",M65="判定不能"),"判定不能",IF(AM65&gt;=判定条件!$C$9,"利用可",IF(AND(V65="停止",M65="停止"),"両方停止","運転がそろわない")))</f>
        <v>利用可</v>
      </c>
      <c r="AO65" s="30" t="n">
        <v>60</v>
      </c>
      <c r="AP65" s="30" t="n">
        <v>60</v>
      </c>
      <c r="AQ65" s="30" t="str">
        <f aca="false">IF(OR(Y65="判定不能",G65="判定不能"),"判定不能",IF(AP65&gt;=判定条件!$C$9,"利用可",IF(AND(Y65="停止",G65="停止"),"両方停止","運転がそろわない")))</f>
        <v>利用可</v>
      </c>
      <c r="AR65" s="30" t="n">
        <v>60</v>
      </c>
      <c r="AS65" s="30" t="n">
        <v>60</v>
      </c>
      <c r="AT65" s="30" t="str">
        <f aca="false">IF(OR(AB65="判定不能",J65="判定不能"),"判定不能",IF(AS65&gt;=判定条件!$C$9,"利用可",IF(AND(AB65="停止",J65="停止"),"両方停止","運転がそろわない")))</f>
        <v>利用可</v>
      </c>
      <c r="AU65" s="30" t="n">
        <v>60</v>
      </c>
      <c r="AV65" s="30" t="n">
        <v>60</v>
      </c>
      <c r="AW65" s="30" t="str">
        <f aca="false">IF(OR(AE65="判定不能",M65="判定不能"),"判定不能",IF(AV65&gt;=判定条件!$C$9,"利用可",IF(AND(AE65="停止",M65="停止"),"両方停止","運転がそろわない")))</f>
        <v>利用可</v>
      </c>
      <c r="AX65" s="30" t="str">
        <f aca="false">IF(AND(AH65="利用可",AK65="利用可",AN65="利用可"),"利用可","不可")</f>
        <v>利用可</v>
      </c>
      <c r="AY65" s="30" t="str">
        <f aca="false">IF(AND(AQ65="利用可",AT65="利用可",AW65="利用可"),"利用可","不可")</f>
        <v>利用可</v>
      </c>
    </row>
    <row r="66" customFormat="false" ht="15" hidden="false" customHeight="false" outlineLevel="0" collapsed="false">
      <c r="A66" s="29" t="n">
        <v>46234</v>
      </c>
      <c r="B66" s="30" t="n">
        <v>15</v>
      </c>
      <c r="C66" s="31" t="s">
        <v>62</v>
      </c>
      <c r="D66" s="31" t="s">
        <v>59</v>
      </c>
      <c r="E66" s="30" t="n">
        <v>60</v>
      </c>
      <c r="F66" s="30" t="n">
        <v>60</v>
      </c>
      <c r="G66" s="30" t="str">
        <f aca="false">IF(E66&lt;判定条件!$C$6,"判定不能",IF(F66&gt;=判定条件!$C$7*E66,"運転",IF(F66&lt;=判定条件!$C$8*E66,"停止","断続")))</f>
        <v>運転</v>
      </c>
      <c r="H66" s="30" t="n">
        <v>60</v>
      </c>
      <c r="I66" s="30" t="n">
        <v>60</v>
      </c>
      <c r="J66" s="30" t="str">
        <f aca="false">IF(H66&lt;判定条件!$C$6,"判定不能",IF(I66&gt;=判定条件!$C$7*H66,"運転",IF(I66&lt;=判定条件!$C$8*H66,"停止","断続")))</f>
        <v>運転</v>
      </c>
      <c r="K66" s="30" t="n">
        <v>60</v>
      </c>
      <c r="L66" s="30" t="n">
        <v>60</v>
      </c>
      <c r="M66" s="30" t="str">
        <f aca="false">IF(K66&lt;判定条件!$C$6,"判定不能",IF(L66&gt;=判定条件!$C$7*K66,"運転",IF(L66&lt;=判定条件!$C$8*K66,"停止","断続")))</f>
        <v>運転</v>
      </c>
      <c r="N66" s="30" t="n">
        <v>60</v>
      </c>
      <c r="O66" s="30" t="n">
        <v>60</v>
      </c>
      <c r="P66" s="30" t="str">
        <f aca="false">IF(N66&lt;判定条件!$C$6,"判定不能",IF(O66&gt;=判定条件!$C$7*N66,"運転",IF(O66&lt;=判定条件!$C$8*N66,"停止","断続")))</f>
        <v>運転</v>
      </c>
      <c r="Q66" s="30" t="n">
        <v>60</v>
      </c>
      <c r="R66" s="30" t="n">
        <v>56</v>
      </c>
      <c r="S66" s="30" t="str">
        <f aca="false">IF(Q66&lt;判定条件!$C$6,"判定不能",IF(R66&gt;=判定条件!$C$7*Q66,"運転",IF(R66&lt;=判定条件!$C$8*Q66,"停止","断続")))</f>
        <v>運転</v>
      </c>
      <c r="T66" s="30" t="n">
        <v>60</v>
      </c>
      <c r="U66" s="30" t="n">
        <v>58</v>
      </c>
      <c r="V66" s="30" t="str">
        <f aca="false">IF(T66&lt;判定条件!$C$6,"判定不能",IF(U66&gt;=判定条件!$C$7*T66,"運転",IF(U66&lt;=判定条件!$C$8*T66,"停止","断続")))</f>
        <v>運転</v>
      </c>
      <c r="W66" s="30" t="n">
        <v>60</v>
      </c>
      <c r="X66" s="30" t="n">
        <v>60</v>
      </c>
      <c r="Y66" s="30" t="str">
        <f aca="false">IF(W66&lt;判定条件!$C$6,"判定不能",IF(X66&gt;=判定条件!$C$7*W66,"運転",IF(X66&lt;=判定条件!$C$8*W66,"停止","断続")))</f>
        <v>運転</v>
      </c>
      <c r="Z66" s="30" t="n">
        <v>60</v>
      </c>
      <c r="AA66" s="30" t="n">
        <v>60</v>
      </c>
      <c r="AB66" s="30" t="str">
        <f aca="false">IF(Z66&lt;判定条件!$C$6,"判定不能",IF(AA66&gt;=判定条件!$C$7*Z66,"運転",IF(AA66&lt;=判定条件!$C$8*Z66,"停止","断続")))</f>
        <v>運転</v>
      </c>
      <c r="AC66" s="30" t="n">
        <v>60</v>
      </c>
      <c r="AD66" s="30" t="n">
        <v>60</v>
      </c>
      <c r="AE66" s="30" t="str">
        <f aca="false">IF(AC66&lt;判定条件!$C$6,"判定不能",IF(AD66&gt;=判定条件!$C$7*AC66,"運転",IF(AD66&lt;=判定条件!$C$8*AC66,"停止","断続")))</f>
        <v>運転</v>
      </c>
      <c r="AF66" s="30" t="n">
        <v>60</v>
      </c>
      <c r="AG66" s="30" t="n">
        <v>60</v>
      </c>
      <c r="AH66" s="30" t="str">
        <f aca="false">IF(OR(P66="判定不能",G66="判定不能"),"判定不能",IF(AG66&gt;=判定条件!$C$9,"利用可",IF(AND(P66="停止",G66="停止"),"両方停止","運転がそろわない")))</f>
        <v>利用可</v>
      </c>
      <c r="AI66" s="30" t="n">
        <v>60</v>
      </c>
      <c r="AJ66" s="30" t="n">
        <v>56</v>
      </c>
      <c r="AK66" s="30" t="str">
        <f aca="false">IF(OR(S66="判定不能",J66="判定不能"),"判定不能",IF(AJ66&gt;=判定条件!$C$9,"利用可",IF(AND(S66="停止",J66="停止"),"両方停止","運転がそろわない")))</f>
        <v>利用可</v>
      </c>
      <c r="AL66" s="30" t="n">
        <v>60</v>
      </c>
      <c r="AM66" s="30" t="n">
        <v>58</v>
      </c>
      <c r="AN66" s="30" t="str">
        <f aca="false">IF(OR(V66="判定不能",M66="判定不能"),"判定不能",IF(AM66&gt;=判定条件!$C$9,"利用可",IF(AND(V66="停止",M66="停止"),"両方停止","運転がそろわない")))</f>
        <v>利用可</v>
      </c>
      <c r="AO66" s="30" t="n">
        <v>60</v>
      </c>
      <c r="AP66" s="30" t="n">
        <v>60</v>
      </c>
      <c r="AQ66" s="30" t="str">
        <f aca="false">IF(OR(Y66="判定不能",G66="判定不能"),"判定不能",IF(AP66&gt;=判定条件!$C$9,"利用可",IF(AND(Y66="停止",G66="停止"),"両方停止","運転がそろわない")))</f>
        <v>利用可</v>
      </c>
      <c r="AR66" s="30" t="n">
        <v>60</v>
      </c>
      <c r="AS66" s="30" t="n">
        <v>60</v>
      </c>
      <c r="AT66" s="30" t="str">
        <f aca="false">IF(OR(AB66="判定不能",J66="判定不能"),"判定不能",IF(AS66&gt;=判定条件!$C$9,"利用可",IF(AND(AB66="停止",J66="停止"),"両方停止","運転がそろわない")))</f>
        <v>利用可</v>
      </c>
      <c r="AU66" s="30" t="n">
        <v>60</v>
      </c>
      <c r="AV66" s="30" t="n">
        <v>60</v>
      </c>
      <c r="AW66" s="30" t="str">
        <f aca="false">IF(OR(AE66="判定不能",M66="判定不能"),"判定不能",IF(AV66&gt;=判定条件!$C$9,"利用可",IF(AND(AE66="停止",M66="停止"),"両方停止","運転がそろわない")))</f>
        <v>利用可</v>
      </c>
      <c r="AX66" s="30" t="str">
        <f aca="false">IF(AND(AH66="利用可",AK66="利用可",AN66="利用可"),"利用可","不可")</f>
        <v>利用可</v>
      </c>
      <c r="AY66" s="30" t="str">
        <f aca="false">IF(AND(AQ66="利用可",AT66="利用可",AW66="利用可"),"利用可","不可")</f>
        <v>利用可</v>
      </c>
    </row>
    <row r="67" customFormat="false" ht="15" hidden="false" customHeight="false" outlineLevel="0" collapsed="false">
      <c r="A67" s="29" t="n">
        <v>46234</v>
      </c>
      <c r="B67" s="30" t="n">
        <v>16</v>
      </c>
      <c r="C67" s="31" t="s">
        <v>62</v>
      </c>
      <c r="D67" s="31" t="s">
        <v>59</v>
      </c>
      <c r="E67" s="30" t="n">
        <v>60</v>
      </c>
      <c r="F67" s="30" t="n">
        <v>60</v>
      </c>
      <c r="G67" s="30" t="str">
        <f aca="false">IF(E67&lt;判定条件!$C$6,"判定不能",IF(F67&gt;=判定条件!$C$7*E67,"運転",IF(F67&lt;=判定条件!$C$8*E67,"停止","断続")))</f>
        <v>運転</v>
      </c>
      <c r="H67" s="30" t="n">
        <v>60</v>
      </c>
      <c r="I67" s="30" t="n">
        <v>60</v>
      </c>
      <c r="J67" s="30" t="str">
        <f aca="false">IF(H67&lt;判定条件!$C$6,"判定不能",IF(I67&gt;=判定条件!$C$7*H67,"運転",IF(I67&lt;=判定条件!$C$8*H67,"停止","断続")))</f>
        <v>運転</v>
      </c>
      <c r="K67" s="30" t="n">
        <v>60</v>
      </c>
      <c r="L67" s="30" t="n">
        <v>60</v>
      </c>
      <c r="M67" s="30" t="str">
        <f aca="false">IF(K67&lt;判定条件!$C$6,"判定不能",IF(L67&gt;=判定条件!$C$7*K67,"運転",IF(L67&lt;=判定条件!$C$8*K67,"停止","断続")))</f>
        <v>運転</v>
      </c>
      <c r="N67" s="30" t="n">
        <v>60</v>
      </c>
      <c r="O67" s="30" t="n">
        <v>60</v>
      </c>
      <c r="P67" s="30" t="str">
        <f aca="false">IF(N67&lt;判定条件!$C$6,"判定不能",IF(O67&gt;=判定条件!$C$7*N67,"運転",IF(O67&lt;=判定条件!$C$8*N67,"停止","断続")))</f>
        <v>運転</v>
      </c>
      <c r="Q67" s="30" t="n">
        <v>60</v>
      </c>
      <c r="R67" s="30" t="n">
        <v>60</v>
      </c>
      <c r="S67" s="30" t="str">
        <f aca="false">IF(Q67&lt;判定条件!$C$6,"判定不能",IF(R67&gt;=判定条件!$C$7*Q67,"運転",IF(R67&lt;=判定条件!$C$8*Q67,"停止","断続")))</f>
        <v>運転</v>
      </c>
      <c r="T67" s="30" t="n">
        <v>60</v>
      </c>
      <c r="U67" s="30" t="n">
        <v>60</v>
      </c>
      <c r="V67" s="30" t="str">
        <f aca="false">IF(T67&lt;判定条件!$C$6,"判定不能",IF(U67&gt;=判定条件!$C$7*T67,"運転",IF(U67&lt;=判定条件!$C$8*T67,"停止","断続")))</f>
        <v>運転</v>
      </c>
      <c r="W67" s="30" t="n">
        <v>60</v>
      </c>
      <c r="X67" s="30" t="n">
        <v>60</v>
      </c>
      <c r="Y67" s="30" t="str">
        <f aca="false">IF(W67&lt;判定条件!$C$6,"判定不能",IF(X67&gt;=判定条件!$C$7*W67,"運転",IF(X67&lt;=判定条件!$C$8*W67,"停止","断続")))</f>
        <v>運転</v>
      </c>
      <c r="Z67" s="30" t="n">
        <v>60</v>
      </c>
      <c r="AA67" s="30" t="n">
        <v>60</v>
      </c>
      <c r="AB67" s="30" t="str">
        <f aca="false">IF(Z67&lt;判定条件!$C$6,"判定不能",IF(AA67&gt;=判定条件!$C$7*Z67,"運転",IF(AA67&lt;=判定条件!$C$8*Z67,"停止","断続")))</f>
        <v>運転</v>
      </c>
      <c r="AC67" s="30" t="n">
        <v>60</v>
      </c>
      <c r="AD67" s="30" t="n">
        <v>60</v>
      </c>
      <c r="AE67" s="30" t="str">
        <f aca="false">IF(AC67&lt;判定条件!$C$6,"判定不能",IF(AD67&gt;=判定条件!$C$7*AC67,"運転",IF(AD67&lt;=判定条件!$C$8*AC67,"停止","断続")))</f>
        <v>運転</v>
      </c>
      <c r="AF67" s="30" t="n">
        <v>60</v>
      </c>
      <c r="AG67" s="30" t="n">
        <v>60</v>
      </c>
      <c r="AH67" s="30" t="str">
        <f aca="false">IF(OR(P67="判定不能",G67="判定不能"),"判定不能",IF(AG67&gt;=判定条件!$C$9,"利用可",IF(AND(P67="停止",G67="停止"),"両方停止","運転がそろわない")))</f>
        <v>利用可</v>
      </c>
      <c r="AI67" s="30" t="n">
        <v>60</v>
      </c>
      <c r="AJ67" s="30" t="n">
        <v>60</v>
      </c>
      <c r="AK67" s="30" t="str">
        <f aca="false">IF(OR(S67="判定不能",J67="判定不能"),"判定不能",IF(AJ67&gt;=判定条件!$C$9,"利用可",IF(AND(S67="停止",J67="停止"),"両方停止","運転がそろわない")))</f>
        <v>利用可</v>
      </c>
      <c r="AL67" s="30" t="n">
        <v>60</v>
      </c>
      <c r="AM67" s="30" t="n">
        <v>60</v>
      </c>
      <c r="AN67" s="30" t="str">
        <f aca="false">IF(OR(V67="判定不能",M67="判定不能"),"判定不能",IF(AM67&gt;=判定条件!$C$9,"利用可",IF(AND(V67="停止",M67="停止"),"両方停止","運転がそろわない")))</f>
        <v>利用可</v>
      </c>
      <c r="AO67" s="30" t="n">
        <v>60</v>
      </c>
      <c r="AP67" s="30" t="n">
        <v>60</v>
      </c>
      <c r="AQ67" s="30" t="str">
        <f aca="false">IF(OR(Y67="判定不能",G67="判定不能"),"判定不能",IF(AP67&gt;=判定条件!$C$9,"利用可",IF(AND(Y67="停止",G67="停止"),"両方停止","運転がそろわない")))</f>
        <v>利用可</v>
      </c>
      <c r="AR67" s="30" t="n">
        <v>60</v>
      </c>
      <c r="AS67" s="30" t="n">
        <v>60</v>
      </c>
      <c r="AT67" s="30" t="str">
        <f aca="false">IF(OR(AB67="判定不能",J67="判定不能"),"判定不能",IF(AS67&gt;=判定条件!$C$9,"利用可",IF(AND(AB67="停止",J67="停止"),"両方停止","運転がそろわない")))</f>
        <v>利用可</v>
      </c>
      <c r="AU67" s="30" t="n">
        <v>60</v>
      </c>
      <c r="AV67" s="30" t="n">
        <v>60</v>
      </c>
      <c r="AW67" s="30" t="str">
        <f aca="false">IF(OR(AE67="判定不能",M67="判定不能"),"判定不能",IF(AV67&gt;=判定条件!$C$9,"利用可",IF(AND(AE67="停止",M67="停止"),"両方停止","運転がそろわない")))</f>
        <v>利用可</v>
      </c>
      <c r="AX67" s="30" t="str">
        <f aca="false">IF(AND(AH67="利用可",AK67="利用可",AN67="利用可"),"利用可","不可")</f>
        <v>利用可</v>
      </c>
      <c r="AY67" s="30" t="str">
        <f aca="false">IF(AND(AQ67="利用可",AT67="利用可",AW67="利用可"),"利用可","不可")</f>
        <v>利用可</v>
      </c>
    </row>
    <row r="68" customFormat="false" ht="15" hidden="false" customHeight="false" outlineLevel="0" collapsed="false">
      <c r="A68" s="29" t="n">
        <v>46234</v>
      </c>
      <c r="B68" s="30" t="n">
        <v>17</v>
      </c>
      <c r="C68" s="31" t="s">
        <v>62</v>
      </c>
      <c r="D68" s="31" t="s">
        <v>59</v>
      </c>
      <c r="E68" s="30" t="n">
        <v>60</v>
      </c>
      <c r="F68" s="30" t="n">
        <v>60</v>
      </c>
      <c r="G68" s="30" t="str">
        <f aca="false">IF(E68&lt;判定条件!$C$6,"判定不能",IF(F68&gt;=判定条件!$C$7*E68,"運転",IF(F68&lt;=判定条件!$C$8*E68,"停止","断続")))</f>
        <v>運転</v>
      </c>
      <c r="H68" s="30" t="n">
        <v>60</v>
      </c>
      <c r="I68" s="30" t="n">
        <v>60</v>
      </c>
      <c r="J68" s="30" t="str">
        <f aca="false">IF(H68&lt;判定条件!$C$6,"判定不能",IF(I68&gt;=判定条件!$C$7*H68,"運転",IF(I68&lt;=判定条件!$C$8*H68,"停止","断続")))</f>
        <v>運転</v>
      </c>
      <c r="K68" s="30" t="n">
        <v>60</v>
      </c>
      <c r="L68" s="30" t="n">
        <v>60</v>
      </c>
      <c r="M68" s="30" t="str">
        <f aca="false">IF(K68&lt;判定条件!$C$6,"判定不能",IF(L68&gt;=判定条件!$C$7*K68,"運転",IF(L68&lt;=判定条件!$C$8*K68,"停止","断続")))</f>
        <v>運転</v>
      </c>
      <c r="N68" s="30" t="n">
        <v>60</v>
      </c>
      <c r="O68" s="30" t="n">
        <v>60</v>
      </c>
      <c r="P68" s="30" t="str">
        <f aca="false">IF(N68&lt;判定条件!$C$6,"判定不能",IF(O68&gt;=判定条件!$C$7*N68,"運転",IF(O68&lt;=判定条件!$C$8*N68,"停止","断続")))</f>
        <v>運転</v>
      </c>
      <c r="Q68" s="30" t="n">
        <v>60</v>
      </c>
      <c r="R68" s="30" t="n">
        <v>46</v>
      </c>
      <c r="S68" s="30" t="str">
        <f aca="false">IF(Q68&lt;判定条件!$C$6,"判定不能",IF(R68&gt;=判定条件!$C$7*Q68,"運転",IF(R68&lt;=判定条件!$C$8*Q68,"停止","断続")))</f>
        <v>断続</v>
      </c>
      <c r="T68" s="30" t="n">
        <v>60</v>
      </c>
      <c r="U68" s="30" t="n">
        <v>53</v>
      </c>
      <c r="V68" s="30" t="str">
        <f aca="false">IF(T68&lt;判定条件!$C$6,"判定不能",IF(U68&gt;=判定条件!$C$7*T68,"運転",IF(U68&lt;=判定条件!$C$8*T68,"停止","断続")))</f>
        <v>運転</v>
      </c>
      <c r="W68" s="30" t="n">
        <v>60</v>
      </c>
      <c r="X68" s="30" t="n">
        <v>42</v>
      </c>
      <c r="Y68" s="30" t="str">
        <f aca="false">IF(W68&lt;判定条件!$C$6,"判定不能",IF(X68&gt;=判定条件!$C$7*W68,"運転",IF(X68&lt;=判定条件!$C$8*W68,"停止","断続")))</f>
        <v>断続</v>
      </c>
      <c r="Z68" s="30" t="n">
        <v>60</v>
      </c>
      <c r="AA68" s="30" t="n">
        <v>60</v>
      </c>
      <c r="AB68" s="30" t="str">
        <f aca="false">IF(Z68&lt;判定条件!$C$6,"判定不能",IF(AA68&gt;=判定条件!$C$7*Z68,"運転",IF(AA68&lt;=判定条件!$C$8*Z68,"停止","断続")))</f>
        <v>運転</v>
      </c>
      <c r="AC68" s="30" t="n">
        <v>60</v>
      </c>
      <c r="AD68" s="30" t="n">
        <v>60</v>
      </c>
      <c r="AE68" s="30" t="str">
        <f aca="false">IF(AC68&lt;判定条件!$C$6,"判定不能",IF(AD68&gt;=判定条件!$C$7*AC68,"運転",IF(AD68&lt;=判定条件!$C$8*AC68,"停止","断続")))</f>
        <v>運転</v>
      </c>
      <c r="AF68" s="30" t="n">
        <v>60</v>
      </c>
      <c r="AG68" s="30" t="n">
        <v>60</v>
      </c>
      <c r="AH68" s="30" t="str">
        <f aca="false">IF(OR(P68="判定不能",G68="判定不能"),"判定不能",IF(AG68&gt;=判定条件!$C$9,"利用可",IF(AND(P68="停止",G68="停止"),"両方停止","運転がそろわない")))</f>
        <v>利用可</v>
      </c>
      <c r="AI68" s="30" t="n">
        <v>60</v>
      </c>
      <c r="AJ68" s="30" t="n">
        <v>46</v>
      </c>
      <c r="AK68" s="30" t="str">
        <f aca="false">IF(OR(S68="判定不能",J68="判定不能"),"判定不能",IF(AJ68&gt;=判定条件!$C$9,"利用可",IF(AND(S68="停止",J68="停止"),"両方停止","運転がそろわない")))</f>
        <v>利用可</v>
      </c>
      <c r="AL68" s="30" t="n">
        <v>60</v>
      </c>
      <c r="AM68" s="30" t="n">
        <v>53</v>
      </c>
      <c r="AN68" s="30" t="str">
        <f aca="false">IF(OR(V68="判定不能",M68="判定不能"),"判定不能",IF(AM68&gt;=判定条件!$C$9,"利用可",IF(AND(V68="停止",M68="停止"),"両方停止","運転がそろわない")))</f>
        <v>利用可</v>
      </c>
      <c r="AO68" s="30" t="n">
        <v>60</v>
      </c>
      <c r="AP68" s="30" t="n">
        <v>42</v>
      </c>
      <c r="AQ68" s="30" t="str">
        <f aca="false">IF(OR(Y68="判定不能",G68="判定不能"),"判定不能",IF(AP68&gt;=判定条件!$C$9,"利用可",IF(AND(Y68="停止",G68="停止"),"両方停止","運転がそろわない")))</f>
        <v>利用可</v>
      </c>
      <c r="AR68" s="30" t="n">
        <v>60</v>
      </c>
      <c r="AS68" s="30" t="n">
        <v>60</v>
      </c>
      <c r="AT68" s="30" t="str">
        <f aca="false">IF(OR(AB68="判定不能",J68="判定不能"),"判定不能",IF(AS68&gt;=判定条件!$C$9,"利用可",IF(AND(AB68="停止",J68="停止"),"両方停止","運転がそろわない")))</f>
        <v>利用可</v>
      </c>
      <c r="AU68" s="30" t="n">
        <v>60</v>
      </c>
      <c r="AV68" s="30" t="n">
        <v>60</v>
      </c>
      <c r="AW68" s="30" t="str">
        <f aca="false">IF(OR(AE68="判定不能",M68="判定不能"),"判定不能",IF(AV68&gt;=判定条件!$C$9,"利用可",IF(AND(AE68="停止",M68="停止"),"両方停止","運転がそろわない")))</f>
        <v>利用可</v>
      </c>
      <c r="AX68" s="30" t="str">
        <f aca="false">IF(AND(AH68="利用可",AK68="利用可",AN68="利用可"),"利用可","不可")</f>
        <v>利用可</v>
      </c>
      <c r="AY68" s="30" t="str">
        <f aca="false">IF(AND(AQ68="利用可",AT68="利用可",AW68="利用可"),"利用可","不可")</f>
        <v>利用可</v>
      </c>
    </row>
    <row r="69" customFormat="false" ht="15" hidden="false" customHeight="false" outlineLevel="0" collapsed="false">
      <c r="A69" s="29" t="n">
        <v>46234</v>
      </c>
      <c r="B69" s="30" t="n">
        <v>18</v>
      </c>
      <c r="C69" s="31" t="s">
        <v>62</v>
      </c>
      <c r="D69" s="31" t="s">
        <v>59</v>
      </c>
      <c r="E69" s="30" t="n">
        <v>60</v>
      </c>
      <c r="F69" s="30" t="n">
        <v>60</v>
      </c>
      <c r="G69" s="30" t="str">
        <f aca="false">IF(E69&lt;判定条件!$C$6,"判定不能",IF(F69&gt;=判定条件!$C$7*E69,"運転",IF(F69&lt;=判定条件!$C$8*E69,"停止","断続")))</f>
        <v>運転</v>
      </c>
      <c r="H69" s="30" t="n">
        <v>60</v>
      </c>
      <c r="I69" s="30" t="n">
        <v>60</v>
      </c>
      <c r="J69" s="30" t="str">
        <f aca="false">IF(H69&lt;判定条件!$C$6,"判定不能",IF(I69&gt;=判定条件!$C$7*H69,"運転",IF(I69&lt;=判定条件!$C$8*H69,"停止","断続")))</f>
        <v>運転</v>
      </c>
      <c r="K69" s="30" t="n">
        <v>60</v>
      </c>
      <c r="L69" s="30" t="n">
        <v>60</v>
      </c>
      <c r="M69" s="30" t="str">
        <f aca="false">IF(K69&lt;判定条件!$C$6,"判定不能",IF(L69&gt;=判定条件!$C$7*K69,"運転",IF(L69&lt;=判定条件!$C$8*K69,"停止","断続")))</f>
        <v>運転</v>
      </c>
      <c r="N69" s="30" t="n">
        <v>60</v>
      </c>
      <c r="O69" s="30" t="n">
        <v>45</v>
      </c>
      <c r="P69" s="30" t="str">
        <f aca="false">IF(N69&lt;判定条件!$C$6,"判定不能",IF(O69&gt;=判定条件!$C$7*N69,"運転",IF(O69&lt;=判定条件!$C$8*N69,"停止","断続")))</f>
        <v>断続</v>
      </c>
      <c r="Q69" s="30" t="n">
        <v>60</v>
      </c>
      <c r="R69" s="30" t="n">
        <v>31</v>
      </c>
      <c r="S69" s="30" t="str">
        <f aca="false">IF(Q69&lt;判定条件!$C$6,"判定不能",IF(R69&gt;=判定条件!$C$7*Q69,"運転",IF(R69&lt;=判定条件!$C$8*Q69,"停止","断続")))</f>
        <v>断続</v>
      </c>
      <c r="T69" s="30" t="n">
        <v>60</v>
      </c>
      <c r="U69" s="30" t="n">
        <v>21</v>
      </c>
      <c r="V69" s="30" t="str">
        <f aca="false">IF(T69&lt;判定条件!$C$6,"判定不能",IF(U69&gt;=判定条件!$C$7*T69,"運転",IF(U69&lt;=判定条件!$C$8*T69,"停止","断続")))</f>
        <v>断続</v>
      </c>
      <c r="W69" s="30" t="n">
        <v>60</v>
      </c>
      <c r="X69" s="30" t="n">
        <v>36</v>
      </c>
      <c r="Y69" s="30" t="str">
        <f aca="false">IF(W69&lt;判定条件!$C$6,"判定不能",IF(X69&gt;=判定条件!$C$7*W69,"運転",IF(X69&lt;=判定条件!$C$8*W69,"停止","断続")))</f>
        <v>断続</v>
      </c>
      <c r="Z69" s="30" t="n">
        <v>60</v>
      </c>
      <c r="AA69" s="30" t="n">
        <v>60</v>
      </c>
      <c r="AB69" s="30" t="str">
        <f aca="false">IF(Z69&lt;判定条件!$C$6,"判定不能",IF(AA69&gt;=判定条件!$C$7*Z69,"運転",IF(AA69&lt;=判定条件!$C$8*Z69,"停止","断続")))</f>
        <v>運転</v>
      </c>
      <c r="AC69" s="30" t="n">
        <v>60</v>
      </c>
      <c r="AD69" s="30" t="n">
        <v>60</v>
      </c>
      <c r="AE69" s="30" t="str">
        <f aca="false">IF(AC69&lt;判定条件!$C$6,"判定不能",IF(AD69&gt;=判定条件!$C$7*AC69,"運転",IF(AD69&lt;=判定条件!$C$8*AC69,"停止","断続")))</f>
        <v>運転</v>
      </c>
      <c r="AF69" s="30" t="n">
        <v>60</v>
      </c>
      <c r="AG69" s="30" t="n">
        <v>45</v>
      </c>
      <c r="AH69" s="30" t="str">
        <f aca="false">IF(OR(P69="判定不能",G69="判定不能"),"判定不能",IF(AG69&gt;=判定条件!$C$9,"利用可",IF(AND(P69="停止",G69="停止"),"両方停止","運転がそろわない")))</f>
        <v>利用可</v>
      </c>
      <c r="AI69" s="30" t="n">
        <v>60</v>
      </c>
      <c r="AJ69" s="30" t="n">
        <v>31</v>
      </c>
      <c r="AK69" s="30" t="str">
        <f aca="false">IF(OR(S69="判定不能",J69="判定不能"),"判定不能",IF(AJ69&gt;=判定条件!$C$9,"利用可",IF(AND(S69="停止",J69="停止"),"両方停止","運転がそろわない")))</f>
        <v>利用可</v>
      </c>
      <c r="AL69" s="30" t="n">
        <v>60</v>
      </c>
      <c r="AM69" s="30" t="n">
        <v>21</v>
      </c>
      <c r="AN69" s="30" t="str">
        <f aca="false">IF(OR(V69="判定不能",M69="判定不能"),"判定不能",IF(AM69&gt;=判定条件!$C$9,"利用可",IF(AND(V69="停止",M69="停止"),"両方停止","運転がそろわない")))</f>
        <v>運転がそろわない</v>
      </c>
      <c r="AO69" s="30" t="n">
        <v>60</v>
      </c>
      <c r="AP69" s="30" t="n">
        <v>36</v>
      </c>
      <c r="AQ69" s="30" t="str">
        <f aca="false">IF(OR(Y69="判定不能",G69="判定不能"),"判定不能",IF(AP69&gt;=判定条件!$C$9,"利用可",IF(AND(Y69="停止",G69="停止"),"両方停止","運転がそろわない")))</f>
        <v>利用可</v>
      </c>
      <c r="AR69" s="30" t="n">
        <v>60</v>
      </c>
      <c r="AS69" s="30" t="n">
        <v>60</v>
      </c>
      <c r="AT69" s="30" t="str">
        <f aca="false">IF(OR(AB69="判定不能",J69="判定不能"),"判定不能",IF(AS69&gt;=判定条件!$C$9,"利用可",IF(AND(AB69="停止",J69="停止"),"両方停止","運転がそろわない")))</f>
        <v>利用可</v>
      </c>
      <c r="AU69" s="30" t="n">
        <v>60</v>
      </c>
      <c r="AV69" s="30" t="n">
        <v>60</v>
      </c>
      <c r="AW69" s="30" t="str">
        <f aca="false">IF(OR(AE69="判定不能",M69="判定不能"),"判定不能",IF(AV69&gt;=判定条件!$C$9,"利用可",IF(AND(AE69="停止",M69="停止"),"両方停止","運転がそろわない")))</f>
        <v>利用可</v>
      </c>
      <c r="AX69" s="30" t="str">
        <f aca="false">IF(AND(AH69="利用可",AK69="利用可",AN69="利用可"),"利用可","不可")</f>
        <v>不可</v>
      </c>
      <c r="AY69" s="30" t="str">
        <f aca="false">IF(AND(AQ69="利用可",AT69="利用可",AW69="利用可"),"利用可","不可")</f>
        <v>利用可</v>
      </c>
    </row>
    <row r="70" customFormat="false" ht="15" hidden="false" customHeight="false" outlineLevel="0" collapsed="false">
      <c r="A70" s="29" t="n">
        <v>46234</v>
      </c>
      <c r="B70" s="30" t="n">
        <v>19</v>
      </c>
      <c r="C70" s="31" t="s">
        <v>62</v>
      </c>
      <c r="D70" s="31" t="s">
        <v>59</v>
      </c>
      <c r="E70" s="30" t="n">
        <v>60</v>
      </c>
      <c r="F70" s="30" t="n">
        <v>60</v>
      </c>
      <c r="G70" s="30" t="str">
        <f aca="false">IF(E70&lt;判定条件!$C$6,"判定不能",IF(F70&gt;=判定条件!$C$7*E70,"運転",IF(F70&lt;=判定条件!$C$8*E70,"停止","断続")))</f>
        <v>運転</v>
      </c>
      <c r="H70" s="30" t="n">
        <v>60</v>
      </c>
      <c r="I70" s="30" t="n">
        <v>60</v>
      </c>
      <c r="J70" s="30" t="str">
        <f aca="false">IF(H70&lt;判定条件!$C$6,"判定不能",IF(I70&gt;=判定条件!$C$7*H70,"運転",IF(I70&lt;=判定条件!$C$8*H70,"停止","断続")))</f>
        <v>運転</v>
      </c>
      <c r="K70" s="30" t="n">
        <v>60</v>
      </c>
      <c r="L70" s="30" t="n">
        <v>60</v>
      </c>
      <c r="M70" s="30" t="str">
        <f aca="false">IF(K70&lt;判定条件!$C$6,"判定不能",IF(L70&gt;=判定条件!$C$7*K70,"運転",IF(L70&lt;=判定条件!$C$8*K70,"停止","断続")))</f>
        <v>運転</v>
      </c>
      <c r="N70" s="30" t="n">
        <v>60</v>
      </c>
      <c r="O70" s="30" t="n">
        <v>19</v>
      </c>
      <c r="P70" s="30" t="str">
        <f aca="false">IF(N70&lt;判定条件!$C$6,"判定不能",IF(O70&gt;=判定条件!$C$7*N70,"運転",IF(O70&lt;=判定条件!$C$8*N70,"停止","断続")))</f>
        <v>断続</v>
      </c>
      <c r="Q70" s="30" t="n">
        <v>60</v>
      </c>
      <c r="R70" s="30" t="n">
        <v>43</v>
      </c>
      <c r="S70" s="30" t="str">
        <f aca="false">IF(Q70&lt;判定条件!$C$6,"判定不能",IF(R70&gt;=判定条件!$C$7*Q70,"運転",IF(R70&lt;=判定条件!$C$8*Q70,"停止","断続")))</f>
        <v>断続</v>
      </c>
      <c r="T70" s="30" t="n">
        <v>60</v>
      </c>
      <c r="U70" s="30" t="n">
        <v>40</v>
      </c>
      <c r="V70" s="30" t="str">
        <f aca="false">IF(T70&lt;判定条件!$C$6,"判定不能",IF(U70&gt;=判定条件!$C$7*T70,"運転",IF(U70&lt;=判定条件!$C$8*T70,"停止","断続")))</f>
        <v>断続</v>
      </c>
      <c r="W70" s="30" t="n">
        <v>60</v>
      </c>
      <c r="X70" s="30" t="n">
        <v>7</v>
      </c>
      <c r="Y70" s="30" t="str">
        <f aca="false">IF(W70&lt;判定条件!$C$6,"判定不能",IF(X70&gt;=判定条件!$C$7*W70,"運転",IF(X70&lt;=判定条件!$C$8*W70,"停止","断続")))</f>
        <v>停止</v>
      </c>
      <c r="Z70" s="30" t="n">
        <v>60</v>
      </c>
      <c r="AA70" s="30" t="n">
        <v>12</v>
      </c>
      <c r="AB70" s="30" t="str">
        <f aca="false">IF(Z70&lt;判定条件!$C$6,"判定不能",IF(AA70&gt;=判定条件!$C$7*Z70,"運転",IF(AA70&lt;=判定条件!$C$8*Z70,"停止","断続")))</f>
        <v>停止</v>
      </c>
      <c r="AC70" s="30" t="n">
        <v>60</v>
      </c>
      <c r="AD70" s="30" t="n">
        <v>4</v>
      </c>
      <c r="AE70" s="30" t="str">
        <f aca="false">IF(AC70&lt;判定条件!$C$6,"判定不能",IF(AD70&gt;=判定条件!$C$7*AC70,"運転",IF(AD70&lt;=判定条件!$C$8*AC70,"停止","断続")))</f>
        <v>停止</v>
      </c>
      <c r="AF70" s="30" t="n">
        <v>60</v>
      </c>
      <c r="AG70" s="30" t="n">
        <v>19</v>
      </c>
      <c r="AH70" s="30" t="str">
        <f aca="false">IF(OR(P70="判定不能",G70="判定不能"),"判定不能",IF(AG70&gt;=判定条件!$C$9,"利用可",IF(AND(P70="停止",G70="停止"),"両方停止","運転がそろわない")))</f>
        <v>運転がそろわない</v>
      </c>
      <c r="AI70" s="30" t="n">
        <v>60</v>
      </c>
      <c r="AJ70" s="30" t="n">
        <v>43</v>
      </c>
      <c r="AK70" s="30" t="str">
        <f aca="false">IF(OR(S70="判定不能",J70="判定不能"),"判定不能",IF(AJ70&gt;=判定条件!$C$9,"利用可",IF(AND(S70="停止",J70="停止"),"両方停止","運転がそろわない")))</f>
        <v>利用可</v>
      </c>
      <c r="AL70" s="30" t="n">
        <v>60</v>
      </c>
      <c r="AM70" s="30" t="n">
        <v>40</v>
      </c>
      <c r="AN70" s="30" t="str">
        <f aca="false">IF(OR(V70="判定不能",M70="判定不能"),"判定不能",IF(AM70&gt;=判定条件!$C$9,"利用可",IF(AND(V70="停止",M70="停止"),"両方停止","運転がそろわない")))</f>
        <v>利用可</v>
      </c>
      <c r="AO70" s="30" t="n">
        <v>60</v>
      </c>
      <c r="AP70" s="30" t="n">
        <v>7</v>
      </c>
      <c r="AQ70" s="30" t="str">
        <f aca="false">IF(OR(Y70="判定不能",G70="判定不能"),"判定不能",IF(AP70&gt;=判定条件!$C$9,"利用可",IF(AND(Y70="停止",G70="停止"),"両方停止","運転がそろわない")))</f>
        <v>運転がそろわない</v>
      </c>
      <c r="AR70" s="30" t="n">
        <v>60</v>
      </c>
      <c r="AS70" s="30" t="n">
        <v>12</v>
      </c>
      <c r="AT70" s="30" t="str">
        <f aca="false">IF(OR(AB70="判定不能",J70="判定不能"),"判定不能",IF(AS70&gt;=判定条件!$C$9,"利用可",IF(AND(AB70="停止",J70="停止"),"両方停止","運転がそろわない")))</f>
        <v>運転がそろわない</v>
      </c>
      <c r="AU70" s="30" t="n">
        <v>60</v>
      </c>
      <c r="AV70" s="30" t="n">
        <v>4</v>
      </c>
      <c r="AW70" s="30" t="str">
        <f aca="false">IF(OR(AE70="判定不能",M70="判定不能"),"判定不能",IF(AV70&gt;=判定条件!$C$9,"利用可",IF(AND(AE70="停止",M70="停止"),"両方停止","運転がそろわない")))</f>
        <v>運転がそろわない</v>
      </c>
      <c r="AX70" s="30" t="str">
        <f aca="false">IF(AND(AH70="利用可",AK70="利用可",AN70="利用可"),"利用可","不可")</f>
        <v>不可</v>
      </c>
      <c r="AY70" s="30" t="str">
        <f aca="false">IF(AND(AQ70="利用可",AT70="利用可",AW70="利用可"),"利用可","不可")</f>
        <v>不可</v>
      </c>
    </row>
    <row r="71" customFormat="false" ht="15" hidden="false" customHeight="false" outlineLevel="0" collapsed="false">
      <c r="A71" s="29" t="n">
        <v>46234</v>
      </c>
      <c r="B71" s="30" t="n">
        <v>20</v>
      </c>
      <c r="C71" s="31" t="s">
        <v>62</v>
      </c>
      <c r="D71" s="31" t="s">
        <v>59</v>
      </c>
      <c r="E71" s="30" t="n">
        <v>60</v>
      </c>
      <c r="F71" s="30" t="n">
        <v>45</v>
      </c>
      <c r="G71" s="30" t="str">
        <f aca="false">IF(E71&lt;判定条件!$C$6,"判定不能",IF(F71&gt;=判定条件!$C$7*E71,"運転",IF(F71&lt;=判定条件!$C$8*E71,"停止","断続")))</f>
        <v>断続</v>
      </c>
      <c r="H71" s="30" t="n">
        <v>60</v>
      </c>
      <c r="I71" s="30" t="n">
        <v>40</v>
      </c>
      <c r="J71" s="30" t="str">
        <f aca="false">IF(H71&lt;判定条件!$C$6,"判定不能",IF(I71&gt;=判定条件!$C$7*H71,"運転",IF(I71&lt;=判定条件!$C$8*H71,"停止","断続")))</f>
        <v>断続</v>
      </c>
      <c r="K71" s="30" t="n">
        <v>60</v>
      </c>
      <c r="L71" s="30" t="n">
        <v>60</v>
      </c>
      <c r="M71" s="30" t="str">
        <f aca="false">IF(K71&lt;判定条件!$C$6,"判定不能",IF(L71&gt;=判定条件!$C$7*K71,"運転",IF(L71&lt;=判定条件!$C$8*K71,"停止","断続")))</f>
        <v>運転</v>
      </c>
      <c r="N71" s="30" t="n">
        <v>60</v>
      </c>
      <c r="O71" s="30" t="n">
        <v>14</v>
      </c>
      <c r="P71" s="30" t="str">
        <f aca="false">IF(N71&lt;判定条件!$C$6,"判定不能",IF(O71&gt;=判定条件!$C$7*N71,"運転",IF(O71&lt;=判定条件!$C$8*N71,"停止","断続")))</f>
        <v>断続</v>
      </c>
      <c r="Q71" s="30" t="n">
        <v>60</v>
      </c>
      <c r="R71" s="30" t="n">
        <v>31</v>
      </c>
      <c r="S71" s="30" t="str">
        <f aca="false">IF(Q71&lt;判定条件!$C$6,"判定不能",IF(R71&gt;=判定条件!$C$7*Q71,"運転",IF(R71&lt;=判定条件!$C$8*Q71,"停止","断続")))</f>
        <v>断続</v>
      </c>
      <c r="T71" s="30" t="n">
        <v>60</v>
      </c>
      <c r="U71" s="30" t="n">
        <v>29</v>
      </c>
      <c r="V71" s="30" t="str">
        <f aca="false">IF(T71&lt;判定条件!$C$6,"判定不能",IF(U71&gt;=判定条件!$C$7*T71,"運転",IF(U71&lt;=判定条件!$C$8*T71,"停止","断続")))</f>
        <v>断続</v>
      </c>
      <c r="W71" s="30" t="n">
        <v>60</v>
      </c>
      <c r="X71" s="30" t="n">
        <v>0</v>
      </c>
      <c r="Y71" s="30" t="str">
        <f aca="false">IF(W71&lt;判定条件!$C$6,"判定不能",IF(X71&gt;=判定条件!$C$7*W71,"運転",IF(X71&lt;=判定条件!$C$8*W71,"停止","断続")))</f>
        <v>停止</v>
      </c>
      <c r="Z71" s="30" t="n">
        <v>60</v>
      </c>
      <c r="AA71" s="30" t="n">
        <v>0</v>
      </c>
      <c r="AB71" s="30" t="str">
        <f aca="false">IF(Z71&lt;判定条件!$C$6,"判定不能",IF(AA71&gt;=判定条件!$C$7*Z71,"運転",IF(AA71&lt;=判定条件!$C$8*Z71,"停止","断続")))</f>
        <v>停止</v>
      </c>
      <c r="AC71" s="30" t="n">
        <v>60</v>
      </c>
      <c r="AD71" s="30" t="n">
        <v>0</v>
      </c>
      <c r="AE71" s="30" t="str">
        <f aca="false">IF(AC71&lt;判定条件!$C$6,"判定不能",IF(AD71&gt;=判定条件!$C$7*AC71,"運転",IF(AD71&lt;=判定条件!$C$8*AC71,"停止","断続")))</f>
        <v>停止</v>
      </c>
      <c r="AF71" s="30" t="n">
        <v>60</v>
      </c>
      <c r="AG71" s="30" t="n">
        <v>14</v>
      </c>
      <c r="AH71" s="30" t="str">
        <f aca="false">IF(OR(P71="判定不能",G71="判定不能"),"判定不能",IF(AG71&gt;=判定条件!$C$9,"利用可",IF(AND(P71="停止",G71="停止"),"両方停止","運転がそろわない")))</f>
        <v>運転がそろわない</v>
      </c>
      <c r="AI71" s="30" t="n">
        <v>60</v>
      </c>
      <c r="AJ71" s="30" t="n">
        <v>17</v>
      </c>
      <c r="AK71" s="30" t="str">
        <f aca="false">IF(OR(S71="判定不能",J71="判定不能"),"判定不能",IF(AJ71&gt;=判定条件!$C$9,"利用可",IF(AND(S71="停止",J71="停止"),"両方停止","運転がそろわない")))</f>
        <v>運転がそろわない</v>
      </c>
      <c r="AL71" s="30" t="n">
        <v>60</v>
      </c>
      <c r="AM71" s="30" t="n">
        <v>29</v>
      </c>
      <c r="AN71" s="30" t="str">
        <f aca="false">IF(OR(V71="判定不能",M71="判定不能"),"判定不能",IF(AM71&gt;=判定条件!$C$9,"利用可",IF(AND(V71="停止",M71="停止"),"両方停止","運転がそろわない")))</f>
        <v>運転がそろわない</v>
      </c>
      <c r="AO71" s="30" t="n">
        <v>60</v>
      </c>
      <c r="AP71" s="30" t="n">
        <v>0</v>
      </c>
      <c r="AQ71" s="30" t="str">
        <f aca="false">IF(OR(Y71="判定不能",G71="判定不能"),"判定不能",IF(AP71&gt;=判定条件!$C$9,"利用可",IF(AND(Y71="停止",G71="停止"),"両方停止","運転がそろわない")))</f>
        <v>運転がそろわない</v>
      </c>
      <c r="AR71" s="30" t="n">
        <v>60</v>
      </c>
      <c r="AS71" s="30" t="n">
        <v>0</v>
      </c>
      <c r="AT71" s="30" t="str">
        <f aca="false">IF(OR(AB71="判定不能",J71="判定不能"),"判定不能",IF(AS71&gt;=判定条件!$C$9,"利用可",IF(AND(AB71="停止",J71="停止"),"両方停止","運転がそろわない")))</f>
        <v>運転がそろわない</v>
      </c>
      <c r="AU71" s="30" t="n">
        <v>60</v>
      </c>
      <c r="AV71" s="30" t="n">
        <v>0</v>
      </c>
      <c r="AW71" s="30" t="str">
        <f aca="false">IF(OR(AE71="判定不能",M71="判定不能"),"判定不能",IF(AV71&gt;=判定条件!$C$9,"利用可",IF(AND(AE71="停止",M71="停止"),"両方停止","運転がそろわない")))</f>
        <v>運転がそろわない</v>
      </c>
      <c r="AX71" s="30" t="str">
        <f aca="false">IF(AND(AH71="利用可",AK71="利用可",AN71="利用可"),"利用可","不可")</f>
        <v>不可</v>
      </c>
      <c r="AY71" s="30" t="str">
        <f aca="false">IF(AND(AQ71="利用可",AT71="利用可",AW71="利用可"),"利用可","不可")</f>
        <v>不可</v>
      </c>
    </row>
    <row r="72" customFormat="false" ht="15" hidden="false" customHeight="false" outlineLevel="0" collapsed="false">
      <c r="A72" s="29" t="n">
        <v>46234</v>
      </c>
      <c r="B72" s="30" t="n">
        <v>21</v>
      </c>
      <c r="C72" s="31" t="s">
        <v>62</v>
      </c>
      <c r="D72" s="31" t="s">
        <v>59</v>
      </c>
      <c r="E72" s="30" t="n">
        <v>60</v>
      </c>
      <c r="F72" s="30" t="n">
        <v>0</v>
      </c>
      <c r="G72" s="30" t="str">
        <f aca="false">IF(E72&lt;判定条件!$C$6,"判定不能",IF(F72&gt;=判定条件!$C$7*E72,"運転",IF(F72&lt;=判定条件!$C$8*E72,"停止","断続")))</f>
        <v>停止</v>
      </c>
      <c r="H72" s="30" t="n">
        <v>60</v>
      </c>
      <c r="I72" s="30" t="n">
        <v>0</v>
      </c>
      <c r="J72" s="30" t="str">
        <f aca="false">IF(H72&lt;判定条件!$C$6,"判定不能",IF(I72&gt;=判定条件!$C$7*H72,"運転",IF(I72&lt;=判定条件!$C$8*H72,"停止","断続")))</f>
        <v>停止</v>
      </c>
      <c r="K72" s="30" t="n">
        <v>60</v>
      </c>
      <c r="L72" s="30" t="n">
        <v>60</v>
      </c>
      <c r="M72" s="30" t="str">
        <f aca="false">IF(K72&lt;判定条件!$C$6,"判定不能",IF(L72&gt;=判定条件!$C$7*K72,"運転",IF(L72&lt;=判定条件!$C$8*K72,"停止","断続")))</f>
        <v>運転</v>
      </c>
      <c r="N72" s="30" t="n">
        <v>60</v>
      </c>
      <c r="O72" s="30" t="n">
        <v>0</v>
      </c>
      <c r="P72" s="30" t="str">
        <f aca="false">IF(N72&lt;判定条件!$C$6,"判定不能",IF(O72&gt;=判定条件!$C$7*N72,"運転",IF(O72&lt;=判定条件!$C$8*N72,"停止","断続")))</f>
        <v>停止</v>
      </c>
      <c r="Q72" s="30" t="n">
        <v>60</v>
      </c>
      <c r="R72" s="30" t="n">
        <v>60</v>
      </c>
      <c r="S72" s="30" t="str">
        <f aca="false">IF(Q72&lt;判定条件!$C$6,"判定不能",IF(R72&gt;=判定条件!$C$7*Q72,"運転",IF(R72&lt;=判定条件!$C$8*Q72,"停止","断続")))</f>
        <v>運転</v>
      </c>
      <c r="T72" s="30" t="n">
        <v>60</v>
      </c>
      <c r="U72" s="30" t="n">
        <v>55</v>
      </c>
      <c r="V72" s="30" t="str">
        <f aca="false">IF(T72&lt;判定条件!$C$6,"判定不能",IF(U72&gt;=判定条件!$C$7*T72,"運転",IF(U72&lt;=判定条件!$C$8*T72,"停止","断続")))</f>
        <v>運転</v>
      </c>
      <c r="W72" s="30" t="n">
        <v>60</v>
      </c>
      <c r="X72" s="30" t="n">
        <v>0</v>
      </c>
      <c r="Y72" s="30" t="str">
        <f aca="false">IF(W72&lt;判定条件!$C$6,"判定不能",IF(X72&gt;=判定条件!$C$7*W72,"運転",IF(X72&lt;=判定条件!$C$8*W72,"停止","断続")))</f>
        <v>停止</v>
      </c>
      <c r="Z72" s="30" t="n">
        <v>60</v>
      </c>
      <c r="AA72" s="30" t="n">
        <v>0</v>
      </c>
      <c r="AB72" s="30" t="str">
        <f aca="false">IF(Z72&lt;判定条件!$C$6,"判定不能",IF(AA72&gt;=判定条件!$C$7*Z72,"運転",IF(AA72&lt;=判定条件!$C$8*Z72,"停止","断続")))</f>
        <v>停止</v>
      </c>
      <c r="AC72" s="30" t="n">
        <v>60</v>
      </c>
      <c r="AD72" s="30" t="n">
        <v>0</v>
      </c>
      <c r="AE72" s="30" t="str">
        <f aca="false">IF(AC72&lt;判定条件!$C$6,"判定不能",IF(AD72&gt;=判定条件!$C$7*AC72,"運転",IF(AD72&lt;=判定条件!$C$8*AC72,"停止","断続")))</f>
        <v>停止</v>
      </c>
      <c r="AF72" s="30" t="n">
        <v>60</v>
      </c>
      <c r="AG72" s="30" t="n">
        <v>0</v>
      </c>
      <c r="AH72" s="30" t="str">
        <f aca="false">IF(OR(P72="判定不能",G72="判定不能"),"判定不能",IF(AG72&gt;=判定条件!$C$9,"利用可",IF(AND(P72="停止",G72="停止"),"両方停止","運転がそろわない")))</f>
        <v>両方停止</v>
      </c>
      <c r="AI72" s="30" t="n">
        <v>60</v>
      </c>
      <c r="AJ72" s="30" t="n">
        <v>0</v>
      </c>
      <c r="AK72" s="30" t="str">
        <f aca="false">IF(OR(S72="判定不能",J72="判定不能"),"判定不能",IF(AJ72&gt;=判定条件!$C$9,"利用可",IF(AND(S72="停止",J72="停止"),"両方停止","運転がそろわない")))</f>
        <v>運転がそろわない</v>
      </c>
      <c r="AL72" s="30" t="n">
        <v>60</v>
      </c>
      <c r="AM72" s="30" t="n">
        <v>55</v>
      </c>
      <c r="AN72" s="30" t="str">
        <f aca="false">IF(OR(V72="判定不能",M72="判定不能"),"判定不能",IF(AM72&gt;=判定条件!$C$9,"利用可",IF(AND(V72="停止",M72="停止"),"両方停止","運転がそろわない")))</f>
        <v>利用可</v>
      </c>
      <c r="AO72" s="30" t="n">
        <v>60</v>
      </c>
      <c r="AP72" s="30" t="n">
        <v>0</v>
      </c>
      <c r="AQ72" s="30" t="str">
        <f aca="false">IF(OR(Y72="判定不能",G72="判定不能"),"判定不能",IF(AP72&gt;=判定条件!$C$9,"利用可",IF(AND(Y72="停止",G72="停止"),"両方停止","運転がそろわない")))</f>
        <v>両方停止</v>
      </c>
      <c r="AR72" s="30" t="n">
        <v>60</v>
      </c>
      <c r="AS72" s="30" t="n">
        <v>0</v>
      </c>
      <c r="AT72" s="30" t="str">
        <f aca="false">IF(OR(AB72="判定不能",J72="判定不能"),"判定不能",IF(AS72&gt;=判定条件!$C$9,"利用可",IF(AND(AB72="停止",J72="停止"),"両方停止","運転がそろわない")))</f>
        <v>両方停止</v>
      </c>
      <c r="AU72" s="30" t="n">
        <v>60</v>
      </c>
      <c r="AV72" s="30" t="n">
        <v>0</v>
      </c>
      <c r="AW72" s="30" t="str">
        <f aca="false">IF(OR(AE72="判定不能",M72="判定不能"),"判定不能",IF(AV72&gt;=判定条件!$C$9,"利用可",IF(AND(AE72="停止",M72="停止"),"両方停止","運転がそろわない")))</f>
        <v>運転がそろわない</v>
      </c>
      <c r="AX72" s="30" t="str">
        <f aca="false">IF(AND(AH72="利用可",AK72="利用可",AN72="利用可"),"利用可","不可")</f>
        <v>不可</v>
      </c>
      <c r="AY72" s="30" t="str">
        <f aca="false">IF(AND(AQ72="利用可",AT72="利用可",AW72="利用可"),"利用可","不可")</f>
        <v>不可</v>
      </c>
    </row>
    <row r="73" customFormat="false" ht="15" hidden="false" customHeight="false" outlineLevel="0" collapsed="false">
      <c r="A73" s="29" t="n">
        <v>46234</v>
      </c>
      <c r="B73" s="30" t="n">
        <v>22</v>
      </c>
      <c r="C73" s="31" t="s">
        <v>62</v>
      </c>
      <c r="D73" s="31" t="s">
        <v>59</v>
      </c>
      <c r="E73" s="30" t="n">
        <v>60</v>
      </c>
      <c r="F73" s="30" t="n">
        <v>0</v>
      </c>
      <c r="G73" s="30" t="str">
        <f aca="false">IF(E73&lt;判定条件!$C$6,"判定不能",IF(F73&gt;=判定条件!$C$7*E73,"運転",IF(F73&lt;=判定条件!$C$8*E73,"停止","断続")))</f>
        <v>停止</v>
      </c>
      <c r="H73" s="30" t="n">
        <v>60</v>
      </c>
      <c r="I73" s="30" t="n">
        <v>0</v>
      </c>
      <c r="J73" s="30" t="str">
        <f aca="false">IF(H73&lt;判定条件!$C$6,"判定不能",IF(I73&gt;=判定条件!$C$7*H73,"運転",IF(I73&lt;=判定条件!$C$8*H73,"停止","断続")))</f>
        <v>停止</v>
      </c>
      <c r="K73" s="30" t="n">
        <v>60</v>
      </c>
      <c r="L73" s="30" t="n">
        <v>60</v>
      </c>
      <c r="M73" s="30" t="str">
        <f aca="false">IF(K73&lt;判定条件!$C$6,"判定不能",IF(L73&gt;=判定条件!$C$7*K73,"運転",IF(L73&lt;=判定条件!$C$8*K73,"停止","断続")))</f>
        <v>運転</v>
      </c>
      <c r="N73" s="30" t="n">
        <v>60</v>
      </c>
      <c r="O73" s="30" t="n">
        <v>0</v>
      </c>
      <c r="P73" s="30" t="str">
        <f aca="false">IF(N73&lt;判定条件!$C$6,"判定不能",IF(O73&gt;=判定条件!$C$7*N73,"運転",IF(O73&lt;=判定条件!$C$8*N73,"停止","断続")))</f>
        <v>停止</v>
      </c>
      <c r="Q73" s="30" t="n">
        <v>60</v>
      </c>
      <c r="R73" s="30" t="n">
        <v>8</v>
      </c>
      <c r="S73" s="30" t="str">
        <f aca="false">IF(Q73&lt;判定条件!$C$6,"判定不能",IF(R73&gt;=判定条件!$C$7*Q73,"運転",IF(R73&lt;=判定条件!$C$8*Q73,"停止","断続")))</f>
        <v>停止</v>
      </c>
      <c r="T73" s="30" t="n">
        <v>60</v>
      </c>
      <c r="U73" s="30" t="n">
        <v>0</v>
      </c>
      <c r="V73" s="30" t="str">
        <f aca="false">IF(T73&lt;判定条件!$C$6,"判定不能",IF(U73&gt;=判定条件!$C$7*T73,"運転",IF(U73&lt;=判定条件!$C$8*T73,"停止","断続")))</f>
        <v>停止</v>
      </c>
      <c r="W73" s="30" t="n">
        <v>60</v>
      </c>
      <c r="X73" s="30" t="n">
        <v>0</v>
      </c>
      <c r="Y73" s="30" t="str">
        <f aca="false">IF(W73&lt;判定条件!$C$6,"判定不能",IF(X73&gt;=判定条件!$C$7*W73,"運転",IF(X73&lt;=判定条件!$C$8*W73,"停止","断続")))</f>
        <v>停止</v>
      </c>
      <c r="Z73" s="30" t="n">
        <v>60</v>
      </c>
      <c r="AA73" s="30" t="n">
        <v>0</v>
      </c>
      <c r="AB73" s="30" t="str">
        <f aca="false">IF(Z73&lt;判定条件!$C$6,"判定不能",IF(AA73&gt;=判定条件!$C$7*Z73,"運転",IF(AA73&lt;=判定条件!$C$8*Z73,"停止","断続")))</f>
        <v>停止</v>
      </c>
      <c r="AC73" s="30" t="n">
        <v>60</v>
      </c>
      <c r="AD73" s="30" t="n">
        <v>0</v>
      </c>
      <c r="AE73" s="30" t="str">
        <f aca="false">IF(AC73&lt;判定条件!$C$6,"判定不能",IF(AD73&gt;=判定条件!$C$7*AC73,"運転",IF(AD73&lt;=判定条件!$C$8*AC73,"停止","断続")))</f>
        <v>停止</v>
      </c>
      <c r="AF73" s="30" t="n">
        <v>60</v>
      </c>
      <c r="AG73" s="30" t="n">
        <v>0</v>
      </c>
      <c r="AH73" s="30" t="str">
        <f aca="false">IF(OR(P73="判定不能",G73="判定不能"),"判定不能",IF(AG73&gt;=判定条件!$C$9,"利用可",IF(AND(P73="停止",G73="停止"),"両方停止","運転がそろわない")))</f>
        <v>両方停止</v>
      </c>
      <c r="AI73" s="30" t="n">
        <v>60</v>
      </c>
      <c r="AJ73" s="30" t="n">
        <v>0</v>
      </c>
      <c r="AK73" s="30" t="str">
        <f aca="false">IF(OR(S73="判定不能",J73="判定不能"),"判定不能",IF(AJ73&gt;=判定条件!$C$9,"利用可",IF(AND(S73="停止",J73="停止"),"両方停止","運転がそろわない")))</f>
        <v>両方停止</v>
      </c>
      <c r="AL73" s="30" t="n">
        <v>60</v>
      </c>
      <c r="AM73" s="30" t="n">
        <v>0</v>
      </c>
      <c r="AN73" s="30" t="str">
        <f aca="false">IF(OR(V73="判定不能",M73="判定不能"),"判定不能",IF(AM73&gt;=判定条件!$C$9,"利用可",IF(AND(V73="停止",M73="停止"),"両方停止","運転がそろわない")))</f>
        <v>運転がそろわない</v>
      </c>
      <c r="AO73" s="30" t="n">
        <v>60</v>
      </c>
      <c r="AP73" s="30" t="n">
        <v>0</v>
      </c>
      <c r="AQ73" s="30" t="str">
        <f aca="false">IF(OR(Y73="判定不能",G73="判定不能"),"判定不能",IF(AP73&gt;=判定条件!$C$9,"利用可",IF(AND(Y73="停止",G73="停止"),"両方停止","運転がそろわない")))</f>
        <v>両方停止</v>
      </c>
      <c r="AR73" s="30" t="n">
        <v>60</v>
      </c>
      <c r="AS73" s="30" t="n">
        <v>0</v>
      </c>
      <c r="AT73" s="30" t="str">
        <f aca="false">IF(OR(AB73="判定不能",J73="判定不能"),"判定不能",IF(AS73&gt;=判定条件!$C$9,"利用可",IF(AND(AB73="停止",J73="停止"),"両方停止","運転がそろわない")))</f>
        <v>両方停止</v>
      </c>
      <c r="AU73" s="30" t="n">
        <v>60</v>
      </c>
      <c r="AV73" s="30" t="n">
        <v>0</v>
      </c>
      <c r="AW73" s="30" t="str">
        <f aca="false">IF(OR(AE73="判定不能",M73="判定不能"),"判定不能",IF(AV73&gt;=判定条件!$C$9,"利用可",IF(AND(AE73="停止",M73="停止"),"両方停止","運転がそろわない")))</f>
        <v>運転がそろわない</v>
      </c>
      <c r="AX73" s="30" t="str">
        <f aca="false">IF(AND(AH73="利用可",AK73="利用可",AN73="利用可"),"利用可","不可")</f>
        <v>不可</v>
      </c>
      <c r="AY73" s="30" t="str">
        <f aca="false">IF(AND(AQ73="利用可",AT73="利用可",AW73="利用可"),"利用可","不可")</f>
        <v>不可</v>
      </c>
    </row>
    <row r="74" customFormat="false" ht="15" hidden="false" customHeight="false" outlineLevel="0" collapsed="false">
      <c r="A74" s="29" t="n">
        <v>46234</v>
      </c>
      <c r="B74" s="30" t="n">
        <v>23</v>
      </c>
      <c r="C74" s="31" t="s">
        <v>62</v>
      </c>
      <c r="D74" s="31" t="s">
        <v>59</v>
      </c>
      <c r="E74" s="30" t="n">
        <v>60</v>
      </c>
      <c r="F74" s="30" t="n">
        <v>0</v>
      </c>
      <c r="G74" s="30" t="str">
        <f aca="false">IF(E74&lt;判定条件!$C$6,"判定不能",IF(F74&gt;=判定条件!$C$7*E74,"運転",IF(F74&lt;=判定条件!$C$8*E74,"停止","断続")))</f>
        <v>停止</v>
      </c>
      <c r="H74" s="30" t="n">
        <v>60</v>
      </c>
      <c r="I74" s="30" t="n">
        <v>0</v>
      </c>
      <c r="J74" s="30" t="str">
        <f aca="false">IF(H74&lt;判定条件!$C$6,"判定不能",IF(I74&gt;=判定条件!$C$7*H74,"運転",IF(I74&lt;=判定条件!$C$8*H74,"停止","断続")))</f>
        <v>停止</v>
      </c>
      <c r="K74" s="30" t="n">
        <v>60</v>
      </c>
      <c r="L74" s="30" t="n">
        <v>60</v>
      </c>
      <c r="M74" s="30" t="str">
        <f aca="false">IF(K74&lt;判定条件!$C$6,"判定不能",IF(L74&gt;=判定条件!$C$7*K74,"運転",IF(L74&lt;=判定条件!$C$8*K74,"停止","断続")))</f>
        <v>運転</v>
      </c>
      <c r="N74" s="30" t="n">
        <v>60</v>
      </c>
      <c r="O74" s="30" t="n">
        <v>0</v>
      </c>
      <c r="P74" s="30" t="str">
        <f aca="false">IF(N74&lt;判定条件!$C$6,"判定不能",IF(O74&gt;=判定条件!$C$7*N74,"運転",IF(O74&lt;=判定条件!$C$8*N74,"停止","断続")))</f>
        <v>停止</v>
      </c>
      <c r="Q74" s="30" t="n">
        <v>60</v>
      </c>
      <c r="R74" s="30" t="n">
        <v>0</v>
      </c>
      <c r="S74" s="30" t="str">
        <f aca="false">IF(Q74&lt;判定条件!$C$6,"判定不能",IF(R74&gt;=判定条件!$C$7*Q74,"運転",IF(R74&lt;=判定条件!$C$8*Q74,"停止","断続")))</f>
        <v>停止</v>
      </c>
      <c r="T74" s="30" t="n">
        <v>60</v>
      </c>
      <c r="U74" s="30" t="n">
        <v>0</v>
      </c>
      <c r="V74" s="30" t="str">
        <f aca="false">IF(T74&lt;判定条件!$C$6,"判定不能",IF(U74&gt;=判定条件!$C$7*T74,"運転",IF(U74&lt;=判定条件!$C$8*T74,"停止","断続")))</f>
        <v>停止</v>
      </c>
      <c r="W74" s="30" t="n">
        <v>60</v>
      </c>
      <c r="X74" s="30" t="n">
        <v>0</v>
      </c>
      <c r="Y74" s="30" t="str">
        <f aca="false">IF(W74&lt;判定条件!$C$6,"判定不能",IF(X74&gt;=判定条件!$C$7*W74,"運転",IF(X74&lt;=判定条件!$C$8*W74,"停止","断続")))</f>
        <v>停止</v>
      </c>
      <c r="Z74" s="30" t="n">
        <v>60</v>
      </c>
      <c r="AA74" s="30" t="n">
        <v>0</v>
      </c>
      <c r="AB74" s="30" t="str">
        <f aca="false">IF(Z74&lt;判定条件!$C$6,"判定不能",IF(AA74&gt;=判定条件!$C$7*Z74,"運転",IF(AA74&lt;=判定条件!$C$8*Z74,"停止","断続")))</f>
        <v>停止</v>
      </c>
      <c r="AC74" s="30" t="n">
        <v>60</v>
      </c>
      <c r="AD74" s="30" t="n">
        <v>0</v>
      </c>
      <c r="AE74" s="30" t="str">
        <f aca="false">IF(AC74&lt;判定条件!$C$6,"判定不能",IF(AD74&gt;=判定条件!$C$7*AC74,"運転",IF(AD74&lt;=判定条件!$C$8*AC74,"停止","断続")))</f>
        <v>停止</v>
      </c>
      <c r="AF74" s="30" t="n">
        <v>60</v>
      </c>
      <c r="AG74" s="30" t="n">
        <v>0</v>
      </c>
      <c r="AH74" s="30" t="str">
        <f aca="false">IF(OR(P74="判定不能",G74="判定不能"),"判定不能",IF(AG74&gt;=判定条件!$C$9,"利用可",IF(AND(P74="停止",G74="停止"),"両方停止","運転がそろわない")))</f>
        <v>両方停止</v>
      </c>
      <c r="AI74" s="30" t="n">
        <v>60</v>
      </c>
      <c r="AJ74" s="30" t="n">
        <v>0</v>
      </c>
      <c r="AK74" s="30" t="str">
        <f aca="false">IF(OR(S74="判定不能",J74="判定不能"),"判定不能",IF(AJ74&gt;=判定条件!$C$9,"利用可",IF(AND(S74="停止",J74="停止"),"両方停止","運転がそろわない")))</f>
        <v>両方停止</v>
      </c>
      <c r="AL74" s="30" t="n">
        <v>60</v>
      </c>
      <c r="AM74" s="30" t="n">
        <v>0</v>
      </c>
      <c r="AN74" s="30" t="str">
        <f aca="false">IF(OR(V74="判定不能",M74="判定不能"),"判定不能",IF(AM74&gt;=判定条件!$C$9,"利用可",IF(AND(V74="停止",M74="停止"),"両方停止","運転がそろわない")))</f>
        <v>運転がそろわない</v>
      </c>
      <c r="AO74" s="30" t="n">
        <v>60</v>
      </c>
      <c r="AP74" s="30" t="n">
        <v>0</v>
      </c>
      <c r="AQ74" s="30" t="str">
        <f aca="false">IF(OR(Y74="判定不能",G74="判定不能"),"判定不能",IF(AP74&gt;=判定条件!$C$9,"利用可",IF(AND(Y74="停止",G74="停止"),"両方停止","運転がそろわない")))</f>
        <v>両方停止</v>
      </c>
      <c r="AR74" s="30" t="n">
        <v>60</v>
      </c>
      <c r="AS74" s="30" t="n">
        <v>0</v>
      </c>
      <c r="AT74" s="30" t="str">
        <f aca="false">IF(OR(AB74="判定不能",J74="判定不能"),"判定不能",IF(AS74&gt;=判定条件!$C$9,"利用可",IF(AND(AB74="停止",J74="停止"),"両方停止","運転がそろわない")))</f>
        <v>両方停止</v>
      </c>
      <c r="AU74" s="30" t="n">
        <v>60</v>
      </c>
      <c r="AV74" s="30" t="n">
        <v>0</v>
      </c>
      <c r="AW74" s="30" t="str">
        <f aca="false">IF(OR(AE74="判定不能",M74="判定不能"),"判定不能",IF(AV74&gt;=判定条件!$C$9,"利用可",IF(AND(AE74="停止",M74="停止"),"両方停止","運転がそろわない")))</f>
        <v>運転がそろわない</v>
      </c>
      <c r="AX74" s="30" t="str">
        <f aca="false">IF(AND(AH74="利用可",AK74="利用可",AN74="利用可"),"利用可","不可")</f>
        <v>不可</v>
      </c>
      <c r="AY74" s="30" t="str">
        <f aca="false">IF(AND(AQ74="利用可",AT74="利用可",AW74="利用可"),"利用可","不可")</f>
        <v>不可</v>
      </c>
    </row>
    <row r="75" customFormat="false" ht="15" hidden="false" customHeight="false" outlineLevel="0" collapsed="false">
      <c r="A75" s="29" t="n">
        <v>46235</v>
      </c>
      <c r="B75" s="30" t="n">
        <v>0</v>
      </c>
      <c r="C75" s="31" t="s">
        <v>63</v>
      </c>
      <c r="D75" s="31" t="s">
        <v>64</v>
      </c>
      <c r="E75" s="30" t="n">
        <v>60</v>
      </c>
      <c r="F75" s="30" t="n">
        <v>0</v>
      </c>
      <c r="G75" s="30" t="str">
        <f aca="false">IF(E75&lt;判定条件!$C$6,"判定不能",IF(F75&gt;=判定条件!$C$7*E75,"運転",IF(F75&lt;=判定条件!$C$8*E75,"停止","断続")))</f>
        <v>停止</v>
      </c>
      <c r="H75" s="30" t="n">
        <v>60</v>
      </c>
      <c r="I75" s="30" t="n">
        <v>0</v>
      </c>
      <c r="J75" s="30" t="str">
        <f aca="false">IF(H75&lt;判定条件!$C$6,"判定不能",IF(I75&gt;=判定条件!$C$7*H75,"運転",IF(I75&lt;=判定条件!$C$8*H75,"停止","断続")))</f>
        <v>停止</v>
      </c>
      <c r="K75" s="30" t="n">
        <v>60</v>
      </c>
      <c r="L75" s="30" t="n">
        <v>60</v>
      </c>
      <c r="M75" s="30" t="str">
        <f aca="false">IF(K75&lt;判定条件!$C$6,"判定不能",IF(L75&gt;=判定条件!$C$7*K75,"運転",IF(L75&lt;=判定条件!$C$8*K75,"停止","断続")))</f>
        <v>運転</v>
      </c>
      <c r="N75" s="30" t="n">
        <v>60</v>
      </c>
      <c r="O75" s="30" t="n">
        <v>0</v>
      </c>
      <c r="P75" s="30" t="str">
        <f aca="false">IF(N75&lt;判定条件!$C$6,"判定不能",IF(O75&gt;=判定条件!$C$7*N75,"運転",IF(O75&lt;=判定条件!$C$8*N75,"停止","断続")))</f>
        <v>停止</v>
      </c>
      <c r="Q75" s="30" t="n">
        <v>60</v>
      </c>
      <c r="R75" s="30" t="n">
        <v>0</v>
      </c>
      <c r="S75" s="30" t="str">
        <f aca="false">IF(Q75&lt;判定条件!$C$6,"判定不能",IF(R75&gt;=判定条件!$C$7*Q75,"運転",IF(R75&lt;=判定条件!$C$8*Q75,"停止","断続")))</f>
        <v>停止</v>
      </c>
      <c r="T75" s="30" t="n">
        <v>60</v>
      </c>
      <c r="U75" s="30" t="n">
        <v>0</v>
      </c>
      <c r="V75" s="30" t="str">
        <f aca="false">IF(T75&lt;判定条件!$C$6,"判定不能",IF(U75&gt;=判定条件!$C$7*T75,"運転",IF(U75&lt;=判定条件!$C$8*T75,"停止","断続")))</f>
        <v>停止</v>
      </c>
      <c r="W75" s="30" t="n">
        <v>60</v>
      </c>
      <c r="X75" s="30" t="n">
        <v>0</v>
      </c>
      <c r="Y75" s="30" t="str">
        <f aca="false">IF(W75&lt;判定条件!$C$6,"判定不能",IF(X75&gt;=判定条件!$C$7*W75,"運転",IF(X75&lt;=判定条件!$C$8*W75,"停止","断続")))</f>
        <v>停止</v>
      </c>
      <c r="Z75" s="30" t="n">
        <v>60</v>
      </c>
      <c r="AA75" s="30" t="n">
        <v>0</v>
      </c>
      <c r="AB75" s="30" t="str">
        <f aca="false">IF(Z75&lt;判定条件!$C$6,"判定不能",IF(AA75&gt;=判定条件!$C$7*Z75,"運転",IF(AA75&lt;=判定条件!$C$8*Z75,"停止","断続")))</f>
        <v>停止</v>
      </c>
      <c r="AC75" s="30" t="n">
        <v>60</v>
      </c>
      <c r="AD75" s="30" t="n">
        <v>0</v>
      </c>
      <c r="AE75" s="30" t="str">
        <f aca="false">IF(AC75&lt;判定条件!$C$6,"判定不能",IF(AD75&gt;=判定条件!$C$7*AC75,"運転",IF(AD75&lt;=判定条件!$C$8*AC75,"停止","断続")))</f>
        <v>停止</v>
      </c>
      <c r="AF75" s="30" t="n">
        <v>60</v>
      </c>
      <c r="AG75" s="30" t="n">
        <v>0</v>
      </c>
      <c r="AH75" s="30" t="str">
        <f aca="false">IF(OR(P75="判定不能",G75="判定不能"),"判定不能",IF(AG75&gt;=判定条件!$C$9,"利用可",IF(AND(P75="停止",G75="停止"),"両方停止","運転がそろわない")))</f>
        <v>両方停止</v>
      </c>
      <c r="AI75" s="30" t="n">
        <v>60</v>
      </c>
      <c r="AJ75" s="30" t="n">
        <v>0</v>
      </c>
      <c r="AK75" s="30" t="str">
        <f aca="false">IF(OR(S75="判定不能",J75="判定不能"),"判定不能",IF(AJ75&gt;=判定条件!$C$9,"利用可",IF(AND(S75="停止",J75="停止"),"両方停止","運転がそろわない")))</f>
        <v>両方停止</v>
      </c>
      <c r="AL75" s="30" t="n">
        <v>60</v>
      </c>
      <c r="AM75" s="30" t="n">
        <v>0</v>
      </c>
      <c r="AN75" s="30" t="str">
        <f aca="false">IF(OR(V75="判定不能",M75="判定不能"),"判定不能",IF(AM75&gt;=判定条件!$C$9,"利用可",IF(AND(V75="停止",M75="停止"),"両方停止","運転がそろわない")))</f>
        <v>運転がそろわない</v>
      </c>
      <c r="AO75" s="30" t="n">
        <v>60</v>
      </c>
      <c r="AP75" s="30" t="n">
        <v>0</v>
      </c>
      <c r="AQ75" s="30" t="str">
        <f aca="false">IF(OR(Y75="判定不能",G75="判定不能"),"判定不能",IF(AP75&gt;=判定条件!$C$9,"利用可",IF(AND(Y75="停止",G75="停止"),"両方停止","運転がそろわない")))</f>
        <v>両方停止</v>
      </c>
      <c r="AR75" s="30" t="n">
        <v>60</v>
      </c>
      <c r="AS75" s="30" t="n">
        <v>0</v>
      </c>
      <c r="AT75" s="30" t="str">
        <f aca="false">IF(OR(AB75="判定不能",J75="判定不能"),"判定不能",IF(AS75&gt;=判定条件!$C$9,"利用可",IF(AND(AB75="停止",J75="停止"),"両方停止","運転がそろわない")))</f>
        <v>両方停止</v>
      </c>
      <c r="AU75" s="30" t="n">
        <v>60</v>
      </c>
      <c r="AV75" s="30" t="n">
        <v>0</v>
      </c>
      <c r="AW75" s="30" t="str">
        <f aca="false">IF(OR(AE75="判定不能",M75="判定不能"),"判定不能",IF(AV75&gt;=判定条件!$C$9,"利用可",IF(AND(AE75="停止",M75="停止"),"両方停止","運転がそろわない")))</f>
        <v>運転がそろわない</v>
      </c>
      <c r="AX75" s="30" t="str">
        <f aca="false">IF(AND(AH75="利用可",AK75="利用可",AN75="利用可"),"利用可","不可")</f>
        <v>不可</v>
      </c>
      <c r="AY75" s="30" t="str">
        <f aca="false">IF(AND(AQ75="利用可",AT75="利用可",AW75="利用可"),"利用可","不可")</f>
        <v>不可</v>
      </c>
    </row>
    <row r="76" customFormat="false" ht="15" hidden="false" customHeight="false" outlineLevel="0" collapsed="false">
      <c r="A76" s="29" t="n">
        <v>46235</v>
      </c>
      <c r="B76" s="30" t="n">
        <v>1</v>
      </c>
      <c r="C76" s="31" t="s">
        <v>63</v>
      </c>
      <c r="D76" s="31" t="s">
        <v>64</v>
      </c>
      <c r="E76" s="30" t="n">
        <v>60</v>
      </c>
      <c r="F76" s="30" t="n">
        <v>0</v>
      </c>
      <c r="G76" s="30" t="str">
        <f aca="false">IF(E76&lt;判定条件!$C$6,"判定不能",IF(F76&gt;=判定条件!$C$7*E76,"運転",IF(F76&lt;=判定条件!$C$8*E76,"停止","断続")))</f>
        <v>停止</v>
      </c>
      <c r="H76" s="30" t="n">
        <v>60</v>
      </c>
      <c r="I76" s="30" t="n">
        <v>0</v>
      </c>
      <c r="J76" s="30" t="str">
        <f aca="false">IF(H76&lt;判定条件!$C$6,"判定不能",IF(I76&gt;=判定条件!$C$7*H76,"運転",IF(I76&lt;=判定条件!$C$8*H76,"停止","断続")))</f>
        <v>停止</v>
      </c>
      <c r="K76" s="30" t="n">
        <v>60</v>
      </c>
      <c r="L76" s="30" t="n">
        <v>60</v>
      </c>
      <c r="M76" s="30" t="str">
        <f aca="false">IF(K76&lt;判定条件!$C$6,"判定不能",IF(L76&gt;=判定条件!$C$7*K76,"運転",IF(L76&lt;=判定条件!$C$8*K76,"停止","断続")))</f>
        <v>運転</v>
      </c>
      <c r="N76" s="30" t="n">
        <v>60</v>
      </c>
      <c r="O76" s="30" t="n">
        <v>0</v>
      </c>
      <c r="P76" s="30" t="str">
        <f aca="false">IF(N76&lt;判定条件!$C$6,"判定不能",IF(O76&gt;=判定条件!$C$7*N76,"運転",IF(O76&lt;=判定条件!$C$8*N76,"停止","断続")))</f>
        <v>停止</v>
      </c>
      <c r="Q76" s="30" t="n">
        <v>60</v>
      </c>
      <c r="R76" s="30" t="n">
        <v>0</v>
      </c>
      <c r="S76" s="30" t="str">
        <f aca="false">IF(Q76&lt;判定条件!$C$6,"判定不能",IF(R76&gt;=判定条件!$C$7*Q76,"運転",IF(R76&lt;=判定条件!$C$8*Q76,"停止","断続")))</f>
        <v>停止</v>
      </c>
      <c r="T76" s="30" t="n">
        <v>60</v>
      </c>
      <c r="U76" s="30" t="n">
        <v>0</v>
      </c>
      <c r="V76" s="30" t="str">
        <f aca="false">IF(T76&lt;判定条件!$C$6,"判定不能",IF(U76&gt;=判定条件!$C$7*T76,"運転",IF(U76&lt;=判定条件!$C$8*T76,"停止","断続")))</f>
        <v>停止</v>
      </c>
      <c r="W76" s="30" t="n">
        <v>60</v>
      </c>
      <c r="X76" s="30" t="n">
        <v>0</v>
      </c>
      <c r="Y76" s="30" t="str">
        <f aca="false">IF(W76&lt;判定条件!$C$6,"判定不能",IF(X76&gt;=判定条件!$C$7*W76,"運転",IF(X76&lt;=判定条件!$C$8*W76,"停止","断続")))</f>
        <v>停止</v>
      </c>
      <c r="Z76" s="30" t="n">
        <v>60</v>
      </c>
      <c r="AA76" s="30" t="n">
        <v>0</v>
      </c>
      <c r="AB76" s="30" t="str">
        <f aca="false">IF(Z76&lt;判定条件!$C$6,"判定不能",IF(AA76&gt;=判定条件!$C$7*Z76,"運転",IF(AA76&lt;=判定条件!$C$8*Z76,"停止","断続")))</f>
        <v>停止</v>
      </c>
      <c r="AC76" s="30" t="n">
        <v>60</v>
      </c>
      <c r="AD76" s="30" t="n">
        <v>0</v>
      </c>
      <c r="AE76" s="30" t="str">
        <f aca="false">IF(AC76&lt;判定条件!$C$6,"判定不能",IF(AD76&gt;=判定条件!$C$7*AC76,"運転",IF(AD76&lt;=判定条件!$C$8*AC76,"停止","断続")))</f>
        <v>停止</v>
      </c>
      <c r="AF76" s="30" t="n">
        <v>60</v>
      </c>
      <c r="AG76" s="30" t="n">
        <v>0</v>
      </c>
      <c r="AH76" s="30" t="str">
        <f aca="false">IF(OR(P76="判定不能",G76="判定不能"),"判定不能",IF(AG76&gt;=判定条件!$C$9,"利用可",IF(AND(P76="停止",G76="停止"),"両方停止","運転がそろわない")))</f>
        <v>両方停止</v>
      </c>
      <c r="AI76" s="30" t="n">
        <v>60</v>
      </c>
      <c r="AJ76" s="30" t="n">
        <v>0</v>
      </c>
      <c r="AK76" s="30" t="str">
        <f aca="false">IF(OR(S76="判定不能",J76="判定不能"),"判定不能",IF(AJ76&gt;=判定条件!$C$9,"利用可",IF(AND(S76="停止",J76="停止"),"両方停止","運転がそろわない")))</f>
        <v>両方停止</v>
      </c>
      <c r="AL76" s="30" t="n">
        <v>60</v>
      </c>
      <c r="AM76" s="30" t="n">
        <v>0</v>
      </c>
      <c r="AN76" s="30" t="str">
        <f aca="false">IF(OR(V76="判定不能",M76="判定不能"),"判定不能",IF(AM76&gt;=判定条件!$C$9,"利用可",IF(AND(V76="停止",M76="停止"),"両方停止","運転がそろわない")))</f>
        <v>運転がそろわない</v>
      </c>
      <c r="AO76" s="30" t="n">
        <v>60</v>
      </c>
      <c r="AP76" s="30" t="n">
        <v>0</v>
      </c>
      <c r="AQ76" s="30" t="str">
        <f aca="false">IF(OR(Y76="判定不能",G76="判定不能"),"判定不能",IF(AP76&gt;=判定条件!$C$9,"利用可",IF(AND(Y76="停止",G76="停止"),"両方停止","運転がそろわない")))</f>
        <v>両方停止</v>
      </c>
      <c r="AR76" s="30" t="n">
        <v>60</v>
      </c>
      <c r="AS76" s="30" t="n">
        <v>0</v>
      </c>
      <c r="AT76" s="30" t="str">
        <f aca="false">IF(OR(AB76="判定不能",J76="判定不能"),"判定不能",IF(AS76&gt;=判定条件!$C$9,"利用可",IF(AND(AB76="停止",J76="停止"),"両方停止","運転がそろわない")))</f>
        <v>両方停止</v>
      </c>
      <c r="AU76" s="30" t="n">
        <v>60</v>
      </c>
      <c r="AV76" s="30" t="n">
        <v>0</v>
      </c>
      <c r="AW76" s="30" t="str">
        <f aca="false">IF(OR(AE76="判定不能",M76="判定不能"),"判定不能",IF(AV76&gt;=判定条件!$C$9,"利用可",IF(AND(AE76="停止",M76="停止"),"両方停止","運転がそろわない")))</f>
        <v>運転がそろわない</v>
      </c>
      <c r="AX76" s="30" t="str">
        <f aca="false">IF(AND(AH76="利用可",AK76="利用可",AN76="利用可"),"利用可","不可")</f>
        <v>不可</v>
      </c>
      <c r="AY76" s="30" t="str">
        <f aca="false">IF(AND(AQ76="利用可",AT76="利用可",AW76="利用可"),"利用可","不可")</f>
        <v>不可</v>
      </c>
    </row>
    <row r="77" customFormat="false" ht="15" hidden="false" customHeight="false" outlineLevel="0" collapsed="false">
      <c r="A77" s="29" t="n">
        <v>46235</v>
      </c>
      <c r="B77" s="30" t="n">
        <v>2</v>
      </c>
      <c r="C77" s="31" t="s">
        <v>63</v>
      </c>
      <c r="D77" s="31" t="s">
        <v>64</v>
      </c>
      <c r="E77" s="30" t="n">
        <v>60</v>
      </c>
      <c r="F77" s="30" t="n">
        <v>0</v>
      </c>
      <c r="G77" s="30" t="str">
        <f aca="false">IF(E77&lt;判定条件!$C$6,"判定不能",IF(F77&gt;=判定条件!$C$7*E77,"運転",IF(F77&lt;=判定条件!$C$8*E77,"停止","断続")))</f>
        <v>停止</v>
      </c>
      <c r="H77" s="30" t="n">
        <v>60</v>
      </c>
      <c r="I77" s="30" t="n">
        <v>0</v>
      </c>
      <c r="J77" s="30" t="str">
        <f aca="false">IF(H77&lt;判定条件!$C$6,"判定不能",IF(I77&gt;=判定条件!$C$7*H77,"運転",IF(I77&lt;=判定条件!$C$8*H77,"停止","断続")))</f>
        <v>停止</v>
      </c>
      <c r="K77" s="30" t="n">
        <v>60</v>
      </c>
      <c r="L77" s="30" t="n">
        <v>60</v>
      </c>
      <c r="M77" s="30" t="str">
        <f aca="false">IF(K77&lt;判定条件!$C$6,"判定不能",IF(L77&gt;=判定条件!$C$7*K77,"運転",IF(L77&lt;=判定条件!$C$8*K77,"停止","断続")))</f>
        <v>運転</v>
      </c>
      <c r="N77" s="30" t="n">
        <v>60</v>
      </c>
      <c r="O77" s="30" t="n">
        <v>0</v>
      </c>
      <c r="P77" s="30" t="str">
        <f aca="false">IF(N77&lt;判定条件!$C$6,"判定不能",IF(O77&gt;=判定条件!$C$7*N77,"運転",IF(O77&lt;=判定条件!$C$8*N77,"停止","断続")))</f>
        <v>停止</v>
      </c>
      <c r="Q77" s="30" t="n">
        <v>60</v>
      </c>
      <c r="R77" s="30" t="n">
        <v>0</v>
      </c>
      <c r="S77" s="30" t="str">
        <f aca="false">IF(Q77&lt;判定条件!$C$6,"判定不能",IF(R77&gt;=判定条件!$C$7*Q77,"運転",IF(R77&lt;=判定条件!$C$8*Q77,"停止","断続")))</f>
        <v>停止</v>
      </c>
      <c r="T77" s="30" t="n">
        <v>60</v>
      </c>
      <c r="U77" s="30" t="n">
        <v>0</v>
      </c>
      <c r="V77" s="30" t="str">
        <f aca="false">IF(T77&lt;判定条件!$C$6,"判定不能",IF(U77&gt;=判定条件!$C$7*T77,"運転",IF(U77&lt;=判定条件!$C$8*T77,"停止","断続")))</f>
        <v>停止</v>
      </c>
      <c r="W77" s="30" t="n">
        <v>60</v>
      </c>
      <c r="X77" s="30" t="n">
        <v>0</v>
      </c>
      <c r="Y77" s="30" t="str">
        <f aca="false">IF(W77&lt;判定条件!$C$6,"判定不能",IF(X77&gt;=判定条件!$C$7*W77,"運転",IF(X77&lt;=判定条件!$C$8*W77,"停止","断続")))</f>
        <v>停止</v>
      </c>
      <c r="Z77" s="30" t="n">
        <v>60</v>
      </c>
      <c r="AA77" s="30" t="n">
        <v>0</v>
      </c>
      <c r="AB77" s="30" t="str">
        <f aca="false">IF(Z77&lt;判定条件!$C$6,"判定不能",IF(AA77&gt;=判定条件!$C$7*Z77,"運転",IF(AA77&lt;=判定条件!$C$8*Z77,"停止","断続")))</f>
        <v>停止</v>
      </c>
      <c r="AC77" s="30" t="n">
        <v>60</v>
      </c>
      <c r="AD77" s="30" t="n">
        <v>0</v>
      </c>
      <c r="AE77" s="30" t="str">
        <f aca="false">IF(AC77&lt;判定条件!$C$6,"判定不能",IF(AD77&gt;=判定条件!$C$7*AC77,"運転",IF(AD77&lt;=判定条件!$C$8*AC77,"停止","断続")))</f>
        <v>停止</v>
      </c>
      <c r="AF77" s="30" t="n">
        <v>60</v>
      </c>
      <c r="AG77" s="30" t="n">
        <v>0</v>
      </c>
      <c r="AH77" s="30" t="str">
        <f aca="false">IF(OR(P77="判定不能",G77="判定不能"),"判定不能",IF(AG77&gt;=判定条件!$C$9,"利用可",IF(AND(P77="停止",G77="停止"),"両方停止","運転がそろわない")))</f>
        <v>両方停止</v>
      </c>
      <c r="AI77" s="30" t="n">
        <v>60</v>
      </c>
      <c r="AJ77" s="30" t="n">
        <v>0</v>
      </c>
      <c r="AK77" s="30" t="str">
        <f aca="false">IF(OR(S77="判定不能",J77="判定不能"),"判定不能",IF(AJ77&gt;=判定条件!$C$9,"利用可",IF(AND(S77="停止",J77="停止"),"両方停止","運転がそろわない")))</f>
        <v>両方停止</v>
      </c>
      <c r="AL77" s="30" t="n">
        <v>60</v>
      </c>
      <c r="AM77" s="30" t="n">
        <v>0</v>
      </c>
      <c r="AN77" s="30" t="str">
        <f aca="false">IF(OR(V77="判定不能",M77="判定不能"),"判定不能",IF(AM77&gt;=判定条件!$C$9,"利用可",IF(AND(V77="停止",M77="停止"),"両方停止","運転がそろわない")))</f>
        <v>運転がそろわない</v>
      </c>
      <c r="AO77" s="30" t="n">
        <v>60</v>
      </c>
      <c r="AP77" s="30" t="n">
        <v>0</v>
      </c>
      <c r="AQ77" s="30" t="str">
        <f aca="false">IF(OR(Y77="判定不能",G77="判定不能"),"判定不能",IF(AP77&gt;=判定条件!$C$9,"利用可",IF(AND(Y77="停止",G77="停止"),"両方停止","運転がそろわない")))</f>
        <v>両方停止</v>
      </c>
      <c r="AR77" s="30" t="n">
        <v>60</v>
      </c>
      <c r="AS77" s="30" t="n">
        <v>0</v>
      </c>
      <c r="AT77" s="30" t="str">
        <f aca="false">IF(OR(AB77="判定不能",J77="判定不能"),"判定不能",IF(AS77&gt;=判定条件!$C$9,"利用可",IF(AND(AB77="停止",J77="停止"),"両方停止","運転がそろわない")))</f>
        <v>両方停止</v>
      </c>
      <c r="AU77" s="30" t="n">
        <v>60</v>
      </c>
      <c r="AV77" s="30" t="n">
        <v>0</v>
      </c>
      <c r="AW77" s="30" t="str">
        <f aca="false">IF(OR(AE77="判定不能",M77="判定不能"),"判定不能",IF(AV77&gt;=判定条件!$C$9,"利用可",IF(AND(AE77="停止",M77="停止"),"両方停止","運転がそろわない")))</f>
        <v>運転がそろわない</v>
      </c>
      <c r="AX77" s="30" t="str">
        <f aca="false">IF(AND(AH77="利用可",AK77="利用可",AN77="利用可"),"利用可","不可")</f>
        <v>不可</v>
      </c>
      <c r="AY77" s="30" t="str">
        <f aca="false">IF(AND(AQ77="利用可",AT77="利用可",AW77="利用可"),"利用可","不可")</f>
        <v>不可</v>
      </c>
    </row>
    <row r="78" customFormat="false" ht="15" hidden="false" customHeight="false" outlineLevel="0" collapsed="false">
      <c r="A78" s="29" t="n">
        <v>46235</v>
      </c>
      <c r="B78" s="30" t="n">
        <v>3</v>
      </c>
      <c r="C78" s="31" t="s">
        <v>63</v>
      </c>
      <c r="D78" s="31" t="s">
        <v>64</v>
      </c>
      <c r="E78" s="30" t="n">
        <v>60</v>
      </c>
      <c r="F78" s="30" t="n">
        <v>0</v>
      </c>
      <c r="G78" s="30" t="str">
        <f aca="false">IF(E78&lt;判定条件!$C$6,"判定不能",IF(F78&gt;=判定条件!$C$7*E78,"運転",IF(F78&lt;=判定条件!$C$8*E78,"停止","断続")))</f>
        <v>停止</v>
      </c>
      <c r="H78" s="30" t="n">
        <v>60</v>
      </c>
      <c r="I78" s="30" t="n">
        <v>0</v>
      </c>
      <c r="J78" s="30" t="str">
        <f aca="false">IF(H78&lt;判定条件!$C$6,"判定不能",IF(I78&gt;=判定条件!$C$7*H78,"運転",IF(I78&lt;=判定条件!$C$8*H78,"停止","断続")))</f>
        <v>停止</v>
      </c>
      <c r="K78" s="30" t="n">
        <v>60</v>
      </c>
      <c r="L78" s="30" t="n">
        <v>60</v>
      </c>
      <c r="M78" s="30" t="str">
        <f aca="false">IF(K78&lt;判定条件!$C$6,"判定不能",IF(L78&gt;=判定条件!$C$7*K78,"運転",IF(L78&lt;=判定条件!$C$8*K78,"停止","断続")))</f>
        <v>運転</v>
      </c>
      <c r="N78" s="30" t="n">
        <v>60</v>
      </c>
      <c r="O78" s="30" t="n">
        <v>0</v>
      </c>
      <c r="P78" s="30" t="str">
        <f aca="false">IF(N78&lt;判定条件!$C$6,"判定不能",IF(O78&gt;=判定条件!$C$7*N78,"運転",IF(O78&lt;=判定条件!$C$8*N78,"停止","断続")))</f>
        <v>停止</v>
      </c>
      <c r="Q78" s="30" t="n">
        <v>60</v>
      </c>
      <c r="R78" s="30" t="n">
        <v>0</v>
      </c>
      <c r="S78" s="30" t="str">
        <f aca="false">IF(Q78&lt;判定条件!$C$6,"判定不能",IF(R78&gt;=判定条件!$C$7*Q78,"運転",IF(R78&lt;=判定条件!$C$8*Q78,"停止","断続")))</f>
        <v>停止</v>
      </c>
      <c r="T78" s="30" t="n">
        <v>60</v>
      </c>
      <c r="U78" s="30" t="n">
        <v>0</v>
      </c>
      <c r="V78" s="30" t="str">
        <f aca="false">IF(T78&lt;判定条件!$C$6,"判定不能",IF(U78&gt;=判定条件!$C$7*T78,"運転",IF(U78&lt;=判定条件!$C$8*T78,"停止","断続")))</f>
        <v>停止</v>
      </c>
      <c r="W78" s="30" t="n">
        <v>60</v>
      </c>
      <c r="X78" s="30" t="n">
        <v>0</v>
      </c>
      <c r="Y78" s="30" t="str">
        <f aca="false">IF(W78&lt;判定条件!$C$6,"判定不能",IF(X78&gt;=判定条件!$C$7*W78,"運転",IF(X78&lt;=判定条件!$C$8*W78,"停止","断続")))</f>
        <v>停止</v>
      </c>
      <c r="Z78" s="30" t="n">
        <v>60</v>
      </c>
      <c r="AA78" s="30" t="n">
        <v>0</v>
      </c>
      <c r="AB78" s="30" t="str">
        <f aca="false">IF(Z78&lt;判定条件!$C$6,"判定不能",IF(AA78&gt;=判定条件!$C$7*Z78,"運転",IF(AA78&lt;=判定条件!$C$8*Z78,"停止","断続")))</f>
        <v>停止</v>
      </c>
      <c r="AC78" s="30" t="n">
        <v>60</v>
      </c>
      <c r="AD78" s="30" t="n">
        <v>0</v>
      </c>
      <c r="AE78" s="30" t="str">
        <f aca="false">IF(AC78&lt;判定条件!$C$6,"判定不能",IF(AD78&gt;=判定条件!$C$7*AC78,"運転",IF(AD78&lt;=判定条件!$C$8*AC78,"停止","断続")))</f>
        <v>停止</v>
      </c>
      <c r="AF78" s="30" t="n">
        <v>60</v>
      </c>
      <c r="AG78" s="30" t="n">
        <v>0</v>
      </c>
      <c r="AH78" s="30" t="str">
        <f aca="false">IF(OR(P78="判定不能",G78="判定不能"),"判定不能",IF(AG78&gt;=判定条件!$C$9,"利用可",IF(AND(P78="停止",G78="停止"),"両方停止","運転がそろわない")))</f>
        <v>両方停止</v>
      </c>
      <c r="AI78" s="30" t="n">
        <v>60</v>
      </c>
      <c r="AJ78" s="30" t="n">
        <v>0</v>
      </c>
      <c r="AK78" s="30" t="str">
        <f aca="false">IF(OR(S78="判定不能",J78="判定不能"),"判定不能",IF(AJ78&gt;=判定条件!$C$9,"利用可",IF(AND(S78="停止",J78="停止"),"両方停止","運転がそろわない")))</f>
        <v>両方停止</v>
      </c>
      <c r="AL78" s="30" t="n">
        <v>60</v>
      </c>
      <c r="AM78" s="30" t="n">
        <v>0</v>
      </c>
      <c r="AN78" s="30" t="str">
        <f aca="false">IF(OR(V78="判定不能",M78="判定不能"),"判定不能",IF(AM78&gt;=判定条件!$C$9,"利用可",IF(AND(V78="停止",M78="停止"),"両方停止","運転がそろわない")))</f>
        <v>運転がそろわない</v>
      </c>
      <c r="AO78" s="30" t="n">
        <v>60</v>
      </c>
      <c r="AP78" s="30" t="n">
        <v>0</v>
      </c>
      <c r="AQ78" s="30" t="str">
        <f aca="false">IF(OR(Y78="判定不能",G78="判定不能"),"判定不能",IF(AP78&gt;=判定条件!$C$9,"利用可",IF(AND(Y78="停止",G78="停止"),"両方停止","運転がそろわない")))</f>
        <v>両方停止</v>
      </c>
      <c r="AR78" s="30" t="n">
        <v>60</v>
      </c>
      <c r="AS78" s="30" t="n">
        <v>0</v>
      </c>
      <c r="AT78" s="30" t="str">
        <f aca="false">IF(OR(AB78="判定不能",J78="判定不能"),"判定不能",IF(AS78&gt;=判定条件!$C$9,"利用可",IF(AND(AB78="停止",J78="停止"),"両方停止","運転がそろわない")))</f>
        <v>両方停止</v>
      </c>
      <c r="AU78" s="30" t="n">
        <v>60</v>
      </c>
      <c r="AV78" s="30" t="n">
        <v>0</v>
      </c>
      <c r="AW78" s="30" t="str">
        <f aca="false">IF(OR(AE78="判定不能",M78="判定不能"),"判定不能",IF(AV78&gt;=判定条件!$C$9,"利用可",IF(AND(AE78="停止",M78="停止"),"両方停止","運転がそろわない")))</f>
        <v>運転がそろわない</v>
      </c>
      <c r="AX78" s="30" t="str">
        <f aca="false">IF(AND(AH78="利用可",AK78="利用可",AN78="利用可"),"利用可","不可")</f>
        <v>不可</v>
      </c>
      <c r="AY78" s="30" t="str">
        <f aca="false">IF(AND(AQ78="利用可",AT78="利用可",AW78="利用可"),"利用可","不可")</f>
        <v>不可</v>
      </c>
    </row>
    <row r="79" customFormat="false" ht="15" hidden="false" customHeight="false" outlineLevel="0" collapsed="false">
      <c r="A79" s="29" t="n">
        <v>46235</v>
      </c>
      <c r="B79" s="30" t="n">
        <v>4</v>
      </c>
      <c r="C79" s="31" t="s">
        <v>63</v>
      </c>
      <c r="D79" s="31" t="s">
        <v>64</v>
      </c>
      <c r="E79" s="30" t="n">
        <v>60</v>
      </c>
      <c r="F79" s="30" t="n">
        <v>0</v>
      </c>
      <c r="G79" s="30" t="str">
        <f aca="false">IF(E79&lt;判定条件!$C$6,"判定不能",IF(F79&gt;=判定条件!$C$7*E79,"運転",IF(F79&lt;=判定条件!$C$8*E79,"停止","断続")))</f>
        <v>停止</v>
      </c>
      <c r="H79" s="30" t="n">
        <v>60</v>
      </c>
      <c r="I79" s="30" t="n">
        <v>0</v>
      </c>
      <c r="J79" s="30" t="str">
        <f aca="false">IF(H79&lt;判定条件!$C$6,"判定不能",IF(I79&gt;=判定条件!$C$7*H79,"運転",IF(I79&lt;=判定条件!$C$8*H79,"停止","断続")))</f>
        <v>停止</v>
      </c>
      <c r="K79" s="30" t="n">
        <v>60</v>
      </c>
      <c r="L79" s="30" t="n">
        <v>60</v>
      </c>
      <c r="M79" s="30" t="str">
        <f aca="false">IF(K79&lt;判定条件!$C$6,"判定不能",IF(L79&gt;=判定条件!$C$7*K79,"運転",IF(L79&lt;=判定条件!$C$8*K79,"停止","断続")))</f>
        <v>運転</v>
      </c>
      <c r="N79" s="30" t="n">
        <v>60</v>
      </c>
      <c r="O79" s="30" t="n">
        <v>0</v>
      </c>
      <c r="P79" s="30" t="str">
        <f aca="false">IF(N79&lt;判定条件!$C$6,"判定不能",IF(O79&gt;=判定条件!$C$7*N79,"運転",IF(O79&lt;=判定条件!$C$8*N79,"停止","断続")))</f>
        <v>停止</v>
      </c>
      <c r="Q79" s="30" t="n">
        <v>60</v>
      </c>
      <c r="R79" s="30" t="n">
        <v>0</v>
      </c>
      <c r="S79" s="30" t="str">
        <f aca="false">IF(Q79&lt;判定条件!$C$6,"判定不能",IF(R79&gt;=判定条件!$C$7*Q79,"運転",IF(R79&lt;=判定条件!$C$8*Q79,"停止","断続")))</f>
        <v>停止</v>
      </c>
      <c r="T79" s="30" t="n">
        <v>60</v>
      </c>
      <c r="U79" s="30" t="n">
        <v>0</v>
      </c>
      <c r="V79" s="30" t="str">
        <f aca="false">IF(T79&lt;判定条件!$C$6,"判定不能",IF(U79&gt;=判定条件!$C$7*T79,"運転",IF(U79&lt;=判定条件!$C$8*T79,"停止","断続")))</f>
        <v>停止</v>
      </c>
      <c r="W79" s="30" t="n">
        <v>60</v>
      </c>
      <c r="X79" s="30" t="n">
        <v>0</v>
      </c>
      <c r="Y79" s="30" t="str">
        <f aca="false">IF(W79&lt;判定条件!$C$6,"判定不能",IF(X79&gt;=判定条件!$C$7*W79,"運転",IF(X79&lt;=判定条件!$C$8*W79,"停止","断続")))</f>
        <v>停止</v>
      </c>
      <c r="Z79" s="30" t="n">
        <v>60</v>
      </c>
      <c r="AA79" s="30" t="n">
        <v>0</v>
      </c>
      <c r="AB79" s="30" t="str">
        <f aca="false">IF(Z79&lt;判定条件!$C$6,"判定不能",IF(AA79&gt;=判定条件!$C$7*Z79,"運転",IF(AA79&lt;=判定条件!$C$8*Z79,"停止","断続")))</f>
        <v>停止</v>
      </c>
      <c r="AC79" s="30" t="n">
        <v>60</v>
      </c>
      <c r="AD79" s="30" t="n">
        <v>0</v>
      </c>
      <c r="AE79" s="30" t="str">
        <f aca="false">IF(AC79&lt;判定条件!$C$6,"判定不能",IF(AD79&gt;=判定条件!$C$7*AC79,"運転",IF(AD79&lt;=判定条件!$C$8*AC79,"停止","断続")))</f>
        <v>停止</v>
      </c>
      <c r="AF79" s="30" t="n">
        <v>60</v>
      </c>
      <c r="AG79" s="30" t="n">
        <v>0</v>
      </c>
      <c r="AH79" s="30" t="str">
        <f aca="false">IF(OR(P79="判定不能",G79="判定不能"),"判定不能",IF(AG79&gt;=判定条件!$C$9,"利用可",IF(AND(P79="停止",G79="停止"),"両方停止","運転がそろわない")))</f>
        <v>両方停止</v>
      </c>
      <c r="AI79" s="30" t="n">
        <v>60</v>
      </c>
      <c r="AJ79" s="30" t="n">
        <v>0</v>
      </c>
      <c r="AK79" s="30" t="str">
        <f aca="false">IF(OR(S79="判定不能",J79="判定不能"),"判定不能",IF(AJ79&gt;=判定条件!$C$9,"利用可",IF(AND(S79="停止",J79="停止"),"両方停止","運転がそろわない")))</f>
        <v>両方停止</v>
      </c>
      <c r="AL79" s="30" t="n">
        <v>60</v>
      </c>
      <c r="AM79" s="30" t="n">
        <v>0</v>
      </c>
      <c r="AN79" s="30" t="str">
        <f aca="false">IF(OR(V79="判定不能",M79="判定不能"),"判定不能",IF(AM79&gt;=判定条件!$C$9,"利用可",IF(AND(V79="停止",M79="停止"),"両方停止","運転がそろわない")))</f>
        <v>運転がそろわない</v>
      </c>
      <c r="AO79" s="30" t="n">
        <v>60</v>
      </c>
      <c r="AP79" s="30" t="n">
        <v>0</v>
      </c>
      <c r="AQ79" s="30" t="str">
        <f aca="false">IF(OR(Y79="判定不能",G79="判定不能"),"判定不能",IF(AP79&gt;=判定条件!$C$9,"利用可",IF(AND(Y79="停止",G79="停止"),"両方停止","運転がそろわない")))</f>
        <v>両方停止</v>
      </c>
      <c r="AR79" s="30" t="n">
        <v>60</v>
      </c>
      <c r="AS79" s="30" t="n">
        <v>0</v>
      </c>
      <c r="AT79" s="30" t="str">
        <f aca="false">IF(OR(AB79="判定不能",J79="判定不能"),"判定不能",IF(AS79&gt;=判定条件!$C$9,"利用可",IF(AND(AB79="停止",J79="停止"),"両方停止","運転がそろわない")))</f>
        <v>両方停止</v>
      </c>
      <c r="AU79" s="30" t="n">
        <v>60</v>
      </c>
      <c r="AV79" s="30" t="n">
        <v>0</v>
      </c>
      <c r="AW79" s="30" t="str">
        <f aca="false">IF(OR(AE79="判定不能",M79="判定不能"),"判定不能",IF(AV79&gt;=判定条件!$C$9,"利用可",IF(AND(AE79="停止",M79="停止"),"両方停止","運転がそろわない")))</f>
        <v>運転がそろわない</v>
      </c>
      <c r="AX79" s="30" t="str">
        <f aca="false">IF(AND(AH79="利用可",AK79="利用可",AN79="利用可"),"利用可","不可")</f>
        <v>不可</v>
      </c>
      <c r="AY79" s="30" t="str">
        <f aca="false">IF(AND(AQ79="利用可",AT79="利用可",AW79="利用可"),"利用可","不可")</f>
        <v>不可</v>
      </c>
    </row>
    <row r="80" customFormat="false" ht="15" hidden="false" customHeight="false" outlineLevel="0" collapsed="false">
      <c r="A80" s="29" t="n">
        <v>46235</v>
      </c>
      <c r="B80" s="30" t="n">
        <v>5</v>
      </c>
      <c r="C80" s="31" t="s">
        <v>63</v>
      </c>
      <c r="D80" s="31" t="s">
        <v>64</v>
      </c>
      <c r="E80" s="30" t="n">
        <v>60</v>
      </c>
      <c r="F80" s="30" t="n">
        <v>0</v>
      </c>
      <c r="G80" s="30" t="str">
        <f aca="false">IF(E80&lt;判定条件!$C$6,"判定不能",IF(F80&gt;=判定条件!$C$7*E80,"運転",IF(F80&lt;=判定条件!$C$8*E80,"停止","断続")))</f>
        <v>停止</v>
      </c>
      <c r="H80" s="30" t="n">
        <v>60</v>
      </c>
      <c r="I80" s="30" t="n">
        <v>0</v>
      </c>
      <c r="J80" s="30" t="str">
        <f aca="false">IF(H80&lt;判定条件!$C$6,"判定不能",IF(I80&gt;=判定条件!$C$7*H80,"運転",IF(I80&lt;=判定条件!$C$8*H80,"停止","断続")))</f>
        <v>停止</v>
      </c>
      <c r="K80" s="30" t="n">
        <v>60</v>
      </c>
      <c r="L80" s="30" t="n">
        <v>60</v>
      </c>
      <c r="M80" s="30" t="str">
        <f aca="false">IF(K80&lt;判定条件!$C$6,"判定不能",IF(L80&gt;=判定条件!$C$7*K80,"運転",IF(L80&lt;=判定条件!$C$8*K80,"停止","断続")))</f>
        <v>運転</v>
      </c>
      <c r="N80" s="30" t="n">
        <v>60</v>
      </c>
      <c r="O80" s="30" t="n">
        <v>0</v>
      </c>
      <c r="P80" s="30" t="str">
        <f aca="false">IF(N80&lt;判定条件!$C$6,"判定不能",IF(O80&gt;=判定条件!$C$7*N80,"運転",IF(O80&lt;=判定条件!$C$8*N80,"停止","断続")))</f>
        <v>停止</v>
      </c>
      <c r="Q80" s="30" t="n">
        <v>60</v>
      </c>
      <c r="R80" s="30" t="n">
        <v>0</v>
      </c>
      <c r="S80" s="30" t="str">
        <f aca="false">IF(Q80&lt;判定条件!$C$6,"判定不能",IF(R80&gt;=判定条件!$C$7*Q80,"運転",IF(R80&lt;=判定条件!$C$8*Q80,"停止","断続")))</f>
        <v>停止</v>
      </c>
      <c r="T80" s="30" t="n">
        <v>60</v>
      </c>
      <c r="U80" s="30" t="n">
        <v>0</v>
      </c>
      <c r="V80" s="30" t="str">
        <f aca="false">IF(T80&lt;判定条件!$C$6,"判定不能",IF(U80&gt;=判定条件!$C$7*T80,"運転",IF(U80&lt;=判定条件!$C$8*T80,"停止","断続")))</f>
        <v>停止</v>
      </c>
      <c r="W80" s="30" t="n">
        <v>60</v>
      </c>
      <c r="X80" s="30" t="n">
        <v>0</v>
      </c>
      <c r="Y80" s="30" t="str">
        <f aca="false">IF(W80&lt;判定条件!$C$6,"判定不能",IF(X80&gt;=判定条件!$C$7*W80,"運転",IF(X80&lt;=判定条件!$C$8*W80,"停止","断続")))</f>
        <v>停止</v>
      </c>
      <c r="Z80" s="30" t="n">
        <v>60</v>
      </c>
      <c r="AA80" s="30" t="n">
        <v>0</v>
      </c>
      <c r="AB80" s="30" t="str">
        <f aca="false">IF(Z80&lt;判定条件!$C$6,"判定不能",IF(AA80&gt;=判定条件!$C$7*Z80,"運転",IF(AA80&lt;=判定条件!$C$8*Z80,"停止","断続")))</f>
        <v>停止</v>
      </c>
      <c r="AC80" s="30" t="n">
        <v>60</v>
      </c>
      <c r="AD80" s="30" t="n">
        <v>0</v>
      </c>
      <c r="AE80" s="30" t="str">
        <f aca="false">IF(AC80&lt;判定条件!$C$6,"判定不能",IF(AD80&gt;=判定条件!$C$7*AC80,"運転",IF(AD80&lt;=判定条件!$C$8*AC80,"停止","断続")))</f>
        <v>停止</v>
      </c>
      <c r="AF80" s="30" t="n">
        <v>60</v>
      </c>
      <c r="AG80" s="30" t="n">
        <v>0</v>
      </c>
      <c r="AH80" s="30" t="str">
        <f aca="false">IF(OR(P80="判定不能",G80="判定不能"),"判定不能",IF(AG80&gt;=判定条件!$C$9,"利用可",IF(AND(P80="停止",G80="停止"),"両方停止","運転がそろわない")))</f>
        <v>両方停止</v>
      </c>
      <c r="AI80" s="30" t="n">
        <v>60</v>
      </c>
      <c r="AJ80" s="30" t="n">
        <v>0</v>
      </c>
      <c r="AK80" s="30" t="str">
        <f aca="false">IF(OR(S80="判定不能",J80="判定不能"),"判定不能",IF(AJ80&gt;=判定条件!$C$9,"利用可",IF(AND(S80="停止",J80="停止"),"両方停止","運転がそろわない")))</f>
        <v>両方停止</v>
      </c>
      <c r="AL80" s="30" t="n">
        <v>60</v>
      </c>
      <c r="AM80" s="30" t="n">
        <v>0</v>
      </c>
      <c r="AN80" s="30" t="str">
        <f aca="false">IF(OR(V80="判定不能",M80="判定不能"),"判定不能",IF(AM80&gt;=判定条件!$C$9,"利用可",IF(AND(V80="停止",M80="停止"),"両方停止","運転がそろわない")))</f>
        <v>運転がそろわない</v>
      </c>
      <c r="AO80" s="30" t="n">
        <v>60</v>
      </c>
      <c r="AP80" s="30" t="n">
        <v>0</v>
      </c>
      <c r="AQ80" s="30" t="str">
        <f aca="false">IF(OR(Y80="判定不能",G80="判定不能"),"判定不能",IF(AP80&gt;=判定条件!$C$9,"利用可",IF(AND(Y80="停止",G80="停止"),"両方停止","運転がそろわない")))</f>
        <v>両方停止</v>
      </c>
      <c r="AR80" s="30" t="n">
        <v>60</v>
      </c>
      <c r="AS80" s="30" t="n">
        <v>0</v>
      </c>
      <c r="AT80" s="30" t="str">
        <f aca="false">IF(OR(AB80="判定不能",J80="判定不能"),"判定不能",IF(AS80&gt;=判定条件!$C$9,"利用可",IF(AND(AB80="停止",J80="停止"),"両方停止","運転がそろわない")))</f>
        <v>両方停止</v>
      </c>
      <c r="AU80" s="30" t="n">
        <v>60</v>
      </c>
      <c r="AV80" s="30" t="n">
        <v>0</v>
      </c>
      <c r="AW80" s="30" t="str">
        <f aca="false">IF(OR(AE80="判定不能",M80="判定不能"),"判定不能",IF(AV80&gt;=判定条件!$C$9,"利用可",IF(AND(AE80="停止",M80="停止"),"両方停止","運転がそろわない")))</f>
        <v>運転がそろわない</v>
      </c>
      <c r="AX80" s="30" t="str">
        <f aca="false">IF(AND(AH80="利用可",AK80="利用可",AN80="利用可"),"利用可","不可")</f>
        <v>不可</v>
      </c>
      <c r="AY80" s="30" t="str">
        <f aca="false">IF(AND(AQ80="利用可",AT80="利用可",AW80="利用可"),"利用可","不可")</f>
        <v>不可</v>
      </c>
    </row>
    <row r="81" customFormat="false" ht="15" hidden="false" customHeight="false" outlineLevel="0" collapsed="false">
      <c r="A81" s="29" t="n">
        <v>46235</v>
      </c>
      <c r="B81" s="30" t="n">
        <v>6</v>
      </c>
      <c r="C81" s="31" t="s">
        <v>63</v>
      </c>
      <c r="D81" s="31" t="s">
        <v>64</v>
      </c>
      <c r="E81" s="30" t="n">
        <v>60</v>
      </c>
      <c r="F81" s="30" t="n">
        <v>0</v>
      </c>
      <c r="G81" s="30" t="str">
        <f aca="false">IF(E81&lt;判定条件!$C$6,"判定不能",IF(F81&gt;=判定条件!$C$7*E81,"運転",IF(F81&lt;=判定条件!$C$8*E81,"停止","断続")))</f>
        <v>停止</v>
      </c>
      <c r="H81" s="30" t="n">
        <v>60</v>
      </c>
      <c r="I81" s="30" t="n">
        <v>0</v>
      </c>
      <c r="J81" s="30" t="str">
        <f aca="false">IF(H81&lt;判定条件!$C$6,"判定不能",IF(I81&gt;=判定条件!$C$7*H81,"運転",IF(I81&lt;=判定条件!$C$8*H81,"停止","断続")))</f>
        <v>停止</v>
      </c>
      <c r="K81" s="30" t="n">
        <v>60</v>
      </c>
      <c r="L81" s="30" t="n">
        <v>60</v>
      </c>
      <c r="M81" s="30" t="str">
        <f aca="false">IF(K81&lt;判定条件!$C$6,"判定不能",IF(L81&gt;=判定条件!$C$7*K81,"運転",IF(L81&lt;=判定条件!$C$8*K81,"停止","断続")))</f>
        <v>運転</v>
      </c>
      <c r="N81" s="30" t="n">
        <v>60</v>
      </c>
      <c r="O81" s="30" t="n">
        <v>0</v>
      </c>
      <c r="P81" s="30" t="str">
        <f aca="false">IF(N81&lt;判定条件!$C$6,"判定不能",IF(O81&gt;=判定条件!$C$7*N81,"運転",IF(O81&lt;=判定条件!$C$8*N81,"停止","断続")))</f>
        <v>停止</v>
      </c>
      <c r="Q81" s="30" t="n">
        <v>60</v>
      </c>
      <c r="R81" s="30" t="n">
        <v>0</v>
      </c>
      <c r="S81" s="30" t="str">
        <f aca="false">IF(Q81&lt;判定条件!$C$6,"判定不能",IF(R81&gt;=判定条件!$C$7*Q81,"運転",IF(R81&lt;=判定条件!$C$8*Q81,"停止","断続")))</f>
        <v>停止</v>
      </c>
      <c r="T81" s="30" t="n">
        <v>60</v>
      </c>
      <c r="U81" s="30" t="n">
        <v>0</v>
      </c>
      <c r="V81" s="30" t="str">
        <f aca="false">IF(T81&lt;判定条件!$C$6,"判定不能",IF(U81&gt;=判定条件!$C$7*T81,"運転",IF(U81&lt;=判定条件!$C$8*T81,"停止","断続")))</f>
        <v>停止</v>
      </c>
      <c r="W81" s="30" t="n">
        <v>60</v>
      </c>
      <c r="X81" s="30" t="n">
        <v>0</v>
      </c>
      <c r="Y81" s="30" t="str">
        <f aca="false">IF(W81&lt;判定条件!$C$6,"判定不能",IF(X81&gt;=判定条件!$C$7*W81,"運転",IF(X81&lt;=判定条件!$C$8*W81,"停止","断続")))</f>
        <v>停止</v>
      </c>
      <c r="Z81" s="30" t="n">
        <v>60</v>
      </c>
      <c r="AA81" s="30" t="n">
        <v>0</v>
      </c>
      <c r="AB81" s="30" t="str">
        <f aca="false">IF(Z81&lt;判定条件!$C$6,"判定不能",IF(AA81&gt;=判定条件!$C$7*Z81,"運転",IF(AA81&lt;=判定条件!$C$8*Z81,"停止","断続")))</f>
        <v>停止</v>
      </c>
      <c r="AC81" s="30" t="n">
        <v>60</v>
      </c>
      <c r="AD81" s="30" t="n">
        <v>0</v>
      </c>
      <c r="AE81" s="30" t="str">
        <f aca="false">IF(AC81&lt;判定条件!$C$6,"判定不能",IF(AD81&gt;=判定条件!$C$7*AC81,"運転",IF(AD81&lt;=判定条件!$C$8*AC81,"停止","断続")))</f>
        <v>停止</v>
      </c>
      <c r="AF81" s="30" t="n">
        <v>60</v>
      </c>
      <c r="AG81" s="30" t="n">
        <v>0</v>
      </c>
      <c r="AH81" s="30" t="str">
        <f aca="false">IF(OR(P81="判定不能",G81="判定不能"),"判定不能",IF(AG81&gt;=判定条件!$C$9,"利用可",IF(AND(P81="停止",G81="停止"),"両方停止","運転がそろわない")))</f>
        <v>両方停止</v>
      </c>
      <c r="AI81" s="30" t="n">
        <v>60</v>
      </c>
      <c r="AJ81" s="30" t="n">
        <v>0</v>
      </c>
      <c r="AK81" s="30" t="str">
        <f aca="false">IF(OR(S81="判定不能",J81="判定不能"),"判定不能",IF(AJ81&gt;=判定条件!$C$9,"利用可",IF(AND(S81="停止",J81="停止"),"両方停止","運転がそろわない")))</f>
        <v>両方停止</v>
      </c>
      <c r="AL81" s="30" t="n">
        <v>60</v>
      </c>
      <c r="AM81" s="30" t="n">
        <v>0</v>
      </c>
      <c r="AN81" s="30" t="str">
        <f aca="false">IF(OR(V81="判定不能",M81="判定不能"),"判定不能",IF(AM81&gt;=判定条件!$C$9,"利用可",IF(AND(V81="停止",M81="停止"),"両方停止","運転がそろわない")))</f>
        <v>運転がそろわない</v>
      </c>
      <c r="AO81" s="30" t="n">
        <v>60</v>
      </c>
      <c r="AP81" s="30" t="n">
        <v>0</v>
      </c>
      <c r="AQ81" s="30" t="str">
        <f aca="false">IF(OR(Y81="判定不能",G81="判定不能"),"判定不能",IF(AP81&gt;=判定条件!$C$9,"利用可",IF(AND(Y81="停止",G81="停止"),"両方停止","運転がそろわない")))</f>
        <v>両方停止</v>
      </c>
      <c r="AR81" s="30" t="n">
        <v>60</v>
      </c>
      <c r="AS81" s="30" t="n">
        <v>0</v>
      </c>
      <c r="AT81" s="30" t="str">
        <f aca="false">IF(OR(AB81="判定不能",J81="判定不能"),"判定不能",IF(AS81&gt;=判定条件!$C$9,"利用可",IF(AND(AB81="停止",J81="停止"),"両方停止","運転がそろわない")))</f>
        <v>両方停止</v>
      </c>
      <c r="AU81" s="30" t="n">
        <v>60</v>
      </c>
      <c r="AV81" s="30" t="n">
        <v>0</v>
      </c>
      <c r="AW81" s="30" t="str">
        <f aca="false">IF(OR(AE81="判定不能",M81="判定不能"),"判定不能",IF(AV81&gt;=判定条件!$C$9,"利用可",IF(AND(AE81="停止",M81="停止"),"両方停止","運転がそろわない")))</f>
        <v>運転がそろわない</v>
      </c>
      <c r="AX81" s="30" t="str">
        <f aca="false">IF(AND(AH81="利用可",AK81="利用可",AN81="利用可"),"利用可","不可")</f>
        <v>不可</v>
      </c>
      <c r="AY81" s="30" t="str">
        <f aca="false">IF(AND(AQ81="利用可",AT81="利用可",AW81="利用可"),"利用可","不可")</f>
        <v>不可</v>
      </c>
    </row>
    <row r="82" customFormat="false" ht="15" hidden="false" customHeight="false" outlineLevel="0" collapsed="false">
      <c r="A82" s="29" t="n">
        <v>46235</v>
      </c>
      <c r="B82" s="30" t="n">
        <v>7</v>
      </c>
      <c r="C82" s="31" t="s">
        <v>63</v>
      </c>
      <c r="D82" s="31" t="s">
        <v>64</v>
      </c>
      <c r="E82" s="30" t="n">
        <v>60</v>
      </c>
      <c r="F82" s="30" t="n">
        <v>0</v>
      </c>
      <c r="G82" s="30" t="str">
        <f aca="false">IF(E82&lt;判定条件!$C$6,"判定不能",IF(F82&gt;=判定条件!$C$7*E82,"運転",IF(F82&lt;=判定条件!$C$8*E82,"停止","断続")))</f>
        <v>停止</v>
      </c>
      <c r="H82" s="30" t="n">
        <v>60</v>
      </c>
      <c r="I82" s="30" t="n">
        <v>0</v>
      </c>
      <c r="J82" s="30" t="str">
        <f aca="false">IF(H82&lt;判定条件!$C$6,"判定不能",IF(I82&gt;=判定条件!$C$7*H82,"運転",IF(I82&lt;=判定条件!$C$8*H82,"停止","断続")))</f>
        <v>停止</v>
      </c>
      <c r="K82" s="30" t="n">
        <v>60</v>
      </c>
      <c r="L82" s="30" t="n">
        <v>60</v>
      </c>
      <c r="M82" s="30" t="str">
        <f aca="false">IF(K82&lt;判定条件!$C$6,"判定不能",IF(L82&gt;=判定条件!$C$7*K82,"運転",IF(L82&lt;=判定条件!$C$8*K82,"停止","断続")))</f>
        <v>運転</v>
      </c>
      <c r="N82" s="30" t="n">
        <v>60</v>
      </c>
      <c r="O82" s="30" t="n">
        <v>5</v>
      </c>
      <c r="P82" s="30" t="str">
        <f aca="false">IF(N82&lt;判定条件!$C$6,"判定不能",IF(O82&gt;=判定条件!$C$7*N82,"運転",IF(O82&lt;=判定条件!$C$8*N82,"停止","断続")))</f>
        <v>停止</v>
      </c>
      <c r="Q82" s="30" t="n">
        <v>60</v>
      </c>
      <c r="R82" s="30" t="n">
        <v>5</v>
      </c>
      <c r="S82" s="30" t="str">
        <f aca="false">IF(Q82&lt;判定条件!$C$6,"判定不能",IF(R82&gt;=判定条件!$C$7*Q82,"運転",IF(R82&lt;=判定条件!$C$8*Q82,"停止","断続")))</f>
        <v>停止</v>
      </c>
      <c r="T82" s="30" t="n">
        <v>60</v>
      </c>
      <c r="U82" s="30" t="n">
        <v>8</v>
      </c>
      <c r="V82" s="30" t="str">
        <f aca="false">IF(T82&lt;判定条件!$C$6,"判定不能",IF(U82&gt;=判定条件!$C$7*T82,"運転",IF(U82&lt;=判定条件!$C$8*T82,"停止","断続")))</f>
        <v>停止</v>
      </c>
      <c r="W82" s="30" t="n">
        <v>60</v>
      </c>
      <c r="X82" s="30" t="n">
        <v>5</v>
      </c>
      <c r="Y82" s="30" t="str">
        <f aca="false">IF(W82&lt;判定条件!$C$6,"判定不能",IF(X82&gt;=判定条件!$C$7*W82,"運転",IF(X82&lt;=判定条件!$C$8*W82,"停止","断続")))</f>
        <v>停止</v>
      </c>
      <c r="Z82" s="30" t="n">
        <v>60</v>
      </c>
      <c r="AA82" s="30" t="n">
        <v>2</v>
      </c>
      <c r="AB82" s="30" t="str">
        <f aca="false">IF(Z82&lt;判定条件!$C$6,"判定不能",IF(AA82&gt;=判定条件!$C$7*Z82,"運転",IF(AA82&lt;=判定条件!$C$8*Z82,"停止","断続")))</f>
        <v>停止</v>
      </c>
      <c r="AC82" s="30" t="n">
        <v>60</v>
      </c>
      <c r="AD82" s="30" t="n">
        <v>0</v>
      </c>
      <c r="AE82" s="30" t="str">
        <f aca="false">IF(AC82&lt;判定条件!$C$6,"判定不能",IF(AD82&gt;=判定条件!$C$7*AC82,"運転",IF(AD82&lt;=判定条件!$C$8*AC82,"停止","断続")))</f>
        <v>停止</v>
      </c>
      <c r="AF82" s="30" t="n">
        <v>60</v>
      </c>
      <c r="AG82" s="30" t="n">
        <v>0</v>
      </c>
      <c r="AH82" s="30" t="str">
        <f aca="false">IF(OR(P82="判定不能",G82="判定不能"),"判定不能",IF(AG82&gt;=判定条件!$C$9,"利用可",IF(AND(P82="停止",G82="停止"),"両方停止","運転がそろわない")))</f>
        <v>両方停止</v>
      </c>
      <c r="AI82" s="30" t="n">
        <v>60</v>
      </c>
      <c r="AJ82" s="30" t="n">
        <v>0</v>
      </c>
      <c r="AK82" s="30" t="str">
        <f aca="false">IF(OR(S82="判定不能",J82="判定不能"),"判定不能",IF(AJ82&gt;=判定条件!$C$9,"利用可",IF(AND(S82="停止",J82="停止"),"両方停止","運転がそろわない")))</f>
        <v>両方停止</v>
      </c>
      <c r="AL82" s="30" t="n">
        <v>60</v>
      </c>
      <c r="AM82" s="30" t="n">
        <v>8</v>
      </c>
      <c r="AN82" s="30" t="str">
        <f aca="false">IF(OR(V82="判定不能",M82="判定不能"),"判定不能",IF(AM82&gt;=判定条件!$C$9,"利用可",IF(AND(V82="停止",M82="停止"),"両方停止","運転がそろわない")))</f>
        <v>運転がそろわない</v>
      </c>
      <c r="AO82" s="30" t="n">
        <v>60</v>
      </c>
      <c r="AP82" s="30" t="n">
        <v>0</v>
      </c>
      <c r="AQ82" s="30" t="str">
        <f aca="false">IF(OR(Y82="判定不能",G82="判定不能"),"判定不能",IF(AP82&gt;=判定条件!$C$9,"利用可",IF(AND(Y82="停止",G82="停止"),"両方停止","運転がそろわない")))</f>
        <v>両方停止</v>
      </c>
      <c r="AR82" s="30" t="n">
        <v>60</v>
      </c>
      <c r="AS82" s="30" t="n">
        <v>0</v>
      </c>
      <c r="AT82" s="30" t="str">
        <f aca="false">IF(OR(AB82="判定不能",J82="判定不能"),"判定不能",IF(AS82&gt;=判定条件!$C$9,"利用可",IF(AND(AB82="停止",J82="停止"),"両方停止","運転がそろわない")))</f>
        <v>両方停止</v>
      </c>
      <c r="AU82" s="30" t="n">
        <v>60</v>
      </c>
      <c r="AV82" s="30" t="n">
        <v>0</v>
      </c>
      <c r="AW82" s="30" t="str">
        <f aca="false">IF(OR(AE82="判定不能",M82="判定不能"),"判定不能",IF(AV82&gt;=判定条件!$C$9,"利用可",IF(AND(AE82="停止",M82="停止"),"両方停止","運転がそろわない")))</f>
        <v>運転がそろわない</v>
      </c>
      <c r="AX82" s="30" t="str">
        <f aca="false">IF(AND(AH82="利用可",AK82="利用可",AN82="利用可"),"利用可","不可")</f>
        <v>不可</v>
      </c>
      <c r="AY82" s="30" t="str">
        <f aca="false">IF(AND(AQ82="利用可",AT82="利用可",AW82="利用可"),"利用可","不可")</f>
        <v>不可</v>
      </c>
    </row>
    <row r="83" customFormat="false" ht="15" hidden="false" customHeight="false" outlineLevel="0" collapsed="false">
      <c r="A83" s="29" t="n">
        <v>46235</v>
      </c>
      <c r="B83" s="30" t="n">
        <v>8</v>
      </c>
      <c r="C83" s="31" t="s">
        <v>63</v>
      </c>
      <c r="D83" s="31" t="s">
        <v>64</v>
      </c>
      <c r="E83" s="30" t="n">
        <v>60</v>
      </c>
      <c r="F83" s="30" t="n">
        <v>22</v>
      </c>
      <c r="G83" s="30" t="str">
        <f aca="false">IF(E83&lt;判定条件!$C$6,"判定不能",IF(F83&gt;=判定条件!$C$7*E83,"運転",IF(F83&lt;=判定条件!$C$8*E83,"停止","断続")))</f>
        <v>断続</v>
      </c>
      <c r="H83" s="30" t="n">
        <v>60</v>
      </c>
      <c r="I83" s="30" t="n">
        <v>22</v>
      </c>
      <c r="J83" s="30" t="str">
        <f aca="false">IF(H83&lt;判定条件!$C$6,"判定不能",IF(I83&gt;=判定条件!$C$7*H83,"運転",IF(I83&lt;=判定条件!$C$8*H83,"停止","断続")))</f>
        <v>断続</v>
      </c>
      <c r="K83" s="30" t="n">
        <v>60</v>
      </c>
      <c r="L83" s="30" t="n">
        <v>60</v>
      </c>
      <c r="M83" s="30" t="str">
        <f aca="false">IF(K83&lt;判定条件!$C$6,"判定不能",IF(L83&gt;=判定条件!$C$7*K83,"運転",IF(L83&lt;=判定条件!$C$8*K83,"停止","断続")))</f>
        <v>運転</v>
      </c>
      <c r="N83" s="30" t="n">
        <v>60</v>
      </c>
      <c r="O83" s="30" t="n">
        <v>20</v>
      </c>
      <c r="P83" s="30" t="str">
        <f aca="false">IF(N83&lt;判定条件!$C$6,"判定不能",IF(O83&gt;=判定条件!$C$7*N83,"運転",IF(O83&lt;=判定条件!$C$8*N83,"停止","断続")))</f>
        <v>断続</v>
      </c>
      <c r="Q83" s="30" t="n">
        <v>60</v>
      </c>
      <c r="R83" s="30" t="n">
        <v>60</v>
      </c>
      <c r="S83" s="30" t="str">
        <f aca="false">IF(Q83&lt;判定条件!$C$6,"判定不能",IF(R83&gt;=判定条件!$C$7*Q83,"運転",IF(R83&lt;=判定条件!$C$8*Q83,"停止","断続")))</f>
        <v>運転</v>
      </c>
      <c r="T83" s="30" t="n">
        <v>60</v>
      </c>
      <c r="U83" s="30" t="n">
        <v>60</v>
      </c>
      <c r="V83" s="30" t="str">
        <f aca="false">IF(T83&lt;判定条件!$C$6,"判定不能",IF(U83&gt;=判定条件!$C$7*T83,"運転",IF(U83&lt;=判定条件!$C$8*T83,"停止","断続")))</f>
        <v>運転</v>
      </c>
      <c r="W83" s="30" t="n">
        <v>60</v>
      </c>
      <c r="X83" s="30" t="n">
        <v>60</v>
      </c>
      <c r="Y83" s="30" t="str">
        <f aca="false">IF(W83&lt;判定条件!$C$6,"判定不能",IF(X83&gt;=判定条件!$C$7*W83,"運転",IF(X83&lt;=判定条件!$C$8*W83,"停止","断続")))</f>
        <v>運転</v>
      </c>
      <c r="Z83" s="30" t="n">
        <v>60</v>
      </c>
      <c r="AA83" s="30" t="n">
        <v>40</v>
      </c>
      <c r="AB83" s="30" t="str">
        <f aca="false">IF(Z83&lt;判定条件!$C$6,"判定不能",IF(AA83&gt;=判定条件!$C$7*Z83,"運転",IF(AA83&lt;=判定条件!$C$8*Z83,"停止","断続")))</f>
        <v>断続</v>
      </c>
      <c r="AC83" s="30" t="n">
        <v>60</v>
      </c>
      <c r="AD83" s="30" t="n">
        <v>58</v>
      </c>
      <c r="AE83" s="30" t="str">
        <f aca="false">IF(AC83&lt;判定条件!$C$6,"判定不能",IF(AD83&gt;=判定条件!$C$7*AC83,"運転",IF(AD83&lt;=判定条件!$C$8*AC83,"停止","断続")))</f>
        <v>運転</v>
      </c>
      <c r="AF83" s="30" t="n">
        <v>60</v>
      </c>
      <c r="AG83" s="30" t="n">
        <v>0</v>
      </c>
      <c r="AH83" s="30" t="str">
        <f aca="false">IF(OR(P83="判定不能",G83="判定不能"),"判定不能",IF(AG83&gt;=判定条件!$C$9,"利用可",IF(AND(P83="停止",G83="停止"),"両方停止","運転がそろわない")))</f>
        <v>運転がそろわない</v>
      </c>
      <c r="AI83" s="30" t="n">
        <v>60</v>
      </c>
      <c r="AJ83" s="30" t="n">
        <v>22</v>
      </c>
      <c r="AK83" s="30" t="str">
        <f aca="false">IF(OR(S83="判定不能",J83="判定不能"),"判定不能",IF(AJ83&gt;=判定条件!$C$9,"利用可",IF(AND(S83="停止",J83="停止"),"両方停止","運転がそろわない")))</f>
        <v>運転がそろわない</v>
      </c>
      <c r="AL83" s="30" t="n">
        <v>60</v>
      </c>
      <c r="AM83" s="30" t="n">
        <v>60</v>
      </c>
      <c r="AN83" s="30" t="str">
        <f aca="false">IF(OR(V83="判定不能",M83="判定不能"),"判定不能",IF(AM83&gt;=判定条件!$C$9,"利用可",IF(AND(V83="停止",M83="停止"),"両方停止","運転がそろわない")))</f>
        <v>利用可</v>
      </c>
      <c r="AO83" s="30" t="n">
        <v>60</v>
      </c>
      <c r="AP83" s="30" t="n">
        <v>22</v>
      </c>
      <c r="AQ83" s="30" t="str">
        <f aca="false">IF(OR(Y83="判定不能",G83="判定不能"),"判定不能",IF(AP83&gt;=判定条件!$C$9,"利用可",IF(AND(Y83="停止",G83="停止"),"両方停止","運転がそろわない")))</f>
        <v>運転がそろわない</v>
      </c>
      <c r="AR83" s="30" t="n">
        <v>60</v>
      </c>
      <c r="AS83" s="30" t="n">
        <v>7</v>
      </c>
      <c r="AT83" s="30" t="str">
        <f aca="false">IF(OR(AB83="判定不能",J83="判定不能"),"判定不能",IF(AS83&gt;=判定条件!$C$9,"利用可",IF(AND(AB83="停止",J83="停止"),"両方停止","運転がそろわない")))</f>
        <v>運転がそろわない</v>
      </c>
      <c r="AU83" s="30" t="n">
        <v>60</v>
      </c>
      <c r="AV83" s="30" t="n">
        <v>58</v>
      </c>
      <c r="AW83" s="30" t="str">
        <f aca="false">IF(OR(AE83="判定不能",M83="判定不能"),"判定不能",IF(AV83&gt;=判定条件!$C$9,"利用可",IF(AND(AE83="停止",M83="停止"),"両方停止","運転がそろわない")))</f>
        <v>利用可</v>
      </c>
      <c r="AX83" s="30" t="str">
        <f aca="false">IF(AND(AH83="利用可",AK83="利用可",AN83="利用可"),"利用可","不可")</f>
        <v>不可</v>
      </c>
      <c r="AY83" s="30" t="str">
        <f aca="false">IF(AND(AQ83="利用可",AT83="利用可",AW83="利用可"),"利用可","不可")</f>
        <v>不可</v>
      </c>
    </row>
    <row r="84" customFormat="false" ht="15" hidden="false" customHeight="false" outlineLevel="0" collapsed="false">
      <c r="A84" s="29" t="n">
        <v>46235</v>
      </c>
      <c r="B84" s="30" t="n">
        <v>9</v>
      </c>
      <c r="C84" s="31" t="s">
        <v>63</v>
      </c>
      <c r="D84" s="31" t="s">
        <v>64</v>
      </c>
      <c r="E84" s="30" t="n">
        <v>60</v>
      </c>
      <c r="F84" s="30" t="n">
        <v>60</v>
      </c>
      <c r="G84" s="30" t="str">
        <f aca="false">IF(E84&lt;判定条件!$C$6,"判定不能",IF(F84&gt;=判定条件!$C$7*E84,"運転",IF(F84&lt;=判定条件!$C$8*E84,"停止","断続")))</f>
        <v>運転</v>
      </c>
      <c r="H84" s="30" t="n">
        <v>60</v>
      </c>
      <c r="I84" s="30" t="n">
        <v>60</v>
      </c>
      <c r="J84" s="30" t="str">
        <f aca="false">IF(H84&lt;判定条件!$C$6,"判定不能",IF(I84&gt;=判定条件!$C$7*H84,"運転",IF(I84&lt;=判定条件!$C$8*H84,"停止","断続")))</f>
        <v>運転</v>
      </c>
      <c r="K84" s="30" t="n">
        <v>60</v>
      </c>
      <c r="L84" s="30" t="n">
        <v>60</v>
      </c>
      <c r="M84" s="30" t="str">
        <f aca="false">IF(K84&lt;判定条件!$C$6,"判定不能",IF(L84&gt;=判定条件!$C$7*K84,"運転",IF(L84&lt;=判定条件!$C$8*K84,"停止","断続")))</f>
        <v>運転</v>
      </c>
      <c r="N84" s="30" t="n">
        <v>60</v>
      </c>
      <c r="O84" s="30" t="n">
        <v>0</v>
      </c>
      <c r="P84" s="30" t="str">
        <f aca="false">IF(N84&lt;判定条件!$C$6,"判定不能",IF(O84&gt;=判定条件!$C$7*N84,"運転",IF(O84&lt;=判定条件!$C$8*N84,"停止","断続")))</f>
        <v>停止</v>
      </c>
      <c r="Q84" s="30" t="n">
        <v>60</v>
      </c>
      <c r="R84" s="30" t="n">
        <v>60</v>
      </c>
      <c r="S84" s="30" t="str">
        <f aca="false">IF(Q84&lt;判定条件!$C$6,"判定不能",IF(R84&gt;=判定条件!$C$7*Q84,"運転",IF(R84&lt;=判定条件!$C$8*Q84,"停止","断続")))</f>
        <v>運転</v>
      </c>
      <c r="T84" s="30" t="n">
        <v>60</v>
      </c>
      <c r="U84" s="30" t="n">
        <v>51</v>
      </c>
      <c r="V84" s="30" t="str">
        <f aca="false">IF(T84&lt;判定条件!$C$6,"判定不能",IF(U84&gt;=判定条件!$C$7*T84,"運転",IF(U84&lt;=判定条件!$C$8*T84,"停止","断続")))</f>
        <v>運転</v>
      </c>
      <c r="W84" s="30" t="n">
        <v>60</v>
      </c>
      <c r="X84" s="30" t="n">
        <v>60</v>
      </c>
      <c r="Y84" s="30" t="str">
        <f aca="false">IF(W84&lt;判定条件!$C$6,"判定不能",IF(X84&gt;=判定条件!$C$7*W84,"運転",IF(X84&lt;=判定条件!$C$8*W84,"停止","断続")))</f>
        <v>運転</v>
      </c>
      <c r="Z84" s="30" t="n">
        <v>60</v>
      </c>
      <c r="AA84" s="30" t="n">
        <v>60</v>
      </c>
      <c r="AB84" s="30" t="str">
        <f aca="false">IF(Z84&lt;判定条件!$C$6,"判定不能",IF(AA84&gt;=判定条件!$C$7*Z84,"運転",IF(AA84&lt;=判定条件!$C$8*Z84,"停止","断続")))</f>
        <v>運転</v>
      </c>
      <c r="AC84" s="30" t="n">
        <v>60</v>
      </c>
      <c r="AD84" s="30" t="n">
        <v>60</v>
      </c>
      <c r="AE84" s="30" t="str">
        <f aca="false">IF(AC84&lt;判定条件!$C$6,"判定不能",IF(AD84&gt;=判定条件!$C$7*AC84,"運転",IF(AD84&lt;=判定条件!$C$8*AC84,"停止","断続")))</f>
        <v>運転</v>
      </c>
      <c r="AF84" s="30" t="n">
        <v>60</v>
      </c>
      <c r="AG84" s="30" t="n">
        <v>0</v>
      </c>
      <c r="AH84" s="30" t="str">
        <f aca="false">IF(OR(P84="判定不能",G84="判定不能"),"判定不能",IF(AG84&gt;=判定条件!$C$9,"利用可",IF(AND(P84="停止",G84="停止"),"両方停止","運転がそろわない")))</f>
        <v>運転がそろわない</v>
      </c>
      <c r="AI84" s="30" t="n">
        <v>60</v>
      </c>
      <c r="AJ84" s="30" t="n">
        <v>60</v>
      </c>
      <c r="AK84" s="30" t="str">
        <f aca="false">IF(OR(S84="判定不能",J84="判定不能"),"判定不能",IF(AJ84&gt;=判定条件!$C$9,"利用可",IF(AND(S84="停止",J84="停止"),"両方停止","運転がそろわない")))</f>
        <v>利用可</v>
      </c>
      <c r="AL84" s="30" t="n">
        <v>60</v>
      </c>
      <c r="AM84" s="30" t="n">
        <v>51</v>
      </c>
      <c r="AN84" s="30" t="str">
        <f aca="false">IF(OR(V84="判定不能",M84="判定不能"),"判定不能",IF(AM84&gt;=判定条件!$C$9,"利用可",IF(AND(V84="停止",M84="停止"),"両方停止","運転がそろわない")))</f>
        <v>利用可</v>
      </c>
      <c r="AO84" s="30" t="n">
        <v>60</v>
      </c>
      <c r="AP84" s="30" t="n">
        <v>60</v>
      </c>
      <c r="AQ84" s="30" t="str">
        <f aca="false">IF(OR(Y84="判定不能",G84="判定不能"),"判定不能",IF(AP84&gt;=判定条件!$C$9,"利用可",IF(AND(Y84="停止",G84="停止"),"両方停止","運転がそろわない")))</f>
        <v>利用可</v>
      </c>
      <c r="AR84" s="30" t="n">
        <v>60</v>
      </c>
      <c r="AS84" s="30" t="n">
        <v>60</v>
      </c>
      <c r="AT84" s="30" t="str">
        <f aca="false">IF(OR(AB84="判定不能",J84="判定不能"),"判定不能",IF(AS84&gt;=判定条件!$C$9,"利用可",IF(AND(AB84="停止",J84="停止"),"両方停止","運転がそろわない")))</f>
        <v>利用可</v>
      </c>
      <c r="AU84" s="30" t="n">
        <v>60</v>
      </c>
      <c r="AV84" s="30" t="n">
        <v>60</v>
      </c>
      <c r="AW84" s="30" t="str">
        <f aca="false">IF(OR(AE84="判定不能",M84="判定不能"),"判定不能",IF(AV84&gt;=判定条件!$C$9,"利用可",IF(AND(AE84="停止",M84="停止"),"両方停止","運転がそろわない")))</f>
        <v>利用可</v>
      </c>
      <c r="AX84" s="30" t="str">
        <f aca="false">IF(AND(AH84="利用可",AK84="利用可",AN84="利用可"),"利用可","不可")</f>
        <v>不可</v>
      </c>
      <c r="AY84" s="30" t="str">
        <f aca="false">IF(AND(AQ84="利用可",AT84="利用可",AW84="利用可"),"利用可","不可")</f>
        <v>利用可</v>
      </c>
    </row>
    <row r="85" customFormat="false" ht="15" hidden="false" customHeight="false" outlineLevel="0" collapsed="false">
      <c r="A85" s="29" t="n">
        <v>46235</v>
      </c>
      <c r="B85" s="30" t="n">
        <v>10</v>
      </c>
      <c r="C85" s="31" t="s">
        <v>63</v>
      </c>
      <c r="D85" s="31" t="s">
        <v>64</v>
      </c>
      <c r="E85" s="30" t="n">
        <v>60</v>
      </c>
      <c r="F85" s="30" t="n">
        <v>60</v>
      </c>
      <c r="G85" s="30" t="str">
        <f aca="false">IF(E85&lt;判定条件!$C$6,"判定不能",IF(F85&gt;=判定条件!$C$7*E85,"運転",IF(F85&lt;=判定条件!$C$8*E85,"停止","断続")))</f>
        <v>運転</v>
      </c>
      <c r="H85" s="30" t="n">
        <v>60</v>
      </c>
      <c r="I85" s="30" t="n">
        <v>60</v>
      </c>
      <c r="J85" s="30" t="str">
        <f aca="false">IF(H85&lt;判定条件!$C$6,"判定不能",IF(I85&gt;=判定条件!$C$7*H85,"運転",IF(I85&lt;=判定条件!$C$8*H85,"停止","断続")))</f>
        <v>運転</v>
      </c>
      <c r="K85" s="30" t="n">
        <v>60</v>
      </c>
      <c r="L85" s="30" t="n">
        <v>60</v>
      </c>
      <c r="M85" s="30" t="str">
        <f aca="false">IF(K85&lt;判定条件!$C$6,"判定不能",IF(L85&gt;=判定条件!$C$7*K85,"運転",IF(L85&lt;=判定条件!$C$8*K85,"停止","断続")))</f>
        <v>運転</v>
      </c>
      <c r="N85" s="30" t="n">
        <v>60</v>
      </c>
      <c r="O85" s="30" t="n">
        <v>7</v>
      </c>
      <c r="P85" s="30" t="str">
        <f aca="false">IF(N85&lt;判定条件!$C$6,"判定不能",IF(O85&gt;=判定条件!$C$7*N85,"運転",IF(O85&lt;=判定条件!$C$8*N85,"停止","断続")))</f>
        <v>停止</v>
      </c>
      <c r="Q85" s="30" t="n">
        <v>60</v>
      </c>
      <c r="R85" s="30" t="n">
        <v>60</v>
      </c>
      <c r="S85" s="30" t="str">
        <f aca="false">IF(Q85&lt;判定条件!$C$6,"判定不能",IF(R85&gt;=判定条件!$C$7*Q85,"運転",IF(R85&lt;=判定条件!$C$8*Q85,"停止","断続")))</f>
        <v>運転</v>
      </c>
      <c r="T85" s="30" t="n">
        <v>60</v>
      </c>
      <c r="U85" s="30" t="n">
        <v>37</v>
      </c>
      <c r="V85" s="30" t="str">
        <f aca="false">IF(T85&lt;判定条件!$C$6,"判定不能",IF(U85&gt;=判定条件!$C$7*T85,"運転",IF(U85&lt;=判定条件!$C$8*T85,"停止","断続")))</f>
        <v>断続</v>
      </c>
      <c r="W85" s="30" t="n">
        <v>60</v>
      </c>
      <c r="X85" s="30" t="n">
        <v>60</v>
      </c>
      <c r="Y85" s="30" t="str">
        <f aca="false">IF(W85&lt;判定条件!$C$6,"判定不能",IF(X85&gt;=判定条件!$C$7*W85,"運転",IF(X85&lt;=判定条件!$C$8*W85,"停止","断続")))</f>
        <v>運転</v>
      </c>
      <c r="Z85" s="30" t="n">
        <v>60</v>
      </c>
      <c r="AA85" s="30" t="n">
        <v>60</v>
      </c>
      <c r="AB85" s="30" t="str">
        <f aca="false">IF(Z85&lt;判定条件!$C$6,"判定不能",IF(AA85&gt;=判定条件!$C$7*Z85,"運転",IF(AA85&lt;=判定条件!$C$8*Z85,"停止","断続")))</f>
        <v>運転</v>
      </c>
      <c r="AC85" s="30" t="n">
        <v>60</v>
      </c>
      <c r="AD85" s="30" t="n">
        <v>60</v>
      </c>
      <c r="AE85" s="30" t="str">
        <f aca="false">IF(AC85&lt;判定条件!$C$6,"判定不能",IF(AD85&gt;=判定条件!$C$7*AC85,"運転",IF(AD85&lt;=判定条件!$C$8*AC85,"停止","断続")))</f>
        <v>運転</v>
      </c>
      <c r="AF85" s="30" t="n">
        <v>60</v>
      </c>
      <c r="AG85" s="30" t="n">
        <v>7</v>
      </c>
      <c r="AH85" s="30" t="str">
        <f aca="false">IF(OR(P85="判定不能",G85="判定不能"),"判定不能",IF(AG85&gt;=判定条件!$C$9,"利用可",IF(AND(P85="停止",G85="停止"),"両方停止","運転がそろわない")))</f>
        <v>運転がそろわない</v>
      </c>
      <c r="AI85" s="30" t="n">
        <v>60</v>
      </c>
      <c r="AJ85" s="30" t="n">
        <v>60</v>
      </c>
      <c r="AK85" s="30" t="str">
        <f aca="false">IF(OR(S85="判定不能",J85="判定不能"),"判定不能",IF(AJ85&gt;=判定条件!$C$9,"利用可",IF(AND(S85="停止",J85="停止"),"両方停止","運転がそろわない")))</f>
        <v>利用可</v>
      </c>
      <c r="AL85" s="30" t="n">
        <v>60</v>
      </c>
      <c r="AM85" s="30" t="n">
        <v>37</v>
      </c>
      <c r="AN85" s="30" t="str">
        <f aca="false">IF(OR(V85="判定不能",M85="判定不能"),"判定不能",IF(AM85&gt;=判定条件!$C$9,"利用可",IF(AND(V85="停止",M85="停止"),"両方停止","運転がそろわない")))</f>
        <v>利用可</v>
      </c>
      <c r="AO85" s="30" t="n">
        <v>60</v>
      </c>
      <c r="AP85" s="30" t="n">
        <v>60</v>
      </c>
      <c r="AQ85" s="30" t="str">
        <f aca="false">IF(OR(Y85="判定不能",G85="判定不能"),"判定不能",IF(AP85&gt;=判定条件!$C$9,"利用可",IF(AND(Y85="停止",G85="停止"),"両方停止","運転がそろわない")))</f>
        <v>利用可</v>
      </c>
      <c r="AR85" s="30" t="n">
        <v>60</v>
      </c>
      <c r="AS85" s="30" t="n">
        <v>60</v>
      </c>
      <c r="AT85" s="30" t="str">
        <f aca="false">IF(OR(AB85="判定不能",J85="判定不能"),"判定不能",IF(AS85&gt;=判定条件!$C$9,"利用可",IF(AND(AB85="停止",J85="停止"),"両方停止","運転がそろわない")))</f>
        <v>利用可</v>
      </c>
      <c r="AU85" s="30" t="n">
        <v>60</v>
      </c>
      <c r="AV85" s="30" t="n">
        <v>60</v>
      </c>
      <c r="AW85" s="30" t="str">
        <f aca="false">IF(OR(AE85="判定不能",M85="判定不能"),"判定不能",IF(AV85&gt;=判定条件!$C$9,"利用可",IF(AND(AE85="停止",M85="停止"),"両方停止","運転がそろわない")))</f>
        <v>利用可</v>
      </c>
      <c r="AX85" s="30" t="str">
        <f aca="false">IF(AND(AH85="利用可",AK85="利用可",AN85="利用可"),"利用可","不可")</f>
        <v>不可</v>
      </c>
      <c r="AY85" s="30" t="str">
        <f aca="false">IF(AND(AQ85="利用可",AT85="利用可",AW85="利用可"),"利用可","不可")</f>
        <v>利用可</v>
      </c>
    </row>
    <row r="86" customFormat="false" ht="15" hidden="false" customHeight="false" outlineLevel="0" collapsed="false">
      <c r="A86" s="29" t="n">
        <v>46235</v>
      </c>
      <c r="B86" s="30" t="n">
        <v>11</v>
      </c>
      <c r="C86" s="31" t="s">
        <v>63</v>
      </c>
      <c r="D86" s="31" t="s">
        <v>64</v>
      </c>
      <c r="E86" s="30" t="n">
        <v>60</v>
      </c>
      <c r="F86" s="30" t="n">
        <v>60</v>
      </c>
      <c r="G86" s="30" t="str">
        <f aca="false">IF(E86&lt;判定条件!$C$6,"判定不能",IF(F86&gt;=判定条件!$C$7*E86,"運転",IF(F86&lt;=判定条件!$C$8*E86,"停止","断続")))</f>
        <v>運転</v>
      </c>
      <c r="H86" s="30" t="n">
        <v>60</v>
      </c>
      <c r="I86" s="30" t="n">
        <v>60</v>
      </c>
      <c r="J86" s="30" t="str">
        <f aca="false">IF(H86&lt;判定条件!$C$6,"判定不能",IF(I86&gt;=判定条件!$C$7*H86,"運転",IF(I86&lt;=判定条件!$C$8*H86,"停止","断続")))</f>
        <v>運転</v>
      </c>
      <c r="K86" s="30" t="n">
        <v>60</v>
      </c>
      <c r="L86" s="30" t="n">
        <v>60</v>
      </c>
      <c r="M86" s="30" t="str">
        <f aca="false">IF(K86&lt;判定条件!$C$6,"判定不能",IF(L86&gt;=判定条件!$C$7*K86,"運転",IF(L86&lt;=判定条件!$C$8*K86,"停止","断続")))</f>
        <v>運転</v>
      </c>
      <c r="N86" s="30" t="n">
        <v>60</v>
      </c>
      <c r="O86" s="30" t="n">
        <v>15</v>
      </c>
      <c r="P86" s="30" t="str">
        <f aca="false">IF(N86&lt;判定条件!$C$6,"判定不能",IF(O86&gt;=判定条件!$C$7*N86,"運転",IF(O86&lt;=判定条件!$C$8*N86,"停止","断続")))</f>
        <v>断続</v>
      </c>
      <c r="Q86" s="30" t="n">
        <v>60</v>
      </c>
      <c r="R86" s="30" t="n">
        <v>60</v>
      </c>
      <c r="S86" s="30" t="str">
        <f aca="false">IF(Q86&lt;判定条件!$C$6,"判定不能",IF(R86&gt;=判定条件!$C$7*Q86,"運転",IF(R86&lt;=判定条件!$C$8*Q86,"停止","断続")))</f>
        <v>運転</v>
      </c>
      <c r="T86" s="30" t="n">
        <v>60</v>
      </c>
      <c r="U86" s="30" t="n">
        <v>41</v>
      </c>
      <c r="V86" s="30" t="str">
        <f aca="false">IF(T86&lt;判定条件!$C$6,"判定不能",IF(U86&gt;=判定条件!$C$7*T86,"運転",IF(U86&lt;=判定条件!$C$8*T86,"停止","断続")))</f>
        <v>断続</v>
      </c>
      <c r="W86" s="30" t="n">
        <v>60</v>
      </c>
      <c r="X86" s="30" t="n">
        <v>38</v>
      </c>
      <c r="Y86" s="30" t="str">
        <f aca="false">IF(W86&lt;判定条件!$C$6,"判定不能",IF(X86&gt;=判定条件!$C$7*W86,"運転",IF(X86&lt;=判定条件!$C$8*W86,"停止","断続")))</f>
        <v>断続</v>
      </c>
      <c r="Z86" s="30" t="n">
        <v>60</v>
      </c>
      <c r="AA86" s="30" t="n">
        <v>60</v>
      </c>
      <c r="AB86" s="30" t="str">
        <f aca="false">IF(Z86&lt;判定条件!$C$6,"判定不能",IF(AA86&gt;=判定条件!$C$7*Z86,"運転",IF(AA86&lt;=判定条件!$C$8*Z86,"停止","断続")))</f>
        <v>運転</v>
      </c>
      <c r="AC86" s="30" t="n">
        <v>60</v>
      </c>
      <c r="AD86" s="30" t="n">
        <v>60</v>
      </c>
      <c r="AE86" s="30" t="str">
        <f aca="false">IF(AC86&lt;判定条件!$C$6,"判定不能",IF(AD86&gt;=判定条件!$C$7*AC86,"運転",IF(AD86&lt;=判定条件!$C$8*AC86,"停止","断続")))</f>
        <v>運転</v>
      </c>
      <c r="AF86" s="30" t="n">
        <v>60</v>
      </c>
      <c r="AG86" s="30" t="n">
        <v>15</v>
      </c>
      <c r="AH86" s="30" t="str">
        <f aca="false">IF(OR(P86="判定不能",G86="判定不能"),"判定不能",IF(AG86&gt;=判定条件!$C$9,"利用可",IF(AND(P86="停止",G86="停止"),"両方停止","運転がそろわない")))</f>
        <v>運転がそろわない</v>
      </c>
      <c r="AI86" s="30" t="n">
        <v>60</v>
      </c>
      <c r="AJ86" s="30" t="n">
        <v>60</v>
      </c>
      <c r="AK86" s="30" t="str">
        <f aca="false">IF(OR(S86="判定不能",J86="判定不能"),"判定不能",IF(AJ86&gt;=判定条件!$C$9,"利用可",IF(AND(S86="停止",J86="停止"),"両方停止","運転がそろわない")))</f>
        <v>利用可</v>
      </c>
      <c r="AL86" s="30" t="n">
        <v>60</v>
      </c>
      <c r="AM86" s="30" t="n">
        <v>41</v>
      </c>
      <c r="AN86" s="30" t="str">
        <f aca="false">IF(OR(V86="判定不能",M86="判定不能"),"判定不能",IF(AM86&gt;=判定条件!$C$9,"利用可",IF(AND(V86="停止",M86="停止"),"両方停止","運転がそろわない")))</f>
        <v>利用可</v>
      </c>
      <c r="AO86" s="30" t="n">
        <v>60</v>
      </c>
      <c r="AP86" s="30" t="n">
        <v>38</v>
      </c>
      <c r="AQ86" s="30" t="str">
        <f aca="false">IF(OR(Y86="判定不能",G86="判定不能"),"判定不能",IF(AP86&gt;=判定条件!$C$9,"利用可",IF(AND(Y86="停止",G86="停止"),"両方停止","運転がそろわない")))</f>
        <v>利用可</v>
      </c>
      <c r="AR86" s="30" t="n">
        <v>60</v>
      </c>
      <c r="AS86" s="30" t="n">
        <v>60</v>
      </c>
      <c r="AT86" s="30" t="str">
        <f aca="false">IF(OR(AB86="判定不能",J86="判定不能"),"判定不能",IF(AS86&gt;=判定条件!$C$9,"利用可",IF(AND(AB86="停止",J86="停止"),"両方停止","運転がそろわない")))</f>
        <v>利用可</v>
      </c>
      <c r="AU86" s="30" t="n">
        <v>60</v>
      </c>
      <c r="AV86" s="30" t="n">
        <v>60</v>
      </c>
      <c r="AW86" s="30" t="str">
        <f aca="false">IF(OR(AE86="判定不能",M86="判定不能"),"判定不能",IF(AV86&gt;=判定条件!$C$9,"利用可",IF(AND(AE86="停止",M86="停止"),"両方停止","運転がそろわない")))</f>
        <v>利用可</v>
      </c>
      <c r="AX86" s="30" t="str">
        <f aca="false">IF(AND(AH86="利用可",AK86="利用可",AN86="利用可"),"利用可","不可")</f>
        <v>不可</v>
      </c>
      <c r="AY86" s="30" t="str">
        <f aca="false">IF(AND(AQ86="利用可",AT86="利用可",AW86="利用可"),"利用可","不可")</f>
        <v>利用可</v>
      </c>
    </row>
    <row r="87" customFormat="false" ht="15" hidden="false" customHeight="false" outlineLevel="0" collapsed="false">
      <c r="A87" s="29" t="n">
        <v>46235</v>
      </c>
      <c r="B87" s="30" t="n">
        <v>12</v>
      </c>
      <c r="C87" s="31" t="s">
        <v>63</v>
      </c>
      <c r="D87" s="31" t="s">
        <v>64</v>
      </c>
      <c r="E87" s="30" t="n">
        <v>60</v>
      </c>
      <c r="F87" s="30" t="n">
        <v>60</v>
      </c>
      <c r="G87" s="30" t="str">
        <f aca="false">IF(E87&lt;判定条件!$C$6,"判定不能",IF(F87&gt;=判定条件!$C$7*E87,"運転",IF(F87&lt;=判定条件!$C$8*E87,"停止","断続")))</f>
        <v>運転</v>
      </c>
      <c r="H87" s="30" t="n">
        <v>60</v>
      </c>
      <c r="I87" s="30" t="n">
        <v>60</v>
      </c>
      <c r="J87" s="30" t="str">
        <f aca="false">IF(H87&lt;判定条件!$C$6,"判定不能",IF(I87&gt;=判定条件!$C$7*H87,"運転",IF(I87&lt;=判定条件!$C$8*H87,"停止","断続")))</f>
        <v>運転</v>
      </c>
      <c r="K87" s="30" t="n">
        <v>60</v>
      </c>
      <c r="L87" s="30" t="n">
        <v>60</v>
      </c>
      <c r="M87" s="30" t="str">
        <f aca="false">IF(K87&lt;判定条件!$C$6,"判定不能",IF(L87&gt;=判定条件!$C$7*K87,"運転",IF(L87&lt;=判定条件!$C$8*K87,"停止","断続")))</f>
        <v>運転</v>
      </c>
      <c r="N87" s="30" t="n">
        <v>60</v>
      </c>
      <c r="O87" s="30" t="n">
        <v>60</v>
      </c>
      <c r="P87" s="30" t="str">
        <f aca="false">IF(N87&lt;判定条件!$C$6,"判定不能",IF(O87&gt;=判定条件!$C$7*N87,"運転",IF(O87&lt;=判定条件!$C$8*N87,"停止","断続")))</f>
        <v>運転</v>
      </c>
      <c r="Q87" s="30" t="n">
        <v>60</v>
      </c>
      <c r="R87" s="30" t="n">
        <v>10</v>
      </c>
      <c r="S87" s="30" t="str">
        <f aca="false">IF(Q87&lt;判定条件!$C$6,"判定不能",IF(R87&gt;=判定条件!$C$7*Q87,"運転",IF(R87&lt;=判定条件!$C$8*Q87,"停止","断続")))</f>
        <v>停止</v>
      </c>
      <c r="T87" s="30" t="n">
        <v>60</v>
      </c>
      <c r="U87" s="30" t="n">
        <v>9</v>
      </c>
      <c r="V87" s="30" t="str">
        <f aca="false">IF(T87&lt;判定条件!$C$6,"判定不能",IF(U87&gt;=判定条件!$C$7*T87,"運転",IF(U87&lt;=判定条件!$C$8*T87,"停止","断続")))</f>
        <v>停止</v>
      </c>
      <c r="W87" s="30" t="n">
        <v>60</v>
      </c>
      <c r="X87" s="30" t="n">
        <v>60</v>
      </c>
      <c r="Y87" s="30" t="str">
        <f aca="false">IF(W87&lt;判定条件!$C$6,"判定不能",IF(X87&gt;=判定条件!$C$7*W87,"運転",IF(X87&lt;=判定条件!$C$8*W87,"停止","断続")))</f>
        <v>運転</v>
      </c>
      <c r="Z87" s="30" t="n">
        <v>60</v>
      </c>
      <c r="AA87" s="30" t="n">
        <v>60</v>
      </c>
      <c r="AB87" s="30" t="str">
        <f aca="false">IF(Z87&lt;判定条件!$C$6,"判定不能",IF(AA87&gt;=判定条件!$C$7*Z87,"運転",IF(AA87&lt;=判定条件!$C$8*Z87,"停止","断続")))</f>
        <v>運転</v>
      </c>
      <c r="AC87" s="30" t="n">
        <v>60</v>
      </c>
      <c r="AD87" s="30" t="n">
        <v>60</v>
      </c>
      <c r="AE87" s="30" t="str">
        <f aca="false">IF(AC87&lt;判定条件!$C$6,"判定不能",IF(AD87&gt;=判定条件!$C$7*AC87,"運転",IF(AD87&lt;=判定条件!$C$8*AC87,"停止","断続")))</f>
        <v>運転</v>
      </c>
      <c r="AF87" s="30" t="n">
        <v>60</v>
      </c>
      <c r="AG87" s="30" t="n">
        <v>60</v>
      </c>
      <c r="AH87" s="30" t="str">
        <f aca="false">IF(OR(P87="判定不能",G87="判定不能"),"判定不能",IF(AG87&gt;=判定条件!$C$9,"利用可",IF(AND(P87="停止",G87="停止"),"両方停止","運転がそろわない")))</f>
        <v>利用可</v>
      </c>
      <c r="AI87" s="30" t="n">
        <v>60</v>
      </c>
      <c r="AJ87" s="30" t="n">
        <v>10</v>
      </c>
      <c r="AK87" s="30" t="str">
        <f aca="false">IF(OR(S87="判定不能",J87="判定不能"),"判定不能",IF(AJ87&gt;=判定条件!$C$9,"利用可",IF(AND(S87="停止",J87="停止"),"両方停止","運転がそろわない")))</f>
        <v>運転がそろわない</v>
      </c>
      <c r="AL87" s="30" t="n">
        <v>60</v>
      </c>
      <c r="AM87" s="30" t="n">
        <v>9</v>
      </c>
      <c r="AN87" s="30" t="str">
        <f aca="false">IF(OR(V87="判定不能",M87="判定不能"),"判定不能",IF(AM87&gt;=判定条件!$C$9,"利用可",IF(AND(V87="停止",M87="停止"),"両方停止","運転がそろわない")))</f>
        <v>運転がそろわない</v>
      </c>
      <c r="AO87" s="30" t="n">
        <v>60</v>
      </c>
      <c r="AP87" s="30" t="n">
        <v>60</v>
      </c>
      <c r="AQ87" s="30" t="str">
        <f aca="false">IF(OR(Y87="判定不能",G87="判定不能"),"判定不能",IF(AP87&gt;=判定条件!$C$9,"利用可",IF(AND(Y87="停止",G87="停止"),"両方停止","運転がそろわない")))</f>
        <v>利用可</v>
      </c>
      <c r="AR87" s="30" t="n">
        <v>60</v>
      </c>
      <c r="AS87" s="30" t="n">
        <v>60</v>
      </c>
      <c r="AT87" s="30" t="str">
        <f aca="false">IF(OR(AB87="判定不能",J87="判定不能"),"判定不能",IF(AS87&gt;=判定条件!$C$9,"利用可",IF(AND(AB87="停止",J87="停止"),"両方停止","運転がそろわない")))</f>
        <v>利用可</v>
      </c>
      <c r="AU87" s="30" t="n">
        <v>60</v>
      </c>
      <c r="AV87" s="30" t="n">
        <v>60</v>
      </c>
      <c r="AW87" s="30" t="str">
        <f aca="false">IF(OR(AE87="判定不能",M87="判定不能"),"判定不能",IF(AV87&gt;=判定条件!$C$9,"利用可",IF(AND(AE87="停止",M87="停止"),"両方停止","運転がそろわない")))</f>
        <v>利用可</v>
      </c>
      <c r="AX87" s="30" t="str">
        <f aca="false">IF(AND(AH87="利用可",AK87="利用可",AN87="利用可"),"利用可","不可")</f>
        <v>不可</v>
      </c>
      <c r="AY87" s="30" t="str">
        <f aca="false">IF(AND(AQ87="利用可",AT87="利用可",AW87="利用可"),"利用可","不可")</f>
        <v>利用可</v>
      </c>
    </row>
    <row r="88" customFormat="false" ht="15" hidden="false" customHeight="false" outlineLevel="0" collapsed="false">
      <c r="A88" s="29" t="n">
        <v>46235</v>
      </c>
      <c r="B88" s="30" t="n">
        <v>13</v>
      </c>
      <c r="C88" s="31" t="s">
        <v>63</v>
      </c>
      <c r="D88" s="31" t="s">
        <v>64</v>
      </c>
      <c r="E88" s="30" t="n">
        <v>60</v>
      </c>
      <c r="F88" s="30" t="n">
        <v>60</v>
      </c>
      <c r="G88" s="30" t="str">
        <f aca="false">IF(E88&lt;判定条件!$C$6,"判定不能",IF(F88&gt;=判定条件!$C$7*E88,"運転",IF(F88&lt;=判定条件!$C$8*E88,"停止","断続")))</f>
        <v>運転</v>
      </c>
      <c r="H88" s="30" t="n">
        <v>60</v>
      </c>
      <c r="I88" s="30" t="n">
        <v>60</v>
      </c>
      <c r="J88" s="30" t="str">
        <f aca="false">IF(H88&lt;判定条件!$C$6,"判定不能",IF(I88&gt;=判定条件!$C$7*H88,"運転",IF(I88&lt;=判定条件!$C$8*H88,"停止","断続")))</f>
        <v>運転</v>
      </c>
      <c r="K88" s="30" t="n">
        <v>60</v>
      </c>
      <c r="L88" s="30" t="n">
        <v>60</v>
      </c>
      <c r="M88" s="30" t="str">
        <f aca="false">IF(K88&lt;判定条件!$C$6,"判定不能",IF(L88&gt;=判定条件!$C$7*K88,"運転",IF(L88&lt;=判定条件!$C$8*K88,"停止","断続")))</f>
        <v>運転</v>
      </c>
      <c r="N88" s="30" t="n">
        <v>60</v>
      </c>
      <c r="O88" s="30" t="n">
        <v>60</v>
      </c>
      <c r="P88" s="30" t="str">
        <f aca="false">IF(N88&lt;判定条件!$C$6,"判定不能",IF(O88&gt;=判定条件!$C$7*N88,"運転",IF(O88&lt;=判定条件!$C$8*N88,"停止","断続")))</f>
        <v>運転</v>
      </c>
      <c r="Q88" s="30" t="n">
        <v>60</v>
      </c>
      <c r="R88" s="30" t="n">
        <v>14</v>
      </c>
      <c r="S88" s="30" t="str">
        <f aca="false">IF(Q88&lt;判定条件!$C$6,"判定不能",IF(R88&gt;=判定条件!$C$7*Q88,"運転",IF(R88&lt;=判定条件!$C$8*Q88,"停止","断続")))</f>
        <v>断続</v>
      </c>
      <c r="T88" s="30" t="n">
        <v>60</v>
      </c>
      <c r="U88" s="30" t="n">
        <v>18</v>
      </c>
      <c r="V88" s="30" t="str">
        <f aca="false">IF(T88&lt;判定条件!$C$6,"判定不能",IF(U88&gt;=判定条件!$C$7*T88,"運転",IF(U88&lt;=判定条件!$C$8*T88,"停止","断続")))</f>
        <v>断続</v>
      </c>
      <c r="W88" s="30" t="n">
        <v>60</v>
      </c>
      <c r="X88" s="30" t="n">
        <v>59</v>
      </c>
      <c r="Y88" s="30" t="str">
        <f aca="false">IF(W88&lt;判定条件!$C$6,"判定不能",IF(X88&gt;=判定条件!$C$7*W88,"運転",IF(X88&lt;=判定条件!$C$8*W88,"停止","断続")))</f>
        <v>運転</v>
      </c>
      <c r="Z88" s="30" t="n">
        <v>60</v>
      </c>
      <c r="AA88" s="30" t="n">
        <v>60</v>
      </c>
      <c r="AB88" s="30" t="str">
        <f aca="false">IF(Z88&lt;判定条件!$C$6,"判定不能",IF(AA88&gt;=判定条件!$C$7*Z88,"運転",IF(AA88&lt;=判定条件!$C$8*Z88,"停止","断続")))</f>
        <v>運転</v>
      </c>
      <c r="AC88" s="30" t="n">
        <v>60</v>
      </c>
      <c r="AD88" s="30" t="n">
        <v>60</v>
      </c>
      <c r="AE88" s="30" t="str">
        <f aca="false">IF(AC88&lt;判定条件!$C$6,"判定不能",IF(AD88&gt;=判定条件!$C$7*AC88,"運転",IF(AD88&lt;=判定条件!$C$8*AC88,"停止","断続")))</f>
        <v>運転</v>
      </c>
      <c r="AF88" s="30" t="n">
        <v>60</v>
      </c>
      <c r="AG88" s="30" t="n">
        <v>60</v>
      </c>
      <c r="AH88" s="30" t="str">
        <f aca="false">IF(OR(P88="判定不能",G88="判定不能"),"判定不能",IF(AG88&gt;=判定条件!$C$9,"利用可",IF(AND(P88="停止",G88="停止"),"両方停止","運転がそろわない")))</f>
        <v>利用可</v>
      </c>
      <c r="AI88" s="30" t="n">
        <v>60</v>
      </c>
      <c r="AJ88" s="30" t="n">
        <v>14</v>
      </c>
      <c r="AK88" s="30" t="str">
        <f aca="false">IF(OR(S88="判定不能",J88="判定不能"),"判定不能",IF(AJ88&gt;=判定条件!$C$9,"利用可",IF(AND(S88="停止",J88="停止"),"両方停止","運転がそろわない")))</f>
        <v>運転がそろわない</v>
      </c>
      <c r="AL88" s="30" t="n">
        <v>60</v>
      </c>
      <c r="AM88" s="30" t="n">
        <v>18</v>
      </c>
      <c r="AN88" s="30" t="str">
        <f aca="false">IF(OR(V88="判定不能",M88="判定不能"),"判定不能",IF(AM88&gt;=判定条件!$C$9,"利用可",IF(AND(V88="停止",M88="停止"),"両方停止","運転がそろわない")))</f>
        <v>運転がそろわない</v>
      </c>
      <c r="AO88" s="30" t="n">
        <v>60</v>
      </c>
      <c r="AP88" s="30" t="n">
        <v>59</v>
      </c>
      <c r="AQ88" s="30" t="str">
        <f aca="false">IF(OR(Y88="判定不能",G88="判定不能"),"判定不能",IF(AP88&gt;=判定条件!$C$9,"利用可",IF(AND(Y88="停止",G88="停止"),"両方停止","運転がそろわない")))</f>
        <v>利用可</v>
      </c>
      <c r="AR88" s="30" t="n">
        <v>60</v>
      </c>
      <c r="AS88" s="30" t="n">
        <v>60</v>
      </c>
      <c r="AT88" s="30" t="str">
        <f aca="false">IF(OR(AB88="判定不能",J88="判定不能"),"判定不能",IF(AS88&gt;=判定条件!$C$9,"利用可",IF(AND(AB88="停止",J88="停止"),"両方停止","運転がそろわない")))</f>
        <v>利用可</v>
      </c>
      <c r="AU88" s="30" t="n">
        <v>60</v>
      </c>
      <c r="AV88" s="30" t="n">
        <v>60</v>
      </c>
      <c r="AW88" s="30" t="str">
        <f aca="false">IF(OR(AE88="判定不能",M88="判定不能"),"判定不能",IF(AV88&gt;=判定条件!$C$9,"利用可",IF(AND(AE88="停止",M88="停止"),"両方停止","運転がそろわない")))</f>
        <v>利用可</v>
      </c>
      <c r="AX88" s="30" t="str">
        <f aca="false">IF(AND(AH88="利用可",AK88="利用可",AN88="利用可"),"利用可","不可")</f>
        <v>不可</v>
      </c>
      <c r="AY88" s="30" t="str">
        <f aca="false">IF(AND(AQ88="利用可",AT88="利用可",AW88="利用可"),"利用可","不可")</f>
        <v>利用可</v>
      </c>
    </row>
    <row r="89" customFormat="false" ht="15" hidden="false" customHeight="false" outlineLevel="0" collapsed="false">
      <c r="A89" s="29" t="n">
        <v>46235</v>
      </c>
      <c r="B89" s="30" t="n">
        <v>14</v>
      </c>
      <c r="C89" s="31" t="s">
        <v>63</v>
      </c>
      <c r="D89" s="31" t="s">
        <v>64</v>
      </c>
      <c r="E89" s="30" t="n">
        <v>60</v>
      </c>
      <c r="F89" s="30" t="n">
        <v>60</v>
      </c>
      <c r="G89" s="30" t="str">
        <f aca="false">IF(E89&lt;判定条件!$C$6,"判定不能",IF(F89&gt;=判定条件!$C$7*E89,"運転",IF(F89&lt;=判定条件!$C$8*E89,"停止","断続")))</f>
        <v>運転</v>
      </c>
      <c r="H89" s="30" t="n">
        <v>60</v>
      </c>
      <c r="I89" s="30" t="n">
        <v>60</v>
      </c>
      <c r="J89" s="30" t="str">
        <f aca="false">IF(H89&lt;判定条件!$C$6,"判定不能",IF(I89&gt;=判定条件!$C$7*H89,"運転",IF(I89&lt;=判定条件!$C$8*H89,"停止","断続")))</f>
        <v>運転</v>
      </c>
      <c r="K89" s="30" t="n">
        <v>60</v>
      </c>
      <c r="L89" s="30" t="n">
        <v>60</v>
      </c>
      <c r="M89" s="30" t="str">
        <f aca="false">IF(K89&lt;判定条件!$C$6,"判定不能",IF(L89&gt;=判定条件!$C$7*K89,"運転",IF(L89&lt;=判定条件!$C$8*K89,"停止","断続")))</f>
        <v>運転</v>
      </c>
      <c r="N89" s="30" t="n">
        <v>60</v>
      </c>
      <c r="O89" s="30" t="n">
        <v>60</v>
      </c>
      <c r="P89" s="30" t="str">
        <f aca="false">IF(N89&lt;判定条件!$C$6,"判定不能",IF(O89&gt;=判定条件!$C$7*N89,"運転",IF(O89&lt;=判定条件!$C$8*N89,"停止","断続")))</f>
        <v>運転</v>
      </c>
      <c r="Q89" s="30" t="n">
        <v>60</v>
      </c>
      <c r="R89" s="30" t="n">
        <v>60</v>
      </c>
      <c r="S89" s="30" t="str">
        <f aca="false">IF(Q89&lt;判定条件!$C$6,"判定不能",IF(R89&gt;=判定条件!$C$7*Q89,"運転",IF(R89&lt;=判定条件!$C$8*Q89,"停止","断続")))</f>
        <v>運転</v>
      </c>
      <c r="T89" s="30" t="n">
        <v>60</v>
      </c>
      <c r="U89" s="30" t="n">
        <v>60</v>
      </c>
      <c r="V89" s="30" t="str">
        <f aca="false">IF(T89&lt;判定条件!$C$6,"判定不能",IF(U89&gt;=判定条件!$C$7*T89,"運転",IF(U89&lt;=判定条件!$C$8*T89,"停止","断続")))</f>
        <v>運転</v>
      </c>
      <c r="W89" s="30" t="n">
        <v>60</v>
      </c>
      <c r="X89" s="30" t="n">
        <v>60</v>
      </c>
      <c r="Y89" s="30" t="str">
        <f aca="false">IF(W89&lt;判定条件!$C$6,"判定不能",IF(X89&gt;=判定条件!$C$7*W89,"運転",IF(X89&lt;=判定条件!$C$8*W89,"停止","断続")))</f>
        <v>運転</v>
      </c>
      <c r="Z89" s="30" t="n">
        <v>60</v>
      </c>
      <c r="AA89" s="30" t="n">
        <v>50</v>
      </c>
      <c r="AB89" s="30" t="str">
        <f aca="false">IF(Z89&lt;判定条件!$C$6,"判定不能",IF(AA89&gt;=判定条件!$C$7*Z89,"運転",IF(AA89&lt;=判定条件!$C$8*Z89,"停止","断続")))</f>
        <v>運転</v>
      </c>
      <c r="AC89" s="30" t="n">
        <v>60</v>
      </c>
      <c r="AD89" s="30" t="n">
        <v>60</v>
      </c>
      <c r="AE89" s="30" t="str">
        <f aca="false">IF(AC89&lt;判定条件!$C$6,"判定不能",IF(AD89&gt;=判定条件!$C$7*AC89,"運転",IF(AD89&lt;=判定条件!$C$8*AC89,"停止","断続")))</f>
        <v>運転</v>
      </c>
      <c r="AF89" s="30" t="n">
        <v>60</v>
      </c>
      <c r="AG89" s="30" t="n">
        <v>60</v>
      </c>
      <c r="AH89" s="30" t="str">
        <f aca="false">IF(OR(P89="判定不能",G89="判定不能"),"判定不能",IF(AG89&gt;=判定条件!$C$9,"利用可",IF(AND(P89="停止",G89="停止"),"両方停止","運転がそろわない")))</f>
        <v>利用可</v>
      </c>
      <c r="AI89" s="30" t="n">
        <v>60</v>
      </c>
      <c r="AJ89" s="30" t="n">
        <v>60</v>
      </c>
      <c r="AK89" s="30" t="str">
        <f aca="false">IF(OR(S89="判定不能",J89="判定不能"),"判定不能",IF(AJ89&gt;=判定条件!$C$9,"利用可",IF(AND(S89="停止",J89="停止"),"両方停止","運転がそろわない")))</f>
        <v>利用可</v>
      </c>
      <c r="AL89" s="30" t="n">
        <v>60</v>
      </c>
      <c r="AM89" s="30" t="n">
        <v>60</v>
      </c>
      <c r="AN89" s="30" t="str">
        <f aca="false">IF(OR(V89="判定不能",M89="判定不能"),"判定不能",IF(AM89&gt;=判定条件!$C$9,"利用可",IF(AND(V89="停止",M89="停止"),"両方停止","運転がそろわない")))</f>
        <v>利用可</v>
      </c>
      <c r="AO89" s="30" t="n">
        <v>60</v>
      </c>
      <c r="AP89" s="30" t="n">
        <v>60</v>
      </c>
      <c r="AQ89" s="30" t="str">
        <f aca="false">IF(OR(Y89="判定不能",G89="判定不能"),"判定不能",IF(AP89&gt;=判定条件!$C$9,"利用可",IF(AND(Y89="停止",G89="停止"),"両方停止","運転がそろわない")))</f>
        <v>利用可</v>
      </c>
      <c r="AR89" s="30" t="n">
        <v>60</v>
      </c>
      <c r="AS89" s="30" t="n">
        <v>50</v>
      </c>
      <c r="AT89" s="30" t="str">
        <f aca="false">IF(OR(AB89="判定不能",J89="判定不能"),"判定不能",IF(AS89&gt;=判定条件!$C$9,"利用可",IF(AND(AB89="停止",J89="停止"),"両方停止","運転がそろわない")))</f>
        <v>利用可</v>
      </c>
      <c r="AU89" s="30" t="n">
        <v>60</v>
      </c>
      <c r="AV89" s="30" t="n">
        <v>60</v>
      </c>
      <c r="AW89" s="30" t="str">
        <f aca="false">IF(OR(AE89="判定不能",M89="判定不能"),"判定不能",IF(AV89&gt;=判定条件!$C$9,"利用可",IF(AND(AE89="停止",M89="停止"),"両方停止","運転がそろわない")))</f>
        <v>利用可</v>
      </c>
      <c r="AX89" s="30" t="str">
        <f aca="false">IF(AND(AH89="利用可",AK89="利用可",AN89="利用可"),"利用可","不可")</f>
        <v>利用可</v>
      </c>
      <c r="AY89" s="30" t="str">
        <f aca="false">IF(AND(AQ89="利用可",AT89="利用可",AW89="利用可"),"利用可","不可")</f>
        <v>利用可</v>
      </c>
    </row>
    <row r="90" customFormat="false" ht="15" hidden="false" customHeight="false" outlineLevel="0" collapsed="false">
      <c r="A90" s="29" t="n">
        <v>46235</v>
      </c>
      <c r="B90" s="30" t="n">
        <v>15</v>
      </c>
      <c r="C90" s="31" t="s">
        <v>63</v>
      </c>
      <c r="D90" s="31" t="s">
        <v>64</v>
      </c>
      <c r="E90" s="30" t="n">
        <v>60</v>
      </c>
      <c r="F90" s="30" t="n">
        <v>60</v>
      </c>
      <c r="G90" s="30" t="str">
        <f aca="false">IF(E90&lt;判定条件!$C$6,"判定不能",IF(F90&gt;=判定条件!$C$7*E90,"運転",IF(F90&lt;=判定条件!$C$8*E90,"停止","断続")))</f>
        <v>運転</v>
      </c>
      <c r="H90" s="30" t="n">
        <v>60</v>
      </c>
      <c r="I90" s="30" t="n">
        <v>60</v>
      </c>
      <c r="J90" s="30" t="str">
        <f aca="false">IF(H90&lt;判定条件!$C$6,"判定不能",IF(I90&gt;=判定条件!$C$7*H90,"運転",IF(I90&lt;=判定条件!$C$8*H90,"停止","断続")))</f>
        <v>運転</v>
      </c>
      <c r="K90" s="30" t="n">
        <v>60</v>
      </c>
      <c r="L90" s="30" t="n">
        <v>60</v>
      </c>
      <c r="M90" s="30" t="str">
        <f aca="false">IF(K90&lt;判定条件!$C$6,"判定不能",IF(L90&gt;=判定条件!$C$7*K90,"運転",IF(L90&lt;=判定条件!$C$8*K90,"停止","断続")))</f>
        <v>運転</v>
      </c>
      <c r="N90" s="30" t="n">
        <v>60</v>
      </c>
      <c r="O90" s="30" t="n">
        <v>60</v>
      </c>
      <c r="P90" s="30" t="str">
        <f aca="false">IF(N90&lt;判定条件!$C$6,"判定不能",IF(O90&gt;=判定条件!$C$7*N90,"運転",IF(O90&lt;=判定条件!$C$8*N90,"停止","断続")))</f>
        <v>運転</v>
      </c>
      <c r="Q90" s="30" t="n">
        <v>60</v>
      </c>
      <c r="R90" s="30" t="n">
        <v>60</v>
      </c>
      <c r="S90" s="30" t="str">
        <f aca="false">IF(Q90&lt;判定条件!$C$6,"判定不能",IF(R90&gt;=判定条件!$C$7*Q90,"運転",IF(R90&lt;=判定条件!$C$8*Q90,"停止","断続")))</f>
        <v>運転</v>
      </c>
      <c r="T90" s="30" t="n">
        <v>60</v>
      </c>
      <c r="U90" s="30" t="n">
        <v>60</v>
      </c>
      <c r="V90" s="30" t="str">
        <f aca="false">IF(T90&lt;判定条件!$C$6,"判定不能",IF(U90&gt;=判定条件!$C$7*T90,"運転",IF(U90&lt;=判定条件!$C$8*T90,"停止","断続")))</f>
        <v>運転</v>
      </c>
      <c r="W90" s="30" t="n">
        <v>60</v>
      </c>
      <c r="X90" s="30" t="n">
        <v>60</v>
      </c>
      <c r="Y90" s="30" t="str">
        <f aca="false">IF(W90&lt;判定条件!$C$6,"判定不能",IF(X90&gt;=判定条件!$C$7*W90,"運転",IF(X90&lt;=判定条件!$C$8*W90,"停止","断続")))</f>
        <v>運転</v>
      </c>
      <c r="Z90" s="30" t="n">
        <v>60</v>
      </c>
      <c r="AA90" s="30" t="n">
        <v>32</v>
      </c>
      <c r="AB90" s="30" t="str">
        <f aca="false">IF(Z90&lt;判定条件!$C$6,"判定不能",IF(AA90&gt;=判定条件!$C$7*Z90,"運転",IF(AA90&lt;=判定条件!$C$8*Z90,"停止","断続")))</f>
        <v>断続</v>
      </c>
      <c r="AC90" s="30" t="n">
        <v>60</v>
      </c>
      <c r="AD90" s="30" t="n">
        <v>60</v>
      </c>
      <c r="AE90" s="30" t="str">
        <f aca="false">IF(AC90&lt;判定条件!$C$6,"判定不能",IF(AD90&gt;=判定条件!$C$7*AC90,"運転",IF(AD90&lt;=判定条件!$C$8*AC90,"停止","断続")))</f>
        <v>運転</v>
      </c>
      <c r="AF90" s="30" t="n">
        <v>60</v>
      </c>
      <c r="AG90" s="30" t="n">
        <v>60</v>
      </c>
      <c r="AH90" s="30" t="str">
        <f aca="false">IF(OR(P90="判定不能",G90="判定不能"),"判定不能",IF(AG90&gt;=判定条件!$C$9,"利用可",IF(AND(P90="停止",G90="停止"),"両方停止","運転がそろわない")))</f>
        <v>利用可</v>
      </c>
      <c r="AI90" s="30" t="n">
        <v>60</v>
      </c>
      <c r="AJ90" s="30" t="n">
        <v>60</v>
      </c>
      <c r="AK90" s="30" t="str">
        <f aca="false">IF(OR(S90="判定不能",J90="判定不能"),"判定不能",IF(AJ90&gt;=判定条件!$C$9,"利用可",IF(AND(S90="停止",J90="停止"),"両方停止","運転がそろわない")))</f>
        <v>利用可</v>
      </c>
      <c r="AL90" s="30" t="n">
        <v>60</v>
      </c>
      <c r="AM90" s="30" t="n">
        <v>60</v>
      </c>
      <c r="AN90" s="30" t="str">
        <f aca="false">IF(OR(V90="判定不能",M90="判定不能"),"判定不能",IF(AM90&gt;=判定条件!$C$9,"利用可",IF(AND(V90="停止",M90="停止"),"両方停止","運転がそろわない")))</f>
        <v>利用可</v>
      </c>
      <c r="AO90" s="30" t="n">
        <v>60</v>
      </c>
      <c r="AP90" s="30" t="n">
        <v>60</v>
      </c>
      <c r="AQ90" s="30" t="str">
        <f aca="false">IF(OR(Y90="判定不能",G90="判定不能"),"判定不能",IF(AP90&gt;=判定条件!$C$9,"利用可",IF(AND(Y90="停止",G90="停止"),"両方停止","運転がそろわない")))</f>
        <v>利用可</v>
      </c>
      <c r="AR90" s="30" t="n">
        <v>60</v>
      </c>
      <c r="AS90" s="30" t="n">
        <v>32</v>
      </c>
      <c r="AT90" s="30" t="str">
        <f aca="false">IF(OR(AB90="判定不能",J90="判定不能"),"判定不能",IF(AS90&gt;=判定条件!$C$9,"利用可",IF(AND(AB90="停止",J90="停止"),"両方停止","運転がそろわない")))</f>
        <v>利用可</v>
      </c>
      <c r="AU90" s="30" t="n">
        <v>60</v>
      </c>
      <c r="AV90" s="30" t="n">
        <v>60</v>
      </c>
      <c r="AW90" s="30" t="str">
        <f aca="false">IF(OR(AE90="判定不能",M90="判定不能"),"判定不能",IF(AV90&gt;=判定条件!$C$9,"利用可",IF(AND(AE90="停止",M90="停止"),"両方停止","運転がそろわない")))</f>
        <v>利用可</v>
      </c>
      <c r="AX90" s="30" t="str">
        <f aca="false">IF(AND(AH90="利用可",AK90="利用可",AN90="利用可"),"利用可","不可")</f>
        <v>利用可</v>
      </c>
      <c r="AY90" s="30" t="str">
        <f aca="false">IF(AND(AQ90="利用可",AT90="利用可",AW90="利用可"),"利用可","不可")</f>
        <v>利用可</v>
      </c>
    </row>
    <row r="91" customFormat="false" ht="15" hidden="false" customHeight="false" outlineLevel="0" collapsed="false">
      <c r="A91" s="29" t="n">
        <v>46235</v>
      </c>
      <c r="B91" s="30" t="n">
        <v>16</v>
      </c>
      <c r="C91" s="31" t="s">
        <v>63</v>
      </c>
      <c r="D91" s="31" t="s">
        <v>64</v>
      </c>
      <c r="E91" s="30" t="n">
        <v>60</v>
      </c>
      <c r="F91" s="30" t="n">
        <v>60</v>
      </c>
      <c r="G91" s="30" t="str">
        <f aca="false">IF(E91&lt;判定条件!$C$6,"判定不能",IF(F91&gt;=判定条件!$C$7*E91,"運転",IF(F91&lt;=判定条件!$C$8*E91,"停止","断続")))</f>
        <v>運転</v>
      </c>
      <c r="H91" s="30" t="n">
        <v>60</v>
      </c>
      <c r="I91" s="30" t="n">
        <v>60</v>
      </c>
      <c r="J91" s="30" t="str">
        <f aca="false">IF(H91&lt;判定条件!$C$6,"判定不能",IF(I91&gt;=判定条件!$C$7*H91,"運転",IF(I91&lt;=判定条件!$C$8*H91,"停止","断続")))</f>
        <v>運転</v>
      </c>
      <c r="K91" s="30" t="n">
        <v>60</v>
      </c>
      <c r="L91" s="30" t="n">
        <v>60</v>
      </c>
      <c r="M91" s="30" t="str">
        <f aca="false">IF(K91&lt;判定条件!$C$6,"判定不能",IF(L91&gt;=判定条件!$C$7*K91,"運転",IF(L91&lt;=判定条件!$C$8*K91,"停止","断続")))</f>
        <v>運転</v>
      </c>
      <c r="N91" s="30" t="n">
        <v>60</v>
      </c>
      <c r="O91" s="30" t="n">
        <v>60</v>
      </c>
      <c r="P91" s="30" t="str">
        <f aca="false">IF(N91&lt;判定条件!$C$6,"判定不能",IF(O91&gt;=判定条件!$C$7*N91,"運転",IF(O91&lt;=判定条件!$C$8*N91,"停止","断続")))</f>
        <v>運転</v>
      </c>
      <c r="Q91" s="30" t="n">
        <v>60</v>
      </c>
      <c r="R91" s="30" t="n">
        <v>41</v>
      </c>
      <c r="S91" s="30" t="str">
        <f aca="false">IF(Q91&lt;判定条件!$C$6,"判定不能",IF(R91&gt;=判定条件!$C$7*Q91,"運転",IF(R91&lt;=判定条件!$C$8*Q91,"停止","断続")))</f>
        <v>断続</v>
      </c>
      <c r="T91" s="30" t="n">
        <v>60</v>
      </c>
      <c r="U91" s="30" t="n">
        <v>40</v>
      </c>
      <c r="V91" s="30" t="str">
        <f aca="false">IF(T91&lt;判定条件!$C$6,"判定不能",IF(U91&gt;=判定条件!$C$7*T91,"運転",IF(U91&lt;=判定条件!$C$8*T91,"停止","断続")))</f>
        <v>断続</v>
      </c>
      <c r="W91" s="30" t="n">
        <v>60</v>
      </c>
      <c r="X91" s="30" t="n">
        <v>60</v>
      </c>
      <c r="Y91" s="30" t="str">
        <f aca="false">IF(W91&lt;判定条件!$C$6,"判定不能",IF(X91&gt;=判定条件!$C$7*W91,"運転",IF(X91&lt;=判定条件!$C$8*W91,"停止","断続")))</f>
        <v>運転</v>
      </c>
      <c r="Z91" s="30" t="n">
        <v>60</v>
      </c>
      <c r="AA91" s="30" t="n">
        <v>47</v>
      </c>
      <c r="AB91" s="30" t="str">
        <f aca="false">IF(Z91&lt;判定条件!$C$6,"判定不能",IF(AA91&gt;=判定条件!$C$7*Z91,"運転",IF(AA91&lt;=判定条件!$C$8*Z91,"停止","断続")))</f>
        <v>断続</v>
      </c>
      <c r="AC91" s="30" t="n">
        <v>60</v>
      </c>
      <c r="AD91" s="30" t="n">
        <v>60</v>
      </c>
      <c r="AE91" s="30" t="str">
        <f aca="false">IF(AC91&lt;判定条件!$C$6,"判定不能",IF(AD91&gt;=判定条件!$C$7*AC91,"運転",IF(AD91&lt;=判定条件!$C$8*AC91,"停止","断続")))</f>
        <v>運転</v>
      </c>
      <c r="AF91" s="30" t="n">
        <v>60</v>
      </c>
      <c r="AG91" s="30" t="n">
        <v>60</v>
      </c>
      <c r="AH91" s="30" t="str">
        <f aca="false">IF(OR(P91="判定不能",G91="判定不能"),"判定不能",IF(AG91&gt;=判定条件!$C$9,"利用可",IF(AND(P91="停止",G91="停止"),"両方停止","運転がそろわない")))</f>
        <v>利用可</v>
      </c>
      <c r="AI91" s="30" t="n">
        <v>60</v>
      </c>
      <c r="AJ91" s="30" t="n">
        <v>41</v>
      </c>
      <c r="AK91" s="30" t="str">
        <f aca="false">IF(OR(S91="判定不能",J91="判定不能"),"判定不能",IF(AJ91&gt;=判定条件!$C$9,"利用可",IF(AND(S91="停止",J91="停止"),"両方停止","運転がそろわない")))</f>
        <v>利用可</v>
      </c>
      <c r="AL91" s="30" t="n">
        <v>60</v>
      </c>
      <c r="AM91" s="30" t="n">
        <v>40</v>
      </c>
      <c r="AN91" s="30" t="str">
        <f aca="false">IF(OR(V91="判定不能",M91="判定不能"),"判定不能",IF(AM91&gt;=判定条件!$C$9,"利用可",IF(AND(V91="停止",M91="停止"),"両方停止","運転がそろわない")))</f>
        <v>利用可</v>
      </c>
      <c r="AO91" s="30" t="n">
        <v>60</v>
      </c>
      <c r="AP91" s="30" t="n">
        <v>60</v>
      </c>
      <c r="AQ91" s="30" t="str">
        <f aca="false">IF(OR(Y91="判定不能",G91="判定不能"),"判定不能",IF(AP91&gt;=判定条件!$C$9,"利用可",IF(AND(Y91="停止",G91="停止"),"両方停止","運転がそろわない")))</f>
        <v>利用可</v>
      </c>
      <c r="AR91" s="30" t="n">
        <v>60</v>
      </c>
      <c r="AS91" s="30" t="n">
        <v>47</v>
      </c>
      <c r="AT91" s="30" t="str">
        <f aca="false">IF(OR(AB91="判定不能",J91="判定不能"),"判定不能",IF(AS91&gt;=判定条件!$C$9,"利用可",IF(AND(AB91="停止",J91="停止"),"両方停止","運転がそろわない")))</f>
        <v>利用可</v>
      </c>
      <c r="AU91" s="30" t="n">
        <v>60</v>
      </c>
      <c r="AV91" s="30" t="n">
        <v>60</v>
      </c>
      <c r="AW91" s="30" t="str">
        <f aca="false">IF(OR(AE91="判定不能",M91="判定不能"),"判定不能",IF(AV91&gt;=判定条件!$C$9,"利用可",IF(AND(AE91="停止",M91="停止"),"両方停止","運転がそろわない")))</f>
        <v>利用可</v>
      </c>
      <c r="AX91" s="30" t="str">
        <f aca="false">IF(AND(AH91="利用可",AK91="利用可",AN91="利用可"),"利用可","不可")</f>
        <v>利用可</v>
      </c>
      <c r="AY91" s="30" t="str">
        <f aca="false">IF(AND(AQ91="利用可",AT91="利用可",AW91="利用可"),"利用可","不可")</f>
        <v>利用可</v>
      </c>
    </row>
    <row r="92" customFormat="false" ht="15" hidden="false" customHeight="false" outlineLevel="0" collapsed="false">
      <c r="A92" s="29" t="n">
        <v>46235</v>
      </c>
      <c r="B92" s="30" t="n">
        <v>17</v>
      </c>
      <c r="C92" s="31" t="s">
        <v>63</v>
      </c>
      <c r="D92" s="31" t="s">
        <v>64</v>
      </c>
      <c r="E92" s="30" t="n">
        <v>60</v>
      </c>
      <c r="F92" s="30" t="n">
        <v>60</v>
      </c>
      <c r="G92" s="30" t="str">
        <f aca="false">IF(E92&lt;判定条件!$C$6,"判定不能",IF(F92&gt;=判定条件!$C$7*E92,"運転",IF(F92&lt;=判定条件!$C$8*E92,"停止","断続")))</f>
        <v>運転</v>
      </c>
      <c r="H92" s="30" t="n">
        <v>60</v>
      </c>
      <c r="I92" s="30" t="n">
        <v>60</v>
      </c>
      <c r="J92" s="30" t="str">
        <f aca="false">IF(H92&lt;判定条件!$C$6,"判定不能",IF(I92&gt;=判定条件!$C$7*H92,"運転",IF(I92&lt;=判定条件!$C$8*H92,"停止","断続")))</f>
        <v>運転</v>
      </c>
      <c r="K92" s="30" t="n">
        <v>60</v>
      </c>
      <c r="L92" s="30" t="n">
        <v>60</v>
      </c>
      <c r="M92" s="30" t="str">
        <f aca="false">IF(K92&lt;判定条件!$C$6,"判定不能",IF(L92&gt;=判定条件!$C$7*K92,"運転",IF(L92&lt;=判定条件!$C$8*K92,"停止","断続")))</f>
        <v>運転</v>
      </c>
      <c r="N92" s="30" t="n">
        <v>60</v>
      </c>
      <c r="O92" s="30" t="n">
        <v>41</v>
      </c>
      <c r="P92" s="30" t="str">
        <f aca="false">IF(N92&lt;判定条件!$C$6,"判定不能",IF(O92&gt;=判定条件!$C$7*N92,"運転",IF(O92&lt;=判定条件!$C$8*N92,"停止","断続")))</f>
        <v>断続</v>
      </c>
      <c r="Q92" s="30" t="n">
        <v>60</v>
      </c>
      <c r="R92" s="30" t="n">
        <v>40</v>
      </c>
      <c r="S92" s="30" t="str">
        <f aca="false">IF(Q92&lt;判定条件!$C$6,"判定不能",IF(R92&gt;=判定条件!$C$7*Q92,"運転",IF(R92&lt;=判定条件!$C$8*Q92,"停止","断続")))</f>
        <v>断続</v>
      </c>
      <c r="T92" s="30" t="n">
        <v>60</v>
      </c>
      <c r="U92" s="30" t="n">
        <v>54</v>
      </c>
      <c r="V92" s="30" t="str">
        <f aca="false">IF(T92&lt;判定条件!$C$6,"判定不能",IF(U92&gt;=判定条件!$C$7*T92,"運転",IF(U92&lt;=判定条件!$C$8*T92,"停止","断続")))</f>
        <v>運転</v>
      </c>
      <c r="W92" s="30" t="n">
        <v>60</v>
      </c>
      <c r="X92" s="30" t="n">
        <v>41</v>
      </c>
      <c r="Y92" s="30" t="str">
        <f aca="false">IF(W92&lt;判定条件!$C$6,"判定不能",IF(X92&gt;=判定条件!$C$7*W92,"運転",IF(X92&lt;=判定条件!$C$8*W92,"停止","断続")))</f>
        <v>断続</v>
      </c>
      <c r="Z92" s="30" t="n">
        <v>60</v>
      </c>
      <c r="AA92" s="30" t="n">
        <v>44</v>
      </c>
      <c r="AB92" s="30" t="str">
        <f aca="false">IF(Z92&lt;判定条件!$C$6,"判定不能",IF(AA92&gt;=判定条件!$C$7*Z92,"運転",IF(AA92&lt;=判定条件!$C$8*Z92,"停止","断続")))</f>
        <v>断続</v>
      </c>
      <c r="AC92" s="30" t="n">
        <v>60</v>
      </c>
      <c r="AD92" s="30" t="n">
        <v>60</v>
      </c>
      <c r="AE92" s="30" t="str">
        <f aca="false">IF(AC92&lt;判定条件!$C$6,"判定不能",IF(AD92&gt;=判定条件!$C$7*AC92,"運転",IF(AD92&lt;=判定条件!$C$8*AC92,"停止","断続")))</f>
        <v>運転</v>
      </c>
      <c r="AF92" s="30" t="n">
        <v>60</v>
      </c>
      <c r="AG92" s="30" t="n">
        <v>41</v>
      </c>
      <c r="AH92" s="30" t="str">
        <f aca="false">IF(OR(P92="判定不能",G92="判定不能"),"判定不能",IF(AG92&gt;=判定条件!$C$9,"利用可",IF(AND(P92="停止",G92="停止"),"両方停止","運転がそろわない")))</f>
        <v>利用可</v>
      </c>
      <c r="AI92" s="30" t="n">
        <v>60</v>
      </c>
      <c r="AJ92" s="30" t="n">
        <v>40</v>
      </c>
      <c r="AK92" s="30" t="str">
        <f aca="false">IF(OR(S92="判定不能",J92="判定不能"),"判定不能",IF(AJ92&gt;=判定条件!$C$9,"利用可",IF(AND(S92="停止",J92="停止"),"両方停止","運転がそろわない")))</f>
        <v>利用可</v>
      </c>
      <c r="AL92" s="30" t="n">
        <v>60</v>
      </c>
      <c r="AM92" s="30" t="n">
        <v>54</v>
      </c>
      <c r="AN92" s="30" t="str">
        <f aca="false">IF(OR(V92="判定不能",M92="判定不能"),"判定不能",IF(AM92&gt;=判定条件!$C$9,"利用可",IF(AND(V92="停止",M92="停止"),"両方停止","運転がそろわない")))</f>
        <v>利用可</v>
      </c>
      <c r="AO92" s="30" t="n">
        <v>60</v>
      </c>
      <c r="AP92" s="30" t="n">
        <v>41</v>
      </c>
      <c r="AQ92" s="30" t="str">
        <f aca="false">IF(OR(Y92="判定不能",G92="判定不能"),"判定不能",IF(AP92&gt;=判定条件!$C$9,"利用可",IF(AND(Y92="停止",G92="停止"),"両方停止","運転がそろわない")))</f>
        <v>利用可</v>
      </c>
      <c r="AR92" s="30" t="n">
        <v>60</v>
      </c>
      <c r="AS92" s="30" t="n">
        <v>44</v>
      </c>
      <c r="AT92" s="30" t="str">
        <f aca="false">IF(OR(AB92="判定不能",J92="判定不能"),"判定不能",IF(AS92&gt;=判定条件!$C$9,"利用可",IF(AND(AB92="停止",J92="停止"),"両方停止","運転がそろわない")))</f>
        <v>利用可</v>
      </c>
      <c r="AU92" s="30" t="n">
        <v>60</v>
      </c>
      <c r="AV92" s="30" t="n">
        <v>60</v>
      </c>
      <c r="AW92" s="30" t="str">
        <f aca="false">IF(OR(AE92="判定不能",M92="判定不能"),"判定不能",IF(AV92&gt;=判定条件!$C$9,"利用可",IF(AND(AE92="停止",M92="停止"),"両方停止","運転がそろわない")))</f>
        <v>利用可</v>
      </c>
      <c r="AX92" s="30" t="str">
        <f aca="false">IF(AND(AH92="利用可",AK92="利用可",AN92="利用可"),"利用可","不可")</f>
        <v>利用可</v>
      </c>
      <c r="AY92" s="30" t="str">
        <f aca="false">IF(AND(AQ92="利用可",AT92="利用可",AW92="利用可"),"利用可","不可")</f>
        <v>利用可</v>
      </c>
    </row>
    <row r="93" customFormat="false" ht="15" hidden="false" customHeight="false" outlineLevel="0" collapsed="false">
      <c r="A93" s="29" t="n">
        <v>46235</v>
      </c>
      <c r="B93" s="30" t="n">
        <v>18</v>
      </c>
      <c r="C93" s="31" t="s">
        <v>63</v>
      </c>
      <c r="D93" s="31" t="s">
        <v>64</v>
      </c>
      <c r="E93" s="30" t="n">
        <v>60</v>
      </c>
      <c r="F93" s="30" t="n">
        <v>60</v>
      </c>
      <c r="G93" s="30" t="str">
        <f aca="false">IF(E93&lt;判定条件!$C$6,"判定不能",IF(F93&gt;=判定条件!$C$7*E93,"運転",IF(F93&lt;=判定条件!$C$8*E93,"停止","断続")))</f>
        <v>運転</v>
      </c>
      <c r="H93" s="30" t="n">
        <v>60</v>
      </c>
      <c r="I93" s="30" t="n">
        <v>60</v>
      </c>
      <c r="J93" s="30" t="str">
        <f aca="false">IF(H93&lt;判定条件!$C$6,"判定不能",IF(I93&gt;=判定条件!$C$7*H93,"運転",IF(I93&lt;=判定条件!$C$8*H93,"停止","断続")))</f>
        <v>運転</v>
      </c>
      <c r="K93" s="30" t="n">
        <v>60</v>
      </c>
      <c r="L93" s="30" t="n">
        <v>60</v>
      </c>
      <c r="M93" s="30" t="str">
        <f aca="false">IF(K93&lt;判定条件!$C$6,"判定不能",IF(L93&gt;=判定条件!$C$7*K93,"運転",IF(L93&lt;=判定条件!$C$8*K93,"停止","断続")))</f>
        <v>運転</v>
      </c>
      <c r="N93" s="30" t="n">
        <v>60</v>
      </c>
      <c r="O93" s="30" t="n">
        <v>1</v>
      </c>
      <c r="P93" s="30" t="str">
        <f aca="false">IF(N93&lt;判定条件!$C$6,"判定不能",IF(O93&gt;=判定条件!$C$7*N93,"運転",IF(O93&lt;=判定条件!$C$8*N93,"停止","断続")))</f>
        <v>停止</v>
      </c>
      <c r="Q93" s="30" t="n">
        <v>60</v>
      </c>
      <c r="R93" s="30" t="n">
        <v>36</v>
      </c>
      <c r="S93" s="30" t="str">
        <f aca="false">IF(Q93&lt;判定条件!$C$6,"判定不能",IF(R93&gt;=判定条件!$C$7*Q93,"運転",IF(R93&lt;=判定条件!$C$8*Q93,"停止","断続")))</f>
        <v>断続</v>
      </c>
      <c r="T93" s="30" t="n">
        <v>60</v>
      </c>
      <c r="U93" s="30" t="n">
        <v>30</v>
      </c>
      <c r="V93" s="30" t="str">
        <f aca="false">IF(T93&lt;判定条件!$C$6,"判定不能",IF(U93&gt;=判定条件!$C$7*T93,"運転",IF(U93&lt;=判定条件!$C$8*T93,"停止","断続")))</f>
        <v>断続</v>
      </c>
      <c r="W93" s="30" t="n">
        <v>60</v>
      </c>
      <c r="X93" s="30" t="n">
        <v>6</v>
      </c>
      <c r="Y93" s="30" t="str">
        <f aca="false">IF(W93&lt;判定条件!$C$6,"判定不能",IF(X93&gt;=判定条件!$C$7*W93,"運転",IF(X93&lt;=判定条件!$C$8*W93,"停止","断続")))</f>
        <v>停止</v>
      </c>
      <c r="Z93" s="30" t="n">
        <v>60</v>
      </c>
      <c r="AA93" s="30" t="n">
        <v>7</v>
      </c>
      <c r="AB93" s="30" t="str">
        <f aca="false">IF(Z93&lt;判定条件!$C$6,"判定不能",IF(AA93&gt;=判定条件!$C$7*Z93,"運転",IF(AA93&lt;=判定条件!$C$8*Z93,"停止","断続")))</f>
        <v>停止</v>
      </c>
      <c r="AC93" s="30" t="n">
        <v>60</v>
      </c>
      <c r="AD93" s="30" t="n">
        <v>9</v>
      </c>
      <c r="AE93" s="30" t="str">
        <f aca="false">IF(AC93&lt;判定条件!$C$6,"判定不能",IF(AD93&gt;=判定条件!$C$7*AC93,"運転",IF(AD93&lt;=判定条件!$C$8*AC93,"停止","断続")))</f>
        <v>停止</v>
      </c>
      <c r="AF93" s="30" t="n">
        <v>60</v>
      </c>
      <c r="AG93" s="30" t="n">
        <v>1</v>
      </c>
      <c r="AH93" s="30" t="str">
        <f aca="false">IF(OR(P93="判定不能",G93="判定不能"),"判定不能",IF(AG93&gt;=判定条件!$C$9,"利用可",IF(AND(P93="停止",G93="停止"),"両方停止","運転がそろわない")))</f>
        <v>運転がそろわない</v>
      </c>
      <c r="AI93" s="30" t="n">
        <v>60</v>
      </c>
      <c r="AJ93" s="30" t="n">
        <v>36</v>
      </c>
      <c r="AK93" s="30" t="str">
        <f aca="false">IF(OR(S93="判定不能",J93="判定不能"),"判定不能",IF(AJ93&gt;=判定条件!$C$9,"利用可",IF(AND(S93="停止",J93="停止"),"両方停止","運転がそろわない")))</f>
        <v>利用可</v>
      </c>
      <c r="AL93" s="30" t="n">
        <v>60</v>
      </c>
      <c r="AM93" s="30" t="n">
        <v>30</v>
      </c>
      <c r="AN93" s="30" t="str">
        <f aca="false">IF(OR(V93="判定不能",M93="判定不能"),"判定不能",IF(AM93&gt;=判定条件!$C$9,"利用可",IF(AND(V93="停止",M93="停止"),"両方停止","運転がそろわない")))</f>
        <v>利用可</v>
      </c>
      <c r="AO93" s="30" t="n">
        <v>60</v>
      </c>
      <c r="AP93" s="30" t="n">
        <v>6</v>
      </c>
      <c r="AQ93" s="30" t="str">
        <f aca="false">IF(OR(Y93="判定不能",G93="判定不能"),"判定不能",IF(AP93&gt;=判定条件!$C$9,"利用可",IF(AND(Y93="停止",G93="停止"),"両方停止","運転がそろわない")))</f>
        <v>運転がそろわない</v>
      </c>
      <c r="AR93" s="30" t="n">
        <v>60</v>
      </c>
      <c r="AS93" s="30" t="n">
        <v>7</v>
      </c>
      <c r="AT93" s="30" t="str">
        <f aca="false">IF(OR(AB93="判定不能",J93="判定不能"),"判定不能",IF(AS93&gt;=判定条件!$C$9,"利用可",IF(AND(AB93="停止",J93="停止"),"両方停止","運転がそろわない")))</f>
        <v>運転がそろわない</v>
      </c>
      <c r="AU93" s="30" t="n">
        <v>60</v>
      </c>
      <c r="AV93" s="30" t="n">
        <v>9</v>
      </c>
      <c r="AW93" s="30" t="str">
        <f aca="false">IF(OR(AE93="判定不能",M93="判定不能"),"判定不能",IF(AV93&gt;=判定条件!$C$9,"利用可",IF(AND(AE93="停止",M93="停止"),"両方停止","運転がそろわない")))</f>
        <v>運転がそろわない</v>
      </c>
      <c r="AX93" s="30" t="str">
        <f aca="false">IF(AND(AH93="利用可",AK93="利用可",AN93="利用可"),"利用可","不可")</f>
        <v>不可</v>
      </c>
      <c r="AY93" s="30" t="str">
        <f aca="false">IF(AND(AQ93="利用可",AT93="利用可",AW93="利用可"),"利用可","不可")</f>
        <v>不可</v>
      </c>
    </row>
    <row r="94" customFormat="false" ht="15" hidden="false" customHeight="false" outlineLevel="0" collapsed="false">
      <c r="A94" s="29" t="n">
        <v>46235</v>
      </c>
      <c r="B94" s="30" t="n">
        <v>19</v>
      </c>
      <c r="C94" s="31" t="s">
        <v>63</v>
      </c>
      <c r="D94" s="31" t="s">
        <v>64</v>
      </c>
      <c r="E94" s="30" t="n">
        <v>60</v>
      </c>
      <c r="F94" s="30" t="n">
        <v>60</v>
      </c>
      <c r="G94" s="30" t="str">
        <f aca="false">IF(E94&lt;判定条件!$C$6,"判定不能",IF(F94&gt;=判定条件!$C$7*E94,"運転",IF(F94&lt;=判定条件!$C$8*E94,"停止","断続")))</f>
        <v>運転</v>
      </c>
      <c r="H94" s="30" t="n">
        <v>60</v>
      </c>
      <c r="I94" s="30" t="n">
        <v>60</v>
      </c>
      <c r="J94" s="30" t="str">
        <f aca="false">IF(H94&lt;判定条件!$C$6,"判定不能",IF(I94&gt;=判定条件!$C$7*H94,"運転",IF(I94&lt;=判定条件!$C$8*H94,"停止","断続")))</f>
        <v>運転</v>
      </c>
      <c r="K94" s="30" t="n">
        <v>60</v>
      </c>
      <c r="L94" s="30" t="n">
        <v>60</v>
      </c>
      <c r="M94" s="30" t="str">
        <f aca="false">IF(K94&lt;判定条件!$C$6,"判定不能",IF(L94&gt;=判定条件!$C$7*K94,"運転",IF(L94&lt;=判定条件!$C$8*K94,"停止","断続")))</f>
        <v>運転</v>
      </c>
      <c r="N94" s="30" t="n">
        <v>60</v>
      </c>
      <c r="O94" s="30" t="n">
        <v>0</v>
      </c>
      <c r="P94" s="30" t="str">
        <f aca="false">IF(N94&lt;判定条件!$C$6,"判定不能",IF(O94&gt;=判定条件!$C$7*N94,"運転",IF(O94&lt;=判定条件!$C$8*N94,"停止","断続")))</f>
        <v>停止</v>
      </c>
      <c r="Q94" s="30" t="n">
        <v>60</v>
      </c>
      <c r="R94" s="30" t="n">
        <v>60</v>
      </c>
      <c r="S94" s="30" t="str">
        <f aca="false">IF(Q94&lt;判定条件!$C$6,"判定不能",IF(R94&gt;=判定条件!$C$7*Q94,"運転",IF(R94&lt;=判定条件!$C$8*Q94,"停止","断続")))</f>
        <v>運転</v>
      </c>
      <c r="T94" s="30" t="n">
        <v>60</v>
      </c>
      <c r="U94" s="30" t="n">
        <v>60</v>
      </c>
      <c r="V94" s="30" t="str">
        <f aca="false">IF(T94&lt;判定条件!$C$6,"判定不能",IF(U94&gt;=判定条件!$C$7*T94,"運転",IF(U94&lt;=判定条件!$C$8*T94,"停止","断続")))</f>
        <v>運転</v>
      </c>
      <c r="W94" s="30" t="n">
        <v>60</v>
      </c>
      <c r="X94" s="30" t="n">
        <v>0</v>
      </c>
      <c r="Y94" s="30" t="str">
        <f aca="false">IF(W94&lt;判定条件!$C$6,"判定不能",IF(X94&gt;=判定条件!$C$7*W94,"運転",IF(X94&lt;=判定条件!$C$8*W94,"停止","断続")))</f>
        <v>停止</v>
      </c>
      <c r="Z94" s="30" t="n">
        <v>60</v>
      </c>
      <c r="AA94" s="30" t="n">
        <v>0</v>
      </c>
      <c r="AB94" s="30" t="str">
        <f aca="false">IF(Z94&lt;判定条件!$C$6,"判定不能",IF(AA94&gt;=判定条件!$C$7*Z94,"運転",IF(AA94&lt;=判定条件!$C$8*Z94,"停止","断続")))</f>
        <v>停止</v>
      </c>
      <c r="AC94" s="30" t="n">
        <v>60</v>
      </c>
      <c r="AD94" s="30" t="n">
        <v>0</v>
      </c>
      <c r="AE94" s="30" t="str">
        <f aca="false">IF(AC94&lt;判定条件!$C$6,"判定不能",IF(AD94&gt;=判定条件!$C$7*AC94,"運転",IF(AD94&lt;=判定条件!$C$8*AC94,"停止","断続")))</f>
        <v>停止</v>
      </c>
      <c r="AF94" s="30" t="n">
        <v>60</v>
      </c>
      <c r="AG94" s="30" t="n">
        <v>0</v>
      </c>
      <c r="AH94" s="30" t="str">
        <f aca="false">IF(OR(P94="判定不能",G94="判定不能"),"判定不能",IF(AG94&gt;=判定条件!$C$9,"利用可",IF(AND(P94="停止",G94="停止"),"両方停止","運転がそろわない")))</f>
        <v>運転がそろわない</v>
      </c>
      <c r="AI94" s="30" t="n">
        <v>60</v>
      </c>
      <c r="AJ94" s="30" t="n">
        <v>60</v>
      </c>
      <c r="AK94" s="30" t="str">
        <f aca="false">IF(OR(S94="判定不能",J94="判定不能"),"判定不能",IF(AJ94&gt;=判定条件!$C$9,"利用可",IF(AND(S94="停止",J94="停止"),"両方停止","運転がそろわない")))</f>
        <v>利用可</v>
      </c>
      <c r="AL94" s="30" t="n">
        <v>60</v>
      </c>
      <c r="AM94" s="30" t="n">
        <v>60</v>
      </c>
      <c r="AN94" s="30" t="str">
        <f aca="false">IF(OR(V94="判定不能",M94="判定不能"),"判定不能",IF(AM94&gt;=判定条件!$C$9,"利用可",IF(AND(V94="停止",M94="停止"),"両方停止","運転がそろわない")))</f>
        <v>利用可</v>
      </c>
      <c r="AO94" s="30" t="n">
        <v>60</v>
      </c>
      <c r="AP94" s="30" t="n">
        <v>0</v>
      </c>
      <c r="AQ94" s="30" t="str">
        <f aca="false">IF(OR(Y94="判定不能",G94="判定不能"),"判定不能",IF(AP94&gt;=判定条件!$C$9,"利用可",IF(AND(Y94="停止",G94="停止"),"両方停止","運転がそろわない")))</f>
        <v>運転がそろわない</v>
      </c>
      <c r="AR94" s="30" t="n">
        <v>60</v>
      </c>
      <c r="AS94" s="30" t="n">
        <v>0</v>
      </c>
      <c r="AT94" s="30" t="str">
        <f aca="false">IF(OR(AB94="判定不能",J94="判定不能"),"判定不能",IF(AS94&gt;=判定条件!$C$9,"利用可",IF(AND(AB94="停止",J94="停止"),"両方停止","運転がそろわない")))</f>
        <v>運転がそろわない</v>
      </c>
      <c r="AU94" s="30" t="n">
        <v>60</v>
      </c>
      <c r="AV94" s="30" t="n">
        <v>0</v>
      </c>
      <c r="AW94" s="30" t="str">
        <f aca="false">IF(OR(AE94="判定不能",M94="判定不能"),"判定不能",IF(AV94&gt;=判定条件!$C$9,"利用可",IF(AND(AE94="停止",M94="停止"),"両方停止","運転がそろわない")))</f>
        <v>運転がそろわない</v>
      </c>
      <c r="AX94" s="30" t="str">
        <f aca="false">IF(AND(AH94="利用可",AK94="利用可",AN94="利用可"),"利用可","不可")</f>
        <v>不可</v>
      </c>
      <c r="AY94" s="30" t="str">
        <f aca="false">IF(AND(AQ94="利用可",AT94="利用可",AW94="利用可"),"利用可","不可")</f>
        <v>不可</v>
      </c>
    </row>
    <row r="95" customFormat="false" ht="15" hidden="false" customHeight="false" outlineLevel="0" collapsed="false">
      <c r="A95" s="29" t="n">
        <v>46235</v>
      </c>
      <c r="B95" s="30" t="n">
        <v>20</v>
      </c>
      <c r="C95" s="31" t="s">
        <v>63</v>
      </c>
      <c r="D95" s="31" t="s">
        <v>64</v>
      </c>
      <c r="E95" s="30" t="n">
        <v>60</v>
      </c>
      <c r="F95" s="30" t="n">
        <v>59</v>
      </c>
      <c r="G95" s="30" t="str">
        <f aca="false">IF(E95&lt;判定条件!$C$6,"判定不能",IF(F95&gt;=判定条件!$C$7*E95,"運転",IF(F95&lt;=判定条件!$C$8*E95,"停止","断続")))</f>
        <v>運転</v>
      </c>
      <c r="H95" s="30" t="n">
        <v>60</v>
      </c>
      <c r="I95" s="30" t="n">
        <v>48</v>
      </c>
      <c r="J95" s="30" t="str">
        <f aca="false">IF(H95&lt;判定条件!$C$6,"判定不能",IF(I95&gt;=判定条件!$C$7*H95,"運転",IF(I95&lt;=判定条件!$C$8*H95,"停止","断続")))</f>
        <v>運転</v>
      </c>
      <c r="K95" s="30" t="n">
        <v>60</v>
      </c>
      <c r="L95" s="30" t="n">
        <v>60</v>
      </c>
      <c r="M95" s="30" t="str">
        <f aca="false">IF(K95&lt;判定条件!$C$6,"判定不能",IF(L95&gt;=判定条件!$C$7*K95,"運転",IF(L95&lt;=判定条件!$C$8*K95,"停止","断続")))</f>
        <v>運転</v>
      </c>
      <c r="N95" s="30" t="n">
        <v>60</v>
      </c>
      <c r="O95" s="30" t="n">
        <v>0</v>
      </c>
      <c r="P95" s="30" t="str">
        <f aca="false">IF(N95&lt;判定条件!$C$6,"判定不能",IF(O95&gt;=判定条件!$C$7*N95,"運転",IF(O95&lt;=判定条件!$C$8*N95,"停止","断続")))</f>
        <v>停止</v>
      </c>
      <c r="Q95" s="30" t="n">
        <v>60</v>
      </c>
      <c r="R95" s="30" t="n">
        <v>13</v>
      </c>
      <c r="S95" s="30" t="str">
        <f aca="false">IF(Q95&lt;判定条件!$C$6,"判定不能",IF(R95&gt;=判定条件!$C$7*Q95,"運転",IF(R95&lt;=判定条件!$C$8*Q95,"停止","断続")))</f>
        <v>断続</v>
      </c>
      <c r="T95" s="30" t="n">
        <v>60</v>
      </c>
      <c r="U95" s="30" t="n">
        <v>7</v>
      </c>
      <c r="V95" s="30" t="str">
        <f aca="false">IF(T95&lt;判定条件!$C$6,"判定不能",IF(U95&gt;=判定条件!$C$7*T95,"運転",IF(U95&lt;=判定条件!$C$8*T95,"停止","断続")))</f>
        <v>停止</v>
      </c>
      <c r="W95" s="30" t="n">
        <v>60</v>
      </c>
      <c r="X95" s="30" t="n">
        <v>0</v>
      </c>
      <c r="Y95" s="30" t="str">
        <f aca="false">IF(W95&lt;判定条件!$C$6,"判定不能",IF(X95&gt;=判定条件!$C$7*W95,"運転",IF(X95&lt;=判定条件!$C$8*W95,"停止","断続")))</f>
        <v>停止</v>
      </c>
      <c r="Z95" s="30" t="n">
        <v>60</v>
      </c>
      <c r="AA95" s="30" t="n">
        <v>0</v>
      </c>
      <c r="AB95" s="30" t="str">
        <f aca="false">IF(Z95&lt;判定条件!$C$6,"判定不能",IF(AA95&gt;=判定条件!$C$7*Z95,"運転",IF(AA95&lt;=判定条件!$C$8*Z95,"停止","断続")))</f>
        <v>停止</v>
      </c>
      <c r="AC95" s="30" t="n">
        <v>60</v>
      </c>
      <c r="AD95" s="30" t="n">
        <v>0</v>
      </c>
      <c r="AE95" s="30" t="str">
        <f aca="false">IF(AC95&lt;判定条件!$C$6,"判定不能",IF(AD95&gt;=判定条件!$C$7*AC95,"運転",IF(AD95&lt;=判定条件!$C$8*AC95,"停止","断続")))</f>
        <v>停止</v>
      </c>
      <c r="AF95" s="30" t="n">
        <v>60</v>
      </c>
      <c r="AG95" s="30" t="n">
        <v>0</v>
      </c>
      <c r="AH95" s="30" t="str">
        <f aca="false">IF(OR(P95="判定不能",G95="判定不能"),"判定不能",IF(AG95&gt;=判定条件!$C$9,"利用可",IF(AND(P95="停止",G95="停止"),"両方停止","運転がそろわない")))</f>
        <v>運転がそろわない</v>
      </c>
      <c r="AI95" s="30" t="n">
        <v>60</v>
      </c>
      <c r="AJ95" s="30" t="n">
        <v>13</v>
      </c>
      <c r="AK95" s="30" t="str">
        <f aca="false">IF(OR(S95="判定不能",J95="判定不能"),"判定不能",IF(AJ95&gt;=判定条件!$C$9,"利用可",IF(AND(S95="停止",J95="停止"),"両方停止","運転がそろわない")))</f>
        <v>運転がそろわない</v>
      </c>
      <c r="AL95" s="30" t="n">
        <v>60</v>
      </c>
      <c r="AM95" s="30" t="n">
        <v>7</v>
      </c>
      <c r="AN95" s="30" t="str">
        <f aca="false">IF(OR(V95="判定不能",M95="判定不能"),"判定不能",IF(AM95&gt;=判定条件!$C$9,"利用可",IF(AND(V95="停止",M95="停止"),"両方停止","運転がそろわない")))</f>
        <v>運転がそろわない</v>
      </c>
      <c r="AO95" s="30" t="n">
        <v>60</v>
      </c>
      <c r="AP95" s="30" t="n">
        <v>0</v>
      </c>
      <c r="AQ95" s="30" t="str">
        <f aca="false">IF(OR(Y95="判定不能",G95="判定不能"),"判定不能",IF(AP95&gt;=判定条件!$C$9,"利用可",IF(AND(Y95="停止",G95="停止"),"両方停止","運転がそろわない")))</f>
        <v>運転がそろわない</v>
      </c>
      <c r="AR95" s="30" t="n">
        <v>60</v>
      </c>
      <c r="AS95" s="30" t="n">
        <v>0</v>
      </c>
      <c r="AT95" s="30" t="str">
        <f aca="false">IF(OR(AB95="判定不能",J95="判定不能"),"判定不能",IF(AS95&gt;=判定条件!$C$9,"利用可",IF(AND(AB95="停止",J95="停止"),"両方停止","運転がそろわない")))</f>
        <v>運転がそろわない</v>
      </c>
      <c r="AU95" s="30" t="n">
        <v>60</v>
      </c>
      <c r="AV95" s="30" t="n">
        <v>0</v>
      </c>
      <c r="AW95" s="30" t="str">
        <f aca="false">IF(OR(AE95="判定不能",M95="判定不能"),"判定不能",IF(AV95&gt;=判定条件!$C$9,"利用可",IF(AND(AE95="停止",M95="停止"),"両方停止","運転がそろわない")))</f>
        <v>運転がそろわない</v>
      </c>
      <c r="AX95" s="30" t="str">
        <f aca="false">IF(AND(AH95="利用可",AK95="利用可",AN95="利用可"),"利用可","不可")</f>
        <v>不可</v>
      </c>
      <c r="AY95" s="30" t="str">
        <f aca="false">IF(AND(AQ95="利用可",AT95="利用可",AW95="利用可"),"利用可","不可")</f>
        <v>不可</v>
      </c>
    </row>
    <row r="96" customFormat="false" ht="15" hidden="false" customHeight="false" outlineLevel="0" collapsed="false">
      <c r="A96" s="29" t="n">
        <v>46235</v>
      </c>
      <c r="B96" s="30" t="n">
        <v>21</v>
      </c>
      <c r="C96" s="31" t="s">
        <v>63</v>
      </c>
      <c r="D96" s="31" t="s">
        <v>64</v>
      </c>
      <c r="E96" s="30" t="n">
        <v>60</v>
      </c>
      <c r="F96" s="30" t="n">
        <v>2</v>
      </c>
      <c r="G96" s="30" t="str">
        <f aca="false">IF(E96&lt;判定条件!$C$6,"判定不能",IF(F96&gt;=判定条件!$C$7*E96,"運転",IF(F96&lt;=判定条件!$C$8*E96,"停止","断続")))</f>
        <v>停止</v>
      </c>
      <c r="H96" s="30" t="n">
        <v>60</v>
      </c>
      <c r="I96" s="30" t="n">
        <v>0</v>
      </c>
      <c r="J96" s="30" t="str">
        <f aca="false">IF(H96&lt;判定条件!$C$6,"判定不能",IF(I96&gt;=判定条件!$C$7*H96,"運転",IF(I96&lt;=判定条件!$C$8*H96,"停止","断続")))</f>
        <v>停止</v>
      </c>
      <c r="K96" s="30" t="n">
        <v>60</v>
      </c>
      <c r="L96" s="30" t="n">
        <v>60</v>
      </c>
      <c r="M96" s="30" t="str">
        <f aca="false">IF(K96&lt;判定条件!$C$6,"判定不能",IF(L96&gt;=判定条件!$C$7*K96,"運転",IF(L96&lt;=判定条件!$C$8*K96,"停止","断続")))</f>
        <v>運転</v>
      </c>
      <c r="N96" s="30" t="n">
        <v>60</v>
      </c>
      <c r="O96" s="30" t="n">
        <v>0</v>
      </c>
      <c r="P96" s="30" t="str">
        <f aca="false">IF(N96&lt;判定条件!$C$6,"判定不能",IF(O96&gt;=判定条件!$C$7*N96,"運転",IF(O96&lt;=判定条件!$C$8*N96,"停止","断続")))</f>
        <v>停止</v>
      </c>
      <c r="Q96" s="30" t="n">
        <v>60</v>
      </c>
      <c r="R96" s="30" t="n">
        <v>49</v>
      </c>
      <c r="S96" s="30" t="str">
        <f aca="false">IF(Q96&lt;判定条件!$C$6,"判定不能",IF(R96&gt;=判定条件!$C$7*Q96,"運転",IF(R96&lt;=判定条件!$C$8*Q96,"停止","断続")))</f>
        <v>運転</v>
      </c>
      <c r="T96" s="30" t="n">
        <v>60</v>
      </c>
      <c r="U96" s="30" t="n">
        <v>0</v>
      </c>
      <c r="V96" s="30" t="str">
        <f aca="false">IF(T96&lt;判定条件!$C$6,"判定不能",IF(U96&gt;=判定条件!$C$7*T96,"運転",IF(U96&lt;=判定条件!$C$8*T96,"停止","断続")))</f>
        <v>停止</v>
      </c>
      <c r="W96" s="30" t="n">
        <v>60</v>
      </c>
      <c r="X96" s="30" t="n">
        <v>0</v>
      </c>
      <c r="Y96" s="30" t="str">
        <f aca="false">IF(W96&lt;判定条件!$C$6,"判定不能",IF(X96&gt;=判定条件!$C$7*W96,"運転",IF(X96&lt;=判定条件!$C$8*W96,"停止","断続")))</f>
        <v>停止</v>
      </c>
      <c r="Z96" s="30" t="n">
        <v>60</v>
      </c>
      <c r="AA96" s="30" t="n">
        <v>0</v>
      </c>
      <c r="AB96" s="30" t="str">
        <f aca="false">IF(Z96&lt;判定条件!$C$6,"判定不能",IF(AA96&gt;=判定条件!$C$7*Z96,"運転",IF(AA96&lt;=判定条件!$C$8*Z96,"停止","断続")))</f>
        <v>停止</v>
      </c>
      <c r="AC96" s="30" t="n">
        <v>60</v>
      </c>
      <c r="AD96" s="30" t="n">
        <v>0</v>
      </c>
      <c r="AE96" s="30" t="str">
        <f aca="false">IF(AC96&lt;判定条件!$C$6,"判定不能",IF(AD96&gt;=判定条件!$C$7*AC96,"運転",IF(AD96&lt;=判定条件!$C$8*AC96,"停止","断続")))</f>
        <v>停止</v>
      </c>
      <c r="AF96" s="30" t="n">
        <v>60</v>
      </c>
      <c r="AG96" s="30" t="n">
        <v>0</v>
      </c>
      <c r="AH96" s="30" t="str">
        <f aca="false">IF(OR(P96="判定不能",G96="判定不能"),"判定不能",IF(AG96&gt;=判定条件!$C$9,"利用可",IF(AND(P96="停止",G96="停止"),"両方停止","運転がそろわない")))</f>
        <v>両方停止</v>
      </c>
      <c r="AI96" s="30" t="n">
        <v>60</v>
      </c>
      <c r="AJ96" s="30" t="n">
        <v>0</v>
      </c>
      <c r="AK96" s="30" t="str">
        <f aca="false">IF(OR(S96="判定不能",J96="判定不能"),"判定不能",IF(AJ96&gt;=判定条件!$C$9,"利用可",IF(AND(S96="停止",J96="停止"),"両方停止","運転がそろわない")))</f>
        <v>運転がそろわない</v>
      </c>
      <c r="AL96" s="30" t="n">
        <v>60</v>
      </c>
      <c r="AM96" s="30" t="n">
        <v>0</v>
      </c>
      <c r="AN96" s="30" t="str">
        <f aca="false">IF(OR(V96="判定不能",M96="判定不能"),"判定不能",IF(AM96&gt;=判定条件!$C$9,"利用可",IF(AND(V96="停止",M96="停止"),"両方停止","運転がそろわない")))</f>
        <v>運転がそろわない</v>
      </c>
      <c r="AO96" s="30" t="n">
        <v>60</v>
      </c>
      <c r="AP96" s="30" t="n">
        <v>0</v>
      </c>
      <c r="AQ96" s="30" t="str">
        <f aca="false">IF(OR(Y96="判定不能",G96="判定不能"),"判定不能",IF(AP96&gt;=判定条件!$C$9,"利用可",IF(AND(Y96="停止",G96="停止"),"両方停止","運転がそろわない")))</f>
        <v>両方停止</v>
      </c>
      <c r="AR96" s="30" t="n">
        <v>60</v>
      </c>
      <c r="AS96" s="30" t="n">
        <v>0</v>
      </c>
      <c r="AT96" s="30" t="str">
        <f aca="false">IF(OR(AB96="判定不能",J96="判定不能"),"判定不能",IF(AS96&gt;=判定条件!$C$9,"利用可",IF(AND(AB96="停止",J96="停止"),"両方停止","運転がそろわない")))</f>
        <v>両方停止</v>
      </c>
      <c r="AU96" s="30" t="n">
        <v>60</v>
      </c>
      <c r="AV96" s="30" t="n">
        <v>0</v>
      </c>
      <c r="AW96" s="30" t="str">
        <f aca="false">IF(OR(AE96="判定不能",M96="判定不能"),"判定不能",IF(AV96&gt;=判定条件!$C$9,"利用可",IF(AND(AE96="停止",M96="停止"),"両方停止","運転がそろわない")))</f>
        <v>運転がそろわない</v>
      </c>
      <c r="AX96" s="30" t="str">
        <f aca="false">IF(AND(AH96="利用可",AK96="利用可",AN96="利用可"),"利用可","不可")</f>
        <v>不可</v>
      </c>
      <c r="AY96" s="30" t="str">
        <f aca="false">IF(AND(AQ96="利用可",AT96="利用可",AW96="利用可"),"利用可","不可")</f>
        <v>不可</v>
      </c>
    </row>
    <row r="97" customFormat="false" ht="15" hidden="false" customHeight="false" outlineLevel="0" collapsed="false">
      <c r="A97" s="29" t="n">
        <v>46235</v>
      </c>
      <c r="B97" s="30" t="n">
        <v>22</v>
      </c>
      <c r="C97" s="31" t="s">
        <v>63</v>
      </c>
      <c r="D97" s="31" t="s">
        <v>64</v>
      </c>
      <c r="E97" s="30" t="n">
        <v>60</v>
      </c>
      <c r="F97" s="30" t="n">
        <v>0</v>
      </c>
      <c r="G97" s="30" t="str">
        <f aca="false">IF(E97&lt;判定条件!$C$6,"判定不能",IF(F97&gt;=判定条件!$C$7*E97,"運転",IF(F97&lt;=判定条件!$C$8*E97,"停止","断続")))</f>
        <v>停止</v>
      </c>
      <c r="H97" s="30" t="n">
        <v>60</v>
      </c>
      <c r="I97" s="30" t="n">
        <v>0</v>
      </c>
      <c r="J97" s="30" t="str">
        <f aca="false">IF(H97&lt;判定条件!$C$6,"判定不能",IF(I97&gt;=判定条件!$C$7*H97,"運転",IF(I97&lt;=判定条件!$C$8*H97,"停止","断続")))</f>
        <v>停止</v>
      </c>
      <c r="K97" s="30" t="n">
        <v>60</v>
      </c>
      <c r="L97" s="30" t="n">
        <v>60</v>
      </c>
      <c r="M97" s="30" t="str">
        <f aca="false">IF(K97&lt;判定条件!$C$6,"判定不能",IF(L97&gt;=判定条件!$C$7*K97,"運転",IF(L97&lt;=判定条件!$C$8*K97,"停止","断続")))</f>
        <v>運転</v>
      </c>
      <c r="N97" s="30" t="n">
        <v>60</v>
      </c>
      <c r="O97" s="30" t="n">
        <v>0</v>
      </c>
      <c r="P97" s="30" t="str">
        <f aca="false">IF(N97&lt;判定条件!$C$6,"判定不能",IF(O97&gt;=判定条件!$C$7*N97,"運転",IF(O97&lt;=判定条件!$C$8*N97,"停止","断続")))</f>
        <v>停止</v>
      </c>
      <c r="Q97" s="30" t="n">
        <v>60</v>
      </c>
      <c r="R97" s="30" t="n">
        <v>12</v>
      </c>
      <c r="S97" s="30" t="str">
        <f aca="false">IF(Q97&lt;判定条件!$C$6,"判定不能",IF(R97&gt;=判定条件!$C$7*Q97,"運転",IF(R97&lt;=判定条件!$C$8*Q97,"停止","断続")))</f>
        <v>停止</v>
      </c>
      <c r="T97" s="30" t="n">
        <v>60</v>
      </c>
      <c r="U97" s="30" t="n">
        <v>0</v>
      </c>
      <c r="V97" s="30" t="str">
        <f aca="false">IF(T97&lt;判定条件!$C$6,"判定不能",IF(U97&gt;=判定条件!$C$7*T97,"運転",IF(U97&lt;=判定条件!$C$8*T97,"停止","断続")))</f>
        <v>停止</v>
      </c>
      <c r="W97" s="30" t="n">
        <v>60</v>
      </c>
      <c r="X97" s="30" t="n">
        <v>0</v>
      </c>
      <c r="Y97" s="30" t="str">
        <f aca="false">IF(W97&lt;判定条件!$C$6,"判定不能",IF(X97&gt;=判定条件!$C$7*W97,"運転",IF(X97&lt;=判定条件!$C$8*W97,"停止","断続")))</f>
        <v>停止</v>
      </c>
      <c r="Z97" s="30" t="n">
        <v>60</v>
      </c>
      <c r="AA97" s="30" t="n">
        <v>0</v>
      </c>
      <c r="AB97" s="30" t="str">
        <f aca="false">IF(Z97&lt;判定条件!$C$6,"判定不能",IF(AA97&gt;=判定条件!$C$7*Z97,"運転",IF(AA97&lt;=判定条件!$C$8*Z97,"停止","断続")))</f>
        <v>停止</v>
      </c>
      <c r="AC97" s="30" t="n">
        <v>60</v>
      </c>
      <c r="AD97" s="30" t="n">
        <v>0</v>
      </c>
      <c r="AE97" s="30" t="str">
        <f aca="false">IF(AC97&lt;判定条件!$C$6,"判定不能",IF(AD97&gt;=判定条件!$C$7*AC97,"運転",IF(AD97&lt;=判定条件!$C$8*AC97,"停止","断続")))</f>
        <v>停止</v>
      </c>
      <c r="AF97" s="30" t="n">
        <v>60</v>
      </c>
      <c r="AG97" s="30" t="n">
        <v>0</v>
      </c>
      <c r="AH97" s="30" t="str">
        <f aca="false">IF(OR(P97="判定不能",G97="判定不能"),"判定不能",IF(AG97&gt;=判定条件!$C$9,"利用可",IF(AND(P97="停止",G97="停止"),"両方停止","運転がそろわない")))</f>
        <v>両方停止</v>
      </c>
      <c r="AI97" s="30" t="n">
        <v>60</v>
      </c>
      <c r="AJ97" s="30" t="n">
        <v>0</v>
      </c>
      <c r="AK97" s="30" t="str">
        <f aca="false">IF(OR(S97="判定不能",J97="判定不能"),"判定不能",IF(AJ97&gt;=判定条件!$C$9,"利用可",IF(AND(S97="停止",J97="停止"),"両方停止","運転がそろわない")))</f>
        <v>両方停止</v>
      </c>
      <c r="AL97" s="30" t="n">
        <v>60</v>
      </c>
      <c r="AM97" s="30" t="n">
        <v>0</v>
      </c>
      <c r="AN97" s="30" t="str">
        <f aca="false">IF(OR(V97="判定不能",M97="判定不能"),"判定不能",IF(AM97&gt;=判定条件!$C$9,"利用可",IF(AND(V97="停止",M97="停止"),"両方停止","運転がそろわない")))</f>
        <v>運転がそろわない</v>
      </c>
      <c r="AO97" s="30" t="n">
        <v>60</v>
      </c>
      <c r="AP97" s="30" t="n">
        <v>0</v>
      </c>
      <c r="AQ97" s="30" t="str">
        <f aca="false">IF(OR(Y97="判定不能",G97="判定不能"),"判定不能",IF(AP97&gt;=判定条件!$C$9,"利用可",IF(AND(Y97="停止",G97="停止"),"両方停止","運転がそろわない")))</f>
        <v>両方停止</v>
      </c>
      <c r="AR97" s="30" t="n">
        <v>60</v>
      </c>
      <c r="AS97" s="30" t="n">
        <v>0</v>
      </c>
      <c r="AT97" s="30" t="str">
        <f aca="false">IF(OR(AB97="判定不能",J97="判定不能"),"判定不能",IF(AS97&gt;=判定条件!$C$9,"利用可",IF(AND(AB97="停止",J97="停止"),"両方停止","運転がそろわない")))</f>
        <v>両方停止</v>
      </c>
      <c r="AU97" s="30" t="n">
        <v>60</v>
      </c>
      <c r="AV97" s="30" t="n">
        <v>0</v>
      </c>
      <c r="AW97" s="30" t="str">
        <f aca="false">IF(OR(AE97="判定不能",M97="判定不能"),"判定不能",IF(AV97&gt;=判定条件!$C$9,"利用可",IF(AND(AE97="停止",M97="停止"),"両方停止","運転がそろわない")))</f>
        <v>運転がそろわない</v>
      </c>
      <c r="AX97" s="30" t="str">
        <f aca="false">IF(AND(AH97="利用可",AK97="利用可",AN97="利用可"),"利用可","不可")</f>
        <v>不可</v>
      </c>
      <c r="AY97" s="30" t="str">
        <f aca="false">IF(AND(AQ97="利用可",AT97="利用可",AW97="利用可"),"利用可","不可")</f>
        <v>不可</v>
      </c>
    </row>
    <row r="98" customFormat="false" ht="15" hidden="false" customHeight="false" outlineLevel="0" collapsed="false">
      <c r="A98" s="29" t="n">
        <v>46235</v>
      </c>
      <c r="B98" s="30" t="n">
        <v>23</v>
      </c>
      <c r="C98" s="31" t="s">
        <v>63</v>
      </c>
      <c r="D98" s="31" t="s">
        <v>64</v>
      </c>
      <c r="E98" s="30" t="n">
        <v>60</v>
      </c>
      <c r="F98" s="30" t="n">
        <v>0</v>
      </c>
      <c r="G98" s="30" t="str">
        <f aca="false">IF(E98&lt;判定条件!$C$6,"判定不能",IF(F98&gt;=判定条件!$C$7*E98,"運転",IF(F98&lt;=判定条件!$C$8*E98,"停止","断続")))</f>
        <v>停止</v>
      </c>
      <c r="H98" s="30" t="n">
        <v>60</v>
      </c>
      <c r="I98" s="30" t="n">
        <v>0</v>
      </c>
      <c r="J98" s="30" t="str">
        <f aca="false">IF(H98&lt;判定条件!$C$6,"判定不能",IF(I98&gt;=判定条件!$C$7*H98,"運転",IF(I98&lt;=判定条件!$C$8*H98,"停止","断続")))</f>
        <v>停止</v>
      </c>
      <c r="K98" s="30" t="n">
        <v>60</v>
      </c>
      <c r="L98" s="30" t="n">
        <v>60</v>
      </c>
      <c r="M98" s="30" t="str">
        <f aca="false">IF(K98&lt;判定条件!$C$6,"判定不能",IF(L98&gt;=判定条件!$C$7*K98,"運転",IF(L98&lt;=判定条件!$C$8*K98,"停止","断続")))</f>
        <v>運転</v>
      </c>
      <c r="N98" s="30" t="n">
        <v>60</v>
      </c>
      <c r="O98" s="30" t="n">
        <v>0</v>
      </c>
      <c r="P98" s="30" t="str">
        <f aca="false">IF(N98&lt;判定条件!$C$6,"判定不能",IF(O98&gt;=判定条件!$C$7*N98,"運転",IF(O98&lt;=判定条件!$C$8*N98,"停止","断続")))</f>
        <v>停止</v>
      </c>
      <c r="Q98" s="30" t="n">
        <v>60</v>
      </c>
      <c r="R98" s="30" t="n">
        <v>0</v>
      </c>
      <c r="S98" s="30" t="str">
        <f aca="false">IF(Q98&lt;判定条件!$C$6,"判定不能",IF(R98&gt;=判定条件!$C$7*Q98,"運転",IF(R98&lt;=判定条件!$C$8*Q98,"停止","断続")))</f>
        <v>停止</v>
      </c>
      <c r="T98" s="30" t="n">
        <v>60</v>
      </c>
      <c r="U98" s="30" t="n">
        <v>0</v>
      </c>
      <c r="V98" s="30" t="str">
        <f aca="false">IF(T98&lt;判定条件!$C$6,"判定不能",IF(U98&gt;=判定条件!$C$7*T98,"運転",IF(U98&lt;=判定条件!$C$8*T98,"停止","断続")))</f>
        <v>停止</v>
      </c>
      <c r="W98" s="30" t="n">
        <v>60</v>
      </c>
      <c r="X98" s="30" t="n">
        <v>0</v>
      </c>
      <c r="Y98" s="30" t="str">
        <f aca="false">IF(W98&lt;判定条件!$C$6,"判定不能",IF(X98&gt;=判定条件!$C$7*W98,"運転",IF(X98&lt;=判定条件!$C$8*W98,"停止","断続")))</f>
        <v>停止</v>
      </c>
      <c r="Z98" s="30" t="n">
        <v>60</v>
      </c>
      <c r="AA98" s="30" t="n">
        <v>0</v>
      </c>
      <c r="AB98" s="30" t="str">
        <f aca="false">IF(Z98&lt;判定条件!$C$6,"判定不能",IF(AA98&gt;=判定条件!$C$7*Z98,"運転",IF(AA98&lt;=判定条件!$C$8*Z98,"停止","断続")))</f>
        <v>停止</v>
      </c>
      <c r="AC98" s="30" t="n">
        <v>60</v>
      </c>
      <c r="AD98" s="30" t="n">
        <v>0</v>
      </c>
      <c r="AE98" s="30" t="str">
        <f aca="false">IF(AC98&lt;判定条件!$C$6,"判定不能",IF(AD98&gt;=判定条件!$C$7*AC98,"運転",IF(AD98&lt;=判定条件!$C$8*AC98,"停止","断続")))</f>
        <v>停止</v>
      </c>
      <c r="AF98" s="30" t="n">
        <v>60</v>
      </c>
      <c r="AG98" s="30" t="n">
        <v>0</v>
      </c>
      <c r="AH98" s="30" t="str">
        <f aca="false">IF(OR(P98="判定不能",G98="判定不能"),"判定不能",IF(AG98&gt;=判定条件!$C$9,"利用可",IF(AND(P98="停止",G98="停止"),"両方停止","運転がそろわない")))</f>
        <v>両方停止</v>
      </c>
      <c r="AI98" s="30" t="n">
        <v>60</v>
      </c>
      <c r="AJ98" s="30" t="n">
        <v>0</v>
      </c>
      <c r="AK98" s="30" t="str">
        <f aca="false">IF(OR(S98="判定不能",J98="判定不能"),"判定不能",IF(AJ98&gt;=判定条件!$C$9,"利用可",IF(AND(S98="停止",J98="停止"),"両方停止","運転がそろわない")))</f>
        <v>両方停止</v>
      </c>
      <c r="AL98" s="30" t="n">
        <v>60</v>
      </c>
      <c r="AM98" s="30" t="n">
        <v>0</v>
      </c>
      <c r="AN98" s="30" t="str">
        <f aca="false">IF(OR(V98="判定不能",M98="判定不能"),"判定不能",IF(AM98&gt;=判定条件!$C$9,"利用可",IF(AND(V98="停止",M98="停止"),"両方停止","運転がそろわない")))</f>
        <v>運転がそろわない</v>
      </c>
      <c r="AO98" s="30" t="n">
        <v>60</v>
      </c>
      <c r="AP98" s="30" t="n">
        <v>0</v>
      </c>
      <c r="AQ98" s="30" t="str">
        <f aca="false">IF(OR(Y98="判定不能",G98="判定不能"),"判定不能",IF(AP98&gt;=判定条件!$C$9,"利用可",IF(AND(Y98="停止",G98="停止"),"両方停止","運転がそろわない")))</f>
        <v>両方停止</v>
      </c>
      <c r="AR98" s="30" t="n">
        <v>60</v>
      </c>
      <c r="AS98" s="30" t="n">
        <v>0</v>
      </c>
      <c r="AT98" s="30" t="str">
        <f aca="false">IF(OR(AB98="判定不能",J98="判定不能"),"判定不能",IF(AS98&gt;=判定条件!$C$9,"利用可",IF(AND(AB98="停止",J98="停止"),"両方停止","運転がそろわない")))</f>
        <v>両方停止</v>
      </c>
      <c r="AU98" s="30" t="n">
        <v>60</v>
      </c>
      <c r="AV98" s="30" t="n">
        <v>0</v>
      </c>
      <c r="AW98" s="30" t="str">
        <f aca="false">IF(OR(AE98="判定不能",M98="判定不能"),"判定不能",IF(AV98&gt;=判定条件!$C$9,"利用可",IF(AND(AE98="停止",M98="停止"),"両方停止","運転がそろわない")))</f>
        <v>運転がそろわない</v>
      </c>
      <c r="AX98" s="30" t="str">
        <f aca="false">IF(AND(AH98="利用可",AK98="利用可",AN98="利用可"),"利用可","不可")</f>
        <v>不可</v>
      </c>
      <c r="AY98" s="30" t="str">
        <f aca="false">IF(AND(AQ98="利用可",AT98="利用可",AW98="利用可"),"利用可","不可")</f>
        <v>不可</v>
      </c>
    </row>
    <row r="99" customFormat="false" ht="15" hidden="false" customHeight="false" outlineLevel="0" collapsed="false">
      <c r="A99" s="29" t="n">
        <v>46236</v>
      </c>
      <c r="B99" s="30" t="n">
        <v>0</v>
      </c>
      <c r="C99" s="31" t="s">
        <v>65</v>
      </c>
      <c r="D99" s="31" t="s">
        <v>64</v>
      </c>
      <c r="E99" s="30" t="n">
        <v>60</v>
      </c>
      <c r="F99" s="30" t="n">
        <v>0</v>
      </c>
      <c r="G99" s="30" t="str">
        <f aca="false">IF(E99&lt;判定条件!$C$6,"判定不能",IF(F99&gt;=判定条件!$C$7*E99,"運転",IF(F99&lt;=判定条件!$C$8*E99,"停止","断続")))</f>
        <v>停止</v>
      </c>
      <c r="H99" s="30" t="n">
        <v>60</v>
      </c>
      <c r="I99" s="30" t="n">
        <v>0</v>
      </c>
      <c r="J99" s="30" t="str">
        <f aca="false">IF(H99&lt;判定条件!$C$6,"判定不能",IF(I99&gt;=判定条件!$C$7*H99,"運転",IF(I99&lt;=判定条件!$C$8*H99,"停止","断続")))</f>
        <v>停止</v>
      </c>
      <c r="K99" s="30" t="n">
        <v>60</v>
      </c>
      <c r="L99" s="30" t="n">
        <v>60</v>
      </c>
      <c r="M99" s="30" t="str">
        <f aca="false">IF(K99&lt;判定条件!$C$6,"判定不能",IF(L99&gt;=判定条件!$C$7*K99,"運転",IF(L99&lt;=判定条件!$C$8*K99,"停止","断続")))</f>
        <v>運転</v>
      </c>
      <c r="N99" s="30" t="n">
        <v>60</v>
      </c>
      <c r="O99" s="30" t="n">
        <v>0</v>
      </c>
      <c r="P99" s="30" t="str">
        <f aca="false">IF(N99&lt;判定条件!$C$6,"判定不能",IF(O99&gt;=判定条件!$C$7*N99,"運転",IF(O99&lt;=判定条件!$C$8*N99,"停止","断続")))</f>
        <v>停止</v>
      </c>
      <c r="Q99" s="30" t="n">
        <v>60</v>
      </c>
      <c r="R99" s="30" t="n">
        <v>0</v>
      </c>
      <c r="S99" s="30" t="str">
        <f aca="false">IF(Q99&lt;判定条件!$C$6,"判定不能",IF(R99&gt;=判定条件!$C$7*Q99,"運転",IF(R99&lt;=判定条件!$C$8*Q99,"停止","断続")))</f>
        <v>停止</v>
      </c>
      <c r="T99" s="30" t="n">
        <v>60</v>
      </c>
      <c r="U99" s="30" t="n">
        <v>0</v>
      </c>
      <c r="V99" s="30" t="str">
        <f aca="false">IF(T99&lt;判定条件!$C$6,"判定不能",IF(U99&gt;=判定条件!$C$7*T99,"運転",IF(U99&lt;=判定条件!$C$8*T99,"停止","断続")))</f>
        <v>停止</v>
      </c>
      <c r="W99" s="30" t="n">
        <v>60</v>
      </c>
      <c r="X99" s="30" t="n">
        <v>0</v>
      </c>
      <c r="Y99" s="30" t="str">
        <f aca="false">IF(W99&lt;判定条件!$C$6,"判定不能",IF(X99&gt;=判定条件!$C$7*W99,"運転",IF(X99&lt;=判定条件!$C$8*W99,"停止","断続")))</f>
        <v>停止</v>
      </c>
      <c r="Z99" s="30" t="n">
        <v>60</v>
      </c>
      <c r="AA99" s="30" t="n">
        <v>0</v>
      </c>
      <c r="AB99" s="30" t="str">
        <f aca="false">IF(Z99&lt;判定条件!$C$6,"判定不能",IF(AA99&gt;=判定条件!$C$7*Z99,"運転",IF(AA99&lt;=判定条件!$C$8*Z99,"停止","断続")))</f>
        <v>停止</v>
      </c>
      <c r="AC99" s="30" t="n">
        <v>60</v>
      </c>
      <c r="AD99" s="30" t="n">
        <v>0</v>
      </c>
      <c r="AE99" s="30" t="str">
        <f aca="false">IF(AC99&lt;判定条件!$C$6,"判定不能",IF(AD99&gt;=判定条件!$C$7*AC99,"運転",IF(AD99&lt;=判定条件!$C$8*AC99,"停止","断続")))</f>
        <v>停止</v>
      </c>
      <c r="AF99" s="30" t="n">
        <v>60</v>
      </c>
      <c r="AG99" s="30" t="n">
        <v>0</v>
      </c>
      <c r="AH99" s="30" t="str">
        <f aca="false">IF(OR(P99="判定不能",G99="判定不能"),"判定不能",IF(AG99&gt;=判定条件!$C$9,"利用可",IF(AND(P99="停止",G99="停止"),"両方停止","運転がそろわない")))</f>
        <v>両方停止</v>
      </c>
      <c r="AI99" s="30" t="n">
        <v>60</v>
      </c>
      <c r="AJ99" s="30" t="n">
        <v>0</v>
      </c>
      <c r="AK99" s="30" t="str">
        <f aca="false">IF(OR(S99="判定不能",J99="判定不能"),"判定不能",IF(AJ99&gt;=判定条件!$C$9,"利用可",IF(AND(S99="停止",J99="停止"),"両方停止","運転がそろわない")))</f>
        <v>両方停止</v>
      </c>
      <c r="AL99" s="30" t="n">
        <v>60</v>
      </c>
      <c r="AM99" s="30" t="n">
        <v>0</v>
      </c>
      <c r="AN99" s="30" t="str">
        <f aca="false">IF(OR(V99="判定不能",M99="判定不能"),"判定不能",IF(AM99&gt;=判定条件!$C$9,"利用可",IF(AND(V99="停止",M99="停止"),"両方停止","運転がそろわない")))</f>
        <v>運転がそろわない</v>
      </c>
      <c r="AO99" s="30" t="n">
        <v>60</v>
      </c>
      <c r="AP99" s="30" t="n">
        <v>0</v>
      </c>
      <c r="AQ99" s="30" t="str">
        <f aca="false">IF(OR(Y99="判定不能",G99="判定不能"),"判定不能",IF(AP99&gt;=判定条件!$C$9,"利用可",IF(AND(Y99="停止",G99="停止"),"両方停止","運転がそろわない")))</f>
        <v>両方停止</v>
      </c>
      <c r="AR99" s="30" t="n">
        <v>60</v>
      </c>
      <c r="AS99" s="30" t="n">
        <v>0</v>
      </c>
      <c r="AT99" s="30" t="str">
        <f aca="false">IF(OR(AB99="判定不能",J99="判定不能"),"判定不能",IF(AS99&gt;=判定条件!$C$9,"利用可",IF(AND(AB99="停止",J99="停止"),"両方停止","運転がそろわない")))</f>
        <v>両方停止</v>
      </c>
      <c r="AU99" s="30" t="n">
        <v>60</v>
      </c>
      <c r="AV99" s="30" t="n">
        <v>0</v>
      </c>
      <c r="AW99" s="30" t="str">
        <f aca="false">IF(OR(AE99="判定不能",M99="判定不能"),"判定不能",IF(AV99&gt;=判定条件!$C$9,"利用可",IF(AND(AE99="停止",M99="停止"),"両方停止","運転がそろわない")))</f>
        <v>運転がそろわない</v>
      </c>
      <c r="AX99" s="30" t="str">
        <f aca="false">IF(AND(AH99="利用可",AK99="利用可",AN99="利用可"),"利用可","不可")</f>
        <v>不可</v>
      </c>
      <c r="AY99" s="30" t="str">
        <f aca="false">IF(AND(AQ99="利用可",AT99="利用可",AW99="利用可"),"利用可","不可")</f>
        <v>不可</v>
      </c>
    </row>
    <row r="100" customFormat="false" ht="15" hidden="false" customHeight="false" outlineLevel="0" collapsed="false">
      <c r="A100" s="29" t="n">
        <v>46236</v>
      </c>
      <c r="B100" s="30" t="n">
        <v>1</v>
      </c>
      <c r="C100" s="31" t="s">
        <v>65</v>
      </c>
      <c r="D100" s="31" t="s">
        <v>64</v>
      </c>
      <c r="E100" s="30" t="n">
        <v>60</v>
      </c>
      <c r="F100" s="30" t="n">
        <v>0</v>
      </c>
      <c r="G100" s="30" t="str">
        <f aca="false">IF(E100&lt;判定条件!$C$6,"判定不能",IF(F100&gt;=判定条件!$C$7*E100,"運転",IF(F100&lt;=判定条件!$C$8*E100,"停止","断続")))</f>
        <v>停止</v>
      </c>
      <c r="H100" s="30" t="n">
        <v>60</v>
      </c>
      <c r="I100" s="30" t="n">
        <v>0</v>
      </c>
      <c r="J100" s="30" t="str">
        <f aca="false">IF(H100&lt;判定条件!$C$6,"判定不能",IF(I100&gt;=判定条件!$C$7*H100,"運転",IF(I100&lt;=判定条件!$C$8*H100,"停止","断続")))</f>
        <v>停止</v>
      </c>
      <c r="K100" s="30" t="n">
        <v>60</v>
      </c>
      <c r="L100" s="30" t="n">
        <v>60</v>
      </c>
      <c r="M100" s="30" t="str">
        <f aca="false">IF(K100&lt;判定条件!$C$6,"判定不能",IF(L100&gt;=判定条件!$C$7*K100,"運転",IF(L100&lt;=判定条件!$C$8*K100,"停止","断続")))</f>
        <v>運転</v>
      </c>
      <c r="N100" s="30" t="n">
        <v>60</v>
      </c>
      <c r="O100" s="30" t="n">
        <v>0</v>
      </c>
      <c r="P100" s="30" t="str">
        <f aca="false">IF(N100&lt;判定条件!$C$6,"判定不能",IF(O100&gt;=判定条件!$C$7*N100,"運転",IF(O100&lt;=判定条件!$C$8*N100,"停止","断続")))</f>
        <v>停止</v>
      </c>
      <c r="Q100" s="30" t="n">
        <v>60</v>
      </c>
      <c r="R100" s="30" t="n">
        <v>0</v>
      </c>
      <c r="S100" s="30" t="str">
        <f aca="false">IF(Q100&lt;判定条件!$C$6,"判定不能",IF(R100&gt;=判定条件!$C$7*Q100,"運転",IF(R100&lt;=判定条件!$C$8*Q100,"停止","断続")))</f>
        <v>停止</v>
      </c>
      <c r="T100" s="30" t="n">
        <v>60</v>
      </c>
      <c r="U100" s="30" t="n">
        <v>0</v>
      </c>
      <c r="V100" s="30" t="str">
        <f aca="false">IF(T100&lt;判定条件!$C$6,"判定不能",IF(U100&gt;=判定条件!$C$7*T100,"運転",IF(U100&lt;=判定条件!$C$8*T100,"停止","断続")))</f>
        <v>停止</v>
      </c>
      <c r="W100" s="30" t="n">
        <v>60</v>
      </c>
      <c r="X100" s="30" t="n">
        <v>0</v>
      </c>
      <c r="Y100" s="30" t="str">
        <f aca="false">IF(W100&lt;判定条件!$C$6,"判定不能",IF(X100&gt;=判定条件!$C$7*W100,"運転",IF(X100&lt;=判定条件!$C$8*W100,"停止","断続")))</f>
        <v>停止</v>
      </c>
      <c r="Z100" s="30" t="n">
        <v>60</v>
      </c>
      <c r="AA100" s="30" t="n">
        <v>0</v>
      </c>
      <c r="AB100" s="30" t="str">
        <f aca="false">IF(Z100&lt;判定条件!$C$6,"判定不能",IF(AA100&gt;=判定条件!$C$7*Z100,"運転",IF(AA100&lt;=判定条件!$C$8*Z100,"停止","断続")))</f>
        <v>停止</v>
      </c>
      <c r="AC100" s="30" t="n">
        <v>60</v>
      </c>
      <c r="AD100" s="30" t="n">
        <v>0</v>
      </c>
      <c r="AE100" s="30" t="str">
        <f aca="false">IF(AC100&lt;判定条件!$C$6,"判定不能",IF(AD100&gt;=判定条件!$C$7*AC100,"運転",IF(AD100&lt;=判定条件!$C$8*AC100,"停止","断続")))</f>
        <v>停止</v>
      </c>
      <c r="AF100" s="30" t="n">
        <v>60</v>
      </c>
      <c r="AG100" s="30" t="n">
        <v>0</v>
      </c>
      <c r="AH100" s="30" t="str">
        <f aca="false">IF(OR(P100="判定不能",G100="判定不能"),"判定不能",IF(AG100&gt;=判定条件!$C$9,"利用可",IF(AND(P100="停止",G100="停止"),"両方停止","運転がそろわない")))</f>
        <v>両方停止</v>
      </c>
      <c r="AI100" s="30" t="n">
        <v>60</v>
      </c>
      <c r="AJ100" s="30" t="n">
        <v>0</v>
      </c>
      <c r="AK100" s="30" t="str">
        <f aca="false">IF(OR(S100="判定不能",J100="判定不能"),"判定不能",IF(AJ100&gt;=判定条件!$C$9,"利用可",IF(AND(S100="停止",J100="停止"),"両方停止","運転がそろわない")))</f>
        <v>両方停止</v>
      </c>
      <c r="AL100" s="30" t="n">
        <v>60</v>
      </c>
      <c r="AM100" s="30" t="n">
        <v>0</v>
      </c>
      <c r="AN100" s="30" t="str">
        <f aca="false">IF(OR(V100="判定不能",M100="判定不能"),"判定不能",IF(AM100&gt;=判定条件!$C$9,"利用可",IF(AND(V100="停止",M100="停止"),"両方停止","運転がそろわない")))</f>
        <v>運転がそろわない</v>
      </c>
      <c r="AO100" s="30" t="n">
        <v>60</v>
      </c>
      <c r="AP100" s="30" t="n">
        <v>0</v>
      </c>
      <c r="AQ100" s="30" t="str">
        <f aca="false">IF(OR(Y100="判定不能",G100="判定不能"),"判定不能",IF(AP100&gt;=判定条件!$C$9,"利用可",IF(AND(Y100="停止",G100="停止"),"両方停止","運転がそろわない")))</f>
        <v>両方停止</v>
      </c>
      <c r="AR100" s="30" t="n">
        <v>60</v>
      </c>
      <c r="AS100" s="30" t="n">
        <v>0</v>
      </c>
      <c r="AT100" s="30" t="str">
        <f aca="false">IF(OR(AB100="判定不能",J100="判定不能"),"判定不能",IF(AS100&gt;=判定条件!$C$9,"利用可",IF(AND(AB100="停止",J100="停止"),"両方停止","運転がそろわない")))</f>
        <v>両方停止</v>
      </c>
      <c r="AU100" s="30" t="n">
        <v>60</v>
      </c>
      <c r="AV100" s="30" t="n">
        <v>0</v>
      </c>
      <c r="AW100" s="30" t="str">
        <f aca="false">IF(OR(AE100="判定不能",M100="判定不能"),"判定不能",IF(AV100&gt;=判定条件!$C$9,"利用可",IF(AND(AE100="停止",M100="停止"),"両方停止","運転がそろわない")))</f>
        <v>運転がそろわない</v>
      </c>
      <c r="AX100" s="30" t="str">
        <f aca="false">IF(AND(AH100="利用可",AK100="利用可",AN100="利用可"),"利用可","不可")</f>
        <v>不可</v>
      </c>
      <c r="AY100" s="30" t="str">
        <f aca="false">IF(AND(AQ100="利用可",AT100="利用可",AW100="利用可"),"利用可","不可")</f>
        <v>不可</v>
      </c>
    </row>
    <row r="101" customFormat="false" ht="15" hidden="false" customHeight="false" outlineLevel="0" collapsed="false">
      <c r="A101" s="29" t="n">
        <v>46236</v>
      </c>
      <c r="B101" s="30" t="n">
        <v>2</v>
      </c>
      <c r="C101" s="31" t="s">
        <v>65</v>
      </c>
      <c r="D101" s="31" t="s">
        <v>64</v>
      </c>
      <c r="E101" s="30" t="n">
        <v>60</v>
      </c>
      <c r="F101" s="30" t="n">
        <v>0</v>
      </c>
      <c r="G101" s="30" t="str">
        <f aca="false">IF(E101&lt;判定条件!$C$6,"判定不能",IF(F101&gt;=判定条件!$C$7*E101,"運転",IF(F101&lt;=判定条件!$C$8*E101,"停止","断続")))</f>
        <v>停止</v>
      </c>
      <c r="H101" s="30" t="n">
        <v>60</v>
      </c>
      <c r="I101" s="30" t="n">
        <v>0</v>
      </c>
      <c r="J101" s="30" t="str">
        <f aca="false">IF(H101&lt;判定条件!$C$6,"判定不能",IF(I101&gt;=判定条件!$C$7*H101,"運転",IF(I101&lt;=判定条件!$C$8*H101,"停止","断続")))</f>
        <v>停止</v>
      </c>
      <c r="K101" s="30" t="n">
        <v>60</v>
      </c>
      <c r="L101" s="30" t="n">
        <v>60</v>
      </c>
      <c r="M101" s="30" t="str">
        <f aca="false">IF(K101&lt;判定条件!$C$6,"判定不能",IF(L101&gt;=判定条件!$C$7*K101,"運転",IF(L101&lt;=判定条件!$C$8*K101,"停止","断続")))</f>
        <v>運転</v>
      </c>
      <c r="N101" s="30" t="n">
        <v>60</v>
      </c>
      <c r="O101" s="30" t="n">
        <v>0</v>
      </c>
      <c r="P101" s="30" t="str">
        <f aca="false">IF(N101&lt;判定条件!$C$6,"判定不能",IF(O101&gt;=判定条件!$C$7*N101,"運転",IF(O101&lt;=判定条件!$C$8*N101,"停止","断続")))</f>
        <v>停止</v>
      </c>
      <c r="Q101" s="30" t="n">
        <v>60</v>
      </c>
      <c r="R101" s="30" t="n">
        <v>0</v>
      </c>
      <c r="S101" s="30" t="str">
        <f aca="false">IF(Q101&lt;判定条件!$C$6,"判定不能",IF(R101&gt;=判定条件!$C$7*Q101,"運転",IF(R101&lt;=判定条件!$C$8*Q101,"停止","断続")))</f>
        <v>停止</v>
      </c>
      <c r="T101" s="30" t="n">
        <v>60</v>
      </c>
      <c r="U101" s="30" t="n">
        <v>0</v>
      </c>
      <c r="V101" s="30" t="str">
        <f aca="false">IF(T101&lt;判定条件!$C$6,"判定不能",IF(U101&gt;=判定条件!$C$7*T101,"運転",IF(U101&lt;=判定条件!$C$8*T101,"停止","断続")))</f>
        <v>停止</v>
      </c>
      <c r="W101" s="30" t="n">
        <v>60</v>
      </c>
      <c r="X101" s="30" t="n">
        <v>0</v>
      </c>
      <c r="Y101" s="30" t="str">
        <f aca="false">IF(W101&lt;判定条件!$C$6,"判定不能",IF(X101&gt;=判定条件!$C$7*W101,"運転",IF(X101&lt;=判定条件!$C$8*W101,"停止","断続")))</f>
        <v>停止</v>
      </c>
      <c r="Z101" s="30" t="n">
        <v>60</v>
      </c>
      <c r="AA101" s="30" t="n">
        <v>0</v>
      </c>
      <c r="AB101" s="30" t="str">
        <f aca="false">IF(Z101&lt;判定条件!$C$6,"判定不能",IF(AA101&gt;=判定条件!$C$7*Z101,"運転",IF(AA101&lt;=判定条件!$C$8*Z101,"停止","断続")))</f>
        <v>停止</v>
      </c>
      <c r="AC101" s="30" t="n">
        <v>60</v>
      </c>
      <c r="AD101" s="30" t="n">
        <v>0</v>
      </c>
      <c r="AE101" s="30" t="str">
        <f aca="false">IF(AC101&lt;判定条件!$C$6,"判定不能",IF(AD101&gt;=判定条件!$C$7*AC101,"運転",IF(AD101&lt;=判定条件!$C$8*AC101,"停止","断続")))</f>
        <v>停止</v>
      </c>
      <c r="AF101" s="30" t="n">
        <v>60</v>
      </c>
      <c r="AG101" s="30" t="n">
        <v>0</v>
      </c>
      <c r="AH101" s="30" t="str">
        <f aca="false">IF(OR(P101="判定不能",G101="判定不能"),"判定不能",IF(AG101&gt;=判定条件!$C$9,"利用可",IF(AND(P101="停止",G101="停止"),"両方停止","運転がそろわない")))</f>
        <v>両方停止</v>
      </c>
      <c r="AI101" s="30" t="n">
        <v>60</v>
      </c>
      <c r="AJ101" s="30" t="n">
        <v>0</v>
      </c>
      <c r="AK101" s="30" t="str">
        <f aca="false">IF(OR(S101="判定不能",J101="判定不能"),"判定不能",IF(AJ101&gt;=判定条件!$C$9,"利用可",IF(AND(S101="停止",J101="停止"),"両方停止","運転がそろわない")))</f>
        <v>両方停止</v>
      </c>
      <c r="AL101" s="30" t="n">
        <v>60</v>
      </c>
      <c r="AM101" s="30" t="n">
        <v>0</v>
      </c>
      <c r="AN101" s="30" t="str">
        <f aca="false">IF(OR(V101="判定不能",M101="判定不能"),"判定不能",IF(AM101&gt;=判定条件!$C$9,"利用可",IF(AND(V101="停止",M101="停止"),"両方停止","運転がそろわない")))</f>
        <v>運転がそろわない</v>
      </c>
      <c r="AO101" s="30" t="n">
        <v>60</v>
      </c>
      <c r="AP101" s="30" t="n">
        <v>0</v>
      </c>
      <c r="AQ101" s="30" t="str">
        <f aca="false">IF(OR(Y101="判定不能",G101="判定不能"),"判定不能",IF(AP101&gt;=判定条件!$C$9,"利用可",IF(AND(Y101="停止",G101="停止"),"両方停止","運転がそろわない")))</f>
        <v>両方停止</v>
      </c>
      <c r="AR101" s="30" t="n">
        <v>60</v>
      </c>
      <c r="AS101" s="30" t="n">
        <v>0</v>
      </c>
      <c r="AT101" s="30" t="str">
        <f aca="false">IF(OR(AB101="判定不能",J101="判定不能"),"判定不能",IF(AS101&gt;=判定条件!$C$9,"利用可",IF(AND(AB101="停止",J101="停止"),"両方停止","運転がそろわない")))</f>
        <v>両方停止</v>
      </c>
      <c r="AU101" s="30" t="n">
        <v>60</v>
      </c>
      <c r="AV101" s="30" t="n">
        <v>0</v>
      </c>
      <c r="AW101" s="30" t="str">
        <f aca="false">IF(OR(AE101="判定不能",M101="判定不能"),"判定不能",IF(AV101&gt;=判定条件!$C$9,"利用可",IF(AND(AE101="停止",M101="停止"),"両方停止","運転がそろわない")))</f>
        <v>運転がそろわない</v>
      </c>
      <c r="AX101" s="30" t="str">
        <f aca="false">IF(AND(AH101="利用可",AK101="利用可",AN101="利用可"),"利用可","不可")</f>
        <v>不可</v>
      </c>
      <c r="AY101" s="30" t="str">
        <f aca="false">IF(AND(AQ101="利用可",AT101="利用可",AW101="利用可"),"利用可","不可")</f>
        <v>不可</v>
      </c>
    </row>
    <row r="102" customFormat="false" ht="15" hidden="false" customHeight="false" outlineLevel="0" collapsed="false">
      <c r="A102" s="29" t="n">
        <v>46236</v>
      </c>
      <c r="B102" s="30" t="n">
        <v>3</v>
      </c>
      <c r="C102" s="31" t="s">
        <v>65</v>
      </c>
      <c r="D102" s="31" t="s">
        <v>64</v>
      </c>
      <c r="E102" s="30" t="n">
        <v>60</v>
      </c>
      <c r="F102" s="30" t="n">
        <v>0</v>
      </c>
      <c r="G102" s="30" t="str">
        <f aca="false">IF(E102&lt;判定条件!$C$6,"判定不能",IF(F102&gt;=判定条件!$C$7*E102,"運転",IF(F102&lt;=判定条件!$C$8*E102,"停止","断続")))</f>
        <v>停止</v>
      </c>
      <c r="H102" s="30" t="n">
        <v>60</v>
      </c>
      <c r="I102" s="30" t="n">
        <v>0</v>
      </c>
      <c r="J102" s="30" t="str">
        <f aca="false">IF(H102&lt;判定条件!$C$6,"判定不能",IF(I102&gt;=判定条件!$C$7*H102,"運転",IF(I102&lt;=判定条件!$C$8*H102,"停止","断続")))</f>
        <v>停止</v>
      </c>
      <c r="K102" s="30" t="n">
        <v>60</v>
      </c>
      <c r="L102" s="30" t="n">
        <v>60</v>
      </c>
      <c r="M102" s="30" t="str">
        <f aca="false">IF(K102&lt;判定条件!$C$6,"判定不能",IF(L102&gt;=判定条件!$C$7*K102,"運転",IF(L102&lt;=判定条件!$C$8*K102,"停止","断続")))</f>
        <v>運転</v>
      </c>
      <c r="N102" s="30" t="n">
        <v>60</v>
      </c>
      <c r="O102" s="30" t="n">
        <v>0</v>
      </c>
      <c r="P102" s="30" t="str">
        <f aca="false">IF(N102&lt;判定条件!$C$6,"判定不能",IF(O102&gt;=判定条件!$C$7*N102,"運転",IF(O102&lt;=判定条件!$C$8*N102,"停止","断続")))</f>
        <v>停止</v>
      </c>
      <c r="Q102" s="30" t="n">
        <v>60</v>
      </c>
      <c r="R102" s="30" t="n">
        <v>0</v>
      </c>
      <c r="S102" s="30" t="str">
        <f aca="false">IF(Q102&lt;判定条件!$C$6,"判定不能",IF(R102&gt;=判定条件!$C$7*Q102,"運転",IF(R102&lt;=判定条件!$C$8*Q102,"停止","断続")))</f>
        <v>停止</v>
      </c>
      <c r="T102" s="30" t="n">
        <v>60</v>
      </c>
      <c r="U102" s="30" t="n">
        <v>0</v>
      </c>
      <c r="V102" s="30" t="str">
        <f aca="false">IF(T102&lt;判定条件!$C$6,"判定不能",IF(U102&gt;=判定条件!$C$7*T102,"運転",IF(U102&lt;=判定条件!$C$8*T102,"停止","断続")))</f>
        <v>停止</v>
      </c>
      <c r="W102" s="30" t="n">
        <v>60</v>
      </c>
      <c r="X102" s="30" t="n">
        <v>0</v>
      </c>
      <c r="Y102" s="30" t="str">
        <f aca="false">IF(W102&lt;判定条件!$C$6,"判定不能",IF(X102&gt;=判定条件!$C$7*W102,"運転",IF(X102&lt;=判定条件!$C$8*W102,"停止","断続")))</f>
        <v>停止</v>
      </c>
      <c r="Z102" s="30" t="n">
        <v>60</v>
      </c>
      <c r="AA102" s="30" t="n">
        <v>0</v>
      </c>
      <c r="AB102" s="30" t="str">
        <f aca="false">IF(Z102&lt;判定条件!$C$6,"判定不能",IF(AA102&gt;=判定条件!$C$7*Z102,"運転",IF(AA102&lt;=判定条件!$C$8*Z102,"停止","断続")))</f>
        <v>停止</v>
      </c>
      <c r="AC102" s="30" t="n">
        <v>60</v>
      </c>
      <c r="AD102" s="30" t="n">
        <v>0</v>
      </c>
      <c r="AE102" s="30" t="str">
        <f aca="false">IF(AC102&lt;判定条件!$C$6,"判定不能",IF(AD102&gt;=判定条件!$C$7*AC102,"運転",IF(AD102&lt;=判定条件!$C$8*AC102,"停止","断続")))</f>
        <v>停止</v>
      </c>
      <c r="AF102" s="30" t="n">
        <v>60</v>
      </c>
      <c r="AG102" s="30" t="n">
        <v>0</v>
      </c>
      <c r="AH102" s="30" t="str">
        <f aca="false">IF(OR(P102="判定不能",G102="判定不能"),"判定不能",IF(AG102&gt;=判定条件!$C$9,"利用可",IF(AND(P102="停止",G102="停止"),"両方停止","運転がそろわない")))</f>
        <v>両方停止</v>
      </c>
      <c r="AI102" s="30" t="n">
        <v>60</v>
      </c>
      <c r="AJ102" s="30" t="n">
        <v>0</v>
      </c>
      <c r="AK102" s="30" t="str">
        <f aca="false">IF(OR(S102="判定不能",J102="判定不能"),"判定不能",IF(AJ102&gt;=判定条件!$C$9,"利用可",IF(AND(S102="停止",J102="停止"),"両方停止","運転がそろわない")))</f>
        <v>両方停止</v>
      </c>
      <c r="AL102" s="30" t="n">
        <v>60</v>
      </c>
      <c r="AM102" s="30" t="n">
        <v>0</v>
      </c>
      <c r="AN102" s="30" t="str">
        <f aca="false">IF(OR(V102="判定不能",M102="判定不能"),"判定不能",IF(AM102&gt;=判定条件!$C$9,"利用可",IF(AND(V102="停止",M102="停止"),"両方停止","運転がそろわない")))</f>
        <v>運転がそろわない</v>
      </c>
      <c r="AO102" s="30" t="n">
        <v>60</v>
      </c>
      <c r="AP102" s="30" t="n">
        <v>0</v>
      </c>
      <c r="AQ102" s="30" t="str">
        <f aca="false">IF(OR(Y102="判定不能",G102="判定不能"),"判定不能",IF(AP102&gt;=判定条件!$C$9,"利用可",IF(AND(Y102="停止",G102="停止"),"両方停止","運転がそろわない")))</f>
        <v>両方停止</v>
      </c>
      <c r="AR102" s="30" t="n">
        <v>60</v>
      </c>
      <c r="AS102" s="30" t="n">
        <v>0</v>
      </c>
      <c r="AT102" s="30" t="str">
        <f aca="false">IF(OR(AB102="判定不能",J102="判定不能"),"判定不能",IF(AS102&gt;=判定条件!$C$9,"利用可",IF(AND(AB102="停止",J102="停止"),"両方停止","運転がそろわない")))</f>
        <v>両方停止</v>
      </c>
      <c r="AU102" s="30" t="n">
        <v>60</v>
      </c>
      <c r="AV102" s="30" t="n">
        <v>0</v>
      </c>
      <c r="AW102" s="30" t="str">
        <f aca="false">IF(OR(AE102="判定不能",M102="判定不能"),"判定不能",IF(AV102&gt;=判定条件!$C$9,"利用可",IF(AND(AE102="停止",M102="停止"),"両方停止","運転がそろわない")))</f>
        <v>運転がそろわない</v>
      </c>
      <c r="AX102" s="30" t="str">
        <f aca="false">IF(AND(AH102="利用可",AK102="利用可",AN102="利用可"),"利用可","不可")</f>
        <v>不可</v>
      </c>
      <c r="AY102" s="30" t="str">
        <f aca="false">IF(AND(AQ102="利用可",AT102="利用可",AW102="利用可"),"利用可","不可")</f>
        <v>不可</v>
      </c>
    </row>
    <row r="103" customFormat="false" ht="15" hidden="false" customHeight="false" outlineLevel="0" collapsed="false">
      <c r="A103" s="29" t="n">
        <v>46236</v>
      </c>
      <c r="B103" s="30" t="n">
        <v>4</v>
      </c>
      <c r="C103" s="31" t="s">
        <v>65</v>
      </c>
      <c r="D103" s="31" t="s">
        <v>64</v>
      </c>
      <c r="E103" s="30" t="n">
        <v>60</v>
      </c>
      <c r="F103" s="30" t="n">
        <v>0</v>
      </c>
      <c r="G103" s="30" t="str">
        <f aca="false">IF(E103&lt;判定条件!$C$6,"判定不能",IF(F103&gt;=判定条件!$C$7*E103,"運転",IF(F103&lt;=判定条件!$C$8*E103,"停止","断続")))</f>
        <v>停止</v>
      </c>
      <c r="H103" s="30" t="n">
        <v>60</v>
      </c>
      <c r="I103" s="30" t="n">
        <v>0</v>
      </c>
      <c r="J103" s="30" t="str">
        <f aca="false">IF(H103&lt;判定条件!$C$6,"判定不能",IF(I103&gt;=判定条件!$C$7*H103,"運転",IF(I103&lt;=判定条件!$C$8*H103,"停止","断続")))</f>
        <v>停止</v>
      </c>
      <c r="K103" s="30" t="n">
        <v>60</v>
      </c>
      <c r="L103" s="30" t="n">
        <v>60</v>
      </c>
      <c r="M103" s="30" t="str">
        <f aca="false">IF(K103&lt;判定条件!$C$6,"判定不能",IF(L103&gt;=判定条件!$C$7*K103,"運転",IF(L103&lt;=判定条件!$C$8*K103,"停止","断続")))</f>
        <v>運転</v>
      </c>
      <c r="N103" s="30" t="n">
        <v>60</v>
      </c>
      <c r="O103" s="30" t="n">
        <v>0</v>
      </c>
      <c r="P103" s="30" t="str">
        <f aca="false">IF(N103&lt;判定条件!$C$6,"判定不能",IF(O103&gt;=判定条件!$C$7*N103,"運転",IF(O103&lt;=判定条件!$C$8*N103,"停止","断続")))</f>
        <v>停止</v>
      </c>
      <c r="Q103" s="30" t="n">
        <v>60</v>
      </c>
      <c r="R103" s="30" t="n">
        <v>0</v>
      </c>
      <c r="S103" s="30" t="str">
        <f aca="false">IF(Q103&lt;判定条件!$C$6,"判定不能",IF(R103&gt;=判定条件!$C$7*Q103,"運転",IF(R103&lt;=判定条件!$C$8*Q103,"停止","断続")))</f>
        <v>停止</v>
      </c>
      <c r="T103" s="30" t="n">
        <v>60</v>
      </c>
      <c r="U103" s="30" t="n">
        <v>0</v>
      </c>
      <c r="V103" s="30" t="str">
        <f aca="false">IF(T103&lt;判定条件!$C$6,"判定不能",IF(U103&gt;=判定条件!$C$7*T103,"運転",IF(U103&lt;=判定条件!$C$8*T103,"停止","断続")))</f>
        <v>停止</v>
      </c>
      <c r="W103" s="30" t="n">
        <v>60</v>
      </c>
      <c r="X103" s="30" t="n">
        <v>0</v>
      </c>
      <c r="Y103" s="30" t="str">
        <f aca="false">IF(W103&lt;判定条件!$C$6,"判定不能",IF(X103&gt;=判定条件!$C$7*W103,"運転",IF(X103&lt;=判定条件!$C$8*W103,"停止","断続")))</f>
        <v>停止</v>
      </c>
      <c r="Z103" s="30" t="n">
        <v>60</v>
      </c>
      <c r="AA103" s="30" t="n">
        <v>0</v>
      </c>
      <c r="AB103" s="30" t="str">
        <f aca="false">IF(Z103&lt;判定条件!$C$6,"判定不能",IF(AA103&gt;=判定条件!$C$7*Z103,"運転",IF(AA103&lt;=判定条件!$C$8*Z103,"停止","断続")))</f>
        <v>停止</v>
      </c>
      <c r="AC103" s="30" t="n">
        <v>60</v>
      </c>
      <c r="AD103" s="30" t="n">
        <v>0</v>
      </c>
      <c r="AE103" s="30" t="str">
        <f aca="false">IF(AC103&lt;判定条件!$C$6,"判定不能",IF(AD103&gt;=判定条件!$C$7*AC103,"運転",IF(AD103&lt;=判定条件!$C$8*AC103,"停止","断続")))</f>
        <v>停止</v>
      </c>
      <c r="AF103" s="30" t="n">
        <v>60</v>
      </c>
      <c r="AG103" s="30" t="n">
        <v>0</v>
      </c>
      <c r="AH103" s="30" t="str">
        <f aca="false">IF(OR(P103="判定不能",G103="判定不能"),"判定不能",IF(AG103&gt;=判定条件!$C$9,"利用可",IF(AND(P103="停止",G103="停止"),"両方停止","運転がそろわない")))</f>
        <v>両方停止</v>
      </c>
      <c r="AI103" s="30" t="n">
        <v>60</v>
      </c>
      <c r="AJ103" s="30" t="n">
        <v>0</v>
      </c>
      <c r="AK103" s="30" t="str">
        <f aca="false">IF(OR(S103="判定不能",J103="判定不能"),"判定不能",IF(AJ103&gt;=判定条件!$C$9,"利用可",IF(AND(S103="停止",J103="停止"),"両方停止","運転がそろわない")))</f>
        <v>両方停止</v>
      </c>
      <c r="AL103" s="30" t="n">
        <v>60</v>
      </c>
      <c r="AM103" s="30" t="n">
        <v>0</v>
      </c>
      <c r="AN103" s="30" t="str">
        <f aca="false">IF(OR(V103="判定不能",M103="判定不能"),"判定不能",IF(AM103&gt;=判定条件!$C$9,"利用可",IF(AND(V103="停止",M103="停止"),"両方停止","運転がそろわない")))</f>
        <v>運転がそろわない</v>
      </c>
      <c r="AO103" s="30" t="n">
        <v>60</v>
      </c>
      <c r="AP103" s="30" t="n">
        <v>0</v>
      </c>
      <c r="AQ103" s="30" t="str">
        <f aca="false">IF(OR(Y103="判定不能",G103="判定不能"),"判定不能",IF(AP103&gt;=判定条件!$C$9,"利用可",IF(AND(Y103="停止",G103="停止"),"両方停止","運転がそろわない")))</f>
        <v>両方停止</v>
      </c>
      <c r="AR103" s="30" t="n">
        <v>60</v>
      </c>
      <c r="AS103" s="30" t="n">
        <v>0</v>
      </c>
      <c r="AT103" s="30" t="str">
        <f aca="false">IF(OR(AB103="判定不能",J103="判定不能"),"判定不能",IF(AS103&gt;=判定条件!$C$9,"利用可",IF(AND(AB103="停止",J103="停止"),"両方停止","運転がそろわない")))</f>
        <v>両方停止</v>
      </c>
      <c r="AU103" s="30" t="n">
        <v>60</v>
      </c>
      <c r="AV103" s="30" t="n">
        <v>0</v>
      </c>
      <c r="AW103" s="30" t="str">
        <f aca="false">IF(OR(AE103="判定不能",M103="判定不能"),"判定不能",IF(AV103&gt;=判定条件!$C$9,"利用可",IF(AND(AE103="停止",M103="停止"),"両方停止","運転がそろわない")))</f>
        <v>運転がそろわない</v>
      </c>
      <c r="AX103" s="30" t="str">
        <f aca="false">IF(AND(AH103="利用可",AK103="利用可",AN103="利用可"),"利用可","不可")</f>
        <v>不可</v>
      </c>
      <c r="AY103" s="30" t="str">
        <f aca="false">IF(AND(AQ103="利用可",AT103="利用可",AW103="利用可"),"利用可","不可")</f>
        <v>不可</v>
      </c>
    </row>
    <row r="104" customFormat="false" ht="15" hidden="false" customHeight="false" outlineLevel="0" collapsed="false">
      <c r="A104" s="29" t="n">
        <v>46236</v>
      </c>
      <c r="B104" s="30" t="n">
        <v>5</v>
      </c>
      <c r="C104" s="31" t="s">
        <v>65</v>
      </c>
      <c r="D104" s="31" t="s">
        <v>64</v>
      </c>
      <c r="E104" s="30" t="n">
        <v>60</v>
      </c>
      <c r="F104" s="30" t="n">
        <v>0</v>
      </c>
      <c r="G104" s="30" t="str">
        <f aca="false">IF(E104&lt;判定条件!$C$6,"判定不能",IF(F104&gt;=判定条件!$C$7*E104,"運転",IF(F104&lt;=判定条件!$C$8*E104,"停止","断続")))</f>
        <v>停止</v>
      </c>
      <c r="H104" s="30" t="n">
        <v>60</v>
      </c>
      <c r="I104" s="30" t="n">
        <v>0</v>
      </c>
      <c r="J104" s="30" t="str">
        <f aca="false">IF(H104&lt;判定条件!$C$6,"判定不能",IF(I104&gt;=判定条件!$C$7*H104,"運転",IF(I104&lt;=判定条件!$C$8*H104,"停止","断続")))</f>
        <v>停止</v>
      </c>
      <c r="K104" s="30" t="n">
        <v>60</v>
      </c>
      <c r="L104" s="30" t="n">
        <v>60</v>
      </c>
      <c r="M104" s="30" t="str">
        <f aca="false">IF(K104&lt;判定条件!$C$6,"判定不能",IF(L104&gt;=判定条件!$C$7*K104,"運転",IF(L104&lt;=判定条件!$C$8*K104,"停止","断続")))</f>
        <v>運転</v>
      </c>
      <c r="N104" s="30" t="n">
        <v>60</v>
      </c>
      <c r="O104" s="30" t="n">
        <v>0</v>
      </c>
      <c r="P104" s="30" t="str">
        <f aca="false">IF(N104&lt;判定条件!$C$6,"判定不能",IF(O104&gt;=判定条件!$C$7*N104,"運転",IF(O104&lt;=判定条件!$C$8*N104,"停止","断続")))</f>
        <v>停止</v>
      </c>
      <c r="Q104" s="30" t="n">
        <v>60</v>
      </c>
      <c r="R104" s="30" t="n">
        <v>0</v>
      </c>
      <c r="S104" s="30" t="str">
        <f aca="false">IF(Q104&lt;判定条件!$C$6,"判定不能",IF(R104&gt;=判定条件!$C$7*Q104,"運転",IF(R104&lt;=判定条件!$C$8*Q104,"停止","断続")))</f>
        <v>停止</v>
      </c>
      <c r="T104" s="30" t="n">
        <v>60</v>
      </c>
      <c r="U104" s="30" t="n">
        <v>0</v>
      </c>
      <c r="V104" s="30" t="str">
        <f aca="false">IF(T104&lt;判定条件!$C$6,"判定不能",IF(U104&gt;=判定条件!$C$7*T104,"運転",IF(U104&lt;=判定条件!$C$8*T104,"停止","断続")))</f>
        <v>停止</v>
      </c>
      <c r="W104" s="30" t="n">
        <v>60</v>
      </c>
      <c r="X104" s="30" t="n">
        <v>0</v>
      </c>
      <c r="Y104" s="30" t="str">
        <f aca="false">IF(W104&lt;判定条件!$C$6,"判定不能",IF(X104&gt;=判定条件!$C$7*W104,"運転",IF(X104&lt;=判定条件!$C$8*W104,"停止","断続")))</f>
        <v>停止</v>
      </c>
      <c r="Z104" s="30" t="n">
        <v>60</v>
      </c>
      <c r="AA104" s="30" t="n">
        <v>0</v>
      </c>
      <c r="AB104" s="30" t="str">
        <f aca="false">IF(Z104&lt;判定条件!$C$6,"判定不能",IF(AA104&gt;=判定条件!$C$7*Z104,"運転",IF(AA104&lt;=判定条件!$C$8*Z104,"停止","断続")))</f>
        <v>停止</v>
      </c>
      <c r="AC104" s="30" t="n">
        <v>60</v>
      </c>
      <c r="AD104" s="30" t="n">
        <v>0</v>
      </c>
      <c r="AE104" s="30" t="str">
        <f aca="false">IF(AC104&lt;判定条件!$C$6,"判定不能",IF(AD104&gt;=判定条件!$C$7*AC104,"運転",IF(AD104&lt;=判定条件!$C$8*AC104,"停止","断続")))</f>
        <v>停止</v>
      </c>
      <c r="AF104" s="30" t="n">
        <v>60</v>
      </c>
      <c r="AG104" s="30" t="n">
        <v>0</v>
      </c>
      <c r="AH104" s="30" t="str">
        <f aca="false">IF(OR(P104="判定不能",G104="判定不能"),"判定不能",IF(AG104&gt;=判定条件!$C$9,"利用可",IF(AND(P104="停止",G104="停止"),"両方停止","運転がそろわない")))</f>
        <v>両方停止</v>
      </c>
      <c r="AI104" s="30" t="n">
        <v>60</v>
      </c>
      <c r="AJ104" s="30" t="n">
        <v>0</v>
      </c>
      <c r="AK104" s="30" t="str">
        <f aca="false">IF(OR(S104="判定不能",J104="判定不能"),"判定不能",IF(AJ104&gt;=判定条件!$C$9,"利用可",IF(AND(S104="停止",J104="停止"),"両方停止","運転がそろわない")))</f>
        <v>両方停止</v>
      </c>
      <c r="AL104" s="30" t="n">
        <v>60</v>
      </c>
      <c r="AM104" s="30" t="n">
        <v>0</v>
      </c>
      <c r="AN104" s="30" t="str">
        <f aca="false">IF(OR(V104="判定不能",M104="判定不能"),"判定不能",IF(AM104&gt;=判定条件!$C$9,"利用可",IF(AND(V104="停止",M104="停止"),"両方停止","運転がそろわない")))</f>
        <v>運転がそろわない</v>
      </c>
      <c r="AO104" s="30" t="n">
        <v>60</v>
      </c>
      <c r="AP104" s="30" t="n">
        <v>0</v>
      </c>
      <c r="AQ104" s="30" t="str">
        <f aca="false">IF(OR(Y104="判定不能",G104="判定不能"),"判定不能",IF(AP104&gt;=判定条件!$C$9,"利用可",IF(AND(Y104="停止",G104="停止"),"両方停止","運転がそろわない")))</f>
        <v>両方停止</v>
      </c>
      <c r="AR104" s="30" t="n">
        <v>60</v>
      </c>
      <c r="AS104" s="30" t="n">
        <v>0</v>
      </c>
      <c r="AT104" s="30" t="str">
        <f aca="false">IF(OR(AB104="判定不能",J104="判定不能"),"判定不能",IF(AS104&gt;=判定条件!$C$9,"利用可",IF(AND(AB104="停止",J104="停止"),"両方停止","運転がそろわない")))</f>
        <v>両方停止</v>
      </c>
      <c r="AU104" s="30" t="n">
        <v>60</v>
      </c>
      <c r="AV104" s="30" t="n">
        <v>0</v>
      </c>
      <c r="AW104" s="30" t="str">
        <f aca="false">IF(OR(AE104="判定不能",M104="判定不能"),"判定不能",IF(AV104&gt;=判定条件!$C$9,"利用可",IF(AND(AE104="停止",M104="停止"),"両方停止","運転がそろわない")))</f>
        <v>運転がそろわない</v>
      </c>
      <c r="AX104" s="30" t="str">
        <f aca="false">IF(AND(AH104="利用可",AK104="利用可",AN104="利用可"),"利用可","不可")</f>
        <v>不可</v>
      </c>
      <c r="AY104" s="30" t="str">
        <f aca="false">IF(AND(AQ104="利用可",AT104="利用可",AW104="利用可"),"利用可","不可")</f>
        <v>不可</v>
      </c>
    </row>
    <row r="105" customFormat="false" ht="15" hidden="false" customHeight="false" outlineLevel="0" collapsed="false">
      <c r="A105" s="29" t="n">
        <v>46236</v>
      </c>
      <c r="B105" s="30" t="n">
        <v>6</v>
      </c>
      <c r="C105" s="31" t="s">
        <v>65</v>
      </c>
      <c r="D105" s="31" t="s">
        <v>64</v>
      </c>
      <c r="E105" s="30" t="n">
        <v>60</v>
      </c>
      <c r="F105" s="30" t="n">
        <v>0</v>
      </c>
      <c r="G105" s="30" t="str">
        <f aca="false">IF(E105&lt;判定条件!$C$6,"判定不能",IF(F105&gt;=判定条件!$C$7*E105,"運転",IF(F105&lt;=判定条件!$C$8*E105,"停止","断続")))</f>
        <v>停止</v>
      </c>
      <c r="H105" s="30" t="n">
        <v>60</v>
      </c>
      <c r="I105" s="30" t="n">
        <v>0</v>
      </c>
      <c r="J105" s="30" t="str">
        <f aca="false">IF(H105&lt;判定条件!$C$6,"判定不能",IF(I105&gt;=判定条件!$C$7*H105,"運転",IF(I105&lt;=判定条件!$C$8*H105,"停止","断続")))</f>
        <v>停止</v>
      </c>
      <c r="K105" s="30" t="n">
        <v>60</v>
      </c>
      <c r="L105" s="30" t="n">
        <v>60</v>
      </c>
      <c r="M105" s="30" t="str">
        <f aca="false">IF(K105&lt;判定条件!$C$6,"判定不能",IF(L105&gt;=判定条件!$C$7*K105,"運転",IF(L105&lt;=判定条件!$C$8*K105,"停止","断続")))</f>
        <v>運転</v>
      </c>
      <c r="N105" s="30" t="n">
        <v>60</v>
      </c>
      <c r="O105" s="30" t="n">
        <v>0</v>
      </c>
      <c r="P105" s="30" t="str">
        <f aca="false">IF(N105&lt;判定条件!$C$6,"判定不能",IF(O105&gt;=判定条件!$C$7*N105,"運転",IF(O105&lt;=判定条件!$C$8*N105,"停止","断続")))</f>
        <v>停止</v>
      </c>
      <c r="Q105" s="30" t="n">
        <v>60</v>
      </c>
      <c r="R105" s="30" t="n">
        <v>0</v>
      </c>
      <c r="S105" s="30" t="str">
        <f aca="false">IF(Q105&lt;判定条件!$C$6,"判定不能",IF(R105&gt;=判定条件!$C$7*Q105,"運転",IF(R105&lt;=判定条件!$C$8*Q105,"停止","断続")))</f>
        <v>停止</v>
      </c>
      <c r="T105" s="30" t="n">
        <v>60</v>
      </c>
      <c r="U105" s="30" t="n">
        <v>0</v>
      </c>
      <c r="V105" s="30" t="str">
        <f aca="false">IF(T105&lt;判定条件!$C$6,"判定不能",IF(U105&gt;=判定条件!$C$7*T105,"運転",IF(U105&lt;=判定条件!$C$8*T105,"停止","断続")))</f>
        <v>停止</v>
      </c>
      <c r="W105" s="30" t="n">
        <v>60</v>
      </c>
      <c r="X105" s="30" t="n">
        <v>5</v>
      </c>
      <c r="Y105" s="30" t="str">
        <f aca="false">IF(W105&lt;判定条件!$C$6,"判定不能",IF(X105&gt;=判定条件!$C$7*W105,"運転",IF(X105&lt;=判定条件!$C$8*W105,"停止","断続")))</f>
        <v>停止</v>
      </c>
      <c r="Z105" s="30" t="n">
        <v>60</v>
      </c>
      <c r="AA105" s="30" t="n">
        <v>0</v>
      </c>
      <c r="AB105" s="30" t="str">
        <f aca="false">IF(Z105&lt;判定条件!$C$6,"判定不能",IF(AA105&gt;=判定条件!$C$7*Z105,"運転",IF(AA105&lt;=判定条件!$C$8*Z105,"停止","断続")))</f>
        <v>停止</v>
      </c>
      <c r="AC105" s="30" t="n">
        <v>60</v>
      </c>
      <c r="AD105" s="30" t="n">
        <v>0</v>
      </c>
      <c r="AE105" s="30" t="str">
        <f aca="false">IF(AC105&lt;判定条件!$C$6,"判定不能",IF(AD105&gt;=判定条件!$C$7*AC105,"運転",IF(AD105&lt;=判定条件!$C$8*AC105,"停止","断続")))</f>
        <v>停止</v>
      </c>
      <c r="AF105" s="30" t="n">
        <v>60</v>
      </c>
      <c r="AG105" s="30" t="n">
        <v>0</v>
      </c>
      <c r="AH105" s="30" t="str">
        <f aca="false">IF(OR(P105="判定不能",G105="判定不能"),"判定不能",IF(AG105&gt;=判定条件!$C$9,"利用可",IF(AND(P105="停止",G105="停止"),"両方停止","運転がそろわない")))</f>
        <v>両方停止</v>
      </c>
      <c r="AI105" s="30" t="n">
        <v>60</v>
      </c>
      <c r="AJ105" s="30" t="n">
        <v>0</v>
      </c>
      <c r="AK105" s="30" t="str">
        <f aca="false">IF(OR(S105="判定不能",J105="判定不能"),"判定不能",IF(AJ105&gt;=判定条件!$C$9,"利用可",IF(AND(S105="停止",J105="停止"),"両方停止","運転がそろわない")))</f>
        <v>両方停止</v>
      </c>
      <c r="AL105" s="30" t="n">
        <v>60</v>
      </c>
      <c r="AM105" s="30" t="n">
        <v>0</v>
      </c>
      <c r="AN105" s="30" t="str">
        <f aca="false">IF(OR(V105="判定不能",M105="判定不能"),"判定不能",IF(AM105&gt;=判定条件!$C$9,"利用可",IF(AND(V105="停止",M105="停止"),"両方停止","運転がそろわない")))</f>
        <v>運転がそろわない</v>
      </c>
      <c r="AO105" s="30" t="n">
        <v>60</v>
      </c>
      <c r="AP105" s="30" t="n">
        <v>0</v>
      </c>
      <c r="AQ105" s="30" t="str">
        <f aca="false">IF(OR(Y105="判定不能",G105="判定不能"),"判定不能",IF(AP105&gt;=判定条件!$C$9,"利用可",IF(AND(Y105="停止",G105="停止"),"両方停止","運転がそろわない")))</f>
        <v>両方停止</v>
      </c>
      <c r="AR105" s="30" t="n">
        <v>60</v>
      </c>
      <c r="AS105" s="30" t="n">
        <v>0</v>
      </c>
      <c r="AT105" s="30" t="str">
        <f aca="false">IF(OR(AB105="判定不能",J105="判定不能"),"判定不能",IF(AS105&gt;=判定条件!$C$9,"利用可",IF(AND(AB105="停止",J105="停止"),"両方停止","運転がそろわない")))</f>
        <v>両方停止</v>
      </c>
      <c r="AU105" s="30" t="n">
        <v>60</v>
      </c>
      <c r="AV105" s="30" t="n">
        <v>0</v>
      </c>
      <c r="AW105" s="30" t="str">
        <f aca="false">IF(OR(AE105="判定不能",M105="判定不能"),"判定不能",IF(AV105&gt;=判定条件!$C$9,"利用可",IF(AND(AE105="停止",M105="停止"),"両方停止","運転がそろわない")))</f>
        <v>運転がそろわない</v>
      </c>
      <c r="AX105" s="30" t="str">
        <f aca="false">IF(AND(AH105="利用可",AK105="利用可",AN105="利用可"),"利用可","不可")</f>
        <v>不可</v>
      </c>
      <c r="AY105" s="30" t="str">
        <f aca="false">IF(AND(AQ105="利用可",AT105="利用可",AW105="利用可"),"利用可","不可")</f>
        <v>不可</v>
      </c>
    </row>
    <row r="106" customFormat="false" ht="15" hidden="false" customHeight="false" outlineLevel="0" collapsed="false">
      <c r="A106" s="29" t="n">
        <v>46236</v>
      </c>
      <c r="B106" s="30" t="n">
        <v>7</v>
      </c>
      <c r="C106" s="31" t="s">
        <v>65</v>
      </c>
      <c r="D106" s="31" t="s">
        <v>64</v>
      </c>
      <c r="E106" s="30" t="n">
        <v>60</v>
      </c>
      <c r="F106" s="30" t="n">
        <v>0</v>
      </c>
      <c r="G106" s="30" t="str">
        <f aca="false">IF(E106&lt;判定条件!$C$6,"判定不能",IF(F106&gt;=判定条件!$C$7*E106,"運転",IF(F106&lt;=判定条件!$C$8*E106,"停止","断続")))</f>
        <v>停止</v>
      </c>
      <c r="H106" s="30" t="n">
        <v>60</v>
      </c>
      <c r="I106" s="30" t="n">
        <v>0</v>
      </c>
      <c r="J106" s="30" t="str">
        <f aca="false">IF(H106&lt;判定条件!$C$6,"判定不能",IF(I106&gt;=判定条件!$C$7*H106,"運転",IF(I106&lt;=判定条件!$C$8*H106,"停止","断続")))</f>
        <v>停止</v>
      </c>
      <c r="K106" s="30" t="n">
        <v>60</v>
      </c>
      <c r="L106" s="30" t="n">
        <v>60</v>
      </c>
      <c r="M106" s="30" t="str">
        <f aca="false">IF(K106&lt;判定条件!$C$6,"判定不能",IF(L106&gt;=判定条件!$C$7*K106,"運転",IF(L106&lt;=判定条件!$C$8*K106,"停止","断続")))</f>
        <v>運転</v>
      </c>
      <c r="N106" s="30" t="n">
        <v>60</v>
      </c>
      <c r="O106" s="30" t="n">
        <v>13</v>
      </c>
      <c r="P106" s="30" t="str">
        <f aca="false">IF(N106&lt;判定条件!$C$6,"判定不能",IF(O106&gt;=判定条件!$C$7*N106,"運転",IF(O106&lt;=判定条件!$C$8*N106,"停止","断続")))</f>
        <v>断続</v>
      </c>
      <c r="Q106" s="30" t="n">
        <v>60</v>
      </c>
      <c r="R106" s="30" t="n">
        <v>0</v>
      </c>
      <c r="S106" s="30" t="str">
        <f aca="false">IF(Q106&lt;判定条件!$C$6,"判定不能",IF(R106&gt;=判定条件!$C$7*Q106,"運転",IF(R106&lt;=判定条件!$C$8*Q106,"停止","断続")))</f>
        <v>停止</v>
      </c>
      <c r="T106" s="30" t="n">
        <v>60</v>
      </c>
      <c r="U106" s="30" t="n">
        <v>0</v>
      </c>
      <c r="V106" s="30" t="str">
        <f aca="false">IF(T106&lt;判定条件!$C$6,"判定不能",IF(U106&gt;=判定条件!$C$7*T106,"運転",IF(U106&lt;=判定条件!$C$8*T106,"停止","断続")))</f>
        <v>停止</v>
      </c>
      <c r="W106" s="30" t="n">
        <v>60</v>
      </c>
      <c r="X106" s="30" t="n">
        <v>11</v>
      </c>
      <c r="Y106" s="30" t="str">
        <f aca="false">IF(W106&lt;判定条件!$C$6,"判定不能",IF(X106&gt;=判定条件!$C$7*W106,"運転",IF(X106&lt;=判定条件!$C$8*W106,"停止","断続")))</f>
        <v>停止</v>
      </c>
      <c r="Z106" s="30" t="n">
        <v>60</v>
      </c>
      <c r="AA106" s="30" t="n">
        <v>1</v>
      </c>
      <c r="AB106" s="30" t="str">
        <f aca="false">IF(Z106&lt;判定条件!$C$6,"判定不能",IF(AA106&gt;=判定条件!$C$7*Z106,"運転",IF(AA106&lt;=判定条件!$C$8*Z106,"停止","断続")))</f>
        <v>停止</v>
      </c>
      <c r="AC106" s="30" t="n">
        <v>60</v>
      </c>
      <c r="AD106" s="30" t="n">
        <v>0</v>
      </c>
      <c r="AE106" s="30" t="str">
        <f aca="false">IF(AC106&lt;判定条件!$C$6,"判定不能",IF(AD106&gt;=判定条件!$C$7*AC106,"運転",IF(AD106&lt;=判定条件!$C$8*AC106,"停止","断続")))</f>
        <v>停止</v>
      </c>
      <c r="AF106" s="30" t="n">
        <v>60</v>
      </c>
      <c r="AG106" s="30" t="n">
        <v>0</v>
      </c>
      <c r="AH106" s="30" t="str">
        <f aca="false">IF(OR(P106="判定不能",G106="判定不能"),"判定不能",IF(AG106&gt;=判定条件!$C$9,"利用可",IF(AND(P106="停止",G106="停止"),"両方停止","運転がそろわない")))</f>
        <v>運転がそろわない</v>
      </c>
      <c r="AI106" s="30" t="n">
        <v>60</v>
      </c>
      <c r="AJ106" s="30" t="n">
        <v>0</v>
      </c>
      <c r="AK106" s="30" t="str">
        <f aca="false">IF(OR(S106="判定不能",J106="判定不能"),"判定不能",IF(AJ106&gt;=判定条件!$C$9,"利用可",IF(AND(S106="停止",J106="停止"),"両方停止","運転がそろわない")))</f>
        <v>両方停止</v>
      </c>
      <c r="AL106" s="30" t="n">
        <v>60</v>
      </c>
      <c r="AM106" s="30" t="n">
        <v>0</v>
      </c>
      <c r="AN106" s="30" t="str">
        <f aca="false">IF(OR(V106="判定不能",M106="判定不能"),"判定不能",IF(AM106&gt;=判定条件!$C$9,"利用可",IF(AND(V106="停止",M106="停止"),"両方停止","運転がそろわない")))</f>
        <v>運転がそろわない</v>
      </c>
      <c r="AO106" s="30" t="n">
        <v>60</v>
      </c>
      <c r="AP106" s="30" t="n">
        <v>0</v>
      </c>
      <c r="AQ106" s="30" t="str">
        <f aca="false">IF(OR(Y106="判定不能",G106="判定不能"),"判定不能",IF(AP106&gt;=判定条件!$C$9,"利用可",IF(AND(Y106="停止",G106="停止"),"両方停止","運転がそろわない")))</f>
        <v>両方停止</v>
      </c>
      <c r="AR106" s="30" t="n">
        <v>60</v>
      </c>
      <c r="AS106" s="30" t="n">
        <v>0</v>
      </c>
      <c r="AT106" s="30" t="str">
        <f aca="false">IF(OR(AB106="判定不能",J106="判定不能"),"判定不能",IF(AS106&gt;=判定条件!$C$9,"利用可",IF(AND(AB106="停止",J106="停止"),"両方停止","運転がそろわない")))</f>
        <v>両方停止</v>
      </c>
      <c r="AU106" s="30" t="n">
        <v>60</v>
      </c>
      <c r="AV106" s="30" t="n">
        <v>0</v>
      </c>
      <c r="AW106" s="30" t="str">
        <f aca="false">IF(OR(AE106="判定不能",M106="判定不能"),"判定不能",IF(AV106&gt;=判定条件!$C$9,"利用可",IF(AND(AE106="停止",M106="停止"),"両方停止","運転がそろわない")))</f>
        <v>運転がそろわない</v>
      </c>
      <c r="AX106" s="30" t="str">
        <f aca="false">IF(AND(AH106="利用可",AK106="利用可",AN106="利用可"),"利用可","不可")</f>
        <v>不可</v>
      </c>
      <c r="AY106" s="30" t="str">
        <f aca="false">IF(AND(AQ106="利用可",AT106="利用可",AW106="利用可"),"利用可","不可")</f>
        <v>不可</v>
      </c>
    </row>
    <row r="107" customFormat="false" ht="15" hidden="false" customHeight="false" outlineLevel="0" collapsed="false">
      <c r="A107" s="29" t="n">
        <v>46236</v>
      </c>
      <c r="B107" s="30" t="n">
        <v>8</v>
      </c>
      <c r="C107" s="31" t="s">
        <v>65</v>
      </c>
      <c r="D107" s="31" t="s">
        <v>64</v>
      </c>
      <c r="E107" s="30" t="n">
        <v>60</v>
      </c>
      <c r="F107" s="30" t="n">
        <v>32</v>
      </c>
      <c r="G107" s="30" t="str">
        <f aca="false">IF(E107&lt;判定条件!$C$6,"判定不能",IF(F107&gt;=判定条件!$C$7*E107,"運転",IF(F107&lt;=判定条件!$C$8*E107,"停止","断続")))</f>
        <v>断続</v>
      </c>
      <c r="H107" s="30" t="n">
        <v>60</v>
      </c>
      <c r="I107" s="30" t="n">
        <v>31</v>
      </c>
      <c r="J107" s="30" t="str">
        <f aca="false">IF(H107&lt;判定条件!$C$6,"判定不能",IF(I107&gt;=判定条件!$C$7*H107,"運転",IF(I107&lt;=判定条件!$C$8*H107,"停止","断続")))</f>
        <v>断続</v>
      </c>
      <c r="K107" s="30" t="n">
        <v>60</v>
      </c>
      <c r="L107" s="30" t="n">
        <v>60</v>
      </c>
      <c r="M107" s="30" t="str">
        <f aca="false">IF(K107&lt;判定条件!$C$6,"判定不能",IF(L107&gt;=判定条件!$C$7*K107,"運転",IF(L107&lt;=判定条件!$C$8*K107,"停止","断続")))</f>
        <v>運転</v>
      </c>
      <c r="N107" s="30" t="n">
        <v>60</v>
      </c>
      <c r="O107" s="30" t="n">
        <v>60</v>
      </c>
      <c r="P107" s="30" t="str">
        <f aca="false">IF(N107&lt;判定条件!$C$6,"判定不能",IF(O107&gt;=判定条件!$C$7*N107,"運転",IF(O107&lt;=判定条件!$C$8*N107,"停止","断続")))</f>
        <v>運転</v>
      </c>
      <c r="Q107" s="30" t="n">
        <v>60</v>
      </c>
      <c r="R107" s="30" t="n">
        <v>47</v>
      </c>
      <c r="S107" s="30" t="str">
        <f aca="false">IF(Q107&lt;判定条件!$C$6,"判定不能",IF(R107&gt;=判定条件!$C$7*Q107,"運転",IF(R107&lt;=判定条件!$C$8*Q107,"停止","断続")))</f>
        <v>断続</v>
      </c>
      <c r="T107" s="30" t="n">
        <v>60</v>
      </c>
      <c r="U107" s="30" t="n">
        <v>46</v>
      </c>
      <c r="V107" s="30" t="str">
        <f aca="false">IF(T107&lt;判定条件!$C$6,"判定不能",IF(U107&gt;=判定条件!$C$7*T107,"運転",IF(U107&lt;=判定条件!$C$8*T107,"停止","断続")))</f>
        <v>断続</v>
      </c>
      <c r="W107" s="30" t="n">
        <v>60</v>
      </c>
      <c r="X107" s="30" t="n">
        <v>59</v>
      </c>
      <c r="Y107" s="30" t="str">
        <f aca="false">IF(W107&lt;判定条件!$C$6,"判定不能",IF(X107&gt;=判定条件!$C$7*W107,"運転",IF(X107&lt;=判定条件!$C$8*W107,"停止","断続")))</f>
        <v>運転</v>
      </c>
      <c r="Z107" s="30" t="n">
        <v>60</v>
      </c>
      <c r="AA107" s="30" t="n">
        <v>56</v>
      </c>
      <c r="AB107" s="30" t="str">
        <f aca="false">IF(Z107&lt;判定条件!$C$6,"判定不能",IF(AA107&gt;=判定条件!$C$7*Z107,"運転",IF(AA107&lt;=判定条件!$C$8*Z107,"停止","断続")))</f>
        <v>運転</v>
      </c>
      <c r="AC107" s="30" t="n">
        <v>60</v>
      </c>
      <c r="AD107" s="30" t="n">
        <v>57</v>
      </c>
      <c r="AE107" s="30" t="str">
        <f aca="false">IF(AC107&lt;判定条件!$C$6,"判定不能",IF(AD107&gt;=判定条件!$C$7*AC107,"運転",IF(AD107&lt;=判定条件!$C$8*AC107,"停止","断続")))</f>
        <v>運転</v>
      </c>
      <c r="AF107" s="30" t="n">
        <v>60</v>
      </c>
      <c r="AG107" s="30" t="n">
        <v>32</v>
      </c>
      <c r="AH107" s="30" t="str">
        <f aca="false">IF(OR(P107="判定不能",G107="判定不能"),"判定不能",IF(AG107&gt;=判定条件!$C$9,"利用可",IF(AND(P107="停止",G107="停止"),"両方停止","運転がそろわない")))</f>
        <v>利用可</v>
      </c>
      <c r="AI107" s="30" t="n">
        <v>60</v>
      </c>
      <c r="AJ107" s="30" t="n">
        <v>31</v>
      </c>
      <c r="AK107" s="30" t="str">
        <f aca="false">IF(OR(S107="判定不能",J107="判定不能"),"判定不能",IF(AJ107&gt;=判定条件!$C$9,"利用可",IF(AND(S107="停止",J107="停止"),"両方停止","運転がそろわない")))</f>
        <v>利用可</v>
      </c>
      <c r="AL107" s="30" t="n">
        <v>60</v>
      </c>
      <c r="AM107" s="30" t="n">
        <v>46</v>
      </c>
      <c r="AN107" s="30" t="str">
        <f aca="false">IF(OR(V107="判定不能",M107="判定不能"),"判定不能",IF(AM107&gt;=判定条件!$C$9,"利用可",IF(AND(V107="停止",M107="停止"),"両方停止","運転がそろわない")))</f>
        <v>利用可</v>
      </c>
      <c r="AO107" s="30" t="n">
        <v>60</v>
      </c>
      <c r="AP107" s="30" t="n">
        <v>32</v>
      </c>
      <c r="AQ107" s="30" t="str">
        <f aca="false">IF(OR(Y107="判定不能",G107="判定不能"),"判定不能",IF(AP107&gt;=判定条件!$C$9,"利用可",IF(AND(Y107="停止",G107="停止"),"両方停止","運転がそろわない")))</f>
        <v>利用可</v>
      </c>
      <c r="AR107" s="30" t="n">
        <v>60</v>
      </c>
      <c r="AS107" s="30" t="n">
        <v>31</v>
      </c>
      <c r="AT107" s="30" t="str">
        <f aca="false">IF(OR(AB107="判定不能",J107="判定不能"),"判定不能",IF(AS107&gt;=判定条件!$C$9,"利用可",IF(AND(AB107="停止",J107="停止"),"両方停止","運転がそろわない")))</f>
        <v>利用可</v>
      </c>
      <c r="AU107" s="30" t="n">
        <v>60</v>
      </c>
      <c r="AV107" s="30" t="n">
        <v>57</v>
      </c>
      <c r="AW107" s="30" t="str">
        <f aca="false">IF(OR(AE107="判定不能",M107="判定不能"),"判定不能",IF(AV107&gt;=判定条件!$C$9,"利用可",IF(AND(AE107="停止",M107="停止"),"両方停止","運転がそろわない")))</f>
        <v>利用可</v>
      </c>
      <c r="AX107" s="30" t="str">
        <f aca="false">IF(AND(AH107="利用可",AK107="利用可",AN107="利用可"),"利用可","不可")</f>
        <v>利用可</v>
      </c>
      <c r="AY107" s="30" t="str">
        <f aca="false">IF(AND(AQ107="利用可",AT107="利用可",AW107="利用可"),"利用可","不可")</f>
        <v>利用可</v>
      </c>
    </row>
    <row r="108" customFormat="false" ht="15" hidden="false" customHeight="false" outlineLevel="0" collapsed="false">
      <c r="A108" s="29" t="n">
        <v>46236</v>
      </c>
      <c r="B108" s="30" t="n">
        <v>9</v>
      </c>
      <c r="C108" s="31" t="s">
        <v>65</v>
      </c>
      <c r="D108" s="31" t="s">
        <v>64</v>
      </c>
      <c r="E108" s="30" t="n">
        <v>60</v>
      </c>
      <c r="F108" s="30" t="n">
        <v>60</v>
      </c>
      <c r="G108" s="30" t="str">
        <f aca="false">IF(E108&lt;判定条件!$C$6,"判定不能",IF(F108&gt;=判定条件!$C$7*E108,"運転",IF(F108&lt;=判定条件!$C$8*E108,"停止","断続")))</f>
        <v>運転</v>
      </c>
      <c r="H108" s="30" t="n">
        <v>60</v>
      </c>
      <c r="I108" s="30" t="n">
        <v>60</v>
      </c>
      <c r="J108" s="30" t="str">
        <f aca="false">IF(H108&lt;判定条件!$C$6,"判定不能",IF(I108&gt;=判定条件!$C$7*H108,"運転",IF(I108&lt;=判定条件!$C$8*H108,"停止","断続")))</f>
        <v>運転</v>
      </c>
      <c r="K108" s="30" t="n">
        <v>60</v>
      </c>
      <c r="L108" s="30" t="n">
        <v>60</v>
      </c>
      <c r="M108" s="30" t="str">
        <f aca="false">IF(K108&lt;判定条件!$C$6,"判定不能",IF(L108&gt;=判定条件!$C$7*K108,"運転",IF(L108&lt;=判定条件!$C$8*K108,"停止","断続")))</f>
        <v>運転</v>
      </c>
      <c r="N108" s="30" t="n">
        <v>60</v>
      </c>
      <c r="O108" s="30" t="n">
        <v>60</v>
      </c>
      <c r="P108" s="30" t="str">
        <f aca="false">IF(N108&lt;判定条件!$C$6,"判定不能",IF(O108&gt;=判定条件!$C$7*N108,"運転",IF(O108&lt;=判定条件!$C$8*N108,"停止","断続")))</f>
        <v>運転</v>
      </c>
      <c r="Q108" s="30" t="n">
        <v>60</v>
      </c>
      <c r="R108" s="30" t="n">
        <v>51</v>
      </c>
      <c r="S108" s="30" t="str">
        <f aca="false">IF(Q108&lt;判定条件!$C$6,"判定不能",IF(R108&gt;=判定条件!$C$7*Q108,"運転",IF(R108&lt;=判定条件!$C$8*Q108,"停止","断続")))</f>
        <v>運転</v>
      </c>
      <c r="T108" s="30" t="n">
        <v>60</v>
      </c>
      <c r="U108" s="30" t="n">
        <v>14</v>
      </c>
      <c r="V108" s="30" t="str">
        <f aca="false">IF(T108&lt;判定条件!$C$6,"判定不能",IF(U108&gt;=判定条件!$C$7*T108,"運転",IF(U108&lt;=判定条件!$C$8*T108,"停止","断続")))</f>
        <v>断続</v>
      </c>
      <c r="W108" s="30" t="n">
        <v>60</v>
      </c>
      <c r="X108" s="30" t="n">
        <v>60</v>
      </c>
      <c r="Y108" s="30" t="str">
        <f aca="false">IF(W108&lt;判定条件!$C$6,"判定不能",IF(X108&gt;=判定条件!$C$7*W108,"運転",IF(X108&lt;=判定条件!$C$8*W108,"停止","断続")))</f>
        <v>運転</v>
      </c>
      <c r="Z108" s="30" t="n">
        <v>60</v>
      </c>
      <c r="AA108" s="30" t="n">
        <v>53</v>
      </c>
      <c r="AB108" s="30" t="str">
        <f aca="false">IF(Z108&lt;判定条件!$C$6,"判定不能",IF(AA108&gt;=判定条件!$C$7*Z108,"運転",IF(AA108&lt;=判定条件!$C$8*Z108,"停止","断続")))</f>
        <v>運転</v>
      </c>
      <c r="AC108" s="30" t="n">
        <v>60</v>
      </c>
      <c r="AD108" s="30" t="n">
        <v>60</v>
      </c>
      <c r="AE108" s="30" t="str">
        <f aca="false">IF(AC108&lt;判定条件!$C$6,"判定不能",IF(AD108&gt;=判定条件!$C$7*AC108,"運転",IF(AD108&lt;=判定条件!$C$8*AC108,"停止","断続")))</f>
        <v>運転</v>
      </c>
      <c r="AF108" s="30" t="n">
        <v>60</v>
      </c>
      <c r="AG108" s="30" t="n">
        <v>60</v>
      </c>
      <c r="AH108" s="30" t="str">
        <f aca="false">IF(OR(P108="判定不能",G108="判定不能"),"判定不能",IF(AG108&gt;=判定条件!$C$9,"利用可",IF(AND(P108="停止",G108="停止"),"両方停止","運転がそろわない")))</f>
        <v>利用可</v>
      </c>
      <c r="AI108" s="30" t="n">
        <v>60</v>
      </c>
      <c r="AJ108" s="30" t="n">
        <v>51</v>
      </c>
      <c r="AK108" s="30" t="str">
        <f aca="false">IF(OR(S108="判定不能",J108="判定不能"),"判定不能",IF(AJ108&gt;=判定条件!$C$9,"利用可",IF(AND(S108="停止",J108="停止"),"両方停止","運転がそろわない")))</f>
        <v>利用可</v>
      </c>
      <c r="AL108" s="30" t="n">
        <v>60</v>
      </c>
      <c r="AM108" s="30" t="n">
        <v>14</v>
      </c>
      <c r="AN108" s="30" t="str">
        <f aca="false">IF(OR(V108="判定不能",M108="判定不能"),"判定不能",IF(AM108&gt;=判定条件!$C$9,"利用可",IF(AND(V108="停止",M108="停止"),"両方停止","運転がそろわない")))</f>
        <v>運転がそろわない</v>
      </c>
      <c r="AO108" s="30" t="n">
        <v>60</v>
      </c>
      <c r="AP108" s="30" t="n">
        <v>60</v>
      </c>
      <c r="AQ108" s="30" t="str">
        <f aca="false">IF(OR(Y108="判定不能",G108="判定不能"),"判定不能",IF(AP108&gt;=判定条件!$C$9,"利用可",IF(AND(Y108="停止",G108="停止"),"両方停止","運転がそろわない")))</f>
        <v>利用可</v>
      </c>
      <c r="AR108" s="30" t="n">
        <v>60</v>
      </c>
      <c r="AS108" s="30" t="n">
        <v>53</v>
      </c>
      <c r="AT108" s="30" t="str">
        <f aca="false">IF(OR(AB108="判定不能",J108="判定不能"),"判定不能",IF(AS108&gt;=判定条件!$C$9,"利用可",IF(AND(AB108="停止",J108="停止"),"両方停止","運転がそろわない")))</f>
        <v>利用可</v>
      </c>
      <c r="AU108" s="30" t="n">
        <v>60</v>
      </c>
      <c r="AV108" s="30" t="n">
        <v>60</v>
      </c>
      <c r="AW108" s="30" t="str">
        <f aca="false">IF(OR(AE108="判定不能",M108="判定不能"),"判定不能",IF(AV108&gt;=判定条件!$C$9,"利用可",IF(AND(AE108="停止",M108="停止"),"両方停止","運転がそろわない")))</f>
        <v>利用可</v>
      </c>
      <c r="AX108" s="30" t="str">
        <f aca="false">IF(AND(AH108="利用可",AK108="利用可",AN108="利用可"),"利用可","不可")</f>
        <v>不可</v>
      </c>
      <c r="AY108" s="30" t="str">
        <f aca="false">IF(AND(AQ108="利用可",AT108="利用可",AW108="利用可"),"利用可","不可")</f>
        <v>利用可</v>
      </c>
    </row>
    <row r="109" customFormat="false" ht="15" hidden="false" customHeight="false" outlineLevel="0" collapsed="false">
      <c r="A109" s="29" t="n">
        <v>46236</v>
      </c>
      <c r="B109" s="30" t="n">
        <v>10</v>
      </c>
      <c r="C109" s="31" t="s">
        <v>65</v>
      </c>
      <c r="D109" s="31" t="s">
        <v>64</v>
      </c>
      <c r="E109" s="30" t="n">
        <v>60</v>
      </c>
      <c r="F109" s="30" t="n">
        <v>60</v>
      </c>
      <c r="G109" s="30" t="str">
        <f aca="false">IF(E109&lt;判定条件!$C$6,"判定不能",IF(F109&gt;=判定条件!$C$7*E109,"運転",IF(F109&lt;=判定条件!$C$8*E109,"停止","断続")))</f>
        <v>運転</v>
      </c>
      <c r="H109" s="30" t="n">
        <v>60</v>
      </c>
      <c r="I109" s="30" t="n">
        <v>60</v>
      </c>
      <c r="J109" s="30" t="str">
        <f aca="false">IF(H109&lt;判定条件!$C$6,"判定不能",IF(I109&gt;=判定条件!$C$7*H109,"運転",IF(I109&lt;=判定条件!$C$8*H109,"停止","断続")))</f>
        <v>運転</v>
      </c>
      <c r="K109" s="30" t="n">
        <v>60</v>
      </c>
      <c r="L109" s="30" t="n">
        <v>60</v>
      </c>
      <c r="M109" s="30" t="str">
        <f aca="false">IF(K109&lt;判定条件!$C$6,"判定不能",IF(L109&gt;=判定条件!$C$7*K109,"運転",IF(L109&lt;=判定条件!$C$8*K109,"停止","断続")))</f>
        <v>運転</v>
      </c>
      <c r="N109" s="30" t="n">
        <v>60</v>
      </c>
      <c r="O109" s="30" t="n">
        <v>60</v>
      </c>
      <c r="P109" s="30" t="str">
        <f aca="false">IF(N109&lt;判定条件!$C$6,"判定不能",IF(O109&gt;=判定条件!$C$7*N109,"運転",IF(O109&lt;=判定条件!$C$8*N109,"停止","断続")))</f>
        <v>運転</v>
      </c>
      <c r="Q109" s="30" t="n">
        <v>60</v>
      </c>
      <c r="R109" s="30" t="n">
        <v>27</v>
      </c>
      <c r="S109" s="30" t="str">
        <f aca="false">IF(Q109&lt;判定条件!$C$6,"判定不能",IF(R109&gt;=判定条件!$C$7*Q109,"運転",IF(R109&lt;=判定条件!$C$8*Q109,"停止","断続")))</f>
        <v>断続</v>
      </c>
      <c r="T109" s="30" t="n">
        <v>60</v>
      </c>
      <c r="U109" s="30" t="n">
        <v>0</v>
      </c>
      <c r="V109" s="30" t="str">
        <f aca="false">IF(T109&lt;判定条件!$C$6,"判定不能",IF(U109&gt;=判定条件!$C$7*T109,"運転",IF(U109&lt;=判定条件!$C$8*T109,"停止","断続")))</f>
        <v>停止</v>
      </c>
      <c r="W109" s="30" t="n">
        <v>60</v>
      </c>
      <c r="X109" s="30" t="n">
        <v>57</v>
      </c>
      <c r="Y109" s="30" t="str">
        <f aca="false">IF(W109&lt;判定条件!$C$6,"判定不能",IF(X109&gt;=判定条件!$C$7*W109,"運転",IF(X109&lt;=判定条件!$C$8*W109,"停止","断続")))</f>
        <v>運転</v>
      </c>
      <c r="Z109" s="30" t="n">
        <v>60</v>
      </c>
      <c r="AA109" s="30" t="n">
        <v>60</v>
      </c>
      <c r="AB109" s="30" t="str">
        <f aca="false">IF(Z109&lt;判定条件!$C$6,"判定不能",IF(AA109&gt;=判定条件!$C$7*Z109,"運転",IF(AA109&lt;=判定条件!$C$8*Z109,"停止","断続")))</f>
        <v>運転</v>
      </c>
      <c r="AC109" s="30" t="n">
        <v>60</v>
      </c>
      <c r="AD109" s="30" t="n">
        <v>60</v>
      </c>
      <c r="AE109" s="30" t="str">
        <f aca="false">IF(AC109&lt;判定条件!$C$6,"判定不能",IF(AD109&gt;=判定条件!$C$7*AC109,"運転",IF(AD109&lt;=判定条件!$C$8*AC109,"停止","断続")))</f>
        <v>運転</v>
      </c>
      <c r="AF109" s="30" t="n">
        <v>60</v>
      </c>
      <c r="AG109" s="30" t="n">
        <v>60</v>
      </c>
      <c r="AH109" s="30" t="str">
        <f aca="false">IF(OR(P109="判定不能",G109="判定不能"),"判定不能",IF(AG109&gt;=判定条件!$C$9,"利用可",IF(AND(P109="停止",G109="停止"),"両方停止","運転がそろわない")))</f>
        <v>利用可</v>
      </c>
      <c r="AI109" s="30" t="n">
        <v>60</v>
      </c>
      <c r="AJ109" s="30" t="n">
        <v>27</v>
      </c>
      <c r="AK109" s="30" t="str">
        <f aca="false">IF(OR(S109="判定不能",J109="判定不能"),"判定不能",IF(AJ109&gt;=判定条件!$C$9,"利用可",IF(AND(S109="停止",J109="停止"),"両方停止","運転がそろわない")))</f>
        <v>運転がそろわない</v>
      </c>
      <c r="AL109" s="30" t="n">
        <v>60</v>
      </c>
      <c r="AM109" s="30" t="n">
        <v>0</v>
      </c>
      <c r="AN109" s="30" t="str">
        <f aca="false">IF(OR(V109="判定不能",M109="判定不能"),"判定不能",IF(AM109&gt;=判定条件!$C$9,"利用可",IF(AND(V109="停止",M109="停止"),"両方停止","運転がそろわない")))</f>
        <v>運転がそろわない</v>
      </c>
      <c r="AO109" s="30" t="n">
        <v>60</v>
      </c>
      <c r="AP109" s="30" t="n">
        <v>57</v>
      </c>
      <c r="AQ109" s="30" t="str">
        <f aca="false">IF(OR(Y109="判定不能",G109="判定不能"),"判定不能",IF(AP109&gt;=判定条件!$C$9,"利用可",IF(AND(Y109="停止",G109="停止"),"両方停止","運転がそろわない")))</f>
        <v>利用可</v>
      </c>
      <c r="AR109" s="30" t="n">
        <v>60</v>
      </c>
      <c r="AS109" s="30" t="n">
        <v>60</v>
      </c>
      <c r="AT109" s="30" t="str">
        <f aca="false">IF(OR(AB109="判定不能",J109="判定不能"),"判定不能",IF(AS109&gt;=判定条件!$C$9,"利用可",IF(AND(AB109="停止",J109="停止"),"両方停止","運転がそろわない")))</f>
        <v>利用可</v>
      </c>
      <c r="AU109" s="30" t="n">
        <v>60</v>
      </c>
      <c r="AV109" s="30" t="n">
        <v>60</v>
      </c>
      <c r="AW109" s="30" t="str">
        <f aca="false">IF(OR(AE109="判定不能",M109="判定不能"),"判定不能",IF(AV109&gt;=判定条件!$C$9,"利用可",IF(AND(AE109="停止",M109="停止"),"両方停止","運転がそろわない")))</f>
        <v>利用可</v>
      </c>
      <c r="AX109" s="30" t="str">
        <f aca="false">IF(AND(AH109="利用可",AK109="利用可",AN109="利用可"),"利用可","不可")</f>
        <v>不可</v>
      </c>
      <c r="AY109" s="30" t="str">
        <f aca="false">IF(AND(AQ109="利用可",AT109="利用可",AW109="利用可"),"利用可","不可")</f>
        <v>利用可</v>
      </c>
    </row>
    <row r="110" customFormat="false" ht="15" hidden="false" customHeight="false" outlineLevel="0" collapsed="false">
      <c r="A110" s="29" t="n">
        <v>46236</v>
      </c>
      <c r="B110" s="30" t="n">
        <v>11</v>
      </c>
      <c r="C110" s="31" t="s">
        <v>65</v>
      </c>
      <c r="D110" s="31" t="s">
        <v>64</v>
      </c>
      <c r="E110" s="30" t="n">
        <v>60</v>
      </c>
      <c r="F110" s="30" t="n">
        <v>60</v>
      </c>
      <c r="G110" s="30" t="str">
        <f aca="false">IF(E110&lt;判定条件!$C$6,"判定不能",IF(F110&gt;=判定条件!$C$7*E110,"運転",IF(F110&lt;=判定条件!$C$8*E110,"停止","断続")))</f>
        <v>運転</v>
      </c>
      <c r="H110" s="30" t="n">
        <v>60</v>
      </c>
      <c r="I110" s="30" t="n">
        <v>60</v>
      </c>
      <c r="J110" s="30" t="str">
        <f aca="false">IF(H110&lt;判定条件!$C$6,"判定不能",IF(I110&gt;=判定条件!$C$7*H110,"運転",IF(I110&lt;=判定条件!$C$8*H110,"停止","断続")))</f>
        <v>運転</v>
      </c>
      <c r="K110" s="30" t="n">
        <v>60</v>
      </c>
      <c r="L110" s="30" t="n">
        <v>60</v>
      </c>
      <c r="M110" s="30" t="str">
        <f aca="false">IF(K110&lt;判定条件!$C$6,"判定不能",IF(L110&gt;=判定条件!$C$7*K110,"運転",IF(L110&lt;=判定条件!$C$8*K110,"停止","断続")))</f>
        <v>運転</v>
      </c>
      <c r="N110" s="30" t="n">
        <v>60</v>
      </c>
      <c r="O110" s="30" t="n">
        <v>60</v>
      </c>
      <c r="P110" s="30" t="str">
        <f aca="false">IF(N110&lt;判定条件!$C$6,"判定不能",IF(O110&gt;=判定条件!$C$7*N110,"運転",IF(O110&lt;=判定条件!$C$8*N110,"停止","断続")))</f>
        <v>運転</v>
      </c>
      <c r="Q110" s="30" t="n">
        <v>60</v>
      </c>
      <c r="R110" s="30" t="n">
        <v>57</v>
      </c>
      <c r="S110" s="30" t="str">
        <f aca="false">IF(Q110&lt;判定条件!$C$6,"判定不能",IF(R110&gt;=判定条件!$C$7*Q110,"運転",IF(R110&lt;=判定条件!$C$8*Q110,"停止","断続")))</f>
        <v>運転</v>
      </c>
      <c r="T110" s="30" t="n">
        <v>60</v>
      </c>
      <c r="U110" s="30" t="n">
        <v>0</v>
      </c>
      <c r="V110" s="30" t="str">
        <f aca="false">IF(T110&lt;判定条件!$C$6,"判定不能",IF(U110&gt;=判定条件!$C$7*T110,"運転",IF(U110&lt;=判定条件!$C$8*T110,"停止","断続")))</f>
        <v>停止</v>
      </c>
      <c r="W110" s="30" t="n">
        <v>60</v>
      </c>
      <c r="X110" s="30" t="n">
        <v>60</v>
      </c>
      <c r="Y110" s="30" t="str">
        <f aca="false">IF(W110&lt;判定条件!$C$6,"判定不能",IF(X110&gt;=判定条件!$C$7*W110,"運転",IF(X110&lt;=判定条件!$C$8*W110,"停止","断続")))</f>
        <v>運転</v>
      </c>
      <c r="Z110" s="30" t="n">
        <v>60</v>
      </c>
      <c r="AA110" s="30" t="n">
        <v>48</v>
      </c>
      <c r="AB110" s="30" t="str">
        <f aca="false">IF(Z110&lt;判定条件!$C$6,"判定不能",IF(AA110&gt;=判定条件!$C$7*Z110,"運転",IF(AA110&lt;=判定条件!$C$8*Z110,"停止","断続")))</f>
        <v>運転</v>
      </c>
      <c r="AC110" s="30" t="n">
        <v>60</v>
      </c>
      <c r="AD110" s="30" t="n">
        <v>60</v>
      </c>
      <c r="AE110" s="30" t="str">
        <f aca="false">IF(AC110&lt;判定条件!$C$6,"判定不能",IF(AD110&gt;=判定条件!$C$7*AC110,"運転",IF(AD110&lt;=判定条件!$C$8*AC110,"停止","断続")))</f>
        <v>運転</v>
      </c>
      <c r="AF110" s="30" t="n">
        <v>60</v>
      </c>
      <c r="AG110" s="30" t="n">
        <v>60</v>
      </c>
      <c r="AH110" s="30" t="str">
        <f aca="false">IF(OR(P110="判定不能",G110="判定不能"),"判定不能",IF(AG110&gt;=判定条件!$C$9,"利用可",IF(AND(P110="停止",G110="停止"),"両方停止","運転がそろわない")))</f>
        <v>利用可</v>
      </c>
      <c r="AI110" s="30" t="n">
        <v>60</v>
      </c>
      <c r="AJ110" s="30" t="n">
        <v>57</v>
      </c>
      <c r="AK110" s="30" t="str">
        <f aca="false">IF(OR(S110="判定不能",J110="判定不能"),"判定不能",IF(AJ110&gt;=判定条件!$C$9,"利用可",IF(AND(S110="停止",J110="停止"),"両方停止","運転がそろわない")))</f>
        <v>利用可</v>
      </c>
      <c r="AL110" s="30" t="n">
        <v>60</v>
      </c>
      <c r="AM110" s="30" t="n">
        <v>0</v>
      </c>
      <c r="AN110" s="30" t="str">
        <f aca="false">IF(OR(V110="判定不能",M110="判定不能"),"判定不能",IF(AM110&gt;=判定条件!$C$9,"利用可",IF(AND(V110="停止",M110="停止"),"両方停止","運転がそろわない")))</f>
        <v>運転がそろわない</v>
      </c>
      <c r="AO110" s="30" t="n">
        <v>60</v>
      </c>
      <c r="AP110" s="30" t="n">
        <v>60</v>
      </c>
      <c r="AQ110" s="30" t="str">
        <f aca="false">IF(OR(Y110="判定不能",G110="判定不能"),"判定不能",IF(AP110&gt;=判定条件!$C$9,"利用可",IF(AND(Y110="停止",G110="停止"),"両方停止","運転がそろわない")))</f>
        <v>利用可</v>
      </c>
      <c r="AR110" s="30" t="n">
        <v>60</v>
      </c>
      <c r="AS110" s="30" t="n">
        <v>48</v>
      </c>
      <c r="AT110" s="30" t="str">
        <f aca="false">IF(OR(AB110="判定不能",J110="判定不能"),"判定不能",IF(AS110&gt;=判定条件!$C$9,"利用可",IF(AND(AB110="停止",J110="停止"),"両方停止","運転がそろわない")))</f>
        <v>利用可</v>
      </c>
      <c r="AU110" s="30" t="n">
        <v>60</v>
      </c>
      <c r="AV110" s="30" t="n">
        <v>60</v>
      </c>
      <c r="AW110" s="30" t="str">
        <f aca="false">IF(OR(AE110="判定不能",M110="判定不能"),"判定不能",IF(AV110&gt;=判定条件!$C$9,"利用可",IF(AND(AE110="停止",M110="停止"),"両方停止","運転がそろわない")))</f>
        <v>利用可</v>
      </c>
      <c r="AX110" s="30" t="str">
        <f aca="false">IF(AND(AH110="利用可",AK110="利用可",AN110="利用可"),"利用可","不可")</f>
        <v>不可</v>
      </c>
      <c r="AY110" s="30" t="str">
        <f aca="false">IF(AND(AQ110="利用可",AT110="利用可",AW110="利用可"),"利用可","不可")</f>
        <v>利用可</v>
      </c>
    </row>
    <row r="111" customFormat="false" ht="15" hidden="false" customHeight="false" outlineLevel="0" collapsed="false">
      <c r="A111" s="29" t="n">
        <v>46236</v>
      </c>
      <c r="B111" s="30" t="n">
        <v>12</v>
      </c>
      <c r="C111" s="31" t="s">
        <v>65</v>
      </c>
      <c r="D111" s="31" t="s">
        <v>64</v>
      </c>
      <c r="E111" s="30" t="n">
        <v>60</v>
      </c>
      <c r="F111" s="30" t="n">
        <v>60</v>
      </c>
      <c r="G111" s="30" t="str">
        <f aca="false">IF(E111&lt;判定条件!$C$6,"判定不能",IF(F111&gt;=判定条件!$C$7*E111,"運転",IF(F111&lt;=判定条件!$C$8*E111,"停止","断続")))</f>
        <v>運転</v>
      </c>
      <c r="H111" s="30" t="n">
        <v>60</v>
      </c>
      <c r="I111" s="30" t="n">
        <v>60</v>
      </c>
      <c r="J111" s="30" t="str">
        <f aca="false">IF(H111&lt;判定条件!$C$6,"判定不能",IF(I111&gt;=判定条件!$C$7*H111,"運転",IF(I111&lt;=判定条件!$C$8*H111,"停止","断続")))</f>
        <v>運転</v>
      </c>
      <c r="K111" s="30" t="n">
        <v>60</v>
      </c>
      <c r="L111" s="30" t="n">
        <v>60</v>
      </c>
      <c r="M111" s="30" t="str">
        <f aca="false">IF(K111&lt;判定条件!$C$6,"判定不能",IF(L111&gt;=判定条件!$C$7*K111,"運転",IF(L111&lt;=判定条件!$C$8*K111,"停止","断続")))</f>
        <v>運転</v>
      </c>
      <c r="N111" s="30" t="n">
        <v>60</v>
      </c>
      <c r="O111" s="30" t="n">
        <v>60</v>
      </c>
      <c r="P111" s="30" t="str">
        <f aca="false">IF(N111&lt;判定条件!$C$6,"判定不能",IF(O111&gt;=判定条件!$C$7*N111,"運転",IF(O111&lt;=判定条件!$C$8*N111,"停止","断続")))</f>
        <v>運転</v>
      </c>
      <c r="Q111" s="30" t="n">
        <v>60</v>
      </c>
      <c r="R111" s="30" t="n">
        <v>39</v>
      </c>
      <c r="S111" s="30" t="str">
        <f aca="false">IF(Q111&lt;判定条件!$C$6,"判定不能",IF(R111&gt;=判定条件!$C$7*Q111,"運転",IF(R111&lt;=判定条件!$C$8*Q111,"停止","断続")))</f>
        <v>断続</v>
      </c>
      <c r="T111" s="30" t="n">
        <v>60</v>
      </c>
      <c r="U111" s="30" t="n">
        <v>0</v>
      </c>
      <c r="V111" s="30" t="str">
        <f aca="false">IF(T111&lt;判定条件!$C$6,"判定不能",IF(U111&gt;=判定条件!$C$7*T111,"運転",IF(U111&lt;=判定条件!$C$8*T111,"停止","断続")))</f>
        <v>停止</v>
      </c>
      <c r="W111" s="30" t="n">
        <v>60</v>
      </c>
      <c r="X111" s="30" t="n">
        <v>60</v>
      </c>
      <c r="Y111" s="30" t="str">
        <f aca="false">IF(W111&lt;判定条件!$C$6,"判定不能",IF(X111&gt;=判定条件!$C$7*W111,"運転",IF(X111&lt;=判定条件!$C$8*W111,"停止","断続")))</f>
        <v>運転</v>
      </c>
      <c r="Z111" s="30" t="n">
        <v>60</v>
      </c>
      <c r="AA111" s="30" t="n">
        <v>60</v>
      </c>
      <c r="AB111" s="30" t="str">
        <f aca="false">IF(Z111&lt;判定条件!$C$6,"判定不能",IF(AA111&gt;=判定条件!$C$7*Z111,"運転",IF(AA111&lt;=判定条件!$C$8*Z111,"停止","断続")))</f>
        <v>運転</v>
      </c>
      <c r="AC111" s="30" t="n">
        <v>60</v>
      </c>
      <c r="AD111" s="30" t="n">
        <v>60</v>
      </c>
      <c r="AE111" s="30" t="str">
        <f aca="false">IF(AC111&lt;判定条件!$C$6,"判定不能",IF(AD111&gt;=判定条件!$C$7*AC111,"運転",IF(AD111&lt;=判定条件!$C$8*AC111,"停止","断続")))</f>
        <v>運転</v>
      </c>
      <c r="AF111" s="30" t="n">
        <v>60</v>
      </c>
      <c r="AG111" s="30" t="n">
        <v>60</v>
      </c>
      <c r="AH111" s="30" t="str">
        <f aca="false">IF(OR(P111="判定不能",G111="判定不能"),"判定不能",IF(AG111&gt;=判定条件!$C$9,"利用可",IF(AND(P111="停止",G111="停止"),"両方停止","運転がそろわない")))</f>
        <v>利用可</v>
      </c>
      <c r="AI111" s="30" t="n">
        <v>60</v>
      </c>
      <c r="AJ111" s="30" t="n">
        <v>39</v>
      </c>
      <c r="AK111" s="30" t="str">
        <f aca="false">IF(OR(S111="判定不能",J111="判定不能"),"判定不能",IF(AJ111&gt;=判定条件!$C$9,"利用可",IF(AND(S111="停止",J111="停止"),"両方停止","運転がそろわない")))</f>
        <v>利用可</v>
      </c>
      <c r="AL111" s="30" t="n">
        <v>60</v>
      </c>
      <c r="AM111" s="30" t="n">
        <v>0</v>
      </c>
      <c r="AN111" s="30" t="str">
        <f aca="false">IF(OR(V111="判定不能",M111="判定不能"),"判定不能",IF(AM111&gt;=判定条件!$C$9,"利用可",IF(AND(V111="停止",M111="停止"),"両方停止","運転がそろわない")))</f>
        <v>運転がそろわない</v>
      </c>
      <c r="AO111" s="30" t="n">
        <v>60</v>
      </c>
      <c r="AP111" s="30" t="n">
        <v>60</v>
      </c>
      <c r="AQ111" s="30" t="str">
        <f aca="false">IF(OR(Y111="判定不能",G111="判定不能"),"判定不能",IF(AP111&gt;=判定条件!$C$9,"利用可",IF(AND(Y111="停止",G111="停止"),"両方停止","運転がそろわない")))</f>
        <v>利用可</v>
      </c>
      <c r="AR111" s="30" t="n">
        <v>60</v>
      </c>
      <c r="AS111" s="30" t="n">
        <v>60</v>
      </c>
      <c r="AT111" s="30" t="str">
        <f aca="false">IF(OR(AB111="判定不能",J111="判定不能"),"判定不能",IF(AS111&gt;=判定条件!$C$9,"利用可",IF(AND(AB111="停止",J111="停止"),"両方停止","運転がそろわない")))</f>
        <v>利用可</v>
      </c>
      <c r="AU111" s="30" t="n">
        <v>60</v>
      </c>
      <c r="AV111" s="30" t="n">
        <v>60</v>
      </c>
      <c r="AW111" s="30" t="str">
        <f aca="false">IF(OR(AE111="判定不能",M111="判定不能"),"判定不能",IF(AV111&gt;=判定条件!$C$9,"利用可",IF(AND(AE111="停止",M111="停止"),"両方停止","運転がそろわない")))</f>
        <v>利用可</v>
      </c>
      <c r="AX111" s="30" t="str">
        <f aca="false">IF(AND(AH111="利用可",AK111="利用可",AN111="利用可"),"利用可","不可")</f>
        <v>不可</v>
      </c>
      <c r="AY111" s="30" t="str">
        <f aca="false">IF(AND(AQ111="利用可",AT111="利用可",AW111="利用可"),"利用可","不可")</f>
        <v>利用可</v>
      </c>
    </row>
    <row r="112" customFormat="false" ht="15" hidden="false" customHeight="false" outlineLevel="0" collapsed="false">
      <c r="A112" s="29" t="n">
        <v>46236</v>
      </c>
      <c r="B112" s="30" t="n">
        <v>13</v>
      </c>
      <c r="C112" s="31" t="s">
        <v>65</v>
      </c>
      <c r="D112" s="31" t="s">
        <v>64</v>
      </c>
      <c r="E112" s="30" t="n">
        <v>60</v>
      </c>
      <c r="F112" s="30" t="n">
        <v>60</v>
      </c>
      <c r="G112" s="30" t="str">
        <f aca="false">IF(E112&lt;判定条件!$C$6,"判定不能",IF(F112&gt;=判定条件!$C$7*E112,"運転",IF(F112&lt;=判定条件!$C$8*E112,"停止","断続")))</f>
        <v>運転</v>
      </c>
      <c r="H112" s="30" t="n">
        <v>60</v>
      </c>
      <c r="I112" s="30" t="n">
        <v>60</v>
      </c>
      <c r="J112" s="30" t="str">
        <f aca="false">IF(H112&lt;判定条件!$C$6,"判定不能",IF(I112&gt;=判定条件!$C$7*H112,"運転",IF(I112&lt;=判定条件!$C$8*H112,"停止","断続")))</f>
        <v>運転</v>
      </c>
      <c r="K112" s="30" t="n">
        <v>60</v>
      </c>
      <c r="L112" s="30" t="n">
        <v>60</v>
      </c>
      <c r="M112" s="30" t="str">
        <f aca="false">IF(K112&lt;判定条件!$C$6,"判定不能",IF(L112&gt;=判定条件!$C$7*K112,"運転",IF(L112&lt;=判定条件!$C$8*K112,"停止","断続")))</f>
        <v>運転</v>
      </c>
      <c r="N112" s="30" t="n">
        <v>60</v>
      </c>
      <c r="O112" s="30" t="n">
        <v>60</v>
      </c>
      <c r="P112" s="30" t="str">
        <f aca="false">IF(N112&lt;判定条件!$C$6,"判定不能",IF(O112&gt;=判定条件!$C$7*N112,"運転",IF(O112&lt;=判定条件!$C$8*N112,"停止","断続")))</f>
        <v>運転</v>
      </c>
      <c r="Q112" s="30" t="n">
        <v>60</v>
      </c>
      <c r="R112" s="30" t="n">
        <v>24</v>
      </c>
      <c r="S112" s="30" t="str">
        <f aca="false">IF(Q112&lt;判定条件!$C$6,"判定不能",IF(R112&gt;=判定条件!$C$7*Q112,"運転",IF(R112&lt;=判定条件!$C$8*Q112,"停止","断続")))</f>
        <v>断続</v>
      </c>
      <c r="T112" s="30" t="n">
        <v>60</v>
      </c>
      <c r="U112" s="30" t="n">
        <v>0</v>
      </c>
      <c r="V112" s="30" t="str">
        <f aca="false">IF(T112&lt;判定条件!$C$6,"判定不能",IF(U112&gt;=判定条件!$C$7*T112,"運転",IF(U112&lt;=判定条件!$C$8*T112,"停止","断続")))</f>
        <v>停止</v>
      </c>
      <c r="W112" s="30" t="n">
        <v>60</v>
      </c>
      <c r="X112" s="30" t="n">
        <v>49</v>
      </c>
      <c r="Y112" s="30" t="str">
        <f aca="false">IF(W112&lt;判定条件!$C$6,"判定不能",IF(X112&gt;=判定条件!$C$7*W112,"運転",IF(X112&lt;=判定条件!$C$8*W112,"停止","断続")))</f>
        <v>運転</v>
      </c>
      <c r="Z112" s="30" t="n">
        <v>60</v>
      </c>
      <c r="AA112" s="30" t="n">
        <v>48</v>
      </c>
      <c r="AB112" s="30" t="str">
        <f aca="false">IF(Z112&lt;判定条件!$C$6,"判定不能",IF(AA112&gt;=判定条件!$C$7*Z112,"運転",IF(AA112&lt;=判定条件!$C$8*Z112,"停止","断続")))</f>
        <v>運転</v>
      </c>
      <c r="AC112" s="30" t="n">
        <v>60</v>
      </c>
      <c r="AD112" s="30" t="n">
        <v>60</v>
      </c>
      <c r="AE112" s="30" t="str">
        <f aca="false">IF(AC112&lt;判定条件!$C$6,"判定不能",IF(AD112&gt;=判定条件!$C$7*AC112,"運転",IF(AD112&lt;=判定条件!$C$8*AC112,"停止","断続")))</f>
        <v>運転</v>
      </c>
      <c r="AF112" s="30" t="n">
        <v>60</v>
      </c>
      <c r="AG112" s="30" t="n">
        <v>60</v>
      </c>
      <c r="AH112" s="30" t="str">
        <f aca="false">IF(OR(P112="判定不能",G112="判定不能"),"判定不能",IF(AG112&gt;=判定条件!$C$9,"利用可",IF(AND(P112="停止",G112="停止"),"両方停止","運転がそろわない")))</f>
        <v>利用可</v>
      </c>
      <c r="AI112" s="30" t="n">
        <v>60</v>
      </c>
      <c r="AJ112" s="30" t="n">
        <v>24</v>
      </c>
      <c r="AK112" s="30" t="str">
        <f aca="false">IF(OR(S112="判定不能",J112="判定不能"),"判定不能",IF(AJ112&gt;=判定条件!$C$9,"利用可",IF(AND(S112="停止",J112="停止"),"両方停止","運転がそろわない")))</f>
        <v>運転がそろわない</v>
      </c>
      <c r="AL112" s="30" t="n">
        <v>60</v>
      </c>
      <c r="AM112" s="30" t="n">
        <v>0</v>
      </c>
      <c r="AN112" s="30" t="str">
        <f aca="false">IF(OR(V112="判定不能",M112="判定不能"),"判定不能",IF(AM112&gt;=判定条件!$C$9,"利用可",IF(AND(V112="停止",M112="停止"),"両方停止","運転がそろわない")))</f>
        <v>運転がそろわない</v>
      </c>
      <c r="AO112" s="30" t="n">
        <v>60</v>
      </c>
      <c r="AP112" s="30" t="n">
        <v>49</v>
      </c>
      <c r="AQ112" s="30" t="str">
        <f aca="false">IF(OR(Y112="判定不能",G112="判定不能"),"判定不能",IF(AP112&gt;=判定条件!$C$9,"利用可",IF(AND(Y112="停止",G112="停止"),"両方停止","運転がそろわない")))</f>
        <v>利用可</v>
      </c>
      <c r="AR112" s="30" t="n">
        <v>60</v>
      </c>
      <c r="AS112" s="30" t="n">
        <v>48</v>
      </c>
      <c r="AT112" s="30" t="str">
        <f aca="false">IF(OR(AB112="判定不能",J112="判定不能"),"判定不能",IF(AS112&gt;=判定条件!$C$9,"利用可",IF(AND(AB112="停止",J112="停止"),"両方停止","運転がそろわない")))</f>
        <v>利用可</v>
      </c>
      <c r="AU112" s="30" t="n">
        <v>60</v>
      </c>
      <c r="AV112" s="30" t="n">
        <v>60</v>
      </c>
      <c r="AW112" s="30" t="str">
        <f aca="false">IF(OR(AE112="判定不能",M112="判定不能"),"判定不能",IF(AV112&gt;=判定条件!$C$9,"利用可",IF(AND(AE112="停止",M112="停止"),"両方停止","運転がそろわない")))</f>
        <v>利用可</v>
      </c>
      <c r="AX112" s="30" t="str">
        <f aca="false">IF(AND(AH112="利用可",AK112="利用可",AN112="利用可"),"利用可","不可")</f>
        <v>不可</v>
      </c>
      <c r="AY112" s="30" t="str">
        <f aca="false">IF(AND(AQ112="利用可",AT112="利用可",AW112="利用可"),"利用可","不可")</f>
        <v>利用可</v>
      </c>
    </row>
    <row r="113" customFormat="false" ht="15" hidden="false" customHeight="false" outlineLevel="0" collapsed="false">
      <c r="A113" s="29" t="n">
        <v>46236</v>
      </c>
      <c r="B113" s="30" t="n">
        <v>14</v>
      </c>
      <c r="C113" s="31" t="s">
        <v>65</v>
      </c>
      <c r="D113" s="31" t="s">
        <v>64</v>
      </c>
      <c r="E113" s="30" t="n">
        <v>60</v>
      </c>
      <c r="F113" s="30" t="n">
        <v>60</v>
      </c>
      <c r="G113" s="30" t="str">
        <f aca="false">IF(E113&lt;判定条件!$C$6,"判定不能",IF(F113&gt;=判定条件!$C$7*E113,"運転",IF(F113&lt;=判定条件!$C$8*E113,"停止","断続")))</f>
        <v>運転</v>
      </c>
      <c r="H113" s="30" t="n">
        <v>60</v>
      </c>
      <c r="I113" s="30" t="n">
        <v>60</v>
      </c>
      <c r="J113" s="30" t="str">
        <f aca="false">IF(H113&lt;判定条件!$C$6,"判定不能",IF(I113&gt;=判定条件!$C$7*H113,"運転",IF(I113&lt;=判定条件!$C$8*H113,"停止","断続")))</f>
        <v>運転</v>
      </c>
      <c r="K113" s="30" t="n">
        <v>60</v>
      </c>
      <c r="L113" s="30" t="n">
        <v>60</v>
      </c>
      <c r="M113" s="30" t="str">
        <f aca="false">IF(K113&lt;判定条件!$C$6,"判定不能",IF(L113&gt;=判定条件!$C$7*K113,"運転",IF(L113&lt;=判定条件!$C$8*K113,"停止","断続")))</f>
        <v>運転</v>
      </c>
      <c r="N113" s="30" t="n">
        <v>60</v>
      </c>
      <c r="O113" s="30" t="n">
        <v>60</v>
      </c>
      <c r="P113" s="30" t="str">
        <f aca="false">IF(N113&lt;判定条件!$C$6,"判定不能",IF(O113&gt;=判定条件!$C$7*N113,"運転",IF(O113&lt;=判定条件!$C$8*N113,"停止","断続")))</f>
        <v>運転</v>
      </c>
      <c r="Q113" s="30" t="n">
        <v>60</v>
      </c>
      <c r="R113" s="30" t="n">
        <v>11</v>
      </c>
      <c r="S113" s="30" t="str">
        <f aca="false">IF(Q113&lt;判定条件!$C$6,"判定不能",IF(R113&gt;=判定条件!$C$7*Q113,"運転",IF(R113&lt;=判定条件!$C$8*Q113,"停止","断続")))</f>
        <v>停止</v>
      </c>
      <c r="T113" s="30" t="n">
        <v>60</v>
      </c>
      <c r="U113" s="30" t="n">
        <v>0</v>
      </c>
      <c r="V113" s="30" t="str">
        <f aca="false">IF(T113&lt;判定条件!$C$6,"判定不能",IF(U113&gt;=判定条件!$C$7*T113,"運転",IF(U113&lt;=判定条件!$C$8*T113,"停止","断続")))</f>
        <v>停止</v>
      </c>
      <c r="W113" s="30" t="n">
        <v>60</v>
      </c>
      <c r="X113" s="30" t="n">
        <v>39</v>
      </c>
      <c r="Y113" s="30" t="str">
        <f aca="false">IF(W113&lt;判定条件!$C$6,"判定不能",IF(X113&gt;=判定条件!$C$7*W113,"運転",IF(X113&lt;=判定条件!$C$8*W113,"停止","断続")))</f>
        <v>断続</v>
      </c>
      <c r="Z113" s="30" t="n">
        <v>60</v>
      </c>
      <c r="AA113" s="30" t="n">
        <v>41</v>
      </c>
      <c r="AB113" s="30" t="str">
        <f aca="false">IF(Z113&lt;判定条件!$C$6,"判定不能",IF(AA113&gt;=判定条件!$C$7*Z113,"運転",IF(AA113&lt;=判定条件!$C$8*Z113,"停止","断続")))</f>
        <v>断続</v>
      </c>
      <c r="AC113" s="30" t="n">
        <v>60</v>
      </c>
      <c r="AD113" s="30" t="n">
        <v>60</v>
      </c>
      <c r="AE113" s="30" t="str">
        <f aca="false">IF(AC113&lt;判定条件!$C$6,"判定不能",IF(AD113&gt;=判定条件!$C$7*AC113,"運転",IF(AD113&lt;=判定条件!$C$8*AC113,"停止","断続")))</f>
        <v>運転</v>
      </c>
      <c r="AF113" s="30" t="n">
        <v>60</v>
      </c>
      <c r="AG113" s="30" t="n">
        <v>60</v>
      </c>
      <c r="AH113" s="30" t="str">
        <f aca="false">IF(OR(P113="判定不能",G113="判定不能"),"判定不能",IF(AG113&gt;=判定条件!$C$9,"利用可",IF(AND(P113="停止",G113="停止"),"両方停止","運転がそろわない")))</f>
        <v>利用可</v>
      </c>
      <c r="AI113" s="30" t="n">
        <v>60</v>
      </c>
      <c r="AJ113" s="30" t="n">
        <v>11</v>
      </c>
      <c r="AK113" s="30" t="str">
        <f aca="false">IF(OR(S113="判定不能",J113="判定不能"),"判定不能",IF(AJ113&gt;=判定条件!$C$9,"利用可",IF(AND(S113="停止",J113="停止"),"両方停止","運転がそろわない")))</f>
        <v>運転がそろわない</v>
      </c>
      <c r="AL113" s="30" t="n">
        <v>60</v>
      </c>
      <c r="AM113" s="30" t="n">
        <v>0</v>
      </c>
      <c r="AN113" s="30" t="str">
        <f aca="false">IF(OR(V113="判定不能",M113="判定不能"),"判定不能",IF(AM113&gt;=判定条件!$C$9,"利用可",IF(AND(V113="停止",M113="停止"),"両方停止","運転がそろわない")))</f>
        <v>運転がそろわない</v>
      </c>
      <c r="AO113" s="30" t="n">
        <v>60</v>
      </c>
      <c r="AP113" s="30" t="n">
        <v>39</v>
      </c>
      <c r="AQ113" s="30" t="str">
        <f aca="false">IF(OR(Y113="判定不能",G113="判定不能"),"判定不能",IF(AP113&gt;=判定条件!$C$9,"利用可",IF(AND(Y113="停止",G113="停止"),"両方停止","運転がそろわない")))</f>
        <v>利用可</v>
      </c>
      <c r="AR113" s="30" t="n">
        <v>60</v>
      </c>
      <c r="AS113" s="30" t="n">
        <v>41</v>
      </c>
      <c r="AT113" s="30" t="str">
        <f aca="false">IF(OR(AB113="判定不能",J113="判定不能"),"判定不能",IF(AS113&gt;=判定条件!$C$9,"利用可",IF(AND(AB113="停止",J113="停止"),"両方停止","運転がそろわない")))</f>
        <v>利用可</v>
      </c>
      <c r="AU113" s="30" t="n">
        <v>60</v>
      </c>
      <c r="AV113" s="30" t="n">
        <v>60</v>
      </c>
      <c r="AW113" s="30" t="str">
        <f aca="false">IF(OR(AE113="判定不能",M113="判定不能"),"判定不能",IF(AV113&gt;=判定条件!$C$9,"利用可",IF(AND(AE113="停止",M113="停止"),"両方停止","運転がそろわない")))</f>
        <v>利用可</v>
      </c>
      <c r="AX113" s="30" t="str">
        <f aca="false">IF(AND(AH113="利用可",AK113="利用可",AN113="利用可"),"利用可","不可")</f>
        <v>不可</v>
      </c>
      <c r="AY113" s="30" t="str">
        <f aca="false">IF(AND(AQ113="利用可",AT113="利用可",AW113="利用可"),"利用可","不可")</f>
        <v>利用可</v>
      </c>
    </row>
    <row r="114" customFormat="false" ht="15" hidden="false" customHeight="false" outlineLevel="0" collapsed="false">
      <c r="A114" s="29" t="n">
        <v>46236</v>
      </c>
      <c r="B114" s="30" t="n">
        <v>15</v>
      </c>
      <c r="C114" s="31" t="s">
        <v>65</v>
      </c>
      <c r="D114" s="31" t="s">
        <v>64</v>
      </c>
      <c r="E114" s="30" t="n">
        <v>60</v>
      </c>
      <c r="F114" s="30" t="n">
        <v>60</v>
      </c>
      <c r="G114" s="30" t="str">
        <f aca="false">IF(E114&lt;判定条件!$C$6,"判定不能",IF(F114&gt;=判定条件!$C$7*E114,"運転",IF(F114&lt;=判定条件!$C$8*E114,"停止","断続")))</f>
        <v>運転</v>
      </c>
      <c r="H114" s="30" t="n">
        <v>60</v>
      </c>
      <c r="I114" s="30" t="n">
        <v>60</v>
      </c>
      <c r="J114" s="30" t="str">
        <f aca="false">IF(H114&lt;判定条件!$C$6,"判定不能",IF(I114&gt;=判定条件!$C$7*H114,"運転",IF(I114&lt;=判定条件!$C$8*H114,"停止","断続")))</f>
        <v>運転</v>
      </c>
      <c r="K114" s="30" t="n">
        <v>60</v>
      </c>
      <c r="L114" s="30" t="n">
        <v>60</v>
      </c>
      <c r="M114" s="30" t="str">
        <f aca="false">IF(K114&lt;判定条件!$C$6,"判定不能",IF(L114&gt;=判定条件!$C$7*K114,"運転",IF(L114&lt;=判定条件!$C$8*K114,"停止","断続")))</f>
        <v>運転</v>
      </c>
      <c r="N114" s="30" t="n">
        <v>60</v>
      </c>
      <c r="O114" s="30" t="n">
        <v>60</v>
      </c>
      <c r="P114" s="30" t="str">
        <f aca="false">IF(N114&lt;判定条件!$C$6,"判定不能",IF(O114&gt;=判定条件!$C$7*N114,"運転",IF(O114&lt;=判定条件!$C$8*N114,"停止","断続")))</f>
        <v>運転</v>
      </c>
      <c r="Q114" s="30" t="n">
        <v>60</v>
      </c>
      <c r="R114" s="30" t="n">
        <v>0</v>
      </c>
      <c r="S114" s="30" t="str">
        <f aca="false">IF(Q114&lt;判定条件!$C$6,"判定不能",IF(R114&gt;=判定条件!$C$7*Q114,"運転",IF(R114&lt;=判定条件!$C$8*Q114,"停止","断続")))</f>
        <v>停止</v>
      </c>
      <c r="T114" s="30" t="n">
        <v>60</v>
      </c>
      <c r="U114" s="30" t="n">
        <v>0</v>
      </c>
      <c r="V114" s="30" t="str">
        <f aca="false">IF(T114&lt;判定条件!$C$6,"判定不能",IF(U114&gt;=判定条件!$C$7*T114,"運転",IF(U114&lt;=判定条件!$C$8*T114,"停止","断続")))</f>
        <v>停止</v>
      </c>
      <c r="W114" s="30" t="n">
        <v>60</v>
      </c>
      <c r="X114" s="30" t="n">
        <v>60</v>
      </c>
      <c r="Y114" s="30" t="str">
        <f aca="false">IF(W114&lt;判定条件!$C$6,"判定不能",IF(X114&gt;=判定条件!$C$7*W114,"運転",IF(X114&lt;=判定条件!$C$8*W114,"停止","断続")))</f>
        <v>運転</v>
      </c>
      <c r="Z114" s="30" t="n">
        <v>60</v>
      </c>
      <c r="AA114" s="30" t="n">
        <v>43</v>
      </c>
      <c r="AB114" s="30" t="str">
        <f aca="false">IF(Z114&lt;判定条件!$C$6,"判定不能",IF(AA114&gt;=判定条件!$C$7*Z114,"運転",IF(AA114&lt;=判定条件!$C$8*Z114,"停止","断続")))</f>
        <v>断続</v>
      </c>
      <c r="AC114" s="30" t="n">
        <v>60</v>
      </c>
      <c r="AD114" s="30" t="n">
        <v>60</v>
      </c>
      <c r="AE114" s="30" t="str">
        <f aca="false">IF(AC114&lt;判定条件!$C$6,"判定不能",IF(AD114&gt;=判定条件!$C$7*AC114,"運転",IF(AD114&lt;=判定条件!$C$8*AC114,"停止","断続")))</f>
        <v>運転</v>
      </c>
      <c r="AF114" s="30" t="n">
        <v>60</v>
      </c>
      <c r="AG114" s="30" t="n">
        <v>60</v>
      </c>
      <c r="AH114" s="30" t="str">
        <f aca="false">IF(OR(P114="判定不能",G114="判定不能"),"判定不能",IF(AG114&gt;=判定条件!$C$9,"利用可",IF(AND(P114="停止",G114="停止"),"両方停止","運転がそろわない")))</f>
        <v>利用可</v>
      </c>
      <c r="AI114" s="30" t="n">
        <v>60</v>
      </c>
      <c r="AJ114" s="30" t="n">
        <v>0</v>
      </c>
      <c r="AK114" s="30" t="str">
        <f aca="false">IF(OR(S114="判定不能",J114="判定不能"),"判定不能",IF(AJ114&gt;=判定条件!$C$9,"利用可",IF(AND(S114="停止",J114="停止"),"両方停止","運転がそろわない")))</f>
        <v>運転がそろわない</v>
      </c>
      <c r="AL114" s="30" t="n">
        <v>60</v>
      </c>
      <c r="AM114" s="30" t="n">
        <v>0</v>
      </c>
      <c r="AN114" s="30" t="str">
        <f aca="false">IF(OR(V114="判定不能",M114="判定不能"),"判定不能",IF(AM114&gt;=判定条件!$C$9,"利用可",IF(AND(V114="停止",M114="停止"),"両方停止","運転がそろわない")))</f>
        <v>運転がそろわない</v>
      </c>
      <c r="AO114" s="30" t="n">
        <v>60</v>
      </c>
      <c r="AP114" s="30" t="n">
        <v>60</v>
      </c>
      <c r="AQ114" s="30" t="str">
        <f aca="false">IF(OR(Y114="判定不能",G114="判定不能"),"判定不能",IF(AP114&gt;=判定条件!$C$9,"利用可",IF(AND(Y114="停止",G114="停止"),"両方停止","運転がそろわない")))</f>
        <v>利用可</v>
      </c>
      <c r="AR114" s="30" t="n">
        <v>60</v>
      </c>
      <c r="AS114" s="30" t="n">
        <v>43</v>
      </c>
      <c r="AT114" s="30" t="str">
        <f aca="false">IF(OR(AB114="判定不能",J114="判定不能"),"判定不能",IF(AS114&gt;=判定条件!$C$9,"利用可",IF(AND(AB114="停止",J114="停止"),"両方停止","運転がそろわない")))</f>
        <v>利用可</v>
      </c>
      <c r="AU114" s="30" t="n">
        <v>60</v>
      </c>
      <c r="AV114" s="30" t="n">
        <v>60</v>
      </c>
      <c r="AW114" s="30" t="str">
        <f aca="false">IF(OR(AE114="判定不能",M114="判定不能"),"判定不能",IF(AV114&gt;=判定条件!$C$9,"利用可",IF(AND(AE114="停止",M114="停止"),"両方停止","運転がそろわない")))</f>
        <v>利用可</v>
      </c>
      <c r="AX114" s="30" t="str">
        <f aca="false">IF(AND(AH114="利用可",AK114="利用可",AN114="利用可"),"利用可","不可")</f>
        <v>不可</v>
      </c>
      <c r="AY114" s="30" t="str">
        <f aca="false">IF(AND(AQ114="利用可",AT114="利用可",AW114="利用可"),"利用可","不可")</f>
        <v>利用可</v>
      </c>
    </row>
    <row r="115" customFormat="false" ht="15" hidden="false" customHeight="false" outlineLevel="0" collapsed="false">
      <c r="A115" s="29" t="n">
        <v>46236</v>
      </c>
      <c r="B115" s="30" t="n">
        <v>16</v>
      </c>
      <c r="C115" s="31" t="s">
        <v>65</v>
      </c>
      <c r="D115" s="31" t="s">
        <v>64</v>
      </c>
      <c r="E115" s="30" t="n">
        <v>60</v>
      </c>
      <c r="F115" s="30" t="n">
        <v>60</v>
      </c>
      <c r="G115" s="30" t="str">
        <f aca="false">IF(E115&lt;判定条件!$C$6,"判定不能",IF(F115&gt;=判定条件!$C$7*E115,"運転",IF(F115&lt;=判定条件!$C$8*E115,"停止","断続")))</f>
        <v>運転</v>
      </c>
      <c r="H115" s="30" t="n">
        <v>60</v>
      </c>
      <c r="I115" s="30" t="n">
        <v>60</v>
      </c>
      <c r="J115" s="30" t="str">
        <f aca="false">IF(H115&lt;判定条件!$C$6,"判定不能",IF(I115&gt;=判定条件!$C$7*H115,"運転",IF(I115&lt;=判定条件!$C$8*H115,"停止","断続")))</f>
        <v>運転</v>
      </c>
      <c r="K115" s="30" t="n">
        <v>60</v>
      </c>
      <c r="L115" s="30" t="n">
        <v>60</v>
      </c>
      <c r="M115" s="30" t="str">
        <f aca="false">IF(K115&lt;判定条件!$C$6,"判定不能",IF(L115&gt;=判定条件!$C$7*K115,"運転",IF(L115&lt;=判定条件!$C$8*K115,"停止","断続")))</f>
        <v>運転</v>
      </c>
      <c r="N115" s="30" t="n">
        <v>60</v>
      </c>
      <c r="O115" s="30" t="n">
        <v>60</v>
      </c>
      <c r="P115" s="30" t="str">
        <f aca="false">IF(N115&lt;判定条件!$C$6,"判定不能",IF(O115&gt;=判定条件!$C$7*N115,"運転",IF(O115&lt;=判定条件!$C$8*N115,"停止","断続")))</f>
        <v>運転</v>
      </c>
      <c r="Q115" s="30" t="n">
        <v>60</v>
      </c>
      <c r="R115" s="30" t="n">
        <v>0</v>
      </c>
      <c r="S115" s="30" t="str">
        <f aca="false">IF(Q115&lt;判定条件!$C$6,"判定不能",IF(R115&gt;=判定条件!$C$7*Q115,"運転",IF(R115&lt;=判定条件!$C$8*Q115,"停止","断続")))</f>
        <v>停止</v>
      </c>
      <c r="T115" s="30" t="n">
        <v>60</v>
      </c>
      <c r="U115" s="30" t="n">
        <v>0</v>
      </c>
      <c r="V115" s="30" t="str">
        <f aca="false">IF(T115&lt;判定条件!$C$6,"判定不能",IF(U115&gt;=判定条件!$C$7*T115,"運転",IF(U115&lt;=判定条件!$C$8*T115,"停止","断続")))</f>
        <v>停止</v>
      </c>
      <c r="W115" s="30" t="n">
        <v>60</v>
      </c>
      <c r="X115" s="30" t="n">
        <v>53</v>
      </c>
      <c r="Y115" s="30" t="str">
        <f aca="false">IF(W115&lt;判定条件!$C$6,"判定不能",IF(X115&gt;=判定条件!$C$7*W115,"運転",IF(X115&lt;=判定条件!$C$8*W115,"停止","断続")))</f>
        <v>運転</v>
      </c>
      <c r="Z115" s="30" t="n">
        <v>60</v>
      </c>
      <c r="AA115" s="30" t="n">
        <v>30</v>
      </c>
      <c r="AB115" s="30" t="str">
        <f aca="false">IF(Z115&lt;判定条件!$C$6,"判定不能",IF(AA115&gt;=判定条件!$C$7*Z115,"運転",IF(AA115&lt;=判定条件!$C$8*Z115,"停止","断続")))</f>
        <v>断続</v>
      </c>
      <c r="AC115" s="30" t="n">
        <v>60</v>
      </c>
      <c r="AD115" s="30" t="n">
        <v>60</v>
      </c>
      <c r="AE115" s="30" t="str">
        <f aca="false">IF(AC115&lt;判定条件!$C$6,"判定不能",IF(AD115&gt;=判定条件!$C$7*AC115,"運転",IF(AD115&lt;=判定条件!$C$8*AC115,"停止","断続")))</f>
        <v>運転</v>
      </c>
      <c r="AF115" s="30" t="n">
        <v>60</v>
      </c>
      <c r="AG115" s="30" t="n">
        <v>60</v>
      </c>
      <c r="AH115" s="30" t="str">
        <f aca="false">IF(OR(P115="判定不能",G115="判定不能"),"判定不能",IF(AG115&gt;=判定条件!$C$9,"利用可",IF(AND(P115="停止",G115="停止"),"両方停止","運転がそろわない")))</f>
        <v>利用可</v>
      </c>
      <c r="AI115" s="30" t="n">
        <v>60</v>
      </c>
      <c r="AJ115" s="30" t="n">
        <v>0</v>
      </c>
      <c r="AK115" s="30" t="str">
        <f aca="false">IF(OR(S115="判定不能",J115="判定不能"),"判定不能",IF(AJ115&gt;=判定条件!$C$9,"利用可",IF(AND(S115="停止",J115="停止"),"両方停止","運転がそろわない")))</f>
        <v>運転がそろわない</v>
      </c>
      <c r="AL115" s="30" t="n">
        <v>60</v>
      </c>
      <c r="AM115" s="30" t="n">
        <v>0</v>
      </c>
      <c r="AN115" s="30" t="str">
        <f aca="false">IF(OR(V115="判定不能",M115="判定不能"),"判定不能",IF(AM115&gt;=判定条件!$C$9,"利用可",IF(AND(V115="停止",M115="停止"),"両方停止","運転がそろわない")))</f>
        <v>運転がそろわない</v>
      </c>
      <c r="AO115" s="30" t="n">
        <v>60</v>
      </c>
      <c r="AP115" s="30" t="n">
        <v>53</v>
      </c>
      <c r="AQ115" s="30" t="str">
        <f aca="false">IF(OR(Y115="判定不能",G115="判定不能"),"判定不能",IF(AP115&gt;=判定条件!$C$9,"利用可",IF(AND(Y115="停止",G115="停止"),"両方停止","運転がそろわない")))</f>
        <v>利用可</v>
      </c>
      <c r="AR115" s="30" t="n">
        <v>60</v>
      </c>
      <c r="AS115" s="30" t="n">
        <v>30</v>
      </c>
      <c r="AT115" s="30" t="str">
        <f aca="false">IF(OR(AB115="判定不能",J115="判定不能"),"判定不能",IF(AS115&gt;=判定条件!$C$9,"利用可",IF(AND(AB115="停止",J115="停止"),"両方停止","運転がそろわない")))</f>
        <v>利用可</v>
      </c>
      <c r="AU115" s="30" t="n">
        <v>60</v>
      </c>
      <c r="AV115" s="30" t="n">
        <v>60</v>
      </c>
      <c r="AW115" s="30" t="str">
        <f aca="false">IF(OR(AE115="判定不能",M115="判定不能"),"判定不能",IF(AV115&gt;=判定条件!$C$9,"利用可",IF(AND(AE115="停止",M115="停止"),"両方停止","運転がそろわない")))</f>
        <v>利用可</v>
      </c>
      <c r="AX115" s="30" t="str">
        <f aca="false">IF(AND(AH115="利用可",AK115="利用可",AN115="利用可"),"利用可","不可")</f>
        <v>不可</v>
      </c>
      <c r="AY115" s="30" t="str">
        <f aca="false">IF(AND(AQ115="利用可",AT115="利用可",AW115="利用可"),"利用可","不可")</f>
        <v>利用可</v>
      </c>
    </row>
    <row r="116" customFormat="false" ht="15" hidden="false" customHeight="false" outlineLevel="0" collapsed="false">
      <c r="A116" s="29" t="n">
        <v>46236</v>
      </c>
      <c r="B116" s="30" t="n">
        <v>17</v>
      </c>
      <c r="C116" s="31" t="s">
        <v>65</v>
      </c>
      <c r="D116" s="31" t="s">
        <v>64</v>
      </c>
      <c r="E116" s="30" t="n">
        <v>60</v>
      </c>
      <c r="F116" s="30" t="n">
        <v>60</v>
      </c>
      <c r="G116" s="30" t="str">
        <f aca="false">IF(E116&lt;判定条件!$C$6,"判定不能",IF(F116&gt;=判定条件!$C$7*E116,"運転",IF(F116&lt;=判定条件!$C$8*E116,"停止","断続")))</f>
        <v>運転</v>
      </c>
      <c r="H116" s="30" t="n">
        <v>60</v>
      </c>
      <c r="I116" s="30" t="n">
        <v>60</v>
      </c>
      <c r="J116" s="30" t="str">
        <f aca="false">IF(H116&lt;判定条件!$C$6,"判定不能",IF(I116&gt;=判定条件!$C$7*H116,"運転",IF(I116&lt;=判定条件!$C$8*H116,"停止","断続")))</f>
        <v>運転</v>
      </c>
      <c r="K116" s="30" t="n">
        <v>60</v>
      </c>
      <c r="L116" s="30" t="n">
        <v>60</v>
      </c>
      <c r="M116" s="30" t="str">
        <f aca="false">IF(K116&lt;判定条件!$C$6,"判定不能",IF(L116&gt;=判定条件!$C$7*K116,"運転",IF(L116&lt;=判定条件!$C$8*K116,"停止","断続")))</f>
        <v>運転</v>
      </c>
      <c r="N116" s="30" t="n">
        <v>60</v>
      </c>
      <c r="O116" s="30" t="n">
        <v>58</v>
      </c>
      <c r="P116" s="30" t="str">
        <f aca="false">IF(N116&lt;判定条件!$C$6,"判定不能",IF(O116&gt;=判定条件!$C$7*N116,"運転",IF(O116&lt;=判定条件!$C$8*N116,"停止","断続")))</f>
        <v>運転</v>
      </c>
      <c r="Q116" s="30" t="n">
        <v>60</v>
      </c>
      <c r="R116" s="30" t="n">
        <v>0</v>
      </c>
      <c r="S116" s="30" t="str">
        <f aca="false">IF(Q116&lt;判定条件!$C$6,"判定不能",IF(R116&gt;=判定条件!$C$7*Q116,"運転",IF(R116&lt;=判定条件!$C$8*Q116,"停止","断続")))</f>
        <v>停止</v>
      </c>
      <c r="T116" s="30" t="n">
        <v>60</v>
      </c>
      <c r="U116" s="30" t="n">
        <v>0</v>
      </c>
      <c r="V116" s="30" t="str">
        <f aca="false">IF(T116&lt;判定条件!$C$6,"判定不能",IF(U116&gt;=判定条件!$C$7*T116,"運転",IF(U116&lt;=判定条件!$C$8*T116,"停止","断続")))</f>
        <v>停止</v>
      </c>
      <c r="W116" s="30" t="n">
        <v>60</v>
      </c>
      <c r="X116" s="30" t="n">
        <v>41</v>
      </c>
      <c r="Y116" s="30" t="str">
        <f aca="false">IF(W116&lt;判定条件!$C$6,"判定不能",IF(X116&gt;=判定条件!$C$7*W116,"運転",IF(X116&lt;=判定条件!$C$8*W116,"停止","断続")))</f>
        <v>断続</v>
      </c>
      <c r="Z116" s="30" t="n">
        <v>60</v>
      </c>
      <c r="AA116" s="30" t="n">
        <v>30</v>
      </c>
      <c r="AB116" s="30" t="str">
        <f aca="false">IF(Z116&lt;判定条件!$C$6,"判定不能",IF(AA116&gt;=判定条件!$C$7*Z116,"運転",IF(AA116&lt;=判定条件!$C$8*Z116,"停止","断続")))</f>
        <v>断続</v>
      </c>
      <c r="AC116" s="30" t="n">
        <v>60</v>
      </c>
      <c r="AD116" s="30" t="n">
        <v>45</v>
      </c>
      <c r="AE116" s="30" t="str">
        <f aca="false">IF(AC116&lt;判定条件!$C$6,"判定不能",IF(AD116&gt;=判定条件!$C$7*AC116,"運転",IF(AD116&lt;=判定条件!$C$8*AC116,"停止","断続")))</f>
        <v>断続</v>
      </c>
      <c r="AF116" s="30" t="n">
        <v>60</v>
      </c>
      <c r="AG116" s="30" t="n">
        <v>58</v>
      </c>
      <c r="AH116" s="30" t="str">
        <f aca="false">IF(OR(P116="判定不能",G116="判定不能"),"判定不能",IF(AG116&gt;=判定条件!$C$9,"利用可",IF(AND(P116="停止",G116="停止"),"両方停止","運転がそろわない")))</f>
        <v>利用可</v>
      </c>
      <c r="AI116" s="30" t="n">
        <v>60</v>
      </c>
      <c r="AJ116" s="30" t="n">
        <v>0</v>
      </c>
      <c r="AK116" s="30" t="str">
        <f aca="false">IF(OR(S116="判定不能",J116="判定不能"),"判定不能",IF(AJ116&gt;=判定条件!$C$9,"利用可",IF(AND(S116="停止",J116="停止"),"両方停止","運転がそろわない")))</f>
        <v>運転がそろわない</v>
      </c>
      <c r="AL116" s="30" t="n">
        <v>60</v>
      </c>
      <c r="AM116" s="30" t="n">
        <v>0</v>
      </c>
      <c r="AN116" s="30" t="str">
        <f aca="false">IF(OR(V116="判定不能",M116="判定不能"),"判定不能",IF(AM116&gt;=判定条件!$C$9,"利用可",IF(AND(V116="停止",M116="停止"),"両方停止","運転がそろわない")))</f>
        <v>運転がそろわない</v>
      </c>
      <c r="AO116" s="30" t="n">
        <v>60</v>
      </c>
      <c r="AP116" s="30" t="n">
        <v>41</v>
      </c>
      <c r="AQ116" s="30" t="str">
        <f aca="false">IF(OR(Y116="判定不能",G116="判定不能"),"判定不能",IF(AP116&gt;=判定条件!$C$9,"利用可",IF(AND(Y116="停止",G116="停止"),"両方停止","運転がそろわない")))</f>
        <v>利用可</v>
      </c>
      <c r="AR116" s="30" t="n">
        <v>60</v>
      </c>
      <c r="AS116" s="30" t="n">
        <v>30</v>
      </c>
      <c r="AT116" s="30" t="str">
        <f aca="false">IF(OR(AB116="判定不能",J116="判定不能"),"判定不能",IF(AS116&gt;=判定条件!$C$9,"利用可",IF(AND(AB116="停止",J116="停止"),"両方停止","運転がそろわない")))</f>
        <v>利用可</v>
      </c>
      <c r="AU116" s="30" t="n">
        <v>60</v>
      </c>
      <c r="AV116" s="30" t="n">
        <v>45</v>
      </c>
      <c r="AW116" s="30" t="str">
        <f aca="false">IF(OR(AE116="判定不能",M116="判定不能"),"判定不能",IF(AV116&gt;=判定条件!$C$9,"利用可",IF(AND(AE116="停止",M116="停止"),"両方停止","運転がそろわない")))</f>
        <v>利用可</v>
      </c>
      <c r="AX116" s="30" t="str">
        <f aca="false">IF(AND(AH116="利用可",AK116="利用可",AN116="利用可"),"利用可","不可")</f>
        <v>不可</v>
      </c>
      <c r="AY116" s="30" t="str">
        <f aca="false">IF(AND(AQ116="利用可",AT116="利用可",AW116="利用可"),"利用可","不可")</f>
        <v>利用可</v>
      </c>
    </row>
    <row r="117" customFormat="false" ht="15" hidden="false" customHeight="false" outlineLevel="0" collapsed="false">
      <c r="A117" s="29" t="n">
        <v>46236</v>
      </c>
      <c r="B117" s="30" t="n">
        <v>18</v>
      </c>
      <c r="C117" s="31" t="s">
        <v>65</v>
      </c>
      <c r="D117" s="31" t="s">
        <v>64</v>
      </c>
      <c r="E117" s="30" t="n">
        <v>60</v>
      </c>
      <c r="F117" s="30" t="n">
        <v>60</v>
      </c>
      <c r="G117" s="30" t="str">
        <f aca="false">IF(E117&lt;判定条件!$C$6,"判定不能",IF(F117&gt;=判定条件!$C$7*E117,"運転",IF(F117&lt;=判定条件!$C$8*E117,"停止","断続")))</f>
        <v>運転</v>
      </c>
      <c r="H117" s="30" t="n">
        <v>60</v>
      </c>
      <c r="I117" s="30" t="n">
        <v>60</v>
      </c>
      <c r="J117" s="30" t="str">
        <f aca="false">IF(H117&lt;判定条件!$C$6,"判定不能",IF(I117&gt;=判定条件!$C$7*H117,"運転",IF(I117&lt;=判定条件!$C$8*H117,"停止","断続")))</f>
        <v>運転</v>
      </c>
      <c r="K117" s="30" t="n">
        <v>60</v>
      </c>
      <c r="L117" s="30" t="n">
        <v>60</v>
      </c>
      <c r="M117" s="30" t="str">
        <f aca="false">IF(K117&lt;判定条件!$C$6,"判定不能",IF(L117&gt;=判定条件!$C$7*K117,"運転",IF(L117&lt;=判定条件!$C$8*K117,"停止","断続")))</f>
        <v>運転</v>
      </c>
      <c r="N117" s="30" t="n">
        <v>60</v>
      </c>
      <c r="O117" s="30" t="n">
        <v>0</v>
      </c>
      <c r="P117" s="30" t="str">
        <f aca="false">IF(N117&lt;判定条件!$C$6,"判定不能",IF(O117&gt;=判定条件!$C$7*N117,"運転",IF(O117&lt;=判定条件!$C$8*N117,"停止","断続")))</f>
        <v>停止</v>
      </c>
      <c r="Q117" s="30" t="n">
        <v>60</v>
      </c>
      <c r="R117" s="30" t="n">
        <v>0</v>
      </c>
      <c r="S117" s="30" t="str">
        <f aca="false">IF(Q117&lt;判定条件!$C$6,"判定不能",IF(R117&gt;=判定条件!$C$7*Q117,"運転",IF(R117&lt;=判定条件!$C$8*Q117,"停止","断続")))</f>
        <v>停止</v>
      </c>
      <c r="T117" s="30" t="n">
        <v>60</v>
      </c>
      <c r="U117" s="30" t="n">
        <v>0</v>
      </c>
      <c r="V117" s="30" t="str">
        <f aca="false">IF(T117&lt;判定条件!$C$6,"判定不能",IF(U117&gt;=判定条件!$C$7*T117,"運転",IF(U117&lt;=判定条件!$C$8*T117,"停止","断続")))</f>
        <v>停止</v>
      </c>
      <c r="W117" s="30" t="n">
        <v>60</v>
      </c>
      <c r="X117" s="30" t="n">
        <v>27</v>
      </c>
      <c r="Y117" s="30" t="str">
        <f aca="false">IF(W117&lt;判定条件!$C$6,"判定不能",IF(X117&gt;=判定条件!$C$7*W117,"運転",IF(X117&lt;=判定条件!$C$8*W117,"停止","断続")))</f>
        <v>断続</v>
      </c>
      <c r="Z117" s="30" t="n">
        <v>60</v>
      </c>
      <c r="AA117" s="30" t="n">
        <v>5</v>
      </c>
      <c r="AB117" s="30" t="str">
        <f aca="false">IF(Z117&lt;判定条件!$C$6,"判定不能",IF(AA117&gt;=判定条件!$C$7*Z117,"運転",IF(AA117&lt;=判定条件!$C$8*Z117,"停止","断続")))</f>
        <v>停止</v>
      </c>
      <c r="AC117" s="30" t="n">
        <v>60</v>
      </c>
      <c r="AD117" s="30" t="n">
        <v>0</v>
      </c>
      <c r="AE117" s="30" t="str">
        <f aca="false">IF(AC117&lt;判定条件!$C$6,"判定不能",IF(AD117&gt;=判定条件!$C$7*AC117,"運転",IF(AD117&lt;=判定条件!$C$8*AC117,"停止","断続")))</f>
        <v>停止</v>
      </c>
      <c r="AF117" s="30" t="n">
        <v>60</v>
      </c>
      <c r="AG117" s="30" t="n">
        <v>0</v>
      </c>
      <c r="AH117" s="30" t="str">
        <f aca="false">IF(OR(P117="判定不能",G117="判定不能"),"判定不能",IF(AG117&gt;=判定条件!$C$9,"利用可",IF(AND(P117="停止",G117="停止"),"両方停止","運転がそろわない")))</f>
        <v>運転がそろわない</v>
      </c>
      <c r="AI117" s="30" t="n">
        <v>60</v>
      </c>
      <c r="AJ117" s="30" t="n">
        <v>0</v>
      </c>
      <c r="AK117" s="30" t="str">
        <f aca="false">IF(OR(S117="判定不能",J117="判定不能"),"判定不能",IF(AJ117&gt;=判定条件!$C$9,"利用可",IF(AND(S117="停止",J117="停止"),"両方停止","運転がそろわない")))</f>
        <v>運転がそろわない</v>
      </c>
      <c r="AL117" s="30" t="n">
        <v>60</v>
      </c>
      <c r="AM117" s="30" t="n">
        <v>0</v>
      </c>
      <c r="AN117" s="30" t="str">
        <f aca="false">IF(OR(V117="判定不能",M117="判定不能"),"判定不能",IF(AM117&gt;=判定条件!$C$9,"利用可",IF(AND(V117="停止",M117="停止"),"両方停止","運転がそろわない")))</f>
        <v>運転がそろわない</v>
      </c>
      <c r="AO117" s="30" t="n">
        <v>60</v>
      </c>
      <c r="AP117" s="30" t="n">
        <v>27</v>
      </c>
      <c r="AQ117" s="30" t="str">
        <f aca="false">IF(OR(Y117="判定不能",G117="判定不能"),"判定不能",IF(AP117&gt;=判定条件!$C$9,"利用可",IF(AND(Y117="停止",G117="停止"),"両方停止","運転がそろわない")))</f>
        <v>運転がそろわない</v>
      </c>
      <c r="AR117" s="30" t="n">
        <v>60</v>
      </c>
      <c r="AS117" s="30" t="n">
        <v>5</v>
      </c>
      <c r="AT117" s="30" t="str">
        <f aca="false">IF(OR(AB117="判定不能",J117="判定不能"),"判定不能",IF(AS117&gt;=判定条件!$C$9,"利用可",IF(AND(AB117="停止",J117="停止"),"両方停止","運転がそろわない")))</f>
        <v>運転がそろわない</v>
      </c>
      <c r="AU117" s="30" t="n">
        <v>60</v>
      </c>
      <c r="AV117" s="30" t="n">
        <v>0</v>
      </c>
      <c r="AW117" s="30" t="str">
        <f aca="false">IF(OR(AE117="判定不能",M117="判定不能"),"判定不能",IF(AV117&gt;=判定条件!$C$9,"利用可",IF(AND(AE117="停止",M117="停止"),"両方停止","運転がそろわない")))</f>
        <v>運転がそろわない</v>
      </c>
      <c r="AX117" s="30" t="str">
        <f aca="false">IF(AND(AH117="利用可",AK117="利用可",AN117="利用可"),"利用可","不可")</f>
        <v>不可</v>
      </c>
      <c r="AY117" s="30" t="str">
        <f aca="false">IF(AND(AQ117="利用可",AT117="利用可",AW117="利用可"),"利用可","不可")</f>
        <v>不可</v>
      </c>
    </row>
    <row r="118" customFormat="false" ht="15" hidden="false" customHeight="false" outlineLevel="0" collapsed="false">
      <c r="A118" s="29" t="n">
        <v>46236</v>
      </c>
      <c r="B118" s="30" t="n">
        <v>19</v>
      </c>
      <c r="C118" s="31" t="s">
        <v>65</v>
      </c>
      <c r="D118" s="31" t="s">
        <v>64</v>
      </c>
      <c r="E118" s="30" t="n">
        <v>60</v>
      </c>
      <c r="F118" s="30" t="n">
        <v>50</v>
      </c>
      <c r="G118" s="30" t="str">
        <f aca="false">IF(E118&lt;判定条件!$C$6,"判定不能",IF(F118&gt;=判定条件!$C$7*E118,"運転",IF(F118&lt;=判定条件!$C$8*E118,"停止","断続")))</f>
        <v>運転</v>
      </c>
      <c r="H118" s="30" t="n">
        <v>60</v>
      </c>
      <c r="I118" s="30" t="n">
        <v>51</v>
      </c>
      <c r="J118" s="30" t="str">
        <f aca="false">IF(H118&lt;判定条件!$C$6,"判定不能",IF(I118&gt;=判定条件!$C$7*H118,"運転",IF(I118&lt;=判定条件!$C$8*H118,"停止","断続")))</f>
        <v>運転</v>
      </c>
      <c r="K118" s="30" t="n">
        <v>60</v>
      </c>
      <c r="L118" s="30" t="n">
        <v>60</v>
      </c>
      <c r="M118" s="30" t="str">
        <f aca="false">IF(K118&lt;判定条件!$C$6,"判定不能",IF(L118&gt;=判定条件!$C$7*K118,"運転",IF(L118&lt;=判定条件!$C$8*K118,"停止","断続")))</f>
        <v>運転</v>
      </c>
      <c r="N118" s="30" t="n">
        <v>60</v>
      </c>
      <c r="O118" s="30" t="n">
        <v>0</v>
      </c>
      <c r="P118" s="30" t="str">
        <f aca="false">IF(N118&lt;判定条件!$C$6,"判定不能",IF(O118&gt;=判定条件!$C$7*N118,"運転",IF(O118&lt;=判定条件!$C$8*N118,"停止","断続")))</f>
        <v>停止</v>
      </c>
      <c r="Q118" s="30" t="n">
        <v>60</v>
      </c>
      <c r="R118" s="30" t="n">
        <v>0</v>
      </c>
      <c r="S118" s="30" t="str">
        <f aca="false">IF(Q118&lt;判定条件!$C$6,"判定不能",IF(R118&gt;=判定条件!$C$7*Q118,"運転",IF(R118&lt;=判定条件!$C$8*Q118,"停止","断続")))</f>
        <v>停止</v>
      </c>
      <c r="T118" s="30" t="n">
        <v>60</v>
      </c>
      <c r="U118" s="30" t="n">
        <v>0</v>
      </c>
      <c r="V118" s="30" t="str">
        <f aca="false">IF(T118&lt;判定条件!$C$6,"判定不能",IF(U118&gt;=判定条件!$C$7*T118,"運転",IF(U118&lt;=判定条件!$C$8*T118,"停止","断続")))</f>
        <v>停止</v>
      </c>
      <c r="W118" s="30" t="n">
        <v>60</v>
      </c>
      <c r="X118" s="30" t="n">
        <v>0</v>
      </c>
      <c r="Y118" s="30" t="str">
        <f aca="false">IF(W118&lt;判定条件!$C$6,"判定不能",IF(X118&gt;=判定条件!$C$7*W118,"運転",IF(X118&lt;=判定条件!$C$8*W118,"停止","断続")))</f>
        <v>停止</v>
      </c>
      <c r="Z118" s="30" t="n">
        <v>60</v>
      </c>
      <c r="AA118" s="30" t="n">
        <v>0</v>
      </c>
      <c r="AB118" s="30" t="str">
        <f aca="false">IF(Z118&lt;判定条件!$C$6,"判定不能",IF(AA118&gt;=判定条件!$C$7*Z118,"運転",IF(AA118&lt;=判定条件!$C$8*Z118,"停止","断続")))</f>
        <v>停止</v>
      </c>
      <c r="AC118" s="30" t="n">
        <v>60</v>
      </c>
      <c r="AD118" s="30" t="n">
        <v>0</v>
      </c>
      <c r="AE118" s="30" t="str">
        <f aca="false">IF(AC118&lt;判定条件!$C$6,"判定不能",IF(AD118&gt;=判定条件!$C$7*AC118,"運転",IF(AD118&lt;=判定条件!$C$8*AC118,"停止","断続")))</f>
        <v>停止</v>
      </c>
      <c r="AF118" s="30" t="n">
        <v>60</v>
      </c>
      <c r="AG118" s="30" t="n">
        <v>0</v>
      </c>
      <c r="AH118" s="30" t="str">
        <f aca="false">IF(OR(P118="判定不能",G118="判定不能"),"判定不能",IF(AG118&gt;=判定条件!$C$9,"利用可",IF(AND(P118="停止",G118="停止"),"両方停止","運転がそろわない")))</f>
        <v>運転がそろわない</v>
      </c>
      <c r="AI118" s="30" t="n">
        <v>60</v>
      </c>
      <c r="AJ118" s="30" t="n">
        <v>0</v>
      </c>
      <c r="AK118" s="30" t="str">
        <f aca="false">IF(OR(S118="判定不能",J118="判定不能"),"判定不能",IF(AJ118&gt;=判定条件!$C$9,"利用可",IF(AND(S118="停止",J118="停止"),"両方停止","運転がそろわない")))</f>
        <v>運転がそろわない</v>
      </c>
      <c r="AL118" s="30" t="n">
        <v>60</v>
      </c>
      <c r="AM118" s="30" t="n">
        <v>0</v>
      </c>
      <c r="AN118" s="30" t="str">
        <f aca="false">IF(OR(V118="判定不能",M118="判定不能"),"判定不能",IF(AM118&gt;=判定条件!$C$9,"利用可",IF(AND(V118="停止",M118="停止"),"両方停止","運転がそろわない")))</f>
        <v>運転がそろわない</v>
      </c>
      <c r="AO118" s="30" t="n">
        <v>60</v>
      </c>
      <c r="AP118" s="30" t="n">
        <v>0</v>
      </c>
      <c r="AQ118" s="30" t="str">
        <f aca="false">IF(OR(Y118="判定不能",G118="判定不能"),"判定不能",IF(AP118&gt;=判定条件!$C$9,"利用可",IF(AND(Y118="停止",G118="停止"),"両方停止","運転がそろわない")))</f>
        <v>運転がそろわない</v>
      </c>
      <c r="AR118" s="30" t="n">
        <v>60</v>
      </c>
      <c r="AS118" s="30" t="n">
        <v>0</v>
      </c>
      <c r="AT118" s="30" t="str">
        <f aca="false">IF(OR(AB118="判定不能",J118="判定不能"),"判定不能",IF(AS118&gt;=判定条件!$C$9,"利用可",IF(AND(AB118="停止",J118="停止"),"両方停止","運転がそろわない")))</f>
        <v>運転がそろわない</v>
      </c>
      <c r="AU118" s="30" t="n">
        <v>60</v>
      </c>
      <c r="AV118" s="30" t="n">
        <v>0</v>
      </c>
      <c r="AW118" s="30" t="str">
        <f aca="false">IF(OR(AE118="判定不能",M118="判定不能"),"判定不能",IF(AV118&gt;=判定条件!$C$9,"利用可",IF(AND(AE118="停止",M118="停止"),"両方停止","運転がそろわない")))</f>
        <v>運転がそろわない</v>
      </c>
      <c r="AX118" s="30" t="str">
        <f aca="false">IF(AND(AH118="利用可",AK118="利用可",AN118="利用可"),"利用可","不可")</f>
        <v>不可</v>
      </c>
      <c r="AY118" s="30" t="str">
        <f aca="false">IF(AND(AQ118="利用可",AT118="利用可",AW118="利用可"),"利用可","不可")</f>
        <v>不可</v>
      </c>
    </row>
    <row r="119" customFormat="false" ht="15" hidden="false" customHeight="false" outlineLevel="0" collapsed="false">
      <c r="A119" s="29" t="n">
        <v>46236</v>
      </c>
      <c r="B119" s="30" t="n">
        <v>20</v>
      </c>
      <c r="C119" s="31" t="s">
        <v>65</v>
      </c>
      <c r="D119" s="31" t="s">
        <v>64</v>
      </c>
      <c r="E119" s="30" t="n">
        <v>60</v>
      </c>
      <c r="F119" s="30" t="n">
        <v>47</v>
      </c>
      <c r="G119" s="30" t="str">
        <f aca="false">IF(E119&lt;判定条件!$C$6,"判定不能",IF(F119&gt;=判定条件!$C$7*E119,"運転",IF(F119&lt;=判定条件!$C$8*E119,"停止","断続")))</f>
        <v>断続</v>
      </c>
      <c r="H119" s="30" t="n">
        <v>60</v>
      </c>
      <c r="I119" s="30" t="n">
        <v>51</v>
      </c>
      <c r="J119" s="30" t="str">
        <f aca="false">IF(H119&lt;判定条件!$C$6,"判定不能",IF(I119&gt;=判定条件!$C$7*H119,"運転",IF(I119&lt;=判定条件!$C$8*H119,"停止","断続")))</f>
        <v>運転</v>
      </c>
      <c r="K119" s="30" t="n">
        <v>60</v>
      </c>
      <c r="L119" s="30" t="n">
        <v>60</v>
      </c>
      <c r="M119" s="30" t="str">
        <f aca="false">IF(K119&lt;判定条件!$C$6,"判定不能",IF(L119&gt;=判定条件!$C$7*K119,"運転",IF(L119&lt;=判定条件!$C$8*K119,"停止","断続")))</f>
        <v>運転</v>
      </c>
      <c r="N119" s="30" t="n">
        <v>60</v>
      </c>
      <c r="O119" s="30" t="n">
        <v>0</v>
      </c>
      <c r="P119" s="30" t="str">
        <f aca="false">IF(N119&lt;判定条件!$C$6,"判定不能",IF(O119&gt;=判定条件!$C$7*N119,"運転",IF(O119&lt;=判定条件!$C$8*N119,"停止","断続")))</f>
        <v>停止</v>
      </c>
      <c r="Q119" s="30" t="n">
        <v>60</v>
      </c>
      <c r="R119" s="30" t="n">
        <v>0</v>
      </c>
      <c r="S119" s="30" t="str">
        <f aca="false">IF(Q119&lt;判定条件!$C$6,"判定不能",IF(R119&gt;=判定条件!$C$7*Q119,"運転",IF(R119&lt;=判定条件!$C$8*Q119,"停止","断続")))</f>
        <v>停止</v>
      </c>
      <c r="T119" s="30" t="n">
        <v>60</v>
      </c>
      <c r="U119" s="30" t="n">
        <v>0</v>
      </c>
      <c r="V119" s="30" t="str">
        <f aca="false">IF(T119&lt;判定条件!$C$6,"判定不能",IF(U119&gt;=判定条件!$C$7*T119,"運転",IF(U119&lt;=判定条件!$C$8*T119,"停止","断続")))</f>
        <v>停止</v>
      </c>
      <c r="W119" s="30" t="n">
        <v>60</v>
      </c>
      <c r="X119" s="30" t="n">
        <v>0</v>
      </c>
      <c r="Y119" s="30" t="str">
        <f aca="false">IF(W119&lt;判定条件!$C$6,"判定不能",IF(X119&gt;=判定条件!$C$7*W119,"運転",IF(X119&lt;=判定条件!$C$8*W119,"停止","断続")))</f>
        <v>停止</v>
      </c>
      <c r="Z119" s="30" t="n">
        <v>60</v>
      </c>
      <c r="AA119" s="30" t="n">
        <v>0</v>
      </c>
      <c r="AB119" s="30" t="str">
        <f aca="false">IF(Z119&lt;判定条件!$C$6,"判定不能",IF(AA119&gt;=判定条件!$C$7*Z119,"運転",IF(AA119&lt;=判定条件!$C$8*Z119,"停止","断続")))</f>
        <v>停止</v>
      </c>
      <c r="AC119" s="30" t="n">
        <v>60</v>
      </c>
      <c r="AD119" s="30" t="n">
        <v>0</v>
      </c>
      <c r="AE119" s="30" t="str">
        <f aca="false">IF(AC119&lt;判定条件!$C$6,"判定不能",IF(AD119&gt;=判定条件!$C$7*AC119,"運転",IF(AD119&lt;=判定条件!$C$8*AC119,"停止","断続")))</f>
        <v>停止</v>
      </c>
      <c r="AF119" s="30" t="n">
        <v>60</v>
      </c>
      <c r="AG119" s="30" t="n">
        <v>0</v>
      </c>
      <c r="AH119" s="30" t="str">
        <f aca="false">IF(OR(P119="判定不能",G119="判定不能"),"判定不能",IF(AG119&gt;=判定条件!$C$9,"利用可",IF(AND(P119="停止",G119="停止"),"両方停止","運転がそろわない")))</f>
        <v>運転がそろわない</v>
      </c>
      <c r="AI119" s="30" t="n">
        <v>60</v>
      </c>
      <c r="AJ119" s="30" t="n">
        <v>0</v>
      </c>
      <c r="AK119" s="30" t="str">
        <f aca="false">IF(OR(S119="判定不能",J119="判定不能"),"判定不能",IF(AJ119&gt;=判定条件!$C$9,"利用可",IF(AND(S119="停止",J119="停止"),"両方停止","運転がそろわない")))</f>
        <v>運転がそろわない</v>
      </c>
      <c r="AL119" s="30" t="n">
        <v>60</v>
      </c>
      <c r="AM119" s="30" t="n">
        <v>0</v>
      </c>
      <c r="AN119" s="30" t="str">
        <f aca="false">IF(OR(V119="判定不能",M119="判定不能"),"判定不能",IF(AM119&gt;=判定条件!$C$9,"利用可",IF(AND(V119="停止",M119="停止"),"両方停止","運転がそろわない")))</f>
        <v>運転がそろわない</v>
      </c>
      <c r="AO119" s="30" t="n">
        <v>60</v>
      </c>
      <c r="AP119" s="30" t="n">
        <v>0</v>
      </c>
      <c r="AQ119" s="30" t="str">
        <f aca="false">IF(OR(Y119="判定不能",G119="判定不能"),"判定不能",IF(AP119&gt;=判定条件!$C$9,"利用可",IF(AND(Y119="停止",G119="停止"),"両方停止","運転がそろわない")))</f>
        <v>運転がそろわない</v>
      </c>
      <c r="AR119" s="30" t="n">
        <v>60</v>
      </c>
      <c r="AS119" s="30" t="n">
        <v>0</v>
      </c>
      <c r="AT119" s="30" t="str">
        <f aca="false">IF(OR(AB119="判定不能",J119="判定不能"),"判定不能",IF(AS119&gt;=判定条件!$C$9,"利用可",IF(AND(AB119="停止",J119="停止"),"両方停止","運転がそろわない")))</f>
        <v>運転がそろわない</v>
      </c>
      <c r="AU119" s="30" t="n">
        <v>60</v>
      </c>
      <c r="AV119" s="30" t="n">
        <v>0</v>
      </c>
      <c r="AW119" s="30" t="str">
        <f aca="false">IF(OR(AE119="判定不能",M119="判定不能"),"判定不能",IF(AV119&gt;=判定条件!$C$9,"利用可",IF(AND(AE119="停止",M119="停止"),"両方停止","運転がそろわない")))</f>
        <v>運転がそろわない</v>
      </c>
      <c r="AX119" s="30" t="str">
        <f aca="false">IF(AND(AH119="利用可",AK119="利用可",AN119="利用可"),"利用可","不可")</f>
        <v>不可</v>
      </c>
      <c r="AY119" s="30" t="str">
        <f aca="false">IF(AND(AQ119="利用可",AT119="利用可",AW119="利用可"),"利用可","不可")</f>
        <v>不可</v>
      </c>
    </row>
    <row r="120" customFormat="false" ht="15" hidden="false" customHeight="false" outlineLevel="0" collapsed="false">
      <c r="A120" s="29" t="n">
        <v>46236</v>
      </c>
      <c r="B120" s="30" t="n">
        <v>21</v>
      </c>
      <c r="C120" s="31" t="s">
        <v>65</v>
      </c>
      <c r="D120" s="31" t="s">
        <v>64</v>
      </c>
      <c r="E120" s="30" t="n">
        <v>60</v>
      </c>
      <c r="F120" s="30" t="n">
        <v>0</v>
      </c>
      <c r="G120" s="30" t="str">
        <f aca="false">IF(E120&lt;判定条件!$C$6,"判定不能",IF(F120&gt;=判定条件!$C$7*E120,"運転",IF(F120&lt;=判定条件!$C$8*E120,"停止","断続")))</f>
        <v>停止</v>
      </c>
      <c r="H120" s="30" t="n">
        <v>60</v>
      </c>
      <c r="I120" s="30" t="n">
        <v>0</v>
      </c>
      <c r="J120" s="30" t="str">
        <f aca="false">IF(H120&lt;判定条件!$C$6,"判定不能",IF(I120&gt;=判定条件!$C$7*H120,"運転",IF(I120&lt;=判定条件!$C$8*H120,"停止","断続")))</f>
        <v>停止</v>
      </c>
      <c r="K120" s="30" t="n">
        <v>60</v>
      </c>
      <c r="L120" s="30" t="n">
        <v>60</v>
      </c>
      <c r="M120" s="30" t="str">
        <f aca="false">IF(K120&lt;判定条件!$C$6,"判定不能",IF(L120&gt;=判定条件!$C$7*K120,"運転",IF(L120&lt;=判定条件!$C$8*K120,"停止","断続")))</f>
        <v>運転</v>
      </c>
      <c r="N120" s="30" t="n">
        <v>60</v>
      </c>
      <c r="O120" s="30" t="n">
        <v>0</v>
      </c>
      <c r="P120" s="30" t="str">
        <f aca="false">IF(N120&lt;判定条件!$C$6,"判定不能",IF(O120&gt;=判定条件!$C$7*N120,"運転",IF(O120&lt;=判定条件!$C$8*N120,"停止","断続")))</f>
        <v>停止</v>
      </c>
      <c r="Q120" s="30" t="n">
        <v>60</v>
      </c>
      <c r="R120" s="30" t="n">
        <v>0</v>
      </c>
      <c r="S120" s="30" t="str">
        <f aca="false">IF(Q120&lt;判定条件!$C$6,"判定不能",IF(R120&gt;=判定条件!$C$7*Q120,"運転",IF(R120&lt;=判定条件!$C$8*Q120,"停止","断続")))</f>
        <v>停止</v>
      </c>
      <c r="T120" s="30" t="n">
        <v>60</v>
      </c>
      <c r="U120" s="30" t="n">
        <v>0</v>
      </c>
      <c r="V120" s="30" t="str">
        <f aca="false">IF(T120&lt;判定条件!$C$6,"判定不能",IF(U120&gt;=判定条件!$C$7*T120,"運転",IF(U120&lt;=判定条件!$C$8*T120,"停止","断続")))</f>
        <v>停止</v>
      </c>
      <c r="W120" s="30" t="n">
        <v>60</v>
      </c>
      <c r="X120" s="30" t="n">
        <v>0</v>
      </c>
      <c r="Y120" s="30" t="str">
        <f aca="false">IF(W120&lt;判定条件!$C$6,"判定不能",IF(X120&gt;=判定条件!$C$7*W120,"運転",IF(X120&lt;=判定条件!$C$8*W120,"停止","断続")))</f>
        <v>停止</v>
      </c>
      <c r="Z120" s="30" t="n">
        <v>60</v>
      </c>
      <c r="AA120" s="30" t="n">
        <v>0</v>
      </c>
      <c r="AB120" s="30" t="str">
        <f aca="false">IF(Z120&lt;判定条件!$C$6,"判定不能",IF(AA120&gt;=判定条件!$C$7*Z120,"運転",IF(AA120&lt;=判定条件!$C$8*Z120,"停止","断続")))</f>
        <v>停止</v>
      </c>
      <c r="AC120" s="30" t="n">
        <v>60</v>
      </c>
      <c r="AD120" s="30" t="n">
        <v>0</v>
      </c>
      <c r="AE120" s="30" t="str">
        <f aca="false">IF(AC120&lt;判定条件!$C$6,"判定不能",IF(AD120&gt;=判定条件!$C$7*AC120,"運転",IF(AD120&lt;=判定条件!$C$8*AC120,"停止","断続")))</f>
        <v>停止</v>
      </c>
      <c r="AF120" s="30" t="n">
        <v>60</v>
      </c>
      <c r="AG120" s="30" t="n">
        <v>0</v>
      </c>
      <c r="AH120" s="30" t="str">
        <f aca="false">IF(OR(P120="判定不能",G120="判定不能"),"判定不能",IF(AG120&gt;=判定条件!$C$9,"利用可",IF(AND(P120="停止",G120="停止"),"両方停止","運転がそろわない")))</f>
        <v>両方停止</v>
      </c>
      <c r="AI120" s="30" t="n">
        <v>60</v>
      </c>
      <c r="AJ120" s="30" t="n">
        <v>0</v>
      </c>
      <c r="AK120" s="30" t="str">
        <f aca="false">IF(OR(S120="判定不能",J120="判定不能"),"判定不能",IF(AJ120&gt;=判定条件!$C$9,"利用可",IF(AND(S120="停止",J120="停止"),"両方停止","運転がそろわない")))</f>
        <v>両方停止</v>
      </c>
      <c r="AL120" s="30" t="n">
        <v>60</v>
      </c>
      <c r="AM120" s="30" t="n">
        <v>0</v>
      </c>
      <c r="AN120" s="30" t="str">
        <f aca="false">IF(OR(V120="判定不能",M120="判定不能"),"判定不能",IF(AM120&gt;=判定条件!$C$9,"利用可",IF(AND(V120="停止",M120="停止"),"両方停止","運転がそろわない")))</f>
        <v>運転がそろわない</v>
      </c>
      <c r="AO120" s="30" t="n">
        <v>60</v>
      </c>
      <c r="AP120" s="30" t="n">
        <v>0</v>
      </c>
      <c r="AQ120" s="30" t="str">
        <f aca="false">IF(OR(Y120="判定不能",G120="判定不能"),"判定不能",IF(AP120&gt;=判定条件!$C$9,"利用可",IF(AND(Y120="停止",G120="停止"),"両方停止","運転がそろわない")))</f>
        <v>両方停止</v>
      </c>
      <c r="AR120" s="30" t="n">
        <v>60</v>
      </c>
      <c r="AS120" s="30" t="n">
        <v>0</v>
      </c>
      <c r="AT120" s="30" t="str">
        <f aca="false">IF(OR(AB120="判定不能",J120="判定不能"),"判定不能",IF(AS120&gt;=判定条件!$C$9,"利用可",IF(AND(AB120="停止",J120="停止"),"両方停止","運転がそろわない")))</f>
        <v>両方停止</v>
      </c>
      <c r="AU120" s="30" t="n">
        <v>60</v>
      </c>
      <c r="AV120" s="30" t="n">
        <v>0</v>
      </c>
      <c r="AW120" s="30" t="str">
        <f aca="false">IF(OR(AE120="判定不能",M120="判定不能"),"判定不能",IF(AV120&gt;=判定条件!$C$9,"利用可",IF(AND(AE120="停止",M120="停止"),"両方停止","運転がそろわない")))</f>
        <v>運転がそろわない</v>
      </c>
      <c r="AX120" s="30" t="str">
        <f aca="false">IF(AND(AH120="利用可",AK120="利用可",AN120="利用可"),"利用可","不可")</f>
        <v>不可</v>
      </c>
      <c r="AY120" s="30" t="str">
        <f aca="false">IF(AND(AQ120="利用可",AT120="利用可",AW120="利用可"),"利用可","不可")</f>
        <v>不可</v>
      </c>
    </row>
    <row r="121" customFormat="false" ht="15" hidden="false" customHeight="false" outlineLevel="0" collapsed="false">
      <c r="A121" s="29" t="n">
        <v>46236</v>
      </c>
      <c r="B121" s="30" t="n">
        <v>22</v>
      </c>
      <c r="C121" s="31" t="s">
        <v>65</v>
      </c>
      <c r="D121" s="31" t="s">
        <v>64</v>
      </c>
      <c r="E121" s="30" t="n">
        <v>60</v>
      </c>
      <c r="F121" s="30" t="n">
        <v>0</v>
      </c>
      <c r="G121" s="30" t="str">
        <f aca="false">IF(E121&lt;判定条件!$C$6,"判定不能",IF(F121&gt;=判定条件!$C$7*E121,"運転",IF(F121&lt;=判定条件!$C$8*E121,"停止","断続")))</f>
        <v>停止</v>
      </c>
      <c r="H121" s="30" t="n">
        <v>60</v>
      </c>
      <c r="I121" s="30" t="n">
        <v>0</v>
      </c>
      <c r="J121" s="30" t="str">
        <f aca="false">IF(H121&lt;判定条件!$C$6,"判定不能",IF(I121&gt;=判定条件!$C$7*H121,"運転",IF(I121&lt;=判定条件!$C$8*H121,"停止","断続")))</f>
        <v>停止</v>
      </c>
      <c r="K121" s="30" t="n">
        <v>60</v>
      </c>
      <c r="L121" s="30" t="n">
        <v>60</v>
      </c>
      <c r="M121" s="30" t="str">
        <f aca="false">IF(K121&lt;判定条件!$C$6,"判定不能",IF(L121&gt;=判定条件!$C$7*K121,"運転",IF(L121&lt;=判定条件!$C$8*K121,"停止","断続")))</f>
        <v>運転</v>
      </c>
      <c r="N121" s="30" t="n">
        <v>60</v>
      </c>
      <c r="O121" s="30" t="n">
        <v>0</v>
      </c>
      <c r="P121" s="30" t="str">
        <f aca="false">IF(N121&lt;判定条件!$C$6,"判定不能",IF(O121&gt;=判定条件!$C$7*N121,"運転",IF(O121&lt;=判定条件!$C$8*N121,"停止","断続")))</f>
        <v>停止</v>
      </c>
      <c r="Q121" s="30" t="n">
        <v>60</v>
      </c>
      <c r="R121" s="30" t="n">
        <v>0</v>
      </c>
      <c r="S121" s="30" t="str">
        <f aca="false">IF(Q121&lt;判定条件!$C$6,"判定不能",IF(R121&gt;=判定条件!$C$7*Q121,"運転",IF(R121&lt;=判定条件!$C$8*Q121,"停止","断続")))</f>
        <v>停止</v>
      </c>
      <c r="T121" s="30" t="n">
        <v>60</v>
      </c>
      <c r="U121" s="30" t="n">
        <v>0</v>
      </c>
      <c r="V121" s="30" t="str">
        <f aca="false">IF(T121&lt;判定条件!$C$6,"判定不能",IF(U121&gt;=判定条件!$C$7*T121,"運転",IF(U121&lt;=判定条件!$C$8*T121,"停止","断続")))</f>
        <v>停止</v>
      </c>
      <c r="W121" s="30" t="n">
        <v>60</v>
      </c>
      <c r="X121" s="30" t="n">
        <v>0</v>
      </c>
      <c r="Y121" s="30" t="str">
        <f aca="false">IF(W121&lt;判定条件!$C$6,"判定不能",IF(X121&gt;=判定条件!$C$7*W121,"運転",IF(X121&lt;=判定条件!$C$8*W121,"停止","断続")))</f>
        <v>停止</v>
      </c>
      <c r="Z121" s="30" t="n">
        <v>60</v>
      </c>
      <c r="AA121" s="30" t="n">
        <v>0</v>
      </c>
      <c r="AB121" s="30" t="str">
        <f aca="false">IF(Z121&lt;判定条件!$C$6,"判定不能",IF(AA121&gt;=判定条件!$C$7*Z121,"運転",IF(AA121&lt;=判定条件!$C$8*Z121,"停止","断続")))</f>
        <v>停止</v>
      </c>
      <c r="AC121" s="30" t="n">
        <v>60</v>
      </c>
      <c r="AD121" s="30" t="n">
        <v>0</v>
      </c>
      <c r="AE121" s="30" t="str">
        <f aca="false">IF(AC121&lt;判定条件!$C$6,"判定不能",IF(AD121&gt;=判定条件!$C$7*AC121,"運転",IF(AD121&lt;=判定条件!$C$8*AC121,"停止","断続")))</f>
        <v>停止</v>
      </c>
      <c r="AF121" s="30" t="n">
        <v>60</v>
      </c>
      <c r="AG121" s="30" t="n">
        <v>0</v>
      </c>
      <c r="AH121" s="30" t="str">
        <f aca="false">IF(OR(P121="判定不能",G121="判定不能"),"判定不能",IF(AG121&gt;=判定条件!$C$9,"利用可",IF(AND(P121="停止",G121="停止"),"両方停止","運転がそろわない")))</f>
        <v>両方停止</v>
      </c>
      <c r="AI121" s="30" t="n">
        <v>60</v>
      </c>
      <c r="AJ121" s="30" t="n">
        <v>0</v>
      </c>
      <c r="AK121" s="30" t="str">
        <f aca="false">IF(OR(S121="判定不能",J121="判定不能"),"判定不能",IF(AJ121&gt;=判定条件!$C$9,"利用可",IF(AND(S121="停止",J121="停止"),"両方停止","運転がそろわない")))</f>
        <v>両方停止</v>
      </c>
      <c r="AL121" s="30" t="n">
        <v>60</v>
      </c>
      <c r="AM121" s="30" t="n">
        <v>0</v>
      </c>
      <c r="AN121" s="30" t="str">
        <f aca="false">IF(OR(V121="判定不能",M121="判定不能"),"判定不能",IF(AM121&gt;=判定条件!$C$9,"利用可",IF(AND(V121="停止",M121="停止"),"両方停止","運転がそろわない")))</f>
        <v>運転がそろわない</v>
      </c>
      <c r="AO121" s="30" t="n">
        <v>60</v>
      </c>
      <c r="AP121" s="30" t="n">
        <v>0</v>
      </c>
      <c r="AQ121" s="30" t="str">
        <f aca="false">IF(OR(Y121="判定不能",G121="判定不能"),"判定不能",IF(AP121&gt;=判定条件!$C$9,"利用可",IF(AND(Y121="停止",G121="停止"),"両方停止","運転がそろわない")))</f>
        <v>両方停止</v>
      </c>
      <c r="AR121" s="30" t="n">
        <v>60</v>
      </c>
      <c r="AS121" s="30" t="n">
        <v>0</v>
      </c>
      <c r="AT121" s="30" t="str">
        <f aca="false">IF(OR(AB121="判定不能",J121="判定不能"),"判定不能",IF(AS121&gt;=判定条件!$C$9,"利用可",IF(AND(AB121="停止",J121="停止"),"両方停止","運転がそろわない")))</f>
        <v>両方停止</v>
      </c>
      <c r="AU121" s="30" t="n">
        <v>60</v>
      </c>
      <c r="AV121" s="30" t="n">
        <v>0</v>
      </c>
      <c r="AW121" s="30" t="str">
        <f aca="false">IF(OR(AE121="判定不能",M121="判定不能"),"判定不能",IF(AV121&gt;=判定条件!$C$9,"利用可",IF(AND(AE121="停止",M121="停止"),"両方停止","運転がそろわない")))</f>
        <v>運転がそろわない</v>
      </c>
      <c r="AX121" s="30" t="str">
        <f aca="false">IF(AND(AH121="利用可",AK121="利用可",AN121="利用可"),"利用可","不可")</f>
        <v>不可</v>
      </c>
      <c r="AY121" s="30" t="str">
        <f aca="false">IF(AND(AQ121="利用可",AT121="利用可",AW121="利用可"),"利用可","不可")</f>
        <v>不可</v>
      </c>
    </row>
    <row r="122" customFormat="false" ht="15" hidden="false" customHeight="false" outlineLevel="0" collapsed="false">
      <c r="A122" s="29" t="n">
        <v>46236</v>
      </c>
      <c r="B122" s="30" t="n">
        <v>23</v>
      </c>
      <c r="C122" s="31" t="s">
        <v>65</v>
      </c>
      <c r="D122" s="31" t="s">
        <v>64</v>
      </c>
      <c r="E122" s="30" t="n">
        <v>60</v>
      </c>
      <c r="F122" s="30" t="n">
        <v>0</v>
      </c>
      <c r="G122" s="30" t="str">
        <f aca="false">IF(E122&lt;判定条件!$C$6,"判定不能",IF(F122&gt;=判定条件!$C$7*E122,"運転",IF(F122&lt;=判定条件!$C$8*E122,"停止","断続")))</f>
        <v>停止</v>
      </c>
      <c r="H122" s="30" t="n">
        <v>60</v>
      </c>
      <c r="I122" s="30" t="n">
        <v>0</v>
      </c>
      <c r="J122" s="30" t="str">
        <f aca="false">IF(H122&lt;判定条件!$C$6,"判定不能",IF(I122&gt;=判定条件!$C$7*H122,"運転",IF(I122&lt;=判定条件!$C$8*H122,"停止","断続")))</f>
        <v>停止</v>
      </c>
      <c r="K122" s="30" t="n">
        <v>60</v>
      </c>
      <c r="L122" s="30" t="n">
        <v>60</v>
      </c>
      <c r="M122" s="30" t="str">
        <f aca="false">IF(K122&lt;判定条件!$C$6,"判定不能",IF(L122&gt;=判定条件!$C$7*K122,"運転",IF(L122&lt;=判定条件!$C$8*K122,"停止","断続")))</f>
        <v>運転</v>
      </c>
      <c r="N122" s="30" t="n">
        <v>60</v>
      </c>
      <c r="O122" s="30" t="n">
        <v>0</v>
      </c>
      <c r="P122" s="30" t="str">
        <f aca="false">IF(N122&lt;判定条件!$C$6,"判定不能",IF(O122&gt;=判定条件!$C$7*N122,"運転",IF(O122&lt;=判定条件!$C$8*N122,"停止","断続")))</f>
        <v>停止</v>
      </c>
      <c r="Q122" s="30" t="n">
        <v>60</v>
      </c>
      <c r="R122" s="30" t="n">
        <v>0</v>
      </c>
      <c r="S122" s="30" t="str">
        <f aca="false">IF(Q122&lt;判定条件!$C$6,"判定不能",IF(R122&gt;=判定条件!$C$7*Q122,"運転",IF(R122&lt;=判定条件!$C$8*Q122,"停止","断続")))</f>
        <v>停止</v>
      </c>
      <c r="T122" s="30" t="n">
        <v>60</v>
      </c>
      <c r="U122" s="30" t="n">
        <v>0</v>
      </c>
      <c r="V122" s="30" t="str">
        <f aca="false">IF(T122&lt;判定条件!$C$6,"判定不能",IF(U122&gt;=判定条件!$C$7*T122,"運転",IF(U122&lt;=判定条件!$C$8*T122,"停止","断続")))</f>
        <v>停止</v>
      </c>
      <c r="W122" s="30" t="n">
        <v>60</v>
      </c>
      <c r="X122" s="30" t="n">
        <v>0</v>
      </c>
      <c r="Y122" s="30" t="str">
        <f aca="false">IF(W122&lt;判定条件!$C$6,"判定不能",IF(X122&gt;=判定条件!$C$7*W122,"運転",IF(X122&lt;=判定条件!$C$8*W122,"停止","断続")))</f>
        <v>停止</v>
      </c>
      <c r="Z122" s="30" t="n">
        <v>60</v>
      </c>
      <c r="AA122" s="30" t="n">
        <v>0</v>
      </c>
      <c r="AB122" s="30" t="str">
        <f aca="false">IF(Z122&lt;判定条件!$C$6,"判定不能",IF(AA122&gt;=判定条件!$C$7*Z122,"運転",IF(AA122&lt;=判定条件!$C$8*Z122,"停止","断続")))</f>
        <v>停止</v>
      </c>
      <c r="AC122" s="30" t="n">
        <v>60</v>
      </c>
      <c r="AD122" s="30" t="n">
        <v>0</v>
      </c>
      <c r="AE122" s="30" t="str">
        <f aca="false">IF(AC122&lt;判定条件!$C$6,"判定不能",IF(AD122&gt;=判定条件!$C$7*AC122,"運転",IF(AD122&lt;=判定条件!$C$8*AC122,"停止","断続")))</f>
        <v>停止</v>
      </c>
      <c r="AF122" s="30" t="n">
        <v>60</v>
      </c>
      <c r="AG122" s="30" t="n">
        <v>0</v>
      </c>
      <c r="AH122" s="30" t="str">
        <f aca="false">IF(OR(P122="判定不能",G122="判定不能"),"判定不能",IF(AG122&gt;=判定条件!$C$9,"利用可",IF(AND(P122="停止",G122="停止"),"両方停止","運転がそろわない")))</f>
        <v>両方停止</v>
      </c>
      <c r="AI122" s="30" t="n">
        <v>60</v>
      </c>
      <c r="AJ122" s="30" t="n">
        <v>0</v>
      </c>
      <c r="AK122" s="30" t="str">
        <f aca="false">IF(OR(S122="判定不能",J122="判定不能"),"判定不能",IF(AJ122&gt;=判定条件!$C$9,"利用可",IF(AND(S122="停止",J122="停止"),"両方停止","運転がそろわない")))</f>
        <v>両方停止</v>
      </c>
      <c r="AL122" s="30" t="n">
        <v>60</v>
      </c>
      <c r="AM122" s="30" t="n">
        <v>0</v>
      </c>
      <c r="AN122" s="30" t="str">
        <f aca="false">IF(OR(V122="判定不能",M122="判定不能"),"判定不能",IF(AM122&gt;=判定条件!$C$9,"利用可",IF(AND(V122="停止",M122="停止"),"両方停止","運転がそろわない")))</f>
        <v>運転がそろわない</v>
      </c>
      <c r="AO122" s="30" t="n">
        <v>60</v>
      </c>
      <c r="AP122" s="30" t="n">
        <v>0</v>
      </c>
      <c r="AQ122" s="30" t="str">
        <f aca="false">IF(OR(Y122="判定不能",G122="判定不能"),"判定不能",IF(AP122&gt;=判定条件!$C$9,"利用可",IF(AND(Y122="停止",G122="停止"),"両方停止","運転がそろわない")))</f>
        <v>両方停止</v>
      </c>
      <c r="AR122" s="30" t="n">
        <v>60</v>
      </c>
      <c r="AS122" s="30" t="n">
        <v>0</v>
      </c>
      <c r="AT122" s="30" t="str">
        <f aca="false">IF(OR(AB122="判定不能",J122="判定不能"),"判定不能",IF(AS122&gt;=判定条件!$C$9,"利用可",IF(AND(AB122="停止",J122="停止"),"両方停止","運転がそろわない")))</f>
        <v>両方停止</v>
      </c>
      <c r="AU122" s="30" t="n">
        <v>60</v>
      </c>
      <c r="AV122" s="30" t="n">
        <v>0</v>
      </c>
      <c r="AW122" s="30" t="str">
        <f aca="false">IF(OR(AE122="判定不能",M122="判定不能"),"判定不能",IF(AV122&gt;=判定条件!$C$9,"利用可",IF(AND(AE122="停止",M122="停止"),"両方停止","運転がそろわない")))</f>
        <v>運転がそろわない</v>
      </c>
      <c r="AX122" s="30" t="str">
        <f aca="false">IF(AND(AH122="利用可",AK122="利用可",AN122="利用可"),"利用可","不可")</f>
        <v>不可</v>
      </c>
      <c r="AY122" s="30" t="str">
        <f aca="false">IF(AND(AQ122="利用可",AT122="利用可",AW122="利用可"),"利用可","不可")</f>
        <v>不可</v>
      </c>
    </row>
    <row r="123" customFormat="false" ht="15" hidden="false" customHeight="false" outlineLevel="0" collapsed="false">
      <c r="A123" s="29" t="n">
        <v>46237</v>
      </c>
      <c r="B123" s="30" t="n">
        <v>0</v>
      </c>
      <c r="C123" s="31" t="s">
        <v>66</v>
      </c>
      <c r="D123" s="31" t="s">
        <v>59</v>
      </c>
      <c r="E123" s="30" t="n">
        <v>60</v>
      </c>
      <c r="F123" s="30" t="n">
        <v>0</v>
      </c>
      <c r="G123" s="30" t="str">
        <f aca="false">IF(E123&lt;判定条件!$C$6,"判定不能",IF(F123&gt;=判定条件!$C$7*E123,"運転",IF(F123&lt;=判定条件!$C$8*E123,"停止","断続")))</f>
        <v>停止</v>
      </c>
      <c r="H123" s="30" t="n">
        <v>60</v>
      </c>
      <c r="I123" s="30" t="n">
        <v>0</v>
      </c>
      <c r="J123" s="30" t="str">
        <f aca="false">IF(H123&lt;判定条件!$C$6,"判定不能",IF(I123&gt;=判定条件!$C$7*H123,"運転",IF(I123&lt;=判定条件!$C$8*H123,"停止","断続")))</f>
        <v>停止</v>
      </c>
      <c r="K123" s="30" t="n">
        <v>60</v>
      </c>
      <c r="L123" s="30" t="n">
        <v>60</v>
      </c>
      <c r="M123" s="30" t="str">
        <f aca="false">IF(K123&lt;判定条件!$C$6,"判定不能",IF(L123&gt;=判定条件!$C$7*K123,"運転",IF(L123&lt;=判定条件!$C$8*K123,"停止","断続")))</f>
        <v>運転</v>
      </c>
      <c r="N123" s="30" t="n">
        <v>60</v>
      </c>
      <c r="O123" s="30" t="n">
        <v>0</v>
      </c>
      <c r="P123" s="30" t="str">
        <f aca="false">IF(N123&lt;判定条件!$C$6,"判定不能",IF(O123&gt;=判定条件!$C$7*N123,"運転",IF(O123&lt;=判定条件!$C$8*N123,"停止","断続")))</f>
        <v>停止</v>
      </c>
      <c r="Q123" s="30" t="n">
        <v>60</v>
      </c>
      <c r="R123" s="30" t="n">
        <v>0</v>
      </c>
      <c r="S123" s="30" t="str">
        <f aca="false">IF(Q123&lt;判定条件!$C$6,"判定不能",IF(R123&gt;=判定条件!$C$7*Q123,"運転",IF(R123&lt;=判定条件!$C$8*Q123,"停止","断続")))</f>
        <v>停止</v>
      </c>
      <c r="T123" s="30" t="n">
        <v>60</v>
      </c>
      <c r="U123" s="30" t="n">
        <v>0</v>
      </c>
      <c r="V123" s="30" t="str">
        <f aca="false">IF(T123&lt;判定条件!$C$6,"判定不能",IF(U123&gt;=判定条件!$C$7*T123,"運転",IF(U123&lt;=判定条件!$C$8*T123,"停止","断続")))</f>
        <v>停止</v>
      </c>
      <c r="W123" s="30" t="n">
        <v>60</v>
      </c>
      <c r="X123" s="30" t="n">
        <v>0</v>
      </c>
      <c r="Y123" s="30" t="str">
        <f aca="false">IF(W123&lt;判定条件!$C$6,"判定不能",IF(X123&gt;=判定条件!$C$7*W123,"運転",IF(X123&lt;=判定条件!$C$8*W123,"停止","断続")))</f>
        <v>停止</v>
      </c>
      <c r="Z123" s="30" t="n">
        <v>60</v>
      </c>
      <c r="AA123" s="30" t="n">
        <v>0</v>
      </c>
      <c r="AB123" s="30" t="str">
        <f aca="false">IF(Z123&lt;判定条件!$C$6,"判定不能",IF(AA123&gt;=判定条件!$C$7*Z123,"運転",IF(AA123&lt;=判定条件!$C$8*Z123,"停止","断続")))</f>
        <v>停止</v>
      </c>
      <c r="AC123" s="30" t="n">
        <v>60</v>
      </c>
      <c r="AD123" s="30" t="n">
        <v>0</v>
      </c>
      <c r="AE123" s="30" t="str">
        <f aca="false">IF(AC123&lt;判定条件!$C$6,"判定不能",IF(AD123&gt;=判定条件!$C$7*AC123,"運転",IF(AD123&lt;=判定条件!$C$8*AC123,"停止","断続")))</f>
        <v>停止</v>
      </c>
      <c r="AF123" s="30" t="n">
        <v>60</v>
      </c>
      <c r="AG123" s="30" t="n">
        <v>0</v>
      </c>
      <c r="AH123" s="30" t="str">
        <f aca="false">IF(OR(P123="判定不能",G123="判定不能"),"判定不能",IF(AG123&gt;=判定条件!$C$9,"利用可",IF(AND(P123="停止",G123="停止"),"両方停止","運転がそろわない")))</f>
        <v>両方停止</v>
      </c>
      <c r="AI123" s="30" t="n">
        <v>60</v>
      </c>
      <c r="AJ123" s="30" t="n">
        <v>0</v>
      </c>
      <c r="AK123" s="30" t="str">
        <f aca="false">IF(OR(S123="判定不能",J123="判定不能"),"判定不能",IF(AJ123&gt;=判定条件!$C$9,"利用可",IF(AND(S123="停止",J123="停止"),"両方停止","運転がそろわない")))</f>
        <v>両方停止</v>
      </c>
      <c r="AL123" s="30" t="n">
        <v>60</v>
      </c>
      <c r="AM123" s="30" t="n">
        <v>0</v>
      </c>
      <c r="AN123" s="30" t="str">
        <f aca="false">IF(OR(V123="判定不能",M123="判定不能"),"判定不能",IF(AM123&gt;=判定条件!$C$9,"利用可",IF(AND(V123="停止",M123="停止"),"両方停止","運転がそろわない")))</f>
        <v>運転がそろわない</v>
      </c>
      <c r="AO123" s="30" t="n">
        <v>60</v>
      </c>
      <c r="AP123" s="30" t="n">
        <v>0</v>
      </c>
      <c r="AQ123" s="30" t="str">
        <f aca="false">IF(OR(Y123="判定不能",G123="判定不能"),"判定不能",IF(AP123&gt;=判定条件!$C$9,"利用可",IF(AND(Y123="停止",G123="停止"),"両方停止","運転がそろわない")))</f>
        <v>両方停止</v>
      </c>
      <c r="AR123" s="30" t="n">
        <v>60</v>
      </c>
      <c r="AS123" s="30" t="n">
        <v>0</v>
      </c>
      <c r="AT123" s="30" t="str">
        <f aca="false">IF(OR(AB123="判定不能",J123="判定不能"),"判定不能",IF(AS123&gt;=判定条件!$C$9,"利用可",IF(AND(AB123="停止",J123="停止"),"両方停止","運転がそろわない")))</f>
        <v>両方停止</v>
      </c>
      <c r="AU123" s="30" t="n">
        <v>60</v>
      </c>
      <c r="AV123" s="30" t="n">
        <v>0</v>
      </c>
      <c r="AW123" s="30" t="str">
        <f aca="false">IF(OR(AE123="判定不能",M123="判定不能"),"判定不能",IF(AV123&gt;=判定条件!$C$9,"利用可",IF(AND(AE123="停止",M123="停止"),"両方停止","運転がそろわない")))</f>
        <v>運転がそろわない</v>
      </c>
      <c r="AX123" s="30" t="str">
        <f aca="false">IF(AND(AH123="利用可",AK123="利用可",AN123="利用可"),"利用可","不可")</f>
        <v>不可</v>
      </c>
      <c r="AY123" s="30" t="str">
        <f aca="false">IF(AND(AQ123="利用可",AT123="利用可",AW123="利用可"),"利用可","不可")</f>
        <v>不可</v>
      </c>
    </row>
    <row r="124" customFormat="false" ht="15" hidden="false" customHeight="false" outlineLevel="0" collapsed="false">
      <c r="A124" s="29" t="n">
        <v>46237</v>
      </c>
      <c r="B124" s="30" t="n">
        <v>1</v>
      </c>
      <c r="C124" s="31" t="s">
        <v>66</v>
      </c>
      <c r="D124" s="31" t="s">
        <v>59</v>
      </c>
      <c r="E124" s="30" t="n">
        <v>60</v>
      </c>
      <c r="F124" s="30" t="n">
        <v>0</v>
      </c>
      <c r="G124" s="30" t="str">
        <f aca="false">IF(E124&lt;判定条件!$C$6,"判定不能",IF(F124&gt;=判定条件!$C$7*E124,"運転",IF(F124&lt;=判定条件!$C$8*E124,"停止","断続")))</f>
        <v>停止</v>
      </c>
      <c r="H124" s="30" t="n">
        <v>60</v>
      </c>
      <c r="I124" s="30" t="n">
        <v>0</v>
      </c>
      <c r="J124" s="30" t="str">
        <f aca="false">IF(H124&lt;判定条件!$C$6,"判定不能",IF(I124&gt;=判定条件!$C$7*H124,"運転",IF(I124&lt;=判定条件!$C$8*H124,"停止","断続")))</f>
        <v>停止</v>
      </c>
      <c r="K124" s="30" t="n">
        <v>60</v>
      </c>
      <c r="L124" s="30" t="n">
        <v>60</v>
      </c>
      <c r="M124" s="30" t="str">
        <f aca="false">IF(K124&lt;判定条件!$C$6,"判定不能",IF(L124&gt;=判定条件!$C$7*K124,"運転",IF(L124&lt;=判定条件!$C$8*K124,"停止","断続")))</f>
        <v>運転</v>
      </c>
      <c r="N124" s="30" t="n">
        <v>60</v>
      </c>
      <c r="O124" s="30" t="n">
        <v>0</v>
      </c>
      <c r="P124" s="30" t="str">
        <f aca="false">IF(N124&lt;判定条件!$C$6,"判定不能",IF(O124&gt;=判定条件!$C$7*N124,"運転",IF(O124&lt;=判定条件!$C$8*N124,"停止","断続")))</f>
        <v>停止</v>
      </c>
      <c r="Q124" s="30" t="n">
        <v>60</v>
      </c>
      <c r="R124" s="30" t="n">
        <v>0</v>
      </c>
      <c r="S124" s="30" t="str">
        <f aca="false">IF(Q124&lt;判定条件!$C$6,"判定不能",IF(R124&gt;=判定条件!$C$7*Q124,"運転",IF(R124&lt;=判定条件!$C$8*Q124,"停止","断続")))</f>
        <v>停止</v>
      </c>
      <c r="T124" s="30" t="n">
        <v>60</v>
      </c>
      <c r="U124" s="30" t="n">
        <v>0</v>
      </c>
      <c r="V124" s="30" t="str">
        <f aca="false">IF(T124&lt;判定条件!$C$6,"判定不能",IF(U124&gt;=判定条件!$C$7*T124,"運転",IF(U124&lt;=判定条件!$C$8*T124,"停止","断続")))</f>
        <v>停止</v>
      </c>
      <c r="W124" s="30" t="n">
        <v>60</v>
      </c>
      <c r="X124" s="30" t="n">
        <v>0</v>
      </c>
      <c r="Y124" s="30" t="str">
        <f aca="false">IF(W124&lt;判定条件!$C$6,"判定不能",IF(X124&gt;=判定条件!$C$7*W124,"運転",IF(X124&lt;=判定条件!$C$8*W124,"停止","断続")))</f>
        <v>停止</v>
      </c>
      <c r="Z124" s="30" t="n">
        <v>60</v>
      </c>
      <c r="AA124" s="30" t="n">
        <v>0</v>
      </c>
      <c r="AB124" s="30" t="str">
        <f aca="false">IF(Z124&lt;判定条件!$C$6,"判定不能",IF(AA124&gt;=判定条件!$C$7*Z124,"運転",IF(AA124&lt;=判定条件!$C$8*Z124,"停止","断続")))</f>
        <v>停止</v>
      </c>
      <c r="AC124" s="30" t="n">
        <v>60</v>
      </c>
      <c r="AD124" s="30" t="n">
        <v>0</v>
      </c>
      <c r="AE124" s="30" t="str">
        <f aca="false">IF(AC124&lt;判定条件!$C$6,"判定不能",IF(AD124&gt;=判定条件!$C$7*AC124,"運転",IF(AD124&lt;=判定条件!$C$8*AC124,"停止","断続")))</f>
        <v>停止</v>
      </c>
      <c r="AF124" s="30" t="n">
        <v>60</v>
      </c>
      <c r="AG124" s="30" t="n">
        <v>0</v>
      </c>
      <c r="AH124" s="30" t="str">
        <f aca="false">IF(OR(P124="判定不能",G124="判定不能"),"判定不能",IF(AG124&gt;=判定条件!$C$9,"利用可",IF(AND(P124="停止",G124="停止"),"両方停止","運転がそろわない")))</f>
        <v>両方停止</v>
      </c>
      <c r="AI124" s="30" t="n">
        <v>60</v>
      </c>
      <c r="AJ124" s="30" t="n">
        <v>0</v>
      </c>
      <c r="AK124" s="30" t="str">
        <f aca="false">IF(OR(S124="判定不能",J124="判定不能"),"判定不能",IF(AJ124&gt;=判定条件!$C$9,"利用可",IF(AND(S124="停止",J124="停止"),"両方停止","運転がそろわない")))</f>
        <v>両方停止</v>
      </c>
      <c r="AL124" s="30" t="n">
        <v>60</v>
      </c>
      <c r="AM124" s="30" t="n">
        <v>0</v>
      </c>
      <c r="AN124" s="30" t="str">
        <f aca="false">IF(OR(V124="判定不能",M124="判定不能"),"判定不能",IF(AM124&gt;=判定条件!$C$9,"利用可",IF(AND(V124="停止",M124="停止"),"両方停止","運転がそろわない")))</f>
        <v>運転がそろわない</v>
      </c>
      <c r="AO124" s="30" t="n">
        <v>60</v>
      </c>
      <c r="AP124" s="30" t="n">
        <v>0</v>
      </c>
      <c r="AQ124" s="30" t="str">
        <f aca="false">IF(OR(Y124="判定不能",G124="判定不能"),"判定不能",IF(AP124&gt;=判定条件!$C$9,"利用可",IF(AND(Y124="停止",G124="停止"),"両方停止","運転がそろわない")))</f>
        <v>両方停止</v>
      </c>
      <c r="AR124" s="30" t="n">
        <v>60</v>
      </c>
      <c r="AS124" s="30" t="n">
        <v>0</v>
      </c>
      <c r="AT124" s="30" t="str">
        <f aca="false">IF(OR(AB124="判定不能",J124="判定不能"),"判定不能",IF(AS124&gt;=判定条件!$C$9,"利用可",IF(AND(AB124="停止",J124="停止"),"両方停止","運転がそろわない")))</f>
        <v>両方停止</v>
      </c>
      <c r="AU124" s="30" t="n">
        <v>60</v>
      </c>
      <c r="AV124" s="30" t="n">
        <v>0</v>
      </c>
      <c r="AW124" s="30" t="str">
        <f aca="false">IF(OR(AE124="判定不能",M124="判定不能"),"判定不能",IF(AV124&gt;=判定条件!$C$9,"利用可",IF(AND(AE124="停止",M124="停止"),"両方停止","運転がそろわない")))</f>
        <v>運転がそろわない</v>
      </c>
      <c r="AX124" s="30" t="str">
        <f aca="false">IF(AND(AH124="利用可",AK124="利用可",AN124="利用可"),"利用可","不可")</f>
        <v>不可</v>
      </c>
      <c r="AY124" s="30" t="str">
        <f aca="false">IF(AND(AQ124="利用可",AT124="利用可",AW124="利用可"),"利用可","不可")</f>
        <v>不可</v>
      </c>
    </row>
    <row r="125" customFormat="false" ht="15" hidden="false" customHeight="false" outlineLevel="0" collapsed="false">
      <c r="A125" s="29" t="n">
        <v>46237</v>
      </c>
      <c r="B125" s="30" t="n">
        <v>2</v>
      </c>
      <c r="C125" s="31" t="s">
        <v>66</v>
      </c>
      <c r="D125" s="31" t="s">
        <v>59</v>
      </c>
      <c r="E125" s="30" t="n">
        <v>60</v>
      </c>
      <c r="F125" s="30" t="n">
        <v>0</v>
      </c>
      <c r="G125" s="30" t="str">
        <f aca="false">IF(E125&lt;判定条件!$C$6,"判定不能",IF(F125&gt;=判定条件!$C$7*E125,"運転",IF(F125&lt;=判定条件!$C$8*E125,"停止","断続")))</f>
        <v>停止</v>
      </c>
      <c r="H125" s="30" t="n">
        <v>60</v>
      </c>
      <c r="I125" s="30" t="n">
        <v>0</v>
      </c>
      <c r="J125" s="30" t="str">
        <f aca="false">IF(H125&lt;判定条件!$C$6,"判定不能",IF(I125&gt;=判定条件!$C$7*H125,"運転",IF(I125&lt;=判定条件!$C$8*H125,"停止","断続")))</f>
        <v>停止</v>
      </c>
      <c r="K125" s="30" t="n">
        <v>60</v>
      </c>
      <c r="L125" s="30" t="n">
        <v>60</v>
      </c>
      <c r="M125" s="30" t="str">
        <f aca="false">IF(K125&lt;判定条件!$C$6,"判定不能",IF(L125&gt;=判定条件!$C$7*K125,"運転",IF(L125&lt;=判定条件!$C$8*K125,"停止","断続")))</f>
        <v>運転</v>
      </c>
      <c r="N125" s="30" t="n">
        <v>60</v>
      </c>
      <c r="O125" s="30" t="n">
        <v>0</v>
      </c>
      <c r="P125" s="30" t="str">
        <f aca="false">IF(N125&lt;判定条件!$C$6,"判定不能",IF(O125&gt;=判定条件!$C$7*N125,"運転",IF(O125&lt;=判定条件!$C$8*N125,"停止","断続")))</f>
        <v>停止</v>
      </c>
      <c r="Q125" s="30" t="n">
        <v>60</v>
      </c>
      <c r="R125" s="30" t="n">
        <v>0</v>
      </c>
      <c r="S125" s="30" t="str">
        <f aca="false">IF(Q125&lt;判定条件!$C$6,"判定不能",IF(R125&gt;=判定条件!$C$7*Q125,"運転",IF(R125&lt;=判定条件!$C$8*Q125,"停止","断続")))</f>
        <v>停止</v>
      </c>
      <c r="T125" s="30" t="n">
        <v>60</v>
      </c>
      <c r="U125" s="30" t="n">
        <v>0</v>
      </c>
      <c r="V125" s="30" t="str">
        <f aca="false">IF(T125&lt;判定条件!$C$6,"判定不能",IF(U125&gt;=判定条件!$C$7*T125,"運転",IF(U125&lt;=判定条件!$C$8*T125,"停止","断続")))</f>
        <v>停止</v>
      </c>
      <c r="W125" s="30" t="n">
        <v>60</v>
      </c>
      <c r="X125" s="30" t="n">
        <v>0</v>
      </c>
      <c r="Y125" s="30" t="str">
        <f aca="false">IF(W125&lt;判定条件!$C$6,"判定不能",IF(X125&gt;=判定条件!$C$7*W125,"運転",IF(X125&lt;=判定条件!$C$8*W125,"停止","断続")))</f>
        <v>停止</v>
      </c>
      <c r="Z125" s="30" t="n">
        <v>60</v>
      </c>
      <c r="AA125" s="30" t="n">
        <v>0</v>
      </c>
      <c r="AB125" s="30" t="str">
        <f aca="false">IF(Z125&lt;判定条件!$C$6,"判定不能",IF(AA125&gt;=判定条件!$C$7*Z125,"運転",IF(AA125&lt;=判定条件!$C$8*Z125,"停止","断続")))</f>
        <v>停止</v>
      </c>
      <c r="AC125" s="30" t="n">
        <v>60</v>
      </c>
      <c r="AD125" s="30" t="n">
        <v>0</v>
      </c>
      <c r="AE125" s="30" t="str">
        <f aca="false">IF(AC125&lt;判定条件!$C$6,"判定不能",IF(AD125&gt;=判定条件!$C$7*AC125,"運転",IF(AD125&lt;=判定条件!$C$8*AC125,"停止","断続")))</f>
        <v>停止</v>
      </c>
      <c r="AF125" s="30" t="n">
        <v>60</v>
      </c>
      <c r="AG125" s="30" t="n">
        <v>0</v>
      </c>
      <c r="AH125" s="30" t="str">
        <f aca="false">IF(OR(P125="判定不能",G125="判定不能"),"判定不能",IF(AG125&gt;=判定条件!$C$9,"利用可",IF(AND(P125="停止",G125="停止"),"両方停止","運転がそろわない")))</f>
        <v>両方停止</v>
      </c>
      <c r="AI125" s="30" t="n">
        <v>60</v>
      </c>
      <c r="AJ125" s="30" t="n">
        <v>0</v>
      </c>
      <c r="AK125" s="30" t="str">
        <f aca="false">IF(OR(S125="判定不能",J125="判定不能"),"判定不能",IF(AJ125&gt;=判定条件!$C$9,"利用可",IF(AND(S125="停止",J125="停止"),"両方停止","運転がそろわない")))</f>
        <v>両方停止</v>
      </c>
      <c r="AL125" s="30" t="n">
        <v>60</v>
      </c>
      <c r="AM125" s="30" t="n">
        <v>0</v>
      </c>
      <c r="AN125" s="30" t="str">
        <f aca="false">IF(OR(V125="判定不能",M125="判定不能"),"判定不能",IF(AM125&gt;=判定条件!$C$9,"利用可",IF(AND(V125="停止",M125="停止"),"両方停止","運転がそろわない")))</f>
        <v>運転がそろわない</v>
      </c>
      <c r="AO125" s="30" t="n">
        <v>60</v>
      </c>
      <c r="AP125" s="30" t="n">
        <v>0</v>
      </c>
      <c r="AQ125" s="30" t="str">
        <f aca="false">IF(OR(Y125="判定不能",G125="判定不能"),"判定不能",IF(AP125&gt;=判定条件!$C$9,"利用可",IF(AND(Y125="停止",G125="停止"),"両方停止","運転がそろわない")))</f>
        <v>両方停止</v>
      </c>
      <c r="AR125" s="30" t="n">
        <v>60</v>
      </c>
      <c r="AS125" s="30" t="n">
        <v>0</v>
      </c>
      <c r="AT125" s="30" t="str">
        <f aca="false">IF(OR(AB125="判定不能",J125="判定不能"),"判定不能",IF(AS125&gt;=判定条件!$C$9,"利用可",IF(AND(AB125="停止",J125="停止"),"両方停止","運転がそろわない")))</f>
        <v>両方停止</v>
      </c>
      <c r="AU125" s="30" t="n">
        <v>60</v>
      </c>
      <c r="AV125" s="30" t="n">
        <v>0</v>
      </c>
      <c r="AW125" s="30" t="str">
        <f aca="false">IF(OR(AE125="判定不能",M125="判定不能"),"判定不能",IF(AV125&gt;=判定条件!$C$9,"利用可",IF(AND(AE125="停止",M125="停止"),"両方停止","運転がそろわない")))</f>
        <v>運転がそろわない</v>
      </c>
      <c r="AX125" s="30" t="str">
        <f aca="false">IF(AND(AH125="利用可",AK125="利用可",AN125="利用可"),"利用可","不可")</f>
        <v>不可</v>
      </c>
      <c r="AY125" s="30" t="str">
        <f aca="false">IF(AND(AQ125="利用可",AT125="利用可",AW125="利用可"),"利用可","不可")</f>
        <v>不可</v>
      </c>
    </row>
    <row r="126" customFormat="false" ht="15" hidden="false" customHeight="false" outlineLevel="0" collapsed="false">
      <c r="A126" s="29" t="n">
        <v>46237</v>
      </c>
      <c r="B126" s="30" t="n">
        <v>3</v>
      </c>
      <c r="C126" s="31" t="s">
        <v>66</v>
      </c>
      <c r="D126" s="31" t="s">
        <v>59</v>
      </c>
      <c r="E126" s="30" t="n">
        <v>60</v>
      </c>
      <c r="F126" s="30" t="n">
        <v>0</v>
      </c>
      <c r="G126" s="30" t="str">
        <f aca="false">IF(E126&lt;判定条件!$C$6,"判定不能",IF(F126&gt;=判定条件!$C$7*E126,"運転",IF(F126&lt;=判定条件!$C$8*E126,"停止","断続")))</f>
        <v>停止</v>
      </c>
      <c r="H126" s="30" t="n">
        <v>60</v>
      </c>
      <c r="I126" s="30" t="n">
        <v>0</v>
      </c>
      <c r="J126" s="30" t="str">
        <f aca="false">IF(H126&lt;判定条件!$C$6,"判定不能",IF(I126&gt;=判定条件!$C$7*H126,"運転",IF(I126&lt;=判定条件!$C$8*H126,"停止","断続")))</f>
        <v>停止</v>
      </c>
      <c r="K126" s="30" t="n">
        <v>60</v>
      </c>
      <c r="L126" s="30" t="n">
        <v>60</v>
      </c>
      <c r="M126" s="30" t="str">
        <f aca="false">IF(K126&lt;判定条件!$C$6,"判定不能",IF(L126&gt;=判定条件!$C$7*K126,"運転",IF(L126&lt;=判定条件!$C$8*K126,"停止","断続")))</f>
        <v>運転</v>
      </c>
      <c r="N126" s="30" t="n">
        <v>60</v>
      </c>
      <c r="O126" s="30" t="n">
        <v>0</v>
      </c>
      <c r="P126" s="30" t="str">
        <f aca="false">IF(N126&lt;判定条件!$C$6,"判定不能",IF(O126&gt;=判定条件!$C$7*N126,"運転",IF(O126&lt;=判定条件!$C$8*N126,"停止","断続")))</f>
        <v>停止</v>
      </c>
      <c r="Q126" s="30" t="n">
        <v>60</v>
      </c>
      <c r="R126" s="30" t="n">
        <v>0</v>
      </c>
      <c r="S126" s="30" t="str">
        <f aca="false">IF(Q126&lt;判定条件!$C$6,"判定不能",IF(R126&gt;=判定条件!$C$7*Q126,"運転",IF(R126&lt;=判定条件!$C$8*Q126,"停止","断続")))</f>
        <v>停止</v>
      </c>
      <c r="T126" s="30" t="n">
        <v>60</v>
      </c>
      <c r="U126" s="30" t="n">
        <v>0</v>
      </c>
      <c r="V126" s="30" t="str">
        <f aca="false">IF(T126&lt;判定条件!$C$6,"判定不能",IF(U126&gt;=判定条件!$C$7*T126,"運転",IF(U126&lt;=判定条件!$C$8*T126,"停止","断続")))</f>
        <v>停止</v>
      </c>
      <c r="W126" s="30" t="n">
        <v>60</v>
      </c>
      <c r="X126" s="30" t="n">
        <v>0</v>
      </c>
      <c r="Y126" s="30" t="str">
        <f aca="false">IF(W126&lt;判定条件!$C$6,"判定不能",IF(X126&gt;=判定条件!$C$7*W126,"運転",IF(X126&lt;=判定条件!$C$8*W126,"停止","断続")))</f>
        <v>停止</v>
      </c>
      <c r="Z126" s="30" t="n">
        <v>60</v>
      </c>
      <c r="AA126" s="30" t="n">
        <v>0</v>
      </c>
      <c r="AB126" s="30" t="str">
        <f aca="false">IF(Z126&lt;判定条件!$C$6,"判定不能",IF(AA126&gt;=判定条件!$C$7*Z126,"運転",IF(AA126&lt;=判定条件!$C$8*Z126,"停止","断続")))</f>
        <v>停止</v>
      </c>
      <c r="AC126" s="30" t="n">
        <v>60</v>
      </c>
      <c r="AD126" s="30" t="n">
        <v>0</v>
      </c>
      <c r="AE126" s="30" t="str">
        <f aca="false">IF(AC126&lt;判定条件!$C$6,"判定不能",IF(AD126&gt;=判定条件!$C$7*AC126,"運転",IF(AD126&lt;=判定条件!$C$8*AC126,"停止","断続")))</f>
        <v>停止</v>
      </c>
      <c r="AF126" s="30" t="n">
        <v>60</v>
      </c>
      <c r="AG126" s="30" t="n">
        <v>0</v>
      </c>
      <c r="AH126" s="30" t="str">
        <f aca="false">IF(OR(P126="判定不能",G126="判定不能"),"判定不能",IF(AG126&gt;=判定条件!$C$9,"利用可",IF(AND(P126="停止",G126="停止"),"両方停止","運転がそろわない")))</f>
        <v>両方停止</v>
      </c>
      <c r="AI126" s="30" t="n">
        <v>60</v>
      </c>
      <c r="AJ126" s="30" t="n">
        <v>0</v>
      </c>
      <c r="AK126" s="30" t="str">
        <f aca="false">IF(OR(S126="判定不能",J126="判定不能"),"判定不能",IF(AJ126&gt;=判定条件!$C$9,"利用可",IF(AND(S126="停止",J126="停止"),"両方停止","運転がそろわない")))</f>
        <v>両方停止</v>
      </c>
      <c r="AL126" s="30" t="n">
        <v>60</v>
      </c>
      <c r="AM126" s="30" t="n">
        <v>0</v>
      </c>
      <c r="AN126" s="30" t="str">
        <f aca="false">IF(OR(V126="判定不能",M126="判定不能"),"判定不能",IF(AM126&gt;=判定条件!$C$9,"利用可",IF(AND(V126="停止",M126="停止"),"両方停止","運転がそろわない")))</f>
        <v>運転がそろわない</v>
      </c>
      <c r="AO126" s="30" t="n">
        <v>60</v>
      </c>
      <c r="AP126" s="30" t="n">
        <v>0</v>
      </c>
      <c r="AQ126" s="30" t="str">
        <f aca="false">IF(OR(Y126="判定不能",G126="判定不能"),"判定不能",IF(AP126&gt;=判定条件!$C$9,"利用可",IF(AND(Y126="停止",G126="停止"),"両方停止","運転がそろわない")))</f>
        <v>両方停止</v>
      </c>
      <c r="AR126" s="30" t="n">
        <v>60</v>
      </c>
      <c r="AS126" s="30" t="n">
        <v>0</v>
      </c>
      <c r="AT126" s="30" t="str">
        <f aca="false">IF(OR(AB126="判定不能",J126="判定不能"),"判定不能",IF(AS126&gt;=判定条件!$C$9,"利用可",IF(AND(AB126="停止",J126="停止"),"両方停止","運転がそろわない")))</f>
        <v>両方停止</v>
      </c>
      <c r="AU126" s="30" t="n">
        <v>60</v>
      </c>
      <c r="AV126" s="30" t="n">
        <v>0</v>
      </c>
      <c r="AW126" s="30" t="str">
        <f aca="false">IF(OR(AE126="判定不能",M126="判定不能"),"判定不能",IF(AV126&gt;=判定条件!$C$9,"利用可",IF(AND(AE126="停止",M126="停止"),"両方停止","運転がそろわない")))</f>
        <v>運転がそろわない</v>
      </c>
      <c r="AX126" s="30" t="str">
        <f aca="false">IF(AND(AH126="利用可",AK126="利用可",AN126="利用可"),"利用可","不可")</f>
        <v>不可</v>
      </c>
      <c r="AY126" s="30" t="str">
        <f aca="false">IF(AND(AQ126="利用可",AT126="利用可",AW126="利用可"),"利用可","不可")</f>
        <v>不可</v>
      </c>
    </row>
    <row r="127" customFormat="false" ht="15" hidden="false" customHeight="false" outlineLevel="0" collapsed="false">
      <c r="A127" s="29" t="n">
        <v>46237</v>
      </c>
      <c r="B127" s="30" t="n">
        <v>4</v>
      </c>
      <c r="C127" s="31" t="s">
        <v>66</v>
      </c>
      <c r="D127" s="31" t="s">
        <v>59</v>
      </c>
      <c r="E127" s="30" t="n">
        <v>60</v>
      </c>
      <c r="F127" s="30" t="n">
        <v>0</v>
      </c>
      <c r="G127" s="30" t="str">
        <f aca="false">IF(E127&lt;判定条件!$C$6,"判定不能",IF(F127&gt;=判定条件!$C$7*E127,"運転",IF(F127&lt;=判定条件!$C$8*E127,"停止","断続")))</f>
        <v>停止</v>
      </c>
      <c r="H127" s="30" t="n">
        <v>60</v>
      </c>
      <c r="I127" s="30" t="n">
        <v>0</v>
      </c>
      <c r="J127" s="30" t="str">
        <f aca="false">IF(H127&lt;判定条件!$C$6,"判定不能",IF(I127&gt;=判定条件!$C$7*H127,"運転",IF(I127&lt;=判定条件!$C$8*H127,"停止","断続")))</f>
        <v>停止</v>
      </c>
      <c r="K127" s="30" t="n">
        <v>60</v>
      </c>
      <c r="L127" s="30" t="n">
        <v>60</v>
      </c>
      <c r="M127" s="30" t="str">
        <f aca="false">IF(K127&lt;判定条件!$C$6,"判定不能",IF(L127&gt;=判定条件!$C$7*K127,"運転",IF(L127&lt;=判定条件!$C$8*K127,"停止","断続")))</f>
        <v>運転</v>
      </c>
      <c r="N127" s="30" t="n">
        <v>60</v>
      </c>
      <c r="O127" s="30" t="n">
        <v>0</v>
      </c>
      <c r="P127" s="30" t="str">
        <f aca="false">IF(N127&lt;判定条件!$C$6,"判定不能",IF(O127&gt;=判定条件!$C$7*N127,"運転",IF(O127&lt;=判定条件!$C$8*N127,"停止","断続")))</f>
        <v>停止</v>
      </c>
      <c r="Q127" s="30" t="n">
        <v>60</v>
      </c>
      <c r="R127" s="30" t="n">
        <v>0</v>
      </c>
      <c r="S127" s="30" t="str">
        <f aca="false">IF(Q127&lt;判定条件!$C$6,"判定不能",IF(R127&gt;=判定条件!$C$7*Q127,"運転",IF(R127&lt;=判定条件!$C$8*Q127,"停止","断続")))</f>
        <v>停止</v>
      </c>
      <c r="T127" s="30" t="n">
        <v>60</v>
      </c>
      <c r="U127" s="30" t="n">
        <v>0</v>
      </c>
      <c r="V127" s="30" t="str">
        <f aca="false">IF(T127&lt;判定条件!$C$6,"判定不能",IF(U127&gt;=判定条件!$C$7*T127,"運転",IF(U127&lt;=判定条件!$C$8*T127,"停止","断続")))</f>
        <v>停止</v>
      </c>
      <c r="W127" s="30" t="n">
        <v>60</v>
      </c>
      <c r="X127" s="30" t="n">
        <v>0</v>
      </c>
      <c r="Y127" s="30" t="str">
        <f aca="false">IF(W127&lt;判定条件!$C$6,"判定不能",IF(X127&gt;=判定条件!$C$7*W127,"運転",IF(X127&lt;=判定条件!$C$8*W127,"停止","断続")))</f>
        <v>停止</v>
      </c>
      <c r="Z127" s="30" t="n">
        <v>60</v>
      </c>
      <c r="AA127" s="30" t="n">
        <v>0</v>
      </c>
      <c r="AB127" s="30" t="str">
        <f aca="false">IF(Z127&lt;判定条件!$C$6,"判定不能",IF(AA127&gt;=判定条件!$C$7*Z127,"運転",IF(AA127&lt;=判定条件!$C$8*Z127,"停止","断続")))</f>
        <v>停止</v>
      </c>
      <c r="AC127" s="30" t="n">
        <v>60</v>
      </c>
      <c r="AD127" s="30" t="n">
        <v>0</v>
      </c>
      <c r="AE127" s="30" t="str">
        <f aca="false">IF(AC127&lt;判定条件!$C$6,"判定不能",IF(AD127&gt;=判定条件!$C$7*AC127,"運転",IF(AD127&lt;=判定条件!$C$8*AC127,"停止","断続")))</f>
        <v>停止</v>
      </c>
      <c r="AF127" s="30" t="n">
        <v>60</v>
      </c>
      <c r="AG127" s="30" t="n">
        <v>0</v>
      </c>
      <c r="AH127" s="30" t="str">
        <f aca="false">IF(OR(P127="判定不能",G127="判定不能"),"判定不能",IF(AG127&gt;=判定条件!$C$9,"利用可",IF(AND(P127="停止",G127="停止"),"両方停止","運転がそろわない")))</f>
        <v>両方停止</v>
      </c>
      <c r="AI127" s="30" t="n">
        <v>60</v>
      </c>
      <c r="AJ127" s="30" t="n">
        <v>0</v>
      </c>
      <c r="AK127" s="30" t="str">
        <f aca="false">IF(OR(S127="判定不能",J127="判定不能"),"判定不能",IF(AJ127&gt;=判定条件!$C$9,"利用可",IF(AND(S127="停止",J127="停止"),"両方停止","運転がそろわない")))</f>
        <v>両方停止</v>
      </c>
      <c r="AL127" s="30" t="n">
        <v>60</v>
      </c>
      <c r="AM127" s="30" t="n">
        <v>0</v>
      </c>
      <c r="AN127" s="30" t="str">
        <f aca="false">IF(OR(V127="判定不能",M127="判定不能"),"判定不能",IF(AM127&gt;=判定条件!$C$9,"利用可",IF(AND(V127="停止",M127="停止"),"両方停止","運転がそろわない")))</f>
        <v>運転がそろわない</v>
      </c>
      <c r="AO127" s="30" t="n">
        <v>60</v>
      </c>
      <c r="AP127" s="30" t="n">
        <v>0</v>
      </c>
      <c r="AQ127" s="30" t="str">
        <f aca="false">IF(OR(Y127="判定不能",G127="判定不能"),"判定不能",IF(AP127&gt;=判定条件!$C$9,"利用可",IF(AND(Y127="停止",G127="停止"),"両方停止","運転がそろわない")))</f>
        <v>両方停止</v>
      </c>
      <c r="AR127" s="30" t="n">
        <v>60</v>
      </c>
      <c r="AS127" s="30" t="n">
        <v>0</v>
      </c>
      <c r="AT127" s="30" t="str">
        <f aca="false">IF(OR(AB127="判定不能",J127="判定不能"),"判定不能",IF(AS127&gt;=判定条件!$C$9,"利用可",IF(AND(AB127="停止",J127="停止"),"両方停止","運転がそろわない")))</f>
        <v>両方停止</v>
      </c>
      <c r="AU127" s="30" t="n">
        <v>60</v>
      </c>
      <c r="AV127" s="30" t="n">
        <v>0</v>
      </c>
      <c r="AW127" s="30" t="str">
        <f aca="false">IF(OR(AE127="判定不能",M127="判定不能"),"判定不能",IF(AV127&gt;=判定条件!$C$9,"利用可",IF(AND(AE127="停止",M127="停止"),"両方停止","運転がそろわない")))</f>
        <v>運転がそろわない</v>
      </c>
      <c r="AX127" s="30" t="str">
        <f aca="false">IF(AND(AH127="利用可",AK127="利用可",AN127="利用可"),"利用可","不可")</f>
        <v>不可</v>
      </c>
      <c r="AY127" s="30" t="str">
        <f aca="false">IF(AND(AQ127="利用可",AT127="利用可",AW127="利用可"),"利用可","不可")</f>
        <v>不可</v>
      </c>
    </row>
    <row r="128" customFormat="false" ht="15" hidden="false" customHeight="false" outlineLevel="0" collapsed="false">
      <c r="A128" s="29" t="n">
        <v>46237</v>
      </c>
      <c r="B128" s="30" t="n">
        <v>5</v>
      </c>
      <c r="C128" s="31" t="s">
        <v>66</v>
      </c>
      <c r="D128" s="31" t="s">
        <v>59</v>
      </c>
      <c r="E128" s="30" t="n">
        <v>60</v>
      </c>
      <c r="F128" s="30" t="n">
        <v>0</v>
      </c>
      <c r="G128" s="30" t="str">
        <f aca="false">IF(E128&lt;判定条件!$C$6,"判定不能",IF(F128&gt;=判定条件!$C$7*E128,"運転",IF(F128&lt;=判定条件!$C$8*E128,"停止","断続")))</f>
        <v>停止</v>
      </c>
      <c r="H128" s="30" t="n">
        <v>60</v>
      </c>
      <c r="I128" s="30" t="n">
        <v>0</v>
      </c>
      <c r="J128" s="30" t="str">
        <f aca="false">IF(H128&lt;判定条件!$C$6,"判定不能",IF(I128&gt;=判定条件!$C$7*H128,"運転",IF(I128&lt;=判定条件!$C$8*H128,"停止","断続")))</f>
        <v>停止</v>
      </c>
      <c r="K128" s="30" t="n">
        <v>60</v>
      </c>
      <c r="L128" s="30" t="n">
        <v>60</v>
      </c>
      <c r="M128" s="30" t="str">
        <f aca="false">IF(K128&lt;判定条件!$C$6,"判定不能",IF(L128&gt;=判定条件!$C$7*K128,"運転",IF(L128&lt;=判定条件!$C$8*K128,"停止","断続")))</f>
        <v>運転</v>
      </c>
      <c r="N128" s="30" t="n">
        <v>60</v>
      </c>
      <c r="O128" s="30" t="n">
        <v>0</v>
      </c>
      <c r="P128" s="30" t="str">
        <f aca="false">IF(N128&lt;判定条件!$C$6,"判定不能",IF(O128&gt;=判定条件!$C$7*N128,"運転",IF(O128&lt;=判定条件!$C$8*N128,"停止","断続")))</f>
        <v>停止</v>
      </c>
      <c r="Q128" s="30" t="n">
        <v>60</v>
      </c>
      <c r="R128" s="30" t="n">
        <v>0</v>
      </c>
      <c r="S128" s="30" t="str">
        <f aca="false">IF(Q128&lt;判定条件!$C$6,"判定不能",IF(R128&gt;=判定条件!$C$7*Q128,"運転",IF(R128&lt;=判定条件!$C$8*Q128,"停止","断続")))</f>
        <v>停止</v>
      </c>
      <c r="T128" s="30" t="n">
        <v>60</v>
      </c>
      <c r="U128" s="30" t="n">
        <v>0</v>
      </c>
      <c r="V128" s="30" t="str">
        <f aca="false">IF(T128&lt;判定条件!$C$6,"判定不能",IF(U128&gt;=判定条件!$C$7*T128,"運転",IF(U128&lt;=判定条件!$C$8*T128,"停止","断続")))</f>
        <v>停止</v>
      </c>
      <c r="W128" s="30" t="n">
        <v>60</v>
      </c>
      <c r="X128" s="30" t="n">
        <v>36</v>
      </c>
      <c r="Y128" s="30" t="str">
        <f aca="false">IF(W128&lt;判定条件!$C$6,"判定不能",IF(X128&gt;=判定条件!$C$7*W128,"運転",IF(X128&lt;=判定条件!$C$8*W128,"停止","断続")))</f>
        <v>断続</v>
      </c>
      <c r="Z128" s="30" t="n">
        <v>60</v>
      </c>
      <c r="AA128" s="30" t="n">
        <v>11</v>
      </c>
      <c r="AB128" s="30" t="str">
        <f aca="false">IF(Z128&lt;判定条件!$C$6,"判定不能",IF(AA128&gt;=判定条件!$C$7*Z128,"運転",IF(AA128&lt;=判定条件!$C$8*Z128,"停止","断続")))</f>
        <v>停止</v>
      </c>
      <c r="AC128" s="30" t="n">
        <v>60</v>
      </c>
      <c r="AD128" s="30" t="n">
        <v>11</v>
      </c>
      <c r="AE128" s="30" t="str">
        <f aca="false">IF(AC128&lt;判定条件!$C$6,"判定不能",IF(AD128&gt;=判定条件!$C$7*AC128,"運転",IF(AD128&lt;=判定条件!$C$8*AC128,"停止","断続")))</f>
        <v>停止</v>
      </c>
      <c r="AF128" s="30" t="n">
        <v>60</v>
      </c>
      <c r="AG128" s="30" t="n">
        <v>0</v>
      </c>
      <c r="AH128" s="30" t="str">
        <f aca="false">IF(OR(P128="判定不能",G128="判定不能"),"判定不能",IF(AG128&gt;=判定条件!$C$9,"利用可",IF(AND(P128="停止",G128="停止"),"両方停止","運転がそろわない")))</f>
        <v>両方停止</v>
      </c>
      <c r="AI128" s="30" t="n">
        <v>60</v>
      </c>
      <c r="AJ128" s="30" t="n">
        <v>0</v>
      </c>
      <c r="AK128" s="30" t="str">
        <f aca="false">IF(OR(S128="判定不能",J128="判定不能"),"判定不能",IF(AJ128&gt;=判定条件!$C$9,"利用可",IF(AND(S128="停止",J128="停止"),"両方停止","運転がそろわない")))</f>
        <v>両方停止</v>
      </c>
      <c r="AL128" s="30" t="n">
        <v>60</v>
      </c>
      <c r="AM128" s="30" t="n">
        <v>0</v>
      </c>
      <c r="AN128" s="30" t="str">
        <f aca="false">IF(OR(V128="判定不能",M128="判定不能"),"判定不能",IF(AM128&gt;=判定条件!$C$9,"利用可",IF(AND(V128="停止",M128="停止"),"両方停止","運転がそろわない")))</f>
        <v>運転がそろわない</v>
      </c>
      <c r="AO128" s="30" t="n">
        <v>60</v>
      </c>
      <c r="AP128" s="30" t="n">
        <v>0</v>
      </c>
      <c r="AQ128" s="30" t="str">
        <f aca="false">IF(OR(Y128="判定不能",G128="判定不能"),"判定不能",IF(AP128&gt;=判定条件!$C$9,"利用可",IF(AND(Y128="停止",G128="停止"),"両方停止","運転がそろわない")))</f>
        <v>運転がそろわない</v>
      </c>
      <c r="AR128" s="30" t="n">
        <v>60</v>
      </c>
      <c r="AS128" s="30" t="n">
        <v>0</v>
      </c>
      <c r="AT128" s="30" t="str">
        <f aca="false">IF(OR(AB128="判定不能",J128="判定不能"),"判定不能",IF(AS128&gt;=判定条件!$C$9,"利用可",IF(AND(AB128="停止",J128="停止"),"両方停止","運転がそろわない")))</f>
        <v>両方停止</v>
      </c>
      <c r="AU128" s="30" t="n">
        <v>60</v>
      </c>
      <c r="AV128" s="30" t="n">
        <v>11</v>
      </c>
      <c r="AW128" s="30" t="str">
        <f aca="false">IF(OR(AE128="判定不能",M128="判定不能"),"判定不能",IF(AV128&gt;=判定条件!$C$9,"利用可",IF(AND(AE128="停止",M128="停止"),"両方停止","運転がそろわない")))</f>
        <v>運転がそろわない</v>
      </c>
      <c r="AX128" s="30" t="str">
        <f aca="false">IF(AND(AH128="利用可",AK128="利用可",AN128="利用可"),"利用可","不可")</f>
        <v>不可</v>
      </c>
      <c r="AY128" s="30" t="str">
        <f aca="false">IF(AND(AQ128="利用可",AT128="利用可",AW128="利用可"),"利用可","不可")</f>
        <v>不可</v>
      </c>
    </row>
    <row r="129" customFormat="false" ht="15" hidden="false" customHeight="false" outlineLevel="0" collapsed="false">
      <c r="A129" s="29" t="n">
        <v>46237</v>
      </c>
      <c r="B129" s="30" t="n">
        <v>6</v>
      </c>
      <c r="C129" s="31" t="s">
        <v>66</v>
      </c>
      <c r="D129" s="31" t="s">
        <v>59</v>
      </c>
      <c r="E129" s="30" t="n">
        <v>60</v>
      </c>
      <c r="F129" s="30" t="n">
        <v>0</v>
      </c>
      <c r="G129" s="30" t="str">
        <f aca="false">IF(E129&lt;判定条件!$C$6,"判定不能",IF(F129&gt;=判定条件!$C$7*E129,"運転",IF(F129&lt;=判定条件!$C$8*E129,"停止","断続")))</f>
        <v>停止</v>
      </c>
      <c r="H129" s="30" t="n">
        <v>60</v>
      </c>
      <c r="I129" s="30" t="n">
        <v>0</v>
      </c>
      <c r="J129" s="30" t="str">
        <f aca="false">IF(H129&lt;判定条件!$C$6,"判定不能",IF(I129&gt;=判定条件!$C$7*H129,"運転",IF(I129&lt;=判定条件!$C$8*H129,"停止","断続")))</f>
        <v>停止</v>
      </c>
      <c r="K129" s="30" t="n">
        <v>60</v>
      </c>
      <c r="L129" s="30" t="n">
        <v>60</v>
      </c>
      <c r="M129" s="30" t="str">
        <f aca="false">IF(K129&lt;判定条件!$C$6,"判定不能",IF(L129&gt;=判定条件!$C$7*K129,"運転",IF(L129&lt;=判定条件!$C$8*K129,"停止","断続")))</f>
        <v>運転</v>
      </c>
      <c r="N129" s="30" t="n">
        <v>60</v>
      </c>
      <c r="O129" s="30" t="n">
        <v>0</v>
      </c>
      <c r="P129" s="30" t="str">
        <f aca="false">IF(N129&lt;判定条件!$C$6,"判定不能",IF(O129&gt;=判定条件!$C$7*N129,"運転",IF(O129&lt;=判定条件!$C$8*N129,"停止","断続")))</f>
        <v>停止</v>
      </c>
      <c r="Q129" s="30" t="n">
        <v>60</v>
      </c>
      <c r="R129" s="30" t="n">
        <v>4</v>
      </c>
      <c r="S129" s="30" t="str">
        <f aca="false">IF(Q129&lt;判定条件!$C$6,"判定不能",IF(R129&gt;=判定条件!$C$7*Q129,"運転",IF(R129&lt;=判定条件!$C$8*Q129,"停止","断続")))</f>
        <v>停止</v>
      </c>
      <c r="T129" s="30" t="n">
        <v>60</v>
      </c>
      <c r="U129" s="30" t="n">
        <v>34</v>
      </c>
      <c r="V129" s="30" t="str">
        <f aca="false">IF(T129&lt;判定条件!$C$6,"判定不能",IF(U129&gt;=判定条件!$C$7*T129,"運転",IF(U129&lt;=判定条件!$C$8*T129,"停止","断続")))</f>
        <v>断続</v>
      </c>
      <c r="W129" s="30" t="n">
        <v>60</v>
      </c>
      <c r="X129" s="30" t="n">
        <v>50</v>
      </c>
      <c r="Y129" s="30" t="str">
        <f aca="false">IF(W129&lt;判定条件!$C$6,"判定不能",IF(X129&gt;=判定条件!$C$7*W129,"運転",IF(X129&lt;=判定条件!$C$8*W129,"停止","断続")))</f>
        <v>運転</v>
      </c>
      <c r="Z129" s="30" t="n">
        <v>60</v>
      </c>
      <c r="AA129" s="30" t="n">
        <v>41</v>
      </c>
      <c r="AB129" s="30" t="str">
        <f aca="false">IF(Z129&lt;判定条件!$C$6,"判定不能",IF(AA129&gt;=判定条件!$C$7*Z129,"運転",IF(AA129&lt;=判定条件!$C$8*Z129,"停止","断続")))</f>
        <v>断続</v>
      </c>
      <c r="AC129" s="30" t="n">
        <v>60</v>
      </c>
      <c r="AD129" s="30" t="n">
        <v>60</v>
      </c>
      <c r="AE129" s="30" t="str">
        <f aca="false">IF(AC129&lt;判定条件!$C$6,"判定不能",IF(AD129&gt;=判定条件!$C$7*AC129,"運転",IF(AD129&lt;=判定条件!$C$8*AC129,"停止","断続")))</f>
        <v>運転</v>
      </c>
      <c r="AF129" s="30" t="n">
        <v>60</v>
      </c>
      <c r="AG129" s="30" t="n">
        <v>0</v>
      </c>
      <c r="AH129" s="30" t="str">
        <f aca="false">IF(OR(P129="判定不能",G129="判定不能"),"判定不能",IF(AG129&gt;=判定条件!$C$9,"利用可",IF(AND(P129="停止",G129="停止"),"両方停止","運転がそろわない")))</f>
        <v>両方停止</v>
      </c>
      <c r="AI129" s="30" t="n">
        <v>60</v>
      </c>
      <c r="AJ129" s="30" t="n">
        <v>0</v>
      </c>
      <c r="AK129" s="30" t="str">
        <f aca="false">IF(OR(S129="判定不能",J129="判定不能"),"判定不能",IF(AJ129&gt;=判定条件!$C$9,"利用可",IF(AND(S129="停止",J129="停止"),"両方停止","運転がそろわない")))</f>
        <v>両方停止</v>
      </c>
      <c r="AL129" s="30" t="n">
        <v>60</v>
      </c>
      <c r="AM129" s="30" t="n">
        <v>34</v>
      </c>
      <c r="AN129" s="30" t="str">
        <f aca="false">IF(OR(V129="判定不能",M129="判定不能"),"判定不能",IF(AM129&gt;=判定条件!$C$9,"利用可",IF(AND(V129="停止",M129="停止"),"両方停止","運転がそろわない")))</f>
        <v>利用可</v>
      </c>
      <c r="AO129" s="30" t="n">
        <v>60</v>
      </c>
      <c r="AP129" s="30" t="n">
        <v>0</v>
      </c>
      <c r="AQ129" s="30" t="str">
        <f aca="false">IF(OR(Y129="判定不能",G129="判定不能"),"判定不能",IF(AP129&gt;=判定条件!$C$9,"利用可",IF(AND(Y129="停止",G129="停止"),"両方停止","運転がそろわない")))</f>
        <v>運転がそろわない</v>
      </c>
      <c r="AR129" s="30" t="n">
        <v>60</v>
      </c>
      <c r="AS129" s="30" t="n">
        <v>0</v>
      </c>
      <c r="AT129" s="30" t="str">
        <f aca="false">IF(OR(AB129="判定不能",J129="判定不能"),"判定不能",IF(AS129&gt;=判定条件!$C$9,"利用可",IF(AND(AB129="停止",J129="停止"),"両方停止","運転がそろわない")))</f>
        <v>運転がそろわない</v>
      </c>
      <c r="AU129" s="30" t="n">
        <v>60</v>
      </c>
      <c r="AV129" s="30" t="n">
        <v>60</v>
      </c>
      <c r="AW129" s="30" t="str">
        <f aca="false">IF(OR(AE129="判定不能",M129="判定不能"),"判定不能",IF(AV129&gt;=判定条件!$C$9,"利用可",IF(AND(AE129="停止",M129="停止"),"両方停止","運転がそろわない")))</f>
        <v>利用可</v>
      </c>
      <c r="AX129" s="30" t="str">
        <f aca="false">IF(AND(AH129="利用可",AK129="利用可",AN129="利用可"),"利用可","不可")</f>
        <v>不可</v>
      </c>
      <c r="AY129" s="30" t="str">
        <f aca="false">IF(AND(AQ129="利用可",AT129="利用可",AW129="利用可"),"利用可","不可")</f>
        <v>不可</v>
      </c>
    </row>
    <row r="130" customFormat="false" ht="15" hidden="false" customHeight="false" outlineLevel="0" collapsed="false">
      <c r="A130" s="29" t="n">
        <v>46237</v>
      </c>
      <c r="B130" s="30" t="n">
        <v>7</v>
      </c>
      <c r="C130" s="31" t="s">
        <v>66</v>
      </c>
      <c r="D130" s="31" t="s">
        <v>59</v>
      </c>
      <c r="E130" s="30" t="n">
        <v>60</v>
      </c>
      <c r="F130" s="30" t="n">
        <v>0</v>
      </c>
      <c r="G130" s="30" t="str">
        <f aca="false">IF(E130&lt;判定条件!$C$6,"判定不能",IF(F130&gt;=判定条件!$C$7*E130,"運転",IF(F130&lt;=判定条件!$C$8*E130,"停止","断続")))</f>
        <v>停止</v>
      </c>
      <c r="H130" s="30" t="n">
        <v>60</v>
      </c>
      <c r="I130" s="30" t="n">
        <v>0</v>
      </c>
      <c r="J130" s="30" t="str">
        <f aca="false">IF(H130&lt;判定条件!$C$6,"判定不能",IF(I130&gt;=判定条件!$C$7*H130,"運転",IF(I130&lt;=判定条件!$C$8*H130,"停止","断続")))</f>
        <v>停止</v>
      </c>
      <c r="K130" s="30" t="n">
        <v>60</v>
      </c>
      <c r="L130" s="30" t="n">
        <v>60</v>
      </c>
      <c r="M130" s="30" t="str">
        <f aca="false">IF(K130&lt;判定条件!$C$6,"判定不能",IF(L130&gt;=判定条件!$C$7*K130,"運転",IF(L130&lt;=判定条件!$C$8*K130,"停止","断続")))</f>
        <v>運転</v>
      </c>
      <c r="N130" s="30" t="n">
        <v>60</v>
      </c>
      <c r="O130" s="30" t="n">
        <v>43</v>
      </c>
      <c r="P130" s="30" t="str">
        <f aca="false">IF(N130&lt;判定条件!$C$6,"判定不能",IF(O130&gt;=判定条件!$C$7*N130,"運転",IF(O130&lt;=判定条件!$C$8*N130,"停止","断続")))</f>
        <v>断続</v>
      </c>
      <c r="Q130" s="30" t="n">
        <v>60</v>
      </c>
      <c r="R130" s="30" t="n">
        <v>60</v>
      </c>
      <c r="S130" s="30" t="str">
        <f aca="false">IF(Q130&lt;判定条件!$C$6,"判定不能",IF(R130&gt;=判定条件!$C$7*Q130,"運転",IF(R130&lt;=判定条件!$C$8*Q130,"停止","断続")))</f>
        <v>運転</v>
      </c>
      <c r="T130" s="30" t="n">
        <v>60</v>
      </c>
      <c r="U130" s="30" t="n">
        <v>60</v>
      </c>
      <c r="V130" s="30" t="str">
        <f aca="false">IF(T130&lt;判定条件!$C$6,"判定不能",IF(U130&gt;=判定条件!$C$7*T130,"運転",IF(U130&lt;=判定条件!$C$8*T130,"停止","断続")))</f>
        <v>運転</v>
      </c>
      <c r="W130" s="30" t="n">
        <v>60</v>
      </c>
      <c r="X130" s="30" t="n">
        <v>45</v>
      </c>
      <c r="Y130" s="30" t="str">
        <f aca="false">IF(W130&lt;判定条件!$C$6,"判定不能",IF(X130&gt;=判定条件!$C$7*W130,"運転",IF(X130&lt;=判定条件!$C$8*W130,"停止","断続")))</f>
        <v>断続</v>
      </c>
      <c r="Z130" s="30" t="n">
        <v>60</v>
      </c>
      <c r="AA130" s="30" t="n">
        <v>48</v>
      </c>
      <c r="AB130" s="30" t="str">
        <f aca="false">IF(Z130&lt;判定条件!$C$6,"判定不能",IF(AA130&gt;=判定条件!$C$7*Z130,"運転",IF(AA130&lt;=判定条件!$C$8*Z130,"停止","断続")))</f>
        <v>運転</v>
      </c>
      <c r="AC130" s="30" t="n">
        <v>60</v>
      </c>
      <c r="AD130" s="30" t="n">
        <v>60</v>
      </c>
      <c r="AE130" s="30" t="str">
        <f aca="false">IF(AC130&lt;判定条件!$C$6,"判定不能",IF(AD130&gt;=判定条件!$C$7*AC130,"運転",IF(AD130&lt;=判定条件!$C$8*AC130,"停止","断続")))</f>
        <v>運転</v>
      </c>
      <c r="AF130" s="30" t="n">
        <v>60</v>
      </c>
      <c r="AG130" s="30" t="n">
        <v>0</v>
      </c>
      <c r="AH130" s="30" t="str">
        <f aca="false">IF(OR(P130="判定不能",G130="判定不能"),"判定不能",IF(AG130&gt;=判定条件!$C$9,"利用可",IF(AND(P130="停止",G130="停止"),"両方停止","運転がそろわない")))</f>
        <v>運転がそろわない</v>
      </c>
      <c r="AI130" s="30" t="n">
        <v>60</v>
      </c>
      <c r="AJ130" s="30" t="n">
        <v>0</v>
      </c>
      <c r="AK130" s="30" t="str">
        <f aca="false">IF(OR(S130="判定不能",J130="判定不能"),"判定不能",IF(AJ130&gt;=判定条件!$C$9,"利用可",IF(AND(S130="停止",J130="停止"),"両方停止","運転がそろわない")))</f>
        <v>運転がそろわない</v>
      </c>
      <c r="AL130" s="30" t="n">
        <v>60</v>
      </c>
      <c r="AM130" s="30" t="n">
        <v>60</v>
      </c>
      <c r="AN130" s="30" t="str">
        <f aca="false">IF(OR(V130="判定不能",M130="判定不能"),"判定不能",IF(AM130&gt;=判定条件!$C$9,"利用可",IF(AND(V130="停止",M130="停止"),"両方停止","運転がそろわない")))</f>
        <v>利用可</v>
      </c>
      <c r="AO130" s="30" t="n">
        <v>60</v>
      </c>
      <c r="AP130" s="30" t="n">
        <v>0</v>
      </c>
      <c r="AQ130" s="30" t="str">
        <f aca="false">IF(OR(Y130="判定不能",G130="判定不能"),"判定不能",IF(AP130&gt;=判定条件!$C$9,"利用可",IF(AND(Y130="停止",G130="停止"),"両方停止","運転がそろわない")))</f>
        <v>運転がそろわない</v>
      </c>
      <c r="AR130" s="30" t="n">
        <v>60</v>
      </c>
      <c r="AS130" s="30" t="n">
        <v>0</v>
      </c>
      <c r="AT130" s="30" t="str">
        <f aca="false">IF(OR(AB130="判定不能",J130="判定不能"),"判定不能",IF(AS130&gt;=判定条件!$C$9,"利用可",IF(AND(AB130="停止",J130="停止"),"両方停止","運転がそろわない")))</f>
        <v>運転がそろわない</v>
      </c>
      <c r="AU130" s="30" t="n">
        <v>60</v>
      </c>
      <c r="AV130" s="30" t="n">
        <v>60</v>
      </c>
      <c r="AW130" s="30" t="str">
        <f aca="false">IF(OR(AE130="判定不能",M130="判定不能"),"判定不能",IF(AV130&gt;=判定条件!$C$9,"利用可",IF(AND(AE130="停止",M130="停止"),"両方停止","運転がそろわない")))</f>
        <v>利用可</v>
      </c>
      <c r="AX130" s="30" t="str">
        <f aca="false">IF(AND(AH130="利用可",AK130="利用可",AN130="利用可"),"利用可","不可")</f>
        <v>不可</v>
      </c>
      <c r="AY130" s="30" t="str">
        <f aca="false">IF(AND(AQ130="利用可",AT130="利用可",AW130="利用可"),"利用可","不可")</f>
        <v>不可</v>
      </c>
    </row>
    <row r="131" customFormat="false" ht="15" hidden="false" customHeight="false" outlineLevel="0" collapsed="false">
      <c r="A131" s="29" t="n">
        <v>46237</v>
      </c>
      <c r="B131" s="30" t="n">
        <v>8</v>
      </c>
      <c r="C131" s="31" t="s">
        <v>66</v>
      </c>
      <c r="D131" s="31" t="s">
        <v>59</v>
      </c>
      <c r="E131" s="30" t="n">
        <v>60</v>
      </c>
      <c r="F131" s="30" t="n">
        <v>48</v>
      </c>
      <c r="G131" s="30" t="str">
        <f aca="false">IF(E131&lt;判定条件!$C$6,"判定不能",IF(F131&gt;=判定条件!$C$7*E131,"運転",IF(F131&lt;=判定条件!$C$8*E131,"停止","断続")))</f>
        <v>運転</v>
      </c>
      <c r="H131" s="30" t="n">
        <v>60</v>
      </c>
      <c r="I131" s="30" t="n">
        <v>48</v>
      </c>
      <c r="J131" s="30" t="str">
        <f aca="false">IF(H131&lt;判定条件!$C$6,"判定不能",IF(I131&gt;=判定条件!$C$7*H131,"運転",IF(I131&lt;=判定条件!$C$8*H131,"停止","断続")))</f>
        <v>運転</v>
      </c>
      <c r="K131" s="30" t="n">
        <v>60</v>
      </c>
      <c r="L131" s="30" t="n">
        <v>60</v>
      </c>
      <c r="M131" s="30" t="str">
        <f aca="false">IF(K131&lt;判定条件!$C$6,"判定不能",IF(L131&gt;=判定条件!$C$7*K131,"運転",IF(L131&lt;=判定条件!$C$8*K131,"停止","断続")))</f>
        <v>運転</v>
      </c>
      <c r="N131" s="30" t="n">
        <v>60</v>
      </c>
      <c r="O131" s="30" t="n">
        <v>60</v>
      </c>
      <c r="P131" s="30" t="str">
        <f aca="false">IF(N131&lt;判定条件!$C$6,"判定不能",IF(O131&gt;=判定条件!$C$7*N131,"運転",IF(O131&lt;=判定条件!$C$8*N131,"停止","断続")))</f>
        <v>運転</v>
      </c>
      <c r="Q131" s="30" t="n">
        <v>60</v>
      </c>
      <c r="R131" s="30" t="n">
        <v>60</v>
      </c>
      <c r="S131" s="30" t="str">
        <f aca="false">IF(Q131&lt;判定条件!$C$6,"判定不能",IF(R131&gt;=判定条件!$C$7*Q131,"運転",IF(R131&lt;=判定条件!$C$8*Q131,"停止","断続")))</f>
        <v>運転</v>
      </c>
      <c r="T131" s="30" t="n">
        <v>60</v>
      </c>
      <c r="U131" s="30" t="n">
        <v>60</v>
      </c>
      <c r="V131" s="30" t="str">
        <f aca="false">IF(T131&lt;判定条件!$C$6,"判定不能",IF(U131&gt;=判定条件!$C$7*T131,"運転",IF(U131&lt;=判定条件!$C$8*T131,"停止","断続")))</f>
        <v>運転</v>
      </c>
      <c r="W131" s="30" t="n">
        <v>60</v>
      </c>
      <c r="X131" s="30" t="n">
        <v>60</v>
      </c>
      <c r="Y131" s="30" t="str">
        <f aca="false">IF(W131&lt;判定条件!$C$6,"判定不能",IF(X131&gt;=判定条件!$C$7*W131,"運転",IF(X131&lt;=判定条件!$C$8*W131,"停止","断続")))</f>
        <v>運転</v>
      </c>
      <c r="Z131" s="30" t="n">
        <v>60</v>
      </c>
      <c r="AA131" s="30" t="n">
        <v>60</v>
      </c>
      <c r="AB131" s="30" t="str">
        <f aca="false">IF(Z131&lt;判定条件!$C$6,"判定不能",IF(AA131&gt;=判定条件!$C$7*Z131,"運転",IF(AA131&lt;=判定条件!$C$8*Z131,"停止","断続")))</f>
        <v>運転</v>
      </c>
      <c r="AC131" s="30" t="n">
        <v>60</v>
      </c>
      <c r="AD131" s="30" t="n">
        <v>60</v>
      </c>
      <c r="AE131" s="30" t="str">
        <f aca="false">IF(AC131&lt;判定条件!$C$6,"判定不能",IF(AD131&gt;=判定条件!$C$7*AC131,"運転",IF(AD131&lt;=判定条件!$C$8*AC131,"停止","断続")))</f>
        <v>運転</v>
      </c>
      <c r="AF131" s="30" t="n">
        <v>60</v>
      </c>
      <c r="AG131" s="30" t="n">
        <v>48</v>
      </c>
      <c r="AH131" s="30" t="str">
        <f aca="false">IF(OR(P131="判定不能",G131="判定不能"),"判定不能",IF(AG131&gt;=判定条件!$C$9,"利用可",IF(AND(P131="停止",G131="停止"),"両方停止","運転がそろわない")))</f>
        <v>利用可</v>
      </c>
      <c r="AI131" s="30" t="n">
        <v>60</v>
      </c>
      <c r="AJ131" s="30" t="n">
        <v>48</v>
      </c>
      <c r="AK131" s="30" t="str">
        <f aca="false">IF(OR(S131="判定不能",J131="判定不能"),"判定不能",IF(AJ131&gt;=判定条件!$C$9,"利用可",IF(AND(S131="停止",J131="停止"),"両方停止","運転がそろわない")))</f>
        <v>利用可</v>
      </c>
      <c r="AL131" s="30" t="n">
        <v>60</v>
      </c>
      <c r="AM131" s="30" t="n">
        <v>60</v>
      </c>
      <c r="AN131" s="30" t="str">
        <f aca="false">IF(OR(V131="判定不能",M131="判定不能"),"判定不能",IF(AM131&gt;=判定条件!$C$9,"利用可",IF(AND(V131="停止",M131="停止"),"両方停止","運転がそろわない")))</f>
        <v>利用可</v>
      </c>
      <c r="AO131" s="30" t="n">
        <v>60</v>
      </c>
      <c r="AP131" s="30" t="n">
        <v>48</v>
      </c>
      <c r="AQ131" s="30" t="str">
        <f aca="false">IF(OR(Y131="判定不能",G131="判定不能"),"判定不能",IF(AP131&gt;=判定条件!$C$9,"利用可",IF(AND(Y131="停止",G131="停止"),"両方停止","運転がそろわない")))</f>
        <v>利用可</v>
      </c>
      <c r="AR131" s="30" t="n">
        <v>60</v>
      </c>
      <c r="AS131" s="30" t="n">
        <v>48</v>
      </c>
      <c r="AT131" s="30" t="str">
        <f aca="false">IF(OR(AB131="判定不能",J131="判定不能"),"判定不能",IF(AS131&gt;=判定条件!$C$9,"利用可",IF(AND(AB131="停止",J131="停止"),"両方停止","運転がそろわない")))</f>
        <v>利用可</v>
      </c>
      <c r="AU131" s="30" t="n">
        <v>60</v>
      </c>
      <c r="AV131" s="30" t="n">
        <v>60</v>
      </c>
      <c r="AW131" s="30" t="str">
        <f aca="false">IF(OR(AE131="判定不能",M131="判定不能"),"判定不能",IF(AV131&gt;=判定条件!$C$9,"利用可",IF(AND(AE131="停止",M131="停止"),"両方停止","運転がそろわない")))</f>
        <v>利用可</v>
      </c>
      <c r="AX131" s="30" t="str">
        <f aca="false">IF(AND(AH131="利用可",AK131="利用可",AN131="利用可"),"利用可","不可")</f>
        <v>利用可</v>
      </c>
      <c r="AY131" s="30" t="str">
        <f aca="false">IF(AND(AQ131="利用可",AT131="利用可",AW131="利用可"),"利用可","不可")</f>
        <v>利用可</v>
      </c>
    </row>
    <row r="132" customFormat="false" ht="15" hidden="false" customHeight="false" outlineLevel="0" collapsed="false">
      <c r="A132" s="29" t="n">
        <v>46237</v>
      </c>
      <c r="B132" s="30" t="n">
        <v>9</v>
      </c>
      <c r="C132" s="31" t="s">
        <v>66</v>
      </c>
      <c r="D132" s="31" t="s">
        <v>59</v>
      </c>
      <c r="E132" s="30" t="n">
        <v>60</v>
      </c>
      <c r="F132" s="30" t="n">
        <v>60</v>
      </c>
      <c r="G132" s="30" t="str">
        <f aca="false">IF(E132&lt;判定条件!$C$6,"判定不能",IF(F132&gt;=判定条件!$C$7*E132,"運転",IF(F132&lt;=判定条件!$C$8*E132,"停止","断続")))</f>
        <v>運転</v>
      </c>
      <c r="H132" s="30" t="n">
        <v>60</v>
      </c>
      <c r="I132" s="30" t="n">
        <v>60</v>
      </c>
      <c r="J132" s="30" t="str">
        <f aca="false">IF(H132&lt;判定条件!$C$6,"判定不能",IF(I132&gt;=判定条件!$C$7*H132,"運転",IF(I132&lt;=判定条件!$C$8*H132,"停止","断続")))</f>
        <v>運転</v>
      </c>
      <c r="K132" s="30" t="n">
        <v>60</v>
      </c>
      <c r="L132" s="30" t="n">
        <v>60</v>
      </c>
      <c r="M132" s="30" t="str">
        <f aca="false">IF(K132&lt;判定条件!$C$6,"判定不能",IF(L132&gt;=判定条件!$C$7*K132,"運転",IF(L132&lt;=判定条件!$C$8*K132,"停止","断続")))</f>
        <v>運転</v>
      </c>
      <c r="N132" s="30" t="n">
        <v>60</v>
      </c>
      <c r="O132" s="30" t="n">
        <v>53</v>
      </c>
      <c r="P132" s="30" t="str">
        <f aca="false">IF(N132&lt;判定条件!$C$6,"判定不能",IF(O132&gt;=判定条件!$C$7*N132,"運転",IF(O132&lt;=判定条件!$C$8*N132,"停止","断続")))</f>
        <v>運転</v>
      </c>
      <c r="Q132" s="30" t="n">
        <v>60</v>
      </c>
      <c r="R132" s="30" t="n">
        <v>60</v>
      </c>
      <c r="S132" s="30" t="str">
        <f aca="false">IF(Q132&lt;判定条件!$C$6,"判定不能",IF(R132&gt;=判定条件!$C$7*Q132,"運転",IF(R132&lt;=判定条件!$C$8*Q132,"停止","断続")))</f>
        <v>運転</v>
      </c>
      <c r="T132" s="30" t="n">
        <v>60</v>
      </c>
      <c r="U132" s="30" t="n">
        <v>60</v>
      </c>
      <c r="V132" s="30" t="str">
        <f aca="false">IF(T132&lt;判定条件!$C$6,"判定不能",IF(U132&gt;=判定条件!$C$7*T132,"運転",IF(U132&lt;=判定条件!$C$8*T132,"停止","断続")))</f>
        <v>運転</v>
      </c>
      <c r="W132" s="30" t="n">
        <v>60</v>
      </c>
      <c r="X132" s="30" t="n">
        <v>53</v>
      </c>
      <c r="Y132" s="30" t="str">
        <f aca="false">IF(W132&lt;判定条件!$C$6,"判定不能",IF(X132&gt;=判定条件!$C$7*W132,"運転",IF(X132&lt;=判定条件!$C$8*W132,"停止","断続")))</f>
        <v>運転</v>
      </c>
      <c r="Z132" s="30" t="n">
        <v>60</v>
      </c>
      <c r="AA132" s="30" t="n">
        <v>60</v>
      </c>
      <c r="AB132" s="30" t="str">
        <f aca="false">IF(Z132&lt;判定条件!$C$6,"判定不能",IF(AA132&gt;=判定条件!$C$7*Z132,"運転",IF(AA132&lt;=判定条件!$C$8*Z132,"停止","断続")))</f>
        <v>運転</v>
      </c>
      <c r="AC132" s="30" t="n">
        <v>60</v>
      </c>
      <c r="AD132" s="30" t="n">
        <v>60</v>
      </c>
      <c r="AE132" s="30" t="str">
        <f aca="false">IF(AC132&lt;判定条件!$C$6,"判定不能",IF(AD132&gt;=判定条件!$C$7*AC132,"運転",IF(AD132&lt;=判定条件!$C$8*AC132,"停止","断続")))</f>
        <v>運転</v>
      </c>
      <c r="AF132" s="30" t="n">
        <v>60</v>
      </c>
      <c r="AG132" s="30" t="n">
        <v>53</v>
      </c>
      <c r="AH132" s="30" t="str">
        <f aca="false">IF(OR(P132="判定不能",G132="判定不能"),"判定不能",IF(AG132&gt;=判定条件!$C$9,"利用可",IF(AND(P132="停止",G132="停止"),"両方停止","運転がそろわない")))</f>
        <v>利用可</v>
      </c>
      <c r="AI132" s="30" t="n">
        <v>60</v>
      </c>
      <c r="AJ132" s="30" t="n">
        <v>60</v>
      </c>
      <c r="AK132" s="30" t="str">
        <f aca="false">IF(OR(S132="判定不能",J132="判定不能"),"判定不能",IF(AJ132&gt;=判定条件!$C$9,"利用可",IF(AND(S132="停止",J132="停止"),"両方停止","運転がそろわない")))</f>
        <v>利用可</v>
      </c>
      <c r="AL132" s="30" t="n">
        <v>60</v>
      </c>
      <c r="AM132" s="30" t="n">
        <v>60</v>
      </c>
      <c r="AN132" s="30" t="str">
        <f aca="false">IF(OR(V132="判定不能",M132="判定不能"),"判定不能",IF(AM132&gt;=判定条件!$C$9,"利用可",IF(AND(V132="停止",M132="停止"),"両方停止","運転がそろわない")))</f>
        <v>利用可</v>
      </c>
      <c r="AO132" s="30" t="n">
        <v>60</v>
      </c>
      <c r="AP132" s="30" t="n">
        <v>53</v>
      </c>
      <c r="AQ132" s="30" t="str">
        <f aca="false">IF(OR(Y132="判定不能",G132="判定不能"),"判定不能",IF(AP132&gt;=判定条件!$C$9,"利用可",IF(AND(Y132="停止",G132="停止"),"両方停止","運転がそろわない")))</f>
        <v>利用可</v>
      </c>
      <c r="AR132" s="30" t="n">
        <v>60</v>
      </c>
      <c r="AS132" s="30" t="n">
        <v>60</v>
      </c>
      <c r="AT132" s="30" t="str">
        <f aca="false">IF(OR(AB132="判定不能",J132="判定不能"),"判定不能",IF(AS132&gt;=判定条件!$C$9,"利用可",IF(AND(AB132="停止",J132="停止"),"両方停止","運転がそろわない")))</f>
        <v>利用可</v>
      </c>
      <c r="AU132" s="30" t="n">
        <v>60</v>
      </c>
      <c r="AV132" s="30" t="n">
        <v>60</v>
      </c>
      <c r="AW132" s="30" t="str">
        <f aca="false">IF(OR(AE132="判定不能",M132="判定不能"),"判定不能",IF(AV132&gt;=判定条件!$C$9,"利用可",IF(AND(AE132="停止",M132="停止"),"両方停止","運転がそろわない")))</f>
        <v>利用可</v>
      </c>
      <c r="AX132" s="30" t="str">
        <f aca="false">IF(AND(AH132="利用可",AK132="利用可",AN132="利用可"),"利用可","不可")</f>
        <v>利用可</v>
      </c>
      <c r="AY132" s="30" t="str">
        <f aca="false">IF(AND(AQ132="利用可",AT132="利用可",AW132="利用可"),"利用可","不可")</f>
        <v>利用可</v>
      </c>
    </row>
    <row r="133" customFormat="false" ht="15" hidden="false" customHeight="false" outlineLevel="0" collapsed="false">
      <c r="A133" s="29" t="n">
        <v>46237</v>
      </c>
      <c r="B133" s="30" t="n">
        <v>10</v>
      </c>
      <c r="C133" s="31" t="s">
        <v>66</v>
      </c>
      <c r="D133" s="31" t="s">
        <v>59</v>
      </c>
      <c r="E133" s="30" t="n">
        <v>60</v>
      </c>
      <c r="F133" s="30" t="n">
        <v>48</v>
      </c>
      <c r="G133" s="30" t="str">
        <f aca="false">IF(E133&lt;判定条件!$C$6,"判定不能",IF(F133&gt;=判定条件!$C$7*E133,"運転",IF(F133&lt;=判定条件!$C$8*E133,"停止","断続")))</f>
        <v>運転</v>
      </c>
      <c r="H133" s="30" t="n">
        <v>60</v>
      </c>
      <c r="I133" s="30" t="n">
        <v>51</v>
      </c>
      <c r="J133" s="30" t="str">
        <f aca="false">IF(H133&lt;判定条件!$C$6,"判定不能",IF(I133&gt;=判定条件!$C$7*H133,"運転",IF(I133&lt;=判定条件!$C$8*H133,"停止","断続")))</f>
        <v>運転</v>
      </c>
      <c r="K133" s="30" t="n">
        <v>60</v>
      </c>
      <c r="L133" s="30" t="n">
        <v>60</v>
      </c>
      <c r="M133" s="30" t="str">
        <f aca="false">IF(K133&lt;判定条件!$C$6,"判定不能",IF(L133&gt;=判定条件!$C$7*K133,"運転",IF(L133&lt;=判定条件!$C$8*K133,"停止","断続")))</f>
        <v>運転</v>
      </c>
      <c r="N133" s="30" t="n">
        <v>60</v>
      </c>
      <c r="O133" s="30" t="n">
        <v>55</v>
      </c>
      <c r="P133" s="30" t="str">
        <f aca="false">IF(N133&lt;判定条件!$C$6,"判定不能",IF(O133&gt;=判定条件!$C$7*N133,"運転",IF(O133&lt;=判定条件!$C$8*N133,"停止","断続")))</f>
        <v>運転</v>
      </c>
      <c r="Q133" s="30" t="n">
        <v>60</v>
      </c>
      <c r="R133" s="30" t="n">
        <v>60</v>
      </c>
      <c r="S133" s="30" t="str">
        <f aca="false">IF(Q133&lt;判定条件!$C$6,"判定不能",IF(R133&gt;=判定条件!$C$7*Q133,"運転",IF(R133&lt;=判定条件!$C$8*Q133,"停止","断続")))</f>
        <v>運転</v>
      </c>
      <c r="T133" s="30" t="n">
        <v>60</v>
      </c>
      <c r="U133" s="30" t="n">
        <v>60</v>
      </c>
      <c r="V133" s="30" t="str">
        <f aca="false">IF(T133&lt;判定条件!$C$6,"判定不能",IF(U133&gt;=判定条件!$C$7*T133,"運転",IF(U133&lt;=判定条件!$C$8*T133,"停止","断続")))</f>
        <v>運転</v>
      </c>
      <c r="W133" s="30" t="n">
        <v>60</v>
      </c>
      <c r="X133" s="30" t="n">
        <v>40</v>
      </c>
      <c r="Y133" s="30" t="str">
        <f aca="false">IF(W133&lt;判定条件!$C$6,"判定不能",IF(X133&gt;=判定条件!$C$7*W133,"運転",IF(X133&lt;=判定条件!$C$8*W133,"停止","断続")))</f>
        <v>断続</v>
      </c>
      <c r="Z133" s="30" t="n">
        <v>60</v>
      </c>
      <c r="AA133" s="30" t="n">
        <v>60</v>
      </c>
      <c r="AB133" s="30" t="str">
        <f aca="false">IF(Z133&lt;判定条件!$C$6,"判定不能",IF(AA133&gt;=判定条件!$C$7*Z133,"運転",IF(AA133&lt;=判定条件!$C$8*Z133,"停止","断続")))</f>
        <v>運転</v>
      </c>
      <c r="AC133" s="30" t="n">
        <v>60</v>
      </c>
      <c r="AD133" s="30" t="n">
        <v>60</v>
      </c>
      <c r="AE133" s="30" t="str">
        <f aca="false">IF(AC133&lt;判定条件!$C$6,"判定不能",IF(AD133&gt;=判定条件!$C$7*AC133,"運転",IF(AD133&lt;=判定条件!$C$8*AC133,"停止","断続")))</f>
        <v>運転</v>
      </c>
      <c r="AF133" s="30" t="n">
        <v>60</v>
      </c>
      <c r="AG133" s="30" t="n">
        <v>47</v>
      </c>
      <c r="AH133" s="30" t="str">
        <f aca="false">IF(OR(P133="判定不能",G133="判定不能"),"判定不能",IF(AG133&gt;=判定条件!$C$9,"利用可",IF(AND(P133="停止",G133="停止"),"両方停止","運転がそろわない")))</f>
        <v>利用可</v>
      </c>
      <c r="AI133" s="30" t="n">
        <v>60</v>
      </c>
      <c r="AJ133" s="30" t="n">
        <v>51</v>
      </c>
      <c r="AK133" s="30" t="str">
        <f aca="false">IF(OR(S133="判定不能",J133="判定不能"),"判定不能",IF(AJ133&gt;=判定条件!$C$9,"利用可",IF(AND(S133="停止",J133="停止"),"両方停止","運転がそろわない")))</f>
        <v>利用可</v>
      </c>
      <c r="AL133" s="30" t="n">
        <v>60</v>
      </c>
      <c r="AM133" s="30" t="n">
        <v>60</v>
      </c>
      <c r="AN133" s="30" t="str">
        <f aca="false">IF(OR(V133="判定不能",M133="判定不能"),"判定不能",IF(AM133&gt;=判定条件!$C$9,"利用可",IF(AND(V133="停止",M133="停止"),"両方停止","運転がそろわない")))</f>
        <v>利用可</v>
      </c>
      <c r="AO133" s="30" t="n">
        <v>60</v>
      </c>
      <c r="AP133" s="30" t="n">
        <v>32</v>
      </c>
      <c r="AQ133" s="30" t="str">
        <f aca="false">IF(OR(Y133="判定不能",G133="判定不能"),"判定不能",IF(AP133&gt;=判定条件!$C$9,"利用可",IF(AND(Y133="停止",G133="停止"),"両方停止","運転がそろわない")))</f>
        <v>利用可</v>
      </c>
      <c r="AR133" s="30" t="n">
        <v>60</v>
      </c>
      <c r="AS133" s="30" t="n">
        <v>51</v>
      </c>
      <c r="AT133" s="30" t="str">
        <f aca="false">IF(OR(AB133="判定不能",J133="判定不能"),"判定不能",IF(AS133&gt;=判定条件!$C$9,"利用可",IF(AND(AB133="停止",J133="停止"),"両方停止","運転がそろわない")))</f>
        <v>利用可</v>
      </c>
      <c r="AU133" s="30" t="n">
        <v>60</v>
      </c>
      <c r="AV133" s="30" t="n">
        <v>60</v>
      </c>
      <c r="AW133" s="30" t="str">
        <f aca="false">IF(OR(AE133="判定不能",M133="判定不能"),"判定不能",IF(AV133&gt;=判定条件!$C$9,"利用可",IF(AND(AE133="停止",M133="停止"),"両方停止","運転がそろわない")))</f>
        <v>利用可</v>
      </c>
      <c r="AX133" s="30" t="str">
        <f aca="false">IF(AND(AH133="利用可",AK133="利用可",AN133="利用可"),"利用可","不可")</f>
        <v>利用可</v>
      </c>
      <c r="AY133" s="30" t="str">
        <f aca="false">IF(AND(AQ133="利用可",AT133="利用可",AW133="利用可"),"利用可","不可")</f>
        <v>利用可</v>
      </c>
    </row>
    <row r="134" customFormat="false" ht="15" hidden="false" customHeight="false" outlineLevel="0" collapsed="false">
      <c r="A134" s="29" t="n">
        <v>46237</v>
      </c>
      <c r="B134" s="30" t="n">
        <v>11</v>
      </c>
      <c r="C134" s="31" t="s">
        <v>66</v>
      </c>
      <c r="D134" s="31" t="s">
        <v>59</v>
      </c>
      <c r="E134" s="30" t="n">
        <v>60</v>
      </c>
      <c r="F134" s="30" t="n">
        <v>60</v>
      </c>
      <c r="G134" s="30" t="str">
        <f aca="false">IF(E134&lt;判定条件!$C$6,"判定不能",IF(F134&gt;=判定条件!$C$7*E134,"運転",IF(F134&lt;=判定条件!$C$8*E134,"停止","断続")))</f>
        <v>運転</v>
      </c>
      <c r="H134" s="30" t="n">
        <v>60</v>
      </c>
      <c r="I134" s="30" t="n">
        <v>60</v>
      </c>
      <c r="J134" s="30" t="str">
        <f aca="false">IF(H134&lt;判定条件!$C$6,"判定不能",IF(I134&gt;=判定条件!$C$7*H134,"運転",IF(I134&lt;=判定条件!$C$8*H134,"停止","断続")))</f>
        <v>運転</v>
      </c>
      <c r="K134" s="30" t="n">
        <v>60</v>
      </c>
      <c r="L134" s="30" t="n">
        <v>60</v>
      </c>
      <c r="M134" s="30" t="str">
        <f aca="false">IF(K134&lt;判定条件!$C$6,"判定不能",IF(L134&gt;=判定条件!$C$7*K134,"運転",IF(L134&lt;=判定条件!$C$8*K134,"停止","断続")))</f>
        <v>運転</v>
      </c>
      <c r="N134" s="30" t="n">
        <v>60</v>
      </c>
      <c r="O134" s="30" t="n">
        <v>33</v>
      </c>
      <c r="P134" s="30" t="str">
        <f aca="false">IF(N134&lt;判定条件!$C$6,"判定不能",IF(O134&gt;=判定条件!$C$7*N134,"運転",IF(O134&lt;=判定条件!$C$8*N134,"停止","断続")))</f>
        <v>断続</v>
      </c>
      <c r="Q134" s="30" t="n">
        <v>60</v>
      </c>
      <c r="R134" s="30" t="n">
        <v>60</v>
      </c>
      <c r="S134" s="30" t="str">
        <f aca="false">IF(Q134&lt;判定条件!$C$6,"判定不能",IF(R134&gt;=判定条件!$C$7*Q134,"運転",IF(R134&lt;=判定条件!$C$8*Q134,"停止","断続")))</f>
        <v>運転</v>
      </c>
      <c r="T134" s="30" t="n">
        <v>60</v>
      </c>
      <c r="U134" s="30" t="n">
        <v>60</v>
      </c>
      <c r="V134" s="30" t="str">
        <f aca="false">IF(T134&lt;判定条件!$C$6,"判定不能",IF(U134&gt;=判定条件!$C$7*T134,"運転",IF(U134&lt;=判定条件!$C$8*T134,"停止","断続")))</f>
        <v>運転</v>
      </c>
      <c r="W134" s="30" t="n">
        <v>60</v>
      </c>
      <c r="X134" s="30" t="n">
        <v>34</v>
      </c>
      <c r="Y134" s="30" t="str">
        <f aca="false">IF(W134&lt;判定条件!$C$6,"判定不能",IF(X134&gt;=判定条件!$C$7*W134,"運転",IF(X134&lt;=判定条件!$C$8*W134,"停止","断続")))</f>
        <v>断続</v>
      </c>
      <c r="Z134" s="30" t="n">
        <v>60</v>
      </c>
      <c r="AA134" s="30" t="n">
        <v>60</v>
      </c>
      <c r="AB134" s="30" t="str">
        <f aca="false">IF(Z134&lt;判定条件!$C$6,"判定不能",IF(AA134&gt;=判定条件!$C$7*Z134,"運転",IF(AA134&lt;=判定条件!$C$8*Z134,"停止","断続")))</f>
        <v>運転</v>
      </c>
      <c r="AC134" s="30" t="n">
        <v>60</v>
      </c>
      <c r="AD134" s="30" t="n">
        <v>60</v>
      </c>
      <c r="AE134" s="30" t="str">
        <f aca="false">IF(AC134&lt;判定条件!$C$6,"判定不能",IF(AD134&gt;=判定条件!$C$7*AC134,"運転",IF(AD134&lt;=判定条件!$C$8*AC134,"停止","断続")))</f>
        <v>運転</v>
      </c>
      <c r="AF134" s="30" t="n">
        <v>60</v>
      </c>
      <c r="AG134" s="30" t="n">
        <v>33</v>
      </c>
      <c r="AH134" s="30" t="str">
        <f aca="false">IF(OR(P134="判定不能",G134="判定不能"),"判定不能",IF(AG134&gt;=判定条件!$C$9,"利用可",IF(AND(P134="停止",G134="停止"),"両方停止","運転がそろわない")))</f>
        <v>利用可</v>
      </c>
      <c r="AI134" s="30" t="n">
        <v>60</v>
      </c>
      <c r="AJ134" s="30" t="n">
        <v>60</v>
      </c>
      <c r="AK134" s="30" t="str">
        <f aca="false">IF(OR(S134="判定不能",J134="判定不能"),"判定不能",IF(AJ134&gt;=判定条件!$C$9,"利用可",IF(AND(S134="停止",J134="停止"),"両方停止","運転がそろわない")))</f>
        <v>利用可</v>
      </c>
      <c r="AL134" s="30" t="n">
        <v>60</v>
      </c>
      <c r="AM134" s="30" t="n">
        <v>60</v>
      </c>
      <c r="AN134" s="30" t="str">
        <f aca="false">IF(OR(V134="判定不能",M134="判定不能"),"判定不能",IF(AM134&gt;=判定条件!$C$9,"利用可",IF(AND(V134="停止",M134="停止"),"両方停止","運転がそろわない")))</f>
        <v>利用可</v>
      </c>
      <c r="AO134" s="30" t="n">
        <v>60</v>
      </c>
      <c r="AP134" s="30" t="n">
        <v>34</v>
      </c>
      <c r="AQ134" s="30" t="str">
        <f aca="false">IF(OR(Y134="判定不能",G134="判定不能"),"判定不能",IF(AP134&gt;=判定条件!$C$9,"利用可",IF(AND(Y134="停止",G134="停止"),"両方停止","運転がそろわない")))</f>
        <v>利用可</v>
      </c>
      <c r="AR134" s="30" t="n">
        <v>60</v>
      </c>
      <c r="AS134" s="30" t="n">
        <v>60</v>
      </c>
      <c r="AT134" s="30" t="str">
        <f aca="false">IF(OR(AB134="判定不能",J134="判定不能"),"判定不能",IF(AS134&gt;=判定条件!$C$9,"利用可",IF(AND(AB134="停止",J134="停止"),"両方停止","運転がそろわない")))</f>
        <v>利用可</v>
      </c>
      <c r="AU134" s="30" t="n">
        <v>60</v>
      </c>
      <c r="AV134" s="30" t="n">
        <v>60</v>
      </c>
      <c r="AW134" s="30" t="str">
        <f aca="false">IF(OR(AE134="判定不能",M134="判定不能"),"判定不能",IF(AV134&gt;=判定条件!$C$9,"利用可",IF(AND(AE134="停止",M134="停止"),"両方停止","運転がそろわない")))</f>
        <v>利用可</v>
      </c>
      <c r="AX134" s="30" t="str">
        <f aca="false">IF(AND(AH134="利用可",AK134="利用可",AN134="利用可"),"利用可","不可")</f>
        <v>利用可</v>
      </c>
      <c r="AY134" s="30" t="str">
        <f aca="false">IF(AND(AQ134="利用可",AT134="利用可",AW134="利用可"),"利用可","不可")</f>
        <v>利用可</v>
      </c>
    </row>
    <row r="135" customFormat="false" ht="15" hidden="false" customHeight="false" outlineLevel="0" collapsed="false">
      <c r="A135" s="29" t="n">
        <v>46237</v>
      </c>
      <c r="B135" s="30" t="n">
        <v>12</v>
      </c>
      <c r="C135" s="31" t="s">
        <v>66</v>
      </c>
      <c r="D135" s="31" t="s">
        <v>59</v>
      </c>
      <c r="E135" s="30" t="n">
        <v>60</v>
      </c>
      <c r="F135" s="30" t="n">
        <v>60</v>
      </c>
      <c r="G135" s="30" t="str">
        <f aca="false">IF(E135&lt;判定条件!$C$6,"判定不能",IF(F135&gt;=判定条件!$C$7*E135,"運転",IF(F135&lt;=判定条件!$C$8*E135,"停止","断続")))</f>
        <v>運転</v>
      </c>
      <c r="H135" s="30" t="n">
        <v>60</v>
      </c>
      <c r="I135" s="30" t="n">
        <v>60</v>
      </c>
      <c r="J135" s="30" t="str">
        <f aca="false">IF(H135&lt;判定条件!$C$6,"判定不能",IF(I135&gt;=判定条件!$C$7*H135,"運転",IF(I135&lt;=判定条件!$C$8*H135,"停止","断続")))</f>
        <v>運転</v>
      </c>
      <c r="K135" s="30" t="n">
        <v>60</v>
      </c>
      <c r="L135" s="30" t="n">
        <v>60</v>
      </c>
      <c r="M135" s="30" t="str">
        <f aca="false">IF(K135&lt;判定条件!$C$6,"判定不能",IF(L135&gt;=判定条件!$C$7*K135,"運転",IF(L135&lt;=判定条件!$C$8*K135,"停止","断続")))</f>
        <v>運転</v>
      </c>
      <c r="N135" s="30" t="n">
        <v>60</v>
      </c>
      <c r="O135" s="30" t="n">
        <v>60</v>
      </c>
      <c r="P135" s="30" t="str">
        <f aca="false">IF(N135&lt;判定条件!$C$6,"判定不能",IF(O135&gt;=判定条件!$C$7*N135,"運転",IF(O135&lt;=判定条件!$C$8*N135,"停止","断続")))</f>
        <v>運転</v>
      </c>
      <c r="Q135" s="30" t="n">
        <v>60</v>
      </c>
      <c r="R135" s="30" t="n">
        <v>50</v>
      </c>
      <c r="S135" s="30" t="str">
        <f aca="false">IF(Q135&lt;判定条件!$C$6,"判定不能",IF(R135&gt;=判定条件!$C$7*Q135,"運転",IF(R135&lt;=判定条件!$C$8*Q135,"停止","断続")))</f>
        <v>運転</v>
      </c>
      <c r="T135" s="30" t="n">
        <v>60</v>
      </c>
      <c r="U135" s="30" t="n">
        <v>60</v>
      </c>
      <c r="V135" s="30" t="str">
        <f aca="false">IF(T135&lt;判定条件!$C$6,"判定不能",IF(U135&gt;=判定条件!$C$7*T135,"運転",IF(U135&lt;=判定条件!$C$8*T135,"停止","断続")))</f>
        <v>運転</v>
      </c>
      <c r="W135" s="30" t="n">
        <v>60</v>
      </c>
      <c r="X135" s="30" t="n">
        <v>50</v>
      </c>
      <c r="Y135" s="30" t="str">
        <f aca="false">IF(W135&lt;判定条件!$C$6,"判定不能",IF(X135&gt;=判定条件!$C$7*W135,"運転",IF(X135&lt;=判定条件!$C$8*W135,"停止","断続")))</f>
        <v>運転</v>
      </c>
      <c r="Z135" s="30" t="n">
        <v>60</v>
      </c>
      <c r="AA135" s="30" t="n">
        <v>60</v>
      </c>
      <c r="AB135" s="30" t="str">
        <f aca="false">IF(Z135&lt;判定条件!$C$6,"判定不能",IF(AA135&gt;=判定条件!$C$7*Z135,"運転",IF(AA135&lt;=判定条件!$C$8*Z135,"停止","断続")))</f>
        <v>運転</v>
      </c>
      <c r="AC135" s="30" t="n">
        <v>60</v>
      </c>
      <c r="AD135" s="30" t="n">
        <v>60</v>
      </c>
      <c r="AE135" s="30" t="str">
        <f aca="false">IF(AC135&lt;判定条件!$C$6,"判定不能",IF(AD135&gt;=判定条件!$C$7*AC135,"運転",IF(AD135&lt;=判定条件!$C$8*AC135,"停止","断続")))</f>
        <v>運転</v>
      </c>
      <c r="AF135" s="30" t="n">
        <v>60</v>
      </c>
      <c r="AG135" s="30" t="n">
        <v>60</v>
      </c>
      <c r="AH135" s="30" t="str">
        <f aca="false">IF(OR(P135="判定不能",G135="判定不能"),"判定不能",IF(AG135&gt;=判定条件!$C$9,"利用可",IF(AND(P135="停止",G135="停止"),"両方停止","運転がそろわない")))</f>
        <v>利用可</v>
      </c>
      <c r="AI135" s="30" t="n">
        <v>60</v>
      </c>
      <c r="AJ135" s="30" t="n">
        <v>50</v>
      </c>
      <c r="AK135" s="30" t="str">
        <f aca="false">IF(OR(S135="判定不能",J135="判定不能"),"判定不能",IF(AJ135&gt;=判定条件!$C$9,"利用可",IF(AND(S135="停止",J135="停止"),"両方停止","運転がそろわない")))</f>
        <v>利用可</v>
      </c>
      <c r="AL135" s="30" t="n">
        <v>60</v>
      </c>
      <c r="AM135" s="30" t="n">
        <v>60</v>
      </c>
      <c r="AN135" s="30" t="str">
        <f aca="false">IF(OR(V135="判定不能",M135="判定不能"),"判定不能",IF(AM135&gt;=判定条件!$C$9,"利用可",IF(AND(V135="停止",M135="停止"),"両方停止","運転がそろわない")))</f>
        <v>利用可</v>
      </c>
      <c r="AO135" s="30" t="n">
        <v>60</v>
      </c>
      <c r="AP135" s="30" t="n">
        <v>50</v>
      </c>
      <c r="AQ135" s="30" t="str">
        <f aca="false">IF(OR(Y135="判定不能",G135="判定不能"),"判定不能",IF(AP135&gt;=判定条件!$C$9,"利用可",IF(AND(Y135="停止",G135="停止"),"両方停止","運転がそろわない")))</f>
        <v>利用可</v>
      </c>
      <c r="AR135" s="30" t="n">
        <v>60</v>
      </c>
      <c r="AS135" s="30" t="n">
        <v>60</v>
      </c>
      <c r="AT135" s="30" t="str">
        <f aca="false">IF(OR(AB135="判定不能",J135="判定不能"),"判定不能",IF(AS135&gt;=判定条件!$C$9,"利用可",IF(AND(AB135="停止",J135="停止"),"両方停止","運転がそろわない")))</f>
        <v>利用可</v>
      </c>
      <c r="AU135" s="30" t="n">
        <v>60</v>
      </c>
      <c r="AV135" s="30" t="n">
        <v>60</v>
      </c>
      <c r="AW135" s="30" t="str">
        <f aca="false">IF(OR(AE135="判定不能",M135="判定不能"),"判定不能",IF(AV135&gt;=判定条件!$C$9,"利用可",IF(AND(AE135="停止",M135="停止"),"両方停止","運転がそろわない")))</f>
        <v>利用可</v>
      </c>
      <c r="AX135" s="30" t="str">
        <f aca="false">IF(AND(AH135="利用可",AK135="利用可",AN135="利用可"),"利用可","不可")</f>
        <v>利用可</v>
      </c>
      <c r="AY135" s="30" t="str">
        <f aca="false">IF(AND(AQ135="利用可",AT135="利用可",AW135="利用可"),"利用可","不可")</f>
        <v>利用可</v>
      </c>
    </row>
    <row r="136" customFormat="false" ht="15" hidden="false" customHeight="false" outlineLevel="0" collapsed="false">
      <c r="A136" s="29" t="n">
        <v>46237</v>
      </c>
      <c r="B136" s="30" t="n">
        <v>13</v>
      </c>
      <c r="C136" s="31" t="s">
        <v>66</v>
      </c>
      <c r="D136" s="31" t="s">
        <v>59</v>
      </c>
      <c r="E136" s="30" t="n">
        <v>60</v>
      </c>
      <c r="F136" s="30" t="n">
        <v>52</v>
      </c>
      <c r="G136" s="30" t="str">
        <f aca="false">IF(E136&lt;判定条件!$C$6,"判定不能",IF(F136&gt;=判定条件!$C$7*E136,"運転",IF(F136&lt;=判定条件!$C$8*E136,"停止","断続")))</f>
        <v>運転</v>
      </c>
      <c r="H136" s="30" t="n">
        <v>60</v>
      </c>
      <c r="I136" s="30" t="n">
        <v>52</v>
      </c>
      <c r="J136" s="30" t="str">
        <f aca="false">IF(H136&lt;判定条件!$C$6,"判定不能",IF(I136&gt;=判定条件!$C$7*H136,"運転",IF(I136&lt;=判定条件!$C$8*H136,"停止","断続")))</f>
        <v>運転</v>
      </c>
      <c r="K136" s="30" t="n">
        <v>60</v>
      </c>
      <c r="L136" s="30" t="n">
        <v>60</v>
      </c>
      <c r="M136" s="30" t="str">
        <f aca="false">IF(K136&lt;判定条件!$C$6,"判定不能",IF(L136&gt;=判定条件!$C$7*K136,"運転",IF(L136&lt;=判定条件!$C$8*K136,"停止","断続")))</f>
        <v>運転</v>
      </c>
      <c r="N136" s="30" t="n">
        <v>60</v>
      </c>
      <c r="O136" s="30" t="n">
        <v>60</v>
      </c>
      <c r="P136" s="30" t="str">
        <f aca="false">IF(N136&lt;判定条件!$C$6,"判定不能",IF(O136&gt;=判定条件!$C$7*N136,"運転",IF(O136&lt;=判定条件!$C$8*N136,"停止","断続")))</f>
        <v>運転</v>
      </c>
      <c r="Q136" s="30" t="n">
        <v>60</v>
      </c>
      <c r="R136" s="30" t="n">
        <v>60</v>
      </c>
      <c r="S136" s="30" t="str">
        <f aca="false">IF(Q136&lt;判定条件!$C$6,"判定不能",IF(R136&gt;=判定条件!$C$7*Q136,"運転",IF(R136&lt;=判定条件!$C$8*Q136,"停止","断続")))</f>
        <v>運転</v>
      </c>
      <c r="T136" s="30" t="n">
        <v>60</v>
      </c>
      <c r="U136" s="30" t="n">
        <v>48</v>
      </c>
      <c r="V136" s="30" t="str">
        <f aca="false">IF(T136&lt;判定条件!$C$6,"判定不能",IF(U136&gt;=判定条件!$C$7*T136,"運転",IF(U136&lt;=判定条件!$C$8*T136,"停止","断続")))</f>
        <v>運転</v>
      </c>
      <c r="W136" s="30" t="n">
        <v>60</v>
      </c>
      <c r="X136" s="30" t="n">
        <v>60</v>
      </c>
      <c r="Y136" s="30" t="str">
        <f aca="false">IF(W136&lt;判定条件!$C$6,"判定不能",IF(X136&gt;=判定条件!$C$7*W136,"運転",IF(X136&lt;=判定条件!$C$8*W136,"停止","断続")))</f>
        <v>運転</v>
      </c>
      <c r="Z136" s="30" t="n">
        <v>60</v>
      </c>
      <c r="AA136" s="30" t="n">
        <v>60</v>
      </c>
      <c r="AB136" s="30" t="str">
        <f aca="false">IF(Z136&lt;判定条件!$C$6,"判定不能",IF(AA136&gt;=判定条件!$C$7*Z136,"運転",IF(AA136&lt;=判定条件!$C$8*Z136,"停止","断続")))</f>
        <v>運転</v>
      </c>
      <c r="AC136" s="30" t="n">
        <v>60</v>
      </c>
      <c r="AD136" s="30" t="n">
        <v>60</v>
      </c>
      <c r="AE136" s="30" t="str">
        <f aca="false">IF(AC136&lt;判定条件!$C$6,"判定不能",IF(AD136&gt;=判定条件!$C$7*AC136,"運転",IF(AD136&lt;=判定条件!$C$8*AC136,"停止","断続")))</f>
        <v>運転</v>
      </c>
      <c r="AF136" s="30" t="n">
        <v>60</v>
      </c>
      <c r="AG136" s="30" t="n">
        <v>52</v>
      </c>
      <c r="AH136" s="30" t="str">
        <f aca="false">IF(OR(P136="判定不能",G136="判定不能"),"判定不能",IF(AG136&gt;=判定条件!$C$9,"利用可",IF(AND(P136="停止",G136="停止"),"両方停止","運転がそろわない")))</f>
        <v>利用可</v>
      </c>
      <c r="AI136" s="30" t="n">
        <v>60</v>
      </c>
      <c r="AJ136" s="30" t="n">
        <v>52</v>
      </c>
      <c r="AK136" s="30" t="str">
        <f aca="false">IF(OR(S136="判定不能",J136="判定不能"),"判定不能",IF(AJ136&gt;=判定条件!$C$9,"利用可",IF(AND(S136="停止",J136="停止"),"両方停止","運転がそろわない")))</f>
        <v>利用可</v>
      </c>
      <c r="AL136" s="30" t="n">
        <v>60</v>
      </c>
      <c r="AM136" s="30" t="n">
        <v>48</v>
      </c>
      <c r="AN136" s="30" t="str">
        <f aca="false">IF(OR(V136="判定不能",M136="判定不能"),"判定不能",IF(AM136&gt;=判定条件!$C$9,"利用可",IF(AND(V136="停止",M136="停止"),"両方停止","運転がそろわない")))</f>
        <v>利用可</v>
      </c>
      <c r="AO136" s="30" t="n">
        <v>60</v>
      </c>
      <c r="AP136" s="30" t="n">
        <v>52</v>
      </c>
      <c r="AQ136" s="30" t="str">
        <f aca="false">IF(OR(Y136="判定不能",G136="判定不能"),"判定不能",IF(AP136&gt;=判定条件!$C$9,"利用可",IF(AND(Y136="停止",G136="停止"),"両方停止","運転がそろわない")))</f>
        <v>利用可</v>
      </c>
      <c r="AR136" s="30" t="n">
        <v>60</v>
      </c>
      <c r="AS136" s="30" t="n">
        <v>52</v>
      </c>
      <c r="AT136" s="30" t="str">
        <f aca="false">IF(OR(AB136="判定不能",J136="判定不能"),"判定不能",IF(AS136&gt;=判定条件!$C$9,"利用可",IF(AND(AB136="停止",J136="停止"),"両方停止","運転がそろわない")))</f>
        <v>利用可</v>
      </c>
      <c r="AU136" s="30" t="n">
        <v>60</v>
      </c>
      <c r="AV136" s="30" t="n">
        <v>60</v>
      </c>
      <c r="AW136" s="30" t="str">
        <f aca="false">IF(OR(AE136="判定不能",M136="判定不能"),"判定不能",IF(AV136&gt;=判定条件!$C$9,"利用可",IF(AND(AE136="停止",M136="停止"),"両方停止","運転がそろわない")))</f>
        <v>利用可</v>
      </c>
      <c r="AX136" s="30" t="str">
        <f aca="false">IF(AND(AH136="利用可",AK136="利用可",AN136="利用可"),"利用可","不可")</f>
        <v>利用可</v>
      </c>
      <c r="AY136" s="30" t="str">
        <f aca="false">IF(AND(AQ136="利用可",AT136="利用可",AW136="利用可"),"利用可","不可")</f>
        <v>利用可</v>
      </c>
    </row>
    <row r="137" customFormat="false" ht="15" hidden="false" customHeight="false" outlineLevel="0" collapsed="false">
      <c r="A137" s="29" t="n">
        <v>46237</v>
      </c>
      <c r="B137" s="30" t="n">
        <v>14</v>
      </c>
      <c r="C137" s="31" t="s">
        <v>66</v>
      </c>
      <c r="D137" s="31" t="s">
        <v>59</v>
      </c>
      <c r="E137" s="30" t="n">
        <v>60</v>
      </c>
      <c r="F137" s="30" t="n">
        <v>60</v>
      </c>
      <c r="G137" s="30" t="str">
        <f aca="false">IF(E137&lt;判定条件!$C$6,"判定不能",IF(F137&gt;=判定条件!$C$7*E137,"運転",IF(F137&lt;=判定条件!$C$8*E137,"停止","断続")))</f>
        <v>運転</v>
      </c>
      <c r="H137" s="30" t="n">
        <v>60</v>
      </c>
      <c r="I137" s="30" t="n">
        <v>60</v>
      </c>
      <c r="J137" s="30" t="str">
        <f aca="false">IF(H137&lt;判定条件!$C$6,"判定不能",IF(I137&gt;=判定条件!$C$7*H137,"運転",IF(I137&lt;=判定条件!$C$8*H137,"停止","断続")))</f>
        <v>運転</v>
      </c>
      <c r="K137" s="30" t="n">
        <v>60</v>
      </c>
      <c r="L137" s="30" t="n">
        <v>60</v>
      </c>
      <c r="M137" s="30" t="str">
        <f aca="false">IF(K137&lt;判定条件!$C$6,"判定不能",IF(L137&gt;=判定条件!$C$7*K137,"運転",IF(L137&lt;=判定条件!$C$8*K137,"停止","断続")))</f>
        <v>運転</v>
      </c>
      <c r="N137" s="30" t="n">
        <v>60</v>
      </c>
      <c r="O137" s="30" t="n">
        <v>60</v>
      </c>
      <c r="P137" s="30" t="str">
        <f aca="false">IF(N137&lt;判定条件!$C$6,"判定不能",IF(O137&gt;=判定条件!$C$7*N137,"運転",IF(O137&lt;=判定条件!$C$8*N137,"停止","断続")))</f>
        <v>運転</v>
      </c>
      <c r="Q137" s="30" t="n">
        <v>60</v>
      </c>
      <c r="R137" s="30" t="n">
        <v>60</v>
      </c>
      <c r="S137" s="30" t="str">
        <f aca="false">IF(Q137&lt;判定条件!$C$6,"判定不能",IF(R137&gt;=判定条件!$C$7*Q137,"運転",IF(R137&lt;=判定条件!$C$8*Q137,"停止","断続")))</f>
        <v>運転</v>
      </c>
      <c r="T137" s="30" t="n">
        <v>60</v>
      </c>
      <c r="U137" s="30" t="n">
        <v>37</v>
      </c>
      <c r="V137" s="30" t="str">
        <f aca="false">IF(T137&lt;判定条件!$C$6,"判定不能",IF(U137&gt;=判定条件!$C$7*T137,"運転",IF(U137&lt;=判定条件!$C$8*T137,"停止","断続")))</f>
        <v>断続</v>
      </c>
      <c r="W137" s="30" t="n">
        <v>60</v>
      </c>
      <c r="X137" s="30" t="n">
        <v>60</v>
      </c>
      <c r="Y137" s="30" t="str">
        <f aca="false">IF(W137&lt;判定条件!$C$6,"判定不能",IF(X137&gt;=判定条件!$C$7*W137,"運転",IF(X137&lt;=判定条件!$C$8*W137,"停止","断続")))</f>
        <v>運転</v>
      </c>
      <c r="Z137" s="30" t="n">
        <v>60</v>
      </c>
      <c r="AA137" s="30" t="n">
        <v>60</v>
      </c>
      <c r="AB137" s="30" t="str">
        <f aca="false">IF(Z137&lt;判定条件!$C$6,"判定不能",IF(AA137&gt;=判定条件!$C$7*Z137,"運転",IF(AA137&lt;=判定条件!$C$8*Z137,"停止","断続")))</f>
        <v>運転</v>
      </c>
      <c r="AC137" s="30" t="n">
        <v>60</v>
      </c>
      <c r="AD137" s="30" t="n">
        <v>42</v>
      </c>
      <c r="AE137" s="30" t="str">
        <f aca="false">IF(AC137&lt;判定条件!$C$6,"判定不能",IF(AD137&gt;=判定条件!$C$7*AC137,"運転",IF(AD137&lt;=判定条件!$C$8*AC137,"停止","断続")))</f>
        <v>断続</v>
      </c>
      <c r="AF137" s="30" t="n">
        <v>60</v>
      </c>
      <c r="AG137" s="30" t="n">
        <v>60</v>
      </c>
      <c r="AH137" s="30" t="str">
        <f aca="false">IF(OR(P137="判定不能",G137="判定不能"),"判定不能",IF(AG137&gt;=判定条件!$C$9,"利用可",IF(AND(P137="停止",G137="停止"),"両方停止","運転がそろわない")))</f>
        <v>利用可</v>
      </c>
      <c r="AI137" s="30" t="n">
        <v>60</v>
      </c>
      <c r="AJ137" s="30" t="n">
        <v>60</v>
      </c>
      <c r="AK137" s="30" t="str">
        <f aca="false">IF(OR(S137="判定不能",J137="判定不能"),"判定不能",IF(AJ137&gt;=判定条件!$C$9,"利用可",IF(AND(S137="停止",J137="停止"),"両方停止","運転がそろわない")))</f>
        <v>利用可</v>
      </c>
      <c r="AL137" s="30" t="n">
        <v>60</v>
      </c>
      <c r="AM137" s="30" t="n">
        <v>37</v>
      </c>
      <c r="AN137" s="30" t="str">
        <f aca="false">IF(OR(V137="判定不能",M137="判定不能"),"判定不能",IF(AM137&gt;=判定条件!$C$9,"利用可",IF(AND(V137="停止",M137="停止"),"両方停止","運転がそろわない")))</f>
        <v>利用可</v>
      </c>
      <c r="AO137" s="30" t="n">
        <v>60</v>
      </c>
      <c r="AP137" s="30" t="n">
        <v>60</v>
      </c>
      <c r="AQ137" s="30" t="str">
        <f aca="false">IF(OR(Y137="判定不能",G137="判定不能"),"判定不能",IF(AP137&gt;=判定条件!$C$9,"利用可",IF(AND(Y137="停止",G137="停止"),"両方停止","運転がそろわない")))</f>
        <v>利用可</v>
      </c>
      <c r="AR137" s="30" t="n">
        <v>60</v>
      </c>
      <c r="AS137" s="30" t="n">
        <v>60</v>
      </c>
      <c r="AT137" s="30" t="str">
        <f aca="false">IF(OR(AB137="判定不能",J137="判定不能"),"判定不能",IF(AS137&gt;=判定条件!$C$9,"利用可",IF(AND(AB137="停止",J137="停止"),"両方停止","運転がそろわない")))</f>
        <v>利用可</v>
      </c>
      <c r="AU137" s="30" t="n">
        <v>60</v>
      </c>
      <c r="AV137" s="30" t="n">
        <v>42</v>
      </c>
      <c r="AW137" s="30" t="str">
        <f aca="false">IF(OR(AE137="判定不能",M137="判定不能"),"判定不能",IF(AV137&gt;=判定条件!$C$9,"利用可",IF(AND(AE137="停止",M137="停止"),"両方停止","運転がそろわない")))</f>
        <v>利用可</v>
      </c>
      <c r="AX137" s="30" t="str">
        <f aca="false">IF(AND(AH137="利用可",AK137="利用可",AN137="利用可"),"利用可","不可")</f>
        <v>利用可</v>
      </c>
      <c r="AY137" s="30" t="str">
        <f aca="false">IF(AND(AQ137="利用可",AT137="利用可",AW137="利用可"),"利用可","不可")</f>
        <v>利用可</v>
      </c>
    </row>
    <row r="138" customFormat="false" ht="15" hidden="false" customHeight="false" outlineLevel="0" collapsed="false">
      <c r="A138" s="29" t="n">
        <v>46237</v>
      </c>
      <c r="B138" s="30" t="n">
        <v>15</v>
      </c>
      <c r="C138" s="31" t="s">
        <v>66</v>
      </c>
      <c r="D138" s="31" t="s">
        <v>59</v>
      </c>
      <c r="E138" s="30" t="n">
        <v>60</v>
      </c>
      <c r="F138" s="30" t="n">
        <v>60</v>
      </c>
      <c r="G138" s="30" t="str">
        <f aca="false">IF(E138&lt;判定条件!$C$6,"判定不能",IF(F138&gt;=判定条件!$C$7*E138,"運転",IF(F138&lt;=判定条件!$C$8*E138,"停止","断続")))</f>
        <v>運転</v>
      </c>
      <c r="H138" s="30" t="n">
        <v>60</v>
      </c>
      <c r="I138" s="30" t="n">
        <v>60</v>
      </c>
      <c r="J138" s="30" t="str">
        <f aca="false">IF(H138&lt;判定条件!$C$6,"判定不能",IF(I138&gt;=判定条件!$C$7*H138,"運転",IF(I138&lt;=判定条件!$C$8*H138,"停止","断続")))</f>
        <v>運転</v>
      </c>
      <c r="K138" s="30" t="n">
        <v>60</v>
      </c>
      <c r="L138" s="30" t="n">
        <v>60</v>
      </c>
      <c r="M138" s="30" t="str">
        <f aca="false">IF(K138&lt;判定条件!$C$6,"判定不能",IF(L138&gt;=判定条件!$C$7*K138,"運転",IF(L138&lt;=判定条件!$C$8*K138,"停止","断続")))</f>
        <v>運転</v>
      </c>
      <c r="N138" s="30" t="n">
        <v>60</v>
      </c>
      <c r="O138" s="30" t="n">
        <v>60</v>
      </c>
      <c r="P138" s="30" t="str">
        <f aca="false">IF(N138&lt;判定条件!$C$6,"判定不能",IF(O138&gt;=判定条件!$C$7*N138,"運転",IF(O138&lt;=判定条件!$C$8*N138,"停止","断続")))</f>
        <v>運転</v>
      </c>
      <c r="Q138" s="30" t="n">
        <v>60</v>
      </c>
      <c r="R138" s="30" t="n">
        <v>60</v>
      </c>
      <c r="S138" s="30" t="str">
        <f aca="false">IF(Q138&lt;判定条件!$C$6,"判定不能",IF(R138&gt;=判定条件!$C$7*Q138,"運転",IF(R138&lt;=判定条件!$C$8*Q138,"停止","断続")))</f>
        <v>運転</v>
      </c>
      <c r="T138" s="30" t="n">
        <v>60</v>
      </c>
      <c r="U138" s="30" t="n">
        <v>60</v>
      </c>
      <c r="V138" s="30" t="str">
        <f aca="false">IF(T138&lt;判定条件!$C$6,"判定不能",IF(U138&gt;=判定条件!$C$7*T138,"運転",IF(U138&lt;=判定条件!$C$8*T138,"停止","断続")))</f>
        <v>運転</v>
      </c>
      <c r="W138" s="30" t="n">
        <v>60</v>
      </c>
      <c r="X138" s="30" t="n">
        <v>48</v>
      </c>
      <c r="Y138" s="30" t="str">
        <f aca="false">IF(W138&lt;判定条件!$C$6,"判定不能",IF(X138&gt;=判定条件!$C$7*W138,"運転",IF(X138&lt;=判定条件!$C$8*W138,"停止","断続")))</f>
        <v>運転</v>
      </c>
      <c r="Z138" s="30" t="n">
        <v>60</v>
      </c>
      <c r="AA138" s="30" t="n">
        <v>60</v>
      </c>
      <c r="AB138" s="30" t="str">
        <f aca="false">IF(Z138&lt;判定条件!$C$6,"判定不能",IF(AA138&gt;=判定条件!$C$7*Z138,"運転",IF(AA138&lt;=判定条件!$C$8*Z138,"停止","断続")))</f>
        <v>運転</v>
      </c>
      <c r="AC138" s="30" t="n">
        <v>60</v>
      </c>
      <c r="AD138" s="30" t="n">
        <v>60</v>
      </c>
      <c r="AE138" s="30" t="str">
        <f aca="false">IF(AC138&lt;判定条件!$C$6,"判定不能",IF(AD138&gt;=判定条件!$C$7*AC138,"運転",IF(AD138&lt;=判定条件!$C$8*AC138,"停止","断続")))</f>
        <v>運転</v>
      </c>
      <c r="AF138" s="30" t="n">
        <v>60</v>
      </c>
      <c r="AG138" s="30" t="n">
        <v>60</v>
      </c>
      <c r="AH138" s="30" t="str">
        <f aca="false">IF(OR(P138="判定不能",G138="判定不能"),"判定不能",IF(AG138&gt;=判定条件!$C$9,"利用可",IF(AND(P138="停止",G138="停止"),"両方停止","運転がそろわない")))</f>
        <v>利用可</v>
      </c>
      <c r="AI138" s="30" t="n">
        <v>60</v>
      </c>
      <c r="AJ138" s="30" t="n">
        <v>60</v>
      </c>
      <c r="AK138" s="30" t="str">
        <f aca="false">IF(OR(S138="判定不能",J138="判定不能"),"判定不能",IF(AJ138&gt;=判定条件!$C$9,"利用可",IF(AND(S138="停止",J138="停止"),"両方停止","運転がそろわない")))</f>
        <v>利用可</v>
      </c>
      <c r="AL138" s="30" t="n">
        <v>60</v>
      </c>
      <c r="AM138" s="30" t="n">
        <v>60</v>
      </c>
      <c r="AN138" s="30" t="str">
        <f aca="false">IF(OR(V138="判定不能",M138="判定不能"),"判定不能",IF(AM138&gt;=判定条件!$C$9,"利用可",IF(AND(V138="停止",M138="停止"),"両方停止","運転がそろわない")))</f>
        <v>利用可</v>
      </c>
      <c r="AO138" s="30" t="n">
        <v>60</v>
      </c>
      <c r="AP138" s="30" t="n">
        <v>48</v>
      </c>
      <c r="AQ138" s="30" t="str">
        <f aca="false">IF(OR(Y138="判定不能",G138="判定不能"),"判定不能",IF(AP138&gt;=判定条件!$C$9,"利用可",IF(AND(Y138="停止",G138="停止"),"両方停止","運転がそろわない")))</f>
        <v>利用可</v>
      </c>
      <c r="AR138" s="30" t="n">
        <v>60</v>
      </c>
      <c r="AS138" s="30" t="n">
        <v>60</v>
      </c>
      <c r="AT138" s="30" t="str">
        <f aca="false">IF(OR(AB138="判定不能",J138="判定不能"),"判定不能",IF(AS138&gt;=判定条件!$C$9,"利用可",IF(AND(AB138="停止",J138="停止"),"両方停止","運転がそろわない")))</f>
        <v>利用可</v>
      </c>
      <c r="AU138" s="30" t="n">
        <v>60</v>
      </c>
      <c r="AV138" s="30" t="n">
        <v>60</v>
      </c>
      <c r="AW138" s="30" t="str">
        <f aca="false">IF(OR(AE138="判定不能",M138="判定不能"),"判定不能",IF(AV138&gt;=判定条件!$C$9,"利用可",IF(AND(AE138="停止",M138="停止"),"両方停止","運転がそろわない")))</f>
        <v>利用可</v>
      </c>
      <c r="AX138" s="30" t="str">
        <f aca="false">IF(AND(AH138="利用可",AK138="利用可",AN138="利用可"),"利用可","不可")</f>
        <v>利用可</v>
      </c>
      <c r="AY138" s="30" t="str">
        <f aca="false">IF(AND(AQ138="利用可",AT138="利用可",AW138="利用可"),"利用可","不可")</f>
        <v>利用可</v>
      </c>
    </row>
    <row r="139" customFormat="false" ht="15" hidden="false" customHeight="false" outlineLevel="0" collapsed="false">
      <c r="A139" s="29" t="n">
        <v>46237</v>
      </c>
      <c r="B139" s="30" t="n">
        <v>16</v>
      </c>
      <c r="C139" s="31" t="s">
        <v>66</v>
      </c>
      <c r="D139" s="31" t="s">
        <v>59</v>
      </c>
      <c r="E139" s="30" t="n">
        <v>60</v>
      </c>
      <c r="F139" s="30" t="n">
        <v>49</v>
      </c>
      <c r="G139" s="30" t="str">
        <f aca="false">IF(E139&lt;判定条件!$C$6,"判定不能",IF(F139&gt;=判定条件!$C$7*E139,"運転",IF(F139&lt;=判定条件!$C$8*E139,"停止","断続")))</f>
        <v>運転</v>
      </c>
      <c r="H139" s="30" t="n">
        <v>60</v>
      </c>
      <c r="I139" s="30" t="n">
        <v>52</v>
      </c>
      <c r="J139" s="30" t="str">
        <f aca="false">IF(H139&lt;判定条件!$C$6,"判定不能",IF(I139&gt;=判定条件!$C$7*H139,"運転",IF(I139&lt;=判定条件!$C$8*H139,"停止","断続")))</f>
        <v>運転</v>
      </c>
      <c r="K139" s="30" t="n">
        <v>60</v>
      </c>
      <c r="L139" s="30" t="n">
        <v>60</v>
      </c>
      <c r="M139" s="30" t="str">
        <f aca="false">IF(K139&lt;判定条件!$C$6,"判定不能",IF(L139&gt;=判定条件!$C$7*K139,"運転",IF(L139&lt;=判定条件!$C$8*K139,"停止","断続")))</f>
        <v>運転</v>
      </c>
      <c r="N139" s="30" t="n">
        <v>60</v>
      </c>
      <c r="O139" s="30" t="n">
        <v>55</v>
      </c>
      <c r="P139" s="30" t="str">
        <f aca="false">IF(N139&lt;判定条件!$C$6,"判定不能",IF(O139&gt;=判定条件!$C$7*N139,"運転",IF(O139&lt;=判定条件!$C$8*N139,"停止","断続")))</f>
        <v>運転</v>
      </c>
      <c r="Q139" s="30" t="n">
        <v>60</v>
      </c>
      <c r="R139" s="30" t="n">
        <v>60</v>
      </c>
      <c r="S139" s="30" t="str">
        <f aca="false">IF(Q139&lt;判定条件!$C$6,"判定不能",IF(R139&gt;=判定条件!$C$7*Q139,"運転",IF(R139&lt;=判定条件!$C$8*Q139,"停止","断続")))</f>
        <v>運転</v>
      </c>
      <c r="T139" s="30" t="n">
        <v>60</v>
      </c>
      <c r="U139" s="30" t="n">
        <v>60</v>
      </c>
      <c r="V139" s="30" t="str">
        <f aca="false">IF(T139&lt;判定条件!$C$6,"判定不能",IF(U139&gt;=判定条件!$C$7*T139,"運転",IF(U139&lt;=判定条件!$C$8*T139,"停止","断続")))</f>
        <v>運転</v>
      </c>
      <c r="W139" s="30" t="n">
        <v>60</v>
      </c>
      <c r="X139" s="30" t="n">
        <v>37</v>
      </c>
      <c r="Y139" s="30" t="str">
        <f aca="false">IF(W139&lt;判定条件!$C$6,"判定不能",IF(X139&gt;=判定条件!$C$7*W139,"運転",IF(X139&lt;=判定条件!$C$8*W139,"停止","断続")))</f>
        <v>断続</v>
      </c>
      <c r="Z139" s="30" t="n">
        <v>60</v>
      </c>
      <c r="AA139" s="30" t="n">
        <v>48</v>
      </c>
      <c r="AB139" s="30" t="str">
        <f aca="false">IF(Z139&lt;判定条件!$C$6,"判定不能",IF(AA139&gt;=判定条件!$C$7*Z139,"運転",IF(AA139&lt;=判定条件!$C$8*Z139,"停止","断続")))</f>
        <v>運転</v>
      </c>
      <c r="AC139" s="30" t="n">
        <v>60</v>
      </c>
      <c r="AD139" s="30" t="n">
        <v>60</v>
      </c>
      <c r="AE139" s="30" t="str">
        <f aca="false">IF(AC139&lt;判定条件!$C$6,"判定不能",IF(AD139&gt;=判定条件!$C$7*AC139,"運転",IF(AD139&lt;=判定条件!$C$8*AC139,"停止","断続")))</f>
        <v>運転</v>
      </c>
      <c r="AF139" s="30" t="n">
        <v>60</v>
      </c>
      <c r="AG139" s="30" t="n">
        <v>47</v>
      </c>
      <c r="AH139" s="30" t="str">
        <f aca="false">IF(OR(P139="判定不能",G139="判定不能"),"判定不能",IF(AG139&gt;=判定条件!$C$9,"利用可",IF(AND(P139="停止",G139="停止"),"両方停止","運転がそろわない")))</f>
        <v>利用可</v>
      </c>
      <c r="AI139" s="30" t="n">
        <v>60</v>
      </c>
      <c r="AJ139" s="30" t="n">
        <v>52</v>
      </c>
      <c r="AK139" s="30" t="str">
        <f aca="false">IF(OR(S139="判定不能",J139="判定不能"),"判定不能",IF(AJ139&gt;=判定条件!$C$9,"利用可",IF(AND(S139="停止",J139="停止"),"両方停止","運転がそろわない")))</f>
        <v>利用可</v>
      </c>
      <c r="AL139" s="30" t="n">
        <v>60</v>
      </c>
      <c r="AM139" s="30" t="n">
        <v>60</v>
      </c>
      <c r="AN139" s="30" t="str">
        <f aca="false">IF(OR(V139="判定不能",M139="判定不能"),"判定不能",IF(AM139&gt;=判定条件!$C$9,"利用可",IF(AND(V139="停止",M139="停止"),"両方停止","運転がそろわない")))</f>
        <v>利用可</v>
      </c>
      <c r="AO139" s="30" t="n">
        <v>60</v>
      </c>
      <c r="AP139" s="30" t="n">
        <v>26</v>
      </c>
      <c r="AQ139" s="30" t="str">
        <f aca="false">IF(OR(Y139="判定不能",G139="判定不能"),"判定不能",IF(AP139&gt;=判定条件!$C$9,"利用可",IF(AND(Y139="停止",G139="停止"),"両方停止","運転がそろわない")))</f>
        <v>運転がそろわない</v>
      </c>
      <c r="AR139" s="30" t="n">
        <v>60</v>
      </c>
      <c r="AS139" s="30" t="n">
        <v>40</v>
      </c>
      <c r="AT139" s="30" t="str">
        <f aca="false">IF(OR(AB139="判定不能",J139="判定不能"),"判定不能",IF(AS139&gt;=判定条件!$C$9,"利用可",IF(AND(AB139="停止",J139="停止"),"両方停止","運転がそろわない")))</f>
        <v>利用可</v>
      </c>
      <c r="AU139" s="30" t="n">
        <v>60</v>
      </c>
      <c r="AV139" s="30" t="n">
        <v>60</v>
      </c>
      <c r="AW139" s="30" t="str">
        <f aca="false">IF(OR(AE139="判定不能",M139="判定不能"),"判定不能",IF(AV139&gt;=判定条件!$C$9,"利用可",IF(AND(AE139="停止",M139="停止"),"両方停止","運転がそろわない")))</f>
        <v>利用可</v>
      </c>
      <c r="AX139" s="30" t="str">
        <f aca="false">IF(AND(AH139="利用可",AK139="利用可",AN139="利用可"),"利用可","不可")</f>
        <v>利用可</v>
      </c>
      <c r="AY139" s="30" t="str">
        <f aca="false">IF(AND(AQ139="利用可",AT139="利用可",AW139="利用可"),"利用可","不可")</f>
        <v>不可</v>
      </c>
    </row>
    <row r="140" customFormat="false" ht="15" hidden="false" customHeight="false" outlineLevel="0" collapsed="false">
      <c r="A140" s="29" t="n">
        <v>46237</v>
      </c>
      <c r="B140" s="30" t="n">
        <v>17</v>
      </c>
      <c r="C140" s="31" t="s">
        <v>66</v>
      </c>
      <c r="D140" s="31" t="s">
        <v>59</v>
      </c>
      <c r="E140" s="30" t="n">
        <v>60</v>
      </c>
      <c r="F140" s="30" t="n">
        <v>60</v>
      </c>
      <c r="G140" s="30" t="str">
        <f aca="false">IF(E140&lt;判定条件!$C$6,"判定不能",IF(F140&gt;=判定条件!$C$7*E140,"運転",IF(F140&lt;=判定条件!$C$8*E140,"停止","断続")))</f>
        <v>運転</v>
      </c>
      <c r="H140" s="30" t="n">
        <v>60</v>
      </c>
      <c r="I140" s="30" t="n">
        <v>60</v>
      </c>
      <c r="J140" s="30" t="str">
        <f aca="false">IF(H140&lt;判定条件!$C$6,"判定不能",IF(I140&gt;=判定条件!$C$7*H140,"運転",IF(I140&lt;=判定条件!$C$8*H140,"停止","断続")))</f>
        <v>運転</v>
      </c>
      <c r="K140" s="30" t="n">
        <v>60</v>
      </c>
      <c r="L140" s="30" t="n">
        <v>60</v>
      </c>
      <c r="M140" s="30" t="str">
        <f aca="false">IF(K140&lt;判定条件!$C$6,"判定不能",IF(L140&gt;=判定条件!$C$7*K140,"運転",IF(L140&lt;=判定条件!$C$8*K140,"停止","断続")))</f>
        <v>運転</v>
      </c>
      <c r="N140" s="30" t="n">
        <v>60</v>
      </c>
      <c r="O140" s="30" t="n">
        <v>32</v>
      </c>
      <c r="P140" s="30" t="str">
        <f aca="false">IF(N140&lt;判定条件!$C$6,"判定不能",IF(O140&gt;=判定条件!$C$7*N140,"運転",IF(O140&lt;=判定条件!$C$8*N140,"停止","断続")))</f>
        <v>断続</v>
      </c>
      <c r="Q140" s="30" t="n">
        <v>60</v>
      </c>
      <c r="R140" s="30" t="n">
        <v>60</v>
      </c>
      <c r="S140" s="30" t="str">
        <f aca="false">IF(Q140&lt;判定条件!$C$6,"判定不能",IF(R140&gt;=判定条件!$C$7*Q140,"運転",IF(R140&lt;=判定条件!$C$8*Q140,"停止","断続")))</f>
        <v>運転</v>
      </c>
      <c r="T140" s="30" t="n">
        <v>60</v>
      </c>
      <c r="U140" s="30" t="n">
        <v>60</v>
      </c>
      <c r="V140" s="30" t="str">
        <f aca="false">IF(T140&lt;判定条件!$C$6,"判定不能",IF(U140&gt;=判定条件!$C$7*T140,"運転",IF(U140&lt;=判定条件!$C$8*T140,"停止","断続")))</f>
        <v>運転</v>
      </c>
      <c r="W140" s="30" t="n">
        <v>60</v>
      </c>
      <c r="X140" s="30" t="n">
        <v>45</v>
      </c>
      <c r="Y140" s="30" t="str">
        <f aca="false">IF(W140&lt;判定条件!$C$6,"判定不能",IF(X140&gt;=判定条件!$C$7*W140,"運転",IF(X140&lt;=判定条件!$C$8*W140,"停止","断続")))</f>
        <v>断続</v>
      </c>
      <c r="Z140" s="30" t="n">
        <v>60</v>
      </c>
      <c r="AA140" s="30" t="n">
        <v>60</v>
      </c>
      <c r="AB140" s="30" t="str">
        <f aca="false">IF(Z140&lt;判定条件!$C$6,"判定不能",IF(AA140&gt;=判定条件!$C$7*Z140,"運転",IF(AA140&lt;=判定条件!$C$8*Z140,"停止","断続")))</f>
        <v>運転</v>
      </c>
      <c r="AC140" s="30" t="n">
        <v>60</v>
      </c>
      <c r="AD140" s="30" t="n">
        <v>44</v>
      </c>
      <c r="AE140" s="30" t="str">
        <f aca="false">IF(AC140&lt;判定条件!$C$6,"判定不能",IF(AD140&gt;=判定条件!$C$7*AC140,"運転",IF(AD140&lt;=判定条件!$C$8*AC140,"停止","断続")))</f>
        <v>断続</v>
      </c>
      <c r="AF140" s="30" t="n">
        <v>60</v>
      </c>
      <c r="AG140" s="30" t="n">
        <v>32</v>
      </c>
      <c r="AH140" s="30" t="str">
        <f aca="false">IF(OR(P140="判定不能",G140="判定不能"),"判定不能",IF(AG140&gt;=判定条件!$C$9,"利用可",IF(AND(P140="停止",G140="停止"),"両方停止","運転がそろわない")))</f>
        <v>利用可</v>
      </c>
      <c r="AI140" s="30" t="n">
        <v>60</v>
      </c>
      <c r="AJ140" s="30" t="n">
        <v>60</v>
      </c>
      <c r="AK140" s="30" t="str">
        <f aca="false">IF(OR(S140="判定不能",J140="判定不能"),"判定不能",IF(AJ140&gt;=判定条件!$C$9,"利用可",IF(AND(S140="停止",J140="停止"),"両方停止","運転がそろわない")))</f>
        <v>利用可</v>
      </c>
      <c r="AL140" s="30" t="n">
        <v>60</v>
      </c>
      <c r="AM140" s="30" t="n">
        <v>60</v>
      </c>
      <c r="AN140" s="30" t="str">
        <f aca="false">IF(OR(V140="判定不能",M140="判定不能"),"判定不能",IF(AM140&gt;=判定条件!$C$9,"利用可",IF(AND(V140="停止",M140="停止"),"両方停止","運転がそろわない")))</f>
        <v>利用可</v>
      </c>
      <c r="AO140" s="30" t="n">
        <v>60</v>
      </c>
      <c r="AP140" s="30" t="n">
        <v>45</v>
      </c>
      <c r="AQ140" s="30" t="str">
        <f aca="false">IF(OR(Y140="判定不能",G140="判定不能"),"判定不能",IF(AP140&gt;=判定条件!$C$9,"利用可",IF(AND(Y140="停止",G140="停止"),"両方停止","運転がそろわない")))</f>
        <v>利用可</v>
      </c>
      <c r="AR140" s="30" t="n">
        <v>60</v>
      </c>
      <c r="AS140" s="30" t="n">
        <v>60</v>
      </c>
      <c r="AT140" s="30" t="str">
        <f aca="false">IF(OR(AB140="判定不能",J140="判定不能"),"判定不能",IF(AS140&gt;=判定条件!$C$9,"利用可",IF(AND(AB140="停止",J140="停止"),"両方停止","運転がそろわない")))</f>
        <v>利用可</v>
      </c>
      <c r="AU140" s="30" t="n">
        <v>60</v>
      </c>
      <c r="AV140" s="30" t="n">
        <v>44</v>
      </c>
      <c r="AW140" s="30" t="str">
        <f aca="false">IF(OR(AE140="判定不能",M140="判定不能"),"判定不能",IF(AV140&gt;=判定条件!$C$9,"利用可",IF(AND(AE140="停止",M140="停止"),"両方停止","運転がそろわない")))</f>
        <v>利用可</v>
      </c>
      <c r="AX140" s="30" t="str">
        <f aca="false">IF(AND(AH140="利用可",AK140="利用可",AN140="利用可"),"利用可","不可")</f>
        <v>利用可</v>
      </c>
      <c r="AY140" s="30" t="str">
        <f aca="false">IF(AND(AQ140="利用可",AT140="利用可",AW140="利用可"),"利用可","不可")</f>
        <v>利用可</v>
      </c>
    </row>
    <row r="141" customFormat="false" ht="15" hidden="false" customHeight="false" outlineLevel="0" collapsed="false">
      <c r="A141" s="29" t="n">
        <v>46237</v>
      </c>
      <c r="B141" s="30" t="n">
        <v>18</v>
      </c>
      <c r="C141" s="31" t="s">
        <v>66</v>
      </c>
      <c r="D141" s="31" t="s">
        <v>59</v>
      </c>
      <c r="E141" s="30" t="n">
        <v>60</v>
      </c>
      <c r="F141" s="30" t="n">
        <v>60</v>
      </c>
      <c r="G141" s="30" t="str">
        <f aca="false">IF(E141&lt;判定条件!$C$6,"判定不能",IF(F141&gt;=判定条件!$C$7*E141,"運転",IF(F141&lt;=判定条件!$C$8*E141,"停止","断続")))</f>
        <v>運転</v>
      </c>
      <c r="H141" s="30" t="n">
        <v>60</v>
      </c>
      <c r="I141" s="30" t="n">
        <v>60</v>
      </c>
      <c r="J141" s="30" t="str">
        <f aca="false">IF(H141&lt;判定条件!$C$6,"判定不能",IF(I141&gt;=判定条件!$C$7*H141,"運転",IF(I141&lt;=判定条件!$C$8*H141,"停止","断続")))</f>
        <v>運転</v>
      </c>
      <c r="K141" s="30" t="n">
        <v>60</v>
      </c>
      <c r="L141" s="30" t="n">
        <v>60</v>
      </c>
      <c r="M141" s="30" t="str">
        <f aca="false">IF(K141&lt;判定条件!$C$6,"判定不能",IF(L141&gt;=判定条件!$C$7*K141,"運転",IF(L141&lt;=判定条件!$C$8*K141,"停止","断続")))</f>
        <v>運転</v>
      </c>
      <c r="N141" s="30" t="n">
        <v>60</v>
      </c>
      <c r="O141" s="30" t="n">
        <v>5</v>
      </c>
      <c r="P141" s="30" t="str">
        <f aca="false">IF(N141&lt;判定条件!$C$6,"判定不能",IF(O141&gt;=判定条件!$C$7*N141,"運転",IF(O141&lt;=判定条件!$C$8*N141,"停止","断続")))</f>
        <v>停止</v>
      </c>
      <c r="Q141" s="30" t="n">
        <v>60</v>
      </c>
      <c r="R141" s="30" t="n">
        <v>11</v>
      </c>
      <c r="S141" s="30" t="str">
        <f aca="false">IF(Q141&lt;判定条件!$C$6,"判定不能",IF(R141&gt;=判定条件!$C$7*Q141,"運転",IF(R141&lt;=判定条件!$C$8*Q141,"停止","断続")))</f>
        <v>停止</v>
      </c>
      <c r="T141" s="30" t="n">
        <v>60</v>
      </c>
      <c r="U141" s="30" t="n">
        <v>8</v>
      </c>
      <c r="V141" s="30" t="str">
        <f aca="false">IF(T141&lt;判定条件!$C$6,"判定不能",IF(U141&gt;=判定条件!$C$7*T141,"運転",IF(U141&lt;=判定条件!$C$8*T141,"停止","断続")))</f>
        <v>停止</v>
      </c>
      <c r="W141" s="30" t="n">
        <v>60</v>
      </c>
      <c r="X141" s="30" t="n">
        <v>60</v>
      </c>
      <c r="Y141" s="30" t="str">
        <f aca="false">IF(W141&lt;判定条件!$C$6,"判定不能",IF(X141&gt;=判定条件!$C$7*W141,"運転",IF(X141&lt;=判定条件!$C$8*W141,"停止","断続")))</f>
        <v>運転</v>
      </c>
      <c r="Z141" s="30" t="n">
        <v>60</v>
      </c>
      <c r="AA141" s="30" t="n">
        <v>24</v>
      </c>
      <c r="AB141" s="30" t="str">
        <f aca="false">IF(Z141&lt;判定条件!$C$6,"判定不能",IF(AA141&gt;=判定条件!$C$7*Z141,"運転",IF(AA141&lt;=判定条件!$C$8*Z141,"停止","断続")))</f>
        <v>断続</v>
      </c>
      <c r="AC141" s="30" t="n">
        <v>60</v>
      </c>
      <c r="AD141" s="30" t="n">
        <v>60</v>
      </c>
      <c r="AE141" s="30" t="str">
        <f aca="false">IF(AC141&lt;判定条件!$C$6,"判定不能",IF(AD141&gt;=判定条件!$C$7*AC141,"運転",IF(AD141&lt;=判定条件!$C$8*AC141,"停止","断続")))</f>
        <v>運転</v>
      </c>
      <c r="AF141" s="30" t="n">
        <v>60</v>
      </c>
      <c r="AG141" s="30" t="n">
        <v>5</v>
      </c>
      <c r="AH141" s="30" t="str">
        <f aca="false">IF(OR(P141="判定不能",G141="判定不能"),"判定不能",IF(AG141&gt;=判定条件!$C$9,"利用可",IF(AND(P141="停止",G141="停止"),"両方停止","運転がそろわない")))</f>
        <v>運転がそろわない</v>
      </c>
      <c r="AI141" s="30" t="n">
        <v>60</v>
      </c>
      <c r="AJ141" s="30" t="n">
        <v>11</v>
      </c>
      <c r="AK141" s="30" t="str">
        <f aca="false">IF(OR(S141="判定不能",J141="判定不能"),"判定不能",IF(AJ141&gt;=判定条件!$C$9,"利用可",IF(AND(S141="停止",J141="停止"),"両方停止","運転がそろわない")))</f>
        <v>運転がそろわない</v>
      </c>
      <c r="AL141" s="30" t="n">
        <v>60</v>
      </c>
      <c r="AM141" s="30" t="n">
        <v>8</v>
      </c>
      <c r="AN141" s="30" t="str">
        <f aca="false">IF(OR(V141="判定不能",M141="判定不能"),"判定不能",IF(AM141&gt;=判定条件!$C$9,"利用可",IF(AND(V141="停止",M141="停止"),"両方停止","運転がそろわない")))</f>
        <v>運転がそろわない</v>
      </c>
      <c r="AO141" s="30" t="n">
        <v>60</v>
      </c>
      <c r="AP141" s="30" t="n">
        <v>60</v>
      </c>
      <c r="AQ141" s="30" t="str">
        <f aca="false">IF(OR(Y141="判定不能",G141="判定不能"),"判定不能",IF(AP141&gt;=判定条件!$C$9,"利用可",IF(AND(Y141="停止",G141="停止"),"両方停止","運転がそろわない")))</f>
        <v>利用可</v>
      </c>
      <c r="AR141" s="30" t="n">
        <v>60</v>
      </c>
      <c r="AS141" s="30" t="n">
        <v>24</v>
      </c>
      <c r="AT141" s="30" t="str">
        <f aca="false">IF(OR(AB141="判定不能",J141="判定不能"),"判定不能",IF(AS141&gt;=判定条件!$C$9,"利用可",IF(AND(AB141="停止",J141="停止"),"両方停止","運転がそろわない")))</f>
        <v>運転がそろわない</v>
      </c>
      <c r="AU141" s="30" t="n">
        <v>60</v>
      </c>
      <c r="AV141" s="30" t="n">
        <v>60</v>
      </c>
      <c r="AW141" s="30" t="str">
        <f aca="false">IF(OR(AE141="判定不能",M141="判定不能"),"判定不能",IF(AV141&gt;=判定条件!$C$9,"利用可",IF(AND(AE141="停止",M141="停止"),"両方停止","運転がそろわない")))</f>
        <v>利用可</v>
      </c>
      <c r="AX141" s="30" t="str">
        <f aca="false">IF(AND(AH141="利用可",AK141="利用可",AN141="利用可"),"利用可","不可")</f>
        <v>不可</v>
      </c>
      <c r="AY141" s="30" t="str">
        <f aca="false">IF(AND(AQ141="利用可",AT141="利用可",AW141="利用可"),"利用可","不可")</f>
        <v>不可</v>
      </c>
    </row>
    <row r="142" customFormat="false" ht="15" hidden="false" customHeight="false" outlineLevel="0" collapsed="false">
      <c r="A142" s="29" t="n">
        <v>46237</v>
      </c>
      <c r="B142" s="30" t="n">
        <v>19</v>
      </c>
      <c r="C142" s="31" t="s">
        <v>66</v>
      </c>
      <c r="D142" s="31" t="s">
        <v>59</v>
      </c>
      <c r="E142" s="30" t="n">
        <v>60</v>
      </c>
      <c r="F142" s="30" t="n">
        <v>60</v>
      </c>
      <c r="G142" s="30" t="str">
        <f aca="false">IF(E142&lt;判定条件!$C$6,"判定不能",IF(F142&gt;=判定条件!$C$7*E142,"運転",IF(F142&lt;=判定条件!$C$8*E142,"停止","断続")))</f>
        <v>運転</v>
      </c>
      <c r="H142" s="30" t="n">
        <v>60</v>
      </c>
      <c r="I142" s="30" t="n">
        <v>60</v>
      </c>
      <c r="J142" s="30" t="str">
        <f aca="false">IF(H142&lt;判定条件!$C$6,"判定不能",IF(I142&gt;=判定条件!$C$7*H142,"運転",IF(I142&lt;=判定条件!$C$8*H142,"停止","断続")))</f>
        <v>運転</v>
      </c>
      <c r="K142" s="30" t="n">
        <v>60</v>
      </c>
      <c r="L142" s="30" t="n">
        <v>60</v>
      </c>
      <c r="M142" s="30" t="str">
        <f aca="false">IF(K142&lt;判定条件!$C$6,"判定不能",IF(L142&gt;=判定条件!$C$7*K142,"運転",IF(L142&lt;=判定条件!$C$8*K142,"停止","断続")))</f>
        <v>運転</v>
      </c>
      <c r="N142" s="30" t="n">
        <v>60</v>
      </c>
      <c r="O142" s="30" t="n">
        <v>0</v>
      </c>
      <c r="P142" s="30" t="str">
        <f aca="false">IF(N142&lt;判定条件!$C$6,"判定不能",IF(O142&gt;=判定条件!$C$7*N142,"運転",IF(O142&lt;=判定条件!$C$8*N142,"停止","断続")))</f>
        <v>停止</v>
      </c>
      <c r="Q142" s="30" t="n">
        <v>60</v>
      </c>
      <c r="R142" s="30" t="n">
        <v>7</v>
      </c>
      <c r="S142" s="30" t="str">
        <f aca="false">IF(Q142&lt;判定条件!$C$6,"判定不能",IF(R142&gt;=判定条件!$C$7*Q142,"運転",IF(R142&lt;=判定条件!$C$8*Q142,"停止","断続")))</f>
        <v>停止</v>
      </c>
      <c r="T142" s="30" t="n">
        <v>60</v>
      </c>
      <c r="U142" s="30" t="n">
        <v>26</v>
      </c>
      <c r="V142" s="30" t="str">
        <f aca="false">IF(T142&lt;判定条件!$C$6,"判定不能",IF(U142&gt;=判定条件!$C$7*T142,"運転",IF(U142&lt;=判定条件!$C$8*T142,"停止","断続")))</f>
        <v>断続</v>
      </c>
      <c r="W142" s="30" t="n">
        <v>60</v>
      </c>
      <c r="X142" s="30" t="n">
        <v>28</v>
      </c>
      <c r="Y142" s="30" t="str">
        <f aca="false">IF(W142&lt;判定条件!$C$6,"判定不能",IF(X142&gt;=判定条件!$C$7*W142,"運転",IF(X142&lt;=判定条件!$C$8*W142,"停止","断続")))</f>
        <v>断続</v>
      </c>
      <c r="Z142" s="30" t="n">
        <v>60</v>
      </c>
      <c r="AA142" s="30" t="n">
        <v>6</v>
      </c>
      <c r="AB142" s="30" t="str">
        <f aca="false">IF(Z142&lt;判定条件!$C$6,"判定不能",IF(AA142&gt;=判定条件!$C$7*Z142,"運転",IF(AA142&lt;=判定条件!$C$8*Z142,"停止","断続")))</f>
        <v>停止</v>
      </c>
      <c r="AC142" s="30" t="n">
        <v>60</v>
      </c>
      <c r="AD142" s="30" t="n">
        <v>28</v>
      </c>
      <c r="AE142" s="30" t="str">
        <f aca="false">IF(AC142&lt;判定条件!$C$6,"判定不能",IF(AD142&gt;=判定条件!$C$7*AC142,"運転",IF(AD142&lt;=判定条件!$C$8*AC142,"停止","断続")))</f>
        <v>断続</v>
      </c>
      <c r="AF142" s="30" t="n">
        <v>60</v>
      </c>
      <c r="AG142" s="30" t="n">
        <v>0</v>
      </c>
      <c r="AH142" s="30" t="str">
        <f aca="false">IF(OR(P142="判定不能",G142="判定不能"),"判定不能",IF(AG142&gt;=判定条件!$C$9,"利用可",IF(AND(P142="停止",G142="停止"),"両方停止","運転がそろわない")))</f>
        <v>運転がそろわない</v>
      </c>
      <c r="AI142" s="30" t="n">
        <v>60</v>
      </c>
      <c r="AJ142" s="30" t="n">
        <v>7</v>
      </c>
      <c r="AK142" s="30" t="str">
        <f aca="false">IF(OR(S142="判定不能",J142="判定不能"),"判定不能",IF(AJ142&gt;=判定条件!$C$9,"利用可",IF(AND(S142="停止",J142="停止"),"両方停止","運転がそろわない")))</f>
        <v>運転がそろわない</v>
      </c>
      <c r="AL142" s="30" t="n">
        <v>60</v>
      </c>
      <c r="AM142" s="30" t="n">
        <v>26</v>
      </c>
      <c r="AN142" s="30" t="str">
        <f aca="false">IF(OR(V142="判定不能",M142="判定不能"),"判定不能",IF(AM142&gt;=判定条件!$C$9,"利用可",IF(AND(V142="停止",M142="停止"),"両方停止","運転がそろわない")))</f>
        <v>運転がそろわない</v>
      </c>
      <c r="AO142" s="30" t="n">
        <v>60</v>
      </c>
      <c r="AP142" s="30" t="n">
        <v>28</v>
      </c>
      <c r="AQ142" s="30" t="str">
        <f aca="false">IF(OR(Y142="判定不能",G142="判定不能"),"判定不能",IF(AP142&gt;=判定条件!$C$9,"利用可",IF(AND(Y142="停止",G142="停止"),"両方停止","運転がそろわない")))</f>
        <v>運転がそろわない</v>
      </c>
      <c r="AR142" s="30" t="n">
        <v>60</v>
      </c>
      <c r="AS142" s="30" t="n">
        <v>6</v>
      </c>
      <c r="AT142" s="30" t="str">
        <f aca="false">IF(OR(AB142="判定不能",J142="判定不能"),"判定不能",IF(AS142&gt;=判定条件!$C$9,"利用可",IF(AND(AB142="停止",J142="停止"),"両方停止","運転がそろわない")))</f>
        <v>運転がそろわない</v>
      </c>
      <c r="AU142" s="30" t="n">
        <v>60</v>
      </c>
      <c r="AV142" s="30" t="n">
        <v>28</v>
      </c>
      <c r="AW142" s="30" t="str">
        <f aca="false">IF(OR(AE142="判定不能",M142="判定不能"),"判定不能",IF(AV142&gt;=判定条件!$C$9,"利用可",IF(AND(AE142="停止",M142="停止"),"両方停止","運転がそろわない")))</f>
        <v>運転がそろわない</v>
      </c>
      <c r="AX142" s="30" t="str">
        <f aca="false">IF(AND(AH142="利用可",AK142="利用可",AN142="利用可"),"利用可","不可")</f>
        <v>不可</v>
      </c>
      <c r="AY142" s="30" t="str">
        <f aca="false">IF(AND(AQ142="利用可",AT142="利用可",AW142="利用可"),"利用可","不可")</f>
        <v>不可</v>
      </c>
    </row>
    <row r="143" customFormat="false" ht="15" hidden="false" customHeight="false" outlineLevel="0" collapsed="false">
      <c r="A143" s="29" t="n">
        <v>46237</v>
      </c>
      <c r="B143" s="30" t="n">
        <v>20</v>
      </c>
      <c r="C143" s="31" t="s">
        <v>66</v>
      </c>
      <c r="D143" s="31" t="s">
        <v>59</v>
      </c>
      <c r="E143" s="30" t="n">
        <v>60</v>
      </c>
      <c r="F143" s="30" t="n">
        <v>44</v>
      </c>
      <c r="G143" s="30" t="str">
        <f aca="false">IF(E143&lt;判定条件!$C$6,"判定不能",IF(F143&gt;=判定条件!$C$7*E143,"運転",IF(F143&lt;=判定条件!$C$8*E143,"停止","断続")))</f>
        <v>断続</v>
      </c>
      <c r="H143" s="30" t="n">
        <v>60</v>
      </c>
      <c r="I143" s="30" t="n">
        <v>42</v>
      </c>
      <c r="J143" s="30" t="str">
        <f aca="false">IF(H143&lt;判定条件!$C$6,"判定不能",IF(I143&gt;=判定条件!$C$7*H143,"運転",IF(I143&lt;=判定条件!$C$8*H143,"停止","断続")))</f>
        <v>断続</v>
      </c>
      <c r="K143" s="30" t="n">
        <v>60</v>
      </c>
      <c r="L143" s="30" t="n">
        <v>60</v>
      </c>
      <c r="M143" s="30" t="str">
        <f aca="false">IF(K143&lt;判定条件!$C$6,"判定不能",IF(L143&gt;=判定条件!$C$7*K143,"運転",IF(L143&lt;=判定条件!$C$8*K143,"停止","断続")))</f>
        <v>運転</v>
      </c>
      <c r="N143" s="30" t="n">
        <v>60</v>
      </c>
      <c r="O143" s="30" t="n">
        <v>0</v>
      </c>
      <c r="P143" s="30" t="str">
        <f aca="false">IF(N143&lt;判定条件!$C$6,"判定不能",IF(O143&gt;=判定条件!$C$7*N143,"運転",IF(O143&lt;=判定条件!$C$8*N143,"停止","断続")))</f>
        <v>停止</v>
      </c>
      <c r="Q143" s="30" t="n">
        <v>60</v>
      </c>
      <c r="R143" s="30" t="n">
        <v>0</v>
      </c>
      <c r="S143" s="30" t="str">
        <f aca="false">IF(Q143&lt;判定条件!$C$6,"判定不能",IF(R143&gt;=判定条件!$C$7*Q143,"運転",IF(R143&lt;=判定条件!$C$8*Q143,"停止","断続")))</f>
        <v>停止</v>
      </c>
      <c r="T143" s="30" t="n">
        <v>60</v>
      </c>
      <c r="U143" s="30" t="n">
        <v>4</v>
      </c>
      <c r="V143" s="30" t="str">
        <f aca="false">IF(T143&lt;判定条件!$C$6,"判定不能",IF(U143&gt;=判定条件!$C$7*T143,"運転",IF(U143&lt;=判定条件!$C$8*T143,"停止","断続")))</f>
        <v>停止</v>
      </c>
      <c r="W143" s="30" t="n">
        <v>60</v>
      </c>
      <c r="X143" s="30" t="n">
        <v>0</v>
      </c>
      <c r="Y143" s="30" t="str">
        <f aca="false">IF(W143&lt;判定条件!$C$6,"判定不能",IF(X143&gt;=判定条件!$C$7*W143,"運転",IF(X143&lt;=判定条件!$C$8*W143,"停止","断続")))</f>
        <v>停止</v>
      </c>
      <c r="Z143" s="30" t="n">
        <v>60</v>
      </c>
      <c r="AA143" s="30" t="n">
        <v>0</v>
      </c>
      <c r="AB143" s="30" t="str">
        <f aca="false">IF(Z143&lt;判定条件!$C$6,"判定不能",IF(AA143&gt;=判定条件!$C$7*Z143,"運転",IF(AA143&lt;=判定条件!$C$8*Z143,"停止","断続")))</f>
        <v>停止</v>
      </c>
      <c r="AC143" s="30" t="n">
        <v>60</v>
      </c>
      <c r="AD143" s="30" t="n">
        <v>0</v>
      </c>
      <c r="AE143" s="30" t="str">
        <f aca="false">IF(AC143&lt;判定条件!$C$6,"判定不能",IF(AD143&gt;=判定条件!$C$7*AC143,"運転",IF(AD143&lt;=判定条件!$C$8*AC143,"停止","断続")))</f>
        <v>停止</v>
      </c>
      <c r="AF143" s="30" t="n">
        <v>60</v>
      </c>
      <c r="AG143" s="30" t="n">
        <v>0</v>
      </c>
      <c r="AH143" s="30" t="str">
        <f aca="false">IF(OR(P143="判定不能",G143="判定不能"),"判定不能",IF(AG143&gt;=判定条件!$C$9,"利用可",IF(AND(P143="停止",G143="停止"),"両方停止","運転がそろわない")))</f>
        <v>運転がそろわない</v>
      </c>
      <c r="AI143" s="30" t="n">
        <v>60</v>
      </c>
      <c r="AJ143" s="30" t="n">
        <v>0</v>
      </c>
      <c r="AK143" s="30" t="str">
        <f aca="false">IF(OR(S143="判定不能",J143="判定不能"),"判定不能",IF(AJ143&gt;=判定条件!$C$9,"利用可",IF(AND(S143="停止",J143="停止"),"両方停止","運転がそろわない")))</f>
        <v>運転がそろわない</v>
      </c>
      <c r="AL143" s="30" t="n">
        <v>60</v>
      </c>
      <c r="AM143" s="30" t="n">
        <v>4</v>
      </c>
      <c r="AN143" s="30" t="str">
        <f aca="false">IF(OR(V143="判定不能",M143="判定不能"),"判定不能",IF(AM143&gt;=判定条件!$C$9,"利用可",IF(AND(V143="停止",M143="停止"),"両方停止","運転がそろわない")))</f>
        <v>運転がそろわない</v>
      </c>
      <c r="AO143" s="30" t="n">
        <v>60</v>
      </c>
      <c r="AP143" s="30" t="n">
        <v>0</v>
      </c>
      <c r="AQ143" s="30" t="str">
        <f aca="false">IF(OR(Y143="判定不能",G143="判定不能"),"判定不能",IF(AP143&gt;=判定条件!$C$9,"利用可",IF(AND(Y143="停止",G143="停止"),"両方停止","運転がそろわない")))</f>
        <v>運転がそろわない</v>
      </c>
      <c r="AR143" s="30" t="n">
        <v>60</v>
      </c>
      <c r="AS143" s="30" t="n">
        <v>0</v>
      </c>
      <c r="AT143" s="30" t="str">
        <f aca="false">IF(OR(AB143="判定不能",J143="判定不能"),"判定不能",IF(AS143&gt;=判定条件!$C$9,"利用可",IF(AND(AB143="停止",J143="停止"),"両方停止","運転がそろわない")))</f>
        <v>運転がそろわない</v>
      </c>
      <c r="AU143" s="30" t="n">
        <v>60</v>
      </c>
      <c r="AV143" s="30" t="n">
        <v>0</v>
      </c>
      <c r="AW143" s="30" t="str">
        <f aca="false">IF(OR(AE143="判定不能",M143="判定不能"),"判定不能",IF(AV143&gt;=判定条件!$C$9,"利用可",IF(AND(AE143="停止",M143="停止"),"両方停止","運転がそろわない")))</f>
        <v>運転がそろわない</v>
      </c>
      <c r="AX143" s="30" t="str">
        <f aca="false">IF(AND(AH143="利用可",AK143="利用可",AN143="利用可"),"利用可","不可")</f>
        <v>不可</v>
      </c>
      <c r="AY143" s="30" t="str">
        <f aca="false">IF(AND(AQ143="利用可",AT143="利用可",AW143="利用可"),"利用可","不可")</f>
        <v>不可</v>
      </c>
    </row>
    <row r="144" customFormat="false" ht="15" hidden="false" customHeight="false" outlineLevel="0" collapsed="false">
      <c r="A144" s="29" t="n">
        <v>46237</v>
      </c>
      <c r="B144" s="30" t="n">
        <v>21</v>
      </c>
      <c r="C144" s="31" t="s">
        <v>66</v>
      </c>
      <c r="D144" s="31" t="s">
        <v>59</v>
      </c>
      <c r="E144" s="30" t="n">
        <v>60</v>
      </c>
      <c r="F144" s="30" t="n">
        <v>0</v>
      </c>
      <c r="G144" s="30" t="str">
        <f aca="false">IF(E144&lt;判定条件!$C$6,"判定不能",IF(F144&gt;=判定条件!$C$7*E144,"運転",IF(F144&lt;=判定条件!$C$8*E144,"停止","断続")))</f>
        <v>停止</v>
      </c>
      <c r="H144" s="30" t="n">
        <v>60</v>
      </c>
      <c r="I144" s="30" t="n">
        <v>0</v>
      </c>
      <c r="J144" s="30" t="str">
        <f aca="false">IF(H144&lt;判定条件!$C$6,"判定不能",IF(I144&gt;=判定条件!$C$7*H144,"運転",IF(I144&lt;=判定条件!$C$8*H144,"停止","断続")))</f>
        <v>停止</v>
      </c>
      <c r="K144" s="30" t="n">
        <v>60</v>
      </c>
      <c r="L144" s="30" t="n">
        <v>60</v>
      </c>
      <c r="M144" s="30" t="str">
        <f aca="false">IF(K144&lt;判定条件!$C$6,"判定不能",IF(L144&gt;=判定条件!$C$7*K144,"運転",IF(L144&lt;=判定条件!$C$8*K144,"停止","断続")))</f>
        <v>運転</v>
      </c>
      <c r="N144" s="30" t="n">
        <v>60</v>
      </c>
      <c r="O144" s="30" t="n">
        <v>29</v>
      </c>
      <c r="P144" s="30" t="str">
        <f aca="false">IF(N144&lt;判定条件!$C$6,"判定不能",IF(O144&gt;=判定条件!$C$7*N144,"運転",IF(O144&lt;=判定条件!$C$8*N144,"停止","断続")))</f>
        <v>断続</v>
      </c>
      <c r="Q144" s="30" t="n">
        <v>60</v>
      </c>
      <c r="R144" s="30" t="n">
        <v>0</v>
      </c>
      <c r="S144" s="30" t="str">
        <f aca="false">IF(Q144&lt;判定条件!$C$6,"判定不能",IF(R144&gt;=判定条件!$C$7*Q144,"運転",IF(R144&lt;=判定条件!$C$8*Q144,"停止","断続")))</f>
        <v>停止</v>
      </c>
      <c r="T144" s="30" t="n">
        <v>60</v>
      </c>
      <c r="U144" s="30" t="n">
        <v>0</v>
      </c>
      <c r="V144" s="30" t="str">
        <f aca="false">IF(T144&lt;判定条件!$C$6,"判定不能",IF(U144&gt;=判定条件!$C$7*T144,"運転",IF(U144&lt;=判定条件!$C$8*T144,"停止","断続")))</f>
        <v>停止</v>
      </c>
      <c r="W144" s="30" t="n">
        <v>60</v>
      </c>
      <c r="X144" s="30" t="n">
        <v>40</v>
      </c>
      <c r="Y144" s="30" t="str">
        <f aca="false">IF(W144&lt;判定条件!$C$6,"判定不能",IF(X144&gt;=判定条件!$C$7*W144,"運転",IF(X144&lt;=判定条件!$C$8*W144,"停止","断続")))</f>
        <v>断続</v>
      </c>
      <c r="Z144" s="30" t="n">
        <v>60</v>
      </c>
      <c r="AA144" s="30" t="n">
        <v>0</v>
      </c>
      <c r="AB144" s="30" t="str">
        <f aca="false">IF(Z144&lt;判定条件!$C$6,"判定不能",IF(AA144&gt;=判定条件!$C$7*Z144,"運転",IF(AA144&lt;=判定条件!$C$8*Z144,"停止","断続")))</f>
        <v>停止</v>
      </c>
      <c r="AC144" s="30" t="n">
        <v>60</v>
      </c>
      <c r="AD144" s="30" t="n">
        <v>0</v>
      </c>
      <c r="AE144" s="30" t="str">
        <f aca="false">IF(AC144&lt;判定条件!$C$6,"判定不能",IF(AD144&gt;=判定条件!$C$7*AC144,"運転",IF(AD144&lt;=判定条件!$C$8*AC144,"停止","断続")))</f>
        <v>停止</v>
      </c>
      <c r="AF144" s="30" t="n">
        <v>60</v>
      </c>
      <c r="AG144" s="30" t="n">
        <v>0</v>
      </c>
      <c r="AH144" s="30" t="str">
        <f aca="false">IF(OR(P144="判定不能",G144="判定不能"),"判定不能",IF(AG144&gt;=判定条件!$C$9,"利用可",IF(AND(P144="停止",G144="停止"),"両方停止","運転がそろわない")))</f>
        <v>運転がそろわない</v>
      </c>
      <c r="AI144" s="30" t="n">
        <v>60</v>
      </c>
      <c r="AJ144" s="30" t="n">
        <v>0</v>
      </c>
      <c r="AK144" s="30" t="str">
        <f aca="false">IF(OR(S144="判定不能",J144="判定不能"),"判定不能",IF(AJ144&gt;=判定条件!$C$9,"利用可",IF(AND(S144="停止",J144="停止"),"両方停止","運転がそろわない")))</f>
        <v>両方停止</v>
      </c>
      <c r="AL144" s="30" t="n">
        <v>60</v>
      </c>
      <c r="AM144" s="30" t="n">
        <v>0</v>
      </c>
      <c r="AN144" s="30" t="str">
        <f aca="false">IF(OR(V144="判定不能",M144="判定不能"),"判定不能",IF(AM144&gt;=判定条件!$C$9,"利用可",IF(AND(V144="停止",M144="停止"),"両方停止","運転がそろわない")))</f>
        <v>運転がそろわない</v>
      </c>
      <c r="AO144" s="30" t="n">
        <v>60</v>
      </c>
      <c r="AP144" s="30" t="n">
        <v>0</v>
      </c>
      <c r="AQ144" s="30" t="str">
        <f aca="false">IF(OR(Y144="判定不能",G144="判定不能"),"判定不能",IF(AP144&gt;=判定条件!$C$9,"利用可",IF(AND(Y144="停止",G144="停止"),"両方停止","運転がそろわない")))</f>
        <v>運転がそろわない</v>
      </c>
      <c r="AR144" s="30" t="n">
        <v>60</v>
      </c>
      <c r="AS144" s="30" t="n">
        <v>0</v>
      </c>
      <c r="AT144" s="30" t="str">
        <f aca="false">IF(OR(AB144="判定不能",J144="判定不能"),"判定不能",IF(AS144&gt;=判定条件!$C$9,"利用可",IF(AND(AB144="停止",J144="停止"),"両方停止","運転がそろわない")))</f>
        <v>両方停止</v>
      </c>
      <c r="AU144" s="30" t="n">
        <v>60</v>
      </c>
      <c r="AV144" s="30" t="n">
        <v>0</v>
      </c>
      <c r="AW144" s="30" t="str">
        <f aca="false">IF(OR(AE144="判定不能",M144="判定不能"),"判定不能",IF(AV144&gt;=判定条件!$C$9,"利用可",IF(AND(AE144="停止",M144="停止"),"両方停止","運転がそろわない")))</f>
        <v>運転がそろわない</v>
      </c>
      <c r="AX144" s="30" t="str">
        <f aca="false">IF(AND(AH144="利用可",AK144="利用可",AN144="利用可"),"利用可","不可")</f>
        <v>不可</v>
      </c>
      <c r="AY144" s="30" t="str">
        <f aca="false">IF(AND(AQ144="利用可",AT144="利用可",AW144="利用可"),"利用可","不可")</f>
        <v>不可</v>
      </c>
    </row>
    <row r="145" customFormat="false" ht="15" hidden="false" customHeight="false" outlineLevel="0" collapsed="false">
      <c r="A145" s="29" t="n">
        <v>46237</v>
      </c>
      <c r="B145" s="30" t="n">
        <v>22</v>
      </c>
      <c r="C145" s="31" t="s">
        <v>66</v>
      </c>
      <c r="D145" s="31" t="s">
        <v>59</v>
      </c>
      <c r="E145" s="30" t="n">
        <v>60</v>
      </c>
      <c r="F145" s="30" t="n">
        <v>0</v>
      </c>
      <c r="G145" s="30" t="str">
        <f aca="false">IF(E145&lt;判定条件!$C$6,"判定不能",IF(F145&gt;=判定条件!$C$7*E145,"運転",IF(F145&lt;=判定条件!$C$8*E145,"停止","断続")))</f>
        <v>停止</v>
      </c>
      <c r="H145" s="30" t="n">
        <v>60</v>
      </c>
      <c r="I145" s="30" t="n">
        <v>0</v>
      </c>
      <c r="J145" s="30" t="str">
        <f aca="false">IF(H145&lt;判定条件!$C$6,"判定不能",IF(I145&gt;=判定条件!$C$7*H145,"運転",IF(I145&lt;=判定条件!$C$8*H145,"停止","断続")))</f>
        <v>停止</v>
      </c>
      <c r="K145" s="30" t="n">
        <v>60</v>
      </c>
      <c r="L145" s="30" t="n">
        <v>60</v>
      </c>
      <c r="M145" s="30" t="str">
        <f aca="false">IF(K145&lt;判定条件!$C$6,"判定不能",IF(L145&gt;=判定条件!$C$7*K145,"運転",IF(L145&lt;=判定条件!$C$8*K145,"停止","断続")))</f>
        <v>運転</v>
      </c>
      <c r="N145" s="30" t="n">
        <v>60</v>
      </c>
      <c r="O145" s="30" t="n">
        <v>0</v>
      </c>
      <c r="P145" s="30" t="str">
        <f aca="false">IF(N145&lt;判定条件!$C$6,"判定不能",IF(O145&gt;=判定条件!$C$7*N145,"運転",IF(O145&lt;=判定条件!$C$8*N145,"停止","断続")))</f>
        <v>停止</v>
      </c>
      <c r="Q145" s="30" t="n">
        <v>60</v>
      </c>
      <c r="R145" s="30" t="n">
        <v>0</v>
      </c>
      <c r="S145" s="30" t="str">
        <f aca="false">IF(Q145&lt;判定条件!$C$6,"判定不能",IF(R145&gt;=判定条件!$C$7*Q145,"運転",IF(R145&lt;=判定条件!$C$8*Q145,"停止","断続")))</f>
        <v>停止</v>
      </c>
      <c r="T145" s="30" t="n">
        <v>60</v>
      </c>
      <c r="U145" s="30" t="n">
        <v>0</v>
      </c>
      <c r="V145" s="30" t="str">
        <f aca="false">IF(T145&lt;判定条件!$C$6,"判定不能",IF(U145&gt;=判定条件!$C$7*T145,"運転",IF(U145&lt;=判定条件!$C$8*T145,"停止","断続")))</f>
        <v>停止</v>
      </c>
      <c r="W145" s="30" t="n">
        <v>60</v>
      </c>
      <c r="X145" s="30" t="n">
        <v>29</v>
      </c>
      <c r="Y145" s="30" t="str">
        <f aca="false">IF(W145&lt;判定条件!$C$6,"判定不能",IF(X145&gt;=判定条件!$C$7*W145,"運転",IF(X145&lt;=判定条件!$C$8*W145,"停止","断続")))</f>
        <v>断続</v>
      </c>
      <c r="Z145" s="30" t="n">
        <v>60</v>
      </c>
      <c r="AA145" s="30" t="n">
        <v>0</v>
      </c>
      <c r="AB145" s="30" t="str">
        <f aca="false">IF(Z145&lt;判定条件!$C$6,"判定不能",IF(AA145&gt;=判定条件!$C$7*Z145,"運転",IF(AA145&lt;=判定条件!$C$8*Z145,"停止","断続")))</f>
        <v>停止</v>
      </c>
      <c r="AC145" s="30" t="n">
        <v>60</v>
      </c>
      <c r="AD145" s="30" t="n">
        <v>0</v>
      </c>
      <c r="AE145" s="30" t="str">
        <f aca="false">IF(AC145&lt;判定条件!$C$6,"判定不能",IF(AD145&gt;=判定条件!$C$7*AC145,"運転",IF(AD145&lt;=判定条件!$C$8*AC145,"停止","断続")))</f>
        <v>停止</v>
      </c>
      <c r="AF145" s="30" t="n">
        <v>60</v>
      </c>
      <c r="AG145" s="30" t="n">
        <v>0</v>
      </c>
      <c r="AH145" s="30" t="str">
        <f aca="false">IF(OR(P145="判定不能",G145="判定不能"),"判定不能",IF(AG145&gt;=判定条件!$C$9,"利用可",IF(AND(P145="停止",G145="停止"),"両方停止","運転がそろわない")))</f>
        <v>両方停止</v>
      </c>
      <c r="AI145" s="30" t="n">
        <v>60</v>
      </c>
      <c r="AJ145" s="30" t="n">
        <v>0</v>
      </c>
      <c r="AK145" s="30" t="str">
        <f aca="false">IF(OR(S145="判定不能",J145="判定不能"),"判定不能",IF(AJ145&gt;=判定条件!$C$9,"利用可",IF(AND(S145="停止",J145="停止"),"両方停止","運転がそろわない")))</f>
        <v>両方停止</v>
      </c>
      <c r="AL145" s="30" t="n">
        <v>60</v>
      </c>
      <c r="AM145" s="30" t="n">
        <v>0</v>
      </c>
      <c r="AN145" s="30" t="str">
        <f aca="false">IF(OR(V145="判定不能",M145="判定不能"),"判定不能",IF(AM145&gt;=判定条件!$C$9,"利用可",IF(AND(V145="停止",M145="停止"),"両方停止","運転がそろわない")))</f>
        <v>運転がそろわない</v>
      </c>
      <c r="AO145" s="30" t="n">
        <v>60</v>
      </c>
      <c r="AP145" s="30" t="n">
        <v>0</v>
      </c>
      <c r="AQ145" s="30" t="str">
        <f aca="false">IF(OR(Y145="判定不能",G145="判定不能"),"判定不能",IF(AP145&gt;=判定条件!$C$9,"利用可",IF(AND(Y145="停止",G145="停止"),"両方停止","運転がそろわない")))</f>
        <v>運転がそろわない</v>
      </c>
      <c r="AR145" s="30" t="n">
        <v>60</v>
      </c>
      <c r="AS145" s="30" t="n">
        <v>0</v>
      </c>
      <c r="AT145" s="30" t="str">
        <f aca="false">IF(OR(AB145="判定不能",J145="判定不能"),"判定不能",IF(AS145&gt;=判定条件!$C$9,"利用可",IF(AND(AB145="停止",J145="停止"),"両方停止","運転がそろわない")))</f>
        <v>両方停止</v>
      </c>
      <c r="AU145" s="30" t="n">
        <v>60</v>
      </c>
      <c r="AV145" s="30" t="n">
        <v>0</v>
      </c>
      <c r="AW145" s="30" t="str">
        <f aca="false">IF(OR(AE145="判定不能",M145="判定不能"),"判定不能",IF(AV145&gt;=判定条件!$C$9,"利用可",IF(AND(AE145="停止",M145="停止"),"両方停止","運転がそろわない")))</f>
        <v>運転がそろわない</v>
      </c>
      <c r="AX145" s="30" t="str">
        <f aca="false">IF(AND(AH145="利用可",AK145="利用可",AN145="利用可"),"利用可","不可")</f>
        <v>不可</v>
      </c>
      <c r="AY145" s="30" t="str">
        <f aca="false">IF(AND(AQ145="利用可",AT145="利用可",AW145="利用可"),"利用可","不可")</f>
        <v>不可</v>
      </c>
    </row>
    <row r="146" customFormat="false" ht="15" hidden="false" customHeight="false" outlineLevel="0" collapsed="false">
      <c r="A146" s="29" t="n">
        <v>46237</v>
      </c>
      <c r="B146" s="30" t="n">
        <v>23</v>
      </c>
      <c r="C146" s="31" t="s">
        <v>66</v>
      </c>
      <c r="D146" s="31" t="s">
        <v>59</v>
      </c>
      <c r="E146" s="30" t="n">
        <v>60</v>
      </c>
      <c r="F146" s="30" t="n">
        <v>0</v>
      </c>
      <c r="G146" s="30" t="str">
        <f aca="false">IF(E146&lt;判定条件!$C$6,"判定不能",IF(F146&gt;=判定条件!$C$7*E146,"運転",IF(F146&lt;=判定条件!$C$8*E146,"停止","断続")))</f>
        <v>停止</v>
      </c>
      <c r="H146" s="30" t="n">
        <v>60</v>
      </c>
      <c r="I146" s="30" t="n">
        <v>0</v>
      </c>
      <c r="J146" s="30" t="str">
        <f aca="false">IF(H146&lt;判定条件!$C$6,"判定不能",IF(I146&gt;=判定条件!$C$7*H146,"運転",IF(I146&lt;=判定条件!$C$8*H146,"停止","断続")))</f>
        <v>停止</v>
      </c>
      <c r="K146" s="30" t="n">
        <v>60</v>
      </c>
      <c r="L146" s="30" t="n">
        <v>60</v>
      </c>
      <c r="M146" s="30" t="str">
        <f aca="false">IF(K146&lt;判定条件!$C$6,"判定不能",IF(L146&gt;=判定条件!$C$7*K146,"運転",IF(L146&lt;=判定条件!$C$8*K146,"停止","断続")))</f>
        <v>運転</v>
      </c>
      <c r="N146" s="30" t="n">
        <v>60</v>
      </c>
      <c r="O146" s="30" t="n">
        <v>0</v>
      </c>
      <c r="P146" s="30" t="str">
        <f aca="false">IF(N146&lt;判定条件!$C$6,"判定不能",IF(O146&gt;=判定条件!$C$7*N146,"運転",IF(O146&lt;=判定条件!$C$8*N146,"停止","断続")))</f>
        <v>停止</v>
      </c>
      <c r="Q146" s="30" t="n">
        <v>60</v>
      </c>
      <c r="R146" s="30" t="n">
        <v>0</v>
      </c>
      <c r="S146" s="30" t="str">
        <f aca="false">IF(Q146&lt;判定条件!$C$6,"判定不能",IF(R146&gt;=判定条件!$C$7*Q146,"運転",IF(R146&lt;=判定条件!$C$8*Q146,"停止","断続")))</f>
        <v>停止</v>
      </c>
      <c r="T146" s="30" t="n">
        <v>60</v>
      </c>
      <c r="U146" s="30" t="n">
        <v>0</v>
      </c>
      <c r="V146" s="30" t="str">
        <f aca="false">IF(T146&lt;判定条件!$C$6,"判定不能",IF(U146&gt;=判定条件!$C$7*T146,"運転",IF(U146&lt;=判定条件!$C$8*T146,"停止","断続")))</f>
        <v>停止</v>
      </c>
      <c r="W146" s="30" t="n">
        <v>60</v>
      </c>
      <c r="X146" s="30" t="n">
        <v>20</v>
      </c>
      <c r="Y146" s="30" t="str">
        <f aca="false">IF(W146&lt;判定条件!$C$6,"判定不能",IF(X146&gt;=判定条件!$C$7*W146,"運転",IF(X146&lt;=判定条件!$C$8*W146,"停止","断続")))</f>
        <v>断続</v>
      </c>
      <c r="Z146" s="30" t="n">
        <v>60</v>
      </c>
      <c r="AA146" s="30" t="n">
        <v>0</v>
      </c>
      <c r="AB146" s="30" t="str">
        <f aca="false">IF(Z146&lt;判定条件!$C$6,"判定不能",IF(AA146&gt;=判定条件!$C$7*Z146,"運転",IF(AA146&lt;=判定条件!$C$8*Z146,"停止","断続")))</f>
        <v>停止</v>
      </c>
      <c r="AC146" s="30" t="n">
        <v>60</v>
      </c>
      <c r="AD146" s="30" t="n">
        <v>0</v>
      </c>
      <c r="AE146" s="30" t="str">
        <f aca="false">IF(AC146&lt;判定条件!$C$6,"判定不能",IF(AD146&gt;=判定条件!$C$7*AC146,"運転",IF(AD146&lt;=判定条件!$C$8*AC146,"停止","断続")))</f>
        <v>停止</v>
      </c>
      <c r="AF146" s="30" t="n">
        <v>60</v>
      </c>
      <c r="AG146" s="30" t="n">
        <v>0</v>
      </c>
      <c r="AH146" s="30" t="str">
        <f aca="false">IF(OR(P146="判定不能",G146="判定不能"),"判定不能",IF(AG146&gt;=判定条件!$C$9,"利用可",IF(AND(P146="停止",G146="停止"),"両方停止","運転がそろわない")))</f>
        <v>両方停止</v>
      </c>
      <c r="AI146" s="30" t="n">
        <v>60</v>
      </c>
      <c r="AJ146" s="30" t="n">
        <v>0</v>
      </c>
      <c r="AK146" s="30" t="str">
        <f aca="false">IF(OR(S146="判定不能",J146="判定不能"),"判定不能",IF(AJ146&gt;=判定条件!$C$9,"利用可",IF(AND(S146="停止",J146="停止"),"両方停止","運転がそろわない")))</f>
        <v>両方停止</v>
      </c>
      <c r="AL146" s="30" t="n">
        <v>60</v>
      </c>
      <c r="AM146" s="30" t="n">
        <v>0</v>
      </c>
      <c r="AN146" s="30" t="str">
        <f aca="false">IF(OR(V146="判定不能",M146="判定不能"),"判定不能",IF(AM146&gt;=判定条件!$C$9,"利用可",IF(AND(V146="停止",M146="停止"),"両方停止","運転がそろわない")))</f>
        <v>運転がそろわない</v>
      </c>
      <c r="AO146" s="30" t="n">
        <v>60</v>
      </c>
      <c r="AP146" s="30" t="n">
        <v>0</v>
      </c>
      <c r="AQ146" s="30" t="str">
        <f aca="false">IF(OR(Y146="判定不能",G146="判定不能"),"判定不能",IF(AP146&gt;=判定条件!$C$9,"利用可",IF(AND(Y146="停止",G146="停止"),"両方停止","運転がそろわない")))</f>
        <v>運転がそろわない</v>
      </c>
      <c r="AR146" s="30" t="n">
        <v>60</v>
      </c>
      <c r="AS146" s="30" t="n">
        <v>0</v>
      </c>
      <c r="AT146" s="30" t="str">
        <f aca="false">IF(OR(AB146="判定不能",J146="判定不能"),"判定不能",IF(AS146&gt;=判定条件!$C$9,"利用可",IF(AND(AB146="停止",J146="停止"),"両方停止","運転がそろわない")))</f>
        <v>両方停止</v>
      </c>
      <c r="AU146" s="30" t="n">
        <v>60</v>
      </c>
      <c r="AV146" s="30" t="n">
        <v>0</v>
      </c>
      <c r="AW146" s="30" t="str">
        <f aca="false">IF(OR(AE146="判定不能",M146="判定不能"),"判定不能",IF(AV146&gt;=判定条件!$C$9,"利用可",IF(AND(AE146="停止",M146="停止"),"両方停止","運転がそろわない")))</f>
        <v>運転がそろわない</v>
      </c>
      <c r="AX146" s="30" t="str">
        <f aca="false">IF(AND(AH146="利用可",AK146="利用可",AN146="利用可"),"利用可","不可")</f>
        <v>不可</v>
      </c>
      <c r="AY146" s="30" t="str">
        <f aca="false">IF(AND(AQ146="利用可",AT146="利用可",AW146="利用可"),"利用可","不可")</f>
        <v>不可</v>
      </c>
    </row>
    <row r="147" customFormat="false" ht="15" hidden="false" customHeight="false" outlineLevel="0" collapsed="false">
      <c r="A147" s="29" t="n">
        <v>46238</v>
      </c>
      <c r="B147" s="30" t="n">
        <v>0</v>
      </c>
      <c r="C147" s="31" t="s">
        <v>67</v>
      </c>
      <c r="D147" s="31" t="s">
        <v>59</v>
      </c>
      <c r="E147" s="30" t="n">
        <v>60</v>
      </c>
      <c r="F147" s="30" t="n">
        <v>0</v>
      </c>
      <c r="G147" s="30" t="str">
        <f aca="false">IF(E147&lt;判定条件!$C$6,"判定不能",IF(F147&gt;=判定条件!$C$7*E147,"運転",IF(F147&lt;=判定条件!$C$8*E147,"停止","断続")))</f>
        <v>停止</v>
      </c>
      <c r="H147" s="30" t="n">
        <v>60</v>
      </c>
      <c r="I147" s="30" t="n">
        <v>0</v>
      </c>
      <c r="J147" s="30" t="str">
        <f aca="false">IF(H147&lt;判定条件!$C$6,"判定不能",IF(I147&gt;=判定条件!$C$7*H147,"運転",IF(I147&lt;=判定条件!$C$8*H147,"停止","断続")))</f>
        <v>停止</v>
      </c>
      <c r="K147" s="30" t="n">
        <v>60</v>
      </c>
      <c r="L147" s="30" t="n">
        <v>60</v>
      </c>
      <c r="M147" s="30" t="str">
        <f aca="false">IF(K147&lt;判定条件!$C$6,"判定不能",IF(L147&gt;=判定条件!$C$7*K147,"運転",IF(L147&lt;=判定条件!$C$8*K147,"停止","断続")))</f>
        <v>運転</v>
      </c>
      <c r="N147" s="30" t="n">
        <v>60</v>
      </c>
      <c r="O147" s="30" t="n">
        <v>0</v>
      </c>
      <c r="P147" s="30" t="str">
        <f aca="false">IF(N147&lt;判定条件!$C$6,"判定不能",IF(O147&gt;=判定条件!$C$7*N147,"運転",IF(O147&lt;=判定条件!$C$8*N147,"停止","断続")))</f>
        <v>停止</v>
      </c>
      <c r="Q147" s="30" t="n">
        <v>60</v>
      </c>
      <c r="R147" s="30" t="n">
        <v>0</v>
      </c>
      <c r="S147" s="30" t="str">
        <f aca="false">IF(Q147&lt;判定条件!$C$6,"判定不能",IF(R147&gt;=判定条件!$C$7*Q147,"運転",IF(R147&lt;=判定条件!$C$8*Q147,"停止","断続")))</f>
        <v>停止</v>
      </c>
      <c r="T147" s="30" t="n">
        <v>60</v>
      </c>
      <c r="U147" s="30" t="n">
        <v>0</v>
      </c>
      <c r="V147" s="30" t="str">
        <f aca="false">IF(T147&lt;判定条件!$C$6,"判定不能",IF(U147&gt;=判定条件!$C$7*T147,"運転",IF(U147&lt;=判定条件!$C$8*T147,"停止","断続")))</f>
        <v>停止</v>
      </c>
      <c r="W147" s="30" t="n">
        <v>60</v>
      </c>
      <c r="X147" s="30" t="n">
        <v>0</v>
      </c>
      <c r="Y147" s="30" t="str">
        <f aca="false">IF(W147&lt;判定条件!$C$6,"判定不能",IF(X147&gt;=判定条件!$C$7*W147,"運転",IF(X147&lt;=判定条件!$C$8*W147,"停止","断続")))</f>
        <v>停止</v>
      </c>
      <c r="Z147" s="30" t="n">
        <v>60</v>
      </c>
      <c r="AA147" s="30" t="n">
        <v>0</v>
      </c>
      <c r="AB147" s="30" t="str">
        <f aca="false">IF(Z147&lt;判定条件!$C$6,"判定不能",IF(AA147&gt;=判定条件!$C$7*Z147,"運転",IF(AA147&lt;=判定条件!$C$8*Z147,"停止","断続")))</f>
        <v>停止</v>
      </c>
      <c r="AC147" s="30" t="n">
        <v>60</v>
      </c>
      <c r="AD147" s="30" t="n">
        <v>0</v>
      </c>
      <c r="AE147" s="30" t="str">
        <f aca="false">IF(AC147&lt;判定条件!$C$6,"判定不能",IF(AD147&gt;=判定条件!$C$7*AC147,"運転",IF(AD147&lt;=判定条件!$C$8*AC147,"停止","断続")))</f>
        <v>停止</v>
      </c>
      <c r="AF147" s="30" t="n">
        <v>60</v>
      </c>
      <c r="AG147" s="30" t="n">
        <v>0</v>
      </c>
      <c r="AH147" s="30" t="str">
        <f aca="false">IF(OR(P147="判定不能",G147="判定不能"),"判定不能",IF(AG147&gt;=判定条件!$C$9,"利用可",IF(AND(P147="停止",G147="停止"),"両方停止","運転がそろわない")))</f>
        <v>両方停止</v>
      </c>
      <c r="AI147" s="30" t="n">
        <v>60</v>
      </c>
      <c r="AJ147" s="30" t="n">
        <v>0</v>
      </c>
      <c r="AK147" s="30" t="str">
        <f aca="false">IF(OR(S147="判定不能",J147="判定不能"),"判定不能",IF(AJ147&gt;=判定条件!$C$9,"利用可",IF(AND(S147="停止",J147="停止"),"両方停止","運転がそろわない")))</f>
        <v>両方停止</v>
      </c>
      <c r="AL147" s="30" t="n">
        <v>60</v>
      </c>
      <c r="AM147" s="30" t="n">
        <v>0</v>
      </c>
      <c r="AN147" s="30" t="str">
        <f aca="false">IF(OR(V147="判定不能",M147="判定不能"),"判定不能",IF(AM147&gt;=判定条件!$C$9,"利用可",IF(AND(V147="停止",M147="停止"),"両方停止","運転がそろわない")))</f>
        <v>運転がそろわない</v>
      </c>
      <c r="AO147" s="30" t="n">
        <v>60</v>
      </c>
      <c r="AP147" s="30" t="n">
        <v>0</v>
      </c>
      <c r="AQ147" s="30" t="str">
        <f aca="false">IF(OR(Y147="判定不能",G147="判定不能"),"判定不能",IF(AP147&gt;=判定条件!$C$9,"利用可",IF(AND(Y147="停止",G147="停止"),"両方停止","運転がそろわない")))</f>
        <v>両方停止</v>
      </c>
      <c r="AR147" s="30" t="n">
        <v>60</v>
      </c>
      <c r="AS147" s="30" t="n">
        <v>0</v>
      </c>
      <c r="AT147" s="30" t="str">
        <f aca="false">IF(OR(AB147="判定不能",J147="判定不能"),"判定不能",IF(AS147&gt;=判定条件!$C$9,"利用可",IF(AND(AB147="停止",J147="停止"),"両方停止","運転がそろわない")))</f>
        <v>両方停止</v>
      </c>
      <c r="AU147" s="30" t="n">
        <v>60</v>
      </c>
      <c r="AV147" s="30" t="n">
        <v>0</v>
      </c>
      <c r="AW147" s="30" t="str">
        <f aca="false">IF(OR(AE147="判定不能",M147="判定不能"),"判定不能",IF(AV147&gt;=判定条件!$C$9,"利用可",IF(AND(AE147="停止",M147="停止"),"両方停止","運転がそろわない")))</f>
        <v>運転がそろわない</v>
      </c>
      <c r="AX147" s="30" t="str">
        <f aca="false">IF(AND(AH147="利用可",AK147="利用可",AN147="利用可"),"利用可","不可")</f>
        <v>不可</v>
      </c>
      <c r="AY147" s="30" t="str">
        <f aca="false">IF(AND(AQ147="利用可",AT147="利用可",AW147="利用可"),"利用可","不可")</f>
        <v>不可</v>
      </c>
    </row>
    <row r="148" customFormat="false" ht="15" hidden="false" customHeight="false" outlineLevel="0" collapsed="false">
      <c r="A148" s="29" t="n">
        <v>46238</v>
      </c>
      <c r="B148" s="30" t="n">
        <v>1</v>
      </c>
      <c r="C148" s="31" t="s">
        <v>67</v>
      </c>
      <c r="D148" s="31" t="s">
        <v>59</v>
      </c>
      <c r="E148" s="30" t="n">
        <v>60</v>
      </c>
      <c r="F148" s="30" t="n">
        <v>0</v>
      </c>
      <c r="G148" s="30" t="str">
        <f aca="false">IF(E148&lt;判定条件!$C$6,"判定不能",IF(F148&gt;=判定条件!$C$7*E148,"運転",IF(F148&lt;=判定条件!$C$8*E148,"停止","断続")))</f>
        <v>停止</v>
      </c>
      <c r="H148" s="30" t="n">
        <v>60</v>
      </c>
      <c r="I148" s="30" t="n">
        <v>0</v>
      </c>
      <c r="J148" s="30" t="str">
        <f aca="false">IF(H148&lt;判定条件!$C$6,"判定不能",IF(I148&gt;=判定条件!$C$7*H148,"運転",IF(I148&lt;=判定条件!$C$8*H148,"停止","断続")))</f>
        <v>停止</v>
      </c>
      <c r="K148" s="30" t="n">
        <v>60</v>
      </c>
      <c r="L148" s="30" t="n">
        <v>60</v>
      </c>
      <c r="M148" s="30" t="str">
        <f aca="false">IF(K148&lt;判定条件!$C$6,"判定不能",IF(L148&gt;=判定条件!$C$7*K148,"運転",IF(L148&lt;=判定条件!$C$8*K148,"停止","断続")))</f>
        <v>運転</v>
      </c>
      <c r="N148" s="30" t="n">
        <v>60</v>
      </c>
      <c r="O148" s="30" t="n">
        <v>0</v>
      </c>
      <c r="P148" s="30" t="str">
        <f aca="false">IF(N148&lt;判定条件!$C$6,"判定不能",IF(O148&gt;=判定条件!$C$7*N148,"運転",IF(O148&lt;=判定条件!$C$8*N148,"停止","断続")))</f>
        <v>停止</v>
      </c>
      <c r="Q148" s="30" t="n">
        <v>60</v>
      </c>
      <c r="R148" s="30" t="n">
        <v>0</v>
      </c>
      <c r="S148" s="30" t="str">
        <f aca="false">IF(Q148&lt;判定条件!$C$6,"判定不能",IF(R148&gt;=判定条件!$C$7*Q148,"運転",IF(R148&lt;=判定条件!$C$8*Q148,"停止","断続")))</f>
        <v>停止</v>
      </c>
      <c r="T148" s="30" t="n">
        <v>60</v>
      </c>
      <c r="U148" s="30" t="n">
        <v>0</v>
      </c>
      <c r="V148" s="30" t="str">
        <f aca="false">IF(T148&lt;判定条件!$C$6,"判定不能",IF(U148&gt;=判定条件!$C$7*T148,"運転",IF(U148&lt;=判定条件!$C$8*T148,"停止","断続")))</f>
        <v>停止</v>
      </c>
      <c r="W148" s="30" t="n">
        <v>60</v>
      </c>
      <c r="X148" s="30" t="n">
        <v>0</v>
      </c>
      <c r="Y148" s="30" t="str">
        <f aca="false">IF(W148&lt;判定条件!$C$6,"判定不能",IF(X148&gt;=判定条件!$C$7*W148,"運転",IF(X148&lt;=判定条件!$C$8*W148,"停止","断続")))</f>
        <v>停止</v>
      </c>
      <c r="Z148" s="30" t="n">
        <v>60</v>
      </c>
      <c r="AA148" s="30" t="n">
        <v>0</v>
      </c>
      <c r="AB148" s="30" t="str">
        <f aca="false">IF(Z148&lt;判定条件!$C$6,"判定不能",IF(AA148&gt;=判定条件!$C$7*Z148,"運転",IF(AA148&lt;=判定条件!$C$8*Z148,"停止","断続")))</f>
        <v>停止</v>
      </c>
      <c r="AC148" s="30" t="n">
        <v>60</v>
      </c>
      <c r="AD148" s="30" t="n">
        <v>0</v>
      </c>
      <c r="AE148" s="30" t="str">
        <f aca="false">IF(AC148&lt;判定条件!$C$6,"判定不能",IF(AD148&gt;=判定条件!$C$7*AC148,"運転",IF(AD148&lt;=判定条件!$C$8*AC148,"停止","断続")))</f>
        <v>停止</v>
      </c>
      <c r="AF148" s="30" t="n">
        <v>60</v>
      </c>
      <c r="AG148" s="30" t="n">
        <v>0</v>
      </c>
      <c r="AH148" s="30" t="str">
        <f aca="false">IF(OR(P148="判定不能",G148="判定不能"),"判定不能",IF(AG148&gt;=判定条件!$C$9,"利用可",IF(AND(P148="停止",G148="停止"),"両方停止","運転がそろわない")))</f>
        <v>両方停止</v>
      </c>
      <c r="AI148" s="30" t="n">
        <v>60</v>
      </c>
      <c r="AJ148" s="30" t="n">
        <v>0</v>
      </c>
      <c r="AK148" s="30" t="str">
        <f aca="false">IF(OR(S148="判定不能",J148="判定不能"),"判定不能",IF(AJ148&gt;=判定条件!$C$9,"利用可",IF(AND(S148="停止",J148="停止"),"両方停止","運転がそろわない")))</f>
        <v>両方停止</v>
      </c>
      <c r="AL148" s="30" t="n">
        <v>60</v>
      </c>
      <c r="AM148" s="30" t="n">
        <v>0</v>
      </c>
      <c r="AN148" s="30" t="str">
        <f aca="false">IF(OR(V148="判定不能",M148="判定不能"),"判定不能",IF(AM148&gt;=判定条件!$C$9,"利用可",IF(AND(V148="停止",M148="停止"),"両方停止","運転がそろわない")))</f>
        <v>運転がそろわない</v>
      </c>
      <c r="AO148" s="30" t="n">
        <v>60</v>
      </c>
      <c r="AP148" s="30" t="n">
        <v>0</v>
      </c>
      <c r="AQ148" s="30" t="str">
        <f aca="false">IF(OR(Y148="判定不能",G148="判定不能"),"判定不能",IF(AP148&gt;=判定条件!$C$9,"利用可",IF(AND(Y148="停止",G148="停止"),"両方停止","運転がそろわない")))</f>
        <v>両方停止</v>
      </c>
      <c r="AR148" s="30" t="n">
        <v>60</v>
      </c>
      <c r="AS148" s="30" t="n">
        <v>0</v>
      </c>
      <c r="AT148" s="30" t="str">
        <f aca="false">IF(OR(AB148="判定不能",J148="判定不能"),"判定不能",IF(AS148&gt;=判定条件!$C$9,"利用可",IF(AND(AB148="停止",J148="停止"),"両方停止","運転がそろわない")))</f>
        <v>両方停止</v>
      </c>
      <c r="AU148" s="30" t="n">
        <v>60</v>
      </c>
      <c r="AV148" s="30" t="n">
        <v>0</v>
      </c>
      <c r="AW148" s="30" t="str">
        <f aca="false">IF(OR(AE148="判定不能",M148="判定不能"),"判定不能",IF(AV148&gt;=判定条件!$C$9,"利用可",IF(AND(AE148="停止",M148="停止"),"両方停止","運転がそろわない")))</f>
        <v>運転がそろわない</v>
      </c>
      <c r="AX148" s="30" t="str">
        <f aca="false">IF(AND(AH148="利用可",AK148="利用可",AN148="利用可"),"利用可","不可")</f>
        <v>不可</v>
      </c>
      <c r="AY148" s="30" t="str">
        <f aca="false">IF(AND(AQ148="利用可",AT148="利用可",AW148="利用可"),"利用可","不可")</f>
        <v>不可</v>
      </c>
    </row>
    <row r="149" customFormat="false" ht="15" hidden="false" customHeight="false" outlineLevel="0" collapsed="false">
      <c r="A149" s="29" t="n">
        <v>46238</v>
      </c>
      <c r="B149" s="30" t="n">
        <v>2</v>
      </c>
      <c r="C149" s="31" t="s">
        <v>67</v>
      </c>
      <c r="D149" s="31" t="s">
        <v>59</v>
      </c>
      <c r="E149" s="30" t="n">
        <v>60</v>
      </c>
      <c r="F149" s="30" t="n">
        <v>0</v>
      </c>
      <c r="G149" s="30" t="str">
        <f aca="false">IF(E149&lt;判定条件!$C$6,"判定不能",IF(F149&gt;=判定条件!$C$7*E149,"運転",IF(F149&lt;=判定条件!$C$8*E149,"停止","断続")))</f>
        <v>停止</v>
      </c>
      <c r="H149" s="30" t="n">
        <v>60</v>
      </c>
      <c r="I149" s="30" t="n">
        <v>0</v>
      </c>
      <c r="J149" s="30" t="str">
        <f aca="false">IF(H149&lt;判定条件!$C$6,"判定不能",IF(I149&gt;=判定条件!$C$7*H149,"運転",IF(I149&lt;=判定条件!$C$8*H149,"停止","断続")))</f>
        <v>停止</v>
      </c>
      <c r="K149" s="30" t="n">
        <v>60</v>
      </c>
      <c r="L149" s="30" t="n">
        <v>60</v>
      </c>
      <c r="M149" s="30" t="str">
        <f aca="false">IF(K149&lt;判定条件!$C$6,"判定不能",IF(L149&gt;=判定条件!$C$7*K149,"運転",IF(L149&lt;=判定条件!$C$8*K149,"停止","断続")))</f>
        <v>運転</v>
      </c>
      <c r="N149" s="30" t="n">
        <v>60</v>
      </c>
      <c r="O149" s="30" t="n">
        <v>0</v>
      </c>
      <c r="P149" s="30" t="str">
        <f aca="false">IF(N149&lt;判定条件!$C$6,"判定不能",IF(O149&gt;=判定条件!$C$7*N149,"運転",IF(O149&lt;=判定条件!$C$8*N149,"停止","断続")))</f>
        <v>停止</v>
      </c>
      <c r="Q149" s="30" t="n">
        <v>60</v>
      </c>
      <c r="R149" s="30" t="n">
        <v>0</v>
      </c>
      <c r="S149" s="30" t="str">
        <f aca="false">IF(Q149&lt;判定条件!$C$6,"判定不能",IF(R149&gt;=判定条件!$C$7*Q149,"運転",IF(R149&lt;=判定条件!$C$8*Q149,"停止","断続")))</f>
        <v>停止</v>
      </c>
      <c r="T149" s="30" t="n">
        <v>60</v>
      </c>
      <c r="U149" s="30" t="n">
        <v>0</v>
      </c>
      <c r="V149" s="30" t="str">
        <f aca="false">IF(T149&lt;判定条件!$C$6,"判定不能",IF(U149&gt;=判定条件!$C$7*T149,"運転",IF(U149&lt;=判定条件!$C$8*T149,"停止","断続")))</f>
        <v>停止</v>
      </c>
      <c r="W149" s="30" t="n">
        <v>60</v>
      </c>
      <c r="X149" s="30" t="n">
        <v>0</v>
      </c>
      <c r="Y149" s="30" t="str">
        <f aca="false">IF(W149&lt;判定条件!$C$6,"判定不能",IF(X149&gt;=判定条件!$C$7*W149,"運転",IF(X149&lt;=判定条件!$C$8*W149,"停止","断続")))</f>
        <v>停止</v>
      </c>
      <c r="Z149" s="30" t="n">
        <v>60</v>
      </c>
      <c r="AA149" s="30" t="n">
        <v>0</v>
      </c>
      <c r="AB149" s="30" t="str">
        <f aca="false">IF(Z149&lt;判定条件!$C$6,"判定不能",IF(AA149&gt;=判定条件!$C$7*Z149,"運転",IF(AA149&lt;=判定条件!$C$8*Z149,"停止","断続")))</f>
        <v>停止</v>
      </c>
      <c r="AC149" s="30" t="n">
        <v>60</v>
      </c>
      <c r="AD149" s="30" t="n">
        <v>0</v>
      </c>
      <c r="AE149" s="30" t="str">
        <f aca="false">IF(AC149&lt;判定条件!$C$6,"判定不能",IF(AD149&gt;=判定条件!$C$7*AC149,"運転",IF(AD149&lt;=判定条件!$C$8*AC149,"停止","断続")))</f>
        <v>停止</v>
      </c>
      <c r="AF149" s="30" t="n">
        <v>60</v>
      </c>
      <c r="AG149" s="30" t="n">
        <v>0</v>
      </c>
      <c r="AH149" s="30" t="str">
        <f aca="false">IF(OR(P149="判定不能",G149="判定不能"),"判定不能",IF(AG149&gt;=判定条件!$C$9,"利用可",IF(AND(P149="停止",G149="停止"),"両方停止","運転がそろわない")))</f>
        <v>両方停止</v>
      </c>
      <c r="AI149" s="30" t="n">
        <v>60</v>
      </c>
      <c r="AJ149" s="30" t="n">
        <v>0</v>
      </c>
      <c r="AK149" s="30" t="str">
        <f aca="false">IF(OR(S149="判定不能",J149="判定不能"),"判定不能",IF(AJ149&gt;=判定条件!$C$9,"利用可",IF(AND(S149="停止",J149="停止"),"両方停止","運転がそろわない")))</f>
        <v>両方停止</v>
      </c>
      <c r="AL149" s="30" t="n">
        <v>60</v>
      </c>
      <c r="AM149" s="30" t="n">
        <v>0</v>
      </c>
      <c r="AN149" s="30" t="str">
        <f aca="false">IF(OR(V149="判定不能",M149="判定不能"),"判定不能",IF(AM149&gt;=判定条件!$C$9,"利用可",IF(AND(V149="停止",M149="停止"),"両方停止","運転がそろわない")))</f>
        <v>運転がそろわない</v>
      </c>
      <c r="AO149" s="30" t="n">
        <v>60</v>
      </c>
      <c r="AP149" s="30" t="n">
        <v>0</v>
      </c>
      <c r="AQ149" s="30" t="str">
        <f aca="false">IF(OR(Y149="判定不能",G149="判定不能"),"判定不能",IF(AP149&gt;=判定条件!$C$9,"利用可",IF(AND(Y149="停止",G149="停止"),"両方停止","運転がそろわない")))</f>
        <v>両方停止</v>
      </c>
      <c r="AR149" s="30" t="n">
        <v>60</v>
      </c>
      <c r="AS149" s="30" t="n">
        <v>0</v>
      </c>
      <c r="AT149" s="30" t="str">
        <f aca="false">IF(OR(AB149="判定不能",J149="判定不能"),"判定不能",IF(AS149&gt;=判定条件!$C$9,"利用可",IF(AND(AB149="停止",J149="停止"),"両方停止","運転がそろわない")))</f>
        <v>両方停止</v>
      </c>
      <c r="AU149" s="30" t="n">
        <v>60</v>
      </c>
      <c r="AV149" s="30" t="n">
        <v>0</v>
      </c>
      <c r="AW149" s="30" t="str">
        <f aca="false">IF(OR(AE149="判定不能",M149="判定不能"),"判定不能",IF(AV149&gt;=判定条件!$C$9,"利用可",IF(AND(AE149="停止",M149="停止"),"両方停止","運転がそろわない")))</f>
        <v>運転がそろわない</v>
      </c>
      <c r="AX149" s="30" t="str">
        <f aca="false">IF(AND(AH149="利用可",AK149="利用可",AN149="利用可"),"利用可","不可")</f>
        <v>不可</v>
      </c>
      <c r="AY149" s="30" t="str">
        <f aca="false">IF(AND(AQ149="利用可",AT149="利用可",AW149="利用可"),"利用可","不可")</f>
        <v>不可</v>
      </c>
    </row>
    <row r="150" customFormat="false" ht="15" hidden="false" customHeight="false" outlineLevel="0" collapsed="false">
      <c r="A150" s="29" t="n">
        <v>46238</v>
      </c>
      <c r="B150" s="30" t="n">
        <v>3</v>
      </c>
      <c r="C150" s="31" t="s">
        <v>67</v>
      </c>
      <c r="D150" s="31" t="s">
        <v>59</v>
      </c>
      <c r="E150" s="30" t="n">
        <v>60</v>
      </c>
      <c r="F150" s="30" t="n">
        <v>0</v>
      </c>
      <c r="G150" s="30" t="str">
        <f aca="false">IF(E150&lt;判定条件!$C$6,"判定不能",IF(F150&gt;=判定条件!$C$7*E150,"運転",IF(F150&lt;=判定条件!$C$8*E150,"停止","断続")))</f>
        <v>停止</v>
      </c>
      <c r="H150" s="30" t="n">
        <v>60</v>
      </c>
      <c r="I150" s="30" t="n">
        <v>0</v>
      </c>
      <c r="J150" s="30" t="str">
        <f aca="false">IF(H150&lt;判定条件!$C$6,"判定不能",IF(I150&gt;=判定条件!$C$7*H150,"運転",IF(I150&lt;=判定条件!$C$8*H150,"停止","断続")))</f>
        <v>停止</v>
      </c>
      <c r="K150" s="30" t="n">
        <v>60</v>
      </c>
      <c r="L150" s="30" t="n">
        <v>60</v>
      </c>
      <c r="M150" s="30" t="str">
        <f aca="false">IF(K150&lt;判定条件!$C$6,"判定不能",IF(L150&gt;=判定条件!$C$7*K150,"運転",IF(L150&lt;=判定条件!$C$8*K150,"停止","断続")))</f>
        <v>運転</v>
      </c>
      <c r="N150" s="30" t="n">
        <v>60</v>
      </c>
      <c r="O150" s="30" t="n">
        <v>0</v>
      </c>
      <c r="P150" s="30" t="str">
        <f aca="false">IF(N150&lt;判定条件!$C$6,"判定不能",IF(O150&gt;=判定条件!$C$7*N150,"運転",IF(O150&lt;=判定条件!$C$8*N150,"停止","断続")))</f>
        <v>停止</v>
      </c>
      <c r="Q150" s="30" t="n">
        <v>60</v>
      </c>
      <c r="R150" s="30" t="n">
        <v>0</v>
      </c>
      <c r="S150" s="30" t="str">
        <f aca="false">IF(Q150&lt;判定条件!$C$6,"判定不能",IF(R150&gt;=判定条件!$C$7*Q150,"運転",IF(R150&lt;=判定条件!$C$8*Q150,"停止","断続")))</f>
        <v>停止</v>
      </c>
      <c r="T150" s="30" t="n">
        <v>60</v>
      </c>
      <c r="U150" s="30" t="n">
        <v>0</v>
      </c>
      <c r="V150" s="30" t="str">
        <f aca="false">IF(T150&lt;判定条件!$C$6,"判定不能",IF(U150&gt;=判定条件!$C$7*T150,"運転",IF(U150&lt;=判定条件!$C$8*T150,"停止","断続")))</f>
        <v>停止</v>
      </c>
      <c r="W150" s="30" t="n">
        <v>60</v>
      </c>
      <c r="X150" s="30" t="n">
        <v>0</v>
      </c>
      <c r="Y150" s="30" t="str">
        <f aca="false">IF(W150&lt;判定条件!$C$6,"判定不能",IF(X150&gt;=判定条件!$C$7*W150,"運転",IF(X150&lt;=判定条件!$C$8*W150,"停止","断続")))</f>
        <v>停止</v>
      </c>
      <c r="Z150" s="30" t="n">
        <v>60</v>
      </c>
      <c r="AA150" s="30" t="n">
        <v>0</v>
      </c>
      <c r="AB150" s="30" t="str">
        <f aca="false">IF(Z150&lt;判定条件!$C$6,"判定不能",IF(AA150&gt;=判定条件!$C$7*Z150,"運転",IF(AA150&lt;=判定条件!$C$8*Z150,"停止","断続")))</f>
        <v>停止</v>
      </c>
      <c r="AC150" s="30" t="n">
        <v>60</v>
      </c>
      <c r="AD150" s="30" t="n">
        <v>0</v>
      </c>
      <c r="AE150" s="30" t="str">
        <f aca="false">IF(AC150&lt;判定条件!$C$6,"判定不能",IF(AD150&gt;=判定条件!$C$7*AC150,"運転",IF(AD150&lt;=判定条件!$C$8*AC150,"停止","断続")))</f>
        <v>停止</v>
      </c>
      <c r="AF150" s="30" t="n">
        <v>60</v>
      </c>
      <c r="AG150" s="30" t="n">
        <v>0</v>
      </c>
      <c r="AH150" s="30" t="str">
        <f aca="false">IF(OR(P150="判定不能",G150="判定不能"),"判定不能",IF(AG150&gt;=判定条件!$C$9,"利用可",IF(AND(P150="停止",G150="停止"),"両方停止","運転がそろわない")))</f>
        <v>両方停止</v>
      </c>
      <c r="AI150" s="30" t="n">
        <v>60</v>
      </c>
      <c r="AJ150" s="30" t="n">
        <v>0</v>
      </c>
      <c r="AK150" s="30" t="str">
        <f aca="false">IF(OR(S150="判定不能",J150="判定不能"),"判定不能",IF(AJ150&gt;=判定条件!$C$9,"利用可",IF(AND(S150="停止",J150="停止"),"両方停止","運転がそろわない")))</f>
        <v>両方停止</v>
      </c>
      <c r="AL150" s="30" t="n">
        <v>60</v>
      </c>
      <c r="AM150" s="30" t="n">
        <v>0</v>
      </c>
      <c r="AN150" s="30" t="str">
        <f aca="false">IF(OR(V150="判定不能",M150="判定不能"),"判定不能",IF(AM150&gt;=判定条件!$C$9,"利用可",IF(AND(V150="停止",M150="停止"),"両方停止","運転がそろわない")))</f>
        <v>運転がそろわない</v>
      </c>
      <c r="AO150" s="30" t="n">
        <v>60</v>
      </c>
      <c r="AP150" s="30" t="n">
        <v>0</v>
      </c>
      <c r="AQ150" s="30" t="str">
        <f aca="false">IF(OR(Y150="判定不能",G150="判定不能"),"判定不能",IF(AP150&gt;=判定条件!$C$9,"利用可",IF(AND(Y150="停止",G150="停止"),"両方停止","運転がそろわない")))</f>
        <v>両方停止</v>
      </c>
      <c r="AR150" s="30" t="n">
        <v>60</v>
      </c>
      <c r="AS150" s="30" t="n">
        <v>0</v>
      </c>
      <c r="AT150" s="30" t="str">
        <f aca="false">IF(OR(AB150="判定不能",J150="判定不能"),"判定不能",IF(AS150&gt;=判定条件!$C$9,"利用可",IF(AND(AB150="停止",J150="停止"),"両方停止","運転がそろわない")))</f>
        <v>両方停止</v>
      </c>
      <c r="AU150" s="30" t="n">
        <v>60</v>
      </c>
      <c r="AV150" s="30" t="n">
        <v>0</v>
      </c>
      <c r="AW150" s="30" t="str">
        <f aca="false">IF(OR(AE150="判定不能",M150="判定不能"),"判定不能",IF(AV150&gt;=判定条件!$C$9,"利用可",IF(AND(AE150="停止",M150="停止"),"両方停止","運転がそろわない")))</f>
        <v>運転がそろわない</v>
      </c>
      <c r="AX150" s="30" t="str">
        <f aca="false">IF(AND(AH150="利用可",AK150="利用可",AN150="利用可"),"利用可","不可")</f>
        <v>不可</v>
      </c>
      <c r="AY150" s="30" t="str">
        <f aca="false">IF(AND(AQ150="利用可",AT150="利用可",AW150="利用可"),"利用可","不可")</f>
        <v>不可</v>
      </c>
    </row>
    <row r="151" customFormat="false" ht="15" hidden="false" customHeight="false" outlineLevel="0" collapsed="false">
      <c r="A151" s="29" t="n">
        <v>46238</v>
      </c>
      <c r="B151" s="30" t="n">
        <v>4</v>
      </c>
      <c r="C151" s="31" t="s">
        <v>67</v>
      </c>
      <c r="D151" s="31" t="s">
        <v>59</v>
      </c>
      <c r="E151" s="30" t="n">
        <v>60</v>
      </c>
      <c r="F151" s="30" t="n">
        <v>0</v>
      </c>
      <c r="G151" s="30" t="str">
        <f aca="false">IF(E151&lt;判定条件!$C$6,"判定不能",IF(F151&gt;=判定条件!$C$7*E151,"運転",IF(F151&lt;=判定条件!$C$8*E151,"停止","断続")))</f>
        <v>停止</v>
      </c>
      <c r="H151" s="30" t="n">
        <v>60</v>
      </c>
      <c r="I151" s="30" t="n">
        <v>0</v>
      </c>
      <c r="J151" s="30" t="str">
        <f aca="false">IF(H151&lt;判定条件!$C$6,"判定不能",IF(I151&gt;=判定条件!$C$7*H151,"運転",IF(I151&lt;=判定条件!$C$8*H151,"停止","断続")))</f>
        <v>停止</v>
      </c>
      <c r="K151" s="30" t="n">
        <v>60</v>
      </c>
      <c r="L151" s="30" t="n">
        <v>60</v>
      </c>
      <c r="M151" s="30" t="str">
        <f aca="false">IF(K151&lt;判定条件!$C$6,"判定不能",IF(L151&gt;=判定条件!$C$7*K151,"運転",IF(L151&lt;=判定条件!$C$8*K151,"停止","断続")))</f>
        <v>運転</v>
      </c>
      <c r="N151" s="30" t="n">
        <v>60</v>
      </c>
      <c r="O151" s="30" t="n">
        <v>0</v>
      </c>
      <c r="P151" s="30" t="str">
        <f aca="false">IF(N151&lt;判定条件!$C$6,"判定不能",IF(O151&gt;=判定条件!$C$7*N151,"運転",IF(O151&lt;=判定条件!$C$8*N151,"停止","断続")))</f>
        <v>停止</v>
      </c>
      <c r="Q151" s="30" t="n">
        <v>60</v>
      </c>
      <c r="R151" s="30" t="n">
        <v>0</v>
      </c>
      <c r="S151" s="30" t="str">
        <f aca="false">IF(Q151&lt;判定条件!$C$6,"判定不能",IF(R151&gt;=判定条件!$C$7*Q151,"運転",IF(R151&lt;=判定条件!$C$8*Q151,"停止","断続")))</f>
        <v>停止</v>
      </c>
      <c r="T151" s="30" t="n">
        <v>60</v>
      </c>
      <c r="U151" s="30" t="n">
        <v>0</v>
      </c>
      <c r="V151" s="30" t="str">
        <f aca="false">IF(T151&lt;判定条件!$C$6,"判定不能",IF(U151&gt;=判定条件!$C$7*T151,"運転",IF(U151&lt;=判定条件!$C$8*T151,"停止","断続")))</f>
        <v>停止</v>
      </c>
      <c r="W151" s="30" t="n">
        <v>60</v>
      </c>
      <c r="X151" s="30" t="n">
        <v>0</v>
      </c>
      <c r="Y151" s="30" t="str">
        <f aca="false">IF(W151&lt;判定条件!$C$6,"判定不能",IF(X151&gt;=判定条件!$C$7*W151,"運転",IF(X151&lt;=判定条件!$C$8*W151,"停止","断続")))</f>
        <v>停止</v>
      </c>
      <c r="Z151" s="30" t="n">
        <v>60</v>
      </c>
      <c r="AA151" s="30" t="n">
        <v>0</v>
      </c>
      <c r="AB151" s="30" t="str">
        <f aca="false">IF(Z151&lt;判定条件!$C$6,"判定不能",IF(AA151&gt;=判定条件!$C$7*Z151,"運転",IF(AA151&lt;=判定条件!$C$8*Z151,"停止","断続")))</f>
        <v>停止</v>
      </c>
      <c r="AC151" s="30" t="n">
        <v>60</v>
      </c>
      <c r="AD151" s="30" t="n">
        <v>0</v>
      </c>
      <c r="AE151" s="30" t="str">
        <f aca="false">IF(AC151&lt;判定条件!$C$6,"判定不能",IF(AD151&gt;=判定条件!$C$7*AC151,"運転",IF(AD151&lt;=判定条件!$C$8*AC151,"停止","断続")))</f>
        <v>停止</v>
      </c>
      <c r="AF151" s="30" t="n">
        <v>60</v>
      </c>
      <c r="AG151" s="30" t="n">
        <v>0</v>
      </c>
      <c r="AH151" s="30" t="str">
        <f aca="false">IF(OR(P151="判定不能",G151="判定不能"),"判定不能",IF(AG151&gt;=判定条件!$C$9,"利用可",IF(AND(P151="停止",G151="停止"),"両方停止","運転がそろわない")))</f>
        <v>両方停止</v>
      </c>
      <c r="AI151" s="30" t="n">
        <v>60</v>
      </c>
      <c r="AJ151" s="30" t="n">
        <v>0</v>
      </c>
      <c r="AK151" s="30" t="str">
        <f aca="false">IF(OR(S151="判定不能",J151="判定不能"),"判定不能",IF(AJ151&gt;=判定条件!$C$9,"利用可",IF(AND(S151="停止",J151="停止"),"両方停止","運転がそろわない")))</f>
        <v>両方停止</v>
      </c>
      <c r="AL151" s="30" t="n">
        <v>60</v>
      </c>
      <c r="AM151" s="30" t="n">
        <v>0</v>
      </c>
      <c r="AN151" s="30" t="str">
        <f aca="false">IF(OR(V151="判定不能",M151="判定不能"),"判定不能",IF(AM151&gt;=判定条件!$C$9,"利用可",IF(AND(V151="停止",M151="停止"),"両方停止","運転がそろわない")))</f>
        <v>運転がそろわない</v>
      </c>
      <c r="AO151" s="30" t="n">
        <v>60</v>
      </c>
      <c r="AP151" s="30" t="n">
        <v>0</v>
      </c>
      <c r="AQ151" s="30" t="str">
        <f aca="false">IF(OR(Y151="判定不能",G151="判定不能"),"判定不能",IF(AP151&gt;=判定条件!$C$9,"利用可",IF(AND(Y151="停止",G151="停止"),"両方停止","運転がそろわない")))</f>
        <v>両方停止</v>
      </c>
      <c r="AR151" s="30" t="n">
        <v>60</v>
      </c>
      <c r="AS151" s="30" t="n">
        <v>0</v>
      </c>
      <c r="AT151" s="30" t="str">
        <f aca="false">IF(OR(AB151="判定不能",J151="判定不能"),"判定不能",IF(AS151&gt;=判定条件!$C$9,"利用可",IF(AND(AB151="停止",J151="停止"),"両方停止","運転がそろわない")))</f>
        <v>両方停止</v>
      </c>
      <c r="AU151" s="30" t="n">
        <v>60</v>
      </c>
      <c r="AV151" s="30" t="n">
        <v>0</v>
      </c>
      <c r="AW151" s="30" t="str">
        <f aca="false">IF(OR(AE151="判定不能",M151="判定不能"),"判定不能",IF(AV151&gt;=判定条件!$C$9,"利用可",IF(AND(AE151="停止",M151="停止"),"両方停止","運転がそろわない")))</f>
        <v>運転がそろわない</v>
      </c>
      <c r="AX151" s="30" t="str">
        <f aca="false">IF(AND(AH151="利用可",AK151="利用可",AN151="利用可"),"利用可","不可")</f>
        <v>不可</v>
      </c>
      <c r="AY151" s="30" t="str">
        <f aca="false">IF(AND(AQ151="利用可",AT151="利用可",AW151="利用可"),"利用可","不可")</f>
        <v>不可</v>
      </c>
    </row>
    <row r="152" customFormat="false" ht="15" hidden="false" customHeight="false" outlineLevel="0" collapsed="false">
      <c r="A152" s="29" t="n">
        <v>46238</v>
      </c>
      <c r="B152" s="30" t="n">
        <v>5</v>
      </c>
      <c r="C152" s="31" t="s">
        <v>67</v>
      </c>
      <c r="D152" s="31" t="s">
        <v>59</v>
      </c>
      <c r="E152" s="30" t="n">
        <v>60</v>
      </c>
      <c r="F152" s="30" t="n">
        <v>0</v>
      </c>
      <c r="G152" s="30" t="str">
        <f aca="false">IF(E152&lt;判定条件!$C$6,"判定不能",IF(F152&gt;=判定条件!$C$7*E152,"運転",IF(F152&lt;=判定条件!$C$8*E152,"停止","断続")))</f>
        <v>停止</v>
      </c>
      <c r="H152" s="30" t="n">
        <v>60</v>
      </c>
      <c r="I152" s="30" t="n">
        <v>0</v>
      </c>
      <c r="J152" s="30" t="str">
        <f aca="false">IF(H152&lt;判定条件!$C$6,"判定不能",IF(I152&gt;=判定条件!$C$7*H152,"運転",IF(I152&lt;=判定条件!$C$8*H152,"停止","断続")))</f>
        <v>停止</v>
      </c>
      <c r="K152" s="30" t="n">
        <v>60</v>
      </c>
      <c r="L152" s="30" t="n">
        <v>60</v>
      </c>
      <c r="M152" s="30" t="str">
        <f aca="false">IF(K152&lt;判定条件!$C$6,"判定不能",IF(L152&gt;=判定条件!$C$7*K152,"運転",IF(L152&lt;=判定条件!$C$8*K152,"停止","断続")))</f>
        <v>運転</v>
      </c>
      <c r="N152" s="30" t="n">
        <v>60</v>
      </c>
      <c r="O152" s="30" t="n">
        <v>0</v>
      </c>
      <c r="P152" s="30" t="str">
        <f aca="false">IF(N152&lt;判定条件!$C$6,"判定不能",IF(O152&gt;=判定条件!$C$7*N152,"運転",IF(O152&lt;=判定条件!$C$8*N152,"停止","断続")))</f>
        <v>停止</v>
      </c>
      <c r="Q152" s="30" t="n">
        <v>60</v>
      </c>
      <c r="R152" s="30" t="n">
        <v>0</v>
      </c>
      <c r="S152" s="30" t="str">
        <f aca="false">IF(Q152&lt;判定条件!$C$6,"判定不能",IF(R152&gt;=判定条件!$C$7*Q152,"運転",IF(R152&lt;=判定条件!$C$8*Q152,"停止","断続")))</f>
        <v>停止</v>
      </c>
      <c r="T152" s="30" t="n">
        <v>60</v>
      </c>
      <c r="U152" s="30" t="n">
        <v>0</v>
      </c>
      <c r="V152" s="30" t="str">
        <f aca="false">IF(T152&lt;判定条件!$C$6,"判定不能",IF(U152&gt;=判定条件!$C$7*T152,"運転",IF(U152&lt;=判定条件!$C$8*T152,"停止","断続")))</f>
        <v>停止</v>
      </c>
      <c r="W152" s="30" t="n">
        <v>60</v>
      </c>
      <c r="X152" s="30" t="n">
        <v>36</v>
      </c>
      <c r="Y152" s="30" t="str">
        <f aca="false">IF(W152&lt;判定条件!$C$6,"判定不能",IF(X152&gt;=判定条件!$C$7*W152,"運転",IF(X152&lt;=判定条件!$C$8*W152,"停止","断続")))</f>
        <v>断続</v>
      </c>
      <c r="Z152" s="30" t="n">
        <v>60</v>
      </c>
      <c r="AA152" s="30" t="n">
        <v>34</v>
      </c>
      <c r="AB152" s="30" t="str">
        <f aca="false">IF(Z152&lt;判定条件!$C$6,"判定不能",IF(AA152&gt;=判定条件!$C$7*Z152,"運転",IF(AA152&lt;=判定条件!$C$8*Z152,"停止","断続")))</f>
        <v>断続</v>
      </c>
      <c r="AC152" s="30" t="n">
        <v>60</v>
      </c>
      <c r="AD152" s="30" t="n">
        <v>34</v>
      </c>
      <c r="AE152" s="30" t="str">
        <f aca="false">IF(AC152&lt;判定条件!$C$6,"判定不能",IF(AD152&gt;=判定条件!$C$7*AC152,"運転",IF(AD152&lt;=判定条件!$C$8*AC152,"停止","断続")))</f>
        <v>断続</v>
      </c>
      <c r="AF152" s="30" t="n">
        <v>60</v>
      </c>
      <c r="AG152" s="30" t="n">
        <v>0</v>
      </c>
      <c r="AH152" s="30" t="str">
        <f aca="false">IF(OR(P152="判定不能",G152="判定不能"),"判定不能",IF(AG152&gt;=判定条件!$C$9,"利用可",IF(AND(P152="停止",G152="停止"),"両方停止","運転がそろわない")))</f>
        <v>両方停止</v>
      </c>
      <c r="AI152" s="30" t="n">
        <v>60</v>
      </c>
      <c r="AJ152" s="30" t="n">
        <v>0</v>
      </c>
      <c r="AK152" s="30" t="str">
        <f aca="false">IF(OR(S152="判定不能",J152="判定不能"),"判定不能",IF(AJ152&gt;=判定条件!$C$9,"利用可",IF(AND(S152="停止",J152="停止"),"両方停止","運転がそろわない")))</f>
        <v>両方停止</v>
      </c>
      <c r="AL152" s="30" t="n">
        <v>60</v>
      </c>
      <c r="AM152" s="30" t="n">
        <v>0</v>
      </c>
      <c r="AN152" s="30" t="str">
        <f aca="false">IF(OR(V152="判定不能",M152="判定不能"),"判定不能",IF(AM152&gt;=判定条件!$C$9,"利用可",IF(AND(V152="停止",M152="停止"),"両方停止","運転がそろわない")))</f>
        <v>運転がそろわない</v>
      </c>
      <c r="AO152" s="30" t="n">
        <v>60</v>
      </c>
      <c r="AP152" s="30" t="n">
        <v>0</v>
      </c>
      <c r="AQ152" s="30" t="str">
        <f aca="false">IF(OR(Y152="判定不能",G152="判定不能"),"判定不能",IF(AP152&gt;=判定条件!$C$9,"利用可",IF(AND(Y152="停止",G152="停止"),"両方停止","運転がそろわない")))</f>
        <v>運転がそろわない</v>
      </c>
      <c r="AR152" s="30" t="n">
        <v>60</v>
      </c>
      <c r="AS152" s="30" t="n">
        <v>0</v>
      </c>
      <c r="AT152" s="30" t="str">
        <f aca="false">IF(OR(AB152="判定不能",J152="判定不能"),"判定不能",IF(AS152&gt;=判定条件!$C$9,"利用可",IF(AND(AB152="停止",J152="停止"),"両方停止","運転がそろわない")))</f>
        <v>運転がそろわない</v>
      </c>
      <c r="AU152" s="30" t="n">
        <v>60</v>
      </c>
      <c r="AV152" s="30" t="n">
        <v>34</v>
      </c>
      <c r="AW152" s="30" t="str">
        <f aca="false">IF(OR(AE152="判定不能",M152="判定不能"),"判定不能",IF(AV152&gt;=判定条件!$C$9,"利用可",IF(AND(AE152="停止",M152="停止"),"両方停止","運転がそろわない")))</f>
        <v>利用可</v>
      </c>
      <c r="AX152" s="30" t="str">
        <f aca="false">IF(AND(AH152="利用可",AK152="利用可",AN152="利用可"),"利用可","不可")</f>
        <v>不可</v>
      </c>
      <c r="AY152" s="30" t="str">
        <f aca="false">IF(AND(AQ152="利用可",AT152="利用可",AW152="利用可"),"利用可","不可")</f>
        <v>不可</v>
      </c>
    </row>
    <row r="153" customFormat="false" ht="15" hidden="false" customHeight="false" outlineLevel="0" collapsed="false">
      <c r="A153" s="29" t="n">
        <v>46238</v>
      </c>
      <c r="B153" s="30" t="n">
        <v>6</v>
      </c>
      <c r="C153" s="31" t="s">
        <v>67</v>
      </c>
      <c r="D153" s="31" t="s">
        <v>59</v>
      </c>
      <c r="E153" s="30" t="n">
        <v>60</v>
      </c>
      <c r="F153" s="30" t="n">
        <v>0</v>
      </c>
      <c r="G153" s="30" t="str">
        <f aca="false">IF(E153&lt;判定条件!$C$6,"判定不能",IF(F153&gt;=判定条件!$C$7*E153,"運転",IF(F153&lt;=判定条件!$C$8*E153,"停止","断続")))</f>
        <v>停止</v>
      </c>
      <c r="H153" s="30" t="n">
        <v>60</v>
      </c>
      <c r="I153" s="30" t="n">
        <v>0</v>
      </c>
      <c r="J153" s="30" t="str">
        <f aca="false">IF(H153&lt;判定条件!$C$6,"判定不能",IF(I153&gt;=判定条件!$C$7*H153,"運転",IF(I153&lt;=判定条件!$C$8*H153,"停止","断続")))</f>
        <v>停止</v>
      </c>
      <c r="K153" s="30" t="n">
        <v>60</v>
      </c>
      <c r="L153" s="30" t="n">
        <v>60</v>
      </c>
      <c r="M153" s="30" t="str">
        <f aca="false">IF(K153&lt;判定条件!$C$6,"判定不能",IF(L153&gt;=判定条件!$C$7*K153,"運転",IF(L153&lt;=判定条件!$C$8*K153,"停止","断続")))</f>
        <v>運転</v>
      </c>
      <c r="N153" s="30" t="n">
        <v>60</v>
      </c>
      <c r="O153" s="30" t="n">
        <v>19</v>
      </c>
      <c r="P153" s="30" t="str">
        <f aca="false">IF(N153&lt;判定条件!$C$6,"判定不能",IF(O153&gt;=判定条件!$C$7*N153,"運転",IF(O153&lt;=判定条件!$C$8*N153,"停止","断続")))</f>
        <v>断続</v>
      </c>
      <c r="Q153" s="30" t="n">
        <v>60</v>
      </c>
      <c r="R153" s="30" t="n">
        <v>5</v>
      </c>
      <c r="S153" s="30" t="str">
        <f aca="false">IF(Q153&lt;判定条件!$C$6,"判定不能",IF(R153&gt;=判定条件!$C$7*Q153,"運転",IF(R153&lt;=判定条件!$C$8*Q153,"停止","断続")))</f>
        <v>停止</v>
      </c>
      <c r="T153" s="30" t="n">
        <v>60</v>
      </c>
      <c r="U153" s="30" t="n">
        <v>7</v>
      </c>
      <c r="V153" s="30" t="str">
        <f aca="false">IF(T153&lt;判定条件!$C$6,"判定不能",IF(U153&gt;=判定条件!$C$7*T153,"運転",IF(U153&lt;=判定条件!$C$8*T153,"停止","断続")))</f>
        <v>停止</v>
      </c>
      <c r="W153" s="30" t="n">
        <v>60</v>
      </c>
      <c r="X153" s="30" t="n">
        <v>55</v>
      </c>
      <c r="Y153" s="30" t="str">
        <f aca="false">IF(W153&lt;判定条件!$C$6,"判定不能",IF(X153&gt;=判定条件!$C$7*W153,"運転",IF(X153&lt;=判定条件!$C$8*W153,"停止","断続")))</f>
        <v>運転</v>
      </c>
      <c r="Z153" s="30" t="n">
        <v>60</v>
      </c>
      <c r="AA153" s="30" t="n">
        <v>49</v>
      </c>
      <c r="AB153" s="30" t="str">
        <f aca="false">IF(Z153&lt;判定条件!$C$6,"判定不能",IF(AA153&gt;=判定条件!$C$7*Z153,"運転",IF(AA153&lt;=判定条件!$C$8*Z153,"停止","断続")))</f>
        <v>運転</v>
      </c>
      <c r="AC153" s="30" t="n">
        <v>60</v>
      </c>
      <c r="AD153" s="30" t="n">
        <v>60</v>
      </c>
      <c r="AE153" s="30" t="str">
        <f aca="false">IF(AC153&lt;判定条件!$C$6,"判定不能",IF(AD153&gt;=判定条件!$C$7*AC153,"運転",IF(AD153&lt;=判定条件!$C$8*AC153,"停止","断続")))</f>
        <v>運転</v>
      </c>
      <c r="AF153" s="30" t="n">
        <v>60</v>
      </c>
      <c r="AG153" s="30" t="n">
        <v>0</v>
      </c>
      <c r="AH153" s="30" t="str">
        <f aca="false">IF(OR(P153="判定不能",G153="判定不能"),"判定不能",IF(AG153&gt;=判定条件!$C$9,"利用可",IF(AND(P153="停止",G153="停止"),"両方停止","運転がそろわない")))</f>
        <v>運転がそろわない</v>
      </c>
      <c r="AI153" s="30" t="n">
        <v>60</v>
      </c>
      <c r="AJ153" s="30" t="n">
        <v>0</v>
      </c>
      <c r="AK153" s="30" t="str">
        <f aca="false">IF(OR(S153="判定不能",J153="判定不能"),"判定不能",IF(AJ153&gt;=判定条件!$C$9,"利用可",IF(AND(S153="停止",J153="停止"),"両方停止","運転がそろわない")))</f>
        <v>両方停止</v>
      </c>
      <c r="AL153" s="30" t="n">
        <v>60</v>
      </c>
      <c r="AM153" s="30" t="n">
        <v>7</v>
      </c>
      <c r="AN153" s="30" t="str">
        <f aca="false">IF(OR(V153="判定不能",M153="判定不能"),"判定不能",IF(AM153&gt;=判定条件!$C$9,"利用可",IF(AND(V153="停止",M153="停止"),"両方停止","運転がそろわない")))</f>
        <v>運転がそろわない</v>
      </c>
      <c r="AO153" s="30" t="n">
        <v>60</v>
      </c>
      <c r="AP153" s="30" t="n">
        <v>0</v>
      </c>
      <c r="AQ153" s="30" t="str">
        <f aca="false">IF(OR(Y153="判定不能",G153="判定不能"),"判定不能",IF(AP153&gt;=判定条件!$C$9,"利用可",IF(AND(Y153="停止",G153="停止"),"両方停止","運転がそろわない")))</f>
        <v>運転がそろわない</v>
      </c>
      <c r="AR153" s="30" t="n">
        <v>60</v>
      </c>
      <c r="AS153" s="30" t="n">
        <v>0</v>
      </c>
      <c r="AT153" s="30" t="str">
        <f aca="false">IF(OR(AB153="判定不能",J153="判定不能"),"判定不能",IF(AS153&gt;=判定条件!$C$9,"利用可",IF(AND(AB153="停止",J153="停止"),"両方停止","運転がそろわない")))</f>
        <v>運転がそろわない</v>
      </c>
      <c r="AU153" s="30" t="n">
        <v>60</v>
      </c>
      <c r="AV153" s="30" t="n">
        <v>60</v>
      </c>
      <c r="AW153" s="30" t="str">
        <f aca="false">IF(OR(AE153="判定不能",M153="判定不能"),"判定不能",IF(AV153&gt;=判定条件!$C$9,"利用可",IF(AND(AE153="停止",M153="停止"),"両方停止","運転がそろわない")))</f>
        <v>利用可</v>
      </c>
      <c r="AX153" s="30" t="str">
        <f aca="false">IF(AND(AH153="利用可",AK153="利用可",AN153="利用可"),"利用可","不可")</f>
        <v>不可</v>
      </c>
      <c r="AY153" s="30" t="str">
        <f aca="false">IF(AND(AQ153="利用可",AT153="利用可",AW153="利用可"),"利用可","不可")</f>
        <v>不可</v>
      </c>
    </row>
    <row r="154" customFormat="false" ht="15" hidden="false" customHeight="false" outlineLevel="0" collapsed="false">
      <c r="A154" s="29" t="n">
        <v>46238</v>
      </c>
      <c r="B154" s="30" t="n">
        <v>7</v>
      </c>
      <c r="C154" s="31" t="s">
        <v>67</v>
      </c>
      <c r="D154" s="31" t="s">
        <v>59</v>
      </c>
      <c r="E154" s="30" t="n">
        <v>60</v>
      </c>
      <c r="F154" s="30" t="n">
        <v>0</v>
      </c>
      <c r="G154" s="30" t="str">
        <f aca="false">IF(E154&lt;判定条件!$C$6,"判定不能",IF(F154&gt;=判定条件!$C$7*E154,"運転",IF(F154&lt;=判定条件!$C$8*E154,"停止","断続")))</f>
        <v>停止</v>
      </c>
      <c r="H154" s="30" t="n">
        <v>60</v>
      </c>
      <c r="I154" s="30" t="n">
        <v>0</v>
      </c>
      <c r="J154" s="30" t="str">
        <f aca="false">IF(H154&lt;判定条件!$C$6,"判定不能",IF(I154&gt;=判定条件!$C$7*H154,"運転",IF(I154&lt;=判定条件!$C$8*H154,"停止","断続")))</f>
        <v>停止</v>
      </c>
      <c r="K154" s="30" t="n">
        <v>60</v>
      </c>
      <c r="L154" s="30" t="n">
        <v>60</v>
      </c>
      <c r="M154" s="30" t="str">
        <f aca="false">IF(K154&lt;判定条件!$C$6,"判定不能",IF(L154&gt;=判定条件!$C$7*K154,"運転",IF(L154&lt;=判定条件!$C$8*K154,"停止","断続")))</f>
        <v>運転</v>
      </c>
      <c r="N154" s="30" t="n">
        <v>60</v>
      </c>
      <c r="O154" s="30" t="n">
        <v>36</v>
      </c>
      <c r="P154" s="30" t="str">
        <f aca="false">IF(N154&lt;判定条件!$C$6,"判定不能",IF(O154&gt;=判定条件!$C$7*N154,"運転",IF(O154&lt;=判定条件!$C$8*N154,"停止","断続")))</f>
        <v>断続</v>
      </c>
      <c r="Q154" s="30" t="n">
        <v>60</v>
      </c>
      <c r="R154" s="30" t="n">
        <v>43</v>
      </c>
      <c r="S154" s="30" t="str">
        <f aca="false">IF(Q154&lt;判定条件!$C$6,"判定不能",IF(R154&gt;=判定条件!$C$7*Q154,"運転",IF(R154&lt;=判定条件!$C$8*Q154,"停止","断続")))</f>
        <v>断続</v>
      </c>
      <c r="T154" s="30" t="n">
        <v>60</v>
      </c>
      <c r="U154" s="30" t="n">
        <v>60</v>
      </c>
      <c r="V154" s="30" t="str">
        <f aca="false">IF(T154&lt;判定条件!$C$6,"判定不能",IF(U154&gt;=判定条件!$C$7*T154,"運転",IF(U154&lt;=判定条件!$C$8*T154,"停止","断続")))</f>
        <v>運転</v>
      </c>
      <c r="W154" s="30" t="n">
        <v>60</v>
      </c>
      <c r="X154" s="30" t="n">
        <v>50</v>
      </c>
      <c r="Y154" s="30" t="str">
        <f aca="false">IF(W154&lt;判定条件!$C$6,"判定不能",IF(X154&gt;=判定条件!$C$7*W154,"運転",IF(X154&lt;=判定条件!$C$8*W154,"停止","断続")))</f>
        <v>運転</v>
      </c>
      <c r="Z154" s="30" t="n">
        <v>60</v>
      </c>
      <c r="AA154" s="30" t="n">
        <v>29</v>
      </c>
      <c r="AB154" s="30" t="str">
        <f aca="false">IF(Z154&lt;判定条件!$C$6,"判定不能",IF(AA154&gt;=判定条件!$C$7*Z154,"運転",IF(AA154&lt;=判定条件!$C$8*Z154,"停止","断続")))</f>
        <v>断続</v>
      </c>
      <c r="AC154" s="30" t="n">
        <v>60</v>
      </c>
      <c r="AD154" s="30" t="n">
        <v>60</v>
      </c>
      <c r="AE154" s="30" t="str">
        <f aca="false">IF(AC154&lt;判定条件!$C$6,"判定不能",IF(AD154&gt;=判定条件!$C$7*AC154,"運転",IF(AD154&lt;=判定条件!$C$8*AC154,"停止","断続")))</f>
        <v>運転</v>
      </c>
      <c r="AF154" s="30" t="n">
        <v>60</v>
      </c>
      <c r="AG154" s="30" t="n">
        <v>0</v>
      </c>
      <c r="AH154" s="30" t="str">
        <f aca="false">IF(OR(P154="判定不能",G154="判定不能"),"判定不能",IF(AG154&gt;=判定条件!$C$9,"利用可",IF(AND(P154="停止",G154="停止"),"両方停止","運転がそろわない")))</f>
        <v>運転がそろわない</v>
      </c>
      <c r="AI154" s="30" t="n">
        <v>60</v>
      </c>
      <c r="AJ154" s="30" t="n">
        <v>0</v>
      </c>
      <c r="AK154" s="30" t="str">
        <f aca="false">IF(OR(S154="判定不能",J154="判定不能"),"判定不能",IF(AJ154&gt;=判定条件!$C$9,"利用可",IF(AND(S154="停止",J154="停止"),"両方停止","運転がそろわない")))</f>
        <v>運転がそろわない</v>
      </c>
      <c r="AL154" s="30" t="n">
        <v>60</v>
      </c>
      <c r="AM154" s="30" t="n">
        <v>60</v>
      </c>
      <c r="AN154" s="30" t="str">
        <f aca="false">IF(OR(V154="判定不能",M154="判定不能"),"判定不能",IF(AM154&gt;=判定条件!$C$9,"利用可",IF(AND(V154="停止",M154="停止"),"両方停止","運転がそろわない")))</f>
        <v>利用可</v>
      </c>
      <c r="AO154" s="30" t="n">
        <v>60</v>
      </c>
      <c r="AP154" s="30" t="n">
        <v>0</v>
      </c>
      <c r="AQ154" s="30" t="str">
        <f aca="false">IF(OR(Y154="判定不能",G154="判定不能"),"判定不能",IF(AP154&gt;=判定条件!$C$9,"利用可",IF(AND(Y154="停止",G154="停止"),"両方停止","運転がそろわない")))</f>
        <v>運転がそろわない</v>
      </c>
      <c r="AR154" s="30" t="n">
        <v>60</v>
      </c>
      <c r="AS154" s="30" t="n">
        <v>0</v>
      </c>
      <c r="AT154" s="30" t="str">
        <f aca="false">IF(OR(AB154="判定不能",J154="判定不能"),"判定不能",IF(AS154&gt;=判定条件!$C$9,"利用可",IF(AND(AB154="停止",J154="停止"),"両方停止","運転がそろわない")))</f>
        <v>運転がそろわない</v>
      </c>
      <c r="AU154" s="30" t="n">
        <v>60</v>
      </c>
      <c r="AV154" s="30" t="n">
        <v>60</v>
      </c>
      <c r="AW154" s="30" t="str">
        <f aca="false">IF(OR(AE154="判定不能",M154="判定不能"),"判定不能",IF(AV154&gt;=判定条件!$C$9,"利用可",IF(AND(AE154="停止",M154="停止"),"両方停止","運転がそろわない")))</f>
        <v>利用可</v>
      </c>
      <c r="AX154" s="30" t="str">
        <f aca="false">IF(AND(AH154="利用可",AK154="利用可",AN154="利用可"),"利用可","不可")</f>
        <v>不可</v>
      </c>
      <c r="AY154" s="30" t="str">
        <f aca="false">IF(AND(AQ154="利用可",AT154="利用可",AW154="利用可"),"利用可","不可")</f>
        <v>不可</v>
      </c>
    </row>
    <row r="155" customFormat="false" ht="15" hidden="false" customHeight="false" outlineLevel="0" collapsed="false">
      <c r="A155" s="29" t="n">
        <v>46238</v>
      </c>
      <c r="B155" s="30" t="n">
        <v>8</v>
      </c>
      <c r="C155" s="31" t="s">
        <v>67</v>
      </c>
      <c r="D155" s="31" t="s">
        <v>59</v>
      </c>
      <c r="E155" s="30" t="n">
        <v>60</v>
      </c>
      <c r="F155" s="30" t="n">
        <v>0</v>
      </c>
      <c r="G155" s="30" t="str">
        <f aca="false">IF(E155&lt;判定条件!$C$6,"判定不能",IF(F155&gt;=判定条件!$C$7*E155,"運転",IF(F155&lt;=判定条件!$C$8*E155,"停止","断続")))</f>
        <v>停止</v>
      </c>
      <c r="H155" s="30" t="n">
        <v>60</v>
      </c>
      <c r="I155" s="30" t="n">
        <v>0</v>
      </c>
      <c r="J155" s="30" t="str">
        <f aca="false">IF(H155&lt;判定条件!$C$6,"判定不能",IF(I155&gt;=判定条件!$C$7*H155,"運転",IF(I155&lt;=判定条件!$C$8*H155,"停止","断続")))</f>
        <v>停止</v>
      </c>
      <c r="K155" s="30" t="n">
        <v>60</v>
      </c>
      <c r="L155" s="30" t="n">
        <v>60</v>
      </c>
      <c r="M155" s="30" t="str">
        <f aca="false">IF(K155&lt;判定条件!$C$6,"判定不能",IF(L155&gt;=判定条件!$C$7*K155,"運転",IF(L155&lt;=判定条件!$C$8*K155,"停止","断続")))</f>
        <v>運転</v>
      </c>
      <c r="N155" s="30" t="n">
        <v>60</v>
      </c>
      <c r="O155" s="30" t="n">
        <v>49</v>
      </c>
      <c r="P155" s="30" t="str">
        <f aca="false">IF(N155&lt;判定条件!$C$6,"判定不能",IF(O155&gt;=判定条件!$C$7*N155,"運転",IF(O155&lt;=判定条件!$C$8*N155,"停止","断続")))</f>
        <v>運転</v>
      </c>
      <c r="Q155" s="30" t="n">
        <v>60</v>
      </c>
      <c r="R155" s="30" t="n">
        <v>49</v>
      </c>
      <c r="S155" s="30" t="str">
        <f aca="false">IF(Q155&lt;判定条件!$C$6,"判定不能",IF(R155&gt;=判定条件!$C$7*Q155,"運転",IF(R155&lt;=判定条件!$C$8*Q155,"停止","断続")))</f>
        <v>運転</v>
      </c>
      <c r="T155" s="30" t="n">
        <v>60</v>
      </c>
      <c r="U155" s="30" t="n">
        <v>60</v>
      </c>
      <c r="V155" s="30" t="str">
        <f aca="false">IF(T155&lt;判定条件!$C$6,"判定不能",IF(U155&gt;=判定条件!$C$7*T155,"運転",IF(U155&lt;=判定条件!$C$8*T155,"停止","断続")))</f>
        <v>運転</v>
      </c>
      <c r="W155" s="30" t="n">
        <v>60</v>
      </c>
      <c r="X155" s="30" t="n">
        <v>54</v>
      </c>
      <c r="Y155" s="30" t="str">
        <f aca="false">IF(W155&lt;判定条件!$C$6,"判定不能",IF(X155&gt;=判定条件!$C$7*W155,"運転",IF(X155&lt;=判定条件!$C$8*W155,"停止","断続")))</f>
        <v>運転</v>
      </c>
      <c r="Z155" s="30" t="n">
        <v>60</v>
      </c>
      <c r="AA155" s="30" t="n">
        <v>55</v>
      </c>
      <c r="AB155" s="30" t="str">
        <f aca="false">IF(Z155&lt;判定条件!$C$6,"判定不能",IF(AA155&gt;=判定条件!$C$7*Z155,"運転",IF(AA155&lt;=判定条件!$C$8*Z155,"停止","断続")))</f>
        <v>運転</v>
      </c>
      <c r="AC155" s="30" t="n">
        <v>60</v>
      </c>
      <c r="AD155" s="30" t="n">
        <v>60</v>
      </c>
      <c r="AE155" s="30" t="str">
        <f aca="false">IF(AC155&lt;判定条件!$C$6,"判定不能",IF(AD155&gt;=判定条件!$C$7*AC155,"運転",IF(AD155&lt;=判定条件!$C$8*AC155,"停止","断続")))</f>
        <v>運転</v>
      </c>
      <c r="AF155" s="30" t="n">
        <v>60</v>
      </c>
      <c r="AG155" s="30" t="n">
        <v>0</v>
      </c>
      <c r="AH155" s="30" t="str">
        <f aca="false">IF(OR(P155="判定不能",G155="判定不能"),"判定不能",IF(AG155&gt;=判定条件!$C$9,"利用可",IF(AND(P155="停止",G155="停止"),"両方停止","運転がそろわない")))</f>
        <v>運転がそろわない</v>
      </c>
      <c r="AI155" s="30" t="n">
        <v>60</v>
      </c>
      <c r="AJ155" s="30" t="n">
        <v>0</v>
      </c>
      <c r="AK155" s="30" t="str">
        <f aca="false">IF(OR(S155="判定不能",J155="判定不能"),"判定不能",IF(AJ155&gt;=判定条件!$C$9,"利用可",IF(AND(S155="停止",J155="停止"),"両方停止","運転がそろわない")))</f>
        <v>運転がそろわない</v>
      </c>
      <c r="AL155" s="30" t="n">
        <v>60</v>
      </c>
      <c r="AM155" s="30" t="n">
        <v>60</v>
      </c>
      <c r="AN155" s="30" t="str">
        <f aca="false">IF(OR(V155="判定不能",M155="判定不能"),"判定不能",IF(AM155&gt;=判定条件!$C$9,"利用可",IF(AND(V155="停止",M155="停止"),"両方停止","運転がそろわない")))</f>
        <v>利用可</v>
      </c>
      <c r="AO155" s="30" t="n">
        <v>60</v>
      </c>
      <c r="AP155" s="30" t="n">
        <v>0</v>
      </c>
      <c r="AQ155" s="30" t="str">
        <f aca="false">IF(OR(Y155="判定不能",G155="判定不能"),"判定不能",IF(AP155&gt;=判定条件!$C$9,"利用可",IF(AND(Y155="停止",G155="停止"),"両方停止","運転がそろわない")))</f>
        <v>運転がそろわない</v>
      </c>
      <c r="AR155" s="30" t="n">
        <v>60</v>
      </c>
      <c r="AS155" s="30" t="n">
        <v>0</v>
      </c>
      <c r="AT155" s="30" t="str">
        <f aca="false">IF(OR(AB155="判定不能",J155="判定不能"),"判定不能",IF(AS155&gt;=判定条件!$C$9,"利用可",IF(AND(AB155="停止",J155="停止"),"両方停止","運転がそろわない")))</f>
        <v>運転がそろわない</v>
      </c>
      <c r="AU155" s="30" t="n">
        <v>60</v>
      </c>
      <c r="AV155" s="30" t="n">
        <v>60</v>
      </c>
      <c r="AW155" s="30" t="str">
        <f aca="false">IF(OR(AE155="判定不能",M155="判定不能"),"判定不能",IF(AV155&gt;=判定条件!$C$9,"利用可",IF(AND(AE155="停止",M155="停止"),"両方停止","運転がそろわない")))</f>
        <v>利用可</v>
      </c>
      <c r="AX155" s="30" t="str">
        <f aca="false">IF(AND(AH155="利用可",AK155="利用可",AN155="利用可"),"利用可","不可")</f>
        <v>不可</v>
      </c>
      <c r="AY155" s="30" t="str">
        <f aca="false">IF(AND(AQ155="利用可",AT155="利用可",AW155="利用可"),"利用可","不可")</f>
        <v>不可</v>
      </c>
    </row>
    <row r="156" customFormat="false" ht="15" hidden="false" customHeight="false" outlineLevel="0" collapsed="false">
      <c r="A156" s="29" t="n">
        <v>46238</v>
      </c>
      <c r="B156" s="30" t="n">
        <v>9</v>
      </c>
      <c r="C156" s="31" t="s">
        <v>67</v>
      </c>
      <c r="D156" s="31" t="s">
        <v>59</v>
      </c>
      <c r="E156" s="30" t="n">
        <v>60</v>
      </c>
      <c r="F156" s="30" t="n">
        <v>41</v>
      </c>
      <c r="G156" s="30" t="str">
        <f aca="false">IF(E156&lt;判定条件!$C$6,"判定不能",IF(F156&gt;=判定条件!$C$7*E156,"運転",IF(F156&lt;=判定条件!$C$8*E156,"停止","断続")))</f>
        <v>断続</v>
      </c>
      <c r="H156" s="30" t="n">
        <v>60</v>
      </c>
      <c r="I156" s="30" t="n">
        <v>41</v>
      </c>
      <c r="J156" s="30" t="str">
        <f aca="false">IF(H156&lt;判定条件!$C$6,"判定不能",IF(I156&gt;=判定条件!$C$7*H156,"運転",IF(I156&lt;=判定条件!$C$8*H156,"停止","断続")))</f>
        <v>断続</v>
      </c>
      <c r="K156" s="30" t="n">
        <v>60</v>
      </c>
      <c r="L156" s="30" t="n">
        <v>60</v>
      </c>
      <c r="M156" s="30" t="str">
        <f aca="false">IF(K156&lt;判定条件!$C$6,"判定不能",IF(L156&gt;=判定条件!$C$7*K156,"運転",IF(L156&lt;=判定条件!$C$8*K156,"停止","断続")))</f>
        <v>運転</v>
      </c>
      <c r="N156" s="30" t="n">
        <v>60</v>
      </c>
      <c r="O156" s="30" t="n">
        <v>47</v>
      </c>
      <c r="P156" s="30" t="str">
        <f aca="false">IF(N156&lt;判定条件!$C$6,"判定不能",IF(O156&gt;=判定条件!$C$7*N156,"運転",IF(O156&lt;=判定条件!$C$8*N156,"停止","断続")))</f>
        <v>断続</v>
      </c>
      <c r="Q156" s="30" t="n">
        <v>60</v>
      </c>
      <c r="R156" s="30" t="n">
        <v>60</v>
      </c>
      <c r="S156" s="30" t="str">
        <f aca="false">IF(Q156&lt;判定条件!$C$6,"判定不能",IF(R156&gt;=判定条件!$C$7*Q156,"運転",IF(R156&lt;=判定条件!$C$8*Q156,"停止","断続")))</f>
        <v>運転</v>
      </c>
      <c r="T156" s="30" t="n">
        <v>60</v>
      </c>
      <c r="U156" s="30" t="n">
        <v>60</v>
      </c>
      <c r="V156" s="30" t="str">
        <f aca="false">IF(T156&lt;判定条件!$C$6,"判定不能",IF(U156&gt;=判定条件!$C$7*T156,"運転",IF(U156&lt;=判定条件!$C$8*T156,"停止","断続")))</f>
        <v>運転</v>
      </c>
      <c r="W156" s="30" t="n">
        <v>60</v>
      </c>
      <c r="X156" s="30" t="n">
        <v>53</v>
      </c>
      <c r="Y156" s="30" t="str">
        <f aca="false">IF(W156&lt;判定条件!$C$6,"判定不能",IF(X156&gt;=判定条件!$C$7*W156,"運転",IF(X156&lt;=判定条件!$C$8*W156,"停止","断続")))</f>
        <v>運転</v>
      </c>
      <c r="Z156" s="30" t="n">
        <v>60</v>
      </c>
      <c r="AA156" s="30" t="n">
        <v>60</v>
      </c>
      <c r="AB156" s="30" t="str">
        <f aca="false">IF(Z156&lt;判定条件!$C$6,"判定不能",IF(AA156&gt;=判定条件!$C$7*Z156,"運転",IF(AA156&lt;=判定条件!$C$8*Z156,"停止","断続")))</f>
        <v>運転</v>
      </c>
      <c r="AC156" s="30" t="n">
        <v>60</v>
      </c>
      <c r="AD156" s="30" t="n">
        <v>60</v>
      </c>
      <c r="AE156" s="30" t="str">
        <f aca="false">IF(AC156&lt;判定条件!$C$6,"判定不能",IF(AD156&gt;=判定条件!$C$7*AC156,"運転",IF(AD156&lt;=判定条件!$C$8*AC156,"停止","断続")))</f>
        <v>運転</v>
      </c>
      <c r="AF156" s="30" t="n">
        <v>60</v>
      </c>
      <c r="AG156" s="30" t="n">
        <v>41</v>
      </c>
      <c r="AH156" s="30" t="str">
        <f aca="false">IF(OR(P156="判定不能",G156="判定不能"),"判定不能",IF(AG156&gt;=判定条件!$C$9,"利用可",IF(AND(P156="停止",G156="停止"),"両方停止","運転がそろわない")))</f>
        <v>利用可</v>
      </c>
      <c r="AI156" s="30" t="n">
        <v>60</v>
      </c>
      <c r="AJ156" s="30" t="n">
        <v>41</v>
      </c>
      <c r="AK156" s="30" t="str">
        <f aca="false">IF(OR(S156="判定不能",J156="判定不能"),"判定不能",IF(AJ156&gt;=判定条件!$C$9,"利用可",IF(AND(S156="停止",J156="停止"),"両方停止","運転がそろわない")))</f>
        <v>利用可</v>
      </c>
      <c r="AL156" s="30" t="n">
        <v>60</v>
      </c>
      <c r="AM156" s="30" t="n">
        <v>60</v>
      </c>
      <c r="AN156" s="30" t="str">
        <f aca="false">IF(OR(V156="判定不能",M156="判定不能"),"判定不能",IF(AM156&gt;=判定条件!$C$9,"利用可",IF(AND(V156="停止",M156="停止"),"両方停止","運転がそろわない")))</f>
        <v>利用可</v>
      </c>
      <c r="AO156" s="30" t="n">
        <v>60</v>
      </c>
      <c r="AP156" s="30" t="n">
        <v>34</v>
      </c>
      <c r="AQ156" s="30" t="str">
        <f aca="false">IF(OR(Y156="判定不能",G156="判定不能"),"判定不能",IF(AP156&gt;=判定条件!$C$9,"利用可",IF(AND(Y156="停止",G156="停止"),"両方停止","運転がそろわない")))</f>
        <v>利用可</v>
      </c>
      <c r="AR156" s="30" t="n">
        <v>60</v>
      </c>
      <c r="AS156" s="30" t="n">
        <v>41</v>
      </c>
      <c r="AT156" s="30" t="str">
        <f aca="false">IF(OR(AB156="判定不能",J156="判定不能"),"判定不能",IF(AS156&gt;=判定条件!$C$9,"利用可",IF(AND(AB156="停止",J156="停止"),"両方停止","運転がそろわない")))</f>
        <v>利用可</v>
      </c>
      <c r="AU156" s="30" t="n">
        <v>60</v>
      </c>
      <c r="AV156" s="30" t="n">
        <v>60</v>
      </c>
      <c r="AW156" s="30" t="str">
        <f aca="false">IF(OR(AE156="判定不能",M156="判定不能"),"判定不能",IF(AV156&gt;=判定条件!$C$9,"利用可",IF(AND(AE156="停止",M156="停止"),"両方停止","運転がそろわない")))</f>
        <v>利用可</v>
      </c>
      <c r="AX156" s="30" t="str">
        <f aca="false">IF(AND(AH156="利用可",AK156="利用可",AN156="利用可"),"利用可","不可")</f>
        <v>利用可</v>
      </c>
      <c r="AY156" s="30" t="str">
        <f aca="false">IF(AND(AQ156="利用可",AT156="利用可",AW156="利用可"),"利用可","不可")</f>
        <v>利用可</v>
      </c>
    </row>
    <row r="157" customFormat="false" ht="15" hidden="false" customHeight="false" outlineLevel="0" collapsed="false">
      <c r="A157" s="29" t="n">
        <v>46238</v>
      </c>
      <c r="B157" s="30" t="n">
        <v>10</v>
      </c>
      <c r="C157" s="31" t="s">
        <v>67</v>
      </c>
      <c r="D157" s="31" t="s">
        <v>59</v>
      </c>
      <c r="E157" s="30" t="n">
        <v>60</v>
      </c>
      <c r="F157" s="30" t="n">
        <v>60</v>
      </c>
      <c r="G157" s="30" t="str">
        <f aca="false">IF(E157&lt;判定条件!$C$6,"判定不能",IF(F157&gt;=判定条件!$C$7*E157,"運転",IF(F157&lt;=判定条件!$C$8*E157,"停止","断続")))</f>
        <v>運転</v>
      </c>
      <c r="H157" s="30" t="n">
        <v>60</v>
      </c>
      <c r="I157" s="30" t="n">
        <v>60</v>
      </c>
      <c r="J157" s="30" t="str">
        <f aca="false">IF(H157&lt;判定条件!$C$6,"判定不能",IF(I157&gt;=判定条件!$C$7*H157,"運転",IF(I157&lt;=判定条件!$C$8*H157,"停止","断続")))</f>
        <v>運転</v>
      </c>
      <c r="K157" s="30" t="n">
        <v>60</v>
      </c>
      <c r="L157" s="30" t="n">
        <v>60</v>
      </c>
      <c r="M157" s="30" t="str">
        <f aca="false">IF(K157&lt;判定条件!$C$6,"判定不能",IF(L157&gt;=判定条件!$C$7*K157,"運転",IF(L157&lt;=判定条件!$C$8*K157,"停止","断続")))</f>
        <v>運転</v>
      </c>
      <c r="N157" s="30" t="n">
        <v>60</v>
      </c>
      <c r="O157" s="30" t="n">
        <v>60</v>
      </c>
      <c r="P157" s="30" t="str">
        <f aca="false">IF(N157&lt;判定条件!$C$6,"判定不能",IF(O157&gt;=判定条件!$C$7*N157,"運転",IF(O157&lt;=判定条件!$C$8*N157,"停止","断続")))</f>
        <v>運転</v>
      </c>
      <c r="Q157" s="30" t="n">
        <v>60</v>
      </c>
      <c r="R157" s="30" t="n">
        <v>60</v>
      </c>
      <c r="S157" s="30" t="str">
        <f aca="false">IF(Q157&lt;判定条件!$C$6,"判定不能",IF(R157&gt;=判定条件!$C$7*Q157,"運転",IF(R157&lt;=判定条件!$C$8*Q157,"停止","断続")))</f>
        <v>運転</v>
      </c>
      <c r="T157" s="30" t="n">
        <v>60</v>
      </c>
      <c r="U157" s="30" t="n">
        <v>52</v>
      </c>
      <c r="V157" s="30" t="str">
        <f aca="false">IF(T157&lt;判定条件!$C$6,"判定不能",IF(U157&gt;=判定条件!$C$7*T157,"運転",IF(U157&lt;=判定条件!$C$8*T157,"停止","断続")))</f>
        <v>運転</v>
      </c>
      <c r="W157" s="30" t="n">
        <v>60</v>
      </c>
      <c r="X157" s="30" t="n">
        <v>46</v>
      </c>
      <c r="Y157" s="30" t="str">
        <f aca="false">IF(W157&lt;判定条件!$C$6,"判定不能",IF(X157&gt;=判定条件!$C$7*W157,"運転",IF(X157&lt;=判定条件!$C$8*W157,"停止","断続")))</f>
        <v>断続</v>
      </c>
      <c r="Z157" s="30" t="n">
        <v>60</v>
      </c>
      <c r="AA157" s="30" t="n">
        <v>60</v>
      </c>
      <c r="AB157" s="30" t="str">
        <f aca="false">IF(Z157&lt;判定条件!$C$6,"判定不能",IF(AA157&gt;=判定条件!$C$7*Z157,"運転",IF(AA157&lt;=判定条件!$C$8*Z157,"停止","断続")))</f>
        <v>運転</v>
      </c>
      <c r="AC157" s="30" t="n">
        <v>60</v>
      </c>
      <c r="AD157" s="30" t="n">
        <v>60</v>
      </c>
      <c r="AE157" s="30" t="str">
        <f aca="false">IF(AC157&lt;判定条件!$C$6,"判定不能",IF(AD157&gt;=判定条件!$C$7*AC157,"運転",IF(AD157&lt;=判定条件!$C$8*AC157,"停止","断続")))</f>
        <v>運転</v>
      </c>
      <c r="AF157" s="30" t="n">
        <v>60</v>
      </c>
      <c r="AG157" s="30" t="n">
        <v>60</v>
      </c>
      <c r="AH157" s="30" t="str">
        <f aca="false">IF(OR(P157="判定不能",G157="判定不能"),"判定不能",IF(AG157&gt;=判定条件!$C$9,"利用可",IF(AND(P157="停止",G157="停止"),"両方停止","運転がそろわない")))</f>
        <v>利用可</v>
      </c>
      <c r="AI157" s="30" t="n">
        <v>60</v>
      </c>
      <c r="AJ157" s="30" t="n">
        <v>60</v>
      </c>
      <c r="AK157" s="30" t="str">
        <f aca="false">IF(OR(S157="判定不能",J157="判定不能"),"判定不能",IF(AJ157&gt;=判定条件!$C$9,"利用可",IF(AND(S157="停止",J157="停止"),"両方停止","運転がそろわない")))</f>
        <v>利用可</v>
      </c>
      <c r="AL157" s="30" t="n">
        <v>60</v>
      </c>
      <c r="AM157" s="30" t="n">
        <v>52</v>
      </c>
      <c r="AN157" s="30" t="str">
        <f aca="false">IF(OR(V157="判定不能",M157="判定不能"),"判定不能",IF(AM157&gt;=判定条件!$C$9,"利用可",IF(AND(V157="停止",M157="停止"),"両方停止","運転がそろわない")))</f>
        <v>利用可</v>
      </c>
      <c r="AO157" s="30" t="n">
        <v>60</v>
      </c>
      <c r="AP157" s="30" t="n">
        <v>46</v>
      </c>
      <c r="AQ157" s="30" t="str">
        <f aca="false">IF(OR(Y157="判定不能",G157="判定不能"),"判定不能",IF(AP157&gt;=判定条件!$C$9,"利用可",IF(AND(Y157="停止",G157="停止"),"両方停止","運転がそろわない")))</f>
        <v>利用可</v>
      </c>
      <c r="AR157" s="30" t="n">
        <v>60</v>
      </c>
      <c r="AS157" s="30" t="n">
        <v>60</v>
      </c>
      <c r="AT157" s="30" t="str">
        <f aca="false">IF(OR(AB157="判定不能",J157="判定不能"),"判定不能",IF(AS157&gt;=判定条件!$C$9,"利用可",IF(AND(AB157="停止",J157="停止"),"両方停止","運転がそろわない")))</f>
        <v>利用可</v>
      </c>
      <c r="AU157" s="30" t="n">
        <v>60</v>
      </c>
      <c r="AV157" s="30" t="n">
        <v>60</v>
      </c>
      <c r="AW157" s="30" t="str">
        <f aca="false">IF(OR(AE157="判定不能",M157="判定不能"),"判定不能",IF(AV157&gt;=判定条件!$C$9,"利用可",IF(AND(AE157="停止",M157="停止"),"両方停止","運転がそろわない")))</f>
        <v>利用可</v>
      </c>
      <c r="AX157" s="30" t="str">
        <f aca="false">IF(AND(AH157="利用可",AK157="利用可",AN157="利用可"),"利用可","不可")</f>
        <v>利用可</v>
      </c>
      <c r="AY157" s="30" t="str">
        <f aca="false">IF(AND(AQ157="利用可",AT157="利用可",AW157="利用可"),"利用可","不可")</f>
        <v>利用可</v>
      </c>
    </row>
    <row r="158" customFormat="false" ht="15" hidden="false" customHeight="false" outlineLevel="0" collapsed="false">
      <c r="A158" s="29" t="n">
        <v>46238</v>
      </c>
      <c r="B158" s="30" t="n">
        <v>11</v>
      </c>
      <c r="C158" s="31" t="s">
        <v>67</v>
      </c>
      <c r="D158" s="31" t="s">
        <v>59</v>
      </c>
      <c r="E158" s="30" t="n">
        <v>60</v>
      </c>
      <c r="F158" s="30" t="n">
        <v>60</v>
      </c>
      <c r="G158" s="30" t="str">
        <f aca="false">IF(E158&lt;判定条件!$C$6,"判定不能",IF(F158&gt;=判定条件!$C$7*E158,"運転",IF(F158&lt;=判定条件!$C$8*E158,"停止","断続")))</f>
        <v>運転</v>
      </c>
      <c r="H158" s="30" t="n">
        <v>60</v>
      </c>
      <c r="I158" s="30" t="n">
        <v>60</v>
      </c>
      <c r="J158" s="30" t="str">
        <f aca="false">IF(H158&lt;判定条件!$C$6,"判定不能",IF(I158&gt;=判定条件!$C$7*H158,"運転",IF(I158&lt;=判定条件!$C$8*H158,"停止","断続")))</f>
        <v>運転</v>
      </c>
      <c r="K158" s="30" t="n">
        <v>60</v>
      </c>
      <c r="L158" s="30" t="n">
        <v>60</v>
      </c>
      <c r="M158" s="30" t="str">
        <f aca="false">IF(K158&lt;判定条件!$C$6,"判定不能",IF(L158&gt;=判定条件!$C$7*K158,"運転",IF(L158&lt;=判定条件!$C$8*K158,"停止","断続")))</f>
        <v>運転</v>
      </c>
      <c r="N158" s="30" t="n">
        <v>60</v>
      </c>
      <c r="O158" s="30" t="n">
        <v>60</v>
      </c>
      <c r="P158" s="30" t="str">
        <f aca="false">IF(N158&lt;判定条件!$C$6,"判定不能",IF(O158&gt;=判定条件!$C$7*N158,"運転",IF(O158&lt;=判定条件!$C$8*N158,"停止","断続")))</f>
        <v>運転</v>
      </c>
      <c r="Q158" s="30" t="n">
        <v>60</v>
      </c>
      <c r="R158" s="30" t="n">
        <v>60</v>
      </c>
      <c r="S158" s="30" t="str">
        <f aca="false">IF(Q158&lt;判定条件!$C$6,"判定不能",IF(R158&gt;=判定条件!$C$7*Q158,"運転",IF(R158&lt;=判定条件!$C$8*Q158,"停止","断続")))</f>
        <v>運転</v>
      </c>
      <c r="T158" s="30" t="n">
        <v>60</v>
      </c>
      <c r="U158" s="30" t="n">
        <v>60</v>
      </c>
      <c r="V158" s="30" t="str">
        <f aca="false">IF(T158&lt;判定条件!$C$6,"判定不能",IF(U158&gt;=判定条件!$C$7*T158,"運転",IF(U158&lt;=判定条件!$C$8*T158,"停止","断続")))</f>
        <v>運転</v>
      </c>
      <c r="W158" s="30" t="n">
        <v>60</v>
      </c>
      <c r="X158" s="30" t="n">
        <v>35</v>
      </c>
      <c r="Y158" s="30" t="str">
        <f aca="false">IF(W158&lt;判定条件!$C$6,"判定不能",IF(X158&gt;=判定条件!$C$7*W158,"運転",IF(X158&lt;=判定条件!$C$8*W158,"停止","断続")))</f>
        <v>断続</v>
      </c>
      <c r="Z158" s="30" t="n">
        <v>60</v>
      </c>
      <c r="AA158" s="30" t="n">
        <v>59</v>
      </c>
      <c r="AB158" s="30" t="str">
        <f aca="false">IF(Z158&lt;判定条件!$C$6,"判定不能",IF(AA158&gt;=判定条件!$C$7*Z158,"運転",IF(AA158&lt;=判定条件!$C$8*Z158,"停止","断続")))</f>
        <v>運転</v>
      </c>
      <c r="AC158" s="30" t="n">
        <v>60</v>
      </c>
      <c r="AD158" s="30" t="n">
        <v>60</v>
      </c>
      <c r="AE158" s="30" t="str">
        <f aca="false">IF(AC158&lt;判定条件!$C$6,"判定不能",IF(AD158&gt;=判定条件!$C$7*AC158,"運転",IF(AD158&lt;=判定条件!$C$8*AC158,"停止","断続")))</f>
        <v>運転</v>
      </c>
      <c r="AF158" s="30" t="n">
        <v>60</v>
      </c>
      <c r="AG158" s="30" t="n">
        <v>60</v>
      </c>
      <c r="AH158" s="30" t="str">
        <f aca="false">IF(OR(P158="判定不能",G158="判定不能"),"判定不能",IF(AG158&gt;=判定条件!$C$9,"利用可",IF(AND(P158="停止",G158="停止"),"両方停止","運転がそろわない")))</f>
        <v>利用可</v>
      </c>
      <c r="AI158" s="30" t="n">
        <v>60</v>
      </c>
      <c r="AJ158" s="30" t="n">
        <v>60</v>
      </c>
      <c r="AK158" s="30" t="str">
        <f aca="false">IF(OR(S158="判定不能",J158="判定不能"),"判定不能",IF(AJ158&gt;=判定条件!$C$9,"利用可",IF(AND(S158="停止",J158="停止"),"両方停止","運転がそろわない")))</f>
        <v>利用可</v>
      </c>
      <c r="AL158" s="30" t="n">
        <v>60</v>
      </c>
      <c r="AM158" s="30" t="n">
        <v>60</v>
      </c>
      <c r="AN158" s="30" t="str">
        <f aca="false">IF(OR(V158="判定不能",M158="判定不能"),"判定不能",IF(AM158&gt;=判定条件!$C$9,"利用可",IF(AND(V158="停止",M158="停止"),"両方停止","運転がそろわない")))</f>
        <v>利用可</v>
      </c>
      <c r="AO158" s="30" t="n">
        <v>60</v>
      </c>
      <c r="AP158" s="30" t="n">
        <v>35</v>
      </c>
      <c r="AQ158" s="30" t="str">
        <f aca="false">IF(OR(Y158="判定不能",G158="判定不能"),"判定不能",IF(AP158&gt;=判定条件!$C$9,"利用可",IF(AND(Y158="停止",G158="停止"),"両方停止","運転がそろわない")))</f>
        <v>利用可</v>
      </c>
      <c r="AR158" s="30" t="n">
        <v>60</v>
      </c>
      <c r="AS158" s="30" t="n">
        <v>59</v>
      </c>
      <c r="AT158" s="30" t="str">
        <f aca="false">IF(OR(AB158="判定不能",J158="判定不能"),"判定不能",IF(AS158&gt;=判定条件!$C$9,"利用可",IF(AND(AB158="停止",J158="停止"),"両方停止","運転がそろわない")))</f>
        <v>利用可</v>
      </c>
      <c r="AU158" s="30" t="n">
        <v>60</v>
      </c>
      <c r="AV158" s="30" t="n">
        <v>60</v>
      </c>
      <c r="AW158" s="30" t="str">
        <f aca="false">IF(OR(AE158="判定不能",M158="判定不能"),"判定不能",IF(AV158&gt;=判定条件!$C$9,"利用可",IF(AND(AE158="停止",M158="停止"),"両方停止","運転がそろわない")))</f>
        <v>利用可</v>
      </c>
      <c r="AX158" s="30" t="str">
        <f aca="false">IF(AND(AH158="利用可",AK158="利用可",AN158="利用可"),"利用可","不可")</f>
        <v>利用可</v>
      </c>
      <c r="AY158" s="30" t="str">
        <f aca="false">IF(AND(AQ158="利用可",AT158="利用可",AW158="利用可"),"利用可","不可")</f>
        <v>利用可</v>
      </c>
    </row>
    <row r="159" customFormat="false" ht="15" hidden="false" customHeight="false" outlineLevel="0" collapsed="false">
      <c r="A159" s="29" t="n">
        <v>46238</v>
      </c>
      <c r="B159" s="30" t="n">
        <v>12</v>
      </c>
      <c r="C159" s="31" t="s">
        <v>67</v>
      </c>
      <c r="D159" s="31" t="s">
        <v>59</v>
      </c>
      <c r="E159" s="30" t="n">
        <v>60</v>
      </c>
      <c r="F159" s="30" t="n">
        <v>60</v>
      </c>
      <c r="G159" s="30" t="str">
        <f aca="false">IF(E159&lt;判定条件!$C$6,"判定不能",IF(F159&gt;=判定条件!$C$7*E159,"運転",IF(F159&lt;=判定条件!$C$8*E159,"停止","断続")))</f>
        <v>運転</v>
      </c>
      <c r="H159" s="30" t="n">
        <v>60</v>
      </c>
      <c r="I159" s="30" t="n">
        <v>60</v>
      </c>
      <c r="J159" s="30" t="str">
        <f aca="false">IF(H159&lt;判定条件!$C$6,"判定不能",IF(I159&gt;=判定条件!$C$7*H159,"運転",IF(I159&lt;=判定条件!$C$8*H159,"停止","断続")))</f>
        <v>運転</v>
      </c>
      <c r="K159" s="30" t="n">
        <v>60</v>
      </c>
      <c r="L159" s="30" t="n">
        <v>60</v>
      </c>
      <c r="M159" s="30" t="str">
        <f aca="false">IF(K159&lt;判定条件!$C$6,"判定不能",IF(L159&gt;=判定条件!$C$7*K159,"運転",IF(L159&lt;=判定条件!$C$8*K159,"停止","断続")))</f>
        <v>運転</v>
      </c>
      <c r="N159" s="30" t="n">
        <v>60</v>
      </c>
      <c r="O159" s="30" t="n">
        <v>59</v>
      </c>
      <c r="P159" s="30" t="str">
        <f aca="false">IF(N159&lt;判定条件!$C$6,"判定不能",IF(O159&gt;=判定条件!$C$7*N159,"運転",IF(O159&lt;=判定条件!$C$8*N159,"停止","断続")))</f>
        <v>運転</v>
      </c>
      <c r="Q159" s="30" t="n">
        <v>60</v>
      </c>
      <c r="R159" s="30" t="n">
        <v>60</v>
      </c>
      <c r="S159" s="30" t="str">
        <f aca="false">IF(Q159&lt;判定条件!$C$6,"判定不能",IF(R159&gt;=判定条件!$C$7*Q159,"運転",IF(R159&lt;=判定条件!$C$8*Q159,"停止","断続")))</f>
        <v>運転</v>
      </c>
      <c r="T159" s="30" t="n">
        <v>60</v>
      </c>
      <c r="U159" s="30" t="n">
        <v>60</v>
      </c>
      <c r="V159" s="30" t="str">
        <f aca="false">IF(T159&lt;判定条件!$C$6,"判定不能",IF(U159&gt;=判定条件!$C$7*T159,"運転",IF(U159&lt;=判定条件!$C$8*T159,"停止","断続")))</f>
        <v>運転</v>
      </c>
      <c r="W159" s="30" t="n">
        <v>60</v>
      </c>
      <c r="X159" s="30" t="n">
        <v>47</v>
      </c>
      <c r="Y159" s="30" t="str">
        <f aca="false">IF(W159&lt;判定条件!$C$6,"判定不能",IF(X159&gt;=判定条件!$C$7*W159,"運転",IF(X159&lt;=判定条件!$C$8*W159,"停止","断続")))</f>
        <v>断続</v>
      </c>
      <c r="Z159" s="30" t="n">
        <v>60</v>
      </c>
      <c r="AA159" s="30" t="n">
        <v>60</v>
      </c>
      <c r="AB159" s="30" t="str">
        <f aca="false">IF(Z159&lt;判定条件!$C$6,"判定不能",IF(AA159&gt;=判定条件!$C$7*Z159,"運転",IF(AA159&lt;=判定条件!$C$8*Z159,"停止","断続")))</f>
        <v>運転</v>
      </c>
      <c r="AC159" s="30" t="n">
        <v>60</v>
      </c>
      <c r="AD159" s="30" t="n">
        <v>60</v>
      </c>
      <c r="AE159" s="30" t="str">
        <f aca="false">IF(AC159&lt;判定条件!$C$6,"判定不能",IF(AD159&gt;=判定条件!$C$7*AC159,"運転",IF(AD159&lt;=判定条件!$C$8*AC159,"停止","断続")))</f>
        <v>運転</v>
      </c>
      <c r="AF159" s="30" t="n">
        <v>60</v>
      </c>
      <c r="AG159" s="30" t="n">
        <v>59</v>
      </c>
      <c r="AH159" s="30" t="str">
        <f aca="false">IF(OR(P159="判定不能",G159="判定不能"),"判定不能",IF(AG159&gt;=判定条件!$C$9,"利用可",IF(AND(P159="停止",G159="停止"),"両方停止","運転がそろわない")))</f>
        <v>利用可</v>
      </c>
      <c r="AI159" s="30" t="n">
        <v>60</v>
      </c>
      <c r="AJ159" s="30" t="n">
        <v>60</v>
      </c>
      <c r="AK159" s="30" t="str">
        <f aca="false">IF(OR(S159="判定不能",J159="判定不能"),"判定不能",IF(AJ159&gt;=判定条件!$C$9,"利用可",IF(AND(S159="停止",J159="停止"),"両方停止","運転がそろわない")))</f>
        <v>利用可</v>
      </c>
      <c r="AL159" s="30" t="n">
        <v>60</v>
      </c>
      <c r="AM159" s="30" t="n">
        <v>60</v>
      </c>
      <c r="AN159" s="30" t="str">
        <f aca="false">IF(OR(V159="判定不能",M159="判定不能"),"判定不能",IF(AM159&gt;=判定条件!$C$9,"利用可",IF(AND(V159="停止",M159="停止"),"両方停止","運転がそろわない")))</f>
        <v>利用可</v>
      </c>
      <c r="AO159" s="30" t="n">
        <v>60</v>
      </c>
      <c r="AP159" s="30" t="n">
        <v>47</v>
      </c>
      <c r="AQ159" s="30" t="str">
        <f aca="false">IF(OR(Y159="判定不能",G159="判定不能"),"判定不能",IF(AP159&gt;=判定条件!$C$9,"利用可",IF(AND(Y159="停止",G159="停止"),"両方停止","運転がそろわない")))</f>
        <v>利用可</v>
      </c>
      <c r="AR159" s="30" t="n">
        <v>60</v>
      </c>
      <c r="AS159" s="30" t="n">
        <v>60</v>
      </c>
      <c r="AT159" s="30" t="str">
        <f aca="false">IF(OR(AB159="判定不能",J159="判定不能"),"判定不能",IF(AS159&gt;=判定条件!$C$9,"利用可",IF(AND(AB159="停止",J159="停止"),"両方停止","運転がそろわない")))</f>
        <v>利用可</v>
      </c>
      <c r="AU159" s="30" t="n">
        <v>60</v>
      </c>
      <c r="AV159" s="30" t="n">
        <v>60</v>
      </c>
      <c r="AW159" s="30" t="str">
        <f aca="false">IF(OR(AE159="判定不能",M159="判定不能"),"判定不能",IF(AV159&gt;=判定条件!$C$9,"利用可",IF(AND(AE159="停止",M159="停止"),"両方停止","運転がそろわない")))</f>
        <v>利用可</v>
      </c>
      <c r="AX159" s="30" t="str">
        <f aca="false">IF(AND(AH159="利用可",AK159="利用可",AN159="利用可"),"利用可","不可")</f>
        <v>利用可</v>
      </c>
      <c r="AY159" s="30" t="str">
        <f aca="false">IF(AND(AQ159="利用可",AT159="利用可",AW159="利用可"),"利用可","不可")</f>
        <v>利用可</v>
      </c>
    </row>
    <row r="160" customFormat="false" ht="15" hidden="false" customHeight="false" outlineLevel="0" collapsed="false">
      <c r="A160" s="29" t="n">
        <v>46238</v>
      </c>
      <c r="B160" s="30" t="n">
        <v>13</v>
      </c>
      <c r="C160" s="31" t="s">
        <v>67</v>
      </c>
      <c r="D160" s="31" t="s">
        <v>59</v>
      </c>
      <c r="E160" s="30" t="n">
        <v>60</v>
      </c>
      <c r="F160" s="30" t="n">
        <v>60</v>
      </c>
      <c r="G160" s="30" t="str">
        <f aca="false">IF(E160&lt;判定条件!$C$6,"判定不能",IF(F160&gt;=判定条件!$C$7*E160,"運転",IF(F160&lt;=判定条件!$C$8*E160,"停止","断続")))</f>
        <v>運転</v>
      </c>
      <c r="H160" s="30" t="n">
        <v>60</v>
      </c>
      <c r="I160" s="30" t="n">
        <v>60</v>
      </c>
      <c r="J160" s="30" t="str">
        <f aca="false">IF(H160&lt;判定条件!$C$6,"判定不能",IF(I160&gt;=判定条件!$C$7*H160,"運転",IF(I160&lt;=判定条件!$C$8*H160,"停止","断続")))</f>
        <v>運転</v>
      </c>
      <c r="K160" s="30" t="n">
        <v>60</v>
      </c>
      <c r="L160" s="30" t="n">
        <v>60</v>
      </c>
      <c r="M160" s="30" t="str">
        <f aca="false">IF(K160&lt;判定条件!$C$6,"判定不能",IF(L160&gt;=判定条件!$C$7*K160,"運転",IF(L160&lt;=判定条件!$C$8*K160,"停止","断続")))</f>
        <v>運転</v>
      </c>
      <c r="N160" s="30" t="n">
        <v>60</v>
      </c>
      <c r="O160" s="30" t="n">
        <v>41</v>
      </c>
      <c r="P160" s="30" t="str">
        <f aca="false">IF(N160&lt;判定条件!$C$6,"判定不能",IF(O160&gt;=判定条件!$C$7*N160,"運転",IF(O160&lt;=判定条件!$C$8*N160,"停止","断続")))</f>
        <v>断続</v>
      </c>
      <c r="Q160" s="30" t="n">
        <v>60</v>
      </c>
      <c r="R160" s="30" t="n">
        <v>60</v>
      </c>
      <c r="S160" s="30" t="str">
        <f aca="false">IF(Q160&lt;判定条件!$C$6,"判定不能",IF(R160&gt;=判定条件!$C$7*Q160,"運転",IF(R160&lt;=判定条件!$C$8*Q160,"停止","断続")))</f>
        <v>運転</v>
      </c>
      <c r="T160" s="30" t="n">
        <v>60</v>
      </c>
      <c r="U160" s="30" t="n">
        <v>59</v>
      </c>
      <c r="V160" s="30" t="str">
        <f aca="false">IF(T160&lt;判定条件!$C$6,"判定不能",IF(U160&gt;=判定条件!$C$7*T160,"運転",IF(U160&lt;=判定条件!$C$8*T160,"停止","断続")))</f>
        <v>運転</v>
      </c>
      <c r="W160" s="30" t="n">
        <v>60</v>
      </c>
      <c r="X160" s="30" t="n">
        <v>60</v>
      </c>
      <c r="Y160" s="30" t="str">
        <f aca="false">IF(W160&lt;判定条件!$C$6,"判定不能",IF(X160&gt;=判定条件!$C$7*W160,"運転",IF(X160&lt;=判定条件!$C$8*W160,"停止","断続")))</f>
        <v>運転</v>
      </c>
      <c r="Z160" s="30" t="n">
        <v>60</v>
      </c>
      <c r="AA160" s="30" t="n">
        <v>60</v>
      </c>
      <c r="AB160" s="30" t="str">
        <f aca="false">IF(Z160&lt;判定条件!$C$6,"判定不能",IF(AA160&gt;=判定条件!$C$7*Z160,"運転",IF(AA160&lt;=判定条件!$C$8*Z160,"停止","断続")))</f>
        <v>運転</v>
      </c>
      <c r="AC160" s="30" t="n">
        <v>60</v>
      </c>
      <c r="AD160" s="30" t="n">
        <v>53</v>
      </c>
      <c r="AE160" s="30" t="str">
        <f aca="false">IF(AC160&lt;判定条件!$C$6,"判定不能",IF(AD160&gt;=判定条件!$C$7*AC160,"運転",IF(AD160&lt;=判定条件!$C$8*AC160,"停止","断続")))</f>
        <v>運転</v>
      </c>
      <c r="AF160" s="30" t="n">
        <v>60</v>
      </c>
      <c r="AG160" s="30" t="n">
        <v>41</v>
      </c>
      <c r="AH160" s="30" t="str">
        <f aca="false">IF(OR(P160="判定不能",G160="判定不能"),"判定不能",IF(AG160&gt;=判定条件!$C$9,"利用可",IF(AND(P160="停止",G160="停止"),"両方停止","運転がそろわない")))</f>
        <v>利用可</v>
      </c>
      <c r="AI160" s="30" t="n">
        <v>60</v>
      </c>
      <c r="AJ160" s="30" t="n">
        <v>60</v>
      </c>
      <c r="AK160" s="30" t="str">
        <f aca="false">IF(OR(S160="判定不能",J160="判定不能"),"判定不能",IF(AJ160&gt;=判定条件!$C$9,"利用可",IF(AND(S160="停止",J160="停止"),"両方停止","運転がそろわない")))</f>
        <v>利用可</v>
      </c>
      <c r="AL160" s="30" t="n">
        <v>60</v>
      </c>
      <c r="AM160" s="30" t="n">
        <v>59</v>
      </c>
      <c r="AN160" s="30" t="str">
        <f aca="false">IF(OR(V160="判定不能",M160="判定不能"),"判定不能",IF(AM160&gt;=判定条件!$C$9,"利用可",IF(AND(V160="停止",M160="停止"),"両方停止","運転がそろわない")))</f>
        <v>利用可</v>
      </c>
      <c r="AO160" s="30" t="n">
        <v>60</v>
      </c>
      <c r="AP160" s="30" t="n">
        <v>60</v>
      </c>
      <c r="AQ160" s="30" t="str">
        <f aca="false">IF(OR(Y160="判定不能",G160="判定不能"),"判定不能",IF(AP160&gt;=判定条件!$C$9,"利用可",IF(AND(Y160="停止",G160="停止"),"両方停止","運転がそろわない")))</f>
        <v>利用可</v>
      </c>
      <c r="AR160" s="30" t="n">
        <v>60</v>
      </c>
      <c r="AS160" s="30" t="n">
        <v>60</v>
      </c>
      <c r="AT160" s="30" t="str">
        <f aca="false">IF(OR(AB160="判定不能",J160="判定不能"),"判定不能",IF(AS160&gt;=判定条件!$C$9,"利用可",IF(AND(AB160="停止",J160="停止"),"両方停止","運転がそろわない")))</f>
        <v>利用可</v>
      </c>
      <c r="AU160" s="30" t="n">
        <v>60</v>
      </c>
      <c r="AV160" s="30" t="n">
        <v>53</v>
      </c>
      <c r="AW160" s="30" t="str">
        <f aca="false">IF(OR(AE160="判定不能",M160="判定不能"),"判定不能",IF(AV160&gt;=判定条件!$C$9,"利用可",IF(AND(AE160="停止",M160="停止"),"両方停止","運転がそろわない")))</f>
        <v>利用可</v>
      </c>
      <c r="AX160" s="30" t="str">
        <f aca="false">IF(AND(AH160="利用可",AK160="利用可",AN160="利用可"),"利用可","不可")</f>
        <v>利用可</v>
      </c>
      <c r="AY160" s="30" t="str">
        <f aca="false">IF(AND(AQ160="利用可",AT160="利用可",AW160="利用可"),"利用可","不可")</f>
        <v>利用可</v>
      </c>
    </row>
    <row r="161" customFormat="false" ht="15" hidden="false" customHeight="false" outlineLevel="0" collapsed="false">
      <c r="A161" s="29" t="n">
        <v>46238</v>
      </c>
      <c r="B161" s="30" t="n">
        <v>14</v>
      </c>
      <c r="C161" s="31" t="s">
        <v>67</v>
      </c>
      <c r="D161" s="31" t="s">
        <v>59</v>
      </c>
      <c r="E161" s="30" t="n">
        <v>60</v>
      </c>
      <c r="F161" s="30" t="n">
        <v>60</v>
      </c>
      <c r="G161" s="30" t="str">
        <f aca="false">IF(E161&lt;判定条件!$C$6,"判定不能",IF(F161&gt;=判定条件!$C$7*E161,"運転",IF(F161&lt;=判定条件!$C$8*E161,"停止","断続")))</f>
        <v>運転</v>
      </c>
      <c r="H161" s="30" t="n">
        <v>60</v>
      </c>
      <c r="I161" s="30" t="n">
        <v>60</v>
      </c>
      <c r="J161" s="30" t="str">
        <f aca="false">IF(H161&lt;判定条件!$C$6,"判定不能",IF(I161&gt;=判定条件!$C$7*H161,"運転",IF(I161&lt;=判定条件!$C$8*H161,"停止","断続")))</f>
        <v>運転</v>
      </c>
      <c r="K161" s="30" t="n">
        <v>60</v>
      </c>
      <c r="L161" s="30" t="n">
        <v>60</v>
      </c>
      <c r="M161" s="30" t="str">
        <f aca="false">IF(K161&lt;判定条件!$C$6,"判定不能",IF(L161&gt;=判定条件!$C$7*K161,"運転",IF(L161&lt;=判定条件!$C$8*K161,"停止","断続")))</f>
        <v>運転</v>
      </c>
      <c r="N161" s="30" t="n">
        <v>60</v>
      </c>
      <c r="O161" s="30" t="n">
        <v>60</v>
      </c>
      <c r="P161" s="30" t="str">
        <f aca="false">IF(N161&lt;判定条件!$C$6,"判定不能",IF(O161&gt;=判定条件!$C$7*N161,"運転",IF(O161&lt;=判定条件!$C$8*N161,"停止","断続")))</f>
        <v>運転</v>
      </c>
      <c r="Q161" s="30" t="n">
        <v>60</v>
      </c>
      <c r="R161" s="30" t="n">
        <v>60</v>
      </c>
      <c r="S161" s="30" t="str">
        <f aca="false">IF(Q161&lt;判定条件!$C$6,"判定不能",IF(R161&gt;=判定条件!$C$7*Q161,"運転",IF(R161&lt;=判定条件!$C$8*Q161,"停止","断続")))</f>
        <v>運転</v>
      </c>
      <c r="T161" s="30" t="n">
        <v>60</v>
      </c>
      <c r="U161" s="30" t="n">
        <v>35</v>
      </c>
      <c r="V161" s="30" t="str">
        <f aca="false">IF(T161&lt;判定条件!$C$6,"判定不能",IF(U161&gt;=判定条件!$C$7*T161,"運転",IF(U161&lt;=判定条件!$C$8*T161,"停止","断続")))</f>
        <v>断続</v>
      </c>
      <c r="W161" s="30" t="n">
        <v>60</v>
      </c>
      <c r="X161" s="30" t="n">
        <v>60</v>
      </c>
      <c r="Y161" s="30" t="str">
        <f aca="false">IF(W161&lt;判定条件!$C$6,"判定不能",IF(X161&gt;=判定条件!$C$7*W161,"運転",IF(X161&lt;=判定条件!$C$8*W161,"停止","断続")))</f>
        <v>運転</v>
      </c>
      <c r="Z161" s="30" t="n">
        <v>60</v>
      </c>
      <c r="AA161" s="30" t="n">
        <v>60</v>
      </c>
      <c r="AB161" s="30" t="str">
        <f aca="false">IF(Z161&lt;判定条件!$C$6,"判定不能",IF(AA161&gt;=判定条件!$C$7*Z161,"運転",IF(AA161&lt;=判定条件!$C$8*Z161,"停止","断続")))</f>
        <v>運転</v>
      </c>
      <c r="AC161" s="30" t="n">
        <v>60</v>
      </c>
      <c r="AD161" s="30" t="n">
        <v>60</v>
      </c>
      <c r="AE161" s="30" t="str">
        <f aca="false">IF(AC161&lt;判定条件!$C$6,"判定不能",IF(AD161&gt;=判定条件!$C$7*AC161,"運転",IF(AD161&lt;=判定条件!$C$8*AC161,"停止","断続")))</f>
        <v>運転</v>
      </c>
      <c r="AF161" s="30" t="n">
        <v>60</v>
      </c>
      <c r="AG161" s="30" t="n">
        <v>60</v>
      </c>
      <c r="AH161" s="30" t="str">
        <f aca="false">IF(OR(P161="判定不能",G161="判定不能"),"判定不能",IF(AG161&gt;=判定条件!$C$9,"利用可",IF(AND(P161="停止",G161="停止"),"両方停止","運転がそろわない")))</f>
        <v>利用可</v>
      </c>
      <c r="AI161" s="30" t="n">
        <v>60</v>
      </c>
      <c r="AJ161" s="30" t="n">
        <v>60</v>
      </c>
      <c r="AK161" s="30" t="str">
        <f aca="false">IF(OR(S161="判定不能",J161="判定不能"),"判定不能",IF(AJ161&gt;=判定条件!$C$9,"利用可",IF(AND(S161="停止",J161="停止"),"両方停止","運転がそろわない")))</f>
        <v>利用可</v>
      </c>
      <c r="AL161" s="30" t="n">
        <v>60</v>
      </c>
      <c r="AM161" s="30" t="n">
        <v>35</v>
      </c>
      <c r="AN161" s="30" t="str">
        <f aca="false">IF(OR(V161="判定不能",M161="判定不能"),"判定不能",IF(AM161&gt;=判定条件!$C$9,"利用可",IF(AND(V161="停止",M161="停止"),"両方停止","運転がそろわない")))</f>
        <v>利用可</v>
      </c>
      <c r="AO161" s="30" t="n">
        <v>60</v>
      </c>
      <c r="AP161" s="30" t="n">
        <v>60</v>
      </c>
      <c r="AQ161" s="30" t="str">
        <f aca="false">IF(OR(Y161="判定不能",G161="判定不能"),"判定不能",IF(AP161&gt;=判定条件!$C$9,"利用可",IF(AND(Y161="停止",G161="停止"),"両方停止","運転がそろわない")))</f>
        <v>利用可</v>
      </c>
      <c r="AR161" s="30" t="n">
        <v>60</v>
      </c>
      <c r="AS161" s="30" t="n">
        <v>60</v>
      </c>
      <c r="AT161" s="30" t="str">
        <f aca="false">IF(OR(AB161="判定不能",J161="判定不能"),"判定不能",IF(AS161&gt;=判定条件!$C$9,"利用可",IF(AND(AB161="停止",J161="停止"),"両方停止","運転がそろわない")))</f>
        <v>利用可</v>
      </c>
      <c r="AU161" s="30" t="n">
        <v>60</v>
      </c>
      <c r="AV161" s="30" t="n">
        <v>60</v>
      </c>
      <c r="AW161" s="30" t="str">
        <f aca="false">IF(OR(AE161="判定不能",M161="判定不能"),"判定不能",IF(AV161&gt;=判定条件!$C$9,"利用可",IF(AND(AE161="停止",M161="停止"),"両方停止","運転がそろわない")))</f>
        <v>利用可</v>
      </c>
      <c r="AX161" s="30" t="str">
        <f aca="false">IF(AND(AH161="利用可",AK161="利用可",AN161="利用可"),"利用可","不可")</f>
        <v>利用可</v>
      </c>
      <c r="AY161" s="30" t="str">
        <f aca="false">IF(AND(AQ161="利用可",AT161="利用可",AW161="利用可"),"利用可","不可")</f>
        <v>利用可</v>
      </c>
    </row>
    <row r="162" customFormat="false" ht="15" hidden="false" customHeight="false" outlineLevel="0" collapsed="false">
      <c r="A162" s="29" t="n">
        <v>46238</v>
      </c>
      <c r="B162" s="30" t="n">
        <v>15</v>
      </c>
      <c r="C162" s="31" t="s">
        <v>67</v>
      </c>
      <c r="D162" s="31" t="s">
        <v>59</v>
      </c>
      <c r="E162" s="30" t="n">
        <v>60</v>
      </c>
      <c r="F162" s="30" t="n">
        <v>60</v>
      </c>
      <c r="G162" s="30" t="str">
        <f aca="false">IF(E162&lt;判定条件!$C$6,"判定不能",IF(F162&gt;=判定条件!$C$7*E162,"運転",IF(F162&lt;=判定条件!$C$8*E162,"停止","断続")))</f>
        <v>運転</v>
      </c>
      <c r="H162" s="30" t="n">
        <v>60</v>
      </c>
      <c r="I162" s="30" t="n">
        <v>60</v>
      </c>
      <c r="J162" s="30" t="str">
        <f aca="false">IF(H162&lt;判定条件!$C$6,"判定不能",IF(I162&gt;=判定条件!$C$7*H162,"運転",IF(I162&lt;=判定条件!$C$8*H162,"停止","断続")))</f>
        <v>運転</v>
      </c>
      <c r="K162" s="30" t="n">
        <v>60</v>
      </c>
      <c r="L162" s="30" t="n">
        <v>60</v>
      </c>
      <c r="M162" s="30" t="str">
        <f aca="false">IF(K162&lt;判定条件!$C$6,"判定不能",IF(L162&gt;=判定条件!$C$7*K162,"運転",IF(L162&lt;=判定条件!$C$8*K162,"停止","断続")))</f>
        <v>運転</v>
      </c>
      <c r="N162" s="30" t="n">
        <v>60</v>
      </c>
      <c r="O162" s="30" t="n">
        <v>40</v>
      </c>
      <c r="P162" s="30" t="str">
        <f aca="false">IF(N162&lt;判定条件!$C$6,"判定不能",IF(O162&gt;=判定条件!$C$7*N162,"運転",IF(O162&lt;=判定条件!$C$8*N162,"停止","断続")))</f>
        <v>断続</v>
      </c>
      <c r="Q162" s="30" t="n">
        <v>60</v>
      </c>
      <c r="R162" s="30" t="n">
        <v>60</v>
      </c>
      <c r="S162" s="30" t="str">
        <f aca="false">IF(Q162&lt;判定条件!$C$6,"判定不能",IF(R162&gt;=判定条件!$C$7*Q162,"運転",IF(R162&lt;=判定条件!$C$8*Q162,"停止","断続")))</f>
        <v>運転</v>
      </c>
      <c r="T162" s="30" t="n">
        <v>60</v>
      </c>
      <c r="U162" s="30" t="n">
        <v>60</v>
      </c>
      <c r="V162" s="30" t="str">
        <f aca="false">IF(T162&lt;判定条件!$C$6,"判定不能",IF(U162&gt;=判定条件!$C$7*T162,"運転",IF(U162&lt;=判定条件!$C$8*T162,"停止","断続")))</f>
        <v>運転</v>
      </c>
      <c r="W162" s="30" t="n">
        <v>60</v>
      </c>
      <c r="X162" s="30" t="n">
        <v>54</v>
      </c>
      <c r="Y162" s="30" t="str">
        <f aca="false">IF(W162&lt;判定条件!$C$6,"判定不能",IF(X162&gt;=判定条件!$C$7*W162,"運転",IF(X162&lt;=判定条件!$C$8*W162,"停止","断続")))</f>
        <v>運転</v>
      </c>
      <c r="Z162" s="30" t="n">
        <v>60</v>
      </c>
      <c r="AA162" s="30" t="n">
        <v>26</v>
      </c>
      <c r="AB162" s="30" t="str">
        <f aca="false">IF(Z162&lt;判定条件!$C$6,"判定不能",IF(AA162&gt;=判定条件!$C$7*Z162,"運転",IF(AA162&lt;=判定条件!$C$8*Z162,"停止","断続")))</f>
        <v>断続</v>
      </c>
      <c r="AC162" s="30" t="n">
        <v>60</v>
      </c>
      <c r="AD162" s="30" t="n">
        <v>44</v>
      </c>
      <c r="AE162" s="30" t="str">
        <f aca="false">IF(AC162&lt;判定条件!$C$6,"判定不能",IF(AD162&gt;=判定条件!$C$7*AC162,"運転",IF(AD162&lt;=判定条件!$C$8*AC162,"停止","断続")))</f>
        <v>断続</v>
      </c>
      <c r="AF162" s="30" t="n">
        <v>60</v>
      </c>
      <c r="AG162" s="30" t="n">
        <v>40</v>
      </c>
      <c r="AH162" s="30" t="str">
        <f aca="false">IF(OR(P162="判定不能",G162="判定不能"),"判定不能",IF(AG162&gt;=判定条件!$C$9,"利用可",IF(AND(P162="停止",G162="停止"),"両方停止","運転がそろわない")))</f>
        <v>利用可</v>
      </c>
      <c r="AI162" s="30" t="n">
        <v>60</v>
      </c>
      <c r="AJ162" s="30" t="n">
        <v>60</v>
      </c>
      <c r="AK162" s="30" t="str">
        <f aca="false">IF(OR(S162="判定不能",J162="判定不能"),"判定不能",IF(AJ162&gt;=判定条件!$C$9,"利用可",IF(AND(S162="停止",J162="停止"),"両方停止","運転がそろわない")))</f>
        <v>利用可</v>
      </c>
      <c r="AL162" s="30" t="n">
        <v>60</v>
      </c>
      <c r="AM162" s="30" t="n">
        <v>60</v>
      </c>
      <c r="AN162" s="30" t="str">
        <f aca="false">IF(OR(V162="判定不能",M162="判定不能"),"判定不能",IF(AM162&gt;=判定条件!$C$9,"利用可",IF(AND(V162="停止",M162="停止"),"両方停止","運転がそろわない")))</f>
        <v>利用可</v>
      </c>
      <c r="AO162" s="30" t="n">
        <v>60</v>
      </c>
      <c r="AP162" s="30" t="n">
        <v>54</v>
      </c>
      <c r="AQ162" s="30" t="str">
        <f aca="false">IF(OR(Y162="判定不能",G162="判定不能"),"判定不能",IF(AP162&gt;=判定条件!$C$9,"利用可",IF(AND(Y162="停止",G162="停止"),"両方停止","運転がそろわない")))</f>
        <v>利用可</v>
      </c>
      <c r="AR162" s="30" t="n">
        <v>60</v>
      </c>
      <c r="AS162" s="30" t="n">
        <v>26</v>
      </c>
      <c r="AT162" s="30" t="str">
        <f aca="false">IF(OR(AB162="判定不能",J162="判定不能"),"判定不能",IF(AS162&gt;=判定条件!$C$9,"利用可",IF(AND(AB162="停止",J162="停止"),"両方停止","運転がそろわない")))</f>
        <v>運転がそろわない</v>
      </c>
      <c r="AU162" s="30" t="n">
        <v>60</v>
      </c>
      <c r="AV162" s="30" t="n">
        <v>44</v>
      </c>
      <c r="AW162" s="30" t="str">
        <f aca="false">IF(OR(AE162="判定不能",M162="判定不能"),"判定不能",IF(AV162&gt;=判定条件!$C$9,"利用可",IF(AND(AE162="停止",M162="停止"),"両方停止","運転がそろわない")))</f>
        <v>利用可</v>
      </c>
      <c r="AX162" s="30" t="str">
        <f aca="false">IF(AND(AH162="利用可",AK162="利用可",AN162="利用可"),"利用可","不可")</f>
        <v>利用可</v>
      </c>
      <c r="AY162" s="30" t="str">
        <f aca="false">IF(AND(AQ162="利用可",AT162="利用可",AW162="利用可"),"利用可","不可")</f>
        <v>不可</v>
      </c>
    </row>
    <row r="163" customFormat="false" ht="15" hidden="false" customHeight="false" outlineLevel="0" collapsed="false">
      <c r="A163" s="29" t="n">
        <v>46238</v>
      </c>
      <c r="B163" s="30" t="n">
        <v>16</v>
      </c>
      <c r="C163" s="31" t="s">
        <v>67</v>
      </c>
      <c r="D163" s="31" t="s">
        <v>59</v>
      </c>
      <c r="E163" s="30" t="n">
        <v>60</v>
      </c>
      <c r="F163" s="30" t="n">
        <v>60</v>
      </c>
      <c r="G163" s="30" t="str">
        <f aca="false">IF(E163&lt;判定条件!$C$6,"判定不能",IF(F163&gt;=判定条件!$C$7*E163,"運転",IF(F163&lt;=判定条件!$C$8*E163,"停止","断続")))</f>
        <v>運転</v>
      </c>
      <c r="H163" s="30" t="n">
        <v>60</v>
      </c>
      <c r="I163" s="30" t="n">
        <v>60</v>
      </c>
      <c r="J163" s="30" t="str">
        <f aca="false">IF(H163&lt;判定条件!$C$6,"判定不能",IF(I163&gt;=判定条件!$C$7*H163,"運転",IF(I163&lt;=判定条件!$C$8*H163,"停止","断続")))</f>
        <v>運転</v>
      </c>
      <c r="K163" s="30" t="n">
        <v>60</v>
      </c>
      <c r="L163" s="30" t="n">
        <v>60</v>
      </c>
      <c r="M163" s="30" t="str">
        <f aca="false">IF(K163&lt;判定条件!$C$6,"判定不能",IF(L163&gt;=判定条件!$C$7*K163,"運転",IF(L163&lt;=判定条件!$C$8*K163,"停止","断続")))</f>
        <v>運転</v>
      </c>
      <c r="N163" s="30" t="n">
        <v>60</v>
      </c>
      <c r="O163" s="30" t="n">
        <v>49</v>
      </c>
      <c r="P163" s="30" t="str">
        <f aca="false">IF(N163&lt;判定条件!$C$6,"判定不能",IF(O163&gt;=判定条件!$C$7*N163,"運転",IF(O163&lt;=判定条件!$C$8*N163,"停止","断続")))</f>
        <v>運転</v>
      </c>
      <c r="Q163" s="30" t="n">
        <v>60</v>
      </c>
      <c r="R163" s="30" t="n">
        <v>60</v>
      </c>
      <c r="S163" s="30" t="str">
        <f aca="false">IF(Q163&lt;判定条件!$C$6,"判定不能",IF(R163&gt;=判定条件!$C$7*Q163,"運転",IF(R163&lt;=判定条件!$C$8*Q163,"停止","断続")))</f>
        <v>運転</v>
      </c>
      <c r="T163" s="30" t="n">
        <v>60</v>
      </c>
      <c r="U163" s="30" t="n">
        <v>41</v>
      </c>
      <c r="V163" s="30" t="str">
        <f aca="false">IF(T163&lt;判定条件!$C$6,"判定不能",IF(U163&gt;=判定条件!$C$7*T163,"運転",IF(U163&lt;=判定条件!$C$8*T163,"停止","断続")))</f>
        <v>断続</v>
      </c>
      <c r="W163" s="30" t="n">
        <v>60</v>
      </c>
      <c r="X163" s="30" t="n">
        <v>44</v>
      </c>
      <c r="Y163" s="30" t="str">
        <f aca="false">IF(W163&lt;判定条件!$C$6,"判定不能",IF(X163&gt;=判定条件!$C$7*W163,"運転",IF(X163&lt;=判定条件!$C$8*W163,"停止","断続")))</f>
        <v>断続</v>
      </c>
      <c r="Z163" s="30" t="n">
        <v>60</v>
      </c>
      <c r="AA163" s="30" t="n">
        <v>60</v>
      </c>
      <c r="AB163" s="30" t="str">
        <f aca="false">IF(Z163&lt;判定条件!$C$6,"判定不能",IF(AA163&gt;=判定条件!$C$7*Z163,"運転",IF(AA163&lt;=判定条件!$C$8*Z163,"停止","断続")))</f>
        <v>運転</v>
      </c>
      <c r="AC163" s="30" t="n">
        <v>60</v>
      </c>
      <c r="AD163" s="30" t="n">
        <v>60</v>
      </c>
      <c r="AE163" s="30" t="str">
        <f aca="false">IF(AC163&lt;判定条件!$C$6,"判定不能",IF(AD163&gt;=判定条件!$C$7*AC163,"運転",IF(AD163&lt;=判定条件!$C$8*AC163,"停止","断続")))</f>
        <v>運転</v>
      </c>
      <c r="AF163" s="30" t="n">
        <v>60</v>
      </c>
      <c r="AG163" s="30" t="n">
        <v>49</v>
      </c>
      <c r="AH163" s="30" t="str">
        <f aca="false">IF(OR(P163="判定不能",G163="判定不能"),"判定不能",IF(AG163&gt;=判定条件!$C$9,"利用可",IF(AND(P163="停止",G163="停止"),"両方停止","運転がそろわない")))</f>
        <v>利用可</v>
      </c>
      <c r="AI163" s="30" t="n">
        <v>60</v>
      </c>
      <c r="AJ163" s="30" t="n">
        <v>60</v>
      </c>
      <c r="AK163" s="30" t="str">
        <f aca="false">IF(OR(S163="判定不能",J163="判定不能"),"判定不能",IF(AJ163&gt;=判定条件!$C$9,"利用可",IF(AND(S163="停止",J163="停止"),"両方停止","運転がそろわない")))</f>
        <v>利用可</v>
      </c>
      <c r="AL163" s="30" t="n">
        <v>60</v>
      </c>
      <c r="AM163" s="30" t="n">
        <v>41</v>
      </c>
      <c r="AN163" s="30" t="str">
        <f aca="false">IF(OR(V163="判定不能",M163="判定不能"),"判定不能",IF(AM163&gt;=判定条件!$C$9,"利用可",IF(AND(V163="停止",M163="停止"),"両方停止","運転がそろわない")))</f>
        <v>利用可</v>
      </c>
      <c r="AO163" s="30" t="n">
        <v>60</v>
      </c>
      <c r="AP163" s="30" t="n">
        <v>44</v>
      </c>
      <c r="AQ163" s="30" t="str">
        <f aca="false">IF(OR(Y163="判定不能",G163="判定不能"),"判定不能",IF(AP163&gt;=判定条件!$C$9,"利用可",IF(AND(Y163="停止",G163="停止"),"両方停止","運転がそろわない")))</f>
        <v>利用可</v>
      </c>
      <c r="AR163" s="30" t="n">
        <v>60</v>
      </c>
      <c r="AS163" s="30" t="n">
        <v>60</v>
      </c>
      <c r="AT163" s="30" t="str">
        <f aca="false">IF(OR(AB163="判定不能",J163="判定不能"),"判定不能",IF(AS163&gt;=判定条件!$C$9,"利用可",IF(AND(AB163="停止",J163="停止"),"両方停止","運転がそろわない")))</f>
        <v>利用可</v>
      </c>
      <c r="AU163" s="30" t="n">
        <v>60</v>
      </c>
      <c r="AV163" s="30" t="n">
        <v>60</v>
      </c>
      <c r="AW163" s="30" t="str">
        <f aca="false">IF(OR(AE163="判定不能",M163="判定不能"),"判定不能",IF(AV163&gt;=判定条件!$C$9,"利用可",IF(AND(AE163="停止",M163="停止"),"両方停止","運転がそろわない")))</f>
        <v>利用可</v>
      </c>
      <c r="AX163" s="30" t="str">
        <f aca="false">IF(AND(AH163="利用可",AK163="利用可",AN163="利用可"),"利用可","不可")</f>
        <v>利用可</v>
      </c>
      <c r="AY163" s="30" t="str">
        <f aca="false">IF(AND(AQ163="利用可",AT163="利用可",AW163="利用可"),"利用可","不可")</f>
        <v>利用可</v>
      </c>
    </row>
    <row r="164" customFormat="false" ht="15" hidden="false" customHeight="false" outlineLevel="0" collapsed="false">
      <c r="A164" s="29" t="n">
        <v>46238</v>
      </c>
      <c r="B164" s="30" t="n">
        <v>17</v>
      </c>
      <c r="C164" s="31" t="s">
        <v>67</v>
      </c>
      <c r="D164" s="31" t="s">
        <v>59</v>
      </c>
      <c r="E164" s="30" t="n">
        <v>60</v>
      </c>
      <c r="F164" s="30" t="n">
        <v>60</v>
      </c>
      <c r="G164" s="30" t="str">
        <f aca="false">IF(E164&lt;判定条件!$C$6,"判定不能",IF(F164&gt;=判定条件!$C$7*E164,"運転",IF(F164&lt;=判定条件!$C$8*E164,"停止","断続")))</f>
        <v>運転</v>
      </c>
      <c r="H164" s="30" t="n">
        <v>60</v>
      </c>
      <c r="I164" s="30" t="n">
        <v>60</v>
      </c>
      <c r="J164" s="30" t="str">
        <f aca="false">IF(H164&lt;判定条件!$C$6,"判定不能",IF(I164&gt;=判定条件!$C$7*H164,"運転",IF(I164&lt;=判定条件!$C$8*H164,"停止","断続")))</f>
        <v>運転</v>
      </c>
      <c r="K164" s="30" t="n">
        <v>60</v>
      </c>
      <c r="L164" s="30" t="n">
        <v>60</v>
      </c>
      <c r="M164" s="30" t="str">
        <f aca="false">IF(K164&lt;判定条件!$C$6,"判定不能",IF(L164&gt;=判定条件!$C$7*K164,"運転",IF(L164&lt;=判定条件!$C$8*K164,"停止","断続")))</f>
        <v>運転</v>
      </c>
      <c r="N164" s="30" t="n">
        <v>60</v>
      </c>
      <c r="O164" s="30" t="n">
        <v>48</v>
      </c>
      <c r="P164" s="30" t="str">
        <f aca="false">IF(N164&lt;判定条件!$C$6,"判定不能",IF(O164&gt;=判定条件!$C$7*N164,"運転",IF(O164&lt;=判定条件!$C$8*N164,"停止","断続")))</f>
        <v>運転</v>
      </c>
      <c r="Q164" s="30" t="n">
        <v>60</v>
      </c>
      <c r="R164" s="30" t="n">
        <v>60</v>
      </c>
      <c r="S164" s="30" t="str">
        <f aca="false">IF(Q164&lt;判定条件!$C$6,"判定不能",IF(R164&gt;=判定条件!$C$7*Q164,"運転",IF(R164&lt;=判定条件!$C$8*Q164,"停止","断続")))</f>
        <v>運転</v>
      </c>
      <c r="T164" s="30" t="n">
        <v>60</v>
      </c>
      <c r="U164" s="30" t="n">
        <v>30</v>
      </c>
      <c r="V164" s="30" t="str">
        <f aca="false">IF(T164&lt;判定条件!$C$6,"判定不能",IF(U164&gt;=判定条件!$C$7*T164,"運転",IF(U164&lt;=判定条件!$C$8*T164,"停止","断続")))</f>
        <v>断続</v>
      </c>
      <c r="W164" s="30" t="n">
        <v>60</v>
      </c>
      <c r="X164" s="30" t="n">
        <v>60</v>
      </c>
      <c r="Y164" s="30" t="str">
        <f aca="false">IF(W164&lt;判定条件!$C$6,"判定不能",IF(X164&gt;=判定条件!$C$7*W164,"運転",IF(X164&lt;=判定条件!$C$8*W164,"停止","断続")))</f>
        <v>運転</v>
      </c>
      <c r="Z164" s="30" t="n">
        <v>60</v>
      </c>
      <c r="AA164" s="30" t="n">
        <v>41</v>
      </c>
      <c r="AB164" s="30" t="str">
        <f aca="false">IF(Z164&lt;判定条件!$C$6,"判定不能",IF(AA164&gt;=判定条件!$C$7*Z164,"運転",IF(AA164&lt;=判定条件!$C$8*Z164,"停止","断続")))</f>
        <v>断続</v>
      </c>
      <c r="AC164" s="30" t="n">
        <v>60</v>
      </c>
      <c r="AD164" s="30" t="n">
        <v>44</v>
      </c>
      <c r="AE164" s="30" t="str">
        <f aca="false">IF(AC164&lt;判定条件!$C$6,"判定不能",IF(AD164&gt;=判定条件!$C$7*AC164,"運転",IF(AD164&lt;=判定条件!$C$8*AC164,"停止","断続")))</f>
        <v>断続</v>
      </c>
      <c r="AF164" s="30" t="n">
        <v>60</v>
      </c>
      <c r="AG164" s="30" t="n">
        <v>48</v>
      </c>
      <c r="AH164" s="30" t="str">
        <f aca="false">IF(OR(P164="判定不能",G164="判定不能"),"判定不能",IF(AG164&gt;=判定条件!$C$9,"利用可",IF(AND(P164="停止",G164="停止"),"両方停止","運転がそろわない")))</f>
        <v>利用可</v>
      </c>
      <c r="AI164" s="30" t="n">
        <v>60</v>
      </c>
      <c r="AJ164" s="30" t="n">
        <v>60</v>
      </c>
      <c r="AK164" s="30" t="str">
        <f aca="false">IF(OR(S164="判定不能",J164="判定不能"),"判定不能",IF(AJ164&gt;=判定条件!$C$9,"利用可",IF(AND(S164="停止",J164="停止"),"両方停止","運転がそろわない")))</f>
        <v>利用可</v>
      </c>
      <c r="AL164" s="30" t="n">
        <v>60</v>
      </c>
      <c r="AM164" s="30" t="n">
        <v>30</v>
      </c>
      <c r="AN164" s="30" t="str">
        <f aca="false">IF(OR(V164="判定不能",M164="判定不能"),"判定不能",IF(AM164&gt;=判定条件!$C$9,"利用可",IF(AND(V164="停止",M164="停止"),"両方停止","運転がそろわない")))</f>
        <v>利用可</v>
      </c>
      <c r="AO164" s="30" t="n">
        <v>60</v>
      </c>
      <c r="AP164" s="30" t="n">
        <v>60</v>
      </c>
      <c r="AQ164" s="30" t="str">
        <f aca="false">IF(OR(Y164="判定不能",G164="判定不能"),"判定不能",IF(AP164&gt;=判定条件!$C$9,"利用可",IF(AND(Y164="停止",G164="停止"),"両方停止","運転がそろわない")))</f>
        <v>利用可</v>
      </c>
      <c r="AR164" s="30" t="n">
        <v>60</v>
      </c>
      <c r="AS164" s="30" t="n">
        <v>41</v>
      </c>
      <c r="AT164" s="30" t="str">
        <f aca="false">IF(OR(AB164="判定不能",J164="判定不能"),"判定不能",IF(AS164&gt;=判定条件!$C$9,"利用可",IF(AND(AB164="停止",J164="停止"),"両方停止","運転がそろわない")))</f>
        <v>利用可</v>
      </c>
      <c r="AU164" s="30" t="n">
        <v>60</v>
      </c>
      <c r="AV164" s="30" t="n">
        <v>44</v>
      </c>
      <c r="AW164" s="30" t="str">
        <f aca="false">IF(OR(AE164="判定不能",M164="判定不能"),"判定不能",IF(AV164&gt;=判定条件!$C$9,"利用可",IF(AND(AE164="停止",M164="停止"),"両方停止","運転がそろわない")))</f>
        <v>利用可</v>
      </c>
      <c r="AX164" s="30" t="str">
        <f aca="false">IF(AND(AH164="利用可",AK164="利用可",AN164="利用可"),"利用可","不可")</f>
        <v>利用可</v>
      </c>
      <c r="AY164" s="30" t="str">
        <f aca="false">IF(AND(AQ164="利用可",AT164="利用可",AW164="利用可"),"利用可","不可")</f>
        <v>利用可</v>
      </c>
    </row>
    <row r="165" customFormat="false" ht="15" hidden="false" customHeight="false" outlineLevel="0" collapsed="false">
      <c r="A165" s="29" t="n">
        <v>46238</v>
      </c>
      <c r="B165" s="30" t="n">
        <v>18</v>
      </c>
      <c r="C165" s="31" t="s">
        <v>67</v>
      </c>
      <c r="D165" s="31" t="s">
        <v>59</v>
      </c>
      <c r="E165" s="30" t="n">
        <v>60</v>
      </c>
      <c r="F165" s="30" t="n">
        <v>60</v>
      </c>
      <c r="G165" s="30" t="str">
        <f aca="false">IF(E165&lt;判定条件!$C$6,"判定不能",IF(F165&gt;=判定条件!$C$7*E165,"運転",IF(F165&lt;=判定条件!$C$8*E165,"停止","断続")))</f>
        <v>運転</v>
      </c>
      <c r="H165" s="30" t="n">
        <v>60</v>
      </c>
      <c r="I165" s="30" t="n">
        <v>60</v>
      </c>
      <c r="J165" s="30" t="str">
        <f aca="false">IF(H165&lt;判定条件!$C$6,"判定不能",IF(I165&gt;=判定条件!$C$7*H165,"運転",IF(I165&lt;=判定条件!$C$8*H165,"停止","断続")))</f>
        <v>運転</v>
      </c>
      <c r="K165" s="30" t="n">
        <v>60</v>
      </c>
      <c r="L165" s="30" t="n">
        <v>60</v>
      </c>
      <c r="M165" s="30" t="str">
        <f aca="false">IF(K165&lt;判定条件!$C$6,"判定不能",IF(L165&gt;=判定条件!$C$7*K165,"運転",IF(L165&lt;=判定条件!$C$8*K165,"停止","断続")))</f>
        <v>運転</v>
      </c>
      <c r="N165" s="30" t="n">
        <v>60</v>
      </c>
      <c r="O165" s="30" t="n">
        <v>2</v>
      </c>
      <c r="P165" s="30" t="str">
        <f aca="false">IF(N165&lt;判定条件!$C$6,"判定不能",IF(O165&gt;=判定条件!$C$7*N165,"運転",IF(O165&lt;=判定条件!$C$8*N165,"停止","断続")))</f>
        <v>停止</v>
      </c>
      <c r="Q165" s="30" t="n">
        <v>60</v>
      </c>
      <c r="R165" s="30" t="n">
        <v>26</v>
      </c>
      <c r="S165" s="30" t="str">
        <f aca="false">IF(Q165&lt;判定条件!$C$6,"判定不能",IF(R165&gt;=判定条件!$C$7*Q165,"運転",IF(R165&lt;=判定条件!$C$8*Q165,"停止","断続")))</f>
        <v>断続</v>
      </c>
      <c r="T165" s="30" t="n">
        <v>60</v>
      </c>
      <c r="U165" s="30" t="n">
        <v>24</v>
      </c>
      <c r="V165" s="30" t="str">
        <f aca="false">IF(T165&lt;判定条件!$C$6,"判定不能",IF(U165&gt;=判定条件!$C$7*T165,"運転",IF(U165&lt;=判定条件!$C$8*T165,"停止","断続")))</f>
        <v>断続</v>
      </c>
      <c r="W165" s="30" t="n">
        <v>60</v>
      </c>
      <c r="X165" s="30" t="n">
        <v>46</v>
      </c>
      <c r="Y165" s="30" t="str">
        <f aca="false">IF(W165&lt;判定条件!$C$6,"判定不能",IF(X165&gt;=判定条件!$C$7*W165,"運転",IF(X165&lt;=判定条件!$C$8*W165,"停止","断続")))</f>
        <v>断続</v>
      </c>
      <c r="Z165" s="30" t="n">
        <v>60</v>
      </c>
      <c r="AA165" s="30" t="n">
        <v>43</v>
      </c>
      <c r="AB165" s="30" t="str">
        <f aca="false">IF(Z165&lt;判定条件!$C$6,"判定不能",IF(AA165&gt;=判定条件!$C$7*Z165,"運転",IF(AA165&lt;=判定条件!$C$8*Z165,"停止","断続")))</f>
        <v>断続</v>
      </c>
      <c r="AC165" s="30" t="n">
        <v>60</v>
      </c>
      <c r="AD165" s="30" t="n">
        <v>47</v>
      </c>
      <c r="AE165" s="30" t="str">
        <f aca="false">IF(AC165&lt;判定条件!$C$6,"判定不能",IF(AD165&gt;=判定条件!$C$7*AC165,"運転",IF(AD165&lt;=判定条件!$C$8*AC165,"停止","断続")))</f>
        <v>断続</v>
      </c>
      <c r="AF165" s="30" t="n">
        <v>60</v>
      </c>
      <c r="AG165" s="30" t="n">
        <v>2</v>
      </c>
      <c r="AH165" s="30" t="str">
        <f aca="false">IF(OR(P165="判定不能",G165="判定不能"),"判定不能",IF(AG165&gt;=判定条件!$C$9,"利用可",IF(AND(P165="停止",G165="停止"),"両方停止","運転がそろわない")))</f>
        <v>運転がそろわない</v>
      </c>
      <c r="AI165" s="30" t="n">
        <v>60</v>
      </c>
      <c r="AJ165" s="30" t="n">
        <v>26</v>
      </c>
      <c r="AK165" s="30" t="str">
        <f aca="false">IF(OR(S165="判定不能",J165="判定不能"),"判定不能",IF(AJ165&gt;=判定条件!$C$9,"利用可",IF(AND(S165="停止",J165="停止"),"両方停止","運転がそろわない")))</f>
        <v>運転がそろわない</v>
      </c>
      <c r="AL165" s="30" t="n">
        <v>60</v>
      </c>
      <c r="AM165" s="30" t="n">
        <v>24</v>
      </c>
      <c r="AN165" s="30" t="str">
        <f aca="false">IF(OR(V165="判定不能",M165="判定不能"),"判定不能",IF(AM165&gt;=判定条件!$C$9,"利用可",IF(AND(V165="停止",M165="停止"),"両方停止","運転がそろわない")))</f>
        <v>運転がそろわない</v>
      </c>
      <c r="AO165" s="30" t="n">
        <v>60</v>
      </c>
      <c r="AP165" s="30" t="n">
        <v>46</v>
      </c>
      <c r="AQ165" s="30" t="str">
        <f aca="false">IF(OR(Y165="判定不能",G165="判定不能"),"判定不能",IF(AP165&gt;=判定条件!$C$9,"利用可",IF(AND(Y165="停止",G165="停止"),"両方停止","運転がそろわない")))</f>
        <v>利用可</v>
      </c>
      <c r="AR165" s="30" t="n">
        <v>60</v>
      </c>
      <c r="AS165" s="30" t="n">
        <v>43</v>
      </c>
      <c r="AT165" s="30" t="str">
        <f aca="false">IF(OR(AB165="判定不能",J165="判定不能"),"判定不能",IF(AS165&gt;=判定条件!$C$9,"利用可",IF(AND(AB165="停止",J165="停止"),"両方停止","運転がそろわない")))</f>
        <v>利用可</v>
      </c>
      <c r="AU165" s="30" t="n">
        <v>60</v>
      </c>
      <c r="AV165" s="30" t="n">
        <v>47</v>
      </c>
      <c r="AW165" s="30" t="str">
        <f aca="false">IF(OR(AE165="判定不能",M165="判定不能"),"判定不能",IF(AV165&gt;=判定条件!$C$9,"利用可",IF(AND(AE165="停止",M165="停止"),"両方停止","運転がそろわない")))</f>
        <v>利用可</v>
      </c>
      <c r="AX165" s="30" t="str">
        <f aca="false">IF(AND(AH165="利用可",AK165="利用可",AN165="利用可"),"利用可","不可")</f>
        <v>不可</v>
      </c>
      <c r="AY165" s="30" t="str">
        <f aca="false">IF(AND(AQ165="利用可",AT165="利用可",AW165="利用可"),"利用可","不可")</f>
        <v>利用可</v>
      </c>
    </row>
    <row r="166" customFormat="false" ht="15" hidden="false" customHeight="false" outlineLevel="0" collapsed="false">
      <c r="A166" s="29" t="n">
        <v>46238</v>
      </c>
      <c r="B166" s="30" t="n">
        <v>19</v>
      </c>
      <c r="C166" s="31" t="s">
        <v>67</v>
      </c>
      <c r="D166" s="31" t="s">
        <v>59</v>
      </c>
      <c r="E166" s="30" t="n">
        <v>60</v>
      </c>
      <c r="F166" s="30" t="n">
        <v>60</v>
      </c>
      <c r="G166" s="30" t="str">
        <f aca="false">IF(E166&lt;判定条件!$C$6,"判定不能",IF(F166&gt;=判定条件!$C$7*E166,"運転",IF(F166&lt;=判定条件!$C$8*E166,"停止","断続")))</f>
        <v>運転</v>
      </c>
      <c r="H166" s="30" t="n">
        <v>60</v>
      </c>
      <c r="I166" s="30" t="n">
        <v>60</v>
      </c>
      <c r="J166" s="30" t="str">
        <f aca="false">IF(H166&lt;判定条件!$C$6,"判定不能",IF(I166&gt;=判定条件!$C$7*H166,"運転",IF(I166&lt;=判定条件!$C$8*H166,"停止","断続")))</f>
        <v>運転</v>
      </c>
      <c r="K166" s="30" t="n">
        <v>60</v>
      </c>
      <c r="L166" s="30" t="n">
        <v>60</v>
      </c>
      <c r="M166" s="30" t="str">
        <f aca="false">IF(K166&lt;判定条件!$C$6,"判定不能",IF(L166&gt;=判定条件!$C$7*K166,"運転",IF(L166&lt;=判定条件!$C$8*K166,"停止","断続")))</f>
        <v>運転</v>
      </c>
      <c r="N166" s="30" t="n">
        <v>60</v>
      </c>
      <c r="O166" s="30" t="n">
        <v>0</v>
      </c>
      <c r="P166" s="30" t="str">
        <f aca="false">IF(N166&lt;判定条件!$C$6,"判定不能",IF(O166&gt;=判定条件!$C$7*N166,"運転",IF(O166&lt;=判定条件!$C$8*N166,"停止","断続")))</f>
        <v>停止</v>
      </c>
      <c r="Q166" s="30" t="n">
        <v>60</v>
      </c>
      <c r="R166" s="30" t="n">
        <v>27</v>
      </c>
      <c r="S166" s="30" t="str">
        <f aca="false">IF(Q166&lt;判定条件!$C$6,"判定不能",IF(R166&gt;=判定条件!$C$7*Q166,"運転",IF(R166&lt;=判定条件!$C$8*Q166,"停止","断続")))</f>
        <v>断続</v>
      </c>
      <c r="T166" s="30" t="n">
        <v>60</v>
      </c>
      <c r="U166" s="30" t="n">
        <v>42</v>
      </c>
      <c r="V166" s="30" t="str">
        <f aca="false">IF(T166&lt;判定条件!$C$6,"判定不能",IF(U166&gt;=判定条件!$C$7*T166,"運転",IF(U166&lt;=判定条件!$C$8*T166,"停止","断続")))</f>
        <v>断続</v>
      </c>
      <c r="W166" s="30" t="n">
        <v>60</v>
      </c>
      <c r="X166" s="30" t="n">
        <v>21</v>
      </c>
      <c r="Y166" s="30" t="str">
        <f aca="false">IF(W166&lt;判定条件!$C$6,"判定不能",IF(X166&gt;=判定条件!$C$7*W166,"運転",IF(X166&lt;=判定条件!$C$8*W166,"停止","断続")))</f>
        <v>断続</v>
      </c>
      <c r="Z166" s="30" t="n">
        <v>60</v>
      </c>
      <c r="AA166" s="30" t="n">
        <v>9</v>
      </c>
      <c r="AB166" s="30" t="str">
        <f aca="false">IF(Z166&lt;判定条件!$C$6,"判定不能",IF(AA166&gt;=判定条件!$C$7*Z166,"運転",IF(AA166&lt;=判定条件!$C$8*Z166,"停止","断続")))</f>
        <v>停止</v>
      </c>
      <c r="AC166" s="30" t="n">
        <v>60</v>
      </c>
      <c r="AD166" s="30" t="n">
        <v>0</v>
      </c>
      <c r="AE166" s="30" t="str">
        <f aca="false">IF(AC166&lt;判定条件!$C$6,"判定不能",IF(AD166&gt;=判定条件!$C$7*AC166,"運転",IF(AD166&lt;=判定条件!$C$8*AC166,"停止","断続")))</f>
        <v>停止</v>
      </c>
      <c r="AF166" s="30" t="n">
        <v>60</v>
      </c>
      <c r="AG166" s="30" t="n">
        <v>0</v>
      </c>
      <c r="AH166" s="30" t="str">
        <f aca="false">IF(OR(P166="判定不能",G166="判定不能"),"判定不能",IF(AG166&gt;=判定条件!$C$9,"利用可",IF(AND(P166="停止",G166="停止"),"両方停止","運転がそろわない")))</f>
        <v>運転がそろわない</v>
      </c>
      <c r="AI166" s="30" t="n">
        <v>60</v>
      </c>
      <c r="AJ166" s="30" t="n">
        <v>27</v>
      </c>
      <c r="AK166" s="30" t="str">
        <f aca="false">IF(OR(S166="判定不能",J166="判定不能"),"判定不能",IF(AJ166&gt;=判定条件!$C$9,"利用可",IF(AND(S166="停止",J166="停止"),"両方停止","運転がそろわない")))</f>
        <v>運転がそろわない</v>
      </c>
      <c r="AL166" s="30" t="n">
        <v>60</v>
      </c>
      <c r="AM166" s="30" t="n">
        <v>42</v>
      </c>
      <c r="AN166" s="30" t="str">
        <f aca="false">IF(OR(V166="判定不能",M166="判定不能"),"判定不能",IF(AM166&gt;=判定条件!$C$9,"利用可",IF(AND(V166="停止",M166="停止"),"両方停止","運転がそろわない")))</f>
        <v>利用可</v>
      </c>
      <c r="AO166" s="30" t="n">
        <v>60</v>
      </c>
      <c r="AP166" s="30" t="n">
        <v>21</v>
      </c>
      <c r="AQ166" s="30" t="str">
        <f aca="false">IF(OR(Y166="判定不能",G166="判定不能"),"判定不能",IF(AP166&gt;=判定条件!$C$9,"利用可",IF(AND(Y166="停止",G166="停止"),"両方停止","運転がそろわない")))</f>
        <v>運転がそろわない</v>
      </c>
      <c r="AR166" s="30" t="n">
        <v>60</v>
      </c>
      <c r="AS166" s="30" t="n">
        <v>9</v>
      </c>
      <c r="AT166" s="30" t="str">
        <f aca="false">IF(OR(AB166="判定不能",J166="判定不能"),"判定不能",IF(AS166&gt;=判定条件!$C$9,"利用可",IF(AND(AB166="停止",J166="停止"),"両方停止","運転がそろわない")))</f>
        <v>運転がそろわない</v>
      </c>
      <c r="AU166" s="30" t="n">
        <v>60</v>
      </c>
      <c r="AV166" s="30" t="n">
        <v>0</v>
      </c>
      <c r="AW166" s="30" t="str">
        <f aca="false">IF(OR(AE166="判定不能",M166="判定不能"),"判定不能",IF(AV166&gt;=判定条件!$C$9,"利用可",IF(AND(AE166="停止",M166="停止"),"両方停止","運転がそろわない")))</f>
        <v>運転がそろわない</v>
      </c>
      <c r="AX166" s="30" t="str">
        <f aca="false">IF(AND(AH166="利用可",AK166="利用可",AN166="利用可"),"利用可","不可")</f>
        <v>不可</v>
      </c>
      <c r="AY166" s="30" t="str">
        <f aca="false">IF(AND(AQ166="利用可",AT166="利用可",AW166="利用可"),"利用可","不可")</f>
        <v>不可</v>
      </c>
    </row>
    <row r="167" customFormat="false" ht="15" hidden="false" customHeight="false" outlineLevel="0" collapsed="false">
      <c r="A167" s="29" t="n">
        <v>46238</v>
      </c>
      <c r="B167" s="30" t="n">
        <v>20</v>
      </c>
      <c r="C167" s="31" t="s">
        <v>67</v>
      </c>
      <c r="D167" s="31" t="s">
        <v>59</v>
      </c>
      <c r="E167" s="30" t="n">
        <v>60</v>
      </c>
      <c r="F167" s="30" t="n">
        <v>34</v>
      </c>
      <c r="G167" s="30" t="str">
        <f aca="false">IF(E167&lt;判定条件!$C$6,"判定不能",IF(F167&gt;=判定条件!$C$7*E167,"運転",IF(F167&lt;=判定条件!$C$8*E167,"停止","断続")))</f>
        <v>断続</v>
      </c>
      <c r="H167" s="30" t="n">
        <v>60</v>
      </c>
      <c r="I167" s="30" t="n">
        <v>34</v>
      </c>
      <c r="J167" s="30" t="str">
        <f aca="false">IF(H167&lt;判定条件!$C$6,"判定不能",IF(I167&gt;=判定条件!$C$7*H167,"運転",IF(I167&lt;=判定条件!$C$8*H167,"停止","断続")))</f>
        <v>断続</v>
      </c>
      <c r="K167" s="30" t="n">
        <v>60</v>
      </c>
      <c r="L167" s="30" t="n">
        <v>60</v>
      </c>
      <c r="M167" s="30" t="str">
        <f aca="false">IF(K167&lt;判定条件!$C$6,"判定不能",IF(L167&gt;=判定条件!$C$7*K167,"運転",IF(L167&lt;=判定条件!$C$8*K167,"停止","断続")))</f>
        <v>運転</v>
      </c>
      <c r="N167" s="30" t="n">
        <v>60</v>
      </c>
      <c r="O167" s="30" t="n">
        <v>14</v>
      </c>
      <c r="P167" s="30" t="str">
        <f aca="false">IF(N167&lt;判定条件!$C$6,"判定不能",IF(O167&gt;=判定条件!$C$7*N167,"運転",IF(O167&lt;=判定条件!$C$8*N167,"停止","断続")))</f>
        <v>断続</v>
      </c>
      <c r="Q167" s="30" t="n">
        <v>60</v>
      </c>
      <c r="R167" s="30" t="n">
        <v>8</v>
      </c>
      <c r="S167" s="30" t="str">
        <f aca="false">IF(Q167&lt;判定条件!$C$6,"判定不能",IF(R167&gt;=判定条件!$C$7*Q167,"運転",IF(R167&lt;=判定条件!$C$8*Q167,"停止","断続")))</f>
        <v>停止</v>
      </c>
      <c r="T167" s="30" t="n">
        <v>60</v>
      </c>
      <c r="U167" s="30" t="n">
        <v>14</v>
      </c>
      <c r="V167" s="30" t="str">
        <f aca="false">IF(T167&lt;判定条件!$C$6,"判定不能",IF(U167&gt;=判定条件!$C$7*T167,"運転",IF(U167&lt;=判定条件!$C$8*T167,"停止","断続")))</f>
        <v>断続</v>
      </c>
      <c r="W167" s="30" t="n">
        <v>60</v>
      </c>
      <c r="X167" s="30" t="n">
        <v>0</v>
      </c>
      <c r="Y167" s="30" t="str">
        <f aca="false">IF(W167&lt;判定条件!$C$6,"判定不能",IF(X167&gt;=判定条件!$C$7*W167,"運転",IF(X167&lt;=判定条件!$C$8*W167,"停止","断続")))</f>
        <v>停止</v>
      </c>
      <c r="Z167" s="30" t="n">
        <v>60</v>
      </c>
      <c r="AA167" s="30" t="n">
        <v>0</v>
      </c>
      <c r="AB167" s="30" t="str">
        <f aca="false">IF(Z167&lt;判定条件!$C$6,"判定不能",IF(AA167&gt;=判定条件!$C$7*Z167,"運転",IF(AA167&lt;=判定条件!$C$8*Z167,"停止","断続")))</f>
        <v>停止</v>
      </c>
      <c r="AC167" s="30" t="n">
        <v>60</v>
      </c>
      <c r="AD167" s="30" t="n">
        <v>0</v>
      </c>
      <c r="AE167" s="30" t="str">
        <f aca="false">IF(AC167&lt;判定条件!$C$6,"判定不能",IF(AD167&gt;=判定条件!$C$7*AC167,"運転",IF(AD167&lt;=判定条件!$C$8*AC167,"停止","断続")))</f>
        <v>停止</v>
      </c>
      <c r="AF167" s="30" t="n">
        <v>60</v>
      </c>
      <c r="AG167" s="30" t="n">
        <v>0</v>
      </c>
      <c r="AH167" s="30" t="str">
        <f aca="false">IF(OR(P167="判定不能",G167="判定不能"),"判定不能",IF(AG167&gt;=判定条件!$C$9,"利用可",IF(AND(P167="停止",G167="停止"),"両方停止","運転がそろわない")))</f>
        <v>運転がそろわない</v>
      </c>
      <c r="AI167" s="30" t="n">
        <v>60</v>
      </c>
      <c r="AJ167" s="30" t="n">
        <v>8</v>
      </c>
      <c r="AK167" s="30" t="str">
        <f aca="false">IF(OR(S167="判定不能",J167="判定不能"),"判定不能",IF(AJ167&gt;=判定条件!$C$9,"利用可",IF(AND(S167="停止",J167="停止"),"両方停止","運転がそろわない")))</f>
        <v>運転がそろわない</v>
      </c>
      <c r="AL167" s="30" t="n">
        <v>60</v>
      </c>
      <c r="AM167" s="30" t="n">
        <v>14</v>
      </c>
      <c r="AN167" s="30" t="str">
        <f aca="false">IF(OR(V167="判定不能",M167="判定不能"),"判定不能",IF(AM167&gt;=判定条件!$C$9,"利用可",IF(AND(V167="停止",M167="停止"),"両方停止","運転がそろわない")))</f>
        <v>運転がそろわない</v>
      </c>
      <c r="AO167" s="30" t="n">
        <v>60</v>
      </c>
      <c r="AP167" s="30" t="n">
        <v>0</v>
      </c>
      <c r="AQ167" s="30" t="str">
        <f aca="false">IF(OR(Y167="判定不能",G167="判定不能"),"判定不能",IF(AP167&gt;=判定条件!$C$9,"利用可",IF(AND(Y167="停止",G167="停止"),"両方停止","運転がそろわない")))</f>
        <v>運転がそろわない</v>
      </c>
      <c r="AR167" s="30" t="n">
        <v>60</v>
      </c>
      <c r="AS167" s="30" t="n">
        <v>0</v>
      </c>
      <c r="AT167" s="30" t="str">
        <f aca="false">IF(OR(AB167="判定不能",J167="判定不能"),"判定不能",IF(AS167&gt;=判定条件!$C$9,"利用可",IF(AND(AB167="停止",J167="停止"),"両方停止","運転がそろわない")))</f>
        <v>運転がそろわない</v>
      </c>
      <c r="AU167" s="30" t="n">
        <v>60</v>
      </c>
      <c r="AV167" s="30" t="n">
        <v>0</v>
      </c>
      <c r="AW167" s="30" t="str">
        <f aca="false">IF(OR(AE167="判定不能",M167="判定不能"),"判定不能",IF(AV167&gt;=判定条件!$C$9,"利用可",IF(AND(AE167="停止",M167="停止"),"両方停止","運転がそろわない")))</f>
        <v>運転がそろわない</v>
      </c>
      <c r="AX167" s="30" t="str">
        <f aca="false">IF(AND(AH167="利用可",AK167="利用可",AN167="利用可"),"利用可","不可")</f>
        <v>不可</v>
      </c>
      <c r="AY167" s="30" t="str">
        <f aca="false">IF(AND(AQ167="利用可",AT167="利用可",AW167="利用可"),"利用可","不可")</f>
        <v>不可</v>
      </c>
    </row>
    <row r="168" customFormat="false" ht="15" hidden="false" customHeight="false" outlineLevel="0" collapsed="false">
      <c r="A168" s="29" t="n">
        <v>46238</v>
      </c>
      <c r="B168" s="30" t="n">
        <v>21</v>
      </c>
      <c r="C168" s="31" t="s">
        <v>67</v>
      </c>
      <c r="D168" s="31" t="s">
        <v>59</v>
      </c>
      <c r="E168" s="30" t="n">
        <v>60</v>
      </c>
      <c r="F168" s="30" t="n">
        <v>0</v>
      </c>
      <c r="G168" s="30" t="str">
        <f aca="false">IF(E168&lt;判定条件!$C$6,"判定不能",IF(F168&gt;=判定条件!$C$7*E168,"運転",IF(F168&lt;=判定条件!$C$8*E168,"停止","断続")))</f>
        <v>停止</v>
      </c>
      <c r="H168" s="30" t="n">
        <v>60</v>
      </c>
      <c r="I168" s="30" t="n">
        <v>0</v>
      </c>
      <c r="J168" s="30" t="str">
        <f aca="false">IF(H168&lt;判定条件!$C$6,"判定不能",IF(I168&gt;=判定条件!$C$7*H168,"運転",IF(I168&lt;=判定条件!$C$8*H168,"停止","断続")))</f>
        <v>停止</v>
      </c>
      <c r="K168" s="30" t="n">
        <v>60</v>
      </c>
      <c r="L168" s="30" t="n">
        <v>60</v>
      </c>
      <c r="M168" s="30" t="str">
        <f aca="false">IF(K168&lt;判定条件!$C$6,"判定不能",IF(L168&gt;=判定条件!$C$7*K168,"運転",IF(L168&lt;=判定条件!$C$8*K168,"停止","断続")))</f>
        <v>運転</v>
      </c>
      <c r="N168" s="30" t="n">
        <v>60</v>
      </c>
      <c r="O168" s="30" t="n">
        <v>53</v>
      </c>
      <c r="P168" s="30" t="str">
        <f aca="false">IF(N168&lt;判定条件!$C$6,"判定不能",IF(O168&gt;=判定条件!$C$7*N168,"運転",IF(O168&lt;=判定条件!$C$8*N168,"停止","断続")))</f>
        <v>運転</v>
      </c>
      <c r="Q168" s="30" t="n">
        <v>60</v>
      </c>
      <c r="R168" s="30" t="n">
        <v>0</v>
      </c>
      <c r="S168" s="30" t="str">
        <f aca="false">IF(Q168&lt;判定条件!$C$6,"判定不能",IF(R168&gt;=判定条件!$C$7*Q168,"運転",IF(R168&lt;=判定条件!$C$8*Q168,"停止","断続")))</f>
        <v>停止</v>
      </c>
      <c r="T168" s="30" t="n">
        <v>60</v>
      </c>
      <c r="U168" s="30" t="n">
        <v>0</v>
      </c>
      <c r="V168" s="30" t="str">
        <f aca="false">IF(T168&lt;判定条件!$C$6,"判定不能",IF(U168&gt;=判定条件!$C$7*T168,"運転",IF(U168&lt;=判定条件!$C$8*T168,"停止","断続")))</f>
        <v>停止</v>
      </c>
      <c r="W168" s="30" t="n">
        <v>60</v>
      </c>
      <c r="X168" s="30" t="n">
        <v>0</v>
      </c>
      <c r="Y168" s="30" t="str">
        <f aca="false">IF(W168&lt;判定条件!$C$6,"判定不能",IF(X168&gt;=判定条件!$C$7*W168,"運転",IF(X168&lt;=判定条件!$C$8*W168,"停止","断続")))</f>
        <v>停止</v>
      </c>
      <c r="Z168" s="30" t="n">
        <v>60</v>
      </c>
      <c r="AA168" s="30" t="n">
        <v>0</v>
      </c>
      <c r="AB168" s="30" t="str">
        <f aca="false">IF(Z168&lt;判定条件!$C$6,"判定不能",IF(AA168&gt;=判定条件!$C$7*Z168,"運転",IF(AA168&lt;=判定条件!$C$8*Z168,"停止","断続")))</f>
        <v>停止</v>
      </c>
      <c r="AC168" s="30" t="n">
        <v>60</v>
      </c>
      <c r="AD168" s="30" t="n">
        <v>0</v>
      </c>
      <c r="AE168" s="30" t="str">
        <f aca="false">IF(AC168&lt;判定条件!$C$6,"判定不能",IF(AD168&gt;=判定条件!$C$7*AC168,"運転",IF(AD168&lt;=判定条件!$C$8*AC168,"停止","断続")))</f>
        <v>停止</v>
      </c>
      <c r="AF168" s="30" t="n">
        <v>60</v>
      </c>
      <c r="AG168" s="30" t="n">
        <v>0</v>
      </c>
      <c r="AH168" s="30" t="str">
        <f aca="false">IF(OR(P168="判定不能",G168="判定不能"),"判定不能",IF(AG168&gt;=判定条件!$C$9,"利用可",IF(AND(P168="停止",G168="停止"),"両方停止","運転がそろわない")))</f>
        <v>運転がそろわない</v>
      </c>
      <c r="AI168" s="30" t="n">
        <v>60</v>
      </c>
      <c r="AJ168" s="30" t="n">
        <v>0</v>
      </c>
      <c r="AK168" s="30" t="str">
        <f aca="false">IF(OR(S168="判定不能",J168="判定不能"),"判定不能",IF(AJ168&gt;=判定条件!$C$9,"利用可",IF(AND(S168="停止",J168="停止"),"両方停止","運転がそろわない")))</f>
        <v>両方停止</v>
      </c>
      <c r="AL168" s="30" t="n">
        <v>60</v>
      </c>
      <c r="AM168" s="30" t="n">
        <v>0</v>
      </c>
      <c r="AN168" s="30" t="str">
        <f aca="false">IF(OR(V168="判定不能",M168="判定不能"),"判定不能",IF(AM168&gt;=判定条件!$C$9,"利用可",IF(AND(V168="停止",M168="停止"),"両方停止","運転がそろわない")))</f>
        <v>運転がそろわない</v>
      </c>
      <c r="AO168" s="30" t="n">
        <v>60</v>
      </c>
      <c r="AP168" s="30" t="n">
        <v>0</v>
      </c>
      <c r="AQ168" s="30" t="str">
        <f aca="false">IF(OR(Y168="判定不能",G168="判定不能"),"判定不能",IF(AP168&gt;=判定条件!$C$9,"利用可",IF(AND(Y168="停止",G168="停止"),"両方停止","運転がそろわない")))</f>
        <v>両方停止</v>
      </c>
      <c r="AR168" s="30" t="n">
        <v>60</v>
      </c>
      <c r="AS168" s="30" t="n">
        <v>0</v>
      </c>
      <c r="AT168" s="30" t="str">
        <f aca="false">IF(OR(AB168="判定不能",J168="判定不能"),"判定不能",IF(AS168&gt;=判定条件!$C$9,"利用可",IF(AND(AB168="停止",J168="停止"),"両方停止","運転がそろわない")))</f>
        <v>両方停止</v>
      </c>
      <c r="AU168" s="30" t="n">
        <v>60</v>
      </c>
      <c r="AV168" s="30" t="n">
        <v>0</v>
      </c>
      <c r="AW168" s="30" t="str">
        <f aca="false">IF(OR(AE168="判定不能",M168="判定不能"),"判定不能",IF(AV168&gt;=判定条件!$C$9,"利用可",IF(AND(AE168="停止",M168="停止"),"両方停止","運転がそろわない")))</f>
        <v>運転がそろわない</v>
      </c>
      <c r="AX168" s="30" t="str">
        <f aca="false">IF(AND(AH168="利用可",AK168="利用可",AN168="利用可"),"利用可","不可")</f>
        <v>不可</v>
      </c>
      <c r="AY168" s="30" t="str">
        <f aca="false">IF(AND(AQ168="利用可",AT168="利用可",AW168="利用可"),"利用可","不可")</f>
        <v>不可</v>
      </c>
    </row>
    <row r="169" customFormat="false" ht="15" hidden="false" customHeight="false" outlineLevel="0" collapsed="false">
      <c r="A169" s="29" t="n">
        <v>46238</v>
      </c>
      <c r="B169" s="30" t="n">
        <v>22</v>
      </c>
      <c r="C169" s="31" t="s">
        <v>67</v>
      </c>
      <c r="D169" s="31" t="s">
        <v>59</v>
      </c>
      <c r="E169" s="30" t="n">
        <v>60</v>
      </c>
      <c r="F169" s="30" t="n">
        <v>0</v>
      </c>
      <c r="G169" s="30" t="str">
        <f aca="false">IF(E169&lt;判定条件!$C$6,"判定不能",IF(F169&gt;=判定条件!$C$7*E169,"運転",IF(F169&lt;=判定条件!$C$8*E169,"停止","断続")))</f>
        <v>停止</v>
      </c>
      <c r="H169" s="30" t="n">
        <v>60</v>
      </c>
      <c r="I169" s="30" t="n">
        <v>0</v>
      </c>
      <c r="J169" s="30" t="str">
        <f aca="false">IF(H169&lt;判定条件!$C$6,"判定不能",IF(I169&gt;=判定条件!$C$7*H169,"運転",IF(I169&lt;=判定条件!$C$8*H169,"停止","断続")))</f>
        <v>停止</v>
      </c>
      <c r="K169" s="30" t="n">
        <v>60</v>
      </c>
      <c r="L169" s="30" t="n">
        <v>60</v>
      </c>
      <c r="M169" s="30" t="str">
        <f aca="false">IF(K169&lt;判定条件!$C$6,"判定不能",IF(L169&gt;=判定条件!$C$7*K169,"運転",IF(L169&lt;=判定条件!$C$8*K169,"停止","断続")))</f>
        <v>運転</v>
      </c>
      <c r="N169" s="30" t="n">
        <v>60</v>
      </c>
      <c r="O169" s="30" t="n">
        <v>0</v>
      </c>
      <c r="P169" s="30" t="str">
        <f aca="false">IF(N169&lt;判定条件!$C$6,"判定不能",IF(O169&gt;=判定条件!$C$7*N169,"運転",IF(O169&lt;=判定条件!$C$8*N169,"停止","断続")))</f>
        <v>停止</v>
      </c>
      <c r="Q169" s="30" t="n">
        <v>60</v>
      </c>
      <c r="R169" s="30" t="n">
        <v>0</v>
      </c>
      <c r="S169" s="30" t="str">
        <f aca="false">IF(Q169&lt;判定条件!$C$6,"判定不能",IF(R169&gt;=判定条件!$C$7*Q169,"運転",IF(R169&lt;=判定条件!$C$8*Q169,"停止","断続")))</f>
        <v>停止</v>
      </c>
      <c r="T169" s="30" t="n">
        <v>60</v>
      </c>
      <c r="U169" s="30" t="n">
        <v>0</v>
      </c>
      <c r="V169" s="30" t="str">
        <f aca="false">IF(T169&lt;判定条件!$C$6,"判定不能",IF(U169&gt;=判定条件!$C$7*T169,"運転",IF(U169&lt;=判定条件!$C$8*T169,"停止","断続")))</f>
        <v>停止</v>
      </c>
      <c r="W169" s="30" t="n">
        <v>60</v>
      </c>
      <c r="X169" s="30" t="n">
        <v>0</v>
      </c>
      <c r="Y169" s="30" t="str">
        <f aca="false">IF(W169&lt;判定条件!$C$6,"判定不能",IF(X169&gt;=判定条件!$C$7*W169,"運転",IF(X169&lt;=判定条件!$C$8*W169,"停止","断続")))</f>
        <v>停止</v>
      </c>
      <c r="Z169" s="30" t="n">
        <v>60</v>
      </c>
      <c r="AA169" s="30" t="n">
        <v>0</v>
      </c>
      <c r="AB169" s="30" t="str">
        <f aca="false">IF(Z169&lt;判定条件!$C$6,"判定不能",IF(AA169&gt;=判定条件!$C$7*Z169,"運転",IF(AA169&lt;=判定条件!$C$8*Z169,"停止","断続")))</f>
        <v>停止</v>
      </c>
      <c r="AC169" s="30" t="n">
        <v>60</v>
      </c>
      <c r="AD169" s="30" t="n">
        <v>0</v>
      </c>
      <c r="AE169" s="30" t="str">
        <f aca="false">IF(AC169&lt;判定条件!$C$6,"判定不能",IF(AD169&gt;=判定条件!$C$7*AC169,"運転",IF(AD169&lt;=判定条件!$C$8*AC169,"停止","断続")))</f>
        <v>停止</v>
      </c>
      <c r="AF169" s="30" t="n">
        <v>60</v>
      </c>
      <c r="AG169" s="30" t="n">
        <v>0</v>
      </c>
      <c r="AH169" s="30" t="str">
        <f aca="false">IF(OR(P169="判定不能",G169="判定不能"),"判定不能",IF(AG169&gt;=判定条件!$C$9,"利用可",IF(AND(P169="停止",G169="停止"),"両方停止","運転がそろわない")))</f>
        <v>両方停止</v>
      </c>
      <c r="AI169" s="30" t="n">
        <v>60</v>
      </c>
      <c r="AJ169" s="30" t="n">
        <v>0</v>
      </c>
      <c r="AK169" s="30" t="str">
        <f aca="false">IF(OR(S169="判定不能",J169="判定不能"),"判定不能",IF(AJ169&gt;=判定条件!$C$9,"利用可",IF(AND(S169="停止",J169="停止"),"両方停止","運転がそろわない")))</f>
        <v>両方停止</v>
      </c>
      <c r="AL169" s="30" t="n">
        <v>60</v>
      </c>
      <c r="AM169" s="30" t="n">
        <v>0</v>
      </c>
      <c r="AN169" s="30" t="str">
        <f aca="false">IF(OR(V169="判定不能",M169="判定不能"),"判定不能",IF(AM169&gt;=判定条件!$C$9,"利用可",IF(AND(V169="停止",M169="停止"),"両方停止","運転がそろわない")))</f>
        <v>運転がそろわない</v>
      </c>
      <c r="AO169" s="30" t="n">
        <v>60</v>
      </c>
      <c r="AP169" s="30" t="n">
        <v>0</v>
      </c>
      <c r="AQ169" s="30" t="str">
        <f aca="false">IF(OR(Y169="判定不能",G169="判定不能"),"判定不能",IF(AP169&gt;=判定条件!$C$9,"利用可",IF(AND(Y169="停止",G169="停止"),"両方停止","運転がそろわない")))</f>
        <v>両方停止</v>
      </c>
      <c r="AR169" s="30" t="n">
        <v>60</v>
      </c>
      <c r="AS169" s="30" t="n">
        <v>0</v>
      </c>
      <c r="AT169" s="30" t="str">
        <f aca="false">IF(OR(AB169="判定不能",J169="判定不能"),"判定不能",IF(AS169&gt;=判定条件!$C$9,"利用可",IF(AND(AB169="停止",J169="停止"),"両方停止","運転がそろわない")))</f>
        <v>両方停止</v>
      </c>
      <c r="AU169" s="30" t="n">
        <v>60</v>
      </c>
      <c r="AV169" s="30" t="n">
        <v>0</v>
      </c>
      <c r="AW169" s="30" t="str">
        <f aca="false">IF(OR(AE169="判定不能",M169="判定不能"),"判定不能",IF(AV169&gt;=判定条件!$C$9,"利用可",IF(AND(AE169="停止",M169="停止"),"両方停止","運転がそろわない")))</f>
        <v>運転がそろわない</v>
      </c>
      <c r="AX169" s="30" t="str">
        <f aca="false">IF(AND(AH169="利用可",AK169="利用可",AN169="利用可"),"利用可","不可")</f>
        <v>不可</v>
      </c>
      <c r="AY169" s="30" t="str">
        <f aca="false">IF(AND(AQ169="利用可",AT169="利用可",AW169="利用可"),"利用可","不可")</f>
        <v>不可</v>
      </c>
    </row>
    <row r="170" customFormat="false" ht="15" hidden="false" customHeight="false" outlineLevel="0" collapsed="false">
      <c r="A170" s="29" t="n">
        <v>46238</v>
      </c>
      <c r="B170" s="30" t="n">
        <v>23</v>
      </c>
      <c r="C170" s="31" t="s">
        <v>67</v>
      </c>
      <c r="D170" s="31" t="s">
        <v>59</v>
      </c>
      <c r="E170" s="30" t="n">
        <v>60</v>
      </c>
      <c r="F170" s="30" t="n">
        <v>0</v>
      </c>
      <c r="G170" s="30" t="str">
        <f aca="false">IF(E170&lt;判定条件!$C$6,"判定不能",IF(F170&gt;=判定条件!$C$7*E170,"運転",IF(F170&lt;=判定条件!$C$8*E170,"停止","断続")))</f>
        <v>停止</v>
      </c>
      <c r="H170" s="30" t="n">
        <v>60</v>
      </c>
      <c r="I170" s="30" t="n">
        <v>0</v>
      </c>
      <c r="J170" s="30" t="str">
        <f aca="false">IF(H170&lt;判定条件!$C$6,"判定不能",IF(I170&gt;=判定条件!$C$7*H170,"運転",IF(I170&lt;=判定条件!$C$8*H170,"停止","断続")))</f>
        <v>停止</v>
      </c>
      <c r="K170" s="30" t="n">
        <v>60</v>
      </c>
      <c r="L170" s="30" t="n">
        <v>60</v>
      </c>
      <c r="M170" s="30" t="str">
        <f aca="false">IF(K170&lt;判定条件!$C$6,"判定不能",IF(L170&gt;=判定条件!$C$7*K170,"運転",IF(L170&lt;=判定条件!$C$8*K170,"停止","断続")))</f>
        <v>運転</v>
      </c>
      <c r="N170" s="30" t="n">
        <v>60</v>
      </c>
      <c r="O170" s="30" t="n">
        <v>0</v>
      </c>
      <c r="P170" s="30" t="str">
        <f aca="false">IF(N170&lt;判定条件!$C$6,"判定不能",IF(O170&gt;=判定条件!$C$7*N170,"運転",IF(O170&lt;=判定条件!$C$8*N170,"停止","断続")))</f>
        <v>停止</v>
      </c>
      <c r="Q170" s="30" t="n">
        <v>60</v>
      </c>
      <c r="R170" s="30" t="n">
        <v>0</v>
      </c>
      <c r="S170" s="30" t="str">
        <f aca="false">IF(Q170&lt;判定条件!$C$6,"判定不能",IF(R170&gt;=判定条件!$C$7*Q170,"運転",IF(R170&lt;=判定条件!$C$8*Q170,"停止","断続")))</f>
        <v>停止</v>
      </c>
      <c r="T170" s="30" t="n">
        <v>60</v>
      </c>
      <c r="U170" s="30" t="n">
        <v>0</v>
      </c>
      <c r="V170" s="30" t="str">
        <f aca="false">IF(T170&lt;判定条件!$C$6,"判定不能",IF(U170&gt;=判定条件!$C$7*T170,"運転",IF(U170&lt;=判定条件!$C$8*T170,"停止","断続")))</f>
        <v>停止</v>
      </c>
      <c r="W170" s="30" t="n">
        <v>60</v>
      </c>
      <c r="X170" s="30" t="n">
        <v>0</v>
      </c>
      <c r="Y170" s="30" t="str">
        <f aca="false">IF(W170&lt;判定条件!$C$6,"判定不能",IF(X170&gt;=判定条件!$C$7*W170,"運転",IF(X170&lt;=判定条件!$C$8*W170,"停止","断続")))</f>
        <v>停止</v>
      </c>
      <c r="Z170" s="30" t="n">
        <v>60</v>
      </c>
      <c r="AA170" s="30" t="n">
        <v>0</v>
      </c>
      <c r="AB170" s="30" t="str">
        <f aca="false">IF(Z170&lt;判定条件!$C$6,"判定不能",IF(AA170&gt;=判定条件!$C$7*Z170,"運転",IF(AA170&lt;=判定条件!$C$8*Z170,"停止","断続")))</f>
        <v>停止</v>
      </c>
      <c r="AC170" s="30" t="n">
        <v>60</v>
      </c>
      <c r="AD170" s="30" t="n">
        <v>0</v>
      </c>
      <c r="AE170" s="30" t="str">
        <f aca="false">IF(AC170&lt;判定条件!$C$6,"判定不能",IF(AD170&gt;=判定条件!$C$7*AC170,"運転",IF(AD170&lt;=判定条件!$C$8*AC170,"停止","断続")))</f>
        <v>停止</v>
      </c>
      <c r="AF170" s="30" t="n">
        <v>60</v>
      </c>
      <c r="AG170" s="30" t="n">
        <v>0</v>
      </c>
      <c r="AH170" s="30" t="str">
        <f aca="false">IF(OR(P170="判定不能",G170="判定不能"),"判定不能",IF(AG170&gt;=判定条件!$C$9,"利用可",IF(AND(P170="停止",G170="停止"),"両方停止","運転がそろわない")))</f>
        <v>両方停止</v>
      </c>
      <c r="AI170" s="30" t="n">
        <v>60</v>
      </c>
      <c r="AJ170" s="30" t="n">
        <v>0</v>
      </c>
      <c r="AK170" s="30" t="str">
        <f aca="false">IF(OR(S170="判定不能",J170="判定不能"),"判定不能",IF(AJ170&gt;=判定条件!$C$9,"利用可",IF(AND(S170="停止",J170="停止"),"両方停止","運転がそろわない")))</f>
        <v>両方停止</v>
      </c>
      <c r="AL170" s="30" t="n">
        <v>60</v>
      </c>
      <c r="AM170" s="30" t="n">
        <v>0</v>
      </c>
      <c r="AN170" s="30" t="str">
        <f aca="false">IF(OR(V170="判定不能",M170="判定不能"),"判定不能",IF(AM170&gt;=判定条件!$C$9,"利用可",IF(AND(V170="停止",M170="停止"),"両方停止","運転がそろわない")))</f>
        <v>運転がそろわない</v>
      </c>
      <c r="AO170" s="30" t="n">
        <v>60</v>
      </c>
      <c r="AP170" s="30" t="n">
        <v>0</v>
      </c>
      <c r="AQ170" s="30" t="str">
        <f aca="false">IF(OR(Y170="判定不能",G170="判定不能"),"判定不能",IF(AP170&gt;=判定条件!$C$9,"利用可",IF(AND(Y170="停止",G170="停止"),"両方停止","運転がそろわない")))</f>
        <v>両方停止</v>
      </c>
      <c r="AR170" s="30" t="n">
        <v>60</v>
      </c>
      <c r="AS170" s="30" t="n">
        <v>0</v>
      </c>
      <c r="AT170" s="30" t="str">
        <f aca="false">IF(OR(AB170="判定不能",J170="判定不能"),"判定不能",IF(AS170&gt;=判定条件!$C$9,"利用可",IF(AND(AB170="停止",J170="停止"),"両方停止","運転がそろわない")))</f>
        <v>両方停止</v>
      </c>
      <c r="AU170" s="30" t="n">
        <v>60</v>
      </c>
      <c r="AV170" s="30" t="n">
        <v>0</v>
      </c>
      <c r="AW170" s="30" t="str">
        <f aca="false">IF(OR(AE170="判定不能",M170="判定不能"),"判定不能",IF(AV170&gt;=判定条件!$C$9,"利用可",IF(AND(AE170="停止",M170="停止"),"両方停止","運転がそろわない")))</f>
        <v>運転がそろわない</v>
      </c>
      <c r="AX170" s="30" t="str">
        <f aca="false">IF(AND(AH170="利用可",AK170="利用可",AN170="利用可"),"利用可","不可")</f>
        <v>不可</v>
      </c>
      <c r="AY170" s="30" t="str">
        <f aca="false">IF(AND(AQ170="利用可",AT170="利用可",AW170="利用可"),"利用可","不可")</f>
        <v>不可</v>
      </c>
    </row>
    <row r="171" customFormat="false" ht="15" hidden="false" customHeight="false" outlineLevel="0" collapsed="false">
      <c r="A171" s="29" t="n">
        <v>46239</v>
      </c>
      <c r="B171" s="30" t="n">
        <v>0</v>
      </c>
      <c r="C171" s="31" t="s">
        <v>58</v>
      </c>
      <c r="D171" s="31" t="s">
        <v>59</v>
      </c>
      <c r="E171" s="30" t="n">
        <v>60</v>
      </c>
      <c r="F171" s="30" t="n">
        <v>0</v>
      </c>
      <c r="G171" s="30" t="str">
        <f aca="false">IF(E171&lt;判定条件!$C$6,"判定不能",IF(F171&gt;=判定条件!$C$7*E171,"運転",IF(F171&lt;=判定条件!$C$8*E171,"停止","断続")))</f>
        <v>停止</v>
      </c>
      <c r="H171" s="30" t="n">
        <v>60</v>
      </c>
      <c r="I171" s="30" t="n">
        <v>0</v>
      </c>
      <c r="J171" s="30" t="str">
        <f aca="false">IF(H171&lt;判定条件!$C$6,"判定不能",IF(I171&gt;=判定条件!$C$7*H171,"運転",IF(I171&lt;=判定条件!$C$8*H171,"停止","断続")))</f>
        <v>停止</v>
      </c>
      <c r="K171" s="30" t="n">
        <v>60</v>
      </c>
      <c r="L171" s="30" t="n">
        <v>60</v>
      </c>
      <c r="M171" s="30" t="str">
        <f aca="false">IF(K171&lt;判定条件!$C$6,"判定不能",IF(L171&gt;=判定条件!$C$7*K171,"運転",IF(L171&lt;=判定条件!$C$8*K171,"停止","断続")))</f>
        <v>運転</v>
      </c>
      <c r="N171" s="30" t="n">
        <v>60</v>
      </c>
      <c r="O171" s="30" t="n">
        <v>0</v>
      </c>
      <c r="P171" s="30" t="str">
        <f aca="false">IF(N171&lt;判定条件!$C$6,"判定不能",IF(O171&gt;=判定条件!$C$7*N171,"運転",IF(O171&lt;=判定条件!$C$8*N171,"停止","断続")))</f>
        <v>停止</v>
      </c>
      <c r="Q171" s="30" t="n">
        <v>60</v>
      </c>
      <c r="R171" s="30" t="n">
        <v>0</v>
      </c>
      <c r="S171" s="30" t="str">
        <f aca="false">IF(Q171&lt;判定条件!$C$6,"判定不能",IF(R171&gt;=判定条件!$C$7*Q171,"運転",IF(R171&lt;=判定条件!$C$8*Q171,"停止","断続")))</f>
        <v>停止</v>
      </c>
      <c r="T171" s="30" t="n">
        <v>60</v>
      </c>
      <c r="U171" s="30" t="n">
        <v>0</v>
      </c>
      <c r="V171" s="30" t="str">
        <f aca="false">IF(T171&lt;判定条件!$C$6,"判定不能",IF(U171&gt;=判定条件!$C$7*T171,"運転",IF(U171&lt;=判定条件!$C$8*T171,"停止","断続")))</f>
        <v>停止</v>
      </c>
      <c r="W171" s="30" t="n">
        <v>60</v>
      </c>
      <c r="X171" s="30" t="n">
        <v>0</v>
      </c>
      <c r="Y171" s="30" t="str">
        <f aca="false">IF(W171&lt;判定条件!$C$6,"判定不能",IF(X171&gt;=判定条件!$C$7*W171,"運転",IF(X171&lt;=判定条件!$C$8*W171,"停止","断続")))</f>
        <v>停止</v>
      </c>
      <c r="Z171" s="30" t="n">
        <v>60</v>
      </c>
      <c r="AA171" s="30" t="n">
        <v>0</v>
      </c>
      <c r="AB171" s="30" t="str">
        <f aca="false">IF(Z171&lt;判定条件!$C$6,"判定不能",IF(AA171&gt;=判定条件!$C$7*Z171,"運転",IF(AA171&lt;=判定条件!$C$8*Z171,"停止","断続")))</f>
        <v>停止</v>
      </c>
      <c r="AC171" s="30" t="n">
        <v>60</v>
      </c>
      <c r="AD171" s="30" t="n">
        <v>0</v>
      </c>
      <c r="AE171" s="30" t="str">
        <f aca="false">IF(AC171&lt;判定条件!$C$6,"判定不能",IF(AD171&gt;=判定条件!$C$7*AC171,"運転",IF(AD171&lt;=判定条件!$C$8*AC171,"停止","断続")))</f>
        <v>停止</v>
      </c>
      <c r="AF171" s="30" t="n">
        <v>60</v>
      </c>
      <c r="AG171" s="30" t="n">
        <v>0</v>
      </c>
      <c r="AH171" s="30" t="str">
        <f aca="false">IF(OR(P171="判定不能",G171="判定不能"),"判定不能",IF(AG171&gt;=判定条件!$C$9,"利用可",IF(AND(P171="停止",G171="停止"),"両方停止","運転がそろわない")))</f>
        <v>両方停止</v>
      </c>
      <c r="AI171" s="30" t="n">
        <v>60</v>
      </c>
      <c r="AJ171" s="30" t="n">
        <v>0</v>
      </c>
      <c r="AK171" s="30" t="str">
        <f aca="false">IF(OR(S171="判定不能",J171="判定不能"),"判定不能",IF(AJ171&gt;=判定条件!$C$9,"利用可",IF(AND(S171="停止",J171="停止"),"両方停止","運転がそろわない")))</f>
        <v>両方停止</v>
      </c>
      <c r="AL171" s="30" t="n">
        <v>60</v>
      </c>
      <c r="AM171" s="30" t="n">
        <v>0</v>
      </c>
      <c r="AN171" s="30" t="str">
        <f aca="false">IF(OR(V171="判定不能",M171="判定不能"),"判定不能",IF(AM171&gt;=判定条件!$C$9,"利用可",IF(AND(V171="停止",M171="停止"),"両方停止","運転がそろわない")))</f>
        <v>運転がそろわない</v>
      </c>
      <c r="AO171" s="30" t="n">
        <v>60</v>
      </c>
      <c r="AP171" s="30" t="n">
        <v>0</v>
      </c>
      <c r="AQ171" s="30" t="str">
        <f aca="false">IF(OR(Y171="判定不能",G171="判定不能"),"判定不能",IF(AP171&gt;=判定条件!$C$9,"利用可",IF(AND(Y171="停止",G171="停止"),"両方停止","運転がそろわない")))</f>
        <v>両方停止</v>
      </c>
      <c r="AR171" s="30" t="n">
        <v>60</v>
      </c>
      <c r="AS171" s="30" t="n">
        <v>0</v>
      </c>
      <c r="AT171" s="30" t="str">
        <f aca="false">IF(OR(AB171="判定不能",J171="判定不能"),"判定不能",IF(AS171&gt;=判定条件!$C$9,"利用可",IF(AND(AB171="停止",J171="停止"),"両方停止","運転がそろわない")))</f>
        <v>両方停止</v>
      </c>
      <c r="AU171" s="30" t="n">
        <v>60</v>
      </c>
      <c r="AV171" s="30" t="n">
        <v>0</v>
      </c>
      <c r="AW171" s="30" t="str">
        <f aca="false">IF(OR(AE171="判定不能",M171="判定不能"),"判定不能",IF(AV171&gt;=判定条件!$C$9,"利用可",IF(AND(AE171="停止",M171="停止"),"両方停止","運転がそろわない")))</f>
        <v>運転がそろわない</v>
      </c>
      <c r="AX171" s="30" t="str">
        <f aca="false">IF(AND(AH171="利用可",AK171="利用可",AN171="利用可"),"利用可","不可")</f>
        <v>不可</v>
      </c>
      <c r="AY171" s="30" t="str">
        <f aca="false">IF(AND(AQ171="利用可",AT171="利用可",AW171="利用可"),"利用可","不可")</f>
        <v>不可</v>
      </c>
    </row>
    <row r="172" customFormat="false" ht="15" hidden="false" customHeight="false" outlineLevel="0" collapsed="false">
      <c r="A172" s="29" t="n">
        <v>46239</v>
      </c>
      <c r="B172" s="30" t="n">
        <v>1</v>
      </c>
      <c r="C172" s="31" t="s">
        <v>58</v>
      </c>
      <c r="D172" s="31" t="s">
        <v>59</v>
      </c>
      <c r="E172" s="30" t="n">
        <v>60</v>
      </c>
      <c r="F172" s="30" t="n">
        <v>0</v>
      </c>
      <c r="G172" s="30" t="str">
        <f aca="false">IF(E172&lt;判定条件!$C$6,"判定不能",IF(F172&gt;=判定条件!$C$7*E172,"運転",IF(F172&lt;=判定条件!$C$8*E172,"停止","断続")))</f>
        <v>停止</v>
      </c>
      <c r="H172" s="30" t="n">
        <v>60</v>
      </c>
      <c r="I172" s="30" t="n">
        <v>0</v>
      </c>
      <c r="J172" s="30" t="str">
        <f aca="false">IF(H172&lt;判定条件!$C$6,"判定不能",IF(I172&gt;=判定条件!$C$7*H172,"運転",IF(I172&lt;=判定条件!$C$8*H172,"停止","断続")))</f>
        <v>停止</v>
      </c>
      <c r="K172" s="30" t="n">
        <v>60</v>
      </c>
      <c r="L172" s="30" t="n">
        <v>60</v>
      </c>
      <c r="M172" s="30" t="str">
        <f aca="false">IF(K172&lt;判定条件!$C$6,"判定不能",IF(L172&gt;=判定条件!$C$7*K172,"運転",IF(L172&lt;=判定条件!$C$8*K172,"停止","断続")))</f>
        <v>運転</v>
      </c>
      <c r="N172" s="30" t="n">
        <v>60</v>
      </c>
      <c r="O172" s="30" t="n">
        <v>0</v>
      </c>
      <c r="P172" s="30" t="str">
        <f aca="false">IF(N172&lt;判定条件!$C$6,"判定不能",IF(O172&gt;=判定条件!$C$7*N172,"運転",IF(O172&lt;=判定条件!$C$8*N172,"停止","断続")))</f>
        <v>停止</v>
      </c>
      <c r="Q172" s="30" t="n">
        <v>60</v>
      </c>
      <c r="R172" s="30" t="n">
        <v>0</v>
      </c>
      <c r="S172" s="30" t="str">
        <f aca="false">IF(Q172&lt;判定条件!$C$6,"判定不能",IF(R172&gt;=判定条件!$C$7*Q172,"運転",IF(R172&lt;=判定条件!$C$8*Q172,"停止","断続")))</f>
        <v>停止</v>
      </c>
      <c r="T172" s="30" t="n">
        <v>60</v>
      </c>
      <c r="U172" s="30" t="n">
        <v>0</v>
      </c>
      <c r="V172" s="30" t="str">
        <f aca="false">IF(T172&lt;判定条件!$C$6,"判定不能",IF(U172&gt;=判定条件!$C$7*T172,"運転",IF(U172&lt;=判定条件!$C$8*T172,"停止","断続")))</f>
        <v>停止</v>
      </c>
      <c r="W172" s="30" t="n">
        <v>60</v>
      </c>
      <c r="X172" s="30" t="n">
        <v>0</v>
      </c>
      <c r="Y172" s="30" t="str">
        <f aca="false">IF(W172&lt;判定条件!$C$6,"判定不能",IF(X172&gt;=判定条件!$C$7*W172,"運転",IF(X172&lt;=判定条件!$C$8*W172,"停止","断続")))</f>
        <v>停止</v>
      </c>
      <c r="Z172" s="30" t="n">
        <v>60</v>
      </c>
      <c r="AA172" s="30" t="n">
        <v>0</v>
      </c>
      <c r="AB172" s="30" t="str">
        <f aca="false">IF(Z172&lt;判定条件!$C$6,"判定不能",IF(AA172&gt;=判定条件!$C$7*Z172,"運転",IF(AA172&lt;=判定条件!$C$8*Z172,"停止","断続")))</f>
        <v>停止</v>
      </c>
      <c r="AC172" s="30" t="n">
        <v>60</v>
      </c>
      <c r="AD172" s="30" t="n">
        <v>0</v>
      </c>
      <c r="AE172" s="30" t="str">
        <f aca="false">IF(AC172&lt;判定条件!$C$6,"判定不能",IF(AD172&gt;=判定条件!$C$7*AC172,"運転",IF(AD172&lt;=判定条件!$C$8*AC172,"停止","断続")))</f>
        <v>停止</v>
      </c>
      <c r="AF172" s="30" t="n">
        <v>60</v>
      </c>
      <c r="AG172" s="30" t="n">
        <v>0</v>
      </c>
      <c r="AH172" s="30" t="str">
        <f aca="false">IF(OR(P172="判定不能",G172="判定不能"),"判定不能",IF(AG172&gt;=判定条件!$C$9,"利用可",IF(AND(P172="停止",G172="停止"),"両方停止","運転がそろわない")))</f>
        <v>両方停止</v>
      </c>
      <c r="AI172" s="30" t="n">
        <v>60</v>
      </c>
      <c r="AJ172" s="30" t="n">
        <v>0</v>
      </c>
      <c r="AK172" s="30" t="str">
        <f aca="false">IF(OR(S172="判定不能",J172="判定不能"),"判定不能",IF(AJ172&gt;=判定条件!$C$9,"利用可",IF(AND(S172="停止",J172="停止"),"両方停止","運転がそろわない")))</f>
        <v>両方停止</v>
      </c>
      <c r="AL172" s="30" t="n">
        <v>60</v>
      </c>
      <c r="AM172" s="30" t="n">
        <v>0</v>
      </c>
      <c r="AN172" s="30" t="str">
        <f aca="false">IF(OR(V172="判定不能",M172="判定不能"),"判定不能",IF(AM172&gt;=判定条件!$C$9,"利用可",IF(AND(V172="停止",M172="停止"),"両方停止","運転がそろわない")))</f>
        <v>運転がそろわない</v>
      </c>
      <c r="AO172" s="30" t="n">
        <v>60</v>
      </c>
      <c r="AP172" s="30" t="n">
        <v>0</v>
      </c>
      <c r="AQ172" s="30" t="str">
        <f aca="false">IF(OR(Y172="判定不能",G172="判定不能"),"判定不能",IF(AP172&gt;=判定条件!$C$9,"利用可",IF(AND(Y172="停止",G172="停止"),"両方停止","運転がそろわない")))</f>
        <v>両方停止</v>
      </c>
      <c r="AR172" s="30" t="n">
        <v>60</v>
      </c>
      <c r="AS172" s="30" t="n">
        <v>0</v>
      </c>
      <c r="AT172" s="30" t="str">
        <f aca="false">IF(OR(AB172="判定不能",J172="判定不能"),"判定不能",IF(AS172&gt;=判定条件!$C$9,"利用可",IF(AND(AB172="停止",J172="停止"),"両方停止","運転がそろわない")))</f>
        <v>両方停止</v>
      </c>
      <c r="AU172" s="30" t="n">
        <v>60</v>
      </c>
      <c r="AV172" s="30" t="n">
        <v>0</v>
      </c>
      <c r="AW172" s="30" t="str">
        <f aca="false">IF(OR(AE172="判定不能",M172="判定不能"),"判定不能",IF(AV172&gt;=判定条件!$C$9,"利用可",IF(AND(AE172="停止",M172="停止"),"両方停止","運転がそろわない")))</f>
        <v>運転がそろわない</v>
      </c>
      <c r="AX172" s="30" t="str">
        <f aca="false">IF(AND(AH172="利用可",AK172="利用可",AN172="利用可"),"利用可","不可")</f>
        <v>不可</v>
      </c>
      <c r="AY172" s="30" t="str">
        <f aca="false">IF(AND(AQ172="利用可",AT172="利用可",AW172="利用可"),"利用可","不可")</f>
        <v>不可</v>
      </c>
    </row>
    <row r="173" customFormat="false" ht="15" hidden="false" customHeight="false" outlineLevel="0" collapsed="false">
      <c r="A173" s="29" t="n">
        <v>46239</v>
      </c>
      <c r="B173" s="30" t="n">
        <v>2</v>
      </c>
      <c r="C173" s="31" t="s">
        <v>58</v>
      </c>
      <c r="D173" s="31" t="s">
        <v>59</v>
      </c>
      <c r="E173" s="30" t="n">
        <v>60</v>
      </c>
      <c r="F173" s="30" t="n">
        <v>0</v>
      </c>
      <c r="G173" s="30" t="str">
        <f aca="false">IF(E173&lt;判定条件!$C$6,"判定不能",IF(F173&gt;=判定条件!$C$7*E173,"運転",IF(F173&lt;=判定条件!$C$8*E173,"停止","断続")))</f>
        <v>停止</v>
      </c>
      <c r="H173" s="30" t="n">
        <v>60</v>
      </c>
      <c r="I173" s="30" t="n">
        <v>0</v>
      </c>
      <c r="J173" s="30" t="str">
        <f aca="false">IF(H173&lt;判定条件!$C$6,"判定不能",IF(I173&gt;=判定条件!$C$7*H173,"運転",IF(I173&lt;=判定条件!$C$8*H173,"停止","断続")))</f>
        <v>停止</v>
      </c>
      <c r="K173" s="30" t="n">
        <v>60</v>
      </c>
      <c r="L173" s="30" t="n">
        <v>60</v>
      </c>
      <c r="M173" s="30" t="str">
        <f aca="false">IF(K173&lt;判定条件!$C$6,"判定不能",IF(L173&gt;=判定条件!$C$7*K173,"運転",IF(L173&lt;=判定条件!$C$8*K173,"停止","断続")))</f>
        <v>運転</v>
      </c>
      <c r="N173" s="30" t="n">
        <v>60</v>
      </c>
      <c r="O173" s="30" t="n">
        <v>0</v>
      </c>
      <c r="P173" s="30" t="str">
        <f aca="false">IF(N173&lt;判定条件!$C$6,"判定不能",IF(O173&gt;=判定条件!$C$7*N173,"運転",IF(O173&lt;=判定条件!$C$8*N173,"停止","断続")))</f>
        <v>停止</v>
      </c>
      <c r="Q173" s="30" t="n">
        <v>60</v>
      </c>
      <c r="R173" s="30" t="n">
        <v>0</v>
      </c>
      <c r="S173" s="30" t="str">
        <f aca="false">IF(Q173&lt;判定条件!$C$6,"判定不能",IF(R173&gt;=判定条件!$C$7*Q173,"運転",IF(R173&lt;=判定条件!$C$8*Q173,"停止","断続")))</f>
        <v>停止</v>
      </c>
      <c r="T173" s="30" t="n">
        <v>60</v>
      </c>
      <c r="U173" s="30" t="n">
        <v>0</v>
      </c>
      <c r="V173" s="30" t="str">
        <f aca="false">IF(T173&lt;判定条件!$C$6,"判定不能",IF(U173&gt;=判定条件!$C$7*T173,"運転",IF(U173&lt;=判定条件!$C$8*T173,"停止","断続")))</f>
        <v>停止</v>
      </c>
      <c r="W173" s="30" t="n">
        <v>60</v>
      </c>
      <c r="X173" s="30" t="n">
        <v>0</v>
      </c>
      <c r="Y173" s="30" t="str">
        <f aca="false">IF(W173&lt;判定条件!$C$6,"判定不能",IF(X173&gt;=判定条件!$C$7*W173,"運転",IF(X173&lt;=判定条件!$C$8*W173,"停止","断続")))</f>
        <v>停止</v>
      </c>
      <c r="Z173" s="30" t="n">
        <v>60</v>
      </c>
      <c r="AA173" s="30" t="n">
        <v>0</v>
      </c>
      <c r="AB173" s="30" t="str">
        <f aca="false">IF(Z173&lt;判定条件!$C$6,"判定不能",IF(AA173&gt;=判定条件!$C$7*Z173,"運転",IF(AA173&lt;=判定条件!$C$8*Z173,"停止","断続")))</f>
        <v>停止</v>
      </c>
      <c r="AC173" s="30" t="n">
        <v>60</v>
      </c>
      <c r="AD173" s="30" t="n">
        <v>0</v>
      </c>
      <c r="AE173" s="30" t="str">
        <f aca="false">IF(AC173&lt;判定条件!$C$6,"判定不能",IF(AD173&gt;=判定条件!$C$7*AC173,"運転",IF(AD173&lt;=判定条件!$C$8*AC173,"停止","断続")))</f>
        <v>停止</v>
      </c>
      <c r="AF173" s="30" t="n">
        <v>60</v>
      </c>
      <c r="AG173" s="30" t="n">
        <v>0</v>
      </c>
      <c r="AH173" s="30" t="str">
        <f aca="false">IF(OR(P173="判定不能",G173="判定不能"),"判定不能",IF(AG173&gt;=判定条件!$C$9,"利用可",IF(AND(P173="停止",G173="停止"),"両方停止","運転がそろわない")))</f>
        <v>両方停止</v>
      </c>
      <c r="AI173" s="30" t="n">
        <v>60</v>
      </c>
      <c r="AJ173" s="30" t="n">
        <v>0</v>
      </c>
      <c r="AK173" s="30" t="str">
        <f aca="false">IF(OR(S173="判定不能",J173="判定不能"),"判定不能",IF(AJ173&gt;=判定条件!$C$9,"利用可",IF(AND(S173="停止",J173="停止"),"両方停止","運転がそろわない")))</f>
        <v>両方停止</v>
      </c>
      <c r="AL173" s="30" t="n">
        <v>60</v>
      </c>
      <c r="AM173" s="30" t="n">
        <v>0</v>
      </c>
      <c r="AN173" s="30" t="str">
        <f aca="false">IF(OR(V173="判定不能",M173="判定不能"),"判定不能",IF(AM173&gt;=判定条件!$C$9,"利用可",IF(AND(V173="停止",M173="停止"),"両方停止","運転がそろわない")))</f>
        <v>運転がそろわない</v>
      </c>
      <c r="AO173" s="30" t="n">
        <v>60</v>
      </c>
      <c r="AP173" s="30" t="n">
        <v>0</v>
      </c>
      <c r="AQ173" s="30" t="str">
        <f aca="false">IF(OR(Y173="判定不能",G173="判定不能"),"判定不能",IF(AP173&gt;=判定条件!$C$9,"利用可",IF(AND(Y173="停止",G173="停止"),"両方停止","運転がそろわない")))</f>
        <v>両方停止</v>
      </c>
      <c r="AR173" s="30" t="n">
        <v>60</v>
      </c>
      <c r="AS173" s="30" t="n">
        <v>0</v>
      </c>
      <c r="AT173" s="30" t="str">
        <f aca="false">IF(OR(AB173="判定不能",J173="判定不能"),"判定不能",IF(AS173&gt;=判定条件!$C$9,"利用可",IF(AND(AB173="停止",J173="停止"),"両方停止","運転がそろわない")))</f>
        <v>両方停止</v>
      </c>
      <c r="AU173" s="30" t="n">
        <v>60</v>
      </c>
      <c r="AV173" s="30" t="n">
        <v>0</v>
      </c>
      <c r="AW173" s="30" t="str">
        <f aca="false">IF(OR(AE173="判定不能",M173="判定不能"),"判定不能",IF(AV173&gt;=判定条件!$C$9,"利用可",IF(AND(AE173="停止",M173="停止"),"両方停止","運転がそろわない")))</f>
        <v>運転がそろわない</v>
      </c>
      <c r="AX173" s="30" t="str">
        <f aca="false">IF(AND(AH173="利用可",AK173="利用可",AN173="利用可"),"利用可","不可")</f>
        <v>不可</v>
      </c>
      <c r="AY173" s="30" t="str">
        <f aca="false">IF(AND(AQ173="利用可",AT173="利用可",AW173="利用可"),"利用可","不可")</f>
        <v>不可</v>
      </c>
    </row>
    <row r="174" customFormat="false" ht="15" hidden="false" customHeight="false" outlineLevel="0" collapsed="false">
      <c r="A174" s="29" t="n">
        <v>46239</v>
      </c>
      <c r="B174" s="30" t="n">
        <v>3</v>
      </c>
      <c r="C174" s="31" t="s">
        <v>58</v>
      </c>
      <c r="D174" s="31" t="s">
        <v>59</v>
      </c>
      <c r="E174" s="30" t="n">
        <v>60</v>
      </c>
      <c r="F174" s="30" t="n">
        <v>0</v>
      </c>
      <c r="G174" s="30" t="str">
        <f aca="false">IF(E174&lt;判定条件!$C$6,"判定不能",IF(F174&gt;=判定条件!$C$7*E174,"運転",IF(F174&lt;=判定条件!$C$8*E174,"停止","断続")))</f>
        <v>停止</v>
      </c>
      <c r="H174" s="30" t="n">
        <v>60</v>
      </c>
      <c r="I174" s="30" t="n">
        <v>0</v>
      </c>
      <c r="J174" s="30" t="str">
        <f aca="false">IF(H174&lt;判定条件!$C$6,"判定不能",IF(I174&gt;=判定条件!$C$7*H174,"運転",IF(I174&lt;=判定条件!$C$8*H174,"停止","断続")))</f>
        <v>停止</v>
      </c>
      <c r="K174" s="30" t="n">
        <v>60</v>
      </c>
      <c r="L174" s="30" t="n">
        <v>60</v>
      </c>
      <c r="M174" s="30" t="str">
        <f aca="false">IF(K174&lt;判定条件!$C$6,"判定不能",IF(L174&gt;=判定条件!$C$7*K174,"運転",IF(L174&lt;=判定条件!$C$8*K174,"停止","断続")))</f>
        <v>運転</v>
      </c>
      <c r="N174" s="30" t="n">
        <v>60</v>
      </c>
      <c r="O174" s="30" t="n">
        <v>0</v>
      </c>
      <c r="P174" s="30" t="str">
        <f aca="false">IF(N174&lt;判定条件!$C$6,"判定不能",IF(O174&gt;=判定条件!$C$7*N174,"運転",IF(O174&lt;=判定条件!$C$8*N174,"停止","断続")))</f>
        <v>停止</v>
      </c>
      <c r="Q174" s="30" t="n">
        <v>60</v>
      </c>
      <c r="R174" s="30" t="n">
        <v>0</v>
      </c>
      <c r="S174" s="30" t="str">
        <f aca="false">IF(Q174&lt;判定条件!$C$6,"判定不能",IF(R174&gt;=判定条件!$C$7*Q174,"運転",IF(R174&lt;=判定条件!$C$8*Q174,"停止","断続")))</f>
        <v>停止</v>
      </c>
      <c r="T174" s="30" t="n">
        <v>60</v>
      </c>
      <c r="U174" s="30" t="n">
        <v>0</v>
      </c>
      <c r="V174" s="30" t="str">
        <f aca="false">IF(T174&lt;判定条件!$C$6,"判定不能",IF(U174&gt;=判定条件!$C$7*T174,"運転",IF(U174&lt;=判定条件!$C$8*T174,"停止","断続")))</f>
        <v>停止</v>
      </c>
      <c r="W174" s="30" t="n">
        <v>60</v>
      </c>
      <c r="X174" s="30" t="n">
        <v>0</v>
      </c>
      <c r="Y174" s="30" t="str">
        <f aca="false">IF(W174&lt;判定条件!$C$6,"判定不能",IF(X174&gt;=判定条件!$C$7*W174,"運転",IF(X174&lt;=判定条件!$C$8*W174,"停止","断続")))</f>
        <v>停止</v>
      </c>
      <c r="Z174" s="30" t="n">
        <v>60</v>
      </c>
      <c r="AA174" s="30" t="n">
        <v>0</v>
      </c>
      <c r="AB174" s="30" t="str">
        <f aca="false">IF(Z174&lt;判定条件!$C$6,"判定不能",IF(AA174&gt;=判定条件!$C$7*Z174,"運転",IF(AA174&lt;=判定条件!$C$8*Z174,"停止","断続")))</f>
        <v>停止</v>
      </c>
      <c r="AC174" s="30" t="n">
        <v>60</v>
      </c>
      <c r="AD174" s="30" t="n">
        <v>0</v>
      </c>
      <c r="AE174" s="30" t="str">
        <f aca="false">IF(AC174&lt;判定条件!$C$6,"判定不能",IF(AD174&gt;=判定条件!$C$7*AC174,"運転",IF(AD174&lt;=判定条件!$C$8*AC174,"停止","断続")))</f>
        <v>停止</v>
      </c>
      <c r="AF174" s="30" t="n">
        <v>60</v>
      </c>
      <c r="AG174" s="30" t="n">
        <v>0</v>
      </c>
      <c r="AH174" s="30" t="str">
        <f aca="false">IF(OR(P174="判定不能",G174="判定不能"),"判定不能",IF(AG174&gt;=判定条件!$C$9,"利用可",IF(AND(P174="停止",G174="停止"),"両方停止","運転がそろわない")))</f>
        <v>両方停止</v>
      </c>
      <c r="AI174" s="30" t="n">
        <v>60</v>
      </c>
      <c r="AJ174" s="30" t="n">
        <v>0</v>
      </c>
      <c r="AK174" s="30" t="str">
        <f aca="false">IF(OR(S174="判定不能",J174="判定不能"),"判定不能",IF(AJ174&gt;=判定条件!$C$9,"利用可",IF(AND(S174="停止",J174="停止"),"両方停止","運転がそろわない")))</f>
        <v>両方停止</v>
      </c>
      <c r="AL174" s="30" t="n">
        <v>60</v>
      </c>
      <c r="AM174" s="30" t="n">
        <v>0</v>
      </c>
      <c r="AN174" s="30" t="str">
        <f aca="false">IF(OR(V174="判定不能",M174="判定不能"),"判定不能",IF(AM174&gt;=判定条件!$C$9,"利用可",IF(AND(V174="停止",M174="停止"),"両方停止","運転がそろわない")))</f>
        <v>運転がそろわない</v>
      </c>
      <c r="AO174" s="30" t="n">
        <v>60</v>
      </c>
      <c r="AP174" s="30" t="n">
        <v>0</v>
      </c>
      <c r="AQ174" s="30" t="str">
        <f aca="false">IF(OR(Y174="判定不能",G174="判定不能"),"判定不能",IF(AP174&gt;=判定条件!$C$9,"利用可",IF(AND(Y174="停止",G174="停止"),"両方停止","運転がそろわない")))</f>
        <v>両方停止</v>
      </c>
      <c r="AR174" s="30" t="n">
        <v>60</v>
      </c>
      <c r="AS174" s="30" t="n">
        <v>0</v>
      </c>
      <c r="AT174" s="30" t="str">
        <f aca="false">IF(OR(AB174="判定不能",J174="判定不能"),"判定不能",IF(AS174&gt;=判定条件!$C$9,"利用可",IF(AND(AB174="停止",J174="停止"),"両方停止","運転がそろわない")))</f>
        <v>両方停止</v>
      </c>
      <c r="AU174" s="30" t="n">
        <v>60</v>
      </c>
      <c r="AV174" s="30" t="n">
        <v>0</v>
      </c>
      <c r="AW174" s="30" t="str">
        <f aca="false">IF(OR(AE174="判定不能",M174="判定不能"),"判定不能",IF(AV174&gt;=判定条件!$C$9,"利用可",IF(AND(AE174="停止",M174="停止"),"両方停止","運転がそろわない")))</f>
        <v>運転がそろわない</v>
      </c>
      <c r="AX174" s="30" t="str">
        <f aca="false">IF(AND(AH174="利用可",AK174="利用可",AN174="利用可"),"利用可","不可")</f>
        <v>不可</v>
      </c>
      <c r="AY174" s="30" t="str">
        <f aca="false">IF(AND(AQ174="利用可",AT174="利用可",AW174="利用可"),"利用可","不可")</f>
        <v>不可</v>
      </c>
    </row>
    <row r="175" customFormat="false" ht="15" hidden="false" customHeight="false" outlineLevel="0" collapsed="false">
      <c r="A175" s="29" t="n">
        <v>46239</v>
      </c>
      <c r="B175" s="30" t="n">
        <v>4</v>
      </c>
      <c r="C175" s="31" t="s">
        <v>58</v>
      </c>
      <c r="D175" s="31" t="s">
        <v>59</v>
      </c>
      <c r="E175" s="30" t="n">
        <v>60</v>
      </c>
      <c r="F175" s="30" t="n">
        <v>0</v>
      </c>
      <c r="G175" s="30" t="str">
        <f aca="false">IF(E175&lt;判定条件!$C$6,"判定不能",IF(F175&gt;=判定条件!$C$7*E175,"運転",IF(F175&lt;=判定条件!$C$8*E175,"停止","断続")))</f>
        <v>停止</v>
      </c>
      <c r="H175" s="30" t="n">
        <v>60</v>
      </c>
      <c r="I175" s="30" t="n">
        <v>0</v>
      </c>
      <c r="J175" s="30" t="str">
        <f aca="false">IF(H175&lt;判定条件!$C$6,"判定不能",IF(I175&gt;=判定条件!$C$7*H175,"運転",IF(I175&lt;=判定条件!$C$8*H175,"停止","断続")))</f>
        <v>停止</v>
      </c>
      <c r="K175" s="30" t="n">
        <v>60</v>
      </c>
      <c r="L175" s="30" t="n">
        <v>60</v>
      </c>
      <c r="M175" s="30" t="str">
        <f aca="false">IF(K175&lt;判定条件!$C$6,"判定不能",IF(L175&gt;=判定条件!$C$7*K175,"運転",IF(L175&lt;=判定条件!$C$8*K175,"停止","断続")))</f>
        <v>運転</v>
      </c>
      <c r="N175" s="30" t="n">
        <v>60</v>
      </c>
      <c r="O175" s="30" t="n">
        <v>0</v>
      </c>
      <c r="P175" s="30" t="str">
        <f aca="false">IF(N175&lt;判定条件!$C$6,"判定不能",IF(O175&gt;=判定条件!$C$7*N175,"運転",IF(O175&lt;=判定条件!$C$8*N175,"停止","断続")))</f>
        <v>停止</v>
      </c>
      <c r="Q175" s="30" t="n">
        <v>60</v>
      </c>
      <c r="R175" s="30" t="n">
        <v>0</v>
      </c>
      <c r="S175" s="30" t="str">
        <f aca="false">IF(Q175&lt;判定条件!$C$6,"判定不能",IF(R175&gt;=判定条件!$C$7*Q175,"運転",IF(R175&lt;=判定条件!$C$8*Q175,"停止","断続")))</f>
        <v>停止</v>
      </c>
      <c r="T175" s="30" t="n">
        <v>60</v>
      </c>
      <c r="U175" s="30" t="n">
        <v>0</v>
      </c>
      <c r="V175" s="30" t="str">
        <f aca="false">IF(T175&lt;判定条件!$C$6,"判定不能",IF(U175&gt;=判定条件!$C$7*T175,"運転",IF(U175&lt;=判定条件!$C$8*T175,"停止","断続")))</f>
        <v>停止</v>
      </c>
      <c r="W175" s="30" t="n">
        <v>60</v>
      </c>
      <c r="X175" s="30" t="n">
        <v>0</v>
      </c>
      <c r="Y175" s="30" t="str">
        <f aca="false">IF(W175&lt;判定条件!$C$6,"判定不能",IF(X175&gt;=判定条件!$C$7*W175,"運転",IF(X175&lt;=判定条件!$C$8*W175,"停止","断続")))</f>
        <v>停止</v>
      </c>
      <c r="Z175" s="30" t="n">
        <v>60</v>
      </c>
      <c r="AA175" s="30" t="n">
        <v>0</v>
      </c>
      <c r="AB175" s="30" t="str">
        <f aca="false">IF(Z175&lt;判定条件!$C$6,"判定不能",IF(AA175&gt;=判定条件!$C$7*Z175,"運転",IF(AA175&lt;=判定条件!$C$8*Z175,"停止","断続")))</f>
        <v>停止</v>
      </c>
      <c r="AC175" s="30" t="n">
        <v>60</v>
      </c>
      <c r="AD175" s="30" t="n">
        <v>0</v>
      </c>
      <c r="AE175" s="30" t="str">
        <f aca="false">IF(AC175&lt;判定条件!$C$6,"判定不能",IF(AD175&gt;=判定条件!$C$7*AC175,"運転",IF(AD175&lt;=判定条件!$C$8*AC175,"停止","断続")))</f>
        <v>停止</v>
      </c>
      <c r="AF175" s="30" t="n">
        <v>60</v>
      </c>
      <c r="AG175" s="30" t="n">
        <v>0</v>
      </c>
      <c r="AH175" s="30" t="str">
        <f aca="false">IF(OR(P175="判定不能",G175="判定不能"),"判定不能",IF(AG175&gt;=判定条件!$C$9,"利用可",IF(AND(P175="停止",G175="停止"),"両方停止","運転がそろわない")))</f>
        <v>両方停止</v>
      </c>
      <c r="AI175" s="30" t="n">
        <v>60</v>
      </c>
      <c r="AJ175" s="30" t="n">
        <v>0</v>
      </c>
      <c r="AK175" s="30" t="str">
        <f aca="false">IF(OR(S175="判定不能",J175="判定不能"),"判定不能",IF(AJ175&gt;=判定条件!$C$9,"利用可",IF(AND(S175="停止",J175="停止"),"両方停止","運転がそろわない")))</f>
        <v>両方停止</v>
      </c>
      <c r="AL175" s="30" t="n">
        <v>60</v>
      </c>
      <c r="AM175" s="30" t="n">
        <v>0</v>
      </c>
      <c r="AN175" s="30" t="str">
        <f aca="false">IF(OR(V175="判定不能",M175="判定不能"),"判定不能",IF(AM175&gt;=判定条件!$C$9,"利用可",IF(AND(V175="停止",M175="停止"),"両方停止","運転がそろわない")))</f>
        <v>運転がそろわない</v>
      </c>
      <c r="AO175" s="30" t="n">
        <v>60</v>
      </c>
      <c r="AP175" s="30" t="n">
        <v>0</v>
      </c>
      <c r="AQ175" s="30" t="str">
        <f aca="false">IF(OR(Y175="判定不能",G175="判定不能"),"判定不能",IF(AP175&gt;=判定条件!$C$9,"利用可",IF(AND(Y175="停止",G175="停止"),"両方停止","運転がそろわない")))</f>
        <v>両方停止</v>
      </c>
      <c r="AR175" s="30" t="n">
        <v>60</v>
      </c>
      <c r="AS175" s="30" t="n">
        <v>0</v>
      </c>
      <c r="AT175" s="30" t="str">
        <f aca="false">IF(OR(AB175="判定不能",J175="判定不能"),"判定不能",IF(AS175&gt;=判定条件!$C$9,"利用可",IF(AND(AB175="停止",J175="停止"),"両方停止","運転がそろわない")))</f>
        <v>両方停止</v>
      </c>
      <c r="AU175" s="30" t="n">
        <v>60</v>
      </c>
      <c r="AV175" s="30" t="n">
        <v>0</v>
      </c>
      <c r="AW175" s="30" t="str">
        <f aca="false">IF(OR(AE175="判定不能",M175="判定不能"),"判定不能",IF(AV175&gt;=判定条件!$C$9,"利用可",IF(AND(AE175="停止",M175="停止"),"両方停止","運転がそろわない")))</f>
        <v>運転がそろわない</v>
      </c>
      <c r="AX175" s="30" t="str">
        <f aca="false">IF(AND(AH175="利用可",AK175="利用可",AN175="利用可"),"利用可","不可")</f>
        <v>不可</v>
      </c>
      <c r="AY175" s="30" t="str">
        <f aca="false">IF(AND(AQ175="利用可",AT175="利用可",AW175="利用可"),"利用可","不可")</f>
        <v>不可</v>
      </c>
    </row>
    <row r="176" customFormat="false" ht="15" hidden="false" customHeight="false" outlineLevel="0" collapsed="false">
      <c r="A176" s="29" t="n">
        <v>46239</v>
      </c>
      <c r="B176" s="30" t="n">
        <v>5</v>
      </c>
      <c r="C176" s="31" t="s">
        <v>58</v>
      </c>
      <c r="D176" s="31" t="s">
        <v>59</v>
      </c>
      <c r="E176" s="30" t="n">
        <v>60</v>
      </c>
      <c r="F176" s="30" t="n">
        <v>0</v>
      </c>
      <c r="G176" s="30" t="str">
        <f aca="false">IF(E176&lt;判定条件!$C$6,"判定不能",IF(F176&gt;=判定条件!$C$7*E176,"運転",IF(F176&lt;=判定条件!$C$8*E176,"停止","断続")))</f>
        <v>停止</v>
      </c>
      <c r="H176" s="30" t="n">
        <v>60</v>
      </c>
      <c r="I176" s="30" t="n">
        <v>0</v>
      </c>
      <c r="J176" s="30" t="str">
        <f aca="false">IF(H176&lt;判定条件!$C$6,"判定不能",IF(I176&gt;=判定条件!$C$7*H176,"運転",IF(I176&lt;=判定条件!$C$8*H176,"停止","断続")))</f>
        <v>停止</v>
      </c>
      <c r="K176" s="30" t="n">
        <v>60</v>
      </c>
      <c r="L176" s="30" t="n">
        <v>60</v>
      </c>
      <c r="M176" s="30" t="str">
        <f aca="false">IF(K176&lt;判定条件!$C$6,"判定不能",IF(L176&gt;=判定条件!$C$7*K176,"運転",IF(L176&lt;=判定条件!$C$8*K176,"停止","断続")))</f>
        <v>運転</v>
      </c>
      <c r="N176" s="30" t="n">
        <v>60</v>
      </c>
      <c r="O176" s="30" t="n">
        <v>0</v>
      </c>
      <c r="P176" s="30" t="str">
        <f aca="false">IF(N176&lt;判定条件!$C$6,"判定不能",IF(O176&gt;=判定条件!$C$7*N176,"運転",IF(O176&lt;=判定条件!$C$8*N176,"停止","断続")))</f>
        <v>停止</v>
      </c>
      <c r="Q176" s="30" t="n">
        <v>60</v>
      </c>
      <c r="R176" s="30" t="n">
        <v>0</v>
      </c>
      <c r="S176" s="30" t="str">
        <f aca="false">IF(Q176&lt;判定条件!$C$6,"判定不能",IF(R176&gt;=判定条件!$C$7*Q176,"運転",IF(R176&lt;=判定条件!$C$8*Q176,"停止","断続")))</f>
        <v>停止</v>
      </c>
      <c r="T176" s="30" t="n">
        <v>60</v>
      </c>
      <c r="U176" s="30" t="n">
        <v>0</v>
      </c>
      <c r="V176" s="30" t="str">
        <f aca="false">IF(T176&lt;判定条件!$C$6,"判定不能",IF(U176&gt;=判定条件!$C$7*T176,"運転",IF(U176&lt;=判定条件!$C$8*T176,"停止","断続")))</f>
        <v>停止</v>
      </c>
      <c r="W176" s="30" t="n">
        <v>60</v>
      </c>
      <c r="X176" s="30" t="n">
        <v>0</v>
      </c>
      <c r="Y176" s="30" t="str">
        <f aca="false">IF(W176&lt;判定条件!$C$6,"判定不能",IF(X176&gt;=判定条件!$C$7*W176,"運転",IF(X176&lt;=判定条件!$C$8*W176,"停止","断続")))</f>
        <v>停止</v>
      </c>
      <c r="Z176" s="30" t="n">
        <v>60</v>
      </c>
      <c r="AA176" s="30" t="n">
        <v>0</v>
      </c>
      <c r="AB176" s="30" t="str">
        <f aca="false">IF(Z176&lt;判定条件!$C$6,"判定不能",IF(AA176&gt;=判定条件!$C$7*Z176,"運転",IF(AA176&lt;=判定条件!$C$8*Z176,"停止","断続")))</f>
        <v>停止</v>
      </c>
      <c r="AC176" s="30" t="n">
        <v>60</v>
      </c>
      <c r="AD176" s="30" t="n">
        <v>0</v>
      </c>
      <c r="AE176" s="30" t="str">
        <f aca="false">IF(AC176&lt;判定条件!$C$6,"判定不能",IF(AD176&gt;=判定条件!$C$7*AC176,"運転",IF(AD176&lt;=判定条件!$C$8*AC176,"停止","断続")))</f>
        <v>停止</v>
      </c>
      <c r="AF176" s="30" t="n">
        <v>60</v>
      </c>
      <c r="AG176" s="30" t="n">
        <v>0</v>
      </c>
      <c r="AH176" s="30" t="str">
        <f aca="false">IF(OR(P176="判定不能",G176="判定不能"),"判定不能",IF(AG176&gt;=判定条件!$C$9,"利用可",IF(AND(P176="停止",G176="停止"),"両方停止","運転がそろわない")))</f>
        <v>両方停止</v>
      </c>
      <c r="AI176" s="30" t="n">
        <v>60</v>
      </c>
      <c r="AJ176" s="30" t="n">
        <v>0</v>
      </c>
      <c r="AK176" s="30" t="str">
        <f aca="false">IF(OR(S176="判定不能",J176="判定不能"),"判定不能",IF(AJ176&gt;=判定条件!$C$9,"利用可",IF(AND(S176="停止",J176="停止"),"両方停止","運転がそろわない")))</f>
        <v>両方停止</v>
      </c>
      <c r="AL176" s="30" t="n">
        <v>60</v>
      </c>
      <c r="AM176" s="30" t="n">
        <v>0</v>
      </c>
      <c r="AN176" s="30" t="str">
        <f aca="false">IF(OR(V176="判定不能",M176="判定不能"),"判定不能",IF(AM176&gt;=判定条件!$C$9,"利用可",IF(AND(V176="停止",M176="停止"),"両方停止","運転がそろわない")))</f>
        <v>運転がそろわない</v>
      </c>
      <c r="AO176" s="30" t="n">
        <v>60</v>
      </c>
      <c r="AP176" s="30" t="n">
        <v>0</v>
      </c>
      <c r="AQ176" s="30" t="str">
        <f aca="false">IF(OR(Y176="判定不能",G176="判定不能"),"判定不能",IF(AP176&gt;=判定条件!$C$9,"利用可",IF(AND(Y176="停止",G176="停止"),"両方停止","運転がそろわない")))</f>
        <v>両方停止</v>
      </c>
      <c r="AR176" s="30" t="n">
        <v>60</v>
      </c>
      <c r="AS176" s="30" t="n">
        <v>0</v>
      </c>
      <c r="AT176" s="30" t="str">
        <f aca="false">IF(OR(AB176="判定不能",J176="判定不能"),"判定不能",IF(AS176&gt;=判定条件!$C$9,"利用可",IF(AND(AB176="停止",J176="停止"),"両方停止","運転がそろわない")))</f>
        <v>両方停止</v>
      </c>
      <c r="AU176" s="30" t="n">
        <v>60</v>
      </c>
      <c r="AV176" s="30" t="n">
        <v>0</v>
      </c>
      <c r="AW176" s="30" t="str">
        <f aca="false">IF(OR(AE176="判定不能",M176="判定不能"),"判定不能",IF(AV176&gt;=判定条件!$C$9,"利用可",IF(AND(AE176="停止",M176="停止"),"両方停止","運転がそろわない")))</f>
        <v>運転がそろわない</v>
      </c>
      <c r="AX176" s="30" t="str">
        <f aca="false">IF(AND(AH176="利用可",AK176="利用可",AN176="利用可"),"利用可","不可")</f>
        <v>不可</v>
      </c>
      <c r="AY176" s="30" t="str">
        <f aca="false">IF(AND(AQ176="利用可",AT176="利用可",AW176="利用可"),"利用可","不可")</f>
        <v>不可</v>
      </c>
    </row>
    <row r="177" customFormat="false" ht="15" hidden="false" customHeight="false" outlineLevel="0" collapsed="false">
      <c r="A177" s="29" t="n">
        <v>46239</v>
      </c>
      <c r="B177" s="30" t="n">
        <v>6</v>
      </c>
      <c r="C177" s="31" t="s">
        <v>58</v>
      </c>
      <c r="D177" s="31" t="s">
        <v>59</v>
      </c>
      <c r="E177" s="30" t="n">
        <v>60</v>
      </c>
      <c r="F177" s="30" t="n">
        <v>0</v>
      </c>
      <c r="G177" s="30" t="str">
        <f aca="false">IF(E177&lt;判定条件!$C$6,"判定不能",IF(F177&gt;=判定条件!$C$7*E177,"運転",IF(F177&lt;=判定条件!$C$8*E177,"停止","断続")))</f>
        <v>停止</v>
      </c>
      <c r="H177" s="30" t="n">
        <v>60</v>
      </c>
      <c r="I177" s="30" t="n">
        <v>0</v>
      </c>
      <c r="J177" s="30" t="str">
        <f aca="false">IF(H177&lt;判定条件!$C$6,"判定不能",IF(I177&gt;=判定条件!$C$7*H177,"運転",IF(I177&lt;=判定条件!$C$8*H177,"停止","断続")))</f>
        <v>停止</v>
      </c>
      <c r="K177" s="30" t="n">
        <v>60</v>
      </c>
      <c r="L177" s="30" t="n">
        <v>60</v>
      </c>
      <c r="M177" s="30" t="str">
        <f aca="false">IF(K177&lt;判定条件!$C$6,"判定不能",IF(L177&gt;=判定条件!$C$7*K177,"運転",IF(L177&lt;=判定条件!$C$8*K177,"停止","断続")))</f>
        <v>運転</v>
      </c>
      <c r="N177" s="30" t="n">
        <v>60</v>
      </c>
      <c r="O177" s="30" t="n">
        <v>9</v>
      </c>
      <c r="P177" s="30" t="str">
        <f aca="false">IF(N177&lt;判定条件!$C$6,"判定不能",IF(O177&gt;=判定条件!$C$7*N177,"運転",IF(O177&lt;=判定条件!$C$8*N177,"停止","断続")))</f>
        <v>停止</v>
      </c>
      <c r="Q177" s="30" t="n">
        <v>60</v>
      </c>
      <c r="R177" s="30" t="n">
        <v>0</v>
      </c>
      <c r="S177" s="30" t="str">
        <f aca="false">IF(Q177&lt;判定条件!$C$6,"判定不能",IF(R177&gt;=判定条件!$C$7*Q177,"運転",IF(R177&lt;=判定条件!$C$8*Q177,"停止","断続")))</f>
        <v>停止</v>
      </c>
      <c r="T177" s="30" t="n">
        <v>60</v>
      </c>
      <c r="U177" s="30" t="n">
        <v>0</v>
      </c>
      <c r="V177" s="30" t="str">
        <f aca="false">IF(T177&lt;判定条件!$C$6,"判定不能",IF(U177&gt;=判定条件!$C$7*T177,"運転",IF(U177&lt;=判定条件!$C$8*T177,"停止","断続")))</f>
        <v>停止</v>
      </c>
      <c r="W177" s="30" t="n">
        <v>60</v>
      </c>
      <c r="X177" s="30" t="n">
        <v>37</v>
      </c>
      <c r="Y177" s="30" t="str">
        <f aca="false">IF(W177&lt;判定条件!$C$6,"判定不能",IF(X177&gt;=判定条件!$C$7*W177,"運転",IF(X177&lt;=判定条件!$C$8*W177,"停止","断続")))</f>
        <v>断続</v>
      </c>
      <c r="Z177" s="30" t="n">
        <v>60</v>
      </c>
      <c r="AA177" s="30" t="n">
        <v>39</v>
      </c>
      <c r="AB177" s="30" t="str">
        <f aca="false">IF(Z177&lt;判定条件!$C$6,"判定不能",IF(AA177&gt;=判定条件!$C$7*Z177,"運転",IF(AA177&lt;=判定条件!$C$8*Z177,"停止","断続")))</f>
        <v>断続</v>
      </c>
      <c r="AC177" s="30" t="n">
        <v>60</v>
      </c>
      <c r="AD177" s="30" t="n">
        <v>39</v>
      </c>
      <c r="AE177" s="30" t="str">
        <f aca="false">IF(AC177&lt;判定条件!$C$6,"判定不能",IF(AD177&gt;=判定条件!$C$7*AC177,"運転",IF(AD177&lt;=判定条件!$C$8*AC177,"停止","断続")))</f>
        <v>断続</v>
      </c>
      <c r="AF177" s="30" t="n">
        <v>60</v>
      </c>
      <c r="AG177" s="30" t="n">
        <v>0</v>
      </c>
      <c r="AH177" s="30" t="str">
        <f aca="false">IF(OR(P177="判定不能",G177="判定不能"),"判定不能",IF(AG177&gt;=判定条件!$C$9,"利用可",IF(AND(P177="停止",G177="停止"),"両方停止","運転がそろわない")))</f>
        <v>両方停止</v>
      </c>
      <c r="AI177" s="30" t="n">
        <v>60</v>
      </c>
      <c r="AJ177" s="30" t="n">
        <v>0</v>
      </c>
      <c r="AK177" s="30" t="str">
        <f aca="false">IF(OR(S177="判定不能",J177="判定不能"),"判定不能",IF(AJ177&gt;=判定条件!$C$9,"利用可",IF(AND(S177="停止",J177="停止"),"両方停止","運転がそろわない")))</f>
        <v>両方停止</v>
      </c>
      <c r="AL177" s="30" t="n">
        <v>60</v>
      </c>
      <c r="AM177" s="30" t="n">
        <v>0</v>
      </c>
      <c r="AN177" s="30" t="str">
        <f aca="false">IF(OR(V177="判定不能",M177="判定不能"),"判定不能",IF(AM177&gt;=判定条件!$C$9,"利用可",IF(AND(V177="停止",M177="停止"),"両方停止","運転がそろわない")))</f>
        <v>運転がそろわない</v>
      </c>
      <c r="AO177" s="30" t="n">
        <v>60</v>
      </c>
      <c r="AP177" s="30" t="n">
        <v>0</v>
      </c>
      <c r="AQ177" s="30" t="str">
        <f aca="false">IF(OR(Y177="判定不能",G177="判定不能"),"判定不能",IF(AP177&gt;=判定条件!$C$9,"利用可",IF(AND(Y177="停止",G177="停止"),"両方停止","運転がそろわない")))</f>
        <v>運転がそろわない</v>
      </c>
      <c r="AR177" s="30" t="n">
        <v>60</v>
      </c>
      <c r="AS177" s="30" t="n">
        <v>0</v>
      </c>
      <c r="AT177" s="30" t="str">
        <f aca="false">IF(OR(AB177="判定不能",J177="判定不能"),"判定不能",IF(AS177&gt;=判定条件!$C$9,"利用可",IF(AND(AB177="停止",J177="停止"),"両方停止","運転がそろわない")))</f>
        <v>運転がそろわない</v>
      </c>
      <c r="AU177" s="30" t="n">
        <v>60</v>
      </c>
      <c r="AV177" s="30" t="n">
        <v>39</v>
      </c>
      <c r="AW177" s="30" t="str">
        <f aca="false">IF(OR(AE177="判定不能",M177="判定不能"),"判定不能",IF(AV177&gt;=判定条件!$C$9,"利用可",IF(AND(AE177="停止",M177="停止"),"両方停止","運転がそろわない")))</f>
        <v>利用可</v>
      </c>
      <c r="AX177" s="30" t="str">
        <f aca="false">IF(AND(AH177="利用可",AK177="利用可",AN177="利用可"),"利用可","不可")</f>
        <v>不可</v>
      </c>
      <c r="AY177" s="30" t="str">
        <f aca="false">IF(AND(AQ177="利用可",AT177="利用可",AW177="利用可"),"利用可","不可")</f>
        <v>不可</v>
      </c>
    </row>
    <row r="178" customFormat="false" ht="15" hidden="false" customHeight="false" outlineLevel="0" collapsed="false">
      <c r="A178" s="29" t="n">
        <v>46239</v>
      </c>
      <c r="B178" s="30" t="n">
        <v>7</v>
      </c>
      <c r="C178" s="31" t="s">
        <v>58</v>
      </c>
      <c r="D178" s="31" t="s">
        <v>59</v>
      </c>
      <c r="E178" s="30" t="n">
        <v>60</v>
      </c>
      <c r="F178" s="30" t="n">
        <v>0</v>
      </c>
      <c r="G178" s="30" t="str">
        <f aca="false">IF(E178&lt;判定条件!$C$6,"判定不能",IF(F178&gt;=判定条件!$C$7*E178,"運転",IF(F178&lt;=判定条件!$C$8*E178,"停止","断続")))</f>
        <v>停止</v>
      </c>
      <c r="H178" s="30" t="n">
        <v>60</v>
      </c>
      <c r="I178" s="30" t="n">
        <v>0</v>
      </c>
      <c r="J178" s="30" t="str">
        <f aca="false">IF(H178&lt;判定条件!$C$6,"判定不能",IF(I178&gt;=判定条件!$C$7*H178,"運転",IF(I178&lt;=判定条件!$C$8*H178,"停止","断続")))</f>
        <v>停止</v>
      </c>
      <c r="K178" s="30" t="n">
        <v>60</v>
      </c>
      <c r="L178" s="30" t="n">
        <v>60</v>
      </c>
      <c r="M178" s="30" t="str">
        <f aca="false">IF(K178&lt;判定条件!$C$6,"判定不能",IF(L178&gt;=判定条件!$C$7*K178,"運転",IF(L178&lt;=判定条件!$C$8*K178,"停止","断続")))</f>
        <v>運転</v>
      </c>
      <c r="N178" s="30" t="n">
        <v>60</v>
      </c>
      <c r="O178" s="30" t="n">
        <v>54</v>
      </c>
      <c r="P178" s="30" t="str">
        <f aca="false">IF(N178&lt;判定条件!$C$6,"判定不能",IF(O178&gt;=判定条件!$C$7*N178,"運転",IF(O178&lt;=判定条件!$C$8*N178,"停止","断続")))</f>
        <v>運転</v>
      </c>
      <c r="Q178" s="30" t="n">
        <v>60</v>
      </c>
      <c r="R178" s="30" t="n">
        <v>10</v>
      </c>
      <c r="S178" s="30" t="str">
        <f aca="false">IF(Q178&lt;判定条件!$C$6,"判定不能",IF(R178&gt;=判定条件!$C$7*Q178,"運転",IF(R178&lt;=判定条件!$C$8*Q178,"停止","断続")))</f>
        <v>停止</v>
      </c>
      <c r="T178" s="30" t="n">
        <v>60</v>
      </c>
      <c r="U178" s="30" t="n">
        <v>10</v>
      </c>
      <c r="V178" s="30" t="str">
        <f aca="false">IF(T178&lt;判定条件!$C$6,"判定不能",IF(U178&gt;=判定条件!$C$7*T178,"運転",IF(U178&lt;=判定条件!$C$8*T178,"停止","断続")))</f>
        <v>停止</v>
      </c>
      <c r="W178" s="30" t="n">
        <v>60</v>
      </c>
      <c r="X178" s="30" t="n">
        <v>35</v>
      </c>
      <c r="Y178" s="30" t="str">
        <f aca="false">IF(W178&lt;判定条件!$C$6,"判定不能",IF(X178&gt;=判定条件!$C$7*W178,"運転",IF(X178&lt;=判定条件!$C$8*W178,"停止","断続")))</f>
        <v>断続</v>
      </c>
      <c r="Z178" s="30" t="n">
        <v>60</v>
      </c>
      <c r="AA178" s="30" t="n">
        <v>39</v>
      </c>
      <c r="AB178" s="30" t="str">
        <f aca="false">IF(Z178&lt;判定条件!$C$6,"判定不能",IF(AA178&gt;=判定条件!$C$7*Z178,"運転",IF(AA178&lt;=判定条件!$C$8*Z178,"停止","断続")))</f>
        <v>断続</v>
      </c>
      <c r="AC178" s="30" t="n">
        <v>60</v>
      </c>
      <c r="AD178" s="30" t="n">
        <v>60</v>
      </c>
      <c r="AE178" s="30" t="str">
        <f aca="false">IF(AC178&lt;判定条件!$C$6,"判定不能",IF(AD178&gt;=判定条件!$C$7*AC178,"運転",IF(AD178&lt;=判定条件!$C$8*AC178,"停止","断続")))</f>
        <v>運転</v>
      </c>
      <c r="AF178" s="30" t="n">
        <v>60</v>
      </c>
      <c r="AG178" s="30" t="n">
        <v>0</v>
      </c>
      <c r="AH178" s="30" t="str">
        <f aca="false">IF(OR(P178="判定不能",G178="判定不能"),"判定不能",IF(AG178&gt;=判定条件!$C$9,"利用可",IF(AND(P178="停止",G178="停止"),"両方停止","運転がそろわない")))</f>
        <v>運転がそろわない</v>
      </c>
      <c r="AI178" s="30" t="n">
        <v>60</v>
      </c>
      <c r="AJ178" s="30" t="n">
        <v>0</v>
      </c>
      <c r="AK178" s="30" t="str">
        <f aca="false">IF(OR(S178="判定不能",J178="判定不能"),"判定不能",IF(AJ178&gt;=判定条件!$C$9,"利用可",IF(AND(S178="停止",J178="停止"),"両方停止","運転がそろわない")))</f>
        <v>両方停止</v>
      </c>
      <c r="AL178" s="30" t="n">
        <v>60</v>
      </c>
      <c r="AM178" s="30" t="n">
        <v>10</v>
      </c>
      <c r="AN178" s="30" t="str">
        <f aca="false">IF(OR(V178="判定不能",M178="判定不能"),"判定不能",IF(AM178&gt;=判定条件!$C$9,"利用可",IF(AND(V178="停止",M178="停止"),"両方停止","運転がそろわない")))</f>
        <v>運転がそろわない</v>
      </c>
      <c r="AO178" s="30" t="n">
        <v>60</v>
      </c>
      <c r="AP178" s="30" t="n">
        <v>0</v>
      </c>
      <c r="AQ178" s="30" t="str">
        <f aca="false">IF(OR(Y178="判定不能",G178="判定不能"),"判定不能",IF(AP178&gt;=判定条件!$C$9,"利用可",IF(AND(Y178="停止",G178="停止"),"両方停止","運転がそろわない")))</f>
        <v>運転がそろわない</v>
      </c>
      <c r="AR178" s="30" t="n">
        <v>60</v>
      </c>
      <c r="AS178" s="30" t="n">
        <v>0</v>
      </c>
      <c r="AT178" s="30" t="str">
        <f aca="false">IF(OR(AB178="判定不能",J178="判定不能"),"判定不能",IF(AS178&gt;=判定条件!$C$9,"利用可",IF(AND(AB178="停止",J178="停止"),"両方停止","運転がそろわない")))</f>
        <v>運転がそろわない</v>
      </c>
      <c r="AU178" s="30" t="n">
        <v>60</v>
      </c>
      <c r="AV178" s="30" t="n">
        <v>60</v>
      </c>
      <c r="AW178" s="30" t="str">
        <f aca="false">IF(OR(AE178="判定不能",M178="判定不能"),"判定不能",IF(AV178&gt;=判定条件!$C$9,"利用可",IF(AND(AE178="停止",M178="停止"),"両方停止","運転がそろわない")))</f>
        <v>利用可</v>
      </c>
      <c r="AX178" s="30" t="str">
        <f aca="false">IF(AND(AH178="利用可",AK178="利用可",AN178="利用可"),"利用可","不可")</f>
        <v>不可</v>
      </c>
      <c r="AY178" s="30" t="str">
        <f aca="false">IF(AND(AQ178="利用可",AT178="利用可",AW178="利用可"),"利用可","不可")</f>
        <v>不可</v>
      </c>
    </row>
    <row r="179" customFormat="false" ht="15" hidden="false" customHeight="false" outlineLevel="0" collapsed="false">
      <c r="A179" s="29" t="n">
        <v>46239</v>
      </c>
      <c r="B179" s="30" t="n">
        <v>8</v>
      </c>
      <c r="C179" s="31" t="s">
        <v>58</v>
      </c>
      <c r="D179" s="31" t="s">
        <v>59</v>
      </c>
      <c r="E179" s="30" t="n">
        <v>60</v>
      </c>
      <c r="F179" s="30" t="n">
        <v>0</v>
      </c>
      <c r="G179" s="30" t="str">
        <f aca="false">IF(E179&lt;判定条件!$C$6,"判定不能",IF(F179&gt;=判定条件!$C$7*E179,"運転",IF(F179&lt;=判定条件!$C$8*E179,"停止","断続")))</f>
        <v>停止</v>
      </c>
      <c r="H179" s="30" t="n">
        <v>60</v>
      </c>
      <c r="I179" s="30" t="n">
        <v>0</v>
      </c>
      <c r="J179" s="30" t="str">
        <f aca="false">IF(H179&lt;判定条件!$C$6,"判定不能",IF(I179&gt;=判定条件!$C$7*H179,"運転",IF(I179&lt;=判定条件!$C$8*H179,"停止","断続")))</f>
        <v>停止</v>
      </c>
      <c r="K179" s="30" t="n">
        <v>60</v>
      </c>
      <c r="L179" s="30" t="n">
        <v>60</v>
      </c>
      <c r="M179" s="30" t="str">
        <f aca="false">IF(K179&lt;判定条件!$C$6,"判定不能",IF(L179&gt;=判定条件!$C$7*K179,"運転",IF(L179&lt;=判定条件!$C$8*K179,"停止","断続")))</f>
        <v>運転</v>
      </c>
      <c r="N179" s="30" t="n">
        <v>60</v>
      </c>
      <c r="O179" s="30" t="n">
        <v>51</v>
      </c>
      <c r="P179" s="30" t="str">
        <f aca="false">IF(N179&lt;判定条件!$C$6,"判定不能",IF(O179&gt;=判定条件!$C$7*N179,"運転",IF(O179&lt;=判定条件!$C$8*N179,"停止","断続")))</f>
        <v>運転</v>
      </c>
      <c r="Q179" s="30" t="n">
        <v>60</v>
      </c>
      <c r="R179" s="30" t="n">
        <v>55</v>
      </c>
      <c r="S179" s="30" t="str">
        <f aca="false">IF(Q179&lt;判定条件!$C$6,"判定不能",IF(R179&gt;=判定条件!$C$7*Q179,"運転",IF(R179&lt;=判定条件!$C$8*Q179,"停止","断続")))</f>
        <v>運転</v>
      </c>
      <c r="T179" s="30" t="n">
        <v>60</v>
      </c>
      <c r="U179" s="30" t="n">
        <v>60</v>
      </c>
      <c r="V179" s="30" t="str">
        <f aca="false">IF(T179&lt;判定条件!$C$6,"判定不能",IF(U179&gt;=判定条件!$C$7*T179,"運転",IF(U179&lt;=判定条件!$C$8*T179,"停止","断続")))</f>
        <v>運転</v>
      </c>
      <c r="W179" s="30" t="n">
        <v>60</v>
      </c>
      <c r="X179" s="30" t="n">
        <v>55</v>
      </c>
      <c r="Y179" s="30" t="str">
        <f aca="false">IF(W179&lt;判定条件!$C$6,"判定不能",IF(X179&gt;=判定条件!$C$7*W179,"運転",IF(X179&lt;=判定条件!$C$8*W179,"停止","断続")))</f>
        <v>運転</v>
      </c>
      <c r="Z179" s="30" t="n">
        <v>60</v>
      </c>
      <c r="AA179" s="30" t="n">
        <v>60</v>
      </c>
      <c r="AB179" s="30" t="str">
        <f aca="false">IF(Z179&lt;判定条件!$C$6,"判定不能",IF(AA179&gt;=判定条件!$C$7*Z179,"運転",IF(AA179&lt;=判定条件!$C$8*Z179,"停止","断続")))</f>
        <v>運転</v>
      </c>
      <c r="AC179" s="30" t="n">
        <v>60</v>
      </c>
      <c r="AD179" s="30" t="n">
        <v>60</v>
      </c>
      <c r="AE179" s="30" t="str">
        <f aca="false">IF(AC179&lt;判定条件!$C$6,"判定不能",IF(AD179&gt;=判定条件!$C$7*AC179,"運転",IF(AD179&lt;=判定条件!$C$8*AC179,"停止","断続")))</f>
        <v>運転</v>
      </c>
      <c r="AF179" s="30" t="n">
        <v>60</v>
      </c>
      <c r="AG179" s="30" t="n">
        <v>0</v>
      </c>
      <c r="AH179" s="30" t="str">
        <f aca="false">IF(OR(P179="判定不能",G179="判定不能"),"判定不能",IF(AG179&gt;=判定条件!$C$9,"利用可",IF(AND(P179="停止",G179="停止"),"両方停止","運転がそろわない")))</f>
        <v>運転がそろわない</v>
      </c>
      <c r="AI179" s="30" t="n">
        <v>60</v>
      </c>
      <c r="AJ179" s="30" t="n">
        <v>0</v>
      </c>
      <c r="AK179" s="30" t="str">
        <f aca="false">IF(OR(S179="判定不能",J179="判定不能"),"判定不能",IF(AJ179&gt;=判定条件!$C$9,"利用可",IF(AND(S179="停止",J179="停止"),"両方停止","運転がそろわない")))</f>
        <v>運転がそろわない</v>
      </c>
      <c r="AL179" s="30" t="n">
        <v>60</v>
      </c>
      <c r="AM179" s="30" t="n">
        <v>60</v>
      </c>
      <c r="AN179" s="30" t="str">
        <f aca="false">IF(OR(V179="判定不能",M179="判定不能"),"判定不能",IF(AM179&gt;=判定条件!$C$9,"利用可",IF(AND(V179="停止",M179="停止"),"両方停止","運転がそろわない")))</f>
        <v>利用可</v>
      </c>
      <c r="AO179" s="30" t="n">
        <v>60</v>
      </c>
      <c r="AP179" s="30" t="n">
        <v>0</v>
      </c>
      <c r="AQ179" s="30" t="str">
        <f aca="false">IF(OR(Y179="判定不能",G179="判定不能"),"判定不能",IF(AP179&gt;=判定条件!$C$9,"利用可",IF(AND(Y179="停止",G179="停止"),"両方停止","運転がそろわない")))</f>
        <v>運転がそろわない</v>
      </c>
      <c r="AR179" s="30" t="n">
        <v>60</v>
      </c>
      <c r="AS179" s="30" t="n">
        <v>0</v>
      </c>
      <c r="AT179" s="30" t="str">
        <f aca="false">IF(OR(AB179="判定不能",J179="判定不能"),"判定不能",IF(AS179&gt;=判定条件!$C$9,"利用可",IF(AND(AB179="停止",J179="停止"),"両方停止","運転がそろわない")))</f>
        <v>運転がそろわない</v>
      </c>
      <c r="AU179" s="30" t="n">
        <v>60</v>
      </c>
      <c r="AV179" s="30" t="n">
        <v>60</v>
      </c>
      <c r="AW179" s="30" t="str">
        <f aca="false">IF(OR(AE179="判定不能",M179="判定不能"),"判定不能",IF(AV179&gt;=判定条件!$C$9,"利用可",IF(AND(AE179="停止",M179="停止"),"両方停止","運転がそろわない")))</f>
        <v>利用可</v>
      </c>
      <c r="AX179" s="30" t="str">
        <f aca="false">IF(AND(AH179="利用可",AK179="利用可",AN179="利用可"),"利用可","不可")</f>
        <v>不可</v>
      </c>
      <c r="AY179" s="30" t="str">
        <f aca="false">IF(AND(AQ179="利用可",AT179="利用可",AW179="利用可"),"利用可","不可")</f>
        <v>不可</v>
      </c>
    </row>
    <row r="180" customFormat="false" ht="15" hidden="false" customHeight="false" outlineLevel="0" collapsed="false">
      <c r="A180" s="29" t="n">
        <v>46239</v>
      </c>
      <c r="B180" s="30" t="n">
        <v>9</v>
      </c>
      <c r="C180" s="31" t="s">
        <v>58</v>
      </c>
      <c r="D180" s="31" t="s">
        <v>59</v>
      </c>
      <c r="E180" s="30" t="n">
        <v>60</v>
      </c>
      <c r="F180" s="30" t="n">
        <v>47</v>
      </c>
      <c r="G180" s="30" t="str">
        <f aca="false">IF(E180&lt;判定条件!$C$6,"判定不能",IF(F180&gt;=判定条件!$C$7*E180,"運転",IF(F180&lt;=判定条件!$C$8*E180,"停止","断続")))</f>
        <v>断続</v>
      </c>
      <c r="H180" s="30" t="n">
        <v>60</v>
      </c>
      <c r="I180" s="30" t="n">
        <v>47</v>
      </c>
      <c r="J180" s="30" t="str">
        <f aca="false">IF(H180&lt;判定条件!$C$6,"判定不能",IF(I180&gt;=判定条件!$C$7*H180,"運転",IF(I180&lt;=判定条件!$C$8*H180,"停止","断続")))</f>
        <v>断続</v>
      </c>
      <c r="K180" s="30" t="n">
        <v>60</v>
      </c>
      <c r="L180" s="30" t="n">
        <v>60</v>
      </c>
      <c r="M180" s="30" t="str">
        <f aca="false">IF(K180&lt;判定条件!$C$6,"判定不能",IF(L180&gt;=判定条件!$C$7*K180,"運転",IF(L180&lt;=判定条件!$C$8*K180,"停止","断続")))</f>
        <v>運転</v>
      </c>
      <c r="N180" s="30" t="n">
        <v>60</v>
      </c>
      <c r="O180" s="30" t="n">
        <v>58</v>
      </c>
      <c r="P180" s="30" t="str">
        <f aca="false">IF(N180&lt;判定条件!$C$6,"判定不能",IF(O180&gt;=判定条件!$C$7*N180,"運転",IF(O180&lt;=判定条件!$C$8*N180,"停止","断続")))</f>
        <v>運転</v>
      </c>
      <c r="Q180" s="30" t="n">
        <v>60</v>
      </c>
      <c r="R180" s="30" t="n">
        <v>60</v>
      </c>
      <c r="S180" s="30" t="str">
        <f aca="false">IF(Q180&lt;判定条件!$C$6,"判定不能",IF(R180&gt;=判定条件!$C$7*Q180,"運転",IF(R180&lt;=判定条件!$C$8*Q180,"停止","断続")))</f>
        <v>運転</v>
      </c>
      <c r="T180" s="30" t="n">
        <v>60</v>
      </c>
      <c r="U180" s="30" t="n">
        <v>60</v>
      </c>
      <c r="V180" s="30" t="str">
        <f aca="false">IF(T180&lt;判定条件!$C$6,"判定不能",IF(U180&gt;=判定条件!$C$7*T180,"運転",IF(U180&lt;=判定条件!$C$8*T180,"停止","断続")))</f>
        <v>運転</v>
      </c>
      <c r="W180" s="30" t="n">
        <v>60</v>
      </c>
      <c r="X180" s="30" t="n">
        <v>48</v>
      </c>
      <c r="Y180" s="30" t="str">
        <f aca="false">IF(W180&lt;判定条件!$C$6,"判定不能",IF(X180&gt;=判定条件!$C$7*W180,"運転",IF(X180&lt;=判定条件!$C$8*W180,"停止","断続")))</f>
        <v>運転</v>
      </c>
      <c r="Z180" s="30" t="n">
        <v>60</v>
      </c>
      <c r="AA180" s="30" t="n">
        <v>60</v>
      </c>
      <c r="AB180" s="30" t="str">
        <f aca="false">IF(Z180&lt;判定条件!$C$6,"判定不能",IF(AA180&gt;=判定条件!$C$7*Z180,"運転",IF(AA180&lt;=判定条件!$C$8*Z180,"停止","断続")))</f>
        <v>運転</v>
      </c>
      <c r="AC180" s="30" t="n">
        <v>60</v>
      </c>
      <c r="AD180" s="30" t="n">
        <v>60</v>
      </c>
      <c r="AE180" s="30" t="str">
        <f aca="false">IF(AC180&lt;判定条件!$C$6,"判定不能",IF(AD180&gt;=判定条件!$C$7*AC180,"運転",IF(AD180&lt;=判定条件!$C$8*AC180,"停止","断続")))</f>
        <v>運転</v>
      </c>
      <c r="AF180" s="30" t="n">
        <v>60</v>
      </c>
      <c r="AG180" s="30" t="n">
        <v>46</v>
      </c>
      <c r="AH180" s="30" t="str">
        <f aca="false">IF(OR(P180="判定不能",G180="判定不能"),"判定不能",IF(AG180&gt;=判定条件!$C$9,"利用可",IF(AND(P180="停止",G180="停止"),"両方停止","運転がそろわない")))</f>
        <v>利用可</v>
      </c>
      <c r="AI180" s="30" t="n">
        <v>60</v>
      </c>
      <c r="AJ180" s="30" t="n">
        <v>47</v>
      </c>
      <c r="AK180" s="30" t="str">
        <f aca="false">IF(OR(S180="判定不能",J180="判定不能"),"判定不能",IF(AJ180&gt;=判定条件!$C$9,"利用可",IF(AND(S180="停止",J180="停止"),"両方停止","運転がそろわない")))</f>
        <v>利用可</v>
      </c>
      <c r="AL180" s="30" t="n">
        <v>60</v>
      </c>
      <c r="AM180" s="30" t="n">
        <v>60</v>
      </c>
      <c r="AN180" s="30" t="str">
        <f aca="false">IF(OR(V180="判定不能",M180="判定不能"),"判定不能",IF(AM180&gt;=判定条件!$C$9,"利用可",IF(AND(V180="停止",M180="停止"),"両方停止","運転がそろわない")))</f>
        <v>利用可</v>
      </c>
      <c r="AO180" s="30" t="n">
        <v>60</v>
      </c>
      <c r="AP180" s="30" t="n">
        <v>35</v>
      </c>
      <c r="AQ180" s="30" t="str">
        <f aca="false">IF(OR(Y180="判定不能",G180="判定不能"),"判定不能",IF(AP180&gt;=判定条件!$C$9,"利用可",IF(AND(Y180="停止",G180="停止"),"両方停止","運転がそろわない")))</f>
        <v>利用可</v>
      </c>
      <c r="AR180" s="30" t="n">
        <v>60</v>
      </c>
      <c r="AS180" s="30" t="n">
        <v>47</v>
      </c>
      <c r="AT180" s="30" t="str">
        <f aca="false">IF(OR(AB180="判定不能",J180="判定不能"),"判定不能",IF(AS180&gt;=判定条件!$C$9,"利用可",IF(AND(AB180="停止",J180="停止"),"両方停止","運転がそろわない")))</f>
        <v>利用可</v>
      </c>
      <c r="AU180" s="30" t="n">
        <v>60</v>
      </c>
      <c r="AV180" s="30" t="n">
        <v>60</v>
      </c>
      <c r="AW180" s="30" t="str">
        <f aca="false">IF(OR(AE180="判定不能",M180="判定不能"),"判定不能",IF(AV180&gt;=判定条件!$C$9,"利用可",IF(AND(AE180="停止",M180="停止"),"両方停止","運転がそろわない")))</f>
        <v>利用可</v>
      </c>
      <c r="AX180" s="30" t="str">
        <f aca="false">IF(AND(AH180="利用可",AK180="利用可",AN180="利用可"),"利用可","不可")</f>
        <v>利用可</v>
      </c>
      <c r="AY180" s="30" t="str">
        <f aca="false">IF(AND(AQ180="利用可",AT180="利用可",AW180="利用可"),"利用可","不可")</f>
        <v>利用可</v>
      </c>
    </row>
    <row r="181" customFormat="false" ht="15" hidden="false" customHeight="false" outlineLevel="0" collapsed="false">
      <c r="A181" s="29" t="n">
        <v>46239</v>
      </c>
      <c r="B181" s="30" t="n">
        <v>10</v>
      </c>
      <c r="C181" s="31" t="s">
        <v>58</v>
      </c>
      <c r="D181" s="31" t="s">
        <v>59</v>
      </c>
      <c r="E181" s="30" t="n">
        <v>60</v>
      </c>
      <c r="F181" s="30" t="n">
        <v>60</v>
      </c>
      <c r="G181" s="30" t="str">
        <f aca="false">IF(E181&lt;判定条件!$C$6,"判定不能",IF(F181&gt;=判定条件!$C$7*E181,"運転",IF(F181&lt;=判定条件!$C$8*E181,"停止","断続")))</f>
        <v>運転</v>
      </c>
      <c r="H181" s="30" t="n">
        <v>60</v>
      </c>
      <c r="I181" s="30" t="n">
        <v>60</v>
      </c>
      <c r="J181" s="30" t="str">
        <f aca="false">IF(H181&lt;判定条件!$C$6,"判定不能",IF(I181&gt;=判定条件!$C$7*H181,"運転",IF(I181&lt;=判定条件!$C$8*H181,"停止","断続")))</f>
        <v>運転</v>
      </c>
      <c r="K181" s="30" t="n">
        <v>60</v>
      </c>
      <c r="L181" s="30" t="n">
        <v>60</v>
      </c>
      <c r="M181" s="30" t="str">
        <f aca="false">IF(K181&lt;判定条件!$C$6,"判定不能",IF(L181&gt;=判定条件!$C$7*K181,"運転",IF(L181&lt;=判定条件!$C$8*K181,"停止","断続")))</f>
        <v>運転</v>
      </c>
      <c r="N181" s="30" t="n">
        <v>60</v>
      </c>
      <c r="O181" s="30" t="n">
        <v>37</v>
      </c>
      <c r="P181" s="30" t="str">
        <f aca="false">IF(N181&lt;判定条件!$C$6,"判定不能",IF(O181&gt;=判定条件!$C$7*N181,"運転",IF(O181&lt;=判定条件!$C$8*N181,"停止","断続")))</f>
        <v>断続</v>
      </c>
      <c r="Q181" s="30" t="n">
        <v>60</v>
      </c>
      <c r="R181" s="30" t="n">
        <v>50</v>
      </c>
      <c r="S181" s="30" t="str">
        <f aca="false">IF(Q181&lt;判定条件!$C$6,"判定不能",IF(R181&gt;=判定条件!$C$7*Q181,"運転",IF(R181&lt;=判定条件!$C$8*Q181,"停止","断続")))</f>
        <v>運転</v>
      </c>
      <c r="T181" s="30" t="n">
        <v>60</v>
      </c>
      <c r="U181" s="30" t="n">
        <v>60</v>
      </c>
      <c r="V181" s="30" t="str">
        <f aca="false">IF(T181&lt;判定条件!$C$6,"判定不能",IF(U181&gt;=判定条件!$C$7*T181,"運転",IF(U181&lt;=判定条件!$C$8*T181,"停止","断続")))</f>
        <v>運転</v>
      </c>
      <c r="W181" s="30" t="n">
        <v>60</v>
      </c>
      <c r="X181" s="30" t="n">
        <v>60</v>
      </c>
      <c r="Y181" s="30" t="str">
        <f aca="false">IF(W181&lt;判定条件!$C$6,"判定不能",IF(X181&gt;=判定条件!$C$7*W181,"運転",IF(X181&lt;=判定条件!$C$8*W181,"停止","断続")))</f>
        <v>運転</v>
      </c>
      <c r="Z181" s="30" t="n">
        <v>60</v>
      </c>
      <c r="AA181" s="30" t="n">
        <v>60</v>
      </c>
      <c r="AB181" s="30" t="str">
        <f aca="false">IF(Z181&lt;判定条件!$C$6,"判定不能",IF(AA181&gt;=判定条件!$C$7*Z181,"運転",IF(AA181&lt;=判定条件!$C$8*Z181,"停止","断続")))</f>
        <v>運転</v>
      </c>
      <c r="AC181" s="30" t="n">
        <v>60</v>
      </c>
      <c r="AD181" s="30" t="n">
        <v>60</v>
      </c>
      <c r="AE181" s="30" t="str">
        <f aca="false">IF(AC181&lt;判定条件!$C$6,"判定不能",IF(AD181&gt;=判定条件!$C$7*AC181,"運転",IF(AD181&lt;=判定条件!$C$8*AC181,"停止","断続")))</f>
        <v>運転</v>
      </c>
      <c r="AF181" s="30" t="n">
        <v>60</v>
      </c>
      <c r="AG181" s="30" t="n">
        <v>37</v>
      </c>
      <c r="AH181" s="30" t="str">
        <f aca="false">IF(OR(P181="判定不能",G181="判定不能"),"判定不能",IF(AG181&gt;=判定条件!$C$9,"利用可",IF(AND(P181="停止",G181="停止"),"両方停止","運転がそろわない")))</f>
        <v>利用可</v>
      </c>
      <c r="AI181" s="30" t="n">
        <v>60</v>
      </c>
      <c r="AJ181" s="30" t="n">
        <v>50</v>
      </c>
      <c r="AK181" s="30" t="str">
        <f aca="false">IF(OR(S181="判定不能",J181="判定不能"),"判定不能",IF(AJ181&gt;=判定条件!$C$9,"利用可",IF(AND(S181="停止",J181="停止"),"両方停止","運転がそろわない")))</f>
        <v>利用可</v>
      </c>
      <c r="AL181" s="30" t="n">
        <v>60</v>
      </c>
      <c r="AM181" s="30" t="n">
        <v>60</v>
      </c>
      <c r="AN181" s="30" t="str">
        <f aca="false">IF(OR(V181="判定不能",M181="判定不能"),"判定不能",IF(AM181&gt;=判定条件!$C$9,"利用可",IF(AND(V181="停止",M181="停止"),"両方停止","運転がそろわない")))</f>
        <v>利用可</v>
      </c>
      <c r="AO181" s="30" t="n">
        <v>60</v>
      </c>
      <c r="AP181" s="30" t="n">
        <v>60</v>
      </c>
      <c r="AQ181" s="30" t="str">
        <f aca="false">IF(OR(Y181="判定不能",G181="判定不能"),"判定不能",IF(AP181&gt;=判定条件!$C$9,"利用可",IF(AND(Y181="停止",G181="停止"),"両方停止","運転がそろわない")))</f>
        <v>利用可</v>
      </c>
      <c r="AR181" s="30" t="n">
        <v>60</v>
      </c>
      <c r="AS181" s="30" t="n">
        <v>60</v>
      </c>
      <c r="AT181" s="30" t="str">
        <f aca="false">IF(OR(AB181="判定不能",J181="判定不能"),"判定不能",IF(AS181&gt;=判定条件!$C$9,"利用可",IF(AND(AB181="停止",J181="停止"),"両方停止","運転がそろわない")))</f>
        <v>利用可</v>
      </c>
      <c r="AU181" s="30" t="n">
        <v>60</v>
      </c>
      <c r="AV181" s="30" t="n">
        <v>60</v>
      </c>
      <c r="AW181" s="30" t="str">
        <f aca="false">IF(OR(AE181="判定不能",M181="判定不能"),"判定不能",IF(AV181&gt;=判定条件!$C$9,"利用可",IF(AND(AE181="停止",M181="停止"),"両方停止","運転がそろわない")))</f>
        <v>利用可</v>
      </c>
      <c r="AX181" s="30" t="str">
        <f aca="false">IF(AND(AH181="利用可",AK181="利用可",AN181="利用可"),"利用可","不可")</f>
        <v>利用可</v>
      </c>
      <c r="AY181" s="30" t="str">
        <f aca="false">IF(AND(AQ181="利用可",AT181="利用可",AW181="利用可"),"利用可","不可")</f>
        <v>利用可</v>
      </c>
    </row>
    <row r="182" customFormat="false" ht="15" hidden="false" customHeight="false" outlineLevel="0" collapsed="false">
      <c r="A182" s="29" t="n">
        <v>46239</v>
      </c>
      <c r="B182" s="30" t="n">
        <v>11</v>
      </c>
      <c r="C182" s="31" t="s">
        <v>58</v>
      </c>
      <c r="D182" s="31" t="s">
        <v>59</v>
      </c>
      <c r="E182" s="30" t="n">
        <v>60</v>
      </c>
      <c r="F182" s="30" t="n">
        <v>60</v>
      </c>
      <c r="G182" s="30" t="str">
        <f aca="false">IF(E182&lt;判定条件!$C$6,"判定不能",IF(F182&gt;=判定条件!$C$7*E182,"運転",IF(F182&lt;=判定条件!$C$8*E182,"停止","断続")))</f>
        <v>運転</v>
      </c>
      <c r="H182" s="30" t="n">
        <v>60</v>
      </c>
      <c r="I182" s="30" t="n">
        <v>60</v>
      </c>
      <c r="J182" s="30" t="str">
        <f aca="false">IF(H182&lt;判定条件!$C$6,"判定不能",IF(I182&gt;=判定条件!$C$7*H182,"運転",IF(I182&lt;=判定条件!$C$8*H182,"停止","断続")))</f>
        <v>運転</v>
      </c>
      <c r="K182" s="30" t="n">
        <v>60</v>
      </c>
      <c r="L182" s="30" t="n">
        <v>60</v>
      </c>
      <c r="M182" s="30" t="str">
        <f aca="false">IF(K182&lt;判定条件!$C$6,"判定不能",IF(L182&gt;=判定条件!$C$7*K182,"運転",IF(L182&lt;=判定条件!$C$8*K182,"停止","断続")))</f>
        <v>運転</v>
      </c>
      <c r="N182" s="30" t="n">
        <v>60</v>
      </c>
      <c r="O182" s="30" t="n">
        <v>40</v>
      </c>
      <c r="P182" s="30" t="str">
        <f aca="false">IF(N182&lt;判定条件!$C$6,"判定不能",IF(O182&gt;=判定条件!$C$7*N182,"運転",IF(O182&lt;=判定条件!$C$8*N182,"停止","断続")))</f>
        <v>断続</v>
      </c>
      <c r="Q182" s="30" t="n">
        <v>60</v>
      </c>
      <c r="R182" s="30" t="n">
        <v>50</v>
      </c>
      <c r="S182" s="30" t="str">
        <f aca="false">IF(Q182&lt;判定条件!$C$6,"判定不能",IF(R182&gt;=判定条件!$C$7*Q182,"運転",IF(R182&lt;=判定条件!$C$8*Q182,"停止","断続")))</f>
        <v>運転</v>
      </c>
      <c r="T182" s="30" t="n">
        <v>60</v>
      </c>
      <c r="U182" s="30" t="n">
        <v>60</v>
      </c>
      <c r="V182" s="30" t="str">
        <f aca="false">IF(T182&lt;判定条件!$C$6,"判定不能",IF(U182&gt;=判定条件!$C$7*T182,"運転",IF(U182&lt;=判定条件!$C$8*T182,"停止","断続")))</f>
        <v>運転</v>
      </c>
      <c r="W182" s="30" t="n">
        <v>60</v>
      </c>
      <c r="X182" s="30" t="n">
        <v>60</v>
      </c>
      <c r="Y182" s="30" t="str">
        <f aca="false">IF(W182&lt;判定条件!$C$6,"判定不能",IF(X182&gt;=判定条件!$C$7*W182,"運転",IF(X182&lt;=判定条件!$C$8*W182,"停止","断続")))</f>
        <v>運転</v>
      </c>
      <c r="Z182" s="30" t="n">
        <v>60</v>
      </c>
      <c r="AA182" s="30" t="n">
        <v>60</v>
      </c>
      <c r="AB182" s="30" t="str">
        <f aca="false">IF(Z182&lt;判定条件!$C$6,"判定不能",IF(AA182&gt;=判定条件!$C$7*Z182,"運転",IF(AA182&lt;=判定条件!$C$8*Z182,"停止","断続")))</f>
        <v>運転</v>
      </c>
      <c r="AC182" s="30" t="n">
        <v>60</v>
      </c>
      <c r="AD182" s="30" t="n">
        <v>60</v>
      </c>
      <c r="AE182" s="30" t="str">
        <f aca="false">IF(AC182&lt;判定条件!$C$6,"判定不能",IF(AD182&gt;=判定条件!$C$7*AC182,"運転",IF(AD182&lt;=判定条件!$C$8*AC182,"停止","断続")))</f>
        <v>運転</v>
      </c>
      <c r="AF182" s="30" t="n">
        <v>60</v>
      </c>
      <c r="AG182" s="30" t="n">
        <v>40</v>
      </c>
      <c r="AH182" s="30" t="str">
        <f aca="false">IF(OR(P182="判定不能",G182="判定不能"),"判定不能",IF(AG182&gt;=判定条件!$C$9,"利用可",IF(AND(P182="停止",G182="停止"),"両方停止","運転がそろわない")))</f>
        <v>利用可</v>
      </c>
      <c r="AI182" s="30" t="n">
        <v>60</v>
      </c>
      <c r="AJ182" s="30" t="n">
        <v>50</v>
      </c>
      <c r="AK182" s="30" t="str">
        <f aca="false">IF(OR(S182="判定不能",J182="判定不能"),"判定不能",IF(AJ182&gt;=判定条件!$C$9,"利用可",IF(AND(S182="停止",J182="停止"),"両方停止","運転がそろわない")))</f>
        <v>利用可</v>
      </c>
      <c r="AL182" s="30" t="n">
        <v>60</v>
      </c>
      <c r="AM182" s="30" t="n">
        <v>60</v>
      </c>
      <c r="AN182" s="30" t="str">
        <f aca="false">IF(OR(V182="判定不能",M182="判定不能"),"判定不能",IF(AM182&gt;=判定条件!$C$9,"利用可",IF(AND(V182="停止",M182="停止"),"両方停止","運転がそろわない")))</f>
        <v>利用可</v>
      </c>
      <c r="AO182" s="30" t="n">
        <v>60</v>
      </c>
      <c r="AP182" s="30" t="n">
        <v>60</v>
      </c>
      <c r="AQ182" s="30" t="str">
        <f aca="false">IF(OR(Y182="判定不能",G182="判定不能"),"判定不能",IF(AP182&gt;=判定条件!$C$9,"利用可",IF(AND(Y182="停止",G182="停止"),"両方停止","運転がそろわない")))</f>
        <v>利用可</v>
      </c>
      <c r="AR182" s="30" t="n">
        <v>60</v>
      </c>
      <c r="AS182" s="30" t="n">
        <v>60</v>
      </c>
      <c r="AT182" s="30" t="str">
        <f aca="false">IF(OR(AB182="判定不能",J182="判定不能"),"判定不能",IF(AS182&gt;=判定条件!$C$9,"利用可",IF(AND(AB182="停止",J182="停止"),"両方停止","運転がそろわない")))</f>
        <v>利用可</v>
      </c>
      <c r="AU182" s="30" t="n">
        <v>60</v>
      </c>
      <c r="AV182" s="30" t="n">
        <v>60</v>
      </c>
      <c r="AW182" s="30" t="str">
        <f aca="false">IF(OR(AE182="判定不能",M182="判定不能"),"判定不能",IF(AV182&gt;=判定条件!$C$9,"利用可",IF(AND(AE182="停止",M182="停止"),"両方停止","運転がそろわない")))</f>
        <v>利用可</v>
      </c>
      <c r="AX182" s="30" t="str">
        <f aca="false">IF(AND(AH182="利用可",AK182="利用可",AN182="利用可"),"利用可","不可")</f>
        <v>利用可</v>
      </c>
      <c r="AY182" s="30" t="str">
        <f aca="false">IF(AND(AQ182="利用可",AT182="利用可",AW182="利用可"),"利用可","不可")</f>
        <v>利用可</v>
      </c>
    </row>
    <row r="183" customFormat="false" ht="15" hidden="false" customHeight="false" outlineLevel="0" collapsed="false">
      <c r="A183" s="29" t="n">
        <v>46239</v>
      </c>
      <c r="B183" s="30" t="n">
        <v>12</v>
      </c>
      <c r="C183" s="31" t="s">
        <v>58</v>
      </c>
      <c r="D183" s="31" t="s">
        <v>59</v>
      </c>
      <c r="E183" s="30" t="n">
        <v>60</v>
      </c>
      <c r="F183" s="30" t="n">
        <v>60</v>
      </c>
      <c r="G183" s="30" t="str">
        <f aca="false">IF(E183&lt;判定条件!$C$6,"判定不能",IF(F183&gt;=判定条件!$C$7*E183,"運転",IF(F183&lt;=判定条件!$C$8*E183,"停止","断続")))</f>
        <v>運転</v>
      </c>
      <c r="H183" s="30" t="n">
        <v>60</v>
      </c>
      <c r="I183" s="30" t="n">
        <v>54</v>
      </c>
      <c r="J183" s="30" t="str">
        <f aca="false">IF(H183&lt;判定条件!$C$6,"判定不能",IF(I183&gt;=判定条件!$C$7*H183,"運転",IF(I183&lt;=判定条件!$C$8*H183,"停止","断続")))</f>
        <v>運転</v>
      </c>
      <c r="K183" s="30" t="n">
        <v>60</v>
      </c>
      <c r="L183" s="30" t="n">
        <v>60</v>
      </c>
      <c r="M183" s="30" t="str">
        <f aca="false">IF(K183&lt;判定条件!$C$6,"判定不能",IF(L183&gt;=判定条件!$C$7*K183,"運転",IF(L183&lt;=判定条件!$C$8*K183,"停止","断続")))</f>
        <v>運転</v>
      </c>
      <c r="N183" s="30" t="n">
        <v>60</v>
      </c>
      <c r="O183" s="30" t="n">
        <v>40</v>
      </c>
      <c r="P183" s="30" t="str">
        <f aca="false">IF(N183&lt;判定条件!$C$6,"判定不能",IF(O183&gt;=判定条件!$C$7*N183,"運転",IF(O183&lt;=判定条件!$C$8*N183,"停止","断続")))</f>
        <v>断続</v>
      </c>
      <c r="Q183" s="30" t="n">
        <v>60</v>
      </c>
      <c r="R183" s="30" t="n">
        <v>60</v>
      </c>
      <c r="S183" s="30" t="str">
        <f aca="false">IF(Q183&lt;判定条件!$C$6,"判定不能",IF(R183&gt;=判定条件!$C$7*Q183,"運転",IF(R183&lt;=判定条件!$C$8*Q183,"停止","断続")))</f>
        <v>運転</v>
      </c>
      <c r="T183" s="30" t="n">
        <v>60</v>
      </c>
      <c r="U183" s="30" t="n">
        <v>55</v>
      </c>
      <c r="V183" s="30" t="str">
        <f aca="false">IF(T183&lt;判定条件!$C$6,"判定不能",IF(U183&gt;=判定条件!$C$7*T183,"運転",IF(U183&lt;=判定条件!$C$8*T183,"停止","断続")))</f>
        <v>運転</v>
      </c>
      <c r="W183" s="30" t="n">
        <v>60</v>
      </c>
      <c r="X183" s="30" t="n">
        <v>49</v>
      </c>
      <c r="Y183" s="30" t="str">
        <f aca="false">IF(W183&lt;判定条件!$C$6,"判定不能",IF(X183&gt;=判定条件!$C$7*W183,"運転",IF(X183&lt;=判定条件!$C$8*W183,"停止","断続")))</f>
        <v>運転</v>
      </c>
      <c r="Z183" s="30" t="n">
        <v>60</v>
      </c>
      <c r="AA183" s="30" t="n">
        <v>42</v>
      </c>
      <c r="AB183" s="30" t="str">
        <f aca="false">IF(Z183&lt;判定条件!$C$6,"判定不能",IF(AA183&gt;=判定条件!$C$7*Z183,"運転",IF(AA183&lt;=判定条件!$C$8*Z183,"停止","断続")))</f>
        <v>断続</v>
      </c>
      <c r="AC183" s="30" t="n">
        <v>60</v>
      </c>
      <c r="AD183" s="30" t="n">
        <v>60</v>
      </c>
      <c r="AE183" s="30" t="str">
        <f aca="false">IF(AC183&lt;判定条件!$C$6,"判定不能",IF(AD183&gt;=判定条件!$C$7*AC183,"運転",IF(AD183&lt;=判定条件!$C$8*AC183,"停止","断続")))</f>
        <v>運転</v>
      </c>
      <c r="AF183" s="30" t="n">
        <v>60</v>
      </c>
      <c r="AG183" s="30" t="n">
        <v>40</v>
      </c>
      <c r="AH183" s="30" t="str">
        <f aca="false">IF(OR(P183="判定不能",G183="判定不能"),"判定不能",IF(AG183&gt;=判定条件!$C$9,"利用可",IF(AND(P183="停止",G183="停止"),"両方停止","運転がそろわない")))</f>
        <v>利用可</v>
      </c>
      <c r="AI183" s="30" t="n">
        <v>60</v>
      </c>
      <c r="AJ183" s="30" t="n">
        <v>54</v>
      </c>
      <c r="AK183" s="30" t="str">
        <f aca="false">IF(OR(S183="判定不能",J183="判定不能"),"判定不能",IF(AJ183&gt;=判定条件!$C$9,"利用可",IF(AND(S183="停止",J183="停止"),"両方停止","運転がそろわない")))</f>
        <v>利用可</v>
      </c>
      <c r="AL183" s="30" t="n">
        <v>60</v>
      </c>
      <c r="AM183" s="30" t="n">
        <v>55</v>
      </c>
      <c r="AN183" s="30" t="str">
        <f aca="false">IF(OR(V183="判定不能",M183="判定不能"),"判定不能",IF(AM183&gt;=判定条件!$C$9,"利用可",IF(AND(V183="停止",M183="停止"),"両方停止","運転がそろわない")))</f>
        <v>利用可</v>
      </c>
      <c r="AO183" s="30" t="n">
        <v>60</v>
      </c>
      <c r="AP183" s="30" t="n">
        <v>49</v>
      </c>
      <c r="AQ183" s="30" t="str">
        <f aca="false">IF(OR(Y183="判定不能",G183="判定不能"),"判定不能",IF(AP183&gt;=判定条件!$C$9,"利用可",IF(AND(Y183="停止",G183="停止"),"両方停止","運転がそろわない")))</f>
        <v>利用可</v>
      </c>
      <c r="AR183" s="30" t="n">
        <v>60</v>
      </c>
      <c r="AS183" s="30" t="n">
        <v>36</v>
      </c>
      <c r="AT183" s="30" t="str">
        <f aca="false">IF(OR(AB183="判定不能",J183="判定不能"),"判定不能",IF(AS183&gt;=判定条件!$C$9,"利用可",IF(AND(AB183="停止",J183="停止"),"両方停止","運転がそろわない")))</f>
        <v>利用可</v>
      </c>
      <c r="AU183" s="30" t="n">
        <v>60</v>
      </c>
      <c r="AV183" s="30" t="n">
        <v>60</v>
      </c>
      <c r="AW183" s="30" t="str">
        <f aca="false">IF(OR(AE183="判定不能",M183="判定不能"),"判定不能",IF(AV183&gt;=判定条件!$C$9,"利用可",IF(AND(AE183="停止",M183="停止"),"両方停止","運転がそろわない")))</f>
        <v>利用可</v>
      </c>
      <c r="AX183" s="30" t="str">
        <f aca="false">IF(AND(AH183="利用可",AK183="利用可",AN183="利用可"),"利用可","不可")</f>
        <v>利用可</v>
      </c>
      <c r="AY183" s="30" t="str">
        <f aca="false">IF(AND(AQ183="利用可",AT183="利用可",AW183="利用可"),"利用可","不可")</f>
        <v>利用可</v>
      </c>
    </row>
    <row r="184" customFormat="false" ht="15" hidden="false" customHeight="false" outlineLevel="0" collapsed="false">
      <c r="A184" s="29" t="n">
        <v>46239</v>
      </c>
      <c r="B184" s="30" t="n">
        <v>13</v>
      </c>
      <c r="C184" s="31" t="s">
        <v>58</v>
      </c>
      <c r="D184" s="31" t="s">
        <v>59</v>
      </c>
      <c r="E184" s="30" t="n">
        <v>60</v>
      </c>
      <c r="F184" s="30" t="n">
        <v>60</v>
      </c>
      <c r="G184" s="30" t="str">
        <f aca="false">IF(E184&lt;判定条件!$C$6,"判定不能",IF(F184&gt;=判定条件!$C$7*E184,"運転",IF(F184&lt;=判定条件!$C$8*E184,"停止","断続")))</f>
        <v>運転</v>
      </c>
      <c r="H184" s="30" t="n">
        <v>60</v>
      </c>
      <c r="I184" s="30" t="n">
        <v>60</v>
      </c>
      <c r="J184" s="30" t="str">
        <f aca="false">IF(H184&lt;判定条件!$C$6,"判定不能",IF(I184&gt;=判定条件!$C$7*H184,"運転",IF(I184&lt;=判定条件!$C$8*H184,"停止","断続")))</f>
        <v>運転</v>
      </c>
      <c r="K184" s="30" t="n">
        <v>60</v>
      </c>
      <c r="L184" s="30" t="n">
        <v>60</v>
      </c>
      <c r="M184" s="30" t="str">
        <f aca="false">IF(K184&lt;判定条件!$C$6,"判定不能",IF(L184&gt;=判定条件!$C$7*K184,"運転",IF(L184&lt;=判定条件!$C$8*K184,"停止","断続")))</f>
        <v>運転</v>
      </c>
      <c r="N184" s="30" t="n">
        <v>60</v>
      </c>
      <c r="O184" s="30" t="n">
        <v>60</v>
      </c>
      <c r="P184" s="30" t="str">
        <f aca="false">IF(N184&lt;判定条件!$C$6,"判定不能",IF(O184&gt;=判定条件!$C$7*N184,"運転",IF(O184&lt;=判定条件!$C$8*N184,"停止","断続")))</f>
        <v>運転</v>
      </c>
      <c r="Q184" s="30" t="n">
        <v>60</v>
      </c>
      <c r="R184" s="30" t="n">
        <v>60</v>
      </c>
      <c r="S184" s="30" t="str">
        <f aca="false">IF(Q184&lt;判定条件!$C$6,"判定不能",IF(R184&gt;=判定条件!$C$7*Q184,"運転",IF(R184&lt;=判定条件!$C$8*Q184,"停止","断続")))</f>
        <v>運転</v>
      </c>
      <c r="T184" s="30" t="n">
        <v>60</v>
      </c>
      <c r="U184" s="30" t="n">
        <v>48</v>
      </c>
      <c r="V184" s="30" t="str">
        <f aca="false">IF(T184&lt;判定条件!$C$6,"判定不能",IF(U184&gt;=判定条件!$C$7*T184,"運転",IF(U184&lt;=判定条件!$C$8*T184,"停止","断続")))</f>
        <v>運転</v>
      </c>
      <c r="W184" s="30" t="n">
        <v>60</v>
      </c>
      <c r="X184" s="30" t="n">
        <v>60</v>
      </c>
      <c r="Y184" s="30" t="str">
        <f aca="false">IF(W184&lt;判定条件!$C$6,"判定不能",IF(X184&gt;=判定条件!$C$7*W184,"運転",IF(X184&lt;=判定条件!$C$8*W184,"停止","断続")))</f>
        <v>運転</v>
      </c>
      <c r="Z184" s="30" t="n">
        <v>60</v>
      </c>
      <c r="AA184" s="30" t="n">
        <v>60</v>
      </c>
      <c r="AB184" s="30" t="str">
        <f aca="false">IF(Z184&lt;判定条件!$C$6,"判定不能",IF(AA184&gt;=判定条件!$C$7*Z184,"運転",IF(AA184&lt;=判定条件!$C$8*Z184,"停止","断続")))</f>
        <v>運転</v>
      </c>
      <c r="AC184" s="30" t="n">
        <v>60</v>
      </c>
      <c r="AD184" s="30" t="n">
        <v>60</v>
      </c>
      <c r="AE184" s="30" t="str">
        <f aca="false">IF(AC184&lt;判定条件!$C$6,"判定不能",IF(AD184&gt;=判定条件!$C$7*AC184,"運転",IF(AD184&lt;=判定条件!$C$8*AC184,"停止","断続")))</f>
        <v>運転</v>
      </c>
      <c r="AF184" s="30" t="n">
        <v>60</v>
      </c>
      <c r="AG184" s="30" t="n">
        <v>60</v>
      </c>
      <c r="AH184" s="30" t="str">
        <f aca="false">IF(OR(P184="判定不能",G184="判定不能"),"判定不能",IF(AG184&gt;=判定条件!$C$9,"利用可",IF(AND(P184="停止",G184="停止"),"両方停止","運転がそろわない")))</f>
        <v>利用可</v>
      </c>
      <c r="AI184" s="30" t="n">
        <v>60</v>
      </c>
      <c r="AJ184" s="30" t="n">
        <v>60</v>
      </c>
      <c r="AK184" s="30" t="str">
        <f aca="false">IF(OR(S184="判定不能",J184="判定不能"),"判定不能",IF(AJ184&gt;=判定条件!$C$9,"利用可",IF(AND(S184="停止",J184="停止"),"両方停止","運転がそろわない")))</f>
        <v>利用可</v>
      </c>
      <c r="AL184" s="30" t="n">
        <v>60</v>
      </c>
      <c r="AM184" s="30" t="n">
        <v>48</v>
      </c>
      <c r="AN184" s="30" t="str">
        <f aca="false">IF(OR(V184="判定不能",M184="判定不能"),"判定不能",IF(AM184&gt;=判定条件!$C$9,"利用可",IF(AND(V184="停止",M184="停止"),"両方停止","運転がそろわない")))</f>
        <v>利用可</v>
      </c>
      <c r="AO184" s="30" t="n">
        <v>60</v>
      </c>
      <c r="AP184" s="30" t="n">
        <v>60</v>
      </c>
      <c r="AQ184" s="30" t="str">
        <f aca="false">IF(OR(Y184="判定不能",G184="判定不能"),"判定不能",IF(AP184&gt;=判定条件!$C$9,"利用可",IF(AND(Y184="停止",G184="停止"),"両方停止","運転がそろわない")))</f>
        <v>利用可</v>
      </c>
      <c r="AR184" s="30" t="n">
        <v>60</v>
      </c>
      <c r="AS184" s="30" t="n">
        <v>60</v>
      </c>
      <c r="AT184" s="30" t="str">
        <f aca="false">IF(OR(AB184="判定不能",J184="判定不能"),"判定不能",IF(AS184&gt;=判定条件!$C$9,"利用可",IF(AND(AB184="停止",J184="停止"),"両方停止","運転がそろわない")))</f>
        <v>利用可</v>
      </c>
      <c r="AU184" s="30" t="n">
        <v>60</v>
      </c>
      <c r="AV184" s="30" t="n">
        <v>60</v>
      </c>
      <c r="AW184" s="30" t="str">
        <f aca="false">IF(OR(AE184="判定不能",M184="判定不能"),"判定不能",IF(AV184&gt;=判定条件!$C$9,"利用可",IF(AND(AE184="停止",M184="停止"),"両方停止","運転がそろわない")))</f>
        <v>利用可</v>
      </c>
      <c r="AX184" s="30" t="str">
        <f aca="false">IF(AND(AH184="利用可",AK184="利用可",AN184="利用可"),"利用可","不可")</f>
        <v>利用可</v>
      </c>
      <c r="AY184" s="30" t="str">
        <f aca="false">IF(AND(AQ184="利用可",AT184="利用可",AW184="利用可"),"利用可","不可")</f>
        <v>利用可</v>
      </c>
    </row>
    <row r="185" customFormat="false" ht="15" hidden="false" customHeight="false" outlineLevel="0" collapsed="false">
      <c r="A185" s="29" t="n">
        <v>46239</v>
      </c>
      <c r="B185" s="30" t="n">
        <v>14</v>
      </c>
      <c r="C185" s="31" t="s">
        <v>58</v>
      </c>
      <c r="D185" s="31" t="s">
        <v>59</v>
      </c>
      <c r="E185" s="30" t="n">
        <v>60</v>
      </c>
      <c r="F185" s="30" t="n">
        <v>60</v>
      </c>
      <c r="G185" s="30" t="str">
        <f aca="false">IF(E185&lt;判定条件!$C$6,"判定不能",IF(F185&gt;=判定条件!$C$7*E185,"運転",IF(F185&lt;=判定条件!$C$8*E185,"停止","断続")))</f>
        <v>運転</v>
      </c>
      <c r="H185" s="30" t="n">
        <v>60</v>
      </c>
      <c r="I185" s="30" t="n">
        <v>60</v>
      </c>
      <c r="J185" s="30" t="str">
        <f aca="false">IF(H185&lt;判定条件!$C$6,"判定不能",IF(I185&gt;=判定条件!$C$7*H185,"運転",IF(I185&lt;=判定条件!$C$8*H185,"停止","断続")))</f>
        <v>運転</v>
      </c>
      <c r="K185" s="30" t="n">
        <v>60</v>
      </c>
      <c r="L185" s="30" t="n">
        <v>60</v>
      </c>
      <c r="M185" s="30" t="str">
        <f aca="false">IF(K185&lt;判定条件!$C$6,"判定不能",IF(L185&gt;=判定条件!$C$7*K185,"運転",IF(L185&lt;=判定条件!$C$8*K185,"停止","断続")))</f>
        <v>運転</v>
      </c>
      <c r="N185" s="30" t="n">
        <v>60</v>
      </c>
      <c r="O185" s="30" t="n">
        <v>42</v>
      </c>
      <c r="P185" s="30" t="str">
        <f aca="false">IF(N185&lt;判定条件!$C$6,"判定不能",IF(O185&gt;=判定条件!$C$7*N185,"運転",IF(O185&lt;=判定条件!$C$8*N185,"停止","断続")))</f>
        <v>断続</v>
      </c>
      <c r="Q185" s="30" t="n">
        <v>60</v>
      </c>
      <c r="R185" s="30" t="n">
        <v>60</v>
      </c>
      <c r="S185" s="30" t="str">
        <f aca="false">IF(Q185&lt;判定条件!$C$6,"判定不能",IF(R185&gt;=判定条件!$C$7*Q185,"運転",IF(R185&lt;=判定条件!$C$8*Q185,"停止","断続")))</f>
        <v>運転</v>
      </c>
      <c r="T185" s="30" t="n">
        <v>60</v>
      </c>
      <c r="U185" s="30" t="n">
        <v>50</v>
      </c>
      <c r="V185" s="30" t="str">
        <f aca="false">IF(T185&lt;判定条件!$C$6,"判定不能",IF(U185&gt;=判定条件!$C$7*T185,"運転",IF(U185&lt;=判定条件!$C$8*T185,"停止","断続")))</f>
        <v>運転</v>
      </c>
      <c r="W185" s="30" t="n">
        <v>60</v>
      </c>
      <c r="X185" s="30" t="n">
        <v>60</v>
      </c>
      <c r="Y185" s="30" t="str">
        <f aca="false">IF(W185&lt;判定条件!$C$6,"判定不能",IF(X185&gt;=判定条件!$C$7*W185,"運転",IF(X185&lt;=判定条件!$C$8*W185,"停止","断続")))</f>
        <v>運転</v>
      </c>
      <c r="Z185" s="30" t="n">
        <v>60</v>
      </c>
      <c r="AA185" s="30" t="n">
        <v>55</v>
      </c>
      <c r="AB185" s="30" t="str">
        <f aca="false">IF(Z185&lt;判定条件!$C$6,"判定不能",IF(AA185&gt;=判定条件!$C$7*Z185,"運転",IF(AA185&lt;=判定条件!$C$8*Z185,"停止","断続")))</f>
        <v>運転</v>
      </c>
      <c r="AC185" s="30" t="n">
        <v>60</v>
      </c>
      <c r="AD185" s="30" t="n">
        <v>60</v>
      </c>
      <c r="AE185" s="30" t="str">
        <f aca="false">IF(AC185&lt;判定条件!$C$6,"判定不能",IF(AD185&gt;=判定条件!$C$7*AC185,"運転",IF(AD185&lt;=判定条件!$C$8*AC185,"停止","断続")))</f>
        <v>運転</v>
      </c>
      <c r="AF185" s="30" t="n">
        <v>60</v>
      </c>
      <c r="AG185" s="30" t="n">
        <v>42</v>
      </c>
      <c r="AH185" s="30" t="str">
        <f aca="false">IF(OR(P185="判定不能",G185="判定不能"),"判定不能",IF(AG185&gt;=判定条件!$C$9,"利用可",IF(AND(P185="停止",G185="停止"),"両方停止","運転がそろわない")))</f>
        <v>利用可</v>
      </c>
      <c r="AI185" s="30" t="n">
        <v>60</v>
      </c>
      <c r="AJ185" s="30" t="n">
        <v>60</v>
      </c>
      <c r="AK185" s="30" t="str">
        <f aca="false">IF(OR(S185="判定不能",J185="判定不能"),"判定不能",IF(AJ185&gt;=判定条件!$C$9,"利用可",IF(AND(S185="停止",J185="停止"),"両方停止","運転がそろわない")))</f>
        <v>利用可</v>
      </c>
      <c r="AL185" s="30" t="n">
        <v>60</v>
      </c>
      <c r="AM185" s="30" t="n">
        <v>50</v>
      </c>
      <c r="AN185" s="30" t="str">
        <f aca="false">IF(OR(V185="判定不能",M185="判定不能"),"判定不能",IF(AM185&gt;=判定条件!$C$9,"利用可",IF(AND(V185="停止",M185="停止"),"両方停止","運転がそろわない")))</f>
        <v>利用可</v>
      </c>
      <c r="AO185" s="30" t="n">
        <v>60</v>
      </c>
      <c r="AP185" s="30" t="n">
        <v>60</v>
      </c>
      <c r="AQ185" s="30" t="str">
        <f aca="false">IF(OR(Y185="判定不能",G185="判定不能"),"判定不能",IF(AP185&gt;=判定条件!$C$9,"利用可",IF(AND(Y185="停止",G185="停止"),"両方停止","運転がそろわない")))</f>
        <v>利用可</v>
      </c>
      <c r="AR185" s="30" t="n">
        <v>60</v>
      </c>
      <c r="AS185" s="30" t="n">
        <v>55</v>
      </c>
      <c r="AT185" s="30" t="str">
        <f aca="false">IF(OR(AB185="判定不能",J185="判定不能"),"判定不能",IF(AS185&gt;=判定条件!$C$9,"利用可",IF(AND(AB185="停止",J185="停止"),"両方停止","運転がそろわない")))</f>
        <v>利用可</v>
      </c>
      <c r="AU185" s="30" t="n">
        <v>60</v>
      </c>
      <c r="AV185" s="30" t="n">
        <v>60</v>
      </c>
      <c r="AW185" s="30" t="str">
        <f aca="false">IF(OR(AE185="判定不能",M185="判定不能"),"判定不能",IF(AV185&gt;=判定条件!$C$9,"利用可",IF(AND(AE185="停止",M185="停止"),"両方停止","運転がそろわない")))</f>
        <v>利用可</v>
      </c>
      <c r="AX185" s="30" t="str">
        <f aca="false">IF(AND(AH185="利用可",AK185="利用可",AN185="利用可"),"利用可","不可")</f>
        <v>利用可</v>
      </c>
      <c r="AY185" s="30" t="str">
        <f aca="false">IF(AND(AQ185="利用可",AT185="利用可",AW185="利用可"),"利用可","不可")</f>
        <v>利用可</v>
      </c>
    </row>
    <row r="186" customFormat="false" ht="15" hidden="false" customHeight="false" outlineLevel="0" collapsed="false">
      <c r="A186" s="29" t="n">
        <v>46239</v>
      </c>
      <c r="B186" s="30" t="n">
        <v>15</v>
      </c>
      <c r="C186" s="31" t="s">
        <v>58</v>
      </c>
      <c r="D186" s="31" t="s">
        <v>59</v>
      </c>
      <c r="E186" s="30" t="n">
        <v>60</v>
      </c>
      <c r="F186" s="30" t="n">
        <v>60</v>
      </c>
      <c r="G186" s="30" t="str">
        <f aca="false">IF(E186&lt;判定条件!$C$6,"判定不能",IF(F186&gt;=判定条件!$C$7*E186,"運転",IF(F186&lt;=判定条件!$C$8*E186,"停止","断続")))</f>
        <v>運転</v>
      </c>
      <c r="H186" s="30" t="n">
        <v>60</v>
      </c>
      <c r="I186" s="30" t="n">
        <v>53</v>
      </c>
      <c r="J186" s="30" t="str">
        <f aca="false">IF(H186&lt;判定条件!$C$6,"判定不能",IF(I186&gt;=判定条件!$C$7*H186,"運転",IF(I186&lt;=判定条件!$C$8*H186,"停止","断続")))</f>
        <v>運転</v>
      </c>
      <c r="K186" s="30" t="n">
        <v>60</v>
      </c>
      <c r="L186" s="30" t="n">
        <v>60</v>
      </c>
      <c r="M186" s="30" t="str">
        <f aca="false">IF(K186&lt;判定条件!$C$6,"判定不能",IF(L186&gt;=判定条件!$C$7*K186,"運転",IF(L186&lt;=判定条件!$C$8*K186,"停止","断続")))</f>
        <v>運転</v>
      </c>
      <c r="N186" s="30" t="n">
        <v>60</v>
      </c>
      <c r="O186" s="30" t="n">
        <v>53</v>
      </c>
      <c r="P186" s="30" t="str">
        <f aca="false">IF(N186&lt;判定条件!$C$6,"判定不能",IF(O186&gt;=判定条件!$C$7*N186,"運転",IF(O186&lt;=判定条件!$C$8*N186,"停止","断続")))</f>
        <v>運転</v>
      </c>
      <c r="Q186" s="30" t="n">
        <v>60</v>
      </c>
      <c r="R186" s="30" t="n">
        <v>60</v>
      </c>
      <c r="S186" s="30" t="str">
        <f aca="false">IF(Q186&lt;判定条件!$C$6,"判定不能",IF(R186&gt;=判定条件!$C$7*Q186,"運転",IF(R186&lt;=判定条件!$C$8*Q186,"停止","断続")))</f>
        <v>運転</v>
      </c>
      <c r="T186" s="30" t="n">
        <v>60</v>
      </c>
      <c r="U186" s="30" t="n">
        <v>41</v>
      </c>
      <c r="V186" s="30" t="str">
        <f aca="false">IF(T186&lt;判定条件!$C$6,"判定不能",IF(U186&gt;=判定条件!$C$7*T186,"運転",IF(U186&lt;=判定条件!$C$8*T186,"停止","断続")))</f>
        <v>断続</v>
      </c>
      <c r="W186" s="30" t="n">
        <v>60</v>
      </c>
      <c r="X186" s="30" t="n">
        <v>43</v>
      </c>
      <c r="Y186" s="30" t="str">
        <f aca="false">IF(W186&lt;判定条件!$C$6,"判定不能",IF(X186&gt;=判定条件!$C$7*W186,"運転",IF(X186&lt;=判定条件!$C$8*W186,"停止","断続")))</f>
        <v>断続</v>
      </c>
      <c r="Z186" s="30" t="n">
        <v>60</v>
      </c>
      <c r="AA186" s="30" t="n">
        <v>40</v>
      </c>
      <c r="AB186" s="30" t="str">
        <f aca="false">IF(Z186&lt;判定条件!$C$6,"判定不能",IF(AA186&gt;=判定条件!$C$7*Z186,"運転",IF(AA186&lt;=判定条件!$C$8*Z186,"停止","断続")))</f>
        <v>断続</v>
      </c>
      <c r="AC186" s="30" t="n">
        <v>60</v>
      </c>
      <c r="AD186" s="30" t="n">
        <v>40</v>
      </c>
      <c r="AE186" s="30" t="str">
        <f aca="false">IF(AC186&lt;判定条件!$C$6,"判定不能",IF(AD186&gt;=判定条件!$C$7*AC186,"運転",IF(AD186&lt;=判定条件!$C$8*AC186,"停止","断続")))</f>
        <v>断続</v>
      </c>
      <c r="AF186" s="30" t="n">
        <v>60</v>
      </c>
      <c r="AG186" s="30" t="n">
        <v>53</v>
      </c>
      <c r="AH186" s="30" t="str">
        <f aca="false">IF(OR(P186="判定不能",G186="判定不能"),"判定不能",IF(AG186&gt;=判定条件!$C$9,"利用可",IF(AND(P186="停止",G186="停止"),"両方停止","運転がそろわない")))</f>
        <v>利用可</v>
      </c>
      <c r="AI186" s="30" t="n">
        <v>60</v>
      </c>
      <c r="AJ186" s="30" t="n">
        <v>53</v>
      </c>
      <c r="AK186" s="30" t="str">
        <f aca="false">IF(OR(S186="判定不能",J186="判定不能"),"判定不能",IF(AJ186&gt;=判定条件!$C$9,"利用可",IF(AND(S186="停止",J186="停止"),"両方停止","運転がそろわない")))</f>
        <v>利用可</v>
      </c>
      <c r="AL186" s="30" t="n">
        <v>60</v>
      </c>
      <c r="AM186" s="30" t="n">
        <v>41</v>
      </c>
      <c r="AN186" s="30" t="str">
        <f aca="false">IF(OR(V186="判定不能",M186="判定不能"),"判定不能",IF(AM186&gt;=判定条件!$C$9,"利用可",IF(AND(V186="停止",M186="停止"),"両方停止","運転がそろわない")))</f>
        <v>利用可</v>
      </c>
      <c r="AO186" s="30" t="n">
        <v>60</v>
      </c>
      <c r="AP186" s="30" t="n">
        <v>43</v>
      </c>
      <c r="AQ186" s="30" t="str">
        <f aca="false">IF(OR(Y186="判定不能",G186="判定不能"),"判定不能",IF(AP186&gt;=判定条件!$C$9,"利用可",IF(AND(Y186="停止",G186="停止"),"両方停止","運転がそろわない")))</f>
        <v>利用可</v>
      </c>
      <c r="AR186" s="30" t="n">
        <v>60</v>
      </c>
      <c r="AS186" s="30" t="n">
        <v>35</v>
      </c>
      <c r="AT186" s="30" t="str">
        <f aca="false">IF(OR(AB186="判定不能",J186="判定不能"),"判定不能",IF(AS186&gt;=判定条件!$C$9,"利用可",IF(AND(AB186="停止",J186="停止"),"両方停止","運転がそろわない")))</f>
        <v>利用可</v>
      </c>
      <c r="AU186" s="30" t="n">
        <v>60</v>
      </c>
      <c r="AV186" s="30" t="n">
        <v>40</v>
      </c>
      <c r="AW186" s="30" t="str">
        <f aca="false">IF(OR(AE186="判定不能",M186="判定不能"),"判定不能",IF(AV186&gt;=判定条件!$C$9,"利用可",IF(AND(AE186="停止",M186="停止"),"両方停止","運転がそろわない")))</f>
        <v>利用可</v>
      </c>
      <c r="AX186" s="30" t="str">
        <f aca="false">IF(AND(AH186="利用可",AK186="利用可",AN186="利用可"),"利用可","不可")</f>
        <v>利用可</v>
      </c>
      <c r="AY186" s="30" t="str">
        <f aca="false">IF(AND(AQ186="利用可",AT186="利用可",AW186="利用可"),"利用可","不可")</f>
        <v>利用可</v>
      </c>
    </row>
    <row r="187" customFormat="false" ht="15" hidden="false" customHeight="false" outlineLevel="0" collapsed="false">
      <c r="A187" s="29" t="n">
        <v>46239</v>
      </c>
      <c r="B187" s="30" t="n">
        <v>16</v>
      </c>
      <c r="C187" s="31" t="s">
        <v>58</v>
      </c>
      <c r="D187" s="31" t="s">
        <v>59</v>
      </c>
      <c r="E187" s="30" t="n">
        <v>60</v>
      </c>
      <c r="F187" s="30" t="n">
        <v>60</v>
      </c>
      <c r="G187" s="30" t="str">
        <f aca="false">IF(E187&lt;判定条件!$C$6,"判定不能",IF(F187&gt;=判定条件!$C$7*E187,"運転",IF(F187&lt;=判定条件!$C$8*E187,"停止","断続")))</f>
        <v>運転</v>
      </c>
      <c r="H187" s="30" t="n">
        <v>60</v>
      </c>
      <c r="I187" s="30" t="n">
        <v>60</v>
      </c>
      <c r="J187" s="30" t="str">
        <f aca="false">IF(H187&lt;判定条件!$C$6,"判定不能",IF(I187&gt;=判定条件!$C$7*H187,"運転",IF(I187&lt;=判定条件!$C$8*H187,"停止","断続")))</f>
        <v>運転</v>
      </c>
      <c r="K187" s="30" t="n">
        <v>60</v>
      </c>
      <c r="L187" s="30" t="n">
        <v>60</v>
      </c>
      <c r="M187" s="30" t="str">
        <f aca="false">IF(K187&lt;判定条件!$C$6,"判定不能",IF(L187&gt;=判定条件!$C$7*K187,"運転",IF(L187&lt;=判定条件!$C$8*K187,"停止","断続")))</f>
        <v>運転</v>
      </c>
      <c r="N187" s="30" t="n">
        <v>60</v>
      </c>
      <c r="O187" s="30" t="n">
        <v>47</v>
      </c>
      <c r="P187" s="30" t="str">
        <f aca="false">IF(N187&lt;判定条件!$C$6,"判定不能",IF(O187&gt;=判定条件!$C$7*N187,"運転",IF(O187&lt;=判定条件!$C$8*N187,"停止","断続")))</f>
        <v>断続</v>
      </c>
      <c r="Q187" s="30" t="n">
        <v>60</v>
      </c>
      <c r="R187" s="30" t="n">
        <v>60</v>
      </c>
      <c r="S187" s="30" t="str">
        <f aca="false">IF(Q187&lt;判定条件!$C$6,"判定不能",IF(R187&gt;=判定条件!$C$7*Q187,"運転",IF(R187&lt;=判定条件!$C$8*Q187,"停止","断続")))</f>
        <v>運転</v>
      </c>
      <c r="T187" s="30" t="n">
        <v>60</v>
      </c>
      <c r="U187" s="30" t="n">
        <v>60</v>
      </c>
      <c r="V187" s="30" t="str">
        <f aca="false">IF(T187&lt;判定条件!$C$6,"判定不能",IF(U187&gt;=判定条件!$C$7*T187,"運転",IF(U187&lt;=判定条件!$C$8*T187,"停止","断続")))</f>
        <v>運転</v>
      </c>
      <c r="W187" s="30" t="n">
        <v>60</v>
      </c>
      <c r="X187" s="30" t="n">
        <v>40</v>
      </c>
      <c r="Y187" s="30" t="str">
        <f aca="false">IF(W187&lt;判定条件!$C$6,"判定不能",IF(X187&gt;=判定条件!$C$7*W187,"運転",IF(X187&lt;=判定条件!$C$8*W187,"停止","断続")))</f>
        <v>断続</v>
      </c>
      <c r="Z187" s="30" t="n">
        <v>60</v>
      </c>
      <c r="AA187" s="30" t="n">
        <v>60</v>
      </c>
      <c r="AB187" s="30" t="str">
        <f aca="false">IF(Z187&lt;判定条件!$C$6,"判定不能",IF(AA187&gt;=判定条件!$C$7*Z187,"運転",IF(AA187&lt;=判定条件!$C$8*Z187,"停止","断続")))</f>
        <v>運転</v>
      </c>
      <c r="AC187" s="30" t="n">
        <v>60</v>
      </c>
      <c r="AD187" s="30" t="n">
        <v>60</v>
      </c>
      <c r="AE187" s="30" t="str">
        <f aca="false">IF(AC187&lt;判定条件!$C$6,"判定不能",IF(AD187&gt;=判定条件!$C$7*AC187,"運転",IF(AD187&lt;=判定条件!$C$8*AC187,"停止","断続")))</f>
        <v>運転</v>
      </c>
      <c r="AF187" s="30" t="n">
        <v>60</v>
      </c>
      <c r="AG187" s="30" t="n">
        <v>47</v>
      </c>
      <c r="AH187" s="30" t="str">
        <f aca="false">IF(OR(P187="判定不能",G187="判定不能"),"判定不能",IF(AG187&gt;=判定条件!$C$9,"利用可",IF(AND(P187="停止",G187="停止"),"両方停止","運転がそろわない")))</f>
        <v>利用可</v>
      </c>
      <c r="AI187" s="30" t="n">
        <v>60</v>
      </c>
      <c r="AJ187" s="30" t="n">
        <v>60</v>
      </c>
      <c r="AK187" s="30" t="str">
        <f aca="false">IF(OR(S187="判定不能",J187="判定不能"),"判定不能",IF(AJ187&gt;=判定条件!$C$9,"利用可",IF(AND(S187="停止",J187="停止"),"両方停止","運転がそろわない")))</f>
        <v>利用可</v>
      </c>
      <c r="AL187" s="30" t="n">
        <v>60</v>
      </c>
      <c r="AM187" s="30" t="n">
        <v>60</v>
      </c>
      <c r="AN187" s="30" t="str">
        <f aca="false">IF(OR(V187="判定不能",M187="判定不能"),"判定不能",IF(AM187&gt;=判定条件!$C$9,"利用可",IF(AND(V187="停止",M187="停止"),"両方停止","運転がそろわない")))</f>
        <v>利用可</v>
      </c>
      <c r="AO187" s="30" t="n">
        <v>60</v>
      </c>
      <c r="AP187" s="30" t="n">
        <v>40</v>
      </c>
      <c r="AQ187" s="30" t="str">
        <f aca="false">IF(OR(Y187="判定不能",G187="判定不能"),"判定不能",IF(AP187&gt;=判定条件!$C$9,"利用可",IF(AND(Y187="停止",G187="停止"),"両方停止","運転がそろわない")))</f>
        <v>利用可</v>
      </c>
      <c r="AR187" s="30" t="n">
        <v>60</v>
      </c>
      <c r="AS187" s="30" t="n">
        <v>60</v>
      </c>
      <c r="AT187" s="30" t="str">
        <f aca="false">IF(OR(AB187="判定不能",J187="判定不能"),"判定不能",IF(AS187&gt;=判定条件!$C$9,"利用可",IF(AND(AB187="停止",J187="停止"),"両方停止","運転がそろわない")))</f>
        <v>利用可</v>
      </c>
      <c r="AU187" s="30" t="n">
        <v>60</v>
      </c>
      <c r="AV187" s="30" t="n">
        <v>60</v>
      </c>
      <c r="AW187" s="30" t="str">
        <f aca="false">IF(OR(AE187="判定不能",M187="判定不能"),"判定不能",IF(AV187&gt;=判定条件!$C$9,"利用可",IF(AND(AE187="停止",M187="停止"),"両方停止","運転がそろわない")))</f>
        <v>利用可</v>
      </c>
      <c r="AX187" s="30" t="str">
        <f aca="false">IF(AND(AH187="利用可",AK187="利用可",AN187="利用可"),"利用可","不可")</f>
        <v>利用可</v>
      </c>
      <c r="AY187" s="30" t="str">
        <f aca="false">IF(AND(AQ187="利用可",AT187="利用可",AW187="利用可"),"利用可","不可")</f>
        <v>利用可</v>
      </c>
    </row>
    <row r="188" customFormat="false" ht="15" hidden="false" customHeight="false" outlineLevel="0" collapsed="false">
      <c r="A188" s="29" t="n">
        <v>46239</v>
      </c>
      <c r="B188" s="30" t="n">
        <v>17</v>
      </c>
      <c r="C188" s="31" t="s">
        <v>58</v>
      </c>
      <c r="D188" s="31" t="s">
        <v>59</v>
      </c>
      <c r="E188" s="30" t="n">
        <v>60</v>
      </c>
      <c r="F188" s="30" t="n">
        <v>60</v>
      </c>
      <c r="G188" s="30" t="str">
        <f aca="false">IF(E188&lt;判定条件!$C$6,"判定不能",IF(F188&gt;=判定条件!$C$7*E188,"運転",IF(F188&lt;=判定条件!$C$8*E188,"停止","断続")))</f>
        <v>運転</v>
      </c>
      <c r="H188" s="30" t="n">
        <v>60</v>
      </c>
      <c r="I188" s="30" t="n">
        <v>60</v>
      </c>
      <c r="J188" s="30" t="str">
        <f aca="false">IF(H188&lt;判定条件!$C$6,"判定不能",IF(I188&gt;=判定条件!$C$7*H188,"運転",IF(I188&lt;=判定条件!$C$8*H188,"停止","断続")))</f>
        <v>運転</v>
      </c>
      <c r="K188" s="30" t="n">
        <v>60</v>
      </c>
      <c r="L188" s="30" t="n">
        <v>60</v>
      </c>
      <c r="M188" s="30" t="str">
        <f aca="false">IF(K188&lt;判定条件!$C$6,"判定不能",IF(L188&gt;=判定条件!$C$7*K188,"運転",IF(L188&lt;=判定条件!$C$8*K188,"停止","断続")))</f>
        <v>運転</v>
      </c>
      <c r="N188" s="30" t="n">
        <v>60</v>
      </c>
      <c r="O188" s="30" t="n">
        <v>45</v>
      </c>
      <c r="P188" s="30" t="str">
        <f aca="false">IF(N188&lt;判定条件!$C$6,"判定不能",IF(O188&gt;=判定条件!$C$7*N188,"運転",IF(O188&lt;=判定条件!$C$8*N188,"停止","断続")))</f>
        <v>断続</v>
      </c>
      <c r="Q188" s="30" t="n">
        <v>60</v>
      </c>
      <c r="R188" s="30" t="n">
        <v>44</v>
      </c>
      <c r="S188" s="30" t="str">
        <f aca="false">IF(Q188&lt;判定条件!$C$6,"判定不能",IF(R188&gt;=判定条件!$C$7*Q188,"運転",IF(R188&lt;=判定条件!$C$8*Q188,"停止","断続")))</f>
        <v>断続</v>
      </c>
      <c r="T188" s="30" t="n">
        <v>60</v>
      </c>
      <c r="U188" s="30" t="n">
        <v>39</v>
      </c>
      <c r="V188" s="30" t="str">
        <f aca="false">IF(T188&lt;判定条件!$C$6,"判定不能",IF(U188&gt;=判定条件!$C$7*T188,"運転",IF(U188&lt;=判定条件!$C$8*T188,"停止","断続")))</f>
        <v>断続</v>
      </c>
      <c r="W188" s="30" t="n">
        <v>60</v>
      </c>
      <c r="X188" s="30" t="n">
        <v>60</v>
      </c>
      <c r="Y188" s="30" t="str">
        <f aca="false">IF(W188&lt;判定条件!$C$6,"判定不能",IF(X188&gt;=判定条件!$C$7*W188,"運転",IF(X188&lt;=判定条件!$C$8*W188,"停止","断続")))</f>
        <v>運転</v>
      </c>
      <c r="Z188" s="30" t="n">
        <v>60</v>
      </c>
      <c r="AA188" s="30" t="n">
        <v>40</v>
      </c>
      <c r="AB188" s="30" t="str">
        <f aca="false">IF(Z188&lt;判定条件!$C$6,"判定不能",IF(AA188&gt;=判定条件!$C$7*Z188,"運転",IF(AA188&lt;=判定条件!$C$8*Z188,"停止","断続")))</f>
        <v>断続</v>
      </c>
      <c r="AC188" s="30" t="n">
        <v>60</v>
      </c>
      <c r="AD188" s="30" t="n">
        <v>48</v>
      </c>
      <c r="AE188" s="30" t="str">
        <f aca="false">IF(AC188&lt;判定条件!$C$6,"判定不能",IF(AD188&gt;=判定条件!$C$7*AC188,"運転",IF(AD188&lt;=判定条件!$C$8*AC188,"停止","断続")))</f>
        <v>運転</v>
      </c>
      <c r="AF188" s="30" t="n">
        <v>60</v>
      </c>
      <c r="AG188" s="30" t="n">
        <v>45</v>
      </c>
      <c r="AH188" s="30" t="str">
        <f aca="false">IF(OR(P188="判定不能",G188="判定不能"),"判定不能",IF(AG188&gt;=判定条件!$C$9,"利用可",IF(AND(P188="停止",G188="停止"),"両方停止","運転がそろわない")))</f>
        <v>利用可</v>
      </c>
      <c r="AI188" s="30" t="n">
        <v>60</v>
      </c>
      <c r="AJ188" s="30" t="n">
        <v>44</v>
      </c>
      <c r="AK188" s="30" t="str">
        <f aca="false">IF(OR(S188="判定不能",J188="判定不能"),"判定不能",IF(AJ188&gt;=判定条件!$C$9,"利用可",IF(AND(S188="停止",J188="停止"),"両方停止","運転がそろわない")))</f>
        <v>利用可</v>
      </c>
      <c r="AL188" s="30" t="n">
        <v>60</v>
      </c>
      <c r="AM188" s="30" t="n">
        <v>39</v>
      </c>
      <c r="AN188" s="30" t="str">
        <f aca="false">IF(OR(V188="判定不能",M188="判定不能"),"判定不能",IF(AM188&gt;=判定条件!$C$9,"利用可",IF(AND(V188="停止",M188="停止"),"両方停止","運転がそろわない")))</f>
        <v>利用可</v>
      </c>
      <c r="AO188" s="30" t="n">
        <v>60</v>
      </c>
      <c r="AP188" s="30" t="n">
        <v>60</v>
      </c>
      <c r="AQ188" s="30" t="str">
        <f aca="false">IF(OR(Y188="判定不能",G188="判定不能"),"判定不能",IF(AP188&gt;=判定条件!$C$9,"利用可",IF(AND(Y188="停止",G188="停止"),"両方停止","運転がそろわない")))</f>
        <v>利用可</v>
      </c>
      <c r="AR188" s="30" t="n">
        <v>60</v>
      </c>
      <c r="AS188" s="30" t="n">
        <v>40</v>
      </c>
      <c r="AT188" s="30" t="str">
        <f aca="false">IF(OR(AB188="判定不能",J188="判定不能"),"判定不能",IF(AS188&gt;=判定条件!$C$9,"利用可",IF(AND(AB188="停止",J188="停止"),"両方停止","運転がそろわない")))</f>
        <v>利用可</v>
      </c>
      <c r="AU188" s="30" t="n">
        <v>60</v>
      </c>
      <c r="AV188" s="30" t="n">
        <v>48</v>
      </c>
      <c r="AW188" s="30" t="str">
        <f aca="false">IF(OR(AE188="判定不能",M188="判定不能"),"判定不能",IF(AV188&gt;=判定条件!$C$9,"利用可",IF(AND(AE188="停止",M188="停止"),"両方停止","運転がそろわない")))</f>
        <v>利用可</v>
      </c>
      <c r="AX188" s="30" t="str">
        <f aca="false">IF(AND(AH188="利用可",AK188="利用可",AN188="利用可"),"利用可","不可")</f>
        <v>利用可</v>
      </c>
      <c r="AY188" s="30" t="str">
        <f aca="false">IF(AND(AQ188="利用可",AT188="利用可",AW188="利用可"),"利用可","不可")</f>
        <v>利用可</v>
      </c>
    </row>
    <row r="189" customFormat="false" ht="15" hidden="false" customHeight="false" outlineLevel="0" collapsed="false">
      <c r="A189" s="29" t="n">
        <v>46239</v>
      </c>
      <c r="B189" s="30" t="n">
        <v>18</v>
      </c>
      <c r="C189" s="31" t="s">
        <v>58</v>
      </c>
      <c r="D189" s="31" t="s">
        <v>59</v>
      </c>
      <c r="E189" s="30" t="n">
        <v>60</v>
      </c>
      <c r="F189" s="30" t="n">
        <v>60</v>
      </c>
      <c r="G189" s="30" t="str">
        <f aca="false">IF(E189&lt;判定条件!$C$6,"判定不能",IF(F189&gt;=判定条件!$C$7*E189,"運転",IF(F189&lt;=判定条件!$C$8*E189,"停止","断続")))</f>
        <v>運転</v>
      </c>
      <c r="H189" s="30" t="n">
        <v>60</v>
      </c>
      <c r="I189" s="30" t="n">
        <v>50</v>
      </c>
      <c r="J189" s="30" t="str">
        <f aca="false">IF(H189&lt;判定条件!$C$6,"判定不能",IF(I189&gt;=判定条件!$C$7*H189,"運転",IF(I189&lt;=判定条件!$C$8*H189,"停止","断続")))</f>
        <v>運転</v>
      </c>
      <c r="K189" s="30" t="n">
        <v>60</v>
      </c>
      <c r="L189" s="30" t="n">
        <v>60</v>
      </c>
      <c r="M189" s="30" t="str">
        <f aca="false">IF(K189&lt;判定条件!$C$6,"判定不能",IF(L189&gt;=判定条件!$C$7*K189,"運転",IF(L189&lt;=判定条件!$C$8*K189,"停止","断続")))</f>
        <v>運転</v>
      </c>
      <c r="N189" s="30" t="n">
        <v>60</v>
      </c>
      <c r="O189" s="30" t="n">
        <v>4</v>
      </c>
      <c r="P189" s="30" t="str">
        <f aca="false">IF(N189&lt;判定条件!$C$6,"判定不能",IF(O189&gt;=判定条件!$C$7*N189,"運転",IF(O189&lt;=判定条件!$C$8*N189,"停止","断続")))</f>
        <v>停止</v>
      </c>
      <c r="Q189" s="30" t="n">
        <v>60</v>
      </c>
      <c r="R189" s="30" t="n">
        <v>26</v>
      </c>
      <c r="S189" s="30" t="str">
        <f aca="false">IF(Q189&lt;判定条件!$C$6,"判定不能",IF(R189&gt;=判定条件!$C$7*Q189,"運転",IF(R189&lt;=判定条件!$C$8*Q189,"停止","断続")))</f>
        <v>断続</v>
      </c>
      <c r="T189" s="30" t="n">
        <v>60</v>
      </c>
      <c r="U189" s="30" t="n">
        <v>45</v>
      </c>
      <c r="V189" s="30" t="str">
        <f aca="false">IF(T189&lt;判定条件!$C$6,"判定不能",IF(U189&gt;=判定条件!$C$7*T189,"運転",IF(U189&lt;=判定条件!$C$8*T189,"停止","断続")))</f>
        <v>断続</v>
      </c>
      <c r="W189" s="30" t="n">
        <v>60</v>
      </c>
      <c r="X189" s="30" t="n">
        <v>39</v>
      </c>
      <c r="Y189" s="30" t="str">
        <f aca="false">IF(W189&lt;判定条件!$C$6,"判定不能",IF(X189&gt;=判定条件!$C$7*W189,"運転",IF(X189&lt;=判定条件!$C$8*W189,"停止","断続")))</f>
        <v>断続</v>
      </c>
      <c r="Z189" s="30" t="n">
        <v>60</v>
      </c>
      <c r="AA189" s="30" t="n">
        <v>58</v>
      </c>
      <c r="AB189" s="30" t="str">
        <f aca="false">IF(Z189&lt;判定条件!$C$6,"判定不能",IF(AA189&gt;=判定条件!$C$7*Z189,"運転",IF(AA189&lt;=判定条件!$C$8*Z189,"停止","断続")))</f>
        <v>運転</v>
      </c>
      <c r="AC189" s="30" t="n">
        <v>60</v>
      </c>
      <c r="AD189" s="30" t="n">
        <v>52</v>
      </c>
      <c r="AE189" s="30" t="str">
        <f aca="false">IF(AC189&lt;判定条件!$C$6,"判定不能",IF(AD189&gt;=判定条件!$C$7*AC189,"運転",IF(AD189&lt;=判定条件!$C$8*AC189,"停止","断続")))</f>
        <v>運転</v>
      </c>
      <c r="AF189" s="30" t="n">
        <v>60</v>
      </c>
      <c r="AG189" s="30" t="n">
        <v>4</v>
      </c>
      <c r="AH189" s="30" t="str">
        <f aca="false">IF(OR(P189="判定不能",G189="判定不能"),"判定不能",IF(AG189&gt;=判定条件!$C$9,"利用可",IF(AND(P189="停止",G189="停止"),"両方停止","運転がそろわない")))</f>
        <v>運転がそろわない</v>
      </c>
      <c r="AI189" s="30" t="n">
        <v>60</v>
      </c>
      <c r="AJ189" s="30" t="n">
        <v>26</v>
      </c>
      <c r="AK189" s="30" t="str">
        <f aca="false">IF(OR(S189="判定不能",J189="判定不能"),"判定不能",IF(AJ189&gt;=判定条件!$C$9,"利用可",IF(AND(S189="停止",J189="停止"),"両方停止","運転がそろわない")))</f>
        <v>運転がそろわない</v>
      </c>
      <c r="AL189" s="30" t="n">
        <v>60</v>
      </c>
      <c r="AM189" s="30" t="n">
        <v>45</v>
      </c>
      <c r="AN189" s="30" t="str">
        <f aca="false">IF(OR(V189="判定不能",M189="判定不能"),"判定不能",IF(AM189&gt;=判定条件!$C$9,"利用可",IF(AND(V189="停止",M189="停止"),"両方停止","運転がそろわない")))</f>
        <v>利用可</v>
      </c>
      <c r="AO189" s="30" t="n">
        <v>60</v>
      </c>
      <c r="AP189" s="30" t="n">
        <v>39</v>
      </c>
      <c r="AQ189" s="30" t="str">
        <f aca="false">IF(OR(Y189="判定不能",G189="判定不能"),"判定不能",IF(AP189&gt;=判定条件!$C$9,"利用可",IF(AND(Y189="停止",G189="停止"),"両方停止","運転がそろわない")))</f>
        <v>利用可</v>
      </c>
      <c r="AR189" s="30" t="n">
        <v>60</v>
      </c>
      <c r="AS189" s="30" t="n">
        <v>48</v>
      </c>
      <c r="AT189" s="30" t="str">
        <f aca="false">IF(OR(AB189="判定不能",J189="判定不能"),"判定不能",IF(AS189&gt;=判定条件!$C$9,"利用可",IF(AND(AB189="停止",J189="停止"),"両方停止","運転がそろわない")))</f>
        <v>利用可</v>
      </c>
      <c r="AU189" s="30" t="n">
        <v>60</v>
      </c>
      <c r="AV189" s="30" t="n">
        <v>52</v>
      </c>
      <c r="AW189" s="30" t="str">
        <f aca="false">IF(OR(AE189="判定不能",M189="判定不能"),"判定不能",IF(AV189&gt;=判定条件!$C$9,"利用可",IF(AND(AE189="停止",M189="停止"),"両方停止","運転がそろわない")))</f>
        <v>利用可</v>
      </c>
      <c r="AX189" s="30" t="str">
        <f aca="false">IF(AND(AH189="利用可",AK189="利用可",AN189="利用可"),"利用可","不可")</f>
        <v>不可</v>
      </c>
      <c r="AY189" s="30" t="str">
        <f aca="false">IF(AND(AQ189="利用可",AT189="利用可",AW189="利用可"),"利用可","不可")</f>
        <v>利用可</v>
      </c>
    </row>
    <row r="190" customFormat="false" ht="15" hidden="false" customHeight="false" outlineLevel="0" collapsed="false">
      <c r="A190" s="29" t="n">
        <v>46239</v>
      </c>
      <c r="B190" s="30" t="n">
        <v>19</v>
      </c>
      <c r="C190" s="31" t="s">
        <v>58</v>
      </c>
      <c r="D190" s="31" t="s">
        <v>59</v>
      </c>
      <c r="E190" s="30" t="n">
        <v>60</v>
      </c>
      <c r="F190" s="30" t="n">
        <v>60</v>
      </c>
      <c r="G190" s="30" t="str">
        <f aca="false">IF(E190&lt;判定条件!$C$6,"判定不能",IF(F190&gt;=判定条件!$C$7*E190,"運転",IF(F190&lt;=判定条件!$C$8*E190,"停止","断続")))</f>
        <v>運転</v>
      </c>
      <c r="H190" s="30" t="n">
        <v>60</v>
      </c>
      <c r="I190" s="30" t="n">
        <v>60</v>
      </c>
      <c r="J190" s="30" t="str">
        <f aca="false">IF(H190&lt;判定条件!$C$6,"判定不能",IF(I190&gt;=判定条件!$C$7*H190,"運転",IF(I190&lt;=判定条件!$C$8*H190,"停止","断続")))</f>
        <v>運転</v>
      </c>
      <c r="K190" s="30" t="n">
        <v>60</v>
      </c>
      <c r="L190" s="30" t="n">
        <v>60</v>
      </c>
      <c r="M190" s="30" t="str">
        <f aca="false">IF(K190&lt;判定条件!$C$6,"判定不能",IF(L190&gt;=判定条件!$C$7*K190,"運転",IF(L190&lt;=判定条件!$C$8*K190,"停止","断続")))</f>
        <v>運転</v>
      </c>
      <c r="N190" s="30" t="n">
        <v>60</v>
      </c>
      <c r="O190" s="30" t="n">
        <v>0</v>
      </c>
      <c r="P190" s="30" t="str">
        <f aca="false">IF(N190&lt;判定条件!$C$6,"判定不能",IF(O190&gt;=判定条件!$C$7*N190,"運転",IF(O190&lt;=判定条件!$C$8*N190,"停止","断続")))</f>
        <v>停止</v>
      </c>
      <c r="Q190" s="30" t="n">
        <v>60</v>
      </c>
      <c r="R190" s="30" t="n">
        <v>33</v>
      </c>
      <c r="S190" s="30" t="str">
        <f aca="false">IF(Q190&lt;判定条件!$C$6,"判定不能",IF(R190&gt;=判定条件!$C$7*Q190,"運転",IF(R190&lt;=判定条件!$C$8*Q190,"停止","断続")))</f>
        <v>断続</v>
      </c>
      <c r="T190" s="30" t="n">
        <v>60</v>
      </c>
      <c r="U190" s="30" t="n">
        <v>36</v>
      </c>
      <c r="V190" s="30" t="str">
        <f aca="false">IF(T190&lt;判定条件!$C$6,"判定不能",IF(U190&gt;=判定条件!$C$7*T190,"運転",IF(U190&lt;=判定条件!$C$8*T190,"停止","断続")))</f>
        <v>断続</v>
      </c>
      <c r="W190" s="30" t="n">
        <v>60</v>
      </c>
      <c r="X190" s="30" t="n">
        <v>0</v>
      </c>
      <c r="Y190" s="30" t="str">
        <f aca="false">IF(W190&lt;判定条件!$C$6,"判定不能",IF(X190&gt;=判定条件!$C$7*W190,"運転",IF(X190&lt;=判定条件!$C$8*W190,"停止","断続")))</f>
        <v>停止</v>
      </c>
      <c r="Z190" s="30" t="n">
        <v>60</v>
      </c>
      <c r="AA190" s="30" t="n">
        <v>8</v>
      </c>
      <c r="AB190" s="30" t="str">
        <f aca="false">IF(Z190&lt;判定条件!$C$6,"判定不能",IF(AA190&gt;=判定条件!$C$7*Z190,"運転",IF(AA190&lt;=判定条件!$C$8*Z190,"停止","断続")))</f>
        <v>停止</v>
      </c>
      <c r="AC190" s="30" t="n">
        <v>60</v>
      </c>
      <c r="AD190" s="30" t="n">
        <v>0</v>
      </c>
      <c r="AE190" s="30" t="str">
        <f aca="false">IF(AC190&lt;判定条件!$C$6,"判定不能",IF(AD190&gt;=判定条件!$C$7*AC190,"運転",IF(AD190&lt;=判定条件!$C$8*AC190,"停止","断続")))</f>
        <v>停止</v>
      </c>
      <c r="AF190" s="30" t="n">
        <v>60</v>
      </c>
      <c r="AG190" s="30" t="n">
        <v>0</v>
      </c>
      <c r="AH190" s="30" t="str">
        <f aca="false">IF(OR(P190="判定不能",G190="判定不能"),"判定不能",IF(AG190&gt;=判定条件!$C$9,"利用可",IF(AND(P190="停止",G190="停止"),"両方停止","運転がそろわない")))</f>
        <v>運転がそろわない</v>
      </c>
      <c r="AI190" s="30" t="n">
        <v>60</v>
      </c>
      <c r="AJ190" s="30" t="n">
        <v>33</v>
      </c>
      <c r="AK190" s="30" t="str">
        <f aca="false">IF(OR(S190="判定不能",J190="判定不能"),"判定不能",IF(AJ190&gt;=判定条件!$C$9,"利用可",IF(AND(S190="停止",J190="停止"),"両方停止","運転がそろわない")))</f>
        <v>利用可</v>
      </c>
      <c r="AL190" s="30" t="n">
        <v>60</v>
      </c>
      <c r="AM190" s="30" t="n">
        <v>36</v>
      </c>
      <c r="AN190" s="30" t="str">
        <f aca="false">IF(OR(V190="判定不能",M190="判定不能"),"判定不能",IF(AM190&gt;=判定条件!$C$9,"利用可",IF(AND(V190="停止",M190="停止"),"両方停止","運転がそろわない")))</f>
        <v>利用可</v>
      </c>
      <c r="AO190" s="30" t="n">
        <v>60</v>
      </c>
      <c r="AP190" s="30" t="n">
        <v>0</v>
      </c>
      <c r="AQ190" s="30" t="str">
        <f aca="false">IF(OR(Y190="判定不能",G190="判定不能"),"判定不能",IF(AP190&gt;=判定条件!$C$9,"利用可",IF(AND(Y190="停止",G190="停止"),"両方停止","運転がそろわない")))</f>
        <v>運転がそろわない</v>
      </c>
      <c r="AR190" s="30" t="n">
        <v>60</v>
      </c>
      <c r="AS190" s="30" t="n">
        <v>8</v>
      </c>
      <c r="AT190" s="30" t="str">
        <f aca="false">IF(OR(AB190="判定不能",J190="判定不能"),"判定不能",IF(AS190&gt;=判定条件!$C$9,"利用可",IF(AND(AB190="停止",J190="停止"),"両方停止","運転がそろわない")))</f>
        <v>運転がそろわない</v>
      </c>
      <c r="AU190" s="30" t="n">
        <v>60</v>
      </c>
      <c r="AV190" s="30" t="n">
        <v>0</v>
      </c>
      <c r="AW190" s="30" t="str">
        <f aca="false">IF(OR(AE190="判定不能",M190="判定不能"),"判定不能",IF(AV190&gt;=判定条件!$C$9,"利用可",IF(AND(AE190="停止",M190="停止"),"両方停止","運転がそろわない")))</f>
        <v>運転がそろわない</v>
      </c>
      <c r="AX190" s="30" t="str">
        <f aca="false">IF(AND(AH190="利用可",AK190="利用可",AN190="利用可"),"利用可","不可")</f>
        <v>不可</v>
      </c>
      <c r="AY190" s="30" t="str">
        <f aca="false">IF(AND(AQ190="利用可",AT190="利用可",AW190="利用可"),"利用可","不可")</f>
        <v>不可</v>
      </c>
    </row>
    <row r="191" customFormat="false" ht="15" hidden="false" customHeight="false" outlineLevel="0" collapsed="false">
      <c r="A191" s="29" t="n">
        <v>46239</v>
      </c>
      <c r="B191" s="30" t="n">
        <v>20</v>
      </c>
      <c r="C191" s="31" t="s">
        <v>58</v>
      </c>
      <c r="D191" s="31" t="s">
        <v>59</v>
      </c>
      <c r="E191" s="30" t="n">
        <v>60</v>
      </c>
      <c r="F191" s="30" t="n">
        <v>49</v>
      </c>
      <c r="G191" s="30" t="str">
        <f aca="false">IF(E191&lt;判定条件!$C$6,"判定不能",IF(F191&gt;=判定条件!$C$7*E191,"運転",IF(F191&lt;=判定条件!$C$8*E191,"停止","断続")))</f>
        <v>運転</v>
      </c>
      <c r="H191" s="30" t="n">
        <v>60</v>
      </c>
      <c r="I191" s="30" t="n">
        <v>47</v>
      </c>
      <c r="J191" s="30" t="str">
        <f aca="false">IF(H191&lt;判定条件!$C$6,"判定不能",IF(I191&gt;=判定条件!$C$7*H191,"運転",IF(I191&lt;=判定条件!$C$8*H191,"停止","断続")))</f>
        <v>断続</v>
      </c>
      <c r="K191" s="30" t="n">
        <v>60</v>
      </c>
      <c r="L191" s="30" t="n">
        <v>60</v>
      </c>
      <c r="M191" s="30" t="str">
        <f aca="false">IF(K191&lt;判定条件!$C$6,"判定不能",IF(L191&gt;=判定条件!$C$7*K191,"運転",IF(L191&lt;=判定条件!$C$8*K191,"停止","断続")))</f>
        <v>運転</v>
      </c>
      <c r="N191" s="30" t="n">
        <v>60</v>
      </c>
      <c r="O191" s="30" t="n">
        <v>0</v>
      </c>
      <c r="P191" s="30" t="str">
        <f aca="false">IF(N191&lt;判定条件!$C$6,"判定不能",IF(O191&gt;=判定条件!$C$7*N191,"運転",IF(O191&lt;=判定条件!$C$8*N191,"停止","断続")))</f>
        <v>停止</v>
      </c>
      <c r="Q191" s="30" t="n">
        <v>60</v>
      </c>
      <c r="R191" s="30" t="n">
        <v>39</v>
      </c>
      <c r="S191" s="30" t="str">
        <f aca="false">IF(Q191&lt;判定条件!$C$6,"判定不能",IF(R191&gt;=判定条件!$C$7*Q191,"運転",IF(R191&lt;=判定条件!$C$8*Q191,"停止","断続")))</f>
        <v>断続</v>
      </c>
      <c r="T191" s="30" t="n">
        <v>60</v>
      </c>
      <c r="U191" s="30" t="n">
        <v>52</v>
      </c>
      <c r="V191" s="30" t="str">
        <f aca="false">IF(T191&lt;判定条件!$C$6,"判定不能",IF(U191&gt;=判定条件!$C$7*T191,"運転",IF(U191&lt;=判定条件!$C$8*T191,"停止","断続")))</f>
        <v>運転</v>
      </c>
      <c r="W191" s="30" t="n">
        <v>60</v>
      </c>
      <c r="X191" s="30" t="n">
        <v>0</v>
      </c>
      <c r="Y191" s="30" t="str">
        <f aca="false">IF(W191&lt;判定条件!$C$6,"判定不能",IF(X191&gt;=判定条件!$C$7*W191,"運転",IF(X191&lt;=判定条件!$C$8*W191,"停止","断続")))</f>
        <v>停止</v>
      </c>
      <c r="Z191" s="30" t="n">
        <v>60</v>
      </c>
      <c r="AA191" s="30" t="n">
        <v>0</v>
      </c>
      <c r="AB191" s="30" t="str">
        <f aca="false">IF(Z191&lt;判定条件!$C$6,"判定不能",IF(AA191&gt;=判定条件!$C$7*Z191,"運転",IF(AA191&lt;=判定条件!$C$8*Z191,"停止","断続")))</f>
        <v>停止</v>
      </c>
      <c r="AC191" s="30" t="n">
        <v>60</v>
      </c>
      <c r="AD191" s="30" t="n">
        <v>0</v>
      </c>
      <c r="AE191" s="30" t="str">
        <f aca="false">IF(AC191&lt;判定条件!$C$6,"判定不能",IF(AD191&gt;=判定条件!$C$7*AC191,"運転",IF(AD191&lt;=判定条件!$C$8*AC191,"停止","断続")))</f>
        <v>停止</v>
      </c>
      <c r="AF191" s="30" t="n">
        <v>60</v>
      </c>
      <c r="AG191" s="30" t="n">
        <v>0</v>
      </c>
      <c r="AH191" s="30" t="str">
        <f aca="false">IF(OR(P191="判定不能",G191="判定不能"),"判定不能",IF(AG191&gt;=判定条件!$C$9,"利用可",IF(AND(P191="停止",G191="停止"),"両方停止","運転がそろわない")))</f>
        <v>運転がそろわない</v>
      </c>
      <c r="AI191" s="30" t="n">
        <v>60</v>
      </c>
      <c r="AJ191" s="30" t="n">
        <v>26</v>
      </c>
      <c r="AK191" s="30" t="str">
        <f aca="false">IF(OR(S191="判定不能",J191="判定不能"),"判定不能",IF(AJ191&gt;=判定条件!$C$9,"利用可",IF(AND(S191="停止",J191="停止"),"両方停止","運転がそろわない")))</f>
        <v>運転がそろわない</v>
      </c>
      <c r="AL191" s="30" t="n">
        <v>60</v>
      </c>
      <c r="AM191" s="30" t="n">
        <v>52</v>
      </c>
      <c r="AN191" s="30" t="str">
        <f aca="false">IF(OR(V191="判定不能",M191="判定不能"),"判定不能",IF(AM191&gt;=判定条件!$C$9,"利用可",IF(AND(V191="停止",M191="停止"),"両方停止","運転がそろわない")))</f>
        <v>利用可</v>
      </c>
      <c r="AO191" s="30" t="n">
        <v>60</v>
      </c>
      <c r="AP191" s="30" t="n">
        <v>0</v>
      </c>
      <c r="AQ191" s="30" t="str">
        <f aca="false">IF(OR(Y191="判定不能",G191="判定不能"),"判定不能",IF(AP191&gt;=判定条件!$C$9,"利用可",IF(AND(Y191="停止",G191="停止"),"両方停止","運転がそろわない")))</f>
        <v>運転がそろわない</v>
      </c>
      <c r="AR191" s="30" t="n">
        <v>60</v>
      </c>
      <c r="AS191" s="30" t="n">
        <v>0</v>
      </c>
      <c r="AT191" s="30" t="str">
        <f aca="false">IF(OR(AB191="判定不能",J191="判定不能"),"判定不能",IF(AS191&gt;=判定条件!$C$9,"利用可",IF(AND(AB191="停止",J191="停止"),"両方停止","運転がそろわない")))</f>
        <v>運転がそろわない</v>
      </c>
      <c r="AU191" s="30" t="n">
        <v>60</v>
      </c>
      <c r="AV191" s="30" t="n">
        <v>0</v>
      </c>
      <c r="AW191" s="30" t="str">
        <f aca="false">IF(OR(AE191="判定不能",M191="判定不能"),"判定不能",IF(AV191&gt;=判定条件!$C$9,"利用可",IF(AND(AE191="停止",M191="停止"),"両方停止","運転がそろわない")))</f>
        <v>運転がそろわない</v>
      </c>
      <c r="AX191" s="30" t="str">
        <f aca="false">IF(AND(AH191="利用可",AK191="利用可",AN191="利用可"),"利用可","不可")</f>
        <v>不可</v>
      </c>
      <c r="AY191" s="30" t="str">
        <f aca="false">IF(AND(AQ191="利用可",AT191="利用可",AW191="利用可"),"利用可","不可")</f>
        <v>不可</v>
      </c>
    </row>
    <row r="192" customFormat="false" ht="15" hidden="false" customHeight="false" outlineLevel="0" collapsed="false">
      <c r="A192" s="29" t="n">
        <v>46239</v>
      </c>
      <c r="B192" s="30" t="n">
        <v>21</v>
      </c>
      <c r="C192" s="31" t="s">
        <v>58</v>
      </c>
      <c r="D192" s="31" t="s">
        <v>59</v>
      </c>
      <c r="E192" s="30" t="n">
        <v>60</v>
      </c>
      <c r="F192" s="30" t="n">
        <v>0</v>
      </c>
      <c r="G192" s="30" t="str">
        <f aca="false">IF(E192&lt;判定条件!$C$6,"判定不能",IF(F192&gt;=判定条件!$C$7*E192,"運転",IF(F192&lt;=判定条件!$C$8*E192,"停止","断続")))</f>
        <v>停止</v>
      </c>
      <c r="H192" s="30" t="n">
        <v>60</v>
      </c>
      <c r="I192" s="30" t="n">
        <v>0</v>
      </c>
      <c r="J192" s="30" t="str">
        <f aca="false">IF(H192&lt;判定条件!$C$6,"判定不能",IF(I192&gt;=判定条件!$C$7*H192,"運転",IF(I192&lt;=判定条件!$C$8*H192,"停止","断続")))</f>
        <v>停止</v>
      </c>
      <c r="K192" s="30" t="n">
        <v>60</v>
      </c>
      <c r="L192" s="30" t="n">
        <v>60</v>
      </c>
      <c r="M192" s="30" t="str">
        <f aca="false">IF(K192&lt;判定条件!$C$6,"判定不能",IF(L192&gt;=判定条件!$C$7*K192,"運転",IF(L192&lt;=判定条件!$C$8*K192,"停止","断続")))</f>
        <v>運転</v>
      </c>
      <c r="N192" s="30" t="n">
        <v>60</v>
      </c>
      <c r="O192" s="30" t="n">
        <v>40</v>
      </c>
      <c r="P192" s="30" t="str">
        <f aca="false">IF(N192&lt;判定条件!$C$6,"判定不能",IF(O192&gt;=判定条件!$C$7*N192,"運転",IF(O192&lt;=判定条件!$C$8*N192,"停止","断続")))</f>
        <v>断続</v>
      </c>
      <c r="Q192" s="30" t="n">
        <v>60</v>
      </c>
      <c r="R192" s="30" t="n">
        <v>44</v>
      </c>
      <c r="S192" s="30" t="str">
        <f aca="false">IF(Q192&lt;判定条件!$C$6,"判定不能",IF(R192&gt;=判定条件!$C$7*Q192,"運転",IF(R192&lt;=判定条件!$C$8*Q192,"停止","断続")))</f>
        <v>断続</v>
      </c>
      <c r="T192" s="30" t="n">
        <v>60</v>
      </c>
      <c r="U192" s="30" t="n">
        <v>31</v>
      </c>
      <c r="V192" s="30" t="str">
        <f aca="false">IF(T192&lt;判定条件!$C$6,"判定不能",IF(U192&gt;=判定条件!$C$7*T192,"運転",IF(U192&lt;=判定条件!$C$8*T192,"停止","断続")))</f>
        <v>断続</v>
      </c>
      <c r="W192" s="30" t="n">
        <v>60</v>
      </c>
      <c r="X192" s="30" t="n">
        <v>0</v>
      </c>
      <c r="Y192" s="30" t="str">
        <f aca="false">IF(W192&lt;判定条件!$C$6,"判定不能",IF(X192&gt;=判定条件!$C$7*W192,"運転",IF(X192&lt;=判定条件!$C$8*W192,"停止","断続")))</f>
        <v>停止</v>
      </c>
      <c r="Z192" s="30" t="n">
        <v>60</v>
      </c>
      <c r="AA192" s="30" t="n">
        <v>0</v>
      </c>
      <c r="AB192" s="30" t="str">
        <f aca="false">IF(Z192&lt;判定条件!$C$6,"判定不能",IF(AA192&gt;=判定条件!$C$7*Z192,"運転",IF(AA192&lt;=判定条件!$C$8*Z192,"停止","断続")))</f>
        <v>停止</v>
      </c>
      <c r="AC192" s="30" t="n">
        <v>60</v>
      </c>
      <c r="AD192" s="30" t="n">
        <v>0</v>
      </c>
      <c r="AE192" s="30" t="str">
        <f aca="false">IF(AC192&lt;判定条件!$C$6,"判定不能",IF(AD192&gt;=判定条件!$C$7*AC192,"運転",IF(AD192&lt;=判定条件!$C$8*AC192,"停止","断続")))</f>
        <v>停止</v>
      </c>
      <c r="AF192" s="30" t="n">
        <v>60</v>
      </c>
      <c r="AG192" s="30" t="n">
        <v>0</v>
      </c>
      <c r="AH192" s="30" t="str">
        <f aca="false">IF(OR(P192="判定不能",G192="判定不能"),"判定不能",IF(AG192&gt;=判定条件!$C$9,"利用可",IF(AND(P192="停止",G192="停止"),"両方停止","運転がそろわない")))</f>
        <v>運転がそろわない</v>
      </c>
      <c r="AI192" s="30" t="n">
        <v>60</v>
      </c>
      <c r="AJ192" s="30" t="n">
        <v>0</v>
      </c>
      <c r="AK192" s="30" t="str">
        <f aca="false">IF(OR(S192="判定不能",J192="判定不能"),"判定不能",IF(AJ192&gt;=判定条件!$C$9,"利用可",IF(AND(S192="停止",J192="停止"),"両方停止","運転がそろわない")))</f>
        <v>運転がそろわない</v>
      </c>
      <c r="AL192" s="30" t="n">
        <v>60</v>
      </c>
      <c r="AM192" s="30" t="n">
        <v>31</v>
      </c>
      <c r="AN192" s="30" t="str">
        <f aca="false">IF(OR(V192="判定不能",M192="判定不能"),"判定不能",IF(AM192&gt;=判定条件!$C$9,"利用可",IF(AND(V192="停止",M192="停止"),"両方停止","運転がそろわない")))</f>
        <v>利用可</v>
      </c>
      <c r="AO192" s="30" t="n">
        <v>60</v>
      </c>
      <c r="AP192" s="30" t="n">
        <v>0</v>
      </c>
      <c r="AQ192" s="30" t="str">
        <f aca="false">IF(OR(Y192="判定不能",G192="判定不能"),"判定不能",IF(AP192&gt;=判定条件!$C$9,"利用可",IF(AND(Y192="停止",G192="停止"),"両方停止","運転がそろわない")))</f>
        <v>両方停止</v>
      </c>
      <c r="AR192" s="30" t="n">
        <v>60</v>
      </c>
      <c r="AS192" s="30" t="n">
        <v>0</v>
      </c>
      <c r="AT192" s="30" t="str">
        <f aca="false">IF(OR(AB192="判定不能",J192="判定不能"),"判定不能",IF(AS192&gt;=判定条件!$C$9,"利用可",IF(AND(AB192="停止",J192="停止"),"両方停止","運転がそろわない")))</f>
        <v>両方停止</v>
      </c>
      <c r="AU192" s="30" t="n">
        <v>60</v>
      </c>
      <c r="AV192" s="30" t="n">
        <v>0</v>
      </c>
      <c r="AW192" s="30" t="str">
        <f aca="false">IF(OR(AE192="判定不能",M192="判定不能"),"判定不能",IF(AV192&gt;=判定条件!$C$9,"利用可",IF(AND(AE192="停止",M192="停止"),"両方停止","運転がそろわない")))</f>
        <v>運転がそろわない</v>
      </c>
      <c r="AX192" s="30" t="str">
        <f aca="false">IF(AND(AH192="利用可",AK192="利用可",AN192="利用可"),"利用可","不可")</f>
        <v>不可</v>
      </c>
      <c r="AY192" s="30" t="str">
        <f aca="false">IF(AND(AQ192="利用可",AT192="利用可",AW192="利用可"),"利用可","不可")</f>
        <v>不可</v>
      </c>
    </row>
    <row r="193" customFormat="false" ht="15" hidden="false" customHeight="false" outlineLevel="0" collapsed="false">
      <c r="A193" s="29" t="n">
        <v>46239</v>
      </c>
      <c r="B193" s="30" t="n">
        <v>22</v>
      </c>
      <c r="C193" s="31" t="s">
        <v>58</v>
      </c>
      <c r="D193" s="31" t="s">
        <v>59</v>
      </c>
      <c r="E193" s="30" t="n">
        <v>60</v>
      </c>
      <c r="F193" s="30" t="n">
        <v>0</v>
      </c>
      <c r="G193" s="30" t="str">
        <f aca="false">IF(E193&lt;判定条件!$C$6,"判定不能",IF(F193&gt;=判定条件!$C$7*E193,"運転",IF(F193&lt;=判定条件!$C$8*E193,"停止","断続")))</f>
        <v>停止</v>
      </c>
      <c r="H193" s="30" t="n">
        <v>60</v>
      </c>
      <c r="I193" s="30" t="n">
        <v>0</v>
      </c>
      <c r="J193" s="30" t="str">
        <f aca="false">IF(H193&lt;判定条件!$C$6,"判定不能",IF(I193&gt;=判定条件!$C$7*H193,"運転",IF(I193&lt;=判定条件!$C$8*H193,"停止","断続")))</f>
        <v>停止</v>
      </c>
      <c r="K193" s="30" t="n">
        <v>60</v>
      </c>
      <c r="L193" s="30" t="n">
        <v>60</v>
      </c>
      <c r="M193" s="30" t="str">
        <f aca="false">IF(K193&lt;判定条件!$C$6,"判定不能",IF(L193&gt;=判定条件!$C$7*K193,"運転",IF(L193&lt;=判定条件!$C$8*K193,"停止","断続")))</f>
        <v>運転</v>
      </c>
      <c r="N193" s="30" t="n">
        <v>60</v>
      </c>
      <c r="O193" s="30" t="n">
        <v>16</v>
      </c>
      <c r="P193" s="30" t="str">
        <f aca="false">IF(N193&lt;判定条件!$C$6,"判定不能",IF(O193&gt;=判定条件!$C$7*N193,"運転",IF(O193&lt;=判定条件!$C$8*N193,"停止","断続")))</f>
        <v>断続</v>
      </c>
      <c r="Q193" s="30" t="n">
        <v>60</v>
      </c>
      <c r="R193" s="30" t="n">
        <v>56</v>
      </c>
      <c r="S193" s="30" t="str">
        <f aca="false">IF(Q193&lt;判定条件!$C$6,"判定不能",IF(R193&gt;=判定条件!$C$7*Q193,"運転",IF(R193&lt;=判定条件!$C$8*Q193,"停止","断続")))</f>
        <v>運転</v>
      </c>
      <c r="T193" s="30" t="n">
        <v>60</v>
      </c>
      <c r="U193" s="30" t="n">
        <v>6</v>
      </c>
      <c r="V193" s="30" t="str">
        <f aca="false">IF(T193&lt;判定条件!$C$6,"判定不能",IF(U193&gt;=判定条件!$C$7*T193,"運転",IF(U193&lt;=判定条件!$C$8*T193,"停止","断続")))</f>
        <v>停止</v>
      </c>
      <c r="W193" s="30" t="n">
        <v>60</v>
      </c>
      <c r="X193" s="30" t="n">
        <v>0</v>
      </c>
      <c r="Y193" s="30" t="str">
        <f aca="false">IF(W193&lt;判定条件!$C$6,"判定不能",IF(X193&gt;=判定条件!$C$7*W193,"運転",IF(X193&lt;=判定条件!$C$8*W193,"停止","断続")))</f>
        <v>停止</v>
      </c>
      <c r="Z193" s="30" t="n">
        <v>60</v>
      </c>
      <c r="AA193" s="30" t="n">
        <v>0</v>
      </c>
      <c r="AB193" s="30" t="str">
        <f aca="false">IF(Z193&lt;判定条件!$C$6,"判定不能",IF(AA193&gt;=判定条件!$C$7*Z193,"運転",IF(AA193&lt;=判定条件!$C$8*Z193,"停止","断続")))</f>
        <v>停止</v>
      </c>
      <c r="AC193" s="30" t="n">
        <v>60</v>
      </c>
      <c r="AD193" s="30" t="n">
        <v>0</v>
      </c>
      <c r="AE193" s="30" t="str">
        <f aca="false">IF(AC193&lt;判定条件!$C$6,"判定不能",IF(AD193&gt;=判定条件!$C$7*AC193,"運転",IF(AD193&lt;=判定条件!$C$8*AC193,"停止","断続")))</f>
        <v>停止</v>
      </c>
      <c r="AF193" s="30" t="n">
        <v>60</v>
      </c>
      <c r="AG193" s="30" t="n">
        <v>0</v>
      </c>
      <c r="AH193" s="30" t="str">
        <f aca="false">IF(OR(P193="判定不能",G193="判定不能"),"判定不能",IF(AG193&gt;=判定条件!$C$9,"利用可",IF(AND(P193="停止",G193="停止"),"両方停止","運転がそろわない")))</f>
        <v>運転がそろわない</v>
      </c>
      <c r="AI193" s="30" t="n">
        <v>60</v>
      </c>
      <c r="AJ193" s="30" t="n">
        <v>0</v>
      </c>
      <c r="AK193" s="30" t="str">
        <f aca="false">IF(OR(S193="判定不能",J193="判定不能"),"判定不能",IF(AJ193&gt;=判定条件!$C$9,"利用可",IF(AND(S193="停止",J193="停止"),"両方停止","運転がそろわない")))</f>
        <v>運転がそろわない</v>
      </c>
      <c r="AL193" s="30" t="n">
        <v>60</v>
      </c>
      <c r="AM193" s="30" t="n">
        <v>6</v>
      </c>
      <c r="AN193" s="30" t="str">
        <f aca="false">IF(OR(V193="判定不能",M193="判定不能"),"判定不能",IF(AM193&gt;=判定条件!$C$9,"利用可",IF(AND(V193="停止",M193="停止"),"両方停止","運転がそろわない")))</f>
        <v>運転がそろわない</v>
      </c>
      <c r="AO193" s="30" t="n">
        <v>60</v>
      </c>
      <c r="AP193" s="30" t="n">
        <v>0</v>
      </c>
      <c r="AQ193" s="30" t="str">
        <f aca="false">IF(OR(Y193="判定不能",G193="判定不能"),"判定不能",IF(AP193&gt;=判定条件!$C$9,"利用可",IF(AND(Y193="停止",G193="停止"),"両方停止","運転がそろわない")))</f>
        <v>両方停止</v>
      </c>
      <c r="AR193" s="30" t="n">
        <v>60</v>
      </c>
      <c r="AS193" s="30" t="n">
        <v>0</v>
      </c>
      <c r="AT193" s="30" t="str">
        <f aca="false">IF(OR(AB193="判定不能",J193="判定不能"),"判定不能",IF(AS193&gt;=判定条件!$C$9,"利用可",IF(AND(AB193="停止",J193="停止"),"両方停止","運転がそろわない")))</f>
        <v>両方停止</v>
      </c>
      <c r="AU193" s="30" t="n">
        <v>60</v>
      </c>
      <c r="AV193" s="30" t="n">
        <v>0</v>
      </c>
      <c r="AW193" s="30" t="str">
        <f aca="false">IF(OR(AE193="判定不能",M193="判定不能"),"判定不能",IF(AV193&gt;=判定条件!$C$9,"利用可",IF(AND(AE193="停止",M193="停止"),"両方停止","運転がそろわない")))</f>
        <v>運転がそろわない</v>
      </c>
      <c r="AX193" s="30" t="str">
        <f aca="false">IF(AND(AH193="利用可",AK193="利用可",AN193="利用可"),"利用可","不可")</f>
        <v>不可</v>
      </c>
      <c r="AY193" s="30" t="str">
        <f aca="false">IF(AND(AQ193="利用可",AT193="利用可",AW193="利用可"),"利用可","不可")</f>
        <v>不可</v>
      </c>
    </row>
    <row r="194" customFormat="false" ht="15" hidden="false" customHeight="false" outlineLevel="0" collapsed="false">
      <c r="A194" s="29" t="n">
        <v>46239</v>
      </c>
      <c r="B194" s="30" t="n">
        <v>23</v>
      </c>
      <c r="C194" s="31" t="s">
        <v>58</v>
      </c>
      <c r="D194" s="31" t="s">
        <v>59</v>
      </c>
      <c r="E194" s="30" t="n">
        <v>60</v>
      </c>
      <c r="F194" s="30" t="n">
        <v>0</v>
      </c>
      <c r="G194" s="30" t="str">
        <f aca="false">IF(E194&lt;判定条件!$C$6,"判定不能",IF(F194&gt;=判定条件!$C$7*E194,"運転",IF(F194&lt;=判定条件!$C$8*E194,"停止","断続")))</f>
        <v>停止</v>
      </c>
      <c r="H194" s="30" t="n">
        <v>60</v>
      </c>
      <c r="I194" s="30" t="n">
        <v>0</v>
      </c>
      <c r="J194" s="30" t="str">
        <f aca="false">IF(H194&lt;判定条件!$C$6,"判定不能",IF(I194&gt;=判定条件!$C$7*H194,"運転",IF(I194&lt;=判定条件!$C$8*H194,"停止","断続")))</f>
        <v>停止</v>
      </c>
      <c r="K194" s="30" t="n">
        <v>60</v>
      </c>
      <c r="L194" s="30" t="n">
        <v>60</v>
      </c>
      <c r="M194" s="30" t="str">
        <f aca="false">IF(K194&lt;判定条件!$C$6,"判定不能",IF(L194&gt;=判定条件!$C$7*K194,"運転",IF(L194&lt;=判定条件!$C$8*K194,"停止","断続")))</f>
        <v>運転</v>
      </c>
      <c r="N194" s="30" t="n">
        <v>60</v>
      </c>
      <c r="O194" s="30" t="n">
        <v>0</v>
      </c>
      <c r="P194" s="30" t="str">
        <f aca="false">IF(N194&lt;判定条件!$C$6,"判定不能",IF(O194&gt;=判定条件!$C$7*N194,"運転",IF(O194&lt;=判定条件!$C$8*N194,"停止","断続")))</f>
        <v>停止</v>
      </c>
      <c r="Q194" s="30" t="n">
        <v>60</v>
      </c>
      <c r="R194" s="30" t="n">
        <v>28</v>
      </c>
      <c r="S194" s="30" t="str">
        <f aca="false">IF(Q194&lt;判定条件!$C$6,"判定不能",IF(R194&gt;=判定条件!$C$7*Q194,"運転",IF(R194&lt;=判定条件!$C$8*Q194,"停止","断続")))</f>
        <v>断続</v>
      </c>
      <c r="T194" s="30" t="n">
        <v>60</v>
      </c>
      <c r="U194" s="30" t="n">
        <v>51</v>
      </c>
      <c r="V194" s="30" t="str">
        <f aca="false">IF(T194&lt;判定条件!$C$6,"判定不能",IF(U194&gt;=判定条件!$C$7*T194,"運転",IF(U194&lt;=判定条件!$C$8*T194,"停止","断続")))</f>
        <v>運転</v>
      </c>
      <c r="W194" s="30" t="n">
        <v>60</v>
      </c>
      <c r="X194" s="30" t="n">
        <v>0</v>
      </c>
      <c r="Y194" s="30" t="str">
        <f aca="false">IF(W194&lt;判定条件!$C$6,"判定不能",IF(X194&gt;=判定条件!$C$7*W194,"運転",IF(X194&lt;=判定条件!$C$8*W194,"停止","断続")))</f>
        <v>停止</v>
      </c>
      <c r="Z194" s="30" t="n">
        <v>60</v>
      </c>
      <c r="AA194" s="30" t="n">
        <v>0</v>
      </c>
      <c r="AB194" s="30" t="str">
        <f aca="false">IF(Z194&lt;判定条件!$C$6,"判定不能",IF(AA194&gt;=判定条件!$C$7*Z194,"運転",IF(AA194&lt;=判定条件!$C$8*Z194,"停止","断続")))</f>
        <v>停止</v>
      </c>
      <c r="AC194" s="30" t="n">
        <v>60</v>
      </c>
      <c r="AD194" s="30" t="n">
        <v>0</v>
      </c>
      <c r="AE194" s="30" t="str">
        <f aca="false">IF(AC194&lt;判定条件!$C$6,"判定不能",IF(AD194&gt;=判定条件!$C$7*AC194,"運転",IF(AD194&lt;=判定条件!$C$8*AC194,"停止","断続")))</f>
        <v>停止</v>
      </c>
      <c r="AF194" s="30" t="n">
        <v>60</v>
      </c>
      <c r="AG194" s="30" t="n">
        <v>0</v>
      </c>
      <c r="AH194" s="30" t="str">
        <f aca="false">IF(OR(P194="判定不能",G194="判定不能"),"判定不能",IF(AG194&gt;=判定条件!$C$9,"利用可",IF(AND(P194="停止",G194="停止"),"両方停止","運転がそろわない")))</f>
        <v>両方停止</v>
      </c>
      <c r="AI194" s="30" t="n">
        <v>60</v>
      </c>
      <c r="AJ194" s="30" t="n">
        <v>0</v>
      </c>
      <c r="AK194" s="30" t="str">
        <f aca="false">IF(OR(S194="判定不能",J194="判定不能"),"判定不能",IF(AJ194&gt;=判定条件!$C$9,"利用可",IF(AND(S194="停止",J194="停止"),"両方停止","運転がそろわない")))</f>
        <v>運転がそろわない</v>
      </c>
      <c r="AL194" s="30" t="n">
        <v>60</v>
      </c>
      <c r="AM194" s="30" t="n">
        <v>51</v>
      </c>
      <c r="AN194" s="30" t="str">
        <f aca="false">IF(OR(V194="判定不能",M194="判定不能"),"判定不能",IF(AM194&gt;=判定条件!$C$9,"利用可",IF(AND(V194="停止",M194="停止"),"両方停止","運転がそろわない")))</f>
        <v>利用可</v>
      </c>
      <c r="AO194" s="30" t="n">
        <v>60</v>
      </c>
      <c r="AP194" s="30" t="n">
        <v>0</v>
      </c>
      <c r="AQ194" s="30" t="str">
        <f aca="false">IF(OR(Y194="判定不能",G194="判定不能"),"判定不能",IF(AP194&gt;=判定条件!$C$9,"利用可",IF(AND(Y194="停止",G194="停止"),"両方停止","運転がそろわない")))</f>
        <v>両方停止</v>
      </c>
      <c r="AR194" s="30" t="n">
        <v>60</v>
      </c>
      <c r="AS194" s="30" t="n">
        <v>0</v>
      </c>
      <c r="AT194" s="30" t="str">
        <f aca="false">IF(OR(AB194="判定不能",J194="判定不能"),"判定不能",IF(AS194&gt;=判定条件!$C$9,"利用可",IF(AND(AB194="停止",J194="停止"),"両方停止","運転がそろわない")))</f>
        <v>両方停止</v>
      </c>
      <c r="AU194" s="30" t="n">
        <v>60</v>
      </c>
      <c r="AV194" s="30" t="n">
        <v>0</v>
      </c>
      <c r="AW194" s="30" t="str">
        <f aca="false">IF(OR(AE194="判定不能",M194="判定不能"),"判定不能",IF(AV194&gt;=判定条件!$C$9,"利用可",IF(AND(AE194="停止",M194="停止"),"両方停止","運転がそろわない")))</f>
        <v>運転がそろわない</v>
      </c>
      <c r="AX194" s="30" t="str">
        <f aca="false">IF(AND(AH194="利用可",AK194="利用可",AN194="利用可"),"利用可","不可")</f>
        <v>不可</v>
      </c>
      <c r="AY194" s="30" t="str">
        <f aca="false">IF(AND(AQ194="利用可",AT194="利用可",AW194="利用可"),"利用可","不可")</f>
        <v>不可</v>
      </c>
    </row>
    <row r="195" customFormat="false" ht="15" hidden="false" customHeight="false" outlineLevel="0" collapsed="false">
      <c r="A195" s="29" t="n">
        <v>46240</v>
      </c>
      <c r="B195" s="30" t="n">
        <v>0</v>
      </c>
      <c r="C195" s="31" t="s">
        <v>61</v>
      </c>
      <c r="D195" s="31" t="s">
        <v>59</v>
      </c>
      <c r="E195" s="30" t="n">
        <v>60</v>
      </c>
      <c r="F195" s="30" t="n">
        <v>0</v>
      </c>
      <c r="G195" s="30" t="str">
        <f aca="false">IF(E195&lt;判定条件!$C$6,"判定不能",IF(F195&gt;=判定条件!$C$7*E195,"運転",IF(F195&lt;=判定条件!$C$8*E195,"停止","断続")))</f>
        <v>停止</v>
      </c>
      <c r="H195" s="30" t="n">
        <v>60</v>
      </c>
      <c r="I195" s="30" t="n">
        <v>0</v>
      </c>
      <c r="J195" s="30" t="str">
        <f aca="false">IF(H195&lt;判定条件!$C$6,"判定不能",IF(I195&gt;=判定条件!$C$7*H195,"運転",IF(I195&lt;=判定条件!$C$8*H195,"停止","断続")))</f>
        <v>停止</v>
      </c>
      <c r="K195" s="30" t="n">
        <v>60</v>
      </c>
      <c r="L195" s="30" t="n">
        <v>60</v>
      </c>
      <c r="M195" s="30" t="str">
        <f aca="false">IF(K195&lt;判定条件!$C$6,"判定不能",IF(L195&gt;=判定条件!$C$7*K195,"運転",IF(L195&lt;=判定条件!$C$8*K195,"停止","断続")))</f>
        <v>運転</v>
      </c>
      <c r="N195" s="30" t="n">
        <v>60</v>
      </c>
      <c r="O195" s="30" t="n">
        <v>0</v>
      </c>
      <c r="P195" s="30" t="str">
        <f aca="false">IF(N195&lt;判定条件!$C$6,"判定不能",IF(O195&gt;=判定条件!$C$7*N195,"運転",IF(O195&lt;=判定条件!$C$8*N195,"停止","断続")))</f>
        <v>停止</v>
      </c>
      <c r="Q195" s="30" t="n">
        <v>60</v>
      </c>
      <c r="R195" s="30" t="n">
        <v>0</v>
      </c>
      <c r="S195" s="30" t="str">
        <f aca="false">IF(Q195&lt;判定条件!$C$6,"判定不能",IF(R195&gt;=判定条件!$C$7*Q195,"運転",IF(R195&lt;=判定条件!$C$8*Q195,"停止","断続")))</f>
        <v>停止</v>
      </c>
      <c r="T195" s="30" t="n">
        <v>60</v>
      </c>
      <c r="U195" s="30" t="n">
        <v>0</v>
      </c>
      <c r="V195" s="30" t="str">
        <f aca="false">IF(T195&lt;判定条件!$C$6,"判定不能",IF(U195&gt;=判定条件!$C$7*T195,"運転",IF(U195&lt;=判定条件!$C$8*T195,"停止","断続")))</f>
        <v>停止</v>
      </c>
      <c r="W195" s="30" t="n">
        <v>60</v>
      </c>
      <c r="X195" s="30" t="n">
        <v>0</v>
      </c>
      <c r="Y195" s="30" t="str">
        <f aca="false">IF(W195&lt;判定条件!$C$6,"判定不能",IF(X195&gt;=判定条件!$C$7*W195,"運転",IF(X195&lt;=判定条件!$C$8*W195,"停止","断続")))</f>
        <v>停止</v>
      </c>
      <c r="Z195" s="30" t="n">
        <v>60</v>
      </c>
      <c r="AA195" s="30" t="n">
        <v>0</v>
      </c>
      <c r="AB195" s="30" t="str">
        <f aca="false">IF(Z195&lt;判定条件!$C$6,"判定不能",IF(AA195&gt;=判定条件!$C$7*Z195,"運転",IF(AA195&lt;=判定条件!$C$8*Z195,"停止","断続")))</f>
        <v>停止</v>
      </c>
      <c r="AC195" s="30" t="n">
        <v>60</v>
      </c>
      <c r="AD195" s="30" t="n">
        <v>0</v>
      </c>
      <c r="AE195" s="30" t="str">
        <f aca="false">IF(AC195&lt;判定条件!$C$6,"判定不能",IF(AD195&gt;=判定条件!$C$7*AC195,"運転",IF(AD195&lt;=判定条件!$C$8*AC195,"停止","断続")))</f>
        <v>停止</v>
      </c>
      <c r="AF195" s="30" t="n">
        <v>60</v>
      </c>
      <c r="AG195" s="30" t="n">
        <v>0</v>
      </c>
      <c r="AH195" s="30" t="str">
        <f aca="false">IF(OR(P195="判定不能",G195="判定不能"),"判定不能",IF(AG195&gt;=判定条件!$C$9,"利用可",IF(AND(P195="停止",G195="停止"),"両方停止","運転がそろわない")))</f>
        <v>両方停止</v>
      </c>
      <c r="AI195" s="30" t="n">
        <v>60</v>
      </c>
      <c r="AJ195" s="30" t="n">
        <v>0</v>
      </c>
      <c r="AK195" s="30" t="str">
        <f aca="false">IF(OR(S195="判定不能",J195="判定不能"),"判定不能",IF(AJ195&gt;=判定条件!$C$9,"利用可",IF(AND(S195="停止",J195="停止"),"両方停止","運転がそろわない")))</f>
        <v>両方停止</v>
      </c>
      <c r="AL195" s="30" t="n">
        <v>60</v>
      </c>
      <c r="AM195" s="30" t="n">
        <v>0</v>
      </c>
      <c r="AN195" s="30" t="str">
        <f aca="false">IF(OR(V195="判定不能",M195="判定不能"),"判定不能",IF(AM195&gt;=判定条件!$C$9,"利用可",IF(AND(V195="停止",M195="停止"),"両方停止","運転がそろわない")))</f>
        <v>運転がそろわない</v>
      </c>
      <c r="AO195" s="30" t="n">
        <v>60</v>
      </c>
      <c r="AP195" s="30" t="n">
        <v>0</v>
      </c>
      <c r="AQ195" s="30" t="str">
        <f aca="false">IF(OR(Y195="判定不能",G195="判定不能"),"判定不能",IF(AP195&gt;=判定条件!$C$9,"利用可",IF(AND(Y195="停止",G195="停止"),"両方停止","運転がそろわない")))</f>
        <v>両方停止</v>
      </c>
      <c r="AR195" s="30" t="n">
        <v>60</v>
      </c>
      <c r="AS195" s="30" t="n">
        <v>0</v>
      </c>
      <c r="AT195" s="30" t="str">
        <f aca="false">IF(OR(AB195="判定不能",J195="判定不能"),"判定不能",IF(AS195&gt;=判定条件!$C$9,"利用可",IF(AND(AB195="停止",J195="停止"),"両方停止","運転がそろわない")))</f>
        <v>両方停止</v>
      </c>
      <c r="AU195" s="30" t="n">
        <v>60</v>
      </c>
      <c r="AV195" s="30" t="n">
        <v>0</v>
      </c>
      <c r="AW195" s="30" t="str">
        <f aca="false">IF(OR(AE195="判定不能",M195="判定不能"),"判定不能",IF(AV195&gt;=判定条件!$C$9,"利用可",IF(AND(AE195="停止",M195="停止"),"両方停止","運転がそろわない")))</f>
        <v>運転がそろわない</v>
      </c>
      <c r="AX195" s="30" t="str">
        <f aca="false">IF(AND(AH195="利用可",AK195="利用可",AN195="利用可"),"利用可","不可")</f>
        <v>不可</v>
      </c>
      <c r="AY195" s="30" t="str">
        <f aca="false">IF(AND(AQ195="利用可",AT195="利用可",AW195="利用可"),"利用可","不可")</f>
        <v>不可</v>
      </c>
    </row>
    <row r="196" customFormat="false" ht="15" hidden="false" customHeight="false" outlineLevel="0" collapsed="false">
      <c r="A196" s="29" t="n">
        <v>46240</v>
      </c>
      <c r="B196" s="30" t="n">
        <v>1</v>
      </c>
      <c r="C196" s="31" t="s">
        <v>61</v>
      </c>
      <c r="D196" s="31" t="s">
        <v>59</v>
      </c>
      <c r="E196" s="30" t="n">
        <v>60</v>
      </c>
      <c r="F196" s="30" t="n">
        <v>0</v>
      </c>
      <c r="G196" s="30" t="str">
        <f aca="false">IF(E196&lt;判定条件!$C$6,"判定不能",IF(F196&gt;=判定条件!$C$7*E196,"運転",IF(F196&lt;=判定条件!$C$8*E196,"停止","断続")))</f>
        <v>停止</v>
      </c>
      <c r="H196" s="30" t="n">
        <v>60</v>
      </c>
      <c r="I196" s="30" t="n">
        <v>0</v>
      </c>
      <c r="J196" s="30" t="str">
        <f aca="false">IF(H196&lt;判定条件!$C$6,"判定不能",IF(I196&gt;=判定条件!$C$7*H196,"運転",IF(I196&lt;=判定条件!$C$8*H196,"停止","断続")))</f>
        <v>停止</v>
      </c>
      <c r="K196" s="30" t="n">
        <v>60</v>
      </c>
      <c r="L196" s="30" t="n">
        <v>60</v>
      </c>
      <c r="M196" s="30" t="str">
        <f aca="false">IF(K196&lt;判定条件!$C$6,"判定不能",IF(L196&gt;=判定条件!$C$7*K196,"運転",IF(L196&lt;=判定条件!$C$8*K196,"停止","断続")))</f>
        <v>運転</v>
      </c>
      <c r="N196" s="30" t="n">
        <v>60</v>
      </c>
      <c r="O196" s="30" t="n">
        <v>0</v>
      </c>
      <c r="P196" s="30" t="str">
        <f aca="false">IF(N196&lt;判定条件!$C$6,"判定不能",IF(O196&gt;=判定条件!$C$7*N196,"運転",IF(O196&lt;=判定条件!$C$8*N196,"停止","断続")))</f>
        <v>停止</v>
      </c>
      <c r="Q196" s="30" t="n">
        <v>60</v>
      </c>
      <c r="R196" s="30" t="n">
        <v>0</v>
      </c>
      <c r="S196" s="30" t="str">
        <f aca="false">IF(Q196&lt;判定条件!$C$6,"判定不能",IF(R196&gt;=判定条件!$C$7*Q196,"運転",IF(R196&lt;=判定条件!$C$8*Q196,"停止","断続")))</f>
        <v>停止</v>
      </c>
      <c r="T196" s="30" t="n">
        <v>60</v>
      </c>
      <c r="U196" s="30" t="n">
        <v>0</v>
      </c>
      <c r="V196" s="30" t="str">
        <f aca="false">IF(T196&lt;判定条件!$C$6,"判定不能",IF(U196&gt;=判定条件!$C$7*T196,"運転",IF(U196&lt;=判定条件!$C$8*T196,"停止","断続")))</f>
        <v>停止</v>
      </c>
      <c r="W196" s="30" t="n">
        <v>60</v>
      </c>
      <c r="X196" s="30" t="n">
        <v>0</v>
      </c>
      <c r="Y196" s="30" t="str">
        <f aca="false">IF(W196&lt;判定条件!$C$6,"判定不能",IF(X196&gt;=判定条件!$C$7*W196,"運転",IF(X196&lt;=判定条件!$C$8*W196,"停止","断続")))</f>
        <v>停止</v>
      </c>
      <c r="Z196" s="30" t="n">
        <v>60</v>
      </c>
      <c r="AA196" s="30" t="n">
        <v>0</v>
      </c>
      <c r="AB196" s="30" t="str">
        <f aca="false">IF(Z196&lt;判定条件!$C$6,"判定不能",IF(AA196&gt;=判定条件!$C$7*Z196,"運転",IF(AA196&lt;=判定条件!$C$8*Z196,"停止","断続")))</f>
        <v>停止</v>
      </c>
      <c r="AC196" s="30" t="n">
        <v>60</v>
      </c>
      <c r="AD196" s="30" t="n">
        <v>0</v>
      </c>
      <c r="AE196" s="30" t="str">
        <f aca="false">IF(AC196&lt;判定条件!$C$6,"判定不能",IF(AD196&gt;=判定条件!$C$7*AC196,"運転",IF(AD196&lt;=判定条件!$C$8*AC196,"停止","断続")))</f>
        <v>停止</v>
      </c>
      <c r="AF196" s="30" t="n">
        <v>60</v>
      </c>
      <c r="AG196" s="30" t="n">
        <v>0</v>
      </c>
      <c r="AH196" s="30" t="str">
        <f aca="false">IF(OR(P196="判定不能",G196="判定不能"),"判定不能",IF(AG196&gt;=判定条件!$C$9,"利用可",IF(AND(P196="停止",G196="停止"),"両方停止","運転がそろわない")))</f>
        <v>両方停止</v>
      </c>
      <c r="AI196" s="30" t="n">
        <v>60</v>
      </c>
      <c r="AJ196" s="30" t="n">
        <v>0</v>
      </c>
      <c r="AK196" s="30" t="str">
        <f aca="false">IF(OR(S196="判定不能",J196="判定不能"),"判定不能",IF(AJ196&gt;=判定条件!$C$9,"利用可",IF(AND(S196="停止",J196="停止"),"両方停止","運転がそろわない")))</f>
        <v>両方停止</v>
      </c>
      <c r="AL196" s="30" t="n">
        <v>60</v>
      </c>
      <c r="AM196" s="30" t="n">
        <v>0</v>
      </c>
      <c r="AN196" s="30" t="str">
        <f aca="false">IF(OR(V196="判定不能",M196="判定不能"),"判定不能",IF(AM196&gt;=判定条件!$C$9,"利用可",IF(AND(V196="停止",M196="停止"),"両方停止","運転がそろわない")))</f>
        <v>運転がそろわない</v>
      </c>
      <c r="AO196" s="30" t="n">
        <v>60</v>
      </c>
      <c r="AP196" s="30" t="n">
        <v>0</v>
      </c>
      <c r="AQ196" s="30" t="str">
        <f aca="false">IF(OR(Y196="判定不能",G196="判定不能"),"判定不能",IF(AP196&gt;=判定条件!$C$9,"利用可",IF(AND(Y196="停止",G196="停止"),"両方停止","運転がそろわない")))</f>
        <v>両方停止</v>
      </c>
      <c r="AR196" s="30" t="n">
        <v>60</v>
      </c>
      <c r="AS196" s="30" t="n">
        <v>0</v>
      </c>
      <c r="AT196" s="30" t="str">
        <f aca="false">IF(OR(AB196="判定不能",J196="判定不能"),"判定不能",IF(AS196&gt;=判定条件!$C$9,"利用可",IF(AND(AB196="停止",J196="停止"),"両方停止","運転がそろわない")))</f>
        <v>両方停止</v>
      </c>
      <c r="AU196" s="30" t="n">
        <v>60</v>
      </c>
      <c r="AV196" s="30" t="n">
        <v>0</v>
      </c>
      <c r="AW196" s="30" t="str">
        <f aca="false">IF(OR(AE196="判定不能",M196="判定不能"),"判定不能",IF(AV196&gt;=判定条件!$C$9,"利用可",IF(AND(AE196="停止",M196="停止"),"両方停止","運転がそろわない")))</f>
        <v>運転がそろわない</v>
      </c>
      <c r="AX196" s="30" t="str">
        <f aca="false">IF(AND(AH196="利用可",AK196="利用可",AN196="利用可"),"利用可","不可")</f>
        <v>不可</v>
      </c>
      <c r="AY196" s="30" t="str">
        <f aca="false">IF(AND(AQ196="利用可",AT196="利用可",AW196="利用可"),"利用可","不可")</f>
        <v>不可</v>
      </c>
    </row>
    <row r="197" customFormat="false" ht="15" hidden="false" customHeight="false" outlineLevel="0" collapsed="false">
      <c r="A197" s="29" t="n">
        <v>46240</v>
      </c>
      <c r="B197" s="30" t="n">
        <v>2</v>
      </c>
      <c r="C197" s="31" t="s">
        <v>61</v>
      </c>
      <c r="D197" s="31" t="s">
        <v>59</v>
      </c>
      <c r="E197" s="30" t="n">
        <v>60</v>
      </c>
      <c r="F197" s="30" t="n">
        <v>0</v>
      </c>
      <c r="G197" s="30" t="str">
        <f aca="false">IF(E197&lt;判定条件!$C$6,"判定不能",IF(F197&gt;=判定条件!$C$7*E197,"運転",IF(F197&lt;=判定条件!$C$8*E197,"停止","断続")))</f>
        <v>停止</v>
      </c>
      <c r="H197" s="30" t="n">
        <v>60</v>
      </c>
      <c r="I197" s="30" t="n">
        <v>0</v>
      </c>
      <c r="J197" s="30" t="str">
        <f aca="false">IF(H197&lt;判定条件!$C$6,"判定不能",IF(I197&gt;=判定条件!$C$7*H197,"運転",IF(I197&lt;=判定条件!$C$8*H197,"停止","断続")))</f>
        <v>停止</v>
      </c>
      <c r="K197" s="30" t="n">
        <v>60</v>
      </c>
      <c r="L197" s="30" t="n">
        <v>60</v>
      </c>
      <c r="M197" s="30" t="str">
        <f aca="false">IF(K197&lt;判定条件!$C$6,"判定不能",IF(L197&gt;=判定条件!$C$7*K197,"運転",IF(L197&lt;=判定条件!$C$8*K197,"停止","断続")))</f>
        <v>運転</v>
      </c>
      <c r="N197" s="30" t="n">
        <v>60</v>
      </c>
      <c r="O197" s="30" t="n">
        <v>0</v>
      </c>
      <c r="P197" s="30" t="str">
        <f aca="false">IF(N197&lt;判定条件!$C$6,"判定不能",IF(O197&gt;=判定条件!$C$7*N197,"運転",IF(O197&lt;=判定条件!$C$8*N197,"停止","断続")))</f>
        <v>停止</v>
      </c>
      <c r="Q197" s="30" t="n">
        <v>60</v>
      </c>
      <c r="R197" s="30" t="n">
        <v>0</v>
      </c>
      <c r="S197" s="30" t="str">
        <f aca="false">IF(Q197&lt;判定条件!$C$6,"判定不能",IF(R197&gt;=判定条件!$C$7*Q197,"運転",IF(R197&lt;=判定条件!$C$8*Q197,"停止","断続")))</f>
        <v>停止</v>
      </c>
      <c r="T197" s="30" t="n">
        <v>60</v>
      </c>
      <c r="U197" s="30" t="n">
        <v>0</v>
      </c>
      <c r="V197" s="30" t="str">
        <f aca="false">IF(T197&lt;判定条件!$C$6,"判定不能",IF(U197&gt;=判定条件!$C$7*T197,"運転",IF(U197&lt;=判定条件!$C$8*T197,"停止","断続")))</f>
        <v>停止</v>
      </c>
      <c r="W197" s="30" t="n">
        <v>60</v>
      </c>
      <c r="X197" s="30" t="n">
        <v>0</v>
      </c>
      <c r="Y197" s="30" t="str">
        <f aca="false">IF(W197&lt;判定条件!$C$6,"判定不能",IF(X197&gt;=判定条件!$C$7*W197,"運転",IF(X197&lt;=判定条件!$C$8*W197,"停止","断続")))</f>
        <v>停止</v>
      </c>
      <c r="Z197" s="30" t="n">
        <v>60</v>
      </c>
      <c r="AA197" s="30" t="n">
        <v>0</v>
      </c>
      <c r="AB197" s="30" t="str">
        <f aca="false">IF(Z197&lt;判定条件!$C$6,"判定不能",IF(AA197&gt;=判定条件!$C$7*Z197,"運転",IF(AA197&lt;=判定条件!$C$8*Z197,"停止","断続")))</f>
        <v>停止</v>
      </c>
      <c r="AC197" s="30" t="n">
        <v>60</v>
      </c>
      <c r="AD197" s="30" t="n">
        <v>0</v>
      </c>
      <c r="AE197" s="30" t="str">
        <f aca="false">IF(AC197&lt;判定条件!$C$6,"判定不能",IF(AD197&gt;=判定条件!$C$7*AC197,"運転",IF(AD197&lt;=判定条件!$C$8*AC197,"停止","断続")))</f>
        <v>停止</v>
      </c>
      <c r="AF197" s="30" t="n">
        <v>60</v>
      </c>
      <c r="AG197" s="30" t="n">
        <v>0</v>
      </c>
      <c r="AH197" s="30" t="str">
        <f aca="false">IF(OR(P197="判定不能",G197="判定不能"),"判定不能",IF(AG197&gt;=判定条件!$C$9,"利用可",IF(AND(P197="停止",G197="停止"),"両方停止","運転がそろわない")))</f>
        <v>両方停止</v>
      </c>
      <c r="AI197" s="30" t="n">
        <v>60</v>
      </c>
      <c r="AJ197" s="30" t="n">
        <v>0</v>
      </c>
      <c r="AK197" s="30" t="str">
        <f aca="false">IF(OR(S197="判定不能",J197="判定不能"),"判定不能",IF(AJ197&gt;=判定条件!$C$9,"利用可",IF(AND(S197="停止",J197="停止"),"両方停止","運転がそろわない")))</f>
        <v>両方停止</v>
      </c>
      <c r="AL197" s="30" t="n">
        <v>60</v>
      </c>
      <c r="AM197" s="30" t="n">
        <v>0</v>
      </c>
      <c r="AN197" s="30" t="str">
        <f aca="false">IF(OR(V197="判定不能",M197="判定不能"),"判定不能",IF(AM197&gt;=判定条件!$C$9,"利用可",IF(AND(V197="停止",M197="停止"),"両方停止","運転がそろわない")))</f>
        <v>運転がそろわない</v>
      </c>
      <c r="AO197" s="30" t="n">
        <v>60</v>
      </c>
      <c r="AP197" s="30" t="n">
        <v>0</v>
      </c>
      <c r="AQ197" s="30" t="str">
        <f aca="false">IF(OR(Y197="判定不能",G197="判定不能"),"判定不能",IF(AP197&gt;=判定条件!$C$9,"利用可",IF(AND(Y197="停止",G197="停止"),"両方停止","運転がそろわない")))</f>
        <v>両方停止</v>
      </c>
      <c r="AR197" s="30" t="n">
        <v>60</v>
      </c>
      <c r="AS197" s="30" t="n">
        <v>0</v>
      </c>
      <c r="AT197" s="30" t="str">
        <f aca="false">IF(OR(AB197="判定不能",J197="判定不能"),"判定不能",IF(AS197&gt;=判定条件!$C$9,"利用可",IF(AND(AB197="停止",J197="停止"),"両方停止","運転がそろわない")))</f>
        <v>両方停止</v>
      </c>
      <c r="AU197" s="30" t="n">
        <v>60</v>
      </c>
      <c r="AV197" s="30" t="n">
        <v>0</v>
      </c>
      <c r="AW197" s="30" t="str">
        <f aca="false">IF(OR(AE197="判定不能",M197="判定不能"),"判定不能",IF(AV197&gt;=判定条件!$C$9,"利用可",IF(AND(AE197="停止",M197="停止"),"両方停止","運転がそろわない")))</f>
        <v>運転がそろわない</v>
      </c>
      <c r="AX197" s="30" t="str">
        <f aca="false">IF(AND(AH197="利用可",AK197="利用可",AN197="利用可"),"利用可","不可")</f>
        <v>不可</v>
      </c>
      <c r="AY197" s="30" t="str">
        <f aca="false">IF(AND(AQ197="利用可",AT197="利用可",AW197="利用可"),"利用可","不可")</f>
        <v>不可</v>
      </c>
    </row>
    <row r="198" customFormat="false" ht="15" hidden="false" customHeight="false" outlineLevel="0" collapsed="false">
      <c r="A198" s="29" t="n">
        <v>46240</v>
      </c>
      <c r="B198" s="30" t="n">
        <v>3</v>
      </c>
      <c r="C198" s="31" t="s">
        <v>61</v>
      </c>
      <c r="D198" s="31" t="s">
        <v>59</v>
      </c>
      <c r="E198" s="30" t="n">
        <v>60</v>
      </c>
      <c r="F198" s="30" t="n">
        <v>0</v>
      </c>
      <c r="G198" s="30" t="str">
        <f aca="false">IF(E198&lt;判定条件!$C$6,"判定不能",IF(F198&gt;=判定条件!$C$7*E198,"運転",IF(F198&lt;=判定条件!$C$8*E198,"停止","断続")))</f>
        <v>停止</v>
      </c>
      <c r="H198" s="30" t="n">
        <v>60</v>
      </c>
      <c r="I198" s="30" t="n">
        <v>0</v>
      </c>
      <c r="J198" s="30" t="str">
        <f aca="false">IF(H198&lt;判定条件!$C$6,"判定不能",IF(I198&gt;=判定条件!$C$7*H198,"運転",IF(I198&lt;=判定条件!$C$8*H198,"停止","断続")))</f>
        <v>停止</v>
      </c>
      <c r="K198" s="30" t="n">
        <v>60</v>
      </c>
      <c r="L198" s="30" t="n">
        <v>60</v>
      </c>
      <c r="M198" s="30" t="str">
        <f aca="false">IF(K198&lt;判定条件!$C$6,"判定不能",IF(L198&gt;=判定条件!$C$7*K198,"運転",IF(L198&lt;=判定条件!$C$8*K198,"停止","断続")))</f>
        <v>運転</v>
      </c>
      <c r="N198" s="30" t="n">
        <v>60</v>
      </c>
      <c r="O198" s="30" t="n">
        <v>0</v>
      </c>
      <c r="P198" s="30" t="str">
        <f aca="false">IF(N198&lt;判定条件!$C$6,"判定不能",IF(O198&gt;=判定条件!$C$7*N198,"運転",IF(O198&lt;=判定条件!$C$8*N198,"停止","断続")))</f>
        <v>停止</v>
      </c>
      <c r="Q198" s="30" t="n">
        <v>60</v>
      </c>
      <c r="R198" s="30" t="n">
        <v>0</v>
      </c>
      <c r="S198" s="30" t="str">
        <f aca="false">IF(Q198&lt;判定条件!$C$6,"判定不能",IF(R198&gt;=判定条件!$C$7*Q198,"運転",IF(R198&lt;=判定条件!$C$8*Q198,"停止","断続")))</f>
        <v>停止</v>
      </c>
      <c r="T198" s="30" t="n">
        <v>60</v>
      </c>
      <c r="U198" s="30" t="n">
        <v>0</v>
      </c>
      <c r="V198" s="30" t="str">
        <f aca="false">IF(T198&lt;判定条件!$C$6,"判定不能",IF(U198&gt;=判定条件!$C$7*T198,"運転",IF(U198&lt;=判定条件!$C$8*T198,"停止","断続")))</f>
        <v>停止</v>
      </c>
      <c r="W198" s="30" t="n">
        <v>60</v>
      </c>
      <c r="X198" s="30" t="n">
        <v>0</v>
      </c>
      <c r="Y198" s="30" t="str">
        <f aca="false">IF(W198&lt;判定条件!$C$6,"判定不能",IF(X198&gt;=判定条件!$C$7*W198,"運転",IF(X198&lt;=判定条件!$C$8*W198,"停止","断続")))</f>
        <v>停止</v>
      </c>
      <c r="Z198" s="30" t="n">
        <v>60</v>
      </c>
      <c r="AA198" s="30" t="n">
        <v>0</v>
      </c>
      <c r="AB198" s="30" t="str">
        <f aca="false">IF(Z198&lt;判定条件!$C$6,"判定不能",IF(AA198&gt;=判定条件!$C$7*Z198,"運転",IF(AA198&lt;=判定条件!$C$8*Z198,"停止","断続")))</f>
        <v>停止</v>
      </c>
      <c r="AC198" s="30" t="n">
        <v>60</v>
      </c>
      <c r="AD198" s="30" t="n">
        <v>0</v>
      </c>
      <c r="AE198" s="30" t="str">
        <f aca="false">IF(AC198&lt;判定条件!$C$6,"判定不能",IF(AD198&gt;=判定条件!$C$7*AC198,"運転",IF(AD198&lt;=判定条件!$C$8*AC198,"停止","断続")))</f>
        <v>停止</v>
      </c>
      <c r="AF198" s="30" t="n">
        <v>60</v>
      </c>
      <c r="AG198" s="30" t="n">
        <v>0</v>
      </c>
      <c r="AH198" s="30" t="str">
        <f aca="false">IF(OR(P198="判定不能",G198="判定不能"),"判定不能",IF(AG198&gt;=判定条件!$C$9,"利用可",IF(AND(P198="停止",G198="停止"),"両方停止","運転がそろわない")))</f>
        <v>両方停止</v>
      </c>
      <c r="AI198" s="30" t="n">
        <v>60</v>
      </c>
      <c r="AJ198" s="30" t="n">
        <v>0</v>
      </c>
      <c r="AK198" s="30" t="str">
        <f aca="false">IF(OR(S198="判定不能",J198="判定不能"),"判定不能",IF(AJ198&gt;=判定条件!$C$9,"利用可",IF(AND(S198="停止",J198="停止"),"両方停止","運転がそろわない")))</f>
        <v>両方停止</v>
      </c>
      <c r="AL198" s="30" t="n">
        <v>60</v>
      </c>
      <c r="AM198" s="30" t="n">
        <v>0</v>
      </c>
      <c r="AN198" s="30" t="str">
        <f aca="false">IF(OR(V198="判定不能",M198="判定不能"),"判定不能",IF(AM198&gt;=判定条件!$C$9,"利用可",IF(AND(V198="停止",M198="停止"),"両方停止","運転がそろわない")))</f>
        <v>運転がそろわない</v>
      </c>
      <c r="AO198" s="30" t="n">
        <v>60</v>
      </c>
      <c r="AP198" s="30" t="n">
        <v>0</v>
      </c>
      <c r="AQ198" s="30" t="str">
        <f aca="false">IF(OR(Y198="判定不能",G198="判定不能"),"判定不能",IF(AP198&gt;=判定条件!$C$9,"利用可",IF(AND(Y198="停止",G198="停止"),"両方停止","運転がそろわない")))</f>
        <v>両方停止</v>
      </c>
      <c r="AR198" s="30" t="n">
        <v>60</v>
      </c>
      <c r="AS198" s="30" t="n">
        <v>0</v>
      </c>
      <c r="AT198" s="30" t="str">
        <f aca="false">IF(OR(AB198="判定不能",J198="判定不能"),"判定不能",IF(AS198&gt;=判定条件!$C$9,"利用可",IF(AND(AB198="停止",J198="停止"),"両方停止","運転がそろわない")))</f>
        <v>両方停止</v>
      </c>
      <c r="AU198" s="30" t="n">
        <v>60</v>
      </c>
      <c r="AV198" s="30" t="n">
        <v>0</v>
      </c>
      <c r="AW198" s="30" t="str">
        <f aca="false">IF(OR(AE198="判定不能",M198="判定不能"),"判定不能",IF(AV198&gt;=判定条件!$C$9,"利用可",IF(AND(AE198="停止",M198="停止"),"両方停止","運転がそろわない")))</f>
        <v>運転がそろわない</v>
      </c>
      <c r="AX198" s="30" t="str">
        <f aca="false">IF(AND(AH198="利用可",AK198="利用可",AN198="利用可"),"利用可","不可")</f>
        <v>不可</v>
      </c>
      <c r="AY198" s="30" t="str">
        <f aca="false">IF(AND(AQ198="利用可",AT198="利用可",AW198="利用可"),"利用可","不可")</f>
        <v>不可</v>
      </c>
    </row>
    <row r="199" customFormat="false" ht="15" hidden="false" customHeight="false" outlineLevel="0" collapsed="false">
      <c r="A199" s="29" t="n">
        <v>46240</v>
      </c>
      <c r="B199" s="30" t="n">
        <v>4</v>
      </c>
      <c r="C199" s="31" t="s">
        <v>61</v>
      </c>
      <c r="D199" s="31" t="s">
        <v>59</v>
      </c>
      <c r="E199" s="30" t="n">
        <v>60</v>
      </c>
      <c r="F199" s="30" t="n">
        <v>0</v>
      </c>
      <c r="G199" s="30" t="str">
        <f aca="false">IF(E199&lt;判定条件!$C$6,"判定不能",IF(F199&gt;=判定条件!$C$7*E199,"運転",IF(F199&lt;=判定条件!$C$8*E199,"停止","断続")))</f>
        <v>停止</v>
      </c>
      <c r="H199" s="30" t="n">
        <v>60</v>
      </c>
      <c r="I199" s="30" t="n">
        <v>0</v>
      </c>
      <c r="J199" s="30" t="str">
        <f aca="false">IF(H199&lt;判定条件!$C$6,"判定不能",IF(I199&gt;=判定条件!$C$7*H199,"運転",IF(I199&lt;=判定条件!$C$8*H199,"停止","断続")))</f>
        <v>停止</v>
      </c>
      <c r="K199" s="30" t="n">
        <v>60</v>
      </c>
      <c r="L199" s="30" t="n">
        <v>60</v>
      </c>
      <c r="M199" s="30" t="str">
        <f aca="false">IF(K199&lt;判定条件!$C$6,"判定不能",IF(L199&gt;=判定条件!$C$7*K199,"運転",IF(L199&lt;=判定条件!$C$8*K199,"停止","断続")))</f>
        <v>運転</v>
      </c>
      <c r="N199" s="30" t="n">
        <v>60</v>
      </c>
      <c r="O199" s="30" t="n">
        <v>0</v>
      </c>
      <c r="P199" s="30" t="str">
        <f aca="false">IF(N199&lt;判定条件!$C$6,"判定不能",IF(O199&gt;=判定条件!$C$7*N199,"運転",IF(O199&lt;=判定条件!$C$8*N199,"停止","断続")))</f>
        <v>停止</v>
      </c>
      <c r="Q199" s="30" t="n">
        <v>60</v>
      </c>
      <c r="R199" s="30" t="n">
        <v>0</v>
      </c>
      <c r="S199" s="30" t="str">
        <f aca="false">IF(Q199&lt;判定条件!$C$6,"判定不能",IF(R199&gt;=判定条件!$C$7*Q199,"運転",IF(R199&lt;=判定条件!$C$8*Q199,"停止","断続")))</f>
        <v>停止</v>
      </c>
      <c r="T199" s="30" t="n">
        <v>60</v>
      </c>
      <c r="U199" s="30" t="n">
        <v>0</v>
      </c>
      <c r="V199" s="30" t="str">
        <f aca="false">IF(T199&lt;判定条件!$C$6,"判定不能",IF(U199&gt;=判定条件!$C$7*T199,"運転",IF(U199&lt;=判定条件!$C$8*T199,"停止","断続")))</f>
        <v>停止</v>
      </c>
      <c r="W199" s="30" t="n">
        <v>60</v>
      </c>
      <c r="X199" s="30" t="n">
        <v>0</v>
      </c>
      <c r="Y199" s="30" t="str">
        <f aca="false">IF(W199&lt;判定条件!$C$6,"判定不能",IF(X199&gt;=判定条件!$C$7*W199,"運転",IF(X199&lt;=判定条件!$C$8*W199,"停止","断続")))</f>
        <v>停止</v>
      </c>
      <c r="Z199" s="30" t="n">
        <v>60</v>
      </c>
      <c r="AA199" s="30" t="n">
        <v>0</v>
      </c>
      <c r="AB199" s="30" t="str">
        <f aca="false">IF(Z199&lt;判定条件!$C$6,"判定不能",IF(AA199&gt;=判定条件!$C$7*Z199,"運転",IF(AA199&lt;=判定条件!$C$8*Z199,"停止","断続")))</f>
        <v>停止</v>
      </c>
      <c r="AC199" s="30" t="n">
        <v>60</v>
      </c>
      <c r="AD199" s="30" t="n">
        <v>0</v>
      </c>
      <c r="AE199" s="30" t="str">
        <f aca="false">IF(AC199&lt;判定条件!$C$6,"判定不能",IF(AD199&gt;=判定条件!$C$7*AC199,"運転",IF(AD199&lt;=判定条件!$C$8*AC199,"停止","断続")))</f>
        <v>停止</v>
      </c>
      <c r="AF199" s="30" t="n">
        <v>60</v>
      </c>
      <c r="AG199" s="30" t="n">
        <v>0</v>
      </c>
      <c r="AH199" s="30" t="str">
        <f aca="false">IF(OR(P199="判定不能",G199="判定不能"),"判定不能",IF(AG199&gt;=判定条件!$C$9,"利用可",IF(AND(P199="停止",G199="停止"),"両方停止","運転がそろわない")))</f>
        <v>両方停止</v>
      </c>
      <c r="AI199" s="30" t="n">
        <v>60</v>
      </c>
      <c r="AJ199" s="30" t="n">
        <v>0</v>
      </c>
      <c r="AK199" s="30" t="str">
        <f aca="false">IF(OR(S199="判定不能",J199="判定不能"),"判定不能",IF(AJ199&gt;=判定条件!$C$9,"利用可",IF(AND(S199="停止",J199="停止"),"両方停止","運転がそろわない")))</f>
        <v>両方停止</v>
      </c>
      <c r="AL199" s="30" t="n">
        <v>60</v>
      </c>
      <c r="AM199" s="30" t="n">
        <v>0</v>
      </c>
      <c r="AN199" s="30" t="str">
        <f aca="false">IF(OR(V199="判定不能",M199="判定不能"),"判定不能",IF(AM199&gt;=判定条件!$C$9,"利用可",IF(AND(V199="停止",M199="停止"),"両方停止","運転がそろわない")))</f>
        <v>運転がそろわない</v>
      </c>
      <c r="AO199" s="30" t="n">
        <v>60</v>
      </c>
      <c r="AP199" s="30" t="n">
        <v>0</v>
      </c>
      <c r="AQ199" s="30" t="str">
        <f aca="false">IF(OR(Y199="判定不能",G199="判定不能"),"判定不能",IF(AP199&gt;=判定条件!$C$9,"利用可",IF(AND(Y199="停止",G199="停止"),"両方停止","運転がそろわない")))</f>
        <v>両方停止</v>
      </c>
      <c r="AR199" s="30" t="n">
        <v>60</v>
      </c>
      <c r="AS199" s="30" t="n">
        <v>0</v>
      </c>
      <c r="AT199" s="30" t="str">
        <f aca="false">IF(OR(AB199="判定不能",J199="判定不能"),"判定不能",IF(AS199&gt;=判定条件!$C$9,"利用可",IF(AND(AB199="停止",J199="停止"),"両方停止","運転がそろわない")))</f>
        <v>両方停止</v>
      </c>
      <c r="AU199" s="30" t="n">
        <v>60</v>
      </c>
      <c r="AV199" s="30" t="n">
        <v>0</v>
      </c>
      <c r="AW199" s="30" t="str">
        <f aca="false">IF(OR(AE199="判定不能",M199="判定不能"),"判定不能",IF(AV199&gt;=判定条件!$C$9,"利用可",IF(AND(AE199="停止",M199="停止"),"両方停止","運転がそろわない")))</f>
        <v>運転がそろわない</v>
      </c>
      <c r="AX199" s="30" t="str">
        <f aca="false">IF(AND(AH199="利用可",AK199="利用可",AN199="利用可"),"利用可","不可")</f>
        <v>不可</v>
      </c>
      <c r="AY199" s="30" t="str">
        <f aca="false">IF(AND(AQ199="利用可",AT199="利用可",AW199="利用可"),"利用可","不可")</f>
        <v>不可</v>
      </c>
    </row>
    <row r="200" customFormat="false" ht="15" hidden="false" customHeight="false" outlineLevel="0" collapsed="false">
      <c r="A200" s="29" t="n">
        <v>46240</v>
      </c>
      <c r="B200" s="30" t="n">
        <v>5</v>
      </c>
      <c r="C200" s="31" t="s">
        <v>61</v>
      </c>
      <c r="D200" s="31" t="s">
        <v>59</v>
      </c>
      <c r="E200" s="30" t="n">
        <v>60</v>
      </c>
      <c r="F200" s="30" t="n">
        <v>0</v>
      </c>
      <c r="G200" s="30" t="str">
        <f aca="false">IF(E200&lt;判定条件!$C$6,"判定不能",IF(F200&gt;=判定条件!$C$7*E200,"運転",IF(F200&lt;=判定条件!$C$8*E200,"停止","断続")))</f>
        <v>停止</v>
      </c>
      <c r="H200" s="30" t="n">
        <v>60</v>
      </c>
      <c r="I200" s="30" t="n">
        <v>0</v>
      </c>
      <c r="J200" s="30" t="str">
        <f aca="false">IF(H200&lt;判定条件!$C$6,"判定不能",IF(I200&gt;=判定条件!$C$7*H200,"運転",IF(I200&lt;=判定条件!$C$8*H200,"停止","断続")))</f>
        <v>停止</v>
      </c>
      <c r="K200" s="30" t="n">
        <v>60</v>
      </c>
      <c r="L200" s="30" t="n">
        <v>60</v>
      </c>
      <c r="M200" s="30" t="str">
        <f aca="false">IF(K200&lt;判定条件!$C$6,"判定不能",IF(L200&gt;=判定条件!$C$7*K200,"運転",IF(L200&lt;=判定条件!$C$8*K200,"停止","断続")))</f>
        <v>運転</v>
      </c>
      <c r="N200" s="30" t="n">
        <v>60</v>
      </c>
      <c r="O200" s="30" t="n">
        <v>0</v>
      </c>
      <c r="P200" s="30" t="str">
        <f aca="false">IF(N200&lt;判定条件!$C$6,"判定不能",IF(O200&gt;=判定条件!$C$7*N200,"運転",IF(O200&lt;=判定条件!$C$8*N200,"停止","断続")))</f>
        <v>停止</v>
      </c>
      <c r="Q200" s="30" t="n">
        <v>60</v>
      </c>
      <c r="R200" s="30" t="n">
        <v>0</v>
      </c>
      <c r="S200" s="30" t="str">
        <f aca="false">IF(Q200&lt;判定条件!$C$6,"判定不能",IF(R200&gt;=判定条件!$C$7*Q200,"運転",IF(R200&lt;=判定条件!$C$8*Q200,"停止","断続")))</f>
        <v>停止</v>
      </c>
      <c r="T200" s="30" t="n">
        <v>60</v>
      </c>
      <c r="U200" s="30" t="n">
        <v>0</v>
      </c>
      <c r="V200" s="30" t="str">
        <f aca="false">IF(T200&lt;判定条件!$C$6,"判定不能",IF(U200&gt;=判定条件!$C$7*T200,"運転",IF(U200&lt;=判定条件!$C$8*T200,"停止","断続")))</f>
        <v>停止</v>
      </c>
      <c r="W200" s="30" t="n">
        <v>60</v>
      </c>
      <c r="X200" s="30" t="n">
        <v>0</v>
      </c>
      <c r="Y200" s="30" t="str">
        <f aca="false">IF(W200&lt;判定条件!$C$6,"判定不能",IF(X200&gt;=判定条件!$C$7*W200,"運転",IF(X200&lt;=判定条件!$C$8*W200,"停止","断続")))</f>
        <v>停止</v>
      </c>
      <c r="Z200" s="30" t="n">
        <v>60</v>
      </c>
      <c r="AA200" s="30" t="n">
        <v>0</v>
      </c>
      <c r="AB200" s="30" t="str">
        <f aca="false">IF(Z200&lt;判定条件!$C$6,"判定不能",IF(AA200&gt;=判定条件!$C$7*Z200,"運転",IF(AA200&lt;=判定条件!$C$8*Z200,"停止","断続")))</f>
        <v>停止</v>
      </c>
      <c r="AC200" s="30" t="n">
        <v>60</v>
      </c>
      <c r="AD200" s="30" t="n">
        <v>0</v>
      </c>
      <c r="AE200" s="30" t="str">
        <f aca="false">IF(AC200&lt;判定条件!$C$6,"判定不能",IF(AD200&gt;=判定条件!$C$7*AC200,"運転",IF(AD200&lt;=判定条件!$C$8*AC200,"停止","断続")))</f>
        <v>停止</v>
      </c>
      <c r="AF200" s="30" t="n">
        <v>60</v>
      </c>
      <c r="AG200" s="30" t="n">
        <v>0</v>
      </c>
      <c r="AH200" s="30" t="str">
        <f aca="false">IF(OR(P200="判定不能",G200="判定不能"),"判定不能",IF(AG200&gt;=判定条件!$C$9,"利用可",IF(AND(P200="停止",G200="停止"),"両方停止","運転がそろわない")))</f>
        <v>両方停止</v>
      </c>
      <c r="AI200" s="30" t="n">
        <v>60</v>
      </c>
      <c r="AJ200" s="30" t="n">
        <v>0</v>
      </c>
      <c r="AK200" s="30" t="str">
        <f aca="false">IF(OR(S200="判定不能",J200="判定不能"),"判定不能",IF(AJ200&gt;=判定条件!$C$9,"利用可",IF(AND(S200="停止",J200="停止"),"両方停止","運転がそろわない")))</f>
        <v>両方停止</v>
      </c>
      <c r="AL200" s="30" t="n">
        <v>60</v>
      </c>
      <c r="AM200" s="30" t="n">
        <v>0</v>
      </c>
      <c r="AN200" s="30" t="str">
        <f aca="false">IF(OR(V200="判定不能",M200="判定不能"),"判定不能",IF(AM200&gt;=判定条件!$C$9,"利用可",IF(AND(V200="停止",M200="停止"),"両方停止","運転がそろわない")))</f>
        <v>運転がそろわない</v>
      </c>
      <c r="AO200" s="30" t="n">
        <v>60</v>
      </c>
      <c r="AP200" s="30" t="n">
        <v>0</v>
      </c>
      <c r="AQ200" s="30" t="str">
        <f aca="false">IF(OR(Y200="判定不能",G200="判定不能"),"判定不能",IF(AP200&gt;=判定条件!$C$9,"利用可",IF(AND(Y200="停止",G200="停止"),"両方停止","運転がそろわない")))</f>
        <v>両方停止</v>
      </c>
      <c r="AR200" s="30" t="n">
        <v>60</v>
      </c>
      <c r="AS200" s="30" t="n">
        <v>0</v>
      </c>
      <c r="AT200" s="30" t="str">
        <f aca="false">IF(OR(AB200="判定不能",J200="判定不能"),"判定不能",IF(AS200&gt;=判定条件!$C$9,"利用可",IF(AND(AB200="停止",J200="停止"),"両方停止","運転がそろわない")))</f>
        <v>両方停止</v>
      </c>
      <c r="AU200" s="30" t="n">
        <v>60</v>
      </c>
      <c r="AV200" s="30" t="n">
        <v>0</v>
      </c>
      <c r="AW200" s="30" t="str">
        <f aca="false">IF(OR(AE200="判定不能",M200="判定不能"),"判定不能",IF(AV200&gt;=判定条件!$C$9,"利用可",IF(AND(AE200="停止",M200="停止"),"両方停止","運転がそろわない")))</f>
        <v>運転がそろわない</v>
      </c>
      <c r="AX200" s="30" t="str">
        <f aca="false">IF(AND(AH200="利用可",AK200="利用可",AN200="利用可"),"利用可","不可")</f>
        <v>不可</v>
      </c>
      <c r="AY200" s="30" t="str">
        <f aca="false">IF(AND(AQ200="利用可",AT200="利用可",AW200="利用可"),"利用可","不可")</f>
        <v>不可</v>
      </c>
    </row>
    <row r="201" customFormat="false" ht="15" hidden="false" customHeight="false" outlineLevel="0" collapsed="false">
      <c r="A201" s="29" t="n">
        <v>46240</v>
      </c>
      <c r="B201" s="30" t="n">
        <v>6</v>
      </c>
      <c r="C201" s="31" t="s">
        <v>61</v>
      </c>
      <c r="D201" s="31" t="s">
        <v>59</v>
      </c>
      <c r="E201" s="30" t="n">
        <v>60</v>
      </c>
      <c r="F201" s="30" t="n">
        <v>0</v>
      </c>
      <c r="G201" s="30" t="str">
        <f aca="false">IF(E201&lt;判定条件!$C$6,"判定不能",IF(F201&gt;=判定条件!$C$7*E201,"運転",IF(F201&lt;=判定条件!$C$8*E201,"停止","断続")))</f>
        <v>停止</v>
      </c>
      <c r="H201" s="30" t="n">
        <v>60</v>
      </c>
      <c r="I201" s="30" t="n">
        <v>0</v>
      </c>
      <c r="J201" s="30" t="str">
        <f aca="false">IF(H201&lt;判定条件!$C$6,"判定不能",IF(I201&gt;=判定条件!$C$7*H201,"運転",IF(I201&lt;=判定条件!$C$8*H201,"停止","断続")))</f>
        <v>停止</v>
      </c>
      <c r="K201" s="30" t="n">
        <v>60</v>
      </c>
      <c r="L201" s="30" t="n">
        <v>60</v>
      </c>
      <c r="M201" s="30" t="str">
        <f aca="false">IF(K201&lt;判定条件!$C$6,"判定不能",IF(L201&gt;=判定条件!$C$7*K201,"運転",IF(L201&lt;=判定条件!$C$8*K201,"停止","断続")))</f>
        <v>運転</v>
      </c>
      <c r="N201" s="30" t="n">
        <v>60</v>
      </c>
      <c r="O201" s="30" t="n">
        <v>0</v>
      </c>
      <c r="P201" s="30" t="str">
        <f aca="false">IF(N201&lt;判定条件!$C$6,"判定不能",IF(O201&gt;=判定条件!$C$7*N201,"運転",IF(O201&lt;=判定条件!$C$8*N201,"停止","断続")))</f>
        <v>停止</v>
      </c>
      <c r="Q201" s="30" t="n">
        <v>60</v>
      </c>
      <c r="R201" s="30" t="n">
        <v>0</v>
      </c>
      <c r="S201" s="30" t="str">
        <f aca="false">IF(Q201&lt;判定条件!$C$6,"判定不能",IF(R201&gt;=判定条件!$C$7*Q201,"運転",IF(R201&lt;=判定条件!$C$8*Q201,"停止","断続")))</f>
        <v>停止</v>
      </c>
      <c r="T201" s="30" t="n">
        <v>60</v>
      </c>
      <c r="U201" s="30" t="n">
        <v>0</v>
      </c>
      <c r="V201" s="30" t="str">
        <f aca="false">IF(T201&lt;判定条件!$C$6,"判定不能",IF(U201&gt;=判定条件!$C$7*T201,"運転",IF(U201&lt;=判定条件!$C$8*T201,"停止","断続")))</f>
        <v>停止</v>
      </c>
      <c r="W201" s="30" t="n">
        <v>60</v>
      </c>
      <c r="X201" s="30" t="n">
        <v>34</v>
      </c>
      <c r="Y201" s="30" t="str">
        <f aca="false">IF(W201&lt;判定条件!$C$6,"判定不能",IF(X201&gt;=判定条件!$C$7*W201,"運転",IF(X201&lt;=判定条件!$C$8*W201,"停止","断続")))</f>
        <v>断続</v>
      </c>
      <c r="Z201" s="30" t="n">
        <v>60</v>
      </c>
      <c r="AA201" s="30" t="n">
        <v>33</v>
      </c>
      <c r="AB201" s="30" t="str">
        <f aca="false">IF(Z201&lt;判定条件!$C$6,"判定不能",IF(AA201&gt;=判定条件!$C$7*Z201,"運転",IF(AA201&lt;=判定条件!$C$8*Z201,"停止","断続")))</f>
        <v>断続</v>
      </c>
      <c r="AC201" s="30" t="n">
        <v>60</v>
      </c>
      <c r="AD201" s="30" t="n">
        <v>34</v>
      </c>
      <c r="AE201" s="30" t="str">
        <f aca="false">IF(AC201&lt;判定条件!$C$6,"判定不能",IF(AD201&gt;=判定条件!$C$7*AC201,"運転",IF(AD201&lt;=判定条件!$C$8*AC201,"停止","断続")))</f>
        <v>断続</v>
      </c>
      <c r="AF201" s="30" t="n">
        <v>60</v>
      </c>
      <c r="AG201" s="30" t="n">
        <v>0</v>
      </c>
      <c r="AH201" s="30" t="str">
        <f aca="false">IF(OR(P201="判定不能",G201="判定不能"),"判定不能",IF(AG201&gt;=判定条件!$C$9,"利用可",IF(AND(P201="停止",G201="停止"),"両方停止","運転がそろわない")))</f>
        <v>両方停止</v>
      </c>
      <c r="AI201" s="30" t="n">
        <v>60</v>
      </c>
      <c r="AJ201" s="30" t="n">
        <v>0</v>
      </c>
      <c r="AK201" s="30" t="str">
        <f aca="false">IF(OR(S201="判定不能",J201="判定不能"),"判定不能",IF(AJ201&gt;=判定条件!$C$9,"利用可",IF(AND(S201="停止",J201="停止"),"両方停止","運転がそろわない")))</f>
        <v>両方停止</v>
      </c>
      <c r="AL201" s="30" t="n">
        <v>60</v>
      </c>
      <c r="AM201" s="30" t="n">
        <v>0</v>
      </c>
      <c r="AN201" s="30" t="str">
        <f aca="false">IF(OR(V201="判定不能",M201="判定不能"),"判定不能",IF(AM201&gt;=判定条件!$C$9,"利用可",IF(AND(V201="停止",M201="停止"),"両方停止","運転がそろわない")))</f>
        <v>運転がそろわない</v>
      </c>
      <c r="AO201" s="30" t="n">
        <v>60</v>
      </c>
      <c r="AP201" s="30" t="n">
        <v>0</v>
      </c>
      <c r="AQ201" s="30" t="str">
        <f aca="false">IF(OR(Y201="判定不能",G201="判定不能"),"判定不能",IF(AP201&gt;=判定条件!$C$9,"利用可",IF(AND(Y201="停止",G201="停止"),"両方停止","運転がそろわない")))</f>
        <v>運転がそろわない</v>
      </c>
      <c r="AR201" s="30" t="n">
        <v>60</v>
      </c>
      <c r="AS201" s="30" t="n">
        <v>0</v>
      </c>
      <c r="AT201" s="30" t="str">
        <f aca="false">IF(OR(AB201="判定不能",J201="判定不能"),"判定不能",IF(AS201&gt;=判定条件!$C$9,"利用可",IF(AND(AB201="停止",J201="停止"),"両方停止","運転がそろわない")))</f>
        <v>運転がそろわない</v>
      </c>
      <c r="AU201" s="30" t="n">
        <v>60</v>
      </c>
      <c r="AV201" s="30" t="n">
        <v>34</v>
      </c>
      <c r="AW201" s="30" t="str">
        <f aca="false">IF(OR(AE201="判定不能",M201="判定不能"),"判定不能",IF(AV201&gt;=判定条件!$C$9,"利用可",IF(AND(AE201="停止",M201="停止"),"両方停止","運転がそろわない")))</f>
        <v>利用可</v>
      </c>
      <c r="AX201" s="30" t="str">
        <f aca="false">IF(AND(AH201="利用可",AK201="利用可",AN201="利用可"),"利用可","不可")</f>
        <v>不可</v>
      </c>
      <c r="AY201" s="30" t="str">
        <f aca="false">IF(AND(AQ201="利用可",AT201="利用可",AW201="利用可"),"利用可","不可")</f>
        <v>不可</v>
      </c>
    </row>
    <row r="202" customFormat="false" ht="15" hidden="false" customHeight="false" outlineLevel="0" collapsed="false">
      <c r="A202" s="29" t="n">
        <v>46240</v>
      </c>
      <c r="B202" s="30" t="n">
        <v>7</v>
      </c>
      <c r="C202" s="31" t="s">
        <v>61</v>
      </c>
      <c r="D202" s="31" t="s">
        <v>59</v>
      </c>
      <c r="E202" s="30" t="n">
        <v>60</v>
      </c>
      <c r="F202" s="30" t="n">
        <v>0</v>
      </c>
      <c r="G202" s="30" t="str">
        <f aca="false">IF(E202&lt;判定条件!$C$6,"判定不能",IF(F202&gt;=判定条件!$C$7*E202,"運転",IF(F202&lt;=判定条件!$C$8*E202,"停止","断続")))</f>
        <v>停止</v>
      </c>
      <c r="H202" s="30" t="n">
        <v>60</v>
      </c>
      <c r="I202" s="30" t="n">
        <v>0</v>
      </c>
      <c r="J202" s="30" t="str">
        <f aca="false">IF(H202&lt;判定条件!$C$6,"判定不能",IF(I202&gt;=判定条件!$C$7*H202,"運転",IF(I202&lt;=判定条件!$C$8*H202,"停止","断続")))</f>
        <v>停止</v>
      </c>
      <c r="K202" s="30" t="n">
        <v>60</v>
      </c>
      <c r="L202" s="30" t="n">
        <v>60</v>
      </c>
      <c r="M202" s="30" t="str">
        <f aca="false">IF(K202&lt;判定条件!$C$6,"判定不能",IF(L202&gt;=判定条件!$C$7*K202,"運転",IF(L202&lt;=判定条件!$C$8*K202,"停止","断続")))</f>
        <v>運転</v>
      </c>
      <c r="N202" s="30" t="n">
        <v>60</v>
      </c>
      <c r="O202" s="30" t="n">
        <v>0</v>
      </c>
      <c r="P202" s="30" t="str">
        <f aca="false">IF(N202&lt;判定条件!$C$6,"判定不能",IF(O202&gt;=判定条件!$C$7*N202,"運転",IF(O202&lt;=判定条件!$C$8*N202,"停止","断続")))</f>
        <v>停止</v>
      </c>
      <c r="Q202" s="30" t="n">
        <v>60</v>
      </c>
      <c r="R202" s="30" t="n">
        <v>45</v>
      </c>
      <c r="S202" s="30" t="str">
        <f aca="false">IF(Q202&lt;判定条件!$C$6,"判定不能",IF(R202&gt;=判定条件!$C$7*Q202,"運転",IF(R202&lt;=判定条件!$C$8*Q202,"停止","断続")))</f>
        <v>断続</v>
      </c>
      <c r="T202" s="30" t="n">
        <v>60</v>
      </c>
      <c r="U202" s="30" t="n">
        <v>48</v>
      </c>
      <c r="V202" s="30" t="str">
        <f aca="false">IF(T202&lt;判定条件!$C$6,"判定不能",IF(U202&gt;=判定条件!$C$7*T202,"運転",IF(U202&lt;=判定条件!$C$8*T202,"停止","断続")))</f>
        <v>運転</v>
      </c>
      <c r="W202" s="30" t="n">
        <v>60</v>
      </c>
      <c r="X202" s="30" t="n">
        <v>46</v>
      </c>
      <c r="Y202" s="30" t="str">
        <f aca="false">IF(W202&lt;判定条件!$C$6,"判定不能",IF(X202&gt;=判定条件!$C$7*W202,"運転",IF(X202&lt;=判定条件!$C$8*W202,"停止","断続")))</f>
        <v>断続</v>
      </c>
      <c r="Z202" s="30" t="n">
        <v>60</v>
      </c>
      <c r="AA202" s="30" t="n">
        <v>60</v>
      </c>
      <c r="AB202" s="30" t="str">
        <f aca="false">IF(Z202&lt;判定条件!$C$6,"判定不能",IF(AA202&gt;=判定条件!$C$7*Z202,"運転",IF(AA202&lt;=判定条件!$C$8*Z202,"停止","断続")))</f>
        <v>運転</v>
      </c>
      <c r="AC202" s="30" t="n">
        <v>60</v>
      </c>
      <c r="AD202" s="30" t="n">
        <v>60</v>
      </c>
      <c r="AE202" s="30" t="str">
        <f aca="false">IF(AC202&lt;判定条件!$C$6,"判定不能",IF(AD202&gt;=判定条件!$C$7*AC202,"運転",IF(AD202&lt;=判定条件!$C$8*AC202,"停止","断続")))</f>
        <v>運転</v>
      </c>
      <c r="AF202" s="30" t="n">
        <v>60</v>
      </c>
      <c r="AG202" s="30" t="n">
        <v>0</v>
      </c>
      <c r="AH202" s="30" t="str">
        <f aca="false">IF(OR(P202="判定不能",G202="判定不能"),"判定不能",IF(AG202&gt;=判定条件!$C$9,"利用可",IF(AND(P202="停止",G202="停止"),"両方停止","運転がそろわない")))</f>
        <v>両方停止</v>
      </c>
      <c r="AI202" s="30" t="n">
        <v>60</v>
      </c>
      <c r="AJ202" s="30" t="n">
        <v>0</v>
      </c>
      <c r="AK202" s="30" t="str">
        <f aca="false">IF(OR(S202="判定不能",J202="判定不能"),"判定不能",IF(AJ202&gt;=判定条件!$C$9,"利用可",IF(AND(S202="停止",J202="停止"),"両方停止","運転がそろわない")))</f>
        <v>運転がそろわない</v>
      </c>
      <c r="AL202" s="30" t="n">
        <v>60</v>
      </c>
      <c r="AM202" s="30" t="n">
        <v>48</v>
      </c>
      <c r="AN202" s="30" t="str">
        <f aca="false">IF(OR(V202="判定不能",M202="判定不能"),"判定不能",IF(AM202&gt;=判定条件!$C$9,"利用可",IF(AND(V202="停止",M202="停止"),"両方停止","運転がそろわない")))</f>
        <v>利用可</v>
      </c>
      <c r="AO202" s="30" t="n">
        <v>60</v>
      </c>
      <c r="AP202" s="30" t="n">
        <v>0</v>
      </c>
      <c r="AQ202" s="30" t="str">
        <f aca="false">IF(OR(Y202="判定不能",G202="判定不能"),"判定不能",IF(AP202&gt;=判定条件!$C$9,"利用可",IF(AND(Y202="停止",G202="停止"),"両方停止","運転がそろわない")))</f>
        <v>運転がそろわない</v>
      </c>
      <c r="AR202" s="30" t="n">
        <v>60</v>
      </c>
      <c r="AS202" s="30" t="n">
        <v>0</v>
      </c>
      <c r="AT202" s="30" t="str">
        <f aca="false">IF(OR(AB202="判定不能",J202="判定不能"),"判定不能",IF(AS202&gt;=判定条件!$C$9,"利用可",IF(AND(AB202="停止",J202="停止"),"両方停止","運転がそろわない")))</f>
        <v>運転がそろわない</v>
      </c>
      <c r="AU202" s="30" t="n">
        <v>60</v>
      </c>
      <c r="AV202" s="30" t="n">
        <v>60</v>
      </c>
      <c r="AW202" s="30" t="str">
        <f aca="false">IF(OR(AE202="判定不能",M202="判定不能"),"判定不能",IF(AV202&gt;=判定条件!$C$9,"利用可",IF(AND(AE202="停止",M202="停止"),"両方停止","運転がそろわない")))</f>
        <v>利用可</v>
      </c>
      <c r="AX202" s="30" t="str">
        <f aca="false">IF(AND(AH202="利用可",AK202="利用可",AN202="利用可"),"利用可","不可")</f>
        <v>不可</v>
      </c>
      <c r="AY202" s="30" t="str">
        <f aca="false">IF(AND(AQ202="利用可",AT202="利用可",AW202="利用可"),"利用可","不可")</f>
        <v>不可</v>
      </c>
    </row>
    <row r="203" customFormat="false" ht="15" hidden="false" customHeight="false" outlineLevel="0" collapsed="false">
      <c r="A203" s="29" t="n">
        <v>46240</v>
      </c>
      <c r="B203" s="30" t="n">
        <v>8</v>
      </c>
      <c r="C203" s="31" t="s">
        <v>61</v>
      </c>
      <c r="D203" s="31" t="s">
        <v>59</v>
      </c>
      <c r="E203" s="30" t="n">
        <v>60</v>
      </c>
      <c r="F203" s="30" t="n">
        <v>0</v>
      </c>
      <c r="G203" s="30" t="str">
        <f aca="false">IF(E203&lt;判定条件!$C$6,"判定不能",IF(F203&gt;=判定条件!$C$7*E203,"運転",IF(F203&lt;=判定条件!$C$8*E203,"停止","断続")))</f>
        <v>停止</v>
      </c>
      <c r="H203" s="30" t="n">
        <v>60</v>
      </c>
      <c r="I203" s="30" t="n">
        <v>0</v>
      </c>
      <c r="J203" s="30" t="str">
        <f aca="false">IF(H203&lt;判定条件!$C$6,"判定不能",IF(I203&gt;=判定条件!$C$7*H203,"運転",IF(I203&lt;=判定条件!$C$8*H203,"停止","断続")))</f>
        <v>停止</v>
      </c>
      <c r="K203" s="30" t="n">
        <v>60</v>
      </c>
      <c r="L203" s="30" t="n">
        <v>60</v>
      </c>
      <c r="M203" s="30" t="str">
        <f aca="false">IF(K203&lt;判定条件!$C$6,"判定不能",IF(L203&gt;=判定条件!$C$7*K203,"運転",IF(L203&lt;=判定条件!$C$8*K203,"停止","断続")))</f>
        <v>運転</v>
      </c>
      <c r="N203" s="30" t="n">
        <v>60</v>
      </c>
      <c r="O203" s="30" t="n">
        <v>51</v>
      </c>
      <c r="P203" s="30" t="str">
        <f aca="false">IF(N203&lt;判定条件!$C$6,"判定不能",IF(O203&gt;=判定条件!$C$7*N203,"運転",IF(O203&lt;=判定条件!$C$8*N203,"停止","断続")))</f>
        <v>運転</v>
      </c>
      <c r="Q203" s="30" t="n">
        <v>60</v>
      </c>
      <c r="R203" s="30" t="n">
        <v>60</v>
      </c>
      <c r="S203" s="30" t="str">
        <f aca="false">IF(Q203&lt;判定条件!$C$6,"判定不能",IF(R203&gt;=判定条件!$C$7*Q203,"運転",IF(R203&lt;=判定条件!$C$8*Q203,"停止","断続")))</f>
        <v>運転</v>
      </c>
      <c r="T203" s="30" t="n">
        <v>60</v>
      </c>
      <c r="U203" s="30" t="n">
        <v>60</v>
      </c>
      <c r="V203" s="30" t="str">
        <f aca="false">IF(T203&lt;判定条件!$C$6,"判定不能",IF(U203&gt;=判定条件!$C$7*T203,"運転",IF(U203&lt;=判定条件!$C$8*T203,"停止","断続")))</f>
        <v>運転</v>
      </c>
      <c r="W203" s="30" t="n">
        <v>60</v>
      </c>
      <c r="X203" s="30" t="n">
        <v>60</v>
      </c>
      <c r="Y203" s="30" t="str">
        <f aca="false">IF(W203&lt;判定条件!$C$6,"判定不能",IF(X203&gt;=判定条件!$C$7*W203,"運転",IF(X203&lt;=判定条件!$C$8*W203,"停止","断続")))</f>
        <v>運転</v>
      </c>
      <c r="Z203" s="30" t="n">
        <v>60</v>
      </c>
      <c r="AA203" s="30" t="n">
        <v>60</v>
      </c>
      <c r="AB203" s="30" t="str">
        <f aca="false">IF(Z203&lt;判定条件!$C$6,"判定不能",IF(AA203&gt;=判定条件!$C$7*Z203,"運転",IF(AA203&lt;=判定条件!$C$8*Z203,"停止","断続")))</f>
        <v>運転</v>
      </c>
      <c r="AC203" s="30" t="n">
        <v>60</v>
      </c>
      <c r="AD203" s="30" t="n">
        <v>60</v>
      </c>
      <c r="AE203" s="30" t="str">
        <f aca="false">IF(AC203&lt;判定条件!$C$6,"判定不能",IF(AD203&gt;=判定条件!$C$7*AC203,"運転",IF(AD203&lt;=判定条件!$C$8*AC203,"停止","断続")))</f>
        <v>運転</v>
      </c>
      <c r="AF203" s="30" t="n">
        <v>60</v>
      </c>
      <c r="AG203" s="30" t="n">
        <v>0</v>
      </c>
      <c r="AH203" s="30" t="str">
        <f aca="false">IF(OR(P203="判定不能",G203="判定不能"),"判定不能",IF(AG203&gt;=判定条件!$C$9,"利用可",IF(AND(P203="停止",G203="停止"),"両方停止","運転がそろわない")))</f>
        <v>運転がそろわない</v>
      </c>
      <c r="AI203" s="30" t="n">
        <v>60</v>
      </c>
      <c r="AJ203" s="30" t="n">
        <v>0</v>
      </c>
      <c r="AK203" s="30" t="str">
        <f aca="false">IF(OR(S203="判定不能",J203="判定不能"),"判定不能",IF(AJ203&gt;=判定条件!$C$9,"利用可",IF(AND(S203="停止",J203="停止"),"両方停止","運転がそろわない")))</f>
        <v>運転がそろわない</v>
      </c>
      <c r="AL203" s="30" t="n">
        <v>60</v>
      </c>
      <c r="AM203" s="30" t="n">
        <v>60</v>
      </c>
      <c r="AN203" s="30" t="str">
        <f aca="false">IF(OR(V203="判定不能",M203="判定不能"),"判定不能",IF(AM203&gt;=判定条件!$C$9,"利用可",IF(AND(V203="停止",M203="停止"),"両方停止","運転がそろわない")))</f>
        <v>利用可</v>
      </c>
      <c r="AO203" s="30" t="n">
        <v>60</v>
      </c>
      <c r="AP203" s="30" t="n">
        <v>0</v>
      </c>
      <c r="AQ203" s="30" t="str">
        <f aca="false">IF(OR(Y203="判定不能",G203="判定不能"),"判定不能",IF(AP203&gt;=判定条件!$C$9,"利用可",IF(AND(Y203="停止",G203="停止"),"両方停止","運転がそろわない")))</f>
        <v>運転がそろわない</v>
      </c>
      <c r="AR203" s="30" t="n">
        <v>60</v>
      </c>
      <c r="AS203" s="30" t="n">
        <v>0</v>
      </c>
      <c r="AT203" s="30" t="str">
        <f aca="false">IF(OR(AB203="判定不能",J203="判定不能"),"判定不能",IF(AS203&gt;=判定条件!$C$9,"利用可",IF(AND(AB203="停止",J203="停止"),"両方停止","運転がそろわない")))</f>
        <v>運転がそろわない</v>
      </c>
      <c r="AU203" s="30" t="n">
        <v>60</v>
      </c>
      <c r="AV203" s="30" t="n">
        <v>60</v>
      </c>
      <c r="AW203" s="30" t="str">
        <f aca="false">IF(OR(AE203="判定不能",M203="判定不能"),"判定不能",IF(AV203&gt;=判定条件!$C$9,"利用可",IF(AND(AE203="停止",M203="停止"),"両方停止","運転がそろわない")))</f>
        <v>利用可</v>
      </c>
      <c r="AX203" s="30" t="str">
        <f aca="false">IF(AND(AH203="利用可",AK203="利用可",AN203="利用可"),"利用可","不可")</f>
        <v>不可</v>
      </c>
      <c r="AY203" s="30" t="str">
        <f aca="false">IF(AND(AQ203="利用可",AT203="利用可",AW203="利用可"),"利用可","不可")</f>
        <v>不可</v>
      </c>
    </row>
    <row r="204" customFormat="false" ht="15" hidden="false" customHeight="false" outlineLevel="0" collapsed="false">
      <c r="A204" s="29" t="n">
        <v>46240</v>
      </c>
      <c r="B204" s="30" t="n">
        <v>9</v>
      </c>
      <c r="C204" s="31" t="s">
        <v>61</v>
      </c>
      <c r="D204" s="31" t="s">
        <v>59</v>
      </c>
      <c r="E204" s="30" t="n">
        <v>60</v>
      </c>
      <c r="F204" s="30" t="n">
        <v>50</v>
      </c>
      <c r="G204" s="30" t="str">
        <f aca="false">IF(E204&lt;判定条件!$C$6,"判定不能",IF(F204&gt;=判定条件!$C$7*E204,"運転",IF(F204&lt;=判定条件!$C$8*E204,"停止","断続")))</f>
        <v>運転</v>
      </c>
      <c r="H204" s="30" t="n">
        <v>60</v>
      </c>
      <c r="I204" s="30" t="n">
        <v>50</v>
      </c>
      <c r="J204" s="30" t="str">
        <f aca="false">IF(H204&lt;判定条件!$C$6,"判定不能",IF(I204&gt;=判定条件!$C$7*H204,"運転",IF(I204&lt;=判定条件!$C$8*H204,"停止","断続")))</f>
        <v>運転</v>
      </c>
      <c r="K204" s="30" t="n">
        <v>60</v>
      </c>
      <c r="L204" s="30" t="n">
        <v>60</v>
      </c>
      <c r="M204" s="30" t="str">
        <f aca="false">IF(K204&lt;判定条件!$C$6,"判定不能",IF(L204&gt;=判定条件!$C$7*K204,"運転",IF(L204&lt;=判定条件!$C$8*K204,"停止","断続")))</f>
        <v>運転</v>
      </c>
      <c r="N204" s="30" t="n">
        <v>60</v>
      </c>
      <c r="O204" s="30" t="n">
        <v>60</v>
      </c>
      <c r="P204" s="30" t="str">
        <f aca="false">IF(N204&lt;判定条件!$C$6,"判定不能",IF(O204&gt;=判定条件!$C$7*N204,"運転",IF(O204&lt;=判定条件!$C$8*N204,"停止","断続")))</f>
        <v>運転</v>
      </c>
      <c r="Q204" s="30" t="n">
        <v>60</v>
      </c>
      <c r="R204" s="30" t="n">
        <v>60</v>
      </c>
      <c r="S204" s="30" t="str">
        <f aca="false">IF(Q204&lt;判定条件!$C$6,"判定不能",IF(R204&gt;=判定条件!$C$7*Q204,"運転",IF(R204&lt;=判定条件!$C$8*Q204,"停止","断続")))</f>
        <v>運転</v>
      </c>
      <c r="T204" s="30" t="n">
        <v>60</v>
      </c>
      <c r="U204" s="30" t="n">
        <v>60</v>
      </c>
      <c r="V204" s="30" t="str">
        <f aca="false">IF(T204&lt;判定条件!$C$6,"判定不能",IF(U204&gt;=判定条件!$C$7*T204,"運転",IF(U204&lt;=判定条件!$C$8*T204,"停止","断続")))</f>
        <v>運転</v>
      </c>
      <c r="W204" s="30" t="n">
        <v>60</v>
      </c>
      <c r="X204" s="30" t="n">
        <v>51</v>
      </c>
      <c r="Y204" s="30" t="str">
        <f aca="false">IF(W204&lt;判定条件!$C$6,"判定不能",IF(X204&gt;=判定条件!$C$7*W204,"運転",IF(X204&lt;=判定条件!$C$8*W204,"停止","断続")))</f>
        <v>運転</v>
      </c>
      <c r="Z204" s="30" t="n">
        <v>60</v>
      </c>
      <c r="AA204" s="30" t="n">
        <v>60</v>
      </c>
      <c r="AB204" s="30" t="str">
        <f aca="false">IF(Z204&lt;判定条件!$C$6,"判定不能",IF(AA204&gt;=判定条件!$C$7*Z204,"運転",IF(AA204&lt;=判定条件!$C$8*Z204,"停止","断続")))</f>
        <v>運転</v>
      </c>
      <c r="AC204" s="30" t="n">
        <v>60</v>
      </c>
      <c r="AD204" s="30" t="n">
        <v>60</v>
      </c>
      <c r="AE204" s="30" t="str">
        <f aca="false">IF(AC204&lt;判定条件!$C$6,"判定不能",IF(AD204&gt;=判定条件!$C$7*AC204,"運転",IF(AD204&lt;=判定条件!$C$8*AC204,"停止","断続")))</f>
        <v>運転</v>
      </c>
      <c r="AF204" s="30" t="n">
        <v>60</v>
      </c>
      <c r="AG204" s="30" t="n">
        <v>50</v>
      </c>
      <c r="AH204" s="30" t="str">
        <f aca="false">IF(OR(P204="判定不能",G204="判定不能"),"判定不能",IF(AG204&gt;=判定条件!$C$9,"利用可",IF(AND(P204="停止",G204="停止"),"両方停止","運転がそろわない")))</f>
        <v>利用可</v>
      </c>
      <c r="AI204" s="30" t="n">
        <v>60</v>
      </c>
      <c r="AJ204" s="30" t="n">
        <v>50</v>
      </c>
      <c r="AK204" s="30" t="str">
        <f aca="false">IF(OR(S204="判定不能",J204="判定不能"),"判定不能",IF(AJ204&gt;=判定条件!$C$9,"利用可",IF(AND(S204="停止",J204="停止"),"両方停止","運転がそろわない")))</f>
        <v>利用可</v>
      </c>
      <c r="AL204" s="30" t="n">
        <v>60</v>
      </c>
      <c r="AM204" s="30" t="n">
        <v>60</v>
      </c>
      <c r="AN204" s="30" t="str">
        <f aca="false">IF(OR(V204="判定不能",M204="判定不能"),"判定不能",IF(AM204&gt;=判定条件!$C$9,"利用可",IF(AND(V204="停止",M204="停止"),"両方停止","運転がそろわない")))</f>
        <v>利用可</v>
      </c>
      <c r="AO204" s="30" t="n">
        <v>60</v>
      </c>
      <c r="AP204" s="30" t="n">
        <v>41</v>
      </c>
      <c r="AQ204" s="30" t="str">
        <f aca="false">IF(OR(Y204="判定不能",G204="判定不能"),"判定不能",IF(AP204&gt;=判定条件!$C$9,"利用可",IF(AND(Y204="停止",G204="停止"),"両方停止","運転がそろわない")))</f>
        <v>利用可</v>
      </c>
      <c r="AR204" s="30" t="n">
        <v>60</v>
      </c>
      <c r="AS204" s="30" t="n">
        <v>50</v>
      </c>
      <c r="AT204" s="30" t="str">
        <f aca="false">IF(OR(AB204="判定不能",J204="判定不能"),"判定不能",IF(AS204&gt;=判定条件!$C$9,"利用可",IF(AND(AB204="停止",J204="停止"),"両方停止","運転がそろわない")))</f>
        <v>利用可</v>
      </c>
      <c r="AU204" s="30" t="n">
        <v>60</v>
      </c>
      <c r="AV204" s="30" t="n">
        <v>60</v>
      </c>
      <c r="AW204" s="30" t="str">
        <f aca="false">IF(OR(AE204="判定不能",M204="判定不能"),"判定不能",IF(AV204&gt;=判定条件!$C$9,"利用可",IF(AND(AE204="停止",M204="停止"),"両方停止","運転がそろわない")))</f>
        <v>利用可</v>
      </c>
      <c r="AX204" s="30" t="str">
        <f aca="false">IF(AND(AH204="利用可",AK204="利用可",AN204="利用可"),"利用可","不可")</f>
        <v>利用可</v>
      </c>
      <c r="AY204" s="30" t="str">
        <f aca="false">IF(AND(AQ204="利用可",AT204="利用可",AW204="利用可"),"利用可","不可")</f>
        <v>利用可</v>
      </c>
    </row>
    <row r="205" customFormat="false" ht="15" hidden="false" customHeight="false" outlineLevel="0" collapsed="false">
      <c r="A205" s="29" t="n">
        <v>46240</v>
      </c>
      <c r="B205" s="30" t="n">
        <v>10</v>
      </c>
      <c r="C205" s="31" t="s">
        <v>61</v>
      </c>
      <c r="D205" s="31" t="s">
        <v>59</v>
      </c>
      <c r="E205" s="30" t="n">
        <v>60</v>
      </c>
      <c r="F205" s="30" t="n">
        <v>60</v>
      </c>
      <c r="G205" s="30" t="str">
        <f aca="false">IF(E205&lt;判定条件!$C$6,"判定不能",IF(F205&gt;=判定条件!$C$7*E205,"運転",IF(F205&lt;=判定条件!$C$8*E205,"停止","断続")))</f>
        <v>運転</v>
      </c>
      <c r="H205" s="30" t="n">
        <v>60</v>
      </c>
      <c r="I205" s="30" t="n">
        <v>60</v>
      </c>
      <c r="J205" s="30" t="str">
        <f aca="false">IF(H205&lt;判定条件!$C$6,"判定不能",IF(I205&gt;=判定条件!$C$7*H205,"運転",IF(I205&lt;=判定条件!$C$8*H205,"停止","断続")))</f>
        <v>運転</v>
      </c>
      <c r="K205" s="30" t="n">
        <v>60</v>
      </c>
      <c r="L205" s="30" t="n">
        <v>60</v>
      </c>
      <c r="M205" s="30" t="str">
        <f aca="false">IF(K205&lt;判定条件!$C$6,"判定不能",IF(L205&gt;=判定条件!$C$7*K205,"運転",IF(L205&lt;=判定条件!$C$8*K205,"停止","断続")))</f>
        <v>運転</v>
      </c>
      <c r="N205" s="30" t="n">
        <v>60</v>
      </c>
      <c r="O205" s="30" t="n">
        <v>60</v>
      </c>
      <c r="P205" s="30" t="str">
        <f aca="false">IF(N205&lt;判定条件!$C$6,"判定不能",IF(O205&gt;=判定条件!$C$7*N205,"運転",IF(O205&lt;=判定条件!$C$8*N205,"停止","断続")))</f>
        <v>運転</v>
      </c>
      <c r="Q205" s="30" t="n">
        <v>60</v>
      </c>
      <c r="R205" s="30" t="n">
        <v>60</v>
      </c>
      <c r="S205" s="30" t="str">
        <f aca="false">IF(Q205&lt;判定条件!$C$6,"判定不能",IF(R205&gt;=判定条件!$C$7*Q205,"運転",IF(R205&lt;=判定条件!$C$8*Q205,"停止","断続")))</f>
        <v>運転</v>
      </c>
      <c r="T205" s="30" t="n">
        <v>60</v>
      </c>
      <c r="U205" s="30" t="n">
        <v>46</v>
      </c>
      <c r="V205" s="30" t="str">
        <f aca="false">IF(T205&lt;判定条件!$C$6,"判定不能",IF(U205&gt;=判定条件!$C$7*T205,"運転",IF(U205&lt;=判定条件!$C$8*T205,"停止","断続")))</f>
        <v>断続</v>
      </c>
      <c r="W205" s="30" t="n">
        <v>60</v>
      </c>
      <c r="X205" s="30" t="n">
        <v>60</v>
      </c>
      <c r="Y205" s="30" t="str">
        <f aca="false">IF(W205&lt;判定条件!$C$6,"判定不能",IF(X205&gt;=判定条件!$C$7*W205,"運転",IF(X205&lt;=判定条件!$C$8*W205,"停止","断続")))</f>
        <v>運転</v>
      </c>
      <c r="Z205" s="30" t="n">
        <v>60</v>
      </c>
      <c r="AA205" s="30" t="n">
        <v>60</v>
      </c>
      <c r="AB205" s="30" t="str">
        <f aca="false">IF(Z205&lt;判定条件!$C$6,"判定不能",IF(AA205&gt;=判定条件!$C$7*Z205,"運転",IF(AA205&lt;=判定条件!$C$8*Z205,"停止","断続")))</f>
        <v>運転</v>
      </c>
      <c r="AC205" s="30" t="n">
        <v>60</v>
      </c>
      <c r="AD205" s="30" t="n">
        <v>60</v>
      </c>
      <c r="AE205" s="30" t="str">
        <f aca="false">IF(AC205&lt;判定条件!$C$6,"判定不能",IF(AD205&gt;=判定条件!$C$7*AC205,"運転",IF(AD205&lt;=判定条件!$C$8*AC205,"停止","断続")))</f>
        <v>運転</v>
      </c>
      <c r="AF205" s="30" t="n">
        <v>60</v>
      </c>
      <c r="AG205" s="30" t="n">
        <v>60</v>
      </c>
      <c r="AH205" s="30" t="str">
        <f aca="false">IF(OR(P205="判定不能",G205="判定不能"),"判定不能",IF(AG205&gt;=判定条件!$C$9,"利用可",IF(AND(P205="停止",G205="停止"),"両方停止","運転がそろわない")))</f>
        <v>利用可</v>
      </c>
      <c r="AI205" s="30" t="n">
        <v>60</v>
      </c>
      <c r="AJ205" s="30" t="n">
        <v>60</v>
      </c>
      <c r="AK205" s="30" t="str">
        <f aca="false">IF(OR(S205="判定不能",J205="判定不能"),"判定不能",IF(AJ205&gt;=判定条件!$C$9,"利用可",IF(AND(S205="停止",J205="停止"),"両方停止","運転がそろわない")))</f>
        <v>利用可</v>
      </c>
      <c r="AL205" s="30" t="n">
        <v>60</v>
      </c>
      <c r="AM205" s="30" t="n">
        <v>46</v>
      </c>
      <c r="AN205" s="30" t="str">
        <f aca="false">IF(OR(V205="判定不能",M205="判定不能"),"判定不能",IF(AM205&gt;=判定条件!$C$9,"利用可",IF(AND(V205="停止",M205="停止"),"両方停止","運転がそろわない")))</f>
        <v>利用可</v>
      </c>
      <c r="AO205" s="30" t="n">
        <v>60</v>
      </c>
      <c r="AP205" s="30" t="n">
        <v>60</v>
      </c>
      <c r="AQ205" s="30" t="str">
        <f aca="false">IF(OR(Y205="判定不能",G205="判定不能"),"判定不能",IF(AP205&gt;=判定条件!$C$9,"利用可",IF(AND(Y205="停止",G205="停止"),"両方停止","運転がそろわない")))</f>
        <v>利用可</v>
      </c>
      <c r="AR205" s="30" t="n">
        <v>60</v>
      </c>
      <c r="AS205" s="30" t="n">
        <v>60</v>
      </c>
      <c r="AT205" s="30" t="str">
        <f aca="false">IF(OR(AB205="判定不能",J205="判定不能"),"判定不能",IF(AS205&gt;=判定条件!$C$9,"利用可",IF(AND(AB205="停止",J205="停止"),"両方停止","運転がそろわない")))</f>
        <v>利用可</v>
      </c>
      <c r="AU205" s="30" t="n">
        <v>60</v>
      </c>
      <c r="AV205" s="30" t="n">
        <v>60</v>
      </c>
      <c r="AW205" s="30" t="str">
        <f aca="false">IF(OR(AE205="判定不能",M205="判定不能"),"判定不能",IF(AV205&gt;=判定条件!$C$9,"利用可",IF(AND(AE205="停止",M205="停止"),"両方停止","運転がそろわない")))</f>
        <v>利用可</v>
      </c>
      <c r="AX205" s="30" t="str">
        <f aca="false">IF(AND(AH205="利用可",AK205="利用可",AN205="利用可"),"利用可","不可")</f>
        <v>利用可</v>
      </c>
      <c r="AY205" s="30" t="str">
        <f aca="false">IF(AND(AQ205="利用可",AT205="利用可",AW205="利用可"),"利用可","不可")</f>
        <v>利用可</v>
      </c>
    </row>
    <row r="206" customFormat="false" ht="15" hidden="false" customHeight="false" outlineLevel="0" collapsed="false">
      <c r="A206" s="29" t="n">
        <v>46240</v>
      </c>
      <c r="B206" s="30" t="n">
        <v>11</v>
      </c>
      <c r="C206" s="31" t="s">
        <v>61</v>
      </c>
      <c r="D206" s="31" t="s">
        <v>59</v>
      </c>
      <c r="E206" s="30" t="n">
        <v>60</v>
      </c>
      <c r="F206" s="30" t="n">
        <v>60</v>
      </c>
      <c r="G206" s="30" t="str">
        <f aca="false">IF(E206&lt;判定条件!$C$6,"判定不能",IF(F206&gt;=判定条件!$C$7*E206,"運転",IF(F206&lt;=判定条件!$C$8*E206,"停止","断続")))</f>
        <v>運転</v>
      </c>
      <c r="H206" s="30" t="n">
        <v>60</v>
      </c>
      <c r="I206" s="30" t="n">
        <v>60</v>
      </c>
      <c r="J206" s="30" t="str">
        <f aca="false">IF(H206&lt;判定条件!$C$6,"判定不能",IF(I206&gt;=判定条件!$C$7*H206,"運転",IF(I206&lt;=判定条件!$C$8*H206,"停止","断続")))</f>
        <v>運転</v>
      </c>
      <c r="K206" s="30" t="n">
        <v>60</v>
      </c>
      <c r="L206" s="30" t="n">
        <v>60</v>
      </c>
      <c r="M206" s="30" t="str">
        <f aca="false">IF(K206&lt;判定条件!$C$6,"判定不能",IF(L206&gt;=判定条件!$C$7*K206,"運転",IF(L206&lt;=判定条件!$C$8*K206,"停止","断続")))</f>
        <v>運転</v>
      </c>
      <c r="N206" s="30" t="n">
        <v>60</v>
      </c>
      <c r="O206" s="30" t="n">
        <v>60</v>
      </c>
      <c r="P206" s="30" t="str">
        <f aca="false">IF(N206&lt;判定条件!$C$6,"判定不能",IF(O206&gt;=判定条件!$C$7*N206,"運転",IF(O206&lt;=判定条件!$C$8*N206,"停止","断続")))</f>
        <v>運転</v>
      </c>
      <c r="Q206" s="30" t="n">
        <v>60</v>
      </c>
      <c r="R206" s="30" t="n">
        <v>60</v>
      </c>
      <c r="S206" s="30" t="str">
        <f aca="false">IF(Q206&lt;判定条件!$C$6,"判定不能",IF(R206&gt;=判定条件!$C$7*Q206,"運転",IF(R206&lt;=判定条件!$C$8*Q206,"停止","断続")))</f>
        <v>運転</v>
      </c>
      <c r="T206" s="30" t="n">
        <v>60</v>
      </c>
      <c r="U206" s="30" t="n">
        <v>60</v>
      </c>
      <c r="V206" s="30" t="str">
        <f aca="false">IF(T206&lt;判定条件!$C$6,"判定不能",IF(U206&gt;=判定条件!$C$7*T206,"運転",IF(U206&lt;=判定条件!$C$8*T206,"停止","断続")))</f>
        <v>運転</v>
      </c>
      <c r="W206" s="30" t="n">
        <v>60</v>
      </c>
      <c r="X206" s="30" t="n">
        <v>44</v>
      </c>
      <c r="Y206" s="30" t="str">
        <f aca="false">IF(W206&lt;判定条件!$C$6,"判定不能",IF(X206&gt;=判定条件!$C$7*W206,"運転",IF(X206&lt;=判定条件!$C$8*W206,"停止","断続")))</f>
        <v>断続</v>
      </c>
      <c r="Z206" s="30" t="n">
        <v>60</v>
      </c>
      <c r="AA206" s="30" t="n">
        <v>60</v>
      </c>
      <c r="AB206" s="30" t="str">
        <f aca="false">IF(Z206&lt;判定条件!$C$6,"判定不能",IF(AA206&gt;=判定条件!$C$7*Z206,"運転",IF(AA206&lt;=判定条件!$C$8*Z206,"停止","断続")))</f>
        <v>運転</v>
      </c>
      <c r="AC206" s="30" t="n">
        <v>60</v>
      </c>
      <c r="AD206" s="30" t="n">
        <v>60</v>
      </c>
      <c r="AE206" s="30" t="str">
        <f aca="false">IF(AC206&lt;判定条件!$C$6,"判定不能",IF(AD206&gt;=判定条件!$C$7*AC206,"運転",IF(AD206&lt;=判定条件!$C$8*AC206,"停止","断続")))</f>
        <v>運転</v>
      </c>
      <c r="AF206" s="30" t="n">
        <v>60</v>
      </c>
      <c r="AG206" s="30" t="n">
        <v>60</v>
      </c>
      <c r="AH206" s="30" t="str">
        <f aca="false">IF(OR(P206="判定不能",G206="判定不能"),"判定不能",IF(AG206&gt;=判定条件!$C$9,"利用可",IF(AND(P206="停止",G206="停止"),"両方停止","運転がそろわない")))</f>
        <v>利用可</v>
      </c>
      <c r="AI206" s="30" t="n">
        <v>60</v>
      </c>
      <c r="AJ206" s="30" t="n">
        <v>60</v>
      </c>
      <c r="AK206" s="30" t="str">
        <f aca="false">IF(OR(S206="判定不能",J206="判定不能"),"判定不能",IF(AJ206&gt;=判定条件!$C$9,"利用可",IF(AND(S206="停止",J206="停止"),"両方停止","運転がそろわない")))</f>
        <v>利用可</v>
      </c>
      <c r="AL206" s="30" t="n">
        <v>60</v>
      </c>
      <c r="AM206" s="30" t="n">
        <v>60</v>
      </c>
      <c r="AN206" s="30" t="str">
        <f aca="false">IF(OR(V206="判定不能",M206="判定不能"),"判定不能",IF(AM206&gt;=判定条件!$C$9,"利用可",IF(AND(V206="停止",M206="停止"),"両方停止","運転がそろわない")))</f>
        <v>利用可</v>
      </c>
      <c r="AO206" s="30" t="n">
        <v>60</v>
      </c>
      <c r="AP206" s="30" t="n">
        <v>44</v>
      </c>
      <c r="AQ206" s="30" t="str">
        <f aca="false">IF(OR(Y206="判定不能",G206="判定不能"),"判定不能",IF(AP206&gt;=判定条件!$C$9,"利用可",IF(AND(Y206="停止",G206="停止"),"両方停止","運転がそろわない")))</f>
        <v>利用可</v>
      </c>
      <c r="AR206" s="30" t="n">
        <v>60</v>
      </c>
      <c r="AS206" s="30" t="n">
        <v>60</v>
      </c>
      <c r="AT206" s="30" t="str">
        <f aca="false">IF(OR(AB206="判定不能",J206="判定不能"),"判定不能",IF(AS206&gt;=判定条件!$C$9,"利用可",IF(AND(AB206="停止",J206="停止"),"両方停止","運転がそろわない")))</f>
        <v>利用可</v>
      </c>
      <c r="AU206" s="30" t="n">
        <v>60</v>
      </c>
      <c r="AV206" s="30" t="n">
        <v>60</v>
      </c>
      <c r="AW206" s="30" t="str">
        <f aca="false">IF(OR(AE206="判定不能",M206="判定不能"),"判定不能",IF(AV206&gt;=判定条件!$C$9,"利用可",IF(AND(AE206="停止",M206="停止"),"両方停止","運転がそろわない")))</f>
        <v>利用可</v>
      </c>
      <c r="AX206" s="30" t="str">
        <f aca="false">IF(AND(AH206="利用可",AK206="利用可",AN206="利用可"),"利用可","不可")</f>
        <v>利用可</v>
      </c>
      <c r="AY206" s="30" t="str">
        <f aca="false">IF(AND(AQ206="利用可",AT206="利用可",AW206="利用可"),"利用可","不可")</f>
        <v>利用可</v>
      </c>
    </row>
    <row r="207" customFormat="false" ht="15" hidden="false" customHeight="false" outlineLevel="0" collapsed="false">
      <c r="A207" s="29" t="n">
        <v>46240</v>
      </c>
      <c r="B207" s="30" t="n">
        <v>12</v>
      </c>
      <c r="C207" s="31" t="s">
        <v>61</v>
      </c>
      <c r="D207" s="31" t="s">
        <v>59</v>
      </c>
      <c r="E207" s="30" t="n">
        <v>60</v>
      </c>
      <c r="F207" s="30" t="n">
        <v>60</v>
      </c>
      <c r="G207" s="30" t="str">
        <f aca="false">IF(E207&lt;判定条件!$C$6,"判定不能",IF(F207&gt;=判定条件!$C$7*E207,"運転",IF(F207&lt;=判定条件!$C$8*E207,"停止","断続")))</f>
        <v>運転</v>
      </c>
      <c r="H207" s="30" t="n">
        <v>60</v>
      </c>
      <c r="I207" s="30" t="n">
        <v>60</v>
      </c>
      <c r="J207" s="30" t="str">
        <f aca="false">IF(H207&lt;判定条件!$C$6,"判定不能",IF(I207&gt;=判定条件!$C$7*H207,"運転",IF(I207&lt;=判定条件!$C$8*H207,"停止","断続")))</f>
        <v>運転</v>
      </c>
      <c r="K207" s="30" t="n">
        <v>60</v>
      </c>
      <c r="L207" s="30" t="n">
        <v>60</v>
      </c>
      <c r="M207" s="30" t="str">
        <f aca="false">IF(K207&lt;判定条件!$C$6,"判定不能",IF(L207&gt;=判定条件!$C$7*K207,"運転",IF(L207&lt;=判定条件!$C$8*K207,"停止","断続")))</f>
        <v>運転</v>
      </c>
      <c r="N207" s="30" t="n">
        <v>60</v>
      </c>
      <c r="O207" s="30" t="n">
        <v>60</v>
      </c>
      <c r="P207" s="30" t="str">
        <f aca="false">IF(N207&lt;判定条件!$C$6,"判定不能",IF(O207&gt;=判定条件!$C$7*N207,"運転",IF(O207&lt;=判定条件!$C$8*N207,"停止","断続")))</f>
        <v>運転</v>
      </c>
      <c r="Q207" s="30" t="n">
        <v>60</v>
      </c>
      <c r="R207" s="30" t="n">
        <v>60</v>
      </c>
      <c r="S207" s="30" t="str">
        <f aca="false">IF(Q207&lt;判定条件!$C$6,"判定不能",IF(R207&gt;=判定条件!$C$7*Q207,"運転",IF(R207&lt;=判定条件!$C$8*Q207,"停止","断続")))</f>
        <v>運転</v>
      </c>
      <c r="T207" s="30" t="n">
        <v>60</v>
      </c>
      <c r="U207" s="30" t="n">
        <v>50</v>
      </c>
      <c r="V207" s="30" t="str">
        <f aca="false">IF(T207&lt;判定条件!$C$6,"判定不能",IF(U207&gt;=判定条件!$C$7*T207,"運転",IF(U207&lt;=判定条件!$C$8*T207,"停止","断続")))</f>
        <v>運転</v>
      </c>
      <c r="W207" s="30" t="n">
        <v>60</v>
      </c>
      <c r="X207" s="30" t="n">
        <v>37</v>
      </c>
      <c r="Y207" s="30" t="str">
        <f aca="false">IF(W207&lt;判定条件!$C$6,"判定不能",IF(X207&gt;=判定条件!$C$7*W207,"運転",IF(X207&lt;=判定条件!$C$8*W207,"停止","断続")))</f>
        <v>断続</v>
      </c>
      <c r="Z207" s="30" t="n">
        <v>60</v>
      </c>
      <c r="AA207" s="30" t="n">
        <v>45</v>
      </c>
      <c r="AB207" s="30" t="str">
        <f aca="false">IF(Z207&lt;判定条件!$C$6,"判定不能",IF(AA207&gt;=判定条件!$C$7*Z207,"運転",IF(AA207&lt;=判定条件!$C$8*Z207,"停止","断続")))</f>
        <v>断続</v>
      </c>
      <c r="AC207" s="30" t="n">
        <v>60</v>
      </c>
      <c r="AD207" s="30" t="n">
        <v>49</v>
      </c>
      <c r="AE207" s="30" t="str">
        <f aca="false">IF(AC207&lt;判定条件!$C$6,"判定不能",IF(AD207&gt;=判定条件!$C$7*AC207,"運転",IF(AD207&lt;=判定条件!$C$8*AC207,"停止","断続")))</f>
        <v>運転</v>
      </c>
      <c r="AF207" s="30" t="n">
        <v>60</v>
      </c>
      <c r="AG207" s="30" t="n">
        <v>60</v>
      </c>
      <c r="AH207" s="30" t="str">
        <f aca="false">IF(OR(P207="判定不能",G207="判定不能"),"判定不能",IF(AG207&gt;=判定条件!$C$9,"利用可",IF(AND(P207="停止",G207="停止"),"両方停止","運転がそろわない")))</f>
        <v>利用可</v>
      </c>
      <c r="AI207" s="30" t="n">
        <v>60</v>
      </c>
      <c r="AJ207" s="30" t="n">
        <v>60</v>
      </c>
      <c r="AK207" s="30" t="str">
        <f aca="false">IF(OR(S207="判定不能",J207="判定不能"),"判定不能",IF(AJ207&gt;=判定条件!$C$9,"利用可",IF(AND(S207="停止",J207="停止"),"両方停止","運転がそろわない")))</f>
        <v>利用可</v>
      </c>
      <c r="AL207" s="30" t="n">
        <v>60</v>
      </c>
      <c r="AM207" s="30" t="n">
        <v>50</v>
      </c>
      <c r="AN207" s="30" t="str">
        <f aca="false">IF(OR(V207="判定不能",M207="判定不能"),"判定不能",IF(AM207&gt;=判定条件!$C$9,"利用可",IF(AND(V207="停止",M207="停止"),"両方停止","運転がそろわない")))</f>
        <v>利用可</v>
      </c>
      <c r="AO207" s="30" t="n">
        <v>60</v>
      </c>
      <c r="AP207" s="30" t="n">
        <v>37</v>
      </c>
      <c r="AQ207" s="30" t="str">
        <f aca="false">IF(OR(Y207="判定不能",G207="判定不能"),"判定不能",IF(AP207&gt;=判定条件!$C$9,"利用可",IF(AND(Y207="停止",G207="停止"),"両方停止","運転がそろわない")))</f>
        <v>利用可</v>
      </c>
      <c r="AR207" s="30" t="n">
        <v>60</v>
      </c>
      <c r="AS207" s="30" t="n">
        <v>45</v>
      </c>
      <c r="AT207" s="30" t="str">
        <f aca="false">IF(OR(AB207="判定不能",J207="判定不能"),"判定不能",IF(AS207&gt;=判定条件!$C$9,"利用可",IF(AND(AB207="停止",J207="停止"),"両方停止","運転がそろわない")))</f>
        <v>利用可</v>
      </c>
      <c r="AU207" s="30" t="n">
        <v>60</v>
      </c>
      <c r="AV207" s="30" t="n">
        <v>49</v>
      </c>
      <c r="AW207" s="30" t="str">
        <f aca="false">IF(OR(AE207="判定不能",M207="判定不能"),"判定不能",IF(AV207&gt;=判定条件!$C$9,"利用可",IF(AND(AE207="停止",M207="停止"),"両方停止","運転がそろわない")))</f>
        <v>利用可</v>
      </c>
      <c r="AX207" s="30" t="str">
        <f aca="false">IF(AND(AH207="利用可",AK207="利用可",AN207="利用可"),"利用可","不可")</f>
        <v>利用可</v>
      </c>
      <c r="AY207" s="30" t="str">
        <f aca="false">IF(AND(AQ207="利用可",AT207="利用可",AW207="利用可"),"利用可","不可")</f>
        <v>利用可</v>
      </c>
    </row>
    <row r="208" customFormat="false" ht="15" hidden="false" customHeight="false" outlineLevel="0" collapsed="false">
      <c r="A208" s="29" t="n">
        <v>46240</v>
      </c>
      <c r="B208" s="30" t="n">
        <v>13</v>
      </c>
      <c r="C208" s="31" t="s">
        <v>61</v>
      </c>
      <c r="D208" s="31" t="s">
        <v>59</v>
      </c>
      <c r="E208" s="30" t="n">
        <v>60</v>
      </c>
      <c r="F208" s="30" t="n">
        <v>60</v>
      </c>
      <c r="G208" s="30" t="str">
        <f aca="false">IF(E208&lt;判定条件!$C$6,"判定不能",IF(F208&gt;=判定条件!$C$7*E208,"運転",IF(F208&lt;=判定条件!$C$8*E208,"停止","断続")))</f>
        <v>運転</v>
      </c>
      <c r="H208" s="30" t="n">
        <v>60</v>
      </c>
      <c r="I208" s="30" t="n">
        <v>60</v>
      </c>
      <c r="J208" s="30" t="str">
        <f aca="false">IF(H208&lt;判定条件!$C$6,"判定不能",IF(I208&gt;=判定条件!$C$7*H208,"運転",IF(I208&lt;=判定条件!$C$8*H208,"停止","断続")))</f>
        <v>運転</v>
      </c>
      <c r="K208" s="30" t="n">
        <v>60</v>
      </c>
      <c r="L208" s="30" t="n">
        <v>60</v>
      </c>
      <c r="M208" s="30" t="str">
        <f aca="false">IF(K208&lt;判定条件!$C$6,"判定不能",IF(L208&gt;=判定条件!$C$7*K208,"運転",IF(L208&lt;=判定条件!$C$8*K208,"停止","断続")))</f>
        <v>運転</v>
      </c>
      <c r="N208" s="30" t="n">
        <v>60</v>
      </c>
      <c r="O208" s="30" t="n">
        <v>54</v>
      </c>
      <c r="P208" s="30" t="str">
        <f aca="false">IF(N208&lt;判定条件!$C$6,"判定不能",IF(O208&gt;=判定条件!$C$7*N208,"運転",IF(O208&lt;=判定条件!$C$8*N208,"停止","断続")))</f>
        <v>運転</v>
      </c>
      <c r="Q208" s="30" t="n">
        <v>60</v>
      </c>
      <c r="R208" s="30" t="n">
        <v>60</v>
      </c>
      <c r="S208" s="30" t="str">
        <f aca="false">IF(Q208&lt;判定条件!$C$6,"判定不能",IF(R208&gt;=判定条件!$C$7*Q208,"運転",IF(R208&lt;=判定条件!$C$8*Q208,"停止","断続")))</f>
        <v>運転</v>
      </c>
      <c r="T208" s="30" t="n">
        <v>60</v>
      </c>
      <c r="U208" s="30" t="n">
        <v>60</v>
      </c>
      <c r="V208" s="30" t="str">
        <f aca="false">IF(T208&lt;判定条件!$C$6,"判定不能",IF(U208&gt;=判定条件!$C$7*T208,"運転",IF(U208&lt;=判定条件!$C$8*T208,"停止","断続")))</f>
        <v>運転</v>
      </c>
      <c r="W208" s="30" t="n">
        <v>60</v>
      </c>
      <c r="X208" s="30" t="n">
        <v>60</v>
      </c>
      <c r="Y208" s="30" t="str">
        <f aca="false">IF(W208&lt;判定条件!$C$6,"判定不能",IF(X208&gt;=判定条件!$C$7*W208,"運転",IF(X208&lt;=判定条件!$C$8*W208,"停止","断続")))</f>
        <v>運転</v>
      </c>
      <c r="Z208" s="30" t="n">
        <v>60</v>
      </c>
      <c r="AA208" s="30" t="n">
        <v>45</v>
      </c>
      <c r="AB208" s="30" t="str">
        <f aca="false">IF(Z208&lt;判定条件!$C$6,"判定不能",IF(AA208&gt;=判定条件!$C$7*Z208,"運転",IF(AA208&lt;=判定条件!$C$8*Z208,"停止","断続")))</f>
        <v>断続</v>
      </c>
      <c r="AC208" s="30" t="n">
        <v>60</v>
      </c>
      <c r="AD208" s="30" t="n">
        <v>60</v>
      </c>
      <c r="AE208" s="30" t="str">
        <f aca="false">IF(AC208&lt;判定条件!$C$6,"判定不能",IF(AD208&gt;=判定条件!$C$7*AC208,"運転",IF(AD208&lt;=判定条件!$C$8*AC208,"停止","断続")))</f>
        <v>運転</v>
      </c>
      <c r="AF208" s="30" t="n">
        <v>60</v>
      </c>
      <c r="AG208" s="30" t="n">
        <v>54</v>
      </c>
      <c r="AH208" s="30" t="str">
        <f aca="false">IF(OR(P208="判定不能",G208="判定不能"),"判定不能",IF(AG208&gt;=判定条件!$C$9,"利用可",IF(AND(P208="停止",G208="停止"),"両方停止","運転がそろわない")))</f>
        <v>利用可</v>
      </c>
      <c r="AI208" s="30" t="n">
        <v>60</v>
      </c>
      <c r="AJ208" s="30" t="n">
        <v>60</v>
      </c>
      <c r="AK208" s="30" t="str">
        <f aca="false">IF(OR(S208="判定不能",J208="判定不能"),"判定不能",IF(AJ208&gt;=判定条件!$C$9,"利用可",IF(AND(S208="停止",J208="停止"),"両方停止","運転がそろわない")))</f>
        <v>利用可</v>
      </c>
      <c r="AL208" s="30" t="n">
        <v>60</v>
      </c>
      <c r="AM208" s="30" t="n">
        <v>60</v>
      </c>
      <c r="AN208" s="30" t="str">
        <f aca="false">IF(OR(V208="判定不能",M208="判定不能"),"判定不能",IF(AM208&gt;=判定条件!$C$9,"利用可",IF(AND(V208="停止",M208="停止"),"両方停止","運転がそろわない")))</f>
        <v>利用可</v>
      </c>
      <c r="AO208" s="30" t="n">
        <v>60</v>
      </c>
      <c r="AP208" s="30" t="n">
        <v>60</v>
      </c>
      <c r="AQ208" s="30" t="str">
        <f aca="false">IF(OR(Y208="判定不能",G208="判定不能"),"判定不能",IF(AP208&gt;=判定条件!$C$9,"利用可",IF(AND(Y208="停止",G208="停止"),"両方停止","運転がそろわない")))</f>
        <v>利用可</v>
      </c>
      <c r="AR208" s="30" t="n">
        <v>60</v>
      </c>
      <c r="AS208" s="30" t="n">
        <v>45</v>
      </c>
      <c r="AT208" s="30" t="str">
        <f aca="false">IF(OR(AB208="判定不能",J208="判定不能"),"判定不能",IF(AS208&gt;=判定条件!$C$9,"利用可",IF(AND(AB208="停止",J208="停止"),"両方停止","運転がそろわない")))</f>
        <v>利用可</v>
      </c>
      <c r="AU208" s="30" t="n">
        <v>60</v>
      </c>
      <c r="AV208" s="30" t="n">
        <v>60</v>
      </c>
      <c r="AW208" s="30" t="str">
        <f aca="false">IF(OR(AE208="判定不能",M208="判定不能"),"判定不能",IF(AV208&gt;=判定条件!$C$9,"利用可",IF(AND(AE208="停止",M208="停止"),"両方停止","運転がそろわない")))</f>
        <v>利用可</v>
      </c>
      <c r="AX208" s="30" t="str">
        <f aca="false">IF(AND(AH208="利用可",AK208="利用可",AN208="利用可"),"利用可","不可")</f>
        <v>利用可</v>
      </c>
      <c r="AY208" s="30" t="str">
        <f aca="false">IF(AND(AQ208="利用可",AT208="利用可",AW208="利用可"),"利用可","不可")</f>
        <v>利用可</v>
      </c>
    </row>
    <row r="209" customFormat="false" ht="15" hidden="false" customHeight="false" outlineLevel="0" collapsed="false">
      <c r="A209" s="29" t="n">
        <v>46240</v>
      </c>
      <c r="B209" s="30" t="n">
        <v>14</v>
      </c>
      <c r="C209" s="31" t="s">
        <v>61</v>
      </c>
      <c r="D209" s="31" t="s">
        <v>59</v>
      </c>
      <c r="E209" s="30" t="n">
        <v>60</v>
      </c>
      <c r="F209" s="30" t="n">
        <v>60</v>
      </c>
      <c r="G209" s="30" t="str">
        <f aca="false">IF(E209&lt;判定条件!$C$6,"判定不能",IF(F209&gt;=判定条件!$C$7*E209,"運転",IF(F209&lt;=判定条件!$C$8*E209,"停止","断続")))</f>
        <v>運転</v>
      </c>
      <c r="H209" s="30" t="n">
        <v>60</v>
      </c>
      <c r="I209" s="30" t="n">
        <v>54</v>
      </c>
      <c r="J209" s="30" t="str">
        <f aca="false">IF(H209&lt;判定条件!$C$6,"判定不能",IF(I209&gt;=判定条件!$C$7*H209,"運転",IF(I209&lt;=判定条件!$C$8*H209,"停止","断続")))</f>
        <v>運転</v>
      </c>
      <c r="K209" s="30" t="n">
        <v>60</v>
      </c>
      <c r="L209" s="30" t="n">
        <v>60</v>
      </c>
      <c r="M209" s="30" t="str">
        <f aca="false">IF(K209&lt;判定条件!$C$6,"判定不能",IF(L209&gt;=判定条件!$C$7*K209,"運転",IF(L209&lt;=判定条件!$C$8*K209,"停止","断続")))</f>
        <v>運転</v>
      </c>
      <c r="N209" s="30" t="n">
        <v>60</v>
      </c>
      <c r="O209" s="30" t="n">
        <v>60</v>
      </c>
      <c r="P209" s="30" t="str">
        <f aca="false">IF(N209&lt;判定条件!$C$6,"判定不能",IF(O209&gt;=判定条件!$C$7*N209,"運転",IF(O209&lt;=判定条件!$C$8*N209,"停止","断続")))</f>
        <v>運転</v>
      </c>
      <c r="Q209" s="30" t="n">
        <v>60</v>
      </c>
      <c r="R209" s="30" t="n">
        <v>60</v>
      </c>
      <c r="S209" s="30" t="str">
        <f aca="false">IF(Q209&lt;判定条件!$C$6,"判定不能",IF(R209&gt;=判定条件!$C$7*Q209,"運転",IF(R209&lt;=判定条件!$C$8*Q209,"停止","断続")))</f>
        <v>運転</v>
      </c>
      <c r="T209" s="30" t="n">
        <v>60</v>
      </c>
      <c r="U209" s="30" t="n">
        <v>40</v>
      </c>
      <c r="V209" s="30" t="str">
        <f aca="false">IF(T209&lt;判定条件!$C$6,"判定不能",IF(U209&gt;=判定条件!$C$7*T209,"運転",IF(U209&lt;=判定条件!$C$8*T209,"停止","断続")))</f>
        <v>断続</v>
      </c>
      <c r="W209" s="30" t="n">
        <v>60</v>
      </c>
      <c r="X209" s="30" t="n">
        <v>60</v>
      </c>
      <c r="Y209" s="30" t="str">
        <f aca="false">IF(W209&lt;判定条件!$C$6,"判定不能",IF(X209&gt;=判定条件!$C$7*W209,"運転",IF(X209&lt;=判定条件!$C$8*W209,"停止","断続")))</f>
        <v>運転</v>
      </c>
      <c r="Z209" s="30" t="n">
        <v>60</v>
      </c>
      <c r="AA209" s="30" t="n">
        <v>60</v>
      </c>
      <c r="AB209" s="30" t="str">
        <f aca="false">IF(Z209&lt;判定条件!$C$6,"判定不能",IF(AA209&gt;=判定条件!$C$7*Z209,"運転",IF(AA209&lt;=判定条件!$C$8*Z209,"停止","断続")))</f>
        <v>運転</v>
      </c>
      <c r="AC209" s="30" t="n">
        <v>60</v>
      </c>
      <c r="AD209" s="30" t="n">
        <v>60</v>
      </c>
      <c r="AE209" s="30" t="str">
        <f aca="false">IF(AC209&lt;判定条件!$C$6,"判定不能",IF(AD209&gt;=判定条件!$C$7*AC209,"運転",IF(AD209&lt;=判定条件!$C$8*AC209,"停止","断続")))</f>
        <v>運転</v>
      </c>
      <c r="AF209" s="30" t="n">
        <v>60</v>
      </c>
      <c r="AG209" s="30" t="n">
        <v>60</v>
      </c>
      <c r="AH209" s="30" t="str">
        <f aca="false">IF(OR(P209="判定不能",G209="判定不能"),"判定不能",IF(AG209&gt;=判定条件!$C$9,"利用可",IF(AND(P209="停止",G209="停止"),"両方停止","運転がそろわない")))</f>
        <v>利用可</v>
      </c>
      <c r="AI209" s="30" t="n">
        <v>60</v>
      </c>
      <c r="AJ209" s="30" t="n">
        <v>54</v>
      </c>
      <c r="AK209" s="30" t="str">
        <f aca="false">IF(OR(S209="判定不能",J209="判定不能"),"判定不能",IF(AJ209&gt;=判定条件!$C$9,"利用可",IF(AND(S209="停止",J209="停止"),"両方停止","運転がそろわない")))</f>
        <v>利用可</v>
      </c>
      <c r="AL209" s="30" t="n">
        <v>60</v>
      </c>
      <c r="AM209" s="30" t="n">
        <v>40</v>
      </c>
      <c r="AN209" s="30" t="str">
        <f aca="false">IF(OR(V209="判定不能",M209="判定不能"),"判定不能",IF(AM209&gt;=判定条件!$C$9,"利用可",IF(AND(V209="停止",M209="停止"),"両方停止","運転がそろわない")))</f>
        <v>利用可</v>
      </c>
      <c r="AO209" s="30" t="n">
        <v>60</v>
      </c>
      <c r="AP209" s="30" t="n">
        <v>60</v>
      </c>
      <c r="AQ209" s="30" t="str">
        <f aca="false">IF(OR(Y209="判定不能",G209="判定不能"),"判定不能",IF(AP209&gt;=判定条件!$C$9,"利用可",IF(AND(Y209="停止",G209="停止"),"両方停止","運転がそろわない")))</f>
        <v>利用可</v>
      </c>
      <c r="AR209" s="30" t="n">
        <v>60</v>
      </c>
      <c r="AS209" s="30" t="n">
        <v>54</v>
      </c>
      <c r="AT209" s="30" t="str">
        <f aca="false">IF(OR(AB209="判定不能",J209="判定不能"),"判定不能",IF(AS209&gt;=判定条件!$C$9,"利用可",IF(AND(AB209="停止",J209="停止"),"両方停止","運転がそろわない")))</f>
        <v>利用可</v>
      </c>
      <c r="AU209" s="30" t="n">
        <v>60</v>
      </c>
      <c r="AV209" s="30" t="n">
        <v>60</v>
      </c>
      <c r="AW209" s="30" t="str">
        <f aca="false">IF(OR(AE209="判定不能",M209="判定不能"),"判定不能",IF(AV209&gt;=判定条件!$C$9,"利用可",IF(AND(AE209="停止",M209="停止"),"両方停止","運転がそろわない")))</f>
        <v>利用可</v>
      </c>
      <c r="AX209" s="30" t="str">
        <f aca="false">IF(AND(AH209="利用可",AK209="利用可",AN209="利用可"),"利用可","不可")</f>
        <v>利用可</v>
      </c>
      <c r="AY209" s="30" t="str">
        <f aca="false">IF(AND(AQ209="利用可",AT209="利用可",AW209="利用可"),"利用可","不可")</f>
        <v>利用可</v>
      </c>
    </row>
    <row r="210" customFormat="false" ht="15" hidden="false" customHeight="false" outlineLevel="0" collapsed="false">
      <c r="A210" s="29" t="n">
        <v>46240</v>
      </c>
      <c r="B210" s="30" t="n">
        <v>15</v>
      </c>
      <c r="C210" s="31" t="s">
        <v>61</v>
      </c>
      <c r="D210" s="31" t="s">
        <v>59</v>
      </c>
      <c r="E210" s="30" t="n">
        <v>60</v>
      </c>
      <c r="F210" s="30" t="n">
        <v>60</v>
      </c>
      <c r="G210" s="30" t="str">
        <f aca="false">IF(E210&lt;判定条件!$C$6,"判定不能",IF(F210&gt;=判定条件!$C$7*E210,"運転",IF(F210&lt;=判定条件!$C$8*E210,"停止","断続")))</f>
        <v>運転</v>
      </c>
      <c r="H210" s="30" t="n">
        <v>60</v>
      </c>
      <c r="I210" s="30" t="n">
        <v>60</v>
      </c>
      <c r="J210" s="30" t="str">
        <f aca="false">IF(H210&lt;判定条件!$C$6,"判定不能",IF(I210&gt;=判定条件!$C$7*H210,"運転",IF(I210&lt;=判定条件!$C$8*H210,"停止","断続")))</f>
        <v>運転</v>
      </c>
      <c r="K210" s="30" t="n">
        <v>60</v>
      </c>
      <c r="L210" s="30" t="n">
        <v>60</v>
      </c>
      <c r="M210" s="30" t="str">
        <f aca="false">IF(K210&lt;判定条件!$C$6,"判定不能",IF(L210&gt;=判定条件!$C$7*K210,"運転",IF(L210&lt;=判定条件!$C$8*K210,"停止","断続")))</f>
        <v>運転</v>
      </c>
      <c r="N210" s="30" t="n">
        <v>60</v>
      </c>
      <c r="O210" s="30" t="n">
        <v>45</v>
      </c>
      <c r="P210" s="30" t="str">
        <f aca="false">IF(N210&lt;判定条件!$C$6,"判定不能",IF(O210&gt;=判定条件!$C$7*N210,"運転",IF(O210&lt;=判定条件!$C$8*N210,"停止","断続")))</f>
        <v>断続</v>
      </c>
      <c r="Q210" s="30" t="n">
        <v>60</v>
      </c>
      <c r="R210" s="30" t="n">
        <v>60</v>
      </c>
      <c r="S210" s="30" t="str">
        <f aca="false">IF(Q210&lt;判定条件!$C$6,"判定不能",IF(R210&gt;=判定条件!$C$7*Q210,"運転",IF(R210&lt;=判定条件!$C$8*Q210,"停止","断続")))</f>
        <v>運転</v>
      </c>
      <c r="T210" s="30" t="n">
        <v>60</v>
      </c>
      <c r="U210" s="30" t="n">
        <v>60</v>
      </c>
      <c r="V210" s="30" t="str">
        <f aca="false">IF(T210&lt;判定条件!$C$6,"判定不能",IF(U210&gt;=判定条件!$C$7*T210,"運転",IF(U210&lt;=判定条件!$C$8*T210,"停止","断続")))</f>
        <v>運転</v>
      </c>
      <c r="W210" s="30" t="n">
        <v>60</v>
      </c>
      <c r="X210" s="30" t="n">
        <v>60</v>
      </c>
      <c r="Y210" s="30" t="str">
        <f aca="false">IF(W210&lt;判定条件!$C$6,"判定不能",IF(X210&gt;=判定条件!$C$7*W210,"運転",IF(X210&lt;=判定条件!$C$8*W210,"停止","断続")))</f>
        <v>運転</v>
      </c>
      <c r="Z210" s="30" t="n">
        <v>60</v>
      </c>
      <c r="AA210" s="30" t="n">
        <v>60</v>
      </c>
      <c r="AB210" s="30" t="str">
        <f aca="false">IF(Z210&lt;判定条件!$C$6,"判定不能",IF(AA210&gt;=判定条件!$C$7*Z210,"運転",IF(AA210&lt;=判定条件!$C$8*Z210,"停止","断続")))</f>
        <v>運転</v>
      </c>
      <c r="AC210" s="30" t="n">
        <v>60</v>
      </c>
      <c r="AD210" s="30" t="n">
        <v>57</v>
      </c>
      <c r="AE210" s="30" t="str">
        <f aca="false">IF(AC210&lt;判定条件!$C$6,"判定不能",IF(AD210&gt;=判定条件!$C$7*AC210,"運転",IF(AD210&lt;=判定条件!$C$8*AC210,"停止","断続")))</f>
        <v>運転</v>
      </c>
      <c r="AF210" s="30" t="n">
        <v>60</v>
      </c>
      <c r="AG210" s="30" t="n">
        <v>45</v>
      </c>
      <c r="AH210" s="30" t="str">
        <f aca="false">IF(OR(P210="判定不能",G210="判定不能"),"判定不能",IF(AG210&gt;=判定条件!$C$9,"利用可",IF(AND(P210="停止",G210="停止"),"両方停止","運転がそろわない")))</f>
        <v>利用可</v>
      </c>
      <c r="AI210" s="30" t="n">
        <v>60</v>
      </c>
      <c r="AJ210" s="30" t="n">
        <v>60</v>
      </c>
      <c r="AK210" s="30" t="str">
        <f aca="false">IF(OR(S210="判定不能",J210="判定不能"),"判定不能",IF(AJ210&gt;=判定条件!$C$9,"利用可",IF(AND(S210="停止",J210="停止"),"両方停止","運転がそろわない")))</f>
        <v>利用可</v>
      </c>
      <c r="AL210" s="30" t="n">
        <v>60</v>
      </c>
      <c r="AM210" s="30" t="n">
        <v>60</v>
      </c>
      <c r="AN210" s="30" t="str">
        <f aca="false">IF(OR(V210="判定不能",M210="判定不能"),"判定不能",IF(AM210&gt;=判定条件!$C$9,"利用可",IF(AND(V210="停止",M210="停止"),"両方停止","運転がそろわない")))</f>
        <v>利用可</v>
      </c>
      <c r="AO210" s="30" t="n">
        <v>60</v>
      </c>
      <c r="AP210" s="30" t="n">
        <v>60</v>
      </c>
      <c r="AQ210" s="30" t="str">
        <f aca="false">IF(OR(Y210="判定不能",G210="判定不能"),"判定不能",IF(AP210&gt;=判定条件!$C$9,"利用可",IF(AND(Y210="停止",G210="停止"),"両方停止","運転がそろわない")))</f>
        <v>利用可</v>
      </c>
      <c r="AR210" s="30" t="n">
        <v>60</v>
      </c>
      <c r="AS210" s="30" t="n">
        <v>60</v>
      </c>
      <c r="AT210" s="30" t="str">
        <f aca="false">IF(OR(AB210="判定不能",J210="判定不能"),"判定不能",IF(AS210&gt;=判定条件!$C$9,"利用可",IF(AND(AB210="停止",J210="停止"),"両方停止","運転がそろわない")))</f>
        <v>利用可</v>
      </c>
      <c r="AU210" s="30" t="n">
        <v>60</v>
      </c>
      <c r="AV210" s="30" t="n">
        <v>57</v>
      </c>
      <c r="AW210" s="30" t="str">
        <f aca="false">IF(OR(AE210="判定不能",M210="判定不能"),"判定不能",IF(AV210&gt;=判定条件!$C$9,"利用可",IF(AND(AE210="停止",M210="停止"),"両方停止","運転がそろわない")))</f>
        <v>利用可</v>
      </c>
      <c r="AX210" s="30" t="str">
        <f aca="false">IF(AND(AH210="利用可",AK210="利用可",AN210="利用可"),"利用可","不可")</f>
        <v>利用可</v>
      </c>
      <c r="AY210" s="30" t="str">
        <f aca="false">IF(AND(AQ210="利用可",AT210="利用可",AW210="利用可"),"利用可","不可")</f>
        <v>利用可</v>
      </c>
    </row>
    <row r="211" customFormat="false" ht="15" hidden="false" customHeight="false" outlineLevel="0" collapsed="false">
      <c r="A211" s="29" t="n">
        <v>46240</v>
      </c>
      <c r="B211" s="30" t="n">
        <v>16</v>
      </c>
      <c r="C211" s="31" t="s">
        <v>61</v>
      </c>
      <c r="D211" s="31" t="s">
        <v>59</v>
      </c>
      <c r="E211" s="30" t="n">
        <v>60</v>
      </c>
      <c r="F211" s="30" t="n">
        <v>60</v>
      </c>
      <c r="G211" s="30" t="str">
        <f aca="false">IF(E211&lt;判定条件!$C$6,"判定不能",IF(F211&gt;=判定条件!$C$7*E211,"運転",IF(F211&lt;=判定条件!$C$8*E211,"停止","断続")))</f>
        <v>運転</v>
      </c>
      <c r="H211" s="30" t="n">
        <v>60</v>
      </c>
      <c r="I211" s="30" t="n">
        <v>60</v>
      </c>
      <c r="J211" s="30" t="str">
        <f aca="false">IF(H211&lt;判定条件!$C$6,"判定不能",IF(I211&gt;=判定条件!$C$7*H211,"運転",IF(I211&lt;=判定条件!$C$8*H211,"停止","断続")))</f>
        <v>運転</v>
      </c>
      <c r="K211" s="30" t="n">
        <v>60</v>
      </c>
      <c r="L211" s="30" t="n">
        <v>60</v>
      </c>
      <c r="M211" s="30" t="str">
        <f aca="false">IF(K211&lt;判定条件!$C$6,"判定不能",IF(L211&gt;=判定条件!$C$7*K211,"運転",IF(L211&lt;=判定条件!$C$8*K211,"停止","断続")))</f>
        <v>運転</v>
      </c>
      <c r="N211" s="30" t="n">
        <v>60</v>
      </c>
      <c r="O211" s="30" t="n">
        <v>48</v>
      </c>
      <c r="P211" s="30" t="str">
        <f aca="false">IF(N211&lt;判定条件!$C$6,"判定不能",IF(O211&gt;=判定条件!$C$7*N211,"運転",IF(O211&lt;=判定条件!$C$8*N211,"停止","断続")))</f>
        <v>運転</v>
      </c>
      <c r="Q211" s="30" t="n">
        <v>60</v>
      </c>
      <c r="R211" s="30" t="n">
        <v>60</v>
      </c>
      <c r="S211" s="30" t="str">
        <f aca="false">IF(Q211&lt;判定条件!$C$6,"判定不能",IF(R211&gt;=判定条件!$C$7*Q211,"運転",IF(R211&lt;=判定条件!$C$8*Q211,"停止","断続")))</f>
        <v>運転</v>
      </c>
      <c r="T211" s="30" t="n">
        <v>60</v>
      </c>
      <c r="U211" s="30" t="n">
        <v>60</v>
      </c>
      <c r="V211" s="30" t="str">
        <f aca="false">IF(T211&lt;判定条件!$C$6,"判定不能",IF(U211&gt;=判定条件!$C$7*T211,"運転",IF(U211&lt;=判定条件!$C$8*T211,"停止","断続")))</f>
        <v>運転</v>
      </c>
      <c r="W211" s="30" t="n">
        <v>60</v>
      </c>
      <c r="X211" s="30" t="n">
        <v>60</v>
      </c>
      <c r="Y211" s="30" t="str">
        <f aca="false">IF(W211&lt;判定条件!$C$6,"判定不能",IF(X211&gt;=判定条件!$C$7*W211,"運転",IF(X211&lt;=判定条件!$C$8*W211,"停止","断続")))</f>
        <v>運転</v>
      </c>
      <c r="Z211" s="30" t="n">
        <v>60</v>
      </c>
      <c r="AA211" s="30" t="n">
        <v>60</v>
      </c>
      <c r="AB211" s="30" t="str">
        <f aca="false">IF(Z211&lt;判定条件!$C$6,"判定不能",IF(AA211&gt;=判定条件!$C$7*Z211,"運転",IF(AA211&lt;=判定条件!$C$8*Z211,"停止","断続")))</f>
        <v>運転</v>
      </c>
      <c r="AC211" s="30" t="n">
        <v>60</v>
      </c>
      <c r="AD211" s="30" t="n">
        <v>58</v>
      </c>
      <c r="AE211" s="30" t="str">
        <f aca="false">IF(AC211&lt;判定条件!$C$6,"判定不能",IF(AD211&gt;=判定条件!$C$7*AC211,"運転",IF(AD211&lt;=判定条件!$C$8*AC211,"停止","断続")))</f>
        <v>運転</v>
      </c>
      <c r="AF211" s="30" t="n">
        <v>60</v>
      </c>
      <c r="AG211" s="30" t="n">
        <v>48</v>
      </c>
      <c r="AH211" s="30" t="str">
        <f aca="false">IF(OR(P211="判定不能",G211="判定不能"),"判定不能",IF(AG211&gt;=判定条件!$C$9,"利用可",IF(AND(P211="停止",G211="停止"),"両方停止","運転がそろわない")))</f>
        <v>利用可</v>
      </c>
      <c r="AI211" s="30" t="n">
        <v>60</v>
      </c>
      <c r="AJ211" s="30" t="n">
        <v>60</v>
      </c>
      <c r="AK211" s="30" t="str">
        <f aca="false">IF(OR(S211="判定不能",J211="判定不能"),"判定不能",IF(AJ211&gt;=判定条件!$C$9,"利用可",IF(AND(S211="停止",J211="停止"),"両方停止","運転がそろわない")))</f>
        <v>利用可</v>
      </c>
      <c r="AL211" s="30" t="n">
        <v>60</v>
      </c>
      <c r="AM211" s="30" t="n">
        <v>60</v>
      </c>
      <c r="AN211" s="30" t="str">
        <f aca="false">IF(OR(V211="判定不能",M211="判定不能"),"判定不能",IF(AM211&gt;=判定条件!$C$9,"利用可",IF(AND(V211="停止",M211="停止"),"両方停止","運転がそろわない")))</f>
        <v>利用可</v>
      </c>
      <c r="AO211" s="30" t="n">
        <v>60</v>
      </c>
      <c r="AP211" s="30" t="n">
        <v>60</v>
      </c>
      <c r="AQ211" s="30" t="str">
        <f aca="false">IF(OR(Y211="判定不能",G211="判定不能"),"判定不能",IF(AP211&gt;=判定条件!$C$9,"利用可",IF(AND(Y211="停止",G211="停止"),"両方停止","運転がそろわない")))</f>
        <v>利用可</v>
      </c>
      <c r="AR211" s="30" t="n">
        <v>60</v>
      </c>
      <c r="AS211" s="30" t="n">
        <v>60</v>
      </c>
      <c r="AT211" s="30" t="str">
        <f aca="false">IF(OR(AB211="判定不能",J211="判定不能"),"判定不能",IF(AS211&gt;=判定条件!$C$9,"利用可",IF(AND(AB211="停止",J211="停止"),"両方停止","運転がそろわない")))</f>
        <v>利用可</v>
      </c>
      <c r="AU211" s="30" t="n">
        <v>60</v>
      </c>
      <c r="AV211" s="30" t="n">
        <v>58</v>
      </c>
      <c r="AW211" s="30" t="str">
        <f aca="false">IF(OR(AE211="判定不能",M211="判定不能"),"判定不能",IF(AV211&gt;=判定条件!$C$9,"利用可",IF(AND(AE211="停止",M211="停止"),"両方停止","運転がそろわない")))</f>
        <v>利用可</v>
      </c>
      <c r="AX211" s="30" t="str">
        <f aca="false">IF(AND(AH211="利用可",AK211="利用可",AN211="利用可"),"利用可","不可")</f>
        <v>利用可</v>
      </c>
      <c r="AY211" s="30" t="str">
        <f aca="false">IF(AND(AQ211="利用可",AT211="利用可",AW211="利用可"),"利用可","不可")</f>
        <v>利用可</v>
      </c>
    </row>
    <row r="212" customFormat="false" ht="15" hidden="false" customHeight="false" outlineLevel="0" collapsed="false">
      <c r="A212" s="29" t="n">
        <v>46240</v>
      </c>
      <c r="B212" s="30" t="n">
        <v>17</v>
      </c>
      <c r="C212" s="31" t="s">
        <v>61</v>
      </c>
      <c r="D212" s="31" t="s">
        <v>59</v>
      </c>
      <c r="E212" s="30" t="n">
        <v>60</v>
      </c>
      <c r="F212" s="30" t="n">
        <v>60</v>
      </c>
      <c r="G212" s="30" t="str">
        <f aca="false">IF(E212&lt;判定条件!$C$6,"判定不能",IF(F212&gt;=判定条件!$C$7*E212,"運転",IF(F212&lt;=判定条件!$C$8*E212,"停止","断続")))</f>
        <v>運転</v>
      </c>
      <c r="H212" s="30" t="n">
        <v>60</v>
      </c>
      <c r="I212" s="30" t="n">
        <v>54</v>
      </c>
      <c r="J212" s="30" t="str">
        <f aca="false">IF(H212&lt;判定条件!$C$6,"判定不能",IF(I212&gt;=判定条件!$C$7*H212,"運転",IF(I212&lt;=判定条件!$C$8*H212,"停止","断続")))</f>
        <v>運転</v>
      </c>
      <c r="K212" s="30" t="n">
        <v>60</v>
      </c>
      <c r="L212" s="30" t="n">
        <v>60</v>
      </c>
      <c r="M212" s="30" t="str">
        <f aca="false">IF(K212&lt;判定条件!$C$6,"判定不能",IF(L212&gt;=判定条件!$C$7*K212,"運転",IF(L212&lt;=判定条件!$C$8*K212,"停止","断続")))</f>
        <v>運転</v>
      </c>
      <c r="N212" s="30" t="n">
        <v>60</v>
      </c>
      <c r="O212" s="30" t="n">
        <v>52</v>
      </c>
      <c r="P212" s="30" t="str">
        <f aca="false">IF(N212&lt;判定条件!$C$6,"判定不能",IF(O212&gt;=判定条件!$C$7*N212,"運転",IF(O212&lt;=判定条件!$C$8*N212,"停止","断続")))</f>
        <v>運転</v>
      </c>
      <c r="Q212" s="30" t="n">
        <v>60</v>
      </c>
      <c r="R212" s="30" t="n">
        <v>59</v>
      </c>
      <c r="S212" s="30" t="str">
        <f aca="false">IF(Q212&lt;判定条件!$C$6,"判定不能",IF(R212&gt;=判定条件!$C$7*Q212,"運転",IF(R212&lt;=判定条件!$C$8*Q212,"停止","断続")))</f>
        <v>運転</v>
      </c>
      <c r="T212" s="30" t="n">
        <v>60</v>
      </c>
      <c r="U212" s="30" t="n">
        <v>60</v>
      </c>
      <c r="V212" s="30" t="str">
        <f aca="false">IF(T212&lt;判定条件!$C$6,"判定不能",IF(U212&gt;=判定条件!$C$7*T212,"運転",IF(U212&lt;=判定条件!$C$8*T212,"停止","断続")))</f>
        <v>運転</v>
      </c>
      <c r="W212" s="30" t="n">
        <v>60</v>
      </c>
      <c r="X212" s="30" t="n">
        <v>48</v>
      </c>
      <c r="Y212" s="30" t="str">
        <f aca="false">IF(W212&lt;判定条件!$C$6,"判定不能",IF(X212&gt;=判定条件!$C$7*W212,"運転",IF(X212&lt;=判定条件!$C$8*W212,"停止","断続")))</f>
        <v>運転</v>
      </c>
      <c r="Z212" s="30" t="n">
        <v>60</v>
      </c>
      <c r="AA212" s="30" t="n">
        <v>60</v>
      </c>
      <c r="AB212" s="30" t="str">
        <f aca="false">IF(Z212&lt;判定条件!$C$6,"判定不能",IF(AA212&gt;=判定条件!$C$7*Z212,"運転",IF(AA212&lt;=判定条件!$C$8*Z212,"停止","断続")))</f>
        <v>運転</v>
      </c>
      <c r="AC212" s="30" t="n">
        <v>60</v>
      </c>
      <c r="AD212" s="30" t="n">
        <v>40</v>
      </c>
      <c r="AE212" s="30" t="str">
        <f aca="false">IF(AC212&lt;判定条件!$C$6,"判定不能",IF(AD212&gt;=判定条件!$C$7*AC212,"運転",IF(AD212&lt;=判定条件!$C$8*AC212,"停止","断続")))</f>
        <v>断続</v>
      </c>
      <c r="AF212" s="30" t="n">
        <v>60</v>
      </c>
      <c r="AG212" s="30" t="n">
        <v>52</v>
      </c>
      <c r="AH212" s="30" t="str">
        <f aca="false">IF(OR(P212="判定不能",G212="判定不能"),"判定不能",IF(AG212&gt;=判定条件!$C$9,"利用可",IF(AND(P212="停止",G212="停止"),"両方停止","運転がそろわない")))</f>
        <v>利用可</v>
      </c>
      <c r="AI212" s="30" t="n">
        <v>60</v>
      </c>
      <c r="AJ212" s="30" t="n">
        <v>53</v>
      </c>
      <c r="AK212" s="30" t="str">
        <f aca="false">IF(OR(S212="判定不能",J212="判定不能"),"判定不能",IF(AJ212&gt;=判定条件!$C$9,"利用可",IF(AND(S212="停止",J212="停止"),"両方停止","運転がそろわない")))</f>
        <v>利用可</v>
      </c>
      <c r="AL212" s="30" t="n">
        <v>60</v>
      </c>
      <c r="AM212" s="30" t="n">
        <v>60</v>
      </c>
      <c r="AN212" s="30" t="str">
        <f aca="false">IF(OR(V212="判定不能",M212="判定不能"),"判定不能",IF(AM212&gt;=判定条件!$C$9,"利用可",IF(AND(V212="停止",M212="停止"),"両方停止","運転がそろわない")))</f>
        <v>利用可</v>
      </c>
      <c r="AO212" s="30" t="n">
        <v>60</v>
      </c>
      <c r="AP212" s="30" t="n">
        <v>48</v>
      </c>
      <c r="AQ212" s="30" t="str">
        <f aca="false">IF(OR(Y212="判定不能",G212="判定不能"),"判定不能",IF(AP212&gt;=判定条件!$C$9,"利用可",IF(AND(Y212="停止",G212="停止"),"両方停止","運転がそろわない")))</f>
        <v>利用可</v>
      </c>
      <c r="AR212" s="30" t="n">
        <v>60</v>
      </c>
      <c r="AS212" s="30" t="n">
        <v>54</v>
      </c>
      <c r="AT212" s="30" t="str">
        <f aca="false">IF(OR(AB212="判定不能",J212="判定不能"),"判定不能",IF(AS212&gt;=判定条件!$C$9,"利用可",IF(AND(AB212="停止",J212="停止"),"両方停止","運転がそろわない")))</f>
        <v>利用可</v>
      </c>
      <c r="AU212" s="30" t="n">
        <v>60</v>
      </c>
      <c r="AV212" s="30" t="n">
        <v>40</v>
      </c>
      <c r="AW212" s="30" t="str">
        <f aca="false">IF(OR(AE212="判定不能",M212="判定不能"),"判定不能",IF(AV212&gt;=判定条件!$C$9,"利用可",IF(AND(AE212="停止",M212="停止"),"両方停止","運転がそろわない")))</f>
        <v>利用可</v>
      </c>
      <c r="AX212" s="30" t="str">
        <f aca="false">IF(AND(AH212="利用可",AK212="利用可",AN212="利用可"),"利用可","不可")</f>
        <v>利用可</v>
      </c>
      <c r="AY212" s="30" t="str">
        <f aca="false">IF(AND(AQ212="利用可",AT212="利用可",AW212="利用可"),"利用可","不可")</f>
        <v>利用可</v>
      </c>
    </row>
    <row r="213" customFormat="false" ht="15" hidden="false" customHeight="false" outlineLevel="0" collapsed="false">
      <c r="A213" s="29" t="n">
        <v>46240</v>
      </c>
      <c r="B213" s="30" t="n">
        <v>18</v>
      </c>
      <c r="C213" s="31" t="s">
        <v>61</v>
      </c>
      <c r="D213" s="31" t="s">
        <v>59</v>
      </c>
      <c r="E213" s="30" t="n">
        <v>60</v>
      </c>
      <c r="F213" s="30" t="n">
        <v>60</v>
      </c>
      <c r="G213" s="30" t="str">
        <f aca="false">IF(E213&lt;判定条件!$C$6,"判定不能",IF(F213&gt;=判定条件!$C$7*E213,"運転",IF(F213&lt;=判定条件!$C$8*E213,"停止","断続")))</f>
        <v>運転</v>
      </c>
      <c r="H213" s="30" t="n">
        <v>60</v>
      </c>
      <c r="I213" s="30" t="n">
        <v>60</v>
      </c>
      <c r="J213" s="30" t="str">
        <f aca="false">IF(H213&lt;判定条件!$C$6,"判定不能",IF(I213&gt;=判定条件!$C$7*H213,"運転",IF(I213&lt;=判定条件!$C$8*H213,"停止","断続")))</f>
        <v>運転</v>
      </c>
      <c r="K213" s="30" t="n">
        <v>60</v>
      </c>
      <c r="L213" s="30" t="n">
        <v>60</v>
      </c>
      <c r="M213" s="30" t="str">
        <f aca="false">IF(K213&lt;判定条件!$C$6,"判定不能",IF(L213&gt;=判定条件!$C$7*K213,"運転",IF(L213&lt;=判定条件!$C$8*K213,"停止","断続")))</f>
        <v>運転</v>
      </c>
      <c r="N213" s="30" t="n">
        <v>60</v>
      </c>
      <c r="O213" s="30" t="n">
        <v>8</v>
      </c>
      <c r="P213" s="30" t="str">
        <f aca="false">IF(N213&lt;判定条件!$C$6,"判定不能",IF(O213&gt;=判定条件!$C$7*N213,"運転",IF(O213&lt;=判定条件!$C$8*N213,"停止","断続")))</f>
        <v>停止</v>
      </c>
      <c r="Q213" s="30" t="n">
        <v>60</v>
      </c>
      <c r="R213" s="30" t="n">
        <v>4</v>
      </c>
      <c r="S213" s="30" t="str">
        <f aca="false">IF(Q213&lt;判定条件!$C$6,"判定不能",IF(R213&gt;=判定条件!$C$7*Q213,"運転",IF(R213&lt;=判定条件!$C$8*Q213,"停止","断続")))</f>
        <v>停止</v>
      </c>
      <c r="T213" s="30" t="n">
        <v>60</v>
      </c>
      <c r="U213" s="30" t="n">
        <v>4</v>
      </c>
      <c r="V213" s="30" t="str">
        <f aca="false">IF(T213&lt;判定条件!$C$6,"判定不能",IF(U213&gt;=判定条件!$C$7*T213,"運転",IF(U213&lt;=判定条件!$C$8*T213,"停止","断続")))</f>
        <v>停止</v>
      </c>
      <c r="W213" s="30" t="n">
        <v>60</v>
      </c>
      <c r="X213" s="30" t="n">
        <v>42</v>
      </c>
      <c r="Y213" s="30" t="str">
        <f aca="false">IF(W213&lt;判定条件!$C$6,"判定不能",IF(X213&gt;=判定条件!$C$7*W213,"運転",IF(X213&lt;=判定条件!$C$8*W213,"停止","断続")))</f>
        <v>断続</v>
      </c>
      <c r="Z213" s="30" t="n">
        <v>60</v>
      </c>
      <c r="AA213" s="30" t="n">
        <v>60</v>
      </c>
      <c r="AB213" s="30" t="str">
        <f aca="false">IF(Z213&lt;判定条件!$C$6,"判定不能",IF(AA213&gt;=判定条件!$C$7*Z213,"運転",IF(AA213&lt;=判定条件!$C$8*Z213,"停止","断続")))</f>
        <v>運転</v>
      </c>
      <c r="AC213" s="30" t="n">
        <v>60</v>
      </c>
      <c r="AD213" s="30" t="n">
        <v>53</v>
      </c>
      <c r="AE213" s="30" t="str">
        <f aca="false">IF(AC213&lt;判定条件!$C$6,"判定不能",IF(AD213&gt;=判定条件!$C$7*AC213,"運転",IF(AD213&lt;=判定条件!$C$8*AC213,"停止","断続")))</f>
        <v>運転</v>
      </c>
      <c r="AF213" s="30" t="n">
        <v>60</v>
      </c>
      <c r="AG213" s="30" t="n">
        <v>8</v>
      </c>
      <c r="AH213" s="30" t="str">
        <f aca="false">IF(OR(P213="判定不能",G213="判定不能"),"判定不能",IF(AG213&gt;=判定条件!$C$9,"利用可",IF(AND(P213="停止",G213="停止"),"両方停止","運転がそろわない")))</f>
        <v>運転がそろわない</v>
      </c>
      <c r="AI213" s="30" t="n">
        <v>60</v>
      </c>
      <c r="AJ213" s="30" t="n">
        <v>4</v>
      </c>
      <c r="AK213" s="30" t="str">
        <f aca="false">IF(OR(S213="判定不能",J213="判定不能"),"判定不能",IF(AJ213&gt;=判定条件!$C$9,"利用可",IF(AND(S213="停止",J213="停止"),"両方停止","運転がそろわない")))</f>
        <v>運転がそろわない</v>
      </c>
      <c r="AL213" s="30" t="n">
        <v>60</v>
      </c>
      <c r="AM213" s="30" t="n">
        <v>4</v>
      </c>
      <c r="AN213" s="30" t="str">
        <f aca="false">IF(OR(V213="判定不能",M213="判定不能"),"判定不能",IF(AM213&gt;=判定条件!$C$9,"利用可",IF(AND(V213="停止",M213="停止"),"両方停止","運転がそろわない")))</f>
        <v>運転がそろわない</v>
      </c>
      <c r="AO213" s="30" t="n">
        <v>60</v>
      </c>
      <c r="AP213" s="30" t="n">
        <v>42</v>
      </c>
      <c r="AQ213" s="30" t="str">
        <f aca="false">IF(OR(Y213="判定不能",G213="判定不能"),"判定不能",IF(AP213&gt;=判定条件!$C$9,"利用可",IF(AND(Y213="停止",G213="停止"),"両方停止","運転がそろわない")))</f>
        <v>利用可</v>
      </c>
      <c r="AR213" s="30" t="n">
        <v>60</v>
      </c>
      <c r="AS213" s="30" t="n">
        <v>60</v>
      </c>
      <c r="AT213" s="30" t="str">
        <f aca="false">IF(OR(AB213="判定不能",J213="判定不能"),"判定不能",IF(AS213&gt;=判定条件!$C$9,"利用可",IF(AND(AB213="停止",J213="停止"),"両方停止","運転がそろわない")))</f>
        <v>利用可</v>
      </c>
      <c r="AU213" s="30" t="n">
        <v>60</v>
      </c>
      <c r="AV213" s="30" t="n">
        <v>53</v>
      </c>
      <c r="AW213" s="30" t="str">
        <f aca="false">IF(OR(AE213="判定不能",M213="判定不能"),"判定不能",IF(AV213&gt;=判定条件!$C$9,"利用可",IF(AND(AE213="停止",M213="停止"),"両方停止","運転がそろわない")))</f>
        <v>利用可</v>
      </c>
      <c r="AX213" s="30" t="str">
        <f aca="false">IF(AND(AH213="利用可",AK213="利用可",AN213="利用可"),"利用可","不可")</f>
        <v>不可</v>
      </c>
      <c r="AY213" s="30" t="str">
        <f aca="false">IF(AND(AQ213="利用可",AT213="利用可",AW213="利用可"),"利用可","不可")</f>
        <v>利用可</v>
      </c>
    </row>
    <row r="214" customFormat="false" ht="15" hidden="false" customHeight="false" outlineLevel="0" collapsed="false">
      <c r="A214" s="29" t="n">
        <v>46240</v>
      </c>
      <c r="B214" s="30" t="n">
        <v>19</v>
      </c>
      <c r="C214" s="31" t="s">
        <v>61</v>
      </c>
      <c r="D214" s="31" t="s">
        <v>59</v>
      </c>
      <c r="E214" s="30" t="n">
        <v>60</v>
      </c>
      <c r="F214" s="30" t="n">
        <v>60</v>
      </c>
      <c r="G214" s="30" t="str">
        <f aca="false">IF(E214&lt;判定条件!$C$6,"判定不能",IF(F214&gt;=判定条件!$C$7*E214,"運転",IF(F214&lt;=判定条件!$C$8*E214,"停止","断続")))</f>
        <v>運転</v>
      </c>
      <c r="H214" s="30" t="n">
        <v>60</v>
      </c>
      <c r="I214" s="30" t="n">
        <v>53</v>
      </c>
      <c r="J214" s="30" t="str">
        <f aca="false">IF(H214&lt;判定条件!$C$6,"判定不能",IF(I214&gt;=判定条件!$C$7*H214,"運転",IF(I214&lt;=判定条件!$C$8*H214,"停止","断続")))</f>
        <v>運転</v>
      </c>
      <c r="K214" s="30" t="n">
        <v>60</v>
      </c>
      <c r="L214" s="30" t="n">
        <v>60</v>
      </c>
      <c r="M214" s="30" t="str">
        <f aca="false">IF(K214&lt;判定条件!$C$6,"判定不能",IF(L214&gt;=判定条件!$C$7*K214,"運転",IF(L214&lt;=判定条件!$C$8*K214,"停止","断続")))</f>
        <v>運転</v>
      </c>
      <c r="N214" s="30" t="n">
        <v>60</v>
      </c>
      <c r="O214" s="30" t="n">
        <v>0</v>
      </c>
      <c r="P214" s="30" t="str">
        <f aca="false">IF(N214&lt;判定条件!$C$6,"判定不能",IF(O214&gt;=判定条件!$C$7*N214,"運転",IF(O214&lt;=判定条件!$C$8*N214,"停止","断続")))</f>
        <v>停止</v>
      </c>
      <c r="Q214" s="30" t="n">
        <v>60</v>
      </c>
      <c r="R214" s="30" t="n">
        <v>0</v>
      </c>
      <c r="S214" s="30" t="str">
        <f aca="false">IF(Q214&lt;判定条件!$C$6,"判定不能",IF(R214&gt;=判定条件!$C$7*Q214,"運転",IF(R214&lt;=判定条件!$C$8*Q214,"停止","断続")))</f>
        <v>停止</v>
      </c>
      <c r="T214" s="30" t="n">
        <v>60</v>
      </c>
      <c r="U214" s="30" t="n">
        <v>41</v>
      </c>
      <c r="V214" s="30" t="str">
        <f aca="false">IF(T214&lt;判定条件!$C$6,"判定不能",IF(U214&gt;=判定条件!$C$7*T214,"運転",IF(U214&lt;=判定条件!$C$8*T214,"停止","断続")))</f>
        <v>断続</v>
      </c>
      <c r="W214" s="30" t="n">
        <v>60</v>
      </c>
      <c r="X214" s="30" t="n">
        <v>7</v>
      </c>
      <c r="Y214" s="30" t="str">
        <f aca="false">IF(W214&lt;判定条件!$C$6,"判定不能",IF(X214&gt;=判定条件!$C$7*W214,"運転",IF(X214&lt;=判定条件!$C$8*W214,"停止","断続")))</f>
        <v>停止</v>
      </c>
      <c r="Z214" s="30" t="n">
        <v>60</v>
      </c>
      <c r="AA214" s="30" t="n">
        <v>37</v>
      </c>
      <c r="AB214" s="30" t="str">
        <f aca="false">IF(Z214&lt;判定条件!$C$6,"判定不能",IF(AA214&gt;=判定条件!$C$7*Z214,"運転",IF(AA214&lt;=判定条件!$C$8*Z214,"停止","断続")))</f>
        <v>断続</v>
      </c>
      <c r="AC214" s="30" t="n">
        <v>60</v>
      </c>
      <c r="AD214" s="30" t="n">
        <v>0</v>
      </c>
      <c r="AE214" s="30" t="str">
        <f aca="false">IF(AC214&lt;判定条件!$C$6,"判定不能",IF(AD214&gt;=判定条件!$C$7*AC214,"運転",IF(AD214&lt;=判定条件!$C$8*AC214,"停止","断続")))</f>
        <v>停止</v>
      </c>
      <c r="AF214" s="30" t="n">
        <v>60</v>
      </c>
      <c r="AG214" s="30" t="n">
        <v>0</v>
      </c>
      <c r="AH214" s="30" t="str">
        <f aca="false">IF(OR(P214="判定不能",G214="判定不能"),"判定不能",IF(AG214&gt;=判定条件!$C$9,"利用可",IF(AND(P214="停止",G214="停止"),"両方停止","運転がそろわない")))</f>
        <v>運転がそろわない</v>
      </c>
      <c r="AI214" s="30" t="n">
        <v>60</v>
      </c>
      <c r="AJ214" s="30" t="n">
        <v>0</v>
      </c>
      <c r="AK214" s="30" t="str">
        <f aca="false">IF(OR(S214="判定不能",J214="判定不能"),"判定不能",IF(AJ214&gt;=判定条件!$C$9,"利用可",IF(AND(S214="停止",J214="停止"),"両方停止","運転がそろわない")))</f>
        <v>運転がそろわない</v>
      </c>
      <c r="AL214" s="30" t="n">
        <v>60</v>
      </c>
      <c r="AM214" s="30" t="n">
        <v>41</v>
      </c>
      <c r="AN214" s="30" t="str">
        <f aca="false">IF(OR(V214="判定不能",M214="判定不能"),"判定不能",IF(AM214&gt;=判定条件!$C$9,"利用可",IF(AND(V214="停止",M214="停止"),"両方停止","運転がそろわない")))</f>
        <v>利用可</v>
      </c>
      <c r="AO214" s="30" t="n">
        <v>60</v>
      </c>
      <c r="AP214" s="30" t="n">
        <v>7</v>
      </c>
      <c r="AQ214" s="30" t="str">
        <f aca="false">IF(OR(Y214="判定不能",G214="判定不能"),"判定不能",IF(AP214&gt;=判定条件!$C$9,"利用可",IF(AND(Y214="停止",G214="停止"),"両方停止","運転がそろわない")))</f>
        <v>運転がそろわない</v>
      </c>
      <c r="AR214" s="30" t="n">
        <v>60</v>
      </c>
      <c r="AS214" s="30" t="n">
        <v>30</v>
      </c>
      <c r="AT214" s="30" t="str">
        <f aca="false">IF(OR(AB214="判定不能",J214="判定不能"),"判定不能",IF(AS214&gt;=判定条件!$C$9,"利用可",IF(AND(AB214="停止",J214="停止"),"両方停止","運転がそろわない")))</f>
        <v>利用可</v>
      </c>
      <c r="AU214" s="30" t="n">
        <v>60</v>
      </c>
      <c r="AV214" s="30" t="n">
        <v>0</v>
      </c>
      <c r="AW214" s="30" t="str">
        <f aca="false">IF(OR(AE214="判定不能",M214="判定不能"),"判定不能",IF(AV214&gt;=判定条件!$C$9,"利用可",IF(AND(AE214="停止",M214="停止"),"両方停止","運転がそろわない")))</f>
        <v>運転がそろわない</v>
      </c>
      <c r="AX214" s="30" t="str">
        <f aca="false">IF(AND(AH214="利用可",AK214="利用可",AN214="利用可"),"利用可","不可")</f>
        <v>不可</v>
      </c>
      <c r="AY214" s="30" t="str">
        <f aca="false">IF(AND(AQ214="利用可",AT214="利用可",AW214="利用可"),"利用可","不可")</f>
        <v>不可</v>
      </c>
    </row>
    <row r="215" customFormat="false" ht="15" hidden="false" customHeight="false" outlineLevel="0" collapsed="false">
      <c r="A215" s="29" t="n">
        <v>46240</v>
      </c>
      <c r="B215" s="30" t="n">
        <v>20</v>
      </c>
      <c r="C215" s="31" t="s">
        <v>61</v>
      </c>
      <c r="D215" s="31" t="s">
        <v>59</v>
      </c>
      <c r="E215" s="30" t="n">
        <v>60</v>
      </c>
      <c r="F215" s="30" t="n">
        <v>46</v>
      </c>
      <c r="G215" s="30" t="str">
        <f aca="false">IF(E215&lt;判定条件!$C$6,"判定不能",IF(F215&gt;=判定条件!$C$7*E215,"運転",IF(F215&lt;=判定条件!$C$8*E215,"停止","断続")))</f>
        <v>断続</v>
      </c>
      <c r="H215" s="30" t="n">
        <v>60</v>
      </c>
      <c r="I215" s="30" t="n">
        <v>46</v>
      </c>
      <c r="J215" s="30" t="str">
        <f aca="false">IF(H215&lt;判定条件!$C$6,"判定不能",IF(I215&gt;=判定条件!$C$7*H215,"運転",IF(I215&lt;=判定条件!$C$8*H215,"停止","断続")))</f>
        <v>断続</v>
      </c>
      <c r="K215" s="30" t="n">
        <v>60</v>
      </c>
      <c r="L215" s="30" t="n">
        <v>60</v>
      </c>
      <c r="M215" s="30" t="str">
        <f aca="false">IF(K215&lt;判定条件!$C$6,"判定不能",IF(L215&gt;=判定条件!$C$7*K215,"運転",IF(L215&lt;=判定条件!$C$8*K215,"停止","断続")))</f>
        <v>運転</v>
      </c>
      <c r="N215" s="30" t="n">
        <v>60</v>
      </c>
      <c r="O215" s="30" t="n">
        <v>0</v>
      </c>
      <c r="P215" s="30" t="str">
        <f aca="false">IF(N215&lt;判定条件!$C$6,"判定不能",IF(O215&gt;=判定条件!$C$7*N215,"運転",IF(O215&lt;=判定条件!$C$8*N215,"停止","断続")))</f>
        <v>停止</v>
      </c>
      <c r="Q215" s="30" t="n">
        <v>60</v>
      </c>
      <c r="R215" s="30" t="n">
        <v>0</v>
      </c>
      <c r="S215" s="30" t="str">
        <f aca="false">IF(Q215&lt;判定条件!$C$6,"判定不能",IF(R215&gt;=判定条件!$C$7*Q215,"運転",IF(R215&lt;=判定条件!$C$8*Q215,"停止","断続")))</f>
        <v>停止</v>
      </c>
      <c r="T215" s="30" t="n">
        <v>60</v>
      </c>
      <c r="U215" s="30" t="n">
        <v>5</v>
      </c>
      <c r="V215" s="30" t="str">
        <f aca="false">IF(T215&lt;判定条件!$C$6,"判定不能",IF(U215&gt;=判定条件!$C$7*T215,"運転",IF(U215&lt;=判定条件!$C$8*T215,"停止","断続")))</f>
        <v>停止</v>
      </c>
      <c r="W215" s="30" t="n">
        <v>60</v>
      </c>
      <c r="X215" s="30" t="n">
        <v>0</v>
      </c>
      <c r="Y215" s="30" t="str">
        <f aca="false">IF(W215&lt;判定条件!$C$6,"判定不能",IF(X215&gt;=判定条件!$C$7*W215,"運転",IF(X215&lt;=判定条件!$C$8*W215,"停止","断続")))</f>
        <v>停止</v>
      </c>
      <c r="Z215" s="30" t="n">
        <v>60</v>
      </c>
      <c r="AA215" s="30" t="n">
        <v>28</v>
      </c>
      <c r="AB215" s="30" t="str">
        <f aca="false">IF(Z215&lt;判定条件!$C$6,"判定不能",IF(AA215&gt;=判定条件!$C$7*Z215,"運転",IF(AA215&lt;=判定条件!$C$8*Z215,"停止","断続")))</f>
        <v>断続</v>
      </c>
      <c r="AC215" s="30" t="n">
        <v>60</v>
      </c>
      <c r="AD215" s="30" t="n">
        <v>0</v>
      </c>
      <c r="AE215" s="30" t="str">
        <f aca="false">IF(AC215&lt;判定条件!$C$6,"判定不能",IF(AD215&gt;=判定条件!$C$7*AC215,"運転",IF(AD215&lt;=判定条件!$C$8*AC215,"停止","断続")))</f>
        <v>停止</v>
      </c>
      <c r="AF215" s="30" t="n">
        <v>60</v>
      </c>
      <c r="AG215" s="30" t="n">
        <v>0</v>
      </c>
      <c r="AH215" s="30" t="str">
        <f aca="false">IF(OR(P215="判定不能",G215="判定不能"),"判定不能",IF(AG215&gt;=判定条件!$C$9,"利用可",IF(AND(P215="停止",G215="停止"),"両方停止","運転がそろわない")))</f>
        <v>運転がそろわない</v>
      </c>
      <c r="AI215" s="30" t="n">
        <v>60</v>
      </c>
      <c r="AJ215" s="30" t="n">
        <v>0</v>
      </c>
      <c r="AK215" s="30" t="str">
        <f aca="false">IF(OR(S215="判定不能",J215="判定不能"),"判定不能",IF(AJ215&gt;=判定条件!$C$9,"利用可",IF(AND(S215="停止",J215="停止"),"両方停止","運転がそろわない")))</f>
        <v>運転がそろわない</v>
      </c>
      <c r="AL215" s="30" t="n">
        <v>60</v>
      </c>
      <c r="AM215" s="30" t="n">
        <v>5</v>
      </c>
      <c r="AN215" s="30" t="str">
        <f aca="false">IF(OR(V215="判定不能",M215="判定不能"),"判定不能",IF(AM215&gt;=判定条件!$C$9,"利用可",IF(AND(V215="停止",M215="停止"),"両方停止","運転がそろわない")))</f>
        <v>運転がそろわない</v>
      </c>
      <c r="AO215" s="30" t="n">
        <v>60</v>
      </c>
      <c r="AP215" s="30" t="n">
        <v>0</v>
      </c>
      <c r="AQ215" s="30" t="str">
        <f aca="false">IF(OR(Y215="判定不能",G215="判定不能"),"判定不能",IF(AP215&gt;=判定条件!$C$9,"利用可",IF(AND(Y215="停止",G215="停止"),"両方停止","運転がそろわない")))</f>
        <v>運転がそろわない</v>
      </c>
      <c r="AR215" s="30" t="n">
        <v>60</v>
      </c>
      <c r="AS215" s="30" t="n">
        <v>28</v>
      </c>
      <c r="AT215" s="30" t="str">
        <f aca="false">IF(OR(AB215="判定不能",J215="判定不能"),"判定不能",IF(AS215&gt;=判定条件!$C$9,"利用可",IF(AND(AB215="停止",J215="停止"),"両方停止","運転がそろわない")))</f>
        <v>運転がそろわない</v>
      </c>
      <c r="AU215" s="30" t="n">
        <v>60</v>
      </c>
      <c r="AV215" s="30" t="n">
        <v>0</v>
      </c>
      <c r="AW215" s="30" t="str">
        <f aca="false">IF(OR(AE215="判定不能",M215="判定不能"),"判定不能",IF(AV215&gt;=判定条件!$C$9,"利用可",IF(AND(AE215="停止",M215="停止"),"両方停止","運転がそろわない")))</f>
        <v>運転がそろわない</v>
      </c>
      <c r="AX215" s="30" t="str">
        <f aca="false">IF(AND(AH215="利用可",AK215="利用可",AN215="利用可"),"利用可","不可")</f>
        <v>不可</v>
      </c>
      <c r="AY215" s="30" t="str">
        <f aca="false">IF(AND(AQ215="利用可",AT215="利用可",AW215="利用可"),"利用可","不可")</f>
        <v>不可</v>
      </c>
    </row>
    <row r="216" customFormat="false" ht="15" hidden="false" customHeight="false" outlineLevel="0" collapsed="false">
      <c r="A216" s="29" t="n">
        <v>46240</v>
      </c>
      <c r="B216" s="30" t="n">
        <v>21</v>
      </c>
      <c r="C216" s="31" t="s">
        <v>61</v>
      </c>
      <c r="D216" s="31" t="s">
        <v>59</v>
      </c>
      <c r="E216" s="30" t="n">
        <v>60</v>
      </c>
      <c r="F216" s="30" t="n">
        <v>0</v>
      </c>
      <c r="G216" s="30" t="str">
        <f aca="false">IF(E216&lt;判定条件!$C$6,"判定不能",IF(F216&gt;=判定条件!$C$7*E216,"運転",IF(F216&lt;=判定条件!$C$8*E216,"停止","断続")))</f>
        <v>停止</v>
      </c>
      <c r="H216" s="30" t="n">
        <v>60</v>
      </c>
      <c r="I216" s="30" t="n">
        <v>0</v>
      </c>
      <c r="J216" s="30" t="str">
        <f aca="false">IF(H216&lt;判定条件!$C$6,"判定不能",IF(I216&gt;=判定条件!$C$7*H216,"運転",IF(I216&lt;=判定条件!$C$8*H216,"停止","断続")))</f>
        <v>停止</v>
      </c>
      <c r="K216" s="30" t="n">
        <v>60</v>
      </c>
      <c r="L216" s="30" t="n">
        <v>60</v>
      </c>
      <c r="M216" s="30" t="str">
        <f aca="false">IF(K216&lt;判定条件!$C$6,"判定不能",IF(L216&gt;=判定条件!$C$7*K216,"運転",IF(L216&lt;=判定条件!$C$8*K216,"停止","断続")))</f>
        <v>運転</v>
      </c>
      <c r="N216" s="30" t="n">
        <v>60</v>
      </c>
      <c r="O216" s="30" t="n">
        <v>0</v>
      </c>
      <c r="P216" s="30" t="str">
        <f aca="false">IF(N216&lt;判定条件!$C$6,"判定不能",IF(O216&gt;=判定条件!$C$7*N216,"運転",IF(O216&lt;=判定条件!$C$8*N216,"停止","断続")))</f>
        <v>停止</v>
      </c>
      <c r="Q216" s="30" t="n">
        <v>60</v>
      </c>
      <c r="R216" s="30" t="n">
        <v>0</v>
      </c>
      <c r="S216" s="30" t="str">
        <f aca="false">IF(Q216&lt;判定条件!$C$6,"判定不能",IF(R216&gt;=判定条件!$C$7*Q216,"運転",IF(R216&lt;=判定条件!$C$8*Q216,"停止","断続")))</f>
        <v>停止</v>
      </c>
      <c r="T216" s="30" t="n">
        <v>60</v>
      </c>
      <c r="U216" s="30" t="n">
        <v>0</v>
      </c>
      <c r="V216" s="30" t="str">
        <f aca="false">IF(T216&lt;判定条件!$C$6,"判定不能",IF(U216&gt;=判定条件!$C$7*T216,"運転",IF(U216&lt;=判定条件!$C$8*T216,"停止","断続")))</f>
        <v>停止</v>
      </c>
      <c r="W216" s="30" t="n">
        <v>60</v>
      </c>
      <c r="X216" s="30" t="n">
        <v>0</v>
      </c>
      <c r="Y216" s="30" t="str">
        <f aca="false">IF(W216&lt;判定条件!$C$6,"判定不能",IF(X216&gt;=判定条件!$C$7*W216,"運転",IF(X216&lt;=判定条件!$C$8*W216,"停止","断続")))</f>
        <v>停止</v>
      </c>
      <c r="Z216" s="30" t="n">
        <v>60</v>
      </c>
      <c r="AA216" s="30" t="n">
        <v>40</v>
      </c>
      <c r="AB216" s="30" t="str">
        <f aca="false">IF(Z216&lt;判定条件!$C$6,"判定不能",IF(AA216&gt;=判定条件!$C$7*Z216,"運転",IF(AA216&lt;=判定条件!$C$8*Z216,"停止","断続")))</f>
        <v>断続</v>
      </c>
      <c r="AC216" s="30" t="n">
        <v>60</v>
      </c>
      <c r="AD216" s="30" t="n">
        <v>0</v>
      </c>
      <c r="AE216" s="30" t="str">
        <f aca="false">IF(AC216&lt;判定条件!$C$6,"判定不能",IF(AD216&gt;=判定条件!$C$7*AC216,"運転",IF(AD216&lt;=判定条件!$C$8*AC216,"停止","断続")))</f>
        <v>停止</v>
      </c>
      <c r="AF216" s="30" t="n">
        <v>60</v>
      </c>
      <c r="AG216" s="30" t="n">
        <v>0</v>
      </c>
      <c r="AH216" s="30" t="str">
        <f aca="false">IF(OR(P216="判定不能",G216="判定不能"),"判定不能",IF(AG216&gt;=判定条件!$C$9,"利用可",IF(AND(P216="停止",G216="停止"),"両方停止","運転がそろわない")))</f>
        <v>両方停止</v>
      </c>
      <c r="AI216" s="30" t="n">
        <v>60</v>
      </c>
      <c r="AJ216" s="30" t="n">
        <v>0</v>
      </c>
      <c r="AK216" s="30" t="str">
        <f aca="false">IF(OR(S216="判定不能",J216="判定不能"),"判定不能",IF(AJ216&gt;=判定条件!$C$9,"利用可",IF(AND(S216="停止",J216="停止"),"両方停止","運転がそろわない")))</f>
        <v>両方停止</v>
      </c>
      <c r="AL216" s="30" t="n">
        <v>60</v>
      </c>
      <c r="AM216" s="30" t="n">
        <v>0</v>
      </c>
      <c r="AN216" s="30" t="str">
        <f aca="false">IF(OR(V216="判定不能",M216="判定不能"),"判定不能",IF(AM216&gt;=判定条件!$C$9,"利用可",IF(AND(V216="停止",M216="停止"),"両方停止","運転がそろわない")))</f>
        <v>運転がそろわない</v>
      </c>
      <c r="AO216" s="30" t="n">
        <v>60</v>
      </c>
      <c r="AP216" s="30" t="n">
        <v>0</v>
      </c>
      <c r="AQ216" s="30" t="str">
        <f aca="false">IF(OR(Y216="判定不能",G216="判定不能"),"判定不能",IF(AP216&gt;=判定条件!$C$9,"利用可",IF(AND(Y216="停止",G216="停止"),"両方停止","運転がそろわない")))</f>
        <v>両方停止</v>
      </c>
      <c r="AR216" s="30" t="n">
        <v>60</v>
      </c>
      <c r="AS216" s="30" t="n">
        <v>0</v>
      </c>
      <c r="AT216" s="30" t="str">
        <f aca="false">IF(OR(AB216="判定不能",J216="判定不能"),"判定不能",IF(AS216&gt;=判定条件!$C$9,"利用可",IF(AND(AB216="停止",J216="停止"),"両方停止","運転がそろわない")))</f>
        <v>運転がそろわない</v>
      </c>
      <c r="AU216" s="30" t="n">
        <v>60</v>
      </c>
      <c r="AV216" s="30" t="n">
        <v>0</v>
      </c>
      <c r="AW216" s="30" t="str">
        <f aca="false">IF(OR(AE216="判定不能",M216="判定不能"),"判定不能",IF(AV216&gt;=判定条件!$C$9,"利用可",IF(AND(AE216="停止",M216="停止"),"両方停止","運転がそろわない")))</f>
        <v>運転がそろわない</v>
      </c>
      <c r="AX216" s="30" t="str">
        <f aca="false">IF(AND(AH216="利用可",AK216="利用可",AN216="利用可"),"利用可","不可")</f>
        <v>不可</v>
      </c>
      <c r="AY216" s="30" t="str">
        <f aca="false">IF(AND(AQ216="利用可",AT216="利用可",AW216="利用可"),"利用可","不可")</f>
        <v>不可</v>
      </c>
    </row>
    <row r="217" customFormat="false" ht="15" hidden="false" customHeight="false" outlineLevel="0" collapsed="false">
      <c r="A217" s="29" t="n">
        <v>46240</v>
      </c>
      <c r="B217" s="30" t="n">
        <v>22</v>
      </c>
      <c r="C217" s="31" t="s">
        <v>61</v>
      </c>
      <c r="D217" s="31" t="s">
        <v>59</v>
      </c>
      <c r="E217" s="30" t="n">
        <v>60</v>
      </c>
      <c r="F217" s="30" t="n">
        <v>0</v>
      </c>
      <c r="G217" s="30" t="str">
        <f aca="false">IF(E217&lt;判定条件!$C$6,"判定不能",IF(F217&gt;=判定条件!$C$7*E217,"運転",IF(F217&lt;=判定条件!$C$8*E217,"停止","断続")))</f>
        <v>停止</v>
      </c>
      <c r="H217" s="30" t="n">
        <v>60</v>
      </c>
      <c r="I217" s="30" t="n">
        <v>0</v>
      </c>
      <c r="J217" s="30" t="str">
        <f aca="false">IF(H217&lt;判定条件!$C$6,"判定不能",IF(I217&gt;=判定条件!$C$7*H217,"運転",IF(I217&lt;=判定条件!$C$8*H217,"停止","断続")))</f>
        <v>停止</v>
      </c>
      <c r="K217" s="30" t="n">
        <v>60</v>
      </c>
      <c r="L217" s="30" t="n">
        <v>60</v>
      </c>
      <c r="M217" s="30" t="str">
        <f aca="false">IF(K217&lt;判定条件!$C$6,"判定不能",IF(L217&gt;=判定条件!$C$7*K217,"運転",IF(L217&lt;=判定条件!$C$8*K217,"停止","断続")))</f>
        <v>運転</v>
      </c>
      <c r="N217" s="30" t="n">
        <v>60</v>
      </c>
      <c r="O217" s="30" t="n">
        <v>0</v>
      </c>
      <c r="P217" s="30" t="str">
        <f aca="false">IF(N217&lt;判定条件!$C$6,"判定不能",IF(O217&gt;=判定条件!$C$7*N217,"運転",IF(O217&lt;=判定条件!$C$8*N217,"停止","断続")))</f>
        <v>停止</v>
      </c>
      <c r="Q217" s="30" t="n">
        <v>60</v>
      </c>
      <c r="R217" s="30" t="n">
        <v>0</v>
      </c>
      <c r="S217" s="30" t="str">
        <f aca="false">IF(Q217&lt;判定条件!$C$6,"判定不能",IF(R217&gt;=判定条件!$C$7*Q217,"運転",IF(R217&lt;=判定条件!$C$8*Q217,"停止","断続")))</f>
        <v>停止</v>
      </c>
      <c r="T217" s="30" t="n">
        <v>60</v>
      </c>
      <c r="U217" s="30" t="n">
        <v>0</v>
      </c>
      <c r="V217" s="30" t="str">
        <f aca="false">IF(T217&lt;判定条件!$C$6,"判定不能",IF(U217&gt;=判定条件!$C$7*T217,"運転",IF(U217&lt;=判定条件!$C$8*T217,"停止","断続")))</f>
        <v>停止</v>
      </c>
      <c r="W217" s="30" t="n">
        <v>60</v>
      </c>
      <c r="X217" s="30" t="n">
        <v>0</v>
      </c>
      <c r="Y217" s="30" t="str">
        <f aca="false">IF(W217&lt;判定条件!$C$6,"判定不能",IF(X217&gt;=判定条件!$C$7*W217,"運転",IF(X217&lt;=判定条件!$C$8*W217,"停止","断続")))</f>
        <v>停止</v>
      </c>
      <c r="Z217" s="30" t="n">
        <v>60</v>
      </c>
      <c r="AA217" s="30" t="n">
        <v>24</v>
      </c>
      <c r="AB217" s="30" t="str">
        <f aca="false">IF(Z217&lt;判定条件!$C$6,"判定不能",IF(AA217&gt;=判定条件!$C$7*Z217,"運転",IF(AA217&lt;=判定条件!$C$8*Z217,"停止","断続")))</f>
        <v>断続</v>
      </c>
      <c r="AC217" s="30" t="n">
        <v>60</v>
      </c>
      <c r="AD217" s="30" t="n">
        <v>0</v>
      </c>
      <c r="AE217" s="30" t="str">
        <f aca="false">IF(AC217&lt;判定条件!$C$6,"判定不能",IF(AD217&gt;=判定条件!$C$7*AC217,"運転",IF(AD217&lt;=判定条件!$C$8*AC217,"停止","断続")))</f>
        <v>停止</v>
      </c>
      <c r="AF217" s="30" t="n">
        <v>60</v>
      </c>
      <c r="AG217" s="30" t="n">
        <v>0</v>
      </c>
      <c r="AH217" s="30" t="str">
        <f aca="false">IF(OR(P217="判定不能",G217="判定不能"),"判定不能",IF(AG217&gt;=判定条件!$C$9,"利用可",IF(AND(P217="停止",G217="停止"),"両方停止","運転がそろわない")))</f>
        <v>両方停止</v>
      </c>
      <c r="AI217" s="30" t="n">
        <v>60</v>
      </c>
      <c r="AJ217" s="30" t="n">
        <v>0</v>
      </c>
      <c r="AK217" s="30" t="str">
        <f aca="false">IF(OR(S217="判定不能",J217="判定不能"),"判定不能",IF(AJ217&gt;=判定条件!$C$9,"利用可",IF(AND(S217="停止",J217="停止"),"両方停止","運転がそろわない")))</f>
        <v>両方停止</v>
      </c>
      <c r="AL217" s="30" t="n">
        <v>60</v>
      </c>
      <c r="AM217" s="30" t="n">
        <v>0</v>
      </c>
      <c r="AN217" s="30" t="str">
        <f aca="false">IF(OR(V217="判定不能",M217="判定不能"),"判定不能",IF(AM217&gt;=判定条件!$C$9,"利用可",IF(AND(V217="停止",M217="停止"),"両方停止","運転がそろわない")))</f>
        <v>運転がそろわない</v>
      </c>
      <c r="AO217" s="30" t="n">
        <v>60</v>
      </c>
      <c r="AP217" s="30" t="n">
        <v>0</v>
      </c>
      <c r="AQ217" s="30" t="str">
        <f aca="false">IF(OR(Y217="判定不能",G217="判定不能"),"判定不能",IF(AP217&gt;=判定条件!$C$9,"利用可",IF(AND(Y217="停止",G217="停止"),"両方停止","運転がそろわない")))</f>
        <v>両方停止</v>
      </c>
      <c r="AR217" s="30" t="n">
        <v>60</v>
      </c>
      <c r="AS217" s="30" t="n">
        <v>0</v>
      </c>
      <c r="AT217" s="30" t="str">
        <f aca="false">IF(OR(AB217="判定不能",J217="判定不能"),"判定不能",IF(AS217&gt;=判定条件!$C$9,"利用可",IF(AND(AB217="停止",J217="停止"),"両方停止","運転がそろわない")))</f>
        <v>運転がそろわない</v>
      </c>
      <c r="AU217" s="30" t="n">
        <v>60</v>
      </c>
      <c r="AV217" s="30" t="n">
        <v>0</v>
      </c>
      <c r="AW217" s="30" t="str">
        <f aca="false">IF(OR(AE217="判定不能",M217="判定不能"),"判定不能",IF(AV217&gt;=判定条件!$C$9,"利用可",IF(AND(AE217="停止",M217="停止"),"両方停止","運転がそろわない")))</f>
        <v>運転がそろわない</v>
      </c>
      <c r="AX217" s="30" t="str">
        <f aca="false">IF(AND(AH217="利用可",AK217="利用可",AN217="利用可"),"利用可","不可")</f>
        <v>不可</v>
      </c>
      <c r="AY217" s="30" t="str">
        <f aca="false">IF(AND(AQ217="利用可",AT217="利用可",AW217="利用可"),"利用可","不可")</f>
        <v>不可</v>
      </c>
    </row>
    <row r="218" customFormat="false" ht="15" hidden="false" customHeight="false" outlineLevel="0" collapsed="false">
      <c r="A218" s="29" t="n">
        <v>46240</v>
      </c>
      <c r="B218" s="30" t="n">
        <v>23</v>
      </c>
      <c r="C218" s="31" t="s">
        <v>61</v>
      </c>
      <c r="D218" s="31" t="s">
        <v>59</v>
      </c>
      <c r="E218" s="30" t="n">
        <v>60</v>
      </c>
      <c r="F218" s="30" t="n">
        <v>0</v>
      </c>
      <c r="G218" s="30" t="str">
        <f aca="false">IF(E218&lt;判定条件!$C$6,"判定不能",IF(F218&gt;=判定条件!$C$7*E218,"運転",IF(F218&lt;=判定条件!$C$8*E218,"停止","断続")))</f>
        <v>停止</v>
      </c>
      <c r="H218" s="30" t="n">
        <v>60</v>
      </c>
      <c r="I218" s="30" t="n">
        <v>0</v>
      </c>
      <c r="J218" s="30" t="str">
        <f aca="false">IF(H218&lt;判定条件!$C$6,"判定不能",IF(I218&gt;=判定条件!$C$7*H218,"運転",IF(I218&lt;=判定条件!$C$8*H218,"停止","断続")))</f>
        <v>停止</v>
      </c>
      <c r="K218" s="30" t="n">
        <v>60</v>
      </c>
      <c r="L218" s="30" t="n">
        <v>60</v>
      </c>
      <c r="M218" s="30" t="str">
        <f aca="false">IF(K218&lt;判定条件!$C$6,"判定不能",IF(L218&gt;=判定条件!$C$7*K218,"運転",IF(L218&lt;=判定条件!$C$8*K218,"停止","断続")))</f>
        <v>運転</v>
      </c>
      <c r="N218" s="30" t="n">
        <v>60</v>
      </c>
      <c r="O218" s="30" t="n">
        <v>0</v>
      </c>
      <c r="P218" s="30" t="str">
        <f aca="false">IF(N218&lt;判定条件!$C$6,"判定不能",IF(O218&gt;=判定条件!$C$7*N218,"運転",IF(O218&lt;=判定条件!$C$8*N218,"停止","断続")))</f>
        <v>停止</v>
      </c>
      <c r="Q218" s="30" t="n">
        <v>60</v>
      </c>
      <c r="R218" s="30" t="n">
        <v>0</v>
      </c>
      <c r="S218" s="30" t="str">
        <f aca="false">IF(Q218&lt;判定条件!$C$6,"判定不能",IF(R218&gt;=判定条件!$C$7*Q218,"運転",IF(R218&lt;=判定条件!$C$8*Q218,"停止","断続")))</f>
        <v>停止</v>
      </c>
      <c r="T218" s="30" t="n">
        <v>60</v>
      </c>
      <c r="U218" s="30" t="n">
        <v>0</v>
      </c>
      <c r="V218" s="30" t="str">
        <f aca="false">IF(T218&lt;判定条件!$C$6,"判定不能",IF(U218&gt;=判定条件!$C$7*T218,"運転",IF(U218&lt;=判定条件!$C$8*T218,"停止","断続")))</f>
        <v>停止</v>
      </c>
      <c r="W218" s="30" t="n">
        <v>60</v>
      </c>
      <c r="X218" s="30" t="n">
        <v>0</v>
      </c>
      <c r="Y218" s="30" t="str">
        <f aca="false">IF(W218&lt;判定条件!$C$6,"判定不能",IF(X218&gt;=判定条件!$C$7*W218,"運転",IF(X218&lt;=判定条件!$C$8*W218,"停止","断続")))</f>
        <v>停止</v>
      </c>
      <c r="Z218" s="30" t="n">
        <v>60</v>
      </c>
      <c r="AA218" s="30" t="n">
        <v>0</v>
      </c>
      <c r="AB218" s="30" t="str">
        <f aca="false">IF(Z218&lt;判定条件!$C$6,"判定不能",IF(AA218&gt;=判定条件!$C$7*Z218,"運転",IF(AA218&lt;=判定条件!$C$8*Z218,"停止","断続")))</f>
        <v>停止</v>
      </c>
      <c r="AC218" s="30" t="n">
        <v>60</v>
      </c>
      <c r="AD218" s="30" t="n">
        <v>0</v>
      </c>
      <c r="AE218" s="30" t="str">
        <f aca="false">IF(AC218&lt;判定条件!$C$6,"判定不能",IF(AD218&gt;=判定条件!$C$7*AC218,"運転",IF(AD218&lt;=判定条件!$C$8*AC218,"停止","断続")))</f>
        <v>停止</v>
      </c>
      <c r="AF218" s="30" t="n">
        <v>60</v>
      </c>
      <c r="AG218" s="30" t="n">
        <v>0</v>
      </c>
      <c r="AH218" s="30" t="str">
        <f aca="false">IF(OR(P218="判定不能",G218="判定不能"),"判定不能",IF(AG218&gt;=判定条件!$C$9,"利用可",IF(AND(P218="停止",G218="停止"),"両方停止","運転がそろわない")))</f>
        <v>両方停止</v>
      </c>
      <c r="AI218" s="30" t="n">
        <v>60</v>
      </c>
      <c r="AJ218" s="30" t="n">
        <v>0</v>
      </c>
      <c r="AK218" s="30" t="str">
        <f aca="false">IF(OR(S218="判定不能",J218="判定不能"),"判定不能",IF(AJ218&gt;=判定条件!$C$9,"利用可",IF(AND(S218="停止",J218="停止"),"両方停止","運転がそろわない")))</f>
        <v>両方停止</v>
      </c>
      <c r="AL218" s="30" t="n">
        <v>60</v>
      </c>
      <c r="AM218" s="30" t="n">
        <v>0</v>
      </c>
      <c r="AN218" s="30" t="str">
        <f aca="false">IF(OR(V218="判定不能",M218="判定不能"),"判定不能",IF(AM218&gt;=判定条件!$C$9,"利用可",IF(AND(V218="停止",M218="停止"),"両方停止","運転がそろわない")))</f>
        <v>運転がそろわない</v>
      </c>
      <c r="AO218" s="30" t="n">
        <v>60</v>
      </c>
      <c r="AP218" s="30" t="n">
        <v>0</v>
      </c>
      <c r="AQ218" s="30" t="str">
        <f aca="false">IF(OR(Y218="判定不能",G218="判定不能"),"判定不能",IF(AP218&gt;=判定条件!$C$9,"利用可",IF(AND(Y218="停止",G218="停止"),"両方停止","運転がそろわない")))</f>
        <v>両方停止</v>
      </c>
      <c r="AR218" s="30" t="n">
        <v>60</v>
      </c>
      <c r="AS218" s="30" t="n">
        <v>0</v>
      </c>
      <c r="AT218" s="30" t="str">
        <f aca="false">IF(OR(AB218="判定不能",J218="判定不能"),"判定不能",IF(AS218&gt;=判定条件!$C$9,"利用可",IF(AND(AB218="停止",J218="停止"),"両方停止","運転がそろわない")))</f>
        <v>両方停止</v>
      </c>
      <c r="AU218" s="30" t="n">
        <v>60</v>
      </c>
      <c r="AV218" s="30" t="n">
        <v>0</v>
      </c>
      <c r="AW218" s="30" t="str">
        <f aca="false">IF(OR(AE218="判定不能",M218="判定不能"),"判定不能",IF(AV218&gt;=判定条件!$C$9,"利用可",IF(AND(AE218="停止",M218="停止"),"両方停止","運転がそろわない")))</f>
        <v>運転がそろわない</v>
      </c>
      <c r="AX218" s="30" t="str">
        <f aca="false">IF(AND(AH218="利用可",AK218="利用可",AN218="利用可"),"利用可","不可")</f>
        <v>不可</v>
      </c>
      <c r="AY218" s="30" t="str">
        <f aca="false">IF(AND(AQ218="利用可",AT218="利用可",AW218="利用可"),"利用可","不可")</f>
        <v>不可</v>
      </c>
    </row>
    <row r="219" customFormat="false" ht="15" hidden="false" customHeight="false" outlineLevel="0" collapsed="false">
      <c r="A219" s="29" t="n">
        <v>46241</v>
      </c>
      <c r="B219" s="30" t="n">
        <v>0</v>
      </c>
      <c r="C219" s="31" t="s">
        <v>62</v>
      </c>
      <c r="D219" s="31" t="s">
        <v>59</v>
      </c>
      <c r="E219" s="30" t="n">
        <v>60</v>
      </c>
      <c r="F219" s="30" t="n">
        <v>0</v>
      </c>
      <c r="G219" s="30" t="str">
        <f aca="false">IF(E219&lt;判定条件!$C$6,"判定不能",IF(F219&gt;=判定条件!$C$7*E219,"運転",IF(F219&lt;=判定条件!$C$8*E219,"停止","断続")))</f>
        <v>停止</v>
      </c>
      <c r="H219" s="30" t="n">
        <v>60</v>
      </c>
      <c r="I219" s="30" t="n">
        <v>0</v>
      </c>
      <c r="J219" s="30" t="str">
        <f aca="false">IF(H219&lt;判定条件!$C$6,"判定不能",IF(I219&gt;=判定条件!$C$7*H219,"運転",IF(I219&lt;=判定条件!$C$8*H219,"停止","断続")))</f>
        <v>停止</v>
      </c>
      <c r="K219" s="30" t="n">
        <v>60</v>
      </c>
      <c r="L219" s="30" t="n">
        <v>60</v>
      </c>
      <c r="M219" s="30" t="str">
        <f aca="false">IF(K219&lt;判定条件!$C$6,"判定不能",IF(L219&gt;=判定条件!$C$7*K219,"運転",IF(L219&lt;=判定条件!$C$8*K219,"停止","断続")))</f>
        <v>運転</v>
      </c>
      <c r="N219" s="30" t="n">
        <v>60</v>
      </c>
      <c r="O219" s="30" t="n">
        <v>0</v>
      </c>
      <c r="P219" s="30" t="str">
        <f aca="false">IF(N219&lt;判定条件!$C$6,"判定不能",IF(O219&gt;=判定条件!$C$7*N219,"運転",IF(O219&lt;=判定条件!$C$8*N219,"停止","断続")))</f>
        <v>停止</v>
      </c>
      <c r="Q219" s="30" t="n">
        <v>60</v>
      </c>
      <c r="R219" s="30" t="n">
        <v>0</v>
      </c>
      <c r="S219" s="30" t="str">
        <f aca="false">IF(Q219&lt;判定条件!$C$6,"判定不能",IF(R219&gt;=判定条件!$C$7*Q219,"運転",IF(R219&lt;=判定条件!$C$8*Q219,"停止","断続")))</f>
        <v>停止</v>
      </c>
      <c r="T219" s="30" t="n">
        <v>60</v>
      </c>
      <c r="U219" s="30" t="n">
        <v>0</v>
      </c>
      <c r="V219" s="30" t="str">
        <f aca="false">IF(T219&lt;判定条件!$C$6,"判定不能",IF(U219&gt;=判定条件!$C$7*T219,"運転",IF(U219&lt;=判定条件!$C$8*T219,"停止","断続")))</f>
        <v>停止</v>
      </c>
      <c r="W219" s="30" t="n">
        <v>60</v>
      </c>
      <c r="X219" s="30" t="n">
        <v>0</v>
      </c>
      <c r="Y219" s="30" t="str">
        <f aca="false">IF(W219&lt;判定条件!$C$6,"判定不能",IF(X219&gt;=判定条件!$C$7*W219,"運転",IF(X219&lt;=判定条件!$C$8*W219,"停止","断続")))</f>
        <v>停止</v>
      </c>
      <c r="Z219" s="30" t="n">
        <v>60</v>
      </c>
      <c r="AA219" s="30" t="n">
        <v>0</v>
      </c>
      <c r="AB219" s="30" t="str">
        <f aca="false">IF(Z219&lt;判定条件!$C$6,"判定不能",IF(AA219&gt;=判定条件!$C$7*Z219,"運転",IF(AA219&lt;=判定条件!$C$8*Z219,"停止","断続")))</f>
        <v>停止</v>
      </c>
      <c r="AC219" s="30" t="n">
        <v>60</v>
      </c>
      <c r="AD219" s="30" t="n">
        <v>0</v>
      </c>
      <c r="AE219" s="30" t="str">
        <f aca="false">IF(AC219&lt;判定条件!$C$6,"判定不能",IF(AD219&gt;=判定条件!$C$7*AC219,"運転",IF(AD219&lt;=判定条件!$C$8*AC219,"停止","断続")))</f>
        <v>停止</v>
      </c>
      <c r="AF219" s="30" t="n">
        <v>60</v>
      </c>
      <c r="AG219" s="30" t="n">
        <v>0</v>
      </c>
      <c r="AH219" s="30" t="str">
        <f aca="false">IF(OR(P219="判定不能",G219="判定不能"),"判定不能",IF(AG219&gt;=判定条件!$C$9,"利用可",IF(AND(P219="停止",G219="停止"),"両方停止","運転がそろわない")))</f>
        <v>両方停止</v>
      </c>
      <c r="AI219" s="30" t="n">
        <v>60</v>
      </c>
      <c r="AJ219" s="30" t="n">
        <v>0</v>
      </c>
      <c r="AK219" s="30" t="str">
        <f aca="false">IF(OR(S219="判定不能",J219="判定不能"),"判定不能",IF(AJ219&gt;=判定条件!$C$9,"利用可",IF(AND(S219="停止",J219="停止"),"両方停止","運転がそろわない")))</f>
        <v>両方停止</v>
      </c>
      <c r="AL219" s="30" t="n">
        <v>60</v>
      </c>
      <c r="AM219" s="30" t="n">
        <v>0</v>
      </c>
      <c r="AN219" s="30" t="str">
        <f aca="false">IF(OR(V219="判定不能",M219="判定不能"),"判定不能",IF(AM219&gt;=判定条件!$C$9,"利用可",IF(AND(V219="停止",M219="停止"),"両方停止","運転がそろわない")))</f>
        <v>運転がそろわない</v>
      </c>
      <c r="AO219" s="30" t="n">
        <v>60</v>
      </c>
      <c r="AP219" s="30" t="n">
        <v>0</v>
      </c>
      <c r="AQ219" s="30" t="str">
        <f aca="false">IF(OR(Y219="判定不能",G219="判定不能"),"判定不能",IF(AP219&gt;=判定条件!$C$9,"利用可",IF(AND(Y219="停止",G219="停止"),"両方停止","運転がそろわない")))</f>
        <v>両方停止</v>
      </c>
      <c r="AR219" s="30" t="n">
        <v>60</v>
      </c>
      <c r="AS219" s="30" t="n">
        <v>0</v>
      </c>
      <c r="AT219" s="30" t="str">
        <f aca="false">IF(OR(AB219="判定不能",J219="判定不能"),"判定不能",IF(AS219&gt;=判定条件!$C$9,"利用可",IF(AND(AB219="停止",J219="停止"),"両方停止","運転がそろわない")))</f>
        <v>両方停止</v>
      </c>
      <c r="AU219" s="30" t="n">
        <v>60</v>
      </c>
      <c r="AV219" s="30" t="n">
        <v>0</v>
      </c>
      <c r="AW219" s="30" t="str">
        <f aca="false">IF(OR(AE219="判定不能",M219="判定不能"),"判定不能",IF(AV219&gt;=判定条件!$C$9,"利用可",IF(AND(AE219="停止",M219="停止"),"両方停止","運転がそろわない")))</f>
        <v>運転がそろわない</v>
      </c>
      <c r="AX219" s="30" t="str">
        <f aca="false">IF(AND(AH219="利用可",AK219="利用可",AN219="利用可"),"利用可","不可")</f>
        <v>不可</v>
      </c>
      <c r="AY219" s="30" t="str">
        <f aca="false">IF(AND(AQ219="利用可",AT219="利用可",AW219="利用可"),"利用可","不可")</f>
        <v>不可</v>
      </c>
    </row>
    <row r="220" customFormat="false" ht="15" hidden="false" customHeight="false" outlineLevel="0" collapsed="false">
      <c r="A220" s="29" t="n">
        <v>46241</v>
      </c>
      <c r="B220" s="30" t="n">
        <v>1</v>
      </c>
      <c r="C220" s="31" t="s">
        <v>62</v>
      </c>
      <c r="D220" s="31" t="s">
        <v>59</v>
      </c>
      <c r="E220" s="30" t="n">
        <v>60</v>
      </c>
      <c r="F220" s="30" t="n">
        <v>0</v>
      </c>
      <c r="G220" s="30" t="str">
        <f aca="false">IF(E220&lt;判定条件!$C$6,"判定不能",IF(F220&gt;=判定条件!$C$7*E220,"運転",IF(F220&lt;=判定条件!$C$8*E220,"停止","断続")))</f>
        <v>停止</v>
      </c>
      <c r="H220" s="30" t="n">
        <v>60</v>
      </c>
      <c r="I220" s="30" t="n">
        <v>0</v>
      </c>
      <c r="J220" s="30" t="str">
        <f aca="false">IF(H220&lt;判定条件!$C$6,"判定不能",IF(I220&gt;=判定条件!$C$7*H220,"運転",IF(I220&lt;=判定条件!$C$8*H220,"停止","断続")))</f>
        <v>停止</v>
      </c>
      <c r="K220" s="30" t="n">
        <v>60</v>
      </c>
      <c r="L220" s="30" t="n">
        <v>60</v>
      </c>
      <c r="M220" s="30" t="str">
        <f aca="false">IF(K220&lt;判定条件!$C$6,"判定不能",IF(L220&gt;=判定条件!$C$7*K220,"運転",IF(L220&lt;=判定条件!$C$8*K220,"停止","断続")))</f>
        <v>運転</v>
      </c>
      <c r="N220" s="30" t="n">
        <v>60</v>
      </c>
      <c r="O220" s="30" t="n">
        <v>0</v>
      </c>
      <c r="P220" s="30" t="str">
        <f aca="false">IF(N220&lt;判定条件!$C$6,"判定不能",IF(O220&gt;=判定条件!$C$7*N220,"運転",IF(O220&lt;=判定条件!$C$8*N220,"停止","断続")))</f>
        <v>停止</v>
      </c>
      <c r="Q220" s="30" t="n">
        <v>60</v>
      </c>
      <c r="R220" s="30" t="n">
        <v>0</v>
      </c>
      <c r="S220" s="30" t="str">
        <f aca="false">IF(Q220&lt;判定条件!$C$6,"判定不能",IF(R220&gt;=判定条件!$C$7*Q220,"運転",IF(R220&lt;=判定条件!$C$8*Q220,"停止","断続")))</f>
        <v>停止</v>
      </c>
      <c r="T220" s="30" t="n">
        <v>60</v>
      </c>
      <c r="U220" s="30" t="n">
        <v>0</v>
      </c>
      <c r="V220" s="30" t="str">
        <f aca="false">IF(T220&lt;判定条件!$C$6,"判定不能",IF(U220&gt;=判定条件!$C$7*T220,"運転",IF(U220&lt;=判定条件!$C$8*T220,"停止","断続")))</f>
        <v>停止</v>
      </c>
      <c r="W220" s="30" t="n">
        <v>60</v>
      </c>
      <c r="X220" s="30" t="n">
        <v>0</v>
      </c>
      <c r="Y220" s="30" t="str">
        <f aca="false">IF(W220&lt;判定条件!$C$6,"判定不能",IF(X220&gt;=判定条件!$C$7*W220,"運転",IF(X220&lt;=判定条件!$C$8*W220,"停止","断続")))</f>
        <v>停止</v>
      </c>
      <c r="Z220" s="30" t="n">
        <v>60</v>
      </c>
      <c r="AA220" s="30" t="n">
        <v>0</v>
      </c>
      <c r="AB220" s="30" t="str">
        <f aca="false">IF(Z220&lt;判定条件!$C$6,"判定不能",IF(AA220&gt;=判定条件!$C$7*Z220,"運転",IF(AA220&lt;=判定条件!$C$8*Z220,"停止","断続")))</f>
        <v>停止</v>
      </c>
      <c r="AC220" s="30" t="n">
        <v>60</v>
      </c>
      <c r="AD220" s="30" t="n">
        <v>0</v>
      </c>
      <c r="AE220" s="30" t="str">
        <f aca="false">IF(AC220&lt;判定条件!$C$6,"判定不能",IF(AD220&gt;=判定条件!$C$7*AC220,"運転",IF(AD220&lt;=判定条件!$C$8*AC220,"停止","断続")))</f>
        <v>停止</v>
      </c>
      <c r="AF220" s="30" t="n">
        <v>60</v>
      </c>
      <c r="AG220" s="30" t="n">
        <v>0</v>
      </c>
      <c r="AH220" s="30" t="str">
        <f aca="false">IF(OR(P220="判定不能",G220="判定不能"),"判定不能",IF(AG220&gt;=判定条件!$C$9,"利用可",IF(AND(P220="停止",G220="停止"),"両方停止","運転がそろわない")))</f>
        <v>両方停止</v>
      </c>
      <c r="AI220" s="30" t="n">
        <v>60</v>
      </c>
      <c r="AJ220" s="30" t="n">
        <v>0</v>
      </c>
      <c r="AK220" s="30" t="str">
        <f aca="false">IF(OR(S220="判定不能",J220="判定不能"),"判定不能",IF(AJ220&gt;=判定条件!$C$9,"利用可",IF(AND(S220="停止",J220="停止"),"両方停止","運転がそろわない")))</f>
        <v>両方停止</v>
      </c>
      <c r="AL220" s="30" t="n">
        <v>60</v>
      </c>
      <c r="AM220" s="30" t="n">
        <v>0</v>
      </c>
      <c r="AN220" s="30" t="str">
        <f aca="false">IF(OR(V220="判定不能",M220="判定不能"),"判定不能",IF(AM220&gt;=判定条件!$C$9,"利用可",IF(AND(V220="停止",M220="停止"),"両方停止","運転がそろわない")))</f>
        <v>運転がそろわない</v>
      </c>
      <c r="AO220" s="30" t="n">
        <v>60</v>
      </c>
      <c r="AP220" s="30" t="n">
        <v>0</v>
      </c>
      <c r="AQ220" s="30" t="str">
        <f aca="false">IF(OR(Y220="判定不能",G220="判定不能"),"判定不能",IF(AP220&gt;=判定条件!$C$9,"利用可",IF(AND(Y220="停止",G220="停止"),"両方停止","運転がそろわない")))</f>
        <v>両方停止</v>
      </c>
      <c r="AR220" s="30" t="n">
        <v>60</v>
      </c>
      <c r="AS220" s="30" t="n">
        <v>0</v>
      </c>
      <c r="AT220" s="30" t="str">
        <f aca="false">IF(OR(AB220="判定不能",J220="判定不能"),"判定不能",IF(AS220&gt;=判定条件!$C$9,"利用可",IF(AND(AB220="停止",J220="停止"),"両方停止","運転がそろわない")))</f>
        <v>両方停止</v>
      </c>
      <c r="AU220" s="30" t="n">
        <v>60</v>
      </c>
      <c r="AV220" s="30" t="n">
        <v>0</v>
      </c>
      <c r="AW220" s="30" t="str">
        <f aca="false">IF(OR(AE220="判定不能",M220="判定不能"),"判定不能",IF(AV220&gt;=判定条件!$C$9,"利用可",IF(AND(AE220="停止",M220="停止"),"両方停止","運転がそろわない")))</f>
        <v>運転がそろわない</v>
      </c>
      <c r="AX220" s="30" t="str">
        <f aca="false">IF(AND(AH220="利用可",AK220="利用可",AN220="利用可"),"利用可","不可")</f>
        <v>不可</v>
      </c>
      <c r="AY220" s="30" t="str">
        <f aca="false">IF(AND(AQ220="利用可",AT220="利用可",AW220="利用可"),"利用可","不可")</f>
        <v>不可</v>
      </c>
    </row>
    <row r="221" customFormat="false" ht="15" hidden="false" customHeight="false" outlineLevel="0" collapsed="false">
      <c r="A221" s="29" t="n">
        <v>46241</v>
      </c>
      <c r="B221" s="30" t="n">
        <v>2</v>
      </c>
      <c r="C221" s="31" t="s">
        <v>62</v>
      </c>
      <c r="D221" s="31" t="s">
        <v>59</v>
      </c>
      <c r="E221" s="30" t="n">
        <v>60</v>
      </c>
      <c r="F221" s="30" t="n">
        <v>0</v>
      </c>
      <c r="G221" s="30" t="str">
        <f aca="false">IF(E221&lt;判定条件!$C$6,"判定不能",IF(F221&gt;=判定条件!$C$7*E221,"運転",IF(F221&lt;=判定条件!$C$8*E221,"停止","断続")))</f>
        <v>停止</v>
      </c>
      <c r="H221" s="30" t="n">
        <v>60</v>
      </c>
      <c r="I221" s="30" t="n">
        <v>0</v>
      </c>
      <c r="J221" s="30" t="str">
        <f aca="false">IF(H221&lt;判定条件!$C$6,"判定不能",IF(I221&gt;=判定条件!$C$7*H221,"運転",IF(I221&lt;=判定条件!$C$8*H221,"停止","断続")))</f>
        <v>停止</v>
      </c>
      <c r="K221" s="30" t="n">
        <v>60</v>
      </c>
      <c r="L221" s="30" t="n">
        <v>60</v>
      </c>
      <c r="M221" s="30" t="str">
        <f aca="false">IF(K221&lt;判定条件!$C$6,"判定不能",IF(L221&gt;=判定条件!$C$7*K221,"運転",IF(L221&lt;=判定条件!$C$8*K221,"停止","断続")))</f>
        <v>運転</v>
      </c>
      <c r="N221" s="30" t="n">
        <v>60</v>
      </c>
      <c r="O221" s="30" t="n">
        <v>0</v>
      </c>
      <c r="P221" s="30" t="str">
        <f aca="false">IF(N221&lt;判定条件!$C$6,"判定不能",IF(O221&gt;=判定条件!$C$7*N221,"運転",IF(O221&lt;=判定条件!$C$8*N221,"停止","断続")))</f>
        <v>停止</v>
      </c>
      <c r="Q221" s="30" t="n">
        <v>60</v>
      </c>
      <c r="R221" s="30" t="n">
        <v>0</v>
      </c>
      <c r="S221" s="30" t="str">
        <f aca="false">IF(Q221&lt;判定条件!$C$6,"判定不能",IF(R221&gt;=判定条件!$C$7*Q221,"運転",IF(R221&lt;=判定条件!$C$8*Q221,"停止","断続")))</f>
        <v>停止</v>
      </c>
      <c r="T221" s="30" t="n">
        <v>60</v>
      </c>
      <c r="U221" s="30" t="n">
        <v>0</v>
      </c>
      <c r="V221" s="30" t="str">
        <f aca="false">IF(T221&lt;判定条件!$C$6,"判定不能",IF(U221&gt;=判定条件!$C$7*T221,"運転",IF(U221&lt;=判定条件!$C$8*T221,"停止","断続")))</f>
        <v>停止</v>
      </c>
      <c r="W221" s="30" t="n">
        <v>60</v>
      </c>
      <c r="X221" s="30" t="n">
        <v>0</v>
      </c>
      <c r="Y221" s="30" t="str">
        <f aca="false">IF(W221&lt;判定条件!$C$6,"判定不能",IF(X221&gt;=判定条件!$C$7*W221,"運転",IF(X221&lt;=判定条件!$C$8*W221,"停止","断続")))</f>
        <v>停止</v>
      </c>
      <c r="Z221" s="30" t="n">
        <v>60</v>
      </c>
      <c r="AA221" s="30" t="n">
        <v>0</v>
      </c>
      <c r="AB221" s="30" t="str">
        <f aca="false">IF(Z221&lt;判定条件!$C$6,"判定不能",IF(AA221&gt;=判定条件!$C$7*Z221,"運転",IF(AA221&lt;=判定条件!$C$8*Z221,"停止","断続")))</f>
        <v>停止</v>
      </c>
      <c r="AC221" s="30" t="n">
        <v>60</v>
      </c>
      <c r="AD221" s="30" t="n">
        <v>0</v>
      </c>
      <c r="AE221" s="30" t="str">
        <f aca="false">IF(AC221&lt;判定条件!$C$6,"判定不能",IF(AD221&gt;=判定条件!$C$7*AC221,"運転",IF(AD221&lt;=判定条件!$C$8*AC221,"停止","断続")))</f>
        <v>停止</v>
      </c>
      <c r="AF221" s="30" t="n">
        <v>60</v>
      </c>
      <c r="AG221" s="30" t="n">
        <v>0</v>
      </c>
      <c r="AH221" s="30" t="str">
        <f aca="false">IF(OR(P221="判定不能",G221="判定不能"),"判定不能",IF(AG221&gt;=判定条件!$C$9,"利用可",IF(AND(P221="停止",G221="停止"),"両方停止","運転がそろわない")))</f>
        <v>両方停止</v>
      </c>
      <c r="AI221" s="30" t="n">
        <v>60</v>
      </c>
      <c r="AJ221" s="30" t="n">
        <v>0</v>
      </c>
      <c r="AK221" s="30" t="str">
        <f aca="false">IF(OR(S221="判定不能",J221="判定不能"),"判定不能",IF(AJ221&gt;=判定条件!$C$9,"利用可",IF(AND(S221="停止",J221="停止"),"両方停止","運転がそろわない")))</f>
        <v>両方停止</v>
      </c>
      <c r="AL221" s="30" t="n">
        <v>60</v>
      </c>
      <c r="AM221" s="30" t="n">
        <v>0</v>
      </c>
      <c r="AN221" s="30" t="str">
        <f aca="false">IF(OR(V221="判定不能",M221="判定不能"),"判定不能",IF(AM221&gt;=判定条件!$C$9,"利用可",IF(AND(V221="停止",M221="停止"),"両方停止","運転がそろわない")))</f>
        <v>運転がそろわない</v>
      </c>
      <c r="AO221" s="30" t="n">
        <v>60</v>
      </c>
      <c r="AP221" s="30" t="n">
        <v>0</v>
      </c>
      <c r="AQ221" s="30" t="str">
        <f aca="false">IF(OR(Y221="判定不能",G221="判定不能"),"判定不能",IF(AP221&gt;=判定条件!$C$9,"利用可",IF(AND(Y221="停止",G221="停止"),"両方停止","運転がそろわない")))</f>
        <v>両方停止</v>
      </c>
      <c r="AR221" s="30" t="n">
        <v>60</v>
      </c>
      <c r="AS221" s="30" t="n">
        <v>0</v>
      </c>
      <c r="AT221" s="30" t="str">
        <f aca="false">IF(OR(AB221="判定不能",J221="判定不能"),"判定不能",IF(AS221&gt;=判定条件!$C$9,"利用可",IF(AND(AB221="停止",J221="停止"),"両方停止","運転がそろわない")))</f>
        <v>両方停止</v>
      </c>
      <c r="AU221" s="30" t="n">
        <v>60</v>
      </c>
      <c r="AV221" s="30" t="n">
        <v>0</v>
      </c>
      <c r="AW221" s="30" t="str">
        <f aca="false">IF(OR(AE221="判定不能",M221="判定不能"),"判定不能",IF(AV221&gt;=判定条件!$C$9,"利用可",IF(AND(AE221="停止",M221="停止"),"両方停止","運転がそろわない")))</f>
        <v>運転がそろわない</v>
      </c>
      <c r="AX221" s="30" t="str">
        <f aca="false">IF(AND(AH221="利用可",AK221="利用可",AN221="利用可"),"利用可","不可")</f>
        <v>不可</v>
      </c>
      <c r="AY221" s="30" t="str">
        <f aca="false">IF(AND(AQ221="利用可",AT221="利用可",AW221="利用可"),"利用可","不可")</f>
        <v>不可</v>
      </c>
    </row>
    <row r="222" customFormat="false" ht="15" hidden="false" customHeight="false" outlineLevel="0" collapsed="false">
      <c r="A222" s="29" t="n">
        <v>46241</v>
      </c>
      <c r="B222" s="30" t="n">
        <v>3</v>
      </c>
      <c r="C222" s="31" t="s">
        <v>62</v>
      </c>
      <c r="D222" s="31" t="s">
        <v>59</v>
      </c>
      <c r="E222" s="30" t="n">
        <v>60</v>
      </c>
      <c r="F222" s="30" t="n">
        <v>0</v>
      </c>
      <c r="G222" s="30" t="str">
        <f aca="false">IF(E222&lt;判定条件!$C$6,"判定不能",IF(F222&gt;=判定条件!$C$7*E222,"運転",IF(F222&lt;=判定条件!$C$8*E222,"停止","断続")))</f>
        <v>停止</v>
      </c>
      <c r="H222" s="30" t="n">
        <v>60</v>
      </c>
      <c r="I222" s="30" t="n">
        <v>0</v>
      </c>
      <c r="J222" s="30" t="str">
        <f aca="false">IF(H222&lt;判定条件!$C$6,"判定不能",IF(I222&gt;=判定条件!$C$7*H222,"運転",IF(I222&lt;=判定条件!$C$8*H222,"停止","断続")))</f>
        <v>停止</v>
      </c>
      <c r="K222" s="30" t="n">
        <v>60</v>
      </c>
      <c r="L222" s="30" t="n">
        <v>60</v>
      </c>
      <c r="M222" s="30" t="str">
        <f aca="false">IF(K222&lt;判定条件!$C$6,"判定不能",IF(L222&gt;=判定条件!$C$7*K222,"運転",IF(L222&lt;=判定条件!$C$8*K222,"停止","断続")))</f>
        <v>運転</v>
      </c>
      <c r="N222" s="30" t="n">
        <v>60</v>
      </c>
      <c r="O222" s="30" t="n">
        <v>0</v>
      </c>
      <c r="P222" s="30" t="str">
        <f aca="false">IF(N222&lt;判定条件!$C$6,"判定不能",IF(O222&gt;=判定条件!$C$7*N222,"運転",IF(O222&lt;=判定条件!$C$8*N222,"停止","断続")))</f>
        <v>停止</v>
      </c>
      <c r="Q222" s="30" t="n">
        <v>60</v>
      </c>
      <c r="R222" s="30" t="n">
        <v>0</v>
      </c>
      <c r="S222" s="30" t="str">
        <f aca="false">IF(Q222&lt;判定条件!$C$6,"判定不能",IF(R222&gt;=判定条件!$C$7*Q222,"運転",IF(R222&lt;=判定条件!$C$8*Q222,"停止","断続")))</f>
        <v>停止</v>
      </c>
      <c r="T222" s="30" t="n">
        <v>60</v>
      </c>
      <c r="U222" s="30" t="n">
        <v>0</v>
      </c>
      <c r="V222" s="30" t="str">
        <f aca="false">IF(T222&lt;判定条件!$C$6,"判定不能",IF(U222&gt;=判定条件!$C$7*T222,"運転",IF(U222&lt;=判定条件!$C$8*T222,"停止","断続")))</f>
        <v>停止</v>
      </c>
      <c r="W222" s="30" t="n">
        <v>60</v>
      </c>
      <c r="X222" s="30" t="n">
        <v>0</v>
      </c>
      <c r="Y222" s="30" t="str">
        <f aca="false">IF(W222&lt;判定条件!$C$6,"判定不能",IF(X222&gt;=判定条件!$C$7*W222,"運転",IF(X222&lt;=判定条件!$C$8*W222,"停止","断続")))</f>
        <v>停止</v>
      </c>
      <c r="Z222" s="30" t="n">
        <v>60</v>
      </c>
      <c r="AA222" s="30" t="n">
        <v>0</v>
      </c>
      <c r="AB222" s="30" t="str">
        <f aca="false">IF(Z222&lt;判定条件!$C$6,"判定不能",IF(AA222&gt;=判定条件!$C$7*Z222,"運転",IF(AA222&lt;=判定条件!$C$8*Z222,"停止","断続")))</f>
        <v>停止</v>
      </c>
      <c r="AC222" s="30" t="n">
        <v>60</v>
      </c>
      <c r="AD222" s="30" t="n">
        <v>0</v>
      </c>
      <c r="AE222" s="30" t="str">
        <f aca="false">IF(AC222&lt;判定条件!$C$6,"判定不能",IF(AD222&gt;=判定条件!$C$7*AC222,"運転",IF(AD222&lt;=判定条件!$C$8*AC222,"停止","断続")))</f>
        <v>停止</v>
      </c>
      <c r="AF222" s="30" t="n">
        <v>60</v>
      </c>
      <c r="AG222" s="30" t="n">
        <v>0</v>
      </c>
      <c r="AH222" s="30" t="str">
        <f aca="false">IF(OR(P222="判定不能",G222="判定不能"),"判定不能",IF(AG222&gt;=判定条件!$C$9,"利用可",IF(AND(P222="停止",G222="停止"),"両方停止","運転がそろわない")))</f>
        <v>両方停止</v>
      </c>
      <c r="AI222" s="30" t="n">
        <v>60</v>
      </c>
      <c r="AJ222" s="30" t="n">
        <v>0</v>
      </c>
      <c r="AK222" s="30" t="str">
        <f aca="false">IF(OR(S222="判定不能",J222="判定不能"),"判定不能",IF(AJ222&gt;=判定条件!$C$9,"利用可",IF(AND(S222="停止",J222="停止"),"両方停止","運転がそろわない")))</f>
        <v>両方停止</v>
      </c>
      <c r="AL222" s="30" t="n">
        <v>60</v>
      </c>
      <c r="AM222" s="30" t="n">
        <v>0</v>
      </c>
      <c r="AN222" s="30" t="str">
        <f aca="false">IF(OR(V222="判定不能",M222="判定不能"),"判定不能",IF(AM222&gt;=判定条件!$C$9,"利用可",IF(AND(V222="停止",M222="停止"),"両方停止","運転がそろわない")))</f>
        <v>運転がそろわない</v>
      </c>
      <c r="AO222" s="30" t="n">
        <v>60</v>
      </c>
      <c r="AP222" s="30" t="n">
        <v>0</v>
      </c>
      <c r="AQ222" s="30" t="str">
        <f aca="false">IF(OR(Y222="判定不能",G222="判定不能"),"判定不能",IF(AP222&gt;=判定条件!$C$9,"利用可",IF(AND(Y222="停止",G222="停止"),"両方停止","運転がそろわない")))</f>
        <v>両方停止</v>
      </c>
      <c r="AR222" s="30" t="n">
        <v>60</v>
      </c>
      <c r="AS222" s="30" t="n">
        <v>0</v>
      </c>
      <c r="AT222" s="30" t="str">
        <f aca="false">IF(OR(AB222="判定不能",J222="判定不能"),"判定不能",IF(AS222&gt;=判定条件!$C$9,"利用可",IF(AND(AB222="停止",J222="停止"),"両方停止","運転がそろわない")))</f>
        <v>両方停止</v>
      </c>
      <c r="AU222" s="30" t="n">
        <v>60</v>
      </c>
      <c r="AV222" s="30" t="n">
        <v>0</v>
      </c>
      <c r="AW222" s="30" t="str">
        <f aca="false">IF(OR(AE222="判定不能",M222="判定不能"),"判定不能",IF(AV222&gt;=判定条件!$C$9,"利用可",IF(AND(AE222="停止",M222="停止"),"両方停止","運転がそろわない")))</f>
        <v>運転がそろわない</v>
      </c>
      <c r="AX222" s="30" t="str">
        <f aca="false">IF(AND(AH222="利用可",AK222="利用可",AN222="利用可"),"利用可","不可")</f>
        <v>不可</v>
      </c>
      <c r="AY222" s="30" t="str">
        <f aca="false">IF(AND(AQ222="利用可",AT222="利用可",AW222="利用可"),"利用可","不可")</f>
        <v>不可</v>
      </c>
    </row>
    <row r="223" customFormat="false" ht="15" hidden="false" customHeight="false" outlineLevel="0" collapsed="false">
      <c r="A223" s="29" t="n">
        <v>46241</v>
      </c>
      <c r="B223" s="30" t="n">
        <v>4</v>
      </c>
      <c r="C223" s="31" t="s">
        <v>62</v>
      </c>
      <c r="D223" s="31" t="s">
        <v>59</v>
      </c>
      <c r="E223" s="30" t="n">
        <v>60</v>
      </c>
      <c r="F223" s="30" t="n">
        <v>0</v>
      </c>
      <c r="G223" s="30" t="str">
        <f aca="false">IF(E223&lt;判定条件!$C$6,"判定不能",IF(F223&gt;=判定条件!$C$7*E223,"運転",IF(F223&lt;=判定条件!$C$8*E223,"停止","断続")))</f>
        <v>停止</v>
      </c>
      <c r="H223" s="30" t="n">
        <v>60</v>
      </c>
      <c r="I223" s="30" t="n">
        <v>0</v>
      </c>
      <c r="J223" s="30" t="str">
        <f aca="false">IF(H223&lt;判定条件!$C$6,"判定不能",IF(I223&gt;=判定条件!$C$7*H223,"運転",IF(I223&lt;=判定条件!$C$8*H223,"停止","断続")))</f>
        <v>停止</v>
      </c>
      <c r="K223" s="30" t="n">
        <v>60</v>
      </c>
      <c r="L223" s="30" t="n">
        <v>60</v>
      </c>
      <c r="M223" s="30" t="str">
        <f aca="false">IF(K223&lt;判定条件!$C$6,"判定不能",IF(L223&gt;=判定条件!$C$7*K223,"運転",IF(L223&lt;=判定条件!$C$8*K223,"停止","断続")))</f>
        <v>運転</v>
      </c>
      <c r="N223" s="30" t="n">
        <v>60</v>
      </c>
      <c r="O223" s="30" t="n">
        <v>0</v>
      </c>
      <c r="P223" s="30" t="str">
        <f aca="false">IF(N223&lt;判定条件!$C$6,"判定不能",IF(O223&gt;=判定条件!$C$7*N223,"運転",IF(O223&lt;=判定条件!$C$8*N223,"停止","断続")))</f>
        <v>停止</v>
      </c>
      <c r="Q223" s="30" t="n">
        <v>60</v>
      </c>
      <c r="R223" s="30" t="n">
        <v>0</v>
      </c>
      <c r="S223" s="30" t="str">
        <f aca="false">IF(Q223&lt;判定条件!$C$6,"判定不能",IF(R223&gt;=判定条件!$C$7*Q223,"運転",IF(R223&lt;=判定条件!$C$8*Q223,"停止","断続")))</f>
        <v>停止</v>
      </c>
      <c r="T223" s="30" t="n">
        <v>60</v>
      </c>
      <c r="U223" s="30" t="n">
        <v>0</v>
      </c>
      <c r="V223" s="30" t="str">
        <f aca="false">IF(T223&lt;判定条件!$C$6,"判定不能",IF(U223&gt;=判定条件!$C$7*T223,"運転",IF(U223&lt;=判定条件!$C$8*T223,"停止","断続")))</f>
        <v>停止</v>
      </c>
      <c r="W223" s="30" t="n">
        <v>60</v>
      </c>
      <c r="X223" s="30" t="n">
        <v>0</v>
      </c>
      <c r="Y223" s="30" t="str">
        <f aca="false">IF(W223&lt;判定条件!$C$6,"判定不能",IF(X223&gt;=判定条件!$C$7*W223,"運転",IF(X223&lt;=判定条件!$C$8*W223,"停止","断続")))</f>
        <v>停止</v>
      </c>
      <c r="Z223" s="30" t="n">
        <v>60</v>
      </c>
      <c r="AA223" s="30" t="n">
        <v>0</v>
      </c>
      <c r="AB223" s="30" t="str">
        <f aca="false">IF(Z223&lt;判定条件!$C$6,"判定不能",IF(AA223&gt;=判定条件!$C$7*Z223,"運転",IF(AA223&lt;=判定条件!$C$8*Z223,"停止","断続")))</f>
        <v>停止</v>
      </c>
      <c r="AC223" s="30" t="n">
        <v>60</v>
      </c>
      <c r="AD223" s="30" t="n">
        <v>0</v>
      </c>
      <c r="AE223" s="30" t="str">
        <f aca="false">IF(AC223&lt;判定条件!$C$6,"判定不能",IF(AD223&gt;=判定条件!$C$7*AC223,"運転",IF(AD223&lt;=判定条件!$C$8*AC223,"停止","断続")))</f>
        <v>停止</v>
      </c>
      <c r="AF223" s="30" t="n">
        <v>60</v>
      </c>
      <c r="AG223" s="30" t="n">
        <v>0</v>
      </c>
      <c r="AH223" s="30" t="str">
        <f aca="false">IF(OR(P223="判定不能",G223="判定不能"),"判定不能",IF(AG223&gt;=判定条件!$C$9,"利用可",IF(AND(P223="停止",G223="停止"),"両方停止","運転がそろわない")))</f>
        <v>両方停止</v>
      </c>
      <c r="AI223" s="30" t="n">
        <v>60</v>
      </c>
      <c r="AJ223" s="30" t="n">
        <v>0</v>
      </c>
      <c r="AK223" s="30" t="str">
        <f aca="false">IF(OR(S223="判定不能",J223="判定不能"),"判定不能",IF(AJ223&gt;=判定条件!$C$9,"利用可",IF(AND(S223="停止",J223="停止"),"両方停止","運転がそろわない")))</f>
        <v>両方停止</v>
      </c>
      <c r="AL223" s="30" t="n">
        <v>60</v>
      </c>
      <c r="AM223" s="30" t="n">
        <v>0</v>
      </c>
      <c r="AN223" s="30" t="str">
        <f aca="false">IF(OR(V223="判定不能",M223="判定不能"),"判定不能",IF(AM223&gt;=判定条件!$C$9,"利用可",IF(AND(V223="停止",M223="停止"),"両方停止","運転がそろわない")))</f>
        <v>運転がそろわない</v>
      </c>
      <c r="AO223" s="30" t="n">
        <v>60</v>
      </c>
      <c r="AP223" s="30" t="n">
        <v>0</v>
      </c>
      <c r="AQ223" s="30" t="str">
        <f aca="false">IF(OR(Y223="判定不能",G223="判定不能"),"判定不能",IF(AP223&gt;=判定条件!$C$9,"利用可",IF(AND(Y223="停止",G223="停止"),"両方停止","運転がそろわない")))</f>
        <v>両方停止</v>
      </c>
      <c r="AR223" s="30" t="n">
        <v>60</v>
      </c>
      <c r="AS223" s="30" t="n">
        <v>0</v>
      </c>
      <c r="AT223" s="30" t="str">
        <f aca="false">IF(OR(AB223="判定不能",J223="判定不能"),"判定不能",IF(AS223&gt;=判定条件!$C$9,"利用可",IF(AND(AB223="停止",J223="停止"),"両方停止","運転がそろわない")))</f>
        <v>両方停止</v>
      </c>
      <c r="AU223" s="30" t="n">
        <v>60</v>
      </c>
      <c r="AV223" s="30" t="n">
        <v>0</v>
      </c>
      <c r="AW223" s="30" t="str">
        <f aca="false">IF(OR(AE223="判定不能",M223="判定不能"),"判定不能",IF(AV223&gt;=判定条件!$C$9,"利用可",IF(AND(AE223="停止",M223="停止"),"両方停止","運転がそろわない")))</f>
        <v>運転がそろわない</v>
      </c>
      <c r="AX223" s="30" t="str">
        <f aca="false">IF(AND(AH223="利用可",AK223="利用可",AN223="利用可"),"利用可","不可")</f>
        <v>不可</v>
      </c>
      <c r="AY223" s="30" t="str">
        <f aca="false">IF(AND(AQ223="利用可",AT223="利用可",AW223="利用可"),"利用可","不可")</f>
        <v>不可</v>
      </c>
    </row>
    <row r="224" customFormat="false" ht="15" hidden="false" customHeight="false" outlineLevel="0" collapsed="false">
      <c r="A224" s="29" t="n">
        <v>46241</v>
      </c>
      <c r="B224" s="30" t="n">
        <v>5</v>
      </c>
      <c r="C224" s="31" t="s">
        <v>62</v>
      </c>
      <c r="D224" s="31" t="s">
        <v>59</v>
      </c>
      <c r="E224" s="30" t="n">
        <v>60</v>
      </c>
      <c r="F224" s="30" t="n">
        <v>0</v>
      </c>
      <c r="G224" s="30" t="str">
        <f aca="false">IF(E224&lt;判定条件!$C$6,"判定不能",IF(F224&gt;=判定条件!$C$7*E224,"運転",IF(F224&lt;=判定条件!$C$8*E224,"停止","断続")))</f>
        <v>停止</v>
      </c>
      <c r="H224" s="30" t="n">
        <v>60</v>
      </c>
      <c r="I224" s="30" t="n">
        <v>0</v>
      </c>
      <c r="J224" s="30" t="str">
        <f aca="false">IF(H224&lt;判定条件!$C$6,"判定不能",IF(I224&gt;=判定条件!$C$7*H224,"運転",IF(I224&lt;=判定条件!$C$8*H224,"停止","断続")))</f>
        <v>停止</v>
      </c>
      <c r="K224" s="30" t="n">
        <v>60</v>
      </c>
      <c r="L224" s="30" t="n">
        <v>60</v>
      </c>
      <c r="M224" s="30" t="str">
        <f aca="false">IF(K224&lt;判定条件!$C$6,"判定不能",IF(L224&gt;=判定条件!$C$7*K224,"運転",IF(L224&lt;=判定条件!$C$8*K224,"停止","断続")))</f>
        <v>運転</v>
      </c>
      <c r="N224" s="30" t="n">
        <v>60</v>
      </c>
      <c r="O224" s="30" t="n">
        <v>0</v>
      </c>
      <c r="P224" s="30" t="str">
        <f aca="false">IF(N224&lt;判定条件!$C$6,"判定不能",IF(O224&gt;=判定条件!$C$7*N224,"運転",IF(O224&lt;=判定条件!$C$8*N224,"停止","断続")))</f>
        <v>停止</v>
      </c>
      <c r="Q224" s="30" t="n">
        <v>60</v>
      </c>
      <c r="R224" s="30" t="n">
        <v>0</v>
      </c>
      <c r="S224" s="30" t="str">
        <f aca="false">IF(Q224&lt;判定条件!$C$6,"判定不能",IF(R224&gt;=判定条件!$C$7*Q224,"運転",IF(R224&lt;=判定条件!$C$8*Q224,"停止","断続")))</f>
        <v>停止</v>
      </c>
      <c r="T224" s="30" t="n">
        <v>60</v>
      </c>
      <c r="U224" s="30" t="n">
        <v>0</v>
      </c>
      <c r="V224" s="30" t="str">
        <f aca="false">IF(T224&lt;判定条件!$C$6,"判定不能",IF(U224&gt;=判定条件!$C$7*T224,"運転",IF(U224&lt;=判定条件!$C$8*T224,"停止","断続")))</f>
        <v>停止</v>
      </c>
      <c r="W224" s="30" t="n">
        <v>60</v>
      </c>
      <c r="X224" s="30" t="n">
        <v>0</v>
      </c>
      <c r="Y224" s="30" t="str">
        <f aca="false">IF(W224&lt;判定条件!$C$6,"判定不能",IF(X224&gt;=判定条件!$C$7*W224,"運転",IF(X224&lt;=判定条件!$C$8*W224,"停止","断続")))</f>
        <v>停止</v>
      </c>
      <c r="Z224" s="30" t="n">
        <v>60</v>
      </c>
      <c r="AA224" s="30" t="n">
        <v>0</v>
      </c>
      <c r="AB224" s="30" t="str">
        <f aca="false">IF(Z224&lt;判定条件!$C$6,"判定不能",IF(AA224&gt;=判定条件!$C$7*Z224,"運転",IF(AA224&lt;=判定条件!$C$8*Z224,"停止","断続")))</f>
        <v>停止</v>
      </c>
      <c r="AC224" s="30" t="n">
        <v>60</v>
      </c>
      <c r="AD224" s="30" t="n">
        <v>0</v>
      </c>
      <c r="AE224" s="30" t="str">
        <f aca="false">IF(AC224&lt;判定条件!$C$6,"判定不能",IF(AD224&gt;=判定条件!$C$7*AC224,"運転",IF(AD224&lt;=判定条件!$C$8*AC224,"停止","断続")))</f>
        <v>停止</v>
      </c>
      <c r="AF224" s="30" t="n">
        <v>60</v>
      </c>
      <c r="AG224" s="30" t="n">
        <v>0</v>
      </c>
      <c r="AH224" s="30" t="str">
        <f aca="false">IF(OR(P224="判定不能",G224="判定不能"),"判定不能",IF(AG224&gt;=判定条件!$C$9,"利用可",IF(AND(P224="停止",G224="停止"),"両方停止","運転がそろわない")))</f>
        <v>両方停止</v>
      </c>
      <c r="AI224" s="30" t="n">
        <v>60</v>
      </c>
      <c r="AJ224" s="30" t="n">
        <v>0</v>
      </c>
      <c r="AK224" s="30" t="str">
        <f aca="false">IF(OR(S224="判定不能",J224="判定不能"),"判定不能",IF(AJ224&gt;=判定条件!$C$9,"利用可",IF(AND(S224="停止",J224="停止"),"両方停止","運転がそろわない")))</f>
        <v>両方停止</v>
      </c>
      <c r="AL224" s="30" t="n">
        <v>60</v>
      </c>
      <c r="AM224" s="30" t="n">
        <v>0</v>
      </c>
      <c r="AN224" s="30" t="str">
        <f aca="false">IF(OR(V224="判定不能",M224="判定不能"),"判定不能",IF(AM224&gt;=判定条件!$C$9,"利用可",IF(AND(V224="停止",M224="停止"),"両方停止","運転がそろわない")))</f>
        <v>運転がそろわない</v>
      </c>
      <c r="AO224" s="30" t="n">
        <v>60</v>
      </c>
      <c r="AP224" s="30" t="n">
        <v>0</v>
      </c>
      <c r="AQ224" s="30" t="str">
        <f aca="false">IF(OR(Y224="判定不能",G224="判定不能"),"判定不能",IF(AP224&gt;=判定条件!$C$9,"利用可",IF(AND(Y224="停止",G224="停止"),"両方停止","運転がそろわない")))</f>
        <v>両方停止</v>
      </c>
      <c r="AR224" s="30" t="n">
        <v>60</v>
      </c>
      <c r="AS224" s="30" t="n">
        <v>0</v>
      </c>
      <c r="AT224" s="30" t="str">
        <f aca="false">IF(OR(AB224="判定不能",J224="判定不能"),"判定不能",IF(AS224&gt;=判定条件!$C$9,"利用可",IF(AND(AB224="停止",J224="停止"),"両方停止","運転がそろわない")))</f>
        <v>両方停止</v>
      </c>
      <c r="AU224" s="30" t="n">
        <v>60</v>
      </c>
      <c r="AV224" s="30" t="n">
        <v>0</v>
      </c>
      <c r="AW224" s="30" t="str">
        <f aca="false">IF(OR(AE224="判定不能",M224="判定不能"),"判定不能",IF(AV224&gt;=判定条件!$C$9,"利用可",IF(AND(AE224="停止",M224="停止"),"両方停止","運転がそろわない")))</f>
        <v>運転がそろわない</v>
      </c>
      <c r="AX224" s="30" t="str">
        <f aca="false">IF(AND(AH224="利用可",AK224="利用可",AN224="利用可"),"利用可","不可")</f>
        <v>不可</v>
      </c>
      <c r="AY224" s="30" t="str">
        <f aca="false">IF(AND(AQ224="利用可",AT224="利用可",AW224="利用可"),"利用可","不可")</f>
        <v>不可</v>
      </c>
    </row>
    <row r="225" customFormat="false" ht="15" hidden="false" customHeight="false" outlineLevel="0" collapsed="false">
      <c r="A225" s="29" t="n">
        <v>46241</v>
      </c>
      <c r="B225" s="30" t="n">
        <v>6</v>
      </c>
      <c r="C225" s="31" t="s">
        <v>62</v>
      </c>
      <c r="D225" s="31" t="s">
        <v>59</v>
      </c>
      <c r="E225" s="30" t="n">
        <v>60</v>
      </c>
      <c r="F225" s="30" t="n">
        <v>0</v>
      </c>
      <c r="G225" s="30" t="str">
        <f aca="false">IF(E225&lt;判定条件!$C$6,"判定不能",IF(F225&gt;=判定条件!$C$7*E225,"運転",IF(F225&lt;=判定条件!$C$8*E225,"停止","断続")))</f>
        <v>停止</v>
      </c>
      <c r="H225" s="30" t="n">
        <v>60</v>
      </c>
      <c r="I225" s="30" t="n">
        <v>0</v>
      </c>
      <c r="J225" s="30" t="str">
        <f aca="false">IF(H225&lt;判定条件!$C$6,"判定不能",IF(I225&gt;=判定条件!$C$7*H225,"運転",IF(I225&lt;=判定条件!$C$8*H225,"停止","断続")))</f>
        <v>停止</v>
      </c>
      <c r="K225" s="30" t="n">
        <v>60</v>
      </c>
      <c r="L225" s="30" t="n">
        <v>60</v>
      </c>
      <c r="M225" s="30" t="str">
        <f aca="false">IF(K225&lt;判定条件!$C$6,"判定不能",IF(L225&gt;=判定条件!$C$7*K225,"運転",IF(L225&lt;=判定条件!$C$8*K225,"停止","断続")))</f>
        <v>運転</v>
      </c>
      <c r="N225" s="30" t="n">
        <v>60</v>
      </c>
      <c r="O225" s="30" t="n">
        <v>7</v>
      </c>
      <c r="P225" s="30" t="str">
        <f aca="false">IF(N225&lt;判定条件!$C$6,"判定不能",IF(O225&gt;=判定条件!$C$7*N225,"運転",IF(O225&lt;=判定条件!$C$8*N225,"停止","断続")))</f>
        <v>停止</v>
      </c>
      <c r="Q225" s="30" t="n">
        <v>60</v>
      </c>
      <c r="R225" s="30" t="n">
        <v>5</v>
      </c>
      <c r="S225" s="30" t="str">
        <f aca="false">IF(Q225&lt;判定条件!$C$6,"判定不能",IF(R225&gt;=判定条件!$C$7*Q225,"運転",IF(R225&lt;=判定条件!$C$8*Q225,"停止","断続")))</f>
        <v>停止</v>
      </c>
      <c r="T225" s="30" t="n">
        <v>60</v>
      </c>
      <c r="U225" s="30" t="n">
        <v>5</v>
      </c>
      <c r="V225" s="30" t="str">
        <f aca="false">IF(T225&lt;判定条件!$C$6,"判定不能",IF(U225&gt;=判定条件!$C$7*T225,"運転",IF(U225&lt;=判定条件!$C$8*T225,"停止","断続")))</f>
        <v>停止</v>
      </c>
      <c r="W225" s="30" t="n">
        <v>60</v>
      </c>
      <c r="X225" s="30" t="n">
        <v>37</v>
      </c>
      <c r="Y225" s="30" t="str">
        <f aca="false">IF(W225&lt;判定条件!$C$6,"判定不能",IF(X225&gt;=判定条件!$C$7*W225,"運転",IF(X225&lt;=判定条件!$C$8*W225,"停止","断続")))</f>
        <v>断続</v>
      </c>
      <c r="Z225" s="30" t="n">
        <v>60</v>
      </c>
      <c r="AA225" s="30" t="n">
        <v>34</v>
      </c>
      <c r="AB225" s="30" t="str">
        <f aca="false">IF(Z225&lt;判定条件!$C$6,"判定不能",IF(AA225&gt;=判定条件!$C$7*Z225,"運転",IF(AA225&lt;=判定条件!$C$8*Z225,"停止","断続")))</f>
        <v>断続</v>
      </c>
      <c r="AC225" s="30" t="n">
        <v>60</v>
      </c>
      <c r="AD225" s="30" t="n">
        <v>34</v>
      </c>
      <c r="AE225" s="30" t="str">
        <f aca="false">IF(AC225&lt;判定条件!$C$6,"判定不能",IF(AD225&gt;=判定条件!$C$7*AC225,"運転",IF(AD225&lt;=判定条件!$C$8*AC225,"停止","断続")))</f>
        <v>断続</v>
      </c>
      <c r="AF225" s="30" t="n">
        <v>60</v>
      </c>
      <c r="AG225" s="30" t="n">
        <v>0</v>
      </c>
      <c r="AH225" s="30" t="str">
        <f aca="false">IF(OR(P225="判定不能",G225="判定不能"),"判定不能",IF(AG225&gt;=判定条件!$C$9,"利用可",IF(AND(P225="停止",G225="停止"),"両方停止","運転がそろわない")))</f>
        <v>両方停止</v>
      </c>
      <c r="AI225" s="30" t="n">
        <v>60</v>
      </c>
      <c r="AJ225" s="30" t="n">
        <v>0</v>
      </c>
      <c r="AK225" s="30" t="str">
        <f aca="false">IF(OR(S225="判定不能",J225="判定不能"),"判定不能",IF(AJ225&gt;=判定条件!$C$9,"利用可",IF(AND(S225="停止",J225="停止"),"両方停止","運転がそろわない")))</f>
        <v>両方停止</v>
      </c>
      <c r="AL225" s="30" t="n">
        <v>60</v>
      </c>
      <c r="AM225" s="30" t="n">
        <v>5</v>
      </c>
      <c r="AN225" s="30" t="str">
        <f aca="false">IF(OR(V225="判定不能",M225="判定不能"),"判定不能",IF(AM225&gt;=判定条件!$C$9,"利用可",IF(AND(V225="停止",M225="停止"),"両方停止","運転がそろわない")))</f>
        <v>運転がそろわない</v>
      </c>
      <c r="AO225" s="30" t="n">
        <v>60</v>
      </c>
      <c r="AP225" s="30" t="n">
        <v>0</v>
      </c>
      <c r="AQ225" s="30" t="str">
        <f aca="false">IF(OR(Y225="判定不能",G225="判定不能"),"判定不能",IF(AP225&gt;=判定条件!$C$9,"利用可",IF(AND(Y225="停止",G225="停止"),"両方停止","運転がそろわない")))</f>
        <v>運転がそろわない</v>
      </c>
      <c r="AR225" s="30" t="n">
        <v>60</v>
      </c>
      <c r="AS225" s="30" t="n">
        <v>0</v>
      </c>
      <c r="AT225" s="30" t="str">
        <f aca="false">IF(OR(AB225="判定不能",J225="判定不能"),"判定不能",IF(AS225&gt;=判定条件!$C$9,"利用可",IF(AND(AB225="停止",J225="停止"),"両方停止","運転がそろわない")))</f>
        <v>運転がそろわない</v>
      </c>
      <c r="AU225" s="30" t="n">
        <v>60</v>
      </c>
      <c r="AV225" s="30" t="n">
        <v>34</v>
      </c>
      <c r="AW225" s="30" t="str">
        <f aca="false">IF(OR(AE225="判定不能",M225="判定不能"),"判定不能",IF(AV225&gt;=判定条件!$C$9,"利用可",IF(AND(AE225="停止",M225="停止"),"両方停止","運転がそろわない")))</f>
        <v>利用可</v>
      </c>
      <c r="AX225" s="30" t="str">
        <f aca="false">IF(AND(AH225="利用可",AK225="利用可",AN225="利用可"),"利用可","不可")</f>
        <v>不可</v>
      </c>
      <c r="AY225" s="30" t="str">
        <f aca="false">IF(AND(AQ225="利用可",AT225="利用可",AW225="利用可"),"利用可","不可")</f>
        <v>不可</v>
      </c>
    </row>
    <row r="226" customFormat="false" ht="15" hidden="false" customHeight="false" outlineLevel="0" collapsed="false">
      <c r="A226" s="29" t="n">
        <v>46241</v>
      </c>
      <c r="B226" s="30" t="n">
        <v>7</v>
      </c>
      <c r="C226" s="31" t="s">
        <v>62</v>
      </c>
      <c r="D226" s="31" t="s">
        <v>59</v>
      </c>
      <c r="E226" s="30" t="n">
        <v>60</v>
      </c>
      <c r="F226" s="30" t="n">
        <v>0</v>
      </c>
      <c r="G226" s="30" t="str">
        <f aca="false">IF(E226&lt;判定条件!$C$6,"判定不能",IF(F226&gt;=判定条件!$C$7*E226,"運転",IF(F226&lt;=判定条件!$C$8*E226,"停止","断続")))</f>
        <v>停止</v>
      </c>
      <c r="H226" s="30" t="n">
        <v>60</v>
      </c>
      <c r="I226" s="30" t="n">
        <v>0</v>
      </c>
      <c r="J226" s="30" t="str">
        <f aca="false">IF(H226&lt;判定条件!$C$6,"判定不能",IF(I226&gt;=判定条件!$C$7*H226,"運転",IF(I226&lt;=判定条件!$C$8*H226,"停止","断続")))</f>
        <v>停止</v>
      </c>
      <c r="K226" s="30" t="n">
        <v>60</v>
      </c>
      <c r="L226" s="30" t="n">
        <v>60</v>
      </c>
      <c r="M226" s="30" t="str">
        <f aca="false">IF(K226&lt;判定条件!$C$6,"判定不能",IF(L226&gt;=判定条件!$C$7*K226,"運転",IF(L226&lt;=判定条件!$C$8*K226,"停止","断続")))</f>
        <v>運転</v>
      </c>
      <c r="N226" s="30" t="n">
        <v>60</v>
      </c>
      <c r="O226" s="30" t="n">
        <v>60</v>
      </c>
      <c r="P226" s="30" t="str">
        <f aca="false">IF(N226&lt;判定条件!$C$6,"判定不能",IF(O226&gt;=判定条件!$C$7*N226,"運転",IF(O226&lt;=判定条件!$C$8*N226,"停止","断続")))</f>
        <v>運転</v>
      </c>
      <c r="Q226" s="30" t="n">
        <v>60</v>
      </c>
      <c r="R226" s="30" t="n">
        <v>60</v>
      </c>
      <c r="S226" s="30" t="str">
        <f aca="false">IF(Q226&lt;判定条件!$C$6,"判定不能",IF(R226&gt;=判定条件!$C$7*Q226,"運転",IF(R226&lt;=判定条件!$C$8*Q226,"停止","断続")))</f>
        <v>運転</v>
      </c>
      <c r="T226" s="30" t="n">
        <v>60</v>
      </c>
      <c r="U226" s="30" t="n">
        <v>60</v>
      </c>
      <c r="V226" s="30" t="str">
        <f aca="false">IF(T226&lt;判定条件!$C$6,"判定不能",IF(U226&gt;=判定条件!$C$7*T226,"運転",IF(U226&lt;=判定条件!$C$8*T226,"停止","断続")))</f>
        <v>運転</v>
      </c>
      <c r="W226" s="30" t="n">
        <v>60</v>
      </c>
      <c r="X226" s="30" t="n">
        <v>49</v>
      </c>
      <c r="Y226" s="30" t="str">
        <f aca="false">IF(W226&lt;判定条件!$C$6,"判定不能",IF(X226&gt;=判定条件!$C$7*W226,"運転",IF(X226&lt;=判定条件!$C$8*W226,"停止","断続")))</f>
        <v>運転</v>
      </c>
      <c r="Z226" s="30" t="n">
        <v>60</v>
      </c>
      <c r="AA226" s="30" t="n">
        <v>60</v>
      </c>
      <c r="AB226" s="30" t="str">
        <f aca="false">IF(Z226&lt;判定条件!$C$6,"判定不能",IF(AA226&gt;=判定条件!$C$7*Z226,"運転",IF(AA226&lt;=判定条件!$C$8*Z226,"停止","断続")))</f>
        <v>運転</v>
      </c>
      <c r="AC226" s="30" t="n">
        <v>60</v>
      </c>
      <c r="AD226" s="30" t="n">
        <v>60</v>
      </c>
      <c r="AE226" s="30" t="str">
        <f aca="false">IF(AC226&lt;判定条件!$C$6,"判定不能",IF(AD226&gt;=判定条件!$C$7*AC226,"運転",IF(AD226&lt;=判定条件!$C$8*AC226,"停止","断続")))</f>
        <v>運転</v>
      </c>
      <c r="AF226" s="30" t="n">
        <v>60</v>
      </c>
      <c r="AG226" s="30" t="n">
        <v>0</v>
      </c>
      <c r="AH226" s="30" t="str">
        <f aca="false">IF(OR(P226="判定不能",G226="判定不能"),"判定不能",IF(AG226&gt;=判定条件!$C$9,"利用可",IF(AND(P226="停止",G226="停止"),"両方停止","運転がそろわない")))</f>
        <v>運転がそろわない</v>
      </c>
      <c r="AI226" s="30" t="n">
        <v>60</v>
      </c>
      <c r="AJ226" s="30" t="n">
        <v>0</v>
      </c>
      <c r="AK226" s="30" t="str">
        <f aca="false">IF(OR(S226="判定不能",J226="判定不能"),"判定不能",IF(AJ226&gt;=判定条件!$C$9,"利用可",IF(AND(S226="停止",J226="停止"),"両方停止","運転がそろわない")))</f>
        <v>運転がそろわない</v>
      </c>
      <c r="AL226" s="30" t="n">
        <v>60</v>
      </c>
      <c r="AM226" s="30" t="n">
        <v>60</v>
      </c>
      <c r="AN226" s="30" t="str">
        <f aca="false">IF(OR(V226="判定不能",M226="判定不能"),"判定不能",IF(AM226&gt;=判定条件!$C$9,"利用可",IF(AND(V226="停止",M226="停止"),"両方停止","運転がそろわない")))</f>
        <v>利用可</v>
      </c>
      <c r="AO226" s="30" t="n">
        <v>60</v>
      </c>
      <c r="AP226" s="30" t="n">
        <v>0</v>
      </c>
      <c r="AQ226" s="30" t="str">
        <f aca="false">IF(OR(Y226="判定不能",G226="判定不能"),"判定不能",IF(AP226&gt;=判定条件!$C$9,"利用可",IF(AND(Y226="停止",G226="停止"),"両方停止","運転がそろわない")))</f>
        <v>運転がそろわない</v>
      </c>
      <c r="AR226" s="30" t="n">
        <v>60</v>
      </c>
      <c r="AS226" s="30" t="n">
        <v>0</v>
      </c>
      <c r="AT226" s="30" t="str">
        <f aca="false">IF(OR(AB226="判定不能",J226="判定不能"),"判定不能",IF(AS226&gt;=判定条件!$C$9,"利用可",IF(AND(AB226="停止",J226="停止"),"両方停止","運転がそろわない")))</f>
        <v>運転がそろわない</v>
      </c>
      <c r="AU226" s="30" t="n">
        <v>60</v>
      </c>
      <c r="AV226" s="30" t="n">
        <v>60</v>
      </c>
      <c r="AW226" s="30" t="str">
        <f aca="false">IF(OR(AE226="判定不能",M226="判定不能"),"判定不能",IF(AV226&gt;=判定条件!$C$9,"利用可",IF(AND(AE226="停止",M226="停止"),"両方停止","運転がそろわない")))</f>
        <v>利用可</v>
      </c>
      <c r="AX226" s="30" t="str">
        <f aca="false">IF(AND(AH226="利用可",AK226="利用可",AN226="利用可"),"利用可","不可")</f>
        <v>不可</v>
      </c>
      <c r="AY226" s="30" t="str">
        <f aca="false">IF(AND(AQ226="利用可",AT226="利用可",AW226="利用可"),"利用可","不可")</f>
        <v>不可</v>
      </c>
    </row>
    <row r="227" customFormat="false" ht="15" hidden="false" customHeight="false" outlineLevel="0" collapsed="false">
      <c r="A227" s="29" t="n">
        <v>46241</v>
      </c>
      <c r="B227" s="30" t="n">
        <v>8</v>
      </c>
      <c r="C227" s="31" t="s">
        <v>62</v>
      </c>
      <c r="D227" s="31" t="s">
        <v>59</v>
      </c>
      <c r="E227" s="30" t="n">
        <v>60</v>
      </c>
      <c r="F227" s="30" t="n">
        <v>44</v>
      </c>
      <c r="G227" s="30" t="str">
        <f aca="false">IF(E227&lt;判定条件!$C$6,"判定不能",IF(F227&gt;=判定条件!$C$7*E227,"運転",IF(F227&lt;=判定条件!$C$8*E227,"停止","断続")))</f>
        <v>断続</v>
      </c>
      <c r="H227" s="30" t="n">
        <v>60</v>
      </c>
      <c r="I227" s="30" t="n">
        <v>41</v>
      </c>
      <c r="J227" s="30" t="str">
        <f aca="false">IF(H227&lt;判定条件!$C$6,"判定不能",IF(I227&gt;=判定条件!$C$7*H227,"運転",IF(I227&lt;=判定条件!$C$8*H227,"停止","断続")))</f>
        <v>断続</v>
      </c>
      <c r="K227" s="30" t="n">
        <v>60</v>
      </c>
      <c r="L227" s="30" t="n">
        <v>60</v>
      </c>
      <c r="M227" s="30" t="str">
        <f aca="false">IF(K227&lt;判定条件!$C$6,"判定不能",IF(L227&gt;=判定条件!$C$7*K227,"運転",IF(L227&lt;=判定条件!$C$8*K227,"停止","断続")))</f>
        <v>運転</v>
      </c>
      <c r="N227" s="30" t="n">
        <v>60</v>
      </c>
      <c r="O227" s="30" t="n">
        <v>60</v>
      </c>
      <c r="P227" s="30" t="str">
        <f aca="false">IF(N227&lt;判定条件!$C$6,"判定不能",IF(O227&gt;=判定条件!$C$7*N227,"運転",IF(O227&lt;=判定条件!$C$8*N227,"停止","断続")))</f>
        <v>運転</v>
      </c>
      <c r="Q227" s="30" t="n">
        <v>60</v>
      </c>
      <c r="R227" s="30" t="n">
        <v>60</v>
      </c>
      <c r="S227" s="30" t="str">
        <f aca="false">IF(Q227&lt;判定条件!$C$6,"判定不能",IF(R227&gt;=判定条件!$C$7*Q227,"運転",IF(R227&lt;=判定条件!$C$8*Q227,"停止","断続")))</f>
        <v>運転</v>
      </c>
      <c r="T227" s="30" t="n">
        <v>60</v>
      </c>
      <c r="U227" s="30" t="n">
        <v>44</v>
      </c>
      <c r="V227" s="30" t="str">
        <f aca="false">IF(T227&lt;判定条件!$C$6,"判定不能",IF(U227&gt;=判定条件!$C$7*T227,"運転",IF(U227&lt;=判定条件!$C$8*T227,"停止","断続")))</f>
        <v>断続</v>
      </c>
      <c r="W227" s="30" t="n">
        <v>60</v>
      </c>
      <c r="X227" s="30" t="n">
        <v>60</v>
      </c>
      <c r="Y227" s="30" t="str">
        <f aca="false">IF(W227&lt;判定条件!$C$6,"判定不能",IF(X227&gt;=判定条件!$C$7*W227,"運転",IF(X227&lt;=判定条件!$C$8*W227,"停止","断続")))</f>
        <v>運転</v>
      </c>
      <c r="Z227" s="30" t="n">
        <v>60</v>
      </c>
      <c r="AA227" s="30" t="n">
        <v>51</v>
      </c>
      <c r="AB227" s="30" t="str">
        <f aca="false">IF(Z227&lt;判定条件!$C$6,"判定不能",IF(AA227&gt;=判定条件!$C$7*Z227,"運転",IF(AA227&lt;=判定条件!$C$8*Z227,"停止","断続")))</f>
        <v>運転</v>
      </c>
      <c r="AC227" s="30" t="n">
        <v>60</v>
      </c>
      <c r="AD227" s="30" t="n">
        <v>60</v>
      </c>
      <c r="AE227" s="30" t="str">
        <f aca="false">IF(AC227&lt;判定条件!$C$6,"判定不能",IF(AD227&gt;=判定条件!$C$7*AC227,"運転",IF(AD227&lt;=判定条件!$C$8*AC227,"停止","断続")))</f>
        <v>運転</v>
      </c>
      <c r="AF227" s="30" t="n">
        <v>60</v>
      </c>
      <c r="AG227" s="30" t="n">
        <v>44</v>
      </c>
      <c r="AH227" s="30" t="str">
        <f aca="false">IF(OR(P227="判定不能",G227="判定不能"),"判定不能",IF(AG227&gt;=判定条件!$C$9,"利用可",IF(AND(P227="停止",G227="停止"),"両方停止","運転がそろわない")))</f>
        <v>利用可</v>
      </c>
      <c r="AI227" s="30" t="n">
        <v>60</v>
      </c>
      <c r="AJ227" s="30" t="n">
        <v>41</v>
      </c>
      <c r="AK227" s="30" t="str">
        <f aca="false">IF(OR(S227="判定不能",J227="判定不能"),"判定不能",IF(AJ227&gt;=判定条件!$C$9,"利用可",IF(AND(S227="停止",J227="停止"),"両方停止","運転がそろわない")))</f>
        <v>利用可</v>
      </c>
      <c r="AL227" s="30" t="n">
        <v>60</v>
      </c>
      <c r="AM227" s="30" t="n">
        <v>44</v>
      </c>
      <c r="AN227" s="30" t="str">
        <f aca="false">IF(OR(V227="判定不能",M227="判定不能"),"判定不能",IF(AM227&gt;=判定条件!$C$9,"利用可",IF(AND(V227="停止",M227="停止"),"両方停止","運転がそろわない")))</f>
        <v>利用可</v>
      </c>
      <c r="AO227" s="30" t="n">
        <v>60</v>
      </c>
      <c r="AP227" s="30" t="n">
        <v>44</v>
      </c>
      <c r="AQ227" s="30" t="str">
        <f aca="false">IF(OR(Y227="判定不能",G227="判定不能"),"判定不能",IF(AP227&gt;=判定条件!$C$9,"利用可",IF(AND(Y227="停止",G227="停止"),"両方停止","運転がそろわない")))</f>
        <v>利用可</v>
      </c>
      <c r="AR227" s="30" t="n">
        <v>60</v>
      </c>
      <c r="AS227" s="30" t="n">
        <v>32</v>
      </c>
      <c r="AT227" s="30" t="str">
        <f aca="false">IF(OR(AB227="判定不能",J227="判定不能"),"判定不能",IF(AS227&gt;=判定条件!$C$9,"利用可",IF(AND(AB227="停止",J227="停止"),"両方停止","運転がそろわない")))</f>
        <v>利用可</v>
      </c>
      <c r="AU227" s="30" t="n">
        <v>60</v>
      </c>
      <c r="AV227" s="30" t="n">
        <v>60</v>
      </c>
      <c r="AW227" s="30" t="str">
        <f aca="false">IF(OR(AE227="判定不能",M227="判定不能"),"判定不能",IF(AV227&gt;=判定条件!$C$9,"利用可",IF(AND(AE227="停止",M227="停止"),"両方停止","運転がそろわない")))</f>
        <v>利用可</v>
      </c>
      <c r="AX227" s="30" t="str">
        <f aca="false">IF(AND(AH227="利用可",AK227="利用可",AN227="利用可"),"利用可","不可")</f>
        <v>利用可</v>
      </c>
      <c r="AY227" s="30" t="str">
        <f aca="false">IF(AND(AQ227="利用可",AT227="利用可",AW227="利用可"),"利用可","不可")</f>
        <v>利用可</v>
      </c>
    </row>
    <row r="228" customFormat="false" ht="15" hidden="false" customHeight="false" outlineLevel="0" collapsed="false">
      <c r="A228" s="29" t="n">
        <v>46241</v>
      </c>
      <c r="B228" s="30" t="n">
        <v>9</v>
      </c>
      <c r="C228" s="31" t="s">
        <v>62</v>
      </c>
      <c r="D228" s="31" t="s">
        <v>59</v>
      </c>
      <c r="E228" s="30" t="n">
        <v>60</v>
      </c>
      <c r="F228" s="30" t="n">
        <v>60</v>
      </c>
      <c r="G228" s="30" t="str">
        <f aca="false">IF(E228&lt;判定条件!$C$6,"判定不能",IF(F228&gt;=判定条件!$C$7*E228,"運転",IF(F228&lt;=判定条件!$C$8*E228,"停止","断続")))</f>
        <v>運転</v>
      </c>
      <c r="H228" s="30" t="n">
        <v>60</v>
      </c>
      <c r="I228" s="30" t="n">
        <v>60</v>
      </c>
      <c r="J228" s="30" t="str">
        <f aca="false">IF(H228&lt;判定条件!$C$6,"判定不能",IF(I228&gt;=判定条件!$C$7*H228,"運転",IF(I228&lt;=判定条件!$C$8*H228,"停止","断続")))</f>
        <v>運転</v>
      </c>
      <c r="K228" s="30" t="n">
        <v>60</v>
      </c>
      <c r="L228" s="30" t="n">
        <v>60</v>
      </c>
      <c r="M228" s="30" t="str">
        <f aca="false">IF(K228&lt;判定条件!$C$6,"判定不能",IF(L228&gt;=判定条件!$C$7*K228,"運転",IF(L228&lt;=判定条件!$C$8*K228,"停止","断続")))</f>
        <v>運転</v>
      </c>
      <c r="N228" s="30" t="n">
        <v>60</v>
      </c>
      <c r="O228" s="30" t="n">
        <v>60</v>
      </c>
      <c r="P228" s="30" t="str">
        <f aca="false">IF(N228&lt;判定条件!$C$6,"判定不能",IF(O228&gt;=判定条件!$C$7*N228,"運転",IF(O228&lt;=判定条件!$C$8*N228,"停止","断続")))</f>
        <v>運転</v>
      </c>
      <c r="Q228" s="30" t="n">
        <v>60</v>
      </c>
      <c r="R228" s="30" t="n">
        <v>60</v>
      </c>
      <c r="S228" s="30" t="str">
        <f aca="false">IF(Q228&lt;判定条件!$C$6,"判定不能",IF(R228&gt;=判定条件!$C$7*Q228,"運転",IF(R228&lt;=判定条件!$C$8*Q228,"停止","断続")))</f>
        <v>運転</v>
      </c>
      <c r="T228" s="30" t="n">
        <v>60</v>
      </c>
      <c r="U228" s="30" t="n">
        <v>60</v>
      </c>
      <c r="V228" s="30" t="str">
        <f aca="false">IF(T228&lt;判定条件!$C$6,"判定不能",IF(U228&gt;=判定条件!$C$7*T228,"運転",IF(U228&lt;=判定条件!$C$8*T228,"停止","断続")))</f>
        <v>運転</v>
      </c>
      <c r="W228" s="30" t="n">
        <v>60</v>
      </c>
      <c r="X228" s="30" t="n">
        <v>60</v>
      </c>
      <c r="Y228" s="30" t="str">
        <f aca="false">IF(W228&lt;判定条件!$C$6,"判定不能",IF(X228&gt;=判定条件!$C$7*W228,"運転",IF(X228&lt;=判定条件!$C$8*W228,"停止","断続")))</f>
        <v>運転</v>
      </c>
      <c r="Z228" s="30" t="n">
        <v>60</v>
      </c>
      <c r="AA228" s="30" t="n">
        <v>60</v>
      </c>
      <c r="AB228" s="30" t="str">
        <f aca="false">IF(Z228&lt;判定条件!$C$6,"判定不能",IF(AA228&gt;=判定条件!$C$7*Z228,"運転",IF(AA228&lt;=判定条件!$C$8*Z228,"停止","断続")))</f>
        <v>運転</v>
      </c>
      <c r="AC228" s="30" t="n">
        <v>60</v>
      </c>
      <c r="AD228" s="30" t="n">
        <v>53</v>
      </c>
      <c r="AE228" s="30" t="str">
        <f aca="false">IF(AC228&lt;判定条件!$C$6,"判定不能",IF(AD228&gt;=判定条件!$C$7*AC228,"運転",IF(AD228&lt;=判定条件!$C$8*AC228,"停止","断続")))</f>
        <v>運転</v>
      </c>
      <c r="AF228" s="30" t="n">
        <v>60</v>
      </c>
      <c r="AG228" s="30" t="n">
        <v>60</v>
      </c>
      <c r="AH228" s="30" t="str">
        <f aca="false">IF(OR(P228="判定不能",G228="判定不能"),"判定不能",IF(AG228&gt;=判定条件!$C$9,"利用可",IF(AND(P228="停止",G228="停止"),"両方停止","運転がそろわない")))</f>
        <v>利用可</v>
      </c>
      <c r="AI228" s="30" t="n">
        <v>60</v>
      </c>
      <c r="AJ228" s="30" t="n">
        <v>60</v>
      </c>
      <c r="AK228" s="30" t="str">
        <f aca="false">IF(OR(S228="判定不能",J228="判定不能"),"判定不能",IF(AJ228&gt;=判定条件!$C$9,"利用可",IF(AND(S228="停止",J228="停止"),"両方停止","運転がそろわない")))</f>
        <v>利用可</v>
      </c>
      <c r="AL228" s="30" t="n">
        <v>60</v>
      </c>
      <c r="AM228" s="30" t="n">
        <v>60</v>
      </c>
      <c r="AN228" s="30" t="str">
        <f aca="false">IF(OR(V228="判定不能",M228="判定不能"),"判定不能",IF(AM228&gt;=判定条件!$C$9,"利用可",IF(AND(V228="停止",M228="停止"),"両方停止","運転がそろわない")))</f>
        <v>利用可</v>
      </c>
      <c r="AO228" s="30" t="n">
        <v>60</v>
      </c>
      <c r="AP228" s="30" t="n">
        <v>60</v>
      </c>
      <c r="AQ228" s="30" t="str">
        <f aca="false">IF(OR(Y228="判定不能",G228="判定不能"),"判定不能",IF(AP228&gt;=判定条件!$C$9,"利用可",IF(AND(Y228="停止",G228="停止"),"両方停止","運転がそろわない")))</f>
        <v>利用可</v>
      </c>
      <c r="AR228" s="30" t="n">
        <v>60</v>
      </c>
      <c r="AS228" s="30" t="n">
        <v>60</v>
      </c>
      <c r="AT228" s="30" t="str">
        <f aca="false">IF(OR(AB228="判定不能",J228="判定不能"),"判定不能",IF(AS228&gt;=判定条件!$C$9,"利用可",IF(AND(AB228="停止",J228="停止"),"両方停止","運転がそろわない")))</f>
        <v>利用可</v>
      </c>
      <c r="AU228" s="30" t="n">
        <v>60</v>
      </c>
      <c r="AV228" s="30" t="n">
        <v>53</v>
      </c>
      <c r="AW228" s="30" t="str">
        <f aca="false">IF(OR(AE228="判定不能",M228="判定不能"),"判定不能",IF(AV228&gt;=判定条件!$C$9,"利用可",IF(AND(AE228="停止",M228="停止"),"両方停止","運転がそろわない")))</f>
        <v>利用可</v>
      </c>
      <c r="AX228" s="30" t="str">
        <f aca="false">IF(AND(AH228="利用可",AK228="利用可",AN228="利用可"),"利用可","不可")</f>
        <v>利用可</v>
      </c>
      <c r="AY228" s="30" t="str">
        <f aca="false">IF(AND(AQ228="利用可",AT228="利用可",AW228="利用可"),"利用可","不可")</f>
        <v>利用可</v>
      </c>
    </row>
    <row r="229" customFormat="false" ht="15" hidden="false" customHeight="false" outlineLevel="0" collapsed="false">
      <c r="A229" s="29" t="n">
        <v>46241</v>
      </c>
      <c r="B229" s="30" t="n">
        <v>10</v>
      </c>
      <c r="C229" s="31" t="s">
        <v>62</v>
      </c>
      <c r="D229" s="31" t="s">
        <v>59</v>
      </c>
      <c r="E229" s="30" t="n">
        <v>60</v>
      </c>
      <c r="F229" s="30" t="n">
        <v>60</v>
      </c>
      <c r="G229" s="30" t="str">
        <f aca="false">IF(E229&lt;判定条件!$C$6,"判定不能",IF(F229&gt;=判定条件!$C$7*E229,"運転",IF(F229&lt;=判定条件!$C$8*E229,"停止","断続")))</f>
        <v>運転</v>
      </c>
      <c r="H229" s="30" t="n">
        <v>60</v>
      </c>
      <c r="I229" s="30" t="n">
        <v>60</v>
      </c>
      <c r="J229" s="30" t="str">
        <f aca="false">IF(H229&lt;判定条件!$C$6,"判定不能",IF(I229&gt;=判定条件!$C$7*H229,"運転",IF(I229&lt;=判定条件!$C$8*H229,"停止","断続")))</f>
        <v>運転</v>
      </c>
      <c r="K229" s="30" t="n">
        <v>60</v>
      </c>
      <c r="L229" s="30" t="n">
        <v>60</v>
      </c>
      <c r="M229" s="30" t="str">
        <f aca="false">IF(K229&lt;判定条件!$C$6,"判定不能",IF(L229&gt;=判定条件!$C$7*K229,"運転",IF(L229&lt;=判定条件!$C$8*K229,"停止","断続")))</f>
        <v>運転</v>
      </c>
      <c r="N229" s="30" t="n">
        <v>60</v>
      </c>
      <c r="O229" s="30" t="n">
        <v>60</v>
      </c>
      <c r="P229" s="30" t="str">
        <f aca="false">IF(N229&lt;判定条件!$C$6,"判定不能",IF(O229&gt;=判定条件!$C$7*N229,"運転",IF(O229&lt;=判定条件!$C$8*N229,"停止","断続")))</f>
        <v>運転</v>
      </c>
      <c r="Q229" s="30" t="n">
        <v>60</v>
      </c>
      <c r="R229" s="30" t="n">
        <v>60</v>
      </c>
      <c r="S229" s="30" t="str">
        <f aca="false">IF(Q229&lt;判定条件!$C$6,"判定不能",IF(R229&gt;=判定条件!$C$7*Q229,"運転",IF(R229&lt;=判定条件!$C$8*Q229,"停止","断続")))</f>
        <v>運転</v>
      </c>
      <c r="T229" s="30" t="n">
        <v>60</v>
      </c>
      <c r="U229" s="30" t="n">
        <v>60</v>
      </c>
      <c r="V229" s="30" t="str">
        <f aca="false">IF(T229&lt;判定条件!$C$6,"判定不能",IF(U229&gt;=判定条件!$C$7*T229,"運転",IF(U229&lt;=判定条件!$C$8*T229,"停止","断続")))</f>
        <v>運転</v>
      </c>
      <c r="W229" s="30" t="n">
        <v>60</v>
      </c>
      <c r="X229" s="30" t="n">
        <v>46</v>
      </c>
      <c r="Y229" s="30" t="str">
        <f aca="false">IF(W229&lt;判定条件!$C$6,"判定不能",IF(X229&gt;=判定条件!$C$7*W229,"運転",IF(X229&lt;=判定条件!$C$8*W229,"停止","断続")))</f>
        <v>断続</v>
      </c>
      <c r="Z229" s="30" t="n">
        <v>60</v>
      </c>
      <c r="AA229" s="30" t="n">
        <v>60</v>
      </c>
      <c r="AB229" s="30" t="str">
        <f aca="false">IF(Z229&lt;判定条件!$C$6,"判定不能",IF(AA229&gt;=判定条件!$C$7*Z229,"運転",IF(AA229&lt;=判定条件!$C$8*Z229,"停止","断続")))</f>
        <v>運転</v>
      </c>
      <c r="AC229" s="30" t="n">
        <v>60</v>
      </c>
      <c r="AD229" s="30" t="n">
        <v>58</v>
      </c>
      <c r="AE229" s="30" t="str">
        <f aca="false">IF(AC229&lt;判定条件!$C$6,"判定不能",IF(AD229&gt;=判定条件!$C$7*AC229,"運転",IF(AD229&lt;=判定条件!$C$8*AC229,"停止","断続")))</f>
        <v>運転</v>
      </c>
      <c r="AF229" s="30" t="n">
        <v>60</v>
      </c>
      <c r="AG229" s="30" t="n">
        <v>60</v>
      </c>
      <c r="AH229" s="30" t="str">
        <f aca="false">IF(OR(P229="判定不能",G229="判定不能"),"判定不能",IF(AG229&gt;=判定条件!$C$9,"利用可",IF(AND(P229="停止",G229="停止"),"両方停止","運転がそろわない")))</f>
        <v>利用可</v>
      </c>
      <c r="AI229" s="30" t="n">
        <v>60</v>
      </c>
      <c r="AJ229" s="30" t="n">
        <v>60</v>
      </c>
      <c r="AK229" s="30" t="str">
        <f aca="false">IF(OR(S229="判定不能",J229="判定不能"),"判定不能",IF(AJ229&gt;=判定条件!$C$9,"利用可",IF(AND(S229="停止",J229="停止"),"両方停止","運転がそろわない")))</f>
        <v>利用可</v>
      </c>
      <c r="AL229" s="30" t="n">
        <v>60</v>
      </c>
      <c r="AM229" s="30" t="n">
        <v>60</v>
      </c>
      <c r="AN229" s="30" t="str">
        <f aca="false">IF(OR(V229="判定不能",M229="判定不能"),"判定不能",IF(AM229&gt;=判定条件!$C$9,"利用可",IF(AND(V229="停止",M229="停止"),"両方停止","運転がそろわない")))</f>
        <v>利用可</v>
      </c>
      <c r="AO229" s="30" t="n">
        <v>60</v>
      </c>
      <c r="AP229" s="30" t="n">
        <v>46</v>
      </c>
      <c r="AQ229" s="30" t="str">
        <f aca="false">IF(OR(Y229="判定不能",G229="判定不能"),"判定不能",IF(AP229&gt;=判定条件!$C$9,"利用可",IF(AND(Y229="停止",G229="停止"),"両方停止","運転がそろわない")))</f>
        <v>利用可</v>
      </c>
      <c r="AR229" s="30" t="n">
        <v>60</v>
      </c>
      <c r="AS229" s="30" t="n">
        <v>60</v>
      </c>
      <c r="AT229" s="30" t="str">
        <f aca="false">IF(OR(AB229="判定不能",J229="判定不能"),"判定不能",IF(AS229&gt;=判定条件!$C$9,"利用可",IF(AND(AB229="停止",J229="停止"),"両方停止","運転がそろわない")))</f>
        <v>利用可</v>
      </c>
      <c r="AU229" s="30" t="n">
        <v>60</v>
      </c>
      <c r="AV229" s="30" t="n">
        <v>58</v>
      </c>
      <c r="AW229" s="30" t="str">
        <f aca="false">IF(OR(AE229="判定不能",M229="判定不能"),"判定不能",IF(AV229&gt;=判定条件!$C$9,"利用可",IF(AND(AE229="停止",M229="停止"),"両方停止","運転がそろわない")))</f>
        <v>利用可</v>
      </c>
      <c r="AX229" s="30" t="str">
        <f aca="false">IF(AND(AH229="利用可",AK229="利用可",AN229="利用可"),"利用可","不可")</f>
        <v>利用可</v>
      </c>
      <c r="AY229" s="30" t="str">
        <f aca="false">IF(AND(AQ229="利用可",AT229="利用可",AW229="利用可"),"利用可","不可")</f>
        <v>利用可</v>
      </c>
    </row>
    <row r="230" customFormat="false" ht="15" hidden="false" customHeight="false" outlineLevel="0" collapsed="false">
      <c r="A230" s="29" t="n">
        <v>46241</v>
      </c>
      <c r="B230" s="30" t="n">
        <v>11</v>
      </c>
      <c r="C230" s="31" t="s">
        <v>62</v>
      </c>
      <c r="D230" s="31" t="s">
        <v>59</v>
      </c>
      <c r="E230" s="30" t="n">
        <v>60</v>
      </c>
      <c r="F230" s="30" t="n">
        <v>60</v>
      </c>
      <c r="G230" s="30" t="str">
        <f aca="false">IF(E230&lt;判定条件!$C$6,"判定不能",IF(F230&gt;=判定条件!$C$7*E230,"運転",IF(F230&lt;=判定条件!$C$8*E230,"停止","断続")))</f>
        <v>運転</v>
      </c>
      <c r="H230" s="30" t="n">
        <v>60</v>
      </c>
      <c r="I230" s="30" t="n">
        <v>60</v>
      </c>
      <c r="J230" s="30" t="str">
        <f aca="false">IF(H230&lt;判定条件!$C$6,"判定不能",IF(I230&gt;=判定条件!$C$7*H230,"運転",IF(I230&lt;=判定条件!$C$8*H230,"停止","断続")))</f>
        <v>運転</v>
      </c>
      <c r="K230" s="30" t="n">
        <v>60</v>
      </c>
      <c r="L230" s="30" t="n">
        <v>60</v>
      </c>
      <c r="M230" s="30" t="str">
        <f aca="false">IF(K230&lt;判定条件!$C$6,"判定不能",IF(L230&gt;=判定条件!$C$7*K230,"運転",IF(L230&lt;=判定条件!$C$8*K230,"停止","断続")))</f>
        <v>運転</v>
      </c>
      <c r="N230" s="30" t="n">
        <v>60</v>
      </c>
      <c r="O230" s="30" t="n">
        <v>60</v>
      </c>
      <c r="P230" s="30" t="str">
        <f aca="false">IF(N230&lt;判定条件!$C$6,"判定不能",IF(O230&gt;=判定条件!$C$7*N230,"運転",IF(O230&lt;=判定条件!$C$8*N230,"停止","断続")))</f>
        <v>運転</v>
      </c>
      <c r="Q230" s="30" t="n">
        <v>60</v>
      </c>
      <c r="R230" s="30" t="n">
        <v>60</v>
      </c>
      <c r="S230" s="30" t="str">
        <f aca="false">IF(Q230&lt;判定条件!$C$6,"判定不能",IF(R230&gt;=判定条件!$C$7*Q230,"運転",IF(R230&lt;=判定条件!$C$8*Q230,"停止","断続")))</f>
        <v>運転</v>
      </c>
      <c r="T230" s="30" t="n">
        <v>60</v>
      </c>
      <c r="U230" s="30" t="n">
        <v>60</v>
      </c>
      <c r="V230" s="30" t="str">
        <f aca="false">IF(T230&lt;判定条件!$C$6,"判定不能",IF(U230&gt;=判定条件!$C$7*T230,"運転",IF(U230&lt;=判定条件!$C$8*T230,"停止","断続")))</f>
        <v>運転</v>
      </c>
      <c r="W230" s="30" t="n">
        <v>60</v>
      </c>
      <c r="X230" s="30" t="n">
        <v>60</v>
      </c>
      <c r="Y230" s="30" t="str">
        <f aca="false">IF(W230&lt;判定条件!$C$6,"判定不能",IF(X230&gt;=判定条件!$C$7*W230,"運転",IF(X230&lt;=判定条件!$C$8*W230,"停止","断続")))</f>
        <v>運転</v>
      </c>
      <c r="Z230" s="30" t="n">
        <v>60</v>
      </c>
      <c r="AA230" s="30" t="n">
        <v>60</v>
      </c>
      <c r="AB230" s="30" t="str">
        <f aca="false">IF(Z230&lt;判定条件!$C$6,"判定不能",IF(AA230&gt;=判定条件!$C$7*Z230,"運転",IF(AA230&lt;=判定条件!$C$8*Z230,"停止","断続")))</f>
        <v>運転</v>
      </c>
      <c r="AC230" s="30" t="n">
        <v>60</v>
      </c>
      <c r="AD230" s="30" t="n">
        <v>60</v>
      </c>
      <c r="AE230" s="30" t="str">
        <f aca="false">IF(AC230&lt;判定条件!$C$6,"判定不能",IF(AD230&gt;=判定条件!$C$7*AC230,"運転",IF(AD230&lt;=判定条件!$C$8*AC230,"停止","断続")))</f>
        <v>運転</v>
      </c>
      <c r="AF230" s="30" t="n">
        <v>60</v>
      </c>
      <c r="AG230" s="30" t="n">
        <v>60</v>
      </c>
      <c r="AH230" s="30" t="str">
        <f aca="false">IF(OR(P230="判定不能",G230="判定不能"),"判定不能",IF(AG230&gt;=判定条件!$C$9,"利用可",IF(AND(P230="停止",G230="停止"),"両方停止","運転がそろわない")))</f>
        <v>利用可</v>
      </c>
      <c r="AI230" s="30" t="n">
        <v>60</v>
      </c>
      <c r="AJ230" s="30" t="n">
        <v>60</v>
      </c>
      <c r="AK230" s="30" t="str">
        <f aca="false">IF(OR(S230="判定不能",J230="判定不能"),"判定不能",IF(AJ230&gt;=判定条件!$C$9,"利用可",IF(AND(S230="停止",J230="停止"),"両方停止","運転がそろわない")))</f>
        <v>利用可</v>
      </c>
      <c r="AL230" s="30" t="n">
        <v>60</v>
      </c>
      <c r="AM230" s="30" t="n">
        <v>60</v>
      </c>
      <c r="AN230" s="30" t="str">
        <f aca="false">IF(OR(V230="判定不能",M230="判定不能"),"判定不能",IF(AM230&gt;=判定条件!$C$9,"利用可",IF(AND(V230="停止",M230="停止"),"両方停止","運転がそろわない")))</f>
        <v>利用可</v>
      </c>
      <c r="AO230" s="30" t="n">
        <v>60</v>
      </c>
      <c r="AP230" s="30" t="n">
        <v>60</v>
      </c>
      <c r="AQ230" s="30" t="str">
        <f aca="false">IF(OR(Y230="判定不能",G230="判定不能"),"判定不能",IF(AP230&gt;=判定条件!$C$9,"利用可",IF(AND(Y230="停止",G230="停止"),"両方停止","運転がそろわない")))</f>
        <v>利用可</v>
      </c>
      <c r="AR230" s="30" t="n">
        <v>60</v>
      </c>
      <c r="AS230" s="30" t="n">
        <v>60</v>
      </c>
      <c r="AT230" s="30" t="str">
        <f aca="false">IF(OR(AB230="判定不能",J230="判定不能"),"判定不能",IF(AS230&gt;=判定条件!$C$9,"利用可",IF(AND(AB230="停止",J230="停止"),"両方停止","運転がそろわない")))</f>
        <v>利用可</v>
      </c>
      <c r="AU230" s="30" t="n">
        <v>60</v>
      </c>
      <c r="AV230" s="30" t="n">
        <v>60</v>
      </c>
      <c r="AW230" s="30" t="str">
        <f aca="false">IF(OR(AE230="判定不能",M230="判定不能"),"判定不能",IF(AV230&gt;=判定条件!$C$9,"利用可",IF(AND(AE230="停止",M230="停止"),"両方停止","運転がそろわない")))</f>
        <v>利用可</v>
      </c>
      <c r="AX230" s="30" t="str">
        <f aca="false">IF(AND(AH230="利用可",AK230="利用可",AN230="利用可"),"利用可","不可")</f>
        <v>利用可</v>
      </c>
      <c r="AY230" s="30" t="str">
        <f aca="false">IF(AND(AQ230="利用可",AT230="利用可",AW230="利用可"),"利用可","不可")</f>
        <v>利用可</v>
      </c>
    </row>
    <row r="231" customFormat="false" ht="15" hidden="false" customHeight="false" outlineLevel="0" collapsed="false">
      <c r="A231" s="29" t="n">
        <v>46241</v>
      </c>
      <c r="B231" s="30" t="n">
        <v>12</v>
      </c>
      <c r="C231" s="31" t="s">
        <v>62</v>
      </c>
      <c r="D231" s="31" t="s">
        <v>59</v>
      </c>
      <c r="E231" s="30" t="n">
        <v>60</v>
      </c>
      <c r="F231" s="30" t="n">
        <v>60</v>
      </c>
      <c r="G231" s="30" t="str">
        <f aca="false">IF(E231&lt;判定条件!$C$6,"判定不能",IF(F231&gt;=判定条件!$C$7*E231,"運転",IF(F231&lt;=判定条件!$C$8*E231,"停止","断続")))</f>
        <v>運転</v>
      </c>
      <c r="H231" s="30" t="n">
        <v>60</v>
      </c>
      <c r="I231" s="30" t="n">
        <v>60</v>
      </c>
      <c r="J231" s="30" t="str">
        <f aca="false">IF(H231&lt;判定条件!$C$6,"判定不能",IF(I231&gt;=判定条件!$C$7*H231,"運転",IF(I231&lt;=判定条件!$C$8*H231,"停止","断続")))</f>
        <v>運転</v>
      </c>
      <c r="K231" s="30" t="n">
        <v>60</v>
      </c>
      <c r="L231" s="30" t="n">
        <v>60</v>
      </c>
      <c r="M231" s="30" t="str">
        <f aca="false">IF(K231&lt;判定条件!$C$6,"判定不能",IF(L231&gt;=判定条件!$C$7*K231,"運転",IF(L231&lt;=判定条件!$C$8*K231,"停止","断続")))</f>
        <v>運転</v>
      </c>
      <c r="N231" s="30" t="n">
        <v>60</v>
      </c>
      <c r="O231" s="30" t="n">
        <v>60</v>
      </c>
      <c r="P231" s="30" t="str">
        <f aca="false">IF(N231&lt;判定条件!$C$6,"判定不能",IF(O231&gt;=判定条件!$C$7*N231,"運転",IF(O231&lt;=判定条件!$C$8*N231,"停止","断続")))</f>
        <v>運転</v>
      </c>
      <c r="Q231" s="30" t="n">
        <v>60</v>
      </c>
      <c r="R231" s="30" t="n">
        <v>60</v>
      </c>
      <c r="S231" s="30" t="str">
        <f aca="false">IF(Q231&lt;判定条件!$C$6,"判定不能",IF(R231&gt;=判定条件!$C$7*Q231,"運転",IF(R231&lt;=判定条件!$C$8*Q231,"停止","断続")))</f>
        <v>運転</v>
      </c>
      <c r="T231" s="30" t="n">
        <v>60</v>
      </c>
      <c r="U231" s="30" t="n">
        <v>60</v>
      </c>
      <c r="V231" s="30" t="str">
        <f aca="false">IF(T231&lt;判定条件!$C$6,"判定不能",IF(U231&gt;=判定条件!$C$7*T231,"運転",IF(U231&lt;=判定条件!$C$8*T231,"停止","断続")))</f>
        <v>運転</v>
      </c>
      <c r="W231" s="30" t="n">
        <v>60</v>
      </c>
      <c r="X231" s="30" t="n">
        <v>60</v>
      </c>
      <c r="Y231" s="30" t="str">
        <f aca="false">IF(W231&lt;判定条件!$C$6,"判定不能",IF(X231&gt;=判定条件!$C$7*W231,"運転",IF(X231&lt;=判定条件!$C$8*W231,"停止","断続")))</f>
        <v>運転</v>
      </c>
      <c r="Z231" s="30" t="n">
        <v>60</v>
      </c>
      <c r="AA231" s="30" t="n">
        <v>60</v>
      </c>
      <c r="AB231" s="30" t="str">
        <f aca="false">IF(Z231&lt;判定条件!$C$6,"判定不能",IF(AA231&gt;=判定条件!$C$7*Z231,"運転",IF(AA231&lt;=判定条件!$C$8*Z231,"停止","断続")))</f>
        <v>運転</v>
      </c>
      <c r="AC231" s="30" t="n">
        <v>60</v>
      </c>
      <c r="AD231" s="30" t="n">
        <v>60</v>
      </c>
      <c r="AE231" s="30" t="str">
        <f aca="false">IF(AC231&lt;判定条件!$C$6,"判定不能",IF(AD231&gt;=判定条件!$C$7*AC231,"運転",IF(AD231&lt;=判定条件!$C$8*AC231,"停止","断続")))</f>
        <v>運転</v>
      </c>
      <c r="AF231" s="30" t="n">
        <v>60</v>
      </c>
      <c r="AG231" s="30" t="n">
        <v>60</v>
      </c>
      <c r="AH231" s="30" t="str">
        <f aca="false">IF(OR(P231="判定不能",G231="判定不能"),"判定不能",IF(AG231&gt;=判定条件!$C$9,"利用可",IF(AND(P231="停止",G231="停止"),"両方停止","運転がそろわない")))</f>
        <v>利用可</v>
      </c>
      <c r="AI231" s="30" t="n">
        <v>60</v>
      </c>
      <c r="AJ231" s="30" t="n">
        <v>60</v>
      </c>
      <c r="AK231" s="30" t="str">
        <f aca="false">IF(OR(S231="判定不能",J231="判定不能"),"判定不能",IF(AJ231&gt;=判定条件!$C$9,"利用可",IF(AND(S231="停止",J231="停止"),"両方停止","運転がそろわない")))</f>
        <v>利用可</v>
      </c>
      <c r="AL231" s="30" t="n">
        <v>60</v>
      </c>
      <c r="AM231" s="30" t="n">
        <v>60</v>
      </c>
      <c r="AN231" s="30" t="str">
        <f aca="false">IF(OR(V231="判定不能",M231="判定不能"),"判定不能",IF(AM231&gt;=判定条件!$C$9,"利用可",IF(AND(V231="停止",M231="停止"),"両方停止","運転がそろわない")))</f>
        <v>利用可</v>
      </c>
      <c r="AO231" s="30" t="n">
        <v>60</v>
      </c>
      <c r="AP231" s="30" t="n">
        <v>60</v>
      </c>
      <c r="AQ231" s="30" t="str">
        <f aca="false">IF(OR(Y231="判定不能",G231="判定不能"),"判定不能",IF(AP231&gt;=判定条件!$C$9,"利用可",IF(AND(Y231="停止",G231="停止"),"両方停止","運転がそろわない")))</f>
        <v>利用可</v>
      </c>
      <c r="AR231" s="30" t="n">
        <v>60</v>
      </c>
      <c r="AS231" s="30" t="n">
        <v>60</v>
      </c>
      <c r="AT231" s="30" t="str">
        <f aca="false">IF(OR(AB231="判定不能",J231="判定不能"),"判定不能",IF(AS231&gt;=判定条件!$C$9,"利用可",IF(AND(AB231="停止",J231="停止"),"両方停止","運転がそろわない")))</f>
        <v>利用可</v>
      </c>
      <c r="AU231" s="30" t="n">
        <v>60</v>
      </c>
      <c r="AV231" s="30" t="n">
        <v>60</v>
      </c>
      <c r="AW231" s="30" t="str">
        <f aca="false">IF(OR(AE231="判定不能",M231="判定不能"),"判定不能",IF(AV231&gt;=判定条件!$C$9,"利用可",IF(AND(AE231="停止",M231="停止"),"両方停止","運転がそろわない")))</f>
        <v>利用可</v>
      </c>
      <c r="AX231" s="30" t="str">
        <f aca="false">IF(AND(AH231="利用可",AK231="利用可",AN231="利用可"),"利用可","不可")</f>
        <v>利用可</v>
      </c>
      <c r="AY231" s="30" t="str">
        <f aca="false">IF(AND(AQ231="利用可",AT231="利用可",AW231="利用可"),"利用可","不可")</f>
        <v>利用可</v>
      </c>
    </row>
    <row r="232" customFormat="false" ht="15" hidden="false" customHeight="false" outlineLevel="0" collapsed="false">
      <c r="A232" s="29" t="n">
        <v>46241</v>
      </c>
      <c r="B232" s="30" t="n">
        <v>13</v>
      </c>
      <c r="C232" s="31" t="s">
        <v>62</v>
      </c>
      <c r="D232" s="31" t="s">
        <v>59</v>
      </c>
      <c r="E232" s="30" t="n">
        <v>60</v>
      </c>
      <c r="F232" s="30" t="n">
        <v>60</v>
      </c>
      <c r="G232" s="30" t="str">
        <f aca="false">IF(E232&lt;判定条件!$C$6,"判定不能",IF(F232&gt;=判定条件!$C$7*E232,"運転",IF(F232&lt;=判定条件!$C$8*E232,"停止","断続")))</f>
        <v>運転</v>
      </c>
      <c r="H232" s="30" t="n">
        <v>60</v>
      </c>
      <c r="I232" s="30" t="n">
        <v>60</v>
      </c>
      <c r="J232" s="30" t="str">
        <f aca="false">IF(H232&lt;判定条件!$C$6,"判定不能",IF(I232&gt;=判定条件!$C$7*H232,"運転",IF(I232&lt;=判定条件!$C$8*H232,"停止","断続")))</f>
        <v>運転</v>
      </c>
      <c r="K232" s="30" t="n">
        <v>60</v>
      </c>
      <c r="L232" s="30" t="n">
        <v>60</v>
      </c>
      <c r="M232" s="30" t="str">
        <f aca="false">IF(K232&lt;判定条件!$C$6,"判定不能",IF(L232&gt;=判定条件!$C$7*K232,"運転",IF(L232&lt;=判定条件!$C$8*K232,"停止","断続")))</f>
        <v>運転</v>
      </c>
      <c r="N232" s="30" t="n">
        <v>60</v>
      </c>
      <c r="O232" s="30" t="n">
        <v>60</v>
      </c>
      <c r="P232" s="30" t="str">
        <f aca="false">IF(N232&lt;判定条件!$C$6,"判定不能",IF(O232&gt;=判定条件!$C$7*N232,"運転",IF(O232&lt;=判定条件!$C$8*N232,"停止","断続")))</f>
        <v>運転</v>
      </c>
      <c r="Q232" s="30" t="n">
        <v>60</v>
      </c>
      <c r="R232" s="30" t="n">
        <v>60</v>
      </c>
      <c r="S232" s="30" t="str">
        <f aca="false">IF(Q232&lt;判定条件!$C$6,"判定不能",IF(R232&gt;=判定条件!$C$7*Q232,"運転",IF(R232&lt;=判定条件!$C$8*Q232,"停止","断続")))</f>
        <v>運転</v>
      </c>
      <c r="T232" s="30" t="n">
        <v>60</v>
      </c>
      <c r="U232" s="30" t="n">
        <v>60</v>
      </c>
      <c r="V232" s="30" t="str">
        <f aca="false">IF(T232&lt;判定条件!$C$6,"判定不能",IF(U232&gt;=判定条件!$C$7*T232,"運転",IF(U232&lt;=判定条件!$C$8*T232,"停止","断続")))</f>
        <v>運転</v>
      </c>
      <c r="W232" s="30" t="n">
        <v>60</v>
      </c>
      <c r="X232" s="30" t="n">
        <v>60</v>
      </c>
      <c r="Y232" s="30" t="str">
        <f aca="false">IF(W232&lt;判定条件!$C$6,"判定不能",IF(X232&gt;=判定条件!$C$7*W232,"運転",IF(X232&lt;=判定条件!$C$8*W232,"停止","断続")))</f>
        <v>運転</v>
      </c>
      <c r="Z232" s="30" t="n">
        <v>60</v>
      </c>
      <c r="AA232" s="30" t="n">
        <v>60</v>
      </c>
      <c r="AB232" s="30" t="str">
        <f aca="false">IF(Z232&lt;判定条件!$C$6,"判定不能",IF(AA232&gt;=判定条件!$C$7*Z232,"運転",IF(AA232&lt;=判定条件!$C$8*Z232,"停止","断続")))</f>
        <v>運転</v>
      </c>
      <c r="AC232" s="30" t="n">
        <v>60</v>
      </c>
      <c r="AD232" s="30" t="n">
        <v>60</v>
      </c>
      <c r="AE232" s="30" t="str">
        <f aca="false">IF(AC232&lt;判定条件!$C$6,"判定不能",IF(AD232&gt;=判定条件!$C$7*AC232,"運転",IF(AD232&lt;=判定条件!$C$8*AC232,"停止","断続")))</f>
        <v>運転</v>
      </c>
      <c r="AF232" s="30" t="n">
        <v>60</v>
      </c>
      <c r="AG232" s="30" t="n">
        <v>60</v>
      </c>
      <c r="AH232" s="30" t="str">
        <f aca="false">IF(OR(P232="判定不能",G232="判定不能"),"判定不能",IF(AG232&gt;=判定条件!$C$9,"利用可",IF(AND(P232="停止",G232="停止"),"両方停止","運転がそろわない")))</f>
        <v>利用可</v>
      </c>
      <c r="AI232" s="30" t="n">
        <v>60</v>
      </c>
      <c r="AJ232" s="30" t="n">
        <v>60</v>
      </c>
      <c r="AK232" s="30" t="str">
        <f aca="false">IF(OR(S232="判定不能",J232="判定不能"),"判定不能",IF(AJ232&gt;=判定条件!$C$9,"利用可",IF(AND(S232="停止",J232="停止"),"両方停止","運転がそろわない")))</f>
        <v>利用可</v>
      </c>
      <c r="AL232" s="30" t="n">
        <v>60</v>
      </c>
      <c r="AM232" s="30" t="n">
        <v>60</v>
      </c>
      <c r="AN232" s="30" t="str">
        <f aca="false">IF(OR(V232="判定不能",M232="判定不能"),"判定不能",IF(AM232&gt;=判定条件!$C$9,"利用可",IF(AND(V232="停止",M232="停止"),"両方停止","運転がそろわない")))</f>
        <v>利用可</v>
      </c>
      <c r="AO232" s="30" t="n">
        <v>60</v>
      </c>
      <c r="AP232" s="30" t="n">
        <v>60</v>
      </c>
      <c r="AQ232" s="30" t="str">
        <f aca="false">IF(OR(Y232="判定不能",G232="判定不能"),"判定不能",IF(AP232&gt;=判定条件!$C$9,"利用可",IF(AND(Y232="停止",G232="停止"),"両方停止","運転がそろわない")))</f>
        <v>利用可</v>
      </c>
      <c r="AR232" s="30" t="n">
        <v>60</v>
      </c>
      <c r="AS232" s="30" t="n">
        <v>60</v>
      </c>
      <c r="AT232" s="30" t="str">
        <f aca="false">IF(OR(AB232="判定不能",J232="判定不能"),"判定不能",IF(AS232&gt;=判定条件!$C$9,"利用可",IF(AND(AB232="停止",J232="停止"),"両方停止","運転がそろわない")))</f>
        <v>利用可</v>
      </c>
      <c r="AU232" s="30" t="n">
        <v>60</v>
      </c>
      <c r="AV232" s="30" t="n">
        <v>60</v>
      </c>
      <c r="AW232" s="30" t="str">
        <f aca="false">IF(OR(AE232="判定不能",M232="判定不能"),"判定不能",IF(AV232&gt;=判定条件!$C$9,"利用可",IF(AND(AE232="停止",M232="停止"),"両方停止","運転がそろわない")))</f>
        <v>利用可</v>
      </c>
      <c r="AX232" s="30" t="str">
        <f aca="false">IF(AND(AH232="利用可",AK232="利用可",AN232="利用可"),"利用可","不可")</f>
        <v>利用可</v>
      </c>
      <c r="AY232" s="30" t="str">
        <f aca="false">IF(AND(AQ232="利用可",AT232="利用可",AW232="利用可"),"利用可","不可")</f>
        <v>利用可</v>
      </c>
    </row>
    <row r="233" customFormat="false" ht="15" hidden="false" customHeight="false" outlineLevel="0" collapsed="false">
      <c r="A233" s="29" t="n">
        <v>46241</v>
      </c>
      <c r="B233" s="30" t="n">
        <v>14</v>
      </c>
      <c r="C233" s="31" t="s">
        <v>62</v>
      </c>
      <c r="D233" s="31" t="s">
        <v>59</v>
      </c>
      <c r="E233" s="30" t="n">
        <v>60</v>
      </c>
      <c r="F233" s="30" t="n">
        <v>60</v>
      </c>
      <c r="G233" s="30" t="str">
        <f aca="false">IF(E233&lt;判定条件!$C$6,"判定不能",IF(F233&gt;=判定条件!$C$7*E233,"運転",IF(F233&lt;=判定条件!$C$8*E233,"停止","断続")))</f>
        <v>運転</v>
      </c>
      <c r="H233" s="30" t="n">
        <v>60</v>
      </c>
      <c r="I233" s="30" t="n">
        <v>60</v>
      </c>
      <c r="J233" s="30" t="str">
        <f aca="false">IF(H233&lt;判定条件!$C$6,"判定不能",IF(I233&gt;=判定条件!$C$7*H233,"運転",IF(I233&lt;=判定条件!$C$8*H233,"停止","断続")))</f>
        <v>運転</v>
      </c>
      <c r="K233" s="30" t="n">
        <v>60</v>
      </c>
      <c r="L233" s="30" t="n">
        <v>60</v>
      </c>
      <c r="M233" s="30" t="str">
        <f aca="false">IF(K233&lt;判定条件!$C$6,"判定不能",IF(L233&gt;=判定条件!$C$7*K233,"運転",IF(L233&lt;=判定条件!$C$8*K233,"停止","断続")))</f>
        <v>運転</v>
      </c>
      <c r="N233" s="30" t="n">
        <v>60</v>
      </c>
      <c r="O233" s="30" t="n">
        <v>60</v>
      </c>
      <c r="P233" s="30" t="str">
        <f aca="false">IF(N233&lt;判定条件!$C$6,"判定不能",IF(O233&gt;=判定条件!$C$7*N233,"運転",IF(O233&lt;=判定条件!$C$8*N233,"停止","断続")))</f>
        <v>運転</v>
      </c>
      <c r="Q233" s="30" t="n">
        <v>60</v>
      </c>
      <c r="R233" s="30" t="n">
        <v>60</v>
      </c>
      <c r="S233" s="30" t="str">
        <f aca="false">IF(Q233&lt;判定条件!$C$6,"判定不能",IF(R233&gt;=判定条件!$C$7*Q233,"運転",IF(R233&lt;=判定条件!$C$8*Q233,"停止","断続")))</f>
        <v>運転</v>
      </c>
      <c r="T233" s="30" t="n">
        <v>60</v>
      </c>
      <c r="U233" s="30" t="n">
        <v>60</v>
      </c>
      <c r="V233" s="30" t="str">
        <f aca="false">IF(T233&lt;判定条件!$C$6,"判定不能",IF(U233&gt;=判定条件!$C$7*T233,"運転",IF(U233&lt;=判定条件!$C$8*T233,"停止","断続")))</f>
        <v>運転</v>
      </c>
      <c r="W233" s="30" t="n">
        <v>60</v>
      </c>
      <c r="X233" s="30" t="n">
        <v>60</v>
      </c>
      <c r="Y233" s="30" t="str">
        <f aca="false">IF(W233&lt;判定条件!$C$6,"判定不能",IF(X233&gt;=判定条件!$C$7*W233,"運転",IF(X233&lt;=判定条件!$C$8*W233,"停止","断続")))</f>
        <v>運転</v>
      </c>
      <c r="Z233" s="30" t="n">
        <v>60</v>
      </c>
      <c r="AA233" s="30" t="n">
        <v>60</v>
      </c>
      <c r="AB233" s="30" t="str">
        <f aca="false">IF(Z233&lt;判定条件!$C$6,"判定不能",IF(AA233&gt;=判定条件!$C$7*Z233,"運転",IF(AA233&lt;=判定条件!$C$8*Z233,"停止","断続")))</f>
        <v>運転</v>
      </c>
      <c r="AC233" s="30" t="n">
        <v>60</v>
      </c>
      <c r="AD233" s="30" t="n">
        <v>60</v>
      </c>
      <c r="AE233" s="30" t="str">
        <f aca="false">IF(AC233&lt;判定条件!$C$6,"判定不能",IF(AD233&gt;=判定条件!$C$7*AC233,"運転",IF(AD233&lt;=判定条件!$C$8*AC233,"停止","断続")))</f>
        <v>運転</v>
      </c>
      <c r="AF233" s="30" t="n">
        <v>60</v>
      </c>
      <c r="AG233" s="30" t="n">
        <v>60</v>
      </c>
      <c r="AH233" s="30" t="str">
        <f aca="false">IF(OR(P233="判定不能",G233="判定不能"),"判定不能",IF(AG233&gt;=判定条件!$C$9,"利用可",IF(AND(P233="停止",G233="停止"),"両方停止","運転がそろわない")))</f>
        <v>利用可</v>
      </c>
      <c r="AI233" s="30" t="n">
        <v>60</v>
      </c>
      <c r="AJ233" s="30" t="n">
        <v>60</v>
      </c>
      <c r="AK233" s="30" t="str">
        <f aca="false">IF(OR(S233="判定不能",J233="判定不能"),"判定不能",IF(AJ233&gt;=判定条件!$C$9,"利用可",IF(AND(S233="停止",J233="停止"),"両方停止","運転がそろわない")))</f>
        <v>利用可</v>
      </c>
      <c r="AL233" s="30" t="n">
        <v>60</v>
      </c>
      <c r="AM233" s="30" t="n">
        <v>60</v>
      </c>
      <c r="AN233" s="30" t="str">
        <f aca="false">IF(OR(V233="判定不能",M233="判定不能"),"判定不能",IF(AM233&gt;=判定条件!$C$9,"利用可",IF(AND(V233="停止",M233="停止"),"両方停止","運転がそろわない")))</f>
        <v>利用可</v>
      </c>
      <c r="AO233" s="30" t="n">
        <v>60</v>
      </c>
      <c r="AP233" s="30" t="n">
        <v>60</v>
      </c>
      <c r="AQ233" s="30" t="str">
        <f aca="false">IF(OR(Y233="判定不能",G233="判定不能"),"判定不能",IF(AP233&gt;=判定条件!$C$9,"利用可",IF(AND(Y233="停止",G233="停止"),"両方停止","運転がそろわない")))</f>
        <v>利用可</v>
      </c>
      <c r="AR233" s="30" t="n">
        <v>60</v>
      </c>
      <c r="AS233" s="30" t="n">
        <v>60</v>
      </c>
      <c r="AT233" s="30" t="str">
        <f aca="false">IF(OR(AB233="判定不能",J233="判定不能"),"判定不能",IF(AS233&gt;=判定条件!$C$9,"利用可",IF(AND(AB233="停止",J233="停止"),"両方停止","運転がそろわない")))</f>
        <v>利用可</v>
      </c>
      <c r="AU233" s="30" t="n">
        <v>60</v>
      </c>
      <c r="AV233" s="30" t="n">
        <v>60</v>
      </c>
      <c r="AW233" s="30" t="str">
        <f aca="false">IF(OR(AE233="判定不能",M233="判定不能"),"判定不能",IF(AV233&gt;=判定条件!$C$9,"利用可",IF(AND(AE233="停止",M233="停止"),"両方停止","運転がそろわない")))</f>
        <v>利用可</v>
      </c>
      <c r="AX233" s="30" t="str">
        <f aca="false">IF(AND(AH233="利用可",AK233="利用可",AN233="利用可"),"利用可","不可")</f>
        <v>利用可</v>
      </c>
      <c r="AY233" s="30" t="str">
        <f aca="false">IF(AND(AQ233="利用可",AT233="利用可",AW233="利用可"),"利用可","不可")</f>
        <v>利用可</v>
      </c>
    </row>
    <row r="234" customFormat="false" ht="15" hidden="false" customHeight="false" outlineLevel="0" collapsed="false">
      <c r="A234" s="29" t="n">
        <v>46241</v>
      </c>
      <c r="B234" s="30" t="n">
        <v>15</v>
      </c>
      <c r="C234" s="31" t="s">
        <v>62</v>
      </c>
      <c r="D234" s="31" t="s">
        <v>59</v>
      </c>
      <c r="E234" s="30" t="n">
        <v>60</v>
      </c>
      <c r="F234" s="30" t="n">
        <v>60</v>
      </c>
      <c r="G234" s="30" t="str">
        <f aca="false">IF(E234&lt;判定条件!$C$6,"判定不能",IF(F234&gt;=判定条件!$C$7*E234,"運転",IF(F234&lt;=判定条件!$C$8*E234,"停止","断続")))</f>
        <v>運転</v>
      </c>
      <c r="H234" s="30" t="n">
        <v>60</v>
      </c>
      <c r="I234" s="30" t="n">
        <v>60</v>
      </c>
      <c r="J234" s="30" t="str">
        <f aca="false">IF(H234&lt;判定条件!$C$6,"判定不能",IF(I234&gt;=判定条件!$C$7*H234,"運転",IF(I234&lt;=判定条件!$C$8*H234,"停止","断続")))</f>
        <v>運転</v>
      </c>
      <c r="K234" s="30" t="n">
        <v>60</v>
      </c>
      <c r="L234" s="30" t="n">
        <v>60</v>
      </c>
      <c r="M234" s="30" t="str">
        <f aca="false">IF(K234&lt;判定条件!$C$6,"判定不能",IF(L234&gt;=判定条件!$C$7*K234,"運転",IF(L234&lt;=判定条件!$C$8*K234,"停止","断続")))</f>
        <v>運転</v>
      </c>
      <c r="N234" s="30" t="n">
        <v>60</v>
      </c>
      <c r="O234" s="30" t="n">
        <v>49</v>
      </c>
      <c r="P234" s="30" t="str">
        <f aca="false">IF(N234&lt;判定条件!$C$6,"判定不能",IF(O234&gt;=判定条件!$C$7*N234,"運転",IF(O234&lt;=判定条件!$C$8*N234,"停止","断続")))</f>
        <v>運転</v>
      </c>
      <c r="Q234" s="30" t="n">
        <v>60</v>
      </c>
      <c r="R234" s="30" t="n">
        <v>60</v>
      </c>
      <c r="S234" s="30" t="str">
        <f aca="false">IF(Q234&lt;判定条件!$C$6,"判定不能",IF(R234&gt;=判定条件!$C$7*Q234,"運転",IF(R234&lt;=判定条件!$C$8*Q234,"停止","断続")))</f>
        <v>運転</v>
      </c>
      <c r="T234" s="30" t="n">
        <v>60</v>
      </c>
      <c r="U234" s="30" t="n">
        <v>42</v>
      </c>
      <c r="V234" s="30" t="str">
        <f aca="false">IF(T234&lt;判定条件!$C$6,"判定不能",IF(U234&gt;=判定条件!$C$7*T234,"運転",IF(U234&lt;=判定条件!$C$8*T234,"停止","断続")))</f>
        <v>断続</v>
      </c>
      <c r="W234" s="30" t="n">
        <v>60</v>
      </c>
      <c r="X234" s="30" t="n">
        <v>42</v>
      </c>
      <c r="Y234" s="30" t="str">
        <f aca="false">IF(W234&lt;判定条件!$C$6,"判定不能",IF(X234&gt;=判定条件!$C$7*W234,"運転",IF(X234&lt;=判定条件!$C$8*W234,"停止","断続")))</f>
        <v>断続</v>
      </c>
      <c r="Z234" s="30" t="n">
        <v>60</v>
      </c>
      <c r="AA234" s="30" t="n">
        <v>60</v>
      </c>
      <c r="AB234" s="30" t="str">
        <f aca="false">IF(Z234&lt;判定条件!$C$6,"判定不能",IF(AA234&gt;=判定条件!$C$7*Z234,"運転",IF(AA234&lt;=判定条件!$C$8*Z234,"停止","断続")))</f>
        <v>運転</v>
      </c>
      <c r="AC234" s="30" t="n">
        <v>60</v>
      </c>
      <c r="AD234" s="30" t="n">
        <v>36</v>
      </c>
      <c r="AE234" s="30" t="str">
        <f aca="false">IF(AC234&lt;判定条件!$C$6,"判定不能",IF(AD234&gt;=判定条件!$C$7*AC234,"運転",IF(AD234&lt;=判定条件!$C$8*AC234,"停止","断続")))</f>
        <v>断続</v>
      </c>
      <c r="AF234" s="30" t="n">
        <v>60</v>
      </c>
      <c r="AG234" s="30" t="n">
        <v>49</v>
      </c>
      <c r="AH234" s="30" t="str">
        <f aca="false">IF(OR(P234="判定不能",G234="判定不能"),"判定不能",IF(AG234&gt;=判定条件!$C$9,"利用可",IF(AND(P234="停止",G234="停止"),"両方停止","運転がそろわない")))</f>
        <v>利用可</v>
      </c>
      <c r="AI234" s="30" t="n">
        <v>60</v>
      </c>
      <c r="AJ234" s="30" t="n">
        <v>60</v>
      </c>
      <c r="AK234" s="30" t="str">
        <f aca="false">IF(OR(S234="判定不能",J234="判定不能"),"判定不能",IF(AJ234&gt;=判定条件!$C$9,"利用可",IF(AND(S234="停止",J234="停止"),"両方停止","運転がそろわない")))</f>
        <v>利用可</v>
      </c>
      <c r="AL234" s="30" t="n">
        <v>60</v>
      </c>
      <c r="AM234" s="30" t="n">
        <v>42</v>
      </c>
      <c r="AN234" s="30" t="str">
        <f aca="false">IF(OR(V234="判定不能",M234="判定不能"),"判定不能",IF(AM234&gt;=判定条件!$C$9,"利用可",IF(AND(V234="停止",M234="停止"),"両方停止","運転がそろわない")))</f>
        <v>利用可</v>
      </c>
      <c r="AO234" s="30" t="n">
        <v>60</v>
      </c>
      <c r="AP234" s="30" t="n">
        <v>42</v>
      </c>
      <c r="AQ234" s="30" t="str">
        <f aca="false">IF(OR(Y234="判定不能",G234="判定不能"),"判定不能",IF(AP234&gt;=判定条件!$C$9,"利用可",IF(AND(Y234="停止",G234="停止"),"両方停止","運転がそろわない")))</f>
        <v>利用可</v>
      </c>
      <c r="AR234" s="30" t="n">
        <v>60</v>
      </c>
      <c r="AS234" s="30" t="n">
        <v>60</v>
      </c>
      <c r="AT234" s="30" t="str">
        <f aca="false">IF(OR(AB234="判定不能",J234="判定不能"),"判定不能",IF(AS234&gt;=判定条件!$C$9,"利用可",IF(AND(AB234="停止",J234="停止"),"両方停止","運転がそろわない")))</f>
        <v>利用可</v>
      </c>
      <c r="AU234" s="30" t="n">
        <v>60</v>
      </c>
      <c r="AV234" s="30" t="n">
        <v>36</v>
      </c>
      <c r="AW234" s="30" t="str">
        <f aca="false">IF(OR(AE234="判定不能",M234="判定不能"),"判定不能",IF(AV234&gt;=判定条件!$C$9,"利用可",IF(AND(AE234="停止",M234="停止"),"両方停止","運転がそろわない")))</f>
        <v>利用可</v>
      </c>
      <c r="AX234" s="30" t="str">
        <f aca="false">IF(AND(AH234="利用可",AK234="利用可",AN234="利用可"),"利用可","不可")</f>
        <v>利用可</v>
      </c>
      <c r="AY234" s="30" t="str">
        <f aca="false">IF(AND(AQ234="利用可",AT234="利用可",AW234="利用可"),"利用可","不可")</f>
        <v>利用可</v>
      </c>
    </row>
    <row r="235" customFormat="false" ht="15" hidden="false" customHeight="false" outlineLevel="0" collapsed="false">
      <c r="A235" s="29" t="n">
        <v>46241</v>
      </c>
      <c r="B235" s="30" t="n">
        <v>16</v>
      </c>
      <c r="C235" s="31" t="s">
        <v>62</v>
      </c>
      <c r="D235" s="31" t="s">
        <v>59</v>
      </c>
      <c r="E235" s="30" t="n">
        <v>60</v>
      </c>
      <c r="F235" s="30" t="n">
        <v>60</v>
      </c>
      <c r="G235" s="30" t="str">
        <f aca="false">IF(E235&lt;判定条件!$C$6,"判定不能",IF(F235&gt;=判定条件!$C$7*E235,"運転",IF(F235&lt;=判定条件!$C$8*E235,"停止","断続")))</f>
        <v>運転</v>
      </c>
      <c r="H235" s="30" t="n">
        <v>60</v>
      </c>
      <c r="I235" s="30" t="n">
        <v>60</v>
      </c>
      <c r="J235" s="30" t="str">
        <f aca="false">IF(H235&lt;判定条件!$C$6,"判定不能",IF(I235&gt;=判定条件!$C$7*H235,"運転",IF(I235&lt;=判定条件!$C$8*H235,"停止","断続")))</f>
        <v>運転</v>
      </c>
      <c r="K235" s="30" t="n">
        <v>60</v>
      </c>
      <c r="L235" s="30" t="n">
        <v>60</v>
      </c>
      <c r="M235" s="30" t="str">
        <f aca="false">IF(K235&lt;判定条件!$C$6,"判定不能",IF(L235&gt;=判定条件!$C$7*K235,"運転",IF(L235&lt;=判定条件!$C$8*K235,"停止","断続")))</f>
        <v>運転</v>
      </c>
      <c r="N235" s="30" t="n">
        <v>60</v>
      </c>
      <c r="O235" s="30" t="n">
        <v>48</v>
      </c>
      <c r="P235" s="30" t="str">
        <f aca="false">IF(N235&lt;判定条件!$C$6,"判定不能",IF(O235&gt;=判定条件!$C$7*N235,"運転",IF(O235&lt;=判定条件!$C$8*N235,"停止","断続")))</f>
        <v>運転</v>
      </c>
      <c r="Q235" s="30" t="n">
        <v>60</v>
      </c>
      <c r="R235" s="30" t="n">
        <v>55</v>
      </c>
      <c r="S235" s="30" t="str">
        <f aca="false">IF(Q235&lt;判定条件!$C$6,"判定不能",IF(R235&gt;=判定条件!$C$7*Q235,"運転",IF(R235&lt;=判定条件!$C$8*Q235,"停止","断続")))</f>
        <v>運転</v>
      </c>
      <c r="T235" s="30" t="n">
        <v>60</v>
      </c>
      <c r="U235" s="30" t="n">
        <v>60</v>
      </c>
      <c r="V235" s="30" t="str">
        <f aca="false">IF(T235&lt;判定条件!$C$6,"判定不能",IF(U235&gt;=判定条件!$C$7*T235,"運転",IF(U235&lt;=判定条件!$C$8*T235,"停止","断続")))</f>
        <v>運転</v>
      </c>
      <c r="W235" s="30" t="n">
        <v>60</v>
      </c>
      <c r="X235" s="30" t="n">
        <v>60</v>
      </c>
      <c r="Y235" s="30" t="str">
        <f aca="false">IF(W235&lt;判定条件!$C$6,"判定不能",IF(X235&gt;=判定条件!$C$7*W235,"運転",IF(X235&lt;=判定条件!$C$8*W235,"停止","断続")))</f>
        <v>運転</v>
      </c>
      <c r="Z235" s="30" t="n">
        <v>60</v>
      </c>
      <c r="AA235" s="30" t="n">
        <v>58</v>
      </c>
      <c r="AB235" s="30" t="str">
        <f aca="false">IF(Z235&lt;判定条件!$C$6,"判定不能",IF(AA235&gt;=判定条件!$C$7*Z235,"運転",IF(AA235&lt;=判定条件!$C$8*Z235,"停止","断続")))</f>
        <v>運転</v>
      </c>
      <c r="AC235" s="30" t="n">
        <v>60</v>
      </c>
      <c r="AD235" s="30" t="n">
        <v>56</v>
      </c>
      <c r="AE235" s="30" t="str">
        <f aca="false">IF(AC235&lt;判定条件!$C$6,"判定不能",IF(AD235&gt;=判定条件!$C$7*AC235,"運転",IF(AD235&lt;=判定条件!$C$8*AC235,"停止","断続")))</f>
        <v>運転</v>
      </c>
      <c r="AF235" s="30" t="n">
        <v>60</v>
      </c>
      <c r="AG235" s="30" t="n">
        <v>48</v>
      </c>
      <c r="AH235" s="30" t="str">
        <f aca="false">IF(OR(P235="判定不能",G235="判定不能"),"判定不能",IF(AG235&gt;=判定条件!$C$9,"利用可",IF(AND(P235="停止",G235="停止"),"両方停止","運転がそろわない")))</f>
        <v>利用可</v>
      </c>
      <c r="AI235" s="30" t="n">
        <v>60</v>
      </c>
      <c r="AJ235" s="30" t="n">
        <v>55</v>
      </c>
      <c r="AK235" s="30" t="str">
        <f aca="false">IF(OR(S235="判定不能",J235="判定不能"),"判定不能",IF(AJ235&gt;=判定条件!$C$9,"利用可",IF(AND(S235="停止",J235="停止"),"両方停止","運転がそろわない")))</f>
        <v>利用可</v>
      </c>
      <c r="AL235" s="30" t="n">
        <v>60</v>
      </c>
      <c r="AM235" s="30" t="n">
        <v>60</v>
      </c>
      <c r="AN235" s="30" t="str">
        <f aca="false">IF(OR(V235="判定不能",M235="判定不能"),"判定不能",IF(AM235&gt;=判定条件!$C$9,"利用可",IF(AND(V235="停止",M235="停止"),"両方停止","運転がそろわない")))</f>
        <v>利用可</v>
      </c>
      <c r="AO235" s="30" t="n">
        <v>60</v>
      </c>
      <c r="AP235" s="30" t="n">
        <v>60</v>
      </c>
      <c r="AQ235" s="30" t="str">
        <f aca="false">IF(OR(Y235="判定不能",G235="判定不能"),"判定不能",IF(AP235&gt;=判定条件!$C$9,"利用可",IF(AND(Y235="停止",G235="停止"),"両方停止","運転がそろわない")))</f>
        <v>利用可</v>
      </c>
      <c r="AR235" s="30" t="n">
        <v>60</v>
      </c>
      <c r="AS235" s="30" t="n">
        <v>58</v>
      </c>
      <c r="AT235" s="30" t="str">
        <f aca="false">IF(OR(AB235="判定不能",J235="判定不能"),"判定不能",IF(AS235&gt;=判定条件!$C$9,"利用可",IF(AND(AB235="停止",J235="停止"),"両方停止","運転がそろわない")))</f>
        <v>利用可</v>
      </c>
      <c r="AU235" s="30" t="n">
        <v>60</v>
      </c>
      <c r="AV235" s="30" t="n">
        <v>56</v>
      </c>
      <c r="AW235" s="30" t="str">
        <f aca="false">IF(OR(AE235="判定不能",M235="判定不能"),"判定不能",IF(AV235&gt;=判定条件!$C$9,"利用可",IF(AND(AE235="停止",M235="停止"),"両方停止","運転がそろわない")))</f>
        <v>利用可</v>
      </c>
      <c r="AX235" s="30" t="str">
        <f aca="false">IF(AND(AH235="利用可",AK235="利用可",AN235="利用可"),"利用可","不可")</f>
        <v>利用可</v>
      </c>
      <c r="AY235" s="30" t="str">
        <f aca="false">IF(AND(AQ235="利用可",AT235="利用可",AW235="利用可"),"利用可","不可")</f>
        <v>利用可</v>
      </c>
    </row>
    <row r="236" customFormat="false" ht="15" hidden="false" customHeight="false" outlineLevel="0" collapsed="false">
      <c r="A236" s="29" t="n">
        <v>46241</v>
      </c>
      <c r="B236" s="30" t="n">
        <v>17</v>
      </c>
      <c r="C236" s="31" t="s">
        <v>62</v>
      </c>
      <c r="D236" s="31" t="s">
        <v>59</v>
      </c>
      <c r="E236" s="30" t="n">
        <v>60</v>
      </c>
      <c r="F236" s="30" t="n">
        <v>60</v>
      </c>
      <c r="G236" s="30" t="str">
        <f aca="false">IF(E236&lt;判定条件!$C$6,"判定不能",IF(F236&gt;=判定条件!$C$7*E236,"運転",IF(F236&lt;=判定条件!$C$8*E236,"停止","断続")))</f>
        <v>運転</v>
      </c>
      <c r="H236" s="30" t="n">
        <v>60</v>
      </c>
      <c r="I236" s="30" t="n">
        <v>60</v>
      </c>
      <c r="J236" s="30" t="str">
        <f aca="false">IF(H236&lt;判定条件!$C$6,"判定不能",IF(I236&gt;=判定条件!$C$7*H236,"運転",IF(I236&lt;=判定条件!$C$8*H236,"停止","断続")))</f>
        <v>運転</v>
      </c>
      <c r="K236" s="30" t="n">
        <v>60</v>
      </c>
      <c r="L236" s="30" t="n">
        <v>60</v>
      </c>
      <c r="M236" s="30" t="str">
        <f aca="false">IF(K236&lt;判定条件!$C$6,"判定不能",IF(L236&gt;=判定条件!$C$7*K236,"運転",IF(L236&lt;=判定条件!$C$8*K236,"停止","断続")))</f>
        <v>運転</v>
      </c>
      <c r="N236" s="30" t="n">
        <v>60</v>
      </c>
      <c r="O236" s="30" t="n">
        <v>30</v>
      </c>
      <c r="P236" s="30" t="str">
        <f aca="false">IF(N236&lt;判定条件!$C$6,"判定不能",IF(O236&gt;=判定条件!$C$7*N236,"運転",IF(O236&lt;=判定条件!$C$8*N236,"停止","断続")))</f>
        <v>断続</v>
      </c>
      <c r="Q236" s="30" t="n">
        <v>60</v>
      </c>
      <c r="R236" s="30" t="n">
        <v>60</v>
      </c>
      <c r="S236" s="30" t="str">
        <f aca="false">IF(Q236&lt;判定条件!$C$6,"判定不能",IF(R236&gt;=判定条件!$C$7*Q236,"運転",IF(R236&lt;=判定条件!$C$8*Q236,"停止","断続")))</f>
        <v>運転</v>
      </c>
      <c r="T236" s="30" t="n">
        <v>60</v>
      </c>
      <c r="U236" s="30" t="n">
        <v>52</v>
      </c>
      <c r="V236" s="30" t="str">
        <f aca="false">IF(T236&lt;判定条件!$C$6,"判定不能",IF(U236&gt;=判定条件!$C$7*T236,"運転",IF(U236&lt;=判定条件!$C$8*T236,"停止","断続")))</f>
        <v>運転</v>
      </c>
      <c r="W236" s="30" t="n">
        <v>60</v>
      </c>
      <c r="X236" s="30" t="n">
        <v>57</v>
      </c>
      <c r="Y236" s="30" t="str">
        <f aca="false">IF(W236&lt;判定条件!$C$6,"判定不能",IF(X236&gt;=判定条件!$C$7*W236,"運転",IF(X236&lt;=判定条件!$C$8*W236,"停止","断続")))</f>
        <v>運転</v>
      </c>
      <c r="Z236" s="30" t="n">
        <v>60</v>
      </c>
      <c r="AA236" s="30" t="n">
        <v>30</v>
      </c>
      <c r="AB236" s="30" t="str">
        <f aca="false">IF(Z236&lt;判定条件!$C$6,"判定不能",IF(AA236&gt;=判定条件!$C$7*Z236,"運転",IF(AA236&lt;=判定条件!$C$8*Z236,"停止","断続")))</f>
        <v>断続</v>
      </c>
      <c r="AC236" s="30" t="n">
        <v>60</v>
      </c>
      <c r="AD236" s="30" t="n">
        <v>60</v>
      </c>
      <c r="AE236" s="30" t="str">
        <f aca="false">IF(AC236&lt;判定条件!$C$6,"判定不能",IF(AD236&gt;=判定条件!$C$7*AC236,"運転",IF(AD236&lt;=判定条件!$C$8*AC236,"停止","断続")))</f>
        <v>運転</v>
      </c>
      <c r="AF236" s="30" t="n">
        <v>60</v>
      </c>
      <c r="AG236" s="30" t="n">
        <v>30</v>
      </c>
      <c r="AH236" s="30" t="str">
        <f aca="false">IF(OR(P236="判定不能",G236="判定不能"),"判定不能",IF(AG236&gt;=判定条件!$C$9,"利用可",IF(AND(P236="停止",G236="停止"),"両方停止","運転がそろわない")))</f>
        <v>利用可</v>
      </c>
      <c r="AI236" s="30" t="n">
        <v>60</v>
      </c>
      <c r="AJ236" s="30" t="n">
        <v>60</v>
      </c>
      <c r="AK236" s="30" t="str">
        <f aca="false">IF(OR(S236="判定不能",J236="判定不能"),"判定不能",IF(AJ236&gt;=判定条件!$C$9,"利用可",IF(AND(S236="停止",J236="停止"),"両方停止","運転がそろわない")))</f>
        <v>利用可</v>
      </c>
      <c r="AL236" s="30" t="n">
        <v>60</v>
      </c>
      <c r="AM236" s="30" t="n">
        <v>52</v>
      </c>
      <c r="AN236" s="30" t="str">
        <f aca="false">IF(OR(V236="判定不能",M236="判定不能"),"判定不能",IF(AM236&gt;=判定条件!$C$9,"利用可",IF(AND(V236="停止",M236="停止"),"両方停止","運転がそろわない")))</f>
        <v>利用可</v>
      </c>
      <c r="AO236" s="30" t="n">
        <v>60</v>
      </c>
      <c r="AP236" s="30" t="n">
        <v>57</v>
      </c>
      <c r="AQ236" s="30" t="str">
        <f aca="false">IF(OR(Y236="判定不能",G236="判定不能"),"判定不能",IF(AP236&gt;=判定条件!$C$9,"利用可",IF(AND(Y236="停止",G236="停止"),"両方停止","運転がそろわない")))</f>
        <v>利用可</v>
      </c>
      <c r="AR236" s="30" t="n">
        <v>60</v>
      </c>
      <c r="AS236" s="30" t="n">
        <v>30</v>
      </c>
      <c r="AT236" s="30" t="str">
        <f aca="false">IF(OR(AB236="判定不能",J236="判定不能"),"判定不能",IF(AS236&gt;=判定条件!$C$9,"利用可",IF(AND(AB236="停止",J236="停止"),"両方停止","運転がそろわない")))</f>
        <v>利用可</v>
      </c>
      <c r="AU236" s="30" t="n">
        <v>60</v>
      </c>
      <c r="AV236" s="30" t="n">
        <v>60</v>
      </c>
      <c r="AW236" s="30" t="str">
        <f aca="false">IF(OR(AE236="判定不能",M236="判定不能"),"判定不能",IF(AV236&gt;=判定条件!$C$9,"利用可",IF(AND(AE236="停止",M236="停止"),"両方停止","運転がそろわない")))</f>
        <v>利用可</v>
      </c>
      <c r="AX236" s="30" t="str">
        <f aca="false">IF(AND(AH236="利用可",AK236="利用可",AN236="利用可"),"利用可","不可")</f>
        <v>利用可</v>
      </c>
      <c r="AY236" s="30" t="str">
        <f aca="false">IF(AND(AQ236="利用可",AT236="利用可",AW236="利用可"),"利用可","不可")</f>
        <v>利用可</v>
      </c>
    </row>
    <row r="237" customFormat="false" ht="15" hidden="false" customHeight="false" outlineLevel="0" collapsed="false">
      <c r="A237" s="29" t="n">
        <v>46241</v>
      </c>
      <c r="B237" s="30" t="n">
        <v>18</v>
      </c>
      <c r="C237" s="31" t="s">
        <v>62</v>
      </c>
      <c r="D237" s="31" t="s">
        <v>59</v>
      </c>
      <c r="E237" s="30" t="n">
        <v>60</v>
      </c>
      <c r="F237" s="30" t="n">
        <v>60</v>
      </c>
      <c r="G237" s="30" t="str">
        <f aca="false">IF(E237&lt;判定条件!$C$6,"判定不能",IF(F237&gt;=判定条件!$C$7*E237,"運転",IF(F237&lt;=判定条件!$C$8*E237,"停止","断続")))</f>
        <v>運転</v>
      </c>
      <c r="H237" s="30" t="n">
        <v>60</v>
      </c>
      <c r="I237" s="30" t="n">
        <v>60</v>
      </c>
      <c r="J237" s="30" t="str">
        <f aca="false">IF(H237&lt;判定条件!$C$6,"判定不能",IF(I237&gt;=判定条件!$C$7*H237,"運転",IF(I237&lt;=判定条件!$C$8*H237,"停止","断続")))</f>
        <v>運転</v>
      </c>
      <c r="K237" s="30" t="n">
        <v>60</v>
      </c>
      <c r="L237" s="30" t="n">
        <v>60</v>
      </c>
      <c r="M237" s="30" t="str">
        <f aca="false">IF(K237&lt;判定条件!$C$6,"判定不能",IF(L237&gt;=判定条件!$C$7*K237,"運転",IF(L237&lt;=判定条件!$C$8*K237,"停止","断続")))</f>
        <v>運転</v>
      </c>
      <c r="N237" s="30" t="n">
        <v>60</v>
      </c>
      <c r="O237" s="30" t="n">
        <v>0</v>
      </c>
      <c r="P237" s="30" t="str">
        <f aca="false">IF(N237&lt;判定条件!$C$6,"判定不能",IF(O237&gt;=判定条件!$C$7*N237,"運転",IF(O237&lt;=判定条件!$C$8*N237,"停止","断続")))</f>
        <v>停止</v>
      </c>
      <c r="Q237" s="30" t="n">
        <v>60</v>
      </c>
      <c r="R237" s="30" t="n">
        <v>18</v>
      </c>
      <c r="S237" s="30" t="str">
        <f aca="false">IF(Q237&lt;判定条件!$C$6,"判定不能",IF(R237&gt;=判定条件!$C$7*Q237,"運転",IF(R237&lt;=判定条件!$C$8*Q237,"停止","断続")))</f>
        <v>断続</v>
      </c>
      <c r="T237" s="30" t="n">
        <v>60</v>
      </c>
      <c r="U237" s="30" t="n">
        <v>3</v>
      </c>
      <c r="V237" s="30" t="str">
        <f aca="false">IF(T237&lt;判定条件!$C$6,"判定不能",IF(U237&gt;=判定条件!$C$7*T237,"運転",IF(U237&lt;=判定条件!$C$8*T237,"停止","断続")))</f>
        <v>停止</v>
      </c>
      <c r="W237" s="30" t="n">
        <v>60</v>
      </c>
      <c r="X237" s="30" t="n">
        <v>48</v>
      </c>
      <c r="Y237" s="30" t="str">
        <f aca="false">IF(W237&lt;判定条件!$C$6,"判定不能",IF(X237&gt;=判定条件!$C$7*W237,"運転",IF(X237&lt;=判定条件!$C$8*W237,"停止","断続")))</f>
        <v>運転</v>
      </c>
      <c r="Z237" s="30" t="n">
        <v>60</v>
      </c>
      <c r="AA237" s="30" t="n">
        <v>27</v>
      </c>
      <c r="AB237" s="30" t="str">
        <f aca="false">IF(Z237&lt;判定条件!$C$6,"判定不能",IF(AA237&gt;=判定条件!$C$7*Z237,"運転",IF(AA237&lt;=判定条件!$C$8*Z237,"停止","断続")))</f>
        <v>断続</v>
      </c>
      <c r="AC237" s="30" t="n">
        <v>60</v>
      </c>
      <c r="AD237" s="30" t="n">
        <v>60</v>
      </c>
      <c r="AE237" s="30" t="str">
        <f aca="false">IF(AC237&lt;判定条件!$C$6,"判定不能",IF(AD237&gt;=判定条件!$C$7*AC237,"運転",IF(AD237&lt;=判定条件!$C$8*AC237,"停止","断続")))</f>
        <v>運転</v>
      </c>
      <c r="AF237" s="30" t="n">
        <v>60</v>
      </c>
      <c r="AG237" s="30" t="n">
        <v>0</v>
      </c>
      <c r="AH237" s="30" t="str">
        <f aca="false">IF(OR(P237="判定不能",G237="判定不能"),"判定不能",IF(AG237&gt;=判定条件!$C$9,"利用可",IF(AND(P237="停止",G237="停止"),"両方停止","運転がそろわない")))</f>
        <v>運転がそろわない</v>
      </c>
      <c r="AI237" s="30" t="n">
        <v>60</v>
      </c>
      <c r="AJ237" s="30" t="n">
        <v>18</v>
      </c>
      <c r="AK237" s="30" t="str">
        <f aca="false">IF(OR(S237="判定不能",J237="判定不能"),"判定不能",IF(AJ237&gt;=判定条件!$C$9,"利用可",IF(AND(S237="停止",J237="停止"),"両方停止","運転がそろわない")))</f>
        <v>運転がそろわない</v>
      </c>
      <c r="AL237" s="30" t="n">
        <v>60</v>
      </c>
      <c r="AM237" s="30" t="n">
        <v>3</v>
      </c>
      <c r="AN237" s="30" t="str">
        <f aca="false">IF(OR(V237="判定不能",M237="判定不能"),"判定不能",IF(AM237&gt;=判定条件!$C$9,"利用可",IF(AND(V237="停止",M237="停止"),"両方停止","運転がそろわない")))</f>
        <v>運転がそろわない</v>
      </c>
      <c r="AO237" s="30" t="n">
        <v>60</v>
      </c>
      <c r="AP237" s="30" t="n">
        <v>48</v>
      </c>
      <c r="AQ237" s="30" t="str">
        <f aca="false">IF(OR(Y237="判定不能",G237="判定不能"),"判定不能",IF(AP237&gt;=判定条件!$C$9,"利用可",IF(AND(Y237="停止",G237="停止"),"両方停止","運転がそろわない")))</f>
        <v>利用可</v>
      </c>
      <c r="AR237" s="30" t="n">
        <v>60</v>
      </c>
      <c r="AS237" s="30" t="n">
        <v>27</v>
      </c>
      <c r="AT237" s="30" t="str">
        <f aca="false">IF(OR(AB237="判定不能",J237="判定不能"),"判定不能",IF(AS237&gt;=判定条件!$C$9,"利用可",IF(AND(AB237="停止",J237="停止"),"両方停止","運転がそろわない")))</f>
        <v>運転がそろわない</v>
      </c>
      <c r="AU237" s="30" t="n">
        <v>60</v>
      </c>
      <c r="AV237" s="30" t="n">
        <v>60</v>
      </c>
      <c r="AW237" s="30" t="str">
        <f aca="false">IF(OR(AE237="判定不能",M237="判定不能"),"判定不能",IF(AV237&gt;=判定条件!$C$9,"利用可",IF(AND(AE237="停止",M237="停止"),"両方停止","運転がそろわない")))</f>
        <v>利用可</v>
      </c>
      <c r="AX237" s="30" t="str">
        <f aca="false">IF(AND(AH237="利用可",AK237="利用可",AN237="利用可"),"利用可","不可")</f>
        <v>不可</v>
      </c>
      <c r="AY237" s="30" t="str">
        <f aca="false">IF(AND(AQ237="利用可",AT237="利用可",AW237="利用可"),"利用可","不可")</f>
        <v>不可</v>
      </c>
    </row>
    <row r="238" customFormat="false" ht="15" hidden="false" customHeight="false" outlineLevel="0" collapsed="false">
      <c r="A238" s="29" t="n">
        <v>46241</v>
      </c>
      <c r="B238" s="30" t="n">
        <v>19</v>
      </c>
      <c r="C238" s="31" t="s">
        <v>62</v>
      </c>
      <c r="D238" s="31" t="s">
        <v>59</v>
      </c>
      <c r="E238" s="30" t="n">
        <v>60</v>
      </c>
      <c r="F238" s="30" t="n">
        <v>60</v>
      </c>
      <c r="G238" s="30" t="str">
        <f aca="false">IF(E238&lt;判定条件!$C$6,"判定不能",IF(F238&gt;=判定条件!$C$7*E238,"運転",IF(F238&lt;=判定条件!$C$8*E238,"停止","断続")))</f>
        <v>運転</v>
      </c>
      <c r="H238" s="30" t="n">
        <v>60</v>
      </c>
      <c r="I238" s="30" t="n">
        <v>60</v>
      </c>
      <c r="J238" s="30" t="str">
        <f aca="false">IF(H238&lt;判定条件!$C$6,"判定不能",IF(I238&gt;=判定条件!$C$7*H238,"運転",IF(I238&lt;=判定条件!$C$8*H238,"停止","断続")))</f>
        <v>運転</v>
      </c>
      <c r="K238" s="30" t="n">
        <v>60</v>
      </c>
      <c r="L238" s="30" t="n">
        <v>60</v>
      </c>
      <c r="M238" s="30" t="str">
        <f aca="false">IF(K238&lt;判定条件!$C$6,"判定不能",IF(L238&gt;=判定条件!$C$7*K238,"運転",IF(L238&lt;=判定条件!$C$8*K238,"停止","断続")))</f>
        <v>運転</v>
      </c>
      <c r="N238" s="30" t="n">
        <v>60</v>
      </c>
      <c r="O238" s="30" t="n">
        <v>0</v>
      </c>
      <c r="P238" s="30" t="str">
        <f aca="false">IF(N238&lt;判定条件!$C$6,"判定不能",IF(O238&gt;=判定条件!$C$7*N238,"運転",IF(O238&lt;=判定条件!$C$8*N238,"停止","断続")))</f>
        <v>停止</v>
      </c>
      <c r="Q238" s="30" t="n">
        <v>60</v>
      </c>
      <c r="R238" s="30" t="n">
        <v>0</v>
      </c>
      <c r="S238" s="30" t="str">
        <f aca="false">IF(Q238&lt;判定条件!$C$6,"判定不能",IF(R238&gt;=判定条件!$C$7*Q238,"運転",IF(R238&lt;=判定条件!$C$8*Q238,"停止","断続")))</f>
        <v>停止</v>
      </c>
      <c r="T238" s="30" t="n">
        <v>60</v>
      </c>
      <c r="U238" s="30" t="n">
        <v>17</v>
      </c>
      <c r="V238" s="30" t="str">
        <f aca="false">IF(T238&lt;判定条件!$C$6,"判定不能",IF(U238&gt;=判定条件!$C$7*T238,"運転",IF(U238&lt;=判定条件!$C$8*T238,"停止","断続")))</f>
        <v>断続</v>
      </c>
      <c r="W238" s="30" t="n">
        <v>60</v>
      </c>
      <c r="X238" s="30" t="n">
        <v>2</v>
      </c>
      <c r="Y238" s="30" t="str">
        <f aca="false">IF(W238&lt;判定条件!$C$6,"判定不能",IF(X238&gt;=判定条件!$C$7*W238,"運転",IF(X238&lt;=判定条件!$C$8*W238,"停止","断続")))</f>
        <v>停止</v>
      </c>
      <c r="Z238" s="30" t="n">
        <v>60</v>
      </c>
      <c r="AA238" s="30" t="n">
        <v>0</v>
      </c>
      <c r="AB238" s="30" t="str">
        <f aca="false">IF(Z238&lt;判定条件!$C$6,"判定不能",IF(AA238&gt;=判定条件!$C$7*Z238,"運転",IF(AA238&lt;=判定条件!$C$8*Z238,"停止","断続")))</f>
        <v>停止</v>
      </c>
      <c r="AC238" s="30" t="n">
        <v>60</v>
      </c>
      <c r="AD238" s="30" t="n">
        <v>6</v>
      </c>
      <c r="AE238" s="30" t="str">
        <f aca="false">IF(AC238&lt;判定条件!$C$6,"判定不能",IF(AD238&gt;=判定条件!$C$7*AC238,"運転",IF(AD238&lt;=判定条件!$C$8*AC238,"停止","断続")))</f>
        <v>停止</v>
      </c>
      <c r="AF238" s="30" t="n">
        <v>60</v>
      </c>
      <c r="AG238" s="30" t="n">
        <v>0</v>
      </c>
      <c r="AH238" s="30" t="str">
        <f aca="false">IF(OR(P238="判定不能",G238="判定不能"),"判定不能",IF(AG238&gt;=判定条件!$C$9,"利用可",IF(AND(P238="停止",G238="停止"),"両方停止","運転がそろわない")))</f>
        <v>運転がそろわない</v>
      </c>
      <c r="AI238" s="30" t="n">
        <v>60</v>
      </c>
      <c r="AJ238" s="30" t="n">
        <v>0</v>
      </c>
      <c r="AK238" s="30" t="str">
        <f aca="false">IF(OR(S238="判定不能",J238="判定不能"),"判定不能",IF(AJ238&gt;=判定条件!$C$9,"利用可",IF(AND(S238="停止",J238="停止"),"両方停止","運転がそろわない")))</f>
        <v>運転がそろわない</v>
      </c>
      <c r="AL238" s="30" t="n">
        <v>60</v>
      </c>
      <c r="AM238" s="30" t="n">
        <v>17</v>
      </c>
      <c r="AN238" s="30" t="str">
        <f aca="false">IF(OR(V238="判定不能",M238="判定不能"),"判定不能",IF(AM238&gt;=判定条件!$C$9,"利用可",IF(AND(V238="停止",M238="停止"),"両方停止","運転がそろわない")))</f>
        <v>運転がそろわない</v>
      </c>
      <c r="AO238" s="30" t="n">
        <v>60</v>
      </c>
      <c r="AP238" s="30" t="n">
        <v>2</v>
      </c>
      <c r="AQ238" s="30" t="str">
        <f aca="false">IF(OR(Y238="判定不能",G238="判定不能"),"判定不能",IF(AP238&gt;=判定条件!$C$9,"利用可",IF(AND(Y238="停止",G238="停止"),"両方停止","運転がそろわない")))</f>
        <v>運転がそろわない</v>
      </c>
      <c r="AR238" s="30" t="n">
        <v>60</v>
      </c>
      <c r="AS238" s="30" t="n">
        <v>0</v>
      </c>
      <c r="AT238" s="30" t="str">
        <f aca="false">IF(OR(AB238="判定不能",J238="判定不能"),"判定不能",IF(AS238&gt;=判定条件!$C$9,"利用可",IF(AND(AB238="停止",J238="停止"),"両方停止","運転がそろわない")))</f>
        <v>運転がそろわない</v>
      </c>
      <c r="AU238" s="30" t="n">
        <v>60</v>
      </c>
      <c r="AV238" s="30" t="n">
        <v>6</v>
      </c>
      <c r="AW238" s="30" t="str">
        <f aca="false">IF(OR(AE238="判定不能",M238="判定不能"),"判定不能",IF(AV238&gt;=判定条件!$C$9,"利用可",IF(AND(AE238="停止",M238="停止"),"両方停止","運転がそろわない")))</f>
        <v>運転がそろわない</v>
      </c>
      <c r="AX238" s="30" t="str">
        <f aca="false">IF(AND(AH238="利用可",AK238="利用可",AN238="利用可"),"利用可","不可")</f>
        <v>不可</v>
      </c>
      <c r="AY238" s="30" t="str">
        <f aca="false">IF(AND(AQ238="利用可",AT238="利用可",AW238="利用可"),"利用可","不可")</f>
        <v>不可</v>
      </c>
    </row>
    <row r="239" customFormat="false" ht="15" hidden="false" customHeight="false" outlineLevel="0" collapsed="false">
      <c r="A239" s="29" t="n">
        <v>46241</v>
      </c>
      <c r="B239" s="30" t="n">
        <v>20</v>
      </c>
      <c r="C239" s="31" t="s">
        <v>62</v>
      </c>
      <c r="D239" s="31" t="s">
        <v>59</v>
      </c>
      <c r="E239" s="30" t="n">
        <v>60</v>
      </c>
      <c r="F239" s="30" t="n">
        <v>39</v>
      </c>
      <c r="G239" s="30" t="str">
        <f aca="false">IF(E239&lt;判定条件!$C$6,"判定不能",IF(F239&gt;=判定条件!$C$7*E239,"運転",IF(F239&lt;=判定条件!$C$8*E239,"停止","断続")))</f>
        <v>断続</v>
      </c>
      <c r="H239" s="30" t="n">
        <v>60</v>
      </c>
      <c r="I239" s="30" t="n">
        <v>39</v>
      </c>
      <c r="J239" s="30" t="str">
        <f aca="false">IF(H239&lt;判定条件!$C$6,"判定不能",IF(I239&gt;=判定条件!$C$7*H239,"運転",IF(I239&lt;=判定条件!$C$8*H239,"停止","断続")))</f>
        <v>断続</v>
      </c>
      <c r="K239" s="30" t="n">
        <v>60</v>
      </c>
      <c r="L239" s="30" t="n">
        <v>60</v>
      </c>
      <c r="M239" s="30" t="str">
        <f aca="false">IF(K239&lt;判定条件!$C$6,"判定不能",IF(L239&gt;=判定条件!$C$7*K239,"運転",IF(L239&lt;=判定条件!$C$8*K239,"停止","断続")))</f>
        <v>運転</v>
      </c>
      <c r="N239" s="30" t="n">
        <v>60</v>
      </c>
      <c r="O239" s="30" t="n">
        <v>0</v>
      </c>
      <c r="P239" s="30" t="str">
        <f aca="false">IF(N239&lt;判定条件!$C$6,"判定不能",IF(O239&gt;=判定条件!$C$7*N239,"運転",IF(O239&lt;=判定条件!$C$8*N239,"停止","断続")))</f>
        <v>停止</v>
      </c>
      <c r="Q239" s="30" t="n">
        <v>60</v>
      </c>
      <c r="R239" s="30" t="n">
        <v>45</v>
      </c>
      <c r="S239" s="30" t="str">
        <f aca="false">IF(Q239&lt;判定条件!$C$6,"判定不能",IF(R239&gt;=判定条件!$C$7*Q239,"運転",IF(R239&lt;=判定条件!$C$8*Q239,"停止","断続")))</f>
        <v>断続</v>
      </c>
      <c r="T239" s="30" t="n">
        <v>60</v>
      </c>
      <c r="U239" s="30" t="n">
        <v>46</v>
      </c>
      <c r="V239" s="30" t="str">
        <f aca="false">IF(T239&lt;判定条件!$C$6,"判定不能",IF(U239&gt;=判定条件!$C$7*T239,"運転",IF(U239&lt;=判定条件!$C$8*T239,"停止","断続")))</f>
        <v>断続</v>
      </c>
      <c r="W239" s="30" t="n">
        <v>60</v>
      </c>
      <c r="X239" s="30" t="n">
        <v>0</v>
      </c>
      <c r="Y239" s="30" t="str">
        <f aca="false">IF(W239&lt;判定条件!$C$6,"判定不能",IF(X239&gt;=判定条件!$C$7*W239,"運転",IF(X239&lt;=判定条件!$C$8*W239,"停止","断続")))</f>
        <v>停止</v>
      </c>
      <c r="Z239" s="30" t="n">
        <v>60</v>
      </c>
      <c r="AA239" s="30" t="n">
        <v>13</v>
      </c>
      <c r="AB239" s="30" t="str">
        <f aca="false">IF(Z239&lt;判定条件!$C$6,"判定不能",IF(AA239&gt;=判定条件!$C$7*Z239,"運転",IF(AA239&lt;=判定条件!$C$8*Z239,"停止","断続")))</f>
        <v>断続</v>
      </c>
      <c r="AC239" s="30" t="n">
        <v>60</v>
      </c>
      <c r="AD239" s="30" t="n">
        <v>14</v>
      </c>
      <c r="AE239" s="30" t="str">
        <f aca="false">IF(AC239&lt;判定条件!$C$6,"判定不能",IF(AD239&gt;=判定条件!$C$7*AC239,"運転",IF(AD239&lt;=判定条件!$C$8*AC239,"停止","断続")))</f>
        <v>断続</v>
      </c>
      <c r="AF239" s="30" t="n">
        <v>60</v>
      </c>
      <c r="AG239" s="30" t="n">
        <v>0</v>
      </c>
      <c r="AH239" s="30" t="str">
        <f aca="false">IF(OR(P239="判定不能",G239="判定不能"),"判定不能",IF(AG239&gt;=判定条件!$C$9,"利用可",IF(AND(P239="停止",G239="停止"),"両方停止","運転がそろわない")))</f>
        <v>運転がそろわない</v>
      </c>
      <c r="AI239" s="30" t="n">
        <v>60</v>
      </c>
      <c r="AJ239" s="30" t="n">
        <v>32</v>
      </c>
      <c r="AK239" s="30" t="str">
        <f aca="false">IF(OR(S239="判定不能",J239="判定不能"),"判定不能",IF(AJ239&gt;=判定条件!$C$9,"利用可",IF(AND(S239="停止",J239="停止"),"両方停止","運転がそろわない")))</f>
        <v>利用可</v>
      </c>
      <c r="AL239" s="30" t="n">
        <v>60</v>
      </c>
      <c r="AM239" s="30" t="n">
        <v>46</v>
      </c>
      <c r="AN239" s="30" t="str">
        <f aca="false">IF(OR(V239="判定不能",M239="判定不能"),"判定不能",IF(AM239&gt;=判定条件!$C$9,"利用可",IF(AND(V239="停止",M239="停止"),"両方停止","運転がそろわない")))</f>
        <v>利用可</v>
      </c>
      <c r="AO239" s="30" t="n">
        <v>60</v>
      </c>
      <c r="AP239" s="30" t="n">
        <v>0</v>
      </c>
      <c r="AQ239" s="30" t="str">
        <f aca="false">IF(OR(Y239="判定不能",G239="判定不能"),"判定不能",IF(AP239&gt;=判定条件!$C$9,"利用可",IF(AND(Y239="停止",G239="停止"),"両方停止","運転がそろわない")))</f>
        <v>運転がそろわない</v>
      </c>
      <c r="AR239" s="30" t="n">
        <v>60</v>
      </c>
      <c r="AS239" s="30" t="n">
        <v>0</v>
      </c>
      <c r="AT239" s="30" t="str">
        <f aca="false">IF(OR(AB239="判定不能",J239="判定不能"),"判定不能",IF(AS239&gt;=判定条件!$C$9,"利用可",IF(AND(AB239="停止",J239="停止"),"両方停止","運転がそろわない")))</f>
        <v>運転がそろわない</v>
      </c>
      <c r="AU239" s="30" t="n">
        <v>60</v>
      </c>
      <c r="AV239" s="30" t="n">
        <v>14</v>
      </c>
      <c r="AW239" s="30" t="str">
        <f aca="false">IF(OR(AE239="判定不能",M239="判定不能"),"判定不能",IF(AV239&gt;=判定条件!$C$9,"利用可",IF(AND(AE239="停止",M239="停止"),"両方停止","運転がそろわない")))</f>
        <v>運転がそろわない</v>
      </c>
      <c r="AX239" s="30" t="str">
        <f aca="false">IF(AND(AH239="利用可",AK239="利用可",AN239="利用可"),"利用可","不可")</f>
        <v>不可</v>
      </c>
      <c r="AY239" s="30" t="str">
        <f aca="false">IF(AND(AQ239="利用可",AT239="利用可",AW239="利用可"),"利用可","不可")</f>
        <v>不可</v>
      </c>
    </row>
    <row r="240" customFormat="false" ht="15" hidden="false" customHeight="false" outlineLevel="0" collapsed="false">
      <c r="A240" s="29" t="n">
        <v>46241</v>
      </c>
      <c r="B240" s="30" t="n">
        <v>21</v>
      </c>
      <c r="C240" s="31" t="s">
        <v>62</v>
      </c>
      <c r="D240" s="31" t="s">
        <v>59</v>
      </c>
      <c r="E240" s="30" t="n">
        <v>60</v>
      </c>
      <c r="F240" s="30" t="n">
        <v>0</v>
      </c>
      <c r="G240" s="30" t="str">
        <f aca="false">IF(E240&lt;判定条件!$C$6,"判定不能",IF(F240&gt;=判定条件!$C$7*E240,"運転",IF(F240&lt;=判定条件!$C$8*E240,"停止","断続")))</f>
        <v>停止</v>
      </c>
      <c r="H240" s="30" t="n">
        <v>60</v>
      </c>
      <c r="I240" s="30" t="n">
        <v>0</v>
      </c>
      <c r="J240" s="30" t="str">
        <f aca="false">IF(H240&lt;判定条件!$C$6,"判定不能",IF(I240&gt;=判定条件!$C$7*H240,"運転",IF(I240&lt;=判定条件!$C$8*H240,"停止","断続")))</f>
        <v>停止</v>
      </c>
      <c r="K240" s="30" t="n">
        <v>60</v>
      </c>
      <c r="L240" s="30" t="n">
        <v>60</v>
      </c>
      <c r="M240" s="30" t="str">
        <f aca="false">IF(K240&lt;判定条件!$C$6,"判定不能",IF(L240&gt;=判定条件!$C$7*K240,"運転",IF(L240&lt;=判定条件!$C$8*K240,"停止","断続")))</f>
        <v>運転</v>
      </c>
      <c r="N240" s="30" t="n">
        <v>60</v>
      </c>
      <c r="O240" s="30" t="n">
        <v>0</v>
      </c>
      <c r="P240" s="30" t="str">
        <f aca="false">IF(N240&lt;判定条件!$C$6,"判定不能",IF(O240&gt;=判定条件!$C$7*N240,"運転",IF(O240&lt;=判定条件!$C$8*N240,"停止","断続")))</f>
        <v>停止</v>
      </c>
      <c r="Q240" s="30" t="n">
        <v>60</v>
      </c>
      <c r="R240" s="30" t="n">
        <v>0</v>
      </c>
      <c r="S240" s="30" t="str">
        <f aca="false">IF(Q240&lt;判定条件!$C$6,"判定不能",IF(R240&gt;=判定条件!$C$7*Q240,"運転",IF(R240&lt;=判定条件!$C$8*Q240,"停止","断続")))</f>
        <v>停止</v>
      </c>
      <c r="T240" s="30" t="n">
        <v>60</v>
      </c>
      <c r="U240" s="30" t="n">
        <v>48</v>
      </c>
      <c r="V240" s="30" t="str">
        <f aca="false">IF(T240&lt;判定条件!$C$6,"判定不能",IF(U240&gt;=判定条件!$C$7*T240,"運転",IF(U240&lt;=判定条件!$C$8*T240,"停止","断続")))</f>
        <v>運転</v>
      </c>
      <c r="W240" s="30" t="n">
        <v>60</v>
      </c>
      <c r="X240" s="30" t="n">
        <v>0</v>
      </c>
      <c r="Y240" s="30" t="str">
        <f aca="false">IF(W240&lt;判定条件!$C$6,"判定不能",IF(X240&gt;=判定条件!$C$7*W240,"運転",IF(X240&lt;=判定条件!$C$8*W240,"停止","断続")))</f>
        <v>停止</v>
      </c>
      <c r="Z240" s="30" t="n">
        <v>60</v>
      </c>
      <c r="AA240" s="30" t="n">
        <v>48</v>
      </c>
      <c r="AB240" s="30" t="str">
        <f aca="false">IF(Z240&lt;判定条件!$C$6,"判定不能",IF(AA240&gt;=判定条件!$C$7*Z240,"運転",IF(AA240&lt;=判定条件!$C$8*Z240,"停止","断続")))</f>
        <v>運転</v>
      </c>
      <c r="AC240" s="30" t="n">
        <v>60</v>
      </c>
      <c r="AD240" s="30" t="n">
        <v>60</v>
      </c>
      <c r="AE240" s="30" t="str">
        <f aca="false">IF(AC240&lt;判定条件!$C$6,"判定不能",IF(AD240&gt;=判定条件!$C$7*AC240,"運転",IF(AD240&lt;=判定条件!$C$8*AC240,"停止","断続")))</f>
        <v>運転</v>
      </c>
      <c r="AF240" s="30" t="n">
        <v>60</v>
      </c>
      <c r="AG240" s="30" t="n">
        <v>0</v>
      </c>
      <c r="AH240" s="30" t="str">
        <f aca="false">IF(OR(P240="判定不能",G240="判定不能"),"判定不能",IF(AG240&gt;=判定条件!$C$9,"利用可",IF(AND(P240="停止",G240="停止"),"両方停止","運転がそろわない")))</f>
        <v>両方停止</v>
      </c>
      <c r="AI240" s="30" t="n">
        <v>60</v>
      </c>
      <c r="AJ240" s="30" t="n">
        <v>0</v>
      </c>
      <c r="AK240" s="30" t="str">
        <f aca="false">IF(OR(S240="判定不能",J240="判定不能"),"判定不能",IF(AJ240&gt;=判定条件!$C$9,"利用可",IF(AND(S240="停止",J240="停止"),"両方停止","運転がそろわない")))</f>
        <v>両方停止</v>
      </c>
      <c r="AL240" s="30" t="n">
        <v>60</v>
      </c>
      <c r="AM240" s="30" t="n">
        <v>48</v>
      </c>
      <c r="AN240" s="30" t="str">
        <f aca="false">IF(OR(V240="判定不能",M240="判定不能"),"判定不能",IF(AM240&gt;=判定条件!$C$9,"利用可",IF(AND(V240="停止",M240="停止"),"両方停止","運転がそろわない")))</f>
        <v>利用可</v>
      </c>
      <c r="AO240" s="30" t="n">
        <v>60</v>
      </c>
      <c r="AP240" s="30" t="n">
        <v>0</v>
      </c>
      <c r="AQ240" s="30" t="str">
        <f aca="false">IF(OR(Y240="判定不能",G240="判定不能"),"判定不能",IF(AP240&gt;=判定条件!$C$9,"利用可",IF(AND(Y240="停止",G240="停止"),"両方停止","運転がそろわない")))</f>
        <v>両方停止</v>
      </c>
      <c r="AR240" s="30" t="n">
        <v>60</v>
      </c>
      <c r="AS240" s="30" t="n">
        <v>0</v>
      </c>
      <c r="AT240" s="30" t="str">
        <f aca="false">IF(OR(AB240="判定不能",J240="判定不能"),"判定不能",IF(AS240&gt;=判定条件!$C$9,"利用可",IF(AND(AB240="停止",J240="停止"),"両方停止","運転がそろわない")))</f>
        <v>運転がそろわない</v>
      </c>
      <c r="AU240" s="30" t="n">
        <v>60</v>
      </c>
      <c r="AV240" s="30" t="n">
        <v>60</v>
      </c>
      <c r="AW240" s="30" t="str">
        <f aca="false">IF(OR(AE240="判定不能",M240="判定不能"),"判定不能",IF(AV240&gt;=判定条件!$C$9,"利用可",IF(AND(AE240="停止",M240="停止"),"両方停止","運転がそろわない")))</f>
        <v>利用可</v>
      </c>
      <c r="AX240" s="30" t="str">
        <f aca="false">IF(AND(AH240="利用可",AK240="利用可",AN240="利用可"),"利用可","不可")</f>
        <v>不可</v>
      </c>
      <c r="AY240" s="30" t="str">
        <f aca="false">IF(AND(AQ240="利用可",AT240="利用可",AW240="利用可"),"利用可","不可")</f>
        <v>不可</v>
      </c>
    </row>
    <row r="241" customFormat="false" ht="15" hidden="false" customHeight="false" outlineLevel="0" collapsed="false">
      <c r="A241" s="29" t="n">
        <v>46241</v>
      </c>
      <c r="B241" s="30" t="n">
        <v>22</v>
      </c>
      <c r="C241" s="31" t="s">
        <v>62</v>
      </c>
      <c r="D241" s="31" t="s">
        <v>59</v>
      </c>
      <c r="E241" s="30" t="n">
        <v>60</v>
      </c>
      <c r="F241" s="30" t="n">
        <v>0</v>
      </c>
      <c r="G241" s="30" t="str">
        <f aca="false">IF(E241&lt;判定条件!$C$6,"判定不能",IF(F241&gt;=判定条件!$C$7*E241,"運転",IF(F241&lt;=判定条件!$C$8*E241,"停止","断続")))</f>
        <v>停止</v>
      </c>
      <c r="H241" s="30" t="n">
        <v>60</v>
      </c>
      <c r="I241" s="30" t="n">
        <v>0</v>
      </c>
      <c r="J241" s="30" t="str">
        <f aca="false">IF(H241&lt;判定条件!$C$6,"判定不能",IF(I241&gt;=判定条件!$C$7*H241,"運転",IF(I241&lt;=判定条件!$C$8*H241,"停止","断続")))</f>
        <v>停止</v>
      </c>
      <c r="K241" s="30" t="n">
        <v>60</v>
      </c>
      <c r="L241" s="30" t="n">
        <v>60</v>
      </c>
      <c r="M241" s="30" t="str">
        <f aca="false">IF(K241&lt;判定条件!$C$6,"判定不能",IF(L241&gt;=判定条件!$C$7*K241,"運転",IF(L241&lt;=判定条件!$C$8*K241,"停止","断続")))</f>
        <v>運転</v>
      </c>
      <c r="N241" s="30" t="n">
        <v>60</v>
      </c>
      <c r="O241" s="30" t="n">
        <v>0</v>
      </c>
      <c r="P241" s="30" t="str">
        <f aca="false">IF(N241&lt;判定条件!$C$6,"判定不能",IF(O241&gt;=判定条件!$C$7*N241,"運転",IF(O241&lt;=判定条件!$C$8*N241,"停止","断続")))</f>
        <v>停止</v>
      </c>
      <c r="Q241" s="30" t="n">
        <v>60</v>
      </c>
      <c r="R241" s="30" t="n">
        <v>0</v>
      </c>
      <c r="S241" s="30" t="str">
        <f aca="false">IF(Q241&lt;判定条件!$C$6,"判定不能",IF(R241&gt;=判定条件!$C$7*Q241,"運転",IF(R241&lt;=判定条件!$C$8*Q241,"停止","断続")))</f>
        <v>停止</v>
      </c>
      <c r="T241" s="30" t="n">
        <v>60</v>
      </c>
      <c r="U241" s="30" t="n">
        <v>45</v>
      </c>
      <c r="V241" s="30" t="str">
        <f aca="false">IF(T241&lt;判定条件!$C$6,"判定不能",IF(U241&gt;=判定条件!$C$7*T241,"運転",IF(U241&lt;=判定条件!$C$8*T241,"停止","断続")))</f>
        <v>断続</v>
      </c>
      <c r="W241" s="30" t="n">
        <v>60</v>
      </c>
      <c r="X241" s="30" t="n">
        <v>0</v>
      </c>
      <c r="Y241" s="30" t="str">
        <f aca="false">IF(W241&lt;判定条件!$C$6,"判定不能",IF(X241&gt;=判定条件!$C$7*W241,"運転",IF(X241&lt;=判定条件!$C$8*W241,"停止","断続")))</f>
        <v>停止</v>
      </c>
      <c r="Z241" s="30" t="n">
        <v>60</v>
      </c>
      <c r="AA241" s="30" t="n">
        <v>22</v>
      </c>
      <c r="AB241" s="30" t="str">
        <f aca="false">IF(Z241&lt;判定条件!$C$6,"判定不能",IF(AA241&gt;=判定条件!$C$7*Z241,"運転",IF(AA241&lt;=判定条件!$C$8*Z241,"停止","断続")))</f>
        <v>断続</v>
      </c>
      <c r="AC241" s="30" t="n">
        <v>60</v>
      </c>
      <c r="AD241" s="30" t="n">
        <v>60</v>
      </c>
      <c r="AE241" s="30" t="str">
        <f aca="false">IF(AC241&lt;判定条件!$C$6,"判定不能",IF(AD241&gt;=判定条件!$C$7*AC241,"運転",IF(AD241&lt;=判定条件!$C$8*AC241,"停止","断続")))</f>
        <v>運転</v>
      </c>
      <c r="AF241" s="30" t="n">
        <v>60</v>
      </c>
      <c r="AG241" s="30" t="n">
        <v>0</v>
      </c>
      <c r="AH241" s="30" t="str">
        <f aca="false">IF(OR(P241="判定不能",G241="判定不能"),"判定不能",IF(AG241&gt;=判定条件!$C$9,"利用可",IF(AND(P241="停止",G241="停止"),"両方停止","運転がそろわない")))</f>
        <v>両方停止</v>
      </c>
      <c r="AI241" s="30" t="n">
        <v>60</v>
      </c>
      <c r="AJ241" s="30" t="n">
        <v>0</v>
      </c>
      <c r="AK241" s="30" t="str">
        <f aca="false">IF(OR(S241="判定不能",J241="判定不能"),"判定不能",IF(AJ241&gt;=判定条件!$C$9,"利用可",IF(AND(S241="停止",J241="停止"),"両方停止","運転がそろわない")))</f>
        <v>両方停止</v>
      </c>
      <c r="AL241" s="30" t="n">
        <v>60</v>
      </c>
      <c r="AM241" s="30" t="n">
        <v>45</v>
      </c>
      <c r="AN241" s="30" t="str">
        <f aca="false">IF(OR(V241="判定不能",M241="判定不能"),"判定不能",IF(AM241&gt;=判定条件!$C$9,"利用可",IF(AND(V241="停止",M241="停止"),"両方停止","運転がそろわない")))</f>
        <v>利用可</v>
      </c>
      <c r="AO241" s="30" t="n">
        <v>60</v>
      </c>
      <c r="AP241" s="30" t="n">
        <v>0</v>
      </c>
      <c r="AQ241" s="30" t="str">
        <f aca="false">IF(OR(Y241="判定不能",G241="判定不能"),"判定不能",IF(AP241&gt;=判定条件!$C$9,"利用可",IF(AND(Y241="停止",G241="停止"),"両方停止","運転がそろわない")))</f>
        <v>両方停止</v>
      </c>
      <c r="AR241" s="30" t="n">
        <v>60</v>
      </c>
      <c r="AS241" s="30" t="n">
        <v>0</v>
      </c>
      <c r="AT241" s="30" t="str">
        <f aca="false">IF(OR(AB241="判定不能",J241="判定不能"),"判定不能",IF(AS241&gt;=判定条件!$C$9,"利用可",IF(AND(AB241="停止",J241="停止"),"両方停止","運転がそろわない")))</f>
        <v>運転がそろわない</v>
      </c>
      <c r="AU241" s="30" t="n">
        <v>60</v>
      </c>
      <c r="AV241" s="30" t="n">
        <v>60</v>
      </c>
      <c r="AW241" s="30" t="str">
        <f aca="false">IF(OR(AE241="判定不能",M241="判定不能"),"判定不能",IF(AV241&gt;=判定条件!$C$9,"利用可",IF(AND(AE241="停止",M241="停止"),"両方停止","運転がそろわない")))</f>
        <v>利用可</v>
      </c>
      <c r="AX241" s="30" t="str">
        <f aca="false">IF(AND(AH241="利用可",AK241="利用可",AN241="利用可"),"利用可","不可")</f>
        <v>不可</v>
      </c>
      <c r="AY241" s="30" t="str">
        <f aca="false">IF(AND(AQ241="利用可",AT241="利用可",AW241="利用可"),"利用可","不可")</f>
        <v>不可</v>
      </c>
    </row>
    <row r="242" customFormat="false" ht="15" hidden="false" customHeight="false" outlineLevel="0" collapsed="false">
      <c r="A242" s="29" t="n">
        <v>46241</v>
      </c>
      <c r="B242" s="30" t="n">
        <v>23</v>
      </c>
      <c r="C242" s="31" t="s">
        <v>62</v>
      </c>
      <c r="D242" s="31" t="s">
        <v>59</v>
      </c>
      <c r="E242" s="30" t="n">
        <v>60</v>
      </c>
      <c r="F242" s="30" t="n">
        <v>0</v>
      </c>
      <c r="G242" s="30" t="str">
        <f aca="false">IF(E242&lt;判定条件!$C$6,"判定不能",IF(F242&gt;=判定条件!$C$7*E242,"運転",IF(F242&lt;=判定条件!$C$8*E242,"停止","断続")))</f>
        <v>停止</v>
      </c>
      <c r="H242" s="30" t="n">
        <v>60</v>
      </c>
      <c r="I242" s="30" t="n">
        <v>0</v>
      </c>
      <c r="J242" s="30" t="str">
        <f aca="false">IF(H242&lt;判定条件!$C$6,"判定不能",IF(I242&gt;=判定条件!$C$7*H242,"運転",IF(I242&lt;=判定条件!$C$8*H242,"停止","断続")))</f>
        <v>停止</v>
      </c>
      <c r="K242" s="30" t="n">
        <v>60</v>
      </c>
      <c r="L242" s="30" t="n">
        <v>60</v>
      </c>
      <c r="M242" s="30" t="str">
        <f aca="false">IF(K242&lt;判定条件!$C$6,"判定不能",IF(L242&gt;=判定条件!$C$7*K242,"運転",IF(L242&lt;=判定条件!$C$8*K242,"停止","断続")))</f>
        <v>運転</v>
      </c>
      <c r="N242" s="30" t="n">
        <v>60</v>
      </c>
      <c r="O242" s="30" t="n">
        <v>0</v>
      </c>
      <c r="P242" s="30" t="str">
        <f aca="false">IF(N242&lt;判定条件!$C$6,"判定不能",IF(O242&gt;=判定条件!$C$7*N242,"運転",IF(O242&lt;=判定条件!$C$8*N242,"停止","断続")))</f>
        <v>停止</v>
      </c>
      <c r="Q242" s="30" t="n">
        <v>60</v>
      </c>
      <c r="R242" s="30" t="n">
        <v>0</v>
      </c>
      <c r="S242" s="30" t="str">
        <f aca="false">IF(Q242&lt;判定条件!$C$6,"判定不能",IF(R242&gt;=判定条件!$C$7*Q242,"運転",IF(R242&lt;=判定条件!$C$8*Q242,"停止","断続")))</f>
        <v>停止</v>
      </c>
      <c r="T242" s="30" t="n">
        <v>60</v>
      </c>
      <c r="U242" s="30" t="n">
        <v>0</v>
      </c>
      <c r="V242" s="30" t="str">
        <f aca="false">IF(T242&lt;判定条件!$C$6,"判定不能",IF(U242&gt;=判定条件!$C$7*T242,"運転",IF(U242&lt;=判定条件!$C$8*T242,"停止","断続")))</f>
        <v>停止</v>
      </c>
      <c r="W242" s="30" t="n">
        <v>60</v>
      </c>
      <c r="X242" s="30" t="n">
        <v>0</v>
      </c>
      <c r="Y242" s="30" t="str">
        <f aca="false">IF(W242&lt;判定条件!$C$6,"判定不能",IF(X242&gt;=判定条件!$C$7*W242,"運転",IF(X242&lt;=判定条件!$C$8*W242,"停止","断続")))</f>
        <v>停止</v>
      </c>
      <c r="Z242" s="30" t="n">
        <v>60</v>
      </c>
      <c r="AA242" s="30" t="n">
        <v>1</v>
      </c>
      <c r="AB242" s="30" t="str">
        <f aca="false">IF(Z242&lt;判定条件!$C$6,"判定不能",IF(AA242&gt;=判定条件!$C$7*Z242,"運転",IF(AA242&lt;=判定条件!$C$8*Z242,"停止","断続")))</f>
        <v>停止</v>
      </c>
      <c r="AC242" s="30" t="n">
        <v>60</v>
      </c>
      <c r="AD242" s="30" t="n">
        <v>6</v>
      </c>
      <c r="AE242" s="30" t="str">
        <f aca="false">IF(AC242&lt;判定条件!$C$6,"判定不能",IF(AD242&gt;=判定条件!$C$7*AC242,"運転",IF(AD242&lt;=判定条件!$C$8*AC242,"停止","断続")))</f>
        <v>停止</v>
      </c>
      <c r="AF242" s="30" t="n">
        <v>60</v>
      </c>
      <c r="AG242" s="30" t="n">
        <v>0</v>
      </c>
      <c r="AH242" s="30" t="str">
        <f aca="false">IF(OR(P242="判定不能",G242="判定不能"),"判定不能",IF(AG242&gt;=判定条件!$C$9,"利用可",IF(AND(P242="停止",G242="停止"),"両方停止","運転がそろわない")))</f>
        <v>両方停止</v>
      </c>
      <c r="AI242" s="30" t="n">
        <v>60</v>
      </c>
      <c r="AJ242" s="30" t="n">
        <v>0</v>
      </c>
      <c r="AK242" s="30" t="str">
        <f aca="false">IF(OR(S242="判定不能",J242="判定不能"),"判定不能",IF(AJ242&gt;=判定条件!$C$9,"利用可",IF(AND(S242="停止",J242="停止"),"両方停止","運転がそろわない")))</f>
        <v>両方停止</v>
      </c>
      <c r="AL242" s="30" t="n">
        <v>60</v>
      </c>
      <c r="AM242" s="30" t="n">
        <v>0</v>
      </c>
      <c r="AN242" s="30" t="str">
        <f aca="false">IF(OR(V242="判定不能",M242="判定不能"),"判定不能",IF(AM242&gt;=判定条件!$C$9,"利用可",IF(AND(V242="停止",M242="停止"),"両方停止","運転がそろわない")))</f>
        <v>運転がそろわない</v>
      </c>
      <c r="AO242" s="30" t="n">
        <v>60</v>
      </c>
      <c r="AP242" s="30" t="n">
        <v>0</v>
      </c>
      <c r="AQ242" s="30" t="str">
        <f aca="false">IF(OR(Y242="判定不能",G242="判定不能"),"判定不能",IF(AP242&gt;=判定条件!$C$9,"利用可",IF(AND(Y242="停止",G242="停止"),"両方停止","運転がそろわない")))</f>
        <v>両方停止</v>
      </c>
      <c r="AR242" s="30" t="n">
        <v>60</v>
      </c>
      <c r="AS242" s="30" t="n">
        <v>0</v>
      </c>
      <c r="AT242" s="30" t="str">
        <f aca="false">IF(OR(AB242="判定不能",J242="判定不能"),"判定不能",IF(AS242&gt;=判定条件!$C$9,"利用可",IF(AND(AB242="停止",J242="停止"),"両方停止","運転がそろわない")))</f>
        <v>両方停止</v>
      </c>
      <c r="AU242" s="30" t="n">
        <v>60</v>
      </c>
      <c r="AV242" s="30" t="n">
        <v>6</v>
      </c>
      <c r="AW242" s="30" t="str">
        <f aca="false">IF(OR(AE242="判定不能",M242="判定不能"),"判定不能",IF(AV242&gt;=判定条件!$C$9,"利用可",IF(AND(AE242="停止",M242="停止"),"両方停止","運転がそろわない")))</f>
        <v>運転がそろわない</v>
      </c>
      <c r="AX242" s="30" t="str">
        <f aca="false">IF(AND(AH242="利用可",AK242="利用可",AN242="利用可"),"利用可","不可")</f>
        <v>不可</v>
      </c>
      <c r="AY242" s="30" t="str">
        <f aca="false">IF(AND(AQ242="利用可",AT242="利用可",AW242="利用可"),"利用可","不可")</f>
        <v>不可</v>
      </c>
    </row>
    <row r="243" customFormat="false" ht="15" hidden="false" customHeight="false" outlineLevel="0" collapsed="false">
      <c r="A243" s="29" t="n">
        <v>46242</v>
      </c>
      <c r="B243" s="30" t="n">
        <v>0</v>
      </c>
      <c r="C243" s="31" t="s">
        <v>63</v>
      </c>
      <c r="D243" s="31" t="s">
        <v>64</v>
      </c>
      <c r="E243" s="30" t="n">
        <v>60</v>
      </c>
      <c r="F243" s="30" t="n">
        <v>0</v>
      </c>
      <c r="G243" s="30" t="str">
        <f aca="false">IF(E243&lt;判定条件!$C$6,"判定不能",IF(F243&gt;=判定条件!$C$7*E243,"運転",IF(F243&lt;=判定条件!$C$8*E243,"停止","断続")))</f>
        <v>停止</v>
      </c>
      <c r="H243" s="30" t="n">
        <v>60</v>
      </c>
      <c r="I243" s="30" t="n">
        <v>0</v>
      </c>
      <c r="J243" s="30" t="str">
        <f aca="false">IF(H243&lt;判定条件!$C$6,"判定不能",IF(I243&gt;=判定条件!$C$7*H243,"運転",IF(I243&lt;=判定条件!$C$8*H243,"停止","断続")))</f>
        <v>停止</v>
      </c>
      <c r="K243" s="30" t="n">
        <v>60</v>
      </c>
      <c r="L243" s="30" t="n">
        <v>60</v>
      </c>
      <c r="M243" s="30" t="str">
        <f aca="false">IF(K243&lt;判定条件!$C$6,"判定不能",IF(L243&gt;=判定条件!$C$7*K243,"運転",IF(L243&lt;=判定条件!$C$8*K243,"停止","断続")))</f>
        <v>運転</v>
      </c>
      <c r="N243" s="30" t="n">
        <v>60</v>
      </c>
      <c r="O243" s="30" t="n">
        <v>0</v>
      </c>
      <c r="P243" s="30" t="str">
        <f aca="false">IF(N243&lt;判定条件!$C$6,"判定不能",IF(O243&gt;=判定条件!$C$7*N243,"運転",IF(O243&lt;=判定条件!$C$8*N243,"停止","断続")))</f>
        <v>停止</v>
      </c>
      <c r="Q243" s="30" t="n">
        <v>60</v>
      </c>
      <c r="R243" s="30" t="n">
        <v>0</v>
      </c>
      <c r="S243" s="30" t="str">
        <f aca="false">IF(Q243&lt;判定条件!$C$6,"判定不能",IF(R243&gt;=判定条件!$C$7*Q243,"運転",IF(R243&lt;=判定条件!$C$8*Q243,"停止","断続")))</f>
        <v>停止</v>
      </c>
      <c r="T243" s="30" t="n">
        <v>60</v>
      </c>
      <c r="U243" s="30" t="n">
        <v>0</v>
      </c>
      <c r="V243" s="30" t="str">
        <f aca="false">IF(T243&lt;判定条件!$C$6,"判定不能",IF(U243&gt;=判定条件!$C$7*T243,"運転",IF(U243&lt;=判定条件!$C$8*T243,"停止","断続")))</f>
        <v>停止</v>
      </c>
      <c r="W243" s="30" t="n">
        <v>60</v>
      </c>
      <c r="X243" s="30" t="n">
        <v>0</v>
      </c>
      <c r="Y243" s="30" t="str">
        <f aca="false">IF(W243&lt;判定条件!$C$6,"判定不能",IF(X243&gt;=判定条件!$C$7*W243,"運転",IF(X243&lt;=判定条件!$C$8*W243,"停止","断続")))</f>
        <v>停止</v>
      </c>
      <c r="Z243" s="30" t="n">
        <v>60</v>
      </c>
      <c r="AA243" s="30" t="n">
        <v>0</v>
      </c>
      <c r="AB243" s="30" t="str">
        <f aca="false">IF(Z243&lt;判定条件!$C$6,"判定不能",IF(AA243&gt;=判定条件!$C$7*Z243,"運転",IF(AA243&lt;=判定条件!$C$8*Z243,"停止","断続")))</f>
        <v>停止</v>
      </c>
      <c r="AC243" s="30" t="n">
        <v>60</v>
      </c>
      <c r="AD243" s="30" t="n">
        <v>0</v>
      </c>
      <c r="AE243" s="30" t="str">
        <f aca="false">IF(AC243&lt;判定条件!$C$6,"判定不能",IF(AD243&gt;=判定条件!$C$7*AC243,"運転",IF(AD243&lt;=判定条件!$C$8*AC243,"停止","断続")))</f>
        <v>停止</v>
      </c>
      <c r="AF243" s="30" t="n">
        <v>60</v>
      </c>
      <c r="AG243" s="30" t="n">
        <v>0</v>
      </c>
      <c r="AH243" s="30" t="str">
        <f aca="false">IF(OR(P243="判定不能",G243="判定不能"),"判定不能",IF(AG243&gt;=判定条件!$C$9,"利用可",IF(AND(P243="停止",G243="停止"),"両方停止","運転がそろわない")))</f>
        <v>両方停止</v>
      </c>
      <c r="AI243" s="30" t="n">
        <v>60</v>
      </c>
      <c r="AJ243" s="30" t="n">
        <v>0</v>
      </c>
      <c r="AK243" s="30" t="str">
        <f aca="false">IF(OR(S243="判定不能",J243="判定不能"),"判定不能",IF(AJ243&gt;=判定条件!$C$9,"利用可",IF(AND(S243="停止",J243="停止"),"両方停止","運転がそろわない")))</f>
        <v>両方停止</v>
      </c>
      <c r="AL243" s="30" t="n">
        <v>60</v>
      </c>
      <c r="AM243" s="30" t="n">
        <v>0</v>
      </c>
      <c r="AN243" s="30" t="str">
        <f aca="false">IF(OR(V243="判定不能",M243="判定不能"),"判定不能",IF(AM243&gt;=判定条件!$C$9,"利用可",IF(AND(V243="停止",M243="停止"),"両方停止","運転がそろわない")))</f>
        <v>運転がそろわない</v>
      </c>
      <c r="AO243" s="30" t="n">
        <v>60</v>
      </c>
      <c r="AP243" s="30" t="n">
        <v>0</v>
      </c>
      <c r="AQ243" s="30" t="str">
        <f aca="false">IF(OR(Y243="判定不能",G243="判定不能"),"判定不能",IF(AP243&gt;=判定条件!$C$9,"利用可",IF(AND(Y243="停止",G243="停止"),"両方停止","運転がそろわない")))</f>
        <v>両方停止</v>
      </c>
      <c r="AR243" s="30" t="n">
        <v>60</v>
      </c>
      <c r="AS243" s="30" t="n">
        <v>0</v>
      </c>
      <c r="AT243" s="30" t="str">
        <f aca="false">IF(OR(AB243="判定不能",J243="判定不能"),"判定不能",IF(AS243&gt;=判定条件!$C$9,"利用可",IF(AND(AB243="停止",J243="停止"),"両方停止","運転がそろわない")))</f>
        <v>両方停止</v>
      </c>
      <c r="AU243" s="30" t="n">
        <v>60</v>
      </c>
      <c r="AV243" s="30" t="n">
        <v>0</v>
      </c>
      <c r="AW243" s="30" t="str">
        <f aca="false">IF(OR(AE243="判定不能",M243="判定不能"),"判定不能",IF(AV243&gt;=判定条件!$C$9,"利用可",IF(AND(AE243="停止",M243="停止"),"両方停止","運転がそろわない")))</f>
        <v>運転がそろわない</v>
      </c>
      <c r="AX243" s="30" t="str">
        <f aca="false">IF(AND(AH243="利用可",AK243="利用可",AN243="利用可"),"利用可","不可")</f>
        <v>不可</v>
      </c>
      <c r="AY243" s="30" t="str">
        <f aca="false">IF(AND(AQ243="利用可",AT243="利用可",AW243="利用可"),"利用可","不可")</f>
        <v>不可</v>
      </c>
    </row>
    <row r="244" customFormat="false" ht="15" hidden="false" customHeight="false" outlineLevel="0" collapsed="false">
      <c r="A244" s="29" t="n">
        <v>46242</v>
      </c>
      <c r="B244" s="30" t="n">
        <v>1</v>
      </c>
      <c r="C244" s="31" t="s">
        <v>63</v>
      </c>
      <c r="D244" s="31" t="s">
        <v>64</v>
      </c>
      <c r="E244" s="30" t="n">
        <v>60</v>
      </c>
      <c r="F244" s="30" t="n">
        <v>0</v>
      </c>
      <c r="G244" s="30" t="str">
        <f aca="false">IF(E244&lt;判定条件!$C$6,"判定不能",IF(F244&gt;=判定条件!$C$7*E244,"運転",IF(F244&lt;=判定条件!$C$8*E244,"停止","断続")))</f>
        <v>停止</v>
      </c>
      <c r="H244" s="30" t="n">
        <v>60</v>
      </c>
      <c r="I244" s="30" t="n">
        <v>0</v>
      </c>
      <c r="J244" s="30" t="str">
        <f aca="false">IF(H244&lt;判定条件!$C$6,"判定不能",IF(I244&gt;=判定条件!$C$7*H244,"運転",IF(I244&lt;=判定条件!$C$8*H244,"停止","断続")))</f>
        <v>停止</v>
      </c>
      <c r="K244" s="30" t="n">
        <v>60</v>
      </c>
      <c r="L244" s="30" t="n">
        <v>60</v>
      </c>
      <c r="M244" s="30" t="str">
        <f aca="false">IF(K244&lt;判定条件!$C$6,"判定不能",IF(L244&gt;=判定条件!$C$7*K244,"運転",IF(L244&lt;=判定条件!$C$8*K244,"停止","断続")))</f>
        <v>運転</v>
      </c>
      <c r="N244" s="30" t="n">
        <v>60</v>
      </c>
      <c r="O244" s="30" t="n">
        <v>0</v>
      </c>
      <c r="P244" s="30" t="str">
        <f aca="false">IF(N244&lt;判定条件!$C$6,"判定不能",IF(O244&gt;=判定条件!$C$7*N244,"運転",IF(O244&lt;=判定条件!$C$8*N244,"停止","断続")))</f>
        <v>停止</v>
      </c>
      <c r="Q244" s="30" t="n">
        <v>60</v>
      </c>
      <c r="R244" s="30" t="n">
        <v>0</v>
      </c>
      <c r="S244" s="30" t="str">
        <f aca="false">IF(Q244&lt;判定条件!$C$6,"判定不能",IF(R244&gt;=判定条件!$C$7*Q244,"運転",IF(R244&lt;=判定条件!$C$8*Q244,"停止","断続")))</f>
        <v>停止</v>
      </c>
      <c r="T244" s="30" t="n">
        <v>60</v>
      </c>
      <c r="U244" s="30" t="n">
        <v>0</v>
      </c>
      <c r="V244" s="30" t="str">
        <f aca="false">IF(T244&lt;判定条件!$C$6,"判定不能",IF(U244&gt;=判定条件!$C$7*T244,"運転",IF(U244&lt;=判定条件!$C$8*T244,"停止","断続")))</f>
        <v>停止</v>
      </c>
      <c r="W244" s="30" t="n">
        <v>60</v>
      </c>
      <c r="X244" s="30" t="n">
        <v>0</v>
      </c>
      <c r="Y244" s="30" t="str">
        <f aca="false">IF(W244&lt;判定条件!$C$6,"判定不能",IF(X244&gt;=判定条件!$C$7*W244,"運転",IF(X244&lt;=判定条件!$C$8*W244,"停止","断続")))</f>
        <v>停止</v>
      </c>
      <c r="Z244" s="30" t="n">
        <v>60</v>
      </c>
      <c r="AA244" s="30" t="n">
        <v>0</v>
      </c>
      <c r="AB244" s="30" t="str">
        <f aca="false">IF(Z244&lt;判定条件!$C$6,"判定不能",IF(AA244&gt;=判定条件!$C$7*Z244,"運転",IF(AA244&lt;=判定条件!$C$8*Z244,"停止","断続")))</f>
        <v>停止</v>
      </c>
      <c r="AC244" s="30" t="n">
        <v>60</v>
      </c>
      <c r="AD244" s="30" t="n">
        <v>0</v>
      </c>
      <c r="AE244" s="30" t="str">
        <f aca="false">IF(AC244&lt;判定条件!$C$6,"判定不能",IF(AD244&gt;=判定条件!$C$7*AC244,"運転",IF(AD244&lt;=判定条件!$C$8*AC244,"停止","断続")))</f>
        <v>停止</v>
      </c>
      <c r="AF244" s="30" t="n">
        <v>60</v>
      </c>
      <c r="AG244" s="30" t="n">
        <v>0</v>
      </c>
      <c r="AH244" s="30" t="str">
        <f aca="false">IF(OR(P244="判定不能",G244="判定不能"),"判定不能",IF(AG244&gt;=判定条件!$C$9,"利用可",IF(AND(P244="停止",G244="停止"),"両方停止","運転がそろわない")))</f>
        <v>両方停止</v>
      </c>
      <c r="AI244" s="30" t="n">
        <v>60</v>
      </c>
      <c r="AJ244" s="30" t="n">
        <v>0</v>
      </c>
      <c r="AK244" s="30" t="str">
        <f aca="false">IF(OR(S244="判定不能",J244="判定不能"),"判定不能",IF(AJ244&gt;=判定条件!$C$9,"利用可",IF(AND(S244="停止",J244="停止"),"両方停止","運転がそろわない")))</f>
        <v>両方停止</v>
      </c>
      <c r="AL244" s="30" t="n">
        <v>60</v>
      </c>
      <c r="AM244" s="30" t="n">
        <v>0</v>
      </c>
      <c r="AN244" s="30" t="str">
        <f aca="false">IF(OR(V244="判定不能",M244="判定不能"),"判定不能",IF(AM244&gt;=判定条件!$C$9,"利用可",IF(AND(V244="停止",M244="停止"),"両方停止","運転がそろわない")))</f>
        <v>運転がそろわない</v>
      </c>
      <c r="AO244" s="30" t="n">
        <v>60</v>
      </c>
      <c r="AP244" s="30" t="n">
        <v>0</v>
      </c>
      <c r="AQ244" s="30" t="str">
        <f aca="false">IF(OR(Y244="判定不能",G244="判定不能"),"判定不能",IF(AP244&gt;=判定条件!$C$9,"利用可",IF(AND(Y244="停止",G244="停止"),"両方停止","運転がそろわない")))</f>
        <v>両方停止</v>
      </c>
      <c r="AR244" s="30" t="n">
        <v>60</v>
      </c>
      <c r="AS244" s="30" t="n">
        <v>0</v>
      </c>
      <c r="AT244" s="30" t="str">
        <f aca="false">IF(OR(AB244="判定不能",J244="判定不能"),"判定不能",IF(AS244&gt;=判定条件!$C$9,"利用可",IF(AND(AB244="停止",J244="停止"),"両方停止","運転がそろわない")))</f>
        <v>両方停止</v>
      </c>
      <c r="AU244" s="30" t="n">
        <v>60</v>
      </c>
      <c r="AV244" s="30" t="n">
        <v>0</v>
      </c>
      <c r="AW244" s="30" t="str">
        <f aca="false">IF(OR(AE244="判定不能",M244="判定不能"),"判定不能",IF(AV244&gt;=判定条件!$C$9,"利用可",IF(AND(AE244="停止",M244="停止"),"両方停止","運転がそろわない")))</f>
        <v>運転がそろわない</v>
      </c>
      <c r="AX244" s="30" t="str">
        <f aca="false">IF(AND(AH244="利用可",AK244="利用可",AN244="利用可"),"利用可","不可")</f>
        <v>不可</v>
      </c>
      <c r="AY244" s="30" t="str">
        <f aca="false">IF(AND(AQ244="利用可",AT244="利用可",AW244="利用可"),"利用可","不可")</f>
        <v>不可</v>
      </c>
    </row>
    <row r="245" customFormat="false" ht="15" hidden="false" customHeight="false" outlineLevel="0" collapsed="false">
      <c r="A245" s="29" t="n">
        <v>46242</v>
      </c>
      <c r="B245" s="30" t="n">
        <v>2</v>
      </c>
      <c r="C245" s="31" t="s">
        <v>63</v>
      </c>
      <c r="D245" s="31" t="s">
        <v>64</v>
      </c>
      <c r="E245" s="30" t="n">
        <v>60</v>
      </c>
      <c r="F245" s="30" t="n">
        <v>0</v>
      </c>
      <c r="G245" s="30" t="str">
        <f aca="false">IF(E245&lt;判定条件!$C$6,"判定不能",IF(F245&gt;=判定条件!$C$7*E245,"運転",IF(F245&lt;=判定条件!$C$8*E245,"停止","断続")))</f>
        <v>停止</v>
      </c>
      <c r="H245" s="30" t="n">
        <v>60</v>
      </c>
      <c r="I245" s="30" t="n">
        <v>0</v>
      </c>
      <c r="J245" s="30" t="str">
        <f aca="false">IF(H245&lt;判定条件!$C$6,"判定不能",IF(I245&gt;=判定条件!$C$7*H245,"運転",IF(I245&lt;=判定条件!$C$8*H245,"停止","断続")))</f>
        <v>停止</v>
      </c>
      <c r="K245" s="30" t="n">
        <v>60</v>
      </c>
      <c r="L245" s="30" t="n">
        <v>60</v>
      </c>
      <c r="M245" s="30" t="str">
        <f aca="false">IF(K245&lt;判定条件!$C$6,"判定不能",IF(L245&gt;=判定条件!$C$7*K245,"運転",IF(L245&lt;=判定条件!$C$8*K245,"停止","断続")))</f>
        <v>運転</v>
      </c>
      <c r="N245" s="30" t="n">
        <v>60</v>
      </c>
      <c r="O245" s="30" t="n">
        <v>0</v>
      </c>
      <c r="P245" s="30" t="str">
        <f aca="false">IF(N245&lt;判定条件!$C$6,"判定不能",IF(O245&gt;=判定条件!$C$7*N245,"運転",IF(O245&lt;=判定条件!$C$8*N245,"停止","断続")))</f>
        <v>停止</v>
      </c>
      <c r="Q245" s="30" t="n">
        <v>60</v>
      </c>
      <c r="R245" s="30" t="n">
        <v>0</v>
      </c>
      <c r="S245" s="30" t="str">
        <f aca="false">IF(Q245&lt;判定条件!$C$6,"判定不能",IF(R245&gt;=判定条件!$C$7*Q245,"運転",IF(R245&lt;=判定条件!$C$8*Q245,"停止","断続")))</f>
        <v>停止</v>
      </c>
      <c r="T245" s="30" t="n">
        <v>60</v>
      </c>
      <c r="U245" s="30" t="n">
        <v>0</v>
      </c>
      <c r="V245" s="30" t="str">
        <f aca="false">IF(T245&lt;判定条件!$C$6,"判定不能",IF(U245&gt;=判定条件!$C$7*T245,"運転",IF(U245&lt;=判定条件!$C$8*T245,"停止","断続")))</f>
        <v>停止</v>
      </c>
      <c r="W245" s="30" t="n">
        <v>60</v>
      </c>
      <c r="X245" s="30" t="n">
        <v>0</v>
      </c>
      <c r="Y245" s="30" t="str">
        <f aca="false">IF(W245&lt;判定条件!$C$6,"判定不能",IF(X245&gt;=判定条件!$C$7*W245,"運転",IF(X245&lt;=判定条件!$C$8*W245,"停止","断続")))</f>
        <v>停止</v>
      </c>
      <c r="Z245" s="30" t="n">
        <v>60</v>
      </c>
      <c r="AA245" s="30" t="n">
        <v>0</v>
      </c>
      <c r="AB245" s="30" t="str">
        <f aca="false">IF(Z245&lt;判定条件!$C$6,"判定不能",IF(AA245&gt;=判定条件!$C$7*Z245,"運転",IF(AA245&lt;=判定条件!$C$8*Z245,"停止","断続")))</f>
        <v>停止</v>
      </c>
      <c r="AC245" s="30" t="n">
        <v>60</v>
      </c>
      <c r="AD245" s="30" t="n">
        <v>0</v>
      </c>
      <c r="AE245" s="30" t="str">
        <f aca="false">IF(AC245&lt;判定条件!$C$6,"判定不能",IF(AD245&gt;=判定条件!$C$7*AC245,"運転",IF(AD245&lt;=判定条件!$C$8*AC245,"停止","断続")))</f>
        <v>停止</v>
      </c>
      <c r="AF245" s="30" t="n">
        <v>60</v>
      </c>
      <c r="AG245" s="30" t="n">
        <v>0</v>
      </c>
      <c r="AH245" s="30" t="str">
        <f aca="false">IF(OR(P245="判定不能",G245="判定不能"),"判定不能",IF(AG245&gt;=判定条件!$C$9,"利用可",IF(AND(P245="停止",G245="停止"),"両方停止","運転がそろわない")))</f>
        <v>両方停止</v>
      </c>
      <c r="AI245" s="30" t="n">
        <v>60</v>
      </c>
      <c r="AJ245" s="30" t="n">
        <v>0</v>
      </c>
      <c r="AK245" s="30" t="str">
        <f aca="false">IF(OR(S245="判定不能",J245="判定不能"),"判定不能",IF(AJ245&gt;=判定条件!$C$9,"利用可",IF(AND(S245="停止",J245="停止"),"両方停止","運転がそろわない")))</f>
        <v>両方停止</v>
      </c>
      <c r="AL245" s="30" t="n">
        <v>60</v>
      </c>
      <c r="AM245" s="30" t="n">
        <v>0</v>
      </c>
      <c r="AN245" s="30" t="str">
        <f aca="false">IF(OR(V245="判定不能",M245="判定不能"),"判定不能",IF(AM245&gt;=判定条件!$C$9,"利用可",IF(AND(V245="停止",M245="停止"),"両方停止","運転がそろわない")))</f>
        <v>運転がそろわない</v>
      </c>
      <c r="AO245" s="30" t="n">
        <v>60</v>
      </c>
      <c r="AP245" s="30" t="n">
        <v>0</v>
      </c>
      <c r="AQ245" s="30" t="str">
        <f aca="false">IF(OR(Y245="判定不能",G245="判定不能"),"判定不能",IF(AP245&gt;=判定条件!$C$9,"利用可",IF(AND(Y245="停止",G245="停止"),"両方停止","運転がそろわない")))</f>
        <v>両方停止</v>
      </c>
      <c r="AR245" s="30" t="n">
        <v>60</v>
      </c>
      <c r="AS245" s="30" t="n">
        <v>0</v>
      </c>
      <c r="AT245" s="30" t="str">
        <f aca="false">IF(OR(AB245="判定不能",J245="判定不能"),"判定不能",IF(AS245&gt;=判定条件!$C$9,"利用可",IF(AND(AB245="停止",J245="停止"),"両方停止","運転がそろわない")))</f>
        <v>両方停止</v>
      </c>
      <c r="AU245" s="30" t="n">
        <v>60</v>
      </c>
      <c r="AV245" s="30" t="n">
        <v>0</v>
      </c>
      <c r="AW245" s="30" t="str">
        <f aca="false">IF(OR(AE245="判定不能",M245="判定不能"),"判定不能",IF(AV245&gt;=判定条件!$C$9,"利用可",IF(AND(AE245="停止",M245="停止"),"両方停止","運転がそろわない")))</f>
        <v>運転がそろわない</v>
      </c>
      <c r="AX245" s="30" t="str">
        <f aca="false">IF(AND(AH245="利用可",AK245="利用可",AN245="利用可"),"利用可","不可")</f>
        <v>不可</v>
      </c>
      <c r="AY245" s="30" t="str">
        <f aca="false">IF(AND(AQ245="利用可",AT245="利用可",AW245="利用可"),"利用可","不可")</f>
        <v>不可</v>
      </c>
    </row>
    <row r="246" customFormat="false" ht="15" hidden="false" customHeight="false" outlineLevel="0" collapsed="false">
      <c r="A246" s="29" t="n">
        <v>46242</v>
      </c>
      <c r="B246" s="30" t="n">
        <v>3</v>
      </c>
      <c r="C246" s="31" t="s">
        <v>63</v>
      </c>
      <c r="D246" s="31" t="s">
        <v>64</v>
      </c>
      <c r="E246" s="30" t="n">
        <v>60</v>
      </c>
      <c r="F246" s="30" t="n">
        <v>0</v>
      </c>
      <c r="G246" s="30" t="str">
        <f aca="false">IF(E246&lt;判定条件!$C$6,"判定不能",IF(F246&gt;=判定条件!$C$7*E246,"運転",IF(F246&lt;=判定条件!$C$8*E246,"停止","断続")))</f>
        <v>停止</v>
      </c>
      <c r="H246" s="30" t="n">
        <v>60</v>
      </c>
      <c r="I246" s="30" t="n">
        <v>0</v>
      </c>
      <c r="J246" s="30" t="str">
        <f aca="false">IF(H246&lt;判定条件!$C$6,"判定不能",IF(I246&gt;=判定条件!$C$7*H246,"運転",IF(I246&lt;=判定条件!$C$8*H246,"停止","断続")))</f>
        <v>停止</v>
      </c>
      <c r="K246" s="30" t="n">
        <v>60</v>
      </c>
      <c r="L246" s="30" t="n">
        <v>60</v>
      </c>
      <c r="M246" s="30" t="str">
        <f aca="false">IF(K246&lt;判定条件!$C$6,"判定不能",IF(L246&gt;=判定条件!$C$7*K246,"運転",IF(L246&lt;=判定条件!$C$8*K246,"停止","断続")))</f>
        <v>運転</v>
      </c>
      <c r="N246" s="30" t="n">
        <v>60</v>
      </c>
      <c r="O246" s="30" t="n">
        <v>0</v>
      </c>
      <c r="P246" s="30" t="str">
        <f aca="false">IF(N246&lt;判定条件!$C$6,"判定不能",IF(O246&gt;=判定条件!$C$7*N246,"運転",IF(O246&lt;=判定条件!$C$8*N246,"停止","断続")))</f>
        <v>停止</v>
      </c>
      <c r="Q246" s="30" t="n">
        <v>60</v>
      </c>
      <c r="R246" s="30" t="n">
        <v>0</v>
      </c>
      <c r="S246" s="30" t="str">
        <f aca="false">IF(Q246&lt;判定条件!$C$6,"判定不能",IF(R246&gt;=判定条件!$C$7*Q246,"運転",IF(R246&lt;=判定条件!$C$8*Q246,"停止","断続")))</f>
        <v>停止</v>
      </c>
      <c r="T246" s="30" t="n">
        <v>60</v>
      </c>
      <c r="U246" s="30" t="n">
        <v>0</v>
      </c>
      <c r="V246" s="30" t="str">
        <f aca="false">IF(T246&lt;判定条件!$C$6,"判定不能",IF(U246&gt;=判定条件!$C$7*T246,"運転",IF(U246&lt;=判定条件!$C$8*T246,"停止","断続")))</f>
        <v>停止</v>
      </c>
      <c r="W246" s="30" t="n">
        <v>60</v>
      </c>
      <c r="X246" s="30" t="n">
        <v>0</v>
      </c>
      <c r="Y246" s="30" t="str">
        <f aca="false">IF(W246&lt;判定条件!$C$6,"判定不能",IF(X246&gt;=判定条件!$C$7*W246,"運転",IF(X246&lt;=判定条件!$C$8*W246,"停止","断続")))</f>
        <v>停止</v>
      </c>
      <c r="Z246" s="30" t="n">
        <v>60</v>
      </c>
      <c r="AA246" s="30" t="n">
        <v>0</v>
      </c>
      <c r="AB246" s="30" t="str">
        <f aca="false">IF(Z246&lt;判定条件!$C$6,"判定不能",IF(AA246&gt;=判定条件!$C$7*Z246,"運転",IF(AA246&lt;=判定条件!$C$8*Z246,"停止","断続")))</f>
        <v>停止</v>
      </c>
      <c r="AC246" s="30" t="n">
        <v>60</v>
      </c>
      <c r="AD246" s="30" t="n">
        <v>0</v>
      </c>
      <c r="AE246" s="30" t="str">
        <f aca="false">IF(AC246&lt;判定条件!$C$6,"判定不能",IF(AD246&gt;=判定条件!$C$7*AC246,"運転",IF(AD246&lt;=判定条件!$C$8*AC246,"停止","断続")))</f>
        <v>停止</v>
      </c>
      <c r="AF246" s="30" t="n">
        <v>60</v>
      </c>
      <c r="AG246" s="30" t="n">
        <v>0</v>
      </c>
      <c r="AH246" s="30" t="str">
        <f aca="false">IF(OR(P246="判定不能",G246="判定不能"),"判定不能",IF(AG246&gt;=判定条件!$C$9,"利用可",IF(AND(P246="停止",G246="停止"),"両方停止","運転がそろわない")))</f>
        <v>両方停止</v>
      </c>
      <c r="AI246" s="30" t="n">
        <v>60</v>
      </c>
      <c r="AJ246" s="30" t="n">
        <v>0</v>
      </c>
      <c r="AK246" s="30" t="str">
        <f aca="false">IF(OR(S246="判定不能",J246="判定不能"),"判定不能",IF(AJ246&gt;=判定条件!$C$9,"利用可",IF(AND(S246="停止",J246="停止"),"両方停止","運転がそろわない")))</f>
        <v>両方停止</v>
      </c>
      <c r="AL246" s="30" t="n">
        <v>60</v>
      </c>
      <c r="AM246" s="30" t="n">
        <v>0</v>
      </c>
      <c r="AN246" s="30" t="str">
        <f aca="false">IF(OR(V246="判定不能",M246="判定不能"),"判定不能",IF(AM246&gt;=判定条件!$C$9,"利用可",IF(AND(V246="停止",M246="停止"),"両方停止","運転がそろわない")))</f>
        <v>運転がそろわない</v>
      </c>
      <c r="AO246" s="30" t="n">
        <v>60</v>
      </c>
      <c r="AP246" s="30" t="n">
        <v>0</v>
      </c>
      <c r="AQ246" s="30" t="str">
        <f aca="false">IF(OR(Y246="判定不能",G246="判定不能"),"判定不能",IF(AP246&gt;=判定条件!$C$9,"利用可",IF(AND(Y246="停止",G246="停止"),"両方停止","運転がそろわない")))</f>
        <v>両方停止</v>
      </c>
      <c r="AR246" s="30" t="n">
        <v>60</v>
      </c>
      <c r="AS246" s="30" t="n">
        <v>0</v>
      </c>
      <c r="AT246" s="30" t="str">
        <f aca="false">IF(OR(AB246="判定不能",J246="判定不能"),"判定不能",IF(AS246&gt;=判定条件!$C$9,"利用可",IF(AND(AB246="停止",J246="停止"),"両方停止","運転がそろわない")))</f>
        <v>両方停止</v>
      </c>
      <c r="AU246" s="30" t="n">
        <v>60</v>
      </c>
      <c r="AV246" s="30" t="n">
        <v>0</v>
      </c>
      <c r="AW246" s="30" t="str">
        <f aca="false">IF(OR(AE246="判定不能",M246="判定不能"),"判定不能",IF(AV246&gt;=判定条件!$C$9,"利用可",IF(AND(AE246="停止",M246="停止"),"両方停止","運転がそろわない")))</f>
        <v>運転がそろわない</v>
      </c>
      <c r="AX246" s="30" t="str">
        <f aca="false">IF(AND(AH246="利用可",AK246="利用可",AN246="利用可"),"利用可","不可")</f>
        <v>不可</v>
      </c>
      <c r="AY246" s="30" t="str">
        <f aca="false">IF(AND(AQ246="利用可",AT246="利用可",AW246="利用可"),"利用可","不可")</f>
        <v>不可</v>
      </c>
    </row>
    <row r="247" customFormat="false" ht="15" hidden="false" customHeight="false" outlineLevel="0" collapsed="false">
      <c r="A247" s="29" t="n">
        <v>46242</v>
      </c>
      <c r="B247" s="30" t="n">
        <v>4</v>
      </c>
      <c r="C247" s="31" t="s">
        <v>63</v>
      </c>
      <c r="D247" s="31" t="s">
        <v>64</v>
      </c>
      <c r="E247" s="30" t="n">
        <v>60</v>
      </c>
      <c r="F247" s="30" t="n">
        <v>0</v>
      </c>
      <c r="G247" s="30" t="str">
        <f aca="false">IF(E247&lt;判定条件!$C$6,"判定不能",IF(F247&gt;=判定条件!$C$7*E247,"運転",IF(F247&lt;=判定条件!$C$8*E247,"停止","断続")))</f>
        <v>停止</v>
      </c>
      <c r="H247" s="30" t="n">
        <v>60</v>
      </c>
      <c r="I247" s="30" t="n">
        <v>0</v>
      </c>
      <c r="J247" s="30" t="str">
        <f aca="false">IF(H247&lt;判定条件!$C$6,"判定不能",IF(I247&gt;=判定条件!$C$7*H247,"運転",IF(I247&lt;=判定条件!$C$8*H247,"停止","断続")))</f>
        <v>停止</v>
      </c>
      <c r="K247" s="30" t="n">
        <v>60</v>
      </c>
      <c r="L247" s="30" t="n">
        <v>60</v>
      </c>
      <c r="M247" s="30" t="str">
        <f aca="false">IF(K247&lt;判定条件!$C$6,"判定不能",IF(L247&gt;=判定条件!$C$7*K247,"運転",IF(L247&lt;=判定条件!$C$8*K247,"停止","断続")))</f>
        <v>運転</v>
      </c>
      <c r="N247" s="30" t="n">
        <v>60</v>
      </c>
      <c r="O247" s="30" t="n">
        <v>0</v>
      </c>
      <c r="P247" s="30" t="str">
        <f aca="false">IF(N247&lt;判定条件!$C$6,"判定不能",IF(O247&gt;=判定条件!$C$7*N247,"運転",IF(O247&lt;=判定条件!$C$8*N247,"停止","断続")))</f>
        <v>停止</v>
      </c>
      <c r="Q247" s="30" t="n">
        <v>60</v>
      </c>
      <c r="R247" s="30" t="n">
        <v>0</v>
      </c>
      <c r="S247" s="30" t="str">
        <f aca="false">IF(Q247&lt;判定条件!$C$6,"判定不能",IF(R247&gt;=判定条件!$C$7*Q247,"運転",IF(R247&lt;=判定条件!$C$8*Q247,"停止","断続")))</f>
        <v>停止</v>
      </c>
      <c r="T247" s="30" t="n">
        <v>60</v>
      </c>
      <c r="U247" s="30" t="n">
        <v>0</v>
      </c>
      <c r="V247" s="30" t="str">
        <f aca="false">IF(T247&lt;判定条件!$C$6,"判定不能",IF(U247&gt;=判定条件!$C$7*T247,"運転",IF(U247&lt;=判定条件!$C$8*T247,"停止","断続")))</f>
        <v>停止</v>
      </c>
      <c r="W247" s="30" t="n">
        <v>60</v>
      </c>
      <c r="X247" s="30" t="n">
        <v>0</v>
      </c>
      <c r="Y247" s="30" t="str">
        <f aca="false">IF(W247&lt;判定条件!$C$6,"判定不能",IF(X247&gt;=判定条件!$C$7*W247,"運転",IF(X247&lt;=判定条件!$C$8*W247,"停止","断続")))</f>
        <v>停止</v>
      </c>
      <c r="Z247" s="30" t="n">
        <v>60</v>
      </c>
      <c r="AA247" s="30" t="n">
        <v>0</v>
      </c>
      <c r="AB247" s="30" t="str">
        <f aca="false">IF(Z247&lt;判定条件!$C$6,"判定不能",IF(AA247&gt;=判定条件!$C$7*Z247,"運転",IF(AA247&lt;=判定条件!$C$8*Z247,"停止","断続")))</f>
        <v>停止</v>
      </c>
      <c r="AC247" s="30" t="n">
        <v>60</v>
      </c>
      <c r="AD247" s="30" t="n">
        <v>0</v>
      </c>
      <c r="AE247" s="30" t="str">
        <f aca="false">IF(AC247&lt;判定条件!$C$6,"判定不能",IF(AD247&gt;=判定条件!$C$7*AC247,"運転",IF(AD247&lt;=判定条件!$C$8*AC247,"停止","断続")))</f>
        <v>停止</v>
      </c>
      <c r="AF247" s="30" t="n">
        <v>60</v>
      </c>
      <c r="AG247" s="30" t="n">
        <v>0</v>
      </c>
      <c r="AH247" s="30" t="str">
        <f aca="false">IF(OR(P247="判定不能",G247="判定不能"),"判定不能",IF(AG247&gt;=判定条件!$C$9,"利用可",IF(AND(P247="停止",G247="停止"),"両方停止","運転がそろわない")))</f>
        <v>両方停止</v>
      </c>
      <c r="AI247" s="30" t="n">
        <v>60</v>
      </c>
      <c r="AJ247" s="30" t="n">
        <v>0</v>
      </c>
      <c r="AK247" s="30" t="str">
        <f aca="false">IF(OR(S247="判定不能",J247="判定不能"),"判定不能",IF(AJ247&gt;=判定条件!$C$9,"利用可",IF(AND(S247="停止",J247="停止"),"両方停止","運転がそろわない")))</f>
        <v>両方停止</v>
      </c>
      <c r="AL247" s="30" t="n">
        <v>60</v>
      </c>
      <c r="AM247" s="30" t="n">
        <v>0</v>
      </c>
      <c r="AN247" s="30" t="str">
        <f aca="false">IF(OR(V247="判定不能",M247="判定不能"),"判定不能",IF(AM247&gt;=判定条件!$C$9,"利用可",IF(AND(V247="停止",M247="停止"),"両方停止","運転がそろわない")))</f>
        <v>運転がそろわない</v>
      </c>
      <c r="AO247" s="30" t="n">
        <v>60</v>
      </c>
      <c r="AP247" s="30" t="n">
        <v>0</v>
      </c>
      <c r="AQ247" s="30" t="str">
        <f aca="false">IF(OR(Y247="判定不能",G247="判定不能"),"判定不能",IF(AP247&gt;=判定条件!$C$9,"利用可",IF(AND(Y247="停止",G247="停止"),"両方停止","運転がそろわない")))</f>
        <v>両方停止</v>
      </c>
      <c r="AR247" s="30" t="n">
        <v>60</v>
      </c>
      <c r="AS247" s="30" t="n">
        <v>0</v>
      </c>
      <c r="AT247" s="30" t="str">
        <f aca="false">IF(OR(AB247="判定不能",J247="判定不能"),"判定不能",IF(AS247&gt;=判定条件!$C$9,"利用可",IF(AND(AB247="停止",J247="停止"),"両方停止","運転がそろわない")))</f>
        <v>両方停止</v>
      </c>
      <c r="AU247" s="30" t="n">
        <v>60</v>
      </c>
      <c r="AV247" s="30" t="n">
        <v>0</v>
      </c>
      <c r="AW247" s="30" t="str">
        <f aca="false">IF(OR(AE247="判定不能",M247="判定不能"),"判定不能",IF(AV247&gt;=判定条件!$C$9,"利用可",IF(AND(AE247="停止",M247="停止"),"両方停止","運転がそろわない")))</f>
        <v>運転がそろわない</v>
      </c>
      <c r="AX247" s="30" t="str">
        <f aca="false">IF(AND(AH247="利用可",AK247="利用可",AN247="利用可"),"利用可","不可")</f>
        <v>不可</v>
      </c>
      <c r="AY247" s="30" t="str">
        <f aca="false">IF(AND(AQ247="利用可",AT247="利用可",AW247="利用可"),"利用可","不可")</f>
        <v>不可</v>
      </c>
    </row>
    <row r="248" customFormat="false" ht="15" hidden="false" customHeight="false" outlineLevel="0" collapsed="false">
      <c r="A248" s="29" t="n">
        <v>46242</v>
      </c>
      <c r="B248" s="30" t="n">
        <v>5</v>
      </c>
      <c r="C248" s="31" t="s">
        <v>63</v>
      </c>
      <c r="D248" s="31" t="s">
        <v>64</v>
      </c>
      <c r="E248" s="30" t="n">
        <v>60</v>
      </c>
      <c r="F248" s="30" t="n">
        <v>0</v>
      </c>
      <c r="G248" s="30" t="str">
        <f aca="false">IF(E248&lt;判定条件!$C$6,"判定不能",IF(F248&gt;=判定条件!$C$7*E248,"運転",IF(F248&lt;=判定条件!$C$8*E248,"停止","断続")))</f>
        <v>停止</v>
      </c>
      <c r="H248" s="30" t="n">
        <v>60</v>
      </c>
      <c r="I248" s="30" t="n">
        <v>0</v>
      </c>
      <c r="J248" s="30" t="str">
        <f aca="false">IF(H248&lt;判定条件!$C$6,"判定不能",IF(I248&gt;=判定条件!$C$7*H248,"運転",IF(I248&lt;=判定条件!$C$8*H248,"停止","断続")))</f>
        <v>停止</v>
      </c>
      <c r="K248" s="30" t="n">
        <v>60</v>
      </c>
      <c r="L248" s="30" t="n">
        <v>60</v>
      </c>
      <c r="M248" s="30" t="str">
        <f aca="false">IF(K248&lt;判定条件!$C$6,"判定不能",IF(L248&gt;=判定条件!$C$7*K248,"運転",IF(L248&lt;=判定条件!$C$8*K248,"停止","断続")))</f>
        <v>運転</v>
      </c>
      <c r="N248" s="30" t="n">
        <v>60</v>
      </c>
      <c r="O248" s="30" t="n">
        <v>0</v>
      </c>
      <c r="P248" s="30" t="str">
        <f aca="false">IF(N248&lt;判定条件!$C$6,"判定不能",IF(O248&gt;=判定条件!$C$7*N248,"運転",IF(O248&lt;=判定条件!$C$8*N248,"停止","断続")))</f>
        <v>停止</v>
      </c>
      <c r="Q248" s="30" t="n">
        <v>60</v>
      </c>
      <c r="R248" s="30" t="n">
        <v>0</v>
      </c>
      <c r="S248" s="30" t="str">
        <f aca="false">IF(Q248&lt;判定条件!$C$6,"判定不能",IF(R248&gt;=判定条件!$C$7*Q248,"運転",IF(R248&lt;=判定条件!$C$8*Q248,"停止","断続")))</f>
        <v>停止</v>
      </c>
      <c r="T248" s="30" t="n">
        <v>60</v>
      </c>
      <c r="U248" s="30" t="n">
        <v>0</v>
      </c>
      <c r="V248" s="30" t="str">
        <f aca="false">IF(T248&lt;判定条件!$C$6,"判定不能",IF(U248&gt;=判定条件!$C$7*T248,"運転",IF(U248&lt;=判定条件!$C$8*T248,"停止","断続")))</f>
        <v>停止</v>
      </c>
      <c r="W248" s="30" t="n">
        <v>60</v>
      </c>
      <c r="X248" s="30" t="n">
        <v>0</v>
      </c>
      <c r="Y248" s="30" t="str">
        <f aca="false">IF(W248&lt;判定条件!$C$6,"判定不能",IF(X248&gt;=判定条件!$C$7*W248,"運転",IF(X248&lt;=判定条件!$C$8*W248,"停止","断続")))</f>
        <v>停止</v>
      </c>
      <c r="Z248" s="30" t="n">
        <v>60</v>
      </c>
      <c r="AA248" s="30" t="n">
        <v>0</v>
      </c>
      <c r="AB248" s="30" t="str">
        <f aca="false">IF(Z248&lt;判定条件!$C$6,"判定不能",IF(AA248&gt;=判定条件!$C$7*Z248,"運転",IF(AA248&lt;=判定条件!$C$8*Z248,"停止","断続")))</f>
        <v>停止</v>
      </c>
      <c r="AC248" s="30" t="n">
        <v>60</v>
      </c>
      <c r="AD248" s="30" t="n">
        <v>0</v>
      </c>
      <c r="AE248" s="30" t="str">
        <f aca="false">IF(AC248&lt;判定条件!$C$6,"判定不能",IF(AD248&gt;=判定条件!$C$7*AC248,"運転",IF(AD248&lt;=判定条件!$C$8*AC248,"停止","断続")))</f>
        <v>停止</v>
      </c>
      <c r="AF248" s="30" t="n">
        <v>60</v>
      </c>
      <c r="AG248" s="30" t="n">
        <v>0</v>
      </c>
      <c r="AH248" s="30" t="str">
        <f aca="false">IF(OR(P248="判定不能",G248="判定不能"),"判定不能",IF(AG248&gt;=判定条件!$C$9,"利用可",IF(AND(P248="停止",G248="停止"),"両方停止","運転がそろわない")))</f>
        <v>両方停止</v>
      </c>
      <c r="AI248" s="30" t="n">
        <v>60</v>
      </c>
      <c r="AJ248" s="30" t="n">
        <v>0</v>
      </c>
      <c r="AK248" s="30" t="str">
        <f aca="false">IF(OR(S248="判定不能",J248="判定不能"),"判定不能",IF(AJ248&gt;=判定条件!$C$9,"利用可",IF(AND(S248="停止",J248="停止"),"両方停止","運転がそろわない")))</f>
        <v>両方停止</v>
      </c>
      <c r="AL248" s="30" t="n">
        <v>60</v>
      </c>
      <c r="AM248" s="30" t="n">
        <v>0</v>
      </c>
      <c r="AN248" s="30" t="str">
        <f aca="false">IF(OR(V248="判定不能",M248="判定不能"),"判定不能",IF(AM248&gt;=判定条件!$C$9,"利用可",IF(AND(V248="停止",M248="停止"),"両方停止","運転がそろわない")))</f>
        <v>運転がそろわない</v>
      </c>
      <c r="AO248" s="30" t="n">
        <v>60</v>
      </c>
      <c r="AP248" s="30" t="n">
        <v>0</v>
      </c>
      <c r="AQ248" s="30" t="str">
        <f aca="false">IF(OR(Y248="判定不能",G248="判定不能"),"判定不能",IF(AP248&gt;=判定条件!$C$9,"利用可",IF(AND(Y248="停止",G248="停止"),"両方停止","運転がそろわない")))</f>
        <v>両方停止</v>
      </c>
      <c r="AR248" s="30" t="n">
        <v>60</v>
      </c>
      <c r="AS248" s="30" t="n">
        <v>0</v>
      </c>
      <c r="AT248" s="30" t="str">
        <f aca="false">IF(OR(AB248="判定不能",J248="判定不能"),"判定不能",IF(AS248&gt;=判定条件!$C$9,"利用可",IF(AND(AB248="停止",J248="停止"),"両方停止","運転がそろわない")))</f>
        <v>両方停止</v>
      </c>
      <c r="AU248" s="30" t="n">
        <v>60</v>
      </c>
      <c r="AV248" s="30" t="n">
        <v>0</v>
      </c>
      <c r="AW248" s="30" t="str">
        <f aca="false">IF(OR(AE248="判定不能",M248="判定不能"),"判定不能",IF(AV248&gt;=判定条件!$C$9,"利用可",IF(AND(AE248="停止",M248="停止"),"両方停止","運転がそろわない")))</f>
        <v>運転がそろわない</v>
      </c>
      <c r="AX248" s="30" t="str">
        <f aca="false">IF(AND(AH248="利用可",AK248="利用可",AN248="利用可"),"利用可","不可")</f>
        <v>不可</v>
      </c>
      <c r="AY248" s="30" t="str">
        <f aca="false">IF(AND(AQ248="利用可",AT248="利用可",AW248="利用可"),"利用可","不可")</f>
        <v>不可</v>
      </c>
    </row>
    <row r="249" customFormat="false" ht="15" hidden="false" customHeight="false" outlineLevel="0" collapsed="false">
      <c r="A249" s="29" t="n">
        <v>46242</v>
      </c>
      <c r="B249" s="30" t="n">
        <v>6</v>
      </c>
      <c r="C249" s="31" t="s">
        <v>63</v>
      </c>
      <c r="D249" s="31" t="s">
        <v>64</v>
      </c>
      <c r="E249" s="30" t="n">
        <v>60</v>
      </c>
      <c r="F249" s="30" t="n">
        <v>0</v>
      </c>
      <c r="G249" s="30" t="str">
        <f aca="false">IF(E249&lt;判定条件!$C$6,"判定不能",IF(F249&gt;=判定条件!$C$7*E249,"運転",IF(F249&lt;=判定条件!$C$8*E249,"停止","断続")))</f>
        <v>停止</v>
      </c>
      <c r="H249" s="30" t="n">
        <v>60</v>
      </c>
      <c r="I249" s="30" t="n">
        <v>0</v>
      </c>
      <c r="J249" s="30" t="str">
        <f aca="false">IF(H249&lt;判定条件!$C$6,"判定不能",IF(I249&gt;=判定条件!$C$7*H249,"運転",IF(I249&lt;=判定条件!$C$8*H249,"停止","断続")))</f>
        <v>停止</v>
      </c>
      <c r="K249" s="30" t="n">
        <v>60</v>
      </c>
      <c r="L249" s="30" t="n">
        <v>60</v>
      </c>
      <c r="M249" s="30" t="str">
        <f aca="false">IF(K249&lt;判定条件!$C$6,"判定不能",IF(L249&gt;=判定条件!$C$7*K249,"運転",IF(L249&lt;=判定条件!$C$8*K249,"停止","断続")))</f>
        <v>運転</v>
      </c>
      <c r="N249" s="30" t="n">
        <v>60</v>
      </c>
      <c r="O249" s="30" t="n">
        <v>0</v>
      </c>
      <c r="P249" s="30" t="str">
        <f aca="false">IF(N249&lt;判定条件!$C$6,"判定不能",IF(O249&gt;=判定条件!$C$7*N249,"運転",IF(O249&lt;=判定条件!$C$8*N249,"停止","断続")))</f>
        <v>停止</v>
      </c>
      <c r="Q249" s="30" t="n">
        <v>60</v>
      </c>
      <c r="R249" s="30" t="n">
        <v>0</v>
      </c>
      <c r="S249" s="30" t="str">
        <f aca="false">IF(Q249&lt;判定条件!$C$6,"判定不能",IF(R249&gt;=判定条件!$C$7*Q249,"運転",IF(R249&lt;=判定条件!$C$8*Q249,"停止","断続")))</f>
        <v>停止</v>
      </c>
      <c r="T249" s="30" t="n">
        <v>60</v>
      </c>
      <c r="U249" s="30" t="n">
        <v>0</v>
      </c>
      <c r="V249" s="30" t="str">
        <f aca="false">IF(T249&lt;判定条件!$C$6,"判定不能",IF(U249&gt;=判定条件!$C$7*T249,"運転",IF(U249&lt;=判定条件!$C$8*T249,"停止","断続")))</f>
        <v>停止</v>
      </c>
      <c r="W249" s="30" t="n">
        <v>60</v>
      </c>
      <c r="X249" s="30" t="n">
        <v>0</v>
      </c>
      <c r="Y249" s="30" t="str">
        <f aca="false">IF(W249&lt;判定条件!$C$6,"判定不能",IF(X249&gt;=判定条件!$C$7*W249,"運転",IF(X249&lt;=判定条件!$C$8*W249,"停止","断続")))</f>
        <v>停止</v>
      </c>
      <c r="Z249" s="30" t="n">
        <v>60</v>
      </c>
      <c r="AA249" s="30" t="n">
        <v>0</v>
      </c>
      <c r="AB249" s="30" t="str">
        <f aca="false">IF(Z249&lt;判定条件!$C$6,"判定不能",IF(AA249&gt;=判定条件!$C$7*Z249,"運転",IF(AA249&lt;=判定条件!$C$8*Z249,"停止","断続")))</f>
        <v>停止</v>
      </c>
      <c r="AC249" s="30" t="n">
        <v>60</v>
      </c>
      <c r="AD249" s="30" t="n">
        <v>0</v>
      </c>
      <c r="AE249" s="30" t="str">
        <f aca="false">IF(AC249&lt;判定条件!$C$6,"判定不能",IF(AD249&gt;=判定条件!$C$7*AC249,"運転",IF(AD249&lt;=判定条件!$C$8*AC249,"停止","断続")))</f>
        <v>停止</v>
      </c>
      <c r="AF249" s="30" t="n">
        <v>60</v>
      </c>
      <c r="AG249" s="30" t="n">
        <v>0</v>
      </c>
      <c r="AH249" s="30" t="str">
        <f aca="false">IF(OR(P249="判定不能",G249="判定不能"),"判定不能",IF(AG249&gt;=判定条件!$C$9,"利用可",IF(AND(P249="停止",G249="停止"),"両方停止","運転がそろわない")))</f>
        <v>両方停止</v>
      </c>
      <c r="AI249" s="30" t="n">
        <v>60</v>
      </c>
      <c r="AJ249" s="30" t="n">
        <v>0</v>
      </c>
      <c r="AK249" s="30" t="str">
        <f aca="false">IF(OR(S249="判定不能",J249="判定不能"),"判定不能",IF(AJ249&gt;=判定条件!$C$9,"利用可",IF(AND(S249="停止",J249="停止"),"両方停止","運転がそろわない")))</f>
        <v>両方停止</v>
      </c>
      <c r="AL249" s="30" t="n">
        <v>60</v>
      </c>
      <c r="AM249" s="30" t="n">
        <v>0</v>
      </c>
      <c r="AN249" s="30" t="str">
        <f aca="false">IF(OR(V249="判定不能",M249="判定不能"),"判定不能",IF(AM249&gt;=判定条件!$C$9,"利用可",IF(AND(V249="停止",M249="停止"),"両方停止","運転がそろわない")))</f>
        <v>運転がそろわない</v>
      </c>
      <c r="AO249" s="30" t="n">
        <v>60</v>
      </c>
      <c r="AP249" s="30" t="n">
        <v>0</v>
      </c>
      <c r="AQ249" s="30" t="str">
        <f aca="false">IF(OR(Y249="判定不能",G249="判定不能"),"判定不能",IF(AP249&gt;=判定条件!$C$9,"利用可",IF(AND(Y249="停止",G249="停止"),"両方停止","運転がそろわない")))</f>
        <v>両方停止</v>
      </c>
      <c r="AR249" s="30" t="n">
        <v>60</v>
      </c>
      <c r="AS249" s="30" t="n">
        <v>0</v>
      </c>
      <c r="AT249" s="30" t="str">
        <f aca="false">IF(OR(AB249="判定不能",J249="判定不能"),"判定不能",IF(AS249&gt;=判定条件!$C$9,"利用可",IF(AND(AB249="停止",J249="停止"),"両方停止","運転がそろわない")))</f>
        <v>両方停止</v>
      </c>
      <c r="AU249" s="30" t="n">
        <v>60</v>
      </c>
      <c r="AV249" s="30" t="n">
        <v>0</v>
      </c>
      <c r="AW249" s="30" t="str">
        <f aca="false">IF(OR(AE249="判定不能",M249="判定不能"),"判定不能",IF(AV249&gt;=判定条件!$C$9,"利用可",IF(AND(AE249="停止",M249="停止"),"両方停止","運転がそろわない")))</f>
        <v>運転がそろわない</v>
      </c>
      <c r="AX249" s="30" t="str">
        <f aca="false">IF(AND(AH249="利用可",AK249="利用可",AN249="利用可"),"利用可","不可")</f>
        <v>不可</v>
      </c>
      <c r="AY249" s="30" t="str">
        <f aca="false">IF(AND(AQ249="利用可",AT249="利用可",AW249="利用可"),"利用可","不可")</f>
        <v>不可</v>
      </c>
    </row>
    <row r="250" customFormat="false" ht="15" hidden="false" customHeight="false" outlineLevel="0" collapsed="false">
      <c r="A250" s="29" t="n">
        <v>46242</v>
      </c>
      <c r="B250" s="30" t="n">
        <v>7</v>
      </c>
      <c r="C250" s="31" t="s">
        <v>63</v>
      </c>
      <c r="D250" s="31" t="s">
        <v>64</v>
      </c>
      <c r="E250" s="30" t="n">
        <v>60</v>
      </c>
      <c r="F250" s="30" t="n">
        <v>0</v>
      </c>
      <c r="G250" s="30" t="str">
        <f aca="false">IF(E250&lt;判定条件!$C$6,"判定不能",IF(F250&gt;=判定条件!$C$7*E250,"運転",IF(F250&lt;=判定条件!$C$8*E250,"停止","断続")))</f>
        <v>停止</v>
      </c>
      <c r="H250" s="30" t="n">
        <v>60</v>
      </c>
      <c r="I250" s="30" t="n">
        <v>0</v>
      </c>
      <c r="J250" s="30" t="str">
        <f aca="false">IF(H250&lt;判定条件!$C$6,"判定不能",IF(I250&gt;=判定条件!$C$7*H250,"運転",IF(I250&lt;=判定条件!$C$8*H250,"停止","断続")))</f>
        <v>停止</v>
      </c>
      <c r="K250" s="30" t="n">
        <v>60</v>
      </c>
      <c r="L250" s="30" t="n">
        <v>60</v>
      </c>
      <c r="M250" s="30" t="str">
        <f aca="false">IF(K250&lt;判定条件!$C$6,"判定不能",IF(L250&gt;=判定条件!$C$7*K250,"運転",IF(L250&lt;=判定条件!$C$8*K250,"停止","断続")))</f>
        <v>運転</v>
      </c>
      <c r="N250" s="30" t="n">
        <v>60</v>
      </c>
      <c r="O250" s="30" t="n">
        <v>44</v>
      </c>
      <c r="P250" s="30" t="str">
        <f aca="false">IF(N250&lt;判定条件!$C$6,"判定不能",IF(O250&gt;=判定条件!$C$7*N250,"運転",IF(O250&lt;=判定条件!$C$8*N250,"停止","断続")))</f>
        <v>断続</v>
      </c>
      <c r="Q250" s="30" t="n">
        <v>60</v>
      </c>
      <c r="R250" s="30" t="n">
        <v>0</v>
      </c>
      <c r="S250" s="30" t="str">
        <f aca="false">IF(Q250&lt;判定条件!$C$6,"判定不能",IF(R250&gt;=判定条件!$C$7*Q250,"運転",IF(R250&lt;=判定条件!$C$8*Q250,"停止","断続")))</f>
        <v>停止</v>
      </c>
      <c r="T250" s="30" t="n">
        <v>60</v>
      </c>
      <c r="U250" s="30" t="n">
        <v>0</v>
      </c>
      <c r="V250" s="30" t="str">
        <f aca="false">IF(T250&lt;判定条件!$C$6,"判定不能",IF(U250&gt;=判定条件!$C$7*T250,"運転",IF(U250&lt;=判定条件!$C$8*T250,"停止","断続")))</f>
        <v>停止</v>
      </c>
      <c r="W250" s="30" t="n">
        <v>60</v>
      </c>
      <c r="X250" s="30" t="n">
        <v>0</v>
      </c>
      <c r="Y250" s="30" t="str">
        <f aca="false">IF(W250&lt;判定条件!$C$6,"判定不能",IF(X250&gt;=判定条件!$C$7*W250,"運転",IF(X250&lt;=判定条件!$C$8*W250,"停止","断続")))</f>
        <v>停止</v>
      </c>
      <c r="Z250" s="30" t="n">
        <v>60</v>
      </c>
      <c r="AA250" s="30" t="n">
        <v>0</v>
      </c>
      <c r="AB250" s="30" t="str">
        <f aca="false">IF(Z250&lt;判定条件!$C$6,"判定不能",IF(AA250&gt;=判定条件!$C$7*Z250,"運転",IF(AA250&lt;=判定条件!$C$8*Z250,"停止","断続")))</f>
        <v>停止</v>
      </c>
      <c r="AC250" s="30" t="n">
        <v>60</v>
      </c>
      <c r="AD250" s="30" t="n">
        <v>0</v>
      </c>
      <c r="AE250" s="30" t="str">
        <f aca="false">IF(AC250&lt;判定条件!$C$6,"判定不能",IF(AD250&gt;=判定条件!$C$7*AC250,"運転",IF(AD250&lt;=判定条件!$C$8*AC250,"停止","断続")))</f>
        <v>停止</v>
      </c>
      <c r="AF250" s="30" t="n">
        <v>60</v>
      </c>
      <c r="AG250" s="30" t="n">
        <v>0</v>
      </c>
      <c r="AH250" s="30" t="str">
        <f aca="false">IF(OR(P250="判定不能",G250="判定不能"),"判定不能",IF(AG250&gt;=判定条件!$C$9,"利用可",IF(AND(P250="停止",G250="停止"),"両方停止","運転がそろわない")))</f>
        <v>運転がそろわない</v>
      </c>
      <c r="AI250" s="30" t="n">
        <v>60</v>
      </c>
      <c r="AJ250" s="30" t="n">
        <v>0</v>
      </c>
      <c r="AK250" s="30" t="str">
        <f aca="false">IF(OR(S250="判定不能",J250="判定不能"),"判定不能",IF(AJ250&gt;=判定条件!$C$9,"利用可",IF(AND(S250="停止",J250="停止"),"両方停止","運転がそろわない")))</f>
        <v>両方停止</v>
      </c>
      <c r="AL250" s="30" t="n">
        <v>60</v>
      </c>
      <c r="AM250" s="30" t="n">
        <v>0</v>
      </c>
      <c r="AN250" s="30" t="str">
        <f aca="false">IF(OR(V250="判定不能",M250="判定不能"),"判定不能",IF(AM250&gt;=判定条件!$C$9,"利用可",IF(AND(V250="停止",M250="停止"),"両方停止","運転がそろわない")))</f>
        <v>運転がそろわない</v>
      </c>
      <c r="AO250" s="30" t="n">
        <v>60</v>
      </c>
      <c r="AP250" s="30" t="n">
        <v>0</v>
      </c>
      <c r="AQ250" s="30" t="str">
        <f aca="false">IF(OR(Y250="判定不能",G250="判定不能"),"判定不能",IF(AP250&gt;=判定条件!$C$9,"利用可",IF(AND(Y250="停止",G250="停止"),"両方停止","運転がそろわない")))</f>
        <v>両方停止</v>
      </c>
      <c r="AR250" s="30" t="n">
        <v>60</v>
      </c>
      <c r="AS250" s="30" t="n">
        <v>0</v>
      </c>
      <c r="AT250" s="30" t="str">
        <f aca="false">IF(OR(AB250="判定不能",J250="判定不能"),"判定不能",IF(AS250&gt;=判定条件!$C$9,"利用可",IF(AND(AB250="停止",J250="停止"),"両方停止","運転がそろわない")))</f>
        <v>両方停止</v>
      </c>
      <c r="AU250" s="30" t="n">
        <v>60</v>
      </c>
      <c r="AV250" s="30" t="n">
        <v>0</v>
      </c>
      <c r="AW250" s="30" t="str">
        <f aca="false">IF(OR(AE250="判定不能",M250="判定不能"),"判定不能",IF(AV250&gt;=判定条件!$C$9,"利用可",IF(AND(AE250="停止",M250="停止"),"両方停止","運転がそろわない")))</f>
        <v>運転がそろわない</v>
      </c>
      <c r="AX250" s="30" t="str">
        <f aca="false">IF(AND(AH250="利用可",AK250="利用可",AN250="利用可"),"利用可","不可")</f>
        <v>不可</v>
      </c>
      <c r="AY250" s="30" t="str">
        <f aca="false">IF(AND(AQ250="利用可",AT250="利用可",AW250="利用可"),"利用可","不可")</f>
        <v>不可</v>
      </c>
    </row>
    <row r="251" customFormat="false" ht="15" hidden="false" customHeight="false" outlineLevel="0" collapsed="false">
      <c r="A251" s="29" t="n">
        <v>46242</v>
      </c>
      <c r="B251" s="30" t="n">
        <v>8</v>
      </c>
      <c r="C251" s="31" t="s">
        <v>63</v>
      </c>
      <c r="D251" s="31" t="s">
        <v>64</v>
      </c>
      <c r="E251" s="30" t="n">
        <v>60</v>
      </c>
      <c r="F251" s="30" t="n">
        <v>38</v>
      </c>
      <c r="G251" s="30" t="str">
        <f aca="false">IF(E251&lt;判定条件!$C$6,"判定不能",IF(F251&gt;=判定条件!$C$7*E251,"運転",IF(F251&lt;=判定条件!$C$8*E251,"停止","断続")))</f>
        <v>断続</v>
      </c>
      <c r="H251" s="30" t="n">
        <v>60</v>
      </c>
      <c r="I251" s="30" t="n">
        <v>38</v>
      </c>
      <c r="J251" s="30" t="str">
        <f aca="false">IF(H251&lt;判定条件!$C$6,"判定不能",IF(I251&gt;=判定条件!$C$7*H251,"運転",IF(I251&lt;=判定条件!$C$8*H251,"停止","断続")))</f>
        <v>断続</v>
      </c>
      <c r="K251" s="30" t="n">
        <v>60</v>
      </c>
      <c r="L251" s="30" t="n">
        <v>60</v>
      </c>
      <c r="M251" s="30" t="str">
        <f aca="false">IF(K251&lt;判定条件!$C$6,"判定不能",IF(L251&gt;=判定条件!$C$7*K251,"運転",IF(L251&lt;=判定条件!$C$8*K251,"停止","断続")))</f>
        <v>運転</v>
      </c>
      <c r="N251" s="30" t="n">
        <v>60</v>
      </c>
      <c r="O251" s="30" t="n">
        <v>56</v>
      </c>
      <c r="P251" s="30" t="str">
        <f aca="false">IF(N251&lt;判定条件!$C$6,"判定不能",IF(O251&gt;=判定条件!$C$7*N251,"運転",IF(O251&lt;=判定条件!$C$8*N251,"停止","断続")))</f>
        <v>運転</v>
      </c>
      <c r="Q251" s="30" t="n">
        <v>60</v>
      </c>
      <c r="R251" s="30" t="n">
        <v>0</v>
      </c>
      <c r="S251" s="30" t="str">
        <f aca="false">IF(Q251&lt;判定条件!$C$6,"判定不能",IF(R251&gt;=判定条件!$C$7*Q251,"運転",IF(R251&lt;=判定条件!$C$8*Q251,"停止","断続")))</f>
        <v>停止</v>
      </c>
      <c r="T251" s="30" t="n">
        <v>60</v>
      </c>
      <c r="U251" s="30" t="n">
        <v>39</v>
      </c>
      <c r="V251" s="30" t="str">
        <f aca="false">IF(T251&lt;判定条件!$C$6,"判定不能",IF(U251&gt;=判定条件!$C$7*T251,"運転",IF(U251&lt;=判定条件!$C$8*T251,"停止","断続")))</f>
        <v>断続</v>
      </c>
      <c r="W251" s="30" t="n">
        <v>60</v>
      </c>
      <c r="X251" s="30" t="n">
        <v>49</v>
      </c>
      <c r="Y251" s="30" t="str">
        <f aca="false">IF(W251&lt;判定条件!$C$6,"判定不能",IF(X251&gt;=判定条件!$C$7*W251,"運転",IF(X251&lt;=判定条件!$C$8*W251,"停止","断続")))</f>
        <v>運転</v>
      </c>
      <c r="Z251" s="30" t="n">
        <v>60</v>
      </c>
      <c r="AA251" s="30" t="n">
        <v>59</v>
      </c>
      <c r="AB251" s="30" t="str">
        <f aca="false">IF(Z251&lt;判定条件!$C$6,"判定不能",IF(AA251&gt;=判定条件!$C$7*Z251,"運転",IF(AA251&lt;=判定条件!$C$8*Z251,"停止","断続")))</f>
        <v>運転</v>
      </c>
      <c r="AC251" s="30" t="n">
        <v>60</v>
      </c>
      <c r="AD251" s="30" t="n">
        <v>45</v>
      </c>
      <c r="AE251" s="30" t="str">
        <f aca="false">IF(AC251&lt;判定条件!$C$6,"判定不能",IF(AD251&gt;=判定条件!$C$7*AC251,"運転",IF(AD251&lt;=判定条件!$C$8*AC251,"停止","断続")))</f>
        <v>断続</v>
      </c>
      <c r="AF251" s="30" t="n">
        <v>60</v>
      </c>
      <c r="AG251" s="30" t="n">
        <v>38</v>
      </c>
      <c r="AH251" s="30" t="str">
        <f aca="false">IF(OR(P251="判定不能",G251="判定不能"),"判定不能",IF(AG251&gt;=判定条件!$C$9,"利用可",IF(AND(P251="停止",G251="停止"),"両方停止","運転がそろわない")))</f>
        <v>利用可</v>
      </c>
      <c r="AI251" s="30" t="n">
        <v>60</v>
      </c>
      <c r="AJ251" s="30" t="n">
        <v>0</v>
      </c>
      <c r="AK251" s="30" t="str">
        <f aca="false">IF(OR(S251="判定不能",J251="判定不能"),"判定不能",IF(AJ251&gt;=判定条件!$C$9,"利用可",IF(AND(S251="停止",J251="停止"),"両方停止","運転がそろわない")))</f>
        <v>運転がそろわない</v>
      </c>
      <c r="AL251" s="30" t="n">
        <v>60</v>
      </c>
      <c r="AM251" s="30" t="n">
        <v>39</v>
      </c>
      <c r="AN251" s="30" t="str">
        <f aca="false">IF(OR(V251="判定不能",M251="判定不能"),"判定不能",IF(AM251&gt;=判定条件!$C$9,"利用可",IF(AND(V251="停止",M251="停止"),"両方停止","運転がそろわない")))</f>
        <v>利用可</v>
      </c>
      <c r="AO251" s="30" t="n">
        <v>60</v>
      </c>
      <c r="AP251" s="30" t="n">
        <v>31</v>
      </c>
      <c r="AQ251" s="30" t="str">
        <f aca="false">IF(OR(Y251="判定不能",G251="判定不能"),"判定不能",IF(AP251&gt;=判定条件!$C$9,"利用可",IF(AND(Y251="停止",G251="停止"),"両方停止","運転がそろわない")))</f>
        <v>利用可</v>
      </c>
      <c r="AR251" s="30" t="n">
        <v>60</v>
      </c>
      <c r="AS251" s="30" t="n">
        <v>38</v>
      </c>
      <c r="AT251" s="30" t="str">
        <f aca="false">IF(OR(AB251="判定不能",J251="判定不能"),"判定不能",IF(AS251&gt;=判定条件!$C$9,"利用可",IF(AND(AB251="停止",J251="停止"),"両方停止","運転がそろわない")))</f>
        <v>利用可</v>
      </c>
      <c r="AU251" s="30" t="n">
        <v>60</v>
      </c>
      <c r="AV251" s="30" t="n">
        <v>45</v>
      </c>
      <c r="AW251" s="30" t="str">
        <f aca="false">IF(OR(AE251="判定不能",M251="判定不能"),"判定不能",IF(AV251&gt;=判定条件!$C$9,"利用可",IF(AND(AE251="停止",M251="停止"),"両方停止","運転がそろわない")))</f>
        <v>利用可</v>
      </c>
      <c r="AX251" s="30" t="str">
        <f aca="false">IF(AND(AH251="利用可",AK251="利用可",AN251="利用可"),"利用可","不可")</f>
        <v>不可</v>
      </c>
      <c r="AY251" s="30" t="str">
        <f aca="false">IF(AND(AQ251="利用可",AT251="利用可",AW251="利用可"),"利用可","不可")</f>
        <v>利用可</v>
      </c>
    </row>
    <row r="252" customFormat="false" ht="15" hidden="false" customHeight="false" outlineLevel="0" collapsed="false">
      <c r="A252" s="29" t="n">
        <v>46242</v>
      </c>
      <c r="B252" s="30" t="n">
        <v>9</v>
      </c>
      <c r="C252" s="31" t="s">
        <v>63</v>
      </c>
      <c r="D252" s="31" t="s">
        <v>64</v>
      </c>
      <c r="E252" s="30" t="n">
        <v>60</v>
      </c>
      <c r="F252" s="30" t="n">
        <v>60</v>
      </c>
      <c r="G252" s="30" t="str">
        <f aca="false">IF(E252&lt;判定条件!$C$6,"判定不能",IF(F252&gt;=判定条件!$C$7*E252,"運転",IF(F252&lt;=判定条件!$C$8*E252,"停止","断続")))</f>
        <v>運転</v>
      </c>
      <c r="H252" s="30" t="n">
        <v>60</v>
      </c>
      <c r="I252" s="30" t="n">
        <v>60</v>
      </c>
      <c r="J252" s="30" t="str">
        <f aca="false">IF(H252&lt;判定条件!$C$6,"判定不能",IF(I252&gt;=判定条件!$C$7*H252,"運転",IF(I252&lt;=判定条件!$C$8*H252,"停止","断続")))</f>
        <v>運転</v>
      </c>
      <c r="K252" s="30" t="n">
        <v>60</v>
      </c>
      <c r="L252" s="30" t="n">
        <v>60</v>
      </c>
      <c r="M252" s="30" t="str">
        <f aca="false">IF(K252&lt;判定条件!$C$6,"判定不能",IF(L252&gt;=判定条件!$C$7*K252,"運転",IF(L252&lt;=判定条件!$C$8*K252,"停止","断続")))</f>
        <v>運転</v>
      </c>
      <c r="N252" s="30" t="n">
        <v>60</v>
      </c>
      <c r="O252" s="30" t="n">
        <v>60</v>
      </c>
      <c r="P252" s="30" t="str">
        <f aca="false">IF(N252&lt;判定条件!$C$6,"判定不能",IF(O252&gt;=判定条件!$C$7*N252,"運転",IF(O252&lt;=判定条件!$C$8*N252,"停止","断続")))</f>
        <v>運転</v>
      </c>
      <c r="Q252" s="30" t="n">
        <v>60</v>
      </c>
      <c r="R252" s="30" t="n">
        <v>14</v>
      </c>
      <c r="S252" s="30" t="str">
        <f aca="false">IF(Q252&lt;判定条件!$C$6,"判定不能",IF(R252&gt;=判定条件!$C$7*Q252,"運転",IF(R252&lt;=判定条件!$C$8*Q252,"停止","断続")))</f>
        <v>断続</v>
      </c>
      <c r="T252" s="30" t="n">
        <v>60</v>
      </c>
      <c r="U252" s="30" t="n">
        <v>0</v>
      </c>
      <c r="V252" s="30" t="str">
        <f aca="false">IF(T252&lt;判定条件!$C$6,"判定不能",IF(U252&gt;=判定条件!$C$7*T252,"運転",IF(U252&lt;=判定条件!$C$8*T252,"停止","断続")))</f>
        <v>停止</v>
      </c>
      <c r="W252" s="30" t="n">
        <v>60</v>
      </c>
      <c r="X252" s="30" t="n">
        <v>60</v>
      </c>
      <c r="Y252" s="30" t="str">
        <f aca="false">IF(W252&lt;判定条件!$C$6,"判定不能",IF(X252&gt;=判定条件!$C$7*W252,"運転",IF(X252&lt;=判定条件!$C$8*W252,"停止","断続")))</f>
        <v>運転</v>
      </c>
      <c r="Z252" s="30" t="n">
        <v>60</v>
      </c>
      <c r="AA252" s="30" t="n">
        <v>60</v>
      </c>
      <c r="AB252" s="30" t="str">
        <f aca="false">IF(Z252&lt;判定条件!$C$6,"判定不能",IF(AA252&gt;=判定条件!$C$7*Z252,"運転",IF(AA252&lt;=判定条件!$C$8*Z252,"停止","断続")))</f>
        <v>運転</v>
      </c>
      <c r="AC252" s="30" t="n">
        <v>60</v>
      </c>
      <c r="AD252" s="30" t="n">
        <v>56</v>
      </c>
      <c r="AE252" s="30" t="str">
        <f aca="false">IF(AC252&lt;判定条件!$C$6,"判定不能",IF(AD252&gt;=判定条件!$C$7*AC252,"運転",IF(AD252&lt;=判定条件!$C$8*AC252,"停止","断続")))</f>
        <v>運転</v>
      </c>
      <c r="AF252" s="30" t="n">
        <v>60</v>
      </c>
      <c r="AG252" s="30" t="n">
        <v>60</v>
      </c>
      <c r="AH252" s="30" t="str">
        <f aca="false">IF(OR(P252="判定不能",G252="判定不能"),"判定不能",IF(AG252&gt;=判定条件!$C$9,"利用可",IF(AND(P252="停止",G252="停止"),"両方停止","運転がそろわない")))</f>
        <v>利用可</v>
      </c>
      <c r="AI252" s="30" t="n">
        <v>60</v>
      </c>
      <c r="AJ252" s="30" t="n">
        <v>14</v>
      </c>
      <c r="AK252" s="30" t="str">
        <f aca="false">IF(OR(S252="判定不能",J252="判定不能"),"判定不能",IF(AJ252&gt;=判定条件!$C$9,"利用可",IF(AND(S252="停止",J252="停止"),"両方停止","運転がそろわない")))</f>
        <v>運転がそろわない</v>
      </c>
      <c r="AL252" s="30" t="n">
        <v>60</v>
      </c>
      <c r="AM252" s="30" t="n">
        <v>0</v>
      </c>
      <c r="AN252" s="30" t="str">
        <f aca="false">IF(OR(V252="判定不能",M252="判定不能"),"判定不能",IF(AM252&gt;=判定条件!$C$9,"利用可",IF(AND(V252="停止",M252="停止"),"両方停止","運転がそろわない")))</f>
        <v>運転がそろわない</v>
      </c>
      <c r="AO252" s="30" t="n">
        <v>60</v>
      </c>
      <c r="AP252" s="30" t="n">
        <v>60</v>
      </c>
      <c r="AQ252" s="30" t="str">
        <f aca="false">IF(OR(Y252="判定不能",G252="判定不能"),"判定不能",IF(AP252&gt;=判定条件!$C$9,"利用可",IF(AND(Y252="停止",G252="停止"),"両方停止","運転がそろわない")))</f>
        <v>利用可</v>
      </c>
      <c r="AR252" s="30" t="n">
        <v>60</v>
      </c>
      <c r="AS252" s="30" t="n">
        <v>60</v>
      </c>
      <c r="AT252" s="30" t="str">
        <f aca="false">IF(OR(AB252="判定不能",J252="判定不能"),"判定不能",IF(AS252&gt;=判定条件!$C$9,"利用可",IF(AND(AB252="停止",J252="停止"),"両方停止","運転がそろわない")))</f>
        <v>利用可</v>
      </c>
      <c r="AU252" s="30" t="n">
        <v>60</v>
      </c>
      <c r="AV252" s="30" t="n">
        <v>56</v>
      </c>
      <c r="AW252" s="30" t="str">
        <f aca="false">IF(OR(AE252="判定不能",M252="判定不能"),"判定不能",IF(AV252&gt;=判定条件!$C$9,"利用可",IF(AND(AE252="停止",M252="停止"),"両方停止","運転がそろわない")))</f>
        <v>利用可</v>
      </c>
      <c r="AX252" s="30" t="str">
        <f aca="false">IF(AND(AH252="利用可",AK252="利用可",AN252="利用可"),"利用可","不可")</f>
        <v>不可</v>
      </c>
      <c r="AY252" s="30" t="str">
        <f aca="false">IF(AND(AQ252="利用可",AT252="利用可",AW252="利用可"),"利用可","不可")</f>
        <v>利用可</v>
      </c>
    </row>
    <row r="253" customFormat="false" ht="15" hidden="false" customHeight="false" outlineLevel="0" collapsed="false">
      <c r="A253" s="29" t="n">
        <v>46242</v>
      </c>
      <c r="B253" s="30" t="n">
        <v>10</v>
      </c>
      <c r="C253" s="31" t="s">
        <v>63</v>
      </c>
      <c r="D253" s="31" t="s">
        <v>64</v>
      </c>
      <c r="E253" s="30" t="n">
        <v>60</v>
      </c>
      <c r="F253" s="30" t="n">
        <v>60</v>
      </c>
      <c r="G253" s="30" t="str">
        <f aca="false">IF(E253&lt;判定条件!$C$6,"判定不能",IF(F253&gt;=判定条件!$C$7*E253,"運転",IF(F253&lt;=判定条件!$C$8*E253,"停止","断続")))</f>
        <v>運転</v>
      </c>
      <c r="H253" s="30" t="n">
        <v>60</v>
      </c>
      <c r="I253" s="30" t="n">
        <v>60</v>
      </c>
      <c r="J253" s="30" t="str">
        <f aca="false">IF(H253&lt;判定条件!$C$6,"判定不能",IF(I253&gt;=判定条件!$C$7*H253,"運転",IF(I253&lt;=判定条件!$C$8*H253,"停止","断続")))</f>
        <v>運転</v>
      </c>
      <c r="K253" s="30" t="n">
        <v>60</v>
      </c>
      <c r="L253" s="30" t="n">
        <v>60</v>
      </c>
      <c r="M253" s="30" t="str">
        <f aca="false">IF(K253&lt;判定条件!$C$6,"判定不能",IF(L253&gt;=判定条件!$C$7*K253,"運転",IF(L253&lt;=判定条件!$C$8*K253,"停止","断続")))</f>
        <v>運転</v>
      </c>
      <c r="N253" s="30" t="n">
        <v>60</v>
      </c>
      <c r="O253" s="30" t="n">
        <v>60</v>
      </c>
      <c r="P253" s="30" t="str">
        <f aca="false">IF(N253&lt;判定条件!$C$6,"判定不能",IF(O253&gt;=判定条件!$C$7*N253,"運転",IF(O253&lt;=判定条件!$C$8*N253,"停止","断続")))</f>
        <v>運転</v>
      </c>
      <c r="Q253" s="30" t="n">
        <v>60</v>
      </c>
      <c r="R253" s="30" t="n">
        <v>0</v>
      </c>
      <c r="S253" s="30" t="str">
        <f aca="false">IF(Q253&lt;判定条件!$C$6,"判定不能",IF(R253&gt;=判定条件!$C$7*Q253,"運転",IF(R253&lt;=判定条件!$C$8*Q253,"停止","断続")))</f>
        <v>停止</v>
      </c>
      <c r="T253" s="30" t="n">
        <v>60</v>
      </c>
      <c r="U253" s="30" t="n">
        <v>0</v>
      </c>
      <c r="V253" s="30" t="str">
        <f aca="false">IF(T253&lt;判定条件!$C$6,"判定不能",IF(U253&gt;=判定条件!$C$7*T253,"運転",IF(U253&lt;=判定条件!$C$8*T253,"停止","断続")))</f>
        <v>停止</v>
      </c>
      <c r="W253" s="30" t="n">
        <v>60</v>
      </c>
      <c r="X253" s="30" t="n">
        <v>60</v>
      </c>
      <c r="Y253" s="30" t="str">
        <f aca="false">IF(W253&lt;判定条件!$C$6,"判定不能",IF(X253&gt;=判定条件!$C$7*W253,"運転",IF(X253&lt;=判定条件!$C$8*W253,"停止","断続")))</f>
        <v>運転</v>
      </c>
      <c r="Z253" s="30" t="n">
        <v>60</v>
      </c>
      <c r="AA253" s="30" t="n">
        <v>43</v>
      </c>
      <c r="AB253" s="30" t="str">
        <f aca="false">IF(Z253&lt;判定条件!$C$6,"判定不能",IF(AA253&gt;=判定条件!$C$7*Z253,"運転",IF(AA253&lt;=判定条件!$C$8*Z253,"停止","断続")))</f>
        <v>断続</v>
      </c>
      <c r="AC253" s="30" t="n">
        <v>60</v>
      </c>
      <c r="AD253" s="30" t="n">
        <v>55</v>
      </c>
      <c r="AE253" s="30" t="str">
        <f aca="false">IF(AC253&lt;判定条件!$C$6,"判定不能",IF(AD253&gt;=判定条件!$C$7*AC253,"運転",IF(AD253&lt;=判定条件!$C$8*AC253,"停止","断続")))</f>
        <v>運転</v>
      </c>
      <c r="AF253" s="30" t="n">
        <v>60</v>
      </c>
      <c r="AG253" s="30" t="n">
        <v>60</v>
      </c>
      <c r="AH253" s="30" t="str">
        <f aca="false">IF(OR(P253="判定不能",G253="判定不能"),"判定不能",IF(AG253&gt;=判定条件!$C$9,"利用可",IF(AND(P253="停止",G253="停止"),"両方停止","運転がそろわない")))</f>
        <v>利用可</v>
      </c>
      <c r="AI253" s="30" t="n">
        <v>60</v>
      </c>
      <c r="AJ253" s="30" t="n">
        <v>0</v>
      </c>
      <c r="AK253" s="30" t="str">
        <f aca="false">IF(OR(S253="判定不能",J253="判定不能"),"判定不能",IF(AJ253&gt;=判定条件!$C$9,"利用可",IF(AND(S253="停止",J253="停止"),"両方停止","運転がそろわない")))</f>
        <v>運転がそろわない</v>
      </c>
      <c r="AL253" s="30" t="n">
        <v>60</v>
      </c>
      <c r="AM253" s="30" t="n">
        <v>0</v>
      </c>
      <c r="AN253" s="30" t="str">
        <f aca="false">IF(OR(V253="判定不能",M253="判定不能"),"判定不能",IF(AM253&gt;=判定条件!$C$9,"利用可",IF(AND(V253="停止",M253="停止"),"両方停止","運転がそろわない")))</f>
        <v>運転がそろわない</v>
      </c>
      <c r="AO253" s="30" t="n">
        <v>60</v>
      </c>
      <c r="AP253" s="30" t="n">
        <v>60</v>
      </c>
      <c r="AQ253" s="30" t="str">
        <f aca="false">IF(OR(Y253="判定不能",G253="判定不能"),"判定不能",IF(AP253&gt;=判定条件!$C$9,"利用可",IF(AND(Y253="停止",G253="停止"),"両方停止","運転がそろわない")))</f>
        <v>利用可</v>
      </c>
      <c r="AR253" s="30" t="n">
        <v>60</v>
      </c>
      <c r="AS253" s="30" t="n">
        <v>43</v>
      </c>
      <c r="AT253" s="30" t="str">
        <f aca="false">IF(OR(AB253="判定不能",J253="判定不能"),"判定不能",IF(AS253&gt;=判定条件!$C$9,"利用可",IF(AND(AB253="停止",J253="停止"),"両方停止","運転がそろわない")))</f>
        <v>利用可</v>
      </c>
      <c r="AU253" s="30" t="n">
        <v>60</v>
      </c>
      <c r="AV253" s="30" t="n">
        <v>55</v>
      </c>
      <c r="AW253" s="30" t="str">
        <f aca="false">IF(OR(AE253="判定不能",M253="判定不能"),"判定不能",IF(AV253&gt;=判定条件!$C$9,"利用可",IF(AND(AE253="停止",M253="停止"),"両方停止","運転がそろわない")))</f>
        <v>利用可</v>
      </c>
      <c r="AX253" s="30" t="str">
        <f aca="false">IF(AND(AH253="利用可",AK253="利用可",AN253="利用可"),"利用可","不可")</f>
        <v>不可</v>
      </c>
      <c r="AY253" s="30" t="str">
        <f aca="false">IF(AND(AQ253="利用可",AT253="利用可",AW253="利用可"),"利用可","不可")</f>
        <v>利用可</v>
      </c>
    </row>
    <row r="254" customFormat="false" ht="15" hidden="false" customHeight="false" outlineLevel="0" collapsed="false">
      <c r="A254" s="29" t="n">
        <v>46242</v>
      </c>
      <c r="B254" s="30" t="n">
        <v>11</v>
      </c>
      <c r="C254" s="31" t="s">
        <v>63</v>
      </c>
      <c r="D254" s="31" t="s">
        <v>64</v>
      </c>
      <c r="E254" s="30" t="n">
        <v>60</v>
      </c>
      <c r="F254" s="30" t="n">
        <v>60</v>
      </c>
      <c r="G254" s="30" t="str">
        <f aca="false">IF(E254&lt;判定条件!$C$6,"判定不能",IF(F254&gt;=判定条件!$C$7*E254,"運転",IF(F254&lt;=判定条件!$C$8*E254,"停止","断続")))</f>
        <v>運転</v>
      </c>
      <c r="H254" s="30" t="n">
        <v>60</v>
      </c>
      <c r="I254" s="30" t="n">
        <v>60</v>
      </c>
      <c r="J254" s="30" t="str">
        <f aca="false">IF(H254&lt;判定条件!$C$6,"判定不能",IF(I254&gt;=判定条件!$C$7*H254,"運転",IF(I254&lt;=判定条件!$C$8*H254,"停止","断続")))</f>
        <v>運転</v>
      </c>
      <c r="K254" s="30" t="n">
        <v>60</v>
      </c>
      <c r="L254" s="30" t="n">
        <v>60</v>
      </c>
      <c r="M254" s="30" t="str">
        <f aca="false">IF(K254&lt;判定条件!$C$6,"判定不能",IF(L254&gt;=判定条件!$C$7*K254,"運転",IF(L254&lt;=判定条件!$C$8*K254,"停止","断続")))</f>
        <v>運転</v>
      </c>
      <c r="N254" s="30" t="n">
        <v>60</v>
      </c>
      <c r="O254" s="30" t="n">
        <v>60</v>
      </c>
      <c r="P254" s="30" t="str">
        <f aca="false">IF(N254&lt;判定条件!$C$6,"判定不能",IF(O254&gt;=判定条件!$C$7*N254,"運転",IF(O254&lt;=判定条件!$C$8*N254,"停止","断続")))</f>
        <v>運転</v>
      </c>
      <c r="Q254" s="30" t="n">
        <v>60</v>
      </c>
      <c r="R254" s="30" t="n">
        <v>7</v>
      </c>
      <c r="S254" s="30" t="str">
        <f aca="false">IF(Q254&lt;判定条件!$C$6,"判定不能",IF(R254&gt;=判定条件!$C$7*Q254,"運転",IF(R254&lt;=判定条件!$C$8*Q254,"停止","断続")))</f>
        <v>停止</v>
      </c>
      <c r="T254" s="30" t="n">
        <v>60</v>
      </c>
      <c r="U254" s="30" t="n">
        <v>0</v>
      </c>
      <c r="V254" s="30" t="str">
        <f aca="false">IF(T254&lt;判定条件!$C$6,"判定不能",IF(U254&gt;=判定条件!$C$7*T254,"運転",IF(U254&lt;=判定条件!$C$8*T254,"停止","断続")))</f>
        <v>停止</v>
      </c>
      <c r="W254" s="30" t="n">
        <v>60</v>
      </c>
      <c r="X254" s="30" t="n">
        <v>60</v>
      </c>
      <c r="Y254" s="30" t="str">
        <f aca="false">IF(W254&lt;判定条件!$C$6,"判定不能",IF(X254&gt;=判定条件!$C$7*W254,"運転",IF(X254&lt;=判定条件!$C$8*W254,"停止","断続")))</f>
        <v>運転</v>
      </c>
      <c r="Z254" s="30" t="n">
        <v>60</v>
      </c>
      <c r="AA254" s="30" t="n">
        <v>49</v>
      </c>
      <c r="AB254" s="30" t="str">
        <f aca="false">IF(Z254&lt;判定条件!$C$6,"判定不能",IF(AA254&gt;=判定条件!$C$7*Z254,"運転",IF(AA254&lt;=判定条件!$C$8*Z254,"停止","断続")))</f>
        <v>運転</v>
      </c>
      <c r="AC254" s="30" t="n">
        <v>60</v>
      </c>
      <c r="AD254" s="30" t="n">
        <v>60</v>
      </c>
      <c r="AE254" s="30" t="str">
        <f aca="false">IF(AC254&lt;判定条件!$C$6,"判定不能",IF(AD254&gt;=判定条件!$C$7*AC254,"運転",IF(AD254&lt;=判定条件!$C$8*AC254,"停止","断続")))</f>
        <v>運転</v>
      </c>
      <c r="AF254" s="30" t="n">
        <v>60</v>
      </c>
      <c r="AG254" s="30" t="n">
        <v>60</v>
      </c>
      <c r="AH254" s="30" t="str">
        <f aca="false">IF(OR(P254="判定不能",G254="判定不能"),"判定不能",IF(AG254&gt;=判定条件!$C$9,"利用可",IF(AND(P254="停止",G254="停止"),"両方停止","運転がそろわない")))</f>
        <v>利用可</v>
      </c>
      <c r="AI254" s="30" t="n">
        <v>60</v>
      </c>
      <c r="AJ254" s="30" t="n">
        <v>7</v>
      </c>
      <c r="AK254" s="30" t="str">
        <f aca="false">IF(OR(S254="判定不能",J254="判定不能"),"判定不能",IF(AJ254&gt;=判定条件!$C$9,"利用可",IF(AND(S254="停止",J254="停止"),"両方停止","運転がそろわない")))</f>
        <v>運転がそろわない</v>
      </c>
      <c r="AL254" s="30" t="n">
        <v>60</v>
      </c>
      <c r="AM254" s="30" t="n">
        <v>0</v>
      </c>
      <c r="AN254" s="30" t="str">
        <f aca="false">IF(OR(V254="判定不能",M254="判定不能"),"判定不能",IF(AM254&gt;=判定条件!$C$9,"利用可",IF(AND(V254="停止",M254="停止"),"両方停止","運転がそろわない")))</f>
        <v>運転がそろわない</v>
      </c>
      <c r="AO254" s="30" t="n">
        <v>60</v>
      </c>
      <c r="AP254" s="30" t="n">
        <v>60</v>
      </c>
      <c r="AQ254" s="30" t="str">
        <f aca="false">IF(OR(Y254="判定不能",G254="判定不能"),"判定不能",IF(AP254&gt;=判定条件!$C$9,"利用可",IF(AND(Y254="停止",G254="停止"),"両方停止","運転がそろわない")))</f>
        <v>利用可</v>
      </c>
      <c r="AR254" s="30" t="n">
        <v>60</v>
      </c>
      <c r="AS254" s="30" t="n">
        <v>49</v>
      </c>
      <c r="AT254" s="30" t="str">
        <f aca="false">IF(OR(AB254="判定不能",J254="判定不能"),"判定不能",IF(AS254&gt;=判定条件!$C$9,"利用可",IF(AND(AB254="停止",J254="停止"),"両方停止","運転がそろわない")))</f>
        <v>利用可</v>
      </c>
      <c r="AU254" s="30" t="n">
        <v>60</v>
      </c>
      <c r="AV254" s="30" t="n">
        <v>60</v>
      </c>
      <c r="AW254" s="30" t="str">
        <f aca="false">IF(OR(AE254="判定不能",M254="判定不能"),"判定不能",IF(AV254&gt;=判定条件!$C$9,"利用可",IF(AND(AE254="停止",M254="停止"),"両方停止","運転がそろわない")))</f>
        <v>利用可</v>
      </c>
      <c r="AX254" s="30" t="str">
        <f aca="false">IF(AND(AH254="利用可",AK254="利用可",AN254="利用可"),"利用可","不可")</f>
        <v>不可</v>
      </c>
      <c r="AY254" s="30" t="str">
        <f aca="false">IF(AND(AQ254="利用可",AT254="利用可",AW254="利用可"),"利用可","不可")</f>
        <v>利用可</v>
      </c>
    </row>
    <row r="255" customFormat="false" ht="15" hidden="false" customHeight="false" outlineLevel="0" collapsed="false">
      <c r="A255" s="29" t="n">
        <v>46242</v>
      </c>
      <c r="B255" s="30" t="n">
        <v>12</v>
      </c>
      <c r="C255" s="31" t="s">
        <v>63</v>
      </c>
      <c r="D255" s="31" t="s">
        <v>64</v>
      </c>
      <c r="E255" s="30" t="n">
        <v>60</v>
      </c>
      <c r="F255" s="30" t="n">
        <v>60</v>
      </c>
      <c r="G255" s="30" t="str">
        <f aca="false">IF(E255&lt;判定条件!$C$6,"判定不能",IF(F255&gt;=判定条件!$C$7*E255,"運転",IF(F255&lt;=判定条件!$C$8*E255,"停止","断続")))</f>
        <v>運転</v>
      </c>
      <c r="H255" s="30" t="n">
        <v>60</v>
      </c>
      <c r="I255" s="30" t="n">
        <v>60</v>
      </c>
      <c r="J255" s="30" t="str">
        <f aca="false">IF(H255&lt;判定条件!$C$6,"判定不能",IF(I255&gt;=判定条件!$C$7*H255,"運転",IF(I255&lt;=判定条件!$C$8*H255,"停止","断続")))</f>
        <v>運転</v>
      </c>
      <c r="K255" s="30" t="n">
        <v>60</v>
      </c>
      <c r="L255" s="30" t="n">
        <v>60</v>
      </c>
      <c r="M255" s="30" t="str">
        <f aca="false">IF(K255&lt;判定条件!$C$6,"判定不能",IF(L255&gt;=判定条件!$C$7*K255,"運転",IF(L255&lt;=判定条件!$C$8*K255,"停止","断続")))</f>
        <v>運転</v>
      </c>
      <c r="N255" s="30" t="n">
        <v>60</v>
      </c>
      <c r="O255" s="30" t="n">
        <v>44</v>
      </c>
      <c r="P255" s="30" t="str">
        <f aca="false">IF(N255&lt;判定条件!$C$6,"判定不能",IF(O255&gt;=判定条件!$C$7*N255,"運転",IF(O255&lt;=判定条件!$C$8*N255,"停止","断続")))</f>
        <v>断続</v>
      </c>
      <c r="Q255" s="30" t="n">
        <v>60</v>
      </c>
      <c r="R255" s="30" t="n">
        <v>0</v>
      </c>
      <c r="S255" s="30" t="str">
        <f aca="false">IF(Q255&lt;判定条件!$C$6,"判定不能",IF(R255&gt;=判定条件!$C$7*Q255,"運転",IF(R255&lt;=判定条件!$C$8*Q255,"停止","断続")))</f>
        <v>停止</v>
      </c>
      <c r="T255" s="30" t="n">
        <v>60</v>
      </c>
      <c r="U255" s="30" t="n">
        <v>0</v>
      </c>
      <c r="V255" s="30" t="str">
        <f aca="false">IF(T255&lt;判定条件!$C$6,"判定不能",IF(U255&gt;=判定条件!$C$7*T255,"運転",IF(U255&lt;=判定条件!$C$8*T255,"停止","断続")))</f>
        <v>停止</v>
      </c>
      <c r="W255" s="30" t="n">
        <v>60</v>
      </c>
      <c r="X255" s="30" t="n">
        <v>45</v>
      </c>
      <c r="Y255" s="30" t="str">
        <f aca="false">IF(W255&lt;判定条件!$C$6,"判定不能",IF(X255&gt;=判定条件!$C$7*W255,"運転",IF(X255&lt;=判定条件!$C$8*W255,"停止","断続")))</f>
        <v>断続</v>
      </c>
      <c r="Z255" s="30" t="n">
        <v>60</v>
      </c>
      <c r="AA255" s="30" t="n">
        <v>54</v>
      </c>
      <c r="AB255" s="30" t="str">
        <f aca="false">IF(Z255&lt;判定条件!$C$6,"判定不能",IF(AA255&gt;=判定条件!$C$7*Z255,"運転",IF(AA255&lt;=判定条件!$C$8*Z255,"停止","断続")))</f>
        <v>運転</v>
      </c>
      <c r="AC255" s="30" t="n">
        <v>60</v>
      </c>
      <c r="AD255" s="30" t="n">
        <v>60</v>
      </c>
      <c r="AE255" s="30" t="str">
        <f aca="false">IF(AC255&lt;判定条件!$C$6,"判定不能",IF(AD255&gt;=判定条件!$C$7*AC255,"運転",IF(AD255&lt;=判定条件!$C$8*AC255,"停止","断続")))</f>
        <v>運転</v>
      </c>
      <c r="AF255" s="30" t="n">
        <v>60</v>
      </c>
      <c r="AG255" s="30" t="n">
        <v>44</v>
      </c>
      <c r="AH255" s="30" t="str">
        <f aca="false">IF(OR(P255="判定不能",G255="判定不能"),"判定不能",IF(AG255&gt;=判定条件!$C$9,"利用可",IF(AND(P255="停止",G255="停止"),"両方停止","運転がそろわない")))</f>
        <v>利用可</v>
      </c>
      <c r="AI255" s="30" t="n">
        <v>60</v>
      </c>
      <c r="AJ255" s="30" t="n">
        <v>0</v>
      </c>
      <c r="AK255" s="30" t="str">
        <f aca="false">IF(OR(S255="判定不能",J255="判定不能"),"判定不能",IF(AJ255&gt;=判定条件!$C$9,"利用可",IF(AND(S255="停止",J255="停止"),"両方停止","運転がそろわない")))</f>
        <v>運転がそろわない</v>
      </c>
      <c r="AL255" s="30" t="n">
        <v>60</v>
      </c>
      <c r="AM255" s="30" t="n">
        <v>0</v>
      </c>
      <c r="AN255" s="30" t="str">
        <f aca="false">IF(OR(V255="判定不能",M255="判定不能"),"判定不能",IF(AM255&gt;=判定条件!$C$9,"利用可",IF(AND(V255="停止",M255="停止"),"両方停止","運転がそろわない")))</f>
        <v>運転がそろわない</v>
      </c>
      <c r="AO255" s="30" t="n">
        <v>60</v>
      </c>
      <c r="AP255" s="30" t="n">
        <v>45</v>
      </c>
      <c r="AQ255" s="30" t="str">
        <f aca="false">IF(OR(Y255="判定不能",G255="判定不能"),"判定不能",IF(AP255&gt;=判定条件!$C$9,"利用可",IF(AND(Y255="停止",G255="停止"),"両方停止","運転がそろわない")))</f>
        <v>利用可</v>
      </c>
      <c r="AR255" s="30" t="n">
        <v>60</v>
      </c>
      <c r="AS255" s="30" t="n">
        <v>54</v>
      </c>
      <c r="AT255" s="30" t="str">
        <f aca="false">IF(OR(AB255="判定不能",J255="判定不能"),"判定不能",IF(AS255&gt;=判定条件!$C$9,"利用可",IF(AND(AB255="停止",J255="停止"),"両方停止","運転がそろわない")))</f>
        <v>利用可</v>
      </c>
      <c r="AU255" s="30" t="n">
        <v>60</v>
      </c>
      <c r="AV255" s="30" t="n">
        <v>60</v>
      </c>
      <c r="AW255" s="30" t="str">
        <f aca="false">IF(OR(AE255="判定不能",M255="判定不能"),"判定不能",IF(AV255&gt;=判定条件!$C$9,"利用可",IF(AND(AE255="停止",M255="停止"),"両方停止","運転がそろわない")))</f>
        <v>利用可</v>
      </c>
      <c r="AX255" s="30" t="str">
        <f aca="false">IF(AND(AH255="利用可",AK255="利用可",AN255="利用可"),"利用可","不可")</f>
        <v>不可</v>
      </c>
      <c r="AY255" s="30" t="str">
        <f aca="false">IF(AND(AQ255="利用可",AT255="利用可",AW255="利用可"),"利用可","不可")</f>
        <v>利用可</v>
      </c>
    </row>
    <row r="256" customFormat="false" ht="15" hidden="false" customHeight="false" outlineLevel="0" collapsed="false">
      <c r="A256" s="29" t="n">
        <v>46242</v>
      </c>
      <c r="B256" s="30" t="n">
        <v>13</v>
      </c>
      <c r="C256" s="31" t="s">
        <v>63</v>
      </c>
      <c r="D256" s="31" t="s">
        <v>64</v>
      </c>
      <c r="E256" s="30" t="n">
        <v>60</v>
      </c>
      <c r="F256" s="30" t="n">
        <v>60</v>
      </c>
      <c r="G256" s="30" t="str">
        <f aca="false">IF(E256&lt;判定条件!$C$6,"判定不能",IF(F256&gt;=判定条件!$C$7*E256,"運転",IF(F256&lt;=判定条件!$C$8*E256,"停止","断続")))</f>
        <v>運転</v>
      </c>
      <c r="H256" s="30" t="n">
        <v>60</v>
      </c>
      <c r="I256" s="30" t="n">
        <v>60</v>
      </c>
      <c r="J256" s="30" t="str">
        <f aca="false">IF(H256&lt;判定条件!$C$6,"判定不能",IF(I256&gt;=判定条件!$C$7*H256,"運転",IF(I256&lt;=判定条件!$C$8*H256,"停止","断続")))</f>
        <v>運転</v>
      </c>
      <c r="K256" s="30" t="n">
        <v>60</v>
      </c>
      <c r="L256" s="30" t="n">
        <v>60</v>
      </c>
      <c r="M256" s="30" t="str">
        <f aca="false">IF(K256&lt;判定条件!$C$6,"判定不能",IF(L256&gt;=判定条件!$C$7*K256,"運転",IF(L256&lt;=判定条件!$C$8*K256,"停止","断続")))</f>
        <v>運転</v>
      </c>
      <c r="N256" s="30" t="n">
        <v>60</v>
      </c>
      <c r="O256" s="30" t="n">
        <v>60</v>
      </c>
      <c r="P256" s="30" t="str">
        <f aca="false">IF(N256&lt;判定条件!$C$6,"判定不能",IF(O256&gt;=判定条件!$C$7*N256,"運転",IF(O256&lt;=判定条件!$C$8*N256,"停止","断続")))</f>
        <v>運転</v>
      </c>
      <c r="Q256" s="30" t="n">
        <v>60</v>
      </c>
      <c r="R256" s="30" t="n">
        <v>0</v>
      </c>
      <c r="S256" s="30" t="str">
        <f aca="false">IF(Q256&lt;判定条件!$C$6,"判定不能",IF(R256&gt;=判定条件!$C$7*Q256,"運転",IF(R256&lt;=判定条件!$C$8*Q256,"停止","断続")))</f>
        <v>停止</v>
      </c>
      <c r="T256" s="30" t="n">
        <v>60</v>
      </c>
      <c r="U256" s="30" t="n">
        <v>56</v>
      </c>
      <c r="V256" s="30" t="str">
        <f aca="false">IF(T256&lt;判定条件!$C$6,"判定不能",IF(U256&gt;=判定条件!$C$7*T256,"運転",IF(U256&lt;=判定条件!$C$8*T256,"停止","断続")))</f>
        <v>運転</v>
      </c>
      <c r="W256" s="30" t="n">
        <v>60</v>
      </c>
      <c r="X256" s="30" t="n">
        <v>60</v>
      </c>
      <c r="Y256" s="30" t="str">
        <f aca="false">IF(W256&lt;判定条件!$C$6,"判定不能",IF(X256&gt;=判定条件!$C$7*W256,"運転",IF(X256&lt;=判定条件!$C$8*W256,"停止","断続")))</f>
        <v>運転</v>
      </c>
      <c r="Z256" s="30" t="n">
        <v>60</v>
      </c>
      <c r="AA256" s="30" t="n">
        <v>50</v>
      </c>
      <c r="AB256" s="30" t="str">
        <f aca="false">IF(Z256&lt;判定条件!$C$6,"判定不能",IF(AA256&gt;=判定条件!$C$7*Z256,"運転",IF(AA256&lt;=判定条件!$C$8*Z256,"停止","断続")))</f>
        <v>運転</v>
      </c>
      <c r="AC256" s="30" t="n">
        <v>60</v>
      </c>
      <c r="AD256" s="30" t="n">
        <v>60</v>
      </c>
      <c r="AE256" s="30" t="str">
        <f aca="false">IF(AC256&lt;判定条件!$C$6,"判定不能",IF(AD256&gt;=判定条件!$C$7*AC256,"運転",IF(AD256&lt;=判定条件!$C$8*AC256,"停止","断続")))</f>
        <v>運転</v>
      </c>
      <c r="AF256" s="30" t="n">
        <v>60</v>
      </c>
      <c r="AG256" s="30" t="n">
        <v>60</v>
      </c>
      <c r="AH256" s="30" t="str">
        <f aca="false">IF(OR(P256="判定不能",G256="判定不能"),"判定不能",IF(AG256&gt;=判定条件!$C$9,"利用可",IF(AND(P256="停止",G256="停止"),"両方停止","運転がそろわない")))</f>
        <v>利用可</v>
      </c>
      <c r="AI256" s="30" t="n">
        <v>60</v>
      </c>
      <c r="AJ256" s="30" t="n">
        <v>0</v>
      </c>
      <c r="AK256" s="30" t="str">
        <f aca="false">IF(OR(S256="判定不能",J256="判定不能"),"判定不能",IF(AJ256&gt;=判定条件!$C$9,"利用可",IF(AND(S256="停止",J256="停止"),"両方停止","運転がそろわない")))</f>
        <v>運転がそろわない</v>
      </c>
      <c r="AL256" s="30" t="n">
        <v>60</v>
      </c>
      <c r="AM256" s="30" t="n">
        <v>56</v>
      </c>
      <c r="AN256" s="30" t="str">
        <f aca="false">IF(OR(V256="判定不能",M256="判定不能"),"判定不能",IF(AM256&gt;=判定条件!$C$9,"利用可",IF(AND(V256="停止",M256="停止"),"両方停止","運転がそろわない")))</f>
        <v>利用可</v>
      </c>
      <c r="AO256" s="30" t="n">
        <v>60</v>
      </c>
      <c r="AP256" s="30" t="n">
        <v>60</v>
      </c>
      <c r="AQ256" s="30" t="str">
        <f aca="false">IF(OR(Y256="判定不能",G256="判定不能"),"判定不能",IF(AP256&gt;=判定条件!$C$9,"利用可",IF(AND(Y256="停止",G256="停止"),"両方停止","運転がそろわない")))</f>
        <v>利用可</v>
      </c>
      <c r="AR256" s="30" t="n">
        <v>60</v>
      </c>
      <c r="AS256" s="30" t="n">
        <v>50</v>
      </c>
      <c r="AT256" s="30" t="str">
        <f aca="false">IF(OR(AB256="判定不能",J256="判定不能"),"判定不能",IF(AS256&gt;=判定条件!$C$9,"利用可",IF(AND(AB256="停止",J256="停止"),"両方停止","運転がそろわない")))</f>
        <v>利用可</v>
      </c>
      <c r="AU256" s="30" t="n">
        <v>60</v>
      </c>
      <c r="AV256" s="30" t="n">
        <v>60</v>
      </c>
      <c r="AW256" s="30" t="str">
        <f aca="false">IF(OR(AE256="判定不能",M256="判定不能"),"判定不能",IF(AV256&gt;=判定条件!$C$9,"利用可",IF(AND(AE256="停止",M256="停止"),"両方停止","運転がそろわない")))</f>
        <v>利用可</v>
      </c>
      <c r="AX256" s="30" t="str">
        <f aca="false">IF(AND(AH256="利用可",AK256="利用可",AN256="利用可"),"利用可","不可")</f>
        <v>不可</v>
      </c>
      <c r="AY256" s="30" t="str">
        <f aca="false">IF(AND(AQ256="利用可",AT256="利用可",AW256="利用可"),"利用可","不可")</f>
        <v>利用可</v>
      </c>
    </row>
    <row r="257" customFormat="false" ht="15" hidden="false" customHeight="false" outlineLevel="0" collapsed="false">
      <c r="A257" s="29" t="n">
        <v>46242</v>
      </c>
      <c r="B257" s="30" t="n">
        <v>14</v>
      </c>
      <c r="C257" s="31" t="s">
        <v>63</v>
      </c>
      <c r="D257" s="31" t="s">
        <v>64</v>
      </c>
      <c r="E257" s="30" t="n">
        <v>60</v>
      </c>
      <c r="F257" s="30" t="n">
        <v>60</v>
      </c>
      <c r="G257" s="30" t="str">
        <f aca="false">IF(E257&lt;判定条件!$C$6,"判定不能",IF(F257&gt;=判定条件!$C$7*E257,"運転",IF(F257&lt;=判定条件!$C$8*E257,"停止","断続")))</f>
        <v>運転</v>
      </c>
      <c r="H257" s="30" t="n">
        <v>60</v>
      </c>
      <c r="I257" s="30" t="n">
        <v>60</v>
      </c>
      <c r="J257" s="30" t="str">
        <f aca="false">IF(H257&lt;判定条件!$C$6,"判定不能",IF(I257&gt;=判定条件!$C$7*H257,"運転",IF(I257&lt;=判定条件!$C$8*H257,"停止","断続")))</f>
        <v>運転</v>
      </c>
      <c r="K257" s="30" t="n">
        <v>60</v>
      </c>
      <c r="L257" s="30" t="n">
        <v>60</v>
      </c>
      <c r="M257" s="30" t="str">
        <f aca="false">IF(K257&lt;判定条件!$C$6,"判定不能",IF(L257&gt;=判定条件!$C$7*K257,"運転",IF(L257&lt;=判定条件!$C$8*K257,"停止","断続")))</f>
        <v>運転</v>
      </c>
      <c r="N257" s="30" t="n">
        <v>60</v>
      </c>
      <c r="O257" s="30" t="n">
        <v>52</v>
      </c>
      <c r="P257" s="30" t="str">
        <f aca="false">IF(N257&lt;判定条件!$C$6,"判定不能",IF(O257&gt;=判定条件!$C$7*N257,"運転",IF(O257&lt;=判定条件!$C$8*N257,"停止","断続")))</f>
        <v>運転</v>
      </c>
      <c r="Q257" s="30" t="n">
        <v>60</v>
      </c>
      <c r="R257" s="30" t="n">
        <v>0</v>
      </c>
      <c r="S257" s="30" t="str">
        <f aca="false">IF(Q257&lt;判定条件!$C$6,"判定不能",IF(R257&gt;=判定条件!$C$7*Q257,"運転",IF(R257&lt;=判定条件!$C$8*Q257,"停止","断続")))</f>
        <v>停止</v>
      </c>
      <c r="T257" s="30" t="n">
        <v>60</v>
      </c>
      <c r="U257" s="30" t="n">
        <v>60</v>
      </c>
      <c r="V257" s="30" t="str">
        <f aca="false">IF(T257&lt;判定条件!$C$6,"判定不能",IF(U257&gt;=判定条件!$C$7*T257,"運転",IF(U257&lt;=判定条件!$C$8*T257,"停止","断続")))</f>
        <v>運転</v>
      </c>
      <c r="W257" s="30" t="n">
        <v>60</v>
      </c>
      <c r="X257" s="30" t="n">
        <v>48</v>
      </c>
      <c r="Y257" s="30" t="str">
        <f aca="false">IF(W257&lt;判定条件!$C$6,"判定不能",IF(X257&gt;=判定条件!$C$7*W257,"運転",IF(X257&lt;=判定条件!$C$8*W257,"停止","断続")))</f>
        <v>運転</v>
      </c>
      <c r="Z257" s="30" t="n">
        <v>60</v>
      </c>
      <c r="AA257" s="30" t="n">
        <v>60</v>
      </c>
      <c r="AB257" s="30" t="str">
        <f aca="false">IF(Z257&lt;判定条件!$C$6,"判定不能",IF(AA257&gt;=判定条件!$C$7*Z257,"運転",IF(AA257&lt;=判定条件!$C$8*Z257,"停止","断続")))</f>
        <v>運転</v>
      </c>
      <c r="AC257" s="30" t="n">
        <v>60</v>
      </c>
      <c r="AD257" s="30" t="n">
        <v>60</v>
      </c>
      <c r="AE257" s="30" t="str">
        <f aca="false">IF(AC257&lt;判定条件!$C$6,"判定不能",IF(AD257&gt;=判定条件!$C$7*AC257,"運転",IF(AD257&lt;=判定条件!$C$8*AC257,"停止","断続")))</f>
        <v>運転</v>
      </c>
      <c r="AF257" s="30" t="n">
        <v>60</v>
      </c>
      <c r="AG257" s="30" t="n">
        <v>52</v>
      </c>
      <c r="AH257" s="30" t="str">
        <f aca="false">IF(OR(P257="判定不能",G257="判定不能"),"判定不能",IF(AG257&gt;=判定条件!$C$9,"利用可",IF(AND(P257="停止",G257="停止"),"両方停止","運転がそろわない")))</f>
        <v>利用可</v>
      </c>
      <c r="AI257" s="30" t="n">
        <v>60</v>
      </c>
      <c r="AJ257" s="30" t="n">
        <v>0</v>
      </c>
      <c r="AK257" s="30" t="str">
        <f aca="false">IF(OR(S257="判定不能",J257="判定不能"),"判定不能",IF(AJ257&gt;=判定条件!$C$9,"利用可",IF(AND(S257="停止",J257="停止"),"両方停止","運転がそろわない")))</f>
        <v>運転がそろわない</v>
      </c>
      <c r="AL257" s="30" t="n">
        <v>60</v>
      </c>
      <c r="AM257" s="30" t="n">
        <v>60</v>
      </c>
      <c r="AN257" s="30" t="str">
        <f aca="false">IF(OR(V257="判定不能",M257="判定不能"),"判定不能",IF(AM257&gt;=判定条件!$C$9,"利用可",IF(AND(V257="停止",M257="停止"),"両方停止","運転がそろわない")))</f>
        <v>利用可</v>
      </c>
      <c r="AO257" s="30" t="n">
        <v>60</v>
      </c>
      <c r="AP257" s="30" t="n">
        <v>48</v>
      </c>
      <c r="AQ257" s="30" t="str">
        <f aca="false">IF(OR(Y257="判定不能",G257="判定不能"),"判定不能",IF(AP257&gt;=判定条件!$C$9,"利用可",IF(AND(Y257="停止",G257="停止"),"両方停止","運転がそろわない")))</f>
        <v>利用可</v>
      </c>
      <c r="AR257" s="30" t="n">
        <v>60</v>
      </c>
      <c r="AS257" s="30" t="n">
        <v>60</v>
      </c>
      <c r="AT257" s="30" t="str">
        <f aca="false">IF(OR(AB257="判定不能",J257="判定不能"),"判定不能",IF(AS257&gt;=判定条件!$C$9,"利用可",IF(AND(AB257="停止",J257="停止"),"両方停止","運転がそろわない")))</f>
        <v>利用可</v>
      </c>
      <c r="AU257" s="30" t="n">
        <v>60</v>
      </c>
      <c r="AV257" s="30" t="n">
        <v>60</v>
      </c>
      <c r="AW257" s="30" t="str">
        <f aca="false">IF(OR(AE257="判定不能",M257="判定不能"),"判定不能",IF(AV257&gt;=判定条件!$C$9,"利用可",IF(AND(AE257="停止",M257="停止"),"両方停止","運転がそろわない")))</f>
        <v>利用可</v>
      </c>
      <c r="AX257" s="30" t="str">
        <f aca="false">IF(AND(AH257="利用可",AK257="利用可",AN257="利用可"),"利用可","不可")</f>
        <v>不可</v>
      </c>
      <c r="AY257" s="30" t="str">
        <f aca="false">IF(AND(AQ257="利用可",AT257="利用可",AW257="利用可"),"利用可","不可")</f>
        <v>利用可</v>
      </c>
    </row>
    <row r="258" customFormat="false" ht="15" hidden="false" customHeight="false" outlineLevel="0" collapsed="false">
      <c r="A258" s="29" t="n">
        <v>46242</v>
      </c>
      <c r="B258" s="30" t="n">
        <v>15</v>
      </c>
      <c r="C258" s="31" t="s">
        <v>63</v>
      </c>
      <c r="D258" s="31" t="s">
        <v>64</v>
      </c>
      <c r="E258" s="30" t="n">
        <v>60</v>
      </c>
      <c r="F258" s="30" t="n">
        <v>60</v>
      </c>
      <c r="G258" s="30" t="str">
        <f aca="false">IF(E258&lt;判定条件!$C$6,"判定不能",IF(F258&gt;=判定条件!$C$7*E258,"運転",IF(F258&lt;=判定条件!$C$8*E258,"停止","断続")))</f>
        <v>運転</v>
      </c>
      <c r="H258" s="30" t="n">
        <v>60</v>
      </c>
      <c r="I258" s="30" t="n">
        <v>60</v>
      </c>
      <c r="J258" s="30" t="str">
        <f aca="false">IF(H258&lt;判定条件!$C$6,"判定不能",IF(I258&gt;=判定条件!$C$7*H258,"運転",IF(I258&lt;=判定条件!$C$8*H258,"停止","断続")))</f>
        <v>運転</v>
      </c>
      <c r="K258" s="30" t="n">
        <v>60</v>
      </c>
      <c r="L258" s="30" t="n">
        <v>60</v>
      </c>
      <c r="M258" s="30" t="str">
        <f aca="false">IF(K258&lt;判定条件!$C$6,"判定不能",IF(L258&gt;=判定条件!$C$7*K258,"運転",IF(L258&lt;=判定条件!$C$8*K258,"停止","断続")))</f>
        <v>運転</v>
      </c>
      <c r="N258" s="30" t="n">
        <v>60</v>
      </c>
      <c r="O258" s="30" t="n">
        <v>46</v>
      </c>
      <c r="P258" s="30" t="str">
        <f aca="false">IF(N258&lt;判定条件!$C$6,"判定不能",IF(O258&gt;=判定条件!$C$7*N258,"運転",IF(O258&lt;=判定条件!$C$8*N258,"停止","断続")))</f>
        <v>断続</v>
      </c>
      <c r="Q258" s="30" t="n">
        <v>60</v>
      </c>
      <c r="R258" s="30" t="n">
        <v>0</v>
      </c>
      <c r="S258" s="30" t="str">
        <f aca="false">IF(Q258&lt;判定条件!$C$6,"判定不能",IF(R258&gt;=判定条件!$C$7*Q258,"運転",IF(R258&lt;=判定条件!$C$8*Q258,"停止","断続")))</f>
        <v>停止</v>
      </c>
      <c r="T258" s="30" t="n">
        <v>60</v>
      </c>
      <c r="U258" s="30" t="n">
        <v>50</v>
      </c>
      <c r="V258" s="30" t="str">
        <f aca="false">IF(T258&lt;判定条件!$C$6,"判定不能",IF(U258&gt;=判定条件!$C$7*T258,"運転",IF(U258&lt;=判定条件!$C$8*T258,"停止","断続")))</f>
        <v>運転</v>
      </c>
      <c r="W258" s="30" t="n">
        <v>60</v>
      </c>
      <c r="X258" s="30" t="n">
        <v>49</v>
      </c>
      <c r="Y258" s="30" t="str">
        <f aca="false">IF(W258&lt;判定条件!$C$6,"判定不能",IF(X258&gt;=判定条件!$C$7*W258,"運転",IF(X258&lt;=判定条件!$C$8*W258,"停止","断続")))</f>
        <v>運転</v>
      </c>
      <c r="Z258" s="30" t="n">
        <v>60</v>
      </c>
      <c r="AA258" s="30" t="n">
        <v>58</v>
      </c>
      <c r="AB258" s="30" t="str">
        <f aca="false">IF(Z258&lt;判定条件!$C$6,"判定不能",IF(AA258&gt;=判定条件!$C$7*Z258,"運転",IF(AA258&lt;=判定条件!$C$8*Z258,"停止","断続")))</f>
        <v>運転</v>
      </c>
      <c r="AC258" s="30" t="n">
        <v>60</v>
      </c>
      <c r="AD258" s="30" t="n">
        <v>53</v>
      </c>
      <c r="AE258" s="30" t="str">
        <f aca="false">IF(AC258&lt;判定条件!$C$6,"判定不能",IF(AD258&gt;=判定条件!$C$7*AC258,"運転",IF(AD258&lt;=判定条件!$C$8*AC258,"停止","断続")))</f>
        <v>運転</v>
      </c>
      <c r="AF258" s="30" t="n">
        <v>60</v>
      </c>
      <c r="AG258" s="30" t="n">
        <v>46</v>
      </c>
      <c r="AH258" s="30" t="str">
        <f aca="false">IF(OR(P258="判定不能",G258="判定不能"),"判定不能",IF(AG258&gt;=判定条件!$C$9,"利用可",IF(AND(P258="停止",G258="停止"),"両方停止","運転がそろわない")))</f>
        <v>利用可</v>
      </c>
      <c r="AI258" s="30" t="n">
        <v>60</v>
      </c>
      <c r="AJ258" s="30" t="n">
        <v>0</v>
      </c>
      <c r="AK258" s="30" t="str">
        <f aca="false">IF(OR(S258="判定不能",J258="判定不能"),"判定不能",IF(AJ258&gt;=判定条件!$C$9,"利用可",IF(AND(S258="停止",J258="停止"),"両方停止","運転がそろわない")))</f>
        <v>運転がそろわない</v>
      </c>
      <c r="AL258" s="30" t="n">
        <v>60</v>
      </c>
      <c r="AM258" s="30" t="n">
        <v>50</v>
      </c>
      <c r="AN258" s="30" t="str">
        <f aca="false">IF(OR(V258="判定不能",M258="判定不能"),"判定不能",IF(AM258&gt;=判定条件!$C$9,"利用可",IF(AND(V258="停止",M258="停止"),"両方停止","運転がそろわない")))</f>
        <v>利用可</v>
      </c>
      <c r="AO258" s="30" t="n">
        <v>60</v>
      </c>
      <c r="AP258" s="30" t="n">
        <v>49</v>
      </c>
      <c r="AQ258" s="30" t="str">
        <f aca="false">IF(OR(Y258="判定不能",G258="判定不能"),"判定不能",IF(AP258&gt;=判定条件!$C$9,"利用可",IF(AND(Y258="停止",G258="停止"),"両方停止","運転がそろわない")))</f>
        <v>利用可</v>
      </c>
      <c r="AR258" s="30" t="n">
        <v>60</v>
      </c>
      <c r="AS258" s="30" t="n">
        <v>58</v>
      </c>
      <c r="AT258" s="30" t="str">
        <f aca="false">IF(OR(AB258="判定不能",J258="判定不能"),"判定不能",IF(AS258&gt;=判定条件!$C$9,"利用可",IF(AND(AB258="停止",J258="停止"),"両方停止","運転がそろわない")))</f>
        <v>利用可</v>
      </c>
      <c r="AU258" s="30" t="n">
        <v>60</v>
      </c>
      <c r="AV258" s="30" t="n">
        <v>53</v>
      </c>
      <c r="AW258" s="30" t="str">
        <f aca="false">IF(OR(AE258="判定不能",M258="判定不能"),"判定不能",IF(AV258&gt;=判定条件!$C$9,"利用可",IF(AND(AE258="停止",M258="停止"),"両方停止","運転がそろわない")))</f>
        <v>利用可</v>
      </c>
      <c r="AX258" s="30" t="str">
        <f aca="false">IF(AND(AH258="利用可",AK258="利用可",AN258="利用可"),"利用可","不可")</f>
        <v>不可</v>
      </c>
      <c r="AY258" s="30" t="str">
        <f aca="false">IF(AND(AQ258="利用可",AT258="利用可",AW258="利用可"),"利用可","不可")</f>
        <v>利用可</v>
      </c>
    </row>
    <row r="259" customFormat="false" ht="15" hidden="false" customHeight="false" outlineLevel="0" collapsed="false">
      <c r="A259" s="29" t="n">
        <v>46242</v>
      </c>
      <c r="B259" s="30" t="n">
        <v>16</v>
      </c>
      <c r="C259" s="31" t="s">
        <v>63</v>
      </c>
      <c r="D259" s="31" t="s">
        <v>64</v>
      </c>
      <c r="E259" s="30" t="n">
        <v>60</v>
      </c>
      <c r="F259" s="30" t="n">
        <v>60</v>
      </c>
      <c r="G259" s="30" t="str">
        <f aca="false">IF(E259&lt;判定条件!$C$6,"判定不能",IF(F259&gt;=判定条件!$C$7*E259,"運転",IF(F259&lt;=判定条件!$C$8*E259,"停止","断続")))</f>
        <v>運転</v>
      </c>
      <c r="H259" s="30" t="n">
        <v>60</v>
      </c>
      <c r="I259" s="30" t="n">
        <v>60</v>
      </c>
      <c r="J259" s="30" t="str">
        <f aca="false">IF(H259&lt;判定条件!$C$6,"判定不能",IF(I259&gt;=判定条件!$C$7*H259,"運転",IF(I259&lt;=判定条件!$C$8*H259,"停止","断続")))</f>
        <v>運転</v>
      </c>
      <c r="K259" s="30" t="n">
        <v>60</v>
      </c>
      <c r="L259" s="30" t="n">
        <v>60</v>
      </c>
      <c r="M259" s="30" t="str">
        <f aca="false">IF(K259&lt;判定条件!$C$6,"判定不能",IF(L259&gt;=判定条件!$C$7*K259,"運転",IF(L259&lt;=判定条件!$C$8*K259,"停止","断続")))</f>
        <v>運転</v>
      </c>
      <c r="N259" s="30" t="n">
        <v>60</v>
      </c>
      <c r="O259" s="30" t="n">
        <v>44</v>
      </c>
      <c r="P259" s="30" t="str">
        <f aca="false">IF(N259&lt;判定条件!$C$6,"判定不能",IF(O259&gt;=判定条件!$C$7*N259,"運転",IF(O259&lt;=判定条件!$C$8*N259,"停止","断続")))</f>
        <v>断続</v>
      </c>
      <c r="Q259" s="30" t="n">
        <v>60</v>
      </c>
      <c r="R259" s="30" t="n">
        <v>0</v>
      </c>
      <c r="S259" s="30" t="str">
        <f aca="false">IF(Q259&lt;判定条件!$C$6,"判定不能",IF(R259&gt;=判定条件!$C$7*Q259,"運転",IF(R259&lt;=判定条件!$C$8*Q259,"停止","断続")))</f>
        <v>停止</v>
      </c>
      <c r="T259" s="30" t="n">
        <v>60</v>
      </c>
      <c r="U259" s="30" t="n">
        <v>40</v>
      </c>
      <c r="V259" s="30" t="str">
        <f aca="false">IF(T259&lt;判定条件!$C$6,"判定不能",IF(U259&gt;=判定条件!$C$7*T259,"運転",IF(U259&lt;=判定条件!$C$8*T259,"停止","断続")))</f>
        <v>断続</v>
      </c>
      <c r="W259" s="30" t="n">
        <v>60</v>
      </c>
      <c r="X259" s="30" t="n">
        <v>27</v>
      </c>
      <c r="Y259" s="30" t="str">
        <f aca="false">IF(W259&lt;判定条件!$C$6,"判定不能",IF(X259&gt;=判定条件!$C$7*W259,"運転",IF(X259&lt;=判定条件!$C$8*W259,"停止","断続")))</f>
        <v>断続</v>
      </c>
      <c r="Z259" s="30" t="n">
        <v>60</v>
      </c>
      <c r="AA259" s="30" t="n">
        <v>33</v>
      </c>
      <c r="AB259" s="30" t="str">
        <f aca="false">IF(Z259&lt;判定条件!$C$6,"判定不能",IF(AA259&gt;=判定条件!$C$7*Z259,"運転",IF(AA259&lt;=判定条件!$C$8*Z259,"停止","断続")))</f>
        <v>断続</v>
      </c>
      <c r="AC259" s="30" t="n">
        <v>60</v>
      </c>
      <c r="AD259" s="30" t="n">
        <v>41</v>
      </c>
      <c r="AE259" s="30" t="str">
        <f aca="false">IF(AC259&lt;判定条件!$C$6,"判定不能",IF(AD259&gt;=判定条件!$C$7*AC259,"運転",IF(AD259&lt;=判定条件!$C$8*AC259,"停止","断続")))</f>
        <v>断続</v>
      </c>
      <c r="AF259" s="30" t="n">
        <v>60</v>
      </c>
      <c r="AG259" s="30" t="n">
        <v>44</v>
      </c>
      <c r="AH259" s="30" t="str">
        <f aca="false">IF(OR(P259="判定不能",G259="判定不能"),"判定不能",IF(AG259&gt;=判定条件!$C$9,"利用可",IF(AND(P259="停止",G259="停止"),"両方停止","運転がそろわない")))</f>
        <v>利用可</v>
      </c>
      <c r="AI259" s="30" t="n">
        <v>60</v>
      </c>
      <c r="AJ259" s="30" t="n">
        <v>0</v>
      </c>
      <c r="AK259" s="30" t="str">
        <f aca="false">IF(OR(S259="判定不能",J259="判定不能"),"判定不能",IF(AJ259&gt;=判定条件!$C$9,"利用可",IF(AND(S259="停止",J259="停止"),"両方停止","運転がそろわない")))</f>
        <v>運転がそろわない</v>
      </c>
      <c r="AL259" s="30" t="n">
        <v>60</v>
      </c>
      <c r="AM259" s="30" t="n">
        <v>40</v>
      </c>
      <c r="AN259" s="30" t="str">
        <f aca="false">IF(OR(V259="判定不能",M259="判定不能"),"判定不能",IF(AM259&gt;=判定条件!$C$9,"利用可",IF(AND(V259="停止",M259="停止"),"両方停止","運転がそろわない")))</f>
        <v>利用可</v>
      </c>
      <c r="AO259" s="30" t="n">
        <v>60</v>
      </c>
      <c r="AP259" s="30" t="n">
        <v>27</v>
      </c>
      <c r="AQ259" s="30" t="str">
        <f aca="false">IF(OR(Y259="判定不能",G259="判定不能"),"判定不能",IF(AP259&gt;=判定条件!$C$9,"利用可",IF(AND(Y259="停止",G259="停止"),"両方停止","運転がそろわない")))</f>
        <v>運転がそろわない</v>
      </c>
      <c r="AR259" s="30" t="n">
        <v>60</v>
      </c>
      <c r="AS259" s="30" t="n">
        <v>33</v>
      </c>
      <c r="AT259" s="30" t="str">
        <f aca="false">IF(OR(AB259="判定不能",J259="判定不能"),"判定不能",IF(AS259&gt;=判定条件!$C$9,"利用可",IF(AND(AB259="停止",J259="停止"),"両方停止","運転がそろわない")))</f>
        <v>利用可</v>
      </c>
      <c r="AU259" s="30" t="n">
        <v>60</v>
      </c>
      <c r="AV259" s="30" t="n">
        <v>41</v>
      </c>
      <c r="AW259" s="30" t="str">
        <f aca="false">IF(OR(AE259="判定不能",M259="判定不能"),"判定不能",IF(AV259&gt;=判定条件!$C$9,"利用可",IF(AND(AE259="停止",M259="停止"),"両方停止","運転がそろわない")))</f>
        <v>利用可</v>
      </c>
      <c r="AX259" s="30" t="str">
        <f aca="false">IF(AND(AH259="利用可",AK259="利用可",AN259="利用可"),"利用可","不可")</f>
        <v>不可</v>
      </c>
      <c r="AY259" s="30" t="str">
        <f aca="false">IF(AND(AQ259="利用可",AT259="利用可",AW259="利用可"),"利用可","不可")</f>
        <v>不可</v>
      </c>
    </row>
    <row r="260" customFormat="false" ht="15" hidden="false" customHeight="false" outlineLevel="0" collapsed="false">
      <c r="A260" s="29" t="n">
        <v>46242</v>
      </c>
      <c r="B260" s="30" t="n">
        <v>17</v>
      </c>
      <c r="C260" s="31" t="s">
        <v>63</v>
      </c>
      <c r="D260" s="31" t="s">
        <v>64</v>
      </c>
      <c r="E260" s="30" t="n">
        <v>60</v>
      </c>
      <c r="F260" s="30" t="n">
        <v>60</v>
      </c>
      <c r="G260" s="30" t="str">
        <f aca="false">IF(E260&lt;判定条件!$C$6,"判定不能",IF(F260&gt;=判定条件!$C$7*E260,"運転",IF(F260&lt;=判定条件!$C$8*E260,"停止","断続")))</f>
        <v>運転</v>
      </c>
      <c r="H260" s="30" t="n">
        <v>60</v>
      </c>
      <c r="I260" s="30" t="n">
        <v>60</v>
      </c>
      <c r="J260" s="30" t="str">
        <f aca="false">IF(H260&lt;判定条件!$C$6,"判定不能",IF(I260&gt;=判定条件!$C$7*H260,"運転",IF(I260&lt;=判定条件!$C$8*H260,"停止","断続")))</f>
        <v>運転</v>
      </c>
      <c r="K260" s="30" t="n">
        <v>60</v>
      </c>
      <c r="L260" s="30" t="n">
        <v>60</v>
      </c>
      <c r="M260" s="30" t="str">
        <f aca="false">IF(K260&lt;判定条件!$C$6,"判定不能",IF(L260&gt;=判定条件!$C$7*K260,"運転",IF(L260&lt;=判定条件!$C$8*K260,"停止","断続")))</f>
        <v>運転</v>
      </c>
      <c r="N260" s="30" t="n">
        <v>60</v>
      </c>
      <c r="O260" s="30" t="n">
        <v>60</v>
      </c>
      <c r="P260" s="30" t="str">
        <f aca="false">IF(N260&lt;判定条件!$C$6,"判定不能",IF(O260&gt;=判定条件!$C$7*N260,"運転",IF(O260&lt;=判定条件!$C$8*N260,"停止","断続")))</f>
        <v>運転</v>
      </c>
      <c r="Q260" s="30" t="n">
        <v>60</v>
      </c>
      <c r="R260" s="30" t="n">
        <v>0</v>
      </c>
      <c r="S260" s="30" t="str">
        <f aca="false">IF(Q260&lt;判定条件!$C$6,"判定不能",IF(R260&gt;=判定条件!$C$7*Q260,"運転",IF(R260&lt;=判定条件!$C$8*Q260,"停止","断続")))</f>
        <v>停止</v>
      </c>
      <c r="T260" s="30" t="n">
        <v>60</v>
      </c>
      <c r="U260" s="30" t="n">
        <v>60</v>
      </c>
      <c r="V260" s="30" t="str">
        <f aca="false">IF(T260&lt;判定条件!$C$6,"判定不能",IF(U260&gt;=判定条件!$C$7*T260,"運転",IF(U260&lt;=判定条件!$C$8*T260,"停止","断続")))</f>
        <v>運転</v>
      </c>
      <c r="W260" s="30" t="n">
        <v>60</v>
      </c>
      <c r="X260" s="30" t="n">
        <v>52</v>
      </c>
      <c r="Y260" s="30" t="str">
        <f aca="false">IF(W260&lt;判定条件!$C$6,"判定不能",IF(X260&gt;=判定条件!$C$7*W260,"運転",IF(X260&lt;=判定条件!$C$8*W260,"停止","断続")))</f>
        <v>運転</v>
      </c>
      <c r="Z260" s="30" t="n">
        <v>60</v>
      </c>
      <c r="AA260" s="30" t="n">
        <v>43</v>
      </c>
      <c r="AB260" s="30" t="str">
        <f aca="false">IF(Z260&lt;判定条件!$C$6,"判定不能",IF(AA260&gt;=判定条件!$C$7*Z260,"運転",IF(AA260&lt;=判定条件!$C$8*Z260,"停止","断続")))</f>
        <v>断続</v>
      </c>
      <c r="AC260" s="30" t="n">
        <v>60</v>
      </c>
      <c r="AD260" s="30" t="n">
        <v>60</v>
      </c>
      <c r="AE260" s="30" t="str">
        <f aca="false">IF(AC260&lt;判定条件!$C$6,"判定不能",IF(AD260&gt;=判定条件!$C$7*AC260,"運転",IF(AD260&lt;=判定条件!$C$8*AC260,"停止","断続")))</f>
        <v>運転</v>
      </c>
      <c r="AF260" s="30" t="n">
        <v>60</v>
      </c>
      <c r="AG260" s="30" t="n">
        <v>60</v>
      </c>
      <c r="AH260" s="30" t="str">
        <f aca="false">IF(OR(P260="判定不能",G260="判定不能"),"判定不能",IF(AG260&gt;=判定条件!$C$9,"利用可",IF(AND(P260="停止",G260="停止"),"両方停止","運転がそろわない")))</f>
        <v>利用可</v>
      </c>
      <c r="AI260" s="30" t="n">
        <v>60</v>
      </c>
      <c r="AJ260" s="30" t="n">
        <v>0</v>
      </c>
      <c r="AK260" s="30" t="str">
        <f aca="false">IF(OR(S260="判定不能",J260="判定不能"),"判定不能",IF(AJ260&gt;=判定条件!$C$9,"利用可",IF(AND(S260="停止",J260="停止"),"両方停止","運転がそろわない")))</f>
        <v>運転がそろわない</v>
      </c>
      <c r="AL260" s="30" t="n">
        <v>60</v>
      </c>
      <c r="AM260" s="30" t="n">
        <v>60</v>
      </c>
      <c r="AN260" s="30" t="str">
        <f aca="false">IF(OR(V260="判定不能",M260="判定不能"),"判定不能",IF(AM260&gt;=判定条件!$C$9,"利用可",IF(AND(V260="停止",M260="停止"),"両方停止","運転がそろわない")))</f>
        <v>利用可</v>
      </c>
      <c r="AO260" s="30" t="n">
        <v>60</v>
      </c>
      <c r="AP260" s="30" t="n">
        <v>52</v>
      </c>
      <c r="AQ260" s="30" t="str">
        <f aca="false">IF(OR(Y260="判定不能",G260="判定不能"),"判定不能",IF(AP260&gt;=判定条件!$C$9,"利用可",IF(AND(Y260="停止",G260="停止"),"両方停止","運転がそろわない")))</f>
        <v>利用可</v>
      </c>
      <c r="AR260" s="30" t="n">
        <v>60</v>
      </c>
      <c r="AS260" s="30" t="n">
        <v>43</v>
      </c>
      <c r="AT260" s="30" t="str">
        <f aca="false">IF(OR(AB260="判定不能",J260="判定不能"),"判定不能",IF(AS260&gt;=判定条件!$C$9,"利用可",IF(AND(AB260="停止",J260="停止"),"両方停止","運転がそろわない")))</f>
        <v>利用可</v>
      </c>
      <c r="AU260" s="30" t="n">
        <v>60</v>
      </c>
      <c r="AV260" s="30" t="n">
        <v>60</v>
      </c>
      <c r="AW260" s="30" t="str">
        <f aca="false">IF(OR(AE260="判定不能",M260="判定不能"),"判定不能",IF(AV260&gt;=判定条件!$C$9,"利用可",IF(AND(AE260="停止",M260="停止"),"両方停止","運転がそろわない")))</f>
        <v>利用可</v>
      </c>
      <c r="AX260" s="30" t="str">
        <f aca="false">IF(AND(AH260="利用可",AK260="利用可",AN260="利用可"),"利用可","不可")</f>
        <v>不可</v>
      </c>
      <c r="AY260" s="30" t="str">
        <f aca="false">IF(AND(AQ260="利用可",AT260="利用可",AW260="利用可"),"利用可","不可")</f>
        <v>利用可</v>
      </c>
    </row>
    <row r="261" customFormat="false" ht="15" hidden="false" customHeight="false" outlineLevel="0" collapsed="false">
      <c r="A261" s="29" t="n">
        <v>46242</v>
      </c>
      <c r="B261" s="30" t="n">
        <v>18</v>
      </c>
      <c r="C261" s="31" t="s">
        <v>63</v>
      </c>
      <c r="D261" s="31" t="s">
        <v>64</v>
      </c>
      <c r="E261" s="30" t="n">
        <v>60</v>
      </c>
      <c r="F261" s="30" t="n">
        <v>60</v>
      </c>
      <c r="G261" s="30" t="str">
        <f aca="false">IF(E261&lt;判定条件!$C$6,"判定不能",IF(F261&gt;=判定条件!$C$7*E261,"運転",IF(F261&lt;=判定条件!$C$8*E261,"停止","断続")))</f>
        <v>運転</v>
      </c>
      <c r="H261" s="30" t="n">
        <v>60</v>
      </c>
      <c r="I261" s="30" t="n">
        <v>55</v>
      </c>
      <c r="J261" s="30" t="str">
        <f aca="false">IF(H261&lt;判定条件!$C$6,"判定不能",IF(I261&gt;=判定条件!$C$7*H261,"運転",IF(I261&lt;=判定条件!$C$8*H261,"停止","断続")))</f>
        <v>運転</v>
      </c>
      <c r="K261" s="30" t="n">
        <v>60</v>
      </c>
      <c r="L261" s="30" t="n">
        <v>60</v>
      </c>
      <c r="M261" s="30" t="str">
        <f aca="false">IF(K261&lt;判定条件!$C$6,"判定不能",IF(L261&gt;=判定条件!$C$7*K261,"運転",IF(L261&lt;=判定条件!$C$8*K261,"停止","断続")))</f>
        <v>運転</v>
      </c>
      <c r="N261" s="30" t="n">
        <v>60</v>
      </c>
      <c r="O261" s="30" t="n">
        <v>13</v>
      </c>
      <c r="P261" s="30" t="str">
        <f aca="false">IF(N261&lt;判定条件!$C$6,"判定不能",IF(O261&gt;=判定条件!$C$7*N261,"運転",IF(O261&lt;=判定条件!$C$8*N261,"停止","断続")))</f>
        <v>断続</v>
      </c>
      <c r="Q261" s="30" t="n">
        <v>60</v>
      </c>
      <c r="R261" s="30" t="n">
        <v>0</v>
      </c>
      <c r="S261" s="30" t="str">
        <f aca="false">IF(Q261&lt;判定条件!$C$6,"判定不能",IF(R261&gt;=判定条件!$C$7*Q261,"運転",IF(R261&lt;=判定条件!$C$8*Q261,"停止","断続")))</f>
        <v>停止</v>
      </c>
      <c r="T261" s="30" t="n">
        <v>60</v>
      </c>
      <c r="U261" s="30" t="n">
        <v>27</v>
      </c>
      <c r="V261" s="30" t="str">
        <f aca="false">IF(T261&lt;判定条件!$C$6,"判定不能",IF(U261&gt;=判定条件!$C$7*T261,"運転",IF(U261&lt;=判定条件!$C$8*T261,"停止","断続")))</f>
        <v>断続</v>
      </c>
      <c r="W261" s="30" t="n">
        <v>60</v>
      </c>
      <c r="X261" s="30" t="n">
        <v>7</v>
      </c>
      <c r="Y261" s="30" t="str">
        <f aca="false">IF(W261&lt;判定条件!$C$6,"判定不能",IF(X261&gt;=判定条件!$C$7*W261,"運転",IF(X261&lt;=判定条件!$C$8*W261,"停止","断続")))</f>
        <v>停止</v>
      </c>
      <c r="Z261" s="30" t="n">
        <v>60</v>
      </c>
      <c r="AA261" s="30" t="n">
        <v>6</v>
      </c>
      <c r="AB261" s="30" t="str">
        <f aca="false">IF(Z261&lt;判定条件!$C$6,"判定不能",IF(AA261&gt;=判定条件!$C$7*Z261,"運転",IF(AA261&lt;=判定条件!$C$8*Z261,"停止","断続")))</f>
        <v>停止</v>
      </c>
      <c r="AC261" s="30" t="n">
        <v>60</v>
      </c>
      <c r="AD261" s="30" t="n">
        <v>5</v>
      </c>
      <c r="AE261" s="30" t="str">
        <f aca="false">IF(AC261&lt;判定条件!$C$6,"判定不能",IF(AD261&gt;=判定条件!$C$7*AC261,"運転",IF(AD261&lt;=判定条件!$C$8*AC261,"停止","断続")))</f>
        <v>停止</v>
      </c>
      <c r="AF261" s="30" t="n">
        <v>60</v>
      </c>
      <c r="AG261" s="30" t="n">
        <v>13</v>
      </c>
      <c r="AH261" s="30" t="str">
        <f aca="false">IF(OR(P261="判定不能",G261="判定不能"),"判定不能",IF(AG261&gt;=判定条件!$C$9,"利用可",IF(AND(P261="停止",G261="停止"),"両方停止","運転がそろわない")))</f>
        <v>運転がそろわない</v>
      </c>
      <c r="AI261" s="30" t="n">
        <v>60</v>
      </c>
      <c r="AJ261" s="30" t="n">
        <v>0</v>
      </c>
      <c r="AK261" s="30" t="str">
        <f aca="false">IF(OR(S261="判定不能",J261="判定不能"),"判定不能",IF(AJ261&gt;=判定条件!$C$9,"利用可",IF(AND(S261="停止",J261="停止"),"両方停止","運転がそろわない")))</f>
        <v>運転がそろわない</v>
      </c>
      <c r="AL261" s="30" t="n">
        <v>60</v>
      </c>
      <c r="AM261" s="30" t="n">
        <v>27</v>
      </c>
      <c r="AN261" s="30" t="str">
        <f aca="false">IF(OR(V261="判定不能",M261="判定不能"),"判定不能",IF(AM261&gt;=判定条件!$C$9,"利用可",IF(AND(V261="停止",M261="停止"),"両方停止","運転がそろわない")))</f>
        <v>運転がそろわない</v>
      </c>
      <c r="AO261" s="30" t="n">
        <v>60</v>
      </c>
      <c r="AP261" s="30" t="n">
        <v>7</v>
      </c>
      <c r="AQ261" s="30" t="str">
        <f aca="false">IF(OR(Y261="判定不能",G261="判定不能"),"判定不能",IF(AP261&gt;=判定条件!$C$9,"利用可",IF(AND(Y261="停止",G261="停止"),"両方停止","運転がそろわない")))</f>
        <v>運転がそろわない</v>
      </c>
      <c r="AR261" s="30" t="n">
        <v>60</v>
      </c>
      <c r="AS261" s="30" t="n">
        <v>6</v>
      </c>
      <c r="AT261" s="30" t="str">
        <f aca="false">IF(OR(AB261="判定不能",J261="判定不能"),"判定不能",IF(AS261&gt;=判定条件!$C$9,"利用可",IF(AND(AB261="停止",J261="停止"),"両方停止","運転がそろわない")))</f>
        <v>運転がそろわない</v>
      </c>
      <c r="AU261" s="30" t="n">
        <v>60</v>
      </c>
      <c r="AV261" s="30" t="n">
        <v>5</v>
      </c>
      <c r="AW261" s="30" t="str">
        <f aca="false">IF(OR(AE261="判定不能",M261="判定不能"),"判定不能",IF(AV261&gt;=判定条件!$C$9,"利用可",IF(AND(AE261="停止",M261="停止"),"両方停止","運転がそろわない")))</f>
        <v>運転がそろわない</v>
      </c>
      <c r="AX261" s="30" t="str">
        <f aca="false">IF(AND(AH261="利用可",AK261="利用可",AN261="利用可"),"利用可","不可")</f>
        <v>不可</v>
      </c>
      <c r="AY261" s="30" t="str">
        <f aca="false">IF(AND(AQ261="利用可",AT261="利用可",AW261="利用可"),"利用可","不可")</f>
        <v>不可</v>
      </c>
    </row>
    <row r="262" customFormat="false" ht="15" hidden="false" customHeight="false" outlineLevel="0" collapsed="false">
      <c r="A262" s="29" t="n">
        <v>46242</v>
      </c>
      <c r="B262" s="30" t="n">
        <v>19</v>
      </c>
      <c r="C262" s="31" t="s">
        <v>63</v>
      </c>
      <c r="D262" s="31" t="s">
        <v>64</v>
      </c>
      <c r="E262" s="30" t="n">
        <v>60</v>
      </c>
      <c r="F262" s="30" t="n">
        <v>60</v>
      </c>
      <c r="G262" s="30" t="str">
        <f aca="false">IF(E262&lt;判定条件!$C$6,"判定不能",IF(F262&gt;=判定条件!$C$7*E262,"運転",IF(F262&lt;=判定条件!$C$8*E262,"停止","断続")))</f>
        <v>運転</v>
      </c>
      <c r="H262" s="30" t="n">
        <v>60</v>
      </c>
      <c r="I262" s="30" t="n">
        <v>60</v>
      </c>
      <c r="J262" s="30" t="str">
        <f aca="false">IF(H262&lt;判定条件!$C$6,"判定不能",IF(I262&gt;=判定条件!$C$7*H262,"運転",IF(I262&lt;=判定条件!$C$8*H262,"停止","断続")))</f>
        <v>運転</v>
      </c>
      <c r="K262" s="30" t="n">
        <v>60</v>
      </c>
      <c r="L262" s="30" t="n">
        <v>60</v>
      </c>
      <c r="M262" s="30" t="str">
        <f aca="false">IF(K262&lt;判定条件!$C$6,"判定不能",IF(L262&gt;=判定条件!$C$7*K262,"運転",IF(L262&lt;=判定条件!$C$8*K262,"停止","断続")))</f>
        <v>運転</v>
      </c>
      <c r="N262" s="30" t="n">
        <v>60</v>
      </c>
      <c r="O262" s="30" t="n">
        <v>0</v>
      </c>
      <c r="P262" s="30" t="str">
        <f aca="false">IF(N262&lt;判定条件!$C$6,"判定不能",IF(O262&gt;=判定条件!$C$7*N262,"運転",IF(O262&lt;=判定条件!$C$8*N262,"停止","断続")))</f>
        <v>停止</v>
      </c>
      <c r="Q262" s="30" t="n">
        <v>60</v>
      </c>
      <c r="R262" s="30" t="n">
        <v>0</v>
      </c>
      <c r="S262" s="30" t="str">
        <f aca="false">IF(Q262&lt;判定条件!$C$6,"判定不能",IF(R262&gt;=判定条件!$C$7*Q262,"運転",IF(R262&lt;=判定条件!$C$8*Q262,"停止","断続")))</f>
        <v>停止</v>
      </c>
      <c r="T262" s="30" t="n">
        <v>60</v>
      </c>
      <c r="U262" s="30" t="n">
        <v>31</v>
      </c>
      <c r="V262" s="30" t="str">
        <f aca="false">IF(T262&lt;判定条件!$C$6,"判定不能",IF(U262&gt;=判定条件!$C$7*T262,"運転",IF(U262&lt;=判定条件!$C$8*T262,"停止","断続")))</f>
        <v>断続</v>
      </c>
      <c r="W262" s="30" t="n">
        <v>60</v>
      </c>
      <c r="X262" s="30" t="n">
        <v>0</v>
      </c>
      <c r="Y262" s="30" t="str">
        <f aca="false">IF(W262&lt;判定条件!$C$6,"判定不能",IF(X262&gt;=判定条件!$C$7*W262,"運転",IF(X262&lt;=判定条件!$C$8*W262,"停止","断続")))</f>
        <v>停止</v>
      </c>
      <c r="Z262" s="30" t="n">
        <v>60</v>
      </c>
      <c r="AA262" s="30" t="n">
        <v>0</v>
      </c>
      <c r="AB262" s="30" t="str">
        <f aca="false">IF(Z262&lt;判定条件!$C$6,"判定不能",IF(AA262&gt;=判定条件!$C$7*Z262,"運転",IF(AA262&lt;=判定条件!$C$8*Z262,"停止","断続")))</f>
        <v>停止</v>
      </c>
      <c r="AC262" s="30" t="n">
        <v>60</v>
      </c>
      <c r="AD262" s="30" t="n">
        <v>0</v>
      </c>
      <c r="AE262" s="30" t="str">
        <f aca="false">IF(AC262&lt;判定条件!$C$6,"判定不能",IF(AD262&gt;=判定条件!$C$7*AC262,"運転",IF(AD262&lt;=判定条件!$C$8*AC262,"停止","断続")))</f>
        <v>停止</v>
      </c>
      <c r="AF262" s="30" t="n">
        <v>60</v>
      </c>
      <c r="AG262" s="30" t="n">
        <v>0</v>
      </c>
      <c r="AH262" s="30" t="str">
        <f aca="false">IF(OR(P262="判定不能",G262="判定不能"),"判定不能",IF(AG262&gt;=判定条件!$C$9,"利用可",IF(AND(P262="停止",G262="停止"),"両方停止","運転がそろわない")))</f>
        <v>運転がそろわない</v>
      </c>
      <c r="AI262" s="30" t="n">
        <v>60</v>
      </c>
      <c r="AJ262" s="30" t="n">
        <v>0</v>
      </c>
      <c r="AK262" s="30" t="str">
        <f aca="false">IF(OR(S262="判定不能",J262="判定不能"),"判定不能",IF(AJ262&gt;=判定条件!$C$9,"利用可",IF(AND(S262="停止",J262="停止"),"両方停止","運転がそろわない")))</f>
        <v>運転がそろわない</v>
      </c>
      <c r="AL262" s="30" t="n">
        <v>60</v>
      </c>
      <c r="AM262" s="30" t="n">
        <v>31</v>
      </c>
      <c r="AN262" s="30" t="str">
        <f aca="false">IF(OR(V262="判定不能",M262="判定不能"),"判定不能",IF(AM262&gt;=判定条件!$C$9,"利用可",IF(AND(V262="停止",M262="停止"),"両方停止","運転がそろわない")))</f>
        <v>利用可</v>
      </c>
      <c r="AO262" s="30" t="n">
        <v>60</v>
      </c>
      <c r="AP262" s="30" t="n">
        <v>0</v>
      </c>
      <c r="AQ262" s="30" t="str">
        <f aca="false">IF(OR(Y262="判定不能",G262="判定不能"),"判定不能",IF(AP262&gt;=判定条件!$C$9,"利用可",IF(AND(Y262="停止",G262="停止"),"両方停止","運転がそろわない")))</f>
        <v>運転がそろわない</v>
      </c>
      <c r="AR262" s="30" t="n">
        <v>60</v>
      </c>
      <c r="AS262" s="30" t="n">
        <v>0</v>
      </c>
      <c r="AT262" s="30" t="str">
        <f aca="false">IF(OR(AB262="判定不能",J262="判定不能"),"判定不能",IF(AS262&gt;=判定条件!$C$9,"利用可",IF(AND(AB262="停止",J262="停止"),"両方停止","運転がそろわない")))</f>
        <v>運転がそろわない</v>
      </c>
      <c r="AU262" s="30" t="n">
        <v>60</v>
      </c>
      <c r="AV262" s="30" t="n">
        <v>0</v>
      </c>
      <c r="AW262" s="30" t="str">
        <f aca="false">IF(OR(AE262="判定不能",M262="判定不能"),"判定不能",IF(AV262&gt;=判定条件!$C$9,"利用可",IF(AND(AE262="停止",M262="停止"),"両方停止","運転がそろわない")))</f>
        <v>運転がそろわない</v>
      </c>
      <c r="AX262" s="30" t="str">
        <f aca="false">IF(AND(AH262="利用可",AK262="利用可",AN262="利用可"),"利用可","不可")</f>
        <v>不可</v>
      </c>
      <c r="AY262" s="30" t="str">
        <f aca="false">IF(AND(AQ262="利用可",AT262="利用可",AW262="利用可"),"利用可","不可")</f>
        <v>不可</v>
      </c>
    </row>
    <row r="263" customFormat="false" ht="15" hidden="false" customHeight="false" outlineLevel="0" collapsed="false">
      <c r="A263" s="29" t="n">
        <v>46242</v>
      </c>
      <c r="B263" s="30" t="n">
        <v>20</v>
      </c>
      <c r="C263" s="31" t="s">
        <v>63</v>
      </c>
      <c r="D263" s="31" t="s">
        <v>64</v>
      </c>
      <c r="E263" s="30" t="n">
        <v>60</v>
      </c>
      <c r="F263" s="30" t="n">
        <v>46</v>
      </c>
      <c r="G263" s="30" t="str">
        <f aca="false">IF(E263&lt;判定条件!$C$6,"判定不能",IF(F263&gt;=判定条件!$C$7*E263,"運転",IF(F263&lt;=判定条件!$C$8*E263,"停止","断続")))</f>
        <v>断続</v>
      </c>
      <c r="H263" s="30" t="n">
        <v>60</v>
      </c>
      <c r="I263" s="30" t="n">
        <v>47</v>
      </c>
      <c r="J263" s="30" t="str">
        <f aca="false">IF(H263&lt;判定条件!$C$6,"判定不能",IF(I263&gt;=判定条件!$C$7*H263,"運転",IF(I263&lt;=判定条件!$C$8*H263,"停止","断続")))</f>
        <v>断続</v>
      </c>
      <c r="K263" s="30" t="n">
        <v>60</v>
      </c>
      <c r="L263" s="30" t="n">
        <v>60</v>
      </c>
      <c r="M263" s="30" t="str">
        <f aca="false">IF(K263&lt;判定条件!$C$6,"判定不能",IF(L263&gt;=判定条件!$C$7*K263,"運転",IF(L263&lt;=判定条件!$C$8*K263,"停止","断続")))</f>
        <v>運転</v>
      </c>
      <c r="N263" s="30" t="n">
        <v>60</v>
      </c>
      <c r="O263" s="30" t="n">
        <v>0</v>
      </c>
      <c r="P263" s="30" t="str">
        <f aca="false">IF(N263&lt;判定条件!$C$6,"判定不能",IF(O263&gt;=判定条件!$C$7*N263,"運転",IF(O263&lt;=判定条件!$C$8*N263,"停止","断続")))</f>
        <v>停止</v>
      </c>
      <c r="Q263" s="30" t="n">
        <v>60</v>
      </c>
      <c r="R263" s="30" t="n">
        <v>0</v>
      </c>
      <c r="S263" s="30" t="str">
        <f aca="false">IF(Q263&lt;判定条件!$C$6,"判定不能",IF(R263&gt;=判定条件!$C$7*Q263,"運転",IF(R263&lt;=判定条件!$C$8*Q263,"停止","断続")))</f>
        <v>停止</v>
      </c>
      <c r="T263" s="30" t="n">
        <v>60</v>
      </c>
      <c r="U263" s="30" t="n">
        <v>5</v>
      </c>
      <c r="V263" s="30" t="str">
        <f aca="false">IF(T263&lt;判定条件!$C$6,"判定不能",IF(U263&gt;=判定条件!$C$7*T263,"運転",IF(U263&lt;=判定条件!$C$8*T263,"停止","断続")))</f>
        <v>停止</v>
      </c>
      <c r="W263" s="30" t="n">
        <v>60</v>
      </c>
      <c r="X263" s="30" t="n">
        <v>0</v>
      </c>
      <c r="Y263" s="30" t="str">
        <f aca="false">IF(W263&lt;判定条件!$C$6,"判定不能",IF(X263&gt;=判定条件!$C$7*W263,"運転",IF(X263&lt;=判定条件!$C$8*W263,"停止","断続")))</f>
        <v>停止</v>
      </c>
      <c r="Z263" s="30" t="n">
        <v>60</v>
      </c>
      <c r="AA263" s="30" t="n">
        <v>0</v>
      </c>
      <c r="AB263" s="30" t="str">
        <f aca="false">IF(Z263&lt;判定条件!$C$6,"判定不能",IF(AA263&gt;=判定条件!$C$7*Z263,"運転",IF(AA263&lt;=判定条件!$C$8*Z263,"停止","断続")))</f>
        <v>停止</v>
      </c>
      <c r="AC263" s="30" t="n">
        <v>60</v>
      </c>
      <c r="AD263" s="30" t="n">
        <v>0</v>
      </c>
      <c r="AE263" s="30" t="str">
        <f aca="false">IF(AC263&lt;判定条件!$C$6,"判定不能",IF(AD263&gt;=判定条件!$C$7*AC263,"運転",IF(AD263&lt;=判定条件!$C$8*AC263,"停止","断続")))</f>
        <v>停止</v>
      </c>
      <c r="AF263" s="30" t="n">
        <v>60</v>
      </c>
      <c r="AG263" s="30" t="n">
        <v>0</v>
      </c>
      <c r="AH263" s="30" t="str">
        <f aca="false">IF(OR(P263="判定不能",G263="判定不能"),"判定不能",IF(AG263&gt;=判定条件!$C$9,"利用可",IF(AND(P263="停止",G263="停止"),"両方停止","運転がそろわない")))</f>
        <v>運転がそろわない</v>
      </c>
      <c r="AI263" s="30" t="n">
        <v>60</v>
      </c>
      <c r="AJ263" s="30" t="n">
        <v>0</v>
      </c>
      <c r="AK263" s="30" t="str">
        <f aca="false">IF(OR(S263="判定不能",J263="判定不能"),"判定不能",IF(AJ263&gt;=判定条件!$C$9,"利用可",IF(AND(S263="停止",J263="停止"),"両方停止","運転がそろわない")))</f>
        <v>運転がそろわない</v>
      </c>
      <c r="AL263" s="30" t="n">
        <v>60</v>
      </c>
      <c r="AM263" s="30" t="n">
        <v>5</v>
      </c>
      <c r="AN263" s="30" t="str">
        <f aca="false">IF(OR(V263="判定不能",M263="判定不能"),"判定不能",IF(AM263&gt;=判定条件!$C$9,"利用可",IF(AND(V263="停止",M263="停止"),"両方停止","運転がそろわない")))</f>
        <v>運転がそろわない</v>
      </c>
      <c r="AO263" s="30" t="n">
        <v>60</v>
      </c>
      <c r="AP263" s="30" t="n">
        <v>0</v>
      </c>
      <c r="AQ263" s="30" t="str">
        <f aca="false">IF(OR(Y263="判定不能",G263="判定不能"),"判定不能",IF(AP263&gt;=判定条件!$C$9,"利用可",IF(AND(Y263="停止",G263="停止"),"両方停止","運転がそろわない")))</f>
        <v>運転がそろわない</v>
      </c>
      <c r="AR263" s="30" t="n">
        <v>60</v>
      </c>
      <c r="AS263" s="30" t="n">
        <v>0</v>
      </c>
      <c r="AT263" s="30" t="str">
        <f aca="false">IF(OR(AB263="判定不能",J263="判定不能"),"判定不能",IF(AS263&gt;=判定条件!$C$9,"利用可",IF(AND(AB263="停止",J263="停止"),"両方停止","運転がそろわない")))</f>
        <v>運転がそろわない</v>
      </c>
      <c r="AU263" s="30" t="n">
        <v>60</v>
      </c>
      <c r="AV263" s="30" t="n">
        <v>0</v>
      </c>
      <c r="AW263" s="30" t="str">
        <f aca="false">IF(OR(AE263="判定不能",M263="判定不能"),"判定不能",IF(AV263&gt;=判定条件!$C$9,"利用可",IF(AND(AE263="停止",M263="停止"),"両方停止","運転がそろわない")))</f>
        <v>運転がそろわない</v>
      </c>
      <c r="AX263" s="30" t="str">
        <f aca="false">IF(AND(AH263="利用可",AK263="利用可",AN263="利用可"),"利用可","不可")</f>
        <v>不可</v>
      </c>
      <c r="AY263" s="30" t="str">
        <f aca="false">IF(AND(AQ263="利用可",AT263="利用可",AW263="利用可"),"利用可","不可")</f>
        <v>不可</v>
      </c>
    </row>
    <row r="264" customFormat="false" ht="15" hidden="false" customHeight="false" outlineLevel="0" collapsed="false">
      <c r="A264" s="29" t="n">
        <v>46242</v>
      </c>
      <c r="B264" s="30" t="n">
        <v>21</v>
      </c>
      <c r="C264" s="31" t="s">
        <v>63</v>
      </c>
      <c r="D264" s="31" t="s">
        <v>64</v>
      </c>
      <c r="E264" s="30" t="n">
        <v>60</v>
      </c>
      <c r="F264" s="30" t="n">
        <v>0</v>
      </c>
      <c r="G264" s="30" t="str">
        <f aca="false">IF(E264&lt;判定条件!$C$6,"判定不能",IF(F264&gt;=判定条件!$C$7*E264,"運転",IF(F264&lt;=判定条件!$C$8*E264,"停止","断続")))</f>
        <v>停止</v>
      </c>
      <c r="H264" s="30" t="n">
        <v>60</v>
      </c>
      <c r="I264" s="30" t="n">
        <v>0</v>
      </c>
      <c r="J264" s="30" t="str">
        <f aca="false">IF(H264&lt;判定条件!$C$6,"判定不能",IF(I264&gt;=判定条件!$C$7*H264,"運転",IF(I264&lt;=判定条件!$C$8*H264,"停止","断続")))</f>
        <v>停止</v>
      </c>
      <c r="K264" s="30" t="n">
        <v>60</v>
      </c>
      <c r="L264" s="30" t="n">
        <v>60</v>
      </c>
      <c r="M264" s="30" t="str">
        <f aca="false">IF(K264&lt;判定条件!$C$6,"判定不能",IF(L264&gt;=判定条件!$C$7*K264,"運転",IF(L264&lt;=判定条件!$C$8*K264,"停止","断続")))</f>
        <v>運転</v>
      </c>
      <c r="N264" s="30" t="n">
        <v>60</v>
      </c>
      <c r="O264" s="30" t="n">
        <v>0</v>
      </c>
      <c r="P264" s="30" t="str">
        <f aca="false">IF(N264&lt;判定条件!$C$6,"判定不能",IF(O264&gt;=判定条件!$C$7*N264,"運転",IF(O264&lt;=判定条件!$C$8*N264,"停止","断続")))</f>
        <v>停止</v>
      </c>
      <c r="Q264" s="30" t="n">
        <v>60</v>
      </c>
      <c r="R264" s="30" t="n">
        <v>0</v>
      </c>
      <c r="S264" s="30" t="str">
        <f aca="false">IF(Q264&lt;判定条件!$C$6,"判定不能",IF(R264&gt;=判定条件!$C$7*Q264,"運転",IF(R264&lt;=判定条件!$C$8*Q264,"停止","断続")))</f>
        <v>停止</v>
      </c>
      <c r="T264" s="30" t="n">
        <v>60</v>
      </c>
      <c r="U264" s="30" t="n">
        <v>0</v>
      </c>
      <c r="V264" s="30" t="str">
        <f aca="false">IF(T264&lt;判定条件!$C$6,"判定不能",IF(U264&gt;=判定条件!$C$7*T264,"運転",IF(U264&lt;=判定条件!$C$8*T264,"停止","断続")))</f>
        <v>停止</v>
      </c>
      <c r="W264" s="30" t="n">
        <v>60</v>
      </c>
      <c r="X264" s="30" t="n">
        <v>0</v>
      </c>
      <c r="Y264" s="30" t="str">
        <f aca="false">IF(W264&lt;判定条件!$C$6,"判定不能",IF(X264&gt;=判定条件!$C$7*W264,"運転",IF(X264&lt;=判定条件!$C$8*W264,"停止","断続")))</f>
        <v>停止</v>
      </c>
      <c r="Z264" s="30" t="n">
        <v>60</v>
      </c>
      <c r="AA264" s="30" t="n">
        <v>0</v>
      </c>
      <c r="AB264" s="30" t="str">
        <f aca="false">IF(Z264&lt;判定条件!$C$6,"判定不能",IF(AA264&gt;=判定条件!$C$7*Z264,"運転",IF(AA264&lt;=判定条件!$C$8*Z264,"停止","断続")))</f>
        <v>停止</v>
      </c>
      <c r="AC264" s="30" t="n">
        <v>60</v>
      </c>
      <c r="AD264" s="30" t="n">
        <v>0</v>
      </c>
      <c r="AE264" s="30" t="str">
        <f aca="false">IF(AC264&lt;判定条件!$C$6,"判定不能",IF(AD264&gt;=判定条件!$C$7*AC264,"運転",IF(AD264&lt;=判定条件!$C$8*AC264,"停止","断続")))</f>
        <v>停止</v>
      </c>
      <c r="AF264" s="30" t="n">
        <v>60</v>
      </c>
      <c r="AG264" s="30" t="n">
        <v>0</v>
      </c>
      <c r="AH264" s="30" t="str">
        <f aca="false">IF(OR(P264="判定不能",G264="判定不能"),"判定不能",IF(AG264&gt;=判定条件!$C$9,"利用可",IF(AND(P264="停止",G264="停止"),"両方停止","運転がそろわない")))</f>
        <v>両方停止</v>
      </c>
      <c r="AI264" s="30" t="n">
        <v>60</v>
      </c>
      <c r="AJ264" s="30" t="n">
        <v>0</v>
      </c>
      <c r="AK264" s="30" t="str">
        <f aca="false">IF(OR(S264="判定不能",J264="判定不能"),"判定不能",IF(AJ264&gt;=判定条件!$C$9,"利用可",IF(AND(S264="停止",J264="停止"),"両方停止","運転がそろわない")))</f>
        <v>両方停止</v>
      </c>
      <c r="AL264" s="30" t="n">
        <v>60</v>
      </c>
      <c r="AM264" s="30" t="n">
        <v>0</v>
      </c>
      <c r="AN264" s="30" t="str">
        <f aca="false">IF(OR(V264="判定不能",M264="判定不能"),"判定不能",IF(AM264&gt;=判定条件!$C$9,"利用可",IF(AND(V264="停止",M264="停止"),"両方停止","運転がそろわない")))</f>
        <v>運転がそろわない</v>
      </c>
      <c r="AO264" s="30" t="n">
        <v>60</v>
      </c>
      <c r="AP264" s="30" t="n">
        <v>0</v>
      </c>
      <c r="AQ264" s="30" t="str">
        <f aca="false">IF(OR(Y264="判定不能",G264="判定不能"),"判定不能",IF(AP264&gt;=判定条件!$C$9,"利用可",IF(AND(Y264="停止",G264="停止"),"両方停止","運転がそろわない")))</f>
        <v>両方停止</v>
      </c>
      <c r="AR264" s="30" t="n">
        <v>60</v>
      </c>
      <c r="AS264" s="30" t="n">
        <v>0</v>
      </c>
      <c r="AT264" s="30" t="str">
        <f aca="false">IF(OR(AB264="判定不能",J264="判定不能"),"判定不能",IF(AS264&gt;=判定条件!$C$9,"利用可",IF(AND(AB264="停止",J264="停止"),"両方停止","運転がそろわない")))</f>
        <v>両方停止</v>
      </c>
      <c r="AU264" s="30" t="n">
        <v>60</v>
      </c>
      <c r="AV264" s="30" t="n">
        <v>0</v>
      </c>
      <c r="AW264" s="30" t="str">
        <f aca="false">IF(OR(AE264="判定不能",M264="判定不能"),"判定不能",IF(AV264&gt;=判定条件!$C$9,"利用可",IF(AND(AE264="停止",M264="停止"),"両方停止","運転がそろわない")))</f>
        <v>運転がそろわない</v>
      </c>
      <c r="AX264" s="30" t="str">
        <f aca="false">IF(AND(AH264="利用可",AK264="利用可",AN264="利用可"),"利用可","不可")</f>
        <v>不可</v>
      </c>
      <c r="AY264" s="30" t="str">
        <f aca="false">IF(AND(AQ264="利用可",AT264="利用可",AW264="利用可"),"利用可","不可")</f>
        <v>不可</v>
      </c>
    </row>
    <row r="265" customFormat="false" ht="15" hidden="false" customHeight="false" outlineLevel="0" collapsed="false">
      <c r="A265" s="29" t="n">
        <v>46242</v>
      </c>
      <c r="B265" s="30" t="n">
        <v>22</v>
      </c>
      <c r="C265" s="31" t="s">
        <v>63</v>
      </c>
      <c r="D265" s="31" t="s">
        <v>64</v>
      </c>
      <c r="E265" s="30" t="n">
        <v>60</v>
      </c>
      <c r="F265" s="30" t="n">
        <v>0</v>
      </c>
      <c r="G265" s="30" t="str">
        <f aca="false">IF(E265&lt;判定条件!$C$6,"判定不能",IF(F265&gt;=判定条件!$C$7*E265,"運転",IF(F265&lt;=判定条件!$C$8*E265,"停止","断続")))</f>
        <v>停止</v>
      </c>
      <c r="H265" s="30" t="n">
        <v>60</v>
      </c>
      <c r="I265" s="30" t="n">
        <v>0</v>
      </c>
      <c r="J265" s="30" t="str">
        <f aca="false">IF(H265&lt;判定条件!$C$6,"判定不能",IF(I265&gt;=判定条件!$C$7*H265,"運転",IF(I265&lt;=判定条件!$C$8*H265,"停止","断続")))</f>
        <v>停止</v>
      </c>
      <c r="K265" s="30" t="n">
        <v>60</v>
      </c>
      <c r="L265" s="30" t="n">
        <v>60</v>
      </c>
      <c r="M265" s="30" t="str">
        <f aca="false">IF(K265&lt;判定条件!$C$6,"判定不能",IF(L265&gt;=判定条件!$C$7*K265,"運転",IF(L265&lt;=判定条件!$C$8*K265,"停止","断続")))</f>
        <v>運転</v>
      </c>
      <c r="N265" s="30" t="n">
        <v>60</v>
      </c>
      <c r="O265" s="30" t="n">
        <v>0</v>
      </c>
      <c r="P265" s="30" t="str">
        <f aca="false">IF(N265&lt;判定条件!$C$6,"判定不能",IF(O265&gt;=判定条件!$C$7*N265,"運転",IF(O265&lt;=判定条件!$C$8*N265,"停止","断続")))</f>
        <v>停止</v>
      </c>
      <c r="Q265" s="30" t="n">
        <v>60</v>
      </c>
      <c r="R265" s="30" t="n">
        <v>0</v>
      </c>
      <c r="S265" s="30" t="str">
        <f aca="false">IF(Q265&lt;判定条件!$C$6,"判定不能",IF(R265&gt;=判定条件!$C$7*Q265,"運転",IF(R265&lt;=判定条件!$C$8*Q265,"停止","断続")))</f>
        <v>停止</v>
      </c>
      <c r="T265" s="30" t="n">
        <v>60</v>
      </c>
      <c r="U265" s="30" t="n">
        <v>0</v>
      </c>
      <c r="V265" s="30" t="str">
        <f aca="false">IF(T265&lt;判定条件!$C$6,"判定不能",IF(U265&gt;=判定条件!$C$7*T265,"運転",IF(U265&lt;=判定条件!$C$8*T265,"停止","断続")))</f>
        <v>停止</v>
      </c>
      <c r="W265" s="30" t="n">
        <v>60</v>
      </c>
      <c r="X265" s="30" t="n">
        <v>0</v>
      </c>
      <c r="Y265" s="30" t="str">
        <f aca="false">IF(W265&lt;判定条件!$C$6,"判定不能",IF(X265&gt;=判定条件!$C$7*W265,"運転",IF(X265&lt;=判定条件!$C$8*W265,"停止","断続")))</f>
        <v>停止</v>
      </c>
      <c r="Z265" s="30" t="n">
        <v>60</v>
      </c>
      <c r="AA265" s="30" t="n">
        <v>0</v>
      </c>
      <c r="AB265" s="30" t="str">
        <f aca="false">IF(Z265&lt;判定条件!$C$6,"判定不能",IF(AA265&gt;=判定条件!$C$7*Z265,"運転",IF(AA265&lt;=判定条件!$C$8*Z265,"停止","断続")))</f>
        <v>停止</v>
      </c>
      <c r="AC265" s="30" t="n">
        <v>60</v>
      </c>
      <c r="AD265" s="30" t="n">
        <v>0</v>
      </c>
      <c r="AE265" s="30" t="str">
        <f aca="false">IF(AC265&lt;判定条件!$C$6,"判定不能",IF(AD265&gt;=判定条件!$C$7*AC265,"運転",IF(AD265&lt;=判定条件!$C$8*AC265,"停止","断続")))</f>
        <v>停止</v>
      </c>
      <c r="AF265" s="30" t="n">
        <v>60</v>
      </c>
      <c r="AG265" s="30" t="n">
        <v>0</v>
      </c>
      <c r="AH265" s="30" t="str">
        <f aca="false">IF(OR(P265="判定不能",G265="判定不能"),"判定不能",IF(AG265&gt;=判定条件!$C$9,"利用可",IF(AND(P265="停止",G265="停止"),"両方停止","運転がそろわない")))</f>
        <v>両方停止</v>
      </c>
      <c r="AI265" s="30" t="n">
        <v>60</v>
      </c>
      <c r="AJ265" s="30" t="n">
        <v>0</v>
      </c>
      <c r="AK265" s="30" t="str">
        <f aca="false">IF(OR(S265="判定不能",J265="判定不能"),"判定不能",IF(AJ265&gt;=判定条件!$C$9,"利用可",IF(AND(S265="停止",J265="停止"),"両方停止","運転がそろわない")))</f>
        <v>両方停止</v>
      </c>
      <c r="AL265" s="30" t="n">
        <v>60</v>
      </c>
      <c r="AM265" s="30" t="n">
        <v>0</v>
      </c>
      <c r="AN265" s="30" t="str">
        <f aca="false">IF(OR(V265="判定不能",M265="判定不能"),"判定不能",IF(AM265&gt;=判定条件!$C$9,"利用可",IF(AND(V265="停止",M265="停止"),"両方停止","運転がそろわない")))</f>
        <v>運転がそろわない</v>
      </c>
      <c r="AO265" s="30" t="n">
        <v>60</v>
      </c>
      <c r="AP265" s="30" t="n">
        <v>0</v>
      </c>
      <c r="AQ265" s="30" t="str">
        <f aca="false">IF(OR(Y265="判定不能",G265="判定不能"),"判定不能",IF(AP265&gt;=判定条件!$C$9,"利用可",IF(AND(Y265="停止",G265="停止"),"両方停止","運転がそろわない")))</f>
        <v>両方停止</v>
      </c>
      <c r="AR265" s="30" t="n">
        <v>60</v>
      </c>
      <c r="AS265" s="30" t="n">
        <v>0</v>
      </c>
      <c r="AT265" s="30" t="str">
        <f aca="false">IF(OR(AB265="判定不能",J265="判定不能"),"判定不能",IF(AS265&gt;=判定条件!$C$9,"利用可",IF(AND(AB265="停止",J265="停止"),"両方停止","運転がそろわない")))</f>
        <v>両方停止</v>
      </c>
      <c r="AU265" s="30" t="n">
        <v>60</v>
      </c>
      <c r="AV265" s="30" t="n">
        <v>0</v>
      </c>
      <c r="AW265" s="30" t="str">
        <f aca="false">IF(OR(AE265="判定不能",M265="判定不能"),"判定不能",IF(AV265&gt;=判定条件!$C$9,"利用可",IF(AND(AE265="停止",M265="停止"),"両方停止","運転がそろわない")))</f>
        <v>運転がそろわない</v>
      </c>
      <c r="AX265" s="30" t="str">
        <f aca="false">IF(AND(AH265="利用可",AK265="利用可",AN265="利用可"),"利用可","不可")</f>
        <v>不可</v>
      </c>
      <c r="AY265" s="30" t="str">
        <f aca="false">IF(AND(AQ265="利用可",AT265="利用可",AW265="利用可"),"利用可","不可")</f>
        <v>不可</v>
      </c>
    </row>
    <row r="266" customFormat="false" ht="15" hidden="false" customHeight="false" outlineLevel="0" collapsed="false">
      <c r="A266" s="29" t="n">
        <v>46242</v>
      </c>
      <c r="B266" s="30" t="n">
        <v>23</v>
      </c>
      <c r="C266" s="31" t="s">
        <v>63</v>
      </c>
      <c r="D266" s="31" t="s">
        <v>64</v>
      </c>
      <c r="E266" s="30" t="n">
        <v>60</v>
      </c>
      <c r="F266" s="30" t="n">
        <v>0</v>
      </c>
      <c r="G266" s="30" t="str">
        <f aca="false">IF(E266&lt;判定条件!$C$6,"判定不能",IF(F266&gt;=判定条件!$C$7*E266,"運転",IF(F266&lt;=判定条件!$C$8*E266,"停止","断続")))</f>
        <v>停止</v>
      </c>
      <c r="H266" s="30" t="n">
        <v>60</v>
      </c>
      <c r="I266" s="30" t="n">
        <v>0</v>
      </c>
      <c r="J266" s="30" t="str">
        <f aca="false">IF(H266&lt;判定条件!$C$6,"判定不能",IF(I266&gt;=判定条件!$C$7*H266,"運転",IF(I266&lt;=判定条件!$C$8*H266,"停止","断続")))</f>
        <v>停止</v>
      </c>
      <c r="K266" s="30" t="n">
        <v>60</v>
      </c>
      <c r="L266" s="30" t="n">
        <v>60</v>
      </c>
      <c r="M266" s="30" t="str">
        <f aca="false">IF(K266&lt;判定条件!$C$6,"判定不能",IF(L266&gt;=判定条件!$C$7*K266,"運転",IF(L266&lt;=判定条件!$C$8*K266,"停止","断続")))</f>
        <v>運転</v>
      </c>
      <c r="N266" s="30" t="n">
        <v>60</v>
      </c>
      <c r="O266" s="30" t="n">
        <v>0</v>
      </c>
      <c r="P266" s="30" t="str">
        <f aca="false">IF(N266&lt;判定条件!$C$6,"判定不能",IF(O266&gt;=判定条件!$C$7*N266,"運転",IF(O266&lt;=判定条件!$C$8*N266,"停止","断続")))</f>
        <v>停止</v>
      </c>
      <c r="Q266" s="30" t="n">
        <v>60</v>
      </c>
      <c r="R266" s="30" t="n">
        <v>0</v>
      </c>
      <c r="S266" s="30" t="str">
        <f aca="false">IF(Q266&lt;判定条件!$C$6,"判定不能",IF(R266&gt;=判定条件!$C$7*Q266,"運転",IF(R266&lt;=判定条件!$C$8*Q266,"停止","断続")))</f>
        <v>停止</v>
      </c>
      <c r="T266" s="30" t="n">
        <v>60</v>
      </c>
      <c r="U266" s="30" t="n">
        <v>0</v>
      </c>
      <c r="V266" s="30" t="str">
        <f aca="false">IF(T266&lt;判定条件!$C$6,"判定不能",IF(U266&gt;=判定条件!$C$7*T266,"運転",IF(U266&lt;=判定条件!$C$8*T266,"停止","断続")))</f>
        <v>停止</v>
      </c>
      <c r="W266" s="30" t="n">
        <v>60</v>
      </c>
      <c r="X266" s="30" t="n">
        <v>0</v>
      </c>
      <c r="Y266" s="30" t="str">
        <f aca="false">IF(W266&lt;判定条件!$C$6,"判定不能",IF(X266&gt;=判定条件!$C$7*W266,"運転",IF(X266&lt;=判定条件!$C$8*W266,"停止","断続")))</f>
        <v>停止</v>
      </c>
      <c r="Z266" s="30" t="n">
        <v>60</v>
      </c>
      <c r="AA266" s="30" t="n">
        <v>0</v>
      </c>
      <c r="AB266" s="30" t="str">
        <f aca="false">IF(Z266&lt;判定条件!$C$6,"判定不能",IF(AA266&gt;=判定条件!$C$7*Z266,"運転",IF(AA266&lt;=判定条件!$C$8*Z266,"停止","断続")))</f>
        <v>停止</v>
      </c>
      <c r="AC266" s="30" t="n">
        <v>60</v>
      </c>
      <c r="AD266" s="30" t="n">
        <v>0</v>
      </c>
      <c r="AE266" s="30" t="str">
        <f aca="false">IF(AC266&lt;判定条件!$C$6,"判定不能",IF(AD266&gt;=判定条件!$C$7*AC266,"運転",IF(AD266&lt;=判定条件!$C$8*AC266,"停止","断続")))</f>
        <v>停止</v>
      </c>
      <c r="AF266" s="30" t="n">
        <v>60</v>
      </c>
      <c r="AG266" s="30" t="n">
        <v>0</v>
      </c>
      <c r="AH266" s="30" t="str">
        <f aca="false">IF(OR(P266="判定不能",G266="判定不能"),"判定不能",IF(AG266&gt;=判定条件!$C$9,"利用可",IF(AND(P266="停止",G266="停止"),"両方停止","運転がそろわない")))</f>
        <v>両方停止</v>
      </c>
      <c r="AI266" s="30" t="n">
        <v>60</v>
      </c>
      <c r="AJ266" s="30" t="n">
        <v>0</v>
      </c>
      <c r="AK266" s="30" t="str">
        <f aca="false">IF(OR(S266="判定不能",J266="判定不能"),"判定不能",IF(AJ266&gt;=判定条件!$C$9,"利用可",IF(AND(S266="停止",J266="停止"),"両方停止","運転がそろわない")))</f>
        <v>両方停止</v>
      </c>
      <c r="AL266" s="30" t="n">
        <v>60</v>
      </c>
      <c r="AM266" s="30" t="n">
        <v>0</v>
      </c>
      <c r="AN266" s="30" t="str">
        <f aca="false">IF(OR(V266="判定不能",M266="判定不能"),"判定不能",IF(AM266&gt;=判定条件!$C$9,"利用可",IF(AND(V266="停止",M266="停止"),"両方停止","運転がそろわない")))</f>
        <v>運転がそろわない</v>
      </c>
      <c r="AO266" s="30" t="n">
        <v>60</v>
      </c>
      <c r="AP266" s="30" t="n">
        <v>0</v>
      </c>
      <c r="AQ266" s="30" t="str">
        <f aca="false">IF(OR(Y266="判定不能",G266="判定不能"),"判定不能",IF(AP266&gt;=判定条件!$C$9,"利用可",IF(AND(Y266="停止",G266="停止"),"両方停止","運転がそろわない")))</f>
        <v>両方停止</v>
      </c>
      <c r="AR266" s="30" t="n">
        <v>60</v>
      </c>
      <c r="AS266" s="30" t="n">
        <v>0</v>
      </c>
      <c r="AT266" s="30" t="str">
        <f aca="false">IF(OR(AB266="判定不能",J266="判定不能"),"判定不能",IF(AS266&gt;=判定条件!$C$9,"利用可",IF(AND(AB266="停止",J266="停止"),"両方停止","運転がそろわない")))</f>
        <v>両方停止</v>
      </c>
      <c r="AU266" s="30" t="n">
        <v>60</v>
      </c>
      <c r="AV266" s="30" t="n">
        <v>0</v>
      </c>
      <c r="AW266" s="30" t="str">
        <f aca="false">IF(OR(AE266="判定不能",M266="判定不能"),"判定不能",IF(AV266&gt;=判定条件!$C$9,"利用可",IF(AND(AE266="停止",M266="停止"),"両方停止","運転がそろわない")))</f>
        <v>運転がそろわない</v>
      </c>
      <c r="AX266" s="30" t="str">
        <f aca="false">IF(AND(AH266="利用可",AK266="利用可",AN266="利用可"),"利用可","不可")</f>
        <v>不可</v>
      </c>
      <c r="AY266" s="30" t="str">
        <f aca="false">IF(AND(AQ266="利用可",AT266="利用可",AW266="利用可"),"利用可","不可")</f>
        <v>不可</v>
      </c>
    </row>
    <row r="267" customFormat="false" ht="15" hidden="false" customHeight="false" outlineLevel="0" collapsed="false">
      <c r="A267" s="29" t="n">
        <v>46243</v>
      </c>
      <c r="B267" s="30" t="n">
        <v>0</v>
      </c>
      <c r="C267" s="31" t="s">
        <v>65</v>
      </c>
      <c r="D267" s="31" t="s">
        <v>64</v>
      </c>
      <c r="E267" s="30" t="n">
        <v>60</v>
      </c>
      <c r="F267" s="30" t="n">
        <v>0</v>
      </c>
      <c r="G267" s="30" t="str">
        <f aca="false">IF(E267&lt;判定条件!$C$6,"判定不能",IF(F267&gt;=判定条件!$C$7*E267,"運転",IF(F267&lt;=判定条件!$C$8*E267,"停止","断続")))</f>
        <v>停止</v>
      </c>
      <c r="H267" s="30" t="n">
        <v>60</v>
      </c>
      <c r="I267" s="30" t="n">
        <v>0</v>
      </c>
      <c r="J267" s="30" t="str">
        <f aca="false">IF(H267&lt;判定条件!$C$6,"判定不能",IF(I267&gt;=判定条件!$C$7*H267,"運転",IF(I267&lt;=判定条件!$C$8*H267,"停止","断続")))</f>
        <v>停止</v>
      </c>
      <c r="K267" s="30" t="n">
        <v>60</v>
      </c>
      <c r="L267" s="30" t="n">
        <v>60</v>
      </c>
      <c r="M267" s="30" t="str">
        <f aca="false">IF(K267&lt;判定条件!$C$6,"判定不能",IF(L267&gt;=判定条件!$C$7*K267,"運転",IF(L267&lt;=判定条件!$C$8*K267,"停止","断続")))</f>
        <v>運転</v>
      </c>
      <c r="N267" s="30" t="n">
        <v>60</v>
      </c>
      <c r="O267" s="30" t="n">
        <v>0</v>
      </c>
      <c r="P267" s="30" t="str">
        <f aca="false">IF(N267&lt;判定条件!$C$6,"判定不能",IF(O267&gt;=判定条件!$C$7*N267,"運転",IF(O267&lt;=判定条件!$C$8*N267,"停止","断続")))</f>
        <v>停止</v>
      </c>
      <c r="Q267" s="30" t="n">
        <v>60</v>
      </c>
      <c r="R267" s="30" t="n">
        <v>0</v>
      </c>
      <c r="S267" s="30" t="str">
        <f aca="false">IF(Q267&lt;判定条件!$C$6,"判定不能",IF(R267&gt;=判定条件!$C$7*Q267,"運転",IF(R267&lt;=判定条件!$C$8*Q267,"停止","断続")))</f>
        <v>停止</v>
      </c>
      <c r="T267" s="30" t="n">
        <v>60</v>
      </c>
      <c r="U267" s="30" t="n">
        <v>0</v>
      </c>
      <c r="V267" s="30" t="str">
        <f aca="false">IF(T267&lt;判定条件!$C$6,"判定不能",IF(U267&gt;=判定条件!$C$7*T267,"運転",IF(U267&lt;=判定条件!$C$8*T267,"停止","断続")))</f>
        <v>停止</v>
      </c>
      <c r="W267" s="30" t="n">
        <v>60</v>
      </c>
      <c r="X267" s="30" t="n">
        <v>0</v>
      </c>
      <c r="Y267" s="30" t="str">
        <f aca="false">IF(W267&lt;判定条件!$C$6,"判定不能",IF(X267&gt;=判定条件!$C$7*W267,"運転",IF(X267&lt;=判定条件!$C$8*W267,"停止","断続")))</f>
        <v>停止</v>
      </c>
      <c r="Z267" s="30" t="n">
        <v>60</v>
      </c>
      <c r="AA267" s="30" t="n">
        <v>0</v>
      </c>
      <c r="AB267" s="30" t="str">
        <f aca="false">IF(Z267&lt;判定条件!$C$6,"判定不能",IF(AA267&gt;=判定条件!$C$7*Z267,"運転",IF(AA267&lt;=判定条件!$C$8*Z267,"停止","断続")))</f>
        <v>停止</v>
      </c>
      <c r="AC267" s="30" t="n">
        <v>60</v>
      </c>
      <c r="AD267" s="30" t="n">
        <v>0</v>
      </c>
      <c r="AE267" s="30" t="str">
        <f aca="false">IF(AC267&lt;判定条件!$C$6,"判定不能",IF(AD267&gt;=判定条件!$C$7*AC267,"運転",IF(AD267&lt;=判定条件!$C$8*AC267,"停止","断続")))</f>
        <v>停止</v>
      </c>
      <c r="AF267" s="30" t="n">
        <v>60</v>
      </c>
      <c r="AG267" s="30" t="n">
        <v>0</v>
      </c>
      <c r="AH267" s="30" t="str">
        <f aca="false">IF(OR(P267="判定不能",G267="判定不能"),"判定不能",IF(AG267&gt;=判定条件!$C$9,"利用可",IF(AND(P267="停止",G267="停止"),"両方停止","運転がそろわない")))</f>
        <v>両方停止</v>
      </c>
      <c r="AI267" s="30" t="n">
        <v>60</v>
      </c>
      <c r="AJ267" s="30" t="n">
        <v>0</v>
      </c>
      <c r="AK267" s="30" t="str">
        <f aca="false">IF(OR(S267="判定不能",J267="判定不能"),"判定不能",IF(AJ267&gt;=判定条件!$C$9,"利用可",IF(AND(S267="停止",J267="停止"),"両方停止","運転がそろわない")))</f>
        <v>両方停止</v>
      </c>
      <c r="AL267" s="30" t="n">
        <v>60</v>
      </c>
      <c r="AM267" s="30" t="n">
        <v>0</v>
      </c>
      <c r="AN267" s="30" t="str">
        <f aca="false">IF(OR(V267="判定不能",M267="判定不能"),"判定不能",IF(AM267&gt;=判定条件!$C$9,"利用可",IF(AND(V267="停止",M267="停止"),"両方停止","運転がそろわない")))</f>
        <v>運転がそろわない</v>
      </c>
      <c r="AO267" s="30" t="n">
        <v>60</v>
      </c>
      <c r="AP267" s="30" t="n">
        <v>0</v>
      </c>
      <c r="AQ267" s="30" t="str">
        <f aca="false">IF(OR(Y267="判定不能",G267="判定不能"),"判定不能",IF(AP267&gt;=判定条件!$C$9,"利用可",IF(AND(Y267="停止",G267="停止"),"両方停止","運転がそろわない")))</f>
        <v>両方停止</v>
      </c>
      <c r="AR267" s="30" t="n">
        <v>60</v>
      </c>
      <c r="AS267" s="30" t="n">
        <v>0</v>
      </c>
      <c r="AT267" s="30" t="str">
        <f aca="false">IF(OR(AB267="判定不能",J267="判定不能"),"判定不能",IF(AS267&gt;=判定条件!$C$9,"利用可",IF(AND(AB267="停止",J267="停止"),"両方停止","運転がそろわない")))</f>
        <v>両方停止</v>
      </c>
      <c r="AU267" s="30" t="n">
        <v>60</v>
      </c>
      <c r="AV267" s="30" t="n">
        <v>0</v>
      </c>
      <c r="AW267" s="30" t="str">
        <f aca="false">IF(OR(AE267="判定不能",M267="判定不能"),"判定不能",IF(AV267&gt;=判定条件!$C$9,"利用可",IF(AND(AE267="停止",M267="停止"),"両方停止","運転がそろわない")))</f>
        <v>運転がそろわない</v>
      </c>
      <c r="AX267" s="30" t="str">
        <f aca="false">IF(AND(AH267="利用可",AK267="利用可",AN267="利用可"),"利用可","不可")</f>
        <v>不可</v>
      </c>
      <c r="AY267" s="30" t="str">
        <f aca="false">IF(AND(AQ267="利用可",AT267="利用可",AW267="利用可"),"利用可","不可")</f>
        <v>不可</v>
      </c>
    </row>
    <row r="268" customFormat="false" ht="15" hidden="false" customHeight="false" outlineLevel="0" collapsed="false">
      <c r="A268" s="29" t="n">
        <v>46243</v>
      </c>
      <c r="B268" s="30" t="n">
        <v>1</v>
      </c>
      <c r="C268" s="31" t="s">
        <v>65</v>
      </c>
      <c r="D268" s="31" t="s">
        <v>64</v>
      </c>
      <c r="E268" s="30" t="n">
        <v>60</v>
      </c>
      <c r="F268" s="30" t="n">
        <v>0</v>
      </c>
      <c r="G268" s="30" t="str">
        <f aca="false">IF(E268&lt;判定条件!$C$6,"判定不能",IF(F268&gt;=判定条件!$C$7*E268,"運転",IF(F268&lt;=判定条件!$C$8*E268,"停止","断続")))</f>
        <v>停止</v>
      </c>
      <c r="H268" s="30" t="n">
        <v>60</v>
      </c>
      <c r="I268" s="30" t="n">
        <v>0</v>
      </c>
      <c r="J268" s="30" t="str">
        <f aca="false">IF(H268&lt;判定条件!$C$6,"判定不能",IF(I268&gt;=判定条件!$C$7*H268,"運転",IF(I268&lt;=判定条件!$C$8*H268,"停止","断続")))</f>
        <v>停止</v>
      </c>
      <c r="K268" s="30" t="n">
        <v>60</v>
      </c>
      <c r="L268" s="30" t="n">
        <v>60</v>
      </c>
      <c r="M268" s="30" t="str">
        <f aca="false">IF(K268&lt;判定条件!$C$6,"判定不能",IF(L268&gt;=判定条件!$C$7*K268,"運転",IF(L268&lt;=判定条件!$C$8*K268,"停止","断続")))</f>
        <v>運転</v>
      </c>
      <c r="N268" s="30" t="n">
        <v>60</v>
      </c>
      <c r="O268" s="30" t="n">
        <v>0</v>
      </c>
      <c r="P268" s="30" t="str">
        <f aca="false">IF(N268&lt;判定条件!$C$6,"判定不能",IF(O268&gt;=判定条件!$C$7*N268,"運転",IF(O268&lt;=判定条件!$C$8*N268,"停止","断続")))</f>
        <v>停止</v>
      </c>
      <c r="Q268" s="30" t="n">
        <v>60</v>
      </c>
      <c r="R268" s="30" t="n">
        <v>0</v>
      </c>
      <c r="S268" s="30" t="str">
        <f aca="false">IF(Q268&lt;判定条件!$C$6,"判定不能",IF(R268&gt;=判定条件!$C$7*Q268,"運転",IF(R268&lt;=判定条件!$C$8*Q268,"停止","断続")))</f>
        <v>停止</v>
      </c>
      <c r="T268" s="30" t="n">
        <v>60</v>
      </c>
      <c r="U268" s="30" t="n">
        <v>0</v>
      </c>
      <c r="V268" s="30" t="str">
        <f aca="false">IF(T268&lt;判定条件!$C$6,"判定不能",IF(U268&gt;=判定条件!$C$7*T268,"運転",IF(U268&lt;=判定条件!$C$8*T268,"停止","断続")))</f>
        <v>停止</v>
      </c>
      <c r="W268" s="30" t="n">
        <v>60</v>
      </c>
      <c r="X268" s="30" t="n">
        <v>0</v>
      </c>
      <c r="Y268" s="30" t="str">
        <f aca="false">IF(W268&lt;判定条件!$C$6,"判定不能",IF(X268&gt;=判定条件!$C$7*W268,"運転",IF(X268&lt;=判定条件!$C$8*W268,"停止","断続")))</f>
        <v>停止</v>
      </c>
      <c r="Z268" s="30" t="n">
        <v>60</v>
      </c>
      <c r="AA268" s="30" t="n">
        <v>0</v>
      </c>
      <c r="AB268" s="30" t="str">
        <f aca="false">IF(Z268&lt;判定条件!$C$6,"判定不能",IF(AA268&gt;=判定条件!$C$7*Z268,"運転",IF(AA268&lt;=判定条件!$C$8*Z268,"停止","断続")))</f>
        <v>停止</v>
      </c>
      <c r="AC268" s="30" t="n">
        <v>60</v>
      </c>
      <c r="AD268" s="30" t="n">
        <v>0</v>
      </c>
      <c r="AE268" s="30" t="str">
        <f aca="false">IF(AC268&lt;判定条件!$C$6,"判定不能",IF(AD268&gt;=判定条件!$C$7*AC268,"運転",IF(AD268&lt;=判定条件!$C$8*AC268,"停止","断続")))</f>
        <v>停止</v>
      </c>
      <c r="AF268" s="30" t="n">
        <v>60</v>
      </c>
      <c r="AG268" s="30" t="n">
        <v>0</v>
      </c>
      <c r="AH268" s="30" t="str">
        <f aca="false">IF(OR(P268="判定不能",G268="判定不能"),"判定不能",IF(AG268&gt;=判定条件!$C$9,"利用可",IF(AND(P268="停止",G268="停止"),"両方停止","運転がそろわない")))</f>
        <v>両方停止</v>
      </c>
      <c r="AI268" s="30" t="n">
        <v>60</v>
      </c>
      <c r="AJ268" s="30" t="n">
        <v>0</v>
      </c>
      <c r="AK268" s="30" t="str">
        <f aca="false">IF(OR(S268="判定不能",J268="判定不能"),"判定不能",IF(AJ268&gt;=判定条件!$C$9,"利用可",IF(AND(S268="停止",J268="停止"),"両方停止","運転がそろわない")))</f>
        <v>両方停止</v>
      </c>
      <c r="AL268" s="30" t="n">
        <v>60</v>
      </c>
      <c r="AM268" s="30" t="n">
        <v>0</v>
      </c>
      <c r="AN268" s="30" t="str">
        <f aca="false">IF(OR(V268="判定不能",M268="判定不能"),"判定不能",IF(AM268&gt;=判定条件!$C$9,"利用可",IF(AND(V268="停止",M268="停止"),"両方停止","運転がそろわない")))</f>
        <v>運転がそろわない</v>
      </c>
      <c r="AO268" s="30" t="n">
        <v>60</v>
      </c>
      <c r="AP268" s="30" t="n">
        <v>0</v>
      </c>
      <c r="AQ268" s="30" t="str">
        <f aca="false">IF(OR(Y268="判定不能",G268="判定不能"),"判定不能",IF(AP268&gt;=判定条件!$C$9,"利用可",IF(AND(Y268="停止",G268="停止"),"両方停止","運転がそろわない")))</f>
        <v>両方停止</v>
      </c>
      <c r="AR268" s="30" t="n">
        <v>60</v>
      </c>
      <c r="AS268" s="30" t="n">
        <v>0</v>
      </c>
      <c r="AT268" s="30" t="str">
        <f aca="false">IF(OR(AB268="判定不能",J268="判定不能"),"判定不能",IF(AS268&gt;=判定条件!$C$9,"利用可",IF(AND(AB268="停止",J268="停止"),"両方停止","運転がそろわない")))</f>
        <v>両方停止</v>
      </c>
      <c r="AU268" s="30" t="n">
        <v>60</v>
      </c>
      <c r="AV268" s="30" t="n">
        <v>0</v>
      </c>
      <c r="AW268" s="30" t="str">
        <f aca="false">IF(OR(AE268="判定不能",M268="判定不能"),"判定不能",IF(AV268&gt;=判定条件!$C$9,"利用可",IF(AND(AE268="停止",M268="停止"),"両方停止","運転がそろわない")))</f>
        <v>運転がそろわない</v>
      </c>
      <c r="AX268" s="30" t="str">
        <f aca="false">IF(AND(AH268="利用可",AK268="利用可",AN268="利用可"),"利用可","不可")</f>
        <v>不可</v>
      </c>
      <c r="AY268" s="30" t="str">
        <f aca="false">IF(AND(AQ268="利用可",AT268="利用可",AW268="利用可"),"利用可","不可")</f>
        <v>不可</v>
      </c>
    </row>
    <row r="269" customFormat="false" ht="15" hidden="false" customHeight="false" outlineLevel="0" collapsed="false">
      <c r="A269" s="29" t="n">
        <v>46243</v>
      </c>
      <c r="B269" s="30" t="n">
        <v>2</v>
      </c>
      <c r="C269" s="31" t="s">
        <v>65</v>
      </c>
      <c r="D269" s="31" t="s">
        <v>64</v>
      </c>
      <c r="E269" s="30" t="n">
        <v>60</v>
      </c>
      <c r="F269" s="30" t="n">
        <v>0</v>
      </c>
      <c r="G269" s="30" t="str">
        <f aca="false">IF(E269&lt;判定条件!$C$6,"判定不能",IF(F269&gt;=判定条件!$C$7*E269,"運転",IF(F269&lt;=判定条件!$C$8*E269,"停止","断続")))</f>
        <v>停止</v>
      </c>
      <c r="H269" s="30" t="n">
        <v>60</v>
      </c>
      <c r="I269" s="30" t="n">
        <v>0</v>
      </c>
      <c r="J269" s="30" t="str">
        <f aca="false">IF(H269&lt;判定条件!$C$6,"判定不能",IF(I269&gt;=判定条件!$C$7*H269,"運転",IF(I269&lt;=判定条件!$C$8*H269,"停止","断続")))</f>
        <v>停止</v>
      </c>
      <c r="K269" s="30" t="n">
        <v>60</v>
      </c>
      <c r="L269" s="30" t="n">
        <v>60</v>
      </c>
      <c r="M269" s="30" t="str">
        <f aca="false">IF(K269&lt;判定条件!$C$6,"判定不能",IF(L269&gt;=判定条件!$C$7*K269,"運転",IF(L269&lt;=判定条件!$C$8*K269,"停止","断続")))</f>
        <v>運転</v>
      </c>
      <c r="N269" s="30" t="n">
        <v>60</v>
      </c>
      <c r="O269" s="30" t="n">
        <v>0</v>
      </c>
      <c r="P269" s="30" t="str">
        <f aca="false">IF(N269&lt;判定条件!$C$6,"判定不能",IF(O269&gt;=判定条件!$C$7*N269,"運転",IF(O269&lt;=判定条件!$C$8*N269,"停止","断続")))</f>
        <v>停止</v>
      </c>
      <c r="Q269" s="30" t="n">
        <v>60</v>
      </c>
      <c r="R269" s="30" t="n">
        <v>0</v>
      </c>
      <c r="S269" s="30" t="str">
        <f aca="false">IF(Q269&lt;判定条件!$C$6,"判定不能",IF(R269&gt;=判定条件!$C$7*Q269,"運転",IF(R269&lt;=判定条件!$C$8*Q269,"停止","断続")))</f>
        <v>停止</v>
      </c>
      <c r="T269" s="30" t="n">
        <v>60</v>
      </c>
      <c r="U269" s="30" t="n">
        <v>0</v>
      </c>
      <c r="V269" s="30" t="str">
        <f aca="false">IF(T269&lt;判定条件!$C$6,"判定不能",IF(U269&gt;=判定条件!$C$7*T269,"運転",IF(U269&lt;=判定条件!$C$8*T269,"停止","断続")))</f>
        <v>停止</v>
      </c>
      <c r="W269" s="30" t="n">
        <v>60</v>
      </c>
      <c r="X269" s="30" t="n">
        <v>0</v>
      </c>
      <c r="Y269" s="30" t="str">
        <f aca="false">IF(W269&lt;判定条件!$C$6,"判定不能",IF(X269&gt;=判定条件!$C$7*W269,"運転",IF(X269&lt;=判定条件!$C$8*W269,"停止","断続")))</f>
        <v>停止</v>
      </c>
      <c r="Z269" s="30" t="n">
        <v>60</v>
      </c>
      <c r="AA269" s="30" t="n">
        <v>0</v>
      </c>
      <c r="AB269" s="30" t="str">
        <f aca="false">IF(Z269&lt;判定条件!$C$6,"判定不能",IF(AA269&gt;=判定条件!$C$7*Z269,"運転",IF(AA269&lt;=判定条件!$C$8*Z269,"停止","断続")))</f>
        <v>停止</v>
      </c>
      <c r="AC269" s="30" t="n">
        <v>60</v>
      </c>
      <c r="AD269" s="30" t="n">
        <v>0</v>
      </c>
      <c r="AE269" s="30" t="str">
        <f aca="false">IF(AC269&lt;判定条件!$C$6,"判定不能",IF(AD269&gt;=判定条件!$C$7*AC269,"運転",IF(AD269&lt;=判定条件!$C$8*AC269,"停止","断続")))</f>
        <v>停止</v>
      </c>
      <c r="AF269" s="30" t="n">
        <v>60</v>
      </c>
      <c r="AG269" s="30" t="n">
        <v>0</v>
      </c>
      <c r="AH269" s="30" t="str">
        <f aca="false">IF(OR(P269="判定不能",G269="判定不能"),"判定不能",IF(AG269&gt;=判定条件!$C$9,"利用可",IF(AND(P269="停止",G269="停止"),"両方停止","運転がそろわない")))</f>
        <v>両方停止</v>
      </c>
      <c r="AI269" s="30" t="n">
        <v>60</v>
      </c>
      <c r="AJ269" s="30" t="n">
        <v>0</v>
      </c>
      <c r="AK269" s="30" t="str">
        <f aca="false">IF(OR(S269="判定不能",J269="判定不能"),"判定不能",IF(AJ269&gt;=判定条件!$C$9,"利用可",IF(AND(S269="停止",J269="停止"),"両方停止","運転がそろわない")))</f>
        <v>両方停止</v>
      </c>
      <c r="AL269" s="30" t="n">
        <v>60</v>
      </c>
      <c r="AM269" s="30" t="n">
        <v>0</v>
      </c>
      <c r="AN269" s="30" t="str">
        <f aca="false">IF(OR(V269="判定不能",M269="判定不能"),"判定不能",IF(AM269&gt;=判定条件!$C$9,"利用可",IF(AND(V269="停止",M269="停止"),"両方停止","運転がそろわない")))</f>
        <v>運転がそろわない</v>
      </c>
      <c r="AO269" s="30" t="n">
        <v>60</v>
      </c>
      <c r="AP269" s="30" t="n">
        <v>0</v>
      </c>
      <c r="AQ269" s="30" t="str">
        <f aca="false">IF(OR(Y269="判定不能",G269="判定不能"),"判定不能",IF(AP269&gt;=判定条件!$C$9,"利用可",IF(AND(Y269="停止",G269="停止"),"両方停止","運転がそろわない")))</f>
        <v>両方停止</v>
      </c>
      <c r="AR269" s="30" t="n">
        <v>60</v>
      </c>
      <c r="AS269" s="30" t="n">
        <v>0</v>
      </c>
      <c r="AT269" s="30" t="str">
        <f aca="false">IF(OR(AB269="判定不能",J269="判定不能"),"判定不能",IF(AS269&gt;=判定条件!$C$9,"利用可",IF(AND(AB269="停止",J269="停止"),"両方停止","運転がそろわない")))</f>
        <v>両方停止</v>
      </c>
      <c r="AU269" s="30" t="n">
        <v>60</v>
      </c>
      <c r="AV269" s="30" t="n">
        <v>0</v>
      </c>
      <c r="AW269" s="30" t="str">
        <f aca="false">IF(OR(AE269="判定不能",M269="判定不能"),"判定不能",IF(AV269&gt;=判定条件!$C$9,"利用可",IF(AND(AE269="停止",M269="停止"),"両方停止","運転がそろわない")))</f>
        <v>運転がそろわない</v>
      </c>
      <c r="AX269" s="30" t="str">
        <f aca="false">IF(AND(AH269="利用可",AK269="利用可",AN269="利用可"),"利用可","不可")</f>
        <v>不可</v>
      </c>
      <c r="AY269" s="30" t="str">
        <f aca="false">IF(AND(AQ269="利用可",AT269="利用可",AW269="利用可"),"利用可","不可")</f>
        <v>不可</v>
      </c>
    </row>
    <row r="270" customFormat="false" ht="15" hidden="false" customHeight="false" outlineLevel="0" collapsed="false">
      <c r="A270" s="29" t="n">
        <v>46243</v>
      </c>
      <c r="B270" s="30" t="n">
        <v>3</v>
      </c>
      <c r="C270" s="31" t="s">
        <v>65</v>
      </c>
      <c r="D270" s="31" t="s">
        <v>64</v>
      </c>
      <c r="E270" s="30" t="n">
        <v>60</v>
      </c>
      <c r="F270" s="30" t="n">
        <v>0</v>
      </c>
      <c r="G270" s="30" t="str">
        <f aca="false">IF(E270&lt;判定条件!$C$6,"判定不能",IF(F270&gt;=判定条件!$C$7*E270,"運転",IF(F270&lt;=判定条件!$C$8*E270,"停止","断続")))</f>
        <v>停止</v>
      </c>
      <c r="H270" s="30" t="n">
        <v>60</v>
      </c>
      <c r="I270" s="30" t="n">
        <v>0</v>
      </c>
      <c r="J270" s="30" t="str">
        <f aca="false">IF(H270&lt;判定条件!$C$6,"判定不能",IF(I270&gt;=判定条件!$C$7*H270,"運転",IF(I270&lt;=判定条件!$C$8*H270,"停止","断続")))</f>
        <v>停止</v>
      </c>
      <c r="K270" s="30" t="n">
        <v>60</v>
      </c>
      <c r="L270" s="30" t="n">
        <v>60</v>
      </c>
      <c r="M270" s="30" t="str">
        <f aca="false">IF(K270&lt;判定条件!$C$6,"判定不能",IF(L270&gt;=判定条件!$C$7*K270,"運転",IF(L270&lt;=判定条件!$C$8*K270,"停止","断続")))</f>
        <v>運転</v>
      </c>
      <c r="N270" s="30" t="n">
        <v>60</v>
      </c>
      <c r="O270" s="30" t="n">
        <v>0</v>
      </c>
      <c r="P270" s="30" t="str">
        <f aca="false">IF(N270&lt;判定条件!$C$6,"判定不能",IF(O270&gt;=判定条件!$C$7*N270,"運転",IF(O270&lt;=判定条件!$C$8*N270,"停止","断続")))</f>
        <v>停止</v>
      </c>
      <c r="Q270" s="30" t="n">
        <v>60</v>
      </c>
      <c r="R270" s="30" t="n">
        <v>0</v>
      </c>
      <c r="S270" s="30" t="str">
        <f aca="false">IF(Q270&lt;判定条件!$C$6,"判定不能",IF(R270&gt;=判定条件!$C$7*Q270,"運転",IF(R270&lt;=判定条件!$C$8*Q270,"停止","断続")))</f>
        <v>停止</v>
      </c>
      <c r="T270" s="30" t="n">
        <v>60</v>
      </c>
      <c r="U270" s="30" t="n">
        <v>0</v>
      </c>
      <c r="V270" s="30" t="str">
        <f aca="false">IF(T270&lt;判定条件!$C$6,"判定不能",IF(U270&gt;=判定条件!$C$7*T270,"運転",IF(U270&lt;=判定条件!$C$8*T270,"停止","断続")))</f>
        <v>停止</v>
      </c>
      <c r="W270" s="30" t="n">
        <v>60</v>
      </c>
      <c r="X270" s="30" t="n">
        <v>0</v>
      </c>
      <c r="Y270" s="30" t="str">
        <f aca="false">IF(W270&lt;判定条件!$C$6,"判定不能",IF(X270&gt;=判定条件!$C$7*W270,"運転",IF(X270&lt;=判定条件!$C$8*W270,"停止","断続")))</f>
        <v>停止</v>
      </c>
      <c r="Z270" s="30" t="n">
        <v>60</v>
      </c>
      <c r="AA270" s="30" t="n">
        <v>0</v>
      </c>
      <c r="AB270" s="30" t="str">
        <f aca="false">IF(Z270&lt;判定条件!$C$6,"判定不能",IF(AA270&gt;=判定条件!$C$7*Z270,"運転",IF(AA270&lt;=判定条件!$C$8*Z270,"停止","断続")))</f>
        <v>停止</v>
      </c>
      <c r="AC270" s="30" t="n">
        <v>60</v>
      </c>
      <c r="AD270" s="30" t="n">
        <v>0</v>
      </c>
      <c r="AE270" s="30" t="str">
        <f aca="false">IF(AC270&lt;判定条件!$C$6,"判定不能",IF(AD270&gt;=判定条件!$C$7*AC270,"運転",IF(AD270&lt;=判定条件!$C$8*AC270,"停止","断続")))</f>
        <v>停止</v>
      </c>
      <c r="AF270" s="30" t="n">
        <v>60</v>
      </c>
      <c r="AG270" s="30" t="n">
        <v>0</v>
      </c>
      <c r="AH270" s="30" t="str">
        <f aca="false">IF(OR(P270="判定不能",G270="判定不能"),"判定不能",IF(AG270&gt;=判定条件!$C$9,"利用可",IF(AND(P270="停止",G270="停止"),"両方停止","運転がそろわない")))</f>
        <v>両方停止</v>
      </c>
      <c r="AI270" s="30" t="n">
        <v>60</v>
      </c>
      <c r="AJ270" s="30" t="n">
        <v>0</v>
      </c>
      <c r="AK270" s="30" t="str">
        <f aca="false">IF(OR(S270="判定不能",J270="判定不能"),"判定不能",IF(AJ270&gt;=判定条件!$C$9,"利用可",IF(AND(S270="停止",J270="停止"),"両方停止","運転がそろわない")))</f>
        <v>両方停止</v>
      </c>
      <c r="AL270" s="30" t="n">
        <v>60</v>
      </c>
      <c r="AM270" s="30" t="n">
        <v>0</v>
      </c>
      <c r="AN270" s="30" t="str">
        <f aca="false">IF(OR(V270="判定不能",M270="判定不能"),"判定不能",IF(AM270&gt;=判定条件!$C$9,"利用可",IF(AND(V270="停止",M270="停止"),"両方停止","運転がそろわない")))</f>
        <v>運転がそろわない</v>
      </c>
      <c r="AO270" s="30" t="n">
        <v>60</v>
      </c>
      <c r="AP270" s="30" t="n">
        <v>0</v>
      </c>
      <c r="AQ270" s="30" t="str">
        <f aca="false">IF(OR(Y270="判定不能",G270="判定不能"),"判定不能",IF(AP270&gt;=判定条件!$C$9,"利用可",IF(AND(Y270="停止",G270="停止"),"両方停止","運転がそろわない")))</f>
        <v>両方停止</v>
      </c>
      <c r="AR270" s="30" t="n">
        <v>60</v>
      </c>
      <c r="AS270" s="30" t="n">
        <v>0</v>
      </c>
      <c r="AT270" s="30" t="str">
        <f aca="false">IF(OR(AB270="判定不能",J270="判定不能"),"判定不能",IF(AS270&gt;=判定条件!$C$9,"利用可",IF(AND(AB270="停止",J270="停止"),"両方停止","運転がそろわない")))</f>
        <v>両方停止</v>
      </c>
      <c r="AU270" s="30" t="n">
        <v>60</v>
      </c>
      <c r="AV270" s="30" t="n">
        <v>0</v>
      </c>
      <c r="AW270" s="30" t="str">
        <f aca="false">IF(OR(AE270="判定不能",M270="判定不能"),"判定不能",IF(AV270&gt;=判定条件!$C$9,"利用可",IF(AND(AE270="停止",M270="停止"),"両方停止","運転がそろわない")))</f>
        <v>運転がそろわない</v>
      </c>
      <c r="AX270" s="30" t="str">
        <f aca="false">IF(AND(AH270="利用可",AK270="利用可",AN270="利用可"),"利用可","不可")</f>
        <v>不可</v>
      </c>
      <c r="AY270" s="30" t="str">
        <f aca="false">IF(AND(AQ270="利用可",AT270="利用可",AW270="利用可"),"利用可","不可")</f>
        <v>不可</v>
      </c>
    </row>
    <row r="271" customFormat="false" ht="15" hidden="false" customHeight="false" outlineLevel="0" collapsed="false">
      <c r="A271" s="29" t="n">
        <v>46243</v>
      </c>
      <c r="B271" s="30" t="n">
        <v>4</v>
      </c>
      <c r="C271" s="31" t="s">
        <v>65</v>
      </c>
      <c r="D271" s="31" t="s">
        <v>64</v>
      </c>
      <c r="E271" s="30" t="n">
        <v>60</v>
      </c>
      <c r="F271" s="30" t="n">
        <v>0</v>
      </c>
      <c r="G271" s="30" t="str">
        <f aca="false">IF(E271&lt;判定条件!$C$6,"判定不能",IF(F271&gt;=判定条件!$C$7*E271,"運転",IF(F271&lt;=判定条件!$C$8*E271,"停止","断続")))</f>
        <v>停止</v>
      </c>
      <c r="H271" s="30" t="n">
        <v>60</v>
      </c>
      <c r="I271" s="30" t="n">
        <v>0</v>
      </c>
      <c r="J271" s="30" t="str">
        <f aca="false">IF(H271&lt;判定条件!$C$6,"判定不能",IF(I271&gt;=判定条件!$C$7*H271,"運転",IF(I271&lt;=判定条件!$C$8*H271,"停止","断続")))</f>
        <v>停止</v>
      </c>
      <c r="K271" s="30" t="n">
        <v>60</v>
      </c>
      <c r="L271" s="30" t="n">
        <v>60</v>
      </c>
      <c r="M271" s="30" t="str">
        <f aca="false">IF(K271&lt;判定条件!$C$6,"判定不能",IF(L271&gt;=判定条件!$C$7*K271,"運転",IF(L271&lt;=判定条件!$C$8*K271,"停止","断続")))</f>
        <v>運転</v>
      </c>
      <c r="N271" s="30" t="n">
        <v>60</v>
      </c>
      <c r="O271" s="30" t="n">
        <v>0</v>
      </c>
      <c r="P271" s="30" t="str">
        <f aca="false">IF(N271&lt;判定条件!$C$6,"判定不能",IF(O271&gt;=判定条件!$C$7*N271,"運転",IF(O271&lt;=判定条件!$C$8*N271,"停止","断続")))</f>
        <v>停止</v>
      </c>
      <c r="Q271" s="30" t="n">
        <v>60</v>
      </c>
      <c r="R271" s="30" t="n">
        <v>0</v>
      </c>
      <c r="S271" s="30" t="str">
        <f aca="false">IF(Q271&lt;判定条件!$C$6,"判定不能",IF(R271&gt;=判定条件!$C$7*Q271,"運転",IF(R271&lt;=判定条件!$C$8*Q271,"停止","断続")))</f>
        <v>停止</v>
      </c>
      <c r="T271" s="30" t="n">
        <v>60</v>
      </c>
      <c r="U271" s="30" t="n">
        <v>0</v>
      </c>
      <c r="V271" s="30" t="str">
        <f aca="false">IF(T271&lt;判定条件!$C$6,"判定不能",IF(U271&gt;=判定条件!$C$7*T271,"運転",IF(U271&lt;=判定条件!$C$8*T271,"停止","断続")))</f>
        <v>停止</v>
      </c>
      <c r="W271" s="30" t="n">
        <v>60</v>
      </c>
      <c r="X271" s="30" t="n">
        <v>0</v>
      </c>
      <c r="Y271" s="30" t="str">
        <f aca="false">IF(W271&lt;判定条件!$C$6,"判定不能",IF(X271&gt;=判定条件!$C$7*W271,"運転",IF(X271&lt;=判定条件!$C$8*W271,"停止","断続")))</f>
        <v>停止</v>
      </c>
      <c r="Z271" s="30" t="n">
        <v>60</v>
      </c>
      <c r="AA271" s="30" t="n">
        <v>0</v>
      </c>
      <c r="AB271" s="30" t="str">
        <f aca="false">IF(Z271&lt;判定条件!$C$6,"判定不能",IF(AA271&gt;=判定条件!$C$7*Z271,"運転",IF(AA271&lt;=判定条件!$C$8*Z271,"停止","断続")))</f>
        <v>停止</v>
      </c>
      <c r="AC271" s="30" t="n">
        <v>60</v>
      </c>
      <c r="AD271" s="30" t="n">
        <v>0</v>
      </c>
      <c r="AE271" s="30" t="str">
        <f aca="false">IF(AC271&lt;判定条件!$C$6,"判定不能",IF(AD271&gt;=判定条件!$C$7*AC271,"運転",IF(AD271&lt;=判定条件!$C$8*AC271,"停止","断続")))</f>
        <v>停止</v>
      </c>
      <c r="AF271" s="30" t="n">
        <v>60</v>
      </c>
      <c r="AG271" s="30" t="n">
        <v>0</v>
      </c>
      <c r="AH271" s="30" t="str">
        <f aca="false">IF(OR(P271="判定不能",G271="判定不能"),"判定不能",IF(AG271&gt;=判定条件!$C$9,"利用可",IF(AND(P271="停止",G271="停止"),"両方停止","運転がそろわない")))</f>
        <v>両方停止</v>
      </c>
      <c r="AI271" s="30" t="n">
        <v>60</v>
      </c>
      <c r="AJ271" s="30" t="n">
        <v>0</v>
      </c>
      <c r="AK271" s="30" t="str">
        <f aca="false">IF(OR(S271="判定不能",J271="判定不能"),"判定不能",IF(AJ271&gt;=判定条件!$C$9,"利用可",IF(AND(S271="停止",J271="停止"),"両方停止","運転がそろわない")))</f>
        <v>両方停止</v>
      </c>
      <c r="AL271" s="30" t="n">
        <v>60</v>
      </c>
      <c r="AM271" s="30" t="n">
        <v>0</v>
      </c>
      <c r="AN271" s="30" t="str">
        <f aca="false">IF(OR(V271="判定不能",M271="判定不能"),"判定不能",IF(AM271&gt;=判定条件!$C$9,"利用可",IF(AND(V271="停止",M271="停止"),"両方停止","運転がそろわない")))</f>
        <v>運転がそろわない</v>
      </c>
      <c r="AO271" s="30" t="n">
        <v>60</v>
      </c>
      <c r="AP271" s="30" t="n">
        <v>0</v>
      </c>
      <c r="AQ271" s="30" t="str">
        <f aca="false">IF(OR(Y271="判定不能",G271="判定不能"),"判定不能",IF(AP271&gt;=判定条件!$C$9,"利用可",IF(AND(Y271="停止",G271="停止"),"両方停止","運転がそろわない")))</f>
        <v>両方停止</v>
      </c>
      <c r="AR271" s="30" t="n">
        <v>60</v>
      </c>
      <c r="AS271" s="30" t="n">
        <v>0</v>
      </c>
      <c r="AT271" s="30" t="str">
        <f aca="false">IF(OR(AB271="判定不能",J271="判定不能"),"判定不能",IF(AS271&gt;=判定条件!$C$9,"利用可",IF(AND(AB271="停止",J271="停止"),"両方停止","運転がそろわない")))</f>
        <v>両方停止</v>
      </c>
      <c r="AU271" s="30" t="n">
        <v>60</v>
      </c>
      <c r="AV271" s="30" t="n">
        <v>0</v>
      </c>
      <c r="AW271" s="30" t="str">
        <f aca="false">IF(OR(AE271="判定不能",M271="判定不能"),"判定不能",IF(AV271&gt;=判定条件!$C$9,"利用可",IF(AND(AE271="停止",M271="停止"),"両方停止","運転がそろわない")))</f>
        <v>運転がそろわない</v>
      </c>
      <c r="AX271" s="30" t="str">
        <f aca="false">IF(AND(AH271="利用可",AK271="利用可",AN271="利用可"),"利用可","不可")</f>
        <v>不可</v>
      </c>
      <c r="AY271" s="30" t="str">
        <f aca="false">IF(AND(AQ271="利用可",AT271="利用可",AW271="利用可"),"利用可","不可")</f>
        <v>不可</v>
      </c>
    </row>
    <row r="272" customFormat="false" ht="15" hidden="false" customHeight="false" outlineLevel="0" collapsed="false">
      <c r="A272" s="29" t="n">
        <v>46243</v>
      </c>
      <c r="B272" s="30" t="n">
        <v>5</v>
      </c>
      <c r="C272" s="31" t="s">
        <v>65</v>
      </c>
      <c r="D272" s="31" t="s">
        <v>64</v>
      </c>
      <c r="E272" s="30" t="n">
        <v>60</v>
      </c>
      <c r="F272" s="30" t="n">
        <v>0</v>
      </c>
      <c r="G272" s="30" t="str">
        <f aca="false">IF(E272&lt;判定条件!$C$6,"判定不能",IF(F272&gt;=判定条件!$C$7*E272,"運転",IF(F272&lt;=判定条件!$C$8*E272,"停止","断続")))</f>
        <v>停止</v>
      </c>
      <c r="H272" s="30" t="n">
        <v>60</v>
      </c>
      <c r="I272" s="30" t="n">
        <v>0</v>
      </c>
      <c r="J272" s="30" t="str">
        <f aca="false">IF(H272&lt;判定条件!$C$6,"判定不能",IF(I272&gt;=判定条件!$C$7*H272,"運転",IF(I272&lt;=判定条件!$C$8*H272,"停止","断続")))</f>
        <v>停止</v>
      </c>
      <c r="K272" s="30" t="n">
        <v>60</v>
      </c>
      <c r="L272" s="30" t="n">
        <v>60</v>
      </c>
      <c r="M272" s="30" t="str">
        <f aca="false">IF(K272&lt;判定条件!$C$6,"判定不能",IF(L272&gt;=判定条件!$C$7*K272,"運転",IF(L272&lt;=判定条件!$C$8*K272,"停止","断続")))</f>
        <v>運転</v>
      </c>
      <c r="N272" s="30" t="n">
        <v>60</v>
      </c>
      <c r="O272" s="30" t="n">
        <v>0</v>
      </c>
      <c r="P272" s="30" t="str">
        <f aca="false">IF(N272&lt;判定条件!$C$6,"判定不能",IF(O272&gt;=判定条件!$C$7*N272,"運転",IF(O272&lt;=判定条件!$C$8*N272,"停止","断続")))</f>
        <v>停止</v>
      </c>
      <c r="Q272" s="30" t="n">
        <v>60</v>
      </c>
      <c r="R272" s="30" t="n">
        <v>0</v>
      </c>
      <c r="S272" s="30" t="str">
        <f aca="false">IF(Q272&lt;判定条件!$C$6,"判定不能",IF(R272&gt;=判定条件!$C$7*Q272,"運転",IF(R272&lt;=判定条件!$C$8*Q272,"停止","断続")))</f>
        <v>停止</v>
      </c>
      <c r="T272" s="30" t="n">
        <v>60</v>
      </c>
      <c r="U272" s="30" t="n">
        <v>0</v>
      </c>
      <c r="V272" s="30" t="str">
        <f aca="false">IF(T272&lt;判定条件!$C$6,"判定不能",IF(U272&gt;=判定条件!$C$7*T272,"運転",IF(U272&lt;=判定条件!$C$8*T272,"停止","断続")))</f>
        <v>停止</v>
      </c>
      <c r="W272" s="30" t="n">
        <v>60</v>
      </c>
      <c r="X272" s="30" t="n">
        <v>0</v>
      </c>
      <c r="Y272" s="30" t="str">
        <f aca="false">IF(W272&lt;判定条件!$C$6,"判定不能",IF(X272&gt;=判定条件!$C$7*W272,"運転",IF(X272&lt;=判定条件!$C$8*W272,"停止","断続")))</f>
        <v>停止</v>
      </c>
      <c r="Z272" s="30" t="n">
        <v>60</v>
      </c>
      <c r="AA272" s="30" t="n">
        <v>0</v>
      </c>
      <c r="AB272" s="30" t="str">
        <f aca="false">IF(Z272&lt;判定条件!$C$6,"判定不能",IF(AA272&gt;=判定条件!$C$7*Z272,"運転",IF(AA272&lt;=判定条件!$C$8*Z272,"停止","断続")))</f>
        <v>停止</v>
      </c>
      <c r="AC272" s="30" t="n">
        <v>60</v>
      </c>
      <c r="AD272" s="30" t="n">
        <v>0</v>
      </c>
      <c r="AE272" s="30" t="str">
        <f aca="false">IF(AC272&lt;判定条件!$C$6,"判定不能",IF(AD272&gt;=判定条件!$C$7*AC272,"運転",IF(AD272&lt;=判定条件!$C$8*AC272,"停止","断続")))</f>
        <v>停止</v>
      </c>
      <c r="AF272" s="30" t="n">
        <v>60</v>
      </c>
      <c r="AG272" s="30" t="n">
        <v>0</v>
      </c>
      <c r="AH272" s="30" t="str">
        <f aca="false">IF(OR(P272="判定不能",G272="判定不能"),"判定不能",IF(AG272&gt;=判定条件!$C$9,"利用可",IF(AND(P272="停止",G272="停止"),"両方停止","運転がそろわない")))</f>
        <v>両方停止</v>
      </c>
      <c r="AI272" s="30" t="n">
        <v>60</v>
      </c>
      <c r="AJ272" s="30" t="n">
        <v>0</v>
      </c>
      <c r="AK272" s="30" t="str">
        <f aca="false">IF(OR(S272="判定不能",J272="判定不能"),"判定不能",IF(AJ272&gt;=判定条件!$C$9,"利用可",IF(AND(S272="停止",J272="停止"),"両方停止","運転がそろわない")))</f>
        <v>両方停止</v>
      </c>
      <c r="AL272" s="30" t="n">
        <v>60</v>
      </c>
      <c r="AM272" s="30" t="n">
        <v>0</v>
      </c>
      <c r="AN272" s="30" t="str">
        <f aca="false">IF(OR(V272="判定不能",M272="判定不能"),"判定不能",IF(AM272&gt;=判定条件!$C$9,"利用可",IF(AND(V272="停止",M272="停止"),"両方停止","運転がそろわない")))</f>
        <v>運転がそろわない</v>
      </c>
      <c r="AO272" s="30" t="n">
        <v>60</v>
      </c>
      <c r="AP272" s="30" t="n">
        <v>0</v>
      </c>
      <c r="AQ272" s="30" t="str">
        <f aca="false">IF(OR(Y272="判定不能",G272="判定不能"),"判定不能",IF(AP272&gt;=判定条件!$C$9,"利用可",IF(AND(Y272="停止",G272="停止"),"両方停止","運転がそろわない")))</f>
        <v>両方停止</v>
      </c>
      <c r="AR272" s="30" t="n">
        <v>60</v>
      </c>
      <c r="AS272" s="30" t="n">
        <v>0</v>
      </c>
      <c r="AT272" s="30" t="str">
        <f aca="false">IF(OR(AB272="判定不能",J272="判定不能"),"判定不能",IF(AS272&gt;=判定条件!$C$9,"利用可",IF(AND(AB272="停止",J272="停止"),"両方停止","運転がそろわない")))</f>
        <v>両方停止</v>
      </c>
      <c r="AU272" s="30" t="n">
        <v>60</v>
      </c>
      <c r="AV272" s="30" t="n">
        <v>0</v>
      </c>
      <c r="AW272" s="30" t="str">
        <f aca="false">IF(OR(AE272="判定不能",M272="判定不能"),"判定不能",IF(AV272&gt;=判定条件!$C$9,"利用可",IF(AND(AE272="停止",M272="停止"),"両方停止","運転がそろわない")))</f>
        <v>運転がそろわない</v>
      </c>
      <c r="AX272" s="30" t="str">
        <f aca="false">IF(AND(AH272="利用可",AK272="利用可",AN272="利用可"),"利用可","不可")</f>
        <v>不可</v>
      </c>
      <c r="AY272" s="30" t="str">
        <f aca="false">IF(AND(AQ272="利用可",AT272="利用可",AW272="利用可"),"利用可","不可")</f>
        <v>不可</v>
      </c>
    </row>
    <row r="273" customFormat="false" ht="15" hidden="false" customHeight="false" outlineLevel="0" collapsed="false">
      <c r="A273" s="29" t="n">
        <v>46243</v>
      </c>
      <c r="B273" s="30" t="n">
        <v>6</v>
      </c>
      <c r="C273" s="31" t="s">
        <v>65</v>
      </c>
      <c r="D273" s="31" t="s">
        <v>64</v>
      </c>
      <c r="E273" s="30" t="n">
        <v>60</v>
      </c>
      <c r="F273" s="30" t="n">
        <v>0</v>
      </c>
      <c r="G273" s="30" t="str">
        <f aca="false">IF(E273&lt;判定条件!$C$6,"判定不能",IF(F273&gt;=判定条件!$C$7*E273,"運転",IF(F273&lt;=判定条件!$C$8*E273,"停止","断続")))</f>
        <v>停止</v>
      </c>
      <c r="H273" s="30" t="n">
        <v>60</v>
      </c>
      <c r="I273" s="30" t="n">
        <v>0</v>
      </c>
      <c r="J273" s="30" t="str">
        <f aca="false">IF(H273&lt;判定条件!$C$6,"判定不能",IF(I273&gt;=判定条件!$C$7*H273,"運転",IF(I273&lt;=判定条件!$C$8*H273,"停止","断続")))</f>
        <v>停止</v>
      </c>
      <c r="K273" s="30" t="n">
        <v>60</v>
      </c>
      <c r="L273" s="30" t="n">
        <v>60</v>
      </c>
      <c r="M273" s="30" t="str">
        <f aca="false">IF(K273&lt;判定条件!$C$6,"判定不能",IF(L273&gt;=判定条件!$C$7*K273,"運転",IF(L273&lt;=判定条件!$C$8*K273,"停止","断続")))</f>
        <v>運転</v>
      </c>
      <c r="N273" s="30" t="n">
        <v>60</v>
      </c>
      <c r="O273" s="30" t="n">
        <v>0</v>
      </c>
      <c r="P273" s="30" t="str">
        <f aca="false">IF(N273&lt;判定条件!$C$6,"判定不能",IF(O273&gt;=判定条件!$C$7*N273,"運転",IF(O273&lt;=判定条件!$C$8*N273,"停止","断続")))</f>
        <v>停止</v>
      </c>
      <c r="Q273" s="30" t="n">
        <v>60</v>
      </c>
      <c r="R273" s="30" t="n">
        <v>0</v>
      </c>
      <c r="S273" s="30" t="str">
        <f aca="false">IF(Q273&lt;判定条件!$C$6,"判定不能",IF(R273&gt;=判定条件!$C$7*Q273,"運転",IF(R273&lt;=判定条件!$C$8*Q273,"停止","断続")))</f>
        <v>停止</v>
      </c>
      <c r="T273" s="30" t="n">
        <v>60</v>
      </c>
      <c r="U273" s="30" t="n">
        <v>0</v>
      </c>
      <c r="V273" s="30" t="str">
        <f aca="false">IF(T273&lt;判定条件!$C$6,"判定不能",IF(U273&gt;=判定条件!$C$7*T273,"運転",IF(U273&lt;=判定条件!$C$8*T273,"停止","断続")))</f>
        <v>停止</v>
      </c>
      <c r="W273" s="30" t="n">
        <v>60</v>
      </c>
      <c r="X273" s="30" t="n">
        <v>37</v>
      </c>
      <c r="Y273" s="30" t="str">
        <f aca="false">IF(W273&lt;判定条件!$C$6,"判定不能",IF(X273&gt;=判定条件!$C$7*W273,"運転",IF(X273&lt;=判定条件!$C$8*W273,"停止","断続")))</f>
        <v>断続</v>
      </c>
      <c r="Z273" s="30" t="n">
        <v>60</v>
      </c>
      <c r="AA273" s="30" t="n">
        <v>7</v>
      </c>
      <c r="AB273" s="30" t="str">
        <f aca="false">IF(Z273&lt;判定条件!$C$6,"判定不能",IF(AA273&gt;=判定条件!$C$7*Z273,"運転",IF(AA273&lt;=判定条件!$C$8*Z273,"停止","断続")))</f>
        <v>停止</v>
      </c>
      <c r="AC273" s="30" t="n">
        <v>60</v>
      </c>
      <c r="AD273" s="30" t="n">
        <v>0</v>
      </c>
      <c r="AE273" s="30" t="str">
        <f aca="false">IF(AC273&lt;判定条件!$C$6,"判定不能",IF(AD273&gt;=判定条件!$C$7*AC273,"運転",IF(AD273&lt;=判定条件!$C$8*AC273,"停止","断続")))</f>
        <v>停止</v>
      </c>
      <c r="AF273" s="30" t="n">
        <v>60</v>
      </c>
      <c r="AG273" s="30" t="n">
        <v>0</v>
      </c>
      <c r="AH273" s="30" t="str">
        <f aca="false">IF(OR(P273="判定不能",G273="判定不能"),"判定不能",IF(AG273&gt;=判定条件!$C$9,"利用可",IF(AND(P273="停止",G273="停止"),"両方停止","運転がそろわない")))</f>
        <v>両方停止</v>
      </c>
      <c r="AI273" s="30" t="n">
        <v>60</v>
      </c>
      <c r="AJ273" s="30" t="n">
        <v>0</v>
      </c>
      <c r="AK273" s="30" t="str">
        <f aca="false">IF(OR(S273="判定不能",J273="判定不能"),"判定不能",IF(AJ273&gt;=判定条件!$C$9,"利用可",IF(AND(S273="停止",J273="停止"),"両方停止","運転がそろわない")))</f>
        <v>両方停止</v>
      </c>
      <c r="AL273" s="30" t="n">
        <v>60</v>
      </c>
      <c r="AM273" s="30" t="n">
        <v>0</v>
      </c>
      <c r="AN273" s="30" t="str">
        <f aca="false">IF(OR(V273="判定不能",M273="判定不能"),"判定不能",IF(AM273&gt;=判定条件!$C$9,"利用可",IF(AND(V273="停止",M273="停止"),"両方停止","運転がそろわない")))</f>
        <v>運転がそろわない</v>
      </c>
      <c r="AO273" s="30" t="n">
        <v>60</v>
      </c>
      <c r="AP273" s="30" t="n">
        <v>0</v>
      </c>
      <c r="AQ273" s="30" t="str">
        <f aca="false">IF(OR(Y273="判定不能",G273="判定不能"),"判定不能",IF(AP273&gt;=判定条件!$C$9,"利用可",IF(AND(Y273="停止",G273="停止"),"両方停止","運転がそろわない")))</f>
        <v>運転がそろわない</v>
      </c>
      <c r="AR273" s="30" t="n">
        <v>60</v>
      </c>
      <c r="AS273" s="30" t="n">
        <v>0</v>
      </c>
      <c r="AT273" s="30" t="str">
        <f aca="false">IF(OR(AB273="判定不能",J273="判定不能"),"判定不能",IF(AS273&gt;=判定条件!$C$9,"利用可",IF(AND(AB273="停止",J273="停止"),"両方停止","運転がそろわない")))</f>
        <v>両方停止</v>
      </c>
      <c r="AU273" s="30" t="n">
        <v>60</v>
      </c>
      <c r="AV273" s="30" t="n">
        <v>0</v>
      </c>
      <c r="AW273" s="30" t="str">
        <f aca="false">IF(OR(AE273="判定不能",M273="判定不能"),"判定不能",IF(AV273&gt;=判定条件!$C$9,"利用可",IF(AND(AE273="停止",M273="停止"),"両方停止","運転がそろわない")))</f>
        <v>運転がそろわない</v>
      </c>
      <c r="AX273" s="30" t="str">
        <f aca="false">IF(AND(AH273="利用可",AK273="利用可",AN273="利用可"),"利用可","不可")</f>
        <v>不可</v>
      </c>
      <c r="AY273" s="30" t="str">
        <f aca="false">IF(AND(AQ273="利用可",AT273="利用可",AW273="利用可"),"利用可","不可")</f>
        <v>不可</v>
      </c>
    </row>
    <row r="274" customFormat="false" ht="15" hidden="false" customHeight="false" outlineLevel="0" collapsed="false">
      <c r="A274" s="29" t="n">
        <v>46243</v>
      </c>
      <c r="B274" s="30" t="n">
        <v>7</v>
      </c>
      <c r="C274" s="31" t="s">
        <v>65</v>
      </c>
      <c r="D274" s="31" t="s">
        <v>64</v>
      </c>
      <c r="E274" s="30" t="n">
        <v>60</v>
      </c>
      <c r="F274" s="30" t="n">
        <v>0</v>
      </c>
      <c r="G274" s="30" t="str">
        <f aca="false">IF(E274&lt;判定条件!$C$6,"判定不能",IF(F274&gt;=判定条件!$C$7*E274,"運転",IF(F274&lt;=判定条件!$C$8*E274,"停止","断続")))</f>
        <v>停止</v>
      </c>
      <c r="H274" s="30" t="n">
        <v>60</v>
      </c>
      <c r="I274" s="30" t="n">
        <v>0</v>
      </c>
      <c r="J274" s="30" t="str">
        <f aca="false">IF(H274&lt;判定条件!$C$6,"判定不能",IF(I274&gt;=判定条件!$C$7*H274,"運転",IF(I274&lt;=判定条件!$C$8*H274,"停止","断続")))</f>
        <v>停止</v>
      </c>
      <c r="K274" s="30" t="n">
        <v>60</v>
      </c>
      <c r="L274" s="30" t="n">
        <v>60</v>
      </c>
      <c r="M274" s="30" t="str">
        <f aca="false">IF(K274&lt;判定条件!$C$6,"判定不能",IF(L274&gt;=判定条件!$C$7*K274,"運転",IF(L274&lt;=判定条件!$C$8*K274,"停止","断続")))</f>
        <v>運転</v>
      </c>
      <c r="N274" s="30" t="n">
        <v>60</v>
      </c>
      <c r="O274" s="30" t="n">
        <v>19</v>
      </c>
      <c r="P274" s="30" t="str">
        <f aca="false">IF(N274&lt;判定条件!$C$6,"判定不能",IF(O274&gt;=判定条件!$C$7*N274,"運転",IF(O274&lt;=判定条件!$C$8*N274,"停止","断続")))</f>
        <v>断続</v>
      </c>
      <c r="Q274" s="30" t="n">
        <v>60</v>
      </c>
      <c r="R274" s="30" t="n">
        <v>0</v>
      </c>
      <c r="S274" s="30" t="str">
        <f aca="false">IF(Q274&lt;判定条件!$C$6,"判定不能",IF(R274&gt;=判定条件!$C$7*Q274,"運転",IF(R274&lt;=判定条件!$C$8*Q274,"停止","断続")))</f>
        <v>停止</v>
      </c>
      <c r="T274" s="30" t="n">
        <v>60</v>
      </c>
      <c r="U274" s="30" t="n">
        <v>0</v>
      </c>
      <c r="V274" s="30" t="str">
        <f aca="false">IF(T274&lt;判定条件!$C$6,"判定不能",IF(U274&gt;=判定条件!$C$7*T274,"運転",IF(U274&lt;=判定条件!$C$8*T274,"停止","断続")))</f>
        <v>停止</v>
      </c>
      <c r="W274" s="30" t="n">
        <v>60</v>
      </c>
      <c r="X274" s="30" t="n">
        <v>59</v>
      </c>
      <c r="Y274" s="30" t="str">
        <f aca="false">IF(W274&lt;判定条件!$C$6,"判定不能",IF(X274&gt;=判定条件!$C$7*W274,"運転",IF(X274&lt;=判定条件!$C$8*W274,"停止","断続")))</f>
        <v>運転</v>
      </c>
      <c r="Z274" s="30" t="n">
        <v>60</v>
      </c>
      <c r="AA274" s="30" t="n">
        <v>10</v>
      </c>
      <c r="AB274" s="30" t="str">
        <f aca="false">IF(Z274&lt;判定条件!$C$6,"判定不能",IF(AA274&gt;=判定条件!$C$7*Z274,"運転",IF(AA274&lt;=判定条件!$C$8*Z274,"停止","断続")))</f>
        <v>停止</v>
      </c>
      <c r="AC274" s="30" t="n">
        <v>60</v>
      </c>
      <c r="AD274" s="30" t="n">
        <v>0</v>
      </c>
      <c r="AE274" s="30" t="str">
        <f aca="false">IF(AC274&lt;判定条件!$C$6,"判定不能",IF(AD274&gt;=判定条件!$C$7*AC274,"運転",IF(AD274&lt;=判定条件!$C$8*AC274,"停止","断続")))</f>
        <v>停止</v>
      </c>
      <c r="AF274" s="30" t="n">
        <v>60</v>
      </c>
      <c r="AG274" s="30" t="n">
        <v>0</v>
      </c>
      <c r="AH274" s="30" t="str">
        <f aca="false">IF(OR(P274="判定不能",G274="判定不能"),"判定不能",IF(AG274&gt;=判定条件!$C$9,"利用可",IF(AND(P274="停止",G274="停止"),"両方停止","運転がそろわない")))</f>
        <v>運転がそろわない</v>
      </c>
      <c r="AI274" s="30" t="n">
        <v>60</v>
      </c>
      <c r="AJ274" s="30" t="n">
        <v>0</v>
      </c>
      <c r="AK274" s="30" t="str">
        <f aca="false">IF(OR(S274="判定不能",J274="判定不能"),"判定不能",IF(AJ274&gt;=判定条件!$C$9,"利用可",IF(AND(S274="停止",J274="停止"),"両方停止","運転がそろわない")))</f>
        <v>両方停止</v>
      </c>
      <c r="AL274" s="30" t="n">
        <v>60</v>
      </c>
      <c r="AM274" s="30" t="n">
        <v>0</v>
      </c>
      <c r="AN274" s="30" t="str">
        <f aca="false">IF(OR(V274="判定不能",M274="判定不能"),"判定不能",IF(AM274&gt;=判定条件!$C$9,"利用可",IF(AND(V274="停止",M274="停止"),"両方停止","運転がそろわない")))</f>
        <v>運転がそろわない</v>
      </c>
      <c r="AO274" s="30" t="n">
        <v>60</v>
      </c>
      <c r="AP274" s="30" t="n">
        <v>0</v>
      </c>
      <c r="AQ274" s="30" t="str">
        <f aca="false">IF(OR(Y274="判定不能",G274="判定不能"),"判定不能",IF(AP274&gt;=判定条件!$C$9,"利用可",IF(AND(Y274="停止",G274="停止"),"両方停止","運転がそろわない")))</f>
        <v>運転がそろわない</v>
      </c>
      <c r="AR274" s="30" t="n">
        <v>60</v>
      </c>
      <c r="AS274" s="30" t="n">
        <v>0</v>
      </c>
      <c r="AT274" s="30" t="str">
        <f aca="false">IF(OR(AB274="判定不能",J274="判定不能"),"判定不能",IF(AS274&gt;=判定条件!$C$9,"利用可",IF(AND(AB274="停止",J274="停止"),"両方停止","運転がそろわない")))</f>
        <v>両方停止</v>
      </c>
      <c r="AU274" s="30" t="n">
        <v>60</v>
      </c>
      <c r="AV274" s="30" t="n">
        <v>0</v>
      </c>
      <c r="AW274" s="30" t="str">
        <f aca="false">IF(OR(AE274="判定不能",M274="判定不能"),"判定不能",IF(AV274&gt;=判定条件!$C$9,"利用可",IF(AND(AE274="停止",M274="停止"),"両方停止","運転がそろわない")))</f>
        <v>運転がそろわない</v>
      </c>
      <c r="AX274" s="30" t="str">
        <f aca="false">IF(AND(AH274="利用可",AK274="利用可",AN274="利用可"),"利用可","不可")</f>
        <v>不可</v>
      </c>
      <c r="AY274" s="30" t="str">
        <f aca="false">IF(AND(AQ274="利用可",AT274="利用可",AW274="利用可"),"利用可","不可")</f>
        <v>不可</v>
      </c>
    </row>
    <row r="275" customFormat="false" ht="15" hidden="false" customHeight="false" outlineLevel="0" collapsed="false">
      <c r="A275" s="29" t="n">
        <v>46243</v>
      </c>
      <c r="B275" s="30" t="n">
        <v>8</v>
      </c>
      <c r="C275" s="31" t="s">
        <v>65</v>
      </c>
      <c r="D275" s="31" t="s">
        <v>64</v>
      </c>
      <c r="E275" s="30" t="n">
        <v>60</v>
      </c>
      <c r="F275" s="30" t="n">
        <v>0</v>
      </c>
      <c r="G275" s="30" t="str">
        <f aca="false">IF(E275&lt;判定条件!$C$6,"判定不能",IF(F275&gt;=判定条件!$C$7*E275,"運転",IF(F275&lt;=判定条件!$C$8*E275,"停止","断続")))</f>
        <v>停止</v>
      </c>
      <c r="H275" s="30" t="n">
        <v>60</v>
      </c>
      <c r="I275" s="30" t="n">
        <v>0</v>
      </c>
      <c r="J275" s="30" t="str">
        <f aca="false">IF(H275&lt;判定条件!$C$6,"判定不能",IF(I275&gt;=判定条件!$C$7*H275,"運転",IF(I275&lt;=判定条件!$C$8*H275,"停止","断続")))</f>
        <v>停止</v>
      </c>
      <c r="K275" s="30" t="n">
        <v>60</v>
      </c>
      <c r="L275" s="30" t="n">
        <v>60</v>
      </c>
      <c r="M275" s="30" t="str">
        <f aca="false">IF(K275&lt;判定条件!$C$6,"判定不能",IF(L275&gt;=判定条件!$C$7*K275,"運転",IF(L275&lt;=判定条件!$C$8*K275,"停止","断続")))</f>
        <v>運転</v>
      </c>
      <c r="N275" s="30" t="n">
        <v>60</v>
      </c>
      <c r="O275" s="30" t="n">
        <v>54</v>
      </c>
      <c r="P275" s="30" t="str">
        <f aca="false">IF(N275&lt;判定条件!$C$6,"判定不能",IF(O275&gt;=判定条件!$C$7*N275,"運転",IF(O275&lt;=判定条件!$C$8*N275,"停止","断続")))</f>
        <v>運転</v>
      </c>
      <c r="Q275" s="30" t="n">
        <v>60</v>
      </c>
      <c r="R275" s="30" t="n">
        <v>0</v>
      </c>
      <c r="S275" s="30" t="str">
        <f aca="false">IF(Q275&lt;判定条件!$C$6,"判定不能",IF(R275&gt;=判定条件!$C$7*Q275,"運転",IF(R275&lt;=判定条件!$C$8*Q275,"停止","断続")))</f>
        <v>停止</v>
      </c>
      <c r="T275" s="30" t="n">
        <v>60</v>
      </c>
      <c r="U275" s="30" t="n">
        <v>22</v>
      </c>
      <c r="V275" s="30" t="str">
        <f aca="false">IF(T275&lt;判定条件!$C$6,"判定不能",IF(U275&gt;=判定条件!$C$7*T275,"運転",IF(U275&lt;=判定条件!$C$8*T275,"停止","断続")))</f>
        <v>断続</v>
      </c>
      <c r="W275" s="30" t="n">
        <v>60</v>
      </c>
      <c r="X275" s="30" t="n">
        <v>56</v>
      </c>
      <c r="Y275" s="30" t="str">
        <f aca="false">IF(W275&lt;判定条件!$C$6,"判定不能",IF(X275&gt;=判定条件!$C$7*W275,"運転",IF(X275&lt;=判定条件!$C$8*W275,"停止","断続")))</f>
        <v>運転</v>
      </c>
      <c r="Z275" s="30" t="n">
        <v>60</v>
      </c>
      <c r="AA275" s="30" t="n">
        <v>57</v>
      </c>
      <c r="AB275" s="30" t="str">
        <f aca="false">IF(Z275&lt;判定条件!$C$6,"判定不能",IF(AA275&gt;=判定条件!$C$7*Z275,"運転",IF(AA275&lt;=判定条件!$C$8*Z275,"停止","断続")))</f>
        <v>運転</v>
      </c>
      <c r="AC275" s="30" t="n">
        <v>60</v>
      </c>
      <c r="AD275" s="30" t="n">
        <v>46</v>
      </c>
      <c r="AE275" s="30" t="str">
        <f aca="false">IF(AC275&lt;判定条件!$C$6,"判定不能",IF(AD275&gt;=判定条件!$C$7*AC275,"運転",IF(AD275&lt;=判定条件!$C$8*AC275,"停止","断続")))</f>
        <v>断続</v>
      </c>
      <c r="AF275" s="30" t="n">
        <v>60</v>
      </c>
      <c r="AG275" s="30" t="n">
        <v>0</v>
      </c>
      <c r="AH275" s="30" t="str">
        <f aca="false">IF(OR(P275="判定不能",G275="判定不能"),"判定不能",IF(AG275&gt;=判定条件!$C$9,"利用可",IF(AND(P275="停止",G275="停止"),"両方停止","運転がそろわない")))</f>
        <v>運転がそろわない</v>
      </c>
      <c r="AI275" s="30" t="n">
        <v>60</v>
      </c>
      <c r="AJ275" s="30" t="n">
        <v>0</v>
      </c>
      <c r="AK275" s="30" t="str">
        <f aca="false">IF(OR(S275="判定不能",J275="判定不能"),"判定不能",IF(AJ275&gt;=判定条件!$C$9,"利用可",IF(AND(S275="停止",J275="停止"),"両方停止","運転がそろわない")))</f>
        <v>両方停止</v>
      </c>
      <c r="AL275" s="30" t="n">
        <v>60</v>
      </c>
      <c r="AM275" s="30" t="n">
        <v>22</v>
      </c>
      <c r="AN275" s="30" t="str">
        <f aca="false">IF(OR(V275="判定不能",M275="判定不能"),"判定不能",IF(AM275&gt;=判定条件!$C$9,"利用可",IF(AND(V275="停止",M275="停止"),"両方停止","運転がそろわない")))</f>
        <v>運転がそろわない</v>
      </c>
      <c r="AO275" s="30" t="n">
        <v>60</v>
      </c>
      <c r="AP275" s="30" t="n">
        <v>0</v>
      </c>
      <c r="AQ275" s="30" t="str">
        <f aca="false">IF(OR(Y275="判定不能",G275="判定不能"),"判定不能",IF(AP275&gt;=判定条件!$C$9,"利用可",IF(AND(Y275="停止",G275="停止"),"両方停止","運転がそろわない")))</f>
        <v>運転がそろわない</v>
      </c>
      <c r="AR275" s="30" t="n">
        <v>60</v>
      </c>
      <c r="AS275" s="30" t="n">
        <v>0</v>
      </c>
      <c r="AT275" s="30" t="str">
        <f aca="false">IF(OR(AB275="判定不能",J275="判定不能"),"判定不能",IF(AS275&gt;=判定条件!$C$9,"利用可",IF(AND(AB275="停止",J275="停止"),"両方停止","運転がそろわない")))</f>
        <v>運転がそろわない</v>
      </c>
      <c r="AU275" s="30" t="n">
        <v>60</v>
      </c>
      <c r="AV275" s="30" t="n">
        <v>46</v>
      </c>
      <c r="AW275" s="30" t="str">
        <f aca="false">IF(OR(AE275="判定不能",M275="判定不能"),"判定不能",IF(AV275&gt;=判定条件!$C$9,"利用可",IF(AND(AE275="停止",M275="停止"),"両方停止","運転がそろわない")))</f>
        <v>利用可</v>
      </c>
      <c r="AX275" s="30" t="str">
        <f aca="false">IF(AND(AH275="利用可",AK275="利用可",AN275="利用可"),"利用可","不可")</f>
        <v>不可</v>
      </c>
      <c r="AY275" s="30" t="str">
        <f aca="false">IF(AND(AQ275="利用可",AT275="利用可",AW275="利用可"),"利用可","不可")</f>
        <v>不可</v>
      </c>
    </row>
    <row r="276" customFormat="false" ht="15" hidden="false" customHeight="false" outlineLevel="0" collapsed="false">
      <c r="A276" s="29" t="n">
        <v>46243</v>
      </c>
      <c r="B276" s="30" t="n">
        <v>9</v>
      </c>
      <c r="C276" s="31" t="s">
        <v>65</v>
      </c>
      <c r="D276" s="31" t="s">
        <v>64</v>
      </c>
      <c r="E276" s="30" t="n">
        <v>60</v>
      </c>
      <c r="F276" s="30" t="n">
        <v>52</v>
      </c>
      <c r="G276" s="30" t="str">
        <f aca="false">IF(E276&lt;判定条件!$C$6,"判定不能",IF(F276&gt;=判定条件!$C$7*E276,"運転",IF(F276&lt;=判定条件!$C$8*E276,"停止","断続")))</f>
        <v>運転</v>
      </c>
      <c r="H276" s="30" t="n">
        <v>60</v>
      </c>
      <c r="I276" s="30" t="n">
        <v>52</v>
      </c>
      <c r="J276" s="30" t="str">
        <f aca="false">IF(H276&lt;判定条件!$C$6,"判定不能",IF(I276&gt;=判定条件!$C$7*H276,"運転",IF(I276&lt;=判定条件!$C$8*H276,"停止","断続")))</f>
        <v>運転</v>
      </c>
      <c r="K276" s="30" t="n">
        <v>60</v>
      </c>
      <c r="L276" s="30" t="n">
        <v>60</v>
      </c>
      <c r="M276" s="30" t="str">
        <f aca="false">IF(K276&lt;判定条件!$C$6,"判定不能",IF(L276&gt;=判定条件!$C$7*K276,"運転",IF(L276&lt;=判定条件!$C$8*K276,"停止","断続")))</f>
        <v>運転</v>
      </c>
      <c r="N276" s="30" t="n">
        <v>60</v>
      </c>
      <c r="O276" s="30" t="n">
        <v>46</v>
      </c>
      <c r="P276" s="30" t="str">
        <f aca="false">IF(N276&lt;判定条件!$C$6,"判定不能",IF(O276&gt;=判定条件!$C$7*N276,"運転",IF(O276&lt;=判定条件!$C$8*N276,"停止","断続")))</f>
        <v>断続</v>
      </c>
      <c r="Q276" s="30" t="n">
        <v>60</v>
      </c>
      <c r="R276" s="30" t="n">
        <v>0</v>
      </c>
      <c r="S276" s="30" t="str">
        <f aca="false">IF(Q276&lt;判定条件!$C$6,"判定不能",IF(R276&gt;=判定条件!$C$7*Q276,"運転",IF(R276&lt;=判定条件!$C$8*Q276,"停止","断続")))</f>
        <v>停止</v>
      </c>
      <c r="T276" s="30" t="n">
        <v>60</v>
      </c>
      <c r="U276" s="30" t="n">
        <v>9</v>
      </c>
      <c r="V276" s="30" t="str">
        <f aca="false">IF(T276&lt;判定条件!$C$6,"判定不能",IF(U276&gt;=判定条件!$C$7*T276,"運転",IF(U276&lt;=判定条件!$C$8*T276,"停止","断続")))</f>
        <v>停止</v>
      </c>
      <c r="W276" s="30" t="n">
        <v>60</v>
      </c>
      <c r="X276" s="30" t="n">
        <v>33</v>
      </c>
      <c r="Y276" s="30" t="str">
        <f aca="false">IF(W276&lt;判定条件!$C$6,"判定不能",IF(X276&gt;=判定条件!$C$7*W276,"運転",IF(X276&lt;=判定条件!$C$8*W276,"停止","断続")))</f>
        <v>断続</v>
      </c>
      <c r="Z276" s="30" t="n">
        <v>60</v>
      </c>
      <c r="AA276" s="30" t="n">
        <v>60</v>
      </c>
      <c r="AB276" s="30" t="str">
        <f aca="false">IF(Z276&lt;判定条件!$C$6,"判定不能",IF(AA276&gt;=判定条件!$C$7*Z276,"運転",IF(AA276&lt;=判定条件!$C$8*Z276,"停止","断続")))</f>
        <v>運転</v>
      </c>
      <c r="AC276" s="30" t="n">
        <v>60</v>
      </c>
      <c r="AD276" s="30" t="n">
        <v>60</v>
      </c>
      <c r="AE276" s="30" t="str">
        <f aca="false">IF(AC276&lt;判定条件!$C$6,"判定不能",IF(AD276&gt;=判定条件!$C$7*AC276,"運転",IF(AD276&lt;=判定条件!$C$8*AC276,"停止","断続")))</f>
        <v>運転</v>
      </c>
      <c r="AF276" s="30" t="n">
        <v>60</v>
      </c>
      <c r="AG276" s="30" t="n">
        <v>42</v>
      </c>
      <c r="AH276" s="30" t="str">
        <f aca="false">IF(OR(P276="判定不能",G276="判定不能"),"判定不能",IF(AG276&gt;=判定条件!$C$9,"利用可",IF(AND(P276="停止",G276="停止"),"両方停止","運転がそろわない")))</f>
        <v>利用可</v>
      </c>
      <c r="AI276" s="30" t="n">
        <v>60</v>
      </c>
      <c r="AJ276" s="30" t="n">
        <v>0</v>
      </c>
      <c r="AK276" s="30" t="str">
        <f aca="false">IF(OR(S276="判定不能",J276="判定不能"),"判定不能",IF(AJ276&gt;=判定条件!$C$9,"利用可",IF(AND(S276="停止",J276="停止"),"両方停止","運転がそろわない")))</f>
        <v>運転がそろわない</v>
      </c>
      <c r="AL276" s="30" t="n">
        <v>60</v>
      </c>
      <c r="AM276" s="30" t="n">
        <v>9</v>
      </c>
      <c r="AN276" s="30" t="str">
        <f aca="false">IF(OR(V276="判定不能",M276="判定不能"),"判定不能",IF(AM276&gt;=判定条件!$C$9,"利用可",IF(AND(V276="停止",M276="停止"),"両方停止","運転がそろわない")))</f>
        <v>運転がそろわない</v>
      </c>
      <c r="AO276" s="30" t="n">
        <v>60</v>
      </c>
      <c r="AP276" s="30" t="n">
        <v>31</v>
      </c>
      <c r="AQ276" s="30" t="str">
        <f aca="false">IF(OR(Y276="判定不能",G276="判定不能"),"判定不能",IF(AP276&gt;=判定条件!$C$9,"利用可",IF(AND(Y276="停止",G276="停止"),"両方停止","運転がそろわない")))</f>
        <v>利用可</v>
      </c>
      <c r="AR276" s="30" t="n">
        <v>60</v>
      </c>
      <c r="AS276" s="30" t="n">
        <v>52</v>
      </c>
      <c r="AT276" s="30" t="str">
        <f aca="false">IF(OR(AB276="判定不能",J276="判定不能"),"判定不能",IF(AS276&gt;=判定条件!$C$9,"利用可",IF(AND(AB276="停止",J276="停止"),"両方停止","運転がそろわない")))</f>
        <v>利用可</v>
      </c>
      <c r="AU276" s="30" t="n">
        <v>60</v>
      </c>
      <c r="AV276" s="30" t="n">
        <v>60</v>
      </c>
      <c r="AW276" s="30" t="str">
        <f aca="false">IF(OR(AE276="判定不能",M276="判定不能"),"判定不能",IF(AV276&gt;=判定条件!$C$9,"利用可",IF(AND(AE276="停止",M276="停止"),"両方停止","運転がそろわない")))</f>
        <v>利用可</v>
      </c>
      <c r="AX276" s="30" t="str">
        <f aca="false">IF(AND(AH276="利用可",AK276="利用可",AN276="利用可"),"利用可","不可")</f>
        <v>不可</v>
      </c>
      <c r="AY276" s="30" t="str">
        <f aca="false">IF(AND(AQ276="利用可",AT276="利用可",AW276="利用可"),"利用可","不可")</f>
        <v>利用可</v>
      </c>
    </row>
    <row r="277" customFormat="false" ht="15" hidden="false" customHeight="false" outlineLevel="0" collapsed="false">
      <c r="A277" s="29" t="n">
        <v>46243</v>
      </c>
      <c r="B277" s="30" t="n">
        <v>10</v>
      </c>
      <c r="C277" s="31" t="s">
        <v>65</v>
      </c>
      <c r="D277" s="31" t="s">
        <v>64</v>
      </c>
      <c r="E277" s="30" t="n">
        <v>60</v>
      </c>
      <c r="F277" s="30" t="n">
        <v>60</v>
      </c>
      <c r="G277" s="30" t="str">
        <f aca="false">IF(E277&lt;判定条件!$C$6,"判定不能",IF(F277&gt;=判定条件!$C$7*E277,"運転",IF(F277&lt;=判定条件!$C$8*E277,"停止","断続")))</f>
        <v>運転</v>
      </c>
      <c r="H277" s="30" t="n">
        <v>60</v>
      </c>
      <c r="I277" s="30" t="n">
        <v>60</v>
      </c>
      <c r="J277" s="30" t="str">
        <f aca="false">IF(H277&lt;判定条件!$C$6,"判定不能",IF(I277&gt;=判定条件!$C$7*H277,"運転",IF(I277&lt;=判定条件!$C$8*H277,"停止","断続")))</f>
        <v>運転</v>
      </c>
      <c r="K277" s="30" t="n">
        <v>60</v>
      </c>
      <c r="L277" s="30" t="n">
        <v>60</v>
      </c>
      <c r="M277" s="30" t="str">
        <f aca="false">IF(K277&lt;判定条件!$C$6,"判定不能",IF(L277&gt;=判定条件!$C$7*K277,"運転",IF(L277&lt;=判定条件!$C$8*K277,"停止","断続")))</f>
        <v>運転</v>
      </c>
      <c r="N277" s="30" t="n">
        <v>60</v>
      </c>
      <c r="O277" s="30" t="n">
        <v>52</v>
      </c>
      <c r="P277" s="30" t="str">
        <f aca="false">IF(N277&lt;判定条件!$C$6,"判定不能",IF(O277&gt;=判定条件!$C$7*N277,"運転",IF(O277&lt;=判定条件!$C$8*N277,"停止","断続")))</f>
        <v>運転</v>
      </c>
      <c r="Q277" s="30" t="n">
        <v>60</v>
      </c>
      <c r="R277" s="30" t="n">
        <v>0</v>
      </c>
      <c r="S277" s="30" t="str">
        <f aca="false">IF(Q277&lt;判定条件!$C$6,"判定不能",IF(R277&gt;=判定条件!$C$7*Q277,"運転",IF(R277&lt;=判定条件!$C$8*Q277,"停止","断続")))</f>
        <v>停止</v>
      </c>
      <c r="T277" s="30" t="n">
        <v>60</v>
      </c>
      <c r="U277" s="30" t="n">
        <v>17</v>
      </c>
      <c r="V277" s="30" t="str">
        <f aca="false">IF(T277&lt;判定条件!$C$6,"判定不能",IF(U277&gt;=判定条件!$C$7*T277,"運転",IF(U277&lt;=判定条件!$C$8*T277,"停止","断続")))</f>
        <v>断続</v>
      </c>
      <c r="W277" s="30" t="n">
        <v>60</v>
      </c>
      <c r="X277" s="30" t="n">
        <v>39</v>
      </c>
      <c r="Y277" s="30" t="str">
        <f aca="false">IF(W277&lt;判定条件!$C$6,"判定不能",IF(X277&gt;=判定条件!$C$7*W277,"運転",IF(X277&lt;=判定条件!$C$8*W277,"停止","断続")))</f>
        <v>断続</v>
      </c>
      <c r="Z277" s="30" t="n">
        <v>60</v>
      </c>
      <c r="AA277" s="30" t="n">
        <v>60</v>
      </c>
      <c r="AB277" s="30" t="str">
        <f aca="false">IF(Z277&lt;判定条件!$C$6,"判定不能",IF(AA277&gt;=判定条件!$C$7*Z277,"運転",IF(AA277&lt;=判定条件!$C$8*Z277,"停止","断続")))</f>
        <v>運転</v>
      </c>
      <c r="AC277" s="30" t="n">
        <v>60</v>
      </c>
      <c r="AD277" s="30" t="n">
        <v>45</v>
      </c>
      <c r="AE277" s="30" t="str">
        <f aca="false">IF(AC277&lt;判定条件!$C$6,"判定不能",IF(AD277&gt;=判定条件!$C$7*AC277,"運転",IF(AD277&lt;=判定条件!$C$8*AC277,"停止","断続")))</f>
        <v>断続</v>
      </c>
      <c r="AF277" s="30" t="n">
        <v>60</v>
      </c>
      <c r="AG277" s="30" t="n">
        <v>52</v>
      </c>
      <c r="AH277" s="30" t="str">
        <f aca="false">IF(OR(P277="判定不能",G277="判定不能"),"判定不能",IF(AG277&gt;=判定条件!$C$9,"利用可",IF(AND(P277="停止",G277="停止"),"両方停止","運転がそろわない")))</f>
        <v>利用可</v>
      </c>
      <c r="AI277" s="30" t="n">
        <v>60</v>
      </c>
      <c r="AJ277" s="30" t="n">
        <v>0</v>
      </c>
      <c r="AK277" s="30" t="str">
        <f aca="false">IF(OR(S277="判定不能",J277="判定不能"),"判定不能",IF(AJ277&gt;=判定条件!$C$9,"利用可",IF(AND(S277="停止",J277="停止"),"両方停止","運転がそろわない")))</f>
        <v>運転がそろわない</v>
      </c>
      <c r="AL277" s="30" t="n">
        <v>60</v>
      </c>
      <c r="AM277" s="30" t="n">
        <v>17</v>
      </c>
      <c r="AN277" s="30" t="str">
        <f aca="false">IF(OR(V277="判定不能",M277="判定不能"),"判定不能",IF(AM277&gt;=判定条件!$C$9,"利用可",IF(AND(V277="停止",M277="停止"),"両方停止","運転がそろわない")))</f>
        <v>運転がそろわない</v>
      </c>
      <c r="AO277" s="30" t="n">
        <v>60</v>
      </c>
      <c r="AP277" s="30" t="n">
        <v>39</v>
      </c>
      <c r="AQ277" s="30" t="str">
        <f aca="false">IF(OR(Y277="判定不能",G277="判定不能"),"判定不能",IF(AP277&gt;=判定条件!$C$9,"利用可",IF(AND(Y277="停止",G277="停止"),"両方停止","運転がそろわない")))</f>
        <v>利用可</v>
      </c>
      <c r="AR277" s="30" t="n">
        <v>60</v>
      </c>
      <c r="AS277" s="30" t="n">
        <v>60</v>
      </c>
      <c r="AT277" s="30" t="str">
        <f aca="false">IF(OR(AB277="判定不能",J277="判定不能"),"判定不能",IF(AS277&gt;=判定条件!$C$9,"利用可",IF(AND(AB277="停止",J277="停止"),"両方停止","運転がそろわない")))</f>
        <v>利用可</v>
      </c>
      <c r="AU277" s="30" t="n">
        <v>60</v>
      </c>
      <c r="AV277" s="30" t="n">
        <v>45</v>
      </c>
      <c r="AW277" s="30" t="str">
        <f aca="false">IF(OR(AE277="判定不能",M277="判定不能"),"判定不能",IF(AV277&gt;=判定条件!$C$9,"利用可",IF(AND(AE277="停止",M277="停止"),"両方停止","運転がそろわない")))</f>
        <v>利用可</v>
      </c>
      <c r="AX277" s="30" t="str">
        <f aca="false">IF(AND(AH277="利用可",AK277="利用可",AN277="利用可"),"利用可","不可")</f>
        <v>不可</v>
      </c>
      <c r="AY277" s="30" t="str">
        <f aca="false">IF(AND(AQ277="利用可",AT277="利用可",AW277="利用可"),"利用可","不可")</f>
        <v>利用可</v>
      </c>
    </row>
    <row r="278" customFormat="false" ht="15" hidden="false" customHeight="false" outlineLevel="0" collapsed="false">
      <c r="A278" s="29" t="n">
        <v>46243</v>
      </c>
      <c r="B278" s="30" t="n">
        <v>11</v>
      </c>
      <c r="C278" s="31" t="s">
        <v>65</v>
      </c>
      <c r="D278" s="31" t="s">
        <v>64</v>
      </c>
      <c r="E278" s="30" t="n">
        <v>60</v>
      </c>
      <c r="F278" s="30" t="n">
        <v>60</v>
      </c>
      <c r="G278" s="30" t="str">
        <f aca="false">IF(E278&lt;判定条件!$C$6,"判定不能",IF(F278&gt;=判定条件!$C$7*E278,"運転",IF(F278&lt;=判定条件!$C$8*E278,"停止","断続")))</f>
        <v>運転</v>
      </c>
      <c r="H278" s="30" t="n">
        <v>60</v>
      </c>
      <c r="I278" s="30" t="n">
        <v>60</v>
      </c>
      <c r="J278" s="30" t="str">
        <f aca="false">IF(H278&lt;判定条件!$C$6,"判定不能",IF(I278&gt;=判定条件!$C$7*H278,"運転",IF(I278&lt;=判定条件!$C$8*H278,"停止","断続")))</f>
        <v>運転</v>
      </c>
      <c r="K278" s="30" t="n">
        <v>60</v>
      </c>
      <c r="L278" s="30" t="n">
        <v>60</v>
      </c>
      <c r="M278" s="30" t="str">
        <f aca="false">IF(K278&lt;判定条件!$C$6,"判定不能",IF(L278&gt;=判定条件!$C$7*K278,"運転",IF(L278&lt;=判定条件!$C$8*K278,"停止","断続")))</f>
        <v>運転</v>
      </c>
      <c r="N278" s="30" t="n">
        <v>60</v>
      </c>
      <c r="O278" s="30" t="n">
        <v>52</v>
      </c>
      <c r="P278" s="30" t="str">
        <f aca="false">IF(N278&lt;判定条件!$C$6,"判定不能",IF(O278&gt;=判定条件!$C$7*N278,"運転",IF(O278&lt;=判定条件!$C$8*N278,"停止","断続")))</f>
        <v>運転</v>
      </c>
      <c r="Q278" s="30" t="n">
        <v>60</v>
      </c>
      <c r="R278" s="30" t="n">
        <v>0</v>
      </c>
      <c r="S278" s="30" t="str">
        <f aca="false">IF(Q278&lt;判定条件!$C$6,"判定不能",IF(R278&gt;=判定条件!$C$7*Q278,"運転",IF(R278&lt;=判定条件!$C$8*Q278,"停止","断続")))</f>
        <v>停止</v>
      </c>
      <c r="T278" s="30" t="n">
        <v>60</v>
      </c>
      <c r="U278" s="30" t="n">
        <v>3</v>
      </c>
      <c r="V278" s="30" t="str">
        <f aca="false">IF(T278&lt;判定条件!$C$6,"判定不能",IF(U278&gt;=判定条件!$C$7*T278,"運転",IF(U278&lt;=判定条件!$C$8*T278,"停止","断続")))</f>
        <v>停止</v>
      </c>
      <c r="W278" s="30" t="n">
        <v>60</v>
      </c>
      <c r="X278" s="30" t="n">
        <v>43</v>
      </c>
      <c r="Y278" s="30" t="str">
        <f aca="false">IF(W278&lt;判定条件!$C$6,"判定不能",IF(X278&gt;=判定条件!$C$7*W278,"運転",IF(X278&lt;=判定条件!$C$8*W278,"停止","断続")))</f>
        <v>断続</v>
      </c>
      <c r="Z278" s="30" t="n">
        <v>60</v>
      </c>
      <c r="AA278" s="30" t="n">
        <v>60</v>
      </c>
      <c r="AB278" s="30" t="str">
        <f aca="false">IF(Z278&lt;判定条件!$C$6,"判定不能",IF(AA278&gt;=判定条件!$C$7*Z278,"運転",IF(AA278&lt;=判定条件!$C$8*Z278,"停止","断続")))</f>
        <v>運転</v>
      </c>
      <c r="AC278" s="30" t="n">
        <v>60</v>
      </c>
      <c r="AD278" s="30" t="n">
        <v>41</v>
      </c>
      <c r="AE278" s="30" t="str">
        <f aca="false">IF(AC278&lt;判定条件!$C$6,"判定不能",IF(AD278&gt;=判定条件!$C$7*AC278,"運転",IF(AD278&lt;=判定条件!$C$8*AC278,"停止","断続")))</f>
        <v>断続</v>
      </c>
      <c r="AF278" s="30" t="n">
        <v>60</v>
      </c>
      <c r="AG278" s="30" t="n">
        <v>52</v>
      </c>
      <c r="AH278" s="30" t="str">
        <f aca="false">IF(OR(P278="判定不能",G278="判定不能"),"判定不能",IF(AG278&gt;=判定条件!$C$9,"利用可",IF(AND(P278="停止",G278="停止"),"両方停止","運転がそろわない")))</f>
        <v>利用可</v>
      </c>
      <c r="AI278" s="30" t="n">
        <v>60</v>
      </c>
      <c r="AJ278" s="30" t="n">
        <v>0</v>
      </c>
      <c r="AK278" s="30" t="str">
        <f aca="false">IF(OR(S278="判定不能",J278="判定不能"),"判定不能",IF(AJ278&gt;=判定条件!$C$9,"利用可",IF(AND(S278="停止",J278="停止"),"両方停止","運転がそろわない")))</f>
        <v>運転がそろわない</v>
      </c>
      <c r="AL278" s="30" t="n">
        <v>60</v>
      </c>
      <c r="AM278" s="30" t="n">
        <v>3</v>
      </c>
      <c r="AN278" s="30" t="str">
        <f aca="false">IF(OR(V278="判定不能",M278="判定不能"),"判定不能",IF(AM278&gt;=判定条件!$C$9,"利用可",IF(AND(V278="停止",M278="停止"),"両方停止","運転がそろわない")))</f>
        <v>運転がそろわない</v>
      </c>
      <c r="AO278" s="30" t="n">
        <v>60</v>
      </c>
      <c r="AP278" s="30" t="n">
        <v>43</v>
      </c>
      <c r="AQ278" s="30" t="str">
        <f aca="false">IF(OR(Y278="判定不能",G278="判定不能"),"判定不能",IF(AP278&gt;=判定条件!$C$9,"利用可",IF(AND(Y278="停止",G278="停止"),"両方停止","運転がそろわない")))</f>
        <v>利用可</v>
      </c>
      <c r="AR278" s="30" t="n">
        <v>60</v>
      </c>
      <c r="AS278" s="30" t="n">
        <v>60</v>
      </c>
      <c r="AT278" s="30" t="str">
        <f aca="false">IF(OR(AB278="判定不能",J278="判定不能"),"判定不能",IF(AS278&gt;=判定条件!$C$9,"利用可",IF(AND(AB278="停止",J278="停止"),"両方停止","運転がそろわない")))</f>
        <v>利用可</v>
      </c>
      <c r="AU278" s="30" t="n">
        <v>60</v>
      </c>
      <c r="AV278" s="30" t="n">
        <v>41</v>
      </c>
      <c r="AW278" s="30" t="str">
        <f aca="false">IF(OR(AE278="判定不能",M278="判定不能"),"判定不能",IF(AV278&gt;=判定条件!$C$9,"利用可",IF(AND(AE278="停止",M278="停止"),"両方停止","運転がそろわない")))</f>
        <v>利用可</v>
      </c>
      <c r="AX278" s="30" t="str">
        <f aca="false">IF(AND(AH278="利用可",AK278="利用可",AN278="利用可"),"利用可","不可")</f>
        <v>不可</v>
      </c>
      <c r="AY278" s="30" t="str">
        <f aca="false">IF(AND(AQ278="利用可",AT278="利用可",AW278="利用可"),"利用可","不可")</f>
        <v>利用可</v>
      </c>
    </row>
    <row r="279" customFormat="false" ht="15" hidden="false" customHeight="false" outlineLevel="0" collapsed="false">
      <c r="A279" s="29" t="n">
        <v>46243</v>
      </c>
      <c r="B279" s="30" t="n">
        <v>12</v>
      </c>
      <c r="C279" s="31" t="s">
        <v>65</v>
      </c>
      <c r="D279" s="31" t="s">
        <v>64</v>
      </c>
      <c r="E279" s="30" t="n">
        <v>60</v>
      </c>
      <c r="F279" s="30" t="n">
        <v>60</v>
      </c>
      <c r="G279" s="30" t="str">
        <f aca="false">IF(E279&lt;判定条件!$C$6,"判定不能",IF(F279&gt;=判定条件!$C$7*E279,"運転",IF(F279&lt;=判定条件!$C$8*E279,"停止","断続")))</f>
        <v>運転</v>
      </c>
      <c r="H279" s="30" t="n">
        <v>60</v>
      </c>
      <c r="I279" s="30" t="n">
        <v>60</v>
      </c>
      <c r="J279" s="30" t="str">
        <f aca="false">IF(H279&lt;判定条件!$C$6,"判定不能",IF(I279&gt;=判定条件!$C$7*H279,"運転",IF(I279&lt;=判定条件!$C$8*H279,"停止","断続")))</f>
        <v>運転</v>
      </c>
      <c r="K279" s="30" t="n">
        <v>60</v>
      </c>
      <c r="L279" s="30" t="n">
        <v>60</v>
      </c>
      <c r="M279" s="30" t="str">
        <f aca="false">IF(K279&lt;判定条件!$C$6,"判定不能",IF(L279&gt;=判定条件!$C$7*K279,"運転",IF(L279&lt;=判定条件!$C$8*K279,"停止","断続")))</f>
        <v>運転</v>
      </c>
      <c r="N279" s="30" t="n">
        <v>60</v>
      </c>
      <c r="O279" s="30" t="n">
        <v>32</v>
      </c>
      <c r="P279" s="30" t="str">
        <f aca="false">IF(N279&lt;判定条件!$C$6,"判定不能",IF(O279&gt;=判定条件!$C$7*N279,"運転",IF(O279&lt;=判定条件!$C$8*N279,"停止","断続")))</f>
        <v>断続</v>
      </c>
      <c r="Q279" s="30" t="n">
        <v>60</v>
      </c>
      <c r="R279" s="30" t="n">
        <v>0</v>
      </c>
      <c r="S279" s="30" t="str">
        <f aca="false">IF(Q279&lt;判定条件!$C$6,"判定不能",IF(R279&gt;=判定条件!$C$7*Q279,"運転",IF(R279&lt;=判定条件!$C$8*Q279,"停止","断続")))</f>
        <v>停止</v>
      </c>
      <c r="T279" s="30" t="n">
        <v>60</v>
      </c>
      <c r="U279" s="30" t="n">
        <v>9</v>
      </c>
      <c r="V279" s="30" t="str">
        <f aca="false">IF(T279&lt;判定条件!$C$6,"判定不能",IF(U279&gt;=判定条件!$C$7*T279,"運転",IF(U279&lt;=判定条件!$C$8*T279,"停止","断続")))</f>
        <v>停止</v>
      </c>
      <c r="W279" s="30" t="n">
        <v>60</v>
      </c>
      <c r="X279" s="30" t="n">
        <v>44</v>
      </c>
      <c r="Y279" s="30" t="str">
        <f aca="false">IF(W279&lt;判定条件!$C$6,"判定不能",IF(X279&gt;=判定条件!$C$7*W279,"運転",IF(X279&lt;=判定条件!$C$8*W279,"停止","断続")))</f>
        <v>断続</v>
      </c>
      <c r="Z279" s="30" t="n">
        <v>60</v>
      </c>
      <c r="AA279" s="30" t="n">
        <v>60</v>
      </c>
      <c r="AB279" s="30" t="str">
        <f aca="false">IF(Z279&lt;判定条件!$C$6,"判定不能",IF(AA279&gt;=判定条件!$C$7*Z279,"運転",IF(AA279&lt;=判定条件!$C$8*Z279,"停止","断続")))</f>
        <v>運転</v>
      </c>
      <c r="AC279" s="30" t="n">
        <v>60</v>
      </c>
      <c r="AD279" s="30" t="n">
        <v>47</v>
      </c>
      <c r="AE279" s="30" t="str">
        <f aca="false">IF(AC279&lt;判定条件!$C$6,"判定不能",IF(AD279&gt;=判定条件!$C$7*AC279,"運転",IF(AD279&lt;=判定条件!$C$8*AC279,"停止","断続")))</f>
        <v>断続</v>
      </c>
      <c r="AF279" s="30" t="n">
        <v>60</v>
      </c>
      <c r="AG279" s="30" t="n">
        <v>32</v>
      </c>
      <c r="AH279" s="30" t="str">
        <f aca="false">IF(OR(P279="判定不能",G279="判定不能"),"判定不能",IF(AG279&gt;=判定条件!$C$9,"利用可",IF(AND(P279="停止",G279="停止"),"両方停止","運転がそろわない")))</f>
        <v>利用可</v>
      </c>
      <c r="AI279" s="30" t="n">
        <v>60</v>
      </c>
      <c r="AJ279" s="30" t="n">
        <v>0</v>
      </c>
      <c r="AK279" s="30" t="str">
        <f aca="false">IF(OR(S279="判定不能",J279="判定不能"),"判定不能",IF(AJ279&gt;=判定条件!$C$9,"利用可",IF(AND(S279="停止",J279="停止"),"両方停止","運転がそろわない")))</f>
        <v>運転がそろわない</v>
      </c>
      <c r="AL279" s="30" t="n">
        <v>60</v>
      </c>
      <c r="AM279" s="30" t="n">
        <v>9</v>
      </c>
      <c r="AN279" s="30" t="str">
        <f aca="false">IF(OR(V279="判定不能",M279="判定不能"),"判定不能",IF(AM279&gt;=判定条件!$C$9,"利用可",IF(AND(V279="停止",M279="停止"),"両方停止","運転がそろわない")))</f>
        <v>運転がそろわない</v>
      </c>
      <c r="AO279" s="30" t="n">
        <v>60</v>
      </c>
      <c r="AP279" s="30" t="n">
        <v>44</v>
      </c>
      <c r="AQ279" s="30" t="str">
        <f aca="false">IF(OR(Y279="判定不能",G279="判定不能"),"判定不能",IF(AP279&gt;=判定条件!$C$9,"利用可",IF(AND(Y279="停止",G279="停止"),"両方停止","運転がそろわない")))</f>
        <v>利用可</v>
      </c>
      <c r="AR279" s="30" t="n">
        <v>60</v>
      </c>
      <c r="AS279" s="30" t="n">
        <v>60</v>
      </c>
      <c r="AT279" s="30" t="str">
        <f aca="false">IF(OR(AB279="判定不能",J279="判定不能"),"判定不能",IF(AS279&gt;=判定条件!$C$9,"利用可",IF(AND(AB279="停止",J279="停止"),"両方停止","運転がそろわない")))</f>
        <v>利用可</v>
      </c>
      <c r="AU279" s="30" t="n">
        <v>60</v>
      </c>
      <c r="AV279" s="30" t="n">
        <v>47</v>
      </c>
      <c r="AW279" s="30" t="str">
        <f aca="false">IF(OR(AE279="判定不能",M279="判定不能"),"判定不能",IF(AV279&gt;=判定条件!$C$9,"利用可",IF(AND(AE279="停止",M279="停止"),"両方停止","運転がそろわない")))</f>
        <v>利用可</v>
      </c>
      <c r="AX279" s="30" t="str">
        <f aca="false">IF(AND(AH279="利用可",AK279="利用可",AN279="利用可"),"利用可","不可")</f>
        <v>不可</v>
      </c>
      <c r="AY279" s="30" t="str">
        <f aca="false">IF(AND(AQ279="利用可",AT279="利用可",AW279="利用可"),"利用可","不可")</f>
        <v>利用可</v>
      </c>
    </row>
    <row r="280" customFormat="false" ht="15" hidden="false" customHeight="false" outlineLevel="0" collapsed="false">
      <c r="A280" s="29" t="n">
        <v>46243</v>
      </c>
      <c r="B280" s="30" t="n">
        <v>13</v>
      </c>
      <c r="C280" s="31" t="s">
        <v>65</v>
      </c>
      <c r="D280" s="31" t="s">
        <v>64</v>
      </c>
      <c r="E280" s="30" t="n">
        <v>60</v>
      </c>
      <c r="F280" s="30" t="n">
        <v>60</v>
      </c>
      <c r="G280" s="30" t="str">
        <f aca="false">IF(E280&lt;判定条件!$C$6,"判定不能",IF(F280&gt;=判定条件!$C$7*E280,"運転",IF(F280&lt;=判定条件!$C$8*E280,"停止","断続")))</f>
        <v>運転</v>
      </c>
      <c r="H280" s="30" t="n">
        <v>60</v>
      </c>
      <c r="I280" s="30" t="n">
        <v>60</v>
      </c>
      <c r="J280" s="30" t="str">
        <f aca="false">IF(H280&lt;判定条件!$C$6,"判定不能",IF(I280&gt;=判定条件!$C$7*H280,"運転",IF(I280&lt;=判定条件!$C$8*H280,"停止","断続")))</f>
        <v>運転</v>
      </c>
      <c r="K280" s="30" t="n">
        <v>60</v>
      </c>
      <c r="L280" s="30" t="n">
        <v>60</v>
      </c>
      <c r="M280" s="30" t="str">
        <f aca="false">IF(K280&lt;判定条件!$C$6,"判定不能",IF(L280&gt;=判定条件!$C$7*K280,"運転",IF(L280&lt;=判定条件!$C$8*K280,"停止","断続")))</f>
        <v>運転</v>
      </c>
      <c r="N280" s="30" t="n">
        <v>60</v>
      </c>
      <c r="O280" s="30" t="n">
        <v>49</v>
      </c>
      <c r="P280" s="30" t="str">
        <f aca="false">IF(N280&lt;判定条件!$C$6,"判定不能",IF(O280&gt;=判定条件!$C$7*N280,"運転",IF(O280&lt;=判定条件!$C$8*N280,"停止","断続")))</f>
        <v>運転</v>
      </c>
      <c r="Q280" s="30" t="n">
        <v>60</v>
      </c>
      <c r="R280" s="30" t="n">
        <v>0</v>
      </c>
      <c r="S280" s="30" t="str">
        <f aca="false">IF(Q280&lt;判定条件!$C$6,"判定不能",IF(R280&gt;=判定条件!$C$7*Q280,"運転",IF(R280&lt;=判定条件!$C$8*Q280,"停止","断続")))</f>
        <v>停止</v>
      </c>
      <c r="T280" s="30" t="n">
        <v>60</v>
      </c>
      <c r="U280" s="30" t="n">
        <v>6</v>
      </c>
      <c r="V280" s="30" t="str">
        <f aca="false">IF(T280&lt;判定条件!$C$6,"判定不能",IF(U280&gt;=判定条件!$C$7*T280,"運転",IF(U280&lt;=判定条件!$C$8*T280,"停止","断続")))</f>
        <v>停止</v>
      </c>
      <c r="W280" s="30" t="n">
        <v>60</v>
      </c>
      <c r="X280" s="30" t="n">
        <v>48</v>
      </c>
      <c r="Y280" s="30" t="str">
        <f aca="false">IF(W280&lt;判定条件!$C$6,"判定不能",IF(X280&gt;=判定条件!$C$7*W280,"運転",IF(X280&lt;=判定条件!$C$8*W280,"停止","断続")))</f>
        <v>運転</v>
      </c>
      <c r="Z280" s="30" t="n">
        <v>60</v>
      </c>
      <c r="AA280" s="30" t="n">
        <v>60</v>
      </c>
      <c r="AB280" s="30" t="str">
        <f aca="false">IF(Z280&lt;判定条件!$C$6,"判定不能",IF(AA280&gt;=判定条件!$C$7*Z280,"運転",IF(AA280&lt;=判定条件!$C$8*Z280,"停止","断続")))</f>
        <v>運転</v>
      </c>
      <c r="AC280" s="30" t="n">
        <v>60</v>
      </c>
      <c r="AD280" s="30" t="n">
        <v>60</v>
      </c>
      <c r="AE280" s="30" t="str">
        <f aca="false">IF(AC280&lt;判定条件!$C$6,"判定不能",IF(AD280&gt;=判定条件!$C$7*AC280,"運転",IF(AD280&lt;=判定条件!$C$8*AC280,"停止","断続")))</f>
        <v>運転</v>
      </c>
      <c r="AF280" s="30" t="n">
        <v>60</v>
      </c>
      <c r="AG280" s="30" t="n">
        <v>49</v>
      </c>
      <c r="AH280" s="30" t="str">
        <f aca="false">IF(OR(P280="判定不能",G280="判定不能"),"判定不能",IF(AG280&gt;=判定条件!$C$9,"利用可",IF(AND(P280="停止",G280="停止"),"両方停止","運転がそろわない")))</f>
        <v>利用可</v>
      </c>
      <c r="AI280" s="30" t="n">
        <v>60</v>
      </c>
      <c r="AJ280" s="30" t="n">
        <v>0</v>
      </c>
      <c r="AK280" s="30" t="str">
        <f aca="false">IF(OR(S280="判定不能",J280="判定不能"),"判定不能",IF(AJ280&gt;=判定条件!$C$9,"利用可",IF(AND(S280="停止",J280="停止"),"両方停止","運転がそろわない")))</f>
        <v>運転がそろわない</v>
      </c>
      <c r="AL280" s="30" t="n">
        <v>60</v>
      </c>
      <c r="AM280" s="30" t="n">
        <v>6</v>
      </c>
      <c r="AN280" s="30" t="str">
        <f aca="false">IF(OR(V280="判定不能",M280="判定不能"),"判定不能",IF(AM280&gt;=判定条件!$C$9,"利用可",IF(AND(V280="停止",M280="停止"),"両方停止","運転がそろわない")))</f>
        <v>運転がそろわない</v>
      </c>
      <c r="AO280" s="30" t="n">
        <v>60</v>
      </c>
      <c r="AP280" s="30" t="n">
        <v>48</v>
      </c>
      <c r="AQ280" s="30" t="str">
        <f aca="false">IF(OR(Y280="判定不能",G280="判定不能"),"判定不能",IF(AP280&gt;=判定条件!$C$9,"利用可",IF(AND(Y280="停止",G280="停止"),"両方停止","運転がそろわない")))</f>
        <v>利用可</v>
      </c>
      <c r="AR280" s="30" t="n">
        <v>60</v>
      </c>
      <c r="AS280" s="30" t="n">
        <v>60</v>
      </c>
      <c r="AT280" s="30" t="str">
        <f aca="false">IF(OR(AB280="判定不能",J280="判定不能"),"判定不能",IF(AS280&gt;=判定条件!$C$9,"利用可",IF(AND(AB280="停止",J280="停止"),"両方停止","運転がそろわない")))</f>
        <v>利用可</v>
      </c>
      <c r="AU280" s="30" t="n">
        <v>60</v>
      </c>
      <c r="AV280" s="30" t="n">
        <v>60</v>
      </c>
      <c r="AW280" s="30" t="str">
        <f aca="false">IF(OR(AE280="判定不能",M280="判定不能"),"判定不能",IF(AV280&gt;=判定条件!$C$9,"利用可",IF(AND(AE280="停止",M280="停止"),"両方停止","運転がそろわない")))</f>
        <v>利用可</v>
      </c>
      <c r="AX280" s="30" t="str">
        <f aca="false">IF(AND(AH280="利用可",AK280="利用可",AN280="利用可"),"利用可","不可")</f>
        <v>不可</v>
      </c>
      <c r="AY280" s="30" t="str">
        <f aca="false">IF(AND(AQ280="利用可",AT280="利用可",AW280="利用可"),"利用可","不可")</f>
        <v>利用可</v>
      </c>
    </row>
    <row r="281" customFormat="false" ht="15" hidden="false" customHeight="false" outlineLevel="0" collapsed="false">
      <c r="A281" s="29" t="n">
        <v>46243</v>
      </c>
      <c r="B281" s="30" t="n">
        <v>14</v>
      </c>
      <c r="C281" s="31" t="s">
        <v>65</v>
      </c>
      <c r="D281" s="31" t="s">
        <v>64</v>
      </c>
      <c r="E281" s="30" t="n">
        <v>60</v>
      </c>
      <c r="F281" s="30" t="n">
        <v>60</v>
      </c>
      <c r="G281" s="30" t="str">
        <f aca="false">IF(E281&lt;判定条件!$C$6,"判定不能",IF(F281&gt;=判定条件!$C$7*E281,"運転",IF(F281&lt;=判定条件!$C$8*E281,"停止","断続")))</f>
        <v>運転</v>
      </c>
      <c r="H281" s="30" t="n">
        <v>60</v>
      </c>
      <c r="I281" s="30" t="n">
        <v>60</v>
      </c>
      <c r="J281" s="30" t="str">
        <f aca="false">IF(H281&lt;判定条件!$C$6,"判定不能",IF(I281&gt;=判定条件!$C$7*H281,"運転",IF(I281&lt;=判定条件!$C$8*H281,"停止","断続")))</f>
        <v>運転</v>
      </c>
      <c r="K281" s="30" t="n">
        <v>60</v>
      </c>
      <c r="L281" s="30" t="n">
        <v>60</v>
      </c>
      <c r="M281" s="30" t="str">
        <f aca="false">IF(K281&lt;判定条件!$C$6,"判定不能",IF(L281&gt;=判定条件!$C$7*K281,"運転",IF(L281&lt;=判定条件!$C$8*K281,"停止","断続")))</f>
        <v>運転</v>
      </c>
      <c r="N281" s="30" t="n">
        <v>60</v>
      </c>
      <c r="O281" s="30" t="n">
        <v>44</v>
      </c>
      <c r="P281" s="30" t="str">
        <f aca="false">IF(N281&lt;判定条件!$C$6,"判定不能",IF(O281&gt;=判定条件!$C$7*N281,"運転",IF(O281&lt;=判定条件!$C$8*N281,"停止","断続")))</f>
        <v>断続</v>
      </c>
      <c r="Q281" s="30" t="n">
        <v>60</v>
      </c>
      <c r="R281" s="30" t="n">
        <v>0</v>
      </c>
      <c r="S281" s="30" t="str">
        <f aca="false">IF(Q281&lt;判定条件!$C$6,"判定不能",IF(R281&gt;=判定条件!$C$7*Q281,"運転",IF(R281&lt;=判定条件!$C$8*Q281,"停止","断続")))</f>
        <v>停止</v>
      </c>
      <c r="T281" s="30" t="n">
        <v>60</v>
      </c>
      <c r="U281" s="30" t="n">
        <v>0</v>
      </c>
      <c r="V281" s="30" t="str">
        <f aca="false">IF(T281&lt;判定条件!$C$6,"判定不能",IF(U281&gt;=判定条件!$C$7*T281,"運転",IF(U281&lt;=判定条件!$C$8*T281,"停止","断続")))</f>
        <v>停止</v>
      </c>
      <c r="W281" s="30" t="n">
        <v>60</v>
      </c>
      <c r="X281" s="30" t="n">
        <v>30</v>
      </c>
      <c r="Y281" s="30" t="str">
        <f aca="false">IF(W281&lt;判定条件!$C$6,"判定不能",IF(X281&gt;=判定条件!$C$7*W281,"運転",IF(X281&lt;=判定条件!$C$8*W281,"停止","断続")))</f>
        <v>断続</v>
      </c>
      <c r="Z281" s="30" t="n">
        <v>60</v>
      </c>
      <c r="AA281" s="30" t="n">
        <v>60</v>
      </c>
      <c r="AB281" s="30" t="str">
        <f aca="false">IF(Z281&lt;判定条件!$C$6,"判定不能",IF(AA281&gt;=判定条件!$C$7*Z281,"運転",IF(AA281&lt;=判定条件!$C$8*Z281,"停止","断続")))</f>
        <v>運転</v>
      </c>
      <c r="AC281" s="30" t="n">
        <v>60</v>
      </c>
      <c r="AD281" s="30" t="n">
        <v>60</v>
      </c>
      <c r="AE281" s="30" t="str">
        <f aca="false">IF(AC281&lt;判定条件!$C$6,"判定不能",IF(AD281&gt;=判定条件!$C$7*AC281,"運転",IF(AD281&lt;=判定条件!$C$8*AC281,"停止","断続")))</f>
        <v>運転</v>
      </c>
      <c r="AF281" s="30" t="n">
        <v>60</v>
      </c>
      <c r="AG281" s="30" t="n">
        <v>44</v>
      </c>
      <c r="AH281" s="30" t="str">
        <f aca="false">IF(OR(P281="判定不能",G281="判定不能"),"判定不能",IF(AG281&gt;=判定条件!$C$9,"利用可",IF(AND(P281="停止",G281="停止"),"両方停止","運転がそろわない")))</f>
        <v>利用可</v>
      </c>
      <c r="AI281" s="30" t="n">
        <v>60</v>
      </c>
      <c r="AJ281" s="30" t="n">
        <v>0</v>
      </c>
      <c r="AK281" s="30" t="str">
        <f aca="false">IF(OR(S281="判定不能",J281="判定不能"),"判定不能",IF(AJ281&gt;=判定条件!$C$9,"利用可",IF(AND(S281="停止",J281="停止"),"両方停止","運転がそろわない")))</f>
        <v>運転がそろわない</v>
      </c>
      <c r="AL281" s="30" t="n">
        <v>60</v>
      </c>
      <c r="AM281" s="30" t="n">
        <v>0</v>
      </c>
      <c r="AN281" s="30" t="str">
        <f aca="false">IF(OR(V281="判定不能",M281="判定不能"),"判定不能",IF(AM281&gt;=判定条件!$C$9,"利用可",IF(AND(V281="停止",M281="停止"),"両方停止","運転がそろわない")))</f>
        <v>運転がそろわない</v>
      </c>
      <c r="AO281" s="30" t="n">
        <v>60</v>
      </c>
      <c r="AP281" s="30" t="n">
        <v>30</v>
      </c>
      <c r="AQ281" s="30" t="str">
        <f aca="false">IF(OR(Y281="判定不能",G281="判定不能"),"判定不能",IF(AP281&gt;=判定条件!$C$9,"利用可",IF(AND(Y281="停止",G281="停止"),"両方停止","運転がそろわない")))</f>
        <v>利用可</v>
      </c>
      <c r="AR281" s="30" t="n">
        <v>60</v>
      </c>
      <c r="AS281" s="30" t="n">
        <v>60</v>
      </c>
      <c r="AT281" s="30" t="str">
        <f aca="false">IF(OR(AB281="判定不能",J281="判定不能"),"判定不能",IF(AS281&gt;=判定条件!$C$9,"利用可",IF(AND(AB281="停止",J281="停止"),"両方停止","運転がそろわない")))</f>
        <v>利用可</v>
      </c>
      <c r="AU281" s="30" t="n">
        <v>60</v>
      </c>
      <c r="AV281" s="30" t="n">
        <v>60</v>
      </c>
      <c r="AW281" s="30" t="str">
        <f aca="false">IF(OR(AE281="判定不能",M281="判定不能"),"判定不能",IF(AV281&gt;=判定条件!$C$9,"利用可",IF(AND(AE281="停止",M281="停止"),"両方停止","運転がそろわない")))</f>
        <v>利用可</v>
      </c>
      <c r="AX281" s="30" t="str">
        <f aca="false">IF(AND(AH281="利用可",AK281="利用可",AN281="利用可"),"利用可","不可")</f>
        <v>不可</v>
      </c>
      <c r="AY281" s="30" t="str">
        <f aca="false">IF(AND(AQ281="利用可",AT281="利用可",AW281="利用可"),"利用可","不可")</f>
        <v>利用可</v>
      </c>
    </row>
    <row r="282" customFormat="false" ht="15" hidden="false" customHeight="false" outlineLevel="0" collapsed="false">
      <c r="A282" s="29" t="n">
        <v>46243</v>
      </c>
      <c r="B282" s="30" t="n">
        <v>15</v>
      </c>
      <c r="C282" s="31" t="s">
        <v>65</v>
      </c>
      <c r="D282" s="31" t="s">
        <v>64</v>
      </c>
      <c r="E282" s="30" t="n">
        <v>60</v>
      </c>
      <c r="F282" s="30" t="n">
        <v>60</v>
      </c>
      <c r="G282" s="30" t="str">
        <f aca="false">IF(E282&lt;判定条件!$C$6,"判定不能",IF(F282&gt;=判定条件!$C$7*E282,"運転",IF(F282&lt;=判定条件!$C$8*E282,"停止","断続")))</f>
        <v>運転</v>
      </c>
      <c r="H282" s="30" t="n">
        <v>60</v>
      </c>
      <c r="I282" s="30" t="n">
        <v>60</v>
      </c>
      <c r="J282" s="30" t="str">
        <f aca="false">IF(H282&lt;判定条件!$C$6,"判定不能",IF(I282&gt;=判定条件!$C$7*H282,"運転",IF(I282&lt;=判定条件!$C$8*H282,"停止","断続")))</f>
        <v>運転</v>
      </c>
      <c r="K282" s="30" t="n">
        <v>60</v>
      </c>
      <c r="L282" s="30" t="n">
        <v>60</v>
      </c>
      <c r="M282" s="30" t="str">
        <f aca="false">IF(K282&lt;判定条件!$C$6,"判定不能",IF(L282&gt;=判定条件!$C$7*K282,"運転",IF(L282&lt;=判定条件!$C$8*K282,"停止","断続")))</f>
        <v>運転</v>
      </c>
      <c r="N282" s="30" t="n">
        <v>60</v>
      </c>
      <c r="O282" s="30" t="n">
        <v>42</v>
      </c>
      <c r="P282" s="30" t="str">
        <f aca="false">IF(N282&lt;判定条件!$C$6,"判定不能",IF(O282&gt;=判定条件!$C$7*N282,"運転",IF(O282&lt;=判定条件!$C$8*N282,"停止","断続")))</f>
        <v>断続</v>
      </c>
      <c r="Q282" s="30" t="n">
        <v>60</v>
      </c>
      <c r="R282" s="30" t="n">
        <v>0</v>
      </c>
      <c r="S282" s="30" t="str">
        <f aca="false">IF(Q282&lt;判定条件!$C$6,"判定不能",IF(R282&gt;=判定条件!$C$7*Q282,"運転",IF(R282&lt;=判定条件!$C$8*Q282,"停止","断続")))</f>
        <v>停止</v>
      </c>
      <c r="T282" s="30" t="n">
        <v>60</v>
      </c>
      <c r="U282" s="30" t="n">
        <v>0</v>
      </c>
      <c r="V282" s="30" t="str">
        <f aca="false">IF(T282&lt;判定条件!$C$6,"判定不能",IF(U282&gt;=判定条件!$C$7*T282,"運転",IF(U282&lt;=判定条件!$C$8*T282,"停止","断続")))</f>
        <v>停止</v>
      </c>
      <c r="W282" s="30" t="n">
        <v>60</v>
      </c>
      <c r="X282" s="30" t="n">
        <v>28</v>
      </c>
      <c r="Y282" s="30" t="str">
        <f aca="false">IF(W282&lt;判定条件!$C$6,"判定不能",IF(X282&gt;=判定条件!$C$7*W282,"運転",IF(X282&lt;=判定条件!$C$8*W282,"停止","断続")))</f>
        <v>断続</v>
      </c>
      <c r="Z282" s="30" t="n">
        <v>60</v>
      </c>
      <c r="AA282" s="30" t="n">
        <v>37</v>
      </c>
      <c r="AB282" s="30" t="str">
        <f aca="false">IF(Z282&lt;判定条件!$C$6,"判定不能",IF(AA282&gt;=判定条件!$C$7*Z282,"運転",IF(AA282&lt;=判定条件!$C$8*Z282,"停止","断続")))</f>
        <v>断続</v>
      </c>
      <c r="AC282" s="30" t="n">
        <v>60</v>
      </c>
      <c r="AD282" s="30" t="n">
        <v>60</v>
      </c>
      <c r="AE282" s="30" t="str">
        <f aca="false">IF(AC282&lt;判定条件!$C$6,"判定不能",IF(AD282&gt;=判定条件!$C$7*AC282,"運転",IF(AD282&lt;=判定条件!$C$8*AC282,"停止","断続")))</f>
        <v>運転</v>
      </c>
      <c r="AF282" s="30" t="n">
        <v>60</v>
      </c>
      <c r="AG282" s="30" t="n">
        <v>42</v>
      </c>
      <c r="AH282" s="30" t="str">
        <f aca="false">IF(OR(P282="判定不能",G282="判定不能"),"判定不能",IF(AG282&gt;=判定条件!$C$9,"利用可",IF(AND(P282="停止",G282="停止"),"両方停止","運転がそろわない")))</f>
        <v>利用可</v>
      </c>
      <c r="AI282" s="30" t="n">
        <v>60</v>
      </c>
      <c r="AJ282" s="30" t="n">
        <v>0</v>
      </c>
      <c r="AK282" s="30" t="str">
        <f aca="false">IF(OR(S282="判定不能",J282="判定不能"),"判定不能",IF(AJ282&gt;=判定条件!$C$9,"利用可",IF(AND(S282="停止",J282="停止"),"両方停止","運転がそろわない")))</f>
        <v>運転がそろわない</v>
      </c>
      <c r="AL282" s="30" t="n">
        <v>60</v>
      </c>
      <c r="AM282" s="30" t="n">
        <v>0</v>
      </c>
      <c r="AN282" s="30" t="str">
        <f aca="false">IF(OR(V282="判定不能",M282="判定不能"),"判定不能",IF(AM282&gt;=判定条件!$C$9,"利用可",IF(AND(V282="停止",M282="停止"),"両方停止","運転がそろわない")))</f>
        <v>運転がそろわない</v>
      </c>
      <c r="AO282" s="30" t="n">
        <v>60</v>
      </c>
      <c r="AP282" s="30" t="n">
        <v>28</v>
      </c>
      <c r="AQ282" s="30" t="str">
        <f aca="false">IF(OR(Y282="判定不能",G282="判定不能"),"判定不能",IF(AP282&gt;=判定条件!$C$9,"利用可",IF(AND(Y282="停止",G282="停止"),"両方停止","運転がそろわない")))</f>
        <v>運転がそろわない</v>
      </c>
      <c r="AR282" s="30" t="n">
        <v>60</v>
      </c>
      <c r="AS282" s="30" t="n">
        <v>37</v>
      </c>
      <c r="AT282" s="30" t="str">
        <f aca="false">IF(OR(AB282="判定不能",J282="判定不能"),"判定不能",IF(AS282&gt;=判定条件!$C$9,"利用可",IF(AND(AB282="停止",J282="停止"),"両方停止","運転がそろわない")))</f>
        <v>利用可</v>
      </c>
      <c r="AU282" s="30" t="n">
        <v>60</v>
      </c>
      <c r="AV282" s="30" t="n">
        <v>60</v>
      </c>
      <c r="AW282" s="30" t="str">
        <f aca="false">IF(OR(AE282="判定不能",M282="判定不能"),"判定不能",IF(AV282&gt;=判定条件!$C$9,"利用可",IF(AND(AE282="停止",M282="停止"),"両方停止","運転がそろわない")))</f>
        <v>利用可</v>
      </c>
      <c r="AX282" s="30" t="str">
        <f aca="false">IF(AND(AH282="利用可",AK282="利用可",AN282="利用可"),"利用可","不可")</f>
        <v>不可</v>
      </c>
      <c r="AY282" s="30" t="str">
        <f aca="false">IF(AND(AQ282="利用可",AT282="利用可",AW282="利用可"),"利用可","不可")</f>
        <v>不可</v>
      </c>
    </row>
    <row r="283" customFormat="false" ht="15" hidden="false" customHeight="false" outlineLevel="0" collapsed="false">
      <c r="A283" s="29" t="n">
        <v>46243</v>
      </c>
      <c r="B283" s="30" t="n">
        <v>16</v>
      </c>
      <c r="C283" s="31" t="s">
        <v>65</v>
      </c>
      <c r="D283" s="31" t="s">
        <v>64</v>
      </c>
      <c r="E283" s="30" t="n">
        <v>60</v>
      </c>
      <c r="F283" s="30" t="n">
        <v>60</v>
      </c>
      <c r="G283" s="30" t="str">
        <f aca="false">IF(E283&lt;判定条件!$C$6,"判定不能",IF(F283&gt;=判定条件!$C$7*E283,"運転",IF(F283&lt;=判定条件!$C$8*E283,"停止","断続")))</f>
        <v>運転</v>
      </c>
      <c r="H283" s="30" t="n">
        <v>60</v>
      </c>
      <c r="I283" s="30" t="n">
        <v>60</v>
      </c>
      <c r="J283" s="30" t="str">
        <f aca="false">IF(H283&lt;判定条件!$C$6,"判定不能",IF(I283&gt;=判定条件!$C$7*H283,"運転",IF(I283&lt;=判定条件!$C$8*H283,"停止","断続")))</f>
        <v>運転</v>
      </c>
      <c r="K283" s="30" t="n">
        <v>60</v>
      </c>
      <c r="L283" s="30" t="n">
        <v>60</v>
      </c>
      <c r="M283" s="30" t="str">
        <f aca="false">IF(K283&lt;判定条件!$C$6,"判定不能",IF(L283&gt;=判定条件!$C$7*K283,"運転",IF(L283&lt;=判定条件!$C$8*K283,"停止","断続")))</f>
        <v>運転</v>
      </c>
      <c r="N283" s="30" t="n">
        <v>60</v>
      </c>
      <c r="O283" s="30" t="n">
        <v>60</v>
      </c>
      <c r="P283" s="30" t="str">
        <f aca="false">IF(N283&lt;判定条件!$C$6,"判定不能",IF(O283&gt;=判定条件!$C$7*N283,"運転",IF(O283&lt;=判定条件!$C$8*N283,"停止","断続")))</f>
        <v>運転</v>
      </c>
      <c r="Q283" s="30" t="n">
        <v>60</v>
      </c>
      <c r="R283" s="30" t="n">
        <v>0</v>
      </c>
      <c r="S283" s="30" t="str">
        <f aca="false">IF(Q283&lt;判定条件!$C$6,"判定不能",IF(R283&gt;=判定条件!$C$7*Q283,"運転",IF(R283&lt;=判定条件!$C$8*Q283,"停止","断続")))</f>
        <v>停止</v>
      </c>
      <c r="T283" s="30" t="n">
        <v>60</v>
      </c>
      <c r="U283" s="30" t="n">
        <v>0</v>
      </c>
      <c r="V283" s="30" t="str">
        <f aca="false">IF(T283&lt;判定条件!$C$6,"判定不能",IF(U283&gt;=判定条件!$C$7*T283,"運転",IF(U283&lt;=判定条件!$C$8*T283,"停止","断続")))</f>
        <v>停止</v>
      </c>
      <c r="W283" s="30" t="n">
        <v>60</v>
      </c>
      <c r="X283" s="30" t="n">
        <v>32</v>
      </c>
      <c r="Y283" s="30" t="str">
        <f aca="false">IF(W283&lt;判定条件!$C$6,"判定不能",IF(X283&gt;=判定条件!$C$7*W283,"運転",IF(X283&lt;=判定条件!$C$8*W283,"停止","断続")))</f>
        <v>断続</v>
      </c>
      <c r="Z283" s="30" t="n">
        <v>60</v>
      </c>
      <c r="AA283" s="30" t="n">
        <v>57</v>
      </c>
      <c r="AB283" s="30" t="str">
        <f aca="false">IF(Z283&lt;判定条件!$C$6,"判定不能",IF(AA283&gt;=判定条件!$C$7*Z283,"運転",IF(AA283&lt;=判定条件!$C$8*Z283,"停止","断続")))</f>
        <v>運転</v>
      </c>
      <c r="AC283" s="30" t="n">
        <v>60</v>
      </c>
      <c r="AD283" s="30" t="n">
        <v>60</v>
      </c>
      <c r="AE283" s="30" t="str">
        <f aca="false">IF(AC283&lt;判定条件!$C$6,"判定不能",IF(AD283&gt;=判定条件!$C$7*AC283,"運転",IF(AD283&lt;=判定条件!$C$8*AC283,"停止","断続")))</f>
        <v>運転</v>
      </c>
      <c r="AF283" s="30" t="n">
        <v>60</v>
      </c>
      <c r="AG283" s="30" t="n">
        <v>60</v>
      </c>
      <c r="AH283" s="30" t="str">
        <f aca="false">IF(OR(P283="判定不能",G283="判定不能"),"判定不能",IF(AG283&gt;=判定条件!$C$9,"利用可",IF(AND(P283="停止",G283="停止"),"両方停止","運転がそろわない")))</f>
        <v>利用可</v>
      </c>
      <c r="AI283" s="30" t="n">
        <v>60</v>
      </c>
      <c r="AJ283" s="30" t="n">
        <v>0</v>
      </c>
      <c r="AK283" s="30" t="str">
        <f aca="false">IF(OR(S283="判定不能",J283="判定不能"),"判定不能",IF(AJ283&gt;=判定条件!$C$9,"利用可",IF(AND(S283="停止",J283="停止"),"両方停止","運転がそろわない")))</f>
        <v>運転がそろわない</v>
      </c>
      <c r="AL283" s="30" t="n">
        <v>60</v>
      </c>
      <c r="AM283" s="30" t="n">
        <v>0</v>
      </c>
      <c r="AN283" s="30" t="str">
        <f aca="false">IF(OR(V283="判定不能",M283="判定不能"),"判定不能",IF(AM283&gt;=判定条件!$C$9,"利用可",IF(AND(V283="停止",M283="停止"),"両方停止","運転がそろわない")))</f>
        <v>運転がそろわない</v>
      </c>
      <c r="AO283" s="30" t="n">
        <v>60</v>
      </c>
      <c r="AP283" s="30" t="n">
        <v>32</v>
      </c>
      <c r="AQ283" s="30" t="str">
        <f aca="false">IF(OR(Y283="判定不能",G283="判定不能"),"判定不能",IF(AP283&gt;=判定条件!$C$9,"利用可",IF(AND(Y283="停止",G283="停止"),"両方停止","運転がそろわない")))</f>
        <v>利用可</v>
      </c>
      <c r="AR283" s="30" t="n">
        <v>60</v>
      </c>
      <c r="AS283" s="30" t="n">
        <v>57</v>
      </c>
      <c r="AT283" s="30" t="str">
        <f aca="false">IF(OR(AB283="判定不能",J283="判定不能"),"判定不能",IF(AS283&gt;=判定条件!$C$9,"利用可",IF(AND(AB283="停止",J283="停止"),"両方停止","運転がそろわない")))</f>
        <v>利用可</v>
      </c>
      <c r="AU283" s="30" t="n">
        <v>60</v>
      </c>
      <c r="AV283" s="30" t="n">
        <v>60</v>
      </c>
      <c r="AW283" s="30" t="str">
        <f aca="false">IF(OR(AE283="判定不能",M283="判定不能"),"判定不能",IF(AV283&gt;=判定条件!$C$9,"利用可",IF(AND(AE283="停止",M283="停止"),"両方停止","運転がそろわない")))</f>
        <v>利用可</v>
      </c>
      <c r="AX283" s="30" t="str">
        <f aca="false">IF(AND(AH283="利用可",AK283="利用可",AN283="利用可"),"利用可","不可")</f>
        <v>不可</v>
      </c>
      <c r="AY283" s="30" t="str">
        <f aca="false">IF(AND(AQ283="利用可",AT283="利用可",AW283="利用可"),"利用可","不可")</f>
        <v>利用可</v>
      </c>
    </row>
    <row r="284" customFormat="false" ht="15" hidden="false" customHeight="false" outlineLevel="0" collapsed="false">
      <c r="A284" s="29" t="n">
        <v>46243</v>
      </c>
      <c r="B284" s="30" t="n">
        <v>17</v>
      </c>
      <c r="C284" s="31" t="s">
        <v>65</v>
      </c>
      <c r="D284" s="31" t="s">
        <v>64</v>
      </c>
      <c r="E284" s="30" t="n">
        <v>60</v>
      </c>
      <c r="F284" s="30" t="n">
        <v>60</v>
      </c>
      <c r="G284" s="30" t="str">
        <f aca="false">IF(E284&lt;判定条件!$C$6,"判定不能",IF(F284&gt;=判定条件!$C$7*E284,"運転",IF(F284&lt;=判定条件!$C$8*E284,"停止","断続")))</f>
        <v>運転</v>
      </c>
      <c r="H284" s="30" t="n">
        <v>60</v>
      </c>
      <c r="I284" s="30" t="n">
        <v>55</v>
      </c>
      <c r="J284" s="30" t="str">
        <f aca="false">IF(H284&lt;判定条件!$C$6,"判定不能",IF(I284&gt;=判定条件!$C$7*H284,"運転",IF(I284&lt;=判定条件!$C$8*H284,"停止","断続")))</f>
        <v>運転</v>
      </c>
      <c r="K284" s="30" t="n">
        <v>60</v>
      </c>
      <c r="L284" s="30" t="n">
        <v>60</v>
      </c>
      <c r="M284" s="30" t="str">
        <f aca="false">IF(K284&lt;判定条件!$C$6,"判定不能",IF(L284&gt;=判定条件!$C$7*K284,"運転",IF(L284&lt;=判定条件!$C$8*K284,"停止","断続")))</f>
        <v>運転</v>
      </c>
      <c r="N284" s="30" t="n">
        <v>60</v>
      </c>
      <c r="O284" s="30" t="n">
        <v>38</v>
      </c>
      <c r="P284" s="30" t="str">
        <f aca="false">IF(N284&lt;判定条件!$C$6,"判定不能",IF(O284&gt;=判定条件!$C$7*N284,"運転",IF(O284&lt;=判定条件!$C$8*N284,"停止","断続")))</f>
        <v>断続</v>
      </c>
      <c r="Q284" s="30" t="n">
        <v>60</v>
      </c>
      <c r="R284" s="30" t="n">
        <v>0</v>
      </c>
      <c r="S284" s="30" t="str">
        <f aca="false">IF(Q284&lt;判定条件!$C$6,"判定不能",IF(R284&gt;=判定条件!$C$7*Q284,"運転",IF(R284&lt;=判定条件!$C$8*Q284,"停止","断続")))</f>
        <v>停止</v>
      </c>
      <c r="T284" s="30" t="n">
        <v>60</v>
      </c>
      <c r="U284" s="30" t="n">
        <v>0</v>
      </c>
      <c r="V284" s="30" t="str">
        <f aca="false">IF(T284&lt;判定条件!$C$6,"判定不能",IF(U284&gt;=判定条件!$C$7*T284,"運転",IF(U284&lt;=判定条件!$C$8*T284,"停止","断続")))</f>
        <v>停止</v>
      </c>
      <c r="W284" s="30" t="n">
        <v>60</v>
      </c>
      <c r="X284" s="30" t="n">
        <v>31</v>
      </c>
      <c r="Y284" s="30" t="str">
        <f aca="false">IF(W284&lt;判定条件!$C$6,"判定不能",IF(X284&gt;=判定条件!$C$7*W284,"運転",IF(X284&lt;=判定条件!$C$8*W284,"停止","断続")))</f>
        <v>断続</v>
      </c>
      <c r="Z284" s="30" t="n">
        <v>60</v>
      </c>
      <c r="AA284" s="30" t="n">
        <v>43</v>
      </c>
      <c r="AB284" s="30" t="str">
        <f aca="false">IF(Z284&lt;判定条件!$C$6,"判定不能",IF(AA284&gt;=判定条件!$C$7*Z284,"運転",IF(AA284&lt;=判定条件!$C$8*Z284,"停止","断続")))</f>
        <v>断続</v>
      </c>
      <c r="AC284" s="30" t="n">
        <v>60</v>
      </c>
      <c r="AD284" s="30" t="n">
        <v>60</v>
      </c>
      <c r="AE284" s="30" t="str">
        <f aca="false">IF(AC284&lt;判定条件!$C$6,"判定不能",IF(AD284&gt;=判定条件!$C$7*AC284,"運転",IF(AD284&lt;=判定条件!$C$8*AC284,"停止","断続")))</f>
        <v>運転</v>
      </c>
      <c r="AF284" s="30" t="n">
        <v>60</v>
      </c>
      <c r="AG284" s="30" t="n">
        <v>38</v>
      </c>
      <c r="AH284" s="30" t="str">
        <f aca="false">IF(OR(P284="判定不能",G284="判定不能"),"判定不能",IF(AG284&gt;=判定条件!$C$9,"利用可",IF(AND(P284="停止",G284="停止"),"両方停止","運転がそろわない")))</f>
        <v>利用可</v>
      </c>
      <c r="AI284" s="30" t="n">
        <v>60</v>
      </c>
      <c r="AJ284" s="30" t="n">
        <v>0</v>
      </c>
      <c r="AK284" s="30" t="str">
        <f aca="false">IF(OR(S284="判定不能",J284="判定不能"),"判定不能",IF(AJ284&gt;=判定条件!$C$9,"利用可",IF(AND(S284="停止",J284="停止"),"両方停止","運転がそろわない")))</f>
        <v>運転がそろわない</v>
      </c>
      <c r="AL284" s="30" t="n">
        <v>60</v>
      </c>
      <c r="AM284" s="30" t="n">
        <v>0</v>
      </c>
      <c r="AN284" s="30" t="str">
        <f aca="false">IF(OR(V284="判定不能",M284="判定不能"),"判定不能",IF(AM284&gt;=判定条件!$C$9,"利用可",IF(AND(V284="停止",M284="停止"),"両方停止","運転がそろわない")))</f>
        <v>運転がそろわない</v>
      </c>
      <c r="AO284" s="30" t="n">
        <v>60</v>
      </c>
      <c r="AP284" s="30" t="n">
        <v>31</v>
      </c>
      <c r="AQ284" s="30" t="str">
        <f aca="false">IF(OR(Y284="判定不能",G284="判定不能"),"判定不能",IF(AP284&gt;=判定条件!$C$9,"利用可",IF(AND(Y284="停止",G284="停止"),"両方停止","運転がそろわない")))</f>
        <v>利用可</v>
      </c>
      <c r="AR284" s="30" t="n">
        <v>60</v>
      </c>
      <c r="AS284" s="30" t="n">
        <v>38</v>
      </c>
      <c r="AT284" s="30" t="str">
        <f aca="false">IF(OR(AB284="判定不能",J284="判定不能"),"判定不能",IF(AS284&gt;=判定条件!$C$9,"利用可",IF(AND(AB284="停止",J284="停止"),"両方停止","運転がそろわない")))</f>
        <v>利用可</v>
      </c>
      <c r="AU284" s="30" t="n">
        <v>60</v>
      </c>
      <c r="AV284" s="30" t="n">
        <v>60</v>
      </c>
      <c r="AW284" s="30" t="str">
        <f aca="false">IF(OR(AE284="判定不能",M284="判定不能"),"判定不能",IF(AV284&gt;=判定条件!$C$9,"利用可",IF(AND(AE284="停止",M284="停止"),"両方停止","運転がそろわない")))</f>
        <v>利用可</v>
      </c>
      <c r="AX284" s="30" t="str">
        <f aca="false">IF(AND(AH284="利用可",AK284="利用可",AN284="利用可"),"利用可","不可")</f>
        <v>不可</v>
      </c>
      <c r="AY284" s="30" t="str">
        <f aca="false">IF(AND(AQ284="利用可",AT284="利用可",AW284="利用可"),"利用可","不可")</f>
        <v>利用可</v>
      </c>
    </row>
    <row r="285" customFormat="false" ht="15" hidden="false" customHeight="false" outlineLevel="0" collapsed="false">
      <c r="A285" s="29" t="n">
        <v>46243</v>
      </c>
      <c r="B285" s="30" t="n">
        <v>18</v>
      </c>
      <c r="C285" s="31" t="s">
        <v>65</v>
      </c>
      <c r="D285" s="31" t="s">
        <v>64</v>
      </c>
      <c r="E285" s="30" t="n">
        <v>60</v>
      </c>
      <c r="F285" s="30" t="n">
        <v>60</v>
      </c>
      <c r="G285" s="30" t="str">
        <f aca="false">IF(E285&lt;判定条件!$C$6,"判定不能",IF(F285&gt;=判定条件!$C$7*E285,"運転",IF(F285&lt;=判定条件!$C$8*E285,"停止","断続")))</f>
        <v>運転</v>
      </c>
      <c r="H285" s="30" t="n">
        <v>60</v>
      </c>
      <c r="I285" s="30" t="n">
        <v>60</v>
      </c>
      <c r="J285" s="30" t="str">
        <f aca="false">IF(H285&lt;判定条件!$C$6,"判定不能",IF(I285&gt;=判定条件!$C$7*H285,"運転",IF(I285&lt;=判定条件!$C$8*H285,"停止","断続")))</f>
        <v>運転</v>
      </c>
      <c r="K285" s="30" t="n">
        <v>60</v>
      </c>
      <c r="L285" s="30" t="n">
        <v>60</v>
      </c>
      <c r="M285" s="30" t="str">
        <f aca="false">IF(K285&lt;判定条件!$C$6,"判定不能",IF(L285&gt;=判定条件!$C$7*K285,"運転",IF(L285&lt;=判定条件!$C$8*K285,"停止","断続")))</f>
        <v>運転</v>
      </c>
      <c r="N285" s="30" t="n">
        <v>60</v>
      </c>
      <c r="O285" s="30" t="n">
        <v>0</v>
      </c>
      <c r="P285" s="30" t="str">
        <f aca="false">IF(N285&lt;判定条件!$C$6,"判定不能",IF(O285&gt;=判定条件!$C$7*N285,"運転",IF(O285&lt;=判定条件!$C$8*N285,"停止","断続")))</f>
        <v>停止</v>
      </c>
      <c r="Q285" s="30" t="n">
        <v>60</v>
      </c>
      <c r="R285" s="30" t="n">
        <v>0</v>
      </c>
      <c r="S285" s="30" t="str">
        <f aca="false">IF(Q285&lt;判定条件!$C$6,"判定不能",IF(R285&gt;=判定条件!$C$7*Q285,"運転",IF(R285&lt;=判定条件!$C$8*Q285,"停止","断続")))</f>
        <v>停止</v>
      </c>
      <c r="T285" s="30" t="n">
        <v>60</v>
      </c>
      <c r="U285" s="30" t="n">
        <v>0</v>
      </c>
      <c r="V285" s="30" t="str">
        <f aca="false">IF(T285&lt;判定条件!$C$6,"判定不能",IF(U285&gt;=判定条件!$C$7*T285,"運転",IF(U285&lt;=判定条件!$C$8*T285,"停止","断続")))</f>
        <v>停止</v>
      </c>
      <c r="W285" s="30" t="n">
        <v>60</v>
      </c>
      <c r="X285" s="30" t="n">
        <v>0</v>
      </c>
      <c r="Y285" s="30" t="str">
        <f aca="false">IF(W285&lt;判定条件!$C$6,"判定不能",IF(X285&gt;=判定条件!$C$7*W285,"運転",IF(X285&lt;=判定条件!$C$8*W285,"停止","断続")))</f>
        <v>停止</v>
      </c>
      <c r="Z285" s="30" t="n">
        <v>60</v>
      </c>
      <c r="AA285" s="30" t="n">
        <v>4</v>
      </c>
      <c r="AB285" s="30" t="str">
        <f aca="false">IF(Z285&lt;判定条件!$C$6,"判定不能",IF(AA285&gt;=判定条件!$C$7*Z285,"運転",IF(AA285&lt;=判定条件!$C$8*Z285,"停止","断続")))</f>
        <v>停止</v>
      </c>
      <c r="AC285" s="30" t="n">
        <v>60</v>
      </c>
      <c r="AD285" s="30" t="n">
        <v>6</v>
      </c>
      <c r="AE285" s="30" t="str">
        <f aca="false">IF(AC285&lt;判定条件!$C$6,"判定不能",IF(AD285&gt;=判定条件!$C$7*AC285,"運転",IF(AD285&lt;=判定条件!$C$8*AC285,"停止","断続")))</f>
        <v>停止</v>
      </c>
      <c r="AF285" s="30" t="n">
        <v>60</v>
      </c>
      <c r="AG285" s="30" t="n">
        <v>0</v>
      </c>
      <c r="AH285" s="30" t="str">
        <f aca="false">IF(OR(P285="判定不能",G285="判定不能"),"判定不能",IF(AG285&gt;=判定条件!$C$9,"利用可",IF(AND(P285="停止",G285="停止"),"両方停止","運転がそろわない")))</f>
        <v>運転がそろわない</v>
      </c>
      <c r="AI285" s="30" t="n">
        <v>60</v>
      </c>
      <c r="AJ285" s="30" t="n">
        <v>0</v>
      </c>
      <c r="AK285" s="30" t="str">
        <f aca="false">IF(OR(S285="判定不能",J285="判定不能"),"判定不能",IF(AJ285&gt;=判定条件!$C$9,"利用可",IF(AND(S285="停止",J285="停止"),"両方停止","運転がそろわない")))</f>
        <v>運転がそろわない</v>
      </c>
      <c r="AL285" s="30" t="n">
        <v>60</v>
      </c>
      <c r="AM285" s="30" t="n">
        <v>0</v>
      </c>
      <c r="AN285" s="30" t="str">
        <f aca="false">IF(OR(V285="判定不能",M285="判定不能"),"判定不能",IF(AM285&gt;=判定条件!$C$9,"利用可",IF(AND(V285="停止",M285="停止"),"両方停止","運転がそろわない")))</f>
        <v>運転がそろわない</v>
      </c>
      <c r="AO285" s="30" t="n">
        <v>60</v>
      </c>
      <c r="AP285" s="30" t="n">
        <v>0</v>
      </c>
      <c r="AQ285" s="30" t="str">
        <f aca="false">IF(OR(Y285="判定不能",G285="判定不能"),"判定不能",IF(AP285&gt;=判定条件!$C$9,"利用可",IF(AND(Y285="停止",G285="停止"),"両方停止","運転がそろわない")))</f>
        <v>運転がそろわない</v>
      </c>
      <c r="AR285" s="30" t="n">
        <v>60</v>
      </c>
      <c r="AS285" s="30" t="n">
        <v>4</v>
      </c>
      <c r="AT285" s="30" t="str">
        <f aca="false">IF(OR(AB285="判定不能",J285="判定不能"),"判定不能",IF(AS285&gt;=判定条件!$C$9,"利用可",IF(AND(AB285="停止",J285="停止"),"両方停止","運転がそろわない")))</f>
        <v>運転がそろわない</v>
      </c>
      <c r="AU285" s="30" t="n">
        <v>60</v>
      </c>
      <c r="AV285" s="30" t="n">
        <v>6</v>
      </c>
      <c r="AW285" s="30" t="str">
        <f aca="false">IF(OR(AE285="判定不能",M285="判定不能"),"判定不能",IF(AV285&gt;=判定条件!$C$9,"利用可",IF(AND(AE285="停止",M285="停止"),"両方停止","運転がそろわない")))</f>
        <v>運転がそろわない</v>
      </c>
      <c r="AX285" s="30" t="str">
        <f aca="false">IF(AND(AH285="利用可",AK285="利用可",AN285="利用可"),"利用可","不可")</f>
        <v>不可</v>
      </c>
      <c r="AY285" s="30" t="str">
        <f aca="false">IF(AND(AQ285="利用可",AT285="利用可",AW285="利用可"),"利用可","不可")</f>
        <v>不可</v>
      </c>
    </row>
    <row r="286" customFormat="false" ht="15" hidden="false" customHeight="false" outlineLevel="0" collapsed="false">
      <c r="A286" s="29" t="n">
        <v>46243</v>
      </c>
      <c r="B286" s="30" t="n">
        <v>19</v>
      </c>
      <c r="C286" s="31" t="s">
        <v>65</v>
      </c>
      <c r="D286" s="31" t="s">
        <v>64</v>
      </c>
      <c r="E286" s="30" t="n">
        <v>60</v>
      </c>
      <c r="F286" s="30" t="n">
        <v>60</v>
      </c>
      <c r="G286" s="30" t="str">
        <f aca="false">IF(E286&lt;判定条件!$C$6,"判定不能",IF(F286&gt;=判定条件!$C$7*E286,"運転",IF(F286&lt;=判定条件!$C$8*E286,"停止","断続")))</f>
        <v>運転</v>
      </c>
      <c r="H286" s="30" t="n">
        <v>60</v>
      </c>
      <c r="I286" s="30" t="n">
        <v>60</v>
      </c>
      <c r="J286" s="30" t="str">
        <f aca="false">IF(H286&lt;判定条件!$C$6,"判定不能",IF(I286&gt;=判定条件!$C$7*H286,"運転",IF(I286&lt;=判定条件!$C$8*H286,"停止","断続")))</f>
        <v>運転</v>
      </c>
      <c r="K286" s="30" t="n">
        <v>60</v>
      </c>
      <c r="L286" s="30" t="n">
        <v>60</v>
      </c>
      <c r="M286" s="30" t="str">
        <f aca="false">IF(K286&lt;判定条件!$C$6,"判定不能",IF(L286&gt;=判定条件!$C$7*K286,"運転",IF(L286&lt;=判定条件!$C$8*K286,"停止","断続")))</f>
        <v>運転</v>
      </c>
      <c r="N286" s="30" t="n">
        <v>60</v>
      </c>
      <c r="O286" s="30" t="n">
        <v>0</v>
      </c>
      <c r="P286" s="30" t="str">
        <f aca="false">IF(N286&lt;判定条件!$C$6,"判定不能",IF(O286&gt;=判定条件!$C$7*N286,"運転",IF(O286&lt;=判定条件!$C$8*N286,"停止","断続")))</f>
        <v>停止</v>
      </c>
      <c r="Q286" s="30" t="n">
        <v>60</v>
      </c>
      <c r="R286" s="30" t="n">
        <v>0</v>
      </c>
      <c r="S286" s="30" t="str">
        <f aca="false">IF(Q286&lt;判定条件!$C$6,"判定不能",IF(R286&gt;=判定条件!$C$7*Q286,"運転",IF(R286&lt;=判定条件!$C$8*Q286,"停止","断続")))</f>
        <v>停止</v>
      </c>
      <c r="T286" s="30" t="n">
        <v>60</v>
      </c>
      <c r="U286" s="30" t="n">
        <v>0</v>
      </c>
      <c r="V286" s="30" t="str">
        <f aca="false">IF(T286&lt;判定条件!$C$6,"判定不能",IF(U286&gt;=判定条件!$C$7*T286,"運転",IF(U286&lt;=判定条件!$C$8*T286,"停止","断続")))</f>
        <v>停止</v>
      </c>
      <c r="W286" s="30" t="n">
        <v>60</v>
      </c>
      <c r="X286" s="30" t="n">
        <v>0</v>
      </c>
      <c r="Y286" s="30" t="str">
        <f aca="false">IF(W286&lt;判定条件!$C$6,"判定不能",IF(X286&gt;=判定条件!$C$7*W286,"運転",IF(X286&lt;=判定条件!$C$8*W286,"停止","断続")))</f>
        <v>停止</v>
      </c>
      <c r="Z286" s="30" t="n">
        <v>60</v>
      </c>
      <c r="AA286" s="30" t="n">
        <v>0</v>
      </c>
      <c r="AB286" s="30" t="str">
        <f aca="false">IF(Z286&lt;判定条件!$C$6,"判定不能",IF(AA286&gt;=判定条件!$C$7*Z286,"運転",IF(AA286&lt;=判定条件!$C$8*Z286,"停止","断続")))</f>
        <v>停止</v>
      </c>
      <c r="AC286" s="30" t="n">
        <v>60</v>
      </c>
      <c r="AD286" s="30" t="n">
        <v>0</v>
      </c>
      <c r="AE286" s="30" t="str">
        <f aca="false">IF(AC286&lt;判定条件!$C$6,"判定不能",IF(AD286&gt;=判定条件!$C$7*AC286,"運転",IF(AD286&lt;=判定条件!$C$8*AC286,"停止","断続")))</f>
        <v>停止</v>
      </c>
      <c r="AF286" s="30" t="n">
        <v>60</v>
      </c>
      <c r="AG286" s="30" t="n">
        <v>0</v>
      </c>
      <c r="AH286" s="30" t="str">
        <f aca="false">IF(OR(P286="判定不能",G286="判定不能"),"判定不能",IF(AG286&gt;=判定条件!$C$9,"利用可",IF(AND(P286="停止",G286="停止"),"両方停止","運転がそろわない")))</f>
        <v>運転がそろわない</v>
      </c>
      <c r="AI286" s="30" t="n">
        <v>60</v>
      </c>
      <c r="AJ286" s="30" t="n">
        <v>0</v>
      </c>
      <c r="AK286" s="30" t="str">
        <f aca="false">IF(OR(S286="判定不能",J286="判定不能"),"判定不能",IF(AJ286&gt;=判定条件!$C$9,"利用可",IF(AND(S286="停止",J286="停止"),"両方停止","運転がそろわない")))</f>
        <v>運転がそろわない</v>
      </c>
      <c r="AL286" s="30" t="n">
        <v>60</v>
      </c>
      <c r="AM286" s="30" t="n">
        <v>0</v>
      </c>
      <c r="AN286" s="30" t="str">
        <f aca="false">IF(OR(V286="判定不能",M286="判定不能"),"判定不能",IF(AM286&gt;=判定条件!$C$9,"利用可",IF(AND(V286="停止",M286="停止"),"両方停止","運転がそろわない")))</f>
        <v>運転がそろわない</v>
      </c>
      <c r="AO286" s="30" t="n">
        <v>60</v>
      </c>
      <c r="AP286" s="30" t="n">
        <v>0</v>
      </c>
      <c r="AQ286" s="30" t="str">
        <f aca="false">IF(OR(Y286="判定不能",G286="判定不能"),"判定不能",IF(AP286&gt;=判定条件!$C$9,"利用可",IF(AND(Y286="停止",G286="停止"),"両方停止","運転がそろわない")))</f>
        <v>運転がそろわない</v>
      </c>
      <c r="AR286" s="30" t="n">
        <v>60</v>
      </c>
      <c r="AS286" s="30" t="n">
        <v>0</v>
      </c>
      <c r="AT286" s="30" t="str">
        <f aca="false">IF(OR(AB286="判定不能",J286="判定不能"),"判定不能",IF(AS286&gt;=判定条件!$C$9,"利用可",IF(AND(AB286="停止",J286="停止"),"両方停止","運転がそろわない")))</f>
        <v>運転がそろわない</v>
      </c>
      <c r="AU286" s="30" t="n">
        <v>60</v>
      </c>
      <c r="AV286" s="30" t="n">
        <v>0</v>
      </c>
      <c r="AW286" s="30" t="str">
        <f aca="false">IF(OR(AE286="判定不能",M286="判定不能"),"判定不能",IF(AV286&gt;=判定条件!$C$9,"利用可",IF(AND(AE286="停止",M286="停止"),"両方停止","運転がそろわない")))</f>
        <v>運転がそろわない</v>
      </c>
      <c r="AX286" s="30" t="str">
        <f aca="false">IF(AND(AH286="利用可",AK286="利用可",AN286="利用可"),"利用可","不可")</f>
        <v>不可</v>
      </c>
      <c r="AY286" s="30" t="str">
        <f aca="false">IF(AND(AQ286="利用可",AT286="利用可",AW286="利用可"),"利用可","不可")</f>
        <v>不可</v>
      </c>
    </row>
    <row r="287" customFormat="false" ht="15" hidden="false" customHeight="false" outlineLevel="0" collapsed="false">
      <c r="A287" s="29" t="n">
        <v>46243</v>
      </c>
      <c r="B287" s="30" t="n">
        <v>20</v>
      </c>
      <c r="C287" s="31" t="s">
        <v>65</v>
      </c>
      <c r="D287" s="31" t="s">
        <v>64</v>
      </c>
      <c r="E287" s="30" t="n">
        <v>60</v>
      </c>
      <c r="F287" s="30" t="n">
        <v>50</v>
      </c>
      <c r="G287" s="30" t="str">
        <f aca="false">IF(E287&lt;判定条件!$C$6,"判定不能",IF(F287&gt;=判定条件!$C$7*E287,"運転",IF(F287&lt;=判定条件!$C$8*E287,"停止","断続")))</f>
        <v>運転</v>
      </c>
      <c r="H287" s="30" t="n">
        <v>60</v>
      </c>
      <c r="I287" s="30" t="n">
        <v>41</v>
      </c>
      <c r="J287" s="30" t="str">
        <f aca="false">IF(H287&lt;判定条件!$C$6,"判定不能",IF(I287&gt;=判定条件!$C$7*H287,"運転",IF(I287&lt;=判定条件!$C$8*H287,"停止","断続")))</f>
        <v>断続</v>
      </c>
      <c r="K287" s="30" t="n">
        <v>60</v>
      </c>
      <c r="L287" s="30" t="n">
        <v>60</v>
      </c>
      <c r="M287" s="30" t="str">
        <f aca="false">IF(K287&lt;判定条件!$C$6,"判定不能",IF(L287&gt;=判定条件!$C$7*K287,"運転",IF(L287&lt;=判定条件!$C$8*K287,"停止","断続")))</f>
        <v>運転</v>
      </c>
      <c r="N287" s="30" t="n">
        <v>60</v>
      </c>
      <c r="O287" s="30" t="n">
        <v>0</v>
      </c>
      <c r="P287" s="30" t="str">
        <f aca="false">IF(N287&lt;判定条件!$C$6,"判定不能",IF(O287&gt;=判定条件!$C$7*N287,"運転",IF(O287&lt;=判定条件!$C$8*N287,"停止","断続")))</f>
        <v>停止</v>
      </c>
      <c r="Q287" s="30" t="n">
        <v>60</v>
      </c>
      <c r="R287" s="30" t="n">
        <v>0</v>
      </c>
      <c r="S287" s="30" t="str">
        <f aca="false">IF(Q287&lt;判定条件!$C$6,"判定不能",IF(R287&gt;=判定条件!$C$7*Q287,"運転",IF(R287&lt;=判定条件!$C$8*Q287,"停止","断続")))</f>
        <v>停止</v>
      </c>
      <c r="T287" s="30" t="n">
        <v>60</v>
      </c>
      <c r="U287" s="30" t="n">
        <v>0</v>
      </c>
      <c r="V287" s="30" t="str">
        <f aca="false">IF(T287&lt;判定条件!$C$6,"判定不能",IF(U287&gt;=判定条件!$C$7*T287,"運転",IF(U287&lt;=判定条件!$C$8*T287,"停止","断続")))</f>
        <v>停止</v>
      </c>
      <c r="W287" s="30" t="n">
        <v>60</v>
      </c>
      <c r="X287" s="30" t="n">
        <v>0</v>
      </c>
      <c r="Y287" s="30" t="str">
        <f aca="false">IF(W287&lt;判定条件!$C$6,"判定不能",IF(X287&gt;=判定条件!$C$7*W287,"運転",IF(X287&lt;=判定条件!$C$8*W287,"停止","断続")))</f>
        <v>停止</v>
      </c>
      <c r="Z287" s="30" t="n">
        <v>60</v>
      </c>
      <c r="AA287" s="30" t="n">
        <v>0</v>
      </c>
      <c r="AB287" s="30" t="str">
        <f aca="false">IF(Z287&lt;判定条件!$C$6,"判定不能",IF(AA287&gt;=判定条件!$C$7*Z287,"運転",IF(AA287&lt;=判定条件!$C$8*Z287,"停止","断続")))</f>
        <v>停止</v>
      </c>
      <c r="AC287" s="30" t="n">
        <v>60</v>
      </c>
      <c r="AD287" s="30" t="n">
        <v>0</v>
      </c>
      <c r="AE287" s="30" t="str">
        <f aca="false">IF(AC287&lt;判定条件!$C$6,"判定不能",IF(AD287&gt;=判定条件!$C$7*AC287,"運転",IF(AD287&lt;=判定条件!$C$8*AC287,"停止","断続")))</f>
        <v>停止</v>
      </c>
      <c r="AF287" s="30" t="n">
        <v>60</v>
      </c>
      <c r="AG287" s="30" t="n">
        <v>0</v>
      </c>
      <c r="AH287" s="30" t="str">
        <f aca="false">IF(OR(P287="判定不能",G287="判定不能"),"判定不能",IF(AG287&gt;=判定条件!$C$9,"利用可",IF(AND(P287="停止",G287="停止"),"両方停止","運転がそろわない")))</f>
        <v>運転がそろわない</v>
      </c>
      <c r="AI287" s="30" t="n">
        <v>60</v>
      </c>
      <c r="AJ287" s="30" t="n">
        <v>0</v>
      </c>
      <c r="AK287" s="30" t="str">
        <f aca="false">IF(OR(S287="判定不能",J287="判定不能"),"判定不能",IF(AJ287&gt;=判定条件!$C$9,"利用可",IF(AND(S287="停止",J287="停止"),"両方停止","運転がそろわない")))</f>
        <v>運転がそろわない</v>
      </c>
      <c r="AL287" s="30" t="n">
        <v>60</v>
      </c>
      <c r="AM287" s="30" t="n">
        <v>0</v>
      </c>
      <c r="AN287" s="30" t="str">
        <f aca="false">IF(OR(V287="判定不能",M287="判定不能"),"判定不能",IF(AM287&gt;=判定条件!$C$9,"利用可",IF(AND(V287="停止",M287="停止"),"両方停止","運転がそろわない")))</f>
        <v>運転がそろわない</v>
      </c>
      <c r="AO287" s="30" t="n">
        <v>60</v>
      </c>
      <c r="AP287" s="30" t="n">
        <v>0</v>
      </c>
      <c r="AQ287" s="30" t="str">
        <f aca="false">IF(OR(Y287="判定不能",G287="判定不能"),"判定不能",IF(AP287&gt;=判定条件!$C$9,"利用可",IF(AND(Y287="停止",G287="停止"),"両方停止","運転がそろわない")))</f>
        <v>運転がそろわない</v>
      </c>
      <c r="AR287" s="30" t="n">
        <v>60</v>
      </c>
      <c r="AS287" s="30" t="n">
        <v>0</v>
      </c>
      <c r="AT287" s="30" t="str">
        <f aca="false">IF(OR(AB287="判定不能",J287="判定不能"),"判定不能",IF(AS287&gt;=判定条件!$C$9,"利用可",IF(AND(AB287="停止",J287="停止"),"両方停止","運転がそろわない")))</f>
        <v>運転がそろわない</v>
      </c>
      <c r="AU287" s="30" t="n">
        <v>60</v>
      </c>
      <c r="AV287" s="30" t="n">
        <v>0</v>
      </c>
      <c r="AW287" s="30" t="str">
        <f aca="false">IF(OR(AE287="判定不能",M287="判定不能"),"判定不能",IF(AV287&gt;=判定条件!$C$9,"利用可",IF(AND(AE287="停止",M287="停止"),"両方停止","運転がそろわない")))</f>
        <v>運転がそろわない</v>
      </c>
      <c r="AX287" s="30" t="str">
        <f aca="false">IF(AND(AH287="利用可",AK287="利用可",AN287="利用可"),"利用可","不可")</f>
        <v>不可</v>
      </c>
      <c r="AY287" s="30" t="str">
        <f aca="false">IF(AND(AQ287="利用可",AT287="利用可",AW287="利用可"),"利用可","不可")</f>
        <v>不可</v>
      </c>
    </row>
    <row r="288" customFormat="false" ht="15" hidden="false" customHeight="false" outlineLevel="0" collapsed="false">
      <c r="A288" s="29" t="n">
        <v>46243</v>
      </c>
      <c r="B288" s="30" t="n">
        <v>21</v>
      </c>
      <c r="C288" s="31" t="s">
        <v>65</v>
      </c>
      <c r="D288" s="31" t="s">
        <v>64</v>
      </c>
      <c r="E288" s="30" t="n">
        <v>60</v>
      </c>
      <c r="F288" s="30" t="n">
        <v>5</v>
      </c>
      <c r="G288" s="30" t="str">
        <f aca="false">IF(E288&lt;判定条件!$C$6,"判定不能",IF(F288&gt;=判定条件!$C$7*E288,"運転",IF(F288&lt;=判定条件!$C$8*E288,"停止","断続")))</f>
        <v>停止</v>
      </c>
      <c r="H288" s="30" t="n">
        <v>60</v>
      </c>
      <c r="I288" s="30" t="n">
        <v>0</v>
      </c>
      <c r="J288" s="30" t="str">
        <f aca="false">IF(H288&lt;判定条件!$C$6,"判定不能",IF(I288&gt;=判定条件!$C$7*H288,"運転",IF(I288&lt;=判定条件!$C$8*H288,"停止","断続")))</f>
        <v>停止</v>
      </c>
      <c r="K288" s="30" t="n">
        <v>60</v>
      </c>
      <c r="L288" s="30" t="n">
        <v>60</v>
      </c>
      <c r="M288" s="30" t="str">
        <f aca="false">IF(K288&lt;判定条件!$C$6,"判定不能",IF(L288&gt;=判定条件!$C$7*K288,"運転",IF(L288&lt;=判定条件!$C$8*K288,"停止","断続")))</f>
        <v>運転</v>
      </c>
      <c r="N288" s="30" t="n">
        <v>60</v>
      </c>
      <c r="O288" s="30" t="n">
        <v>0</v>
      </c>
      <c r="P288" s="30" t="str">
        <f aca="false">IF(N288&lt;判定条件!$C$6,"判定不能",IF(O288&gt;=判定条件!$C$7*N288,"運転",IF(O288&lt;=判定条件!$C$8*N288,"停止","断続")))</f>
        <v>停止</v>
      </c>
      <c r="Q288" s="30" t="n">
        <v>60</v>
      </c>
      <c r="R288" s="30" t="n">
        <v>0</v>
      </c>
      <c r="S288" s="30" t="str">
        <f aca="false">IF(Q288&lt;判定条件!$C$6,"判定不能",IF(R288&gt;=判定条件!$C$7*Q288,"運転",IF(R288&lt;=判定条件!$C$8*Q288,"停止","断続")))</f>
        <v>停止</v>
      </c>
      <c r="T288" s="30" t="n">
        <v>60</v>
      </c>
      <c r="U288" s="30" t="n">
        <v>0</v>
      </c>
      <c r="V288" s="30" t="str">
        <f aca="false">IF(T288&lt;判定条件!$C$6,"判定不能",IF(U288&gt;=判定条件!$C$7*T288,"運転",IF(U288&lt;=判定条件!$C$8*T288,"停止","断続")))</f>
        <v>停止</v>
      </c>
      <c r="W288" s="30" t="n">
        <v>60</v>
      </c>
      <c r="X288" s="30" t="n">
        <v>5</v>
      </c>
      <c r="Y288" s="30" t="str">
        <f aca="false">IF(W288&lt;判定条件!$C$6,"判定不能",IF(X288&gt;=判定条件!$C$7*W288,"運転",IF(X288&lt;=判定条件!$C$8*W288,"停止","断続")))</f>
        <v>停止</v>
      </c>
      <c r="Z288" s="30" t="n">
        <v>60</v>
      </c>
      <c r="AA288" s="30" t="n">
        <v>0</v>
      </c>
      <c r="AB288" s="30" t="str">
        <f aca="false">IF(Z288&lt;判定条件!$C$6,"判定不能",IF(AA288&gt;=判定条件!$C$7*Z288,"運転",IF(AA288&lt;=判定条件!$C$8*Z288,"停止","断続")))</f>
        <v>停止</v>
      </c>
      <c r="AC288" s="30" t="n">
        <v>60</v>
      </c>
      <c r="AD288" s="30" t="n">
        <v>0</v>
      </c>
      <c r="AE288" s="30" t="str">
        <f aca="false">IF(AC288&lt;判定条件!$C$6,"判定不能",IF(AD288&gt;=判定条件!$C$7*AC288,"運転",IF(AD288&lt;=判定条件!$C$8*AC288,"停止","断続")))</f>
        <v>停止</v>
      </c>
      <c r="AF288" s="30" t="n">
        <v>60</v>
      </c>
      <c r="AG288" s="30" t="n">
        <v>0</v>
      </c>
      <c r="AH288" s="30" t="str">
        <f aca="false">IF(OR(P288="判定不能",G288="判定不能"),"判定不能",IF(AG288&gt;=判定条件!$C$9,"利用可",IF(AND(P288="停止",G288="停止"),"両方停止","運転がそろわない")))</f>
        <v>両方停止</v>
      </c>
      <c r="AI288" s="30" t="n">
        <v>60</v>
      </c>
      <c r="AJ288" s="30" t="n">
        <v>0</v>
      </c>
      <c r="AK288" s="30" t="str">
        <f aca="false">IF(OR(S288="判定不能",J288="判定不能"),"判定不能",IF(AJ288&gt;=判定条件!$C$9,"利用可",IF(AND(S288="停止",J288="停止"),"両方停止","運転がそろわない")))</f>
        <v>両方停止</v>
      </c>
      <c r="AL288" s="30" t="n">
        <v>60</v>
      </c>
      <c r="AM288" s="30" t="n">
        <v>0</v>
      </c>
      <c r="AN288" s="30" t="str">
        <f aca="false">IF(OR(V288="判定不能",M288="判定不能"),"判定不能",IF(AM288&gt;=判定条件!$C$9,"利用可",IF(AND(V288="停止",M288="停止"),"両方停止","運転がそろわない")))</f>
        <v>運転がそろわない</v>
      </c>
      <c r="AO288" s="30" t="n">
        <v>60</v>
      </c>
      <c r="AP288" s="30" t="n">
        <v>0</v>
      </c>
      <c r="AQ288" s="30" t="str">
        <f aca="false">IF(OR(Y288="判定不能",G288="判定不能"),"判定不能",IF(AP288&gt;=判定条件!$C$9,"利用可",IF(AND(Y288="停止",G288="停止"),"両方停止","運転がそろわない")))</f>
        <v>両方停止</v>
      </c>
      <c r="AR288" s="30" t="n">
        <v>60</v>
      </c>
      <c r="AS288" s="30" t="n">
        <v>0</v>
      </c>
      <c r="AT288" s="30" t="str">
        <f aca="false">IF(OR(AB288="判定不能",J288="判定不能"),"判定不能",IF(AS288&gt;=判定条件!$C$9,"利用可",IF(AND(AB288="停止",J288="停止"),"両方停止","運転がそろわない")))</f>
        <v>両方停止</v>
      </c>
      <c r="AU288" s="30" t="n">
        <v>60</v>
      </c>
      <c r="AV288" s="30" t="n">
        <v>0</v>
      </c>
      <c r="AW288" s="30" t="str">
        <f aca="false">IF(OR(AE288="判定不能",M288="判定不能"),"判定不能",IF(AV288&gt;=判定条件!$C$9,"利用可",IF(AND(AE288="停止",M288="停止"),"両方停止","運転がそろわない")))</f>
        <v>運転がそろわない</v>
      </c>
      <c r="AX288" s="30" t="str">
        <f aca="false">IF(AND(AH288="利用可",AK288="利用可",AN288="利用可"),"利用可","不可")</f>
        <v>不可</v>
      </c>
      <c r="AY288" s="30" t="str">
        <f aca="false">IF(AND(AQ288="利用可",AT288="利用可",AW288="利用可"),"利用可","不可")</f>
        <v>不可</v>
      </c>
    </row>
    <row r="289" customFormat="false" ht="15" hidden="false" customHeight="false" outlineLevel="0" collapsed="false">
      <c r="A289" s="29" t="n">
        <v>46243</v>
      </c>
      <c r="B289" s="30" t="n">
        <v>22</v>
      </c>
      <c r="C289" s="31" t="s">
        <v>65</v>
      </c>
      <c r="D289" s="31" t="s">
        <v>64</v>
      </c>
      <c r="E289" s="30" t="n">
        <v>60</v>
      </c>
      <c r="F289" s="30" t="n">
        <v>0</v>
      </c>
      <c r="G289" s="30" t="str">
        <f aca="false">IF(E289&lt;判定条件!$C$6,"判定不能",IF(F289&gt;=判定条件!$C$7*E289,"運転",IF(F289&lt;=判定条件!$C$8*E289,"停止","断続")))</f>
        <v>停止</v>
      </c>
      <c r="H289" s="30" t="n">
        <v>60</v>
      </c>
      <c r="I289" s="30" t="n">
        <v>0</v>
      </c>
      <c r="J289" s="30" t="str">
        <f aca="false">IF(H289&lt;判定条件!$C$6,"判定不能",IF(I289&gt;=判定条件!$C$7*H289,"運転",IF(I289&lt;=判定条件!$C$8*H289,"停止","断続")))</f>
        <v>停止</v>
      </c>
      <c r="K289" s="30" t="n">
        <v>60</v>
      </c>
      <c r="L289" s="30" t="n">
        <v>60</v>
      </c>
      <c r="M289" s="30" t="str">
        <f aca="false">IF(K289&lt;判定条件!$C$6,"判定不能",IF(L289&gt;=判定条件!$C$7*K289,"運転",IF(L289&lt;=判定条件!$C$8*K289,"停止","断続")))</f>
        <v>運転</v>
      </c>
      <c r="N289" s="30" t="n">
        <v>60</v>
      </c>
      <c r="O289" s="30" t="n">
        <v>0</v>
      </c>
      <c r="P289" s="30" t="str">
        <f aca="false">IF(N289&lt;判定条件!$C$6,"判定不能",IF(O289&gt;=判定条件!$C$7*N289,"運転",IF(O289&lt;=判定条件!$C$8*N289,"停止","断続")))</f>
        <v>停止</v>
      </c>
      <c r="Q289" s="30" t="n">
        <v>60</v>
      </c>
      <c r="R289" s="30" t="n">
        <v>0</v>
      </c>
      <c r="S289" s="30" t="str">
        <f aca="false">IF(Q289&lt;判定条件!$C$6,"判定不能",IF(R289&gt;=判定条件!$C$7*Q289,"運転",IF(R289&lt;=判定条件!$C$8*Q289,"停止","断続")))</f>
        <v>停止</v>
      </c>
      <c r="T289" s="30" t="n">
        <v>60</v>
      </c>
      <c r="U289" s="30" t="n">
        <v>0</v>
      </c>
      <c r="V289" s="30" t="str">
        <f aca="false">IF(T289&lt;判定条件!$C$6,"判定不能",IF(U289&gt;=判定条件!$C$7*T289,"運転",IF(U289&lt;=判定条件!$C$8*T289,"停止","断続")))</f>
        <v>停止</v>
      </c>
      <c r="W289" s="30" t="n">
        <v>60</v>
      </c>
      <c r="X289" s="30" t="n">
        <v>27</v>
      </c>
      <c r="Y289" s="30" t="str">
        <f aca="false">IF(W289&lt;判定条件!$C$6,"判定不能",IF(X289&gt;=判定条件!$C$7*W289,"運転",IF(X289&lt;=判定条件!$C$8*W289,"停止","断続")))</f>
        <v>断続</v>
      </c>
      <c r="Z289" s="30" t="n">
        <v>60</v>
      </c>
      <c r="AA289" s="30" t="n">
        <v>0</v>
      </c>
      <c r="AB289" s="30" t="str">
        <f aca="false">IF(Z289&lt;判定条件!$C$6,"判定不能",IF(AA289&gt;=判定条件!$C$7*Z289,"運転",IF(AA289&lt;=判定条件!$C$8*Z289,"停止","断続")))</f>
        <v>停止</v>
      </c>
      <c r="AC289" s="30" t="n">
        <v>60</v>
      </c>
      <c r="AD289" s="30" t="n">
        <v>0</v>
      </c>
      <c r="AE289" s="30" t="str">
        <f aca="false">IF(AC289&lt;判定条件!$C$6,"判定不能",IF(AD289&gt;=判定条件!$C$7*AC289,"運転",IF(AD289&lt;=判定条件!$C$8*AC289,"停止","断続")))</f>
        <v>停止</v>
      </c>
      <c r="AF289" s="30" t="n">
        <v>60</v>
      </c>
      <c r="AG289" s="30" t="n">
        <v>0</v>
      </c>
      <c r="AH289" s="30" t="str">
        <f aca="false">IF(OR(P289="判定不能",G289="判定不能"),"判定不能",IF(AG289&gt;=判定条件!$C$9,"利用可",IF(AND(P289="停止",G289="停止"),"両方停止","運転がそろわない")))</f>
        <v>両方停止</v>
      </c>
      <c r="AI289" s="30" t="n">
        <v>60</v>
      </c>
      <c r="AJ289" s="30" t="n">
        <v>0</v>
      </c>
      <c r="AK289" s="30" t="str">
        <f aca="false">IF(OR(S289="判定不能",J289="判定不能"),"判定不能",IF(AJ289&gt;=判定条件!$C$9,"利用可",IF(AND(S289="停止",J289="停止"),"両方停止","運転がそろわない")))</f>
        <v>両方停止</v>
      </c>
      <c r="AL289" s="30" t="n">
        <v>60</v>
      </c>
      <c r="AM289" s="30" t="n">
        <v>0</v>
      </c>
      <c r="AN289" s="30" t="str">
        <f aca="false">IF(OR(V289="判定不能",M289="判定不能"),"判定不能",IF(AM289&gt;=判定条件!$C$9,"利用可",IF(AND(V289="停止",M289="停止"),"両方停止","運転がそろわない")))</f>
        <v>運転がそろわない</v>
      </c>
      <c r="AO289" s="30" t="n">
        <v>60</v>
      </c>
      <c r="AP289" s="30" t="n">
        <v>0</v>
      </c>
      <c r="AQ289" s="30" t="str">
        <f aca="false">IF(OR(Y289="判定不能",G289="判定不能"),"判定不能",IF(AP289&gt;=判定条件!$C$9,"利用可",IF(AND(Y289="停止",G289="停止"),"両方停止","運転がそろわない")))</f>
        <v>運転がそろわない</v>
      </c>
      <c r="AR289" s="30" t="n">
        <v>60</v>
      </c>
      <c r="AS289" s="30" t="n">
        <v>0</v>
      </c>
      <c r="AT289" s="30" t="str">
        <f aca="false">IF(OR(AB289="判定不能",J289="判定不能"),"判定不能",IF(AS289&gt;=判定条件!$C$9,"利用可",IF(AND(AB289="停止",J289="停止"),"両方停止","運転がそろわない")))</f>
        <v>両方停止</v>
      </c>
      <c r="AU289" s="30" t="n">
        <v>60</v>
      </c>
      <c r="AV289" s="30" t="n">
        <v>0</v>
      </c>
      <c r="AW289" s="30" t="str">
        <f aca="false">IF(OR(AE289="判定不能",M289="判定不能"),"判定不能",IF(AV289&gt;=判定条件!$C$9,"利用可",IF(AND(AE289="停止",M289="停止"),"両方停止","運転がそろわない")))</f>
        <v>運転がそろわない</v>
      </c>
      <c r="AX289" s="30" t="str">
        <f aca="false">IF(AND(AH289="利用可",AK289="利用可",AN289="利用可"),"利用可","不可")</f>
        <v>不可</v>
      </c>
      <c r="AY289" s="30" t="str">
        <f aca="false">IF(AND(AQ289="利用可",AT289="利用可",AW289="利用可"),"利用可","不可")</f>
        <v>不可</v>
      </c>
    </row>
    <row r="290" customFormat="false" ht="15" hidden="false" customHeight="false" outlineLevel="0" collapsed="false">
      <c r="A290" s="29" t="n">
        <v>46243</v>
      </c>
      <c r="B290" s="30" t="n">
        <v>23</v>
      </c>
      <c r="C290" s="31" t="s">
        <v>65</v>
      </c>
      <c r="D290" s="31" t="s">
        <v>64</v>
      </c>
      <c r="E290" s="30" t="n">
        <v>60</v>
      </c>
      <c r="F290" s="30" t="n">
        <v>0</v>
      </c>
      <c r="G290" s="30" t="str">
        <f aca="false">IF(E290&lt;判定条件!$C$6,"判定不能",IF(F290&gt;=判定条件!$C$7*E290,"運転",IF(F290&lt;=判定条件!$C$8*E290,"停止","断続")))</f>
        <v>停止</v>
      </c>
      <c r="H290" s="30" t="n">
        <v>60</v>
      </c>
      <c r="I290" s="30" t="n">
        <v>0</v>
      </c>
      <c r="J290" s="30" t="str">
        <f aca="false">IF(H290&lt;判定条件!$C$6,"判定不能",IF(I290&gt;=判定条件!$C$7*H290,"運転",IF(I290&lt;=判定条件!$C$8*H290,"停止","断続")))</f>
        <v>停止</v>
      </c>
      <c r="K290" s="30" t="n">
        <v>60</v>
      </c>
      <c r="L290" s="30" t="n">
        <v>60</v>
      </c>
      <c r="M290" s="30" t="str">
        <f aca="false">IF(K290&lt;判定条件!$C$6,"判定不能",IF(L290&gt;=判定条件!$C$7*K290,"運転",IF(L290&lt;=判定条件!$C$8*K290,"停止","断続")))</f>
        <v>運転</v>
      </c>
      <c r="N290" s="30" t="n">
        <v>60</v>
      </c>
      <c r="O290" s="30" t="n">
        <v>0</v>
      </c>
      <c r="P290" s="30" t="str">
        <f aca="false">IF(N290&lt;判定条件!$C$6,"判定不能",IF(O290&gt;=判定条件!$C$7*N290,"運転",IF(O290&lt;=判定条件!$C$8*N290,"停止","断続")))</f>
        <v>停止</v>
      </c>
      <c r="Q290" s="30" t="n">
        <v>60</v>
      </c>
      <c r="R290" s="30" t="n">
        <v>0</v>
      </c>
      <c r="S290" s="30" t="str">
        <f aca="false">IF(Q290&lt;判定条件!$C$6,"判定不能",IF(R290&gt;=判定条件!$C$7*Q290,"運転",IF(R290&lt;=判定条件!$C$8*Q290,"停止","断続")))</f>
        <v>停止</v>
      </c>
      <c r="T290" s="30" t="n">
        <v>60</v>
      </c>
      <c r="U290" s="30" t="n">
        <v>0</v>
      </c>
      <c r="V290" s="30" t="str">
        <f aca="false">IF(T290&lt;判定条件!$C$6,"判定不能",IF(U290&gt;=判定条件!$C$7*T290,"運転",IF(U290&lt;=判定条件!$C$8*T290,"停止","断続")))</f>
        <v>停止</v>
      </c>
      <c r="W290" s="30" t="n">
        <v>60</v>
      </c>
      <c r="X290" s="30" t="n">
        <v>0</v>
      </c>
      <c r="Y290" s="30" t="str">
        <f aca="false">IF(W290&lt;判定条件!$C$6,"判定不能",IF(X290&gt;=判定条件!$C$7*W290,"運転",IF(X290&lt;=判定条件!$C$8*W290,"停止","断続")))</f>
        <v>停止</v>
      </c>
      <c r="Z290" s="30" t="n">
        <v>60</v>
      </c>
      <c r="AA290" s="30" t="n">
        <v>0</v>
      </c>
      <c r="AB290" s="30" t="str">
        <f aca="false">IF(Z290&lt;判定条件!$C$6,"判定不能",IF(AA290&gt;=判定条件!$C$7*Z290,"運転",IF(AA290&lt;=判定条件!$C$8*Z290,"停止","断続")))</f>
        <v>停止</v>
      </c>
      <c r="AC290" s="30" t="n">
        <v>60</v>
      </c>
      <c r="AD290" s="30" t="n">
        <v>0</v>
      </c>
      <c r="AE290" s="30" t="str">
        <f aca="false">IF(AC290&lt;判定条件!$C$6,"判定不能",IF(AD290&gt;=判定条件!$C$7*AC290,"運転",IF(AD290&lt;=判定条件!$C$8*AC290,"停止","断続")))</f>
        <v>停止</v>
      </c>
      <c r="AF290" s="30" t="n">
        <v>60</v>
      </c>
      <c r="AG290" s="30" t="n">
        <v>0</v>
      </c>
      <c r="AH290" s="30" t="str">
        <f aca="false">IF(OR(P290="判定不能",G290="判定不能"),"判定不能",IF(AG290&gt;=判定条件!$C$9,"利用可",IF(AND(P290="停止",G290="停止"),"両方停止","運転がそろわない")))</f>
        <v>両方停止</v>
      </c>
      <c r="AI290" s="30" t="n">
        <v>60</v>
      </c>
      <c r="AJ290" s="30" t="n">
        <v>0</v>
      </c>
      <c r="AK290" s="30" t="str">
        <f aca="false">IF(OR(S290="判定不能",J290="判定不能"),"判定不能",IF(AJ290&gt;=判定条件!$C$9,"利用可",IF(AND(S290="停止",J290="停止"),"両方停止","運転がそろわない")))</f>
        <v>両方停止</v>
      </c>
      <c r="AL290" s="30" t="n">
        <v>60</v>
      </c>
      <c r="AM290" s="30" t="n">
        <v>0</v>
      </c>
      <c r="AN290" s="30" t="str">
        <f aca="false">IF(OR(V290="判定不能",M290="判定不能"),"判定不能",IF(AM290&gt;=判定条件!$C$9,"利用可",IF(AND(V290="停止",M290="停止"),"両方停止","運転がそろわない")))</f>
        <v>運転がそろわない</v>
      </c>
      <c r="AO290" s="30" t="n">
        <v>60</v>
      </c>
      <c r="AP290" s="30" t="n">
        <v>0</v>
      </c>
      <c r="AQ290" s="30" t="str">
        <f aca="false">IF(OR(Y290="判定不能",G290="判定不能"),"判定不能",IF(AP290&gt;=判定条件!$C$9,"利用可",IF(AND(Y290="停止",G290="停止"),"両方停止","運転がそろわない")))</f>
        <v>両方停止</v>
      </c>
      <c r="AR290" s="30" t="n">
        <v>60</v>
      </c>
      <c r="AS290" s="30" t="n">
        <v>0</v>
      </c>
      <c r="AT290" s="30" t="str">
        <f aca="false">IF(OR(AB290="判定不能",J290="判定不能"),"判定不能",IF(AS290&gt;=判定条件!$C$9,"利用可",IF(AND(AB290="停止",J290="停止"),"両方停止","運転がそろわない")))</f>
        <v>両方停止</v>
      </c>
      <c r="AU290" s="30" t="n">
        <v>60</v>
      </c>
      <c r="AV290" s="30" t="n">
        <v>0</v>
      </c>
      <c r="AW290" s="30" t="str">
        <f aca="false">IF(OR(AE290="判定不能",M290="判定不能"),"判定不能",IF(AV290&gt;=判定条件!$C$9,"利用可",IF(AND(AE290="停止",M290="停止"),"両方停止","運転がそろわない")))</f>
        <v>運転がそろわない</v>
      </c>
      <c r="AX290" s="30" t="str">
        <f aca="false">IF(AND(AH290="利用可",AK290="利用可",AN290="利用可"),"利用可","不可")</f>
        <v>不可</v>
      </c>
      <c r="AY290" s="30" t="str">
        <f aca="false">IF(AND(AQ290="利用可",AT290="利用可",AW290="利用可"),"利用可","不可")</f>
        <v>不可</v>
      </c>
    </row>
    <row r="291" customFormat="false" ht="15" hidden="false" customHeight="false" outlineLevel="0" collapsed="false">
      <c r="A291" s="29" t="n">
        <v>46244</v>
      </c>
      <c r="B291" s="30" t="n">
        <v>0</v>
      </c>
      <c r="C291" s="31" t="s">
        <v>66</v>
      </c>
      <c r="D291" s="31" t="s">
        <v>59</v>
      </c>
      <c r="E291" s="30" t="n">
        <v>60</v>
      </c>
      <c r="F291" s="30" t="n">
        <v>0</v>
      </c>
      <c r="G291" s="30" t="str">
        <f aca="false">IF(E291&lt;判定条件!$C$6,"判定不能",IF(F291&gt;=判定条件!$C$7*E291,"運転",IF(F291&lt;=判定条件!$C$8*E291,"停止","断続")))</f>
        <v>停止</v>
      </c>
      <c r="H291" s="30" t="n">
        <v>60</v>
      </c>
      <c r="I291" s="30" t="n">
        <v>0</v>
      </c>
      <c r="J291" s="30" t="str">
        <f aca="false">IF(H291&lt;判定条件!$C$6,"判定不能",IF(I291&gt;=判定条件!$C$7*H291,"運転",IF(I291&lt;=判定条件!$C$8*H291,"停止","断続")))</f>
        <v>停止</v>
      </c>
      <c r="K291" s="30" t="n">
        <v>60</v>
      </c>
      <c r="L291" s="30" t="n">
        <v>60</v>
      </c>
      <c r="M291" s="30" t="str">
        <f aca="false">IF(K291&lt;判定条件!$C$6,"判定不能",IF(L291&gt;=判定条件!$C$7*K291,"運転",IF(L291&lt;=判定条件!$C$8*K291,"停止","断続")))</f>
        <v>運転</v>
      </c>
      <c r="N291" s="30" t="n">
        <v>60</v>
      </c>
      <c r="O291" s="30" t="n">
        <v>0</v>
      </c>
      <c r="P291" s="30" t="str">
        <f aca="false">IF(N291&lt;判定条件!$C$6,"判定不能",IF(O291&gt;=判定条件!$C$7*N291,"運転",IF(O291&lt;=判定条件!$C$8*N291,"停止","断続")))</f>
        <v>停止</v>
      </c>
      <c r="Q291" s="30" t="n">
        <v>60</v>
      </c>
      <c r="R291" s="30" t="n">
        <v>0</v>
      </c>
      <c r="S291" s="30" t="str">
        <f aca="false">IF(Q291&lt;判定条件!$C$6,"判定不能",IF(R291&gt;=判定条件!$C$7*Q291,"運転",IF(R291&lt;=判定条件!$C$8*Q291,"停止","断続")))</f>
        <v>停止</v>
      </c>
      <c r="T291" s="30" t="n">
        <v>60</v>
      </c>
      <c r="U291" s="30" t="n">
        <v>0</v>
      </c>
      <c r="V291" s="30" t="str">
        <f aca="false">IF(T291&lt;判定条件!$C$6,"判定不能",IF(U291&gt;=判定条件!$C$7*T291,"運転",IF(U291&lt;=判定条件!$C$8*T291,"停止","断続")))</f>
        <v>停止</v>
      </c>
      <c r="W291" s="30" t="n">
        <v>60</v>
      </c>
      <c r="X291" s="30" t="n">
        <v>0</v>
      </c>
      <c r="Y291" s="30" t="str">
        <f aca="false">IF(W291&lt;判定条件!$C$6,"判定不能",IF(X291&gt;=判定条件!$C$7*W291,"運転",IF(X291&lt;=判定条件!$C$8*W291,"停止","断続")))</f>
        <v>停止</v>
      </c>
      <c r="Z291" s="30" t="n">
        <v>60</v>
      </c>
      <c r="AA291" s="30" t="n">
        <v>0</v>
      </c>
      <c r="AB291" s="30" t="str">
        <f aca="false">IF(Z291&lt;判定条件!$C$6,"判定不能",IF(AA291&gt;=判定条件!$C$7*Z291,"運転",IF(AA291&lt;=判定条件!$C$8*Z291,"停止","断続")))</f>
        <v>停止</v>
      </c>
      <c r="AC291" s="30" t="n">
        <v>60</v>
      </c>
      <c r="AD291" s="30" t="n">
        <v>0</v>
      </c>
      <c r="AE291" s="30" t="str">
        <f aca="false">IF(AC291&lt;判定条件!$C$6,"判定不能",IF(AD291&gt;=判定条件!$C$7*AC291,"運転",IF(AD291&lt;=判定条件!$C$8*AC291,"停止","断続")))</f>
        <v>停止</v>
      </c>
      <c r="AF291" s="30" t="n">
        <v>60</v>
      </c>
      <c r="AG291" s="30" t="n">
        <v>0</v>
      </c>
      <c r="AH291" s="30" t="str">
        <f aca="false">IF(OR(P291="判定不能",G291="判定不能"),"判定不能",IF(AG291&gt;=判定条件!$C$9,"利用可",IF(AND(P291="停止",G291="停止"),"両方停止","運転がそろわない")))</f>
        <v>両方停止</v>
      </c>
      <c r="AI291" s="30" t="n">
        <v>60</v>
      </c>
      <c r="AJ291" s="30" t="n">
        <v>0</v>
      </c>
      <c r="AK291" s="30" t="str">
        <f aca="false">IF(OR(S291="判定不能",J291="判定不能"),"判定不能",IF(AJ291&gt;=判定条件!$C$9,"利用可",IF(AND(S291="停止",J291="停止"),"両方停止","運転がそろわない")))</f>
        <v>両方停止</v>
      </c>
      <c r="AL291" s="30" t="n">
        <v>60</v>
      </c>
      <c r="AM291" s="30" t="n">
        <v>0</v>
      </c>
      <c r="AN291" s="30" t="str">
        <f aca="false">IF(OR(V291="判定不能",M291="判定不能"),"判定不能",IF(AM291&gt;=判定条件!$C$9,"利用可",IF(AND(V291="停止",M291="停止"),"両方停止","運転がそろわない")))</f>
        <v>運転がそろわない</v>
      </c>
      <c r="AO291" s="30" t="n">
        <v>60</v>
      </c>
      <c r="AP291" s="30" t="n">
        <v>0</v>
      </c>
      <c r="AQ291" s="30" t="str">
        <f aca="false">IF(OR(Y291="判定不能",G291="判定不能"),"判定不能",IF(AP291&gt;=判定条件!$C$9,"利用可",IF(AND(Y291="停止",G291="停止"),"両方停止","運転がそろわない")))</f>
        <v>両方停止</v>
      </c>
      <c r="AR291" s="30" t="n">
        <v>60</v>
      </c>
      <c r="AS291" s="30" t="n">
        <v>0</v>
      </c>
      <c r="AT291" s="30" t="str">
        <f aca="false">IF(OR(AB291="判定不能",J291="判定不能"),"判定不能",IF(AS291&gt;=判定条件!$C$9,"利用可",IF(AND(AB291="停止",J291="停止"),"両方停止","運転がそろわない")))</f>
        <v>両方停止</v>
      </c>
      <c r="AU291" s="30" t="n">
        <v>60</v>
      </c>
      <c r="AV291" s="30" t="n">
        <v>0</v>
      </c>
      <c r="AW291" s="30" t="str">
        <f aca="false">IF(OR(AE291="判定不能",M291="判定不能"),"判定不能",IF(AV291&gt;=判定条件!$C$9,"利用可",IF(AND(AE291="停止",M291="停止"),"両方停止","運転がそろわない")))</f>
        <v>運転がそろわない</v>
      </c>
      <c r="AX291" s="30" t="str">
        <f aca="false">IF(AND(AH291="利用可",AK291="利用可",AN291="利用可"),"利用可","不可")</f>
        <v>不可</v>
      </c>
      <c r="AY291" s="30" t="str">
        <f aca="false">IF(AND(AQ291="利用可",AT291="利用可",AW291="利用可"),"利用可","不可")</f>
        <v>不可</v>
      </c>
    </row>
    <row r="292" customFormat="false" ht="15" hidden="false" customHeight="false" outlineLevel="0" collapsed="false">
      <c r="A292" s="29" t="n">
        <v>46244</v>
      </c>
      <c r="B292" s="30" t="n">
        <v>1</v>
      </c>
      <c r="C292" s="31" t="s">
        <v>66</v>
      </c>
      <c r="D292" s="31" t="s">
        <v>59</v>
      </c>
      <c r="E292" s="30" t="n">
        <v>60</v>
      </c>
      <c r="F292" s="30" t="n">
        <v>0</v>
      </c>
      <c r="G292" s="30" t="str">
        <f aca="false">IF(E292&lt;判定条件!$C$6,"判定不能",IF(F292&gt;=判定条件!$C$7*E292,"運転",IF(F292&lt;=判定条件!$C$8*E292,"停止","断続")))</f>
        <v>停止</v>
      </c>
      <c r="H292" s="30" t="n">
        <v>60</v>
      </c>
      <c r="I292" s="30" t="n">
        <v>0</v>
      </c>
      <c r="J292" s="30" t="str">
        <f aca="false">IF(H292&lt;判定条件!$C$6,"判定不能",IF(I292&gt;=判定条件!$C$7*H292,"運転",IF(I292&lt;=判定条件!$C$8*H292,"停止","断続")))</f>
        <v>停止</v>
      </c>
      <c r="K292" s="30" t="n">
        <v>60</v>
      </c>
      <c r="L292" s="30" t="n">
        <v>60</v>
      </c>
      <c r="M292" s="30" t="str">
        <f aca="false">IF(K292&lt;判定条件!$C$6,"判定不能",IF(L292&gt;=判定条件!$C$7*K292,"運転",IF(L292&lt;=判定条件!$C$8*K292,"停止","断続")))</f>
        <v>運転</v>
      </c>
      <c r="N292" s="30" t="n">
        <v>60</v>
      </c>
      <c r="O292" s="30" t="n">
        <v>0</v>
      </c>
      <c r="P292" s="30" t="str">
        <f aca="false">IF(N292&lt;判定条件!$C$6,"判定不能",IF(O292&gt;=判定条件!$C$7*N292,"運転",IF(O292&lt;=判定条件!$C$8*N292,"停止","断続")))</f>
        <v>停止</v>
      </c>
      <c r="Q292" s="30" t="n">
        <v>60</v>
      </c>
      <c r="R292" s="30" t="n">
        <v>0</v>
      </c>
      <c r="S292" s="30" t="str">
        <f aca="false">IF(Q292&lt;判定条件!$C$6,"判定不能",IF(R292&gt;=判定条件!$C$7*Q292,"運転",IF(R292&lt;=判定条件!$C$8*Q292,"停止","断続")))</f>
        <v>停止</v>
      </c>
      <c r="T292" s="30" t="n">
        <v>60</v>
      </c>
      <c r="U292" s="30" t="n">
        <v>0</v>
      </c>
      <c r="V292" s="30" t="str">
        <f aca="false">IF(T292&lt;判定条件!$C$6,"判定不能",IF(U292&gt;=判定条件!$C$7*T292,"運転",IF(U292&lt;=判定条件!$C$8*T292,"停止","断続")))</f>
        <v>停止</v>
      </c>
      <c r="W292" s="30" t="n">
        <v>60</v>
      </c>
      <c r="X292" s="30" t="n">
        <v>2</v>
      </c>
      <c r="Y292" s="30" t="str">
        <f aca="false">IF(W292&lt;判定条件!$C$6,"判定不能",IF(X292&gt;=判定条件!$C$7*W292,"運転",IF(X292&lt;=判定条件!$C$8*W292,"停止","断続")))</f>
        <v>停止</v>
      </c>
      <c r="Z292" s="30" t="n">
        <v>60</v>
      </c>
      <c r="AA292" s="30" t="n">
        <v>0</v>
      </c>
      <c r="AB292" s="30" t="str">
        <f aca="false">IF(Z292&lt;判定条件!$C$6,"判定不能",IF(AA292&gt;=判定条件!$C$7*Z292,"運転",IF(AA292&lt;=判定条件!$C$8*Z292,"停止","断続")))</f>
        <v>停止</v>
      </c>
      <c r="AC292" s="30" t="n">
        <v>60</v>
      </c>
      <c r="AD292" s="30" t="n">
        <v>0</v>
      </c>
      <c r="AE292" s="30" t="str">
        <f aca="false">IF(AC292&lt;判定条件!$C$6,"判定不能",IF(AD292&gt;=判定条件!$C$7*AC292,"運転",IF(AD292&lt;=判定条件!$C$8*AC292,"停止","断続")))</f>
        <v>停止</v>
      </c>
      <c r="AF292" s="30" t="n">
        <v>60</v>
      </c>
      <c r="AG292" s="30" t="n">
        <v>0</v>
      </c>
      <c r="AH292" s="30" t="str">
        <f aca="false">IF(OR(P292="判定不能",G292="判定不能"),"判定不能",IF(AG292&gt;=判定条件!$C$9,"利用可",IF(AND(P292="停止",G292="停止"),"両方停止","運転がそろわない")))</f>
        <v>両方停止</v>
      </c>
      <c r="AI292" s="30" t="n">
        <v>60</v>
      </c>
      <c r="AJ292" s="30" t="n">
        <v>0</v>
      </c>
      <c r="AK292" s="30" t="str">
        <f aca="false">IF(OR(S292="判定不能",J292="判定不能"),"判定不能",IF(AJ292&gt;=判定条件!$C$9,"利用可",IF(AND(S292="停止",J292="停止"),"両方停止","運転がそろわない")))</f>
        <v>両方停止</v>
      </c>
      <c r="AL292" s="30" t="n">
        <v>60</v>
      </c>
      <c r="AM292" s="30" t="n">
        <v>0</v>
      </c>
      <c r="AN292" s="30" t="str">
        <f aca="false">IF(OR(V292="判定不能",M292="判定不能"),"判定不能",IF(AM292&gt;=判定条件!$C$9,"利用可",IF(AND(V292="停止",M292="停止"),"両方停止","運転がそろわない")))</f>
        <v>運転がそろわない</v>
      </c>
      <c r="AO292" s="30" t="n">
        <v>60</v>
      </c>
      <c r="AP292" s="30" t="n">
        <v>0</v>
      </c>
      <c r="AQ292" s="30" t="str">
        <f aca="false">IF(OR(Y292="判定不能",G292="判定不能"),"判定不能",IF(AP292&gt;=判定条件!$C$9,"利用可",IF(AND(Y292="停止",G292="停止"),"両方停止","運転がそろわない")))</f>
        <v>両方停止</v>
      </c>
      <c r="AR292" s="30" t="n">
        <v>60</v>
      </c>
      <c r="AS292" s="30" t="n">
        <v>0</v>
      </c>
      <c r="AT292" s="30" t="str">
        <f aca="false">IF(OR(AB292="判定不能",J292="判定不能"),"判定不能",IF(AS292&gt;=判定条件!$C$9,"利用可",IF(AND(AB292="停止",J292="停止"),"両方停止","運転がそろわない")))</f>
        <v>両方停止</v>
      </c>
      <c r="AU292" s="30" t="n">
        <v>60</v>
      </c>
      <c r="AV292" s="30" t="n">
        <v>0</v>
      </c>
      <c r="AW292" s="30" t="str">
        <f aca="false">IF(OR(AE292="判定不能",M292="判定不能"),"判定不能",IF(AV292&gt;=判定条件!$C$9,"利用可",IF(AND(AE292="停止",M292="停止"),"両方停止","運転がそろわない")))</f>
        <v>運転がそろわない</v>
      </c>
      <c r="AX292" s="30" t="str">
        <f aca="false">IF(AND(AH292="利用可",AK292="利用可",AN292="利用可"),"利用可","不可")</f>
        <v>不可</v>
      </c>
      <c r="AY292" s="30" t="str">
        <f aca="false">IF(AND(AQ292="利用可",AT292="利用可",AW292="利用可"),"利用可","不可")</f>
        <v>不可</v>
      </c>
    </row>
    <row r="293" customFormat="false" ht="15" hidden="false" customHeight="false" outlineLevel="0" collapsed="false">
      <c r="A293" s="29" t="n">
        <v>46244</v>
      </c>
      <c r="B293" s="30" t="n">
        <v>2</v>
      </c>
      <c r="C293" s="31" t="s">
        <v>66</v>
      </c>
      <c r="D293" s="31" t="s">
        <v>59</v>
      </c>
      <c r="E293" s="30" t="n">
        <v>60</v>
      </c>
      <c r="F293" s="30" t="n">
        <v>0</v>
      </c>
      <c r="G293" s="30" t="str">
        <f aca="false">IF(E293&lt;判定条件!$C$6,"判定不能",IF(F293&gt;=判定条件!$C$7*E293,"運転",IF(F293&lt;=判定条件!$C$8*E293,"停止","断続")))</f>
        <v>停止</v>
      </c>
      <c r="H293" s="30" t="n">
        <v>60</v>
      </c>
      <c r="I293" s="30" t="n">
        <v>0</v>
      </c>
      <c r="J293" s="30" t="str">
        <f aca="false">IF(H293&lt;判定条件!$C$6,"判定不能",IF(I293&gt;=判定条件!$C$7*H293,"運転",IF(I293&lt;=判定条件!$C$8*H293,"停止","断続")))</f>
        <v>停止</v>
      </c>
      <c r="K293" s="30" t="n">
        <v>60</v>
      </c>
      <c r="L293" s="30" t="n">
        <v>60</v>
      </c>
      <c r="M293" s="30" t="str">
        <f aca="false">IF(K293&lt;判定条件!$C$6,"判定不能",IF(L293&gt;=判定条件!$C$7*K293,"運転",IF(L293&lt;=判定条件!$C$8*K293,"停止","断続")))</f>
        <v>運転</v>
      </c>
      <c r="N293" s="30" t="n">
        <v>60</v>
      </c>
      <c r="O293" s="30" t="n">
        <v>0</v>
      </c>
      <c r="P293" s="30" t="str">
        <f aca="false">IF(N293&lt;判定条件!$C$6,"判定不能",IF(O293&gt;=判定条件!$C$7*N293,"運転",IF(O293&lt;=判定条件!$C$8*N293,"停止","断続")))</f>
        <v>停止</v>
      </c>
      <c r="Q293" s="30" t="n">
        <v>60</v>
      </c>
      <c r="R293" s="30" t="n">
        <v>0</v>
      </c>
      <c r="S293" s="30" t="str">
        <f aca="false">IF(Q293&lt;判定条件!$C$6,"判定不能",IF(R293&gt;=判定条件!$C$7*Q293,"運転",IF(R293&lt;=判定条件!$C$8*Q293,"停止","断続")))</f>
        <v>停止</v>
      </c>
      <c r="T293" s="30" t="n">
        <v>60</v>
      </c>
      <c r="U293" s="30" t="n">
        <v>0</v>
      </c>
      <c r="V293" s="30" t="str">
        <f aca="false">IF(T293&lt;判定条件!$C$6,"判定不能",IF(U293&gt;=判定条件!$C$7*T293,"運転",IF(U293&lt;=判定条件!$C$8*T293,"停止","断続")))</f>
        <v>停止</v>
      </c>
      <c r="W293" s="30" t="n">
        <v>60</v>
      </c>
      <c r="X293" s="30" t="n">
        <v>0</v>
      </c>
      <c r="Y293" s="30" t="str">
        <f aca="false">IF(W293&lt;判定条件!$C$6,"判定不能",IF(X293&gt;=判定条件!$C$7*W293,"運転",IF(X293&lt;=判定条件!$C$8*W293,"停止","断続")))</f>
        <v>停止</v>
      </c>
      <c r="Z293" s="30" t="n">
        <v>60</v>
      </c>
      <c r="AA293" s="30" t="n">
        <v>0</v>
      </c>
      <c r="AB293" s="30" t="str">
        <f aca="false">IF(Z293&lt;判定条件!$C$6,"判定不能",IF(AA293&gt;=判定条件!$C$7*Z293,"運転",IF(AA293&lt;=判定条件!$C$8*Z293,"停止","断続")))</f>
        <v>停止</v>
      </c>
      <c r="AC293" s="30" t="n">
        <v>60</v>
      </c>
      <c r="AD293" s="30" t="n">
        <v>0</v>
      </c>
      <c r="AE293" s="30" t="str">
        <f aca="false">IF(AC293&lt;判定条件!$C$6,"判定不能",IF(AD293&gt;=判定条件!$C$7*AC293,"運転",IF(AD293&lt;=判定条件!$C$8*AC293,"停止","断続")))</f>
        <v>停止</v>
      </c>
      <c r="AF293" s="30" t="n">
        <v>60</v>
      </c>
      <c r="AG293" s="30" t="n">
        <v>0</v>
      </c>
      <c r="AH293" s="30" t="str">
        <f aca="false">IF(OR(P293="判定不能",G293="判定不能"),"判定不能",IF(AG293&gt;=判定条件!$C$9,"利用可",IF(AND(P293="停止",G293="停止"),"両方停止","運転がそろわない")))</f>
        <v>両方停止</v>
      </c>
      <c r="AI293" s="30" t="n">
        <v>60</v>
      </c>
      <c r="AJ293" s="30" t="n">
        <v>0</v>
      </c>
      <c r="AK293" s="30" t="str">
        <f aca="false">IF(OR(S293="判定不能",J293="判定不能"),"判定不能",IF(AJ293&gt;=判定条件!$C$9,"利用可",IF(AND(S293="停止",J293="停止"),"両方停止","運転がそろわない")))</f>
        <v>両方停止</v>
      </c>
      <c r="AL293" s="30" t="n">
        <v>60</v>
      </c>
      <c r="AM293" s="30" t="n">
        <v>0</v>
      </c>
      <c r="AN293" s="30" t="str">
        <f aca="false">IF(OR(V293="判定不能",M293="判定不能"),"判定不能",IF(AM293&gt;=判定条件!$C$9,"利用可",IF(AND(V293="停止",M293="停止"),"両方停止","運転がそろわない")))</f>
        <v>運転がそろわない</v>
      </c>
      <c r="AO293" s="30" t="n">
        <v>60</v>
      </c>
      <c r="AP293" s="30" t="n">
        <v>0</v>
      </c>
      <c r="AQ293" s="30" t="str">
        <f aca="false">IF(OR(Y293="判定不能",G293="判定不能"),"判定不能",IF(AP293&gt;=判定条件!$C$9,"利用可",IF(AND(Y293="停止",G293="停止"),"両方停止","運転がそろわない")))</f>
        <v>両方停止</v>
      </c>
      <c r="AR293" s="30" t="n">
        <v>60</v>
      </c>
      <c r="AS293" s="30" t="n">
        <v>0</v>
      </c>
      <c r="AT293" s="30" t="str">
        <f aca="false">IF(OR(AB293="判定不能",J293="判定不能"),"判定不能",IF(AS293&gt;=判定条件!$C$9,"利用可",IF(AND(AB293="停止",J293="停止"),"両方停止","運転がそろわない")))</f>
        <v>両方停止</v>
      </c>
      <c r="AU293" s="30" t="n">
        <v>60</v>
      </c>
      <c r="AV293" s="30" t="n">
        <v>0</v>
      </c>
      <c r="AW293" s="30" t="str">
        <f aca="false">IF(OR(AE293="判定不能",M293="判定不能"),"判定不能",IF(AV293&gt;=判定条件!$C$9,"利用可",IF(AND(AE293="停止",M293="停止"),"両方停止","運転がそろわない")))</f>
        <v>運転がそろわない</v>
      </c>
      <c r="AX293" s="30" t="str">
        <f aca="false">IF(AND(AH293="利用可",AK293="利用可",AN293="利用可"),"利用可","不可")</f>
        <v>不可</v>
      </c>
      <c r="AY293" s="30" t="str">
        <f aca="false">IF(AND(AQ293="利用可",AT293="利用可",AW293="利用可"),"利用可","不可")</f>
        <v>不可</v>
      </c>
    </row>
    <row r="294" customFormat="false" ht="15" hidden="false" customHeight="false" outlineLevel="0" collapsed="false">
      <c r="A294" s="29" t="n">
        <v>46244</v>
      </c>
      <c r="B294" s="30" t="n">
        <v>3</v>
      </c>
      <c r="C294" s="31" t="s">
        <v>66</v>
      </c>
      <c r="D294" s="31" t="s">
        <v>59</v>
      </c>
      <c r="E294" s="30" t="n">
        <v>60</v>
      </c>
      <c r="F294" s="30" t="n">
        <v>0</v>
      </c>
      <c r="G294" s="30" t="str">
        <f aca="false">IF(E294&lt;判定条件!$C$6,"判定不能",IF(F294&gt;=判定条件!$C$7*E294,"運転",IF(F294&lt;=判定条件!$C$8*E294,"停止","断続")))</f>
        <v>停止</v>
      </c>
      <c r="H294" s="30" t="n">
        <v>60</v>
      </c>
      <c r="I294" s="30" t="n">
        <v>0</v>
      </c>
      <c r="J294" s="30" t="str">
        <f aca="false">IF(H294&lt;判定条件!$C$6,"判定不能",IF(I294&gt;=判定条件!$C$7*H294,"運転",IF(I294&lt;=判定条件!$C$8*H294,"停止","断続")))</f>
        <v>停止</v>
      </c>
      <c r="K294" s="30" t="n">
        <v>60</v>
      </c>
      <c r="L294" s="30" t="n">
        <v>60</v>
      </c>
      <c r="M294" s="30" t="str">
        <f aca="false">IF(K294&lt;判定条件!$C$6,"判定不能",IF(L294&gt;=判定条件!$C$7*K294,"運転",IF(L294&lt;=判定条件!$C$8*K294,"停止","断続")))</f>
        <v>運転</v>
      </c>
      <c r="N294" s="30" t="n">
        <v>60</v>
      </c>
      <c r="O294" s="30" t="n">
        <v>0</v>
      </c>
      <c r="P294" s="30" t="str">
        <f aca="false">IF(N294&lt;判定条件!$C$6,"判定不能",IF(O294&gt;=判定条件!$C$7*N294,"運転",IF(O294&lt;=判定条件!$C$8*N294,"停止","断続")))</f>
        <v>停止</v>
      </c>
      <c r="Q294" s="30" t="n">
        <v>60</v>
      </c>
      <c r="R294" s="30" t="n">
        <v>0</v>
      </c>
      <c r="S294" s="30" t="str">
        <f aca="false">IF(Q294&lt;判定条件!$C$6,"判定不能",IF(R294&gt;=判定条件!$C$7*Q294,"運転",IF(R294&lt;=判定条件!$C$8*Q294,"停止","断続")))</f>
        <v>停止</v>
      </c>
      <c r="T294" s="30" t="n">
        <v>60</v>
      </c>
      <c r="U294" s="30" t="n">
        <v>0</v>
      </c>
      <c r="V294" s="30" t="str">
        <f aca="false">IF(T294&lt;判定条件!$C$6,"判定不能",IF(U294&gt;=判定条件!$C$7*T294,"運転",IF(U294&lt;=判定条件!$C$8*T294,"停止","断続")))</f>
        <v>停止</v>
      </c>
      <c r="W294" s="30" t="n">
        <v>60</v>
      </c>
      <c r="X294" s="30" t="n">
        <v>0</v>
      </c>
      <c r="Y294" s="30" t="str">
        <f aca="false">IF(W294&lt;判定条件!$C$6,"判定不能",IF(X294&gt;=判定条件!$C$7*W294,"運転",IF(X294&lt;=判定条件!$C$8*W294,"停止","断続")))</f>
        <v>停止</v>
      </c>
      <c r="Z294" s="30" t="n">
        <v>60</v>
      </c>
      <c r="AA294" s="30" t="n">
        <v>0</v>
      </c>
      <c r="AB294" s="30" t="str">
        <f aca="false">IF(Z294&lt;判定条件!$C$6,"判定不能",IF(AA294&gt;=判定条件!$C$7*Z294,"運転",IF(AA294&lt;=判定条件!$C$8*Z294,"停止","断続")))</f>
        <v>停止</v>
      </c>
      <c r="AC294" s="30" t="n">
        <v>60</v>
      </c>
      <c r="AD294" s="30" t="n">
        <v>0</v>
      </c>
      <c r="AE294" s="30" t="str">
        <f aca="false">IF(AC294&lt;判定条件!$C$6,"判定不能",IF(AD294&gt;=判定条件!$C$7*AC294,"運転",IF(AD294&lt;=判定条件!$C$8*AC294,"停止","断続")))</f>
        <v>停止</v>
      </c>
      <c r="AF294" s="30" t="n">
        <v>60</v>
      </c>
      <c r="AG294" s="30" t="n">
        <v>0</v>
      </c>
      <c r="AH294" s="30" t="str">
        <f aca="false">IF(OR(P294="判定不能",G294="判定不能"),"判定不能",IF(AG294&gt;=判定条件!$C$9,"利用可",IF(AND(P294="停止",G294="停止"),"両方停止","運転がそろわない")))</f>
        <v>両方停止</v>
      </c>
      <c r="AI294" s="30" t="n">
        <v>60</v>
      </c>
      <c r="AJ294" s="30" t="n">
        <v>0</v>
      </c>
      <c r="AK294" s="30" t="str">
        <f aca="false">IF(OR(S294="判定不能",J294="判定不能"),"判定不能",IF(AJ294&gt;=判定条件!$C$9,"利用可",IF(AND(S294="停止",J294="停止"),"両方停止","運転がそろわない")))</f>
        <v>両方停止</v>
      </c>
      <c r="AL294" s="30" t="n">
        <v>60</v>
      </c>
      <c r="AM294" s="30" t="n">
        <v>0</v>
      </c>
      <c r="AN294" s="30" t="str">
        <f aca="false">IF(OR(V294="判定不能",M294="判定不能"),"判定不能",IF(AM294&gt;=判定条件!$C$9,"利用可",IF(AND(V294="停止",M294="停止"),"両方停止","運転がそろわない")))</f>
        <v>運転がそろわない</v>
      </c>
      <c r="AO294" s="30" t="n">
        <v>60</v>
      </c>
      <c r="AP294" s="30" t="n">
        <v>0</v>
      </c>
      <c r="AQ294" s="30" t="str">
        <f aca="false">IF(OR(Y294="判定不能",G294="判定不能"),"判定不能",IF(AP294&gt;=判定条件!$C$9,"利用可",IF(AND(Y294="停止",G294="停止"),"両方停止","運転がそろわない")))</f>
        <v>両方停止</v>
      </c>
      <c r="AR294" s="30" t="n">
        <v>60</v>
      </c>
      <c r="AS294" s="30" t="n">
        <v>0</v>
      </c>
      <c r="AT294" s="30" t="str">
        <f aca="false">IF(OR(AB294="判定不能",J294="判定不能"),"判定不能",IF(AS294&gt;=判定条件!$C$9,"利用可",IF(AND(AB294="停止",J294="停止"),"両方停止","運転がそろわない")))</f>
        <v>両方停止</v>
      </c>
      <c r="AU294" s="30" t="n">
        <v>60</v>
      </c>
      <c r="AV294" s="30" t="n">
        <v>0</v>
      </c>
      <c r="AW294" s="30" t="str">
        <f aca="false">IF(OR(AE294="判定不能",M294="判定不能"),"判定不能",IF(AV294&gt;=判定条件!$C$9,"利用可",IF(AND(AE294="停止",M294="停止"),"両方停止","運転がそろわない")))</f>
        <v>運転がそろわない</v>
      </c>
      <c r="AX294" s="30" t="str">
        <f aca="false">IF(AND(AH294="利用可",AK294="利用可",AN294="利用可"),"利用可","不可")</f>
        <v>不可</v>
      </c>
      <c r="AY294" s="30" t="str">
        <f aca="false">IF(AND(AQ294="利用可",AT294="利用可",AW294="利用可"),"利用可","不可")</f>
        <v>不可</v>
      </c>
    </row>
    <row r="295" customFormat="false" ht="15" hidden="false" customHeight="false" outlineLevel="0" collapsed="false">
      <c r="A295" s="29" t="n">
        <v>46244</v>
      </c>
      <c r="B295" s="30" t="n">
        <v>4</v>
      </c>
      <c r="C295" s="31" t="s">
        <v>66</v>
      </c>
      <c r="D295" s="31" t="s">
        <v>59</v>
      </c>
      <c r="E295" s="30" t="n">
        <v>60</v>
      </c>
      <c r="F295" s="30" t="n">
        <v>0</v>
      </c>
      <c r="G295" s="30" t="str">
        <f aca="false">IF(E295&lt;判定条件!$C$6,"判定不能",IF(F295&gt;=判定条件!$C$7*E295,"運転",IF(F295&lt;=判定条件!$C$8*E295,"停止","断続")))</f>
        <v>停止</v>
      </c>
      <c r="H295" s="30" t="n">
        <v>60</v>
      </c>
      <c r="I295" s="30" t="n">
        <v>0</v>
      </c>
      <c r="J295" s="30" t="str">
        <f aca="false">IF(H295&lt;判定条件!$C$6,"判定不能",IF(I295&gt;=判定条件!$C$7*H295,"運転",IF(I295&lt;=判定条件!$C$8*H295,"停止","断続")))</f>
        <v>停止</v>
      </c>
      <c r="K295" s="30" t="n">
        <v>60</v>
      </c>
      <c r="L295" s="30" t="n">
        <v>60</v>
      </c>
      <c r="M295" s="30" t="str">
        <f aca="false">IF(K295&lt;判定条件!$C$6,"判定不能",IF(L295&gt;=判定条件!$C$7*K295,"運転",IF(L295&lt;=判定条件!$C$8*K295,"停止","断続")))</f>
        <v>運転</v>
      </c>
      <c r="N295" s="30" t="n">
        <v>60</v>
      </c>
      <c r="O295" s="30" t="n">
        <v>0</v>
      </c>
      <c r="P295" s="30" t="str">
        <f aca="false">IF(N295&lt;判定条件!$C$6,"判定不能",IF(O295&gt;=判定条件!$C$7*N295,"運転",IF(O295&lt;=判定条件!$C$8*N295,"停止","断続")))</f>
        <v>停止</v>
      </c>
      <c r="Q295" s="30" t="n">
        <v>60</v>
      </c>
      <c r="R295" s="30" t="n">
        <v>0</v>
      </c>
      <c r="S295" s="30" t="str">
        <f aca="false">IF(Q295&lt;判定条件!$C$6,"判定不能",IF(R295&gt;=判定条件!$C$7*Q295,"運転",IF(R295&lt;=判定条件!$C$8*Q295,"停止","断続")))</f>
        <v>停止</v>
      </c>
      <c r="T295" s="30" t="n">
        <v>60</v>
      </c>
      <c r="U295" s="30" t="n">
        <v>0</v>
      </c>
      <c r="V295" s="30" t="str">
        <f aca="false">IF(T295&lt;判定条件!$C$6,"判定不能",IF(U295&gt;=判定条件!$C$7*T295,"運転",IF(U295&lt;=判定条件!$C$8*T295,"停止","断続")))</f>
        <v>停止</v>
      </c>
      <c r="W295" s="30" t="n">
        <v>60</v>
      </c>
      <c r="X295" s="30" t="n">
        <v>0</v>
      </c>
      <c r="Y295" s="30" t="str">
        <f aca="false">IF(W295&lt;判定条件!$C$6,"判定不能",IF(X295&gt;=判定条件!$C$7*W295,"運転",IF(X295&lt;=判定条件!$C$8*W295,"停止","断続")))</f>
        <v>停止</v>
      </c>
      <c r="Z295" s="30" t="n">
        <v>60</v>
      </c>
      <c r="AA295" s="30" t="n">
        <v>0</v>
      </c>
      <c r="AB295" s="30" t="str">
        <f aca="false">IF(Z295&lt;判定条件!$C$6,"判定不能",IF(AA295&gt;=判定条件!$C$7*Z295,"運転",IF(AA295&lt;=判定条件!$C$8*Z295,"停止","断続")))</f>
        <v>停止</v>
      </c>
      <c r="AC295" s="30" t="n">
        <v>60</v>
      </c>
      <c r="AD295" s="30" t="n">
        <v>0</v>
      </c>
      <c r="AE295" s="30" t="str">
        <f aca="false">IF(AC295&lt;判定条件!$C$6,"判定不能",IF(AD295&gt;=判定条件!$C$7*AC295,"運転",IF(AD295&lt;=判定条件!$C$8*AC295,"停止","断続")))</f>
        <v>停止</v>
      </c>
      <c r="AF295" s="30" t="n">
        <v>60</v>
      </c>
      <c r="AG295" s="30" t="n">
        <v>0</v>
      </c>
      <c r="AH295" s="30" t="str">
        <f aca="false">IF(OR(P295="判定不能",G295="判定不能"),"判定不能",IF(AG295&gt;=判定条件!$C$9,"利用可",IF(AND(P295="停止",G295="停止"),"両方停止","運転がそろわない")))</f>
        <v>両方停止</v>
      </c>
      <c r="AI295" s="30" t="n">
        <v>60</v>
      </c>
      <c r="AJ295" s="30" t="n">
        <v>0</v>
      </c>
      <c r="AK295" s="30" t="str">
        <f aca="false">IF(OR(S295="判定不能",J295="判定不能"),"判定不能",IF(AJ295&gt;=判定条件!$C$9,"利用可",IF(AND(S295="停止",J295="停止"),"両方停止","運転がそろわない")))</f>
        <v>両方停止</v>
      </c>
      <c r="AL295" s="30" t="n">
        <v>60</v>
      </c>
      <c r="AM295" s="30" t="n">
        <v>0</v>
      </c>
      <c r="AN295" s="30" t="str">
        <f aca="false">IF(OR(V295="判定不能",M295="判定不能"),"判定不能",IF(AM295&gt;=判定条件!$C$9,"利用可",IF(AND(V295="停止",M295="停止"),"両方停止","運転がそろわない")))</f>
        <v>運転がそろわない</v>
      </c>
      <c r="AO295" s="30" t="n">
        <v>60</v>
      </c>
      <c r="AP295" s="30" t="n">
        <v>0</v>
      </c>
      <c r="AQ295" s="30" t="str">
        <f aca="false">IF(OR(Y295="判定不能",G295="判定不能"),"判定不能",IF(AP295&gt;=判定条件!$C$9,"利用可",IF(AND(Y295="停止",G295="停止"),"両方停止","運転がそろわない")))</f>
        <v>両方停止</v>
      </c>
      <c r="AR295" s="30" t="n">
        <v>60</v>
      </c>
      <c r="AS295" s="30" t="n">
        <v>0</v>
      </c>
      <c r="AT295" s="30" t="str">
        <f aca="false">IF(OR(AB295="判定不能",J295="判定不能"),"判定不能",IF(AS295&gt;=判定条件!$C$9,"利用可",IF(AND(AB295="停止",J295="停止"),"両方停止","運転がそろわない")))</f>
        <v>両方停止</v>
      </c>
      <c r="AU295" s="30" t="n">
        <v>60</v>
      </c>
      <c r="AV295" s="30" t="n">
        <v>0</v>
      </c>
      <c r="AW295" s="30" t="str">
        <f aca="false">IF(OR(AE295="判定不能",M295="判定不能"),"判定不能",IF(AV295&gt;=判定条件!$C$9,"利用可",IF(AND(AE295="停止",M295="停止"),"両方停止","運転がそろわない")))</f>
        <v>運転がそろわない</v>
      </c>
      <c r="AX295" s="30" t="str">
        <f aca="false">IF(AND(AH295="利用可",AK295="利用可",AN295="利用可"),"利用可","不可")</f>
        <v>不可</v>
      </c>
      <c r="AY295" s="30" t="str">
        <f aca="false">IF(AND(AQ295="利用可",AT295="利用可",AW295="利用可"),"利用可","不可")</f>
        <v>不可</v>
      </c>
    </row>
    <row r="296" customFormat="false" ht="15" hidden="false" customHeight="false" outlineLevel="0" collapsed="false">
      <c r="A296" s="29" t="n">
        <v>46244</v>
      </c>
      <c r="B296" s="30" t="n">
        <v>5</v>
      </c>
      <c r="C296" s="31" t="s">
        <v>66</v>
      </c>
      <c r="D296" s="31" t="s">
        <v>59</v>
      </c>
      <c r="E296" s="30" t="n">
        <v>60</v>
      </c>
      <c r="F296" s="30" t="n">
        <v>0</v>
      </c>
      <c r="G296" s="30" t="str">
        <f aca="false">IF(E296&lt;判定条件!$C$6,"判定不能",IF(F296&gt;=判定条件!$C$7*E296,"運転",IF(F296&lt;=判定条件!$C$8*E296,"停止","断続")))</f>
        <v>停止</v>
      </c>
      <c r="H296" s="30" t="n">
        <v>60</v>
      </c>
      <c r="I296" s="30" t="n">
        <v>0</v>
      </c>
      <c r="J296" s="30" t="str">
        <f aca="false">IF(H296&lt;判定条件!$C$6,"判定不能",IF(I296&gt;=判定条件!$C$7*H296,"運転",IF(I296&lt;=判定条件!$C$8*H296,"停止","断続")))</f>
        <v>停止</v>
      </c>
      <c r="K296" s="30" t="n">
        <v>60</v>
      </c>
      <c r="L296" s="30" t="n">
        <v>60</v>
      </c>
      <c r="M296" s="30" t="str">
        <f aca="false">IF(K296&lt;判定条件!$C$6,"判定不能",IF(L296&gt;=判定条件!$C$7*K296,"運転",IF(L296&lt;=判定条件!$C$8*K296,"停止","断続")))</f>
        <v>運転</v>
      </c>
      <c r="N296" s="30" t="n">
        <v>60</v>
      </c>
      <c r="O296" s="30" t="n">
        <v>0</v>
      </c>
      <c r="P296" s="30" t="str">
        <f aca="false">IF(N296&lt;判定条件!$C$6,"判定不能",IF(O296&gt;=判定条件!$C$7*N296,"運転",IF(O296&lt;=判定条件!$C$8*N296,"停止","断続")))</f>
        <v>停止</v>
      </c>
      <c r="Q296" s="30" t="n">
        <v>60</v>
      </c>
      <c r="R296" s="30" t="n">
        <v>0</v>
      </c>
      <c r="S296" s="30" t="str">
        <f aca="false">IF(Q296&lt;判定条件!$C$6,"判定不能",IF(R296&gt;=判定条件!$C$7*Q296,"運転",IF(R296&lt;=判定条件!$C$8*Q296,"停止","断続")))</f>
        <v>停止</v>
      </c>
      <c r="T296" s="30" t="n">
        <v>60</v>
      </c>
      <c r="U296" s="30" t="n">
        <v>0</v>
      </c>
      <c r="V296" s="30" t="str">
        <f aca="false">IF(T296&lt;判定条件!$C$6,"判定不能",IF(U296&gt;=判定条件!$C$7*T296,"運転",IF(U296&lt;=判定条件!$C$8*T296,"停止","断続")))</f>
        <v>停止</v>
      </c>
      <c r="W296" s="30" t="n">
        <v>60</v>
      </c>
      <c r="X296" s="30" t="n">
        <v>35</v>
      </c>
      <c r="Y296" s="30" t="str">
        <f aca="false">IF(W296&lt;判定条件!$C$6,"判定不能",IF(X296&gt;=判定条件!$C$7*W296,"運転",IF(X296&lt;=判定条件!$C$8*W296,"停止","断続")))</f>
        <v>断続</v>
      </c>
      <c r="Z296" s="30" t="n">
        <v>60</v>
      </c>
      <c r="AA296" s="30" t="n">
        <v>0</v>
      </c>
      <c r="AB296" s="30" t="str">
        <f aca="false">IF(Z296&lt;判定条件!$C$6,"判定不能",IF(AA296&gt;=判定条件!$C$7*Z296,"運転",IF(AA296&lt;=判定条件!$C$8*Z296,"停止","断続")))</f>
        <v>停止</v>
      </c>
      <c r="AC296" s="30" t="n">
        <v>60</v>
      </c>
      <c r="AD296" s="30" t="n">
        <v>0</v>
      </c>
      <c r="AE296" s="30" t="str">
        <f aca="false">IF(AC296&lt;判定条件!$C$6,"判定不能",IF(AD296&gt;=判定条件!$C$7*AC296,"運転",IF(AD296&lt;=判定条件!$C$8*AC296,"停止","断続")))</f>
        <v>停止</v>
      </c>
      <c r="AF296" s="30" t="n">
        <v>60</v>
      </c>
      <c r="AG296" s="30" t="n">
        <v>0</v>
      </c>
      <c r="AH296" s="30" t="str">
        <f aca="false">IF(OR(P296="判定不能",G296="判定不能"),"判定不能",IF(AG296&gt;=判定条件!$C$9,"利用可",IF(AND(P296="停止",G296="停止"),"両方停止","運転がそろわない")))</f>
        <v>両方停止</v>
      </c>
      <c r="AI296" s="30" t="n">
        <v>60</v>
      </c>
      <c r="AJ296" s="30" t="n">
        <v>0</v>
      </c>
      <c r="AK296" s="30" t="str">
        <f aca="false">IF(OR(S296="判定不能",J296="判定不能"),"判定不能",IF(AJ296&gt;=判定条件!$C$9,"利用可",IF(AND(S296="停止",J296="停止"),"両方停止","運転がそろわない")))</f>
        <v>両方停止</v>
      </c>
      <c r="AL296" s="30" t="n">
        <v>60</v>
      </c>
      <c r="AM296" s="30" t="n">
        <v>0</v>
      </c>
      <c r="AN296" s="30" t="str">
        <f aca="false">IF(OR(V296="判定不能",M296="判定不能"),"判定不能",IF(AM296&gt;=判定条件!$C$9,"利用可",IF(AND(V296="停止",M296="停止"),"両方停止","運転がそろわない")))</f>
        <v>運転がそろわない</v>
      </c>
      <c r="AO296" s="30" t="n">
        <v>60</v>
      </c>
      <c r="AP296" s="30" t="n">
        <v>0</v>
      </c>
      <c r="AQ296" s="30" t="str">
        <f aca="false">IF(OR(Y296="判定不能",G296="判定不能"),"判定不能",IF(AP296&gt;=判定条件!$C$9,"利用可",IF(AND(Y296="停止",G296="停止"),"両方停止","運転がそろわない")))</f>
        <v>運転がそろわない</v>
      </c>
      <c r="AR296" s="30" t="n">
        <v>60</v>
      </c>
      <c r="AS296" s="30" t="n">
        <v>0</v>
      </c>
      <c r="AT296" s="30" t="str">
        <f aca="false">IF(OR(AB296="判定不能",J296="判定不能"),"判定不能",IF(AS296&gt;=判定条件!$C$9,"利用可",IF(AND(AB296="停止",J296="停止"),"両方停止","運転がそろわない")))</f>
        <v>両方停止</v>
      </c>
      <c r="AU296" s="30" t="n">
        <v>60</v>
      </c>
      <c r="AV296" s="30" t="n">
        <v>0</v>
      </c>
      <c r="AW296" s="30" t="str">
        <f aca="false">IF(OR(AE296="判定不能",M296="判定不能"),"判定不能",IF(AV296&gt;=判定条件!$C$9,"利用可",IF(AND(AE296="停止",M296="停止"),"両方停止","運転がそろわない")))</f>
        <v>運転がそろわない</v>
      </c>
      <c r="AX296" s="30" t="str">
        <f aca="false">IF(AND(AH296="利用可",AK296="利用可",AN296="利用可"),"利用可","不可")</f>
        <v>不可</v>
      </c>
      <c r="AY296" s="30" t="str">
        <f aca="false">IF(AND(AQ296="利用可",AT296="利用可",AW296="利用可"),"利用可","不可")</f>
        <v>不可</v>
      </c>
    </row>
    <row r="297" customFormat="false" ht="15" hidden="false" customHeight="false" outlineLevel="0" collapsed="false">
      <c r="A297" s="29" t="n">
        <v>46244</v>
      </c>
      <c r="B297" s="30" t="n">
        <v>6</v>
      </c>
      <c r="C297" s="31" t="s">
        <v>66</v>
      </c>
      <c r="D297" s="31" t="s">
        <v>59</v>
      </c>
      <c r="E297" s="30" t="n">
        <v>60</v>
      </c>
      <c r="F297" s="30" t="n">
        <v>0</v>
      </c>
      <c r="G297" s="30" t="str">
        <f aca="false">IF(E297&lt;判定条件!$C$6,"判定不能",IF(F297&gt;=判定条件!$C$7*E297,"運転",IF(F297&lt;=判定条件!$C$8*E297,"停止","断続")))</f>
        <v>停止</v>
      </c>
      <c r="H297" s="30" t="n">
        <v>60</v>
      </c>
      <c r="I297" s="30" t="n">
        <v>0</v>
      </c>
      <c r="J297" s="30" t="str">
        <f aca="false">IF(H297&lt;判定条件!$C$6,"判定不能",IF(I297&gt;=判定条件!$C$7*H297,"運転",IF(I297&lt;=判定条件!$C$8*H297,"停止","断続")))</f>
        <v>停止</v>
      </c>
      <c r="K297" s="30" t="n">
        <v>60</v>
      </c>
      <c r="L297" s="30" t="n">
        <v>60</v>
      </c>
      <c r="M297" s="30" t="str">
        <f aca="false">IF(K297&lt;判定条件!$C$6,"判定不能",IF(L297&gt;=判定条件!$C$7*K297,"運転",IF(L297&lt;=判定条件!$C$8*K297,"停止","断続")))</f>
        <v>運転</v>
      </c>
      <c r="N297" s="30" t="n">
        <v>60</v>
      </c>
      <c r="O297" s="30" t="n">
        <v>0</v>
      </c>
      <c r="P297" s="30" t="str">
        <f aca="false">IF(N297&lt;判定条件!$C$6,"判定不能",IF(O297&gt;=判定条件!$C$7*N297,"運転",IF(O297&lt;=判定条件!$C$8*N297,"停止","断続")))</f>
        <v>停止</v>
      </c>
      <c r="Q297" s="30" t="n">
        <v>60</v>
      </c>
      <c r="R297" s="30" t="n">
        <v>0</v>
      </c>
      <c r="S297" s="30" t="str">
        <f aca="false">IF(Q297&lt;判定条件!$C$6,"判定不能",IF(R297&gt;=判定条件!$C$7*Q297,"運転",IF(R297&lt;=判定条件!$C$8*Q297,"停止","断続")))</f>
        <v>停止</v>
      </c>
      <c r="T297" s="30" t="n">
        <v>60</v>
      </c>
      <c r="U297" s="30" t="n">
        <v>4</v>
      </c>
      <c r="V297" s="30" t="str">
        <f aca="false">IF(T297&lt;判定条件!$C$6,"判定不能",IF(U297&gt;=判定条件!$C$7*T297,"運転",IF(U297&lt;=判定条件!$C$8*T297,"停止","断続")))</f>
        <v>停止</v>
      </c>
      <c r="W297" s="30" t="n">
        <v>60</v>
      </c>
      <c r="X297" s="30" t="n">
        <v>60</v>
      </c>
      <c r="Y297" s="30" t="str">
        <f aca="false">IF(W297&lt;判定条件!$C$6,"判定不能",IF(X297&gt;=判定条件!$C$7*W297,"運転",IF(X297&lt;=判定条件!$C$8*W297,"停止","断続")))</f>
        <v>運転</v>
      </c>
      <c r="Z297" s="30" t="n">
        <v>60</v>
      </c>
      <c r="AA297" s="30" t="n">
        <v>0</v>
      </c>
      <c r="AB297" s="30" t="str">
        <f aca="false">IF(Z297&lt;判定条件!$C$6,"判定不能",IF(AA297&gt;=判定条件!$C$7*Z297,"運転",IF(AA297&lt;=判定条件!$C$8*Z297,"停止","断続")))</f>
        <v>停止</v>
      </c>
      <c r="AC297" s="30" t="n">
        <v>60</v>
      </c>
      <c r="AD297" s="30" t="n">
        <v>0</v>
      </c>
      <c r="AE297" s="30" t="str">
        <f aca="false">IF(AC297&lt;判定条件!$C$6,"判定不能",IF(AD297&gt;=判定条件!$C$7*AC297,"運転",IF(AD297&lt;=判定条件!$C$8*AC297,"停止","断続")))</f>
        <v>停止</v>
      </c>
      <c r="AF297" s="30" t="n">
        <v>60</v>
      </c>
      <c r="AG297" s="30" t="n">
        <v>0</v>
      </c>
      <c r="AH297" s="30" t="str">
        <f aca="false">IF(OR(P297="判定不能",G297="判定不能"),"判定不能",IF(AG297&gt;=判定条件!$C$9,"利用可",IF(AND(P297="停止",G297="停止"),"両方停止","運転がそろわない")))</f>
        <v>両方停止</v>
      </c>
      <c r="AI297" s="30" t="n">
        <v>60</v>
      </c>
      <c r="AJ297" s="30" t="n">
        <v>0</v>
      </c>
      <c r="AK297" s="30" t="str">
        <f aca="false">IF(OR(S297="判定不能",J297="判定不能"),"判定不能",IF(AJ297&gt;=判定条件!$C$9,"利用可",IF(AND(S297="停止",J297="停止"),"両方停止","運転がそろわない")))</f>
        <v>両方停止</v>
      </c>
      <c r="AL297" s="30" t="n">
        <v>60</v>
      </c>
      <c r="AM297" s="30" t="n">
        <v>4</v>
      </c>
      <c r="AN297" s="30" t="str">
        <f aca="false">IF(OR(V297="判定不能",M297="判定不能"),"判定不能",IF(AM297&gt;=判定条件!$C$9,"利用可",IF(AND(V297="停止",M297="停止"),"両方停止","運転がそろわない")))</f>
        <v>運転がそろわない</v>
      </c>
      <c r="AO297" s="30" t="n">
        <v>60</v>
      </c>
      <c r="AP297" s="30" t="n">
        <v>0</v>
      </c>
      <c r="AQ297" s="30" t="str">
        <f aca="false">IF(OR(Y297="判定不能",G297="判定不能"),"判定不能",IF(AP297&gt;=判定条件!$C$9,"利用可",IF(AND(Y297="停止",G297="停止"),"両方停止","運転がそろわない")))</f>
        <v>運転がそろわない</v>
      </c>
      <c r="AR297" s="30" t="n">
        <v>60</v>
      </c>
      <c r="AS297" s="30" t="n">
        <v>0</v>
      </c>
      <c r="AT297" s="30" t="str">
        <f aca="false">IF(OR(AB297="判定不能",J297="判定不能"),"判定不能",IF(AS297&gt;=判定条件!$C$9,"利用可",IF(AND(AB297="停止",J297="停止"),"両方停止","運転がそろわない")))</f>
        <v>両方停止</v>
      </c>
      <c r="AU297" s="30" t="n">
        <v>60</v>
      </c>
      <c r="AV297" s="30" t="n">
        <v>0</v>
      </c>
      <c r="AW297" s="30" t="str">
        <f aca="false">IF(OR(AE297="判定不能",M297="判定不能"),"判定不能",IF(AV297&gt;=判定条件!$C$9,"利用可",IF(AND(AE297="停止",M297="停止"),"両方停止","運転がそろわない")))</f>
        <v>運転がそろわない</v>
      </c>
      <c r="AX297" s="30" t="str">
        <f aca="false">IF(AND(AH297="利用可",AK297="利用可",AN297="利用可"),"利用可","不可")</f>
        <v>不可</v>
      </c>
      <c r="AY297" s="30" t="str">
        <f aca="false">IF(AND(AQ297="利用可",AT297="利用可",AW297="利用可"),"利用可","不可")</f>
        <v>不可</v>
      </c>
    </row>
    <row r="298" customFormat="false" ht="15" hidden="false" customHeight="false" outlineLevel="0" collapsed="false">
      <c r="A298" s="29" t="n">
        <v>46244</v>
      </c>
      <c r="B298" s="30" t="n">
        <v>7</v>
      </c>
      <c r="C298" s="31" t="s">
        <v>66</v>
      </c>
      <c r="D298" s="31" t="s">
        <v>59</v>
      </c>
      <c r="E298" s="30" t="n">
        <v>60</v>
      </c>
      <c r="F298" s="30" t="n">
        <v>0</v>
      </c>
      <c r="G298" s="30" t="str">
        <f aca="false">IF(E298&lt;判定条件!$C$6,"判定不能",IF(F298&gt;=判定条件!$C$7*E298,"運転",IF(F298&lt;=判定条件!$C$8*E298,"停止","断続")))</f>
        <v>停止</v>
      </c>
      <c r="H298" s="30" t="n">
        <v>60</v>
      </c>
      <c r="I298" s="30" t="n">
        <v>0</v>
      </c>
      <c r="J298" s="30" t="str">
        <f aca="false">IF(H298&lt;判定条件!$C$6,"判定不能",IF(I298&gt;=判定条件!$C$7*H298,"運転",IF(I298&lt;=判定条件!$C$8*H298,"停止","断続")))</f>
        <v>停止</v>
      </c>
      <c r="K298" s="30" t="n">
        <v>60</v>
      </c>
      <c r="L298" s="30" t="n">
        <v>60</v>
      </c>
      <c r="M298" s="30" t="str">
        <f aca="false">IF(K298&lt;判定条件!$C$6,"判定不能",IF(L298&gt;=判定条件!$C$7*K298,"運転",IF(L298&lt;=判定条件!$C$8*K298,"停止","断続")))</f>
        <v>運転</v>
      </c>
      <c r="N298" s="30" t="n">
        <v>60</v>
      </c>
      <c r="O298" s="30" t="n">
        <v>2</v>
      </c>
      <c r="P298" s="30" t="str">
        <f aca="false">IF(N298&lt;判定条件!$C$6,"判定不能",IF(O298&gt;=判定条件!$C$7*N298,"運転",IF(O298&lt;=判定条件!$C$8*N298,"停止","断続")))</f>
        <v>停止</v>
      </c>
      <c r="Q298" s="30" t="n">
        <v>60</v>
      </c>
      <c r="R298" s="30" t="n">
        <v>0</v>
      </c>
      <c r="S298" s="30" t="str">
        <f aca="false">IF(Q298&lt;判定条件!$C$6,"判定不能",IF(R298&gt;=判定条件!$C$7*Q298,"運転",IF(R298&lt;=判定条件!$C$8*Q298,"停止","断続")))</f>
        <v>停止</v>
      </c>
      <c r="T298" s="30" t="n">
        <v>60</v>
      </c>
      <c r="U298" s="30" t="n">
        <v>60</v>
      </c>
      <c r="V298" s="30" t="str">
        <f aca="false">IF(T298&lt;判定条件!$C$6,"判定不能",IF(U298&gt;=判定条件!$C$7*T298,"運転",IF(U298&lt;=判定条件!$C$8*T298,"停止","断続")))</f>
        <v>運転</v>
      </c>
      <c r="W298" s="30" t="n">
        <v>60</v>
      </c>
      <c r="X298" s="30" t="n">
        <v>60</v>
      </c>
      <c r="Y298" s="30" t="str">
        <f aca="false">IF(W298&lt;判定条件!$C$6,"判定不能",IF(X298&gt;=判定条件!$C$7*W298,"運転",IF(X298&lt;=判定条件!$C$8*W298,"停止","断続")))</f>
        <v>運転</v>
      </c>
      <c r="Z298" s="30" t="n">
        <v>60</v>
      </c>
      <c r="AA298" s="30" t="n">
        <v>56</v>
      </c>
      <c r="AB298" s="30" t="str">
        <f aca="false">IF(Z298&lt;判定条件!$C$6,"判定不能",IF(AA298&gt;=判定条件!$C$7*Z298,"運転",IF(AA298&lt;=判定条件!$C$8*Z298,"停止","断続")))</f>
        <v>運転</v>
      </c>
      <c r="AC298" s="30" t="n">
        <v>60</v>
      </c>
      <c r="AD298" s="30" t="n">
        <v>56</v>
      </c>
      <c r="AE298" s="30" t="str">
        <f aca="false">IF(AC298&lt;判定条件!$C$6,"判定不能",IF(AD298&gt;=判定条件!$C$7*AC298,"運転",IF(AD298&lt;=判定条件!$C$8*AC298,"停止","断続")))</f>
        <v>運転</v>
      </c>
      <c r="AF298" s="30" t="n">
        <v>60</v>
      </c>
      <c r="AG298" s="30" t="n">
        <v>0</v>
      </c>
      <c r="AH298" s="30" t="str">
        <f aca="false">IF(OR(P298="判定不能",G298="判定不能"),"判定不能",IF(AG298&gt;=判定条件!$C$9,"利用可",IF(AND(P298="停止",G298="停止"),"両方停止","運転がそろわない")))</f>
        <v>両方停止</v>
      </c>
      <c r="AI298" s="30" t="n">
        <v>60</v>
      </c>
      <c r="AJ298" s="30" t="n">
        <v>0</v>
      </c>
      <c r="AK298" s="30" t="str">
        <f aca="false">IF(OR(S298="判定不能",J298="判定不能"),"判定不能",IF(AJ298&gt;=判定条件!$C$9,"利用可",IF(AND(S298="停止",J298="停止"),"両方停止","運転がそろわない")))</f>
        <v>両方停止</v>
      </c>
      <c r="AL298" s="30" t="n">
        <v>60</v>
      </c>
      <c r="AM298" s="30" t="n">
        <v>60</v>
      </c>
      <c r="AN298" s="30" t="str">
        <f aca="false">IF(OR(V298="判定不能",M298="判定不能"),"判定不能",IF(AM298&gt;=判定条件!$C$9,"利用可",IF(AND(V298="停止",M298="停止"),"両方停止","運転がそろわない")))</f>
        <v>利用可</v>
      </c>
      <c r="AO298" s="30" t="n">
        <v>60</v>
      </c>
      <c r="AP298" s="30" t="n">
        <v>0</v>
      </c>
      <c r="AQ298" s="30" t="str">
        <f aca="false">IF(OR(Y298="判定不能",G298="判定不能"),"判定不能",IF(AP298&gt;=判定条件!$C$9,"利用可",IF(AND(Y298="停止",G298="停止"),"両方停止","運転がそろわない")))</f>
        <v>運転がそろわない</v>
      </c>
      <c r="AR298" s="30" t="n">
        <v>60</v>
      </c>
      <c r="AS298" s="30" t="n">
        <v>0</v>
      </c>
      <c r="AT298" s="30" t="str">
        <f aca="false">IF(OR(AB298="判定不能",J298="判定不能"),"判定不能",IF(AS298&gt;=判定条件!$C$9,"利用可",IF(AND(AB298="停止",J298="停止"),"両方停止","運転がそろわない")))</f>
        <v>運転がそろわない</v>
      </c>
      <c r="AU298" s="30" t="n">
        <v>60</v>
      </c>
      <c r="AV298" s="30" t="n">
        <v>56</v>
      </c>
      <c r="AW298" s="30" t="str">
        <f aca="false">IF(OR(AE298="判定不能",M298="判定不能"),"判定不能",IF(AV298&gt;=判定条件!$C$9,"利用可",IF(AND(AE298="停止",M298="停止"),"両方停止","運転がそろわない")))</f>
        <v>利用可</v>
      </c>
      <c r="AX298" s="30" t="str">
        <f aca="false">IF(AND(AH298="利用可",AK298="利用可",AN298="利用可"),"利用可","不可")</f>
        <v>不可</v>
      </c>
      <c r="AY298" s="30" t="str">
        <f aca="false">IF(AND(AQ298="利用可",AT298="利用可",AW298="利用可"),"利用可","不可")</f>
        <v>不可</v>
      </c>
    </row>
    <row r="299" customFormat="false" ht="15" hidden="false" customHeight="false" outlineLevel="0" collapsed="false">
      <c r="A299" s="29" t="n">
        <v>46244</v>
      </c>
      <c r="B299" s="30" t="n">
        <v>8</v>
      </c>
      <c r="C299" s="31" t="s">
        <v>66</v>
      </c>
      <c r="D299" s="31" t="s">
        <v>59</v>
      </c>
      <c r="E299" s="30" t="n">
        <v>60</v>
      </c>
      <c r="F299" s="30" t="n">
        <v>28</v>
      </c>
      <c r="G299" s="30" t="str">
        <f aca="false">IF(E299&lt;判定条件!$C$6,"判定不能",IF(F299&gt;=判定条件!$C$7*E299,"運転",IF(F299&lt;=判定条件!$C$8*E299,"停止","断続")))</f>
        <v>断続</v>
      </c>
      <c r="H299" s="30" t="n">
        <v>60</v>
      </c>
      <c r="I299" s="30" t="n">
        <v>28</v>
      </c>
      <c r="J299" s="30" t="str">
        <f aca="false">IF(H299&lt;判定条件!$C$6,"判定不能",IF(I299&gt;=判定条件!$C$7*H299,"運転",IF(I299&lt;=判定条件!$C$8*H299,"停止","断続")))</f>
        <v>断続</v>
      </c>
      <c r="K299" s="30" t="n">
        <v>60</v>
      </c>
      <c r="L299" s="30" t="n">
        <v>60</v>
      </c>
      <c r="M299" s="30" t="str">
        <f aca="false">IF(K299&lt;判定条件!$C$6,"判定不能",IF(L299&gt;=判定条件!$C$7*K299,"運転",IF(L299&lt;=判定条件!$C$8*K299,"停止","断続")))</f>
        <v>運転</v>
      </c>
      <c r="N299" s="30" t="n">
        <v>60</v>
      </c>
      <c r="O299" s="30" t="n">
        <v>60</v>
      </c>
      <c r="P299" s="30" t="str">
        <f aca="false">IF(N299&lt;判定条件!$C$6,"判定不能",IF(O299&gt;=判定条件!$C$7*N299,"運転",IF(O299&lt;=判定条件!$C$8*N299,"停止","断続")))</f>
        <v>運転</v>
      </c>
      <c r="Q299" s="30" t="n">
        <v>60</v>
      </c>
      <c r="R299" s="30" t="n">
        <v>0</v>
      </c>
      <c r="S299" s="30" t="str">
        <f aca="false">IF(Q299&lt;判定条件!$C$6,"判定不能",IF(R299&gt;=判定条件!$C$7*Q299,"運転",IF(R299&lt;=判定条件!$C$8*Q299,"停止","断続")))</f>
        <v>停止</v>
      </c>
      <c r="T299" s="30" t="n">
        <v>60</v>
      </c>
      <c r="U299" s="30" t="n">
        <v>60</v>
      </c>
      <c r="V299" s="30" t="str">
        <f aca="false">IF(T299&lt;判定条件!$C$6,"判定不能",IF(U299&gt;=判定条件!$C$7*T299,"運転",IF(U299&lt;=判定条件!$C$8*T299,"停止","断続")))</f>
        <v>運転</v>
      </c>
      <c r="W299" s="30" t="n">
        <v>60</v>
      </c>
      <c r="X299" s="30" t="n">
        <v>53</v>
      </c>
      <c r="Y299" s="30" t="str">
        <f aca="false">IF(W299&lt;判定条件!$C$6,"判定不能",IF(X299&gt;=判定条件!$C$7*W299,"運転",IF(X299&lt;=判定条件!$C$8*W299,"停止","断続")))</f>
        <v>運転</v>
      </c>
      <c r="Z299" s="30" t="n">
        <v>60</v>
      </c>
      <c r="AA299" s="30" t="n">
        <v>60</v>
      </c>
      <c r="AB299" s="30" t="str">
        <f aca="false">IF(Z299&lt;判定条件!$C$6,"判定不能",IF(AA299&gt;=判定条件!$C$7*Z299,"運転",IF(AA299&lt;=判定条件!$C$8*Z299,"停止","断続")))</f>
        <v>運転</v>
      </c>
      <c r="AC299" s="30" t="n">
        <v>60</v>
      </c>
      <c r="AD299" s="30" t="n">
        <v>60</v>
      </c>
      <c r="AE299" s="30" t="str">
        <f aca="false">IF(AC299&lt;判定条件!$C$6,"判定不能",IF(AD299&gt;=判定条件!$C$7*AC299,"運転",IF(AD299&lt;=判定条件!$C$8*AC299,"停止","断続")))</f>
        <v>運転</v>
      </c>
      <c r="AF299" s="30" t="n">
        <v>60</v>
      </c>
      <c r="AG299" s="30" t="n">
        <v>28</v>
      </c>
      <c r="AH299" s="30" t="str">
        <f aca="false">IF(OR(P299="判定不能",G299="判定不能"),"判定不能",IF(AG299&gt;=判定条件!$C$9,"利用可",IF(AND(P299="停止",G299="停止"),"両方停止","運転がそろわない")))</f>
        <v>運転がそろわない</v>
      </c>
      <c r="AI299" s="30" t="n">
        <v>60</v>
      </c>
      <c r="AJ299" s="30" t="n">
        <v>0</v>
      </c>
      <c r="AK299" s="30" t="str">
        <f aca="false">IF(OR(S299="判定不能",J299="判定不能"),"判定不能",IF(AJ299&gt;=判定条件!$C$9,"利用可",IF(AND(S299="停止",J299="停止"),"両方停止","運転がそろわない")))</f>
        <v>運転がそろわない</v>
      </c>
      <c r="AL299" s="30" t="n">
        <v>60</v>
      </c>
      <c r="AM299" s="30" t="n">
        <v>60</v>
      </c>
      <c r="AN299" s="30" t="str">
        <f aca="false">IF(OR(V299="判定不能",M299="判定不能"),"判定不能",IF(AM299&gt;=判定条件!$C$9,"利用可",IF(AND(V299="停止",M299="停止"),"両方停止","運転がそろわない")))</f>
        <v>利用可</v>
      </c>
      <c r="AO299" s="30" t="n">
        <v>60</v>
      </c>
      <c r="AP299" s="30" t="n">
        <v>21</v>
      </c>
      <c r="AQ299" s="30" t="str">
        <f aca="false">IF(OR(Y299="判定不能",G299="判定不能"),"判定不能",IF(AP299&gt;=判定条件!$C$9,"利用可",IF(AND(Y299="停止",G299="停止"),"両方停止","運転がそろわない")))</f>
        <v>運転がそろわない</v>
      </c>
      <c r="AR299" s="30" t="n">
        <v>60</v>
      </c>
      <c r="AS299" s="30" t="n">
        <v>28</v>
      </c>
      <c r="AT299" s="30" t="str">
        <f aca="false">IF(OR(AB299="判定不能",J299="判定不能"),"判定不能",IF(AS299&gt;=判定条件!$C$9,"利用可",IF(AND(AB299="停止",J299="停止"),"両方停止","運転がそろわない")))</f>
        <v>運転がそろわない</v>
      </c>
      <c r="AU299" s="30" t="n">
        <v>60</v>
      </c>
      <c r="AV299" s="30" t="n">
        <v>60</v>
      </c>
      <c r="AW299" s="30" t="str">
        <f aca="false">IF(OR(AE299="判定不能",M299="判定不能"),"判定不能",IF(AV299&gt;=判定条件!$C$9,"利用可",IF(AND(AE299="停止",M299="停止"),"両方停止","運転がそろわない")))</f>
        <v>利用可</v>
      </c>
      <c r="AX299" s="30" t="str">
        <f aca="false">IF(AND(AH299="利用可",AK299="利用可",AN299="利用可"),"利用可","不可")</f>
        <v>不可</v>
      </c>
      <c r="AY299" s="30" t="str">
        <f aca="false">IF(AND(AQ299="利用可",AT299="利用可",AW299="利用可"),"利用可","不可")</f>
        <v>不可</v>
      </c>
    </row>
    <row r="300" customFormat="false" ht="15" hidden="false" customHeight="false" outlineLevel="0" collapsed="false">
      <c r="A300" s="29" t="n">
        <v>46244</v>
      </c>
      <c r="B300" s="30" t="n">
        <v>9</v>
      </c>
      <c r="C300" s="31" t="s">
        <v>66</v>
      </c>
      <c r="D300" s="31" t="s">
        <v>59</v>
      </c>
      <c r="E300" s="30" t="n">
        <v>60</v>
      </c>
      <c r="F300" s="30" t="n">
        <v>60</v>
      </c>
      <c r="G300" s="30" t="str">
        <f aca="false">IF(E300&lt;判定条件!$C$6,"判定不能",IF(F300&gt;=判定条件!$C$7*E300,"運転",IF(F300&lt;=判定条件!$C$8*E300,"停止","断続")))</f>
        <v>運転</v>
      </c>
      <c r="H300" s="30" t="n">
        <v>60</v>
      </c>
      <c r="I300" s="30" t="n">
        <v>60</v>
      </c>
      <c r="J300" s="30" t="str">
        <f aca="false">IF(H300&lt;判定条件!$C$6,"判定不能",IF(I300&gt;=判定条件!$C$7*H300,"運転",IF(I300&lt;=判定条件!$C$8*H300,"停止","断続")))</f>
        <v>運転</v>
      </c>
      <c r="K300" s="30" t="n">
        <v>60</v>
      </c>
      <c r="L300" s="30" t="n">
        <v>60</v>
      </c>
      <c r="M300" s="30" t="str">
        <f aca="false">IF(K300&lt;判定条件!$C$6,"判定不能",IF(L300&gt;=判定条件!$C$7*K300,"運転",IF(L300&lt;=判定条件!$C$8*K300,"停止","断続")))</f>
        <v>運転</v>
      </c>
      <c r="N300" s="30" t="n">
        <v>60</v>
      </c>
      <c r="O300" s="30" t="n">
        <v>60</v>
      </c>
      <c r="P300" s="30" t="str">
        <f aca="false">IF(N300&lt;判定条件!$C$6,"判定不能",IF(O300&gt;=判定条件!$C$7*N300,"運転",IF(O300&lt;=判定条件!$C$8*N300,"停止","断続")))</f>
        <v>運転</v>
      </c>
      <c r="Q300" s="30" t="n">
        <v>60</v>
      </c>
      <c r="R300" s="30" t="n">
        <v>12</v>
      </c>
      <c r="S300" s="30" t="str">
        <f aca="false">IF(Q300&lt;判定条件!$C$6,"判定不能",IF(R300&gt;=判定条件!$C$7*Q300,"運転",IF(R300&lt;=判定条件!$C$8*Q300,"停止","断続")))</f>
        <v>停止</v>
      </c>
      <c r="T300" s="30" t="n">
        <v>60</v>
      </c>
      <c r="U300" s="30" t="n">
        <v>60</v>
      </c>
      <c r="V300" s="30" t="str">
        <f aca="false">IF(T300&lt;判定条件!$C$6,"判定不能",IF(U300&gt;=判定条件!$C$7*T300,"運転",IF(U300&lt;=判定条件!$C$8*T300,"停止","断続")))</f>
        <v>運転</v>
      </c>
      <c r="W300" s="30" t="n">
        <v>60</v>
      </c>
      <c r="X300" s="30" t="n">
        <v>60</v>
      </c>
      <c r="Y300" s="30" t="str">
        <f aca="false">IF(W300&lt;判定条件!$C$6,"判定不能",IF(X300&gt;=判定条件!$C$7*W300,"運転",IF(X300&lt;=判定条件!$C$8*W300,"停止","断続")))</f>
        <v>運転</v>
      </c>
      <c r="Z300" s="30" t="n">
        <v>60</v>
      </c>
      <c r="AA300" s="30" t="n">
        <v>60</v>
      </c>
      <c r="AB300" s="30" t="str">
        <f aca="false">IF(Z300&lt;判定条件!$C$6,"判定不能",IF(AA300&gt;=判定条件!$C$7*Z300,"運転",IF(AA300&lt;=判定条件!$C$8*Z300,"停止","断続")))</f>
        <v>運転</v>
      </c>
      <c r="AC300" s="30" t="n">
        <v>60</v>
      </c>
      <c r="AD300" s="30" t="n">
        <v>57</v>
      </c>
      <c r="AE300" s="30" t="str">
        <f aca="false">IF(AC300&lt;判定条件!$C$6,"判定不能",IF(AD300&gt;=判定条件!$C$7*AC300,"運転",IF(AD300&lt;=判定条件!$C$8*AC300,"停止","断続")))</f>
        <v>運転</v>
      </c>
      <c r="AF300" s="30" t="n">
        <v>60</v>
      </c>
      <c r="AG300" s="30" t="n">
        <v>60</v>
      </c>
      <c r="AH300" s="30" t="str">
        <f aca="false">IF(OR(P300="判定不能",G300="判定不能"),"判定不能",IF(AG300&gt;=判定条件!$C$9,"利用可",IF(AND(P300="停止",G300="停止"),"両方停止","運転がそろわない")))</f>
        <v>利用可</v>
      </c>
      <c r="AI300" s="30" t="n">
        <v>60</v>
      </c>
      <c r="AJ300" s="30" t="n">
        <v>12</v>
      </c>
      <c r="AK300" s="30" t="str">
        <f aca="false">IF(OR(S300="判定不能",J300="判定不能"),"判定不能",IF(AJ300&gt;=判定条件!$C$9,"利用可",IF(AND(S300="停止",J300="停止"),"両方停止","運転がそろわない")))</f>
        <v>運転がそろわない</v>
      </c>
      <c r="AL300" s="30" t="n">
        <v>60</v>
      </c>
      <c r="AM300" s="30" t="n">
        <v>60</v>
      </c>
      <c r="AN300" s="30" t="str">
        <f aca="false">IF(OR(V300="判定不能",M300="判定不能"),"判定不能",IF(AM300&gt;=判定条件!$C$9,"利用可",IF(AND(V300="停止",M300="停止"),"両方停止","運転がそろわない")))</f>
        <v>利用可</v>
      </c>
      <c r="AO300" s="30" t="n">
        <v>60</v>
      </c>
      <c r="AP300" s="30" t="n">
        <v>60</v>
      </c>
      <c r="AQ300" s="30" t="str">
        <f aca="false">IF(OR(Y300="判定不能",G300="判定不能"),"判定不能",IF(AP300&gt;=判定条件!$C$9,"利用可",IF(AND(Y300="停止",G300="停止"),"両方停止","運転がそろわない")))</f>
        <v>利用可</v>
      </c>
      <c r="AR300" s="30" t="n">
        <v>60</v>
      </c>
      <c r="AS300" s="30" t="n">
        <v>60</v>
      </c>
      <c r="AT300" s="30" t="str">
        <f aca="false">IF(OR(AB300="判定不能",J300="判定不能"),"判定不能",IF(AS300&gt;=判定条件!$C$9,"利用可",IF(AND(AB300="停止",J300="停止"),"両方停止","運転がそろわない")))</f>
        <v>利用可</v>
      </c>
      <c r="AU300" s="30" t="n">
        <v>60</v>
      </c>
      <c r="AV300" s="30" t="n">
        <v>57</v>
      </c>
      <c r="AW300" s="30" t="str">
        <f aca="false">IF(OR(AE300="判定不能",M300="判定不能"),"判定不能",IF(AV300&gt;=判定条件!$C$9,"利用可",IF(AND(AE300="停止",M300="停止"),"両方停止","運転がそろわない")))</f>
        <v>利用可</v>
      </c>
      <c r="AX300" s="30" t="str">
        <f aca="false">IF(AND(AH300="利用可",AK300="利用可",AN300="利用可"),"利用可","不可")</f>
        <v>不可</v>
      </c>
      <c r="AY300" s="30" t="str">
        <f aca="false">IF(AND(AQ300="利用可",AT300="利用可",AW300="利用可"),"利用可","不可")</f>
        <v>利用可</v>
      </c>
    </row>
    <row r="301" customFormat="false" ht="15" hidden="false" customHeight="false" outlineLevel="0" collapsed="false">
      <c r="A301" s="29" t="n">
        <v>46244</v>
      </c>
      <c r="B301" s="30" t="n">
        <v>10</v>
      </c>
      <c r="C301" s="31" t="s">
        <v>66</v>
      </c>
      <c r="D301" s="31" t="s">
        <v>59</v>
      </c>
      <c r="E301" s="30" t="n">
        <v>60</v>
      </c>
      <c r="F301" s="30" t="n">
        <v>60</v>
      </c>
      <c r="G301" s="30" t="str">
        <f aca="false">IF(E301&lt;判定条件!$C$6,"判定不能",IF(F301&gt;=判定条件!$C$7*E301,"運転",IF(F301&lt;=判定条件!$C$8*E301,"停止","断続")))</f>
        <v>運転</v>
      </c>
      <c r="H301" s="30" t="n">
        <v>60</v>
      </c>
      <c r="I301" s="30" t="n">
        <v>60</v>
      </c>
      <c r="J301" s="30" t="str">
        <f aca="false">IF(H301&lt;判定条件!$C$6,"判定不能",IF(I301&gt;=判定条件!$C$7*H301,"運転",IF(I301&lt;=判定条件!$C$8*H301,"停止","断続")))</f>
        <v>運転</v>
      </c>
      <c r="K301" s="30" t="n">
        <v>60</v>
      </c>
      <c r="L301" s="30" t="n">
        <v>60</v>
      </c>
      <c r="M301" s="30" t="str">
        <f aca="false">IF(K301&lt;判定条件!$C$6,"判定不能",IF(L301&gt;=判定条件!$C$7*K301,"運転",IF(L301&lt;=判定条件!$C$8*K301,"停止","断続")))</f>
        <v>運転</v>
      </c>
      <c r="N301" s="30" t="n">
        <v>60</v>
      </c>
      <c r="O301" s="30" t="n">
        <v>60</v>
      </c>
      <c r="P301" s="30" t="str">
        <f aca="false">IF(N301&lt;判定条件!$C$6,"判定不能",IF(O301&gt;=判定条件!$C$7*N301,"運転",IF(O301&lt;=判定条件!$C$8*N301,"停止","断続")))</f>
        <v>運転</v>
      </c>
      <c r="Q301" s="30" t="n">
        <v>60</v>
      </c>
      <c r="R301" s="30" t="n">
        <v>0</v>
      </c>
      <c r="S301" s="30" t="str">
        <f aca="false">IF(Q301&lt;判定条件!$C$6,"判定不能",IF(R301&gt;=判定条件!$C$7*Q301,"運転",IF(R301&lt;=判定条件!$C$8*Q301,"停止","断続")))</f>
        <v>停止</v>
      </c>
      <c r="T301" s="30" t="n">
        <v>60</v>
      </c>
      <c r="U301" s="30" t="n">
        <v>45</v>
      </c>
      <c r="V301" s="30" t="str">
        <f aca="false">IF(T301&lt;判定条件!$C$6,"判定不能",IF(U301&gt;=判定条件!$C$7*T301,"運転",IF(U301&lt;=判定条件!$C$8*T301,"停止","断続")))</f>
        <v>断続</v>
      </c>
      <c r="W301" s="30" t="n">
        <v>60</v>
      </c>
      <c r="X301" s="30" t="n">
        <v>60</v>
      </c>
      <c r="Y301" s="30" t="str">
        <f aca="false">IF(W301&lt;判定条件!$C$6,"判定不能",IF(X301&gt;=判定条件!$C$7*W301,"運転",IF(X301&lt;=判定条件!$C$8*W301,"停止","断続")))</f>
        <v>運転</v>
      </c>
      <c r="Z301" s="30" t="n">
        <v>60</v>
      </c>
      <c r="AA301" s="30" t="n">
        <v>60</v>
      </c>
      <c r="AB301" s="30" t="str">
        <f aca="false">IF(Z301&lt;判定条件!$C$6,"判定不能",IF(AA301&gt;=判定条件!$C$7*Z301,"運転",IF(AA301&lt;=判定条件!$C$8*Z301,"停止","断続")))</f>
        <v>運転</v>
      </c>
      <c r="AC301" s="30" t="n">
        <v>60</v>
      </c>
      <c r="AD301" s="30" t="n">
        <v>60</v>
      </c>
      <c r="AE301" s="30" t="str">
        <f aca="false">IF(AC301&lt;判定条件!$C$6,"判定不能",IF(AD301&gt;=判定条件!$C$7*AC301,"運転",IF(AD301&lt;=判定条件!$C$8*AC301,"停止","断続")))</f>
        <v>運転</v>
      </c>
      <c r="AF301" s="30" t="n">
        <v>60</v>
      </c>
      <c r="AG301" s="30" t="n">
        <v>60</v>
      </c>
      <c r="AH301" s="30" t="str">
        <f aca="false">IF(OR(P301="判定不能",G301="判定不能"),"判定不能",IF(AG301&gt;=判定条件!$C$9,"利用可",IF(AND(P301="停止",G301="停止"),"両方停止","運転がそろわない")))</f>
        <v>利用可</v>
      </c>
      <c r="AI301" s="30" t="n">
        <v>60</v>
      </c>
      <c r="AJ301" s="30" t="n">
        <v>0</v>
      </c>
      <c r="AK301" s="30" t="str">
        <f aca="false">IF(OR(S301="判定不能",J301="判定不能"),"判定不能",IF(AJ301&gt;=判定条件!$C$9,"利用可",IF(AND(S301="停止",J301="停止"),"両方停止","運転がそろわない")))</f>
        <v>運転がそろわない</v>
      </c>
      <c r="AL301" s="30" t="n">
        <v>60</v>
      </c>
      <c r="AM301" s="30" t="n">
        <v>45</v>
      </c>
      <c r="AN301" s="30" t="str">
        <f aca="false">IF(OR(V301="判定不能",M301="判定不能"),"判定不能",IF(AM301&gt;=判定条件!$C$9,"利用可",IF(AND(V301="停止",M301="停止"),"両方停止","運転がそろわない")))</f>
        <v>利用可</v>
      </c>
      <c r="AO301" s="30" t="n">
        <v>60</v>
      </c>
      <c r="AP301" s="30" t="n">
        <v>60</v>
      </c>
      <c r="AQ301" s="30" t="str">
        <f aca="false">IF(OR(Y301="判定不能",G301="判定不能"),"判定不能",IF(AP301&gt;=判定条件!$C$9,"利用可",IF(AND(Y301="停止",G301="停止"),"両方停止","運転がそろわない")))</f>
        <v>利用可</v>
      </c>
      <c r="AR301" s="30" t="n">
        <v>60</v>
      </c>
      <c r="AS301" s="30" t="n">
        <v>60</v>
      </c>
      <c r="AT301" s="30" t="str">
        <f aca="false">IF(OR(AB301="判定不能",J301="判定不能"),"判定不能",IF(AS301&gt;=判定条件!$C$9,"利用可",IF(AND(AB301="停止",J301="停止"),"両方停止","運転がそろわない")))</f>
        <v>利用可</v>
      </c>
      <c r="AU301" s="30" t="n">
        <v>60</v>
      </c>
      <c r="AV301" s="30" t="n">
        <v>60</v>
      </c>
      <c r="AW301" s="30" t="str">
        <f aca="false">IF(OR(AE301="判定不能",M301="判定不能"),"判定不能",IF(AV301&gt;=判定条件!$C$9,"利用可",IF(AND(AE301="停止",M301="停止"),"両方停止","運転がそろわない")))</f>
        <v>利用可</v>
      </c>
      <c r="AX301" s="30" t="str">
        <f aca="false">IF(AND(AH301="利用可",AK301="利用可",AN301="利用可"),"利用可","不可")</f>
        <v>不可</v>
      </c>
      <c r="AY301" s="30" t="str">
        <f aca="false">IF(AND(AQ301="利用可",AT301="利用可",AW301="利用可"),"利用可","不可")</f>
        <v>利用可</v>
      </c>
    </row>
    <row r="302" customFormat="false" ht="15" hidden="false" customHeight="false" outlineLevel="0" collapsed="false">
      <c r="A302" s="29" t="n">
        <v>46244</v>
      </c>
      <c r="B302" s="30" t="n">
        <v>11</v>
      </c>
      <c r="C302" s="31" t="s">
        <v>66</v>
      </c>
      <c r="D302" s="31" t="s">
        <v>59</v>
      </c>
      <c r="E302" s="30" t="n">
        <v>60</v>
      </c>
      <c r="F302" s="30" t="n">
        <v>60</v>
      </c>
      <c r="G302" s="30" t="str">
        <f aca="false">IF(E302&lt;判定条件!$C$6,"判定不能",IF(F302&gt;=判定条件!$C$7*E302,"運転",IF(F302&lt;=判定条件!$C$8*E302,"停止","断続")))</f>
        <v>運転</v>
      </c>
      <c r="H302" s="30" t="n">
        <v>60</v>
      </c>
      <c r="I302" s="30" t="n">
        <v>60</v>
      </c>
      <c r="J302" s="30" t="str">
        <f aca="false">IF(H302&lt;判定条件!$C$6,"判定不能",IF(I302&gt;=判定条件!$C$7*H302,"運転",IF(I302&lt;=判定条件!$C$8*H302,"停止","断続")))</f>
        <v>運転</v>
      </c>
      <c r="K302" s="30" t="n">
        <v>60</v>
      </c>
      <c r="L302" s="30" t="n">
        <v>60</v>
      </c>
      <c r="M302" s="30" t="str">
        <f aca="false">IF(K302&lt;判定条件!$C$6,"判定不能",IF(L302&gt;=判定条件!$C$7*K302,"運転",IF(L302&lt;=判定条件!$C$8*K302,"停止","断続")))</f>
        <v>運転</v>
      </c>
      <c r="N302" s="30" t="n">
        <v>60</v>
      </c>
      <c r="O302" s="30" t="n">
        <v>60</v>
      </c>
      <c r="P302" s="30" t="str">
        <f aca="false">IF(N302&lt;判定条件!$C$6,"判定不能",IF(O302&gt;=判定条件!$C$7*N302,"運転",IF(O302&lt;=判定条件!$C$8*N302,"停止","断続")))</f>
        <v>運転</v>
      </c>
      <c r="Q302" s="30" t="n">
        <v>60</v>
      </c>
      <c r="R302" s="30" t="n">
        <v>9</v>
      </c>
      <c r="S302" s="30" t="str">
        <f aca="false">IF(Q302&lt;判定条件!$C$6,"判定不能",IF(R302&gt;=判定条件!$C$7*Q302,"運転",IF(R302&lt;=判定条件!$C$8*Q302,"停止","断続")))</f>
        <v>停止</v>
      </c>
      <c r="T302" s="30" t="n">
        <v>60</v>
      </c>
      <c r="U302" s="30" t="n">
        <v>45</v>
      </c>
      <c r="V302" s="30" t="str">
        <f aca="false">IF(T302&lt;判定条件!$C$6,"判定不能",IF(U302&gt;=判定条件!$C$7*T302,"運転",IF(U302&lt;=判定条件!$C$8*T302,"停止","断続")))</f>
        <v>断続</v>
      </c>
      <c r="W302" s="30" t="n">
        <v>60</v>
      </c>
      <c r="X302" s="30" t="n">
        <v>60</v>
      </c>
      <c r="Y302" s="30" t="str">
        <f aca="false">IF(W302&lt;判定条件!$C$6,"判定不能",IF(X302&gt;=判定条件!$C$7*W302,"運転",IF(X302&lt;=判定条件!$C$8*W302,"停止","断続")))</f>
        <v>運転</v>
      </c>
      <c r="Z302" s="30" t="n">
        <v>60</v>
      </c>
      <c r="AA302" s="30" t="n">
        <v>44</v>
      </c>
      <c r="AB302" s="30" t="str">
        <f aca="false">IF(Z302&lt;判定条件!$C$6,"判定不能",IF(AA302&gt;=判定条件!$C$7*Z302,"運転",IF(AA302&lt;=判定条件!$C$8*Z302,"停止","断続")))</f>
        <v>断続</v>
      </c>
      <c r="AC302" s="30" t="n">
        <v>60</v>
      </c>
      <c r="AD302" s="30" t="n">
        <v>60</v>
      </c>
      <c r="AE302" s="30" t="str">
        <f aca="false">IF(AC302&lt;判定条件!$C$6,"判定不能",IF(AD302&gt;=判定条件!$C$7*AC302,"運転",IF(AD302&lt;=判定条件!$C$8*AC302,"停止","断続")))</f>
        <v>運転</v>
      </c>
      <c r="AF302" s="30" t="n">
        <v>60</v>
      </c>
      <c r="AG302" s="30" t="n">
        <v>60</v>
      </c>
      <c r="AH302" s="30" t="str">
        <f aca="false">IF(OR(P302="判定不能",G302="判定不能"),"判定不能",IF(AG302&gt;=判定条件!$C$9,"利用可",IF(AND(P302="停止",G302="停止"),"両方停止","運転がそろわない")))</f>
        <v>利用可</v>
      </c>
      <c r="AI302" s="30" t="n">
        <v>60</v>
      </c>
      <c r="AJ302" s="30" t="n">
        <v>9</v>
      </c>
      <c r="AK302" s="30" t="str">
        <f aca="false">IF(OR(S302="判定不能",J302="判定不能"),"判定不能",IF(AJ302&gt;=判定条件!$C$9,"利用可",IF(AND(S302="停止",J302="停止"),"両方停止","運転がそろわない")))</f>
        <v>運転がそろわない</v>
      </c>
      <c r="AL302" s="30" t="n">
        <v>60</v>
      </c>
      <c r="AM302" s="30" t="n">
        <v>45</v>
      </c>
      <c r="AN302" s="30" t="str">
        <f aca="false">IF(OR(V302="判定不能",M302="判定不能"),"判定不能",IF(AM302&gt;=判定条件!$C$9,"利用可",IF(AND(V302="停止",M302="停止"),"両方停止","運転がそろわない")))</f>
        <v>利用可</v>
      </c>
      <c r="AO302" s="30" t="n">
        <v>60</v>
      </c>
      <c r="AP302" s="30" t="n">
        <v>60</v>
      </c>
      <c r="AQ302" s="30" t="str">
        <f aca="false">IF(OR(Y302="判定不能",G302="判定不能"),"判定不能",IF(AP302&gt;=判定条件!$C$9,"利用可",IF(AND(Y302="停止",G302="停止"),"両方停止","運転がそろわない")))</f>
        <v>利用可</v>
      </c>
      <c r="AR302" s="30" t="n">
        <v>60</v>
      </c>
      <c r="AS302" s="30" t="n">
        <v>44</v>
      </c>
      <c r="AT302" s="30" t="str">
        <f aca="false">IF(OR(AB302="判定不能",J302="判定不能"),"判定不能",IF(AS302&gt;=判定条件!$C$9,"利用可",IF(AND(AB302="停止",J302="停止"),"両方停止","運転がそろわない")))</f>
        <v>利用可</v>
      </c>
      <c r="AU302" s="30" t="n">
        <v>60</v>
      </c>
      <c r="AV302" s="30" t="n">
        <v>60</v>
      </c>
      <c r="AW302" s="30" t="str">
        <f aca="false">IF(OR(AE302="判定不能",M302="判定不能"),"判定不能",IF(AV302&gt;=判定条件!$C$9,"利用可",IF(AND(AE302="停止",M302="停止"),"両方停止","運転がそろわない")))</f>
        <v>利用可</v>
      </c>
      <c r="AX302" s="30" t="str">
        <f aca="false">IF(AND(AH302="利用可",AK302="利用可",AN302="利用可"),"利用可","不可")</f>
        <v>不可</v>
      </c>
      <c r="AY302" s="30" t="str">
        <f aca="false">IF(AND(AQ302="利用可",AT302="利用可",AW302="利用可"),"利用可","不可")</f>
        <v>利用可</v>
      </c>
    </row>
    <row r="303" customFormat="false" ht="15" hidden="false" customHeight="false" outlineLevel="0" collapsed="false">
      <c r="A303" s="29" t="n">
        <v>46244</v>
      </c>
      <c r="B303" s="30" t="n">
        <v>12</v>
      </c>
      <c r="C303" s="31" t="s">
        <v>66</v>
      </c>
      <c r="D303" s="31" t="s">
        <v>59</v>
      </c>
      <c r="E303" s="30" t="n">
        <v>60</v>
      </c>
      <c r="F303" s="30" t="n">
        <v>60</v>
      </c>
      <c r="G303" s="30" t="str">
        <f aca="false">IF(E303&lt;判定条件!$C$6,"判定不能",IF(F303&gt;=判定条件!$C$7*E303,"運転",IF(F303&lt;=判定条件!$C$8*E303,"停止","断続")))</f>
        <v>運転</v>
      </c>
      <c r="H303" s="30" t="n">
        <v>60</v>
      </c>
      <c r="I303" s="30" t="n">
        <v>60</v>
      </c>
      <c r="J303" s="30" t="str">
        <f aca="false">IF(H303&lt;判定条件!$C$6,"判定不能",IF(I303&gt;=判定条件!$C$7*H303,"運転",IF(I303&lt;=判定条件!$C$8*H303,"停止","断続")))</f>
        <v>運転</v>
      </c>
      <c r="K303" s="30" t="n">
        <v>60</v>
      </c>
      <c r="L303" s="30" t="n">
        <v>60</v>
      </c>
      <c r="M303" s="30" t="str">
        <f aca="false">IF(K303&lt;判定条件!$C$6,"判定不能",IF(L303&gt;=判定条件!$C$7*K303,"運転",IF(L303&lt;=判定条件!$C$8*K303,"停止","断続")))</f>
        <v>運転</v>
      </c>
      <c r="N303" s="30" t="n">
        <v>60</v>
      </c>
      <c r="O303" s="30" t="n">
        <v>52</v>
      </c>
      <c r="P303" s="30" t="str">
        <f aca="false">IF(N303&lt;判定条件!$C$6,"判定不能",IF(O303&gt;=判定条件!$C$7*N303,"運転",IF(O303&lt;=判定条件!$C$8*N303,"停止","断続")))</f>
        <v>運転</v>
      </c>
      <c r="Q303" s="30" t="n">
        <v>60</v>
      </c>
      <c r="R303" s="30" t="n">
        <v>0</v>
      </c>
      <c r="S303" s="30" t="str">
        <f aca="false">IF(Q303&lt;判定条件!$C$6,"判定不能",IF(R303&gt;=判定条件!$C$7*Q303,"運転",IF(R303&lt;=判定条件!$C$8*Q303,"停止","断続")))</f>
        <v>停止</v>
      </c>
      <c r="T303" s="30" t="n">
        <v>60</v>
      </c>
      <c r="U303" s="30" t="n">
        <v>60</v>
      </c>
      <c r="V303" s="30" t="str">
        <f aca="false">IF(T303&lt;判定条件!$C$6,"判定不能",IF(U303&gt;=判定条件!$C$7*T303,"運転",IF(U303&lt;=判定条件!$C$8*T303,"停止","断続")))</f>
        <v>運転</v>
      </c>
      <c r="W303" s="30" t="n">
        <v>60</v>
      </c>
      <c r="X303" s="30" t="n">
        <v>60</v>
      </c>
      <c r="Y303" s="30" t="str">
        <f aca="false">IF(W303&lt;判定条件!$C$6,"判定不能",IF(X303&gt;=判定条件!$C$7*W303,"運転",IF(X303&lt;=判定条件!$C$8*W303,"停止","断続")))</f>
        <v>運転</v>
      </c>
      <c r="Z303" s="30" t="n">
        <v>60</v>
      </c>
      <c r="AA303" s="30" t="n">
        <v>60</v>
      </c>
      <c r="AB303" s="30" t="str">
        <f aca="false">IF(Z303&lt;判定条件!$C$6,"判定不能",IF(AA303&gt;=判定条件!$C$7*Z303,"運転",IF(AA303&lt;=判定条件!$C$8*Z303,"停止","断続")))</f>
        <v>運転</v>
      </c>
      <c r="AC303" s="30" t="n">
        <v>60</v>
      </c>
      <c r="AD303" s="30" t="n">
        <v>40</v>
      </c>
      <c r="AE303" s="30" t="str">
        <f aca="false">IF(AC303&lt;判定条件!$C$6,"判定不能",IF(AD303&gt;=判定条件!$C$7*AC303,"運転",IF(AD303&lt;=判定条件!$C$8*AC303,"停止","断続")))</f>
        <v>断続</v>
      </c>
      <c r="AF303" s="30" t="n">
        <v>60</v>
      </c>
      <c r="AG303" s="30" t="n">
        <v>52</v>
      </c>
      <c r="AH303" s="30" t="str">
        <f aca="false">IF(OR(P303="判定不能",G303="判定不能"),"判定不能",IF(AG303&gt;=判定条件!$C$9,"利用可",IF(AND(P303="停止",G303="停止"),"両方停止","運転がそろわない")))</f>
        <v>利用可</v>
      </c>
      <c r="AI303" s="30" t="n">
        <v>60</v>
      </c>
      <c r="AJ303" s="30" t="n">
        <v>0</v>
      </c>
      <c r="AK303" s="30" t="str">
        <f aca="false">IF(OR(S303="判定不能",J303="判定不能"),"判定不能",IF(AJ303&gt;=判定条件!$C$9,"利用可",IF(AND(S303="停止",J303="停止"),"両方停止","運転がそろわない")))</f>
        <v>運転がそろわない</v>
      </c>
      <c r="AL303" s="30" t="n">
        <v>60</v>
      </c>
      <c r="AM303" s="30" t="n">
        <v>60</v>
      </c>
      <c r="AN303" s="30" t="str">
        <f aca="false">IF(OR(V303="判定不能",M303="判定不能"),"判定不能",IF(AM303&gt;=判定条件!$C$9,"利用可",IF(AND(V303="停止",M303="停止"),"両方停止","運転がそろわない")))</f>
        <v>利用可</v>
      </c>
      <c r="AO303" s="30" t="n">
        <v>60</v>
      </c>
      <c r="AP303" s="30" t="n">
        <v>60</v>
      </c>
      <c r="AQ303" s="30" t="str">
        <f aca="false">IF(OR(Y303="判定不能",G303="判定不能"),"判定不能",IF(AP303&gt;=判定条件!$C$9,"利用可",IF(AND(Y303="停止",G303="停止"),"両方停止","運転がそろわない")))</f>
        <v>利用可</v>
      </c>
      <c r="AR303" s="30" t="n">
        <v>60</v>
      </c>
      <c r="AS303" s="30" t="n">
        <v>60</v>
      </c>
      <c r="AT303" s="30" t="str">
        <f aca="false">IF(OR(AB303="判定不能",J303="判定不能"),"判定不能",IF(AS303&gt;=判定条件!$C$9,"利用可",IF(AND(AB303="停止",J303="停止"),"両方停止","運転がそろわない")))</f>
        <v>利用可</v>
      </c>
      <c r="AU303" s="30" t="n">
        <v>60</v>
      </c>
      <c r="AV303" s="30" t="n">
        <v>40</v>
      </c>
      <c r="AW303" s="30" t="str">
        <f aca="false">IF(OR(AE303="判定不能",M303="判定不能"),"判定不能",IF(AV303&gt;=判定条件!$C$9,"利用可",IF(AND(AE303="停止",M303="停止"),"両方停止","運転がそろわない")))</f>
        <v>利用可</v>
      </c>
      <c r="AX303" s="30" t="str">
        <f aca="false">IF(AND(AH303="利用可",AK303="利用可",AN303="利用可"),"利用可","不可")</f>
        <v>不可</v>
      </c>
      <c r="AY303" s="30" t="str">
        <f aca="false">IF(AND(AQ303="利用可",AT303="利用可",AW303="利用可"),"利用可","不可")</f>
        <v>利用可</v>
      </c>
    </row>
    <row r="304" customFormat="false" ht="15" hidden="false" customHeight="false" outlineLevel="0" collapsed="false">
      <c r="A304" s="29" t="n">
        <v>46244</v>
      </c>
      <c r="B304" s="30" t="n">
        <v>13</v>
      </c>
      <c r="C304" s="31" t="s">
        <v>66</v>
      </c>
      <c r="D304" s="31" t="s">
        <v>59</v>
      </c>
      <c r="E304" s="30" t="n">
        <v>60</v>
      </c>
      <c r="F304" s="30" t="n">
        <v>60</v>
      </c>
      <c r="G304" s="30" t="str">
        <f aca="false">IF(E304&lt;判定条件!$C$6,"判定不能",IF(F304&gt;=判定条件!$C$7*E304,"運転",IF(F304&lt;=判定条件!$C$8*E304,"停止","断続")))</f>
        <v>運転</v>
      </c>
      <c r="H304" s="30" t="n">
        <v>60</v>
      </c>
      <c r="I304" s="30" t="n">
        <v>60</v>
      </c>
      <c r="J304" s="30" t="str">
        <f aca="false">IF(H304&lt;判定条件!$C$6,"判定不能",IF(I304&gt;=判定条件!$C$7*H304,"運転",IF(I304&lt;=判定条件!$C$8*H304,"停止","断続")))</f>
        <v>運転</v>
      </c>
      <c r="K304" s="30" t="n">
        <v>60</v>
      </c>
      <c r="L304" s="30" t="n">
        <v>60</v>
      </c>
      <c r="M304" s="30" t="str">
        <f aca="false">IF(K304&lt;判定条件!$C$6,"判定不能",IF(L304&gt;=判定条件!$C$7*K304,"運転",IF(L304&lt;=判定条件!$C$8*K304,"停止","断続")))</f>
        <v>運転</v>
      </c>
      <c r="N304" s="30" t="n">
        <v>60</v>
      </c>
      <c r="O304" s="30" t="n">
        <v>60</v>
      </c>
      <c r="P304" s="30" t="str">
        <f aca="false">IF(N304&lt;判定条件!$C$6,"判定不能",IF(O304&gt;=判定条件!$C$7*N304,"運転",IF(O304&lt;=判定条件!$C$8*N304,"停止","断続")))</f>
        <v>運転</v>
      </c>
      <c r="Q304" s="30" t="n">
        <v>60</v>
      </c>
      <c r="R304" s="30" t="n">
        <v>23</v>
      </c>
      <c r="S304" s="30" t="str">
        <f aca="false">IF(Q304&lt;判定条件!$C$6,"判定不能",IF(R304&gt;=判定条件!$C$7*Q304,"運転",IF(R304&lt;=判定条件!$C$8*Q304,"停止","断続")))</f>
        <v>断続</v>
      </c>
      <c r="T304" s="30" t="n">
        <v>60</v>
      </c>
      <c r="U304" s="30" t="n">
        <v>60</v>
      </c>
      <c r="V304" s="30" t="str">
        <f aca="false">IF(T304&lt;判定条件!$C$6,"判定不能",IF(U304&gt;=判定条件!$C$7*T304,"運転",IF(U304&lt;=判定条件!$C$8*T304,"停止","断続")))</f>
        <v>運転</v>
      </c>
      <c r="W304" s="30" t="n">
        <v>60</v>
      </c>
      <c r="X304" s="30" t="n">
        <v>51</v>
      </c>
      <c r="Y304" s="30" t="str">
        <f aca="false">IF(W304&lt;判定条件!$C$6,"判定不能",IF(X304&gt;=判定条件!$C$7*W304,"運転",IF(X304&lt;=判定条件!$C$8*W304,"停止","断続")))</f>
        <v>運転</v>
      </c>
      <c r="Z304" s="30" t="n">
        <v>60</v>
      </c>
      <c r="AA304" s="30" t="n">
        <v>60</v>
      </c>
      <c r="AB304" s="30" t="str">
        <f aca="false">IF(Z304&lt;判定条件!$C$6,"判定不能",IF(AA304&gt;=判定条件!$C$7*Z304,"運転",IF(AA304&lt;=判定条件!$C$8*Z304,"停止","断続")))</f>
        <v>運転</v>
      </c>
      <c r="AC304" s="30" t="n">
        <v>60</v>
      </c>
      <c r="AD304" s="30" t="n">
        <v>60</v>
      </c>
      <c r="AE304" s="30" t="str">
        <f aca="false">IF(AC304&lt;判定条件!$C$6,"判定不能",IF(AD304&gt;=判定条件!$C$7*AC304,"運転",IF(AD304&lt;=判定条件!$C$8*AC304,"停止","断続")))</f>
        <v>運転</v>
      </c>
      <c r="AF304" s="30" t="n">
        <v>60</v>
      </c>
      <c r="AG304" s="30" t="n">
        <v>60</v>
      </c>
      <c r="AH304" s="30" t="str">
        <f aca="false">IF(OR(P304="判定不能",G304="判定不能"),"判定不能",IF(AG304&gt;=判定条件!$C$9,"利用可",IF(AND(P304="停止",G304="停止"),"両方停止","運転がそろわない")))</f>
        <v>利用可</v>
      </c>
      <c r="AI304" s="30" t="n">
        <v>60</v>
      </c>
      <c r="AJ304" s="30" t="n">
        <v>23</v>
      </c>
      <c r="AK304" s="30" t="str">
        <f aca="false">IF(OR(S304="判定不能",J304="判定不能"),"判定不能",IF(AJ304&gt;=判定条件!$C$9,"利用可",IF(AND(S304="停止",J304="停止"),"両方停止","運転がそろわない")))</f>
        <v>運転がそろわない</v>
      </c>
      <c r="AL304" s="30" t="n">
        <v>60</v>
      </c>
      <c r="AM304" s="30" t="n">
        <v>60</v>
      </c>
      <c r="AN304" s="30" t="str">
        <f aca="false">IF(OR(V304="判定不能",M304="判定不能"),"判定不能",IF(AM304&gt;=判定条件!$C$9,"利用可",IF(AND(V304="停止",M304="停止"),"両方停止","運転がそろわない")))</f>
        <v>利用可</v>
      </c>
      <c r="AO304" s="30" t="n">
        <v>60</v>
      </c>
      <c r="AP304" s="30" t="n">
        <v>51</v>
      </c>
      <c r="AQ304" s="30" t="str">
        <f aca="false">IF(OR(Y304="判定不能",G304="判定不能"),"判定不能",IF(AP304&gt;=判定条件!$C$9,"利用可",IF(AND(Y304="停止",G304="停止"),"両方停止","運転がそろわない")))</f>
        <v>利用可</v>
      </c>
      <c r="AR304" s="30" t="n">
        <v>60</v>
      </c>
      <c r="AS304" s="30" t="n">
        <v>60</v>
      </c>
      <c r="AT304" s="30" t="str">
        <f aca="false">IF(OR(AB304="判定不能",J304="判定不能"),"判定不能",IF(AS304&gt;=判定条件!$C$9,"利用可",IF(AND(AB304="停止",J304="停止"),"両方停止","運転がそろわない")))</f>
        <v>利用可</v>
      </c>
      <c r="AU304" s="30" t="n">
        <v>60</v>
      </c>
      <c r="AV304" s="30" t="n">
        <v>60</v>
      </c>
      <c r="AW304" s="30" t="str">
        <f aca="false">IF(OR(AE304="判定不能",M304="判定不能"),"判定不能",IF(AV304&gt;=判定条件!$C$9,"利用可",IF(AND(AE304="停止",M304="停止"),"両方停止","運転がそろわない")))</f>
        <v>利用可</v>
      </c>
      <c r="AX304" s="30" t="str">
        <f aca="false">IF(AND(AH304="利用可",AK304="利用可",AN304="利用可"),"利用可","不可")</f>
        <v>不可</v>
      </c>
      <c r="AY304" s="30" t="str">
        <f aca="false">IF(AND(AQ304="利用可",AT304="利用可",AW304="利用可"),"利用可","不可")</f>
        <v>利用可</v>
      </c>
    </row>
    <row r="305" customFormat="false" ht="15" hidden="false" customHeight="false" outlineLevel="0" collapsed="false">
      <c r="A305" s="29" t="n">
        <v>46244</v>
      </c>
      <c r="B305" s="30" t="n">
        <v>14</v>
      </c>
      <c r="C305" s="31" t="s">
        <v>66</v>
      </c>
      <c r="D305" s="31" t="s">
        <v>59</v>
      </c>
      <c r="E305" s="30" t="n">
        <v>60</v>
      </c>
      <c r="F305" s="30" t="n">
        <v>60</v>
      </c>
      <c r="G305" s="30" t="str">
        <f aca="false">IF(E305&lt;判定条件!$C$6,"判定不能",IF(F305&gt;=判定条件!$C$7*E305,"運転",IF(F305&lt;=判定条件!$C$8*E305,"停止","断続")))</f>
        <v>運転</v>
      </c>
      <c r="H305" s="30" t="n">
        <v>60</v>
      </c>
      <c r="I305" s="30" t="n">
        <v>60</v>
      </c>
      <c r="J305" s="30" t="str">
        <f aca="false">IF(H305&lt;判定条件!$C$6,"判定不能",IF(I305&gt;=判定条件!$C$7*H305,"運転",IF(I305&lt;=判定条件!$C$8*H305,"停止","断続")))</f>
        <v>運転</v>
      </c>
      <c r="K305" s="30" t="n">
        <v>60</v>
      </c>
      <c r="L305" s="30" t="n">
        <v>60</v>
      </c>
      <c r="M305" s="30" t="str">
        <f aca="false">IF(K305&lt;判定条件!$C$6,"判定不能",IF(L305&gt;=判定条件!$C$7*K305,"運転",IF(L305&lt;=判定条件!$C$8*K305,"停止","断続")))</f>
        <v>運転</v>
      </c>
      <c r="N305" s="30" t="n">
        <v>60</v>
      </c>
      <c r="O305" s="30" t="n">
        <v>58</v>
      </c>
      <c r="P305" s="30" t="str">
        <f aca="false">IF(N305&lt;判定条件!$C$6,"判定不能",IF(O305&gt;=判定条件!$C$7*N305,"運転",IF(O305&lt;=判定条件!$C$8*N305,"停止","断続")))</f>
        <v>運転</v>
      </c>
      <c r="Q305" s="30" t="n">
        <v>60</v>
      </c>
      <c r="R305" s="30" t="n">
        <v>0</v>
      </c>
      <c r="S305" s="30" t="str">
        <f aca="false">IF(Q305&lt;判定条件!$C$6,"判定不能",IF(R305&gt;=判定条件!$C$7*Q305,"運転",IF(R305&lt;=判定条件!$C$8*Q305,"停止","断続")))</f>
        <v>停止</v>
      </c>
      <c r="T305" s="30" t="n">
        <v>60</v>
      </c>
      <c r="U305" s="30" t="n">
        <v>60</v>
      </c>
      <c r="V305" s="30" t="str">
        <f aca="false">IF(T305&lt;判定条件!$C$6,"判定不能",IF(U305&gt;=判定条件!$C$7*T305,"運転",IF(U305&lt;=判定条件!$C$8*T305,"停止","断続")))</f>
        <v>運転</v>
      </c>
      <c r="W305" s="30" t="n">
        <v>60</v>
      </c>
      <c r="X305" s="30" t="n">
        <v>59</v>
      </c>
      <c r="Y305" s="30" t="str">
        <f aca="false">IF(W305&lt;判定条件!$C$6,"判定不能",IF(X305&gt;=判定条件!$C$7*W305,"運転",IF(X305&lt;=判定条件!$C$8*W305,"停止","断続")))</f>
        <v>運転</v>
      </c>
      <c r="Z305" s="30" t="n">
        <v>60</v>
      </c>
      <c r="AA305" s="30" t="n">
        <v>60</v>
      </c>
      <c r="AB305" s="30" t="str">
        <f aca="false">IF(Z305&lt;判定条件!$C$6,"判定不能",IF(AA305&gt;=判定条件!$C$7*Z305,"運転",IF(AA305&lt;=判定条件!$C$8*Z305,"停止","断続")))</f>
        <v>運転</v>
      </c>
      <c r="AC305" s="30" t="n">
        <v>60</v>
      </c>
      <c r="AD305" s="30" t="n">
        <v>60</v>
      </c>
      <c r="AE305" s="30" t="str">
        <f aca="false">IF(AC305&lt;判定条件!$C$6,"判定不能",IF(AD305&gt;=判定条件!$C$7*AC305,"運転",IF(AD305&lt;=判定条件!$C$8*AC305,"停止","断続")))</f>
        <v>運転</v>
      </c>
      <c r="AF305" s="30" t="n">
        <v>60</v>
      </c>
      <c r="AG305" s="30" t="n">
        <v>58</v>
      </c>
      <c r="AH305" s="30" t="str">
        <f aca="false">IF(OR(P305="判定不能",G305="判定不能"),"判定不能",IF(AG305&gt;=判定条件!$C$9,"利用可",IF(AND(P305="停止",G305="停止"),"両方停止","運転がそろわない")))</f>
        <v>利用可</v>
      </c>
      <c r="AI305" s="30" t="n">
        <v>60</v>
      </c>
      <c r="AJ305" s="30" t="n">
        <v>0</v>
      </c>
      <c r="AK305" s="30" t="str">
        <f aca="false">IF(OR(S305="判定不能",J305="判定不能"),"判定不能",IF(AJ305&gt;=判定条件!$C$9,"利用可",IF(AND(S305="停止",J305="停止"),"両方停止","運転がそろわない")))</f>
        <v>運転がそろわない</v>
      </c>
      <c r="AL305" s="30" t="n">
        <v>60</v>
      </c>
      <c r="AM305" s="30" t="n">
        <v>60</v>
      </c>
      <c r="AN305" s="30" t="str">
        <f aca="false">IF(OR(V305="判定不能",M305="判定不能"),"判定不能",IF(AM305&gt;=判定条件!$C$9,"利用可",IF(AND(V305="停止",M305="停止"),"両方停止","運転がそろわない")))</f>
        <v>利用可</v>
      </c>
      <c r="AO305" s="30" t="n">
        <v>60</v>
      </c>
      <c r="AP305" s="30" t="n">
        <v>59</v>
      </c>
      <c r="AQ305" s="30" t="str">
        <f aca="false">IF(OR(Y305="判定不能",G305="判定不能"),"判定不能",IF(AP305&gt;=判定条件!$C$9,"利用可",IF(AND(Y305="停止",G305="停止"),"両方停止","運転がそろわない")))</f>
        <v>利用可</v>
      </c>
      <c r="AR305" s="30" t="n">
        <v>60</v>
      </c>
      <c r="AS305" s="30" t="n">
        <v>60</v>
      </c>
      <c r="AT305" s="30" t="str">
        <f aca="false">IF(OR(AB305="判定不能",J305="判定不能"),"判定不能",IF(AS305&gt;=判定条件!$C$9,"利用可",IF(AND(AB305="停止",J305="停止"),"両方停止","運転がそろわない")))</f>
        <v>利用可</v>
      </c>
      <c r="AU305" s="30" t="n">
        <v>60</v>
      </c>
      <c r="AV305" s="30" t="n">
        <v>60</v>
      </c>
      <c r="AW305" s="30" t="str">
        <f aca="false">IF(OR(AE305="判定不能",M305="判定不能"),"判定不能",IF(AV305&gt;=判定条件!$C$9,"利用可",IF(AND(AE305="停止",M305="停止"),"両方停止","運転がそろわない")))</f>
        <v>利用可</v>
      </c>
      <c r="AX305" s="30" t="str">
        <f aca="false">IF(AND(AH305="利用可",AK305="利用可",AN305="利用可"),"利用可","不可")</f>
        <v>不可</v>
      </c>
      <c r="AY305" s="30" t="str">
        <f aca="false">IF(AND(AQ305="利用可",AT305="利用可",AW305="利用可"),"利用可","不可")</f>
        <v>利用可</v>
      </c>
    </row>
    <row r="306" customFormat="false" ht="15" hidden="false" customHeight="false" outlineLevel="0" collapsed="false">
      <c r="A306" s="29" t="n">
        <v>46244</v>
      </c>
      <c r="B306" s="30" t="n">
        <v>15</v>
      </c>
      <c r="C306" s="31" t="s">
        <v>66</v>
      </c>
      <c r="D306" s="31" t="s">
        <v>59</v>
      </c>
      <c r="E306" s="30" t="n">
        <v>60</v>
      </c>
      <c r="F306" s="30" t="n">
        <v>60</v>
      </c>
      <c r="G306" s="30" t="str">
        <f aca="false">IF(E306&lt;判定条件!$C$6,"判定不能",IF(F306&gt;=判定条件!$C$7*E306,"運転",IF(F306&lt;=判定条件!$C$8*E306,"停止","断続")))</f>
        <v>運転</v>
      </c>
      <c r="H306" s="30" t="n">
        <v>60</v>
      </c>
      <c r="I306" s="30" t="n">
        <v>60</v>
      </c>
      <c r="J306" s="30" t="str">
        <f aca="false">IF(H306&lt;判定条件!$C$6,"判定不能",IF(I306&gt;=判定条件!$C$7*H306,"運転",IF(I306&lt;=判定条件!$C$8*H306,"停止","断続")))</f>
        <v>運転</v>
      </c>
      <c r="K306" s="30" t="n">
        <v>60</v>
      </c>
      <c r="L306" s="30" t="n">
        <v>60</v>
      </c>
      <c r="M306" s="30" t="str">
        <f aca="false">IF(K306&lt;判定条件!$C$6,"判定不能",IF(L306&gt;=判定条件!$C$7*K306,"運転",IF(L306&lt;=判定条件!$C$8*K306,"停止","断続")))</f>
        <v>運転</v>
      </c>
      <c r="N306" s="30" t="n">
        <v>60</v>
      </c>
      <c r="O306" s="30" t="n">
        <v>38</v>
      </c>
      <c r="P306" s="30" t="str">
        <f aca="false">IF(N306&lt;判定条件!$C$6,"判定不能",IF(O306&gt;=判定条件!$C$7*N306,"運転",IF(O306&lt;=判定条件!$C$8*N306,"停止","断続")))</f>
        <v>断続</v>
      </c>
      <c r="Q306" s="30" t="n">
        <v>60</v>
      </c>
      <c r="R306" s="30" t="n">
        <v>0</v>
      </c>
      <c r="S306" s="30" t="str">
        <f aca="false">IF(Q306&lt;判定条件!$C$6,"判定不能",IF(R306&gt;=判定条件!$C$7*Q306,"運転",IF(R306&lt;=判定条件!$C$8*Q306,"停止","断続")))</f>
        <v>停止</v>
      </c>
      <c r="T306" s="30" t="n">
        <v>60</v>
      </c>
      <c r="U306" s="30" t="n">
        <v>60</v>
      </c>
      <c r="V306" s="30" t="str">
        <f aca="false">IF(T306&lt;判定条件!$C$6,"判定不能",IF(U306&gt;=判定条件!$C$7*T306,"運転",IF(U306&lt;=判定条件!$C$8*T306,"停止","断続")))</f>
        <v>運転</v>
      </c>
      <c r="W306" s="30" t="n">
        <v>60</v>
      </c>
      <c r="X306" s="30" t="n">
        <v>41</v>
      </c>
      <c r="Y306" s="30" t="str">
        <f aca="false">IF(W306&lt;判定条件!$C$6,"判定不能",IF(X306&gt;=判定条件!$C$7*W306,"運転",IF(X306&lt;=判定条件!$C$8*W306,"停止","断続")))</f>
        <v>断続</v>
      </c>
      <c r="Z306" s="30" t="n">
        <v>60</v>
      </c>
      <c r="AA306" s="30" t="n">
        <v>60</v>
      </c>
      <c r="AB306" s="30" t="str">
        <f aca="false">IF(Z306&lt;判定条件!$C$6,"判定不能",IF(AA306&gt;=判定条件!$C$7*Z306,"運転",IF(AA306&lt;=判定条件!$C$8*Z306,"停止","断続")))</f>
        <v>運転</v>
      </c>
      <c r="AC306" s="30" t="n">
        <v>60</v>
      </c>
      <c r="AD306" s="30" t="n">
        <v>60</v>
      </c>
      <c r="AE306" s="30" t="str">
        <f aca="false">IF(AC306&lt;判定条件!$C$6,"判定不能",IF(AD306&gt;=判定条件!$C$7*AC306,"運転",IF(AD306&lt;=判定条件!$C$8*AC306,"停止","断続")))</f>
        <v>運転</v>
      </c>
      <c r="AF306" s="30" t="n">
        <v>60</v>
      </c>
      <c r="AG306" s="30" t="n">
        <v>38</v>
      </c>
      <c r="AH306" s="30" t="str">
        <f aca="false">IF(OR(P306="判定不能",G306="判定不能"),"判定不能",IF(AG306&gt;=判定条件!$C$9,"利用可",IF(AND(P306="停止",G306="停止"),"両方停止","運転がそろわない")))</f>
        <v>利用可</v>
      </c>
      <c r="AI306" s="30" t="n">
        <v>60</v>
      </c>
      <c r="AJ306" s="30" t="n">
        <v>0</v>
      </c>
      <c r="AK306" s="30" t="str">
        <f aca="false">IF(OR(S306="判定不能",J306="判定不能"),"判定不能",IF(AJ306&gt;=判定条件!$C$9,"利用可",IF(AND(S306="停止",J306="停止"),"両方停止","運転がそろわない")))</f>
        <v>運転がそろわない</v>
      </c>
      <c r="AL306" s="30" t="n">
        <v>60</v>
      </c>
      <c r="AM306" s="30" t="n">
        <v>60</v>
      </c>
      <c r="AN306" s="30" t="str">
        <f aca="false">IF(OR(V306="判定不能",M306="判定不能"),"判定不能",IF(AM306&gt;=判定条件!$C$9,"利用可",IF(AND(V306="停止",M306="停止"),"両方停止","運転がそろわない")))</f>
        <v>利用可</v>
      </c>
      <c r="AO306" s="30" t="n">
        <v>60</v>
      </c>
      <c r="AP306" s="30" t="n">
        <v>41</v>
      </c>
      <c r="AQ306" s="30" t="str">
        <f aca="false">IF(OR(Y306="判定不能",G306="判定不能"),"判定不能",IF(AP306&gt;=判定条件!$C$9,"利用可",IF(AND(Y306="停止",G306="停止"),"両方停止","運転がそろわない")))</f>
        <v>利用可</v>
      </c>
      <c r="AR306" s="30" t="n">
        <v>60</v>
      </c>
      <c r="AS306" s="30" t="n">
        <v>60</v>
      </c>
      <c r="AT306" s="30" t="str">
        <f aca="false">IF(OR(AB306="判定不能",J306="判定不能"),"判定不能",IF(AS306&gt;=判定条件!$C$9,"利用可",IF(AND(AB306="停止",J306="停止"),"両方停止","運転がそろわない")))</f>
        <v>利用可</v>
      </c>
      <c r="AU306" s="30" t="n">
        <v>60</v>
      </c>
      <c r="AV306" s="30" t="n">
        <v>60</v>
      </c>
      <c r="AW306" s="30" t="str">
        <f aca="false">IF(OR(AE306="判定不能",M306="判定不能"),"判定不能",IF(AV306&gt;=判定条件!$C$9,"利用可",IF(AND(AE306="停止",M306="停止"),"両方停止","運転がそろわない")))</f>
        <v>利用可</v>
      </c>
      <c r="AX306" s="30" t="str">
        <f aca="false">IF(AND(AH306="利用可",AK306="利用可",AN306="利用可"),"利用可","不可")</f>
        <v>不可</v>
      </c>
      <c r="AY306" s="30" t="str">
        <f aca="false">IF(AND(AQ306="利用可",AT306="利用可",AW306="利用可"),"利用可","不可")</f>
        <v>利用可</v>
      </c>
    </row>
    <row r="307" customFormat="false" ht="15" hidden="false" customHeight="false" outlineLevel="0" collapsed="false">
      <c r="A307" s="29" t="n">
        <v>46244</v>
      </c>
      <c r="B307" s="30" t="n">
        <v>16</v>
      </c>
      <c r="C307" s="31" t="s">
        <v>66</v>
      </c>
      <c r="D307" s="31" t="s">
        <v>59</v>
      </c>
      <c r="E307" s="30" t="n">
        <v>60</v>
      </c>
      <c r="F307" s="30" t="n">
        <v>60</v>
      </c>
      <c r="G307" s="30" t="str">
        <f aca="false">IF(E307&lt;判定条件!$C$6,"判定不能",IF(F307&gt;=判定条件!$C$7*E307,"運転",IF(F307&lt;=判定条件!$C$8*E307,"停止","断続")))</f>
        <v>運転</v>
      </c>
      <c r="H307" s="30" t="n">
        <v>60</v>
      </c>
      <c r="I307" s="30" t="n">
        <v>60</v>
      </c>
      <c r="J307" s="30" t="str">
        <f aca="false">IF(H307&lt;判定条件!$C$6,"判定不能",IF(I307&gt;=判定条件!$C$7*H307,"運転",IF(I307&lt;=判定条件!$C$8*H307,"停止","断続")))</f>
        <v>運転</v>
      </c>
      <c r="K307" s="30" t="n">
        <v>60</v>
      </c>
      <c r="L307" s="30" t="n">
        <v>60</v>
      </c>
      <c r="M307" s="30" t="str">
        <f aca="false">IF(K307&lt;判定条件!$C$6,"判定不能",IF(L307&gt;=判定条件!$C$7*K307,"運転",IF(L307&lt;=判定条件!$C$8*K307,"停止","断続")))</f>
        <v>運転</v>
      </c>
      <c r="N307" s="30" t="n">
        <v>60</v>
      </c>
      <c r="O307" s="30" t="n">
        <v>40</v>
      </c>
      <c r="P307" s="30" t="str">
        <f aca="false">IF(N307&lt;判定条件!$C$6,"判定不能",IF(O307&gt;=判定条件!$C$7*N307,"運転",IF(O307&lt;=判定条件!$C$8*N307,"停止","断続")))</f>
        <v>断続</v>
      </c>
      <c r="Q307" s="30" t="n">
        <v>60</v>
      </c>
      <c r="R307" s="30" t="n">
        <v>9</v>
      </c>
      <c r="S307" s="30" t="str">
        <f aca="false">IF(Q307&lt;判定条件!$C$6,"判定不能",IF(R307&gt;=判定条件!$C$7*Q307,"運転",IF(R307&lt;=判定条件!$C$8*Q307,"停止","断続")))</f>
        <v>停止</v>
      </c>
      <c r="T307" s="30" t="n">
        <v>60</v>
      </c>
      <c r="U307" s="30" t="n">
        <v>60</v>
      </c>
      <c r="V307" s="30" t="str">
        <f aca="false">IF(T307&lt;判定条件!$C$6,"判定不能",IF(U307&gt;=判定条件!$C$7*T307,"運転",IF(U307&lt;=判定条件!$C$8*T307,"停止","断続")))</f>
        <v>運転</v>
      </c>
      <c r="W307" s="30" t="n">
        <v>60</v>
      </c>
      <c r="X307" s="30" t="n">
        <v>60</v>
      </c>
      <c r="Y307" s="30" t="str">
        <f aca="false">IF(W307&lt;判定条件!$C$6,"判定不能",IF(X307&gt;=判定条件!$C$7*W307,"運転",IF(X307&lt;=判定条件!$C$8*W307,"停止","断続")))</f>
        <v>運転</v>
      </c>
      <c r="Z307" s="30" t="n">
        <v>60</v>
      </c>
      <c r="AA307" s="30" t="n">
        <v>60</v>
      </c>
      <c r="AB307" s="30" t="str">
        <f aca="false">IF(Z307&lt;判定条件!$C$6,"判定不能",IF(AA307&gt;=判定条件!$C$7*Z307,"運転",IF(AA307&lt;=判定条件!$C$8*Z307,"停止","断続")))</f>
        <v>運転</v>
      </c>
      <c r="AC307" s="30" t="n">
        <v>60</v>
      </c>
      <c r="AD307" s="30" t="n">
        <v>60</v>
      </c>
      <c r="AE307" s="30" t="str">
        <f aca="false">IF(AC307&lt;判定条件!$C$6,"判定不能",IF(AD307&gt;=判定条件!$C$7*AC307,"運転",IF(AD307&lt;=判定条件!$C$8*AC307,"停止","断続")))</f>
        <v>運転</v>
      </c>
      <c r="AF307" s="30" t="n">
        <v>60</v>
      </c>
      <c r="AG307" s="30" t="n">
        <v>40</v>
      </c>
      <c r="AH307" s="30" t="str">
        <f aca="false">IF(OR(P307="判定不能",G307="判定不能"),"判定不能",IF(AG307&gt;=判定条件!$C$9,"利用可",IF(AND(P307="停止",G307="停止"),"両方停止","運転がそろわない")))</f>
        <v>利用可</v>
      </c>
      <c r="AI307" s="30" t="n">
        <v>60</v>
      </c>
      <c r="AJ307" s="30" t="n">
        <v>9</v>
      </c>
      <c r="AK307" s="30" t="str">
        <f aca="false">IF(OR(S307="判定不能",J307="判定不能"),"判定不能",IF(AJ307&gt;=判定条件!$C$9,"利用可",IF(AND(S307="停止",J307="停止"),"両方停止","運転がそろわない")))</f>
        <v>運転がそろわない</v>
      </c>
      <c r="AL307" s="30" t="n">
        <v>60</v>
      </c>
      <c r="AM307" s="30" t="n">
        <v>60</v>
      </c>
      <c r="AN307" s="30" t="str">
        <f aca="false">IF(OR(V307="判定不能",M307="判定不能"),"判定不能",IF(AM307&gt;=判定条件!$C$9,"利用可",IF(AND(V307="停止",M307="停止"),"両方停止","運転がそろわない")))</f>
        <v>利用可</v>
      </c>
      <c r="AO307" s="30" t="n">
        <v>60</v>
      </c>
      <c r="AP307" s="30" t="n">
        <v>60</v>
      </c>
      <c r="AQ307" s="30" t="str">
        <f aca="false">IF(OR(Y307="判定不能",G307="判定不能"),"判定不能",IF(AP307&gt;=判定条件!$C$9,"利用可",IF(AND(Y307="停止",G307="停止"),"両方停止","運転がそろわない")))</f>
        <v>利用可</v>
      </c>
      <c r="AR307" s="30" t="n">
        <v>60</v>
      </c>
      <c r="AS307" s="30" t="n">
        <v>60</v>
      </c>
      <c r="AT307" s="30" t="str">
        <f aca="false">IF(OR(AB307="判定不能",J307="判定不能"),"判定不能",IF(AS307&gt;=判定条件!$C$9,"利用可",IF(AND(AB307="停止",J307="停止"),"両方停止","運転がそろわない")))</f>
        <v>利用可</v>
      </c>
      <c r="AU307" s="30" t="n">
        <v>60</v>
      </c>
      <c r="AV307" s="30" t="n">
        <v>60</v>
      </c>
      <c r="AW307" s="30" t="str">
        <f aca="false">IF(OR(AE307="判定不能",M307="判定不能"),"判定不能",IF(AV307&gt;=判定条件!$C$9,"利用可",IF(AND(AE307="停止",M307="停止"),"両方停止","運転がそろわない")))</f>
        <v>利用可</v>
      </c>
      <c r="AX307" s="30" t="str">
        <f aca="false">IF(AND(AH307="利用可",AK307="利用可",AN307="利用可"),"利用可","不可")</f>
        <v>不可</v>
      </c>
      <c r="AY307" s="30" t="str">
        <f aca="false">IF(AND(AQ307="利用可",AT307="利用可",AW307="利用可"),"利用可","不可")</f>
        <v>利用可</v>
      </c>
    </row>
    <row r="308" customFormat="false" ht="15" hidden="false" customHeight="false" outlineLevel="0" collapsed="false">
      <c r="A308" s="29" t="n">
        <v>46244</v>
      </c>
      <c r="B308" s="30" t="n">
        <v>17</v>
      </c>
      <c r="C308" s="31" t="s">
        <v>66</v>
      </c>
      <c r="D308" s="31" t="s">
        <v>59</v>
      </c>
      <c r="E308" s="30" t="n">
        <v>60</v>
      </c>
      <c r="F308" s="30" t="n">
        <v>60</v>
      </c>
      <c r="G308" s="30" t="str">
        <f aca="false">IF(E308&lt;判定条件!$C$6,"判定不能",IF(F308&gt;=判定条件!$C$7*E308,"運転",IF(F308&lt;=判定条件!$C$8*E308,"停止","断続")))</f>
        <v>運転</v>
      </c>
      <c r="H308" s="30" t="n">
        <v>60</v>
      </c>
      <c r="I308" s="30" t="n">
        <v>57</v>
      </c>
      <c r="J308" s="30" t="str">
        <f aca="false">IF(H308&lt;判定条件!$C$6,"判定不能",IF(I308&gt;=判定条件!$C$7*H308,"運転",IF(I308&lt;=判定条件!$C$8*H308,"停止","断続")))</f>
        <v>運転</v>
      </c>
      <c r="K308" s="30" t="n">
        <v>60</v>
      </c>
      <c r="L308" s="30" t="n">
        <v>60</v>
      </c>
      <c r="M308" s="30" t="str">
        <f aca="false">IF(K308&lt;判定条件!$C$6,"判定不能",IF(L308&gt;=判定条件!$C$7*K308,"運転",IF(L308&lt;=判定条件!$C$8*K308,"停止","断続")))</f>
        <v>運転</v>
      </c>
      <c r="N308" s="30" t="n">
        <v>60</v>
      </c>
      <c r="O308" s="30" t="n">
        <v>60</v>
      </c>
      <c r="P308" s="30" t="str">
        <f aca="false">IF(N308&lt;判定条件!$C$6,"判定不能",IF(O308&gt;=判定条件!$C$7*N308,"運転",IF(O308&lt;=判定条件!$C$8*N308,"停止","断続")))</f>
        <v>運転</v>
      </c>
      <c r="Q308" s="30" t="n">
        <v>60</v>
      </c>
      <c r="R308" s="30" t="n">
        <v>0</v>
      </c>
      <c r="S308" s="30" t="str">
        <f aca="false">IF(Q308&lt;判定条件!$C$6,"判定不能",IF(R308&gt;=判定条件!$C$7*Q308,"運転",IF(R308&lt;=判定条件!$C$8*Q308,"停止","断続")))</f>
        <v>停止</v>
      </c>
      <c r="T308" s="30" t="n">
        <v>60</v>
      </c>
      <c r="U308" s="30" t="n">
        <v>60</v>
      </c>
      <c r="V308" s="30" t="str">
        <f aca="false">IF(T308&lt;判定条件!$C$6,"判定不能",IF(U308&gt;=判定条件!$C$7*T308,"運転",IF(U308&lt;=判定条件!$C$8*T308,"停止","断続")))</f>
        <v>運転</v>
      </c>
      <c r="W308" s="30" t="n">
        <v>60</v>
      </c>
      <c r="X308" s="30" t="n">
        <v>60</v>
      </c>
      <c r="Y308" s="30" t="str">
        <f aca="false">IF(W308&lt;判定条件!$C$6,"判定不能",IF(X308&gt;=判定条件!$C$7*W308,"運転",IF(X308&lt;=判定条件!$C$8*W308,"停止","断続")))</f>
        <v>運転</v>
      </c>
      <c r="Z308" s="30" t="n">
        <v>60</v>
      </c>
      <c r="AA308" s="30" t="n">
        <v>29</v>
      </c>
      <c r="AB308" s="30" t="str">
        <f aca="false">IF(Z308&lt;判定条件!$C$6,"判定不能",IF(AA308&gt;=判定条件!$C$7*Z308,"運転",IF(AA308&lt;=判定条件!$C$8*Z308,"停止","断続")))</f>
        <v>断続</v>
      </c>
      <c r="AC308" s="30" t="n">
        <v>60</v>
      </c>
      <c r="AD308" s="30" t="n">
        <v>60</v>
      </c>
      <c r="AE308" s="30" t="str">
        <f aca="false">IF(AC308&lt;判定条件!$C$6,"判定不能",IF(AD308&gt;=判定条件!$C$7*AC308,"運転",IF(AD308&lt;=判定条件!$C$8*AC308,"停止","断続")))</f>
        <v>運転</v>
      </c>
      <c r="AF308" s="30" t="n">
        <v>60</v>
      </c>
      <c r="AG308" s="30" t="n">
        <v>60</v>
      </c>
      <c r="AH308" s="30" t="str">
        <f aca="false">IF(OR(P308="判定不能",G308="判定不能"),"判定不能",IF(AG308&gt;=判定条件!$C$9,"利用可",IF(AND(P308="停止",G308="停止"),"両方停止","運転がそろわない")))</f>
        <v>利用可</v>
      </c>
      <c r="AI308" s="30" t="n">
        <v>60</v>
      </c>
      <c r="AJ308" s="30" t="n">
        <v>0</v>
      </c>
      <c r="AK308" s="30" t="str">
        <f aca="false">IF(OR(S308="判定不能",J308="判定不能"),"判定不能",IF(AJ308&gt;=判定条件!$C$9,"利用可",IF(AND(S308="停止",J308="停止"),"両方停止","運転がそろわない")))</f>
        <v>運転がそろわない</v>
      </c>
      <c r="AL308" s="30" t="n">
        <v>60</v>
      </c>
      <c r="AM308" s="30" t="n">
        <v>60</v>
      </c>
      <c r="AN308" s="30" t="str">
        <f aca="false">IF(OR(V308="判定不能",M308="判定不能"),"判定不能",IF(AM308&gt;=判定条件!$C$9,"利用可",IF(AND(V308="停止",M308="停止"),"両方停止","運転がそろわない")))</f>
        <v>利用可</v>
      </c>
      <c r="AO308" s="30" t="n">
        <v>60</v>
      </c>
      <c r="AP308" s="30" t="n">
        <v>60</v>
      </c>
      <c r="AQ308" s="30" t="str">
        <f aca="false">IF(OR(Y308="判定不能",G308="判定不能"),"判定不能",IF(AP308&gt;=判定条件!$C$9,"利用可",IF(AND(Y308="停止",G308="停止"),"両方停止","運転がそろわない")))</f>
        <v>利用可</v>
      </c>
      <c r="AR308" s="30" t="n">
        <v>60</v>
      </c>
      <c r="AS308" s="30" t="n">
        <v>26</v>
      </c>
      <c r="AT308" s="30" t="str">
        <f aca="false">IF(OR(AB308="判定不能",J308="判定不能"),"判定不能",IF(AS308&gt;=判定条件!$C$9,"利用可",IF(AND(AB308="停止",J308="停止"),"両方停止","運転がそろわない")))</f>
        <v>運転がそろわない</v>
      </c>
      <c r="AU308" s="30" t="n">
        <v>60</v>
      </c>
      <c r="AV308" s="30" t="n">
        <v>60</v>
      </c>
      <c r="AW308" s="30" t="str">
        <f aca="false">IF(OR(AE308="判定不能",M308="判定不能"),"判定不能",IF(AV308&gt;=判定条件!$C$9,"利用可",IF(AND(AE308="停止",M308="停止"),"両方停止","運転がそろわない")))</f>
        <v>利用可</v>
      </c>
      <c r="AX308" s="30" t="str">
        <f aca="false">IF(AND(AH308="利用可",AK308="利用可",AN308="利用可"),"利用可","不可")</f>
        <v>不可</v>
      </c>
      <c r="AY308" s="30" t="str">
        <f aca="false">IF(AND(AQ308="利用可",AT308="利用可",AW308="利用可"),"利用可","不可")</f>
        <v>不可</v>
      </c>
    </row>
    <row r="309" customFormat="false" ht="15" hidden="false" customHeight="false" outlineLevel="0" collapsed="false">
      <c r="A309" s="29" t="n">
        <v>46244</v>
      </c>
      <c r="B309" s="30" t="n">
        <v>18</v>
      </c>
      <c r="C309" s="31" t="s">
        <v>66</v>
      </c>
      <c r="D309" s="31" t="s">
        <v>59</v>
      </c>
      <c r="E309" s="30" t="n">
        <v>60</v>
      </c>
      <c r="F309" s="30" t="n">
        <v>60</v>
      </c>
      <c r="G309" s="30" t="str">
        <f aca="false">IF(E309&lt;判定条件!$C$6,"判定不能",IF(F309&gt;=判定条件!$C$7*E309,"運転",IF(F309&lt;=判定条件!$C$8*E309,"停止","断続")))</f>
        <v>運転</v>
      </c>
      <c r="H309" s="30" t="n">
        <v>60</v>
      </c>
      <c r="I309" s="30" t="n">
        <v>54</v>
      </c>
      <c r="J309" s="30" t="str">
        <f aca="false">IF(H309&lt;判定条件!$C$6,"判定不能",IF(I309&gt;=判定条件!$C$7*H309,"運転",IF(I309&lt;=判定条件!$C$8*H309,"停止","断続")))</f>
        <v>運転</v>
      </c>
      <c r="K309" s="30" t="n">
        <v>60</v>
      </c>
      <c r="L309" s="30" t="n">
        <v>60</v>
      </c>
      <c r="M309" s="30" t="str">
        <f aca="false">IF(K309&lt;判定条件!$C$6,"判定不能",IF(L309&gt;=判定条件!$C$7*K309,"運転",IF(L309&lt;=判定条件!$C$8*K309,"停止","断続")))</f>
        <v>運転</v>
      </c>
      <c r="N309" s="30" t="n">
        <v>60</v>
      </c>
      <c r="O309" s="30" t="n">
        <v>10</v>
      </c>
      <c r="P309" s="30" t="str">
        <f aca="false">IF(N309&lt;判定条件!$C$6,"判定不能",IF(O309&gt;=判定条件!$C$7*N309,"運転",IF(O309&lt;=判定条件!$C$8*N309,"停止","断続")))</f>
        <v>停止</v>
      </c>
      <c r="Q309" s="30" t="n">
        <v>60</v>
      </c>
      <c r="R309" s="30" t="n">
        <v>0</v>
      </c>
      <c r="S309" s="30" t="str">
        <f aca="false">IF(Q309&lt;判定条件!$C$6,"判定不能",IF(R309&gt;=判定条件!$C$7*Q309,"運転",IF(R309&lt;=判定条件!$C$8*Q309,"停止","断続")))</f>
        <v>停止</v>
      </c>
      <c r="T309" s="30" t="n">
        <v>60</v>
      </c>
      <c r="U309" s="30" t="n">
        <v>15</v>
      </c>
      <c r="V309" s="30" t="str">
        <f aca="false">IF(T309&lt;判定条件!$C$6,"判定不能",IF(U309&gt;=判定条件!$C$7*T309,"運転",IF(U309&lt;=判定条件!$C$8*T309,"停止","断続")))</f>
        <v>断続</v>
      </c>
      <c r="W309" s="30" t="n">
        <v>60</v>
      </c>
      <c r="X309" s="30" t="n">
        <v>51</v>
      </c>
      <c r="Y309" s="30" t="str">
        <f aca="false">IF(W309&lt;判定条件!$C$6,"判定不能",IF(X309&gt;=判定条件!$C$7*W309,"運転",IF(X309&lt;=判定条件!$C$8*W309,"停止","断続")))</f>
        <v>運転</v>
      </c>
      <c r="Z309" s="30" t="n">
        <v>60</v>
      </c>
      <c r="AA309" s="30" t="n">
        <v>40</v>
      </c>
      <c r="AB309" s="30" t="str">
        <f aca="false">IF(Z309&lt;判定条件!$C$6,"判定不能",IF(AA309&gt;=判定条件!$C$7*Z309,"運転",IF(AA309&lt;=判定条件!$C$8*Z309,"停止","断続")))</f>
        <v>断続</v>
      </c>
      <c r="AC309" s="30" t="n">
        <v>60</v>
      </c>
      <c r="AD309" s="30" t="n">
        <v>54</v>
      </c>
      <c r="AE309" s="30" t="str">
        <f aca="false">IF(AC309&lt;判定条件!$C$6,"判定不能",IF(AD309&gt;=判定条件!$C$7*AC309,"運転",IF(AD309&lt;=判定条件!$C$8*AC309,"停止","断続")))</f>
        <v>運転</v>
      </c>
      <c r="AF309" s="30" t="n">
        <v>60</v>
      </c>
      <c r="AG309" s="30" t="n">
        <v>10</v>
      </c>
      <c r="AH309" s="30" t="str">
        <f aca="false">IF(OR(P309="判定不能",G309="判定不能"),"判定不能",IF(AG309&gt;=判定条件!$C$9,"利用可",IF(AND(P309="停止",G309="停止"),"両方停止","運転がそろわない")))</f>
        <v>運転がそろわない</v>
      </c>
      <c r="AI309" s="30" t="n">
        <v>60</v>
      </c>
      <c r="AJ309" s="30" t="n">
        <v>0</v>
      </c>
      <c r="AK309" s="30" t="str">
        <f aca="false">IF(OR(S309="判定不能",J309="判定不能"),"判定不能",IF(AJ309&gt;=判定条件!$C$9,"利用可",IF(AND(S309="停止",J309="停止"),"両方停止","運転がそろわない")))</f>
        <v>運転がそろわない</v>
      </c>
      <c r="AL309" s="30" t="n">
        <v>60</v>
      </c>
      <c r="AM309" s="30" t="n">
        <v>15</v>
      </c>
      <c r="AN309" s="30" t="str">
        <f aca="false">IF(OR(V309="判定不能",M309="判定不能"),"判定不能",IF(AM309&gt;=判定条件!$C$9,"利用可",IF(AND(V309="停止",M309="停止"),"両方停止","運転がそろわない")))</f>
        <v>運転がそろわない</v>
      </c>
      <c r="AO309" s="30" t="n">
        <v>60</v>
      </c>
      <c r="AP309" s="30" t="n">
        <v>51</v>
      </c>
      <c r="AQ309" s="30" t="str">
        <f aca="false">IF(OR(Y309="判定不能",G309="判定不能"),"判定不能",IF(AP309&gt;=判定条件!$C$9,"利用可",IF(AND(Y309="停止",G309="停止"),"両方停止","運転がそろわない")))</f>
        <v>利用可</v>
      </c>
      <c r="AR309" s="30" t="n">
        <v>60</v>
      </c>
      <c r="AS309" s="30" t="n">
        <v>34</v>
      </c>
      <c r="AT309" s="30" t="str">
        <f aca="false">IF(OR(AB309="判定不能",J309="判定不能"),"判定不能",IF(AS309&gt;=判定条件!$C$9,"利用可",IF(AND(AB309="停止",J309="停止"),"両方停止","運転がそろわない")))</f>
        <v>利用可</v>
      </c>
      <c r="AU309" s="30" t="n">
        <v>60</v>
      </c>
      <c r="AV309" s="30" t="n">
        <v>54</v>
      </c>
      <c r="AW309" s="30" t="str">
        <f aca="false">IF(OR(AE309="判定不能",M309="判定不能"),"判定不能",IF(AV309&gt;=判定条件!$C$9,"利用可",IF(AND(AE309="停止",M309="停止"),"両方停止","運転がそろわない")))</f>
        <v>利用可</v>
      </c>
      <c r="AX309" s="30" t="str">
        <f aca="false">IF(AND(AH309="利用可",AK309="利用可",AN309="利用可"),"利用可","不可")</f>
        <v>不可</v>
      </c>
      <c r="AY309" s="30" t="str">
        <f aca="false">IF(AND(AQ309="利用可",AT309="利用可",AW309="利用可"),"利用可","不可")</f>
        <v>利用可</v>
      </c>
    </row>
    <row r="310" customFormat="false" ht="15" hidden="false" customHeight="false" outlineLevel="0" collapsed="false">
      <c r="A310" s="29" t="n">
        <v>46244</v>
      </c>
      <c r="B310" s="30" t="n">
        <v>19</v>
      </c>
      <c r="C310" s="31" t="s">
        <v>66</v>
      </c>
      <c r="D310" s="31" t="s">
        <v>59</v>
      </c>
      <c r="E310" s="30" t="n">
        <v>60</v>
      </c>
      <c r="F310" s="30" t="n">
        <v>60</v>
      </c>
      <c r="G310" s="30" t="str">
        <f aca="false">IF(E310&lt;判定条件!$C$6,"判定不能",IF(F310&gt;=判定条件!$C$7*E310,"運転",IF(F310&lt;=判定条件!$C$8*E310,"停止","断続")))</f>
        <v>運転</v>
      </c>
      <c r="H310" s="30" t="n">
        <v>60</v>
      </c>
      <c r="I310" s="30" t="n">
        <v>60</v>
      </c>
      <c r="J310" s="30" t="str">
        <f aca="false">IF(H310&lt;判定条件!$C$6,"判定不能",IF(I310&gt;=判定条件!$C$7*H310,"運転",IF(I310&lt;=判定条件!$C$8*H310,"停止","断続")))</f>
        <v>運転</v>
      </c>
      <c r="K310" s="30" t="n">
        <v>60</v>
      </c>
      <c r="L310" s="30" t="n">
        <v>60</v>
      </c>
      <c r="M310" s="30" t="str">
        <f aca="false">IF(K310&lt;判定条件!$C$6,"判定不能",IF(L310&gt;=判定条件!$C$7*K310,"運転",IF(L310&lt;=判定条件!$C$8*K310,"停止","断続")))</f>
        <v>運転</v>
      </c>
      <c r="N310" s="30" t="n">
        <v>60</v>
      </c>
      <c r="O310" s="30" t="n">
        <v>0</v>
      </c>
      <c r="P310" s="30" t="str">
        <f aca="false">IF(N310&lt;判定条件!$C$6,"判定不能",IF(O310&gt;=判定条件!$C$7*N310,"運転",IF(O310&lt;=判定条件!$C$8*N310,"停止","断続")))</f>
        <v>停止</v>
      </c>
      <c r="Q310" s="30" t="n">
        <v>60</v>
      </c>
      <c r="R310" s="30" t="n">
        <v>0</v>
      </c>
      <c r="S310" s="30" t="str">
        <f aca="false">IF(Q310&lt;判定条件!$C$6,"判定不能",IF(R310&gt;=判定条件!$C$7*Q310,"運転",IF(R310&lt;=判定条件!$C$8*Q310,"停止","断続")))</f>
        <v>停止</v>
      </c>
      <c r="T310" s="30" t="n">
        <v>60</v>
      </c>
      <c r="U310" s="30" t="n">
        <v>60</v>
      </c>
      <c r="V310" s="30" t="str">
        <f aca="false">IF(T310&lt;判定条件!$C$6,"判定不能",IF(U310&gt;=判定条件!$C$7*T310,"運転",IF(U310&lt;=判定条件!$C$8*T310,"停止","断続")))</f>
        <v>運転</v>
      </c>
      <c r="W310" s="30" t="n">
        <v>60</v>
      </c>
      <c r="X310" s="30" t="n">
        <v>3</v>
      </c>
      <c r="Y310" s="30" t="str">
        <f aca="false">IF(W310&lt;判定条件!$C$6,"判定不能",IF(X310&gt;=判定条件!$C$7*W310,"運転",IF(X310&lt;=判定条件!$C$8*W310,"停止","断続")))</f>
        <v>停止</v>
      </c>
      <c r="Z310" s="30" t="n">
        <v>60</v>
      </c>
      <c r="AA310" s="30" t="n">
        <v>0</v>
      </c>
      <c r="AB310" s="30" t="str">
        <f aca="false">IF(Z310&lt;判定条件!$C$6,"判定不能",IF(AA310&gt;=判定条件!$C$7*Z310,"運転",IF(AA310&lt;=判定条件!$C$8*Z310,"停止","断続")))</f>
        <v>停止</v>
      </c>
      <c r="AC310" s="30" t="n">
        <v>60</v>
      </c>
      <c r="AD310" s="30" t="n">
        <v>5</v>
      </c>
      <c r="AE310" s="30" t="str">
        <f aca="false">IF(AC310&lt;判定条件!$C$6,"判定不能",IF(AD310&gt;=判定条件!$C$7*AC310,"運転",IF(AD310&lt;=判定条件!$C$8*AC310,"停止","断続")))</f>
        <v>停止</v>
      </c>
      <c r="AF310" s="30" t="n">
        <v>60</v>
      </c>
      <c r="AG310" s="30" t="n">
        <v>0</v>
      </c>
      <c r="AH310" s="30" t="str">
        <f aca="false">IF(OR(P310="判定不能",G310="判定不能"),"判定不能",IF(AG310&gt;=判定条件!$C$9,"利用可",IF(AND(P310="停止",G310="停止"),"両方停止","運転がそろわない")))</f>
        <v>運転がそろわない</v>
      </c>
      <c r="AI310" s="30" t="n">
        <v>60</v>
      </c>
      <c r="AJ310" s="30" t="n">
        <v>0</v>
      </c>
      <c r="AK310" s="30" t="str">
        <f aca="false">IF(OR(S310="判定不能",J310="判定不能"),"判定不能",IF(AJ310&gt;=判定条件!$C$9,"利用可",IF(AND(S310="停止",J310="停止"),"両方停止","運転がそろわない")))</f>
        <v>運転がそろわない</v>
      </c>
      <c r="AL310" s="30" t="n">
        <v>60</v>
      </c>
      <c r="AM310" s="30" t="n">
        <v>60</v>
      </c>
      <c r="AN310" s="30" t="str">
        <f aca="false">IF(OR(V310="判定不能",M310="判定不能"),"判定不能",IF(AM310&gt;=判定条件!$C$9,"利用可",IF(AND(V310="停止",M310="停止"),"両方停止","運転がそろわない")))</f>
        <v>利用可</v>
      </c>
      <c r="AO310" s="30" t="n">
        <v>60</v>
      </c>
      <c r="AP310" s="30" t="n">
        <v>3</v>
      </c>
      <c r="AQ310" s="30" t="str">
        <f aca="false">IF(OR(Y310="判定不能",G310="判定不能"),"判定不能",IF(AP310&gt;=判定条件!$C$9,"利用可",IF(AND(Y310="停止",G310="停止"),"両方停止","運転がそろわない")))</f>
        <v>運転がそろわない</v>
      </c>
      <c r="AR310" s="30" t="n">
        <v>60</v>
      </c>
      <c r="AS310" s="30" t="n">
        <v>0</v>
      </c>
      <c r="AT310" s="30" t="str">
        <f aca="false">IF(OR(AB310="判定不能",J310="判定不能"),"判定不能",IF(AS310&gt;=判定条件!$C$9,"利用可",IF(AND(AB310="停止",J310="停止"),"両方停止","運転がそろわない")))</f>
        <v>運転がそろわない</v>
      </c>
      <c r="AU310" s="30" t="n">
        <v>60</v>
      </c>
      <c r="AV310" s="30" t="n">
        <v>5</v>
      </c>
      <c r="AW310" s="30" t="str">
        <f aca="false">IF(OR(AE310="判定不能",M310="判定不能"),"判定不能",IF(AV310&gt;=判定条件!$C$9,"利用可",IF(AND(AE310="停止",M310="停止"),"両方停止","運転がそろわない")))</f>
        <v>運転がそろわない</v>
      </c>
      <c r="AX310" s="30" t="str">
        <f aca="false">IF(AND(AH310="利用可",AK310="利用可",AN310="利用可"),"利用可","不可")</f>
        <v>不可</v>
      </c>
      <c r="AY310" s="30" t="str">
        <f aca="false">IF(AND(AQ310="利用可",AT310="利用可",AW310="利用可"),"利用可","不可")</f>
        <v>不可</v>
      </c>
    </row>
    <row r="311" customFormat="false" ht="15" hidden="false" customHeight="false" outlineLevel="0" collapsed="false">
      <c r="A311" s="29" t="n">
        <v>46244</v>
      </c>
      <c r="B311" s="30" t="n">
        <v>20</v>
      </c>
      <c r="C311" s="31" t="s">
        <v>66</v>
      </c>
      <c r="D311" s="31" t="s">
        <v>59</v>
      </c>
      <c r="E311" s="30" t="n">
        <v>60</v>
      </c>
      <c r="F311" s="30" t="n">
        <v>60</v>
      </c>
      <c r="G311" s="30" t="str">
        <f aca="false">IF(E311&lt;判定条件!$C$6,"判定不能",IF(F311&gt;=判定条件!$C$7*E311,"運転",IF(F311&lt;=判定条件!$C$8*E311,"停止","断続")))</f>
        <v>運転</v>
      </c>
      <c r="H311" s="30" t="n">
        <v>60</v>
      </c>
      <c r="I311" s="30" t="n">
        <v>47</v>
      </c>
      <c r="J311" s="30" t="str">
        <f aca="false">IF(H311&lt;判定条件!$C$6,"判定不能",IF(I311&gt;=判定条件!$C$7*H311,"運転",IF(I311&lt;=判定条件!$C$8*H311,"停止","断続")))</f>
        <v>断続</v>
      </c>
      <c r="K311" s="30" t="n">
        <v>60</v>
      </c>
      <c r="L311" s="30" t="n">
        <v>60</v>
      </c>
      <c r="M311" s="30" t="str">
        <f aca="false">IF(K311&lt;判定条件!$C$6,"判定不能",IF(L311&gt;=判定条件!$C$7*K311,"運転",IF(L311&lt;=判定条件!$C$8*K311,"停止","断続")))</f>
        <v>運転</v>
      </c>
      <c r="N311" s="30" t="n">
        <v>60</v>
      </c>
      <c r="O311" s="30" t="n">
        <v>0</v>
      </c>
      <c r="P311" s="30" t="str">
        <f aca="false">IF(N311&lt;判定条件!$C$6,"判定不能",IF(O311&gt;=判定条件!$C$7*N311,"運転",IF(O311&lt;=判定条件!$C$8*N311,"停止","断続")))</f>
        <v>停止</v>
      </c>
      <c r="Q311" s="30" t="n">
        <v>60</v>
      </c>
      <c r="R311" s="30" t="n">
        <v>0</v>
      </c>
      <c r="S311" s="30" t="str">
        <f aca="false">IF(Q311&lt;判定条件!$C$6,"判定不能",IF(R311&gt;=判定条件!$C$7*Q311,"運転",IF(R311&lt;=判定条件!$C$8*Q311,"停止","断続")))</f>
        <v>停止</v>
      </c>
      <c r="T311" s="30" t="n">
        <v>60</v>
      </c>
      <c r="U311" s="30" t="n">
        <v>6</v>
      </c>
      <c r="V311" s="30" t="str">
        <f aca="false">IF(T311&lt;判定条件!$C$6,"判定不能",IF(U311&gt;=判定条件!$C$7*T311,"運転",IF(U311&lt;=判定条件!$C$8*T311,"停止","断続")))</f>
        <v>停止</v>
      </c>
      <c r="W311" s="30" t="n">
        <v>60</v>
      </c>
      <c r="X311" s="30" t="n">
        <v>0</v>
      </c>
      <c r="Y311" s="30" t="str">
        <f aca="false">IF(W311&lt;判定条件!$C$6,"判定不能",IF(X311&gt;=判定条件!$C$7*W311,"運転",IF(X311&lt;=判定条件!$C$8*W311,"停止","断続")))</f>
        <v>停止</v>
      </c>
      <c r="Z311" s="30" t="n">
        <v>60</v>
      </c>
      <c r="AA311" s="30" t="n">
        <v>0</v>
      </c>
      <c r="AB311" s="30" t="str">
        <f aca="false">IF(Z311&lt;判定条件!$C$6,"判定不能",IF(AA311&gt;=判定条件!$C$7*Z311,"運転",IF(AA311&lt;=判定条件!$C$8*Z311,"停止","断続")))</f>
        <v>停止</v>
      </c>
      <c r="AC311" s="30" t="n">
        <v>60</v>
      </c>
      <c r="AD311" s="30" t="n">
        <v>0</v>
      </c>
      <c r="AE311" s="30" t="str">
        <f aca="false">IF(AC311&lt;判定条件!$C$6,"判定不能",IF(AD311&gt;=判定条件!$C$7*AC311,"運転",IF(AD311&lt;=判定条件!$C$8*AC311,"停止","断続")))</f>
        <v>停止</v>
      </c>
      <c r="AF311" s="30" t="n">
        <v>60</v>
      </c>
      <c r="AG311" s="30" t="n">
        <v>0</v>
      </c>
      <c r="AH311" s="30" t="str">
        <f aca="false">IF(OR(P311="判定不能",G311="判定不能"),"判定不能",IF(AG311&gt;=判定条件!$C$9,"利用可",IF(AND(P311="停止",G311="停止"),"両方停止","運転がそろわない")))</f>
        <v>運転がそろわない</v>
      </c>
      <c r="AI311" s="30" t="n">
        <v>60</v>
      </c>
      <c r="AJ311" s="30" t="n">
        <v>0</v>
      </c>
      <c r="AK311" s="30" t="str">
        <f aca="false">IF(OR(S311="判定不能",J311="判定不能"),"判定不能",IF(AJ311&gt;=判定条件!$C$9,"利用可",IF(AND(S311="停止",J311="停止"),"両方停止","運転がそろわない")))</f>
        <v>運転がそろわない</v>
      </c>
      <c r="AL311" s="30" t="n">
        <v>60</v>
      </c>
      <c r="AM311" s="30" t="n">
        <v>6</v>
      </c>
      <c r="AN311" s="30" t="str">
        <f aca="false">IF(OR(V311="判定不能",M311="判定不能"),"判定不能",IF(AM311&gt;=判定条件!$C$9,"利用可",IF(AND(V311="停止",M311="停止"),"両方停止","運転がそろわない")))</f>
        <v>運転がそろわない</v>
      </c>
      <c r="AO311" s="30" t="n">
        <v>60</v>
      </c>
      <c r="AP311" s="30" t="n">
        <v>0</v>
      </c>
      <c r="AQ311" s="30" t="str">
        <f aca="false">IF(OR(Y311="判定不能",G311="判定不能"),"判定不能",IF(AP311&gt;=判定条件!$C$9,"利用可",IF(AND(Y311="停止",G311="停止"),"両方停止","運転がそろわない")))</f>
        <v>運転がそろわない</v>
      </c>
      <c r="AR311" s="30" t="n">
        <v>60</v>
      </c>
      <c r="AS311" s="30" t="n">
        <v>0</v>
      </c>
      <c r="AT311" s="30" t="str">
        <f aca="false">IF(OR(AB311="判定不能",J311="判定不能"),"判定不能",IF(AS311&gt;=判定条件!$C$9,"利用可",IF(AND(AB311="停止",J311="停止"),"両方停止","運転がそろわない")))</f>
        <v>運転がそろわない</v>
      </c>
      <c r="AU311" s="30" t="n">
        <v>60</v>
      </c>
      <c r="AV311" s="30" t="n">
        <v>0</v>
      </c>
      <c r="AW311" s="30" t="str">
        <f aca="false">IF(OR(AE311="判定不能",M311="判定不能"),"判定不能",IF(AV311&gt;=判定条件!$C$9,"利用可",IF(AND(AE311="停止",M311="停止"),"両方停止","運転がそろわない")))</f>
        <v>運転がそろわない</v>
      </c>
      <c r="AX311" s="30" t="str">
        <f aca="false">IF(AND(AH311="利用可",AK311="利用可",AN311="利用可"),"利用可","不可")</f>
        <v>不可</v>
      </c>
      <c r="AY311" s="30" t="str">
        <f aca="false">IF(AND(AQ311="利用可",AT311="利用可",AW311="利用可"),"利用可","不可")</f>
        <v>不可</v>
      </c>
    </row>
    <row r="312" customFormat="false" ht="15" hidden="false" customHeight="false" outlineLevel="0" collapsed="false">
      <c r="A312" s="29" t="n">
        <v>46244</v>
      </c>
      <c r="B312" s="30" t="n">
        <v>21</v>
      </c>
      <c r="C312" s="31" t="s">
        <v>66</v>
      </c>
      <c r="D312" s="31" t="s">
        <v>59</v>
      </c>
      <c r="E312" s="30" t="n">
        <v>60</v>
      </c>
      <c r="F312" s="30" t="n">
        <v>4</v>
      </c>
      <c r="G312" s="30" t="str">
        <f aca="false">IF(E312&lt;判定条件!$C$6,"判定不能",IF(F312&gt;=判定条件!$C$7*E312,"運転",IF(F312&lt;=判定条件!$C$8*E312,"停止","断続")))</f>
        <v>停止</v>
      </c>
      <c r="H312" s="30" t="n">
        <v>60</v>
      </c>
      <c r="I312" s="30" t="n">
        <v>0</v>
      </c>
      <c r="J312" s="30" t="str">
        <f aca="false">IF(H312&lt;判定条件!$C$6,"判定不能",IF(I312&gt;=判定条件!$C$7*H312,"運転",IF(I312&lt;=判定条件!$C$8*H312,"停止","断続")))</f>
        <v>停止</v>
      </c>
      <c r="K312" s="30" t="n">
        <v>60</v>
      </c>
      <c r="L312" s="30" t="n">
        <v>60</v>
      </c>
      <c r="M312" s="30" t="str">
        <f aca="false">IF(K312&lt;判定条件!$C$6,"判定不能",IF(L312&gt;=判定条件!$C$7*K312,"運転",IF(L312&lt;=判定条件!$C$8*K312,"停止","断続")))</f>
        <v>運転</v>
      </c>
      <c r="N312" s="30" t="n">
        <v>60</v>
      </c>
      <c r="O312" s="30" t="n">
        <v>0</v>
      </c>
      <c r="P312" s="30" t="str">
        <f aca="false">IF(N312&lt;判定条件!$C$6,"判定不能",IF(O312&gt;=判定条件!$C$7*N312,"運転",IF(O312&lt;=判定条件!$C$8*N312,"停止","断続")))</f>
        <v>停止</v>
      </c>
      <c r="Q312" s="30" t="n">
        <v>60</v>
      </c>
      <c r="R312" s="30" t="n">
        <v>0</v>
      </c>
      <c r="S312" s="30" t="str">
        <f aca="false">IF(Q312&lt;判定条件!$C$6,"判定不能",IF(R312&gt;=判定条件!$C$7*Q312,"運転",IF(R312&lt;=判定条件!$C$8*Q312,"停止","断続")))</f>
        <v>停止</v>
      </c>
      <c r="T312" s="30" t="n">
        <v>60</v>
      </c>
      <c r="U312" s="30" t="n">
        <v>0</v>
      </c>
      <c r="V312" s="30" t="str">
        <f aca="false">IF(T312&lt;判定条件!$C$6,"判定不能",IF(U312&gt;=判定条件!$C$7*T312,"運転",IF(U312&lt;=判定条件!$C$8*T312,"停止","断続")))</f>
        <v>停止</v>
      </c>
      <c r="W312" s="30" t="n">
        <v>60</v>
      </c>
      <c r="X312" s="30" t="n">
        <v>0</v>
      </c>
      <c r="Y312" s="30" t="str">
        <f aca="false">IF(W312&lt;判定条件!$C$6,"判定不能",IF(X312&gt;=判定条件!$C$7*W312,"運転",IF(X312&lt;=判定条件!$C$8*W312,"停止","断続")))</f>
        <v>停止</v>
      </c>
      <c r="Z312" s="30" t="n">
        <v>60</v>
      </c>
      <c r="AA312" s="30" t="n">
        <v>0</v>
      </c>
      <c r="AB312" s="30" t="str">
        <f aca="false">IF(Z312&lt;判定条件!$C$6,"判定不能",IF(AA312&gt;=判定条件!$C$7*Z312,"運転",IF(AA312&lt;=判定条件!$C$8*Z312,"停止","断続")))</f>
        <v>停止</v>
      </c>
      <c r="AC312" s="30" t="n">
        <v>60</v>
      </c>
      <c r="AD312" s="30" t="n">
        <v>0</v>
      </c>
      <c r="AE312" s="30" t="str">
        <f aca="false">IF(AC312&lt;判定条件!$C$6,"判定不能",IF(AD312&gt;=判定条件!$C$7*AC312,"運転",IF(AD312&lt;=判定条件!$C$8*AC312,"停止","断続")))</f>
        <v>停止</v>
      </c>
      <c r="AF312" s="30" t="n">
        <v>60</v>
      </c>
      <c r="AG312" s="30" t="n">
        <v>0</v>
      </c>
      <c r="AH312" s="30" t="str">
        <f aca="false">IF(OR(P312="判定不能",G312="判定不能"),"判定不能",IF(AG312&gt;=判定条件!$C$9,"利用可",IF(AND(P312="停止",G312="停止"),"両方停止","運転がそろわない")))</f>
        <v>両方停止</v>
      </c>
      <c r="AI312" s="30" t="n">
        <v>60</v>
      </c>
      <c r="AJ312" s="30" t="n">
        <v>0</v>
      </c>
      <c r="AK312" s="30" t="str">
        <f aca="false">IF(OR(S312="判定不能",J312="判定不能"),"判定不能",IF(AJ312&gt;=判定条件!$C$9,"利用可",IF(AND(S312="停止",J312="停止"),"両方停止","運転がそろわない")))</f>
        <v>両方停止</v>
      </c>
      <c r="AL312" s="30" t="n">
        <v>60</v>
      </c>
      <c r="AM312" s="30" t="n">
        <v>0</v>
      </c>
      <c r="AN312" s="30" t="str">
        <f aca="false">IF(OR(V312="判定不能",M312="判定不能"),"判定不能",IF(AM312&gt;=判定条件!$C$9,"利用可",IF(AND(V312="停止",M312="停止"),"両方停止","運転がそろわない")))</f>
        <v>運転がそろわない</v>
      </c>
      <c r="AO312" s="30" t="n">
        <v>60</v>
      </c>
      <c r="AP312" s="30" t="n">
        <v>0</v>
      </c>
      <c r="AQ312" s="30" t="str">
        <f aca="false">IF(OR(Y312="判定不能",G312="判定不能"),"判定不能",IF(AP312&gt;=判定条件!$C$9,"利用可",IF(AND(Y312="停止",G312="停止"),"両方停止","運転がそろわない")))</f>
        <v>両方停止</v>
      </c>
      <c r="AR312" s="30" t="n">
        <v>60</v>
      </c>
      <c r="AS312" s="30" t="n">
        <v>0</v>
      </c>
      <c r="AT312" s="30" t="str">
        <f aca="false">IF(OR(AB312="判定不能",J312="判定不能"),"判定不能",IF(AS312&gt;=判定条件!$C$9,"利用可",IF(AND(AB312="停止",J312="停止"),"両方停止","運転がそろわない")))</f>
        <v>両方停止</v>
      </c>
      <c r="AU312" s="30" t="n">
        <v>60</v>
      </c>
      <c r="AV312" s="30" t="n">
        <v>0</v>
      </c>
      <c r="AW312" s="30" t="str">
        <f aca="false">IF(OR(AE312="判定不能",M312="判定不能"),"判定不能",IF(AV312&gt;=判定条件!$C$9,"利用可",IF(AND(AE312="停止",M312="停止"),"両方停止","運転がそろわない")))</f>
        <v>運転がそろわない</v>
      </c>
      <c r="AX312" s="30" t="str">
        <f aca="false">IF(AND(AH312="利用可",AK312="利用可",AN312="利用可"),"利用可","不可")</f>
        <v>不可</v>
      </c>
      <c r="AY312" s="30" t="str">
        <f aca="false">IF(AND(AQ312="利用可",AT312="利用可",AW312="利用可"),"利用可","不可")</f>
        <v>不可</v>
      </c>
    </row>
    <row r="313" customFormat="false" ht="15" hidden="false" customHeight="false" outlineLevel="0" collapsed="false">
      <c r="A313" s="29" t="n">
        <v>46244</v>
      </c>
      <c r="B313" s="30" t="n">
        <v>22</v>
      </c>
      <c r="C313" s="31" t="s">
        <v>66</v>
      </c>
      <c r="D313" s="31" t="s">
        <v>59</v>
      </c>
      <c r="E313" s="30" t="n">
        <v>60</v>
      </c>
      <c r="F313" s="30" t="n">
        <v>0</v>
      </c>
      <c r="G313" s="30" t="str">
        <f aca="false">IF(E313&lt;判定条件!$C$6,"判定不能",IF(F313&gt;=判定条件!$C$7*E313,"運転",IF(F313&lt;=判定条件!$C$8*E313,"停止","断続")))</f>
        <v>停止</v>
      </c>
      <c r="H313" s="30" t="n">
        <v>60</v>
      </c>
      <c r="I313" s="30" t="n">
        <v>0</v>
      </c>
      <c r="J313" s="30" t="str">
        <f aca="false">IF(H313&lt;判定条件!$C$6,"判定不能",IF(I313&gt;=判定条件!$C$7*H313,"運転",IF(I313&lt;=判定条件!$C$8*H313,"停止","断続")))</f>
        <v>停止</v>
      </c>
      <c r="K313" s="30" t="n">
        <v>60</v>
      </c>
      <c r="L313" s="30" t="n">
        <v>60</v>
      </c>
      <c r="M313" s="30" t="str">
        <f aca="false">IF(K313&lt;判定条件!$C$6,"判定不能",IF(L313&gt;=判定条件!$C$7*K313,"運転",IF(L313&lt;=判定条件!$C$8*K313,"停止","断続")))</f>
        <v>運転</v>
      </c>
      <c r="N313" s="30" t="n">
        <v>60</v>
      </c>
      <c r="O313" s="30" t="n">
        <v>0</v>
      </c>
      <c r="P313" s="30" t="str">
        <f aca="false">IF(N313&lt;判定条件!$C$6,"判定不能",IF(O313&gt;=判定条件!$C$7*N313,"運転",IF(O313&lt;=判定条件!$C$8*N313,"停止","断続")))</f>
        <v>停止</v>
      </c>
      <c r="Q313" s="30" t="n">
        <v>60</v>
      </c>
      <c r="R313" s="30" t="n">
        <v>0</v>
      </c>
      <c r="S313" s="30" t="str">
        <f aca="false">IF(Q313&lt;判定条件!$C$6,"判定不能",IF(R313&gt;=判定条件!$C$7*Q313,"運転",IF(R313&lt;=判定条件!$C$8*Q313,"停止","断続")))</f>
        <v>停止</v>
      </c>
      <c r="T313" s="30" t="n">
        <v>60</v>
      </c>
      <c r="U313" s="30" t="n">
        <v>0</v>
      </c>
      <c r="V313" s="30" t="str">
        <f aca="false">IF(T313&lt;判定条件!$C$6,"判定不能",IF(U313&gt;=判定条件!$C$7*T313,"運転",IF(U313&lt;=判定条件!$C$8*T313,"停止","断続")))</f>
        <v>停止</v>
      </c>
      <c r="W313" s="30" t="n">
        <v>60</v>
      </c>
      <c r="X313" s="30" t="n">
        <v>0</v>
      </c>
      <c r="Y313" s="30" t="str">
        <f aca="false">IF(W313&lt;判定条件!$C$6,"判定不能",IF(X313&gt;=判定条件!$C$7*W313,"運転",IF(X313&lt;=判定条件!$C$8*W313,"停止","断続")))</f>
        <v>停止</v>
      </c>
      <c r="Z313" s="30" t="n">
        <v>60</v>
      </c>
      <c r="AA313" s="30" t="n">
        <v>0</v>
      </c>
      <c r="AB313" s="30" t="str">
        <f aca="false">IF(Z313&lt;判定条件!$C$6,"判定不能",IF(AA313&gt;=判定条件!$C$7*Z313,"運転",IF(AA313&lt;=判定条件!$C$8*Z313,"停止","断続")))</f>
        <v>停止</v>
      </c>
      <c r="AC313" s="30" t="n">
        <v>60</v>
      </c>
      <c r="AD313" s="30" t="n">
        <v>0</v>
      </c>
      <c r="AE313" s="30" t="str">
        <f aca="false">IF(AC313&lt;判定条件!$C$6,"判定不能",IF(AD313&gt;=判定条件!$C$7*AC313,"運転",IF(AD313&lt;=判定条件!$C$8*AC313,"停止","断続")))</f>
        <v>停止</v>
      </c>
      <c r="AF313" s="30" t="n">
        <v>60</v>
      </c>
      <c r="AG313" s="30" t="n">
        <v>0</v>
      </c>
      <c r="AH313" s="30" t="str">
        <f aca="false">IF(OR(P313="判定不能",G313="判定不能"),"判定不能",IF(AG313&gt;=判定条件!$C$9,"利用可",IF(AND(P313="停止",G313="停止"),"両方停止","運転がそろわない")))</f>
        <v>両方停止</v>
      </c>
      <c r="AI313" s="30" t="n">
        <v>60</v>
      </c>
      <c r="AJ313" s="30" t="n">
        <v>0</v>
      </c>
      <c r="AK313" s="30" t="str">
        <f aca="false">IF(OR(S313="判定不能",J313="判定不能"),"判定不能",IF(AJ313&gt;=判定条件!$C$9,"利用可",IF(AND(S313="停止",J313="停止"),"両方停止","運転がそろわない")))</f>
        <v>両方停止</v>
      </c>
      <c r="AL313" s="30" t="n">
        <v>60</v>
      </c>
      <c r="AM313" s="30" t="n">
        <v>0</v>
      </c>
      <c r="AN313" s="30" t="str">
        <f aca="false">IF(OR(V313="判定不能",M313="判定不能"),"判定不能",IF(AM313&gt;=判定条件!$C$9,"利用可",IF(AND(V313="停止",M313="停止"),"両方停止","運転がそろわない")))</f>
        <v>運転がそろわない</v>
      </c>
      <c r="AO313" s="30" t="n">
        <v>60</v>
      </c>
      <c r="AP313" s="30" t="n">
        <v>0</v>
      </c>
      <c r="AQ313" s="30" t="str">
        <f aca="false">IF(OR(Y313="判定不能",G313="判定不能"),"判定不能",IF(AP313&gt;=判定条件!$C$9,"利用可",IF(AND(Y313="停止",G313="停止"),"両方停止","運転がそろわない")))</f>
        <v>両方停止</v>
      </c>
      <c r="AR313" s="30" t="n">
        <v>60</v>
      </c>
      <c r="AS313" s="30" t="n">
        <v>0</v>
      </c>
      <c r="AT313" s="30" t="str">
        <f aca="false">IF(OR(AB313="判定不能",J313="判定不能"),"判定不能",IF(AS313&gt;=判定条件!$C$9,"利用可",IF(AND(AB313="停止",J313="停止"),"両方停止","運転がそろわない")))</f>
        <v>両方停止</v>
      </c>
      <c r="AU313" s="30" t="n">
        <v>60</v>
      </c>
      <c r="AV313" s="30" t="n">
        <v>0</v>
      </c>
      <c r="AW313" s="30" t="str">
        <f aca="false">IF(OR(AE313="判定不能",M313="判定不能"),"判定不能",IF(AV313&gt;=判定条件!$C$9,"利用可",IF(AND(AE313="停止",M313="停止"),"両方停止","運転がそろわない")))</f>
        <v>運転がそろわない</v>
      </c>
      <c r="AX313" s="30" t="str">
        <f aca="false">IF(AND(AH313="利用可",AK313="利用可",AN313="利用可"),"利用可","不可")</f>
        <v>不可</v>
      </c>
      <c r="AY313" s="30" t="str">
        <f aca="false">IF(AND(AQ313="利用可",AT313="利用可",AW313="利用可"),"利用可","不可")</f>
        <v>不可</v>
      </c>
    </row>
    <row r="314" customFormat="false" ht="15" hidden="false" customHeight="false" outlineLevel="0" collapsed="false">
      <c r="A314" s="29" t="n">
        <v>46244</v>
      </c>
      <c r="B314" s="30" t="n">
        <v>23</v>
      </c>
      <c r="C314" s="31" t="s">
        <v>66</v>
      </c>
      <c r="D314" s="31" t="s">
        <v>59</v>
      </c>
      <c r="E314" s="30" t="n">
        <v>60</v>
      </c>
      <c r="F314" s="30" t="n">
        <v>0</v>
      </c>
      <c r="G314" s="30" t="str">
        <f aca="false">IF(E314&lt;判定条件!$C$6,"判定不能",IF(F314&gt;=判定条件!$C$7*E314,"運転",IF(F314&lt;=判定条件!$C$8*E314,"停止","断続")))</f>
        <v>停止</v>
      </c>
      <c r="H314" s="30" t="n">
        <v>60</v>
      </c>
      <c r="I314" s="30" t="n">
        <v>0</v>
      </c>
      <c r="J314" s="30" t="str">
        <f aca="false">IF(H314&lt;判定条件!$C$6,"判定不能",IF(I314&gt;=判定条件!$C$7*H314,"運転",IF(I314&lt;=判定条件!$C$8*H314,"停止","断続")))</f>
        <v>停止</v>
      </c>
      <c r="K314" s="30" t="n">
        <v>60</v>
      </c>
      <c r="L314" s="30" t="n">
        <v>60</v>
      </c>
      <c r="M314" s="30" t="str">
        <f aca="false">IF(K314&lt;判定条件!$C$6,"判定不能",IF(L314&gt;=判定条件!$C$7*K314,"運転",IF(L314&lt;=判定条件!$C$8*K314,"停止","断続")))</f>
        <v>運転</v>
      </c>
      <c r="N314" s="30" t="n">
        <v>60</v>
      </c>
      <c r="O314" s="30" t="n">
        <v>0</v>
      </c>
      <c r="P314" s="30" t="str">
        <f aca="false">IF(N314&lt;判定条件!$C$6,"判定不能",IF(O314&gt;=判定条件!$C$7*N314,"運転",IF(O314&lt;=判定条件!$C$8*N314,"停止","断続")))</f>
        <v>停止</v>
      </c>
      <c r="Q314" s="30" t="n">
        <v>60</v>
      </c>
      <c r="R314" s="30" t="n">
        <v>0</v>
      </c>
      <c r="S314" s="30" t="str">
        <f aca="false">IF(Q314&lt;判定条件!$C$6,"判定不能",IF(R314&gt;=判定条件!$C$7*Q314,"運転",IF(R314&lt;=判定条件!$C$8*Q314,"停止","断続")))</f>
        <v>停止</v>
      </c>
      <c r="T314" s="30" t="n">
        <v>60</v>
      </c>
      <c r="U314" s="30" t="n">
        <v>0</v>
      </c>
      <c r="V314" s="30" t="str">
        <f aca="false">IF(T314&lt;判定条件!$C$6,"判定不能",IF(U314&gt;=判定条件!$C$7*T314,"運転",IF(U314&lt;=判定条件!$C$8*T314,"停止","断続")))</f>
        <v>停止</v>
      </c>
      <c r="W314" s="30" t="n">
        <v>60</v>
      </c>
      <c r="X314" s="30" t="n">
        <v>0</v>
      </c>
      <c r="Y314" s="30" t="str">
        <f aca="false">IF(W314&lt;判定条件!$C$6,"判定不能",IF(X314&gt;=判定条件!$C$7*W314,"運転",IF(X314&lt;=判定条件!$C$8*W314,"停止","断続")))</f>
        <v>停止</v>
      </c>
      <c r="Z314" s="30" t="n">
        <v>60</v>
      </c>
      <c r="AA314" s="30" t="n">
        <v>0</v>
      </c>
      <c r="AB314" s="30" t="str">
        <f aca="false">IF(Z314&lt;判定条件!$C$6,"判定不能",IF(AA314&gt;=判定条件!$C$7*Z314,"運転",IF(AA314&lt;=判定条件!$C$8*Z314,"停止","断続")))</f>
        <v>停止</v>
      </c>
      <c r="AC314" s="30" t="n">
        <v>60</v>
      </c>
      <c r="AD314" s="30" t="n">
        <v>0</v>
      </c>
      <c r="AE314" s="30" t="str">
        <f aca="false">IF(AC314&lt;判定条件!$C$6,"判定不能",IF(AD314&gt;=判定条件!$C$7*AC314,"運転",IF(AD314&lt;=判定条件!$C$8*AC314,"停止","断続")))</f>
        <v>停止</v>
      </c>
      <c r="AF314" s="30" t="n">
        <v>60</v>
      </c>
      <c r="AG314" s="30" t="n">
        <v>0</v>
      </c>
      <c r="AH314" s="30" t="str">
        <f aca="false">IF(OR(P314="判定不能",G314="判定不能"),"判定不能",IF(AG314&gt;=判定条件!$C$9,"利用可",IF(AND(P314="停止",G314="停止"),"両方停止","運転がそろわない")))</f>
        <v>両方停止</v>
      </c>
      <c r="AI314" s="30" t="n">
        <v>60</v>
      </c>
      <c r="AJ314" s="30" t="n">
        <v>0</v>
      </c>
      <c r="AK314" s="30" t="str">
        <f aca="false">IF(OR(S314="判定不能",J314="判定不能"),"判定不能",IF(AJ314&gt;=判定条件!$C$9,"利用可",IF(AND(S314="停止",J314="停止"),"両方停止","運転がそろわない")))</f>
        <v>両方停止</v>
      </c>
      <c r="AL314" s="30" t="n">
        <v>60</v>
      </c>
      <c r="AM314" s="30" t="n">
        <v>0</v>
      </c>
      <c r="AN314" s="30" t="str">
        <f aca="false">IF(OR(V314="判定不能",M314="判定不能"),"判定不能",IF(AM314&gt;=判定条件!$C$9,"利用可",IF(AND(V314="停止",M314="停止"),"両方停止","運転がそろわない")))</f>
        <v>運転がそろわない</v>
      </c>
      <c r="AO314" s="30" t="n">
        <v>60</v>
      </c>
      <c r="AP314" s="30" t="n">
        <v>0</v>
      </c>
      <c r="AQ314" s="30" t="str">
        <f aca="false">IF(OR(Y314="判定不能",G314="判定不能"),"判定不能",IF(AP314&gt;=判定条件!$C$9,"利用可",IF(AND(Y314="停止",G314="停止"),"両方停止","運転がそろわない")))</f>
        <v>両方停止</v>
      </c>
      <c r="AR314" s="30" t="n">
        <v>60</v>
      </c>
      <c r="AS314" s="30" t="n">
        <v>0</v>
      </c>
      <c r="AT314" s="30" t="str">
        <f aca="false">IF(OR(AB314="判定不能",J314="判定不能"),"判定不能",IF(AS314&gt;=判定条件!$C$9,"利用可",IF(AND(AB314="停止",J314="停止"),"両方停止","運転がそろわない")))</f>
        <v>両方停止</v>
      </c>
      <c r="AU314" s="30" t="n">
        <v>60</v>
      </c>
      <c r="AV314" s="30" t="n">
        <v>0</v>
      </c>
      <c r="AW314" s="30" t="str">
        <f aca="false">IF(OR(AE314="判定不能",M314="判定不能"),"判定不能",IF(AV314&gt;=判定条件!$C$9,"利用可",IF(AND(AE314="停止",M314="停止"),"両方停止","運転がそろわない")))</f>
        <v>運転がそろわない</v>
      </c>
      <c r="AX314" s="30" t="str">
        <f aca="false">IF(AND(AH314="利用可",AK314="利用可",AN314="利用可"),"利用可","不可")</f>
        <v>不可</v>
      </c>
      <c r="AY314" s="30" t="str">
        <f aca="false">IF(AND(AQ314="利用可",AT314="利用可",AW314="利用可"),"利用可","不可")</f>
        <v>不可</v>
      </c>
    </row>
    <row r="315" customFormat="false" ht="15" hidden="false" customHeight="false" outlineLevel="0" collapsed="false">
      <c r="A315" s="29" t="n">
        <v>46245</v>
      </c>
      <c r="B315" s="30" t="n">
        <v>0</v>
      </c>
      <c r="C315" s="31" t="s">
        <v>67</v>
      </c>
      <c r="D315" s="31" t="s">
        <v>101</v>
      </c>
      <c r="E315" s="30" t="n">
        <v>60</v>
      </c>
      <c r="F315" s="30" t="n">
        <v>0</v>
      </c>
      <c r="G315" s="30" t="str">
        <f aca="false">IF(E315&lt;判定条件!$C$6,"判定不能",IF(F315&gt;=判定条件!$C$7*E315,"運転",IF(F315&lt;=判定条件!$C$8*E315,"停止","断続")))</f>
        <v>停止</v>
      </c>
      <c r="H315" s="30" t="n">
        <v>60</v>
      </c>
      <c r="I315" s="30" t="n">
        <v>0</v>
      </c>
      <c r="J315" s="30" t="str">
        <f aca="false">IF(H315&lt;判定条件!$C$6,"判定不能",IF(I315&gt;=判定条件!$C$7*H315,"運転",IF(I315&lt;=判定条件!$C$8*H315,"停止","断続")))</f>
        <v>停止</v>
      </c>
      <c r="K315" s="30" t="n">
        <v>60</v>
      </c>
      <c r="L315" s="30" t="n">
        <v>60</v>
      </c>
      <c r="M315" s="30" t="str">
        <f aca="false">IF(K315&lt;判定条件!$C$6,"判定不能",IF(L315&gt;=判定条件!$C$7*K315,"運転",IF(L315&lt;=判定条件!$C$8*K315,"停止","断続")))</f>
        <v>運転</v>
      </c>
      <c r="N315" s="30" t="n">
        <v>60</v>
      </c>
      <c r="O315" s="30" t="n">
        <v>0</v>
      </c>
      <c r="P315" s="30" t="str">
        <f aca="false">IF(N315&lt;判定条件!$C$6,"判定不能",IF(O315&gt;=判定条件!$C$7*N315,"運転",IF(O315&lt;=判定条件!$C$8*N315,"停止","断続")))</f>
        <v>停止</v>
      </c>
      <c r="Q315" s="30" t="n">
        <v>60</v>
      </c>
      <c r="R315" s="30" t="n">
        <v>0</v>
      </c>
      <c r="S315" s="30" t="str">
        <f aca="false">IF(Q315&lt;判定条件!$C$6,"判定不能",IF(R315&gt;=判定条件!$C$7*Q315,"運転",IF(R315&lt;=判定条件!$C$8*Q315,"停止","断続")))</f>
        <v>停止</v>
      </c>
      <c r="T315" s="30" t="n">
        <v>60</v>
      </c>
      <c r="U315" s="30" t="n">
        <v>0</v>
      </c>
      <c r="V315" s="30" t="str">
        <f aca="false">IF(T315&lt;判定条件!$C$6,"判定不能",IF(U315&gt;=判定条件!$C$7*T315,"運転",IF(U315&lt;=判定条件!$C$8*T315,"停止","断続")))</f>
        <v>停止</v>
      </c>
      <c r="W315" s="30" t="n">
        <v>60</v>
      </c>
      <c r="X315" s="30" t="n">
        <v>0</v>
      </c>
      <c r="Y315" s="30" t="str">
        <f aca="false">IF(W315&lt;判定条件!$C$6,"判定不能",IF(X315&gt;=判定条件!$C$7*W315,"運転",IF(X315&lt;=判定条件!$C$8*W315,"停止","断続")))</f>
        <v>停止</v>
      </c>
      <c r="Z315" s="30" t="n">
        <v>60</v>
      </c>
      <c r="AA315" s="30" t="n">
        <v>0</v>
      </c>
      <c r="AB315" s="30" t="str">
        <f aca="false">IF(Z315&lt;判定条件!$C$6,"判定不能",IF(AA315&gt;=判定条件!$C$7*Z315,"運転",IF(AA315&lt;=判定条件!$C$8*Z315,"停止","断続")))</f>
        <v>停止</v>
      </c>
      <c r="AC315" s="30" t="n">
        <v>60</v>
      </c>
      <c r="AD315" s="30" t="n">
        <v>0</v>
      </c>
      <c r="AE315" s="30" t="str">
        <f aca="false">IF(AC315&lt;判定条件!$C$6,"判定不能",IF(AD315&gt;=判定条件!$C$7*AC315,"運転",IF(AD315&lt;=判定条件!$C$8*AC315,"停止","断続")))</f>
        <v>停止</v>
      </c>
      <c r="AF315" s="30" t="n">
        <v>60</v>
      </c>
      <c r="AG315" s="30" t="n">
        <v>0</v>
      </c>
      <c r="AH315" s="30" t="str">
        <f aca="false">IF(OR(P315="判定不能",G315="判定不能"),"判定不能",IF(AG315&gt;=判定条件!$C$9,"利用可",IF(AND(P315="停止",G315="停止"),"両方停止","運転がそろわない")))</f>
        <v>両方停止</v>
      </c>
      <c r="AI315" s="30" t="n">
        <v>60</v>
      </c>
      <c r="AJ315" s="30" t="n">
        <v>0</v>
      </c>
      <c r="AK315" s="30" t="str">
        <f aca="false">IF(OR(S315="判定不能",J315="判定不能"),"判定不能",IF(AJ315&gt;=判定条件!$C$9,"利用可",IF(AND(S315="停止",J315="停止"),"両方停止","運転がそろわない")))</f>
        <v>両方停止</v>
      </c>
      <c r="AL315" s="30" t="n">
        <v>60</v>
      </c>
      <c r="AM315" s="30" t="n">
        <v>0</v>
      </c>
      <c r="AN315" s="30" t="str">
        <f aca="false">IF(OR(V315="判定不能",M315="判定不能"),"判定不能",IF(AM315&gt;=判定条件!$C$9,"利用可",IF(AND(V315="停止",M315="停止"),"両方停止","運転がそろわない")))</f>
        <v>運転がそろわない</v>
      </c>
      <c r="AO315" s="30" t="n">
        <v>60</v>
      </c>
      <c r="AP315" s="30" t="n">
        <v>0</v>
      </c>
      <c r="AQ315" s="30" t="str">
        <f aca="false">IF(OR(Y315="判定不能",G315="判定不能"),"判定不能",IF(AP315&gt;=判定条件!$C$9,"利用可",IF(AND(Y315="停止",G315="停止"),"両方停止","運転がそろわない")))</f>
        <v>両方停止</v>
      </c>
      <c r="AR315" s="30" t="n">
        <v>60</v>
      </c>
      <c r="AS315" s="30" t="n">
        <v>0</v>
      </c>
      <c r="AT315" s="30" t="str">
        <f aca="false">IF(OR(AB315="判定不能",J315="判定不能"),"判定不能",IF(AS315&gt;=判定条件!$C$9,"利用可",IF(AND(AB315="停止",J315="停止"),"両方停止","運転がそろわない")))</f>
        <v>両方停止</v>
      </c>
      <c r="AU315" s="30" t="n">
        <v>60</v>
      </c>
      <c r="AV315" s="30" t="n">
        <v>0</v>
      </c>
      <c r="AW315" s="30" t="str">
        <f aca="false">IF(OR(AE315="判定不能",M315="判定不能"),"判定不能",IF(AV315&gt;=判定条件!$C$9,"利用可",IF(AND(AE315="停止",M315="停止"),"両方停止","運転がそろわない")))</f>
        <v>運転がそろわない</v>
      </c>
      <c r="AX315" s="30" t="str">
        <f aca="false">IF(AND(AH315="利用可",AK315="利用可",AN315="利用可"),"利用可","不可")</f>
        <v>不可</v>
      </c>
      <c r="AY315" s="30" t="str">
        <f aca="false">IF(AND(AQ315="利用可",AT315="利用可",AW315="利用可"),"利用可","不可")</f>
        <v>不可</v>
      </c>
    </row>
    <row r="316" customFormat="false" ht="15" hidden="false" customHeight="false" outlineLevel="0" collapsed="false">
      <c r="A316" s="29" t="n">
        <v>46245</v>
      </c>
      <c r="B316" s="30" t="n">
        <v>1</v>
      </c>
      <c r="C316" s="31" t="s">
        <v>67</v>
      </c>
      <c r="D316" s="31" t="s">
        <v>101</v>
      </c>
      <c r="E316" s="30" t="n">
        <v>60</v>
      </c>
      <c r="F316" s="30" t="n">
        <v>0</v>
      </c>
      <c r="G316" s="30" t="str">
        <f aca="false">IF(E316&lt;判定条件!$C$6,"判定不能",IF(F316&gt;=判定条件!$C$7*E316,"運転",IF(F316&lt;=判定条件!$C$8*E316,"停止","断続")))</f>
        <v>停止</v>
      </c>
      <c r="H316" s="30" t="n">
        <v>60</v>
      </c>
      <c r="I316" s="30" t="n">
        <v>0</v>
      </c>
      <c r="J316" s="30" t="str">
        <f aca="false">IF(H316&lt;判定条件!$C$6,"判定不能",IF(I316&gt;=判定条件!$C$7*H316,"運転",IF(I316&lt;=判定条件!$C$8*H316,"停止","断続")))</f>
        <v>停止</v>
      </c>
      <c r="K316" s="30" t="n">
        <v>60</v>
      </c>
      <c r="L316" s="30" t="n">
        <v>60</v>
      </c>
      <c r="M316" s="30" t="str">
        <f aca="false">IF(K316&lt;判定条件!$C$6,"判定不能",IF(L316&gt;=判定条件!$C$7*K316,"運転",IF(L316&lt;=判定条件!$C$8*K316,"停止","断続")))</f>
        <v>運転</v>
      </c>
      <c r="N316" s="30" t="n">
        <v>60</v>
      </c>
      <c r="O316" s="30" t="n">
        <v>0</v>
      </c>
      <c r="P316" s="30" t="str">
        <f aca="false">IF(N316&lt;判定条件!$C$6,"判定不能",IF(O316&gt;=判定条件!$C$7*N316,"運転",IF(O316&lt;=判定条件!$C$8*N316,"停止","断続")))</f>
        <v>停止</v>
      </c>
      <c r="Q316" s="30" t="n">
        <v>60</v>
      </c>
      <c r="R316" s="30" t="n">
        <v>0</v>
      </c>
      <c r="S316" s="30" t="str">
        <f aca="false">IF(Q316&lt;判定条件!$C$6,"判定不能",IF(R316&gt;=判定条件!$C$7*Q316,"運転",IF(R316&lt;=判定条件!$C$8*Q316,"停止","断続")))</f>
        <v>停止</v>
      </c>
      <c r="T316" s="30" t="n">
        <v>60</v>
      </c>
      <c r="U316" s="30" t="n">
        <v>0</v>
      </c>
      <c r="V316" s="30" t="str">
        <f aca="false">IF(T316&lt;判定条件!$C$6,"判定不能",IF(U316&gt;=判定条件!$C$7*T316,"運転",IF(U316&lt;=判定条件!$C$8*T316,"停止","断続")))</f>
        <v>停止</v>
      </c>
      <c r="W316" s="30" t="n">
        <v>60</v>
      </c>
      <c r="X316" s="30" t="n">
        <v>0</v>
      </c>
      <c r="Y316" s="30" t="str">
        <f aca="false">IF(W316&lt;判定条件!$C$6,"判定不能",IF(X316&gt;=判定条件!$C$7*W316,"運転",IF(X316&lt;=判定条件!$C$8*W316,"停止","断続")))</f>
        <v>停止</v>
      </c>
      <c r="Z316" s="30" t="n">
        <v>60</v>
      </c>
      <c r="AA316" s="30" t="n">
        <v>0</v>
      </c>
      <c r="AB316" s="30" t="str">
        <f aca="false">IF(Z316&lt;判定条件!$C$6,"判定不能",IF(AA316&gt;=判定条件!$C$7*Z316,"運転",IF(AA316&lt;=判定条件!$C$8*Z316,"停止","断続")))</f>
        <v>停止</v>
      </c>
      <c r="AC316" s="30" t="n">
        <v>60</v>
      </c>
      <c r="AD316" s="30" t="n">
        <v>0</v>
      </c>
      <c r="AE316" s="30" t="str">
        <f aca="false">IF(AC316&lt;判定条件!$C$6,"判定不能",IF(AD316&gt;=判定条件!$C$7*AC316,"運転",IF(AD316&lt;=判定条件!$C$8*AC316,"停止","断続")))</f>
        <v>停止</v>
      </c>
      <c r="AF316" s="30" t="n">
        <v>60</v>
      </c>
      <c r="AG316" s="30" t="n">
        <v>0</v>
      </c>
      <c r="AH316" s="30" t="str">
        <f aca="false">IF(OR(P316="判定不能",G316="判定不能"),"判定不能",IF(AG316&gt;=判定条件!$C$9,"利用可",IF(AND(P316="停止",G316="停止"),"両方停止","運転がそろわない")))</f>
        <v>両方停止</v>
      </c>
      <c r="AI316" s="30" t="n">
        <v>60</v>
      </c>
      <c r="AJ316" s="30" t="n">
        <v>0</v>
      </c>
      <c r="AK316" s="30" t="str">
        <f aca="false">IF(OR(S316="判定不能",J316="判定不能"),"判定不能",IF(AJ316&gt;=判定条件!$C$9,"利用可",IF(AND(S316="停止",J316="停止"),"両方停止","運転がそろわない")))</f>
        <v>両方停止</v>
      </c>
      <c r="AL316" s="30" t="n">
        <v>60</v>
      </c>
      <c r="AM316" s="30" t="n">
        <v>0</v>
      </c>
      <c r="AN316" s="30" t="str">
        <f aca="false">IF(OR(V316="判定不能",M316="判定不能"),"判定不能",IF(AM316&gt;=判定条件!$C$9,"利用可",IF(AND(V316="停止",M316="停止"),"両方停止","運転がそろわない")))</f>
        <v>運転がそろわない</v>
      </c>
      <c r="AO316" s="30" t="n">
        <v>60</v>
      </c>
      <c r="AP316" s="30" t="n">
        <v>0</v>
      </c>
      <c r="AQ316" s="30" t="str">
        <f aca="false">IF(OR(Y316="判定不能",G316="判定不能"),"判定不能",IF(AP316&gt;=判定条件!$C$9,"利用可",IF(AND(Y316="停止",G316="停止"),"両方停止","運転がそろわない")))</f>
        <v>両方停止</v>
      </c>
      <c r="AR316" s="30" t="n">
        <v>60</v>
      </c>
      <c r="AS316" s="30" t="n">
        <v>0</v>
      </c>
      <c r="AT316" s="30" t="str">
        <f aca="false">IF(OR(AB316="判定不能",J316="判定不能"),"判定不能",IF(AS316&gt;=判定条件!$C$9,"利用可",IF(AND(AB316="停止",J316="停止"),"両方停止","運転がそろわない")))</f>
        <v>両方停止</v>
      </c>
      <c r="AU316" s="30" t="n">
        <v>60</v>
      </c>
      <c r="AV316" s="30" t="n">
        <v>0</v>
      </c>
      <c r="AW316" s="30" t="str">
        <f aca="false">IF(OR(AE316="判定不能",M316="判定不能"),"判定不能",IF(AV316&gt;=判定条件!$C$9,"利用可",IF(AND(AE316="停止",M316="停止"),"両方停止","運転がそろわない")))</f>
        <v>運転がそろわない</v>
      </c>
      <c r="AX316" s="30" t="str">
        <f aca="false">IF(AND(AH316="利用可",AK316="利用可",AN316="利用可"),"利用可","不可")</f>
        <v>不可</v>
      </c>
      <c r="AY316" s="30" t="str">
        <f aca="false">IF(AND(AQ316="利用可",AT316="利用可",AW316="利用可"),"利用可","不可")</f>
        <v>不可</v>
      </c>
    </row>
    <row r="317" customFormat="false" ht="15" hidden="false" customHeight="false" outlineLevel="0" collapsed="false">
      <c r="A317" s="29" t="n">
        <v>46245</v>
      </c>
      <c r="B317" s="30" t="n">
        <v>2</v>
      </c>
      <c r="C317" s="31" t="s">
        <v>67</v>
      </c>
      <c r="D317" s="31" t="s">
        <v>101</v>
      </c>
      <c r="E317" s="30" t="n">
        <v>60</v>
      </c>
      <c r="F317" s="30" t="n">
        <v>0</v>
      </c>
      <c r="G317" s="30" t="str">
        <f aca="false">IF(E317&lt;判定条件!$C$6,"判定不能",IF(F317&gt;=判定条件!$C$7*E317,"運転",IF(F317&lt;=判定条件!$C$8*E317,"停止","断続")))</f>
        <v>停止</v>
      </c>
      <c r="H317" s="30" t="n">
        <v>60</v>
      </c>
      <c r="I317" s="30" t="n">
        <v>0</v>
      </c>
      <c r="J317" s="30" t="str">
        <f aca="false">IF(H317&lt;判定条件!$C$6,"判定不能",IF(I317&gt;=判定条件!$C$7*H317,"運転",IF(I317&lt;=判定条件!$C$8*H317,"停止","断続")))</f>
        <v>停止</v>
      </c>
      <c r="K317" s="30" t="n">
        <v>60</v>
      </c>
      <c r="L317" s="30" t="n">
        <v>60</v>
      </c>
      <c r="M317" s="30" t="str">
        <f aca="false">IF(K317&lt;判定条件!$C$6,"判定不能",IF(L317&gt;=判定条件!$C$7*K317,"運転",IF(L317&lt;=判定条件!$C$8*K317,"停止","断続")))</f>
        <v>運転</v>
      </c>
      <c r="N317" s="30" t="n">
        <v>60</v>
      </c>
      <c r="O317" s="30" t="n">
        <v>0</v>
      </c>
      <c r="P317" s="30" t="str">
        <f aca="false">IF(N317&lt;判定条件!$C$6,"判定不能",IF(O317&gt;=判定条件!$C$7*N317,"運転",IF(O317&lt;=判定条件!$C$8*N317,"停止","断続")))</f>
        <v>停止</v>
      </c>
      <c r="Q317" s="30" t="n">
        <v>60</v>
      </c>
      <c r="R317" s="30" t="n">
        <v>0</v>
      </c>
      <c r="S317" s="30" t="str">
        <f aca="false">IF(Q317&lt;判定条件!$C$6,"判定不能",IF(R317&gt;=判定条件!$C$7*Q317,"運転",IF(R317&lt;=判定条件!$C$8*Q317,"停止","断続")))</f>
        <v>停止</v>
      </c>
      <c r="T317" s="30" t="n">
        <v>60</v>
      </c>
      <c r="U317" s="30" t="n">
        <v>0</v>
      </c>
      <c r="V317" s="30" t="str">
        <f aca="false">IF(T317&lt;判定条件!$C$6,"判定不能",IF(U317&gt;=判定条件!$C$7*T317,"運転",IF(U317&lt;=判定条件!$C$8*T317,"停止","断続")))</f>
        <v>停止</v>
      </c>
      <c r="W317" s="30" t="n">
        <v>60</v>
      </c>
      <c r="X317" s="30" t="n">
        <v>0</v>
      </c>
      <c r="Y317" s="30" t="str">
        <f aca="false">IF(W317&lt;判定条件!$C$6,"判定不能",IF(X317&gt;=判定条件!$C$7*W317,"運転",IF(X317&lt;=判定条件!$C$8*W317,"停止","断続")))</f>
        <v>停止</v>
      </c>
      <c r="Z317" s="30" t="n">
        <v>60</v>
      </c>
      <c r="AA317" s="30" t="n">
        <v>0</v>
      </c>
      <c r="AB317" s="30" t="str">
        <f aca="false">IF(Z317&lt;判定条件!$C$6,"判定不能",IF(AA317&gt;=判定条件!$C$7*Z317,"運転",IF(AA317&lt;=判定条件!$C$8*Z317,"停止","断続")))</f>
        <v>停止</v>
      </c>
      <c r="AC317" s="30" t="n">
        <v>60</v>
      </c>
      <c r="AD317" s="30" t="n">
        <v>0</v>
      </c>
      <c r="AE317" s="30" t="str">
        <f aca="false">IF(AC317&lt;判定条件!$C$6,"判定不能",IF(AD317&gt;=判定条件!$C$7*AC317,"運転",IF(AD317&lt;=判定条件!$C$8*AC317,"停止","断続")))</f>
        <v>停止</v>
      </c>
      <c r="AF317" s="30" t="n">
        <v>60</v>
      </c>
      <c r="AG317" s="30" t="n">
        <v>0</v>
      </c>
      <c r="AH317" s="30" t="str">
        <f aca="false">IF(OR(P317="判定不能",G317="判定不能"),"判定不能",IF(AG317&gt;=判定条件!$C$9,"利用可",IF(AND(P317="停止",G317="停止"),"両方停止","運転がそろわない")))</f>
        <v>両方停止</v>
      </c>
      <c r="AI317" s="30" t="n">
        <v>60</v>
      </c>
      <c r="AJ317" s="30" t="n">
        <v>0</v>
      </c>
      <c r="AK317" s="30" t="str">
        <f aca="false">IF(OR(S317="判定不能",J317="判定不能"),"判定不能",IF(AJ317&gt;=判定条件!$C$9,"利用可",IF(AND(S317="停止",J317="停止"),"両方停止","運転がそろわない")))</f>
        <v>両方停止</v>
      </c>
      <c r="AL317" s="30" t="n">
        <v>60</v>
      </c>
      <c r="AM317" s="30" t="n">
        <v>0</v>
      </c>
      <c r="AN317" s="30" t="str">
        <f aca="false">IF(OR(V317="判定不能",M317="判定不能"),"判定不能",IF(AM317&gt;=判定条件!$C$9,"利用可",IF(AND(V317="停止",M317="停止"),"両方停止","運転がそろわない")))</f>
        <v>運転がそろわない</v>
      </c>
      <c r="AO317" s="30" t="n">
        <v>60</v>
      </c>
      <c r="AP317" s="30" t="n">
        <v>0</v>
      </c>
      <c r="AQ317" s="30" t="str">
        <f aca="false">IF(OR(Y317="判定不能",G317="判定不能"),"判定不能",IF(AP317&gt;=判定条件!$C$9,"利用可",IF(AND(Y317="停止",G317="停止"),"両方停止","運転がそろわない")))</f>
        <v>両方停止</v>
      </c>
      <c r="AR317" s="30" t="n">
        <v>60</v>
      </c>
      <c r="AS317" s="30" t="n">
        <v>0</v>
      </c>
      <c r="AT317" s="30" t="str">
        <f aca="false">IF(OR(AB317="判定不能",J317="判定不能"),"判定不能",IF(AS317&gt;=判定条件!$C$9,"利用可",IF(AND(AB317="停止",J317="停止"),"両方停止","運転がそろわない")))</f>
        <v>両方停止</v>
      </c>
      <c r="AU317" s="30" t="n">
        <v>60</v>
      </c>
      <c r="AV317" s="30" t="n">
        <v>0</v>
      </c>
      <c r="AW317" s="30" t="str">
        <f aca="false">IF(OR(AE317="判定不能",M317="判定不能"),"判定不能",IF(AV317&gt;=判定条件!$C$9,"利用可",IF(AND(AE317="停止",M317="停止"),"両方停止","運転がそろわない")))</f>
        <v>運転がそろわない</v>
      </c>
      <c r="AX317" s="30" t="str">
        <f aca="false">IF(AND(AH317="利用可",AK317="利用可",AN317="利用可"),"利用可","不可")</f>
        <v>不可</v>
      </c>
      <c r="AY317" s="30" t="str">
        <f aca="false">IF(AND(AQ317="利用可",AT317="利用可",AW317="利用可"),"利用可","不可")</f>
        <v>不可</v>
      </c>
    </row>
    <row r="318" customFormat="false" ht="15" hidden="false" customHeight="false" outlineLevel="0" collapsed="false">
      <c r="A318" s="29" t="n">
        <v>46245</v>
      </c>
      <c r="B318" s="30" t="n">
        <v>3</v>
      </c>
      <c r="C318" s="31" t="s">
        <v>67</v>
      </c>
      <c r="D318" s="31" t="s">
        <v>101</v>
      </c>
      <c r="E318" s="30" t="n">
        <v>60</v>
      </c>
      <c r="F318" s="30" t="n">
        <v>0</v>
      </c>
      <c r="G318" s="30" t="str">
        <f aca="false">IF(E318&lt;判定条件!$C$6,"判定不能",IF(F318&gt;=判定条件!$C$7*E318,"運転",IF(F318&lt;=判定条件!$C$8*E318,"停止","断続")))</f>
        <v>停止</v>
      </c>
      <c r="H318" s="30" t="n">
        <v>60</v>
      </c>
      <c r="I318" s="30" t="n">
        <v>0</v>
      </c>
      <c r="J318" s="30" t="str">
        <f aca="false">IF(H318&lt;判定条件!$C$6,"判定不能",IF(I318&gt;=判定条件!$C$7*H318,"運転",IF(I318&lt;=判定条件!$C$8*H318,"停止","断続")))</f>
        <v>停止</v>
      </c>
      <c r="K318" s="30" t="n">
        <v>60</v>
      </c>
      <c r="L318" s="30" t="n">
        <v>60</v>
      </c>
      <c r="M318" s="30" t="str">
        <f aca="false">IF(K318&lt;判定条件!$C$6,"判定不能",IF(L318&gt;=判定条件!$C$7*K318,"運転",IF(L318&lt;=判定条件!$C$8*K318,"停止","断続")))</f>
        <v>運転</v>
      </c>
      <c r="N318" s="30" t="n">
        <v>60</v>
      </c>
      <c r="O318" s="30" t="n">
        <v>0</v>
      </c>
      <c r="P318" s="30" t="str">
        <f aca="false">IF(N318&lt;判定条件!$C$6,"判定不能",IF(O318&gt;=判定条件!$C$7*N318,"運転",IF(O318&lt;=判定条件!$C$8*N318,"停止","断続")))</f>
        <v>停止</v>
      </c>
      <c r="Q318" s="30" t="n">
        <v>60</v>
      </c>
      <c r="R318" s="30" t="n">
        <v>0</v>
      </c>
      <c r="S318" s="30" t="str">
        <f aca="false">IF(Q318&lt;判定条件!$C$6,"判定不能",IF(R318&gt;=判定条件!$C$7*Q318,"運転",IF(R318&lt;=判定条件!$C$8*Q318,"停止","断続")))</f>
        <v>停止</v>
      </c>
      <c r="T318" s="30" t="n">
        <v>60</v>
      </c>
      <c r="U318" s="30" t="n">
        <v>0</v>
      </c>
      <c r="V318" s="30" t="str">
        <f aca="false">IF(T318&lt;判定条件!$C$6,"判定不能",IF(U318&gt;=判定条件!$C$7*T318,"運転",IF(U318&lt;=判定条件!$C$8*T318,"停止","断続")))</f>
        <v>停止</v>
      </c>
      <c r="W318" s="30" t="n">
        <v>60</v>
      </c>
      <c r="X318" s="30" t="n">
        <v>0</v>
      </c>
      <c r="Y318" s="30" t="str">
        <f aca="false">IF(W318&lt;判定条件!$C$6,"判定不能",IF(X318&gt;=判定条件!$C$7*W318,"運転",IF(X318&lt;=判定条件!$C$8*W318,"停止","断続")))</f>
        <v>停止</v>
      </c>
      <c r="Z318" s="30" t="n">
        <v>60</v>
      </c>
      <c r="AA318" s="30" t="n">
        <v>0</v>
      </c>
      <c r="AB318" s="30" t="str">
        <f aca="false">IF(Z318&lt;判定条件!$C$6,"判定不能",IF(AA318&gt;=判定条件!$C$7*Z318,"運転",IF(AA318&lt;=判定条件!$C$8*Z318,"停止","断続")))</f>
        <v>停止</v>
      </c>
      <c r="AC318" s="30" t="n">
        <v>60</v>
      </c>
      <c r="AD318" s="30" t="n">
        <v>0</v>
      </c>
      <c r="AE318" s="30" t="str">
        <f aca="false">IF(AC318&lt;判定条件!$C$6,"判定不能",IF(AD318&gt;=判定条件!$C$7*AC318,"運転",IF(AD318&lt;=判定条件!$C$8*AC318,"停止","断続")))</f>
        <v>停止</v>
      </c>
      <c r="AF318" s="30" t="n">
        <v>60</v>
      </c>
      <c r="AG318" s="30" t="n">
        <v>0</v>
      </c>
      <c r="AH318" s="30" t="str">
        <f aca="false">IF(OR(P318="判定不能",G318="判定不能"),"判定不能",IF(AG318&gt;=判定条件!$C$9,"利用可",IF(AND(P318="停止",G318="停止"),"両方停止","運転がそろわない")))</f>
        <v>両方停止</v>
      </c>
      <c r="AI318" s="30" t="n">
        <v>60</v>
      </c>
      <c r="AJ318" s="30" t="n">
        <v>0</v>
      </c>
      <c r="AK318" s="30" t="str">
        <f aca="false">IF(OR(S318="判定不能",J318="判定不能"),"判定不能",IF(AJ318&gt;=判定条件!$C$9,"利用可",IF(AND(S318="停止",J318="停止"),"両方停止","運転がそろわない")))</f>
        <v>両方停止</v>
      </c>
      <c r="AL318" s="30" t="n">
        <v>60</v>
      </c>
      <c r="AM318" s="30" t="n">
        <v>0</v>
      </c>
      <c r="AN318" s="30" t="str">
        <f aca="false">IF(OR(V318="判定不能",M318="判定不能"),"判定不能",IF(AM318&gt;=判定条件!$C$9,"利用可",IF(AND(V318="停止",M318="停止"),"両方停止","運転がそろわない")))</f>
        <v>運転がそろわない</v>
      </c>
      <c r="AO318" s="30" t="n">
        <v>60</v>
      </c>
      <c r="AP318" s="30" t="n">
        <v>0</v>
      </c>
      <c r="AQ318" s="30" t="str">
        <f aca="false">IF(OR(Y318="判定不能",G318="判定不能"),"判定不能",IF(AP318&gt;=判定条件!$C$9,"利用可",IF(AND(Y318="停止",G318="停止"),"両方停止","運転がそろわない")))</f>
        <v>両方停止</v>
      </c>
      <c r="AR318" s="30" t="n">
        <v>60</v>
      </c>
      <c r="AS318" s="30" t="n">
        <v>0</v>
      </c>
      <c r="AT318" s="30" t="str">
        <f aca="false">IF(OR(AB318="判定不能",J318="判定不能"),"判定不能",IF(AS318&gt;=判定条件!$C$9,"利用可",IF(AND(AB318="停止",J318="停止"),"両方停止","運転がそろわない")))</f>
        <v>両方停止</v>
      </c>
      <c r="AU318" s="30" t="n">
        <v>60</v>
      </c>
      <c r="AV318" s="30" t="n">
        <v>0</v>
      </c>
      <c r="AW318" s="30" t="str">
        <f aca="false">IF(OR(AE318="判定不能",M318="判定不能"),"判定不能",IF(AV318&gt;=判定条件!$C$9,"利用可",IF(AND(AE318="停止",M318="停止"),"両方停止","運転がそろわない")))</f>
        <v>運転がそろわない</v>
      </c>
      <c r="AX318" s="30" t="str">
        <f aca="false">IF(AND(AH318="利用可",AK318="利用可",AN318="利用可"),"利用可","不可")</f>
        <v>不可</v>
      </c>
      <c r="AY318" s="30" t="str">
        <f aca="false">IF(AND(AQ318="利用可",AT318="利用可",AW318="利用可"),"利用可","不可")</f>
        <v>不可</v>
      </c>
    </row>
    <row r="319" customFormat="false" ht="15" hidden="false" customHeight="false" outlineLevel="0" collapsed="false">
      <c r="A319" s="29" t="n">
        <v>46245</v>
      </c>
      <c r="B319" s="30" t="n">
        <v>4</v>
      </c>
      <c r="C319" s="31" t="s">
        <v>67</v>
      </c>
      <c r="D319" s="31" t="s">
        <v>101</v>
      </c>
      <c r="E319" s="30" t="n">
        <v>60</v>
      </c>
      <c r="F319" s="30" t="n">
        <v>0</v>
      </c>
      <c r="G319" s="30" t="str">
        <f aca="false">IF(E319&lt;判定条件!$C$6,"判定不能",IF(F319&gt;=判定条件!$C$7*E319,"運転",IF(F319&lt;=判定条件!$C$8*E319,"停止","断続")))</f>
        <v>停止</v>
      </c>
      <c r="H319" s="30" t="n">
        <v>60</v>
      </c>
      <c r="I319" s="30" t="n">
        <v>0</v>
      </c>
      <c r="J319" s="30" t="str">
        <f aca="false">IF(H319&lt;判定条件!$C$6,"判定不能",IF(I319&gt;=判定条件!$C$7*H319,"運転",IF(I319&lt;=判定条件!$C$8*H319,"停止","断続")))</f>
        <v>停止</v>
      </c>
      <c r="K319" s="30" t="n">
        <v>60</v>
      </c>
      <c r="L319" s="30" t="n">
        <v>60</v>
      </c>
      <c r="M319" s="30" t="str">
        <f aca="false">IF(K319&lt;判定条件!$C$6,"判定不能",IF(L319&gt;=判定条件!$C$7*K319,"運転",IF(L319&lt;=判定条件!$C$8*K319,"停止","断続")))</f>
        <v>運転</v>
      </c>
      <c r="N319" s="30" t="n">
        <v>60</v>
      </c>
      <c r="O319" s="30" t="n">
        <v>0</v>
      </c>
      <c r="P319" s="30" t="str">
        <f aca="false">IF(N319&lt;判定条件!$C$6,"判定不能",IF(O319&gt;=判定条件!$C$7*N319,"運転",IF(O319&lt;=判定条件!$C$8*N319,"停止","断続")))</f>
        <v>停止</v>
      </c>
      <c r="Q319" s="30" t="n">
        <v>60</v>
      </c>
      <c r="R319" s="30" t="n">
        <v>0</v>
      </c>
      <c r="S319" s="30" t="str">
        <f aca="false">IF(Q319&lt;判定条件!$C$6,"判定不能",IF(R319&gt;=判定条件!$C$7*Q319,"運転",IF(R319&lt;=判定条件!$C$8*Q319,"停止","断続")))</f>
        <v>停止</v>
      </c>
      <c r="T319" s="30" t="n">
        <v>60</v>
      </c>
      <c r="U319" s="30" t="n">
        <v>0</v>
      </c>
      <c r="V319" s="30" t="str">
        <f aca="false">IF(T319&lt;判定条件!$C$6,"判定不能",IF(U319&gt;=判定条件!$C$7*T319,"運転",IF(U319&lt;=判定条件!$C$8*T319,"停止","断続")))</f>
        <v>停止</v>
      </c>
      <c r="W319" s="30" t="n">
        <v>60</v>
      </c>
      <c r="X319" s="30" t="n">
        <v>0</v>
      </c>
      <c r="Y319" s="30" t="str">
        <f aca="false">IF(W319&lt;判定条件!$C$6,"判定不能",IF(X319&gt;=判定条件!$C$7*W319,"運転",IF(X319&lt;=判定条件!$C$8*W319,"停止","断続")))</f>
        <v>停止</v>
      </c>
      <c r="Z319" s="30" t="n">
        <v>60</v>
      </c>
      <c r="AA319" s="30" t="n">
        <v>0</v>
      </c>
      <c r="AB319" s="30" t="str">
        <f aca="false">IF(Z319&lt;判定条件!$C$6,"判定不能",IF(AA319&gt;=判定条件!$C$7*Z319,"運転",IF(AA319&lt;=判定条件!$C$8*Z319,"停止","断続")))</f>
        <v>停止</v>
      </c>
      <c r="AC319" s="30" t="n">
        <v>60</v>
      </c>
      <c r="AD319" s="30" t="n">
        <v>0</v>
      </c>
      <c r="AE319" s="30" t="str">
        <f aca="false">IF(AC319&lt;判定条件!$C$6,"判定不能",IF(AD319&gt;=判定条件!$C$7*AC319,"運転",IF(AD319&lt;=判定条件!$C$8*AC319,"停止","断続")))</f>
        <v>停止</v>
      </c>
      <c r="AF319" s="30" t="n">
        <v>60</v>
      </c>
      <c r="AG319" s="30" t="n">
        <v>0</v>
      </c>
      <c r="AH319" s="30" t="str">
        <f aca="false">IF(OR(P319="判定不能",G319="判定不能"),"判定不能",IF(AG319&gt;=判定条件!$C$9,"利用可",IF(AND(P319="停止",G319="停止"),"両方停止","運転がそろわない")))</f>
        <v>両方停止</v>
      </c>
      <c r="AI319" s="30" t="n">
        <v>60</v>
      </c>
      <c r="AJ319" s="30" t="n">
        <v>0</v>
      </c>
      <c r="AK319" s="30" t="str">
        <f aca="false">IF(OR(S319="判定不能",J319="判定不能"),"判定不能",IF(AJ319&gt;=判定条件!$C$9,"利用可",IF(AND(S319="停止",J319="停止"),"両方停止","運転がそろわない")))</f>
        <v>両方停止</v>
      </c>
      <c r="AL319" s="30" t="n">
        <v>60</v>
      </c>
      <c r="AM319" s="30" t="n">
        <v>0</v>
      </c>
      <c r="AN319" s="30" t="str">
        <f aca="false">IF(OR(V319="判定不能",M319="判定不能"),"判定不能",IF(AM319&gt;=判定条件!$C$9,"利用可",IF(AND(V319="停止",M319="停止"),"両方停止","運転がそろわない")))</f>
        <v>運転がそろわない</v>
      </c>
      <c r="AO319" s="30" t="n">
        <v>60</v>
      </c>
      <c r="AP319" s="30" t="n">
        <v>0</v>
      </c>
      <c r="AQ319" s="30" t="str">
        <f aca="false">IF(OR(Y319="判定不能",G319="判定不能"),"判定不能",IF(AP319&gt;=判定条件!$C$9,"利用可",IF(AND(Y319="停止",G319="停止"),"両方停止","運転がそろわない")))</f>
        <v>両方停止</v>
      </c>
      <c r="AR319" s="30" t="n">
        <v>60</v>
      </c>
      <c r="AS319" s="30" t="n">
        <v>0</v>
      </c>
      <c r="AT319" s="30" t="str">
        <f aca="false">IF(OR(AB319="判定不能",J319="判定不能"),"判定不能",IF(AS319&gt;=判定条件!$C$9,"利用可",IF(AND(AB319="停止",J319="停止"),"両方停止","運転がそろわない")))</f>
        <v>両方停止</v>
      </c>
      <c r="AU319" s="30" t="n">
        <v>60</v>
      </c>
      <c r="AV319" s="30" t="n">
        <v>0</v>
      </c>
      <c r="AW319" s="30" t="str">
        <f aca="false">IF(OR(AE319="判定不能",M319="判定不能"),"判定不能",IF(AV319&gt;=判定条件!$C$9,"利用可",IF(AND(AE319="停止",M319="停止"),"両方停止","運転がそろわない")))</f>
        <v>運転がそろわない</v>
      </c>
      <c r="AX319" s="30" t="str">
        <f aca="false">IF(AND(AH319="利用可",AK319="利用可",AN319="利用可"),"利用可","不可")</f>
        <v>不可</v>
      </c>
      <c r="AY319" s="30" t="str">
        <f aca="false">IF(AND(AQ319="利用可",AT319="利用可",AW319="利用可"),"利用可","不可")</f>
        <v>不可</v>
      </c>
    </row>
    <row r="320" customFormat="false" ht="15" hidden="false" customHeight="false" outlineLevel="0" collapsed="false">
      <c r="A320" s="29" t="n">
        <v>46245</v>
      </c>
      <c r="B320" s="30" t="n">
        <v>5</v>
      </c>
      <c r="C320" s="31" t="s">
        <v>67</v>
      </c>
      <c r="D320" s="31" t="s">
        <v>101</v>
      </c>
      <c r="E320" s="30" t="n">
        <v>60</v>
      </c>
      <c r="F320" s="30" t="n">
        <v>0</v>
      </c>
      <c r="G320" s="30" t="str">
        <f aca="false">IF(E320&lt;判定条件!$C$6,"判定不能",IF(F320&gt;=判定条件!$C$7*E320,"運転",IF(F320&lt;=判定条件!$C$8*E320,"停止","断続")))</f>
        <v>停止</v>
      </c>
      <c r="H320" s="30" t="n">
        <v>60</v>
      </c>
      <c r="I320" s="30" t="n">
        <v>0</v>
      </c>
      <c r="J320" s="30" t="str">
        <f aca="false">IF(H320&lt;判定条件!$C$6,"判定不能",IF(I320&gt;=判定条件!$C$7*H320,"運転",IF(I320&lt;=判定条件!$C$8*H320,"停止","断続")))</f>
        <v>停止</v>
      </c>
      <c r="K320" s="30" t="n">
        <v>60</v>
      </c>
      <c r="L320" s="30" t="n">
        <v>60</v>
      </c>
      <c r="M320" s="30" t="str">
        <f aca="false">IF(K320&lt;判定条件!$C$6,"判定不能",IF(L320&gt;=判定条件!$C$7*K320,"運転",IF(L320&lt;=判定条件!$C$8*K320,"停止","断続")))</f>
        <v>運転</v>
      </c>
      <c r="N320" s="30" t="n">
        <v>60</v>
      </c>
      <c r="O320" s="30" t="n">
        <v>0</v>
      </c>
      <c r="P320" s="30" t="str">
        <f aca="false">IF(N320&lt;判定条件!$C$6,"判定不能",IF(O320&gt;=判定条件!$C$7*N320,"運転",IF(O320&lt;=判定条件!$C$8*N320,"停止","断続")))</f>
        <v>停止</v>
      </c>
      <c r="Q320" s="30" t="n">
        <v>60</v>
      </c>
      <c r="R320" s="30" t="n">
        <v>0</v>
      </c>
      <c r="S320" s="30" t="str">
        <f aca="false">IF(Q320&lt;判定条件!$C$6,"判定不能",IF(R320&gt;=判定条件!$C$7*Q320,"運転",IF(R320&lt;=判定条件!$C$8*Q320,"停止","断続")))</f>
        <v>停止</v>
      </c>
      <c r="T320" s="30" t="n">
        <v>60</v>
      </c>
      <c r="U320" s="30" t="n">
        <v>0</v>
      </c>
      <c r="V320" s="30" t="str">
        <f aca="false">IF(T320&lt;判定条件!$C$6,"判定不能",IF(U320&gt;=判定条件!$C$7*T320,"運転",IF(U320&lt;=判定条件!$C$8*T320,"停止","断続")))</f>
        <v>停止</v>
      </c>
      <c r="W320" s="30" t="n">
        <v>60</v>
      </c>
      <c r="X320" s="30" t="n">
        <v>0</v>
      </c>
      <c r="Y320" s="30" t="str">
        <f aca="false">IF(W320&lt;判定条件!$C$6,"判定不能",IF(X320&gt;=判定条件!$C$7*W320,"運転",IF(X320&lt;=判定条件!$C$8*W320,"停止","断続")))</f>
        <v>停止</v>
      </c>
      <c r="Z320" s="30" t="n">
        <v>60</v>
      </c>
      <c r="AA320" s="30" t="n">
        <v>0</v>
      </c>
      <c r="AB320" s="30" t="str">
        <f aca="false">IF(Z320&lt;判定条件!$C$6,"判定不能",IF(AA320&gt;=判定条件!$C$7*Z320,"運転",IF(AA320&lt;=判定条件!$C$8*Z320,"停止","断続")))</f>
        <v>停止</v>
      </c>
      <c r="AC320" s="30" t="n">
        <v>60</v>
      </c>
      <c r="AD320" s="30" t="n">
        <v>0</v>
      </c>
      <c r="AE320" s="30" t="str">
        <f aca="false">IF(AC320&lt;判定条件!$C$6,"判定不能",IF(AD320&gt;=判定条件!$C$7*AC320,"運転",IF(AD320&lt;=判定条件!$C$8*AC320,"停止","断続")))</f>
        <v>停止</v>
      </c>
      <c r="AF320" s="30" t="n">
        <v>60</v>
      </c>
      <c r="AG320" s="30" t="n">
        <v>0</v>
      </c>
      <c r="AH320" s="30" t="str">
        <f aca="false">IF(OR(P320="判定不能",G320="判定不能"),"判定不能",IF(AG320&gt;=判定条件!$C$9,"利用可",IF(AND(P320="停止",G320="停止"),"両方停止","運転がそろわない")))</f>
        <v>両方停止</v>
      </c>
      <c r="AI320" s="30" t="n">
        <v>60</v>
      </c>
      <c r="AJ320" s="30" t="n">
        <v>0</v>
      </c>
      <c r="AK320" s="30" t="str">
        <f aca="false">IF(OR(S320="判定不能",J320="判定不能"),"判定不能",IF(AJ320&gt;=判定条件!$C$9,"利用可",IF(AND(S320="停止",J320="停止"),"両方停止","運転がそろわない")))</f>
        <v>両方停止</v>
      </c>
      <c r="AL320" s="30" t="n">
        <v>60</v>
      </c>
      <c r="AM320" s="30" t="n">
        <v>0</v>
      </c>
      <c r="AN320" s="30" t="str">
        <f aca="false">IF(OR(V320="判定不能",M320="判定不能"),"判定不能",IF(AM320&gt;=判定条件!$C$9,"利用可",IF(AND(V320="停止",M320="停止"),"両方停止","運転がそろわない")))</f>
        <v>運転がそろわない</v>
      </c>
      <c r="AO320" s="30" t="n">
        <v>60</v>
      </c>
      <c r="AP320" s="30" t="n">
        <v>0</v>
      </c>
      <c r="AQ320" s="30" t="str">
        <f aca="false">IF(OR(Y320="判定不能",G320="判定不能"),"判定不能",IF(AP320&gt;=判定条件!$C$9,"利用可",IF(AND(Y320="停止",G320="停止"),"両方停止","運転がそろわない")))</f>
        <v>両方停止</v>
      </c>
      <c r="AR320" s="30" t="n">
        <v>60</v>
      </c>
      <c r="AS320" s="30" t="n">
        <v>0</v>
      </c>
      <c r="AT320" s="30" t="str">
        <f aca="false">IF(OR(AB320="判定不能",J320="判定不能"),"判定不能",IF(AS320&gt;=判定条件!$C$9,"利用可",IF(AND(AB320="停止",J320="停止"),"両方停止","運転がそろわない")))</f>
        <v>両方停止</v>
      </c>
      <c r="AU320" s="30" t="n">
        <v>60</v>
      </c>
      <c r="AV320" s="30" t="n">
        <v>0</v>
      </c>
      <c r="AW320" s="30" t="str">
        <f aca="false">IF(OR(AE320="判定不能",M320="判定不能"),"判定不能",IF(AV320&gt;=判定条件!$C$9,"利用可",IF(AND(AE320="停止",M320="停止"),"両方停止","運転がそろわない")))</f>
        <v>運転がそろわない</v>
      </c>
      <c r="AX320" s="30" t="str">
        <f aca="false">IF(AND(AH320="利用可",AK320="利用可",AN320="利用可"),"利用可","不可")</f>
        <v>不可</v>
      </c>
      <c r="AY320" s="30" t="str">
        <f aca="false">IF(AND(AQ320="利用可",AT320="利用可",AW320="利用可"),"利用可","不可")</f>
        <v>不可</v>
      </c>
    </row>
    <row r="321" customFormat="false" ht="15" hidden="false" customHeight="false" outlineLevel="0" collapsed="false">
      <c r="A321" s="29" t="n">
        <v>46245</v>
      </c>
      <c r="B321" s="30" t="n">
        <v>6</v>
      </c>
      <c r="C321" s="31" t="s">
        <v>67</v>
      </c>
      <c r="D321" s="31" t="s">
        <v>101</v>
      </c>
      <c r="E321" s="30" t="n">
        <v>60</v>
      </c>
      <c r="F321" s="30" t="n">
        <v>0</v>
      </c>
      <c r="G321" s="30" t="str">
        <f aca="false">IF(E321&lt;判定条件!$C$6,"判定不能",IF(F321&gt;=判定条件!$C$7*E321,"運転",IF(F321&lt;=判定条件!$C$8*E321,"停止","断続")))</f>
        <v>停止</v>
      </c>
      <c r="H321" s="30" t="n">
        <v>60</v>
      </c>
      <c r="I321" s="30" t="n">
        <v>0</v>
      </c>
      <c r="J321" s="30" t="str">
        <f aca="false">IF(H321&lt;判定条件!$C$6,"判定不能",IF(I321&gt;=判定条件!$C$7*H321,"運転",IF(I321&lt;=判定条件!$C$8*H321,"停止","断続")))</f>
        <v>停止</v>
      </c>
      <c r="K321" s="30" t="n">
        <v>60</v>
      </c>
      <c r="L321" s="30" t="n">
        <v>60</v>
      </c>
      <c r="M321" s="30" t="str">
        <f aca="false">IF(K321&lt;判定条件!$C$6,"判定不能",IF(L321&gt;=判定条件!$C$7*K321,"運転",IF(L321&lt;=判定条件!$C$8*K321,"停止","断続")))</f>
        <v>運転</v>
      </c>
      <c r="N321" s="30" t="n">
        <v>60</v>
      </c>
      <c r="O321" s="30" t="n">
        <v>0</v>
      </c>
      <c r="P321" s="30" t="str">
        <f aca="false">IF(N321&lt;判定条件!$C$6,"判定不能",IF(O321&gt;=判定条件!$C$7*N321,"運転",IF(O321&lt;=判定条件!$C$8*N321,"停止","断続")))</f>
        <v>停止</v>
      </c>
      <c r="Q321" s="30" t="n">
        <v>60</v>
      </c>
      <c r="R321" s="30" t="n">
        <v>0</v>
      </c>
      <c r="S321" s="30" t="str">
        <f aca="false">IF(Q321&lt;判定条件!$C$6,"判定不能",IF(R321&gt;=判定条件!$C$7*Q321,"運転",IF(R321&lt;=判定条件!$C$8*Q321,"停止","断続")))</f>
        <v>停止</v>
      </c>
      <c r="T321" s="30" t="n">
        <v>60</v>
      </c>
      <c r="U321" s="30" t="n">
        <v>0</v>
      </c>
      <c r="V321" s="30" t="str">
        <f aca="false">IF(T321&lt;判定条件!$C$6,"判定不能",IF(U321&gt;=判定条件!$C$7*T321,"運転",IF(U321&lt;=判定条件!$C$8*T321,"停止","断続")))</f>
        <v>停止</v>
      </c>
      <c r="W321" s="30" t="n">
        <v>60</v>
      </c>
      <c r="X321" s="30" t="n">
        <v>5</v>
      </c>
      <c r="Y321" s="30" t="str">
        <f aca="false">IF(W321&lt;判定条件!$C$6,"判定不能",IF(X321&gt;=判定条件!$C$7*W321,"運転",IF(X321&lt;=判定条件!$C$8*W321,"停止","断続")))</f>
        <v>停止</v>
      </c>
      <c r="Z321" s="30" t="n">
        <v>60</v>
      </c>
      <c r="AA321" s="30" t="n">
        <v>0</v>
      </c>
      <c r="AB321" s="30" t="str">
        <f aca="false">IF(Z321&lt;判定条件!$C$6,"判定不能",IF(AA321&gt;=判定条件!$C$7*Z321,"運転",IF(AA321&lt;=判定条件!$C$8*Z321,"停止","断続")))</f>
        <v>停止</v>
      </c>
      <c r="AC321" s="30" t="n">
        <v>60</v>
      </c>
      <c r="AD321" s="30" t="n">
        <v>0</v>
      </c>
      <c r="AE321" s="30" t="str">
        <f aca="false">IF(AC321&lt;判定条件!$C$6,"判定不能",IF(AD321&gt;=判定条件!$C$7*AC321,"運転",IF(AD321&lt;=判定条件!$C$8*AC321,"停止","断続")))</f>
        <v>停止</v>
      </c>
      <c r="AF321" s="30" t="n">
        <v>60</v>
      </c>
      <c r="AG321" s="30" t="n">
        <v>0</v>
      </c>
      <c r="AH321" s="30" t="str">
        <f aca="false">IF(OR(P321="判定不能",G321="判定不能"),"判定不能",IF(AG321&gt;=判定条件!$C$9,"利用可",IF(AND(P321="停止",G321="停止"),"両方停止","運転がそろわない")))</f>
        <v>両方停止</v>
      </c>
      <c r="AI321" s="30" t="n">
        <v>60</v>
      </c>
      <c r="AJ321" s="30" t="n">
        <v>0</v>
      </c>
      <c r="AK321" s="30" t="str">
        <f aca="false">IF(OR(S321="判定不能",J321="判定不能"),"判定不能",IF(AJ321&gt;=判定条件!$C$9,"利用可",IF(AND(S321="停止",J321="停止"),"両方停止","運転がそろわない")))</f>
        <v>両方停止</v>
      </c>
      <c r="AL321" s="30" t="n">
        <v>60</v>
      </c>
      <c r="AM321" s="30" t="n">
        <v>0</v>
      </c>
      <c r="AN321" s="30" t="str">
        <f aca="false">IF(OR(V321="判定不能",M321="判定不能"),"判定不能",IF(AM321&gt;=判定条件!$C$9,"利用可",IF(AND(V321="停止",M321="停止"),"両方停止","運転がそろわない")))</f>
        <v>運転がそろわない</v>
      </c>
      <c r="AO321" s="30" t="n">
        <v>60</v>
      </c>
      <c r="AP321" s="30" t="n">
        <v>0</v>
      </c>
      <c r="AQ321" s="30" t="str">
        <f aca="false">IF(OR(Y321="判定不能",G321="判定不能"),"判定不能",IF(AP321&gt;=判定条件!$C$9,"利用可",IF(AND(Y321="停止",G321="停止"),"両方停止","運転がそろわない")))</f>
        <v>両方停止</v>
      </c>
      <c r="AR321" s="30" t="n">
        <v>60</v>
      </c>
      <c r="AS321" s="30" t="n">
        <v>0</v>
      </c>
      <c r="AT321" s="30" t="str">
        <f aca="false">IF(OR(AB321="判定不能",J321="判定不能"),"判定不能",IF(AS321&gt;=判定条件!$C$9,"利用可",IF(AND(AB321="停止",J321="停止"),"両方停止","運転がそろわない")))</f>
        <v>両方停止</v>
      </c>
      <c r="AU321" s="30" t="n">
        <v>60</v>
      </c>
      <c r="AV321" s="30" t="n">
        <v>0</v>
      </c>
      <c r="AW321" s="30" t="str">
        <f aca="false">IF(OR(AE321="判定不能",M321="判定不能"),"判定不能",IF(AV321&gt;=判定条件!$C$9,"利用可",IF(AND(AE321="停止",M321="停止"),"両方停止","運転がそろわない")))</f>
        <v>運転がそろわない</v>
      </c>
      <c r="AX321" s="30" t="str">
        <f aca="false">IF(AND(AH321="利用可",AK321="利用可",AN321="利用可"),"利用可","不可")</f>
        <v>不可</v>
      </c>
      <c r="AY321" s="30" t="str">
        <f aca="false">IF(AND(AQ321="利用可",AT321="利用可",AW321="利用可"),"利用可","不可")</f>
        <v>不可</v>
      </c>
    </row>
    <row r="322" customFormat="false" ht="15" hidden="false" customHeight="false" outlineLevel="0" collapsed="false">
      <c r="A322" s="29" t="n">
        <v>46245</v>
      </c>
      <c r="B322" s="30" t="n">
        <v>7</v>
      </c>
      <c r="C322" s="31" t="s">
        <v>67</v>
      </c>
      <c r="D322" s="31" t="s">
        <v>101</v>
      </c>
      <c r="E322" s="30" t="n">
        <v>60</v>
      </c>
      <c r="F322" s="30" t="n">
        <v>0</v>
      </c>
      <c r="G322" s="30" t="str">
        <f aca="false">IF(E322&lt;判定条件!$C$6,"判定不能",IF(F322&gt;=判定条件!$C$7*E322,"運転",IF(F322&lt;=判定条件!$C$8*E322,"停止","断続")))</f>
        <v>停止</v>
      </c>
      <c r="H322" s="30" t="n">
        <v>60</v>
      </c>
      <c r="I322" s="30" t="n">
        <v>0</v>
      </c>
      <c r="J322" s="30" t="str">
        <f aca="false">IF(H322&lt;判定条件!$C$6,"判定不能",IF(I322&gt;=判定条件!$C$7*H322,"運転",IF(I322&lt;=判定条件!$C$8*H322,"停止","断続")))</f>
        <v>停止</v>
      </c>
      <c r="K322" s="30" t="n">
        <v>60</v>
      </c>
      <c r="L322" s="30" t="n">
        <v>60</v>
      </c>
      <c r="M322" s="30" t="str">
        <f aca="false">IF(K322&lt;判定条件!$C$6,"判定不能",IF(L322&gt;=判定条件!$C$7*K322,"運転",IF(L322&lt;=判定条件!$C$8*K322,"停止","断続")))</f>
        <v>運転</v>
      </c>
      <c r="N322" s="30" t="n">
        <v>60</v>
      </c>
      <c r="O322" s="30" t="n">
        <v>20</v>
      </c>
      <c r="P322" s="30" t="str">
        <f aca="false">IF(N322&lt;判定条件!$C$6,"判定不能",IF(O322&gt;=判定条件!$C$7*N322,"運転",IF(O322&lt;=判定条件!$C$8*N322,"停止","断続")))</f>
        <v>断続</v>
      </c>
      <c r="Q322" s="30" t="n">
        <v>60</v>
      </c>
      <c r="R322" s="30" t="n">
        <v>0</v>
      </c>
      <c r="S322" s="30" t="str">
        <f aca="false">IF(Q322&lt;判定条件!$C$6,"判定不能",IF(R322&gt;=判定条件!$C$7*Q322,"運転",IF(R322&lt;=判定条件!$C$8*Q322,"停止","断続")))</f>
        <v>停止</v>
      </c>
      <c r="T322" s="30" t="n">
        <v>60</v>
      </c>
      <c r="U322" s="30" t="n">
        <v>0</v>
      </c>
      <c r="V322" s="30" t="str">
        <f aca="false">IF(T322&lt;判定条件!$C$6,"判定不能",IF(U322&gt;=判定条件!$C$7*T322,"運転",IF(U322&lt;=判定条件!$C$8*T322,"停止","断続")))</f>
        <v>停止</v>
      </c>
      <c r="W322" s="30" t="n">
        <v>60</v>
      </c>
      <c r="X322" s="30" t="n">
        <v>60</v>
      </c>
      <c r="Y322" s="30" t="str">
        <f aca="false">IF(W322&lt;判定条件!$C$6,"判定不能",IF(X322&gt;=判定条件!$C$7*W322,"運転",IF(X322&lt;=判定条件!$C$8*W322,"停止","断続")))</f>
        <v>運転</v>
      </c>
      <c r="Z322" s="30" t="n">
        <v>60</v>
      </c>
      <c r="AA322" s="30" t="n">
        <v>53</v>
      </c>
      <c r="AB322" s="30" t="str">
        <f aca="false">IF(Z322&lt;判定条件!$C$6,"判定不能",IF(AA322&gt;=判定条件!$C$7*Z322,"運転",IF(AA322&lt;=判定条件!$C$8*Z322,"停止","断続")))</f>
        <v>運転</v>
      </c>
      <c r="AC322" s="30" t="n">
        <v>60</v>
      </c>
      <c r="AD322" s="30" t="n">
        <v>56</v>
      </c>
      <c r="AE322" s="30" t="str">
        <f aca="false">IF(AC322&lt;判定条件!$C$6,"判定不能",IF(AD322&gt;=判定条件!$C$7*AC322,"運転",IF(AD322&lt;=判定条件!$C$8*AC322,"停止","断続")))</f>
        <v>運転</v>
      </c>
      <c r="AF322" s="30" t="n">
        <v>60</v>
      </c>
      <c r="AG322" s="30" t="n">
        <v>0</v>
      </c>
      <c r="AH322" s="30" t="str">
        <f aca="false">IF(OR(P322="判定不能",G322="判定不能"),"判定不能",IF(AG322&gt;=判定条件!$C$9,"利用可",IF(AND(P322="停止",G322="停止"),"両方停止","運転がそろわない")))</f>
        <v>運転がそろわない</v>
      </c>
      <c r="AI322" s="30" t="n">
        <v>60</v>
      </c>
      <c r="AJ322" s="30" t="n">
        <v>0</v>
      </c>
      <c r="AK322" s="30" t="str">
        <f aca="false">IF(OR(S322="判定不能",J322="判定不能"),"判定不能",IF(AJ322&gt;=判定条件!$C$9,"利用可",IF(AND(S322="停止",J322="停止"),"両方停止","運転がそろわない")))</f>
        <v>両方停止</v>
      </c>
      <c r="AL322" s="30" t="n">
        <v>60</v>
      </c>
      <c r="AM322" s="30" t="n">
        <v>0</v>
      </c>
      <c r="AN322" s="30" t="str">
        <f aca="false">IF(OR(V322="判定不能",M322="判定不能"),"判定不能",IF(AM322&gt;=判定条件!$C$9,"利用可",IF(AND(V322="停止",M322="停止"),"両方停止","運転がそろわない")))</f>
        <v>運転がそろわない</v>
      </c>
      <c r="AO322" s="30" t="n">
        <v>60</v>
      </c>
      <c r="AP322" s="30" t="n">
        <v>0</v>
      </c>
      <c r="AQ322" s="30" t="str">
        <f aca="false">IF(OR(Y322="判定不能",G322="判定不能"),"判定不能",IF(AP322&gt;=判定条件!$C$9,"利用可",IF(AND(Y322="停止",G322="停止"),"両方停止","運転がそろわない")))</f>
        <v>運転がそろわない</v>
      </c>
      <c r="AR322" s="30" t="n">
        <v>60</v>
      </c>
      <c r="AS322" s="30" t="n">
        <v>0</v>
      </c>
      <c r="AT322" s="30" t="str">
        <f aca="false">IF(OR(AB322="判定不能",J322="判定不能"),"判定不能",IF(AS322&gt;=判定条件!$C$9,"利用可",IF(AND(AB322="停止",J322="停止"),"両方停止","運転がそろわない")))</f>
        <v>運転がそろわない</v>
      </c>
      <c r="AU322" s="30" t="n">
        <v>60</v>
      </c>
      <c r="AV322" s="30" t="n">
        <v>56</v>
      </c>
      <c r="AW322" s="30" t="str">
        <f aca="false">IF(OR(AE322="判定不能",M322="判定不能"),"判定不能",IF(AV322&gt;=判定条件!$C$9,"利用可",IF(AND(AE322="停止",M322="停止"),"両方停止","運転がそろわない")))</f>
        <v>利用可</v>
      </c>
      <c r="AX322" s="30" t="str">
        <f aca="false">IF(AND(AH322="利用可",AK322="利用可",AN322="利用可"),"利用可","不可")</f>
        <v>不可</v>
      </c>
      <c r="AY322" s="30" t="str">
        <f aca="false">IF(AND(AQ322="利用可",AT322="利用可",AW322="利用可"),"利用可","不可")</f>
        <v>不可</v>
      </c>
    </row>
    <row r="323" customFormat="false" ht="15" hidden="false" customHeight="false" outlineLevel="0" collapsed="false">
      <c r="A323" s="29" t="n">
        <v>46245</v>
      </c>
      <c r="B323" s="30" t="n">
        <v>8</v>
      </c>
      <c r="C323" s="31" t="s">
        <v>67</v>
      </c>
      <c r="D323" s="31" t="s">
        <v>101</v>
      </c>
      <c r="E323" s="30" t="n">
        <v>60</v>
      </c>
      <c r="F323" s="30" t="n">
        <v>0</v>
      </c>
      <c r="G323" s="30" t="str">
        <f aca="false">IF(E323&lt;判定条件!$C$6,"判定不能",IF(F323&gt;=判定条件!$C$7*E323,"運転",IF(F323&lt;=判定条件!$C$8*E323,"停止","断続")))</f>
        <v>停止</v>
      </c>
      <c r="H323" s="30" t="n">
        <v>60</v>
      </c>
      <c r="I323" s="30" t="n">
        <v>0</v>
      </c>
      <c r="J323" s="30" t="str">
        <f aca="false">IF(H323&lt;判定条件!$C$6,"判定不能",IF(I323&gt;=判定条件!$C$7*H323,"運転",IF(I323&lt;=判定条件!$C$8*H323,"停止","断続")))</f>
        <v>停止</v>
      </c>
      <c r="K323" s="30" t="n">
        <v>60</v>
      </c>
      <c r="L323" s="30" t="n">
        <v>60</v>
      </c>
      <c r="M323" s="30" t="str">
        <f aca="false">IF(K323&lt;判定条件!$C$6,"判定不能",IF(L323&gt;=判定条件!$C$7*K323,"運転",IF(L323&lt;=判定条件!$C$8*K323,"停止","断続")))</f>
        <v>運転</v>
      </c>
      <c r="N323" s="30" t="n">
        <v>60</v>
      </c>
      <c r="O323" s="30" t="n">
        <v>45</v>
      </c>
      <c r="P323" s="30" t="str">
        <f aca="false">IF(N323&lt;判定条件!$C$6,"判定不能",IF(O323&gt;=判定条件!$C$7*N323,"運転",IF(O323&lt;=判定条件!$C$8*N323,"停止","断続")))</f>
        <v>断続</v>
      </c>
      <c r="Q323" s="30" t="n">
        <v>60</v>
      </c>
      <c r="R323" s="30" t="n">
        <v>8</v>
      </c>
      <c r="S323" s="30" t="str">
        <f aca="false">IF(Q323&lt;判定条件!$C$6,"判定不能",IF(R323&gt;=判定条件!$C$7*Q323,"運転",IF(R323&lt;=判定条件!$C$8*Q323,"停止","断続")))</f>
        <v>停止</v>
      </c>
      <c r="T323" s="30" t="n">
        <v>60</v>
      </c>
      <c r="U323" s="30" t="n">
        <v>41</v>
      </c>
      <c r="V323" s="30" t="str">
        <f aca="false">IF(T323&lt;判定条件!$C$6,"判定不能",IF(U323&gt;=判定条件!$C$7*T323,"運転",IF(U323&lt;=判定条件!$C$8*T323,"停止","断続")))</f>
        <v>断続</v>
      </c>
      <c r="W323" s="30" t="n">
        <v>60</v>
      </c>
      <c r="X323" s="30" t="n">
        <v>60</v>
      </c>
      <c r="Y323" s="30" t="str">
        <f aca="false">IF(W323&lt;判定条件!$C$6,"判定不能",IF(X323&gt;=判定条件!$C$7*W323,"運転",IF(X323&lt;=判定条件!$C$8*W323,"停止","断続")))</f>
        <v>運転</v>
      </c>
      <c r="Z323" s="30" t="n">
        <v>60</v>
      </c>
      <c r="AA323" s="30" t="n">
        <v>33</v>
      </c>
      <c r="AB323" s="30" t="str">
        <f aca="false">IF(Z323&lt;判定条件!$C$6,"判定不能",IF(AA323&gt;=判定条件!$C$7*Z323,"運転",IF(AA323&lt;=判定条件!$C$8*Z323,"停止","断続")))</f>
        <v>断続</v>
      </c>
      <c r="AC323" s="30" t="n">
        <v>60</v>
      </c>
      <c r="AD323" s="30" t="n">
        <v>60</v>
      </c>
      <c r="AE323" s="30" t="str">
        <f aca="false">IF(AC323&lt;判定条件!$C$6,"判定不能",IF(AD323&gt;=判定条件!$C$7*AC323,"運転",IF(AD323&lt;=判定条件!$C$8*AC323,"停止","断続")))</f>
        <v>運転</v>
      </c>
      <c r="AF323" s="30" t="n">
        <v>60</v>
      </c>
      <c r="AG323" s="30" t="n">
        <v>0</v>
      </c>
      <c r="AH323" s="30" t="str">
        <f aca="false">IF(OR(P323="判定不能",G323="判定不能"),"判定不能",IF(AG323&gt;=判定条件!$C$9,"利用可",IF(AND(P323="停止",G323="停止"),"両方停止","運転がそろわない")))</f>
        <v>運転がそろわない</v>
      </c>
      <c r="AI323" s="30" t="n">
        <v>60</v>
      </c>
      <c r="AJ323" s="30" t="n">
        <v>0</v>
      </c>
      <c r="AK323" s="30" t="str">
        <f aca="false">IF(OR(S323="判定不能",J323="判定不能"),"判定不能",IF(AJ323&gt;=判定条件!$C$9,"利用可",IF(AND(S323="停止",J323="停止"),"両方停止","運転がそろわない")))</f>
        <v>両方停止</v>
      </c>
      <c r="AL323" s="30" t="n">
        <v>60</v>
      </c>
      <c r="AM323" s="30" t="n">
        <v>41</v>
      </c>
      <c r="AN323" s="30" t="str">
        <f aca="false">IF(OR(V323="判定不能",M323="判定不能"),"判定不能",IF(AM323&gt;=判定条件!$C$9,"利用可",IF(AND(V323="停止",M323="停止"),"両方停止","運転がそろわない")))</f>
        <v>利用可</v>
      </c>
      <c r="AO323" s="30" t="n">
        <v>60</v>
      </c>
      <c r="AP323" s="30" t="n">
        <v>0</v>
      </c>
      <c r="AQ323" s="30" t="str">
        <f aca="false">IF(OR(Y323="判定不能",G323="判定不能"),"判定不能",IF(AP323&gt;=判定条件!$C$9,"利用可",IF(AND(Y323="停止",G323="停止"),"両方停止","運転がそろわない")))</f>
        <v>運転がそろわない</v>
      </c>
      <c r="AR323" s="30" t="n">
        <v>60</v>
      </c>
      <c r="AS323" s="30" t="n">
        <v>0</v>
      </c>
      <c r="AT323" s="30" t="str">
        <f aca="false">IF(OR(AB323="判定不能",J323="判定不能"),"判定不能",IF(AS323&gt;=判定条件!$C$9,"利用可",IF(AND(AB323="停止",J323="停止"),"両方停止","運転がそろわない")))</f>
        <v>運転がそろわない</v>
      </c>
      <c r="AU323" s="30" t="n">
        <v>60</v>
      </c>
      <c r="AV323" s="30" t="n">
        <v>60</v>
      </c>
      <c r="AW323" s="30" t="str">
        <f aca="false">IF(OR(AE323="判定不能",M323="判定不能"),"判定不能",IF(AV323&gt;=判定条件!$C$9,"利用可",IF(AND(AE323="停止",M323="停止"),"両方停止","運転がそろわない")))</f>
        <v>利用可</v>
      </c>
      <c r="AX323" s="30" t="str">
        <f aca="false">IF(AND(AH323="利用可",AK323="利用可",AN323="利用可"),"利用可","不可")</f>
        <v>不可</v>
      </c>
      <c r="AY323" s="30" t="str">
        <f aca="false">IF(AND(AQ323="利用可",AT323="利用可",AW323="利用可"),"利用可","不可")</f>
        <v>不可</v>
      </c>
    </row>
    <row r="324" customFormat="false" ht="15" hidden="false" customHeight="false" outlineLevel="0" collapsed="false">
      <c r="A324" s="29" t="n">
        <v>46245</v>
      </c>
      <c r="B324" s="30" t="n">
        <v>9</v>
      </c>
      <c r="C324" s="31" t="s">
        <v>67</v>
      </c>
      <c r="D324" s="31" t="s">
        <v>101</v>
      </c>
      <c r="E324" s="30" t="n">
        <v>60</v>
      </c>
      <c r="F324" s="30" t="n">
        <v>34</v>
      </c>
      <c r="G324" s="30" t="str">
        <f aca="false">IF(E324&lt;判定条件!$C$6,"判定不能",IF(F324&gt;=判定条件!$C$7*E324,"運転",IF(F324&lt;=判定条件!$C$8*E324,"停止","断続")))</f>
        <v>断続</v>
      </c>
      <c r="H324" s="30" t="n">
        <v>60</v>
      </c>
      <c r="I324" s="30" t="n">
        <v>34</v>
      </c>
      <c r="J324" s="30" t="str">
        <f aca="false">IF(H324&lt;判定条件!$C$6,"判定不能",IF(I324&gt;=判定条件!$C$7*H324,"運転",IF(I324&lt;=判定条件!$C$8*H324,"停止","断続")))</f>
        <v>断続</v>
      </c>
      <c r="K324" s="30" t="n">
        <v>60</v>
      </c>
      <c r="L324" s="30" t="n">
        <v>60</v>
      </c>
      <c r="M324" s="30" t="str">
        <f aca="false">IF(K324&lt;判定条件!$C$6,"判定不能",IF(L324&gt;=判定条件!$C$7*K324,"運転",IF(L324&lt;=判定条件!$C$8*K324,"停止","断続")))</f>
        <v>運転</v>
      </c>
      <c r="N324" s="30" t="n">
        <v>60</v>
      </c>
      <c r="O324" s="30" t="n">
        <v>34</v>
      </c>
      <c r="P324" s="30" t="str">
        <f aca="false">IF(N324&lt;判定条件!$C$6,"判定不能",IF(O324&gt;=判定条件!$C$7*N324,"運転",IF(O324&lt;=判定条件!$C$8*N324,"停止","断続")))</f>
        <v>断続</v>
      </c>
      <c r="Q324" s="30" t="n">
        <v>60</v>
      </c>
      <c r="R324" s="30" t="n">
        <v>0</v>
      </c>
      <c r="S324" s="30" t="str">
        <f aca="false">IF(Q324&lt;判定条件!$C$6,"判定不能",IF(R324&gt;=判定条件!$C$7*Q324,"運転",IF(R324&lt;=判定条件!$C$8*Q324,"停止","断続")))</f>
        <v>停止</v>
      </c>
      <c r="T324" s="30" t="n">
        <v>60</v>
      </c>
      <c r="U324" s="30" t="n">
        <v>40</v>
      </c>
      <c r="V324" s="30" t="str">
        <f aca="false">IF(T324&lt;判定条件!$C$6,"判定不能",IF(U324&gt;=判定条件!$C$7*T324,"運転",IF(U324&lt;=判定条件!$C$8*T324,"停止","断続")))</f>
        <v>断続</v>
      </c>
      <c r="W324" s="30" t="n">
        <v>60</v>
      </c>
      <c r="X324" s="30" t="n">
        <v>60</v>
      </c>
      <c r="Y324" s="30" t="str">
        <f aca="false">IF(W324&lt;判定条件!$C$6,"判定不能",IF(X324&gt;=判定条件!$C$7*W324,"運転",IF(X324&lt;=判定条件!$C$8*W324,"停止","断続")))</f>
        <v>運転</v>
      </c>
      <c r="Z324" s="30" t="n">
        <v>60</v>
      </c>
      <c r="AA324" s="30" t="n">
        <v>41</v>
      </c>
      <c r="AB324" s="30" t="str">
        <f aca="false">IF(Z324&lt;判定条件!$C$6,"判定不能",IF(AA324&gt;=判定条件!$C$7*Z324,"運転",IF(AA324&lt;=判定条件!$C$8*Z324,"停止","断続")))</f>
        <v>断続</v>
      </c>
      <c r="AC324" s="30" t="n">
        <v>60</v>
      </c>
      <c r="AD324" s="30" t="n">
        <v>60</v>
      </c>
      <c r="AE324" s="30" t="str">
        <f aca="false">IF(AC324&lt;判定条件!$C$6,"判定不能",IF(AD324&gt;=判定条件!$C$7*AC324,"運転",IF(AD324&lt;=判定条件!$C$8*AC324,"停止","断続")))</f>
        <v>運転</v>
      </c>
      <c r="AF324" s="30" t="n">
        <v>60</v>
      </c>
      <c r="AG324" s="30" t="n">
        <v>12</v>
      </c>
      <c r="AH324" s="30" t="str">
        <f aca="false">IF(OR(P324="判定不能",G324="判定不能"),"判定不能",IF(AG324&gt;=判定条件!$C$9,"利用可",IF(AND(P324="停止",G324="停止"),"両方停止","運転がそろわない")))</f>
        <v>運転がそろわない</v>
      </c>
      <c r="AI324" s="30" t="n">
        <v>60</v>
      </c>
      <c r="AJ324" s="30" t="n">
        <v>0</v>
      </c>
      <c r="AK324" s="30" t="str">
        <f aca="false">IF(OR(S324="判定不能",J324="判定不能"),"判定不能",IF(AJ324&gt;=判定条件!$C$9,"利用可",IF(AND(S324="停止",J324="停止"),"両方停止","運転がそろわない")))</f>
        <v>運転がそろわない</v>
      </c>
      <c r="AL324" s="30" t="n">
        <v>60</v>
      </c>
      <c r="AM324" s="30" t="n">
        <v>40</v>
      </c>
      <c r="AN324" s="30" t="str">
        <f aca="false">IF(OR(V324="判定不能",M324="判定不能"),"判定不能",IF(AM324&gt;=判定条件!$C$9,"利用可",IF(AND(V324="停止",M324="停止"),"両方停止","運転がそろわない")))</f>
        <v>利用可</v>
      </c>
      <c r="AO324" s="30" t="n">
        <v>60</v>
      </c>
      <c r="AP324" s="30" t="n">
        <v>34</v>
      </c>
      <c r="AQ324" s="30" t="str">
        <f aca="false">IF(OR(Y324="判定不能",G324="判定不能"),"判定不能",IF(AP324&gt;=判定条件!$C$9,"利用可",IF(AND(Y324="停止",G324="停止"),"両方停止","運転がそろわない")))</f>
        <v>利用可</v>
      </c>
      <c r="AR324" s="30" t="n">
        <v>60</v>
      </c>
      <c r="AS324" s="30" t="n">
        <v>15</v>
      </c>
      <c r="AT324" s="30" t="str">
        <f aca="false">IF(OR(AB324="判定不能",J324="判定不能"),"判定不能",IF(AS324&gt;=判定条件!$C$9,"利用可",IF(AND(AB324="停止",J324="停止"),"両方停止","運転がそろわない")))</f>
        <v>運転がそろわない</v>
      </c>
      <c r="AU324" s="30" t="n">
        <v>60</v>
      </c>
      <c r="AV324" s="30" t="n">
        <v>60</v>
      </c>
      <c r="AW324" s="30" t="str">
        <f aca="false">IF(OR(AE324="判定不能",M324="判定不能"),"判定不能",IF(AV324&gt;=判定条件!$C$9,"利用可",IF(AND(AE324="停止",M324="停止"),"両方停止","運転がそろわない")))</f>
        <v>利用可</v>
      </c>
      <c r="AX324" s="30" t="str">
        <f aca="false">IF(AND(AH324="利用可",AK324="利用可",AN324="利用可"),"利用可","不可")</f>
        <v>不可</v>
      </c>
      <c r="AY324" s="30" t="str">
        <f aca="false">IF(AND(AQ324="利用可",AT324="利用可",AW324="利用可"),"利用可","不可")</f>
        <v>不可</v>
      </c>
    </row>
    <row r="325" customFormat="false" ht="15" hidden="false" customHeight="false" outlineLevel="0" collapsed="false">
      <c r="A325" s="29" t="n">
        <v>46245</v>
      </c>
      <c r="B325" s="30" t="n">
        <v>10</v>
      </c>
      <c r="C325" s="31" t="s">
        <v>67</v>
      </c>
      <c r="D325" s="31" t="s">
        <v>101</v>
      </c>
      <c r="E325" s="30" t="n">
        <v>60</v>
      </c>
      <c r="F325" s="30" t="n">
        <v>60</v>
      </c>
      <c r="G325" s="30" t="str">
        <f aca="false">IF(E325&lt;判定条件!$C$6,"判定不能",IF(F325&gt;=判定条件!$C$7*E325,"運転",IF(F325&lt;=判定条件!$C$8*E325,"停止","断続")))</f>
        <v>運転</v>
      </c>
      <c r="H325" s="30" t="n">
        <v>60</v>
      </c>
      <c r="I325" s="30" t="n">
        <v>60</v>
      </c>
      <c r="J325" s="30" t="str">
        <f aca="false">IF(H325&lt;判定条件!$C$6,"判定不能",IF(I325&gt;=判定条件!$C$7*H325,"運転",IF(I325&lt;=判定条件!$C$8*H325,"停止","断続")))</f>
        <v>運転</v>
      </c>
      <c r="K325" s="30" t="n">
        <v>60</v>
      </c>
      <c r="L325" s="30" t="n">
        <v>60</v>
      </c>
      <c r="M325" s="30" t="str">
        <f aca="false">IF(K325&lt;判定条件!$C$6,"判定不能",IF(L325&gt;=判定条件!$C$7*K325,"運転",IF(L325&lt;=判定条件!$C$8*K325,"停止","断続")))</f>
        <v>運転</v>
      </c>
      <c r="N325" s="30" t="n">
        <v>60</v>
      </c>
      <c r="O325" s="30" t="n">
        <v>15</v>
      </c>
      <c r="P325" s="30" t="str">
        <f aca="false">IF(N325&lt;判定条件!$C$6,"判定不能",IF(O325&gt;=判定条件!$C$7*N325,"運転",IF(O325&lt;=判定条件!$C$8*N325,"停止","断続")))</f>
        <v>断続</v>
      </c>
      <c r="Q325" s="30" t="n">
        <v>60</v>
      </c>
      <c r="R325" s="30" t="n">
        <v>10</v>
      </c>
      <c r="S325" s="30" t="str">
        <f aca="false">IF(Q325&lt;判定条件!$C$6,"判定不能",IF(R325&gt;=判定条件!$C$7*Q325,"運転",IF(R325&lt;=判定条件!$C$8*Q325,"停止","断続")))</f>
        <v>停止</v>
      </c>
      <c r="T325" s="30" t="n">
        <v>60</v>
      </c>
      <c r="U325" s="30" t="n">
        <v>60</v>
      </c>
      <c r="V325" s="30" t="str">
        <f aca="false">IF(T325&lt;判定条件!$C$6,"判定不能",IF(U325&gt;=判定条件!$C$7*T325,"運転",IF(U325&lt;=判定条件!$C$8*T325,"停止","断続")))</f>
        <v>運転</v>
      </c>
      <c r="W325" s="30" t="n">
        <v>60</v>
      </c>
      <c r="X325" s="30" t="n">
        <v>60</v>
      </c>
      <c r="Y325" s="30" t="str">
        <f aca="false">IF(W325&lt;判定条件!$C$6,"判定不能",IF(X325&gt;=判定条件!$C$7*W325,"運転",IF(X325&lt;=判定条件!$C$8*W325,"停止","断続")))</f>
        <v>運転</v>
      </c>
      <c r="Z325" s="30" t="n">
        <v>60</v>
      </c>
      <c r="AA325" s="30" t="n">
        <v>57</v>
      </c>
      <c r="AB325" s="30" t="str">
        <f aca="false">IF(Z325&lt;判定条件!$C$6,"判定不能",IF(AA325&gt;=判定条件!$C$7*Z325,"運転",IF(AA325&lt;=判定条件!$C$8*Z325,"停止","断続")))</f>
        <v>運転</v>
      </c>
      <c r="AC325" s="30" t="n">
        <v>60</v>
      </c>
      <c r="AD325" s="30" t="n">
        <v>60</v>
      </c>
      <c r="AE325" s="30" t="str">
        <f aca="false">IF(AC325&lt;判定条件!$C$6,"判定不能",IF(AD325&gt;=判定条件!$C$7*AC325,"運転",IF(AD325&lt;=判定条件!$C$8*AC325,"停止","断続")))</f>
        <v>運転</v>
      </c>
      <c r="AF325" s="30" t="n">
        <v>60</v>
      </c>
      <c r="AG325" s="30" t="n">
        <v>15</v>
      </c>
      <c r="AH325" s="30" t="str">
        <f aca="false">IF(OR(P325="判定不能",G325="判定不能"),"判定不能",IF(AG325&gt;=判定条件!$C$9,"利用可",IF(AND(P325="停止",G325="停止"),"両方停止","運転がそろわない")))</f>
        <v>運転がそろわない</v>
      </c>
      <c r="AI325" s="30" t="n">
        <v>60</v>
      </c>
      <c r="AJ325" s="30" t="n">
        <v>10</v>
      </c>
      <c r="AK325" s="30" t="str">
        <f aca="false">IF(OR(S325="判定不能",J325="判定不能"),"判定不能",IF(AJ325&gt;=判定条件!$C$9,"利用可",IF(AND(S325="停止",J325="停止"),"両方停止","運転がそろわない")))</f>
        <v>運転がそろわない</v>
      </c>
      <c r="AL325" s="30" t="n">
        <v>60</v>
      </c>
      <c r="AM325" s="30" t="n">
        <v>60</v>
      </c>
      <c r="AN325" s="30" t="str">
        <f aca="false">IF(OR(V325="判定不能",M325="判定不能"),"判定不能",IF(AM325&gt;=判定条件!$C$9,"利用可",IF(AND(V325="停止",M325="停止"),"両方停止","運転がそろわない")))</f>
        <v>利用可</v>
      </c>
      <c r="AO325" s="30" t="n">
        <v>60</v>
      </c>
      <c r="AP325" s="30" t="n">
        <v>60</v>
      </c>
      <c r="AQ325" s="30" t="str">
        <f aca="false">IF(OR(Y325="判定不能",G325="判定不能"),"判定不能",IF(AP325&gt;=判定条件!$C$9,"利用可",IF(AND(Y325="停止",G325="停止"),"両方停止","運転がそろわない")))</f>
        <v>利用可</v>
      </c>
      <c r="AR325" s="30" t="n">
        <v>60</v>
      </c>
      <c r="AS325" s="30" t="n">
        <v>57</v>
      </c>
      <c r="AT325" s="30" t="str">
        <f aca="false">IF(OR(AB325="判定不能",J325="判定不能"),"判定不能",IF(AS325&gt;=判定条件!$C$9,"利用可",IF(AND(AB325="停止",J325="停止"),"両方停止","運転がそろわない")))</f>
        <v>利用可</v>
      </c>
      <c r="AU325" s="30" t="n">
        <v>60</v>
      </c>
      <c r="AV325" s="30" t="n">
        <v>60</v>
      </c>
      <c r="AW325" s="30" t="str">
        <f aca="false">IF(OR(AE325="判定不能",M325="判定不能"),"判定不能",IF(AV325&gt;=判定条件!$C$9,"利用可",IF(AND(AE325="停止",M325="停止"),"両方停止","運転がそろわない")))</f>
        <v>利用可</v>
      </c>
      <c r="AX325" s="30" t="str">
        <f aca="false">IF(AND(AH325="利用可",AK325="利用可",AN325="利用可"),"利用可","不可")</f>
        <v>不可</v>
      </c>
      <c r="AY325" s="30" t="str">
        <f aca="false">IF(AND(AQ325="利用可",AT325="利用可",AW325="利用可"),"利用可","不可")</f>
        <v>利用可</v>
      </c>
    </row>
    <row r="326" customFormat="false" ht="15" hidden="false" customHeight="false" outlineLevel="0" collapsed="false">
      <c r="A326" s="29" t="n">
        <v>46245</v>
      </c>
      <c r="B326" s="30" t="n">
        <v>11</v>
      </c>
      <c r="C326" s="31" t="s">
        <v>67</v>
      </c>
      <c r="D326" s="31" t="s">
        <v>101</v>
      </c>
      <c r="E326" s="30" t="n">
        <v>60</v>
      </c>
      <c r="F326" s="30" t="n">
        <v>60</v>
      </c>
      <c r="G326" s="30" t="str">
        <f aca="false">IF(E326&lt;判定条件!$C$6,"判定不能",IF(F326&gt;=判定条件!$C$7*E326,"運転",IF(F326&lt;=判定条件!$C$8*E326,"停止","断続")))</f>
        <v>運転</v>
      </c>
      <c r="H326" s="30" t="n">
        <v>60</v>
      </c>
      <c r="I326" s="30" t="n">
        <v>60</v>
      </c>
      <c r="J326" s="30" t="str">
        <f aca="false">IF(H326&lt;判定条件!$C$6,"判定不能",IF(I326&gt;=判定条件!$C$7*H326,"運転",IF(I326&lt;=判定条件!$C$8*H326,"停止","断続")))</f>
        <v>運転</v>
      </c>
      <c r="K326" s="30" t="n">
        <v>60</v>
      </c>
      <c r="L326" s="30" t="n">
        <v>60</v>
      </c>
      <c r="M326" s="30" t="str">
        <f aca="false">IF(K326&lt;判定条件!$C$6,"判定不能",IF(L326&gt;=判定条件!$C$7*K326,"運転",IF(L326&lt;=判定条件!$C$8*K326,"停止","断続")))</f>
        <v>運転</v>
      </c>
      <c r="N326" s="30" t="n">
        <v>60</v>
      </c>
      <c r="O326" s="30" t="n">
        <v>40</v>
      </c>
      <c r="P326" s="30" t="str">
        <f aca="false">IF(N326&lt;判定条件!$C$6,"判定不能",IF(O326&gt;=判定条件!$C$7*N326,"運転",IF(O326&lt;=判定条件!$C$8*N326,"停止","断続")))</f>
        <v>断続</v>
      </c>
      <c r="Q326" s="30" t="n">
        <v>60</v>
      </c>
      <c r="R326" s="30" t="n">
        <v>0</v>
      </c>
      <c r="S326" s="30" t="str">
        <f aca="false">IF(Q326&lt;判定条件!$C$6,"判定不能",IF(R326&gt;=判定条件!$C$7*Q326,"運転",IF(R326&lt;=判定条件!$C$8*Q326,"停止","断続")))</f>
        <v>停止</v>
      </c>
      <c r="T326" s="30" t="n">
        <v>60</v>
      </c>
      <c r="U326" s="30" t="n">
        <v>60</v>
      </c>
      <c r="V326" s="30" t="str">
        <f aca="false">IF(T326&lt;判定条件!$C$6,"判定不能",IF(U326&gt;=判定条件!$C$7*T326,"運転",IF(U326&lt;=判定条件!$C$8*T326,"停止","断続")))</f>
        <v>運転</v>
      </c>
      <c r="W326" s="30" t="n">
        <v>60</v>
      </c>
      <c r="X326" s="30" t="n">
        <v>60</v>
      </c>
      <c r="Y326" s="30" t="str">
        <f aca="false">IF(W326&lt;判定条件!$C$6,"判定不能",IF(X326&gt;=判定条件!$C$7*W326,"運転",IF(X326&lt;=判定条件!$C$8*W326,"停止","断続")))</f>
        <v>運転</v>
      </c>
      <c r="Z326" s="30" t="n">
        <v>60</v>
      </c>
      <c r="AA326" s="30" t="n">
        <v>54</v>
      </c>
      <c r="AB326" s="30" t="str">
        <f aca="false">IF(Z326&lt;判定条件!$C$6,"判定不能",IF(AA326&gt;=判定条件!$C$7*Z326,"運転",IF(AA326&lt;=判定条件!$C$8*Z326,"停止","断続")))</f>
        <v>運転</v>
      </c>
      <c r="AC326" s="30" t="n">
        <v>60</v>
      </c>
      <c r="AD326" s="30" t="n">
        <v>60</v>
      </c>
      <c r="AE326" s="30" t="str">
        <f aca="false">IF(AC326&lt;判定条件!$C$6,"判定不能",IF(AD326&gt;=判定条件!$C$7*AC326,"運転",IF(AD326&lt;=判定条件!$C$8*AC326,"停止","断続")))</f>
        <v>運転</v>
      </c>
      <c r="AF326" s="30" t="n">
        <v>60</v>
      </c>
      <c r="AG326" s="30" t="n">
        <v>40</v>
      </c>
      <c r="AH326" s="30" t="str">
        <f aca="false">IF(OR(P326="判定不能",G326="判定不能"),"判定不能",IF(AG326&gt;=判定条件!$C$9,"利用可",IF(AND(P326="停止",G326="停止"),"両方停止","運転がそろわない")))</f>
        <v>利用可</v>
      </c>
      <c r="AI326" s="30" t="n">
        <v>60</v>
      </c>
      <c r="AJ326" s="30" t="n">
        <v>0</v>
      </c>
      <c r="AK326" s="30" t="str">
        <f aca="false">IF(OR(S326="判定不能",J326="判定不能"),"判定不能",IF(AJ326&gt;=判定条件!$C$9,"利用可",IF(AND(S326="停止",J326="停止"),"両方停止","運転がそろわない")))</f>
        <v>運転がそろわない</v>
      </c>
      <c r="AL326" s="30" t="n">
        <v>60</v>
      </c>
      <c r="AM326" s="30" t="n">
        <v>60</v>
      </c>
      <c r="AN326" s="30" t="str">
        <f aca="false">IF(OR(V326="判定不能",M326="判定不能"),"判定不能",IF(AM326&gt;=判定条件!$C$9,"利用可",IF(AND(V326="停止",M326="停止"),"両方停止","運転がそろわない")))</f>
        <v>利用可</v>
      </c>
      <c r="AO326" s="30" t="n">
        <v>60</v>
      </c>
      <c r="AP326" s="30" t="n">
        <v>60</v>
      </c>
      <c r="AQ326" s="30" t="str">
        <f aca="false">IF(OR(Y326="判定不能",G326="判定不能"),"判定不能",IF(AP326&gt;=判定条件!$C$9,"利用可",IF(AND(Y326="停止",G326="停止"),"両方停止","運転がそろわない")))</f>
        <v>利用可</v>
      </c>
      <c r="AR326" s="30" t="n">
        <v>60</v>
      </c>
      <c r="AS326" s="30" t="n">
        <v>54</v>
      </c>
      <c r="AT326" s="30" t="str">
        <f aca="false">IF(OR(AB326="判定不能",J326="判定不能"),"判定不能",IF(AS326&gt;=判定条件!$C$9,"利用可",IF(AND(AB326="停止",J326="停止"),"両方停止","運転がそろわない")))</f>
        <v>利用可</v>
      </c>
      <c r="AU326" s="30" t="n">
        <v>60</v>
      </c>
      <c r="AV326" s="30" t="n">
        <v>60</v>
      </c>
      <c r="AW326" s="30" t="str">
        <f aca="false">IF(OR(AE326="判定不能",M326="判定不能"),"判定不能",IF(AV326&gt;=判定条件!$C$9,"利用可",IF(AND(AE326="停止",M326="停止"),"両方停止","運転がそろわない")))</f>
        <v>利用可</v>
      </c>
      <c r="AX326" s="30" t="str">
        <f aca="false">IF(AND(AH326="利用可",AK326="利用可",AN326="利用可"),"利用可","不可")</f>
        <v>不可</v>
      </c>
      <c r="AY326" s="30" t="str">
        <f aca="false">IF(AND(AQ326="利用可",AT326="利用可",AW326="利用可"),"利用可","不可")</f>
        <v>利用可</v>
      </c>
    </row>
    <row r="327" customFormat="false" ht="15" hidden="false" customHeight="false" outlineLevel="0" collapsed="false">
      <c r="A327" s="29" t="n">
        <v>46245</v>
      </c>
      <c r="B327" s="30" t="n">
        <v>12</v>
      </c>
      <c r="C327" s="31" t="s">
        <v>67</v>
      </c>
      <c r="D327" s="31" t="s">
        <v>101</v>
      </c>
      <c r="E327" s="30" t="n">
        <v>60</v>
      </c>
      <c r="F327" s="30" t="n">
        <v>60</v>
      </c>
      <c r="G327" s="30" t="str">
        <f aca="false">IF(E327&lt;判定条件!$C$6,"判定不能",IF(F327&gt;=判定条件!$C$7*E327,"運転",IF(F327&lt;=判定条件!$C$8*E327,"停止","断続")))</f>
        <v>運転</v>
      </c>
      <c r="H327" s="30" t="n">
        <v>60</v>
      </c>
      <c r="I327" s="30" t="n">
        <v>55</v>
      </c>
      <c r="J327" s="30" t="str">
        <f aca="false">IF(H327&lt;判定条件!$C$6,"判定不能",IF(I327&gt;=判定条件!$C$7*H327,"運転",IF(I327&lt;=判定条件!$C$8*H327,"停止","断続")))</f>
        <v>運転</v>
      </c>
      <c r="K327" s="30" t="n">
        <v>60</v>
      </c>
      <c r="L327" s="30" t="n">
        <v>60</v>
      </c>
      <c r="M327" s="30" t="str">
        <f aca="false">IF(K327&lt;判定条件!$C$6,"判定不能",IF(L327&gt;=判定条件!$C$7*K327,"運転",IF(L327&lt;=判定条件!$C$8*K327,"停止","断続")))</f>
        <v>運転</v>
      </c>
      <c r="N327" s="30" t="n">
        <v>60</v>
      </c>
      <c r="O327" s="30" t="n">
        <v>15</v>
      </c>
      <c r="P327" s="30" t="str">
        <f aca="false">IF(N327&lt;判定条件!$C$6,"判定不能",IF(O327&gt;=判定条件!$C$7*N327,"運転",IF(O327&lt;=判定条件!$C$8*N327,"停止","断続")))</f>
        <v>断続</v>
      </c>
      <c r="Q327" s="30" t="n">
        <v>60</v>
      </c>
      <c r="R327" s="30" t="n">
        <v>0</v>
      </c>
      <c r="S327" s="30" t="str">
        <f aca="false">IF(Q327&lt;判定条件!$C$6,"判定不能",IF(R327&gt;=判定条件!$C$7*Q327,"運転",IF(R327&lt;=判定条件!$C$8*Q327,"停止","断続")))</f>
        <v>停止</v>
      </c>
      <c r="T327" s="30" t="n">
        <v>60</v>
      </c>
      <c r="U327" s="30" t="n">
        <v>12</v>
      </c>
      <c r="V327" s="30" t="str">
        <f aca="false">IF(T327&lt;判定条件!$C$6,"判定不能",IF(U327&gt;=判定条件!$C$7*T327,"運転",IF(U327&lt;=判定条件!$C$8*T327,"停止","断続")))</f>
        <v>停止</v>
      </c>
      <c r="W327" s="30" t="n">
        <v>60</v>
      </c>
      <c r="X327" s="30" t="n">
        <v>28</v>
      </c>
      <c r="Y327" s="30" t="str">
        <f aca="false">IF(W327&lt;判定条件!$C$6,"判定不能",IF(X327&gt;=判定条件!$C$7*W327,"運転",IF(X327&lt;=判定条件!$C$8*W327,"停止","断続")))</f>
        <v>断続</v>
      </c>
      <c r="Z327" s="30" t="n">
        <v>60</v>
      </c>
      <c r="AA327" s="30" t="n">
        <v>43</v>
      </c>
      <c r="AB327" s="30" t="str">
        <f aca="false">IF(Z327&lt;判定条件!$C$6,"判定不能",IF(AA327&gt;=判定条件!$C$7*Z327,"運転",IF(AA327&lt;=判定条件!$C$8*Z327,"停止","断続")))</f>
        <v>断続</v>
      </c>
      <c r="AC327" s="30" t="n">
        <v>60</v>
      </c>
      <c r="AD327" s="30" t="n">
        <v>60</v>
      </c>
      <c r="AE327" s="30" t="str">
        <f aca="false">IF(AC327&lt;判定条件!$C$6,"判定不能",IF(AD327&gt;=判定条件!$C$7*AC327,"運転",IF(AD327&lt;=判定条件!$C$8*AC327,"停止","断続")))</f>
        <v>運転</v>
      </c>
      <c r="AF327" s="30" t="n">
        <v>60</v>
      </c>
      <c r="AG327" s="30" t="n">
        <v>15</v>
      </c>
      <c r="AH327" s="30" t="str">
        <f aca="false">IF(OR(P327="判定不能",G327="判定不能"),"判定不能",IF(AG327&gt;=判定条件!$C$9,"利用可",IF(AND(P327="停止",G327="停止"),"両方停止","運転がそろわない")))</f>
        <v>運転がそろわない</v>
      </c>
      <c r="AI327" s="30" t="n">
        <v>60</v>
      </c>
      <c r="AJ327" s="30" t="n">
        <v>0</v>
      </c>
      <c r="AK327" s="30" t="str">
        <f aca="false">IF(OR(S327="判定不能",J327="判定不能"),"判定不能",IF(AJ327&gt;=判定条件!$C$9,"利用可",IF(AND(S327="停止",J327="停止"),"両方停止","運転がそろわない")))</f>
        <v>運転がそろわない</v>
      </c>
      <c r="AL327" s="30" t="n">
        <v>60</v>
      </c>
      <c r="AM327" s="30" t="n">
        <v>12</v>
      </c>
      <c r="AN327" s="30" t="str">
        <f aca="false">IF(OR(V327="判定不能",M327="判定不能"),"判定不能",IF(AM327&gt;=判定条件!$C$9,"利用可",IF(AND(V327="停止",M327="停止"),"両方停止","運転がそろわない")))</f>
        <v>運転がそろわない</v>
      </c>
      <c r="AO327" s="30" t="n">
        <v>60</v>
      </c>
      <c r="AP327" s="30" t="n">
        <v>28</v>
      </c>
      <c r="AQ327" s="30" t="str">
        <f aca="false">IF(OR(Y327="判定不能",G327="判定不能"),"判定不能",IF(AP327&gt;=判定条件!$C$9,"利用可",IF(AND(Y327="停止",G327="停止"),"両方停止","運転がそろわない")))</f>
        <v>運転がそろわない</v>
      </c>
      <c r="AR327" s="30" t="n">
        <v>60</v>
      </c>
      <c r="AS327" s="30" t="n">
        <v>43</v>
      </c>
      <c r="AT327" s="30" t="str">
        <f aca="false">IF(OR(AB327="判定不能",J327="判定不能"),"判定不能",IF(AS327&gt;=判定条件!$C$9,"利用可",IF(AND(AB327="停止",J327="停止"),"両方停止","運転がそろわない")))</f>
        <v>利用可</v>
      </c>
      <c r="AU327" s="30" t="n">
        <v>60</v>
      </c>
      <c r="AV327" s="30" t="n">
        <v>60</v>
      </c>
      <c r="AW327" s="30" t="str">
        <f aca="false">IF(OR(AE327="判定不能",M327="判定不能"),"判定不能",IF(AV327&gt;=判定条件!$C$9,"利用可",IF(AND(AE327="停止",M327="停止"),"両方停止","運転がそろわない")))</f>
        <v>利用可</v>
      </c>
      <c r="AX327" s="30" t="str">
        <f aca="false">IF(AND(AH327="利用可",AK327="利用可",AN327="利用可"),"利用可","不可")</f>
        <v>不可</v>
      </c>
      <c r="AY327" s="30" t="str">
        <f aca="false">IF(AND(AQ327="利用可",AT327="利用可",AW327="利用可"),"利用可","不可")</f>
        <v>不可</v>
      </c>
    </row>
    <row r="328" customFormat="false" ht="15" hidden="false" customHeight="false" outlineLevel="0" collapsed="false">
      <c r="A328" s="29" t="n">
        <v>46245</v>
      </c>
      <c r="B328" s="30" t="n">
        <v>13</v>
      </c>
      <c r="C328" s="31" t="s">
        <v>67</v>
      </c>
      <c r="D328" s="31" t="s">
        <v>101</v>
      </c>
      <c r="E328" s="30" t="n">
        <v>60</v>
      </c>
      <c r="F328" s="30" t="n">
        <v>60</v>
      </c>
      <c r="G328" s="30" t="str">
        <f aca="false">IF(E328&lt;判定条件!$C$6,"判定不能",IF(F328&gt;=判定条件!$C$7*E328,"運転",IF(F328&lt;=判定条件!$C$8*E328,"停止","断続")))</f>
        <v>運転</v>
      </c>
      <c r="H328" s="30" t="n">
        <v>60</v>
      </c>
      <c r="I328" s="30" t="n">
        <v>60</v>
      </c>
      <c r="J328" s="30" t="str">
        <f aca="false">IF(H328&lt;判定条件!$C$6,"判定不能",IF(I328&gt;=判定条件!$C$7*H328,"運転",IF(I328&lt;=判定条件!$C$8*H328,"停止","断続")))</f>
        <v>運転</v>
      </c>
      <c r="K328" s="30" t="n">
        <v>60</v>
      </c>
      <c r="L328" s="30" t="n">
        <v>60</v>
      </c>
      <c r="M328" s="30" t="str">
        <f aca="false">IF(K328&lt;判定条件!$C$6,"判定不能",IF(L328&gt;=判定条件!$C$7*K328,"運転",IF(L328&lt;=判定条件!$C$8*K328,"停止","断続")))</f>
        <v>運転</v>
      </c>
      <c r="N328" s="30" t="n">
        <v>60</v>
      </c>
      <c r="O328" s="30" t="n">
        <v>22</v>
      </c>
      <c r="P328" s="30" t="str">
        <f aca="false">IF(N328&lt;判定条件!$C$6,"判定不能",IF(O328&gt;=判定条件!$C$7*N328,"運転",IF(O328&lt;=判定条件!$C$8*N328,"停止","断続")))</f>
        <v>断続</v>
      </c>
      <c r="Q328" s="30" t="n">
        <v>60</v>
      </c>
      <c r="R328" s="30" t="n">
        <v>0</v>
      </c>
      <c r="S328" s="30" t="str">
        <f aca="false">IF(Q328&lt;判定条件!$C$6,"判定不能",IF(R328&gt;=判定条件!$C$7*Q328,"運転",IF(R328&lt;=判定条件!$C$8*Q328,"停止","断続")))</f>
        <v>停止</v>
      </c>
      <c r="T328" s="30" t="n">
        <v>60</v>
      </c>
      <c r="U328" s="30" t="n">
        <v>0</v>
      </c>
      <c r="V328" s="30" t="str">
        <f aca="false">IF(T328&lt;判定条件!$C$6,"判定不能",IF(U328&gt;=判定条件!$C$7*T328,"運転",IF(U328&lt;=判定条件!$C$8*T328,"停止","断続")))</f>
        <v>停止</v>
      </c>
      <c r="W328" s="30" t="n">
        <v>60</v>
      </c>
      <c r="X328" s="30" t="n">
        <v>38</v>
      </c>
      <c r="Y328" s="30" t="str">
        <f aca="false">IF(W328&lt;判定条件!$C$6,"判定不能",IF(X328&gt;=判定条件!$C$7*W328,"運転",IF(X328&lt;=判定条件!$C$8*W328,"停止","断続")))</f>
        <v>断続</v>
      </c>
      <c r="Z328" s="30" t="n">
        <v>60</v>
      </c>
      <c r="AA328" s="30" t="n">
        <v>43</v>
      </c>
      <c r="AB328" s="30" t="str">
        <f aca="false">IF(Z328&lt;判定条件!$C$6,"判定不能",IF(AA328&gt;=判定条件!$C$7*Z328,"運転",IF(AA328&lt;=判定条件!$C$8*Z328,"停止","断続")))</f>
        <v>断続</v>
      </c>
      <c r="AC328" s="30" t="n">
        <v>60</v>
      </c>
      <c r="AD328" s="30" t="n">
        <v>40</v>
      </c>
      <c r="AE328" s="30" t="str">
        <f aca="false">IF(AC328&lt;判定条件!$C$6,"判定不能",IF(AD328&gt;=判定条件!$C$7*AC328,"運転",IF(AD328&lt;=判定条件!$C$8*AC328,"停止","断続")))</f>
        <v>断続</v>
      </c>
      <c r="AF328" s="30" t="n">
        <v>60</v>
      </c>
      <c r="AG328" s="30" t="n">
        <v>22</v>
      </c>
      <c r="AH328" s="30" t="str">
        <f aca="false">IF(OR(P328="判定不能",G328="判定不能"),"判定不能",IF(AG328&gt;=判定条件!$C$9,"利用可",IF(AND(P328="停止",G328="停止"),"両方停止","運転がそろわない")))</f>
        <v>運転がそろわない</v>
      </c>
      <c r="AI328" s="30" t="n">
        <v>60</v>
      </c>
      <c r="AJ328" s="30" t="n">
        <v>0</v>
      </c>
      <c r="AK328" s="30" t="str">
        <f aca="false">IF(OR(S328="判定不能",J328="判定不能"),"判定不能",IF(AJ328&gt;=判定条件!$C$9,"利用可",IF(AND(S328="停止",J328="停止"),"両方停止","運転がそろわない")))</f>
        <v>運転がそろわない</v>
      </c>
      <c r="AL328" s="30" t="n">
        <v>60</v>
      </c>
      <c r="AM328" s="30" t="n">
        <v>0</v>
      </c>
      <c r="AN328" s="30" t="str">
        <f aca="false">IF(OR(V328="判定不能",M328="判定不能"),"判定不能",IF(AM328&gt;=判定条件!$C$9,"利用可",IF(AND(V328="停止",M328="停止"),"両方停止","運転がそろわない")))</f>
        <v>運転がそろわない</v>
      </c>
      <c r="AO328" s="30" t="n">
        <v>60</v>
      </c>
      <c r="AP328" s="30" t="n">
        <v>38</v>
      </c>
      <c r="AQ328" s="30" t="str">
        <f aca="false">IF(OR(Y328="判定不能",G328="判定不能"),"判定不能",IF(AP328&gt;=判定条件!$C$9,"利用可",IF(AND(Y328="停止",G328="停止"),"両方停止","運転がそろわない")))</f>
        <v>利用可</v>
      </c>
      <c r="AR328" s="30" t="n">
        <v>60</v>
      </c>
      <c r="AS328" s="30" t="n">
        <v>43</v>
      </c>
      <c r="AT328" s="30" t="str">
        <f aca="false">IF(OR(AB328="判定不能",J328="判定不能"),"判定不能",IF(AS328&gt;=判定条件!$C$9,"利用可",IF(AND(AB328="停止",J328="停止"),"両方停止","運転がそろわない")))</f>
        <v>利用可</v>
      </c>
      <c r="AU328" s="30" t="n">
        <v>60</v>
      </c>
      <c r="AV328" s="30" t="n">
        <v>40</v>
      </c>
      <c r="AW328" s="30" t="str">
        <f aca="false">IF(OR(AE328="判定不能",M328="判定不能"),"判定不能",IF(AV328&gt;=判定条件!$C$9,"利用可",IF(AND(AE328="停止",M328="停止"),"両方停止","運転がそろわない")))</f>
        <v>利用可</v>
      </c>
      <c r="AX328" s="30" t="str">
        <f aca="false">IF(AND(AH328="利用可",AK328="利用可",AN328="利用可"),"利用可","不可")</f>
        <v>不可</v>
      </c>
      <c r="AY328" s="30" t="str">
        <f aca="false">IF(AND(AQ328="利用可",AT328="利用可",AW328="利用可"),"利用可","不可")</f>
        <v>利用可</v>
      </c>
    </row>
    <row r="329" customFormat="false" ht="15" hidden="false" customHeight="false" outlineLevel="0" collapsed="false">
      <c r="A329" s="29" t="n">
        <v>46245</v>
      </c>
      <c r="B329" s="30" t="n">
        <v>14</v>
      </c>
      <c r="C329" s="31" t="s">
        <v>67</v>
      </c>
      <c r="D329" s="31" t="s">
        <v>101</v>
      </c>
      <c r="E329" s="30" t="n">
        <v>60</v>
      </c>
      <c r="F329" s="30" t="n">
        <v>54</v>
      </c>
      <c r="G329" s="30" t="str">
        <f aca="false">IF(E329&lt;判定条件!$C$6,"判定不能",IF(F329&gt;=判定条件!$C$7*E329,"運転",IF(F329&lt;=判定条件!$C$8*E329,"停止","断続")))</f>
        <v>運転</v>
      </c>
      <c r="H329" s="30" t="n">
        <v>60</v>
      </c>
      <c r="I329" s="30" t="n">
        <v>52</v>
      </c>
      <c r="J329" s="30" t="str">
        <f aca="false">IF(H329&lt;判定条件!$C$6,"判定不能",IF(I329&gt;=判定条件!$C$7*H329,"運転",IF(I329&lt;=判定条件!$C$8*H329,"停止","断続")))</f>
        <v>運転</v>
      </c>
      <c r="K329" s="30" t="n">
        <v>60</v>
      </c>
      <c r="L329" s="30" t="n">
        <v>60</v>
      </c>
      <c r="M329" s="30" t="str">
        <f aca="false">IF(K329&lt;判定条件!$C$6,"判定不能",IF(L329&gt;=判定条件!$C$7*K329,"運転",IF(L329&lt;=判定条件!$C$8*K329,"停止","断続")))</f>
        <v>運転</v>
      </c>
      <c r="N329" s="30" t="n">
        <v>60</v>
      </c>
      <c r="O329" s="30" t="n">
        <v>0</v>
      </c>
      <c r="P329" s="30" t="str">
        <f aca="false">IF(N329&lt;判定条件!$C$6,"判定不能",IF(O329&gt;=判定条件!$C$7*N329,"運転",IF(O329&lt;=判定条件!$C$8*N329,"停止","断続")))</f>
        <v>停止</v>
      </c>
      <c r="Q329" s="30" t="n">
        <v>60</v>
      </c>
      <c r="R329" s="30" t="n">
        <v>0</v>
      </c>
      <c r="S329" s="30" t="str">
        <f aca="false">IF(Q329&lt;判定条件!$C$6,"判定不能",IF(R329&gt;=判定条件!$C$7*Q329,"運転",IF(R329&lt;=判定条件!$C$8*Q329,"停止","断続")))</f>
        <v>停止</v>
      </c>
      <c r="T329" s="30" t="n">
        <v>60</v>
      </c>
      <c r="U329" s="30" t="n">
        <v>0</v>
      </c>
      <c r="V329" s="30" t="str">
        <f aca="false">IF(T329&lt;判定条件!$C$6,"判定不能",IF(U329&gt;=判定条件!$C$7*T329,"運転",IF(U329&lt;=判定条件!$C$8*T329,"停止","断続")))</f>
        <v>停止</v>
      </c>
      <c r="W329" s="30" t="n">
        <v>60</v>
      </c>
      <c r="X329" s="30" t="n">
        <v>34</v>
      </c>
      <c r="Y329" s="30" t="str">
        <f aca="false">IF(W329&lt;判定条件!$C$6,"判定不能",IF(X329&gt;=判定条件!$C$7*W329,"運転",IF(X329&lt;=判定条件!$C$8*W329,"停止","断続")))</f>
        <v>断続</v>
      </c>
      <c r="Z329" s="30" t="n">
        <v>60</v>
      </c>
      <c r="AA329" s="30" t="n">
        <v>34</v>
      </c>
      <c r="AB329" s="30" t="str">
        <f aca="false">IF(Z329&lt;判定条件!$C$6,"判定不能",IF(AA329&gt;=判定条件!$C$7*Z329,"運転",IF(AA329&lt;=判定条件!$C$8*Z329,"停止","断続")))</f>
        <v>断続</v>
      </c>
      <c r="AC329" s="30" t="n">
        <v>60</v>
      </c>
      <c r="AD329" s="30" t="n">
        <v>44</v>
      </c>
      <c r="AE329" s="30" t="str">
        <f aca="false">IF(AC329&lt;判定条件!$C$6,"判定不能",IF(AD329&gt;=判定条件!$C$7*AC329,"運転",IF(AD329&lt;=判定条件!$C$8*AC329,"停止","断続")))</f>
        <v>断続</v>
      </c>
      <c r="AF329" s="30" t="n">
        <v>60</v>
      </c>
      <c r="AG329" s="30" t="n">
        <v>0</v>
      </c>
      <c r="AH329" s="30" t="str">
        <f aca="false">IF(OR(P329="判定不能",G329="判定不能"),"判定不能",IF(AG329&gt;=判定条件!$C$9,"利用可",IF(AND(P329="停止",G329="停止"),"両方停止","運転がそろわない")))</f>
        <v>運転がそろわない</v>
      </c>
      <c r="AI329" s="30" t="n">
        <v>60</v>
      </c>
      <c r="AJ329" s="30" t="n">
        <v>0</v>
      </c>
      <c r="AK329" s="30" t="str">
        <f aca="false">IF(OR(S329="判定不能",J329="判定不能"),"判定不能",IF(AJ329&gt;=判定条件!$C$9,"利用可",IF(AND(S329="停止",J329="停止"),"両方停止","運転がそろわない")))</f>
        <v>運転がそろわない</v>
      </c>
      <c r="AL329" s="30" t="n">
        <v>60</v>
      </c>
      <c r="AM329" s="30" t="n">
        <v>0</v>
      </c>
      <c r="AN329" s="30" t="str">
        <f aca="false">IF(OR(V329="判定不能",M329="判定不能"),"判定不能",IF(AM329&gt;=判定条件!$C$9,"利用可",IF(AND(V329="停止",M329="停止"),"両方停止","運転がそろわない")))</f>
        <v>運転がそろわない</v>
      </c>
      <c r="AO329" s="30" t="n">
        <v>60</v>
      </c>
      <c r="AP329" s="30" t="n">
        <v>34</v>
      </c>
      <c r="AQ329" s="30" t="str">
        <f aca="false">IF(OR(Y329="判定不能",G329="判定不能"),"判定不能",IF(AP329&gt;=判定条件!$C$9,"利用可",IF(AND(Y329="停止",G329="停止"),"両方停止","運転がそろわない")))</f>
        <v>利用可</v>
      </c>
      <c r="AR329" s="30" t="n">
        <v>60</v>
      </c>
      <c r="AS329" s="30" t="n">
        <v>26</v>
      </c>
      <c r="AT329" s="30" t="str">
        <f aca="false">IF(OR(AB329="判定不能",J329="判定不能"),"判定不能",IF(AS329&gt;=判定条件!$C$9,"利用可",IF(AND(AB329="停止",J329="停止"),"両方停止","運転がそろわない")))</f>
        <v>運転がそろわない</v>
      </c>
      <c r="AU329" s="30" t="n">
        <v>60</v>
      </c>
      <c r="AV329" s="30" t="n">
        <v>44</v>
      </c>
      <c r="AW329" s="30" t="str">
        <f aca="false">IF(OR(AE329="判定不能",M329="判定不能"),"判定不能",IF(AV329&gt;=判定条件!$C$9,"利用可",IF(AND(AE329="停止",M329="停止"),"両方停止","運転がそろわない")))</f>
        <v>利用可</v>
      </c>
      <c r="AX329" s="30" t="str">
        <f aca="false">IF(AND(AH329="利用可",AK329="利用可",AN329="利用可"),"利用可","不可")</f>
        <v>不可</v>
      </c>
      <c r="AY329" s="30" t="str">
        <f aca="false">IF(AND(AQ329="利用可",AT329="利用可",AW329="利用可"),"利用可","不可")</f>
        <v>不可</v>
      </c>
    </row>
    <row r="330" customFormat="false" ht="15" hidden="false" customHeight="false" outlineLevel="0" collapsed="false">
      <c r="A330" s="29" t="n">
        <v>46245</v>
      </c>
      <c r="B330" s="30" t="n">
        <v>15</v>
      </c>
      <c r="C330" s="31" t="s">
        <v>67</v>
      </c>
      <c r="D330" s="31" t="s">
        <v>101</v>
      </c>
      <c r="E330" s="30" t="n">
        <v>60</v>
      </c>
      <c r="F330" s="30" t="n">
        <v>60</v>
      </c>
      <c r="G330" s="30" t="str">
        <f aca="false">IF(E330&lt;判定条件!$C$6,"判定不能",IF(F330&gt;=判定条件!$C$7*E330,"運転",IF(F330&lt;=判定条件!$C$8*E330,"停止","断続")))</f>
        <v>運転</v>
      </c>
      <c r="H330" s="30" t="n">
        <v>60</v>
      </c>
      <c r="I330" s="30" t="n">
        <v>60</v>
      </c>
      <c r="J330" s="30" t="str">
        <f aca="false">IF(H330&lt;判定条件!$C$6,"判定不能",IF(I330&gt;=判定条件!$C$7*H330,"運転",IF(I330&lt;=判定条件!$C$8*H330,"停止","断続")))</f>
        <v>運転</v>
      </c>
      <c r="K330" s="30" t="n">
        <v>60</v>
      </c>
      <c r="L330" s="30" t="n">
        <v>60</v>
      </c>
      <c r="M330" s="30" t="str">
        <f aca="false">IF(K330&lt;判定条件!$C$6,"判定不能",IF(L330&gt;=判定条件!$C$7*K330,"運転",IF(L330&lt;=判定条件!$C$8*K330,"停止","断続")))</f>
        <v>運転</v>
      </c>
      <c r="N330" s="30" t="n">
        <v>60</v>
      </c>
      <c r="O330" s="30" t="n">
        <v>11</v>
      </c>
      <c r="P330" s="30" t="str">
        <f aca="false">IF(N330&lt;判定条件!$C$6,"判定不能",IF(O330&gt;=判定条件!$C$7*N330,"運転",IF(O330&lt;=判定条件!$C$8*N330,"停止","断続")))</f>
        <v>停止</v>
      </c>
      <c r="Q330" s="30" t="n">
        <v>60</v>
      </c>
      <c r="R330" s="30" t="n">
        <v>0</v>
      </c>
      <c r="S330" s="30" t="str">
        <f aca="false">IF(Q330&lt;判定条件!$C$6,"判定不能",IF(R330&gt;=判定条件!$C$7*Q330,"運転",IF(R330&lt;=判定条件!$C$8*Q330,"停止","断続")))</f>
        <v>停止</v>
      </c>
      <c r="T330" s="30" t="n">
        <v>60</v>
      </c>
      <c r="U330" s="30" t="n">
        <v>8</v>
      </c>
      <c r="V330" s="30" t="str">
        <f aca="false">IF(T330&lt;判定条件!$C$6,"判定不能",IF(U330&gt;=判定条件!$C$7*T330,"運転",IF(U330&lt;=判定条件!$C$8*T330,"停止","断続")))</f>
        <v>停止</v>
      </c>
      <c r="W330" s="30" t="n">
        <v>60</v>
      </c>
      <c r="X330" s="30" t="n">
        <v>15</v>
      </c>
      <c r="Y330" s="30" t="str">
        <f aca="false">IF(W330&lt;判定条件!$C$6,"判定不能",IF(X330&gt;=判定条件!$C$7*W330,"運転",IF(X330&lt;=判定条件!$C$8*W330,"停止","断続")))</f>
        <v>断続</v>
      </c>
      <c r="Z330" s="30" t="n">
        <v>60</v>
      </c>
      <c r="AA330" s="30" t="n">
        <v>25</v>
      </c>
      <c r="AB330" s="30" t="str">
        <f aca="false">IF(Z330&lt;判定条件!$C$6,"判定不能",IF(AA330&gt;=判定条件!$C$7*Z330,"運転",IF(AA330&lt;=判定条件!$C$8*Z330,"停止","断続")))</f>
        <v>断続</v>
      </c>
      <c r="AC330" s="30" t="n">
        <v>60</v>
      </c>
      <c r="AD330" s="30" t="n">
        <v>60</v>
      </c>
      <c r="AE330" s="30" t="str">
        <f aca="false">IF(AC330&lt;判定条件!$C$6,"判定不能",IF(AD330&gt;=判定条件!$C$7*AC330,"運転",IF(AD330&lt;=判定条件!$C$8*AC330,"停止","断続")))</f>
        <v>運転</v>
      </c>
      <c r="AF330" s="30" t="n">
        <v>60</v>
      </c>
      <c r="AG330" s="30" t="n">
        <v>11</v>
      </c>
      <c r="AH330" s="30" t="str">
        <f aca="false">IF(OR(P330="判定不能",G330="判定不能"),"判定不能",IF(AG330&gt;=判定条件!$C$9,"利用可",IF(AND(P330="停止",G330="停止"),"両方停止","運転がそろわない")))</f>
        <v>運転がそろわない</v>
      </c>
      <c r="AI330" s="30" t="n">
        <v>60</v>
      </c>
      <c r="AJ330" s="30" t="n">
        <v>0</v>
      </c>
      <c r="AK330" s="30" t="str">
        <f aca="false">IF(OR(S330="判定不能",J330="判定不能"),"判定不能",IF(AJ330&gt;=判定条件!$C$9,"利用可",IF(AND(S330="停止",J330="停止"),"両方停止","運転がそろわない")))</f>
        <v>運転がそろわない</v>
      </c>
      <c r="AL330" s="30" t="n">
        <v>60</v>
      </c>
      <c r="AM330" s="30" t="n">
        <v>8</v>
      </c>
      <c r="AN330" s="30" t="str">
        <f aca="false">IF(OR(V330="判定不能",M330="判定不能"),"判定不能",IF(AM330&gt;=判定条件!$C$9,"利用可",IF(AND(V330="停止",M330="停止"),"両方停止","運転がそろわない")))</f>
        <v>運転がそろわない</v>
      </c>
      <c r="AO330" s="30" t="n">
        <v>60</v>
      </c>
      <c r="AP330" s="30" t="n">
        <v>15</v>
      </c>
      <c r="AQ330" s="30" t="str">
        <f aca="false">IF(OR(Y330="判定不能",G330="判定不能"),"判定不能",IF(AP330&gt;=判定条件!$C$9,"利用可",IF(AND(Y330="停止",G330="停止"),"両方停止","運転がそろわない")))</f>
        <v>運転がそろわない</v>
      </c>
      <c r="AR330" s="30" t="n">
        <v>60</v>
      </c>
      <c r="AS330" s="30" t="n">
        <v>25</v>
      </c>
      <c r="AT330" s="30" t="str">
        <f aca="false">IF(OR(AB330="判定不能",J330="判定不能"),"判定不能",IF(AS330&gt;=判定条件!$C$9,"利用可",IF(AND(AB330="停止",J330="停止"),"両方停止","運転がそろわない")))</f>
        <v>運転がそろわない</v>
      </c>
      <c r="AU330" s="30" t="n">
        <v>60</v>
      </c>
      <c r="AV330" s="30" t="n">
        <v>60</v>
      </c>
      <c r="AW330" s="30" t="str">
        <f aca="false">IF(OR(AE330="判定不能",M330="判定不能"),"判定不能",IF(AV330&gt;=判定条件!$C$9,"利用可",IF(AND(AE330="停止",M330="停止"),"両方停止","運転がそろわない")))</f>
        <v>利用可</v>
      </c>
      <c r="AX330" s="30" t="str">
        <f aca="false">IF(AND(AH330="利用可",AK330="利用可",AN330="利用可"),"利用可","不可")</f>
        <v>不可</v>
      </c>
      <c r="AY330" s="30" t="str">
        <f aca="false">IF(AND(AQ330="利用可",AT330="利用可",AW330="利用可"),"利用可","不可")</f>
        <v>不可</v>
      </c>
    </row>
    <row r="331" customFormat="false" ht="15" hidden="false" customHeight="false" outlineLevel="0" collapsed="false">
      <c r="A331" s="29" t="n">
        <v>46245</v>
      </c>
      <c r="B331" s="30" t="n">
        <v>16</v>
      </c>
      <c r="C331" s="31" t="s">
        <v>67</v>
      </c>
      <c r="D331" s="31" t="s">
        <v>101</v>
      </c>
      <c r="E331" s="30" t="n">
        <v>60</v>
      </c>
      <c r="F331" s="30" t="n">
        <v>60</v>
      </c>
      <c r="G331" s="30" t="str">
        <f aca="false">IF(E331&lt;判定条件!$C$6,"判定不能",IF(F331&gt;=判定条件!$C$7*E331,"運転",IF(F331&lt;=判定条件!$C$8*E331,"停止","断続")))</f>
        <v>運転</v>
      </c>
      <c r="H331" s="30" t="n">
        <v>60</v>
      </c>
      <c r="I331" s="30" t="n">
        <v>60</v>
      </c>
      <c r="J331" s="30" t="str">
        <f aca="false">IF(H331&lt;判定条件!$C$6,"判定不能",IF(I331&gt;=判定条件!$C$7*H331,"運転",IF(I331&lt;=判定条件!$C$8*H331,"停止","断続")))</f>
        <v>運転</v>
      </c>
      <c r="K331" s="30" t="n">
        <v>60</v>
      </c>
      <c r="L331" s="30" t="n">
        <v>60</v>
      </c>
      <c r="M331" s="30" t="str">
        <f aca="false">IF(K331&lt;判定条件!$C$6,"判定不能",IF(L331&gt;=判定条件!$C$7*K331,"運転",IF(L331&lt;=判定条件!$C$8*K331,"停止","断続")))</f>
        <v>運転</v>
      </c>
      <c r="N331" s="30" t="n">
        <v>60</v>
      </c>
      <c r="O331" s="30" t="n">
        <v>0</v>
      </c>
      <c r="P331" s="30" t="str">
        <f aca="false">IF(N331&lt;判定条件!$C$6,"判定不能",IF(O331&gt;=判定条件!$C$7*N331,"運転",IF(O331&lt;=判定条件!$C$8*N331,"停止","断続")))</f>
        <v>停止</v>
      </c>
      <c r="Q331" s="30" t="n">
        <v>60</v>
      </c>
      <c r="R331" s="30" t="n">
        <v>0</v>
      </c>
      <c r="S331" s="30" t="str">
        <f aca="false">IF(Q331&lt;判定条件!$C$6,"判定不能",IF(R331&gt;=判定条件!$C$7*Q331,"運転",IF(R331&lt;=判定条件!$C$8*Q331,"停止","断続")))</f>
        <v>停止</v>
      </c>
      <c r="T331" s="30" t="n">
        <v>60</v>
      </c>
      <c r="U331" s="30" t="n">
        <v>0</v>
      </c>
      <c r="V331" s="30" t="str">
        <f aca="false">IF(T331&lt;判定条件!$C$6,"判定不能",IF(U331&gt;=判定条件!$C$7*T331,"運転",IF(U331&lt;=判定条件!$C$8*T331,"停止","断続")))</f>
        <v>停止</v>
      </c>
      <c r="W331" s="30" t="n">
        <v>60</v>
      </c>
      <c r="X331" s="30" t="n">
        <v>29</v>
      </c>
      <c r="Y331" s="30" t="str">
        <f aca="false">IF(W331&lt;判定条件!$C$6,"判定不能",IF(X331&gt;=判定条件!$C$7*W331,"運転",IF(X331&lt;=判定条件!$C$8*W331,"停止","断続")))</f>
        <v>断続</v>
      </c>
      <c r="Z331" s="30" t="n">
        <v>60</v>
      </c>
      <c r="AA331" s="30" t="n">
        <v>25</v>
      </c>
      <c r="AB331" s="30" t="str">
        <f aca="false">IF(Z331&lt;判定条件!$C$6,"判定不能",IF(AA331&gt;=判定条件!$C$7*Z331,"運転",IF(AA331&lt;=判定条件!$C$8*Z331,"停止","断続")))</f>
        <v>断続</v>
      </c>
      <c r="AC331" s="30" t="n">
        <v>60</v>
      </c>
      <c r="AD331" s="30" t="n">
        <v>41</v>
      </c>
      <c r="AE331" s="30" t="str">
        <f aca="false">IF(AC331&lt;判定条件!$C$6,"判定不能",IF(AD331&gt;=判定条件!$C$7*AC331,"運転",IF(AD331&lt;=判定条件!$C$8*AC331,"停止","断続")))</f>
        <v>断続</v>
      </c>
      <c r="AF331" s="30" t="n">
        <v>60</v>
      </c>
      <c r="AG331" s="30" t="n">
        <v>0</v>
      </c>
      <c r="AH331" s="30" t="str">
        <f aca="false">IF(OR(P331="判定不能",G331="判定不能"),"判定不能",IF(AG331&gt;=判定条件!$C$9,"利用可",IF(AND(P331="停止",G331="停止"),"両方停止","運転がそろわない")))</f>
        <v>運転がそろわない</v>
      </c>
      <c r="AI331" s="30" t="n">
        <v>60</v>
      </c>
      <c r="AJ331" s="30" t="n">
        <v>0</v>
      </c>
      <c r="AK331" s="30" t="str">
        <f aca="false">IF(OR(S331="判定不能",J331="判定不能"),"判定不能",IF(AJ331&gt;=判定条件!$C$9,"利用可",IF(AND(S331="停止",J331="停止"),"両方停止","運転がそろわない")))</f>
        <v>運転がそろわない</v>
      </c>
      <c r="AL331" s="30" t="n">
        <v>60</v>
      </c>
      <c r="AM331" s="30" t="n">
        <v>0</v>
      </c>
      <c r="AN331" s="30" t="str">
        <f aca="false">IF(OR(V331="判定不能",M331="判定不能"),"判定不能",IF(AM331&gt;=判定条件!$C$9,"利用可",IF(AND(V331="停止",M331="停止"),"両方停止","運転がそろわない")))</f>
        <v>運転がそろわない</v>
      </c>
      <c r="AO331" s="30" t="n">
        <v>60</v>
      </c>
      <c r="AP331" s="30" t="n">
        <v>29</v>
      </c>
      <c r="AQ331" s="30" t="str">
        <f aca="false">IF(OR(Y331="判定不能",G331="判定不能"),"判定不能",IF(AP331&gt;=判定条件!$C$9,"利用可",IF(AND(Y331="停止",G331="停止"),"両方停止","運転がそろわない")))</f>
        <v>運転がそろわない</v>
      </c>
      <c r="AR331" s="30" t="n">
        <v>60</v>
      </c>
      <c r="AS331" s="30" t="n">
        <v>25</v>
      </c>
      <c r="AT331" s="30" t="str">
        <f aca="false">IF(OR(AB331="判定不能",J331="判定不能"),"判定不能",IF(AS331&gt;=判定条件!$C$9,"利用可",IF(AND(AB331="停止",J331="停止"),"両方停止","運転がそろわない")))</f>
        <v>運転がそろわない</v>
      </c>
      <c r="AU331" s="30" t="n">
        <v>60</v>
      </c>
      <c r="AV331" s="30" t="n">
        <v>41</v>
      </c>
      <c r="AW331" s="30" t="str">
        <f aca="false">IF(OR(AE331="判定不能",M331="判定不能"),"判定不能",IF(AV331&gt;=判定条件!$C$9,"利用可",IF(AND(AE331="停止",M331="停止"),"両方停止","運転がそろわない")))</f>
        <v>利用可</v>
      </c>
      <c r="AX331" s="30" t="str">
        <f aca="false">IF(AND(AH331="利用可",AK331="利用可",AN331="利用可"),"利用可","不可")</f>
        <v>不可</v>
      </c>
      <c r="AY331" s="30" t="str">
        <f aca="false">IF(AND(AQ331="利用可",AT331="利用可",AW331="利用可"),"利用可","不可")</f>
        <v>不可</v>
      </c>
    </row>
    <row r="332" customFormat="false" ht="15" hidden="false" customHeight="false" outlineLevel="0" collapsed="false">
      <c r="A332" s="29" t="n">
        <v>46245</v>
      </c>
      <c r="B332" s="30" t="n">
        <v>17</v>
      </c>
      <c r="C332" s="31" t="s">
        <v>67</v>
      </c>
      <c r="D332" s="31" t="s">
        <v>101</v>
      </c>
      <c r="E332" s="30" t="n">
        <v>60</v>
      </c>
      <c r="F332" s="30" t="n">
        <v>53</v>
      </c>
      <c r="G332" s="30" t="str">
        <f aca="false">IF(E332&lt;判定条件!$C$6,"判定不能",IF(F332&gt;=判定条件!$C$7*E332,"運転",IF(F332&lt;=判定条件!$C$8*E332,"停止","断続")))</f>
        <v>運転</v>
      </c>
      <c r="H332" s="30" t="n">
        <v>60</v>
      </c>
      <c r="I332" s="30" t="n">
        <v>53</v>
      </c>
      <c r="J332" s="30" t="str">
        <f aca="false">IF(H332&lt;判定条件!$C$6,"判定不能",IF(I332&gt;=判定条件!$C$7*H332,"運転",IF(I332&lt;=判定条件!$C$8*H332,"停止","断続")))</f>
        <v>運転</v>
      </c>
      <c r="K332" s="30" t="n">
        <v>60</v>
      </c>
      <c r="L332" s="30" t="n">
        <v>60</v>
      </c>
      <c r="M332" s="30" t="str">
        <f aca="false">IF(K332&lt;判定条件!$C$6,"判定不能",IF(L332&gt;=判定条件!$C$7*K332,"運転",IF(L332&lt;=判定条件!$C$8*K332,"停止","断続")))</f>
        <v>運転</v>
      </c>
      <c r="N332" s="30" t="n">
        <v>60</v>
      </c>
      <c r="O332" s="30" t="n">
        <v>0</v>
      </c>
      <c r="P332" s="30" t="str">
        <f aca="false">IF(N332&lt;判定条件!$C$6,"判定不能",IF(O332&gt;=判定条件!$C$7*N332,"運転",IF(O332&lt;=判定条件!$C$8*N332,"停止","断続")))</f>
        <v>停止</v>
      </c>
      <c r="Q332" s="30" t="n">
        <v>60</v>
      </c>
      <c r="R332" s="30" t="n">
        <v>0</v>
      </c>
      <c r="S332" s="30" t="str">
        <f aca="false">IF(Q332&lt;判定条件!$C$6,"判定不能",IF(R332&gt;=判定条件!$C$7*Q332,"運転",IF(R332&lt;=判定条件!$C$8*Q332,"停止","断続")))</f>
        <v>停止</v>
      </c>
      <c r="T332" s="30" t="n">
        <v>60</v>
      </c>
      <c r="U332" s="30" t="n">
        <v>0</v>
      </c>
      <c r="V332" s="30" t="str">
        <f aca="false">IF(T332&lt;判定条件!$C$6,"判定不能",IF(U332&gt;=判定条件!$C$7*T332,"運転",IF(U332&lt;=判定条件!$C$8*T332,"停止","断続")))</f>
        <v>停止</v>
      </c>
      <c r="W332" s="30" t="n">
        <v>60</v>
      </c>
      <c r="X332" s="30" t="n">
        <v>23</v>
      </c>
      <c r="Y332" s="30" t="str">
        <f aca="false">IF(W332&lt;判定条件!$C$6,"判定不能",IF(X332&gt;=判定条件!$C$7*W332,"運転",IF(X332&lt;=判定条件!$C$8*W332,"停止","断続")))</f>
        <v>断続</v>
      </c>
      <c r="Z332" s="30" t="n">
        <v>60</v>
      </c>
      <c r="AA332" s="30" t="n">
        <v>24</v>
      </c>
      <c r="AB332" s="30" t="str">
        <f aca="false">IF(Z332&lt;判定条件!$C$6,"判定不能",IF(AA332&gt;=判定条件!$C$7*Z332,"運転",IF(AA332&lt;=判定条件!$C$8*Z332,"停止","断続")))</f>
        <v>断続</v>
      </c>
      <c r="AC332" s="30" t="n">
        <v>60</v>
      </c>
      <c r="AD332" s="30" t="n">
        <v>60</v>
      </c>
      <c r="AE332" s="30" t="str">
        <f aca="false">IF(AC332&lt;判定条件!$C$6,"判定不能",IF(AD332&gt;=判定条件!$C$7*AC332,"運転",IF(AD332&lt;=判定条件!$C$8*AC332,"停止","断続")))</f>
        <v>運転</v>
      </c>
      <c r="AF332" s="30" t="n">
        <v>60</v>
      </c>
      <c r="AG332" s="30" t="n">
        <v>0</v>
      </c>
      <c r="AH332" s="30" t="str">
        <f aca="false">IF(OR(P332="判定不能",G332="判定不能"),"判定不能",IF(AG332&gt;=判定条件!$C$9,"利用可",IF(AND(P332="停止",G332="停止"),"両方停止","運転がそろわない")))</f>
        <v>運転がそろわない</v>
      </c>
      <c r="AI332" s="30" t="n">
        <v>60</v>
      </c>
      <c r="AJ332" s="30" t="n">
        <v>0</v>
      </c>
      <c r="AK332" s="30" t="str">
        <f aca="false">IF(OR(S332="判定不能",J332="判定不能"),"判定不能",IF(AJ332&gt;=判定条件!$C$9,"利用可",IF(AND(S332="停止",J332="停止"),"両方停止","運転がそろわない")))</f>
        <v>運転がそろわない</v>
      </c>
      <c r="AL332" s="30" t="n">
        <v>60</v>
      </c>
      <c r="AM332" s="30" t="n">
        <v>0</v>
      </c>
      <c r="AN332" s="30" t="str">
        <f aca="false">IF(OR(V332="判定不能",M332="判定不能"),"判定不能",IF(AM332&gt;=判定条件!$C$9,"利用可",IF(AND(V332="停止",M332="停止"),"両方停止","運転がそろわない")))</f>
        <v>運転がそろわない</v>
      </c>
      <c r="AO332" s="30" t="n">
        <v>60</v>
      </c>
      <c r="AP332" s="30" t="n">
        <v>16</v>
      </c>
      <c r="AQ332" s="30" t="str">
        <f aca="false">IF(OR(Y332="判定不能",G332="判定不能"),"判定不能",IF(AP332&gt;=判定条件!$C$9,"利用可",IF(AND(Y332="停止",G332="停止"),"両方停止","運転がそろわない")))</f>
        <v>運転がそろわない</v>
      </c>
      <c r="AR332" s="30" t="n">
        <v>60</v>
      </c>
      <c r="AS332" s="30" t="n">
        <v>17</v>
      </c>
      <c r="AT332" s="30" t="str">
        <f aca="false">IF(OR(AB332="判定不能",J332="判定不能"),"判定不能",IF(AS332&gt;=判定条件!$C$9,"利用可",IF(AND(AB332="停止",J332="停止"),"両方停止","運転がそろわない")))</f>
        <v>運転がそろわない</v>
      </c>
      <c r="AU332" s="30" t="n">
        <v>60</v>
      </c>
      <c r="AV332" s="30" t="n">
        <v>60</v>
      </c>
      <c r="AW332" s="30" t="str">
        <f aca="false">IF(OR(AE332="判定不能",M332="判定不能"),"判定不能",IF(AV332&gt;=判定条件!$C$9,"利用可",IF(AND(AE332="停止",M332="停止"),"両方停止","運転がそろわない")))</f>
        <v>利用可</v>
      </c>
      <c r="AX332" s="30" t="str">
        <f aca="false">IF(AND(AH332="利用可",AK332="利用可",AN332="利用可"),"利用可","不可")</f>
        <v>不可</v>
      </c>
      <c r="AY332" s="30" t="str">
        <f aca="false">IF(AND(AQ332="利用可",AT332="利用可",AW332="利用可"),"利用可","不可")</f>
        <v>不可</v>
      </c>
    </row>
    <row r="333" customFormat="false" ht="15" hidden="false" customHeight="false" outlineLevel="0" collapsed="false">
      <c r="A333" s="29" t="n">
        <v>46245</v>
      </c>
      <c r="B333" s="30" t="n">
        <v>18</v>
      </c>
      <c r="C333" s="31" t="s">
        <v>67</v>
      </c>
      <c r="D333" s="31" t="s">
        <v>101</v>
      </c>
      <c r="E333" s="30" t="n">
        <v>60</v>
      </c>
      <c r="F333" s="30" t="n">
        <v>60</v>
      </c>
      <c r="G333" s="30" t="str">
        <f aca="false">IF(E333&lt;判定条件!$C$6,"判定不能",IF(F333&gt;=判定条件!$C$7*E333,"運転",IF(F333&lt;=判定条件!$C$8*E333,"停止","断続")))</f>
        <v>運転</v>
      </c>
      <c r="H333" s="30" t="n">
        <v>60</v>
      </c>
      <c r="I333" s="30" t="n">
        <v>54</v>
      </c>
      <c r="J333" s="30" t="str">
        <f aca="false">IF(H333&lt;判定条件!$C$6,"判定不能",IF(I333&gt;=判定条件!$C$7*H333,"運転",IF(I333&lt;=判定条件!$C$8*H333,"停止","断続")))</f>
        <v>運転</v>
      </c>
      <c r="K333" s="30" t="n">
        <v>60</v>
      </c>
      <c r="L333" s="30" t="n">
        <v>60</v>
      </c>
      <c r="M333" s="30" t="str">
        <f aca="false">IF(K333&lt;判定条件!$C$6,"判定不能",IF(L333&gt;=判定条件!$C$7*K333,"運転",IF(L333&lt;=判定条件!$C$8*K333,"停止","断続")))</f>
        <v>運転</v>
      </c>
      <c r="N333" s="30" t="n">
        <v>60</v>
      </c>
      <c r="O333" s="30" t="n">
        <v>0</v>
      </c>
      <c r="P333" s="30" t="str">
        <f aca="false">IF(N333&lt;判定条件!$C$6,"判定不能",IF(O333&gt;=判定条件!$C$7*N333,"運転",IF(O333&lt;=判定条件!$C$8*N333,"停止","断続")))</f>
        <v>停止</v>
      </c>
      <c r="Q333" s="30" t="n">
        <v>60</v>
      </c>
      <c r="R333" s="30" t="n">
        <v>0</v>
      </c>
      <c r="S333" s="30" t="str">
        <f aca="false">IF(Q333&lt;判定条件!$C$6,"判定不能",IF(R333&gt;=判定条件!$C$7*Q333,"運転",IF(R333&lt;=判定条件!$C$8*Q333,"停止","断続")))</f>
        <v>停止</v>
      </c>
      <c r="T333" s="30" t="n">
        <v>60</v>
      </c>
      <c r="U333" s="30" t="n">
        <v>0</v>
      </c>
      <c r="V333" s="30" t="str">
        <f aca="false">IF(T333&lt;判定条件!$C$6,"判定不能",IF(U333&gt;=判定条件!$C$7*T333,"運転",IF(U333&lt;=判定条件!$C$8*T333,"停止","断続")))</f>
        <v>停止</v>
      </c>
      <c r="W333" s="30" t="n">
        <v>60</v>
      </c>
      <c r="X333" s="30" t="n">
        <v>0</v>
      </c>
      <c r="Y333" s="30" t="str">
        <f aca="false">IF(W333&lt;判定条件!$C$6,"判定不能",IF(X333&gt;=判定条件!$C$7*W333,"運転",IF(X333&lt;=判定条件!$C$8*W333,"停止","断続")))</f>
        <v>停止</v>
      </c>
      <c r="Z333" s="30" t="n">
        <v>60</v>
      </c>
      <c r="AA333" s="30" t="n">
        <v>21</v>
      </c>
      <c r="AB333" s="30" t="str">
        <f aca="false">IF(Z333&lt;判定条件!$C$6,"判定不能",IF(AA333&gt;=判定条件!$C$7*Z333,"運転",IF(AA333&lt;=判定条件!$C$8*Z333,"停止","断続")))</f>
        <v>断続</v>
      </c>
      <c r="AC333" s="30" t="n">
        <v>60</v>
      </c>
      <c r="AD333" s="30" t="n">
        <v>31</v>
      </c>
      <c r="AE333" s="30" t="str">
        <f aca="false">IF(AC333&lt;判定条件!$C$6,"判定不能",IF(AD333&gt;=判定条件!$C$7*AC333,"運転",IF(AD333&lt;=判定条件!$C$8*AC333,"停止","断続")))</f>
        <v>断続</v>
      </c>
      <c r="AF333" s="30" t="n">
        <v>60</v>
      </c>
      <c r="AG333" s="30" t="n">
        <v>0</v>
      </c>
      <c r="AH333" s="30" t="str">
        <f aca="false">IF(OR(P333="判定不能",G333="判定不能"),"判定不能",IF(AG333&gt;=判定条件!$C$9,"利用可",IF(AND(P333="停止",G333="停止"),"両方停止","運転がそろわない")))</f>
        <v>運転がそろわない</v>
      </c>
      <c r="AI333" s="30" t="n">
        <v>60</v>
      </c>
      <c r="AJ333" s="30" t="n">
        <v>0</v>
      </c>
      <c r="AK333" s="30" t="str">
        <f aca="false">IF(OR(S333="判定不能",J333="判定不能"),"判定不能",IF(AJ333&gt;=判定条件!$C$9,"利用可",IF(AND(S333="停止",J333="停止"),"両方停止","運転がそろわない")))</f>
        <v>運転がそろわない</v>
      </c>
      <c r="AL333" s="30" t="n">
        <v>60</v>
      </c>
      <c r="AM333" s="30" t="n">
        <v>0</v>
      </c>
      <c r="AN333" s="30" t="str">
        <f aca="false">IF(OR(V333="判定不能",M333="判定不能"),"判定不能",IF(AM333&gt;=判定条件!$C$9,"利用可",IF(AND(V333="停止",M333="停止"),"両方停止","運転がそろわない")))</f>
        <v>運転がそろわない</v>
      </c>
      <c r="AO333" s="30" t="n">
        <v>60</v>
      </c>
      <c r="AP333" s="30" t="n">
        <v>0</v>
      </c>
      <c r="AQ333" s="30" t="str">
        <f aca="false">IF(OR(Y333="判定不能",G333="判定不能"),"判定不能",IF(AP333&gt;=判定条件!$C$9,"利用可",IF(AND(Y333="停止",G333="停止"),"両方停止","運転がそろわない")))</f>
        <v>運転がそろわない</v>
      </c>
      <c r="AR333" s="30" t="n">
        <v>60</v>
      </c>
      <c r="AS333" s="30" t="n">
        <v>21</v>
      </c>
      <c r="AT333" s="30" t="str">
        <f aca="false">IF(OR(AB333="判定不能",J333="判定不能"),"判定不能",IF(AS333&gt;=判定条件!$C$9,"利用可",IF(AND(AB333="停止",J333="停止"),"両方停止","運転がそろわない")))</f>
        <v>運転がそろわない</v>
      </c>
      <c r="AU333" s="30" t="n">
        <v>60</v>
      </c>
      <c r="AV333" s="30" t="n">
        <v>31</v>
      </c>
      <c r="AW333" s="30" t="str">
        <f aca="false">IF(OR(AE333="判定不能",M333="判定不能"),"判定不能",IF(AV333&gt;=判定条件!$C$9,"利用可",IF(AND(AE333="停止",M333="停止"),"両方停止","運転がそろわない")))</f>
        <v>利用可</v>
      </c>
      <c r="AX333" s="30" t="str">
        <f aca="false">IF(AND(AH333="利用可",AK333="利用可",AN333="利用可"),"利用可","不可")</f>
        <v>不可</v>
      </c>
      <c r="AY333" s="30" t="str">
        <f aca="false">IF(AND(AQ333="利用可",AT333="利用可",AW333="利用可"),"利用可","不可")</f>
        <v>不可</v>
      </c>
    </row>
    <row r="334" customFormat="false" ht="15" hidden="false" customHeight="false" outlineLevel="0" collapsed="false">
      <c r="A334" s="29" t="n">
        <v>46245</v>
      </c>
      <c r="B334" s="30" t="n">
        <v>19</v>
      </c>
      <c r="C334" s="31" t="s">
        <v>67</v>
      </c>
      <c r="D334" s="31" t="s">
        <v>101</v>
      </c>
      <c r="E334" s="30" t="n">
        <v>60</v>
      </c>
      <c r="F334" s="30" t="n">
        <v>54</v>
      </c>
      <c r="G334" s="30" t="str">
        <f aca="false">IF(E334&lt;判定条件!$C$6,"判定不能",IF(F334&gt;=判定条件!$C$7*E334,"運転",IF(F334&lt;=判定条件!$C$8*E334,"停止","断続")))</f>
        <v>運転</v>
      </c>
      <c r="H334" s="30" t="n">
        <v>60</v>
      </c>
      <c r="I334" s="30" t="n">
        <v>54</v>
      </c>
      <c r="J334" s="30" t="str">
        <f aca="false">IF(H334&lt;判定条件!$C$6,"判定不能",IF(I334&gt;=判定条件!$C$7*H334,"運転",IF(I334&lt;=判定条件!$C$8*H334,"停止","断続")))</f>
        <v>運転</v>
      </c>
      <c r="K334" s="30" t="n">
        <v>60</v>
      </c>
      <c r="L334" s="30" t="n">
        <v>60</v>
      </c>
      <c r="M334" s="30" t="str">
        <f aca="false">IF(K334&lt;判定条件!$C$6,"判定不能",IF(L334&gt;=判定条件!$C$7*K334,"運転",IF(L334&lt;=判定条件!$C$8*K334,"停止","断続")))</f>
        <v>運転</v>
      </c>
      <c r="N334" s="30" t="n">
        <v>60</v>
      </c>
      <c r="O334" s="30" t="n">
        <v>0</v>
      </c>
      <c r="P334" s="30" t="str">
        <f aca="false">IF(N334&lt;判定条件!$C$6,"判定不能",IF(O334&gt;=判定条件!$C$7*N334,"運転",IF(O334&lt;=判定条件!$C$8*N334,"停止","断続")))</f>
        <v>停止</v>
      </c>
      <c r="Q334" s="30" t="n">
        <v>60</v>
      </c>
      <c r="R334" s="30" t="n">
        <v>0</v>
      </c>
      <c r="S334" s="30" t="str">
        <f aca="false">IF(Q334&lt;判定条件!$C$6,"判定不能",IF(R334&gt;=判定条件!$C$7*Q334,"運転",IF(R334&lt;=判定条件!$C$8*Q334,"停止","断続")))</f>
        <v>停止</v>
      </c>
      <c r="T334" s="30" t="n">
        <v>60</v>
      </c>
      <c r="U334" s="30" t="n">
        <v>0</v>
      </c>
      <c r="V334" s="30" t="str">
        <f aca="false">IF(T334&lt;判定条件!$C$6,"判定不能",IF(U334&gt;=判定条件!$C$7*T334,"運転",IF(U334&lt;=判定条件!$C$8*T334,"停止","断続")))</f>
        <v>停止</v>
      </c>
      <c r="W334" s="30" t="n">
        <v>60</v>
      </c>
      <c r="X334" s="30" t="n">
        <v>1</v>
      </c>
      <c r="Y334" s="30" t="str">
        <f aca="false">IF(W334&lt;判定条件!$C$6,"判定不能",IF(X334&gt;=判定条件!$C$7*W334,"運転",IF(X334&lt;=判定条件!$C$8*W334,"停止","断続")))</f>
        <v>停止</v>
      </c>
      <c r="Z334" s="30" t="n">
        <v>60</v>
      </c>
      <c r="AA334" s="30" t="n">
        <v>27</v>
      </c>
      <c r="AB334" s="30" t="str">
        <f aca="false">IF(Z334&lt;判定条件!$C$6,"判定不能",IF(AA334&gt;=判定条件!$C$7*Z334,"運転",IF(AA334&lt;=判定条件!$C$8*Z334,"停止","断続")))</f>
        <v>断続</v>
      </c>
      <c r="AC334" s="30" t="n">
        <v>60</v>
      </c>
      <c r="AD334" s="30" t="n">
        <v>19</v>
      </c>
      <c r="AE334" s="30" t="str">
        <f aca="false">IF(AC334&lt;判定条件!$C$6,"判定不能",IF(AD334&gt;=判定条件!$C$7*AC334,"運転",IF(AD334&lt;=判定条件!$C$8*AC334,"停止","断続")))</f>
        <v>断続</v>
      </c>
      <c r="AF334" s="30" t="n">
        <v>60</v>
      </c>
      <c r="AG334" s="30" t="n">
        <v>0</v>
      </c>
      <c r="AH334" s="30" t="str">
        <f aca="false">IF(OR(P334="判定不能",G334="判定不能"),"判定不能",IF(AG334&gt;=判定条件!$C$9,"利用可",IF(AND(P334="停止",G334="停止"),"両方停止","運転がそろわない")))</f>
        <v>運転がそろわない</v>
      </c>
      <c r="AI334" s="30" t="n">
        <v>60</v>
      </c>
      <c r="AJ334" s="30" t="n">
        <v>0</v>
      </c>
      <c r="AK334" s="30" t="str">
        <f aca="false">IF(OR(S334="判定不能",J334="判定不能"),"判定不能",IF(AJ334&gt;=判定条件!$C$9,"利用可",IF(AND(S334="停止",J334="停止"),"両方停止","運転がそろわない")))</f>
        <v>運転がそろわない</v>
      </c>
      <c r="AL334" s="30" t="n">
        <v>60</v>
      </c>
      <c r="AM334" s="30" t="n">
        <v>0</v>
      </c>
      <c r="AN334" s="30" t="str">
        <f aca="false">IF(OR(V334="判定不能",M334="判定不能"),"判定不能",IF(AM334&gt;=判定条件!$C$9,"利用可",IF(AND(V334="停止",M334="停止"),"両方停止","運転がそろわない")))</f>
        <v>運転がそろわない</v>
      </c>
      <c r="AO334" s="30" t="n">
        <v>60</v>
      </c>
      <c r="AP334" s="30" t="n">
        <v>1</v>
      </c>
      <c r="AQ334" s="30" t="str">
        <f aca="false">IF(OR(Y334="判定不能",G334="判定不能"),"判定不能",IF(AP334&gt;=判定条件!$C$9,"利用可",IF(AND(Y334="停止",G334="停止"),"両方停止","運転がそろわない")))</f>
        <v>運転がそろわない</v>
      </c>
      <c r="AR334" s="30" t="n">
        <v>60</v>
      </c>
      <c r="AS334" s="30" t="n">
        <v>23</v>
      </c>
      <c r="AT334" s="30" t="str">
        <f aca="false">IF(OR(AB334="判定不能",J334="判定不能"),"判定不能",IF(AS334&gt;=判定条件!$C$9,"利用可",IF(AND(AB334="停止",J334="停止"),"両方停止","運転がそろわない")))</f>
        <v>運転がそろわない</v>
      </c>
      <c r="AU334" s="30" t="n">
        <v>60</v>
      </c>
      <c r="AV334" s="30" t="n">
        <v>19</v>
      </c>
      <c r="AW334" s="30" t="str">
        <f aca="false">IF(OR(AE334="判定不能",M334="判定不能"),"判定不能",IF(AV334&gt;=判定条件!$C$9,"利用可",IF(AND(AE334="停止",M334="停止"),"両方停止","運転がそろわない")))</f>
        <v>運転がそろわない</v>
      </c>
      <c r="AX334" s="30" t="str">
        <f aca="false">IF(AND(AH334="利用可",AK334="利用可",AN334="利用可"),"利用可","不可")</f>
        <v>不可</v>
      </c>
      <c r="AY334" s="30" t="str">
        <f aca="false">IF(AND(AQ334="利用可",AT334="利用可",AW334="利用可"),"利用可","不可")</f>
        <v>不可</v>
      </c>
    </row>
    <row r="335" customFormat="false" ht="15" hidden="false" customHeight="false" outlineLevel="0" collapsed="false">
      <c r="A335" s="29" t="n">
        <v>46245</v>
      </c>
      <c r="B335" s="30" t="n">
        <v>20</v>
      </c>
      <c r="C335" s="31" t="s">
        <v>67</v>
      </c>
      <c r="D335" s="31" t="s">
        <v>101</v>
      </c>
      <c r="E335" s="30" t="n">
        <v>60</v>
      </c>
      <c r="F335" s="30" t="n">
        <v>35</v>
      </c>
      <c r="G335" s="30" t="str">
        <f aca="false">IF(E335&lt;判定条件!$C$6,"判定不能",IF(F335&gt;=判定条件!$C$7*E335,"運転",IF(F335&lt;=判定条件!$C$8*E335,"停止","断続")))</f>
        <v>断続</v>
      </c>
      <c r="H335" s="30" t="n">
        <v>60</v>
      </c>
      <c r="I335" s="30" t="n">
        <v>45</v>
      </c>
      <c r="J335" s="30" t="str">
        <f aca="false">IF(H335&lt;判定条件!$C$6,"判定不能",IF(I335&gt;=判定条件!$C$7*H335,"運転",IF(I335&lt;=判定条件!$C$8*H335,"停止","断続")))</f>
        <v>断続</v>
      </c>
      <c r="K335" s="30" t="n">
        <v>60</v>
      </c>
      <c r="L335" s="30" t="n">
        <v>60</v>
      </c>
      <c r="M335" s="30" t="str">
        <f aca="false">IF(K335&lt;判定条件!$C$6,"判定不能",IF(L335&gt;=判定条件!$C$7*K335,"運転",IF(L335&lt;=判定条件!$C$8*K335,"停止","断続")))</f>
        <v>運転</v>
      </c>
      <c r="N335" s="30" t="n">
        <v>60</v>
      </c>
      <c r="O335" s="30" t="n">
        <v>0</v>
      </c>
      <c r="P335" s="30" t="str">
        <f aca="false">IF(N335&lt;判定条件!$C$6,"判定不能",IF(O335&gt;=判定条件!$C$7*N335,"運転",IF(O335&lt;=判定条件!$C$8*N335,"停止","断続")))</f>
        <v>停止</v>
      </c>
      <c r="Q335" s="30" t="n">
        <v>60</v>
      </c>
      <c r="R335" s="30" t="n">
        <v>0</v>
      </c>
      <c r="S335" s="30" t="str">
        <f aca="false">IF(Q335&lt;判定条件!$C$6,"判定不能",IF(R335&gt;=判定条件!$C$7*Q335,"運転",IF(R335&lt;=判定条件!$C$8*Q335,"停止","断続")))</f>
        <v>停止</v>
      </c>
      <c r="T335" s="30" t="n">
        <v>60</v>
      </c>
      <c r="U335" s="30" t="n">
        <v>0</v>
      </c>
      <c r="V335" s="30" t="str">
        <f aca="false">IF(T335&lt;判定条件!$C$6,"判定不能",IF(U335&gt;=判定条件!$C$7*T335,"運転",IF(U335&lt;=判定条件!$C$8*T335,"停止","断続")))</f>
        <v>停止</v>
      </c>
      <c r="W335" s="30" t="n">
        <v>60</v>
      </c>
      <c r="X335" s="30" t="n">
        <v>0</v>
      </c>
      <c r="Y335" s="30" t="str">
        <f aca="false">IF(W335&lt;判定条件!$C$6,"判定不能",IF(X335&gt;=判定条件!$C$7*W335,"運転",IF(X335&lt;=判定条件!$C$8*W335,"停止","断続")))</f>
        <v>停止</v>
      </c>
      <c r="Z335" s="30" t="n">
        <v>60</v>
      </c>
      <c r="AA335" s="30" t="n">
        <v>0</v>
      </c>
      <c r="AB335" s="30" t="str">
        <f aca="false">IF(Z335&lt;判定条件!$C$6,"判定不能",IF(AA335&gt;=判定条件!$C$7*Z335,"運転",IF(AA335&lt;=判定条件!$C$8*Z335,"停止","断続")))</f>
        <v>停止</v>
      </c>
      <c r="AC335" s="30" t="n">
        <v>60</v>
      </c>
      <c r="AD335" s="30" t="n">
        <v>0</v>
      </c>
      <c r="AE335" s="30" t="str">
        <f aca="false">IF(AC335&lt;判定条件!$C$6,"判定不能",IF(AD335&gt;=判定条件!$C$7*AC335,"運転",IF(AD335&lt;=判定条件!$C$8*AC335,"停止","断続")))</f>
        <v>停止</v>
      </c>
      <c r="AF335" s="30" t="n">
        <v>60</v>
      </c>
      <c r="AG335" s="30" t="n">
        <v>0</v>
      </c>
      <c r="AH335" s="30" t="str">
        <f aca="false">IF(OR(P335="判定不能",G335="判定不能"),"判定不能",IF(AG335&gt;=判定条件!$C$9,"利用可",IF(AND(P335="停止",G335="停止"),"両方停止","運転がそろわない")))</f>
        <v>運転がそろわない</v>
      </c>
      <c r="AI335" s="30" t="n">
        <v>60</v>
      </c>
      <c r="AJ335" s="30" t="n">
        <v>0</v>
      </c>
      <c r="AK335" s="30" t="str">
        <f aca="false">IF(OR(S335="判定不能",J335="判定不能"),"判定不能",IF(AJ335&gt;=判定条件!$C$9,"利用可",IF(AND(S335="停止",J335="停止"),"両方停止","運転がそろわない")))</f>
        <v>運転がそろわない</v>
      </c>
      <c r="AL335" s="30" t="n">
        <v>60</v>
      </c>
      <c r="AM335" s="30" t="n">
        <v>0</v>
      </c>
      <c r="AN335" s="30" t="str">
        <f aca="false">IF(OR(V335="判定不能",M335="判定不能"),"判定不能",IF(AM335&gt;=判定条件!$C$9,"利用可",IF(AND(V335="停止",M335="停止"),"両方停止","運転がそろわない")))</f>
        <v>運転がそろわない</v>
      </c>
      <c r="AO335" s="30" t="n">
        <v>60</v>
      </c>
      <c r="AP335" s="30" t="n">
        <v>0</v>
      </c>
      <c r="AQ335" s="30" t="str">
        <f aca="false">IF(OR(Y335="判定不能",G335="判定不能"),"判定不能",IF(AP335&gt;=判定条件!$C$9,"利用可",IF(AND(Y335="停止",G335="停止"),"両方停止","運転がそろわない")))</f>
        <v>運転がそろわない</v>
      </c>
      <c r="AR335" s="30" t="n">
        <v>60</v>
      </c>
      <c r="AS335" s="30" t="n">
        <v>0</v>
      </c>
      <c r="AT335" s="30" t="str">
        <f aca="false">IF(OR(AB335="判定不能",J335="判定不能"),"判定不能",IF(AS335&gt;=判定条件!$C$9,"利用可",IF(AND(AB335="停止",J335="停止"),"両方停止","運転がそろわない")))</f>
        <v>運転がそろわない</v>
      </c>
      <c r="AU335" s="30" t="n">
        <v>60</v>
      </c>
      <c r="AV335" s="30" t="n">
        <v>0</v>
      </c>
      <c r="AW335" s="30" t="str">
        <f aca="false">IF(OR(AE335="判定不能",M335="判定不能"),"判定不能",IF(AV335&gt;=判定条件!$C$9,"利用可",IF(AND(AE335="停止",M335="停止"),"両方停止","運転がそろわない")))</f>
        <v>運転がそろわない</v>
      </c>
      <c r="AX335" s="30" t="str">
        <f aca="false">IF(AND(AH335="利用可",AK335="利用可",AN335="利用可"),"利用可","不可")</f>
        <v>不可</v>
      </c>
      <c r="AY335" s="30" t="str">
        <f aca="false">IF(AND(AQ335="利用可",AT335="利用可",AW335="利用可"),"利用可","不可")</f>
        <v>不可</v>
      </c>
    </row>
    <row r="336" customFormat="false" ht="15" hidden="false" customHeight="false" outlineLevel="0" collapsed="false">
      <c r="A336" s="29" t="n">
        <v>46245</v>
      </c>
      <c r="B336" s="30" t="n">
        <v>21</v>
      </c>
      <c r="C336" s="31" t="s">
        <v>67</v>
      </c>
      <c r="D336" s="31" t="s">
        <v>101</v>
      </c>
      <c r="E336" s="30" t="n">
        <v>60</v>
      </c>
      <c r="F336" s="30" t="n">
        <v>0</v>
      </c>
      <c r="G336" s="30" t="str">
        <f aca="false">IF(E336&lt;判定条件!$C$6,"判定不能",IF(F336&gt;=判定条件!$C$7*E336,"運転",IF(F336&lt;=判定条件!$C$8*E336,"停止","断続")))</f>
        <v>停止</v>
      </c>
      <c r="H336" s="30" t="n">
        <v>60</v>
      </c>
      <c r="I336" s="30" t="n">
        <v>0</v>
      </c>
      <c r="J336" s="30" t="str">
        <f aca="false">IF(H336&lt;判定条件!$C$6,"判定不能",IF(I336&gt;=判定条件!$C$7*H336,"運転",IF(I336&lt;=判定条件!$C$8*H336,"停止","断続")))</f>
        <v>停止</v>
      </c>
      <c r="K336" s="30" t="n">
        <v>60</v>
      </c>
      <c r="L336" s="30" t="n">
        <v>60</v>
      </c>
      <c r="M336" s="30" t="str">
        <f aca="false">IF(K336&lt;判定条件!$C$6,"判定不能",IF(L336&gt;=判定条件!$C$7*K336,"運転",IF(L336&lt;=判定条件!$C$8*K336,"停止","断続")))</f>
        <v>運転</v>
      </c>
      <c r="N336" s="30" t="n">
        <v>60</v>
      </c>
      <c r="O336" s="30" t="n">
        <v>0</v>
      </c>
      <c r="P336" s="30" t="str">
        <f aca="false">IF(N336&lt;判定条件!$C$6,"判定不能",IF(O336&gt;=判定条件!$C$7*N336,"運転",IF(O336&lt;=判定条件!$C$8*N336,"停止","断続")))</f>
        <v>停止</v>
      </c>
      <c r="Q336" s="30" t="n">
        <v>60</v>
      </c>
      <c r="R336" s="30" t="n">
        <v>0</v>
      </c>
      <c r="S336" s="30" t="str">
        <f aca="false">IF(Q336&lt;判定条件!$C$6,"判定不能",IF(R336&gt;=判定条件!$C$7*Q336,"運転",IF(R336&lt;=判定条件!$C$8*Q336,"停止","断続")))</f>
        <v>停止</v>
      </c>
      <c r="T336" s="30" t="n">
        <v>60</v>
      </c>
      <c r="U336" s="30" t="n">
        <v>0</v>
      </c>
      <c r="V336" s="30" t="str">
        <f aca="false">IF(T336&lt;判定条件!$C$6,"判定不能",IF(U336&gt;=判定条件!$C$7*T336,"運転",IF(U336&lt;=判定条件!$C$8*T336,"停止","断続")))</f>
        <v>停止</v>
      </c>
      <c r="W336" s="30" t="n">
        <v>60</v>
      </c>
      <c r="X336" s="30" t="n">
        <v>0</v>
      </c>
      <c r="Y336" s="30" t="str">
        <f aca="false">IF(W336&lt;判定条件!$C$6,"判定不能",IF(X336&gt;=判定条件!$C$7*W336,"運転",IF(X336&lt;=判定条件!$C$8*W336,"停止","断続")))</f>
        <v>停止</v>
      </c>
      <c r="Z336" s="30" t="n">
        <v>60</v>
      </c>
      <c r="AA336" s="30" t="n">
        <v>0</v>
      </c>
      <c r="AB336" s="30" t="str">
        <f aca="false">IF(Z336&lt;判定条件!$C$6,"判定不能",IF(AA336&gt;=判定条件!$C$7*Z336,"運転",IF(AA336&lt;=判定条件!$C$8*Z336,"停止","断続")))</f>
        <v>停止</v>
      </c>
      <c r="AC336" s="30" t="n">
        <v>60</v>
      </c>
      <c r="AD336" s="30" t="n">
        <v>0</v>
      </c>
      <c r="AE336" s="30" t="str">
        <f aca="false">IF(AC336&lt;判定条件!$C$6,"判定不能",IF(AD336&gt;=判定条件!$C$7*AC336,"運転",IF(AD336&lt;=判定条件!$C$8*AC336,"停止","断続")))</f>
        <v>停止</v>
      </c>
      <c r="AF336" s="30" t="n">
        <v>60</v>
      </c>
      <c r="AG336" s="30" t="n">
        <v>0</v>
      </c>
      <c r="AH336" s="30" t="str">
        <f aca="false">IF(OR(P336="判定不能",G336="判定不能"),"判定不能",IF(AG336&gt;=判定条件!$C$9,"利用可",IF(AND(P336="停止",G336="停止"),"両方停止","運転がそろわない")))</f>
        <v>両方停止</v>
      </c>
      <c r="AI336" s="30" t="n">
        <v>60</v>
      </c>
      <c r="AJ336" s="30" t="n">
        <v>0</v>
      </c>
      <c r="AK336" s="30" t="str">
        <f aca="false">IF(OR(S336="判定不能",J336="判定不能"),"判定不能",IF(AJ336&gt;=判定条件!$C$9,"利用可",IF(AND(S336="停止",J336="停止"),"両方停止","運転がそろわない")))</f>
        <v>両方停止</v>
      </c>
      <c r="AL336" s="30" t="n">
        <v>60</v>
      </c>
      <c r="AM336" s="30" t="n">
        <v>0</v>
      </c>
      <c r="AN336" s="30" t="str">
        <f aca="false">IF(OR(V336="判定不能",M336="判定不能"),"判定不能",IF(AM336&gt;=判定条件!$C$9,"利用可",IF(AND(V336="停止",M336="停止"),"両方停止","運転がそろわない")))</f>
        <v>運転がそろわない</v>
      </c>
      <c r="AO336" s="30" t="n">
        <v>60</v>
      </c>
      <c r="AP336" s="30" t="n">
        <v>0</v>
      </c>
      <c r="AQ336" s="30" t="str">
        <f aca="false">IF(OR(Y336="判定不能",G336="判定不能"),"判定不能",IF(AP336&gt;=判定条件!$C$9,"利用可",IF(AND(Y336="停止",G336="停止"),"両方停止","運転がそろわない")))</f>
        <v>両方停止</v>
      </c>
      <c r="AR336" s="30" t="n">
        <v>60</v>
      </c>
      <c r="AS336" s="30" t="n">
        <v>0</v>
      </c>
      <c r="AT336" s="30" t="str">
        <f aca="false">IF(OR(AB336="判定不能",J336="判定不能"),"判定不能",IF(AS336&gt;=判定条件!$C$9,"利用可",IF(AND(AB336="停止",J336="停止"),"両方停止","運転がそろわない")))</f>
        <v>両方停止</v>
      </c>
      <c r="AU336" s="30" t="n">
        <v>60</v>
      </c>
      <c r="AV336" s="30" t="n">
        <v>0</v>
      </c>
      <c r="AW336" s="30" t="str">
        <f aca="false">IF(OR(AE336="判定不能",M336="判定不能"),"判定不能",IF(AV336&gt;=判定条件!$C$9,"利用可",IF(AND(AE336="停止",M336="停止"),"両方停止","運転がそろわない")))</f>
        <v>運転がそろわない</v>
      </c>
      <c r="AX336" s="30" t="str">
        <f aca="false">IF(AND(AH336="利用可",AK336="利用可",AN336="利用可"),"利用可","不可")</f>
        <v>不可</v>
      </c>
      <c r="AY336" s="30" t="str">
        <f aca="false">IF(AND(AQ336="利用可",AT336="利用可",AW336="利用可"),"利用可","不可")</f>
        <v>不可</v>
      </c>
    </row>
    <row r="337" customFormat="false" ht="15" hidden="false" customHeight="false" outlineLevel="0" collapsed="false">
      <c r="A337" s="29" t="n">
        <v>46245</v>
      </c>
      <c r="B337" s="30" t="n">
        <v>22</v>
      </c>
      <c r="C337" s="31" t="s">
        <v>67</v>
      </c>
      <c r="D337" s="31" t="s">
        <v>101</v>
      </c>
      <c r="E337" s="30" t="n">
        <v>60</v>
      </c>
      <c r="F337" s="30" t="n">
        <v>0</v>
      </c>
      <c r="G337" s="30" t="str">
        <f aca="false">IF(E337&lt;判定条件!$C$6,"判定不能",IF(F337&gt;=判定条件!$C$7*E337,"運転",IF(F337&lt;=判定条件!$C$8*E337,"停止","断続")))</f>
        <v>停止</v>
      </c>
      <c r="H337" s="30" t="n">
        <v>60</v>
      </c>
      <c r="I337" s="30" t="n">
        <v>0</v>
      </c>
      <c r="J337" s="30" t="str">
        <f aca="false">IF(H337&lt;判定条件!$C$6,"判定不能",IF(I337&gt;=判定条件!$C$7*H337,"運転",IF(I337&lt;=判定条件!$C$8*H337,"停止","断続")))</f>
        <v>停止</v>
      </c>
      <c r="K337" s="30" t="n">
        <v>60</v>
      </c>
      <c r="L337" s="30" t="n">
        <v>60</v>
      </c>
      <c r="M337" s="30" t="str">
        <f aca="false">IF(K337&lt;判定条件!$C$6,"判定不能",IF(L337&gt;=判定条件!$C$7*K337,"運転",IF(L337&lt;=判定条件!$C$8*K337,"停止","断続")))</f>
        <v>運転</v>
      </c>
      <c r="N337" s="30" t="n">
        <v>60</v>
      </c>
      <c r="O337" s="30" t="n">
        <v>0</v>
      </c>
      <c r="P337" s="30" t="str">
        <f aca="false">IF(N337&lt;判定条件!$C$6,"判定不能",IF(O337&gt;=判定条件!$C$7*N337,"運転",IF(O337&lt;=判定条件!$C$8*N337,"停止","断続")))</f>
        <v>停止</v>
      </c>
      <c r="Q337" s="30" t="n">
        <v>60</v>
      </c>
      <c r="R337" s="30" t="n">
        <v>0</v>
      </c>
      <c r="S337" s="30" t="str">
        <f aca="false">IF(Q337&lt;判定条件!$C$6,"判定不能",IF(R337&gt;=判定条件!$C$7*Q337,"運転",IF(R337&lt;=判定条件!$C$8*Q337,"停止","断続")))</f>
        <v>停止</v>
      </c>
      <c r="T337" s="30" t="n">
        <v>60</v>
      </c>
      <c r="U337" s="30" t="n">
        <v>0</v>
      </c>
      <c r="V337" s="30" t="str">
        <f aca="false">IF(T337&lt;判定条件!$C$6,"判定不能",IF(U337&gt;=判定条件!$C$7*T337,"運転",IF(U337&lt;=判定条件!$C$8*T337,"停止","断続")))</f>
        <v>停止</v>
      </c>
      <c r="W337" s="30" t="n">
        <v>60</v>
      </c>
      <c r="X337" s="30" t="n">
        <v>0</v>
      </c>
      <c r="Y337" s="30" t="str">
        <f aca="false">IF(W337&lt;判定条件!$C$6,"判定不能",IF(X337&gt;=判定条件!$C$7*W337,"運転",IF(X337&lt;=判定条件!$C$8*W337,"停止","断続")))</f>
        <v>停止</v>
      </c>
      <c r="Z337" s="30" t="n">
        <v>60</v>
      </c>
      <c r="AA337" s="30" t="n">
        <v>0</v>
      </c>
      <c r="AB337" s="30" t="str">
        <f aca="false">IF(Z337&lt;判定条件!$C$6,"判定不能",IF(AA337&gt;=判定条件!$C$7*Z337,"運転",IF(AA337&lt;=判定条件!$C$8*Z337,"停止","断続")))</f>
        <v>停止</v>
      </c>
      <c r="AC337" s="30" t="n">
        <v>60</v>
      </c>
      <c r="AD337" s="30" t="n">
        <v>0</v>
      </c>
      <c r="AE337" s="30" t="str">
        <f aca="false">IF(AC337&lt;判定条件!$C$6,"判定不能",IF(AD337&gt;=判定条件!$C$7*AC337,"運転",IF(AD337&lt;=判定条件!$C$8*AC337,"停止","断続")))</f>
        <v>停止</v>
      </c>
      <c r="AF337" s="30" t="n">
        <v>60</v>
      </c>
      <c r="AG337" s="30" t="n">
        <v>0</v>
      </c>
      <c r="AH337" s="30" t="str">
        <f aca="false">IF(OR(P337="判定不能",G337="判定不能"),"判定不能",IF(AG337&gt;=判定条件!$C$9,"利用可",IF(AND(P337="停止",G337="停止"),"両方停止","運転がそろわない")))</f>
        <v>両方停止</v>
      </c>
      <c r="AI337" s="30" t="n">
        <v>60</v>
      </c>
      <c r="AJ337" s="30" t="n">
        <v>0</v>
      </c>
      <c r="AK337" s="30" t="str">
        <f aca="false">IF(OR(S337="判定不能",J337="判定不能"),"判定不能",IF(AJ337&gt;=判定条件!$C$9,"利用可",IF(AND(S337="停止",J337="停止"),"両方停止","運転がそろわない")))</f>
        <v>両方停止</v>
      </c>
      <c r="AL337" s="30" t="n">
        <v>60</v>
      </c>
      <c r="AM337" s="30" t="n">
        <v>0</v>
      </c>
      <c r="AN337" s="30" t="str">
        <f aca="false">IF(OR(V337="判定不能",M337="判定不能"),"判定不能",IF(AM337&gt;=判定条件!$C$9,"利用可",IF(AND(V337="停止",M337="停止"),"両方停止","運転がそろわない")))</f>
        <v>運転がそろわない</v>
      </c>
      <c r="AO337" s="30" t="n">
        <v>60</v>
      </c>
      <c r="AP337" s="30" t="n">
        <v>0</v>
      </c>
      <c r="AQ337" s="30" t="str">
        <f aca="false">IF(OR(Y337="判定不能",G337="判定不能"),"判定不能",IF(AP337&gt;=判定条件!$C$9,"利用可",IF(AND(Y337="停止",G337="停止"),"両方停止","運転がそろわない")))</f>
        <v>両方停止</v>
      </c>
      <c r="AR337" s="30" t="n">
        <v>60</v>
      </c>
      <c r="AS337" s="30" t="n">
        <v>0</v>
      </c>
      <c r="AT337" s="30" t="str">
        <f aca="false">IF(OR(AB337="判定不能",J337="判定不能"),"判定不能",IF(AS337&gt;=判定条件!$C$9,"利用可",IF(AND(AB337="停止",J337="停止"),"両方停止","運転がそろわない")))</f>
        <v>両方停止</v>
      </c>
      <c r="AU337" s="30" t="n">
        <v>60</v>
      </c>
      <c r="AV337" s="30" t="n">
        <v>0</v>
      </c>
      <c r="AW337" s="30" t="str">
        <f aca="false">IF(OR(AE337="判定不能",M337="判定不能"),"判定不能",IF(AV337&gt;=判定条件!$C$9,"利用可",IF(AND(AE337="停止",M337="停止"),"両方停止","運転がそろわない")))</f>
        <v>運転がそろわない</v>
      </c>
      <c r="AX337" s="30" t="str">
        <f aca="false">IF(AND(AH337="利用可",AK337="利用可",AN337="利用可"),"利用可","不可")</f>
        <v>不可</v>
      </c>
      <c r="AY337" s="30" t="str">
        <f aca="false">IF(AND(AQ337="利用可",AT337="利用可",AW337="利用可"),"利用可","不可")</f>
        <v>不可</v>
      </c>
    </row>
    <row r="338" customFormat="false" ht="15" hidden="false" customHeight="false" outlineLevel="0" collapsed="false">
      <c r="A338" s="29" t="n">
        <v>46245</v>
      </c>
      <c r="B338" s="30" t="n">
        <v>23</v>
      </c>
      <c r="C338" s="31" t="s">
        <v>67</v>
      </c>
      <c r="D338" s="31" t="s">
        <v>101</v>
      </c>
      <c r="E338" s="30" t="n">
        <v>60</v>
      </c>
      <c r="F338" s="30" t="n">
        <v>0</v>
      </c>
      <c r="G338" s="30" t="str">
        <f aca="false">IF(E338&lt;判定条件!$C$6,"判定不能",IF(F338&gt;=判定条件!$C$7*E338,"運転",IF(F338&lt;=判定条件!$C$8*E338,"停止","断続")))</f>
        <v>停止</v>
      </c>
      <c r="H338" s="30" t="n">
        <v>60</v>
      </c>
      <c r="I338" s="30" t="n">
        <v>0</v>
      </c>
      <c r="J338" s="30" t="str">
        <f aca="false">IF(H338&lt;判定条件!$C$6,"判定不能",IF(I338&gt;=判定条件!$C$7*H338,"運転",IF(I338&lt;=判定条件!$C$8*H338,"停止","断続")))</f>
        <v>停止</v>
      </c>
      <c r="K338" s="30" t="n">
        <v>60</v>
      </c>
      <c r="L338" s="30" t="n">
        <v>60</v>
      </c>
      <c r="M338" s="30" t="str">
        <f aca="false">IF(K338&lt;判定条件!$C$6,"判定不能",IF(L338&gt;=判定条件!$C$7*K338,"運転",IF(L338&lt;=判定条件!$C$8*K338,"停止","断続")))</f>
        <v>運転</v>
      </c>
      <c r="N338" s="30" t="n">
        <v>60</v>
      </c>
      <c r="O338" s="30" t="n">
        <v>0</v>
      </c>
      <c r="P338" s="30" t="str">
        <f aca="false">IF(N338&lt;判定条件!$C$6,"判定不能",IF(O338&gt;=判定条件!$C$7*N338,"運転",IF(O338&lt;=判定条件!$C$8*N338,"停止","断続")))</f>
        <v>停止</v>
      </c>
      <c r="Q338" s="30" t="n">
        <v>60</v>
      </c>
      <c r="R338" s="30" t="n">
        <v>0</v>
      </c>
      <c r="S338" s="30" t="str">
        <f aca="false">IF(Q338&lt;判定条件!$C$6,"判定不能",IF(R338&gt;=判定条件!$C$7*Q338,"運転",IF(R338&lt;=判定条件!$C$8*Q338,"停止","断続")))</f>
        <v>停止</v>
      </c>
      <c r="T338" s="30" t="n">
        <v>60</v>
      </c>
      <c r="U338" s="30" t="n">
        <v>0</v>
      </c>
      <c r="V338" s="30" t="str">
        <f aca="false">IF(T338&lt;判定条件!$C$6,"判定不能",IF(U338&gt;=判定条件!$C$7*T338,"運転",IF(U338&lt;=判定条件!$C$8*T338,"停止","断続")))</f>
        <v>停止</v>
      </c>
      <c r="W338" s="30" t="n">
        <v>60</v>
      </c>
      <c r="X338" s="30" t="n">
        <v>0</v>
      </c>
      <c r="Y338" s="30" t="str">
        <f aca="false">IF(W338&lt;判定条件!$C$6,"判定不能",IF(X338&gt;=判定条件!$C$7*W338,"運転",IF(X338&lt;=判定条件!$C$8*W338,"停止","断続")))</f>
        <v>停止</v>
      </c>
      <c r="Z338" s="30" t="n">
        <v>60</v>
      </c>
      <c r="AA338" s="30" t="n">
        <v>0</v>
      </c>
      <c r="AB338" s="30" t="str">
        <f aca="false">IF(Z338&lt;判定条件!$C$6,"判定不能",IF(AA338&gt;=判定条件!$C$7*Z338,"運転",IF(AA338&lt;=判定条件!$C$8*Z338,"停止","断続")))</f>
        <v>停止</v>
      </c>
      <c r="AC338" s="30" t="n">
        <v>60</v>
      </c>
      <c r="AD338" s="30" t="n">
        <v>0</v>
      </c>
      <c r="AE338" s="30" t="str">
        <f aca="false">IF(AC338&lt;判定条件!$C$6,"判定不能",IF(AD338&gt;=判定条件!$C$7*AC338,"運転",IF(AD338&lt;=判定条件!$C$8*AC338,"停止","断続")))</f>
        <v>停止</v>
      </c>
      <c r="AF338" s="30" t="n">
        <v>60</v>
      </c>
      <c r="AG338" s="30" t="n">
        <v>0</v>
      </c>
      <c r="AH338" s="30" t="str">
        <f aca="false">IF(OR(P338="判定不能",G338="判定不能"),"判定不能",IF(AG338&gt;=判定条件!$C$9,"利用可",IF(AND(P338="停止",G338="停止"),"両方停止","運転がそろわない")))</f>
        <v>両方停止</v>
      </c>
      <c r="AI338" s="30" t="n">
        <v>60</v>
      </c>
      <c r="AJ338" s="30" t="n">
        <v>0</v>
      </c>
      <c r="AK338" s="30" t="str">
        <f aca="false">IF(OR(S338="判定不能",J338="判定不能"),"判定不能",IF(AJ338&gt;=判定条件!$C$9,"利用可",IF(AND(S338="停止",J338="停止"),"両方停止","運転がそろわない")))</f>
        <v>両方停止</v>
      </c>
      <c r="AL338" s="30" t="n">
        <v>60</v>
      </c>
      <c r="AM338" s="30" t="n">
        <v>0</v>
      </c>
      <c r="AN338" s="30" t="str">
        <f aca="false">IF(OR(V338="判定不能",M338="判定不能"),"判定不能",IF(AM338&gt;=判定条件!$C$9,"利用可",IF(AND(V338="停止",M338="停止"),"両方停止","運転がそろわない")))</f>
        <v>運転がそろわない</v>
      </c>
      <c r="AO338" s="30" t="n">
        <v>60</v>
      </c>
      <c r="AP338" s="30" t="n">
        <v>0</v>
      </c>
      <c r="AQ338" s="30" t="str">
        <f aca="false">IF(OR(Y338="判定不能",G338="判定不能"),"判定不能",IF(AP338&gt;=判定条件!$C$9,"利用可",IF(AND(Y338="停止",G338="停止"),"両方停止","運転がそろわない")))</f>
        <v>両方停止</v>
      </c>
      <c r="AR338" s="30" t="n">
        <v>60</v>
      </c>
      <c r="AS338" s="30" t="n">
        <v>0</v>
      </c>
      <c r="AT338" s="30" t="str">
        <f aca="false">IF(OR(AB338="判定不能",J338="判定不能"),"判定不能",IF(AS338&gt;=判定条件!$C$9,"利用可",IF(AND(AB338="停止",J338="停止"),"両方停止","運転がそろわない")))</f>
        <v>両方停止</v>
      </c>
      <c r="AU338" s="30" t="n">
        <v>60</v>
      </c>
      <c r="AV338" s="30" t="n">
        <v>0</v>
      </c>
      <c r="AW338" s="30" t="str">
        <f aca="false">IF(OR(AE338="判定不能",M338="判定不能"),"判定不能",IF(AV338&gt;=判定条件!$C$9,"利用可",IF(AND(AE338="停止",M338="停止"),"両方停止","運転がそろわない")))</f>
        <v>運転がそろわない</v>
      </c>
      <c r="AX338" s="30" t="str">
        <f aca="false">IF(AND(AH338="利用可",AK338="利用可",AN338="利用可"),"利用可","不可")</f>
        <v>不可</v>
      </c>
      <c r="AY338" s="30" t="str">
        <f aca="false">IF(AND(AQ338="利用可",AT338="利用可",AW338="利用可"),"利用可","不可")</f>
        <v>不可</v>
      </c>
    </row>
    <row r="339" customFormat="false" ht="15" hidden="false" customHeight="false" outlineLevel="0" collapsed="false">
      <c r="A339" s="29" t="n">
        <v>46246</v>
      </c>
      <c r="B339" s="30" t="n">
        <v>0</v>
      </c>
      <c r="C339" s="31" t="s">
        <v>58</v>
      </c>
      <c r="D339" s="31" t="s">
        <v>59</v>
      </c>
      <c r="E339" s="30" t="n">
        <v>60</v>
      </c>
      <c r="F339" s="30" t="n">
        <v>0</v>
      </c>
      <c r="G339" s="30" t="str">
        <f aca="false">IF(E339&lt;判定条件!$C$6,"判定不能",IF(F339&gt;=判定条件!$C$7*E339,"運転",IF(F339&lt;=判定条件!$C$8*E339,"停止","断続")))</f>
        <v>停止</v>
      </c>
      <c r="H339" s="30" t="n">
        <v>60</v>
      </c>
      <c r="I339" s="30" t="n">
        <v>0</v>
      </c>
      <c r="J339" s="30" t="str">
        <f aca="false">IF(H339&lt;判定条件!$C$6,"判定不能",IF(I339&gt;=判定条件!$C$7*H339,"運転",IF(I339&lt;=判定条件!$C$8*H339,"停止","断続")))</f>
        <v>停止</v>
      </c>
      <c r="K339" s="30" t="n">
        <v>60</v>
      </c>
      <c r="L339" s="30" t="n">
        <v>60</v>
      </c>
      <c r="M339" s="30" t="str">
        <f aca="false">IF(K339&lt;判定条件!$C$6,"判定不能",IF(L339&gt;=判定条件!$C$7*K339,"運転",IF(L339&lt;=判定条件!$C$8*K339,"停止","断続")))</f>
        <v>運転</v>
      </c>
      <c r="N339" s="30" t="n">
        <v>60</v>
      </c>
      <c r="O339" s="30" t="n">
        <v>0</v>
      </c>
      <c r="P339" s="30" t="str">
        <f aca="false">IF(N339&lt;判定条件!$C$6,"判定不能",IF(O339&gt;=判定条件!$C$7*N339,"運転",IF(O339&lt;=判定条件!$C$8*N339,"停止","断続")))</f>
        <v>停止</v>
      </c>
      <c r="Q339" s="30" t="n">
        <v>60</v>
      </c>
      <c r="R339" s="30" t="n">
        <v>0</v>
      </c>
      <c r="S339" s="30" t="str">
        <f aca="false">IF(Q339&lt;判定条件!$C$6,"判定不能",IF(R339&gt;=判定条件!$C$7*Q339,"運転",IF(R339&lt;=判定条件!$C$8*Q339,"停止","断続")))</f>
        <v>停止</v>
      </c>
      <c r="T339" s="30" t="n">
        <v>60</v>
      </c>
      <c r="U339" s="30" t="n">
        <v>0</v>
      </c>
      <c r="V339" s="30" t="str">
        <f aca="false">IF(T339&lt;判定条件!$C$6,"判定不能",IF(U339&gt;=判定条件!$C$7*T339,"運転",IF(U339&lt;=判定条件!$C$8*T339,"停止","断続")))</f>
        <v>停止</v>
      </c>
      <c r="W339" s="30" t="n">
        <v>60</v>
      </c>
      <c r="X339" s="30" t="n">
        <v>0</v>
      </c>
      <c r="Y339" s="30" t="str">
        <f aca="false">IF(W339&lt;判定条件!$C$6,"判定不能",IF(X339&gt;=判定条件!$C$7*W339,"運転",IF(X339&lt;=判定条件!$C$8*W339,"停止","断続")))</f>
        <v>停止</v>
      </c>
      <c r="Z339" s="30" t="n">
        <v>60</v>
      </c>
      <c r="AA339" s="30" t="n">
        <v>0</v>
      </c>
      <c r="AB339" s="30" t="str">
        <f aca="false">IF(Z339&lt;判定条件!$C$6,"判定不能",IF(AA339&gt;=判定条件!$C$7*Z339,"運転",IF(AA339&lt;=判定条件!$C$8*Z339,"停止","断続")))</f>
        <v>停止</v>
      </c>
      <c r="AC339" s="30" t="n">
        <v>60</v>
      </c>
      <c r="AD339" s="30" t="n">
        <v>0</v>
      </c>
      <c r="AE339" s="30" t="str">
        <f aca="false">IF(AC339&lt;判定条件!$C$6,"判定不能",IF(AD339&gt;=判定条件!$C$7*AC339,"運転",IF(AD339&lt;=判定条件!$C$8*AC339,"停止","断続")))</f>
        <v>停止</v>
      </c>
      <c r="AF339" s="30" t="n">
        <v>60</v>
      </c>
      <c r="AG339" s="30" t="n">
        <v>0</v>
      </c>
      <c r="AH339" s="30" t="str">
        <f aca="false">IF(OR(P339="判定不能",G339="判定不能"),"判定不能",IF(AG339&gt;=判定条件!$C$9,"利用可",IF(AND(P339="停止",G339="停止"),"両方停止","運転がそろわない")))</f>
        <v>両方停止</v>
      </c>
      <c r="AI339" s="30" t="n">
        <v>60</v>
      </c>
      <c r="AJ339" s="30" t="n">
        <v>0</v>
      </c>
      <c r="AK339" s="30" t="str">
        <f aca="false">IF(OR(S339="判定不能",J339="判定不能"),"判定不能",IF(AJ339&gt;=判定条件!$C$9,"利用可",IF(AND(S339="停止",J339="停止"),"両方停止","運転がそろわない")))</f>
        <v>両方停止</v>
      </c>
      <c r="AL339" s="30" t="n">
        <v>60</v>
      </c>
      <c r="AM339" s="30" t="n">
        <v>0</v>
      </c>
      <c r="AN339" s="30" t="str">
        <f aca="false">IF(OR(V339="判定不能",M339="判定不能"),"判定不能",IF(AM339&gt;=判定条件!$C$9,"利用可",IF(AND(V339="停止",M339="停止"),"両方停止","運転がそろわない")))</f>
        <v>運転がそろわない</v>
      </c>
      <c r="AO339" s="30" t="n">
        <v>60</v>
      </c>
      <c r="AP339" s="30" t="n">
        <v>0</v>
      </c>
      <c r="AQ339" s="30" t="str">
        <f aca="false">IF(OR(Y339="判定不能",G339="判定不能"),"判定不能",IF(AP339&gt;=判定条件!$C$9,"利用可",IF(AND(Y339="停止",G339="停止"),"両方停止","運転がそろわない")))</f>
        <v>両方停止</v>
      </c>
      <c r="AR339" s="30" t="n">
        <v>60</v>
      </c>
      <c r="AS339" s="30" t="n">
        <v>0</v>
      </c>
      <c r="AT339" s="30" t="str">
        <f aca="false">IF(OR(AB339="判定不能",J339="判定不能"),"判定不能",IF(AS339&gt;=判定条件!$C$9,"利用可",IF(AND(AB339="停止",J339="停止"),"両方停止","運転がそろわない")))</f>
        <v>両方停止</v>
      </c>
      <c r="AU339" s="30" t="n">
        <v>60</v>
      </c>
      <c r="AV339" s="30" t="n">
        <v>0</v>
      </c>
      <c r="AW339" s="30" t="str">
        <f aca="false">IF(OR(AE339="判定不能",M339="判定不能"),"判定不能",IF(AV339&gt;=判定条件!$C$9,"利用可",IF(AND(AE339="停止",M339="停止"),"両方停止","運転がそろわない")))</f>
        <v>運転がそろわない</v>
      </c>
      <c r="AX339" s="30" t="str">
        <f aca="false">IF(AND(AH339="利用可",AK339="利用可",AN339="利用可"),"利用可","不可")</f>
        <v>不可</v>
      </c>
      <c r="AY339" s="30" t="str">
        <f aca="false">IF(AND(AQ339="利用可",AT339="利用可",AW339="利用可"),"利用可","不可")</f>
        <v>不可</v>
      </c>
    </row>
    <row r="340" customFormat="false" ht="15" hidden="false" customHeight="false" outlineLevel="0" collapsed="false">
      <c r="A340" s="29" t="n">
        <v>46246</v>
      </c>
      <c r="B340" s="30" t="n">
        <v>1</v>
      </c>
      <c r="C340" s="31" t="s">
        <v>58</v>
      </c>
      <c r="D340" s="31" t="s">
        <v>59</v>
      </c>
      <c r="E340" s="30" t="n">
        <v>60</v>
      </c>
      <c r="F340" s="30" t="n">
        <v>0</v>
      </c>
      <c r="G340" s="30" t="str">
        <f aca="false">IF(E340&lt;判定条件!$C$6,"判定不能",IF(F340&gt;=判定条件!$C$7*E340,"運転",IF(F340&lt;=判定条件!$C$8*E340,"停止","断続")))</f>
        <v>停止</v>
      </c>
      <c r="H340" s="30" t="n">
        <v>60</v>
      </c>
      <c r="I340" s="30" t="n">
        <v>0</v>
      </c>
      <c r="J340" s="30" t="str">
        <f aca="false">IF(H340&lt;判定条件!$C$6,"判定不能",IF(I340&gt;=判定条件!$C$7*H340,"運転",IF(I340&lt;=判定条件!$C$8*H340,"停止","断続")))</f>
        <v>停止</v>
      </c>
      <c r="K340" s="30" t="n">
        <v>60</v>
      </c>
      <c r="L340" s="30" t="n">
        <v>60</v>
      </c>
      <c r="M340" s="30" t="str">
        <f aca="false">IF(K340&lt;判定条件!$C$6,"判定不能",IF(L340&gt;=判定条件!$C$7*K340,"運転",IF(L340&lt;=判定条件!$C$8*K340,"停止","断続")))</f>
        <v>運転</v>
      </c>
      <c r="N340" s="30" t="n">
        <v>60</v>
      </c>
      <c r="O340" s="30" t="n">
        <v>0</v>
      </c>
      <c r="P340" s="30" t="str">
        <f aca="false">IF(N340&lt;判定条件!$C$6,"判定不能",IF(O340&gt;=判定条件!$C$7*N340,"運転",IF(O340&lt;=判定条件!$C$8*N340,"停止","断続")))</f>
        <v>停止</v>
      </c>
      <c r="Q340" s="30" t="n">
        <v>60</v>
      </c>
      <c r="R340" s="30" t="n">
        <v>0</v>
      </c>
      <c r="S340" s="30" t="str">
        <f aca="false">IF(Q340&lt;判定条件!$C$6,"判定不能",IF(R340&gt;=判定条件!$C$7*Q340,"運転",IF(R340&lt;=判定条件!$C$8*Q340,"停止","断続")))</f>
        <v>停止</v>
      </c>
      <c r="T340" s="30" t="n">
        <v>60</v>
      </c>
      <c r="U340" s="30" t="n">
        <v>0</v>
      </c>
      <c r="V340" s="30" t="str">
        <f aca="false">IF(T340&lt;判定条件!$C$6,"判定不能",IF(U340&gt;=判定条件!$C$7*T340,"運転",IF(U340&lt;=判定条件!$C$8*T340,"停止","断続")))</f>
        <v>停止</v>
      </c>
      <c r="W340" s="30" t="n">
        <v>60</v>
      </c>
      <c r="X340" s="30" t="n">
        <v>0</v>
      </c>
      <c r="Y340" s="30" t="str">
        <f aca="false">IF(W340&lt;判定条件!$C$6,"判定不能",IF(X340&gt;=判定条件!$C$7*W340,"運転",IF(X340&lt;=判定条件!$C$8*W340,"停止","断続")))</f>
        <v>停止</v>
      </c>
      <c r="Z340" s="30" t="n">
        <v>60</v>
      </c>
      <c r="AA340" s="30" t="n">
        <v>0</v>
      </c>
      <c r="AB340" s="30" t="str">
        <f aca="false">IF(Z340&lt;判定条件!$C$6,"判定不能",IF(AA340&gt;=判定条件!$C$7*Z340,"運転",IF(AA340&lt;=判定条件!$C$8*Z340,"停止","断続")))</f>
        <v>停止</v>
      </c>
      <c r="AC340" s="30" t="n">
        <v>60</v>
      </c>
      <c r="AD340" s="30" t="n">
        <v>0</v>
      </c>
      <c r="AE340" s="30" t="str">
        <f aca="false">IF(AC340&lt;判定条件!$C$6,"判定不能",IF(AD340&gt;=判定条件!$C$7*AC340,"運転",IF(AD340&lt;=判定条件!$C$8*AC340,"停止","断続")))</f>
        <v>停止</v>
      </c>
      <c r="AF340" s="30" t="n">
        <v>60</v>
      </c>
      <c r="AG340" s="30" t="n">
        <v>0</v>
      </c>
      <c r="AH340" s="30" t="str">
        <f aca="false">IF(OR(P340="判定不能",G340="判定不能"),"判定不能",IF(AG340&gt;=判定条件!$C$9,"利用可",IF(AND(P340="停止",G340="停止"),"両方停止","運転がそろわない")))</f>
        <v>両方停止</v>
      </c>
      <c r="AI340" s="30" t="n">
        <v>60</v>
      </c>
      <c r="AJ340" s="30" t="n">
        <v>0</v>
      </c>
      <c r="AK340" s="30" t="str">
        <f aca="false">IF(OR(S340="判定不能",J340="判定不能"),"判定不能",IF(AJ340&gt;=判定条件!$C$9,"利用可",IF(AND(S340="停止",J340="停止"),"両方停止","運転がそろわない")))</f>
        <v>両方停止</v>
      </c>
      <c r="AL340" s="30" t="n">
        <v>60</v>
      </c>
      <c r="AM340" s="30" t="n">
        <v>0</v>
      </c>
      <c r="AN340" s="30" t="str">
        <f aca="false">IF(OR(V340="判定不能",M340="判定不能"),"判定不能",IF(AM340&gt;=判定条件!$C$9,"利用可",IF(AND(V340="停止",M340="停止"),"両方停止","運転がそろわない")))</f>
        <v>運転がそろわない</v>
      </c>
      <c r="AO340" s="30" t="n">
        <v>60</v>
      </c>
      <c r="AP340" s="30" t="n">
        <v>0</v>
      </c>
      <c r="AQ340" s="30" t="str">
        <f aca="false">IF(OR(Y340="判定不能",G340="判定不能"),"判定不能",IF(AP340&gt;=判定条件!$C$9,"利用可",IF(AND(Y340="停止",G340="停止"),"両方停止","運転がそろわない")))</f>
        <v>両方停止</v>
      </c>
      <c r="AR340" s="30" t="n">
        <v>60</v>
      </c>
      <c r="AS340" s="30" t="n">
        <v>0</v>
      </c>
      <c r="AT340" s="30" t="str">
        <f aca="false">IF(OR(AB340="判定不能",J340="判定不能"),"判定不能",IF(AS340&gt;=判定条件!$C$9,"利用可",IF(AND(AB340="停止",J340="停止"),"両方停止","運転がそろわない")))</f>
        <v>両方停止</v>
      </c>
      <c r="AU340" s="30" t="n">
        <v>60</v>
      </c>
      <c r="AV340" s="30" t="n">
        <v>0</v>
      </c>
      <c r="AW340" s="30" t="str">
        <f aca="false">IF(OR(AE340="判定不能",M340="判定不能"),"判定不能",IF(AV340&gt;=判定条件!$C$9,"利用可",IF(AND(AE340="停止",M340="停止"),"両方停止","運転がそろわない")))</f>
        <v>運転がそろわない</v>
      </c>
      <c r="AX340" s="30" t="str">
        <f aca="false">IF(AND(AH340="利用可",AK340="利用可",AN340="利用可"),"利用可","不可")</f>
        <v>不可</v>
      </c>
      <c r="AY340" s="30" t="str">
        <f aca="false">IF(AND(AQ340="利用可",AT340="利用可",AW340="利用可"),"利用可","不可")</f>
        <v>不可</v>
      </c>
    </row>
    <row r="341" customFormat="false" ht="15" hidden="false" customHeight="false" outlineLevel="0" collapsed="false">
      <c r="A341" s="29" t="n">
        <v>46246</v>
      </c>
      <c r="B341" s="30" t="n">
        <v>2</v>
      </c>
      <c r="C341" s="31" t="s">
        <v>58</v>
      </c>
      <c r="D341" s="31" t="s">
        <v>59</v>
      </c>
      <c r="E341" s="30" t="n">
        <v>60</v>
      </c>
      <c r="F341" s="30" t="n">
        <v>0</v>
      </c>
      <c r="G341" s="30" t="str">
        <f aca="false">IF(E341&lt;判定条件!$C$6,"判定不能",IF(F341&gt;=判定条件!$C$7*E341,"運転",IF(F341&lt;=判定条件!$C$8*E341,"停止","断続")))</f>
        <v>停止</v>
      </c>
      <c r="H341" s="30" t="n">
        <v>60</v>
      </c>
      <c r="I341" s="30" t="n">
        <v>0</v>
      </c>
      <c r="J341" s="30" t="str">
        <f aca="false">IF(H341&lt;判定条件!$C$6,"判定不能",IF(I341&gt;=判定条件!$C$7*H341,"運転",IF(I341&lt;=判定条件!$C$8*H341,"停止","断続")))</f>
        <v>停止</v>
      </c>
      <c r="K341" s="30" t="n">
        <v>60</v>
      </c>
      <c r="L341" s="30" t="n">
        <v>60</v>
      </c>
      <c r="M341" s="30" t="str">
        <f aca="false">IF(K341&lt;判定条件!$C$6,"判定不能",IF(L341&gt;=判定条件!$C$7*K341,"運転",IF(L341&lt;=判定条件!$C$8*K341,"停止","断続")))</f>
        <v>運転</v>
      </c>
      <c r="N341" s="30" t="n">
        <v>60</v>
      </c>
      <c r="O341" s="30" t="n">
        <v>0</v>
      </c>
      <c r="P341" s="30" t="str">
        <f aca="false">IF(N341&lt;判定条件!$C$6,"判定不能",IF(O341&gt;=判定条件!$C$7*N341,"運転",IF(O341&lt;=判定条件!$C$8*N341,"停止","断続")))</f>
        <v>停止</v>
      </c>
      <c r="Q341" s="30" t="n">
        <v>60</v>
      </c>
      <c r="R341" s="30" t="n">
        <v>0</v>
      </c>
      <c r="S341" s="30" t="str">
        <f aca="false">IF(Q341&lt;判定条件!$C$6,"判定不能",IF(R341&gt;=判定条件!$C$7*Q341,"運転",IF(R341&lt;=判定条件!$C$8*Q341,"停止","断続")))</f>
        <v>停止</v>
      </c>
      <c r="T341" s="30" t="n">
        <v>60</v>
      </c>
      <c r="U341" s="30" t="n">
        <v>0</v>
      </c>
      <c r="V341" s="30" t="str">
        <f aca="false">IF(T341&lt;判定条件!$C$6,"判定不能",IF(U341&gt;=判定条件!$C$7*T341,"運転",IF(U341&lt;=判定条件!$C$8*T341,"停止","断続")))</f>
        <v>停止</v>
      </c>
      <c r="W341" s="30" t="n">
        <v>60</v>
      </c>
      <c r="X341" s="30" t="n">
        <v>0</v>
      </c>
      <c r="Y341" s="30" t="str">
        <f aca="false">IF(W341&lt;判定条件!$C$6,"判定不能",IF(X341&gt;=判定条件!$C$7*W341,"運転",IF(X341&lt;=判定条件!$C$8*W341,"停止","断続")))</f>
        <v>停止</v>
      </c>
      <c r="Z341" s="30" t="n">
        <v>60</v>
      </c>
      <c r="AA341" s="30" t="n">
        <v>0</v>
      </c>
      <c r="AB341" s="30" t="str">
        <f aca="false">IF(Z341&lt;判定条件!$C$6,"判定不能",IF(AA341&gt;=判定条件!$C$7*Z341,"運転",IF(AA341&lt;=判定条件!$C$8*Z341,"停止","断続")))</f>
        <v>停止</v>
      </c>
      <c r="AC341" s="30" t="n">
        <v>60</v>
      </c>
      <c r="AD341" s="30" t="n">
        <v>0</v>
      </c>
      <c r="AE341" s="30" t="str">
        <f aca="false">IF(AC341&lt;判定条件!$C$6,"判定不能",IF(AD341&gt;=判定条件!$C$7*AC341,"運転",IF(AD341&lt;=判定条件!$C$8*AC341,"停止","断続")))</f>
        <v>停止</v>
      </c>
      <c r="AF341" s="30" t="n">
        <v>60</v>
      </c>
      <c r="AG341" s="30" t="n">
        <v>0</v>
      </c>
      <c r="AH341" s="30" t="str">
        <f aca="false">IF(OR(P341="判定不能",G341="判定不能"),"判定不能",IF(AG341&gt;=判定条件!$C$9,"利用可",IF(AND(P341="停止",G341="停止"),"両方停止","運転がそろわない")))</f>
        <v>両方停止</v>
      </c>
      <c r="AI341" s="30" t="n">
        <v>60</v>
      </c>
      <c r="AJ341" s="30" t="n">
        <v>0</v>
      </c>
      <c r="AK341" s="30" t="str">
        <f aca="false">IF(OR(S341="判定不能",J341="判定不能"),"判定不能",IF(AJ341&gt;=判定条件!$C$9,"利用可",IF(AND(S341="停止",J341="停止"),"両方停止","運転がそろわない")))</f>
        <v>両方停止</v>
      </c>
      <c r="AL341" s="30" t="n">
        <v>60</v>
      </c>
      <c r="AM341" s="30" t="n">
        <v>0</v>
      </c>
      <c r="AN341" s="30" t="str">
        <f aca="false">IF(OR(V341="判定不能",M341="判定不能"),"判定不能",IF(AM341&gt;=判定条件!$C$9,"利用可",IF(AND(V341="停止",M341="停止"),"両方停止","運転がそろわない")))</f>
        <v>運転がそろわない</v>
      </c>
      <c r="AO341" s="30" t="n">
        <v>60</v>
      </c>
      <c r="AP341" s="30" t="n">
        <v>0</v>
      </c>
      <c r="AQ341" s="30" t="str">
        <f aca="false">IF(OR(Y341="判定不能",G341="判定不能"),"判定不能",IF(AP341&gt;=判定条件!$C$9,"利用可",IF(AND(Y341="停止",G341="停止"),"両方停止","運転がそろわない")))</f>
        <v>両方停止</v>
      </c>
      <c r="AR341" s="30" t="n">
        <v>60</v>
      </c>
      <c r="AS341" s="30" t="n">
        <v>0</v>
      </c>
      <c r="AT341" s="30" t="str">
        <f aca="false">IF(OR(AB341="判定不能",J341="判定不能"),"判定不能",IF(AS341&gt;=判定条件!$C$9,"利用可",IF(AND(AB341="停止",J341="停止"),"両方停止","運転がそろわない")))</f>
        <v>両方停止</v>
      </c>
      <c r="AU341" s="30" t="n">
        <v>60</v>
      </c>
      <c r="AV341" s="30" t="n">
        <v>0</v>
      </c>
      <c r="AW341" s="30" t="str">
        <f aca="false">IF(OR(AE341="判定不能",M341="判定不能"),"判定不能",IF(AV341&gt;=判定条件!$C$9,"利用可",IF(AND(AE341="停止",M341="停止"),"両方停止","運転がそろわない")))</f>
        <v>運転がそろわない</v>
      </c>
      <c r="AX341" s="30" t="str">
        <f aca="false">IF(AND(AH341="利用可",AK341="利用可",AN341="利用可"),"利用可","不可")</f>
        <v>不可</v>
      </c>
      <c r="AY341" s="30" t="str">
        <f aca="false">IF(AND(AQ341="利用可",AT341="利用可",AW341="利用可"),"利用可","不可")</f>
        <v>不可</v>
      </c>
    </row>
    <row r="342" customFormat="false" ht="15" hidden="false" customHeight="false" outlineLevel="0" collapsed="false">
      <c r="A342" s="29" t="n">
        <v>46246</v>
      </c>
      <c r="B342" s="30" t="n">
        <v>3</v>
      </c>
      <c r="C342" s="31" t="s">
        <v>58</v>
      </c>
      <c r="D342" s="31" t="s">
        <v>59</v>
      </c>
      <c r="E342" s="30" t="n">
        <v>60</v>
      </c>
      <c r="F342" s="30" t="n">
        <v>0</v>
      </c>
      <c r="G342" s="30" t="str">
        <f aca="false">IF(E342&lt;判定条件!$C$6,"判定不能",IF(F342&gt;=判定条件!$C$7*E342,"運転",IF(F342&lt;=判定条件!$C$8*E342,"停止","断続")))</f>
        <v>停止</v>
      </c>
      <c r="H342" s="30" t="n">
        <v>60</v>
      </c>
      <c r="I342" s="30" t="n">
        <v>0</v>
      </c>
      <c r="J342" s="30" t="str">
        <f aca="false">IF(H342&lt;判定条件!$C$6,"判定不能",IF(I342&gt;=判定条件!$C$7*H342,"運転",IF(I342&lt;=判定条件!$C$8*H342,"停止","断続")))</f>
        <v>停止</v>
      </c>
      <c r="K342" s="30" t="n">
        <v>60</v>
      </c>
      <c r="L342" s="30" t="n">
        <v>60</v>
      </c>
      <c r="M342" s="30" t="str">
        <f aca="false">IF(K342&lt;判定条件!$C$6,"判定不能",IF(L342&gt;=判定条件!$C$7*K342,"運転",IF(L342&lt;=判定条件!$C$8*K342,"停止","断続")))</f>
        <v>運転</v>
      </c>
      <c r="N342" s="30" t="n">
        <v>60</v>
      </c>
      <c r="O342" s="30" t="n">
        <v>0</v>
      </c>
      <c r="P342" s="30" t="str">
        <f aca="false">IF(N342&lt;判定条件!$C$6,"判定不能",IF(O342&gt;=判定条件!$C$7*N342,"運転",IF(O342&lt;=判定条件!$C$8*N342,"停止","断続")))</f>
        <v>停止</v>
      </c>
      <c r="Q342" s="30" t="n">
        <v>60</v>
      </c>
      <c r="R342" s="30" t="n">
        <v>0</v>
      </c>
      <c r="S342" s="30" t="str">
        <f aca="false">IF(Q342&lt;判定条件!$C$6,"判定不能",IF(R342&gt;=判定条件!$C$7*Q342,"運転",IF(R342&lt;=判定条件!$C$8*Q342,"停止","断続")))</f>
        <v>停止</v>
      </c>
      <c r="T342" s="30" t="n">
        <v>60</v>
      </c>
      <c r="U342" s="30" t="n">
        <v>0</v>
      </c>
      <c r="V342" s="30" t="str">
        <f aca="false">IF(T342&lt;判定条件!$C$6,"判定不能",IF(U342&gt;=判定条件!$C$7*T342,"運転",IF(U342&lt;=判定条件!$C$8*T342,"停止","断続")))</f>
        <v>停止</v>
      </c>
      <c r="W342" s="30" t="n">
        <v>60</v>
      </c>
      <c r="X342" s="30" t="n">
        <v>0</v>
      </c>
      <c r="Y342" s="30" t="str">
        <f aca="false">IF(W342&lt;判定条件!$C$6,"判定不能",IF(X342&gt;=判定条件!$C$7*W342,"運転",IF(X342&lt;=判定条件!$C$8*W342,"停止","断続")))</f>
        <v>停止</v>
      </c>
      <c r="Z342" s="30" t="n">
        <v>60</v>
      </c>
      <c r="AA342" s="30" t="n">
        <v>0</v>
      </c>
      <c r="AB342" s="30" t="str">
        <f aca="false">IF(Z342&lt;判定条件!$C$6,"判定不能",IF(AA342&gt;=判定条件!$C$7*Z342,"運転",IF(AA342&lt;=判定条件!$C$8*Z342,"停止","断続")))</f>
        <v>停止</v>
      </c>
      <c r="AC342" s="30" t="n">
        <v>60</v>
      </c>
      <c r="AD342" s="30" t="n">
        <v>0</v>
      </c>
      <c r="AE342" s="30" t="str">
        <f aca="false">IF(AC342&lt;判定条件!$C$6,"判定不能",IF(AD342&gt;=判定条件!$C$7*AC342,"運転",IF(AD342&lt;=判定条件!$C$8*AC342,"停止","断続")))</f>
        <v>停止</v>
      </c>
      <c r="AF342" s="30" t="n">
        <v>60</v>
      </c>
      <c r="AG342" s="30" t="n">
        <v>0</v>
      </c>
      <c r="AH342" s="30" t="str">
        <f aca="false">IF(OR(P342="判定不能",G342="判定不能"),"判定不能",IF(AG342&gt;=判定条件!$C$9,"利用可",IF(AND(P342="停止",G342="停止"),"両方停止","運転がそろわない")))</f>
        <v>両方停止</v>
      </c>
      <c r="AI342" s="30" t="n">
        <v>60</v>
      </c>
      <c r="AJ342" s="30" t="n">
        <v>0</v>
      </c>
      <c r="AK342" s="30" t="str">
        <f aca="false">IF(OR(S342="判定不能",J342="判定不能"),"判定不能",IF(AJ342&gt;=判定条件!$C$9,"利用可",IF(AND(S342="停止",J342="停止"),"両方停止","運転がそろわない")))</f>
        <v>両方停止</v>
      </c>
      <c r="AL342" s="30" t="n">
        <v>60</v>
      </c>
      <c r="AM342" s="30" t="n">
        <v>0</v>
      </c>
      <c r="AN342" s="30" t="str">
        <f aca="false">IF(OR(V342="判定不能",M342="判定不能"),"判定不能",IF(AM342&gt;=判定条件!$C$9,"利用可",IF(AND(V342="停止",M342="停止"),"両方停止","運転がそろわない")))</f>
        <v>運転がそろわない</v>
      </c>
      <c r="AO342" s="30" t="n">
        <v>60</v>
      </c>
      <c r="AP342" s="30" t="n">
        <v>0</v>
      </c>
      <c r="AQ342" s="30" t="str">
        <f aca="false">IF(OR(Y342="判定不能",G342="判定不能"),"判定不能",IF(AP342&gt;=判定条件!$C$9,"利用可",IF(AND(Y342="停止",G342="停止"),"両方停止","運転がそろわない")))</f>
        <v>両方停止</v>
      </c>
      <c r="AR342" s="30" t="n">
        <v>60</v>
      </c>
      <c r="AS342" s="30" t="n">
        <v>0</v>
      </c>
      <c r="AT342" s="30" t="str">
        <f aca="false">IF(OR(AB342="判定不能",J342="判定不能"),"判定不能",IF(AS342&gt;=判定条件!$C$9,"利用可",IF(AND(AB342="停止",J342="停止"),"両方停止","運転がそろわない")))</f>
        <v>両方停止</v>
      </c>
      <c r="AU342" s="30" t="n">
        <v>60</v>
      </c>
      <c r="AV342" s="30" t="n">
        <v>0</v>
      </c>
      <c r="AW342" s="30" t="str">
        <f aca="false">IF(OR(AE342="判定不能",M342="判定不能"),"判定不能",IF(AV342&gt;=判定条件!$C$9,"利用可",IF(AND(AE342="停止",M342="停止"),"両方停止","運転がそろわない")))</f>
        <v>運転がそろわない</v>
      </c>
      <c r="AX342" s="30" t="str">
        <f aca="false">IF(AND(AH342="利用可",AK342="利用可",AN342="利用可"),"利用可","不可")</f>
        <v>不可</v>
      </c>
      <c r="AY342" s="30" t="str">
        <f aca="false">IF(AND(AQ342="利用可",AT342="利用可",AW342="利用可"),"利用可","不可")</f>
        <v>不可</v>
      </c>
    </row>
    <row r="343" customFormat="false" ht="15" hidden="false" customHeight="false" outlineLevel="0" collapsed="false">
      <c r="A343" s="29" t="n">
        <v>46246</v>
      </c>
      <c r="B343" s="30" t="n">
        <v>4</v>
      </c>
      <c r="C343" s="31" t="s">
        <v>58</v>
      </c>
      <c r="D343" s="31" t="s">
        <v>59</v>
      </c>
      <c r="E343" s="30" t="n">
        <v>60</v>
      </c>
      <c r="F343" s="30" t="n">
        <v>0</v>
      </c>
      <c r="G343" s="30" t="str">
        <f aca="false">IF(E343&lt;判定条件!$C$6,"判定不能",IF(F343&gt;=判定条件!$C$7*E343,"運転",IF(F343&lt;=判定条件!$C$8*E343,"停止","断続")))</f>
        <v>停止</v>
      </c>
      <c r="H343" s="30" t="n">
        <v>60</v>
      </c>
      <c r="I343" s="30" t="n">
        <v>0</v>
      </c>
      <c r="J343" s="30" t="str">
        <f aca="false">IF(H343&lt;判定条件!$C$6,"判定不能",IF(I343&gt;=判定条件!$C$7*H343,"運転",IF(I343&lt;=判定条件!$C$8*H343,"停止","断続")))</f>
        <v>停止</v>
      </c>
      <c r="K343" s="30" t="n">
        <v>60</v>
      </c>
      <c r="L343" s="30" t="n">
        <v>60</v>
      </c>
      <c r="M343" s="30" t="str">
        <f aca="false">IF(K343&lt;判定条件!$C$6,"判定不能",IF(L343&gt;=判定条件!$C$7*K343,"運転",IF(L343&lt;=判定条件!$C$8*K343,"停止","断続")))</f>
        <v>運転</v>
      </c>
      <c r="N343" s="30" t="n">
        <v>60</v>
      </c>
      <c r="O343" s="30" t="n">
        <v>0</v>
      </c>
      <c r="P343" s="30" t="str">
        <f aca="false">IF(N343&lt;判定条件!$C$6,"判定不能",IF(O343&gt;=判定条件!$C$7*N343,"運転",IF(O343&lt;=判定条件!$C$8*N343,"停止","断続")))</f>
        <v>停止</v>
      </c>
      <c r="Q343" s="30" t="n">
        <v>60</v>
      </c>
      <c r="R343" s="30" t="n">
        <v>0</v>
      </c>
      <c r="S343" s="30" t="str">
        <f aca="false">IF(Q343&lt;判定条件!$C$6,"判定不能",IF(R343&gt;=判定条件!$C$7*Q343,"運転",IF(R343&lt;=判定条件!$C$8*Q343,"停止","断続")))</f>
        <v>停止</v>
      </c>
      <c r="T343" s="30" t="n">
        <v>60</v>
      </c>
      <c r="U343" s="30" t="n">
        <v>0</v>
      </c>
      <c r="V343" s="30" t="str">
        <f aca="false">IF(T343&lt;判定条件!$C$6,"判定不能",IF(U343&gt;=判定条件!$C$7*T343,"運転",IF(U343&lt;=判定条件!$C$8*T343,"停止","断続")))</f>
        <v>停止</v>
      </c>
      <c r="W343" s="30" t="n">
        <v>60</v>
      </c>
      <c r="X343" s="30" t="n">
        <v>0</v>
      </c>
      <c r="Y343" s="30" t="str">
        <f aca="false">IF(W343&lt;判定条件!$C$6,"判定不能",IF(X343&gt;=判定条件!$C$7*W343,"運転",IF(X343&lt;=判定条件!$C$8*W343,"停止","断続")))</f>
        <v>停止</v>
      </c>
      <c r="Z343" s="30" t="n">
        <v>60</v>
      </c>
      <c r="AA343" s="30" t="n">
        <v>0</v>
      </c>
      <c r="AB343" s="30" t="str">
        <f aca="false">IF(Z343&lt;判定条件!$C$6,"判定不能",IF(AA343&gt;=判定条件!$C$7*Z343,"運転",IF(AA343&lt;=判定条件!$C$8*Z343,"停止","断続")))</f>
        <v>停止</v>
      </c>
      <c r="AC343" s="30" t="n">
        <v>60</v>
      </c>
      <c r="AD343" s="30" t="n">
        <v>0</v>
      </c>
      <c r="AE343" s="30" t="str">
        <f aca="false">IF(AC343&lt;判定条件!$C$6,"判定不能",IF(AD343&gt;=判定条件!$C$7*AC343,"運転",IF(AD343&lt;=判定条件!$C$8*AC343,"停止","断続")))</f>
        <v>停止</v>
      </c>
      <c r="AF343" s="30" t="n">
        <v>60</v>
      </c>
      <c r="AG343" s="30" t="n">
        <v>0</v>
      </c>
      <c r="AH343" s="30" t="str">
        <f aca="false">IF(OR(P343="判定不能",G343="判定不能"),"判定不能",IF(AG343&gt;=判定条件!$C$9,"利用可",IF(AND(P343="停止",G343="停止"),"両方停止","運転がそろわない")))</f>
        <v>両方停止</v>
      </c>
      <c r="AI343" s="30" t="n">
        <v>60</v>
      </c>
      <c r="AJ343" s="30" t="n">
        <v>0</v>
      </c>
      <c r="AK343" s="30" t="str">
        <f aca="false">IF(OR(S343="判定不能",J343="判定不能"),"判定不能",IF(AJ343&gt;=判定条件!$C$9,"利用可",IF(AND(S343="停止",J343="停止"),"両方停止","運転がそろわない")))</f>
        <v>両方停止</v>
      </c>
      <c r="AL343" s="30" t="n">
        <v>60</v>
      </c>
      <c r="AM343" s="30" t="n">
        <v>0</v>
      </c>
      <c r="AN343" s="30" t="str">
        <f aca="false">IF(OR(V343="判定不能",M343="判定不能"),"判定不能",IF(AM343&gt;=判定条件!$C$9,"利用可",IF(AND(V343="停止",M343="停止"),"両方停止","運転がそろわない")))</f>
        <v>運転がそろわない</v>
      </c>
      <c r="AO343" s="30" t="n">
        <v>60</v>
      </c>
      <c r="AP343" s="30" t="n">
        <v>0</v>
      </c>
      <c r="AQ343" s="30" t="str">
        <f aca="false">IF(OR(Y343="判定不能",G343="判定不能"),"判定不能",IF(AP343&gt;=判定条件!$C$9,"利用可",IF(AND(Y343="停止",G343="停止"),"両方停止","運転がそろわない")))</f>
        <v>両方停止</v>
      </c>
      <c r="AR343" s="30" t="n">
        <v>60</v>
      </c>
      <c r="AS343" s="30" t="n">
        <v>0</v>
      </c>
      <c r="AT343" s="30" t="str">
        <f aca="false">IF(OR(AB343="判定不能",J343="判定不能"),"判定不能",IF(AS343&gt;=判定条件!$C$9,"利用可",IF(AND(AB343="停止",J343="停止"),"両方停止","運転がそろわない")))</f>
        <v>両方停止</v>
      </c>
      <c r="AU343" s="30" t="n">
        <v>60</v>
      </c>
      <c r="AV343" s="30" t="n">
        <v>0</v>
      </c>
      <c r="AW343" s="30" t="str">
        <f aca="false">IF(OR(AE343="判定不能",M343="判定不能"),"判定不能",IF(AV343&gt;=判定条件!$C$9,"利用可",IF(AND(AE343="停止",M343="停止"),"両方停止","運転がそろわない")))</f>
        <v>運転がそろわない</v>
      </c>
      <c r="AX343" s="30" t="str">
        <f aca="false">IF(AND(AH343="利用可",AK343="利用可",AN343="利用可"),"利用可","不可")</f>
        <v>不可</v>
      </c>
      <c r="AY343" s="30" t="str">
        <f aca="false">IF(AND(AQ343="利用可",AT343="利用可",AW343="利用可"),"利用可","不可")</f>
        <v>不可</v>
      </c>
    </row>
    <row r="344" customFormat="false" ht="15" hidden="false" customHeight="false" outlineLevel="0" collapsed="false">
      <c r="A344" s="29" t="n">
        <v>46246</v>
      </c>
      <c r="B344" s="30" t="n">
        <v>5</v>
      </c>
      <c r="C344" s="31" t="s">
        <v>58</v>
      </c>
      <c r="D344" s="31" t="s">
        <v>59</v>
      </c>
      <c r="E344" s="30" t="n">
        <v>60</v>
      </c>
      <c r="F344" s="30" t="n">
        <v>0</v>
      </c>
      <c r="G344" s="30" t="str">
        <f aca="false">IF(E344&lt;判定条件!$C$6,"判定不能",IF(F344&gt;=判定条件!$C$7*E344,"運転",IF(F344&lt;=判定条件!$C$8*E344,"停止","断続")))</f>
        <v>停止</v>
      </c>
      <c r="H344" s="30" t="n">
        <v>60</v>
      </c>
      <c r="I344" s="30" t="n">
        <v>0</v>
      </c>
      <c r="J344" s="30" t="str">
        <f aca="false">IF(H344&lt;判定条件!$C$6,"判定不能",IF(I344&gt;=判定条件!$C$7*H344,"運転",IF(I344&lt;=判定条件!$C$8*H344,"停止","断続")))</f>
        <v>停止</v>
      </c>
      <c r="K344" s="30" t="n">
        <v>60</v>
      </c>
      <c r="L344" s="30" t="n">
        <v>60</v>
      </c>
      <c r="M344" s="30" t="str">
        <f aca="false">IF(K344&lt;判定条件!$C$6,"判定不能",IF(L344&gt;=判定条件!$C$7*K344,"運転",IF(L344&lt;=判定条件!$C$8*K344,"停止","断続")))</f>
        <v>運転</v>
      </c>
      <c r="N344" s="30" t="n">
        <v>60</v>
      </c>
      <c r="O344" s="30" t="n">
        <v>0</v>
      </c>
      <c r="P344" s="30" t="str">
        <f aca="false">IF(N344&lt;判定条件!$C$6,"判定不能",IF(O344&gt;=判定条件!$C$7*N344,"運転",IF(O344&lt;=判定条件!$C$8*N344,"停止","断続")))</f>
        <v>停止</v>
      </c>
      <c r="Q344" s="30" t="n">
        <v>60</v>
      </c>
      <c r="R344" s="30" t="n">
        <v>0</v>
      </c>
      <c r="S344" s="30" t="str">
        <f aca="false">IF(Q344&lt;判定条件!$C$6,"判定不能",IF(R344&gt;=判定条件!$C$7*Q344,"運転",IF(R344&lt;=判定条件!$C$8*Q344,"停止","断続")))</f>
        <v>停止</v>
      </c>
      <c r="T344" s="30" t="n">
        <v>60</v>
      </c>
      <c r="U344" s="30" t="n">
        <v>0</v>
      </c>
      <c r="V344" s="30" t="str">
        <f aca="false">IF(T344&lt;判定条件!$C$6,"判定不能",IF(U344&gt;=判定条件!$C$7*T344,"運転",IF(U344&lt;=判定条件!$C$8*T344,"停止","断続")))</f>
        <v>停止</v>
      </c>
      <c r="W344" s="30" t="n">
        <v>60</v>
      </c>
      <c r="X344" s="30" t="n">
        <v>0</v>
      </c>
      <c r="Y344" s="30" t="str">
        <f aca="false">IF(W344&lt;判定条件!$C$6,"判定不能",IF(X344&gt;=判定条件!$C$7*W344,"運転",IF(X344&lt;=判定条件!$C$8*W344,"停止","断続")))</f>
        <v>停止</v>
      </c>
      <c r="Z344" s="30" t="n">
        <v>60</v>
      </c>
      <c r="AA344" s="30" t="n">
        <v>0</v>
      </c>
      <c r="AB344" s="30" t="str">
        <f aca="false">IF(Z344&lt;判定条件!$C$6,"判定不能",IF(AA344&gt;=判定条件!$C$7*Z344,"運転",IF(AA344&lt;=判定条件!$C$8*Z344,"停止","断続")))</f>
        <v>停止</v>
      </c>
      <c r="AC344" s="30" t="n">
        <v>60</v>
      </c>
      <c r="AD344" s="30" t="n">
        <v>0</v>
      </c>
      <c r="AE344" s="30" t="str">
        <f aca="false">IF(AC344&lt;判定条件!$C$6,"判定不能",IF(AD344&gt;=判定条件!$C$7*AC344,"運転",IF(AD344&lt;=判定条件!$C$8*AC344,"停止","断続")))</f>
        <v>停止</v>
      </c>
      <c r="AF344" s="30" t="n">
        <v>60</v>
      </c>
      <c r="AG344" s="30" t="n">
        <v>0</v>
      </c>
      <c r="AH344" s="30" t="str">
        <f aca="false">IF(OR(P344="判定不能",G344="判定不能"),"判定不能",IF(AG344&gt;=判定条件!$C$9,"利用可",IF(AND(P344="停止",G344="停止"),"両方停止","運転がそろわない")))</f>
        <v>両方停止</v>
      </c>
      <c r="AI344" s="30" t="n">
        <v>60</v>
      </c>
      <c r="AJ344" s="30" t="n">
        <v>0</v>
      </c>
      <c r="AK344" s="30" t="str">
        <f aca="false">IF(OR(S344="判定不能",J344="判定不能"),"判定不能",IF(AJ344&gt;=判定条件!$C$9,"利用可",IF(AND(S344="停止",J344="停止"),"両方停止","運転がそろわない")))</f>
        <v>両方停止</v>
      </c>
      <c r="AL344" s="30" t="n">
        <v>60</v>
      </c>
      <c r="AM344" s="30" t="n">
        <v>0</v>
      </c>
      <c r="AN344" s="30" t="str">
        <f aca="false">IF(OR(V344="判定不能",M344="判定不能"),"判定不能",IF(AM344&gt;=判定条件!$C$9,"利用可",IF(AND(V344="停止",M344="停止"),"両方停止","運転がそろわない")))</f>
        <v>運転がそろわない</v>
      </c>
      <c r="AO344" s="30" t="n">
        <v>60</v>
      </c>
      <c r="AP344" s="30" t="n">
        <v>0</v>
      </c>
      <c r="AQ344" s="30" t="str">
        <f aca="false">IF(OR(Y344="判定不能",G344="判定不能"),"判定不能",IF(AP344&gt;=判定条件!$C$9,"利用可",IF(AND(Y344="停止",G344="停止"),"両方停止","運転がそろわない")))</f>
        <v>両方停止</v>
      </c>
      <c r="AR344" s="30" t="n">
        <v>60</v>
      </c>
      <c r="AS344" s="30" t="n">
        <v>0</v>
      </c>
      <c r="AT344" s="30" t="str">
        <f aca="false">IF(OR(AB344="判定不能",J344="判定不能"),"判定不能",IF(AS344&gt;=判定条件!$C$9,"利用可",IF(AND(AB344="停止",J344="停止"),"両方停止","運転がそろわない")))</f>
        <v>両方停止</v>
      </c>
      <c r="AU344" s="30" t="n">
        <v>60</v>
      </c>
      <c r="AV344" s="30" t="n">
        <v>0</v>
      </c>
      <c r="AW344" s="30" t="str">
        <f aca="false">IF(OR(AE344="判定不能",M344="判定不能"),"判定不能",IF(AV344&gt;=判定条件!$C$9,"利用可",IF(AND(AE344="停止",M344="停止"),"両方停止","運転がそろわない")))</f>
        <v>運転がそろわない</v>
      </c>
      <c r="AX344" s="30" t="str">
        <f aca="false">IF(AND(AH344="利用可",AK344="利用可",AN344="利用可"),"利用可","不可")</f>
        <v>不可</v>
      </c>
      <c r="AY344" s="30" t="str">
        <f aca="false">IF(AND(AQ344="利用可",AT344="利用可",AW344="利用可"),"利用可","不可")</f>
        <v>不可</v>
      </c>
    </row>
    <row r="345" customFormat="false" ht="15" hidden="false" customHeight="false" outlineLevel="0" collapsed="false">
      <c r="A345" s="29" t="n">
        <v>46246</v>
      </c>
      <c r="B345" s="30" t="n">
        <v>6</v>
      </c>
      <c r="C345" s="31" t="s">
        <v>58</v>
      </c>
      <c r="D345" s="31" t="s">
        <v>59</v>
      </c>
      <c r="E345" s="30" t="n">
        <v>60</v>
      </c>
      <c r="F345" s="30" t="n">
        <v>0</v>
      </c>
      <c r="G345" s="30" t="str">
        <f aca="false">IF(E345&lt;判定条件!$C$6,"判定不能",IF(F345&gt;=判定条件!$C$7*E345,"運転",IF(F345&lt;=判定条件!$C$8*E345,"停止","断続")))</f>
        <v>停止</v>
      </c>
      <c r="H345" s="30" t="n">
        <v>60</v>
      </c>
      <c r="I345" s="30" t="n">
        <v>0</v>
      </c>
      <c r="J345" s="30" t="str">
        <f aca="false">IF(H345&lt;判定条件!$C$6,"判定不能",IF(I345&gt;=判定条件!$C$7*H345,"運転",IF(I345&lt;=判定条件!$C$8*H345,"停止","断続")))</f>
        <v>停止</v>
      </c>
      <c r="K345" s="30" t="n">
        <v>60</v>
      </c>
      <c r="L345" s="30" t="n">
        <v>60</v>
      </c>
      <c r="M345" s="30" t="str">
        <f aca="false">IF(K345&lt;判定条件!$C$6,"判定不能",IF(L345&gt;=判定条件!$C$7*K345,"運転",IF(L345&lt;=判定条件!$C$8*K345,"停止","断続")))</f>
        <v>運転</v>
      </c>
      <c r="N345" s="30" t="n">
        <v>60</v>
      </c>
      <c r="O345" s="30" t="n">
        <v>0</v>
      </c>
      <c r="P345" s="30" t="str">
        <f aca="false">IF(N345&lt;判定条件!$C$6,"判定不能",IF(O345&gt;=判定条件!$C$7*N345,"運転",IF(O345&lt;=判定条件!$C$8*N345,"停止","断続")))</f>
        <v>停止</v>
      </c>
      <c r="Q345" s="30" t="n">
        <v>60</v>
      </c>
      <c r="R345" s="30" t="n">
        <v>0</v>
      </c>
      <c r="S345" s="30" t="str">
        <f aca="false">IF(Q345&lt;判定条件!$C$6,"判定不能",IF(R345&gt;=判定条件!$C$7*Q345,"運転",IF(R345&lt;=判定条件!$C$8*Q345,"停止","断続")))</f>
        <v>停止</v>
      </c>
      <c r="T345" s="30" t="n">
        <v>60</v>
      </c>
      <c r="U345" s="30" t="n">
        <v>0</v>
      </c>
      <c r="V345" s="30" t="str">
        <f aca="false">IF(T345&lt;判定条件!$C$6,"判定不能",IF(U345&gt;=判定条件!$C$7*T345,"運転",IF(U345&lt;=判定条件!$C$8*T345,"停止","断続")))</f>
        <v>停止</v>
      </c>
      <c r="W345" s="30" t="n">
        <v>60</v>
      </c>
      <c r="X345" s="30" t="n">
        <v>29</v>
      </c>
      <c r="Y345" s="30" t="str">
        <f aca="false">IF(W345&lt;判定条件!$C$6,"判定不能",IF(X345&gt;=判定条件!$C$7*W345,"運転",IF(X345&lt;=判定条件!$C$8*W345,"停止","断続")))</f>
        <v>断続</v>
      </c>
      <c r="Z345" s="30" t="n">
        <v>60</v>
      </c>
      <c r="AA345" s="30" t="n">
        <v>27</v>
      </c>
      <c r="AB345" s="30" t="str">
        <f aca="false">IF(Z345&lt;判定条件!$C$6,"判定不能",IF(AA345&gt;=判定条件!$C$7*Z345,"運転",IF(AA345&lt;=判定条件!$C$8*Z345,"停止","断続")))</f>
        <v>断続</v>
      </c>
      <c r="AC345" s="30" t="n">
        <v>60</v>
      </c>
      <c r="AD345" s="30" t="n">
        <v>33</v>
      </c>
      <c r="AE345" s="30" t="str">
        <f aca="false">IF(AC345&lt;判定条件!$C$6,"判定不能",IF(AD345&gt;=判定条件!$C$7*AC345,"運転",IF(AD345&lt;=判定条件!$C$8*AC345,"停止","断続")))</f>
        <v>断続</v>
      </c>
      <c r="AF345" s="30" t="n">
        <v>60</v>
      </c>
      <c r="AG345" s="30" t="n">
        <v>0</v>
      </c>
      <c r="AH345" s="30" t="str">
        <f aca="false">IF(OR(P345="判定不能",G345="判定不能"),"判定不能",IF(AG345&gt;=判定条件!$C$9,"利用可",IF(AND(P345="停止",G345="停止"),"両方停止","運転がそろわない")))</f>
        <v>両方停止</v>
      </c>
      <c r="AI345" s="30" t="n">
        <v>60</v>
      </c>
      <c r="AJ345" s="30" t="n">
        <v>0</v>
      </c>
      <c r="AK345" s="30" t="str">
        <f aca="false">IF(OR(S345="判定不能",J345="判定不能"),"判定不能",IF(AJ345&gt;=判定条件!$C$9,"利用可",IF(AND(S345="停止",J345="停止"),"両方停止","運転がそろわない")))</f>
        <v>両方停止</v>
      </c>
      <c r="AL345" s="30" t="n">
        <v>60</v>
      </c>
      <c r="AM345" s="30" t="n">
        <v>0</v>
      </c>
      <c r="AN345" s="30" t="str">
        <f aca="false">IF(OR(V345="判定不能",M345="判定不能"),"判定不能",IF(AM345&gt;=判定条件!$C$9,"利用可",IF(AND(V345="停止",M345="停止"),"両方停止","運転がそろわない")))</f>
        <v>運転がそろわない</v>
      </c>
      <c r="AO345" s="30" t="n">
        <v>60</v>
      </c>
      <c r="AP345" s="30" t="n">
        <v>0</v>
      </c>
      <c r="AQ345" s="30" t="str">
        <f aca="false">IF(OR(Y345="判定不能",G345="判定不能"),"判定不能",IF(AP345&gt;=判定条件!$C$9,"利用可",IF(AND(Y345="停止",G345="停止"),"両方停止","運転がそろわない")))</f>
        <v>運転がそろわない</v>
      </c>
      <c r="AR345" s="30" t="n">
        <v>60</v>
      </c>
      <c r="AS345" s="30" t="n">
        <v>0</v>
      </c>
      <c r="AT345" s="30" t="str">
        <f aca="false">IF(OR(AB345="判定不能",J345="判定不能"),"判定不能",IF(AS345&gt;=判定条件!$C$9,"利用可",IF(AND(AB345="停止",J345="停止"),"両方停止","運転がそろわない")))</f>
        <v>運転がそろわない</v>
      </c>
      <c r="AU345" s="30" t="n">
        <v>60</v>
      </c>
      <c r="AV345" s="30" t="n">
        <v>33</v>
      </c>
      <c r="AW345" s="30" t="str">
        <f aca="false">IF(OR(AE345="判定不能",M345="判定不能"),"判定不能",IF(AV345&gt;=判定条件!$C$9,"利用可",IF(AND(AE345="停止",M345="停止"),"両方停止","運転がそろわない")))</f>
        <v>利用可</v>
      </c>
      <c r="AX345" s="30" t="str">
        <f aca="false">IF(AND(AH345="利用可",AK345="利用可",AN345="利用可"),"利用可","不可")</f>
        <v>不可</v>
      </c>
      <c r="AY345" s="30" t="str">
        <f aca="false">IF(AND(AQ345="利用可",AT345="利用可",AW345="利用可"),"利用可","不可")</f>
        <v>不可</v>
      </c>
    </row>
    <row r="346" customFormat="false" ht="15" hidden="false" customHeight="false" outlineLevel="0" collapsed="false">
      <c r="A346" s="29" t="n">
        <v>46246</v>
      </c>
      <c r="B346" s="30" t="n">
        <v>7</v>
      </c>
      <c r="C346" s="31" t="s">
        <v>58</v>
      </c>
      <c r="D346" s="31" t="s">
        <v>59</v>
      </c>
      <c r="E346" s="30" t="n">
        <v>60</v>
      </c>
      <c r="F346" s="30" t="n">
        <v>0</v>
      </c>
      <c r="G346" s="30" t="str">
        <f aca="false">IF(E346&lt;判定条件!$C$6,"判定不能",IF(F346&gt;=判定条件!$C$7*E346,"運転",IF(F346&lt;=判定条件!$C$8*E346,"停止","断続")))</f>
        <v>停止</v>
      </c>
      <c r="H346" s="30" t="n">
        <v>60</v>
      </c>
      <c r="I346" s="30" t="n">
        <v>0</v>
      </c>
      <c r="J346" s="30" t="str">
        <f aca="false">IF(H346&lt;判定条件!$C$6,"判定不能",IF(I346&gt;=判定条件!$C$7*H346,"運転",IF(I346&lt;=判定条件!$C$8*H346,"停止","断続")))</f>
        <v>停止</v>
      </c>
      <c r="K346" s="30" t="n">
        <v>60</v>
      </c>
      <c r="L346" s="30" t="n">
        <v>60</v>
      </c>
      <c r="M346" s="30" t="str">
        <f aca="false">IF(K346&lt;判定条件!$C$6,"判定不能",IF(L346&gt;=判定条件!$C$7*K346,"運転",IF(L346&lt;=判定条件!$C$8*K346,"停止","断続")))</f>
        <v>運転</v>
      </c>
      <c r="N346" s="30" t="n">
        <v>60</v>
      </c>
      <c r="O346" s="30" t="n">
        <v>44</v>
      </c>
      <c r="P346" s="30" t="str">
        <f aca="false">IF(N346&lt;判定条件!$C$6,"判定不能",IF(O346&gt;=判定条件!$C$7*N346,"運転",IF(O346&lt;=判定条件!$C$8*N346,"停止","断続")))</f>
        <v>断続</v>
      </c>
      <c r="Q346" s="30" t="n">
        <v>60</v>
      </c>
      <c r="R346" s="30" t="n">
        <v>7</v>
      </c>
      <c r="S346" s="30" t="str">
        <f aca="false">IF(Q346&lt;判定条件!$C$6,"判定不能",IF(R346&gt;=判定条件!$C$7*Q346,"運転",IF(R346&lt;=判定条件!$C$8*Q346,"停止","断続")))</f>
        <v>停止</v>
      </c>
      <c r="T346" s="30" t="n">
        <v>60</v>
      </c>
      <c r="U346" s="30" t="n">
        <v>14</v>
      </c>
      <c r="V346" s="30" t="str">
        <f aca="false">IF(T346&lt;判定条件!$C$6,"判定不能",IF(U346&gt;=判定条件!$C$7*T346,"運転",IF(U346&lt;=判定条件!$C$8*T346,"停止","断続")))</f>
        <v>断続</v>
      </c>
      <c r="W346" s="30" t="n">
        <v>60</v>
      </c>
      <c r="X346" s="30" t="n">
        <v>14</v>
      </c>
      <c r="Y346" s="30" t="str">
        <f aca="false">IF(W346&lt;判定条件!$C$6,"判定不能",IF(X346&gt;=判定条件!$C$7*W346,"運転",IF(X346&lt;=判定条件!$C$8*W346,"停止","断続")))</f>
        <v>断続</v>
      </c>
      <c r="Z346" s="30" t="n">
        <v>60</v>
      </c>
      <c r="AA346" s="30" t="n">
        <v>3</v>
      </c>
      <c r="AB346" s="30" t="str">
        <f aca="false">IF(Z346&lt;判定条件!$C$6,"判定不能",IF(AA346&gt;=判定条件!$C$7*Z346,"運転",IF(AA346&lt;=判定条件!$C$8*Z346,"停止","断続")))</f>
        <v>停止</v>
      </c>
      <c r="AC346" s="30" t="n">
        <v>60</v>
      </c>
      <c r="AD346" s="30" t="n">
        <v>60</v>
      </c>
      <c r="AE346" s="30" t="str">
        <f aca="false">IF(AC346&lt;判定条件!$C$6,"判定不能",IF(AD346&gt;=判定条件!$C$7*AC346,"運転",IF(AD346&lt;=判定条件!$C$8*AC346,"停止","断続")))</f>
        <v>運転</v>
      </c>
      <c r="AF346" s="30" t="n">
        <v>60</v>
      </c>
      <c r="AG346" s="30" t="n">
        <v>0</v>
      </c>
      <c r="AH346" s="30" t="str">
        <f aca="false">IF(OR(P346="判定不能",G346="判定不能"),"判定不能",IF(AG346&gt;=判定条件!$C$9,"利用可",IF(AND(P346="停止",G346="停止"),"両方停止","運転がそろわない")))</f>
        <v>運転がそろわない</v>
      </c>
      <c r="AI346" s="30" t="n">
        <v>60</v>
      </c>
      <c r="AJ346" s="30" t="n">
        <v>0</v>
      </c>
      <c r="AK346" s="30" t="str">
        <f aca="false">IF(OR(S346="判定不能",J346="判定不能"),"判定不能",IF(AJ346&gt;=判定条件!$C$9,"利用可",IF(AND(S346="停止",J346="停止"),"両方停止","運転がそろわない")))</f>
        <v>両方停止</v>
      </c>
      <c r="AL346" s="30" t="n">
        <v>60</v>
      </c>
      <c r="AM346" s="30" t="n">
        <v>14</v>
      </c>
      <c r="AN346" s="30" t="str">
        <f aca="false">IF(OR(V346="判定不能",M346="判定不能"),"判定不能",IF(AM346&gt;=判定条件!$C$9,"利用可",IF(AND(V346="停止",M346="停止"),"両方停止","運転がそろわない")))</f>
        <v>運転がそろわない</v>
      </c>
      <c r="AO346" s="30" t="n">
        <v>60</v>
      </c>
      <c r="AP346" s="30" t="n">
        <v>0</v>
      </c>
      <c r="AQ346" s="30" t="str">
        <f aca="false">IF(OR(Y346="判定不能",G346="判定不能"),"判定不能",IF(AP346&gt;=判定条件!$C$9,"利用可",IF(AND(Y346="停止",G346="停止"),"両方停止","運転がそろわない")))</f>
        <v>運転がそろわない</v>
      </c>
      <c r="AR346" s="30" t="n">
        <v>60</v>
      </c>
      <c r="AS346" s="30" t="n">
        <v>0</v>
      </c>
      <c r="AT346" s="30" t="str">
        <f aca="false">IF(OR(AB346="判定不能",J346="判定不能"),"判定不能",IF(AS346&gt;=判定条件!$C$9,"利用可",IF(AND(AB346="停止",J346="停止"),"両方停止","運転がそろわない")))</f>
        <v>両方停止</v>
      </c>
      <c r="AU346" s="30" t="n">
        <v>60</v>
      </c>
      <c r="AV346" s="30" t="n">
        <v>60</v>
      </c>
      <c r="AW346" s="30" t="str">
        <f aca="false">IF(OR(AE346="判定不能",M346="判定不能"),"判定不能",IF(AV346&gt;=判定条件!$C$9,"利用可",IF(AND(AE346="停止",M346="停止"),"両方停止","運転がそろわない")))</f>
        <v>利用可</v>
      </c>
      <c r="AX346" s="30" t="str">
        <f aca="false">IF(AND(AH346="利用可",AK346="利用可",AN346="利用可"),"利用可","不可")</f>
        <v>不可</v>
      </c>
      <c r="AY346" s="30" t="str">
        <f aca="false">IF(AND(AQ346="利用可",AT346="利用可",AW346="利用可"),"利用可","不可")</f>
        <v>不可</v>
      </c>
    </row>
    <row r="347" customFormat="false" ht="15" hidden="false" customHeight="false" outlineLevel="0" collapsed="false">
      <c r="A347" s="29" t="n">
        <v>46246</v>
      </c>
      <c r="B347" s="30" t="n">
        <v>8</v>
      </c>
      <c r="C347" s="31" t="s">
        <v>58</v>
      </c>
      <c r="D347" s="31" t="s">
        <v>59</v>
      </c>
      <c r="E347" s="30" t="n">
        <v>60</v>
      </c>
      <c r="F347" s="30" t="n">
        <v>30</v>
      </c>
      <c r="G347" s="30" t="str">
        <f aca="false">IF(E347&lt;判定条件!$C$6,"判定不能",IF(F347&gt;=判定条件!$C$7*E347,"運転",IF(F347&lt;=判定条件!$C$8*E347,"停止","断続")))</f>
        <v>断続</v>
      </c>
      <c r="H347" s="30" t="n">
        <v>60</v>
      </c>
      <c r="I347" s="30" t="n">
        <v>32</v>
      </c>
      <c r="J347" s="30" t="str">
        <f aca="false">IF(H347&lt;判定条件!$C$6,"判定不能",IF(I347&gt;=判定条件!$C$7*H347,"運転",IF(I347&lt;=判定条件!$C$8*H347,"停止","断続")))</f>
        <v>断続</v>
      </c>
      <c r="K347" s="30" t="n">
        <v>60</v>
      </c>
      <c r="L347" s="30" t="n">
        <v>60</v>
      </c>
      <c r="M347" s="30" t="str">
        <f aca="false">IF(K347&lt;判定条件!$C$6,"判定不能",IF(L347&gt;=判定条件!$C$7*K347,"運転",IF(L347&lt;=判定条件!$C$8*K347,"停止","断続")))</f>
        <v>運転</v>
      </c>
      <c r="N347" s="30" t="n">
        <v>60</v>
      </c>
      <c r="O347" s="30" t="n">
        <v>60</v>
      </c>
      <c r="P347" s="30" t="str">
        <f aca="false">IF(N347&lt;判定条件!$C$6,"判定不能",IF(O347&gt;=判定条件!$C$7*N347,"運転",IF(O347&lt;=判定条件!$C$8*N347,"停止","断続")))</f>
        <v>運転</v>
      </c>
      <c r="Q347" s="30" t="n">
        <v>60</v>
      </c>
      <c r="R347" s="30" t="n">
        <v>30</v>
      </c>
      <c r="S347" s="30" t="str">
        <f aca="false">IF(Q347&lt;判定条件!$C$6,"判定不能",IF(R347&gt;=判定条件!$C$7*Q347,"運転",IF(R347&lt;=判定条件!$C$8*Q347,"停止","断続")))</f>
        <v>断続</v>
      </c>
      <c r="T347" s="30" t="n">
        <v>60</v>
      </c>
      <c r="U347" s="30" t="n">
        <v>60</v>
      </c>
      <c r="V347" s="30" t="str">
        <f aca="false">IF(T347&lt;判定条件!$C$6,"判定不能",IF(U347&gt;=判定条件!$C$7*T347,"運転",IF(U347&lt;=判定条件!$C$8*T347,"停止","断続")))</f>
        <v>運転</v>
      </c>
      <c r="W347" s="30" t="n">
        <v>60</v>
      </c>
      <c r="X347" s="30" t="n">
        <v>56</v>
      </c>
      <c r="Y347" s="30" t="str">
        <f aca="false">IF(W347&lt;判定条件!$C$6,"判定不能",IF(X347&gt;=判定条件!$C$7*W347,"運転",IF(X347&lt;=判定条件!$C$8*W347,"停止","断続")))</f>
        <v>運転</v>
      </c>
      <c r="Z347" s="30" t="n">
        <v>60</v>
      </c>
      <c r="AA347" s="30" t="n">
        <v>36</v>
      </c>
      <c r="AB347" s="30" t="str">
        <f aca="false">IF(Z347&lt;判定条件!$C$6,"判定不能",IF(AA347&gt;=判定条件!$C$7*Z347,"運転",IF(AA347&lt;=判定条件!$C$8*Z347,"停止","断続")))</f>
        <v>断続</v>
      </c>
      <c r="AC347" s="30" t="n">
        <v>60</v>
      </c>
      <c r="AD347" s="30" t="n">
        <v>46</v>
      </c>
      <c r="AE347" s="30" t="str">
        <f aca="false">IF(AC347&lt;判定条件!$C$6,"判定不能",IF(AD347&gt;=判定条件!$C$7*AC347,"運転",IF(AD347&lt;=判定条件!$C$8*AC347,"停止","断続")))</f>
        <v>断続</v>
      </c>
      <c r="AF347" s="30" t="n">
        <v>60</v>
      </c>
      <c r="AG347" s="30" t="n">
        <v>30</v>
      </c>
      <c r="AH347" s="30" t="str">
        <f aca="false">IF(OR(P347="判定不能",G347="判定不能"),"判定不能",IF(AG347&gt;=判定条件!$C$9,"利用可",IF(AND(P347="停止",G347="停止"),"両方停止","運転がそろわない")))</f>
        <v>利用可</v>
      </c>
      <c r="AI347" s="30" t="n">
        <v>60</v>
      </c>
      <c r="AJ347" s="30" t="n">
        <v>23</v>
      </c>
      <c r="AK347" s="30" t="str">
        <f aca="false">IF(OR(S347="判定不能",J347="判定不能"),"判定不能",IF(AJ347&gt;=判定条件!$C$9,"利用可",IF(AND(S347="停止",J347="停止"),"両方停止","運転がそろわない")))</f>
        <v>運転がそろわない</v>
      </c>
      <c r="AL347" s="30" t="n">
        <v>60</v>
      </c>
      <c r="AM347" s="30" t="n">
        <v>60</v>
      </c>
      <c r="AN347" s="30" t="str">
        <f aca="false">IF(OR(V347="判定不能",M347="判定不能"),"判定不能",IF(AM347&gt;=判定条件!$C$9,"利用可",IF(AND(V347="停止",M347="停止"),"両方停止","運転がそろわない")))</f>
        <v>利用可</v>
      </c>
      <c r="AO347" s="30" t="n">
        <v>60</v>
      </c>
      <c r="AP347" s="30" t="n">
        <v>26</v>
      </c>
      <c r="AQ347" s="30" t="str">
        <f aca="false">IF(OR(Y347="判定不能",G347="判定不能"),"判定不能",IF(AP347&gt;=判定条件!$C$9,"利用可",IF(AND(Y347="停止",G347="停止"),"両方停止","運転がそろわない")))</f>
        <v>運転がそろわない</v>
      </c>
      <c r="AR347" s="30" t="n">
        <v>60</v>
      </c>
      <c r="AS347" s="30" t="n">
        <v>17</v>
      </c>
      <c r="AT347" s="30" t="str">
        <f aca="false">IF(OR(AB347="判定不能",J347="判定不能"),"判定不能",IF(AS347&gt;=判定条件!$C$9,"利用可",IF(AND(AB347="停止",J347="停止"),"両方停止","運転がそろわない")))</f>
        <v>運転がそろわない</v>
      </c>
      <c r="AU347" s="30" t="n">
        <v>60</v>
      </c>
      <c r="AV347" s="30" t="n">
        <v>46</v>
      </c>
      <c r="AW347" s="30" t="str">
        <f aca="false">IF(OR(AE347="判定不能",M347="判定不能"),"判定不能",IF(AV347&gt;=判定条件!$C$9,"利用可",IF(AND(AE347="停止",M347="停止"),"両方停止","運転がそろわない")))</f>
        <v>利用可</v>
      </c>
      <c r="AX347" s="30" t="str">
        <f aca="false">IF(AND(AH347="利用可",AK347="利用可",AN347="利用可"),"利用可","不可")</f>
        <v>不可</v>
      </c>
      <c r="AY347" s="30" t="str">
        <f aca="false">IF(AND(AQ347="利用可",AT347="利用可",AW347="利用可"),"利用可","不可")</f>
        <v>不可</v>
      </c>
    </row>
    <row r="348" customFormat="false" ht="15" hidden="false" customHeight="false" outlineLevel="0" collapsed="false">
      <c r="A348" s="29" t="n">
        <v>46246</v>
      </c>
      <c r="B348" s="30" t="n">
        <v>9</v>
      </c>
      <c r="C348" s="31" t="s">
        <v>58</v>
      </c>
      <c r="D348" s="31" t="s">
        <v>59</v>
      </c>
      <c r="E348" s="30" t="n">
        <v>60</v>
      </c>
      <c r="F348" s="30" t="n">
        <v>52</v>
      </c>
      <c r="G348" s="30" t="str">
        <f aca="false">IF(E348&lt;判定条件!$C$6,"判定不能",IF(F348&gt;=判定条件!$C$7*E348,"運転",IF(F348&lt;=判定条件!$C$8*E348,"停止","断続")))</f>
        <v>運転</v>
      </c>
      <c r="H348" s="30" t="n">
        <v>60</v>
      </c>
      <c r="I348" s="30" t="n">
        <v>60</v>
      </c>
      <c r="J348" s="30" t="str">
        <f aca="false">IF(H348&lt;判定条件!$C$6,"判定不能",IF(I348&gt;=判定条件!$C$7*H348,"運転",IF(I348&lt;=判定条件!$C$8*H348,"停止","断続")))</f>
        <v>運転</v>
      </c>
      <c r="K348" s="30" t="n">
        <v>60</v>
      </c>
      <c r="L348" s="30" t="n">
        <v>60</v>
      </c>
      <c r="M348" s="30" t="str">
        <f aca="false">IF(K348&lt;判定条件!$C$6,"判定不能",IF(L348&gt;=判定条件!$C$7*K348,"運転",IF(L348&lt;=判定条件!$C$8*K348,"停止","断続")))</f>
        <v>運転</v>
      </c>
      <c r="N348" s="30" t="n">
        <v>60</v>
      </c>
      <c r="O348" s="30" t="n">
        <v>60</v>
      </c>
      <c r="P348" s="30" t="str">
        <f aca="false">IF(N348&lt;判定条件!$C$6,"判定不能",IF(O348&gt;=判定条件!$C$7*N348,"運転",IF(O348&lt;=判定条件!$C$8*N348,"停止","断続")))</f>
        <v>運転</v>
      </c>
      <c r="Q348" s="30" t="n">
        <v>60</v>
      </c>
      <c r="R348" s="30" t="n">
        <v>39</v>
      </c>
      <c r="S348" s="30" t="str">
        <f aca="false">IF(Q348&lt;判定条件!$C$6,"判定不能",IF(R348&gt;=判定条件!$C$7*Q348,"運転",IF(R348&lt;=判定条件!$C$8*Q348,"停止","断続")))</f>
        <v>断続</v>
      </c>
      <c r="T348" s="30" t="n">
        <v>60</v>
      </c>
      <c r="U348" s="30" t="n">
        <v>60</v>
      </c>
      <c r="V348" s="30" t="str">
        <f aca="false">IF(T348&lt;判定条件!$C$6,"判定不能",IF(U348&gt;=判定条件!$C$7*T348,"運転",IF(U348&lt;=判定条件!$C$8*T348,"停止","断続")))</f>
        <v>運転</v>
      </c>
      <c r="W348" s="30" t="n">
        <v>60</v>
      </c>
      <c r="X348" s="30" t="n">
        <v>51</v>
      </c>
      <c r="Y348" s="30" t="str">
        <f aca="false">IF(W348&lt;判定条件!$C$6,"判定不能",IF(X348&gt;=判定条件!$C$7*W348,"運転",IF(X348&lt;=判定条件!$C$8*W348,"停止","断続")))</f>
        <v>運転</v>
      </c>
      <c r="Z348" s="30" t="n">
        <v>60</v>
      </c>
      <c r="AA348" s="30" t="n">
        <v>49</v>
      </c>
      <c r="AB348" s="30" t="str">
        <f aca="false">IF(Z348&lt;判定条件!$C$6,"判定不能",IF(AA348&gt;=判定条件!$C$7*Z348,"運転",IF(AA348&lt;=判定条件!$C$8*Z348,"停止","断続")))</f>
        <v>運転</v>
      </c>
      <c r="AC348" s="30" t="n">
        <v>60</v>
      </c>
      <c r="AD348" s="30" t="n">
        <v>60</v>
      </c>
      <c r="AE348" s="30" t="str">
        <f aca="false">IF(AC348&lt;判定条件!$C$6,"判定不能",IF(AD348&gt;=判定条件!$C$7*AC348,"運転",IF(AD348&lt;=判定条件!$C$8*AC348,"停止","断続")))</f>
        <v>運転</v>
      </c>
      <c r="AF348" s="30" t="n">
        <v>60</v>
      </c>
      <c r="AG348" s="30" t="n">
        <v>52</v>
      </c>
      <c r="AH348" s="30" t="str">
        <f aca="false">IF(OR(P348="判定不能",G348="判定不能"),"判定不能",IF(AG348&gt;=判定条件!$C$9,"利用可",IF(AND(P348="停止",G348="停止"),"両方停止","運転がそろわない")))</f>
        <v>利用可</v>
      </c>
      <c r="AI348" s="30" t="n">
        <v>60</v>
      </c>
      <c r="AJ348" s="30" t="n">
        <v>39</v>
      </c>
      <c r="AK348" s="30" t="str">
        <f aca="false">IF(OR(S348="判定不能",J348="判定不能"),"判定不能",IF(AJ348&gt;=判定条件!$C$9,"利用可",IF(AND(S348="停止",J348="停止"),"両方停止","運転がそろわない")))</f>
        <v>利用可</v>
      </c>
      <c r="AL348" s="30" t="n">
        <v>60</v>
      </c>
      <c r="AM348" s="30" t="n">
        <v>60</v>
      </c>
      <c r="AN348" s="30" t="str">
        <f aca="false">IF(OR(V348="判定不能",M348="判定不能"),"判定不能",IF(AM348&gt;=判定条件!$C$9,"利用可",IF(AND(V348="停止",M348="停止"),"両方停止","運転がそろわない")))</f>
        <v>利用可</v>
      </c>
      <c r="AO348" s="30" t="n">
        <v>60</v>
      </c>
      <c r="AP348" s="30" t="n">
        <v>49</v>
      </c>
      <c r="AQ348" s="30" t="str">
        <f aca="false">IF(OR(Y348="判定不能",G348="判定不能"),"判定不能",IF(AP348&gt;=判定条件!$C$9,"利用可",IF(AND(Y348="停止",G348="停止"),"両方停止","運転がそろわない")))</f>
        <v>利用可</v>
      </c>
      <c r="AR348" s="30" t="n">
        <v>60</v>
      </c>
      <c r="AS348" s="30" t="n">
        <v>49</v>
      </c>
      <c r="AT348" s="30" t="str">
        <f aca="false">IF(OR(AB348="判定不能",J348="判定不能"),"判定不能",IF(AS348&gt;=判定条件!$C$9,"利用可",IF(AND(AB348="停止",J348="停止"),"両方停止","運転がそろわない")))</f>
        <v>利用可</v>
      </c>
      <c r="AU348" s="30" t="n">
        <v>60</v>
      </c>
      <c r="AV348" s="30" t="n">
        <v>60</v>
      </c>
      <c r="AW348" s="30" t="str">
        <f aca="false">IF(OR(AE348="判定不能",M348="判定不能"),"判定不能",IF(AV348&gt;=判定条件!$C$9,"利用可",IF(AND(AE348="停止",M348="停止"),"両方停止","運転がそろわない")))</f>
        <v>利用可</v>
      </c>
      <c r="AX348" s="30" t="str">
        <f aca="false">IF(AND(AH348="利用可",AK348="利用可",AN348="利用可"),"利用可","不可")</f>
        <v>利用可</v>
      </c>
      <c r="AY348" s="30" t="str">
        <f aca="false">IF(AND(AQ348="利用可",AT348="利用可",AW348="利用可"),"利用可","不可")</f>
        <v>利用可</v>
      </c>
    </row>
    <row r="349" customFormat="false" ht="15" hidden="false" customHeight="false" outlineLevel="0" collapsed="false">
      <c r="A349" s="29" t="n">
        <v>46246</v>
      </c>
      <c r="B349" s="30" t="n">
        <v>10</v>
      </c>
      <c r="C349" s="31" t="s">
        <v>58</v>
      </c>
      <c r="D349" s="31" t="s">
        <v>59</v>
      </c>
      <c r="E349" s="30" t="n">
        <v>60</v>
      </c>
      <c r="F349" s="30" t="n">
        <v>60</v>
      </c>
      <c r="G349" s="30" t="str">
        <f aca="false">IF(E349&lt;判定条件!$C$6,"判定不能",IF(F349&gt;=判定条件!$C$7*E349,"運転",IF(F349&lt;=判定条件!$C$8*E349,"停止","断続")))</f>
        <v>運転</v>
      </c>
      <c r="H349" s="30" t="n">
        <v>60</v>
      </c>
      <c r="I349" s="30" t="n">
        <v>60</v>
      </c>
      <c r="J349" s="30" t="str">
        <f aca="false">IF(H349&lt;判定条件!$C$6,"判定不能",IF(I349&gt;=判定条件!$C$7*H349,"運転",IF(I349&lt;=判定条件!$C$8*H349,"停止","断続")))</f>
        <v>運転</v>
      </c>
      <c r="K349" s="30" t="n">
        <v>60</v>
      </c>
      <c r="L349" s="30" t="n">
        <v>60</v>
      </c>
      <c r="M349" s="30" t="str">
        <f aca="false">IF(K349&lt;判定条件!$C$6,"判定不能",IF(L349&gt;=判定条件!$C$7*K349,"運転",IF(L349&lt;=判定条件!$C$8*K349,"停止","断続")))</f>
        <v>運転</v>
      </c>
      <c r="N349" s="30" t="n">
        <v>60</v>
      </c>
      <c r="O349" s="30" t="n">
        <v>60</v>
      </c>
      <c r="P349" s="30" t="str">
        <f aca="false">IF(N349&lt;判定条件!$C$6,"判定不能",IF(O349&gt;=判定条件!$C$7*N349,"運転",IF(O349&lt;=判定条件!$C$8*N349,"停止","断続")))</f>
        <v>運転</v>
      </c>
      <c r="Q349" s="30" t="n">
        <v>60</v>
      </c>
      <c r="R349" s="30" t="n">
        <v>33</v>
      </c>
      <c r="S349" s="30" t="str">
        <f aca="false">IF(Q349&lt;判定条件!$C$6,"判定不能",IF(R349&gt;=判定条件!$C$7*Q349,"運転",IF(R349&lt;=判定条件!$C$8*Q349,"停止","断続")))</f>
        <v>断続</v>
      </c>
      <c r="T349" s="30" t="n">
        <v>60</v>
      </c>
      <c r="U349" s="30" t="n">
        <v>43</v>
      </c>
      <c r="V349" s="30" t="str">
        <f aca="false">IF(T349&lt;判定条件!$C$6,"判定不能",IF(U349&gt;=判定条件!$C$7*T349,"運転",IF(U349&lt;=判定条件!$C$8*T349,"停止","断続")))</f>
        <v>断続</v>
      </c>
      <c r="W349" s="30" t="n">
        <v>60</v>
      </c>
      <c r="X349" s="30" t="n">
        <v>60</v>
      </c>
      <c r="Y349" s="30" t="str">
        <f aca="false">IF(W349&lt;判定条件!$C$6,"判定不能",IF(X349&gt;=判定条件!$C$7*W349,"運転",IF(X349&lt;=判定条件!$C$8*W349,"停止","断続")))</f>
        <v>運転</v>
      </c>
      <c r="Z349" s="30" t="n">
        <v>60</v>
      </c>
      <c r="AA349" s="30" t="n">
        <v>57</v>
      </c>
      <c r="AB349" s="30" t="str">
        <f aca="false">IF(Z349&lt;判定条件!$C$6,"判定不能",IF(AA349&gt;=判定条件!$C$7*Z349,"運転",IF(AA349&lt;=判定条件!$C$8*Z349,"停止","断続")))</f>
        <v>運転</v>
      </c>
      <c r="AC349" s="30" t="n">
        <v>60</v>
      </c>
      <c r="AD349" s="30" t="n">
        <v>60</v>
      </c>
      <c r="AE349" s="30" t="str">
        <f aca="false">IF(AC349&lt;判定条件!$C$6,"判定不能",IF(AD349&gt;=判定条件!$C$7*AC349,"運転",IF(AD349&lt;=判定条件!$C$8*AC349,"停止","断続")))</f>
        <v>運転</v>
      </c>
      <c r="AF349" s="30" t="n">
        <v>60</v>
      </c>
      <c r="AG349" s="30" t="n">
        <v>60</v>
      </c>
      <c r="AH349" s="30" t="str">
        <f aca="false">IF(OR(P349="判定不能",G349="判定不能"),"判定不能",IF(AG349&gt;=判定条件!$C$9,"利用可",IF(AND(P349="停止",G349="停止"),"両方停止","運転がそろわない")))</f>
        <v>利用可</v>
      </c>
      <c r="AI349" s="30" t="n">
        <v>60</v>
      </c>
      <c r="AJ349" s="30" t="n">
        <v>33</v>
      </c>
      <c r="AK349" s="30" t="str">
        <f aca="false">IF(OR(S349="判定不能",J349="判定不能"),"判定不能",IF(AJ349&gt;=判定条件!$C$9,"利用可",IF(AND(S349="停止",J349="停止"),"両方停止","運転がそろわない")))</f>
        <v>利用可</v>
      </c>
      <c r="AL349" s="30" t="n">
        <v>60</v>
      </c>
      <c r="AM349" s="30" t="n">
        <v>43</v>
      </c>
      <c r="AN349" s="30" t="str">
        <f aca="false">IF(OR(V349="判定不能",M349="判定不能"),"判定不能",IF(AM349&gt;=判定条件!$C$9,"利用可",IF(AND(V349="停止",M349="停止"),"両方停止","運転がそろわない")))</f>
        <v>利用可</v>
      </c>
      <c r="AO349" s="30" t="n">
        <v>60</v>
      </c>
      <c r="AP349" s="30" t="n">
        <v>60</v>
      </c>
      <c r="AQ349" s="30" t="str">
        <f aca="false">IF(OR(Y349="判定不能",G349="判定不能"),"判定不能",IF(AP349&gt;=判定条件!$C$9,"利用可",IF(AND(Y349="停止",G349="停止"),"両方停止","運転がそろわない")))</f>
        <v>利用可</v>
      </c>
      <c r="AR349" s="30" t="n">
        <v>60</v>
      </c>
      <c r="AS349" s="30" t="n">
        <v>57</v>
      </c>
      <c r="AT349" s="30" t="str">
        <f aca="false">IF(OR(AB349="判定不能",J349="判定不能"),"判定不能",IF(AS349&gt;=判定条件!$C$9,"利用可",IF(AND(AB349="停止",J349="停止"),"両方停止","運転がそろわない")))</f>
        <v>利用可</v>
      </c>
      <c r="AU349" s="30" t="n">
        <v>60</v>
      </c>
      <c r="AV349" s="30" t="n">
        <v>60</v>
      </c>
      <c r="AW349" s="30" t="str">
        <f aca="false">IF(OR(AE349="判定不能",M349="判定不能"),"判定不能",IF(AV349&gt;=判定条件!$C$9,"利用可",IF(AND(AE349="停止",M349="停止"),"両方停止","運転がそろわない")))</f>
        <v>利用可</v>
      </c>
      <c r="AX349" s="30" t="str">
        <f aca="false">IF(AND(AH349="利用可",AK349="利用可",AN349="利用可"),"利用可","不可")</f>
        <v>利用可</v>
      </c>
      <c r="AY349" s="30" t="str">
        <f aca="false">IF(AND(AQ349="利用可",AT349="利用可",AW349="利用可"),"利用可","不可")</f>
        <v>利用可</v>
      </c>
    </row>
    <row r="350" customFormat="false" ht="15" hidden="false" customHeight="false" outlineLevel="0" collapsed="false">
      <c r="A350" s="29" t="n">
        <v>46246</v>
      </c>
      <c r="B350" s="30" t="n">
        <v>11</v>
      </c>
      <c r="C350" s="31" t="s">
        <v>58</v>
      </c>
      <c r="D350" s="31" t="s">
        <v>59</v>
      </c>
      <c r="E350" s="30" t="n">
        <v>60</v>
      </c>
      <c r="F350" s="30" t="n">
        <v>60</v>
      </c>
      <c r="G350" s="30" t="str">
        <f aca="false">IF(E350&lt;判定条件!$C$6,"判定不能",IF(F350&gt;=判定条件!$C$7*E350,"運転",IF(F350&lt;=判定条件!$C$8*E350,"停止","断続")))</f>
        <v>運転</v>
      </c>
      <c r="H350" s="30" t="n">
        <v>60</v>
      </c>
      <c r="I350" s="30" t="n">
        <v>60</v>
      </c>
      <c r="J350" s="30" t="str">
        <f aca="false">IF(H350&lt;判定条件!$C$6,"判定不能",IF(I350&gt;=判定条件!$C$7*H350,"運転",IF(I350&lt;=判定条件!$C$8*H350,"停止","断続")))</f>
        <v>運転</v>
      </c>
      <c r="K350" s="30" t="n">
        <v>60</v>
      </c>
      <c r="L350" s="30" t="n">
        <v>60</v>
      </c>
      <c r="M350" s="30" t="str">
        <f aca="false">IF(K350&lt;判定条件!$C$6,"判定不能",IF(L350&gt;=判定条件!$C$7*K350,"運転",IF(L350&lt;=判定条件!$C$8*K350,"停止","断続")))</f>
        <v>運転</v>
      </c>
      <c r="N350" s="30" t="n">
        <v>60</v>
      </c>
      <c r="O350" s="30" t="n">
        <v>46</v>
      </c>
      <c r="P350" s="30" t="str">
        <f aca="false">IF(N350&lt;判定条件!$C$6,"判定不能",IF(O350&gt;=判定条件!$C$7*N350,"運転",IF(O350&lt;=判定条件!$C$8*N350,"停止","断続")))</f>
        <v>断続</v>
      </c>
      <c r="Q350" s="30" t="n">
        <v>60</v>
      </c>
      <c r="R350" s="30" t="n">
        <v>42</v>
      </c>
      <c r="S350" s="30" t="str">
        <f aca="false">IF(Q350&lt;判定条件!$C$6,"判定不能",IF(R350&gt;=判定条件!$C$7*Q350,"運転",IF(R350&lt;=判定条件!$C$8*Q350,"停止","断続")))</f>
        <v>断続</v>
      </c>
      <c r="T350" s="30" t="n">
        <v>60</v>
      </c>
      <c r="U350" s="30" t="n">
        <v>47</v>
      </c>
      <c r="V350" s="30" t="str">
        <f aca="false">IF(T350&lt;判定条件!$C$6,"判定不能",IF(U350&gt;=判定条件!$C$7*T350,"運転",IF(U350&lt;=判定条件!$C$8*T350,"停止","断続")))</f>
        <v>断続</v>
      </c>
      <c r="W350" s="30" t="n">
        <v>60</v>
      </c>
      <c r="X350" s="30" t="n">
        <v>43</v>
      </c>
      <c r="Y350" s="30" t="str">
        <f aca="false">IF(W350&lt;判定条件!$C$6,"判定不能",IF(X350&gt;=判定条件!$C$7*W350,"運転",IF(X350&lt;=判定条件!$C$8*W350,"停止","断続")))</f>
        <v>断続</v>
      </c>
      <c r="Z350" s="30" t="n">
        <v>60</v>
      </c>
      <c r="AA350" s="30" t="n">
        <v>52</v>
      </c>
      <c r="AB350" s="30" t="str">
        <f aca="false">IF(Z350&lt;判定条件!$C$6,"判定不能",IF(AA350&gt;=判定条件!$C$7*Z350,"運転",IF(AA350&lt;=判定条件!$C$8*Z350,"停止","断続")))</f>
        <v>運転</v>
      </c>
      <c r="AC350" s="30" t="n">
        <v>60</v>
      </c>
      <c r="AD350" s="30" t="n">
        <v>60</v>
      </c>
      <c r="AE350" s="30" t="str">
        <f aca="false">IF(AC350&lt;判定条件!$C$6,"判定不能",IF(AD350&gt;=判定条件!$C$7*AC350,"運転",IF(AD350&lt;=判定条件!$C$8*AC350,"停止","断続")))</f>
        <v>運転</v>
      </c>
      <c r="AF350" s="30" t="n">
        <v>60</v>
      </c>
      <c r="AG350" s="30" t="n">
        <v>46</v>
      </c>
      <c r="AH350" s="30" t="str">
        <f aca="false">IF(OR(P350="判定不能",G350="判定不能"),"判定不能",IF(AG350&gt;=判定条件!$C$9,"利用可",IF(AND(P350="停止",G350="停止"),"両方停止","運転がそろわない")))</f>
        <v>利用可</v>
      </c>
      <c r="AI350" s="30" t="n">
        <v>60</v>
      </c>
      <c r="AJ350" s="30" t="n">
        <v>42</v>
      </c>
      <c r="AK350" s="30" t="str">
        <f aca="false">IF(OR(S350="判定不能",J350="判定不能"),"判定不能",IF(AJ350&gt;=判定条件!$C$9,"利用可",IF(AND(S350="停止",J350="停止"),"両方停止","運転がそろわない")))</f>
        <v>利用可</v>
      </c>
      <c r="AL350" s="30" t="n">
        <v>60</v>
      </c>
      <c r="AM350" s="30" t="n">
        <v>47</v>
      </c>
      <c r="AN350" s="30" t="str">
        <f aca="false">IF(OR(V350="判定不能",M350="判定不能"),"判定不能",IF(AM350&gt;=判定条件!$C$9,"利用可",IF(AND(V350="停止",M350="停止"),"両方停止","運転がそろわない")))</f>
        <v>利用可</v>
      </c>
      <c r="AO350" s="30" t="n">
        <v>60</v>
      </c>
      <c r="AP350" s="30" t="n">
        <v>43</v>
      </c>
      <c r="AQ350" s="30" t="str">
        <f aca="false">IF(OR(Y350="判定不能",G350="判定不能"),"判定不能",IF(AP350&gt;=判定条件!$C$9,"利用可",IF(AND(Y350="停止",G350="停止"),"両方停止","運転がそろわない")))</f>
        <v>利用可</v>
      </c>
      <c r="AR350" s="30" t="n">
        <v>60</v>
      </c>
      <c r="AS350" s="30" t="n">
        <v>52</v>
      </c>
      <c r="AT350" s="30" t="str">
        <f aca="false">IF(OR(AB350="判定不能",J350="判定不能"),"判定不能",IF(AS350&gt;=判定条件!$C$9,"利用可",IF(AND(AB350="停止",J350="停止"),"両方停止","運転がそろわない")))</f>
        <v>利用可</v>
      </c>
      <c r="AU350" s="30" t="n">
        <v>60</v>
      </c>
      <c r="AV350" s="30" t="n">
        <v>60</v>
      </c>
      <c r="AW350" s="30" t="str">
        <f aca="false">IF(OR(AE350="判定不能",M350="判定不能"),"判定不能",IF(AV350&gt;=判定条件!$C$9,"利用可",IF(AND(AE350="停止",M350="停止"),"両方停止","運転がそろわない")))</f>
        <v>利用可</v>
      </c>
      <c r="AX350" s="30" t="str">
        <f aca="false">IF(AND(AH350="利用可",AK350="利用可",AN350="利用可"),"利用可","不可")</f>
        <v>利用可</v>
      </c>
      <c r="AY350" s="30" t="str">
        <f aca="false">IF(AND(AQ350="利用可",AT350="利用可",AW350="利用可"),"利用可","不可")</f>
        <v>利用可</v>
      </c>
    </row>
    <row r="351" customFormat="false" ht="15" hidden="false" customHeight="false" outlineLevel="0" collapsed="false">
      <c r="A351" s="29" t="n">
        <v>46246</v>
      </c>
      <c r="B351" s="30" t="n">
        <v>12</v>
      </c>
      <c r="C351" s="31" t="s">
        <v>58</v>
      </c>
      <c r="D351" s="31" t="s">
        <v>59</v>
      </c>
      <c r="E351" s="30" t="n">
        <v>60</v>
      </c>
      <c r="F351" s="30" t="n">
        <v>60</v>
      </c>
      <c r="G351" s="30" t="str">
        <f aca="false">IF(E351&lt;判定条件!$C$6,"判定不能",IF(F351&gt;=判定条件!$C$7*E351,"運転",IF(F351&lt;=判定条件!$C$8*E351,"停止","断続")))</f>
        <v>運転</v>
      </c>
      <c r="H351" s="30" t="n">
        <v>60</v>
      </c>
      <c r="I351" s="30" t="n">
        <v>60</v>
      </c>
      <c r="J351" s="30" t="str">
        <f aca="false">IF(H351&lt;判定条件!$C$6,"判定不能",IF(I351&gt;=判定条件!$C$7*H351,"運転",IF(I351&lt;=判定条件!$C$8*H351,"停止","断続")))</f>
        <v>運転</v>
      </c>
      <c r="K351" s="30" t="n">
        <v>60</v>
      </c>
      <c r="L351" s="30" t="n">
        <v>60</v>
      </c>
      <c r="M351" s="30" t="str">
        <f aca="false">IF(K351&lt;判定条件!$C$6,"判定不能",IF(L351&gt;=判定条件!$C$7*K351,"運転",IF(L351&lt;=判定条件!$C$8*K351,"停止","断続")))</f>
        <v>運転</v>
      </c>
      <c r="N351" s="30" t="n">
        <v>60</v>
      </c>
      <c r="O351" s="30" t="n">
        <v>60</v>
      </c>
      <c r="P351" s="30" t="str">
        <f aca="false">IF(N351&lt;判定条件!$C$6,"判定不能",IF(O351&gt;=判定条件!$C$7*N351,"運転",IF(O351&lt;=判定条件!$C$8*N351,"停止","断続")))</f>
        <v>運転</v>
      </c>
      <c r="Q351" s="30" t="n">
        <v>60</v>
      </c>
      <c r="R351" s="30" t="n">
        <v>0</v>
      </c>
      <c r="S351" s="30" t="str">
        <f aca="false">IF(Q351&lt;判定条件!$C$6,"判定不能",IF(R351&gt;=判定条件!$C$7*Q351,"運転",IF(R351&lt;=判定条件!$C$8*Q351,"停止","断続")))</f>
        <v>停止</v>
      </c>
      <c r="T351" s="30" t="n">
        <v>60</v>
      </c>
      <c r="U351" s="30" t="n">
        <v>60</v>
      </c>
      <c r="V351" s="30" t="str">
        <f aca="false">IF(T351&lt;判定条件!$C$6,"判定不能",IF(U351&gt;=判定条件!$C$7*T351,"運転",IF(U351&lt;=判定条件!$C$8*T351,"停止","断続")))</f>
        <v>運転</v>
      </c>
      <c r="W351" s="30" t="n">
        <v>60</v>
      </c>
      <c r="X351" s="30" t="n">
        <v>60</v>
      </c>
      <c r="Y351" s="30" t="str">
        <f aca="false">IF(W351&lt;判定条件!$C$6,"判定不能",IF(X351&gt;=判定条件!$C$7*W351,"運転",IF(X351&lt;=判定条件!$C$8*W351,"停止","断続")))</f>
        <v>運転</v>
      </c>
      <c r="Z351" s="30" t="n">
        <v>60</v>
      </c>
      <c r="AA351" s="30" t="n">
        <v>60</v>
      </c>
      <c r="AB351" s="30" t="str">
        <f aca="false">IF(Z351&lt;判定条件!$C$6,"判定不能",IF(AA351&gt;=判定条件!$C$7*Z351,"運転",IF(AA351&lt;=判定条件!$C$8*Z351,"停止","断続")))</f>
        <v>運転</v>
      </c>
      <c r="AC351" s="30" t="n">
        <v>60</v>
      </c>
      <c r="AD351" s="30" t="n">
        <v>60</v>
      </c>
      <c r="AE351" s="30" t="str">
        <f aca="false">IF(AC351&lt;判定条件!$C$6,"判定不能",IF(AD351&gt;=判定条件!$C$7*AC351,"運転",IF(AD351&lt;=判定条件!$C$8*AC351,"停止","断続")))</f>
        <v>運転</v>
      </c>
      <c r="AF351" s="30" t="n">
        <v>60</v>
      </c>
      <c r="AG351" s="30" t="n">
        <v>60</v>
      </c>
      <c r="AH351" s="30" t="str">
        <f aca="false">IF(OR(P351="判定不能",G351="判定不能"),"判定不能",IF(AG351&gt;=判定条件!$C$9,"利用可",IF(AND(P351="停止",G351="停止"),"両方停止","運転がそろわない")))</f>
        <v>利用可</v>
      </c>
      <c r="AI351" s="30" t="n">
        <v>60</v>
      </c>
      <c r="AJ351" s="30" t="n">
        <v>0</v>
      </c>
      <c r="AK351" s="30" t="str">
        <f aca="false">IF(OR(S351="判定不能",J351="判定不能"),"判定不能",IF(AJ351&gt;=判定条件!$C$9,"利用可",IF(AND(S351="停止",J351="停止"),"両方停止","運転がそろわない")))</f>
        <v>運転がそろわない</v>
      </c>
      <c r="AL351" s="30" t="n">
        <v>60</v>
      </c>
      <c r="AM351" s="30" t="n">
        <v>60</v>
      </c>
      <c r="AN351" s="30" t="str">
        <f aca="false">IF(OR(V351="判定不能",M351="判定不能"),"判定不能",IF(AM351&gt;=判定条件!$C$9,"利用可",IF(AND(V351="停止",M351="停止"),"両方停止","運転がそろわない")))</f>
        <v>利用可</v>
      </c>
      <c r="AO351" s="30" t="n">
        <v>60</v>
      </c>
      <c r="AP351" s="30" t="n">
        <v>60</v>
      </c>
      <c r="AQ351" s="30" t="str">
        <f aca="false">IF(OR(Y351="判定不能",G351="判定不能"),"判定不能",IF(AP351&gt;=判定条件!$C$9,"利用可",IF(AND(Y351="停止",G351="停止"),"両方停止","運転がそろわない")))</f>
        <v>利用可</v>
      </c>
      <c r="AR351" s="30" t="n">
        <v>60</v>
      </c>
      <c r="AS351" s="30" t="n">
        <v>60</v>
      </c>
      <c r="AT351" s="30" t="str">
        <f aca="false">IF(OR(AB351="判定不能",J351="判定不能"),"判定不能",IF(AS351&gt;=判定条件!$C$9,"利用可",IF(AND(AB351="停止",J351="停止"),"両方停止","運転がそろわない")))</f>
        <v>利用可</v>
      </c>
      <c r="AU351" s="30" t="n">
        <v>60</v>
      </c>
      <c r="AV351" s="30" t="n">
        <v>60</v>
      </c>
      <c r="AW351" s="30" t="str">
        <f aca="false">IF(OR(AE351="判定不能",M351="判定不能"),"判定不能",IF(AV351&gt;=判定条件!$C$9,"利用可",IF(AND(AE351="停止",M351="停止"),"両方停止","運転がそろわない")))</f>
        <v>利用可</v>
      </c>
      <c r="AX351" s="30" t="str">
        <f aca="false">IF(AND(AH351="利用可",AK351="利用可",AN351="利用可"),"利用可","不可")</f>
        <v>不可</v>
      </c>
      <c r="AY351" s="30" t="str">
        <f aca="false">IF(AND(AQ351="利用可",AT351="利用可",AW351="利用可"),"利用可","不可")</f>
        <v>利用可</v>
      </c>
    </row>
    <row r="352" customFormat="false" ht="15" hidden="false" customHeight="false" outlineLevel="0" collapsed="false">
      <c r="A352" s="29" t="n">
        <v>46246</v>
      </c>
      <c r="B352" s="30" t="n">
        <v>13</v>
      </c>
      <c r="C352" s="31" t="s">
        <v>58</v>
      </c>
      <c r="D352" s="31" t="s">
        <v>59</v>
      </c>
      <c r="E352" s="30" t="n">
        <v>60</v>
      </c>
      <c r="F352" s="30" t="n">
        <v>60</v>
      </c>
      <c r="G352" s="30" t="str">
        <f aca="false">IF(E352&lt;判定条件!$C$6,"判定不能",IF(F352&gt;=判定条件!$C$7*E352,"運転",IF(F352&lt;=判定条件!$C$8*E352,"停止","断続")))</f>
        <v>運転</v>
      </c>
      <c r="H352" s="30" t="n">
        <v>60</v>
      </c>
      <c r="I352" s="30" t="n">
        <v>60</v>
      </c>
      <c r="J352" s="30" t="str">
        <f aca="false">IF(H352&lt;判定条件!$C$6,"判定不能",IF(I352&gt;=判定条件!$C$7*H352,"運転",IF(I352&lt;=判定条件!$C$8*H352,"停止","断続")))</f>
        <v>運転</v>
      </c>
      <c r="K352" s="30" t="n">
        <v>60</v>
      </c>
      <c r="L352" s="30" t="n">
        <v>60</v>
      </c>
      <c r="M352" s="30" t="str">
        <f aca="false">IF(K352&lt;判定条件!$C$6,"判定不能",IF(L352&gt;=判定条件!$C$7*K352,"運転",IF(L352&lt;=判定条件!$C$8*K352,"停止","断続")))</f>
        <v>運転</v>
      </c>
      <c r="N352" s="30" t="n">
        <v>60</v>
      </c>
      <c r="O352" s="30" t="n">
        <v>60</v>
      </c>
      <c r="P352" s="30" t="str">
        <f aca="false">IF(N352&lt;判定条件!$C$6,"判定不能",IF(O352&gt;=判定条件!$C$7*N352,"運転",IF(O352&lt;=判定条件!$C$8*N352,"停止","断続")))</f>
        <v>運転</v>
      </c>
      <c r="Q352" s="30" t="n">
        <v>60</v>
      </c>
      <c r="R352" s="30" t="n">
        <v>23</v>
      </c>
      <c r="S352" s="30" t="str">
        <f aca="false">IF(Q352&lt;判定条件!$C$6,"判定不能",IF(R352&gt;=判定条件!$C$7*Q352,"運転",IF(R352&lt;=判定条件!$C$8*Q352,"停止","断続")))</f>
        <v>断続</v>
      </c>
      <c r="T352" s="30" t="n">
        <v>60</v>
      </c>
      <c r="U352" s="30" t="n">
        <v>60</v>
      </c>
      <c r="V352" s="30" t="str">
        <f aca="false">IF(T352&lt;判定条件!$C$6,"判定不能",IF(U352&gt;=判定条件!$C$7*T352,"運転",IF(U352&lt;=判定条件!$C$8*T352,"停止","断続")))</f>
        <v>運転</v>
      </c>
      <c r="W352" s="30" t="n">
        <v>60</v>
      </c>
      <c r="X352" s="30" t="n">
        <v>60</v>
      </c>
      <c r="Y352" s="30" t="str">
        <f aca="false">IF(W352&lt;判定条件!$C$6,"判定不能",IF(X352&gt;=判定条件!$C$7*W352,"運転",IF(X352&lt;=判定条件!$C$8*W352,"停止","断続")))</f>
        <v>運転</v>
      </c>
      <c r="Z352" s="30" t="n">
        <v>60</v>
      </c>
      <c r="AA352" s="30" t="n">
        <v>60</v>
      </c>
      <c r="AB352" s="30" t="str">
        <f aca="false">IF(Z352&lt;判定条件!$C$6,"判定不能",IF(AA352&gt;=判定条件!$C$7*Z352,"運転",IF(AA352&lt;=判定条件!$C$8*Z352,"停止","断続")))</f>
        <v>運転</v>
      </c>
      <c r="AC352" s="30" t="n">
        <v>60</v>
      </c>
      <c r="AD352" s="30" t="n">
        <v>54</v>
      </c>
      <c r="AE352" s="30" t="str">
        <f aca="false">IF(AC352&lt;判定条件!$C$6,"判定不能",IF(AD352&gt;=判定条件!$C$7*AC352,"運転",IF(AD352&lt;=判定条件!$C$8*AC352,"停止","断続")))</f>
        <v>運転</v>
      </c>
      <c r="AF352" s="30" t="n">
        <v>60</v>
      </c>
      <c r="AG352" s="30" t="n">
        <v>60</v>
      </c>
      <c r="AH352" s="30" t="str">
        <f aca="false">IF(OR(P352="判定不能",G352="判定不能"),"判定不能",IF(AG352&gt;=判定条件!$C$9,"利用可",IF(AND(P352="停止",G352="停止"),"両方停止","運転がそろわない")))</f>
        <v>利用可</v>
      </c>
      <c r="AI352" s="30" t="n">
        <v>60</v>
      </c>
      <c r="AJ352" s="30" t="n">
        <v>23</v>
      </c>
      <c r="AK352" s="30" t="str">
        <f aca="false">IF(OR(S352="判定不能",J352="判定不能"),"判定不能",IF(AJ352&gt;=判定条件!$C$9,"利用可",IF(AND(S352="停止",J352="停止"),"両方停止","運転がそろわない")))</f>
        <v>運転がそろわない</v>
      </c>
      <c r="AL352" s="30" t="n">
        <v>60</v>
      </c>
      <c r="AM352" s="30" t="n">
        <v>60</v>
      </c>
      <c r="AN352" s="30" t="str">
        <f aca="false">IF(OR(V352="判定不能",M352="判定不能"),"判定不能",IF(AM352&gt;=判定条件!$C$9,"利用可",IF(AND(V352="停止",M352="停止"),"両方停止","運転がそろわない")))</f>
        <v>利用可</v>
      </c>
      <c r="AO352" s="30" t="n">
        <v>60</v>
      </c>
      <c r="AP352" s="30" t="n">
        <v>60</v>
      </c>
      <c r="AQ352" s="30" t="str">
        <f aca="false">IF(OR(Y352="判定不能",G352="判定不能"),"判定不能",IF(AP352&gt;=判定条件!$C$9,"利用可",IF(AND(Y352="停止",G352="停止"),"両方停止","運転がそろわない")))</f>
        <v>利用可</v>
      </c>
      <c r="AR352" s="30" t="n">
        <v>60</v>
      </c>
      <c r="AS352" s="30" t="n">
        <v>60</v>
      </c>
      <c r="AT352" s="30" t="str">
        <f aca="false">IF(OR(AB352="判定不能",J352="判定不能"),"判定不能",IF(AS352&gt;=判定条件!$C$9,"利用可",IF(AND(AB352="停止",J352="停止"),"両方停止","運転がそろわない")))</f>
        <v>利用可</v>
      </c>
      <c r="AU352" s="30" t="n">
        <v>60</v>
      </c>
      <c r="AV352" s="30" t="n">
        <v>54</v>
      </c>
      <c r="AW352" s="30" t="str">
        <f aca="false">IF(OR(AE352="判定不能",M352="判定不能"),"判定不能",IF(AV352&gt;=判定条件!$C$9,"利用可",IF(AND(AE352="停止",M352="停止"),"両方停止","運転がそろわない")))</f>
        <v>利用可</v>
      </c>
      <c r="AX352" s="30" t="str">
        <f aca="false">IF(AND(AH352="利用可",AK352="利用可",AN352="利用可"),"利用可","不可")</f>
        <v>不可</v>
      </c>
      <c r="AY352" s="30" t="str">
        <f aca="false">IF(AND(AQ352="利用可",AT352="利用可",AW352="利用可"),"利用可","不可")</f>
        <v>利用可</v>
      </c>
    </row>
    <row r="353" customFormat="false" ht="15" hidden="false" customHeight="false" outlineLevel="0" collapsed="false">
      <c r="A353" s="29" t="n">
        <v>46246</v>
      </c>
      <c r="B353" s="30" t="n">
        <v>14</v>
      </c>
      <c r="C353" s="31" t="s">
        <v>58</v>
      </c>
      <c r="D353" s="31" t="s">
        <v>59</v>
      </c>
      <c r="E353" s="30" t="n">
        <v>60</v>
      </c>
      <c r="F353" s="30" t="n">
        <v>60</v>
      </c>
      <c r="G353" s="30" t="str">
        <f aca="false">IF(E353&lt;判定条件!$C$6,"判定不能",IF(F353&gt;=判定条件!$C$7*E353,"運転",IF(F353&lt;=判定条件!$C$8*E353,"停止","断続")))</f>
        <v>運転</v>
      </c>
      <c r="H353" s="30" t="n">
        <v>60</v>
      </c>
      <c r="I353" s="30" t="n">
        <v>60</v>
      </c>
      <c r="J353" s="30" t="str">
        <f aca="false">IF(H353&lt;判定条件!$C$6,"判定不能",IF(I353&gt;=判定条件!$C$7*H353,"運転",IF(I353&lt;=判定条件!$C$8*H353,"停止","断続")))</f>
        <v>運転</v>
      </c>
      <c r="K353" s="30" t="n">
        <v>60</v>
      </c>
      <c r="L353" s="30" t="n">
        <v>60</v>
      </c>
      <c r="M353" s="30" t="str">
        <f aca="false">IF(K353&lt;判定条件!$C$6,"判定不能",IF(L353&gt;=判定条件!$C$7*K353,"運転",IF(L353&lt;=判定条件!$C$8*K353,"停止","断続")))</f>
        <v>運転</v>
      </c>
      <c r="N353" s="30" t="n">
        <v>60</v>
      </c>
      <c r="O353" s="30" t="n">
        <v>60</v>
      </c>
      <c r="P353" s="30" t="str">
        <f aca="false">IF(N353&lt;判定条件!$C$6,"判定不能",IF(O353&gt;=判定条件!$C$7*N353,"運転",IF(O353&lt;=判定条件!$C$8*N353,"停止","断続")))</f>
        <v>運転</v>
      </c>
      <c r="Q353" s="30" t="n">
        <v>60</v>
      </c>
      <c r="R353" s="30" t="n">
        <v>0</v>
      </c>
      <c r="S353" s="30" t="str">
        <f aca="false">IF(Q353&lt;判定条件!$C$6,"判定不能",IF(R353&gt;=判定条件!$C$7*Q353,"運転",IF(R353&lt;=判定条件!$C$8*Q353,"停止","断続")))</f>
        <v>停止</v>
      </c>
      <c r="T353" s="30" t="n">
        <v>60</v>
      </c>
      <c r="U353" s="30" t="n">
        <v>60</v>
      </c>
      <c r="V353" s="30" t="str">
        <f aca="false">IF(T353&lt;判定条件!$C$6,"判定不能",IF(U353&gt;=判定条件!$C$7*T353,"運転",IF(U353&lt;=判定条件!$C$8*T353,"停止","断続")))</f>
        <v>運転</v>
      </c>
      <c r="W353" s="30" t="n">
        <v>60</v>
      </c>
      <c r="X353" s="30" t="n">
        <v>47</v>
      </c>
      <c r="Y353" s="30" t="str">
        <f aca="false">IF(W353&lt;判定条件!$C$6,"判定不能",IF(X353&gt;=判定条件!$C$7*W353,"運転",IF(X353&lt;=判定条件!$C$8*W353,"停止","断続")))</f>
        <v>断続</v>
      </c>
      <c r="Z353" s="30" t="n">
        <v>60</v>
      </c>
      <c r="AA353" s="30" t="n">
        <v>60</v>
      </c>
      <c r="AB353" s="30" t="str">
        <f aca="false">IF(Z353&lt;判定条件!$C$6,"判定不能",IF(AA353&gt;=判定条件!$C$7*Z353,"運転",IF(AA353&lt;=判定条件!$C$8*Z353,"停止","断続")))</f>
        <v>運転</v>
      </c>
      <c r="AC353" s="30" t="n">
        <v>60</v>
      </c>
      <c r="AD353" s="30" t="n">
        <v>60</v>
      </c>
      <c r="AE353" s="30" t="str">
        <f aca="false">IF(AC353&lt;判定条件!$C$6,"判定不能",IF(AD353&gt;=判定条件!$C$7*AC353,"運転",IF(AD353&lt;=判定条件!$C$8*AC353,"停止","断続")))</f>
        <v>運転</v>
      </c>
      <c r="AF353" s="30" t="n">
        <v>60</v>
      </c>
      <c r="AG353" s="30" t="n">
        <v>60</v>
      </c>
      <c r="AH353" s="30" t="str">
        <f aca="false">IF(OR(P353="判定不能",G353="判定不能"),"判定不能",IF(AG353&gt;=判定条件!$C$9,"利用可",IF(AND(P353="停止",G353="停止"),"両方停止","運転がそろわない")))</f>
        <v>利用可</v>
      </c>
      <c r="AI353" s="30" t="n">
        <v>60</v>
      </c>
      <c r="AJ353" s="30" t="n">
        <v>0</v>
      </c>
      <c r="AK353" s="30" t="str">
        <f aca="false">IF(OR(S353="判定不能",J353="判定不能"),"判定不能",IF(AJ353&gt;=判定条件!$C$9,"利用可",IF(AND(S353="停止",J353="停止"),"両方停止","運転がそろわない")))</f>
        <v>運転がそろわない</v>
      </c>
      <c r="AL353" s="30" t="n">
        <v>60</v>
      </c>
      <c r="AM353" s="30" t="n">
        <v>60</v>
      </c>
      <c r="AN353" s="30" t="str">
        <f aca="false">IF(OR(V353="判定不能",M353="判定不能"),"判定不能",IF(AM353&gt;=判定条件!$C$9,"利用可",IF(AND(V353="停止",M353="停止"),"両方停止","運転がそろわない")))</f>
        <v>利用可</v>
      </c>
      <c r="AO353" s="30" t="n">
        <v>60</v>
      </c>
      <c r="AP353" s="30" t="n">
        <v>47</v>
      </c>
      <c r="AQ353" s="30" t="str">
        <f aca="false">IF(OR(Y353="判定不能",G353="判定不能"),"判定不能",IF(AP353&gt;=判定条件!$C$9,"利用可",IF(AND(Y353="停止",G353="停止"),"両方停止","運転がそろわない")))</f>
        <v>利用可</v>
      </c>
      <c r="AR353" s="30" t="n">
        <v>60</v>
      </c>
      <c r="AS353" s="30" t="n">
        <v>60</v>
      </c>
      <c r="AT353" s="30" t="str">
        <f aca="false">IF(OR(AB353="判定不能",J353="判定不能"),"判定不能",IF(AS353&gt;=判定条件!$C$9,"利用可",IF(AND(AB353="停止",J353="停止"),"両方停止","運転がそろわない")))</f>
        <v>利用可</v>
      </c>
      <c r="AU353" s="30" t="n">
        <v>60</v>
      </c>
      <c r="AV353" s="30" t="n">
        <v>60</v>
      </c>
      <c r="AW353" s="30" t="str">
        <f aca="false">IF(OR(AE353="判定不能",M353="判定不能"),"判定不能",IF(AV353&gt;=判定条件!$C$9,"利用可",IF(AND(AE353="停止",M353="停止"),"両方停止","運転がそろわない")))</f>
        <v>利用可</v>
      </c>
      <c r="AX353" s="30" t="str">
        <f aca="false">IF(AND(AH353="利用可",AK353="利用可",AN353="利用可"),"利用可","不可")</f>
        <v>不可</v>
      </c>
      <c r="AY353" s="30" t="str">
        <f aca="false">IF(AND(AQ353="利用可",AT353="利用可",AW353="利用可"),"利用可","不可")</f>
        <v>利用可</v>
      </c>
    </row>
    <row r="354" customFormat="false" ht="15" hidden="false" customHeight="false" outlineLevel="0" collapsed="false">
      <c r="A354" s="29" t="n">
        <v>46246</v>
      </c>
      <c r="B354" s="30" t="n">
        <v>15</v>
      </c>
      <c r="C354" s="31" t="s">
        <v>58</v>
      </c>
      <c r="D354" s="31" t="s">
        <v>59</v>
      </c>
      <c r="E354" s="30" t="n">
        <v>60</v>
      </c>
      <c r="F354" s="30" t="n">
        <v>60</v>
      </c>
      <c r="G354" s="30" t="str">
        <f aca="false">IF(E354&lt;判定条件!$C$6,"判定不能",IF(F354&gt;=判定条件!$C$7*E354,"運転",IF(F354&lt;=判定条件!$C$8*E354,"停止","断続")))</f>
        <v>運転</v>
      </c>
      <c r="H354" s="30" t="n">
        <v>60</v>
      </c>
      <c r="I354" s="30" t="n">
        <v>60</v>
      </c>
      <c r="J354" s="30" t="str">
        <f aca="false">IF(H354&lt;判定条件!$C$6,"判定不能",IF(I354&gt;=判定条件!$C$7*H354,"運転",IF(I354&lt;=判定条件!$C$8*H354,"停止","断続")))</f>
        <v>運転</v>
      </c>
      <c r="K354" s="30" t="n">
        <v>60</v>
      </c>
      <c r="L354" s="30" t="n">
        <v>60</v>
      </c>
      <c r="M354" s="30" t="str">
        <f aca="false">IF(K354&lt;判定条件!$C$6,"判定不能",IF(L354&gt;=判定条件!$C$7*K354,"運転",IF(L354&lt;=判定条件!$C$8*K354,"停止","断続")))</f>
        <v>運転</v>
      </c>
      <c r="N354" s="30" t="n">
        <v>60</v>
      </c>
      <c r="O354" s="30" t="n">
        <v>60</v>
      </c>
      <c r="P354" s="30" t="str">
        <f aca="false">IF(N354&lt;判定条件!$C$6,"判定不能",IF(O354&gt;=判定条件!$C$7*N354,"運転",IF(O354&lt;=判定条件!$C$8*N354,"停止","断続")))</f>
        <v>運転</v>
      </c>
      <c r="Q354" s="30" t="n">
        <v>60</v>
      </c>
      <c r="R354" s="30" t="n">
        <v>11</v>
      </c>
      <c r="S354" s="30" t="str">
        <f aca="false">IF(Q354&lt;判定条件!$C$6,"判定不能",IF(R354&gt;=判定条件!$C$7*Q354,"運転",IF(R354&lt;=判定条件!$C$8*Q354,"停止","断続")))</f>
        <v>停止</v>
      </c>
      <c r="T354" s="30" t="n">
        <v>60</v>
      </c>
      <c r="U354" s="30" t="n">
        <v>60</v>
      </c>
      <c r="V354" s="30" t="str">
        <f aca="false">IF(T354&lt;判定条件!$C$6,"判定不能",IF(U354&gt;=判定条件!$C$7*T354,"運転",IF(U354&lt;=判定条件!$C$8*T354,"停止","断続")))</f>
        <v>運転</v>
      </c>
      <c r="W354" s="30" t="n">
        <v>60</v>
      </c>
      <c r="X354" s="30" t="n">
        <v>34</v>
      </c>
      <c r="Y354" s="30" t="str">
        <f aca="false">IF(W354&lt;判定条件!$C$6,"判定不能",IF(X354&gt;=判定条件!$C$7*W354,"運転",IF(X354&lt;=判定条件!$C$8*W354,"停止","断続")))</f>
        <v>断続</v>
      </c>
      <c r="Z354" s="30" t="n">
        <v>60</v>
      </c>
      <c r="AA354" s="30" t="n">
        <v>60</v>
      </c>
      <c r="AB354" s="30" t="str">
        <f aca="false">IF(Z354&lt;判定条件!$C$6,"判定不能",IF(AA354&gt;=判定条件!$C$7*Z354,"運転",IF(AA354&lt;=判定条件!$C$8*Z354,"停止","断続")))</f>
        <v>運転</v>
      </c>
      <c r="AC354" s="30" t="n">
        <v>60</v>
      </c>
      <c r="AD354" s="30" t="n">
        <v>60</v>
      </c>
      <c r="AE354" s="30" t="str">
        <f aca="false">IF(AC354&lt;判定条件!$C$6,"判定不能",IF(AD354&gt;=判定条件!$C$7*AC354,"運転",IF(AD354&lt;=判定条件!$C$8*AC354,"停止","断続")))</f>
        <v>運転</v>
      </c>
      <c r="AF354" s="30" t="n">
        <v>60</v>
      </c>
      <c r="AG354" s="30" t="n">
        <v>60</v>
      </c>
      <c r="AH354" s="30" t="str">
        <f aca="false">IF(OR(P354="判定不能",G354="判定不能"),"判定不能",IF(AG354&gt;=判定条件!$C$9,"利用可",IF(AND(P354="停止",G354="停止"),"両方停止","運転がそろわない")))</f>
        <v>利用可</v>
      </c>
      <c r="AI354" s="30" t="n">
        <v>60</v>
      </c>
      <c r="AJ354" s="30" t="n">
        <v>11</v>
      </c>
      <c r="AK354" s="30" t="str">
        <f aca="false">IF(OR(S354="判定不能",J354="判定不能"),"判定不能",IF(AJ354&gt;=判定条件!$C$9,"利用可",IF(AND(S354="停止",J354="停止"),"両方停止","運転がそろわない")))</f>
        <v>運転がそろわない</v>
      </c>
      <c r="AL354" s="30" t="n">
        <v>60</v>
      </c>
      <c r="AM354" s="30" t="n">
        <v>60</v>
      </c>
      <c r="AN354" s="30" t="str">
        <f aca="false">IF(OR(V354="判定不能",M354="判定不能"),"判定不能",IF(AM354&gt;=判定条件!$C$9,"利用可",IF(AND(V354="停止",M354="停止"),"両方停止","運転がそろわない")))</f>
        <v>利用可</v>
      </c>
      <c r="AO354" s="30" t="n">
        <v>60</v>
      </c>
      <c r="AP354" s="30" t="n">
        <v>34</v>
      </c>
      <c r="AQ354" s="30" t="str">
        <f aca="false">IF(OR(Y354="判定不能",G354="判定不能"),"判定不能",IF(AP354&gt;=判定条件!$C$9,"利用可",IF(AND(Y354="停止",G354="停止"),"両方停止","運転がそろわない")))</f>
        <v>利用可</v>
      </c>
      <c r="AR354" s="30" t="n">
        <v>60</v>
      </c>
      <c r="AS354" s="30" t="n">
        <v>60</v>
      </c>
      <c r="AT354" s="30" t="str">
        <f aca="false">IF(OR(AB354="判定不能",J354="判定不能"),"判定不能",IF(AS354&gt;=判定条件!$C$9,"利用可",IF(AND(AB354="停止",J354="停止"),"両方停止","運転がそろわない")))</f>
        <v>利用可</v>
      </c>
      <c r="AU354" s="30" t="n">
        <v>60</v>
      </c>
      <c r="AV354" s="30" t="n">
        <v>60</v>
      </c>
      <c r="AW354" s="30" t="str">
        <f aca="false">IF(OR(AE354="判定不能",M354="判定不能"),"判定不能",IF(AV354&gt;=判定条件!$C$9,"利用可",IF(AND(AE354="停止",M354="停止"),"両方停止","運転がそろわない")))</f>
        <v>利用可</v>
      </c>
      <c r="AX354" s="30" t="str">
        <f aca="false">IF(AND(AH354="利用可",AK354="利用可",AN354="利用可"),"利用可","不可")</f>
        <v>不可</v>
      </c>
      <c r="AY354" s="30" t="str">
        <f aca="false">IF(AND(AQ354="利用可",AT354="利用可",AW354="利用可"),"利用可","不可")</f>
        <v>利用可</v>
      </c>
    </row>
    <row r="355" customFormat="false" ht="15" hidden="false" customHeight="false" outlineLevel="0" collapsed="false">
      <c r="A355" s="29" t="n">
        <v>46246</v>
      </c>
      <c r="B355" s="30" t="n">
        <v>16</v>
      </c>
      <c r="C355" s="31" t="s">
        <v>58</v>
      </c>
      <c r="D355" s="31" t="s">
        <v>59</v>
      </c>
      <c r="E355" s="30" t="n">
        <v>60</v>
      </c>
      <c r="F355" s="30" t="n">
        <v>60</v>
      </c>
      <c r="G355" s="30" t="str">
        <f aca="false">IF(E355&lt;判定条件!$C$6,"判定不能",IF(F355&gt;=判定条件!$C$7*E355,"運転",IF(F355&lt;=判定条件!$C$8*E355,"停止","断続")))</f>
        <v>運転</v>
      </c>
      <c r="H355" s="30" t="n">
        <v>60</v>
      </c>
      <c r="I355" s="30" t="n">
        <v>60</v>
      </c>
      <c r="J355" s="30" t="str">
        <f aca="false">IF(H355&lt;判定条件!$C$6,"判定不能",IF(I355&gt;=判定条件!$C$7*H355,"運転",IF(I355&lt;=判定条件!$C$8*H355,"停止","断続")))</f>
        <v>運転</v>
      </c>
      <c r="K355" s="30" t="n">
        <v>60</v>
      </c>
      <c r="L355" s="30" t="n">
        <v>60</v>
      </c>
      <c r="M355" s="30" t="str">
        <f aca="false">IF(K355&lt;判定条件!$C$6,"判定不能",IF(L355&gt;=判定条件!$C$7*K355,"運転",IF(L355&lt;=判定条件!$C$8*K355,"停止","断続")))</f>
        <v>運転</v>
      </c>
      <c r="N355" s="30" t="n">
        <v>60</v>
      </c>
      <c r="O355" s="30" t="n">
        <v>60</v>
      </c>
      <c r="P355" s="30" t="str">
        <f aca="false">IF(N355&lt;判定条件!$C$6,"判定不能",IF(O355&gt;=判定条件!$C$7*N355,"運転",IF(O355&lt;=判定条件!$C$8*N355,"停止","断続")))</f>
        <v>運転</v>
      </c>
      <c r="Q355" s="30" t="n">
        <v>60</v>
      </c>
      <c r="R355" s="30" t="n">
        <v>28</v>
      </c>
      <c r="S355" s="30" t="str">
        <f aca="false">IF(Q355&lt;判定条件!$C$6,"判定不能",IF(R355&gt;=判定条件!$C$7*Q355,"運転",IF(R355&lt;=判定条件!$C$8*Q355,"停止","断続")))</f>
        <v>断続</v>
      </c>
      <c r="T355" s="30" t="n">
        <v>60</v>
      </c>
      <c r="U355" s="30" t="n">
        <v>60</v>
      </c>
      <c r="V355" s="30" t="str">
        <f aca="false">IF(T355&lt;判定条件!$C$6,"判定不能",IF(U355&gt;=判定条件!$C$7*T355,"運転",IF(U355&lt;=判定条件!$C$8*T355,"停止","断続")))</f>
        <v>運転</v>
      </c>
      <c r="W355" s="30" t="n">
        <v>60</v>
      </c>
      <c r="X355" s="30" t="n">
        <v>55</v>
      </c>
      <c r="Y355" s="30" t="str">
        <f aca="false">IF(W355&lt;判定条件!$C$6,"判定不能",IF(X355&gt;=判定条件!$C$7*W355,"運転",IF(X355&lt;=判定条件!$C$8*W355,"停止","断続")))</f>
        <v>運転</v>
      </c>
      <c r="Z355" s="30" t="n">
        <v>60</v>
      </c>
      <c r="AA355" s="30" t="n">
        <v>60</v>
      </c>
      <c r="AB355" s="30" t="str">
        <f aca="false">IF(Z355&lt;判定条件!$C$6,"判定不能",IF(AA355&gt;=判定条件!$C$7*Z355,"運転",IF(AA355&lt;=判定条件!$C$8*Z355,"停止","断続")))</f>
        <v>運転</v>
      </c>
      <c r="AC355" s="30" t="n">
        <v>60</v>
      </c>
      <c r="AD355" s="30" t="n">
        <v>53</v>
      </c>
      <c r="AE355" s="30" t="str">
        <f aca="false">IF(AC355&lt;判定条件!$C$6,"判定不能",IF(AD355&gt;=判定条件!$C$7*AC355,"運転",IF(AD355&lt;=判定条件!$C$8*AC355,"停止","断続")))</f>
        <v>運転</v>
      </c>
      <c r="AF355" s="30" t="n">
        <v>60</v>
      </c>
      <c r="AG355" s="30" t="n">
        <v>60</v>
      </c>
      <c r="AH355" s="30" t="str">
        <f aca="false">IF(OR(P355="判定不能",G355="判定不能"),"判定不能",IF(AG355&gt;=判定条件!$C$9,"利用可",IF(AND(P355="停止",G355="停止"),"両方停止","運転がそろわない")))</f>
        <v>利用可</v>
      </c>
      <c r="AI355" s="30" t="n">
        <v>60</v>
      </c>
      <c r="AJ355" s="30" t="n">
        <v>28</v>
      </c>
      <c r="AK355" s="30" t="str">
        <f aca="false">IF(OR(S355="判定不能",J355="判定不能"),"判定不能",IF(AJ355&gt;=判定条件!$C$9,"利用可",IF(AND(S355="停止",J355="停止"),"両方停止","運転がそろわない")))</f>
        <v>運転がそろわない</v>
      </c>
      <c r="AL355" s="30" t="n">
        <v>60</v>
      </c>
      <c r="AM355" s="30" t="n">
        <v>60</v>
      </c>
      <c r="AN355" s="30" t="str">
        <f aca="false">IF(OR(V355="判定不能",M355="判定不能"),"判定不能",IF(AM355&gt;=判定条件!$C$9,"利用可",IF(AND(V355="停止",M355="停止"),"両方停止","運転がそろわない")))</f>
        <v>利用可</v>
      </c>
      <c r="AO355" s="30" t="n">
        <v>60</v>
      </c>
      <c r="AP355" s="30" t="n">
        <v>55</v>
      </c>
      <c r="AQ355" s="30" t="str">
        <f aca="false">IF(OR(Y355="判定不能",G355="判定不能"),"判定不能",IF(AP355&gt;=判定条件!$C$9,"利用可",IF(AND(Y355="停止",G355="停止"),"両方停止","運転がそろわない")))</f>
        <v>利用可</v>
      </c>
      <c r="AR355" s="30" t="n">
        <v>60</v>
      </c>
      <c r="AS355" s="30" t="n">
        <v>60</v>
      </c>
      <c r="AT355" s="30" t="str">
        <f aca="false">IF(OR(AB355="判定不能",J355="判定不能"),"判定不能",IF(AS355&gt;=判定条件!$C$9,"利用可",IF(AND(AB355="停止",J355="停止"),"両方停止","運転がそろわない")))</f>
        <v>利用可</v>
      </c>
      <c r="AU355" s="30" t="n">
        <v>60</v>
      </c>
      <c r="AV355" s="30" t="n">
        <v>53</v>
      </c>
      <c r="AW355" s="30" t="str">
        <f aca="false">IF(OR(AE355="判定不能",M355="判定不能"),"判定不能",IF(AV355&gt;=判定条件!$C$9,"利用可",IF(AND(AE355="停止",M355="停止"),"両方停止","運転がそろわない")))</f>
        <v>利用可</v>
      </c>
      <c r="AX355" s="30" t="str">
        <f aca="false">IF(AND(AH355="利用可",AK355="利用可",AN355="利用可"),"利用可","不可")</f>
        <v>不可</v>
      </c>
      <c r="AY355" s="30" t="str">
        <f aca="false">IF(AND(AQ355="利用可",AT355="利用可",AW355="利用可"),"利用可","不可")</f>
        <v>利用可</v>
      </c>
    </row>
    <row r="356" customFormat="false" ht="15" hidden="false" customHeight="false" outlineLevel="0" collapsed="false">
      <c r="A356" s="29" t="n">
        <v>46246</v>
      </c>
      <c r="B356" s="30" t="n">
        <v>17</v>
      </c>
      <c r="C356" s="31" t="s">
        <v>58</v>
      </c>
      <c r="D356" s="31" t="s">
        <v>59</v>
      </c>
      <c r="E356" s="30" t="n">
        <v>60</v>
      </c>
      <c r="F356" s="30" t="n">
        <v>60</v>
      </c>
      <c r="G356" s="30" t="str">
        <f aca="false">IF(E356&lt;判定条件!$C$6,"判定不能",IF(F356&gt;=判定条件!$C$7*E356,"運転",IF(F356&lt;=判定条件!$C$8*E356,"停止","断続")))</f>
        <v>運転</v>
      </c>
      <c r="H356" s="30" t="n">
        <v>60</v>
      </c>
      <c r="I356" s="30" t="n">
        <v>60</v>
      </c>
      <c r="J356" s="30" t="str">
        <f aca="false">IF(H356&lt;判定条件!$C$6,"判定不能",IF(I356&gt;=判定条件!$C$7*H356,"運転",IF(I356&lt;=判定条件!$C$8*H356,"停止","断続")))</f>
        <v>運転</v>
      </c>
      <c r="K356" s="30" t="n">
        <v>60</v>
      </c>
      <c r="L356" s="30" t="n">
        <v>60</v>
      </c>
      <c r="M356" s="30" t="str">
        <f aca="false">IF(K356&lt;判定条件!$C$6,"判定不能",IF(L356&gt;=判定条件!$C$7*K356,"運転",IF(L356&lt;=判定条件!$C$8*K356,"停止","断続")))</f>
        <v>運転</v>
      </c>
      <c r="N356" s="30" t="n">
        <v>60</v>
      </c>
      <c r="O356" s="30" t="n">
        <v>60</v>
      </c>
      <c r="P356" s="30" t="str">
        <f aca="false">IF(N356&lt;判定条件!$C$6,"判定不能",IF(O356&gt;=判定条件!$C$7*N356,"運転",IF(O356&lt;=判定条件!$C$8*N356,"停止","断続")))</f>
        <v>運転</v>
      </c>
      <c r="Q356" s="30" t="n">
        <v>60</v>
      </c>
      <c r="R356" s="30" t="n">
        <v>0</v>
      </c>
      <c r="S356" s="30" t="str">
        <f aca="false">IF(Q356&lt;判定条件!$C$6,"判定不能",IF(R356&gt;=判定条件!$C$7*Q356,"運転",IF(R356&lt;=判定条件!$C$8*Q356,"停止","断続")))</f>
        <v>停止</v>
      </c>
      <c r="T356" s="30" t="n">
        <v>60</v>
      </c>
      <c r="U356" s="30" t="n">
        <v>60</v>
      </c>
      <c r="V356" s="30" t="str">
        <f aca="false">IF(T356&lt;判定条件!$C$6,"判定不能",IF(U356&gt;=判定条件!$C$7*T356,"運転",IF(U356&lt;=判定条件!$C$8*T356,"停止","断続")))</f>
        <v>運転</v>
      </c>
      <c r="W356" s="30" t="n">
        <v>60</v>
      </c>
      <c r="X356" s="30" t="n">
        <v>52</v>
      </c>
      <c r="Y356" s="30" t="str">
        <f aca="false">IF(W356&lt;判定条件!$C$6,"判定不能",IF(X356&gt;=判定条件!$C$7*W356,"運転",IF(X356&lt;=判定条件!$C$8*W356,"停止","断続")))</f>
        <v>運転</v>
      </c>
      <c r="Z356" s="30" t="n">
        <v>60</v>
      </c>
      <c r="AA356" s="30" t="n">
        <v>57</v>
      </c>
      <c r="AB356" s="30" t="str">
        <f aca="false">IF(Z356&lt;判定条件!$C$6,"判定不能",IF(AA356&gt;=判定条件!$C$7*Z356,"運転",IF(AA356&lt;=判定条件!$C$8*Z356,"停止","断続")))</f>
        <v>運転</v>
      </c>
      <c r="AC356" s="30" t="n">
        <v>60</v>
      </c>
      <c r="AD356" s="30" t="n">
        <v>41</v>
      </c>
      <c r="AE356" s="30" t="str">
        <f aca="false">IF(AC356&lt;判定条件!$C$6,"判定不能",IF(AD356&gt;=判定条件!$C$7*AC356,"運転",IF(AD356&lt;=判定条件!$C$8*AC356,"停止","断続")))</f>
        <v>断続</v>
      </c>
      <c r="AF356" s="30" t="n">
        <v>60</v>
      </c>
      <c r="AG356" s="30" t="n">
        <v>60</v>
      </c>
      <c r="AH356" s="30" t="str">
        <f aca="false">IF(OR(P356="判定不能",G356="判定不能"),"判定不能",IF(AG356&gt;=判定条件!$C$9,"利用可",IF(AND(P356="停止",G356="停止"),"両方停止","運転がそろわない")))</f>
        <v>利用可</v>
      </c>
      <c r="AI356" s="30" t="n">
        <v>60</v>
      </c>
      <c r="AJ356" s="30" t="n">
        <v>0</v>
      </c>
      <c r="AK356" s="30" t="str">
        <f aca="false">IF(OR(S356="判定不能",J356="判定不能"),"判定不能",IF(AJ356&gt;=判定条件!$C$9,"利用可",IF(AND(S356="停止",J356="停止"),"両方停止","運転がそろわない")))</f>
        <v>運転がそろわない</v>
      </c>
      <c r="AL356" s="30" t="n">
        <v>60</v>
      </c>
      <c r="AM356" s="30" t="n">
        <v>60</v>
      </c>
      <c r="AN356" s="30" t="str">
        <f aca="false">IF(OR(V356="判定不能",M356="判定不能"),"判定不能",IF(AM356&gt;=判定条件!$C$9,"利用可",IF(AND(V356="停止",M356="停止"),"両方停止","運転がそろわない")))</f>
        <v>利用可</v>
      </c>
      <c r="AO356" s="30" t="n">
        <v>60</v>
      </c>
      <c r="AP356" s="30" t="n">
        <v>52</v>
      </c>
      <c r="AQ356" s="30" t="str">
        <f aca="false">IF(OR(Y356="判定不能",G356="判定不能"),"判定不能",IF(AP356&gt;=判定条件!$C$9,"利用可",IF(AND(Y356="停止",G356="停止"),"両方停止","運転がそろわない")))</f>
        <v>利用可</v>
      </c>
      <c r="AR356" s="30" t="n">
        <v>60</v>
      </c>
      <c r="AS356" s="30" t="n">
        <v>57</v>
      </c>
      <c r="AT356" s="30" t="str">
        <f aca="false">IF(OR(AB356="判定不能",J356="判定不能"),"判定不能",IF(AS356&gt;=判定条件!$C$9,"利用可",IF(AND(AB356="停止",J356="停止"),"両方停止","運転がそろわない")))</f>
        <v>利用可</v>
      </c>
      <c r="AU356" s="30" t="n">
        <v>60</v>
      </c>
      <c r="AV356" s="30" t="n">
        <v>41</v>
      </c>
      <c r="AW356" s="30" t="str">
        <f aca="false">IF(OR(AE356="判定不能",M356="判定不能"),"判定不能",IF(AV356&gt;=判定条件!$C$9,"利用可",IF(AND(AE356="停止",M356="停止"),"両方停止","運転がそろわない")))</f>
        <v>利用可</v>
      </c>
      <c r="AX356" s="30" t="str">
        <f aca="false">IF(AND(AH356="利用可",AK356="利用可",AN356="利用可"),"利用可","不可")</f>
        <v>不可</v>
      </c>
      <c r="AY356" s="30" t="str">
        <f aca="false">IF(AND(AQ356="利用可",AT356="利用可",AW356="利用可"),"利用可","不可")</f>
        <v>利用可</v>
      </c>
    </row>
    <row r="357" customFormat="false" ht="15" hidden="false" customHeight="false" outlineLevel="0" collapsed="false">
      <c r="A357" s="29" t="n">
        <v>46246</v>
      </c>
      <c r="B357" s="30" t="n">
        <v>18</v>
      </c>
      <c r="C357" s="31" t="s">
        <v>58</v>
      </c>
      <c r="D357" s="31" t="s">
        <v>59</v>
      </c>
      <c r="E357" s="30" t="n">
        <v>60</v>
      </c>
      <c r="F357" s="30" t="n">
        <v>60</v>
      </c>
      <c r="G357" s="30" t="str">
        <f aca="false">IF(E357&lt;判定条件!$C$6,"判定不能",IF(F357&gt;=判定条件!$C$7*E357,"運転",IF(F357&lt;=判定条件!$C$8*E357,"停止","断続")))</f>
        <v>運転</v>
      </c>
      <c r="H357" s="30" t="n">
        <v>60</v>
      </c>
      <c r="I357" s="30" t="n">
        <v>60</v>
      </c>
      <c r="J357" s="30" t="str">
        <f aca="false">IF(H357&lt;判定条件!$C$6,"判定不能",IF(I357&gt;=判定条件!$C$7*H357,"運転",IF(I357&lt;=判定条件!$C$8*H357,"停止","断続")))</f>
        <v>運転</v>
      </c>
      <c r="K357" s="30" t="n">
        <v>60</v>
      </c>
      <c r="L357" s="30" t="n">
        <v>60</v>
      </c>
      <c r="M357" s="30" t="str">
        <f aca="false">IF(K357&lt;判定条件!$C$6,"判定不能",IF(L357&gt;=判定条件!$C$7*K357,"運転",IF(L357&lt;=判定条件!$C$8*K357,"停止","断続")))</f>
        <v>運転</v>
      </c>
      <c r="N357" s="30" t="n">
        <v>60</v>
      </c>
      <c r="O357" s="30" t="n">
        <v>8</v>
      </c>
      <c r="P357" s="30" t="str">
        <f aca="false">IF(N357&lt;判定条件!$C$6,"判定不能",IF(O357&gt;=判定条件!$C$7*N357,"運転",IF(O357&lt;=判定条件!$C$8*N357,"停止","断続")))</f>
        <v>停止</v>
      </c>
      <c r="Q357" s="30" t="n">
        <v>60</v>
      </c>
      <c r="R357" s="30" t="n">
        <v>0</v>
      </c>
      <c r="S357" s="30" t="str">
        <f aca="false">IF(Q357&lt;判定条件!$C$6,"判定不能",IF(R357&gt;=判定条件!$C$7*Q357,"運転",IF(R357&lt;=判定条件!$C$8*Q357,"停止","断続")))</f>
        <v>停止</v>
      </c>
      <c r="T357" s="30" t="n">
        <v>60</v>
      </c>
      <c r="U357" s="30" t="n">
        <v>4</v>
      </c>
      <c r="V357" s="30" t="str">
        <f aca="false">IF(T357&lt;判定条件!$C$6,"判定不能",IF(U357&gt;=判定条件!$C$7*T357,"運転",IF(U357&lt;=判定条件!$C$8*T357,"停止","断続")))</f>
        <v>停止</v>
      </c>
      <c r="W357" s="30" t="n">
        <v>60</v>
      </c>
      <c r="X357" s="30" t="n">
        <v>50</v>
      </c>
      <c r="Y357" s="30" t="str">
        <f aca="false">IF(W357&lt;判定条件!$C$6,"判定不能",IF(X357&gt;=判定条件!$C$7*W357,"運転",IF(X357&lt;=判定条件!$C$8*W357,"停止","断続")))</f>
        <v>運転</v>
      </c>
      <c r="Z357" s="30" t="n">
        <v>60</v>
      </c>
      <c r="AA357" s="30" t="n">
        <v>17</v>
      </c>
      <c r="AB357" s="30" t="str">
        <f aca="false">IF(Z357&lt;判定条件!$C$6,"判定不能",IF(AA357&gt;=判定条件!$C$7*Z357,"運転",IF(AA357&lt;=判定条件!$C$8*Z357,"停止","断続")))</f>
        <v>断続</v>
      </c>
      <c r="AC357" s="30" t="n">
        <v>60</v>
      </c>
      <c r="AD357" s="30" t="n">
        <v>60</v>
      </c>
      <c r="AE357" s="30" t="str">
        <f aca="false">IF(AC357&lt;判定条件!$C$6,"判定不能",IF(AD357&gt;=判定条件!$C$7*AC357,"運転",IF(AD357&lt;=判定条件!$C$8*AC357,"停止","断続")))</f>
        <v>運転</v>
      </c>
      <c r="AF357" s="30" t="n">
        <v>60</v>
      </c>
      <c r="AG357" s="30" t="n">
        <v>8</v>
      </c>
      <c r="AH357" s="30" t="str">
        <f aca="false">IF(OR(P357="判定不能",G357="判定不能"),"判定不能",IF(AG357&gt;=判定条件!$C$9,"利用可",IF(AND(P357="停止",G357="停止"),"両方停止","運転がそろわない")))</f>
        <v>運転がそろわない</v>
      </c>
      <c r="AI357" s="30" t="n">
        <v>60</v>
      </c>
      <c r="AJ357" s="30" t="n">
        <v>0</v>
      </c>
      <c r="AK357" s="30" t="str">
        <f aca="false">IF(OR(S357="判定不能",J357="判定不能"),"判定不能",IF(AJ357&gt;=判定条件!$C$9,"利用可",IF(AND(S357="停止",J357="停止"),"両方停止","運転がそろわない")))</f>
        <v>運転がそろわない</v>
      </c>
      <c r="AL357" s="30" t="n">
        <v>60</v>
      </c>
      <c r="AM357" s="30" t="n">
        <v>4</v>
      </c>
      <c r="AN357" s="30" t="str">
        <f aca="false">IF(OR(V357="判定不能",M357="判定不能"),"判定不能",IF(AM357&gt;=判定条件!$C$9,"利用可",IF(AND(V357="停止",M357="停止"),"両方停止","運転がそろわない")))</f>
        <v>運転がそろわない</v>
      </c>
      <c r="AO357" s="30" t="n">
        <v>60</v>
      </c>
      <c r="AP357" s="30" t="n">
        <v>50</v>
      </c>
      <c r="AQ357" s="30" t="str">
        <f aca="false">IF(OR(Y357="判定不能",G357="判定不能"),"判定不能",IF(AP357&gt;=判定条件!$C$9,"利用可",IF(AND(Y357="停止",G357="停止"),"両方停止","運転がそろわない")))</f>
        <v>利用可</v>
      </c>
      <c r="AR357" s="30" t="n">
        <v>60</v>
      </c>
      <c r="AS357" s="30" t="n">
        <v>17</v>
      </c>
      <c r="AT357" s="30" t="str">
        <f aca="false">IF(OR(AB357="判定不能",J357="判定不能"),"判定不能",IF(AS357&gt;=判定条件!$C$9,"利用可",IF(AND(AB357="停止",J357="停止"),"両方停止","運転がそろわない")))</f>
        <v>運転がそろわない</v>
      </c>
      <c r="AU357" s="30" t="n">
        <v>60</v>
      </c>
      <c r="AV357" s="30" t="n">
        <v>60</v>
      </c>
      <c r="AW357" s="30" t="str">
        <f aca="false">IF(OR(AE357="判定不能",M357="判定不能"),"判定不能",IF(AV357&gt;=判定条件!$C$9,"利用可",IF(AND(AE357="停止",M357="停止"),"両方停止","運転がそろわない")))</f>
        <v>利用可</v>
      </c>
      <c r="AX357" s="30" t="str">
        <f aca="false">IF(AND(AH357="利用可",AK357="利用可",AN357="利用可"),"利用可","不可")</f>
        <v>不可</v>
      </c>
      <c r="AY357" s="30" t="str">
        <f aca="false">IF(AND(AQ357="利用可",AT357="利用可",AW357="利用可"),"利用可","不可")</f>
        <v>不可</v>
      </c>
    </row>
    <row r="358" customFormat="false" ht="15" hidden="false" customHeight="false" outlineLevel="0" collapsed="false">
      <c r="A358" s="29" t="n">
        <v>46246</v>
      </c>
      <c r="B358" s="30" t="n">
        <v>19</v>
      </c>
      <c r="C358" s="31" t="s">
        <v>58</v>
      </c>
      <c r="D358" s="31" t="s">
        <v>59</v>
      </c>
      <c r="E358" s="30" t="n">
        <v>60</v>
      </c>
      <c r="F358" s="30" t="n">
        <v>60</v>
      </c>
      <c r="G358" s="30" t="str">
        <f aca="false">IF(E358&lt;判定条件!$C$6,"判定不能",IF(F358&gt;=判定条件!$C$7*E358,"運転",IF(F358&lt;=判定条件!$C$8*E358,"停止","断続")))</f>
        <v>運転</v>
      </c>
      <c r="H358" s="30" t="n">
        <v>60</v>
      </c>
      <c r="I358" s="30" t="n">
        <v>60</v>
      </c>
      <c r="J358" s="30" t="str">
        <f aca="false">IF(H358&lt;判定条件!$C$6,"判定不能",IF(I358&gt;=判定条件!$C$7*H358,"運転",IF(I358&lt;=判定条件!$C$8*H358,"停止","断続")))</f>
        <v>運転</v>
      </c>
      <c r="K358" s="30" t="n">
        <v>60</v>
      </c>
      <c r="L358" s="30" t="n">
        <v>60</v>
      </c>
      <c r="M358" s="30" t="str">
        <f aca="false">IF(K358&lt;判定条件!$C$6,"判定不能",IF(L358&gt;=判定条件!$C$7*K358,"運転",IF(L358&lt;=判定条件!$C$8*K358,"停止","断続")))</f>
        <v>運転</v>
      </c>
      <c r="N358" s="30" t="n">
        <v>60</v>
      </c>
      <c r="O358" s="30" t="n">
        <v>8</v>
      </c>
      <c r="P358" s="30" t="str">
        <f aca="false">IF(N358&lt;判定条件!$C$6,"判定不能",IF(O358&gt;=判定条件!$C$7*N358,"運転",IF(O358&lt;=判定条件!$C$8*N358,"停止","断続")))</f>
        <v>停止</v>
      </c>
      <c r="Q358" s="30" t="n">
        <v>60</v>
      </c>
      <c r="R358" s="30" t="n">
        <v>0</v>
      </c>
      <c r="S358" s="30" t="str">
        <f aca="false">IF(Q358&lt;判定条件!$C$6,"判定不能",IF(R358&gt;=判定条件!$C$7*Q358,"運転",IF(R358&lt;=判定条件!$C$8*Q358,"停止","断続")))</f>
        <v>停止</v>
      </c>
      <c r="T358" s="30" t="n">
        <v>60</v>
      </c>
      <c r="U358" s="30" t="n">
        <v>44</v>
      </c>
      <c r="V358" s="30" t="str">
        <f aca="false">IF(T358&lt;判定条件!$C$6,"判定不能",IF(U358&gt;=判定条件!$C$7*T358,"運転",IF(U358&lt;=判定条件!$C$8*T358,"停止","断続")))</f>
        <v>断続</v>
      </c>
      <c r="W358" s="30" t="n">
        <v>60</v>
      </c>
      <c r="X358" s="30" t="n">
        <v>1</v>
      </c>
      <c r="Y358" s="30" t="str">
        <f aca="false">IF(W358&lt;判定条件!$C$6,"判定不能",IF(X358&gt;=判定条件!$C$7*W358,"運転",IF(X358&lt;=判定条件!$C$8*W358,"停止","断続")))</f>
        <v>停止</v>
      </c>
      <c r="Z358" s="30" t="n">
        <v>60</v>
      </c>
      <c r="AA358" s="30" t="n">
        <v>0</v>
      </c>
      <c r="AB358" s="30" t="str">
        <f aca="false">IF(Z358&lt;判定条件!$C$6,"判定不能",IF(AA358&gt;=判定条件!$C$7*Z358,"運転",IF(AA358&lt;=判定条件!$C$8*Z358,"停止","断続")))</f>
        <v>停止</v>
      </c>
      <c r="AC358" s="30" t="n">
        <v>60</v>
      </c>
      <c r="AD358" s="30" t="n">
        <v>7</v>
      </c>
      <c r="AE358" s="30" t="str">
        <f aca="false">IF(AC358&lt;判定条件!$C$6,"判定不能",IF(AD358&gt;=判定条件!$C$7*AC358,"運転",IF(AD358&lt;=判定条件!$C$8*AC358,"停止","断続")))</f>
        <v>停止</v>
      </c>
      <c r="AF358" s="30" t="n">
        <v>60</v>
      </c>
      <c r="AG358" s="30" t="n">
        <v>8</v>
      </c>
      <c r="AH358" s="30" t="str">
        <f aca="false">IF(OR(P358="判定不能",G358="判定不能"),"判定不能",IF(AG358&gt;=判定条件!$C$9,"利用可",IF(AND(P358="停止",G358="停止"),"両方停止","運転がそろわない")))</f>
        <v>運転がそろわない</v>
      </c>
      <c r="AI358" s="30" t="n">
        <v>60</v>
      </c>
      <c r="AJ358" s="30" t="n">
        <v>0</v>
      </c>
      <c r="AK358" s="30" t="str">
        <f aca="false">IF(OR(S358="判定不能",J358="判定不能"),"判定不能",IF(AJ358&gt;=判定条件!$C$9,"利用可",IF(AND(S358="停止",J358="停止"),"両方停止","運転がそろわない")))</f>
        <v>運転がそろわない</v>
      </c>
      <c r="AL358" s="30" t="n">
        <v>60</v>
      </c>
      <c r="AM358" s="30" t="n">
        <v>44</v>
      </c>
      <c r="AN358" s="30" t="str">
        <f aca="false">IF(OR(V358="判定不能",M358="判定不能"),"判定不能",IF(AM358&gt;=判定条件!$C$9,"利用可",IF(AND(V358="停止",M358="停止"),"両方停止","運転がそろわない")))</f>
        <v>利用可</v>
      </c>
      <c r="AO358" s="30" t="n">
        <v>60</v>
      </c>
      <c r="AP358" s="30" t="n">
        <v>1</v>
      </c>
      <c r="AQ358" s="30" t="str">
        <f aca="false">IF(OR(Y358="判定不能",G358="判定不能"),"判定不能",IF(AP358&gt;=判定条件!$C$9,"利用可",IF(AND(Y358="停止",G358="停止"),"両方停止","運転がそろわない")))</f>
        <v>運転がそろわない</v>
      </c>
      <c r="AR358" s="30" t="n">
        <v>60</v>
      </c>
      <c r="AS358" s="30" t="n">
        <v>0</v>
      </c>
      <c r="AT358" s="30" t="str">
        <f aca="false">IF(OR(AB358="判定不能",J358="判定不能"),"判定不能",IF(AS358&gt;=判定条件!$C$9,"利用可",IF(AND(AB358="停止",J358="停止"),"両方停止","運転がそろわない")))</f>
        <v>運転がそろわない</v>
      </c>
      <c r="AU358" s="30" t="n">
        <v>60</v>
      </c>
      <c r="AV358" s="30" t="n">
        <v>7</v>
      </c>
      <c r="AW358" s="30" t="str">
        <f aca="false">IF(OR(AE358="判定不能",M358="判定不能"),"判定不能",IF(AV358&gt;=判定条件!$C$9,"利用可",IF(AND(AE358="停止",M358="停止"),"両方停止","運転がそろわない")))</f>
        <v>運転がそろわない</v>
      </c>
      <c r="AX358" s="30" t="str">
        <f aca="false">IF(AND(AH358="利用可",AK358="利用可",AN358="利用可"),"利用可","不可")</f>
        <v>不可</v>
      </c>
      <c r="AY358" s="30" t="str">
        <f aca="false">IF(AND(AQ358="利用可",AT358="利用可",AW358="利用可"),"利用可","不可")</f>
        <v>不可</v>
      </c>
    </row>
    <row r="359" customFormat="false" ht="15" hidden="false" customHeight="false" outlineLevel="0" collapsed="false">
      <c r="A359" s="29" t="n">
        <v>46246</v>
      </c>
      <c r="B359" s="30" t="n">
        <v>20</v>
      </c>
      <c r="C359" s="31" t="s">
        <v>58</v>
      </c>
      <c r="D359" s="31" t="s">
        <v>59</v>
      </c>
      <c r="E359" s="30" t="n">
        <v>60</v>
      </c>
      <c r="F359" s="30" t="n">
        <v>54</v>
      </c>
      <c r="G359" s="30" t="str">
        <f aca="false">IF(E359&lt;判定条件!$C$6,"判定不能",IF(F359&gt;=判定条件!$C$7*E359,"運転",IF(F359&lt;=判定条件!$C$8*E359,"停止","断続")))</f>
        <v>運転</v>
      </c>
      <c r="H359" s="30" t="n">
        <v>60</v>
      </c>
      <c r="I359" s="30" t="n">
        <v>51</v>
      </c>
      <c r="J359" s="30" t="str">
        <f aca="false">IF(H359&lt;判定条件!$C$6,"判定不能",IF(I359&gt;=判定条件!$C$7*H359,"運転",IF(I359&lt;=判定条件!$C$8*H359,"停止","断続")))</f>
        <v>運転</v>
      </c>
      <c r="K359" s="30" t="n">
        <v>60</v>
      </c>
      <c r="L359" s="30" t="n">
        <v>60</v>
      </c>
      <c r="M359" s="30" t="str">
        <f aca="false">IF(K359&lt;判定条件!$C$6,"判定不能",IF(L359&gt;=判定条件!$C$7*K359,"運転",IF(L359&lt;=判定条件!$C$8*K359,"停止","断続")))</f>
        <v>運転</v>
      </c>
      <c r="N359" s="30" t="n">
        <v>60</v>
      </c>
      <c r="O359" s="30" t="n">
        <v>7</v>
      </c>
      <c r="P359" s="30" t="str">
        <f aca="false">IF(N359&lt;判定条件!$C$6,"判定不能",IF(O359&gt;=判定条件!$C$7*N359,"運転",IF(O359&lt;=判定条件!$C$8*N359,"停止","断続")))</f>
        <v>停止</v>
      </c>
      <c r="Q359" s="30" t="n">
        <v>60</v>
      </c>
      <c r="R359" s="30" t="n">
        <v>0</v>
      </c>
      <c r="S359" s="30" t="str">
        <f aca="false">IF(Q359&lt;判定条件!$C$6,"判定不能",IF(R359&gt;=判定条件!$C$7*Q359,"運転",IF(R359&lt;=判定条件!$C$8*Q359,"停止","断続")))</f>
        <v>停止</v>
      </c>
      <c r="T359" s="30" t="n">
        <v>60</v>
      </c>
      <c r="U359" s="30" t="n">
        <v>10</v>
      </c>
      <c r="V359" s="30" t="str">
        <f aca="false">IF(T359&lt;判定条件!$C$6,"判定不能",IF(U359&gt;=判定条件!$C$7*T359,"運転",IF(U359&lt;=判定条件!$C$8*T359,"停止","断続")))</f>
        <v>停止</v>
      </c>
      <c r="W359" s="30" t="n">
        <v>60</v>
      </c>
      <c r="X359" s="30" t="n">
        <v>0</v>
      </c>
      <c r="Y359" s="30" t="str">
        <f aca="false">IF(W359&lt;判定条件!$C$6,"判定不能",IF(X359&gt;=判定条件!$C$7*W359,"運転",IF(X359&lt;=判定条件!$C$8*W359,"停止","断続")))</f>
        <v>停止</v>
      </c>
      <c r="Z359" s="30" t="n">
        <v>60</v>
      </c>
      <c r="AA359" s="30" t="n">
        <v>0</v>
      </c>
      <c r="AB359" s="30" t="str">
        <f aca="false">IF(Z359&lt;判定条件!$C$6,"判定不能",IF(AA359&gt;=判定条件!$C$7*Z359,"運転",IF(AA359&lt;=判定条件!$C$8*Z359,"停止","断続")))</f>
        <v>停止</v>
      </c>
      <c r="AC359" s="30" t="n">
        <v>60</v>
      </c>
      <c r="AD359" s="30" t="n">
        <v>0</v>
      </c>
      <c r="AE359" s="30" t="str">
        <f aca="false">IF(AC359&lt;判定条件!$C$6,"判定不能",IF(AD359&gt;=判定条件!$C$7*AC359,"運転",IF(AD359&lt;=判定条件!$C$8*AC359,"停止","断続")))</f>
        <v>停止</v>
      </c>
      <c r="AF359" s="30" t="n">
        <v>60</v>
      </c>
      <c r="AG359" s="30" t="n">
        <v>7</v>
      </c>
      <c r="AH359" s="30" t="str">
        <f aca="false">IF(OR(P359="判定不能",G359="判定不能"),"判定不能",IF(AG359&gt;=判定条件!$C$9,"利用可",IF(AND(P359="停止",G359="停止"),"両方停止","運転がそろわない")))</f>
        <v>運転がそろわない</v>
      </c>
      <c r="AI359" s="30" t="n">
        <v>60</v>
      </c>
      <c r="AJ359" s="30" t="n">
        <v>0</v>
      </c>
      <c r="AK359" s="30" t="str">
        <f aca="false">IF(OR(S359="判定不能",J359="判定不能"),"判定不能",IF(AJ359&gt;=判定条件!$C$9,"利用可",IF(AND(S359="停止",J359="停止"),"両方停止","運転がそろわない")))</f>
        <v>運転がそろわない</v>
      </c>
      <c r="AL359" s="30" t="n">
        <v>60</v>
      </c>
      <c r="AM359" s="30" t="n">
        <v>10</v>
      </c>
      <c r="AN359" s="30" t="str">
        <f aca="false">IF(OR(V359="判定不能",M359="判定不能"),"判定不能",IF(AM359&gt;=判定条件!$C$9,"利用可",IF(AND(V359="停止",M359="停止"),"両方停止","運転がそろわない")))</f>
        <v>運転がそろわない</v>
      </c>
      <c r="AO359" s="30" t="n">
        <v>60</v>
      </c>
      <c r="AP359" s="30" t="n">
        <v>0</v>
      </c>
      <c r="AQ359" s="30" t="str">
        <f aca="false">IF(OR(Y359="判定不能",G359="判定不能"),"判定不能",IF(AP359&gt;=判定条件!$C$9,"利用可",IF(AND(Y359="停止",G359="停止"),"両方停止","運転がそろわない")))</f>
        <v>運転がそろわない</v>
      </c>
      <c r="AR359" s="30" t="n">
        <v>60</v>
      </c>
      <c r="AS359" s="30" t="n">
        <v>0</v>
      </c>
      <c r="AT359" s="30" t="str">
        <f aca="false">IF(OR(AB359="判定不能",J359="判定不能"),"判定不能",IF(AS359&gt;=判定条件!$C$9,"利用可",IF(AND(AB359="停止",J359="停止"),"両方停止","運転がそろわない")))</f>
        <v>運転がそろわない</v>
      </c>
      <c r="AU359" s="30" t="n">
        <v>60</v>
      </c>
      <c r="AV359" s="30" t="n">
        <v>0</v>
      </c>
      <c r="AW359" s="30" t="str">
        <f aca="false">IF(OR(AE359="判定不能",M359="判定不能"),"判定不能",IF(AV359&gt;=判定条件!$C$9,"利用可",IF(AND(AE359="停止",M359="停止"),"両方停止","運転がそろわない")))</f>
        <v>運転がそろわない</v>
      </c>
      <c r="AX359" s="30" t="str">
        <f aca="false">IF(AND(AH359="利用可",AK359="利用可",AN359="利用可"),"利用可","不可")</f>
        <v>不可</v>
      </c>
      <c r="AY359" s="30" t="str">
        <f aca="false">IF(AND(AQ359="利用可",AT359="利用可",AW359="利用可"),"利用可","不可")</f>
        <v>不可</v>
      </c>
    </row>
    <row r="360" customFormat="false" ht="15" hidden="false" customHeight="false" outlineLevel="0" collapsed="false">
      <c r="A360" s="29" t="n">
        <v>46246</v>
      </c>
      <c r="B360" s="30" t="n">
        <v>21</v>
      </c>
      <c r="C360" s="31" t="s">
        <v>58</v>
      </c>
      <c r="D360" s="31" t="s">
        <v>59</v>
      </c>
      <c r="E360" s="30" t="n">
        <v>60</v>
      </c>
      <c r="F360" s="30" t="n">
        <v>0</v>
      </c>
      <c r="G360" s="30" t="str">
        <f aca="false">IF(E360&lt;判定条件!$C$6,"判定不能",IF(F360&gt;=判定条件!$C$7*E360,"運転",IF(F360&lt;=判定条件!$C$8*E360,"停止","断続")))</f>
        <v>停止</v>
      </c>
      <c r="H360" s="30" t="n">
        <v>60</v>
      </c>
      <c r="I360" s="30" t="n">
        <v>0</v>
      </c>
      <c r="J360" s="30" t="str">
        <f aca="false">IF(H360&lt;判定条件!$C$6,"判定不能",IF(I360&gt;=判定条件!$C$7*H360,"運転",IF(I360&lt;=判定条件!$C$8*H360,"停止","断続")))</f>
        <v>停止</v>
      </c>
      <c r="K360" s="30" t="n">
        <v>60</v>
      </c>
      <c r="L360" s="30" t="n">
        <v>60</v>
      </c>
      <c r="M360" s="30" t="str">
        <f aca="false">IF(K360&lt;判定条件!$C$6,"判定不能",IF(L360&gt;=判定条件!$C$7*K360,"運転",IF(L360&lt;=判定条件!$C$8*K360,"停止","断続")))</f>
        <v>運転</v>
      </c>
      <c r="N360" s="30" t="n">
        <v>60</v>
      </c>
      <c r="O360" s="30" t="n">
        <v>0</v>
      </c>
      <c r="P360" s="30" t="str">
        <f aca="false">IF(N360&lt;判定条件!$C$6,"判定不能",IF(O360&gt;=判定条件!$C$7*N360,"運転",IF(O360&lt;=判定条件!$C$8*N360,"停止","断続")))</f>
        <v>停止</v>
      </c>
      <c r="Q360" s="30" t="n">
        <v>60</v>
      </c>
      <c r="R360" s="30" t="n">
        <v>0</v>
      </c>
      <c r="S360" s="30" t="str">
        <f aca="false">IF(Q360&lt;判定条件!$C$6,"判定不能",IF(R360&gt;=判定条件!$C$7*Q360,"運転",IF(R360&lt;=判定条件!$C$8*Q360,"停止","断続")))</f>
        <v>停止</v>
      </c>
      <c r="T360" s="30" t="n">
        <v>60</v>
      </c>
      <c r="U360" s="30" t="n">
        <v>0</v>
      </c>
      <c r="V360" s="30" t="str">
        <f aca="false">IF(T360&lt;判定条件!$C$6,"判定不能",IF(U360&gt;=判定条件!$C$7*T360,"運転",IF(U360&lt;=判定条件!$C$8*T360,"停止","断続")))</f>
        <v>停止</v>
      </c>
      <c r="W360" s="30" t="n">
        <v>60</v>
      </c>
      <c r="X360" s="30" t="n">
        <v>0</v>
      </c>
      <c r="Y360" s="30" t="str">
        <f aca="false">IF(W360&lt;判定条件!$C$6,"判定不能",IF(X360&gt;=判定条件!$C$7*W360,"運転",IF(X360&lt;=判定条件!$C$8*W360,"停止","断続")))</f>
        <v>停止</v>
      </c>
      <c r="Z360" s="30" t="n">
        <v>60</v>
      </c>
      <c r="AA360" s="30" t="n">
        <v>0</v>
      </c>
      <c r="AB360" s="30" t="str">
        <f aca="false">IF(Z360&lt;判定条件!$C$6,"判定不能",IF(AA360&gt;=判定条件!$C$7*Z360,"運転",IF(AA360&lt;=判定条件!$C$8*Z360,"停止","断続")))</f>
        <v>停止</v>
      </c>
      <c r="AC360" s="30" t="n">
        <v>60</v>
      </c>
      <c r="AD360" s="30" t="n">
        <v>0</v>
      </c>
      <c r="AE360" s="30" t="str">
        <f aca="false">IF(AC360&lt;判定条件!$C$6,"判定不能",IF(AD360&gt;=判定条件!$C$7*AC360,"運転",IF(AD360&lt;=判定条件!$C$8*AC360,"停止","断続")))</f>
        <v>停止</v>
      </c>
      <c r="AF360" s="30" t="n">
        <v>60</v>
      </c>
      <c r="AG360" s="30" t="n">
        <v>0</v>
      </c>
      <c r="AH360" s="30" t="str">
        <f aca="false">IF(OR(P360="判定不能",G360="判定不能"),"判定不能",IF(AG360&gt;=判定条件!$C$9,"利用可",IF(AND(P360="停止",G360="停止"),"両方停止","運転がそろわない")))</f>
        <v>両方停止</v>
      </c>
      <c r="AI360" s="30" t="n">
        <v>60</v>
      </c>
      <c r="AJ360" s="30" t="n">
        <v>0</v>
      </c>
      <c r="AK360" s="30" t="str">
        <f aca="false">IF(OR(S360="判定不能",J360="判定不能"),"判定不能",IF(AJ360&gt;=判定条件!$C$9,"利用可",IF(AND(S360="停止",J360="停止"),"両方停止","運転がそろわない")))</f>
        <v>両方停止</v>
      </c>
      <c r="AL360" s="30" t="n">
        <v>60</v>
      </c>
      <c r="AM360" s="30" t="n">
        <v>0</v>
      </c>
      <c r="AN360" s="30" t="str">
        <f aca="false">IF(OR(V360="判定不能",M360="判定不能"),"判定不能",IF(AM360&gt;=判定条件!$C$9,"利用可",IF(AND(V360="停止",M360="停止"),"両方停止","運転がそろわない")))</f>
        <v>運転がそろわない</v>
      </c>
      <c r="AO360" s="30" t="n">
        <v>60</v>
      </c>
      <c r="AP360" s="30" t="n">
        <v>0</v>
      </c>
      <c r="AQ360" s="30" t="str">
        <f aca="false">IF(OR(Y360="判定不能",G360="判定不能"),"判定不能",IF(AP360&gt;=判定条件!$C$9,"利用可",IF(AND(Y360="停止",G360="停止"),"両方停止","運転がそろわない")))</f>
        <v>両方停止</v>
      </c>
      <c r="AR360" s="30" t="n">
        <v>60</v>
      </c>
      <c r="AS360" s="30" t="n">
        <v>0</v>
      </c>
      <c r="AT360" s="30" t="str">
        <f aca="false">IF(OR(AB360="判定不能",J360="判定不能"),"判定不能",IF(AS360&gt;=判定条件!$C$9,"利用可",IF(AND(AB360="停止",J360="停止"),"両方停止","運転がそろわない")))</f>
        <v>両方停止</v>
      </c>
      <c r="AU360" s="30" t="n">
        <v>60</v>
      </c>
      <c r="AV360" s="30" t="n">
        <v>0</v>
      </c>
      <c r="AW360" s="30" t="str">
        <f aca="false">IF(OR(AE360="判定不能",M360="判定不能"),"判定不能",IF(AV360&gt;=判定条件!$C$9,"利用可",IF(AND(AE360="停止",M360="停止"),"両方停止","運転がそろわない")))</f>
        <v>運転がそろわない</v>
      </c>
      <c r="AX360" s="30" t="str">
        <f aca="false">IF(AND(AH360="利用可",AK360="利用可",AN360="利用可"),"利用可","不可")</f>
        <v>不可</v>
      </c>
      <c r="AY360" s="30" t="str">
        <f aca="false">IF(AND(AQ360="利用可",AT360="利用可",AW360="利用可"),"利用可","不可")</f>
        <v>不可</v>
      </c>
    </row>
    <row r="361" customFormat="false" ht="15" hidden="false" customHeight="false" outlineLevel="0" collapsed="false">
      <c r="A361" s="29" t="n">
        <v>46246</v>
      </c>
      <c r="B361" s="30" t="n">
        <v>22</v>
      </c>
      <c r="C361" s="31" t="s">
        <v>58</v>
      </c>
      <c r="D361" s="31" t="s">
        <v>59</v>
      </c>
      <c r="E361" s="30" t="n">
        <v>60</v>
      </c>
      <c r="F361" s="30" t="n">
        <v>0</v>
      </c>
      <c r="G361" s="30" t="str">
        <f aca="false">IF(E361&lt;判定条件!$C$6,"判定不能",IF(F361&gt;=判定条件!$C$7*E361,"運転",IF(F361&lt;=判定条件!$C$8*E361,"停止","断続")))</f>
        <v>停止</v>
      </c>
      <c r="H361" s="30" t="n">
        <v>60</v>
      </c>
      <c r="I361" s="30" t="n">
        <v>0</v>
      </c>
      <c r="J361" s="30" t="str">
        <f aca="false">IF(H361&lt;判定条件!$C$6,"判定不能",IF(I361&gt;=判定条件!$C$7*H361,"運転",IF(I361&lt;=判定条件!$C$8*H361,"停止","断続")))</f>
        <v>停止</v>
      </c>
      <c r="K361" s="30" t="n">
        <v>60</v>
      </c>
      <c r="L361" s="30" t="n">
        <v>60</v>
      </c>
      <c r="M361" s="30" t="str">
        <f aca="false">IF(K361&lt;判定条件!$C$6,"判定不能",IF(L361&gt;=判定条件!$C$7*K361,"運転",IF(L361&lt;=判定条件!$C$8*K361,"停止","断続")))</f>
        <v>運転</v>
      </c>
      <c r="N361" s="30" t="n">
        <v>60</v>
      </c>
      <c r="O361" s="30" t="n">
        <v>0</v>
      </c>
      <c r="P361" s="30" t="str">
        <f aca="false">IF(N361&lt;判定条件!$C$6,"判定不能",IF(O361&gt;=判定条件!$C$7*N361,"運転",IF(O361&lt;=判定条件!$C$8*N361,"停止","断続")))</f>
        <v>停止</v>
      </c>
      <c r="Q361" s="30" t="n">
        <v>60</v>
      </c>
      <c r="R361" s="30" t="n">
        <v>0</v>
      </c>
      <c r="S361" s="30" t="str">
        <f aca="false">IF(Q361&lt;判定条件!$C$6,"判定不能",IF(R361&gt;=判定条件!$C$7*Q361,"運転",IF(R361&lt;=判定条件!$C$8*Q361,"停止","断続")))</f>
        <v>停止</v>
      </c>
      <c r="T361" s="30" t="n">
        <v>60</v>
      </c>
      <c r="U361" s="30" t="n">
        <v>0</v>
      </c>
      <c r="V361" s="30" t="str">
        <f aca="false">IF(T361&lt;判定条件!$C$6,"判定不能",IF(U361&gt;=判定条件!$C$7*T361,"運転",IF(U361&lt;=判定条件!$C$8*T361,"停止","断続")))</f>
        <v>停止</v>
      </c>
      <c r="W361" s="30" t="n">
        <v>60</v>
      </c>
      <c r="X361" s="30" t="n">
        <v>0</v>
      </c>
      <c r="Y361" s="30" t="str">
        <f aca="false">IF(W361&lt;判定条件!$C$6,"判定不能",IF(X361&gt;=判定条件!$C$7*W361,"運転",IF(X361&lt;=判定条件!$C$8*W361,"停止","断続")))</f>
        <v>停止</v>
      </c>
      <c r="Z361" s="30" t="n">
        <v>60</v>
      </c>
      <c r="AA361" s="30" t="n">
        <v>0</v>
      </c>
      <c r="AB361" s="30" t="str">
        <f aca="false">IF(Z361&lt;判定条件!$C$6,"判定不能",IF(AA361&gt;=判定条件!$C$7*Z361,"運転",IF(AA361&lt;=判定条件!$C$8*Z361,"停止","断続")))</f>
        <v>停止</v>
      </c>
      <c r="AC361" s="30" t="n">
        <v>60</v>
      </c>
      <c r="AD361" s="30" t="n">
        <v>0</v>
      </c>
      <c r="AE361" s="30" t="str">
        <f aca="false">IF(AC361&lt;判定条件!$C$6,"判定不能",IF(AD361&gt;=判定条件!$C$7*AC361,"運転",IF(AD361&lt;=判定条件!$C$8*AC361,"停止","断続")))</f>
        <v>停止</v>
      </c>
      <c r="AF361" s="30" t="n">
        <v>60</v>
      </c>
      <c r="AG361" s="30" t="n">
        <v>0</v>
      </c>
      <c r="AH361" s="30" t="str">
        <f aca="false">IF(OR(P361="判定不能",G361="判定不能"),"判定不能",IF(AG361&gt;=判定条件!$C$9,"利用可",IF(AND(P361="停止",G361="停止"),"両方停止","運転がそろわない")))</f>
        <v>両方停止</v>
      </c>
      <c r="AI361" s="30" t="n">
        <v>60</v>
      </c>
      <c r="AJ361" s="30" t="n">
        <v>0</v>
      </c>
      <c r="AK361" s="30" t="str">
        <f aca="false">IF(OR(S361="判定不能",J361="判定不能"),"判定不能",IF(AJ361&gt;=判定条件!$C$9,"利用可",IF(AND(S361="停止",J361="停止"),"両方停止","運転がそろわない")))</f>
        <v>両方停止</v>
      </c>
      <c r="AL361" s="30" t="n">
        <v>60</v>
      </c>
      <c r="AM361" s="30" t="n">
        <v>0</v>
      </c>
      <c r="AN361" s="30" t="str">
        <f aca="false">IF(OR(V361="判定不能",M361="判定不能"),"判定不能",IF(AM361&gt;=判定条件!$C$9,"利用可",IF(AND(V361="停止",M361="停止"),"両方停止","運転がそろわない")))</f>
        <v>運転がそろわない</v>
      </c>
      <c r="AO361" s="30" t="n">
        <v>60</v>
      </c>
      <c r="AP361" s="30" t="n">
        <v>0</v>
      </c>
      <c r="AQ361" s="30" t="str">
        <f aca="false">IF(OR(Y361="判定不能",G361="判定不能"),"判定不能",IF(AP361&gt;=判定条件!$C$9,"利用可",IF(AND(Y361="停止",G361="停止"),"両方停止","運転がそろわない")))</f>
        <v>両方停止</v>
      </c>
      <c r="AR361" s="30" t="n">
        <v>60</v>
      </c>
      <c r="AS361" s="30" t="n">
        <v>0</v>
      </c>
      <c r="AT361" s="30" t="str">
        <f aca="false">IF(OR(AB361="判定不能",J361="判定不能"),"判定不能",IF(AS361&gt;=判定条件!$C$9,"利用可",IF(AND(AB361="停止",J361="停止"),"両方停止","運転がそろわない")))</f>
        <v>両方停止</v>
      </c>
      <c r="AU361" s="30" t="n">
        <v>60</v>
      </c>
      <c r="AV361" s="30" t="n">
        <v>0</v>
      </c>
      <c r="AW361" s="30" t="str">
        <f aca="false">IF(OR(AE361="判定不能",M361="判定不能"),"判定不能",IF(AV361&gt;=判定条件!$C$9,"利用可",IF(AND(AE361="停止",M361="停止"),"両方停止","運転がそろわない")))</f>
        <v>運転がそろわない</v>
      </c>
      <c r="AX361" s="30" t="str">
        <f aca="false">IF(AND(AH361="利用可",AK361="利用可",AN361="利用可"),"利用可","不可")</f>
        <v>不可</v>
      </c>
      <c r="AY361" s="30" t="str">
        <f aca="false">IF(AND(AQ361="利用可",AT361="利用可",AW361="利用可"),"利用可","不可")</f>
        <v>不可</v>
      </c>
    </row>
    <row r="362" customFormat="false" ht="15" hidden="false" customHeight="false" outlineLevel="0" collapsed="false">
      <c r="A362" s="29" t="n">
        <v>46246</v>
      </c>
      <c r="B362" s="30" t="n">
        <v>23</v>
      </c>
      <c r="C362" s="31" t="s">
        <v>58</v>
      </c>
      <c r="D362" s="31" t="s">
        <v>59</v>
      </c>
      <c r="E362" s="30" t="n">
        <v>60</v>
      </c>
      <c r="F362" s="30" t="n">
        <v>0</v>
      </c>
      <c r="G362" s="30" t="str">
        <f aca="false">IF(E362&lt;判定条件!$C$6,"判定不能",IF(F362&gt;=判定条件!$C$7*E362,"運転",IF(F362&lt;=判定条件!$C$8*E362,"停止","断続")))</f>
        <v>停止</v>
      </c>
      <c r="H362" s="30" t="n">
        <v>60</v>
      </c>
      <c r="I362" s="30" t="n">
        <v>0</v>
      </c>
      <c r="J362" s="30" t="str">
        <f aca="false">IF(H362&lt;判定条件!$C$6,"判定不能",IF(I362&gt;=判定条件!$C$7*H362,"運転",IF(I362&lt;=判定条件!$C$8*H362,"停止","断続")))</f>
        <v>停止</v>
      </c>
      <c r="K362" s="30" t="n">
        <v>60</v>
      </c>
      <c r="L362" s="30" t="n">
        <v>60</v>
      </c>
      <c r="M362" s="30" t="str">
        <f aca="false">IF(K362&lt;判定条件!$C$6,"判定不能",IF(L362&gt;=判定条件!$C$7*K362,"運転",IF(L362&lt;=判定条件!$C$8*K362,"停止","断続")))</f>
        <v>運転</v>
      </c>
      <c r="N362" s="30" t="n">
        <v>60</v>
      </c>
      <c r="O362" s="30" t="n">
        <v>0</v>
      </c>
      <c r="P362" s="30" t="str">
        <f aca="false">IF(N362&lt;判定条件!$C$6,"判定不能",IF(O362&gt;=判定条件!$C$7*N362,"運転",IF(O362&lt;=判定条件!$C$8*N362,"停止","断続")))</f>
        <v>停止</v>
      </c>
      <c r="Q362" s="30" t="n">
        <v>60</v>
      </c>
      <c r="R362" s="30" t="n">
        <v>0</v>
      </c>
      <c r="S362" s="30" t="str">
        <f aca="false">IF(Q362&lt;判定条件!$C$6,"判定不能",IF(R362&gt;=判定条件!$C$7*Q362,"運転",IF(R362&lt;=判定条件!$C$8*Q362,"停止","断続")))</f>
        <v>停止</v>
      </c>
      <c r="T362" s="30" t="n">
        <v>60</v>
      </c>
      <c r="U362" s="30" t="n">
        <v>0</v>
      </c>
      <c r="V362" s="30" t="str">
        <f aca="false">IF(T362&lt;判定条件!$C$6,"判定不能",IF(U362&gt;=判定条件!$C$7*T362,"運転",IF(U362&lt;=判定条件!$C$8*T362,"停止","断続")))</f>
        <v>停止</v>
      </c>
      <c r="W362" s="30" t="n">
        <v>60</v>
      </c>
      <c r="X362" s="30" t="n">
        <v>0</v>
      </c>
      <c r="Y362" s="30" t="str">
        <f aca="false">IF(W362&lt;判定条件!$C$6,"判定不能",IF(X362&gt;=判定条件!$C$7*W362,"運転",IF(X362&lt;=判定条件!$C$8*W362,"停止","断続")))</f>
        <v>停止</v>
      </c>
      <c r="Z362" s="30" t="n">
        <v>60</v>
      </c>
      <c r="AA362" s="30" t="n">
        <v>0</v>
      </c>
      <c r="AB362" s="30" t="str">
        <f aca="false">IF(Z362&lt;判定条件!$C$6,"判定不能",IF(AA362&gt;=判定条件!$C$7*Z362,"運転",IF(AA362&lt;=判定条件!$C$8*Z362,"停止","断続")))</f>
        <v>停止</v>
      </c>
      <c r="AC362" s="30" t="n">
        <v>60</v>
      </c>
      <c r="AD362" s="30" t="n">
        <v>0</v>
      </c>
      <c r="AE362" s="30" t="str">
        <f aca="false">IF(AC362&lt;判定条件!$C$6,"判定不能",IF(AD362&gt;=判定条件!$C$7*AC362,"運転",IF(AD362&lt;=判定条件!$C$8*AC362,"停止","断続")))</f>
        <v>停止</v>
      </c>
      <c r="AF362" s="30" t="n">
        <v>60</v>
      </c>
      <c r="AG362" s="30" t="n">
        <v>0</v>
      </c>
      <c r="AH362" s="30" t="str">
        <f aca="false">IF(OR(P362="判定不能",G362="判定不能"),"判定不能",IF(AG362&gt;=判定条件!$C$9,"利用可",IF(AND(P362="停止",G362="停止"),"両方停止","運転がそろわない")))</f>
        <v>両方停止</v>
      </c>
      <c r="AI362" s="30" t="n">
        <v>60</v>
      </c>
      <c r="AJ362" s="30" t="n">
        <v>0</v>
      </c>
      <c r="AK362" s="30" t="str">
        <f aca="false">IF(OR(S362="判定不能",J362="判定不能"),"判定不能",IF(AJ362&gt;=判定条件!$C$9,"利用可",IF(AND(S362="停止",J362="停止"),"両方停止","運転がそろわない")))</f>
        <v>両方停止</v>
      </c>
      <c r="AL362" s="30" t="n">
        <v>60</v>
      </c>
      <c r="AM362" s="30" t="n">
        <v>0</v>
      </c>
      <c r="AN362" s="30" t="str">
        <f aca="false">IF(OR(V362="判定不能",M362="判定不能"),"判定不能",IF(AM362&gt;=判定条件!$C$9,"利用可",IF(AND(V362="停止",M362="停止"),"両方停止","運転がそろわない")))</f>
        <v>運転がそろわない</v>
      </c>
      <c r="AO362" s="30" t="n">
        <v>60</v>
      </c>
      <c r="AP362" s="30" t="n">
        <v>0</v>
      </c>
      <c r="AQ362" s="30" t="str">
        <f aca="false">IF(OR(Y362="判定不能",G362="判定不能"),"判定不能",IF(AP362&gt;=判定条件!$C$9,"利用可",IF(AND(Y362="停止",G362="停止"),"両方停止","運転がそろわない")))</f>
        <v>両方停止</v>
      </c>
      <c r="AR362" s="30" t="n">
        <v>60</v>
      </c>
      <c r="AS362" s="30" t="n">
        <v>0</v>
      </c>
      <c r="AT362" s="30" t="str">
        <f aca="false">IF(OR(AB362="判定不能",J362="判定不能"),"判定不能",IF(AS362&gt;=判定条件!$C$9,"利用可",IF(AND(AB362="停止",J362="停止"),"両方停止","運転がそろわない")))</f>
        <v>両方停止</v>
      </c>
      <c r="AU362" s="30" t="n">
        <v>60</v>
      </c>
      <c r="AV362" s="30" t="n">
        <v>0</v>
      </c>
      <c r="AW362" s="30" t="str">
        <f aca="false">IF(OR(AE362="判定不能",M362="判定不能"),"判定不能",IF(AV362&gt;=判定条件!$C$9,"利用可",IF(AND(AE362="停止",M362="停止"),"両方停止","運転がそろわない")))</f>
        <v>運転がそろわない</v>
      </c>
      <c r="AX362" s="30" t="str">
        <f aca="false">IF(AND(AH362="利用可",AK362="利用可",AN362="利用可"),"利用可","不可")</f>
        <v>不可</v>
      </c>
      <c r="AY362" s="30" t="str">
        <f aca="false">IF(AND(AQ362="利用可",AT362="利用可",AW362="利用可"),"利用可","不可")</f>
        <v>不可</v>
      </c>
    </row>
    <row r="363" customFormat="false" ht="15" hidden="false" customHeight="false" outlineLevel="0" collapsed="false">
      <c r="A363" s="29" t="n">
        <v>46247</v>
      </c>
      <c r="B363" s="30" t="n">
        <v>0</v>
      </c>
      <c r="C363" s="31" t="s">
        <v>61</v>
      </c>
      <c r="D363" s="31" t="s">
        <v>59</v>
      </c>
      <c r="E363" s="30" t="n">
        <v>60</v>
      </c>
      <c r="F363" s="30" t="n">
        <v>0</v>
      </c>
      <c r="G363" s="30" t="str">
        <f aca="false">IF(E363&lt;判定条件!$C$6,"判定不能",IF(F363&gt;=判定条件!$C$7*E363,"運転",IF(F363&lt;=判定条件!$C$8*E363,"停止","断続")))</f>
        <v>停止</v>
      </c>
      <c r="H363" s="30" t="n">
        <v>60</v>
      </c>
      <c r="I363" s="30" t="n">
        <v>0</v>
      </c>
      <c r="J363" s="30" t="str">
        <f aca="false">IF(H363&lt;判定条件!$C$6,"判定不能",IF(I363&gt;=判定条件!$C$7*H363,"運転",IF(I363&lt;=判定条件!$C$8*H363,"停止","断続")))</f>
        <v>停止</v>
      </c>
      <c r="K363" s="30" t="n">
        <v>60</v>
      </c>
      <c r="L363" s="30" t="n">
        <v>60</v>
      </c>
      <c r="M363" s="30" t="str">
        <f aca="false">IF(K363&lt;判定条件!$C$6,"判定不能",IF(L363&gt;=判定条件!$C$7*K363,"運転",IF(L363&lt;=判定条件!$C$8*K363,"停止","断続")))</f>
        <v>運転</v>
      </c>
      <c r="N363" s="30" t="n">
        <v>60</v>
      </c>
      <c r="O363" s="30" t="n">
        <v>0</v>
      </c>
      <c r="P363" s="30" t="str">
        <f aca="false">IF(N363&lt;判定条件!$C$6,"判定不能",IF(O363&gt;=判定条件!$C$7*N363,"運転",IF(O363&lt;=判定条件!$C$8*N363,"停止","断続")))</f>
        <v>停止</v>
      </c>
      <c r="Q363" s="30" t="n">
        <v>60</v>
      </c>
      <c r="R363" s="30" t="n">
        <v>0</v>
      </c>
      <c r="S363" s="30" t="str">
        <f aca="false">IF(Q363&lt;判定条件!$C$6,"判定不能",IF(R363&gt;=判定条件!$C$7*Q363,"運転",IF(R363&lt;=判定条件!$C$8*Q363,"停止","断続")))</f>
        <v>停止</v>
      </c>
      <c r="T363" s="30" t="n">
        <v>60</v>
      </c>
      <c r="U363" s="30" t="n">
        <v>0</v>
      </c>
      <c r="V363" s="30" t="str">
        <f aca="false">IF(T363&lt;判定条件!$C$6,"判定不能",IF(U363&gt;=判定条件!$C$7*T363,"運転",IF(U363&lt;=判定条件!$C$8*T363,"停止","断続")))</f>
        <v>停止</v>
      </c>
      <c r="W363" s="30" t="n">
        <v>60</v>
      </c>
      <c r="X363" s="30" t="n">
        <v>0</v>
      </c>
      <c r="Y363" s="30" t="str">
        <f aca="false">IF(W363&lt;判定条件!$C$6,"判定不能",IF(X363&gt;=判定条件!$C$7*W363,"運転",IF(X363&lt;=判定条件!$C$8*W363,"停止","断続")))</f>
        <v>停止</v>
      </c>
      <c r="Z363" s="30" t="n">
        <v>60</v>
      </c>
      <c r="AA363" s="30" t="n">
        <v>0</v>
      </c>
      <c r="AB363" s="30" t="str">
        <f aca="false">IF(Z363&lt;判定条件!$C$6,"判定不能",IF(AA363&gt;=判定条件!$C$7*Z363,"運転",IF(AA363&lt;=判定条件!$C$8*Z363,"停止","断続")))</f>
        <v>停止</v>
      </c>
      <c r="AC363" s="30" t="n">
        <v>60</v>
      </c>
      <c r="AD363" s="30" t="n">
        <v>0</v>
      </c>
      <c r="AE363" s="30" t="str">
        <f aca="false">IF(AC363&lt;判定条件!$C$6,"判定不能",IF(AD363&gt;=判定条件!$C$7*AC363,"運転",IF(AD363&lt;=判定条件!$C$8*AC363,"停止","断続")))</f>
        <v>停止</v>
      </c>
      <c r="AF363" s="30" t="n">
        <v>60</v>
      </c>
      <c r="AG363" s="30" t="n">
        <v>0</v>
      </c>
      <c r="AH363" s="30" t="str">
        <f aca="false">IF(OR(P363="判定不能",G363="判定不能"),"判定不能",IF(AG363&gt;=判定条件!$C$9,"利用可",IF(AND(P363="停止",G363="停止"),"両方停止","運転がそろわない")))</f>
        <v>両方停止</v>
      </c>
      <c r="AI363" s="30" t="n">
        <v>60</v>
      </c>
      <c r="AJ363" s="30" t="n">
        <v>0</v>
      </c>
      <c r="AK363" s="30" t="str">
        <f aca="false">IF(OR(S363="判定不能",J363="判定不能"),"判定不能",IF(AJ363&gt;=判定条件!$C$9,"利用可",IF(AND(S363="停止",J363="停止"),"両方停止","運転がそろわない")))</f>
        <v>両方停止</v>
      </c>
      <c r="AL363" s="30" t="n">
        <v>60</v>
      </c>
      <c r="AM363" s="30" t="n">
        <v>0</v>
      </c>
      <c r="AN363" s="30" t="str">
        <f aca="false">IF(OR(V363="判定不能",M363="判定不能"),"判定不能",IF(AM363&gt;=判定条件!$C$9,"利用可",IF(AND(V363="停止",M363="停止"),"両方停止","運転がそろわない")))</f>
        <v>運転がそろわない</v>
      </c>
      <c r="AO363" s="30" t="n">
        <v>60</v>
      </c>
      <c r="AP363" s="30" t="n">
        <v>0</v>
      </c>
      <c r="AQ363" s="30" t="str">
        <f aca="false">IF(OR(Y363="判定不能",G363="判定不能"),"判定不能",IF(AP363&gt;=判定条件!$C$9,"利用可",IF(AND(Y363="停止",G363="停止"),"両方停止","運転がそろわない")))</f>
        <v>両方停止</v>
      </c>
      <c r="AR363" s="30" t="n">
        <v>60</v>
      </c>
      <c r="AS363" s="30" t="n">
        <v>0</v>
      </c>
      <c r="AT363" s="30" t="str">
        <f aca="false">IF(OR(AB363="判定不能",J363="判定不能"),"判定不能",IF(AS363&gt;=判定条件!$C$9,"利用可",IF(AND(AB363="停止",J363="停止"),"両方停止","運転がそろわない")))</f>
        <v>両方停止</v>
      </c>
      <c r="AU363" s="30" t="n">
        <v>60</v>
      </c>
      <c r="AV363" s="30" t="n">
        <v>0</v>
      </c>
      <c r="AW363" s="30" t="str">
        <f aca="false">IF(OR(AE363="判定不能",M363="判定不能"),"判定不能",IF(AV363&gt;=判定条件!$C$9,"利用可",IF(AND(AE363="停止",M363="停止"),"両方停止","運転がそろわない")))</f>
        <v>運転がそろわない</v>
      </c>
      <c r="AX363" s="30" t="str">
        <f aca="false">IF(AND(AH363="利用可",AK363="利用可",AN363="利用可"),"利用可","不可")</f>
        <v>不可</v>
      </c>
      <c r="AY363" s="30" t="str">
        <f aca="false">IF(AND(AQ363="利用可",AT363="利用可",AW363="利用可"),"利用可","不可")</f>
        <v>不可</v>
      </c>
    </row>
    <row r="364" customFormat="false" ht="15" hidden="false" customHeight="false" outlineLevel="0" collapsed="false">
      <c r="A364" s="29" t="n">
        <v>46247</v>
      </c>
      <c r="B364" s="30" t="n">
        <v>1</v>
      </c>
      <c r="C364" s="31" t="s">
        <v>61</v>
      </c>
      <c r="D364" s="31" t="s">
        <v>59</v>
      </c>
      <c r="E364" s="30" t="n">
        <v>60</v>
      </c>
      <c r="F364" s="30" t="n">
        <v>0</v>
      </c>
      <c r="G364" s="30" t="str">
        <f aca="false">IF(E364&lt;判定条件!$C$6,"判定不能",IF(F364&gt;=判定条件!$C$7*E364,"運転",IF(F364&lt;=判定条件!$C$8*E364,"停止","断続")))</f>
        <v>停止</v>
      </c>
      <c r="H364" s="30" t="n">
        <v>60</v>
      </c>
      <c r="I364" s="30" t="n">
        <v>0</v>
      </c>
      <c r="J364" s="30" t="str">
        <f aca="false">IF(H364&lt;判定条件!$C$6,"判定不能",IF(I364&gt;=判定条件!$C$7*H364,"運転",IF(I364&lt;=判定条件!$C$8*H364,"停止","断続")))</f>
        <v>停止</v>
      </c>
      <c r="K364" s="30" t="n">
        <v>60</v>
      </c>
      <c r="L364" s="30" t="n">
        <v>60</v>
      </c>
      <c r="M364" s="30" t="str">
        <f aca="false">IF(K364&lt;判定条件!$C$6,"判定不能",IF(L364&gt;=判定条件!$C$7*K364,"運転",IF(L364&lt;=判定条件!$C$8*K364,"停止","断続")))</f>
        <v>運転</v>
      </c>
      <c r="N364" s="30" t="n">
        <v>60</v>
      </c>
      <c r="O364" s="30" t="n">
        <v>0</v>
      </c>
      <c r="P364" s="30" t="str">
        <f aca="false">IF(N364&lt;判定条件!$C$6,"判定不能",IF(O364&gt;=判定条件!$C$7*N364,"運転",IF(O364&lt;=判定条件!$C$8*N364,"停止","断続")))</f>
        <v>停止</v>
      </c>
      <c r="Q364" s="30" t="n">
        <v>60</v>
      </c>
      <c r="R364" s="30" t="n">
        <v>0</v>
      </c>
      <c r="S364" s="30" t="str">
        <f aca="false">IF(Q364&lt;判定条件!$C$6,"判定不能",IF(R364&gt;=判定条件!$C$7*Q364,"運転",IF(R364&lt;=判定条件!$C$8*Q364,"停止","断続")))</f>
        <v>停止</v>
      </c>
      <c r="T364" s="30" t="n">
        <v>60</v>
      </c>
      <c r="U364" s="30" t="n">
        <v>0</v>
      </c>
      <c r="V364" s="30" t="str">
        <f aca="false">IF(T364&lt;判定条件!$C$6,"判定不能",IF(U364&gt;=判定条件!$C$7*T364,"運転",IF(U364&lt;=判定条件!$C$8*T364,"停止","断続")))</f>
        <v>停止</v>
      </c>
      <c r="W364" s="30" t="n">
        <v>60</v>
      </c>
      <c r="X364" s="30" t="n">
        <v>0</v>
      </c>
      <c r="Y364" s="30" t="str">
        <f aca="false">IF(W364&lt;判定条件!$C$6,"判定不能",IF(X364&gt;=判定条件!$C$7*W364,"運転",IF(X364&lt;=判定条件!$C$8*W364,"停止","断続")))</f>
        <v>停止</v>
      </c>
      <c r="Z364" s="30" t="n">
        <v>60</v>
      </c>
      <c r="AA364" s="30" t="n">
        <v>0</v>
      </c>
      <c r="AB364" s="30" t="str">
        <f aca="false">IF(Z364&lt;判定条件!$C$6,"判定不能",IF(AA364&gt;=判定条件!$C$7*Z364,"運転",IF(AA364&lt;=判定条件!$C$8*Z364,"停止","断続")))</f>
        <v>停止</v>
      </c>
      <c r="AC364" s="30" t="n">
        <v>60</v>
      </c>
      <c r="AD364" s="30" t="n">
        <v>0</v>
      </c>
      <c r="AE364" s="30" t="str">
        <f aca="false">IF(AC364&lt;判定条件!$C$6,"判定不能",IF(AD364&gt;=判定条件!$C$7*AC364,"運転",IF(AD364&lt;=判定条件!$C$8*AC364,"停止","断続")))</f>
        <v>停止</v>
      </c>
      <c r="AF364" s="30" t="n">
        <v>60</v>
      </c>
      <c r="AG364" s="30" t="n">
        <v>0</v>
      </c>
      <c r="AH364" s="30" t="str">
        <f aca="false">IF(OR(P364="判定不能",G364="判定不能"),"判定不能",IF(AG364&gt;=判定条件!$C$9,"利用可",IF(AND(P364="停止",G364="停止"),"両方停止","運転がそろわない")))</f>
        <v>両方停止</v>
      </c>
      <c r="AI364" s="30" t="n">
        <v>60</v>
      </c>
      <c r="AJ364" s="30" t="n">
        <v>0</v>
      </c>
      <c r="AK364" s="30" t="str">
        <f aca="false">IF(OR(S364="判定不能",J364="判定不能"),"判定不能",IF(AJ364&gt;=判定条件!$C$9,"利用可",IF(AND(S364="停止",J364="停止"),"両方停止","運転がそろわない")))</f>
        <v>両方停止</v>
      </c>
      <c r="AL364" s="30" t="n">
        <v>60</v>
      </c>
      <c r="AM364" s="30" t="n">
        <v>0</v>
      </c>
      <c r="AN364" s="30" t="str">
        <f aca="false">IF(OR(V364="判定不能",M364="判定不能"),"判定不能",IF(AM364&gt;=判定条件!$C$9,"利用可",IF(AND(V364="停止",M364="停止"),"両方停止","運転がそろわない")))</f>
        <v>運転がそろわない</v>
      </c>
      <c r="AO364" s="30" t="n">
        <v>60</v>
      </c>
      <c r="AP364" s="30" t="n">
        <v>0</v>
      </c>
      <c r="AQ364" s="30" t="str">
        <f aca="false">IF(OR(Y364="判定不能",G364="判定不能"),"判定不能",IF(AP364&gt;=判定条件!$C$9,"利用可",IF(AND(Y364="停止",G364="停止"),"両方停止","運転がそろわない")))</f>
        <v>両方停止</v>
      </c>
      <c r="AR364" s="30" t="n">
        <v>60</v>
      </c>
      <c r="AS364" s="30" t="n">
        <v>0</v>
      </c>
      <c r="AT364" s="30" t="str">
        <f aca="false">IF(OR(AB364="判定不能",J364="判定不能"),"判定不能",IF(AS364&gt;=判定条件!$C$9,"利用可",IF(AND(AB364="停止",J364="停止"),"両方停止","運転がそろわない")))</f>
        <v>両方停止</v>
      </c>
      <c r="AU364" s="30" t="n">
        <v>60</v>
      </c>
      <c r="AV364" s="30" t="n">
        <v>0</v>
      </c>
      <c r="AW364" s="30" t="str">
        <f aca="false">IF(OR(AE364="判定不能",M364="判定不能"),"判定不能",IF(AV364&gt;=判定条件!$C$9,"利用可",IF(AND(AE364="停止",M364="停止"),"両方停止","運転がそろわない")))</f>
        <v>運転がそろわない</v>
      </c>
      <c r="AX364" s="30" t="str">
        <f aca="false">IF(AND(AH364="利用可",AK364="利用可",AN364="利用可"),"利用可","不可")</f>
        <v>不可</v>
      </c>
      <c r="AY364" s="30" t="str">
        <f aca="false">IF(AND(AQ364="利用可",AT364="利用可",AW364="利用可"),"利用可","不可")</f>
        <v>不可</v>
      </c>
    </row>
    <row r="365" customFormat="false" ht="15" hidden="false" customHeight="false" outlineLevel="0" collapsed="false">
      <c r="A365" s="29" t="n">
        <v>46247</v>
      </c>
      <c r="B365" s="30" t="n">
        <v>2</v>
      </c>
      <c r="C365" s="31" t="s">
        <v>61</v>
      </c>
      <c r="D365" s="31" t="s">
        <v>59</v>
      </c>
      <c r="E365" s="30" t="n">
        <v>60</v>
      </c>
      <c r="F365" s="30" t="n">
        <v>0</v>
      </c>
      <c r="G365" s="30" t="str">
        <f aca="false">IF(E365&lt;判定条件!$C$6,"判定不能",IF(F365&gt;=判定条件!$C$7*E365,"運転",IF(F365&lt;=判定条件!$C$8*E365,"停止","断続")))</f>
        <v>停止</v>
      </c>
      <c r="H365" s="30" t="n">
        <v>60</v>
      </c>
      <c r="I365" s="30" t="n">
        <v>0</v>
      </c>
      <c r="J365" s="30" t="str">
        <f aca="false">IF(H365&lt;判定条件!$C$6,"判定不能",IF(I365&gt;=判定条件!$C$7*H365,"運転",IF(I365&lt;=判定条件!$C$8*H365,"停止","断続")))</f>
        <v>停止</v>
      </c>
      <c r="K365" s="30" t="n">
        <v>60</v>
      </c>
      <c r="L365" s="30" t="n">
        <v>60</v>
      </c>
      <c r="M365" s="30" t="str">
        <f aca="false">IF(K365&lt;判定条件!$C$6,"判定不能",IF(L365&gt;=判定条件!$C$7*K365,"運転",IF(L365&lt;=判定条件!$C$8*K365,"停止","断続")))</f>
        <v>運転</v>
      </c>
      <c r="N365" s="30" t="n">
        <v>60</v>
      </c>
      <c r="O365" s="30" t="n">
        <v>0</v>
      </c>
      <c r="P365" s="30" t="str">
        <f aca="false">IF(N365&lt;判定条件!$C$6,"判定不能",IF(O365&gt;=判定条件!$C$7*N365,"運転",IF(O365&lt;=判定条件!$C$8*N365,"停止","断続")))</f>
        <v>停止</v>
      </c>
      <c r="Q365" s="30" t="n">
        <v>60</v>
      </c>
      <c r="R365" s="30" t="n">
        <v>0</v>
      </c>
      <c r="S365" s="30" t="str">
        <f aca="false">IF(Q365&lt;判定条件!$C$6,"判定不能",IF(R365&gt;=判定条件!$C$7*Q365,"運転",IF(R365&lt;=判定条件!$C$8*Q365,"停止","断続")))</f>
        <v>停止</v>
      </c>
      <c r="T365" s="30" t="n">
        <v>60</v>
      </c>
      <c r="U365" s="30" t="n">
        <v>0</v>
      </c>
      <c r="V365" s="30" t="str">
        <f aca="false">IF(T365&lt;判定条件!$C$6,"判定不能",IF(U365&gt;=判定条件!$C$7*T365,"運転",IF(U365&lt;=判定条件!$C$8*T365,"停止","断続")))</f>
        <v>停止</v>
      </c>
      <c r="W365" s="30" t="n">
        <v>60</v>
      </c>
      <c r="X365" s="30" t="n">
        <v>0</v>
      </c>
      <c r="Y365" s="30" t="str">
        <f aca="false">IF(W365&lt;判定条件!$C$6,"判定不能",IF(X365&gt;=判定条件!$C$7*W365,"運転",IF(X365&lt;=判定条件!$C$8*W365,"停止","断続")))</f>
        <v>停止</v>
      </c>
      <c r="Z365" s="30" t="n">
        <v>60</v>
      </c>
      <c r="AA365" s="30" t="n">
        <v>0</v>
      </c>
      <c r="AB365" s="30" t="str">
        <f aca="false">IF(Z365&lt;判定条件!$C$6,"判定不能",IF(AA365&gt;=判定条件!$C$7*Z365,"運転",IF(AA365&lt;=判定条件!$C$8*Z365,"停止","断続")))</f>
        <v>停止</v>
      </c>
      <c r="AC365" s="30" t="n">
        <v>60</v>
      </c>
      <c r="AD365" s="30" t="n">
        <v>0</v>
      </c>
      <c r="AE365" s="30" t="str">
        <f aca="false">IF(AC365&lt;判定条件!$C$6,"判定不能",IF(AD365&gt;=判定条件!$C$7*AC365,"運転",IF(AD365&lt;=判定条件!$C$8*AC365,"停止","断続")))</f>
        <v>停止</v>
      </c>
      <c r="AF365" s="30" t="n">
        <v>60</v>
      </c>
      <c r="AG365" s="30" t="n">
        <v>0</v>
      </c>
      <c r="AH365" s="30" t="str">
        <f aca="false">IF(OR(P365="判定不能",G365="判定不能"),"判定不能",IF(AG365&gt;=判定条件!$C$9,"利用可",IF(AND(P365="停止",G365="停止"),"両方停止","運転がそろわない")))</f>
        <v>両方停止</v>
      </c>
      <c r="AI365" s="30" t="n">
        <v>60</v>
      </c>
      <c r="AJ365" s="30" t="n">
        <v>0</v>
      </c>
      <c r="AK365" s="30" t="str">
        <f aca="false">IF(OR(S365="判定不能",J365="判定不能"),"判定不能",IF(AJ365&gt;=判定条件!$C$9,"利用可",IF(AND(S365="停止",J365="停止"),"両方停止","運転がそろわない")))</f>
        <v>両方停止</v>
      </c>
      <c r="AL365" s="30" t="n">
        <v>60</v>
      </c>
      <c r="AM365" s="30" t="n">
        <v>0</v>
      </c>
      <c r="AN365" s="30" t="str">
        <f aca="false">IF(OR(V365="判定不能",M365="判定不能"),"判定不能",IF(AM365&gt;=判定条件!$C$9,"利用可",IF(AND(V365="停止",M365="停止"),"両方停止","運転がそろわない")))</f>
        <v>運転がそろわない</v>
      </c>
      <c r="AO365" s="30" t="n">
        <v>60</v>
      </c>
      <c r="AP365" s="30" t="n">
        <v>0</v>
      </c>
      <c r="AQ365" s="30" t="str">
        <f aca="false">IF(OR(Y365="判定不能",G365="判定不能"),"判定不能",IF(AP365&gt;=判定条件!$C$9,"利用可",IF(AND(Y365="停止",G365="停止"),"両方停止","運転がそろわない")))</f>
        <v>両方停止</v>
      </c>
      <c r="AR365" s="30" t="n">
        <v>60</v>
      </c>
      <c r="AS365" s="30" t="n">
        <v>0</v>
      </c>
      <c r="AT365" s="30" t="str">
        <f aca="false">IF(OR(AB365="判定不能",J365="判定不能"),"判定不能",IF(AS365&gt;=判定条件!$C$9,"利用可",IF(AND(AB365="停止",J365="停止"),"両方停止","運転がそろわない")))</f>
        <v>両方停止</v>
      </c>
      <c r="AU365" s="30" t="n">
        <v>60</v>
      </c>
      <c r="AV365" s="30" t="n">
        <v>0</v>
      </c>
      <c r="AW365" s="30" t="str">
        <f aca="false">IF(OR(AE365="判定不能",M365="判定不能"),"判定不能",IF(AV365&gt;=判定条件!$C$9,"利用可",IF(AND(AE365="停止",M365="停止"),"両方停止","運転がそろわない")))</f>
        <v>運転がそろわない</v>
      </c>
      <c r="AX365" s="30" t="str">
        <f aca="false">IF(AND(AH365="利用可",AK365="利用可",AN365="利用可"),"利用可","不可")</f>
        <v>不可</v>
      </c>
      <c r="AY365" s="30" t="str">
        <f aca="false">IF(AND(AQ365="利用可",AT365="利用可",AW365="利用可"),"利用可","不可")</f>
        <v>不可</v>
      </c>
    </row>
    <row r="366" customFormat="false" ht="15" hidden="false" customHeight="false" outlineLevel="0" collapsed="false">
      <c r="A366" s="29" t="n">
        <v>46247</v>
      </c>
      <c r="B366" s="30" t="n">
        <v>3</v>
      </c>
      <c r="C366" s="31" t="s">
        <v>61</v>
      </c>
      <c r="D366" s="31" t="s">
        <v>59</v>
      </c>
      <c r="E366" s="30" t="n">
        <v>60</v>
      </c>
      <c r="F366" s="30" t="n">
        <v>0</v>
      </c>
      <c r="G366" s="30" t="str">
        <f aca="false">IF(E366&lt;判定条件!$C$6,"判定不能",IF(F366&gt;=判定条件!$C$7*E366,"運転",IF(F366&lt;=判定条件!$C$8*E366,"停止","断続")))</f>
        <v>停止</v>
      </c>
      <c r="H366" s="30" t="n">
        <v>60</v>
      </c>
      <c r="I366" s="30" t="n">
        <v>0</v>
      </c>
      <c r="J366" s="30" t="str">
        <f aca="false">IF(H366&lt;判定条件!$C$6,"判定不能",IF(I366&gt;=判定条件!$C$7*H366,"運転",IF(I366&lt;=判定条件!$C$8*H366,"停止","断続")))</f>
        <v>停止</v>
      </c>
      <c r="K366" s="30" t="n">
        <v>60</v>
      </c>
      <c r="L366" s="30" t="n">
        <v>60</v>
      </c>
      <c r="M366" s="30" t="str">
        <f aca="false">IF(K366&lt;判定条件!$C$6,"判定不能",IF(L366&gt;=判定条件!$C$7*K366,"運転",IF(L366&lt;=判定条件!$C$8*K366,"停止","断続")))</f>
        <v>運転</v>
      </c>
      <c r="N366" s="30" t="n">
        <v>60</v>
      </c>
      <c r="O366" s="30" t="n">
        <v>0</v>
      </c>
      <c r="P366" s="30" t="str">
        <f aca="false">IF(N366&lt;判定条件!$C$6,"判定不能",IF(O366&gt;=判定条件!$C$7*N366,"運転",IF(O366&lt;=判定条件!$C$8*N366,"停止","断続")))</f>
        <v>停止</v>
      </c>
      <c r="Q366" s="30" t="n">
        <v>60</v>
      </c>
      <c r="R366" s="30" t="n">
        <v>0</v>
      </c>
      <c r="S366" s="30" t="str">
        <f aca="false">IF(Q366&lt;判定条件!$C$6,"判定不能",IF(R366&gt;=判定条件!$C$7*Q366,"運転",IF(R366&lt;=判定条件!$C$8*Q366,"停止","断続")))</f>
        <v>停止</v>
      </c>
      <c r="T366" s="30" t="n">
        <v>60</v>
      </c>
      <c r="U366" s="30" t="n">
        <v>0</v>
      </c>
      <c r="V366" s="30" t="str">
        <f aca="false">IF(T366&lt;判定条件!$C$6,"判定不能",IF(U366&gt;=判定条件!$C$7*T366,"運転",IF(U366&lt;=判定条件!$C$8*T366,"停止","断続")))</f>
        <v>停止</v>
      </c>
      <c r="W366" s="30" t="n">
        <v>60</v>
      </c>
      <c r="X366" s="30" t="n">
        <v>0</v>
      </c>
      <c r="Y366" s="30" t="str">
        <f aca="false">IF(W366&lt;判定条件!$C$6,"判定不能",IF(X366&gt;=判定条件!$C$7*W366,"運転",IF(X366&lt;=判定条件!$C$8*W366,"停止","断続")))</f>
        <v>停止</v>
      </c>
      <c r="Z366" s="30" t="n">
        <v>60</v>
      </c>
      <c r="AA366" s="30" t="n">
        <v>0</v>
      </c>
      <c r="AB366" s="30" t="str">
        <f aca="false">IF(Z366&lt;判定条件!$C$6,"判定不能",IF(AA366&gt;=判定条件!$C$7*Z366,"運転",IF(AA366&lt;=判定条件!$C$8*Z366,"停止","断続")))</f>
        <v>停止</v>
      </c>
      <c r="AC366" s="30" t="n">
        <v>60</v>
      </c>
      <c r="AD366" s="30" t="n">
        <v>0</v>
      </c>
      <c r="AE366" s="30" t="str">
        <f aca="false">IF(AC366&lt;判定条件!$C$6,"判定不能",IF(AD366&gt;=判定条件!$C$7*AC366,"運転",IF(AD366&lt;=判定条件!$C$8*AC366,"停止","断続")))</f>
        <v>停止</v>
      </c>
      <c r="AF366" s="30" t="n">
        <v>60</v>
      </c>
      <c r="AG366" s="30" t="n">
        <v>0</v>
      </c>
      <c r="AH366" s="30" t="str">
        <f aca="false">IF(OR(P366="判定不能",G366="判定不能"),"判定不能",IF(AG366&gt;=判定条件!$C$9,"利用可",IF(AND(P366="停止",G366="停止"),"両方停止","運転がそろわない")))</f>
        <v>両方停止</v>
      </c>
      <c r="AI366" s="30" t="n">
        <v>60</v>
      </c>
      <c r="AJ366" s="30" t="n">
        <v>0</v>
      </c>
      <c r="AK366" s="30" t="str">
        <f aca="false">IF(OR(S366="判定不能",J366="判定不能"),"判定不能",IF(AJ366&gt;=判定条件!$C$9,"利用可",IF(AND(S366="停止",J366="停止"),"両方停止","運転がそろわない")))</f>
        <v>両方停止</v>
      </c>
      <c r="AL366" s="30" t="n">
        <v>60</v>
      </c>
      <c r="AM366" s="30" t="n">
        <v>0</v>
      </c>
      <c r="AN366" s="30" t="str">
        <f aca="false">IF(OR(V366="判定不能",M366="判定不能"),"判定不能",IF(AM366&gt;=判定条件!$C$9,"利用可",IF(AND(V366="停止",M366="停止"),"両方停止","運転がそろわない")))</f>
        <v>運転がそろわない</v>
      </c>
      <c r="AO366" s="30" t="n">
        <v>60</v>
      </c>
      <c r="AP366" s="30" t="n">
        <v>0</v>
      </c>
      <c r="AQ366" s="30" t="str">
        <f aca="false">IF(OR(Y366="判定不能",G366="判定不能"),"判定不能",IF(AP366&gt;=判定条件!$C$9,"利用可",IF(AND(Y366="停止",G366="停止"),"両方停止","運転がそろわない")))</f>
        <v>両方停止</v>
      </c>
      <c r="AR366" s="30" t="n">
        <v>60</v>
      </c>
      <c r="AS366" s="30" t="n">
        <v>0</v>
      </c>
      <c r="AT366" s="30" t="str">
        <f aca="false">IF(OR(AB366="判定不能",J366="判定不能"),"判定不能",IF(AS366&gt;=判定条件!$C$9,"利用可",IF(AND(AB366="停止",J366="停止"),"両方停止","運転がそろわない")))</f>
        <v>両方停止</v>
      </c>
      <c r="AU366" s="30" t="n">
        <v>60</v>
      </c>
      <c r="AV366" s="30" t="n">
        <v>0</v>
      </c>
      <c r="AW366" s="30" t="str">
        <f aca="false">IF(OR(AE366="判定不能",M366="判定不能"),"判定不能",IF(AV366&gt;=判定条件!$C$9,"利用可",IF(AND(AE366="停止",M366="停止"),"両方停止","運転がそろわない")))</f>
        <v>運転がそろわない</v>
      </c>
      <c r="AX366" s="30" t="str">
        <f aca="false">IF(AND(AH366="利用可",AK366="利用可",AN366="利用可"),"利用可","不可")</f>
        <v>不可</v>
      </c>
      <c r="AY366" s="30" t="str">
        <f aca="false">IF(AND(AQ366="利用可",AT366="利用可",AW366="利用可"),"利用可","不可")</f>
        <v>不可</v>
      </c>
    </row>
    <row r="367" customFormat="false" ht="15" hidden="false" customHeight="false" outlineLevel="0" collapsed="false">
      <c r="A367" s="29" t="n">
        <v>46247</v>
      </c>
      <c r="B367" s="30" t="n">
        <v>4</v>
      </c>
      <c r="C367" s="31" t="s">
        <v>61</v>
      </c>
      <c r="D367" s="31" t="s">
        <v>59</v>
      </c>
      <c r="E367" s="30" t="n">
        <v>60</v>
      </c>
      <c r="F367" s="30" t="n">
        <v>0</v>
      </c>
      <c r="G367" s="30" t="str">
        <f aca="false">IF(E367&lt;判定条件!$C$6,"判定不能",IF(F367&gt;=判定条件!$C$7*E367,"運転",IF(F367&lt;=判定条件!$C$8*E367,"停止","断続")))</f>
        <v>停止</v>
      </c>
      <c r="H367" s="30" t="n">
        <v>60</v>
      </c>
      <c r="I367" s="30" t="n">
        <v>0</v>
      </c>
      <c r="J367" s="30" t="str">
        <f aca="false">IF(H367&lt;判定条件!$C$6,"判定不能",IF(I367&gt;=判定条件!$C$7*H367,"運転",IF(I367&lt;=判定条件!$C$8*H367,"停止","断続")))</f>
        <v>停止</v>
      </c>
      <c r="K367" s="30" t="n">
        <v>60</v>
      </c>
      <c r="L367" s="30" t="n">
        <v>60</v>
      </c>
      <c r="M367" s="30" t="str">
        <f aca="false">IF(K367&lt;判定条件!$C$6,"判定不能",IF(L367&gt;=判定条件!$C$7*K367,"運転",IF(L367&lt;=判定条件!$C$8*K367,"停止","断続")))</f>
        <v>運転</v>
      </c>
      <c r="N367" s="30" t="n">
        <v>60</v>
      </c>
      <c r="O367" s="30" t="n">
        <v>0</v>
      </c>
      <c r="P367" s="30" t="str">
        <f aca="false">IF(N367&lt;判定条件!$C$6,"判定不能",IF(O367&gt;=判定条件!$C$7*N367,"運転",IF(O367&lt;=判定条件!$C$8*N367,"停止","断続")))</f>
        <v>停止</v>
      </c>
      <c r="Q367" s="30" t="n">
        <v>60</v>
      </c>
      <c r="R367" s="30" t="n">
        <v>0</v>
      </c>
      <c r="S367" s="30" t="str">
        <f aca="false">IF(Q367&lt;判定条件!$C$6,"判定不能",IF(R367&gt;=判定条件!$C$7*Q367,"運転",IF(R367&lt;=判定条件!$C$8*Q367,"停止","断続")))</f>
        <v>停止</v>
      </c>
      <c r="T367" s="30" t="n">
        <v>60</v>
      </c>
      <c r="U367" s="30" t="n">
        <v>0</v>
      </c>
      <c r="V367" s="30" t="str">
        <f aca="false">IF(T367&lt;判定条件!$C$6,"判定不能",IF(U367&gt;=判定条件!$C$7*T367,"運転",IF(U367&lt;=判定条件!$C$8*T367,"停止","断続")))</f>
        <v>停止</v>
      </c>
      <c r="W367" s="30" t="n">
        <v>60</v>
      </c>
      <c r="X367" s="30" t="n">
        <v>0</v>
      </c>
      <c r="Y367" s="30" t="str">
        <f aca="false">IF(W367&lt;判定条件!$C$6,"判定不能",IF(X367&gt;=判定条件!$C$7*W367,"運転",IF(X367&lt;=判定条件!$C$8*W367,"停止","断続")))</f>
        <v>停止</v>
      </c>
      <c r="Z367" s="30" t="n">
        <v>60</v>
      </c>
      <c r="AA367" s="30" t="n">
        <v>0</v>
      </c>
      <c r="AB367" s="30" t="str">
        <f aca="false">IF(Z367&lt;判定条件!$C$6,"判定不能",IF(AA367&gt;=判定条件!$C$7*Z367,"運転",IF(AA367&lt;=判定条件!$C$8*Z367,"停止","断続")))</f>
        <v>停止</v>
      </c>
      <c r="AC367" s="30" t="n">
        <v>60</v>
      </c>
      <c r="AD367" s="30" t="n">
        <v>0</v>
      </c>
      <c r="AE367" s="30" t="str">
        <f aca="false">IF(AC367&lt;判定条件!$C$6,"判定不能",IF(AD367&gt;=判定条件!$C$7*AC367,"運転",IF(AD367&lt;=判定条件!$C$8*AC367,"停止","断続")))</f>
        <v>停止</v>
      </c>
      <c r="AF367" s="30" t="n">
        <v>60</v>
      </c>
      <c r="AG367" s="30" t="n">
        <v>0</v>
      </c>
      <c r="AH367" s="30" t="str">
        <f aca="false">IF(OR(P367="判定不能",G367="判定不能"),"判定不能",IF(AG367&gt;=判定条件!$C$9,"利用可",IF(AND(P367="停止",G367="停止"),"両方停止","運転がそろわない")))</f>
        <v>両方停止</v>
      </c>
      <c r="AI367" s="30" t="n">
        <v>60</v>
      </c>
      <c r="AJ367" s="30" t="n">
        <v>0</v>
      </c>
      <c r="AK367" s="30" t="str">
        <f aca="false">IF(OR(S367="判定不能",J367="判定不能"),"判定不能",IF(AJ367&gt;=判定条件!$C$9,"利用可",IF(AND(S367="停止",J367="停止"),"両方停止","運転がそろわない")))</f>
        <v>両方停止</v>
      </c>
      <c r="AL367" s="30" t="n">
        <v>60</v>
      </c>
      <c r="AM367" s="30" t="n">
        <v>0</v>
      </c>
      <c r="AN367" s="30" t="str">
        <f aca="false">IF(OR(V367="判定不能",M367="判定不能"),"判定不能",IF(AM367&gt;=判定条件!$C$9,"利用可",IF(AND(V367="停止",M367="停止"),"両方停止","運転がそろわない")))</f>
        <v>運転がそろわない</v>
      </c>
      <c r="AO367" s="30" t="n">
        <v>60</v>
      </c>
      <c r="AP367" s="30" t="n">
        <v>0</v>
      </c>
      <c r="AQ367" s="30" t="str">
        <f aca="false">IF(OR(Y367="判定不能",G367="判定不能"),"判定不能",IF(AP367&gt;=判定条件!$C$9,"利用可",IF(AND(Y367="停止",G367="停止"),"両方停止","運転がそろわない")))</f>
        <v>両方停止</v>
      </c>
      <c r="AR367" s="30" t="n">
        <v>60</v>
      </c>
      <c r="AS367" s="30" t="n">
        <v>0</v>
      </c>
      <c r="AT367" s="30" t="str">
        <f aca="false">IF(OR(AB367="判定不能",J367="判定不能"),"判定不能",IF(AS367&gt;=判定条件!$C$9,"利用可",IF(AND(AB367="停止",J367="停止"),"両方停止","運転がそろわない")))</f>
        <v>両方停止</v>
      </c>
      <c r="AU367" s="30" t="n">
        <v>60</v>
      </c>
      <c r="AV367" s="30" t="n">
        <v>0</v>
      </c>
      <c r="AW367" s="30" t="str">
        <f aca="false">IF(OR(AE367="判定不能",M367="判定不能"),"判定不能",IF(AV367&gt;=判定条件!$C$9,"利用可",IF(AND(AE367="停止",M367="停止"),"両方停止","運転がそろわない")))</f>
        <v>運転がそろわない</v>
      </c>
      <c r="AX367" s="30" t="str">
        <f aca="false">IF(AND(AH367="利用可",AK367="利用可",AN367="利用可"),"利用可","不可")</f>
        <v>不可</v>
      </c>
      <c r="AY367" s="30" t="str">
        <f aca="false">IF(AND(AQ367="利用可",AT367="利用可",AW367="利用可"),"利用可","不可")</f>
        <v>不可</v>
      </c>
    </row>
    <row r="368" customFormat="false" ht="15" hidden="false" customHeight="false" outlineLevel="0" collapsed="false">
      <c r="A368" s="29" t="n">
        <v>46247</v>
      </c>
      <c r="B368" s="30" t="n">
        <v>5</v>
      </c>
      <c r="C368" s="31" t="s">
        <v>61</v>
      </c>
      <c r="D368" s="31" t="s">
        <v>59</v>
      </c>
      <c r="E368" s="30" t="n">
        <v>60</v>
      </c>
      <c r="F368" s="30" t="n">
        <v>0</v>
      </c>
      <c r="G368" s="30" t="str">
        <f aca="false">IF(E368&lt;判定条件!$C$6,"判定不能",IF(F368&gt;=判定条件!$C$7*E368,"運転",IF(F368&lt;=判定条件!$C$8*E368,"停止","断続")))</f>
        <v>停止</v>
      </c>
      <c r="H368" s="30" t="n">
        <v>60</v>
      </c>
      <c r="I368" s="30" t="n">
        <v>0</v>
      </c>
      <c r="J368" s="30" t="str">
        <f aca="false">IF(H368&lt;判定条件!$C$6,"判定不能",IF(I368&gt;=判定条件!$C$7*H368,"運転",IF(I368&lt;=判定条件!$C$8*H368,"停止","断続")))</f>
        <v>停止</v>
      </c>
      <c r="K368" s="30" t="n">
        <v>60</v>
      </c>
      <c r="L368" s="30" t="n">
        <v>60</v>
      </c>
      <c r="M368" s="30" t="str">
        <f aca="false">IF(K368&lt;判定条件!$C$6,"判定不能",IF(L368&gt;=判定条件!$C$7*K368,"運転",IF(L368&lt;=判定条件!$C$8*K368,"停止","断続")))</f>
        <v>運転</v>
      </c>
      <c r="N368" s="30" t="n">
        <v>60</v>
      </c>
      <c r="O368" s="30" t="n">
        <v>0</v>
      </c>
      <c r="P368" s="30" t="str">
        <f aca="false">IF(N368&lt;判定条件!$C$6,"判定不能",IF(O368&gt;=判定条件!$C$7*N368,"運転",IF(O368&lt;=判定条件!$C$8*N368,"停止","断続")))</f>
        <v>停止</v>
      </c>
      <c r="Q368" s="30" t="n">
        <v>60</v>
      </c>
      <c r="R368" s="30" t="n">
        <v>0</v>
      </c>
      <c r="S368" s="30" t="str">
        <f aca="false">IF(Q368&lt;判定条件!$C$6,"判定不能",IF(R368&gt;=判定条件!$C$7*Q368,"運転",IF(R368&lt;=判定条件!$C$8*Q368,"停止","断続")))</f>
        <v>停止</v>
      </c>
      <c r="T368" s="30" t="n">
        <v>60</v>
      </c>
      <c r="U368" s="30" t="n">
        <v>0</v>
      </c>
      <c r="V368" s="30" t="str">
        <f aca="false">IF(T368&lt;判定条件!$C$6,"判定不能",IF(U368&gt;=判定条件!$C$7*T368,"運転",IF(U368&lt;=判定条件!$C$8*T368,"停止","断続")))</f>
        <v>停止</v>
      </c>
      <c r="W368" s="30" t="n">
        <v>60</v>
      </c>
      <c r="X368" s="30" t="n">
        <v>0</v>
      </c>
      <c r="Y368" s="30" t="str">
        <f aca="false">IF(W368&lt;判定条件!$C$6,"判定不能",IF(X368&gt;=判定条件!$C$7*W368,"運転",IF(X368&lt;=判定条件!$C$8*W368,"停止","断続")))</f>
        <v>停止</v>
      </c>
      <c r="Z368" s="30" t="n">
        <v>60</v>
      </c>
      <c r="AA368" s="30" t="n">
        <v>0</v>
      </c>
      <c r="AB368" s="30" t="str">
        <f aca="false">IF(Z368&lt;判定条件!$C$6,"判定不能",IF(AA368&gt;=判定条件!$C$7*Z368,"運転",IF(AA368&lt;=判定条件!$C$8*Z368,"停止","断続")))</f>
        <v>停止</v>
      </c>
      <c r="AC368" s="30" t="n">
        <v>60</v>
      </c>
      <c r="AD368" s="30" t="n">
        <v>0</v>
      </c>
      <c r="AE368" s="30" t="str">
        <f aca="false">IF(AC368&lt;判定条件!$C$6,"判定不能",IF(AD368&gt;=判定条件!$C$7*AC368,"運転",IF(AD368&lt;=判定条件!$C$8*AC368,"停止","断続")))</f>
        <v>停止</v>
      </c>
      <c r="AF368" s="30" t="n">
        <v>60</v>
      </c>
      <c r="AG368" s="30" t="n">
        <v>0</v>
      </c>
      <c r="AH368" s="30" t="str">
        <f aca="false">IF(OR(P368="判定不能",G368="判定不能"),"判定不能",IF(AG368&gt;=判定条件!$C$9,"利用可",IF(AND(P368="停止",G368="停止"),"両方停止","運転がそろわない")))</f>
        <v>両方停止</v>
      </c>
      <c r="AI368" s="30" t="n">
        <v>60</v>
      </c>
      <c r="AJ368" s="30" t="n">
        <v>0</v>
      </c>
      <c r="AK368" s="30" t="str">
        <f aca="false">IF(OR(S368="判定不能",J368="判定不能"),"判定不能",IF(AJ368&gt;=判定条件!$C$9,"利用可",IF(AND(S368="停止",J368="停止"),"両方停止","運転がそろわない")))</f>
        <v>両方停止</v>
      </c>
      <c r="AL368" s="30" t="n">
        <v>60</v>
      </c>
      <c r="AM368" s="30" t="n">
        <v>0</v>
      </c>
      <c r="AN368" s="30" t="str">
        <f aca="false">IF(OR(V368="判定不能",M368="判定不能"),"判定不能",IF(AM368&gt;=判定条件!$C$9,"利用可",IF(AND(V368="停止",M368="停止"),"両方停止","運転がそろわない")))</f>
        <v>運転がそろわない</v>
      </c>
      <c r="AO368" s="30" t="n">
        <v>60</v>
      </c>
      <c r="AP368" s="30" t="n">
        <v>0</v>
      </c>
      <c r="AQ368" s="30" t="str">
        <f aca="false">IF(OR(Y368="判定不能",G368="判定不能"),"判定不能",IF(AP368&gt;=判定条件!$C$9,"利用可",IF(AND(Y368="停止",G368="停止"),"両方停止","運転がそろわない")))</f>
        <v>両方停止</v>
      </c>
      <c r="AR368" s="30" t="n">
        <v>60</v>
      </c>
      <c r="AS368" s="30" t="n">
        <v>0</v>
      </c>
      <c r="AT368" s="30" t="str">
        <f aca="false">IF(OR(AB368="判定不能",J368="判定不能"),"判定不能",IF(AS368&gt;=判定条件!$C$9,"利用可",IF(AND(AB368="停止",J368="停止"),"両方停止","運転がそろわない")))</f>
        <v>両方停止</v>
      </c>
      <c r="AU368" s="30" t="n">
        <v>60</v>
      </c>
      <c r="AV368" s="30" t="n">
        <v>0</v>
      </c>
      <c r="AW368" s="30" t="str">
        <f aca="false">IF(OR(AE368="判定不能",M368="判定不能"),"判定不能",IF(AV368&gt;=判定条件!$C$9,"利用可",IF(AND(AE368="停止",M368="停止"),"両方停止","運転がそろわない")))</f>
        <v>運転がそろわない</v>
      </c>
      <c r="AX368" s="30" t="str">
        <f aca="false">IF(AND(AH368="利用可",AK368="利用可",AN368="利用可"),"利用可","不可")</f>
        <v>不可</v>
      </c>
      <c r="AY368" s="30" t="str">
        <f aca="false">IF(AND(AQ368="利用可",AT368="利用可",AW368="利用可"),"利用可","不可")</f>
        <v>不可</v>
      </c>
    </row>
    <row r="369" customFormat="false" ht="15" hidden="false" customHeight="false" outlineLevel="0" collapsed="false">
      <c r="A369" s="29" t="n">
        <v>46247</v>
      </c>
      <c r="B369" s="30" t="n">
        <v>6</v>
      </c>
      <c r="C369" s="31" t="s">
        <v>61</v>
      </c>
      <c r="D369" s="31" t="s">
        <v>59</v>
      </c>
      <c r="E369" s="30" t="n">
        <v>60</v>
      </c>
      <c r="F369" s="30" t="n">
        <v>0</v>
      </c>
      <c r="G369" s="30" t="str">
        <f aca="false">IF(E369&lt;判定条件!$C$6,"判定不能",IF(F369&gt;=判定条件!$C$7*E369,"運転",IF(F369&lt;=判定条件!$C$8*E369,"停止","断続")))</f>
        <v>停止</v>
      </c>
      <c r="H369" s="30" t="n">
        <v>60</v>
      </c>
      <c r="I369" s="30" t="n">
        <v>0</v>
      </c>
      <c r="J369" s="30" t="str">
        <f aca="false">IF(H369&lt;判定条件!$C$6,"判定不能",IF(I369&gt;=判定条件!$C$7*H369,"運転",IF(I369&lt;=判定条件!$C$8*H369,"停止","断続")))</f>
        <v>停止</v>
      </c>
      <c r="K369" s="30" t="n">
        <v>60</v>
      </c>
      <c r="L369" s="30" t="n">
        <v>60</v>
      </c>
      <c r="M369" s="30" t="str">
        <f aca="false">IF(K369&lt;判定条件!$C$6,"判定不能",IF(L369&gt;=判定条件!$C$7*K369,"運転",IF(L369&lt;=判定条件!$C$8*K369,"停止","断続")))</f>
        <v>運転</v>
      </c>
      <c r="N369" s="30" t="n">
        <v>60</v>
      </c>
      <c r="O369" s="30" t="n">
        <v>0</v>
      </c>
      <c r="P369" s="30" t="str">
        <f aca="false">IF(N369&lt;判定条件!$C$6,"判定不能",IF(O369&gt;=判定条件!$C$7*N369,"運転",IF(O369&lt;=判定条件!$C$8*N369,"停止","断続")))</f>
        <v>停止</v>
      </c>
      <c r="Q369" s="30" t="n">
        <v>60</v>
      </c>
      <c r="R369" s="30" t="n">
        <v>0</v>
      </c>
      <c r="S369" s="30" t="str">
        <f aca="false">IF(Q369&lt;判定条件!$C$6,"判定不能",IF(R369&gt;=判定条件!$C$7*Q369,"運転",IF(R369&lt;=判定条件!$C$8*Q369,"停止","断続")))</f>
        <v>停止</v>
      </c>
      <c r="T369" s="30" t="n">
        <v>60</v>
      </c>
      <c r="U369" s="30" t="n">
        <v>4</v>
      </c>
      <c r="V369" s="30" t="str">
        <f aca="false">IF(T369&lt;判定条件!$C$6,"判定不能",IF(U369&gt;=判定条件!$C$7*T369,"運転",IF(U369&lt;=判定条件!$C$8*T369,"停止","断続")))</f>
        <v>停止</v>
      </c>
      <c r="W369" s="30" t="n">
        <v>60</v>
      </c>
      <c r="X369" s="30" t="n">
        <v>35</v>
      </c>
      <c r="Y369" s="30" t="str">
        <f aca="false">IF(W369&lt;判定条件!$C$6,"判定不能",IF(X369&gt;=判定条件!$C$7*W369,"運転",IF(X369&lt;=判定条件!$C$8*W369,"停止","断続")))</f>
        <v>断続</v>
      </c>
      <c r="Z369" s="30" t="n">
        <v>60</v>
      </c>
      <c r="AA369" s="30" t="n">
        <v>32</v>
      </c>
      <c r="AB369" s="30" t="str">
        <f aca="false">IF(Z369&lt;判定条件!$C$6,"判定不能",IF(AA369&gt;=判定条件!$C$7*Z369,"運転",IF(AA369&lt;=判定条件!$C$8*Z369,"停止","断続")))</f>
        <v>断続</v>
      </c>
      <c r="AC369" s="30" t="n">
        <v>60</v>
      </c>
      <c r="AD369" s="30" t="n">
        <v>33</v>
      </c>
      <c r="AE369" s="30" t="str">
        <f aca="false">IF(AC369&lt;判定条件!$C$6,"判定不能",IF(AD369&gt;=判定条件!$C$7*AC369,"運転",IF(AD369&lt;=判定条件!$C$8*AC369,"停止","断続")))</f>
        <v>断続</v>
      </c>
      <c r="AF369" s="30" t="n">
        <v>60</v>
      </c>
      <c r="AG369" s="30" t="n">
        <v>0</v>
      </c>
      <c r="AH369" s="30" t="str">
        <f aca="false">IF(OR(P369="判定不能",G369="判定不能"),"判定不能",IF(AG369&gt;=判定条件!$C$9,"利用可",IF(AND(P369="停止",G369="停止"),"両方停止","運転がそろわない")))</f>
        <v>両方停止</v>
      </c>
      <c r="AI369" s="30" t="n">
        <v>60</v>
      </c>
      <c r="AJ369" s="30" t="n">
        <v>0</v>
      </c>
      <c r="AK369" s="30" t="str">
        <f aca="false">IF(OR(S369="判定不能",J369="判定不能"),"判定不能",IF(AJ369&gt;=判定条件!$C$9,"利用可",IF(AND(S369="停止",J369="停止"),"両方停止","運転がそろわない")))</f>
        <v>両方停止</v>
      </c>
      <c r="AL369" s="30" t="n">
        <v>60</v>
      </c>
      <c r="AM369" s="30" t="n">
        <v>4</v>
      </c>
      <c r="AN369" s="30" t="str">
        <f aca="false">IF(OR(V369="判定不能",M369="判定不能"),"判定不能",IF(AM369&gt;=判定条件!$C$9,"利用可",IF(AND(V369="停止",M369="停止"),"両方停止","運転がそろわない")))</f>
        <v>運転がそろわない</v>
      </c>
      <c r="AO369" s="30" t="n">
        <v>60</v>
      </c>
      <c r="AP369" s="30" t="n">
        <v>0</v>
      </c>
      <c r="AQ369" s="30" t="str">
        <f aca="false">IF(OR(Y369="判定不能",G369="判定不能"),"判定不能",IF(AP369&gt;=判定条件!$C$9,"利用可",IF(AND(Y369="停止",G369="停止"),"両方停止","運転がそろわない")))</f>
        <v>運転がそろわない</v>
      </c>
      <c r="AR369" s="30" t="n">
        <v>60</v>
      </c>
      <c r="AS369" s="30" t="n">
        <v>0</v>
      </c>
      <c r="AT369" s="30" t="str">
        <f aca="false">IF(OR(AB369="判定不能",J369="判定不能"),"判定不能",IF(AS369&gt;=判定条件!$C$9,"利用可",IF(AND(AB369="停止",J369="停止"),"両方停止","運転がそろわない")))</f>
        <v>運転がそろわない</v>
      </c>
      <c r="AU369" s="30" t="n">
        <v>60</v>
      </c>
      <c r="AV369" s="30" t="n">
        <v>33</v>
      </c>
      <c r="AW369" s="30" t="str">
        <f aca="false">IF(OR(AE369="判定不能",M369="判定不能"),"判定不能",IF(AV369&gt;=判定条件!$C$9,"利用可",IF(AND(AE369="停止",M369="停止"),"両方停止","運転がそろわない")))</f>
        <v>利用可</v>
      </c>
      <c r="AX369" s="30" t="str">
        <f aca="false">IF(AND(AH369="利用可",AK369="利用可",AN369="利用可"),"利用可","不可")</f>
        <v>不可</v>
      </c>
      <c r="AY369" s="30" t="str">
        <f aca="false">IF(AND(AQ369="利用可",AT369="利用可",AW369="利用可"),"利用可","不可")</f>
        <v>不可</v>
      </c>
    </row>
    <row r="370" customFormat="false" ht="15" hidden="false" customHeight="false" outlineLevel="0" collapsed="false">
      <c r="A370" s="29" t="n">
        <v>46247</v>
      </c>
      <c r="B370" s="30" t="n">
        <v>7</v>
      </c>
      <c r="C370" s="31" t="s">
        <v>61</v>
      </c>
      <c r="D370" s="31" t="s">
        <v>59</v>
      </c>
      <c r="E370" s="30" t="n">
        <v>60</v>
      </c>
      <c r="F370" s="30" t="n">
        <v>0</v>
      </c>
      <c r="G370" s="30" t="str">
        <f aca="false">IF(E370&lt;判定条件!$C$6,"判定不能",IF(F370&gt;=判定条件!$C$7*E370,"運転",IF(F370&lt;=判定条件!$C$8*E370,"停止","断続")))</f>
        <v>停止</v>
      </c>
      <c r="H370" s="30" t="n">
        <v>60</v>
      </c>
      <c r="I370" s="30" t="n">
        <v>0</v>
      </c>
      <c r="J370" s="30" t="str">
        <f aca="false">IF(H370&lt;判定条件!$C$6,"判定不能",IF(I370&gt;=判定条件!$C$7*H370,"運転",IF(I370&lt;=判定条件!$C$8*H370,"停止","断続")))</f>
        <v>停止</v>
      </c>
      <c r="K370" s="30" t="n">
        <v>60</v>
      </c>
      <c r="L370" s="30" t="n">
        <v>60</v>
      </c>
      <c r="M370" s="30" t="str">
        <f aca="false">IF(K370&lt;判定条件!$C$6,"判定不能",IF(L370&gt;=判定条件!$C$7*K370,"運転",IF(L370&lt;=判定条件!$C$8*K370,"停止","断続")))</f>
        <v>運転</v>
      </c>
      <c r="N370" s="30" t="n">
        <v>60</v>
      </c>
      <c r="O370" s="30" t="n">
        <v>3</v>
      </c>
      <c r="P370" s="30" t="str">
        <f aca="false">IF(N370&lt;判定条件!$C$6,"判定不能",IF(O370&gt;=判定条件!$C$7*N370,"運転",IF(O370&lt;=判定条件!$C$8*N370,"停止","断続")))</f>
        <v>停止</v>
      </c>
      <c r="Q370" s="30" t="n">
        <v>60</v>
      </c>
      <c r="R370" s="30" t="n">
        <v>0</v>
      </c>
      <c r="S370" s="30" t="str">
        <f aca="false">IF(Q370&lt;判定条件!$C$6,"判定不能",IF(R370&gt;=判定条件!$C$7*Q370,"運転",IF(R370&lt;=判定条件!$C$8*Q370,"停止","断続")))</f>
        <v>停止</v>
      </c>
      <c r="T370" s="30" t="n">
        <v>60</v>
      </c>
      <c r="U370" s="30" t="n">
        <v>60</v>
      </c>
      <c r="V370" s="30" t="str">
        <f aca="false">IF(T370&lt;判定条件!$C$6,"判定不能",IF(U370&gt;=判定条件!$C$7*T370,"運転",IF(U370&lt;=判定条件!$C$8*T370,"停止","断続")))</f>
        <v>運転</v>
      </c>
      <c r="W370" s="30" t="n">
        <v>60</v>
      </c>
      <c r="X370" s="30" t="n">
        <v>60</v>
      </c>
      <c r="Y370" s="30" t="str">
        <f aca="false">IF(W370&lt;判定条件!$C$6,"判定不能",IF(X370&gt;=判定条件!$C$7*W370,"運転",IF(X370&lt;=判定条件!$C$8*W370,"停止","断続")))</f>
        <v>運転</v>
      </c>
      <c r="Z370" s="30" t="n">
        <v>60</v>
      </c>
      <c r="AA370" s="30" t="n">
        <v>11</v>
      </c>
      <c r="AB370" s="30" t="str">
        <f aca="false">IF(Z370&lt;判定条件!$C$6,"判定不能",IF(AA370&gt;=判定条件!$C$7*Z370,"運転",IF(AA370&lt;=判定条件!$C$8*Z370,"停止","断続")))</f>
        <v>停止</v>
      </c>
      <c r="AC370" s="30" t="n">
        <v>60</v>
      </c>
      <c r="AD370" s="30" t="n">
        <v>60</v>
      </c>
      <c r="AE370" s="30" t="str">
        <f aca="false">IF(AC370&lt;判定条件!$C$6,"判定不能",IF(AD370&gt;=判定条件!$C$7*AC370,"運転",IF(AD370&lt;=判定条件!$C$8*AC370,"停止","断続")))</f>
        <v>運転</v>
      </c>
      <c r="AF370" s="30" t="n">
        <v>60</v>
      </c>
      <c r="AG370" s="30" t="n">
        <v>0</v>
      </c>
      <c r="AH370" s="30" t="str">
        <f aca="false">IF(OR(P370="判定不能",G370="判定不能"),"判定不能",IF(AG370&gt;=判定条件!$C$9,"利用可",IF(AND(P370="停止",G370="停止"),"両方停止","運転がそろわない")))</f>
        <v>両方停止</v>
      </c>
      <c r="AI370" s="30" t="n">
        <v>60</v>
      </c>
      <c r="AJ370" s="30" t="n">
        <v>0</v>
      </c>
      <c r="AK370" s="30" t="str">
        <f aca="false">IF(OR(S370="判定不能",J370="判定不能"),"判定不能",IF(AJ370&gt;=判定条件!$C$9,"利用可",IF(AND(S370="停止",J370="停止"),"両方停止","運転がそろわない")))</f>
        <v>両方停止</v>
      </c>
      <c r="AL370" s="30" t="n">
        <v>60</v>
      </c>
      <c r="AM370" s="30" t="n">
        <v>60</v>
      </c>
      <c r="AN370" s="30" t="str">
        <f aca="false">IF(OR(V370="判定不能",M370="判定不能"),"判定不能",IF(AM370&gt;=判定条件!$C$9,"利用可",IF(AND(V370="停止",M370="停止"),"両方停止","運転がそろわない")))</f>
        <v>利用可</v>
      </c>
      <c r="AO370" s="30" t="n">
        <v>60</v>
      </c>
      <c r="AP370" s="30" t="n">
        <v>0</v>
      </c>
      <c r="AQ370" s="30" t="str">
        <f aca="false">IF(OR(Y370="判定不能",G370="判定不能"),"判定不能",IF(AP370&gt;=判定条件!$C$9,"利用可",IF(AND(Y370="停止",G370="停止"),"両方停止","運転がそろわない")))</f>
        <v>運転がそろわない</v>
      </c>
      <c r="AR370" s="30" t="n">
        <v>60</v>
      </c>
      <c r="AS370" s="30" t="n">
        <v>0</v>
      </c>
      <c r="AT370" s="30" t="str">
        <f aca="false">IF(OR(AB370="判定不能",J370="判定不能"),"判定不能",IF(AS370&gt;=判定条件!$C$9,"利用可",IF(AND(AB370="停止",J370="停止"),"両方停止","運転がそろわない")))</f>
        <v>両方停止</v>
      </c>
      <c r="AU370" s="30" t="n">
        <v>60</v>
      </c>
      <c r="AV370" s="30" t="n">
        <v>60</v>
      </c>
      <c r="AW370" s="30" t="str">
        <f aca="false">IF(OR(AE370="判定不能",M370="判定不能"),"判定不能",IF(AV370&gt;=判定条件!$C$9,"利用可",IF(AND(AE370="停止",M370="停止"),"両方停止","運転がそろわない")))</f>
        <v>利用可</v>
      </c>
      <c r="AX370" s="30" t="str">
        <f aca="false">IF(AND(AH370="利用可",AK370="利用可",AN370="利用可"),"利用可","不可")</f>
        <v>不可</v>
      </c>
      <c r="AY370" s="30" t="str">
        <f aca="false">IF(AND(AQ370="利用可",AT370="利用可",AW370="利用可"),"利用可","不可")</f>
        <v>不可</v>
      </c>
    </row>
    <row r="371" customFormat="false" ht="15" hidden="false" customHeight="false" outlineLevel="0" collapsed="false">
      <c r="A371" s="29" t="n">
        <v>46247</v>
      </c>
      <c r="B371" s="30" t="n">
        <v>8</v>
      </c>
      <c r="C371" s="31" t="s">
        <v>61</v>
      </c>
      <c r="D371" s="31" t="s">
        <v>59</v>
      </c>
      <c r="E371" s="30" t="n">
        <v>60</v>
      </c>
      <c r="F371" s="30" t="n">
        <v>40</v>
      </c>
      <c r="G371" s="30" t="str">
        <f aca="false">IF(E371&lt;判定条件!$C$6,"判定不能",IF(F371&gt;=判定条件!$C$7*E371,"運転",IF(F371&lt;=判定条件!$C$8*E371,"停止","断続")))</f>
        <v>断続</v>
      </c>
      <c r="H371" s="30" t="n">
        <v>60</v>
      </c>
      <c r="I371" s="30" t="n">
        <v>39</v>
      </c>
      <c r="J371" s="30" t="str">
        <f aca="false">IF(H371&lt;判定条件!$C$6,"判定不能",IF(I371&gt;=判定条件!$C$7*H371,"運転",IF(I371&lt;=判定条件!$C$8*H371,"停止","断続")))</f>
        <v>断続</v>
      </c>
      <c r="K371" s="30" t="n">
        <v>60</v>
      </c>
      <c r="L371" s="30" t="n">
        <v>60</v>
      </c>
      <c r="M371" s="30" t="str">
        <f aca="false">IF(K371&lt;判定条件!$C$6,"判定不能",IF(L371&gt;=判定条件!$C$7*K371,"運転",IF(L371&lt;=判定条件!$C$8*K371,"停止","断続")))</f>
        <v>運転</v>
      </c>
      <c r="N371" s="30" t="n">
        <v>60</v>
      </c>
      <c r="O371" s="30" t="n">
        <v>41</v>
      </c>
      <c r="P371" s="30" t="str">
        <f aca="false">IF(N371&lt;判定条件!$C$6,"判定不能",IF(O371&gt;=判定条件!$C$7*N371,"運転",IF(O371&lt;=判定条件!$C$8*N371,"停止","断続")))</f>
        <v>断続</v>
      </c>
      <c r="Q371" s="30" t="n">
        <v>60</v>
      </c>
      <c r="R371" s="30" t="n">
        <v>0</v>
      </c>
      <c r="S371" s="30" t="str">
        <f aca="false">IF(Q371&lt;判定条件!$C$6,"判定不能",IF(R371&gt;=判定条件!$C$7*Q371,"運転",IF(R371&lt;=判定条件!$C$8*Q371,"停止","断続")))</f>
        <v>停止</v>
      </c>
      <c r="T371" s="30" t="n">
        <v>60</v>
      </c>
      <c r="U371" s="30" t="n">
        <v>60</v>
      </c>
      <c r="V371" s="30" t="str">
        <f aca="false">IF(T371&lt;判定条件!$C$6,"判定不能",IF(U371&gt;=判定条件!$C$7*T371,"運転",IF(U371&lt;=判定条件!$C$8*T371,"停止","断続")))</f>
        <v>運転</v>
      </c>
      <c r="W371" s="30" t="n">
        <v>60</v>
      </c>
      <c r="X371" s="30" t="n">
        <v>29</v>
      </c>
      <c r="Y371" s="30" t="str">
        <f aca="false">IF(W371&lt;判定条件!$C$6,"判定不能",IF(X371&gt;=判定条件!$C$7*W371,"運転",IF(X371&lt;=判定条件!$C$8*W371,"停止","断続")))</f>
        <v>断続</v>
      </c>
      <c r="Z371" s="30" t="n">
        <v>60</v>
      </c>
      <c r="AA371" s="30" t="n">
        <v>49</v>
      </c>
      <c r="AB371" s="30" t="str">
        <f aca="false">IF(Z371&lt;判定条件!$C$6,"判定不能",IF(AA371&gt;=判定条件!$C$7*Z371,"運転",IF(AA371&lt;=判定条件!$C$8*Z371,"停止","断続")))</f>
        <v>運転</v>
      </c>
      <c r="AC371" s="30" t="n">
        <v>60</v>
      </c>
      <c r="AD371" s="30" t="n">
        <v>60</v>
      </c>
      <c r="AE371" s="30" t="str">
        <f aca="false">IF(AC371&lt;判定条件!$C$6,"判定不能",IF(AD371&gt;=判定条件!$C$7*AC371,"運転",IF(AD371&lt;=判定条件!$C$8*AC371,"停止","断続")))</f>
        <v>運転</v>
      </c>
      <c r="AF371" s="30" t="n">
        <v>60</v>
      </c>
      <c r="AG371" s="30" t="n">
        <v>21</v>
      </c>
      <c r="AH371" s="30" t="str">
        <f aca="false">IF(OR(P371="判定不能",G371="判定不能"),"判定不能",IF(AG371&gt;=判定条件!$C$9,"利用可",IF(AND(P371="停止",G371="停止"),"両方停止","運転がそろわない")))</f>
        <v>運転がそろわない</v>
      </c>
      <c r="AI371" s="30" t="n">
        <v>60</v>
      </c>
      <c r="AJ371" s="30" t="n">
        <v>0</v>
      </c>
      <c r="AK371" s="30" t="str">
        <f aca="false">IF(OR(S371="判定不能",J371="判定不能"),"判定不能",IF(AJ371&gt;=判定条件!$C$9,"利用可",IF(AND(S371="停止",J371="停止"),"両方停止","運転がそろわない")))</f>
        <v>運転がそろわない</v>
      </c>
      <c r="AL371" s="30" t="n">
        <v>60</v>
      </c>
      <c r="AM371" s="30" t="n">
        <v>60</v>
      </c>
      <c r="AN371" s="30" t="str">
        <f aca="false">IF(OR(V371="判定不能",M371="判定不能"),"判定不能",IF(AM371&gt;=判定条件!$C$9,"利用可",IF(AND(V371="停止",M371="停止"),"両方停止","運転がそろわない")))</f>
        <v>利用可</v>
      </c>
      <c r="AO371" s="30" t="n">
        <v>60</v>
      </c>
      <c r="AP371" s="30" t="n">
        <v>9</v>
      </c>
      <c r="AQ371" s="30" t="str">
        <f aca="false">IF(OR(Y371="判定不能",G371="判定不能"),"判定不能",IF(AP371&gt;=判定条件!$C$9,"利用可",IF(AND(Y371="停止",G371="停止"),"両方停止","運転がそろわない")))</f>
        <v>運転がそろわない</v>
      </c>
      <c r="AR371" s="30" t="n">
        <v>60</v>
      </c>
      <c r="AS371" s="30" t="n">
        <v>38</v>
      </c>
      <c r="AT371" s="30" t="str">
        <f aca="false">IF(OR(AB371="判定不能",J371="判定不能"),"判定不能",IF(AS371&gt;=判定条件!$C$9,"利用可",IF(AND(AB371="停止",J371="停止"),"両方停止","運転がそろわない")))</f>
        <v>利用可</v>
      </c>
      <c r="AU371" s="30" t="n">
        <v>60</v>
      </c>
      <c r="AV371" s="30" t="n">
        <v>60</v>
      </c>
      <c r="AW371" s="30" t="str">
        <f aca="false">IF(OR(AE371="判定不能",M371="判定不能"),"判定不能",IF(AV371&gt;=判定条件!$C$9,"利用可",IF(AND(AE371="停止",M371="停止"),"両方停止","運転がそろわない")))</f>
        <v>利用可</v>
      </c>
      <c r="AX371" s="30" t="str">
        <f aca="false">IF(AND(AH371="利用可",AK371="利用可",AN371="利用可"),"利用可","不可")</f>
        <v>不可</v>
      </c>
      <c r="AY371" s="30" t="str">
        <f aca="false">IF(AND(AQ371="利用可",AT371="利用可",AW371="利用可"),"利用可","不可")</f>
        <v>不可</v>
      </c>
    </row>
    <row r="372" customFormat="false" ht="15" hidden="false" customHeight="false" outlineLevel="0" collapsed="false">
      <c r="A372" s="29" t="n">
        <v>46247</v>
      </c>
      <c r="B372" s="30" t="n">
        <v>9</v>
      </c>
      <c r="C372" s="31" t="s">
        <v>61</v>
      </c>
      <c r="D372" s="31" t="s">
        <v>59</v>
      </c>
      <c r="E372" s="30" t="n">
        <v>60</v>
      </c>
      <c r="F372" s="30" t="n">
        <v>60</v>
      </c>
      <c r="G372" s="30" t="str">
        <f aca="false">IF(E372&lt;判定条件!$C$6,"判定不能",IF(F372&gt;=判定条件!$C$7*E372,"運転",IF(F372&lt;=判定条件!$C$8*E372,"停止","断続")))</f>
        <v>運転</v>
      </c>
      <c r="H372" s="30" t="n">
        <v>60</v>
      </c>
      <c r="I372" s="30" t="n">
        <v>60</v>
      </c>
      <c r="J372" s="30" t="str">
        <f aca="false">IF(H372&lt;判定条件!$C$6,"判定不能",IF(I372&gt;=判定条件!$C$7*H372,"運転",IF(I372&lt;=判定条件!$C$8*H372,"停止","断続")))</f>
        <v>運転</v>
      </c>
      <c r="K372" s="30" t="n">
        <v>60</v>
      </c>
      <c r="L372" s="30" t="n">
        <v>60</v>
      </c>
      <c r="M372" s="30" t="str">
        <f aca="false">IF(K372&lt;判定条件!$C$6,"判定不能",IF(L372&gt;=判定条件!$C$7*K372,"運転",IF(L372&lt;=判定条件!$C$8*K372,"停止","断続")))</f>
        <v>運転</v>
      </c>
      <c r="N372" s="30" t="n">
        <v>60</v>
      </c>
      <c r="O372" s="30" t="n">
        <v>33</v>
      </c>
      <c r="P372" s="30" t="str">
        <f aca="false">IF(N372&lt;判定条件!$C$6,"判定不能",IF(O372&gt;=判定条件!$C$7*N372,"運転",IF(O372&lt;=判定条件!$C$8*N372,"停止","断続")))</f>
        <v>断続</v>
      </c>
      <c r="Q372" s="30" t="n">
        <v>60</v>
      </c>
      <c r="R372" s="30" t="n">
        <v>0</v>
      </c>
      <c r="S372" s="30" t="str">
        <f aca="false">IF(Q372&lt;判定条件!$C$6,"判定不能",IF(R372&gt;=判定条件!$C$7*Q372,"運転",IF(R372&lt;=判定条件!$C$8*Q372,"停止","断続")))</f>
        <v>停止</v>
      </c>
      <c r="T372" s="30" t="n">
        <v>60</v>
      </c>
      <c r="U372" s="30" t="n">
        <v>60</v>
      </c>
      <c r="V372" s="30" t="str">
        <f aca="false">IF(T372&lt;判定条件!$C$6,"判定不能",IF(U372&gt;=判定条件!$C$7*T372,"運転",IF(U372&lt;=判定条件!$C$8*T372,"停止","断続")))</f>
        <v>運転</v>
      </c>
      <c r="W372" s="30" t="n">
        <v>60</v>
      </c>
      <c r="X372" s="30" t="n">
        <v>50</v>
      </c>
      <c r="Y372" s="30" t="str">
        <f aca="false">IF(W372&lt;判定条件!$C$6,"判定不能",IF(X372&gt;=判定条件!$C$7*W372,"運転",IF(X372&lt;=判定条件!$C$8*W372,"停止","断続")))</f>
        <v>運転</v>
      </c>
      <c r="Z372" s="30" t="n">
        <v>60</v>
      </c>
      <c r="AA372" s="30" t="n">
        <v>60</v>
      </c>
      <c r="AB372" s="30" t="str">
        <f aca="false">IF(Z372&lt;判定条件!$C$6,"判定不能",IF(AA372&gt;=判定条件!$C$7*Z372,"運転",IF(AA372&lt;=判定条件!$C$8*Z372,"停止","断続")))</f>
        <v>運転</v>
      </c>
      <c r="AC372" s="30" t="n">
        <v>60</v>
      </c>
      <c r="AD372" s="30" t="n">
        <v>60</v>
      </c>
      <c r="AE372" s="30" t="str">
        <f aca="false">IF(AC372&lt;判定条件!$C$6,"判定不能",IF(AD372&gt;=判定条件!$C$7*AC372,"運転",IF(AD372&lt;=判定条件!$C$8*AC372,"停止","断続")))</f>
        <v>運転</v>
      </c>
      <c r="AF372" s="30" t="n">
        <v>60</v>
      </c>
      <c r="AG372" s="30" t="n">
        <v>33</v>
      </c>
      <c r="AH372" s="30" t="str">
        <f aca="false">IF(OR(P372="判定不能",G372="判定不能"),"判定不能",IF(AG372&gt;=判定条件!$C$9,"利用可",IF(AND(P372="停止",G372="停止"),"両方停止","運転がそろわない")))</f>
        <v>利用可</v>
      </c>
      <c r="AI372" s="30" t="n">
        <v>60</v>
      </c>
      <c r="AJ372" s="30" t="n">
        <v>0</v>
      </c>
      <c r="AK372" s="30" t="str">
        <f aca="false">IF(OR(S372="判定不能",J372="判定不能"),"判定不能",IF(AJ372&gt;=判定条件!$C$9,"利用可",IF(AND(S372="停止",J372="停止"),"両方停止","運転がそろわない")))</f>
        <v>運転がそろわない</v>
      </c>
      <c r="AL372" s="30" t="n">
        <v>60</v>
      </c>
      <c r="AM372" s="30" t="n">
        <v>60</v>
      </c>
      <c r="AN372" s="30" t="str">
        <f aca="false">IF(OR(V372="判定不能",M372="判定不能"),"判定不能",IF(AM372&gt;=判定条件!$C$9,"利用可",IF(AND(V372="停止",M372="停止"),"両方停止","運転がそろわない")))</f>
        <v>利用可</v>
      </c>
      <c r="AO372" s="30" t="n">
        <v>60</v>
      </c>
      <c r="AP372" s="30" t="n">
        <v>50</v>
      </c>
      <c r="AQ372" s="30" t="str">
        <f aca="false">IF(OR(Y372="判定不能",G372="判定不能"),"判定不能",IF(AP372&gt;=判定条件!$C$9,"利用可",IF(AND(Y372="停止",G372="停止"),"両方停止","運転がそろわない")))</f>
        <v>利用可</v>
      </c>
      <c r="AR372" s="30" t="n">
        <v>60</v>
      </c>
      <c r="AS372" s="30" t="n">
        <v>60</v>
      </c>
      <c r="AT372" s="30" t="str">
        <f aca="false">IF(OR(AB372="判定不能",J372="判定不能"),"判定不能",IF(AS372&gt;=判定条件!$C$9,"利用可",IF(AND(AB372="停止",J372="停止"),"両方停止","運転がそろわない")))</f>
        <v>利用可</v>
      </c>
      <c r="AU372" s="30" t="n">
        <v>60</v>
      </c>
      <c r="AV372" s="30" t="n">
        <v>60</v>
      </c>
      <c r="AW372" s="30" t="str">
        <f aca="false">IF(OR(AE372="判定不能",M372="判定不能"),"判定不能",IF(AV372&gt;=判定条件!$C$9,"利用可",IF(AND(AE372="停止",M372="停止"),"両方停止","運転がそろわない")))</f>
        <v>利用可</v>
      </c>
      <c r="AX372" s="30" t="str">
        <f aca="false">IF(AND(AH372="利用可",AK372="利用可",AN372="利用可"),"利用可","不可")</f>
        <v>不可</v>
      </c>
      <c r="AY372" s="30" t="str">
        <f aca="false">IF(AND(AQ372="利用可",AT372="利用可",AW372="利用可"),"利用可","不可")</f>
        <v>利用可</v>
      </c>
    </row>
    <row r="373" customFormat="false" ht="15" hidden="false" customHeight="false" outlineLevel="0" collapsed="false">
      <c r="A373" s="29" t="n">
        <v>46247</v>
      </c>
      <c r="B373" s="30" t="n">
        <v>10</v>
      </c>
      <c r="C373" s="31" t="s">
        <v>61</v>
      </c>
      <c r="D373" s="31" t="s">
        <v>59</v>
      </c>
      <c r="E373" s="30" t="n">
        <v>60</v>
      </c>
      <c r="F373" s="30" t="n">
        <v>60</v>
      </c>
      <c r="G373" s="30" t="str">
        <f aca="false">IF(E373&lt;判定条件!$C$6,"判定不能",IF(F373&gt;=判定条件!$C$7*E373,"運転",IF(F373&lt;=判定条件!$C$8*E373,"停止","断続")))</f>
        <v>運転</v>
      </c>
      <c r="H373" s="30" t="n">
        <v>60</v>
      </c>
      <c r="I373" s="30" t="n">
        <v>60</v>
      </c>
      <c r="J373" s="30" t="str">
        <f aca="false">IF(H373&lt;判定条件!$C$6,"判定不能",IF(I373&gt;=判定条件!$C$7*H373,"運転",IF(I373&lt;=判定条件!$C$8*H373,"停止","断続")))</f>
        <v>運転</v>
      </c>
      <c r="K373" s="30" t="n">
        <v>60</v>
      </c>
      <c r="L373" s="30" t="n">
        <v>60</v>
      </c>
      <c r="M373" s="30" t="str">
        <f aca="false">IF(K373&lt;判定条件!$C$6,"判定不能",IF(L373&gt;=判定条件!$C$7*K373,"運転",IF(L373&lt;=判定条件!$C$8*K373,"停止","断続")))</f>
        <v>運転</v>
      </c>
      <c r="N373" s="30" t="n">
        <v>60</v>
      </c>
      <c r="O373" s="30" t="n">
        <v>32</v>
      </c>
      <c r="P373" s="30" t="str">
        <f aca="false">IF(N373&lt;判定条件!$C$6,"判定不能",IF(O373&gt;=判定条件!$C$7*N373,"運転",IF(O373&lt;=判定条件!$C$8*N373,"停止","断続")))</f>
        <v>断続</v>
      </c>
      <c r="Q373" s="30" t="n">
        <v>60</v>
      </c>
      <c r="R373" s="30" t="n">
        <v>7</v>
      </c>
      <c r="S373" s="30" t="str">
        <f aca="false">IF(Q373&lt;判定条件!$C$6,"判定不能",IF(R373&gt;=判定条件!$C$7*Q373,"運転",IF(R373&lt;=判定条件!$C$8*Q373,"停止","断続")))</f>
        <v>停止</v>
      </c>
      <c r="T373" s="30" t="n">
        <v>60</v>
      </c>
      <c r="U373" s="30" t="n">
        <v>60</v>
      </c>
      <c r="V373" s="30" t="str">
        <f aca="false">IF(T373&lt;判定条件!$C$6,"判定不能",IF(U373&gt;=判定条件!$C$7*T373,"運転",IF(U373&lt;=判定条件!$C$8*T373,"停止","断続")))</f>
        <v>運転</v>
      </c>
      <c r="W373" s="30" t="n">
        <v>60</v>
      </c>
      <c r="X373" s="30" t="n">
        <v>60</v>
      </c>
      <c r="Y373" s="30" t="str">
        <f aca="false">IF(W373&lt;判定条件!$C$6,"判定不能",IF(X373&gt;=判定条件!$C$7*W373,"運転",IF(X373&lt;=判定条件!$C$8*W373,"停止","断続")))</f>
        <v>運転</v>
      </c>
      <c r="Z373" s="30" t="n">
        <v>60</v>
      </c>
      <c r="AA373" s="30" t="n">
        <v>60</v>
      </c>
      <c r="AB373" s="30" t="str">
        <f aca="false">IF(Z373&lt;判定条件!$C$6,"判定不能",IF(AA373&gt;=判定条件!$C$7*Z373,"運転",IF(AA373&lt;=判定条件!$C$8*Z373,"停止","断続")))</f>
        <v>運転</v>
      </c>
      <c r="AC373" s="30" t="n">
        <v>60</v>
      </c>
      <c r="AD373" s="30" t="n">
        <v>60</v>
      </c>
      <c r="AE373" s="30" t="str">
        <f aca="false">IF(AC373&lt;判定条件!$C$6,"判定不能",IF(AD373&gt;=判定条件!$C$7*AC373,"運転",IF(AD373&lt;=判定条件!$C$8*AC373,"停止","断続")))</f>
        <v>運転</v>
      </c>
      <c r="AF373" s="30" t="n">
        <v>60</v>
      </c>
      <c r="AG373" s="30" t="n">
        <v>32</v>
      </c>
      <c r="AH373" s="30" t="str">
        <f aca="false">IF(OR(P373="判定不能",G373="判定不能"),"判定不能",IF(AG373&gt;=判定条件!$C$9,"利用可",IF(AND(P373="停止",G373="停止"),"両方停止","運転がそろわない")))</f>
        <v>利用可</v>
      </c>
      <c r="AI373" s="30" t="n">
        <v>60</v>
      </c>
      <c r="AJ373" s="30" t="n">
        <v>7</v>
      </c>
      <c r="AK373" s="30" t="str">
        <f aca="false">IF(OR(S373="判定不能",J373="判定不能"),"判定不能",IF(AJ373&gt;=判定条件!$C$9,"利用可",IF(AND(S373="停止",J373="停止"),"両方停止","運転がそろわない")))</f>
        <v>運転がそろわない</v>
      </c>
      <c r="AL373" s="30" t="n">
        <v>60</v>
      </c>
      <c r="AM373" s="30" t="n">
        <v>60</v>
      </c>
      <c r="AN373" s="30" t="str">
        <f aca="false">IF(OR(V373="判定不能",M373="判定不能"),"判定不能",IF(AM373&gt;=判定条件!$C$9,"利用可",IF(AND(V373="停止",M373="停止"),"両方停止","運転がそろわない")))</f>
        <v>利用可</v>
      </c>
      <c r="AO373" s="30" t="n">
        <v>60</v>
      </c>
      <c r="AP373" s="30" t="n">
        <v>60</v>
      </c>
      <c r="AQ373" s="30" t="str">
        <f aca="false">IF(OR(Y373="判定不能",G373="判定不能"),"判定不能",IF(AP373&gt;=判定条件!$C$9,"利用可",IF(AND(Y373="停止",G373="停止"),"両方停止","運転がそろわない")))</f>
        <v>利用可</v>
      </c>
      <c r="AR373" s="30" t="n">
        <v>60</v>
      </c>
      <c r="AS373" s="30" t="n">
        <v>60</v>
      </c>
      <c r="AT373" s="30" t="str">
        <f aca="false">IF(OR(AB373="判定不能",J373="判定不能"),"判定不能",IF(AS373&gt;=判定条件!$C$9,"利用可",IF(AND(AB373="停止",J373="停止"),"両方停止","運転がそろわない")))</f>
        <v>利用可</v>
      </c>
      <c r="AU373" s="30" t="n">
        <v>60</v>
      </c>
      <c r="AV373" s="30" t="n">
        <v>60</v>
      </c>
      <c r="AW373" s="30" t="str">
        <f aca="false">IF(OR(AE373="判定不能",M373="判定不能"),"判定不能",IF(AV373&gt;=判定条件!$C$9,"利用可",IF(AND(AE373="停止",M373="停止"),"両方停止","運転がそろわない")))</f>
        <v>利用可</v>
      </c>
      <c r="AX373" s="30" t="str">
        <f aca="false">IF(AND(AH373="利用可",AK373="利用可",AN373="利用可"),"利用可","不可")</f>
        <v>不可</v>
      </c>
      <c r="AY373" s="30" t="str">
        <f aca="false">IF(AND(AQ373="利用可",AT373="利用可",AW373="利用可"),"利用可","不可")</f>
        <v>利用可</v>
      </c>
    </row>
    <row r="374" customFormat="false" ht="15" hidden="false" customHeight="false" outlineLevel="0" collapsed="false">
      <c r="A374" s="29" t="n">
        <v>46247</v>
      </c>
      <c r="B374" s="30" t="n">
        <v>11</v>
      </c>
      <c r="C374" s="31" t="s">
        <v>61</v>
      </c>
      <c r="D374" s="31" t="s">
        <v>59</v>
      </c>
      <c r="E374" s="30" t="n">
        <v>60</v>
      </c>
      <c r="F374" s="30" t="n">
        <v>60</v>
      </c>
      <c r="G374" s="30" t="str">
        <f aca="false">IF(E374&lt;判定条件!$C$6,"判定不能",IF(F374&gt;=判定条件!$C$7*E374,"運転",IF(F374&lt;=判定条件!$C$8*E374,"停止","断続")))</f>
        <v>運転</v>
      </c>
      <c r="H374" s="30" t="n">
        <v>60</v>
      </c>
      <c r="I374" s="30" t="n">
        <v>60</v>
      </c>
      <c r="J374" s="30" t="str">
        <f aca="false">IF(H374&lt;判定条件!$C$6,"判定不能",IF(I374&gt;=判定条件!$C$7*H374,"運転",IF(I374&lt;=判定条件!$C$8*H374,"停止","断続")))</f>
        <v>運転</v>
      </c>
      <c r="K374" s="30" t="n">
        <v>60</v>
      </c>
      <c r="L374" s="30" t="n">
        <v>60</v>
      </c>
      <c r="M374" s="30" t="str">
        <f aca="false">IF(K374&lt;判定条件!$C$6,"判定不能",IF(L374&gt;=判定条件!$C$7*K374,"運転",IF(L374&lt;=判定条件!$C$8*K374,"停止","断続")))</f>
        <v>運転</v>
      </c>
      <c r="N374" s="30" t="n">
        <v>60</v>
      </c>
      <c r="O374" s="30" t="n">
        <v>36</v>
      </c>
      <c r="P374" s="30" t="str">
        <f aca="false">IF(N374&lt;判定条件!$C$6,"判定不能",IF(O374&gt;=判定条件!$C$7*N374,"運転",IF(O374&lt;=判定条件!$C$8*N374,"停止","断続")))</f>
        <v>断続</v>
      </c>
      <c r="Q374" s="30" t="n">
        <v>60</v>
      </c>
      <c r="R374" s="30" t="n">
        <v>3</v>
      </c>
      <c r="S374" s="30" t="str">
        <f aca="false">IF(Q374&lt;判定条件!$C$6,"判定不能",IF(R374&gt;=判定条件!$C$7*Q374,"運転",IF(R374&lt;=判定条件!$C$8*Q374,"停止","断続")))</f>
        <v>停止</v>
      </c>
      <c r="T374" s="30" t="n">
        <v>60</v>
      </c>
      <c r="U374" s="30" t="n">
        <v>42</v>
      </c>
      <c r="V374" s="30" t="str">
        <f aca="false">IF(T374&lt;判定条件!$C$6,"判定不能",IF(U374&gt;=判定条件!$C$7*T374,"運転",IF(U374&lt;=判定条件!$C$8*T374,"停止","断続")))</f>
        <v>断続</v>
      </c>
      <c r="W374" s="30" t="n">
        <v>60</v>
      </c>
      <c r="X374" s="30" t="n">
        <v>60</v>
      </c>
      <c r="Y374" s="30" t="str">
        <f aca="false">IF(W374&lt;判定条件!$C$6,"判定不能",IF(X374&gt;=判定条件!$C$7*W374,"運転",IF(X374&lt;=判定条件!$C$8*W374,"停止","断続")))</f>
        <v>運転</v>
      </c>
      <c r="Z374" s="30" t="n">
        <v>60</v>
      </c>
      <c r="AA374" s="30" t="n">
        <v>60</v>
      </c>
      <c r="AB374" s="30" t="str">
        <f aca="false">IF(Z374&lt;判定条件!$C$6,"判定不能",IF(AA374&gt;=判定条件!$C$7*Z374,"運転",IF(AA374&lt;=判定条件!$C$8*Z374,"停止","断続")))</f>
        <v>運転</v>
      </c>
      <c r="AC374" s="30" t="n">
        <v>60</v>
      </c>
      <c r="AD374" s="30" t="n">
        <v>60</v>
      </c>
      <c r="AE374" s="30" t="str">
        <f aca="false">IF(AC374&lt;判定条件!$C$6,"判定不能",IF(AD374&gt;=判定条件!$C$7*AC374,"運転",IF(AD374&lt;=判定条件!$C$8*AC374,"停止","断続")))</f>
        <v>運転</v>
      </c>
      <c r="AF374" s="30" t="n">
        <v>60</v>
      </c>
      <c r="AG374" s="30" t="n">
        <v>36</v>
      </c>
      <c r="AH374" s="30" t="str">
        <f aca="false">IF(OR(P374="判定不能",G374="判定不能"),"判定不能",IF(AG374&gt;=判定条件!$C$9,"利用可",IF(AND(P374="停止",G374="停止"),"両方停止","運転がそろわない")))</f>
        <v>利用可</v>
      </c>
      <c r="AI374" s="30" t="n">
        <v>60</v>
      </c>
      <c r="AJ374" s="30" t="n">
        <v>3</v>
      </c>
      <c r="AK374" s="30" t="str">
        <f aca="false">IF(OR(S374="判定不能",J374="判定不能"),"判定不能",IF(AJ374&gt;=判定条件!$C$9,"利用可",IF(AND(S374="停止",J374="停止"),"両方停止","運転がそろわない")))</f>
        <v>運転がそろわない</v>
      </c>
      <c r="AL374" s="30" t="n">
        <v>60</v>
      </c>
      <c r="AM374" s="30" t="n">
        <v>42</v>
      </c>
      <c r="AN374" s="30" t="str">
        <f aca="false">IF(OR(V374="判定不能",M374="判定不能"),"判定不能",IF(AM374&gt;=判定条件!$C$9,"利用可",IF(AND(V374="停止",M374="停止"),"両方停止","運転がそろわない")))</f>
        <v>利用可</v>
      </c>
      <c r="AO374" s="30" t="n">
        <v>60</v>
      </c>
      <c r="AP374" s="30" t="n">
        <v>60</v>
      </c>
      <c r="AQ374" s="30" t="str">
        <f aca="false">IF(OR(Y374="判定不能",G374="判定不能"),"判定不能",IF(AP374&gt;=判定条件!$C$9,"利用可",IF(AND(Y374="停止",G374="停止"),"両方停止","運転がそろわない")))</f>
        <v>利用可</v>
      </c>
      <c r="AR374" s="30" t="n">
        <v>60</v>
      </c>
      <c r="AS374" s="30" t="n">
        <v>60</v>
      </c>
      <c r="AT374" s="30" t="str">
        <f aca="false">IF(OR(AB374="判定不能",J374="判定不能"),"判定不能",IF(AS374&gt;=判定条件!$C$9,"利用可",IF(AND(AB374="停止",J374="停止"),"両方停止","運転がそろわない")))</f>
        <v>利用可</v>
      </c>
      <c r="AU374" s="30" t="n">
        <v>60</v>
      </c>
      <c r="AV374" s="30" t="n">
        <v>60</v>
      </c>
      <c r="AW374" s="30" t="str">
        <f aca="false">IF(OR(AE374="判定不能",M374="判定不能"),"判定不能",IF(AV374&gt;=判定条件!$C$9,"利用可",IF(AND(AE374="停止",M374="停止"),"両方停止","運転がそろわない")))</f>
        <v>利用可</v>
      </c>
      <c r="AX374" s="30" t="str">
        <f aca="false">IF(AND(AH374="利用可",AK374="利用可",AN374="利用可"),"利用可","不可")</f>
        <v>不可</v>
      </c>
      <c r="AY374" s="30" t="str">
        <f aca="false">IF(AND(AQ374="利用可",AT374="利用可",AW374="利用可"),"利用可","不可")</f>
        <v>利用可</v>
      </c>
    </row>
    <row r="375" customFormat="false" ht="15" hidden="false" customHeight="false" outlineLevel="0" collapsed="false">
      <c r="A375" s="29" t="n">
        <v>46247</v>
      </c>
      <c r="B375" s="30" t="n">
        <v>12</v>
      </c>
      <c r="C375" s="31" t="s">
        <v>61</v>
      </c>
      <c r="D375" s="31" t="s">
        <v>59</v>
      </c>
      <c r="E375" s="30" t="n">
        <v>60</v>
      </c>
      <c r="F375" s="30" t="n">
        <v>60</v>
      </c>
      <c r="G375" s="30" t="str">
        <f aca="false">IF(E375&lt;判定条件!$C$6,"判定不能",IF(F375&gt;=判定条件!$C$7*E375,"運転",IF(F375&lt;=判定条件!$C$8*E375,"停止","断続")))</f>
        <v>運転</v>
      </c>
      <c r="H375" s="30" t="n">
        <v>60</v>
      </c>
      <c r="I375" s="30" t="n">
        <v>60</v>
      </c>
      <c r="J375" s="30" t="str">
        <f aca="false">IF(H375&lt;判定条件!$C$6,"判定不能",IF(I375&gt;=判定条件!$C$7*H375,"運転",IF(I375&lt;=判定条件!$C$8*H375,"停止","断続")))</f>
        <v>運転</v>
      </c>
      <c r="K375" s="30" t="n">
        <v>60</v>
      </c>
      <c r="L375" s="30" t="n">
        <v>60</v>
      </c>
      <c r="M375" s="30" t="str">
        <f aca="false">IF(K375&lt;判定条件!$C$6,"判定不能",IF(L375&gt;=判定条件!$C$7*K375,"運転",IF(L375&lt;=判定条件!$C$8*K375,"停止","断続")))</f>
        <v>運転</v>
      </c>
      <c r="N375" s="30" t="n">
        <v>60</v>
      </c>
      <c r="O375" s="30" t="n">
        <v>60</v>
      </c>
      <c r="P375" s="30" t="str">
        <f aca="false">IF(N375&lt;判定条件!$C$6,"判定不能",IF(O375&gt;=判定条件!$C$7*N375,"運転",IF(O375&lt;=判定条件!$C$8*N375,"停止","断続")))</f>
        <v>運転</v>
      </c>
      <c r="Q375" s="30" t="n">
        <v>60</v>
      </c>
      <c r="R375" s="30" t="n">
        <v>21</v>
      </c>
      <c r="S375" s="30" t="str">
        <f aca="false">IF(Q375&lt;判定条件!$C$6,"判定不能",IF(R375&gt;=判定条件!$C$7*Q375,"運転",IF(R375&lt;=判定条件!$C$8*Q375,"停止","断続")))</f>
        <v>断続</v>
      </c>
      <c r="T375" s="30" t="n">
        <v>60</v>
      </c>
      <c r="U375" s="30" t="n">
        <v>60</v>
      </c>
      <c r="V375" s="30" t="str">
        <f aca="false">IF(T375&lt;判定条件!$C$6,"判定不能",IF(U375&gt;=判定条件!$C$7*T375,"運転",IF(U375&lt;=判定条件!$C$8*T375,"停止","断続")))</f>
        <v>運転</v>
      </c>
      <c r="W375" s="30" t="n">
        <v>60</v>
      </c>
      <c r="X375" s="30" t="n">
        <v>54</v>
      </c>
      <c r="Y375" s="30" t="str">
        <f aca="false">IF(W375&lt;判定条件!$C$6,"判定不能",IF(X375&gt;=判定条件!$C$7*W375,"運転",IF(X375&lt;=判定条件!$C$8*W375,"停止","断続")))</f>
        <v>運転</v>
      </c>
      <c r="Z375" s="30" t="n">
        <v>60</v>
      </c>
      <c r="AA375" s="30" t="n">
        <v>60</v>
      </c>
      <c r="AB375" s="30" t="str">
        <f aca="false">IF(Z375&lt;判定条件!$C$6,"判定不能",IF(AA375&gt;=判定条件!$C$7*Z375,"運転",IF(AA375&lt;=判定条件!$C$8*Z375,"停止","断続")))</f>
        <v>運転</v>
      </c>
      <c r="AC375" s="30" t="n">
        <v>60</v>
      </c>
      <c r="AD375" s="30" t="n">
        <v>60</v>
      </c>
      <c r="AE375" s="30" t="str">
        <f aca="false">IF(AC375&lt;判定条件!$C$6,"判定不能",IF(AD375&gt;=判定条件!$C$7*AC375,"運転",IF(AD375&lt;=判定条件!$C$8*AC375,"停止","断続")))</f>
        <v>運転</v>
      </c>
      <c r="AF375" s="30" t="n">
        <v>60</v>
      </c>
      <c r="AG375" s="30" t="n">
        <v>60</v>
      </c>
      <c r="AH375" s="30" t="str">
        <f aca="false">IF(OR(P375="判定不能",G375="判定不能"),"判定不能",IF(AG375&gt;=判定条件!$C$9,"利用可",IF(AND(P375="停止",G375="停止"),"両方停止","運転がそろわない")))</f>
        <v>利用可</v>
      </c>
      <c r="AI375" s="30" t="n">
        <v>60</v>
      </c>
      <c r="AJ375" s="30" t="n">
        <v>21</v>
      </c>
      <c r="AK375" s="30" t="str">
        <f aca="false">IF(OR(S375="判定不能",J375="判定不能"),"判定不能",IF(AJ375&gt;=判定条件!$C$9,"利用可",IF(AND(S375="停止",J375="停止"),"両方停止","運転がそろわない")))</f>
        <v>運転がそろわない</v>
      </c>
      <c r="AL375" s="30" t="n">
        <v>60</v>
      </c>
      <c r="AM375" s="30" t="n">
        <v>60</v>
      </c>
      <c r="AN375" s="30" t="str">
        <f aca="false">IF(OR(V375="判定不能",M375="判定不能"),"判定不能",IF(AM375&gt;=判定条件!$C$9,"利用可",IF(AND(V375="停止",M375="停止"),"両方停止","運転がそろわない")))</f>
        <v>利用可</v>
      </c>
      <c r="AO375" s="30" t="n">
        <v>60</v>
      </c>
      <c r="AP375" s="30" t="n">
        <v>54</v>
      </c>
      <c r="AQ375" s="30" t="str">
        <f aca="false">IF(OR(Y375="判定不能",G375="判定不能"),"判定不能",IF(AP375&gt;=判定条件!$C$9,"利用可",IF(AND(Y375="停止",G375="停止"),"両方停止","運転がそろわない")))</f>
        <v>利用可</v>
      </c>
      <c r="AR375" s="30" t="n">
        <v>60</v>
      </c>
      <c r="AS375" s="30" t="n">
        <v>60</v>
      </c>
      <c r="AT375" s="30" t="str">
        <f aca="false">IF(OR(AB375="判定不能",J375="判定不能"),"判定不能",IF(AS375&gt;=判定条件!$C$9,"利用可",IF(AND(AB375="停止",J375="停止"),"両方停止","運転がそろわない")))</f>
        <v>利用可</v>
      </c>
      <c r="AU375" s="30" t="n">
        <v>60</v>
      </c>
      <c r="AV375" s="30" t="n">
        <v>60</v>
      </c>
      <c r="AW375" s="30" t="str">
        <f aca="false">IF(OR(AE375="判定不能",M375="判定不能"),"判定不能",IF(AV375&gt;=判定条件!$C$9,"利用可",IF(AND(AE375="停止",M375="停止"),"両方停止","運転がそろわない")))</f>
        <v>利用可</v>
      </c>
      <c r="AX375" s="30" t="str">
        <f aca="false">IF(AND(AH375="利用可",AK375="利用可",AN375="利用可"),"利用可","不可")</f>
        <v>不可</v>
      </c>
      <c r="AY375" s="30" t="str">
        <f aca="false">IF(AND(AQ375="利用可",AT375="利用可",AW375="利用可"),"利用可","不可")</f>
        <v>利用可</v>
      </c>
    </row>
    <row r="376" customFormat="false" ht="15" hidden="false" customHeight="false" outlineLevel="0" collapsed="false">
      <c r="A376" s="29" t="n">
        <v>46247</v>
      </c>
      <c r="B376" s="30" t="n">
        <v>13</v>
      </c>
      <c r="C376" s="31" t="s">
        <v>61</v>
      </c>
      <c r="D376" s="31" t="s">
        <v>59</v>
      </c>
      <c r="E376" s="30" t="n">
        <v>60</v>
      </c>
      <c r="F376" s="30" t="n">
        <v>60</v>
      </c>
      <c r="G376" s="30" t="str">
        <f aca="false">IF(E376&lt;判定条件!$C$6,"判定不能",IF(F376&gt;=判定条件!$C$7*E376,"運転",IF(F376&lt;=判定条件!$C$8*E376,"停止","断続")))</f>
        <v>運転</v>
      </c>
      <c r="H376" s="30" t="n">
        <v>60</v>
      </c>
      <c r="I376" s="30" t="n">
        <v>60</v>
      </c>
      <c r="J376" s="30" t="str">
        <f aca="false">IF(H376&lt;判定条件!$C$6,"判定不能",IF(I376&gt;=判定条件!$C$7*H376,"運転",IF(I376&lt;=判定条件!$C$8*H376,"停止","断続")))</f>
        <v>運転</v>
      </c>
      <c r="K376" s="30" t="n">
        <v>60</v>
      </c>
      <c r="L376" s="30" t="n">
        <v>60</v>
      </c>
      <c r="M376" s="30" t="str">
        <f aca="false">IF(K376&lt;判定条件!$C$6,"判定不能",IF(L376&gt;=判定条件!$C$7*K376,"運転",IF(L376&lt;=判定条件!$C$8*K376,"停止","断続")))</f>
        <v>運転</v>
      </c>
      <c r="N376" s="30" t="n">
        <v>60</v>
      </c>
      <c r="O376" s="30" t="n">
        <v>60</v>
      </c>
      <c r="P376" s="30" t="str">
        <f aca="false">IF(N376&lt;判定条件!$C$6,"判定不能",IF(O376&gt;=判定条件!$C$7*N376,"運転",IF(O376&lt;=判定条件!$C$8*N376,"停止","断続")))</f>
        <v>運転</v>
      </c>
      <c r="Q376" s="30" t="n">
        <v>60</v>
      </c>
      <c r="R376" s="30" t="n">
        <v>3</v>
      </c>
      <c r="S376" s="30" t="str">
        <f aca="false">IF(Q376&lt;判定条件!$C$6,"判定不能",IF(R376&gt;=判定条件!$C$7*Q376,"運転",IF(R376&lt;=判定条件!$C$8*Q376,"停止","断続")))</f>
        <v>停止</v>
      </c>
      <c r="T376" s="30" t="n">
        <v>60</v>
      </c>
      <c r="U376" s="30" t="n">
        <v>60</v>
      </c>
      <c r="V376" s="30" t="str">
        <f aca="false">IF(T376&lt;判定条件!$C$6,"判定不能",IF(U376&gt;=判定条件!$C$7*T376,"運転",IF(U376&lt;=判定条件!$C$8*T376,"停止","断続")))</f>
        <v>運転</v>
      </c>
      <c r="W376" s="30" t="n">
        <v>60</v>
      </c>
      <c r="X376" s="30" t="n">
        <v>37</v>
      </c>
      <c r="Y376" s="30" t="str">
        <f aca="false">IF(W376&lt;判定条件!$C$6,"判定不能",IF(X376&gt;=判定条件!$C$7*W376,"運転",IF(X376&lt;=判定条件!$C$8*W376,"停止","断続")))</f>
        <v>断続</v>
      </c>
      <c r="Z376" s="30" t="n">
        <v>60</v>
      </c>
      <c r="AA376" s="30" t="n">
        <v>60</v>
      </c>
      <c r="AB376" s="30" t="str">
        <f aca="false">IF(Z376&lt;判定条件!$C$6,"判定不能",IF(AA376&gt;=判定条件!$C$7*Z376,"運転",IF(AA376&lt;=判定条件!$C$8*Z376,"停止","断続")))</f>
        <v>運転</v>
      </c>
      <c r="AC376" s="30" t="n">
        <v>60</v>
      </c>
      <c r="AD376" s="30" t="n">
        <v>60</v>
      </c>
      <c r="AE376" s="30" t="str">
        <f aca="false">IF(AC376&lt;判定条件!$C$6,"判定不能",IF(AD376&gt;=判定条件!$C$7*AC376,"運転",IF(AD376&lt;=判定条件!$C$8*AC376,"停止","断続")))</f>
        <v>運転</v>
      </c>
      <c r="AF376" s="30" t="n">
        <v>60</v>
      </c>
      <c r="AG376" s="30" t="n">
        <v>60</v>
      </c>
      <c r="AH376" s="30" t="str">
        <f aca="false">IF(OR(P376="判定不能",G376="判定不能"),"判定不能",IF(AG376&gt;=判定条件!$C$9,"利用可",IF(AND(P376="停止",G376="停止"),"両方停止","運転がそろわない")))</f>
        <v>利用可</v>
      </c>
      <c r="AI376" s="30" t="n">
        <v>60</v>
      </c>
      <c r="AJ376" s="30" t="n">
        <v>3</v>
      </c>
      <c r="AK376" s="30" t="str">
        <f aca="false">IF(OR(S376="判定不能",J376="判定不能"),"判定不能",IF(AJ376&gt;=判定条件!$C$9,"利用可",IF(AND(S376="停止",J376="停止"),"両方停止","運転がそろわない")))</f>
        <v>運転がそろわない</v>
      </c>
      <c r="AL376" s="30" t="n">
        <v>60</v>
      </c>
      <c r="AM376" s="30" t="n">
        <v>60</v>
      </c>
      <c r="AN376" s="30" t="str">
        <f aca="false">IF(OR(V376="判定不能",M376="判定不能"),"判定不能",IF(AM376&gt;=判定条件!$C$9,"利用可",IF(AND(V376="停止",M376="停止"),"両方停止","運転がそろわない")))</f>
        <v>利用可</v>
      </c>
      <c r="AO376" s="30" t="n">
        <v>60</v>
      </c>
      <c r="AP376" s="30" t="n">
        <v>37</v>
      </c>
      <c r="AQ376" s="30" t="str">
        <f aca="false">IF(OR(Y376="判定不能",G376="判定不能"),"判定不能",IF(AP376&gt;=判定条件!$C$9,"利用可",IF(AND(Y376="停止",G376="停止"),"両方停止","運転がそろわない")))</f>
        <v>利用可</v>
      </c>
      <c r="AR376" s="30" t="n">
        <v>60</v>
      </c>
      <c r="AS376" s="30" t="n">
        <v>60</v>
      </c>
      <c r="AT376" s="30" t="str">
        <f aca="false">IF(OR(AB376="判定不能",J376="判定不能"),"判定不能",IF(AS376&gt;=判定条件!$C$9,"利用可",IF(AND(AB376="停止",J376="停止"),"両方停止","運転がそろわない")))</f>
        <v>利用可</v>
      </c>
      <c r="AU376" s="30" t="n">
        <v>60</v>
      </c>
      <c r="AV376" s="30" t="n">
        <v>60</v>
      </c>
      <c r="AW376" s="30" t="str">
        <f aca="false">IF(OR(AE376="判定不能",M376="判定不能"),"判定不能",IF(AV376&gt;=判定条件!$C$9,"利用可",IF(AND(AE376="停止",M376="停止"),"両方停止","運転がそろわない")))</f>
        <v>利用可</v>
      </c>
      <c r="AX376" s="30" t="str">
        <f aca="false">IF(AND(AH376="利用可",AK376="利用可",AN376="利用可"),"利用可","不可")</f>
        <v>不可</v>
      </c>
      <c r="AY376" s="30" t="str">
        <f aca="false">IF(AND(AQ376="利用可",AT376="利用可",AW376="利用可"),"利用可","不可")</f>
        <v>利用可</v>
      </c>
    </row>
    <row r="377" customFormat="false" ht="15" hidden="false" customHeight="false" outlineLevel="0" collapsed="false">
      <c r="A377" s="29" t="n">
        <v>46247</v>
      </c>
      <c r="B377" s="30" t="n">
        <v>14</v>
      </c>
      <c r="C377" s="31" t="s">
        <v>61</v>
      </c>
      <c r="D377" s="31" t="s">
        <v>59</v>
      </c>
      <c r="E377" s="30" t="n">
        <v>60</v>
      </c>
      <c r="F377" s="30" t="n">
        <v>60</v>
      </c>
      <c r="G377" s="30" t="str">
        <f aca="false">IF(E377&lt;判定条件!$C$6,"判定不能",IF(F377&gt;=判定条件!$C$7*E377,"運転",IF(F377&lt;=判定条件!$C$8*E377,"停止","断続")))</f>
        <v>運転</v>
      </c>
      <c r="H377" s="30" t="n">
        <v>60</v>
      </c>
      <c r="I377" s="30" t="n">
        <v>60</v>
      </c>
      <c r="J377" s="30" t="str">
        <f aca="false">IF(H377&lt;判定条件!$C$6,"判定不能",IF(I377&gt;=判定条件!$C$7*H377,"運転",IF(I377&lt;=判定条件!$C$8*H377,"停止","断続")))</f>
        <v>運転</v>
      </c>
      <c r="K377" s="30" t="n">
        <v>60</v>
      </c>
      <c r="L377" s="30" t="n">
        <v>60</v>
      </c>
      <c r="M377" s="30" t="str">
        <f aca="false">IF(K377&lt;判定条件!$C$6,"判定不能",IF(L377&gt;=判定条件!$C$7*K377,"運転",IF(L377&lt;=判定条件!$C$8*K377,"停止","断続")))</f>
        <v>運転</v>
      </c>
      <c r="N377" s="30" t="n">
        <v>60</v>
      </c>
      <c r="O377" s="30" t="n">
        <v>48</v>
      </c>
      <c r="P377" s="30" t="str">
        <f aca="false">IF(N377&lt;判定条件!$C$6,"判定不能",IF(O377&gt;=判定条件!$C$7*N377,"運転",IF(O377&lt;=判定条件!$C$8*N377,"停止","断続")))</f>
        <v>運転</v>
      </c>
      <c r="Q377" s="30" t="n">
        <v>60</v>
      </c>
      <c r="R377" s="30" t="n">
        <v>0</v>
      </c>
      <c r="S377" s="30" t="str">
        <f aca="false">IF(Q377&lt;判定条件!$C$6,"判定不能",IF(R377&gt;=判定条件!$C$7*Q377,"運転",IF(R377&lt;=判定条件!$C$8*Q377,"停止","断続")))</f>
        <v>停止</v>
      </c>
      <c r="T377" s="30" t="n">
        <v>60</v>
      </c>
      <c r="U377" s="30" t="n">
        <v>50</v>
      </c>
      <c r="V377" s="30" t="str">
        <f aca="false">IF(T377&lt;判定条件!$C$6,"判定不能",IF(U377&gt;=判定条件!$C$7*T377,"運転",IF(U377&lt;=判定条件!$C$8*T377,"停止","断続")))</f>
        <v>運転</v>
      </c>
      <c r="W377" s="30" t="n">
        <v>60</v>
      </c>
      <c r="X377" s="30" t="n">
        <v>37</v>
      </c>
      <c r="Y377" s="30" t="str">
        <f aca="false">IF(W377&lt;判定条件!$C$6,"判定不能",IF(X377&gt;=判定条件!$C$7*W377,"運転",IF(X377&lt;=判定条件!$C$8*W377,"停止","断続")))</f>
        <v>断続</v>
      </c>
      <c r="Z377" s="30" t="n">
        <v>60</v>
      </c>
      <c r="AA377" s="30" t="n">
        <v>42</v>
      </c>
      <c r="AB377" s="30" t="str">
        <f aca="false">IF(Z377&lt;判定条件!$C$6,"判定不能",IF(AA377&gt;=判定条件!$C$7*Z377,"運転",IF(AA377&lt;=判定条件!$C$8*Z377,"停止","断続")))</f>
        <v>断続</v>
      </c>
      <c r="AC377" s="30" t="n">
        <v>60</v>
      </c>
      <c r="AD377" s="30" t="n">
        <v>45</v>
      </c>
      <c r="AE377" s="30" t="str">
        <f aca="false">IF(AC377&lt;判定条件!$C$6,"判定不能",IF(AD377&gt;=判定条件!$C$7*AC377,"運転",IF(AD377&lt;=判定条件!$C$8*AC377,"停止","断続")))</f>
        <v>断続</v>
      </c>
      <c r="AF377" s="30" t="n">
        <v>60</v>
      </c>
      <c r="AG377" s="30" t="n">
        <v>48</v>
      </c>
      <c r="AH377" s="30" t="str">
        <f aca="false">IF(OR(P377="判定不能",G377="判定不能"),"判定不能",IF(AG377&gt;=判定条件!$C$9,"利用可",IF(AND(P377="停止",G377="停止"),"両方停止","運転がそろわない")))</f>
        <v>利用可</v>
      </c>
      <c r="AI377" s="30" t="n">
        <v>60</v>
      </c>
      <c r="AJ377" s="30" t="n">
        <v>0</v>
      </c>
      <c r="AK377" s="30" t="str">
        <f aca="false">IF(OR(S377="判定不能",J377="判定不能"),"判定不能",IF(AJ377&gt;=判定条件!$C$9,"利用可",IF(AND(S377="停止",J377="停止"),"両方停止","運転がそろわない")))</f>
        <v>運転がそろわない</v>
      </c>
      <c r="AL377" s="30" t="n">
        <v>60</v>
      </c>
      <c r="AM377" s="30" t="n">
        <v>50</v>
      </c>
      <c r="AN377" s="30" t="str">
        <f aca="false">IF(OR(V377="判定不能",M377="判定不能"),"判定不能",IF(AM377&gt;=判定条件!$C$9,"利用可",IF(AND(V377="停止",M377="停止"),"両方停止","運転がそろわない")))</f>
        <v>利用可</v>
      </c>
      <c r="AO377" s="30" t="n">
        <v>60</v>
      </c>
      <c r="AP377" s="30" t="n">
        <v>37</v>
      </c>
      <c r="AQ377" s="30" t="str">
        <f aca="false">IF(OR(Y377="判定不能",G377="判定不能"),"判定不能",IF(AP377&gt;=判定条件!$C$9,"利用可",IF(AND(Y377="停止",G377="停止"),"両方停止","運転がそろわない")))</f>
        <v>利用可</v>
      </c>
      <c r="AR377" s="30" t="n">
        <v>60</v>
      </c>
      <c r="AS377" s="30" t="n">
        <v>42</v>
      </c>
      <c r="AT377" s="30" t="str">
        <f aca="false">IF(OR(AB377="判定不能",J377="判定不能"),"判定不能",IF(AS377&gt;=判定条件!$C$9,"利用可",IF(AND(AB377="停止",J377="停止"),"両方停止","運転がそろわない")))</f>
        <v>利用可</v>
      </c>
      <c r="AU377" s="30" t="n">
        <v>60</v>
      </c>
      <c r="AV377" s="30" t="n">
        <v>45</v>
      </c>
      <c r="AW377" s="30" t="str">
        <f aca="false">IF(OR(AE377="判定不能",M377="判定不能"),"判定不能",IF(AV377&gt;=判定条件!$C$9,"利用可",IF(AND(AE377="停止",M377="停止"),"両方停止","運転がそろわない")))</f>
        <v>利用可</v>
      </c>
      <c r="AX377" s="30" t="str">
        <f aca="false">IF(AND(AH377="利用可",AK377="利用可",AN377="利用可"),"利用可","不可")</f>
        <v>不可</v>
      </c>
      <c r="AY377" s="30" t="str">
        <f aca="false">IF(AND(AQ377="利用可",AT377="利用可",AW377="利用可"),"利用可","不可")</f>
        <v>利用可</v>
      </c>
    </row>
    <row r="378" customFormat="false" ht="15" hidden="false" customHeight="false" outlineLevel="0" collapsed="false">
      <c r="A378" s="29" t="n">
        <v>46247</v>
      </c>
      <c r="B378" s="30" t="n">
        <v>15</v>
      </c>
      <c r="C378" s="31" t="s">
        <v>61</v>
      </c>
      <c r="D378" s="31" t="s">
        <v>59</v>
      </c>
      <c r="E378" s="30" t="n">
        <v>60</v>
      </c>
      <c r="F378" s="30" t="n">
        <v>60</v>
      </c>
      <c r="G378" s="30" t="str">
        <f aca="false">IF(E378&lt;判定条件!$C$6,"判定不能",IF(F378&gt;=判定条件!$C$7*E378,"運転",IF(F378&lt;=判定条件!$C$8*E378,"停止","断続")))</f>
        <v>運転</v>
      </c>
      <c r="H378" s="30" t="n">
        <v>60</v>
      </c>
      <c r="I378" s="30" t="n">
        <v>53</v>
      </c>
      <c r="J378" s="30" t="str">
        <f aca="false">IF(H378&lt;判定条件!$C$6,"判定不能",IF(I378&gt;=判定条件!$C$7*H378,"運転",IF(I378&lt;=判定条件!$C$8*H378,"停止","断続")))</f>
        <v>運転</v>
      </c>
      <c r="K378" s="30" t="n">
        <v>60</v>
      </c>
      <c r="L378" s="30" t="n">
        <v>60</v>
      </c>
      <c r="M378" s="30" t="str">
        <f aca="false">IF(K378&lt;判定条件!$C$6,"判定不能",IF(L378&gt;=判定条件!$C$7*K378,"運転",IF(L378&lt;=判定条件!$C$8*K378,"停止","断続")))</f>
        <v>運転</v>
      </c>
      <c r="N378" s="30" t="n">
        <v>60</v>
      </c>
      <c r="O378" s="30" t="n">
        <v>18</v>
      </c>
      <c r="P378" s="30" t="str">
        <f aca="false">IF(N378&lt;判定条件!$C$6,"判定不能",IF(O378&gt;=判定条件!$C$7*N378,"運転",IF(O378&lt;=判定条件!$C$8*N378,"停止","断続")))</f>
        <v>断続</v>
      </c>
      <c r="Q378" s="30" t="n">
        <v>60</v>
      </c>
      <c r="R378" s="30" t="n">
        <v>0</v>
      </c>
      <c r="S378" s="30" t="str">
        <f aca="false">IF(Q378&lt;判定条件!$C$6,"判定不能",IF(R378&gt;=判定条件!$C$7*Q378,"運転",IF(R378&lt;=判定条件!$C$8*Q378,"停止","断続")))</f>
        <v>停止</v>
      </c>
      <c r="T378" s="30" t="n">
        <v>60</v>
      </c>
      <c r="U378" s="30" t="n">
        <v>60</v>
      </c>
      <c r="V378" s="30" t="str">
        <f aca="false">IF(T378&lt;判定条件!$C$6,"判定不能",IF(U378&gt;=判定条件!$C$7*T378,"運転",IF(U378&lt;=判定条件!$C$8*T378,"停止","断続")))</f>
        <v>運転</v>
      </c>
      <c r="W378" s="30" t="n">
        <v>60</v>
      </c>
      <c r="X378" s="30" t="n">
        <v>45</v>
      </c>
      <c r="Y378" s="30" t="str">
        <f aca="false">IF(W378&lt;判定条件!$C$6,"判定不能",IF(X378&gt;=判定条件!$C$7*W378,"運転",IF(X378&lt;=判定条件!$C$8*W378,"停止","断続")))</f>
        <v>断続</v>
      </c>
      <c r="Z378" s="30" t="n">
        <v>60</v>
      </c>
      <c r="AA378" s="30" t="n">
        <v>56</v>
      </c>
      <c r="AB378" s="30" t="str">
        <f aca="false">IF(Z378&lt;判定条件!$C$6,"判定不能",IF(AA378&gt;=判定条件!$C$7*Z378,"運転",IF(AA378&lt;=判定条件!$C$8*Z378,"停止","断続")))</f>
        <v>運転</v>
      </c>
      <c r="AC378" s="30" t="n">
        <v>60</v>
      </c>
      <c r="AD378" s="30" t="n">
        <v>59</v>
      </c>
      <c r="AE378" s="30" t="str">
        <f aca="false">IF(AC378&lt;判定条件!$C$6,"判定不能",IF(AD378&gt;=判定条件!$C$7*AC378,"運転",IF(AD378&lt;=判定条件!$C$8*AC378,"停止","断続")))</f>
        <v>運転</v>
      </c>
      <c r="AF378" s="30" t="n">
        <v>60</v>
      </c>
      <c r="AG378" s="30" t="n">
        <v>18</v>
      </c>
      <c r="AH378" s="30" t="str">
        <f aca="false">IF(OR(P378="判定不能",G378="判定不能"),"判定不能",IF(AG378&gt;=判定条件!$C$9,"利用可",IF(AND(P378="停止",G378="停止"),"両方停止","運転がそろわない")))</f>
        <v>運転がそろわない</v>
      </c>
      <c r="AI378" s="30" t="n">
        <v>60</v>
      </c>
      <c r="AJ378" s="30" t="n">
        <v>0</v>
      </c>
      <c r="AK378" s="30" t="str">
        <f aca="false">IF(OR(S378="判定不能",J378="判定不能"),"判定不能",IF(AJ378&gt;=判定条件!$C$9,"利用可",IF(AND(S378="停止",J378="停止"),"両方停止","運転がそろわない")))</f>
        <v>運転がそろわない</v>
      </c>
      <c r="AL378" s="30" t="n">
        <v>60</v>
      </c>
      <c r="AM378" s="30" t="n">
        <v>60</v>
      </c>
      <c r="AN378" s="30" t="str">
        <f aca="false">IF(OR(V378="判定不能",M378="判定不能"),"判定不能",IF(AM378&gt;=判定条件!$C$9,"利用可",IF(AND(V378="停止",M378="停止"),"両方停止","運転がそろわない")))</f>
        <v>利用可</v>
      </c>
      <c r="AO378" s="30" t="n">
        <v>60</v>
      </c>
      <c r="AP378" s="30" t="n">
        <v>45</v>
      </c>
      <c r="AQ378" s="30" t="str">
        <f aca="false">IF(OR(Y378="判定不能",G378="判定不能"),"判定不能",IF(AP378&gt;=判定条件!$C$9,"利用可",IF(AND(Y378="停止",G378="停止"),"両方停止","運転がそろわない")))</f>
        <v>利用可</v>
      </c>
      <c r="AR378" s="30" t="n">
        <v>60</v>
      </c>
      <c r="AS378" s="30" t="n">
        <v>49</v>
      </c>
      <c r="AT378" s="30" t="str">
        <f aca="false">IF(OR(AB378="判定不能",J378="判定不能"),"判定不能",IF(AS378&gt;=判定条件!$C$9,"利用可",IF(AND(AB378="停止",J378="停止"),"両方停止","運転がそろわない")))</f>
        <v>利用可</v>
      </c>
      <c r="AU378" s="30" t="n">
        <v>60</v>
      </c>
      <c r="AV378" s="30" t="n">
        <v>59</v>
      </c>
      <c r="AW378" s="30" t="str">
        <f aca="false">IF(OR(AE378="判定不能",M378="判定不能"),"判定不能",IF(AV378&gt;=判定条件!$C$9,"利用可",IF(AND(AE378="停止",M378="停止"),"両方停止","運転がそろわない")))</f>
        <v>利用可</v>
      </c>
      <c r="AX378" s="30" t="str">
        <f aca="false">IF(AND(AH378="利用可",AK378="利用可",AN378="利用可"),"利用可","不可")</f>
        <v>不可</v>
      </c>
      <c r="AY378" s="30" t="str">
        <f aca="false">IF(AND(AQ378="利用可",AT378="利用可",AW378="利用可"),"利用可","不可")</f>
        <v>利用可</v>
      </c>
    </row>
    <row r="379" customFormat="false" ht="15" hidden="false" customHeight="false" outlineLevel="0" collapsed="false">
      <c r="A379" s="29" t="n">
        <v>46247</v>
      </c>
      <c r="B379" s="30" t="n">
        <v>16</v>
      </c>
      <c r="C379" s="31" t="s">
        <v>61</v>
      </c>
      <c r="D379" s="31" t="s">
        <v>59</v>
      </c>
      <c r="E379" s="30" t="n">
        <v>60</v>
      </c>
      <c r="F379" s="30" t="n">
        <v>60</v>
      </c>
      <c r="G379" s="30" t="str">
        <f aca="false">IF(E379&lt;判定条件!$C$6,"判定不能",IF(F379&gt;=判定条件!$C$7*E379,"運転",IF(F379&lt;=判定条件!$C$8*E379,"停止","断続")))</f>
        <v>運転</v>
      </c>
      <c r="H379" s="30" t="n">
        <v>60</v>
      </c>
      <c r="I379" s="30" t="n">
        <v>60</v>
      </c>
      <c r="J379" s="30" t="str">
        <f aca="false">IF(H379&lt;判定条件!$C$6,"判定不能",IF(I379&gt;=判定条件!$C$7*H379,"運転",IF(I379&lt;=判定条件!$C$8*H379,"停止","断続")))</f>
        <v>運転</v>
      </c>
      <c r="K379" s="30" t="n">
        <v>60</v>
      </c>
      <c r="L379" s="30" t="n">
        <v>60</v>
      </c>
      <c r="M379" s="30" t="str">
        <f aca="false">IF(K379&lt;判定条件!$C$6,"判定不能",IF(L379&gt;=判定条件!$C$7*K379,"運転",IF(L379&lt;=判定条件!$C$8*K379,"停止","断続")))</f>
        <v>運転</v>
      </c>
      <c r="N379" s="30" t="n">
        <v>60</v>
      </c>
      <c r="O379" s="30" t="n">
        <v>30</v>
      </c>
      <c r="P379" s="30" t="str">
        <f aca="false">IF(N379&lt;判定条件!$C$6,"判定不能",IF(O379&gt;=判定条件!$C$7*N379,"運転",IF(O379&lt;=判定条件!$C$8*N379,"停止","断続")))</f>
        <v>断続</v>
      </c>
      <c r="Q379" s="30" t="n">
        <v>60</v>
      </c>
      <c r="R379" s="30" t="n">
        <v>0</v>
      </c>
      <c r="S379" s="30" t="str">
        <f aca="false">IF(Q379&lt;判定条件!$C$6,"判定不能",IF(R379&gt;=判定条件!$C$7*Q379,"運転",IF(R379&lt;=判定条件!$C$8*Q379,"停止","断続")))</f>
        <v>停止</v>
      </c>
      <c r="T379" s="30" t="n">
        <v>60</v>
      </c>
      <c r="U379" s="30" t="n">
        <v>60</v>
      </c>
      <c r="V379" s="30" t="str">
        <f aca="false">IF(T379&lt;判定条件!$C$6,"判定不能",IF(U379&gt;=判定条件!$C$7*T379,"運転",IF(U379&lt;=判定条件!$C$8*T379,"停止","断続")))</f>
        <v>運転</v>
      </c>
      <c r="W379" s="30" t="n">
        <v>60</v>
      </c>
      <c r="X379" s="30" t="n">
        <v>35</v>
      </c>
      <c r="Y379" s="30" t="str">
        <f aca="false">IF(W379&lt;判定条件!$C$6,"判定不能",IF(X379&gt;=判定条件!$C$7*W379,"運転",IF(X379&lt;=判定条件!$C$8*W379,"停止","断続")))</f>
        <v>断続</v>
      </c>
      <c r="Z379" s="30" t="n">
        <v>60</v>
      </c>
      <c r="AA379" s="30" t="n">
        <v>17</v>
      </c>
      <c r="AB379" s="30" t="str">
        <f aca="false">IF(Z379&lt;判定条件!$C$6,"判定不能",IF(AA379&gt;=判定条件!$C$7*Z379,"運転",IF(AA379&lt;=判定条件!$C$8*Z379,"停止","断続")))</f>
        <v>断続</v>
      </c>
      <c r="AC379" s="30" t="n">
        <v>60</v>
      </c>
      <c r="AD379" s="30" t="n">
        <v>52</v>
      </c>
      <c r="AE379" s="30" t="str">
        <f aca="false">IF(AC379&lt;判定条件!$C$6,"判定不能",IF(AD379&gt;=判定条件!$C$7*AC379,"運転",IF(AD379&lt;=判定条件!$C$8*AC379,"停止","断続")))</f>
        <v>運転</v>
      </c>
      <c r="AF379" s="30" t="n">
        <v>60</v>
      </c>
      <c r="AG379" s="30" t="n">
        <v>30</v>
      </c>
      <c r="AH379" s="30" t="str">
        <f aca="false">IF(OR(P379="判定不能",G379="判定不能"),"判定不能",IF(AG379&gt;=判定条件!$C$9,"利用可",IF(AND(P379="停止",G379="停止"),"両方停止","運転がそろわない")))</f>
        <v>利用可</v>
      </c>
      <c r="AI379" s="30" t="n">
        <v>60</v>
      </c>
      <c r="AJ379" s="30" t="n">
        <v>0</v>
      </c>
      <c r="AK379" s="30" t="str">
        <f aca="false">IF(OR(S379="判定不能",J379="判定不能"),"判定不能",IF(AJ379&gt;=判定条件!$C$9,"利用可",IF(AND(S379="停止",J379="停止"),"両方停止","運転がそろわない")))</f>
        <v>運転がそろわない</v>
      </c>
      <c r="AL379" s="30" t="n">
        <v>60</v>
      </c>
      <c r="AM379" s="30" t="n">
        <v>60</v>
      </c>
      <c r="AN379" s="30" t="str">
        <f aca="false">IF(OR(V379="判定不能",M379="判定不能"),"判定不能",IF(AM379&gt;=判定条件!$C$9,"利用可",IF(AND(V379="停止",M379="停止"),"両方停止","運転がそろわない")))</f>
        <v>利用可</v>
      </c>
      <c r="AO379" s="30" t="n">
        <v>60</v>
      </c>
      <c r="AP379" s="30" t="n">
        <v>35</v>
      </c>
      <c r="AQ379" s="30" t="str">
        <f aca="false">IF(OR(Y379="判定不能",G379="判定不能"),"判定不能",IF(AP379&gt;=判定条件!$C$9,"利用可",IF(AND(Y379="停止",G379="停止"),"両方停止","運転がそろわない")))</f>
        <v>利用可</v>
      </c>
      <c r="AR379" s="30" t="n">
        <v>60</v>
      </c>
      <c r="AS379" s="30" t="n">
        <v>17</v>
      </c>
      <c r="AT379" s="30" t="str">
        <f aca="false">IF(OR(AB379="判定不能",J379="判定不能"),"判定不能",IF(AS379&gt;=判定条件!$C$9,"利用可",IF(AND(AB379="停止",J379="停止"),"両方停止","運転がそろわない")))</f>
        <v>運転がそろわない</v>
      </c>
      <c r="AU379" s="30" t="n">
        <v>60</v>
      </c>
      <c r="AV379" s="30" t="n">
        <v>52</v>
      </c>
      <c r="AW379" s="30" t="str">
        <f aca="false">IF(OR(AE379="判定不能",M379="判定不能"),"判定不能",IF(AV379&gt;=判定条件!$C$9,"利用可",IF(AND(AE379="停止",M379="停止"),"両方停止","運転がそろわない")))</f>
        <v>利用可</v>
      </c>
      <c r="AX379" s="30" t="str">
        <f aca="false">IF(AND(AH379="利用可",AK379="利用可",AN379="利用可"),"利用可","不可")</f>
        <v>不可</v>
      </c>
      <c r="AY379" s="30" t="str">
        <f aca="false">IF(AND(AQ379="利用可",AT379="利用可",AW379="利用可"),"利用可","不可")</f>
        <v>不可</v>
      </c>
    </row>
    <row r="380" customFormat="false" ht="15" hidden="false" customHeight="false" outlineLevel="0" collapsed="false">
      <c r="A380" s="29" t="n">
        <v>46247</v>
      </c>
      <c r="B380" s="30" t="n">
        <v>17</v>
      </c>
      <c r="C380" s="31" t="s">
        <v>61</v>
      </c>
      <c r="D380" s="31" t="s">
        <v>59</v>
      </c>
      <c r="E380" s="30" t="n">
        <v>60</v>
      </c>
      <c r="F380" s="30" t="n">
        <v>46</v>
      </c>
      <c r="G380" s="30" t="str">
        <f aca="false">IF(E380&lt;判定条件!$C$6,"判定不能",IF(F380&gt;=判定条件!$C$7*E380,"運転",IF(F380&lt;=判定条件!$C$8*E380,"停止","断続")))</f>
        <v>断続</v>
      </c>
      <c r="H380" s="30" t="n">
        <v>60</v>
      </c>
      <c r="I380" s="30" t="n">
        <v>60</v>
      </c>
      <c r="J380" s="30" t="str">
        <f aca="false">IF(H380&lt;判定条件!$C$6,"判定不能",IF(I380&gt;=判定条件!$C$7*H380,"運転",IF(I380&lt;=判定条件!$C$8*H380,"停止","断続")))</f>
        <v>運転</v>
      </c>
      <c r="K380" s="30" t="n">
        <v>60</v>
      </c>
      <c r="L380" s="30" t="n">
        <v>60</v>
      </c>
      <c r="M380" s="30" t="str">
        <f aca="false">IF(K380&lt;判定条件!$C$6,"判定不能",IF(L380&gt;=判定条件!$C$7*K380,"運転",IF(L380&lt;=判定条件!$C$8*K380,"停止","断続")))</f>
        <v>運転</v>
      </c>
      <c r="N380" s="30" t="n">
        <v>60</v>
      </c>
      <c r="O380" s="30" t="n">
        <v>26</v>
      </c>
      <c r="P380" s="30" t="str">
        <f aca="false">IF(N380&lt;判定条件!$C$6,"判定不能",IF(O380&gt;=判定条件!$C$7*N380,"運転",IF(O380&lt;=判定条件!$C$8*N380,"停止","断続")))</f>
        <v>断続</v>
      </c>
      <c r="Q380" s="30" t="n">
        <v>60</v>
      </c>
      <c r="R380" s="30" t="n">
        <v>0</v>
      </c>
      <c r="S380" s="30" t="str">
        <f aca="false">IF(Q380&lt;判定条件!$C$6,"判定不能",IF(R380&gt;=判定条件!$C$7*Q380,"運転",IF(R380&lt;=判定条件!$C$8*Q380,"停止","断続")))</f>
        <v>停止</v>
      </c>
      <c r="T380" s="30" t="n">
        <v>60</v>
      </c>
      <c r="U380" s="30" t="n">
        <v>54</v>
      </c>
      <c r="V380" s="30" t="str">
        <f aca="false">IF(T380&lt;判定条件!$C$6,"判定不能",IF(U380&gt;=判定条件!$C$7*T380,"運転",IF(U380&lt;=判定条件!$C$8*T380,"停止","断続")))</f>
        <v>運転</v>
      </c>
      <c r="W380" s="30" t="n">
        <v>60</v>
      </c>
      <c r="X380" s="30" t="n">
        <v>43</v>
      </c>
      <c r="Y380" s="30" t="str">
        <f aca="false">IF(W380&lt;判定条件!$C$6,"判定不能",IF(X380&gt;=判定条件!$C$7*W380,"運転",IF(X380&lt;=判定条件!$C$8*W380,"停止","断続")))</f>
        <v>断続</v>
      </c>
      <c r="Z380" s="30" t="n">
        <v>60</v>
      </c>
      <c r="AA380" s="30" t="n">
        <v>5</v>
      </c>
      <c r="AB380" s="30" t="str">
        <f aca="false">IF(Z380&lt;判定条件!$C$6,"判定不能",IF(AA380&gt;=判定条件!$C$7*Z380,"運転",IF(AA380&lt;=判定条件!$C$8*Z380,"停止","断続")))</f>
        <v>停止</v>
      </c>
      <c r="AC380" s="30" t="n">
        <v>60</v>
      </c>
      <c r="AD380" s="30" t="n">
        <v>60</v>
      </c>
      <c r="AE380" s="30" t="str">
        <f aca="false">IF(AC380&lt;判定条件!$C$6,"判定不能",IF(AD380&gt;=判定条件!$C$7*AC380,"運転",IF(AD380&lt;=判定条件!$C$8*AC380,"停止","断続")))</f>
        <v>運転</v>
      </c>
      <c r="AF380" s="30" t="n">
        <v>60</v>
      </c>
      <c r="AG380" s="30" t="n">
        <v>12</v>
      </c>
      <c r="AH380" s="30" t="str">
        <f aca="false">IF(OR(P380="判定不能",G380="判定不能"),"判定不能",IF(AG380&gt;=判定条件!$C$9,"利用可",IF(AND(P380="停止",G380="停止"),"両方停止","運転がそろわない")))</f>
        <v>運転がそろわない</v>
      </c>
      <c r="AI380" s="30" t="n">
        <v>60</v>
      </c>
      <c r="AJ380" s="30" t="n">
        <v>0</v>
      </c>
      <c r="AK380" s="30" t="str">
        <f aca="false">IF(OR(S380="判定不能",J380="判定不能"),"判定不能",IF(AJ380&gt;=判定条件!$C$9,"利用可",IF(AND(S380="停止",J380="停止"),"両方停止","運転がそろわない")))</f>
        <v>運転がそろわない</v>
      </c>
      <c r="AL380" s="30" t="n">
        <v>60</v>
      </c>
      <c r="AM380" s="30" t="n">
        <v>54</v>
      </c>
      <c r="AN380" s="30" t="str">
        <f aca="false">IF(OR(V380="判定不能",M380="判定不能"),"判定不能",IF(AM380&gt;=判定条件!$C$9,"利用可",IF(AND(V380="停止",M380="停止"),"両方停止","運転がそろわない")))</f>
        <v>利用可</v>
      </c>
      <c r="AO380" s="30" t="n">
        <v>60</v>
      </c>
      <c r="AP380" s="30" t="n">
        <v>29</v>
      </c>
      <c r="AQ380" s="30" t="str">
        <f aca="false">IF(OR(Y380="判定不能",G380="判定不能"),"判定不能",IF(AP380&gt;=判定条件!$C$9,"利用可",IF(AND(Y380="停止",G380="停止"),"両方停止","運転がそろわない")))</f>
        <v>運転がそろわない</v>
      </c>
      <c r="AR380" s="30" t="n">
        <v>60</v>
      </c>
      <c r="AS380" s="30" t="n">
        <v>5</v>
      </c>
      <c r="AT380" s="30" t="str">
        <f aca="false">IF(OR(AB380="判定不能",J380="判定不能"),"判定不能",IF(AS380&gt;=判定条件!$C$9,"利用可",IF(AND(AB380="停止",J380="停止"),"両方停止","運転がそろわない")))</f>
        <v>運転がそろわない</v>
      </c>
      <c r="AU380" s="30" t="n">
        <v>60</v>
      </c>
      <c r="AV380" s="30" t="n">
        <v>60</v>
      </c>
      <c r="AW380" s="30" t="str">
        <f aca="false">IF(OR(AE380="判定不能",M380="判定不能"),"判定不能",IF(AV380&gt;=判定条件!$C$9,"利用可",IF(AND(AE380="停止",M380="停止"),"両方停止","運転がそろわない")))</f>
        <v>利用可</v>
      </c>
      <c r="AX380" s="30" t="str">
        <f aca="false">IF(AND(AH380="利用可",AK380="利用可",AN380="利用可"),"利用可","不可")</f>
        <v>不可</v>
      </c>
      <c r="AY380" s="30" t="str">
        <f aca="false">IF(AND(AQ380="利用可",AT380="利用可",AW380="利用可"),"利用可","不可")</f>
        <v>不可</v>
      </c>
    </row>
    <row r="381" customFormat="false" ht="15" hidden="false" customHeight="false" outlineLevel="0" collapsed="false">
      <c r="A381" s="29" t="n">
        <v>46247</v>
      </c>
      <c r="B381" s="30" t="n">
        <v>18</v>
      </c>
      <c r="C381" s="31" t="s">
        <v>61</v>
      </c>
      <c r="D381" s="31" t="s">
        <v>59</v>
      </c>
      <c r="E381" s="30" t="n">
        <v>60</v>
      </c>
      <c r="F381" s="30" t="n">
        <v>60</v>
      </c>
      <c r="G381" s="30" t="str">
        <f aca="false">IF(E381&lt;判定条件!$C$6,"判定不能",IF(F381&gt;=判定条件!$C$7*E381,"運転",IF(F381&lt;=判定条件!$C$8*E381,"停止","断続")))</f>
        <v>運転</v>
      </c>
      <c r="H381" s="30" t="n">
        <v>60</v>
      </c>
      <c r="I381" s="30" t="n">
        <v>60</v>
      </c>
      <c r="J381" s="30" t="str">
        <f aca="false">IF(H381&lt;判定条件!$C$6,"判定不能",IF(I381&gt;=判定条件!$C$7*H381,"運転",IF(I381&lt;=判定条件!$C$8*H381,"停止","断続")))</f>
        <v>運転</v>
      </c>
      <c r="K381" s="30" t="n">
        <v>60</v>
      </c>
      <c r="L381" s="30" t="n">
        <v>60</v>
      </c>
      <c r="M381" s="30" t="str">
        <f aca="false">IF(K381&lt;判定条件!$C$6,"判定不能",IF(L381&gt;=判定条件!$C$7*K381,"運転",IF(L381&lt;=判定条件!$C$8*K381,"停止","断続")))</f>
        <v>運転</v>
      </c>
      <c r="N381" s="30" t="n">
        <v>60</v>
      </c>
      <c r="O381" s="30" t="n">
        <v>0</v>
      </c>
      <c r="P381" s="30" t="str">
        <f aca="false">IF(N381&lt;判定条件!$C$6,"判定不能",IF(O381&gt;=判定条件!$C$7*N381,"運転",IF(O381&lt;=判定条件!$C$8*N381,"停止","断続")))</f>
        <v>停止</v>
      </c>
      <c r="Q381" s="30" t="n">
        <v>60</v>
      </c>
      <c r="R381" s="30" t="n">
        <v>0</v>
      </c>
      <c r="S381" s="30" t="str">
        <f aca="false">IF(Q381&lt;判定条件!$C$6,"判定不能",IF(R381&gt;=判定条件!$C$7*Q381,"運転",IF(R381&lt;=判定条件!$C$8*Q381,"停止","断続")))</f>
        <v>停止</v>
      </c>
      <c r="T381" s="30" t="n">
        <v>60</v>
      </c>
      <c r="U381" s="30" t="n">
        <v>18</v>
      </c>
      <c r="V381" s="30" t="str">
        <f aca="false">IF(T381&lt;判定条件!$C$6,"判定不能",IF(U381&gt;=判定条件!$C$7*T381,"運転",IF(U381&lt;=判定条件!$C$8*T381,"停止","断続")))</f>
        <v>断続</v>
      </c>
      <c r="W381" s="30" t="n">
        <v>60</v>
      </c>
      <c r="X381" s="30" t="n">
        <v>35</v>
      </c>
      <c r="Y381" s="30" t="str">
        <f aca="false">IF(W381&lt;判定条件!$C$6,"判定不能",IF(X381&gt;=判定条件!$C$7*W381,"運転",IF(X381&lt;=判定条件!$C$8*W381,"停止","断続")))</f>
        <v>断続</v>
      </c>
      <c r="Z381" s="30" t="n">
        <v>60</v>
      </c>
      <c r="AA381" s="30" t="n">
        <v>0</v>
      </c>
      <c r="AB381" s="30" t="str">
        <f aca="false">IF(Z381&lt;判定条件!$C$6,"判定不能",IF(AA381&gt;=判定条件!$C$7*Z381,"運転",IF(AA381&lt;=判定条件!$C$8*Z381,"停止","断続")))</f>
        <v>停止</v>
      </c>
      <c r="AC381" s="30" t="n">
        <v>60</v>
      </c>
      <c r="AD381" s="30" t="n">
        <v>60</v>
      </c>
      <c r="AE381" s="30" t="str">
        <f aca="false">IF(AC381&lt;判定条件!$C$6,"判定不能",IF(AD381&gt;=判定条件!$C$7*AC381,"運転",IF(AD381&lt;=判定条件!$C$8*AC381,"停止","断続")))</f>
        <v>運転</v>
      </c>
      <c r="AF381" s="30" t="n">
        <v>60</v>
      </c>
      <c r="AG381" s="30" t="n">
        <v>0</v>
      </c>
      <c r="AH381" s="30" t="str">
        <f aca="false">IF(OR(P381="判定不能",G381="判定不能"),"判定不能",IF(AG381&gt;=判定条件!$C$9,"利用可",IF(AND(P381="停止",G381="停止"),"両方停止","運転がそろわない")))</f>
        <v>運転がそろわない</v>
      </c>
      <c r="AI381" s="30" t="n">
        <v>60</v>
      </c>
      <c r="AJ381" s="30" t="n">
        <v>0</v>
      </c>
      <c r="AK381" s="30" t="str">
        <f aca="false">IF(OR(S381="判定不能",J381="判定不能"),"判定不能",IF(AJ381&gt;=判定条件!$C$9,"利用可",IF(AND(S381="停止",J381="停止"),"両方停止","運転がそろわない")))</f>
        <v>運転がそろわない</v>
      </c>
      <c r="AL381" s="30" t="n">
        <v>60</v>
      </c>
      <c r="AM381" s="30" t="n">
        <v>18</v>
      </c>
      <c r="AN381" s="30" t="str">
        <f aca="false">IF(OR(V381="判定不能",M381="判定不能"),"判定不能",IF(AM381&gt;=判定条件!$C$9,"利用可",IF(AND(V381="停止",M381="停止"),"両方停止","運転がそろわない")))</f>
        <v>運転がそろわない</v>
      </c>
      <c r="AO381" s="30" t="n">
        <v>60</v>
      </c>
      <c r="AP381" s="30" t="n">
        <v>35</v>
      </c>
      <c r="AQ381" s="30" t="str">
        <f aca="false">IF(OR(Y381="判定不能",G381="判定不能"),"判定不能",IF(AP381&gt;=判定条件!$C$9,"利用可",IF(AND(Y381="停止",G381="停止"),"両方停止","運転がそろわない")))</f>
        <v>利用可</v>
      </c>
      <c r="AR381" s="30" t="n">
        <v>60</v>
      </c>
      <c r="AS381" s="30" t="n">
        <v>0</v>
      </c>
      <c r="AT381" s="30" t="str">
        <f aca="false">IF(OR(AB381="判定不能",J381="判定不能"),"判定不能",IF(AS381&gt;=判定条件!$C$9,"利用可",IF(AND(AB381="停止",J381="停止"),"両方停止","運転がそろわない")))</f>
        <v>運転がそろわない</v>
      </c>
      <c r="AU381" s="30" t="n">
        <v>60</v>
      </c>
      <c r="AV381" s="30" t="n">
        <v>60</v>
      </c>
      <c r="AW381" s="30" t="str">
        <f aca="false">IF(OR(AE381="判定不能",M381="判定不能"),"判定不能",IF(AV381&gt;=判定条件!$C$9,"利用可",IF(AND(AE381="停止",M381="停止"),"両方停止","運転がそろわない")))</f>
        <v>利用可</v>
      </c>
      <c r="AX381" s="30" t="str">
        <f aca="false">IF(AND(AH381="利用可",AK381="利用可",AN381="利用可"),"利用可","不可")</f>
        <v>不可</v>
      </c>
      <c r="AY381" s="30" t="str">
        <f aca="false">IF(AND(AQ381="利用可",AT381="利用可",AW381="利用可"),"利用可","不可")</f>
        <v>不可</v>
      </c>
    </row>
    <row r="382" customFormat="false" ht="15" hidden="false" customHeight="false" outlineLevel="0" collapsed="false">
      <c r="A382" s="29" t="n">
        <v>46247</v>
      </c>
      <c r="B382" s="30" t="n">
        <v>19</v>
      </c>
      <c r="C382" s="31" t="s">
        <v>61</v>
      </c>
      <c r="D382" s="31" t="s">
        <v>59</v>
      </c>
      <c r="E382" s="30" t="n">
        <v>60</v>
      </c>
      <c r="F382" s="30" t="n">
        <v>57</v>
      </c>
      <c r="G382" s="30" t="str">
        <f aca="false">IF(E382&lt;判定条件!$C$6,"判定不能",IF(F382&gt;=判定条件!$C$7*E382,"運転",IF(F382&lt;=判定条件!$C$8*E382,"停止","断続")))</f>
        <v>運転</v>
      </c>
      <c r="H382" s="30" t="n">
        <v>60</v>
      </c>
      <c r="I382" s="30" t="n">
        <v>60</v>
      </c>
      <c r="J382" s="30" t="str">
        <f aca="false">IF(H382&lt;判定条件!$C$6,"判定不能",IF(I382&gt;=判定条件!$C$7*H382,"運転",IF(I382&lt;=判定条件!$C$8*H382,"停止","断続")))</f>
        <v>運転</v>
      </c>
      <c r="K382" s="30" t="n">
        <v>60</v>
      </c>
      <c r="L382" s="30" t="n">
        <v>60</v>
      </c>
      <c r="M382" s="30" t="str">
        <f aca="false">IF(K382&lt;判定条件!$C$6,"判定不能",IF(L382&gt;=判定条件!$C$7*K382,"運転",IF(L382&lt;=判定条件!$C$8*K382,"停止","断続")))</f>
        <v>運転</v>
      </c>
      <c r="N382" s="30" t="n">
        <v>60</v>
      </c>
      <c r="O382" s="30" t="n">
        <v>0</v>
      </c>
      <c r="P382" s="30" t="str">
        <f aca="false">IF(N382&lt;判定条件!$C$6,"判定不能",IF(O382&gt;=判定条件!$C$7*N382,"運転",IF(O382&lt;=判定条件!$C$8*N382,"停止","断続")))</f>
        <v>停止</v>
      </c>
      <c r="Q382" s="30" t="n">
        <v>60</v>
      </c>
      <c r="R382" s="30" t="n">
        <v>0</v>
      </c>
      <c r="S382" s="30" t="str">
        <f aca="false">IF(Q382&lt;判定条件!$C$6,"判定不能",IF(R382&gt;=判定条件!$C$7*Q382,"運転",IF(R382&lt;=判定条件!$C$8*Q382,"停止","断続")))</f>
        <v>停止</v>
      </c>
      <c r="T382" s="30" t="n">
        <v>60</v>
      </c>
      <c r="U382" s="30" t="n">
        <v>59</v>
      </c>
      <c r="V382" s="30" t="str">
        <f aca="false">IF(T382&lt;判定条件!$C$6,"判定不能",IF(U382&gt;=判定条件!$C$7*T382,"運転",IF(U382&lt;=判定条件!$C$8*T382,"停止","断続")))</f>
        <v>運転</v>
      </c>
      <c r="W382" s="30" t="n">
        <v>60</v>
      </c>
      <c r="X382" s="30" t="n">
        <v>9</v>
      </c>
      <c r="Y382" s="30" t="str">
        <f aca="false">IF(W382&lt;判定条件!$C$6,"判定不能",IF(X382&gt;=判定条件!$C$7*W382,"運転",IF(X382&lt;=判定条件!$C$8*W382,"停止","断続")))</f>
        <v>停止</v>
      </c>
      <c r="Z382" s="30" t="n">
        <v>60</v>
      </c>
      <c r="AA382" s="30" t="n">
        <v>0</v>
      </c>
      <c r="AB382" s="30" t="str">
        <f aca="false">IF(Z382&lt;判定条件!$C$6,"判定不能",IF(AA382&gt;=判定条件!$C$7*Z382,"運転",IF(AA382&lt;=判定条件!$C$8*Z382,"停止","断続")))</f>
        <v>停止</v>
      </c>
      <c r="AC382" s="30" t="n">
        <v>60</v>
      </c>
      <c r="AD382" s="30" t="n">
        <v>10</v>
      </c>
      <c r="AE382" s="30" t="str">
        <f aca="false">IF(AC382&lt;判定条件!$C$6,"判定不能",IF(AD382&gt;=判定条件!$C$7*AC382,"運転",IF(AD382&lt;=判定条件!$C$8*AC382,"停止","断続")))</f>
        <v>停止</v>
      </c>
      <c r="AF382" s="30" t="n">
        <v>60</v>
      </c>
      <c r="AG382" s="30" t="n">
        <v>0</v>
      </c>
      <c r="AH382" s="30" t="str">
        <f aca="false">IF(OR(P382="判定不能",G382="判定不能"),"判定不能",IF(AG382&gt;=判定条件!$C$9,"利用可",IF(AND(P382="停止",G382="停止"),"両方停止","運転がそろわない")))</f>
        <v>運転がそろわない</v>
      </c>
      <c r="AI382" s="30" t="n">
        <v>60</v>
      </c>
      <c r="AJ382" s="30" t="n">
        <v>0</v>
      </c>
      <c r="AK382" s="30" t="str">
        <f aca="false">IF(OR(S382="判定不能",J382="判定不能"),"判定不能",IF(AJ382&gt;=判定条件!$C$9,"利用可",IF(AND(S382="停止",J382="停止"),"両方停止","運転がそろわない")))</f>
        <v>運転がそろわない</v>
      </c>
      <c r="AL382" s="30" t="n">
        <v>60</v>
      </c>
      <c r="AM382" s="30" t="n">
        <v>59</v>
      </c>
      <c r="AN382" s="30" t="str">
        <f aca="false">IF(OR(V382="判定不能",M382="判定不能"),"判定不能",IF(AM382&gt;=判定条件!$C$9,"利用可",IF(AND(V382="停止",M382="停止"),"両方停止","運転がそろわない")))</f>
        <v>利用可</v>
      </c>
      <c r="AO382" s="30" t="n">
        <v>60</v>
      </c>
      <c r="AP382" s="30" t="n">
        <v>9</v>
      </c>
      <c r="AQ382" s="30" t="str">
        <f aca="false">IF(OR(Y382="判定不能",G382="判定不能"),"判定不能",IF(AP382&gt;=判定条件!$C$9,"利用可",IF(AND(Y382="停止",G382="停止"),"両方停止","運転がそろわない")))</f>
        <v>運転がそろわない</v>
      </c>
      <c r="AR382" s="30" t="n">
        <v>60</v>
      </c>
      <c r="AS382" s="30" t="n">
        <v>0</v>
      </c>
      <c r="AT382" s="30" t="str">
        <f aca="false">IF(OR(AB382="判定不能",J382="判定不能"),"判定不能",IF(AS382&gt;=判定条件!$C$9,"利用可",IF(AND(AB382="停止",J382="停止"),"両方停止","運転がそろわない")))</f>
        <v>運転がそろわない</v>
      </c>
      <c r="AU382" s="30" t="n">
        <v>60</v>
      </c>
      <c r="AV382" s="30" t="n">
        <v>10</v>
      </c>
      <c r="AW382" s="30" t="str">
        <f aca="false">IF(OR(AE382="判定不能",M382="判定不能"),"判定不能",IF(AV382&gt;=判定条件!$C$9,"利用可",IF(AND(AE382="停止",M382="停止"),"両方停止","運転がそろわない")))</f>
        <v>運転がそろわない</v>
      </c>
      <c r="AX382" s="30" t="str">
        <f aca="false">IF(AND(AH382="利用可",AK382="利用可",AN382="利用可"),"利用可","不可")</f>
        <v>不可</v>
      </c>
      <c r="AY382" s="30" t="str">
        <f aca="false">IF(AND(AQ382="利用可",AT382="利用可",AW382="利用可"),"利用可","不可")</f>
        <v>不可</v>
      </c>
    </row>
    <row r="383" customFormat="false" ht="15" hidden="false" customHeight="false" outlineLevel="0" collapsed="false">
      <c r="A383" s="29" t="n">
        <v>46247</v>
      </c>
      <c r="B383" s="30" t="n">
        <v>20</v>
      </c>
      <c r="C383" s="31" t="s">
        <v>61</v>
      </c>
      <c r="D383" s="31" t="s">
        <v>59</v>
      </c>
      <c r="E383" s="30" t="n">
        <v>60</v>
      </c>
      <c r="F383" s="30" t="n">
        <v>26</v>
      </c>
      <c r="G383" s="30" t="str">
        <f aca="false">IF(E383&lt;判定条件!$C$6,"判定不能",IF(F383&gt;=判定条件!$C$7*E383,"運転",IF(F383&lt;=判定条件!$C$8*E383,"停止","断続")))</f>
        <v>断続</v>
      </c>
      <c r="H383" s="30" t="n">
        <v>60</v>
      </c>
      <c r="I383" s="30" t="n">
        <v>28</v>
      </c>
      <c r="J383" s="30" t="str">
        <f aca="false">IF(H383&lt;判定条件!$C$6,"判定不能",IF(I383&gt;=判定条件!$C$7*H383,"運転",IF(I383&lt;=判定条件!$C$8*H383,"停止","断続")))</f>
        <v>断続</v>
      </c>
      <c r="K383" s="30" t="n">
        <v>60</v>
      </c>
      <c r="L383" s="30" t="n">
        <v>60</v>
      </c>
      <c r="M383" s="30" t="str">
        <f aca="false">IF(K383&lt;判定条件!$C$6,"判定不能",IF(L383&gt;=判定条件!$C$7*K383,"運転",IF(L383&lt;=判定条件!$C$8*K383,"停止","断続")))</f>
        <v>運転</v>
      </c>
      <c r="N383" s="30" t="n">
        <v>60</v>
      </c>
      <c r="O383" s="30" t="n">
        <v>0</v>
      </c>
      <c r="P383" s="30" t="str">
        <f aca="false">IF(N383&lt;判定条件!$C$6,"判定不能",IF(O383&gt;=判定条件!$C$7*N383,"運転",IF(O383&lt;=判定条件!$C$8*N383,"停止","断続")))</f>
        <v>停止</v>
      </c>
      <c r="Q383" s="30" t="n">
        <v>60</v>
      </c>
      <c r="R383" s="30" t="n">
        <v>0</v>
      </c>
      <c r="S383" s="30" t="str">
        <f aca="false">IF(Q383&lt;判定条件!$C$6,"判定不能",IF(R383&gt;=判定条件!$C$7*Q383,"運転",IF(R383&lt;=判定条件!$C$8*Q383,"停止","断続")))</f>
        <v>停止</v>
      </c>
      <c r="T383" s="30" t="n">
        <v>60</v>
      </c>
      <c r="U383" s="30" t="n">
        <v>1</v>
      </c>
      <c r="V383" s="30" t="str">
        <f aca="false">IF(T383&lt;判定条件!$C$6,"判定不能",IF(U383&gt;=判定条件!$C$7*T383,"運転",IF(U383&lt;=判定条件!$C$8*T383,"停止","断続")))</f>
        <v>停止</v>
      </c>
      <c r="W383" s="30" t="n">
        <v>60</v>
      </c>
      <c r="X383" s="30" t="n">
        <v>0</v>
      </c>
      <c r="Y383" s="30" t="str">
        <f aca="false">IF(W383&lt;判定条件!$C$6,"判定不能",IF(X383&gt;=判定条件!$C$7*W383,"運転",IF(X383&lt;=判定条件!$C$8*W383,"停止","断続")))</f>
        <v>停止</v>
      </c>
      <c r="Z383" s="30" t="n">
        <v>60</v>
      </c>
      <c r="AA383" s="30" t="n">
        <v>0</v>
      </c>
      <c r="AB383" s="30" t="str">
        <f aca="false">IF(Z383&lt;判定条件!$C$6,"判定不能",IF(AA383&gt;=判定条件!$C$7*Z383,"運転",IF(AA383&lt;=判定条件!$C$8*Z383,"停止","断続")))</f>
        <v>停止</v>
      </c>
      <c r="AC383" s="30" t="n">
        <v>60</v>
      </c>
      <c r="AD383" s="30" t="n">
        <v>0</v>
      </c>
      <c r="AE383" s="30" t="str">
        <f aca="false">IF(AC383&lt;判定条件!$C$6,"判定不能",IF(AD383&gt;=判定条件!$C$7*AC383,"運転",IF(AD383&lt;=判定条件!$C$8*AC383,"停止","断続")))</f>
        <v>停止</v>
      </c>
      <c r="AF383" s="30" t="n">
        <v>60</v>
      </c>
      <c r="AG383" s="30" t="n">
        <v>0</v>
      </c>
      <c r="AH383" s="30" t="str">
        <f aca="false">IF(OR(P383="判定不能",G383="判定不能"),"判定不能",IF(AG383&gt;=判定条件!$C$9,"利用可",IF(AND(P383="停止",G383="停止"),"両方停止","運転がそろわない")))</f>
        <v>運転がそろわない</v>
      </c>
      <c r="AI383" s="30" t="n">
        <v>60</v>
      </c>
      <c r="AJ383" s="30" t="n">
        <v>0</v>
      </c>
      <c r="AK383" s="30" t="str">
        <f aca="false">IF(OR(S383="判定不能",J383="判定不能"),"判定不能",IF(AJ383&gt;=判定条件!$C$9,"利用可",IF(AND(S383="停止",J383="停止"),"両方停止","運転がそろわない")))</f>
        <v>運転がそろわない</v>
      </c>
      <c r="AL383" s="30" t="n">
        <v>60</v>
      </c>
      <c r="AM383" s="30" t="n">
        <v>1</v>
      </c>
      <c r="AN383" s="30" t="str">
        <f aca="false">IF(OR(V383="判定不能",M383="判定不能"),"判定不能",IF(AM383&gt;=判定条件!$C$9,"利用可",IF(AND(V383="停止",M383="停止"),"両方停止","運転がそろわない")))</f>
        <v>運転がそろわない</v>
      </c>
      <c r="AO383" s="30" t="n">
        <v>60</v>
      </c>
      <c r="AP383" s="30" t="n">
        <v>0</v>
      </c>
      <c r="AQ383" s="30" t="str">
        <f aca="false">IF(OR(Y383="判定不能",G383="判定不能"),"判定不能",IF(AP383&gt;=判定条件!$C$9,"利用可",IF(AND(Y383="停止",G383="停止"),"両方停止","運転がそろわない")))</f>
        <v>運転がそろわない</v>
      </c>
      <c r="AR383" s="30" t="n">
        <v>60</v>
      </c>
      <c r="AS383" s="30" t="n">
        <v>0</v>
      </c>
      <c r="AT383" s="30" t="str">
        <f aca="false">IF(OR(AB383="判定不能",J383="判定不能"),"判定不能",IF(AS383&gt;=判定条件!$C$9,"利用可",IF(AND(AB383="停止",J383="停止"),"両方停止","運転がそろわない")))</f>
        <v>運転がそろわない</v>
      </c>
      <c r="AU383" s="30" t="n">
        <v>60</v>
      </c>
      <c r="AV383" s="30" t="n">
        <v>0</v>
      </c>
      <c r="AW383" s="30" t="str">
        <f aca="false">IF(OR(AE383="判定不能",M383="判定不能"),"判定不能",IF(AV383&gt;=判定条件!$C$9,"利用可",IF(AND(AE383="停止",M383="停止"),"両方停止","運転がそろわない")))</f>
        <v>運転がそろわない</v>
      </c>
      <c r="AX383" s="30" t="str">
        <f aca="false">IF(AND(AH383="利用可",AK383="利用可",AN383="利用可"),"利用可","不可")</f>
        <v>不可</v>
      </c>
      <c r="AY383" s="30" t="str">
        <f aca="false">IF(AND(AQ383="利用可",AT383="利用可",AW383="利用可"),"利用可","不可")</f>
        <v>不可</v>
      </c>
    </row>
    <row r="384" customFormat="false" ht="15" hidden="false" customHeight="false" outlineLevel="0" collapsed="false">
      <c r="A384" s="29" t="n">
        <v>46247</v>
      </c>
      <c r="B384" s="30" t="n">
        <v>21</v>
      </c>
      <c r="C384" s="31" t="s">
        <v>61</v>
      </c>
      <c r="D384" s="31" t="s">
        <v>59</v>
      </c>
      <c r="E384" s="30" t="n">
        <v>60</v>
      </c>
      <c r="F384" s="30" t="n">
        <v>0</v>
      </c>
      <c r="G384" s="30" t="str">
        <f aca="false">IF(E384&lt;判定条件!$C$6,"判定不能",IF(F384&gt;=判定条件!$C$7*E384,"運転",IF(F384&lt;=判定条件!$C$8*E384,"停止","断続")))</f>
        <v>停止</v>
      </c>
      <c r="H384" s="30" t="n">
        <v>60</v>
      </c>
      <c r="I384" s="30" t="n">
        <v>0</v>
      </c>
      <c r="J384" s="30" t="str">
        <f aca="false">IF(H384&lt;判定条件!$C$6,"判定不能",IF(I384&gt;=判定条件!$C$7*H384,"運転",IF(I384&lt;=判定条件!$C$8*H384,"停止","断続")))</f>
        <v>停止</v>
      </c>
      <c r="K384" s="30" t="n">
        <v>60</v>
      </c>
      <c r="L384" s="30" t="n">
        <v>60</v>
      </c>
      <c r="M384" s="30" t="str">
        <f aca="false">IF(K384&lt;判定条件!$C$6,"判定不能",IF(L384&gt;=判定条件!$C$7*K384,"運転",IF(L384&lt;=判定条件!$C$8*K384,"停止","断続")))</f>
        <v>運転</v>
      </c>
      <c r="N384" s="30" t="n">
        <v>60</v>
      </c>
      <c r="O384" s="30" t="n">
        <v>0</v>
      </c>
      <c r="P384" s="30" t="str">
        <f aca="false">IF(N384&lt;判定条件!$C$6,"判定不能",IF(O384&gt;=判定条件!$C$7*N384,"運転",IF(O384&lt;=判定条件!$C$8*N384,"停止","断続")))</f>
        <v>停止</v>
      </c>
      <c r="Q384" s="30" t="n">
        <v>60</v>
      </c>
      <c r="R384" s="30" t="n">
        <v>0</v>
      </c>
      <c r="S384" s="30" t="str">
        <f aca="false">IF(Q384&lt;判定条件!$C$6,"判定不能",IF(R384&gt;=判定条件!$C$7*Q384,"運転",IF(R384&lt;=判定条件!$C$8*Q384,"停止","断続")))</f>
        <v>停止</v>
      </c>
      <c r="T384" s="30" t="n">
        <v>60</v>
      </c>
      <c r="U384" s="30" t="n">
        <v>46</v>
      </c>
      <c r="V384" s="30" t="str">
        <f aca="false">IF(T384&lt;判定条件!$C$6,"判定不能",IF(U384&gt;=判定条件!$C$7*T384,"運転",IF(U384&lt;=判定条件!$C$8*T384,"停止","断続")))</f>
        <v>断続</v>
      </c>
      <c r="W384" s="30" t="n">
        <v>60</v>
      </c>
      <c r="X384" s="30" t="n">
        <v>0</v>
      </c>
      <c r="Y384" s="30" t="str">
        <f aca="false">IF(W384&lt;判定条件!$C$6,"判定不能",IF(X384&gt;=判定条件!$C$7*W384,"運転",IF(X384&lt;=判定条件!$C$8*W384,"停止","断続")))</f>
        <v>停止</v>
      </c>
      <c r="Z384" s="30" t="n">
        <v>60</v>
      </c>
      <c r="AA384" s="30" t="n">
        <v>0</v>
      </c>
      <c r="AB384" s="30" t="str">
        <f aca="false">IF(Z384&lt;判定条件!$C$6,"判定不能",IF(AA384&gt;=判定条件!$C$7*Z384,"運転",IF(AA384&lt;=判定条件!$C$8*Z384,"停止","断続")))</f>
        <v>停止</v>
      </c>
      <c r="AC384" s="30" t="n">
        <v>60</v>
      </c>
      <c r="AD384" s="30" t="n">
        <v>0</v>
      </c>
      <c r="AE384" s="30" t="str">
        <f aca="false">IF(AC384&lt;判定条件!$C$6,"判定不能",IF(AD384&gt;=判定条件!$C$7*AC384,"運転",IF(AD384&lt;=判定条件!$C$8*AC384,"停止","断続")))</f>
        <v>停止</v>
      </c>
      <c r="AF384" s="30" t="n">
        <v>60</v>
      </c>
      <c r="AG384" s="30" t="n">
        <v>0</v>
      </c>
      <c r="AH384" s="30" t="str">
        <f aca="false">IF(OR(P384="判定不能",G384="判定不能"),"判定不能",IF(AG384&gt;=判定条件!$C$9,"利用可",IF(AND(P384="停止",G384="停止"),"両方停止","運転がそろわない")))</f>
        <v>両方停止</v>
      </c>
      <c r="AI384" s="30" t="n">
        <v>60</v>
      </c>
      <c r="AJ384" s="30" t="n">
        <v>0</v>
      </c>
      <c r="AK384" s="30" t="str">
        <f aca="false">IF(OR(S384="判定不能",J384="判定不能"),"判定不能",IF(AJ384&gt;=判定条件!$C$9,"利用可",IF(AND(S384="停止",J384="停止"),"両方停止","運転がそろわない")))</f>
        <v>両方停止</v>
      </c>
      <c r="AL384" s="30" t="n">
        <v>60</v>
      </c>
      <c r="AM384" s="30" t="n">
        <v>46</v>
      </c>
      <c r="AN384" s="30" t="str">
        <f aca="false">IF(OR(V384="判定不能",M384="判定不能"),"判定不能",IF(AM384&gt;=判定条件!$C$9,"利用可",IF(AND(V384="停止",M384="停止"),"両方停止","運転がそろわない")))</f>
        <v>利用可</v>
      </c>
      <c r="AO384" s="30" t="n">
        <v>60</v>
      </c>
      <c r="AP384" s="30" t="n">
        <v>0</v>
      </c>
      <c r="AQ384" s="30" t="str">
        <f aca="false">IF(OR(Y384="判定不能",G384="判定不能"),"判定不能",IF(AP384&gt;=判定条件!$C$9,"利用可",IF(AND(Y384="停止",G384="停止"),"両方停止","運転がそろわない")))</f>
        <v>両方停止</v>
      </c>
      <c r="AR384" s="30" t="n">
        <v>60</v>
      </c>
      <c r="AS384" s="30" t="n">
        <v>0</v>
      </c>
      <c r="AT384" s="30" t="str">
        <f aca="false">IF(OR(AB384="判定不能",J384="判定不能"),"判定不能",IF(AS384&gt;=判定条件!$C$9,"利用可",IF(AND(AB384="停止",J384="停止"),"両方停止","運転がそろわない")))</f>
        <v>両方停止</v>
      </c>
      <c r="AU384" s="30" t="n">
        <v>60</v>
      </c>
      <c r="AV384" s="30" t="n">
        <v>0</v>
      </c>
      <c r="AW384" s="30" t="str">
        <f aca="false">IF(OR(AE384="判定不能",M384="判定不能"),"判定不能",IF(AV384&gt;=判定条件!$C$9,"利用可",IF(AND(AE384="停止",M384="停止"),"両方停止","運転がそろわない")))</f>
        <v>運転がそろわない</v>
      </c>
      <c r="AX384" s="30" t="str">
        <f aca="false">IF(AND(AH384="利用可",AK384="利用可",AN384="利用可"),"利用可","不可")</f>
        <v>不可</v>
      </c>
      <c r="AY384" s="30" t="str">
        <f aca="false">IF(AND(AQ384="利用可",AT384="利用可",AW384="利用可"),"利用可","不可")</f>
        <v>不可</v>
      </c>
    </row>
    <row r="385" customFormat="false" ht="15" hidden="false" customHeight="false" outlineLevel="0" collapsed="false">
      <c r="A385" s="29" t="n">
        <v>46247</v>
      </c>
      <c r="B385" s="30" t="n">
        <v>22</v>
      </c>
      <c r="C385" s="31" t="s">
        <v>61</v>
      </c>
      <c r="D385" s="31" t="s">
        <v>59</v>
      </c>
      <c r="E385" s="30" t="n">
        <v>60</v>
      </c>
      <c r="F385" s="30" t="n">
        <v>0</v>
      </c>
      <c r="G385" s="30" t="str">
        <f aca="false">IF(E385&lt;判定条件!$C$6,"判定不能",IF(F385&gt;=判定条件!$C$7*E385,"運転",IF(F385&lt;=判定条件!$C$8*E385,"停止","断続")))</f>
        <v>停止</v>
      </c>
      <c r="H385" s="30" t="n">
        <v>60</v>
      </c>
      <c r="I385" s="30" t="n">
        <v>0</v>
      </c>
      <c r="J385" s="30" t="str">
        <f aca="false">IF(H385&lt;判定条件!$C$6,"判定不能",IF(I385&gt;=判定条件!$C$7*H385,"運転",IF(I385&lt;=判定条件!$C$8*H385,"停止","断続")))</f>
        <v>停止</v>
      </c>
      <c r="K385" s="30" t="n">
        <v>60</v>
      </c>
      <c r="L385" s="30" t="n">
        <v>60</v>
      </c>
      <c r="M385" s="30" t="str">
        <f aca="false">IF(K385&lt;判定条件!$C$6,"判定不能",IF(L385&gt;=判定条件!$C$7*K385,"運転",IF(L385&lt;=判定条件!$C$8*K385,"停止","断続")))</f>
        <v>運転</v>
      </c>
      <c r="N385" s="30" t="n">
        <v>60</v>
      </c>
      <c r="O385" s="30" t="n">
        <v>0</v>
      </c>
      <c r="P385" s="30" t="str">
        <f aca="false">IF(N385&lt;判定条件!$C$6,"判定不能",IF(O385&gt;=判定条件!$C$7*N385,"運転",IF(O385&lt;=判定条件!$C$8*N385,"停止","断続")))</f>
        <v>停止</v>
      </c>
      <c r="Q385" s="30" t="n">
        <v>60</v>
      </c>
      <c r="R385" s="30" t="n">
        <v>0</v>
      </c>
      <c r="S385" s="30" t="str">
        <f aca="false">IF(Q385&lt;判定条件!$C$6,"判定不能",IF(R385&gt;=判定条件!$C$7*Q385,"運転",IF(R385&lt;=判定条件!$C$8*Q385,"停止","断続")))</f>
        <v>停止</v>
      </c>
      <c r="T385" s="30" t="n">
        <v>60</v>
      </c>
      <c r="U385" s="30" t="n">
        <v>10</v>
      </c>
      <c r="V385" s="30" t="str">
        <f aca="false">IF(T385&lt;判定条件!$C$6,"判定不能",IF(U385&gt;=判定条件!$C$7*T385,"運転",IF(U385&lt;=判定条件!$C$8*T385,"停止","断続")))</f>
        <v>停止</v>
      </c>
      <c r="W385" s="30" t="n">
        <v>60</v>
      </c>
      <c r="X385" s="30" t="n">
        <v>0</v>
      </c>
      <c r="Y385" s="30" t="str">
        <f aca="false">IF(W385&lt;判定条件!$C$6,"判定不能",IF(X385&gt;=判定条件!$C$7*W385,"運転",IF(X385&lt;=判定条件!$C$8*W385,"停止","断続")))</f>
        <v>停止</v>
      </c>
      <c r="Z385" s="30" t="n">
        <v>60</v>
      </c>
      <c r="AA385" s="30" t="n">
        <v>0</v>
      </c>
      <c r="AB385" s="30" t="str">
        <f aca="false">IF(Z385&lt;判定条件!$C$6,"判定不能",IF(AA385&gt;=判定条件!$C$7*Z385,"運転",IF(AA385&lt;=判定条件!$C$8*Z385,"停止","断続")))</f>
        <v>停止</v>
      </c>
      <c r="AC385" s="30" t="n">
        <v>60</v>
      </c>
      <c r="AD385" s="30" t="n">
        <v>0</v>
      </c>
      <c r="AE385" s="30" t="str">
        <f aca="false">IF(AC385&lt;判定条件!$C$6,"判定不能",IF(AD385&gt;=判定条件!$C$7*AC385,"運転",IF(AD385&lt;=判定条件!$C$8*AC385,"停止","断続")))</f>
        <v>停止</v>
      </c>
      <c r="AF385" s="30" t="n">
        <v>60</v>
      </c>
      <c r="AG385" s="30" t="n">
        <v>0</v>
      </c>
      <c r="AH385" s="30" t="str">
        <f aca="false">IF(OR(P385="判定不能",G385="判定不能"),"判定不能",IF(AG385&gt;=判定条件!$C$9,"利用可",IF(AND(P385="停止",G385="停止"),"両方停止","運転がそろわない")))</f>
        <v>両方停止</v>
      </c>
      <c r="AI385" s="30" t="n">
        <v>60</v>
      </c>
      <c r="AJ385" s="30" t="n">
        <v>0</v>
      </c>
      <c r="AK385" s="30" t="str">
        <f aca="false">IF(OR(S385="判定不能",J385="判定不能"),"判定不能",IF(AJ385&gt;=判定条件!$C$9,"利用可",IF(AND(S385="停止",J385="停止"),"両方停止","運転がそろわない")))</f>
        <v>両方停止</v>
      </c>
      <c r="AL385" s="30" t="n">
        <v>60</v>
      </c>
      <c r="AM385" s="30" t="n">
        <v>10</v>
      </c>
      <c r="AN385" s="30" t="str">
        <f aca="false">IF(OR(V385="判定不能",M385="判定不能"),"判定不能",IF(AM385&gt;=判定条件!$C$9,"利用可",IF(AND(V385="停止",M385="停止"),"両方停止","運転がそろわない")))</f>
        <v>運転がそろわない</v>
      </c>
      <c r="AO385" s="30" t="n">
        <v>60</v>
      </c>
      <c r="AP385" s="30" t="n">
        <v>0</v>
      </c>
      <c r="AQ385" s="30" t="str">
        <f aca="false">IF(OR(Y385="判定不能",G385="判定不能"),"判定不能",IF(AP385&gt;=判定条件!$C$9,"利用可",IF(AND(Y385="停止",G385="停止"),"両方停止","運転がそろわない")))</f>
        <v>両方停止</v>
      </c>
      <c r="AR385" s="30" t="n">
        <v>60</v>
      </c>
      <c r="AS385" s="30" t="n">
        <v>0</v>
      </c>
      <c r="AT385" s="30" t="str">
        <f aca="false">IF(OR(AB385="判定不能",J385="判定不能"),"判定不能",IF(AS385&gt;=判定条件!$C$9,"利用可",IF(AND(AB385="停止",J385="停止"),"両方停止","運転がそろわない")))</f>
        <v>両方停止</v>
      </c>
      <c r="AU385" s="30" t="n">
        <v>60</v>
      </c>
      <c r="AV385" s="30" t="n">
        <v>0</v>
      </c>
      <c r="AW385" s="30" t="str">
        <f aca="false">IF(OR(AE385="判定不能",M385="判定不能"),"判定不能",IF(AV385&gt;=判定条件!$C$9,"利用可",IF(AND(AE385="停止",M385="停止"),"両方停止","運転がそろわない")))</f>
        <v>運転がそろわない</v>
      </c>
      <c r="AX385" s="30" t="str">
        <f aca="false">IF(AND(AH385="利用可",AK385="利用可",AN385="利用可"),"利用可","不可")</f>
        <v>不可</v>
      </c>
      <c r="AY385" s="30" t="str">
        <f aca="false">IF(AND(AQ385="利用可",AT385="利用可",AW385="利用可"),"利用可","不可")</f>
        <v>不可</v>
      </c>
    </row>
    <row r="386" customFormat="false" ht="15" hidden="false" customHeight="false" outlineLevel="0" collapsed="false">
      <c r="A386" s="29" t="n">
        <v>46247</v>
      </c>
      <c r="B386" s="30" t="n">
        <v>23</v>
      </c>
      <c r="C386" s="31" t="s">
        <v>61</v>
      </c>
      <c r="D386" s="31" t="s">
        <v>59</v>
      </c>
      <c r="E386" s="30" t="n">
        <v>60</v>
      </c>
      <c r="F386" s="30" t="n">
        <v>0</v>
      </c>
      <c r="G386" s="30" t="str">
        <f aca="false">IF(E386&lt;判定条件!$C$6,"判定不能",IF(F386&gt;=判定条件!$C$7*E386,"運転",IF(F386&lt;=判定条件!$C$8*E386,"停止","断続")))</f>
        <v>停止</v>
      </c>
      <c r="H386" s="30" t="n">
        <v>60</v>
      </c>
      <c r="I386" s="30" t="n">
        <v>0</v>
      </c>
      <c r="J386" s="30" t="str">
        <f aca="false">IF(H386&lt;判定条件!$C$6,"判定不能",IF(I386&gt;=判定条件!$C$7*H386,"運転",IF(I386&lt;=判定条件!$C$8*H386,"停止","断続")))</f>
        <v>停止</v>
      </c>
      <c r="K386" s="30" t="n">
        <v>60</v>
      </c>
      <c r="L386" s="30" t="n">
        <v>60</v>
      </c>
      <c r="M386" s="30" t="str">
        <f aca="false">IF(K386&lt;判定条件!$C$6,"判定不能",IF(L386&gt;=判定条件!$C$7*K386,"運転",IF(L386&lt;=判定条件!$C$8*K386,"停止","断続")))</f>
        <v>運転</v>
      </c>
      <c r="N386" s="30" t="n">
        <v>60</v>
      </c>
      <c r="O386" s="30" t="n">
        <v>0</v>
      </c>
      <c r="P386" s="30" t="str">
        <f aca="false">IF(N386&lt;判定条件!$C$6,"判定不能",IF(O386&gt;=判定条件!$C$7*N386,"運転",IF(O386&lt;=判定条件!$C$8*N386,"停止","断続")))</f>
        <v>停止</v>
      </c>
      <c r="Q386" s="30" t="n">
        <v>60</v>
      </c>
      <c r="R386" s="30" t="n">
        <v>0</v>
      </c>
      <c r="S386" s="30" t="str">
        <f aca="false">IF(Q386&lt;判定条件!$C$6,"判定不能",IF(R386&gt;=判定条件!$C$7*Q386,"運転",IF(R386&lt;=判定条件!$C$8*Q386,"停止","断続")))</f>
        <v>停止</v>
      </c>
      <c r="T386" s="30" t="n">
        <v>60</v>
      </c>
      <c r="U386" s="30" t="n">
        <v>0</v>
      </c>
      <c r="V386" s="30" t="str">
        <f aca="false">IF(T386&lt;判定条件!$C$6,"判定不能",IF(U386&gt;=判定条件!$C$7*T386,"運転",IF(U386&lt;=判定条件!$C$8*T386,"停止","断続")))</f>
        <v>停止</v>
      </c>
      <c r="W386" s="30" t="n">
        <v>60</v>
      </c>
      <c r="X386" s="30" t="n">
        <v>0</v>
      </c>
      <c r="Y386" s="30" t="str">
        <f aca="false">IF(W386&lt;判定条件!$C$6,"判定不能",IF(X386&gt;=判定条件!$C$7*W386,"運転",IF(X386&lt;=判定条件!$C$8*W386,"停止","断続")))</f>
        <v>停止</v>
      </c>
      <c r="Z386" s="30" t="n">
        <v>60</v>
      </c>
      <c r="AA386" s="30" t="n">
        <v>0</v>
      </c>
      <c r="AB386" s="30" t="str">
        <f aca="false">IF(Z386&lt;判定条件!$C$6,"判定不能",IF(AA386&gt;=判定条件!$C$7*Z386,"運転",IF(AA386&lt;=判定条件!$C$8*Z386,"停止","断続")))</f>
        <v>停止</v>
      </c>
      <c r="AC386" s="30" t="n">
        <v>60</v>
      </c>
      <c r="AD386" s="30" t="n">
        <v>0</v>
      </c>
      <c r="AE386" s="30" t="str">
        <f aca="false">IF(AC386&lt;判定条件!$C$6,"判定不能",IF(AD386&gt;=判定条件!$C$7*AC386,"運転",IF(AD386&lt;=判定条件!$C$8*AC386,"停止","断続")))</f>
        <v>停止</v>
      </c>
      <c r="AF386" s="30" t="n">
        <v>60</v>
      </c>
      <c r="AG386" s="30" t="n">
        <v>0</v>
      </c>
      <c r="AH386" s="30" t="str">
        <f aca="false">IF(OR(P386="判定不能",G386="判定不能"),"判定不能",IF(AG386&gt;=判定条件!$C$9,"利用可",IF(AND(P386="停止",G386="停止"),"両方停止","運転がそろわない")))</f>
        <v>両方停止</v>
      </c>
      <c r="AI386" s="30" t="n">
        <v>60</v>
      </c>
      <c r="AJ386" s="30" t="n">
        <v>0</v>
      </c>
      <c r="AK386" s="30" t="str">
        <f aca="false">IF(OR(S386="判定不能",J386="判定不能"),"判定不能",IF(AJ386&gt;=判定条件!$C$9,"利用可",IF(AND(S386="停止",J386="停止"),"両方停止","運転がそろわない")))</f>
        <v>両方停止</v>
      </c>
      <c r="AL386" s="30" t="n">
        <v>60</v>
      </c>
      <c r="AM386" s="30" t="n">
        <v>0</v>
      </c>
      <c r="AN386" s="30" t="str">
        <f aca="false">IF(OR(V386="判定不能",M386="判定不能"),"判定不能",IF(AM386&gt;=判定条件!$C$9,"利用可",IF(AND(V386="停止",M386="停止"),"両方停止","運転がそろわない")))</f>
        <v>運転がそろわない</v>
      </c>
      <c r="AO386" s="30" t="n">
        <v>60</v>
      </c>
      <c r="AP386" s="30" t="n">
        <v>0</v>
      </c>
      <c r="AQ386" s="30" t="str">
        <f aca="false">IF(OR(Y386="判定不能",G386="判定不能"),"判定不能",IF(AP386&gt;=判定条件!$C$9,"利用可",IF(AND(Y386="停止",G386="停止"),"両方停止","運転がそろわない")))</f>
        <v>両方停止</v>
      </c>
      <c r="AR386" s="30" t="n">
        <v>60</v>
      </c>
      <c r="AS386" s="30" t="n">
        <v>0</v>
      </c>
      <c r="AT386" s="30" t="str">
        <f aca="false">IF(OR(AB386="判定不能",J386="判定不能"),"判定不能",IF(AS386&gt;=判定条件!$C$9,"利用可",IF(AND(AB386="停止",J386="停止"),"両方停止","運転がそろわない")))</f>
        <v>両方停止</v>
      </c>
      <c r="AU386" s="30" t="n">
        <v>60</v>
      </c>
      <c r="AV386" s="30" t="n">
        <v>0</v>
      </c>
      <c r="AW386" s="30" t="str">
        <f aca="false">IF(OR(AE386="判定不能",M386="判定不能"),"判定不能",IF(AV386&gt;=判定条件!$C$9,"利用可",IF(AND(AE386="停止",M386="停止"),"両方停止","運転がそろわない")))</f>
        <v>運転がそろわない</v>
      </c>
      <c r="AX386" s="30" t="str">
        <f aca="false">IF(AND(AH386="利用可",AK386="利用可",AN386="利用可"),"利用可","不可")</f>
        <v>不可</v>
      </c>
      <c r="AY386" s="30" t="str">
        <f aca="false">IF(AND(AQ386="利用可",AT386="利用可",AW386="利用可"),"利用可","不可")</f>
        <v>不可</v>
      </c>
    </row>
    <row r="387" customFormat="false" ht="15" hidden="false" customHeight="false" outlineLevel="0" collapsed="false">
      <c r="A387" s="29" t="n">
        <v>46248</v>
      </c>
      <c r="B387" s="30" t="n">
        <v>0</v>
      </c>
      <c r="C387" s="31" t="s">
        <v>62</v>
      </c>
      <c r="D387" s="31" t="s">
        <v>59</v>
      </c>
      <c r="E387" s="30" t="n">
        <v>60</v>
      </c>
      <c r="F387" s="30" t="n">
        <v>0</v>
      </c>
      <c r="G387" s="30" t="str">
        <f aca="false">IF(E387&lt;判定条件!$C$6,"判定不能",IF(F387&gt;=判定条件!$C$7*E387,"運転",IF(F387&lt;=判定条件!$C$8*E387,"停止","断続")))</f>
        <v>停止</v>
      </c>
      <c r="H387" s="30" t="n">
        <v>60</v>
      </c>
      <c r="I387" s="30" t="n">
        <v>0</v>
      </c>
      <c r="J387" s="30" t="str">
        <f aca="false">IF(H387&lt;判定条件!$C$6,"判定不能",IF(I387&gt;=判定条件!$C$7*H387,"運転",IF(I387&lt;=判定条件!$C$8*H387,"停止","断続")))</f>
        <v>停止</v>
      </c>
      <c r="K387" s="30" t="n">
        <v>60</v>
      </c>
      <c r="L387" s="30" t="n">
        <v>60</v>
      </c>
      <c r="M387" s="30" t="str">
        <f aca="false">IF(K387&lt;判定条件!$C$6,"判定不能",IF(L387&gt;=判定条件!$C$7*K387,"運転",IF(L387&lt;=判定条件!$C$8*K387,"停止","断続")))</f>
        <v>運転</v>
      </c>
      <c r="N387" s="30" t="n">
        <v>60</v>
      </c>
      <c r="O387" s="30" t="n">
        <v>0</v>
      </c>
      <c r="P387" s="30" t="str">
        <f aca="false">IF(N387&lt;判定条件!$C$6,"判定不能",IF(O387&gt;=判定条件!$C$7*N387,"運転",IF(O387&lt;=判定条件!$C$8*N387,"停止","断続")))</f>
        <v>停止</v>
      </c>
      <c r="Q387" s="30" t="n">
        <v>60</v>
      </c>
      <c r="R387" s="30" t="n">
        <v>0</v>
      </c>
      <c r="S387" s="30" t="str">
        <f aca="false">IF(Q387&lt;判定条件!$C$6,"判定不能",IF(R387&gt;=判定条件!$C$7*Q387,"運転",IF(R387&lt;=判定条件!$C$8*Q387,"停止","断続")))</f>
        <v>停止</v>
      </c>
      <c r="T387" s="30" t="n">
        <v>60</v>
      </c>
      <c r="U387" s="30" t="n">
        <v>0</v>
      </c>
      <c r="V387" s="30" t="str">
        <f aca="false">IF(T387&lt;判定条件!$C$6,"判定不能",IF(U387&gt;=判定条件!$C$7*T387,"運転",IF(U387&lt;=判定条件!$C$8*T387,"停止","断続")))</f>
        <v>停止</v>
      </c>
      <c r="W387" s="30" t="n">
        <v>60</v>
      </c>
      <c r="X387" s="30" t="n">
        <v>0</v>
      </c>
      <c r="Y387" s="30" t="str">
        <f aca="false">IF(W387&lt;判定条件!$C$6,"判定不能",IF(X387&gt;=判定条件!$C$7*W387,"運転",IF(X387&lt;=判定条件!$C$8*W387,"停止","断続")))</f>
        <v>停止</v>
      </c>
      <c r="Z387" s="30" t="n">
        <v>60</v>
      </c>
      <c r="AA387" s="30" t="n">
        <v>0</v>
      </c>
      <c r="AB387" s="30" t="str">
        <f aca="false">IF(Z387&lt;判定条件!$C$6,"判定不能",IF(AA387&gt;=判定条件!$C$7*Z387,"運転",IF(AA387&lt;=判定条件!$C$8*Z387,"停止","断続")))</f>
        <v>停止</v>
      </c>
      <c r="AC387" s="30" t="n">
        <v>60</v>
      </c>
      <c r="AD387" s="30" t="n">
        <v>0</v>
      </c>
      <c r="AE387" s="30" t="str">
        <f aca="false">IF(AC387&lt;判定条件!$C$6,"判定不能",IF(AD387&gt;=判定条件!$C$7*AC387,"運転",IF(AD387&lt;=判定条件!$C$8*AC387,"停止","断続")))</f>
        <v>停止</v>
      </c>
      <c r="AF387" s="30" t="n">
        <v>60</v>
      </c>
      <c r="AG387" s="30" t="n">
        <v>0</v>
      </c>
      <c r="AH387" s="30" t="str">
        <f aca="false">IF(OR(P387="判定不能",G387="判定不能"),"判定不能",IF(AG387&gt;=判定条件!$C$9,"利用可",IF(AND(P387="停止",G387="停止"),"両方停止","運転がそろわない")))</f>
        <v>両方停止</v>
      </c>
      <c r="AI387" s="30" t="n">
        <v>60</v>
      </c>
      <c r="AJ387" s="30" t="n">
        <v>0</v>
      </c>
      <c r="AK387" s="30" t="str">
        <f aca="false">IF(OR(S387="判定不能",J387="判定不能"),"判定不能",IF(AJ387&gt;=判定条件!$C$9,"利用可",IF(AND(S387="停止",J387="停止"),"両方停止","運転がそろわない")))</f>
        <v>両方停止</v>
      </c>
      <c r="AL387" s="30" t="n">
        <v>60</v>
      </c>
      <c r="AM387" s="30" t="n">
        <v>0</v>
      </c>
      <c r="AN387" s="30" t="str">
        <f aca="false">IF(OR(V387="判定不能",M387="判定不能"),"判定不能",IF(AM387&gt;=判定条件!$C$9,"利用可",IF(AND(V387="停止",M387="停止"),"両方停止","運転がそろわない")))</f>
        <v>運転がそろわない</v>
      </c>
      <c r="AO387" s="30" t="n">
        <v>60</v>
      </c>
      <c r="AP387" s="30" t="n">
        <v>0</v>
      </c>
      <c r="AQ387" s="30" t="str">
        <f aca="false">IF(OR(Y387="判定不能",G387="判定不能"),"判定不能",IF(AP387&gt;=判定条件!$C$9,"利用可",IF(AND(Y387="停止",G387="停止"),"両方停止","運転がそろわない")))</f>
        <v>両方停止</v>
      </c>
      <c r="AR387" s="30" t="n">
        <v>60</v>
      </c>
      <c r="AS387" s="30" t="n">
        <v>0</v>
      </c>
      <c r="AT387" s="30" t="str">
        <f aca="false">IF(OR(AB387="判定不能",J387="判定不能"),"判定不能",IF(AS387&gt;=判定条件!$C$9,"利用可",IF(AND(AB387="停止",J387="停止"),"両方停止","運転がそろわない")))</f>
        <v>両方停止</v>
      </c>
      <c r="AU387" s="30" t="n">
        <v>60</v>
      </c>
      <c r="AV387" s="30" t="n">
        <v>0</v>
      </c>
      <c r="AW387" s="30" t="str">
        <f aca="false">IF(OR(AE387="判定不能",M387="判定不能"),"判定不能",IF(AV387&gt;=判定条件!$C$9,"利用可",IF(AND(AE387="停止",M387="停止"),"両方停止","運転がそろわない")))</f>
        <v>運転がそろわない</v>
      </c>
      <c r="AX387" s="30" t="str">
        <f aca="false">IF(AND(AH387="利用可",AK387="利用可",AN387="利用可"),"利用可","不可")</f>
        <v>不可</v>
      </c>
      <c r="AY387" s="30" t="str">
        <f aca="false">IF(AND(AQ387="利用可",AT387="利用可",AW387="利用可"),"利用可","不可")</f>
        <v>不可</v>
      </c>
    </row>
    <row r="388" customFormat="false" ht="15" hidden="false" customHeight="false" outlineLevel="0" collapsed="false">
      <c r="A388" s="29" t="n">
        <v>46248</v>
      </c>
      <c r="B388" s="30" t="n">
        <v>1</v>
      </c>
      <c r="C388" s="31" t="s">
        <v>62</v>
      </c>
      <c r="D388" s="31" t="s">
        <v>59</v>
      </c>
      <c r="E388" s="30" t="n">
        <v>60</v>
      </c>
      <c r="F388" s="30" t="n">
        <v>0</v>
      </c>
      <c r="G388" s="30" t="str">
        <f aca="false">IF(E388&lt;判定条件!$C$6,"判定不能",IF(F388&gt;=判定条件!$C$7*E388,"運転",IF(F388&lt;=判定条件!$C$8*E388,"停止","断続")))</f>
        <v>停止</v>
      </c>
      <c r="H388" s="30" t="n">
        <v>60</v>
      </c>
      <c r="I388" s="30" t="n">
        <v>0</v>
      </c>
      <c r="J388" s="30" t="str">
        <f aca="false">IF(H388&lt;判定条件!$C$6,"判定不能",IF(I388&gt;=判定条件!$C$7*H388,"運転",IF(I388&lt;=判定条件!$C$8*H388,"停止","断続")))</f>
        <v>停止</v>
      </c>
      <c r="K388" s="30" t="n">
        <v>60</v>
      </c>
      <c r="L388" s="30" t="n">
        <v>60</v>
      </c>
      <c r="M388" s="30" t="str">
        <f aca="false">IF(K388&lt;判定条件!$C$6,"判定不能",IF(L388&gt;=判定条件!$C$7*K388,"運転",IF(L388&lt;=判定条件!$C$8*K388,"停止","断続")))</f>
        <v>運転</v>
      </c>
      <c r="N388" s="30" t="n">
        <v>60</v>
      </c>
      <c r="O388" s="30" t="n">
        <v>0</v>
      </c>
      <c r="P388" s="30" t="str">
        <f aca="false">IF(N388&lt;判定条件!$C$6,"判定不能",IF(O388&gt;=判定条件!$C$7*N388,"運転",IF(O388&lt;=判定条件!$C$8*N388,"停止","断続")))</f>
        <v>停止</v>
      </c>
      <c r="Q388" s="30" t="n">
        <v>60</v>
      </c>
      <c r="R388" s="30" t="n">
        <v>0</v>
      </c>
      <c r="S388" s="30" t="str">
        <f aca="false">IF(Q388&lt;判定条件!$C$6,"判定不能",IF(R388&gt;=判定条件!$C$7*Q388,"運転",IF(R388&lt;=判定条件!$C$8*Q388,"停止","断続")))</f>
        <v>停止</v>
      </c>
      <c r="T388" s="30" t="n">
        <v>60</v>
      </c>
      <c r="U388" s="30" t="n">
        <v>0</v>
      </c>
      <c r="V388" s="30" t="str">
        <f aca="false">IF(T388&lt;判定条件!$C$6,"判定不能",IF(U388&gt;=判定条件!$C$7*T388,"運転",IF(U388&lt;=判定条件!$C$8*T388,"停止","断続")))</f>
        <v>停止</v>
      </c>
      <c r="W388" s="30" t="n">
        <v>60</v>
      </c>
      <c r="X388" s="30" t="n">
        <v>0</v>
      </c>
      <c r="Y388" s="30" t="str">
        <f aca="false">IF(W388&lt;判定条件!$C$6,"判定不能",IF(X388&gt;=判定条件!$C$7*W388,"運転",IF(X388&lt;=判定条件!$C$8*W388,"停止","断続")))</f>
        <v>停止</v>
      </c>
      <c r="Z388" s="30" t="n">
        <v>60</v>
      </c>
      <c r="AA388" s="30" t="n">
        <v>0</v>
      </c>
      <c r="AB388" s="30" t="str">
        <f aca="false">IF(Z388&lt;判定条件!$C$6,"判定不能",IF(AA388&gt;=判定条件!$C$7*Z388,"運転",IF(AA388&lt;=判定条件!$C$8*Z388,"停止","断続")))</f>
        <v>停止</v>
      </c>
      <c r="AC388" s="30" t="n">
        <v>60</v>
      </c>
      <c r="AD388" s="30" t="n">
        <v>0</v>
      </c>
      <c r="AE388" s="30" t="str">
        <f aca="false">IF(AC388&lt;判定条件!$C$6,"判定不能",IF(AD388&gt;=判定条件!$C$7*AC388,"運転",IF(AD388&lt;=判定条件!$C$8*AC388,"停止","断続")))</f>
        <v>停止</v>
      </c>
      <c r="AF388" s="30" t="n">
        <v>60</v>
      </c>
      <c r="AG388" s="30" t="n">
        <v>0</v>
      </c>
      <c r="AH388" s="30" t="str">
        <f aca="false">IF(OR(P388="判定不能",G388="判定不能"),"判定不能",IF(AG388&gt;=判定条件!$C$9,"利用可",IF(AND(P388="停止",G388="停止"),"両方停止","運転がそろわない")))</f>
        <v>両方停止</v>
      </c>
      <c r="AI388" s="30" t="n">
        <v>60</v>
      </c>
      <c r="AJ388" s="30" t="n">
        <v>0</v>
      </c>
      <c r="AK388" s="30" t="str">
        <f aca="false">IF(OR(S388="判定不能",J388="判定不能"),"判定不能",IF(AJ388&gt;=判定条件!$C$9,"利用可",IF(AND(S388="停止",J388="停止"),"両方停止","運転がそろわない")))</f>
        <v>両方停止</v>
      </c>
      <c r="AL388" s="30" t="n">
        <v>60</v>
      </c>
      <c r="AM388" s="30" t="n">
        <v>0</v>
      </c>
      <c r="AN388" s="30" t="str">
        <f aca="false">IF(OR(V388="判定不能",M388="判定不能"),"判定不能",IF(AM388&gt;=判定条件!$C$9,"利用可",IF(AND(V388="停止",M388="停止"),"両方停止","運転がそろわない")))</f>
        <v>運転がそろわない</v>
      </c>
      <c r="AO388" s="30" t="n">
        <v>60</v>
      </c>
      <c r="AP388" s="30" t="n">
        <v>0</v>
      </c>
      <c r="AQ388" s="30" t="str">
        <f aca="false">IF(OR(Y388="判定不能",G388="判定不能"),"判定不能",IF(AP388&gt;=判定条件!$C$9,"利用可",IF(AND(Y388="停止",G388="停止"),"両方停止","運転がそろわない")))</f>
        <v>両方停止</v>
      </c>
      <c r="AR388" s="30" t="n">
        <v>60</v>
      </c>
      <c r="AS388" s="30" t="n">
        <v>0</v>
      </c>
      <c r="AT388" s="30" t="str">
        <f aca="false">IF(OR(AB388="判定不能",J388="判定不能"),"判定不能",IF(AS388&gt;=判定条件!$C$9,"利用可",IF(AND(AB388="停止",J388="停止"),"両方停止","運転がそろわない")))</f>
        <v>両方停止</v>
      </c>
      <c r="AU388" s="30" t="n">
        <v>60</v>
      </c>
      <c r="AV388" s="30" t="n">
        <v>0</v>
      </c>
      <c r="AW388" s="30" t="str">
        <f aca="false">IF(OR(AE388="判定不能",M388="判定不能"),"判定不能",IF(AV388&gt;=判定条件!$C$9,"利用可",IF(AND(AE388="停止",M388="停止"),"両方停止","運転がそろわない")))</f>
        <v>運転がそろわない</v>
      </c>
      <c r="AX388" s="30" t="str">
        <f aca="false">IF(AND(AH388="利用可",AK388="利用可",AN388="利用可"),"利用可","不可")</f>
        <v>不可</v>
      </c>
      <c r="AY388" s="30" t="str">
        <f aca="false">IF(AND(AQ388="利用可",AT388="利用可",AW388="利用可"),"利用可","不可")</f>
        <v>不可</v>
      </c>
    </row>
    <row r="389" customFormat="false" ht="15" hidden="false" customHeight="false" outlineLevel="0" collapsed="false">
      <c r="A389" s="29" t="n">
        <v>46248</v>
      </c>
      <c r="B389" s="30" t="n">
        <v>2</v>
      </c>
      <c r="C389" s="31" t="s">
        <v>62</v>
      </c>
      <c r="D389" s="31" t="s">
        <v>59</v>
      </c>
      <c r="E389" s="30" t="n">
        <v>60</v>
      </c>
      <c r="F389" s="30" t="n">
        <v>0</v>
      </c>
      <c r="G389" s="30" t="str">
        <f aca="false">IF(E389&lt;判定条件!$C$6,"判定不能",IF(F389&gt;=判定条件!$C$7*E389,"運転",IF(F389&lt;=判定条件!$C$8*E389,"停止","断続")))</f>
        <v>停止</v>
      </c>
      <c r="H389" s="30" t="n">
        <v>60</v>
      </c>
      <c r="I389" s="30" t="n">
        <v>0</v>
      </c>
      <c r="J389" s="30" t="str">
        <f aca="false">IF(H389&lt;判定条件!$C$6,"判定不能",IF(I389&gt;=判定条件!$C$7*H389,"運転",IF(I389&lt;=判定条件!$C$8*H389,"停止","断続")))</f>
        <v>停止</v>
      </c>
      <c r="K389" s="30" t="n">
        <v>60</v>
      </c>
      <c r="L389" s="30" t="n">
        <v>60</v>
      </c>
      <c r="M389" s="30" t="str">
        <f aca="false">IF(K389&lt;判定条件!$C$6,"判定不能",IF(L389&gt;=判定条件!$C$7*K389,"運転",IF(L389&lt;=判定条件!$C$8*K389,"停止","断続")))</f>
        <v>運転</v>
      </c>
      <c r="N389" s="30" t="n">
        <v>60</v>
      </c>
      <c r="O389" s="30" t="n">
        <v>0</v>
      </c>
      <c r="P389" s="30" t="str">
        <f aca="false">IF(N389&lt;判定条件!$C$6,"判定不能",IF(O389&gt;=判定条件!$C$7*N389,"運転",IF(O389&lt;=判定条件!$C$8*N389,"停止","断続")))</f>
        <v>停止</v>
      </c>
      <c r="Q389" s="30" t="n">
        <v>60</v>
      </c>
      <c r="R389" s="30" t="n">
        <v>0</v>
      </c>
      <c r="S389" s="30" t="str">
        <f aca="false">IF(Q389&lt;判定条件!$C$6,"判定不能",IF(R389&gt;=判定条件!$C$7*Q389,"運転",IF(R389&lt;=判定条件!$C$8*Q389,"停止","断続")))</f>
        <v>停止</v>
      </c>
      <c r="T389" s="30" t="n">
        <v>60</v>
      </c>
      <c r="U389" s="30" t="n">
        <v>0</v>
      </c>
      <c r="V389" s="30" t="str">
        <f aca="false">IF(T389&lt;判定条件!$C$6,"判定不能",IF(U389&gt;=判定条件!$C$7*T389,"運転",IF(U389&lt;=判定条件!$C$8*T389,"停止","断続")))</f>
        <v>停止</v>
      </c>
      <c r="W389" s="30" t="n">
        <v>60</v>
      </c>
      <c r="X389" s="30" t="n">
        <v>0</v>
      </c>
      <c r="Y389" s="30" t="str">
        <f aca="false">IF(W389&lt;判定条件!$C$6,"判定不能",IF(X389&gt;=判定条件!$C$7*W389,"運転",IF(X389&lt;=判定条件!$C$8*W389,"停止","断続")))</f>
        <v>停止</v>
      </c>
      <c r="Z389" s="30" t="n">
        <v>60</v>
      </c>
      <c r="AA389" s="30" t="n">
        <v>0</v>
      </c>
      <c r="AB389" s="30" t="str">
        <f aca="false">IF(Z389&lt;判定条件!$C$6,"判定不能",IF(AA389&gt;=判定条件!$C$7*Z389,"運転",IF(AA389&lt;=判定条件!$C$8*Z389,"停止","断続")))</f>
        <v>停止</v>
      </c>
      <c r="AC389" s="30" t="n">
        <v>60</v>
      </c>
      <c r="AD389" s="30" t="n">
        <v>0</v>
      </c>
      <c r="AE389" s="30" t="str">
        <f aca="false">IF(AC389&lt;判定条件!$C$6,"判定不能",IF(AD389&gt;=判定条件!$C$7*AC389,"運転",IF(AD389&lt;=判定条件!$C$8*AC389,"停止","断続")))</f>
        <v>停止</v>
      </c>
      <c r="AF389" s="30" t="n">
        <v>60</v>
      </c>
      <c r="AG389" s="30" t="n">
        <v>0</v>
      </c>
      <c r="AH389" s="30" t="str">
        <f aca="false">IF(OR(P389="判定不能",G389="判定不能"),"判定不能",IF(AG389&gt;=判定条件!$C$9,"利用可",IF(AND(P389="停止",G389="停止"),"両方停止","運転がそろわない")))</f>
        <v>両方停止</v>
      </c>
      <c r="AI389" s="30" t="n">
        <v>60</v>
      </c>
      <c r="AJ389" s="30" t="n">
        <v>0</v>
      </c>
      <c r="AK389" s="30" t="str">
        <f aca="false">IF(OR(S389="判定不能",J389="判定不能"),"判定不能",IF(AJ389&gt;=判定条件!$C$9,"利用可",IF(AND(S389="停止",J389="停止"),"両方停止","運転がそろわない")))</f>
        <v>両方停止</v>
      </c>
      <c r="AL389" s="30" t="n">
        <v>60</v>
      </c>
      <c r="AM389" s="30" t="n">
        <v>0</v>
      </c>
      <c r="AN389" s="30" t="str">
        <f aca="false">IF(OR(V389="判定不能",M389="判定不能"),"判定不能",IF(AM389&gt;=判定条件!$C$9,"利用可",IF(AND(V389="停止",M389="停止"),"両方停止","運転がそろわない")))</f>
        <v>運転がそろわない</v>
      </c>
      <c r="AO389" s="30" t="n">
        <v>60</v>
      </c>
      <c r="AP389" s="30" t="n">
        <v>0</v>
      </c>
      <c r="AQ389" s="30" t="str">
        <f aca="false">IF(OR(Y389="判定不能",G389="判定不能"),"判定不能",IF(AP389&gt;=判定条件!$C$9,"利用可",IF(AND(Y389="停止",G389="停止"),"両方停止","運転がそろわない")))</f>
        <v>両方停止</v>
      </c>
      <c r="AR389" s="30" t="n">
        <v>60</v>
      </c>
      <c r="AS389" s="30" t="n">
        <v>0</v>
      </c>
      <c r="AT389" s="30" t="str">
        <f aca="false">IF(OR(AB389="判定不能",J389="判定不能"),"判定不能",IF(AS389&gt;=判定条件!$C$9,"利用可",IF(AND(AB389="停止",J389="停止"),"両方停止","運転がそろわない")))</f>
        <v>両方停止</v>
      </c>
      <c r="AU389" s="30" t="n">
        <v>60</v>
      </c>
      <c r="AV389" s="30" t="n">
        <v>0</v>
      </c>
      <c r="AW389" s="30" t="str">
        <f aca="false">IF(OR(AE389="判定不能",M389="判定不能"),"判定不能",IF(AV389&gt;=判定条件!$C$9,"利用可",IF(AND(AE389="停止",M389="停止"),"両方停止","運転がそろわない")))</f>
        <v>運転がそろわない</v>
      </c>
      <c r="AX389" s="30" t="str">
        <f aca="false">IF(AND(AH389="利用可",AK389="利用可",AN389="利用可"),"利用可","不可")</f>
        <v>不可</v>
      </c>
      <c r="AY389" s="30" t="str">
        <f aca="false">IF(AND(AQ389="利用可",AT389="利用可",AW389="利用可"),"利用可","不可")</f>
        <v>不可</v>
      </c>
    </row>
    <row r="390" customFormat="false" ht="15" hidden="false" customHeight="false" outlineLevel="0" collapsed="false">
      <c r="A390" s="29" t="n">
        <v>46248</v>
      </c>
      <c r="B390" s="30" t="n">
        <v>3</v>
      </c>
      <c r="C390" s="31" t="s">
        <v>62</v>
      </c>
      <c r="D390" s="31" t="s">
        <v>59</v>
      </c>
      <c r="E390" s="30" t="n">
        <v>60</v>
      </c>
      <c r="F390" s="30" t="n">
        <v>0</v>
      </c>
      <c r="G390" s="30" t="str">
        <f aca="false">IF(E390&lt;判定条件!$C$6,"判定不能",IF(F390&gt;=判定条件!$C$7*E390,"運転",IF(F390&lt;=判定条件!$C$8*E390,"停止","断続")))</f>
        <v>停止</v>
      </c>
      <c r="H390" s="30" t="n">
        <v>60</v>
      </c>
      <c r="I390" s="30" t="n">
        <v>0</v>
      </c>
      <c r="J390" s="30" t="str">
        <f aca="false">IF(H390&lt;判定条件!$C$6,"判定不能",IF(I390&gt;=判定条件!$C$7*H390,"運転",IF(I390&lt;=判定条件!$C$8*H390,"停止","断続")))</f>
        <v>停止</v>
      </c>
      <c r="K390" s="30" t="n">
        <v>60</v>
      </c>
      <c r="L390" s="30" t="n">
        <v>60</v>
      </c>
      <c r="M390" s="30" t="str">
        <f aca="false">IF(K390&lt;判定条件!$C$6,"判定不能",IF(L390&gt;=判定条件!$C$7*K390,"運転",IF(L390&lt;=判定条件!$C$8*K390,"停止","断続")))</f>
        <v>運転</v>
      </c>
      <c r="N390" s="30" t="n">
        <v>60</v>
      </c>
      <c r="O390" s="30" t="n">
        <v>0</v>
      </c>
      <c r="P390" s="30" t="str">
        <f aca="false">IF(N390&lt;判定条件!$C$6,"判定不能",IF(O390&gt;=判定条件!$C$7*N390,"運転",IF(O390&lt;=判定条件!$C$8*N390,"停止","断続")))</f>
        <v>停止</v>
      </c>
      <c r="Q390" s="30" t="n">
        <v>60</v>
      </c>
      <c r="R390" s="30" t="n">
        <v>0</v>
      </c>
      <c r="S390" s="30" t="str">
        <f aca="false">IF(Q390&lt;判定条件!$C$6,"判定不能",IF(R390&gt;=判定条件!$C$7*Q390,"運転",IF(R390&lt;=判定条件!$C$8*Q390,"停止","断続")))</f>
        <v>停止</v>
      </c>
      <c r="T390" s="30" t="n">
        <v>60</v>
      </c>
      <c r="U390" s="30" t="n">
        <v>0</v>
      </c>
      <c r="V390" s="30" t="str">
        <f aca="false">IF(T390&lt;判定条件!$C$6,"判定不能",IF(U390&gt;=判定条件!$C$7*T390,"運転",IF(U390&lt;=判定条件!$C$8*T390,"停止","断続")))</f>
        <v>停止</v>
      </c>
      <c r="W390" s="30" t="n">
        <v>60</v>
      </c>
      <c r="X390" s="30" t="n">
        <v>0</v>
      </c>
      <c r="Y390" s="30" t="str">
        <f aca="false">IF(W390&lt;判定条件!$C$6,"判定不能",IF(X390&gt;=判定条件!$C$7*W390,"運転",IF(X390&lt;=判定条件!$C$8*W390,"停止","断続")))</f>
        <v>停止</v>
      </c>
      <c r="Z390" s="30" t="n">
        <v>60</v>
      </c>
      <c r="AA390" s="30" t="n">
        <v>0</v>
      </c>
      <c r="AB390" s="30" t="str">
        <f aca="false">IF(Z390&lt;判定条件!$C$6,"判定不能",IF(AA390&gt;=判定条件!$C$7*Z390,"運転",IF(AA390&lt;=判定条件!$C$8*Z390,"停止","断続")))</f>
        <v>停止</v>
      </c>
      <c r="AC390" s="30" t="n">
        <v>60</v>
      </c>
      <c r="AD390" s="30" t="n">
        <v>0</v>
      </c>
      <c r="AE390" s="30" t="str">
        <f aca="false">IF(AC390&lt;判定条件!$C$6,"判定不能",IF(AD390&gt;=判定条件!$C$7*AC390,"運転",IF(AD390&lt;=判定条件!$C$8*AC390,"停止","断続")))</f>
        <v>停止</v>
      </c>
      <c r="AF390" s="30" t="n">
        <v>60</v>
      </c>
      <c r="AG390" s="30" t="n">
        <v>0</v>
      </c>
      <c r="AH390" s="30" t="str">
        <f aca="false">IF(OR(P390="判定不能",G390="判定不能"),"判定不能",IF(AG390&gt;=判定条件!$C$9,"利用可",IF(AND(P390="停止",G390="停止"),"両方停止","運転がそろわない")))</f>
        <v>両方停止</v>
      </c>
      <c r="AI390" s="30" t="n">
        <v>60</v>
      </c>
      <c r="AJ390" s="30" t="n">
        <v>0</v>
      </c>
      <c r="AK390" s="30" t="str">
        <f aca="false">IF(OR(S390="判定不能",J390="判定不能"),"判定不能",IF(AJ390&gt;=判定条件!$C$9,"利用可",IF(AND(S390="停止",J390="停止"),"両方停止","運転がそろわない")))</f>
        <v>両方停止</v>
      </c>
      <c r="AL390" s="30" t="n">
        <v>60</v>
      </c>
      <c r="AM390" s="30" t="n">
        <v>0</v>
      </c>
      <c r="AN390" s="30" t="str">
        <f aca="false">IF(OR(V390="判定不能",M390="判定不能"),"判定不能",IF(AM390&gt;=判定条件!$C$9,"利用可",IF(AND(V390="停止",M390="停止"),"両方停止","運転がそろわない")))</f>
        <v>運転がそろわない</v>
      </c>
      <c r="AO390" s="30" t="n">
        <v>60</v>
      </c>
      <c r="AP390" s="30" t="n">
        <v>0</v>
      </c>
      <c r="AQ390" s="30" t="str">
        <f aca="false">IF(OR(Y390="判定不能",G390="判定不能"),"判定不能",IF(AP390&gt;=判定条件!$C$9,"利用可",IF(AND(Y390="停止",G390="停止"),"両方停止","運転がそろわない")))</f>
        <v>両方停止</v>
      </c>
      <c r="AR390" s="30" t="n">
        <v>60</v>
      </c>
      <c r="AS390" s="30" t="n">
        <v>0</v>
      </c>
      <c r="AT390" s="30" t="str">
        <f aca="false">IF(OR(AB390="判定不能",J390="判定不能"),"判定不能",IF(AS390&gt;=判定条件!$C$9,"利用可",IF(AND(AB390="停止",J390="停止"),"両方停止","運転がそろわない")))</f>
        <v>両方停止</v>
      </c>
      <c r="AU390" s="30" t="n">
        <v>60</v>
      </c>
      <c r="AV390" s="30" t="n">
        <v>0</v>
      </c>
      <c r="AW390" s="30" t="str">
        <f aca="false">IF(OR(AE390="判定不能",M390="判定不能"),"判定不能",IF(AV390&gt;=判定条件!$C$9,"利用可",IF(AND(AE390="停止",M390="停止"),"両方停止","運転がそろわない")))</f>
        <v>運転がそろわない</v>
      </c>
      <c r="AX390" s="30" t="str">
        <f aca="false">IF(AND(AH390="利用可",AK390="利用可",AN390="利用可"),"利用可","不可")</f>
        <v>不可</v>
      </c>
      <c r="AY390" s="30" t="str">
        <f aca="false">IF(AND(AQ390="利用可",AT390="利用可",AW390="利用可"),"利用可","不可")</f>
        <v>不可</v>
      </c>
    </row>
    <row r="391" customFormat="false" ht="15" hidden="false" customHeight="false" outlineLevel="0" collapsed="false">
      <c r="A391" s="29" t="n">
        <v>46248</v>
      </c>
      <c r="B391" s="30" t="n">
        <v>4</v>
      </c>
      <c r="C391" s="31" t="s">
        <v>62</v>
      </c>
      <c r="D391" s="31" t="s">
        <v>59</v>
      </c>
      <c r="E391" s="30" t="n">
        <v>60</v>
      </c>
      <c r="F391" s="30" t="n">
        <v>0</v>
      </c>
      <c r="G391" s="30" t="str">
        <f aca="false">IF(E391&lt;判定条件!$C$6,"判定不能",IF(F391&gt;=判定条件!$C$7*E391,"運転",IF(F391&lt;=判定条件!$C$8*E391,"停止","断続")))</f>
        <v>停止</v>
      </c>
      <c r="H391" s="30" t="n">
        <v>60</v>
      </c>
      <c r="I391" s="30" t="n">
        <v>0</v>
      </c>
      <c r="J391" s="30" t="str">
        <f aca="false">IF(H391&lt;判定条件!$C$6,"判定不能",IF(I391&gt;=判定条件!$C$7*H391,"運転",IF(I391&lt;=判定条件!$C$8*H391,"停止","断続")))</f>
        <v>停止</v>
      </c>
      <c r="K391" s="30" t="n">
        <v>60</v>
      </c>
      <c r="L391" s="30" t="n">
        <v>60</v>
      </c>
      <c r="M391" s="30" t="str">
        <f aca="false">IF(K391&lt;判定条件!$C$6,"判定不能",IF(L391&gt;=判定条件!$C$7*K391,"運転",IF(L391&lt;=判定条件!$C$8*K391,"停止","断続")))</f>
        <v>運転</v>
      </c>
      <c r="N391" s="30" t="n">
        <v>60</v>
      </c>
      <c r="O391" s="30" t="n">
        <v>0</v>
      </c>
      <c r="P391" s="30" t="str">
        <f aca="false">IF(N391&lt;判定条件!$C$6,"判定不能",IF(O391&gt;=判定条件!$C$7*N391,"運転",IF(O391&lt;=判定条件!$C$8*N391,"停止","断続")))</f>
        <v>停止</v>
      </c>
      <c r="Q391" s="30" t="n">
        <v>60</v>
      </c>
      <c r="R391" s="30" t="n">
        <v>0</v>
      </c>
      <c r="S391" s="30" t="str">
        <f aca="false">IF(Q391&lt;判定条件!$C$6,"判定不能",IF(R391&gt;=判定条件!$C$7*Q391,"運転",IF(R391&lt;=判定条件!$C$8*Q391,"停止","断続")))</f>
        <v>停止</v>
      </c>
      <c r="T391" s="30" t="n">
        <v>60</v>
      </c>
      <c r="U391" s="30" t="n">
        <v>0</v>
      </c>
      <c r="V391" s="30" t="str">
        <f aca="false">IF(T391&lt;判定条件!$C$6,"判定不能",IF(U391&gt;=判定条件!$C$7*T391,"運転",IF(U391&lt;=判定条件!$C$8*T391,"停止","断続")))</f>
        <v>停止</v>
      </c>
      <c r="W391" s="30" t="n">
        <v>60</v>
      </c>
      <c r="X391" s="30" t="n">
        <v>0</v>
      </c>
      <c r="Y391" s="30" t="str">
        <f aca="false">IF(W391&lt;判定条件!$C$6,"判定不能",IF(X391&gt;=判定条件!$C$7*W391,"運転",IF(X391&lt;=判定条件!$C$8*W391,"停止","断続")))</f>
        <v>停止</v>
      </c>
      <c r="Z391" s="30" t="n">
        <v>60</v>
      </c>
      <c r="AA391" s="30" t="n">
        <v>0</v>
      </c>
      <c r="AB391" s="30" t="str">
        <f aca="false">IF(Z391&lt;判定条件!$C$6,"判定不能",IF(AA391&gt;=判定条件!$C$7*Z391,"運転",IF(AA391&lt;=判定条件!$C$8*Z391,"停止","断続")))</f>
        <v>停止</v>
      </c>
      <c r="AC391" s="30" t="n">
        <v>60</v>
      </c>
      <c r="AD391" s="30" t="n">
        <v>0</v>
      </c>
      <c r="AE391" s="30" t="str">
        <f aca="false">IF(AC391&lt;判定条件!$C$6,"判定不能",IF(AD391&gt;=判定条件!$C$7*AC391,"運転",IF(AD391&lt;=判定条件!$C$8*AC391,"停止","断続")))</f>
        <v>停止</v>
      </c>
      <c r="AF391" s="30" t="n">
        <v>60</v>
      </c>
      <c r="AG391" s="30" t="n">
        <v>0</v>
      </c>
      <c r="AH391" s="30" t="str">
        <f aca="false">IF(OR(P391="判定不能",G391="判定不能"),"判定不能",IF(AG391&gt;=判定条件!$C$9,"利用可",IF(AND(P391="停止",G391="停止"),"両方停止","運転がそろわない")))</f>
        <v>両方停止</v>
      </c>
      <c r="AI391" s="30" t="n">
        <v>60</v>
      </c>
      <c r="AJ391" s="30" t="n">
        <v>0</v>
      </c>
      <c r="AK391" s="30" t="str">
        <f aca="false">IF(OR(S391="判定不能",J391="判定不能"),"判定不能",IF(AJ391&gt;=判定条件!$C$9,"利用可",IF(AND(S391="停止",J391="停止"),"両方停止","運転がそろわない")))</f>
        <v>両方停止</v>
      </c>
      <c r="AL391" s="30" t="n">
        <v>60</v>
      </c>
      <c r="AM391" s="30" t="n">
        <v>0</v>
      </c>
      <c r="AN391" s="30" t="str">
        <f aca="false">IF(OR(V391="判定不能",M391="判定不能"),"判定不能",IF(AM391&gt;=判定条件!$C$9,"利用可",IF(AND(V391="停止",M391="停止"),"両方停止","運転がそろわない")))</f>
        <v>運転がそろわない</v>
      </c>
      <c r="AO391" s="30" t="n">
        <v>60</v>
      </c>
      <c r="AP391" s="30" t="n">
        <v>0</v>
      </c>
      <c r="AQ391" s="30" t="str">
        <f aca="false">IF(OR(Y391="判定不能",G391="判定不能"),"判定不能",IF(AP391&gt;=判定条件!$C$9,"利用可",IF(AND(Y391="停止",G391="停止"),"両方停止","運転がそろわない")))</f>
        <v>両方停止</v>
      </c>
      <c r="AR391" s="30" t="n">
        <v>60</v>
      </c>
      <c r="AS391" s="30" t="n">
        <v>0</v>
      </c>
      <c r="AT391" s="30" t="str">
        <f aca="false">IF(OR(AB391="判定不能",J391="判定不能"),"判定不能",IF(AS391&gt;=判定条件!$C$9,"利用可",IF(AND(AB391="停止",J391="停止"),"両方停止","運転がそろわない")))</f>
        <v>両方停止</v>
      </c>
      <c r="AU391" s="30" t="n">
        <v>60</v>
      </c>
      <c r="AV391" s="30" t="n">
        <v>0</v>
      </c>
      <c r="AW391" s="30" t="str">
        <f aca="false">IF(OR(AE391="判定不能",M391="判定不能"),"判定不能",IF(AV391&gt;=判定条件!$C$9,"利用可",IF(AND(AE391="停止",M391="停止"),"両方停止","運転がそろわない")))</f>
        <v>運転がそろわない</v>
      </c>
      <c r="AX391" s="30" t="str">
        <f aca="false">IF(AND(AH391="利用可",AK391="利用可",AN391="利用可"),"利用可","不可")</f>
        <v>不可</v>
      </c>
      <c r="AY391" s="30" t="str">
        <f aca="false">IF(AND(AQ391="利用可",AT391="利用可",AW391="利用可"),"利用可","不可")</f>
        <v>不可</v>
      </c>
    </row>
    <row r="392" customFormat="false" ht="15" hidden="false" customHeight="false" outlineLevel="0" collapsed="false">
      <c r="A392" s="29" t="n">
        <v>46248</v>
      </c>
      <c r="B392" s="30" t="n">
        <v>5</v>
      </c>
      <c r="C392" s="31" t="s">
        <v>62</v>
      </c>
      <c r="D392" s="31" t="s">
        <v>59</v>
      </c>
      <c r="E392" s="30" t="n">
        <v>60</v>
      </c>
      <c r="F392" s="30" t="n">
        <v>0</v>
      </c>
      <c r="G392" s="30" t="str">
        <f aca="false">IF(E392&lt;判定条件!$C$6,"判定不能",IF(F392&gt;=判定条件!$C$7*E392,"運転",IF(F392&lt;=判定条件!$C$8*E392,"停止","断続")))</f>
        <v>停止</v>
      </c>
      <c r="H392" s="30" t="n">
        <v>60</v>
      </c>
      <c r="I392" s="30" t="n">
        <v>0</v>
      </c>
      <c r="J392" s="30" t="str">
        <f aca="false">IF(H392&lt;判定条件!$C$6,"判定不能",IF(I392&gt;=判定条件!$C$7*H392,"運転",IF(I392&lt;=判定条件!$C$8*H392,"停止","断続")))</f>
        <v>停止</v>
      </c>
      <c r="K392" s="30" t="n">
        <v>60</v>
      </c>
      <c r="L392" s="30" t="n">
        <v>60</v>
      </c>
      <c r="M392" s="30" t="str">
        <f aca="false">IF(K392&lt;判定条件!$C$6,"判定不能",IF(L392&gt;=判定条件!$C$7*K392,"運転",IF(L392&lt;=判定条件!$C$8*K392,"停止","断続")))</f>
        <v>運転</v>
      </c>
      <c r="N392" s="30" t="n">
        <v>60</v>
      </c>
      <c r="O392" s="30" t="n">
        <v>0</v>
      </c>
      <c r="P392" s="30" t="str">
        <f aca="false">IF(N392&lt;判定条件!$C$6,"判定不能",IF(O392&gt;=判定条件!$C$7*N392,"運転",IF(O392&lt;=判定条件!$C$8*N392,"停止","断続")))</f>
        <v>停止</v>
      </c>
      <c r="Q392" s="30" t="n">
        <v>60</v>
      </c>
      <c r="R392" s="30" t="n">
        <v>0</v>
      </c>
      <c r="S392" s="30" t="str">
        <f aca="false">IF(Q392&lt;判定条件!$C$6,"判定不能",IF(R392&gt;=判定条件!$C$7*Q392,"運転",IF(R392&lt;=判定条件!$C$8*Q392,"停止","断続")))</f>
        <v>停止</v>
      </c>
      <c r="T392" s="30" t="n">
        <v>60</v>
      </c>
      <c r="U392" s="30" t="n">
        <v>0</v>
      </c>
      <c r="V392" s="30" t="str">
        <f aca="false">IF(T392&lt;判定条件!$C$6,"判定不能",IF(U392&gt;=判定条件!$C$7*T392,"運転",IF(U392&lt;=判定条件!$C$8*T392,"停止","断続")))</f>
        <v>停止</v>
      </c>
      <c r="W392" s="30" t="n">
        <v>60</v>
      </c>
      <c r="X392" s="30" t="n">
        <v>0</v>
      </c>
      <c r="Y392" s="30" t="str">
        <f aca="false">IF(W392&lt;判定条件!$C$6,"判定不能",IF(X392&gt;=判定条件!$C$7*W392,"運転",IF(X392&lt;=判定条件!$C$8*W392,"停止","断続")))</f>
        <v>停止</v>
      </c>
      <c r="Z392" s="30" t="n">
        <v>60</v>
      </c>
      <c r="AA392" s="30" t="n">
        <v>0</v>
      </c>
      <c r="AB392" s="30" t="str">
        <f aca="false">IF(Z392&lt;判定条件!$C$6,"判定不能",IF(AA392&gt;=判定条件!$C$7*Z392,"運転",IF(AA392&lt;=判定条件!$C$8*Z392,"停止","断続")))</f>
        <v>停止</v>
      </c>
      <c r="AC392" s="30" t="n">
        <v>60</v>
      </c>
      <c r="AD392" s="30" t="n">
        <v>0</v>
      </c>
      <c r="AE392" s="30" t="str">
        <f aca="false">IF(AC392&lt;判定条件!$C$6,"判定不能",IF(AD392&gt;=判定条件!$C$7*AC392,"運転",IF(AD392&lt;=判定条件!$C$8*AC392,"停止","断続")))</f>
        <v>停止</v>
      </c>
      <c r="AF392" s="30" t="n">
        <v>60</v>
      </c>
      <c r="AG392" s="30" t="n">
        <v>0</v>
      </c>
      <c r="AH392" s="30" t="str">
        <f aca="false">IF(OR(P392="判定不能",G392="判定不能"),"判定不能",IF(AG392&gt;=判定条件!$C$9,"利用可",IF(AND(P392="停止",G392="停止"),"両方停止","運転がそろわない")))</f>
        <v>両方停止</v>
      </c>
      <c r="AI392" s="30" t="n">
        <v>60</v>
      </c>
      <c r="AJ392" s="30" t="n">
        <v>0</v>
      </c>
      <c r="AK392" s="30" t="str">
        <f aca="false">IF(OR(S392="判定不能",J392="判定不能"),"判定不能",IF(AJ392&gt;=判定条件!$C$9,"利用可",IF(AND(S392="停止",J392="停止"),"両方停止","運転がそろわない")))</f>
        <v>両方停止</v>
      </c>
      <c r="AL392" s="30" t="n">
        <v>60</v>
      </c>
      <c r="AM392" s="30" t="n">
        <v>0</v>
      </c>
      <c r="AN392" s="30" t="str">
        <f aca="false">IF(OR(V392="判定不能",M392="判定不能"),"判定不能",IF(AM392&gt;=判定条件!$C$9,"利用可",IF(AND(V392="停止",M392="停止"),"両方停止","運転がそろわない")))</f>
        <v>運転がそろわない</v>
      </c>
      <c r="AO392" s="30" t="n">
        <v>60</v>
      </c>
      <c r="AP392" s="30" t="n">
        <v>0</v>
      </c>
      <c r="AQ392" s="30" t="str">
        <f aca="false">IF(OR(Y392="判定不能",G392="判定不能"),"判定不能",IF(AP392&gt;=判定条件!$C$9,"利用可",IF(AND(Y392="停止",G392="停止"),"両方停止","運転がそろわない")))</f>
        <v>両方停止</v>
      </c>
      <c r="AR392" s="30" t="n">
        <v>60</v>
      </c>
      <c r="AS392" s="30" t="n">
        <v>0</v>
      </c>
      <c r="AT392" s="30" t="str">
        <f aca="false">IF(OR(AB392="判定不能",J392="判定不能"),"判定不能",IF(AS392&gt;=判定条件!$C$9,"利用可",IF(AND(AB392="停止",J392="停止"),"両方停止","運転がそろわない")))</f>
        <v>両方停止</v>
      </c>
      <c r="AU392" s="30" t="n">
        <v>60</v>
      </c>
      <c r="AV392" s="30" t="n">
        <v>0</v>
      </c>
      <c r="AW392" s="30" t="str">
        <f aca="false">IF(OR(AE392="判定不能",M392="判定不能"),"判定不能",IF(AV392&gt;=判定条件!$C$9,"利用可",IF(AND(AE392="停止",M392="停止"),"両方停止","運転がそろわない")))</f>
        <v>運転がそろわない</v>
      </c>
      <c r="AX392" s="30" t="str">
        <f aca="false">IF(AND(AH392="利用可",AK392="利用可",AN392="利用可"),"利用可","不可")</f>
        <v>不可</v>
      </c>
      <c r="AY392" s="30" t="str">
        <f aca="false">IF(AND(AQ392="利用可",AT392="利用可",AW392="利用可"),"利用可","不可")</f>
        <v>不可</v>
      </c>
    </row>
    <row r="393" customFormat="false" ht="15" hidden="false" customHeight="false" outlineLevel="0" collapsed="false">
      <c r="A393" s="29" t="n">
        <v>46248</v>
      </c>
      <c r="B393" s="30" t="n">
        <v>6</v>
      </c>
      <c r="C393" s="31" t="s">
        <v>62</v>
      </c>
      <c r="D393" s="31" t="s">
        <v>59</v>
      </c>
      <c r="E393" s="30" t="n">
        <v>60</v>
      </c>
      <c r="F393" s="30" t="n">
        <v>0</v>
      </c>
      <c r="G393" s="30" t="str">
        <f aca="false">IF(E393&lt;判定条件!$C$6,"判定不能",IF(F393&gt;=判定条件!$C$7*E393,"運転",IF(F393&lt;=判定条件!$C$8*E393,"停止","断続")))</f>
        <v>停止</v>
      </c>
      <c r="H393" s="30" t="n">
        <v>60</v>
      </c>
      <c r="I393" s="30" t="n">
        <v>0</v>
      </c>
      <c r="J393" s="30" t="str">
        <f aca="false">IF(H393&lt;判定条件!$C$6,"判定不能",IF(I393&gt;=判定条件!$C$7*H393,"運転",IF(I393&lt;=判定条件!$C$8*H393,"停止","断続")))</f>
        <v>停止</v>
      </c>
      <c r="K393" s="30" t="n">
        <v>60</v>
      </c>
      <c r="L393" s="30" t="n">
        <v>60</v>
      </c>
      <c r="M393" s="30" t="str">
        <f aca="false">IF(K393&lt;判定条件!$C$6,"判定不能",IF(L393&gt;=判定条件!$C$7*K393,"運転",IF(L393&lt;=判定条件!$C$8*K393,"停止","断続")))</f>
        <v>運転</v>
      </c>
      <c r="N393" s="30" t="n">
        <v>60</v>
      </c>
      <c r="O393" s="30" t="n">
        <v>5</v>
      </c>
      <c r="P393" s="30" t="str">
        <f aca="false">IF(N393&lt;判定条件!$C$6,"判定不能",IF(O393&gt;=判定条件!$C$7*N393,"運転",IF(O393&lt;=判定条件!$C$8*N393,"停止","断続")))</f>
        <v>停止</v>
      </c>
      <c r="Q393" s="30" t="n">
        <v>60</v>
      </c>
      <c r="R393" s="30" t="n">
        <v>0</v>
      </c>
      <c r="S393" s="30" t="str">
        <f aca="false">IF(Q393&lt;判定条件!$C$6,"判定不能",IF(R393&gt;=判定条件!$C$7*Q393,"運転",IF(R393&lt;=判定条件!$C$8*Q393,"停止","断続")))</f>
        <v>停止</v>
      </c>
      <c r="T393" s="30" t="n">
        <v>60</v>
      </c>
      <c r="U393" s="30" t="n">
        <v>6</v>
      </c>
      <c r="V393" s="30" t="str">
        <f aca="false">IF(T393&lt;判定条件!$C$6,"判定不能",IF(U393&gt;=判定条件!$C$7*T393,"運転",IF(U393&lt;=判定条件!$C$8*T393,"停止","断続")))</f>
        <v>停止</v>
      </c>
      <c r="W393" s="30" t="n">
        <v>60</v>
      </c>
      <c r="X393" s="30" t="n">
        <v>28</v>
      </c>
      <c r="Y393" s="30" t="str">
        <f aca="false">IF(W393&lt;判定条件!$C$6,"判定不能",IF(X393&gt;=判定条件!$C$7*W393,"運転",IF(X393&lt;=判定条件!$C$8*W393,"停止","断続")))</f>
        <v>断続</v>
      </c>
      <c r="Z393" s="30" t="n">
        <v>60</v>
      </c>
      <c r="AA393" s="30" t="n">
        <v>17</v>
      </c>
      <c r="AB393" s="30" t="str">
        <f aca="false">IF(Z393&lt;判定条件!$C$6,"判定不能",IF(AA393&gt;=判定条件!$C$7*Z393,"運転",IF(AA393&lt;=判定条件!$C$8*Z393,"停止","断続")))</f>
        <v>断続</v>
      </c>
      <c r="AC393" s="30" t="n">
        <v>60</v>
      </c>
      <c r="AD393" s="30" t="n">
        <v>35</v>
      </c>
      <c r="AE393" s="30" t="str">
        <f aca="false">IF(AC393&lt;判定条件!$C$6,"判定不能",IF(AD393&gt;=判定条件!$C$7*AC393,"運転",IF(AD393&lt;=判定条件!$C$8*AC393,"停止","断続")))</f>
        <v>断続</v>
      </c>
      <c r="AF393" s="30" t="n">
        <v>60</v>
      </c>
      <c r="AG393" s="30" t="n">
        <v>0</v>
      </c>
      <c r="AH393" s="30" t="str">
        <f aca="false">IF(OR(P393="判定不能",G393="判定不能"),"判定不能",IF(AG393&gt;=判定条件!$C$9,"利用可",IF(AND(P393="停止",G393="停止"),"両方停止","運転がそろわない")))</f>
        <v>両方停止</v>
      </c>
      <c r="AI393" s="30" t="n">
        <v>60</v>
      </c>
      <c r="AJ393" s="30" t="n">
        <v>0</v>
      </c>
      <c r="AK393" s="30" t="str">
        <f aca="false">IF(OR(S393="判定不能",J393="判定不能"),"判定不能",IF(AJ393&gt;=判定条件!$C$9,"利用可",IF(AND(S393="停止",J393="停止"),"両方停止","運転がそろわない")))</f>
        <v>両方停止</v>
      </c>
      <c r="AL393" s="30" t="n">
        <v>60</v>
      </c>
      <c r="AM393" s="30" t="n">
        <v>6</v>
      </c>
      <c r="AN393" s="30" t="str">
        <f aca="false">IF(OR(V393="判定不能",M393="判定不能"),"判定不能",IF(AM393&gt;=判定条件!$C$9,"利用可",IF(AND(V393="停止",M393="停止"),"両方停止","運転がそろわない")))</f>
        <v>運転がそろわない</v>
      </c>
      <c r="AO393" s="30" t="n">
        <v>60</v>
      </c>
      <c r="AP393" s="30" t="n">
        <v>0</v>
      </c>
      <c r="AQ393" s="30" t="str">
        <f aca="false">IF(OR(Y393="判定不能",G393="判定不能"),"判定不能",IF(AP393&gt;=判定条件!$C$9,"利用可",IF(AND(Y393="停止",G393="停止"),"両方停止","運転がそろわない")))</f>
        <v>運転がそろわない</v>
      </c>
      <c r="AR393" s="30" t="n">
        <v>60</v>
      </c>
      <c r="AS393" s="30" t="n">
        <v>0</v>
      </c>
      <c r="AT393" s="30" t="str">
        <f aca="false">IF(OR(AB393="判定不能",J393="判定不能"),"判定不能",IF(AS393&gt;=判定条件!$C$9,"利用可",IF(AND(AB393="停止",J393="停止"),"両方停止","運転がそろわない")))</f>
        <v>運転がそろわない</v>
      </c>
      <c r="AU393" s="30" t="n">
        <v>60</v>
      </c>
      <c r="AV393" s="30" t="n">
        <v>35</v>
      </c>
      <c r="AW393" s="30" t="str">
        <f aca="false">IF(OR(AE393="判定不能",M393="判定不能"),"判定不能",IF(AV393&gt;=判定条件!$C$9,"利用可",IF(AND(AE393="停止",M393="停止"),"両方停止","運転がそろわない")))</f>
        <v>利用可</v>
      </c>
      <c r="AX393" s="30" t="str">
        <f aca="false">IF(AND(AH393="利用可",AK393="利用可",AN393="利用可"),"利用可","不可")</f>
        <v>不可</v>
      </c>
      <c r="AY393" s="30" t="str">
        <f aca="false">IF(AND(AQ393="利用可",AT393="利用可",AW393="利用可"),"利用可","不可")</f>
        <v>不可</v>
      </c>
    </row>
    <row r="394" customFormat="false" ht="15" hidden="false" customHeight="false" outlineLevel="0" collapsed="false">
      <c r="A394" s="29" t="n">
        <v>46248</v>
      </c>
      <c r="B394" s="30" t="n">
        <v>7</v>
      </c>
      <c r="C394" s="31" t="s">
        <v>62</v>
      </c>
      <c r="D394" s="31" t="s">
        <v>59</v>
      </c>
      <c r="E394" s="30" t="n">
        <v>60</v>
      </c>
      <c r="F394" s="30" t="n">
        <v>0</v>
      </c>
      <c r="G394" s="30" t="str">
        <f aca="false">IF(E394&lt;判定条件!$C$6,"判定不能",IF(F394&gt;=判定条件!$C$7*E394,"運転",IF(F394&lt;=判定条件!$C$8*E394,"停止","断続")))</f>
        <v>停止</v>
      </c>
      <c r="H394" s="30" t="n">
        <v>60</v>
      </c>
      <c r="I394" s="30" t="n">
        <v>0</v>
      </c>
      <c r="J394" s="30" t="str">
        <f aca="false">IF(H394&lt;判定条件!$C$6,"判定不能",IF(I394&gt;=判定条件!$C$7*H394,"運転",IF(I394&lt;=判定条件!$C$8*H394,"停止","断続")))</f>
        <v>停止</v>
      </c>
      <c r="K394" s="30" t="n">
        <v>60</v>
      </c>
      <c r="L394" s="30" t="n">
        <v>60</v>
      </c>
      <c r="M394" s="30" t="str">
        <f aca="false">IF(K394&lt;判定条件!$C$6,"判定不能",IF(L394&gt;=判定条件!$C$7*K394,"運転",IF(L394&lt;=判定条件!$C$8*K394,"停止","断続")))</f>
        <v>運転</v>
      </c>
      <c r="N394" s="30" t="n">
        <v>60</v>
      </c>
      <c r="O394" s="30" t="n">
        <v>51</v>
      </c>
      <c r="P394" s="30" t="str">
        <f aca="false">IF(N394&lt;判定条件!$C$6,"判定不能",IF(O394&gt;=判定条件!$C$7*N394,"運転",IF(O394&lt;=判定条件!$C$8*N394,"停止","断続")))</f>
        <v>運転</v>
      </c>
      <c r="Q394" s="30" t="n">
        <v>60</v>
      </c>
      <c r="R394" s="30" t="n">
        <v>0</v>
      </c>
      <c r="S394" s="30" t="str">
        <f aca="false">IF(Q394&lt;判定条件!$C$6,"判定不能",IF(R394&gt;=判定条件!$C$7*Q394,"運転",IF(R394&lt;=判定条件!$C$8*Q394,"停止","断続")))</f>
        <v>停止</v>
      </c>
      <c r="T394" s="30" t="n">
        <v>60</v>
      </c>
      <c r="U394" s="30" t="n">
        <v>60</v>
      </c>
      <c r="V394" s="30" t="str">
        <f aca="false">IF(T394&lt;判定条件!$C$6,"判定不能",IF(U394&gt;=判定条件!$C$7*T394,"運転",IF(U394&lt;=判定条件!$C$8*T394,"停止","断続")))</f>
        <v>運転</v>
      </c>
      <c r="W394" s="30" t="n">
        <v>60</v>
      </c>
      <c r="X394" s="30" t="n">
        <v>60</v>
      </c>
      <c r="Y394" s="30" t="str">
        <f aca="false">IF(W394&lt;判定条件!$C$6,"判定不能",IF(X394&gt;=判定条件!$C$7*W394,"運転",IF(X394&lt;=判定条件!$C$8*W394,"停止","断続")))</f>
        <v>運転</v>
      </c>
      <c r="Z394" s="30" t="n">
        <v>60</v>
      </c>
      <c r="AA394" s="30" t="n">
        <v>8</v>
      </c>
      <c r="AB394" s="30" t="str">
        <f aca="false">IF(Z394&lt;判定条件!$C$6,"判定不能",IF(AA394&gt;=判定条件!$C$7*Z394,"運転",IF(AA394&lt;=判定条件!$C$8*Z394,"停止","断続")))</f>
        <v>停止</v>
      </c>
      <c r="AC394" s="30" t="n">
        <v>60</v>
      </c>
      <c r="AD394" s="30" t="n">
        <v>60</v>
      </c>
      <c r="AE394" s="30" t="str">
        <f aca="false">IF(AC394&lt;判定条件!$C$6,"判定不能",IF(AD394&gt;=判定条件!$C$7*AC394,"運転",IF(AD394&lt;=判定条件!$C$8*AC394,"停止","断続")))</f>
        <v>運転</v>
      </c>
      <c r="AF394" s="30" t="n">
        <v>60</v>
      </c>
      <c r="AG394" s="30" t="n">
        <v>0</v>
      </c>
      <c r="AH394" s="30" t="str">
        <f aca="false">IF(OR(P394="判定不能",G394="判定不能"),"判定不能",IF(AG394&gt;=判定条件!$C$9,"利用可",IF(AND(P394="停止",G394="停止"),"両方停止","運転がそろわない")))</f>
        <v>運転がそろわない</v>
      </c>
      <c r="AI394" s="30" t="n">
        <v>60</v>
      </c>
      <c r="AJ394" s="30" t="n">
        <v>0</v>
      </c>
      <c r="AK394" s="30" t="str">
        <f aca="false">IF(OR(S394="判定不能",J394="判定不能"),"判定不能",IF(AJ394&gt;=判定条件!$C$9,"利用可",IF(AND(S394="停止",J394="停止"),"両方停止","運転がそろわない")))</f>
        <v>両方停止</v>
      </c>
      <c r="AL394" s="30" t="n">
        <v>60</v>
      </c>
      <c r="AM394" s="30" t="n">
        <v>60</v>
      </c>
      <c r="AN394" s="30" t="str">
        <f aca="false">IF(OR(V394="判定不能",M394="判定不能"),"判定不能",IF(AM394&gt;=判定条件!$C$9,"利用可",IF(AND(V394="停止",M394="停止"),"両方停止","運転がそろわない")))</f>
        <v>利用可</v>
      </c>
      <c r="AO394" s="30" t="n">
        <v>60</v>
      </c>
      <c r="AP394" s="30" t="n">
        <v>0</v>
      </c>
      <c r="AQ394" s="30" t="str">
        <f aca="false">IF(OR(Y394="判定不能",G394="判定不能"),"判定不能",IF(AP394&gt;=判定条件!$C$9,"利用可",IF(AND(Y394="停止",G394="停止"),"両方停止","運転がそろわない")))</f>
        <v>運転がそろわない</v>
      </c>
      <c r="AR394" s="30" t="n">
        <v>60</v>
      </c>
      <c r="AS394" s="30" t="n">
        <v>0</v>
      </c>
      <c r="AT394" s="30" t="str">
        <f aca="false">IF(OR(AB394="判定不能",J394="判定不能"),"判定不能",IF(AS394&gt;=判定条件!$C$9,"利用可",IF(AND(AB394="停止",J394="停止"),"両方停止","運転がそろわない")))</f>
        <v>両方停止</v>
      </c>
      <c r="AU394" s="30" t="n">
        <v>60</v>
      </c>
      <c r="AV394" s="30" t="n">
        <v>60</v>
      </c>
      <c r="AW394" s="30" t="str">
        <f aca="false">IF(OR(AE394="判定不能",M394="判定不能"),"判定不能",IF(AV394&gt;=判定条件!$C$9,"利用可",IF(AND(AE394="停止",M394="停止"),"両方停止","運転がそろわない")))</f>
        <v>利用可</v>
      </c>
      <c r="AX394" s="30" t="str">
        <f aca="false">IF(AND(AH394="利用可",AK394="利用可",AN394="利用可"),"利用可","不可")</f>
        <v>不可</v>
      </c>
      <c r="AY394" s="30" t="str">
        <f aca="false">IF(AND(AQ394="利用可",AT394="利用可",AW394="利用可"),"利用可","不可")</f>
        <v>不可</v>
      </c>
    </row>
    <row r="395" customFormat="false" ht="15" hidden="false" customHeight="false" outlineLevel="0" collapsed="false">
      <c r="A395" s="29" t="n">
        <v>46248</v>
      </c>
      <c r="B395" s="30" t="n">
        <v>8</v>
      </c>
      <c r="C395" s="31" t="s">
        <v>62</v>
      </c>
      <c r="D395" s="31" t="s">
        <v>59</v>
      </c>
      <c r="E395" s="30" t="n">
        <v>60</v>
      </c>
      <c r="F395" s="30" t="n">
        <v>5</v>
      </c>
      <c r="G395" s="30" t="str">
        <f aca="false">IF(E395&lt;判定条件!$C$6,"判定不能",IF(F395&gt;=判定条件!$C$7*E395,"運転",IF(F395&lt;=判定条件!$C$8*E395,"停止","断続")))</f>
        <v>停止</v>
      </c>
      <c r="H395" s="30" t="n">
        <v>60</v>
      </c>
      <c r="I395" s="30" t="n">
        <v>0</v>
      </c>
      <c r="J395" s="30" t="str">
        <f aca="false">IF(H395&lt;判定条件!$C$6,"判定不能",IF(I395&gt;=判定条件!$C$7*H395,"運転",IF(I395&lt;=判定条件!$C$8*H395,"停止","断続")))</f>
        <v>停止</v>
      </c>
      <c r="K395" s="30" t="n">
        <v>60</v>
      </c>
      <c r="L395" s="30" t="n">
        <v>60</v>
      </c>
      <c r="M395" s="30" t="str">
        <f aca="false">IF(K395&lt;判定条件!$C$6,"判定不能",IF(L395&gt;=判定条件!$C$7*K395,"運転",IF(L395&lt;=判定条件!$C$8*K395,"停止","断続")))</f>
        <v>運転</v>
      </c>
      <c r="N395" s="30" t="n">
        <v>60</v>
      </c>
      <c r="O395" s="30" t="n">
        <v>55</v>
      </c>
      <c r="P395" s="30" t="str">
        <f aca="false">IF(N395&lt;判定条件!$C$6,"判定不能",IF(O395&gt;=判定条件!$C$7*N395,"運転",IF(O395&lt;=判定条件!$C$8*N395,"停止","断続")))</f>
        <v>運転</v>
      </c>
      <c r="Q395" s="30" t="n">
        <v>60</v>
      </c>
      <c r="R395" s="30" t="n">
        <v>24</v>
      </c>
      <c r="S395" s="30" t="str">
        <f aca="false">IF(Q395&lt;判定条件!$C$6,"判定不能",IF(R395&gt;=判定条件!$C$7*Q395,"運転",IF(R395&lt;=判定条件!$C$8*Q395,"停止","断続")))</f>
        <v>断続</v>
      </c>
      <c r="T395" s="30" t="n">
        <v>60</v>
      </c>
      <c r="U395" s="30" t="n">
        <v>60</v>
      </c>
      <c r="V395" s="30" t="str">
        <f aca="false">IF(T395&lt;判定条件!$C$6,"判定不能",IF(U395&gt;=判定条件!$C$7*T395,"運転",IF(U395&lt;=判定条件!$C$8*T395,"停止","断続")))</f>
        <v>運転</v>
      </c>
      <c r="W395" s="30" t="n">
        <v>60</v>
      </c>
      <c r="X395" s="30" t="n">
        <v>60</v>
      </c>
      <c r="Y395" s="30" t="str">
        <f aca="false">IF(W395&lt;判定条件!$C$6,"判定不能",IF(X395&gt;=判定条件!$C$7*W395,"運転",IF(X395&lt;=判定条件!$C$8*W395,"停止","断続")))</f>
        <v>運転</v>
      </c>
      <c r="Z395" s="30" t="n">
        <v>60</v>
      </c>
      <c r="AA395" s="30" t="n">
        <v>58</v>
      </c>
      <c r="AB395" s="30" t="str">
        <f aca="false">IF(Z395&lt;判定条件!$C$6,"判定不能",IF(AA395&gt;=判定条件!$C$7*Z395,"運転",IF(AA395&lt;=判定条件!$C$8*Z395,"停止","断続")))</f>
        <v>運転</v>
      </c>
      <c r="AC395" s="30" t="n">
        <v>60</v>
      </c>
      <c r="AD395" s="30" t="n">
        <v>60</v>
      </c>
      <c r="AE395" s="30" t="str">
        <f aca="false">IF(AC395&lt;判定条件!$C$6,"判定不能",IF(AD395&gt;=判定条件!$C$7*AC395,"運転",IF(AD395&lt;=判定条件!$C$8*AC395,"停止","断続")))</f>
        <v>運転</v>
      </c>
      <c r="AF395" s="30" t="n">
        <v>60</v>
      </c>
      <c r="AG395" s="30" t="n">
        <v>2</v>
      </c>
      <c r="AH395" s="30" t="str">
        <f aca="false">IF(OR(P395="判定不能",G395="判定不能"),"判定不能",IF(AG395&gt;=判定条件!$C$9,"利用可",IF(AND(P395="停止",G395="停止"),"両方停止","運転がそろわない")))</f>
        <v>運転がそろわない</v>
      </c>
      <c r="AI395" s="30" t="n">
        <v>60</v>
      </c>
      <c r="AJ395" s="30" t="n">
        <v>0</v>
      </c>
      <c r="AK395" s="30" t="str">
        <f aca="false">IF(OR(S395="判定不能",J395="判定不能"),"判定不能",IF(AJ395&gt;=判定条件!$C$9,"利用可",IF(AND(S395="停止",J395="停止"),"両方停止","運転がそろわない")))</f>
        <v>運転がそろわない</v>
      </c>
      <c r="AL395" s="30" t="n">
        <v>60</v>
      </c>
      <c r="AM395" s="30" t="n">
        <v>60</v>
      </c>
      <c r="AN395" s="30" t="str">
        <f aca="false">IF(OR(V395="判定不能",M395="判定不能"),"判定不能",IF(AM395&gt;=判定条件!$C$9,"利用可",IF(AND(V395="停止",M395="停止"),"両方停止","運転がそろわない")))</f>
        <v>利用可</v>
      </c>
      <c r="AO395" s="30" t="n">
        <v>60</v>
      </c>
      <c r="AP395" s="30" t="n">
        <v>5</v>
      </c>
      <c r="AQ395" s="30" t="str">
        <f aca="false">IF(OR(Y395="判定不能",G395="判定不能"),"判定不能",IF(AP395&gt;=判定条件!$C$9,"利用可",IF(AND(Y395="停止",G395="停止"),"両方停止","運転がそろわない")))</f>
        <v>運転がそろわない</v>
      </c>
      <c r="AR395" s="30" t="n">
        <v>60</v>
      </c>
      <c r="AS395" s="30" t="n">
        <v>0</v>
      </c>
      <c r="AT395" s="30" t="str">
        <f aca="false">IF(OR(AB395="判定不能",J395="判定不能"),"判定不能",IF(AS395&gt;=判定条件!$C$9,"利用可",IF(AND(AB395="停止",J395="停止"),"両方停止","運転がそろわない")))</f>
        <v>運転がそろわない</v>
      </c>
      <c r="AU395" s="30" t="n">
        <v>60</v>
      </c>
      <c r="AV395" s="30" t="n">
        <v>60</v>
      </c>
      <c r="AW395" s="30" t="str">
        <f aca="false">IF(OR(AE395="判定不能",M395="判定不能"),"判定不能",IF(AV395&gt;=判定条件!$C$9,"利用可",IF(AND(AE395="停止",M395="停止"),"両方停止","運転がそろわない")))</f>
        <v>利用可</v>
      </c>
      <c r="AX395" s="30" t="str">
        <f aca="false">IF(AND(AH395="利用可",AK395="利用可",AN395="利用可"),"利用可","不可")</f>
        <v>不可</v>
      </c>
      <c r="AY395" s="30" t="str">
        <f aca="false">IF(AND(AQ395="利用可",AT395="利用可",AW395="利用可"),"利用可","不可")</f>
        <v>不可</v>
      </c>
    </row>
    <row r="396" customFormat="false" ht="15" hidden="false" customHeight="false" outlineLevel="0" collapsed="false">
      <c r="A396" s="29" t="n">
        <v>46248</v>
      </c>
      <c r="B396" s="30" t="n">
        <v>9</v>
      </c>
      <c r="C396" s="31" t="s">
        <v>62</v>
      </c>
      <c r="D396" s="31" t="s">
        <v>59</v>
      </c>
      <c r="E396" s="30" t="n">
        <v>60</v>
      </c>
      <c r="F396" s="30" t="n">
        <v>51</v>
      </c>
      <c r="G396" s="30" t="str">
        <f aca="false">IF(E396&lt;判定条件!$C$6,"判定不能",IF(F396&gt;=判定条件!$C$7*E396,"運転",IF(F396&lt;=判定条件!$C$8*E396,"停止","断続")))</f>
        <v>運転</v>
      </c>
      <c r="H396" s="30" t="n">
        <v>60</v>
      </c>
      <c r="I396" s="30" t="n">
        <v>39</v>
      </c>
      <c r="J396" s="30" t="str">
        <f aca="false">IF(H396&lt;判定条件!$C$6,"判定不能",IF(I396&gt;=判定条件!$C$7*H396,"運転",IF(I396&lt;=判定条件!$C$8*H396,"停止","断続")))</f>
        <v>断続</v>
      </c>
      <c r="K396" s="30" t="n">
        <v>60</v>
      </c>
      <c r="L396" s="30" t="n">
        <v>60</v>
      </c>
      <c r="M396" s="30" t="str">
        <f aca="false">IF(K396&lt;判定条件!$C$6,"判定不能",IF(L396&gt;=判定条件!$C$7*K396,"運転",IF(L396&lt;=判定条件!$C$8*K396,"停止","断続")))</f>
        <v>運転</v>
      </c>
      <c r="N396" s="30" t="n">
        <v>60</v>
      </c>
      <c r="O396" s="30" t="n">
        <v>35</v>
      </c>
      <c r="P396" s="30" t="str">
        <f aca="false">IF(N396&lt;判定条件!$C$6,"判定不能",IF(O396&gt;=判定条件!$C$7*N396,"運転",IF(O396&lt;=判定条件!$C$8*N396,"停止","断続")))</f>
        <v>断続</v>
      </c>
      <c r="Q396" s="30" t="n">
        <v>60</v>
      </c>
      <c r="R396" s="30" t="n">
        <v>13</v>
      </c>
      <c r="S396" s="30" t="str">
        <f aca="false">IF(Q396&lt;判定条件!$C$6,"判定不能",IF(R396&gt;=判定条件!$C$7*Q396,"運転",IF(R396&lt;=判定条件!$C$8*Q396,"停止","断続")))</f>
        <v>断続</v>
      </c>
      <c r="T396" s="30" t="n">
        <v>60</v>
      </c>
      <c r="U396" s="30" t="n">
        <v>60</v>
      </c>
      <c r="V396" s="30" t="str">
        <f aca="false">IF(T396&lt;判定条件!$C$6,"判定不能",IF(U396&gt;=判定条件!$C$7*T396,"運転",IF(U396&lt;=判定条件!$C$8*T396,"停止","断続")))</f>
        <v>運転</v>
      </c>
      <c r="W396" s="30" t="n">
        <v>60</v>
      </c>
      <c r="X396" s="30" t="n">
        <v>51</v>
      </c>
      <c r="Y396" s="30" t="str">
        <f aca="false">IF(W396&lt;判定条件!$C$6,"判定不能",IF(X396&gt;=判定条件!$C$7*W396,"運転",IF(X396&lt;=判定条件!$C$8*W396,"停止","断続")))</f>
        <v>運転</v>
      </c>
      <c r="Z396" s="30" t="n">
        <v>60</v>
      </c>
      <c r="AA396" s="30" t="n">
        <v>40</v>
      </c>
      <c r="AB396" s="30" t="str">
        <f aca="false">IF(Z396&lt;判定条件!$C$6,"判定不能",IF(AA396&gt;=判定条件!$C$7*Z396,"運転",IF(AA396&lt;=判定条件!$C$8*Z396,"停止","断続")))</f>
        <v>断続</v>
      </c>
      <c r="AC396" s="30" t="n">
        <v>60</v>
      </c>
      <c r="AD396" s="30" t="n">
        <v>60</v>
      </c>
      <c r="AE396" s="30" t="str">
        <f aca="false">IF(AC396&lt;判定条件!$C$6,"判定不能",IF(AD396&gt;=判定条件!$C$7*AC396,"運転",IF(AD396&lt;=判定条件!$C$8*AC396,"停止","断続")))</f>
        <v>運転</v>
      </c>
      <c r="AF396" s="30" t="n">
        <v>60</v>
      </c>
      <c r="AG396" s="30" t="n">
        <v>35</v>
      </c>
      <c r="AH396" s="30" t="str">
        <f aca="false">IF(OR(P396="判定不能",G396="判定不能"),"判定不能",IF(AG396&gt;=判定条件!$C$9,"利用可",IF(AND(P396="停止",G396="停止"),"両方停止","運転がそろわない")))</f>
        <v>利用可</v>
      </c>
      <c r="AI396" s="30" t="n">
        <v>60</v>
      </c>
      <c r="AJ396" s="30" t="n">
        <v>13</v>
      </c>
      <c r="AK396" s="30" t="str">
        <f aca="false">IF(OR(S396="判定不能",J396="判定不能"),"判定不能",IF(AJ396&gt;=判定条件!$C$9,"利用可",IF(AND(S396="停止",J396="停止"),"両方停止","運転がそろわない")))</f>
        <v>運転がそろわない</v>
      </c>
      <c r="AL396" s="30" t="n">
        <v>60</v>
      </c>
      <c r="AM396" s="30" t="n">
        <v>60</v>
      </c>
      <c r="AN396" s="30" t="str">
        <f aca="false">IF(OR(V396="判定不能",M396="判定不能"),"判定不能",IF(AM396&gt;=判定条件!$C$9,"利用可",IF(AND(V396="停止",M396="停止"),"両方停止","運転がそろわない")))</f>
        <v>利用可</v>
      </c>
      <c r="AO396" s="30" t="n">
        <v>60</v>
      </c>
      <c r="AP396" s="30" t="n">
        <v>50</v>
      </c>
      <c r="AQ396" s="30" t="str">
        <f aca="false">IF(OR(Y396="判定不能",G396="判定不能"),"判定不能",IF(AP396&gt;=判定条件!$C$9,"利用可",IF(AND(Y396="停止",G396="停止"),"両方停止","運転がそろわない")))</f>
        <v>利用可</v>
      </c>
      <c r="AR396" s="30" t="n">
        <v>60</v>
      </c>
      <c r="AS396" s="30" t="n">
        <v>33</v>
      </c>
      <c r="AT396" s="30" t="str">
        <f aca="false">IF(OR(AB396="判定不能",J396="判定不能"),"判定不能",IF(AS396&gt;=判定条件!$C$9,"利用可",IF(AND(AB396="停止",J396="停止"),"両方停止","運転がそろわない")))</f>
        <v>利用可</v>
      </c>
      <c r="AU396" s="30" t="n">
        <v>60</v>
      </c>
      <c r="AV396" s="30" t="n">
        <v>60</v>
      </c>
      <c r="AW396" s="30" t="str">
        <f aca="false">IF(OR(AE396="判定不能",M396="判定不能"),"判定不能",IF(AV396&gt;=判定条件!$C$9,"利用可",IF(AND(AE396="停止",M396="停止"),"両方停止","運転がそろわない")))</f>
        <v>利用可</v>
      </c>
      <c r="AX396" s="30" t="str">
        <f aca="false">IF(AND(AH396="利用可",AK396="利用可",AN396="利用可"),"利用可","不可")</f>
        <v>不可</v>
      </c>
      <c r="AY396" s="30" t="str">
        <f aca="false">IF(AND(AQ396="利用可",AT396="利用可",AW396="利用可"),"利用可","不可")</f>
        <v>利用可</v>
      </c>
    </row>
    <row r="397" customFormat="false" ht="15" hidden="false" customHeight="false" outlineLevel="0" collapsed="false">
      <c r="A397" s="29" t="n">
        <v>46248</v>
      </c>
      <c r="B397" s="30" t="n">
        <v>10</v>
      </c>
      <c r="C397" s="31" t="s">
        <v>62</v>
      </c>
      <c r="D397" s="31" t="s">
        <v>59</v>
      </c>
      <c r="E397" s="30" t="n">
        <v>60</v>
      </c>
      <c r="F397" s="30" t="n">
        <v>60</v>
      </c>
      <c r="G397" s="30" t="str">
        <f aca="false">IF(E397&lt;判定条件!$C$6,"判定不能",IF(F397&gt;=判定条件!$C$7*E397,"運転",IF(F397&lt;=判定条件!$C$8*E397,"停止","断続")))</f>
        <v>運転</v>
      </c>
      <c r="H397" s="30" t="n">
        <v>60</v>
      </c>
      <c r="I397" s="30" t="n">
        <v>60</v>
      </c>
      <c r="J397" s="30" t="str">
        <f aca="false">IF(H397&lt;判定条件!$C$6,"判定不能",IF(I397&gt;=判定条件!$C$7*H397,"運転",IF(I397&lt;=判定条件!$C$8*H397,"停止","断続")))</f>
        <v>運転</v>
      </c>
      <c r="K397" s="30" t="n">
        <v>60</v>
      </c>
      <c r="L397" s="30" t="n">
        <v>60</v>
      </c>
      <c r="M397" s="30" t="str">
        <f aca="false">IF(K397&lt;判定条件!$C$6,"判定不能",IF(L397&gt;=判定条件!$C$7*K397,"運転",IF(L397&lt;=判定条件!$C$8*K397,"停止","断続")))</f>
        <v>運転</v>
      </c>
      <c r="N397" s="30" t="n">
        <v>60</v>
      </c>
      <c r="O397" s="30" t="n">
        <v>60</v>
      </c>
      <c r="P397" s="30" t="str">
        <f aca="false">IF(N397&lt;判定条件!$C$6,"判定不能",IF(O397&gt;=判定条件!$C$7*N397,"運転",IF(O397&lt;=判定条件!$C$8*N397,"停止","断続")))</f>
        <v>運転</v>
      </c>
      <c r="Q397" s="30" t="n">
        <v>60</v>
      </c>
      <c r="R397" s="30" t="n">
        <v>32</v>
      </c>
      <c r="S397" s="30" t="str">
        <f aca="false">IF(Q397&lt;判定条件!$C$6,"判定不能",IF(R397&gt;=判定条件!$C$7*Q397,"運転",IF(R397&lt;=判定条件!$C$8*Q397,"停止","断続")))</f>
        <v>断続</v>
      </c>
      <c r="T397" s="30" t="n">
        <v>60</v>
      </c>
      <c r="U397" s="30" t="n">
        <v>60</v>
      </c>
      <c r="V397" s="30" t="str">
        <f aca="false">IF(T397&lt;判定条件!$C$6,"判定不能",IF(U397&gt;=判定条件!$C$7*T397,"運転",IF(U397&lt;=判定条件!$C$8*T397,"停止","断続")))</f>
        <v>運転</v>
      </c>
      <c r="W397" s="30" t="n">
        <v>60</v>
      </c>
      <c r="X397" s="30" t="n">
        <v>60</v>
      </c>
      <c r="Y397" s="30" t="str">
        <f aca="false">IF(W397&lt;判定条件!$C$6,"判定不能",IF(X397&gt;=判定条件!$C$7*W397,"運転",IF(X397&lt;=判定条件!$C$8*W397,"停止","断続")))</f>
        <v>運転</v>
      </c>
      <c r="Z397" s="30" t="n">
        <v>60</v>
      </c>
      <c r="AA397" s="30" t="n">
        <v>60</v>
      </c>
      <c r="AB397" s="30" t="str">
        <f aca="false">IF(Z397&lt;判定条件!$C$6,"判定不能",IF(AA397&gt;=判定条件!$C$7*Z397,"運転",IF(AA397&lt;=判定条件!$C$8*Z397,"停止","断続")))</f>
        <v>運転</v>
      </c>
      <c r="AC397" s="30" t="n">
        <v>60</v>
      </c>
      <c r="AD397" s="30" t="n">
        <v>60</v>
      </c>
      <c r="AE397" s="30" t="str">
        <f aca="false">IF(AC397&lt;判定条件!$C$6,"判定不能",IF(AD397&gt;=判定条件!$C$7*AC397,"運転",IF(AD397&lt;=判定条件!$C$8*AC397,"停止","断続")))</f>
        <v>運転</v>
      </c>
      <c r="AF397" s="30" t="n">
        <v>60</v>
      </c>
      <c r="AG397" s="30" t="n">
        <v>60</v>
      </c>
      <c r="AH397" s="30" t="str">
        <f aca="false">IF(OR(P397="判定不能",G397="判定不能"),"判定不能",IF(AG397&gt;=判定条件!$C$9,"利用可",IF(AND(P397="停止",G397="停止"),"両方停止","運転がそろわない")))</f>
        <v>利用可</v>
      </c>
      <c r="AI397" s="30" t="n">
        <v>60</v>
      </c>
      <c r="AJ397" s="30" t="n">
        <v>32</v>
      </c>
      <c r="AK397" s="30" t="str">
        <f aca="false">IF(OR(S397="判定不能",J397="判定不能"),"判定不能",IF(AJ397&gt;=判定条件!$C$9,"利用可",IF(AND(S397="停止",J397="停止"),"両方停止","運転がそろわない")))</f>
        <v>利用可</v>
      </c>
      <c r="AL397" s="30" t="n">
        <v>60</v>
      </c>
      <c r="AM397" s="30" t="n">
        <v>60</v>
      </c>
      <c r="AN397" s="30" t="str">
        <f aca="false">IF(OR(V397="判定不能",M397="判定不能"),"判定不能",IF(AM397&gt;=判定条件!$C$9,"利用可",IF(AND(V397="停止",M397="停止"),"両方停止","運転がそろわない")))</f>
        <v>利用可</v>
      </c>
      <c r="AO397" s="30" t="n">
        <v>60</v>
      </c>
      <c r="AP397" s="30" t="n">
        <v>60</v>
      </c>
      <c r="AQ397" s="30" t="str">
        <f aca="false">IF(OR(Y397="判定不能",G397="判定不能"),"判定不能",IF(AP397&gt;=判定条件!$C$9,"利用可",IF(AND(Y397="停止",G397="停止"),"両方停止","運転がそろわない")))</f>
        <v>利用可</v>
      </c>
      <c r="AR397" s="30" t="n">
        <v>60</v>
      </c>
      <c r="AS397" s="30" t="n">
        <v>60</v>
      </c>
      <c r="AT397" s="30" t="str">
        <f aca="false">IF(OR(AB397="判定不能",J397="判定不能"),"判定不能",IF(AS397&gt;=判定条件!$C$9,"利用可",IF(AND(AB397="停止",J397="停止"),"両方停止","運転がそろわない")))</f>
        <v>利用可</v>
      </c>
      <c r="AU397" s="30" t="n">
        <v>60</v>
      </c>
      <c r="AV397" s="30" t="n">
        <v>60</v>
      </c>
      <c r="AW397" s="30" t="str">
        <f aca="false">IF(OR(AE397="判定不能",M397="判定不能"),"判定不能",IF(AV397&gt;=判定条件!$C$9,"利用可",IF(AND(AE397="停止",M397="停止"),"両方停止","運転がそろわない")))</f>
        <v>利用可</v>
      </c>
      <c r="AX397" s="30" t="str">
        <f aca="false">IF(AND(AH397="利用可",AK397="利用可",AN397="利用可"),"利用可","不可")</f>
        <v>利用可</v>
      </c>
      <c r="AY397" s="30" t="str">
        <f aca="false">IF(AND(AQ397="利用可",AT397="利用可",AW397="利用可"),"利用可","不可")</f>
        <v>利用可</v>
      </c>
    </row>
    <row r="398" customFormat="false" ht="15" hidden="false" customHeight="false" outlineLevel="0" collapsed="false">
      <c r="A398" s="29" t="n">
        <v>46248</v>
      </c>
      <c r="B398" s="30" t="n">
        <v>11</v>
      </c>
      <c r="C398" s="31" t="s">
        <v>62</v>
      </c>
      <c r="D398" s="31" t="s">
        <v>59</v>
      </c>
      <c r="E398" s="30" t="n">
        <v>60</v>
      </c>
      <c r="F398" s="30" t="n">
        <v>60</v>
      </c>
      <c r="G398" s="30" t="str">
        <f aca="false">IF(E398&lt;判定条件!$C$6,"判定不能",IF(F398&gt;=判定条件!$C$7*E398,"運転",IF(F398&lt;=判定条件!$C$8*E398,"停止","断続")))</f>
        <v>運転</v>
      </c>
      <c r="H398" s="30" t="n">
        <v>60</v>
      </c>
      <c r="I398" s="30" t="n">
        <v>60</v>
      </c>
      <c r="J398" s="30" t="str">
        <f aca="false">IF(H398&lt;判定条件!$C$6,"判定不能",IF(I398&gt;=判定条件!$C$7*H398,"運転",IF(I398&lt;=判定条件!$C$8*H398,"停止","断続")))</f>
        <v>運転</v>
      </c>
      <c r="K398" s="30" t="n">
        <v>60</v>
      </c>
      <c r="L398" s="30" t="n">
        <v>60</v>
      </c>
      <c r="M398" s="30" t="str">
        <f aca="false">IF(K398&lt;判定条件!$C$6,"判定不能",IF(L398&gt;=判定条件!$C$7*K398,"運転",IF(L398&lt;=判定条件!$C$8*K398,"停止","断続")))</f>
        <v>運転</v>
      </c>
      <c r="N398" s="30" t="n">
        <v>60</v>
      </c>
      <c r="O398" s="30" t="n">
        <v>38</v>
      </c>
      <c r="P398" s="30" t="str">
        <f aca="false">IF(N398&lt;判定条件!$C$6,"判定不能",IF(O398&gt;=判定条件!$C$7*N398,"運転",IF(O398&lt;=判定条件!$C$8*N398,"停止","断続")))</f>
        <v>断続</v>
      </c>
      <c r="Q398" s="30" t="n">
        <v>60</v>
      </c>
      <c r="R398" s="30" t="n">
        <v>12</v>
      </c>
      <c r="S398" s="30" t="str">
        <f aca="false">IF(Q398&lt;判定条件!$C$6,"判定不能",IF(R398&gt;=判定条件!$C$7*Q398,"運転",IF(R398&lt;=判定条件!$C$8*Q398,"停止","断続")))</f>
        <v>停止</v>
      </c>
      <c r="T398" s="30" t="n">
        <v>60</v>
      </c>
      <c r="U398" s="30" t="n">
        <v>60</v>
      </c>
      <c r="V398" s="30" t="str">
        <f aca="false">IF(T398&lt;判定条件!$C$6,"判定不能",IF(U398&gt;=判定条件!$C$7*T398,"運転",IF(U398&lt;=判定条件!$C$8*T398,"停止","断続")))</f>
        <v>運転</v>
      </c>
      <c r="W398" s="30" t="n">
        <v>60</v>
      </c>
      <c r="X398" s="30" t="n">
        <v>60</v>
      </c>
      <c r="Y398" s="30" t="str">
        <f aca="false">IF(W398&lt;判定条件!$C$6,"判定不能",IF(X398&gt;=判定条件!$C$7*W398,"運転",IF(X398&lt;=判定条件!$C$8*W398,"停止","断続")))</f>
        <v>運転</v>
      </c>
      <c r="Z398" s="30" t="n">
        <v>60</v>
      </c>
      <c r="AA398" s="30" t="n">
        <v>60</v>
      </c>
      <c r="AB398" s="30" t="str">
        <f aca="false">IF(Z398&lt;判定条件!$C$6,"判定不能",IF(AA398&gt;=判定条件!$C$7*Z398,"運転",IF(AA398&lt;=判定条件!$C$8*Z398,"停止","断続")))</f>
        <v>運転</v>
      </c>
      <c r="AC398" s="30" t="n">
        <v>60</v>
      </c>
      <c r="AD398" s="30" t="n">
        <v>60</v>
      </c>
      <c r="AE398" s="30" t="str">
        <f aca="false">IF(AC398&lt;判定条件!$C$6,"判定不能",IF(AD398&gt;=判定条件!$C$7*AC398,"運転",IF(AD398&lt;=判定条件!$C$8*AC398,"停止","断続")))</f>
        <v>運転</v>
      </c>
      <c r="AF398" s="30" t="n">
        <v>60</v>
      </c>
      <c r="AG398" s="30" t="n">
        <v>38</v>
      </c>
      <c r="AH398" s="30" t="str">
        <f aca="false">IF(OR(P398="判定不能",G398="判定不能"),"判定不能",IF(AG398&gt;=判定条件!$C$9,"利用可",IF(AND(P398="停止",G398="停止"),"両方停止","運転がそろわない")))</f>
        <v>利用可</v>
      </c>
      <c r="AI398" s="30" t="n">
        <v>60</v>
      </c>
      <c r="AJ398" s="30" t="n">
        <v>12</v>
      </c>
      <c r="AK398" s="30" t="str">
        <f aca="false">IF(OR(S398="判定不能",J398="判定不能"),"判定不能",IF(AJ398&gt;=判定条件!$C$9,"利用可",IF(AND(S398="停止",J398="停止"),"両方停止","運転がそろわない")))</f>
        <v>運転がそろわない</v>
      </c>
      <c r="AL398" s="30" t="n">
        <v>60</v>
      </c>
      <c r="AM398" s="30" t="n">
        <v>60</v>
      </c>
      <c r="AN398" s="30" t="str">
        <f aca="false">IF(OR(V398="判定不能",M398="判定不能"),"判定不能",IF(AM398&gt;=判定条件!$C$9,"利用可",IF(AND(V398="停止",M398="停止"),"両方停止","運転がそろわない")))</f>
        <v>利用可</v>
      </c>
      <c r="AO398" s="30" t="n">
        <v>60</v>
      </c>
      <c r="AP398" s="30" t="n">
        <v>60</v>
      </c>
      <c r="AQ398" s="30" t="str">
        <f aca="false">IF(OR(Y398="判定不能",G398="判定不能"),"判定不能",IF(AP398&gt;=判定条件!$C$9,"利用可",IF(AND(Y398="停止",G398="停止"),"両方停止","運転がそろわない")))</f>
        <v>利用可</v>
      </c>
      <c r="AR398" s="30" t="n">
        <v>60</v>
      </c>
      <c r="AS398" s="30" t="n">
        <v>60</v>
      </c>
      <c r="AT398" s="30" t="str">
        <f aca="false">IF(OR(AB398="判定不能",J398="判定不能"),"判定不能",IF(AS398&gt;=判定条件!$C$9,"利用可",IF(AND(AB398="停止",J398="停止"),"両方停止","運転がそろわない")))</f>
        <v>利用可</v>
      </c>
      <c r="AU398" s="30" t="n">
        <v>60</v>
      </c>
      <c r="AV398" s="30" t="n">
        <v>60</v>
      </c>
      <c r="AW398" s="30" t="str">
        <f aca="false">IF(OR(AE398="判定不能",M398="判定不能"),"判定不能",IF(AV398&gt;=判定条件!$C$9,"利用可",IF(AND(AE398="停止",M398="停止"),"両方停止","運転がそろわない")))</f>
        <v>利用可</v>
      </c>
      <c r="AX398" s="30" t="str">
        <f aca="false">IF(AND(AH398="利用可",AK398="利用可",AN398="利用可"),"利用可","不可")</f>
        <v>不可</v>
      </c>
      <c r="AY398" s="30" t="str">
        <f aca="false">IF(AND(AQ398="利用可",AT398="利用可",AW398="利用可"),"利用可","不可")</f>
        <v>利用可</v>
      </c>
    </row>
    <row r="399" customFormat="false" ht="15" hidden="false" customHeight="false" outlineLevel="0" collapsed="false">
      <c r="A399" s="29" t="n">
        <v>46248</v>
      </c>
      <c r="B399" s="30" t="n">
        <v>12</v>
      </c>
      <c r="C399" s="31" t="s">
        <v>62</v>
      </c>
      <c r="D399" s="31" t="s">
        <v>59</v>
      </c>
      <c r="E399" s="30" t="n">
        <v>60</v>
      </c>
      <c r="F399" s="30" t="n">
        <v>60</v>
      </c>
      <c r="G399" s="30" t="str">
        <f aca="false">IF(E399&lt;判定条件!$C$6,"判定不能",IF(F399&gt;=判定条件!$C$7*E399,"運転",IF(F399&lt;=判定条件!$C$8*E399,"停止","断続")))</f>
        <v>運転</v>
      </c>
      <c r="H399" s="30" t="n">
        <v>60</v>
      </c>
      <c r="I399" s="30" t="n">
        <v>60</v>
      </c>
      <c r="J399" s="30" t="str">
        <f aca="false">IF(H399&lt;判定条件!$C$6,"判定不能",IF(I399&gt;=判定条件!$C$7*H399,"運転",IF(I399&lt;=判定条件!$C$8*H399,"停止","断続")))</f>
        <v>運転</v>
      </c>
      <c r="K399" s="30" t="n">
        <v>60</v>
      </c>
      <c r="L399" s="30" t="n">
        <v>60</v>
      </c>
      <c r="M399" s="30" t="str">
        <f aca="false">IF(K399&lt;判定条件!$C$6,"判定不能",IF(L399&gt;=判定条件!$C$7*K399,"運転",IF(L399&lt;=判定条件!$C$8*K399,"停止","断続")))</f>
        <v>運転</v>
      </c>
      <c r="N399" s="30" t="n">
        <v>60</v>
      </c>
      <c r="O399" s="30" t="n">
        <v>43</v>
      </c>
      <c r="P399" s="30" t="str">
        <f aca="false">IF(N399&lt;判定条件!$C$6,"判定不能",IF(O399&gt;=判定条件!$C$7*N399,"運転",IF(O399&lt;=判定条件!$C$8*N399,"停止","断続")))</f>
        <v>断続</v>
      </c>
      <c r="Q399" s="30" t="n">
        <v>60</v>
      </c>
      <c r="R399" s="30" t="n">
        <v>9</v>
      </c>
      <c r="S399" s="30" t="str">
        <f aca="false">IF(Q399&lt;判定条件!$C$6,"判定不能",IF(R399&gt;=判定条件!$C$7*Q399,"運転",IF(R399&lt;=判定条件!$C$8*Q399,"停止","断続")))</f>
        <v>停止</v>
      </c>
      <c r="T399" s="30" t="n">
        <v>60</v>
      </c>
      <c r="U399" s="30" t="n">
        <v>51</v>
      </c>
      <c r="V399" s="30" t="str">
        <f aca="false">IF(T399&lt;判定条件!$C$6,"判定不能",IF(U399&gt;=判定条件!$C$7*T399,"運転",IF(U399&lt;=判定条件!$C$8*T399,"停止","断続")))</f>
        <v>運転</v>
      </c>
      <c r="W399" s="30" t="n">
        <v>60</v>
      </c>
      <c r="X399" s="30" t="n">
        <v>51</v>
      </c>
      <c r="Y399" s="30" t="str">
        <f aca="false">IF(W399&lt;判定条件!$C$6,"判定不能",IF(X399&gt;=判定条件!$C$7*W399,"運転",IF(X399&lt;=判定条件!$C$8*W399,"停止","断続")))</f>
        <v>運転</v>
      </c>
      <c r="Z399" s="30" t="n">
        <v>60</v>
      </c>
      <c r="AA399" s="30" t="n">
        <v>60</v>
      </c>
      <c r="AB399" s="30" t="str">
        <f aca="false">IF(Z399&lt;判定条件!$C$6,"判定不能",IF(AA399&gt;=判定条件!$C$7*Z399,"運転",IF(AA399&lt;=判定条件!$C$8*Z399,"停止","断続")))</f>
        <v>運転</v>
      </c>
      <c r="AC399" s="30" t="n">
        <v>60</v>
      </c>
      <c r="AD399" s="30" t="n">
        <v>47</v>
      </c>
      <c r="AE399" s="30" t="str">
        <f aca="false">IF(AC399&lt;判定条件!$C$6,"判定不能",IF(AD399&gt;=判定条件!$C$7*AC399,"運転",IF(AD399&lt;=判定条件!$C$8*AC399,"停止","断続")))</f>
        <v>断続</v>
      </c>
      <c r="AF399" s="30" t="n">
        <v>60</v>
      </c>
      <c r="AG399" s="30" t="n">
        <v>43</v>
      </c>
      <c r="AH399" s="30" t="str">
        <f aca="false">IF(OR(P399="判定不能",G399="判定不能"),"判定不能",IF(AG399&gt;=判定条件!$C$9,"利用可",IF(AND(P399="停止",G399="停止"),"両方停止","運転がそろわない")))</f>
        <v>利用可</v>
      </c>
      <c r="AI399" s="30" t="n">
        <v>60</v>
      </c>
      <c r="AJ399" s="30" t="n">
        <v>9</v>
      </c>
      <c r="AK399" s="30" t="str">
        <f aca="false">IF(OR(S399="判定不能",J399="判定不能"),"判定不能",IF(AJ399&gt;=判定条件!$C$9,"利用可",IF(AND(S399="停止",J399="停止"),"両方停止","運転がそろわない")))</f>
        <v>運転がそろわない</v>
      </c>
      <c r="AL399" s="30" t="n">
        <v>60</v>
      </c>
      <c r="AM399" s="30" t="n">
        <v>51</v>
      </c>
      <c r="AN399" s="30" t="str">
        <f aca="false">IF(OR(V399="判定不能",M399="判定不能"),"判定不能",IF(AM399&gt;=判定条件!$C$9,"利用可",IF(AND(V399="停止",M399="停止"),"両方停止","運転がそろわない")))</f>
        <v>利用可</v>
      </c>
      <c r="AO399" s="30" t="n">
        <v>60</v>
      </c>
      <c r="AP399" s="30" t="n">
        <v>51</v>
      </c>
      <c r="AQ399" s="30" t="str">
        <f aca="false">IF(OR(Y399="判定不能",G399="判定不能"),"判定不能",IF(AP399&gt;=判定条件!$C$9,"利用可",IF(AND(Y399="停止",G399="停止"),"両方停止","運転がそろわない")))</f>
        <v>利用可</v>
      </c>
      <c r="AR399" s="30" t="n">
        <v>60</v>
      </c>
      <c r="AS399" s="30" t="n">
        <v>60</v>
      </c>
      <c r="AT399" s="30" t="str">
        <f aca="false">IF(OR(AB399="判定不能",J399="判定不能"),"判定不能",IF(AS399&gt;=判定条件!$C$9,"利用可",IF(AND(AB399="停止",J399="停止"),"両方停止","運転がそろわない")))</f>
        <v>利用可</v>
      </c>
      <c r="AU399" s="30" t="n">
        <v>60</v>
      </c>
      <c r="AV399" s="30" t="n">
        <v>47</v>
      </c>
      <c r="AW399" s="30" t="str">
        <f aca="false">IF(OR(AE399="判定不能",M399="判定不能"),"判定不能",IF(AV399&gt;=判定条件!$C$9,"利用可",IF(AND(AE399="停止",M399="停止"),"両方停止","運転がそろわない")))</f>
        <v>利用可</v>
      </c>
      <c r="AX399" s="30" t="str">
        <f aca="false">IF(AND(AH399="利用可",AK399="利用可",AN399="利用可"),"利用可","不可")</f>
        <v>不可</v>
      </c>
      <c r="AY399" s="30" t="str">
        <f aca="false">IF(AND(AQ399="利用可",AT399="利用可",AW399="利用可"),"利用可","不可")</f>
        <v>利用可</v>
      </c>
    </row>
    <row r="400" customFormat="false" ht="15" hidden="false" customHeight="false" outlineLevel="0" collapsed="false">
      <c r="A400" s="29" t="n">
        <v>46248</v>
      </c>
      <c r="B400" s="30" t="n">
        <v>13</v>
      </c>
      <c r="C400" s="31" t="s">
        <v>62</v>
      </c>
      <c r="D400" s="31" t="s">
        <v>59</v>
      </c>
      <c r="E400" s="30" t="n">
        <v>60</v>
      </c>
      <c r="F400" s="30" t="n">
        <v>60</v>
      </c>
      <c r="G400" s="30" t="str">
        <f aca="false">IF(E400&lt;判定条件!$C$6,"判定不能",IF(F400&gt;=判定条件!$C$7*E400,"運転",IF(F400&lt;=判定条件!$C$8*E400,"停止","断続")))</f>
        <v>運転</v>
      </c>
      <c r="H400" s="30" t="n">
        <v>60</v>
      </c>
      <c r="I400" s="30" t="n">
        <v>60</v>
      </c>
      <c r="J400" s="30" t="str">
        <f aca="false">IF(H400&lt;判定条件!$C$6,"判定不能",IF(I400&gt;=判定条件!$C$7*H400,"運転",IF(I400&lt;=判定条件!$C$8*H400,"停止","断続")))</f>
        <v>運転</v>
      </c>
      <c r="K400" s="30" t="n">
        <v>60</v>
      </c>
      <c r="L400" s="30" t="n">
        <v>60</v>
      </c>
      <c r="M400" s="30" t="str">
        <f aca="false">IF(K400&lt;判定条件!$C$6,"判定不能",IF(L400&gt;=判定条件!$C$7*K400,"運転",IF(L400&lt;=判定条件!$C$8*K400,"停止","断続")))</f>
        <v>運転</v>
      </c>
      <c r="N400" s="30" t="n">
        <v>60</v>
      </c>
      <c r="O400" s="30" t="n">
        <v>60</v>
      </c>
      <c r="P400" s="30" t="str">
        <f aca="false">IF(N400&lt;判定条件!$C$6,"判定不能",IF(O400&gt;=判定条件!$C$7*N400,"運転",IF(O400&lt;=判定条件!$C$8*N400,"停止","断続")))</f>
        <v>運転</v>
      </c>
      <c r="Q400" s="30" t="n">
        <v>60</v>
      </c>
      <c r="R400" s="30" t="n">
        <v>5</v>
      </c>
      <c r="S400" s="30" t="str">
        <f aca="false">IF(Q400&lt;判定条件!$C$6,"判定不能",IF(R400&gt;=判定条件!$C$7*Q400,"運転",IF(R400&lt;=判定条件!$C$8*Q400,"停止","断続")))</f>
        <v>停止</v>
      </c>
      <c r="T400" s="30" t="n">
        <v>60</v>
      </c>
      <c r="U400" s="30" t="n">
        <v>45</v>
      </c>
      <c r="V400" s="30" t="str">
        <f aca="false">IF(T400&lt;判定条件!$C$6,"判定不能",IF(U400&gt;=判定条件!$C$7*T400,"運転",IF(U400&lt;=判定条件!$C$8*T400,"停止","断続")))</f>
        <v>断続</v>
      </c>
      <c r="W400" s="30" t="n">
        <v>60</v>
      </c>
      <c r="X400" s="30" t="n">
        <v>40</v>
      </c>
      <c r="Y400" s="30" t="str">
        <f aca="false">IF(W400&lt;判定条件!$C$6,"判定不能",IF(X400&gt;=判定条件!$C$7*W400,"運転",IF(X400&lt;=判定条件!$C$8*W400,"停止","断続")))</f>
        <v>断続</v>
      </c>
      <c r="Z400" s="30" t="n">
        <v>60</v>
      </c>
      <c r="AA400" s="30" t="n">
        <v>32</v>
      </c>
      <c r="AB400" s="30" t="str">
        <f aca="false">IF(Z400&lt;判定条件!$C$6,"判定不能",IF(AA400&gt;=判定条件!$C$7*Z400,"運転",IF(AA400&lt;=判定条件!$C$8*Z400,"停止","断続")))</f>
        <v>断続</v>
      </c>
      <c r="AC400" s="30" t="n">
        <v>60</v>
      </c>
      <c r="AD400" s="30" t="n">
        <v>60</v>
      </c>
      <c r="AE400" s="30" t="str">
        <f aca="false">IF(AC400&lt;判定条件!$C$6,"判定不能",IF(AD400&gt;=判定条件!$C$7*AC400,"運転",IF(AD400&lt;=判定条件!$C$8*AC400,"停止","断続")))</f>
        <v>運転</v>
      </c>
      <c r="AF400" s="30" t="n">
        <v>60</v>
      </c>
      <c r="AG400" s="30" t="n">
        <v>60</v>
      </c>
      <c r="AH400" s="30" t="str">
        <f aca="false">IF(OR(P400="判定不能",G400="判定不能"),"判定不能",IF(AG400&gt;=判定条件!$C$9,"利用可",IF(AND(P400="停止",G400="停止"),"両方停止","運転がそろわない")))</f>
        <v>利用可</v>
      </c>
      <c r="AI400" s="30" t="n">
        <v>60</v>
      </c>
      <c r="AJ400" s="30" t="n">
        <v>5</v>
      </c>
      <c r="AK400" s="30" t="str">
        <f aca="false">IF(OR(S400="判定不能",J400="判定不能"),"判定不能",IF(AJ400&gt;=判定条件!$C$9,"利用可",IF(AND(S400="停止",J400="停止"),"両方停止","運転がそろわない")))</f>
        <v>運転がそろわない</v>
      </c>
      <c r="AL400" s="30" t="n">
        <v>60</v>
      </c>
      <c r="AM400" s="30" t="n">
        <v>45</v>
      </c>
      <c r="AN400" s="30" t="str">
        <f aca="false">IF(OR(V400="判定不能",M400="判定不能"),"判定不能",IF(AM400&gt;=判定条件!$C$9,"利用可",IF(AND(V400="停止",M400="停止"),"両方停止","運転がそろわない")))</f>
        <v>利用可</v>
      </c>
      <c r="AO400" s="30" t="n">
        <v>60</v>
      </c>
      <c r="AP400" s="30" t="n">
        <v>40</v>
      </c>
      <c r="AQ400" s="30" t="str">
        <f aca="false">IF(OR(Y400="判定不能",G400="判定不能"),"判定不能",IF(AP400&gt;=判定条件!$C$9,"利用可",IF(AND(Y400="停止",G400="停止"),"両方停止","運転がそろわない")))</f>
        <v>利用可</v>
      </c>
      <c r="AR400" s="30" t="n">
        <v>60</v>
      </c>
      <c r="AS400" s="30" t="n">
        <v>32</v>
      </c>
      <c r="AT400" s="30" t="str">
        <f aca="false">IF(OR(AB400="判定不能",J400="判定不能"),"判定不能",IF(AS400&gt;=判定条件!$C$9,"利用可",IF(AND(AB400="停止",J400="停止"),"両方停止","運転がそろわない")))</f>
        <v>利用可</v>
      </c>
      <c r="AU400" s="30" t="n">
        <v>60</v>
      </c>
      <c r="AV400" s="30" t="n">
        <v>60</v>
      </c>
      <c r="AW400" s="30" t="str">
        <f aca="false">IF(OR(AE400="判定不能",M400="判定不能"),"判定不能",IF(AV400&gt;=判定条件!$C$9,"利用可",IF(AND(AE400="停止",M400="停止"),"両方停止","運転がそろわない")))</f>
        <v>利用可</v>
      </c>
      <c r="AX400" s="30" t="str">
        <f aca="false">IF(AND(AH400="利用可",AK400="利用可",AN400="利用可"),"利用可","不可")</f>
        <v>不可</v>
      </c>
      <c r="AY400" s="30" t="str">
        <f aca="false">IF(AND(AQ400="利用可",AT400="利用可",AW400="利用可"),"利用可","不可")</f>
        <v>利用可</v>
      </c>
    </row>
    <row r="401" customFormat="false" ht="15" hidden="false" customHeight="false" outlineLevel="0" collapsed="false">
      <c r="A401" s="29" t="n">
        <v>46248</v>
      </c>
      <c r="B401" s="30" t="n">
        <v>14</v>
      </c>
      <c r="C401" s="31" t="s">
        <v>62</v>
      </c>
      <c r="D401" s="31" t="s">
        <v>59</v>
      </c>
      <c r="E401" s="30" t="n">
        <v>60</v>
      </c>
      <c r="F401" s="30" t="n">
        <v>49</v>
      </c>
      <c r="G401" s="30" t="str">
        <f aca="false">IF(E401&lt;判定条件!$C$6,"判定不能",IF(F401&gt;=判定条件!$C$7*E401,"運転",IF(F401&lt;=判定条件!$C$8*E401,"停止","断続")))</f>
        <v>運転</v>
      </c>
      <c r="H401" s="30" t="n">
        <v>60</v>
      </c>
      <c r="I401" s="30" t="n">
        <v>52</v>
      </c>
      <c r="J401" s="30" t="str">
        <f aca="false">IF(H401&lt;判定条件!$C$6,"判定不能",IF(I401&gt;=判定条件!$C$7*H401,"運転",IF(I401&lt;=判定条件!$C$8*H401,"停止","断続")))</f>
        <v>運転</v>
      </c>
      <c r="K401" s="30" t="n">
        <v>60</v>
      </c>
      <c r="L401" s="30" t="n">
        <v>60</v>
      </c>
      <c r="M401" s="30" t="str">
        <f aca="false">IF(K401&lt;判定条件!$C$6,"判定不能",IF(L401&gt;=判定条件!$C$7*K401,"運転",IF(L401&lt;=判定条件!$C$8*K401,"停止","断続")))</f>
        <v>運転</v>
      </c>
      <c r="N401" s="30" t="n">
        <v>0</v>
      </c>
      <c r="O401" s="30" t="n">
        <v>0</v>
      </c>
      <c r="P401" s="30" t="str">
        <f aca="false">IF(N401&lt;判定条件!$C$6,"判定不能",IF(O401&gt;=判定条件!$C$7*N401,"運転",IF(O401&lt;=判定条件!$C$8*N401,"停止","断続")))</f>
        <v>判定不能</v>
      </c>
      <c r="Q401" s="30" t="n">
        <v>0</v>
      </c>
      <c r="R401" s="30" t="n">
        <v>0</v>
      </c>
      <c r="S401" s="30" t="str">
        <f aca="false">IF(Q401&lt;判定条件!$C$6,"判定不能",IF(R401&gt;=判定条件!$C$7*Q401,"運転",IF(R401&lt;=判定条件!$C$8*Q401,"停止","断続")))</f>
        <v>判定不能</v>
      </c>
      <c r="T401" s="30" t="n">
        <v>0</v>
      </c>
      <c r="U401" s="30" t="n">
        <v>0</v>
      </c>
      <c r="V401" s="30" t="str">
        <f aca="false">IF(T401&lt;判定条件!$C$6,"判定不能",IF(U401&gt;=判定条件!$C$7*T401,"運転",IF(U401&lt;=判定条件!$C$8*T401,"停止","断続")))</f>
        <v>判定不能</v>
      </c>
      <c r="W401" s="30" t="n">
        <v>25</v>
      </c>
      <c r="X401" s="30" t="n">
        <v>12</v>
      </c>
      <c r="Y401" s="30" t="str">
        <f aca="false">IF(W401&lt;判定条件!$C$6,"判定不能",IF(X401&gt;=判定条件!$C$7*W401,"運転",IF(X401&lt;=判定条件!$C$8*W401,"停止","断続")))</f>
        <v>判定不能</v>
      </c>
      <c r="Z401" s="30" t="n">
        <v>25</v>
      </c>
      <c r="AA401" s="30" t="n">
        <v>25</v>
      </c>
      <c r="AB401" s="30" t="str">
        <f aca="false">IF(Z401&lt;判定条件!$C$6,"判定不能",IF(AA401&gt;=判定条件!$C$7*Z401,"運転",IF(AA401&lt;=判定条件!$C$8*Z401,"停止","断続")))</f>
        <v>判定不能</v>
      </c>
      <c r="AC401" s="30" t="n">
        <v>25</v>
      </c>
      <c r="AD401" s="30" t="n">
        <v>25</v>
      </c>
      <c r="AE401" s="30" t="str">
        <f aca="false">IF(AC401&lt;判定条件!$C$6,"判定不能",IF(AD401&gt;=判定条件!$C$7*AC401,"運転",IF(AD401&lt;=判定条件!$C$8*AC401,"停止","断続")))</f>
        <v>判定不能</v>
      </c>
      <c r="AF401" s="30" t="n">
        <v>0</v>
      </c>
      <c r="AG401" s="30" t="n">
        <v>0</v>
      </c>
      <c r="AH401" s="30" t="str">
        <f aca="false">IF(OR(P401="判定不能",G401="判定不能"),"判定不能",IF(AG401&gt;=判定条件!$C$9,"利用可",IF(AND(P401="停止",G401="停止"),"両方停止","運転がそろわない")))</f>
        <v>判定不能</v>
      </c>
      <c r="AI401" s="30" t="n">
        <v>0</v>
      </c>
      <c r="AJ401" s="30" t="n">
        <v>0</v>
      </c>
      <c r="AK401" s="30" t="str">
        <f aca="false">IF(OR(S401="判定不能",J401="判定不能"),"判定不能",IF(AJ401&gt;=判定条件!$C$9,"利用可",IF(AND(S401="停止",J401="停止"),"両方停止","運転がそろわない")))</f>
        <v>判定不能</v>
      </c>
      <c r="AL401" s="30" t="n">
        <v>0</v>
      </c>
      <c r="AM401" s="30" t="n">
        <v>0</v>
      </c>
      <c r="AN401" s="30" t="str">
        <f aca="false">IF(OR(V401="判定不能",M401="判定不能"),"判定不能",IF(AM401&gt;=判定条件!$C$9,"利用可",IF(AND(V401="停止",M401="停止"),"両方停止","運転がそろわない")))</f>
        <v>判定不能</v>
      </c>
      <c r="AO401" s="30" t="n">
        <v>25</v>
      </c>
      <c r="AP401" s="30" t="n">
        <v>12</v>
      </c>
      <c r="AQ401" s="30" t="str">
        <f aca="false">IF(OR(Y401="判定不能",G401="判定不能"),"判定不能",IF(AP401&gt;=判定条件!$C$9,"利用可",IF(AND(Y401="停止",G401="停止"),"両方停止","運転がそろわない")))</f>
        <v>判定不能</v>
      </c>
      <c r="AR401" s="30" t="n">
        <v>25</v>
      </c>
      <c r="AS401" s="30" t="n">
        <v>25</v>
      </c>
      <c r="AT401" s="30" t="str">
        <f aca="false">IF(OR(AB401="判定不能",J401="判定不能"),"判定不能",IF(AS401&gt;=判定条件!$C$9,"利用可",IF(AND(AB401="停止",J401="停止"),"両方停止","運転がそろわない")))</f>
        <v>判定不能</v>
      </c>
      <c r="AU401" s="30" t="n">
        <v>25</v>
      </c>
      <c r="AV401" s="30" t="n">
        <v>25</v>
      </c>
      <c r="AW401" s="30" t="str">
        <f aca="false">IF(OR(AE401="判定不能",M401="判定不能"),"判定不能",IF(AV401&gt;=判定条件!$C$9,"利用可",IF(AND(AE401="停止",M401="停止"),"両方停止","運転がそろわない")))</f>
        <v>判定不能</v>
      </c>
      <c r="AX401" s="30" t="str">
        <f aca="false">IF(AND(AH401="利用可",AK401="利用可",AN401="利用可"),"利用可","不可")</f>
        <v>不可</v>
      </c>
      <c r="AY401" s="30" t="str">
        <f aca="false">IF(AND(AQ401="利用可",AT401="利用可",AW401="利用可"),"利用可","不可")</f>
        <v>不可</v>
      </c>
    </row>
    <row r="402" customFormat="false" ht="15" hidden="false" customHeight="false" outlineLevel="0" collapsed="false">
      <c r="A402" s="29" t="n">
        <v>46248</v>
      </c>
      <c r="B402" s="30" t="n">
        <v>15</v>
      </c>
      <c r="C402" s="31" t="s">
        <v>62</v>
      </c>
      <c r="D402" s="31" t="s">
        <v>59</v>
      </c>
      <c r="E402" s="30" t="n">
        <v>60</v>
      </c>
      <c r="F402" s="30" t="n">
        <v>60</v>
      </c>
      <c r="G402" s="30" t="str">
        <f aca="false">IF(E402&lt;判定条件!$C$6,"判定不能",IF(F402&gt;=判定条件!$C$7*E402,"運転",IF(F402&lt;=判定条件!$C$8*E402,"停止","断続")))</f>
        <v>運転</v>
      </c>
      <c r="H402" s="30" t="n">
        <v>60</v>
      </c>
      <c r="I402" s="30" t="n">
        <v>60</v>
      </c>
      <c r="J402" s="30" t="str">
        <f aca="false">IF(H402&lt;判定条件!$C$6,"判定不能",IF(I402&gt;=判定条件!$C$7*H402,"運転",IF(I402&lt;=判定条件!$C$8*H402,"停止","断続")))</f>
        <v>運転</v>
      </c>
      <c r="K402" s="30" t="n">
        <v>60</v>
      </c>
      <c r="L402" s="30" t="n">
        <v>60</v>
      </c>
      <c r="M402" s="30" t="str">
        <f aca="false">IF(K402&lt;判定条件!$C$6,"判定不能",IF(L402&gt;=判定条件!$C$7*K402,"運転",IF(L402&lt;=判定条件!$C$8*K402,"停止","断続")))</f>
        <v>運転</v>
      </c>
      <c r="N402" s="30" t="n">
        <v>49</v>
      </c>
      <c r="O402" s="30" t="n">
        <v>34</v>
      </c>
      <c r="P402" s="30" t="str">
        <f aca="false">IF(N402&lt;判定条件!$C$6,"判定不能",IF(O402&gt;=判定条件!$C$7*N402,"運転",IF(O402&lt;=判定条件!$C$8*N402,"停止","断続")))</f>
        <v>断続</v>
      </c>
      <c r="Q402" s="30" t="n">
        <v>0</v>
      </c>
      <c r="R402" s="30" t="n">
        <v>0</v>
      </c>
      <c r="S402" s="30" t="str">
        <f aca="false">IF(Q402&lt;判定条件!$C$6,"判定不能",IF(R402&gt;=判定条件!$C$7*Q402,"運転",IF(R402&lt;=判定条件!$C$8*Q402,"停止","断続")))</f>
        <v>判定不能</v>
      </c>
      <c r="T402" s="30" t="n">
        <v>49</v>
      </c>
      <c r="U402" s="30" t="n">
        <v>28</v>
      </c>
      <c r="V402" s="30" t="str">
        <f aca="false">IF(T402&lt;判定条件!$C$6,"判定不能",IF(U402&gt;=判定条件!$C$7*T402,"運転",IF(U402&lt;=判定条件!$C$8*T402,"停止","断続")))</f>
        <v>断続</v>
      </c>
      <c r="W402" s="30" t="n">
        <v>49</v>
      </c>
      <c r="X402" s="30" t="n">
        <v>13</v>
      </c>
      <c r="Y402" s="30" t="str">
        <f aca="false">IF(W402&lt;判定条件!$C$6,"判定不能",IF(X402&gt;=判定条件!$C$7*W402,"運転",IF(X402&lt;=判定条件!$C$8*W402,"停止","断続")))</f>
        <v>断続</v>
      </c>
      <c r="Z402" s="30" t="n">
        <v>49</v>
      </c>
      <c r="AA402" s="30" t="n">
        <v>42</v>
      </c>
      <c r="AB402" s="30" t="str">
        <f aca="false">IF(Z402&lt;判定条件!$C$6,"判定不能",IF(AA402&gt;=判定条件!$C$7*Z402,"運転",IF(AA402&lt;=判定条件!$C$8*Z402,"停止","断続")))</f>
        <v>運転</v>
      </c>
      <c r="AC402" s="30" t="n">
        <v>49</v>
      </c>
      <c r="AD402" s="30" t="n">
        <v>49</v>
      </c>
      <c r="AE402" s="30" t="str">
        <f aca="false">IF(AC402&lt;判定条件!$C$6,"判定不能",IF(AD402&gt;=判定条件!$C$7*AC402,"運転",IF(AD402&lt;=判定条件!$C$8*AC402,"停止","断続")))</f>
        <v>運転</v>
      </c>
      <c r="AF402" s="30" t="n">
        <v>49</v>
      </c>
      <c r="AG402" s="30" t="n">
        <v>34</v>
      </c>
      <c r="AH402" s="30" t="str">
        <f aca="false">IF(OR(P402="判定不能",G402="判定不能"),"判定不能",IF(AG402&gt;=判定条件!$C$9,"利用可",IF(AND(P402="停止",G402="停止"),"両方停止","運転がそろわない")))</f>
        <v>利用可</v>
      </c>
      <c r="AI402" s="30" t="n">
        <v>0</v>
      </c>
      <c r="AJ402" s="30" t="n">
        <v>0</v>
      </c>
      <c r="AK402" s="30" t="str">
        <f aca="false">IF(OR(S402="判定不能",J402="判定不能"),"判定不能",IF(AJ402&gt;=判定条件!$C$9,"利用可",IF(AND(S402="停止",J402="停止"),"両方停止","運転がそろわない")))</f>
        <v>判定不能</v>
      </c>
      <c r="AL402" s="30" t="n">
        <v>49</v>
      </c>
      <c r="AM402" s="30" t="n">
        <v>28</v>
      </c>
      <c r="AN402" s="30" t="str">
        <f aca="false">IF(OR(V402="判定不能",M402="判定不能"),"判定不能",IF(AM402&gt;=判定条件!$C$9,"利用可",IF(AND(V402="停止",M402="停止"),"両方停止","運転がそろわない")))</f>
        <v>運転がそろわない</v>
      </c>
      <c r="AO402" s="30" t="n">
        <v>49</v>
      </c>
      <c r="AP402" s="30" t="n">
        <v>13</v>
      </c>
      <c r="AQ402" s="30" t="str">
        <f aca="false">IF(OR(Y402="判定不能",G402="判定不能"),"判定不能",IF(AP402&gt;=判定条件!$C$9,"利用可",IF(AND(Y402="停止",G402="停止"),"両方停止","運転がそろわない")))</f>
        <v>運転がそろわない</v>
      </c>
      <c r="AR402" s="30" t="n">
        <v>49</v>
      </c>
      <c r="AS402" s="30" t="n">
        <v>42</v>
      </c>
      <c r="AT402" s="30" t="str">
        <f aca="false">IF(OR(AB402="判定不能",J402="判定不能"),"判定不能",IF(AS402&gt;=判定条件!$C$9,"利用可",IF(AND(AB402="停止",J402="停止"),"両方停止","運転がそろわない")))</f>
        <v>利用可</v>
      </c>
      <c r="AU402" s="30" t="n">
        <v>49</v>
      </c>
      <c r="AV402" s="30" t="n">
        <v>49</v>
      </c>
      <c r="AW402" s="30" t="str">
        <f aca="false">IF(OR(AE402="判定不能",M402="判定不能"),"判定不能",IF(AV402&gt;=判定条件!$C$9,"利用可",IF(AND(AE402="停止",M402="停止"),"両方停止","運転がそろわない")))</f>
        <v>利用可</v>
      </c>
      <c r="AX402" s="30" t="str">
        <f aca="false">IF(AND(AH402="利用可",AK402="利用可",AN402="利用可"),"利用可","不可")</f>
        <v>不可</v>
      </c>
      <c r="AY402" s="30" t="str">
        <f aca="false">IF(AND(AQ402="利用可",AT402="利用可",AW402="利用可"),"利用可","不可")</f>
        <v>不可</v>
      </c>
    </row>
    <row r="403" customFormat="false" ht="15" hidden="false" customHeight="false" outlineLevel="0" collapsed="false">
      <c r="A403" s="29" t="n">
        <v>46248</v>
      </c>
      <c r="B403" s="30" t="n">
        <v>16</v>
      </c>
      <c r="C403" s="31" t="s">
        <v>62</v>
      </c>
      <c r="D403" s="31" t="s">
        <v>59</v>
      </c>
      <c r="E403" s="30" t="n">
        <v>60</v>
      </c>
      <c r="F403" s="30" t="n">
        <v>55</v>
      </c>
      <c r="G403" s="30" t="str">
        <f aca="false">IF(E403&lt;判定条件!$C$6,"判定不能",IF(F403&gt;=判定条件!$C$7*E403,"運転",IF(F403&lt;=判定条件!$C$8*E403,"停止","断続")))</f>
        <v>運転</v>
      </c>
      <c r="H403" s="30" t="n">
        <v>60</v>
      </c>
      <c r="I403" s="30" t="n">
        <v>55</v>
      </c>
      <c r="J403" s="30" t="str">
        <f aca="false">IF(H403&lt;判定条件!$C$6,"判定不能",IF(I403&gt;=判定条件!$C$7*H403,"運転",IF(I403&lt;=判定条件!$C$8*H403,"停止","断続")))</f>
        <v>運転</v>
      </c>
      <c r="K403" s="30" t="n">
        <v>60</v>
      </c>
      <c r="L403" s="30" t="n">
        <v>60</v>
      </c>
      <c r="M403" s="30" t="str">
        <f aca="false">IF(K403&lt;判定条件!$C$6,"判定不能",IF(L403&gt;=判定条件!$C$7*K403,"運転",IF(L403&lt;=判定条件!$C$8*K403,"停止","断続")))</f>
        <v>運転</v>
      </c>
      <c r="N403" s="30" t="n">
        <v>60</v>
      </c>
      <c r="O403" s="30" t="n">
        <v>52</v>
      </c>
      <c r="P403" s="30" t="str">
        <f aca="false">IF(N403&lt;判定条件!$C$6,"判定不能",IF(O403&gt;=判定条件!$C$7*N403,"運転",IF(O403&lt;=判定条件!$C$8*N403,"停止","断続")))</f>
        <v>運転</v>
      </c>
      <c r="Q403" s="30" t="n">
        <v>0</v>
      </c>
      <c r="R403" s="30" t="n">
        <v>0</v>
      </c>
      <c r="S403" s="30" t="str">
        <f aca="false">IF(Q403&lt;判定条件!$C$6,"判定不能",IF(R403&gt;=判定条件!$C$7*Q403,"運転",IF(R403&lt;=判定条件!$C$8*Q403,"停止","断続")))</f>
        <v>判定不能</v>
      </c>
      <c r="T403" s="30" t="n">
        <v>60</v>
      </c>
      <c r="U403" s="30" t="n">
        <v>39</v>
      </c>
      <c r="V403" s="30" t="str">
        <f aca="false">IF(T403&lt;判定条件!$C$6,"判定不能",IF(U403&gt;=判定条件!$C$7*T403,"運転",IF(U403&lt;=判定条件!$C$8*T403,"停止","断続")))</f>
        <v>断続</v>
      </c>
      <c r="W403" s="30" t="n">
        <v>60</v>
      </c>
      <c r="X403" s="30" t="n">
        <v>40</v>
      </c>
      <c r="Y403" s="30" t="str">
        <f aca="false">IF(W403&lt;判定条件!$C$6,"判定不能",IF(X403&gt;=判定条件!$C$7*W403,"運転",IF(X403&lt;=判定条件!$C$8*W403,"停止","断続")))</f>
        <v>断続</v>
      </c>
      <c r="Z403" s="30" t="n">
        <v>60</v>
      </c>
      <c r="AA403" s="30" t="n">
        <v>25</v>
      </c>
      <c r="AB403" s="30" t="str">
        <f aca="false">IF(Z403&lt;判定条件!$C$6,"判定不能",IF(AA403&gt;=判定条件!$C$7*Z403,"運転",IF(AA403&lt;=判定条件!$C$8*Z403,"停止","断続")))</f>
        <v>断続</v>
      </c>
      <c r="AC403" s="30" t="n">
        <v>60</v>
      </c>
      <c r="AD403" s="30" t="n">
        <v>45</v>
      </c>
      <c r="AE403" s="30" t="str">
        <f aca="false">IF(AC403&lt;判定条件!$C$6,"判定不能",IF(AD403&gt;=判定条件!$C$7*AC403,"運転",IF(AD403&lt;=判定条件!$C$8*AC403,"停止","断続")))</f>
        <v>断続</v>
      </c>
      <c r="AF403" s="30" t="n">
        <v>60</v>
      </c>
      <c r="AG403" s="30" t="n">
        <v>47</v>
      </c>
      <c r="AH403" s="30" t="str">
        <f aca="false">IF(OR(P403="判定不能",G403="判定不能"),"判定不能",IF(AG403&gt;=判定条件!$C$9,"利用可",IF(AND(P403="停止",G403="停止"),"両方停止","運転がそろわない")))</f>
        <v>利用可</v>
      </c>
      <c r="AI403" s="30" t="n">
        <v>0</v>
      </c>
      <c r="AJ403" s="30" t="n">
        <v>0</v>
      </c>
      <c r="AK403" s="30" t="str">
        <f aca="false">IF(OR(S403="判定不能",J403="判定不能"),"判定不能",IF(AJ403&gt;=判定条件!$C$9,"利用可",IF(AND(S403="停止",J403="停止"),"両方停止","運転がそろわない")))</f>
        <v>判定不能</v>
      </c>
      <c r="AL403" s="30" t="n">
        <v>60</v>
      </c>
      <c r="AM403" s="30" t="n">
        <v>39</v>
      </c>
      <c r="AN403" s="30" t="str">
        <f aca="false">IF(OR(V403="判定不能",M403="判定不能"),"判定不能",IF(AM403&gt;=判定条件!$C$9,"利用可",IF(AND(V403="停止",M403="停止"),"両方停止","運転がそろわない")))</f>
        <v>利用可</v>
      </c>
      <c r="AO403" s="30" t="n">
        <v>60</v>
      </c>
      <c r="AP403" s="30" t="n">
        <v>40</v>
      </c>
      <c r="AQ403" s="30" t="str">
        <f aca="false">IF(OR(Y403="判定不能",G403="判定不能"),"判定不能",IF(AP403&gt;=判定条件!$C$9,"利用可",IF(AND(Y403="停止",G403="停止"),"両方停止","運転がそろわない")))</f>
        <v>利用可</v>
      </c>
      <c r="AR403" s="30" t="n">
        <v>60</v>
      </c>
      <c r="AS403" s="30" t="n">
        <v>20</v>
      </c>
      <c r="AT403" s="30" t="str">
        <f aca="false">IF(OR(AB403="判定不能",J403="判定不能"),"判定不能",IF(AS403&gt;=判定条件!$C$9,"利用可",IF(AND(AB403="停止",J403="停止"),"両方停止","運転がそろわない")))</f>
        <v>運転がそろわない</v>
      </c>
      <c r="AU403" s="30" t="n">
        <v>60</v>
      </c>
      <c r="AV403" s="30" t="n">
        <v>45</v>
      </c>
      <c r="AW403" s="30" t="str">
        <f aca="false">IF(OR(AE403="判定不能",M403="判定不能"),"判定不能",IF(AV403&gt;=判定条件!$C$9,"利用可",IF(AND(AE403="停止",M403="停止"),"両方停止","運転がそろわない")))</f>
        <v>利用可</v>
      </c>
      <c r="AX403" s="30" t="str">
        <f aca="false">IF(AND(AH403="利用可",AK403="利用可",AN403="利用可"),"利用可","不可")</f>
        <v>不可</v>
      </c>
      <c r="AY403" s="30" t="str">
        <f aca="false">IF(AND(AQ403="利用可",AT403="利用可",AW403="利用可"),"利用可","不可")</f>
        <v>不可</v>
      </c>
    </row>
    <row r="404" customFormat="false" ht="15" hidden="false" customHeight="false" outlineLevel="0" collapsed="false">
      <c r="A404" s="29" t="n">
        <v>46248</v>
      </c>
      <c r="B404" s="30" t="n">
        <v>17</v>
      </c>
      <c r="C404" s="31" t="s">
        <v>62</v>
      </c>
      <c r="D404" s="31" t="s">
        <v>59</v>
      </c>
      <c r="E404" s="30" t="n">
        <v>60</v>
      </c>
      <c r="F404" s="30" t="n">
        <v>54</v>
      </c>
      <c r="G404" s="30" t="str">
        <f aca="false">IF(E404&lt;判定条件!$C$6,"判定不能",IF(F404&gt;=判定条件!$C$7*E404,"運転",IF(F404&lt;=判定条件!$C$8*E404,"停止","断続")))</f>
        <v>運転</v>
      </c>
      <c r="H404" s="30" t="n">
        <v>60</v>
      </c>
      <c r="I404" s="30" t="n">
        <v>54</v>
      </c>
      <c r="J404" s="30" t="str">
        <f aca="false">IF(H404&lt;判定条件!$C$6,"判定不能",IF(I404&gt;=判定条件!$C$7*H404,"運転",IF(I404&lt;=判定条件!$C$8*H404,"停止","断続")))</f>
        <v>運転</v>
      </c>
      <c r="K404" s="30" t="n">
        <v>60</v>
      </c>
      <c r="L404" s="30" t="n">
        <v>60</v>
      </c>
      <c r="M404" s="30" t="str">
        <f aca="false">IF(K404&lt;判定条件!$C$6,"判定不能",IF(L404&gt;=判定条件!$C$7*K404,"運転",IF(L404&lt;=判定条件!$C$8*K404,"停止","断続")))</f>
        <v>運転</v>
      </c>
      <c r="N404" s="30" t="n">
        <v>60</v>
      </c>
      <c r="O404" s="30" t="n">
        <v>36</v>
      </c>
      <c r="P404" s="30" t="str">
        <f aca="false">IF(N404&lt;判定条件!$C$6,"判定不能",IF(O404&gt;=判定条件!$C$7*N404,"運転",IF(O404&lt;=判定条件!$C$8*N404,"停止","断続")))</f>
        <v>断続</v>
      </c>
      <c r="Q404" s="30" t="n">
        <v>0</v>
      </c>
      <c r="R404" s="30" t="n">
        <v>0</v>
      </c>
      <c r="S404" s="30" t="str">
        <f aca="false">IF(Q404&lt;判定条件!$C$6,"判定不能",IF(R404&gt;=判定条件!$C$7*Q404,"運転",IF(R404&lt;=判定条件!$C$8*Q404,"停止","断続")))</f>
        <v>判定不能</v>
      </c>
      <c r="T404" s="30" t="n">
        <v>60</v>
      </c>
      <c r="U404" s="30" t="n">
        <v>43</v>
      </c>
      <c r="V404" s="30" t="str">
        <f aca="false">IF(T404&lt;判定条件!$C$6,"判定不能",IF(U404&gt;=判定条件!$C$7*T404,"運転",IF(U404&lt;=判定条件!$C$8*T404,"停止","断続")))</f>
        <v>断続</v>
      </c>
      <c r="W404" s="30" t="n">
        <v>60</v>
      </c>
      <c r="X404" s="30" t="n">
        <v>58</v>
      </c>
      <c r="Y404" s="30" t="str">
        <f aca="false">IF(W404&lt;判定条件!$C$6,"判定不能",IF(X404&gt;=判定条件!$C$7*W404,"運転",IF(X404&lt;=判定条件!$C$8*W404,"停止","断続")))</f>
        <v>運転</v>
      </c>
      <c r="Z404" s="30" t="n">
        <v>60</v>
      </c>
      <c r="AA404" s="30" t="n">
        <v>51</v>
      </c>
      <c r="AB404" s="30" t="str">
        <f aca="false">IF(Z404&lt;判定条件!$C$6,"判定不能",IF(AA404&gt;=判定条件!$C$7*Z404,"運転",IF(AA404&lt;=判定条件!$C$8*Z404,"停止","断続")))</f>
        <v>運転</v>
      </c>
      <c r="AC404" s="30" t="n">
        <v>60</v>
      </c>
      <c r="AD404" s="30" t="n">
        <v>60</v>
      </c>
      <c r="AE404" s="30" t="str">
        <f aca="false">IF(AC404&lt;判定条件!$C$6,"判定不能",IF(AD404&gt;=判定条件!$C$7*AC404,"運転",IF(AD404&lt;=判定条件!$C$8*AC404,"停止","断続")))</f>
        <v>運転</v>
      </c>
      <c r="AF404" s="30" t="n">
        <v>60</v>
      </c>
      <c r="AG404" s="30" t="n">
        <v>34</v>
      </c>
      <c r="AH404" s="30" t="str">
        <f aca="false">IF(OR(P404="判定不能",G404="判定不能"),"判定不能",IF(AG404&gt;=判定条件!$C$9,"利用可",IF(AND(P404="停止",G404="停止"),"両方停止","運転がそろわない")))</f>
        <v>利用可</v>
      </c>
      <c r="AI404" s="30" t="n">
        <v>0</v>
      </c>
      <c r="AJ404" s="30" t="n">
        <v>0</v>
      </c>
      <c r="AK404" s="30" t="str">
        <f aca="false">IF(OR(S404="判定不能",J404="判定不能"),"判定不能",IF(AJ404&gt;=判定条件!$C$9,"利用可",IF(AND(S404="停止",J404="停止"),"両方停止","運転がそろわない")))</f>
        <v>判定不能</v>
      </c>
      <c r="AL404" s="30" t="n">
        <v>60</v>
      </c>
      <c r="AM404" s="30" t="n">
        <v>43</v>
      </c>
      <c r="AN404" s="30" t="str">
        <f aca="false">IF(OR(V404="判定不能",M404="判定不能"),"判定不能",IF(AM404&gt;=判定条件!$C$9,"利用可",IF(AND(V404="停止",M404="停止"),"両方停止","運転がそろわない")))</f>
        <v>利用可</v>
      </c>
      <c r="AO404" s="30" t="n">
        <v>60</v>
      </c>
      <c r="AP404" s="30" t="n">
        <v>52</v>
      </c>
      <c r="AQ404" s="30" t="str">
        <f aca="false">IF(OR(Y404="判定不能",G404="判定不能"),"判定不能",IF(AP404&gt;=判定条件!$C$9,"利用可",IF(AND(Y404="停止",G404="停止"),"両方停止","運転がそろわない")))</f>
        <v>利用可</v>
      </c>
      <c r="AR404" s="30" t="n">
        <v>60</v>
      </c>
      <c r="AS404" s="30" t="n">
        <v>45</v>
      </c>
      <c r="AT404" s="30" t="str">
        <f aca="false">IF(OR(AB404="判定不能",J404="判定不能"),"判定不能",IF(AS404&gt;=判定条件!$C$9,"利用可",IF(AND(AB404="停止",J404="停止"),"両方停止","運転がそろわない")))</f>
        <v>利用可</v>
      </c>
      <c r="AU404" s="30" t="n">
        <v>60</v>
      </c>
      <c r="AV404" s="30" t="n">
        <v>60</v>
      </c>
      <c r="AW404" s="30" t="str">
        <f aca="false">IF(OR(AE404="判定不能",M404="判定不能"),"判定不能",IF(AV404&gt;=判定条件!$C$9,"利用可",IF(AND(AE404="停止",M404="停止"),"両方停止","運転がそろわない")))</f>
        <v>利用可</v>
      </c>
      <c r="AX404" s="30" t="str">
        <f aca="false">IF(AND(AH404="利用可",AK404="利用可",AN404="利用可"),"利用可","不可")</f>
        <v>不可</v>
      </c>
      <c r="AY404" s="30" t="str">
        <f aca="false">IF(AND(AQ404="利用可",AT404="利用可",AW404="利用可"),"利用可","不可")</f>
        <v>利用可</v>
      </c>
    </row>
    <row r="405" customFormat="false" ht="15" hidden="false" customHeight="false" outlineLevel="0" collapsed="false">
      <c r="A405" s="29" t="n">
        <v>46248</v>
      </c>
      <c r="B405" s="30" t="n">
        <v>18</v>
      </c>
      <c r="C405" s="31" t="s">
        <v>62</v>
      </c>
      <c r="D405" s="31" t="s">
        <v>59</v>
      </c>
      <c r="E405" s="30" t="n">
        <v>60</v>
      </c>
      <c r="F405" s="30" t="n">
        <v>60</v>
      </c>
      <c r="G405" s="30" t="str">
        <f aca="false">IF(E405&lt;判定条件!$C$6,"判定不能",IF(F405&gt;=判定条件!$C$7*E405,"運転",IF(F405&lt;=判定条件!$C$8*E405,"停止","断続")))</f>
        <v>運転</v>
      </c>
      <c r="H405" s="30" t="n">
        <v>60</v>
      </c>
      <c r="I405" s="30" t="n">
        <v>60</v>
      </c>
      <c r="J405" s="30" t="str">
        <f aca="false">IF(H405&lt;判定条件!$C$6,"判定不能",IF(I405&gt;=判定条件!$C$7*H405,"運転",IF(I405&lt;=判定条件!$C$8*H405,"停止","断続")))</f>
        <v>運転</v>
      </c>
      <c r="K405" s="30" t="n">
        <v>60</v>
      </c>
      <c r="L405" s="30" t="n">
        <v>60</v>
      </c>
      <c r="M405" s="30" t="str">
        <f aca="false">IF(K405&lt;判定条件!$C$6,"判定不能",IF(L405&gt;=判定条件!$C$7*K405,"運転",IF(L405&lt;=判定条件!$C$8*K405,"停止","断続")))</f>
        <v>運転</v>
      </c>
      <c r="N405" s="30" t="n">
        <v>60</v>
      </c>
      <c r="O405" s="30" t="n">
        <v>0</v>
      </c>
      <c r="P405" s="30" t="str">
        <f aca="false">IF(N405&lt;判定条件!$C$6,"判定不能",IF(O405&gt;=判定条件!$C$7*N405,"運転",IF(O405&lt;=判定条件!$C$8*N405,"停止","断続")))</f>
        <v>停止</v>
      </c>
      <c r="Q405" s="30" t="n">
        <v>0</v>
      </c>
      <c r="R405" s="30" t="n">
        <v>0</v>
      </c>
      <c r="S405" s="30" t="str">
        <f aca="false">IF(Q405&lt;判定条件!$C$6,"判定不能",IF(R405&gt;=判定条件!$C$7*Q405,"運転",IF(R405&lt;=判定条件!$C$8*Q405,"停止","断続")))</f>
        <v>判定不能</v>
      </c>
      <c r="T405" s="30" t="n">
        <v>60</v>
      </c>
      <c r="U405" s="30" t="n">
        <v>36</v>
      </c>
      <c r="V405" s="30" t="str">
        <f aca="false">IF(T405&lt;判定条件!$C$6,"判定不能",IF(U405&gt;=判定条件!$C$7*T405,"運転",IF(U405&lt;=判定条件!$C$8*T405,"停止","断続")))</f>
        <v>断続</v>
      </c>
      <c r="W405" s="30" t="n">
        <v>60</v>
      </c>
      <c r="X405" s="30" t="n">
        <v>29</v>
      </c>
      <c r="Y405" s="30" t="str">
        <f aca="false">IF(W405&lt;判定条件!$C$6,"判定不能",IF(X405&gt;=判定条件!$C$7*W405,"運転",IF(X405&lt;=判定条件!$C$8*W405,"停止","断続")))</f>
        <v>断続</v>
      </c>
      <c r="Z405" s="30" t="n">
        <v>60</v>
      </c>
      <c r="AA405" s="30" t="n">
        <v>19</v>
      </c>
      <c r="AB405" s="30" t="str">
        <f aca="false">IF(Z405&lt;判定条件!$C$6,"判定不能",IF(AA405&gt;=判定条件!$C$7*Z405,"運転",IF(AA405&lt;=判定条件!$C$8*Z405,"停止","断続")))</f>
        <v>断続</v>
      </c>
      <c r="AC405" s="30" t="n">
        <v>60</v>
      </c>
      <c r="AD405" s="30" t="n">
        <v>60</v>
      </c>
      <c r="AE405" s="30" t="str">
        <f aca="false">IF(AC405&lt;判定条件!$C$6,"判定不能",IF(AD405&gt;=判定条件!$C$7*AC405,"運転",IF(AD405&lt;=判定条件!$C$8*AC405,"停止","断続")))</f>
        <v>運転</v>
      </c>
      <c r="AF405" s="30" t="n">
        <v>60</v>
      </c>
      <c r="AG405" s="30" t="n">
        <v>0</v>
      </c>
      <c r="AH405" s="30" t="str">
        <f aca="false">IF(OR(P405="判定不能",G405="判定不能"),"判定不能",IF(AG405&gt;=判定条件!$C$9,"利用可",IF(AND(P405="停止",G405="停止"),"両方停止","運転がそろわない")))</f>
        <v>運転がそろわない</v>
      </c>
      <c r="AI405" s="30" t="n">
        <v>0</v>
      </c>
      <c r="AJ405" s="30" t="n">
        <v>0</v>
      </c>
      <c r="AK405" s="30" t="str">
        <f aca="false">IF(OR(S405="判定不能",J405="判定不能"),"判定不能",IF(AJ405&gt;=判定条件!$C$9,"利用可",IF(AND(S405="停止",J405="停止"),"両方停止","運転がそろわない")))</f>
        <v>判定不能</v>
      </c>
      <c r="AL405" s="30" t="n">
        <v>60</v>
      </c>
      <c r="AM405" s="30" t="n">
        <v>36</v>
      </c>
      <c r="AN405" s="30" t="str">
        <f aca="false">IF(OR(V405="判定不能",M405="判定不能"),"判定不能",IF(AM405&gt;=判定条件!$C$9,"利用可",IF(AND(V405="停止",M405="停止"),"両方停止","運転がそろわない")))</f>
        <v>利用可</v>
      </c>
      <c r="AO405" s="30" t="n">
        <v>60</v>
      </c>
      <c r="AP405" s="30" t="n">
        <v>29</v>
      </c>
      <c r="AQ405" s="30" t="str">
        <f aca="false">IF(OR(Y405="判定不能",G405="判定不能"),"判定不能",IF(AP405&gt;=判定条件!$C$9,"利用可",IF(AND(Y405="停止",G405="停止"),"両方停止","運転がそろわない")))</f>
        <v>運転がそろわない</v>
      </c>
      <c r="AR405" s="30" t="n">
        <v>60</v>
      </c>
      <c r="AS405" s="30" t="n">
        <v>19</v>
      </c>
      <c r="AT405" s="30" t="str">
        <f aca="false">IF(OR(AB405="判定不能",J405="判定不能"),"判定不能",IF(AS405&gt;=判定条件!$C$9,"利用可",IF(AND(AB405="停止",J405="停止"),"両方停止","運転がそろわない")))</f>
        <v>運転がそろわない</v>
      </c>
      <c r="AU405" s="30" t="n">
        <v>60</v>
      </c>
      <c r="AV405" s="30" t="n">
        <v>60</v>
      </c>
      <c r="AW405" s="30" t="str">
        <f aca="false">IF(OR(AE405="判定不能",M405="判定不能"),"判定不能",IF(AV405&gt;=判定条件!$C$9,"利用可",IF(AND(AE405="停止",M405="停止"),"両方停止","運転がそろわない")))</f>
        <v>利用可</v>
      </c>
      <c r="AX405" s="30" t="str">
        <f aca="false">IF(AND(AH405="利用可",AK405="利用可",AN405="利用可"),"利用可","不可")</f>
        <v>不可</v>
      </c>
      <c r="AY405" s="30" t="str">
        <f aca="false">IF(AND(AQ405="利用可",AT405="利用可",AW405="利用可"),"利用可","不可")</f>
        <v>不可</v>
      </c>
    </row>
    <row r="406" customFormat="false" ht="15" hidden="false" customHeight="false" outlineLevel="0" collapsed="false">
      <c r="A406" s="29" t="n">
        <v>46248</v>
      </c>
      <c r="B406" s="30" t="n">
        <v>19</v>
      </c>
      <c r="C406" s="31" t="s">
        <v>62</v>
      </c>
      <c r="D406" s="31" t="s">
        <v>59</v>
      </c>
      <c r="E406" s="30" t="n">
        <v>60</v>
      </c>
      <c r="F406" s="30" t="n">
        <v>60</v>
      </c>
      <c r="G406" s="30" t="str">
        <f aca="false">IF(E406&lt;判定条件!$C$6,"判定不能",IF(F406&gt;=判定条件!$C$7*E406,"運転",IF(F406&lt;=判定条件!$C$8*E406,"停止","断続")))</f>
        <v>運転</v>
      </c>
      <c r="H406" s="30" t="n">
        <v>60</v>
      </c>
      <c r="I406" s="30" t="n">
        <v>60</v>
      </c>
      <c r="J406" s="30" t="str">
        <f aca="false">IF(H406&lt;判定条件!$C$6,"判定不能",IF(I406&gt;=判定条件!$C$7*H406,"運転",IF(I406&lt;=判定条件!$C$8*H406,"停止","断続")))</f>
        <v>運転</v>
      </c>
      <c r="K406" s="30" t="n">
        <v>60</v>
      </c>
      <c r="L406" s="30" t="n">
        <v>60</v>
      </c>
      <c r="M406" s="30" t="str">
        <f aca="false">IF(K406&lt;判定条件!$C$6,"判定不能",IF(L406&gt;=判定条件!$C$7*K406,"運転",IF(L406&lt;=判定条件!$C$8*K406,"停止","断続")))</f>
        <v>運転</v>
      </c>
      <c r="N406" s="30" t="n">
        <v>60</v>
      </c>
      <c r="O406" s="30" t="n">
        <v>32</v>
      </c>
      <c r="P406" s="30" t="str">
        <f aca="false">IF(N406&lt;判定条件!$C$6,"判定不能",IF(O406&gt;=判定条件!$C$7*N406,"運転",IF(O406&lt;=判定条件!$C$8*N406,"停止","断続")))</f>
        <v>断続</v>
      </c>
      <c r="Q406" s="30" t="n">
        <v>0</v>
      </c>
      <c r="R406" s="30" t="n">
        <v>0</v>
      </c>
      <c r="S406" s="30" t="str">
        <f aca="false">IF(Q406&lt;判定条件!$C$6,"判定不能",IF(R406&gt;=判定条件!$C$7*Q406,"運転",IF(R406&lt;=判定条件!$C$8*Q406,"停止","断続")))</f>
        <v>判定不能</v>
      </c>
      <c r="T406" s="30" t="n">
        <v>60</v>
      </c>
      <c r="U406" s="30" t="n">
        <v>45</v>
      </c>
      <c r="V406" s="30" t="str">
        <f aca="false">IF(T406&lt;判定条件!$C$6,"判定不能",IF(U406&gt;=判定条件!$C$7*T406,"運転",IF(U406&lt;=判定条件!$C$8*T406,"停止","断続")))</f>
        <v>断続</v>
      </c>
      <c r="W406" s="30" t="n">
        <v>60</v>
      </c>
      <c r="X406" s="30" t="n">
        <v>13</v>
      </c>
      <c r="Y406" s="30" t="str">
        <f aca="false">IF(W406&lt;判定条件!$C$6,"判定不能",IF(X406&gt;=判定条件!$C$7*W406,"運転",IF(X406&lt;=判定条件!$C$8*W406,"停止","断続")))</f>
        <v>断続</v>
      </c>
      <c r="Z406" s="30" t="n">
        <v>60</v>
      </c>
      <c r="AA406" s="30" t="n">
        <v>9</v>
      </c>
      <c r="AB406" s="30" t="str">
        <f aca="false">IF(Z406&lt;判定条件!$C$6,"判定不能",IF(AA406&gt;=判定条件!$C$7*Z406,"運転",IF(AA406&lt;=判定条件!$C$8*Z406,"停止","断続")))</f>
        <v>停止</v>
      </c>
      <c r="AC406" s="30" t="n">
        <v>60</v>
      </c>
      <c r="AD406" s="30" t="n">
        <v>5</v>
      </c>
      <c r="AE406" s="30" t="str">
        <f aca="false">IF(AC406&lt;判定条件!$C$6,"判定不能",IF(AD406&gt;=判定条件!$C$7*AC406,"運転",IF(AD406&lt;=判定条件!$C$8*AC406,"停止","断続")))</f>
        <v>停止</v>
      </c>
      <c r="AF406" s="30" t="n">
        <v>60</v>
      </c>
      <c r="AG406" s="30" t="n">
        <v>32</v>
      </c>
      <c r="AH406" s="30" t="str">
        <f aca="false">IF(OR(P406="判定不能",G406="判定不能"),"判定不能",IF(AG406&gt;=判定条件!$C$9,"利用可",IF(AND(P406="停止",G406="停止"),"両方停止","運転がそろわない")))</f>
        <v>利用可</v>
      </c>
      <c r="AI406" s="30" t="n">
        <v>0</v>
      </c>
      <c r="AJ406" s="30" t="n">
        <v>0</v>
      </c>
      <c r="AK406" s="30" t="str">
        <f aca="false">IF(OR(S406="判定不能",J406="判定不能"),"判定不能",IF(AJ406&gt;=判定条件!$C$9,"利用可",IF(AND(S406="停止",J406="停止"),"両方停止","運転がそろわない")))</f>
        <v>判定不能</v>
      </c>
      <c r="AL406" s="30" t="n">
        <v>60</v>
      </c>
      <c r="AM406" s="30" t="n">
        <v>45</v>
      </c>
      <c r="AN406" s="30" t="str">
        <f aca="false">IF(OR(V406="判定不能",M406="判定不能"),"判定不能",IF(AM406&gt;=判定条件!$C$9,"利用可",IF(AND(V406="停止",M406="停止"),"両方停止","運転がそろわない")))</f>
        <v>利用可</v>
      </c>
      <c r="AO406" s="30" t="n">
        <v>60</v>
      </c>
      <c r="AP406" s="30" t="n">
        <v>13</v>
      </c>
      <c r="AQ406" s="30" t="str">
        <f aca="false">IF(OR(Y406="判定不能",G406="判定不能"),"判定不能",IF(AP406&gt;=判定条件!$C$9,"利用可",IF(AND(Y406="停止",G406="停止"),"両方停止","運転がそろわない")))</f>
        <v>運転がそろわない</v>
      </c>
      <c r="AR406" s="30" t="n">
        <v>60</v>
      </c>
      <c r="AS406" s="30" t="n">
        <v>9</v>
      </c>
      <c r="AT406" s="30" t="str">
        <f aca="false">IF(OR(AB406="判定不能",J406="判定不能"),"判定不能",IF(AS406&gt;=判定条件!$C$9,"利用可",IF(AND(AB406="停止",J406="停止"),"両方停止","運転がそろわない")))</f>
        <v>運転がそろわない</v>
      </c>
      <c r="AU406" s="30" t="n">
        <v>60</v>
      </c>
      <c r="AV406" s="30" t="n">
        <v>5</v>
      </c>
      <c r="AW406" s="30" t="str">
        <f aca="false">IF(OR(AE406="判定不能",M406="判定不能"),"判定不能",IF(AV406&gt;=判定条件!$C$9,"利用可",IF(AND(AE406="停止",M406="停止"),"両方停止","運転がそろわない")))</f>
        <v>運転がそろわない</v>
      </c>
      <c r="AX406" s="30" t="str">
        <f aca="false">IF(AND(AH406="利用可",AK406="利用可",AN406="利用可"),"利用可","不可")</f>
        <v>不可</v>
      </c>
      <c r="AY406" s="30" t="str">
        <f aca="false">IF(AND(AQ406="利用可",AT406="利用可",AW406="利用可"),"利用可","不可")</f>
        <v>不可</v>
      </c>
    </row>
    <row r="407" customFormat="false" ht="15" hidden="false" customHeight="false" outlineLevel="0" collapsed="false">
      <c r="A407" s="29" t="n">
        <v>46248</v>
      </c>
      <c r="B407" s="30" t="n">
        <v>20</v>
      </c>
      <c r="C407" s="31" t="s">
        <v>62</v>
      </c>
      <c r="D407" s="31" t="s">
        <v>59</v>
      </c>
      <c r="E407" s="30" t="n">
        <v>60</v>
      </c>
      <c r="F407" s="30" t="n">
        <v>60</v>
      </c>
      <c r="G407" s="30" t="str">
        <f aca="false">IF(E407&lt;判定条件!$C$6,"判定不能",IF(F407&gt;=判定条件!$C$7*E407,"運転",IF(F407&lt;=判定条件!$C$8*E407,"停止","断続")))</f>
        <v>運転</v>
      </c>
      <c r="H407" s="30" t="n">
        <v>60</v>
      </c>
      <c r="I407" s="30" t="n">
        <v>60</v>
      </c>
      <c r="J407" s="30" t="str">
        <f aca="false">IF(H407&lt;判定条件!$C$6,"判定不能",IF(I407&gt;=判定条件!$C$7*H407,"運転",IF(I407&lt;=判定条件!$C$8*H407,"停止","断続")))</f>
        <v>運転</v>
      </c>
      <c r="K407" s="30" t="n">
        <v>60</v>
      </c>
      <c r="L407" s="30" t="n">
        <v>60</v>
      </c>
      <c r="M407" s="30" t="str">
        <f aca="false">IF(K407&lt;判定条件!$C$6,"判定不能",IF(L407&gt;=判定条件!$C$7*K407,"運転",IF(L407&lt;=判定条件!$C$8*K407,"停止","断続")))</f>
        <v>運転</v>
      </c>
      <c r="N407" s="30" t="n">
        <v>60</v>
      </c>
      <c r="O407" s="30" t="n">
        <v>20</v>
      </c>
      <c r="P407" s="30" t="str">
        <f aca="false">IF(N407&lt;判定条件!$C$6,"判定不能",IF(O407&gt;=判定条件!$C$7*N407,"運転",IF(O407&lt;=判定条件!$C$8*N407,"停止","断続")))</f>
        <v>断続</v>
      </c>
      <c r="Q407" s="30" t="n">
        <v>0</v>
      </c>
      <c r="R407" s="30" t="n">
        <v>0</v>
      </c>
      <c r="S407" s="30" t="str">
        <f aca="false">IF(Q407&lt;判定条件!$C$6,"判定不能",IF(R407&gt;=判定条件!$C$7*Q407,"運転",IF(R407&lt;=判定条件!$C$8*Q407,"停止","断続")))</f>
        <v>判定不能</v>
      </c>
      <c r="T407" s="30" t="n">
        <v>60</v>
      </c>
      <c r="U407" s="30" t="n">
        <v>39</v>
      </c>
      <c r="V407" s="30" t="str">
        <f aca="false">IF(T407&lt;判定条件!$C$6,"判定不能",IF(U407&gt;=判定条件!$C$7*T407,"運転",IF(U407&lt;=判定条件!$C$8*T407,"停止","断続")))</f>
        <v>断続</v>
      </c>
      <c r="W407" s="30" t="n">
        <v>60</v>
      </c>
      <c r="X407" s="30" t="n">
        <v>0</v>
      </c>
      <c r="Y407" s="30" t="str">
        <f aca="false">IF(W407&lt;判定条件!$C$6,"判定不能",IF(X407&gt;=判定条件!$C$7*W407,"運転",IF(X407&lt;=判定条件!$C$8*W407,"停止","断続")))</f>
        <v>停止</v>
      </c>
      <c r="Z407" s="30" t="n">
        <v>60</v>
      </c>
      <c r="AA407" s="30" t="n">
        <v>0</v>
      </c>
      <c r="AB407" s="30" t="str">
        <f aca="false">IF(Z407&lt;判定条件!$C$6,"判定不能",IF(AA407&gt;=判定条件!$C$7*Z407,"運転",IF(AA407&lt;=判定条件!$C$8*Z407,"停止","断続")))</f>
        <v>停止</v>
      </c>
      <c r="AC407" s="30" t="n">
        <v>60</v>
      </c>
      <c r="AD407" s="30" t="n">
        <v>0</v>
      </c>
      <c r="AE407" s="30" t="str">
        <f aca="false">IF(AC407&lt;判定条件!$C$6,"判定不能",IF(AD407&gt;=判定条件!$C$7*AC407,"運転",IF(AD407&lt;=判定条件!$C$8*AC407,"停止","断続")))</f>
        <v>停止</v>
      </c>
      <c r="AF407" s="30" t="n">
        <v>60</v>
      </c>
      <c r="AG407" s="30" t="n">
        <v>20</v>
      </c>
      <c r="AH407" s="30" t="str">
        <f aca="false">IF(OR(P407="判定不能",G407="判定不能"),"判定不能",IF(AG407&gt;=判定条件!$C$9,"利用可",IF(AND(P407="停止",G407="停止"),"両方停止","運転がそろわない")))</f>
        <v>運転がそろわない</v>
      </c>
      <c r="AI407" s="30" t="n">
        <v>0</v>
      </c>
      <c r="AJ407" s="30" t="n">
        <v>0</v>
      </c>
      <c r="AK407" s="30" t="str">
        <f aca="false">IF(OR(S407="判定不能",J407="判定不能"),"判定不能",IF(AJ407&gt;=判定条件!$C$9,"利用可",IF(AND(S407="停止",J407="停止"),"両方停止","運転がそろわない")))</f>
        <v>判定不能</v>
      </c>
      <c r="AL407" s="30" t="n">
        <v>60</v>
      </c>
      <c r="AM407" s="30" t="n">
        <v>39</v>
      </c>
      <c r="AN407" s="30" t="str">
        <f aca="false">IF(OR(V407="判定不能",M407="判定不能"),"判定不能",IF(AM407&gt;=判定条件!$C$9,"利用可",IF(AND(V407="停止",M407="停止"),"両方停止","運転がそろわない")))</f>
        <v>利用可</v>
      </c>
      <c r="AO407" s="30" t="n">
        <v>60</v>
      </c>
      <c r="AP407" s="30" t="n">
        <v>0</v>
      </c>
      <c r="AQ407" s="30" t="str">
        <f aca="false">IF(OR(Y407="判定不能",G407="判定不能"),"判定不能",IF(AP407&gt;=判定条件!$C$9,"利用可",IF(AND(Y407="停止",G407="停止"),"両方停止","運転がそろわない")))</f>
        <v>運転がそろわない</v>
      </c>
      <c r="AR407" s="30" t="n">
        <v>60</v>
      </c>
      <c r="AS407" s="30" t="n">
        <v>0</v>
      </c>
      <c r="AT407" s="30" t="str">
        <f aca="false">IF(OR(AB407="判定不能",J407="判定不能"),"判定不能",IF(AS407&gt;=判定条件!$C$9,"利用可",IF(AND(AB407="停止",J407="停止"),"両方停止","運転がそろわない")))</f>
        <v>運転がそろわない</v>
      </c>
      <c r="AU407" s="30" t="n">
        <v>60</v>
      </c>
      <c r="AV407" s="30" t="n">
        <v>0</v>
      </c>
      <c r="AW407" s="30" t="str">
        <f aca="false">IF(OR(AE407="判定不能",M407="判定不能"),"判定不能",IF(AV407&gt;=判定条件!$C$9,"利用可",IF(AND(AE407="停止",M407="停止"),"両方停止","運転がそろわない")))</f>
        <v>運転がそろわない</v>
      </c>
      <c r="AX407" s="30" t="str">
        <f aca="false">IF(AND(AH407="利用可",AK407="利用可",AN407="利用可"),"利用可","不可")</f>
        <v>不可</v>
      </c>
      <c r="AY407" s="30" t="str">
        <f aca="false">IF(AND(AQ407="利用可",AT407="利用可",AW407="利用可"),"利用可","不可")</f>
        <v>不可</v>
      </c>
    </row>
    <row r="408" customFormat="false" ht="15" hidden="false" customHeight="false" outlineLevel="0" collapsed="false">
      <c r="A408" s="29" t="n">
        <v>46248</v>
      </c>
      <c r="B408" s="30" t="n">
        <v>21</v>
      </c>
      <c r="C408" s="31" t="s">
        <v>62</v>
      </c>
      <c r="D408" s="31" t="s">
        <v>59</v>
      </c>
      <c r="E408" s="30" t="n">
        <v>60</v>
      </c>
      <c r="F408" s="30" t="n">
        <v>33</v>
      </c>
      <c r="G408" s="30" t="str">
        <f aca="false">IF(E408&lt;判定条件!$C$6,"判定不能",IF(F408&gt;=判定条件!$C$7*E408,"運転",IF(F408&lt;=判定条件!$C$8*E408,"停止","断続")))</f>
        <v>断続</v>
      </c>
      <c r="H408" s="30" t="n">
        <v>60</v>
      </c>
      <c r="I408" s="30" t="n">
        <v>1</v>
      </c>
      <c r="J408" s="30" t="str">
        <f aca="false">IF(H408&lt;判定条件!$C$6,"判定不能",IF(I408&gt;=判定条件!$C$7*H408,"運転",IF(I408&lt;=判定条件!$C$8*H408,"停止","断続")))</f>
        <v>停止</v>
      </c>
      <c r="K408" s="30" t="n">
        <v>60</v>
      </c>
      <c r="L408" s="30" t="n">
        <v>7</v>
      </c>
      <c r="M408" s="30" t="str">
        <f aca="false">IF(K408&lt;判定条件!$C$6,"判定不能",IF(L408&gt;=判定条件!$C$7*K408,"運転",IF(L408&lt;=判定条件!$C$8*K408,"停止","断続")))</f>
        <v>停止</v>
      </c>
      <c r="N408" s="30" t="n">
        <v>60</v>
      </c>
      <c r="O408" s="30" t="n">
        <v>40</v>
      </c>
      <c r="P408" s="30" t="str">
        <f aca="false">IF(N408&lt;判定条件!$C$6,"判定不能",IF(O408&gt;=判定条件!$C$7*N408,"運転",IF(O408&lt;=判定条件!$C$8*N408,"停止","断続")))</f>
        <v>断続</v>
      </c>
      <c r="Q408" s="30" t="n">
        <v>0</v>
      </c>
      <c r="R408" s="30" t="n">
        <v>0</v>
      </c>
      <c r="S408" s="30" t="str">
        <f aca="false">IF(Q408&lt;判定条件!$C$6,"判定不能",IF(R408&gt;=判定条件!$C$7*Q408,"運転",IF(R408&lt;=判定条件!$C$8*Q408,"停止","断続")))</f>
        <v>判定不能</v>
      </c>
      <c r="T408" s="30" t="n">
        <v>60</v>
      </c>
      <c r="U408" s="30" t="n">
        <v>24</v>
      </c>
      <c r="V408" s="30" t="str">
        <f aca="false">IF(T408&lt;判定条件!$C$6,"判定不能",IF(U408&gt;=判定条件!$C$7*T408,"運転",IF(U408&lt;=判定条件!$C$8*T408,"停止","断続")))</f>
        <v>断続</v>
      </c>
      <c r="W408" s="30" t="n">
        <v>60</v>
      </c>
      <c r="X408" s="30" t="n">
        <v>0</v>
      </c>
      <c r="Y408" s="30" t="str">
        <f aca="false">IF(W408&lt;判定条件!$C$6,"判定不能",IF(X408&gt;=判定条件!$C$7*W408,"運転",IF(X408&lt;=判定条件!$C$8*W408,"停止","断続")))</f>
        <v>停止</v>
      </c>
      <c r="Z408" s="30" t="n">
        <v>60</v>
      </c>
      <c r="AA408" s="30" t="n">
        <v>0</v>
      </c>
      <c r="AB408" s="30" t="str">
        <f aca="false">IF(Z408&lt;判定条件!$C$6,"判定不能",IF(AA408&gt;=判定条件!$C$7*Z408,"運転",IF(AA408&lt;=判定条件!$C$8*Z408,"停止","断続")))</f>
        <v>停止</v>
      </c>
      <c r="AC408" s="30" t="n">
        <v>60</v>
      </c>
      <c r="AD408" s="30" t="n">
        <v>0</v>
      </c>
      <c r="AE408" s="30" t="str">
        <f aca="false">IF(AC408&lt;判定条件!$C$6,"判定不能",IF(AD408&gt;=判定条件!$C$7*AC408,"運転",IF(AD408&lt;=判定条件!$C$8*AC408,"停止","断続")))</f>
        <v>停止</v>
      </c>
      <c r="AF408" s="30" t="n">
        <v>60</v>
      </c>
      <c r="AG408" s="30" t="n">
        <v>13</v>
      </c>
      <c r="AH408" s="30" t="str">
        <f aca="false">IF(OR(P408="判定不能",G408="判定不能"),"判定不能",IF(AG408&gt;=判定条件!$C$9,"利用可",IF(AND(P408="停止",G408="停止"),"両方停止","運転がそろわない")))</f>
        <v>運転がそろわない</v>
      </c>
      <c r="AI408" s="30" t="n">
        <v>0</v>
      </c>
      <c r="AJ408" s="30" t="n">
        <v>0</v>
      </c>
      <c r="AK408" s="30" t="str">
        <f aca="false">IF(OR(S408="判定不能",J408="判定不能"),"判定不能",IF(AJ408&gt;=判定条件!$C$9,"利用可",IF(AND(S408="停止",J408="停止"),"両方停止","運転がそろわない")))</f>
        <v>判定不能</v>
      </c>
      <c r="AL408" s="30" t="n">
        <v>60</v>
      </c>
      <c r="AM408" s="30" t="n">
        <v>7</v>
      </c>
      <c r="AN408" s="30" t="str">
        <f aca="false">IF(OR(V408="判定不能",M408="判定不能"),"判定不能",IF(AM408&gt;=判定条件!$C$9,"利用可",IF(AND(V408="停止",M408="停止"),"両方停止","運転がそろわない")))</f>
        <v>運転がそろわない</v>
      </c>
      <c r="AO408" s="30" t="n">
        <v>60</v>
      </c>
      <c r="AP408" s="30" t="n">
        <v>0</v>
      </c>
      <c r="AQ408" s="30" t="str">
        <f aca="false">IF(OR(Y408="判定不能",G408="判定不能"),"判定不能",IF(AP408&gt;=判定条件!$C$9,"利用可",IF(AND(Y408="停止",G408="停止"),"両方停止","運転がそろわない")))</f>
        <v>運転がそろわない</v>
      </c>
      <c r="AR408" s="30" t="n">
        <v>60</v>
      </c>
      <c r="AS408" s="30" t="n">
        <v>0</v>
      </c>
      <c r="AT408" s="30" t="str">
        <f aca="false">IF(OR(AB408="判定不能",J408="判定不能"),"判定不能",IF(AS408&gt;=判定条件!$C$9,"利用可",IF(AND(AB408="停止",J408="停止"),"両方停止","運転がそろわない")))</f>
        <v>両方停止</v>
      </c>
      <c r="AU408" s="30" t="n">
        <v>60</v>
      </c>
      <c r="AV408" s="30" t="n">
        <v>0</v>
      </c>
      <c r="AW408" s="30" t="str">
        <f aca="false">IF(OR(AE408="判定不能",M408="判定不能"),"判定不能",IF(AV408&gt;=判定条件!$C$9,"利用可",IF(AND(AE408="停止",M408="停止"),"両方停止","運転がそろわない")))</f>
        <v>両方停止</v>
      </c>
      <c r="AX408" s="30" t="str">
        <f aca="false">IF(AND(AH408="利用可",AK408="利用可",AN408="利用可"),"利用可","不可")</f>
        <v>不可</v>
      </c>
      <c r="AY408" s="30" t="str">
        <f aca="false">IF(AND(AQ408="利用可",AT408="利用可",AW408="利用可"),"利用可","不可")</f>
        <v>不可</v>
      </c>
    </row>
    <row r="409" customFormat="false" ht="15" hidden="false" customHeight="false" outlineLevel="0" collapsed="false">
      <c r="A409" s="29" t="n">
        <v>46248</v>
      </c>
      <c r="B409" s="30" t="n">
        <v>22</v>
      </c>
      <c r="C409" s="31" t="s">
        <v>62</v>
      </c>
      <c r="D409" s="31" t="s">
        <v>59</v>
      </c>
      <c r="E409" s="30" t="n">
        <v>60</v>
      </c>
      <c r="F409" s="30" t="n">
        <v>9</v>
      </c>
      <c r="G409" s="30" t="str">
        <f aca="false">IF(E409&lt;判定条件!$C$6,"判定不能",IF(F409&gt;=判定条件!$C$7*E409,"運転",IF(F409&lt;=判定条件!$C$8*E409,"停止","断続")))</f>
        <v>停止</v>
      </c>
      <c r="H409" s="30" t="n">
        <v>60</v>
      </c>
      <c r="I409" s="30" t="n">
        <v>0</v>
      </c>
      <c r="J409" s="30" t="str">
        <f aca="false">IF(H409&lt;判定条件!$C$6,"判定不能",IF(I409&gt;=判定条件!$C$7*H409,"運転",IF(I409&lt;=判定条件!$C$8*H409,"停止","断続")))</f>
        <v>停止</v>
      </c>
      <c r="K409" s="30" t="n">
        <v>60</v>
      </c>
      <c r="L409" s="30" t="n">
        <v>0</v>
      </c>
      <c r="M409" s="30" t="str">
        <f aca="false">IF(K409&lt;判定条件!$C$6,"判定不能",IF(L409&gt;=判定条件!$C$7*K409,"運転",IF(L409&lt;=判定条件!$C$8*K409,"停止","断続")))</f>
        <v>停止</v>
      </c>
      <c r="N409" s="30" t="n">
        <v>60</v>
      </c>
      <c r="O409" s="30" t="n">
        <v>4</v>
      </c>
      <c r="P409" s="30" t="str">
        <f aca="false">IF(N409&lt;判定条件!$C$6,"判定不能",IF(O409&gt;=判定条件!$C$7*N409,"運転",IF(O409&lt;=判定条件!$C$8*N409,"停止","断続")))</f>
        <v>停止</v>
      </c>
      <c r="Q409" s="30" t="n">
        <v>0</v>
      </c>
      <c r="R409" s="30" t="n">
        <v>0</v>
      </c>
      <c r="S409" s="30" t="str">
        <f aca="false">IF(Q409&lt;判定条件!$C$6,"判定不能",IF(R409&gt;=判定条件!$C$7*Q409,"運転",IF(R409&lt;=判定条件!$C$8*Q409,"停止","断続")))</f>
        <v>判定不能</v>
      </c>
      <c r="T409" s="30" t="n">
        <v>60</v>
      </c>
      <c r="U409" s="30" t="n">
        <v>0</v>
      </c>
      <c r="V409" s="30" t="str">
        <f aca="false">IF(T409&lt;判定条件!$C$6,"判定不能",IF(U409&gt;=判定条件!$C$7*T409,"運転",IF(U409&lt;=判定条件!$C$8*T409,"停止","断続")))</f>
        <v>停止</v>
      </c>
      <c r="W409" s="30" t="n">
        <v>60</v>
      </c>
      <c r="X409" s="30" t="n">
        <v>0</v>
      </c>
      <c r="Y409" s="30" t="str">
        <f aca="false">IF(W409&lt;判定条件!$C$6,"判定不能",IF(X409&gt;=判定条件!$C$7*W409,"運転",IF(X409&lt;=判定条件!$C$8*W409,"停止","断続")))</f>
        <v>停止</v>
      </c>
      <c r="Z409" s="30" t="n">
        <v>60</v>
      </c>
      <c r="AA409" s="30" t="n">
        <v>0</v>
      </c>
      <c r="AB409" s="30" t="str">
        <f aca="false">IF(Z409&lt;判定条件!$C$6,"判定不能",IF(AA409&gt;=判定条件!$C$7*Z409,"運転",IF(AA409&lt;=判定条件!$C$8*Z409,"停止","断続")))</f>
        <v>停止</v>
      </c>
      <c r="AC409" s="30" t="n">
        <v>60</v>
      </c>
      <c r="AD409" s="30" t="n">
        <v>0</v>
      </c>
      <c r="AE409" s="30" t="str">
        <f aca="false">IF(AC409&lt;判定条件!$C$6,"判定不能",IF(AD409&gt;=判定条件!$C$7*AC409,"運転",IF(AD409&lt;=判定条件!$C$8*AC409,"停止","断続")))</f>
        <v>停止</v>
      </c>
      <c r="AF409" s="30" t="n">
        <v>60</v>
      </c>
      <c r="AG409" s="30" t="n">
        <v>4</v>
      </c>
      <c r="AH409" s="30" t="str">
        <f aca="false">IF(OR(P409="判定不能",G409="判定不能"),"判定不能",IF(AG409&gt;=判定条件!$C$9,"利用可",IF(AND(P409="停止",G409="停止"),"両方停止","運転がそろわない")))</f>
        <v>両方停止</v>
      </c>
      <c r="AI409" s="30" t="n">
        <v>0</v>
      </c>
      <c r="AJ409" s="30" t="n">
        <v>0</v>
      </c>
      <c r="AK409" s="30" t="str">
        <f aca="false">IF(OR(S409="判定不能",J409="判定不能"),"判定不能",IF(AJ409&gt;=判定条件!$C$9,"利用可",IF(AND(S409="停止",J409="停止"),"両方停止","運転がそろわない")))</f>
        <v>判定不能</v>
      </c>
      <c r="AL409" s="30" t="n">
        <v>60</v>
      </c>
      <c r="AM409" s="30" t="n">
        <v>0</v>
      </c>
      <c r="AN409" s="30" t="str">
        <f aca="false">IF(OR(V409="判定不能",M409="判定不能"),"判定不能",IF(AM409&gt;=判定条件!$C$9,"利用可",IF(AND(V409="停止",M409="停止"),"両方停止","運転がそろわない")))</f>
        <v>両方停止</v>
      </c>
      <c r="AO409" s="30" t="n">
        <v>60</v>
      </c>
      <c r="AP409" s="30" t="n">
        <v>0</v>
      </c>
      <c r="AQ409" s="30" t="str">
        <f aca="false">IF(OR(Y409="判定不能",G409="判定不能"),"判定不能",IF(AP409&gt;=判定条件!$C$9,"利用可",IF(AND(Y409="停止",G409="停止"),"両方停止","運転がそろわない")))</f>
        <v>両方停止</v>
      </c>
      <c r="AR409" s="30" t="n">
        <v>60</v>
      </c>
      <c r="AS409" s="30" t="n">
        <v>0</v>
      </c>
      <c r="AT409" s="30" t="str">
        <f aca="false">IF(OR(AB409="判定不能",J409="判定不能"),"判定不能",IF(AS409&gt;=判定条件!$C$9,"利用可",IF(AND(AB409="停止",J409="停止"),"両方停止","運転がそろわない")))</f>
        <v>両方停止</v>
      </c>
      <c r="AU409" s="30" t="n">
        <v>60</v>
      </c>
      <c r="AV409" s="30" t="n">
        <v>0</v>
      </c>
      <c r="AW409" s="30" t="str">
        <f aca="false">IF(OR(AE409="判定不能",M409="判定不能"),"判定不能",IF(AV409&gt;=判定条件!$C$9,"利用可",IF(AND(AE409="停止",M409="停止"),"両方停止","運転がそろわない")))</f>
        <v>両方停止</v>
      </c>
      <c r="AX409" s="30" t="str">
        <f aca="false">IF(AND(AH409="利用可",AK409="利用可",AN409="利用可"),"利用可","不可")</f>
        <v>不可</v>
      </c>
      <c r="AY409" s="30" t="str">
        <f aca="false">IF(AND(AQ409="利用可",AT409="利用可",AW409="利用可"),"利用可","不可")</f>
        <v>不可</v>
      </c>
    </row>
    <row r="410" customFormat="false" ht="15" hidden="false" customHeight="false" outlineLevel="0" collapsed="false">
      <c r="A410" s="29" t="n">
        <v>46248</v>
      </c>
      <c r="B410" s="30" t="n">
        <v>23</v>
      </c>
      <c r="C410" s="31" t="s">
        <v>62</v>
      </c>
      <c r="D410" s="31" t="s">
        <v>59</v>
      </c>
      <c r="E410" s="30" t="n">
        <v>60</v>
      </c>
      <c r="F410" s="30" t="n">
        <v>0</v>
      </c>
      <c r="G410" s="30" t="str">
        <f aca="false">IF(E410&lt;判定条件!$C$6,"判定不能",IF(F410&gt;=判定条件!$C$7*E410,"運転",IF(F410&lt;=判定条件!$C$8*E410,"停止","断続")))</f>
        <v>停止</v>
      </c>
      <c r="H410" s="30" t="n">
        <v>60</v>
      </c>
      <c r="I410" s="30" t="n">
        <v>0</v>
      </c>
      <c r="J410" s="30" t="str">
        <f aca="false">IF(H410&lt;判定条件!$C$6,"判定不能",IF(I410&gt;=判定条件!$C$7*H410,"運転",IF(I410&lt;=判定条件!$C$8*H410,"停止","断続")))</f>
        <v>停止</v>
      </c>
      <c r="K410" s="30" t="n">
        <v>60</v>
      </c>
      <c r="L410" s="30" t="n">
        <v>0</v>
      </c>
      <c r="M410" s="30" t="str">
        <f aca="false">IF(K410&lt;判定条件!$C$6,"判定不能",IF(L410&gt;=判定条件!$C$7*K410,"運転",IF(L410&lt;=判定条件!$C$8*K410,"停止","断続")))</f>
        <v>停止</v>
      </c>
      <c r="N410" s="30" t="n">
        <v>60</v>
      </c>
      <c r="O410" s="30" t="n">
        <v>0</v>
      </c>
      <c r="P410" s="30" t="str">
        <f aca="false">IF(N410&lt;判定条件!$C$6,"判定不能",IF(O410&gt;=判定条件!$C$7*N410,"運転",IF(O410&lt;=判定条件!$C$8*N410,"停止","断続")))</f>
        <v>停止</v>
      </c>
      <c r="Q410" s="30" t="n">
        <v>0</v>
      </c>
      <c r="R410" s="30" t="n">
        <v>0</v>
      </c>
      <c r="S410" s="30" t="str">
        <f aca="false">IF(Q410&lt;判定条件!$C$6,"判定不能",IF(R410&gt;=判定条件!$C$7*Q410,"運転",IF(R410&lt;=判定条件!$C$8*Q410,"停止","断続")))</f>
        <v>判定不能</v>
      </c>
      <c r="T410" s="30" t="n">
        <v>60</v>
      </c>
      <c r="U410" s="30" t="n">
        <v>0</v>
      </c>
      <c r="V410" s="30" t="str">
        <f aca="false">IF(T410&lt;判定条件!$C$6,"判定不能",IF(U410&gt;=判定条件!$C$7*T410,"運転",IF(U410&lt;=判定条件!$C$8*T410,"停止","断続")))</f>
        <v>停止</v>
      </c>
      <c r="W410" s="30" t="n">
        <v>60</v>
      </c>
      <c r="X410" s="30" t="n">
        <v>0</v>
      </c>
      <c r="Y410" s="30" t="str">
        <f aca="false">IF(W410&lt;判定条件!$C$6,"判定不能",IF(X410&gt;=判定条件!$C$7*W410,"運転",IF(X410&lt;=判定条件!$C$8*W410,"停止","断続")))</f>
        <v>停止</v>
      </c>
      <c r="Z410" s="30" t="n">
        <v>60</v>
      </c>
      <c r="AA410" s="30" t="n">
        <v>0</v>
      </c>
      <c r="AB410" s="30" t="str">
        <f aca="false">IF(Z410&lt;判定条件!$C$6,"判定不能",IF(AA410&gt;=判定条件!$C$7*Z410,"運転",IF(AA410&lt;=判定条件!$C$8*Z410,"停止","断続")))</f>
        <v>停止</v>
      </c>
      <c r="AC410" s="30" t="n">
        <v>60</v>
      </c>
      <c r="AD410" s="30" t="n">
        <v>0</v>
      </c>
      <c r="AE410" s="30" t="str">
        <f aca="false">IF(AC410&lt;判定条件!$C$6,"判定不能",IF(AD410&gt;=判定条件!$C$7*AC410,"運転",IF(AD410&lt;=判定条件!$C$8*AC410,"停止","断続")))</f>
        <v>停止</v>
      </c>
      <c r="AF410" s="30" t="n">
        <v>60</v>
      </c>
      <c r="AG410" s="30" t="n">
        <v>0</v>
      </c>
      <c r="AH410" s="30" t="str">
        <f aca="false">IF(OR(P410="判定不能",G410="判定不能"),"判定不能",IF(AG410&gt;=判定条件!$C$9,"利用可",IF(AND(P410="停止",G410="停止"),"両方停止","運転がそろわない")))</f>
        <v>両方停止</v>
      </c>
      <c r="AI410" s="30" t="n">
        <v>0</v>
      </c>
      <c r="AJ410" s="30" t="n">
        <v>0</v>
      </c>
      <c r="AK410" s="30" t="str">
        <f aca="false">IF(OR(S410="判定不能",J410="判定不能"),"判定不能",IF(AJ410&gt;=判定条件!$C$9,"利用可",IF(AND(S410="停止",J410="停止"),"両方停止","運転がそろわない")))</f>
        <v>判定不能</v>
      </c>
      <c r="AL410" s="30" t="n">
        <v>60</v>
      </c>
      <c r="AM410" s="30" t="n">
        <v>0</v>
      </c>
      <c r="AN410" s="30" t="str">
        <f aca="false">IF(OR(V410="判定不能",M410="判定不能"),"判定不能",IF(AM410&gt;=判定条件!$C$9,"利用可",IF(AND(V410="停止",M410="停止"),"両方停止","運転がそろわない")))</f>
        <v>両方停止</v>
      </c>
      <c r="AO410" s="30" t="n">
        <v>60</v>
      </c>
      <c r="AP410" s="30" t="n">
        <v>0</v>
      </c>
      <c r="AQ410" s="30" t="str">
        <f aca="false">IF(OR(Y410="判定不能",G410="判定不能"),"判定不能",IF(AP410&gt;=判定条件!$C$9,"利用可",IF(AND(Y410="停止",G410="停止"),"両方停止","運転がそろわない")))</f>
        <v>両方停止</v>
      </c>
      <c r="AR410" s="30" t="n">
        <v>60</v>
      </c>
      <c r="AS410" s="30" t="n">
        <v>0</v>
      </c>
      <c r="AT410" s="30" t="str">
        <f aca="false">IF(OR(AB410="判定不能",J410="判定不能"),"判定不能",IF(AS410&gt;=判定条件!$C$9,"利用可",IF(AND(AB410="停止",J410="停止"),"両方停止","運転がそろわない")))</f>
        <v>両方停止</v>
      </c>
      <c r="AU410" s="30" t="n">
        <v>60</v>
      </c>
      <c r="AV410" s="30" t="n">
        <v>0</v>
      </c>
      <c r="AW410" s="30" t="str">
        <f aca="false">IF(OR(AE410="判定不能",M410="判定不能"),"判定不能",IF(AV410&gt;=判定条件!$C$9,"利用可",IF(AND(AE410="停止",M410="停止"),"両方停止","運転がそろわない")))</f>
        <v>両方停止</v>
      </c>
      <c r="AX410" s="30" t="str">
        <f aca="false">IF(AND(AH410="利用可",AK410="利用可",AN410="利用可"),"利用可","不可")</f>
        <v>不可</v>
      </c>
      <c r="AY410" s="30" t="str">
        <f aca="false">IF(AND(AQ410="利用可",AT410="利用可",AW410="利用可"),"利用可","不可")</f>
        <v>不可</v>
      </c>
    </row>
    <row r="411" customFormat="false" ht="15" hidden="false" customHeight="false" outlineLevel="0" collapsed="false">
      <c r="A411" s="29" t="n">
        <v>46249</v>
      </c>
      <c r="B411" s="30" t="n">
        <v>0</v>
      </c>
      <c r="C411" s="31" t="s">
        <v>63</v>
      </c>
      <c r="D411" s="31" t="s">
        <v>64</v>
      </c>
      <c r="E411" s="30" t="n">
        <v>60</v>
      </c>
      <c r="F411" s="30" t="n">
        <v>0</v>
      </c>
      <c r="G411" s="30" t="str">
        <f aca="false">IF(E411&lt;判定条件!$C$6,"判定不能",IF(F411&gt;=判定条件!$C$7*E411,"運転",IF(F411&lt;=判定条件!$C$8*E411,"停止","断続")))</f>
        <v>停止</v>
      </c>
      <c r="H411" s="30" t="n">
        <v>60</v>
      </c>
      <c r="I411" s="30" t="n">
        <v>0</v>
      </c>
      <c r="J411" s="30" t="str">
        <f aca="false">IF(H411&lt;判定条件!$C$6,"判定不能",IF(I411&gt;=判定条件!$C$7*H411,"運転",IF(I411&lt;=判定条件!$C$8*H411,"停止","断続")))</f>
        <v>停止</v>
      </c>
      <c r="K411" s="30" t="n">
        <v>60</v>
      </c>
      <c r="L411" s="30" t="n">
        <v>0</v>
      </c>
      <c r="M411" s="30" t="str">
        <f aca="false">IF(K411&lt;判定条件!$C$6,"判定不能",IF(L411&gt;=判定条件!$C$7*K411,"運転",IF(L411&lt;=判定条件!$C$8*K411,"停止","断続")))</f>
        <v>停止</v>
      </c>
      <c r="N411" s="30" t="n">
        <v>60</v>
      </c>
      <c r="O411" s="30" t="n">
        <v>0</v>
      </c>
      <c r="P411" s="30" t="str">
        <f aca="false">IF(N411&lt;判定条件!$C$6,"判定不能",IF(O411&gt;=判定条件!$C$7*N411,"運転",IF(O411&lt;=判定条件!$C$8*N411,"停止","断続")))</f>
        <v>停止</v>
      </c>
      <c r="Q411" s="30" t="n">
        <v>0</v>
      </c>
      <c r="R411" s="30" t="n">
        <v>0</v>
      </c>
      <c r="S411" s="30" t="str">
        <f aca="false">IF(Q411&lt;判定条件!$C$6,"判定不能",IF(R411&gt;=判定条件!$C$7*Q411,"運転",IF(R411&lt;=判定条件!$C$8*Q411,"停止","断続")))</f>
        <v>判定不能</v>
      </c>
      <c r="T411" s="30" t="n">
        <v>60</v>
      </c>
      <c r="U411" s="30" t="n">
        <v>0</v>
      </c>
      <c r="V411" s="30" t="str">
        <f aca="false">IF(T411&lt;判定条件!$C$6,"判定不能",IF(U411&gt;=判定条件!$C$7*T411,"運転",IF(U411&lt;=判定条件!$C$8*T411,"停止","断続")))</f>
        <v>停止</v>
      </c>
      <c r="W411" s="30" t="n">
        <v>60</v>
      </c>
      <c r="X411" s="30" t="n">
        <v>0</v>
      </c>
      <c r="Y411" s="30" t="str">
        <f aca="false">IF(W411&lt;判定条件!$C$6,"判定不能",IF(X411&gt;=判定条件!$C$7*W411,"運転",IF(X411&lt;=判定条件!$C$8*W411,"停止","断続")))</f>
        <v>停止</v>
      </c>
      <c r="Z411" s="30" t="n">
        <v>60</v>
      </c>
      <c r="AA411" s="30" t="n">
        <v>0</v>
      </c>
      <c r="AB411" s="30" t="str">
        <f aca="false">IF(Z411&lt;判定条件!$C$6,"判定不能",IF(AA411&gt;=判定条件!$C$7*Z411,"運転",IF(AA411&lt;=判定条件!$C$8*Z411,"停止","断続")))</f>
        <v>停止</v>
      </c>
      <c r="AC411" s="30" t="n">
        <v>60</v>
      </c>
      <c r="AD411" s="30" t="n">
        <v>0</v>
      </c>
      <c r="AE411" s="30" t="str">
        <f aca="false">IF(AC411&lt;判定条件!$C$6,"判定不能",IF(AD411&gt;=判定条件!$C$7*AC411,"運転",IF(AD411&lt;=判定条件!$C$8*AC411,"停止","断続")))</f>
        <v>停止</v>
      </c>
      <c r="AF411" s="30" t="n">
        <v>60</v>
      </c>
      <c r="AG411" s="30" t="n">
        <v>0</v>
      </c>
      <c r="AH411" s="30" t="str">
        <f aca="false">IF(OR(P411="判定不能",G411="判定不能"),"判定不能",IF(AG411&gt;=判定条件!$C$9,"利用可",IF(AND(P411="停止",G411="停止"),"両方停止","運転がそろわない")))</f>
        <v>両方停止</v>
      </c>
      <c r="AI411" s="30" t="n">
        <v>0</v>
      </c>
      <c r="AJ411" s="30" t="n">
        <v>0</v>
      </c>
      <c r="AK411" s="30" t="str">
        <f aca="false">IF(OR(S411="判定不能",J411="判定不能"),"判定不能",IF(AJ411&gt;=判定条件!$C$9,"利用可",IF(AND(S411="停止",J411="停止"),"両方停止","運転がそろわない")))</f>
        <v>判定不能</v>
      </c>
      <c r="AL411" s="30" t="n">
        <v>60</v>
      </c>
      <c r="AM411" s="30" t="n">
        <v>0</v>
      </c>
      <c r="AN411" s="30" t="str">
        <f aca="false">IF(OR(V411="判定不能",M411="判定不能"),"判定不能",IF(AM411&gt;=判定条件!$C$9,"利用可",IF(AND(V411="停止",M411="停止"),"両方停止","運転がそろわない")))</f>
        <v>両方停止</v>
      </c>
      <c r="AO411" s="30" t="n">
        <v>60</v>
      </c>
      <c r="AP411" s="30" t="n">
        <v>0</v>
      </c>
      <c r="AQ411" s="30" t="str">
        <f aca="false">IF(OR(Y411="判定不能",G411="判定不能"),"判定不能",IF(AP411&gt;=判定条件!$C$9,"利用可",IF(AND(Y411="停止",G411="停止"),"両方停止","運転がそろわない")))</f>
        <v>両方停止</v>
      </c>
      <c r="AR411" s="30" t="n">
        <v>60</v>
      </c>
      <c r="AS411" s="30" t="n">
        <v>0</v>
      </c>
      <c r="AT411" s="30" t="str">
        <f aca="false">IF(OR(AB411="判定不能",J411="判定不能"),"判定不能",IF(AS411&gt;=判定条件!$C$9,"利用可",IF(AND(AB411="停止",J411="停止"),"両方停止","運転がそろわない")))</f>
        <v>両方停止</v>
      </c>
      <c r="AU411" s="30" t="n">
        <v>60</v>
      </c>
      <c r="AV411" s="30" t="n">
        <v>0</v>
      </c>
      <c r="AW411" s="30" t="str">
        <f aca="false">IF(OR(AE411="判定不能",M411="判定不能"),"判定不能",IF(AV411&gt;=判定条件!$C$9,"利用可",IF(AND(AE411="停止",M411="停止"),"両方停止","運転がそろわない")))</f>
        <v>両方停止</v>
      </c>
      <c r="AX411" s="30" t="str">
        <f aca="false">IF(AND(AH411="利用可",AK411="利用可",AN411="利用可"),"利用可","不可")</f>
        <v>不可</v>
      </c>
      <c r="AY411" s="30" t="str">
        <f aca="false">IF(AND(AQ411="利用可",AT411="利用可",AW411="利用可"),"利用可","不可")</f>
        <v>不可</v>
      </c>
    </row>
    <row r="412" customFormat="false" ht="15" hidden="false" customHeight="false" outlineLevel="0" collapsed="false">
      <c r="A412" s="29" t="n">
        <v>46249</v>
      </c>
      <c r="B412" s="30" t="n">
        <v>1</v>
      </c>
      <c r="C412" s="31" t="s">
        <v>63</v>
      </c>
      <c r="D412" s="31" t="s">
        <v>64</v>
      </c>
      <c r="E412" s="30" t="n">
        <v>60</v>
      </c>
      <c r="F412" s="30" t="n">
        <v>0</v>
      </c>
      <c r="G412" s="30" t="str">
        <f aca="false">IF(E412&lt;判定条件!$C$6,"判定不能",IF(F412&gt;=判定条件!$C$7*E412,"運転",IF(F412&lt;=判定条件!$C$8*E412,"停止","断続")))</f>
        <v>停止</v>
      </c>
      <c r="H412" s="30" t="n">
        <v>60</v>
      </c>
      <c r="I412" s="30" t="n">
        <v>0</v>
      </c>
      <c r="J412" s="30" t="str">
        <f aca="false">IF(H412&lt;判定条件!$C$6,"判定不能",IF(I412&gt;=判定条件!$C$7*H412,"運転",IF(I412&lt;=判定条件!$C$8*H412,"停止","断続")))</f>
        <v>停止</v>
      </c>
      <c r="K412" s="30" t="n">
        <v>60</v>
      </c>
      <c r="L412" s="30" t="n">
        <v>0</v>
      </c>
      <c r="M412" s="30" t="str">
        <f aca="false">IF(K412&lt;判定条件!$C$6,"判定不能",IF(L412&gt;=判定条件!$C$7*K412,"運転",IF(L412&lt;=判定条件!$C$8*K412,"停止","断続")))</f>
        <v>停止</v>
      </c>
      <c r="N412" s="30" t="n">
        <v>60</v>
      </c>
      <c r="O412" s="30" t="n">
        <v>0</v>
      </c>
      <c r="P412" s="30" t="str">
        <f aca="false">IF(N412&lt;判定条件!$C$6,"判定不能",IF(O412&gt;=判定条件!$C$7*N412,"運転",IF(O412&lt;=判定条件!$C$8*N412,"停止","断続")))</f>
        <v>停止</v>
      </c>
      <c r="Q412" s="30" t="n">
        <v>0</v>
      </c>
      <c r="R412" s="30" t="n">
        <v>0</v>
      </c>
      <c r="S412" s="30" t="str">
        <f aca="false">IF(Q412&lt;判定条件!$C$6,"判定不能",IF(R412&gt;=判定条件!$C$7*Q412,"運転",IF(R412&lt;=判定条件!$C$8*Q412,"停止","断続")))</f>
        <v>判定不能</v>
      </c>
      <c r="T412" s="30" t="n">
        <v>60</v>
      </c>
      <c r="U412" s="30" t="n">
        <v>0</v>
      </c>
      <c r="V412" s="30" t="str">
        <f aca="false">IF(T412&lt;判定条件!$C$6,"判定不能",IF(U412&gt;=判定条件!$C$7*T412,"運転",IF(U412&lt;=判定条件!$C$8*T412,"停止","断続")))</f>
        <v>停止</v>
      </c>
      <c r="W412" s="30" t="n">
        <v>60</v>
      </c>
      <c r="X412" s="30" t="n">
        <v>0</v>
      </c>
      <c r="Y412" s="30" t="str">
        <f aca="false">IF(W412&lt;判定条件!$C$6,"判定不能",IF(X412&gt;=判定条件!$C$7*W412,"運転",IF(X412&lt;=判定条件!$C$8*W412,"停止","断続")))</f>
        <v>停止</v>
      </c>
      <c r="Z412" s="30" t="n">
        <v>60</v>
      </c>
      <c r="AA412" s="30" t="n">
        <v>0</v>
      </c>
      <c r="AB412" s="30" t="str">
        <f aca="false">IF(Z412&lt;判定条件!$C$6,"判定不能",IF(AA412&gt;=判定条件!$C$7*Z412,"運転",IF(AA412&lt;=判定条件!$C$8*Z412,"停止","断続")))</f>
        <v>停止</v>
      </c>
      <c r="AC412" s="30" t="n">
        <v>60</v>
      </c>
      <c r="AD412" s="30" t="n">
        <v>0</v>
      </c>
      <c r="AE412" s="30" t="str">
        <f aca="false">IF(AC412&lt;判定条件!$C$6,"判定不能",IF(AD412&gt;=判定条件!$C$7*AC412,"運転",IF(AD412&lt;=判定条件!$C$8*AC412,"停止","断続")))</f>
        <v>停止</v>
      </c>
      <c r="AF412" s="30" t="n">
        <v>60</v>
      </c>
      <c r="AG412" s="30" t="n">
        <v>0</v>
      </c>
      <c r="AH412" s="30" t="str">
        <f aca="false">IF(OR(P412="判定不能",G412="判定不能"),"判定不能",IF(AG412&gt;=判定条件!$C$9,"利用可",IF(AND(P412="停止",G412="停止"),"両方停止","運転がそろわない")))</f>
        <v>両方停止</v>
      </c>
      <c r="AI412" s="30" t="n">
        <v>0</v>
      </c>
      <c r="AJ412" s="30" t="n">
        <v>0</v>
      </c>
      <c r="AK412" s="30" t="str">
        <f aca="false">IF(OR(S412="判定不能",J412="判定不能"),"判定不能",IF(AJ412&gt;=判定条件!$C$9,"利用可",IF(AND(S412="停止",J412="停止"),"両方停止","運転がそろわない")))</f>
        <v>判定不能</v>
      </c>
      <c r="AL412" s="30" t="n">
        <v>60</v>
      </c>
      <c r="AM412" s="30" t="n">
        <v>0</v>
      </c>
      <c r="AN412" s="30" t="str">
        <f aca="false">IF(OR(V412="判定不能",M412="判定不能"),"判定不能",IF(AM412&gt;=判定条件!$C$9,"利用可",IF(AND(V412="停止",M412="停止"),"両方停止","運転がそろわない")))</f>
        <v>両方停止</v>
      </c>
      <c r="AO412" s="30" t="n">
        <v>60</v>
      </c>
      <c r="AP412" s="30" t="n">
        <v>0</v>
      </c>
      <c r="AQ412" s="30" t="str">
        <f aca="false">IF(OR(Y412="判定不能",G412="判定不能"),"判定不能",IF(AP412&gt;=判定条件!$C$9,"利用可",IF(AND(Y412="停止",G412="停止"),"両方停止","運転がそろわない")))</f>
        <v>両方停止</v>
      </c>
      <c r="AR412" s="30" t="n">
        <v>60</v>
      </c>
      <c r="AS412" s="30" t="n">
        <v>0</v>
      </c>
      <c r="AT412" s="30" t="str">
        <f aca="false">IF(OR(AB412="判定不能",J412="判定不能"),"判定不能",IF(AS412&gt;=判定条件!$C$9,"利用可",IF(AND(AB412="停止",J412="停止"),"両方停止","運転がそろわない")))</f>
        <v>両方停止</v>
      </c>
      <c r="AU412" s="30" t="n">
        <v>60</v>
      </c>
      <c r="AV412" s="30" t="n">
        <v>0</v>
      </c>
      <c r="AW412" s="30" t="str">
        <f aca="false">IF(OR(AE412="判定不能",M412="判定不能"),"判定不能",IF(AV412&gt;=判定条件!$C$9,"利用可",IF(AND(AE412="停止",M412="停止"),"両方停止","運転がそろわない")))</f>
        <v>両方停止</v>
      </c>
      <c r="AX412" s="30" t="str">
        <f aca="false">IF(AND(AH412="利用可",AK412="利用可",AN412="利用可"),"利用可","不可")</f>
        <v>不可</v>
      </c>
      <c r="AY412" s="30" t="str">
        <f aca="false">IF(AND(AQ412="利用可",AT412="利用可",AW412="利用可"),"利用可","不可")</f>
        <v>不可</v>
      </c>
    </row>
    <row r="413" customFormat="false" ht="15" hidden="false" customHeight="false" outlineLevel="0" collapsed="false">
      <c r="A413" s="29" t="n">
        <v>46249</v>
      </c>
      <c r="B413" s="30" t="n">
        <v>2</v>
      </c>
      <c r="C413" s="31" t="s">
        <v>63</v>
      </c>
      <c r="D413" s="31" t="s">
        <v>64</v>
      </c>
      <c r="E413" s="30" t="n">
        <v>60</v>
      </c>
      <c r="F413" s="30" t="n">
        <v>0</v>
      </c>
      <c r="G413" s="30" t="str">
        <f aca="false">IF(E413&lt;判定条件!$C$6,"判定不能",IF(F413&gt;=判定条件!$C$7*E413,"運転",IF(F413&lt;=判定条件!$C$8*E413,"停止","断続")))</f>
        <v>停止</v>
      </c>
      <c r="H413" s="30" t="n">
        <v>60</v>
      </c>
      <c r="I413" s="30" t="n">
        <v>0</v>
      </c>
      <c r="J413" s="30" t="str">
        <f aca="false">IF(H413&lt;判定条件!$C$6,"判定不能",IF(I413&gt;=判定条件!$C$7*H413,"運転",IF(I413&lt;=判定条件!$C$8*H413,"停止","断続")))</f>
        <v>停止</v>
      </c>
      <c r="K413" s="30" t="n">
        <v>60</v>
      </c>
      <c r="L413" s="30" t="n">
        <v>0</v>
      </c>
      <c r="M413" s="30" t="str">
        <f aca="false">IF(K413&lt;判定条件!$C$6,"判定不能",IF(L413&gt;=判定条件!$C$7*K413,"運転",IF(L413&lt;=判定条件!$C$8*K413,"停止","断続")))</f>
        <v>停止</v>
      </c>
      <c r="N413" s="30" t="n">
        <v>60</v>
      </c>
      <c r="O413" s="30" t="n">
        <v>0</v>
      </c>
      <c r="P413" s="30" t="str">
        <f aca="false">IF(N413&lt;判定条件!$C$6,"判定不能",IF(O413&gt;=判定条件!$C$7*N413,"運転",IF(O413&lt;=判定条件!$C$8*N413,"停止","断続")))</f>
        <v>停止</v>
      </c>
      <c r="Q413" s="30" t="n">
        <v>0</v>
      </c>
      <c r="R413" s="30" t="n">
        <v>0</v>
      </c>
      <c r="S413" s="30" t="str">
        <f aca="false">IF(Q413&lt;判定条件!$C$6,"判定不能",IF(R413&gt;=判定条件!$C$7*Q413,"運転",IF(R413&lt;=判定条件!$C$8*Q413,"停止","断続")))</f>
        <v>判定不能</v>
      </c>
      <c r="T413" s="30" t="n">
        <v>60</v>
      </c>
      <c r="U413" s="30" t="n">
        <v>0</v>
      </c>
      <c r="V413" s="30" t="str">
        <f aca="false">IF(T413&lt;判定条件!$C$6,"判定不能",IF(U413&gt;=判定条件!$C$7*T413,"運転",IF(U413&lt;=判定条件!$C$8*T413,"停止","断続")))</f>
        <v>停止</v>
      </c>
      <c r="W413" s="30" t="n">
        <v>60</v>
      </c>
      <c r="X413" s="30" t="n">
        <v>0</v>
      </c>
      <c r="Y413" s="30" t="str">
        <f aca="false">IF(W413&lt;判定条件!$C$6,"判定不能",IF(X413&gt;=判定条件!$C$7*W413,"運転",IF(X413&lt;=判定条件!$C$8*W413,"停止","断続")))</f>
        <v>停止</v>
      </c>
      <c r="Z413" s="30" t="n">
        <v>60</v>
      </c>
      <c r="AA413" s="30" t="n">
        <v>0</v>
      </c>
      <c r="AB413" s="30" t="str">
        <f aca="false">IF(Z413&lt;判定条件!$C$6,"判定不能",IF(AA413&gt;=判定条件!$C$7*Z413,"運転",IF(AA413&lt;=判定条件!$C$8*Z413,"停止","断続")))</f>
        <v>停止</v>
      </c>
      <c r="AC413" s="30" t="n">
        <v>60</v>
      </c>
      <c r="AD413" s="30" t="n">
        <v>0</v>
      </c>
      <c r="AE413" s="30" t="str">
        <f aca="false">IF(AC413&lt;判定条件!$C$6,"判定不能",IF(AD413&gt;=判定条件!$C$7*AC413,"運転",IF(AD413&lt;=判定条件!$C$8*AC413,"停止","断続")))</f>
        <v>停止</v>
      </c>
      <c r="AF413" s="30" t="n">
        <v>60</v>
      </c>
      <c r="AG413" s="30" t="n">
        <v>0</v>
      </c>
      <c r="AH413" s="30" t="str">
        <f aca="false">IF(OR(P413="判定不能",G413="判定不能"),"判定不能",IF(AG413&gt;=判定条件!$C$9,"利用可",IF(AND(P413="停止",G413="停止"),"両方停止","運転がそろわない")))</f>
        <v>両方停止</v>
      </c>
      <c r="AI413" s="30" t="n">
        <v>0</v>
      </c>
      <c r="AJ413" s="30" t="n">
        <v>0</v>
      </c>
      <c r="AK413" s="30" t="str">
        <f aca="false">IF(OR(S413="判定不能",J413="判定不能"),"判定不能",IF(AJ413&gt;=判定条件!$C$9,"利用可",IF(AND(S413="停止",J413="停止"),"両方停止","運転がそろわない")))</f>
        <v>判定不能</v>
      </c>
      <c r="AL413" s="30" t="n">
        <v>60</v>
      </c>
      <c r="AM413" s="30" t="n">
        <v>0</v>
      </c>
      <c r="AN413" s="30" t="str">
        <f aca="false">IF(OR(V413="判定不能",M413="判定不能"),"判定不能",IF(AM413&gt;=判定条件!$C$9,"利用可",IF(AND(V413="停止",M413="停止"),"両方停止","運転がそろわない")))</f>
        <v>両方停止</v>
      </c>
      <c r="AO413" s="30" t="n">
        <v>60</v>
      </c>
      <c r="AP413" s="30" t="n">
        <v>0</v>
      </c>
      <c r="AQ413" s="30" t="str">
        <f aca="false">IF(OR(Y413="判定不能",G413="判定不能"),"判定不能",IF(AP413&gt;=判定条件!$C$9,"利用可",IF(AND(Y413="停止",G413="停止"),"両方停止","運転がそろわない")))</f>
        <v>両方停止</v>
      </c>
      <c r="AR413" s="30" t="n">
        <v>60</v>
      </c>
      <c r="AS413" s="30" t="n">
        <v>0</v>
      </c>
      <c r="AT413" s="30" t="str">
        <f aca="false">IF(OR(AB413="判定不能",J413="判定不能"),"判定不能",IF(AS413&gt;=判定条件!$C$9,"利用可",IF(AND(AB413="停止",J413="停止"),"両方停止","運転がそろわない")))</f>
        <v>両方停止</v>
      </c>
      <c r="AU413" s="30" t="n">
        <v>60</v>
      </c>
      <c r="AV413" s="30" t="n">
        <v>0</v>
      </c>
      <c r="AW413" s="30" t="str">
        <f aca="false">IF(OR(AE413="判定不能",M413="判定不能"),"判定不能",IF(AV413&gt;=判定条件!$C$9,"利用可",IF(AND(AE413="停止",M413="停止"),"両方停止","運転がそろわない")))</f>
        <v>両方停止</v>
      </c>
      <c r="AX413" s="30" t="str">
        <f aca="false">IF(AND(AH413="利用可",AK413="利用可",AN413="利用可"),"利用可","不可")</f>
        <v>不可</v>
      </c>
      <c r="AY413" s="30" t="str">
        <f aca="false">IF(AND(AQ413="利用可",AT413="利用可",AW413="利用可"),"利用可","不可")</f>
        <v>不可</v>
      </c>
    </row>
    <row r="414" customFormat="false" ht="15" hidden="false" customHeight="false" outlineLevel="0" collapsed="false">
      <c r="A414" s="29" t="n">
        <v>46249</v>
      </c>
      <c r="B414" s="30" t="n">
        <v>3</v>
      </c>
      <c r="C414" s="31" t="s">
        <v>63</v>
      </c>
      <c r="D414" s="31" t="s">
        <v>64</v>
      </c>
      <c r="E414" s="30" t="n">
        <v>60</v>
      </c>
      <c r="F414" s="30" t="n">
        <v>0</v>
      </c>
      <c r="G414" s="30" t="str">
        <f aca="false">IF(E414&lt;判定条件!$C$6,"判定不能",IF(F414&gt;=判定条件!$C$7*E414,"運転",IF(F414&lt;=判定条件!$C$8*E414,"停止","断続")))</f>
        <v>停止</v>
      </c>
      <c r="H414" s="30" t="n">
        <v>60</v>
      </c>
      <c r="I414" s="30" t="n">
        <v>0</v>
      </c>
      <c r="J414" s="30" t="str">
        <f aca="false">IF(H414&lt;判定条件!$C$6,"判定不能",IF(I414&gt;=判定条件!$C$7*H414,"運転",IF(I414&lt;=判定条件!$C$8*H414,"停止","断続")))</f>
        <v>停止</v>
      </c>
      <c r="K414" s="30" t="n">
        <v>60</v>
      </c>
      <c r="L414" s="30" t="n">
        <v>0</v>
      </c>
      <c r="M414" s="30" t="str">
        <f aca="false">IF(K414&lt;判定条件!$C$6,"判定不能",IF(L414&gt;=判定条件!$C$7*K414,"運転",IF(L414&lt;=判定条件!$C$8*K414,"停止","断続")))</f>
        <v>停止</v>
      </c>
      <c r="N414" s="30" t="n">
        <v>60</v>
      </c>
      <c r="O414" s="30" t="n">
        <v>0</v>
      </c>
      <c r="P414" s="30" t="str">
        <f aca="false">IF(N414&lt;判定条件!$C$6,"判定不能",IF(O414&gt;=判定条件!$C$7*N414,"運転",IF(O414&lt;=判定条件!$C$8*N414,"停止","断続")))</f>
        <v>停止</v>
      </c>
      <c r="Q414" s="30" t="n">
        <v>0</v>
      </c>
      <c r="R414" s="30" t="n">
        <v>0</v>
      </c>
      <c r="S414" s="30" t="str">
        <f aca="false">IF(Q414&lt;判定条件!$C$6,"判定不能",IF(R414&gt;=判定条件!$C$7*Q414,"運転",IF(R414&lt;=判定条件!$C$8*Q414,"停止","断続")))</f>
        <v>判定不能</v>
      </c>
      <c r="T414" s="30" t="n">
        <v>60</v>
      </c>
      <c r="U414" s="30" t="n">
        <v>0</v>
      </c>
      <c r="V414" s="30" t="str">
        <f aca="false">IF(T414&lt;判定条件!$C$6,"判定不能",IF(U414&gt;=判定条件!$C$7*T414,"運転",IF(U414&lt;=判定条件!$C$8*T414,"停止","断続")))</f>
        <v>停止</v>
      </c>
      <c r="W414" s="30" t="n">
        <v>60</v>
      </c>
      <c r="X414" s="30" t="n">
        <v>0</v>
      </c>
      <c r="Y414" s="30" t="str">
        <f aca="false">IF(W414&lt;判定条件!$C$6,"判定不能",IF(X414&gt;=判定条件!$C$7*W414,"運転",IF(X414&lt;=判定条件!$C$8*W414,"停止","断続")))</f>
        <v>停止</v>
      </c>
      <c r="Z414" s="30" t="n">
        <v>60</v>
      </c>
      <c r="AA414" s="30" t="n">
        <v>0</v>
      </c>
      <c r="AB414" s="30" t="str">
        <f aca="false">IF(Z414&lt;判定条件!$C$6,"判定不能",IF(AA414&gt;=判定条件!$C$7*Z414,"運転",IF(AA414&lt;=判定条件!$C$8*Z414,"停止","断続")))</f>
        <v>停止</v>
      </c>
      <c r="AC414" s="30" t="n">
        <v>60</v>
      </c>
      <c r="AD414" s="30" t="n">
        <v>0</v>
      </c>
      <c r="AE414" s="30" t="str">
        <f aca="false">IF(AC414&lt;判定条件!$C$6,"判定不能",IF(AD414&gt;=判定条件!$C$7*AC414,"運転",IF(AD414&lt;=判定条件!$C$8*AC414,"停止","断続")))</f>
        <v>停止</v>
      </c>
      <c r="AF414" s="30" t="n">
        <v>60</v>
      </c>
      <c r="AG414" s="30" t="n">
        <v>0</v>
      </c>
      <c r="AH414" s="30" t="str">
        <f aca="false">IF(OR(P414="判定不能",G414="判定不能"),"判定不能",IF(AG414&gt;=判定条件!$C$9,"利用可",IF(AND(P414="停止",G414="停止"),"両方停止","運転がそろわない")))</f>
        <v>両方停止</v>
      </c>
      <c r="AI414" s="30" t="n">
        <v>0</v>
      </c>
      <c r="AJ414" s="30" t="n">
        <v>0</v>
      </c>
      <c r="AK414" s="30" t="str">
        <f aca="false">IF(OR(S414="判定不能",J414="判定不能"),"判定不能",IF(AJ414&gt;=判定条件!$C$9,"利用可",IF(AND(S414="停止",J414="停止"),"両方停止","運転がそろわない")))</f>
        <v>判定不能</v>
      </c>
      <c r="AL414" s="30" t="n">
        <v>60</v>
      </c>
      <c r="AM414" s="30" t="n">
        <v>0</v>
      </c>
      <c r="AN414" s="30" t="str">
        <f aca="false">IF(OR(V414="判定不能",M414="判定不能"),"判定不能",IF(AM414&gt;=判定条件!$C$9,"利用可",IF(AND(V414="停止",M414="停止"),"両方停止","運転がそろわない")))</f>
        <v>両方停止</v>
      </c>
      <c r="AO414" s="30" t="n">
        <v>60</v>
      </c>
      <c r="AP414" s="30" t="n">
        <v>0</v>
      </c>
      <c r="AQ414" s="30" t="str">
        <f aca="false">IF(OR(Y414="判定不能",G414="判定不能"),"判定不能",IF(AP414&gt;=判定条件!$C$9,"利用可",IF(AND(Y414="停止",G414="停止"),"両方停止","運転がそろわない")))</f>
        <v>両方停止</v>
      </c>
      <c r="AR414" s="30" t="n">
        <v>60</v>
      </c>
      <c r="AS414" s="30" t="n">
        <v>0</v>
      </c>
      <c r="AT414" s="30" t="str">
        <f aca="false">IF(OR(AB414="判定不能",J414="判定不能"),"判定不能",IF(AS414&gt;=判定条件!$C$9,"利用可",IF(AND(AB414="停止",J414="停止"),"両方停止","運転がそろわない")))</f>
        <v>両方停止</v>
      </c>
      <c r="AU414" s="30" t="n">
        <v>60</v>
      </c>
      <c r="AV414" s="30" t="n">
        <v>0</v>
      </c>
      <c r="AW414" s="30" t="str">
        <f aca="false">IF(OR(AE414="判定不能",M414="判定不能"),"判定不能",IF(AV414&gt;=判定条件!$C$9,"利用可",IF(AND(AE414="停止",M414="停止"),"両方停止","運転がそろわない")))</f>
        <v>両方停止</v>
      </c>
      <c r="AX414" s="30" t="str">
        <f aca="false">IF(AND(AH414="利用可",AK414="利用可",AN414="利用可"),"利用可","不可")</f>
        <v>不可</v>
      </c>
      <c r="AY414" s="30" t="str">
        <f aca="false">IF(AND(AQ414="利用可",AT414="利用可",AW414="利用可"),"利用可","不可")</f>
        <v>不可</v>
      </c>
    </row>
    <row r="415" customFormat="false" ht="15" hidden="false" customHeight="false" outlineLevel="0" collapsed="false">
      <c r="A415" s="29" t="n">
        <v>46249</v>
      </c>
      <c r="B415" s="30" t="n">
        <v>4</v>
      </c>
      <c r="C415" s="31" t="s">
        <v>63</v>
      </c>
      <c r="D415" s="31" t="s">
        <v>64</v>
      </c>
      <c r="E415" s="30" t="n">
        <v>60</v>
      </c>
      <c r="F415" s="30" t="n">
        <v>0</v>
      </c>
      <c r="G415" s="30" t="str">
        <f aca="false">IF(E415&lt;判定条件!$C$6,"判定不能",IF(F415&gt;=判定条件!$C$7*E415,"運転",IF(F415&lt;=判定条件!$C$8*E415,"停止","断続")))</f>
        <v>停止</v>
      </c>
      <c r="H415" s="30" t="n">
        <v>60</v>
      </c>
      <c r="I415" s="30" t="n">
        <v>0</v>
      </c>
      <c r="J415" s="30" t="str">
        <f aca="false">IF(H415&lt;判定条件!$C$6,"判定不能",IF(I415&gt;=判定条件!$C$7*H415,"運転",IF(I415&lt;=判定条件!$C$8*H415,"停止","断続")))</f>
        <v>停止</v>
      </c>
      <c r="K415" s="30" t="n">
        <v>60</v>
      </c>
      <c r="L415" s="30" t="n">
        <v>0</v>
      </c>
      <c r="M415" s="30" t="str">
        <f aca="false">IF(K415&lt;判定条件!$C$6,"判定不能",IF(L415&gt;=判定条件!$C$7*K415,"運転",IF(L415&lt;=判定条件!$C$8*K415,"停止","断続")))</f>
        <v>停止</v>
      </c>
      <c r="N415" s="30" t="n">
        <v>60</v>
      </c>
      <c r="O415" s="30" t="n">
        <v>0</v>
      </c>
      <c r="P415" s="30" t="str">
        <f aca="false">IF(N415&lt;判定条件!$C$6,"判定不能",IF(O415&gt;=判定条件!$C$7*N415,"運転",IF(O415&lt;=判定条件!$C$8*N415,"停止","断続")))</f>
        <v>停止</v>
      </c>
      <c r="Q415" s="30" t="n">
        <v>0</v>
      </c>
      <c r="R415" s="30" t="n">
        <v>0</v>
      </c>
      <c r="S415" s="30" t="str">
        <f aca="false">IF(Q415&lt;判定条件!$C$6,"判定不能",IF(R415&gt;=判定条件!$C$7*Q415,"運転",IF(R415&lt;=判定条件!$C$8*Q415,"停止","断続")))</f>
        <v>判定不能</v>
      </c>
      <c r="T415" s="30" t="n">
        <v>60</v>
      </c>
      <c r="U415" s="30" t="n">
        <v>0</v>
      </c>
      <c r="V415" s="30" t="str">
        <f aca="false">IF(T415&lt;判定条件!$C$6,"判定不能",IF(U415&gt;=判定条件!$C$7*T415,"運転",IF(U415&lt;=判定条件!$C$8*T415,"停止","断続")))</f>
        <v>停止</v>
      </c>
      <c r="W415" s="30" t="n">
        <v>60</v>
      </c>
      <c r="X415" s="30" t="n">
        <v>0</v>
      </c>
      <c r="Y415" s="30" t="str">
        <f aca="false">IF(W415&lt;判定条件!$C$6,"判定不能",IF(X415&gt;=判定条件!$C$7*W415,"運転",IF(X415&lt;=判定条件!$C$8*W415,"停止","断続")))</f>
        <v>停止</v>
      </c>
      <c r="Z415" s="30" t="n">
        <v>60</v>
      </c>
      <c r="AA415" s="30" t="n">
        <v>0</v>
      </c>
      <c r="AB415" s="30" t="str">
        <f aca="false">IF(Z415&lt;判定条件!$C$6,"判定不能",IF(AA415&gt;=判定条件!$C$7*Z415,"運転",IF(AA415&lt;=判定条件!$C$8*Z415,"停止","断続")))</f>
        <v>停止</v>
      </c>
      <c r="AC415" s="30" t="n">
        <v>60</v>
      </c>
      <c r="AD415" s="30" t="n">
        <v>0</v>
      </c>
      <c r="AE415" s="30" t="str">
        <f aca="false">IF(AC415&lt;判定条件!$C$6,"判定不能",IF(AD415&gt;=判定条件!$C$7*AC415,"運転",IF(AD415&lt;=判定条件!$C$8*AC415,"停止","断続")))</f>
        <v>停止</v>
      </c>
      <c r="AF415" s="30" t="n">
        <v>60</v>
      </c>
      <c r="AG415" s="30" t="n">
        <v>0</v>
      </c>
      <c r="AH415" s="30" t="str">
        <f aca="false">IF(OR(P415="判定不能",G415="判定不能"),"判定不能",IF(AG415&gt;=判定条件!$C$9,"利用可",IF(AND(P415="停止",G415="停止"),"両方停止","運転がそろわない")))</f>
        <v>両方停止</v>
      </c>
      <c r="AI415" s="30" t="n">
        <v>0</v>
      </c>
      <c r="AJ415" s="30" t="n">
        <v>0</v>
      </c>
      <c r="AK415" s="30" t="str">
        <f aca="false">IF(OR(S415="判定不能",J415="判定不能"),"判定不能",IF(AJ415&gt;=判定条件!$C$9,"利用可",IF(AND(S415="停止",J415="停止"),"両方停止","運転がそろわない")))</f>
        <v>判定不能</v>
      </c>
      <c r="AL415" s="30" t="n">
        <v>60</v>
      </c>
      <c r="AM415" s="30" t="n">
        <v>0</v>
      </c>
      <c r="AN415" s="30" t="str">
        <f aca="false">IF(OR(V415="判定不能",M415="判定不能"),"判定不能",IF(AM415&gt;=判定条件!$C$9,"利用可",IF(AND(V415="停止",M415="停止"),"両方停止","運転がそろわない")))</f>
        <v>両方停止</v>
      </c>
      <c r="AO415" s="30" t="n">
        <v>60</v>
      </c>
      <c r="AP415" s="30" t="n">
        <v>0</v>
      </c>
      <c r="AQ415" s="30" t="str">
        <f aca="false">IF(OR(Y415="判定不能",G415="判定不能"),"判定不能",IF(AP415&gt;=判定条件!$C$9,"利用可",IF(AND(Y415="停止",G415="停止"),"両方停止","運転がそろわない")))</f>
        <v>両方停止</v>
      </c>
      <c r="AR415" s="30" t="n">
        <v>60</v>
      </c>
      <c r="AS415" s="30" t="n">
        <v>0</v>
      </c>
      <c r="AT415" s="30" t="str">
        <f aca="false">IF(OR(AB415="判定不能",J415="判定不能"),"判定不能",IF(AS415&gt;=判定条件!$C$9,"利用可",IF(AND(AB415="停止",J415="停止"),"両方停止","運転がそろわない")))</f>
        <v>両方停止</v>
      </c>
      <c r="AU415" s="30" t="n">
        <v>60</v>
      </c>
      <c r="AV415" s="30" t="n">
        <v>0</v>
      </c>
      <c r="AW415" s="30" t="str">
        <f aca="false">IF(OR(AE415="判定不能",M415="判定不能"),"判定不能",IF(AV415&gt;=判定条件!$C$9,"利用可",IF(AND(AE415="停止",M415="停止"),"両方停止","運転がそろわない")))</f>
        <v>両方停止</v>
      </c>
      <c r="AX415" s="30" t="str">
        <f aca="false">IF(AND(AH415="利用可",AK415="利用可",AN415="利用可"),"利用可","不可")</f>
        <v>不可</v>
      </c>
      <c r="AY415" s="30" t="str">
        <f aca="false">IF(AND(AQ415="利用可",AT415="利用可",AW415="利用可"),"利用可","不可")</f>
        <v>不可</v>
      </c>
    </row>
    <row r="416" customFormat="false" ht="15" hidden="false" customHeight="false" outlineLevel="0" collapsed="false">
      <c r="A416" s="29" t="n">
        <v>46249</v>
      </c>
      <c r="B416" s="30" t="n">
        <v>5</v>
      </c>
      <c r="C416" s="31" t="s">
        <v>63</v>
      </c>
      <c r="D416" s="31" t="s">
        <v>64</v>
      </c>
      <c r="E416" s="30" t="n">
        <v>60</v>
      </c>
      <c r="F416" s="30" t="n">
        <v>0</v>
      </c>
      <c r="G416" s="30" t="str">
        <f aca="false">IF(E416&lt;判定条件!$C$6,"判定不能",IF(F416&gt;=判定条件!$C$7*E416,"運転",IF(F416&lt;=判定条件!$C$8*E416,"停止","断続")))</f>
        <v>停止</v>
      </c>
      <c r="H416" s="30" t="n">
        <v>60</v>
      </c>
      <c r="I416" s="30" t="n">
        <v>0</v>
      </c>
      <c r="J416" s="30" t="str">
        <f aca="false">IF(H416&lt;判定条件!$C$6,"判定不能",IF(I416&gt;=判定条件!$C$7*H416,"運転",IF(I416&lt;=判定条件!$C$8*H416,"停止","断続")))</f>
        <v>停止</v>
      </c>
      <c r="K416" s="30" t="n">
        <v>60</v>
      </c>
      <c r="L416" s="30" t="n">
        <v>0</v>
      </c>
      <c r="M416" s="30" t="str">
        <f aca="false">IF(K416&lt;判定条件!$C$6,"判定不能",IF(L416&gt;=判定条件!$C$7*K416,"運転",IF(L416&lt;=判定条件!$C$8*K416,"停止","断続")))</f>
        <v>停止</v>
      </c>
      <c r="N416" s="30" t="n">
        <v>60</v>
      </c>
      <c r="O416" s="30" t="n">
        <v>0</v>
      </c>
      <c r="P416" s="30" t="str">
        <f aca="false">IF(N416&lt;判定条件!$C$6,"判定不能",IF(O416&gt;=判定条件!$C$7*N416,"運転",IF(O416&lt;=判定条件!$C$8*N416,"停止","断続")))</f>
        <v>停止</v>
      </c>
      <c r="Q416" s="30" t="n">
        <v>0</v>
      </c>
      <c r="R416" s="30" t="n">
        <v>0</v>
      </c>
      <c r="S416" s="30" t="str">
        <f aca="false">IF(Q416&lt;判定条件!$C$6,"判定不能",IF(R416&gt;=判定条件!$C$7*Q416,"運転",IF(R416&lt;=判定条件!$C$8*Q416,"停止","断続")))</f>
        <v>判定不能</v>
      </c>
      <c r="T416" s="30" t="n">
        <v>60</v>
      </c>
      <c r="U416" s="30" t="n">
        <v>0</v>
      </c>
      <c r="V416" s="30" t="str">
        <f aca="false">IF(T416&lt;判定条件!$C$6,"判定不能",IF(U416&gt;=判定条件!$C$7*T416,"運転",IF(U416&lt;=判定条件!$C$8*T416,"停止","断続")))</f>
        <v>停止</v>
      </c>
      <c r="W416" s="30" t="n">
        <v>60</v>
      </c>
      <c r="X416" s="30" t="n">
        <v>0</v>
      </c>
      <c r="Y416" s="30" t="str">
        <f aca="false">IF(W416&lt;判定条件!$C$6,"判定不能",IF(X416&gt;=判定条件!$C$7*W416,"運転",IF(X416&lt;=判定条件!$C$8*W416,"停止","断続")))</f>
        <v>停止</v>
      </c>
      <c r="Z416" s="30" t="n">
        <v>60</v>
      </c>
      <c r="AA416" s="30" t="n">
        <v>0</v>
      </c>
      <c r="AB416" s="30" t="str">
        <f aca="false">IF(Z416&lt;判定条件!$C$6,"判定不能",IF(AA416&gt;=判定条件!$C$7*Z416,"運転",IF(AA416&lt;=判定条件!$C$8*Z416,"停止","断続")))</f>
        <v>停止</v>
      </c>
      <c r="AC416" s="30" t="n">
        <v>60</v>
      </c>
      <c r="AD416" s="30" t="n">
        <v>0</v>
      </c>
      <c r="AE416" s="30" t="str">
        <f aca="false">IF(AC416&lt;判定条件!$C$6,"判定不能",IF(AD416&gt;=判定条件!$C$7*AC416,"運転",IF(AD416&lt;=判定条件!$C$8*AC416,"停止","断続")))</f>
        <v>停止</v>
      </c>
      <c r="AF416" s="30" t="n">
        <v>60</v>
      </c>
      <c r="AG416" s="30" t="n">
        <v>0</v>
      </c>
      <c r="AH416" s="30" t="str">
        <f aca="false">IF(OR(P416="判定不能",G416="判定不能"),"判定不能",IF(AG416&gt;=判定条件!$C$9,"利用可",IF(AND(P416="停止",G416="停止"),"両方停止","運転がそろわない")))</f>
        <v>両方停止</v>
      </c>
      <c r="AI416" s="30" t="n">
        <v>0</v>
      </c>
      <c r="AJ416" s="30" t="n">
        <v>0</v>
      </c>
      <c r="AK416" s="30" t="str">
        <f aca="false">IF(OR(S416="判定不能",J416="判定不能"),"判定不能",IF(AJ416&gt;=判定条件!$C$9,"利用可",IF(AND(S416="停止",J416="停止"),"両方停止","運転がそろわない")))</f>
        <v>判定不能</v>
      </c>
      <c r="AL416" s="30" t="n">
        <v>60</v>
      </c>
      <c r="AM416" s="30" t="n">
        <v>0</v>
      </c>
      <c r="AN416" s="30" t="str">
        <f aca="false">IF(OR(V416="判定不能",M416="判定不能"),"判定不能",IF(AM416&gt;=判定条件!$C$9,"利用可",IF(AND(V416="停止",M416="停止"),"両方停止","運転がそろわない")))</f>
        <v>両方停止</v>
      </c>
      <c r="AO416" s="30" t="n">
        <v>60</v>
      </c>
      <c r="AP416" s="30" t="n">
        <v>0</v>
      </c>
      <c r="AQ416" s="30" t="str">
        <f aca="false">IF(OR(Y416="判定不能",G416="判定不能"),"判定不能",IF(AP416&gt;=判定条件!$C$9,"利用可",IF(AND(Y416="停止",G416="停止"),"両方停止","運転がそろわない")))</f>
        <v>両方停止</v>
      </c>
      <c r="AR416" s="30" t="n">
        <v>60</v>
      </c>
      <c r="AS416" s="30" t="n">
        <v>0</v>
      </c>
      <c r="AT416" s="30" t="str">
        <f aca="false">IF(OR(AB416="判定不能",J416="判定不能"),"判定不能",IF(AS416&gt;=判定条件!$C$9,"利用可",IF(AND(AB416="停止",J416="停止"),"両方停止","運転がそろわない")))</f>
        <v>両方停止</v>
      </c>
      <c r="AU416" s="30" t="n">
        <v>60</v>
      </c>
      <c r="AV416" s="30" t="n">
        <v>0</v>
      </c>
      <c r="AW416" s="30" t="str">
        <f aca="false">IF(OR(AE416="判定不能",M416="判定不能"),"判定不能",IF(AV416&gt;=判定条件!$C$9,"利用可",IF(AND(AE416="停止",M416="停止"),"両方停止","運転がそろわない")))</f>
        <v>両方停止</v>
      </c>
      <c r="AX416" s="30" t="str">
        <f aca="false">IF(AND(AH416="利用可",AK416="利用可",AN416="利用可"),"利用可","不可")</f>
        <v>不可</v>
      </c>
      <c r="AY416" s="30" t="str">
        <f aca="false">IF(AND(AQ416="利用可",AT416="利用可",AW416="利用可"),"利用可","不可")</f>
        <v>不可</v>
      </c>
    </row>
    <row r="417" customFormat="false" ht="15" hidden="false" customHeight="false" outlineLevel="0" collapsed="false">
      <c r="A417" s="29" t="n">
        <v>46249</v>
      </c>
      <c r="B417" s="30" t="n">
        <v>6</v>
      </c>
      <c r="C417" s="31" t="s">
        <v>63</v>
      </c>
      <c r="D417" s="31" t="s">
        <v>64</v>
      </c>
      <c r="E417" s="30" t="n">
        <v>60</v>
      </c>
      <c r="F417" s="30" t="n">
        <v>0</v>
      </c>
      <c r="G417" s="30" t="str">
        <f aca="false">IF(E417&lt;判定条件!$C$6,"判定不能",IF(F417&gt;=判定条件!$C$7*E417,"運転",IF(F417&lt;=判定条件!$C$8*E417,"停止","断続")))</f>
        <v>停止</v>
      </c>
      <c r="H417" s="30" t="n">
        <v>60</v>
      </c>
      <c r="I417" s="30" t="n">
        <v>0</v>
      </c>
      <c r="J417" s="30" t="str">
        <f aca="false">IF(H417&lt;判定条件!$C$6,"判定不能",IF(I417&gt;=判定条件!$C$7*H417,"運転",IF(I417&lt;=判定条件!$C$8*H417,"停止","断続")))</f>
        <v>停止</v>
      </c>
      <c r="K417" s="30" t="n">
        <v>60</v>
      </c>
      <c r="L417" s="30" t="n">
        <v>0</v>
      </c>
      <c r="M417" s="30" t="str">
        <f aca="false">IF(K417&lt;判定条件!$C$6,"判定不能",IF(L417&gt;=判定条件!$C$7*K417,"運転",IF(L417&lt;=判定条件!$C$8*K417,"停止","断続")))</f>
        <v>停止</v>
      </c>
      <c r="N417" s="30" t="n">
        <v>60</v>
      </c>
      <c r="O417" s="30" t="n">
        <v>0</v>
      </c>
      <c r="P417" s="30" t="str">
        <f aca="false">IF(N417&lt;判定条件!$C$6,"判定不能",IF(O417&gt;=判定条件!$C$7*N417,"運転",IF(O417&lt;=判定条件!$C$8*N417,"停止","断続")))</f>
        <v>停止</v>
      </c>
      <c r="Q417" s="30" t="n">
        <v>0</v>
      </c>
      <c r="R417" s="30" t="n">
        <v>0</v>
      </c>
      <c r="S417" s="30" t="str">
        <f aca="false">IF(Q417&lt;判定条件!$C$6,"判定不能",IF(R417&gt;=判定条件!$C$7*Q417,"運転",IF(R417&lt;=判定条件!$C$8*Q417,"停止","断続")))</f>
        <v>判定不能</v>
      </c>
      <c r="T417" s="30" t="n">
        <v>60</v>
      </c>
      <c r="U417" s="30" t="n">
        <v>0</v>
      </c>
      <c r="V417" s="30" t="str">
        <f aca="false">IF(T417&lt;判定条件!$C$6,"判定不能",IF(U417&gt;=判定条件!$C$7*T417,"運転",IF(U417&lt;=判定条件!$C$8*T417,"停止","断続")))</f>
        <v>停止</v>
      </c>
      <c r="W417" s="30" t="n">
        <v>60</v>
      </c>
      <c r="X417" s="30" t="n">
        <v>0</v>
      </c>
      <c r="Y417" s="30" t="str">
        <f aca="false">IF(W417&lt;判定条件!$C$6,"判定不能",IF(X417&gt;=判定条件!$C$7*W417,"運転",IF(X417&lt;=判定条件!$C$8*W417,"停止","断続")))</f>
        <v>停止</v>
      </c>
      <c r="Z417" s="30" t="n">
        <v>60</v>
      </c>
      <c r="AA417" s="30" t="n">
        <v>0</v>
      </c>
      <c r="AB417" s="30" t="str">
        <f aca="false">IF(Z417&lt;判定条件!$C$6,"判定不能",IF(AA417&gt;=判定条件!$C$7*Z417,"運転",IF(AA417&lt;=判定条件!$C$8*Z417,"停止","断続")))</f>
        <v>停止</v>
      </c>
      <c r="AC417" s="30" t="n">
        <v>60</v>
      </c>
      <c r="AD417" s="30" t="n">
        <v>0</v>
      </c>
      <c r="AE417" s="30" t="str">
        <f aca="false">IF(AC417&lt;判定条件!$C$6,"判定不能",IF(AD417&gt;=判定条件!$C$7*AC417,"運転",IF(AD417&lt;=判定条件!$C$8*AC417,"停止","断続")))</f>
        <v>停止</v>
      </c>
      <c r="AF417" s="30" t="n">
        <v>60</v>
      </c>
      <c r="AG417" s="30" t="n">
        <v>0</v>
      </c>
      <c r="AH417" s="30" t="str">
        <f aca="false">IF(OR(P417="判定不能",G417="判定不能"),"判定不能",IF(AG417&gt;=判定条件!$C$9,"利用可",IF(AND(P417="停止",G417="停止"),"両方停止","運転がそろわない")))</f>
        <v>両方停止</v>
      </c>
      <c r="AI417" s="30" t="n">
        <v>0</v>
      </c>
      <c r="AJ417" s="30" t="n">
        <v>0</v>
      </c>
      <c r="AK417" s="30" t="str">
        <f aca="false">IF(OR(S417="判定不能",J417="判定不能"),"判定不能",IF(AJ417&gt;=判定条件!$C$9,"利用可",IF(AND(S417="停止",J417="停止"),"両方停止","運転がそろわない")))</f>
        <v>判定不能</v>
      </c>
      <c r="AL417" s="30" t="n">
        <v>60</v>
      </c>
      <c r="AM417" s="30" t="n">
        <v>0</v>
      </c>
      <c r="AN417" s="30" t="str">
        <f aca="false">IF(OR(V417="判定不能",M417="判定不能"),"判定不能",IF(AM417&gt;=判定条件!$C$9,"利用可",IF(AND(V417="停止",M417="停止"),"両方停止","運転がそろわない")))</f>
        <v>両方停止</v>
      </c>
      <c r="AO417" s="30" t="n">
        <v>60</v>
      </c>
      <c r="AP417" s="30" t="n">
        <v>0</v>
      </c>
      <c r="AQ417" s="30" t="str">
        <f aca="false">IF(OR(Y417="判定不能",G417="判定不能"),"判定不能",IF(AP417&gt;=判定条件!$C$9,"利用可",IF(AND(Y417="停止",G417="停止"),"両方停止","運転がそろわない")))</f>
        <v>両方停止</v>
      </c>
      <c r="AR417" s="30" t="n">
        <v>60</v>
      </c>
      <c r="AS417" s="30" t="n">
        <v>0</v>
      </c>
      <c r="AT417" s="30" t="str">
        <f aca="false">IF(OR(AB417="判定不能",J417="判定不能"),"判定不能",IF(AS417&gt;=判定条件!$C$9,"利用可",IF(AND(AB417="停止",J417="停止"),"両方停止","運転がそろわない")))</f>
        <v>両方停止</v>
      </c>
      <c r="AU417" s="30" t="n">
        <v>60</v>
      </c>
      <c r="AV417" s="30" t="n">
        <v>0</v>
      </c>
      <c r="AW417" s="30" t="str">
        <f aca="false">IF(OR(AE417="判定不能",M417="判定不能"),"判定不能",IF(AV417&gt;=判定条件!$C$9,"利用可",IF(AND(AE417="停止",M417="停止"),"両方停止","運転がそろわない")))</f>
        <v>両方停止</v>
      </c>
      <c r="AX417" s="30" t="str">
        <f aca="false">IF(AND(AH417="利用可",AK417="利用可",AN417="利用可"),"利用可","不可")</f>
        <v>不可</v>
      </c>
      <c r="AY417" s="30" t="str">
        <f aca="false">IF(AND(AQ417="利用可",AT417="利用可",AW417="利用可"),"利用可","不可")</f>
        <v>不可</v>
      </c>
    </row>
    <row r="418" customFormat="false" ht="15" hidden="false" customHeight="false" outlineLevel="0" collapsed="false">
      <c r="A418" s="29" t="n">
        <v>46249</v>
      </c>
      <c r="B418" s="30" t="n">
        <v>7</v>
      </c>
      <c r="C418" s="31" t="s">
        <v>63</v>
      </c>
      <c r="D418" s="31" t="s">
        <v>64</v>
      </c>
      <c r="E418" s="30" t="n">
        <v>60</v>
      </c>
      <c r="F418" s="30" t="n">
        <v>0</v>
      </c>
      <c r="G418" s="30" t="str">
        <f aca="false">IF(E418&lt;判定条件!$C$6,"判定不能",IF(F418&gt;=判定条件!$C$7*E418,"運転",IF(F418&lt;=判定条件!$C$8*E418,"停止","断続")))</f>
        <v>停止</v>
      </c>
      <c r="H418" s="30" t="n">
        <v>60</v>
      </c>
      <c r="I418" s="30" t="n">
        <v>0</v>
      </c>
      <c r="J418" s="30" t="str">
        <f aca="false">IF(H418&lt;判定条件!$C$6,"判定不能",IF(I418&gt;=判定条件!$C$7*H418,"運転",IF(I418&lt;=判定条件!$C$8*H418,"停止","断続")))</f>
        <v>停止</v>
      </c>
      <c r="K418" s="30" t="n">
        <v>60</v>
      </c>
      <c r="L418" s="30" t="n">
        <v>0</v>
      </c>
      <c r="M418" s="30" t="str">
        <f aca="false">IF(K418&lt;判定条件!$C$6,"判定不能",IF(L418&gt;=判定条件!$C$7*K418,"運転",IF(L418&lt;=判定条件!$C$8*K418,"停止","断続")))</f>
        <v>停止</v>
      </c>
      <c r="N418" s="30" t="n">
        <v>60</v>
      </c>
      <c r="O418" s="30" t="n">
        <v>9</v>
      </c>
      <c r="P418" s="30" t="str">
        <f aca="false">IF(N418&lt;判定条件!$C$6,"判定不能",IF(O418&gt;=判定条件!$C$7*N418,"運転",IF(O418&lt;=判定条件!$C$8*N418,"停止","断続")))</f>
        <v>停止</v>
      </c>
      <c r="Q418" s="30" t="n">
        <v>0</v>
      </c>
      <c r="R418" s="30" t="n">
        <v>0</v>
      </c>
      <c r="S418" s="30" t="str">
        <f aca="false">IF(Q418&lt;判定条件!$C$6,"判定不能",IF(R418&gt;=判定条件!$C$7*Q418,"運転",IF(R418&lt;=判定条件!$C$8*Q418,"停止","断続")))</f>
        <v>判定不能</v>
      </c>
      <c r="T418" s="30" t="n">
        <v>60</v>
      </c>
      <c r="U418" s="30" t="n">
        <v>31</v>
      </c>
      <c r="V418" s="30" t="str">
        <f aca="false">IF(T418&lt;判定条件!$C$6,"判定不能",IF(U418&gt;=判定条件!$C$7*T418,"運転",IF(U418&lt;=判定条件!$C$8*T418,"停止","断続")))</f>
        <v>断続</v>
      </c>
      <c r="W418" s="30" t="n">
        <v>60</v>
      </c>
      <c r="X418" s="30" t="n">
        <v>8</v>
      </c>
      <c r="Y418" s="30" t="str">
        <f aca="false">IF(W418&lt;判定条件!$C$6,"判定不能",IF(X418&gt;=判定条件!$C$7*W418,"運転",IF(X418&lt;=判定条件!$C$8*W418,"停止","断続")))</f>
        <v>停止</v>
      </c>
      <c r="Z418" s="30" t="n">
        <v>60</v>
      </c>
      <c r="AA418" s="30" t="n">
        <v>25</v>
      </c>
      <c r="AB418" s="30" t="str">
        <f aca="false">IF(Z418&lt;判定条件!$C$6,"判定不能",IF(AA418&gt;=判定条件!$C$7*Z418,"運転",IF(AA418&lt;=判定条件!$C$8*Z418,"停止","断続")))</f>
        <v>断続</v>
      </c>
      <c r="AC418" s="30" t="n">
        <v>60</v>
      </c>
      <c r="AD418" s="30" t="n">
        <v>20</v>
      </c>
      <c r="AE418" s="30" t="str">
        <f aca="false">IF(AC418&lt;判定条件!$C$6,"判定不能",IF(AD418&gt;=判定条件!$C$7*AC418,"運転",IF(AD418&lt;=判定条件!$C$8*AC418,"停止","断続")))</f>
        <v>断続</v>
      </c>
      <c r="AF418" s="30" t="n">
        <v>60</v>
      </c>
      <c r="AG418" s="30" t="n">
        <v>0</v>
      </c>
      <c r="AH418" s="30" t="str">
        <f aca="false">IF(OR(P418="判定不能",G418="判定不能"),"判定不能",IF(AG418&gt;=判定条件!$C$9,"利用可",IF(AND(P418="停止",G418="停止"),"両方停止","運転がそろわない")))</f>
        <v>両方停止</v>
      </c>
      <c r="AI418" s="30" t="n">
        <v>0</v>
      </c>
      <c r="AJ418" s="30" t="n">
        <v>0</v>
      </c>
      <c r="AK418" s="30" t="str">
        <f aca="false">IF(OR(S418="判定不能",J418="判定不能"),"判定不能",IF(AJ418&gt;=判定条件!$C$9,"利用可",IF(AND(S418="停止",J418="停止"),"両方停止","運転がそろわない")))</f>
        <v>判定不能</v>
      </c>
      <c r="AL418" s="30" t="n">
        <v>60</v>
      </c>
      <c r="AM418" s="30" t="n">
        <v>0</v>
      </c>
      <c r="AN418" s="30" t="str">
        <f aca="false">IF(OR(V418="判定不能",M418="判定不能"),"判定不能",IF(AM418&gt;=判定条件!$C$9,"利用可",IF(AND(V418="停止",M418="停止"),"両方停止","運転がそろわない")))</f>
        <v>運転がそろわない</v>
      </c>
      <c r="AO418" s="30" t="n">
        <v>60</v>
      </c>
      <c r="AP418" s="30" t="n">
        <v>0</v>
      </c>
      <c r="AQ418" s="30" t="str">
        <f aca="false">IF(OR(Y418="判定不能",G418="判定不能"),"判定不能",IF(AP418&gt;=判定条件!$C$9,"利用可",IF(AND(Y418="停止",G418="停止"),"両方停止","運転がそろわない")))</f>
        <v>両方停止</v>
      </c>
      <c r="AR418" s="30" t="n">
        <v>60</v>
      </c>
      <c r="AS418" s="30" t="n">
        <v>0</v>
      </c>
      <c r="AT418" s="30" t="str">
        <f aca="false">IF(OR(AB418="判定不能",J418="判定不能"),"判定不能",IF(AS418&gt;=判定条件!$C$9,"利用可",IF(AND(AB418="停止",J418="停止"),"両方停止","運転がそろわない")))</f>
        <v>運転がそろわない</v>
      </c>
      <c r="AU418" s="30" t="n">
        <v>60</v>
      </c>
      <c r="AV418" s="30" t="n">
        <v>0</v>
      </c>
      <c r="AW418" s="30" t="str">
        <f aca="false">IF(OR(AE418="判定不能",M418="判定不能"),"判定不能",IF(AV418&gt;=判定条件!$C$9,"利用可",IF(AND(AE418="停止",M418="停止"),"両方停止","運転がそろわない")))</f>
        <v>運転がそろわない</v>
      </c>
      <c r="AX418" s="30" t="str">
        <f aca="false">IF(AND(AH418="利用可",AK418="利用可",AN418="利用可"),"利用可","不可")</f>
        <v>不可</v>
      </c>
      <c r="AY418" s="30" t="str">
        <f aca="false">IF(AND(AQ418="利用可",AT418="利用可",AW418="利用可"),"利用可","不可")</f>
        <v>不可</v>
      </c>
    </row>
    <row r="419" customFormat="false" ht="15" hidden="false" customHeight="false" outlineLevel="0" collapsed="false">
      <c r="A419" s="29" t="n">
        <v>46249</v>
      </c>
      <c r="B419" s="30" t="n">
        <v>8</v>
      </c>
      <c r="C419" s="31" t="s">
        <v>63</v>
      </c>
      <c r="D419" s="31" t="s">
        <v>64</v>
      </c>
      <c r="E419" s="30" t="n">
        <v>60</v>
      </c>
      <c r="F419" s="30" t="n">
        <v>45</v>
      </c>
      <c r="G419" s="30" t="str">
        <f aca="false">IF(E419&lt;判定条件!$C$6,"判定不能",IF(F419&gt;=判定条件!$C$7*E419,"運転",IF(F419&lt;=判定条件!$C$8*E419,"停止","断続")))</f>
        <v>断続</v>
      </c>
      <c r="H419" s="30" t="n">
        <v>60</v>
      </c>
      <c r="I419" s="30" t="n">
        <v>46</v>
      </c>
      <c r="J419" s="30" t="str">
        <f aca="false">IF(H419&lt;判定条件!$C$6,"判定不能",IF(I419&gt;=判定条件!$C$7*H419,"運転",IF(I419&lt;=判定条件!$C$8*H419,"停止","断続")))</f>
        <v>断続</v>
      </c>
      <c r="K419" s="30" t="n">
        <v>60</v>
      </c>
      <c r="L419" s="30" t="n">
        <v>43</v>
      </c>
      <c r="M419" s="30" t="str">
        <f aca="false">IF(K419&lt;判定条件!$C$6,"判定不能",IF(L419&gt;=判定条件!$C$7*K419,"運転",IF(L419&lt;=判定条件!$C$8*K419,"停止","断続")))</f>
        <v>断続</v>
      </c>
      <c r="N419" s="30" t="n">
        <v>60</v>
      </c>
      <c r="O419" s="30" t="n">
        <v>60</v>
      </c>
      <c r="P419" s="30" t="str">
        <f aca="false">IF(N419&lt;判定条件!$C$6,"判定不能",IF(O419&gt;=判定条件!$C$7*N419,"運転",IF(O419&lt;=判定条件!$C$8*N419,"停止","断続")))</f>
        <v>運転</v>
      </c>
      <c r="Q419" s="30" t="n">
        <v>0</v>
      </c>
      <c r="R419" s="30" t="n">
        <v>0</v>
      </c>
      <c r="S419" s="30" t="str">
        <f aca="false">IF(Q419&lt;判定条件!$C$6,"判定不能",IF(R419&gt;=判定条件!$C$7*Q419,"運転",IF(R419&lt;=判定条件!$C$8*Q419,"停止","断続")))</f>
        <v>判定不能</v>
      </c>
      <c r="T419" s="30" t="n">
        <v>60</v>
      </c>
      <c r="U419" s="30" t="n">
        <v>23</v>
      </c>
      <c r="V419" s="30" t="str">
        <f aca="false">IF(T419&lt;判定条件!$C$6,"判定不能",IF(U419&gt;=判定条件!$C$7*T419,"運転",IF(U419&lt;=判定条件!$C$8*T419,"停止","断続")))</f>
        <v>断続</v>
      </c>
      <c r="W419" s="30" t="n">
        <v>60</v>
      </c>
      <c r="X419" s="30" t="n">
        <v>60</v>
      </c>
      <c r="Y419" s="30" t="str">
        <f aca="false">IF(W419&lt;判定条件!$C$6,"判定不能",IF(X419&gt;=判定条件!$C$7*W419,"運転",IF(X419&lt;=判定条件!$C$8*W419,"停止","断続")))</f>
        <v>運転</v>
      </c>
      <c r="Z419" s="30" t="n">
        <v>60</v>
      </c>
      <c r="AA419" s="30" t="n">
        <v>53</v>
      </c>
      <c r="AB419" s="30" t="str">
        <f aca="false">IF(Z419&lt;判定条件!$C$6,"判定不能",IF(AA419&gt;=判定条件!$C$7*Z419,"運転",IF(AA419&lt;=判定条件!$C$8*Z419,"停止","断続")))</f>
        <v>運転</v>
      </c>
      <c r="AC419" s="30" t="n">
        <v>60</v>
      </c>
      <c r="AD419" s="30" t="n">
        <v>54</v>
      </c>
      <c r="AE419" s="30" t="str">
        <f aca="false">IF(AC419&lt;判定条件!$C$6,"判定不能",IF(AD419&gt;=判定条件!$C$7*AC419,"運転",IF(AD419&lt;=判定条件!$C$8*AC419,"停止","断続")))</f>
        <v>運転</v>
      </c>
      <c r="AF419" s="30" t="n">
        <v>60</v>
      </c>
      <c r="AG419" s="30" t="n">
        <v>45</v>
      </c>
      <c r="AH419" s="30" t="str">
        <f aca="false">IF(OR(P419="判定不能",G419="判定不能"),"判定不能",IF(AG419&gt;=判定条件!$C$9,"利用可",IF(AND(P419="停止",G419="停止"),"両方停止","運転がそろわない")))</f>
        <v>利用可</v>
      </c>
      <c r="AI419" s="30" t="n">
        <v>0</v>
      </c>
      <c r="AJ419" s="30" t="n">
        <v>0</v>
      </c>
      <c r="AK419" s="30" t="str">
        <f aca="false">IF(OR(S419="判定不能",J419="判定不能"),"判定不能",IF(AJ419&gt;=判定条件!$C$9,"利用可",IF(AND(S419="停止",J419="停止"),"両方停止","運転がそろわない")))</f>
        <v>判定不能</v>
      </c>
      <c r="AL419" s="30" t="n">
        <v>60</v>
      </c>
      <c r="AM419" s="30" t="n">
        <v>16</v>
      </c>
      <c r="AN419" s="30" t="str">
        <f aca="false">IF(OR(V419="判定不能",M419="判定不能"),"判定不能",IF(AM419&gt;=判定条件!$C$9,"利用可",IF(AND(V419="停止",M419="停止"),"両方停止","運転がそろわない")))</f>
        <v>運転がそろわない</v>
      </c>
      <c r="AO419" s="30" t="n">
        <v>60</v>
      </c>
      <c r="AP419" s="30" t="n">
        <v>45</v>
      </c>
      <c r="AQ419" s="30" t="str">
        <f aca="false">IF(OR(Y419="判定不能",G419="判定不能"),"判定不能",IF(AP419&gt;=判定条件!$C$9,"利用可",IF(AND(Y419="停止",G419="停止"),"両方停止","運転がそろわない")))</f>
        <v>利用可</v>
      </c>
      <c r="AR419" s="30" t="n">
        <v>60</v>
      </c>
      <c r="AS419" s="30" t="n">
        <v>39</v>
      </c>
      <c r="AT419" s="30" t="str">
        <f aca="false">IF(OR(AB419="判定不能",J419="判定不能"),"判定不能",IF(AS419&gt;=判定条件!$C$9,"利用可",IF(AND(AB419="停止",J419="停止"),"両方停止","運転がそろわない")))</f>
        <v>利用可</v>
      </c>
      <c r="AU419" s="30" t="n">
        <v>60</v>
      </c>
      <c r="AV419" s="30" t="n">
        <v>37</v>
      </c>
      <c r="AW419" s="30" t="str">
        <f aca="false">IF(OR(AE419="判定不能",M419="判定不能"),"判定不能",IF(AV419&gt;=判定条件!$C$9,"利用可",IF(AND(AE419="停止",M419="停止"),"両方停止","運転がそろわない")))</f>
        <v>利用可</v>
      </c>
      <c r="AX419" s="30" t="str">
        <f aca="false">IF(AND(AH419="利用可",AK419="利用可",AN419="利用可"),"利用可","不可")</f>
        <v>不可</v>
      </c>
      <c r="AY419" s="30" t="str">
        <f aca="false">IF(AND(AQ419="利用可",AT419="利用可",AW419="利用可"),"利用可","不可")</f>
        <v>利用可</v>
      </c>
    </row>
    <row r="420" customFormat="false" ht="15" hidden="false" customHeight="false" outlineLevel="0" collapsed="false">
      <c r="A420" s="29" t="n">
        <v>46249</v>
      </c>
      <c r="B420" s="30" t="n">
        <v>9</v>
      </c>
      <c r="C420" s="31" t="s">
        <v>63</v>
      </c>
      <c r="D420" s="31" t="s">
        <v>64</v>
      </c>
      <c r="E420" s="30" t="n">
        <v>60</v>
      </c>
      <c r="F420" s="30" t="n">
        <v>60</v>
      </c>
      <c r="G420" s="30" t="str">
        <f aca="false">IF(E420&lt;判定条件!$C$6,"判定不能",IF(F420&gt;=判定条件!$C$7*E420,"運転",IF(F420&lt;=判定条件!$C$8*E420,"停止","断続")))</f>
        <v>運転</v>
      </c>
      <c r="H420" s="30" t="n">
        <v>60</v>
      </c>
      <c r="I420" s="30" t="n">
        <v>60</v>
      </c>
      <c r="J420" s="30" t="str">
        <f aca="false">IF(H420&lt;判定条件!$C$6,"判定不能",IF(I420&gt;=判定条件!$C$7*H420,"運転",IF(I420&lt;=判定条件!$C$8*H420,"停止","断続")))</f>
        <v>運転</v>
      </c>
      <c r="K420" s="30" t="n">
        <v>60</v>
      </c>
      <c r="L420" s="30" t="n">
        <v>60</v>
      </c>
      <c r="M420" s="30" t="str">
        <f aca="false">IF(K420&lt;判定条件!$C$6,"判定不能",IF(L420&gt;=判定条件!$C$7*K420,"運転",IF(L420&lt;=判定条件!$C$8*K420,"停止","断続")))</f>
        <v>運転</v>
      </c>
      <c r="N420" s="30" t="n">
        <v>60</v>
      </c>
      <c r="O420" s="30" t="n">
        <v>53</v>
      </c>
      <c r="P420" s="30" t="str">
        <f aca="false">IF(N420&lt;判定条件!$C$6,"判定不能",IF(O420&gt;=判定条件!$C$7*N420,"運転",IF(O420&lt;=判定条件!$C$8*N420,"停止","断続")))</f>
        <v>運転</v>
      </c>
      <c r="Q420" s="30" t="n">
        <v>0</v>
      </c>
      <c r="R420" s="30" t="n">
        <v>0</v>
      </c>
      <c r="S420" s="30" t="str">
        <f aca="false">IF(Q420&lt;判定条件!$C$6,"判定不能",IF(R420&gt;=判定条件!$C$7*Q420,"運転",IF(R420&lt;=判定条件!$C$8*Q420,"停止","断続")))</f>
        <v>判定不能</v>
      </c>
      <c r="T420" s="30" t="n">
        <v>60</v>
      </c>
      <c r="U420" s="30" t="n">
        <v>28</v>
      </c>
      <c r="V420" s="30" t="str">
        <f aca="false">IF(T420&lt;判定条件!$C$6,"判定不能",IF(U420&gt;=判定条件!$C$7*T420,"運転",IF(U420&lt;=判定条件!$C$8*T420,"停止","断続")))</f>
        <v>断続</v>
      </c>
      <c r="W420" s="30" t="n">
        <v>60</v>
      </c>
      <c r="X420" s="30" t="n">
        <v>60</v>
      </c>
      <c r="Y420" s="30" t="str">
        <f aca="false">IF(W420&lt;判定条件!$C$6,"判定不能",IF(X420&gt;=判定条件!$C$7*W420,"運転",IF(X420&lt;=判定条件!$C$8*W420,"停止","断続")))</f>
        <v>運転</v>
      </c>
      <c r="Z420" s="30" t="n">
        <v>60</v>
      </c>
      <c r="AA420" s="30" t="n">
        <v>60</v>
      </c>
      <c r="AB420" s="30" t="str">
        <f aca="false">IF(Z420&lt;判定条件!$C$6,"判定不能",IF(AA420&gt;=判定条件!$C$7*Z420,"運転",IF(AA420&lt;=判定条件!$C$8*Z420,"停止","断続")))</f>
        <v>運転</v>
      </c>
      <c r="AC420" s="30" t="n">
        <v>60</v>
      </c>
      <c r="AD420" s="30" t="n">
        <v>60</v>
      </c>
      <c r="AE420" s="30" t="str">
        <f aca="false">IF(AC420&lt;判定条件!$C$6,"判定不能",IF(AD420&gt;=判定条件!$C$7*AC420,"運転",IF(AD420&lt;=判定条件!$C$8*AC420,"停止","断続")))</f>
        <v>運転</v>
      </c>
      <c r="AF420" s="30" t="n">
        <v>60</v>
      </c>
      <c r="AG420" s="30" t="n">
        <v>53</v>
      </c>
      <c r="AH420" s="30" t="str">
        <f aca="false">IF(OR(P420="判定不能",G420="判定不能"),"判定不能",IF(AG420&gt;=判定条件!$C$9,"利用可",IF(AND(P420="停止",G420="停止"),"両方停止","運転がそろわない")))</f>
        <v>利用可</v>
      </c>
      <c r="AI420" s="30" t="n">
        <v>0</v>
      </c>
      <c r="AJ420" s="30" t="n">
        <v>0</v>
      </c>
      <c r="AK420" s="30" t="str">
        <f aca="false">IF(OR(S420="判定不能",J420="判定不能"),"判定不能",IF(AJ420&gt;=判定条件!$C$9,"利用可",IF(AND(S420="停止",J420="停止"),"両方停止","運転がそろわない")))</f>
        <v>判定不能</v>
      </c>
      <c r="AL420" s="30" t="n">
        <v>60</v>
      </c>
      <c r="AM420" s="30" t="n">
        <v>28</v>
      </c>
      <c r="AN420" s="30" t="str">
        <f aca="false">IF(OR(V420="判定不能",M420="判定不能"),"判定不能",IF(AM420&gt;=判定条件!$C$9,"利用可",IF(AND(V420="停止",M420="停止"),"両方停止","運転がそろわない")))</f>
        <v>運転がそろわない</v>
      </c>
      <c r="AO420" s="30" t="n">
        <v>60</v>
      </c>
      <c r="AP420" s="30" t="n">
        <v>60</v>
      </c>
      <c r="AQ420" s="30" t="str">
        <f aca="false">IF(OR(Y420="判定不能",G420="判定不能"),"判定不能",IF(AP420&gt;=判定条件!$C$9,"利用可",IF(AND(Y420="停止",G420="停止"),"両方停止","運転がそろわない")))</f>
        <v>利用可</v>
      </c>
      <c r="AR420" s="30" t="n">
        <v>60</v>
      </c>
      <c r="AS420" s="30" t="n">
        <v>60</v>
      </c>
      <c r="AT420" s="30" t="str">
        <f aca="false">IF(OR(AB420="判定不能",J420="判定不能"),"判定不能",IF(AS420&gt;=判定条件!$C$9,"利用可",IF(AND(AB420="停止",J420="停止"),"両方停止","運転がそろわない")))</f>
        <v>利用可</v>
      </c>
      <c r="AU420" s="30" t="n">
        <v>60</v>
      </c>
      <c r="AV420" s="30" t="n">
        <v>60</v>
      </c>
      <c r="AW420" s="30" t="str">
        <f aca="false">IF(OR(AE420="判定不能",M420="判定不能"),"判定不能",IF(AV420&gt;=判定条件!$C$9,"利用可",IF(AND(AE420="停止",M420="停止"),"両方停止","運転がそろわない")))</f>
        <v>利用可</v>
      </c>
      <c r="AX420" s="30" t="str">
        <f aca="false">IF(AND(AH420="利用可",AK420="利用可",AN420="利用可"),"利用可","不可")</f>
        <v>不可</v>
      </c>
      <c r="AY420" s="30" t="str">
        <f aca="false">IF(AND(AQ420="利用可",AT420="利用可",AW420="利用可"),"利用可","不可")</f>
        <v>利用可</v>
      </c>
    </row>
    <row r="421" customFormat="false" ht="15" hidden="false" customHeight="false" outlineLevel="0" collapsed="false">
      <c r="A421" s="29" t="n">
        <v>46249</v>
      </c>
      <c r="B421" s="30" t="n">
        <v>10</v>
      </c>
      <c r="C421" s="31" t="s">
        <v>63</v>
      </c>
      <c r="D421" s="31" t="s">
        <v>64</v>
      </c>
      <c r="E421" s="30" t="n">
        <v>60</v>
      </c>
      <c r="F421" s="30" t="n">
        <v>60</v>
      </c>
      <c r="G421" s="30" t="str">
        <f aca="false">IF(E421&lt;判定条件!$C$6,"判定不能",IF(F421&gt;=判定条件!$C$7*E421,"運転",IF(F421&lt;=判定条件!$C$8*E421,"停止","断続")))</f>
        <v>運転</v>
      </c>
      <c r="H421" s="30" t="n">
        <v>60</v>
      </c>
      <c r="I421" s="30" t="n">
        <v>60</v>
      </c>
      <c r="J421" s="30" t="str">
        <f aca="false">IF(H421&lt;判定条件!$C$6,"判定不能",IF(I421&gt;=判定条件!$C$7*H421,"運転",IF(I421&lt;=判定条件!$C$8*H421,"停止","断続")))</f>
        <v>運転</v>
      </c>
      <c r="K421" s="30" t="n">
        <v>60</v>
      </c>
      <c r="L421" s="30" t="n">
        <v>60</v>
      </c>
      <c r="M421" s="30" t="str">
        <f aca="false">IF(K421&lt;判定条件!$C$6,"判定不能",IF(L421&gt;=判定条件!$C$7*K421,"運転",IF(L421&lt;=判定条件!$C$8*K421,"停止","断続")))</f>
        <v>運転</v>
      </c>
      <c r="N421" s="30" t="n">
        <v>60</v>
      </c>
      <c r="O421" s="30" t="n">
        <v>36</v>
      </c>
      <c r="P421" s="30" t="str">
        <f aca="false">IF(N421&lt;判定条件!$C$6,"判定不能",IF(O421&gt;=判定条件!$C$7*N421,"運転",IF(O421&lt;=判定条件!$C$8*N421,"停止","断続")))</f>
        <v>断続</v>
      </c>
      <c r="Q421" s="30" t="n">
        <v>0</v>
      </c>
      <c r="R421" s="30" t="n">
        <v>0</v>
      </c>
      <c r="S421" s="30" t="str">
        <f aca="false">IF(Q421&lt;判定条件!$C$6,"判定不能",IF(R421&gt;=判定条件!$C$7*Q421,"運転",IF(R421&lt;=判定条件!$C$8*Q421,"停止","断続")))</f>
        <v>判定不能</v>
      </c>
      <c r="T421" s="30" t="n">
        <v>60</v>
      </c>
      <c r="U421" s="30" t="n">
        <v>22</v>
      </c>
      <c r="V421" s="30" t="str">
        <f aca="false">IF(T421&lt;判定条件!$C$6,"判定不能",IF(U421&gt;=判定条件!$C$7*T421,"運転",IF(U421&lt;=判定条件!$C$8*T421,"停止","断続")))</f>
        <v>断続</v>
      </c>
      <c r="W421" s="30" t="n">
        <v>60</v>
      </c>
      <c r="X421" s="30" t="n">
        <v>60</v>
      </c>
      <c r="Y421" s="30" t="str">
        <f aca="false">IF(W421&lt;判定条件!$C$6,"判定不能",IF(X421&gt;=判定条件!$C$7*W421,"運転",IF(X421&lt;=判定条件!$C$8*W421,"停止","断続")))</f>
        <v>運転</v>
      </c>
      <c r="Z421" s="30" t="n">
        <v>60</v>
      </c>
      <c r="AA421" s="30" t="n">
        <v>39</v>
      </c>
      <c r="AB421" s="30" t="str">
        <f aca="false">IF(Z421&lt;判定条件!$C$6,"判定不能",IF(AA421&gt;=判定条件!$C$7*Z421,"運転",IF(AA421&lt;=判定条件!$C$8*Z421,"停止","断続")))</f>
        <v>断続</v>
      </c>
      <c r="AC421" s="30" t="n">
        <v>60</v>
      </c>
      <c r="AD421" s="30" t="n">
        <v>60</v>
      </c>
      <c r="AE421" s="30" t="str">
        <f aca="false">IF(AC421&lt;判定条件!$C$6,"判定不能",IF(AD421&gt;=判定条件!$C$7*AC421,"運転",IF(AD421&lt;=判定条件!$C$8*AC421,"停止","断続")))</f>
        <v>運転</v>
      </c>
      <c r="AF421" s="30" t="n">
        <v>60</v>
      </c>
      <c r="AG421" s="30" t="n">
        <v>36</v>
      </c>
      <c r="AH421" s="30" t="str">
        <f aca="false">IF(OR(P421="判定不能",G421="判定不能"),"判定不能",IF(AG421&gt;=判定条件!$C$9,"利用可",IF(AND(P421="停止",G421="停止"),"両方停止","運転がそろわない")))</f>
        <v>利用可</v>
      </c>
      <c r="AI421" s="30" t="n">
        <v>0</v>
      </c>
      <c r="AJ421" s="30" t="n">
        <v>0</v>
      </c>
      <c r="AK421" s="30" t="str">
        <f aca="false">IF(OR(S421="判定不能",J421="判定不能"),"判定不能",IF(AJ421&gt;=判定条件!$C$9,"利用可",IF(AND(S421="停止",J421="停止"),"両方停止","運転がそろわない")))</f>
        <v>判定不能</v>
      </c>
      <c r="AL421" s="30" t="n">
        <v>60</v>
      </c>
      <c r="AM421" s="30" t="n">
        <v>22</v>
      </c>
      <c r="AN421" s="30" t="str">
        <f aca="false">IF(OR(V421="判定不能",M421="判定不能"),"判定不能",IF(AM421&gt;=判定条件!$C$9,"利用可",IF(AND(V421="停止",M421="停止"),"両方停止","運転がそろわない")))</f>
        <v>運転がそろわない</v>
      </c>
      <c r="AO421" s="30" t="n">
        <v>60</v>
      </c>
      <c r="AP421" s="30" t="n">
        <v>60</v>
      </c>
      <c r="AQ421" s="30" t="str">
        <f aca="false">IF(OR(Y421="判定不能",G421="判定不能"),"判定不能",IF(AP421&gt;=判定条件!$C$9,"利用可",IF(AND(Y421="停止",G421="停止"),"両方停止","運転がそろわない")))</f>
        <v>利用可</v>
      </c>
      <c r="AR421" s="30" t="n">
        <v>60</v>
      </c>
      <c r="AS421" s="30" t="n">
        <v>39</v>
      </c>
      <c r="AT421" s="30" t="str">
        <f aca="false">IF(OR(AB421="判定不能",J421="判定不能"),"判定不能",IF(AS421&gt;=判定条件!$C$9,"利用可",IF(AND(AB421="停止",J421="停止"),"両方停止","運転がそろわない")))</f>
        <v>利用可</v>
      </c>
      <c r="AU421" s="30" t="n">
        <v>60</v>
      </c>
      <c r="AV421" s="30" t="n">
        <v>60</v>
      </c>
      <c r="AW421" s="30" t="str">
        <f aca="false">IF(OR(AE421="判定不能",M421="判定不能"),"判定不能",IF(AV421&gt;=判定条件!$C$9,"利用可",IF(AND(AE421="停止",M421="停止"),"両方停止","運転がそろわない")))</f>
        <v>利用可</v>
      </c>
      <c r="AX421" s="30" t="str">
        <f aca="false">IF(AND(AH421="利用可",AK421="利用可",AN421="利用可"),"利用可","不可")</f>
        <v>不可</v>
      </c>
      <c r="AY421" s="30" t="str">
        <f aca="false">IF(AND(AQ421="利用可",AT421="利用可",AW421="利用可"),"利用可","不可")</f>
        <v>利用可</v>
      </c>
    </row>
    <row r="422" customFormat="false" ht="15" hidden="false" customHeight="false" outlineLevel="0" collapsed="false">
      <c r="A422" s="29" t="n">
        <v>46249</v>
      </c>
      <c r="B422" s="30" t="n">
        <v>11</v>
      </c>
      <c r="C422" s="31" t="s">
        <v>63</v>
      </c>
      <c r="D422" s="31" t="s">
        <v>64</v>
      </c>
      <c r="E422" s="30" t="n">
        <v>60</v>
      </c>
      <c r="F422" s="30" t="n">
        <v>60</v>
      </c>
      <c r="G422" s="30" t="str">
        <f aca="false">IF(E422&lt;判定条件!$C$6,"判定不能",IF(F422&gt;=判定条件!$C$7*E422,"運転",IF(F422&lt;=判定条件!$C$8*E422,"停止","断続")))</f>
        <v>運転</v>
      </c>
      <c r="H422" s="30" t="n">
        <v>60</v>
      </c>
      <c r="I422" s="30" t="n">
        <v>60</v>
      </c>
      <c r="J422" s="30" t="str">
        <f aca="false">IF(H422&lt;判定条件!$C$6,"判定不能",IF(I422&gt;=判定条件!$C$7*H422,"運転",IF(I422&lt;=判定条件!$C$8*H422,"停止","断続")))</f>
        <v>運転</v>
      </c>
      <c r="K422" s="30" t="n">
        <v>60</v>
      </c>
      <c r="L422" s="30" t="n">
        <v>60</v>
      </c>
      <c r="M422" s="30" t="str">
        <f aca="false">IF(K422&lt;判定条件!$C$6,"判定不能",IF(L422&gt;=判定条件!$C$7*K422,"運転",IF(L422&lt;=判定条件!$C$8*K422,"停止","断続")))</f>
        <v>運転</v>
      </c>
      <c r="N422" s="30" t="n">
        <v>60</v>
      </c>
      <c r="O422" s="30" t="n">
        <v>44</v>
      </c>
      <c r="P422" s="30" t="str">
        <f aca="false">IF(N422&lt;判定条件!$C$6,"判定不能",IF(O422&gt;=判定条件!$C$7*N422,"運転",IF(O422&lt;=判定条件!$C$8*N422,"停止","断続")))</f>
        <v>断続</v>
      </c>
      <c r="Q422" s="30" t="n">
        <v>0</v>
      </c>
      <c r="R422" s="30" t="n">
        <v>0</v>
      </c>
      <c r="S422" s="30" t="str">
        <f aca="false">IF(Q422&lt;判定条件!$C$6,"判定不能",IF(R422&gt;=判定条件!$C$7*Q422,"運転",IF(R422&lt;=判定条件!$C$8*Q422,"停止","断続")))</f>
        <v>判定不能</v>
      </c>
      <c r="T422" s="30" t="n">
        <v>60</v>
      </c>
      <c r="U422" s="30" t="n">
        <v>0</v>
      </c>
      <c r="V422" s="30" t="str">
        <f aca="false">IF(T422&lt;判定条件!$C$6,"判定不能",IF(U422&gt;=判定条件!$C$7*T422,"運転",IF(U422&lt;=判定条件!$C$8*T422,"停止","断続")))</f>
        <v>停止</v>
      </c>
      <c r="W422" s="30" t="n">
        <v>60</v>
      </c>
      <c r="X422" s="30" t="n">
        <v>42</v>
      </c>
      <c r="Y422" s="30" t="str">
        <f aca="false">IF(W422&lt;判定条件!$C$6,"判定不能",IF(X422&gt;=判定条件!$C$7*W422,"運転",IF(X422&lt;=判定条件!$C$8*W422,"停止","断続")))</f>
        <v>断続</v>
      </c>
      <c r="Z422" s="30" t="n">
        <v>60</v>
      </c>
      <c r="AA422" s="30" t="n">
        <v>44</v>
      </c>
      <c r="AB422" s="30" t="str">
        <f aca="false">IF(Z422&lt;判定条件!$C$6,"判定不能",IF(AA422&gt;=判定条件!$C$7*Z422,"運転",IF(AA422&lt;=判定条件!$C$8*Z422,"停止","断続")))</f>
        <v>断続</v>
      </c>
      <c r="AC422" s="30" t="n">
        <v>60</v>
      </c>
      <c r="AD422" s="30" t="n">
        <v>60</v>
      </c>
      <c r="AE422" s="30" t="str">
        <f aca="false">IF(AC422&lt;判定条件!$C$6,"判定不能",IF(AD422&gt;=判定条件!$C$7*AC422,"運転",IF(AD422&lt;=判定条件!$C$8*AC422,"停止","断続")))</f>
        <v>運転</v>
      </c>
      <c r="AF422" s="30" t="n">
        <v>60</v>
      </c>
      <c r="AG422" s="30" t="n">
        <v>44</v>
      </c>
      <c r="AH422" s="30" t="str">
        <f aca="false">IF(OR(P422="判定不能",G422="判定不能"),"判定不能",IF(AG422&gt;=判定条件!$C$9,"利用可",IF(AND(P422="停止",G422="停止"),"両方停止","運転がそろわない")))</f>
        <v>利用可</v>
      </c>
      <c r="AI422" s="30" t="n">
        <v>0</v>
      </c>
      <c r="AJ422" s="30" t="n">
        <v>0</v>
      </c>
      <c r="AK422" s="30" t="str">
        <f aca="false">IF(OR(S422="判定不能",J422="判定不能"),"判定不能",IF(AJ422&gt;=判定条件!$C$9,"利用可",IF(AND(S422="停止",J422="停止"),"両方停止","運転がそろわない")))</f>
        <v>判定不能</v>
      </c>
      <c r="AL422" s="30" t="n">
        <v>60</v>
      </c>
      <c r="AM422" s="30" t="n">
        <v>0</v>
      </c>
      <c r="AN422" s="30" t="str">
        <f aca="false">IF(OR(V422="判定不能",M422="判定不能"),"判定不能",IF(AM422&gt;=判定条件!$C$9,"利用可",IF(AND(V422="停止",M422="停止"),"両方停止","運転がそろわない")))</f>
        <v>運転がそろわない</v>
      </c>
      <c r="AO422" s="30" t="n">
        <v>60</v>
      </c>
      <c r="AP422" s="30" t="n">
        <v>42</v>
      </c>
      <c r="AQ422" s="30" t="str">
        <f aca="false">IF(OR(Y422="判定不能",G422="判定不能"),"判定不能",IF(AP422&gt;=判定条件!$C$9,"利用可",IF(AND(Y422="停止",G422="停止"),"両方停止","運転がそろわない")))</f>
        <v>利用可</v>
      </c>
      <c r="AR422" s="30" t="n">
        <v>60</v>
      </c>
      <c r="AS422" s="30" t="n">
        <v>44</v>
      </c>
      <c r="AT422" s="30" t="str">
        <f aca="false">IF(OR(AB422="判定不能",J422="判定不能"),"判定不能",IF(AS422&gt;=判定条件!$C$9,"利用可",IF(AND(AB422="停止",J422="停止"),"両方停止","運転がそろわない")))</f>
        <v>利用可</v>
      </c>
      <c r="AU422" s="30" t="n">
        <v>60</v>
      </c>
      <c r="AV422" s="30" t="n">
        <v>60</v>
      </c>
      <c r="AW422" s="30" t="str">
        <f aca="false">IF(OR(AE422="判定不能",M422="判定不能"),"判定不能",IF(AV422&gt;=判定条件!$C$9,"利用可",IF(AND(AE422="停止",M422="停止"),"両方停止","運転がそろわない")))</f>
        <v>利用可</v>
      </c>
      <c r="AX422" s="30" t="str">
        <f aca="false">IF(AND(AH422="利用可",AK422="利用可",AN422="利用可"),"利用可","不可")</f>
        <v>不可</v>
      </c>
      <c r="AY422" s="30" t="str">
        <f aca="false">IF(AND(AQ422="利用可",AT422="利用可",AW422="利用可"),"利用可","不可")</f>
        <v>利用可</v>
      </c>
    </row>
    <row r="423" customFormat="false" ht="15" hidden="false" customHeight="false" outlineLevel="0" collapsed="false">
      <c r="A423" s="29" t="n">
        <v>46249</v>
      </c>
      <c r="B423" s="30" t="n">
        <v>12</v>
      </c>
      <c r="C423" s="31" t="s">
        <v>63</v>
      </c>
      <c r="D423" s="31" t="s">
        <v>64</v>
      </c>
      <c r="E423" s="30" t="n">
        <v>60</v>
      </c>
      <c r="F423" s="30" t="n">
        <v>60</v>
      </c>
      <c r="G423" s="30" t="str">
        <f aca="false">IF(E423&lt;判定条件!$C$6,"判定不能",IF(F423&gt;=判定条件!$C$7*E423,"運転",IF(F423&lt;=判定条件!$C$8*E423,"停止","断続")))</f>
        <v>運転</v>
      </c>
      <c r="H423" s="30" t="n">
        <v>60</v>
      </c>
      <c r="I423" s="30" t="n">
        <v>60</v>
      </c>
      <c r="J423" s="30" t="str">
        <f aca="false">IF(H423&lt;判定条件!$C$6,"判定不能",IF(I423&gt;=判定条件!$C$7*H423,"運転",IF(I423&lt;=判定条件!$C$8*H423,"停止","断続")))</f>
        <v>運転</v>
      </c>
      <c r="K423" s="30" t="n">
        <v>60</v>
      </c>
      <c r="L423" s="30" t="n">
        <v>60</v>
      </c>
      <c r="M423" s="30" t="str">
        <f aca="false">IF(K423&lt;判定条件!$C$6,"判定不能",IF(L423&gt;=判定条件!$C$7*K423,"運転",IF(L423&lt;=判定条件!$C$8*K423,"停止","断続")))</f>
        <v>運転</v>
      </c>
      <c r="N423" s="30" t="n">
        <v>60</v>
      </c>
      <c r="O423" s="30" t="n">
        <v>39</v>
      </c>
      <c r="P423" s="30" t="str">
        <f aca="false">IF(N423&lt;判定条件!$C$6,"判定不能",IF(O423&gt;=判定条件!$C$7*N423,"運転",IF(O423&lt;=判定条件!$C$8*N423,"停止","断続")))</f>
        <v>断続</v>
      </c>
      <c r="Q423" s="30" t="n">
        <v>0</v>
      </c>
      <c r="R423" s="30" t="n">
        <v>0</v>
      </c>
      <c r="S423" s="30" t="str">
        <f aca="false">IF(Q423&lt;判定条件!$C$6,"判定不能",IF(R423&gt;=判定条件!$C$7*Q423,"運転",IF(R423&lt;=判定条件!$C$8*Q423,"停止","断続")))</f>
        <v>判定不能</v>
      </c>
      <c r="T423" s="30" t="n">
        <v>60</v>
      </c>
      <c r="U423" s="30" t="n">
        <v>0</v>
      </c>
      <c r="V423" s="30" t="str">
        <f aca="false">IF(T423&lt;判定条件!$C$6,"判定不能",IF(U423&gt;=判定条件!$C$7*T423,"運転",IF(U423&lt;=判定条件!$C$8*T423,"停止","断続")))</f>
        <v>停止</v>
      </c>
      <c r="W423" s="30" t="n">
        <v>60</v>
      </c>
      <c r="X423" s="30" t="n">
        <v>45</v>
      </c>
      <c r="Y423" s="30" t="str">
        <f aca="false">IF(W423&lt;判定条件!$C$6,"判定不能",IF(X423&gt;=判定条件!$C$7*W423,"運転",IF(X423&lt;=判定条件!$C$8*W423,"停止","断続")))</f>
        <v>断続</v>
      </c>
      <c r="Z423" s="30" t="n">
        <v>60</v>
      </c>
      <c r="AA423" s="30" t="n">
        <v>24</v>
      </c>
      <c r="AB423" s="30" t="str">
        <f aca="false">IF(Z423&lt;判定条件!$C$6,"判定不能",IF(AA423&gt;=判定条件!$C$7*Z423,"運転",IF(AA423&lt;=判定条件!$C$8*Z423,"停止","断続")))</f>
        <v>断続</v>
      </c>
      <c r="AC423" s="30" t="n">
        <v>60</v>
      </c>
      <c r="AD423" s="30" t="n">
        <v>60</v>
      </c>
      <c r="AE423" s="30" t="str">
        <f aca="false">IF(AC423&lt;判定条件!$C$6,"判定不能",IF(AD423&gt;=判定条件!$C$7*AC423,"運転",IF(AD423&lt;=判定条件!$C$8*AC423,"停止","断続")))</f>
        <v>運転</v>
      </c>
      <c r="AF423" s="30" t="n">
        <v>60</v>
      </c>
      <c r="AG423" s="30" t="n">
        <v>39</v>
      </c>
      <c r="AH423" s="30" t="str">
        <f aca="false">IF(OR(P423="判定不能",G423="判定不能"),"判定不能",IF(AG423&gt;=判定条件!$C$9,"利用可",IF(AND(P423="停止",G423="停止"),"両方停止","運転がそろわない")))</f>
        <v>利用可</v>
      </c>
      <c r="AI423" s="30" t="n">
        <v>0</v>
      </c>
      <c r="AJ423" s="30" t="n">
        <v>0</v>
      </c>
      <c r="AK423" s="30" t="str">
        <f aca="false">IF(OR(S423="判定不能",J423="判定不能"),"判定不能",IF(AJ423&gt;=判定条件!$C$9,"利用可",IF(AND(S423="停止",J423="停止"),"両方停止","運転がそろわない")))</f>
        <v>判定不能</v>
      </c>
      <c r="AL423" s="30" t="n">
        <v>60</v>
      </c>
      <c r="AM423" s="30" t="n">
        <v>0</v>
      </c>
      <c r="AN423" s="30" t="str">
        <f aca="false">IF(OR(V423="判定不能",M423="判定不能"),"判定不能",IF(AM423&gt;=判定条件!$C$9,"利用可",IF(AND(V423="停止",M423="停止"),"両方停止","運転がそろわない")))</f>
        <v>運転がそろわない</v>
      </c>
      <c r="AO423" s="30" t="n">
        <v>60</v>
      </c>
      <c r="AP423" s="30" t="n">
        <v>45</v>
      </c>
      <c r="AQ423" s="30" t="str">
        <f aca="false">IF(OR(Y423="判定不能",G423="判定不能"),"判定不能",IF(AP423&gt;=判定条件!$C$9,"利用可",IF(AND(Y423="停止",G423="停止"),"両方停止","運転がそろわない")))</f>
        <v>利用可</v>
      </c>
      <c r="AR423" s="30" t="n">
        <v>60</v>
      </c>
      <c r="AS423" s="30" t="n">
        <v>24</v>
      </c>
      <c r="AT423" s="30" t="str">
        <f aca="false">IF(OR(AB423="判定不能",J423="判定不能"),"判定不能",IF(AS423&gt;=判定条件!$C$9,"利用可",IF(AND(AB423="停止",J423="停止"),"両方停止","運転がそろわない")))</f>
        <v>運転がそろわない</v>
      </c>
      <c r="AU423" s="30" t="n">
        <v>60</v>
      </c>
      <c r="AV423" s="30" t="n">
        <v>60</v>
      </c>
      <c r="AW423" s="30" t="str">
        <f aca="false">IF(OR(AE423="判定不能",M423="判定不能"),"判定不能",IF(AV423&gt;=判定条件!$C$9,"利用可",IF(AND(AE423="停止",M423="停止"),"両方停止","運転がそろわない")))</f>
        <v>利用可</v>
      </c>
      <c r="AX423" s="30" t="str">
        <f aca="false">IF(AND(AH423="利用可",AK423="利用可",AN423="利用可"),"利用可","不可")</f>
        <v>不可</v>
      </c>
      <c r="AY423" s="30" t="str">
        <f aca="false">IF(AND(AQ423="利用可",AT423="利用可",AW423="利用可"),"利用可","不可")</f>
        <v>不可</v>
      </c>
    </row>
    <row r="424" customFormat="false" ht="15" hidden="false" customHeight="false" outlineLevel="0" collapsed="false">
      <c r="A424" s="29" t="n">
        <v>46249</v>
      </c>
      <c r="B424" s="30" t="n">
        <v>13</v>
      </c>
      <c r="C424" s="31" t="s">
        <v>63</v>
      </c>
      <c r="D424" s="31" t="s">
        <v>64</v>
      </c>
      <c r="E424" s="30" t="n">
        <v>60</v>
      </c>
      <c r="F424" s="30" t="n">
        <v>60</v>
      </c>
      <c r="G424" s="30" t="str">
        <f aca="false">IF(E424&lt;判定条件!$C$6,"判定不能",IF(F424&gt;=判定条件!$C$7*E424,"運転",IF(F424&lt;=判定条件!$C$8*E424,"停止","断続")))</f>
        <v>運転</v>
      </c>
      <c r="H424" s="30" t="n">
        <v>60</v>
      </c>
      <c r="I424" s="30" t="n">
        <v>60</v>
      </c>
      <c r="J424" s="30" t="str">
        <f aca="false">IF(H424&lt;判定条件!$C$6,"判定不能",IF(I424&gt;=判定条件!$C$7*H424,"運転",IF(I424&lt;=判定条件!$C$8*H424,"停止","断続")))</f>
        <v>運転</v>
      </c>
      <c r="K424" s="30" t="n">
        <v>60</v>
      </c>
      <c r="L424" s="30" t="n">
        <v>60</v>
      </c>
      <c r="M424" s="30" t="str">
        <f aca="false">IF(K424&lt;判定条件!$C$6,"判定不能",IF(L424&gt;=判定条件!$C$7*K424,"運転",IF(L424&lt;=判定条件!$C$8*K424,"停止","断続")))</f>
        <v>運転</v>
      </c>
      <c r="N424" s="30" t="n">
        <v>60</v>
      </c>
      <c r="O424" s="30" t="n">
        <v>0</v>
      </c>
      <c r="P424" s="30" t="str">
        <f aca="false">IF(N424&lt;判定条件!$C$6,"判定不能",IF(O424&gt;=判定条件!$C$7*N424,"運転",IF(O424&lt;=判定条件!$C$8*N424,"停止","断続")))</f>
        <v>停止</v>
      </c>
      <c r="Q424" s="30" t="n">
        <v>0</v>
      </c>
      <c r="R424" s="30" t="n">
        <v>0</v>
      </c>
      <c r="S424" s="30" t="str">
        <f aca="false">IF(Q424&lt;判定条件!$C$6,"判定不能",IF(R424&gt;=判定条件!$C$7*Q424,"運転",IF(R424&lt;=判定条件!$C$8*Q424,"停止","断続")))</f>
        <v>判定不能</v>
      </c>
      <c r="T424" s="30" t="n">
        <v>60</v>
      </c>
      <c r="U424" s="30" t="n">
        <v>0</v>
      </c>
      <c r="V424" s="30" t="str">
        <f aca="false">IF(T424&lt;判定条件!$C$6,"判定不能",IF(U424&gt;=判定条件!$C$7*T424,"運転",IF(U424&lt;=判定条件!$C$8*T424,"停止","断続")))</f>
        <v>停止</v>
      </c>
      <c r="W424" s="30" t="n">
        <v>60</v>
      </c>
      <c r="X424" s="30" t="n">
        <v>49</v>
      </c>
      <c r="Y424" s="30" t="str">
        <f aca="false">IF(W424&lt;判定条件!$C$6,"判定不能",IF(X424&gt;=判定条件!$C$7*W424,"運転",IF(X424&lt;=判定条件!$C$8*W424,"停止","断続")))</f>
        <v>運転</v>
      </c>
      <c r="Z424" s="30" t="n">
        <v>60</v>
      </c>
      <c r="AA424" s="30" t="n">
        <v>39</v>
      </c>
      <c r="AB424" s="30" t="str">
        <f aca="false">IF(Z424&lt;判定条件!$C$6,"判定不能",IF(AA424&gt;=判定条件!$C$7*Z424,"運転",IF(AA424&lt;=判定条件!$C$8*Z424,"停止","断続")))</f>
        <v>断続</v>
      </c>
      <c r="AC424" s="30" t="n">
        <v>60</v>
      </c>
      <c r="AD424" s="30" t="n">
        <v>42</v>
      </c>
      <c r="AE424" s="30" t="str">
        <f aca="false">IF(AC424&lt;判定条件!$C$6,"判定不能",IF(AD424&gt;=判定条件!$C$7*AC424,"運転",IF(AD424&lt;=判定条件!$C$8*AC424,"停止","断続")))</f>
        <v>断続</v>
      </c>
      <c r="AF424" s="30" t="n">
        <v>60</v>
      </c>
      <c r="AG424" s="30" t="n">
        <v>0</v>
      </c>
      <c r="AH424" s="30" t="str">
        <f aca="false">IF(OR(P424="判定不能",G424="判定不能"),"判定不能",IF(AG424&gt;=判定条件!$C$9,"利用可",IF(AND(P424="停止",G424="停止"),"両方停止","運転がそろわない")))</f>
        <v>運転がそろわない</v>
      </c>
      <c r="AI424" s="30" t="n">
        <v>0</v>
      </c>
      <c r="AJ424" s="30" t="n">
        <v>0</v>
      </c>
      <c r="AK424" s="30" t="str">
        <f aca="false">IF(OR(S424="判定不能",J424="判定不能"),"判定不能",IF(AJ424&gt;=判定条件!$C$9,"利用可",IF(AND(S424="停止",J424="停止"),"両方停止","運転がそろわない")))</f>
        <v>判定不能</v>
      </c>
      <c r="AL424" s="30" t="n">
        <v>60</v>
      </c>
      <c r="AM424" s="30" t="n">
        <v>0</v>
      </c>
      <c r="AN424" s="30" t="str">
        <f aca="false">IF(OR(V424="判定不能",M424="判定不能"),"判定不能",IF(AM424&gt;=判定条件!$C$9,"利用可",IF(AND(V424="停止",M424="停止"),"両方停止","運転がそろわない")))</f>
        <v>運転がそろわない</v>
      </c>
      <c r="AO424" s="30" t="n">
        <v>60</v>
      </c>
      <c r="AP424" s="30" t="n">
        <v>49</v>
      </c>
      <c r="AQ424" s="30" t="str">
        <f aca="false">IF(OR(Y424="判定不能",G424="判定不能"),"判定不能",IF(AP424&gt;=判定条件!$C$9,"利用可",IF(AND(Y424="停止",G424="停止"),"両方停止","運転がそろわない")))</f>
        <v>利用可</v>
      </c>
      <c r="AR424" s="30" t="n">
        <v>60</v>
      </c>
      <c r="AS424" s="30" t="n">
        <v>39</v>
      </c>
      <c r="AT424" s="30" t="str">
        <f aca="false">IF(OR(AB424="判定不能",J424="判定不能"),"判定不能",IF(AS424&gt;=判定条件!$C$9,"利用可",IF(AND(AB424="停止",J424="停止"),"両方停止","運転がそろわない")))</f>
        <v>利用可</v>
      </c>
      <c r="AU424" s="30" t="n">
        <v>60</v>
      </c>
      <c r="AV424" s="30" t="n">
        <v>42</v>
      </c>
      <c r="AW424" s="30" t="str">
        <f aca="false">IF(OR(AE424="判定不能",M424="判定不能"),"判定不能",IF(AV424&gt;=判定条件!$C$9,"利用可",IF(AND(AE424="停止",M424="停止"),"両方停止","運転がそろわない")))</f>
        <v>利用可</v>
      </c>
      <c r="AX424" s="30" t="str">
        <f aca="false">IF(AND(AH424="利用可",AK424="利用可",AN424="利用可"),"利用可","不可")</f>
        <v>不可</v>
      </c>
      <c r="AY424" s="30" t="str">
        <f aca="false">IF(AND(AQ424="利用可",AT424="利用可",AW424="利用可"),"利用可","不可")</f>
        <v>利用可</v>
      </c>
    </row>
    <row r="425" customFormat="false" ht="15" hidden="false" customHeight="false" outlineLevel="0" collapsed="false">
      <c r="A425" s="29" t="n">
        <v>46249</v>
      </c>
      <c r="B425" s="30" t="n">
        <v>14</v>
      </c>
      <c r="C425" s="31" t="s">
        <v>63</v>
      </c>
      <c r="D425" s="31" t="s">
        <v>64</v>
      </c>
      <c r="E425" s="30" t="n">
        <v>60</v>
      </c>
      <c r="F425" s="30" t="n">
        <v>60</v>
      </c>
      <c r="G425" s="30" t="str">
        <f aca="false">IF(E425&lt;判定条件!$C$6,"判定不能",IF(F425&gt;=判定条件!$C$7*E425,"運転",IF(F425&lt;=判定条件!$C$8*E425,"停止","断続")))</f>
        <v>運転</v>
      </c>
      <c r="H425" s="30" t="n">
        <v>60</v>
      </c>
      <c r="I425" s="30" t="n">
        <v>60</v>
      </c>
      <c r="J425" s="30" t="str">
        <f aca="false">IF(H425&lt;判定条件!$C$6,"判定不能",IF(I425&gt;=判定条件!$C$7*H425,"運転",IF(I425&lt;=判定条件!$C$8*H425,"停止","断続")))</f>
        <v>運転</v>
      </c>
      <c r="K425" s="30" t="n">
        <v>60</v>
      </c>
      <c r="L425" s="30" t="n">
        <v>60</v>
      </c>
      <c r="M425" s="30" t="str">
        <f aca="false">IF(K425&lt;判定条件!$C$6,"判定不能",IF(L425&gt;=判定条件!$C$7*K425,"運転",IF(L425&lt;=判定条件!$C$8*K425,"停止","断続")))</f>
        <v>運転</v>
      </c>
      <c r="N425" s="30" t="n">
        <v>60</v>
      </c>
      <c r="O425" s="30" t="n">
        <v>7</v>
      </c>
      <c r="P425" s="30" t="str">
        <f aca="false">IF(N425&lt;判定条件!$C$6,"判定不能",IF(O425&gt;=判定条件!$C$7*N425,"運転",IF(O425&lt;=判定条件!$C$8*N425,"停止","断続")))</f>
        <v>停止</v>
      </c>
      <c r="Q425" s="30" t="n">
        <v>0</v>
      </c>
      <c r="R425" s="30" t="n">
        <v>0</v>
      </c>
      <c r="S425" s="30" t="str">
        <f aca="false">IF(Q425&lt;判定条件!$C$6,"判定不能",IF(R425&gt;=判定条件!$C$7*Q425,"運転",IF(R425&lt;=判定条件!$C$8*Q425,"停止","断続")))</f>
        <v>判定不能</v>
      </c>
      <c r="T425" s="30" t="n">
        <v>60</v>
      </c>
      <c r="U425" s="30" t="n">
        <v>0</v>
      </c>
      <c r="V425" s="30" t="str">
        <f aca="false">IF(T425&lt;判定条件!$C$6,"判定不能",IF(U425&gt;=判定条件!$C$7*T425,"運転",IF(U425&lt;=判定条件!$C$8*T425,"停止","断続")))</f>
        <v>停止</v>
      </c>
      <c r="W425" s="30" t="n">
        <v>60</v>
      </c>
      <c r="X425" s="30" t="n">
        <v>54</v>
      </c>
      <c r="Y425" s="30" t="str">
        <f aca="false">IF(W425&lt;判定条件!$C$6,"判定不能",IF(X425&gt;=判定条件!$C$7*W425,"運転",IF(X425&lt;=判定条件!$C$8*W425,"停止","断続")))</f>
        <v>運転</v>
      </c>
      <c r="Z425" s="30" t="n">
        <v>60</v>
      </c>
      <c r="AA425" s="30" t="n">
        <v>23</v>
      </c>
      <c r="AB425" s="30" t="str">
        <f aca="false">IF(Z425&lt;判定条件!$C$6,"判定不能",IF(AA425&gt;=判定条件!$C$7*Z425,"運転",IF(AA425&lt;=判定条件!$C$8*Z425,"停止","断続")))</f>
        <v>断続</v>
      </c>
      <c r="AC425" s="30" t="n">
        <v>60</v>
      </c>
      <c r="AD425" s="30" t="n">
        <v>60</v>
      </c>
      <c r="AE425" s="30" t="str">
        <f aca="false">IF(AC425&lt;判定条件!$C$6,"判定不能",IF(AD425&gt;=判定条件!$C$7*AC425,"運転",IF(AD425&lt;=判定条件!$C$8*AC425,"停止","断続")))</f>
        <v>運転</v>
      </c>
      <c r="AF425" s="30" t="n">
        <v>60</v>
      </c>
      <c r="AG425" s="30" t="n">
        <v>7</v>
      </c>
      <c r="AH425" s="30" t="str">
        <f aca="false">IF(OR(P425="判定不能",G425="判定不能"),"判定不能",IF(AG425&gt;=判定条件!$C$9,"利用可",IF(AND(P425="停止",G425="停止"),"両方停止","運転がそろわない")))</f>
        <v>運転がそろわない</v>
      </c>
      <c r="AI425" s="30" t="n">
        <v>0</v>
      </c>
      <c r="AJ425" s="30" t="n">
        <v>0</v>
      </c>
      <c r="AK425" s="30" t="str">
        <f aca="false">IF(OR(S425="判定不能",J425="判定不能"),"判定不能",IF(AJ425&gt;=判定条件!$C$9,"利用可",IF(AND(S425="停止",J425="停止"),"両方停止","運転がそろわない")))</f>
        <v>判定不能</v>
      </c>
      <c r="AL425" s="30" t="n">
        <v>60</v>
      </c>
      <c r="AM425" s="30" t="n">
        <v>0</v>
      </c>
      <c r="AN425" s="30" t="str">
        <f aca="false">IF(OR(V425="判定不能",M425="判定不能"),"判定不能",IF(AM425&gt;=判定条件!$C$9,"利用可",IF(AND(V425="停止",M425="停止"),"両方停止","運転がそろわない")))</f>
        <v>運転がそろわない</v>
      </c>
      <c r="AO425" s="30" t="n">
        <v>60</v>
      </c>
      <c r="AP425" s="30" t="n">
        <v>54</v>
      </c>
      <c r="AQ425" s="30" t="str">
        <f aca="false">IF(OR(Y425="判定不能",G425="判定不能"),"判定不能",IF(AP425&gt;=判定条件!$C$9,"利用可",IF(AND(Y425="停止",G425="停止"),"両方停止","運転がそろわない")))</f>
        <v>利用可</v>
      </c>
      <c r="AR425" s="30" t="n">
        <v>60</v>
      </c>
      <c r="AS425" s="30" t="n">
        <v>23</v>
      </c>
      <c r="AT425" s="30" t="str">
        <f aca="false">IF(OR(AB425="判定不能",J425="判定不能"),"判定不能",IF(AS425&gt;=判定条件!$C$9,"利用可",IF(AND(AB425="停止",J425="停止"),"両方停止","運転がそろわない")))</f>
        <v>運転がそろわない</v>
      </c>
      <c r="AU425" s="30" t="n">
        <v>60</v>
      </c>
      <c r="AV425" s="30" t="n">
        <v>60</v>
      </c>
      <c r="AW425" s="30" t="str">
        <f aca="false">IF(OR(AE425="判定不能",M425="判定不能"),"判定不能",IF(AV425&gt;=判定条件!$C$9,"利用可",IF(AND(AE425="停止",M425="停止"),"両方停止","運転がそろわない")))</f>
        <v>利用可</v>
      </c>
      <c r="AX425" s="30" t="str">
        <f aca="false">IF(AND(AH425="利用可",AK425="利用可",AN425="利用可"),"利用可","不可")</f>
        <v>不可</v>
      </c>
      <c r="AY425" s="30" t="str">
        <f aca="false">IF(AND(AQ425="利用可",AT425="利用可",AW425="利用可"),"利用可","不可")</f>
        <v>不可</v>
      </c>
    </row>
    <row r="426" customFormat="false" ht="15" hidden="false" customHeight="false" outlineLevel="0" collapsed="false">
      <c r="A426" s="29" t="n">
        <v>46249</v>
      </c>
      <c r="B426" s="30" t="n">
        <v>15</v>
      </c>
      <c r="C426" s="31" t="s">
        <v>63</v>
      </c>
      <c r="D426" s="31" t="s">
        <v>64</v>
      </c>
      <c r="E426" s="30" t="n">
        <v>60</v>
      </c>
      <c r="F426" s="30" t="n">
        <v>60</v>
      </c>
      <c r="G426" s="30" t="str">
        <f aca="false">IF(E426&lt;判定条件!$C$6,"判定不能",IF(F426&gt;=判定条件!$C$7*E426,"運転",IF(F426&lt;=判定条件!$C$8*E426,"停止","断続")))</f>
        <v>運転</v>
      </c>
      <c r="H426" s="30" t="n">
        <v>60</v>
      </c>
      <c r="I426" s="30" t="n">
        <v>60</v>
      </c>
      <c r="J426" s="30" t="str">
        <f aca="false">IF(H426&lt;判定条件!$C$6,"判定不能",IF(I426&gt;=判定条件!$C$7*H426,"運転",IF(I426&lt;=判定条件!$C$8*H426,"停止","断続")))</f>
        <v>運転</v>
      </c>
      <c r="K426" s="30" t="n">
        <v>60</v>
      </c>
      <c r="L426" s="30" t="n">
        <v>60</v>
      </c>
      <c r="M426" s="30" t="str">
        <f aca="false">IF(K426&lt;判定条件!$C$6,"判定不能",IF(L426&gt;=判定条件!$C$7*K426,"運転",IF(L426&lt;=判定条件!$C$8*K426,"停止","断続")))</f>
        <v>運転</v>
      </c>
      <c r="N426" s="30" t="n">
        <v>60</v>
      </c>
      <c r="O426" s="30" t="n">
        <v>0</v>
      </c>
      <c r="P426" s="30" t="str">
        <f aca="false">IF(N426&lt;判定条件!$C$6,"判定不能",IF(O426&gt;=判定条件!$C$7*N426,"運転",IF(O426&lt;=判定条件!$C$8*N426,"停止","断続")))</f>
        <v>停止</v>
      </c>
      <c r="Q426" s="30" t="n">
        <v>0</v>
      </c>
      <c r="R426" s="30" t="n">
        <v>0</v>
      </c>
      <c r="S426" s="30" t="str">
        <f aca="false">IF(Q426&lt;判定条件!$C$6,"判定不能",IF(R426&gt;=判定条件!$C$7*Q426,"運転",IF(R426&lt;=判定条件!$C$8*Q426,"停止","断続")))</f>
        <v>判定不能</v>
      </c>
      <c r="T426" s="30" t="n">
        <v>60</v>
      </c>
      <c r="U426" s="30" t="n">
        <v>0</v>
      </c>
      <c r="V426" s="30" t="str">
        <f aca="false">IF(T426&lt;判定条件!$C$6,"判定不能",IF(U426&gt;=判定条件!$C$7*T426,"運転",IF(U426&lt;=判定条件!$C$8*T426,"停止","断続")))</f>
        <v>停止</v>
      </c>
      <c r="W426" s="30" t="n">
        <v>60</v>
      </c>
      <c r="X426" s="30" t="n">
        <v>37</v>
      </c>
      <c r="Y426" s="30" t="str">
        <f aca="false">IF(W426&lt;判定条件!$C$6,"判定不能",IF(X426&gt;=判定条件!$C$7*W426,"運転",IF(X426&lt;=判定条件!$C$8*W426,"停止","断続")))</f>
        <v>断続</v>
      </c>
      <c r="Z426" s="30" t="n">
        <v>60</v>
      </c>
      <c r="AA426" s="30" t="n">
        <v>0</v>
      </c>
      <c r="AB426" s="30" t="str">
        <f aca="false">IF(Z426&lt;判定条件!$C$6,"判定不能",IF(AA426&gt;=判定条件!$C$7*Z426,"運転",IF(AA426&lt;=判定条件!$C$8*Z426,"停止","断続")))</f>
        <v>停止</v>
      </c>
      <c r="AC426" s="30" t="n">
        <v>60</v>
      </c>
      <c r="AD426" s="30" t="n">
        <v>60</v>
      </c>
      <c r="AE426" s="30" t="str">
        <f aca="false">IF(AC426&lt;判定条件!$C$6,"判定不能",IF(AD426&gt;=判定条件!$C$7*AC426,"運転",IF(AD426&lt;=判定条件!$C$8*AC426,"停止","断続")))</f>
        <v>運転</v>
      </c>
      <c r="AF426" s="30" t="n">
        <v>60</v>
      </c>
      <c r="AG426" s="30" t="n">
        <v>0</v>
      </c>
      <c r="AH426" s="30" t="str">
        <f aca="false">IF(OR(P426="判定不能",G426="判定不能"),"判定不能",IF(AG426&gt;=判定条件!$C$9,"利用可",IF(AND(P426="停止",G426="停止"),"両方停止","運転がそろわない")))</f>
        <v>運転がそろわない</v>
      </c>
      <c r="AI426" s="30" t="n">
        <v>0</v>
      </c>
      <c r="AJ426" s="30" t="n">
        <v>0</v>
      </c>
      <c r="AK426" s="30" t="str">
        <f aca="false">IF(OR(S426="判定不能",J426="判定不能"),"判定不能",IF(AJ426&gt;=判定条件!$C$9,"利用可",IF(AND(S426="停止",J426="停止"),"両方停止","運転がそろわない")))</f>
        <v>判定不能</v>
      </c>
      <c r="AL426" s="30" t="n">
        <v>60</v>
      </c>
      <c r="AM426" s="30" t="n">
        <v>0</v>
      </c>
      <c r="AN426" s="30" t="str">
        <f aca="false">IF(OR(V426="判定不能",M426="判定不能"),"判定不能",IF(AM426&gt;=判定条件!$C$9,"利用可",IF(AND(V426="停止",M426="停止"),"両方停止","運転がそろわない")))</f>
        <v>運転がそろわない</v>
      </c>
      <c r="AO426" s="30" t="n">
        <v>60</v>
      </c>
      <c r="AP426" s="30" t="n">
        <v>37</v>
      </c>
      <c r="AQ426" s="30" t="str">
        <f aca="false">IF(OR(Y426="判定不能",G426="判定不能"),"判定不能",IF(AP426&gt;=判定条件!$C$9,"利用可",IF(AND(Y426="停止",G426="停止"),"両方停止","運転がそろわない")))</f>
        <v>利用可</v>
      </c>
      <c r="AR426" s="30" t="n">
        <v>60</v>
      </c>
      <c r="AS426" s="30" t="n">
        <v>0</v>
      </c>
      <c r="AT426" s="30" t="str">
        <f aca="false">IF(OR(AB426="判定不能",J426="判定不能"),"判定不能",IF(AS426&gt;=判定条件!$C$9,"利用可",IF(AND(AB426="停止",J426="停止"),"両方停止","運転がそろわない")))</f>
        <v>運転がそろわない</v>
      </c>
      <c r="AU426" s="30" t="n">
        <v>60</v>
      </c>
      <c r="AV426" s="30" t="n">
        <v>60</v>
      </c>
      <c r="AW426" s="30" t="str">
        <f aca="false">IF(OR(AE426="判定不能",M426="判定不能"),"判定不能",IF(AV426&gt;=判定条件!$C$9,"利用可",IF(AND(AE426="停止",M426="停止"),"両方停止","運転がそろわない")))</f>
        <v>利用可</v>
      </c>
      <c r="AX426" s="30" t="str">
        <f aca="false">IF(AND(AH426="利用可",AK426="利用可",AN426="利用可"),"利用可","不可")</f>
        <v>不可</v>
      </c>
      <c r="AY426" s="30" t="str">
        <f aca="false">IF(AND(AQ426="利用可",AT426="利用可",AW426="利用可"),"利用可","不可")</f>
        <v>不可</v>
      </c>
    </row>
    <row r="427" customFormat="false" ht="15" hidden="false" customHeight="false" outlineLevel="0" collapsed="false">
      <c r="A427" s="29" t="n">
        <v>46249</v>
      </c>
      <c r="B427" s="30" t="n">
        <v>16</v>
      </c>
      <c r="C427" s="31" t="s">
        <v>63</v>
      </c>
      <c r="D427" s="31" t="s">
        <v>64</v>
      </c>
      <c r="E427" s="30" t="n">
        <v>60</v>
      </c>
      <c r="F427" s="30" t="n">
        <v>60</v>
      </c>
      <c r="G427" s="30" t="str">
        <f aca="false">IF(E427&lt;判定条件!$C$6,"判定不能",IF(F427&gt;=判定条件!$C$7*E427,"運転",IF(F427&lt;=判定条件!$C$8*E427,"停止","断続")))</f>
        <v>運転</v>
      </c>
      <c r="H427" s="30" t="n">
        <v>60</v>
      </c>
      <c r="I427" s="30" t="n">
        <v>60</v>
      </c>
      <c r="J427" s="30" t="str">
        <f aca="false">IF(H427&lt;判定条件!$C$6,"判定不能",IF(I427&gt;=判定条件!$C$7*H427,"運転",IF(I427&lt;=判定条件!$C$8*H427,"停止","断続")))</f>
        <v>運転</v>
      </c>
      <c r="K427" s="30" t="n">
        <v>60</v>
      </c>
      <c r="L427" s="30" t="n">
        <v>60</v>
      </c>
      <c r="M427" s="30" t="str">
        <f aca="false">IF(K427&lt;判定条件!$C$6,"判定不能",IF(L427&gt;=判定条件!$C$7*K427,"運転",IF(L427&lt;=判定条件!$C$8*K427,"停止","断続")))</f>
        <v>運転</v>
      </c>
      <c r="N427" s="30" t="n">
        <v>60</v>
      </c>
      <c r="O427" s="30" t="n">
        <v>0</v>
      </c>
      <c r="P427" s="30" t="str">
        <f aca="false">IF(N427&lt;判定条件!$C$6,"判定不能",IF(O427&gt;=判定条件!$C$7*N427,"運転",IF(O427&lt;=判定条件!$C$8*N427,"停止","断続")))</f>
        <v>停止</v>
      </c>
      <c r="Q427" s="30" t="n">
        <v>0</v>
      </c>
      <c r="R427" s="30" t="n">
        <v>0</v>
      </c>
      <c r="S427" s="30" t="str">
        <f aca="false">IF(Q427&lt;判定条件!$C$6,"判定不能",IF(R427&gt;=判定条件!$C$7*Q427,"運転",IF(R427&lt;=判定条件!$C$8*Q427,"停止","断続")))</f>
        <v>判定不能</v>
      </c>
      <c r="T427" s="30" t="n">
        <v>60</v>
      </c>
      <c r="U427" s="30" t="n">
        <v>0</v>
      </c>
      <c r="V427" s="30" t="str">
        <f aca="false">IF(T427&lt;判定条件!$C$6,"判定不能",IF(U427&gt;=判定条件!$C$7*T427,"運転",IF(U427&lt;=判定条件!$C$8*T427,"停止","断続")))</f>
        <v>停止</v>
      </c>
      <c r="W427" s="30" t="n">
        <v>60</v>
      </c>
      <c r="X427" s="30" t="n">
        <v>56</v>
      </c>
      <c r="Y427" s="30" t="str">
        <f aca="false">IF(W427&lt;判定条件!$C$6,"判定不能",IF(X427&gt;=判定条件!$C$7*W427,"運転",IF(X427&lt;=判定条件!$C$8*W427,"停止","断続")))</f>
        <v>運転</v>
      </c>
      <c r="Z427" s="30" t="n">
        <v>60</v>
      </c>
      <c r="AA427" s="30" t="n">
        <v>14</v>
      </c>
      <c r="AB427" s="30" t="str">
        <f aca="false">IF(Z427&lt;判定条件!$C$6,"判定不能",IF(AA427&gt;=判定条件!$C$7*Z427,"運転",IF(AA427&lt;=判定条件!$C$8*Z427,"停止","断続")))</f>
        <v>断続</v>
      </c>
      <c r="AC427" s="30" t="n">
        <v>60</v>
      </c>
      <c r="AD427" s="30" t="n">
        <v>41</v>
      </c>
      <c r="AE427" s="30" t="str">
        <f aca="false">IF(AC427&lt;判定条件!$C$6,"判定不能",IF(AD427&gt;=判定条件!$C$7*AC427,"運転",IF(AD427&lt;=判定条件!$C$8*AC427,"停止","断続")))</f>
        <v>断続</v>
      </c>
      <c r="AF427" s="30" t="n">
        <v>60</v>
      </c>
      <c r="AG427" s="30" t="n">
        <v>0</v>
      </c>
      <c r="AH427" s="30" t="str">
        <f aca="false">IF(OR(P427="判定不能",G427="判定不能"),"判定不能",IF(AG427&gt;=判定条件!$C$9,"利用可",IF(AND(P427="停止",G427="停止"),"両方停止","運転がそろわない")))</f>
        <v>運転がそろわない</v>
      </c>
      <c r="AI427" s="30" t="n">
        <v>0</v>
      </c>
      <c r="AJ427" s="30" t="n">
        <v>0</v>
      </c>
      <c r="AK427" s="30" t="str">
        <f aca="false">IF(OR(S427="判定不能",J427="判定不能"),"判定不能",IF(AJ427&gt;=判定条件!$C$9,"利用可",IF(AND(S427="停止",J427="停止"),"両方停止","運転がそろわない")))</f>
        <v>判定不能</v>
      </c>
      <c r="AL427" s="30" t="n">
        <v>60</v>
      </c>
      <c r="AM427" s="30" t="n">
        <v>0</v>
      </c>
      <c r="AN427" s="30" t="str">
        <f aca="false">IF(OR(V427="判定不能",M427="判定不能"),"判定不能",IF(AM427&gt;=判定条件!$C$9,"利用可",IF(AND(V427="停止",M427="停止"),"両方停止","運転がそろわない")))</f>
        <v>運転がそろわない</v>
      </c>
      <c r="AO427" s="30" t="n">
        <v>60</v>
      </c>
      <c r="AP427" s="30" t="n">
        <v>56</v>
      </c>
      <c r="AQ427" s="30" t="str">
        <f aca="false">IF(OR(Y427="判定不能",G427="判定不能"),"判定不能",IF(AP427&gt;=判定条件!$C$9,"利用可",IF(AND(Y427="停止",G427="停止"),"両方停止","運転がそろわない")))</f>
        <v>利用可</v>
      </c>
      <c r="AR427" s="30" t="n">
        <v>60</v>
      </c>
      <c r="AS427" s="30" t="n">
        <v>14</v>
      </c>
      <c r="AT427" s="30" t="str">
        <f aca="false">IF(OR(AB427="判定不能",J427="判定不能"),"判定不能",IF(AS427&gt;=判定条件!$C$9,"利用可",IF(AND(AB427="停止",J427="停止"),"両方停止","運転がそろわない")))</f>
        <v>運転がそろわない</v>
      </c>
      <c r="AU427" s="30" t="n">
        <v>60</v>
      </c>
      <c r="AV427" s="30" t="n">
        <v>41</v>
      </c>
      <c r="AW427" s="30" t="str">
        <f aca="false">IF(OR(AE427="判定不能",M427="判定不能"),"判定不能",IF(AV427&gt;=判定条件!$C$9,"利用可",IF(AND(AE427="停止",M427="停止"),"両方停止","運転がそろわない")))</f>
        <v>利用可</v>
      </c>
      <c r="AX427" s="30" t="str">
        <f aca="false">IF(AND(AH427="利用可",AK427="利用可",AN427="利用可"),"利用可","不可")</f>
        <v>不可</v>
      </c>
      <c r="AY427" s="30" t="str">
        <f aca="false">IF(AND(AQ427="利用可",AT427="利用可",AW427="利用可"),"利用可","不可")</f>
        <v>不可</v>
      </c>
    </row>
    <row r="428" customFormat="false" ht="15" hidden="false" customHeight="false" outlineLevel="0" collapsed="false">
      <c r="A428" s="29" t="n">
        <v>46249</v>
      </c>
      <c r="B428" s="30" t="n">
        <v>17</v>
      </c>
      <c r="C428" s="31" t="s">
        <v>63</v>
      </c>
      <c r="D428" s="31" t="s">
        <v>64</v>
      </c>
      <c r="E428" s="30" t="n">
        <v>60</v>
      </c>
      <c r="F428" s="30" t="n">
        <v>60</v>
      </c>
      <c r="G428" s="30" t="str">
        <f aca="false">IF(E428&lt;判定条件!$C$6,"判定不能",IF(F428&gt;=判定条件!$C$7*E428,"運転",IF(F428&lt;=判定条件!$C$8*E428,"停止","断続")))</f>
        <v>運転</v>
      </c>
      <c r="H428" s="30" t="n">
        <v>60</v>
      </c>
      <c r="I428" s="30" t="n">
        <v>60</v>
      </c>
      <c r="J428" s="30" t="str">
        <f aca="false">IF(H428&lt;判定条件!$C$6,"判定不能",IF(I428&gt;=判定条件!$C$7*H428,"運転",IF(I428&lt;=判定条件!$C$8*H428,"停止","断続")))</f>
        <v>運転</v>
      </c>
      <c r="K428" s="30" t="n">
        <v>60</v>
      </c>
      <c r="L428" s="30" t="n">
        <v>60</v>
      </c>
      <c r="M428" s="30" t="str">
        <f aca="false">IF(K428&lt;判定条件!$C$6,"判定不能",IF(L428&gt;=判定条件!$C$7*K428,"運転",IF(L428&lt;=判定条件!$C$8*K428,"停止","断続")))</f>
        <v>運転</v>
      </c>
      <c r="N428" s="30" t="n">
        <v>60</v>
      </c>
      <c r="O428" s="30" t="n">
        <v>0</v>
      </c>
      <c r="P428" s="30" t="str">
        <f aca="false">IF(N428&lt;判定条件!$C$6,"判定不能",IF(O428&gt;=判定条件!$C$7*N428,"運転",IF(O428&lt;=判定条件!$C$8*N428,"停止","断続")))</f>
        <v>停止</v>
      </c>
      <c r="Q428" s="30" t="n">
        <v>0</v>
      </c>
      <c r="R428" s="30" t="n">
        <v>0</v>
      </c>
      <c r="S428" s="30" t="str">
        <f aca="false">IF(Q428&lt;判定条件!$C$6,"判定不能",IF(R428&gt;=判定条件!$C$7*Q428,"運転",IF(R428&lt;=判定条件!$C$8*Q428,"停止","断続")))</f>
        <v>判定不能</v>
      </c>
      <c r="T428" s="30" t="n">
        <v>60</v>
      </c>
      <c r="U428" s="30" t="n">
        <v>0</v>
      </c>
      <c r="V428" s="30" t="str">
        <f aca="false">IF(T428&lt;判定条件!$C$6,"判定不能",IF(U428&gt;=判定条件!$C$7*T428,"運転",IF(U428&lt;=判定条件!$C$8*T428,"停止","断続")))</f>
        <v>停止</v>
      </c>
      <c r="W428" s="30" t="n">
        <v>60</v>
      </c>
      <c r="X428" s="30" t="n">
        <v>47</v>
      </c>
      <c r="Y428" s="30" t="str">
        <f aca="false">IF(W428&lt;判定条件!$C$6,"判定不能",IF(X428&gt;=判定条件!$C$7*W428,"運転",IF(X428&lt;=判定条件!$C$8*W428,"停止","断続")))</f>
        <v>断続</v>
      </c>
      <c r="Z428" s="30" t="n">
        <v>60</v>
      </c>
      <c r="AA428" s="30" t="n">
        <v>10</v>
      </c>
      <c r="AB428" s="30" t="str">
        <f aca="false">IF(Z428&lt;判定条件!$C$6,"判定不能",IF(AA428&gt;=判定条件!$C$7*Z428,"運転",IF(AA428&lt;=判定条件!$C$8*Z428,"停止","断続")))</f>
        <v>停止</v>
      </c>
      <c r="AC428" s="30" t="n">
        <v>60</v>
      </c>
      <c r="AD428" s="30" t="n">
        <v>60</v>
      </c>
      <c r="AE428" s="30" t="str">
        <f aca="false">IF(AC428&lt;判定条件!$C$6,"判定不能",IF(AD428&gt;=判定条件!$C$7*AC428,"運転",IF(AD428&lt;=判定条件!$C$8*AC428,"停止","断続")))</f>
        <v>運転</v>
      </c>
      <c r="AF428" s="30" t="n">
        <v>60</v>
      </c>
      <c r="AG428" s="30" t="n">
        <v>0</v>
      </c>
      <c r="AH428" s="30" t="str">
        <f aca="false">IF(OR(P428="判定不能",G428="判定不能"),"判定不能",IF(AG428&gt;=判定条件!$C$9,"利用可",IF(AND(P428="停止",G428="停止"),"両方停止","運転がそろわない")))</f>
        <v>運転がそろわない</v>
      </c>
      <c r="AI428" s="30" t="n">
        <v>0</v>
      </c>
      <c r="AJ428" s="30" t="n">
        <v>0</v>
      </c>
      <c r="AK428" s="30" t="str">
        <f aca="false">IF(OR(S428="判定不能",J428="判定不能"),"判定不能",IF(AJ428&gt;=判定条件!$C$9,"利用可",IF(AND(S428="停止",J428="停止"),"両方停止","運転がそろわない")))</f>
        <v>判定不能</v>
      </c>
      <c r="AL428" s="30" t="n">
        <v>60</v>
      </c>
      <c r="AM428" s="30" t="n">
        <v>0</v>
      </c>
      <c r="AN428" s="30" t="str">
        <f aca="false">IF(OR(V428="判定不能",M428="判定不能"),"判定不能",IF(AM428&gt;=判定条件!$C$9,"利用可",IF(AND(V428="停止",M428="停止"),"両方停止","運転がそろわない")))</f>
        <v>運転がそろわない</v>
      </c>
      <c r="AO428" s="30" t="n">
        <v>60</v>
      </c>
      <c r="AP428" s="30" t="n">
        <v>47</v>
      </c>
      <c r="AQ428" s="30" t="str">
        <f aca="false">IF(OR(Y428="判定不能",G428="判定不能"),"判定不能",IF(AP428&gt;=判定条件!$C$9,"利用可",IF(AND(Y428="停止",G428="停止"),"両方停止","運転がそろわない")))</f>
        <v>利用可</v>
      </c>
      <c r="AR428" s="30" t="n">
        <v>60</v>
      </c>
      <c r="AS428" s="30" t="n">
        <v>10</v>
      </c>
      <c r="AT428" s="30" t="str">
        <f aca="false">IF(OR(AB428="判定不能",J428="判定不能"),"判定不能",IF(AS428&gt;=判定条件!$C$9,"利用可",IF(AND(AB428="停止",J428="停止"),"両方停止","運転がそろわない")))</f>
        <v>運転がそろわない</v>
      </c>
      <c r="AU428" s="30" t="n">
        <v>60</v>
      </c>
      <c r="AV428" s="30" t="n">
        <v>60</v>
      </c>
      <c r="AW428" s="30" t="str">
        <f aca="false">IF(OR(AE428="判定不能",M428="判定不能"),"判定不能",IF(AV428&gt;=判定条件!$C$9,"利用可",IF(AND(AE428="停止",M428="停止"),"両方停止","運転がそろわない")))</f>
        <v>利用可</v>
      </c>
      <c r="AX428" s="30" t="str">
        <f aca="false">IF(AND(AH428="利用可",AK428="利用可",AN428="利用可"),"利用可","不可")</f>
        <v>不可</v>
      </c>
      <c r="AY428" s="30" t="str">
        <f aca="false">IF(AND(AQ428="利用可",AT428="利用可",AW428="利用可"),"利用可","不可")</f>
        <v>不可</v>
      </c>
    </row>
    <row r="429" customFormat="false" ht="15" hidden="false" customHeight="false" outlineLevel="0" collapsed="false">
      <c r="A429" s="29" t="n">
        <v>46249</v>
      </c>
      <c r="B429" s="30" t="n">
        <v>18</v>
      </c>
      <c r="C429" s="31" t="s">
        <v>63</v>
      </c>
      <c r="D429" s="31" t="s">
        <v>64</v>
      </c>
      <c r="E429" s="30" t="n">
        <v>60</v>
      </c>
      <c r="F429" s="30" t="n">
        <v>60</v>
      </c>
      <c r="G429" s="30" t="str">
        <f aca="false">IF(E429&lt;判定条件!$C$6,"判定不能",IF(F429&gt;=判定条件!$C$7*E429,"運転",IF(F429&lt;=判定条件!$C$8*E429,"停止","断続")))</f>
        <v>運転</v>
      </c>
      <c r="H429" s="30" t="n">
        <v>60</v>
      </c>
      <c r="I429" s="30" t="n">
        <v>60</v>
      </c>
      <c r="J429" s="30" t="str">
        <f aca="false">IF(H429&lt;判定条件!$C$6,"判定不能",IF(I429&gt;=判定条件!$C$7*H429,"運転",IF(I429&lt;=判定条件!$C$8*H429,"停止","断続")))</f>
        <v>運転</v>
      </c>
      <c r="K429" s="30" t="n">
        <v>60</v>
      </c>
      <c r="L429" s="30" t="n">
        <v>60</v>
      </c>
      <c r="M429" s="30" t="str">
        <f aca="false">IF(K429&lt;判定条件!$C$6,"判定不能",IF(L429&gt;=判定条件!$C$7*K429,"運転",IF(L429&lt;=判定条件!$C$8*K429,"停止","断続")))</f>
        <v>運転</v>
      </c>
      <c r="N429" s="30" t="n">
        <v>60</v>
      </c>
      <c r="O429" s="30" t="n">
        <v>7</v>
      </c>
      <c r="P429" s="30" t="str">
        <f aca="false">IF(N429&lt;判定条件!$C$6,"判定不能",IF(O429&gt;=判定条件!$C$7*N429,"運転",IF(O429&lt;=判定条件!$C$8*N429,"停止","断続")))</f>
        <v>停止</v>
      </c>
      <c r="Q429" s="30" t="n">
        <v>0</v>
      </c>
      <c r="R429" s="30" t="n">
        <v>0</v>
      </c>
      <c r="S429" s="30" t="str">
        <f aca="false">IF(Q429&lt;判定条件!$C$6,"判定不能",IF(R429&gt;=判定条件!$C$7*Q429,"運転",IF(R429&lt;=判定条件!$C$8*Q429,"停止","断続")))</f>
        <v>判定不能</v>
      </c>
      <c r="T429" s="30" t="n">
        <v>60</v>
      </c>
      <c r="U429" s="30" t="n">
        <v>0</v>
      </c>
      <c r="V429" s="30" t="str">
        <f aca="false">IF(T429&lt;判定条件!$C$6,"判定不能",IF(U429&gt;=判定条件!$C$7*T429,"運転",IF(U429&lt;=判定条件!$C$8*T429,"停止","断続")))</f>
        <v>停止</v>
      </c>
      <c r="W429" s="30" t="n">
        <v>60</v>
      </c>
      <c r="X429" s="30" t="n">
        <v>0</v>
      </c>
      <c r="Y429" s="30" t="str">
        <f aca="false">IF(W429&lt;判定条件!$C$6,"判定不能",IF(X429&gt;=判定条件!$C$7*W429,"運転",IF(X429&lt;=判定条件!$C$8*W429,"停止","断続")))</f>
        <v>停止</v>
      </c>
      <c r="Z429" s="30" t="n">
        <v>60</v>
      </c>
      <c r="AA429" s="30" t="n">
        <v>3</v>
      </c>
      <c r="AB429" s="30" t="str">
        <f aca="false">IF(Z429&lt;判定条件!$C$6,"判定不能",IF(AA429&gt;=判定条件!$C$7*Z429,"運転",IF(AA429&lt;=判定条件!$C$8*Z429,"停止","断続")))</f>
        <v>停止</v>
      </c>
      <c r="AC429" s="30" t="n">
        <v>60</v>
      </c>
      <c r="AD429" s="30" t="n">
        <v>10</v>
      </c>
      <c r="AE429" s="30" t="str">
        <f aca="false">IF(AC429&lt;判定条件!$C$6,"判定不能",IF(AD429&gt;=判定条件!$C$7*AC429,"運転",IF(AD429&lt;=判定条件!$C$8*AC429,"停止","断続")))</f>
        <v>停止</v>
      </c>
      <c r="AF429" s="30" t="n">
        <v>60</v>
      </c>
      <c r="AG429" s="30" t="n">
        <v>7</v>
      </c>
      <c r="AH429" s="30" t="str">
        <f aca="false">IF(OR(P429="判定不能",G429="判定不能"),"判定不能",IF(AG429&gt;=判定条件!$C$9,"利用可",IF(AND(P429="停止",G429="停止"),"両方停止","運転がそろわない")))</f>
        <v>運転がそろわない</v>
      </c>
      <c r="AI429" s="30" t="n">
        <v>0</v>
      </c>
      <c r="AJ429" s="30" t="n">
        <v>0</v>
      </c>
      <c r="AK429" s="30" t="str">
        <f aca="false">IF(OR(S429="判定不能",J429="判定不能"),"判定不能",IF(AJ429&gt;=判定条件!$C$9,"利用可",IF(AND(S429="停止",J429="停止"),"両方停止","運転がそろわない")))</f>
        <v>判定不能</v>
      </c>
      <c r="AL429" s="30" t="n">
        <v>60</v>
      </c>
      <c r="AM429" s="30" t="n">
        <v>0</v>
      </c>
      <c r="AN429" s="30" t="str">
        <f aca="false">IF(OR(V429="判定不能",M429="判定不能"),"判定不能",IF(AM429&gt;=判定条件!$C$9,"利用可",IF(AND(V429="停止",M429="停止"),"両方停止","運転がそろわない")))</f>
        <v>運転がそろわない</v>
      </c>
      <c r="AO429" s="30" t="n">
        <v>60</v>
      </c>
      <c r="AP429" s="30" t="n">
        <v>0</v>
      </c>
      <c r="AQ429" s="30" t="str">
        <f aca="false">IF(OR(Y429="判定不能",G429="判定不能"),"判定不能",IF(AP429&gt;=判定条件!$C$9,"利用可",IF(AND(Y429="停止",G429="停止"),"両方停止","運転がそろわない")))</f>
        <v>運転がそろわない</v>
      </c>
      <c r="AR429" s="30" t="n">
        <v>60</v>
      </c>
      <c r="AS429" s="30" t="n">
        <v>3</v>
      </c>
      <c r="AT429" s="30" t="str">
        <f aca="false">IF(OR(AB429="判定不能",J429="判定不能"),"判定不能",IF(AS429&gt;=判定条件!$C$9,"利用可",IF(AND(AB429="停止",J429="停止"),"両方停止","運転がそろわない")))</f>
        <v>運転がそろわない</v>
      </c>
      <c r="AU429" s="30" t="n">
        <v>60</v>
      </c>
      <c r="AV429" s="30" t="n">
        <v>10</v>
      </c>
      <c r="AW429" s="30" t="str">
        <f aca="false">IF(OR(AE429="判定不能",M429="判定不能"),"判定不能",IF(AV429&gt;=判定条件!$C$9,"利用可",IF(AND(AE429="停止",M429="停止"),"両方停止","運転がそろわない")))</f>
        <v>運転がそろわない</v>
      </c>
      <c r="AX429" s="30" t="str">
        <f aca="false">IF(AND(AH429="利用可",AK429="利用可",AN429="利用可"),"利用可","不可")</f>
        <v>不可</v>
      </c>
      <c r="AY429" s="30" t="str">
        <f aca="false">IF(AND(AQ429="利用可",AT429="利用可",AW429="利用可"),"利用可","不可")</f>
        <v>不可</v>
      </c>
    </row>
    <row r="430" customFormat="false" ht="15" hidden="false" customHeight="false" outlineLevel="0" collapsed="false">
      <c r="A430" s="29" t="n">
        <v>46249</v>
      </c>
      <c r="B430" s="30" t="n">
        <v>19</v>
      </c>
      <c r="C430" s="31" t="s">
        <v>63</v>
      </c>
      <c r="D430" s="31" t="s">
        <v>64</v>
      </c>
      <c r="E430" s="30" t="n">
        <v>60</v>
      </c>
      <c r="F430" s="30" t="n">
        <v>60</v>
      </c>
      <c r="G430" s="30" t="str">
        <f aca="false">IF(E430&lt;判定条件!$C$6,"判定不能",IF(F430&gt;=判定条件!$C$7*E430,"運転",IF(F430&lt;=判定条件!$C$8*E430,"停止","断続")))</f>
        <v>運転</v>
      </c>
      <c r="H430" s="30" t="n">
        <v>60</v>
      </c>
      <c r="I430" s="30" t="n">
        <v>60</v>
      </c>
      <c r="J430" s="30" t="str">
        <f aca="false">IF(H430&lt;判定条件!$C$6,"判定不能",IF(I430&gt;=判定条件!$C$7*H430,"運転",IF(I430&lt;=判定条件!$C$8*H430,"停止","断続")))</f>
        <v>運転</v>
      </c>
      <c r="K430" s="30" t="n">
        <v>60</v>
      </c>
      <c r="L430" s="30" t="n">
        <v>51</v>
      </c>
      <c r="M430" s="30" t="str">
        <f aca="false">IF(K430&lt;判定条件!$C$6,"判定不能",IF(L430&gt;=判定条件!$C$7*K430,"運転",IF(L430&lt;=判定条件!$C$8*K430,"停止","断続")))</f>
        <v>運転</v>
      </c>
      <c r="N430" s="30" t="n">
        <v>60</v>
      </c>
      <c r="O430" s="30" t="n">
        <v>50</v>
      </c>
      <c r="P430" s="30" t="str">
        <f aca="false">IF(N430&lt;判定条件!$C$6,"判定不能",IF(O430&gt;=判定条件!$C$7*N430,"運転",IF(O430&lt;=判定条件!$C$8*N430,"停止","断続")))</f>
        <v>運転</v>
      </c>
      <c r="Q430" s="30" t="n">
        <v>0</v>
      </c>
      <c r="R430" s="30" t="n">
        <v>0</v>
      </c>
      <c r="S430" s="30" t="str">
        <f aca="false">IF(Q430&lt;判定条件!$C$6,"判定不能",IF(R430&gt;=判定条件!$C$7*Q430,"運転",IF(R430&lt;=判定条件!$C$8*Q430,"停止","断続")))</f>
        <v>判定不能</v>
      </c>
      <c r="T430" s="30" t="n">
        <v>60</v>
      </c>
      <c r="U430" s="30" t="n">
        <v>0</v>
      </c>
      <c r="V430" s="30" t="str">
        <f aca="false">IF(T430&lt;判定条件!$C$6,"判定不能",IF(U430&gt;=判定条件!$C$7*T430,"運転",IF(U430&lt;=判定条件!$C$8*T430,"停止","断続")))</f>
        <v>停止</v>
      </c>
      <c r="W430" s="30" t="n">
        <v>60</v>
      </c>
      <c r="X430" s="30" t="n">
        <v>0</v>
      </c>
      <c r="Y430" s="30" t="str">
        <f aca="false">IF(W430&lt;判定条件!$C$6,"判定不能",IF(X430&gt;=判定条件!$C$7*W430,"運転",IF(X430&lt;=判定条件!$C$8*W430,"停止","断続")))</f>
        <v>停止</v>
      </c>
      <c r="Z430" s="30" t="n">
        <v>60</v>
      </c>
      <c r="AA430" s="30" t="n">
        <v>0</v>
      </c>
      <c r="AB430" s="30" t="str">
        <f aca="false">IF(Z430&lt;判定条件!$C$6,"判定不能",IF(AA430&gt;=判定条件!$C$7*Z430,"運転",IF(AA430&lt;=判定条件!$C$8*Z430,"停止","断続")))</f>
        <v>停止</v>
      </c>
      <c r="AC430" s="30" t="n">
        <v>60</v>
      </c>
      <c r="AD430" s="30" t="n">
        <v>0</v>
      </c>
      <c r="AE430" s="30" t="str">
        <f aca="false">IF(AC430&lt;判定条件!$C$6,"判定不能",IF(AD430&gt;=判定条件!$C$7*AC430,"運転",IF(AD430&lt;=判定条件!$C$8*AC430,"停止","断続")))</f>
        <v>停止</v>
      </c>
      <c r="AF430" s="30" t="n">
        <v>60</v>
      </c>
      <c r="AG430" s="30" t="n">
        <v>50</v>
      </c>
      <c r="AH430" s="30" t="str">
        <f aca="false">IF(OR(P430="判定不能",G430="判定不能"),"判定不能",IF(AG430&gt;=判定条件!$C$9,"利用可",IF(AND(P430="停止",G430="停止"),"両方停止","運転がそろわない")))</f>
        <v>利用可</v>
      </c>
      <c r="AI430" s="30" t="n">
        <v>0</v>
      </c>
      <c r="AJ430" s="30" t="n">
        <v>0</v>
      </c>
      <c r="AK430" s="30" t="str">
        <f aca="false">IF(OR(S430="判定不能",J430="判定不能"),"判定不能",IF(AJ430&gt;=判定条件!$C$9,"利用可",IF(AND(S430="停止",J430="停止"),"両方停止","運転がそろわない")))</f>
        <v>判定不能</v>
      </c>
      <c r="AL430" s="30" t="n">
        <v>60</v>
      </c>
      <c r="AM430" s="30" t="n">
        <v>0</v>
      </c>
      <c r="AN430" s="30" t="str">
        <f aca="false">IF(OR(V430="判定不能",M430="判定不能"),"判定不能",IF(AM430&gt;=判定条件!$C$9,"利用可",IF(AND(V430="停止",M430="停止"),"両方停止","運転がそろわない")))</f>
        <v>運転がそろわない</v>
      </c>
      <c r="AO430" s="30" t="n">
        <v>60</v>
      </c>
      <c r="AP430" s="30" t="n">
        <v>0</v>
      </c>
      <c r="AQ430" s="30" t="str">
        <f aca="false">IF(OR(Y430="判定不能",G430="判定不能"),"判定不能",IF(AP430&gt;=判定条件!$C$9,"利用可",IF(AND(Y430="停止",G430="停止"),"両方停止","運転がそろわない")))</f>
        <v>運転がそろわない</v>
      </c>
      <c r="AR430" s="30" t="n">
        <v>60</v>
      </c>
      <c r="AS430" s="30" t="n">
        <v>0</v>
      </c>
      <c r="AT430" s="30" t="str">
        <f aca="false">IF(OR(AB430="判定不能",J430="判定不能"),"判定不能",IF(AS430&gt;=判定条件!$C$9,"利用可",IF(AND(AB430="停止",J430="停止"),"両方停止","運転がそろわない")))</f>
        <v>運転がそろわない</v>
      </c>
      <c r="AU430" s="30" t="n">
        <v>60</v>
      </c>
      <c r="AV430" s="30" t="n">
        <v>0</v>
      </c>
      <c r="AW430" s="30" t="str">
        <f aca="false">IF(OR(AE430="判定不能",M430="判定不能"),"判定不能",IF(AV430&gt;=判定条件!$C$9,"利用可",IF(AND(AE430="停止",M430="停止"),"両方停止","運転がそろわない")))</f>
        <v>運転がそろわない</v>
      </c>
      <c r="AX430" s="30" t="str">
        <f aca="false">IF(AND(AH430="利用可",AK430="利用可",AN430="利用可"),"利用可","不可")</f>
        <v>不可</v>
      </c>
      <c r="AY430" s="30" t="str">
        <f aca="false">IF(AND(AQ430="利用可",AT430="利用可",AW430="利用可"),"利用可","不可")</f>
        <v>不可</v>
      </c>
    </row>
    <row r="431" customFormat="false" ht="15" hidden="false" customHeight="false" outlineLevel="0" collapsed="false">
      <c r="A431" s="29" t="n">
        <v>46249</v>
      </c>
      <c r="B431" s="30" t="n">
        <v>20</v>
      </c>
      <c r="C431" s="31" t="s">
        <v>63</v>
      </c>
      <c r="D431" s="31" t="s">
        <v>64</v>
      </c>
      <c r="E431" s="30" t="n">
        <v>60</v>
      </c>
      <c r="F431" s="30" t="n">
        <v>60</v>
      </c>
      <c r="G431" s="30" t="str">
        <f aca="false">IF(E431&lt;判定条件!$C$6,"判定不能",IF(F431&gt;=判定条件!$C$7*E431,"運転",IF(F431&lt;=判定条件!$C$8*E431,"停止","断続")))</f>
        <v>運転</v>
      </c>
      <c r="H431" s="30" t="n">
        <v>60</v>
      </c>
      <c r="I431" s="30" t="n">
        <v>46</v>
      </c>
      <c r="J431" s="30" t="str">
        <f aca="false">IF(H431&lt;判定条件!$C$6,"判定不能",IF(I431&gt;=判定条件!$C$7*H431,"運転",IF(I431&lt;=判定条件!$C$8*H431,"停止","断続")))</f>
        <v>断続</v>
      </c>
      <c r="K431" s="30" t="n">
        <v>60</v>
      </c>
      <c r="L431" s="30" t="n">
        <v>60</v>
      </c>
      <c r="M431" s="30" t="str">
        <f aca="false">IF(K431&lt;判定条件!$C$6,"判定不能",IF(L431&gt;=判定条件!$C$7*K431,"運転",IF(L431&lt;=判定条件!$C$8*K431,"停止","断続")))</f>
        <v>運転</v>
      </c>
      <c r="N431" s="30" t="n">
        <v>60</v>
      </c>
      <c r="O431" s="30" t="n">
        <v>12</v>
      </c>
      <c r="P431" s="30" t="str">
        <f aca="false">IF(N431&lt;判定条件!$C$6,"判定不能",IF(O431&gt;=判定条件!$C$7*N431,"運転",IF(O431&lt;=判定条件!$C$8*N431,"停止","断続")))</f>
        <v>停止</v>
      </c>
      <c r="Q431" s="30" t="n">
        <v>0</v>
      </c>
      <c r="R431" s="30" t="n">
        <v>0</v>
      </c>
      <c r="S431" s="30" t="str">
        <f aca="false">IF(Q431&lt;判定条件!$C$6,"判定不能",IF(R431&gt;=判定条件!$C$7*Q431,"運転",IF(R431&lt;=判定条件!$C$8*Q431,"停止","断続")))</f>
        <v>判定不能</v>
      </c>
      <c r="T431" s="30" t="n">
        <v>60</v>
      </c>
      <c r="U431" s="30" t="n">
        <v>0</v>
      </c>
      <c r="V431" s="30" t="str">
        <f aca="false">IF(T431&lt;判定条件!$C$6,"判定不能",IF(U431&gt;=判定条件!$C$7*T431,"運転",IF(U431&lt;=判定条件!$C$8*T431,"停止","断続")))</f>
        <v>停止</v>
      </c>
      <c r="W431" s="30" t="n">
        <v>60</v>
      </c>
      <c r="X431" s="30" t="n">
        <v>0</v>
      </c>
      <c r="Y431" s="30" t="str">
        <f aca="false">IF(W431&lt;判定条件!$C$6,"判定不能",IF(X431&gt;=判定条件!$C$7*W431,"運転",IF(X431&lt;=判定条件!$C$8*W431,"停止","断続")))</f>
        <v>停止</v>
      </c>
      <c r="Z431" s="30" t="n">
        <v>60</v>
      </c>
      <c r="AA431" s="30" t="n">
        <v>0</v>
      </c>
      <c r="AB431" s="30" t="str">
        <f aca="false">IF(Z431&lt;判定条件!$C$6,"判定不能",IF(AA431&gt;=判定条件!$C$7*Z431,"運転",IF(AA431&lt;=判定条件!$C$8*Z431,"停止","断続")))</f>
        <v>停止</v>
      </c>
      <c r="AC431" s="30" t="n">
        <v>60</v>
      </c>
      <c r="AD431" s="30" t="n">
        <v>0</v>
      </c>
      <c r="AE431" s="30" t="str">
        <f aca="false">IF(AC431&lt;判定条件!$C$6,"判定不能",IF(AD431&gt;=判定条件!$C$7*AC431,"運転",IF(AD431&lt;=判定条件!$C$8*AC431,"停止","断続")))</f>
        <v>停止</v>
      </c>
      <c r="AF431" s="30" t="n">
        <v>60</v>
      </c>
      <c r="AG431" s="30" t="n">
        <v>12</v>
      </c>
      <c r="AH431" s="30" t="str">
        <f aca="false">IF(OR(P431="判定不能",G431="判定不能"),"判定不能",IF(AG431&gt;=判定条件!$C$9,"利用可",IF(AND(P431="停止",G431="停止"),"両方停止","運転がそろわない")))</f>
        <v>運転がそろわない</v>
      </c>
      <c r="AI431" s="30" t="n">
        <v>0</v>
      </c>
      <c r="AJ431" s="30" t="n">
        <v>0</v>
      </c>
      <c r="AK431" s="30" t="str">
        <f aca="false">IF(OR(S431="判定不能",J431="判定不能"),"判定不能",IF(AJ431&gt;=判定条件!$C$9,"利用可",IF(AND(S431="停止",J431="停止"),"両方停止","運転がそろわない")))</f>
        <v>判定不能</v>
      </c>
      <c r="AL431" s="30" t="n">
        <v>60</v>
      </c>
      <c r="AM431" s="30" t="n">
        <v>0</v>
      </c>
      <c r="AN431" s="30" t="str">
        <f aca="false">IF(OR(V431="判定不能",M431="判定不能"),"判定不能",IF(AM431&gt;=判定条件!$C$9,"利用可",IF(AND(V431="停止",M431="停止"),"両方停止","運転がそろわない")))</f>
        <v>運転がそろわない</v>
      </c>
      <c r="AO431" s="30" t="n">
        <v>60</v>
      </c>
      <c r="AP431" s="30" t="n">
        <v>0</v>
      </c>
      <c r="AQ431" s="30" t="str">
        <f aca="false">IF(OR(Y431="判定不能",G431="判定不能"),"判定不能",IF(AP431&gt;=判定条件!$C$9,"利用可",IF(AND(Y431="停止",G431="停止"),"両方停止","運転がそろわない")))</f>
        <v>運転がそろわない</v>
      </c>
      <c r="AR431" s="30" t="n">
        <v>60</v>
      </c>
      <c r="AS431" s="30" t="n">
        <v>0</v>
      </c>
      <c r="AT431" s="30" t="str">
        <f aca="false">IF(OR(AB431="判定不能",J431="判定不能"),"判定不能",IF(AS431&gt;=判定条件!$C$9,"利用可",IF(AND(AB431="停止",J431="停止"),"両方停止","運転がそろわない")))</f>
        <v>運転がそろわない</v>
      </c>
      <c r="AU431" s="30" t="n">
        <v>60</v>
      </c>
      <c r="AV431" s="30" t="n">
        <v>0</v>
      </c>
      <c r="AW431" s="30" t="str">
        <f aca="false">IF(OR(AE431="判定不能",M431="判定不能"),"判定不能",IF(AV431&gt;=判定条件!$C$9,"利用可",IF(AND(AE431="停止",M431="停止"),"両方停止","運転がそろわない")))</f>
        <v>運転がそろわない</v>
      </c>
      <c r="AX431" s="30" t="str">
        <f aca="false">IF(AND(AH431="利用可",AK431="利用可",AN431="利用可"),"利用可","不可")</f>
        <v>不可</v>
      </c>
      <c r="AY431" s="30" t="str">
        <f aca="false">IF(AND(AQ431="利用可",AT431="利用可",AW431="利用可"),"利用可","不可")</f>
        <v>不可</v>
      </c>
    </row>
    <row r="432" customFormat="false" ht="15" hidden="false" customHeight="false" outlineLevel="0" collapsed="false">
      <c r="A432" s="29" t="n">
        <v>46249</v>
      </c>
      <c r="B432" s="30" t="n">
        <v>21</v>
      </c>
      <c r="C432" s="31" t="s">
        <v>63</v>
      </c>
      <c r="D432" s="31" t="s">
        <v>64</v>
      </c>
      <c r="E432" s="30" t="n">
        <v>60</v>
      </c>
      <c r="F432" s="30" t="n">
        <v>3</v>
      </c>
      <c r="G432" s="30" t="str">
        <f aca="false">IF(E432&lt;判定条件!$C$6,"判定不能",IF(F432&gt;=判定条件!$C$7*E432,"運転",IF(F432&lt;=判定条件!$C$8*E432,"停止","断続")))</f>
        <v>停止</v>
      </c>
      <c r="H432" s="30" t="n">
        <v>60</v>
      </c>
      <c r="I432" s="30" t="n">
        <v>0</v>
      </c>
      <c r="J432" s="30" t="str">
        <f aca="false">IF(H432&lt;判定条件!$C$6,"判定不能",IF(I432&gt;=判定条件!$C$7*H432,"運転",IF(I432&lt;=判定条件!$C$8*H432,"停止","断続")))</f>
        <v>停止</v>
      </c>
      <c r="K432" s="30" t="n">
        <v>60</v>
      </c>
      <c r="L432" s="30" t="n">
        <v>0</v>
      </c>
      <c r="M432" s="30" t="str">
        <f aca="false">IF(K432&lt;判定条件!$C$6,"判定不能",IF(L432&gt;=判定条件!$C$7*K432,"運転",IF(L432&lt;=判定条件!$C$8*K432,"停止","断続")))</f>
        <v>停止</v>
      </c>
      <c r="N432" s="30" t="n">
        <v>60</v>
      </c>
      <c r="O432" s="30" t="n">
        <v>0</v>
      </c>
      <c r="P432" s="30" t="str">
        <f aca="false">IF(N432&lt;判定条件!$C$6,"判定不能",IF(O432&gt;=判定条件!$C$7*N432,"運転",IF(O432&lt;=判定条件!$C$8*N432,"停止","断続")))</f>
        <v>停止</v>
      </c>
      <c r="Q432" s="30" t="n">
        <v>0</v>
      </c>
      <c r="R432" s="30" t="n">
        <v>0</v>
      </c>
      <c r="S432" s="30" t="str">
        <f aca="false">IF(Q432&lt;判定条件!$C$6,"判定不能",IF(R432&gt;=判定条件!$C$7*Q432,"運転",IF(R432&lt;=判定条件!$C$8*Q432,"停止","断続")))</f>
        <v>判定不能</v>
      </c>
      <c r="T432" s="30" t="n">
        <v>60</v>
      </c>
      <c r="U432" s="30" t="n">
        <v>0</v>
      </c>
      <c r="V432" s="30" t="str">
        <f aca="false">IF(T432&lt;判定条件!$C$6,"判定不能",IF(U432&gt;=判定条件!$C$7*T432,"運転",IF(U432&lt;=判定条件!$C$8*T432,"停止","断続")))</f>
        <v>停止</v>
      </c>
      <c r="W432" s="30" t="n">
        <v>60</v>
      </c>
      <c r="X432" s="30" t="n">
        <v>0</v>
      </c>
      <c r="Y432" s="30" t="str">
        <f aca="false">IF(W432&lt;判定条件!$C$6,"判定不能",IF(X432&gt;=判定条件!$C$7*W432,"運転",IF(X432&lt;=判定条件!$C$8*W432,"停止","断続")))</f>
        <v>停止</v>
      </c>
      <c r="Z432" s="30" t="n">
        <v>60</v>
      </c>
      <c r="AA432" s="30" t="n">
        <v>0</v>
      </c>
      <c r="AB432" s="30" t="str">
        <f aca="false">IF(Z432&lt;判定条件!$C$6,"判定不能",IF(AA432&gt;=判定条件!$C$7*Z432,"運転",IF(AA432&lt;=判定条件!$C$8*Z432,"停止","断続")))</f>
        <v>停止</v>
      </c>
      <c r="AC432" s="30" t="n">
        <v>60</v>
      </c>
      <c r="AD432" s="30" t="n">
        <v>0</v>
      </c>
      <c r="AE432" s="30" t="str">
        <f aca="false">IF(AC432&lt;判定条件!$C$6,"判定不能",IF(AD432&gt;=判定条件!$C$7*AC432,"運転",IF(AD432&lt;=判定条件!$C$8*AC432,"停止","断続")))</f>
        <v>停止</v>
      </c>
      <c r="AF432" s="30" t="n">
        <v>60</v>
      </c>
      <c r="AG432" s="30" t="n">
        <v>0</v>
      </c>
      <c r="AH432" s="30" t="str">
        <f aca="false">IF(OR(P432="判定不能",G432="判定不能"),"判定不能",IF(AG432&gt;=判定条件!$C$9,"利用可",IF(AND(P432="停止",G432="停止"),"両方停止","運転がそろわない")))</f>
        <v>両方停止</v>
      </c>
      <c r="AI432" s="30" t="n">
        <v>0</v>
      </c>
      <c r="AJ432" s="30" t="n">
        <v>0</v>
      </c>
      <c r="AK432" s="30" t="str">
        <f aca="false">IF(OR(S432="判定不能",J432="判定不能"),"判定不能",IF(AJ432&gt;=判定条件!$C$9,"利用可",IF(AND(S432="停止",J432="停止"),"両方停止","運転がそろわない")))</f>
        <v>判定不能</v>
      </c>
      <c r="AL432" s="30" t="n">
        <v>60</v>
      </c>
      <c r="AM432" s="30" t="n">
        <v>0</v>
      </c>
      <c r="AN432" s="30" t="str">
        <f aca="false">IF(OR(V432="判定不能",M432="判定不能"),"判定不能",IF(AM432&gt;=判定条件!$C$9,"利用可",IF(AND(V432="停止",M432="停止"),"両方停止","運転がそろわない")))</f>
        <v>両方停止</v>
      </c>
      <c r="AO432" s="30" t="n">
        <v>60</v>
      </c>
      <c r="AP432" s="30" t="n">
        <v>0</v>
      </c>
      <c r="AQ432" s="30" t="str">
        <f aca="false">IF(OR(Y432="判定不能",G432="判定不能"),"判定不能",IF(AP432&gt;=判定条件!$C$9,"利用可",IF(AND(Y432="停止",G432="停止"),"両方停止","運転がそろわない")))</f>
        <v>両方停止</v>
      </c>
      <c r="AR432" s="30" t="n">
        <v>60</v>
      </c>
      <c r="AS432" s="30" t="n">
        <v>0</v>
      </c>
      <c r="AT432" s="30" t="str">
        <f aca="false">IF(OR(AB432="判定不能",J432="判定不能"),"判定不能",IF(AS432&gt;=判定条件!$C$9,"利用可",IF(AND(AB432="停止",J432="停止"),"両方停止","運転がそろわない")))</f>
        <v>両方停止</v>
      </c>
      <c r="AU432" s="30" t="n">
        <v>60</v>
      </c>
      <c r="AV432" s="30" t="n">
        <v>0</v>
      </c>
      <c r="AW432" s="30" t="str">
        <f aca="false">IF(OR(AE432="判定不能",M432="判定不能"),"判定不能",IF(AV432&gt;=判定条件!$C$9,"利用可",IF(AND(AE432="停止",M432="停止"),"両方停止","運転がそろわない")))</f>
        <v>両方停止</v>
      </c>
      <c r="AX432" s="30" t="str">
        <f aca="false">IF(AND(AH432="利用可",AK432="利用可",AN432="利用可"),"利用可","不可")</f>
        <v>不可</v>
      </c>
      <c r="AY432" s="30" t="str">
        <f aca="false">IF(AND(AQ432="利用可",AT432="利用可",AW432="利用可"),"利用可","不可")</f>
        <v>不可</v>
      </c>
    </row>
    <row r="433" customFormat="false" ht="15" hidden="false" customHeight="false" outlineLevel="0" collapsed="false">
      <c r="A433" s="29" t="n">
        <v>46249</v>
      </c>
      <c r="B433" s="30" t="n">
        <v>22</v>
      </c>
      <c r="C433" s="31" t="s">
        <v>63</v>
      </c>
      <c r="D433" s="31" t="s">
        <v>64</v>
      </c>
      <c r="E433" s="30" t="n">
        <v>60</v>
      </c>
      <c r="F433" s="30" t="n">
        <v>0</v>
      </c>
      <c r="G433" s="30" t="str">
        <f aca="false">IF(E433&lt;判定条件!$C$6,"判定不能",IF(F433&gt;=判定条件!$C$7*E433,"運転",IF(F433&lt;=判定条件!$C$8*E433,"停止","断続")))</f>
        <v>停止</v>
      </c>
      <c r="H433" s="30" t="n">
        <v>60</v>
      </c>
      <c r="I433" s="30" t="n">
        <v>0</v>
      </c>
      <c r="J433" s="30" t="str">
        <f aca="false">IF(H433&lt;判定条件!$C$6,"判定不能",IF(I433&gt;=判定条件!$C$7*H433,"運転",IF(I433&lt;=判定条件!$C$8*H433,"停止","断続")))</f>
        <v>停止</v>
      </c>
      <c r="K433" s="30" t="n">
        <v>60</v>
      </c>
      <c r="L433" s="30" t="n">
        <v>0</v>
      </c>
      <c r="M433" s="30" t="str">
        <f aca="false">IF(K433&lt;判定条件!$C$6,"判定不能",IF(L433&gt;=判定条件!$C$7*K433,"運転",IF(L433&lt;=判定条件!$C$8*K433,"停止","断続")))</f>
        <v>停止</v>
      </c>
      <c r="N433" s="30" t="n">
        <v>60</v>
      </c>
      <c r="O433" s="30" t="n">
        <v>0</v>
      </c>
      <c r="P433" s="30" t="str">
        <f aca="false">IF(N433&lt;判定条件!$C$6,"判定不能",IF(O433&gt;=判定条件!$C$7*N433,"運転",IF(O433&lt;=判定条件!$C$8*N433,"停止","断続")))</f>
        <v>停止</v>
      </c>
      <c r="Q433" s="30" t="n">
        <v>0</v>
      </c>
      <c r="R433" s="30" t="n">
        <v>0</v>
      </c>
      <c r="S433" s="30" t="str">
        <f aca="false">IF(Q433&lt;判定条件!$C$6,"判定不能",IF(R433&gt;=判定条件!$C$7*Q433,"運転",IF(R433&lt;=判定条件!$C$8*Q433,"停止","断続")))</f>
        <v>判定不能</v>
      </c>
      <c r="T433" s="30" t="n">
        <v>60</v>
      </c>
      <c r="U433" s="30" t="n">
        <v>0</v>
      </c>
      <c r="V433" s="30" t="str">
        <f aca="false">IF(T433&lt;判定条件!$C$6,"判定不能",IF(U433&gt;=判定条件!$C$7*T433,"運転",IF(U433&lt;=判定条件!$C$8*T433,"停止","断続")))</f>
        <v>停止</v>
      </c>
      <c r="W433" s="30" t="n">
        <v>60</v>
      </c>
      <c r="X433" s="30" t="n">
        <v>0</v>
      </c>
      <c r="Y433" s="30" t="str">
        <f aca="false">IF(W433&lt;判定条件!$C$6,"判定不能",IF(X433&gt;=判定条件!$C$7*W433,"運転",IF(X433&lt;=判定条件!$C$8*W433,"停止","断続")))</f>
        <v>停止</v>
      </c>
      <c r="Z433" s="30" t="n">
        <v>60</v>
      </c>
      <c r="AA433" s="30" t="n">
        <v>0</v>
      </c>
      <c r="AB433" s="30" t="str">
        <f aca="false">IF(Z433&lt;判定条件!$C$6,"判定不能",IF(AA433&gt;=判定条件!$C$7*Z433,"運転",IF(AA433&lt;=判定条件!$C$8*Z433,"停止","断続")))</f>
        <v>停止</v>
      </c>
      <c r="AC433" s="30" t="n">
        <v>60</v>
      </c>
      <c r="AD433" s="30" t="n">
        <v>0</v>
      </c>
      <c r="AE433" s="30" t="str">
        <f aca="false">IF(AC433&lt;判定条件!$C$6,"判定不能",IF(AD433&gt;=判定条件!$C$7*AC433,"運転",IF(AD433&lt;=判定条件!$C$8*AC433,"停止","断続")))</f>
        <v>停止</v>
      </c>
      <c r="AF433" s="30" t="n">
        <v>60</v>
      </c>
      <c r="AG433" s="30" t="n">
        <v>0</v>
      </c>
      <c r="AH433" s="30" t="str">
        <f aca="false">IF(OR(P433="判定不能",G433="判定不能"),"判定不能",IF(AG433&gt;=判定条件!$C$9,"利用可",IF(AND(P433="停止",G433="停止"),"両方停止","運転がそろわない")))</f>
        <v>両方停止</v>
      </c>
      <c r="AI433" s="30" t="n">
        <v>0</v>
      </c>
      <c r="AJ433" s="30" t="n">
        <v>0</v>
      </c>
      <c r="AK433" s="30" t="str">
        <f aca="false">IF(OR(S433="判定不能",J433="判定不能"),"判定不能",IF(AJ433&gt;=判定条件!$C$9,"利用可",IF(AND(S433="停止",J433="停止"),"両方停止","運転がそろわない")))</f>
        <v>判定不能</v>
      </c>
      <c r="AL433" s="30" t="n">
        <v>60</v>
      </c>
      <c r="AM433" s="30" t="n">
        <v>0</v>
      </c>
      <c r="AN433" s="30" t="str">
        <f aca="false">IF(OR(V433="判定不能",M433="判定不能"),"判定不能",IF(AM433&gt;=判定条件!$C$9,"利用可",IF(AND(V433="停止",M433="停止"),"両方停止","運転がそろわない")))</f>
        <v>両方停止</v>
      </c>
      <c r="AO433" s="30" t="n">
        <v>60</v>
      </c>
      <c r="AP433" s="30" t="n">
        <v>0</v>
      </c>
      <c r="AQ433" s="30" t="str">
        <f aca="false">IF(OR(Y433="判定不能",G433="判定不能"),"判定不能",IF(AP433&gt;=判定条件!$C$9,"利用可",IF(AND(Y433="停止",G433="停止"),"両方停止","運転がそろわない")))</f>
        <v>両方停止</v>
      </c>
      <c r="AR433" s="30" t="n">
        <v>60</v>
      </c>
      <c r="AS433" s="30" t="n">
        <v>0</v>
      </c>
      <c r="AT433" s="30" t="str">
        <f aca="false">IF(OR(AB433="判定不能",J433="判定不能"),"判定不能",IF(AS433&gt;=判定条件!$C$9,"利用可",IF(AND(AB433="停止",J433="停止"),"両方停止","運転がそろわない")))</f>
        <v>両方停止</v>
      </c>
      <c r="AU433" s="30" t="n">
        <v>60</v>
      </c>
      <c r="AV433" s="30" t="n">
        <v>0</v>
      </c>
      <c r="AW433" s="30" t="str">
        <f aca="false">IF(OR(AE433="判定不能",M433="判定不能"),"判定不能",IF(AV433&gt;=判定条件!$C$9,"利用可",IF(AND(AE433="停止",M433="停止"),"両方停止","運転がそろわない")))</f>
        <v>両方停止</v>
      </c>
      <c r="AX433" s="30" t="str">
        <f aca="false">IF(AND(AH433="利用可",AK433="利用可",AN433="利用可"),"利用可","不可")</f>
        <v>不可</v>
      </c>
      <c r="AY433" s="30" t="str">
        <f aca="false">IF(AND(AQ433="利用可",AT433="利用可",AW433="利用可"),"利用可","不可")</f>
        <v>不可</v>
      </c>
    </row>
    <row r="434" customFormat="false" ht="15" hidden="false" customHeight="false" outlineLevel="0" collapsed="false">
      <c r="A434" s="29" t="n">
        <v>46249</v>
      </c>
      <c r="B434" s="30" t="n">
        <v>23</v>
      </c>
      <c r="C434" s="31" t="s">
        <v>63</v>
      </c>
      <c r="D434" s="31" t="s">
        <v>64</v>
      </c>
      <c r="E434" s="30" t="n">
        <v>60</v>
      </c>
      <c r="F434" s="30" t="n">
        <v>0</v>
      </c>
      <c r="G434" s="30" t="str">
        <f aca="false">IF(E434&lt;判定条件!$C$6,"判定不能",IF(F434&gt;=判定条件!$C$7*E434,"運転",IF(F434&lt;=判定条件!$C$8*E434,"停止","断続")))</f>
        <v>停止</v>
      </c>
      <c r="H434" s="30" t="n">
        <v>60</v>
      </c>
      <c r="I434" s="30" t="n">
        <v>0</v>
      </c>
      <c r="J434" s="30" t="str">
        <f aca="false">IF(H434&lt;判定条件!$C$6,"判定不能",IF(I434&gt;=判定条件!$C$7*H434,"運転",IF(I434&lt;=判定条件!$C$8*H434,"停止","断続")))</f>
        <v>停止</v>
      </c>
      <c r="K434" s="30" t="n">
        <v>60</v>
      </c>
      <c r="L434" s="30" t="n">
        <v>0</v>
      </c>
      <c r="M434" s="30" t="str">
        <f aca="false">IF(K434&lt;判定条件!$C$6,"判定不能",IF(L434&gt;=判定条件!$C$7*K434,"運転",IF(L434&lt;=判定条件!$C$8*K434,"停止","断続")))</f>
        <v>停止</v>
      </c>
      <c r="N434" s="30" t="n">
        <v>60</v>
      </c>
      <c r="O434" s="30" t="n">
        <v>0</v>
      </c>
      <c r="P434" s="30" t="str">
        <f aca="false">IF(N434&lt;判定条件!$C$6,"判定不能",IF(O434&gt;=判定条件!$C$7*N434,"運転",IF(O434&lt;=判定条件!$C$8*N434,"停止","断続")))</f>
        <v>停止</v>
      </c>
      <c r="Q434" s="30" t="n">
        <v>0</v>
      </c>
      <c r="R434" s="30" t="n">
        <v>0</v>
      </c>
      <c r="S434" s="30" t="str">
        <f aca="false">IF(Q434&lt;判定条件!$C$6,"判定不能",IF(R434&gt;=判定条件!$C$7*Q434,"運転",IF(R434&lt;=判定条件!$C$8*Q434,"停止","断続")))</f>
        <v>判定不能</v>
      </c>
      <c r="T434" s="30" t="n">
        <v>60</v>
      </c>
      <c r="U434" s="30" t="n">
        <v>0</v>
      </c>
      <c r="V434" s="30" t="str">
        <f aca="false">IF(T434&lt;判定条件!$C$6,"判定不能",IF(U434&gt;=判定条件!$C$7*T434,"運転",IF(U434&lt;=判定条件!$C$8*T434,"停止","断続")))</f>
        <v>停止</v>
      </c>
      <c r="W434" s="30" t="n">
        <v>60</v>
      </c>
      <c r="X434" s="30" t="n">
        <v>0</v>
      </c>
      <c r="Y434" s="30" t="str">
        <f aca="false">IF(W434&lt;判定条件!$C$6,"判定不能",IF(X434&gt;=判定条件!$C$7*W434,"運転",IF(X434&lt;=判定条件!$C$8*W434,"停止","断続")))</f>
        <v>停止</v>
      </c>
      <c r="Z434" s="30" t="n">
        <v>60</v>
      </c>
      <c r="AA434" s="30" t="n">
        <v>0</v>
      </c>
      <c r="AB434" s="30" t="str">
        <f aca="false">IF(Z434&lt;判定条件!$C$6,"判定不能",IF(AA434&gt;=判定条件!$C$7*Z434,"運転",IF(AA434&lt;=判定条件!$C$8*Z434,"停止","断続")))</f>
        <v>停止</v>
      </c>
      <c r="AC434" s="30" t="n">
        <v>60</v>
      </c>
      <c r="AD434" s="30" t="n">
        <v>0</v>
      </c>
      <c r="AE434" s="30" t="str">
        <f aca="false">IF(AC434&lt;判定条件!$C$6,"判定不能",IF(AD434&gt;=判定条件!$C$7*AC434,"運転",IF(AD434&lt;=判定条件!$C$8*AC434,"停止","断続")))</f>
        <v>停止</v>
      </c>
      <c r="AF434" s="30" t="n">
        <v>60</v>
      </c>
      <c r="AG434" s="30" t="n">
        <v>0</v>
      </c>
      <c r="AH434" s="30" t="str">
        <f aca="false">IF(OR(P434="判定不能",G434="判定不能"),"判定不能",IF(AG434&gt;=判定条件!$C$9,"利用可",IF(AND(P434="停止",G434="停止"),"両方停止","運転がそろわない")))</f>
        <v>両方停止</v>
      </c>
      <c r="AI434" s="30" t="n">
        <v>0</v>
      </c>
      <c r="AJ434" s="30" t="n">
        <v>0</v>
      </c>
      <c r="AK434" s="30" t="str">
        <f aca="false">IF(OR(S434="判定不能",J434="判定不能"),"判定不能",IF(AJ434&gt;=判定条件!$C$9,"利用可",IF(AND(S434="停止",J434="停止"),"両方停止","運転がそろわない")))</f>
        <v>判定不能</v>
      </c>
      <c r="AL434" s="30" t="n">
        <v>60</v>
      </c>
      <c r="AM434" s="30" t="n">
        <v>0</v>
      </c>
      <c r="AN434" s="30" t="str">
        <f aca="false">IF(OR(V434="判定不能",M434="判定不能"),"判定不能",IF(AM434&gt;=判定条件!$C$9,"利用可",IF(AND(V434="停止",M434="停止"),"両方停止","運転がそろわない")))</f>
        <v>両方停止</v>
      </c>
      <c r="AO434" s="30" t="n">
        <v>60</v>
      </c>
      <c r="AP434" s="30" t="n">
        <v>0</v>
      </c>
      <c r="AQ434" s="30" t="str">
        <f aca="false">IF(OR(Y434="判定不能",G434="判定不能"),"判定不能",IF(AP434&gt;=判定条件!$C$9,"利用可",IF(AND(Y434="停止",G434="停止"),"両方停止","運転がそろわない")))</f>
        <v>両方停止</v>
      </c>
      <c r="AR434" s="30" t="n">
        <v>60</v>
      </c>
      <c r="AS434" s="30" t="n">
        <v>0</v>
      </c>
      <c r="AT434" s="30" t="str">
        <f aca="false">IF(OR(AB434="判定不能",J434="判定不能"),"判定不能",IF(AS434&gt;=判定条件!$C$9,"利用可",IF(AND(AB434="停止",J434="停止"),"両方停止","運転がそろわない")))</f>
        <v>両方停止</v>
      </c>
      <c r="AU434" s="30" t="n">
        <v>60</v>
      </c>
      <c r="AV434" s="30" t="n">
        <v>0</v>
      </c>
      <c r="AW434" s="30" t="str">
        <f aca="false">IF(OR(AE434="判定不能",M434="判定不能"),"判定不能",IF(AV434&gt;=判定条件!$C$9,"利用可",IF(AND(AE434="停止",M434="停止"),"両方停止","運転がそろわない")))</f>
        <v>両方停止</v>
      </c>
      <c r="AX434" s="30" t="str">
        <f aca="false">IF(AND(AH434="利用可",AK434="利用可",AN434="利用可"),"利用可","不可")</f>
        <v>不可</v>
      </c>
      <c r="AY434" s="30" t="str">
        <f aca="false">IF(AND(AQ434="利用可",AT434="利用可",AW434="利用可"),"利用可","不可")</f>
        <v>不可</v>
      </c>
    </row>
    <row r="435" customFormat="false" ht="15" hidden="false" customHeight="false" outlineLevel="0" collapsed="false">
      <c r="A435" s="29" t="n">
        <v>46250</v>
      </c>
      <c r="B435" s="30" t="n">
        <v>0</v>
      </c>
      <c r="C435" s="31" t="s">
        <v>65</v>
      </c>
      <c r="D435" s="31" t="s">
        <v>64</v>
      </c>
      <c r="E435" s="30" t="n">
        <v>60</v>
      </c>
      <c r="F435" s="30" t="n">
        <v>0</v>
      </c>
      <c r="G435" s="30" t="str">
        <f aca="false">IF(E435&lt;判定条件!$C$6,"判定不能",IF(F435&gt;=判定条件!$C$7*E435,"運転",IF(F435&lt;=判定条件!$C$8*E435,"停止","断続")))</f>
        <v>停止</v>
      </c>
      <c r="H435" s="30" t="n">
        <v>60</v>
      </c>
      <c r="I435" s="30" t="n">
        <v>0</v>
      </c>
      <c r="J435" s="30" t="str">
        <f aca="false">IF(H435&lt;判定条件!$C$6,"判定不能",IF(I435&gt;=判定条件!$C$7*H435,"運転",IF(I435&lt;=判定条件!$C$8*H435,"停止","断続")))</f>
        <v>停止</v>
      </c>
      <c r="K435" s="30" t="n">
        <v>60</v>
      </c>
      <c r="L435" s="30" t="n">
        <v>0</v>
      </c>
      <c r="M435" s="30" t="str">
        <f aca="false">IF(K435&lt;判定条件!$C$6,"判定不能",IF(L435&gt;=判定条件!$C$7*K435,"運転",IF(L435&lt;=判定条件!$C$8*K435,"停止","断続")))</f>
        <v>停止</v>
      </c>
      <c r="N435" s="30" t="n">
        <v>60</v>
      </c>
      <c r="O435" s="30" t="n">
        <v>0</v>
      </c>
      <c r="P435" s="30" t="str">
        <f aca="false">IF(N435&lt;判定条件!$C$6,"判定不能",IF(O435&gt;=判定条件!$C$7*N435,"運転",IF(O435&lt;=判定条件!$C$8*N435,"停止","断続")))</f>
        <v>停止</v>
      </c>
      <c r="Q435" s="30" t="n">
        <v>0</v>
      </c>
      <c r="R435" s="30" t="n">
        <v>0</v>
      </c>
      <c r="S435" s="30" t="str">
        <f aca="false">IF(Q435&lt;判定条件!$C$6,"判定不能",IF(R435&gt;=判定条件!$C$7*Q435,"運転",IF(R435&lt;=判定条件!$C$8*Q435,"停止","断続")))</f>
        <v>判定不能</v>
      </c>
      <c r="T435" s="30" t="n">
        <v>60</v>
      </c>
      <c r="U435" s="30" t="n">
        <v>0</v>
      </c>
      <c r="V435" s="30" t="str">
        <f aca="false">IF(T435&lt;判定条件!$C$6,"判定不能",IF(U435&gt;=判定条件!$C$7*T435,"運転",IF(U435&lt;=判定条件!$C$8*T435,"停止","断続")))</f>
        <v>停止</v>
      </c>
      <c r="W435" s="30" t="n">
        <v>60</v>
      </c>
      <c r="X435" s="30" t="n">
        <v>0</v>
      </c>
      <c r="Y435" s="30" t="str">
        <f aca="false">IF(W435&lt;判定条件!$C$6,"判定不能",IF(X435&gt;=判定条件!$C$7*W435,"運転",IF(X435&lt;=判定条件!$C$8*W435,"停止","断続")))</f>
        <v>停止</v>
      </c>
      <c r="Z435" s="30" t="n">
        <v>60</v>
      </c>
      <c r="AA435" s="30" t="n">
        <v>0</v>
      </c>
      <c r="AB435" s="30" t="str">
        <f aca="false">IF(Z435&lt;判定条件!$C$6,"判定不能",IF(AA435&gt;=判定条件!$C$7*Z435,"運転",IF(AA435&lt;=判定条件!$C$8*Z435,"停止","断続")))</f>
        <v>停止</v>
      </c>
      <c r="AC435" s="30" t="n">
        <v>60</v>
      </c>
      <c r="AD435" s="30" t="n">
        <v>0</v>
      </c>
      <c r="AE435" s="30" t="str">
        <f aca="false">IF(AC435&lt;判定条件!$C$6,"判定不能",IF(AD435&gt;=判定条件!$C$7*AC435,"運転",IF(AD435&lt;=判定条件!$C$8*AC435,"停止","断続")))</f>
        <v>停止</v>
      </c>
      <c r="AF435" s="30" t="n">
        <v>60</v>
      </c>
      <c r="AG435" s="30" t="n">
        <v>0</v>
      </c>
      <c r="AH435" s="30" t="str">
        <f aca="false">IF(OR(P435="判定不能",G435="判定不能"),"判定不能",IF(AG435&gt;=判定条件!$C$9,"利用可",IF(AND(P435="停止",G435="停止"),"両方停止","運転がそろわない")))</f>
        <v>両方停止</v>
      </c>
      <c r="AI435" s="30" t="n">
        <v>0</v>
      </c>
      <c r="AJ435" s="30" t="n">
        <v>0</v>
      </c>
      <c r="AK435" s="30" t="str">
        <f aca="false">IF(OR(S435="判定不能",J435="判定不能"),"判定不能",IF(AJ435&gt;=判定条件!$C$9,"利用可",IF(AND(S435="停止",J435="停止"),"両方停止","運転がそろわない")))</f>
        <v>判定不能</v>
      </c>
      <c r="AL435" s="30" t="n">
        <v>60</v>
      </c>
      <c r="AM435" s="30" t="n">
        <v>0</v>
      </c>
      <c r="AN435" s="30" t="str">
        <f aca="false">IF(OR(V435="判定不能",M435="判定不能"),"判定不能",IF(AM435&gt;=判定条件!$C$9,"利用可",IF(AND(V435="停止",M435="停止"),"両方停止","運転がそろわない")))</f>
        <v>両方停止</v>
      </c>
      <c r="AO435" s="30" t="n">
        <v>60</v>
      </c>
      <c r="AP435" s="30" t="n">
        <v>0</v>
      </c>
      <c r="AQ435" s="30" t="str">
        <f aca="false">IF(OR(Y435="判定不能",G435="判定不能"),"判定不能",IF(AP435&gt;=判定条件!$C$9,"利用可",IF(AND(Y435="停止",G435="停止"),"両方停止","運転がそろわない")))</f>
        <v>両方停止</v>
      </c>
      <c r="AR435" s="30" t="n">
        <v>60</v>
      </c>
      <c r="AS435" s="30" t="n">
        <v>0</v>
      </c>
      <c r="AT435" s="30" t="str">
        <f aca="false">IF(OR(AB435="判定不能",J435="判定不能"),"判定不能",IF(AS435&gt;=判定条件!$C$9,"利用可",IF(AND(AB435="停止",J435="停止"),"両方停止","運転がそろわない")))</f>
        <v>両方停止</v>
      </c>
      <c r="AU435" s="30" t="n">
        <v>60</v>
      </c>
      <c r="AV435" s="30" t="n">
        <v>0</v>
      </c>
      <c r="AW435" s="30" t="str">
        <f aca="false">IF(OR(AE435="判定不能",M435="判定不能"),"判定不能",IF(AV435&gt;=判定条件!$C$9,"利用可",IF(AND(AE435="停止",M435="停止"),"両方停止","運転がそろわない")))</f>
        <v>両方停止</v>
      </c>
      <c r="AX435" s="30" t="str">
        <f aca="false">IF(AND(AH435="利用可",AK435="利用可",AN435="利用可"),"利用可","不可")</f>
        <v>不可</v>
      </c>
      <c r="AY435" s="30" t="str">
        <f aca="false">IF(AND(AQ435="利用可",AT435="利用可",AW435="利用可"),"利用可","不可")</f>
        <v>不可</v>
      </c>
    </row>
    <row r="436" customFormat="false" ht="15" hidden="false" customHeight="false" outlineLevel="0" collapsed="false">
      <c r="A436" s="29" t="n">
        <v>46250</v>
      </c>
      <c r="B436" s="30" t="n">
        <v>1</v>
      </c>
      <c r="C436" s="31" t="s">
        <v>65</v>
      </c>
      <c r="D436" s="31" t="s">
        <v>64</v>
      </c>
      <c r="E436" s="30" t="n">
        <v>60</v>
      </c>
      <c r="F436" s="30" t="n">
        <v>0</v>
      </c>
      <c r="G436" s="30" t="str">
        <f aca="false">IF(E436&lt;判定条件!$C$6,"判定不能",IF(F436&gt;=判定条件!$C$7*E436,"運転",IF(F436&lt;=判定条件!$C$8*E436,"停止","断続")))</f>
        <v>停止</v>
      </c>
      <c r="H436" s="30" t="n">
        <v>60</v>
      </c>
      <c r="I436" s="30" t="n">
        <v>0</v>
      </c>
      <c r="J436" s="30" t="str">
        <f aca="false">IF(H436&lt;判定条件!$C$6,"判定不能",IF(I436&gt;=判定条件!$C$7*H436,"運転",IF(I436&lt;=判定条件!$C$8*H436,"停止","断続")))</f>
        <v>停止</v>
      </c>
      <c r="K436" s="30" t="n">
        <v>60</v>
      </c>
      <c r="L436" s="30" t="n">
        <v>0</v>
      </c>
      <c r="M436" s="30" t="str">
        <f aca="false">IF(K436&lt;判定条件!$C$6,"判定不能",IF(L436&gt;=判定条件!$C$7*K436,"運転",IF(L436&lt;=判定条件!$C$8*K436,"停止","断続")))</f>
        <v>停止</v>
      </c>
      <c r="N436" s="30" t="n">
        <v>60</v>
      </c>
      <c r="O436" s="30" t="n">
        <v>0</v>
      </c>
      <c r="P436" s="30" t="str">
        <f aca="false">IF(N436&lt;判定条件!$C$6,"判定不能",IF(O436&gt;=判定条件!$C$7*N436,"運転",IF(O436&lt;=判定条件!$C$8*N436,"停止","断続")))</f>
        <v>停止</v>
      </c>
      <c r="Q436" s="30" t="n">
        <v>0</v>
      </c>
      <c r="R436" s="30" t="n">
        <v>0</v>
      </c>
      <c r="S436" s="30" t="str">
        <f aca="false">IF(Q436&lt;判定条件!$C$6,"判定不能",IF(R436&gt;=判定条件!$C$7*Q436,"運転",IF(R436&lt;=判定条件!$C$8*Q436,"停止","断続")))</f>
        <v>判定不能</v>
      </c>
      <c r="T436" s="30" t="n">
        <v>60</v>
      </c>
      <c r="U436" s="30" t="n">
        <v>0</v>
      </c>
      <c r="V436" s="30" t="str">
        <f aca="false">IF(T436&lt;判定条件!$C$6,"判定不能",IF(U436&gt;=判定条件!$C$7*T436,"運転",IF(U436&lt;=判定条件!$C$8*T436,"停止","断続")))</f>
        <v>停止</v>
      </c>
      <c r="W436" s="30" t="n">
        <v>60</v>
      </c>
      <c r="X436" s="30" t="n">
        <v>0</v>
      </c>
      <c r="Y436" s="30" t="str">
        <f aca="false">IF(W436&lt;判定条件!$C$6,"判定不能",IF(X436&gt;=判定条件!$C$7*W436,"運転",IF(X436&lt;=判定条件!$C$8*W436,"停止","断続")))</f>
        <v>停止</v>
      </c>
      <c r="Z436" s="30" t="n">
        <v>60</v>
      </c>
      <c r="AA436" s="30" t="n">
        <v>0</v>
      </c>
      <c r="AB436" s="30" t="str">
        <f aca="false">IF(Z436&lt;判定条件!$C$6,"判定不能",IF(AA436&gt;=判定条件!$C$7*Z436,"運転",IF(AA436&lt;=判定条件!$C$8*Z436,"停止","断続")))</f>
        <v>停止</v>
      </c>
      <c r="AC436" s="30" t="n">
        <v>60</v>
      </c>
      <c r="AD436" s="30" t="n">
        <v>0</v>
      </c>
      <c r="AE436" s="30" t="str">
        <f aca="false">IF(AC436&lt;判定条件!$C$6,"判定不能",IF(AD436&gt;=判定条件!$C$7*AC436,"運転",IF(AD436&lt;=判定条件!$C$8*AC436,"停止","断続")))</f>
        <v>停止</v>
      </c>
      <c r="AF436" s="30" t="n">
        <v>60</v>
      </c>
      <c r="AG436" s="30" t="n">
        <v>0</v>
      </c>
      <c r="AH436" s="30" t="str">
        <f aca="false">IF(OR(P436="判定不能",G436="判定不能"),"判定不能",IF(AG436&gt;=判定条件!$C$9,"利用可",IF(AND(P436="停止",G436="停止"),"両方停止","運転がそろわない")))</f>
        <v>両方停止</v>
      </c>
      <c r="AI436" s="30" t="n">
        <v>0</v>
      </c>
      <c r="AJ436" s="30" t="n">
        <v>0</v>
      </c>
      <c r="AK436" s="30" t="str">
        <f aca="false">IF(OR(S436="判定不能",J436="判定不能"),"判定不能",IF(AJ436&gt;=判定条件!$C$9,"利用可",IF(AND(S436="停止",J436="停止"),"両方停止","運転がそろわない")))</f>
        <v>判定不能</v>
      </c>
      <c r="AL436" s="30" t="n">
        <v>60</v>
      </c>
      <c r="AM436" s="30" t="n">
        <v>0</v>
      </c>
      <c r="AN436" s="30" t="str">
        <f aca="false">IF(OR(V436="判定不能",M436="判定不能"),"判定不能",IF(AM436&gt;=判定条件!$C$9,"利用可",IF(AND(V436="停止",M436="停止"),"両方停止","運転がそろわない")))</f>
        <v>両方停止</v>
      </c>
      <c r="AO436" s="30" t="n">
        <v>60</v>
      </c>
      <c r="AP436" s="30" t="n">
        <v>0</v>
      </c>
      <c r="AQ436" s="30" t="str">
        <f aca="false">IF(OR(Y436="判定不能",G436="判定不能"),"判定不能",IF(AP436&gt;=判定条件!$C$9,"利用可",IF(AND(Y436="停止",G436="停止"),"両方停止","運転がそろわない")))</f>
        <v>両方停止</v>
      </c>
      <c r="AR436" s="30" t="n">
        <v>60</v>
      </c>
      <c r="AS436" s="30" t="n">
        <v>0</v>
      </c>
      <c r="AT436" s="30" t="str">
        <f aca="false">IF(OR(AB436="判定不能",J436="判定不能"),"判定不能",IF(AS436&gt;=判定条件!$C$9,"利用可",IF(AND(AB436="停止",J436="停止"),"両方停止","運転がそろわない")))</f>
        <v>両方停止</v>
      </c>
      <c r="AU436" s="30" t="n">
        <v>60</v>
      </c>
      <c r="AV436" s="30" t="n">
        <v>0</v>
      </c>
      <c r="AW436" s="30" t="str">
        <f aca="false">IF(OR(AE436="判定不能",M436="判定不能"),"判定不能",IF(AV436&gt;=判定条件!$C$9,"利用可",IF(AND(AE436="停止",M436="停止"),"両方停止","運転がそろわない")))</f>
        <v>両方停止</v>
      </c>
      <c r="AX436" s="30" t="str">
        <f aca="false">IF(AND(AH436="利用可",AK436="利用可",AN436="利用可"),"利用可","不可")</f>
        <v>不可</v>
      </c>
      <c r="AY436" s="30" t="str">
        <f aca="false">IF(AND(AQ436="利用可",AT436="利用可",AW436="利用可"),"利用可","不可")</f>
        <v>不可</v>
      </c>
    </row>
    <row r="437" customFormat="false" ht="15" hidden="false" customHeight="false" outlineLevel="0" collapsed="false">
      <c r="A437" s="29" t="n">
        <v>46250</v>
      </c>
      <c r="B437" s="30" t="n">
        <v>2</v>
      </c>
      <c r="C437" s="31" t="s">
        <v>65</v>
      </c>
      <c r="D437" s="31" t="s">
        <v>64</v>
      </c>
      <c r="E437" s="30" t="n">
        <v>60</v>
      </c>
      <c r="F437" s="30" t="n">
        <v>0</v>
      </c>
      <c r="G437" s="30" t="str">
        <f aca="false">IF(E437&lt;判定条件!$C$6,"判定不能",IF(F437&gt;=判定条件!$C$7*E437,"運転",IF(F437&lt;=判定条件!$C$8*E437,"停止","断続")))</f>
        <v>停止</v>
      </c>
      <c r="H437" s="30" t="n">
        <v>60</v>
      </c>
      <c r="I437" s="30" t="n">
        <v>0</v>
      </c>
      <c r="J437" s="30" t="str">
        <f aca="false">IF(H437&lt;判定条件!$C$6,"判定不能",IF(I437&gt;=判定条件!$C$7*H437,"運転",IF(I437&lt;=判定条件!$C$8*H437,"停止","断続")))</f>
        <v>停止</v>
      </c>
      <c r="K437" s="30" t="n">
        <v>60</v>
      </c>
      <c r="L437" s="30" t="n">
        <v>0</v>
      </c>
      <c r="M437" s="30" t="str">
        <f aca="false">IF(K437&lt;判定条件!$C$6,"判定不能",IF(L437&gt;=判定条件!$C$7*K437,"運転",IF(L437&lt;=判定条件!$C$8*K437,"停止","断続")))</f>
        <v>停止</v>
      </c>
      <c r="N437" s="30" t="n">
        <v>60</v>
      </c>
      <c r="O437" s="30" t="n">
        <v>0</v>
      </c>
      <c r="P437" s="30" t="str">
        <f aca="false">IF(N437&lt;判定条件!$C$6,"判定不能",IF(O437&gt;=判定条件!$C$7*N437,"運転",IF(O437&lt;=判定条件!$C$8*N437,"停止","断続")))</f>
        <v>停止</v>
      </c>
      <c r="Q437" s="30" t="n">
        <v>0</v>
      </c>
      <c r="R437" s="30" t="n">
        <v>0</v>
      </c>
      <c r="S437" s="30" t="str">
        <f aca="false">IF(Q437&lt;判定条件!$C$6,"判定不能",IF(R437&gt;=判定条件!$C$7*Q437,"運転",IF(R437&lt;=判定条件!$C$8*Q437,"停止","断続")))</f>
        <v>判定不能</v>
      </c>
      <c r="T437" s="30" t="n">
        <v>60</v>
      </c>
      <c r="U437" s="30" t="n">
        <v>0</v>
      </c>
      <c r="V437" s="30" t="str">
        <f aca="false">IF(T437&lt;判定条件!$C$6,"判定不能",IF(U437&gt;=判定条件!$C$7*T437,"運転",IF(U437&lt;=判定条件!$C$8*T437,"停止","断続")))</f>
        <v>停止</v>
      </c>
      <c r="W437" s="30" t="n">
        <v>60</v>
      </c>
      <c r="X437" s="30" t="n">
        <v>0</v>
      </c>
      <c r="Y437" s="30" t="str">
        <f aca="false">IF(W437&lt;判定条件!$C$6,"判定不能",IF(X437&gt;=判定条件!$C$7*W437,"運転",IF(X437&lt;=判定条件!$C$8*W437,"停止","断続")))</f>
        <v>停止</v>
      </c>
      <c r="Z437" s="30" t="n">
        <v>60</v>
      </c>
      <c r="AA437" s="30" t="n">
        <v>0</v>
      </c>
      <c r="AB437" s="30" t="str">
        <f aca="false">IF(Z437&lt;判定条件!$C$6,"判定不能",IF(AA437&gt;=判定条件!$C$7*Z437,"運転",IF(AA437&lt;=判定条件!$C$8*Z437,"停止","断続")))</f>
        <v>停止</v>
      </c>
      <c r="AC437" s="30" t="n">
        <v>60</v>
      </c>
      <c r="AD437" s="30" t="n">
        <v>0</v>
      </c>
      <c r="AE437" s="30" t="str">
        <f aca="false">IF(AC437&lt;判定条件!$C$6,"判定不能",IF(AD437&gt;=判定条件!$C$7*AC437,"運転",IF(AD437&lt;=判定条件!$C$8*AC437,"停止","断続")))</f>
        <v>停止</v>
      </c>
      <c r="AF437" s="30" t="n">
        <v>60</v>
      </c>
      <c r="AG437" s="30" t="n">
        <v>0</v>
      </c>
      <c r="AH437" s="30" t="str">
        <f aca="false">IF(OR(P437="判定不能",G437="判定不能"),"判定不能",IF(AG437&gt;=判定条件!$C$9,"利用可",IF(AND(P437="停止",G437="停止"),"両方停止","運転がそろわない")))</f>
        <v>両方停止</v>
      </c>
      <c r="AI437" s="30" t="n">
        <v>0</v>
      </c>
      <c r="AJ437" s="30" t="n">
        <v>0</v>
      </c>
      <c r="AK437" s="30" t="str">
        <f aca="false">IF(OR(S437="判定不能",J437="判定不能"),"判定不能",IF(AJ437&gt;=判定条件!$C$9,"利用可",IF(AND(S437="停止",J437="停止"),"両方停止","運転がそろわない")))</f>
        <v>判定不能</v>
      </c>
      <c r="AL437" s="30" t="n">
        <v>60</v>
      </c>
      <c r="AM437" s="30" t="n">
        <v>0</v>
      </c>
      <c r="AN437" s="30" t="str">
        <f aca="false">IF(OR(V437="判定不能",M437="判定不能"),"判定不能",IF(AM437&gt;=判定条件!$C$9,"利用可",IF(AND(V437="停止",M437="停止"),"両方停止","運転がそろわない")))</f>
        <v>両方停止</v>
      </c>
      <c r="AO437" s="30" t="n">
        <v>60</v>
      </c>
      <c r="AP437" s="30" t="n">
        <v>0</v>
      </c>
      <c r="AQ437" s="30" t="str">
        <f aca="false">IF(OR(Y437="判定不能",G437="判定不能"),"判定不能",IF(AP437&gt;=判定条件!$C$9,"利用可",IF(AND(Y437="停止",G437="停止"),"両方停止","運転がそろわない")))</f>
        <v>両方停止</v>
      </c>
      <c r="AR437" s="30" t="n">
        <v>60</v>
      </c>
      <c r="AS437" s="30" t="n">
        <v>0</v>
      </c>
      <c r="AT437" s="30" t="str">
        <f aca="false">IF(OR(AB437="判定不能",J437="判定不能"),"判定不能",IF(AS437&gt;=判定条件!$C$9,"利用可",IF(AND(AB437="停止",J437="停止"),"両方停止","運転がそろわない")))</f>
        <v>両方停止</v>
      </c>
      <c r="AU437" s="30" t="n">
        <v>60</v>
      </c>
      <c r="AV437" s="30" t="n">
        <v>0</v>
      </c>
      <c r="AW437" s="30" t="str">
        <f aca="false">IF(OR(AE437="判定不能",M437="判定不能"),"判定不能",IF(AV437&gt;=判定条件!$C$9,"利用可",IF(AND(AE437="停止",M437="停止"),"両方停止","運転がそろわない")))</f>
        <v>両方停止</v>
      </c>
      <c r="AX437" s="30" t="str">
        <f aca="false">IF(AND(AH437="利用可",AK437="利用可",AN437="利用可"),"利用可","不可")</f>
        <v>不可</v>
      </c>
      <c r="AY437" s="30" t="str">
        <f aca="false">IF(AND(AQ437="利用可",AT437="利用可",AW437="利用可"),"利用可","不可")</f>
        <v>不可</v>
      </c>
    </row>
    <row r="438" customFormat="false" ht="15" hidden="false" customHeight="false" outlineLevel="0" collapsed="false">
      <c r="A438" s="29" t="n">
        <v>46250</v>
      </c>
      <c r="B438" s="30" t="n">
        <v>3</v>
      </c>
      <c r="C438" s="31" t="s">
        <v>65</v>
      </c>
      <c r="D438" s="31" t="s">
        <v>64</v>
      </c>
      <c r="E438" s="30" t="n">
        <v>60</v>
      </c>
      <c r="F438" s="30" t="n">
        <v>0</v>
      </c>
      <c r="G438" s="30" t="str">
        <f aca="false">IF(E438&lt;判定条件!$C$6,"判定不能",IF(F438&gt;=判定条件!$C$7*E438,"運転",IF(F438&lt;=判定条件!$C$8*E438,"停止","断続")))</f>
        <v>停止</v>
      </c>
      <c r="H438" s="30" t="n">
        <v>60</v>
      </c>
      <c r="I438" s="30" t="n">
        <v>0</v>
      </c>
      <c r="J438" s="30" t="str">
        <f aca="false">IF(H438&lt;判定条件!$C$6,"判定不能",IF(I438&gt;=判定条件!$C$7*H438,"運転",IF(I438&lt;=判定条件!$C$8*H438,"停止","断続")))</f>
        <v>停止</v>
      </c>
      <c r="K438" s="30" t="n">
        <v>60</v>
      </c>
      <c r="L438" s="30" t="n">
        <v>0</v>
      </c>
      <c r="M438" s="30" t="str">
        <f aca="false">IF(K438&lt;判定条件!$C$6,"判定不能",IF(L438&gt;=判定条件!$C$7*K438,"運転",IF(L438&lt;=判定条件!$C$8*K438,"停止","断続")))</f>
        <v>停止</v>
      </c>
      <c r="N438" s="30" t="n">
        <v>60</v>
      </c>
      <c r="O438" s="30" t="n">
        <v>0</v>
      </c>
      <c r="P438" s="30" t="str">
        <f aca="false">IF(N438&lt;判定条件!$C$6,"判定不能",IF(O438&gt;=判定条件!$C$7*N438,"運転",IF(O438&lt;=判定条件!$C$8*N438,"停止","断続")))</f>
        <v>停止</v>
      </c>
      <c r="Q438" s="30" t="n">
        <v>0</v>
      </c>
      <c r="R438" s="30" t="n">
        <v>0</v>
      </c>
      <c r="S438" s="30" t="str">
        <f aca="false">IF(Q438&lt;判定条件!$C$6,"判定不能",IF(R438&gt;=判定条件!$C$7*Q438,"運転",IF(R438&lt;=判定条件!$C$8*Q438,"停止","断続")))</f>
        <v>判定不能</v>
      </c>
      <c r="T438" s="30" t="n">
        <v>60</v>
      </c>
      <c r="U438" s="30" t="n">
        <v>0</v>
      </c>
      <c r="V438" s="30" t="str">
        <f aca="false">IF(T438&lt;判定条件!$C$6,"判定不能",IF(U438&gt;=判定条件!$C$7*T438,"運転",IF(U438&lt;=判定条件!$C$8*T438,"停止","断続")))</f>
        <v>停止</v>
      </c>
      <c r="W438" s="30" t="n">
        <v>60</v>
      </c>
      <c r="X438" s="30" t="n">
        <v>0</v>
      </c>
      <c r="Y438" s="30" t="str">
        <f aca="false">IF(W438&lt;判定条件!$C$6,"判定不能",IF(X438&gt;=判定条件!$C$7*W438,"運転",IF(X438&lt;=判定条件!$C$8*W438,"停止","断続")))</f>
        <v>停止</v>
      </c>
      <c r="Z438" s="30" t="n">
        <v>60</v>
      </c>
      <c r="AA438" s="30" t="n">
        <v>0</v>
      </c>
      <c r="AB438" s="30" t="str">
        <f aca="false">IF(Z438&lt;判定条件!$C$6,"判定不能",IF(AA438&gt;=判定条件!$C$7*Z438,"運転",IF(AA438&lt;=判定条件!$C$8*Z438,"停止","断続")))</f>
        <v>停止</v>
      </c>
      <c r="AC438" s="30" t="n">
        <v>60</v>
      </c>
      <c r="AD438" s="30" t="n">
        <v>0</v>
      </c>
      <c r="AE438" s="30" t="str">
        <f aca="false">IF(AC438&lt;判定条件!$C$6,"判定不能",IF(AD438&gt;=判定条件!$C$7*AC438,"運転",IF(AD438&lt;=判定条件!$C$8*AC438,"停止","断続")))</f>
        <v>停止</v>
      </c>
      <c r="AF438" s="30" t="n">
        <v>60</v>
      </c>
      <c r="AG438" s="30" t="n">
        <v>0</v>
      </c>
      <c r="AH438" s="30" t="str">
        <f aca="false">IF(OR(P438="判定不能",G438="判定不能"),"判定不能",IF(AG438&gt;=判定条件!$C$9,"利用可",IF(AND(P438="停止",G438="停止"),"両方停止","運転がそろわない")))</f>
        <v>両方停止</v>
      </c>
      <c r="AI438" s="30" t="n">
        <v>0</v>
      </c>
      <c r="AJ438" s="30" t="n">
        <v>0</v>
      </c>
      <c r="AK438" s="30" t="str">
        <f aca="false">IF(OR(S438="判定不能",J438="判定不能"),"判定不能",IF(AJ438&gt;=判定条件!$C$9,"利用可",IF(AND(S438="停止",J438="停止"),"両方停止","運転がそろわない")))</f>
        <v>判定不能</v>
      </c>
      <c r="AL438" s="30" t="n">
        <v>60</v>
      </c>
      <c r="AM438" s="30" t="n">
        <v>0</v>
      </c>
      <c r="AN438" s="30" t="str">
        <f aca="false">IF(OR(V438="判定不能",M438="判定不能"),"判定不能",IF(AM438&gt;=判定条件!$C$9,"利用可",IF(AND(V438="停止",M438="停止"),"両方停止","運転がそろわない")))</f>
        <v>両方停止</v>
      </c>
      <c r="AO438" s="30" t="n">
        <v>60</v>
      </c>
      <c r="AP438" s="30" t="n">
        <v>0</v>
      </c>
      <c r="AQ438" s="30" t="str">
        <f aca="false">IF(OR(Y438="判定不能",G438="判定不能"),"判定不能",IF(AP438&gt;=判定条件!$C$9,"利用可",IF(AND(Y438="停止",G438="停止"),"両方停止","運転がそろわない")))</f>
        <v>両方停止</v>
      </c>
      <c r="AR438" s="30" t="n">
        <v>60</v>
      </c>
      <c r="AS438" s="30" t="n">
        <v>0</v>
      </c>
      <c r="AT438" s="30" t="str">
        <f aca="false">IF(OR(AB438="判定不能",J438="判定不能"),"判定不能",IF(AS438&gt;=判定条件!$C$9,"利用可",IF(AND(AB438="停止",J438="停止"),"両方停止","運転がそろわない")))</f>
        <v>両方停止</v>
      </c>
      <c r="AU438" s="30" t="n">
        <v>60</v>
      </c>
      <c r="AV438" s="30" t="n">
        <v>0</v>
      </c>
      <c r="AW438" s="30" t="str">
        <f aca="false">IF(OR(AE438="判定不能",M438="判定不能"),"判定不能",IF(AV438&gt;=判定条件!$C$9,"利用可",IF(AND(AE438="停止",M438="停止"),"両方停止","運転がそろわない")))</f>
        <v>両方停止</v>
      </c>
      <c r="AX438" s="30" t="str">
        <f aca="false">IF(AND(AH438="利用可",AK438="利用可",AN438="利用可"),"利用可","不可")</f>
        <v>不可</v>
      </c>
      <c r="AY438" s="30" t="str">
        <f aca="false">IF(AND(AQ438="利用可",AT438="利用可",AW438="利用可"),"利用可","不可")</f>
        <v>不可</v>
      </c>
    </row>
    <row r="439" customFormat="false" ht="15" hidden="false" customHeight="false" outlineLevel="0" collapsed="false">
      <c r="A439" s="29" t="n">
        <v>46250</v>
      </c>
      <c r="B439" s="30" t="n">
        <v>4</v>
      </c>
      <c r="C439" s="31" t="s">
        <v>65</v>
      </c>
      <c r="D439" s="31" t="s">
        <v>64</v>
      </c>
      <c r="E439" s="30" t="n">
        <v>60</v>
      </c>
      <c r="F439" s="30" t="n">
        <v>0</v>
      </c>
      <c r="G439" s="30" t="str">
        <f aca="false">IF(E439&lt;判定条件!$C$6,"判定不能",IF(F439&gt;=判定条件!$C$7*E439,"運転",IF(F439&lt;=判定条件!$C$8*E439,"停止","断続")))</f>
        <v>停止</v>
      </c>
      <c r="H439" s="30" t="n">
        <v>60</v>
      </c>
      <c r="I439" s="30" t="n">
        <v>0</v>
      </c>
      <c r="J439" s="30" t="str">
        <f aca="false">IF(H439&lt;判定条件!$C$6,"判定不能",IF(I439&gt;=判定条件!$C$7*H439,"運転",IF(I439&lt;=判定条件!$C$8*H439,"停止","断続")))</f>
        <v>停止</v>
      </c>
      <c r="K439" s="30" t="n">
        <v>60</v>
      </c>
      <c r="L439" s="30" t="n">
        <v>0</v>
      </c>
      <c r="M439" s="30" t="str">
        <f aca="false">IF(K439&lt;判定条件!$C$6,"判定不能",IF(L439&gt;=判定条件!$C$7*K439,"運転",IF(L439&lt;=判定条件!$C$8*K439,"停止","断続")))</f>
        <v>停止</v>
      </c>
      <c r="N439" s="30" t="n">
        <v>60</v>
      </c>
      <c r="O439" s="30" t="n">
        <v>0</v>
      </c>
      <c r="P439" s="30" t="str">
        <f aca="false">IF(N439&lt;判定条件!$C$6,"判定不能",IF(O439&gt;=判定条件!$C$7*N439,"運転",IF(O439&lt;=判定条件!$C$8*N439,"停止","断続")))</f>
        <v>停止</v>
      </c>
      <c r="Q439" s="30" t="n">
        <v>0</v>
      </c>
      <c r="R439" s="30" t="n">
        <v>0</v>
      </c>
      <c r="S439" s="30" t="str">
        <f aca="false">IF(Q439&lt;判定条件!$C$6,"判定不能",IF(R439&gt;=判定条件!$C$7*Q439,"運転",IF(R439&lt;=判定条件!$C$8*Q439,"停止","断続")))</f>
        <v>判定不能</v>
      </c>
      <c r="T439" s="30" t="n">
        <v>60</v>
      </c>
      <c r="U439" s="30" t="n">
        <v>0</v>
      </c>
      <c r="V439" s="30" t="str">
        <f aca="false">IF(T439&lt;判定条件!$C$6,"判定不能",IF(U439&gt;=判定条件!$C$7*T439,"運転",IF(U439&lt;=判定条件!$C$8*T439,"停止","断続")))</f>
        <v>停止</v>
      </c>
      <c r="W439" s="30" t="n">
        <v>60</v>
      </c>
      <c r="X439" s="30" t="n">
        <v>0</v>
      </c>
      <c r="Y439" s="30" t="str">
        <f aca="false">IF(W439&lt;判定条件!$C$6,"判定不能",IF(X439&gt;=判定条件!$C$7*W439,"運転",IF(X439&lt;=判定条件!$C$8*W439,"停止","断続")))</f>
        <v>停止</v>
      </c>
      <c r="Z439" s="30" t="n">
        <v>60</v>
      </c>
      <c r="AA439" s="30" t="n">
        <v>0</v>
      </c>
      <c r="AB439" s="30" t="str">
        <f aca="false">IF(Z439&lt;判定条件!$C$6,"判定不能",IF(AA439&gt;=判定条件!$C$7*Z439,"運転",IF(AA439&lt;=判定条件!$C$8*Z439,"停止","断続")))</f>
        <v>停止</v>
      </c>
      <c r="AC439" s="30" t="n">
        <v>60</v>
      </c>
      <c r="AD439" s="30" t="n">
        <v>0</v>
      </c>
      <c r="AE439" s="30" t="str">
        <f aca="false">IF(AC439&lt;判定条件!$C$6,"判定不能",IF(AD439&gt;=判定条件!$C$7*AC439,"運転",IF(AD439&lt;=判定条件!$C$8*AC439,"停止","断続")))</f>
        <v>停止</v>
      </c>
      <c r="AF439" s="30" t="n">
        <v>60</v>
      </c>
      <c r="AG439" s="30" t="n">
        <v>0</v>
      </c>
      <c r="AH439" s="30" t="str">
        <f aca="false">IF(OR(P439="判定不能",G439="判定不能"),"判定不能",IF(AG439&gt;=判定条件!$C$9,"利用可",IF(AND(P439="停止",G439="停止"),"両方停止","運転がそろわない")))</f>
        <v>両方停止</v>
      </c>
      <c r="AI439" s="30" t="n">
        <v>0</v>
      </c>
      <c r="AJ439" s="30" t="n">
        <v>0</v>
      </c>
      <c r="AK439" s="30" t="str">
        <f aca="false">IF(OR(S439="判定不能",J439="判定不能"),"判定不能",IF(AJ439&gt;=判定条件!$C$9,"利用可",IF(AND(S439="停止",J439="停止"),"両方停止","運転がそろわない")))</f>
        <v>判定不能</v>
      </c>
      <c r="AL439" s="30" t="n">
        <v>60</v>
      </c>
      <c r="AM439" s="30" t="n">
        <v>0</v>
      </c>
      <c r="AN439" s="30" t="str">
        <f aca="false">IF(OR(V439="判定不能",M439="判定不能"),"判定不能",IF(AM439&gt;=判定条件!$C$9,"利用可",IF(AND(V439="停止",M439="停止"),"両方停止","運転がそろわない")))</f>
        <v>両方停止</v>
      </c>
      <c r="AO439" s="30" t="n">
        <v>60</v>
      </c>
      <c r="AP439" s="30" t="n">
        <v>0</v>
      </c>
      <c r="AQ439" s="30" t="str">
        <f aca="false">IF(OR(Y439="判定不能",G439="判定不能"),"判定不能",IF(AP439&gt;=判定条件!$C$9,"利用可",IF(AND(Y439="停止",G439="停止"),"両方停止","運転がそろわない")))</f>
        <v>両方停止</v>
      </c>
      <c r="AR439" s="30" t="n">
        <v>60</v>
      </c>
      <c r="AS439" s="30" t="n">
        <v>0</v>
      </c>
      <c r="AT439" s="30" t="str">
        <f aca="false">IF(OR(AB439="判定不能",J439="判定不能"),"判定不能",IF(AS439&gt;=判定条件!$C$9,"利用可",IF(AND(AB439="停止",J439="停止"),"両方停止","運転がそろわない")))</f>
        <v>両方停止</v>
      </c>
      <c r="AU439" s="30" t="n">
        <v>60</v>
      </c>
      <c r="AV439" s="30" t="n">
        <v>0</v>
      </c>
      <c r="AW439" s="30" t="str">
        <f aca="false">IF(OR(AE439="判定不能",M439="判定不能"),"判定不能",IF(AV439&gt;=判定条件!$C$9,"利用可",IF(AND(AE439="停止",M439="停止"),"両方停止","運転がそろわない")))</f>
        <v>両方停止</v>
      </c>
      <c r="AX439" s="30" t="str">
        <f aca="false">IF(AND(AH439="利用可",AK439="利用可",AN439="利用可"),"利用可","不可")</f>
        <v>不可</v>
      </c>
      <c r="AY439" s="30" t="str">
        <f aca="false">IF(AND(AQ439="利用可",AT439="利用可",AW439="利用可"),"利用可","不可")</f>
        <v>不可</v>
      </c>
    </row>
    <row r="440" customFormat="false" ht="15" hidden="false" customHeight="false" outlineLevel="0" collapsed="false">
      <c r="A440" s="29" t="n">
        <v>46250</v>
      </c>
      <c r="B440" s="30" t="n">
        <v>5</v>
      </c>
      <c r="C440" s="31" t="s">
        <v>65</v>
      </c>
      <c r="D440" s="31" t="s">
        <v>64</v>
      </c>
      <c r="E440" s="30" t="n">
        <v>60</v>
      </c>
      <c r="F440" s="30" t="n">
        <v>0</v>
      </c>
      <c r="G440" s="30" t="str">
        <f aca="false">IF(E440&lt;判定条件!$C$6,"判定不能",IF(F440&gt;=判定条件!$C$7*E440,"運転",IF(F440&lt;=判定条件!$C$8*E440,"停止","断続")))</f>
        <v>停止</v>
      </c>
      <c r="H440" s="30" t="n">
        <v>60</v>
      </c>
      <c r="I440" s="30" t="n">
        <v>0</v>
      </c>
      <c r="J440" s="30" t="str">
        <f aca="false">IF(H440&lt;判定条件!$C$6,"判定不能",IF(I440&gt;=判定条件!$C$7*H440,"運転",IF(I440&lt;=判定条件!$C$8*H440,"停止","断続")))</f>
        <v>停止</v>
      </c>
      <c r="K440" s="30" t="n">
        <v>60</v>
      </c>
      <c r="L440" s="30" t="n">
        <v>0</v>
      </c>
      <c r="M440" s="30" t="str">
        <f aca="false">IF(K440&lt;判定条件!$C$6,"判定不能",IF(L440&gt;=判定条件!$C$7*K440,"運転",IF(L440&lt;=判定条件!$C$8*K440,"停止","断続")))</f>
        <v>停止</v>
      </c>
      <c r="N440" s="30" t="n">
        <v>60</v>
      </c>
      <c r="O440" s="30" t="n">
        <v>0</v>
      </c>
      <c r="P440" s="30" t="str">
        <f aca="false">IF(N440&lt;判定条件!$C$6,"判定不能",IF(O440&gt;=判定条件!$C$7*N440,"運転",IF(O440&lt;=判定条件!$C$8*N440,"停止","断続")))</f>
        <v>停止</v>
      </c>
      <c r="Q440" s="30" t="n">
        <v>0</v>
      </c>
      <c r="R440" s="30" t="n">
        <v>0</v>
      </c>
      <c r="S440" s="30" t="str">
        <f aca="false">IF(Q440&lt;判定条件!$C$6,"判定不能",IF(R440&gt;=判定条件!$C$7*Q440,"運転",IF(R440&lt;=判定条件!$C$8*Q440,"停止","断続")))</f>
        <v>判定不能</v>
      </c>
      <c r="T440" s="30" t="n">
        <v>60</v>
      </c>
      <c r="U440" s="30" t="n">
        <v>0</v>
      </c>
      <c r="V440" s="30" t="str">
        <f aca="false">IF(T440&lt;判定条件!$C$6,"判定不能",IF(U440&gt;=判定条件!$C$7*T440,"運転",IF(U440&lt;=判定条件!$C$8*T440,"停止","断続")))</f>
        <v>停止</v>
      </c>
      <c r="W440" s="30" t="n">
        <v>60</v>
      </c>
      <c r="X440" s="30" t="n">
        <v>0</v>
      </c>
      <c r="Y440" s="30" t="str">
        <f aca="false">IF(W440&lt;判定条件!$C$6,"判定不能",IF(X440&gt;=判定条件!$C$7*W440,"運転",IF(X440&lt;=判定条件!$C$8*W440,"停止","断続")))</f>
        <v>停止</v>
      </c>
      <c r="Z440" s="30" t="n">
        <v>60</v>
      </c>
      <c r="AA440" s="30" t="n">
        <v>0</v>
      </c>
      <c r="AB440" s="30" t="str">
        <f aca="false">IF(Z440&lt;判定条件!$C$6,"判定不能",IF(AA440&gt;=判定条件!$C$7*Z440,"運転",IF(AA440&lt;=判定条件!$C$8*Z440,"停止","断続")))</f>
        <v>停止</v>
      </c>
      <c r="AC440" s="30" t="n">
        <v>60</v>
      </c>
      <c r="AD440" s="30" t="n">
        <v>0</v>
      </c>
      <c r="AE440" s="30" t="str">
        <f aca="false">IF(AC440&lt;判定条件!$C$6,"判定不能",IF(AD440&gt;=判定条件!$C$7*AC440,"運転",IF(AD440&lt;=判定条件!$C$8*AC440,"停止","断続")))</f>
        <v>停止</v>
      </c>
      <c r="AF440" s="30" t="n">
        <v>60</v>
      </c>
      <c r="AG440" s="30" t="n">
        <v>0</v>
      </c>
      <c r="AH440" s="30" t="str">
        <f aca="false">IF(OR(P440="判定不能",G440="判定不能"),"判定不能",IF(AG440&gt;=判定条件!$C$9,"利用可",IF(AND(P440="停止",G440="停止"),"両方停止","運転がそろわない")))</f>
        <v>両方停止</v>
      </c>
      <c r="AI440" s="30" t="n">
        <v>0</v>
      </c>
      <c r="AJ440" s="30" t="n">
        <v>0</v>
      </c>
      <c r="AK440" s="30" t="str">
        <f aca="false">IF(OR(S440="判定不能",J440="判定不能"),"判定不能",IF(AJ440&gt;=判定条件!$C$9,"利用可",IF(AND(S440="停止",J440="停止"),"両方停止","運転がそろわない")))</f>
        <v>判定不能</v>
      </c>
      <c r="AL440" s="30" t="n">
        <v>60</v>
      </c>
      <c r="AM440" s="30" t="n">
        <v>0</v>
      </c>
      <c r="AN440" s="30" t="str">
        <f aca="false">IF(OR(V440="判定不能",M440="判定不能"),"判定不能",IF(AM440&gt;=判定条件!$C$9,"利用可",IF(AND(V440="停止",M440="停止"),"両方停止","運転がそろわない")))</f>
        <v>両方停止</v>
      </c>
      <c r="AO440" s="30" t="n">
        <v>60</v>
      </c>
      <c r="AP440" s="30" t="n">
        <v>0</v>
      </c>
      <c r="AQ440" s="30" t="str">
        <f aca="false">IF(OR(Y440="判定不能",G440="判定不能"),"判定不能",IF(AP440&gt;=判定条件!$C$9,"利用可",IF(AND(Y440="停止",G440="停止"),"両方停止","運転がそろわない")))</f>
        <v>両方停止</v>
      </c>
      <c r="AR440" s="30" t="n">
        <v>60</v>
      </c>
      <c r="AS440" s="30" t="n">
        <v>0</v>
      </c>
      <c r="AT440" s="30" t="str">
        <f aca="false">IF(OR(AB440="判定不能",J440="判定不能"),"判定不能",IF(AS440&gt;=判定条件!$C$9,"利用可",IF(AND(AB440="停止",J440="停止"),"両方停止","運転がそろわない")))</f>
        <v>両方停止</v>
      </c>
      <c r="AU440" s="30" t="n">
        <v>60</v>
      </c>
      <c r="AV440" s="30" t="n">
        <v>0</v>
      </c>
      <c r="AW440" s="30" t="str">
        <f aca="false">IF(OR(AE440="判定不能",M440="判定不能"),"判定不能",IF(AV440&gt;=判定条件!$C$9,"利用可",IF(AND(AE440="停止",M440="停止"),"両方停止","運転がそろわない")))</f>
        <v>両方停止</v>
      </c>
      <c r="AX440" s="30" t="str">
        <f aca="false">IF(AND(AH440="利用可",AK440="利用可",AN440="利用可"),"利用可","不可")</f>
        <v>不可</v>
      </c>
      <c r="AY440" s="30" t="str">
        <f aca="false">IF(AND(AQ440="利用可",AT440="利用可",AW440="利用可"),"利用可","不可")</f>
        <v>不可</v>
      </c>
    </row>
    <row r="441" customFormat="false" ht="15" hidden="false" customHeight="false" outlineLevel="0" collapsed="false">
      <c r="A441" s="29" t="n">
        <v>46250</v>
      </c>
      <c r="B441" s="30" t="n">
        <v>6</v>
      </c>
      <c r="C441" s="31" t="s">
        <v>65</v>
      </c>
      <c r="D441" s="31" t="s">
        <v>64</v>
      </c>
      <c r="E441" s="30" t="n">
        <v>60</v>
      </c>
      <c r="F441" s="30" t="n">
        <v>0</v>
      </c>
      <c r="G441" s="30" t="str">
        <f aca="false">IF(E441&lt;判定条件!$C$6,"判定不能",IF(F441&gt;=判定条件!$C$7*E441,"運転",IF(F441&lt;=判定条件!$C$8*E441,"停止","断続")))</f>
        <v>停止</v>
      </c>
      <c r="H441" s="30" t="n">
        <v>60</v>
      </c>
      <c r="I441" s="30" t="n">
        <v>0</v>
      </c>
      <c r="J441" s="30" t="str">
        <f aca="false">IF(H441&lt;判定条件!$C$6,"判定不能",IF(I441&gt;=判定条件!$C$7*H441,"運転",IF(I441&lt;=判定条件!$C$8*H441,"停止","断続")))</f>
        <v>停止</v>
      </c>
      <c r="K441" s="30" t="n">
        <v>60</v>
      </c>
      <c r="L441" s="30" t="n">
        <v>0</v>
      </c>
      <c r="M441" s="30" t="str">
        <f aca="false">IF(K441&lt;判定条件!$C$6,"判定不能",IF(L441&gt;=判定条件!$C$7*K441,"運転",IF(L441&lt;=判定条件!$C$8*K441,"停止","断続")))</f>
        <v>停止</v>
      </c>
      <c r="N441" s="30" t="n">
        <v>60</v>
      </c>
      <c r="O441" s="30" t="n">
        <v>16</v>
      </c>
      <c r="P441" s="30" t="str">
        <f aca="false">IF(N441&lt;判定条件!$C$6,"判定不能",IF(O441&gt;=判定条件!$C$7*N441,"運転",IF(O441&lt;=判定条件!$C$8*N441,"停止","断続")))</f>
        <v>断続</v>
      </c>
      <c r="Q441" s="30" t="n">
        <v>0</v>
      </c>
      <c r="R441" s="30" t="n">
        <v>0</v>
      </c>
      <c r="S441" s="30" t="str">
        <f aca="false">IF(Q441&lt;判定条件!$C$6,"判定不能",IF(R441&gt;=判定条件!$C$7*Q441,"運転",IF(R441&lt;=判定条件!$C$8*Q441,"停止","断続")))</f>
        <v>判定不能</v>
      </c>
      <c r="T441" s="30" t="n">
        <v>60</v>
      </c>
      <c r="U441" s="30" t="n">
        <v>0</v>
      </c>
      <c r="V441" s="30" t="str">
        <f aca="false">IF(T441&lt;判定条件!$C$6,"判定不能",IF(U441&gt;=判定条件!$C$7*T441,"運転",IF(U441&lt;=判定条件!$C$8*T441,"停止","断続")))</f>
        <v>停止</v>
      </c>
      <c r="W441" s="30" t="n">
        <v>60</v>
      </c>
      <c r="X441" s="30" t="n">
        <v>41</v>
      </c>
      <c r="Y441" s="30" t="str">
        <f aca="false">IF(W441&lt;判定条件!$C$6,"判定不能",IF(X441&gt;=判定条件!$C$7*W441,"運転",IF(X441&lt;=判定条件!$C$8*W441,"停止","断続")))</f>
        <v>断続</v>
      </c>
      <c r="Z441" s="30" t="n">
        <v>60</v>
      </c>
      <c r="AA441" s="30" t="n">
        <v>34</v>
      </c>
      <c r="AB441" s="30" t="str">
        <f aca="false">IF(Z441&lt;判定条件!$C$6,"判定不能",IF(AA441&gt;=判定条件!$C$7*Z441,"運転",IF(AA441&lt;=判定条件!$C$8*Z441,"停止","断続")))</f>
        <v>断続</v>
      </c>
      <c r="AC441" s="30" t="n">
        <v>60</v>
      </c>
      <c r="AD441" s="30" t="n">
        <v>0</v>
      </c>
      <c r="AE441" s="30" t="str">
        <f aca="false">IF(AC441&lt;判定条件!$C$6,"判定不能",IF(AD441&gt;=判定条件!$C$7*AC441,"運転",IF(AD441&lt;=判定条件!$C$8*AC441,"停止","断続")))</f>
        <v>停止</v>
      </c>
      <c r="AF441" s="30" t="n">
        <v>60</v>
      </c>
      <c r="AG441" s="30" t="n">
        <v>0</v>
      </c>
      <c r="AH441" s="30" t="str">
        <f aca="false">IF(OR(P441="判定不能",G441="判定不能"),"判定不能",IF(AG441&gt;=判定条件!$C$9,"利用可",IF(AND(P441="停止",G441="停止"),"両方停止","運転がそろわない")))</f>
        <v>運転がそろわない</v>
      </c>
      <c r="AI441" s="30" t="n">
        <v>0</v>
      </c>
      <c r="AJ441" s="30" t="n">
        <v>0</v>
      </c>
      <c r="AK441" s="30" t="str">
        <f aca="false">IF(OR(S441="判定不能",J441="判定不能"),"判定不能",IF(AJ441&gt;=判定条件!$C$9,"利用可",IF(AND(S441="停止",J441="停止"),"両方停止","運転がそろわない")))</f>
        <v>判定不能</v>
      </c>
      <c r="AL441" s="30" t="n">
        <v>60</v>
      </c>
      <c r="AM441" s="30" t="n">
        <v>0</v>
      </c>
      <c r="AN441" s="30" t="str">
        <f aca="false">IF(OR(V441="判定不能",M441="判定不能"),"判定不能",IF(AM441&gt;=判定条件!$C$9,"利用可",IF(AND(V441="停止",M441="停止"),"両方停止","運転がそろわない")))</f>
        <v>両方停止</v>
      </c>
      <c r="AO441" s="30" t="n">
        <v>60</v>
      </c>
      <c r="AP441" s="30" t="n">
        <v>0</v>
      </c>
      <c r="AQ441" s="30" t="str">
        <f aca="false">IF(OR(Y441="判定不能",G441="判定不能"),"判定不能",IF(AP441&gt;=判定条件!$C$9,"利用可",IF(AND(Y441="停止",G441="停止"),"両方停止","運転がそろわない")))</f>
        <v>運転がそろわない</v>
      </c>
      <c r="AR441" s="30" t="n">
        <v>60</v>
      </c>
      <c r="AS441" s="30" t="n">
        <v>0</v>
      </c>
      <c r="AT441" s="30" t="str">
        <f aca="false">IF(OR(AB441="判定不能",J441="判定不能"),"判定不能",IF(AS441&gt;=判定条件!$C$9,"利用可",IF(AND(AB441="停止",J441="停止"),"両方停止","運転がそろわない")))</f>
        <v>運転がそろわない</v>
      </c>
      <c r="AU441" s="30" t="n">
        <v>60</v>
      </c>
      <c r="AV441" s="30" t="n">
        <v>0</v>
      </c>
      <c r="AW441" s="30" t="str">
        <f aca="false">IF(OR(AE441="判定不能",M441="判定不能"),"判定不能",IF(AV441&gt;=判定条件!$C$9,"利用可",IF(AND(AE441="停止",M441="停止"),"両方停止","運転がそろわない")))</f>
        <v>両方停止</v>
      </c>
      <c r="AX441" s="30" t="str">
        <f aca="false">IF(AND(AH441="利用可",AK441="利用可",AN441="利用可"),"利用可","不可")</f>
        <v>不可</v>
      </c>
      <c r="AY441" s="30" t="str">
        <f aca="false">IF(AND(AQ441="利用可",AT441="利用可",AW441="利用可"),"利用可","不可")</f>
        <v>不可</v>
      </c>
    </row>
    <row r="442" customFormat="false" ht="15" hidden="false" customHeight="false" outlineLevel="0" collapsed="false">
      <c r="A442" s="29" t="n">
        <v>46250</v>
      </c>
      <c r="B442" s="30" t="n">
        <v>7</v>
      </c>
      <c r="C442" s="31" t="s">
        <v>65</v>
      </c>
      <c r="D442" s="31" t="s">
        <v>64</v>
      </c>
      <c r="E442" s="30" t="n">
        <v>60</v>
      </c>
      <c r="F442" s="30" t="n">
        <v>0</v>
      </c>
      <c r="G442" s="30" t="str">
        <f aca="false">IF(E442&lt;判定条件!$C$6,"判定不能",IF(F442&gt;=判定条件!$C$7*E442,"運転",IF(F442&lt;=判定条件!$C$8*E442,"停止","断続")))</f>
        <v>停止</v>
      </c>
      <c r="H442" s="30" t="n">
        <v>60</v>
      </c>
      <c r="I442" s="30" t="n">
        <v>0</v>
      </c>
      <c r="J442" s="30" t="str">
        <f aca="false">IF(H442&lt;判定条件!$C$6,"判定不能",IF(I442&gt;=判定条件!$C$7*H442,"運転",IF(I442&lt;=判定条件!$C$8*H442,"停止","断続")))</f>
        <v>停止</v>
      </c>
      <c r="K442" s="30" t="n">
        <v>60</v>
      </c>
      <c r="L442" s="30" t="n">
        <v>0</v>
      </c>
      <c r="M442" s="30" t="str">
        <f aca="false">IF(K442&lt;判定条件!$C$6,"判定不能",IF(L442&gt;=判定条件!$C$7*K442,"運転",IF(L442&lt;=判定条件!$C$8*K442,"停止","断続")))</f>
        <v>停止</v>
      </c>
      <c r="N442" s="30" t="n">
        <v>60</v>
      </c>
      <c r="O442" s="30" t="n">
        <v>45</v>
      </c>
      <c r="P442" s="30" t="str">
        <f aca="false">IF(N442&lt;判定条件!$C$6,"判定不能",IF(O442&gt;=判定条件!$C$7*N442,"運転",IF(O442&lt;=判定条件!$C$8*N442,"停止","断続")))</f>
        <v>断続</v>
      </c>
      <c r="Q442" s="30" t="n">
        <v>0</v>
      </c>
      <c r="R442" s="30" t="n">
        <v>0</v>
      </c>
      <c r="S442" s="30" t="str">
        <f aca="false">IF(Q442&lt;判定条件!$C$6,"判定不能",IF(R442&gt;=判定条件!$C$7*Q442,"運転",IF(R442&lt;=判定条件!$C$8*Q442,"停止","断続")))</f>
        <v>判定不能</v>
      </c>
      <c r="T442" s="30" t="n">
        <v>60</v>
      </c>
      <c r="U442" s="30" t="n">
        <v>17</v>
      </c>
      <c r="V442" s="30" t="str">
        <f aca="false">IF(T442&lt;判定条件!$C$6,"判定不能",IF(U442&gt;=判定条件!$C$7*T442,"運転",IF(U442&lt;=判定条件!$C$8*T442,"停止","断続")))</f>
        <v>断続</v>
      </c>
      <c r="W442" s="30" t="n">
        <v>60</v>
      </c>
      <c r="X442" s="30" t="n">
        <v>60</v>
      </c>
      <c r="Y442" s="30" t="str">
        <f aca="false">IF(W442&lt;判定条件!$C$6,"判定不能",IF(X442&gt;=判定条件!$C$7*W442,"運転",IF(X442&lt;=判定条件!$C$8*W442,"停止","断続")))</f>
        <v>運転</v>
      </c>
      <c r="Z442" s="30" t="n">
        <v>60</v>
      </c>
      <c r="AA442" s="30" t="n">
        <v>54</v>
      </c>
      <c r="AB442" s="30" t="str">
        <f aca="false">IF(Z442&lt;判定条件!$C$6,"判定不能",IF(AA442&gt;=判定条件!$C$7*Z442,"運転",IF(AA442&lt;=判定条件!$C$8*Z442,"停止","断続")))</f>
        <v>運転</v>
      </c>
      <c r="AC442" s="30" t="n">
        <v>60</v>
      </c>
      <c r="AD442" s="30" t="n">
        <v>16</v>
      </c>
      <c r="AE442" s="30" t="str">
        <f aca="false">IF(AC442&lt;判定条件!$C$6,"判定不能",IF(AD442&gt;=判定条件!$C$7*AC442,"運転",IF(AD442&lt;=判定条件!$C$8*AC442,"停止","断続")))</f>
        <v>断続</v>
      </c>
      <c r="AF442" s="30" t="n">
        <v>60</v>
      </c>
      <c r="AG442" s="30" t="n">
        <v>0</v>
      </c>
      <c r="AH442" s="30" t="str">
        <f aca="false">IF(OR(P442="判定不能",G442="判定不能"),"判定不能",IF(AG442&gt;=判定条件!$C$9,"利用可",IF(AND(P442="停止",G442="停止"),"両方停止","運転がそろわない")))</f>
        <v>運転がそろわない</v>
      </c>
      <c r="AI442" s="30" t="n">
        <v>0</v>
      </c>
      <c r="AJ442" s="30" t="n">
        <v>0</v>
      </c>
      <c r="AK442" s="30" t="str">
        <f aca="false">IF(OR(S442="判定不能",J442="判定不能"),"判定不能",IF(AJ442&gt;=判定条件!$C$9,"利用可",IF(AND(S442="停止",J442="停止"),"両方停止","運転がそろわない")))</f>
        <v>判定不能</v>
      </c>
      <c r="AL442" s="30" t="n">
        <v>60</v>
      </c>
      <c r="AM442" s="30" t="n">
        <v>0</v>
      </c>
      <c r="AN442" s="30" t="str">
        <f aca="false">IF(OR(V442="判定不能",M442="判定不能"),"判定不能",IF(AM442&gt;=判定条件!$C$9,"利用可",IF(AND(V442="停止",M442="停止"),"両方停止","運転がそろわない")))</f>
        <v>運転がそろわない</v>
      </c>
      <c r="AO442" s="30" t="n">
        <v>60</v>
      </c>
      <c r="AP442" s="30" t="n">
        <v>0</v>
      </c>
      <c r="AQ442" s="30" t="str">
        <f aca="false">IF(OR(Y442="判定不能",G442="判定不能"),"判定不能",IF(AP442&gt;=判定条件!$C$9,"利用可",IF(AND(Y442="停止",G442="停止"),"両方停止","運転がそろわない")))</f>
        <v>運転がそろわない</v>
      </c>
      <c r="AR442" s="30" t="n">
        <v>60</v>
      </c>
      <c r="AS442" s="30" t="n">
        <v>0</v>
      </c>
      <c r="AT442" s="30" t="str">
        <f aca="false">IF(OR(AB442="判定不能",J442="判定不能"),"判定不能",IF(AS442&gt;=判定条件!$C$9,"利用可",IF(AND(AB442="停止",J442="停止"),"両方停止","運転がそろわない")))</f>
        <v>運転がそろわない</v>
      </c>
      <c r="AU442" s="30" t="n">
        <v>60</v>
      </c>
      <c r="AV442" s="30" t="n">
        <v>0</v>
      </c>
      <c r="AW442" s="30" t="str">
        <f aca="false">IF(OR(AE442="判定不能",M442="判定不能"),"判定不能",IF(AV442&gt;=判定条件!$C$9,"利用可",IF(AND(AE442="停止",M442="停止"),"両方停止","運転がそろわない")))</f>
        <v>運転がそろわない</v>
      </c>
      <c r="AX442" s="30" t="str">
        <f aca="false">IF(AND(AH442="利用可",AK442="利用可",AN442="利用可"),"利用可","不可")</f>
        <v>不可</v>
      </c>
      <c r="AY442" s="30" t="str">
        <f aca="false">IF(AND(AQ442="利用可",AT442="利用可",AW442="利用可"),"利用可","不可")</f>
        <v>不可</v>
      </c>
    </row>
    <row r="443" customFormat="false" ht="15" hidden="false" customHeight="false" outlineLevel="0" collapsed="false">
      <c r="A443" s="29" t="n">
        <v>46250</v>
      </c>
      <c r="B443" s="30" t="n">
        <v>8</v>
      </c>
      <c r="C443" s="31" t="s">
        <v>65</v>
      </c>
      <c r="D443" s="31" t="s">
        <v>64</v>
      </c>
      <c r="E443" s="30" t="n">
        <v>60</v>
      </c>
      <c r="F443" s="30" t="n">
        <v>38</v>
      </c>
      <c r="G443" s="30" t="str">
        <f aca="false">IF(E443&lt;判定条件!$C$6,"判定不能",IF(F443&gt;=判定条件!$C$7*E443,"運転",IF(F443&lt;=判定条件!$C$8*E443,"停止","断続")))</f>
        <v>断続</v>
      </c>
      <c r="H443" s="30" t="n">
        <v>60</v>
      </c>
      <c r="I443" s="30" t="n">
        <v>38</v>
      </c>
      <c r="J443" s="30" t="str">
        <f aca="false">IF(H443&lt;判定条件!$C$6,"判定不能",IF(I443&gt;=判定条件!$C$7*H443,"運転",IF(I443&lt;=判定条件!$C$8*H443,"停止","断続")))</f>
        <v>断続</v>
      </c>
      <c r="K443" s="30" t="n">
        <v>60</v>
      </c>
      <c r="L443" s="30" t="n">
        <v>38</v>
      </c>
      <c r="M443" s="30" t="str">
        <f aca="false">IF(K443&lt;判定条件!$C$6,"判定不能",IF(L443&gt;=判定条件!$C$7*K443,"運転",IF(L443&lt;=判定条件!$C$8*K443,"停止","断続")))</f>
        <v>断続</v>
      </c>
      <c r="N443" s="30" t="n">
        <v>60</v>
      </c>
      <c r="O443" s="30" t="n">
        <v>16</v>
      </c>
      <c r="P443" s="30" t="str">
        <f aca="false">IF(N443&lt;判定条件!$C$6,"判定不能",IF(O443&gt;=判定条件!$C$7*N443,"運転",IF(O443&lt;=判定条件!$C$8*N443,"停止","断続")))</f>
        <v>断続</v>
      </c>
      <c r="Q443" s="30" t="n">
        <v>0</v>
      </c>
      <c r="R443" s="30" t="n">
        <v>0</v>
      </c>
      <c r="S443" s="30" t="str">
        <f aca="false">IF(Q443&lt;判定条件!$C$6,"判定不能",IF(R443&gt;=判定条件!$C$7*Q443,"運転",IF(R443&lt;=判定条件!$C$8*Q443,"停止","断続")))</f>
        <v>判定不能</v>
      </c>
      <c r="T443" s="30" t="n">
        <v>60</v>
      </c>
      <c r="U443" s="30" t="n">
        <v>0</v>
      </c>
      <c r="V443" s="30" t="str">
        <f aca="false">IF(T443&lt;判定条件!$C$6,"判定不能",IF(U443&gt;=判定条件!$C$7*T443,"運転",IF(U443&lt;=判定条件!$C$8*T443,"停止","断続")))</f>
        <v>停止</v>
      </c>
      <c r="W443" s="30" t="n">
        <v>60</v>
      </c>
      <c r="X443" s="30" t="n">
        <v>60</v>
      </c>
      <c r="Y443" s="30" t="str">
        <f aca="false">IF(W443&lt;判定条件!$C$6,"判定不能",IF(X443&gt;=判定条件!$C$7*W443,"運転",IF(X443&lt;=判定条件!$C$8*W443,"停止","断続")))</f>
        <v>運転</v>
      </c>
      <c r="Z443" s="30" t="n">
        <v>60</v>
      </c>
      <c r="AA443" s="30" t="n">
        <v>54</v>
      </c>
      <c r="AB443" s="30" t="str">
        <f aca="false">IF(Z443&lt;判定条件!$C$6,"判定不能",IF(AA443&gt;=判定条件!$C$7*Z443,"運転",IF(AA443&lt;=判定条件!$C$8*Z443,"停止","断続")))</f>
        <v>運転</v>
      </c>
      <c r="AC443" s="30" t="n">
        <v>60</v>
      </c>
      <c r="AD443" s="30" t="n">
        <v>56</v>
      </c>
      <c r="AE443" s="30" t="str">
        <f aca="false">IF(AC443&lt;判定条件!$C$6,"判定不能",IF(AD443&gt;=判定条件!$C$7*AC443,"運転",IF(AD443&lt;=判定条件!$C$8*AC443,"停止","断続")))</f>
        <v>運転</v>
      </c>
      <c r="AF443" s="30" t="n">
        <v>60</v>
      </c>
      <c r="AG443" s="30" t="n">
        <v>16</v>
      </c>
      <c r="AH443" s="30" t="str">
        <f aca="false">IF(OR(P443="判定不能",G443="判定不能"),"判定不能",IF(AG443&gt;=判定条件!$C$9,"利用可",IF(AND(P443="停止",G443="停止"),"両方停止","運転がそろわない")))</f>
        <v>運転がそろわない</v>
      </c>
      <c r="AI443" s="30" t="n">
        <v>0</v>
      </c>
      <c r="AJ443" s="30" t="n">
        <v>0</v>
      </c>
      <c r="AK443" s="30" t="str">
        <f aca="false">IF(OR(S443="判定不能",J443="判定不能"),"判定不能",IF(AJ443&gt;=判定条件!$C$9,"利用可",IF(AND(S443="停止",J443="停止"),"両方停止","運転がそろわない")))</f>
        <v>判定不能</v>
      </c>
      <c r="AL443" s="30" t="n">
        <v>60</v>
      </c>
      <c r="AM443" s="30" t="n">
        <v>0</v>
      </c>
      <c r="AN443" s="30" t="str">
        <f aca="false">IF(OR(V443="判定不能",M443="判定不能"),"判定不能",IF(AM443&gt;=判定条件!$C$9,"利用可",IF(AND(V443="停止",M443="停止"),"両方停止","運転がそろわない")))</f>
        <v>運転がそろわない</v>
      </c>
      <c r="AO443" s="30" t="n">
        <v>60</v>
      </c>
      <c r="AP443" s="30" t="n">
        <v>38</v>
      </c>
      <c r="AQ443" s="30" t="str">
        <f aca="false">IF(OR(Y443="判定不能",G443="判定不能"),"判定不能",IF(AP443&gt;=判定条件!$C$9,"利用可",IF(AND(Y443="停止",G443="停止"),"両方停止","運転がそろわない")))</f>
        <v>利用可</v>
      </c>
      <c r="AR443" s="30" t="n">
        <v>60</v>
      </c>
      <c r="AS443" s="30" t="n">
        <v>34</v>
      </c>
      <c r="AT443" s="30" t="str">
        <f aca="false">IF(OR(AB443="判定不能",J443="判定不能"),"判定不能",IF(AS443&gt;=判定条件!$C$9,"利用可",IF(AND(AB443="停止",J443="停止"),"両方停止","運転がそろわない")))</f>
        <v>利用可</v>
      </c>
      <c r="AU443" s="30" t="n">
        <v>60</v>
      </c>
      <c r="AV443" s="30" t="n">
        <v>38</v>
      </c>
      <c r="AW443" s="30" t="str">
        <f aca="false">IF(OR(AE443="判定不能",M443="判定不能"),"判定不能",IF(AV443&gt;=判定条件!$C$9,"利用可",IF(AND(AE443="停止",M443="停止"),"両方停止","運転がそろわない")))</f>
        <v>利用可</v>
      </c>
      <c r="AX443" s="30" t="str">
        <f aca="false">IF(AND(AH443="利用可",AK443="利用可",AN443="利用可"),"利用可","不可")</f>
        <v>不可</v>
      </c>
      <c r="AY443" s="30" t="str">
        <f aca="false">IF(AND(AQ443="利用可",AT443="利用可",AW443="利用可"),"利用可","不可")</f>
        <v>利用可</v>
      </c>
    </row>
    <row r="444" customFormat="false" ht="15" hidden="false" customHeight="false" outlineLevel="0" collapsed="false">
      <c r="A444" s="29" t="n">
        <v>46250</v>
      </c>
      <c r="B444" s="30" t="n">
        <v>9</v>
      </c>
      <c r="C444" s="31" t="s">
        <v>65</v>
      </c>
      <c r="D444" s="31" t="s">
        <v>64</v>
      </c>
      <c r="E444" s="30" t="n">
        <v>60</v>
      </c>
      <c r="F444" s="30" t="n">
        <v>60</v>
      </c>
      <c r="G444" s="30" t="str">
        <f aca="false">IF(E444&lt;判定条件!$C$6,"判定不能",IF(F444&gt;=判定条件!$C$7*E444,"運転",IF(F444&lt;=判定条件!$C$8*E444,"停止","断続")))</f>
        <v>運転</v>
      </c>
      <c r="H444" s="30" t="n">
        <v>60</v>
      </c>
      <c r="I444" s="30" t="n">
        <v>60</v>
      </c>
      <c r="J444" s="30" t="str">
        <f aca="false">IF(H444&lt;判定条件!$C$6,"判定不能",IF(I444&gt;=判定条件!$C$7*H444,"運転",IF(I444&lt;=判定条件!$C$8*H444,"停止","断続")))</f>
        <v>運転</v>
      </c>
      <c r="K444" s="30" t="n">
        <v>60</v>
      </c>
      <c r="L444" s="30" t="n">
        <v>60</v>
      </c>
      <c r="M444" s="30" t="str">
        <f aca="false">IF(K444&lt;判定条件!$C$6,"判定不能",IF(L444&gt;=判定条件!$C$7*K444,"運転",IF(L444&lt;=判定条件!$C$8*K444,"停止","断続")))</f>
        <v>運転</v>
      </c>
      <c r="N444" s="30" t="n">
        <v>60</v>
      </c>
      <c r="O444" s="30" t="n">
        <v>23</v>
      </c>
      <c r="P444" s="30" t="str">
        <f aca="false">IF(N444&lt;判定条件!$C$6,"判定不能",IF(O444&gt;=判定条件!$C$7*N444,"運転",IF(O444&lt;=判定条件!$C$8*N444,"停止","断続")))</f>
        <v>断続</v>
      </c>
      <c r="Q444" s="30" t="n">
        <v>0</v>
      </c>
      <c r="R444" s="30" t="n">
        <v>0</v>
      </c>
      <c r="S444" s="30" t="str">
        <f aca="false">IF(Q444&lt;判定条件!$C$6,"判定不能",IF(R444&gt;=判定条件!$C$7*Q444,"運転",IF(R444&lt;=判定条件!$C$8*Q444,"停止","断続")))</f>
        <v>判定不能</v>
      </c>
      <c r="T444" s="30" t="n">
        <v>60</v>
      </c>
      <c r="U444" s="30" t="n">
        <v>27</v>
      </c>
      <c r="V444" s="30" t="str">
        <f aca="false">IF(T444&lt;判定条件!$C$6,"判定不能",IF(U444&gt;=判定条件!$C$7*T444,"運転",IF(U444&lt;=判定条件!$C$8*T444,"停止","断続")))</f>
        <v>断続</v>
      </c>
      <c r="W444" s="30" t="n">
        <v>60</v>
      </c>
      <c r="X444" s="30" t="n">
        <v>60</v>
      </c>
      <c r="Y444" s="30" t="str">
        <f aca="false">IF(W444&lt;判定条件!$C$6,"判定不能",IF(X444&gt;=判定条件!$C$7*W444,"運転",IF(X444&lt;=判定条件!$C$8*W444,"停止","断続")))</f>
        <v>運転</v>
      </c>
      <c r="Z444" s="30" t="n">
        <v>60</v>
      </c>
      <c r="AA444" s="30" t="n">
        <v>49</v>
      </c>
      <c r="AB444" s="30" t="str">
        <f aca="false">IF(Z444&lt;判定条件!$C$6,"判定不能",IF(AA444&gt;=判定条件!$C$7*Z444,"運転",IF(AA444&lt;=判定条件!$C$8*Z444,"停止","断続")))</f>
        <v>運転</v>
      </c>
      <c r="AC444" s="30" t="n">
        <v>60</v>
      </c>
      <c r="AD444" s="30" t="n">
        <v>60</v>
      </c>
      <c r="AE444" s="30" t="str">
        <f aca="false">IF(AC444&lt;判定条件!$C$6,"判定不能",IF(AD444&gt;=判定条件!$C$7*AC444,"運転",IF(AD444&lt;=判定条件!$C$8*AC444,"停止","断続")))</f>
        <v>運転</v>
      </c>
      <c r="AF444" s="30" t="n">
        <v>60</v>
      </c>
      <c r="AG444" s="30" t="n">
        <v>23</v>
      </c>
      <c r="AH444" s="30" t="str">
        <f aca="false">IF(OR(P444="判定不能",G444="判定不能"),"判定不能",IF(AG444&gt;=判定条件!$C$9,"利用可",IF(AND(P444="停止",G444="停止"),"両方停止","運転がそろわない")))</f>
        <v>運転がそろわない</v>
      </c>
      <c r="AI444" s="30" t="n">
        <v>0</v>
      </c>
      <c r="AJ444" s="30" t="n">
        <v>0</v>
      </c>
      <c r="AK444" s="30" t="str">
        <f aca="false">IF(OR(S444="判定不能",J444="判定不能"),"判定不能",IF(AJ444&gt;=判定条件!$C$9,"利用可",IF(AND(S444="停止",J444="停止"),"両方停止","運転がそろわない")))</f>
        <v>判定不能</v>
      </c>
      <c r="AL444" s="30" t="n">
        <v>60</v>
      </c>
      <c r="AM444" s="30" t="n">
        <v>27</v>
      </c>
      <c r="AN444" s="30" t="str">
        <f aca="false">IF(OR(V444="判定不能",M444="判定不能"),"判定不能",IF(AM444&gt;=判定条件!$C$9,"利用可",IF(AND(V444="停止",M444="停止"),"両方停止","運転がそろわない")))</f>
        <v>運転がそろわない</v>
      </c>
      <c r="AO444" s="30" t="n">
        <v>60</v>
      </c>
      <c r="AP444" s="30" t="n">
        <v>60</v>
      </c>
      <c r="AQ444" s="30" t="str">
        <f aca="false">IF(OR(Y444="判定不能",G444="判定不能"),"判定不能",IF(AP444&gt;=判定条件!$C$9,"利用可",IF(AND(Y444="停止",G444="停止"),"両方停止","運転がそろわない")))</f>
        <v>利用可</v>
      </c>
      <c r="AR444" s="30" t="n">
        <v>60</v>
      </c>
      <c r="AS444" s="30" t="n">
        <v>49</v>
      </c>
      <c r="AT444" s="30" t="str">
        <f aca="false">IF(OR(AB444="判定不能",J444="判定不能"),"判定不能",IF(AS444&gt;=判定条件!$C$9,"利用可",IF(AND(AB444="停止",J444="停止"),"両方停止","運転がそろわない")))</f>
        <v>利用可</v>
      </c>
      <c r="AU444" s="30" t="n">
        <v>60</v>
      </c>
      <c r="AV444" s="30" t="n">
        <v>60</v>
      </c>
      <c r="AW444" s="30" t="str">
        <f aca="false">IF(OR(AE444="判定不能",M444="判定不能"),"判定不能",IF(AV444&gt;=判定条件!$C$9,"利用可",IF(AND(AE444="停止",M444="停止"),"両方停止","運転がそろわない")))</f>
        <v>利用可</v>
      </c>
      <c r="AX444" s="30" t="str">
        <f aca="false">IF(AND(AH444="利用可",AK444="利用可",AN444="利用可"),"利用可","不可")</f>
        <v>不可</v>
      </c>
      <c r="AY444" s="30" t="str">
        <f aca="false">IF(AND(AQ444="利用可",AT444="利用可",AW444="利用可"),"利用可","不可")</f>
        <v>利用可</v>
      </c>
    </row>
    <row r="445" customFormat="false" ht="15" hidden="false" customHeight="false" outlineLevel="0" collapsed="false">
      <c r="A445" s="29" t="n">
        <v>46250</v>
      </c>
      <c r="B445" s="30" t="n">
        <v>10</v>
      </c>
      <c r="C445" s="31" t="s">
        <v>65</v>
      </c>
      <c r="D445" s="31" t="s">
        <v>64</v>
      </c>
      <c r="E445" s="30" t="n">
        <v>60</v>
      </c>
      <c r="F445" s="30" t="n">
        <v>60</v>
      </c>
      <c r="G445" s="30" t="str">
        <f aca="false">IF(E445&lt;判定条件!$C$6,"判定不能",IF(F445&gt;=判定条件!$C$7*E445,"運転",IF(F445&lt;=判定条件!$C$8*E445,"停止","断続")))</f>
        <v>運転</v>
      </c>
      <c r="H445" s="30" t="n">
        <v>60</v>
      </c>
      <c r="I445" s="30" t="n">
        <v>60</v>
      </c>
      <c r="J445" s="30" t="str">
        <f aca="false">IF(H445&lt;判定条件!$C$6,"判定不能",IF(I445&gt;=判定条件!$C$7*H445,"運転",IF(I445&lt;=判定条件!$C$8*H445,"停止","断続")))</f>
        <v>運転</v>
      </c>
      <c r="K445" s="30" t="n">
        <v>60</v>
      </c>
      <c r="L445" s="30" t="n">
        <v>60</v>
      </c>
      <c r="M445" s="30" t="str">
        <f aca="false">IF(K445&lt;判定条件!$C$6,"判定不能",IF(L445&gt;=判定条件!$C$7*K445,"運転",IF(L445&lt;=判定条件!$C$8*K445,"停止","断続")))</f>
        <v>運転</v>
      </c>
      <c r="N445" s="30" t="n">
        <v>60</v>
      </c>
      <c r="O445" s="30" t="n">
        <v>24</v>
      </c>
      <c r="P445" s="30" t="str">
        <f aca="false">IF(N445&lt;判定条件!$C$6,"判定不能",IF(O445&gt;=判定条件!$C$7*N445,"運転",IF(O445&lt;=判定条件!$C$8*N445,"停止","断続")))</f>
        <v>断続</v>
      </c>
      <c r="Q445" s="30" t="n">
        <v>0</v>
      </c>
      <c r="R445" s="30" t="n">
        <v>0</v>
      </c>
      <c r="S445" s="30" t="str">
        <f aca="false">IF(Q445&lt;判定条件!$C$6,"判定不能",IF(R445&gt;=判定条件!$C$7*Q445,"運転",IF(R445&lt;=判定条件!$C$8*Q445,"停止","断続")))</f>
        <v>判定不能</v>
      </c>
      <c r="T445" s="30" t="n">
        <v>60</v>
      </c>
      <c r="U445" s="30" t="n">
        <v>47</v>
      </c>
      <c r="V445" s="30" t="str">
        <f aca="false">IF(T445&lt;判定条件!$C$6,"判定不能",IF(U445&gt;=判定条件!$C$7*T445,"運転",IF(U445&lt;=判定条件!$C$8*T445,"停止","断続")))</f>
        <v>断続</v>
      </c>
      <c r="W445" s="30" t="n">
        <v>60</v>
      </c>
      <c r="X445" s="30" t="n">
        <v>60</v>
      </c>
      <c r="Y445" s="30" t="str">
        <f aca="false">IF(W445&lt;判定条件!$C$6,"判定不能",IF(X445&gt;=判定条件!$C$7*W445,"運転",IF(X445&lt;=判定条件!$C$8*W445,"停止","断続")))</f>
        <v>運転</v>
      </c>
      <c r="Z445" s="30" t="n">
        <v>60</v>
      </c>
      <c r="AA445" s="30" t="n">
        <v>40</v>
      </c>
      <c r="AB445" s="30" t="str">
        <f aca="false">IF(Z445&lt;判定条件!$C$6,"判定不能",IF(AA445&gt;=判定条件!$C$7*Z445,"運転",IF(AA445&lt;=判定条件!$C$8*Z445,"停止","断続")))</f>
        <v>断続</v>
      </c>
      <c r="AC445" s="30" t="n">
        <v>60</v>
      </c>
      <c r="AD445" s="30" t="n">
        <v>54</v>
      </c>
      <c r="AE445" s="30" t="str">
        <f aca="false">IF(AC445&lt;判定条件!$C$6,"判定不能",IF(AD445&gt;=判定条件!$C$7*AC445,"運転",IF(AD445&lt;=判定条件!$C$8*AC445,"停止","断続")))</f>
        <v>運転</v>
      </c>
      <c r="AF445" s="30" t="n">
        <v>60</v>
      </c>
      <c r="AG445" s="30" t="n">
        <v>24</v>
      </c>
      <c r="AH445" s="30" t="str">
        <f aca="false">IF(OR(P445="判定不能",G445="判定不能"),"判定不能",IF(AG445&gt;=判定条件!$C$9,"利用可",IF(AND(P445="停止",G445="停止"),"両方停止","運転がそろわない")))</f>
        <v>運転がそろわない</v>
      </c>
      <c r="AI445" s="30" t="n">
        <v>0</v>
      </c>
      <c r="AJ445" s="30" t="n">
        <v>0</v>
      </c>
      <c r="AK445" s="30" t="str">
        <f aca="false">IF(OR(S445="判定不能",J445="判定不能"),"判定不能",IF(AJ445&gt;=判定条件!$C$9,"利用可",IF(AND(S445="停止",J445="停止"),"両方停止","運転がそろわない")))</f>
        <v>判定不能</v>
      </c>
      <c r="AL445" s="30" t="n">
        <v>60</v>
      </c>
      <c r="AM445" s="30" t="n">
        <v>47</v>
      </c>
      <c r="AN445" s="30" t="str">
        <f aca="false">IF(OR(V445="判定不能",M445="判定不能"),"判定不能",IF(AM445&gt;=判定条件!$C$9,"利用可",IF(AND(V445="停止",M445="停止"),"両方停止","運転がそろわない")))</f>
        <v>利用可</v>
      </c>
      <c r="AO445" s="30" t="n">
        <v>60</v>
      </c>
      <c r="AP445" s="30" t="n">
        <v>60</v>
      </c>
      <c r="AQ445" s="30" t="str">
        <f aca="false">IF(OR(Y445="判定不能",G445="判定不能"),"判定不能",IF(AP445&gt;=判定条件!$C$9,"利用可",IF(AND(Y445="停止",G445="停止"),"両方停止","運転がそろわない")))</f>
        <v>利用可</v>
      </c>
      <c r="AR445" s="30" t="n">
        <v>60</v>
      </c>
      <c r="AS445" s="30" t="n">
        <v>40</v>
      </c>
      <c r="AT445" s="30" t="str">
        <f aca="false">IF(OR(AB445="判定不能",J445="判定不能"),"判定不能",IF(AS445&gt;=判定条件!$C$9,"利用可",IF(AND(AB445="停止",J445="停止"),"両方停止","運転がそろわない")))</f>
        <v>利用可</v>
      </c>
      <c r="AU445" s="30" t="n">
        <v>60</v>
      </c>
      <c r="AV445" s="30" t="n">
        <v>54</v>
      </c>
      <c r="AW445" s="30" t="str">
        <f aca="false">IF(OR(AE445="判定不能",M445="判定不能"),"判定不能",IF(AV445&gt;=判定条件!$C$9,"利用可",IF(AND(AE445="停止",M445="停止"),"両方停止","運転がそろわない")))</f>
        <v>利用可</v>
      </c>
      <c r="AX445" s="30" t="str">
        <f aca="false">IF(AND(AH445="利用可",AK445="利用可",AN445="利用可"),"利用可","不可")</f>
        <v>不可</v>
      </c>
      <c r="AY445" s="30" t="str">
        <f aca="false">IF(AND(AQ445="利用可",AT445="利用可",AW445="利用可"),"利用可","不可")</f>
        <v>利用可</v>
      </c>
    </row>
    <row r="446" customFormat="false" ht="15" hidden="false" customHeight="false" outlineLevel="0" collapsed="false">
      <c r="A446" s="29" t="n">
        <v>46250</v>
      </c>
      <c r="B446" s="30" t="n">
        <v>11</v>
      </c>
      <c r="C446" s="31" t="s">
        <v>65</v>
      </c>
      <c r="D446" s="31" t="s">
        <v>64</v>
      </c>
      <c r="E446" s="30" t="n">
        <v>60</v>
      </c>
      <c r="F446" s="30" t="n">
        <v>60</v>
      </c>
      <c r="G446" s="30" t="str">
        <f aca="false">IF(E446&lt;判定条件!$C$6,"判定不能",IF(F446&gt;=判定条件!$C$7*E446,"運転",IF(F446&lt;=判定条件!$C$8*E446,"停止","断続")))</f>
        <v>運転</v>
      </c>
      <c r="H446" s="30" t="n">
        <v>60</v>
      </c>
      <c r="I446" s="30" t="n">
        <v>60</v>
      </c>
      <c r="J446" s="30" t="str">
        <f aca="false">IF(H446&lt;判定条件!$C$6,"判定不能",IF(I446&gt;=判定条件!$C$7*H446,"運転",IF(I446&lt;=判定条件!$C$8*H446,"停止","断続")))</f>
        <v>運転</v>
      </c>
      <c r="K446" s="30" t="n">
        <v>60</v>
      </c>
      <c r="L446" s="30" t="n">
        <v>60</v>
      </c>
      <c r="M446" s="30" t="str">
        <f aca="false">IF(K446&lt;判定条件!$C$6,"判定不能",IF(L446&gt;=判定条件!$C$7*K446,"運転",IF(L446&lt;=判定条件!$C$8*K446,"停止","断続")))</f>
        <v>運転</v>
      </c>
      <c r="N446" s="30" t="n">
        <v>60</v>
      </c>
      <c r="O446" s="30" t="n">
        <v>17</v>
      </c>
      <c r="P446" s="30" t="str">
        <f aca="false">IF(N446&lt;判定条件!$C$6,"判定不能",IF(O446&gt;=判定条件!$C$7*N446,"運転",IF(O446&lt;=判定条件!$C$8*N446,"停止","断続")))</f>
        <v>断続</v>
      </c>
      <c r="Q446" s="30" t="n">
        <v>0</v>
      </c>
      <c r="R446" s="30" t="n">
        <v>0</v>
      </c>
      <c r="S446" s="30" t="str">
        <f aca="false">IF(Q446&lt;判定条件!$C$6,"判定不能",IF(R446&gt;=判定条件!$C$7*Q446,"運転",IF(R446&lt;=判定条件!$C$8*Q446,"停止","断続")))</f>
        <v>判定不能</v>
      </c>
      <c r="T446" s="30" t="n">
        <v>60</v>
      </c>
      <c r="U446" s="30" t="n">
        <v>23</v>
      </c>
      <c r="V446" s="30" t="str">
        <f aca="false">IF(T446&lt;判定条件!$C$6,"判定不能",IF(U446&gt;=判定条件!$C$7*T446,"運転",IF(U446&lt;=判定条件!$C$8*T446,"停止","断続")))</f>
        <v>断続</v>
      </c>
      <c r="W446" s="30" t="n">
        <v>60</v>
      </c>
      <c r="X446" s="30" t="n">
        <v>52</v>
      </c>
      <c r="Y446" s="30" t="str">
        <f aca="false">IF(W446&lt;判定条件!$C$6,"判定不能",IF(X446&gt;=判定条件!$C$7*W446,"運転",IF(X446&lt;=判定条件!$C$8*W446,"停止","断続")))</f>
        <v>運転</v>
      </c>
      <c r="Z446" s="30" t="n">
        <v>60</v>
      </c>
      <c r="AA446" s="30" t="n">
        <v>36</v>
      </c>
      <c r="AB446" s="30" t="str">
        <f aca="false">IF(Z446&lt;判定条件!$C$6,"判定不能",IF(AA446&gt;=判定条件!$C$7*Z446,"運転",IF(AA446&lt;=判定条件!$C$8*Z446,"停止","断続")))</f>
        <v>断続</v>
      </c>
      <c r="AC446" s="30" t="n">
        <v>60</v>
      </c>
      <c r="AD446" s="30" t="n">
        <v>60</v>
      </c>
      <c r="AE446" s="30" t="str">
        <f aca="false">IF(AC446&lt;判定条件!$C$6,"判定不能",IF(AD446&gt;=判定条件!$C$7*AC446,"運転",IF(AD446&lt;=判定条件!$C$8*AC446,"停止","断続")))</f>
        <v>運転</v>
      </c>
      <c r="AF446" s="30" t="n">
        <v>60</v>
      </c>
      <c r="AG446" s="30" t="n">
        <v>17</v>
      </c>
      <c r="AH446" s="30" t="str">
        <f aca="false">IF(OR(P446="判定不能",G446="判定不能"),"判定不能",IF(AG446&gt;=判定条件!$C$9,"利用可",IF(AND(P446="停止",G446="停止"),"両方停止","運転がそろわない")))</f>
        <v>運転がそろわない</v>
      </c>
      <c r="AI446" s="30" t="n">
        <v>0</v>
      </c>
      <c r="AJ446" s="30" t="n">
        <v>0</v>
      </c>
      <c r="AK446" s="30" t="str">
        <f aca="false">IF(OR(S446="判定不能",J446="判定不能"),"判定不能",IF(AJ446&gt;=判定条件!$C$9,"利用可",IF(AND(S446="停止",J446="停止"),"両方停止","運転がそろわない")))</f>
        <v>判定不能</v>
      </c>
      <c r="AL446" s="30" t="n">
        <v>60</v>
      </c>
      <c r="AM446" s="30" t="n">
        <v>23</v>
      </c>
      <c r="AN446" s="30" t="str">
        <f aca="false">IF(OR(V446="判定不能",M446="判定不能"),"判定不能",IF(AM446&gt;=判定条件!$C$9,"利用可",IF(AND(V446="停止",M446="停止"),"両方停止","運転がそろわない")))</f>
        <v>運転がそろわない</v>
      </c>
      <c r="AO446" s="30" t="n">
        <v>60</v>
      </c>
      <c r="AP446" s="30" t="n">
        <v>52</v>
      </c>
      <c r="AQ446" s="30" t="str">
        <f aca="false">IF(OR(Y446="判定不能",G446="判定不能"),"判定不能",IF(AP446&gt;=判定条件!$C$9,"利用可",IF(AND(Y446="停止",G446="停止"),"両方停止","運転がそろわない")))</f>
        <v>利用可</v>
      </c>
      <c r="AR446" s="30" t="n">
        <v>60</v>
      </c>
      <c r="AS446" s="30" t="n">
        <v>36</v>
      </c>
      <c r="AT446" s="30" t="str">
        <f aca="false">IF(OR(AB446="判定不能",J446="判定不能"),"判定不能",IF(AS446&gt;=判定条件!$C$9,"利用可",IF(AND(AB446="停止",J446="停止"),"両方停止","運転がそろわない")))</f>
        <v>利用可</v>
      </c>
      <c r="AU446" s="30" t="n">
        <v>60</v>
      </c>
      <c r="AV446" s="30" t="n">
        <v>60</v>
      </c>
      <c r="AW446" s="30" t="str">
        <f aca="false">IF(OR(AE446="判定不能",M446="判定不能"),"判定不能",IF(AV446&gt;=判定条件!$C$9,"利用可",IF(AND(AE446="停止",M446="停止"),"両方停止","運転がそろわない")))</f>
        <v>利用可</v>
      </c>
      <c r="AX446" s="30" t="str">
        <f aca="false">IF(AND(AH446="利用可",AK446="利用可",AN446="利用可"),"利用可","不可")</f>
        <v>不可</v>
      </c>
      <c r="AY446" s="30" t="str">
        <f aca="false">IF(AND(AQ446="利用可",AT446="利用可",AW446="利用可"),"利用可","不可")</f>
        <v>利用可</v>
      </c>
    </row>
    <row r="447" customFormat="false" ht="15" hidden="false" customHeight="false" outlineLevel="0" collapsed="false">
      <c r="A447" s="29" t="n">
        <v>46250</v>
      </c>
      <c r="B447" s="30" t="n">
        <v>12</v>
      </c>
      <c r="C447" s="31" t="s">
        <v>65</v>
      </c>
      <c r="D447" s="31" t="s">
        <v>64</v>
      </c>
      <c r="E447" s="30" t="n">
        <v>60</v>
      </c>
      <c r="F447" s="30" t="n">
        <v>60</v>
      </c>
      <c r="G447" s="30" t="str">
        <f aca="false">IF(E447&lt;判定条件!$C$6,"判定不能",IF(F447&gt;=判定条件!$C$7*E447,"運転",IF(F447&lt;=判定条件!$C$8*E447,"停止","断続")))</f>
        <v>運転</v>
      </c>
      <c r="H447" s="30" t="n">
        <v>60</v>
      </c>
      <c r="I447" s="30" t="n">
        <v>60</v>
      </c>
      <c r="J447" s="30" t="str">
        <f aca="false">IF(H447&lt;判定条件!$C$6,"判定不能",IF(I447&gt;=判定条件!$C$7*H447,"運転",IF(I447&lt;=判定条件!$C$8*H447,"停止","断続")))</f>
        <v>運転</v>
      </c>
      <c r="K447" s="30" t="n">
        <v>60</v>
      </c>
      <c r="L447" s="30" t="n">
        <v>60</v>
      </c>
      <c r="M447" s="30" t="str">
        <f aca="false">IF(K447&lt;判定条件!$C$6,"判定不能",IF(L447&gt;=判定条件!$C$7*K447,"運転",IF(L447&lt;=判定条件!$C$8*K447,"停止","断続")))</f>
        <v>運転</v>
      </c>
      <c r="N447" s="30" t="n">
        <v>60</v>
      </c>
      <c r="O447" s="30" t="n">
        <v>0</v>
      </c>
      <c r="P447" s="30" t="str">
        <f aca="false">IF(N447&lt;判定条件!$C$6,"判定不能",IF(O447&gt;=判定条件!$C$7*N447,"運転",IF(O447&lt;=判定条件!$C$8*N447,"停止","断続")))</f>
        <v>停止</v>
      </c>
      <c r="Q447" s="30" t="n">
        <v>0</v>
      </c>
      <c r="R447" s="30" t="n">
        <v>0</v>
      </c>
      <c r="S447" s="30" t="str">
        <f aca="false">IF(Q447&lt;判定条件!$C$6,"判定不能",IF(R447&gt;=判定条件!$C$7*Q447,"運転",IF(R447&lt;=判定条件!$C$8*Q447,"停止","断続")))</f>
        <v>判定不能</v>
      </c>
      <c r="T447" s="30" t="n">
        <v>60</v>
      </c>
      <c r="U447" s="30" t="n">
        <v>0</v>
      </c>
      <c r="V447" s="30" t="str">
        <f aca="false">IF(T447&lt;判定条件!$C$6,"判定不能",IF(U447&gt;=判定条件!$C$7*T447,"運転",IF(U447&lt;=判定条件!$C$8*T447,"停止","断続")))</f>
        <v>停止</v>
      </c>
      <c r="W447" s="30" t="n">
        <v>60</v>
      </c>
      <c r="X447" s="30" t="n">
        <v>57</v>
      </c>
      <c r="Y447" s="30" t="str">
        <f aca="false">IF(W447&lt;判定条件!$C$6,"判定不能",IF(X447&gt;=判定条件!$C$7*W447,"運転",IF(X447&lt;=判定条件!$C$8*W447,"停止","断続")))</f>
        <v>運転</v>
      </c>
      <c r="Z447" s="30" t="n">
        <v>60</v>
      </c>
      <c r="AA447" s="30" t="n">
        <v>2</v>
      </c>
      <c r="AB447" s="30" t="str">
        <f aca="false">IF(Z447&lt;判定条件!$C$6,"判定不能",IF(AA447&gt;=判定条件!$C$7*Z447,"運転",IF(AA447&lt;=判定条件!$C$8*Z447,"停止","断続")))</f>
        <v>停止</v>
      </c>
      <c r="AC447" s="30" t="n">
        <v>60</v>
      </c>
      <c r="AD447" s="30" t="n">
        <v>43</v>
      </c>
      <c r="AE447" s="30" t="str">
        <f aca="false">IF(AC447&lt;判定条件!$C$6,"判定不能",IF(AD447&gt;=判定条件!$C$7*AC447,"運転",IF(AD447&lt;=判定条件!$C$8*AC447,"停止","断続")))</f>
        <v>断続</v>
      </c>
      <c r="AF447" s="30" t="n">
        <v>60</v>
      </c>
      <c r="AG447" s="30" t="n">
        <v>0</v>
      </c>
      <c r="AH447" s="30" t="str">
        <f aca="false">IF(OR(P447="判定不能",G447="判定不能"),"判定不能",IF(AG447&gt;=判定条件!$C$9,"利用可",IF(AND(P447="停止",G447="停止"),"両方停止","運転がそろわない")))</f>
        <v>運転がそろわない</v>
      </c>
      <c r="AI447" s="30" t="n">
        <v>0</v>
      </c>
      <c r="AJ447" s="30" t="n">
        <v>0</v>
      </c>
      <c r="AK447" s="30" t="str">
        <f aca="false">IF(OR(S447="判定不能",J447="判定不能"),"判定不能",IF(AJ447&gt;=判定条件!$C$9,"利用可",IF(AND(S447="停止",J447="停止"),"両方停止","運転がそろわない")))</f>
        <v>判定不能</v>
      </c>
      <c r="AL447" s="30" t="n">
        <v>60</v>
      </c>
      <c r="AM447" s="30" t="n">
        <v>0</v>
      </c>
      <c r="AN447" s="30" t="str">
        <f aca="false">IF(OR(V447="判定不能",M447="判定不能"),"判定不能",IF(AM447&gt;=判定条件!$C$9,"利用可",IF(AND(V447="停止",M447="停止"),"両方停止","運転がそろわない")))</f>
        <v>運転がそろわない</v>
      </c>
      <c r="AO447" s="30" t="n">
        <v>60</v>
      </c>
      <c r="AP447" s="30" t="n">
        <v>57</v>
      </c>
      <c r="AQ447" s="30" t="str">
        <f aca="false">IF(OR(Y447="判定不能",G447="判定不能"),"判定不能",IF(AP447&gt;=判定条件!$C$9,"利用可",IF(AND(Y447="停止",G447="停止"),"両方停止","運転がそろわない")))</f>
        <v>利用可</v>
      </c>
      <c r="AR447" s="30" t="n">
        <v>60</v>
      </c>
      <c r="AS447" s="30" t="n">
        <v>2</v>
      </c>
      <c r="AT447" s="30" t="str">
        <f aca="false">IF(OR(AB447="判定不能",J447="判定不能"),"判定不能",IF(AS447&gt;=判定条件!$C$9,"利用可",IF(AND(AB447="停止",J447="停止"),"両方停止","運転がそろわない")))</f>
        <v>運転がそろわない</v>
      </c>
      <c r="AU447" s="30" t="n">
        <v>60</v>
      </c>
      <c r="AV447" s="30" t="n">
        <v>43</v>
      </c>
      <c r="AW447" s="30" t="str">
        <f aca="false">IF(OR(AE447="判定不能",M447="判定不能"),"判定不能",IF(AV447&gt;=判定条件!$C$9,"利用可",IF(AND(AE447="停止",M447="停止"),"両方停止","運転がそろわない")))</f>
        <v>利用可</v>
      </c>
      <c r="AX447" s="30" t="str">
        <f aca="false">IF(AND(AH447="利用可",AK447="利用可",AN447="利用可"),"利用可","不可")</f>
        <v>不可</v>
      </c>
      <c r="AY447" s="30" t="str">
        <f aca="false">IF(AND(AQ447="利用可",AT447="利用可",AW447="利用可"),"利用可","不可")</f>
        <v>不可</v>
      </c>
    </row>
    <row r="448" customFormat="false" ht="15" hidden="false" customHeight="false" outlineLevel="0" collapsed="false">
      <c r="A448" s="29" t="n">
        <v>46250</v>
      </c>
      <c r="B448" s="30" t="n">
        <v>13</v>
      </c>
      <c r="C448" s="31" t="s">
        <v>65</v>
      </c>
      <c r="D448" s="31" t="s">
        <v>64</v>
      </c>
      <c r="E448" s="30" t="n">
        <v>60</v>
      </c>
      <c r="F448" s="30" t="n">
        <v>60</v>
      </c>
      <c r="G448" s="30" t="str">
        <f aca="false">IF(E448&lt;判定条件!$C$6,"判定不能",IF(F448&gt;=判定条件!$C$7*E448,"運転",IF(F448&lt;=判定条件!$C$8*E448,"停止","断続")))</f>
        <v>運転</v>
      </c>
      <c r="H448" s="30" t="n">
        <v>60</v>
      </c>
      <c r="I448" s="30" t="n">
        <v>60</v>
      </c>
      <c r="J448" s="30" t="str">
        <f aca="false">IF(H448&lt;判定条件!$C$6,"判定不能",IF(I448&gt;=判定条件!$C$7*H448,"運転",IF(I448&lt;=判定条件!$C$8*H448,"停止","断続")))</f>
        <v>運転</v>
      </c>
      <c r="K448" s="30" t="n">
        <v>60</v>
      </c>
      <c r="L448" s="30" t="n">
        <v>60</v>
      </c>
      <c r="M448" s="30" t="str">
        <f aca="false">IF(K448&lt;判定条件!$C$6,"判定不能",IF(L448&gt;=判定条件!$C$7*K448,"運転",IF(L448&lt;=判定条件!$C$8*K448,"停止","断続")))</f>
        <v>運転</v>
      </c>
      <c r="N448" s="30" t="n">
        <v>60</v>
      </c>
      <c r="O448" s="30" t="n">
        <v>0</v>
      </c>
      <c r="P448" s="30" t="str">
        <f aca="false">IF(N448&lt;判定条件!$C$6,"判定不能",IF(O448&gt;=判定条件!$C$7*N448,"運転",IF(O448&lt;=判定条件!$C$8*N448,"停止","断続")))</f>
        <v>停止</v>
      </c>
      <c r="Q448" s="30" t="n">
        <v>0</v>
      </c>
      <c r="R448" s="30" t="n">
        <v>0</v>
      </c>
      <c r="S448" s="30" t="str">
        <f aca="false">IF(Q448&lt;判定条件!$C$6,"判定不能",IF(R448&gt;=判定条件!$C$7*Q448,"運転",IF(R448&lt;=判定条件!$C$8*Q448,"停止","断続")))</f>
        <v>判定不能</v>
      </c>
      <c r="T448" s="30" t="n">
        <v>60</v>
      </c>
      <c r="U448" s="30" t="n">
        <v>0</v>
      </c>
      <c r="V448" s="30" t="str">
        <f aca="false">IF(T448&lt;判定条件!$C$6,"判定不能",IF(U448&gt;=判定条件!$C$7*T448,"運転",IF(U448&lt;=判定条件!$C$8*T448,"停止","断続")))</f>
        <v>停止</v>
      </c>
      <c r="W448" s="30" t="n">
        <v>60</v>
      </c>
      <c r="X448" s="30" t="n">
        <v>60</v>
      </c>
      <c r="Y448" s="30" t="str">
        <f aca="false">IF(W448&lt;判定条件!$C$6,"判定不能",IF(X448&gt;=判定条件!$C$7*W448,"運転",IF(X448&lt;=判定条件!$C$8*W448,"停止","断続")))</f>
        <v>運転</v>
      </c>
      <c r="Z448" s="30" t="n">
        <v>60</v>
      </c>
      <c r="AA448" s="30" t="n">
        <v>23</v>
      </c>
      <c r="AB448" s="30" t="str">
        <f aca="false">IF(Z448&lt;判定条件!$C$6,"判定不能",IF(AA448&gt;=判定条件!$C$7*Z448,"運転",IF(AA448&lt;=判定条件!$C$8*Z448,"停止","断続")))</f>
        <v>断続</v>
      </c>
      <c r="AC448" s="30" t="n">
        <v>60</v>
      </c>
      <c r="AD448" s="30" t="n">
        <v>60</v>
      </c>
      <c r="AE448" s="30" t="str">
        <f aca="false">IF(AC448&lt;判定条件!$C$6,"判定不能",IF(AD448&gt;=判定条件!$C$7*AC448,"運転",IF(AD448&lt;=判定条件!$C$8*AC448,"停止","断続")))</f>
        <v>運転</v>
      </c>
      <c r="AF448" s="30" t="n">
        <v>60</v>
      </c>
      <c r="AG448" s="30" t="n">
        <v>0</v>
      </c>
      <c r="AH448" s="30" t="str">
        <f aca="false">IF(OR(P448="判定不能",G448="判定不能"),"判定不能",IF(AG448&gt;=判定条件!$C$9,"利用可",IF(AND(P448="停止",G448="停止"),"両方停止","運転がそろわない")))</f>
        <v>運転がそろわない</v>
      </c>
      <c r="AI448" s="30" t="n">
        <v>0</v>
      </c>
      <c r="AJ448" s="30" t="n">
        <v>0</v>
      </c>
      <c r="AK448" s="30" t="str">
        <f aca="false">IF(OR(S448="判定不能",J448="判定不能"),"判定不能",IF(AJ448&gt;=判定条件!$C$9,"利用可",IF(AND(S448="停止",J448="停止"),"両方停止","運転がそろわない")))</f>
        <v>判定不能</v>
      </c>
      <c r="AL448" s="30" t="n">
        <v>60</v>
      </c>
      <c r="AM448" s="30" t="n">
        <v>0</v>
      </c>
      <c r="AN448" s="30" t="str">
        <f aca="false">IF(OR(V448="判定不能",M448="判定不能"),"判定不能",IF(AM448&gt;=判定条件!$C$9,"利用可",IF(AND(V448="停止",M448="停止"),"両方停止","運転がそろわない")))</f>
        <v>運転がそろわない</v>
      </c>
      <c r="AO448" s="30" t="n">
        <v>60</v>
      </c>
      <c r="AP448" s="30" t="n">
        <v>60</v>
      </c>
      <c r="AQ448" s="30" t="str">
        <f aca="false">IF(OR(Y448="判定不能",G448="判定不能"),"判定不能",IF(AP448&gt;=判定条件!$C$9,"利用可",IF(AND(Y448="停止",G448="停止"),"両方停止","運転がそろわない")))</f>
        <v>利用可</v>
      </c>
      <c r="AR448" s="30" t="n">
        <v>60</v>
      </c>
      <c r="AS448" s="30" t="n">
        <v>23</v>
      </c>
      <c r="AT448" s="30" t="str">
        <f aca="false">IF(OR(AB448="判定不能",J448="判定不能"),"判定不能",IF(AS448&gt;=判定条件!$C$9,"利用可",IF(AND(AB448="停止",J448="停止"),"両方停止","運転がそろわない")))</f>
        <v>運転がそろわない</v>
      </c>
      <c r="AU448" s="30" t="n">
        <v>60</v>
      </c>
      <c r="AV448" s="30" t="n">
        <v>60</v>
      </c>
      <c r="AW448" s="30" t="str">
        <f aca="false">IF(OR(AE448="判定不能",M448="判定不能"),"判定不能",IF(AV448&gt;=判定条件!$C$9,"利用可",IF(AND(AE448="停止",M448="停止"),"両方停止","運転がそろわない")))</f>
        <v>利用可</v>
      </c>
      <c r="AX448" s="30" t="str">
        <f aca="false">IF(AND(AH448="利用可",AK448="利用可",AN448="利用可"),"利用可","不可")</f>
        <v>不可</v>
      </c>
      <c r="AY448" s="30" t="str">
        <f aca="false">IF(AND(AQ448="利用可",AT448="利用可",AW448="利用可"),"利用可","不可")</f>
        <v>不可</v>
      </c>
    </row>
    <row r="449" customFormat="false" ht="15" hidden="false" customHeight="false" outlineLevel="0" collapsed="false">
      <c r="A449" s="29" t="n">
        <v>46250</v>
      </c>
      <c r="B449" s="30" t="n">
        <v>14</v>
      </c>
      <c r="C449" s="31" t="s">
        <v>65</v>
      </c>
      <c r="D449" s="31" t="s">
        <v>64</v>
      </c>
      <c r="E449" s="30" t="n">
        <v>60</v>
      </c>
      <c r="F449" s="30" t="n">
        <v>52</v>
      </c>
      <c r="G449" s="30" t="str">
        <f aca="false">IF(E449&lt;判定条件!$C$6,"判定不能",IF(F449&gt;=判定条件!$C$7*E449,"運転",IF(F449&lt;=判定条件!$C$8*E449,"停止","断続")))</f>
        <v>運転</v>
      </c>
      <c r="H449" s="30" t="n">
        <v>60</v>
      </c>
      <c r="I449" s="30" t="n">
        <v>52</v>
      </c>
      <c r="J449" s="30" t="str">
        <f aca="false">IF(H449&lt;判定条件!$C$6,"判定不能",IF(I449&gt;=判定条件!$C$7*H449,"運転",IF(I449&lt;=判定条件!$C$8*H449,"停止","断続")))</f>
        <v>運転</v>
      </c>
      <c r="K449" s="30" t="n">
        <v>60</v>
      </c>
      <c r="L449" s="30" t="n">
        <v>60</v>
      </c>
      <c r="M449" s="30" t="str">
        <f aca="false">IF(K449&lt;判定条件!$C$6,"判定不能",IF(L449&gt;=判定条件!$C$7*K449,"運転",IF(L449&lt;=判定条件!$C$8*K449,"停止","断続")))</f>
        <v>運転</v>
      </c>
      <c r="N449" s="30" t="n">
        <v>60</v>
      </c>
      <c r="O449" s="30" t="n">
        <v>0</v>
      </c>
      <c r="P449" s="30" t="str">
        <f aca="false">IF(N449&lt;判定条件!$C$6,"判定不能",IF(O449&gt;=判定条件!$C$7*N449,"運転",IF(O449&lt;=判定条件!$C$8*N449,"停止","断続")))</f>
        <v>停止</v>
      </c>
      <c r="Q449" s="30" t="n">
        <v>0</v>
      </c>
      <c r="R449" s="30" t="n">
        <v>0</v>
      </c>
      <c r="S449" s="30" t="str">
        <f aca="false">IF(Q449&lt;判定条件!$C$6,"判定不能",IF(R449&gt;=判定条件!$C$7*Q449,"運転",IF(R449&lt;=判定条件!$C$8*Q449,"停止","断続")))</f>
        <v>判定不能</v>
      </c>
      <c r="T449" s="30" t="n">
        <v>60</v>
      </c>
      <c r="U449" s="30" t="n">
        <v>0</v>
      </c>
      <c r="V449" s="30" t="str">
        <f aca="false">IF(T449&lt;判定条件!$C$6,"判定不能",IF(U449&gt;=判定条件!$C$7*T449,"運転",IF(U449&lt;=判定条件!$C$8*T449,"停止","断続")))</f>
        <v>停止</v>
      </c>
      <c r="W449" s="30" t="n">
        <v>60</v>
      </c>
      <c r="X449" s="30" t="n">
        <v>60</v>
      </c>
      <c r="Y449" s="30" t="str">
        <f aca="false">IF(W449&lt;判定条件!$C$6,"判定不能",IF(X449&gt;=判定条件!$C$7*W449,"運転",IF(X449&lt;=判定条件!$C$8*W449,"停止","断続")))</f>
        <v>運転</v>
      </c>
      <c r="Z449" s="30" t="n">
        <v>60</v>
      </c>
      <c r="AA449" s="30" t="n">
        <v>1</v>
      </c>
      <c r="AB449" s="30" t="str">
        <f aca="false">IF(Z449&lt;判定条件!$C$6,"判定不能",IF(AA449&gt;=判定条件!$C$7*Z449,"運転",IF(AA449&lt;=判定条件!$C$8*Z449,"停止","断続")))</f>
        <v>停止</v>
      </c>
      <c r="AC449" s="30" t="n">
        <v>60</v>
      </c>
      <c r="AD449" s="30" t="n">
        <v>60</v>
      </c>
      <c r="AE449" s="30" t="str">
        <f aca="false">IF(AC449&lt;判定条件!$C$6,"判定不能",IF(AD449&gt;=判定条件!$C$7*AC449,"運転",IF(AD449&lt;=判定条件!$C$8*AC449,"停止","断続")))</f>
        <v>運転</v>
      </c>
      <c r="AF449" s="30" t="n">
        <v>60</v>
      </c>
      <c r="AG449" s="30" t="n">
        <v>0</v>
      </c>
      <c r="AH449" s="30" t="str">
        <f aca="false">IF(OR(P449="判定不能",G449="判定不能"),"判定不能",IF(AG449&gt;=判定条件!$C$9,"利用可",IF(AND(P449="停止",G449="停止"),"両方停止","運転がそろわない")))</f>
        <v>運転がそろわない</v>
      </c>
      <c r="AI449" s="30" t="n">
        <v>0</v>
      </c>
      <c r="AJ449" s="30" t="n">
        <v>0</v>
      </c>
      <c r="AK449" s="30" t="str">
        <f aca="false">IF(OR(S449="判定不能",J449="判定不能"),"判定不能",IF(AJ449&gt;=判定条件!$C$9,"利用可",IF(AND(S449="停止",J449="停止"),"両方停止","運転がそろわない")))</f>
        <v>判定不能</v>
      </c>
      <c r="AL449" s="30" t="n">
        <v>60</v>
      </c>
      <c r="AM449" s="30" t="n">
        <v>0</v>
      </c>
      <c r="AN449" s="30" t="str">
        <f aca="false">IF(OR(V449="判定不能",M449="判定不能"),"判定不能",IF(AM449&gt;=判定条件!$C$9,"利用可",IF(AND(V449="停止",M449="停止"),"両方停止","運転がそろわない")))</f>
        <v>運転がそろわない</v>
      </c>
      <c r="AO449" s="30" t="n">
        <v>60</v>
      </c>
      <c r="AP449" s="30" t="n">
        <v>52</v>
      </c>
      <c r="AQ449" s="30" t="str">
        <f aca="false">IF(OR(Y449="判定不能",G449="判定不能"),"判定不能",IF(AP449&gt;=判定条件!$C$9,"利用可",IF(AND(Y449="停止",G449="停止"),"両方停止","運転がそろわない")))</f>
        <v>利用可</v>
      </c>
      <c r="AR449" s="30" t="n">
        <v>60</v>
      </c>
      <c r="AS449" s="30" t="n">
        <v>1</v>
      </c>
      <c r="AT449" s="30" t="str">
        <f aca="false">IF(OR(AB449="判定不能",J449="判定不能"),"判定不能",IF(AS449&gt;=判定条件!$C$9,"利用可",IF(AND(AB449="停止",J449="停止"),"両方停止","運転がそろわない")))</f>
        <v>運転がそろわない</v>
      </c>
      <c r="AU449" s="30" t="n">
        <v>60</v>
      </c>
      <c r="AV449" s="30" t="n">
        <v>60</v>
      </c>
      <c r="AW449" s="30" t="str">
        <f aca="false">IF(OR(AE449="判定不能",M449="判定不能"),"判定不能",IF(AV449&gt;=判定条件!$C$9,"利用可",IF(AND(AE449="停止",M449="停止"),"両方停止","運転がそろわない")))</f>
        <v>利用可</v>
      </c>
      <c r="AX449" s="30" t="str">
        <f aca="false">IF(AND(AH449="利用可",AK449="利用可",AN449="利用可"),"利用可","不可")</f>
        <v>不可</v>
      </c>
      <c r="AY449" s="30" t="str">
        <f aca="false">IF(AND(AQ449="利用可",AT449="利用可",AW449="利用可"),"利用可","不可")</f>
        <v>不可</v>
      </c>
    </row>
    <row r="450" customFormat="false" ht="15" hidden="false" customHeight="false" outlineLevel="0" collapsed="false">
      <c r="A450" s="29" t="n">
        <v>46250</v>
      </c>
      <c r="B450" s="30" t="n">
        <v>15</v>
      </c>
      <c r="C450" s="31" t="s">
        <v>65</v>
      </c>
      <c r="D450" s="31" t="s">
        <v>64</v>
      </c>
      <c r="E450" s="30" t="n">
        <v>60</v>
      </c>
      <c r="F450" s="30" t="n">
        <v>60</v>
      </c>
      <c r="G450" s="30" t="str">
        <f aca="false">IF(E450&lt;判定条件!$C$6,"判定不能",IF(F450&gt;=判定条件!$C$7*E450,"運転",IF(F450&lt;=判定条件!$C$8*E450,"停止","断続")))</f>
        <v>運転</v>
      </c>
      <c r="H450" s="30" t="n">
        <v>60</v>
      </c>
      <c r="I450" s="30" t="n">
        <v>60</v>
      </c>
      <c r="J450" s="30" t="str">
        <f aca="false">IF(H450&lt;判定条件!$C$6,"判定不能",IF(I450&gt;=判定条件!$C$7*H450,"運転",IF(I450&lt;=判定条件!$C$8*H450,"停止","断続")))</f>
        <v>運転</v>
      </c>
      <c r="K450" s="30" t="n">
        <v>60</v>
      </c>
      <c r="L450" s="30" t="n">
        <v>60</v>
      </c>
      <c r="M450" s="30" t="str">
        <f aca="false">IF(K450&lt;判定条件!$C$6,"判定不能",IF(L450&gt;=判定条件!$C$7*K450,"運転",IF(L450&lt;=判定条件!$C$8*K450,"停止","断続")))</f>
        <v>運転</v>
      </c>
      <c r="N450" s="30" t="n">
        <v>60</v>
      </c>
      <c r="O450" s="30" t="n">
        <v>0</v>
      </c>
      <c r="P450" s="30" t="str">
        <f aca="false">IF(N450&lt;判定条件!$C$6,"判定不能",IF(O450&gt;=判定条件!$C$7*N450,"運転",IF(O450&lt;=判定条件!$C$8*N450,"停止","断続")))</f>
        <v>停止</v>
      </c>
      <c r="Q450" s="30" t="n">
        <v>0</v>
      </c>
      <c r="R450" s="30" t="n">
        <v>0</v>
      </c>
      <c r="S450" s="30" t="str">
        <f aca="false">IF(Q450&lt;判定条件!$C$6,"判定不能",IF(R450&gt;=判定条件!$C$7*Q450,"運転",IF(R450&lt;=判定条件!$C$8*Q450,"停止","断続")))</f>
        <v>判定不能</v>
      </c>
      <c r="T450" s="30" t="n">
        <v>60</v>
      </c>
      <c r="U450" s="30" t="n">
        <v>0</v>
      </c>
      <c r="V450" s="30" t="str">
        <f aca="false">IF(T450&lt;判定条件!$C$6,"判定不能",IF(U450&gt;=判定条件!$C$7*T450,"運転",IF(U450&lt;=判定条件!$C$8*T450,"停止","断続")))</f>
        <v>停止</v>
      </c>
      <c r="W450" s="30" t="n">
        <v>60</v>
      </c>
      <c r="X450" s="30" t="n">
        <v>55</v>
      </c>
      <c r="Y450" s="30" t="str">
        <f aca="false">IF(W450&lt;判定条件!$C$6,"判定不能",IF(X450&gt;=判定条件!$C$7*W450,"運転",IF(X450&lt;=判定条件!$C$8*W450,"停止","断続")))</f>
        <v>運転</v>
      </c>
      <c r="Z450" s="30" t="n">
        <v>60</v>
      </c>
      <c r="AA450" s="30" t="n">
        <v>12</v>
      </c>
      <c r="AB450" s="30" t="str">
        <f aca="false">IF(Z450&lt;判定条件!$C$6,"判定不能",IF(AA450&gt;=判定条件!$C$7*Z450,"運転",IF(AA450&lt;=判定条件!$C$8*Z450,"停止","断続")))</f>
        <v>停止</v>
      </c>
      <c r="AC450" s="30" t="n">
        <v>60</v>
      </c>
      <c r="AD450" s="30" t="n">
        <v>60</v>
      </c>
      <c r="AE450" s="30" t="str">
        <f aca="false">IF(AC450&lt;判定条件!$C$6,"判定不能",IF(AD450&gt;=判定条件!$C$7*AC450,"運転",IF(AD450&lt;=判定条件!$C$8*AC450,"停止","断続")))</f>
        <v>運転</v>
      </c>
      <c r="AF450" s="30" t="n">
        <v>60</v>
      </c>
      <c r="AG450" s="30" t="n">
        <v>0</v>
      </c>
      <c r="AH450" s="30" t="str">
        <f aca="false">IF(OR(P450="判定不能",G450="判定不能"),"判定不能",IF(AG450&gt;=判定条件!$C$9,"利用可",IF(AND(P450="停止",G450="停止"),"両方停止","運転がそろわない")))</f>
        <v>運転がそろわない</v>
      </c>
      <c r="AI450" s="30" t="n">
        <v>0</v>
      </c>
      <c r="AJ450" s="30" t="n">
        <v>0</v>
      </c>
      <c r="AK450" s="30" t="str">
        <f aca="false">IF(OR(S450="判定不能",J450="判定不能"),"判定不能",IF(AJ450&gt;=判定条件!$C$9,"利用可",IF(AND(S450="停止",J450="停止"),"両方停止","運転がそろわない")))</f>
        <v>判定不能</v>
      </c>
      <c r="AL450" s="30" t="n">
        <v>60</v>
      </c>
      <c r="AM450" s="30" t="n">
        <v>0</v>
      </c>
      <c r="AN450" s="30" t="str">
        <f aca="false">IF(OR(V450="判定不能",M450="判定不能"),"判定不能",IF(AM450&gt;=判定条件!$C$9,"利用可",IF(AND(V450="停止",M450="停止"),"両方停止","運転がそろわない")))</f>
        <v>運転がそろわない</v>
      </c>
      <c r="AO450" s="30" t="n">
        <v>60</v>
      </c>
      <c r="AP450" s="30" t="n">
        <v>55</v>
      </c>
      <c r="AQ450" s="30" t="str">
        <f aca="false">IF(OR(Y450="判定不能",G450="判定不能"),"判定不能",IF(AP450&gt;=判定条件!$C$9,"利用可",IF(AND(Y450="停止",G450="停止"),"両方停止","運転がそろわない")))</f>
        <v>利用可</v>
      </c>
      <c r="AR450" s="30" t="n">
        <v>60</v>
      </c>
      <c r="AS450" s="30" t="n">
        <v>12</v>
      </c>
      <c r="AT450" s="30" t="str">
        <f aca="false">IF(OR(AB450="判定不能",J450="判定不能"),"判定不能",IF(AS450&gt;=判定条件!$C$9,"利用可",IF(AND(AB450="停止",J450="停止"),"両方停止","運転がそろわない")))</f>
        <v>運転がそろわない</v>
      </c>
      <c r="AU450" s="30" t="n">
        <v>60</v>
      </c>
      <c r="AV450" s="30" t="n">
        <v>60</v>
      </c>
      <c r="AW450" s="30" t="str">
        <f aca="false">IF(OR(AE450="判定不能",M450="判定不能"),"判定不能",IF(AV450&gt;=判定条件!$C$9,"利用可",IF(AND(AE450="停止",M450="停止"),"両方停止","運転がそろわない")))</f>
        <v>利用可</v>
      </c>
      <c r="AX450" s="30" t="str">
        <f aca="false">IF(AND(AH450="利用可",AK450="利用可",AN450="利用可"),"利用可","不可")</f>
        <v>不可</v>
      </c>
      <c r="AY450" s="30" t="str">
        <f aca="false">IF(AND(AQ450="利用可",AT450="利用可",AW450="利用可"),"利用可","不可")</f>
        <v>不可</v>
      </c>
    </row>
    <row r="451" customFormat="false" ht="15" hidden="false" customHeight="false" outlineLevel="0" collapsed="false">
      <c r="A451" s="29" t="n">
        <v>46250</v>
      </c>
      <c r="B451" s="30" t="n">
        <v>16</v>
      </c>
      <c r="C451" s="31" t="s">
        <v>65</v>
      </c>
      <c r="D451" s="31" t="s">
        <v>64</v>
      </c>
      <c r="E451" s="30" t="n">
        <v>60</v>
      </c>
      <c r="F451" s="30" t="n">
        <v>60</v>
      </c>
      <c r="G451" s="30" t="str">
        <f aca="false">IF(E451&lt;判定条件!$C$6,"判定不能",IF(F451&gt;=判定条件!$C$7*E451,"運転",IF(F451&lt;=判定条件!$C$8*E451,"停止","断続")))</f>
        <v>運転</v>
      </c>
      <c r="H451" s="30" t="n">
        <v>60</v>
      </c>
      <c r="I451" s="30" t="n">
        <v>60</v>
      </c>
      <c r="J451" s="30" t="str">
        <f aca="false">IF(H451&lt;判定条件!$C$6,"判定不能",IF(I451&gt;=判定条件!$C$7*H451,"運転",IF(I451&lt;=判定条件!$C$8*H451,"停止","断続")))</f>
        <v>運転</v>
      </c>
      <c r="K451" s="30" t="n">
        <v>60</v>
      </c>
      <c r="L451" s="30" t="n">
        <v>60</v>
      </c>
      <c r="M451" s="30" t="str">
        <f aca="false">IF(K451&lt;判定条件!$C$6,"判定不能",IF(L451&gt;=判定条件!$C$7*K451,"運転",IF(L451&lt;=判定条件!$C$8*K451,"停止","断続")))</f>
        <v>運転</v>
      </c>
      <c r="N451" s="30" t="n">
        <v>60</v>
      </c>
      <c r="O451" s="30" t="n">
        <v>0</v>
      </c>
      <c r="P451" s="30" t="str">
        <f aca="false">IF(N451&lt;判定条件!$C$6,"判定不能",IF(O451&gt;=判定条件!$C$7*N451,"運転",IF(O451&lt;=判定条件!$C$8*N451,"停止","断続")))</f>
        <v>停止</v>
      </c>
      <c r="Q451" s="30" t="n">
        <v>0</v>
      </c>
      <c r="R451" s="30" t="n">
        <v>0</v>
      </c>
      <c r="S451" s="30" t="str">
        <f aca="false">IF(Q451&lt;判定条件!$C$6,"判定不能",IF(R451&gt;=判定条件!$C$7*Q451,"運転",IF(R451&lt;=判定条件!$C$8*Q451,"停止","断続")))</f>
        <v>判定不能</v>
      </c>
      <c r="T451" s="30" t="n">
        <v>60</v>
      </c>
      <c r="U451" s="30" t="n">
        <v>0</v>
      </c>
      <c r="V451" s="30" t="str">
        <f aca="false">IF(T451&lt;判定条件!$C$6,"判定不能",IF(U451&gt;=判定条件!$C$7*T451,"運転",IF(U451&lt;=判定条件!$C$8*T451,"停止","断続")))</f>
        <v>停止</v>
      </c>
      <c r="W451" s="30" t="n">
        <v>60</v>
      </c>
      <c r="X451" s="30" t="n">
        <v>60</v>
      </c>
      <c r="Y451" s="30" t="str">
        <f aca="false">IF(W451&lt;判定条件!$C$6,"判定不能",IF(X451&gt;=判定条件!$C$7*W451,"運転",IF(X451&lt;=判定条件!$C$8*W451,"停止","断続")))</f>
        <v>運転</v>
      </c>
      <c r="Z451" s="30" t="n">
        <v>60</v>
      </c>
      <c r="AA451" s="30" t="n">
        <v>14</v>
      </c>
      <c r="AB451" s="30" t="str">
        <f aca="false">IF(Z451&lt;判定条件!$C$6,"判定不能",IF(AA451&gt;=判定条件!$C$7*Z451,"運転",IF(AA451&lt;=判定条件!$C$8*Z451,"停止","断続")))</f>
        <v>断続</v>
      </c>
      <c r="AC451" s="30" t="n">
        <v>60</v>
      </c>
      <c r="AD451" s="30" t="n">
        <v>60</v>
      </c>
      <c r="AE451" s="30" t="str">
        <f aca="false">IF(AC451&lt;判定条件!$C$6,"判定不能",IF(AD451&gt;=判定条件!$C$7*AC451,"運転",IF(AD451&lt;=判定条件!$C$8*AC451,"停止","断続")))</f>
        <v>運転</v>
      </c>
      <c r="AF451" s="30" t="n">
        <v>60</v>
      </c>
      <c r="AG451" s="30" t="n">
        <v>0</v>
      </c>
      <c r="AH451" s="30" t="str">
        <f aca="false">IF(OR(P451="判定不能",G451="判定不能"),"判定不能",IF(AG451&gt;=判定条件!$C$9,"利用可",IF(AND(P451="停止",G451="停止"),"両方停止","運転がそろわない")))</f>
        <v>運転がそろわない</v>
      </c>
      <c r="AI451" s="30" t="n">
        <v>0</v>
      </c>
      <c r="AJ451" s="30" t="n">
        <v>0</v>
      </c>
      <c r="AK451" s="30" t="str">
        <f aca="false">IF(OR(S451="判定不能",J451="判定不能"),"判定不能",IF(AJ451&gt;=判定条件!$C$9,"利用可",IF(AND(S451="停止",J451="停止"),"両方停止","運転がそろわない")))</f>
        <v>判定不能</v>
      </c>
      <c r="AL451" s="30" t="n">
        <v>60</v>
      </c>
      <c r="AM451" s="30" t="n">
        <v>0</v>
      </c>
      <c r="AN451" s="30" t="str">
        <f aca="false">IF(OR(V451="判定不能",M451="判定不能"),"判定不能",IF(AM451&gt;=判定条件!$C$9,"利用可",IF(AND(V451="停止",M451="停止"),"両方停止","運転がそろわない")))</f>
        <v>運転がそろわない</v>
      </c>
      <c r="AO451" s="30" t="n">
        <v>60</v>
      </c>
      <c r="AP451" s="30" t="n">
        <v>60</v>
      </c>
      <c r="AQ451" s="30" t="str">
        <f aca="false">IF(OR(Y451="判定不能",G451="判定不能"),"判定不能",IF(AP451&gt;=判定条件!$C$9,"利用可",IF(AND(Y451="停止",G451="停止"),"両方停止","運転がそろわない")))</f>
        <v>利用可</v>
      </c>
      <c r="AR451" s="30" t="n">
        <v>60</v>
      </c>
      <c r="AS451" s="30" t="n">
        <v>14</v>
      </c>
      <c r="AT451" s="30" t="str">
        <f aca="false">IF(OR(AB451="判定不能",J451="判定不能"),"判定不能",IF(AS451&gt;=判定条件!$C$9,"利用可",IF(AND(AB451="停止",J451="停止"),"両方停止","運転がそろわない")))</f>
        <v>運転がそろわない</v>
      </c>
      <c r="AU451" s="30" t="n">
        <v>60</v>
      </c>
      <c r="AV451" s="30" t="n">
        <v>60</v>
      </c>
      <c r="AW451" s="30" t="str">
        <f aca="false">IF(OR(AE451="判定不能",M451="判定不能"),"判定不能",IF(AV451&gt;=判定条件!$C$9,"利用可",IF(AND(AE451="停止",M451="停止"),"両方停止","運転がそろわない")))</f>
        <v>利用可</v>
      </c>
      <c r="AX451" s="30" t="str">
        <f aca="false">IF(AND(AH451="利用可",AK451="利用可",AN451="利用可"),"利用可","不可")</f>
        <v>不可</v>
      </c>
      <c r="AY451" s="30" t="str">
        <f aca="false">IF(AND(AQ451="利用可",AT451="利用可",AW451="利用可"),"利用可","不可")</f>
        <v>不可</v>
      </c>
    </row>
    <row r="452" customFormat="false" ht="15" hidden="false" customHeight="false" outlineLevel="0" collapsed="false">
      <c r="A452" s="29" t="n">
        <v>46250</v>
      </c>
      <c r="B452" s="30" t="n">
        <v>17</v>
      </c>
      <c r="C452" s="31" t="s">
        <v>65</v>
      </c>
      <c r="D452" s="31" t="s">
        <v>64</v>
      </c>
      <c r="E452" s="30" t="n">
        <v>60</v>
      </c>
      <c r="F452" s="30" t="n">
        <v>56</v>
      </c>
      <c r="G452" s="30" t="str">
        <f aca="false">IF(E452&lt;判定条件!$C$6,"判定不能",IF(F452&gt;=判定条件!$C$7*E452,"運転",IF(F452&lt;=判定条件!$C$8*E452,"停止","断続")))</f>
        <v>運転</v>
      </c>
      <c r="H452" s="30" t="n">
        <v>60</v>
      </c>
      <c r="I452" s="30" t="n">
        <v>56</v>
      </c>
      <c r="J452" s="30" t="str">
        <f aca="false">IF(H452&lt;判定条件!$C$6,"判定不能",IF(I452&gt;=判定条件!$C$7*H452,"運転",IF(I452&lt;=判定条件!$C$8*H452,"停止","断続")))</f>
        <v>運転</v>
      </c>
      <c r="K452" s="30" t="n">
        <v>60</v>
      </c>
      <c r="L452" s="30" t="n">
        <v>60</v>
      </c>
      <c r="M452" s="30" t="str">
        <f aca="false">IF(K452&lt;判定条件!$C$6,"判定不能",IF(L452&gt;=判定条件!$C$7*K452,"運転",IF(L452&lt;=判定条件!$C$8*K452,"停止","断続")))</f>
        <v>運転</v>
      </c>
      <c r="N452" s="30" t="n">
        <v>60</v>
      </c>
      <c r="O452" s="30" t="n">
        <v>0</v>
      </c>
      <c r="P452" s="30" t="str">
        <f aca="false">IF(N452&lt;判定条件!$C$6,"判定不能",IF(O452&gt;=判定条件!$C$7*N452,"運転",IF(O452&lt;=判定条件!$C$8*N452,"停止","断続")))</f>
        <v>停止</v>
      </c>
      <c r="Q452" s="30" t="n">
        <v>0</v>
      </c>
      <c r="R452" s="30" t="n">
        <v>0</v>
      </c>
      <c r="S452" s="30" t="str">
        <f aca="false">IF(Q452&lt;判定条件!$C$6,"判定不能",IF(R452&gt;=判定条件!$C$7*Q452,"運転",IF(R452&lt;=判定条件!$C$8*Q452,"停止","断続")))</f>
        <v>判定不能</v>
      </c>
      <c r="T452" s="30" t="n">
        <v>60</v>
      </c>
      <c r="U452" s="30" t="n">
        <v>0</v>
      </c>
      <c r="V452" s="30" t="str">
        <f aca="false">IF(T452&lt;判定条件!$C$6,"判定不能",IF(U452&gt;=判定条件!$C$7*T452,"運転",IF(U452&lt;=判定条件!$C$8*T452,"停止","断続")))</f>
        <v>停止</v>
      </c>
      <c r="W452" s="30" t="n">
        <v>60</v>
      </c>
      <c r="X452" s="30" t="n">
        <v>54</v>
      </c>
      <c r="Y452" s="30" t="str">
        <f aca="false">IF(W452&lt;判定条件!$C$6,"判定不能",IF(X452&gt;=判定条件!$C$7*W452,"運転",IF(X452&lt;=判定条件!$C$8*W452,"停止","断続")))</f>
        <v>運転</v>
      </c>
      <c r="Z452" s="30" t="n">
        <v>60</v>
      </c>
      <c r="AA452" s="30" t="n">
        <v>37</v>
      </c>
      <c r="AB452" s="30" t="str">
        <f aca="false">IF(Z452&lt;判定条件!$C$6,"判定不能",IF(AA452&gt;=判定条件!$C$7*Z452,"運転",IF(AA452&lt;=判定条件!$C$8*Z452,"停止","断続")))</f>
        <v>断続</v>
      </c>
      <c r="AC452" s="30" t="n">
        <v>60</v>
      </c>
      <c r="AD452" s="30" t="n">
        <v>60</v>
      </c>
      <c r="AE452" s="30" t="str">
        <f aca="false">IF(AC452&lt;判定条件!$C$6,"判定不能",IF(AD452&gt;=判定条件!$C$7*AC452,"運転",IF(AD452&lt;=判定条件!$C$8*AC452,"停止","断続")))</f>
        <v>運転</v>
      </c>
      <c r="AF452" s="30" t="n">
        <v>60</v>
      </c>
      <c r="AG452" s="30" t="n">
        <v>0</v>
      </c>
      <c r="AH452" s="30" t="str">
        <f aca="false">IF(OR(P452="判定不能",G452="判定不能"),"判定不能",IF(AG452&gt;=判定条件!$C$9,"利用可",IF(AND(P452="停止",G452="停止"),"両方停止","運転がそろわない")))</f>
        <v>運転がそろわない</v>
      </c>
      <c r="AI452" s="30" t="n">
        <v>0</v>
      </c>
      <c r="AJ452" s="30" t="n">
        <v>0</v>
      </c>
      <c r="AK452" s="30" t="str">
        <f aca="false">IF(OR(S452="判定不能",J452="判定不能"),"判定不能",IF(AJ452&gt;=判定条件!$C$9,"利用可",IF(AND(S452="停止",J452="停止"),"両方停止","運転がそろわない")))</f>
        <v>判定不能</v>
      </c>
      <c r="AL452" s="30" t="n">
        <v>60</v>
      </c>
      <c r="AM452" s="30" t="n">
        <v>0</v>
      </c>
      <c r="AN452" s="30" t="str">
        <f aca="false">IF(OR(V452="判定不能",M452="判定不能"),"判定不能",IF(AM452&gt;=判定条件!$C$9,"利用可",IF(AND(V452="停止",M452="停止"),"両方停止","運転がそろわない")))</f>
        <v>運転がそろわない</v>
      </c>
      <c r="AO452" s="30" t="n">
        <v>60</v>
      </c>
      <c r="AP452" s="30" t="n">
        <v>54</v>
      </c>
      <c r="AQ452" s="30" t="str">
        <f aca="false">IF(OR(Y452="判定不能",G452="判定不能"),"判定不能",IF(AP452&gt;=判定条件!$C$9,"利用可",IF(AND(Y452="停止",G452="停止"),"両方停止","運転がそろわない")))</f>
        <v>利用可</v>
      </c>
      <c r="AR452" s="30" t="n">
        <v>60</v>
      </c>
      <c r="AS452" s="30" t="n">
        <v>37</v>
      </c>
      <c r="AT452" s="30" t="str">
        <f aca="false">IF(OR(AB452="判定不能",J452="判定不能"),"判定不能",IF(AS452&gt;=判定条件!$C$9,"利用可",IF(AND(AB452="停止",J452="停止"),"両方停止","運転がそろわない")))</f>
        <v>利用可</v>
      </c>
      <c r="AU452" s="30" t="n">
        <v>60</v>
      </c>
      <c r="AV452" s="30" t="n">
        <v>60</v>
      </c>
      <c r="AW452" s="30" t="str">
        <f aca="false">IF(OR(AE452="判定不能",M452="判定不能"),"判定不能",IF(AV452&gt;=判定条件!$C$9,"利用可",IF(AND(AE452="停止",M452="停止"),"両方停止","運転がそろわない")))</f>
        <v>利用可</v>
      </c>
      <c r="AX452" s="30" t="str">
        <f aca="false">IF(AND(AH452="利用可",AK452="利用可",AN452="利用可"),"利用可","不可")</f>
        <v>不可</v>
      </c>
      <c r="AY452" s="30" t="str">
        <f aca="false">IF(AND(AQ452="利用可",AT452="利用可",AW452="利用可"),"利用可","不可")</f>
        <v>利用可</v>
      </c>
    </row>
    <row r="453" customFormat="false" ht="15" hidden="false" customHeight="false" outlineLevel="0" collapsed="false">
      <c r="A453" s="29" t="n">
        <v>46250</v>
      </c>
      <c r="B453" s="30" t="n">
        <v>18</v>
      </c>
      <c r="C453" s="31" t="s">
        <v>65</v>
      </c>
      <c r="D453" s="31" t="s">
        <v>64</v>
      </c>
      <c r="E453" s="30" t="n">
        <v>60</v>
      </c>
      <c r="F453" s="30" t="n">
        <v>59</v>
      </c>
      <c r="G453" s="30" t="str">
        <f aca="false">IF(E453&lt;判定条件!$C$6,"判定不能",IF(F453&gt;=判定条件!$C$7*E453,"運転",IF(F453&lt;=判定条件!$C$8*E453,"停止","断続")))</f>
        <v>運転</v>
      </c>
      <c r="H453" s="30" t="n">
        <v>60</v>
      </c>
      <c r="I453" s="30" t="n">
        <v>56</v>
      </c>
      <c r="J453" s="30" t="str">
        <f aca="false">IF(H453&lt;判定条件!$C$6,"判定不能",IF(I453&gt;=判定条件!$C$7*H453,"運転",IF(I453&lt;=判定条件!$C$8*H453,"停止","断続")))</f>
        <v>運転</v>
      </c>
      <c r="K453" s="30" t="n">
        <v>60</v>
      </c>
      <c r="L453" s="30" t="n">
        <v>60</v>
      </c>
      <c r="M453" s="30" t="str">
        <f aca="false">IF(K453&lt;判定条件!$C$6,"判定不能",IF(L453&gt;=判定条件!$C$7*K453,"運転",IF(L453&lt;=判定条件!$C$8*K453,"停止","断続")))</f>
        <v>運転</v>
      </c>
      <c r="N453" s="30" t="n">
        <v>60</v>
      </c>
      <c r="O453" s="30" t="n">
        <v>0</v>
      </c>
      <c r="P453" s="30" t="str">
        <f aca="false">IF(N453&lt;判定条件!$C$6,"判定不能",IF(O453&gt;=判定条件!$C$7*N453,"運転",IF(O453&lt;=判定条件!$C$8*N453,"停止","断続")))</f>
        <v>停止</v>
      </c>
      <c r="Q453" s="30" t="n">
        <v>0</v>
      </c>
      <c r="R453" s="30" t="n">
        <v>0</v>
      </c>
      <c r="S453" s="30" t="str">
        <f aca="false">IF(Q453&lt;判定条件!$C$6,"判定不能",IF(R453&gt;=判定条件!$C$7*Q453,"運転",IF(R453&lt;=判定条件!$C$8*Q453,"停止","断続")))</f>
        <v>判定不能</v>
      </c>
      <c r="T453" s="30" t="n">
        <v>60</v>
      </c>
      <c r="U453" s="30" t="n">
        <v>0</v>
      </c>
      <c r="V453" s="30" t="str">
        <f aca="false">IF(T453&lt;判定条件!$C$6,"判定不能",IF(U453&gt;=判定条件!$C$7*T453,"運転",IF(U453&lt;=判定条件!$C$8*T453,"停止","断続")))</f>
        <v>停止</v>
      </c>
      <c r="W453" s="30" t="n">
        <v>60</v>
      </c>
      <c r="X453" s="30" t="n">
        <v>6</v>
      </c>
      <c r="Y453" s="30" t="str">
        <f aca="false">IF(W453&lt;判定条件!$C$6,"判定不能",IF(X453&gt;=判定条件!$C$7*W453,"運転",IF(X453&lt;=判定条件!$C$8*W453,"停止","断続")))</f>
        <v>停止</v>
      </c>
      <c r="Z453" s="30" t="n">
        <v>60</v>
      </c>
      <c r="AA453" s="30" t="n">
        <v>0</v>
      </c>
      <c r="AB453" s="30" t="str">
        <f aca="false">IF(Z453&lt;判定条件!$C$6,"判定不能",IF(AA453&gt;=判定条件!$C$7*Z453,"運転",IF(AA453&lt;=判定条件!$C$8*Z453,"停止","断続")))</f>
        <v>停止</v>
      </c>
      <c r="AC453" s="30" t="n">
        <v>60</v>
      </c>
      <c r="AD453" s="30" t="n">
        <v>40</v>
      </c>
      <c r="AE453" s="30" t="str">
        <f aca="false">IF(AC453&lt;判定条件!$C$6,"判定不能",IF(AD453&gt;=判定条件!$C$7*AC453,"運転",IF(AD453&lt;=判定条件!$C$8*AC453,"停止","断続")))</f>
        <v>断続</v>
      </c>
      <c r="AF453" s="30" t="n">
        <v>60</v>
      </c>
      <c r="AG453" s="30" t="n">
        <v>0</v>
      </c>
      <c r="AH453" s="30" t="str">
        <f aca="false">IF(OR(P453="判定不能",G453="判定不能"),"判定不能",IF(AG453&gt;=判定条件!$C$9,"利用可",IF(AND(P453="停止",G453="停止"),"両方停止","運転がそろわない")))</f>
        <v>運転がそろわない</v>
      </c>
      <c r="AI453" s="30" t="n">
        <v>0</v>
      </c>
      <c r="AJ453" s="30" t="n">
        <v>0</v>
      </c>
      <c r="AK453" s="30" t="str">
        <f aca="false">IF(OR(S453="判定不能",J453="判定不能"),"判定不能",IF(AJ453&gt;=判定条件!$C$9,"利用可",IF(AND(S453="停止",J453="停止"),"両方停止","運転がそろわない")))</f>
        <v>判定不能</v>
      </c>
      <c r="AL453" s="30" t="n">
        <v>60</v>
      </c>
      <c r="AM453" s="30" t="n">
        <v>0</v>
      </c>
      <c r="AN453" s="30" t="str">
        <f aca="false">IF(OR(V453="判定不能",M453="判定不能"),"判定不能",IF(AM453&gt;=判定条件!$C$9,"利用可",IF(AND(V453="停止",M453="停止"),"両方停止","運転がそろわない")))</f>
        <v>運転がそろわない</v>
      </c>
      <c r="AO453" s="30" t="n">
        <v>60</v>
      </c>
      <c r="AP453" s="30" t="n">
        <v>6</v>
      </c>
      <c r="AQ453" s="30" t="str">
        <f aca="false">IF(OR(Y453="判定不能",G453="判定不能"),"判定不能",IF(AP453&gt;=判定条件!$C$9,"利用可",IF(AND(Y453="停止",G453="停止"),"両方停止","運転がそろわない")))</f>
        <v>運転がそろわない</v>
      </c>
      <c r="AR453" s="30" t="n">
        <v>60</v>
      </c>
      <c r="AS453" s="30" t="n">
        <v>0</v>
      </c>
      <c r="AT453" s="30" t="str">
        <f aca="false">IF(OR(AB453="判定不能",J453="判定不能"),"判定不能",IF(AS453&gt;=判定条件!$C$9,"利用可",IF(AND(AB453="停止",J453="停止"),"両方停止","運転がそろわない")))</f>
        <v>運転がそろわない</v>
      </c>
      <c r="AU453" s="30" t="n">
        <v>60</v>
      </c>
      <c r="AV453" s="30" t="n">
        <v>40</v>
      </c>
      <c r="AW453" s="30" t="str">
        <f aca="false">IF(OR(AE453="判定不能",M453="判定不能"),"判定不能",IF(AV453&gt;=判定条件!$C$9,"利用可",IF(AND(AE453="停止",M453="停止"),"両方停止","運転がそろわない")))</f>
        <v>利用可</v>
      </c>
      <c r="AX453" s="30" t="str">
        <f aca="false">IF(AND(AH453="利用可",AK453="利用可",AN453="利用可"),"利用可","不可")</f>
        <v>不可</v>
      </c>
      <c r="AY453" s="30" t="str">
        <f aca="false">IF(AND(AQ453="利用可",AT453="利用可",AW453="利用可"),"利用可","不可")</f>
        <v>不可</v>
      </c>
    </row>
    <row r="454" customFormat="false" ht="15" hidden="false" customHeight="false" outlineLevel="0" collapsed="false">
      <c r="A454" s="29" t="n">
        <v>46250</v>
      </c>
      <c r="B454" s="30" t="n">
        <v>19</v>
      </c>
      <c r="C454" s="31" t="s">
        <v>65</v>
      </c>
      <c r="D454" s="31" t="s">
        <v>64</v>
      </c>
      <c r="E454" s="30" t="n">
        <v>60</v>
      </c>
      <c r="F454" s="30" t="n">
        <v>47</v>
      </c>
      <c r="G454" s="30" t="str">
        <f aca="false">IF(E454&lt;判定条件!$C$6,"判定不能",IF(F454&gt;=判定条件!$C$7*E454,"運転",IF(F454&lt;=判定条件!$C$8*E454,"停止","断続")))</f>
        <v>断続</v>
      </c>
      <c r="H454" s="30" t="n">
        <v>60</v>
      </c>
      <c r="I454" s="30" t="n">
        <v>54</v>
      </c>
      <c r="J454" s="30" t="str">
        <f aca="false">IF(H454&lt;判定条件!$C$6,"判定不能",IF(I454&gt;=判定条件!$C$7*H454,"運転",IF(I454&lt;=判定条件!$C$8*H454,"停止","断続")))</f>
        <v>運転</v>
      </c>
      <c r="K454" s="30" t="n">
        <v>60</v>
      </c>
      <c r="L454" s="30" t="n">
        <v>60</v>
      </c>
      <c r="M454" s="30" t="str">
        <f aca="false">IF(K454&lt;判定条件!$C$6,"判定不能",IF(L454&gt;=判定条件!$C$7*K454,"運転",IF(L454&lt;=判定条件!$C$8*K454,"停止","断続")))</f>
        <v>運転</v>
      </c>
      <c r="N454" s="30" t="n">
        <v>60</v>
      </c>
      <c r="O454" s="30" t="n">
        <v>0</v>
      </c>
      <c r="P454" s="30" t="str">
        <f aca="false">IF(N454&lt;判定条件!$C$6,"判定不能",IF(O454&gt;=判定条件!$C$7*N454,"運転",IF(O454&lt;=判定条件!$C$8*N454,"停止","断続")))</f>
        <v>停止</v>
      </c>
      <c r="Q454" s="30" t="n">
        <v>0</v>
      </c>
      <c r="R454" s="30" t="n">
        <v>0</v>
      </c>
      <c r="S454" s="30" t="str">
        <f aca="false">IF(Q454&lt;判定条件!$C$6,"判定不能",IF(R454&gt;=判定条件!$C$7*Q454,"運転",IF(R454&lt;=判定条件!$C$8*Q454,"停止","断続")))</f>
        <v>判定不能</v>
      </c>
      <c r="T454" s="30" t="n">
        <v>60</v>
      </c>
      <c r="U454" s="30" t="n">
        <v>0</v>
      </c>
      <c r="V454" s="30" t="str">
        <f aca="false">IF(T454&lt;判定条件!$C$6,"判定不能",IF(U454&gt;=判定条件!$C$7*T454,"運転",IF(U454&lt;=判定条件!$C$8*T454,"停止","断続")))</f>
        <v>停止</v>
      </c>
      <c r="W454" s="30" t="n">
        <v>60</v>
      </c>
      <c r="X454" s="30" t="n">
        <v>0</v>
      </c>
      <c r="Y454" s="30" t="str">
        <f aca="false">IF(W454&lt;判定条件!$C$6,"判定不能",IF(X454&gt;=判定条件!$C$7*W454,"運転",IF(X454&lt;=判定条件!$C$8*W454,"停止","断続")))</f>
        <v>停止</v>
      </c>
      <c r="Z454" s="30" t="n">
        <v>60</v>
      </c>
      <c r="AA454" s="30" t="n">
        <v>0</v>
      </c>
      <c r="AB454" s="30" t="str">
        <f aca="false">IF(Z454&lt;判定条件!$C$6,"判定不能",IF(AA454&gt;=判定条件!$C$7*Z454,"運転",IF(AA454&lt;=判定条件!$C$8*Z454,"停止","断続")))</f>
        <v>停止</v>
      </c>
      <c r="AC454" s="30" t="n">
        <v>60</v>
      </c>
      <c r="AD454" s="30" t="n">
        <v>0</v>
      </c>
      <c r="AE454" s="30" t="str">
        <f aca="false">IF(AC454&lt;判定条件!$C$6,"判定不能",IF(AD454&gt;=判定条件!$C$7*AC454,"運転",IF(AD454&lt;=判定条件!$C$8*AC454,"停止","断続")))</f>
        <v>停止</v>
      </c>
      <c r="AF454" s="30" t="n">
        <v>60</v>
      </c>
      <c r="AG454" s="30" t="n">
        <v>0</v>
      </c>
      <c r="AH454" s="30" t="str">
        <f aca="false">IF(OR(P454="判定不能",G454="判定不能"),"判定不能",IF(AG454&gt;=判定条件!$C$9,"利用可",IF(AND(P454="停止",G454="停止"),"両方停止","運転がそろわない")))</f>
        <v>運転がそろわない</v>
      </c>
      <c r="AI454" s="30" t="n">
        <v>0</v>
      </c>
      <c r="AJ454" s="30" t="n">
        <v>0</v>
      </c>
      <c r="AK454" s="30" t="str">
        <f aca="false">IF(OR(S454="判定不能",J454="判定不能"),"判定不能",IF(AJ454&gt;=判定条件!$C$9,"利用可",IF(AND(S454="停止",J454="停止"),"両方停止","運転がそろわない")))</f>
        <v>判定不能</v>
      </c>
      <c r="AL454" s="30" t="n">
        <v>60</v>
      </c>
      <c r="AM454" s="30" t="n">
        <v>0</v>
      </c>
      <c r="AN454" s="30" t="str">
        <f aca="false">IF(OR(V454="判定不能",M454="判定不能"),"判定不能",IF(AM454&gt;=判定条件!$C$9,"利用可",IF(AND(V454="停止",M454="停止"),"両方停止","運転がそろわない")))</f>
        <v>運転がそろわない</v>
      </c>
      <c r="AO454" s="30" t="n">
        <v>60</v>
      </c>
      <c r="AP454" s="30" t="n">
        <v>0</v>
      </c>
      <c r="AQ454" s="30" t="str">
        <f aca="false">IF(OR(Y454="判定不能",G454="判定不能"),"判定不能",IF(AP454&gt;=判定条件!$C$9,"利用可",IF(AND(Y454="停止",G454="停止"),"両方停止","運転がそろわない")))</f>
        <v>運転がそろわない</v>
      </c>
      <c r="AR454" s="30" t="n">
        <v>60</v>
      </c>
      <c r="AS454" s="30" t="n">
        <v>0</v>
      </c>
      <c r="AT454" s="30" t="str">
        <f aca="false">IF(OR(AB454="判定不能",J454="判定不能"),"判定不能",IF(AS454&gt;=判定条件!$C$9,"利用可",IF(AND(AB454="停止",J454="停止"),"両方停止","運転がそろわない")))</f>
        <v>運転がそろわない</v>
      </c>
      <c r="AU454" s="30" t="n">
        <v>60</v>
      </c>
      <c r="AV454" s="30" t="n">
        <v>0</v>
      </c>
      <c r="AW454" s="30" t="str">
        <f aca="false">IF(OR(AE454="判定不能",M454="判定不能"),"判定不能",IF(AV454&gt;=判定条件!$C$9,"利用可",IF(AND(AE454="停止",M454="停止"),"両方停止","運転がそろわない")))</f>
        <v>運転がそろわない</v>
      </c>
      <c r="AX454" s="30" t="str">
        <f aca="false">IF(AND(AH454="利用可",AK454="利用可",AN454="利用可"),"利用可","不可")</f>
        <v>不可</v>
      </c>
      <c r="AY454" s="30" t="str">
        <f aca="false">IF(AND(AQ454="利用可",AT454="利用可",AW454="利用可"),"利用可","不可")</f>
        <v>不可</v>
      </c>
    </row>
    <row r="455" customFormat="false" ht="15" hidden="false" customHeight="false" outlineLevel="0" collapsed="false">
      <c r="A455" s="29" t="n">
        <v>46250</v>
      </c>
      <c r="B455" s="30" t="n">
        <v>20</v>
      </c>
      <c r="C455" s="31" t="s">
        <v>65</v>
      </c>
      <c r="D455" s="31" t="s">
        <v>64</v>
      </c>
      <c r="E455" s="30" t="n">
        <v>60</v>
      </c>
      <c r="F455" s="30" t="n">
        <v>60</v>
      </c>
      <c r="G455" s="30" t="str">
        <f aca="false">IF(E455&lt;判定条件!$C$6,"判定不能",IF(F455&gt;=判定条件!$C$7*E455,"運転",IF(F455&lt;=判定条件!$C$8*E455,"停止","断続")))</f>
        <v>運転</v>
      </c>
      <c r="H455" s="30" t="n">
        <v>60</v>
      </c>
      <c r="I455" s="30" t="n">
        <v>60</v>
      </c>
      <c r="J455" s="30" t="str">
        <f aca="false">IF(H455&lt;判定条件!$C$6,"判定不能",IF(I455&gt;=判定条件!$C$7*H455,"運転",IF(I455&lt;=判定条件!$C$8*H455,"停止","断続")))</f>
        <v>運転</v>
      </c>
      <c r="K455" s="30" t="n">
        <v>60</v>
      </c>
      <c r="L455" s="30" t="n">
        <v>60</v>
      </c>
      <c r="M455" s="30" t="str">
        <f aca="false">IF(K455&lt;判定条件!$C$6,"判定不能",IF(L455&gt;=判定条件!$C$7*K455,"運転",IF(L455&lt;=判定条件!$C$8*K455,"停止","断続")))</f>
        <v>運転</v>
      </c>
      <c r="N455" s="30" t="n">
        <v>60</v>
      </c>
      <c r="O455" s="30" t="n">
        <v>0</v>
      </c>
      <c r="P455" s="30" t="str">
        <f aca="false">IF(N455&lt;判定条件!$C$6,"判定不能",IF(O455&gt;=判定条件!$C$7*N455,"運転",IF(O455&lt;=判定条件!$C$8*N455,"停止","断続")))</f>
        <v>停止</v>
      </c>
      <c r="Q455" s="30" t="n">
        <v>0</v>
      </c>
      <c r="R455" s="30" t="n">
        <v>0</v>
      </c>
      <c r="S455" s="30" t="str">
        <f aca="false">IF(Q455&lt;判定条件!$C$6,"判定不能",IF(R455&gt;=判定条件!$C$7*Q455,"運転",IF(R455&lt;=判定条件!$C$8*Q455,"停止","断続")))</f>
        <v>判定不能</v>
      </c>
      <c r="T455" s="30" t="n">
        <v>60</v>
      </c>
      <c r="U455" s="30" t="n">
        <v>0</v>
      </c>
      <c r="V455" s="30" t="str">
        <f aca="false">IF(T455&lt;判定条件!$C$6,"判定不能",IF(U455&gt;=判定条件!$C$7*T455,"運転",IF(U455&lt;=判定条件!$C$8*T455,"停止","断続")))</f>
        <v>停止</v>
      </c>
      <c r="W455" s="30" t="n">
        <v>60</v>
      </c>
      <c r="X455" s="30" t="n">
        <v>0</v>
      </c>
      <c r="Y455" s="30" t="str">
        <f aca="false">IF(W455&lt;判定条件!$C$6,"判定不能",IF(X455&gt;=判定条件!$C$7*W455,"運転",IF(X455&lt;=判定条件!$C$8*W455,"停止","断続")))</f>
        <v>停止</v>
      </c>
      <c r="Z455" s="30" t="n">
        <v>60</v>
      </c>
      <c r="AA455" s="30" t="n">
        <v>0</v>
      </c>
      <c r="AB455" s="30" t="str">
        <f aca="false">IF(Z455&lt;判定条件!$C$6,"判定不能",IF(AA455&gt;=判定条件!$C$7*Z455,"運転",IF(AA455&lt;=判定条件!$C$8*Z455,"停止","断続")))</f>
        <v>停止</v>
      </c>
      <c r="AC455" s="30" t="n">
        <v>60</v>
      </c>
      <c r="AD455" s="30" t="n">
        <v>0</v>
      </c>
      <c r="AE455" s="30" t="str">
        <f aca="false">IF(AC455&lt;判定条件!$C$6,"判定不能",IF(AD455&gt;=判定条件!$C$7*AC455,"運転",IF(AD455&lt;=判定条件!$C$8*AC455,"停止","断続")))</f>
        <v>停止</v>
      </c>
      <c r="AF455" s="30" t="n">
        <v>60</v>
      </c>
      <c r="AG455" s="30" t="n">
        <v>0</v>
      </c>
      <c r="AH455" s="30" t="str">
        <f aca="false">IF(OR(P455="判定不能",G455="判定不能"),"判定不能",IF(AG455&gt;=判定条件!$C$9,"利用可",IF(AND(P455="停止",G455="停止"),"両方停止","運転がそろわない")))</f>
        <v>運転がそろわない</v>
      </c>
      <c r="AI455" s="30" t="n">
        <v>0</v>
      </c>
      <c r="AJ455" s="30" t="n">
        <v>0</v>
      </c>
      <c r="AK455" s="30" t="str">
        <f aca="false">IF(OR(S455="判定不能",J455="判定不能"),"判定不能",IF(AJ455&gt;=判定条件!$C$9,"利用可",IF(AND(S455="停止",J455="停止"),"両方停止","運転がそろわない")))</f>
        <v>判定不能</v>
      </c>
      <c r="AL455" s="30" t="n">
        <v>60</v>
      </c>
      <c r="AM455" s="30" t="n">
        <v>0</v>
      </c>
      <c r="AN455" s="30" t="str">
        <f aca="false">IF(OR(V455="判定不能",M455="判定不能"),"判定不能",IF(AM455&gt;=判定条件!$C$9,"利用可",IF(AND(V455="停止",M455="停止"),"両方停止","運転がそろわない")))</f>
        <v>運転がそろわない</v>
      </c>
      <c r="AO455" s="30" t="n">
        <v>60</v>
      </c>
      <c r="AP455" s="30" t="n">
        <v>0</v>
      </c>
      <c r="AQ455" s="30" t="str">
        <f aca="false">IF(OR(Y455="判定不能",G455="判定不能"),"判定不能",IF(AP455&gt;=判定条件!$C$9,"利用可",IF(AND(Y455="停止",G455="停止"),"両方停止","運転がそろわない")))</f>
        <v>運転がそろわない</v>
      </c>
      <c r="AR455" s="30" t="n">
        <v>60</v>
      </c>
      <c r="AS455" s="30" t="n">
        <v>0</v>
      </c>
      <c r="AT455" s="30" t="str">
        <f aca="false">IF(OR(AB455="判定不能",J455="判定不能"),"判定不能",IF(AS455&gt;=判定条件!$C$9,"利用可",IF(AND(AB455="停止",J455="停止"),"両方停止","運転がそろわない")))</f>
        <v>運転がそろわない</v>
      </c>
      <c r="AU455" s="30" t="n">
        <v>60</v>
      </c>
      <c r="AV455" s="30" t="n">
        <v>0</v>
      </c>
      <c r="AW455" s="30" t="str">
        <f aca="false">IF(OR(AE455="判定不能",M455="判定不能"),"判定不能",IF(AV455&gt;=判定条件!$C$9,"利用可",IF(AND(AE455="停止",M455="停止"),"両方停止","運転がそろわない")))</f>
        <v>運転がそろわない</v>
      </c>
      <c r="AX455" s="30" t="str">
        <f aca="false">IF(AND(AH455="利用可",AK455="利用可",AN455="利用可"),"利用可","不可")</f>
        <v>不可</v>
      </c>
      <c r="AY455" s="30" t="str">
        <f aca="false">IF(AND(AQ455="利用可",AT455="利用可",AW455="利用可"),"利用可","不可")</f>
        <v>不可</v>
      </c>
    </row>
    <row r="456" customFormat="false" ht="15" hidden="false" customHeight="false" outlineLevel="0" collapsed="false">
      <c r="A456" s="29" t="n">
        <v>46250</v>
      </c>
      <c r="B456" s="30" t="n">
        <v>21</v>
      </c>
      <c r="C456" s="31" t="s">
        <v>65</v>
      </c>
      <c r="D456" s="31" t="s">
        <v>64</v>
      </c>
      <c r="E456" s="30" t="n">
        <v>60</v>
      </c>
      <c r="F456" s="30" t="n">
        <v>17</v>
      </c>
      <c r="G456" s="30" t="str">
        <f aca="false">IF(E456&lt;判定条件!$C$6,"判定不能",IF(F456&gt;=判定条件!$C$7*E456,"運転",IF(F456&lt;=判定条件!$C$8*E456,"停止","断続")))</f>
        <v>断続</v>
      </c>
      <c r="H456" s="30" t="n">
        <v>60</v>
      </c>
      <c r="I456" s="30" t="n">
        <v>5</v>
      </c>
      <c r="J456" s="30" t="str">
        <f aca="false">IF(H456&lt;判定条件!$C$6,"判定不能",IF(I456&gt;=判定条件!$C$7*H456,"運転",IF(I456&lt;=判定条件!$C$8*H456,"停止","断続")))</f>
        <v>停止</v>
      </c>
      <c r="K456" s="30" t="n">
        <v>60</v>
      </c>
      <c r="L456" s="30" t="n">
        <v>11</v>
      </c>
      <c r="M456" s="30" t="str">
        <f aca="false">IF(K456&lt;判定条件!$C$6,"判定不能",IF(L456&gt;=判定条件!$C$7*K456,"運転",IF(L456&lt;=判定条件!$C$8*K456,"停止","断続")))</f>
        <v>停止</v>
      </c>
      <c r="N456" s="30" t="n">
        <v>60</v>
      </c>
      <c r="O456" s="30" t="n">
        <v>0</v>
      </c>
      <c r="P456" s="30" t="str">
        <f aca="false">IF(N456&lt;判定条件!$C$6,"判定不能",IF(O456&gt;=判定条件!$C$7*N456,"運転",IF(O456&lt;=判定条件!$C$8*N456,"停止","断続")))</f>
        <v>停止</v>
      </c>
      <c r="Q456" s="30" t="n">
        <v>0</v>
      </c>
      <c r="R456" s="30" t="n">
        <v>0</v>
      </c>
      <c r="S456" s="30" t="str">
        <f aca="false">IF(Q456&lt;判定条件!$C$6,"判定不能",IF(R456&gt;=判定条件!$C$7*Q456,"運転",IF(R456&lt;=判定条件!$C$8*Q456,"停止","断続")))</f>
        <v>判定不能</v>
      </c>
      <c r="T456" s="30" t="n">
        <v>60</v>
      </c>
      <c r="U456" s="30" t="n">
        <v>0</v>
      </c>
      <c r="V456" s="30" t="str">
        <f aca="false">IF(T456&lt;判定条件!$C$6,"判定不能",IF(U456&gt;=判定条件!$C$7*T456,"運転",IF(U456&lt;=判定条件!$C$8*T456,"停止","断続")))</f>
        <v>停止</v>
      </c>
      <c r="W456" s="30" t="n">
        <v>60</v>
      </c>
      <c r="X456" s="30" t="n">
        <v>0</v>
      </c>
      <c r="Y456" s="30" t="str">
        <f aca="false">IF(W456&lt;判定条件!$C$6,"判定不能",IF(X456&gt;=判定条件!$C$7*W456,"運転",IF(X456&lt;=判定条件!$C$8*W456,"停止","断続")))</f>
        <v>停止</v>
      </c>
      <c r="Z456" s="30" t="n">
        <v>60</v>
      </c>
      <c r="AA456" s="30" t="n">
        <v>0</v>
      </c>
      <c r="AB456" s="30" t="str">
        <f aca="false">IF(Z456&lt;判定条件!$C$6,"判定不能",IF(AA456&gt;=判定条件!$C$7*Z456,"運転",IF(AA456&lt;=判定条件!$C$8*Z456,"停止","断続")))</f>
        <v>停止</v>
      </c>
      <c r="AC456" s="30" t="n">
        <v>60</v>
      </c>
      <c r="AD456" s="30" t="n">
        <v>0</v>
      </c>
      <c r="AE456" s="30" t="str">
        <f aca="false">IF(AC456&lt;判定条件!$C$6,"判定不能",IF(AD456&gt;=判定条件!$C$7*AC456,"運転",IF(AD456&lt;=判定条件!$C$8*AC456,"停止","断続")))</f>
        <v>停止</v>
      </c>
      <c r="AF456" s="30" t="n">
        <v>60</v>
      </c>
      <c r="AG456" s="30" t="n">
        <v>0</v>
      </c>
      <c r="AH456" s="30" t="str">
        <f aca="false">IF(OR(P456="判定不能",G456="判定不能"),"判定不能",IF(AG456&gt;=判定条件!$C$9,"利用可",IF(AND(P456="停止",G456="停止"),"両方停止","運転がそろわない")))</f>
        <v>運転がそろわない</v>
      </c>
      <c r="AI456" s="30" t="n">
        <v>0</v>
      </c>
      <c r="AJ456" s="30" t="n">
        <v>0</v>
      </c>
      <c r="AK456" s="30" t="str">
        <f aca="false">IF(OR(S456="判定不能",J456="判定不能"),"判定不能",IF(AJ456&gt;=判定条件!$C$9,"利用可",IF(AND(S456="停止",J456="停止"),"両方停止","運転がそろわない")))</f>
        <v>判定不能</v>
      </c>
      <c r="AL456" s="30" t="n">
        <v>60</v>
      </c>
      <c r="AM456" s="30" t="n">
        <v>0</v>
      </c>
      <c r="AN456" s="30" t="str">
        <f aca="false">IF(OR(V456="判定不能",M456="判定不能"),"判定不能",IF(AM456&gt;=判定条件!$C$9,"利用可",IF(AND(V456="停止",M456="停止"),"両方停止","運転がそろわない")))</f>
        <v>両方停止</v>
      </c>
      <c r="AO456" s="30" t="n">
        <v>60</v>
      </c>
      <c r="AP456" s="30" t="n">
        <v>0</v>
      </c>
      <c r="AQ456" s="30" t="str">
        <f aca="false">IF(OR(Y456="判定不能",G456="判定不能"),"判定不能",IF(AP456&gt;=判定条件!$C$9,"利用可",IF(AND(Y456="停止",G456="停止"),"両方停止","運転がそろわない")))</f>
        <v>運転がそろわない</v>
      </c>
      <c r="AR456" s="30" t="n">
        <v>60</v>
      </c>
      <c r="AS456" s="30" t="n">
        <v>0</v>
      </c>
      <c r="AT456" s="30" t="str">
        <f aca="false">IF(OR(AB456="判定不能",J456="判定不能"),"判定不能",IF(AS456&gt;=判定条件!$C$9,"利用可",IF(AND(AB456="停止",J456="停止"),"両方停止","運転がそろわない")))</f>
        <v>両方停止</v>
      </c>
      <c r="AU456" s="30" t="n">
        <v>60</v>
      </c>
      <c r="AV456" s="30" t="n">
        <v>0</v>
      </c>
      <c r="AW456" s="30" t="str">
        <f aca="false">IF(OR(AE456="判定不能",M456="判定不能"),"判定不能",IF(AV456&gt;=判定条件!$C$9,"利用可",IF(AND(AE456="停止",M456="停止"),"両方停止","運転がそろわない")))</f>
        <v>両方停止</v>
      </c>
      <c r="AX456" s="30" t="str">
        <f aca="false">IF(AND(AH456="利用可",AK456="利用可",AN456="利用可"),"利用可","不可")</f>
        <v>不可</v>
      </c>
      <c r="AY456" s="30" t="str">
        <f aca="false">IF(AND(AQ456="利用可",AT456="利用可",AW456="利用可"),"利用可","不可")</f>
        <v>不可</v>
      </c>
    </row>
    <row r="457" customFormat="false" ht="15" hidden="false" customHeight="false" outlineLevel="0" collapsed="false">
      <c r="A457" s="29" t="n">
        <v>46250</v>
      </c>
      <c r="B457" s="30" t="n">
        <v>22</v>
      </c>
      <c r="C457" s="31" t="s">
        <v>65</v>
      </c>
      <c r="D457" s="31" t="s">
        <v>64</v>
      </c>
      <c r="E457" s="30" t="n">
        <v>60</v>
      </c>
      <c r="F457" s="30" t="n">
        <v>0</v>
      </c>
      <c r="G457" s="30" t="str">
        <f aca="false">IF(E457&lt;判定条件!$C$6,"判定不能",IF(F457&gt;=判定条件!$C$7*E457,"運転",IF(F457&lt;=判定条件!$C$8*E457,"停止","断続")))</f>
        <v>停止</v>
      </c>
      <c r="H457" s="30" t="n">
        <v>60</v>
      </c>
      <c r="I457" s="30" t="n">
        <v>0</v>
      </c>
      <c r="J457" s="30" t="str">
        <f aca="false">IF(H457&lt;判定条件!$C$6,"判定不能",IF(I457&gt;=判定条件!$C$7*H457,"運転",IF(I457&lt;=判定条件!$C$8*H457,"停止","断続")))</f>
        <v>停止</v>
      </c>
      <c r="K457" s="30" t="n">
        <v>60</v>
      </c>
      <c r="L457" s="30" t="n">
        <v>0</v>
      </c>
      <c r="M457" s="30" t="str">
        <f aca="false">IF(K457&lt;判定条件!$C$6,"判定不能",IF(L457&gt;=判定条件!$C$7*K457,"運転",IF(L457&lt;=判定条件!$C$8*K457,"停止","断続")))</f>
        <v>停止</v>
      </c>
      <c r="N457" s="30" t="n">
        <v>60</v>
      </c>
      <c r="O457" s="30" t="n">
        <v>0</v>
      </c>
      <c r="P457" s="30" t="str">
        <f aca="false">IF(N457&lt;判定条件!$C$6,"判定不能",IF(O457&gt;=判定条件!$C$7*N457,"運転",IF(O457&lt;=判定条件!$C$8*N457,"停止","断続")))</f>
        <v>停止</v>
      </c>
      <c r="Q457" s="30" t="n">
        <v>0</v>
      </c>
      <c r="R457" s="30" t="n">
        <v>0</v>
      </c>
      <c r="S457" s="30" t="str">
        <f aca="false">IF(Q457&lt;判定条件!$C$6,"判定不能",IF(R457&gt;=判定条件!$C$7*Q457,"運転",IF(R457&lt;=判定条件!$C$8*Q457,"停止","断続")))</f>
        <v>判定不能</v>
      </c>
      <c r="T457" s="30" t="n">
        <v>60</v>
      </c>
      <c r="U457" s="30" t="n">
        <v>0</v>
      </c>
      <c r="V457" s="30" t="str">
        <f aca="false">IF(T457&lt;判定条件!$C$6,"判定不能",IF(U457&gt;=判定条件!$C$7*T457,"運転",IF(U457&lt;=判定条件!$C$8*T457,"停止","断続")))</f>
        <v>停止</v>
      </c>
      <c r="W457" s="30" t="n">
        <v>60</v>
      </c>
      <c r="X457" s="30" t="n">
        <v>0</v>
      </c>
      <c r="Y457" s="30" t="str">
        <f aca="false">IF(W457&lt;判定条件!$C$6,"判定不能",IF(X457&gt;=判定条件!$C$7*W457,"運転",IF(X457&lt;=判定条件!$C$8*W457,"停止","断続")))</f>
        <v>停止</v>
      </c>
      <c r="Z457" s="30" t="n">
        <v>60</v>
      </c>
      <c r="AA457" s="30" t="n">
        <v>0</v>
      </c>
      <c r="AB457" s="30" t="str">
        <f aca="false">IF(Z457&lt;判定条件!$C$6,"判定不能",IF(AA457&gt;=判定条件!$C$7*Z457,"運転",IF(AA457&lt;=判定条件!$C$8*Z457,"停止","断続")))</f>
        <v>停止</v>
      </c>
      <c r="AC457" s="30" t="n">
        <v>60</v>
      </c>
      <c r="AD457" s="30" t="n">
        <v>0</v>
      </c>
      <c r="AE457" s="30" t="str">
        <f aca="false">IF(AC457&lt;判定条件!$C$6,"判定不能",IF(AD457&gt;=判定条件!$C$7*AC457,"運転",IF(AD457&lt;=判定条件!$C$8*AC457,"停止","断続")))</f>
        <v>停止</v>
      </c>
      <c r="AF457" s="30" t="n">
        <v>60</v>
      </c>
      <c r="AG457" s="30" t="n">
        <v>0</v>
      </c>
      <c r="AH457" s="30" t="str">
        <f aca="false">IF(OR(P457="判定不能",G457="判定不能"),"判定不能",IF(AG457&gt;=判定条件!$C$9,"利用可",IF(AND(P457="停止",G457="停止"),"両方停止","運転がそろわない")))</f>
        <v>両方停止</v>
      </c>
      <c r="AI457" s="30" t="n">
        <v>0</v>
      </c>
      <c r="AJ457" s="30" t="n">
        <v>0</v>
      </c>
      <c r="AK457" s="30" t="str">
        <f aca="false">IF(OR(S457="判定不能",J457="判定不能"),"判定不能",IF(AJ457&gt;=判定条件!$C$9,"利用可",IF(AND(S457="停止",J457="停止"),"両方停止","運転がそろわない")))</f>
        <v>判定不能</v>
      </c>
      <c r="AL457" s="30" t="n">
        <v>60</v>
      </c>
      <c r="AM457" s="30" t="n">
        <v>0</v>
      </c>
      <c r="AN457" s="30" t="str">
        <f aca="false">IF(OR(V457="判定不能",M457="判定不能"),"判定不能",IF(AM457&gt;=判定条件!$C$9,"利用可",IF(AND(V457="停止",M457="停止"),"両方停止","運転がそろわない")))</f>
        <v>両方停止</v>
      </c>
      <c r="AO457" s="30" t="n">
        <v>60</v>
      </c>
      <c r="AP457" s="30" t="n">
        <v>0</v>
      </c>
      <c r="AQ457" s="30" t="str">
        <f aca="false">IF(OR(Y457="判定不能",G457="判定不能"),"判定不能",IF(AP457&gt;=判定条件!$C$9,"利用可",IF(AND(Y457="停止",G457="停止"),"両方停止","運転がそろわない")))</f>
        <v>両方停止</v>
      </c>
      <c r="AR457" s="30" t="n">
        <v>60</v>
      </c>
      <c r="AS457" s="30" t="n">
        <v>0</v>
      </c>
      <c r="AT457" s="30" t="str">
        <f aca="false">IF(OR(AB457="判定不能",J457="判定不能"),"判定不能",IF(AS457&gt;=判定条件!$C$9,"利用可",IF(AND(AB457="停止",J457="停止"),"両方停止","運転がそろわない")))</f>
        <v>両方停止</v>
      </c>
      <c r="AU457" s="30" t="n">
        <v>60</v>
      </c>
      <c r="AV457" s="30" t="n">
        <v>0</v>
      </c>
      <c r="AW457" s="30" t="str">
        <f aca="false">IF(OR(AE457="判定不能",M457="判定不能"),"判定不能",IF(AV457&gt;=判定条件!$C$9,"利用可",IF(AND(AE457="停止",M457="停止"),"両方停止","運転がそろわない")))</f>
        <v>両方停止</v>
      </c>
      <c r="AX457" s="30" t="str">
        <f aca="false">IF(AND(AH457="利用可",AK457="利用可",AN457="利用可"),"利用可","不可")</f>
        <v>不可</v>
      </c>
      <c r="AY457" s="30" t="str">
        <f aca="false">IF(AND(AQ457="利用可",AT457="利用可",AW457="利用可"),"利用可","不可")</f>
        <v>不可</v>
      </c>
    </row>
    <row r="458" customFormat="false" ht="15" hidden="false" customHeight="false" outlineLevel="0" collapsed="false">
      <c r="A458" s="29" t="n">
        <v>46250</v>
      </c>
      <c r="B458" s="30" t="n">
        <v>23</v>
      </c>
      <c r="C458" s="31" t="s">
        <v>65</v>
      </c>
      <c r="D458" s="31" t="s">
        <v>64</v>
      </c>
      <c r="E458" s="30" t="n">
        <v>60</v>
      </c>
      <c r="F458" s="30" t="n">
        <v>0</v>
      </c>
      <c r="G458" s="30" t="str">
        <f aca="false">IF(E458&lt;判定条件!$C$6,"判定不能",IF(F458&gt;=判定条件!$C$7*E458,"運転",IF(F458&lt;=判定条件!$C$8*E458,"停止","断続")))</f>
        <v>停止</v>
      </c>
      <c r="H458" s="30" t="n">
        <v>60</v>
      </c>
      <c r="I458" s="30" t="n">
        <v>0</v>
      </c>
      <c r="J458" s="30" t="str">
        <f aca="false">IF(H458&lt;判定条件!$C$6,"判定不能",IF(I458&gt;=判定条件!$C$7*H458,"運転",IF(I458&lt;=判定条件!$C$8*H458,"停止","断続")))</f>
        <v>停止</v>
      </c>
      <c r="K458" s="30" t="n">
        <v>60</v>
      </c>
      <c r="L458" s="30" t="n">
        <v>0</v>
      </c>
      <c r="M458" s="30" t="str">
        <f aca="false">IF(K458&lt;判定条件!$C$6,"判定不能",IF(L458&gt;=判定条件!$C$7*K458,"運転",IF(L458&lt;=判定条件!$C$8*K458,"停止","断続")))</f>
        <v>停止</v>
      </c>
      <c r="N458" s="30" t="n">
        <v>60</v>
      </c>
      <c r="O458" s="30" t="n">
        <v>0</v>
      </c>
      <c r="P458" s="30" t="str">
        <f aca="false">IF(N458&lt;判定条件!$C$6,"判定不能",IF(O458&gt;=判定条件!$C$7*N458,"運転",IF(O458&lt;=判定条件!$C$8*N458,"停止","断続")))</f>
        <v>停止</v>
      </c>
      <c r="Q458" s="30" t="n">
        <v>0</v>
      </c>
      <c r="R458" s="30" t="n">
        <v>0</v>
      </c>
      <c r="S458" s="30" t="str">
        <f aca="false">IF(Q458&lt;判定条件!$C$6,"判定不能",IF(R458&gt;=判定条件!$C$7*Q458,"運転",IF(R458&lt;=判定条件!$C$8*Q458,"停止","断続")))</f>
        <v>判定不能</v>
      </c>
      <c r="T458" s="30" t="n">
        <v>60</v>
      </c>
      <c r="U458" s="30" t="n">
        <v>0</v>
      </c>
      <c r="V458" s="30" t="str">
        <f aca="false">IF(T458&lt;判定条件!$C$6,"判定不能",IF(U458&gt;=判定条件!$C$7*T458,"運転",IF(U458&lt;=判定条件!$C$8*T458,"停止","断続")))</f>
        <v>停止</v>
      </c>
      <c r="W458" s="30" t="n">
        <v>60</v>
      </c>
      <c r="X458" s="30" t="n">
        <v>0</v>
      </c>
      <c r="Y458" s="30" t="str">
        <f aca="false">IF(W458&lt;判定条件!$C$6,"判定不能",IF(X458&gt;=判定条件!$C$7*W458,"運転",IF(X458&lt;=判定条件!$C$8*W458,"停止","断続")))</f>
        <v>停止</v>
      </c>
      <c r="Z458" s="30" t="n">
        <v>60</v>
      </c>
      <c r="AA458" s="30" t="n">
        <v>0</v>
      </c>
      <c r="AB458" s="30" t="str">
        <f aca="false">IF(Z458&lt;判定条件!$C$6,"判定不能",IF(AA458&gt;=判定条件!$C$7*Z458,"運転",IF(AA458&lt;=判定条件!$C$8*Z458,"停止","断続")))</f>
        <v>停止</v>
      </c>
      <c r="AC458" s="30" t="n">
        <v>60</v>
      </c>
      <c r="AD458" s="30" t="n">
        <v>0</v>
      </c>
      <c r="AE458" s="30" t="str">
        <f aca="false">IF(AC458&lt;判定条件!$C$6,"判定不能",IF(AD458&gt;=判定条件!$C$7*AC458,"運転",IF(AD458&lt;=判定条件!$C$8*AC458,"停止","断続")))</f>
        <v>停止</v>
      </c>
      <c r="AF458" s="30" t="n">
        <v>60</v>
      </c>
      <c r="AG458" s="30" t="n">
        <v>0</v>
      </c>
      <c r="AH458" s="30" t="str">
        <f aca="false">IF(OR(P458="判定不能",G458="判定不能"),"判定不能",IF(AG458&gt;=判定条件!$C$9,"利用可",IF(AND(P458="停止",G458="停止"),"両方停止","運転がそろわない")))</f>
        <v>両方停止</v>
      </c>
      <c r="AI458" s="30" t="n">
        <v>0</v>
      </c>
      <c r="AJ458" s="30" t="n">
        <v>0</v>
      </c>
      <c r="AK458" s="30" t="str">
        <f aca="false">IF(OR(S458="判定不能",J458="判定不能"),"判定不能",IF(AJ458&gt;=判定条件!$C$9,"利用可",IF(AND(S458="停止",J458="停止"),"両方停止","運転がそろわない")))</f>
        <v>判定不能</v>
      </c>
      <c r="AL458" s="30" t="n">
        <v>60</v>
      </c>
      <c r="AM458" s="30" t="n">
        <v>0</v>
      </c>
      <c r="AN458" s="30" t="str">
        <f aca="false">IF(OR(V458="判定不能",M458="判定不能"),"判定不能",IF(AM458&gt;=判定条件!$C$9,"利用可",IF(AND(V458="停止",M458="停止"),"両方停止","運転がそろわない")))</f>
        <v>両方停止</v>
      </c>
      <c r="AO458" s="30" t="n">
        <v>60</v>
      </c>
      <c r="AP458" s="30" t="n">
        <v>0</v>
      </c>
      <c r="AQ458" s="30" t="str">
        <f aca="false">IF(OR(Y458="判定不能",G458="判定不能"),"判定不能",IF(AP458&gt;=判定条件!$C$9,"利用可",IF(AND(Y458="停止",G458="停止"),"両方停止","運転がそろわない")))</f>
        <v>両方停止</v>
      </c>
      <c r="AR458" s="30" t="n">
        <v>60</v>
      </c>
      <c r="AS458" s="30" t="n">
        <v>0</v>
      </c>
      <c r="AT458" s="30" t="str">
        <f aca="false">IF(OR(AB458="判定不能",J458="判定不能"),"判定不能",IF(AS458&gt;=判定条件!$C$9,"利用可",IF(AND(AB458="停止",J458="停止"),"両方停止","運転がそろわない")))</f>
        <v>両方停止</v>
      </c>
      <c r="AU458" s="30" t="n">
        <v>60</v>
      </c>
      <c r="AV458" s="30" t="n">
        <v>0</v>
      </c>
      <c r="AW458" s="30" t="str">
        <f aca="false">IF(OR(AE458="判定不能",M458="判定不能"),"判定不能",IF(AV458&gt;=判定条件!$C$9,"利用可",IF(AND(AE458="停止",M458="停止"),"両方停止","運転がそろわない")))</f>
        <v>両方停止</v>
      </c>
      <c r="AX458" s="30" t="str">
        <f aca="false">IF(AND(AH458="利用可",AK458="利用可",AN458="利用可"),"利用可","不可")</f>
        <v>不可</v>
      </c>
      <c r="AY458" s="30" t="str">
        <f aca="false">IF(AND(AQ458="利用可",AT458="利用可",AW458="利用可"),"利用可","不可")</f>
        <v>不可</v>
      </c>
    </row>
    <row r="459" customFormat="false" ht="15" hidden="false" customHeight="false" outlineLevel="0" collapsed="false">
      <c r="A459" s="29" t="n">
        <v>46251</v>
      </c>
      <c r="B459" s="30" t="n">
        <v>0</v>
      </c>
      <c r="C459" s="31" t="s">
        <v>66</v>
      </c>
      <c r="D459" s="31" t="s">
        <v>59</v>
      </c>
      <c r="E459" s="30" t="n">
        <v>60</v>
      </c>
      <c r="F459" s="30" t="n">
        <v>0</v>
      </c>
      <c r="G459" s="30" t="str">
        <f aca="false">IF(E459&lt;判定条件!$C$6,"判定不能",IF(F459&gt;=判定条件!$C$7*E459,"運転",IF(F459&lt;=判定条件!$C$8*E459,"停止","断続")))</f>
        <v>停止</v>
      </c>
      <c r="H459" s="30" t="n">
        <v>60</v>
      </c>
      <c r="I459" s="30" t="n">
        <v>0</v>
      </c>
      <c r="J459" s="30" t="str">
        <f aca="false">IF(H459&lt;判定条件!$C$6,"判定不能",IF(I459&gt;=判定条件!$C$7*H459,"運転",IF(I459&lt;=判定条件!$C$8*H459,"停止","断続")))</f>
        <v>停止</v>
      </c>
      <c r="K459" s="30" t="n">
        <v>60</v>
      </c>
      <c r="L459" s="30" t="n">
        <v>0</v>
      </c>
      <c r="M459" s="30" t="str">
        <f aca="false">IF(K459&lt;判定条件!$C$6,"判定不能",IF(L459&gt;=判定条件!$C$7*K459,"運転",IF(L459&lt;=判定条件!$C$8*K459,"停止","断続")))</f>
        <v>停止</v>
      </c>
      <c r="N459" s="30" t="n">
        <v>60</v>
      </c>
      <c r="O459" s="30" t="n">
        <v>0</v>
      </c>
      <c r="P459" s="30" t="str">
        <f aca="false">IF(N459&lt;判定条件!$C$6,"判定不能",IF(O459&gt;=判定条件!$C$7*N459,"運転",IF(O459&lt;=判定条件!$C$8*N459,"停止","断続")))</f>
        <v>停止</v>
      </c>
      <c r="Q459" s="30" t="n">
        <v>0</v>
      </c>
      <c r="R459" s="30" t="n">
        <v>0</v>
      </c>
      <c r="S459" s="30" t="str">
        <f aca="false">IF(Q459&lt;判定条件!$C$6,"判定不能",IF(R459&gt;=判定条件!$C$7*Q459,"運転",IF(R459&lt;=判定条件!$C$8*Q459,"停止","断続")))</f>
        <v>判定不能</v>
      </c>
      <c r="T459" s="30" t="n">
        <v>60</v>
      </c>
      <c r="U459" s="30" t="n">
        <v>0</v>
      </c>
      <c r="V459" s="30" t="str">
        <f aca="false">IF(T459&lt;判定条件!$C$6,"判定不能",IF(U459&gt;=判定条件!$C$7*T459,"運転",IF(U459&lt;=判定条件!$C$8*T459,"停止","断続")))</f>
        <v>停止</v>
      </c>
      <c r="W459" s="30" t="n">
        <v>60</v>
      </c>
      <c r="X459" s="30" t="n">
        <v>0</v>
      </c>
      <c r="Y459" s="30" t="str">
        <f aca="false">IF(W459&lt;判定条件!$C$6,"判定不能",IF(X459&gt;=判定条件!$C$7*W459,"運転",IF(X459&lt;=判定条件!$C$8*W459,"停止","断続")))</f>
        <v>停止</v>
      </c>
      <c r="Z459" s="30" t="n">
        <v>60</v>
      </c>
      <c r="AA459" s="30" t="n">
        <v>0</v>
      </c>
      <c r="AB459" s="30" t="str">
        <f aca="false">IF(Z459&lt;判定条件!$C$6,"判定不能",IF(AA459&gt;=判定条件!$C$7*Z459,"運転",IF(AA459&lt;=判定条件!$C$8*Z459,"停止","断続")))</f>
        <v>停止</v>
      </c>
      <c r="AC459" s="30" t="n">
        <v>60</v>
      </c>
      <c r="AD459" s="30" t="n">
        <v>0</v>
      </c>
      <c r="AE459" s="30" t="str">
        <f aca="false">IF(AC459&lt;判定条件!$C$6,"判定不能",IF(AD459&gt;=判定条件!$C$7*AC459,"運転",IF(AD459&lt;=判定条件!$C$8*AC459,"停止","断続")))</f>
        <v>停止</v>
      </c>
      <c r="AF459" s="30" t="n">
        <v>60</v>
      </c>
      <c r="AG459" s="30" t="n">
        <v>0</v>
      </c>
      <c r="AH459" s="30" t="str">
        <f aca="false">IF(OR(P459="判定不能",G459="判定不能"),"判定不能",IF(AG459&gt;=判定条件!$C$9,"利用可",IF(AND(P459="停止",G459="停止"),"両方停止","運転がそろわない")))</f>
        <v>両方停止</v>
      </c>
      <c r="AI459" s="30" t="n">
        <v>0</v>
      </c>
      <c r="AJ459" s="30" t="n">
        <v>0</v>
      </c>
      <c r="AK459" s="30" t="str">
        <f aca="false">IF(OR(S459="判定不能",J459="判定不能"),"判定不能",IF(AJ459&gt;=判定条件!$C$9,"利用可",IF(AND(S459="停止",J459="停止"),"両方停止","運転がそろわない")))</f>
        <v>判定不能</v>
      </c>
      <c r="AL459" s="30" t="n">
        <v>60</v>
      </c>
      <c r="AM459" s="30" t="n">
        <v>0</v>
      </c>
      <c r="AN459" s="30" t="str">
        <f aca="false">IF(OR(V459="判定不能",M459="判定不能"),"判定不能",IF(AM459&gt;=判定条件!$C$9,"利用可",IF(AND(V459="停止",M459="停止"),"両方停止","運転がそろわない")))</f>
        <v>両方停止</v>
      </c>
      <c r="AO459" s="30" t="n">
        <v>60</v>
      </c>
      <c r="AP459" s="30" t="n">
        <v>0</v>
      </c>
      <c r="AQ459" s="30" t="str">
        <f aca="false">IF(OR(Y459="判定不能",G459="判定不能"),"判定不能",IF(AP459&gt;=判定条件!$C$9,"利用可",IF(AND(Y459="停止",G459="停止"),"両方停止","運転がそろわない")))</f>
        <v>両方停止</v>
      </c>
      <c r="AR459" s="30" t="n">
        <v>60</v>
      </c>
      <c r="AS459" s="30" t="n">
        <v>0</v>
      </c>
      <c r="AT459" s="30" t="str">
        <f aca="false">IF(OR(AB459="判定不能",J459="判定不能"),"判定不能",IF(AS459&gt;=判定条件!$C$9,"利用可",IF(AND(AB459="停止",J459="停止"),"両方停止","運転がそろわない")))</f>
        <v>両方停止</v>
      </c>
      <c r="AU459" s="30" t="n">
        <v>60</v>
      </c>
      <c r="AV459" s="30" t="n">
        <v>0</v>
      </c>
      <c r="AW459" s="30" t="str">
        <f aca="false">IF(OR(AE459="判定不能",M459="判定不能"),"判定不能",IF(AV459&gt;=判定条件!$C$9,"利用可",IF(AND(AE459="停止",M459="停止"),"両方停止","運転がそろわない")))</f>
        <v>両方停止</v>
      </c>
      <c r="AX459" s="30" t="str">
        <f aca="false">IF(AND(AH459="利用可",AK459="利用可",AN459="利用可"),"利用可","不可")</f>
        <v>不可</v>
      </c>
      <c r="AY459" s="30" t="str">
        <f aca="false">IF(AND(AQ459="利用可",AT459="利用可",AW459="利用可"),"利用可","不可")</f>
        <v>不可</v>
      </c>
    </row>
    <row r="460" customFormat="false" ht="15" hidden="false" customHeight="false" outlineLevel="0" collapsed="false">
      <c r="A460" s="29" t="n">
        <v>46251</v>
      </c>
      <c r="B460" s="30" t="n">
        <v>1</v>
      </c>
      <c r="C460" s="31" t="s">
        <v>66</v>
      </c>
      <c r="D460" s="31" t="s">
        <v>59</v>
      </c>
      <c r="E460" s="30" t="n">
        <v>60</v>
      </c>
      <c r="F460" s="30" t="n">
        <v>0</v>
      </c>
      <c r="G460" s="30" t="str">
        <f aca="false">IF(E460&lt;判定条件!$C$6,"判定不能",IF(F460&gt;=判定条件!$C$7*E460,"運転",IF(F460&lt;=判定条件!$C$8*E460,"停止","断続")))</f>
        <v>停止</v>
      </c>
      <c r="H460" s="30" t="n">
        <v>60</v>
      </c>
      <c r="I460" s="30" t="n">
        <v>0</v>
      </c>
      <c r="J460" s="30" t="str">
        <f aca="false">IF(H460&lt;判定条件!$C$6,"判定不能",IF(I460&gt;=判定条件!$C$7*H460,"運転",IF(I460&lt;=判定条件!$C$8*H460,"停止","断続")))</f>
        <v>停止</v>
      </c>
      <c r="K460" s="30" t="n">
        <v>60</v>
      </c>
      <c r="L460" s="30" t="n">
        <v>0</v>
      </c>
      <c r="M460" s="30" t="str">
        <f aca="false">IF(K460&lt;判定条件!$C$6,"判定不能",IF(L460&gt;=判定条件!$C$7*K460,"運転",IF(L460&lt;=判定条件!$C$8*K460,"停止","断続")))</f>
        <v>停止</v>
      </c>
      <c r="N460" s="30" t="n">
        <v>60</v>
      </c>
      <c r="O460" s="30" t="n">
        <v>0</v>
      </c>
      <c r="P460" s="30" t="str">
        <f aca="false">IF(N460&lt;判定条件!$C$6,"判定不能",IF(O460&gt;=判定条件!$C$7*N460,"運転",IF(O460&lt;=判定条件!$C$8*N460,"停止","断続")))</f>
        <v>停止</v>
      </c>
      <c r="Q460" s="30" t="n">
        <v>0</v>
      </c>
      <c r="R460" s="30" t="n">
        <v>0</v>
      </c>
      <c r="S460" s="30" t="str">
        <f aca="false">IF(Q460&lt;判定条件!$C$6,"判定不能",IF(R460&gt;=判定条件!$C$7*Q460,"運転",IF(R460&lt;=判定条件!$C$8*Q460,"停止","断続")))</f>
        <v>判定不能</v>
      </c>
      <c r="T460" s="30" t="n">
        <v>60</v>
      </c>
      <c r="U460" s="30" t="n">
        <v>0</v>
      </c>
      <c r="V460" s="30" t="str">
        <f aca="false">IF(T460&lt;判定条件!$C$6,"判定不能",IF(U460&gt;=判定条件!$C$7*T460,"運転",IF(U460&lt;=判定条件!$C$8*T460,"停止","断続")))</f>
        <v>停止</v>
      </c>
      <c r="W460" s="30" t="n">
        <v>60</v>
      </c>
      <c r="X460" s="30" t="n">
        <v>0</v>
      </c>
      <c r="Y460" s="30" t="str">
        <f aca="false">IF(W460&lt;判定条件!$C$6,"判定不能",IF(X460&gt;=判定条件!$C$7*W460,"運転",IF(X460&lt;=判定条件!$C$8*W460,"停止","断続")))</f>
        <v>停止</v>
      </c>
      <c r="Z460" s="30" t="n">
        <v>60</v>
      </c>
      <c r="AA460" s="30" t="n">
        <v>0</v>
      </c>
      <c r="AB460" s="30" t="str">
        <f aca="false">IF(Z460&lt;判定条件!$C$6,"判定不能",IF(AA460&gt;=判定条件!$C$7*Z460,"運転",IF(AA460&lt;=判定条件!$C$8*Z460,"停止","断続")))</f>
        <v>停止</v>
      </c>
      <c r="AC460" s="30" t="n">
        <v>60</v>
      </c>
      <c r="AD460" s="30" t="n">
        <v>0</v>
      </c>
      <c r="AE460" s="30" t="str">
        <f aca="false">IF(AC460&lt;判定条件!$C$6,"判定不能",IF(AD460&gt;=判定条件!$C$7*AC460,"運転",IF(AD460&lt;=判定条件!$C$8*AC460,"停止","断続")))</f>
        <v>停止</v>
      </c>
      <c r="AF460" s="30" t="n">
        <v>60</v>
      </c>
      <c r="AG460" s="30" t="n">
        <v>0</v>
      </c>
      <c r="AH460" s="30" t="str">
        <f aca="false">IF(OR(P460="判定不能",G460="判定不能"),"判定不能",IF(AG460&gt;=判定条件!$C$9,"利用可",IF(AND(P460="停止",G460="停止"),"両方停止","運転がそろわない")))</f>
        <v>両方停止</v>
      </c>
      <c r="AI460" s="30" t="n">
        <v>0</v>
      </c>
      <c r="AJ460" s="30" t="n">
        <v>0</v>
      </c>
      <c r="AK460" s="30" t="str">
        <f aca="false">IF(OR(S460="判定不能",J460="判定不能"),"判定不能",IF(AJ460&gt;=判定条件!$C$9,"利用可",IF(AND(S460="停止",J460="停止"),"両方停止","運転がそろわない")))</f>
        <v>判定不能</v>
      </c>
      <c r="AL460" s="30" t="n">
        <v>60</v>
      </c>
      <c r="AM460" s="30" t="n">
        <v>0</v>
      </c>
      <c r="AN460" s="30" t="str">
        <f aca="false">IF(OR(V460="判定不能",M460="判定不能"),"判定不能",IF(AM460&gt;=判定条件!$C$9,"利用可",IF(AND(V460="停止",M460="停止"),"両方停止","運転がそろわない")))</f>
        <v>両方停止</v>
      </c>
      <c r="AO460" s="30" t="n">
        <v>60</v>
      </c>
      <c r="AP460" s="30" t="n">
        <v>0</v>
      </c>
      <c r="AQ460" s="30" t="str">
        <f aca="false">IF(OR(Y460="判定不能",G460="判定不能"),"判定不能",IF(AP460&gt;=判定条件!$C$9,"利用可",IF(AND(Y460="停止",G460="停止"),"両方停止","運転がそろわない")))</f>
        <v>両方停止</v>
      </c>
      <c r="AR460" s="30" t="n">
        <v>60</v>
      </c>
      <c r="AS460" s="30" t="n">
        <v>0</v>
      </c>
      <c r="AT460" s="30" t="str">
        <f aca="false">IF(OR(AB460="判定不能",J460="判定不能"),"判定不能",IF(AS460&gt;=判定条件!$C$9,"利用可",IF(AND(AB460="停止",J460="停止"),"両方停止","運転がそろわない")))</f>
        <v>両方停止</v>
      </c>
      <c r="AU460" s="30" t="n">
        <v>60</v>
      </c>
      <c r="AV460" s="30" t="n">
        <v>0</v>
      </c>
      <c r="AW460" s="30" t="str">
        <f aca="false">IF(OR(AE460="判定不能",M460="判定不能"),"判定不能",IF(AV460&gt;=判定条件!$C$9,"利用可",IF(AND(AE460="停止",M460="停止"),"両方停止","運転がそろわない")))</f>
        <v>両方停止</v>
      </c>
      <c r="AX460" s="30" t="str">
        <f aca="false">IF(AND(AH460="利用可",AK460="利用可",AN460="利用可"),"利用可","不可")</f>
        <v>不可</v>
      </c>
      <c r="AY460" s="30" t="str">
        <f aca="false">IF(AND(AQ460="利用可",AT460="利用可",AW460="利用可"),"利用可","不可")</f>
        <v>不可</v>
      </c>
    </row>
    <row r="461" customFormat="false" ht="15" hidden="false" customHeight="false" outlineLevel="0" collapsed="false">
      <c r="A461" s="29" t="n">
        <v>46251</v>
      </c>
      <c r="B461" s="30" t="n">
        <v>2</v>
      </c>
      <c r="C461" s="31" t="s">
        <v>66</v>
      </c>
      <c r="D461" s="31" t="s">
        <v>59</v>
      </c>
      <c r="E461" s="30" t="n">
        <v>60</v>
      </c>
      <c r="F461" s="30" t="n">
        <v>0</v>
      </c>
      <c r="G461" s="30" t="str">
        <f aca="false">IF(E461&lt;判定条件!$C$6,"判定不能",IF(F461&gt;=判定条件!$C$7*E461,"運転",IF(F461&lt;=判定条件!$C$8*E461,"停止","断続")))</f>
        <v>停止</v>
      </c>
      <c r="H461" s="30" t="n">
        <v>60</v>
      </c>
      <c r="I461" s="30" t="n">
        <v>0</v>
      </c>
      <c r="J461" s="30" t="str">
        <f aca="false">IF(H461&lt;判定条件!$C$6,"判定不能",IF(I461&gt;=判定条件!$C$7*H461,"運転",IF(I461&lt;=判定条件!$C$8*H461,"停止","断続")))</f>
        <v>停止</v>
      </c>
      <c r="K461" s="30" t="n">
        <v>60</v>
      </c>
      <c r="L461" s="30" t="n">
        <v>0</v>
      </c>
      <c r="M461" s="30" t="str">
        <f aca="false">IF(K461&lt;判定条件!$C$6,"判定不能",IF(L461&gt;=判定条件!$C$7*K461,"運転",IF(L461&lt;=判定条件!$C$8*K461,"停止","断続")))</f>
        <v>停止</v>
      </c>
      <c r="N461" s="30" t="n">
        <v>60</v>
      </c>
      <c r="O461" s="30" t="n">
        <v>0</v>
      </c>
      <c r="P461" s="30" t="str">
        <f aca="false">IF(N461&lt;判定条件!$C$6,"判定不能",IF(O461&gt;=判定条件!$C$7*N461,"運転",IF(O461&lt;=判定条件!$C$8*N461,"停止","断続")))</f>
        <v>停止</v>
      </c>
      <c r="Q461" s="30" t="n">
        <v>0</v>
      </c>
      <c r="R461" s="30" t="n">
        <v>0</v>
      </c>
      <c r="S461" s="30" t="str">
        <f aca="false">IF(Q461&lt;判定条件!$C$6,"判定不能",IF(R461&gt;=判定条件!$C$7*Q461,"運転",IF(R461&lt;=判定条件!$C$8*Q461,"停止","断続")))</f>
        <v>判定不能</v>
      </c>
      <c r="T461" s="30" t="n">
        <v>60</v>
      </c>
      <c r="U461" s="30" t="n">
        <v>0</v>
      </c>
      <c r="V461" s="30" t="str">
        <f aca="false">IF(T461&lt;判定条件!$C$6,"判定不能",IF(U461&gt;=判定条件!$C$7*T461,"運転",IF(U461&lt;=判定条件!$C$8*T461,"停止","断続")))</f>
        <v>停止</v>
      </c>
      <c r="W461" s="30" t="n">
        <v>60</v>
      </c>
      <c r="X461" s="30" t="n">
        <v>0</v>
      </c>
      <c r="Y461" s="30" t="str">
        <f aca="false">IF(W461&lt;判定条件!$C$6,"判定不能",IF(X461&gt;=判定条件!$C$7*W461,"運転",IF(X461&lt;=判定条件!$C$8*W461,"停止","断続")))</f>
        <v>停止</v>
      </c>
      <c r="Z461" s="30" t="n">
        <v>60</v>
      </c>
      <c r="AA461" s="30" t="n">
        <v>0</v>
      </c>
      <c r="AB461" s="30" t="str">
        <f aca="false">IF(Z461&lt;判定条件!$C$6,"判定不能",IF(AA461&gt;=判定条件!$C$7*Z461,"運転",IF(AA461&lt;=判定条件!$C$8*Z461,"停止","断続")))</f>
        <v>停止</v>
      </c>
      <c r="AC461" s="30" t="n">
        <v>60</v>
      </c>
      <c r="AD461" s="30" t="n">
        <v>0</v>
      </c>
      <c r="AE461" s="30" t="str">
        <f aca="false">IF(AC461&lt;判定条件!$C$6,"判定不能",IF(AD461&gt;=判定条件!$C$7*AC461,"運転",IF(AD461&lt;=判定条件!$C$8*AC461,"停止","断続")))</f>
        <v>停止</v>
      </c>
      <c r="AF461" s="30" t="n">
        <v>60</v>
      </c>
      <c r="AG461" s="30" t="n">
        <v>0</v>
      </c>
      <c r="AH461" s="30" t="str">
        <f aca="false">IF(OR(P461="判定不能",G461="判定不能"),"判定不能",IF(AG461&gt;=判定条件!$C$9,"利用可",IF(AND(P461="停止",G461="停止"),"両方停止","運転がそろわない")))</f>
        <v>両方停止</v>
      </c>
      <c r="AI461" s="30" t="n">
        <v>0</v>
      </c>
      <c r="AJ461" s="30" t="n">
        <v>0</v>
      </c>
      <c r="AK461" s="30" t="str">
        <f aca="false">IF(OR(S461="判定不能",J461="判定不能"),"判定不能",IF(AJ461&gt;=判定条件!$C$9,"利用可",IF(AND(S461="停止",J461="停止"),"両方停止","運転がそろわない")))</f>
        <v>判定不能</v>
      </c>
      <c r="AL461" s="30" t="n">
        <v>60</v>
      </c>
      <c r="AM461" s="30" t="n">
        <v>0</v>
      </c>
      <c r="AN461" s="30" t="str">
        <f aca="false">IF(OR(V461="判定不能",M461="判定不能"),"判定不能",IF(AM461&gt;=判定条件!$C$9,"利用可",IF(AND(V461="停止",M461="停止"),"両方停止","運転がそろわない")))</f>
        <v>両方停止</v>
      </c>
      <c r="AO461" s="30" t="n">
        <v>60</v>
      </c>
      <c r="AP461" s="30" t="n">
        <v>0</v>
      </c>
      <c r="AQ461" s="30" t="str">
        <f aca="false">IF(OR(Y461="判定不能",G461="判定不能"),"判定不能",IF(AP461&gt;=判定条件!$C$9,"利用可",IF(AND(Y461="停止",G461="停止"),"両方停止","運転がそろわない")))</f>
        <v>両方停止</v>
      </c>
      <c r="AR461" s="30" t="n">
        <v>60</v>
      </c>
      <c r="AS461" s="30" t="n">
        <v>0</v>
      </c>
      <c r="AT461" s="30" t="str">
        <f aca="false">IF(OR(AB461="判定不能",J461="判定不能"),"判定不能",IF(AS461&gt;=判定条件!$C$9,"利用可",IF(AND(AB461="停止",J461="停止"),"両方停止","運転がそろわない")))</f>
        <v>両方停止</v>
      </c>
      <c r="AU461" s="30" t="n">
        <v>60</v>
      </c>
      <c r="AV461" s="30" t="n">
        <v>0</v>
      </c>
      <c r="AW461" s="30" t="str">
        <f aca="false">IF(OR(AE461="判定不能",M461="判定不能"),"判定不能",IF(AV461&gt;=判定条件!$C$9,"利用可",IF(AND(AE461="停止",M461="停止"),"両方停止","運転がそろわない")))</f>
        <v>両方停止</v>
      </c>
      <c r="AX461" s="30" t="str">
        <f aca="false">IF(AND(AH461="利用可",AK461="利用可",AN461="利用可"),"利用可","不可")</f>
        <v>不可</v>
      </c>
      <c r="AY461" s="30" t="str">
        <f aca="false">IF(AND(AQ461="利用可",AT461="利用可",AW461="利用可"),"利用可","不可")</f>
        <v>不可</v>
      </c>
    </row>
    <row r="462" customFormat="false" ht="15" hidden="false" customHeight="false" outlineLevel="0" collapsed="false">
      <c r="A462" s="29" t="n">
        <v>46251</v>
      </c>
      <c r="B462" s="30" t="n">
        <v>3</v>
      </c>
      <c r="C462" s="31" t="s">
        <v>66</v>
      </c>
      <c r="D462" s="31" t="s">
        <v>59</v>
      </c>
      <c r="E462" s="30" t="n">
        <v>60</v>
      </c>
      <c r="F462" s="30" t="n">
        <v>0</v>
      </c>
      <c r="G462" s="30" t="str">
        <f aca="false">IF(E462&lt;判定条件!$C$6,"判定不能",IF(F462&gt;=判定条件!$C$7*E462,"運転",IF(F462&lt;=判定条件!$C$8*E462,"停止","断続")))</f>
        <v>停止</v>
      </c>
      <c r="H462" s="30" t="n">
        <v>60</v>
      </c>
      <c r="I462" s="30" t="n">
        <v>0</v>
      </c>
      <c r="J462" s="30" t="str">
        <f aca="false">IF(H462&lt;判定条件!$C$6,"判定不能",IF(I462&gt;=判定条件!$C$7*H462,"運転",IF(I462&lt;=判定条件!$C$8*H462,"停止","断続")))</f>
        <v>停止</v>
      </c>
      <c r="K462" s="30" t="n">
        <v>60</v>
      </c>
      <c r="L462" s="30" t="n">
        <v>0</v>
      </c>
      <c r="M462" s="30" t="str">
        <f aca="false">IF(K462&lt;判定条件!$C$6,"判定不能",IF(L462&gt;=判定条件!$C$7*K462,"運転",IF(L462&lt;=判定条件!$C$8*K462,"停止","断続")))</f>
        <v>停止</v>
      </c>
      <c r="N462" s="30" t="n">
        <v>60</v>
      </c>
      <c r="O462" s="30" t="n">
        <v>0</v>
      </c>
      <c r="P462" s="30" t="str">
        <f aca="false">IF(N462&lt;判定条件!$C$6,"判定不能",IF(O462&gt;=判定条件!$C$7*N462,"運転",IF(O462&lt;=判定条件!$C$8*N462,"停止","断続")))</f>
        <v>停止</v>
      </c>
      <c r="Q462" s="30" t="n">
        <v>0</v>
      </c>
      <c r="R462" s="30" t="n">
        <v>0</v>
      </c>
      <c r="S462" s="30" t="str">
        <f aca="false">IF(Q462&lt;判定条件!$C$6,"判定不能",IF(R462&gt;=判定条件!$C$7*Q462,"運転",IF(R462&lt;=判定条件!$C$8*Q462,"停止","断続")))</f>
        <v>判定不能</v>
      </c>
      <c r="T462" s="30" t="n">
        <v>60</v>
      </c>
      <c r="U462" s="30" t="n">
        <v>0</v>
      </c>
      <c r="V462" s="30" t="str">
        <f aca="false">IF(T462&lt;判定条件!$C$6,"判定不能",IF(U462&gt;=判定条件!$C$7*T462,"運転",IF(U462&lt;=判定条件!$C$8*T462,"停止","断続")))</f>
        <v>停止</v>
      </c>
      <c r="W462" s="30" t="n">
        <v>60</v>
      </c>
      <c r="X462" s="30" t="n">
        <v>0</v>
      </c>
      <c r="Y462" s="30" t="str">
        <f aca="false">IF(W462&lt;判定条件!$C$6,"判定不能",IF(X462&gt;=判定条件!$C$7*W462,"運転",IF(X462&lt;=判定条件!$C$8*W462,"停止","断続")))</f>
        <v>停止</v>
      </c>
      <c r="Z462" s="30" t="n">
        <v>60</v>
      </c>
      <c r="AA462" s="30" t="n">
        <v>0</v>
      </c>
      <c r="AB462" s="30" t="str">
        <f aca="false">IF(Z462&lt;判定条件!$C$6,"判定不能",IF(AA462&gt;=判定条件!$C$7*Z462,"運転",IF(AA462&lt;=判定条件!$C$8*Z462,"停止","断続")))</f>
        <v>停止</v>
      </c>
      <c r="AC462" s="30" t="n">
        <v>60</v>
      </c>
      <c r="AD462" s="30" t="n">
        <v>0</v>
      </c>
      <c r="AE462" s="30" t="str">
        <f aca="false">IF(AC462&lt;判定条件!$C$6,"判定不能",IF(AD462&gt;=判定条件!$C$7*AC462,"運転",IF(AD462&lt;=判定条件!$C$8*AC462,"停止","断続")))</f>
        <v>停止</v>
      </c>
      <c r="AF462" s="30" t="n">
        <v>60</v>
      </c>
      <c r="AG462" s="30" t="n">
        <v>0</v>
      </c>
      <c r="AH462" s="30" t="str">
        <f aca="false">IF(OR(P462="判定不能",G462="判定不能"),"判定不能",IF(AG462&gt;=判定条件!$C$9,"利用可",IF(AND(P462="停止",G462="停止"),"両方停止","運転がそろわない")))</f>
        <v>両方停止</v>
      </c>
      <c r="AI462" s="30" t="n">
        <v>0</v>
      </c>
      <c r="AJ462" s="30" t="n">
        <v>0</v>
      </c>
      <c r="AK462" s="30" t="str">
        <f aca="false">IF(OR(S462="判定不能",J462="判定不能"),"判定不能",IF(AJ462&gt;=判定条件!$C$9,"利用可",IF(AND(S462="停止",J462="停止"),"両方停止","運転がそろわない")))</f>
        <v>判定不能</v>
      </c>
      <c r="AL462" s="30" t="n">
        <v>60</v>
      </c>
      <c r="AM462" s="30" t="n">
        <v>0</v>
      </c>
      <c r="AN462" s="30" t="str">
        <f aca="false">IF(OR(V462="判定不能",M462="判定不能"),"判定不能",IF(AM462&gt;=判定条件!$C$9,"利用可",IF(AND(V462="停止",M462="停止"),"両方停止","運転がそろわない")))</f>
        <v>両方停止</v>
      </c>
      <c r="AO462" s="30" t="n">
        <v>60</v>
      </c>
      <c r="AP462" s="30" t="n">
        <v>0</v>
      </c>
      <c r="AQ462" s="30" t="str">
        <f aca="false">IF(OR(Y462="判定不能",G462="判定不能"),"判定不能",IF(AP462&gt;=判定条件!$C$9,"利用可",IF(AND(Y462="停止",G462="停止"),"両方停止","運転がそろわない")))</f>
        <v>両方停止</v>
      </c>
      <c r="AR462" s="30" t="n">
        <v>60</v>
      </c>
      <c r="AS462" s="30" t="n">
        <v>0</v>
      </c>
      <c r="AT462" s="30" t="str">
        <f aca="false">IF(OR(AB462="判定不能",J462="判定不能"),"判定不能",IF(AS462&gt;=判定条件!$C$9,"利用可",IF(AND(AB462="停止",J462="停止"),"両方停止","運転がそろわない")))</f>
        <v>両方停止</v>
      </c>
      <c r="AU462" s="30" t="n">
        <v>60</v>
      </c>
      <c r="AV462" s="30" t="n">
        <v>0</v>
      </c>
      <c r="AW462" s="30" t="str">
        <f aca="false">IF(OR(AE462="判定不能",M462="判定不能"),"判定不能",IF(AV462&gt;=判定条件!$C$9,"利用可",IF(AND(AE462="停止",M462="停止"),"両方停止","運転がそろわない")))</f>
        <v>両方停止</v>
      </c>
      <c r="AX462" s="30" t="str">
        <f aca="false">IF(AND(AH462="利用可",AK462="利用可",AN462="利用可"),"利用可","不可")</f>
        <v>不可</v>
      </c>
      <c r="AY462" s="30" t="str">
        <f aca="false">IF(AND(AQ462="利用可",AT462="利用可",AW462="利用可"),"利用可","不可")</f>
        <v>不可</v>
      </c>
    </row>
    <row r="463" customFormat="false" ht="15" hidden="false" customHeight="false" outlineLevel="0" collapsed="false">
      <c r="A463" s="29" t="n">
        <v>46251</v>
      </c>
      <c r="B463" s="30" t="n">
        <v>4</v>
      </c>
      <c r="C463" s="31" t="s">
        <v>66</v>
      </c>
      <c r="D463" s="31" t="s">
        <v>59</v>
      </c>
      <c r="E463" s="30" t="n">
        <v>60</v>
      </c>
      <c r="F463" s="30" t="n">
        <v>0</v>
      </c>
      <c r="G463" s="30" t="str">
        <f aca="false">IF(E463&lt;判定条件!$C$6,"判定不能",IF(F463&gt;=判定条件!$C$7*E463,"運転",IF(F463&lt;=判定条件!$C$8*E463,"停止","断続")))</f>
        <v>停止</v>
      </c>
      <c r="H463" s="30" t="n">
        <v>60</v>
      </c>
      <c r="I463" s="30" t="n">
        <v>0</v>
      </c>
      <c r="J463" s="30" t="str">
        <f aca="false">IF(H463&lt;判定条件!$C$6,"判定不能",IF(I463&gt;=判定条件!$C$7*H463,"運転",IF(I463&lt;=判定条件!$C$8*H463,"停止","断続")))</f>
        <v>停止</v>
      </c>
      <c r="K463" s="30" t="n">
        <v>60</v>
      </c>
      <c r="L463" s="30" t="n">
        <v>0</v>
      </c>
      <c r="M463" s="30" t="str">
        <f aca="false">IF(K463&lt;判定条件!$C$6,"判定不能",IF(L463&gt;=判定条件!$C$7*K463,"運転",IF(L463&lt;=判定条件!$C$8*K463,"停止","断続")))</f>
        <v>停止</v>
      </c>
      <c r="N463" s="30" t="n">
        <v>60</v>
      </c>
      <c r="O463" s="30" t="n">
        <v>0</v>
      </c>
      <c r="P463" s="30" t="str">
        <f aca="false">IF(N463&lt;判定条件!$C$6,"判定不能",IF(O463&gt;=判定条件!$C$7*N463,"運転",IF(O463&lt;=判定条件!$C$8*N463,"停止","断続")))</f>
        <v>停止</v>
      </c>
      <c r="Q463" s="30" t="n">
        <v>0</v>
      </c>
      <c r="R463" s="30" t="n">
        <v>0</v>
      </c>
      <c r="S463" s="30" t="str">
        <f aca="false">IF(Q463&lt;判定条件!$C$6,"判定不能",IF(R463&gt;=判定条件!$C$7*Q463,"運転",IF(R463&lt;=判定条件!$C$8*Q463,"停止","断続")))</f>
        <v>判定不能</v>
      </c>
      <c r="T463" s="30" t="n">
        <v>60</v>
      </c>
      <c r="U463" s="30" t="n">
        <v>0</v>
      </c>
      <c r="V463" s="30" t="str">
        <f aca="false">IF(T463&lt;判定条件!$C$6,"判定不能",IF(U463&gt;=判定条件!$C$7*T463,"運転",IF(U463&lt;=判定条件!$C$8*T463,"停止","断続")))</f>
        <v>停止</v>
      </c>
      <c r="W463" s="30" t="n">
        <v>60</v>
      </c>
      <c r="X463" s="30" t="n">
        <v>0</v>
      </c>
      <c r="Y463" s="30" t="str">
        <f aca="false">IF(W463&lt;判定条件!$C$6,"判定不能",IF(X463&gt;=判定条件!$C$7*W463,"運転",IF(X463&lt;=判定条件!$C$8*W463,"停止","断続")))</f>
        <v>停止</v>
      </c>
      <c r="Z463" s="30" t="n">
        <v>60</v>
      </c>
      <c r="AA463" s="30" t="n">
        <v>0</v>
      </c>
      <c r="AB463" s="30" t="str">
        <f aca="false">IF(Z463&lt;判定条件!$C$6,"判定不能",IF(AA463&gt;=判定条件!$C$7*Z463,"運転",IF(AA463&lt;=判定条件!$C$8*Z463,"停止","断続")))</f>
        <v>停止</v>
      </c>
      <c r="AC463" s="30" t="n">
        <v>60</v>
      </c>
      <c r="AD463" s="30" t="n">
        <v>0</v>
      </c>
      <c r="AE463" s="30" t="str">
        <f aca="false">IF(AC463&lt;判定条件!$C$6,"判定不能",IF(AD463&gt;=判定条件!$C$7*AC463,"運転",IF(AD463&lt;=判定条件!$C$8*AC463,"停止","断続")))</f>
        <v>停止</v>
      </c>
      <c r="AF463" s="30" t="n">
        <v>60</v>
      </c>
      <c r="AG463" s="30" t="n">
        <v>0</v>
      </c>
      <c r="AH463" s="30" t="str">
        <f aca="false">IF(OR(P463="判定不能",G463="判定不能"),"判定不能",IF(AG463&gt;=判定条件!$C$9,"利用可",IF(AND(P463="停止",G463="停止"),"両方停止","運転がそろわない")))</f>
        <v>両方停止</v>
      </c>
      <c r="AI463" s="30" t="n">
        <v>0</v>
      </c>
      <c r="AJ463" s="30" t="n">
        <v>0</v>
      </c>
      <c r="AK463" s="30" t="str">
        <f aca="false">IF(OR(S463="判定不能",J463="判定不能"),"判定不能",IF(AJ463&gt;=判定条件!$C$9,"利用可",IF(AND(S463="停止",J463="停止"),"両方停止","運転がそろわない")))</f>
        <v>判定不能</v>
      </c>
      <c r="AL463" s="30" t="n">
        <v>60</v>
      </c>
      <c r="AM463" s="30" t="n">
        <v>0</v>
      </c>
      <c r="AN463" s="30" t="str">
        <f aca="false">IF(OR(V463="判定不能",M463="判定不能"),"判定不能",IF(AM463&gt;=判定条件!$C$9,"利用可",IF(AND(V463="停止",M463="停止"),"両方停止","運転がそろわない")))</f>
        <v>両方停止</v>
      </c>
      <c r="AO463" s="30" t="n">
        <v>60</v>
      </c>
      <c r="AP463" s="30" t="n">
        <v>0</v>
      </c>
      <c r="AQ463" s="30" t="str">
        <f aca="false">IF(OR(Y463="判定不能",G463="判定不能"),"判定不能",IF(AP463&gt;=判定条件!$C$9,"利用可",IF(AND(Y463="停止",G463="停止"),"両方停止","運転がそろわない")))</f>
        <v>両方停止</v>
      </c>
      <c r="AR463" s="30" t="n">
        <v>60</v>
      </c>
      <c r="AS463" s="30" t="n">
        <v>0</v>
      </c>
      <c r="AT463" s="30" t="str">
        <f aca="false">IF(OR(AB463="判定不能",J463="判定不能"),"判定不能",IF(AS463&gt;=判定条件!$C$9,"利用可",IF(AND(AB463="停止",J463="停止"),"両方停止","運転がそろわない")))</f>
        <v>両方停止</v>
      </c>
      <c r="AU463" s="30" t="n">
        <v>60</v>
      </c>
      <c r="AV463" s="30" t="n">
        <v>0</v>
      </c>
      <c r="AW463" s="30" t="str">
        <f aca="false">IF(OR(AE463="判定不能",M463="判定不能"),"判定不能",IF(AV463&gt;=判定条件!$C$9,"利用可",IF(AND(AE463="停止",M463="停止"),"両方停止","運転がそろわない")))</f>
        <v>両方停止</v>
      </c>
      <c r="AX463" s="30" t="str">
        <f aca="false">IF(AND(AH463="利用可",AK463="利用可",AN463="利用可"),"利用可","不可")</f>
        <v>不可</v>
      </c>
      <c r="AY463" s="30" t="str">
        <f aca="false">IF(AND(AQ463="利用可",AT463="利用可",AW463="利用可"),"利用可","不可")</f>
        <v>不可</v>
      </c>
    </row>
    <row r="464" customFormat="false" ht="15" hidden="false" customHeight="false" outlineLevel="0" collapsed="false">
      <c r="A464" s="29" t="n">
        <v>46251</v>
      </c>
      <c r="B464" s="30" t="n">
        <v>5</v>
      </c>
      <c r="C464" s="31" t="s">
        <v>66</v>
      </c>
      <c r="D464" s="31" t="s">
        <v>59</v>
      </c>
      <c r="E464" s="30" t="n">
        <v>60</v>
      </c>
      <c r="F464" s="30" t="n">
        <v>0</v>
      </c>
      <c r="G464" s="30" t="str">
        <f aca="false">IF(E464&lt;判定条件!$C$6,"判定不能",IF(F464&gt;=判定条件!$C$7*E464,"運転",IF(F464&lt;=判定条件!$C$8*E464,"停止","断続")))</f>
        <v>停止</v>
      </c>
      <c r="H464" s="30" t="n">
        <v>60</v>
      </c>
      <c r="I464" s="30" t="n">
        <v>0</v>
      </c>
      <c r="J464" s="30" t="str">
        <f aca="false">IF(H464&lt;判定条件!$C$6,"判定不能",IF(I464&gt;=判定条件!$C$7*H464,"運転",IF(I464&lt;=判定条件!$C$8*H464,"停止","断続")))</f>
        <v>停止</v>
      </c>
      <c r="K464" s="30" t="n">
        <v>60</v>
      </c>
      <c r="L464" s="30" t="n">
        <v>0</v>
      </c>
      <c r="M464" s="30" t="str">
        <f aca="false">IF(K464&lt;判定条件!$C$6,"判定不能",IF(L464&gt;=判定条件!$C$7*K464,"運転",IF(L464&lt;=判定条件!$C$8*K464,"停止","断続")))</f>
        <v>停止</v>
      </c>
      <c r="N464" s="30" t="n">
        <v>60</v>
      </c>
      <c r="O464" s="30" t="n">
        <v>0</v>
      </c>
      <c r="P464" s="30" t="str">
        <f aca="false">IF(N464&lt;判定条件!$C$6,"判定不能",IF(O464&gt;=判定条件!$C$7*N464,"運転",IF(O464&lt;=判定条件!$C$8*N464,"停止","断続")))</f>
        <v>停止</v>
      </c>
      <c r="Q464" s="30" t="n">
        <v>0</v>
      </c>
      <c r="R464" s="30" t="n">
        <v>0</v>
      </c>
      <c r="S464" s="30" t="str">
        <f aca="false">IF(Q464&lt;判定条件!$C$6,"判定不能",IF(R464&gt;=判定条件!$C$7*Q464,"運転",IF(R464&lt;=判定条件!$C$8*Q464,"停止","断続")))</f>
        <v>判定不能</v>
      </c>
      <c r="T464" s="30" t="n">
        <v>60</v>
      </c>
      <c r="U464" s="30" t="n">
        <v>0</v>
      </c>
      <c r="V464" s="30" t="str">
        <f aca="false">IF(T464&lt;判定条件!$C$6,"判定不能",IF(U464&gt;=判定条件!$C$7*T464,"運転",IF(U464&lt;=判定条件!$C$8*T464,"停止","断続")))</f>
        <v>停止</v>
      </c>
      <c r="W464" s="30" t="n">
        <v>60</v>
      </c>
      <c r="X464" s="30" t="n">
        <v>34</v>
      </c>
      <c r="Y464" s="30" t="str">
        <f aca="false">IF(W464&lt;判定条件!$C$6,"判定不能",IF(X464&gt;=判定条件!$C$7*W464,"運転",IF(X464&lt;=判定条件!$C$8*W464,"停止","断続")))</f>
        <v>断続</v>
      </c>
      <c r="Z464" s="30" t="n">
        <v>60</v>
      </c>
      <c r="AA464" s="30" t="n">
        <v>0</v>
      </c>
      <c r="AB464" s="30" t="str">
        <f aca="false">IF(Z464&lt;判定条件!$C$6,"判定不能",IF(AA464&gt;=判定条件!$C$7*Z464,"運転",IF(AA464&lt;=判定条件!$C$8*Z464,"停止","断続")))</f>
        <v>停止</v>
      </c>
      <c r="AC464" s="30" t="n">
        <v>60</v>
      </c>
      <c r="AD464" s="30" t="n">
        <v>0</v>
      </c>
      <c r="AE464" s="30" t="str">
        <f aca="false">IF(AC464&lt;判定条件!$C$6,"判定不能",IF(AD464&gt;=判定条件!$C$7*AC464,"運転",IF(AD464&lt;=判定条件!$C$8*AC464,"停止","断続")))</f>
        <v>停止</v>
      </c>
      <c r="AF464" s="30" t="n">
        <v>60</v>
      </c>
      <c r="AG464" s="30" t="n">
        <v>0</v>
      </c>
      <c r="AH464" s="30" t="str">
        <f aca="false">IF(OR(P464="判定不能",G464="判定不能"),"判定不能",IF(AG464&gt;=判定条件!$C$9,"利用可",IF(AND(P464="停止",G464="停止"),"両方停止","運転がそろわない")))</f>
        <v>両方停止</v>
      </c>
      <c r="AI464" s="30" t="n">
        <v>0</v>
      </c>
      <c r="AJ464" s="30" t="n">
        <v>0</v>
      </c>
      <c r="AK464" s="30" t="str">
        <f aca="false">IF(OR(S464="判定不能",J464="判定不能"),"判定不能",IF(AJ464&gt;=判定条件!$C$9,"利用可",IF(AND(S464="停止",J464="停止"),"両方停止","運転がそろわない")))</f>
        <v>判定不能</v>
      </c>
      <c r="AL464" s="30" t="n">
        <v>60</v>
      </c>
      <c r="AM464" s="30" t="n">
        <v>0</v>
      </c>
      <c r="AN464" s="30" t="str">
        <f aca="false">IF(OR(V464="判定不能",M464="判定不能"),"判定不能",IF(AM464&gt;=判定条件!$C$9,"利用可",IF(AND(V464="停止",M464="停止"),"両方停止","運転がそろわない")))</f>
        <v>両方停止</v>
      </c>
      <c r="AO464" s="30" t="n">
        <v>60</v>
      </c>
      <c r="AP464" s="30" t="n">
        <v>0</v>
      </c>
      <c r="AQ464" s="30" t="str">
        <f aca="false">IF(OR(Y464="判定不能",G464="判定不能"),"判定不能",IF(AP464&gt;=判定条件!$C$9,"利用可",IF(AND(Y464="停止",G464="停止"),"両方停止","運転がそろわない")))</f>
        <v>運転がそろわない</v>
      </c>
      <c r="AR464" s="30" t="n">
        <v>60</v>
      </c>
      <c r="AS464" s="30" t="n">
        <v>0</v>
      </c>
      <c r="AT464" s="30" t="str">
        <f aca="false">IF(OR(AB464="判定不能",J464="判定不能"),"判定不能",IF(AS464&gt;=判定条件!$C$9,"利用可",IF(AND(AB464="停止",J464="停止"),"両方停止","運転がそろわない")))</f>
        <v>両方停止</v>
      </c>
      <c r="AU464" s="30" t="n">
        <v>60</v>
      </c>
      <c r="AV464" s="30" t="n">
        <v>0</v>
      </c>
      <c r="AW464" s="30" t="str">
        <f aca="false">IF(OR(AE464="判定不能",M464="判定不能"),"判定不能",IF(AV464&gt;=判定条件!$C$9,"利用可",IF(AND(AE464="停止",M464="停止"),"両方停止","運転がそろわない")))</f>
        <v>両方停止</v>
      </c>
      <c r="AX464" s="30" t="str">
        <f aca="false">IF(AND(AH464="利用可",AK464="利用可",AN464="利用可"),"利用可","不可")</f>
        <v>不可</v>
      </c>
      <c r="AY464" s="30" t="str">
        <f aca="false">IF(AND(AQ464="利用可",AT464="利用可",AW464="利用可"),"利用可","不可")</f>
        <v>不可</v>
      </c>
    </row>
    <row r="465" customFormat="false" ht="15" hidden="false" customHeight="false" outlineLevel="0" collapsed="false">
      <c r="A465" s="29" t="n">
        <v>46251</v>
      </c>
      <c r="B465" s="30" t="n">
        <v>6</v>
      </c>
      <c r="C465" s="31" t="s">
        <v>66</v>
      </c>
      <c r="D465" s="31" t="s">
        <v>59</v>
      </c>
      <c r="E465" s="30" t="n">
        <v>60</v>
      </c>
      <c r="F465" s="30" t="n">
        <v>0</v>
      </c>
      <c r="G465" s="30" t="str">
        <f aca="false">IF(E465&lt;判定条件!$C$6,"判定不能",IF(F465&gt;=判定条件!$C$7*E465,"運転",IF(F465&lt;=判定条件!$C$8*E465,"停止","断続")))</f>
        <v>停止</v>
      </c>
      <c r="H465" s="30" t="n">
        <v>60</v>
      </c>
      <c r="I465" s="30" t="n">
        <v>0</v>
      </c>
      <c r="J465" s="30" t="str">
        <f aca="false">IF(H465&lt;判定条件!$C$6,"判定不能",IF(I465&gt;=判定条件!$C$7*H465,"運転",IF(I465&lt;=判定条件!$C$8*H465,"停止","断続")))</f>
        <v>停止</v>
      </c>
      <c r="K465" s="30" t="n">
        <v>60</v>
      </c>
      <c r="L465" s="30" t="n">
        <v>0</v>
      </c>
      <c r="M465" s="30" t="str">
        <f aca="false">IF(K465&lt;判定条件!$C$6,"判定不能",IF(L465&gt;=判定条件!$C$7*K465,"運転",IF(L465&lt;=判定条件!$C$8*K465,"停止","断続")))</f>
        <v>停止</v>
      </c>
      <c r="N465" s="30" t="n">
        <v>60</v>
      </c>
      <c r="O465" s="30" t="n">
        <v>10</v>
      </c>
      <c r="P465" s="30" t="str">
        <f aca="false">IF(N465&lt;判定条件!$C$6,"判定不能",IF(O465&gt;=判定条件!$C$7*N465,"運転",IF(O465&lt;=判定条件!$C$8*N465,"停止","断続")))</f>
        <v>停止</v>
      </c>
      <c r="Q465" s="30" t="n">
        <v>0</v>
      </c>
      <c r="R465" s="30" t="n">
        <v>0</v>
      </c>
      <c r="S465" s="30" t="str">
        <f aca="false">IF(Q465&lt;判定条件!$C$6,"判定不能",IF(R465&gt;=判定条件!$C$7*Q465,"運転",IF(R465&lt;=判定条件!$C$8*Q465,"停止","断続")))</f>
        <v>判定不能</v>
      </c>
      <c r="T465" s="30" t="n">
        <v>60</v>
      </c>
      <c r="U465" s="30" t="n">
        <v>8</v>
      </c>
      <c r="V465" s="30" t="str">
        <f aca="false">IF(T465&lt;判定条件!$C$6,"判定不能",IF(U465&gt;=判定条件!$C$7*T465,"運転",IF(U465&lt;=判定条件!$C$8*T465,"停止","断続")))</f>
        <v>停止</v>
      </c>
      <c r="W465" s="30" t="n">
        <v>60</v>
      </c>
      <c r="X465" s="30" t="n">
        <v>18</v>
      </c>
      <c r="Y465" s="30" t="str">
        <f aca="false">IF(W465&lt;判定条件!$C$6,"判定不能",IF(X465&gt;=判定条件!$C$7*W465,"運転",IF(X465&lt;=判定条件!$C$8*W465,"停止","断続")))</f>
        <v>断続</v>
      </c>
      <c r="Z465" s="30" t="n">
        <v>60</v>
      </c>
      <c r="AA465" s="30" t="n">
        <v>0</v>
      </c>
      <c r="AB465" s="30" t="str">
        <f aca="false">IF(Z465&lt;判定条件!$C$6,"判定不能",IF(AA465&gt;=判定条件!$C$7*Z465,"運転",IF(AA465&lt;=判定条件!$C$8*Z465,"停止","断続")))</f>
        <v>停止</v>
      </c>
      <c r="AC465" s="30" t="n">
        <v>60</v>
      </c>
      <c r="AD465" s="30" t="n">
        <v>12</v>
      </c>
      <c r="AE465" s="30" t="str">
        <f aca="false">IF(AC465&lt;判定条件!$C$6,"判定不能",IF(AD465&gt;=判定条件!$C$7*AC465,"運転",IF(AD465&lt;=判定条件!$C$8*AC465,"停止","断続")))</f>
        <v>停止</v>
      </c>
      <c r="AF465" s="30" t="n">
        <v>60</v>
      </c>
      <c r="AG465" s="30" t="n">
        <v>0</v>
      </c>
      <c r="AH465" s="30" t="str">
        <f aca="false">IF(OR(P465="判定不能",G465="判定不能"),"判定不能",IF(AG465&gt;=判定条件!$C$9,"利用可",IF(AND(P465="停止",G465="停止"),"両方停止","運転がそろわない")))</f>
        <v>両方停止</v>
      </c>
      <c r="AI465" s="30" t="n">
        <v>0</v>
      </c>
      <c r="AJ465" s="30" t="n">
        <v>0</v>
      </c>
      <c r="AK465" s="30" t="str">
        <f aca="false">IF(OR(S465="判定不能",J465="判定不能"),"判定不能",IF(AJ465&gt;=判定条件!$C$9,"利用可",IF(AND(S465="停止",J465="停止"),"両方停止","運転がそろわない")))</f>
        <v>判定不能</v>
      </c>
      <c r="AL465" s="30" t="n">
        <v>60</v>
      </c>
      <c r="AM465" s="30" t="n">
        <v>0</v>
      </c>
      <c r="AN465" s="30" t="str">
        <f aca="false">IF(OR(V465="判定不能",M465="判定不能"),"判定不能",IF(AM465&gt;=判定条件!$C$9,"利用可",IF(AND(V465="停止",M465="停止"),"両方停止","運転がそろわない")))</f>
        <v>両方停止</v>
      </c>
      <c r="AO465" s="30" t="n">
        <v>60</v>
      </c>
      <c r="AP465" s="30" t="n">
        <v>0</v>
      </c>
      <c r="AQ465" s="30" t="str">
        <f aca="false">IF(OR(Y465="判定不能",G465="判定不能"),"判定不能",IF(AP465&gt;=判定条件!$C$9,"利用可",IF(AND(Y465="停止",G465="停止"),"両方停止","運転がそろわない")))</f>
        <v>運転がそろわない</v>
      </c>
      <c r="AR465" s="30" t="n">
        <v>60</v>
      </c>
      <c r="AS465" s="30" t="n">
        <v>0</v>
      </c>
      <c r="AT465" s="30" t="str">
        <f aca="false">IF(OR(AB465="判定不能",J465="判定不能"),"判定不能",IF(AS465&gt;=判定条件!$C$9,"利用可",IF(AND(AB465="停止",J465="停止"),"両方停止","運転がそろわない")))</f>
        <v>両方停止</v>
      </c>
      <c r="AU465" s="30" t="n">
        <v>60</v>
      </c>
      <c r="AV465" s="30" t="n">
        <v>0</v>
      </c>
      <c r="AW465" s="30" t="str">
        <f aca="false">IF(OR(AE465="判定不能",M465="判定不能"),"判定不能",IF(AV465&gt;=判定条件!$C$9,"利用可",IF(AND(AE465="停止",M465="停止"),"両方停止","運転がそろわない")))</f>
        <v>両方停止</v>
      </c>
      <c r="AX465" s="30" t="str">
        <f aca="false">IF(AND(AH465="利用可",AK465="利用可",AN465="利用可"),"利用可","不可")</f>
        <v>不可</v>
      </c>
      <c r="AY465" s="30" t="str">
        <f aca="false">IF(AND(AQ465="利用可",AT465="利用可",AW465="利用可"),"利用可","不可")</f>
        <v>不可</v>
      </c>
    </row>
    <row r="466" customFormat="false" ht="15" hidden="false" customHeight="false" outlineLevel="0" collapsed="false">
      <c r="A466" s="29" t="n">
        <v>46251</v>
      </c>
      <c r="B466" s="30" t="n">
        <v>7</v>
      </c>
      <c r="C466" s="31" t="s">
        <v>66</v>
      </c>
      <c r="D466" s="31" t="s">
        <v>59</v>
      </c>
      <c r="E466" s="30" t="n">
        <v>60</v>
      </c>
      <c r="F466" s="30" t="n">
        <v>0</v>
      </c>
      <c r="G466" s="30" t="str">
        <f aca="false">IF(E466&lt;判定条件!$C$6,"判定不能",IF(F466&gt;=判定条件!$C$7*E466,"運転",IF(F466&lt;=判定条件!$C$8*E466,"停止","断続")))</f>
        <v>停止</v>
      </c>
      <c r="H466" s="30" t="n">
        <v>60</v>
      </c>
      <c r="I466" s="30" t="n">
        <v>0</v>
      </c>
      <c r="J466" s="30" t="str">
        <f aca="false">IF(H466&lt;判定条件!$C$6,"判定不能",IF(I466&gt;=判定条件!$C$7*H466,"運転",IF(I466&lt;=判定条件!$C$8*H466,"停止","断続")))</f>
        <v>停止</v>
      </c>
      <c r="K466" s="30" t="n">
        <v>60</v>
      </c>
      <c r="L466" s="30" t="n">
        <v>0</v>
      </c>
      <c r="M466" s="30" t="str">
        <f aca="false">IF(K466&lt;判定条件!$C$6,"判定不能",IF(L466&gt;=判定条件!$C$7*K466,"運転",IF(L466&lt;=判定条件!$C$8*K466,"停止","断続")))</f>
        <v>停止</v>
      </c>
      <c r="N466" s="30" t="n">
        <v>60</v>
      </c>
      <c r="O466" s="30" t="n">
        <v>28</v>
      </c>
      <c r="P466" s="30" t="str">
        <f aca="false">IF(N466&lt;判定条件!$C$6,"判定不能",IF(O466&gt;=判定条件!$C$7*N466,"運転",IF(O466&lt;=判定条件!$C$8*N466,"停止","断続")))</f>
        <v>断続</v>
      </c>
      <c r="Q466" s="30" t="n">
        <v>0</v>
      </c>
      <c r="R466" s="30" t="n">
        <v>0</v>
      </c>
      <c r="S466" s="30" t="str">
        <f aca="false">IF(Q466&lt;判定条件!$C$6,"判定不能",IF(R466&gt;=判定条件!$C$7*Q466,"運転",IF(R466&lt;=判定条件!$C$8*Q466,"停止","断続")))</f>
        <v>判定不能</v>
      </c>
      <c r="T466" s="30" t="n">
        <v>60</v>
      </c>
      <c r="U466" s="30" t="n">
        <v>60</v>
      </c>
      <c r="V466" s="30" t="str">
        <f aca="false">IF(T466&lt;判定条件!$C$6,"判定不能",IF(U466&gt;=判定条件!$C$7*T466,"運転",IF(U466&lt;=判定条件!$C$8*T466,"停止","断続")))</f>
        <v>運転</v>
      </c>
      <c r="W466" s="30" t="n">
        <v>60</v>
      </c>
      <c r="X466" s="30" t="n">
        <v>46</v>
      </c>
      <c r="Y466" s="30" t="str">
        <f aca="false">IF(W466&lt;判定条件!$C$6,"判定不能",IF(X466&gt;=判定条件!$C$7*W466,"運転",IF(X466&lt;=判定条件!$C$8*W466,"停止","断続")))</f>
        <v>断続</v>
      </c>
      <c r="Z466" s="30" t="n">
        <v>60</v>
      </c>
      <c r="AA466" s="30" t="n">
        <v>50</v>
      </c>
      <c r="AB466" s="30" t="str">
        <f aca="false">IF(Z466&lt;判定条件!$C$6,"判定不能",IF(AA466&gt;=判定条件!$C$7*Z466,"運転",IF(AA466&lt;=判定条件!$C$8*Z466,"停止","断続")))</f>
        <v>運転</v>
      </c>
      <c r="AC466" s="30" t="n">
        <v>60</v>
      </c>
      <c r="AD466" s="30" t="n">
        <v>60</v>
      </c>
      <c r="AE466" s="30" t="str">
        <f aca="false">IF(AC466&lt;判定条件!$C$6,"判定不能",IF(AD466&gt;=判定条件!$C$7*AC466,"運転",IF(AD466&lt;=判定条件!$C$8*AC466,"停止","断続")))</f>
        <v>運転</v>
      </c>
      <c r="AF466" s="30" t="n">
        <v>60</v>
      </c>
      <c r="AG466" s="30" t="n">
        <v>0</v>
      </c>
      <c r="AH466" s="30" t="str">
        <f aca="false">IF(OR(P466="判定不能",G466="判定不能"),"判定不能",IF(AG466&gt;=判定条件!$C$9,"利用可",IF(AND(P466="停止",G466="停止"),"両方停止","運転がそろわない")))</f>
        <v>運転がそろわない</v>
      </c>
      <c r="AI466" s="30" t="n">
        <v>0</v>
      </c>
      <c r="AJ466" s="30" t="n">
        <v>0</v>
      </c>
      <c r="AK466" s="30" t="str">
        <f aca="false">IF(OR(S466="判定不能",J466="判定不能"),"判定不能",IF(AJ466&gt;=判定条件!$C$9,"利用可",IF(AND(S466="停止",J466="停止"),"両方停止","運転がそろわない")))</f>
        <v>判定不能</v>
      </c>
      <c r="AL466" s="30" t="n">
        <v>60</v>
      </c>
      <c r="AM466" s="30" t="n">
        <v>0</v>
      </c>
      <c r="AN466" s="30" t="str">
        <f aca="false">IF(OR(V466="判定不能",M466="判定不能"),"判定不能",IF(AM466&gt;=判定条件!$C$9,"利用可",IF(AND(V466="停止",M466="停止"),"両方停止","運転がそろわない")))</f>
        <v>運転がそろわない</v>
      </c>
      <c r="AO466" s="30" t="n">
        <v>60</v>
      </c>
      <c r="AP466" s="30" t="n">
        <v>0</v>
      </c>
      <c r="AQ466" s="30" t="str">
        <f aca="false">IF(OR(Y466="判定不能",G466="判定不能"),"判定不能",IF(AP466&gt;=判定条件!$C$9,"利用可",IF(AND(Y466="停止",G466="停止"),"両方停止","運転がそろわない")))</f>
        <v>運転がそろわない</v>
      </c>
      <c r="AR466" s="30" t="n">
        <v>60</v>
      </c>
      <c r="AS466" s="30" t="n">
        <v>0</v>
      </c>
      <c r="AT466" s="30" t="str">
        <f aca="false">IF(OR(AB466="判定不能",J466="判定不能"),"判定不能",IF(AS466&gt;=判定条件!$C$9,"利用可",IF(AND(AB466="停止",J466="停止"),"両方停止","運転がそろわない")))</f>
        <v>運転がそろわない</v>
      </c>
      <c r="AU466" s="30" t="n">
        <v>60</v>
      </c>
      <c r="AV466" s="30" t="n">
        <v>0</v>
      </c>
      <c r="AW466" s="30" t="str">
        <f aca="false">IF(OR(AE466="判定不能",M466="判定不能"),"判定不能",IF(AV466&gt;=判定条件!$C$9,"利用可",IF(AND(AE466="停止",M466="停止"),"両方停止","運転がそろわない")))</f>
        <v>運転がそろわない</v>
      </c>
      <c r="AX466" s="30" t="str">
        <f aca="false">IF(AND(AH466="利用可",AK466="利用可",AN466="利用可"),"利用可","不可")</f>
        <v>不可</v>
      </c>
      <c r="AY466" s="30" t="str">
        <f aca="false">IF(AND(AQ466="利用可",AT466="利用可",AW466="利用可"),"利用可","不可")</f>
        <v>不可</v>
      </c>
    </row>
    <row r="467" customFormat="false" ht="15" hidden="false" customHeight="false" outlineLevel="0" collapsed="false">
      <c r="A467" s="29" t="n">
        <v>46251</v>
      </c>
      <c r="B467" s="30" t="n">
        <v>8</v>
      </c>
      <c r="C467" s="31" t="s">
        <v>66</v>
      </c>
      <c r="D467" s="31" t="s">
        <v>59</v>
      </c>
      <c r="E467" s="30" t="n">
        <v>60</v>
      </c>
      <c r="F467" s="30" t="n">
        <v>0</v>
      </c>
      <c r="G467" s="30" t="str">
        <f aca="false">IF(E467&lt;判定条件!$C$6,"判定不能",IF(F467&gt;=判定条件!$C$7*E467,"運転",IF(F467&lt;=判定条件!$C$8*E467,"停止","断続")))</f>
        <v>停止</v>
      </c>
      <c r="H467" s="30" t="n">
        <v>60</v>
      </c>
      <c r="I467" s="30" t="n">
        <v>0</v>
      </c>
      <c r="J467" s="30" t="str">
        <f aca="false">IF(H467&lt;判定条件!$C$6,"判定不能",IF(I467&gt;=判定条件!$C$7*H467,"運転",IF(I467&lt;=判定条件!$C$8*H467,"停止","断続")))</f>
        <v>停止</v>
      </c>
      <c r="K467" s="30" t="n">
        <v>60</v>
      </c>
      <c r="L467" s="30" t="n">
        <v>0</v>
      </c>
      <c r="M467" s="30" t="str">
        <f aca="false">IF(K467&lt;判定条件!$C$6,"判定不能",IF(L467&gt;=判定条件!$C$7*K467,"運転",IF(L467&lt;=判定条件!$C$8*K467,"停止","断続")))</f>
        <v>停止</v>
      </c>
      <c r="N467" s="30" t="n">
        <v>60</v>
      </c>
      <c r="O467" s="30" t="n">
        <v>52</v>
      </c>
      <c r="P467" s="30" t="str">
        <f aca="false">IF(N467&lt;判定条件!$C$6,"判定不能",IF(O467&gt;=判定条件!$C$7*N467,"運転",IF(O467&lt;=判定条件!$C$8*N467,"停止","断続")))</f>
        <v>運転</v>
      </c>
      <c r="Q467" s="30" t="n">
        <v>0</v>
      </c>
      <c r="R467" s="30" t="n">
        <v>0</v>
      </c>
      <c r="S467" s="30" t="str">
        <f aca="false">IF(Q467&lt;判定条件!$C$6,"判定不能",IF(R467&gt;=判定条件!$C$7*Q467,"運転",IF(R467&lt;=判定条件!$C$8*Q467,"停止","断続")))</f>
        <v>判定不能</v>
      </c>
      <c r="T467" s="30" t="n">
        <v>60</v>
      </c>
      <c r="U467" s="30" t="n">
        <v>60</v>
      </c>
      <c r="V467" s="30" t="str">
        <f aca="false">IF(T467&lt;判定条件!$C$6,"判定不能",IF(U467&gt;=判定条件!$C$7*T467,"運転",IF(U467&lt;=判定条件!$C$8*T467,"停止","断続")))</f>
        <v>運転</v>
      </c>
      <c r="W467" s="30" t="n">
        <v>60</v>
      </c>
      <c r="X467" s="30" t="n">
        <v>56</v>
      </c>
      <c r="Y467" s="30" t="str">
        <f aca="false">IF(W467&lt;判定条件!$C$6,"判定不能",IF(X467&gt;=判定条件!$C$7*W467,"運転",IF(X467&lt;=判定条件!$C$8*W467,"停止","断続")))</f>
        <v>運転</v>
      </c>
      <c r="Z467" s="30" t="n">
        <v>60</v>
      </c>
      <c r="AA467" s="30" t="n">
        <v>60</v>
      </c>
      <c r="AB467" s="30" t="str">
        <f aca="false">IF(Z467&lt;判定条件!$C$6,"判定不能",IF(AA467&gt;=判定条件!$C$7*Z467,"運転",IF(AA467&lt;=判定条件!$C$8*Z467,"停止","断続")))</f>
        <v>運転</v>
      </c>
      <c r="AC467" s="30" t="n">
        <v>60</v>
      </c>
      <c r="AD467" s="30" t="n">
        <v>60</v>
      </c>
      <c r="AE467" s="30" t="str">
        <f aca="false">IF(AC467&lt;判定条件!$C$6,"判定不能",IF(AD467&gt;=判定条件!$C$7*AC467,"運転",IF(AD467&lt;=判定条件!$C$8*AC467,"停止","断続")))</f>
        <v>運転</v>
      </c>
      <c r="AF467" s="30" t="n">
        <v>60</v>
      </c>
      <c r="AG467" s="30" t="n">
        <v>0</v>
      </c>
      <c r="AH467" s="30" t="str">
        <f aca="false">IF(OR(P467="判定不能",G467="判定不能"),"判定不能",IF(AG467&gt;=判定条件!$C$9,"利用可",IF(AND(P467="停止",G467="停止"),"両方停止","運転がそろわない")))</f>
        <v>運転がそろわない</v>
      </c>
      <c r="AI467" s="30" t="n">
        <v>0</v>
      </c>
      <c r="AJ467" s="30" t="n">
        <v>0</v>
      </c>
      <c r="AK467" s="30" t="str">
        <f aca="false">IF(OR(S467="判定不能",J467="判定不能"),"判定不能",IF(AJ467&gt;=判定条件!$C$9,"利用可",IF(AND(S467="停止",J467="停止"),"両方停止","運転がそろわない")))</f>
        <v>判定不能</v>
      </c>
      <c r="AL467" s="30" t="n">
        <v>60</v>
      </c>
      <c r="AM467" s="30" t="n">
        <v>0</v>
      </c>
      <c r="AN467" s="30" t="str">
        <f aca="false">IF(OR(V467="判定不能",M467="判定不能"),"判定不能",IF(AM467&gt;=判定条件!$C$9,"利用可",IF(AND(V467="停止",M467="停止"),"両方停止","運転がそろわない")))</f>
        <v>運転がそろわない</v>
      </c>
      <c r="AO467" s="30" t="n">
        <v>60</v>
      </c>
      <c r="AP467" s="30" t="n">
        <v>0</v>
      </c>
      <c r="AQ467" s="30" t="str">
        <f aca="false">IF(OR(Y467="判定不能",G467="判定不能"),"判定不能",IF(AP467&gt;=判定条件!$C$9,"利用可",IF(AND(Y467="停止",G467="停止"),"両方停止","運転がそろわない")))</f>
        <v>運転がそろわない</v>
      </c>
      <c r="AR467" s="30" t="n">
        <v>60</v>
      </c>
      <c r="AS467" s="30" t="n">
        <v>0</v>
      </c>
      <c r="AT467" s="30" t="str">
        <f aca="false">IF(OR(AB467="判定不能",J467="判定不能"),"判定不能",IF(AS467&gt;=判定条件!$C$9,"利用可",IF(AND(AB467="停止",J467="停止"),"両方停止","運転がそろわない")))</f>
        <v>運転がそろわない</v>
      </c>
      <c r="AU467" s="30" t="n">
        <v>60</v>
      </c>
      <c r="AV467" s="30" t="n">
        <v>0</v>
      </c>
      <c r="AW467" s="30" t="str">
        <f aca="false">IF(OR(AE467="判定不能",M467="判定不能"),"判定不能",IF(AV467&gt;=判定条件!$C$9,"利用可",IF(AND(AE467="停止",M467="停止"),"両方停止","運転がそろわない")))</f>
        <v>運転がそろわない</v>
      </c>
      <c r="AX467" s="30" t="str">
        <f aca="false">IF(AND(AH467="利用可",AK467="利用可",AN467="利用可"),"利用可","不可")</f>
        <v>不可</v>
      </c>
      <c r="AY467" s="30" t="str">
        <f aca="false">IF(AND(AQ467="利用可",AT467="利用可",AW467="利用可"),"利用可","不可")</f>
        <v>不可</v>
      </c>
    </row>
    <row r="468" customFormat="false" ht="15" hidden="false" customHeight="false" outlineLevel="0" collapsed="false">
      <c r="A468" s="29" t="n">
        <v>46251</v>
      </c>
      <c r="B468" s="30" t="n">
        <v>9</v>
      </c>
      <c r="C468" s="31" t="s">
        <v>66</v>
      </c>
      <c r="D468" s="31" t="s">
        <v>59</v>
      </c>
      <c r="E468" s="30" t="n">
        <v>60</v>
      </c>
      <c r="F468" s="30" t="n">
        <v>33</v>
      </c>
      <c r="G468" s="30" t="str">
        <f aca="false">IF(E468&lt;判定条件!$C$6,"判定不能",IF(F468&gt;=判定条件!$C$7*E468,"運転",IF(F468&lt;=判定条件!$C$8*E468,"停止","断続")))</f>
        <v>断続</v>
      </c>
      <c r="H468" s="30" t="n">
        <v>60</v>
      </c>
      <c r="I468" s="30" t="n">
        <v>33</v>
      </c>
      <c r="J468" s="30" t="str">
        <f aca="false">IF(H468&lt;判定条件!$C$6,"判定不能",IF(I468&gt;=判定条件!$C$7*H468,"運転",IF(I468&lt;=判定条件!$C$8*H468,"停止","断続")))</f>
        <v>断続</v>
      </c>
      <c r="K468" s="30" t="n">
        <v>60</v>
      </c>
      <c r="L468" s="30" t="n">
        <v>32</v>
      </c>
      <c r="M468" s="30" t="str">
        <f aca="false">IF(K468&lt;判定条件!$C$6,"判定不能",IF(L468&gt;=判定条件!$C$7*K468,"運転",IF(L468&lt;=判定条件!$C$8*K468,"停止","断続")))</f>
        <v>断続</v>
      </c>
      <c r="N468" s="30" t="n">
        <v>60</v>
      </c>
      <c r="O468" s="30" t="n">
        <v>60</v>
      </c>
      <c r="P468" s="30" t="str">
        <f aca="false">IF(N468&lt;判定条件!$C$6,"判定不能",IF(O468&gt;=判定条件!$C$7*N468,"運転",IF(O468&lt;=判定条件!$C$8*N468,"停止","断続")))</f>
        <v>運転</v>
      </c>
      <c r="Q468" s="30" t="n">
        <v>0</v>
      </c>
      <c r="R468" s="30" t="n">
        <v>0</v>
      </c>
      <c r="S468" s="30" t="str">
        <f aca="false">IF(Q468&lt;判定条件!$C$6,"判定不能",IF(R468&gt;=判定条件!$C$7*Q468,"運転",IF(R468&lt;=判定条件!$C$8*Q468,"停止","断続")))</f>
        <v>判定不能</v>
      </c>
      <c r="T468" s="30" t="n">
        <v>60</v>
      </c>
      <c r="U468" s="30" t="n">
        <v>58</v>
      </c>
      <c r="V468" s="30" t="str">
        <f aca="false">IF(T468&lt;判定条件!$C$6,"判定不能",IF(U468&gt;=判定条件!$C$7*T468,"運転",IF(U468&lt;=判定条件!$C$8*T468,"停止","断続")))</f>
        <v>運転</v>
      </c>
      <c r="W468" s="30" t="n">
        <v>60</v>
      </c>
      <c r="X468" s="30" t="n">
        <v>60</v>
      </c>
      <c r="Y468" s="30" t="str">
        <f aca="false">IF(W468&lt;判定条件!$C$6,"判定不能",IF(X468&gt;=判定条件!$C$7*W468,"運転",IF(X468&lt;=判定条件!$C$8*W468,"停止","断続")))</f>
        <v>運転</v>
      </c>
      <c r="Z468" s="30" t="n">
        <v>60</v>
      </c>
      <c r="AA468" s="30" t="n">
        <v>60</v>
      </c>
      <c r="AB468" s="30" t="str">
        <f aca="false">IF(Z468&lt;判定条件!$C$6,"判定不能",IF(AA468&gt;=判定条件!$C$7*Z468,"運転",IF(AA468&lt;=判定条件!$C$8*Z468,"停止","断続")))</f>
        <v>運転</v>
      </c>
      <c r="AC468" s="30" t="n">
        <v>60</v>
      </c>
      <c r="AD468" s="30" t="n">
        <v>60</v>
      </c>
      <c r="AE468" s="30" t="str">
        <f aca="false">IF(AC468&lt;判定条件!$C$6,"判定不能",IF(AD468&gt;=判定条件!$C$7*AC468,"運転",IF(AD468&lt;=判定条件!$C$8*AC468,"停止","断続")))</f>
        <v>運転</v>
      </c>
      <c r="AF468" s="30" t="n">
        <v>60</v>
      </c>
      <c r="AG468" s="30" t="n">
        <v>33</v>
      </c>
      <c r="AH468" s="30" t="str">
        <f aca="false">IF(OR(P468="判定不能",G468="判定不能"),"判定不能",IF(AG468&gt;=判定条件!$C$9,"利用可",IF(AND(P468="停止",G468="停止"),"両方停止","運転がそろわない")))</f>
        <v>利用可</v>
      </c>
      <c r="AI468" s="30" t="n">
        <v>0</v>
      </c>
      <c r="AJ468" s="30" t="n">
        <v>0</v>
      </c>
      <c r="AK468" s="30" t="str">
        <f aca="false">IF(OR(S468="判定不能",J468="判定不能"),"判定不能",IF(AJ468&gt;=判定条件!$C$9,"利用可",IF(AND(S468="停止",J468="停止"),"両方停止","運転がそろわない")))</f>
        <v>判定不能</v>
      </c>
      <c r="AL468" s="30" t="n">
        <v>60</v>
      </c>
      <c r="AM468" s="30" t="n">
        <v>30</v>
      </c>
      <c r="AN468" s="30" t="str">
        <f aca="false">IF(OR(V468="判定不能",M468="判定不能"),"判定不能",IF(AM468&gt;=判定条件!$C$9,"利用可",IF(AND(V468="停止",M468="停止"),"両方停止","運転がそろわない")))</f>
        <v>利用可</v>
      </c>
      <c r="AO468" s="30" t="n">
        <v>60</v>
      </c>
      <c r="AP468" s="30" t="n">
        <v>33</v>
      </c>
      <c r="AQ468" s="30" t="str">
        <f aca="false">IF(OR(Y468="判定不能",G468="判定不能"),"判定不能",IF(AP468&gt;=判定条件!$C$9,"利用可",IF(AND(Y468="停止",G468="停止"),"両方停止","運転がそろわない")))</f>
        <v>利用可</v>
      </c>
      <c r="AR468" s="30" t="n">
        <v>60</v>
      </c>
      <c r="AS468" s="30" t="n">
        <v>33</v>
      </c>
      <c r="AT468" s="30" t="str">
        <f aca="false">IF(OR(AB468="判定不能",J468="判定不能"),"判定不能",IF(AS468&gt;=判定条件!$C$9,"利用可",IF(AND(AB468="停止",J468="停止"),"両方停止","運転がそろわない")))</f>
        <v>利用可</v>
      </c>
      <c r="AU468" s="30" t="n">
        <v>60</v>
      </c>
      <c r="AV468" s="30" t="n">
        <v>32</v>
      </c>
      <c r="AW468" s="30" t="str">
        <f aca="false">IF(OR(AE468="判定不能",M468="判定不能"),"判定不能",IF(AV468&gt;=判定条件!$C$9,"利用可",IF(AND(AE468="停止",M468="停止"),"両方停止","運転がそろわない")))</f>
        <v>利用可</v>
      </c>
      <c r="AX468" s="30" t="str">
        <f aca="false">IF(AND(AH468="利用可",AK468="利用可",AN468="利用可"),"利用可","不可")</f>
        <v>不可</v>
      </c>
      <c r="AY468" s="30" t="str">
        <f aca="false">IF(AND(AQ468="利用可",AT468="利用可",AW468="利用可"),"利用可","不可")</f>
        <v>利用可</v>
      </c>
    </row>
    <row r="469" customFormat="false" ht="15" hidden="false" customHeight="false" outlineLevel="0" collapsed="false">
      <c r="A469" s="29" t="n">
        <v>46251</v>
      </c>
      <c r="B469" s="30" t="n">
        <v>10</v>
      </c>
      <c r="C469" s="31" t="s">
        <v>66</v>
      </c>
      <c r="D469" s="31" t="s">
        <v>59</v>
      </c>
      <c r="E469" s="30" t="n">
        <v>60</v>
      </c>
      <c r="F469" s="30" t="n">
        <v>60</v>
      </c>
      <c r="G469" s="30" t="str">
        <f aca="false">IF(E469&lt;判定条件!$C$6,"判定不能",IF(F469&gt;=判定条件!$C$7*E469,"運転",IF(F469&lt;=判定条件!$C$8*E469,"停止","断続")))</f>
        <v>運転</v>
      </c>
      <c r="H469" s="30" t="n">
        <v>60</v>
      </c>
      <c r="I469" s="30" t="n">
        <v>60</v>
      </c>
      <c r="J469" s="30" t="str">
        <f aca="false">IF(H469&lt;判定条件!$C$6,"判定不能",IF(I469&gt;=判定条件!$C$7*H469,"運転",IF(I469&lt;=判定条件!$C$8*H469,"停止","断続")))</f>
        <v>運転</v>
      </c>
      <c r="K469" s="30" t="n">
        <v>60</v>
      </c>
      <c r="L469" s="30" t="n">
        <v>60</v>
      </c>
      <c r="M469" s="30" t="str">
        <f aca="false">IF(K469&lt;判定条件!$C$6,"判定不能",IF(L469&gt;=判定条件!$C$7*K469,"運転",IF(L469&lt;=判定条件!$C$8*K469,"停止","断続")))</f>
        <v>運転</v>
      </c>
      <c r="N469" s="30" t="n">
        <v>60</v>
      </c>
      <c r="O469" s="30" t="n">
        <v>60</v>
      </c>
      <c r="P469" s="30" t="str">
        <f aca="false">IF(N469&lt;判定条件!$C$6,"判定不能",IF(O469&gt;=判定条件!$C$7*N469,"運転",IF(O469&lt;=判定条件!$C$8*N469,"停止","断続")))</f>
        <v>運転</v>
      </c>
      <c r="Q469" s="30" t="n">
        <v>0</v>
      </c>
      <c r="R469" s="30" t="n">
        <v>0</v>
      </c>
      <c r="S469" s="30" t="str">
        <f aca="false">IF(Q469&lt;判定条件!$C$6,"判定不能",IF(R469&gt;=判定条件!$C$7*Q469,"運転",IF(R469&lt;=判定条件!$C$8*Q469,"停止","断続")))</f>
        <v>判定不能</v>
      </c>
      <c r="T469" s="30" t="n">
        <v>60</v>
      </c>
      <c r="U469" s="30" t="n">
        <v>60</v>
      </c>
      <c r="V469" s="30" t="str">
        <f aca="false">IF(T469&lt;判定条件!$C$6,"判定不能",IF(U469&gt;=判定条件!$C$7*T469,"運転",IF(U469&lt;=判定条件!$C$8*T469,"停止","断続")))</f>
        <v>運転</v>
      </c>
      <c r="W469" s="30" t="n">
        <v>60</v>
      </c>
      <c r="X469" s="30" t="n">
        <v>60</v>
      </c>
      <c r="Y469" s="30" t="str">
        <f aca="false">IF(W469&lt;判定条件!$C$6,"判定不能",IF(X469&gt;=判定条件!$C$7*W469,"運転",IF(X469&lt;=判定条件!$C$8*W469,"停止","断続")))</f>
        <v>運転</v>
      </c>
      <c r="Z469" s="30" t="n">
        <v>60</v>
      </c>
      <c r="AA469" s="30" t="n">
        <v>58</v>
      </c>
      <c r="AB469" s="30" t="str">
        <f aca="false">IF(Z469&lt;判定条件!$C$6,"判定不能",IF(AA469&gt;=判定条件!$C$7*Z469,"運転",IF(AA469&lt;=判定条件!$C$8*Z469,"停止","断続")))</f>
        <v>運転</v>
      </c>
      <c r="AC469" s="30" t="n">
        <v>60</v>
      </c>
      <c r="AD469" s="30" t="n">
        <v>47</v>
      </c>
      <c r="AE469" s="30" t="str">
        <f aca="false">IF(AC469&lt;判定条件!$C$6,"判定不能",IF(AD469&gt;=判定条件!$C$7*AC469,"運転",IF(AD469&lt;=判定条件!$C$8*AC469,"停止","断続")))</f>
        <v>断続</v>
      </c>
      <c r="AF469" s="30" t="n">
        <v>60</v>
      </c>
      <c r="AG469" s="30" t="n">
        <v>60</v>
      </c>
      <c r="AH469" s="30" t="str">
        <f aca="false">IF(OR(P469="判定不能",G469="判定不能"),"判定不能",IF(AG469&gt;=判定条件!$C$9,"利用可",IF(AND(P469="停止",G469="停止"),"両方停止","運転がそろわない")))</f>
        <v>利用可</v>
      </c>
      <c r="AI469" s="30" t="n">
        <v>0</v>
      </c>
      <c r="AJ469" s="30" t="n">
        <v>0</v>
      </c>
      <c r="AK469" s="30" t="str">
        <f aca="false">IF(OR(S469="判定不能",J469="判定不能"),"判定不能",IF(AJ469&gt;=判定条件!$C$9,"利用可",IF(AND(S469="停止",J469="停止"),"両方停止","運転がそろわない")))</f>
        <v>判定不能</v>
      </c>
      <c r="AL469" s="30" t="n">
        <v>60</v>
      </c>
      <c r="AM469" s="30" t="n">
        <v>60</v>
      </c>
      <c r="AN469" s="30" t="str">
        <f aca="false">IF(OR(V469="判定不能",M469="判定不能"),"判定不能",IF(AM469&gt;=判定条件!$C$9,"利用可",IF(AND(V469="停止",M469="停止"),"両方停止","運転がそろわない")))</f>
        <v>利用可</v>
      </c>
      <c r="AO469" s="30" t="n">
        <v>60</v>
      </c>
      <c r="AP469" s="30" t="n">
        <v>60</v>
      </c>
      <c r="AQ469" s="30" t="str">
        <f aca="false">IF(OR(Y469="判定不能",G469="判定不能"),"判定不能",IF(AP469&gt;=判定条件!$C$9,"利用可",IF(AND(Y469="停止",G469="停止"),"両方停止","運転がそろわない")))</f>
        <v>利用可</v>
      </c>
      <c r="AR469" s="30" t="n">
        <v>60</v>
      </c>
      <c r="AS469" s="30" t="n">
        <v>58</v>
      </c>
      <c r="AT469" s="30" t="str">
        <f aca="false">IF(OR(AB469="判定不能",J469="判定不能"),"判定不能",IF(AS469&gt;=判定条件!$C$9,"利用可",IF(AND(AB469="停止",J469="停止"),"両方停止","運転がそろわない")))</f>
        <v>利用可</v>
      </c>
      <c r="AU469" s="30" t="n">
        <v>60</v>
      </c>
      <c r="AV469" s="30" t="n">
        <v>47</v>
      </c>
      <c r="AW469" s="30" t="str">
        <f aca="false">IF(OR(AE469="判定不能",M469="判定不能"),"判定不能",IF(AV469&gt;=判定条件!$C$9,"利用可",IF(AND(AE469="停止",M469="停止"),"両方停止","運転がそろわない")))</f>
        <v>利用可</v>
      </c>
      <c r="AX469" s="30" t="str">
        <f aca="false">IF(AND(AH469="利用可",AK469="利用可",AN469="利用可"),"利用可","不可")</f>
        <v>不可</v>
      </c>
      <c r="AY469" s="30" t="str">
        <f aca="false">IF(AND(AQ469="利用可",AT469="利用可",AW469="利用可"),"利用可","不可")</f>
        <v>利用可</v>
      </c>
    </row>
    <row r="470" customFormat="false" ht="15" hidden="false" customHeight="false" outlineLevel="0" collapsed="false">
      <c r="A470" s="29" t="n">
        <v>46251</v>
      </c>
      <c r="B470" s="30" t="n">
        <v>11</v>
      </c>
      <c r="C470" s="31" t="s">
        <v>66</v>
      </c>
      <c r="D470" s="31" t="s">
        <v>59</v>
      </c>
      <c r="E470" s="30" t="n">
        <v>60</v>
      </c>
      <c r="F470" s="30" t="n">
        <v>60</v>
      </c>
      <c r="G470" s="30" t="str">
        <f aca="false">IF(E470&lt;判定条件!$C$6,"判定不能",IF(F470&gt;=判定条件!$C$7*E470,"運転",IF(F470&lt;=判定条件!$C$8*E470,"停止","断続")))</f>
        <v>運転</v>
      </c>
      <c r="H470" s="30" t="n">
        <v>60</v>
      </c>
      <c r="I470" s="30" t="n">
        <v>60</v>
      </c>
      <c r="J470" s="30" t="str">
        <f aca="false">IF(H470&lt;判定条件!$C$6,"判定不能",IF(I470&gt;=判定条件!$C$7*H470,"運転",IF(I470&lt;=判定条件!$C$8*H470,"停止","断続")))</f>
        <v>運転</v>
      </c>
      <c r="K470" s="30" t="n">
        <v>60</v>
      </c>
      <c r="L470" s="30" t="n">
        <v>60</v>
      </c>
      <c r="M470" s="30" t="str">
        <f aca="false">IF(K470&lt;判定条件!$C$6,"判定不能",IF(L470&gt;=判定条件!$C$7*K470,"運転",IF(L470&lt;=判定条件!$C$8*K470,"停止","断続")))</f>
        <v>運転</v>
      </c>
      <c r="N470" s="30" t="n">
        <v>60</v>
      </c>
      <c r="O470" s="30" t="n">
        <v>60</v>
      </c>
      <c r="P470" s="30" t="str">
        <f aca="false">IF(N470&lt;判定条件!$C$6,"判定不能",IF(O470&gt;=判定条件!$C$7*N470,"運転",IF(O470&lt;=判定条件!$C$8*N470,"停止","断続")))</f>
        <v>運転</v>
      </c>
      <c r="Q470" s="30" t="n">
        <v>0</v>
      </c>
      <c r="R470" s="30" t="n">
        <v>0</v>
      </c>
      <c r="S470" s="30" t="str">
        <f aca="false">IF(Q470&lt;判定条件!$C$6,"判定不能",IF(R470&gt;=判定条件!$C$7*Q470,"運転",IF(R470&lt;=判定条件!$C$8*Q470,"停止","断続")))</f>
        <v>判定不能</v>
      </c>
      <c r="T470" s="30" t="n">
        <v>60</v>
      </c>
      <c r="U470" s="30" t="n">
        <v>45</v>
      </c>
      <c r="V470" s="30" t="str">
        <f aca="false">IF(T470&lt;判定条件!$C$6,"判定不能",IF(U470&gt;=判定条件!$C$7*T470,"運転",IF(U470&lt;=判定条件!$C$8*T470,"停止","断続")))</f>
        <v>断続</v>
      </c>
      <c r="W470" s="30" t="n">
        <v>60</v>
      </c>
      <c r="X470" s="30" t="n">
        <v>60</v>
      </c>
      <c r="Y470" s="30" t="str">
        <f aca="false">IF(W470&lt;判定条件!$C$6,"判定不能",IF(X470&gt;=判定条件!$C$7*W470,"運転",IF(X470&lt;=判定条件!$C$8*W470,"停止","断続")))</f>
        <v>運転</v>
      </c>
      <c r="Z470" s="30" t="n">
        <v>60</v>
      </c>
      <c r="AA470" s="30" t="n">
        <v>60</v>
      </c>
      <c r="AB470" s="30" t="str">
        <f aca="false">IF(Z470&lt;判定条件!$C$6,"判定不能",IF(AA470&gt;=判定条件!$C$7*Z470,"運転",IF(AA470&lt;=判定条件!$C$8*Z470,"停止","断続")))</f>
        <v>運転</v>
      </c>
      <c r="AC470" s="30" t="n">
        <v>60</v>
      </c>
      <c r="AD470" s="30" t="n">
        <v>50</v>
      </c>
      <c r="AE470" s="30" t="str">
        <f aca="false">IF(AC470&lt;判定条件!$C$6,"判定不能",IF(AD470&gt;=判定条件!$C$7*AC470,"運転",IF(AD470&lt;=判定条件!$C$8*AC470,"停止","断続")))</f>
        <v>運転</v>
      </c>
      <c r="AF470" s="30" t="n">
        <v>60</v>
      </c>
      <c r="AG470" s="30" t="n">
        <v>60</v>
      </c>
      <c r="AH470" s="30" t="str">
        <f aca="false">IF(OR(P470="判定不能",G470="判定不能"),"判定不能",IF(AG470&gt;=判定条件!$C$9,"利用可",IF(AND(P470="停止",G470="停止"),"両方停止","運転がそろわない")))</f>
        <v>利用可</v>
      </c>
      <c r="AI470" s="30" t="n">
        <v>0</v>
      </c>
      <c r="AJ470" s="30" t="n">
        <v>0</v>
      </c>
      <c r="AK470" s="30" t="str">
        <f aca="false">IF(OR(S470="判定不能",J470="判定不能"),"判定不能",IF(AJ470&gt;=判定条件!$C$9,"利用可",IF(AND(S470="停止",J470="停止"),"両方停止","運転がそろわない")))</f>
        <v>判定不能</v>
      </c>
      <c r="AL470" s="30" t="n">
        <v>60</v>
      </c>
      <c r="AM470" s="30" t="n">
        <v>45</v>
      </c>
      <c r="AN470" s="30" t="str">
        <f aca="false">IF(OR(V470="判定不能",M470="判定不能"),"判定不能",IF(AM470&gt;=判定条件!$C$9,"利用可",IF(AND(V470="停止",M470="停止"),"両方停止","運転がそろわない")))</f>
        <v>利用可</v>
      </c>
      <c r="AO470" s="30" t="n">
        <v>60</v>
      </c>
      <c r="AP470" s="30" t="n">
        <v>60</v>
      </c>
      <c r="AQ470" s="30" t="str">
        <f aca="false">IF(OR(Y470="判定不能",G470="判定不能"),"判定不能",IF(AP470&gt;=判定条件!$C$9,"利用可",IF(AND(Y470="停止",G470="停止"),"両方停止","運転がそろわない")))</f>
        <v>利用可</v>
      </c>
      <c r="AR470" s="30" t="n">
        <v>60</v>
      </c>
      <c r="AS470" s="30" t="n">
        <v>60</v>
      </c>
      <c r="AT470" s="30" t="str">
        <f aca="false">IF(OR(AB470="判定不能",J470="判定不能"),"判定不能",IF(AS470&gt;=判定条件!$C$9,"利用可",IF(AND(AB470="停止",J470="停止"),"両方停止","運転がそろわない")))</f>
        <v>利用可</v>
      </c>
      <c r="AU470" s="30" t="n">
        <v>60</v>
      </c>
      <c r="AV470" s="30" t="n">
        <v>50</v>
      </c>
      <c r="AW470" s="30" t="str">
        <f aca="false">IF(OR(AE470="判定不能",M470="判定不能"),"判定不能",IF(AV470&gt;=判定条件!$C$9,"利用可",IF(AND(AE470="停止",M470="停止"),"両方停止","運転がそろわない")))</f>
        <v>利用可</v>
      </c>
      <c r="AX470" s="30" t="str">
        <f aca="false">IF(AND(AH470="利用可",AK470="利用可",AN470="利用可"),"利用可","不可")</f>
        <v>不可</v>
      </c>
      <c r="AY470" s="30" t="str">
        <f aca="false">IF(AND(AQ470="利用可",AT470="利用可",AW470="利用可"),"利用可","不可")</f>
        <v>利用可</v>
      </c>
    </row>
    <row r="471" customFormat="false" ht="15" hidden="false" customHeight="false" outlineLevel="0" collapsed="false">
      <c r="A471" s="29" t="n">
        <v>46251</v>
      </c>
      <c r="B471" s="30" t="n">
        <v>12</v>
      </c>
      <c r="C471" s="31" t="s">
        <v>66</v>
      </c>
      <c r="D471" s="31" t="s">
        <v>59</v>
      </c>
      <c r="E471" s="30" t="n">
        <v>60</v>
      </c>
      <c r="F471" s="30" t="n">
        <v>60</v>
      </c>
      <c r="G471" s="30" t="str">
        <f aca="false">IF(E471&lt;判定条件!$C$6,"判定不能",IF(F471&gt;=判定条件!$C$7*E471,"運転",IF(F471&lt;=判定条件!$C$8*E471,"停止","断続")))</f>
        <v>運転</v>
      </c>
      <c r="H471" s="30" t="n">
        <v>60</v>
      </c>
      <c r="I471" s="30" t="n">
        <v>60</v>
      </c>
      <c r="J471" s="30" t="str">
        <f aca="false">IF(H471&lt;判定条件!$C$6,"判定不能",IF(I471&gt;=判定条件!$C$7*H471,"運転",IF(I471&lt;=判定条件!$C$8*H471,"停止","断続")))</f>
        <v>運転</v>
      </c>
      <c r="K471" s="30" t="n">
        <v>60</v>
      </c>
      <c r="L471" s="30" t="n">
        <v>60</v>
      </c>
      <c r="M471" s="30" t="str">
        <f aca="false">IF(K471&lt;判定条件!$C$6,"判定不能",IF(L471&gt;=判定条件!$C$7*K471,"運転",IF(L471&lt;=判定条件!$C$8*K471,"停止","断続")))</f>
        <v>運転</v>
      </c>
      <c r="N471" s="30" t="n">
        <v>60</v>
      </c>
      <c r="O471" s="30" t="n">
        <v>60</v>
      </c>
      <c r="P471" s="30" t="str">
        <f aca="false">IF(N471&lt;判定条件!$C$6,"判定不能",IF(O471&gt;=判定条件!$C$7*N471,"運転",IF(O471&lt;=判定条件!$C$8*N471,"停止","断続")))</f>
        <v>運転</v>
      </c>
      <c r="Q471" s="30" t="n">
        <v>0</v>
      </c>
      <c r="R471" s="30" t="n">
        <v>0</v>
      </c>
      <c r="S471" s="30" t="str">
        <f aca="false">IF(Q471&lt;判定条件!$C$6,"判定不能",IF(R471&gt;=判定条件!$C$7*Q471,"運転",IF(R471&lt;=判定条件!$C$8*Q471,"停止","断続")))</f>
        <v>判定不能</v>
      </c>
      <c r="T471" s="30" t="n">
        <v>60</v>
      </c>
      <c r="U471" s="30" t="n">
        <v>43</v>
      </c>
      <c r="V471" s="30" t="str">
        <f aca="false">IF(T471&lt;判定条件!$C$6,"判定不能",IF(U471&gt;=判定条件!$C$7*T471,"運転",IF(U471&lt;=判定条件!$C$8*T471,"停止","断続")))</f>
        <v>断続</v>
      </c>
      <c r="W471" s="30" t="n">
        <v>60</v>
      </c>
      <c r="X471" s="30" t="n">
        <v>60</v>
      </c>
      <c r="Y471" s="30" t="str">
        <f aca="false">IF(W471&lt;判定条件!$C$6,"判定不能",IF(X471&gt;=判定条件!$C$7*W471,"運転",IF(X471&lt;=判定条件!$C$8*W471,"停止","断続")))</f>
        <v>運転</v>
      </c>
      <c r="Z471" s="30" t="n">
        <v>60</v>
      </c>
      <c r="AA471" s="30" t="n">
        <v>60</v>
      </c>
      <c r="AB471" s="30" t="str">
        <f aca="false">IF(Z471&lt;判定条件!$C$6,"判定不能",IF(AA471&gt;=判定条件!$C$7*Z471,"運転",IF(AA471&lt;=判定条件!$C$8*Z471,"停止","断続")))</f>
        <v>運転</v>
      </c>
      <c r="AC471" s="30" t="n">
        <v>60</v>
      </c>
      <c r="AD471" s="30" t="n">
        <v>41</v>
      </c>
      <c r="AE471" s="30" t="str">
        <f aca="false">IF(AC471&lt;判定条件!$C$6,"判定不能",IF(AD471&gt;=判定条件!$C$7*AC471,"運転",IF(AD471&lt;=判定条件!$C$8*AC471,"停止","断続")))</f>
        <v>断続</v>
      </c>
      <c r="AF471" s="30" t="n">
        <v>60</v>
      </c>
      <c r="AG471" s="30" t="n">
        <v>60</v>
      </c>
      <c r="AH471" s="30" t="str">
        <f aca="false">IF(OR(P471="判定不能",G471="判定不能"),"判定不能",IF(AG471&gt;=判定条件!$C$9,"利用可",IF(AND(P471="停止",G471="停止"),"両方停止","運転がそろわない")))</f>
        <v>利用可</v>
      </c>
      <c r="AI471" s="30" t="n">
        <v>0</v>
      </c>
      <c r="AJ471" s="30" t="n">
        <v>0</v>
      </c>
      <c r="AK471" s="30" t="str">
        <f aca="false">IF(OR(S471="判定不能",J471="判定不能"),"判定不能",IF(AJ471&gt;=判定条件!$C$9,"利用可",IF(AND(S471="停止",J471="停止"),"両方停止","運転がそろわない")))</f>
        <v>判定不能</v>
      </c>
      <c r="AL471" s="30" t="n">
        <v>60</v>
      </c>
      <c r="AM471" s="30" t="n">
        <v>43</v>
      </c>
      <c r="AN471" s="30" t="str">
        <f aca="false">IF(OR(V471="判定不能",M471="判定不能"),"判定不能",IF(AM471&gt;=判定条件!$C$9,"利用可",IF(AND(V471="停止",M471="停止"),"両方停止","運転がそろわない")))</f>
        <v>利用可</v>
      </c>
      <c r="AO471" s="30" t="n">
        <v>60</v>
      </c>
      <c r="AP471" s="30" t="n">
        <v>60</v>
      </c>
      <c r="AQ471" s="30" t="str">
        <f aca="false">IF(OR(Y471="判定不能",G471="判定不能"),"判定不能",IF(AP471&gt;=判定条件!$C$9,"利用可",IF(AND(Y471="停止",G471="停止"),"両方停止","運転がそろわない")))</f>
        <v>利用可</v>
      </c>
      <c r="AR471" s="30" t="n">
        <v>60</v>
      </c>
      <c r="AS471" s="30" t="n">
        <v>60</v>
      </c>
      <c r="AT471" s="30" t="str">
        <f aca="false">IF(OR(AB471="判定不能",J471="判定不能"),"判定不能",IF(AS471&gt;=判定条件!$C$9,"利用可",IF(AND(AB471="停止",J471="停止"),"両方停止","運転がそろわない")))</f>
        <v>利用可</v>
      </c>
      <c r="AU471" s="30" t="n">
        <v>60</v>
      </c>
      <c r="AV471" s="30" t="n">
        <v>41</v>
      </c>
      <c r="AW471" s="30" t="str">
        <f aca="false">IF(OR(AE471="判定不能",M471="判定不能"),"判定不能",IF(AV471&gt;=判定条件!$C$9,"利用可",IF(AND(AE471="停止",M471="停止"),"両方停止","運転がそろわない")))</f>
        <v>利用可</v>
      </c>
      <c r="AX471" s="30" t="str">
        <f aca="false">IF(AND(AH471="利用可",AK471="利用可",AN471="利用可"),"利用可","不可")</f>
        <v>不可</v>
      </c>
      <c r="AY471" s="30" t="str">
        <f aca="false">IF(AND(AQ471="利用可",AT471="利用可",AW471="利用可"),"利用可","不可")</f>
        <v>利用可</v>
      </c>
    </row>
    <row r="472" customFormat="false" ht="15" hidden="false" customHeight="false" outlineLevel="0" collapsed="false">
      <c r="A472" s="29" t="n">
        <v>46251</v>
      </c>
      <c r="B472" s="30" t="n">
        <v>13</v>
      </c>
      <c r="C472" s="31" t="s">
        <v>66</v>
      </c>
      <c r="D472" s="31" t="s">
        <v>59</v>
      </c>
      <c r="E472" s="30" t="n">
        <v>60</v>
      </c>
      <c r="F472" s="30" t="n">
        <v>60</v>
      </c>
      <c r="G472" s="30" t="str">
        <f aca="false">IF(E472&lt;判定条件!$C$6,"判定不能",IF(F472&gt;=判定条件!$C$7*E472,"運転",IF(F472&lt;=判定条件!$C$8*E472,"停止","断続")))</f>
        <v>運転</v>
      </c>
      <c r="H472" s="30" t="n">
        <v>60</v>
      </c>
      <c r="I472" s="30" t="n">
        <v>60</v>
      </c>
      <c r="J472" s="30" t="str">
        <f aca="false">IF(H472&lt;判定条件!$C$6,"判定不能",IF(I472&gt;=判定条件!$C$7*H472,"運転",IF(I472&lt;=判定条件!$C$8*H472,"停止","断続")))</f>
        <v>運転</v>
      </c>
      <c r="K472" s="30" t="n">
        <v>60</v>
      </c>
      <c r="L472" s="30" t="n">
        <v>60</v>
      </c>
      <c r="M472" s="30" t="str">
        <f aca="false">IF(K472&lt;判定条件!$C$6,"判定不能",IF(L472&gt;=判定条件!$C$7*K472,"運転",IF(L472&lt;=判定条件!$C$8*K472,"停止","断続")))</f>
        <v>運転</v>
      </c>
      <c r="N472" s="30" t="n">
        <v>60</v>
      </c>
      <c r="O472" s="30" t="n">
        <v>60</v>
      </c>
      <c r="P472" s="30" t="str">
        <f aca="false">IF(N472&lt;判定条件!$C$6,"判定不能",IF(O472&gt;=判定条件!$C$7*N472,"運転",IF(O472&lt;=判定条件!$C$8*N472,"停止","断続")))</f>
        <v>運転</v>
      </c>
      <c r="Q472" s="30" t="n">
        <v>0</v>
      </c>
      <c r="R472" s="30" t="n">
        <v>0</v>
      </c>
      <c r="S472" s="30" t="str">
        <f aca="false">IF(Q472&lt;判定条件!$C$6,"判定不能",IF(R472&gt;=判定条件!$C$7*Q472,"運転",IF(R472&lt;=判定条件!$C$8*Q472,"停止","断続")))</f>
        <v>判定不能</v>
      </c>
      <c r="T472" s="30" t="n">
        <v>60</v>
      </c>
      <c r="U472" s="30" t="n">
        <v>60</v>
      </c>
      <c r="V472" s="30" t="str">
        <f aca="false">IF(T472&lt;判定条件!$C$6,"判定不能",IF(U472&gt;=判定条件!$C$7*T472,"運転",IF(U472&lt;=判定条件!$C$8*T472,"停止","断続")))</f>
        <v>運転</v>
      </c>
      <c r="W472" s="30" t="n">
        <v>60</v>
      </c>
      <c r="X472" s="30" t="n">
        <v>52</v>
      </c>
      <c r="Y472" s="30" t="str">
        <f aca="false">IF(W472&lt;判定条件!$C$6,"判定不能",IF(X472&gt;=判定条件!$C$7*W472,"運転",IF(X472&lt;=判定条件!$C$8*W472,"停止","断続")))</f>
        <v>運転</v>
      </c>
      <c r="Z472" s="30" t="n">
        <v>60</v>
      </c>
      <c r="AA472" s="30" t="n">
        <v>60</v>
      </c>
      <c r="AB472" s="30" t="str">
        <f aca="false">IF(Z472&lt;判定条件!$C$6,"判定不能",IF(AA472&gt;=判定条件!$C$7*Z472,"運転",IF(AA472&lt;=判定条件!$C$8*Z472,"停止","断続")))</f>
        <v>運転</v>
      </c>
      <c r="AC472" s="30" t="n">
        <v>60</v>
      </c>
      <c r="AD472" s="30" t="n">
        <v>60</v>
      </c>
      <c r="AE472" s="30" t="str">
        <f aca="false">IF(AC472&lt;判定条件!$C$6,"判定不能",IF(AD472&gt;=判定条件!$C$7*AC472,"運転",IF(AD472&lt;=判定条件!$C$8*AC472,"停止","断続")))</f>
        <v>運転</v>
      </c>
      <c r="AF472" s="30" t="n">
        <v>60</v>
      </c>
      <c r="AG472" s="30" t="n">
        <v>60</v>
      </c>
      <c r="AH472" s="30" t="str">
        <f aca="false">IF(OR(P472="判定不能",G472="判定不能"),"判定不能",IF(AG472&gt;=判定条件!$C$9,"利用可",IF(AND(P472="停止",G472="停止"),"両方停止","運転がそろわない")))</f>
        <v>利用可</v>
      </c>
      <c r="AI472" s="30" t="n">
        <v>0</v>
      </c>
      <c r="AJ472" s="30" t="n">
        <v>0</v>
      </c>
      <c r="AK472" s="30" t="str">
        <f aca="false">IF(OR(S472="判定不能",J472="判定不能"),"判定不能",IF(AJ472&gt;=判定条件!$C$9,"利用可",IF(AND(S472="停止",J472="停止"),"両方停止","運転がそろわない")))</f>
        <v>判定不能</v>
      </c>
      <c r="AL472" s="30" t="n">
        <v>60</v>
      </c>
      <c r="AM472" s="30" t="n">
        <v>60</v>
      </c>
      <c r="AN472" s="30" t="str">
        <f aca="false">IF(OR(V472="判定不能",M472="判定不能"),"判定不能",IF(AM472&gt;=判定条件!$C$9,"利用可",IF(AND(V472="停止",M472="停止"),"両方停止","運転がそろわない")))</f>
        <v>利用可</v>
      </c>
      <c r="AO472" s="30" t="n">
        <v>60</v>
      </c>
      <c r="AP472" s="30" t="n">
        <v>52</v>
      </c>
      <c r="AQ472" s="30" t="str">
        <f aca="false">IF(OR(Y472="判定不能",G472="判定不能"),"判定不能",IF(AP472&gt;=判定条件!$C$9,"利用可",IF(AND(Y472="停止",G472="停止"),"両方停止","運転がそろわない")))</f>
        <v>利用可</v>
      </c>
      <c r="AR472" s="30" t="n">
        <v>60</v>
      </c>
      <c r="AS472" s="30" t="n">
        <v>60</v>
      </c>
      <c r="AT472" s="30" t="str">
        <f aca="false">IF(OR(AB472="判定不能",J472="判定不能"),"判定不能",IF(AS472&gt;=判定条件!$C$9,"利用可",IF(AND(AB472="停止",J472="停止"),"両方停止","運転がそろわない")))</f>
        <v>利用可</v>
      </c>
      <c r="AU472" s="30" t="n">
        <v>60</v>
      </c>
      <c r="AV472" s="30" t="n">
        <v>60</v>
      </c>
      <c r="AW472" s="30" t="str">
        <f aca="false">IF(OR(AE472="判定不能",M472="判定不能"),"判定不能",IF(AV472&gt;=判定条件!$C$9,"利用可",IF(AND(AE472="停止",M472="停止"),"両方停止","運転がそろわない")))</f>
        <v>利用可</v>
      </c>
      <c r="AX472" s="30" t="str">
        <f aca="false">IF(AND(AH472="利用可",AK472="利用可",AN472="利用可"),"利用可","不可")</f>
        <v>不可</v>
      </c>
      <c r="AY472" s="30" t="str">
        <f aca="false">IF(AND(AQ472="利用可",AT472="利用可",AW472="利用可"),"利用可","不可")</f>
        <v>利用可</v>
      </c>
    </row>
    <row r="473" customFormat="false" ht="15" hidden="false" customHeight="false" outlineLevel="0" collapsed="false">
      <c r="A473" s="29" t="n">
        <v>46251</v>
      </c>
      <c r="B473" s="30" t="n">
        <v>14</v>
      </c>
      <c r="C473" s="31" t="s">
        <v>66</v>
      </c>
      <c r="D473" s="31" t="s">
        <v>59</v>
      </c>
      <c r="E473" s="30" t="n">
        <v>60</v>
      </c>
      <c r="F473" s="30" t="n">
        <v>60</v>
      </c>
      <c r="G473" s="30" t="str">
        <f aca="false">IF(E473&lt;判定条件!$C$6,"判定不能",IF(F473&gt;=判定条件!$C$7*E473,"運転",IF(F473&lt;=判定条件!$C$8*E473,"停止","断続")))</f>
        <v>運転</v>
      </c>
      <c r="H473" s="30" t="n">
        <v>60</v>
      </c>
      <c r="I473" s="30" t="n">
        <v>60</v>
      </c>
      <c r="J473" s="30" t="str">
        <f aca="false">IF(H473&lt;判定条件!$C$6,"判定不能",IF(I473&gt;=判定条件!$C$7*H473,"運転",IF(I473&lt;=判定条件!$C$8*H473,"停止","断続")))</f>
        <v>運転</v>
      </c>
      <c r="K473" s="30" t="n">
        <v>60</v>
      </c>
      <c r="L473" s="30" t="n">
        <v>60</v>
      </c>
      <c r="M473" s="30" t="str">
        <f aca="false">IF(K473&lt;判定条件!$C$6,"判定不能",IF(L473&gt;=判定条件!$C$7*K473,"運転",IF(L473&lt;=判定条件!$C$8*K473,"停止","断続")))</f>
        <v>運転</v>
      </c>
      <c r="N473" s="30" t="n">
        <v>60</v>
      </c>
      <c r="O473" s="30" t="n">
        <v>60</v>
      </c>
      <c r="P473" s="30" t="str">
        <f aca="false">IF(N473&lt;判定条件!$C$6,"判定不能",IF(O473&gt;=判定条件!$C$7*N473,"運転",IF(O473&lt;=判定条件!$C$8*N473,"停止","断続")))</f>
        <v>運転</v>
      </c>
      <c r="Q473" s="30" t="n">
        <v>0</v>
      </c>
      <c r="R473" s="30" t="n">
        <v>0</v>
      </c>
      <c r="S473" s="30" t="str">
        <f aca="false">IF(Q473&lt;判定条件!$C$6,"判定不能",IF(R473&gt;=判定条件!$C$7*Q473,"運転",IF(R473&lt;=判定条件!$C$8*Q473,"停止","断続")))</f>
        <v>判定不能</v>
      </c>
      <c r="T473" s="30" t="n">
        <v>60</v>
      </c>
      <c r="U473" s="30" t="n">
        <v>60</v>
      </c>
      <c r="V473" s="30" t="str">
        <f aca="false">IF(T473&lt;判定条件!$C$6,"判定不能",IF(U473&gt;=判定条件!$C$7*T473,"運転",IF(U473&lt;=判定条件!$C$8*T473,"停止","断続")))</f>
        <v>運転</v>
      </c>
      <c r="W473" s="30" t="n">
        <v>60</v>
      </c>
      <c r="X473" s="30" t="n">
        <v>60</v>
      </c>
      <c r="Y473" s="30" t="str">
        <f aca="false">IF(W473&lt;判定条件!$C$6,"判定不能",IF(X473&gt;=判定条件!$C$7*W473,"運転",IF(X473&lt;=判定条件!$C$8*W473,"停止","断続")))</f>
        <v>運転</v>
      </c>
      <c r="Z473" s="30" t="n">
        <v>60</v>
      </c>
      <c r="AA473" s="30" t="n">
        <v>60</v>
      </c>
      <c r="AB473" s="30" t="str">
        <f aca="false">IF(Z473&lt;判定条件!$C$6,"判定不能",IF(AA473&gt;=判定条件!$C$7*Z473,"運転",IF(AA473&lt;=判定条件!$C$8*Z473,"停止","断続")))</f>
        <v>運転</v>
      </c>
      <c r="AC473" s="30" t="n">
        <v>60</v>
      </c>
      <c r="AD473" s="30" t="n">
        <v>51</v>
      </c>
      <c r="AE473" s="30" t="str">
        <f aca="false">IF(AC473&lt;判定条件!$C$6,"判定不能",IF(AD473&gt;=判定条件!$C$7*AC473,"運転",IF(AD473&lt;=判定条件!$C$8*AC473,"停止","断続")))</f>
        <v>運転</v>
      </c>
      <c r="AF473" s="30" t="n">
        <v>60</v>
      </c>
      <c r="AG473" s="30" t="n">
        <v>60</v>
      </c>
      <c r="AH473" s="30" t="str">
        <f aca="false">IF(OR(P473="判定不能",G473="判定不能"),"判定不能",IF(AG473&gt;=判定条件!$C$9,"利用可",IF(AND(P473="停止",G473="停止"),"両方停止","運転がそろわない")))</f>
        <v>利用可</v>
      </c>
      <c r="AI473" s="30" t="n">
        <v>0</v>
      </c>
      <c r="AJ473" s="30" t="n">
        <v>0</v>
      </c>
      <c r="AK473" s="30" t="str">
        <f aca="false">IF(OR(S473="判定不能",J473="判定不能"),"判定不能",IF(AJ473&gt;=判定条件!$C$9,"利用可",IF(AND(S473="停止",J473="停止"),"両方停止","運転がそろわない")))</f>
        <v>判定不能</v>
      </c>
      <c r="AL473" s="30" t="n">
        <v>60</v>
      </c>
      <c r="AM473" s="30" t="n">
        <v>60</v>
      </c>
      <c r="AN473" s="30" t="str">
        <f aca="false">IF(OR(V473="判定不能",M473="判定不能"),"判定不能",IF(AM473&gt;=判定条件!$C$9,"利用可",IF(AND(V473="停止",M473="停止"),"両方停止","運転がそろわない")))</f>
        <v>利用可</v>
      </c>
      <c r="AO473" s="30" t="n">
        <v>60</v>
      </c>
      <c r="AP473" s="30" t="n">
        <v>60</v>
      </c>
      <c r="AQ473" s="30" t="str">
        <f aca="false">IF(OR(Y473="判定不能",G473="判定不能"),"判定不能",IF(AP473&gt;=判定条件!$C$9,"利用可",IF(AND(Y473="停止",G473="停止"),"両方停止","運転がそろわない")))</f>
        <v>利用可</v>
      </c>
      <c r="AR473" s="30" t="n">
        <v>60</v>
      </c>
      <c r="AS473" s="30" t="n">
        <v>60</v>
      </c>
      <c r="AT473" s="30" t="str">
        <f aca="false">IF(OR(AB473="判定不能",J473="判定不能"),"判定不能",IF(AS473&gt;=判定条件!$C$9,"利用可",IF(AND(AB473="停止",J473="停止"),"両方停止","運転がそろわない")))</f>
        <v>利用可</v>
      </c>
      <c r="AU473" s="30" t="n">
        <v>60</v>
      </c>
      <c r="AV473" s="30" t="n">
        <v>51</v>
      </c>
      <c r="AW473" s="30" t="str">
        <f aca="false">IF(OR(AE473="判定不能",M473="判定不能"),"判定不能",IF(AV473&gt;=判定条件!$C$9,"利用可",IF(AND(AE473="停止",M473="停止"),"両方停止","運転がそろわない")))</f>
        <v>利用可</v>
      </c>
      <c r="AX473" s="30" t="str">
        <f aca="false">IF(AND(AH473="利用可",AK473="利用可",AN473="利用可"),"利用可","不可")</f>
        <v>不可</v>
      </c>
      <c r="AY473" s="30" t="str">
        <f aca="false">IF(AND(AQ473="利用可",AT473="利用可",AW473="利用可"),"利用可","不可")</f>
        <v>利用可</v>
      </c>
    </row>
    <row r="474" customFormat="false" ht="15" hidden="false" customHeight="false" outlineLevel="0" collapsed="false">
      <c r="A474" s="29" t="n">
        <v>46251</v>
      </c>
      <c r="B474" s="30" t="n">
        <v>15</v>
      </c>
      <c r="C474" s="31" t="s">
        <v>66</v>
      </c>
      <c r="D474" s="31" t="s">
        <v>59</v>
      </c>
      <c r="E474" s="30" t="n">
        <v>60</v>
      </c>
      <c r="F474" s="30" t="n">
        <v>60</v>
      </c>
      <c r="G474" s="30" t="str">
        <f aca="false">IF(E474&lt;判定条件!$C$6,"判定不能",IF(F474&gt;=判定条件!$C$7*E474,"運転",IF(F474&lt;=判定条件!$C$8*E474,"停止","断続")))</f>
        <v>運転</v>
      </c>
      <c r="H474" s="30" t="n">
        <v>60</v>
      </c>
      <c r="I474" s="30" t="n">
        <v>60</v>
      </c>
      <c r="J474" s="30" t="str">
        <f aca="false">IF(H474&lt;判定条件!$C$6,"判定不能",IF(I474&gt;=判定条件!$C$7*H474,"運転",IF(I474&lt;=判定条件!$C$8*H474,"停止","断続")))</f>
        <v>運転</v>
      </c>
      <c r="K474" s="30" t="n">
        <v>60</v>
      </c>
      <c r="L474" s="30" t="n">
        <v>60</v>
      </c>
      <c r="M474" s="30" t="str">
        <f aca="false">IF(K474&lt;判定条件!$C$6,"判定不能",IF(L474&gt;=判定条件!$C$7*K474,"運転",IF(L474&lt;=判定条件!$C$8*K474,"停止","断続")))</f>
        <v>運転</v>
      </c>
      <c r="N474" s="30" t="n">
        <v>60</v>
      </c>
      <c r="O474" s="30" t="n">
        <v>60</v>
      </c>
      <c r="P474" s="30" t="str">
        <f aca="false">IF(N474&lt;判定条件!$C$6,"判定不能",IF(O474&gt;=判定条件!$C$7*N474,"運転",IF(O474&lt;=判定条件!$C$8*N474,"停止","断続")))</f>
        <v>運転</v>
      </c>
      <c r="Q474" s="30" t="n">
        <v>0</v>
      </c>
      <c r="R474" s="30" t="n">
        <v>0</v>
      </c>
      <c r="S474" s="30" t="str">
        <f aca="false">IF(Q474&lt;判定条件!$C$6,"判定不能",IF(R474&gt;=判定条件!$C$7*Q474,"運転",IF(R474&lt;=判定条件!$C$8*Q474,"停止","断続")))</f>
        <v>判定不能</v>
      </c>
      <c r="T474" s="30" t="n">
        <v>60</v>
      </c>
      <c r="U474" s="30" t="n">
        <v>60</v>
      </c>
      <c r="V474" s="30" t="str">
        <f aca="false">IF(T474&lt;判定条件!$C$6,"判定不能",IF(U474&gt;=判定条件!$C$7*T474,"運転",IF(U474&lt;=判定条件!$C$8*T474,"停止","断続")))</f>
        <v>運転</v>
      </c>
      <c r="W474" s="30" t="n">
        <v>60</v>
      </c>
      <c r="X474" s="30" t="n">
        <v>34</v>
      </c>
      <c r="Y474" s="30" t="str">
        <f aca="false">IF(W474&lt;判定条件!$C$6,"判定不能",IF(X474&gt;=判定条件!$C$7*W474,"運転",IF(X474&lt;=判定条件!$C$8*W474,"停止","断続")))</f>
        <v>断続</v>
      </c>
      <c r="Z474" s="30" t="n">
        <v>60</v>
      </c>
      <c r="AA474" s="30" t="n">
        <v>60</v>
      </c>
      <c r="AB474" s="30" t="str">
        <f aca="false">IF(Z474&lt;判定条件!$C$6,"判定不能",IF(AA474&gt;=判定条件!$C$7*Z474,"運転",IF(AA474&lt;=判定条件!$C$8*Z474,"停止","断続")))</f>
        <v>運転</v>
      </c>
      <c r="AC474" s="30" t="n">
        <v>60</v>
      </c>
      <c r="AD474" s="30" t="n">
        <v>46</v>
      </c>
      <c r="AE474" s="30" t="str">
        <f aca="false">IF(AC474&lt;判定条件!$C$6,"判定不能",IF(AD474&gt;=判定条件!$C$7*AC474,"運転",IF(AD474&lt;=判定条件!$C$8*AC474,"停止","断続")))</f>
        <v>断続</v>
      </c>
      <c r="AF474" s="30" t="n">
        <v>60</v>
      </c>
      <c r="AG474" s="30" t="n">
        <v>60</v>
      </c>
      <c r="AH474" s="30" t="str">
        <f aca="false">IF(OR(P474="判定不能",G474="判定不能"),"判定不能",IF(AG474&gt;=判定条件!$C$9,"利用可",IF(AND(P474="停止",G474="停止"),"両方停止","運転がそろわない")))</f>
        <v>利用可</v>
      </c>
      <c r="AI474" s="30" t="n">
        <v>0</v>
      </c>
      <c r="AJ474" s="30" t="n">
        <v>0</v>
      </c>
      <c r="AK474" s="30" t="str">
        <f aca="false">IF(OR(S474="判定不能",J474="判定不能"),"判定不能",IF(AJ474&gt;=判定条件!$C$9,"利用可",IF(AND(S474="停止",J474="停止"),"両方停止","運転がそろわない")))</f>
        <v>判定不能</v>
      </c>
      <c r="AL474" s="30" t="n">
        <v>60</v>
      </c>
      <c r="AM474" s="30" t="n">
        <v>60</v>
      </c>
      <c r="AN474" s="30" t="str">
        <f aca="false">IF(OR(V474="判定不能",M474="判定不能"),"判定不能",IF(AM474&gt;=判定条件!$C$9,"利用可",IF(AND(V474="停止",M474="停止"),"両方停止","運転がそろわない")))</f>
        <v>利用可</v>
      </c>
      <c r="AO474" s="30" t="n">
        <v>60</v>
      </c>
      <c r="AP474" s="30" t="n">
        <v>34</v>
      </c>
      <c r="AQ474" s="30" t="str">
        <f aca="false">IF(OR(Y474="判定不能",G474="判定不能"),"判定不能",IF(AP474&gt;=判定条件!$C$9,"利用可",IF(AND(Y474="停止",G474="停止"),"両方停止","運転がそろわない")))</f>
        <v>利用可</v>
      </c>
      <c r="AR474" s="30" t="n">
        <v>60</v>
      </c>
      <c r="AS474" s="30" t="n">
        <v>60</v>
      </c>
      <c r="AT474" s="30" t="str">
        <f aca="false">IF(OR(AB474="判定不能",J474="判定不能"),"判定不能",IF(AS474&gt;=判定条件!$C$9,"利用可",IF(AND(AB474="停止",J474="停止"),"両方停止","運転がそろわない")))</f>
        <v>利用可</v>
      </c>
      <c r="AU474" s="30" t="n">
        <v>60</v>
      </c>
      <c r="AV474" s="30" t="n">
        <v>46</v>
      </c>
      <c r="AW474" s="30" t="str">
        <f aca="false">IF(OR(AE474="判定不能",M474="判定不能"),"判定不能",IF(AV474&gt;=判定条件!$C$9,"利用可",IF(AND(AE474="停止",M474="停止"),"両方停止","運転がそろわない")))</f>
        <v>利用可</v>
      </c>
      <c r="AX474" s="30" t="str">
        <f aca="false">IF(AND(AH474="利用可",AK474="利用可",AN474="利用可"),"利用可","不可")</f>
        <v>不可</v>
      </c>
      <c r="AY474" s="30" t="str">
        <f aca="false">IF(AND(AQ474="利用可",AT474="利用可",AW474="利用可"),"利用可","不可")</f>
        <v>利用可</v>
      </c>
    </row>
    <row r="475" customFormat="false" ht="15" hidden="false" customHeight="false" outlineLevel="0" collapsed="false">
      <c r="A475" s="29" t="n">
        <v>46251</v>
      </c>
      <c r="B475" s="30" t="n">
        <v>16</v>
      </c>
      <c r="C475" s="31" t="s">
        <v>66</v>
      </c>
      <c r="D475" s="31" t="s">
        <v>59</v>
      </c>
      <c r="E475" s="30" t="n">
        <v>60</v>
      </c>
      <c r="F475" s="30" t="n">
        <v>60</v>
      </c>
      <c r="G475" s="30" t="str">
        <f aca="false">IF(E475&lt;判定条件!$C$6,"判定不能",IF(F475&gt;=判定条件!$C$7*E475,"運転",IF(F475&lt;=判定条件!$C$8*E475,"停止","断続")))</f>
        <v>運転</v>
      </c>
      <c r="H475" s="30" t="n">
        <v>60</v>
      </c>
      <c r="I475" s="30" t="n">
        <v>60</v>
      </c>
      <c r="J475" s="30" t="str">
        <f aca="false">IF(H475&lt;判定条件!$C$6,"判定不能",IF(I475&gt;=判定条件!$C$7*H475,"運転",IF(I475&lt;=判定条件!$C$8*H475,"停止","断続")))</f>
        <v>運転</v>
      </c>
      <c r="K475" s="30" t="n">
        <v>60</v>
      </c>
      <c r="L475" s="30" t="n">
        <v>60</v>
      </c>
      <c r="M475" s="30" t="str">
        <f aca="false">IF(K475&lt;判定条件!$C$6,"判定不能",IF(L475&gt;=判定条件!$C$7*K475,"運転",IF(L475&lt;=判定条件!$C$8*K475,"停止","断続")))</f>
        <v>運転</v>
      </c>
      <c r="N475" s="30" t="n">
        <v>60</v>
      </c>
      <c r="O475" s="30" t="n">
        <v>60</v>
      </c>
      <c r="P475" s="30" t="str">
        <f aca="false">IF(N475&lt;判定条件!$C$6,"判定不能",IF(O475&gt;=判定条件!$C$7*N475,"運転",IF(O475&lt;=判定条件!$C$8*N475,"停止","断続")))</f>
        <v>運転</v>
      </c>
      <c r="Q475" s="30" t="n">
        <v>0</v>
      </c>
      <c r="R475" s="30" t="n">
        <v>0</v>
      </c>
      <c r="S475" s="30" t="str">
        <f aca="false">IF(Q475&lt;判定条件!$C$6,"判定不能",IF(R475&gt;=判定条件!$C$7*Q475,"運転",IF(R475&lt;=判定条件!$C$8*Q475,"停止","断続")))</f>
        <v>判定不能</v>
      </c>
      <c r="T475" s="30" t="n">
        <v>60</v>
      </c>
      <c r="U475" s="30" t="n">
        <v>60</v>
      </c>
      <c r="V475" s="30" t="str">
        <f aca="false">IF(T475&lt;判定条件!$C$6,"判定不能",IF(U475&gt;=判定条件!$C$7*T475,"運転",IF(U475&lt;=判定条件!$C$8*T475,"停止","断続")))</f>
        <v>運転</v>
      </c>
      <c r="W475" s="30" t="n">
        <v>60</v>
      </c>
      <c r="X475" s="30" t="n">
        <v>56</v>
      </c>
      <c r="Y475" s="30" t="str">
        <f aca="false">IF(W475&lt;判定条件!$C$6,"判定不能",IF(X475&gt;=判定条件!$C$7*W475,"運転",IF(X475&lt;=判定条件!$C$8*W475,"停止","断続")))</f>
        <v>運転</v>
      </c>
      <c r="Z475" s="30" t="n">
        <v>60</v>
      </c>
      <c r="AA475" s="30" t="n">
        <v>52</v>
      </c>
      <c r="AB475" s="30" t="str">
        <f aca="false">IF(Z475&lt;判定条件!$C$6,"判定不能",IF(AA475&gt;=判定条件!$C$7*Z475,"運転",IF(AA475&lt;=判定条件!$C$8*Z475,"停止","断続")))</f>
        <v>運転</v>
      </c>
      <c r="AC475" s="30" t="n">
        <v>60</v>
      </c>
      <c r="AD475" s="30" t="n">
        <v>44</v>
      </c>
      <c r="AE475" s="30" t="str">
        <f aca="false">IF(AC475&lt;判定条件!$C$6,"判定不能",IF(AD475&gt;=判定条件!$C$7*AC475,"運転",IF(AD475&lt;=判定条件!$C$8*AC475,"停止","断続")))</f>
        <v>断続</v>
      </c>
      <c r="AF475" s="30" t="n">
        <v>60</v>
      </c>
      <c r="AG475" s="30" t="n">
        <v>60</v>
      </c>
      <c r="AH475" s="30" t="str">
        <f aca="false">IF(OR(P475="判定不能",G475="判定不能"),"判定不能",IF(AG475&gt;=判定条件!$C$9,"利用可",IF(AND(P475="停止",G475="停止"),"両方停止","運転がそろわない")))</f>
        <v>利用可</v>
      </c>
      <c r="AI475" s="30" t="n">
        <v>0</v>
      </c>
      <c r="AJ475" s="30" t="n">
        <v>0</v>
      </c>
      <c r="AK475" s="30" t="str">
        <f aca="false">IF(OR(S475="判定不能",J475="判定不能"),"判定不能",IF(AJ475&gt;=判定条件!$C$9,"利用可",IF(AND(S475="停止",J475="停止"),"両方停止","運転がそろわない")))</f>
        <v>判定不能</v>
      </c>
      <c r="AL475" s="30" t="n">
        <v>60</v>
      </c>
      <c r="AM475" s="30" t="n">
        <v>60</v>
      </c>
      <c r="AN475" s="30" t="str">
        <f aca="false">IF(OR(V475="判定不能",M475="判定不能"),"判定不能",IF(AM475&gt;=判定条件!$C$9,"利用可",IF(AND(V475="停止",M475="停止"),"両方停止","運転がそろわない")))</f>
        <v>利用可</v>
      </c>
      <c r="AO475" s="30" t="n">
        <v>60</v>
      </c>
      <c r="AP475" s="30" t="n">
        <v>56</v>
      </c>
      <c r="AQ475" s="30" t="str">
        <f aca="false">IF(OR(Y475="判定不能",G475="判定不能"),"判定不能",IF(AP475&gt;=判定条件!$C$9,"利用可",IF(AND(Y475="停止",G475="停止"),"両方停止","運転がそろわない")))</f>
        <v>利用可</v>
      </c>
      <c r="AR475" s="30" t="n">
        <v>60</v>
      </c>
      <c r="AS475" s="30" t="n">
        <v>52</v>
      </c>
      <c r="AT475" s="30" t="str">
        <f aca="false">IF(OR(AB475="判定不能",J475="判定不能"),"判定不能",IF(AS475&gt;=判定条件!$C$9,"利用可",IF(AND(AB475="停止",J475="停止"),"両方停止","運転がそろわない")))</f>
        <v>利用可</v>
      </c>
      <c r="AU475" s="30" t="n">
        <v>60</v>
      </c>
      <c r="AV475" s="30" t="n">
        <v>44</v>
      </c>
      <c r="AW475" s="30" t="str">
        <f aca="false">IF(OR(AE475="判定不能",M475="判定不能"),"判定不能",IF(AV475&gt;=判定条件!$C$9,"利用可",IF(AND(AE475="停止",M475="停止"),"両方停止","運転がそろわない")))</f>
        <v>利用可</v>
      </c>
      <c r="AX475" s="30" t="str">
        <f aca="false">IF(AND(AH475="利用可",AK475="利用可",AN475="利用可"),"利用可","不可")</f>
        <v>不可</v>
      </c>
      <c r="AY475" s="30" t="str">
        <f aca="false">IF(AND(AQ475="利用可",AT475="利用可",AW475="利用可"),"利用可","不可")</f>
        <v>利用可</v>
      </c>
    </row>
    <row r="476" customFormat="false" ht="15" hidden="false" customHeight="false" outlineLevel="0" collapsed="false">
      <c r="A476" s="29" t="n">
        <v>46251</v>
      </c>
      <c r="B476" s="30" t="n">
        <v>17</v>
      </c>
      <c r="C476" s="31" t="s">
        <v>66</v>
      </c>
      <c r="D476" s="31" t="s">
        <v>59</v>
      </c>
      <c r="E476" s="30" t="n">
        <v>60</v>
      </c>
      <c r="F476" s="30" t="n">
        <v>60</v>
      </c>
      <c r="G476" s="30" t="str">
        <f aca="false">IF(E476&lt;判定条件!$C$6,"判定不能",IF(F476&gt;=判定条件!$C$7*E476,"運転",IF(F476&lt;=判定条件!$C$8*E476,"停止","断続")))</f>
        <v>運転</v>
      </c>
      <c r="H476" s="30" t="n">
        <v>60</v>
      </c>
      <c r="I476" s="30" t="n">
        <v>54</v>
      </c>
      <c r="J476" s="30" t="str">
        <f aca="false">IF(H476&lt;判定条件!$C$6,"判定不能",IF(I476&gt;=判定条件!$C$7*H476,"運転",IF(I476&lt;=判定条件!$C$8*H476,"停止","断続")))</f>
        <v>運転</v>
      </c>
      <c r="K476" s="30" t="n">
        <v>60</v>
      </c>
      <c r="L476" s="30" t="n">
        <v>60</v>
      </c>
      <c r="M476" s="30" t="str">
        <f aca="false">IF(K476&lt;判定条件!$C$6,"判定不能",IF(L476&gt;=判定条件!$C$7*K476,"運転",IF(L476&lt;=判定条件!$C$8*K476,"停止","断続")))</f>
        <v>運転</v>
      </c>
      <c r="N476" s="30" t="n">
        <v>60</v>
      </c>
      <c r="O476" s="30" t="n">
        <v>44</v>
      </c>
      <c r="P476" s="30" t="str">
        <f aca="false">IF(N476&lt;判定条件!$C$6,"判定不能",IF(O476&gt;=判定条件!$C$7*N476,"運転",IF(O476&lt;=判定条件!$C$8*N476,"停止","断続")))</f>
        <v>断続</v>
      </c>
      <c r="Q476" s="30" t="n">
        <v>0</v>
      </c>
      <c r="R476" s="30" t="n">
        <v>0</v>
      </c>
      <c r="S476" s="30" t="str">
        <f aca="false">IF(Q476&lt;判定条件!$C$6,"判定不能",IF(R476&gt;=判定条件!$C$7*Q476,"運転",IF(R476&lt;=判定条件!$C$8*Q476,"停止","断続")))</f>
        <v>判定不能</v>
      </c>
      <c r="T476" s="30" t="n">
        <v>60</v>
      </c>
      <c r="U476" s="30" t="n">
        <v>60</v>
      </c>
      <c r="V476" s="30" t="str">
        <f aca="false">IF(T476&lt;判定条件!$C$6,"判定不能",IF(U476&gt;=判定条件!$C$7*T476,"運転",IF(U476&lt;=判定条件!$C$8*T476,"停止","断続")))</f>
        <v>運転</v>
      </c>
      <c r="W476" s="30" t="n">
        <v>60</v>
      </c>
      <c r="X476" s="30" t="n">
        <v>30</v>
      </c>
      <c r="Y476" s="30" t="str">
        <f aca="false">IF(W476&lt;判定条件!$C$6,"判定不能",IF(X476&gt;=判定条件!$C$7*W476,"運転",IF(X476&lt;=判定条件!$C$8*W476,"停止","断続")))</f>
        <v>断続</v>
      </c>
      <c r="Z476" s="30" t="n">
        <v>60</v>
      </c>
      <c r="AA476" s="30" t="n">
        <v>22</v>
      </c>
      <c r="AB476" s="30" t="str">
        <f aca="false">IF(Z476&lt;判定条件!$C$6,"判定不能",IF(AA476&gt;=判定条件!$C$7*Z476,"運転",IF(AA476&lt;=判定条件!$C$8*Z476,"停止","断続")))</f>
        <v>断続</v>
      </c>
      <c r="AC476" s="30" t="n">
        <v>60</v>
      </c>
      <c r="AD476" s="30" t="n">
        <v>50</v>
      </c>
      <c r="AE476" s="30" t="str">
        <f aca="false">IF(AC476&lt;判定条件!$C$6,"判定不能",IF(AD476&gt;=判定条件!$C$7*AC476,"運転",IF(AD476&lt;=判定条件!$C$8*AC476,"停止","断続")))</f>
        <v>運転</v>
      </c>
      <c r="AF476" s="30" t="n">
        <v>60</v>
      </c>
      <c r="AG476" s="30" t="n">
        <v>44</v>
      </c>
      <c r="AH476" s="30" t="str">
        <f aca="false">IF(OR(P476="判定不能",G476="判定不能"),"判定不能",IF(AG476&gt;=判定条件!$C$9,"利用可",IF(AND(P476="停止",G476="停止"),"両方停止","運転がそろわない")))</f>
        <v>利用可</v>
      </c>
      <c r="AI476" s="30" t="n">
        <v>0</v>
      </c>
      <c r="AJ476" s="30" t="n">
        <v>0</v>
      </c>
      <c r="AK476" s="30" t="str">
        <f aca="false">IF(OR(S476="判定不能",J476="判定不能"),"判定不能",IF(AJ476&gt;=判定条件!$C$9,"利用可",IF(AND(S476="停止",J476="停止"),"両方停止","運転がそろわない")))</f>
        <v>判定不能</v>
      </c>
      <c r="AL476" s="30" t="n">
        <v>60</v>
      </c>
      <c r="AM476" s="30" t="n">
        <v>60</v>
      </c>
      <c r="AN476" s="30" t="str">
        <f aca="false">IF(OR(V476="判定不能",M476="判定不能"),"判定不能",IF(AM476&gt;=判定条件!$C$9,"利用可",IF(AND(V476="停止",M476="停止"),"両方停止","運転がそろわない")))</f>
        <v>利用可</v>
      </c>
      <c r="AO476" s="30" t="n">
        <v>60</v>
      </c>
      <c r="AP476" s="30" t="n">
        <v>30</v>
      </c>
      <c r="AQ476" s="30" t="str">
        <f aca="false">IF(OR(Y476="判定不能",G476="判定不能"),"判定不能",IF(AP476&gt;=判定条件!$C$9,"利用可",IF(AND(Y476="停止",G476="停止"),"両方停止","運転がそろわない")))</f>
        <v>利用可</v>
      </c>
      <c r="AR476" s="30" t="n">
        <v>60</v>
      </c>
      <c r="AS476" s="30" t="n">
        <v>20</v>
      </c>
      <c r="AT476" s="30" t="str">
        <f aca="false">IF(OR(AB476="判定不能",J476="判定不能"),"判定不能",IF(AS476&gt;=判定条件!$C$9,"利用可",IF(AND(AB476="停止",J476="停止"),"両方停止","運転がそろわない")))</f>
        <v>運転がそろわない</v>
      </c>
      <c r="AU476" s="30" t="n">
        <v>60</v>
      </c>
      <c r="AV476" s="30" t="n">
        <v>50</v>
      </c>
      <c r="AW476" s="30" t="str">
        <f aca="false">IF(OR(AE476="判定不能",M476="判定不能"),"判定不能",IF(AV476&gt;=判定条件!$C$9,"利用可",IF(AND(AE476="停止",M476="停止"),"両方停止","運転がそろわない")))</f>
        <v>利用可</v>
      </c>
      <c r="AX476" s="30" t="str">
        <f aca="false">IF(AND(AH476="利用可",AK476="利用可",AN476="利用可"),"利用可","不可")</f>
        <v>不可</v>
      </c>
      <c r="AY476" s="30" t="str">
        <f aca="false">IF(AND(AQ476="利用可",AT476="利用可",AW476="利用可"),"利用可","不可")</f>
        <v>不可</v>
      </c>
    </row>
    <row r="477" customFormat="false" ht="15" hidden="false" customHeight="false" outlineLevel="0" collapsed="false">
      <c r="A477" s="29" t="n">
        <v>46251</v>
      </c>
      <c r="B477" s="30" t="n">
        <v>18</v>
      </c>
      <c r="C477" s="31" t="s">
        <v>66</v>
      </c>
      <c r="D477" s="31" t="s">
        <v>59</v>
      </c>
      <c r="E477" s="30" t="n">
        <v>60</v>
      </c>
      <c r="F477" s="30" t="n">
        <v>60</v>
      </c>
      <c r="G477" s="30" t="str">
        <f aca="false">IF(E477&lt;判定条件!$C$6,"判定不能",IF(F477&gt;=判定条件!$C$7*E477,"運転",IF(F477&lt;=判定条件!$C$8*E477,"停止","断続")))</f>
        <v>運転</v>
      </c>
      <c r="H477" s="30" t="n">
        <v>60</v>
      </c>
      <c r="I477" s="30" t="n">
        <v>60</v>
      </c>
      <c r="J477" s="30" t="str">
        <f aca="false">IF(H477&lt;判定条件!$C$6,"判定不能",IF(I477&gt;=判定条件!$C$7*H477,"運転",IF(I477&lt;=判定条件!$C$8*H477,"停止","断続")))</f>
        <v>運転</v>
      </c>
      <c r="K477" s="30" t="n">
        <v>60</v>
      </c>
      <c r="L477" s="30" t="n">
        <v>60</v>
      </c>
      <c r="M477" s="30" t="str">
        <f aca="false">IF(K477&lt;判定条件!$C$6,"判定不能",IF(L477&gt;=判定条件!$C$7*K477,"運転",IF(L477&lt;=判定条件!$C$8*K477,"停止","断続")))</f>
        <v>運転</v>
      </c>
      <c r="N477" s="30" t="n">
        <v>60</v>
      </c>
      <c r="O477" s="30" t="n">
        <v>12</v>
      </c>
      <c r="P477" s="30" t="str">
        <f aca="false">IF(N477&lt;判定条件!$C$6,"判定不能",IF(O477&gt;=判定条件!$C$7*N477,"運転",IF(O477&lt;=判定条件!$C$8*N477,"停止","断続")))</f>
        <v>停止</v>
      </c>
      <c r="Q477" s="30" t="n">
        <v>0</v>
      </c>
      <c r="R477" s="30" t="n">
        <v>0</v>
      </c>
      <c r="S477" s="30" t="str">
        <f aca="false">IF(Q477&lt;判定条件!$C$6,"判定不能",IF(R477&gt;=判定条件!$C$7*Q477,"運転",IF(R477&lt;=判定条件!$C$8*Q477,"停止","断続")))</f>
        <v>判定不能</v>
      </c>
      <c r="T477" s="30" t="n">
        <v>60</v>
      </c>
      <c r="U477" s="30" t="n">
        <v>29</v>
      </c>
      <c r="V477" s="30" t="str">
        <f aca="false">IF(T477&lt;判定条件!$C$6,"判定不能",IF(U477&gt;=判定条件!$C$7*T477,"運転",IF(U477&lt;=判定条件!$C$8*T477,"停止","断続")))</f>
        <v>断続</v>
      </c>
      <c r="W477" s="30" t="n">
        <v>60</v>
      </c>
      <c r="X477" s="30" t="n">
        <v>48</v>
      </c>
      <c r="Y477" s="30" t="str">
        <f aca="false">IF(W477&lt;判定条件!$C$6,"判定不能",IF(X477&gt;=判定条件!$C$7*W477,"運転",IF(X477&lt;=判定条件!$C$8*W477,"停止","断続")))</f>
        <v>運転</v>
      </c>
      <c r="Z477" s="30" t="n">
        <v>60</v>
      </c>
      <c r="AA477" s="30" t="n">
        <v>47</v>
      </c>
      <c r="AB477" s="30" t="str">
        <f aca="false">IF(Z477&lt;判定条件!$C$6,"判定不能",IF(AA477&gt;=判定条件!$C$7*Z477,"運転",IF(AA477&lt;=判定条件!$C$8*Z477,"停止","断続")))</f>
        <v>断続</v>
      </c>
      <c r="AC477" s="30" t="n">
        <v>60</v>
      </c>
      <c r="AD477" s="30" t="n">
        <v>60</v>
      </c>
      <c r="AE477" s="30" t="str">
        <f aca="false">IF(AC477&lt;判定条件!$C$6,"判定不能",IF(AD477&gt;=判定条件!$C$7*AC477,"運転",IF(AD477&lt;=判定条件!$C$8*AC477,"停止","断続")))</f>
        <v>運転</v>
      </c>
      <c r="AF477" s="30" t="n">
        <v>60</v>
      </c>
      <c r="AG477" s="30" t="n">
        <v>12</v>
      </c>
      <c r="AH477" s="30" t="str">
        <f aca="false">IF(OR(P477="判定不能",G477="判定不能"),"判定不能",IF(AG477&gt;=判定条件!$C$9,"利用可",IF(AND(P477="停止",G477="停止"),"両方停止","運転がそろわない")))</f>
        <v>運転がそろわない</v>
      </c>
      <c r="AI477" s="30" t="n">
        <v>0</v>
      </c>
      <c r="AJ477" s="30" t="n">
        <v>0</v>
      </c>
      <c r="AK477" s="30" t="str">
        <f aca="false">IF(OR(S477="判定不能",J477="判定不能"),"判定不能",IF(AJ477&gt;=判定条件!$C$9,"利用可",IF(AND(S477="停止",J477="停止"),"両方停止","運転がそろわない")))</f>
        <v>判定不能</v>
      </c>
      <c r="AL477" s="30" t="n">
        <v>60</v>
      </c>
      <c r="AM477" s="30" t="n">
        <v>29</v>
      </c>
      <c r="AN477" s="30" t="str">
        <f aca="false">IF(OR(V477="判定不能",M477="判定不能"),"判定不能",IF(AM477&gt;=判定条件!$C$9,"利用可",IF(AND(V477="停止",M477="停止"),"両方停止","運転がそろわない")))</f>
        <v>運転がそろわない</v>
      </c>
      <c r="AO477" s="30" t="n">
        <v>60</v>
      </c>
      <c r="AP477" s="30" t="n">
        <v>48</v>
      </c>
      <c r="AQ477" s="30" t="str">
        <f aca="false">IF(OR(Y477="判定不能",G477="判定不能"),"判定不能",IF(AP477&gt;=判定条件!$C$9,"利用可",IF(AND(Y477="停止",G477="停止"),"両方停止","運転がそろわない")))</f>
        <v>利用可</v>
      </c>
      <c r="AR477" s="30" t="n">
        <v>60</v>
      </c>
      <c r="AS477" s="30" t="n">
        <v>47</v>
      </c>
      <c r="AT477" s="30" t="str">
        <f aca="false">IF(OR(AB477="判定不能",J477="判定不能"),"判定不能",IF(AS477&gt;=判定条件!$C$9,"利用可",IF(AND(AB477="停止",J477="停止"),"両方停止","運転がそろわない")))</f>
        <v>利用可</v>
      </c>
      <c r="AU477" s="30" t="n">
        <v>60</v>
      </c>
      <c r="AV477" s="30" t="n">
        <v>60</v>
      </c>
      <c r="AW477" s="30" t="str">
        <f aca="false">IF(OR(AE477="判定不能",M477="判定不能"),"判定不能",IF(AV477&gt;=判定条件!$C$9,"利用可",IF(AND(AE477="停止",M477="停止"),"両方停止","運転がそろわない")))</f>
        <v>利用可</v>
      </c>
      <c r="AX477" s="30" t="str">
        <f aca="false">IF(AND(AH477="利用可",AK477="利用可",AN477="利用可"),"利用可","不可")</f>
        <v>不可</v>
      </c>
      <c r="AY477" s="30" t="str">
        <f aca="false">IF(AND(AQ477="利用可",AT477="利用可",AW477="利用可"),"利用可","不可")</f>
        <v>利用可</v>
      </c>
    </row>
    <row r="478" customFormat="false" ht="15" hidden="false" customHeight="false" outlineLevel="0" collapsed="false">
      <c r="A478" s="29" t="n">
        <v>46251</v>
      </c>
      <c r="B478" s="30" t="n">
        <v>19</v>
      </c>
      <c r="C478" s="31" t="s">
        <v>66</v>
      </c>
      <c r="D478" s="31" t="s">
        <v>59</v>
      </c>
      <c r="E478" s="30" t="n">
        <v>60</v>
      </c>
      <c r="F478" s="30" t="n">
        <v>60</v>
      </c>
      <c r="G478" s="30" t="str">
        <f aca="false">IF(E478&lt;判定条件!$C$6,"判定不能",IF(F478&gt;=判定条件!$C$7*E478,"運転",IF(F478&lt;=判定条件!$C$8*E478,"停止","断続")))</f>
        <v>運転</v>
      </c>
      <c r="H478" s="30" t="n">
        <v>60</v>
      </c>
      <c r="I478" s="30" t="n">
        <v>60</v>
      </c>
      <c r="J478" s="30" t="str">
        <f aca="false">IF(H478&lt;判定条件!$C$6,"判定不能",IF(I478&gt;=判定条件!$C$7*H478,"運転",IF(I478&lt;=判定条件!$C$8*H478,"停止","断続")))</f>
        <v>運転</v>
      </c>
      <c r="K478" s="30" t="n">
        <v>60</v>
      </c>
      <c r="L478" s="30" t="n">
        <v>60</v>
      </c>
      <c r="M478" s="30" t="str">
        <f aca="false">IF(K478&lt;判定条件!$C$6,"判定不能",IF(L478&gt;=判定条件!$C$7*K478,"運転",IF(L478&lt;=判定条件!$C$8*K478,"停止","断続")))</f>
        <v>運転</v>
      </c>
      <c r="N478" s="30" t="n">
        <v>60</v>
      </c>
      <c r="O478" s="30" t="n">
        <v>0</v>
      </c>
      <c r="P478" s="30" t="str">
        <f aca="false">IF(N478&lt;判定条件!$C$6,"判定不能",IF(O478&gt;=判定条件!$C$7*N478,"運転",IF(O478&lt;=判定条件!$C$8*N478,"停止","断続")))</f>
        <v>停止</v>
      </c>
      <c r="Q478" s="30" t="n">
        <v>0</v>
      </c>
      <c r="R478" s="30" t="n">
        <v>0</v>
      </c>
      <c r="S478" s="30" t="str">
        <f aca="false">IF(Q478&lt;判定条件!$C$6,"判定不能",IF(R478&gt;=判定条件!$C$7*Q478,"運転",IF(R478&lt;=判定条件!$C$8*Q478,"停止","断続")))</f>
        <v>判定不能</v>
      </c>
      <c r="T478" s="30" t="n">
        <v>60</v>
      </c>
      <c r="U478" s="30" t="n">
        <v>43</v>
      </c>
      <c r="V478" s="30" t="str">
        <f aca="false">IF(T478&lt;判定条件!$C$6,"判定不能",IF(U478&gt;=判定条件!$C$7*T478,"運転",IF(U478&lt;=判定条件!$C$8*T478,"停止","断続")))</f>
        <v>断続</v>
      </c>
      <c r="W478" s="30" t="n">
        <v>60</v>
      </c>
      <c r="X478" s="30" t="n">
        <v>18</v>
      </c>
      <c r="Y478" s="30" t="str">
        <f aca="false">IF(W478&lt;判定条件!$C$6,"判定不能",IF(X478&gt;=判定条件!$C$7*W478,"運転",IF(X478&lt;=判定条件!$C$8*W478,"停止","断続")))</f>
        <v>断続</v>
      </c>
      <c r="Z478" s="30" t="n">
        <v>60</v>
      </c>
      <c r="AA478" s="30" t="n">
        <v>25</v>
      </c>
      <c r="AB478" s="30" t="str">
        <f aca="false">IF(Z478&lt;判定条件!$C$6,"判定不能",IF(AA478&gt;=判定条件!$C$7*Z478,"運転",IF(AA478&lt;=判定条件!$C$8*Z478,"停止","断続")))</f>
        <v>断続</v>
      </c>
      <c r="AC478" s="30" t="n">
        <v>60</v>
      </c>
      <c r="AD478" s="30" t="n">
        <v>5</v>
      </c>
      <c r="AE478" s="30" t="str">
        <f aca="false">IF(AC478&lt;判定条件!$C$6,"判定不能",IF(AD478&gt;=判定条件!$C$7*AC478,"運転",IF(AD478&lt;=判定条件!$C$8*AC478,"停止","断続")))</f>
        <v>停止</v>
      </c>
      <c r="AF478" s="30" t="n">
        <v>60</v>
      </c>
      <c r="AG478" s="30" t="n">
        <v>0</v>
      </c>
      <c r="AH478" s="30" t="str">
        <f aca="false">IF(OR(P478="判定不能",G478="判定不能"),"判定不能",IF(AG478&gt;=判定条件!$C$9,"利用可",IF(AND(P478="停止",G478="停止"),"両方停止","運転がそろわない")))</f>
        <v>運転がそろわない</v>
      </c>
      <c r="AI478" s="30" t="n">
        <v>0</v>
      </c>
      <c r="AJ478" s="30" t="n">
        <v>0</v>
      </c>
      <c r="AK478" s="30" t="str">
        <f aca="false">IF(OR(S478="判定不能",J478="判定不能"),"判定不能",IF(AJ478&gt;=判定条件!$C$9,"利用可",IF(AND(S478="停止",J478="停止"),"両方停止","運転がそろわない")))</f>
        <v>判定不能</v>
      </c>
      <c r="AL478" s="30" t="n">
        <v>60</v>
      </c>
      <c r="AM478" s="30" t="n">
        <v>43</v>
      </c>
      <c r="AN478" s="30" t="str">
        <f aca="false">IF(OR(V478="判定不能",M478="判定不能"),"判定不能",IF(AM478&gt;=判定条件!$C$9,"利用可",IF(AND(V478="停止",M478="停止"),"両方停止","運転がそろわない")))</f>
        <v>利用可</v>
      </c>
      <c r="AO478" s="30" t="n">
        <v>60</v>
      </c>
      <c r="AP478" s="30" t="n">
        <v>18</v>
      </c>
      <c r="AQ478" s="30" t="str">
        <f aca="false">IF(OR(Y478="判定不能",G478="判定不能"),"判定不能",IF(AP478&gt;=判定条件!$C$9,"利用可",IF(AND(Y478="停止",G478="停止"),"両方停止","運転がそろわない")))</f>
        <v>運転がそろわない</v>
      </c>
      <c r="AR478" s="30" t="n">
        <v>60</v>
      </c>
      <c r="AS478" s="30" t="n">
        <v>25</v>
      </c>
      <c r="AT478" s="30" t="str">
        <f aca="false">IF(OR(AB478="判定不能",J478="判定不能"),"判定不能",IF(AS478&gt;=判定条件!$C$9,"利用可",IF(AND(AB478="停止",J478="停止"),"両方停止","運転がそろわない")))</f>
        <v>運転がそろわない</v>
      </c>
      <c r="AU478" s="30" t="n">
        <v>60</v>
      </c>
      <c r="AV478" s="30" t="n">
        <v>5</v>
      </c>
      <c r="AW478" s="30" t="str">
        <f aca="false">IF(OR(AE478="判定不能",M478="判定不能"),"判定不能",IF(AV478&gt;=判定条件!$C$9,"利用可",IF(AND(AE478="停止",M478="停止"),"両方停止","運転がそろわない")))</f>
        <v>運転がそろわない</v>
      </c>
      <c r="AX478" s="30" t="str">
        <f aca="false">IF(AND(AH478="利用可",AK478="利用可",AN478="利用可"),"利用可","不可")</f>
        <v>不可</v>
      </c>
      <c r="AY478" s="30" t="str">
        <f aca="false">IF(AND(AQ478="利用可",AT478="利用可",AW478="利用可"),"利用可","不可")</f>
        <v>不可</v>
      </c>
    </row>
    <row r="479" customFormat="false" ht="15" hidden="false" customHeight="false" outlineLevel="0" collapsed="false">
      <c r="A479" s="29" t="n">
        <v>46251</v>
      </c>
      <c r="B479" s="30" t="n">
        <v>20</v>
      </c>
      <c r="C479" s="31" t="s">
        <v>66</v>
      </c>
      <c r="D479" s="31" t="s">
        <v>59</v>
      </c>
      <c r="E479" s="30" t="n">
        <v>60</v>
      </c>
      <c r="F479" s="30" t="n">
        <v>46</v>
      </c>
      <c r="G479" s="30" t="str">
        <f aca="false">IF(E479&lt;判定条件!$C$6,"判定不能",IF(F479&gt;=判定条件!$C$7*E479,"運転",IF(F479&lt;=判定条件!$C$8*E479,"停止","断続")))</f>
        <v>断続</v>
      </c>
      <c r="H479" s="30" t="n">
        <v>60</v>
      </c>
      <c r="I479" s="30" t="n">
        <v>46</v>
      </c>
      <c r="J479" s="30" t="str">
        <f aca="false">IF(H479&lt;判定条件!$C$6,"判定不能",IF(I479&gt;=判定条件!$C$7*H479,"運転",IF(I479&lt;=判定条件!$C$8*H479,"停止","断続")))</f>
        <v>断続</v>
      </c>
      <c r="K479" s="30" t="n">
        <v>60</v>
      </c>
      <c r="L479" s="30" t="n">
        <v>47</v>
      </c>
      <c r="M479" s="30" t="str">
        <f aca="false">IF(K479&lt;判定条件!$C$6,"判定不能",IF(L479&gt;=判定条件!$C$7*K479,"運転",IF(L479&lt;=判定条件!$C$8*K479,"停止","断続")))</f>
        <v>断続</v>
      </c>
      <c r="N479" s="30" t="n">
        <v>60</v>
      </c>
      <c r="O479" s="30" t="n">
        <v>0</v>
      </c>
      <c r="P479" s="30" t="str">
        <f aca="false">IF(N479&lt;判定条件!$C$6,"判定不能",IF(O479&gt;=判定条件!$C$7*N479,"運転",IF(O479&lt;=判定条件!$C$8*N479,"停止","断続")))</f>
        <v>停止</v>
      </c>
      <c r="Q479" s="30" t="n">
        <v>0</v>
      </c>
      <c r="R479" s="30" t="n">
        <v>0</v>
      </c>
      <c r="S479" s="30" t="str">
        <f aca="false">IF(Q479&lt;判定条件!$C$6,"判定不能",IF(R479&gt;=判定条件!$C$7*Q479,"運転",IF(R479&lt;=判定条件!$C$8*Q479,"停止","断続")))</f>
        <v>判定不能</v>
      </c>
      <c r="T479" s="30" t="n">
        <v>60</v>
      </c>
      <c r="U479" s="30" t="n">
        <v>0</v>
      </c>
      <c r="V479" s="30" t="str">
        <f aca="false">IF(T479&lt;判定条件!$C$6,"判定不能",IF(U479&gt;=判定条件!$C$7*T479,"運転",IF(U479&lt;=判定条件!$C$8*T479,"停止","断続")))</f>
        <v>停止</v>
      </c>
      <c r="W479" s="30" t="n">
        <v>60</v>
      </c>
      <c r="X479" s="30" t="n">
        <v>0</v>
      </c>
      <c r="Y479" s="30" t="str">
        <f aca="false">IF(W479&lt;判定条件!$C$6,"判定不能",IF(X479&gt;=判定条件!$C$7*W479,"運転",IF(X479&lt;=判定条件!$C$8*W479,"停止","断続")))</f>
        <v>停止</v>
      </c>
      <c r="Z479" s="30" t="n">
        <v>60</v>
      </c>
      <c r="AA479" s="30" t="n">
        <v>0</v>
      </c>
      <c r="AB479" s="30" t="str">
        <f aca="false">IF(Z479&lt;判定条件!$C$6,"判定不能",IF(AA479&gt;=判定条件!$C$7*Z479,"運転",IF(AA479&lt;=判定条件!$C$8*Z479,"停止","断続")))</f>
        <v>停止</v>
      </c>
      <c r="AC479" s="30" t="n">
        <v>60</v>
      </c>
      <c r="AD479" s="30" t="n">
        <v>0</v>
      </c>
      <c r="AE479" s="30" t="str">
        <f aca="false">IF(AC479&lt;判定条件!$C$6,"判定不能",IF(AD479&gt;=判定条件!$C$7*AC479,"運転",IF(AD479&lt;=判定条件!$C$8*AC479,"停止","断続")))</f>
        <v>停止</v>
      </c>
      <c r="AF479" s="30" t="n">
        <v>60</v>
      </c>
      <c r="AG479" s="30" t="n">
        <v>0</v>
      </c>
      <c r="AH479" s="30" t="str">
        <f aca="false">IF(OR(P479="判定不能",G479="判定不能"),"判定不能",IF(AG479&gt;=判定条件!$C$9,"利用可",IF(AND(P479="停止",G479="停止"),"両方停止","運転がそろわない")))</f>
        <v>運転がそろわない</v>
      </c>
      <c r="AI479" s="30" t="n">
        <v>0</v>
      </c>
      <c r="AJ479" s="30" t="n">
        <v>0</v>
      </c>
      <c r="AK479" s="30" t="str">
        <f aca="false">IF(OR(S479="判定不能",J479="判定不能"),"判定不能",IF(AJ479&gt;=判定条件!$C$9,"利用可",IF(AND(S479="停止",J479="停止"),"両方停止","運転がそろわない")))</f>
        <v>判定不能</v>
      </c>
      <c r="AL479" s="30" t="n">
        <v>60</v>
      </c>
      <c r="AM479" s="30" t="n">
        <v>0</v>
      </c>
      <c r="AN479" s="30" t="str">
        <f aca="false">IF(OR(V479="判定不能",M479="判定不能"),"判定不能",IF(AM479&gt;=判定条件!$C$9,"利用可",IF(AND(V479="停止",M479="停止"),"両方停止","運転がそろわない")))</f>
        <v>運転がそろわない</v>
      </c>
      <c r="AO479" s="30" t="n">
        <v>60</v>
      </c>
      <c r="AP479" s="30" t="n">
        <v>0</v>
      </c>
      <c r="AQ479" s="30" t="str">
        <f aca="false">IF(OR(Y479="判定不能",G479="判定不能"),"判定不能",IF(AP479&gt;=判定条件!$C$9,"利用可",IF(AND(Y479="停止",G479="停止"),"両方停止","運転がそろわない")))</f>
        <v>運転がそろわない</v>
      </c>
      <c r="AR479" s="30" t="n">
        <v>60</v>
      </c>
      <c r="AS479" s="30" t="n">
        <v>0</v>
      </c>
      <c r="AT479" s="30" t="str">
        <f aca="false">IF(OR(AB479="判定不能",J479="判定不能"),"判定不能",IF(AS479&gt;=判定条件!$C$9,"利用可",IF(AND(AB479="停止",J479="停止"),"両方停止","運転がそろわない")))</f>
        <v>運転がそろわない</v>
      </c>
      <c r="AU479" s="30" t="n">
        <v>60</v>
      </c>
      <c r="AV479" s="30" t="n">
        <v>0</v>
      </c>
      <c r="AW479" s="30" t="str">
        <f aca="false">IF(OR(AE479="判定不能",M479="判定不能"),"判定不能",IF(AV479&gt;=判定条件!$C$9,"利用可",IF(AND(AE479="停止",M479="停止"),"両方停止","運転がそろわない")))</f>
        <v>運転がそろわない</v>
      </c>
      <c r="AX479" s="30" t="str">
        <f aca="false">IF(AND(AH479="利用可",AK479="利用可",AN479="利用可"),"利用可","不可")</f>
        <v>不可</v>
      </c>
      <c r="AY479" s="30" t="str">
        <f aca="false">IF(AND(AQ479="利用可",AT479="利用可",AW479="利用可"),"利用可","不可")</f>
        <v>不可</v>
      </c>
    </row>
    <row r="480" customFormat="false" ht="15" hidden="false" customHeight="false" outlineLevel="0" collapsed="false">
      <c r="A480" s="29" t="n">
        <v>46251</v>
      </c>
      <c r="B480" s="30" t="n">
        <v>21</v>
      </c>
      <c r="C480" s="31" t="s">
        <v>66</v>
      </c>
      <c r="D480" s="31" t="s">
        <v>59</v>
      </c>
      <c r="E480" s="30" t="n">
        <v>60</v>
      </c>
      <c r="F480" s="30" t="n">
        <v>0</v>
      </c>
      <c r="G480" s="30" t="str">
        <f aca="false">IF(E480&lt;判定条件!$C$6,"判定不能",IF(F480&gt;=判定条件!$C$7*E480,"運転",IF(F480&lt;=判定条件!$C$8*E480,"停止","断続")))</f>
        <v>停止</v>
      </c>
      <c r="H480" s="30" t="n">
        <v>60</v>
      </c>
      <c r="I480" s="30" t="n">
        <v>0</v>
      </c>
      <c r="J480" s="30" t="str">
        <f aca="false">IF(H480&lt;判定条件!$C$6,"判定不能",IF(I480&gt;=判定条件!$C$7*H480,"運転",IF(I480&lt;=判定条件!$C$8*H480,"停止","断続")))</f>
        <v>停止</v>
      </c>
      <c r="K480" s="30" t="n">
        <v>60</v>
      </c>
      <c r="L480" s="30" t="n">
        <v>0</v>
      </c>
      <c r="M480" s="30" t="str">
        <f aca="false">IF(K480&lt;判定条件!$C$6,"判定不能",IF(L480&gt;=判定条件!$C$7*K480,"運転",IF(L480&lt;=判定条件!$C$8*K480,"停止","断続")))</f>
        <v>停止</v>
      </c>
      <c r="N480" s="30" t="n">
        <v>60</v>
      </c>
      <c r="O480" s="30" t="n">
        <v>0</v>
      </c>
      <c r="P480" s="30" t="str">
        <f aca="false">IF(N480&lt;判定条件!$C$6,"判定不能",IF(O480&gt;=判定条件!$C$7*N480,"運転",IF(O480&lt;=判定条件!$C$8*N480,"停止","断続")))</f>
        <v>停止</v>
      </c>
      <c r="Q480" s="30" t="n">
        <v>0</v>
      </c>
      <c r="R480" s="30" t="n">
        <v>0</v>
      </c>
      <c r="S480" s="30" t="str">
        <f aca="false">IF(Q480&lt;判定条件!$C$6,"判定不能",IF(R480&gt;=判定条件!$C$7*Q480,"運転",IF(R480&lt;=判定条件!$C$8*Q480,"停止","断続")))</f>
        <v>判定不能</v>
      </c>
      <c r="T480" s="30" t="n">
        <v>60</v>
      </c>
      <c r="U480" s="30" t="n">
        <v>0</v>
      </c>
      <c r="V480" s="30" t="str">
        <f aca="false">IF(T480&lt;判定条件!$C$6,"判定不能",IF(U480&gt;=判定条件!$C$7*T480,"運転",IF(U480&lt;=判定条件!$C$8*T480,"停止","断続")))</f>
        <v>停止</v>
      </c>
      <c r="W480" s="30" t="n">
        <v>60</v>
      </c>
      <c r="X480" s="30" t="n">
        <v>0</v>
      </c>
      <c r="Y480" s="30" t="str">
        <f aca="false">IF(W480&lt;判定条件!$C$6,"判定不能",IF(X480&gt;=判定条件!$C$7*W480,"運転",IF(X480&lt;=判定条件!$C$8*W480,"停止","断続")))</f>
        <v>停止</v>
      </c>
      <c r="Z480" s="30" t="n">
        <v>60</v>
      </c>
      <c r="AA480" s="30" t="n">
        <v>0</v>
      </c>
      <c r="AB480" s="30" t="str">
        <f aca="false">IF(Z480&lt;判定条件!$C$6,"判定不能",IF(AA480&gt;=判定条件!$C$7*Z480,"運転",IF(AA480&lt;=判定条件!$C$8*Z480,"停止","断続")))</f>
        <v>停止</v>
      </c>
      <c r="AC480" s="30" t="n">
        <v>60</v>
      </c>
      <c r="AD480" s="30" t="n">
        <v>0</v>
      </c>
      <c r="AE480" s="30" t="str">
        <f aca="false">IF(AC480&lt;判定条件!$C$6,"判定不能",IF(AD480&gt;=判定条件!$C$7*AC480,"運転",IF(AD480&lt;=判定条件!$C$8*AC480,"停止","断続")))</f>
        <v>停止</v>
      </c>
      <c r="AF480" s="30" t="n">
        <v>60</v>
      </c>
      <c r="AG480" s="30" t="n">
        <v>0</v>
      </c>
      <c r="AH480" s="30" t="str">
        <f aca="false">IF(OR(P480="判定不能",G480="判定不能"),"判定不能",IF(AG480&gt;=判定条件!$C$9,"利用可",IF(AND(P480="停止",G480="停止"),"両方停止","運転がそろわない")))</f>
        <v>両方停止</v>
      </c>
      <c r="AI480" s="30" t="n">
        <v>0</v>
      </c>
      <c r="AJ480" s="30" t="n">
        <v>0</v>
      </c>
      <c r="AK480" s="30" t="str">
        <f aca="false">IF(OR(S480="判定不能",J480="判定不能"),"判定不能",IF(AJ480&gt;=判定条件!$C$9,"利用可",IF(AND(S480="停止",J480="停止"),"両方停止","運転がそろわない")))</f>
        <v>判定不能</v>
      </c>
      <c r="AL480" s="30" t="n">
        <v>60</v>
      </c>
      <c r="AM480" s="30" t="n">
        <v>0</v>
      </c>
      <c r="AN480" s="30" t="str">
        <f aca="false">IF(OR(V480="判定不能",M480="判定不能"),"判定不能",IF(AM480&gt;=判定条件!$C$9,"利用可",IF(AND(V480="停止",M480="停止"),"両方停止","運転がそろわない")))</f>
        <v>両方停止</v>
      </c>
      <c r="AO480" s="30" t="n">
        <v>60</v>
      </c>
      <c r="AP480" s="30" t="n">
        <v>0</v>
      </c>
      <c r="AQ480" s="30" t="str">
        <f aca="false">IF(OR(Y480="判定不能",G480="判定不能"),"判定不能",IF(AP480&gt;=判定条件!$C$9,"利用可",IF(AND(Y480="停止",G480="停止"),"両方停止","運転がそろわない")))</f>
        <v>両方停止</v>
      </c>
      <c r="AR480" s="30" t="n">
        <v>60</v>
      </c>
      <c r="AS480" s="30" t="n">
        <v>0</v>
      </c>
      <c r="AT480" s="30" t="str">
        <f aca="false">IF(OR(AB480="判定不能",J480="判定不能"),"判定不能",IF(AS480&gt;=判定条件!$C$9,"利用可",IF(AND(AB480="停止",J480="停止"),"両方停止","運転がそろわない")))</f>
        <v>両方停止</v>
      </c>
      <c r="AU480" s="30" t="n">
        <v>60</v>
      </c>
      <c r="AV480" s="30" t="n">
        <v>0</v>
      </c>
      <c r="AW480" s="30" t="str">
        <f aca="false">IF(OR(AE480="判定不能",M480="判定不能"),"判定不能",IF(AV480&gt;=判定条件!$C$9,"利用可",IF(AND(AE480="停止",M480="停止"),"両方停止","運転がそろわない")))</f>
        <v>両方停止</v>
      </c>
      <c r="AX480" s="30" t="str">
        <f aca="false">IF(AND(AH480="利用可",AK480="利用可",AN480="利用可"),"利用可","不可")</f>
        <v>不可</v>
      </c>
      <c r="AY480" s="30" t="str">
        <f aca="false">IF(AND(AQ480="利用可",AT480="利用可",AW480="利用可"),"利用可","不可")</f>
        <v>不可</v>
      </c>
    </row>
    <row r="481" customFormat="false" ht="15" hidden="false" customHeight="false" outlineLevel="0" collapsed="false">
      <c r="A481" s="29" t="n">
        <v>46251</v>
      </c>
      <c r="B481" s="30" t="n">
        <v>22</v>
      </c>
      <c r="C481" s="31" t="s">
        <v>66</v>
      </c>
      <c r="D481" s="31" t="s">
        <v>59</v>
      </c>
      <c r="E481" s="30" t="n">
        <v>60</v>
      </c>
      <c r="F481" s="30" t="n">
        <v>0</v>
      </c>
      <c r="G481" s="30" t="str">
        <f aca="false">IF(E481&lt;判定条件!$C$6,"判定不能",IF(F481&gt;=判定条件!$C$7*E481,"運転",IF(F481&lt;=判定条件!$C$8*E481,"停止","断続")))</f>
        <v>停止</v>
      </c>
      <c r="H481" s="30" t="n">
        <v>60</v>
      </c>
      <c r="I481" s="30" t="n">
        <v>0</v>
      </c>
      <c r="J481" s="30" t="str">
        <f aca="false">IF(H481&lt;判定条件!$C$6,"判定不能",IF(I481&gt;=判定条件!$C$7*H481,"運転",IF(I481&lt;=判定条件!$C$8*H481,"停止","断続")))</f>
        <v>停止</v>
      </c>
      <c r="K481" s="30" t="n">
        <v>60</v>
      </c>
      <c r="L481" s="30" t="n">
        <v>0</v>
      </c>
      <c r="M481" s="30" t="str">
        <f aca="false">IF(K481&lt;判定条件!$C$6,"判定不能",IF(L481&gt;=判定条件!$C$7*K481,"運転",IF(L481&lt;=判定条件!$C$8*K481,"停止","断続")))</f>
        <v>停止</v>
      </c>
      <c r="N481" s="30" t="n">
        <v>60</v>
      </c>
      <c r="O481" s="30" t="n">
        <v>0</v>
      </c>
      <c r="P481" s="30" t="str">
        <f aca="false">IF(N481&lt;判定条件!$C$6,"判定不能",IF(O481&gt;=判定条件!$C$7*N481,"運転",IF(O481&lt;=判定条件!$C$8*N481,"停止","断続")))</f>
        <v>停止</v>
      </c>
      <c r="Q481" s="30" t="n">
        <v>0</v>
      </c>
      <c r="R481" s="30" t="n">
        <v>0</v>
      </c>
      <c r="S481" s="30" t="str">
        <f aca="false">IF(Q481&lt;判定条件!$C$6,"判定不能",IF(R481&gt;=判定条件!$C$7*Q481,"運転",IF(R481&lt;=判定条件!$C$8*Q481,"停止","断続")))</f>
        <v>判定不能</v>
      </c>
      <c r="T481" s="30" t="n">
        <v>60</v>
      </c>
      <c r="U481" s="30" t="n">
        <v>0</v>
      </c>
      <c r="V481" s="30" t="str">
        <f aca="false">IF(T481&lt;判定条件!$C$6,"判定不能",IF(U481&gt;=判定条件!$C$7*T481,"運転",IF(U481&lt;=判定条件!$C$8*T481,"停止","断続")))</f>
        <v>停止</v>
      </c>
      <c r="W481" s="30" t="n">
        <v>60</v>
      </c>
      <c r="X481" s="30" t="n">
        <v>0</v>
      </c>
      <c r="Y481" s="30" t="str">
        <f aca="false">IF(W481&lt;判定条件!$C$6,"判定不能",IF(X481&gt;=判定条件!$C$7*W481,"運転",IF(X481&lt;=判定条件!$C$8*W481,"停止","断続")))</f>
        <v>停止</v>
      </c>
      <c r="Z481" s="30" t="n">
        <v>60</v>
      </c>
      <c r="AA481" s="30" t="n">
        <v>0</v>
      </c>
      <c r="AB481" s="30" t="str">
        <f aca="false">IF(Z481&lt;判定条件!$C$6,"判定不能",IF(AA481&gt;=判定条件!$C$7*Z481,"運転",IF(AA481&lt;=判定条件!$C$8*Z481,"停止","断続")))</f>
        <v>停止</v>
      </c>
      <c r="AC481" s="30" t="n">
        <v>60</v>
      </c>
      <c r="AD481" s="30" t="n">
        <v>0</v>
      </c>
      <c r="AE481" s="30" t="str">
        <f aca="false">IF(AC481&lt;判定条件!$C$6,"判定不能",IF(AD481&gt;=判定条件!$C$7*AC481,"運転",IF(AD481&lt;=判定条件!$C$8*AC481,"停止","断続")))</f>
        <v>停止</v>
      </c>
      <c r="AF481" s="30" t="n">
        <v>60</v>
      </c>
      <c r="AG481" s="30" t="n">
        <v>0</v>
      </c>
      <c r="AH481" s="30" t="str">
        <f aca="false">IF(OR(P481="判定不能",G481="判定不能"),"判定不能",IF(AG481&gt;=判定条件!$C$9,"利用可",IF(AND(P481="停止",G481="停止"),"両方停止","運転がそろわない")))</f>
        <v>両方停止</v>
      </c>
      <c r="AI481" s="30" t="n">
        <v>0</v>
      </c>
      <c r="AJ481" s="30" t="n">
        <v>0</v>
      </c>
      <c r="AK481" s="30" t="str">
        <f aca="false">IF(OR(S481="判定不能",J481="判定不能"),"判定不能",IF(AJ481&gt;=判定条件!$C$9,"利用可",IF(AND(S481="停止",J481="停止"),"両方停止","運転がそろわない")))</f>
        <v>判定不能</v>
      </c>
      <c r="AL481" s="30" t="n">
        <v>60</v>
      </c>
      <c r="AM481" s="30" t="n">
        <v>0</v>
      </c>
      <c r="AN481" s="30" t="str">
        <f aca="false">IF(OR(V481="判定不能",M481="判定不能"),"判定不能",IF(AM481&gt;=判定条件!$C$9,"利用可",IF(AND(V481="停止",M481="停止"),"両方停止","運転がそろわない")))</f>
        <v>両方停止</v>
      </c>
      <c r="AO481" s="30" t="n">
        <v>60</v>
      </c>
      <c r="AP481" s="30" t="n">
        <v>0</v>
      </c>
      <c r="AQ481" s="30" t="str">
        <f aca="false">IF(OR(Y481="判定不能",G481="判定不能"),"判定不能",IF(AP481&gt;=判定条件!$C$9,"利用可",IF(AND(Y481="停止",G481="停止"),"両方停止","運転がそろわない")))</f>
        <v>両方停止</v>
      </c>
      <c r="AR481" s="30" t="n">
        <v>60</v>
      </c>
      <c r="AS481" s="30" t="n">
        <v>0</v>
      </c>
      <c r="AT481" s="30" t="str">
        <f aca="false">IF(OR(AB481="判定不能",J481="判定不能"),"判定不能",IF(AS481&gt;=判定条件!$C$9,"利用可",IF(AND(AB481="停止",J481="停止"),"両方停止","運転がそろわない")))</f>
        <v>両方停止</v>
      </c>
      <c r="AU481" s="30" t="n">
        <v>60</v>
      </c>
      <c r="AV481" s="30" t="n">
        <v>0</v>
      </c>
      <c r="AW481" s="30" t="str">
        <f aca="false">IF(OR(AE481="判定不能",M481="判定不能"),"判定不能",IF(AV481&gt;=判定条件!$C$9,"利用可",IF(AND(AE481="停止",M481="停止"),"両方停止","運転がそろわない")))</f>
        <v>両方停止</v>
      </c>
      <c r="AX481" s="30" t="str">
        <f aca="false">IF(AND(AH481="利用可",AK481="利用可",AN481="利用可"),"利用可","不可")</f>
        <v>不可</v>
      </c>
      <c r="AY481" s="30" t="str">
        <f aca="false">IF(AND(AQ481="利用可",AT481="利用可",AW481="利用可"),"利用可","不可")</f>
        <v>不可</v>
      </c>
    </row>
    <row r="482" customFormat="false" ht="15" hidden="false" customHeight="false" outlineLevel="0" collapsed="false">
      <c r="A482" s="29" t="n">
        <v>46251</v>
      </c>
      <c r="B482" s="30" t="n">
        <v>23</v>
      </c>
      <c r="C482" s="31" t="s">
        <v>66</v>
      </c>
      <c r="D482" s="31" t="s">
        <v>59</v>
      </c>
      <c r="E482" s="30" t="n">
        <v>60</v>
      </c>
      <c r="F482" s="30" t="n">
        <v>0</v>
      </c>
      <c r="G482" s="30" t="str">
        <f aca="false">IF(E482&lt;判定条件!$C$6,"判定不能",IF(F482&gt;=判定条件!$C$7*E482,"運転",IF(F482&lt;=判定条件!$C$8*E482,"停止","断続")))</f>
        <v>停止</v>
      </c>
      <c r="H482" s="30" t="n">
        <v>60</v>
      </c>
      <c r="I482" s="30" t="n">
        <v>0</v>
      </c>
      <c r="J482" s="30" t="str">
        <f aca="false">IF(H482&lt;判定条件!$C$6,"判定不能",IF(I482&gt;=判定条件!$C$7*H482,"運転",IF(I482&lt;=判定条件!$C$8*H482,"停止","断続")))</f>
        <v>停止</v>
      </c>
      <c r="K482" s="30" t="n">
        <v>60</v>
      </c>
      <c r="L482" s="30" t="n">
        <v>0</v>
      </c>
      <c r="M482" s="30" t="str">
        <f aca="false">IF(K482&lt;判定条件!$C$6,"判定不能",IF(L482&gt;=判定条件!$C$7*K482,"運転",IF(L482&lt;=判定条件!$C$8*K482,"停止","断続")))</f>
        <v>停止</v>
      </c>
      <c r="N482" s="30" t="n">
        <v>60</v>
      </c>
      <c r="O482" s="30" t="n">
        <v>0</v>
      </c>
      <c r="P482" s="30" t="str">
        <f aca="false">IF(N482&lt;判定条件!$C$6,"判定不能",IF(O482&gt;=判定条件!$C$7*N482,"運転",IF(O482&lt;=判定条件!$C$8*N482,"停止","断続")))</f>
        <v>停止</v>
      </c>
      <c r="Q482" s="30" t="n">
        <v>0</v>
      </c>
      <c r="R482" s="30" t="n">
        <v>0</v>
      </c>
      <c r="S482" s="30" t="str">
        <f aca="false">IF(Q482&lt;判定条件!$C$6,"判定不能",IF(R482&gt;=判定条件!$C$7*Q482,"運転",IF(R482&lt;=判定条件!$C$8*Q482,"停止","断続")))</f>
        <v>判定不能</v>
      </c>
      <c r="T482" s="30" t="n">
        <v>60</v>
      </c>
      <c r="U482" s="30" t="n">
        <v>0</v>
      </c>
      <c r="V482" s="30" t="str">
        <f aca="false">IF(T482&lt;判定条件!$C$6,"判定不能",IF(U482&gt;=判定条件!$C$7*T482,"運転",IF(U482&lt;=判定条件!$C$8*T482,"停止","断続")))</f>
        <v>停止</v>
      </c>
      <c r="W482" s="30" t="n">
        <v>60</v>
      </c>
      <c r="X482" s="30" t="n">
        <v>0</v>
      </c>
      <c r="Y482" s="30" t="str">
        <f aca="false">IF(W482&lt;判定条件!$C$6,"判定不能",IF(X482&gt;=判定条件!$C$7*W482,"運転",IF(X482&lt;=判定条件!$C$8*W482,"停止","断続")))</f>
        <v>停止</v>
      </c>
      <c r="Z482" s="30" t="n">
        <v>60</v>
      </c>
      <c r="AA482" s="30" t="n">
        <v>0</v>
      </c>
      <c r="AB482" s="30" t="str">
        <f aca="false">IF(Z482&lt;判定条件!$C$6,"判定不能",IF(AA482&gt;=判定条件!$C$7*Z482,"運転",IF(AA482&lt;=判定条件!$C$8*Z482,"停止","断続")))</f>
        <v>停止</v>
      </c>
      <c r="AC482" s="30" t="n">
        <v>60</v>
      </c>
      <c r="AD482" s="30" t="n">
        <v>0</v>
      </c>
      <c r="AE482" s="30" t="str">
        <f aca="false">IF(AC482&lt;判定条件!$C$6,"判定不能",IF(AD482&gt;=判定条件!$C$7*AC482,"運転",IF(AD482&lt;=判定条件!$C$8*AC482,"停止","断続")))</f>
        <v>停止</v>
      </c>
      <c r="AF482" s="30" t="n">
        <v>60</v>
      </c>
      <c r="AG482" s="30" t="n">
        <v>0</v>
      </c>
      <c r="AH482" s="30" t="str">
        <f aca="false">IF(OR(P482="判定不能",G482="判定不能"),"判定不能",IF(AG482&gt;=判定条件!$C$9,"利用可",IF(AND(P482="停止",G482="停止"),"両方停止","運転がそろわない")))</f>
        <v>両方停止</v>
      </c>
      <c r="AI482" s="30" t="n">
        <v>0</v>
      </c>
      <c r="AJ482" s="30" t="n">
        <v>0</v>
      </c>
      <c r="AK482" s="30" t="str">
        <f aca="false">IF(OR(S482="判定不能",J482="判定不能"),"判定不能",IF(AJ482&gt;=判定条件!$C$9,"利用可",IF(AND(S482="停止",J482="停止"),"両方停止","運転がそろわない")))</f>
        <v>判定不能</v>
      </c>
      <c r="AL482" s="30" t="n">
        <v>60</v>
      </c>
      <c r="AM482" s="30" t="n">
        <v>0</v>
      </c>
      <c r="AN482" s="30" t="str">
        <f aca="false">IF(OR(V482="判定不能",M482="判定不能"),"判定不能",IF(AM482&gt;=判定条件!$C$9,"利用可",IF(AND(V482="停止",M482="停止"),"両方停止","運転がそろわない")))</f>
        <v>両方停止</v>
      </c>
      <c r="AO482" s="30" t="n">
        <v>60</v>
      </c>
      <c r="AP482" s="30" t="n">
        <v>0</v>
      </c>
      <c r="AQ482" s="30" t="str">
        <f aca="false">IF(OR(Y482="判定不能",G482="判定不能"),"判定不能",IF(AP482&gt;=判定条件!$C$9,"利用可",IF(AND(Y482="停止",G482="停止"),"両方停止","運転がそろわない")))</f>
        <v>両方停止</v>
      </c>
      <c r="AR482" s="30" t="n">
        <v>60</v>
      </c>
      <c r="AS482" s="30" t="n">
        <v>0</v>
      </c>
      <c r="AT482" s="30" t="str">
        <f aca="false">IF(OR(AB482="判定不能",J482="判定不能"),"判定不能",IF(AS482&gt;=判定条件!$C$9,"利用可",IF(AND(AB482="停止",J482="停止"),"両方停止","運転がそろわない")))</f>
        <v>両方停止</v>
      </c>
      <c r="AU482" s="30" t="n">
        <v>60</v>
      </c>
      <c r="AV482" s="30" t="n">
        <v>0</v>
      </c>
      <c r="AW482" s="30" t="str">
        <f aca="false">IF(OR(AE482="判定不能",M482="判定不能"),"判定不能",IF(AV482&gt;=判定条件!$C$9,"利用可",IF(AND(AE482="停止",M482="停止"),"両方停止","運転がそろわない")))</f>
        <v>両方停止</v>
      </c>
      <c r="AX482" s="30" t="str">
        <f aca="false">IF(AND(AH482="利用可",AK482="利用可",AN482="利用可"),"利用可","不可")</f>
        <v>不可</v>
      </c>
      <c r="AY482" s="30" t="str">
        <f aca="false">IF(AND(AQ482="利用可",AT482="利用可",AW482="利用可"),"利用可","不可")</f>
        <v>不可</v>
      </c>
    </row>
    <row r="483" customFormat="false" ht="15" hidden="false" customHeight="false" outlineLevel="0" collapsed="false">
      <c r="A483" s="29" t="n">
        <v>46252</v>
      </c>
      <c r="B483" s="30" t="n">
        <v>0</v>
      </c>
      <c r="C483" s="31" t="s">
        <v>67</v>
      </c>
      <c r="D483" s="31" t="s">
        <v>59</v>
      </c>
      <c r="E483" s="30" t="n">
        <v>60</v>
      </c>
      <c r="F483" s="30" t="n">
        <v>0</v>
      </c>
      <c r="G483" s="30" t="str">
        <f aca="false">IF(E483&lt;判定条件!$C$6,"判定不能",IF(F483&gt;=判定条件!$C$7*E483,"運転",IF(F483&lt;=判定条件!$C$8*E483,"停止","断続")))</f>
        <v>停止</v>
      </c>
      <c r="H483" s="30" t="n">
        <v>60</v>
      </c>
      <c r="I483" s="30" t="n">
        <v>0</v>
      </c>
      <c r="J483" s="30" t="str">
        <f aca="false">IF(H483&lt;判定条件!$C$6,"判定不能",IF(I483&gt;=判定条件!$C$7*H483,"運転",IF(I483&lt;=判定条件!$C$8*H483,"停止","断続")))</f>
        <v>停止</v>
      </c>
      <c r="K483" s="30" t="n">
        <v>60</v>
      </c>
      <c r="L483" s="30" t="n">
        <v>0</v>
      </c>
      <c r="M483" s="30" t="str">
        <f aca="false">IF(K483&lt;判定条件!$C$6,"判定不能",IF(L483&gt;=判定条件!$C$7*K483,"運転",IF(L483&lt;=判定条件!$C$8*K483,"停止","断続")))</f>
        <v>停止</v>
      </c>
      <c r="N483" s="30" t="n">
        <v>60</v>
      </c>
      <c r="O483" s="30" t="n">
        <v>0</v>
      </c>
      <c r="P483" s="30" t="str">
        <f aca="false">IF(N483&lt;判定条件!$C$6,"判定不能",IF(O483&gt;=判定条件!$C$7*N483,"運転",IF(O483&lt;=判定条件!$C$8*N483,"停止","断続")))</f>
        <v>停止</v>
      </c>
      <c r="Q483" s="30" t="n">
        <v>0</v>
      </c>
      <c r="R483" s="30" t="n">
        <v>0</v>
      </c>
      <c r="S483" s="30" t="str">
        <f aca="false">IF(Q483&lt;判定条件!$C$6,"判定不能",IF(R483&gt;=判定条件!$C$7*Q483,"運転",IF(R483&lt;=判定条件!$C$8*Q483,"停止","断続")))</f>
        <v>判定不能</v>
      </c>
      <c r="T483" s="30" t="n">
        <v>60</v>
      </c>
      <c r="U483" s="30" t="n">
        <v>0</v>
      </c>
      <c r="V483" s="30" t="str">
        <f aca="false">IF(T483&lt;判定条件!$C$6,"判定不能",IF(U483&gt;=判定条件!$C$7*T483,"運転",IF(U483&lt;=判定条件!$C$8*T483,"停止","断続")))</f>
        <v>停止</v>
      </c>
      <c r="W483" s="30" t="n">
        <v>60</v>
      </c>
      <c r="X483" s="30" t="n">
        <v>0</v>
      </c>
      <c r="Y483" s="30" t="str">
        <f aca="false">IF(W483&lt;判定条件!$C$6,"判定不能",IF(X483&gt;=判定条件!$C$7*W483,"運転",IF(X483&lt;=判定条件!$C$8*W483,"停止","断続")))</f>
        <v>停止</v>
      </c>
      <c r="Z483" s="30" t="n">
        <v>60</v>
      </c>
      <c r="AA483" s="30" t="n">
        <v>0</v>
      </c>
      <c r="AB483" s="30" t="str">
        <f aca="false">IF(Z483&lt;判定条件!$C$6,"判定不能",IF(AA483&gt;=判定条件!$C$7*Z483,"運転",IF(AA483&lt;=判定条件!$C$8*Z483,"停止","断続")))</f>
        <v>停止</v>
      </c>
      <c r="AC483" s="30" t="n">
        <v>60</v>
      </c>
      <c r="AD483" s="30" t="n">
        <v>30</v>
      </c>
      <c r="AE483" s="30" t="str">
        <f aca="false">IF(AC483&lt;判定条件!$C$6,"判定不能",IF(AD483&gt;=判定条件!$C$7*AC483,"運転",IF(AD483&lt;=判定条件!$C$8*AC483,"停止","断続")))</f>
        <v>断続</v>
      </c>
      <c r="AF483" s="30" t="n">
        <v>60</v>
      </c>
      <c r="AG483" s="30" t="n">
        <v>0</v>
      </c>
      <c r="AH483" s="30" t="str">
        <f aca="false">IF(OR(P483="判定不能",G483="判定不能"),"判定不能",IF(AG483&gt;=判定条件!$C$9,"利用可",IF(AND(P483="停止",G483="停止"),"両方停止","運転がそろわない")))</f>
        <v>両方停止</v>
      </c>
      <c r="AI483" s="30" t="n">
        <v>0</v>
      </c>
      <c r="AJ483" s="30" t="n">
        <v>0</v>
      </c>
      <c r="AK483" s="30" t="str">
        <f aca="false">IF(OR(S483="判定不能",J483="判定不能"),"判定不能",IF(AJ483&gt;=判定条件!$C$9,"利用可",IF(AND(S483="停止",J483="停止"),"両方停止","運転がそろわない")))</f>
        <v>判定不能</v>
      </c>
      <c r="AL483" s="30" t="n">
        <v>60</v>
      </c>
      <c r="AM483" s="30" t="n">
        <v>0</v>
      </c>
      <c r="AN483" s="30" t="str">
        <f aca="false">IF(OR(V483="判定不能",M483="判定不能"),"判定不能",IF(AM483&gt;=判定条件!$C$9,"利用可",IF(AND(V483="停止",M483="停止"),"両方停止","運転がそろわない")))</f>
        <v>両方停止</v>
      </c>
      <c r="AO483" s="30" t="n">
        <v>60</v>
      </c>
      <c r="AP483" s="30" t="n">
        <v>0</v>
      </c>
      <c r="AQ483" s="30" t="str">
        <f aca="false">IF(OR(Y483="判定不能",G483="判定不能"),"判定不能",IF(AP483&gt;=判定条件!$C$9,"利用可",IF(AND(Y483="停止",G483="停止"),"両方停止","運転がそろわない")))</f>
        <v>両方停止</v>
      </c>
      <c r="AR483" s="30" t="n">
        <v>60</v>
      </c>
      <c r="AS483" s="30" t="n">
        <v>0</v>
      </c>
      <c r="AT483" s="30" t="str">
        <f aca="false">IF(OR(AB483="判定不能",J483="判定不能"),"判定不能",IF(AS483&gt;=判定条件!$C$9,"利用可",IF(AND(AB483="停止",J483="停止"),"両方停止","運転がそろわない")))</f>
        <v>両方停止</v>
      </c>
      <c r="AU483" s="30" t="n">
        <v>60</v>
      </c>
      <c r="AV483" s="30" t="n">
        <v>0</v>
      </c>
      <c r="AW483" s="30" t="str">
        <f aca="false">IF(OR(AE483="判定不能",M483="判定不能"),"判定不能",IF(AV483&gt;=判定条件!$C$9,"利用可",IF(AND(AE483="停止",M483="停止"),"両方停止","運転がそろわない")))</f>
        <v>運転がそろわない</v>
      </c>
      <c r="AX483" s="30" t="str">
        <f aca="false">IF(AND(AH483="利用可",AK483="利用可",AN483="利用可"),"利用可","不可")</f>
        <v>不可</v>
      </c>
      <c r="AY483" s="30" t="str">
        <f aca="false">IF(AND(AQ483="利用可",AT483="利用可",AW483="利用可"),"利用可","不可")</f>
        <v>不可</v>
      </c>
    </row>
    <row r="484" customFormat="false" ht="15" hidden="false" customHeight="false" outlineLevel="0" collapsed="false">
      <c r="A484" s="29" t="n">
        <v>46252</v>
      </c>
      <c r="B484" s="30" t="n">
        <v>1</v>
      </c>
      <c r="C484" s="31" t="s">
        <v>67</v>
      </c>
      <c r="D484" s="31" t="s">
        <v>59</v>
      </c>
      <c r="E484" s="30" t="n">
        <v>60</v>
      </c>
      <c r="F484" s="30" t="n">
        <v>0</v>
      </c>
      <c r="G484" s="30" t="str">
        <f aca="false">IF(E484&lt;判定条件!$C$6,"判定不能",IF(F484&gt;=判定条件!$C$7*E484,"運転",IF(F484&lt;=判定条件!$C$8*E484,"停止","断続")))</f>
        <v>停止</v>
      </c>
      <c r="H484" s="30" t="n">
        <v>60</v>
      </c>
      <c r="I484" s="30" t="n">
        <v>0</v>
      </c>
      <c r="J484" s="30" t="str">
        <f aca="false">IF(H484&lt;判定条件!$C$6,"判定不能",IF(I484&gt;=判定条件!$C$7*H484,"運転",IF(I484&lt;=判定条件!$C$8*H484,"停止","断続")))</f>
        <v>停止</v>
      </c>
      <c r="K484" s="30" t="n">
        <v>60</v>
      </c>
      <c r="L484" s="30" t="n">
        <v>0</v>
      </c>
      <c r="M484" s="30" t="str">
        <f aca="false">IF(K484&lt;判定条件!$C$6,"判定不能",IF(L484&gt;=判定条件!$C$7*K484,"運転",IF(L484&lt;=判定条件!$C$8*K484,"停止","断続")))</f>
        <v>停止</v>
      </c>
      <c r="N484" s="30" t="n">
        <v>60</v>
      </c>
      <c r="O484" s="30" t="n">
        <v>0</v>
      </c>
      <c r="P484" s="30" t="str">
        <f aca="false">IF(N484&lt;判定条件!$C$6,"判定不能",IF(O484&gt;=判定条件!$C$7*N484,"運転",IF(O484&lt;=判定条件!$C$8*N484,"停止","断続")))</f>
        <v>停止</v>
      </c>
      <c r="Q484" s="30" t="n">
        <v>0</v>
      </c>
      <c r="R484" s="30" t="n">
        <v>0</v>
      </c>
      <c r="S484" s="30" t="str">
        <f aca="false">IF(Q484&lt;判定条件!$C$6,"判定不能",IF(R484&gt;=判定条件!$C$7*Q484,"運転",IF(R484&lt;=判定条件!$C$8*Q484,"停止","断続")))</f>
        <v>判定不能</v>
      </c>
      <c r="T484" s="30" t="n">
        <v>60</v>
      </c>
      <c r="U484" s="30" t="n">
        <v>0</v>
      </c>
      <c r="V484" s="30" t="str">
        <f aca="false">IF(T484&lt;判定条件!$C$6,"判定不能",IF(U484&gt;=判定条件!$C$7*T484,"運転",IF(U484&lt;=判定条件!$C$8*T484,"停止","断続")))</f>
        <v>停止</v>
      </c>
      <c r="W484" s="30" t="n">
        <v>60</v>
      </c>
      <c r="X484" s="30" t="n">
        <v>0</v>
      </c>
      <c r="Y484" s="30" t="str">
        <f aca="false">IF(W484&lt;判定条件!$C$6,"判定不能",IF(X484&gt;=判定条件!$C$7*W484,"運転",IF(X484&lt;=判定条件!$C$8*W484,"停止","断続")))</f>
        <v>停止</v>
      </c>
      <c r="Z484" s="30" t="n">
        <v>60</v>
      </c>
      <c r="AA484" s="30" t="n">
        <v>0</v>
      </c>
      <c r="AB484" s="30" t="str">
        <f aca="false">IF(Z484&lt;判定条件!$C$6,"判定不能",IF(AA484&gt;=判定条件!$C$7*Z484,"運転",IF(AA484&lt;=判定条件!$C$8*Z484,"停止","断続")))</f>
        <v>停止</v>
      </c>
      <c r="AC484" s="30" t="n">
        <v>60</v>
      </c>
      <c r="AD484" s="30" t="n">
        <v>32</v>
      </c>
      <c r="AE484" s="30" t="str">
        <f aca="false">IF(AC484&lt;判定条件!$C$6,"判定不能",IF(AD484&gt;=判定条件!$C$7*AC484,"運転",IF(AD484&lt;=判定条件!$C$8*AC484,"停止","断続")))</f>
        <v>断続</v>
      </c>
      <c r="AF484" s="30" t="n">
        <v>60</v>
      </c>
      <c r="AG484" s="30" t="n">
        <v>0</v>
      </c>
      <c r="AH484" s="30" t="str">
        <f aca="false">IF(OR(P484="判定不能",G484="判定不能"),"判定不能",IF(AG484&gt;=判定条件!$C$9,"利用可",IF(AND(P484="停止",G484="停止"),"両方停止","運転がそろわない")))</f>
        <v>両方停止</v>
      </c>
      <c r="AI484" s="30" t="n">
        <v>0</v>
      </c>
      <c r="AJ484" s="30" t="n">
        <v>0</v>
      </c>
      <c r="AK484" s="30" t="str">
        <f aca="false">IF(OR(S484="判定不能",J484="判定不能"),"判定不能",IF(AJ484&gt;=判定条件!$C$9,"利用可",IF(AND(S484="停止",J484="停止"),"両方停止","運転がそろわない")))</f>
        <v>判定不能</v>
      </c>
      <c r="AL484" s="30" t="n">
        <v>60</v>
      </c>
      <c r="AM484" s="30" t="n">
        <v>0</v>
      </c>
      <c r="AN484" s="30" t="str">
        <f aca="false">IF(OR(V484="判定不能",M484="判定不能"),"判定不能",IF(AM484&gt;=判定条件!$C$9,"利用可",IF(AND(V484="停止",M484="停止"),"両方停止","運転がそろわない")))</f>
        <v>両方停止</v>
      </c>
      <c r="AO484" s="30" t="n">
        <v>60</v>
      </c>
      <c r="AP484" s="30" t="n">
        <v>0</v>
      </c>
      <c r="AQ484" s="30" t="str">
        <f aca="false">IF(OR(Y484="判定不能",G484="判定不能"),"判定不能",IF(AP484&gt;=判定条件!$C$9,"利用可",IF(AND(Y484="停止",G484="停止"),"両方停止","運転がそろわない")))</f>
        <v>両方停止</v>
      </c>
      <c r="AR484" s="30" t="n">
        <v>60</v>
      </c>
      <c r="AS484" s="30" t="n">
        <v>0</v>
      </c>
      <c r="AT484" s="30" t="str">
        <f aca="false">IF(OR(AB484="判定不能",J484="判定不能"),"判定不能",IF(AS484&gt;=判定条件!$C$9,"利用可",IF(AND(AB484="停止",J484="停止"),"両方停止","運転がそろわない")))</f>
        <v>両方停止</v>
      </c>
      <c r="AU484" s="30" t="n">
        <v>60</v>
      </c>
      <c r="AV484" s="30" t="n">
        <v>0</v>
      </c>
      <c r="AW484" s="30" t="str">
        <f aca="false">IF(OR(AE484="判定不能",M484="判定不能"),"判定不能",IF(AV484&gt;=判定条件!$C$9,"利用可",IF(AND(AE484="停止",M484="停止"),"両方停止","運転がそろわない")))</f>
        <v>運転がそろわない</v>
      </c>
      <c r="AX484" s="30" t="str">
        <f aca="false">IF(AND(AH484="利用可",AK484="利用可",AN484="利用可"),"利用可","不可")</f>
        <v>不可</v>
      </c>
      <c r="AY484" s="30" t="str">
        <f aca="false">IF(AND(AQ484="利用可",AT484="利用可",AW484="利用可"),"利用可","不可")</f>
        <v>不可</v>
      </c>
    </row>
    <row r="485" customFormat="false" ht="15" hidden="false" customHeight="false" outlineLevel="0" collapsed="false">
      <c r="A485" s="29" t="n">
        <v>46252</v>
      </c>
      <c r="B485" s="30" t="n">
        <v>2</v>
      </c>
      <c r="C485" s="31" t="s">
        <v>67</v>
      </c>
      <c r="D485" s="31" t="s">
        <v>59</v>
      </c>
      <c r="E485" s="30" t="n">
        <v>60</v>
      </c>
      <c r="F485" s="30" t="n">
        <v>0</v>
      </c>
      <c r="G485" s="30" t="str">
        <f aca="false">IF(E485&lt;判定条件!$C$6,"判定不能",IF(F485&gt;=判定条件!$C$7*E485,"運転",IF(F485&lt;=判定条件!$C$8*E485,"停止","断続")))</f>
        <v>停止</v>
      </c>
      <c r="H485" s="30" t="n">
        <v>60</v>
      </c>
      <c r="I485" s="30" t="n">
        <v>0</v>
      </c>
      <c r="J485" s="30" t="str">
        <f aca="false">IF(H485&lt;判定条件!$C$6,"判定不能",IF(I485&gt;=判定条件!$C$7*H485,"運転",IF(I485&lt;=判定条件!$C$8*H485,"停止","断続")))</f>
        <v>停止</v>
      </c>
      <c r="K485" s="30" t="n">
        <v>60</v>
      </c>
      <c r="L485" s="30" t="n">
        <v>0</v>
      </c>
      <c r="M485" s="30" t="str">
        <f aca="false">IF(K485&lt;判定条件!$C$6,"判定不能",IF(L485&gt;=判定条件!$C$7*K485,"運転",IF(L485&lt;=判定条件!$C$8*K485,"停止","断続")))</f>
        <v>停止</v>
      </c>
      <c r="N485" s="30" t="n">
        <v>60</v>
      </c>
      <c r="O485" s="30" t="n">
        <v>0</v>
      </c>
      <c r="P485" s="30" t="str">
        <f aca="false">IF(N485&lt;判定条件!$C$6,"判定不能",IF(O485&gt;=判定条件!$C$7*N485,"運転",IF(O485&lt;=判定条件!$C$8*N485,"停止","断続")))</f>
        <v>停止</v>
      </c>
      <c r="Q485" s="30" t="n">
        <v>0</v>
      </c>
      <c r="R485" s="30" t="n">
        <v>0</v>
      </c>
      <c r="S485" s="30" t="str">
        <f aca="false">IF(Q485&lt;判定条件!$C$6,"判定不能",IF(R485&gt;=判定条件!$C$7*Q485,"運転",IF(R485&lt;=判定条件!$C$8*Q485,"停止","断続")))</f>
        <v>判定不能</v>
      </c>
      <c r="T485" s="30" t="n">
        <v>60</v>
      </c>
      <c r="U485" s="30" t="n">
        <v>0</v>
      </c>
      <c r="V485" s="30" t="str">
        <f aca="false">IF(T485&lt;判定条件!$C$6,"判定不能",IF(U485&gt;=判定条件!$C$7*T485,"運転",IF(U485&lt;=判定条件!$C$8*T485,"停止","断続")))</f>
        <v>停止</v>
      </c>
      <c r="W485" s="30" t="n">
        <v>60</v>
      </c>
      <c r="X485" s="30" t="n">
        <v>0</v>
      </c>
      <c r="Y485" s="30" t="str">
        <f aca="false">IF(W485&lt;判定条件!$C$6,"判定不能",IF(X485&gt;=判定条件!$C$7*W485,"運転",IF(X485&lt;=判定条件!$C$8*W485,"停止","断続")))</f>
        <v>停止</v>
      </c>
      <c r="Z485" s="30" t="n">
        <v>60</v>
      </c>
      <c r="AA485" s="30" t="n">
        <v>0</v>
      </c>
      <c r="AB485" s="30" t="str">
        <f aca="false">IF(Z485&lt;判定条件!$C$6,"判定不能",IF(AA485&gt;=判定条件!$C$7*Z485,"運転",IF(AA485&lt;=判定条件!$C$8*Z485,"停止","断続")))</f>
        <v>停止</v>
      </c>
      <c r="AC485" s="30" t="n">
        <v>60</v>
      </c>
      <c r="AD485" s="30" t="n">
        <v>0</v>
      </c>
      <c r="AE485" s="30" t="str">
        <f aca="false">IF(AC485&lt;判定条件!$C$6,"判定不能",IF(AD485&gt;=判定条件!$C$7*AC485,"運転",IF(AD485&lt;=判定条件!$C$8*AC485,"停止","断続")))</f>
        <v>停止</v>
      </c>
      <c r="AF485" s="30" t="n">
        <v>60</v>
      </c>
      <c r="AG485" s="30" t="n">
        <v>0</v>
      </c>
      <c r="AH485" s="30" t="str">
        <f aca="false">IF(OR(P485="判定不能",G485="判定不能"),"判定不能",IF(AG485&gt;=判定条件!$C$9,"利用可",IF(AND(P485="停止",G485="停止"),"両方停止","運転がそろわない")))</f>
        <v>両方停止</v>
      </c>
      <c r="AI485" s="30" t="n">
        <v>0</v>
      </c>
      <c r="AJ485" s="30" t="n">
        <v>0</v>
      </c>
      <c r="AK485" s="30" t="str">
        <f aca="false">IF(OR(S485="判定不能",J485="判定不能"),"判定不能",IF(AJ485&gt;=判定条件!$C$9,"利用可",IF(AND(S485="停止",J485="停止"),"両方停止","運転がそろわない")))</f>
        <v>判定不能</v>
      </c>
      <c r="AL485" s="30" t="n">
        <v>60</v>
      </c>
      <c r="AM485" s="30" t="n">
        <v>0</v>
      </c>
      <c r="AN485" s="30" t="str">
        <f aca="false">IF(OR(V485="判定不能",M485="判定不能"),"判定不能",IF(AM485&gt;=判定条件!$C$9,"利用可",IF(AND(V485="停止",M485="停止"),"両方停止","運転がそろわない")))</f>
        <v>両方停止</v>
      </c>
      <c r="AO485" s="30" t="n">
        <v>60</v>
      </c>
      <c r="AP485" s="30" t="n">
        <v>0</v>
      </c>
      <c r="AQ485" s="30" t="str">
        <f aca="false">IF(OR(Y485="判定不能",G485="判定不能"),"判定不能",IF(AP485&gt;=判定条件!$C$9,"利用可",IF(AND(Y485="停止",G485="停止"),"両方停止","運転がそろわない")))</f>
        <v>両方停止</v>
      </c>
      <c r="AR485" s="30" t="n">
        <v>60</v>
      </c>
      <c r="AS485" s="30" t="n">
        <v>0</v>
      </c>
      <c r="AT485" s="30" t="str">
        <f aca="false">IF(OR(AB485="判定不能",J485="判定不能"),"判定不能",IF(AS485&gt;=判定条件!$C$9,"利用可",IF(AND(AB485="停止",J485="停止"),"両方停止","運転がそろわない")))</f>
        <v>両方停止</v>
      </c>
      <c r="AU485" s="30" t="n">
        <v>60</v>
      </c>
      <c r="AV485" s="30" t="n">
        <v>0</v>
      </c>
      <c r="AW485" s="30" t="str">
        <f aca="false">IF(OR(AE485="判定不能",M485="判定不能"),"判定不能",IF(AV485&gt;=判定条件!$C$9,"利用可",IF(AND(AE485="停止",M485="停止"),"両方停止","運転がそろわない")))</f>
        <v>両方停止</v>
      </c>
      <c r="AX485" s="30" t="str">
        <f aca="false">IF(AND(AH485="利用可",AK485="利用可",AN485="利用可"),"利用可","不可")</f>
        <v>不可</v>
      </c>
      <c r="AY485" s="30" t="str">
        <f aca="false">IF(AND(AQ485="利用可",AT485="利用可",AW485="利用可"),"利用可","不可")</f>
        <v>不可</v>
      </c>
    </row>
    <row r="486" customFormat="false" ht="15" hidden="false" customHeight="false" outlineLevel="0" collapsed="false">
      <c r="A486" s="29" t="n">
        <v>46252</v>
      </c>
      <c r="B486" s="30" t="n">
        <v>3</v>
      </c>
      <c r="C486" s="31" t="s">
        <v>67</v>
      </c>
      <c r="D486" s="31" t="s">
        <v>59</v>
      </c>
      <c r="E486" s="30" t="n">
        <v>60</v>
      </c>
      <c r="F486" s="30" t="n">
        <v>0</v>
      </c>
      <c r="G486" s="30" t="str">
        <f aca="false">IF(E486&lt;判定条件!$C$6,"判定不能",IF(F486&gt;=判定条件!$C$7*E486,"運転",IF(F486&lt;=判定条件!$C$8*E486,"停止","断続")))</f>
        <v>停止</v>
      </c>
      <c r="H486" s="30" t="n">
        <v>60</v>
      </c>
      <c r="I486" s="30" t="n">
        <v>0</v>
      </c>
      <c r="J486" s="30" t="str">
        <f aca="false">IF(H486&lt;判定条件!$C$6,"判定不能",IF(I486&gt;=判定条件!$C$7*H486,"運転",IF(I486&lt;=判定条件!$C$8*H486,"停止","断続")))</f>
        <v>停止</v>
      </c>
      <c r="K486" s="30" t="n">
        <v>60</v>
      </c>
      <c r="L486" s="30" t="n">
        <v>0</v>
      </c>
      <c r="M486" s="30" t="str">
        <f aca="false">IF(K486&lt;判定条件!$C$6,"判定不能",IF(L486&gt;=判定条件!$C$7*K486,"運転",IF(L486&lt;=判定条件!$C$8*K486,"停止","断続")))</f>
        <v>停止</v>
      </c>
      <c r="N486" s="30" t="n">
        <v>60</v>
      </c>
      <c r="O486" s="30" t="n">
        <v>0</v>
      </c>
      <c r="P486" s="30" t="str">
        <f aca="false">IF(N486&lt;判定条件!$C$6,"判定不能",IF(O486&gt;=判定条件!$C$7*N486,"運転",IF(O486&lt;=判定条件!$C$8*N486,"停止","断続")))</f>
        <v>停止</v>
      </c>
      <c r="Q486" s="30" t="n">
        <v>0</v>
      </c>
      <c r="R486" s="30" t="n">
        <v>0</v>
      </c>
      <c r="S486" s="30" t="str">
        <f aca="false">IF(Q486&lt;判定条件!$C$6,"判定不能",IF(R486&gt;=判定条件!$C$7*Q486,"運転",IF(R486&lt;=判定条件!$C$8*Q486,"停止","断続")))</f>
        <v>判定不能</v>
      </c>
      <c r="T486" s="30" t="n">
        <v>60</v>
      </c>
      <c r="U486" s="30" t="n">
        <v>0</v>
      </c>
      <c r="V486" s="30" t="str">
        <f aca="false">IF(T486&lt;判定条件!$C$6,"判定不能",IF(U486&gt;=判定条件!$C$7*T486,"運転",IF(U486&lt;=判定条件!$C$8*T486,"停止","断続")))</f>
        <v>停止</v>
      </c>
      <c r="W486" s="30" t="n">
        <v>60</v>
      </c>
      <c r="X486" s="30" t="n">
        <v>0</v>
      </c>
      <c r="Y486" s="30" t="str">
        <f aca="false">IF(W486&lt;判定条件!$C$6,"判定不能",IF(X486&gt;=判定条件!$C$7*W486,"運転",IF(X486&lt;=判定条件!$C$8*W486,"停止","断続")))</f>
        <v>停止</v>
      </c>
      <c r="Z486" s="30" t="n">
        <v>60</v>
      </c>
      <c r="AA486" s="30" t="n">
        <v>0</v>
      </c>
      <c r="AB486" s="30" t="str">
        <f aca="false">IF(Z486&lt;判定条件!$C$6,"判定不能",IF(AA486&gt;=判定条件!$C$7*Z486,"運転",IF(AA486&lt;=判定条件!$C$8*Z486,"停止","断続")))</f>
        <v>停止</v>
      </c>
      <c r="AC486" s="30" t="n">
        <v>60</v>
      </c>
      <c r="AD486" s="30" t="n">
        <v>0</v>
      </c>
      <c r="AE486" s="30" t="str">
        <f aca="false">IF(AC486&lt;判定条件!$C$6,"判定不能",IF(AD486&gt;=判定条件!$C$7*AC486,"運転",IF(AD486&lt;=判定条件!$C$8*AC486,"停止","断続")))</f>
        <v>停止</v>
      </c>
      <c r="AF486" s="30" t="n">
        <v>60</v>
      </c>
      <c r="AG486" s="30" t="n">
        <v>0</v>
      </c>
      <c r="AH486" s="30" t="str">
        <f aca="false">IF(OR(P486="判定不能",G486="判定不能"),"判定不能",IF(AG486&gt;=判定条件!$C$9,"利用可",IF(AND(P486="停止",G486="停止"),"両方停止","運転がそろわない")))</f>
        <v>両方停止</v>
      </c>
      <c r="AI486" s="30" t="n">
        <v>0</v>
      </c>
      <c r="AJ486" s="30" t="n">
        <v>0</v>
      </c>
      <c r="AK486" s="30" t="str">
        <f aca="false">IF(OR(S486="判定不能",J486="判定不能"),"判定不能",IF(AJ486&gt;=判定条件!$C$9,"利用可",IF(AND(S486="停止",J486="停止"),"両方停止","運転がそろわない")))</f>
        <v>判定不能</v>
      </c>
      <c r="AL486" s="30" t="n">
        <v>60</v>
      </c>
      <c r="AM486" s="30" t="n">
        <v>0</v>
      </c>
      <c r="AN486" s="30" t="str">
        <f aca="false">IF(OR(V486="判定不能",M486="判定不能"),"判定不能",IF(AM486&gt;=判定条件!$C$9,"利用可",IF(AND(V486="停止",M486="停止"),"両方停止","運転がそろわない")))</f>
        <v>両方停止</v>
      </c>
      <c r="AO486" s="30" t="n">
        <v>60</v>
      </c>
      <c r="AP486" s="30" t="n">
        <v>0</v>
      </c>
      <c r="AQ486" s="30" t="str">
        <f aca="false">IF(OR(Y486="判定不能",G486="判定不能"),"判定不能",IF(AP486&gt;=判定条件!$C$9,"利用可",IF(AND(Y486="停止",G486="停止"),"両方停止","運転がそろわない")))</f>
        <v>両方停止</v>
      </c>
      <c r="AR486" s="30" t="n">
        <v>60</v>
      </c>
      <c r="AS486" s="30" t="n">
        <v>0</v>
      </c>
      <c r="AT486" s="30" t="str">
        <f aca="false">IF(OR(AB486="判定不能",J486="判定不能"),"判定不能",IF(AS486&gt;=判定条件!$C$9,"利用可",IF(AND(AB486="停止",J486="停止"),"両方停止","運転がそろわない")))</f>
        <v>両方停止</v>
      </c>
      <c r="AU486" s="30" t="n">
        <v>60</v>
      </c>
      <c r="AV486" s="30" t="n">
        <v>0</v>
      </c>
      <c r="AW486" s="30" t="str">
        <f aca="false">IF(OR(AE486="判定不能",M486="判定不能"),"判定不能",IF(AV486&gt;=判定条件!$C$9,"利用可",IF(AND(AE486="停止",M486="停止"),"両方停止","運転がそろわない")))</f>
        <v>両方停止</v>
      </c>
      <c r="AX486" s="30" t="str">
        <f aca="false">IF(AND(AH486="利用可",AK486="利用可",AN486="利用可"),"利用可","不可")</f>
        <v>不可</v>
      </c>
      <c r="AY486" s="30" t="str">
        <f aca="false">IF(AND(AQ486="利用可",AT486="利用可",AW486="利用可"),"利用可","不可")</f>
        <v>不可</v>
      </c>
    </row>
    <row r="487" customFormat="false" ht="15" hidden="false" customHeight="false" outlineLevel="0" collapsed="false">
      <c r="A487" s="29" t="n">
        <v>46252</v>
      </c>
      <c r="B487" s="30" t="n">
        <v>4</v>
      </c>
      <c r="C487" s="31" t="s">
        <v>67</v>
      </c>
      <c r="D487" s="31" t="s">
        <v>59</v>
      </c>
      <c r="E487" s="30" t="n">
        <v>60</v>
      </c>
      <c r="F487" s="30" t="n">
        <v>0</v>
      </c>
      <c r="G487" s="30" t="str">
        <f aca="false">IF(E487&lt;判定条件!$C$6,"判定不能",IF(F487&gt;=判定条件!$C$7*E487,"運転",IF(F487&lt;=判定条件!$C$8*E487,"停止","断続")))</f>
        <v>停止</v>
      </c>
      <c r="H487" s="30" t="n">
        <v>60</v>
      </c>
      <c r="I487" s="30" t="n">
        <v>0</v>
      </c>
      <c r="J487" s="30" t="str">
        <f aca="false">IF(H487&lt;判定条件!$C$6,"判定不能",IF(I487&gt;=判定条件!$C$7*H487,"運転",IF(I487&lt;=判定条件!$C$8*H487,"停止","断続")))</f>
        <v>停止</v>
      </c>
      <c r="K487" s="30" t="n">
        <v>60</v>
      </c>
      <c r="L487" s="30" t="n">
        <v>0</v>
      </c>
      <c r="M487" s="30" t="str">
        <f aca="false">IF(K487&lt;判定条件!$C$6,"判定不能",IF(L487&gt;=判定条件!$C$7*K487,"運転",IF(L487&lt;=判定条件!$C$8*K487,"停止","断続")))</f>
        <v>停止</v>
      </c>
      <c r="N487" s="30" t="n">
        <v>60</v>
      </c>
      <c r="O487" s="30" t="n">
        <v>0</v>
      </c>
      <c r="P487" s="30" t="str">
        <f aca="false">IF(N487&lt;判定条件!$C$6,"判定不能",IF(O487&gt;=判定条件!$C$7*N487,"運転",IF(O487&lt;=判定条件!$C$8*N487,"停止","断続")))</f>
        <v>停止</v>
      </c>
      <c r="Q487" s="30" t="n">
        <v>0</v>
      </c>
      <c r="R487" s="30" t="n">
        <v>0</v>
      </c>
      <c r="S487" s="30" t="str">
        <f aca="false">IF(Q487&lt;判定条件!$C$6,"判定不能",IF(R487&gt;=判定条件!$C$7*Q487,"運転",IF(R487&lt;=判定条件!$C$8*Q487,"停止","断続")))</f>
        <v>判定不能</v>
      </c>
      <c r="T487" s="30" t="n">
        <v>60</v>
      </c>
      <c r="U487" s="30" t="n">
        <v>0</v>
      </c>
      <c r="V487" s="30" t="str">
        <f aca="false">IF(T487&lt;判定条件!$C$6,"判定不能",IF(U487&gt;=判定条件!$C$7*T487,"運転",IF(U487&lt;=判定条件!$C$8*T487,"停止","断続")))</f>
        <v>停止</v>
      </c>
      <c r="W487" s="30" t="n">
        <v>60</v>
      </c>
      <c r="X487" s="30" t="n">
        <v>0</v>
      </c>
      <c r="Y487" s="30" t="str">
        <f aca="false">IF(W487&lt;判定条件!$C$6,"判定不能",IF(X487&gt;=判定条件!$C$7*W487,"運転",IF(X487&lt;=判定条件!$C$8*W487,"停止","断続")))</f>
        <v>停止</v>
      </c>
      <c r="Z487" s="30" t="n">
        <v>60</v>
      </c>
      <c r="AA487" s="30" t="n">
        <v>0</v>
      </c>
      <c r="AB487" s="30" t="str">
        <f aca="false">IF(Z487&lt;判定条件!$C$6,"判定不能",IF(AA487&gt;=判定条件!$C$7*Z487,"運転",IF(AA487&lt;=判定条件!$C$8*Z487,"停止","断続")))</f>
        <v>停止</v>
      </c>
      <c r="AC487" s="30" t="n">
        <v>60</v>
      </c>
      <c r="AD487" s="30" t="n">
        <v>0</v>
      </c>
      <c r="AE487" s="30" t="str">
        <f aca="false">IF(AC487&lt;判定条件!$C$6,"判定不能",IF(AD487&gt;=判定条件!$C$7*AC487,"運転",IF(AD487&lt;=判定条件!$C$8*AC487,"停止","断続")))</f>
        <v>停止</v>
      </c>
      <c r="AF487" s="30" t="n">
        <v>60</v>
      </c>
      <c r="AG487" s="30" t="n">
        <v>0</v>
      </c>
      <c r="AH487" s="30" t="str">
        <f aca="false">IF(OR(P487="判定不能",G487="判定不能"),"判定不能",IF(AG487&gt;=判定条件!$C$9,"利用可",IF(AND(P487="停止",G487="停止"),"両方停止","運転がそろわない")))</f>
        <v>両方停止</v>
      </c>
      <c r="AI487" s="30" t="n">
        <v>0</v>
      </c>
      <c r="AJ487" s="30" t="n">
        <v>0</v>
      </c>
      <c r="AK487" s="30" t="str">
        <f aca="false">IF(OR(S487="判定不能",J487="判定不能"),"判定不能",IF(AJ487&gt;=判定条件!$C$9,"利用可",IF(AND(S487="停止",J487="停止"),"両方停止","運転がそろわない")))</f>
        <v>判定不能</v>
      </c>
      <c r="AL487" s="30" t="n">
        <v>60</v>
      </c>
      <c r="AM487" s="30" t="n">
        <v>0</v>
      </c>
      <c r="AN487" s="30" t="str">
        <f aca="false">IF(OR(V487="判定不能",M487="判定不能"),"判定不能",IF(AM487&gt;=判定条件!$C$9,"利用可",IF(AND(V487="停止",M487="停止"),"両方停止","運転がそろわない")))</f>
        <v>両方停止</v>
      </c>
      <c r="AO487" s="30" t="n">
        <v>60</v>
      </c>
      <c r="AP487" s="30" t="n">
        <v>0</v>
      </c>
      <c r="AQ487" s="30" t="str">
        <f aca="false">IF(OR(Y487="判定不能",G487="判定不能"),"判定不能",IF(AP487&gt;=判定条件!$C$9,"利用可",IF(AND(Y487="停止",G487="停止"),"両方停止","運転がそろわない")))</f>
        <v>両方停止</v>
      </c>
      <c r="AR487" s="30" t="n">
        <v>60</v>
      </c>
      <c r="AS487" s="30" t="n">
        <v>0</v>
      </c>
      <c r="AT487" s="30" t="str">
        <f aca="false">IF(OR(AB487="判定不能",J487="判定不能"),"判定不能",IF(AS487&gt;=判定条件!$C$9,"利用可",IF(AND(AB487="停止",J487="停止"),"両方停止","運転がそろわない")))</f>
        <v>両方停止</v>
      </c>
      <c r="AU487" s="30" t="n">
        <v>60</v>
      </c>
      <c r="AV487" s="30" t="n">
        <v>0</v>
      </c>
      <c r="AW487" s="30" t="str">
        <f aca="false">IF(OR(AE487="判定不能",M487="判定不能"),"判定不能",IF(AV487&gt;=判定条件!$C$9,"利用可",IF(AND(AE487="停止",M487="停止"),"両方停止","運転がそろわない")))</f>
        <v>両方停止</v>
      </c>
      <c r="AX487" s="30" t="str">
        <f aca="false">IF(AND(AH487="利用可",AK487="利用可",AN487="利用可"),"利用可","不可")</f>
        <v>不可</v>
      </c>
      <c r="AY487" s="30" t="str">
        <f aca="false">IF(AND(AQ487="利用可",AT487="利用可",AW487="利用可"),"利用可","不可")</f>
        <v>不可</v>
      </c>
    </row>
    <row r="488" customFormat="false" ht="15" hidden="false" customHeight="false" outlineLevel="0" collapsed="false">
      <c r="A488" s="29" t="n">
        <v>46252</v>
      </c>
      <c r="B488" s="30" t="n">
        <v>5</v>
      </c>
      <c r="C488" s="31" t="s">
        <v>67</v>
      </c>
      <c r="D488" s="31" t="s">
        <v>59</v>
      </c>
      <c r="E488" s="30" t="n">
        <v>60</v>
      </c>
      <c r="F488" s="30" t="n">
        <v>0</v>
      </c>
      <c r="G488" s="30" t="str">
        <f aca="false">IF(E488&lt;判定条件!$C$6,"判定不能",IF(F488&gt;=判定条件!$C$7*E488,"運転",IF(F488&lt;=判定条件!$C$8*E488,"停止","断続")))</f>
        <v>停止</v>
      </c>
      <c r="H488" s="30" t="n">
        <v>60</v>
      </c>
      <c r="I488" s="30" t="n">
        <v>0</v>
      </c>
      <c r="J488" s="30" t="str">
        <f aca="false">IF(H488&lt;判定条件!$C$6,"判定不能",IF(I488&gt;=判定条件!$C$7*H488,"運転",IF(I488&lt;=判定条件!$C$8*H488,"停止","断続")))</f>
        <v>停止</v>
      </c>
      <c r="K488" s="30" t="n">
        <v>60</v>
      </c>
      <c r="L488" s="30" t="n">
        <v>0</v>
      </c>
      <c r="M488" s="30" t="str">
        <f aca="false">IF(K488&lt;判定条件!$C$6,"判定不能",IF(L488&gt;=判定条件!$C$7*K488,"運転",IF(L488&lt;=判定条件!$C$8*K488,"停止","断続")))</f>
        <v>停止</v>
      </c>
      <c r="N488" s="30" t="n">
        <v>60</v>
      </c>
      <c r="O488" s="30" t="n">
        <v>0</v>
      </c>
      <c r="P488" s="30" t="str">
        <f aca="false">IF(N488&lt;判定条件!$C$6,"判定不能",IF(O488&gt;=判定条件!$C$7*N488,"運転",IF(O488&lt;=判定条件!$C$8*N488,"停止","断続")))</f>
        <v>停止</v>
      </c>
      <c r="Q488" s="30" t="n">
        <v>0</v>
      </c>
      <c r="R488" s="30" t="n">
        <v>0</v>
      </c>
      <c r="S488" s="30" t="str">
        <f aca="false">IF(Q488&lt;判定条件!$C$6,"判定不能",IF(R488&gt;=判定条件!$C$7*Q488,"運転",IF(R488&lt;=判定条件!$C$8*Q488,"停止","断続")))</f>
        <v>判定不能</v>
      </c>
      <c r="T488" s="30" t="n">
        <v>60</v>
      </c>
      <c r="U488" s="30" t="n">
        <v>0</v>
      </c>
      <c r="V488" s="30" t="str">
        <f aca="false">IF(T488&lt;判定条件!$C$6,"判定不能",IF(U488&gt;=判定条件!$C$7*T488,"運転",IF(U488&lt;=判定条件!$C$8*T488,"停止","断続")))</f>
        <v>停止</v>
      </c>
      <c r="W488" s="30" t="n">
        <v>60</v>
      </c>
      <c r="X488" s="30" t="n">
        <v>26</v>
      </c>
      <c r="Y488" s="30" t="str">
        <f aca="false">IF(W488&lt;判定条件!$C$6,"判定不能",IF(X488&gt;=判定条件!$C$7*W488,"運転",IF(X488&lt;=判定条件!$C$8*W488,"停止","断続")))</f>
        <v>断続</v>
      </c>
      <c r="Z488" s="30" t="n">
        <v>60</v>
      </c>
      <c r="AA488" s="30" t="n">
        <v>0</v>
      </c>
      <c r="AB488" s="30" t="str">
        <f aca="false">IF(Z488&lt;判定条件!$C$6,"判定不能",IF(AA488&gt;=判定条件!$C$7*Z488,"運転",IF(AA488&lt;=判定条件!$C$8*Z488,"停止","断続")))</f>
        <v>停止</v>
      </c>
      <c r="AC488" s="30" t="n">
        <v>60</v>
      </c>
      <c r="AD488" s="30" t="n">
        <v>0</v>
      </c>
      <c r="AE488" s="30" t="str">
        <f aca="false">IF(AC488&lt;判定条件!$C$6,"判定不能",IF(AD488&gt;=判定条件!$C$7*AC488,"運転",IF(AD488&lt;=判定条件!$C$8*AC488,"停止","断続")))</f>
        <v>停止</v>
      </c>
      <c r="AF488" s="30" t="n">
        <v>60</v>
      </c>
      <c r="AG488" s="30" t="n">
        <v>0</v>
      </c>
      <c r="AH488" s="30" t="str">
        <f aca="false">IF(OR(P488="判定不能",G488="判定不能"),"判定不能",IF(AG488&gt;=判定条件!$C$9,"利用可",IF(AND(P488="停止",G488="停止"),"両方停止","運転がそろわない")))</f>
        <v>両方停止</v>
      </c>
      <c r="AI488" s="30" t="n">
        <v>0</v>
      </c>
      <c r="AJ488" s="30" t="n">
        <v>0</v>
      </c>
      <c r="AK488" s="30" t="str">
        <f aca="false">IF(OR(S488="判定不能",J488="判定不能"),"判定不能",IF(AJ488&gt;=判定条件!$C$9,"利用可",IF(AND(S488="停止",J488="停止"),"両方停止","運転がそろわない")))</f>
        <v>判定不能</v>
      </c>
      <c r="AL488" s="30" t="n">
        <v>60</v>
      </c>
      <c r="AM488" s="30" t="n">
        <v>0</v>
      </c>
      <c r="AN488" s="30" t="str">
        <f aca="false">IF(OR(V488="判定不能",M488="判定不能"),"判定不能",IF(AM488&gt;=判定条件!$C$9,"利用可",IF(AND(V488="停止",M488="停止"),"両方停止","運転がそろわない")))</f>
        <v>両方停止</v>
      </c>
      <c r="AO488" s="30" t="n">
        <v>60</v>
      </c>
      <c r="AP488" s="30" t="n">
        <v>0</v>
      </c>
      <c r="AQ488" s="30" t="str">
        <f aca="false">IF(OR(Y488="判定不能",G488="判定不能"),"判定不能",IF(AP488&gt;=判定条件!$C$9,"利用可",IF(AND(Y488="停止",G488="停止"),"両方停止","運転がそろわない")))</f>
        <v>運転がそろわない</v>
      </c>
      <c r="AR488" s="30" t="n">
        <v>60</v>
      </c>
      <c r="AS488" s="30" t="n">
        <v>0</v>
      </c>
      <c r="AT488" s="30" t="str">
        <f aca="false">IF(OR(AB488="判定不能",J488="判定不能"),"判定不能",IF(AS488&gt;=判定条件!$C$9,"利用可",IF(AND(AB488="停止",J488="停止"),"両方停止","運転がそろわない")))</f>
        <v>両方停止</v>
      </c>
      <c r="AU488" s="30" t="n">
        <v>60</v>
      </c>
      <c r="AV488" s="30" t="n">
        <v>0</v>
      </c>
      <c r="AW488" s="30" t="str">
        <f aca="false">IF(OR(AE488="判定不能",M488="判定不能"),"判定不能",IF(AV488&gt;=判定条件!$C$9,"利用可",IF(AND(AE488="停止",M488="停止"),"両方停止","運転がそろわない")))</f>
        <v>両方停止</v>
      </c>
      <c r="AX488" s="30" t="str">
        <f aca="false">IF(AND(AH488="利用可",AK488="利用可",AN488="利用可"),"利用可","不可")</f>
        <v>不可</v>
      </c>
      <c r="AY488" s="30" t="str">
        <f aca="false">IF(AND(AQ488="利用可",AT488="利用可",AW488="利用可"),"利用可","不可")</f>
        <v>不可</v>
      </c>
    </row>
    <row r="489" customFormat="false" ht="15" hidden="false" customHeight="false" outlineLevel="0" collapsed="false">
      <c r="A489" s="29" t="n">
        <v>46252</v>
      </c>
      <c r="B489" s="30" t="n">
        <v>6</v>
      </c>
      <c r="C489" s="31" t="s">
        <v>67</v>
      </c>
      <c r="D489" s="31" t="s">
        <v>59</v>
      </c>
      <c r="E489" s="30" t="n">
        <v>60</v>
      </c>
      <c r="F489" s="30" t="n">
        <v>0</v>
      </c>
      <c r="G489" s="30" t="str">
        <f aca="false">IF(E489&lt;判定条件!$C$6,"判定不能",IF(F489&gt;=判定条件!$C$7*E489,"運転",IF(F489&lt;=判定条件!$C$8*E489,"停止","断続")))</f>
        <v>停止</v>
      </c>
      <c r="H489" s="30" t="n">
        <v>60</v>
      </c>
      <c r="I489" s="30" t="n">
        <v>0</v>
      </c>
      <c r="J489" s="30" t="str">
        <f aca="false">IF(H489&lt;判定条件!$C$6,"判定不能",IF(I489&gt;=判定条件!$C$7*H489,"運転",IF(I489&lt;=判定条件!$C$8*H489,"停止","断続")))</f>
        <v>停止</v>
      </c>
      <c r="K489" s="30" t="n">
        <v>60</v>
      </c>
      <c r="L489" s="30" t="n">
        <v>0</v>
      </c>
      <c r="M489" s="30" t="str">
        <f aca="false">IF(K489&lt;判定条件!$C$6,"判定不能",IF(L489&gt;=判定条件!$C$7*K489,"運転",IF(L489&lt;=判定条件!$C$8*K489,"停止","断続")))</f>
        <v>停止</v>
      </c>
      <c r="N489" s="30" t="n">
        <v>60</v>
      </c>
      <c r="O489" s="30" t="n">
        <v>26</v>
      </c>
      <c r="P489" s="30" t="str">
        <f aca="false">IF(N489&lt;判定条件!$C$6,"判定不能",IF(O489&gt;=判定条件!$C$7*N489,"運転",IF(O489&lt;=判定条件!$C$8*N489,"停止","断続")))</f>
        <v>断続</v>
      </c>
      <c r="Q489" s="30" t="n">
        <v>0</v>
      </c>
      <c r="R489" s="30" t="n">
        <v>0</v>
      </c>
      <c r="S489" s="30" t="str">
        <f aca="false">IF(Q489&lt;判定条件!$C$6,"判定不能",IF(R489&gt;=判定条件!$C$7*Q489,"運転",IF(R489&lt;=判定条件!$C$8*Q489,"停止","断続")))</f>
        <v>判定不能</v>
      </c>
      <c r="T489" s="30" t="n">
        <v>60</v>
      </c>
      <c r="U489" s="30" t="n">
        <v>19</v>
      </c>
      <c r="V489" s="30" t="str">
        <f aca="false">IF(T489&lt;判定条件!$C$6,"判定不能",IF(U489&gt;=判定条件!$C$7*T489,"運転",IF(U489&lt;=判定条件!$C$8*T489,"停止","断続")))</f>
        <v>断続</v>
      </c>
      <c r="W489" s="30" t="n">
        <v>60</v>
      </c>
      <c r="X489" s="30" t="n">
        <v>59</v>
      </c>
      <c r="Y489" s="30" t="str">
        <f aca="false">IF(W489&lt;判定条件!$C$6,"判定不能",IF(X489&gt;=判定条件!$C$7*W489,"運転",IF(X489&lt;=判定条件!$C$8*W489,"停止","断続")))</f>
        <v>運転</v>
      </c>
      <c r="Z489" s="30" t="n">
        <v>60</v>
      </c>
      <c r="AA489" s="30" t="n">
        <v>27</v>
      </c>
      <c r="AB489" s="30" t="str">
        <f aca="false">IF(Z489&lt;判定条件!$C$6,"判定不能",IF(AA489&gt;=判定条件!$C$7*Z489,"運転",IF(AA489&lt;=判定条件!$C$8*Z489,"停止","断続")))</f>
        <v>断続</v>
      </c>
      <c r="AC489" s="30" t="n">
        <v>60</v>
      </c>
      <c r="AD489" s="30" t="n">
        <v>37</v>
      </c>
      <c r="AE489" s="30" t="str">
        <f aca="false">IF(AC489&lt;判定条件!$C$6,"判定不能",IF(AD489&gt;=判定条件!$C$7*AC489,"運転",IF(AD489&lt;=判定条件!$C$8*AC489,"停止","断続")))</f>
        <v>断続</v>
      </c>
      <c r="AF489" s="30" t="n">
        <v>60</v>
      </c>
      <c r="AG489" s="30" t="n">
        <v>0</v>
      </c>
      <c r="AH489" s="30" t="str">
        <f aca="false">IF(OR(P489="判定不能",G489="判定不能"),"判定不能",IF(AG489&gt;=判定条件!$C$9,"利用可",IF(AND(P489="停止",G489="停止"),"両方停止","運転がそろわない")))</f>
        <v>運転がそろわない</v>
      </c>
      <c r="AI489" s="30" t="n">
        <v>0</v>
      </c>
      <c r="AJ489" s="30" t="n">
        <v>0</v>
      </c>
      <c r="AK489" s="30" t="str">
        <f aca="false">IF(OR(S489="判定不能",J489="判定不能"),"判定不能",IF(AJ489&gt;=判定条件!$C$9,"利用可",IF(AND(S489="停止",J489="停止"),"両方停止","運転がそろわない")))</f>
        <v>判定不能</v>
      </c>
      <c r="AL489" s="30" t="n">
        <v>60</v>
      </c>
      <c r="AM489" s="30" t="n">
        <v>0</v>
      </c>
      <c r="AN489" s="30" t="str">
        <f aca="false">IF(OR(V489="判定不能",M489="判定不能"),"判定不能",IF(AM489&gt;=判定条件!$C$9,"利用可",IF(AND(V489="停止",M489="停止"),"両方停止","運転がそろわない")))</f>
        <v>運転がそろわない</v>
      </c>
      <c r="AO489" s="30" t="n">
        <v>60</v>
      </c>
      <c r="AP489" s="30" t="n">
        <v>0</v>
      </c>
      <c r="AQ489" s="30" t="str">
        <f aca="false">IF(OR(Y489="判定不能",G489="判定不能"),"判定不能",IF(AP489&gt;=判定条件!$C$9,"利用可",IF(AND(Y489="停止",G489="停止"),"両方停止","運転がそろわない")))</f>
        <v>運転がそろわない</v>
      </c>
      <c r="AR489" s="30" t="n">
        <v>60</v>
      </c>
      <c r="AS489" s="30" t="n">
        <v>0</v>
      </c>
      <c r="AT489" s="30" t="str">
        <f aca="false">IF(OR(AB489="判定不能",J489="判定不能"),"判定不能",IF(AS489&gt;=判定条件!$C$9,"利用可",IF(AND(AB489="停止",J489="停止"),"両方停止","運転がそろわない")))</f>
        <v>運転がそろわない</v>
      </c>
      <c r="AU489" s="30" t="n">
        <v>60</v>
      </c>
      <c r="AV489" s="30" t="n">
        <v>0</v>
      </c>
      <c r="AW489" s="30" t="str">
        <f aca="false">IF(OR(AE489="判定不能",M489="判定不能"),"判定不能",IF(AV489&gt;=判定条件!$C$9,"利用可",IF(AND(AE489="停止",M489="停止"),"両方停止","運転がそろわない")))</f>
        <v>運転がそろわない</v>
      </c>
      <c r="AX489" s="30" t="str">
        <f aca="false">IF(AND(AH489="利用可",AK489="利用可",AN489="利用可"),"利用可","不可")</f>
        <v>不可</v>
      </c>
      <c r="AY489" s="30" t="str">
        <f aca="false">IF(AND(AQ489="利用可",AT489="利用可",AW489="利用可"),"利用可","不可")</f>
        <v>不可</v>
      </c>
    </row>
    <row r="490" customFormat="false" ht="15" hidden="false" customHeight="false" outlineLevel="0" collapsed="false">
      <c r="A490" s="29" t="n">
        <v>46252</v>
      </c>
      <c r="B490" s="30" t="n">
        <v>7</v>
      </c>
      <c r="C490" s="31" t="s">
        <v>67</v>
      </c>
      <c r="D490" s="31" t="s">
        <v>59</v>
      </c>
      <c r="E490" s="30" t="n">
        <v>60</v>
      </c>
      <c r="F490" s="30" t="n">
        <v>0</v>
      </c>
      <c r="G490" s="30" t="str">
        <f aca="false">IF(E490&lt;判定条件!$C$6,"判定不能",IF(F490&gt;=判定条件!$C$7*E490,"運転",IF(F490&lt;=判定条件!$C$8*E490,"停止","断続")))</f>
        <v>停止</v>
      </c>
      <c r="H490" s="30" t="n">
        <v>60</v>
      </c>
      <c r="I490" s="30" t="n">
        <v>0</v>
      </c>
      <c r="J490" s="30" t="str">
        <f aca="false">IF(H490&lt;判定条件!$C$6,"判定不能",IF(I490&gt;=判定条件!$C$7*H490,"運転",IF(I490&lt;=判定条件!$C$8*H490,"停止","断続")))</f>
        <v>停止</v>
      </c>
      <c r="K490" s="30" t="n">
        <v>60</v>
      </c>
      <c r="L490" s="30" t="n">
        <v>5</v>
      </c>
      <c r="M490" s="30" t="str">
        <f aca="false">IF(K490&lt;判定条件!$C$6,"判定不能",IF(L490&gt;=判定条件!$C$7*K490,"運転",IF(L490&lt;=判定条件!$C$8*K490,"停止","断続")))</f>
        <v>停止</v>
      </c>
      <c r="N490" s="30" t="n">
        <v>60</v>
      </c>
      <c r="O490" s="30" t="n">
        <v>46</v>
      </c>
      <c r="P490" s="30" t="str">
        <f aca="false">IF(N490&lt;判定条件!$C$6,"判定不能",IF(O490&gt;=判定条件!$C$7*N490,"運転",IF(O490&lt;=判定条件!$C$8*N490,"停止","断続")))</f>
        <v>断続</v>
      </c>
      <c r="Q490" s="30" t="n">
        <v>0</v>
      </c>
      <c r="R490" s="30" t="n">
        <v>0</v>
      </c>
      <c r="S490" s="30" t="str">
        <f aca="false">IF(Q490&lt;判定条件!$C$6,"判定不能",IF(R490&gt;=判定条件!$C$7*Q490,"運転",IF(R490&lt;=判定条件!$C$8*Q490,"停止","断続")))</f>
        <v>判定不能</v>
      </c>
      <c r="T490" s="30" t="n">
        <v>60</v>
      </c>
      <c r="U490" s="30" t="n">
        <v>60</v>
      </c>
      <c r="V490" s="30" t="str">
        <f aca="false">IF(T490&lt;判定条件!$C$6,"判定不能",IF(U490&gt;=判定条件!$C$7*T490,"運転",IF(U490&lt;=判定条件!$C$8*T490,"停止","断続")))</f>
        <v>運転</v>
      </c>
      <c r="W490" s="30" t="n">
        <v>60</v>
      </c>
      <c r="X490" s="30" t="n">
        <v>36</v>
      </c>
      <c r="Y490" s="30" t="str">
        <f aca="false">IF(W490&lt;判定条件!$C$6,"判定不能",IF(X490&gt;=判定条件!$C$7*W490,"運転",IF(X490&lt;=判定条件!$C$8*W490,"停止","断続")))</f>
        <v>断続</v>
      </c>
      <c r="Z490" s="30" t="n">
        <v>60</v>
      </c>
      <c r="AA490" s="30" t="n">
        <v>28</v>
      </c>
      <c r="AB490" s="30" t="str">
        <f aca="false">IF(Z490&lt;判定条件!$C$6,"判定不能",IF(AA490&gt;=判定条件!$C$7*Z490,"運転",IF(AA490&lt;=判定条件!$C$8*Z490,"停止","断続")))</f>
        <v>断続</v>
      </c>
      <c r="AC490" s="30" t="n">
        <v>60</v>
      </c>
      <c r="AD490" s="30" t="n">
        <v>58</v>
      </c>
      <c r="AE490" s="30" t="str">
        <f aca="false">IF(AC490&lt;判定条件!$C$6,"判定不能",IF(AD490&gt;=判定条件!$C$7*AC490,"運転",IF(AD490&lt;=判定条件!$C$8*AC490,"停止","断続")))</f>
        <v>運転</v>
      </c>
      <c r="AF490" s="30" t="n">
        <v>60</v>
      </c>
      <c r="AG490" s="30" t="n">
        <v>0</v>
      </c>
      <c r="AH490" s="30" t="str">
        <f aca="false">IF(OR(P490="判定不能",G490="判定不能"),"判定不能",IF(AG490&gt;=判定条件!$C$9,"利用可",IF(AND(P490="停止",G490="停止"),"両方停止","運転がそろわない")))</f>
        <v>運転がそろわない</v>
      </c>
      <c r="AI490" s="30" t="n">
        <v>0</v>
      </c>
      <c r="AJ490" s="30" t="n">
        <v>0</v>
      </c>
      <c r="AK490" s="30" t="str">
        <f aca="false">IF(OR(S490="判定不能",J490="判定不能"),"判定不能",IF(AJ490&gt;=判定条件!$C$9,"利用可",IF(AND(S490="停止",J490="停止"),"両方停止","運転がそろわない")))</f>
        <v>判定不能</v>
      </c>
      <c r="AL490" s="30" t="n">
        <v>60</v>
      </c>
      <c r="AM490" s="30" t="n">
        <v>5</v>
      </c>
      <c r="AN490" s="30" t="str">
        <f aca="false">IF(OR(V490="判定不能",M490="判定不能"),"判定不能",IF(AM490&gt;=判定条件!$C$9,"利用可",IF(AND(V490="停止",M490="停止"),"両方停止","運転がそろわない")))</f>
        <v>運転がそろわない</v>
      </c>
      <c r="AO490" s="30" t="n">
        <v>60</v>
      </c>
      <c r="AP490" s="30" t="n">
        <v>0</v>
      </c>
      <c r="AQ490" s="30" t="str">
        <f aca="false">IF(OR(Y490="判定不能",G490="判定不能"),"判定不能",IF(AP490&gt;=判定条件!$C$9,"利用可",IF(AND(Y490="停止",G490="停止"),"両方停止","運転がそろわない")))</f>
        <v>運転がそろわない</v>
      </c>
      <c r="AR490" s="30" t="n">
        <v>60</v>
      </c>
      <c r="AS490" s="30" t="n">
        <v>0</v>
      </c>
      <c r="AT490" s="30" t="str">
        <f aca="false">IF(OR(AB490="判定不能",J490="判定不能"),"判定不能",IF(AS490&gt;=判定条件!$C$9,"利用可",IF(AND(AB490="停止",J490="停止"),"両方停止","運転がそろわない")))</f>
        <v>運転がそろわない</v>
      </c>
      <c r="AU490" s="30" t="n">
        <v>60</v>
      </c>
      <c r="AV490" s="30" t="n">
        <v>5</v>
      </c>
      <c r="AW490" s="30" t="str">
        <f aca="false">IF(OR(AE490="判定不能",M490="判定不能"),"判定不能",IF(AV490&gt;=判定条件!$C$9,"利用可",IF(AND(AE490="停止",M490="停止"),"両方停止","運転がそろわない")))</f>
        <v>運転がそろわない</v>
      </c>
      <c r="AX490" s="30" t="str">
        <f aca="false">IF(AND(AH490="利用可",AK490="利用可",AN490="利用可"),"利用可","不可")</f>
        <v>不可</v>
      </c>
      <c r="AY490" s="30" t="str">
        <f aca="false">IF(AND(AQ490="利用可",AT490="利用可",AW490="利用可"),"利用可","不可")</f>
        <v>不可</v>
      </c>
    </row>
    <row r="491" customFormat="false" ht="15" hidden="false" customHeight="false" outlineLevel="0" collapsed="false">
      <c r="A491" s="29" t="n">
        <v>46252</v>
      </c>
      <c r="B491" s="30" t="n">
        <v>8</v>
      </c>
      <c r="C491" s="31" t="s">
        <v>67</v>
      </c>
      <c r="D491" s="31" t="s">
        <v>59</v>
      </c>
      <c r="E491" s="30" t="n">
        <v>60</v>
      </c>
      <c r="F491" s="30" t="n">
        <v>51</v>
      </c>
      <c r="G491" s="30" t="str">
        <f aca="false">IF(E491&lt;判定条件!$C$6,"判定不能",IF(F491&gt;=判定条件!$C$7*E491,"運転",IF(F491&lt;=判定条件!$C$8*E491,"停止","断続")))</f>
        <v>運転</v>
      </c>
      <c r="H491" s="30" t="n">
        <v>60</v>
      </c>
      <c r="I491" s="30" t="n">
        <v>27</v>
      </c>
      <c r="J491" s="30" t="str">
        <f aca="false">IF(H491&lt;判定条件!$C$6,"判定不能",IF(I491&gt;=判定条件!$C$7*H491,"運転",IF(I491&lt;=判定条件!$C$8*H491,"停止","断続")))</f>
        <v>断続</v>
      </c>
      <c r="K491" s="30" t="n">
        <v>60</v>
      </c>
      <c r="L491" s="30" t="n">
        <v>36</v>
      </c>
      <c r="M491" s="30" t="str">
        <f aca="false">IF(K491&lt;判定条件!$C$6,"判定不能",IF(L491&gt;=判定条件!$C$7*K491,"運転",IF(L491&lt;=判定条件!$C$8*K491,"停止","断続")))</f>
        <v>断続</v>
      </c>
      <c r="N491" s="30" t="n">
        <v>60</v>
      </c>
      <c r="O491" s="30" t="n">
        <v>60</v>
      </c>
      <c r="P491" s="30" t="str">
        <f aca="false">IF(N491&lt;判定条件!$C$6,"判定不能",IF(O491&gt;=判定条件!$C$7*N491,"運転",IF(O491&lt;=判定条件!$C$8*N491,"停止","断続")))</f>
        <v>運転</v>
      </c>
      <c r="Q491" s="30" t="n">
        <v>0</v>
      </c>
      <c r="R491" s="30" t="n">
        <v>0</v>
      </c>
      <c r="S491" s="30" t="str">
        <f aca="false">IF(Q491&lt;判定条件!$C$6,"判定不能",IF(R491&gt;=判定条件!$C$7*Q491,"運転",IF(R491&lt;=判定条件!$C$8*Q491,"停止","断続")))</f>
        <v>判定不能</v>
      </c>
      <c r="T491" s="30" t="n">
        <v>60</v>
      </c>
      <c r="U491" s="30" t="n">
        <v>45</v>
      </c>
      <c r="V491" s="30" t="str">
        <f aca="false">IF(T491&lt;判定条件!$C$6,"判定不能",IF(U491&gt;=判定条件!$C$7*T491,"運転",IF(U491&lt;=判定条件!$C$8*T491,"停止","断続")))</f>
        <v>断続</v>
      </c>
      <c r="W491" s="30" t="n">
        <v>60</v>
      </c>
      <c r="X491" s="30" t="n">
        <v>52</v>
      </c>
      <c r="Y491" s="30" t="str">
        <f aca="false">IF(W491&lt;判定条件!$C$6,"判定不能",IF(X491&gt;=判定条件!$C$7*W491,"運転",IF(X491&lt;=判定条件!$C$8*W491,"停止","断続")))</f>
        <v>運転</v>
      </c>
      <c r="Z491" s="30" t="n">
        <v>60</v>
      </c>
      <c r="AA491" s="30" t="n">
        <v>56</v>
      </c>
      <c r="AB491" s="30" t="str">
        <f aca="false">IF(Z491&lt;判定条件!$C$6,"判定不能",IF(AA491&gt;=判定条件!$C$7*Z491,"運転",IF(AA491&lt;=判定条件!$C$8*Z491,"停止","断続")))</f>
        <v>運転</v>
      </c>
      <c r="AC491" s="30" t="n">
        <v>60</v>
      </c>
      <c r="AD491" s="30" t="n">
        <v>52</v>
      </c>
      <c r="AE491" s="30" t="str">
        <f aca="false">IF(AC491&lt;判定条件!$C$6,"判定不能",IF(AD491&gt;=判定条件!$C$7*AC491,"運転",IF(AD491&lt;=判定条件!$C$8*AC491,"停止","断続")))</f>
        <v>運転</v>
      </c>
      <c r="AF491" s="30" t="n">
        <v>60</v>
      </c>
      <c r="AG491" s="30" t="n">
        <v>51</v>
      </c>
      <c r="AH491" s="30" t="str">
        <f aca="false">IF(OR(P491="判定不能",G491="判定不能"),"判定不能",IF(AG491&gt;=判定条件!$C$9,"利用可",IF(AND(P491="停止",G491="停止"),"両方停止","運転がそろわない")))</f>
        <v>利用可</v>
      </c>
      <c r="AI491" s="30" t="n">
        <v>0</v>
      </c>
      <c r="AJ491" s="30" t="n">
        <v>0</v>
      </c>
      <c r="AK491" s="30" t="str">
        <f aca="false">IF(OR(S491="判定不能",J491="判定不能"),"判定不能",IF(AJ491&gt;=判定条件!$C$9,"利用可",IF(AND(S491="停止",J491="停止"),"両方停止","運転がそろわない")))</f>
        <v>判定不能</v>
      </c>
      <c r="AL491" s="30" t="n">
        <v>60</v>
      </c>
      <c r="AM491" s="30" t="n">
        <v>31</v>
      </c>
      <c r="AN491" s="30" t="str">
        <f aca="false">IF(OR(V491="判定不能",M491="判定不能"),"判定不能",IF(AM491&gt;=判定条件!$C$9,"利用可",IF(AND(V491="停止",M491="停止"),"両方停止","運転がそろわない")))</f>
        <v>利用可</v>
      </c>
      <c r="AO491" s="30" t="n">
        <v>60</v>
      </c>
      <c r="AP491" s="30" t="n">
        <v>43</v>
      </c>
      <c r="AQ491" s="30" t="str">
        <f aca="false">IF(OR(Y491="判定不能",G491="判定不能"),"判定不能",IF(AP491&gt;=判定条件!$C$9,"利用可",IF(AND(Y491="停止",G491="停止"),"両方停止","運転がそろわない")))</f>
        <v>利用可</v>
      </c>
      <c r="AR491" s="30" t="n">
        <v>60</v>
      </c>
      <c r="AS491" s="30" t="n">
        <v>23</v>
      </c>
      <c r="AT491" s="30" t="str">
        <f aca="false">IF(OR(AB491="判定不能",J491="判定不能"),"判定不能",IF(AS491&gt;=判定条件!$C$9,"利用可",IF(AND(AB491="停止",J491="停止"),"両方停止","運転がそろわない")))</f>
        <v>運転がそろわない</v>
      </c>
      <c r="AU491" s="30" t="n">
        <v>60</v>
      </c>
      <c r="AV491" s="30" t="n">
        <v>32</v>
      </c>
      <c r="AW491" s="30" t="str">
        <f aca="false">IF(OR(AE491="判定不能",M491="判定不能"),"判定不能",IF(AV491&gt;=判定条件!$C$9,"利用可",IF(AND(AE491="停止",M491="停止"),"両方停止","運転がそろわない")))</f>
        <v>利用可</v>
      </c>
      <c r="AX491" s="30" t="str">
        <f aca="false">IF(AND(AH491="利用可",AK491="利用可",AN491="利用可"),"利用可","不可")</f>
        <v>不可</v>
      </c>
      <c r="AY491" s="30" t="str">
        <f aca="false">IF(AND(AQ491="利用可",AT491="利用可",AW491="利用可"),"利用可","不可")</f>
        <v>不可</v>
      </c>
    </row>
    <row r="492" customFormat="false" ht="15" hidden="false" customHeight="false" outlineLevel="0" collapsed="false">
      <c r="A492" s="29" t="n">
        <v>46252</v>
      </c>
      <c r="B492" s="30" t="n">
        <v>9</v>
      </c>
      <c r="C492" s="31" t="s">
        <v>67</v>
      </c>
      <c r="D492" s="31" t="s">
        <v>59</v>
      </c>
      <c r="E492" s="30" t="n">
        <v>60</v>
      </c>
      <c r="F492" s="30" t="n">
        <v>60</v>
      </c>
      <c r="G492" s="30" t="str">
        <f aca="false">IF(E492&lt;判定条件!$C$6,"判定不能",IF(F492&gt;=判定条件!$C$7*E492,"運転",IF(F492&lt;=判定条件!$C$8*E492,"停止","断続")))</f>
        <v>運転</v>
      </c>
      <c r="H492" s="30" t="n">
        <v>60</v>
      </c>
      <c r="I492" s="30" t="n">
        <v>60</v>
      </c>
      <c r="J492" s="30" t="str">
        <f aca="false">IF(H492&lt;判定条件!$C$6,"判定不能",IF(I492&gt;=判定条件!$C$7*H492,"運転",IF(I492&lt;=判定条件!$C$8*H492,"停止","断続")))</f>
        <v>運転</v>
      </c>
      <c r="K492" s="30" t="n">
        <v>60</v>
      </c>
      <c r="L492" s="30" t="n">
        <v>60</v>
      </c>
      <c r="M492" s="30" t="str">
        <f aca="false">IF(K492&lt;判定条件!$C$6,"判定不能",IF(L492&gt;=判定条件!$C$7*K492,"運転",IF(L492&lt;=判定条件!$C$8*K492,"停止","断続")))</f>
        <v>運転</v>
      </c>
      <c r="N492" s="30" t="n">
        <v>60</v>
      </c>
      <c r="O492" s="30" t="n">
        <v>60</v>
      </c>
      <c r="P492" s="30" t="str">
        <f aca="false">IF(N492&lt;判定条件!$C$6,"判定不能",IF(O492&gt;=判定条件!$C$7*N492,"運転",IF(O492&lt;=判定条件!$C$8*N492,"停止","断続")))</f>
        <v>運転</v>
      </c>
      <c r="Q492" s="30" t="n">
        <v>0</v>
      </c>
      <c r="R492" s="30" t="n">
        <v>0</v>
      </c>
      <c r="S492" s="30" t="str">
        <f aca="false">IF(Q492&lt;判定条件!$C$6,"判定不能",IF(R492&gt;=判定条件!$C$7*Q492,"運転",IF(R492&lt;=判定条件!$C$8*Q492,"停止","断続")))</f>
        <v>判定不能</v>
      </c>
      <c r="T492" s="30" t="n">
        <v>60</v>
      </c>
      <c r="U492" s="30" t="n">
        <v>60</v>
      </c>
      <c r="V492" s="30" t="str">
        <f aca="false">IF(T492&lt;判定条件!$C$6,"判定不能",IF(U492&gt;=判定条件!$C$7*T492,"運転",IF(U492&lt;=判定条件!$C$8*T492,"停止","断続")))</f>
        <v>運転</v>
      </c>
      <c r="W492" s="30" t="n">
        <v>60</v>
      </c>
      <c r="X492" s="30" t="n">
        <v>60</v>
      </c>
      <c r="Y492" s="30" t="str">
        <f aca="false">IF(W492&lt;判定条件!$C$6,"判定不能",IF(X492&gt;=判定条件!$C$7*W492,"運転",IF(X492&lt;=判定条件!$C$8*W492,"停止","断続")))</f>
        <v>運転</v>
      </c>
      <c r="Z492" s="30" t="n">
        <v>60</v>
      </c>
      <c r="AA492" s="30" t="n">
        <v>60</v>
      </c>
      <c r="AB492" s="30" t="str">
        <f aca="false">IF(Z492&lt;判定条件!$C$6,"判定不能",IF(AA492&gt;=判定条件!$C$7*Z492,"運転",IF(AA492&lt;=判定条件!$C$8*Z492,"停止","断続")))</f>
        <v>運転</v>
      </c>
      <c r="AC492" s="30" t="n">
        <v>60</v>
      </c>
      <c r="AD492" s="30" t="n">
        <v>60</v>
      </c>
      <c r="AE492" s="30" t="str">
        <f aca="false">IF(AC492&lt;判定条件!$C$6,"判定不能",IF(AD492&gt;=判定条件!$C$7*AC492,"運転",IF(AD492&lt;=判定条件!$C$8*AC492,"停止","断続")))</f>
        <v>運転</v>
      </c>
      <c r="AF492" s="30" t="n">
        <v>60</v>
      </c>
      <c r="AG492" s="30" t="n">
        <v>60</v>
      </c>
      <c r="AH492" s="30" t="str">
        <f aca="false">IF(OR(P492="判定不能",G492="判定不能"),"判定不能",IF(AG492&gt;=判定条件!$C$9,"利用可",IF(AND(P492="停止",G492="停止"),"両方停止","運転がそろわない")))</f>
        <v>利用可</v>
      </c>
      <c r="AI492" s="30" t="n">
        <v>0</v>
      </c>
      <c r="AJ492" s="30" t="n">
        <v>0</v>
      </c>
      <c r="AK492" s="30" t="str">
        <f aca="false">IF(OR(S492="判定不能",J492="判定不能"),"判定不能",IF(AJ492&gt;=判定条件!$C$9,"利用可",IF(AND(S492="停止",J492="停止"),"両方停止","運転がそろわない")))</f>
        <v>判定不能</v>
      </c>
      <c r="AL492" s="30" t="n">
        <v>60</v>
      </c>
      <c r="AM492" s="30" t="n">
        <v>60</v>
      </c>
      <c r="AN492" s="30" t="str">
        <f aca="false">IF(OR(V492="判定不能",M492="判定不能"),"判定不能",IF(AM492&gt;=判定条件!$C$9,"利用可",IF(AND(V492="停止",M492="停止"),"両方停止","運転がそろわない")))</f>
        <v>利用可</v>
      </c>
      <c r="AO492" s="30" t="n">
        <v>60</v>
      </c>
      <c r="AP492" s="30" t="n">
        <v>60</v>
      </c>
      <c r="AQ492" s="30" t="str">
        <f aca="false">IF(OR(Y492="判定不能",G492="判定不能"),"判定不能",IF(AP492&gt;=判定条件!$C$9,"利用可",IF(AND(Y492="停止",G492="停止"),"両方停止","運転がそろわない")))</f>
        <v>利用可</v>
      </c>
      <c r="AR492" s="30" t="n">
        <v>60</v>
      </c>
      <c r="AS492" s="30" t="n">
        <v>60</v>
      </c>
      <c r="AT492" s="30" t="str">
        <f aca="false">IF(OR(AB492="判定不能",J492="判定不能"),"判定不能",IF(AS492&gt;=判定条件!$C$9,"利用可",IF(AND(AB492="停止",J492="停止"),"両方停止","運転がそろわない")))</f>
        <v>利用可</v>
      </c>
      <c r="AU492" s="30" t="n">
        <v>60</v>
      </c>
      <c r="AV492" s="30" t="n">
        <v>60</v>
      </c>
      <c r="AW492" s="30" t="str">
        <f aca="false">IF(OR(AE492="判定不能",M492="判定不能"),"判定不能",IF(AV492&gt;=判定条件!$C$9,"利用可",IF(AND(AE492="停止",M492="停止"),"両方停止","運転がそろわない")))</f>
        <v>利用可</v>
      </c>
      <c r="AX492" s="30" t="str">
        <f aca="false">IF(AND(AH492="利用可",AK492="利用可",AN492="利用可"),"利用可","不可")</f>
        <v>不可</v>
      </c>
      <c r="AY492" s="30" t="str">
        <f aca="false">IF(AND(AQ492="利用可",AT492="利用可",AW492="利用可"),"利用可","不可")</f>
        <v>利用可</v>
      </c>
    </row>
    <row r="493" customFormat="false" ht="15" hidden="false" customHeight="false" outlineLevel="0" collapsed="false">
      <c r="A493" s="29" t="n">
        <v>46252</v>
      </c>
      <c r="B493" s="30" t="n">
        <v>10</v>
      </c>
      <c r="C493" s="31" t="s">
        <v>67</v>
      </c>
      <c r="D493" s="31" t="s">
        <v>59</v>
      </c>
      <c r="E493" s="30" t="n">
        <v>60</v>
      </c>
      <c r="F493" s="30" t="n">
        <v>60</v>
      </c>
      <c r="G493" s="30" t="str">
        <f aca="false">IF(E493&lt;判定条件!$C$6,"判定不能",IF(F493&gt;=判定条件!$C$7*E493,"運転",IF(F493&lt;=判定条件!$C$8*E493,"停止","断続")))</f>
        <v>運転</v>
      </c>
      <c r="H493" s="30" t="n">
        <v>60</v>
      </c>
      <c r="I493" s="30" t="n">
        <v>60</v>
      </c>
      <c r="J493" s="30" t="str">
        <f aca="false">IF(H493&lt;判定条件!$C$6,"判定不能",IF(I493&gt;=判定条件!$C$7*H493,"運転",IF(I493&lt;=判定条件!$C$8*H493,"停止","断続")))</f>
        <v>運転</v>
      </c>
      <c r="K493" s="30" t="n">
        <v>60</v>
      </c>
      <c r="L493" s="30" t="n">
        <v>60</v>
      </c>
      <c r="M493" s="30" t="str">
        <f aca="false">IF(K493&lt;判定条件!$C$6,"判定不能",IF(L493&gt;=判定条件!$C$7*K493,"運転",IF(L493&lt;=判定条件!$C$8*K493,"停止","断続")))</f>
        <v>運転</v>
      </c>
      <c r="N493" s="30" t="n">
        <v>60</v>
      </c>
      <c r="O493" s="30" t="n">
        <v>60</v>
      </c>
      <c r="P493" s="30" t="str">
        <f aca="false">IF(N493&lt;判定条件!$C$6,"判定不能",IF(O493&gt;=判定条件!$C$7*N493,"運転",IF(O493&lt;=判定条件!$C$8*N493,"停止","断続")))</f>
        <v>運転</v>
      </c>
      <c r="Q493" s="30" t="n">
        <v>0</v>
      </c>
      <c r="R493" s="30" t="n">
        <v>0</v>
      </c>
      <c r="S493" s="30" t="str">
        <f aca="false">IF(Q493&lt;判定条件!$C$6,"判定不能",IF(R493&gt;=判定条件!$C$7*Q493,"運転",IF(R493&lt;=判定条件!$C$8*Q493,"停止","断続")))</f>
        <v>判定不能</v>
      </c>
      <c r="T493" s="30" t="n">
        <v>60</v>
      </c>
      <c r="U493" s="30" t="n">
        <v>57</v>
      </c>
      <c r="V493" s="30" t="str">
        <f aca="false">IF(T493&lt;判定条件!$C$6,"判定不能",IF(U493&gt;=判定条件!$C$7*T493,"運転",IF(U493&lt;=判定条件!$C$8*T493,"停止","断続")))</f>
        <v>運転</v>
      </c>
      <c r="W493" s="30" t="n">
        <v>60</v>
      </c>
      <c r="X493" s="30" t="n">
        <v>60</v>
      </c>
      <c r="Y493" s="30" t="str">
        <f aca="false">IF(W493&lt;判定条件!$C$6,"判定不能",IF(X493&gt;=判定条件!$C$7*W493,"運転",IF(X493&lt;=判定条件!$C$8*W493,"停止","断続")))</f>
        <v>運転</v>
      </c>
      <c r="Z493" s="30" t="n">
        <v>60</v>
      </c>
      <c r="AA493" s="30" t="n">
        <v>60</v>
      </c>
      <c r="AB493" s="30" t="str">
        <f aca="false">IF(Z493&lt;判定条件!$C$6,"判定不能",IF(AA493&gt;=判定条件!$C$7*Z493,"運転",IF(AA493&lt;=判定条件!$C$8*Z493,"停止","断続")))</f>
        <v>運転</v>
      </c>
      <c r="AC493" s="30" t="n">
        <v>60</v>
      </c>
      <c r="AD493" s="30" t="n">
        <v>60</v>
      </c>
      <c r="AE493" s="30" t="str">
        <f aca="false">IF(AC493&lt;判定条件!$C$6,"判定不能",IF(AD493&gt;=判定条件!$C$7*AC493,"運転",IF(AD493&lt;=判定条件!$C$8*AC493,"停止","断続")))</f>
        <v>運転</v>
      </c>
      <c r="AF493" s="30" t="n">
        <v>60</v>
      </c>
      <c r="AG493" s="30" t="n">
        <v>60</v>
      </c>
      <c r="AH493" s="30" t="str">
        <f aca="false">IF(OR(P493="判定不能",G493="判定不能"),"判定不能",IF(AG493&gt;=判定条件!$C$9,"利用可",IF(AND(P493="停止",G493="停止"),"両方停止","運転がそろわない")))</f>
        <v>利用可</v>
      </c>
      <c r="AI493" s="30" t="n">
        <v>0</v>
      </c>
      <c r="AJ493" s="30" t="n">
        <v>0</v>
      </c>
      <c r="AK493" s="30" t="str">
        <f aca="false">IF(OR(S493="判定不能",J493="判定不能"),"判定不能",IF(AJ493&gt;=判定条件!$C$9,"利用可",IF(AND(S493="停止",J493="停止"),"両方停止","運転がそろわない")))</f>
        <v>判定不能</v>
      </c>
      <c r="AL493" s="30" t="n">
        <v>60</v>
      </c>
      <c r="AM493" s="30" t="n">
        <v>57</v>
      </c>
      <c r="AN493" s="30" t="str">
        <f aca="false">IF(OR(V493="判定不能",M493="判定不能"),"判定不能",IF(AM493&gt;=判定条件!$C$9,"利用可",IF(AND(V493="停止",M493="停止"),"両方停止","運転がそろわない")))</f>
        <v>利用可</v>
      </c>
      <c r="AO493" s="30" t="n">
        <v>60</v>
      </c>
      <c r="AP493" s="30" t="n">
        <v>60</v>
      </c>
      <c r="AQ493" s="30" t="str">
        <f aca="false">IF(OR(Y493="判定不能",G493="判定不能"),"判定不能",IF(AP493&gt;=判定条件!$C$9,"利用可",IF(AND(Y493="停止",G493="停止"),"両方停止","運転がそろわない")))</f>
        <v>利用可</v>
      </c>
      <c r="AR493" s="30" t="n">
        <v>60</v>
      </c>
      <c r="AS493" s="30" t="n">
        <v>60</v>
      </c>
      <c r="AT493" s="30" t="str">
        <f aca="false">IF(OR(AB493="判定不能",J493="判定不能"),"判定不能",IF(AS493&gt;=判定条件!$C$9,"利用可",IF(AND(AB493="停止",J493="停止"),"両方停止","運転がそろわない")))</f>
        <v>利用可</v>
      </c>
      <c r="AU493" s="30" t="n">
        <v>60</v>
      </c>
      <c r="AV493" s="30" t="n">
        <v>60</v>
      </c>
      <c r="AW493" s="30" t="str">
        <f aca="false">IF(OR(AE493="判定不能",M493="判定不能"),"判定不能",IF(AV493&gt;=判定条件!$C$9,"利用可",IF(AND(AE493="停止",M493="停止"),"両方停止","運転がそろわない")))</f>
        <v>利用可</v>
      </c>
      <c r="AX493" s="30" t="str">
        <f aca="false">IF(AND(AH493="利用可",AK493="利用可",AN493="利用可"),"利用可","不可")</f>
        <v>不可</v>
      </c>
      <c r="AY493" s="30" t="str">
        <f aca="false">IF(AND(AQ493="利用可",AT493="利用可",AW493="利用可"),"利用可","不可")</f>
        <v>利用可</v>
      </c>
    </row>
    <row r="494" customFormat="false" ht="15" hidden="false" customHeight="false" outlineLevel="0" collapsed="false">
      <c r="A494" s="29" t="n">
        <v>46252</v>
      </c>
      <c r="B494" s="30" t="n">
        <v>11</v>
      </c>
      <c r="C494" s="31" t="s">
        <v>67</v>
      </c>
      <c r="D494" s="31" t="s">
        <v>59</v>
      </c>
      <c r="E494" s="30" t="n">
        <v>60</v>
      </c>
      <c r="F494" s="30" t="n">
        <v>60</v>
      </c>
      <c r="G494" s="30" t="str">
        <f aca="false">IF(E494&lt;判定条件!$C$6,"判定不能",IF(F494&gt;=判定条件!$C$7*E494,"運転",IF(F494&lt;=判定条件!$C$8*E494,"停止","断続")))</f>
        <v>運転</v>
      </c>
      <c r="H494" s="30" t="n">
        <v>60</v>
      </c>
      <c r="I494" s="30" t="n">
        <v>60</v>
      </c>
      <c r="J494" s="30" t="str">
        <f aca="false">IF(H494&lt;判定条件!$C$6,"判定不能",IF(I494&gt;=判定条件!$C$7*H494,"運転",IF(I494&lt;=判定条件!$C$8*H494,"停止","断続")))</f>
        <v>運転</v>
      </c>
      <c r="K494" s="30" t="n">
        <v>60</v>
      </c>
      <c r="L494" s="30" t="n">
        <v>60</v>
      </c>
      <c r="M494" s="30" t="str">
        <f aca="false">IF(K494&lt;判定条件!$C$6,"判定不能",IF(L494&gt;=判定条件!$C$7*K494,"運転",IF(L494&lt;=判定条件!$C$8*K494,"停止","断続")))</f>
        <v>運転</v>
      </c>
      <c r="N494" s="30" t="n">
        <v>60</v>
      </c>
      <c r="O494" s="30" t="n">
        <v>60</v>
      </c>
      <c r="P494" s="30" t="str">
        <f aca="false">IF(N494&lt;判定条件!$C$6,"判定不能",IF(O494&gt;=判定条件!$C$7*N494,"運転",IF(O494&lt;=判定条件!$C$8*N494,"停止","断続")))</f>
        <v>運転</v>
      </c>
      <c r="Q494" s="30" t="n">
        <v>0</v>
      </c>
      <c r="R494" s="30" t="n">
        <v>0</v>
      </c>
      <c r="S494" s="30" t="str">
        <f aca="false">IF(Q494&lt;判定条件!$C$6,"判定不能",IF(R494&gt;=判定条件!$C$7*Q494,"運転",IF(R494&lt;=判定条件!$C$8*Q494,"停止","断続")))</f>
        <v>判定不能</v>
      </c>
      <c r="T494" s="30" t="n">
        <v>60</v>
      </c>
      <c r="U494" s="30" t="n">
        <v>52</v>
      </c>
      <c r="V494" s="30" t="str">
        <f aca="false">IF(T494&lt;判定条件!$C$6,"判定不能",IF(U494&gt;=判定条件!$C$7*T494,"運転",IF(U494&lt;=判定条件!$C$8*T494,"停止","断続")))</f>
        <v>運転</v>
      </c>
      <c r="W494" s="30" t="n">
        <v>60</v>
      </c>
      <c r="X494" s="30" t="n">
        <v>60</v>
      </c>
      <c r="Y494" s="30" t="str">
        <f aca="false">IF(W494&lt;判定条件!$C$6,"判定不能",IF(X494&gt;=判定条件!$C$7*W494,"運転",IF(X494&lt;=判定条件!$C$8*W494,"停止","断続")))</f>
        <v>運転</v>
      </c>
      <c r="Z494" s="30" t="n">
        <v>60</v>
      </c>
      <c r="AA494" s="30" t="n">
        <v>60</v>
      </c>
      <c r="AB494" s="30" t="str">
        <f aca="false">IF(Z494&lt;判定条件!$C$6,"判定不能",IF(AA494&gt;=判定条件!$C$7*Z494,"運転",IF(AA494&lt;=判定条件!$C$8*Z494,"停止","断続")))</f>
        <v>運転</v>
      </c>
      <c r="AC494" s="30" t="n">
        <v>60</v>
      </c>
      <c r="AD494" s="30" t="n">
        <v>60</v>
      </c>
      <c r="AE494" s="30" t="str">
        <f aca="false">IF(AC494&lt;判定条件!$C$6,"判定不能",IF(AD494&gt;=判定条件!$C$7*AC494,"運転",IF(AD494&lt;=判定条件!$C$8*AC494,"停止","断続")))</f>
        <v>運転</v>
      </c>
      <c r="AF494" s="30" t="n">
        <v>60</v>
      </c>
      <c r="AG494" s="30" t="n">
        <v>60</v>
      </c>
      <c r="AH494" s="30" t="str">
        <f aca="false">IF(OR(P494="判定不能",G494="判定不能"),"判定不能",IF(AG494&gt;=判定条件!$C$9,"利用可",IF(AND(P494="停止",G494="停止"),"両方停止","運転がそろわない")))</f>
        <v>利用可</v>
      </c>
      <c r="AI494" s="30" t="n">
        <v>0</v>
      </c>
      <c r="AJ494" s="30" t="n">
        <v>0</v>
      </c>
      <c r="AK494" s="30" t="str">
        <f aca="false">IF(OR(S494="判定不能",J494="判定不能"),"判定不能",IF(AJ494&gt;=判定条件!$C$9,"利用可",IF(AND(S494="停止",J494="停止"),"両方停止","運転がそろわない")))</f>
        <v>判定不能</v>
      </c>
      <c r="AL494" s="30" t="n">
        <v>60</v>
      </c>
      <c r="AM494" s="30" t="n">
        <v>52</v>
      </c>
      <c r="AN494" s="30" t="str">
        <f aca="false">IF(OR(V494="判定不能",M494="判定不能"),"判定不能",IF(AM494&gt;=判定条件!$C$9,"利用可",IF(AND(V494="停止",M494="停止"),"両方停止","運転がそろわない")))</f>
        <v>利用可</v>
      </c>
      <c r="AO494" s="30" t="n">
        <v>60</v>
      </c>
      <c r="AP494" s="30" t="n">
        <v>60</v>
      </c>
      <c r="AQ494" s="30" t="str">
        <f aca="false">IF(OR(Y494="判定不能",G494="判定不能"),"判定不能",IF(AP494&gt;=判定条件!$C$9,"利用可",IF(AND(Y494="停止",G494="停止"),"両方停止","運転がそろわない")))</f>
        <v>利用可</v>
      </c>
      <c r="AR494" s="30" t="n">
        <v>60</v>
      </c>
      <c r="AS494" s="30" t="n">
        <v>60</v>
      </c>
      <c r="AT494" s="30" t="str">
        <f aca="false">IF(OR(AB494="判定不能",J494="判定不能"),"判定不能",IF(AS494&gt;=判定条件!$C$9,"利用可",IF(AND(AB494="停止",J494="停止"),"両方停止","運転がそろわない")))</f>
        <v>利用可</v>
      </c>
      <c r="AU494" s="30" t="n">
        <v>60</v>
      </c>
      <c r="AV494" s="30" t="n">
        <v>60</v>
      </c>
      <c r="AW494" s="30" t="str">
        <f aca="false">IF(OR(AE494="判定不能",M494="判定不能"),"判定不能",IF(AV494&gt;=判定条件!$C$9,"利用可",IF(AND(AE494="停止",M494="停止"),"両方停止","運転がそろわない")))</f>
        <v>利用可</v>
      </c>
      <c r="AX494" s="30" t="str">
        <f aca="false">IF(AND(AH494="利用可",AK494="利用可",AN494="利用可"),"利用可","不可")</f>
        <v>不可</v>
      </c>
      <c r="AY494" s="30" t="str">
        <f aca="false">IF(AND(AQ494="利用可",AT494="利用可",AW494="利用可"),"利用可","不可")</f>
        <v>利用可</v>
      </c>
    </row>
    <row r="495" customFormat="false" ht="15" hidden="false" customHeight="false" outlineLevel="0" collapsed="false">
      <c r="A495" s="29" t="n">
        <v>46252</v>
      </c>
      <c r="B495" s="30" t="n">
        <v>12</v>
      </c>
      <c r="C495" s="31" t="s">
        <v>67</v>
      </c>
      <c r="D495" s="31" t="s">
        <v>59</v>
      </c>
      <c r="E495" s="30" t="n">
        <v>60</v>
      </c>
      <c r="F495" s="30" t="n">
        <v>60</v>
      </c>
      <c r="G495" s="30" t="str">
        <f aca="false">IF(E495&lt;判定条件!$C$6,"判定不能",IF(F495&gt;=判定条件!$C$7*E495,"運転",IF(F495&lt;=判定条件!$C$8*E495,"停止","断続")))</f>
        <v>運転</v>
      </c>
      <c r="H495" s="30" t="n">
        <v>60</v>
      </c>
      <c r="I495" s="30" t="n">
        <v>60</v>
      </c>
      <c r="J495" s="30" t="str">
        <f aca="false">IF(H495&lt;判定条件!$C$6,"判定不能",IF(I495&gt;=判定条件!$C$7*H495,"運転",IF(I495&lt;=判定条件!$C$8*H495,"停止","断続")))</f>
        <v>運転</v>
      </c>
      <c r="K495" s="30" t="n">
        <v>60</v>
      </c>
      <c r="L495" s="30" t="n">
        <v>60</v>
      </c>
      <c r="M495" s="30" t="str">
        <f aca="false">IF(K495&lt;判定条件!$C$6,"判定不能",IF(L495&gt;=判定条件!$C$7*K495,"運転",IF(L495&lt;=判定条件!$C$8*K495,"停止","断続")))</f>
        <v>運転</v>
      </c>
      <c r="N495" s="30" t="n">
        <v>60</v>
      </c>
      <c r="O495" s="30" t="n">
        <v>60</v>
      </c>
      <c r="P495" s="30" t="str">
        <f aca="false">IF(N495&lt;判定条件!$C$6,"判定不能",IF(O495&gt;=判定条件!$C$7*N495,"運転",IF(O495&lt;=判定条件!$C$8*N495,"停止","断続")))</f>
        <v>運転</v>
      </c>
      <c r="Q495" s="30" t="n">
        <v>0</v>
      </c>
      <c r="R495" s="30" t="n">
        <v>0</v>
      </c>
      <c r="S495" s="30" t="str">
        <f aca="false">IF(Q495&lt;判定条件!$C$6,"判定不能",IF(R495&gt;=判定条件!$C$7*Q495,"運転",IF(R495&lt;=判定条件!$C$8*Q495,"停止","断続")))</f>
        <v>判定不能</v>
      </c>
      <c r="T495" s="30" t="n">
        <v>60</v>
      </c>
      <c r="U495" s="30" t="n">
        <v>60</v>
      </c>
      <c r="V495" s="30" t="str">
        <f aca="false">IF(T495&lt;判定条件!$C$6,"判定不能",IF(U495&gt;=判定条件!$C$7*T495,"運転",IF(U495&lt;=判定条件!$C$8*T495,"停止","断続")))</f>
        <v>運転</v>
      </c>
      <c r="W495" s="30" t="n">
        <v>60</v>
      </c>
      <c r="X495" s="30" t="n">
        <v>60</v>
      </c>
      <c r="Y495" s="30" t="str">
        <f aca="false">IF(W495&lt;判定条件!$C$6,"判定不能",IF(X495&gt;=判定条件!$C$7*W495,"運転",IF(X495&lt;=判定条件!$C$8*W495,"停止","断続")))</f>
        <v>運転</v>
      </c>
      <c r="Z495" s="30" t="n">
        <v>60</v>
      </c>
      <c r="AA495" s="30" t="n">
        <v>60</v>
      </c>
      <c r="AB495" s="30" t="str">
        <f aca="false">IF(Z495&lt;判定条件!$C$6,"判定不能",IF(AA495&gt;=判定条件!$C$7*Z495,"運転",IF(AA495&lt;=判定条件!$C$8*Z495,"停止","断続")))</f>
        <v>運転</v>
      </c>
      <c r="AC495" s="30" t="n">
        <v>60</v>
      </c>
      <c r="AD495" s="30" t="n">
        <v>60</v>
      </c>
      <c r="AE495" s="30" t="str">
        <f aca="false">IF(AC495&lt;判定条件!$C$6,"判定不能",IF(AD495&gt;=判定条件!$C$7*AC495,"運転",IF(AD495&lt;=判定条件!$C$8*AC495,"停止","断続")))</f>
        <v>運転</v>
      </c>
      <c r="AF495" s="30" t="n">
        <v>60</v>
      </c>
      <c r="AG495" s="30" t="n">
        <v>60</v>
      </c>
      <c r="AH495" s="30" t="str">
        <f aca="false">IF(OR(P495="判定不能",G495="判定不能"),"判定不能",IF(AG495&gt;=判定条件!$C$9,"利用可",IF(AND(P495="停止",G495="停止"),"両方停止","運転がそろわない")))</f>
        <v>利用可</v>
      </c>
      <c r="AI495" s="30" t="n">
        <v>0</v>
      </c>
      <c r="AJ495" s="30" t="n">
        <v>0</v>
      </c>
      <c r="AK495" s="30" t="str">
        <f aca="false">IF(OR(S495="判定不能",J495="判定不能"),"判定不能",IF(AJ495&gt;=判定条件!$C$9,"利用可",IF(AND(S495="停止",J495="停止"),"両方停止","運転がそろわない")))</f>
        <v>判定不能</v>
      </c>
      <c r="AL495" s="30" t="n">
        <v>60</v>
      </c>
      <c r="AM495" s="30" t="n">
        <v>60</v>
      </c>
      <c r="AN495" s="30" t="str">
        <f aca="false">IF(OR(V495="判定不能",M495="判定不能"),"判定不能",IF(AM495&gt;=判定条件!$C$9,"利用可",IF(AND(V495="停止",M495="停止"),"両方停止","運転がそろわない")))</f>
        <v>利用可</v>
      </c>
      <c r="AO495" s="30" t="n">
        <v>60</v>
      </c>
      <c r="AP495" s="30" t="n">
        <v>60</v>
      </c>
      <c r="AQ495" s="30" t="str">
        <f aca="false">IF(OR(Y495="判定不能",G495="判定不能"),"判定不能",IF(AP495&gt;=判定条件!$C$9,"利用可",IF(AND(Y495="停止",G495="停止"),"両方停止","運転がそろわない")))</f>
        <v>利用可</v>
      </c>
      <c r="AR495" s="30" t="n">
        <v>60</v>
      </c>
      <c r="AS495" s="30" t="n">
        <v>60</v>
      </c>
      <c r="AT495" s="30" t="str">
        <f aca="false">IF(OR(AB495="判定不能",J495="判定不能"),"判定不能",IF(AS495&gt;=判定条件!$C$9,"利用可",IF(AND(AB495="停止",J495="停止"),"両方停止","運転がそろわない")))</f>
        <v>利用可</v>
      </c>
      <c r="AU495" s="30" t="n">
        <v>60</v>
      </c>
      <c r="AV495" s="30" t="n">
        <v>60</v>
      </c>
      <c r="AW495" s="30" t="str">
        <f aca="false">IF(OR(AE495="判定不能",M495="判定不能"),"判定不能",IF(AV495&gt;=判定条件!$C$9,"利用可",IF(AND(AE495="停止",M495="停止"),"両方停止","運転がそろわない")))</f>
        <v>利用可</v>
      </c>
      <c r="AX495" s="30" t="str">
        <f aca="false">IF(AND(AH495="利用可",AK495="利用可",AN495="利用可"),"利用可","不可")</f>
        <v>不可</v>
      </c>
      <c r="AY495" s="30" t="str">
        <f aca="false">IF(AND(AQ495="利用可",AT495="利用可",AW495="利用可"),"利用可","不可")</f>
        <v>利用可</v>
      </c>
    </row>
    <row r="496" customFormat="false" ht="15" hidden="false" customHeight="false" outlineLevel="0" collapsed="false">
      <c r="A496" s="29" t="n">
        <v>46252</v>
      </c>
      <c r="B496" s="30" t="n">
        <v>13</v>
      </c>
      <c r="C496" s="31" t="s">
        <v>67</v>
      </c>
      <c r="D496" s="31" t="s">
        <v>59</v>
      </c>
      <c r="E496" s="30" t="n">
        <v>60</v>
      </c>
      <c r="F496" s="30" t="n">
        <v>60</v>
      </c>
      <c r="G496" s="30" t="str">
        <f aca="false">IF(E496&lt;判定条件!$C$6,"判定不能",IF(F496&gt;=判定条件!$C$7*E496,"運転",IF(F496&lt;=判定条件!$C$8*E496,"停止","断続")))</f>
        <v>運転</v>
      </c>
      <c r="H496" s="30" t="n">
        <v>60</v>
      </c>
      <c r="I496" s="30" t="n">
        <v>60</v>
      </c>
      <c r="J496" s="30" t="str">
        <f aca="false">IF(H496&lt;判定条件!$C$6,"判定不能",IF(I496&gt;=判定条件!$C$7*H496,"運転",IF(I496&lt;=判定条件!$C$8*H496,"停止","断続")))</f>
        <v>運転</v>
      </c>
      <c r="K496" s="30" t="n">
        <v>60</v>
      </c>
      <c r="L496" s="30" t="n">
        <v>60</v>
      </c>
      <c r="M496" s="30" t="str">
        <f aca="false">IF(K496&lt;判定条件!$C$6,"判定不能",IF(L496&gt;=判定条件!$C$7*K496,"運転",IF(L496&lt;=判定条件!$C$8*K496,"停止","断続")))</f>
        <v>運転</v>
      </c>
      <c r="N496" s="30" t="n">
        <v>60</v>
      </c>
      <c r="O496" s="30" t="n">
        <v>60</v>
      </c>
      <c r="P496" s="30" t="str">
        <f aca="false">IF(N496&lt;判定条件!$C$6,"判定不能",IF(O496&gt;=判定条件!$C$7*N496,"運転",IF(O496&lt;=判定条件!$C$8*N496,"停止","断続")))</f>
        <v>運転</v>
      </c>
      <c r="Q496" s="30" t="n">
        <v>0</v>
      </c>
      <c r="R496" s="30" t="n">
        <v>0</v>
      </c>
      <c r="S496" s="30" t="str">
        <f aca="false">IF(Q496&lt;判定条件!$C$6,"判定不能",IF(R496&gt;=判定条件!$C$7*Q496,"運転",IF(R496&lt;=判定条件!$C$8*Q496,"停止","断続")))</f>
        <v>判定不能</v>
      </c>
      <c r="T496" s="30" t="n">
        <v>60</v>
      </c>
      <c r="U496" s="30" t="n">
        <v>60</v>
      </c>
      <c r="V496" s="30" t="str">
        <f aca="false">IF(T496&lt;判定条件!$C$6,"判定不能",IF(U496&gt;=判定条件!$C$7*T496,"運転",IF(U496&lt;=判定条件!$C$8*T496,"停止","断続")))</f>
        <v>運転</v>
      </c>
      <c r="W496" s="30" t="n">
        <v>60</v>
      </c>
      <c r="X496" s="30" t="n">
        <v>60</v>
      </c>
      <c r="Y496" s="30" t="str">
        <f aca="false">IF(W496&lt;判定条件!$C$6,"判定不能",IF(X496&gt;=判定条件!$C$7*W496,"運転",IF(X496&lt;=判定条件!$C$8*W496,"停止","断続")))</f>
        <v>運転</v>
      </c>
      <c r="Z496" s="30" t="n">
        <v>60</v>
      </c>
      <c r="AA496" s="30" t="n">
        <v>60</v>
      </c>
      <c r="AB496" s="30" t="str">
        <f aca="false">IF(Z496&lt;判定条件!$C$6,"判定不能",IF(AA496&gt;=判定条件!$C$7*Z496,"運転",IF(AA496&lt;=判定条件!$C$8*Z496,"停止","断続")))</f>
        <v>運転</v>
      </c>
      <c r="AC496" s="30" t="n">
        <v>60</v>
      </c>
      <c r="AD496" s="30" t="n">
        <v>60</v>
      </c>
      <c r="AE496" s="30" t="str">
        <f aca="false">IF(AC496&lt;判定条件!$C$6,"判定不能",IF(AD496&gt;=判定条件!$C$7*AC496,"運転",IF(AD496&lt;=判定条件!$C$8*AC496,"停止","断続")))</f>
        <v>運転</v>
      </c>
      <c r="AF496" s="30" t="n">
        <v>60</v>
      </c>
      <c r="AG496" s="30" t="n">
        <v>60</v>
      </c>
      <c r="AH496" s="30" t="str">
        <f aca="false">IF(OR(P496="判定不能",G496="判定不能"),"判定不能",IF(AG496&gt;=判定条件!$C$9,"利用可",IF(AND(P496="停止",G496="停止"),"両方停止","運転がそろわない")))</f>
        <v>利用可</v>
      </c>
      <c r="AI496" s="30" t="n">
        <v>0</v>
      </c>
      <c r="AJ496" s="30" t="n">
        <v>0</v>
      </c>
      <c r="AK496" s="30" t="str">
        <f aca="false">IF(OR(S496="判定不能",J496="判定不能"),"判定不能",IF(AJ496&gt;=判定条件!$C$9,"利用可",IF(AND(S496="停止",J496="停止"),"両方停止","運転がそろわない")))</f>
        <v>判定不能</v>
      </c>
      <c r="AL496" s="30" t="n">
        <v>60</v>
      </c>
      <c r="AM496" s="30" t="n">
        <v>60</v>
      </c>
      <c r="AN496" s="30" t="str">
        <f aca="false">IF(OR(V496="判定不能",M496="判定不能"),"判定不能",IF(AM496&gt;=判定条件!$C$9,"利用可",IF(AND(V496="停止",M496="停止"),"両方停止","運転がそろわない")))</f>
        <v>利用可</v>
      </c>
      <c r="AO496" s="30" t="n">
        <v>60</v>
      </c>
      <c r="AP496" s="30" t="n">
        <v>60</v>
      </c>
      <c r="AQ496" s="30" t="str">
        <f aca="false">IF(OR(Y496="判定不能",G496="判定不能"),"判定不能",IF(AP496&gt;=判定条件!$C$9,"利用可",IF(AND(Y496="停止",G496="停止"),"両方停止","運転がそろわない")))</f>
        <v>利用可</v>
      </c>
      <c r="AR496" s="30" t="n">
        <v>60</v>
      </c>
      <c r="AS496" s="30" t="n">
        <v>60</v>
      </c>
      <c r="AT496" s="30" t="str">
        <f aca="false">IF(OR(AB496="判定不能",J496="判定不能"),"判定不能",IF(AS496&gt;=判定条件!$C$9,"利用可",IF(AND(AB496="停止",J496="停止"),"両方停止","運転がそろわない")))</f>
        <v>利用可</v>
      </c>
      <c r="AU496" s="30" t="n">
        <v>60</v>
      </c>
      <c r="AV496" s="30" t="n">
        <v>60</v>
      </c>
      <c r="AW496" s="30" t="str">
        <f aca="false">IF(OR(AE496="判定不能",M496="判定不能"),"判定不能",IF(AV496&gt;=判定条件!$C$9,"利用可",IF(AND(AE496="停止",M496="停止"),"両方停止","運転がそろわない")))</f>
        <v>利用可</v>
      </c>
      <c r="AX496" s="30" t="str">
        <f aca="false">IF(AND(AH496="利用可",AK496="利用可",AN496="利用可"),"利用可","不可")</f>
        <v>不可</v>
      </c>
      <c r="AY496" s="30" t="str">
        <f aca="false">IF(AND(AQ496="利用可",AT496="利用可",AW496="利用可"),"利用可","不可")</f>
        <v>利用可</v>
      </c>
    </row>
    <row r="497" customFormat="false" ht="15" hidden="false" customHeight="false" outlineLevel="0" collapsed="false">
      <c r="A497" s="29" t="n">
        <v>46252</v>
      </c>
      <c r="B497" s="30" t="n">
        <v>14</v>
      </c>
      <c r="C497" s="31" t="s">
        <v>67</v>
      </c>
      <c r="D497" s="31" t="s">
        <v>59</v>
      </c>
      <c r="E497" s="30" t="n">
        <v>60</v>
      </c>
      <c r="F497" s="30" t="n">
        <v>60</v>
      </c>
      <c r="G497" s="30" t="str">
        <f aca="false">IF(E497&lt;判定条件!$C$6,"判定不能",IF(F497&gt;=判定条件!$C$7*E497,"運転",IF(F497&lt;=判定条件!$C$8*E497,"停止","断続")))</f>
        <v>運転</v>
      </c>
      <c r="H497" s="30" t="n">
        <v>60</v>
      </c>
      <c r="I497" s="30" t="n">
        <v>60</v>
      </c>
      <c r="J497" s="30" t="str">
        <f aca="false">IF(H497&lt;判定条件!$C$6,"判定不能",IF(I497&gt;=判定条件!$C$7*H497,"運転",IF(I497&lt;=判定条件!$C$8*H497,"停止","断続")))</f>
        <v>運転</v>
      </c>
      <c r="K497" s="30" t="n">
        <v>60</v>
      </c>
      <c r="L497" s="30" t="n">
        <v>60</v>
      </c>
      <c r="M497" s="30" t="str">
        <f aca="false">IF(K497&lt;判定条件!$C$6,"判定不能",IF(L497&gt;=判定条件!$C$7*K497,"運転",IF(L497&lt;=判定条件!$C$8*K497,"停止","断続")))</f>
        <v>運転</v>
      </c>
      <c r="N497" s="30" t="n">
        <v>60</v>
      </c>
      <c r="O497" s="30" t="n">
        <v>60</v>
      </c>
      <c r="P497" s="30" t="str">
        <f aca="false">IF(N497&lt;判定条件!$C$6,"判定不能",IF(O497&gt;=判定条件!$C$7*N497,"運転",IF(O497&lt;=判定条件!$C$8*N497,"停止","断続")))</f>
        <v>運転</v>
      </c>
      <c r="Q497" s="30" t="n">
        <v>0</v>
      </c>
      <c r="R497" s="30" t="n">
        <v>0</v>
      </c>
      <c r="S497" s="30" t="str">
        <f aca="false">IF(Q497&lt;判定条件!$C$6,"判定不能",IF(R497&gt;=判定条件!$C$7*Q497,"運転",IF(R497&lt;=判定条件!$C$8*Q497,"停止","断続")))</f>
        <v>判定不能</v>
      </c>
      <c r="T497" s="30" t="n">
        <v>60</v>
      </c>
      <c r="U497" s="30" t="n">
        <v>60</v>
      </c>
      <c r="V497" s="30" t="str">
        <f aca="false">IF(T497&lt;判定条件!$C$6,"判定不能",IF(U497&gt;=判定条件!$C$7*T497,"運転",IF(U497&lt;=判定条件!$C$8*T497,"停止","断続")))</f>
        <v>運転</v>
      </c>
      <c r="W497" s="30" t="n">
        <v>60</v>
      </c>
      <c r="X497" s="30" t="n">
        <v>60</v>
      </c>
      <c r="Y497" s="30" t="str">
        <f aca="false">IF(W497&lt;判定条件!$C$6,"判定不能",IF(X497&gt;=判定条件!$C$7*W497,"運転",IF(X497&lt;=判定条件!$C$8*W497,"停止","断続")))</f>
        <v>運転</v>
      </c>
      <c r="Z497" s="30" t="n">
        <v>60</v>
      </c>
      <c r="AA497" s="30" t="n">
        <v>60</v>
      </c>
      <c r="AB497" s="30" t="str">
        <f aca="false">IF(Z497&lt;判定条件!$C$6,"判定不能",IF(AA497&gt;=判定条件!$C$7*Z497,"運転",IF(AA497&lt;=判定条件!$C$8*Z497,"停止","断続")))</f>
        <v>運転</v>
      </c>
      <c r="AC497" s="30" t="n">
        <v>60</v>
      </c>
      <c r="AD497" s="30" t="n">
        <v>60</v>
      </c>
      <c r="AE497" s="30" t="str">
        <f aca="false">IF(AC497&lt;判定条件!$C$6,"判定不能",IF(AD497&gt;=判定条件!$C$7*AC497,"運転",IF(AD497&lt;=判定条件!$C$8*AC497,"停止","断続")))</f>
        <v>運転</v>
      </c>
      <c r="AF497" s="30" t="n">
        <v>60</v>
      </c>
      <c r="AG497" s="30" t="n">
        <v>60</v>
      </c>
      <c r="AH497" s="30" t="str">
        <f aca="false">IF(OR(P497="判定不能",G497="判定不能"),"判定不能",IF(AG497&gt;=判定条件!$C$9,"利用可",IF(AND(P497="停止",G497="停止"),"両方停止","運転がそろわない")))</f>
        <v>利用可</v>
      </c>
      <c r="AI497" s="30" t="n">
        <v>0</v>
      </c>
      <c r="AJ497" s="30" t="n">
        <v>0</v>
      </c>
      <c r="AK497" s="30" t="str">
        <f aca="false">IF(OR(S497="判定不能",J497="判定不能"),"判定不能",IF(AJ497&gt;=判定条件!$C$9,"利用可",IF(AND(S497="停止",J497="停止"),"両方停止","運転がそろわない")))</f>
        <v>判定不能</v>
      </c>
      <c r="AL497" s="30" t="n">
        <v>60</v>
      </c>
      <c r="AM497" s="30" t="n">
        <v>60</v>
      </c>
      <c r="AN497" s="30" t="str">
        <f aca="false">IF(OR(V497="判定不能",M497="判定不能"),"判定不能",IF(AM497&gt;=判定条件!$C$9,"利用可",IF(AND(V497="停止",M497="停止"),"両方停止","運転がそろわない")))</f>
        <v>利用可</v>
      </c>
      <c r="AO497" s="30" t="n">
        <v>60</v>
      </c>
      <c r="AP497" s="30" t="n">
        <v>60</v>
      </c>
      <c r="AQ497" s="30" t="str">
        <f aca="false">IF(OR(Y497="判定不能",G497="判定不能"),"判定不能",IF(AP497&gt;=判定条件!$C$9,"利用可",IF(AND(Y497="停止",G497="停止"),"両方停止","運転がそろわない")))</f>
        <v>利用可</v>
      </c>
      <c r="AR497" s="30" t="n">
        <v>60</v>
      </c>
      <c r="AS497" s="30" t="n">
        <v>60</v>
      </c>
      <c r="AT497" s="30" t="str">
        <f aca="false">IF(OR(AB497="判定不能",J497="判定不能"),"判定不能",IF(AS497&gt;=判定条件!$C$9,"利用可",IF(AND(AB497="停止",J497="停止"),"両方停止","運転がそろわない")))</f>
        <v>利用可</v>
      </c>
      <c r="AU497" s="30" t="n">
        <v>60</v>
      </c>
      <c r="AV497" s="30" t="n">
        <v>60</v>
      </c>
      <c r="AW497" s="30" t="str">
        <f aca="false">IF(OR(AE497="判定不能",M497="判定不能"),"判定不能",IF(AV497&gt;=判定条件!$C$9,"利用可",IF(AND(AE497="停止",M497="停止"),"両方停止","運転がそろわない")))</f>
        <v>利用可</v>
      </c>
      <c r="AX497" s="30" t="str">
        <f aca="false">IF(AND(AH497="利用可",AK497="利用可",AN497="利用可"),"利用可","不可")</f>
        <v>不可</v>
      </c>
      <c r="AY497" s="30" t="str">
        <f aca="false">IF(AND(AQ497="利用可",AT497="利用可",AW497="利用可"),"利用可","不可")</f>
        <v>利用可</v>
      </c>
    </row>
    <row r="498" customFormat="false" ht="15" hidden="false" customHeight="false" outlineLevel="0" collapsed="false">
      <c r="A498" s="29" t="n">
        <v>46252</v>
      </c>
      <c r="B498" s="30" t="n">
        <v>15</v>
      </c>
      <c r="C498" s="31" t="s">
        <v>67</v>
      </c>
      <c r="D498" s="31" t="s">
        <v>59</v>
      </c>
      <c r="E498" s="30" t="n">
        <v>60</v>
      </c>
      <c r="F498" s="30" t="n">
        <v>60</v>
      </c>
      <c r="G498" s="30" t="str">
        <f aca="false">IF(E498&lt;判定条件!$C$6,"判定不能",IF(F498&gt;=判定条件!$C$7*E498,"運転",IF(F498&lt;=判定条件!$C$8*E498,"停止","断続")))</f>
        <v>運転</v>
      </c>
      <c r="H498" s="30" t="n">
        <v>60</v>
      </c>
      <c r="I498" s="30" t="n">
        <v>60</v>
      </c>
      <c r="J498" s="30" t="str">
        <f aca="false">IF(H498&lt;判定条件!$C$6,"判定不能",IF(I498&gt;=判定条件!$C$7*H498,"運転",IF(I498&lt;=判定条件!$C$8*H498,"停止","断続")))</f>
        <v>運転</v>
      </c>
      <c r="K498" s="30" t="n">
        <v>60</v>
      </c>
      <c r="L498" s="30" t="n">
        <v>60</v>
      </c>
      <c r="M498" s="30" t="str">
        <f aca="false">IF(K498&lt;判定条件!$C$6,"判定不能",IF(L498&gt;=判定条件!$C$7*K498,"運転",IF(L498&lt;=判定条件!$C$8*K498,"停止","断続")))</f>
        <v>運転</v>
      </c>
      <c r="N498" s="30" t="n">
        <v>60</v>
      </c>
      <c r="O498" s="30" t="n">
        <v>44</v>
      </c>
      <c r="P498" s="30" t="str">
        <f aca="false">IF(N498&lt;判定条件!$C$6,"判定不能",IF(O498&gt;=判定条件!$C$7*N498,"運転",IF(O498&lt;=判定条件!$C$8*N498,"停止","断続")))</f>
        <v>断続</v>
      </c>
      <c r="Q498" s="30" t="n">
        <v>0</v>
      </c>
      <c r="R498" s="30" t="n">
        <v>0</v>
      </c>
      <c r="S498" s="30" t="str">
        <f aca="false">IF(Q498&lt;判定条件!$C$6,"判定不能",IF(R498&gt;=判定条件!$C$7*Q498,"運転",IF(R498&lt;=判定条件!$C$8*Q498,"停止","断続")))</f>
        <v>判定不能</v>
      </c>
      <c r="T498" s="30" t="n">
        <v>60</v>
      </c>
      <c r="U498" s="30" t="n">
        <v>60</v>
      </c>
      <c r="V498" s="30" t="str">
        <f aca="false">IF(T498&lt;判定条件!$C$6,"判定不能",IF(U498&gt;=判定条件!$C$7*T498,"運転",IF(U498&lt;=判定条件!$C$8*T498,"停止","断続")))</f>
        <v>運転</v>
      </c>
      <c r="W498" s="30" t="n">
        <v>60</v>
      </c>
      <c r="X498" s="30" t="n">
        <v>32</v>
      </c>
      <c r="Y498" s="30" t="str">
        <f aca="false">IF(W498&lt;判定条件!$C$6,"判定不能",IF(X498&gt;=判定条件!$C$7*W498,"運転",IF(X498&lt;=判定条件!$C$8*W498,"停止","断続")))</f>
        <v>断続</v>
      </c>
      <c r="Z498" s="30" t="n">
        <v>60</v>
      </c>
      <c r="AA498" s="30" t="n">
        <v>45</v>
      </c>
      <c r="AB498" s="30" t="str">
        <f aca="false">IF(Z498&lt;判定条件!$C$6,"判定不能",IF(AA498&gt;=判定条件!$C$7*Z498,"運転",IF(AA498&lt;=判定条件!$C$8*Z498,"停止","断続")))</f>
        <v>断続</v>
      </c>
      <c r="AC498" s="30" t="n">
        <v>60</v>
      </c>
      <c r="AD498" s="30" t="n">
        <v>60</v>
      </c>
      <c r="AE498" s="30" t="str">
        <f aca="false">IF(AC498&lt;判定条件!$C$6,"判定不能",IF(AD498&gt;=判定条件!$C$7*AC498,"運転",IF(AD498&lt;=判定条件!$C$8*AC498,"停止","断続")))</f>
        <v>運転</v>
      </c>
      <c r="AF498" s="30" t="n">
        <v>60</v>
      </c>
      <c r="AG498" s="30" t="n">
        <v>44</v>
      </c>
      <c r="AH498" s="30" t="str">
        <f aca="false">IF(OR(P498="判定不能",G498="判定不能"),"判定不能",IF(AG498&gt;=判定条件!$C$9,"利用可",IF(AND(P498="停止",G498="停止"),"両方停止","運転がそろわない")))</f>
        <v>利用可</v>
      </c>
      <c r="AI498" s="30" t="n">
        <v>0</v>
      </c>
      <c r="AJ498" s="30" t="n">
        <v>0</v>
      </c>
      <c r="AK498" s="30" t="str">
        <f aca="false">IF(OR(S498="判定不能",J498="判定不能"),"判定不能",IF(AJ498&gt;=判定条件!$C$9,"利用可",IF(AND(S498="停止",J498="停止"),"両方停止","運転がそろわない")))</f>
        <v>判定不能</v>
      </c>
      <c r="AL498" s="30" t="n">
        <v>60</v>
      </c>
      <c r="AM498" s="30" t="n">
        <v>60</v>
      </c>
      <c r="AN498" s="30" t="str">
        <f aca="false">IF(OR(V498="判定不能",M498="判定不能"),"判定不能",IF(AM498&gt;=判定条件!$C$9,"利用可",IF(AND(V498="停止",M498="停止"),"両方停止","運転がそろわない")))</f>
        <v>利用可</v>
      </c>
      <c r="AO498" s="30" t="n">
        <v>60</v>
      </c>
      <c r="AP498" s="30" t="n">
        <v>32</v>
      </c>
      <c r="AQ498" s="30" t="str">
        <f aca="false">IF(OR(Y498="判定不能",G498="判定不能"),"判定不能",IF(AP498&gt;=判定条件!$C$9,"利用可",IF(AND(Y498="停止",G498="停止"),"両方停止","運転がそろわない")))</f>
        <v>利用可</v>
      </c>
      <c r="AR498" s="30" t="n">
        <v>60</v>
      </c>
      <c r="AS498" s="30" t="n">
        <v>45</v>
      </c>
      <c r="AT498" s="30" t="str">
        <f aca="false">IF(OR(AB498="判定不能",J498="判定不能"),"判定不能",IF(AS498&gt;=判定条件!$C$9,"利用可",IF(AND(AB498="停止",J498="停止"),"両方停止","運転がそろわない")))</f>
        <v>利用可</v>
      </c>
      <c r="AU498" s="30" t="n">
        <v>60</v>
      </c>
      <c r="AV498" s="30" t="n">
        <v>60</v>
      </c>
      <c r="AW498" s="30" t="str">
        <f aca="false">IF(OR(AE498="判定不能",M498="判定不能"),"判定不能",IF(AV498&gt;=判定条件!$C$9,"利用可",IF(AND(AE498="停止",M498="停止"),"両方停止","運転がそろわない")))</f>
        <v>利用可</v>
      </c>
      <c r="AX498" s="30" t="str">
        <f aca="false">IF(AND(AH498="利用可",AK498="利用可",AN498="利用可"),"利用可","不可")</f>
        <v>不可</v>
      </c>
      <c r="AY498" s="30" t="str">
        <f aca="false">IF(AND(AQ498="利用可",AT498="利用可",AW498="利用可"),"利用可","不可")</f>
        <v>利用可</v>
      </c>
    </row>
    <row r="499" customFormat="false" ht="15" hidden="false" customHeight="false" outlineLevel="0" collapsed="false">
      <c r="A499" s="29" t="n">
        <v>46252</v>
      </c>
      <c r="B499" s="30" t="n">
        <v>16</v>
      </c>
      <c r="C499" s="31" t="s">
        <v>67</v>
      </c>
      <c r="D499" s="31" t="s">
        <v>59</v>
      </c>
      <c r="E499" s="30" t="n">
        <v>60</v>
      </c>
      <c r="F499" s="30" t="n">
        <v>60</v>
      </c>
      <c r="G499" s="30" t="str">
        <f aca="false">IF(E499&lt;判定条件!$C$6,"判定不能",IF(F499&gt;=判定条件!$C$7*E499,"運転",IF(F499&lt;=判定条件!$C$8*E499,"停止","断続")))</f>
        <v>運転</v>
      </c>
      <c r="H499" s="30" t="n">
        <v>60</v>
      </c>
      <c r="I499" s="30" t="n">
        <v>60</v>
      </c>
      <c r="J499" s="30" t="str">
        <f aca="false">IF(H499&lt;判定条件!$C$6,"判定不能",IF(I499&gt;=判定条件!$C$7*H499,"運転",IF(I499&lt;=判定条件!$C$8*H499,"停止","断続")))</f>
        <v>運転</v>
      </c>
      <c r="K499" s="30" t="n">
        <v>60</v>
      </c>
      <c r="L499" s="30" t="n">
        <v>60</v>
      </c>
      <c r="M499" s="30" t="str">
        <f aca="false">IF(K499&lt;判定条件!$C$6,"判定不能",IF(L499&gt;=判定条件!$C$7*K499,"運転",IF(L499&lt;=判定条件!$C$8*K499,"停止","断続")))</f>
        <v>運転</v>
      </c>
      <c r="N499" s="30" t="n">
        <v>60</v>
      </c>
      <c r="O499" s="30" t="n">
        <v>42</v>
      </c>
      <c r="P499" s="30" t="str">
        <f aca="false">IF(N499&lt;判定条件!$C$6,"判定不能",IF(O499&gt;=判定条件!$C$7*N499,"運転",IF(O499&lt;=判定条件!$C$8*N499,"停止","断続")))</f>
        <v>断続</v>
      </c>
      <c r="Q499" s="30" t="n">
        <v>0</v>
      </c>
      <c r="R499" s="30" t="n">
        <v>0</v>
      </c>
      <c r="S499" s="30" t="str">
        <f aca="false">IF(Q499&lt;判定条件!$C$6,"判定不能",IF(R499&gt;=判定条件!$C$7*Q499,"運転",IF(R499&lt;=判定条件!$C$8*Q499,"停止","断続")))</f>
        <v>判定不能</v>
      </c>
      <c r="T499" s="30" t="n">
        <v>60</v>
      </c>
      <c r="U499" s="30" t="n">
        <v>53</v>
      </c>
      <c r="V499" s="30" t="str">
        <f aca="false">IF(T499&lt;判定条件!$C$6,"判定不能",IF(U499&gt;=判定条件!$C$7*T499,"運転",IF(U499&lt;=判定条件!$C$8*T499,"停止","断続")))</f>
        <v>運転</v>
      </c>
      <c r="W499" s="30" t="n">
        <v>60</v>
      </c>
      <c r="X499" s="30" t="n">
        <v>46</v>
      </c>
      <c r="Y499" s="30" t="str">
        <f aca="false">IF(W499&lt;判定条件!$C$6,"判定不能",IF(X499&gt;=判定条件!$C$7*W499,"運転",IF(X499&lt;=判定条件!$C$8*W499,"停止","断続")))</f>
        <v>断続</v>
      </c>
      <c r="Z499" s="30" t="n">
        <v>60</v>
      </c>
      <c r="AA499" s="30" t="n">
        <v>42</v>
      </c>
      <c r="AB499" s="30" t="str">
        <f aca="false">IF(Z499&lt;判定条件!$C$6,"判定不能",IF(AA499&gt;=判定条件!$C$7*Z499,"運転",IF(AA499&lt;=判定条件!$C$8*Z499,"停止","断続")))</f>
        <v>断続</v>
      </c>
      <c r="AC499" s="30" t="n">
        <v>60</v>
      </c>
      <c r="AD499" s="30" t="n">
        <v>60</v>
      </c>
      <c r="AE499" s="30" t="str">
        <f aca="false">IF(AC499&lt;判定条件!$C$6,"判定不能",IF(AD499&gt;=判定条件!$C$7*AC499,"運転",IF(AD499&lt;=判定条件!$C$8*AC499,"停止","断続")))</f>
        <v>運転</v>
      </c>
      <c r="AF499" s="30" t="n">
        <v>60</v>
      </c>
      <c r="AG499" s="30" t="n">
        <v>42</v>
      </c>
      <c r="AH499" s="30" t="str">
        <f aca="false">IF(OR(P499="判定不能",G499="判定不能"),"判定不能",IF(AG499&gt;=判定条件!$C$9,"利用可",IF(AND(P499="停止",G499="停止"),"両方停止","運転がそろわない")))</f>
        <v>利用可</v>
      </c>
      <c r="AI499" s="30" t="n">
        <v>0</v>
      </c>
      <c r="AJ499" s="30" t="n">
        <v>0</v>
      </c>
      <c r="AK499" s="30" t="str">
        <f aca="false">IF(OR(S499="判定不能",J499="判定不能"),"判定不能",IF(AJ499&gt;=判定条件!$C$9,"利用可",IF(AND(S499="停止",J499="停止"),"両方停止","運転がそろわない")))</f>
        <v>判定不能</v>
      </c>
      <c r="AL499" s="30" t="n">
        <v>60</v>
      </c>
      <c r="AM499" s="30" t="n">
        <v>53</v>
      </c>
      <c r="AN499" s="30" t="str">
        <f aca="false">IF(OR(V499="判定不能",M499="判定不能"),"判定不能",IF(AM499&gt;=判定条件!$C$9,"利用可",IF(AND(V499="停止",M499="停止"),"両方停止","運転がそろわない")))</f>
        <v>利用可</v>
      </c>
      <c r="AO499" s="30" t="n">
        <v>60</v>
      </c>
      <c r="AP499" s="30" t="n">
        <v>46</v>
      </c>
      <c r="AQ499" s="30" t="str">
        <f aca="false">IF(OR(Y499="判定不能",G499="判定不能"),"判定不能",IF(AP499&gt;=判定条件!$C$9,"利用可",IF(AND(Y499="停止",G499="停止"),"両方停止","運転がそろわない")))</f>
        <v>利用可</v>
      </c>
      <c r="AR499" s="30" t="n">
        <v>60</v>
      </c>
      <c r="AS499" s="30" t="n">
        <v>42</v>
      </c>
      <c r="AT499" s="30" t="str">
        <f aca="false">IF(OR(AB499="判定不能",J499="判定不能"),"判定不能",IF(AS499&gt;=判定条件!$C$9,"利用可",IF(AND(AB499="停止",J499="停止"),"両方停止","運転がそろわない")))</f>
        <v>利用可</v>
      </c>
      <c r="AU499" s="30" t="n">
        <v>60</v>
      </c>
      <c r="AV499" s="30" t="n">
        <v>60</v>
      </c>
      <c r="AW499" s="30" t="str">
        <f aca="false">IF(OR(AE499="判定不能",M499="判定不能"),"判定不能",IF(AV499&gt;=判定条件!$C$9,"利用可",IF(AND(AE499="停止",M499="停止"),"両方停止","運転がそろわない")))</f>
        <v>利用可</v>
      </c>
      <c r="AX499" s="30" t="str">
        <f aca="false">IF(AND(AH499="利用可",AK499="利用可",AN499="利用可"),"利用可","不可")</f>
        <v>不可</v>
      </c>
      <c r="AY499" s="30" t="str">
        <f aca="false">IF(AND(AQ499="利用可",AT499="利用可",AW499="利用可"),"利用可","不可")</f>
        <v>利用可</v>
      </c>
    </row>
    <row r="500" customFormat="false" ht="15" hidden="false" customHeight="false" outlineLevel="0" collapsed="false">
      <c r="A500" s="29" t="n">
        <v>46252</v>
      </c>
      <c r="B500" s="30" t="n">
        <v>17</v>
      </c>
      <c r="C500" s="31" t="s">
        <v>67</v>
      </c>
      <c r="D500" s="31" t="s">
        <v>59</v>
      </c>
      <c r="E500" s="30" t="n">
        <v>60</v>
      </c>
      <c r="F500" s="30" t="n">
        <v>60</v>
      </c>
      <c r="G500" s="30" t="str">
        <f aca="false">IF(E500&lt;判定条件!$C$6,"判定不能",IF(F500&gt;=判定条件!$C$7*E500,"運転",IF(F500&lt;=判定条件!$C$8*E500,"停止","断続")))</f>
        <v>運転</v>
      </c>
      <c r="H500" s="30" t="n">
        <v>60</v>
      </c>
      <c r="I500" s="30" t="n">
        <v>60</v>
      </c>
      <c r="J500" s="30" t="str">
        <f aca="false">IF(H500&lt;判定条件!$C$6,"判定不能",IF(I500&gt;=判定条件!$C$7*H500,"運転",IF(I500&lt;=判定条件!$C$8*H500,"停止","断続")))</f>
        <v>運転</v>
      </c>
      <c r="K500" s="30" t="n">
        <v>60</v>
      </c>
      <c r="L500" s="30" t="n">
        <v>60</v>
      </c>
      <c r="M500" s="30" t="str">
        <f aca="false">IF(K500&lt;判定条件!$C$6,"判定不能",IF(L500&gt;=判定条件!$C$7*K500,"運転",IF(L500&lt;=判定条件!$C$8*K500,"停止","断続")))</f>
        <v>運転</v>
      </c>
      <c r="N500" s="30" t="n">
        <v>60</v>
      </c>
      <c r="O500" s="30" t="n">
        <v>55</v>
      </c>
      <c r="P500" s="30" t="str">
        <f aca="false">IF(N500&lt;判定条件!$C$6,"判定不能",IF(O500&gt;=判定条件!$C$7*N500,"運転",IF(O500&lt;=判定条件!$C$8*N500,"停止","断続")))</f>
        <v>運転</v>
      </c>
      <c r="Q500" s="30" t="n">
        <v>0</v>
      </c>
      <c r="R500" s="30" t="n">
        <v>0</v>
      </c>
      <c r="S500" s="30" t="str">
        <f aca="false">IF(Q500&lt;判定条件!$C$6,"判定不能",IF(R500&gt;=判定条件!$C$7*Q500,"運転",IF(R500&lt;=判定条件!$C$8*Q500,"停止","断続")))</f>
        <v>判定不能</v>
      </c>
      <c r="T500" s="30" t="n">
        <v>60</v>
      </c>
      <c r="U500" s="30" t="n">
        <v>52</v>
      </c>
      <c r="V500" s="30" t="str">
        <f aca="false">IF(T500&lt;判定条件!$C$6,"判定不能",IF(U500&gt;=判定条件!$C$7*T500,"運転",IF(U500&lt;=判定条件!$C$8*T500,"停止","断続")))</f>
        <v>運転</v>
      </c>
      <c r="W500" s="30" t="n">
        <v>60</v>
      </c>
      <c r="X500" s="30" t="n">
        <v>54</v>
      </c>
      <c r="Y500" s="30" t="str">
        <f aca="false">IF(W500&lt;判定条件!$C$6,"判定不能",IF(X500&gt;=判定条件!$C$7*W500,"運転",IF(X500&lt;=判定条件!$C$8*W500,"停止","断続")))</f>
        <v>運転</v>
      </c>
      <c r="Z500" s="30" t="n">
        <v>60</v>
      </c>
      <c r="AA500" s="30" t="n">
        <v>54</v>
      </c>
      <c r="AB500" s="30" t="str">
        <f aca="false">IF(Z500&lt;判定条件!$C$6,"判定不能",IF(AA500&gt;=判定条件!$C$7*Z500,"運転",IF(AA500&lt;=判定条件!$C$8*Z500,"停止","断続")))</f>
        <v>運転</v>
      </c>
      <c r="AC500" s="30" t="n">
        <v>60</v>
      </c>
      <c r="AD500" s="30" t="n">
        <v>60</v>
      </c>
      <c r="AE500" s="30" t="str">
        <f aca="false">IF(AC500&lt;判定条件!$C$6,"判定不能",IF(AD500&gt;=判定条件!$C$7*AC500,"運転",IF(AD500&lt;=判定条件!$C$8*AC500,"停止","断続")))</f>
        <v>運転</v>
      </c>
      <c r="AF500" s="30" t="n">
        <v>60</v>
      </c>
      <c r="AG500" s="30" t="n">
        <v>55</v>
      </c>
      <c r="AH500" s="30" t="str">
        <f aca="false">IF(OR(P500="判定不能",G500="判定不能"),"判定不能",IF(AG500&gt;=判定条件!$C$9,"利用可",IF(AND(P500="停止",G500="停止"),"両方停止","運転がそろわない")))</f>
        <v>利用可</v>
      </c>
      <c r="AI500" s="30" t="n">
        <v>0</v>
      </c>
      <c r="AJ500" s="30" t="n">
        <v>0</v>
      </c>
      <c r="AK500" s="30" t="str">
        <f aca="false">IF(OR(S500="判定不能",J500="判定不能"),"判定不能",IF(AJ500&gt;=判定条件!$C$9,"利用可",IF(AND(S500="停止",J500="停止"),"両方停止","運転がそろわない")))</f>
        <v>判定不能</v>
      </c>
      <c r="AL500" s="30" t="n">
        <v>60</v>
      </c>
      <c r="AM500" s="30" t="n">
        <v>52</v>
      </c>
      <c r="AN500" s="30" t="str">
        <f aca="false">IF(OR(V500="判定不能",M500="判定不能"),"判定不能",IF(AM500&gt;=判定条件!$C$9,"利用可",IF(AND(V500="停止",M500="停止"),"両方停止","運転がそろわない")))</f>
        <v>利用可</v>
      </c>
      <c r="AO500" s="30" t="n">
        <v>60</v>
      </c>
      <c r="AP500" s="30" t="n">
        <v>54</v>
      </c>
      <c r="AQ500" s="30" t="str">
        <f aca="false">IF(OR(Y500="判定不能",G500="判定不能"),"判定不能",IF(AP500&gt;=判定条件!$C$9,"利用可",IF(AND(Y500="停止",G500="停止"),"両方停止","運転がそろわない")))</f>
        <v>利用可</v>
      </c>
      <c r="AR500" s="30" t="n">
        <v>60</v>
      </c>
      <c r="AS500" s="30" t="n">
        <v>54</v>
      </c>
      <c r="AT500" s="30" t="str">
        <f aca="false">IF(OR(AB500="判定不能",J500="判定不能"),"判定不能",IF(AS500&gt;=判定条件!$C$9,"利用可",IF(AND(AB500="停止",J500="停止"),"両方停止","運転がそろわない")))</f>
        <v>利用可</v>
      </c>
      <c r="AU500" s="30" t="n">
        <v>60</v>
      </c>
      <c r="AV500" s="30" t="n">
        <v>60</v>
      </c>
      <c r="AW500" s="30" t="str">
        <f aca="false">IF(OR(AE500="判定不能",M500="判定不能"),"判定不能",IF(AV500&gt;=判定条件!$C$9,"利用可",IF(AND(AE500="停止",M500="停止"),"両方停止","運転がそろわない")))</f>
        <v>利用可</v>
      </c>
      <c r="AX500" s="30" t="str">
        <f aca="false">IF(AND(AH500="利用可",AK500="利用可",AN500="利用可"),"利用可","不可")</f>
        <v>不可</v>
      </c>
      <c r="AY500" s="30" t="str">
        <f aca="false">IF(AND(AQ500="利用可",AT500="利用可",AW500="利用可"),"利用可","不可")</f>
        <v>利用可</v>
      </c>
    </row>
    <row r="501" customFormat="false" ht="15" hidden="false" customHeight="false" outlineLevel="0" collapsed="false">
      <c r="A501" s="29" t="n">
        <v>46252</v>
      </c>
      <c r="B501" s="30" t="n">
        <v>18</v>
      </c>
      <c r="C501" s="31" t="s">
        <v>67</v>
      </c>
      <c r="D501" s="31" t="s">
        <v>59</v>
      </c>
      <c r="E501" s="30" t="n">
        <v>60</v>
      </c>
      <c r="F501" s="30" t="n">
        <v>60</v>
      </c>
      <c r="G501" s="30" t="str">
        <f aca="false">IF(E501&lt;判定条件!$C$6,"判定不能",IF(F501&gt;=判定条件!$C$7*E501,"運転",IF(F501&lt;=判定条件!$C$8*E501,"停止","断続")))</f>
        <v>運転</v>
      </c>
      <c r="H501" s="30" t="n">
        <v>60</v>
      </c>
      <c r="I501" s="30" t="n">
        <v>60</v>
      </c>
      <c r="J501" s="30" t="str">
        <f aca="false">IF(H501&lt;判定条件!$C$6,"判定不能",IF(I501&gt;=判定条件!$C$7*H501,"運転",IF(I501&lt;=判定条件!$C$8*H501,"停止","断続")))</f>
        <v>運転</v>
      </c>
      <c r="K501" s="30" t="n">
        <v>60</v>
      </c>
      <c r="L501" s="30" t="n">
        <v>60</v>
      </c>
      <c r="M501" s="30" t="str">
        <f aca="false">IF(K501&lt;判定条件!$C$6,"判定不能",IF(L501&gt;=判定条件!$C$7*K501,"運転",IF(L501&lt;=判定条件!$C$8*K501,"停止","断続")))</f>
        <v>運転</v>
      </c>
      <c r="N501" s="30" t="n">
        <v>60</v>
      </c>
      <c r="O501" s="30" t="n">
        <v>0</v>
      </c>
      <c r="P501" s="30" t="str">
        <f aca="false">IF(N501&lt;判定条件!$C$6,"判定不能",IF(O501&gt;=判定条件!$C$7*N501,"運転",IF(O501&lt;=判定条件!$C$8*N501,"停止","断続")))</f>
        <v>停止</v>
      </c>
      <c r="Q501" s="30" t="n">
        <v>0</v>
      </c>
      <c r="R501" s="30" t="n">
        <v>0</v>
      </c>
      <c r="S501" s="30" t="str">
        <f aca="false">IF(Q501&lt;判定条件!$C$6,"判定不能",IF(R501&gt;=判定条件!$C$7*Q501,"運転",IF(R501&lt;=判定条件!$C$8*Q501,"停止","断続")))</f>
        <v>判定不能</v>
      </c>
      <c r="T501" s="30" t="n">
        <v>60</v>
      </c>
      <c r="U501" s="30" t="n">
        <v>21</v>
      </c>
      <c r="V501" s="30" t="str">
        <f aca="false">IF(T501&lt;判定条件!$C$6,"判定不能",IF(U501&gt;=判定条件!$C$7*T501,"運転",IF(U501&lt;=判定条件!$C$8*T501,"停止","断続")))</f>
        <v>断続</v>
      </c>
      <c r="W501" s="30" t="n">
        <v>60</v>
      </c>
      <c r="X501" s="30" t="n">
        <v>34</v>
      </c>
      <c r="Y501" s="30" t="str">
        <f aca="false">IF(W501&lt;判定条件!$C$6,"判定不能",IF(X501&gt;=判定条件!$C$7*W501,"運転",IF(X501&lt;=判定条件!$C$8*W501,"停止","断続")))</f>
        <v>断続</v>
      </c>
      <c r="Z501" s="30" t="n">
        <v>60</v>
      </c>
      <c r="AA501" s="30" t="n">
        <v>38</v>
      </c>
      <c r="AB501" s="30" t="str">
        <f aca="false">IF(Z501&lt;判定条件!$C$6,"判定不能",IF(AA501&gt;=判定条件!$C$7*Z501,"運転",IF(AA501&lt;=判定条件!$C$8*Z501,"停止","断続")))</f>
        <v>断続</v>
      </c>
      <c r="AC501" s="30" t="n">
        <v>60</v>
      </c>
      <c r="AD501" s="30" t="n">
        <v>52</v>
      </c>
      <c r="AE501" s="30" t="str">
        <f aca="false">IF(AC501&lt;判定条件!$C$6,"判定不能",IF(AD501&gt;=判定条件!$C$7*AC501,"運転",IF(AD501&lt;=判定条件!$C$8*AC501,"停止","断続")))</f>
        <v>運転</v>
      </c>
      <c r="AF501" s="30" t="n">
        <v>60</v>
      </c>
      <c r="AG501" s="30" t="n">
        <v>0</v>
      </c>
      <c r="AH501" s="30" t="str">
        <f aca="false">IF(OR(P501="判定不能",G501="判定不能"),"判定不能",IF(AG501&gt;=判定条件!$C$9,"利用可",IF(AND(P501="停止",G501="停止"),"両方停止","運転がそろわない")))</f>
        <v>運転がそろわない</v>
      </c>
      <c r="AI501" s="30" t="n">
        <v>0</v>
      </c>
      <c r="AJ501" s="30" t="n">
        <v>0</v>
      </c>
      <c r="AK501" s="30" t="str">
        <f aca="false">IF(OR(S501="判定不能",J501="判定不能"),"判定不能",IF(AJ501&gt;=判定条件!$C$9,"利用可",IF(AND(S501="停止",J501="停止"),"両方停止","運転がそろわない")))</f>
        <v>判定不能</v>
      </c>
      <c r="AL501" s="30" t="n">
        <v>60</v>
      </c>
      <c r="AM501" s="30" t="n">
        <v>21</v>
      </c>
      <c r="AN501" s="30" t="str">
        <f aca="false">IF(OR(V501="判定不能",M501="判定不能"),"判定不能",IF(AM501&gt;=判定条件!$C$9,"利用可",IF(AND(V501="停止",M501="停止"),"両方停止","運転がそろわない")))</f>
        <v>運転がそろわない</v>
      </c>
      <c r="AO501" s="30" t="n">
        <v>60</v>
      </c>
      <c r="AP501" s="30" t="n">
        <v>34</v>
      </c>
      <c r="AQ501" s="30" t="str">
        <f aca="false">IF(OR(Y501="判定不能",G501="判定不能"),"判定不能",IF(AP501&gt;=判定条件!$C$9,"利用可",IF(AND(Y501="停止",G501="停止"),"両方停止","運転がそろわない")))</f>
        <v>利用可</v>
      </c>
      <c r="AR501" s="30" t="n">
        <v>60</v>
      </c>
      <c r="AS501" s="30" t="n">
        <v>38</v>
      </c>
      <c r="AT501" s="30" t="str">
        <f aca="false">IF(OR(AB501="判定不能",J501="判定不能"),"判定不能",IF(AS501&gt;=判定条件!$C$9,"利用可",IF(AND(AB501="停止",J501="停止"),"両方停止","運転がそろわない")))</f>
        <v>利用可</v>
      </c>
      <c r="AU501" s="30" t="n">
        <v>60</v>
      </c>
      <c r="AV501" s="30" t="n">
        <v>52</v>
      </c>
      <c r="AW501" s="30" t="str">
        <f aca="false">IF(OR(AE501="判定不能",M501="判定不能"),"判定不能",IF(AV501&gt;=判定条件!$C$9,"利用可",IF(AND(AE501="停止",M501="停止"),"両方停止","運転がそろわない")))</f>
        <v>利用可</v>
      </c>
      <c r="AX501" s="30" t="str">
        <f aca="false">IF(AND(AH501="利用可",AK501="利用可",AN501="利用可"),"利用可","不可")</f>
        <v>不可</v>
      </c>
      <c r="AY501" s="30" t="str">
        <f aca="false">IF(AND(AQ501="利用可",AT501="利用可",AW501="利用可"),"利用可","不可")</f>
        <v>利用可</v>
      </c>
    </row>
    <row r="502" customFormat="false" ht="15" hidden="false" customHeight="false" outlineLevel="0" collapsed="false">
      <c r="A502" s="29" t="n">
        <v>46252</v>
      </c>
      <c r="B502" s="30" t="n">
        <v>19</v>
      </c>
      <c r="C502" s="31" t="s">
        <v>67</v>
      </c>
      <c r="D502" s="31" t="s">
        <v>59</v>
      </c>
      <c r="E502" s="30" t="n">
        <v>60</v>
      </c>
      <c r="F502" s="30" t="n">
        <v>60</v>
      </c>
      <c r="G502" s="30" t="str">
        <f aca="false">IF(E502&lt;判定条件!$C$6,"判定不能",IF(F502&gt;=判定条件!$C$7*E502,"運転",IF(F502&lt;=判定条件!$C$8*E502,"停止","断続")))</f>
        <v>運転</v>
      </c>
      <c r="H502" s="30" t="n">
        <v>60</v>
      </c>
      <c r="I502" s="30" t="n">
        <v>60</v>
      </c>
      <c r="J502" s="30" t="str">
        <f aca="false">IF(H502&lt;判定条件!$C$6,"判定不能",IF(I502&gt;=判定条件!$C$7*H502,"運転",IF(I502&lt;=判定条件!$C$8*H502,"停止","断続")))</f>
        <v>運転</v>
      </c>
      <c r="K502" s="30" t="n">
        <v>60</v>
      </c>
      <c r="L502" s="30" t="n">
        <v>60</v>
      </c>
      <c r="M502" s="30" t="str">
        <f aca="false">IF(K502&lt;判定条件!$C$6,"判定不能",IF(L502&gt;=判定条件!$C$7*K502,"運転",IF(L502&lt;=判定条件!$C$8*K502,"停止","断続")))</f>
        <v>運転</v>
      </c>
      <c r="N502" s="30" t="n">
        <v>60</v>
      </c>
      <c r="O502" s="30" t="n">
        <v>0</v>
      </c>
      <c r="P502" s="30" t="str">
        <f aca="false">IF(N502&lt;判定条件!$C$6,"判定不能",IF(O502&gt;=判定条件!$C$7*N502,"運転",IF(O502&lt;=判定条件!$C$8*N502,"停止","断続")))</f>
        <v>停止</v>
      </c>
      <c r="Q502" s="30" t="n">
        <v>0</v>
      </c>
      <c r="R502" s="30" t="n">
        <v>0</v>
      </c>
      <c r="S502" s="30" t="str">
        <f aca="false">IF(Q502&lt;判定条件!$C$6,"判定不能",IF(R502&gt;=判定条件!$C$7*Q502,"運転",IF(R502&lt;=判定条件!$C$8*Q502,"停止","断続")))</f>
        <v>判定不能</v>
      </c>
      <c r="T502" s="30" t="n">
        <v>60</v>
      </c>
      <c r="U502" s="30" t="n">
        <v>60</v>
      </c>
      <c r="V502" s="30" t="str">
        <f aca="false">IF(T502&lt;判定条件!$C$6,"判定不能",IF(U502&gt;=判定条件!$C$7*T502,"運転",IF(U502&lt;=判定条件!$C$8*T502,"停止","断続")))</f>
        <v>運転</v>
      </c>
      <c r="W502" s="30" t="n">
        <v>60</v>
      </c>
      <c r="X502" s="30" t="n">
        <v>3</v>
      </c>
      <c r="Y502" s="30" t="str">
        <f aca="false">IF(W502&lt;判定条件!$C$6,"判定不能",IF(X502&gt;=判定条件!$C$7*W502,"運転",IF(X502&lt;=判定条件!$C$8*W502,"停止","断続")))</f>
        <v>停止</v>
      </c>
      <c r="Z502" s="30" t="n">
        <v>60</v>
      </c>
      <c r="AA502" s="30" t="n">
        <v>21</v>
      </c>
      <c r="AB502" s="30" t="str">
        <f aca="false">IF(Z502&lt;判定条件!$C$6,"判定不能",IF(AA502&gt;=判定条件!$C$7*Z502,"運転",IF(AA502&lt;=判定条件!$C$8*Z502,"停止","断続")))</f>
        <v>断続</v>
      </c>
      <c r="AC502" s="30" t="n">
        <v>60</v>
      </c>
      <c r="AD502" s="30" t="n">
        <v>10</v>
      </c>
      <c r="AE502" s="30" t="str">
        <f aca="false">IF(AC502&lt;判定条件!$C$6,"判定不能",IF(AD502&gt;=判定条件!$C$7*AC502,"運転",IF(AD502&lt;=判定条件!$C$8*AC502,"停止","断続")))</f>
        <v>停止</v>
      </c>
      <c r="AF502" s="30" t="n">
        <v>60</v>
      </c>
      <c r="AG502" s="30" t="n">
        <v>0</v>
      </c>
      <c r="AH502" s="30" t="str">
        <f aca="false">IF(OR(P502="判定不能",G502="判定不能"),"判定不能",IF(AG502&gt;=判定条件!$C$9,"利用可",IF(AND(P502="停止",G502="停止"),"両方停止","運転がそろわない")))</f>
        <v>運転がそろわない</v>
      </c>
      <c r="AI502" s="30" t="n">
        <v>0</v>
      </c>
      <c r="AJ502" s="30" t="n">
        <v>0</v>
      </c>
      <c r="AK502" s="30" t="str">
        <f aca="false">IF(OR(S502="判定不能",J502="判定不能"),"判定不能",IF(AJ502&gt;=判定条件!$C$9,"利用可",IF(AND(S502="停止",J502="停止"),"両方停止","運転がそろわない")))</f>
        <v>判定不能</v>
      </c>
      <c r="AL502" s="30" t="n">
        <v>60</v>
      </c>
      <c r="AM502" s="30" t="n">
        <v>60</v>
      </c>
      <c r="AN502" s="30" t="str">
        <f aca="false">IF(OR(V502="判定不能",M502="判定不能"),"判定不能",IF(AM502&gt;=判定条件!$C$9,"利用可",IF(AND(V502="停止",M502="停止"),"両方停止","運転がそろわない")))</f>
        <v>利用可</v>
      </c>
      <c r="AO502" s="30" t="n">
        <v>60</v>
      </c>
      <c r="AP502" s="30" t="n">
        <v>3</v>
      </c>
      <c r="AQ502" s="30" t="str">
        <f aca="false">IF(OR(Y502="判定不能",G502="判定不能"),"判定不能",IF(AP502&gt;=判定条件!$C$9,"利用可",IF(AND(Y502="停止",G502="停止"),"両方停止","運転がそろわない")))</f>
        <v>運転がそろわない</v>
      </c>
      <c r="AR502" s="30" t="n">
        <v>60</v>
      </c>
      <c r="AS502" s="30" t="n">
        <v>21</v>
      </c>
      <c r="AT502" s="30" t="str">
        <f aca="false">IF(OR(AB502="判定不能",J502="判定不能"),"判定不能",IF(AS502&gt;=判定条件!$C$9,"利用可",IF(AND(AB502="停止",J502="停止"),"両方停止","運転がそろわない")))</f>
        <v>運転がそろわない</v>
      </c>
      <c r="AU502" s="30" t="n">
        <v>60</v>
      </c>
      <c r="AV502" s="30" t="n">
        <v>10</v>
      </c>
      <c r="AW502" s="30" t="str">
        <f aca="false">IF(OR(AE502="判定不能",M502="判定不能"),"判定不能",IF(AV502&gt;=判定条件!$C$9,"利用可",IF(AND(AE502="停止",M502="停止"),"両方停止","運転がそろわない")))</f>
        <v>運転がそろわない</v>
      </c>
      <c r="AX502" s="30" t="str">
        <f aca="false">IF(AND(AH502="利用可",AK502="利用可",AN502="利用可"),"利用可","不可")</f>
        <v>不可</v>
      </c>
      <c r="AY502" s="30" t="str">
        <f aca="false">IF(AND(AQ502="利用可",AT502="利用可",AW502="利用可"),"利用可","不可")</f>
        <v>不可</v>
      </c>
    </row>
    <row r="503" customFormat="false" ht="15" hidden="false" customHeight="false" outlineLevel="0" collapsed="false">
      <c r="A503" s="29" t="n">
        <v>46252</v>
      </c>
      <c r="B503" s="30" t="n">
        <v>20</v>
      </c>
      <c r="C503" s="31" t="s">
        <v>67</v>
      </c>
      <c r="D503" s="31" t="s">
        <v>59</v>
      </c>
      <c r="E503" s="30" t="n">
        <v>60</v>
      </c>
      <c r="F503" s="30" t="n">
        <v>45</v>
      </c>
      <c r="G503" s="30" t="str">
        <f aca="false">IF(E503&lt;判定条件!$C$6,"判定不能",IF(F503&gt;=判定条件!$C$7*E503,"運転",IF(F503&lt;=判定条件!$C$8*E503,"停止","断続")))</f>
        <v>断続</v>
      </c>
      <c r="H503" s="30" t="n">
        <v>60</v>
      </c>
      <c r="I503" s="30" t="n">
        <v>39</v>
      </c>
      <c r="J503" s="30" t="str">
        <f aca="false">IF(H503&lt;判定条件!$C$6,"判定不能",IF(I503&gt;=判定条件!$C$7*H503,"運転",IF(I503&lt;=判定条件!$C$8*H503,"停止","断続")))</f>
        <v>断続</v>
      </c>
      <c r="K503" s="30" t="n">
        <v>60</v>
      </c>
      <c r="L503" s="30" t="n">
        <v>46</v>
      </c>
      <c r="M503" s="30" t="str">
        <f aca="false">IF(K503&lt;判定条件!$C$6,"判定不能",IF(L503&gt;=判定条件!$C$7*K503,"運転",IF(L503&lt;=判定条件!$C$8*K503,"停止","断続")))</f>
        <v>断続</v>
      </c>
      <c r="N503" s="30" t="n">
        <v>60</v>
      </c>
      <c r="O503" s="30" t="n">
        <v>0</v>
      </c>
      <c r="P503" s="30" t="str">
        <f aca="false">IF(N503&lt;判定条件!$C$6,"判定不能",IF(O503&gt;=判定条件!$C$7*N503,"運転",IF(O503&lt;=判定条件!$C$8*N503,"停止","断続")))</f>
        <v>停止</v>
      </c>
      <c r="Q503" s="30" t="n">
        <v>0</v>
      </c>
      <c r="R503" s="30" t="n">
        <v>0</v>
      </c>
      <c r="S503" s="30" t="str">
        <f aca="false">IF(Q503&lt;判定条件!$C$6,"判定不能",IF(R503&gt;=判定条件!$C$7*Q503,"運転",IF(R503&lt;=判定条件!$C$8*Q503,"停止","断続")))</f>
        <v>判定不能</v>
      </c>
      <c r="T503" s="30" t="n">
        <v>60</v>
      </c>
      <c r="U503" s="30" t="n">
        <v>4</v>
      </c>
      <c r="V503" s="30" t="str">
        <f aca="false">IF(T503&lt;判定条件!$C$6,"判定不能",IF(U503&gt;=判定条件!$C$7*T503,"運転",IF(U503&lt;=判定条件!$C$8*T503,"停止","断続")))</f>
        <v>停止</v>
      </c>
      <c r="W503" s="30" t="n">
        <v>60</v>
      </c>
      <c r="X503" s="30" t="n">
        <v>50</v>
      </c>
      <c r="Y503" s="30" t="str">
        <f aca="false">IF(W503&lt;判定条件!$C$6,"判定不能",IF(X503&gt;=判定条件!$C$7*W503,"運転",IF(X503&lt;=判定条件!$C$8*W503,"停止","断続")))</f>
        <v>運転</v>
      </c>
      <c r="Z503" s="30" t="n">
        <v>60</v>
      </c>
      <c r="AA503" s="30" t="n">
        <v>48</v>
      </c>
      <c r="AB503" s="30" t="str">
        <f aca="false">IF(Z503&lt;判定条件!$C$6,"判定不能",IF(AA503&gt;=判定条件!$C$7*Z503,"運転",IF(AA503&lt;=判定条件!$C$8*Z503,"停止","断続")))</f>
        <v>運転</v>
      </c>
      <c r="AC503" s="30" t="n">
        <v>60</v>
      </c>
      <c r="AD503" s="30" t="n">
        <v>0</v>
      </c>
      <c r="AE503" s="30" t="str">
        <f aca="false">IF(AC503&lt;判定条件!$C$6,"判定不能",IF(AD503&gt;=判定条件!$C$7*AC503,"運転",IF(AD503&lt;=判定条件!$C$8*AC503,"停止","断続")))</f>
        <v>停止</v>
      </c>
      <c r="AF503" s="30" t="n">
        <v>60</v>
      </c>
      <c r="AG503" s="30" t="n">
        <v>0</v>
      </c>
      <c r="AH503" s="30" t="str">
        <f aca="false">IF(OR(P503="判定不能",G503="判定不能"),"判定不能",IF(AG503&gt;=判定条件!$C$9,"利用可",IF(AND(P503="停止",G503="停止"),"両方停止","運転がそろわない")))</f>
        <v>運転がそろわない</v>
      </c>
      <c r="AI503" s="30" t="n">
        <v>0</v>
      </c>
      <c r="AJ503" s="30" t="n">
        <v>0</v>
      </c>
      <c r="AK503" s="30" t="str">
        <f aca="false">IF(OR(S503="判定不能",J503="判定不能"),"判定不能",IF(AJ503&gt;=判定条件!$C$9,"利用可",IF(AND(S503="停止",J503="停止"),"両方停止","運転がそろわない")))</f>
        <v>判定不能</v>
      </c>
      <c r="AL503" s="30" t="n">
        <v>60</v>
      </c>
      <c r="AM503" s="30" t="n">
        <v>4</v>
      </c>
      <c r="AN503" s="30" t="str">
        <f aca="false">IF(OR(V503="判定不能",M503="判定不能"),"判定不能",IF(AM503&gt;=判定条件!$C$9,"利用可",IF(AND(V503="停止",M503="停止"),"両方停止","運転がそろわない")))</f>
        <v>運転がそろわない</v>
      </c>
      <c r="AO503" s="30" t="n">
        <v>60</v>
      </c>
      <c r="AP503" s="30" t="n">
        <v>45</v>
      </c>
      <c r="AQ503" s="30" t="str">
        <f aca="false">IF(OR(Y503="判定不能",G503="判定不能"),"判定不能",IF(AP503&gt;=判定条件!$C$9,"利用可",IF(AND(Y503="停止",G503="停止"),"両方停止","運転がそろわない")))</f>
        <v>利用可</v>
      </c>
      <c r="AR503" s="30" t="n">
        <v>60</v>
      </c>
      <c r="AS503" s="30" t="n">
        <v>27</v>
      </c>
      <c r="AT503" s="30" t="str">
        <f aca="false">IF(OR(AB503="判定不能",J503="判定不能"),"判定不能",IF(AS503&gt;=判定条件!$C$9,"利用可",IF(AND(AB503="停止",J503="停止"),"両方停止","運転がそろわない")))</f>
        <v>運転がそろわない</v>
      </c>
      <c r="AU503" s="30" t="n">
        <v>60</v>
      </c>
      <c r="AV503" s="30" t="n">
        <v>0</v>
      </c>
      <c r="AW503" s="30" t="str">
        <f aca="false">IF(OR(AE503="判定不能",M503="判定不能"),"判定不能",IF(AV503&gt;=判定条件!$C$9,"利用可",IF(AND(AE503="停止",M503="停止"),"両方停止","運転がそろわない")))</f>
        <v>運転がそろわない</v>
      </c>
      <c r="AX503" s="30" t="str">
        <f aca="false">IF(AND(AH503="利用可",AK503="利用可",AN503="利用可"),"利用可","不可")</f>
        <v>不可</v>
      </c>
      <c r="AY503" s="30" t="str">
        <f aca="false">IF(AND(AQ503="利用可",AT503="利用可",AW503="利用可"),"利用可","不可")</f>
        <v>不可</v>
      </c>
    </row>
    <row r="504" customFormat="false" ht="15" hidden="false" customHeight="false" outlineLevel="0" collapsed="false">
      <c r="A504" s="29" t="n">
        <v>46252</v>
      </c>
      <c r="B504" s="30" t="n">
        <v>21</v>
      </c>
      <c r="C504" s="31" t="s">
        <v>67</v>
      </c>
      <c r="D504" s="31" t="s">
        <v>59</v>
      </c>
      <c r="E504" s="30" t="n">
        <v>60</v>
      </c>
      <c r="F504" s="30" t="n">
        <v>0</v>
      </c>
      <c r="G504" s="30" t="str">
        <f aca="false">IF(E504&lt;判定条件!$C$6,"判定不能",IF(F504&gt;=判定条件!$C$7*E504,"運転",IF(F504&lt;=判定条件!$C$8*E504,"停止","断続")))</f>
        <v>停止</v>
      </c>
      <c r="H504" s="30" t="n">
        <v>60</v>
      </c>
      <c r="I504" s="30" t="n">
        <v>0</v>
      </c>
      <c r="J504" s="30" t="str">
        <f aca="false">IF(H504&lt;判定条件!$C$6,"判定不能",IF(I504&gt;=判定条件!$C$7*H504,"運転",IF(I504&lt;=判定条件!$C$8*H504,"停止","断続")))</f>
        <v>停止</v>
      </c>
      <c r="K504" s="30" t="n">
        <v>60</v>
      </c>
      <c r="L504" s="30" t="n">
        <v>0</v>
      </c>
      <c r="M504" s="30" t="str">
        <f aca="false">IF(K504&lt;判定条件!$C$6,"判定不能",IF(L504&gt;=判定条件!$C$7*K504,"運転",IF(L504&lt;=判定条件!$C$8*K504,"停止","断続")))</f>
        <v>停止</v>
      </c>
      <c r="N504" s="30" t="n">
        <v>60</v>
      </c>
      <c r="O504" s="30" t="n">
        <v>0</v>
      </c>
      <c r="P504" s="30" t="str">
        <f aca="false">IF(N504&lt;判定条件!$C$6,"判定不能",IF(O504&gt;=判定条件!$C$7*N504,"運転",IF(O504&lt;=判定条件!$C$8*N504,"停止","断続")))</f>
        <v>停止</v>
      </c>
      <c r="Q504" s="30" t="n">
        <v>0</v>
      </c>
      <c r="R504" s="30" t="n">
        <v>0</v>
      </c>
      <c r="S504" s="30" t="str">
        <f aca="false">IF(Q504&lt;判定条件!$C$6,"判定不能",IF(R504&gt;=判定条件!$C$7*Q504,"運転",IF(R504&lt;=判定条件!$C$8*Q504,"停止","断続")))</f>
        <v>判定不能</v>
      </c>
      <c r="T504" s="30" t="n">
        <v>60</v>
      </c>
      <c r="U504" s="30" t="n">
        <v>0</v>
      </c>
      <c r="V504" s="30" t="str">
        <f aca="false">IF(T504&lt;判定条件!$C$6,"判定不能",IF(U504&gt;=判定条件!$C$7*T504,"運転",IF(U504&lt;=判定条件!$C$8*T504,"停止","断続")))</f>
        <v>停止</v>
      </c>
      <c r="W504" s="30" t="n">
        <v>60</v>
      </c>
      <c r="X504" s="30" t="n">
        <v>0</v>
      </c>
      <c r="Y504" s="30" t="str">
        <f aca="false">IF(W504&lt;判定条件!$C$6,"判定不能",IF(X504&gt;=判定条件!$C$7*W504,"運転",IF(X504&lt;=判定条件!$C$8*W504,"停止","断続")))</f>
        <v>停止</v>
      </c>
      <c r="Z504" s="30" t="n">
        <v>60</v>
      </c>
      <c r="AA504" s="30" t="n">
        <v>10</v>
      </c>
      <c r="AB504" s="30" t="str">
        <f aca="false">IF(Z504&lt;判定条件!$C$6,"判定不能",IF(AA504&gt;=判定条件!$C$7*Z504,"運転",IF(AA504&lt;=判定条件!$C$8*Z504,"停止","断続")))</f>
        <v>停止</v>
      </c>
      <c r="AC504" s="30" t="n">
        <v>60</v>
      </c>
      <c r="AD504" s="30" t="n">
        <v>0</v>
      </c>
      <c r="AE504" s="30" t="str">
        <f aca="false">IF(AC504&lt;判定条件!$C$6,"判定不能",IF(AD504&gt;=判定条件!$C$7*AC504,"運転",IF(AD504&lt;=判定条件!$C$8*AC504,"停止","断続")))</f>
        <v>停止</v>
      </c>
      <c r="AF504" s="30" t="n">
        <v>60</v>
      </c>
      <c r="AG504" s="30" t="n">
        <v>0</v>
      </c>
      <c r="AH504" s="30" t="str">
        <f aca="false">IF(OR(P504="判定不能",G504="判定不能"),"判定不能",IF(AG504&gt;=判定条件!$C$9,"利用可",IF(AND(P504="停止",G504="停止"),"両方停止","運転がそろわない")))</f>
        <v>両方停止</v>
      </c>
      <c r="AI504" s="30" t="n">
        <v>0</v>
      </c>
      <c r="AJ504" s="30" t="n">
        <v>0</v>
      </c>
      <c r="AK504" s="30" t="str">
        <f aca="false">IF(OR(S504="判定不能",J504="判定不能"),"判定不能",IF(AJ504&gt;=判定条件!$C$9,"利用可",IF(AND(S504="停止",J504="停止"),"両方停止","運転がそろわない")))</f>
        <v>判定不能</v>
      </c>
      <c r="AL504" s="30" t="n">
        <v>60</v>
      </c>
      <c r="AM504" s="30" t="n">
        <v>0</v>
      </c>
      <c r="AN504" s="30" t="str">
        <f aca="false">IF(OR(V504="判定不能",M504="判定不能"),"判定不能",IF(AM504&gt;=判定条件!$C$9,"利用可",IF(AND(V504="停止",M504="停止"),"両方停止","運転がそろわない")))</f>
        <v>両方停止</v>
      </c>
      <c r="AO504" s="30" t="n">
        <v>60</v>
      </c>
      <c r="AP504" s="30" t="n">
        <v>0</v>
      </c>
      <c r="AQ504" s="30" t="str">
        <f aca="false">IF(OR(Y504="判定不能",G504="判定不能"),"判定不能",IF(AP504&gt;=判定条件!$C$9,"利用可",IF(AND(Y504="停止",G504="停止"),"両方停止","運転がそろわない")))</f>
        <v>両方停止</v>
      </c>
      <c r="AR504" s="30" t="n">
        <v>60</v>
      </c>
      <c r="AS504" s="30" t="n">
        <v>0</v>
      </c>
      <c r="AT504" s="30" t="str">
        <f aca="false">IF(OR(AB504="判定不能",J504="判定不能"),"判定不能",IF(AS504&gt;=判定条件!$C$9,"利用可",IF(AND(AB504="停止",J504="停止"),"両方停止","運転がそろわない")))</f>
        <v>両方停止</v>
      </c>
      <c r="AU504" s="30" t="n">
        <v>60</v>
      </c>
      <c r="AV504" s="30" t="n">
        <v>0</v>
      </c>
      <c r="AW504" s="30" t="str">
        <f aca="false">IF(OR(AE504="判定不能",M504="判定不能"),"判定不能",IF(AV504&gt;=判定条件!$C$9,"利用可",IF(AND(AE504="停止",M504="停止"),"両方停止","運転がそろわない")))</f>
        <v>両方停止</v>
      </c>
      <c r="AX504" s="30" t="str">
        <f aca="false">IF(AND(AH504="利用可",AK504="利用可",AN504="利用可"),"利用可","不可")</f>
        <v>不可</v>
      </c>
      <c r="AY504" s="30" t="str">
        <f aca="false">IF(AND(AQ504="利用可",AT504="利用可",AW504="利用可"),"利用可","不可")</f>
        <v>不可</v>
      </c>
    </row>
    <row r="505" customFormat="false" ht="15" hidden="false" customHeight="false" outlineLevel="0" collapsed="false">
      <c r="A505" s="29" t="n">
        <v>46252</v>
      </c>
      <c r="B505" s="30" t="n">
        <v>22</v>
      </c>
      <c r="C505" s="31" t="s">
        <v>67</v>
      </c>
      <c r="D505" s="31" t="s">
        <v>59</v>
      </c>
      <c r="E505" s="30" t="n">
        <v>60</v>
      </c>
      <c r="F505" s="30" t="n">
        <v>0</v>
      </c>
      <c r="G505" s="30" t="str">
        <f aca="false">IF(E505&lt;判定条件!$C$6,"判定不能",IF(F505&gt;=判定条件!$C$7*E505,"運転",IF(F505&lt;=判定条件!$C$8*E505,"停止","断続")))</f>
        <v>停止</v>
      </c>
      <c r="H505" s="30" t="n">
        <v>60</v>
      </c>
      <c r="I505" s="30" t="n">
        <v>0</v>
      </c>
      <c r="J505" s="30" t="str">
        <f aca="false">IF(H505&lt;判定条件!$C$6,"判定不能",IF(I505&gt;=判定条件!$C$7*H505,"運転",IF(I505&lt;=判定条件!$C$8*H505,"停止","断続")))</f>
        <v>停止</v>
      </c>
      <c r="K505" s="30" t="n">
        <v>60</v>
      </c>
      <c r="L505" s="30" t="n">
        <v>0</v>
      </c>
      <c r="M505" s="30" t="str">
        <f aca="false">IF(K505&lt;判定条件!$C$6,"判定不能",IF(L505&gt;=判定条件!$C$7*K505,"運転",IF(L505&lt;=判定条件!$C$8*K505,"停止","断続")))</f>
        <v>停止</v>
      </c>
      <c r="N505" s="30" t="n">
        <v>60</v>
      </c>
      <c r="O505" s="30" t="n">
        <v>0</v>
      </c>
      <c r="P505" s="30" t="str">
        <f aca="false">IF(N505&lt;判定条件!$C$6,"判定不能",IF(O505&gt;=判定条件!$C$7*N505,"運転",IF(O505&lt;=判定条件!$C$8*N505,"停止","断続")))</f>
        <v>停止</v>
      </c>
      <c r="Q505" s="30" t="n">
        <v>0</v>
      </c>
      <c r="R505" s="30" t="n">
        <v>0</v>
      </c>
      <c r="S505" s="30" t="str">
        <f aca="false">IF(Q505&lt;判定条件!$C$6,"判定不能",IF(R505&gt;=判定条件!$C$7*Q505,"運転",IF(R505&lt;=判定条件!$C$8*Q505,"停止","断続")))</f>
        <v>判定不能</v>
      </c>
      <c r="T505" s="30" t="n">
        <v>60</v>
      </c>
      <c r="U505" s="30" t="n">
        <v>0</v>
      </c>
      <c r="V505" s="30" t="str">
        <f aca="false">IF(T505&lt;判定条件!$C$6,"判定不能",IF(U505&gt;=判定条件!$C$7*T505,"運転",IF(U505&lt;=判定条件!$C$8*T505,"停止","断続")))</f>
        <v>停止</v>
      </c>
      <c r="W505" s="30" t="n">
        <v>60</v>
      </c>
      <c r="X505" s="30" t="n">
        <v>0</v>
      </c>
      <c r="Y505" s="30" t="str">
        <f aca="false">IF(W505&lt;判定条件!$C$6,"判定不能",IF(X505&gt;=判定条件!$C$7*W505,"運転",IF(X505&lt;=判定条件!$C$8*W505,"停止","断続")))</f>
        <v>停止</v>
      </c>
      <c r="Z505" s="30" t="n">
        <v>60</v>
      </c>
      <c r="AA505" s="30" t="n">
        <v>0</v>
      </c>
      <c r="AB505" s="30" t="str">
        <f aca="false">IF(Z505&lt;判定条件!$C$6,"判定不能",IF(AA505&gt;=判定条件!$C$7*Z505,"運転",IF(AA505&lt;=判定条件!$C$8*Z505,"停止","断続")))</f>
        <v>停止</v>
      </c>
      <c r="AC505" s="30" t="n">
        <v>60</v>
      </c>
      <c r="AD505" s="30" t="n">
        <v>0</v>
      </c>
      <c r="AE505" s="30" t="str">
        <f aca="false">IF(AC505&lt;判定条件!$C$6,"判定不能",IF(AD505&gt;=判定条件!$C$7*AC505,"運転",IF(AD505&lt;=判定条件!$C$8*AC505,"停止","断続")))</f>
        <v>停止</v>
      </c>
      <c r="AF505" s="30" t="n">
        <v>60</v>
      </c>
      <c r="AG505" s="30" t="n">
        <v>0</v>
      </c>
      <c r="AH505" s="30" t="str">
        <f aca="false">IF(OR(P505="判定不能",G505="判定不能"),"判定不能",IF(AG505&gt;=判定条件!$C$9,"利用可",IF(AND(P505="停止",G505="停止"),"両方停止","運転がそろわない")))</f>
        <v>両方停止</v>
      </c>
      <c r="AI505" s="30" t="n">
        <v>0</v>
      </c>
      <c r="AJ505" s="30" t="n">
        <v>0</v>
      </c>
      <c r="AK505" s="30" t="str">
        <f aca="false">IF(OR(S505="判定不能",J505="判定不能"),"判定不能",IF(AJ505&gt;=判定条件!$C$9,"利用可",IF(AND(S505="停止",J505="停止"),"両方停止","運転がそろわない")))</f>
        <v>判定不能</v>
      </c>
      <c r="AL505" s="30" t="n">
        <v>60</v>
      </c>
      <c r="AM505" s="30" t="n">
        <v>0</v>
      </c>
      <c r="AN505" s="30" t="str">
        <f aca="false">IF(OR(V505="判定不能",M505="判定不能"),"判定不能",IF(AM505&gt;=判定条件!$C$9,"利用可",IF(AND(V505="停止",M505="停止"),"両方停止","運転がそろわない")))</f>
        <v>両方停止</v>
      </c>
      <c r="AO505" s="30" t="n">
        <v>60</v>
      </c>
      <c r="AP505" s="30" t="n">
        <v>0</v>
      </c>
      <c r="AQ505" s="30" t="str">
        <f aca="false">IF(OR(Y505="判定不能",G505="判定不能"),"判定不能",IF(AP505&gt;=判定条件!$C$9,"利用可",IF(AND(Y505="停止",G505="停止"),"両方停止","運転がそろわない")))</f>
        <v>両方停止</v>
      </c>
      <c r="AR505" s="30" t="n">
        <v>60</v>
      </c>
      <c r="AS505" s="30" t="n">
        <v>0</v>
      </c>
      <c r="AT505" s="30" t="str">
        <f aca="false">IF(OR(AB505="判定不能",J505="判定不能"),"判定不能",IF(AS505&gt;=判定条件!$C$9,"利用可",IF(AND(AB505="停止",J505="停止"),"両方停止","運転がそろわない")))</f>
        <v>両方停止</v>
      </c>
      <c r="AU505" s="30" t="n">
        <v>60</v>
      </c>
      <c r="AV505" s="30" t="n">
        <v>0</v>
      </c>
      <c r="AW505" s="30" t="str">
        <f aca="false">IF(OR(AE505="判定不能",M505="判定不能"),"判定不能",IF(AV505&gt;=判定条件!$C$9,"利用可",IF(AND(AE505="停止",M505="停止"),"両方停止","運転がそろわない")))</f>
        <v>両方停止</v>
      </c>
      <c r="AX505" s="30" t="str">
        <f aca="false">IF(AND(AH505="利用可",AK505="利用可",AN505="利用可"),"利用可","不可")</f>
        <v>不可</v>
      </c>
      <c r="AY505" s="30" t="str">
        <f aca="false">IF(AND(AQ505="利用可",AT505="利用可",AW505="利用可"),"利用可","不可")</f>
        <v>不可</v>
      </c>
    </row>
    <row r="506" customFormat="false" ht="15" hidden="false" customHeight="false" outlineLevel="0" collapsed="false">
      <c r="A506" s="29" t="n">
        <v>46252</v>
      </c>
      <c r="B506" s="30" t="n">
        <v>23</v>
      </c>
      <c r="C506" s="31" t="s">
        <v>67</v>
      </c>
      <c r="D506" s="31" t="s">
        <v>59</v>
      </c>
      <c r="E506" s="30" t="n">
        <v>60</v>
      </c>
      <c r="F506" s="30" t="n">
        <v>0</v>
      </c>
      <c r="G506" s="30" t="str">
        <f aca="false">IF(E506&lt;判定条件!$C$6,"判定不能",IF(F506&gt;=判定条件!$C$7*E506,"運転",IF(F506&lt;=判定条件!$C$8*E506,"停止","断続")))</f>
        <v>停止</v>
      </c>
      <c r="H506" s="30" t="n">
        <v>60</v>
      </c>
      <c r="I506" s="30" t="n">
        <v>0</v>
      </c>
      <c r="J506" s="30" t="str">
        <f aca="false">IF(H506&lt;判定条件!$C$6,"判定不能",IF(I506&gt;=判定条件!$C$7*H506,"運転",IF(I506&lt;=判定条件!$C$8*H506,"停止","断続")))</f>
        <v>停止</v>
      </c>
      <c r="K506" s="30" t="n">
        <v>60</v>
      </c>
      <c r="L506" s="30" t="n">
        <v>0</v>
      </c>
      <c r="M506" s="30" t="str">
        <f aca="false">IF(K506&lt;判定条件!$C$6,"判定不能",IF(L506&gt;=判定条件!$C$7*K506,"運転",IF(L506&lt;=判定条件!$C$8*K506,"停止","断続")))</f>
        <v>停止</v>
      </c>
      <c r="N506" s="30" t="n">
        <v>60</v>
      </c>
      <c r="O506" s="30" t="n">
        <v>0</v>
      </c>
      <c r="P506" s="30" t="str">
        <f aca="false">IF(N506&lt;判定条件!$C$6,"判定不能",IF(O506&gt;=判定条件!$C$7*N506,"運転",IF(O506&lt;=判定条件!$C$8*N506,"停止","断続")))</f>
        <v>停止</v>
      </c>
      <c r="Q506" s="30" t="n">
        <v>0</v>
      </c>
      <c r="R506" s="30" t="n">
        <v>0</v>
      </c>
      <c r="S506" s="30" t="str">
        <f aca="false">IF(Q506&lt;判定条件!$C$6,"判定不能",IF(R506&gt;=判定条件!$C$7*Q506,"運転",IF(R506&lt;=判定条件!$C$8*Q506,"停止","断続")))</f>
        <v>判定不能</v>
      </c>
      <c r="T506" s="30" t="n">
        <v>60</v>
      </c>
      <c r="U506" s="30" t="n">
        <v>0</v>
      </c>
      <c r="V506" s="30" t="str">
        <f aca="false">IF(T506&lt;判定条件!$C$6,"判定不能",IF(U506&gt;=判定条件!$C$7*T506,"運転",IF(U506&lt;=判定条件!$C$8*T506,"停止","断続")))</f>
        <v>停止</v>
      </c>
      <c r="W506" s="30" t="n">
        <v>60</v>
      </c>
      <c r="X506" s="30" t="n">
        <v>0</v>
      </c>
      <c r="Y506" s="30" t="str">
        <f aca="false">IF(W506&lt;判定条件!$C$6,"判定不能",IF(X506&gt;=判定条件!$C$7*W506,"運転",IF(X506&lt;=判定条件!$C$8*W506,"停止","断続")))</f>
        <v>停止</v>
      </c>
      <c r="Z506" s="30" t="n">
        <v>60</v>
      </c>
      <c r="AA506" s="30" t="n">
        <v>0</v>
      </c>
      <c r="AB506" s="30" t="str">
        <f aca="false">IF(Z506&lt;判定条件!$C$6,"判定不能",IF(AA506&gt;=判定条件!$C$7*Z506,"運転",IF(AA506&lt;=判定条件!$C$8*Z506,"停止","断続")))</f>
        <v>停止</v>
      </c>
      <c r="AC506" s="30" t="n">
        <v>60</v>
      </c>
      <c r="AD506" s="30" t="n">
        <v>0</v>
      </c>
      <c r="AE506" s="30" t="str">
        <f aca="false">IF(AC506&lt;判定条件!$C$6,"判定不能",IF(AD506&gt;=判定条件!$C$7*AC506,"運転",IF(AD506&lt;=判定条件!$C$8*AC506,"停止","断続")))</f>
        <v>停止</v>
      </c>
      <c r="AF506" s="30" t="n">
        <v>60</v>
      </c>
      <c r="AG506" s="30" t="n">
        <v>0</v>
      </c>
      <c r="AH506" s="30" t="str">
        <f aca="false">IF(OR(P506="判定不能",G506="判定不能"),"判定不能",IF(AG506&gt;=判定条件!$C$9,"利用可",IF(AND(P506="停止",G506="停止"),"両方停止","運転がそろわない")))</f>
        <v>両方停止</v>
      </c>
      <c r="AI506" s="30" t="n">
        <v>0</v>
      </c>
      <c r="AJ506" s="30" t="n">
        <v>0</v>
      </c>
      <c r="AK506" s="30" t="str">
        <f aca="false">IF(OR(S506="判定不能",J506="判定不能"),"判定不能",IF(AJ506&gt;=判定条件!$C$9,"利用可",IF(AND(S506="停止",J506="停止"),"両方停止","運転がそろわない")))</f>
        <v>判定不能</v>
      </c>
      <c r="AL506" s="30" t="n">
        <v>60</v>
      </c>
      <c r="AM506" s="30" t="n">
        <v>0</v>
      </c>
      <c r="AN506" s="30" t="str">
        <f aca="false">IF(OR(V506="判定不能",M506="判定不能"),"判定不能",IF(AM506&gt;=判定条件!$C$9,"利用可",IF(AND(V506="停止",M506="停止"),"両方停止","運転がそろわない")))</f>
        <v>両方停止</v>
      </c>
      <c r="AO506" s="30" t="n">
        <v>60</v>
      </c>
      <c r="AP506" s="30" t="n">
        <v>0</v>
      </c>
      <c r="AQ506" s="30" t="str">
        <f aca="false">IF(OR(Y506="判定不能",G506="判定不能"),"判定不能",IF(AP506&gt;=判定条件!$C$9,"利用可",IF(AND(Y506="停止",G506="停止"),"両方停止","運転がそろわない")))</f>
        <v>両方停止</v>
      </c>
      <c r="AR506" s="30" t="n">
        <v>60</v>
      </c>
      <c r="AS506" s="30" t="n">
        <v>0</v>
      </c>
      <c r="AT506" s="30" t="str">
        <f aca="false">IF(OR(AB506="判定不能",J506="判定不能"),"判定不能",IF(AS506&gt;=判定条件!$C$9,"利用可",IF(AND(AB506="停止",J506="停止"),"両方停止","運転がそろわない")))</f>
        <v>両方停止</v>
      </c>
      <c r="AU506" s="30" t="n">
        <v>60</v>
      </c>
      <c r="AV506" s="30" t="n">
        <v>0</v>
      </c>
      <c r="AW506" s="30" t="str">
        <f aca="false">IF(OR(AE506="判定不能",M506="判定不能"),"判定不能",IF(AV506&gt;=判定条件!$C$9,"利用可",IF(AND(AE506="停止",M506="停止"),"両方停止","運転がそろわない")))</f>
        <v>両方停止</v>
      </c>
      <c r="AX506" s="30" t="str">
        <f aca="false">IF(AND(AH506="利用可",AK506="利用可",AN506="利用可"),"利用可","不可")</f>
        <v>不可</v>
      </c>
      <c r="AY506" s="30" t="str">
        <f aca="false">IF(AND(AQ506="利用可",AT506="利用可",AW506="利用可"),"利用可","不可")</f>
        <v>不可</v>
      </c>
    </row>
    <row r="507" customFormat="false" ht="15" hidden="false" customHeight="false" outlineLevel="0" collapsed="false">
      <c r="A507" s="29" t="n">
        <v>46253</v>
      </c>
      <c r="B507" s="30" t="n">
        <v>0</v>
      </c>
      <c r="C507" s="31" t="s">
        <v>58</v>
      </c>
      <c r="D507" s="31" t="s">
        <v>59</v>
      </c>
      <c r="E507" s="30" t="n">
        <v>60</v>
      </c>
      <c r="F507" s="30" t="n">
        <v>0</v>
      </c>
      <c r="G507" s="30" t="str">
        <f aca="false">IF(E507&lt;判定条件!$C$6,"判定不能",IF(F507&gt;=判定条件!$C$7*E507,"運転",IF(F507&lt;=判定条件!$C$8*E507,"停止","断続")))</f>
        <v>停止</v>
      </c>
      <c r="H507" s="30" t="n">
        <v>60</v>
      </c>
      <c r="I507" s="30" t="n">
        <v>0</v>
      </c>
      <c r="J507" s="30" t="str">
        <f aca="false">IF(H507&lt;判定条件!$C$6,"判定不能",IF(I507&gt;=判定条件!$C$7*H507,"運転",IF(I507&lt;=判定条件!$C$8*H507,"停止","断続")))</f>
        <v>停止</v>
      </c>
      <c r="K507" s="30" t="n">
        <v>60</v>
      </c>
      <c r="L507" s="30" t="n">
        <v>0</v>
      </c>
      <c r="M507" s="30" t="str">
        <f aca="false">IF(K507&lt;判定条件!$C$6,"判定不能",IF(L507&gt;=判定条件!$C$7*K507,"運転",IF(L507&lt;=判定条件!$C$8*K507,"停止","断続")))</f>
        <v>停止</v>
      </c>
      <c r="N507" s="30" t="n">
        <v>60</v>
      </c>
      <c r="O507" s="30" t="n">
        <v>0</v>
      </c>
      <c r="P507" s="30" t="str">
        <f aca="false">IF(N507&lt;判定条件!$C$6,"判定不能",IF(O507&gt;=判定条件!$C$7*N507,"運転",IF(O507&lt;=判定条件!$C$8*N507,"停止","断続")))</f>
        <v>停止</v>
      </c>
      <c r="Q507" s="30" t="n">
        <v>0</v>
      </c>
      <c r="R507" s="30" t="n">
        <v>0</v>
      </c>
      <c r="S507" s="30" t="str">
        <f aca="false">IF(Q507&lt;判定条件!$C$6,"判定不能",IF(R507&gt;=判定条件!$C$7*Q507,"運転",IF(R507&lt;=判定条件!$C$8*Q507,"停止","断続")))</f>
        <v>判定不能</v>
      </c>
      <c r="T507" s="30" t="n">
        <v>60</v>
      </c>
      <c r="U507" s="30" t="n">
        <v>0</v>
      </c>
      <c r="V507" s="30" t="str">
        <f aca="false">IF(T507&lt;判定条件!$C$6,"判定不能",IF(U507&gt;=判定条件!$C$7*T507,"運転",IF(U507&lt;=判定条件!$C$8*T507,"停止","断続")))</f>
        <v>停止</v>
      </c>
      <c r="W507" s="30" t="n">
        <v>60</v>
      </c>
      <c r="X507" s="30" t="n">
        <v>0</v>
      </c>
      <c r="Y507" s="30" t="str">
        <f aca="false">IF(W507&lt;判定条件!$C$6,"判定不能",IF(X507&gt;=判定条件!$C$7*W507,"運転",IF(X507&lt;=判定条件!$C$8*W507,"停止","断続")))</f>
        <v>停止</v>
      </c>
      <c r="Z507" s="30" t="n">
        <v>60</v>
      </c>
      <c r="AA507" s="30" t="n">
        <v>0</v>
      </c>
      <c r="AB507" s="30" t="str">
        <f aca="false">IF(Z507&lt;判定条件!$C$6,"判定不能",IF(AA507&gt;=判定条件!$C$7*Z507,"運転",IF(AA507&lt;=判定条件!$C$8*Z507,"停止","断続")))</f>
        <v>停止</v>
      </c>
      <c r="AC507" s="30" t="n">
        <v>60</v>
      </c>
      <c r="AD507" s="30" t="n">
        <v>0</v>
      </c>
      <c r="AE507" s="30" t="str">
        <f aca="false">IF(AC507&lt;判定条件!$C$6,"判定不能",IF(AD507&gt;=判定条件!$C$7*AC507,"運転",IF(AD507&lt;=判定条件!$C$8*AC507,"停止","断続")))</f>
        <v>停止</v>
      </c>
      <c r="AF507" s="30" t="n">
        <v>60</v>
      </c>
      <c r="AG507" s="30" t="n">
        <v>0</v>
      </c>
      <c r="AH507" s="30" t="str">
        <f aca="false">IF(OR(P507="判定不能",G507="判定不能"),"判定不能",IF(AG507&gt;=判定条件!$C$9,"利用可",IF(AND(P507="停止",G507="停止"),"両方停止","運転がそろわない")))</f>
        <v>両方停止</v>
      </c>
      <c r="AI507" s="30" t="n">
        <v>0</v>
      </c>
      <c r="AJ507" s="30" t="n">
        <v>0</v>
      </c>
      <c r="AK507" s="30" t="str">
        <f aca="false">IF(OR(S507="判定不能",J507="判定不能"),"判定不能",IF(AJ507&gt;=判定条件!$C$9,"利用可",IF(AND(S507="停止",J507="停止"),"両方停止","運転がそろわない")))</f>
        <v>判定不能</v>
      </c>
      <c r="AL507" s="30" t="n">
        <v>60</v>
      </c>
      <c r="AM507" s="30" t="n">
        <v>0</v>
      </c>
      <c r="AN507" s="30" t="str">
        <f aca="false">IF(OR(V507="判定不能",M507="判定不能"),"判定不能",IF(AM507&gt;=判定条件!$C$9,"利用可",IF(AND(V507="停止",M507="停止"),"両方停止","運転がそろわない")))</f>
        <v>両方停止</v>
      </c>
      <c r="AO507" s="30" t="n">
        <v>60</v>
      </c>
      <c r="AP507" s="30" t="n">
        <v>0</v>
      </c>
      <c r="AQ507" s="30" t="str">
        <f aca="false">IF(OR(Y507="判定不能",G507="判定不能"),"判定不能",IF(AP507&gt;=判定条件!$C$9,"利用可",IF(AND(Y507="停止",G507="停止"),"両方停止","運転がそろわない")))</f>
        <v>両方停止</v>
      </c>
      <c r="AR507" s="30" t="n">
        <v>60</v>
      </c>
      <c r="AS507" s="30" t="n">
        <v>0</v>
      </c>
      <c r="AT507" s="30" t="str">
        <f aca="false">IF(OR(AB507="判定不能",J507="判定不能"),"判定不能",IF(AS507&gt;=判定条件!$C$9,"利用可",IF(AND(AB507="停止",J507="停止"),"両方停止","運転がそろわない")))</f>
        <v>両方停止</v>
      </c>
      <c r="AU507" s="30" t="n">
        <v>60</v>
      </c>
      <c r="AV507" s="30" t="n">
        <v>0</v>
      </c>
      <c r="AW507" s="30" t="str">
        <f aca="false">IF(OR(AE507="判定不能",M507="判定不能"),"判定不能",IF(AV507&gt;=判定条件!$C$9,"利用可",IF(AND(AE507="停止",M507="停止"),"両方停止","運転がそろわない")))</f>
        <v>両方停止</v>
      </c>
      <c r="AX507" s="30" t="str">
        <f aca="false">IF(AND(AH507="利用可",AK507="利用可",AN507="利用可"),"利用可","不可")</f>
        <v>不可</v>
      </c>
      <c r="AY507" s="30" t="str">
        <f aca="false">IF(AND(AQ507="利用可",AT507="利用可",AW507="利用可"),"利用可","不可")</f>
        <v>不可</v>
      </c>
    </row>
    <row r="508" customFormat="false" ht="15" hidden="false" customHeight="false" outlineLevel="0" collapsed="false">
      <c r="A508" s="29" t="n">
        <v>46253</v>
      </c>
      <c r="B508" s="30" t="n">
        <v>1</v>
      </c>
      <c r="C508" s="31" t="s">
        <v>58</v>
      </c>
      <c r="D508" s="31" t="s">
        <v>59</v>
      </c>
      <c r="E508" s="30" t="n">
        <v>60</v>
      </c>
      <c r="F508" s="30" t="n">
        <v>0</v>
      </c>
      <c r="G508" s="30" t="str">
        <f aca="false">IF(E508&lt;判定条件!$C$6,"判定不能",IF(F508&gt;=判定条件!$C$7*E508,"運転",IF(F508&lt;=判定条件!$C$8*E508,"停止","断続")))</f>
        <v>停止</v>
      </c>
      <c r="H508" s="30" t="n">
        <v>60</v>
      </c>
      <c r="I508" s="30" t="n">
        <v>0</v>
      </c>
      <c r="J508" s="30" t="str">
        <f aca="false">IF(H508&lt;判定条件!$C$6,"判定不能",IF(I508&gt;=判定条件!$C$7*H508,"運転",IF(I508&lt;=判定条件!$C$8*H508,"停止","断続")))</f>
        <v>停止</v>
      </c>
      <c r="K508" s="30" t="n">
        <v>60</v>
      </c>
      <c r="L508" s="30" t="n">
        <v>0</v>
      </c>
      <c r="M508" s="30" t="str">
        <f aca="false">IF(K508&lt;判定条件!$C$6,"判定不能",IF(L508&gt;=判定条件!$C$7*K508,"運転",IF(L508&lt;=判定条件!$C$8*K508,"停止","断続")))</f>
        <v>停止</v>
      </c>
      <c r="N508" s="30" t="n">
        <v>60</v>
      </c>
      <c r="O508" s="30" t="n">
        <v>0</v>
      </c>
      <c r="P508" s="30" t="str">
        <f aca="false">IF(N508&lt;判定条件!$C$6,"判定不能",IF(O508&gt;=判定条件!$C$7*N508,"運転",IF(O508&lt;=判定条件!$C$8*N508,"停止","断続")))</f>
        <v>停止</v>
      </c>
      <c r="Q508" s="30" t="n">
        <v>0</v>
      </c>
      <c r="R508" s="30" t="n">
        <v>0</v>
      </c>
      <c r="S508" s="30" t="str">
        <f aca="false">IF(Q508&lt;判定条件!$C$6,"判定不能",IF(R508&gt;=判定条件!$C$7*Q508,"運転",IF(R508&lt;=判定条件!$C$8*Q508,"停止","断続")))</f>
        <v>判定不能</v>
      </c>
      <c r="T508" s="30" t="n">
        <v>60</v>
      </c>
      <c r="U508" s="30" t="n">
        <v>0</v>
      </c>
      <c r="V508" s="30" t="str">
        <f aca="false">IF(T508&lt;判定条件!$C$6,"判定不能",IF(U508&gt;=判定条件!$C$7*T508,"運転",IF(U508&lt;=判定条件!$C$8*T508,"停止","断続")))</f>
        <v>停止</v>
      </c>
      <c r="W508" s="30" t="n">
        <v>60</v>
      </c>
      <c r="X508" s="30" t="n">
        <v>0</v>
      </c>
      <c r="Y508" s="30" t="str">
        <f aca="false">IF(W508&lt;判定条件!$C$6,"判定不能",IF(X508&gt;=判定条件!$C$7*W508,"運転",IF(X508&lt;=判定条件!$C$8*W508,"停止","断続")))</f>
        <v>停止</v>
      </c>
      <c r="Z508" s="30" t="n">
        <v>60</v>
      </c>
      <c r="AA508" s="30" t="n">
        <v>0</v>
      </c>
      <c r="AB508" s="30" t="str">
        <f aca="false">IF(Z508&lt;判定条件!$C$6,"判定不能",IF(AA508&gt;=判定条件!$C$7*Z508,"運転",IF(AA508&lt;=判定条件!$C$8*Z508,"停止","断続")))</f>
        <v>停止</v>
      </c>
      <c r="AC508" s="30" t="n">
        <v>60</v>
      </c>
      <c r="AD508" s="30" t="n">
        <v>0</v>
      </c>
      <c r="AE508" s="30" t="str">
        <f aca="false">IF(AC508&lt;判定条件!$C$6,"判定不能",IF(AD508&gt;=判定条件!$C$7*AC508,"運転",IF(AD508&lt;=判定条件!$C$8*AC508,"停止","断続")))</f>
        <v>停止</v>
      </c>
      <c r="AF508" s="30" t="n">
        <v>60</v>
      </c>
      <c r="AG508" s="30" t="n">
        <v>0</v>
      </c>
      <c r="AH508" s="30" t="str">
        <f aca="false">IF(OR(P508="判定不能",G508="判定不能"),"判定不能",IF(AG508&gt;=判定条件!$C$9,"利用可",IF(AND(P508="停止",G508="停止"),"両方停止","運転がそろわない")))</f>
        <v>両方停止</v>
      </c>
      <c r="AI508" s="30" t="n">
        <v>0</v>
      </c>
      <c r="AJ508" s="30" t="n">
        <v>0</v>
      </c>
      <c r="AK508" s="30" t="str">
        <f aca="false">IF(OR(S508="判定不能",J508="判定不能"),"判定不能",IF(AJ508&gt;=判定条件!$C$9,"利用可",IF(AND(S508="停止",J508="停止"),"両方停止","運転がそろわない")))</f>
        <v>判定不能</v>
      </c>
      <c r="AL508" s="30" t="n">
        <v>60</v>
      </c>
      <c r="AM508" s="30" t="n">
        <v>0</v>
      </c>
      <c r="AN508" s="30" t="str">
        <f aca="false">IF(OR(V508="判定不能",M508="判定不能"),"判定不能",IF(AM508&gt;=判定条件!$C$9,"利用可",IF(AND(V508="停止",M508="停止"),"両方停止","運転がそろわない")))</f>
        <v>両方停止</v>
      </c>
      <c r="AO508" s="30" t="n">
        <v>60</v>
      </c>
      <c r="AP508" s="30" t="n">
        <v>0</v>
      </c>
      <c r="AQ508" s="30" t="str">
        <f aca="false">IF(OR(Y508="判定不能",G508="判定不能"),"判定不能",IF(AP508&gt;=判定条件!$C$9,"利用可",IF(AND(Y508="停止",G508="停止"),"両方停止","運転がそろわない")))</f>
        <v>両方停止</v>
      </c>
      <c r="AR508" s="30" t="n">
        <v>60</v>
      </c>
      <c r="AS508" s="30" t="n">
        <v>0</v>
      </c>
      <c r="AT508" s="30" t="str">
        <f aca="false">IF(OR(AB508="判定不能",J508="判定不能"),"判定不能",IF(AS508&gt;=判定条件!$C$9,"利用可",IF(AND(AB508="停止",J508="停止"),"両方停止","運転がそろわない")))</f>
        <v>両方停止</v>
      </c>
      <c r="AU508" s="30" t="n">
        <v>60</v>
      </c>
      <c r="AV508" s="30" t="n">
        <v>0</v>
      </c>
      <c r="AW508" s="30" t="str">
        <f aca="false">IF(OR(AE508="判定不能",M508="判定不能"),"判定不能",IF(AV508&gt;=判定条件!$C$9,"利用可",IF(AND(AE508="停止",M508="停止"),"両方停止","運転がそろわない")))</f>
        <v>両方停止</v>
      </c>
      <c r="AX508" s="30" t="str">
        <f aca="false">IF(AND(AH508="利用可",AK508="利用可",AN508="利用可"),"利用可","不可")</f>
        <v>不可</v>
      </c>
      <c r="AY508" s="30" t="str">
        <f aca="false">IF(AND(AQ508="利用可",AT508="利用可",AW508="利用可"),"利用可","不可")</f>
        <v>不可</v>
      </c>
    </row>
    <row r="509" customFormat="false" ht="15" hidden="false" customHeight="false" outlineLevel="0" collapsed="false">
      <c r="A509" s="29" t="n">
        <v>46253</v>
      </c>
      <c r="B509" s="30" t="n">
        <v>2</v>
      </c>
      <c r="C509" s="31" t="s">
        <v>58</v>
      </c>
      <c r="D509" s="31" t="s">
        <v>59</v>
      </c>
      <c r="E509" s="30" t="n">
        <v>60</v>
      </c>
      <c r="F509" s="30" t="n">
        <v>0</v>
      </c>
      <c r="G509" s="30" t="str">
        <f aca="false">IF(E509&lt;判定条件!$C$6,"判定不能",IF(F509&gt;=判定条件!$C$7*E509,"運転",IF(F509&lt;=判定条件!$C$8*E509,"停止","断続")))</f>
        <v>停止</v>
      </c>
      <c r="H509" s="30" t="n">
        <v>60</v>
      </c>
      <c r="I509" s="30" t="n">
        <v>0</v>
      </c>
      <c r="J509" s="30" t="str">
        <f aca="false">IF(H509&lt;判定条件!$C$6,"判定不能",IF(I509&gt;=判定条件!$C$7*H509,"運転",IF(I509&lt;=判定条件!$C$8*H509,"停止","断続")))</f>
        <v>停止</v>
      </c>
      <c r="K509" s="30" t="n">
        <v>60</v>
      </c>
      <c r="L509" s="30" t="n">
        <v>0</v>
      </c>
      <c r="M509" s="30" t="str">
        <f aca="false">IF(K509&lt;判定条件!$C$6,"判定不能",IF(L509&gt;=判定条件!$C$7*K509,"運転",IF(L509&lt;=判定条件!$C$8*K509,"停止","断続")))</f>
        <v>停止</v>
      </c>
      <c r="N509" s="30" t="n">
        <v>60</v>
      </c>
      <c r="O509" s="30" t="n">
        <v>0</v>
      </c>
      <c r="P509" s="30" t="str">
        <f aca="false">IF(N509&lt;判定条件!$C$6,"判定不能",IF(O509&gt;=判定条件!$C$7*N509,"運転",IF(O509&lt;=判定条件!$C$8*N509,"停止","断続")))</f>
        <v>停止</v>
      </c>
      <c r="Q509" s="30" t="n">
        <v>0</v>
      </c>
      <c r="R509" s="30" t="n">
        <v>0</v>
      </c>
      <c r="S509" s="30" t="str">
        <f aca="false">IF(Q509&lt;判定条件!$C$6,"判定不能",IF(R509&gt;=判定条件!$C$7*Q509,"運転",IF(R509&lt;=判定条件!$C$8*Q509,"停止","断続")))</f>
        <v>判定不能</v>
      </c>
      <c r="T509" s="30" t="n">
        <v>60</v>
      </c>
      <c r="U509" s="30" t="n">
        <v>0</v>
      </c>
      <c r="V509" s="30" t="str">
        <f aca="false">IF(T509&lt;判定条件!$C$6,"判定不能",IF(U509&gt;=判定条件!$C$7*T509,"運転",IF(U509&lt;=判定条件!$C$8*T509,"停止","断続")))</f>
        <v>停止</v>
      </c>
      <c r="W509" s="30" t="n">
        <v>60</v>
      </c>
      <c r="X509" s="30" t="n">
        <v>0</v>
      </c>
      <c r="Y509" s="30" t="str">
        <f aca="false">IF(W509&lt;判定条件!$C$6,"判定不能",IF(X509&gt;=判定条件!$C$7*W509,"運転",IF(X509&lt;=判定条件!$C$8*W509,"停止","断続")))</f>
        <v>停止</v>
      </c>
      <c r="Z509" s="30" t="n">
        <v>60</v>
      </c>
      <c r="AA509" s="30" t="n">
        <v>0</v>
      </c>
      <c r="AB509" s="30" t="str">
        <f aca="false">IF(Z509&lt;判定条件!$C$6,"判定不能",IF(AA509&gt;=判定条件!$C$7*Z509,"運転",IF(AA509&lt;=判定条件!$C$8*Z509,"停止","断続")))</f>
        <v>停止</v>
      </c>
      <c r="AC509" s="30" t="n">
        <v>60</v>
      </c>
      <c r="AD509" s="30" t="n">
        <v>0</v>
      </c>
      <c r="AE509" s="30" t="str">
        <f aca="false">IF(AC509&lt;判定条件!$C$6,"判定不能",IF(AD509&gt;=判定条件!$C$7*AC509,"運転",IF(AD509&lt;=判定条件!$C$8*AC509,"停止","断続")))</f>
        <v>停止</v>
      </c>
      <c r="AF509" s="30" t="n">
        <v>60</v>
      </c>
      <c r="AG509" s="30" t="n">
        <v>0</v>
      </c>
      <c r="AH509" s="30" t="str">
        <f aca="false">IF(OR(P509="判定不能",G509="判定不能"),"判定不能",IF(AG509&gt;=判定条件!$C$9,"利用可",IF(AND(P509="停止",G509="停止"),"両方停止","運転がそろわない")))</f>
        <v>両方停止</v>
      </c>
      <c r="AI509" s="30" t="n">
        <v>0</v>
      </c>
      <c r="AJ509" s="30" t="n">
        <v>0</v>
      </c>
      <c r="AK509" s="30" t="str">
        <f aca="false">IF(OR(S509="判定不能",J509="判定不能"),"判定不能",IF(AJ509&gt;=判定条件!$C$9,"利用可",IF(AND(S509="停止",J509="停止"),"両方停止","運転がそろわない")))</f>
        <v>判定不能</v>
      </c>
      <c r="AL509" s="30" t="n">
        <v>60</v>
      </c>
      <c r="AM509" s="30" t="n">
        <v>0</v>
      </c>
      <c r="AN509" s="30" t="str">
        <f aca="false">IF(OR(V509="判定不能",M509="判定不能"),"判定不能",IF(AM509&gt;=判定条件!$C$9,"利用可",IF(AND(V509="停止",M509="停止"),"両方停止","運転がそろわない")))</f>
        <v>両方停止</v>
      </c>
      <c r="AO509" s="30" t="n">
        <v>60</v>
      </c>
      <c r="AP509" s="30" t="n">
        <v>0</v>
      </c>
      <c r="AQ509" s="30" t="str">
        <f aca="false">IF(OR(Y509="判定不能",G509="判定不能"),"判定不能",IF(AP509&gt;=判定条件!$C$9,"利用可",IF(AND(Y509="停止",G509="停止"),"両方停止","運転がそろわない")))</f>
        <v>両方停止</v>
      </c>
      <c r="AR509" s="30" t="n">
        <v>60</v>
      </c>
      <c r="AS509" s="30" t="n">
        <v>0</v>
      </c>
      <c r="AT509" s="30" t="str">
        <f aca="false">IF(OR(AB509="判定不能",J509="判定不能"),"判定不能",IF(AS509&gt;=判定条件!$C$9,"利用可",IF(AND(AB509="停止",J509="停止"),"両方停止","運転がそろわない")))</f>
        <v>両方停止</v>
      </c>
      <c r="AU509" s="30" t="n">
        <v>60</v>
      </c>
      <c r="AV509" s="30" t="n">
        <v>0</v>
      </c>
      <c r="AW509" s="30" t="str">
        <f aca="false">IF(OR(AE509="判定不能",M509="判定不能"),"判定不能",IF(AV509&gt;=判定条件!$C$9,"利用可",IF(AND(AE509="停止",M509="停止"),"両方停止","運転がそろわない")))</f>
        <v>両方停止</v>
      </c>
      <c r="AX509" s="30" t="str">
        <f aca="false">IF(AND(AH509="利用可",AK509="利用可",AN509="利用可"),"利用可","不可")</f>
        <v>不可</v>
      </c>
      <c r="AY509" s="30" t="str">
        <f aca="false">IF(AND(AQ509="利用可",AT509="利用可",AW509="利用可"),"利用可","不可")</f>
        <v>不可</v>
      </c>
    </row>
    <row r="510" customFormat="false" ht="15" hidden="false" customHeight="false" outlineLevel="0" collapsed="false">
      <c r="A510" s="29" t="n">
        <v>46253</v>
      </c>
      <c r="B510" s="30" t="n">
        <v>3</v>
      </c>
      <c r="C510" s="31" t="s">
        <v>58</v>
      </c>
      <c r="D510" s="31" t="s">
        <v>59</v>
      </c>
      <c r="E510" s="30" t="n">
        <v>60</v>
      </c>
      <c r="F510" s="30" t="n">
        <v>0</v>
      </c>
      <c r="G510" s="30" t="str">
        <f aca="false">IF(E510&lt;判定条件!$C$6,"判定不能",IF(F510&gt;=判定条件!$C$7*E510,"運転",IF(F510&lt;=判定条件!$C$8*E510,"停止","断続")))</f>
        <v>停止</v>
      </c>
      <c r="H510" s="30" t="n">
        <v>60</v>
      </c>
      <c r="I510" s="30" t="n">
        <v>0</v>
      </c>
      <c r="J510" s="30" t="str">
        <f aca="false">IF(H510&lt;判定条件!$C$6,"判定不能",IF(I510&gt;=判定条件!$C$7*H510,"運転",IF(I510&lt;=判定条件!$C$8*H510,"停止","断続")))</f>
        <v>停止</v>
      </c>
      <c r="K510" s="30" t="n">
        <v>60</v>
      </c>
      <c r="L510" s="30" t="n">
        <v>0</v>
      </c>
      <c r="M510" s="30" t="str">
        <f aca="false">IF(K510&lt;判定条件!$C$6,"判定不能",IF(L510&gt;=判定条件!$C$7*K510,"運転",IF(L510&lt;=判定条件!$C$8*K510,"停止","断続")))</f>
        <v>停止</v>
      </c>
      <c r="N510" s="30" t="n">
        <v>60</v>
      </c>
      <c r="O510" s="30" t="n">
        <v>0</v>
      </c>
      <c r="P510" s="30" t="str">
        <f aca="false">IF(N510&lt;判定条件!$C$6,"判定不能",IF(O510&gt;=判定条件!$C$7*N510,"運転",IF(O510&lt;=判定条件!$C$8*N510,"停止","断続")))</f>
        <v>停止</v>
      </c>
      <c r="Q510" s="30" t="n">
        <v>0</v>
      </c>
      <c r="R510" s="30" t="n">
        <v>0</v>
      </c>
      <c r="S510" s="30" t="str">
        <f aca="false">IF(Q510&lt;判定条件!$C$6,"判定不能",IF(R510&gt;=判定条件!$C$7*Q510,"運転",IF(R510&lt;=判定条件!$C$8*Q510,"停止","断続")))</f>
        <v>判定不能</v>
      </c>
      <c r="T510" s="30" t="n">
        <v>60</v>
      </c>
      <c r="U510" s="30" t="n">
        <v>0</v>
      </c>
      <c r="V510" s="30" t="str">
        <f aca="false">IF(T510&lt;判定条件!$C$6,"判定不能",IF(U510&gt;=判定条件!$C$7*T510,"運転",IF(U510&lt;=判定条件!$C$8*T510,"停止","断続")))</f>
        <v>停止</v>
      </c>
      <c r="W510" s="30" t="n">
        <v>60</v>
      </c>
      <c r="X510" s="30" t="n">
        <v>0</v>
      </c>
      <c r="Y510" s="30" t="str">
        <f aca="false">IF(W510&lt;判定条件!$C$6,"判定不能",IF(X510&gt;=判定条件!$C$7*W510,"運転",IF(X510&lt;=判定条件!$C$8*W510,"停止","断続")))</f>
        <v>停止</v>
      </c>
      <c r="Z510" s="30" t="n">
        <v>60</v>
      </c>
      <c r="AA510" s="30" t="n">
        <v>0</v>
      </c>
      <c r="AB510" s="30" t="str">
        <f aca="false">IF(Z510&lt;判定条件!$C$6,"判定不能",IF(AA510&gt;=判定条件!$C$7*Z510,"運転",IF(AA510&lt;=判定条件!$C$8*Z510,"停止","断続")))</f>
        <v>停止</v>
      </c>
      <c r="AC510" s="30" t="n">
        <v>60</v>
      </c>
      <c r="AD510" s="30" t="n">
        <v>0</v>
      </c>
      <c r="AE510" s="30" t="str">
        <f aca="false">IF(AC510&lt;判定条件!$C$6,"判定不能",IF(AD510&gt;=判定条件!$C$7*AC510,"運転",IF(AD510&lt;=判定条件!$C$8*AC510,"停止","断続")))</f>
        <v>停止</v>
      </c>
      <c r="AF510" s="30" t="n">
        <v>60</v>
      </c>
      <c r="AG510" s="30" t="n">
        <v>0</v>
      </c>
      <c r="AH510" s="30" t="str">
        <f aca="false">IF(OR(P510="判定不能",G510="判定不能"),"判定不能",IF(AG510&gt;=判定条件!$C$9,"利用可",IF(AND(P510="停止",G510="停止"),"両方停止","運転がそろわない")))</f>
        <v>両方停止</v>
      </c>
      <c r="AI510" s="30" t="n">
        <v>0</v>
      </c>
      <c r="AJ510" s="30" t="n">
        <v>0</v>
      </c>
      <c r="AK510" s="30" t="str">
        <f aca="false">IF(OR(S510="判定不能",J510="判定不能"),"判定不能",IF(AJ510&gt;=判定条件!$C$9,"利用可",IF(AND(S510="停止",J510="停止"),"両方停止","運転がそろわない")))</f>
        <v>判定不能</v>
      </c>
      <c r="AL510" s="30" t="n">
        <v>60</v>
      </c>
      <c r="AM510" s="30" t="n">
        <v>0</v>
      </c>
      <c r="AN510" s="30" t="str">
        <f aca="false">IF(OR(V510="判定不能",M510="判定不能"),"判定不能",IF(AM510&gt;=判定条件!$C$9,"利用可",IF(AND(V510="停止",M510="停止"),"両方停止","運転がそろわない")))</f>
        <v>両方停止</v>
      </c>
      <c r="AO510" s="30" t="n">
        <v>60</v>
      </c>
      <c r="AP510" s="30" t="n">
        <v>0</v>
      </c>
      <c r="AQ510" s="30" t="str">
        <f aca="false">IF(OR(Y510="判定不能",G510="判定不能"),"判定不能",IF(AP510&gt;=判定条件!$C$9,"利用可",IF(AND(Y510="停止",G510="停止"),"両方停止","運転がそろわない")))</f>
        <v>両方停止</v>
      </c>
      <c r="AR510" s="30" t="n">
        <v>60</v>
      </c>
      <c r="AS510" s="30" t="n">
        <v>0</v>
      </c>
      <c r="AT510" s="30" t="str">
        <f aca="false">IF(OR(AB510="判定不能",J510="判定不能"),"判定不能",IF(AS510&gt;=判定条件!$C$9,"利用可",IF(AND(AB510="停止",J510="停止"),"両方停止","運転がそろわない")))</f>
        <v>両方停止</v>
      </c>
      <c r="AU510" s="30" t="n">
        <v>60</v>
      </c>
      <c r="AV510" s="30" t="n">
        <v>0</v>
      </c>
      <c r="AW510" s="30" t="str">
        <f aca="false">IF(OR(AE510="判定不能",M510="判定不能"),"判定不能",IF(AV510&gt;=判定条件!$C$9,"利用可",IF(AND(AE510="停止",M510="停止"),"両方停止","運転がそろわない")))</f>
        <v>両方停止</v>
      </c>
      <c r="AX510" s="30" t="str">
        <f aca="false">IF(AND(AH510="利用可",AK510="利用可",AN510="利用可"),"利用可","不可")</f>
        <v>不可</v>
      </c>
      <c r="AY510" s="30" t="str">
        <f aca="false">IF(AND(AQ510="利用可",AT510="利用可",AW510="利用可"),"利用可","不可")</f>
        <v>不可</v>
      </c>
    </row>
    <row r="511" customFormat="false" ht="15" hidden="false" customHeight="false" outlineLevel="0" collapsed="false">
      <c r="A511" s="29" t="n">
        <v>46253</v>
      </c>
      <c r="B511" s="30" t="n">
        <v>4</v>
      </c>
      <c r="C511" s="31" t="s">
        <v>58</v>
      </c>
      <c r="D511" s="31" t="s">
        <v>59</v>
      </c>
      <c r="E511" s="30" t="n">
        <v>60</v>
      </c>
      <c r="F511" s="30" t="n">
        <v>0</v>
      </c>
      <c r="G511" s="30" t="str">
        <f aca="false">IF(E511&lt;判定条件!$C$6,"判定不能",IF(F511&gt;=判定条件!$C$7*E511,"運転",IF(F511&lt;=判定条件!$C$8*E511,"停止","断続")))</f>
        <v>停止</v>
      </c>
      <c r="H511" s="30" t="n">
        <v>60</v>
      </c>
      <c r="I511" s="30" t="n">
        <v>0</v>
      </c>
      <c r="J511" s="30" t="str">
        <f aca="false">IF(H511&lt;判定条件!$C$6,"判定不能",IF(I511&gt;=判定条件!$C$7*H511,"運転",IF(I511&lt;=判定条件!$C$8*H511,"停止","断続")))</f>
        <v>停止</v>
      </c>
      <c r="K511" s="30" t="n">
        <v>60</v>
      </c>
      <c r="L511" s="30" t="n">
        <v>0</v>
      </c>
      <c r="M511" s="30" t="str">
        <f aca="false">IF(K511&lt;判定条件!$C$6,"判定不能",IF(L511&gt;=判定条件!$C$7*K511,"運転",IF(L511&lt;=判定条件!$C$8*K511,"停止","断続")))</f>
        <v>停止</v>
      </c>
      <c r="N511" s="30" t="n">
        <v>60</v>
      </c>
      <c r="O511" s="30" t="n">
        <v>0</v>
      </c>
      <c r="P511" s="30" t="str">
        <f aca="false">IF(N511&lt;判定条件!$C$6,"判定不能",IF(O511&gt;=判定条件!$C$7*N511,"運転",IF(O511&lt;=判定条件!$C$8*N511,"停止","断続")))</f>
        <v>停止</v>
      </c>
      <c r="Q511" s="30" t="n">
        <v>0</v>
      </c>
      <c r="R511" s="30" t="n">
        <v>0</v>
      </c>
      <c r="S511" s="30" t="str">
        <f aca="false">IF(Q511&lt;判定条件!$C$6,"判定不能",IF(R511&gt;=判定条件!$C$7*Q511,"運転",IF(R511&lt;=判定条件!$C$8*Q511,"停止","断続")))</f>
        <v>判定不能</v>
      </c>
      <c r="T511" s="30" t="n">
        <v>60</v>
      </c>
      <c r="U511" s="30" t="n">
        <v>0</v>
      </c>
      <c r="V511" s="30" t="str">
        <f aca="false">IF(T511&lt;判定条件!$C$6,"判定不能",IF(U511&gt;=判定条件!$C$7*T511,"運転",IF(U511&lt;=判定条件!$C$8*T511,"停止","断続")))</f>
        <v>停止</v>
      </c>
      <c r="W511" s="30" t="n">
        <v>60</v>
      </c>
      <c r="X511" s="30" t="n">
        <v>0</v>
      </c>
      <c r="Y511" s="30" t="str">
        <f aca="false">IF(W511&lt;判定条件!$C$6,"判定不能",IF(X511&gt;=判定条件!$C$7*W511,"運転",IF(X511&lt;=判定条件!$C$8*W511,"停止","断続")))</f>
        <v>停止</v>
      </c>
      <c r="Z511" s="30" t="n">
        <v>60</v>
      </c>
      <c r="AA511" s="30" t="n">
        <v>0</v>
      </c>
      <c r="AB511" s="30" t="str">
        <f aca="false">IF(Z511&lt;判定条件!$C$6,"判定不能",IF(AA511&gt;=判定条件!$C$7*Z511,"運転",IF(AA511&lt;=判定条件!$C$8*Z511,"停止","断続")))</f>
        <v>停止</v>
      </c>
      <c r="AC511" s="30" t="n">
        <v>60</v>
      </c>
      <c r="AD511" s="30" t="n">
        <v>0</v>
      </c>
      <c r="AE511" s="30" t="str">
        <f aca="false">IF(AC511&lt;判定条件!$C$6,"判定不能",IF(AD511&gt;=判定条件!$C$7*AC511,"運転",IF(AD511&lt;=判定条件!$C$8*AC511,"停止","断続")))</f>
        <v>停止</v>
      </c>
      <c r="AF511" s="30" t="n">
        <v>60</v>
      </c>
      <c r="AG511" s="30" t="n">
        <v>0</v>
      </c>
      <c r="AH511" s="30" t="str">
        <f aca="false">IF(OR(P511="判定不能",G511="判定不能"),"判定不能",IF(AG511&gt;=判定条件!$C$9,"利用可",IF(AND(P511="停止",G511="停止"),"両方停止","運転がそろわない")))</f>
        <v>両方停止</v>
      </c>
      <c r="AI511" s="30" t="n">
        <v>0</v>
      </c>
      <c r="AJ511" s="30" t="n">
        <v>0</v>
      </c>
      <c r="AK511" s="30" t="str">
        <f aca="false">IF(OR(S511="判定不能",J511="判定不能"),"判定不能",IF(AJ511&gt;=判定条件!$C$9,"利用可",IF(AND(S511="停止",J511="停止"),"両方停止","運転がそろわない")))</f>
        <v>判定不能</v>
      </c>
      <c r="AL511" s="30" t="n">
        <v>60</v>
      </c>
      <c r="AM511" s="30" t="n">
        <v>0</v>
      </c>
      <c r="AN511" s="30" t="str">
        <f aca="false">IF(OR(V511="判定不能",M511="判定不能"),"判定不能",IF(AM511&gt;=判定条件!$C$9,"利用可",IF(AND(V511="停止",M511="停止"),"両方停止","運転がそろわない")))</f>
        <v>両方停止</v>
      </c>
      <c r="AO511" s="30" t="n">
        <v>60</v>
      </c>
      <c r="AP511" s="30" t="n">
        <v>0</v>
      </c>
      <c r="AQ511" s="30" t="str">
        <f aca="false">IF(OR(Y511="判定不能",G511="判定不能"),"判定不能",IF(AP511&gt;=判定条件!$C$9,"利用可",IF(AND(Y511="停止",G511="停止"),"両方停止","運転がそろわない")))</f>
        <v>両方停止</v>
      </c>
      <c r="AR511" s="30" t="n">
        <v>60</v>
      </c>
      <c r="AS511" s="30" t="n">
        <v>0</v>
      </c>
      <c r="AT511" s="30" t="str">
        <f aca="false">IF(OR(AB511="判定不能",J511="判定不能"),"判定不能",IF(AS511&gt;=判定条件!$C$9,"利用可",IF(AND(AB511="停止",J511="停止"),"両方停止","運転がそろわない")))</f>
        <v>両方停止</v>
      </c>
      <c r="AU511" s="30" t="n">
        <v>60</v>
      </c>
      <c r="AV511" s="30" t="n">
        <v>0</v>
      </c>
      <c r="AW511" s="30" t="str">
        <f aca="false">IF(OR(AE511="判定不能",M511="判定不能"),"判定不能",IF(AV511&gt;=判定条件!$C$9,"利用可",IF(AND(AE511="停止",M511="停止"),"両方停止","運転がそろわない")))</f>
        <v>両方停止</v>
      </c>
      <c r="AX511" s="30" t="str">
        <f aca="false">IF(AND(AH511="利用可",AK511="利用可",AN511="利用可"),"利用可","不可")</f>
        <v>不可</v>
      </c>
      <c r="AY511" s="30" t="str">
        <f aca="false">IF(AND(AQ511="利用可",AT511="利用可",AW511="利用可"),"利用可","不可")</f>
        <v>不可</v>
      </c>
    </row>
    <row r="512" customFormat="false" ht="15" hidden="false" customHeight="false" outlineLevel="0" collapsed="false">
      <c r="A512" s="29" t="n">
        <v>46253</v>
      </c>
      <c r="B512" s="30" t="n">
        <v>5</v>
      </c>
      <c r="C512" s="31" t="s">
        <v>58</v>
      </c>
      <c r="D512" s="31" t="s">
        <v>59</v>
      </c>
      <c r="E512" s="30" t="n">
        <v>60</v>
      </c>
      <c r="F512" s="30" t="n">
        <v>0</v>
      </c>
      <c r="G512" s="30" t="str">
        <f aca="false">IF(E512&lt;判定条件!$C$6,"判定不能",IF(F512&gt;=判定条件!$C$7*E512,"運転",IF(F512&lt;=判定条件!$C$8*E512,"停止","断続")))</f>
        <v>停止</v>
      </c>
      <c r="H512" s="30" t="n">
        <v>60</v>
      </c>
      <c r="I512" s="30" t="n">
        <v>0</v>
      </c>
      <c r="J512" s="30" t="str">
        <f aca="false">IF(H512&lt;判定条件!$C$6,"判定不能",IF(I512&gt;=判定条件!$C$7*H512,"運転",IF(I512&lt;=判定条件!$C$8*H512,"停止","断続")))</f>
        <v>停止</v>
      </c>
      <c r="K512" s="30" t="n">
        <v>60</v>
      </c>
      <c r="L512" s="30" t="n">
        <v>0</v>
      </c>
      <c r="M512" s="30" t="str">
        <f aca="false">IF(K512&lt;判定条件!$C$6,"判定不能",IF(L512&gt;=判定条件!$C$7*K512,"運転",IF(L512&lt;=判定条件!$C$8*K512,"停止","断続")))</f>
        <v>停止</v>
      </c>
      <c r="N512" s="30" t="n">
        <v>60</v>
      </c>
      <c r="O512" s="30" t="n">
        <v>0</v>
      </c>
      <c r="P512" s="30" t="str">
        <f aca="false">IF(N512&lt;判定条件!$C$6,"判定不能",IF(O512&gt;=判定条件!$C$7*N512,"運転",IF(O512&lt;=判定条件!$C$8*N512,"停止","断続")))</f>
        <v>停止</v>
      </c>
      <c r="Q512" s="30" t="n">
        <v>0</v>
      </c>
      <c r="R512" s="30" t="n">
        <v>0</v>
      </c>
      <c r="S512" s="30" t="str">
        <f aca="false">IF(Q512&lt;判定条件!$C$6,"判定不能",IF(R512&gt;=判定条件!$C$7*Q512,"運転",IF(R512&lt;=判定条件!$C$8*Q512,"停止","断続")))</f>
        <v>判定不能</v>
      </c>
      <c r="T512" s="30" t="n">
        <v>60</v>
      </c>
      <c r="U512" s="30" t="n">
        <v>0</v>
      </c>
      <c r="V512" s="30" t="str">
        <f aca="false">IF(T512&lt;判定条件!$C$6,"判定不能",IF(U512&gt;=判定条件!$C$7*T512,"運転",IF(U512&lt;=判定条件!$C$8*T512,"停止","断続")))</f>
        <v>停止</v>
      </c>
      <c r="W512" s="30" t="n">
        <v>60</v>
      </c>
      <c r="X512" s="30" t="n">
        <v>0</v>
      </c>
      <c r="Y512" s="30" t="str">
        <f aca="false">IF(W512&lt;判定条件!$C$6,"判定不能",IF(X512&gt;=判定条件!$C$7*W512,"運転",IF(X512&lt;=判定条件!$C$8*W512,"停止","断続")))</f>
        <v>停止</v>
      </c>
      <c r="Z512" s="30" t="n">
        <v>60</v>
      </c>
      <c r="AA512" s="30" t="n">
        <v>0</v>
      </c>
      <c r="AB512" s="30" t="str">
        <f aca="false">IF(Z512&lt;判定条件!$C$6,"判定不能",IF(AA512&gt;=判定条件!$C$7*Z512,"運転",IF(AA512&lt;=判定条件!$C$8*Z512,"停止","断続")))</f>
        <v>停止</v>
      </c>
      <c r="AC512" s="30" t="n">
        <v>60</v>
      </c>
      <c r="AD512" s="30" t="n">
        <v>0</v>
      </c>
      <c r="AE512" s="30" t="str">
        <f aca="false">IF(AC512&lt;判定条件!$C$6,"判定不能",IF(AD512&gt;=判定条件!$C$7*AC512,"運転",IF(AD512&lt;=判定条件!$C$8*AC512,"停止","断続")))</f>
        <v>停止</v>
      </c>
      <c r="AF512" s="30" t="n">
        <v>60</v>
      </c>
      <c r="AG512" s="30" t="n">
        <v>0</v>
      </c>
      <c r="AH512" s="30" t="str">
        <f aca="false">IF(OR(P512="判定不能",G512="判定不能"),"判定不能",IF(AG512&gt;=判定条件!$C$9,"利用可",IF(AND(P512="停止",G512="停止"),"両方停止","運転がそろわない")))</f>
        <v>両方停止</v>
      </c>
      <c r="AI512" s="30" t="n">
        <v>0</v>
      </c>
      <c r="AJ512" s="30" t="n">
        <v>0</v>
      </c>
      <c r="AK512" s="30" t="str">
        <f aca="false">IF(OR(S512="判定不能",J512="判定不能"),"判定不能",IF(AJ512&gt;=判定条件!$C$9,"利用可",IF(AND(S512="停止",J512="停止"),"両方停止","運転がそろわない")))</f>
        <v>判定不能</v>
      </c>
      <c r="AL512" s="30" t="n">
        <v>60</v>
      </c>
      <c r="AM512" s="30" t="n">
        <v>0</v>
      </c>
      <c r="AN512" s="30" t="str">
        <f aca="false">IF(OR(V512="判定不能",M512="判定不能"),"判定不能",IF(AM512&gt;=判定条件!$C$9,"利用可",IF(AND(V512="停止",M512="停止"),"両方停止","運転がそろわない")))</f>
        <v>両方停止</v>
      </c>
      <c r="AO512" s="30" t="n">
        <v>60</v>
      </c>
      <c r="AP512" s="30" t="n">
        <v>0</v>
      </c>
      <c r="AQ512" s="30" t="str">
        <f aca="false">IF(OR(Y512="判定不能",G512="判定不能"),"判定不能",IF(AP512&gt;=判定条件!$C$9,"利用可",IF(AND(Y512="停止",G512="停止"),"両方停止","運転がそろわない")))</f>
        <v>両方停止</v>
      </c>
      <c r="AR512" s="30" t="n">
        <v>60</v>
      </c>
      <c r="AS512" s="30" t="n">
        <v>0</v>
      </c>
      <c r="AT512" s="30" t="str">
        <f aca="false">IF(OR(AB512="判定不能",J512="判定不能"),"判定不能",IF(AS512&gt;=判定条件!$C$9,"利用可",IF(AND(AB512="停止",J512="停止"),"両方停止","運転がそろわない")))</f>
        <v>両方停止</v>
      </c>
      <c r="AU512" s="30" t="n">
        <v>60</v>
      </c>
      <c r="AV512" s="30" t="n">
        <v>0</v>
      </c>
      <c r="AW512" s="30" t="str">
        <f aca="false">IF(OR(AE512="判定不能",M512="判定不能"),"判定不能",IF(AV512&gt;=判定条件!$C$9,"利用可",IF(AND(AE512="停止",M512="停止"),"両方停止","運転がそろわない")))</f>
        <v>両方停止</v>
      </c>
      <c r="AX512" s="30" t="str">
        <f aca="false">IF(AND(AH512="利用可",AK512="利用可",AN512="利用可"),"利用可","不可")</f>
        <v>不可</v>
      </c>
      <c r="AY512" s="30" t="str">
        <f aca="false">IF(AND(AQ512="利用可",AT512="利用可",AW512="利用可"),"利用可","不可")</f>
        <v>不可</v>
      </c>
    </row>
    <row r="513" customFormat="false" ht="15" hidden="false" customHeight="false" outlineLevel="0" collapsed="false">
      <c r="A513" s="29" t="n">
        <v>46253</v>
      </c>
      <c r="B513" s="30" t="n">
        <v>6</v>
      </c>
      <c r="C513" s="31" t="s">
        <v>58</v>
      </c>
      <c r="D513" s="31" t="s">
        <v>59</v>
      </c>
      <c r="E513" s="30" t="n">
        <v>60</v>
      </c>
      <c r="F513" s="30" t="n">
        <v>0</v>
      </c>
      <c r="G513" s="30" t="str">
        <f aca="false">IF(E513&lt;判定条件!$C$6,"判定不能",IF(F513&gt;=判定条件!$C$7*E513,"運転",IF(F513&lt;=判定条件!$C$8*E513,"停止","断続")))</f>
        <v>停止</v>
      </c>
      <c r="H513" s="30" t="n">
        <v>60</v>
      </c>
      <c r="I513" s="30" t="n">
        <v>0</v>
      </c>
      <c r="J513" s="30" t="str">
        <f aca="false">IF(H513&lt;判定条件!$C$6,"判定不能",IF(I513&gt;=判定条件!$C$7*H513,"運転",IF(I513&lt;=判定条件!$C$8*H513,"停止","断続")))</f>
        <v>停止</v>
      </c>
      <c r="K513" s="30" t="n">
        <v>60</v>
      </c>
      <c r="L513" s="30" t="n">
        <v>0</v>
      </c>
      <c r="M513" s="30" t="str">
        <f aca="false">IF(K513&lt;判定条件!$C$6,"判定不能",IF(L513&gt;=判定条件!$C$7*K513,"運転",IF(L513&lt;=判定条件!$C$8*K513,"停止","断続")))</f>
        <v>停止</v>
      </c>
      <c r="N513" s="30" t="n">
        <v>60</v>
      </c>
      <c r="O513" s="30" t="n">
        <v>0</v>
      </c>
      <c r="P513" s="30" t="str">
        <f aca="false">IF(N513&lt;判定条件!$C$6,"判定不能",IF(O513&gt;=判定条件!$C$7*N513,"運転",IF(O513&lt;=判定条件!$C$8*N513,"停止","断続")))</f>
        <v>停止</v>
      </c>
      <c r="Q513" s="30" t="n">
        <v>0</v>
      </c>
      <c r="R513" s="30" t="n">
        <v>0</v>
      </c>
      <c r="S513" s="30" t="str">
        <f aca="false">IF(Q513&lt;判定条件!$C$6,"判定不能",IF(R513&gt;=判定条件!$C$7*Q513,"運転",IF(R513&lt;=判定条件!$C$8*Q513,"停止","断続")))</f>
        <v>判定不能</v>
      </c>
      <c r="T513" s="30" t="n">
        <v>60</v>
      </c>
      <c r="U513" s="30" t="n">
        <v>6</v>
      </c>
      <c r="V513" s="30" t="str">
        <f aca="false">IF(T513&lt;判定条件!$C$6,"判定不能",IF(U513&gt;=判定条件!$C$7*T513,"運転",IF(U513&lt;=判定条件!$C$8*T513,"停止","断続")))</f>
        <v>停止</v>
      </c>
      <c r="W513" s="30" t="n">
        <v>60</v>
      </c>
      <c r="X513" s="30" t="n">
        <v>36</v>
      </c>
      <c r="Y513" s="30" t="str">
        <f aca="false">IF(W513&lt;判定条件!$C$6,"判定不能",IF(X513&gt;=判定条件!$C$7*W513,"運転",IF(X513&lt;=判定条件!$C$8*W513,"停止","断続")))</f>
        <v>断続</v>
      </c>
      <c r="Z513" s="30" t="n">
        <v>60</v>
      </c>
      <c r="AA513" s="30" t="n">
        <v>32</v>
      </c>
      <c r="AB513" s="30" t="str">
        <f aca="false">IF(Z513&lt;判定条件!$C$6,"判定不能",IF(AA513&gt;=判定条件!$C$7*Z513,"運転",IF(AA513&lt;=判定条件!$C$8*Z513,"停止","断続")))</f>
        <v>断続</v>
      </c>
      <c r="AC513" s="30" t="n">
        <v>60</v>
      </c>
      <c r="AD513" s="30" t="n">
        <v>32</v>
      </c>
      <c r="AE513" s="30" t="str">
        <f aca="false">IF(AC513&lt;判定条件!$C$6,"判定不能",IF(AD513&gt;=判定条件!$C$7*AC513,"運転",IF(AD513&lt;=判定条件!$C$8*AC513,"停止","断続")))</f>
        <v>断続</v>
      </c>
      <c r="AF513" s="30" t="n">
        <v>60</v>
      </c>
      <c r="AG513" s="30" t="n">
        <v>0</v>
      </c>
      <c r="AH513" s="30" t="str">
        <f aca="false">IF(OR(P513="判定不能",G513="判定不能"),"判定不能",IF(AG513&gt;=判定条件!$C$9,"利用可",IF(AND(P513="停止",G513="停止"),"両方停止","運転がそろわない")))</f>
        <v>両方停止</v>
      </c>
      <c r="AI513" s="30" t="n">
        <v>0</v>
      </c>
      <c r="AJ513" s="30" t="n">
        <v>0</v>
      </c>
      <c r="AK513" s="30" t="str">
        <f aca="false">IF(OR(S513="判定不能",J513="判定不能"),"判定不能",IF(AJ513&gt;=判定条件!$C$9,"利用可",IF(AND(S513="停止",J513="停止"),"両方停止","運転がそろわない")))</f>
        <v>判定不能</v>
      </c>
      <c r="AL513" s="30" t="n">
        <v>60</v>
      </c>
      <c r="AM513" s="30" t="n">
        <v>0</v>
      </c>
      <c r="AN513" s="30" t="str">
        <f aca="false">IF(OR(V513="判定不能",M513="判定不能"),"判定不能",IF(AM513&gt;=判定条件!$C$9,"利用可",IF(AND(V513="停止",M513="停止"),"両方停止","運転がそろわない")))</f>
        <v>両方停止</v>
      </c>
      <c r="AO513" s="30" t="n">
        <v>60</v>
      </c>
      <c r="AP513" s="30" t="n">
        <v>0</v>
      </c>
      <c r="AQ513" s="30" t="str">
        <f aca="false">IF(OR(Y513="判定不能",G513="判定不能"),"判定不能",IF(AP513&gt;=判定条件!$C$9,"利用可",IF(AND(Y513="停止",G513="停止"),"両方停止","運転がそろわない")))</f>
        <v>運転がそろわない</v>
      </c>
      <c r="AR513" s="30" t="n">
        <v>60</v>
      </c>
      <c r="AS513" s="30" t="n">
        <v>0</v>
      </c>
      <c r="AT513" s="30" t="str">
        <f aca="false">IF(OR(AB513="判定不能",J513="判定不能"),"判定不能",IF(AS513&gt;=判定条件!$C$9,"利用可",IF(AND(AB513="停止",J513="停止"),"両方停止","運転がそろわない")))</f>
        <v>運転がそろわない</v>
      </c>
      <c r="AU513" s="30" t="n">
        <v>60</v>
      </c>
      <c r="AV513" s="30" t="n">
        <v>0</v>
      </c>
      <c r="AW513" s="30" t="str">
        <f aca="false">IF(OR(AE513="判定不能",M513="判定不能"),"判定不能",IF(AV513&gt;=判定条件!$C$9,"利用可",IF(AND(AE513="停止",M513="停止"),"両方停止","運転がそろわない")))</f>
        <v>運転がそろわない</v>
      </c>
      <c r="AX513" s="30" t="str">
        <f aca="false">IF(AND(AH513="利用可",AK513="利用可",AN513="利用可"),"利用可","不可")</f>
        <v>不可</v>
      </c>
      <c r="AY513" s="30" t="str">
        <f aca="false">IF(AND(AQ513="利用可",AT513="利用可",AW513="利用可"),"利用可","不可")</f>
        <v>不可</v>
      </c>
    </row>
    <row r="514" customFormat="false" ht="15" hidden="false" customHeight="false" outlineLevel="0" collapsed="false">
      <c r="A514" s="29" t="n">
        <v>46253</v>
      </c>
      <c r="B514" s="30" t="n">
        <v>7</v>
      </c>
      <c r="C514" s="31" t="s">
        <v>58</v>
      </c>
      <c r="D514" s="31" t="s">
        <v>59</v>
      </c>
      <c r="E514" s="30" t="n">
        <v>60</v>
      </c>
      <c r="F514" s="30" t="n">
        <v>5</v>
      </c>
      <c r="G514" s="30" t="str">
        <f aca="false">IF(E514&lt;判定条件!$C$6,"判定不能",IF(F514&gt;=判定条件!$C$7*E514,"運転",IF(F514&lt;=判定条件!$C$8*E514,"停止","断続")))</f>
        <v>停止</v>
      </c>
      <c r="H514" s="30" t="n">
        <v>60</v>
      </c>
      <c r="I514" s="30" t="n">
        <v>0</v>
      </c>
      <c r="J514" s="30" t="str">
        <f aca="false">IF(H514&lt;判定条件!$C$6,"判定不能",IF(I514&gt;=判定条件!$C$7*H514,"運転",IF(I514&lt;=判定条件!$C$8*H514,"停止","断続")))</f>
        <v>停止</v>
      </c>
      <c r="K514" s="30" t="n">
        <v>60</v>
      </c>
      <c r="L514" s="30" t="n">
        <v>0</v>
      </c>
      <c r="M514" s="30" t="str">
        <f aca="false">IF(K514&lt;判定条件!$C$6,"判定不能",IF(L514&gt;=判定条件!$C$7*K514,"運転",IF(L514&lt;=判定条件!$C$8*K514,"停止","断続")))</f>
        <v>停止</v>
      </c>
      <c r="N514" s="30" t="n">
        <v>60</v>
      </c>
      <c r="O514" s="30" t="n">
        <v>57</v>
      </c>
      <c r="P514" s="30" t="str">
        <f aca="false">IF(N514&lt;判定条件!$C$6,"判定不能",IF(O514&gt;=判定条件!$C$7*N514,"運転",IF(O514&lt;=判定条件!$C$8*N514,"停止","断続")))</f>
        <v>運転</v>
      </c>
      <c r="Q514" s="30" t="n">
        <v>0</v>
      </c>
      <c r="R514" s="30" t="n">
        <v>0</v>
      </c>
      <c r="S514" s="30" t="str">
        <f aca="false">IF(Q514&lt;判定条件!$C$6,"判定不能",IF(R514&gt;=判定条件!$C$7*Q514,"運転",IF(R514&lt;=判定条件!$C$8*Q514,"停止","断続")))</f>
        <v>判定不能</v>
      </c>
      <c r="T514" s="30" t="n">
        <v>60</v>
      </c>
      <c r="U514" s="30" t="n">
        <v>60</v>
      </c>
      <c r="V514" s="30" t="str">
        <f aca="false">IF(T514&lt;判定条件!$C$6,"判定不能",IF(U514&gt;=判定条件!$C$7*T514,"運転",IF(U514&lt;=判定条件!$C$8*T514,"停止","断続")))</f>
        <v>運転</v>
      </c>
      <c r="W514" s="30" t="n">
        <v>60</v>
      </c>
      <c r="X514" s="30" t="n">
        <v>60</v>
      </c>
      <c r="Y514" s="30" t="str">
        <f aca="false">IF(W514&lt;判定条件!$C$6,"判定不能",IF(X514&gt;=判定条件!$C$7*W514,"運転",IF(X514&lt;=判定条件!$C$8*W514,"停止","断続")))</f>
        <v>運転</v>
      </c>
      <c r="Z514" s="30" t="n">
        <v>60</v>
      </c>
      <c r="AA514" s="30" t="n">
        <v>60</v>
      </c>
      <c r="AB514" s="30" t="str">
        <f aca="false">IF(Z514&lt;判定条件!$C$6,"判定不能",IF(AA514&gt;=判定条件!$C$7*Z514,"運転",IF(AA514&lt;=判定条件!$C$8*Z514,"停止","断続")))</f>
        <v>運転</v>
      </c>
      <c r="AC514" s="30" t="n">
        <v>60</v>
      </c>
      <c r="AD514" s="30" t="n">
        <v>60</v>
      </c>
      <c r="AE514" s="30" t="str">
        <f aca="false">IF(AC514&lt;判定条件!$C$6,"判定不能",IF(AD514&gt;=判定条件!$C$7*AC514,"運転",IF(AD514&lt;=判定条件!$C$8*AC514,"停止","断続")))</f>
        <v>運転</v>
      </c>
      <c r="AF514" s="30" t="n">
        <v>60</v>
      </c>
      <c r="AG514" s="30" t="n">
        <v>5</v>
      </c>
      <c r="AH514" s="30" t="str">
        <f aca="false">IF(OR(P514="判定不能",G514="判定不能"),"判定不能",IF(AG514&gt;=判定条件!$C$9,"利用可",IF(AND(P514="停止",G514="停止"),"両方停止","運転がそろわない")))</f>
        <v>運転がそろわない</v>
      </c>
      <c r="AI514" s="30" t="n">
        <v>0</v>
      </c>
      <c r="AJ514" s="30" t="n">
        <v>0</v>
      </c>
      <c r="AK514" s="30" t="str">
        <f aca="false">IF(OR(S514="判定不能",J514="判定不能"),"判定不能",IF(AJ514&gt;=判定条件!$C$9,"利用可",IF(AND(S514="停止",J514="停止"),"両方停止","運転がそろわない")))</f>
        <v>判定不能</v>
      </c>
      <c r="AL514" s="30" t="n">
        <v>60</v>
      </c>
      <c r="AM514" s="30" t="n">
        <v>0</v>
      </c>
      <c r="AN514" s="30" t="str">
        <f aca="false">IF(OR(V514="判定不能",M514="判定不能"),"判定不能",IF(AM514&gt;=判定条件!$C$9,"利用可",IF(AND(V514="停止",M514="停止"),"両方停止","運転がそろわない")))</f>
        <v>運転がそろわない</v>
      </c>
      <c r="AO514" s="30" t="n">
        <v>60</v>
      </c>
      <c r="AP514" s="30" t="n">
        <v>5</v>
      </c>
      <c r="AQ514" s="30" t="str">
        <f aca="false">IF(OR(Y514="判定不能",G514="判定不能"),"判定不能",IF(AP514&gt;=判定条件!$C$9,"利用可",IF(AND(Y514="停止",G514="停止"),"両方停止","運転がそろわない")))</f>
        <v>運転がそろわない</v>
      </c>
      <c r="AR514" s="30" t="n">
        <v>60</v>
      </c>
      <c r="AS514" s="30" t="n">
        <v>0</v>
      </c>
      <c r="AT514" s="30" t="str">
        <f aca="false">IF(OR(AB514="判定不能",J514="判定不能"),"判定不能",IF(AS514&gt;=判定条件!$C$9,"利用可",IF(AND(AB514="停止",J514="停止"),"両方停止","運転がそろわない")))</f>
        <v>運転がそろわない</v>
      </c>
      <c r="AU514" s="30" t="n">
        <v>60</v>
      </c>
      <c r="AV514" s="30" t="n">
        <v>0</v>
      </c>
      <c r="AW514" s="30" t="str">
        <f aca="false">IF(OR(AE514="判定不能",M514="判定不能"),"判定不能",IF(AV514&gt;=判定条件!$C$9,"利用可",IF(AND(AE514="停止",M514="停止"),"両方停止","運転がそろわない")))</f>
        <v>運転がそろわない</v>
      </c>
      <c r="AX514" s="30" t="str">
        <f aca="false">IF(AND(AH514="利用可",AK514="利用可",AN514="利用可"),"利用可","不可")</f>
        <v>不可</v>
      </c>
      <c r="AY514" s="30" t="str">
        <f aca="false">IF(AND(AQ514="利用可",AT514="利用可",AW514="利用可"),"利用可","不可")</f>
        <v>不可</v>
      </c>
    </row>
    <row r="515" customFormat="false" ht="15" hidden="false" customHeight="false" outlineLevel="0" collapsed="false">
      <c r="A515" s="29" t="n">
        <v>46253</v>
      </c>
      <c r="B515" s="30" t="n">
        <v>8</v>
      </c>
      <c r="C515" s="31" t="s">
        <v>58</v>
      </c>
      <c r="D515" s="31" t="s">
        <v>59</v>
      </c>
      <c r="E515" s="30" t="n">
        <v>60</v>
      </c>
      <c r="F515" s="30" t="n">
        <v>55</v>
      </c>
      <c r="G515" s="30" t="str">
        <f aca="false">IF(E515&lt;判定条件!$C$6,"判定不能",IF(F515&gt;=判定条件!$C$7*E515,"運転",IF(F515&lt;=判定条件!$C$8*E515,"停止","断続")))</f>
        <v>運転</v>
      </c>
      <c r="H515" s="30" t="n">
        <v>60</v>
      </c>
      <c r="I515" s="30" t="n">
        <v>36</v>
      </c>
      <c r="J515" s="30" t="str">
        <f aca="false">IF(H515&lt;判定条件!$C$6,"判定不能",IF(I515&gt;=判定条件!$C$7*H515,"運転",IF(I515&lt;=判定条件!$C$8*H515,"停止","断続")))</f>
        <v>断続</v>
      </c>
      <c r="K515" s="30" t="n">
        <v>60</v>
      </c>
      <c r="L515" s="30" t="n">
        <v>35</v>
      </c>
      <c r="M515" s="30" t="str">
        <f aca="false">IF(K515&lt;判定条件!$C$6,"判定不能",IF(L515&gt;=判定条件!$C$7*K515,"運転",IF(L515&lt;=判定条件!$C$8*K515,"停止","断続")))</f>
        <v>断続</v>
      </c>
      <c r="N515" s="30" t="n">
        <v>60</v>
      </c>
      <c r="O515" s="30" t="n">
        <v>60</v>
      </c>
      <c r="P515" s="30" t="str">
        <f aca="false">IF(N515&lt;判定条件!$C$6,"判定不能",IF(O515&gt;=判定条件!$C$7*N515,"運転",IF(O515&lt;=判定条件!$C$8*N515,"停止","断続")))</f>
        <v>運転</v>
      </c>
      <c r="Q515" s="30" t="n">
        <v>0</v>
      </c>
      <c r="R515" s="30" t="n">
        <v>0</v>
      </c>
      <c r="S515" s="30" t="str">
        <f aca="false">IF(Q515&lt;判定条件!$C$6,"判定不能",IF(R515&gt;=判定条件!$C$7*Q515,"運転",IF(R515&lt;=判定条件!$C$8*Q515,"停止","断続")))</f>
        <v>判定不能</v>
      </c>
      <c r="T515" s="30" t="n">
        <v>60</v>
      </c>
      <c r="U515" s="30" t="n">
        <v>60</v>
      </c>
      <c r="V515" s="30" t="str">
        <f aca="false">IF(T515&lt;判定条件!$C$6,"判定不能",IF(U515&gt;=判定条件!$C$7*T515,"運転",IF(U515&lt;=判定条件!$C$8*T515,"停止","断続")))</f>
        <v>運転</v>
      </c>
      <c r="W515" s="30" t="n">
        <v>60</v>
      </c>
      <c r="X515" s="30" t="n">
        <v>60</v>
      </c>
      <c r="Y515" s="30" t="str">
        <f aca="false">IF(W515&lt;判定条件!$C$6,"判定不能",IF(X515&gt;=判定条件!$C$7*W515,"運転",IF(X515&lt;=判定条件!$C$8*W515,"停止","断続")))</f>
        <v>運転</v>
      </c>
      <c r="Z515" s="30" t="n">
        <v>60</v>
      </c>
      <c r="AA515" s="30" t="n">
        <v>60</v>
      </c>
      <c r="AB515" s="30" t="str">
        <f aca="false">IF(Z515&lt;判定条件!$C$6,"判定不能",IF(AA515&gt;=判定条件!$C$7*Z515,"運転",IF(AA515&lt;=判定条件!$C$8*Z515,"停止","断続")))</f>
        <v>運転</v>
      </c>
      <c r="AC515" s="30" t="n">
        <v>60</v>
      </c>
      <c r="AD515" s="30" t="n">
        <v>60</v>
      </c>
      <c r="AE515" s="30" t="str">
        <f aca="false">IF(AC515&lt;判定条件!$C$6,"判定不能",IF(AD515&gt;=判定条件!$C$7*AC515,"運転",IF(AD515&lt;=判定条件!$C$8*AC515,"停止","断続")))</f>
        <v>運転</v>
      </c>
      <c r="AF515" s="30" t="n">
        <v>60</v>
      </c>
      <c r="AG515" s="30" t="n">
        <v>55</v>
      </c>
      <c r="AH515" s="30" t="str">
        <f aca="false">IF(OR(P515="判定不能",G515="判定不能"),"判定不能",IF(AG515&gt;=判定条件!$C$9,"利用可",IF(AND(P515="停止",G515="停止"),"両方停止","運転がそろわない")))</f>
        <v>利用可</v>
      </c>
      <c r="AI515" s="30" t="n">
        <v>0</v>
      </c>
      <c r="AJ515" s="30" t="n">
        <v>0</v>
      </c>
      <c r="AK515" s="30" t="str">
        <f aca="false">IF(OR(S515="判定不能",J515="判定不能"),"判定不能",IF(AJ515&gt;=判定条件!$C$9,"利用可",IF(AND(S515="停止",J515="停止"),"両方停止","運転がそろわない")))</f>
        <v>判定不能</v>
      </c>
      <c r="AL515" s="30" t="n">
        <v>60</v>
      </c>
      <c r="AM515" s="30" t="n">
        <v>35</v>
      </c>
      <c r="AN515" s="30" t="str">
        <f aca="false">IF(OR(V515="判定不能",M515="判定不能"),"判定不能",IF(AM515&gt;=判定条件!$C$9,"利用可",IF(AND(V515="停止",M515="停止"),"両方停止","運転がそろわない")))</f>
        <v>利用可</v>
      </c>
      <c r="AO515" s="30" t="n">
        <v>60</v>
      </c>
      <c r="AP515" s="30" t="n">
        <v>55</v>
      </c>
      <c r="AQ515" s="30" t="str">
        <f aca="false">IF(OR(Y515="判定不能",G515="判定不能"),"判定不能",IF(AP515&gt;=判定条件!$C$9,"利用可",IF(AND(Y515="停止",G515="停止"),"両方停止","運転がそろわない")))</f>
        <v>利用可</v>
      </c>
      <c r="AR515" s="30" t="n">
        <v>60</v>
      </c>
      <c r="AS515" s="30" t="n">
        <v>36</v>
      </c>
      <c r="AT515" s="30" t="str">
        <f aca="false">IF(OR(AB515="判定不能",J515="判定不能"),"判定不能",IF(AS515&gt;=判定条件!$C$9,"利用可",IF(AND(AB515="停止",J515="停止"),"両方停止","運転がそろわない")))</f>
        <v>利用可</v>
      </c>
      <c r="AU515" s="30" t="n">
        <v>60</v>
      </c>
      <c r="AV515" s="30" t="n">
        <v>35</v>
      </c>
      <c r="AW515" s="30" t="str">
        <f aca="false">IF(OR(AE515="判定不能",M515="判定不能"),"判定不能",IF(AV515&gt;=判定条件!$C$9,"利用可",IF(AND(AE515="停止",M515="停止"),"両方停止","運転がそろわない")))</f>
        <v>利用可</v>
      </c>
      <c r="AX515" s="30" t="str">
        <f aca="false">IF(AND(AH515="利用可",AK515="利用可",AN515="利用可"),"利用可","不可")</f>
        <v>不可</v>
      </c>
      <c r="AY515" s="30" t="str">
        <f aca="false">IF(AND(AQ515="利用可",AT515="利用可",AW515="利用可"),"利用可","不可")</f>
        <v>利用可</v>
      </c>
    </row>
    <row r="516" customFormat="false" ht="15" hidden="false" customHeight="false" outlineLevel="0" collapsed="false">
      <c r="A516" s="29" t="n">
        <v>46253</v>
      </c>
      <c r="B516" s="30" t="n">
        <v>9</v>
      </c>
      <c r="C516" s="31" t="s">
        <v>58</v>
      </c>
      <c r="D516" s="31" t="s">
        <v>59</v>
      </c>
      <c r="E516" s="30" t="n">
        <v>60</v>
      </c>
      <c r="F516" s="30" t="n">
        <v>60</v>
      </c>
      <c r="G516" s="30" t="str">
        <f aca="false">IF(E516&lt;判定条件!$C$6,"判定不能",IF(F516&gt;=判定条件!$C$7*E516,"運転",IF(F516&lt;=判定条件!$C$8*E516,"停止","断続")))</f>
        <v>運転</v>
      </c>
      <c r="H516" s="30" t="n">
        <v>60</v>
      </c>
      <c r="I516" s="30" t="n">
        <v>60</v>
      </c>
      <c r="J516" s="30" t="str">
        <f aca="false">IF(H516&lt;判定条件!$C$6,"判定不能",IF(I516&gt;=判定条件!$C$7*H516,"運転",IF(I516&lt;=判定条件!$C$8*H516,"停止","断続")))</f>
        <v>運転</v>
      </c>
      <c r="K516" s="30" t="n">
        <v>60</v>
      </c>
      <c r="L516" s="30" t="n">
        <v>60</v>
      </c>
      <c r="M516" s="30" t="str">
        <f aca="false">IF(K516&lt;判定条件!$C$6,"判定不能",IF(L516&gt;=判定条件!$C$7*K516,"運転",IF(L516&lt;=判定条件!$C$8*K516,"停止","断続")))</f>
        <v>運転</v>
      </c>
      <c r="N516" s="30" t="n">
        <v>60</v>
      </c>
      <c r="O516" s="30" t="n">
        <v>60</v>
      </c>
      <c r="P516" s="30" t="str">
        <f aca="false">IF(N516&lt;判定条件!$C$6,"判定不能",IF(O516&gt;=判定条件!$C$7*N516,"運転",IF(O516&lt;=判定条件!$C$8*N516,"停止","断続")))</f>
        <v>運転</v>
      </c>
      <c r="Q516" s="30" t="n">
        <v>0</v>
      </c>
      <c r="R516" s="30" t="n">
        <v>0</v>
      </c>
      <c r="S516" s="30" t="str">
        <f aca="false">IF(Q516&lt;判定条件!$C$6,"判定不能",IF(R516&gt;=判定条件!$C$7*Q516,"運転",IF(R516&lt;=判定条件!$C$8*Q516,"停止","断続")))</f>
        <v>判定不能</v>
      </c>
      <c r="T516" s="30" t="n">
        <v>60</v>
      </c>
      <c r="U516" s="30" t="n">
        <v>18</v>
      </c>
      <c r="V516" s="30" t="str">
        <f aca="false">IF(T516&lt;判定条件!$C$6,"判定不能",IF(U516&gt;=判定条件!$C$7*T516,"運転",IF(U516&lt;=判定条件!$C$8*T516,"停止","断続")))</f>
        <v>断続</v>
      </c>
      <c r="W516" s="30" t="n">
        <v>60</v>
      </c>
      <c r="X516" s="30" t="n">
        <v>49</v>
      </c>
      <c r="Y516" s="30" t="str">
        <f aca="false">IF(W516&lt;判定条件!$C$6,"判定不能",IF(X516&gt;=判定条件!$C$7*W516,"運転",IF(X516&lt;=判定条件!$C$8*W516,"停止","断続")))</f>
        <v>運転</v>
      </c>
      <c r="Z516" s="30" t="n">
        <v>60</v>
      </c>
      <c r="AA516" s="30" t="n">
        <v>60</v>
      </c>
      <c r="AB516" s="30" t="str">
        <f aca="false">IF(Z516&lt;判定条件!$C$6,"判定不能",IF(AA516&gt;=判定条件!$C$7*Z516,"運転",IF(AA516&lt;=判定条件!$C$8*Z516,"停止","断続")))</f>
        <v>運転</v>
      </c>
      <c r="AC516" s="30" t="n">
        <v>60</v>
      </c>
      <c r="AD516" s="30" t="n">
        <v>40</v>
      </c>
      <c r="AE516" s="30" t="str">
        <f aca="false">IF(AC516&lt;判定条件!$C$6,"判定不能",IF(AD516&gt;=判定条件!$C$7*AC516,"運転",IF(AD516&lt;=判定条件!$C$8*AC516,"停止","断続")))</f>
        <v>断続</v>
      </c>
      <c r="AF516" s="30" t="n">
        <v>60</v>
      </c>
      <c r="AG516" s="30" t="n">
        <v>60</v>
      </c>
      <c r="AH516" s="30" t="str">
        <f aca="false">IF(OR(P516="判定不能",G516="判定不能"),"判定不能",IF(AG516&gt;=判定条件!$C$9,"利用可",IF(AND(P516="停止",G516="停止"),"両方停止","運転がそろわない")))</f>
        <v>利用可</v>
      </c>
      <c r="AI516" s="30" t="n">
        <v>0</v>
      </c>
      <c r="AJ516" s="30" t="n">
        <v>0</v>
      </c>
      <c r="AK516" s="30" t="str">
        <f aca="false">IF(OR(S516="判定不能",J516="判定不能"),"判定不能",IF(AJ516&gt;=判定条件!$C$9,"利用可",IF(AND(S516="停止",J516="停止"),"両方停止","運転がそろわない")))</f>
        <v>判定不能</v>
      </c>
      <c r="AL516" s="30" t="n">
        <v>60</v>
      </c>
      <c r="AM516" s="30" t="n">
        <v>18</v>
      </c>
      <c r="AN516" s="30" t="str">
        <f aca="false">IF(OR(V516="判定不能",M516="判定不能"),"判定不能",IF(AM516&gt;=判定条件!$C$9,"利用可",IF(AND(V516="停止",M516="停止"),"両方停止","運転がそろわない")))</f>
        <v>運転がそろわない</v>
      </c>
      <c r="AO516" s="30" t="n">
        <v>60</v>
      </c>
      <c r="AP516" s="30" t="n">
        <v>49</v>
      </c>
      <c r="AQ516" s="30" t="str">
        <f aca="false">IF(OR(Y516="判定不能",G516="判定不能"),"判定不能",IF(AP516&gt;=判定条件!$C$9,"利用可",IF(AND(Y516="停止",G516="停止"),"両方停止","運転がそろわない")))</f>
        <v>利用可</v>
      </c>
      <c r="AR516" s="30" t="n">
        <v>60</v>
      </c>
      <c r="AS516" s="30" t="n">
        <v>60</v>
      </c>
      <c r="AT516" s="30" t="str">
        <f aca="false">IF(OR(AB516="判定不能",J516="判定不能"),"判定不能",IF(AS516&gt;=判定条件!$C$9,"利用可",IF(AND(AB516="停止",J516="停止"),"両方停止","運転がそろわない")))</f>
        <v>利用可</v>
      </c>
      <c r="AU516" s="30" t="n">
        <v>60</v>
      </c>
      <c r="AV516" s="30" t="n">
        <v>40</v>
      </c>
      <c r="AW516" s="30" t="str">
        <f aca="false">IF(OR(AE516="判定不能",M516="判定不能"),"判定不能",IF(AV516&gt;=判定条件!$C$9,"利用可",IF(AND(AE516="停止",M516="停止"),"両方停止","運転がそろわない")))</f>
        <v>利用可</v>
      </c>
      <c r="AX516" s="30" t="str">
        <f aca="false">IF(AND(AH516="利用可",AK516="利用可",AN516="利用可"),"利用可","不可")</f>
        <v>不可</v>
      </c>
      <c r="AY516" s="30" t="str">
        <f aca="false">IF(AND(AQ516="利用可",AT516="利用可",AW516="利用可"),"利用可","不可")</f>
        <v>利用可</v>
      </c>
    </row>
    <row r="517" customFormat="false" ht="15" hidden="false" customHeight="false" outlineLevel="0" collapsed="false">
      <c r="A517" s="29" t="n">
        <v>46253</v>
      </c>
      <c r="B517" s="30" t="n">
        <v>10</v>
      </c>
      <c r="C517" s="31" t="s">
        <v>58</v>
      </c>
      <c r="D517" s="31" t="s">
        <v>59</v>
      </c>
      <c r="E517" s="30" t="n">
        <v>60</v>
      </c>
      <c r="F517" s="30" t="n">
        <v>60</v>
      </c>
      <c r="G517" s="30" t="str">
        <f aca="false">IF(E517&lt;判定条件!$C$6,"判定不能",IF(F517&gt;=判定条件!$C$7*E517,"運転",IF(F517&lt;=判定条件!$C$8*E517,"停止","断続")))</f>
        <v>運転</v>
      </c>
      <c r="H517" s="30" t="n">
        <v>60</v>
      </c>
      <c r="I517" s="30" t="n">
        <v>60</v>
      </c>
      <c r="J517" s="30" t="str">
        <f aca="false">IF(H517&lt;判定条件!$C$6,"判定不能",IF(I517&gt;=判定条件!$C$7*H517,"運転",IF(I517&lt;=判定条件!$C$8*H517,"停止","断続")))</f>
        <v>運転</v>
      </c>
      <c r="K517" s="30" t="n">
        <v>60</v>
      </c>
      <c r="L517" s="30" t="n">
        <v>60</v>
      </c>
      <c r="M517" s="30" t="str">
        <f aca="false">IF(K517&lt;判定条件!$C$6,"判定不能",IF(L517&gt;=判定条件!$C$7*K517,"運転",IF(L517&lt;=判定条件!$C$8*K517,"停止","断続")))</f>
        <v>運転</v>
      </c>
      <c r="N517" s="30" t="n">
        <v>60</v>
      </c>
      <c r="O517" s="30" t="n">
        <v>60</v>
      </c>
      <c r="P517" s="30" t="str">
        <f aca="false">IF(N517&lt;判定条件!$C$6,"判定不能",IF(O517&gt;=判定条件!$C$7*N517,"運転",IF(O517&lt;=判定条件!$C$8*N517,"停止","断続")))</f>
        <v>運転</v>
      </c>
      <c r="Q517" s="30" t="n">
        <v>0</v>
      </c>
      <c r="R517" s="30" t="n">
        <v>0</v>
      </c>
      <c r="S517" s="30" t="str">
        <f aca="false">IF(Q517&lt;判定条件!$C$6,"判定不能",IF(R517&gt;=判定条件!$C$7*Q517,"運転",IF(R517&lt;=判定条件!$C$8*Q517,"停止","断続")))</f>
        <v>判定不能</v>
      </c>
      <c r="T517" s="30" t="n">
        <v>60</v>
      </c>
      <c r="U517" s="30" t="n">
        <v>49</v>
      </c>
      <c r="V517" s="30" t="str">
        <f aca="false">IF(T517&lt;判定条件!$C$6,"判定不能",IF(U517&gt;=判定条件!$C$7*T517,"運転",IF(U517&lt;=判定条件!$C$8*T517,"停止","断続")))</f>
        <v>運転</v>
      </c>
      <c r="W517" s="30" t="n">
        <v>60</v>
      </c>
      <c r="X517" s="30" t="n">
        <v>42</v>
      </c>
      <c r="Y517" s="30" t="str">
        <f aca="false">IF(W517&lt;判定条件!$C$6,"判定不能",IF(X517&gt;=判定条件!$C$7*W517,"運転",IF(X517&lt;=判定条件!$C$8*W517,"停止","断続")))</f>
        <v>断続</v>
      </c>
      <c r="Z517" s="30" t="n">
        <v>60</v>
      </c>
      <c r="AA517" s="30" t="n">
        <v>60</v>
      </c>
      <c r="AB517" s="30" t="str">
        <f aca="false">IF(Z517&lt;判定条件!$C$6,"判定不能",IF(AA517&gt;=判定条件!$C$7*Z517,"運転",IF(AA517&lt;=判定条件!$C$8*Z517,"停止","断続")))</f>
        <v>運転</v>
      </c>
      <c r="AC517" s="30" t="n">
        <v>60</v>
      </c>
      <c r="AD517" s="30" t="n">
        <v>60</v>
      </c>
      <c r="AE517" s="30" t="str">
        <f aca="false">IF(AC517&lt;判定条件!$C$6,"判定不能",IF(AD517&gt;=判定条件!$C$7*AC517,"運転",IF(AD517&lt;=判定条件!$C$8*AC517,"停止","断続")))</f>
        <v>運転</v>
      </c>
      <c r="AF517" s="30" t="n">
        <v>60</v>
      </c>
      <c r="AG517" s="30" t="n">
        <v>60</v>
      </c>
      <c r="AH517" s="30" t="str">
        <f aca="false">IF(OR(P517="判定不能",G517="判定不能"),"判定不能",IF(AG517&gt;=判定条件!$C$9,"利用可",IF(AND(P517="停止",G517="停止"),"両方停止","運転がそろわない")))</f>
        <v>利用可</v>
      </c>
      <c r="AI517" s="30" t="n">
        <v>0</v>
      </c>
      <c r="AJ517" s="30" t="n">
        <v>0</v>
      </c>
      <c r="AK517" s="30" t="str">
        <f aca="false">IF(OR(S517="判定不能",J517="判定不能"),"判定不能",IF(AJ517&gt;=判定条件!$C$9,"利用可",IF(AND(S517="停止",J517="停止"),"両方停止","運転がそろわない")))</f>
        <v>判定不能</v>
      </c>
      <c r="AL517" s="30" t="n">
        <v>60</v>
      </c>
      <c r="AM517" s="30" t="n">
        <v>49</v>
      </c>
      <c r="AN517" s="30" t="str">
        <f aca="false">IF(OR(V517="判定不能",M517="判定不能"),"判定不能",IF(AM517&gt;=判定条件!$C$9,"利用可",IF(AND(V517="停止",M517="停止"),"両方停止","運転がそろわない")))</f>
        <v>利用可</v>
      </c>
      <c r="AO517" s="30" t="n">
        <v>60</v>
      </c>
      <c r="AP517" s="30" t="n">
        <v>42</v>
      </c>
      <c r="AQ517" s="30" t="str">
        <f aca="false">IF(OR(Y517="判定不能",G517="判定不能"),"判定不能",IF(AP517&gt;=判定条件!$C$9,"利用可",IF(AND(Y517="停止",G517="停止"),"両方停止","運転がそろわない")))</f>
        <v>利用可</v>
      </c>
      <c r="AR517" s="30" t="n">
        <v>60</v>
      </c>
      <c r="AS517" s="30" t="n">
        <v>60</v>
      </c>
      <c r="AT517" s="30" t="str">
        <f aca="false">IF(OR(AB517="判定不能",J517="判定不能"),"判定不能",IF(AS517&gt;=判定条件!$C$9,"利用可",IF(AND(AB517="停止",J517="停止"),"両方停止","運転がそろわない")))</f>
        <v>利用可</v>
      </c>
      <c r="AU517" s="30" t="n">
        <v>60</v>
      </c>
      <c r="AV517" s="30" t="n">
        <v>60</v>
      </c>
      <c r="AW517" s="30" t="str">
        <f aca="false">IF(OR(AE517="判定不能",M517="判定不能"),"判定不能",IF(AV517&gt;=判定条件!$C$9,"利用可",IF(AND(AE517="停止",M517="停止"),"両方停止","運転がそろわない")))</f>
        <v>利用可</v>
      </c>
      <c r="AX517" s="30" t="str">
        <f aca="false">IF(AND(AH517="利用可",AK517="利用可",AN517="利用可"),"利用可","不可")</f>
        <v>不可</v>
      </c>
      <c r="AY517" s="30" t="str">
        <f aca="false">IF(AND(AQ517="利用可",AT517="利用可",AW517="利用可"),"利用可","不可")</f>
        <v>利用可</v>
      </c>
    </row>
    <row r="518" customFormat="false" ht="15" hidden="false" customHeight="false" outlineLevel="0" collapsed="false">
      <c r="A518" s="29" t="n">
        <v>46253</v>
      </c>
      <c r="B518" s="30" t="n">
        <v>11</v>
      </c>
      <c r="C518" s="31" t="s">
        <v>58</v>
      </c>
      <c r="D518" s="31" t="s">
        <v>59</v>
      </c>
      <c r="E518" s="30" t="n">
        <v>60</v>
      </c>
      <c r="F518" s="30" t="n">
        <v>60</v>
      </c>
      <c r="G518" s="30" t="str">
        <f aca="false">IF(E518&lt;判定条件!$C$6,"判定不能",IF(F518&gt;=判定条件!$C$7*E518,"運転",IF(F518&lt;=判定条件!$C$8*E518,"停止","断続")))</f>
        <v>運転</v>
      </c>
      <c r="H518" s="30" t="n">
        <v>60</v>
      </c>
      <c r="I518" s="30" t="n">
        <v>60</v>
      </c>
      <c r="J518" s="30" t="str">
        <f aca="false">IF(H518&lt;判定条件!$C$6,"判定不能",IF(I518&gt;=判定条件!$C$7*H518,"運転",IF(I518&lt;=判定条件!$C$8*H518,"停止","断続")))</f>
        <v>運転</v>
      </c>
      <c r="K518" s="30" t="n">
        <v>60</v>
      </c>
      <c r="L518" s="30" t="n">
        <v>60</v>
      </c>
      <c r="M518" s="30" t="str">
        <f aca="false">IF(K518&lt;判定条件!$C$6,"判定不能",IF(L518&gt;=判定条件!$C$7*K518,"運転",IF(L518&lt;=判定条件!$C$8*K518,"停止","断続")))</f>
        <v>運転</v>
      </c>
      <c r="N518" s="30" t="n">
        <v>60</v>
      </c>
      <c r="O518" s="30" t="n">
        <v>60</v>
      </c>
      <c r="P518" s="30" t="str">
        <f aca="false">IF(N518&lt;判定条件!$C$6,"判定不能",IF(O518&gt;=判定条件!$C$7*N518,"運転",IF(O518&lt;=判定条件!$C$8*N518,"停止","断続")))</f>
        <v>運転</v>
      </c>
      <c r="Q518" s="30" t="n">
        <v>0</v>
      </c>
      <c r="R518" s="30" t="n">
        <v>0</v>
      </c>
      <c r="S518" s="30" t="str">
        <f aca="false">IF(Q518&lt;判定条件!$C$6,"判定不能",IF(R518&gt;=判定条件!$C$7*Q518,"運転",IF(R518&lt;=判定条件!$C$8*Q518,"停止","断続")))</f>
        <v>判定不能</v>
      </c>
      <c r="T518" s="30" t="n">
        <v>60</v>
      </c>
      <c r="U518" s="30" t="n">
        <v>45</v>
      </c>
      <c r="V518" s="30" t="str">
        <f aca="false">IF(T518&lt;判定条件!$C$6,"判定不能",IF(U518&gt;=判定条件!$C$7*T518,"運転",IF(U518&lt;=判定条件!$C$8*T518,"停止","断続")))</f>
        <v>断続</v>
      </c>
      <c r="W518" s="30" t="n">
        <v>60</v>
      </c>
      <c r="X518" s="30" t="n">
        <v>60</v>
      </c>
      <c r="Y518" s="30" t="str">
        <f aca="false">IF(W518&lt;判定条件!$C$6,"判定不能",IF(X518&gt;=判定条件!$C$7*W518,"運転",IF(X518&lt;=判定条件!$C$8*W518,"停止","断続")))</f>
        <v>運転</v>
      </c>
      <c r="Z518" s="30" t="n">
        <v>60</v>
      </c>
      <c r="AA518" s="30" t="n">
        <v>60</v>
      </c>
      <c r="AB518" s="30" t="str">
        <f aca="false">IF(Z518&lt;判定条件!$C$6,"判定不能",IF(AA518&gt;=判定条件!$C$7*Z518,"運転",IF(AA518&lt;=判定条件!$C$8*Z518,"停止","断続")))</f>
        <v>運転</v>
      </c>
      <c r="AC518" s="30" t="n">
        <v>60</v>
      </c>
      <c r="AD518" s="30" t="n">
        <v>60</v>
      </c>
      <c r="AE518" s="30" t="str">
        <f aca="false">IF(AC518&lt;判定条件!$C$6,"判定不能",IF(AD518&gt;=判定条件!$C$7*AC518,"運転",IF(AD518&lt;=判定条件!$C$8*AC518,"停止","断続")))</f>
        <v>運転</v>
      </c>
      <c r="AF518" s="30" t="n">
        <v>60</v>
      </c>
      <c r="AG518" s="30" t="n">
        <v>60</v>
      </c>
      <c r="AH518" s="30" t="str">
        <f aca="false">IF(OR(P518="判定不能",G518="判定不能"),"判定不能",IF(AG518&gt;=判定条件!$C$9,"利用可",IF(AND(P518="停止",G518="停止"),"両方停止","運転がそろわない")))</f>
        <v>利用可</v>
      </c>
      <c r="AI518" s="30" t="n">
        <v>0</v>
      </c>
      <c r="AJ518" s="30" t="n">
        <v>0</v>
      </c>
      <c r="AK518" s="30" t="str">
        <f aca="false">IF(OR(S518="判定不能",J518="判定不能"),"判定不能",IF(AJ518&gt;=判定条件!$C$9,"利用可",IF(AND(S518="停止",J518="停止"),"両方停止","運転がそろわない")))</f>
        <v>判定不能</v>
      </c>
      <c r="AL518" s="30" t="n">
        <v>60</v>
      </c>
      <c r="AM518" s="30" t="n">
        <v>45</v>
      </c>
      <c r="AN518" s="30" t="str">
        <f aca="false">IF(OR(V518="判定不能",M518="判定不能"),"判定不能",IF(AM518&gt;=判定条件!$C$9,"利用可",IF(AND(V518="停止",M518="停止"),"両方停止","運転がそろわない")))</f>
        <v>利用可</v>
      </c>
      <c r="AO518" s="30" t="n">
        <v>60</v>
      </c>
      <c r="AP518" s="30" t="n">
        <v>60</v>
      </c>
      <c r="AQ518" s="30" t="str">
        <f aca="false">IF(OR(Y518="判定不能",G518="判定不能"),"判定不能",IF(AP518&gt;=判定条件!$C$9,"利用可",IF(AND(Y518="停止",G518="停止"),"両方停止","運転がそろわない")))</f>
        <v>利用可</v>
      </c>
      <c r="AR518" s="30" t="n">
        <v>60</v>
      </c>
      <c r="AS518" s="30" t="n">
        <v>60</v>
      </c>
      <c r="AT518" s="30" t="str">
        <f aca="false">IF(OR(AB518="判定不能",J518="判定不能"),"判定不能",IF(AS518&gt;=判定条件!$C$9,"利用可",IF(AND(AB518="停止",J518="停止"),"両方停止","運転がそろわない")))</f>
        <v>利用可</v>
      </c>
      <c r="AU518" s="30" t="n">
        <v>60</v>
      </c>
      <c r="AV518" s="30" t="n">
        <v>60</v>
      </c>
      <c r="AW518" s="30" t="str">
        <f aca="false">IF(OR(AE518="判定不能",M518="判定不能"),"判定不能",IF(AV518&gt;=判定条件!$C$9,"利用可",IF(AND(AE518="停止",M518="停止"),"両方停止","運転がそろわない")))</f>
        <v>利用可</v>
      </c>
      <c r="AX518" s="30" t="str">
        <f aca="false">IF(AND(AH518="利用可",AK518="利用可",AN518="利用可"),"利用可","不可")</f>
        <v>不可</v>
      </c>
      <c r="AY518" s="30" t="str">
        <f aca="false">IF(AND(AQ518="利用可",AT518="利用可",AW518="利用可"),"利用可","不可")</f>
        <v>利用可</v>
      </c>
    </row>
    <row r="519" customFormat="false" ht="15" hidden="false" customHeight="false" outlineLevel="0" collapsed="false">
      <c r="A519" s="29" t="n">
        <v>46253</v>
      </c>
      <c r="B519" s="30" t="n">
        <v>12</v>
      </c>
      <c r="C519" s="31" t="s">
        <v>58</v>
      </c>
      <c r="D519" s="31" t="s">
        <v>59</v>
      </c>
      <c r="E519" s="30" t="n">
        <v>60</v>
      </c>
      <c r="F519" s="30" t="n">
        <v>60</v>
      </c>
      <c r="G519" s="30" t="str">
        <f aca="false">IF(E519&lt;判定条件!$C$6,"判定不能",IF(F519&gt;=判定条件!$C$7*E519,"運転",IF(F519&lt;=判定条件!$C$8*E519,"停止","断続")))</f>
        <v>運転</v>
      </c>
      <c r="H519" s="30" t="n">
        <v>60</v>
      </c>
      <c r="I519" s="30" t="n">
        <v>60</v>
      </c>
      <c r="J519" s="30" t="str">
        <f aca="false">IF(H519&lt;判定条件!$C$6,"判定不能",IF(I519&gt;=判定条件!$C$7*H519,"運転",IF(I519&lt;=判定条件!$C$8*H519,"停止","断続")))</f>
        <v>運転</v>
      </c>
      <c r="K519" s="30" t="n">
        <v>60</v>
      </c>
      <c r="L519" s="30" t="n">
        <v>60</v>
      </c>
      <c r="M519" s="30" t="str">
        <f aca="false">IF(K519&lt;判定条件!$C$6,"判定不能",IF(L519&gt;=判定条件!$C$7*K519,"運転",IF(L519&lt;=判定条件!$C$8*K519,"停止","断続")))</f>
        <v>運転</v>
      </c>
      <c r="N519" s="30" t="n">
        <v>60</v>
      </c>
      <c r="O519" s="30" t="n">
        <v>60</v>
      </c>
      <c r="P519" s="30" t="str">
        <f aca="false">IF(N519&lt;判定条件!$C$6,"判定不能",IF(O519&gt;=判定条件!$C$7*N519,"運転",IF(O519&lt;=判定条件!$C$8*N519,"停止","断続")))</f>
        <v>運転</v>
      </c>
      <c r="Q519" s="30" t="n">
        <v>0</v>
      </c>
      <c r="R519" s="30" t="n">
        <v>0</v>
      </c>
      <c r="S519" s="30" t="str">
        <f aca="false">IF(Q519&lt;判定条件!$C$6,"判定不能",IF(R519&gt;=判定条件!$C$7*Q519,"運転",IF(R519&lt;=判定条件!$C$8*Q519,"停止","断続")))</f>
        <v>判定不能</v>
      </c>
      <c r="T519" s="30" t="n">
        <v>60</v>
      </c>
      <c r="U519" s="30" t="n">
        <v>60</v>
      </c>
      <c r="V519" s="30" t="str">
        <f aca="false">IF(T519&lt;判定条件!$C$6,"判定不能",IF(U519&gt;=判定条件!$C$7*T519,"運転",IF(U519&lt;=判定条件!$C$8*T519,"停止","断続")))</f>
        <v>運転</v>
      </c>
      <c r="W519" s="30" t="n">
        <v>60</v>
      </c>
      <c r="X519" s="30" t="n">
        <v>60</v>
      </c>
      <c r="Y519" s="30" t="str">
        <f aca="false">IF(W519&lt;判定条件!$C$6,"判定不能",IF(X519&gt;=判定条件!$C$7*W519,"運転",IF(X519&lt;=判定条件!$C$8*W519,"停止","断続")))</f>
        <v>運転</v>
      </c>
      <c r="Z519" s="30" t="n">
        <v>60</v>
      </c>
      <c r="AA519" s="30" t="n">
        <v>60</v>
      </c>
      <c r="AB519" s="30" t="str">
        <f aca="false">IF(Z519&lt;判定条件!$C$6,"判定不能",IF(AA519&gt;=判定条件!$C$7*Z519,"運転",IF(AA519&lt;=判定条件!$C$8*Z519,"停止","断続")))</f>
        <v>運転</v>
      </c>
      <c r="AC519" s="30" t="n">
        <v>60</v>
      </c>
      <c r="AD519" s="30" t="n">
        <v>51</v>
      </c>
      <c r="AE519" s="30" t="str">
        <f aca="false">IF(AC519&lt;判定条件!$C$6,"判定不能",IF(AD519&gt;=判定条件!$C$7*AC519,"運転",IF(AD519&lt;=判定条件!$C$8*AC519,"停止","断続")))</f>
        <v>運転</v>
      </c>
      <c r="AF519" s="30" t="n">
        <v>60</v>
      </c>
      <c r="AG519" s="30" t="n">
        <v>60</v>
      </c>
      <c r="AH519" s="30" t="str">
        <f aca="false">IF(OR(P519="判定不能",G519="判定不能"),"判定不能",IF(AG519&gt;=判定条件!$C$9,"利用可",IF(AND(P519="停止",G519="停止"),"両方停止","運転がそろわない")))</f>
        <v>利用可</v>
      </c>
      <c r="AI519" s="30" t="n">
        <v>0</v>
      </c>
      <c r="AJ519" s="30" t="n">
        <v>0</v>
      </c>
      <c r="AK519" s="30" t="str">
        <f aca="false">IF(OR(S519="判定不能",J519="判定不能"),"判定不能",IF(AJ519&gt;=判定条件!$C$9,"利用可",IF(AND(S519="停止",J519="停止"),"両方停止","運転がそろわない")))</f>
        <v>判定不能</v>
      </c>
      <c r="AL519" s="30" t="n">
        <v>60</v>
      </c>
      <c r="AM519" s="30" t="n">
        <v>60</v>
      </c>
      <c r="AN519" s="30" t="str">
        <f aca="false">IF(OR(V519="判定不能",M519="判定不能"),"判定不能",IF(AM519&gt;=判定条件!$C$9,"利用可",IF(AND(V519="停止",M519="停止"),"両方停止","運転がそろわない")))</f>
        <v>利用可</v>
      </c>
      <c r="AO519" s="30" t="n">
        <v>60</v>
      </c>
      <c r="AP519" s="30" t="n">
        <v>60</v>
      </c>
      <c r="AQ519" s="30" t="str">
        <f aca="false">IF(OR(Y519="判定不能",G519="判定不能"),"判定不能",IF(AP519&gt;=判定条件!$C$9,"利用可",IF(AND(Y519="停止",G519="停止"),"両方停止","運転がそろわない")))</f>
        <v>利用可</v>
      </c>
      <c r="AR519" s="30" t="n">
        <v>60</v>
      </c>
      <c r="AS519" s="30" t="n">
        <v>60</v>
      </c>
      <c r="AT519" s="30" t="str">
        <f aca="false">IF(OR(AB519="判定不能",J519="判定不能"),"判定不能",IF(AS519&gt;=判定条件!$C$9,"利用可",IF(AND(AB519="停止",J519="停止"),"両方停止","運転がそろわない")))</f>
        <v>利用可</v>
      </c>
      <c r="AU519" s="30" t="n">
        <v>60</v>
      </c>
      <c r="AV519" s="30" t="n">
        <v>51</v>
      </c>
      <c r="AW519" s="30" t="str">
        <f aca="false">IF(OR(AE519="判定不能",M519="判定不能"),"判定不能",IF(AV519&gt;=判定条件!$C$9,"利用可",IF(AND(AE519="停止",M519="停止"),"両方停止","運転がそろわない")))</f>
        <v>利用可</v>
      </c>
      <c r="AX519" s="30" t="str">
        <f aca="false">IF(AND(AH519="利用可",AK519="利用可",AN519="利用可"),"利用可","不可")</f>
        <v>不可</v>
      </c>
      <c r="AY519" s="30" t="str">
        <f aca="false">IF(AND(AQ519="利用可",AT519="利用可",AW519="利用可"),"利用可","不可")</f>
        <v>利用可</v>
      </c>
    </row>
    <row r="520" customFormat="false" ht="15" hidden="false" customHeight="false" outlineLevel="0" collapsed="false">
      <c r="A520" s="29" t="n">
        <v>46253</v>
      </c>
      <c r="B520" s="30" t="n">
        <v>13</v>
      </c>
      <c r="C520" s="31" t="s">
        <v>58</v>
      </c>
      <c r="D520" s="31" t="s">
        <v>59</v>
      </c>
      <c r="E520" s="30" t="n">
        <v>60</v>
      </c>
      <c r="F520" s="30" t="n">
        <v>60</v>
      </c>
      <c r="G520" s="30" t="str">
        <f aca="false">IF(E520&lt;判定条件!$C$6,"判定不能",IF(F520&gt;=判定条件!$C$7*E520,"運転",IF(F520&lt;=判定条件!$C$8*E520,"停止","断続")))</f>
        <v>運転</v>
      </c>
      <c r="H520" s="30" t="n">
        <v>60</v>
      </c>
      <c r="I520" s="30" t="n">
        <v>60</v>
      </c>
      <c r="J520" s="30" t="str">
        <f aca="false">IF(H520&lt;判定条件!$C$6,"判定不能",IF(I520&gt;=判定条件!$C$7*H520,"運転",IF(I520&lt;=判定条件!$C$8*H520,"停止","断続")))</f>
        <v>運転</v>
      </c>
      <c r="K520" s="30" t="n">
        <v>60</v>
      </c>
      <c r="L520" s="30" t="n">
        <v>60</v>
      </c>
      <c r="M520" s="30" t="str">
        <f aca="false">IF(K520&lt;判定条件!$C$6,"判定不能",IF(L520&gt;=判定条件!$C$7*K520,"運転",IF(L520&lt;=判定条件!$C$8*K520,"停止","断続")))</f>
        <v>運転</v>
      </c>
      <c r="N520" s="30" t="n">
        <v>60</v>
      </c>
      <c r="O520" s="30" t="n">
        <v>60</v>
      </c>
      <c r="P520" s="30" t="str">
        <f aca="false">IF(N520&lt;判定条件!$C$6,"判定不能",IF(O520&gt;=判定条件!$C$7*N520,"運転",IF(O520&lt;=判定条件!$C$8*N520,"停止","断続")))</f>
        <v>運転</v>
      </c>
      <c r="Q520" s="30" t="n">
        <v>0</v>
      </c>
      <c r="R520" s="30" t="n">
        <v>0</v>
      </c>
      <c r="S520" s="30" t="str">
        <f aca="false">IF(Q520&lt;判定条件!$C$6,"判定不能",IF(R520&gt;=判定条件!$C$7*Q520,"運転",IF(R520&lt;=判定条件!$C$8*Q520,"停止","断続")))</f>
        <v>判定不能</v>
      </c>
      <c r="T520" s="30" t="n">
        <v>60</v>
      </c>
      <c r="U520" s="30" t="n">
        <v>60</v>
      </c>
      <c r="V520" s="30" t="str">
        <f aca="false">IF(T520&lt;判定条件!$C$6,"判定不能",IF(U520&gt;=判定条件!$C$7*T520,"運転",IF(U520&lt;=判定条件!$C$8*T520,"停止","断続")))</f>
        <v>運転</v>
      </c>
      <c r="W520" s="30" t="n">
        <v>60</v>
      </c>
      <c r="X520" s="30" t="n">
        <v>60</v>
      </c>
      <c r="Y520" s="30" t="str">
        <f aca="false">IF(W520&lt;判定条件!$C$6,"判定不能",IF(X520&gt;=判定条件!$C$7*W520,"運転",IF(X520&lt;=判定条件!$C$8*W520,"停止","断続")))</f>
        <v>運転</v>
      </c>
      <c r="Z520" s="30" t="n">
        <v>60</v>
      </c>
      <c r="AA520" s="30" t="n">
        <v>60</v>
      </c>
      <c r="AB520" s="30" t="str">
        <f aca="false">IF(Z520&lt;判定条件!$C$6,"判定不能",IF(AA520&gt;=判定条件!$C$7*Z520,"運転",IF(AA520&lt;=判定条件!$C$8*Z520,"停止","断続")))</f>
        <v>運転</v>
      </c>
      <c r="AC520" s="30" t="n">
        <v>60</v>
      </c>
      <c r="AD520" s="30" t="n">
        <v>60</v>
      </c>
      <c r="AE520" s="30" t="str">
        <f aca="false">IF(AC520&lt;判定条件!$C$6,"判定不能",IF(AD520&gt;=判定条件!$C$7*AC520,"運転",IF(AD520&lt;=判定条件!$C$8*AC520,"停止","断続")))</f>
        <v>運転</v>
      </c>
      <c r="AF520" s="30" t="n">
        <v>60</v>
      </c>
      <c r="AG520" s="30" t="n">
        <v>60</v>
      </c>
      <c r="AH520" s="30" t="str">
        <f aca="false">IF(OR(P520="判定不能",G520="判定不能"),"判定不能",IF(AG520&gt;=判定条件!$C$9,"利用可",IF(AND(P520="停止",G520="停止"),"両方停止","運転がそろわない")))</f>
        <v>利用可</v>
      </c>
      <c r="AI520" s="30" t="n">
        <v>0</v>
      </c>
      <c r="AJ520" s="30" t="n">
        <v>0</v>
      </c>
      <c r="AK520" s="30" t="str">
        <f aca="false">IF(OR(S520="判定不能",J520="判定不能"),"判定不能",IF(AJ520&gt;=判定条件!$C$9,"利用可",IF(AND(S520="停止",J520="停止"),"両方停止","運転がそろわない")))</f>
        <v>判定不能</v>
      </c>
      <c r="AL520" s="30" t="n">
        <v>60</v>
      </c>
      <c r="AM520" s="30" t="n">
        <v>60</v>
      </c>
      <c r="AN520" s="30" t="str">
        <f aca="false">IF(OR(V520="判定不能",M520="判定不能"),"判定不能",IF(AM520&gt;=判定条件!$C$9,"利用可",IF(AND(V520="停止",M520="停止"),"両方停止","運転がそろわない")))</f>
        <v>利用可</v>
      </c>
      <c r="AO520" s="30" t="n">
        <v>60</v>
      </c>
      <c r="AP520" s="30" t="n">
        <v>60</v>
      </c>
      <c r="AQ520" s="30" t="str">
        <f aca="false">IF(OR(Y520="判定不能",G520="判定不能"),"判定不能",IF(AP520&gt;=判定条件!$C$9,"利用可",IF(AND(Y520="停止",G520="停止"),"両方停止","運転がそろわない")))</f>
        <v>利用可</v>
      </c>
      <c r="AR520" s="30" t="n">
        <v>60</v>
      </c>
      <c r="AS520" s="30" t="n">
        <v>60</v>
      </c>
      <c r="AT520" s="30" t="str">
        <f aca="false">IF(OR(AB520="判定不能",J520="判定不能"),"判定不能",IF(AS520&gt;=判定条件!$C$9,"利用可",IF(AND(AB520="停止",J520="停止"),"両方停止","運転がそろわない")))</f>
        <v>利用可</v>
      </c>
      <c r="AU520" s="30" t="n">
        <v>60</v>
      </c>
      <c r="AV520" s="30" t="n">
        <v>60</v>
      </c>
      <c r="AW520" s="30" t="str">
        <f aca="false">IF(OR(AE520="判定不能",M520="判定不能"),"判定不能",IF(AV520&gt;=判定条件!$C$9,"利用可",IF(AND(AE520="停止",M520="停止"),"両方停止","運転がそろわない")))</f>
        <v>利用可</v>
      </c>
      <c r="AX520" s="30" t="str">
        <f aca="false">IF(AND(AH520="利用可",AK520="利用可",AN520="利用可"),"利用可","不可")</f>
        <v>不可</v>
      </c>
      <c r="AY520" s="30" t="str">
        <f aca="false">IF(AND(AQ520="利用可",AT520="利用可",AW520="利用可"),"利用可","不可")</f>
        <v>利用可</v>
      </c>
    </row>
    <row r="521" customFormat="false" ht="15" hidden="false" customHeight="false" outlineLevel="0" collapsed="false">
      <c r="A521" s="29" t="n">
        <v>46253</v>
      </c>
      <c r="B521" s="30" t="n">
        <v>14</v>
      </c>
      <c r="C521" s="31" t="s">
        <v>58</v>
      </c>
      <c r="D521" s="31" t="s">
        <v>59</v>
      </c>
      <c r="E521" s="30" t="n">
        <v>60</v>
      </c>
      <c r="F521" s="30" t="n">
        <v>60</v>
      </c>
      <c r="G521" s="30" t="str">
        <f aca="false">IF(E521&lt;判定条件!$C$6,"判定不能",IF(F521&gt;=判定条件!$C$7*E521,"運転",IF(F521&lt;=判定条件!$C$8*E521,"停止","断続")))</f>
        <v>運転</v>
      </c>
      <c r="H521" s="30" t="n">
        <v>60</v>
      </c>
      <c r="I521" s="30" t="n">
        <v>60</v>
      </c>
      <c r="J521" s="30" t="str">
        <f aca="false">IF(H521&lt;判定条件!$C$6,"判定不能",IF(I521&gt;=判定条件!$C$7*H521,"運転",IF(I521&lt;=判定条件!$C$8*H521,"停止","断続")))</f>
        <v>運転</v>
      </c>
      <c r="K521" s="30" t="n">
        <v>60</v>
      </c>
      <c r="L521" s="30" t="n">
        <v>60</v>
      </c>
      <c r="M521" s="30" t="str">
        <f aca="false">IF(K521&lt;判定条件!$C$6,"判定不能",IF(L521&gt;=判定条件!$C$7*K521,"運転",IF(L521&lt;=判定条件!$C$8*K521,"停止","断続")))</f>
        <v>運転</v>
      </c>
      <c r="N521" s="30" t="n">
        <v>60</v>
      </c>
      <c r="O521" s="30" t="n">
        <v>60</v>
      </c>
      <c r="P521" s="30" t="str">
        <f aca="false">IF(N521&lt;判定条件!$C$6,"判定不能",IF(O521&gt;=判定条件!$C$7*N521,"運転",IF(O521&lt;=判定条件!$C$8*N521,"停止","断続")))</f>
        <v>運転</v>
      </c>
      <c r="Q521" s="30" t="n">
        <v>0</v>
      </c>
      <c r="R521" s="30" t="n">
        <v>0</v>
      </c>
      <c r="S521" s="30" t="str">
        <f aca="false">IF(Q521&lt;判定条件!$C$6,"判定不能",IF(R521&gt;=判定条件!$C$7*Q521,"運転",IF(R521&lt;=判定条件!$C$8*Q521,"停止","断続")))</f>
        <v>判定不能</v>
      </c>
      <c r="T521" s="30" t="n">
        <v>60</v>
      </c>
      <c r="U521" s="30" t="n">
        <v>60</v>
      </c>
      <c r="V521" s="30" t="str">
        <f aca="false">IF(T521&lt;判定条件!$C$6,"判定不能",IF(U521&gt;=判定条件!$C$7*T521,"運転",IF(U521&lt;=判定条件!$C$8*T521,"停止","断続")))</f>
        <v>運転</v>
      </c>
      <c r="W521" s="30" t="n">
        <v>60</v>
      </c>
      <c r="X521" s="30" t="n">
        <v>59</v>
      </c>
      <c r="Y521" s="30" t="str">
        <f aca="false">IF(W521&lt;判定条件!$C$6,"判定不能",IF(X521&gt;=判定条件!$C$7*W521,"運転",IF(X521&lt;=判定条件!$C$8*W521,"停止","断続")))</f>
        <v>運転</v>
      </c>
      <c r="Z521" s="30" t="n">
        <v>60</v>
      </c>
      <c r="AA521" s="30" t="n">
        <v>60</v>
      </c>
      <c r="AB521" s="30" t="str">
        <f aca="false">IF(Z521&lt;判定条件!$C$6,"判定不能",IF(AA521&gt;=判定条件!$C$7*Z521,"運転",IF(AA521&lt;=判定条件!$C$8*Z521,"停止","断続")))</f>
        <v>運転</v>
      </c>
      <c r="AC521" s="30" t="n">
        <v>60</v>
      </c>
      <c r="AD521" s="30" t="n">
        <v>60</v>
      </c>
      <c r="AE521" s="30" t="str">
        <f aca="false">IF(AC521&lt;判定条件!$C$6,"判定不能",IF(AD521&gt;=判定条件!$C$7*AC521,"運転",IF(AD521&lt;=判定条件!$C$8*AC521,"停止","断続")))</f>
        <v>運転</v>
      </c>
      <c r="AF521" s="30" t="n">
        <v>60</v>
      </c>
      <c r="AG521" s="30" t="n">
        <v>60</v>
      </c>
      <c r="AH521" s="30" t="str">
        <f aca="false">IF(OR(P521="判定不能",G521="判定不能"),"判定不能",IF(AG521&gt;=判定条件!$C$9,"利用可",IF(AND(P521="停止",G521="停止"),"両方停止","運転がそろわない")))</f>
        <v>利用可</v>
      </c>
      <c r="AI521" s="30" t="n">
        <v>0</v>
      </c>
      <c r="AJ521" s="30" t="n">
        <v>0</v>
      </c>
      <c r="AK521" s="30" t="str">
        <f aca="false">IF(OR(S521="判定不能",J521="判定不能"),"判定不能",IF(AJ521&gt;=判定条件!$C$9,"利用可",IF(AND(S521="停止",J521="停止"),"両方停止","運転がそろわない")))</f>
        <v>判定不能</v>
      </c>
      <c r="AL521" s="30" t="n">
        <v>60</v>
      </c>
      <c r="AM521" s="30" t="n">
        <v>60</v>
      </c>
      <c r="AN521" s="30" t="str">
        <f aca="false">IF(OR(V521="判定不能",M521="判定不能"),"判定不能",IF(AM521&gt;=判定条件!$C$9,"利用可",IF(AND(V521="停止",M521="停止"),"両方停止","運転がそろわない")))</f>
        <v>利用可</v>
      </c>
      <c r="AO521" s="30" t="n">
        <v>60</v>
      </c>
      <c r="AP521" s="30" t="n">
        <v>59</v>
      </c>
      <c r="AQ521" s="30" t="str">
        <f aca="false">IF(OR(Y521="判定不能",G521="判定不能"),"判定不能",IF(AP521&gt;=判定条件!$C$9,"利用可",IF(AND(Y521="停止",G521="停止"),"両方停止","運転がそろわない")))</f>
        <v>利用可</v>
      </c>
      <c r="AR521" s="30" t="n">
        <v>60</v>
      </c>
      <c r="AS521" s="30" t="n">
        <v>60</v>
      </c>
      <c r="AT521" s="30" t="str">
        <f aca="false">IF(OR(AB521="判定不能",J521="判定不能"),"判定不能",IF(AS521&gt;=判定条件!$C$9,"利用可",IF(AND(AB521="停止",J521="停止"),"両方停止","運転がそろわない")))</f>
        <v>利用可</v>
      </c>
      <c r="AU521" s="30" t="n">
        <v>60</v>
      </c>
      <c r="AV521" s="30" t="n">
        <v>60</v>
      </c>
      <c r="AW521" s="30" t="str">
        <f aca="false">IF(OR(AE521="判定不能",M521="判定不能"),"判定不能",IF(AV521&gt;=判定条件!$C$9,"利用可",IF(AND(AE521="停止",M521="停止"),"両方停止","運転がそろわない")))</f>
        <v>利用可</v>
      </c>
      <c r="AX521" s="30" t="str">
        <f aca="false">IF(AND(AH521="利用可",AK521="利用可",AN521="利用可"),"利用可","不可")</f>
        <v>不可</v>
      </c>
      <c r="AY521" s="30" t="str">
        <f aca="false">IF(AND(AQ521="利用可",AT521="利用可",AW521="利用可"),"利用可","不可")</f>
        <v>利用可</v>
      </c>
    </row>
    <row r="522" customFormat="false" ht="15" hidden="false" customHeight="false" outlineLevel="0" collapsed="false">
      <c r="A522" s="29" t="n">
        <v>46253</v>
      </c>
      <c r="B522" s="30" t="n">
        <v>15</v>
      </c>
      <c r="C522" s="31" t="s">
        <v>58</v>
      </c>
      <c r="D522" s="31" t="s">
        <v>59</v>
      </c>
      <c r="E522" s="30" t="n">
        <v>60</v>
      </c>
      <c r="F522" s="30" t="n">
        <v>60</v>
      </c>
      <c r="G522" s="30" t="str">
        <f aca="false">IF(E522&lt;判定条件!$C$6,"判定不能",IF(F522&gt;=判定条件!$C$7*E522,"運転",IF(F522&lt;=判定条件!$C$8*E522,"停止","断続")))</f>
        <v>運転</v>
      </c>
      <c r="H522" s="30" t="n">
        <v>60</v>
      </c>
      <c r="I522" s="30" t="n">
        <v>60</v>
      </c>
      <c r="J522" s="30" t="str">
        <f aca="false">IF(H522&lt;判定条件!$C$6,"判定不能",IF(I522&gt;=判定条件!$C$7*H522,"運転",IF(I522&lt;=判定条件!$C$8*H522,"停止","断続")))</f>
        <v>運転</v>
      </c>
      <c r="K522" s="30" t="n">
        <v>60</v>
      </c>
      <c r="L522" s="30" t="n">
        <v>60</v>
      </c>
      <c r="M522" s="30" t="str">
        <f aca="false">IF(K522&lt;判定条件!$C$6,"判定不能",IF(L522&gt;=判定条件!$C$7*K522,"運転",IF(L522&lt;=判定条件!$C$8*K522,"停止","断続")))</f>
        <v>運転</v>
      </c>
      <c r="N522" s="30" t="n">
        <v>60</v>
      </c>
      <c r="O522" s="30" t="n">
        <v>50</v>
      </c>
      <c r="P522" s="30" t="str">
        <f aca="false">IF(N522&lt;判定条件!$C$6,"判定不能",IF(O522&gt;=判定条件!$C$7*N522,"運転",IF(O522&lt;=判定条件!$C$8*N522,"停止","断続")))</f>
        <v>運転</v>
      </c>
      <c r="Q522" s="30" t="n">
        <v>0</v>
      </c>
      <c r="R522" s="30" t="n">
        <v>0</v>
      </c>
      <c r="S522" s="30" t="str">
        <f aca="false">IF(Q522&lt;判定条件!$C$6,"判定不能",IF(R522&gt;=判定条件!$C$7*Q522,"運転",IF(R522&lt;=判定条件!$C$8*Q522,"停止","断続")))</f>
        <v>判定不能</v>
      </c>
      <c r="T522" s="30" t="n">
        <v>60</v>
      </c>
      <c r="U522" s="30" t="n">
        <v>60</v>
      </c>
      <c r="V522" s="30" t="str">
        <f aca="false">IF(T522&lt;判定条件!$C$6,"判定不能",IF(U522&gt;=判定条件!$C$7*T522,"運転",IF(U522&lt;=判定条件!$C$8*T522,"停止","断続")))</f>
        <v>運転</v>
      </c>
      <c r="W522" s="30" t="n">
        <v>60</v>
      </c>
      <c r="X522" s="30" t="n">
        <v>54</v>
      </c>
      <c r="Y522" s="30" t="str">
        <f aca="false">IF(W522&lt;判定条件!$C$6,"判定不能",IF(X522&gt;=判定条件!$C$7*W522,"運転",IF(X522&lt;=判定条件!$C$8*W522,"停止","断続")))</f>
        <v>運転</v>
      </c>
      <c r="Z522" s="30" t="n">
        <v>60</v>
      </c>
      <c r="AA522" s="30" t="n">
        <v>60</v>
      </c>
      <c r="AB522" s="30" t="str">
        <f aca="false">IF(Z522&lt;判定条件!$C$6,"判定不能",IF(AA522&gt;=判定条件!$C$7*Z522,"運転",IF(AA522&lt;=判定条件!$C$8*Z522,"停止","断続")))</f>
        <v>運転</v>
      </c>
      <c r="AC522" s="30" t="n">
        <v>60</v>
      </c>
      <c r="AD522" s="30" t="n">
        <v>60</v>
      </c>
      <c r="AE522" s="30" t="str">
        <f aca="false">IF(AC522&lt;判定条件!$C$6,"判定不能",IF(AD522&gt;=判定条件!$C$7*AC522,"運転",IF(AD522&lt;=判定条件!$C$8*AC522,"停止","断続")))</f>
        <v>運転</v>
      </c>
      <c r="AF522" s="30" t="n">
        <v>60</v>
      </c>
      <c r="AG522" s="30" t="n">
        <v>50</v>
      </c>
      <c r="AH522" s="30" t="str">
        <f aca="false">IF(OR(P522="判定不能",G522="判定不能"),"判定不能",IF(AG522&gt;=判定条件!$C$9,"利用可",IF(AND(P522="停止",G522="停止"),"両方停止","運転がそろわない")))</f>
        <v>利用可</v>
      </c>
      <c r="AI522" s="30" t="n">
        <v>0</v>
      </c>
      <c r="AJ522" s="30" t="n">
        <v>0</v>
      </c>
      <c r="AK522" s="30" t="str">
        <f aca="false">IF(OR(S522="判定不能",J522="判定不能"),"判定不能",IF(AJ522&gt;=判定条件!$C$9,"利用可",IF(AND(S522="停止",J522="停止"),"両方停止","運転がそろわない")))</f>
        <v>判定不能</v>
      </c>
      <c r="AL522" s="30" t="n">
        <v>60</v>
      </c>
      <c r="AM522" s="30" t="n">
        <v>60</v>
      </c>
      <c r="AN522" s="30" t="str">
        <f aca="false">IF(OR(V522="判定不能",M522="判定不能"),"判定不能",IF(AM522&gt;=判定条件!$C$9,"利用可",IF(AND(V522="停止",M522="停止"),"両方停止","運転がそろわない")))</f>
        <v>利用可</v>
      </c>
      <c r="AO522" s="30" t="n">
        <v>60</v>
      </c>
      <c r="AP522" s="30" t="n">
        <v>54</v>
      </c>
      <c r="AQ522" s="30" t="str">
        <f aca="false">IF(OR(Y522="判定不能",G522="判定不能"),"判定不能",IF(AP522&gt;=判定条件!$C$9,"利用可",IF(AND(Y522="停止",G522="停止"),"両方停止","運転がそろわない")))</f>
        <v>利用可</v>
      </c>
      <c r="AR522" s="30" t="n">
        <v>60</v>
      </c>
      <c r="AS522" s="30" t="n">
        <v>60</v>
      </c>
      <c r="AT522" s="30" t="str">
        <f aca="false">IF(OR(AB522="判定不能",J522="判定不能"),"判定不能",IF(AS522&gt;=判定条件!$C$9,"利用可",IF(AND(AB522="停止",J522="停止"),"両方停止","運転がそろわない")))</f>
        <v>利用可</v>
      </c>
      <c r="AU522" s="30" t="n">
        <v>60</v>
      </c>
      <c r="AV522" s="30" t="n">
        <v>60</v>
      </c>
      <c r="AW522" s="30" t="str">
        <f aca="false">IF(OR(AE522="判定不能",M522="判定不能"),"判定不能",IF(AV522&gt;=判定条件!$C$9,"利用可",IF(AND(AE522="停止",M522="停止"),"両方停止","運転がそろわない")))</f>
        <v>利用可</v>
      </c>
      <c r="AX522" s="30" t="str">
        <f aca="false">IF(AND(AH522="利用可",AK522="利用可",AN522="利用可"),"利用可","不可")</f>
        <v>不可</v>
      </c>
      <c r="AY522" s="30" t="str">
        <f aca="false">IF(AND(AQ522="利用可",AT522="利用可",AW522="利用可"),"利用可","不可")</f>
        <v>利用可</v>
      </c>
    </row>
    <row r="523" customFormat="false" ht="15" hidden="false" customHeight="false" outlineLevel="0" collapsed="false">
      <c r="A523" s="29" t="n">
        <v>46253</v>
      </c>
      <c r="B523" s="30" t="n">
        <v>16</v>
      </c>
      <c r="C523" s="31" t="s">
        <v>58</v>
      </c>
      <c r="D523" s="31" t="s">
        <v>59</v>
      </c>
      <c r="E523" s="30" t="n">
        <v>60</v>
      </c>
      <c r="F523" s="30" t="n">
        <v>60</v>
      </c>
      <c r="G523" s="30" t="str">
        <f aca="false">IF(E523&lt;判定条件!$C$6,"判定不能",IF(F523&gt;=判定条件!$C$7*E523,"運転",IF(F523&lt;=判定条件!$C$8*E523,"停止","断続")))</f>
        <v>運転</v>
      </c>
      <c r="H523" s="30" t="n">
        <v>60</v>
      </c>
      <c r="I523" s="30" t="n">
        <v>60</v>
      </c>
      <c r="J523" s="30" t="str">
        <f aca="false">IF(H523&lt;判定条件!$C$6,"判定不能",IF(I523&gt;=判定条件!$C$7*H523,"運転",IF(I523&lt;=判定条件!$C$8*H523,"停止","断続")))</f>
        <v>運転</v>
      </c>
      <c r="K523" s="30" t="n">
        <v>60</v>
      </c>
      <c r="L523" s="30" t="n">
        <v>60</v>
      </c>
      <c r="M523" s="30" t="str">
        <f aca="false">IF(K523&lt;判定条件!$C$6,"判定不能",IF(L523&gt;=判定条件!$C$7*K523,"運転",IF(L523&lt;=判定条件!$C$8*K523,"停止","断続")))</f>
        <v>運転</v>
      </c>
      <c r="N523" s="30" t="n">
        <v>60</v>
      </c>
      <c r="O523" s="30" t="n">
        <v>60</v>
      </c>
      <c r="P523" s="30" t="str">
        <f aca="false">IF(N523&lt;判定条件!$C$6,"判定不能",IF(O523&gt;=判定条件!$C$7*N523,"運転",IF(O523&lt;=判定条件!$C$8*N523,"停止","断続")))</f>
        <v>運転</v>
      </c>
      <c r="Q523" s="30" t="n">
        <v>0</v>
      </c>
      <c r="R523" s="30" t="n">
        <v>0</v>
      </c>
      <c r="S523" s="30" t="str">
        <f aca="false">IF(Q523&lt;判定条件!$C$6,"判定不能",IF(R523&gt;=判定条件!$C$7*Q523,"運転",IF(R523&lt;=判定条件!$C$8*Q523,"停止","断続")))</f>
        <v>判定不能</v>
      </c>
      <c r="T523" s="30" t="n">
        <v>60</v>
      </c>
      <c r="U523" s="30" t="n">
        <v>60</v>
      </c>
      <c r="V523" s="30" t="str">
        <f aca="false">IF(T523&lt;判定条件!$C$6,"判定不能",IF(U523&gt;=判定条件!$C$7*T523,"運転",IF(U523&lt;=判定条件!$C$8*T523,"停止","断続")))</f>
        <v>運転</v>
      </c>
      <c r="W523" s="30" t="n">
        <v>60</v>
      </c>
      <c r="X523" s="30" t="n">
        <v>40</v>
      </c>
      <c r="Y523" s="30" t="str">
        <f aca="false">IF(W523&lt;判定条件!$C$6,"判定不能",IF(X523&gt;=判定条件!$C$7*W523,"運転",IF(X523&lt;=判定条件!$C$8*W523,"停止","断続")))</f>
        <v>断続</v>
      </c>
      <c r="Z523" s="30" t="n">
        <v>60</v>
      </c>
      <c r="AA523" s="30" t="n">
        <v>60</v>
      </c>
      <c r="AB523" s="30" t="str">
        <f aca="false">IF(Z523&lt;判定条件!$C$6,"判定不能",IF(AA523&gt;=判定条件!$C$7*Z523,"運転",IF(AA523&lt;=判定条件!$C$8*Z523,"停止","断続")))</f>
        <v>運転</v>
      </c>
      <c r="AC523" s="30" t="n">
        <v>60</v>
      </c>
      <c r="AD523" s="30" t="n">
        <v>60</v>
      </c>
      <c r="AE523" s="30" t="str">
        <f aca="false">IF(AC523&lt;判定条件!$C$6,"判定不能",IF(AD523&gt;=判定条件!$C$7*AC523,"運転",IF(AD523&lt;=判定条件!$C$8*AC523,"停止","断続")))</f>
        <v>運転</v>
      </c>
      <c r="AF523" s="30" t="n">
        <v>60</v>
      </c>
      <c r="AG523" s="30" t="n">
        <v>60</v>
      </c>
      <c r="AH523" s="30" t="str">
        <f aca="false">IF(OR(P523="判定不能",G523="判定不能"),"判定不能",IF(AG523&gt;=判定条件!$C$9,"利用可",IF(AND(P523="停止",G523="停止"),"両方停止","運転がそろわない")))</f>
        <v>利用可</v>
      </c>
      <c r="AI523" s="30" t="n">
        <v>0</v>
      </c>
      <c r="AJ523" s="30" t="n">
        <v>0</v>
      </c>
      <c r="AK523" s="30" t="str">
        <f aca="false">IF(OR(S523="判定不能",J523="判定不能"),"判定不能",IF(AJ523&gt;=判定条件!$C$9,"利用可",IF(AND(S523="停止",J523="停止"),"両方停止","運転がそろわない")))</f>
        <v>判定不能</v>
      </c>
      <c r="AL523" s="30" t="n">
        <v>60</v>
      </c>
      <c r="AM523" s="30" t="n">
        <v>60</v>
      </c>
      <c r="AN523" s="30" t="str">
        <f aca="false">IF(OR(V523="判定不能",M523="判定不能"),"判定不能",IF(AM523&gt;=判定条件!$C$9,"利用可",IF(AND(V523="停止",M523="停止"),"両方停止","運転がそろわない")))</f>
        <v>利用可</v>
      </c>
      <c r="AO523" s="30" t="n">
        <v>60</v>
      </c>
      <c r="AP523" s="30" t="n">
        <v>40</v>
      </c>
      <c r="AQ523" s="30" t="str">
        <f aca="false">IF(OR(Y523="判定不能",G523="判定不能"),"判定不能",IF(AP523&gt;=判定条件!$C$9,"利用可",IF(AND(Y523="停止",G523="停止"),"両方停止","運転がそろわない")))</f>
        <v>利用可</v>
      </c>
      <c r="AR523" s="30" t="n">
        <v>60</v>
      </c>
      <c r="AS523" s="30" t="n">
        <v>60</v>
      </c>
      <c r="AT523" s="30" t="str">
        <f aca="false">IF(OR(AB523="判定不能",J523="判定不能"),"判定不能",IF(AS523&gt;=判定条件!$C$9,"利用可",IF(AND(AB523="停止",J523="停止"),"両方停止","運転がそろわない")))</f>
        <v>利用可</v>
      </c>
      <c r="AU523" s="30" t="n">
        <v>60</v>
      </c>
      <c r="AV523" s="30" t="n">
        <v>60</v>
      </c>
      <c r="AW523" s="30" t="str">
        <f aca="false">IF(OR(AE523="判定不能",M523="判定不能"),"判定不能",IF(AV523&gt;=判定条件!$C$9,"利用可",IF(AND(AE523="停止",M523="停止"),"両方停止","運転がそろわない")))</f>
        <v>利用可</v>
      </c>
      <c r="AX523" s="30" t="str">
        <f aca="false">IF(AND(AH523="利用可",AK523="利用可",AN523="利用可"),"利用可","不可")</f>
        <v>不可</v>
      </c>
      <c r="AY523" s="30" t="str">
        <f aca="false">IF(AND(AQ523="利用可",AT523="利用可",AW523="利用可"),"利用可","不可")</f>
        <v>利用可</v>
      </c>
    </row>
    <row r="524" customFormat="false" ht="15" hidden="false" customHeight="false" outlineLevel="0" collapsed="false">
      <c r="A524" s="29" t="n">
        <v>46253</v>
      </c>
      <c r="B524" s="30" t="n">
        <v>17</v>
      </c>
      <c r="C524" s="31" t="s">
        <v>58</v>
      </c>
      <c r="D524" s="31" t="s">
        <v>59</v>
      </c>
      <c r="E524" s="30" t="n">
        <v>60</v>
      </c>
      <c r="F524" s="30" t="n">
        <v>60</v>
      </c>
      <c r="G524" s="30" t="str">
        <f aca="false">IF(E524&lt;判定条件!$C$6,"判定不能",IF(F524&gt;=判定条件!$C$7*E524,"運転",IF(F524&lt;=判定条件!$C$8*E524,"停止","断続")))</f>
        <v>運転</v>
      </c>
      <c r="H524" s="30" t="n">
        <v>60</v>
      </c>
      <c r="I524" s="30" t="n">
        <v>60</v>
      </c>
      <c r="J524" s="30" t="str">
        <f aca="false">IF(H524&lt;判定条件!$C$6,"判定不能",IF(I524&gt;=判定条件!$C$7*H524,"運転",IF(I524&lt;=判定条件!$C$8*H524,"停止","断続")))</f>
        <v>運転</v>
      </c>
      <c r="K524" s="30" t="n">
        <v>60</v>
      </c>
      <c r="L524" s="30" t="n">
        <v>60</v>
      </c>
      <c r="M524" s="30" t="str">
        <f aca="false">IF(K524&lt;判定条件!$C$6,"判定不能",IF(L524&gt;=判定条件!$C$7*K524,"運転",IF(L524&lt;=判定条件!$C$8*K524,"停止","断続")))</f>
        <v>運転</v>
      </c>
      <c r="N524" s="30" t="n">
        <v>60</v>
      </c>
      <c r="O524" s="30" t="n">
        <v>41</v>
      </c>
      <c r="P524" s="30" t="str">
        <f aca="false">IF(N524&lt;判定条件!$C$6,"判定不能",IF(O524&gt;=判定条件!$C$7*N524,"運転",IF(O524&lt;=判定条件!$C$8*N524,"停止","断続")))</f>
        <v>断続</v>
      </c>
      <c r="Q524" s="30" t="n">
        <v>0</v>
      </c>
      <c r="R524" s="30" t="n">
        <v>0</v>
      </c>
      <c r="S524" s="30" t="str">
        <f aca="false">IF(Q524&lt;判定条件!$C$6,"判定不能",IF(R524&gt;=判定条件!$C$7*Q524,"運転",IF(R524&lt;=判定条件!$C$8*Q524,"停止","断続")))</f>
        <v>判定不能</v>
      </c>
      <c r="T524" s="30" t="n">
        <v>60</v>
      </c>
      <c r="U524" s="30" t="n">
        <v>60</v>
      </c>
      <c r="V524" s="30" t="str">
        <f aca="false">IF(T524&lt;判定条件!$C$6,"判定不能",IF(U524&gt;=判定条件!$C$7*T524,"運転",IF(U524&lt;=判定条件!$C$8*T524,"停止","断続")))</f>
        <v>運転</v>
      </c>
      <c r="W524" s="30" t="n">
        <v>60</v>
      </c>
      <c r="X524" s="30" t="n">
        <v>60</v>
      </c>
      <c r="Y524" s="30" t="str">
        <f aca="false">IF(W524&lt;判定条件!$C$6,"判定不能",IF(X524&gt;=判定条件!$C$7*W524,"運転",IF(X524&lt;=判定条件!$C$8*W524,"停止","断続")))</f>
        <v>運転</v>
      </c>
      <c r="Z524" s="30" t="n">
        <v>60</v>
      </c>
      <c r="AA524" s="30" t="n">
        <v>28</v>
      </c>
      <c r="AB524" s="30" t="str">
        <f aca="false">IF(Z524&lt;判定条件!$C$6,"判定不能",IF(AA524&gt;=判定条件!$C$7*Z524,"運転",IF(AA524&lt;=判定条件!$C$8*Z524,"停止","断続")))</f>
        <v>断続</v>
      </c>
      <c r="AC524" s="30" t="n">
        <v>60</v>
      </c>
      <c r="AD524" s="30" t="n">
        <v>60</v>
      </c>
      <c r="AE524" s="30" t="str">
        <f aca="false">IF(AC524&lt;判定条件!$C$6,"判定不能",IF(AD524&gt;=判定条件!$C$7*AC524,"運転",IF(AD524&lt;=判定条件!$C$8*AC524,"停止","断続")))</f>
        <v>運転</v>
      </c>
      <c r="AF524" s="30" t="n">
        <v>60</v>
      </c>
      <c r="AG524" s="30" t="n">
        <v>41</v>
      </c>
      <c r="AH524" s="30" t="str">
        <f aca="false">IF(OR(P524="判定不能",G524="判定不能"),"判定不能",IF(AG524&gt;=判定条件!$C$9,"利用可",IF(AND(P524="停止",G524="停止"),"両方停止","運転がそろわない")))</f>
        <v>利用可</v>
      </c>
      <c r="AI524" s="30" t="n">
        <v>0</v>
      </c>
      <c r="AJ524" s="30" t="n">
        <v>0</v>
      </c>
      <c r="AK524" s="30" t="str">
        <f aca="false">IF(OR(S524="判定不能",J524="判定不能"),"判定不能",IF(AJ524&gt;=判定条件!$C$9,"利用可",IF(AND(S524="停止",J524="停止"),"両方停止","運転がそろわない")))</f>
        <v>判定不能</v>
      </c>
      <c r="AL524" s="30" t="n">
        <v>60</v>
      </c>
      <c r="AM524" s="30" t="n">
        <v>60</v>
      </c>
      <c r="AN524" s="30" t="str">
        <f aca="false">IF(OR(V524="判定不能",M524="判定不能"),"判定不能",IF(AM524&gt;=判定条件!$C$9,"利用可",IF(AND(V524="停止",M524="停止"),"両方停止","運転がそろわない")))</f>
        <v>利用可</v>
      </c>
      <c r="AO524" s="30" t="n">
        <v>60</v>
      </c>
      <c r="AP524" s="30" t="n">
        <v>60</v>
      </c>
      <c r="AQ524" s="30" t="str">
        <f aca="false">IF(OR(Y524="判定不能",G524="判定不能"),"判定不能",IF(AP524&gt;=判定条件!$C$9,"利用可",IF(AND(Y524="停止",G524="停止"),"両方停止","運転がそろわない")))</f>
        <v>利用可</v>
      </c>
      <c r="AR524" s="30" t="n">
        <v>60</v>
      </c>
      <c r="AS524" s="30" t="n">
        <v>28</v>
      </c>
      <c r="AT524" s="30" t="str">
        <f aca="false">IF(OR(AB524="判定不能",J524="判定不能"),"判定不能",IF(AS524&gt;=判定条件!$C$9,"利用可",IF(AND(AB524="停止",J524="停止"),"両方停止","運転がそろわない")))</f>
        <v>運転がそろわない</v>
      </c>
      <c r="AU524" s="30" t="n">
        <v>60</v>
      </c>
      <c r="AV524" s="30" t="n">
        <v>60</v>
      </c>
      <c r="AW524" s="30" t="str">
        <f aca="false">IF(OR(AE524="判定不能",M524="判定不能"),"判定不能",IF(AV524&gt;=判定条件!$C$9,"利用可",IF(AND(AE524="停止",M524="停止"),"両方停止","運転がそろわない")))</f>
        <v>利用可</v>
      </c>
      <c r="AX524" s="30" t="str">
        <f aca="false">IF(AND(AH524="利用可",AK524="利用可",AN524="利用可"),"利用可","不可")</f>
        <v>不可</v>
      </c>
      <c r="AY524" s="30" t="str">
        <f aca="false">IF(AND(AQ524="利用可",AT524="利用可",AW524="利用可"),"利用可","不可")</f>
        <v>不可</v>
      </c>
    </row>
    <row r="525" customFormat="false" ht="15" hidden="false" customHeight="false" outlineLevel="0" collapsed="false">
      <c r="A525" s="29" t="n">
        <v>46253</v>
      </c>
      <c r="B525" s="30" t="n">
        <v>18</v>
      </c>
      <c r="C525" s="31" t="s">
        <v>58</v>
      </c>
      <c r="D525" s="31" t="s">
        <v>59</v>
      </c>
      <c r="E525" s="30" t="n">
        <v>60</v>
      </c>
      <c r="F525" s="30" t="n">
        <v>60</v>
      </c>
      <c r="G525" s="30" t="str">
        <f aca="false">IF(E525&lt;判定条件!$C$6,"判定不能",IF(F525&gt;=判定条件!$C$7*E525,"運転",IF(F525&lt;=判定条件!$C$8*E525,"停止","断続")))</f>
        <v>運転</v>
      </c>
      <c r="H525" s="30" t="n">
        <v>60</v>
      </c>
      <c r="I525" s="30" t="n">
        <v>60</v>
      </c>
      <c r="J525" s="30" t="str">
        <f aca="false">IF(H525&lt;判定条件!$C$6,"判定不能",IF(I525&gt;=判定条件!$C$7*H525,"運転",IF(I525&lt;=判定条件!$C$8*H525,"停止","断続")))</f>
        <v>運転</v>
      </c>
      <c r="K525" s="30" t="n">
        <v>60</v>
      </c>
      <c r="L525" s="30" t="n">
        <v>60</v>
      </c>
      <c r="M525" s="30" t="str">
        <f aca="false">IF(K525&lt;判定条件!$C$6,"判定不能",IF(L525&gt;=判定条件!$C$7*K525,"運転",IF(L525&lt;=判定条件!$C$8*K525,"停止","断続")))</f>
        <v>運転</v>
      </c>
      <c r="N525" s="30" t="n">
        <v>60</v>
      </c>
      <c r="O525" s="30" t="n">
        <v>0</v>
      </c>
      <c r="P525" s="30" t="str">
        <f aca="false">IF(N525&lt;判定条件!$C$6,"判定不能",IF(O525&gt;=判定条件!$C$7*N525,"運転",IF(O525&lt;=判定条件!$C$8*N525,"停止","断続")))</f>
        <v>停止</v>
      </c>
      <c r="Q525" s="30" t="n">
        <v>0</v>
      </c>
      <c r="R525" s="30" t="n">
        <v>0</v>
      </c>
      <c r="S525" s="30" t="str">
        <f aca="false">IF(Q525&lt;判定条件!$C$6,"判定不能",IF(R525&gt;=判定条件!$C$7*Q525,"運転",IF(R525&lt;=判定条件!$C$8*Q525,"停止","断続")))</f>
        <v>判定不能</v>
      </c>
      <c r="T525" s="30" t="n">
        <v>60</v>
      </c>
      <c r="U525" s="30" t="n">
        <v>0</v>
      </c>
      <c r="V525" s="30" t="str">
        <f aca="false">IF(T525&lt;判定条件!$C$6,"判定不能",IF(U525&gt;=判定条件!$C$7*T525,"運転",IF(U525&lt;=判定条件!$C$8*T525,"停止","断続")))</f>
        <v>停止</v>
      </c>
      <c r="W525" s="30" t="n">
        <v>60</v>
      </c>
      <c r="X525" s="30" t="n">
        <v>41</v>
      </c>
      <c r="Y525" s="30" t="str">
        <f aca="false">IF(W525&lt;判定条件!$C$6,"判定不能",IF(X525&gt;=判定条件!$C$7*W525,"運転",IF(X525&lt;=判定条件!$C$8*W525,"停止","断続")))</f>
        <v>断続</v>
      </c>
      <c r="Z525" s="30" t="n">
        <v>60</v>
      </c>
      <c r="AA525" s="30" t="n">
        <v>54</v>
      </c>
      <c r="AB525" s="30" t="str">
        <f aca="false">IF(Z525&lt;判定条件!$C$6,"判定不能",IF(AA525&gt;=判定条件!$C$7*Z525,"運転",IF(AA525&lt;=判定条件!$C$8*Z525,"停止","断続")))</f>
        <v>運転</v>
      </c>
      <c r="AC525" s="30" t="n">
        <v>60</v>
      </c>
      <c r="AD525" s="30" t="n">
        <v>40</v>
      </c>
      <c r="AE525" s="30" t="str">
        <f aca="false">IF(AC525&lt;判定条件!$C$6,"判定不能",IF(AD525&gt;=判定条件!$C$7*AC525,"運転",IF(AD525&lt;=判定条件!$C$8*AC525,"停止","断続")))</f>
        <v>断続</v>
      </c>
      <c r="AF525" s="30" t="n">
        <v>60</v>
      </c>
      <c r="AG525" s="30" t="n">
        <v>0</v>
      </c>
      <c r="AH525" s="30" t="str">
        <f aca="false">IF(OR(P525="判定不能",G525="判定不能"),"判定不能",IF(AG525&gt;=判定条件!$C$9,"利用可",IF(AND(P525="停止",G525="停止"),"両方停止","運転がそろわない")))</f>
        <v>運転がそろわない</v>
      </c>
      <c r="AI525" s="30" t="n">
        <v>0</v>
      </c>
      <c r="AJ525" s="30" t="n">
        <v>0</v>
      </c>
      <c r="AK525" s="30" t="str">
        <f aca="false">IF(OR(S525="判定不能",J525="判定不能"),"判定不能",IF(AJ525&gt;=判定条件!$C$9,"利用可",IF(AND(S525="停止",J525="停止"),"両方停止","運転がそろわない")))</f>
        <v>判定不能</v>
      </c>
      <c r="AL525" s="30" t="n">
        <v>60</v>
      </c>
      <c r="AM525" s="30" t="n">
        <v>0</v>
      </c>
      <c r="AN525" s="30" t="str">
        <f aca="false">IF(OR(V525="判定不能",M525="判定不能"),"判定不能",IF(AM525&gt;=判定条件!$C$9,"利用可",IF(AND(V525="停止",M525="停止"),"両方停止","運転がそろわない")))</f>
        <v>運転がそろわない</v>
      </c>
      <c r="AO525" s="30" t="n">
        <v>60</v>
      </c>
      <c r="AP525" s="30" t="n">
        <v>41</v>
      </c>
      <c r="AQ525" s="30" t="str">
        <f aca="false">IF(OR(Y525="判定不能",G525="判定不能"),"判定不能",IF(AP525&gt;=判定条件!$C$9,"利用可",IF(AND(Y525="停止",G525="停止"),"両方停止","運転がそろわない")))</f>
        <v>利用可</v>
      </c>
      <c r="AR525" s="30" t="n">
        <v>60</v>
      </c>
      <c r="AS525" s="30" t="n">
        <v>54</v>
      </c>
      <c r="AT525" s="30" t="str">
        <f aca="false">IF(OR(AB525="判定不能",J525="判定不能"),"判定不能",IF(AS525&gt;=判定条件!$C$9,"利用可",IF(AND(AB525="停止",J525="停止"),"両方停止","運転がそろわない")))</f>
        <v>利用可</v>
      </c>
      <c r="AU525" s="30" t="n">
        <v>60</v>
      </c>
      <c r="AV525" s="30" t="n">
        <v>40</v>
      </c>
      <c r="AW525" s="30" t="str">
        <f aca="false">IF(OR(AE525="判定不能",M525="判定不能"),"判定不能",IF(AV525&gt;=判定条件!$C$9,"利用可",IF(AND(AE525="停止",M525="停止"),"両方停止","運転がそろわない")))</f>
        <v>利用可</v>
      </c>
      <c r="AX525" s="30" t="str">
        <f aca="false">IF(AND(AH525="利用可",AK525="利用可",AN525="利用可"),"利用可","不可")</f>
        <v>不可</v>
      </c>
      <c r="AY525" s="30" t="str">
        <f aca="false">IF(AND(AQ525="利用可",AT525="利用可",AW525="利用可"),"利用可","不可")</f>
        <v>利用可</v>
      </c>
    </row>
    <row r="526" customFormat="false" ht="15" hidden="false" customHeight="false" outlineLevel="0" collapsed="false">
      <c r="A526" s="29" t="n">
        <v>46253</v>
      </c>
      <c r="B526" s="30" t="n">
        <v>19</v>
      </c>
      <c r="C526" s="31" t="s">
        <v>58</v>
      </c>
      <c r="D526" s="31" t="s">
        <v>59</v>
      </c>
      <c r="E526" s="30" t="n">
        <v>60</v>
      </c>
      <c r="F526" s="30" t="n">
        <v>60</v>
      </c>
      <c r="G526" s="30" t="str">
        <f aca="false">IF(E526&lt;判定条件!$C$6,"判定不能",IF(F526&gt;=判定条件!$C$7*E526,"運転",IF(F526&lt;=判定条件!$C$8*E526,"停止","断続")))</f>
        <v>運転</v>
      </c>
      <c r="H526" s="30" t="n">
        <v>60</v>
      </c>
      <c r="I526" s="30" t="n">
        <v>60</v>
      </c>
      <c r="J526" s="30" t="str">
        <f aca="false">IF(H526&lt;判定条件!$C$6,"判定不能",IF(I526&gt;=判定条件!$C$7*H526,"運転",IF(I526&lt;=判定条件!$C$8*H526,"停止","断続")))</f>
        <v>運転</v>
      </c>
      <c r="K526" s="30" t="n">
        <v>60</v>
      </c>
      <c r="L526" s="30" t="n">
        <v>60</v>
      </c>
      <c r="M526" s="30" t="str">
        <f aca="false">IF(K526&lt;判定条件!$C$6,"判定不能",IF(L526&gt;=判定条件!$C$7*K526,"運転",IF(L526&lt;=判定条件!$C$8*K526,"停止","断続")))</f>
        <v>運転</v>
      </c>
      <c r="N526" s="30" t="n">
        <v>60</v>
      </c>
      <c r="O526" s="30" t="n">
        <v>0</v>
      </c>
      <c r="P526" s="30" t="str">
        <f aca="false">IF(N526&lt;判定条件!$C$6,"判定不能",IF(O526&gt;=判定条件!$C$7*N526,"運転",IF(O526&lt;=判定条件!$C$8*N526,"停止","断続")))</f>
        <v>停止</v>
      </c>
      <c r="Q526" s="30" t="n">
        <v>0</v>
      </c>
      <c r="R526" s="30" t="n">
        <v>0</v>
      </c>
      <c r="S526" s="30" t="str">
        <f aca="false">IF(Q526&lt;判定条件!$C$6,"判定不能",IF(R526&gt;=判定条件!$C$7*Q526,"運転",IF(R526&lt;=判定条件!$C$8*Q526,"停止","断続")))</f>
        <v>判定不能</v>
      </c>
      <c r="T526" s="30" t="n">
        <v>60</v>
      </c>
      <c r="U526" s="30" t="n">
        <v>0</v>
      </c>
      <c r="V526" s="30" t="str">
        <f aca="false">IF(T526&lt;判定条件!$C$6,"判定不能",IF(U526&gt;=判定条件!$C$7*T526,"運転",IF(U526&lt;=判定条件!$C$8*T526,"停止","断続")))</f>
        <v>停止</v>
      </c>
      <c r="W526" s="30" t="n">
        <v>60</v>
      </c>
      <c r="X526" s="30" t="n">
        <v>9</v>
      </c>
      <c r="Y526" s="30" t="str">
        <f aca="false">IF(W526&lt;判定条件!$C$6,"判定不能",IF(X526&gt;=判定条件!$C$7*W526,"運転",IF(X526&lt;=判定条件!$C$8*W526,"停止","断続")))</f>
        <v>停止</v>
      </c>
      <c r="Z526" s="30" t="n">
        <v>60</v>
      </c>
      <c r="AA526" s="30" t="n">
        <v>6</v>
      </c>
      <c r="AB526" s="30" t="str">
        <f aca="false">IF(Z526&lt;判定条件!$C$6,"判定不能",IF(AA526&gt;=判定条件!$C$7*Z526,"運転",IF(AA526&lt;=判定条件!$C$8*Z526,"停止","断続")))</f>
        <v>停止</v>
      </c>
      <c r="AC526" s="30" t="n">
        <v>60</v>
      </c>
      <c r="AD526" s="30" t="n">
        <v>0</v>
      </c>
      <c r="AE526" s="30" t="str">
        <f aca="false">IF(AC526&lt;判定条件!$C$6,"判定不能",IF(AD526&gt;=判定条件!$C$7*AC526,"運転",IF(AD526&lt;=判定条件!$C$8*AC526,"停止","断続")))</f>
        <v>停止</v>
      </c>
      <c r="AF526" s="30" t="n">
        <v>60</v>
      </c>
      <c r="AG526" s="30" t="n">
        <v>0</v>
      </c>
      <c r="AH526" s="30" t="str">
        <f aca="false">IF(OR(P526="判定不能",G526="判定不能"),"判定不能",IF(AG526&gt;=判定条件!$C$9,"利用可",IF(AND(P526="停止",G526="停止"),"両方停止","運転がそろわない")))</f>
        <v>運転がそろわない</v>
      </c>
      <c r="AI526" s="30" t="n">
        <v>0</v>
      </c>
      <c r="AJ526" s="30" t="n">
        <v>0</v>
      </c>
      <c r="AK526" s="30" t="str">
        <f aca="false">IF(OR(S526="判定不能",J526="判定不能"),"判定不能",IF(AJ526&gt;=判定条件!$C$9,"利用可",IF(AND(S526="停止",J526="停止"),"両方停止","運転がそろわない")))</f>
        <v>判定不能</v>
      </c>
      <c r="AL526" s="30" t="n">
        <v>60</v>
      </c>
      <c r="AM526" s="30" t="n">
        <v>0</v>
      </c>
      <c r="AN526" s="30" t="str">
        <f aca="false">IF(OR(V526="判定不能",M526="判定不能"),"判定不能",IF(AM526&gt;=判定条件!$C$9,"利用可",IF(AND(V526="停止",M526="停止"),"両方停止","運転がそろわない")))</f>
        <v>運転がそろわない</v>
      </c>
      <c r="AO526" s="30" t="n">
        <v>60</v>
      </c>
      <c r="AP526" s="30" t="n">
        <v>9</v>
      </c>
      <c r="AQ526" s="30" t="str">
        <f aca="false">IF(OR(Y526="判定不能",G526="判定不能"),"判定不能",IF(AP526&gt;=判定条件!$C$9,"利用可",IF(AND(Y526="停止",G526="停止"),"両方停止","運転がそろわない")))</f>
        <v>運転がそろわない</v>
      </c>
      <c r="AR526" s="30" t="n">
        <v>60</v>
      </c>
      <c r="AS526" s="30" t="n">
        <v>6</v>
      </c>
      <c r="AT526" s="30" t="str">
        <f aca="false">IF(OR(AB526="判定不能",J526="判定不能"),"判定不能",IF(AS526&gt;=判定条件!$C$9,"利用可",IF(AND(AB526="停止",J526="停止"),"両方停止","運転がそろわない")))</f>
        <v>運転がそろわない</v>
      </c>
      <c r="AU526" s="30" t="n">
        <v>60</v>
      </c>
      <c r="AV526" s="30" t="n">
        <v>0</v>
      </c>
      <c r="AW526" s="30" t="str">
        <f aca="false">IF(OR(AE526="判定不能",M526="判定不能"),"判定不能",IF(AV526&gt;=判定条件!$C$9,"利用可",IF(AND(AE526="停止",M526="停止"),"両方停止","運転がそろわない")))</f>
        <v>運転がそろわない</v>
      </c>
      <c r="AX526" s="30" t="str">
        <f aca="false">IF(AND(AH526="利用可",AK526="利用可",AN526="利用可"),"利用可","不可")</f>
        <v>不可</v>
      </c>
      <c r="AY526" s="30" t="str">
        <f aca="false">IF(AND(AQ526="利用可",AT526="利用可",AW526="利用可"),"利用可","不可")</f>
        <v>不可</v>
      </c>
    </row>
    <row r="527" customFormat="false" ht="15" hidden="false" customHeight="false" outlineLevel="0" collapsed="false">
      <c r="A527" s="29" t="n">
        <v>46253</v>
      </c>
      <c r="B527" s="30" t="n">
        <v>20</v>
      </c>
      <c r="C527" s="31" t="s">
        <v>58</v>
      </c>
      <c r="D527" s="31" t="s">
        <v>59</v>
      </c>
      <c r="E527" s="30" t="n">
        <v>60</v>
      </c>
      <c r="F527" s="30" t="n">
        <v>45</v>
      </c>
      <c r="G527" s="30" t="str">
        <f aca="false">IF(E527&lt;判定条件!$C$6,"判定不能",IF(F527&gt;=判定条件!$C$7*E527,"運転",IF(F527&lt;=判定条件!$C$8*E527,"停止","断続")))</f>
        <v>断続</v>
      </c>
      <c r="H527" s="30" t="n">
        <v>60</v>
      </c>
      <c r="I527" s="30" t="n">
        <v>45</v>
      </c>
      <c r="J527" s="30" t="str">
        <f aca="false">IF(H527&lt;判定条件!$C$6,"判定不能",IF(I527&gt;=判定条件!$C$7*H527,"運転",IF(I527&lt;=判定条件!$C$8*H527,"停止","断続")))</f>
        <v>断続</v>
      </c>
      <c r="K527" s="30" t="n">
        <v>60</v>
      </c>
      <c r="L527" s="30" t="n">
        <v>44</v>
      </c>
      <c r="M527" s="30" t="str">
        <f aca="false">IF(K527&lt;判定条件!$C$6,"判定不能",IF(L527&gt;=判定条件!$C$7*K527,"運転",IF(L527&lt;=判定条件!$C$8*K527,"停止","断続")))</f>
        <v>断続</v>
      </c>
      <c r="N527" s="30" t="n">
        <v>60</v>
      </c>
      <c r="O527" s="30" t="n">
        <v>0</v>
      </c>
      <c r="P527" s="30" t="str">
        <f aca="false">IF(N527&lt;判定条件!$C$6,"判定不能",IF(O527&gt;=判定条件!$C$7*N527,"運転",IF(O527&lt;=判定条件!$C$8*N527,"停止","断続")))</f>
        <v>停止</v>
      </c>
      <c r="Q527" s="30" t="n">
        <v>0</v>
      </c>
      <c r="R527" s="30" t="n">
        <v>0</v>
      </c>
      <c r="S527" s="30" t="str">
        <f aca="false">IF(Q527&lt;判定条件!$C$6,"判定不能",IF(R527&gt;=判定条件!$C$7*Q527,"運転",IF(R527&lt;=判定条件!$C$8*Q527,"停止","断続")))</f>
        <v>判定不能</v>
      </c>
      <c r="T527" s="30" t="n">
        <v>60</v>
      </c>
      <c r="U527" s="30" t="n">
        <v>0</v>
      </c>
      <c r="V527" s="30" t="str">
        <f aca="false">IF(T527&lt;判定条件!$C$6,"判定不能",IF(U527&gt;=判定条件!$C$7*T527,"運転",IF(U527&lt;=判定条件!$C$8*T527,"停止","断続")))</f>
        <v>停止</v>
      </c>
      <c r="W527" s="30" t="n">
        <v>60</v>
      </c>
      <c r="X527" s="30" t="n">
        <v>0</v>
      </c>
      <c r="Y527" s="30" t="str">
        <f aca="false">IF(W527&lt;判定条件!$C$6,"判定不能",IF(X527&gt;=判定条件!$C$7*W527,"運転",IF(X527&lt;=判定条件!$C$8*W527,"停止","断続")))</f>
        <v>停止</v>
      </c>
      <c r="Z527" s="30" t="n">
        <v>60</v>
      </c>
      <c r="AA527" s="30" t="n">
        <v>0</v>
      </c>
      <c r="AB527" s="30" t="str">
        <f aca="false">IF(Z527&lt;判定条件!$C$6,"判定不能",IF(AA527&gt;=判定条件!$C$7*Z527,"運転",IF(AA527&lt;=判定条件!$C$8*Z527,"停止","断続")))</f>
        <v>停止</v>
      </c>
      <c r="AC527" s="30" t="n">
        <v>60</v>
      </c>
      <c r="AD527" s="30" t="n">
        <v>0</v>
      </c>
      <c r="AE527" s="30" t="str">
        <f aca="false">IF(AC527&lt;判定条件!$C$6,"判定不能",IF(AD527&gt;=判定条件!$C$7*AC527,"運転",IF(AD527&lt;=判定条件!$C$8*AC527,"停止","断続")))</f>
        <v>停止</v>
      </c>
      <c r="AF527" s="30" t="n">
        <v>60</v>
      </c>
      <c r="AG527" s="30" t="n">
        <v>0</v>
      </c>
      <c r="AH527" s="30" t="str">
        <f aca="false">IF(OR(P527="判定不能",G527="判定不能"),"判定不能",IF(AG527&gt;=判定条件!$C$9,"利用可",IF(AND(P527="停止",G527="停止"),"両方停止","運転がそろわない")))</f>
        <v>運転がそろわない</v>
      </c>
      <c r="AI527" s="30" t="n">
        <v>0</v>
      </c>
      <c r="AJ527" s="30" t="n">
        <v>0</v>
      </c>
      <c r="AK527" s="30" t="str">
        <f aca="false">IF(OR(S527="判定不能",J527="判定不能"),"判定不能",IF(AJ527&gt;=判定条件!$C$9,"利用可",IF(AND(S527="停止",J527="停止"),"両方停止","運転がそろわない")))</f>
        <v>判定不能</v>
      </c>
      <c r="AL527" s="30" t="n">
        <v>60</v>
      </c>
      <c r="AM527" s="30" t="n">
        <v>0</v>
      </c>
      <c r="AN527" s="30" t="str">
        <f aca="false">IF(OR(V527="判定不能",M527="判定不能"),"判定不能",IF(AM527&gt;=判定条件!$C$9,"利用可",IF(AND(V527="停止",M527="停止"),"両方停止","運転がそろわない")))</f>
        <v>運転がそろわない</v>
      </c>
      <c r="AO527" s="30" t="n">
        <v>60</v>
      </c>
      <c r="AP527" s="30" t="n">
        <v>0</v>
      </c>
      <c r="AQ527" s="30" t="str">
        <f aca="false">IF(OR(Y527="判定不能",G527="判定不能"),"判定不能",IF(AP527&gt;=判定条件!$C$9,"利用可",IF(AND(Y527="停止",G527="停止"),"両方停止","運転がそろわない")))</f>
        <v>運転がそろわない</v>
      </c>
      <c r="AR527" s="30" t="n">
        <v>60</v>
      </c>
      <c r="AS527" s="30" t="n">
        <v>0</v>
      </c>
      <c r="AT527" s="30" t="str">
        <f aca="false">IF(OR(AB527="判定不能",J527="判定不能"),"判定不能",IF(AS527&gt;=判定条件!$C$9,"利用可",IF(AND(AB527="停止",J527="停止"),"両方停止","運転がそろわない")))</f>
        <v>運転がそろわない</v>
      </c>
      <c r="AU527" s="30" t="n">
        <v>60</v>
      </c>
      <c r="AV527" s="30" t="n">
        <v>0</v>
      </c>
      <c r="AW527" s="30" t="str">
        <f aca="false">IF(OR(AE527="判定不能",M527="判定不能"),"判定不能",IF(AV527&gt;=判定条件!$C$9,"利用可",IF(AND(AE527="停止",M527="停止"),"両方停止","運転がそろわない")))</f>
        <v>運転がそろわない</v>
      </c>
      <c r="AX527" s="30" t="str">
        <f aca="false">IF(AND(AH527="利用可",AK527="利用可",AN527="利用可"),"利用可","不可")</f>
        <v>不可</v>
      </c>
      <c r="AY527" s="30" t="str">
        <f aca="false">IF(AND(AQ527="利用可",AT527="利用可",AW527="利用可"),"利用可","不可")</f>
        <v>不可</v>
      </c>
    </row>
    <row r="528" customFormat="false" ht="15" hidden="false" customHeight="false" outlineLevel="0" collapsed="false">
      <c r="A528" s="29" t="n">
        <v>46253</v>
      </c>
      <c r="B528" s="30" t="n">
        <v>21</v>
      </c>
      <c r="C528" s="31" t="s">
        <v>58</v>
      </c>
      <c r="D528" s="31" t="s">
        <v>59</v>
      </c>
      <c r="E528" s="30" t="n">
        <v>60</v>
      </c>
      <c r="F528" s="30" t="n">
        <v>27</v>
      </c>
      <c r="G528" s="30" t="str">
        <f aca="false">IF(E528&lt;判定条件!$C$6,"判定不能",IF(F528&gt;=判定条件!$C$7*E528,"運転",IF(F528&lt;=判定条件!$C$8*E528,"停止","断続")))</f>
        <v>断続</v>
      </c>
      <c r="H528" s="30" t="n">
        <v>60</v>
      </c>
      <c r="I528" s="30" t="n">
        <v>27</v>
      </c>
      <c r="J528" s="30" t="str">
        <f aca="false">IF(H528&lt;判定条件!$C$6,"判定不能",IF(I528&gt;=判定条件!$C$7*H528,"運転",IF(I528&lt;=判定条件!$C$8*H528,"停止","断続")))</f>
        <v>断続</v>
      </c>
      <c r="K528" s="30" t="n">
        <v>60</v>
      </c>
      <c r="L528" s="30" t="n">
        <v>0</v>
      </c>
      <c r="M528" s="30" t="str">
        <f aca="false">IF(K528&lt;判定条件!$C$6,"判定不能",IF(L528&gt;=判定条件!$C$7*K528,"運転",IF(L528&lt;=判定条件!$C$8*K528,"停止","断続")))</f>
        <v>停止</v>
      </c>
      <c r="N528" s="30" t="n">
        <v>60</v>
      </c>
      <c r="O528" s="30" t="n">
        <v>0</v>
      </c>
      <c r="P528" s="30" t="str">
        <f aca="false">IF(N528&lt;判定条件!$C$6,"判定不能",IF(O528&gt;=判定条件!$C$7*N528,"運転",IF(O528&lt;=判定条件!$C$8*N528,"停止","断続")))</f>
        <v>停止</v>
      </c>
      <c r="Q528" s="30" t="n">
        <v>0</v>
      </c>
      <c r="R528" s="30" t="n">
        <v>0</v>
      </c>
      <c r="S528" s="30" t="str">
        <f aca="false">IF(Q528&lt;判定条件!$C$6,"判定不能",IF(R528&gt;=判定条件!$C$7*Q528,"運転",IF(R528&lt;=判定条件!$C$8*Q528,"停止","断続")))</f>
        <v>判定不能</v>
      </c>
      <c r="T528" s="30" t="n">
        <v>60</v>
      </c>
      <c r="U528" s="30" t="n">
        <v>0</v>
      </c>
      <c r="V528" s="30" t="str">
        <f aca="false">IF(T528&lt;判定条件!$C$6,"判定不能",IF(U528&gt;=判定条件!$C$7*T528,"運転",IF(U528&lt;=判定条件!$C$8*T528,"停止","断続")))</f>
        <v>停止</v>
      </c>
      <c r="W528" s="30" t="n">
        <v>60</v>
      </c>
      <c r="X528" s="30" t="n">
        <v>0</v>
      </c>
      <c r="Y528" s="30" t="str">
        <f aca="false">IF(W528&lt;判定条件!$C$6,"判定不能",IF(X528&gt;=判定条件!$C$7*W528,"運転",IF(X528&lt;=判定条件!$C$8*W528,"停止","断続")))</f>
        <v>停止</v>
      </c>
      <c r="Z528" s="30" t="n">
        <v>60</v>
      </c>
      <c r="AA528" s="30" t="n">
        <v>0</v>
      </c>
      <c r="AB528" s="30" t="str">
        <f aca="false">IF(Z528&lt;判定条件!$C$6,"判定不能",IF(AA528&gt;=判定条件!$C$7*Z528,"運転",IF(AA528&lt;=判定条件!$C$8*Z528,"停止","断続")))</f>
        <v>停止</v>
      </c>
      <c r="AC528" s="30" t="n">
        <v>60</v>
      </c>
      <c r="AD528" s="30" t="n">
        <v>0</v>
      </c>
      <c r="AE528" s="30" t="str">
        <f aca="false">IF(AC528&lt;判定条件!$C$6,"判定不能",IF(AD528&gt;=判定条件!$C$7*AC528,"運転",IF(AD528&lt;=判定条件!$C$8*AC528,"停止","断続")))</f>
        <v>停止</v>
      </c>
      <c r="AF528" s="30" t="n">
        <v>60</v>
      </c>
      <c r="AG528" s="30" t="n">
        <v>0</v>
      </c>
      <c r="AH528" s="30" t="str">
        <f aca="false">IF(OR(P528="判定不能",G528="判定不能"),"判定不能",IF(AG528&gt;=判定条件!$C$9,"利用可",IF(AND(P528="停止",G528="停止"),"両方停止","運転がそろわない")))</f>
        <v>運転がそろわない</v>
      </c>
      <c r="AI528" s="30" t="n">
        <v>0</v>
      </c>
      <c r="AJ528" s="30" t="n">
        <v>0</v>
      </c>
      <c r="AK528" s="30" t="str">
        <f aca="false">IF(OR(S528="判定不能",J528="判定不能"),"判定不能",IF(AJ528&gt;=判定条件!$C$9,"利用可",IF(AND(S528="停止",J528="停止"),"両方停止","運転がそろわない")))</f>
        <v>判定不能</v>
      </c>
      <c r="AL528" s="30" t="n">
        <v>60</v>
      </c>
      <c r="AM528" s="30" t="n">
        <v>0</v>
      </c>
      <c r="AN528" s="30" t="str">
        <f aca="false">IF(OR(V528="判定不能",M528="判定不能"),"判定不能",IF(AM528&gt;=判定条件!$C$9,"利用可",IF(AND(V528="停止",M528="停止"),"両方停止","運転がそろわない")))</f>
        <v>両方停止</v>
      </c>
      <c r="AO528" s="30" t="n">
        <v>60</v>
      </c>
      <c r="AP528" s="30" t="n">
        <v>0</v>
      </c>
      <c r="AQ528" s="30" t="str">
        <f aca="false">IF(OR(Y528="判定不能",G528="判定不能"),"判定不能",IF(AP528&gt;=判定条件!$C$9,"利用可",IF(AND(Y528="停止",G528="停止"),"両方停止","運転がそろわない")))</f>
        <v>運転がそろわない</v>
      </c>
      <c r="AR528" s="30" t="n">
        <v>60</v>
      </c>
      <c r="AS528" s="30" t="n">
        <v>0</v>
      </c>
      <c r="AT528" s="30" t="str">
        <f aca="false">IF(OR(AB528="判定不能",J528="判定不能"),"判定不能",IF(AS528&gt;=判定条件!$C$9,"利用可",IF(AND(AB528="停止",J528="停止"),"両方停止","運転がそろわない")))</f>
        <v>運転がそろわない</v>
      </c>
      <c r="AU528" s="30" t="n">
        <v>60</v>
      </c>
      <c r="AV528" s="30" t="n">
        <v>0</v>
      </c>
      <c r="AW528" s="30" t="str">
        <f aca="false">IF(OR(AE528="判定不能",M528="判定不能"),"判定不能",IF(AV528&gt;=判定条件!$C$9,"利用可",IF(AND(AE528="停止",M528="停止"),"両方停止","運転がそろわない")))</f>
        <v>両方停止</v>
      </c>
      <c r="AX528" s="30" t="str">
        <f aca="false">IF(AND(AH528="利用可",AK528="利用可",AN528="利用可"),"利用可","不可")</f>
        <v>不可</v>
      </c>
      <c r="AY528" s="30" t="str">
        <f aca="false">IF(AND(AQ528="利用可",AT528="利用可",AW528="利用可"),"利用可","不可")</f>
        <v>不可</v>
      </c>
    </row>
    <row r="529" customFormat="false" ht="15" hidden="false" customHeight="false" outlineLevel="0" collapsed="false">
      <c r="A529" s="29" t="n">
        <v>46253</v>
      </c>
      <c r="B529" s="30" t="n">
        <v>22</v>
      </c>
      <c r="C529" s="31" t="s">
        <v>58</v>
      </c>
      <c r="D529" s="31" t="s">
        <v>59</v>
      </c>
      <c r="E529" s="30" t="n">
        <v>60</v>
      </c>
      <c r="F529" s="30" t="n">
        <v>22</v>
      </c>
      <c r="G529" s="30" t="str">
        <f aca="false">IF(E529&lt;判定条件!$C$6,"判定不能",IF(F529&gt;=判定条件!$C$7*E529,"運転",IF(F529&lt;=判定条件!$C$8*E529,"停止","断続")))</f>
        <v>断続</v>
      </c>
      <c r="H529" s="30" t="n">
        <v>60</v>
      </c>
      <c r="I529" s="30" t="n">
        <v>16</v>
      </c>
      <c r="J529" s="30" t="str">
        <f aca="false">IF(H529&lt;判定条件!$C$6,"判定不能",IF(I529&gt;=判定条件!$C$7*H529,"運転",IF(I529&lt;=判定条件!$C$8*H529,"停止","断続")))</f>
        <v>断続</v>
      </c>
      <c r="K529" s="30" t="n">
        <v>60</v>
      </c>
      <c r="L529" s="30" t="n">
        <v>0</v>
      </c>
      <c r="M529" s="30" t="str">
        <f aca="false">IF(K529&lt;判定条件!$C$6,"判定不能",IF(L529&gt;=判定条件!$C$7*K529,"運転",IF(L529&lt;=判定条件!$C$8*K529,"停止","断続")))</f>
        <v>停止</v>
      </c>
      <c r="N529" s="30" t="n">
        <v>60</v>
      </c>
      <c r="O529" s="30" t="n">
        <v>0</v>
      </c>
      <c r="P529" s="30" t="str">
        <f aca="false">IF(N529&lt;判定条件!$C$6,"判定不能",IF(O529&gt;=判定条件!$C$7*N529,"運転",IF(O529&lt;=判定条件!$C$8*N529,"停止","断続")))</f>
        <v>停止</v>
      </c>
      <c r="Q529" s="30" t="n">
        <v>0</v>
      </c>
      <c r="R529" s="30" t="n">
        <v>0</v>
      </c>
      <c r="S529" s="30" t="str">
        <f aca="false">IF(Q529&lt;判定条件!$C$6,"判定不能",IF(R529&gt;=判定条件!$C$7*Q529,"運転",IF(R529&lt;=判定条件!$C$8*Q529,"停止","断続")))</f>
        <v>判定不能</v>
      </c>
      <c r="T529" s="30" t="n">
        <v>60</v>
      </c>
      <c r="U529" s="30" t="n">
        <v>0</v>
      </c>
      <c r="V529" s="30" t="str">
        <f aca="false">IF(T529&lt;判定条件!$C$6,"判定不能",IF(U529&gt;=判定条件!$C$7*T529,"運転",IF(U529&lt;=判定条件!$C$8*T529,"停止","断続")))</f>
        <v>停止</v>
      </c>
      <c r="W529" s="30" t="n">
        <v>60</v>
      </c>
      <c r="X529" s="30" t="n">
        <v>0</v>
      </c>
      <c r="Y529" s="30" t="str">
        <f aca="false">IF(W529&lt;判定条件!$C$6,"判定不能",IF(X529&gt;=判定条件!$C$7*W529,"運転",IF(X529&lt;=判定条件!$C$8*W529,"停止","断続")))</f>
        <v>停止</v>
      </c>
      <c r="Z529" s="30" t="n">
        <v>60</v>
      </c>
      <c r="AA529" s="30" t="n">
        <v>0</v>
      </c>
      <c r="AB529" s="30" t="str">
        <f aca="false">IF(Z529&lt;判定条件!$C$6,"判定不能",IF(AA529&gt;=判定条件!$C$7*Z529,"運転",IF(AA529&lt;=判定条件!$C$8*Z529,"停止","断続")))</f>
        <v>停止</v>
      </c>
      <c r="AC529" s="30" t="n">
        <v>60</v>
      </c>
      <c r="AD529" s="30" t="n">
        <v>0</v>
      </c>
      <c r="AE529" s="30" t="str">
        <f aca="false">IF(AC529&lt;判定条件!$C$6,"判定不能",IF(AD529&gt;=判定条件!$C$7*AC529,"運転",IF(AD529&lt;=判定条件!$C$8*AC529,"停止","断続")))</f>
        <v>停止</v>
      </c>
      <c r="AF529" s="30" t="n">
        <v>60</v>
      </c>
      <c r="AG529" s="30" t="n">
        <v>0</v>
      </c>
      <c r="AH529" s="30" t="str">
        <f aca="false">IF(OR(P529="判定不能",G529="判定不能"),"判定不能",IF(AG529&gt;=判定条件!$C$9,"利用可",IF(AND(P529="停止",G529="停止"),"両方停止","運転がそろわない")))</f>
        <v>運転がそろわない</v>
      </c>
      <c r="AI529" s="30" t="n">
        <v>0</v>
      </c>
      <c r="AJ529" s="30" t="n">
        <v>0</v>
      </c>
      <c r="AK529" s="30" t="str">
        <f aca="false">IF(OR(S529="判定不能",J529="判定不能"),"判定不能",IF(AJ529&gt;=判定条件!$C$9,"利用可",IF(AND(S529="停止",J529="停止"),"両方停止","運転がそろわない")))</f>
        <v>判定不能</v>
      </c>
      <c r="AL529" s="30" t="n">
        <v>60</v>
      </c>
      <c r="AM529" s="30" t="n">
        <v>0</v>
      </c>
      <c r="AN529" s="30" t="str">
        <f aca="false">IF(OR(V529="判定不能",M529="判定不能"),"判定不能",IF(AM529&gt;=判定条件!$C$9,"利用可",IF(AND(V529="停止",M529="停止"),"両方停止","運転がそろわない")))</f>
        <v>両方停止</v>
      </c>
      <c r="AO529" s="30" t="n">
        <v>60</v>
      </c>
      <c r="AP529" s="30" t="n">
        <v>0</v>
      </c>
      <c r="AQ529" s="30" t="str">
        <f aca="false">IF(OR(Y529="判定不能",G529="判定不能"),"判定不能",IF(AP529&gt;=判定条件!$C$9,"利用可",IF(AND(Y529="停止",G529="停止"),"両方停止","運転がそろわない")))</f>
        <v>運転がそろわない</v>
      </c>
      <c r="AR529" s="30" t="n">
        <v>60</v>
      </c>
      <c r="AS529" s="30" t="n">
        <v>0</v>
      </c>
      <c r="AT529" s="30" t="str">
        <f aca="false">IF(OR(AB529="判定不能",J529="判定不能"),"判定不能",IF(AS529&gt;=判定条件!$C$9,"利用可",IF(AND(AB529="停止",J529="停止"),"両方停止","運転がそろわない")))</f>
        <v>運転がそろわない</v>
      </c>
      <c r="AU529" s="30" t="n">
        <v>60</v>
      </c>
      <c r="AV529" s="30" t="n">
        <v>0</v>
      </c>
      <c r="AW529" s="30" t="str">
        <f aca="false">IF(OR(AE529="判定不能",M529="判定不能"),"判定不能",IF(AV529&gt;=判定条件!$C$9,"利用可",IF(AND(AE529="停止",M529="停止"),"両方停止","運転がそろわない")))</f>
        <v>両方停止</v>
      </c>
      <c r="AX529" s="30" t="str">
        <f aca="false">IF(AND(AH529="利用可",AK529="利用可",AN529="利用可"),"利用可","不可")</f>
        <v>不可</v>
      </c>
      <c r="AY529" s="30" t="str">
        <f aca="false">IF(AND(AQ529="利用可",AT529="利用可",AW529="利用可"),"利用可","不可")</f>
        <v>不可</v>
      </c>
    </row>
    <row r="530" customFormat="false" ht="15" hidden="false" customHeight="false" outlineLevel="0" collapsed="false">
      <c r="A530" s="29" t="n">
        <v>46253</v>
      </c>
      <c r="B530" s="30" t="n">
        <v>23</v>
      </c>
      <c r="C530" s="31" t="s">
        <v>58</v>
      </c>
      <c r="D530" s="31" t="s">
        <v>59</v>
      </c>
      <c r="E530" s="30" t="n">
        <v>60</v>
      </c>
      <c r="F530" s="30" t="n">
        <v>0</v>
      </c>
      <c r="G530" s="30" t="str">
        <f aca="false">IF(E530&lt;判定条件!$C$6,"判定不能",IF(F530&gt;=判定条件!$C$7*E530,"運転",IF(F530&lt;=判定条件!$C$8*E530,"停止","断続")))</f>
        <v>停止</v>
      </c>
      <c r="H530" s="30" t="n">
        <v>60</v>
      </c>
      <c r="I530" s="30" t="n">
        <v>0</v>
      </c>
      <c r="J530" s="30" t="str">
        <f aca="false">IF(H530&lt;判定条件!$C$6,"判定不能",IF(I530&gt;=判定条件!$C$7*H530,"運転",IF(I530&lt;=判定条件!$C$8*H530,"停止","断続")))</f>
        <v>停止</v>
      </c>
      <c r="K530" s="30" t="n">
        <v>60</v>
      </c>
      <c r="L530" s="30" t="n">
        <v>0</v>
      </c>
      <c r="M530" s="30" t="str">
        <f aca="false">IF(K530&lt;判定条件!$C$6,"判定不能",IF(L530&gt;=判定条件!$C$7*K530,"運転",IF(L530&lt;=判定条件!$C$8*K530,"停止","断続")))</f>
        <v>停止</v>
      </c>
      <c r="N530" s="30" t="n">
        <v>60</v>
      </c>
      <c r="O530" s="30" t="n">
        <v>0</v>
      </c>
      <c r="P530" s="30" t="str">
        <f aca="false">IF(N530&lt;判定条件!$C$6,"判定不能",IF(O530&gt;=判定条件!$C$7*N530,"運転",IF(O530&lt;=判定条件!$C$8*N530,"停止","断続")))</f>
        <v>停止</v>
      </c>
      <c r="Q530" s="30" t="n">
        <v>0</v>
      </c>
      <c r="R530" s="30" t="n">
        <v>0</v>
      </c>
      <c r="S530" s="30" t="str">
        <f aca="false">IF(Q530&lt;判定条件!$C$6,"判定不能",IF(R530&gt;=判定条件!$C$7*Q530,"運転",IF(R530&lt;=判定条件!$C$8*Q530,"停止","断続")))</f>
        <v>判定不能</v>
      </c>
      <c r="T530" s="30" t="n">
        <v>60</v>
      </c>
      <c r="U530" s="30" t="n">
        <v>0</v>
      </c>
      <c r="V530" s="30" t="str">
        <f aca="false">IF(T530&lt;判定条件!$C$6,"判定不能",IF(U530&gt;=判定条件!$C$7*T530,"運転",IF(U530&lt;=判定条件!$C$8*T530,"停止","断続")))</f>
        <v>停止</v>
      </c>
      <c r="W530" s="30" t="n">
        <v>60</v>
      </c>
      <c r="X530" s="30" t="n">
        <v>0</v>
      </c>
      <c r="Y530" s="30" t="str">
        <f aca="false">IF(W530&lt;判定条件!$C$6,"判定不能",IF(X530&gt;=判定条件!$C$7*W530,"運転",IF(X530&lt;=判定条件!$C$8*W530,"停止","断続")))</f>
        <v>停止</v>
      </c>
      <c r="Z530" s="30" t="n">
        <v>60</v>
      </c>
      <c r="AA530" s="30" t="n">
        <v>0</v>
      </c>
      <c r="AB530" s="30" t="str">
        <f aca="false">IF(Z530&lt;判定条件!$C$6,"判定不能",IF(AA530&gt;=判定条件!$C$7*Z530,"運転",IF(AA530&lt;=判定条件!$C$8*Z530,"停止","断続")))</f>
        <v>停止</v>
      </c>
      <c r="AC530" s="30" t="n">
        <v>60</v>
      </c>
      <c r="AD530" s="30" t="n">
        <v>0</v>
      </c>
      <c r="AE530" s="30" t="str">
        <f aca="false">IF(AC530&lt;判定条件!$C$6,"判定不能",IF(AD530&gt;=判定条件!$C$7*AC530,"運転",IF(AD530&lt;=判定条件!$C$8*AC530,"停止","断続")))</f>
        <v>停止</v>
      </c>
      <c r="AF530" s="30" t="n">
        <v>60</v>
      </c>
      <c r="AG530" s="30" t="n">
        <v>0</v>
      </c>
      <c r="AH530" s="30" t="str">
        <f aca="false">IF(OR(P530="判定不能",G530="判定不能"),"判定不能",IF(AG530&gt;=判定条件!$C$9,"利用可",IF(AND(P530="停止",G530="停止"),"両方停止","運転がそろわない")))</f>
        <v>両方停止</v>
      </c>
      <c r="AI530" s="30" t="n">
        <v>0</v>
      </c>
      <c r="AJ530" s="30" t="n">
        <v>0</v>
      </c>
      <c r="AK530" s="30" t="str">
        <f aca="false">IF(OR(S530="判定不能",J530="判定不能"),"判定不能",IF(AJ530&gt;=判定条件!$C$9,"利用可",IF(AND(S530="停止",J530="停止"),"両方停止","運転がそろわない")))</f>
        <v>判定不能</v>
      </c>
      <c r="AL530" s="30" t="n">
        <v>60</v>
      </c>
      <c r="AM530" s="30" t="n">
        <v>0</v>
      </c>
      <c r="AN530" s="30" t="str">
        <f aca="false">IF(OR(V530="判定不能",M530="判定不能"),"判定不能",IF(AM530&gt;=判定条件!$C$9,"利用可",IF(AND(V530="停止",M530="停止"),"両方停止","運転がそろわない")))</f>
        <v>両方停止</v>
      </c>
      <c r="AO530" s="30" t="n">
        <v>60</v>
      </c>
      <c r="AP530" s="30" t="n">
        <v>0</v>
      </c>
      <c r="AQ530" s="30" t="str">
        <f aca="false">IF(OR(Y530="判定不能",G530="判定不能"),"判定不能",IF(AP530&gt;=判定条件!$C$9,"利用可",IF(AND(Y530="停止",G530="停止"),"両方停止","運転がそろわない")))</f>
        <v>両方停止</v>
      </c>
      <c r="AR530" s="30" t="n">
        <v>60</v>
      </c>
      <c r="AS530" s="30" t="n">
        <v>0</v>
      </c>
      <c r="AT530" s="30" t="str">
        <f aca="false">IF(OR(AB530="判定不能",J530="判定不能"),"判定不能",IF(AS530&gt;=判定条件!$C$9,"利用可",IF(AND(AB530="停止",J530="停止"),"両方停止","運転がそろわない")))</f>
        <v>両方停止</v>
      </c>
      <c r="AU530" s="30" t="n">
        <v>60</v>
      </c>
      <c r="AV530" s="30" t="n">
        <v>0</v>
      </c>
      <c r="AW530" s="30" t="str">
        <f aca="false">IF(OR(AE530="判定不能",M530="判定不能"),"判定不能",IF(AV530&gt;=判定条件!$C$9,"利用可",IF(AND(AE530="停止",M530="停止"),"両方停止","運転がそろわない")))</f>
        <v>両方停止</v>
      </c>
      <c r="AX530" s="30" t="str">
        <f aca="false">IF(AND(AH530="利用可",AK530="利用可",AN530="利用可"),"利用可","不可")</f>
        <v>不可</v>
      </c>
      <c r="AY530" s="30" t="str">
        <f aca="false">IF(AND(AQ530="利用可",AT530="利用可",AW530="利用可"),"利用可","不可")</f>
        <v>不可</v>
      </c>
    </row>
    <row r="531" customFormat="false" ht="15" hidden="false" customHeight="false" outlineLevel="0" collapsed="false">
      <c r="A531" s="29" t="n">
        <v>46254</v>
      </c>
      <c r="B531" s="30" t="n">
        <v>0</v>
      </c>
      <c r="C531" s="31" t="s">
        <v>61</v>
      </c>
      <c r="D531" s="31" t="s">
        <v>59</v>
      </c>
      <c r="E531" s="30" t="n">
        <v>60</v>
      </c>
      <c r="F531" s="30" t="n">
        <v>0</v>
      </c>
      <c r="G531" s="30" t="str">
        <f aca="false">IF(E531&lt;判定条件!$C$6,"判定不能",IF(F531&gt;=判定条件!$C$7*E531,"運転",IF(F531&lt;=判定条件!$C$8*E531,"停止","断続")))</f>
        <v>停止</v>
      </c>
      <c r="H531" s="30" t="n">
        <v>60</v>
      </c>
      <c r="I531" s="30" t="n">
        <v>0</v>
      </c>
      <c r="J531" s="30" t="str">
        <f aca="false">IF(H531&lt;判定条件!$C$6,"判定不能",IF(I531&gt;=判定条件!$C$7*H531,"運転",IF(I531&lt;=判定条件!$C$8*H531,"停止","断続")))</f>
        <v>停止</v>
      </c>
      <c r="K531" s="30" t="n">
        <v>60</v>
      </c>
      <c r="L531" s="30" t="n">
        <v>0</v>
      </c>
      <c r="M531" s="30" t="str">
        <f aca="false">IF(K531&lt;判定条件!$C$6,"判定不能",IF(L531&gt;=判定条件!$C$7*K531,"運転",IF(L531&lt;=判定条件!$C$8*K531,"停止","断続")))</f>
        <v>停止</v>
      </c>
      <c r="N531" s="30" t="n">
        <v>60</v>
      </c>
      <c r="O531" s="30" t="n">
        <v>0</v>
      </c>
      <c r="P531" s="30" t="str">
        <f aca="false">IF(N531&lt;判定条件!$C$6,"判定不能",IF(O531&gt;=判定条件!$C$7*N531,"運転",IF(O531&lt;=判定条件!$C$8*N531,"停止","断続")))</f>
        <v>停止</v>
      </c>
      <c r="Q531" s="30" t="n">
        <v>0</v>
      </c>
      <c r="R531" s="30" t="n">
        <v>0</v>
      </c>
      <c r="S531" s="30" t="str">
        <f aca="false">IF(Q531&lt;判定条件!$C$6,"判定不能",IF(R531&gt;=判定条件!$C$7*Q531,"運転",IF(R531&lt;=判定条件!$C$8*Q531,"停止","断続")))</f>
        <v>判定不能</v>
      </c>
      <c r="T531" s="30" t="n">
        <v>60</v>
      </c>
      <c r="U531" s="30" t="n">
        <v>0</v>
      </c>
      <c r="V531" s="30" t="str">
        <f aca="false">IF(T531&lt;判定条件!$C$6,"判定不能",IF(U531&gt;=判定条件!$C$7*T531,"運転",IF(U531&lt;=判定条件!$C$8*T531,"停止","断続")))</f>
        <v>停止</v>
      </c>
      <c r="W531" s="30" t="n">
        <v>60</v>
      </c>
      <c r="X531" s="30" t="n">
        <v>0</v>
      </c>
      <c r="Y531" s="30" t="str">
        <f aca="false">IF(W531&lt;判定条件!$C$6,"判定不能",IF(X531&gt;=判定条件!$C$7*W531,"運転",IF(X531&lt;=判定条件!$C$8*W531,"停止","断続")))</f>
        <v>停止</v>
      </c>
      <c r="Z531" s="30" t="n">
        <v>60</v>
      </c>
      <c r="AA531" s="30" t="n">
        <v>0</v>
      </c>
      <c r="AB531" s="30" t="str">
        <f aca="false">IF(Z531&lt;判定条件!$C$6,"判定不能",IF(AA531&gt;=判定条件!$C$7*Z531,"運転",IF(AA531&lt;=判定条件!$C$8*Z531,"停止","断続")))</f>
        <v>停止</v>
      </c>
      <c r="AC531" s="30" t="n">
        <v>60</v>
      </c>
      <c r="AD531" s="30" t="n">
        <v>0</v>
      </c>
      <c r="AE531" s="30" t="str">
        <f aca="false">IF(AC531&lt;判定条件!$C$6,"判定不能",IF(AD531&gt;=判定条件!$C$7*AC531,"運転",IF(AD531&lt;=判定条件!$C$8*AC531,"停止","断続")))</f>
        <v>停止</v>
      </c>
      <c r="AF531" s="30" t="n">
        <v>60</v>
      </c>
      <c r="AG531" s="30" t="n">
        <v>0</v>
      </c>
      <c r="AH531" s="30" t="str">
        <f aca="false">IF(OR(P531="判定不能",G531="判定不能"),"判定不能",IF(AG531&gt;=判定条件!$C$9,"利用可",IF(AND(P531="停止",G531="停止"),"両方停止","運転がそろわない")))</f>
        <v>両方停止</v>
      </c>
      <c r="AI531" s="30" t="n">
        <v>0</v>
      </c>
      <c r="AJ531" s="30" t="n">
        <v>0</v>
      </c>
      <c r="AK531" s="30" t="str">
        <f aca="false">IF(OR(S531="判定不能",J531="判定不能"),"判定不能",IF(AJ531&gt;=判定条件!$C$9,"利用可",IF(AND(S531="停止",J531="停止"),"両方停止","運転がそろわない")))</f>
        <v>判定不能</v>
      </c>
      <c r="AL531" s="30" t="n">
        <v>60</v>
      </c>
      <c r="AM531" s="30" t="n">
        <v>0</v>
      </c>
      <c r="AN531" s="30" t="str">
        <f aca="false">IF(OR(V531="判定不能",M531="判定不能"),"判定不能",IF(AM531&gt;=判定条件!$C$9,"利用可",IF(AND(V531="停止",M531="停止"),"両方停止","運転がそろわない")))</f>
        <v>両方停止</v>
      </c>
      <c r="AO531" s="30" t="n">
        <v>60</v>
      </c>
      <c r="AP531" s="30" t="n">
        <v>0</v>
      </c>
      <c r="AQ531" s="30" t="str">
        <f aca="false">IF(OR(Y531="判定不能",G531="判定不能"),"判定不能",IF(AP531&gt;=判定条件!$C$9,"利用可",IF(AND(Y531="停止",G531="停止"),"両方停止","運転がそろわない")))</f>
        <v>両方停止</v>
      </c>
      <c r="AR531" s="30" t="n">
        <v>60</v>
      </c>
      <c r="AS531" s="30" t="n">
        <v>0</v>
      </c>
      <c r="AT531" s="30" t="str">
        <f aca="false">IF(OR(AB531="判定不能",J531="判定不能"),"判定不能",IF(AS531&gt;=判定条件!$C$9,"利用可",IF(AND(AB531="停止",J531="停止"),"両方停止","運転がそろわない")))</f>
        <v>両方停止</v>
      </c>
      <c r="AU531" s="30" t="n">
        <v>60</v>
      </c>
      <c r="AV531" s="30" t="n">
        <v>0</v>
      </c>
      <c r="AW531" s="30" t="str">
        <f aca="false">IF(OR(AE531="判定不能",M531="判定不能"),"判定不能",IF(AV531&gt;=判定条件!$C$9,"利用可",IF(AND(AE531="停止",M531="停止"),"両方停止","運転がそろわない")))</f>
        <v>両方停止</v>
      </c>
      <c r="AX531" s="30" t="str">
        <f aca="false">IF(AND(AH531="利用可",AK531="利用可",AN531="利用可"),"利用可","不可")</f>
        <v>不可</v>
      </c>
      <c r="AY531" s="30" t="str">
        <f aca="false">IF(AND(AQ531="利用可",AT531="利用可",AW531="利用可"),"利用可","不可")</f>
        <v>不可</v>
      </c>
    </row>
    <row r="532" customFormat="false" ht="15" hidden="false" customHeight="false" outlineLevel="0" collapsed="false">
      <c r="A532" s="29" t="n">
        <v>46254</v>
      </c>
      <c r="B532" s="30" t="n">
        <v>1</v>
      </c>
      <c r="C532" s="31" t="s">
        <v>61</v>
      </c>
      <c r="D532" s="31" t="s">
        <v>59</v>
      </c>
      <c r="E532" s="30" t="n">
        <v>60</v>
      </c>
      <c r="F532" s="30" t="n">
        <v>0</v>
      </c>
      <c r="G532" s="30" t="str">
        <f aca="false">IF(E532&lt;判定条件!$C$6,"判定不能",IF(F532&gt;=判定条件!$C$7*E532,"運転",IF(F532&lt;=判定条件!$C$8*E532,"停止","断続")))</f>
        <v>停止</v>
      </c>
      <c r="H532" s="30" t="n">
        <v>60</v>
      </c>
      <c r="I532" s="30" t="n">
        <v>0</v>
      </c>
      <c r="J532" s="30" t="str">
        <f aca="false">IF(H532&lt;判定条件!$C$6,"判定不能",IF(I532&gt;=判定条件!$C$7*H532,"運転",IF(I532&lt;=判定条件!$C$8*H532,"停止","断続")))</f>
        <v>停止</v>
      </c>
      <c r="K532" s="30" t="n">
        <v>60</v>
      </c>
      <c r="L532" s="30" t="n">
        <v>0</v>
      </c>
      <c r="M532" s="30" t="str">
        <f aca="false">IF(K532&lt;判定条件!$C$6,"判定不能",IF(L532&gt;=判定条件!$C$7*K532,"運転",IF(L532&lt;=判定条件!$C$8*K532,"停止","断続")))</f>
        <v>停止</v>
      </c>
      <c r="N532" s="30" t="n">
        <v>60</v>
      </c>
      <c r="O532" s="30" t="n">
        <v>0</v>
      </c>
      <c r="P532" s="30" t="str">
        <f aca="false">IF(N532&lt;判定条件!$C$6,"判定不能",IF(O532&gt;=判定条件!$C$7*N532,"運転",IF(O532&lt;=判定条件!$C$8*N532,"停止","断続")))</f>
        <v>停止</v>
      </c>
      <c r="Q532" s="30" t="n">
        <v>0</v>
      </c>
      <c r="R532" s="30" t="n">
        <v>0</v>
      </c>
      <c r="S532" s="30" t="str">
        <f aca="false">IF(Q532&lt;判定条件!$C$6,"判定不能",IF(R532&gt;=判定条件!$C$7*Q532,"運転",IF(R532&lt;=判定条件!$C$8*Q532,"停止","断続")))</f>
        <v>判定不能</v>
      </c>
      <c r="T532" s="30" t="n">
        <v>60</v>
      </c>
      <c r="U532" s="30" t="n">
        <v>0</v>
      </c>
      <c r="V532" s="30" t="str">
        <f aca="false">IF(T532&lt;判定条件!$C$6,"判定不能",IF(U532&gt;=判定条件!$C$7*T532,"運転",IF(U532&lt;=判定条件!$C$8*T532,"停止","断続")))</f>
        <v>停止</v>
      </c>
      <c r="W532" s="30" t="n">
        <v>60</v>
      </c>
      <c r="X532" s="30" t="n">
        <v>0</v>
      </c>
      <c r="Y532" s="30" t="str">
        <f aca="false">IF(W532&lt;判定条件!$C$6,"判定不能",IF(X532&gt;=判定条件!$C$7*W532,"運転",IF(X532&lt;=判定条件!$C$8*W532,"停止","断続")))</f>
        <v>停止</v>
      </c>
      <c r="Z532" s="30" t="n">
        <v>60</v>
      </c>
      <c r="AA532" s="30" t="n">
        <v>0</v>
      </c>
      <c r="AB532" s="30" t="str">
        <f aca="false">IF(Z532&lt;判定条件!$C$6,"判定不能",IF(AA532&gt;=判定条件!$C$7*Z532,"運転",IF(AA532&lt;=判定条件!$C$8*Z532,"停止","断続")))</f>
        <v>停止</v>
      </c>
      <c r="AC532" s="30" t="n">
        <v>60</v>
      </c>
      <c r="AD532" s="30" t="n">
        <v>0</v>
      </c>
      <c r="AE532" s="30" t="str">
        <f aca="false">IF(AC532&lt;判定条件!$C$6,"判定不能",IF(AD532&gt;=判定条件!$C$7*AC532,"運転",IF(AD532&lt;=判定条件!$C$8*AC532,"停止","断続")))</f>
        <v>停止</v>
      </c>
      <c r="AF532" s="30" t="n">
        <v>60</v>
      </c>
      <c r="AG532" s="30" t="n">
        <v>0</v>
      </c>
      <c r="AH532" s="30" t="str">
        <f aca="false">IF(OR(P532="判定不能",G532="判定不能"),"判定不能",IF(AG532&gt;=判定条件!$C$9,"利用可",IF(AND(P532="停止",G532="停止"),"両方停止","運転がそろわない")))</f>
        <v>両方停止</v>
      </c>
      <c r="AI532" s="30" t="n">
        <v>0</v>
      </c>
      <c r="AJ532" s="30" t="n">
        <v>0</v>
      </c>
      <c r="AK532" s="30" t="str">
        <f aca="false">IF(OR(S532="判定不能",J532="判定不能"),"判定不能",IF(AJ532&gt;=判定条件!$C$9,"利用可",IF(AND(S532="停止",J532="停止"),"両方停止","運転がそろわない")))</f>
        <v>判定不能</v>
      </c>
      <c r="AL532" s="30" t="n">
        <v>60</v>
      </c>
      <c r="AM532" s="30" t="n">
        <v>0</v>
      </c>
      <c r="AN532" s="30" t="str">
        <f aca="false">IF(OR(V532="判定不能",M532="判定不能"),"判定不能",IF(AM532&gt;=判定条件!$C$9,"利用可",IF(AND(V532="停止",M532="停止"),"両方停止","運転がそろわない")))</f>
        <v>両方停止</v>
      </c>
      <c r="AO532" s="30" t="n">
        <v>60</v>
      </c>
      <c r="AP532" s="30" t="n">
        <v>0</v>
      </c>
      <c r="AQ532" s="30" t="str">
        <f aca="false">IF(OR(Y532="判定不能",G532="判定不能"),"判定不能",IF(AP532&gt;=判定条件!$C$9,"利用可",IF(AND(Y532="停止",G532="停止"),"両方停止","運転がそろわない")))</f>
        <v>両方停止</v>
      </c>
      <c r="AR532" s="30" t="n">
        <v>60</v>
      </c>
      <c r="AS532" s="30" t="n">
        <v>0</v>
      </c>
      <c r="AT532" s="30" t="str">
        <f aca="false">IF(OR(AB532="判定不能",J532="判定不能"),"判定不能",IF(AS532&gt;=判定条件!$C$9,"利用可",IF(AND(AB532="停止",J532="停止"),"両方停止","運転がそろわない")))</f>
        <v>両方停止</v>
      </c>
      <c r="AU532" s="30" t="n">
        <v>60</v>
      </c>
      <c r="AV532" s="30" t="n">
        <v>0</v>
      </c>
      <c r="AW532" s="30" t="str">
        <f aca="false">IF(OR(AE532="判定不能",M532="判定不能"),"判定不能",IF(AV532&gt;=判定条件!$C$9,"利用可",IF(AND(AE532="停止",M532="停止"),"両方停止","運転がそろわない")))</f>
        <v>両方停止</v>
      </c>
      <c r="AX532" s="30" t="str">
        <f aca="false">IF(AND(AH532="利用可",AK532="利用可",AN532="利用可"),"利用可","不可")</f>
        <v>不可</v>
      </c>
      <c r="AY532" s="30" t="str">
        <f aca="false">IF(AND(AQ532="利用可",AT532="利用可",AW532="利用可"),"利用可","不可")</f>
        <v>不可</v>
      </c>
    </row>
    <row r="533" customFormat="false" ht="15" hidden="false" customHeight="false" outlineLevel="0" collapsed="false">
      <c r="A533" s="29" t="n">
        <v>46254</v>
      </c>
      <c r="B533" s="30" t="n">
        <v>2</v>
      </c>
      <c r="C533" s="31" t="s">
        <v>61</v>
      </c>
      <c r="D533" s="31" t="s">
        <v>59</v>
      </c>
      <c r="E533" s="30" t="n">
        <v>60</v>
      </c>
      <c r="F533" s="30" t="n">
        <v>0</v>
      </c>
      <c r="G533" s="30" t="str">
        <f aca="false">IF(E533&lt;判定条件!$C$6,"判定不能",IF(F533&gt;=判定条件!$C$7*E533,"運転",IF(F533&lt;=判定条件!$C$8*E533,"停止","断続")))</f>
        <v>停止</v>
      </c>
      <c r="H533" s="30" t="n">
        <v>60</v>
      </c>
      <c r="I533" s="30" t="n">
        <v>0</v>
      </c>
      <c r="J533" s="30" t="str">
        <f aca="false">IF(H533&lt;判定条件!$C$6,"判定不能",IF(I533&gt;=判定条件!$C$7*H533,"運転",IF(I533&lt;=判定条件!$C$8*H533,"停止","断続")))</f>
        <v>停止</v>
      </c>
      <c r="K533" s="30" t="n">
        <v>60</v>
      </c>
      <c r="L533" s="30" t="n">
        <v>0</v>
      </c>
      <c r="M533" s="30" t="str">
        <f aca="false">IF(K533&lt;判定条件!$C$6,"判定不能",IF(L533&gt;=判定条件!$C$7*K533,"運転",IF(L533&lt;=判定条件!$C$8*K533,"停止","断続")))</f>
        <v>停止</v>
      </c>
      <c r="N533" s="30" t="n">
        <v>60</v>
      </c>
      <c r="O533" s="30" t="n">
        <v>0</v>
      </c>
      <c r="P533" s="30" t="str">
        <f aca="false">IF(N533&lt;判定条件!$C$6,"判定不能",IF(O533&gt;=判定条件!$C$7*N533,"運転",IF(O533&lt;=判定条件!$C$8*N533,"停止","断続")))</f>
        <v>停止</v>
      </c>
      <c r="Q533" s="30" t="n">
        <v>0</v>
      </c>
      <c r="R533" s="30" t="n">
        <v>0</v>
      </c>
      <c r="S533" s="30" t="str">
        <f aca="false">IF(Q533&lt;判定条件!$C$6,"判定不能",IF(R533&gt;=判定条件!$C$7*Q533,"運転",IF(R533&lt;=判定条件!$C$8*Q533,"停止","断続")))</f>
        <v>判定不能</v>
      </c>
      <c r="T533" s="30" t="n">
        <v>60</v>
      </c>
      <c r="U533" s="30" t="n">
        <v>0</v>
      </c>
      <c r="V533" s="30" t="str">
        <f aca="false">IF(T533&lt;判定条件!$C$6,"判定不能",IF(U533&gt;=判定条件!$C$7*T533,"運転",IF(U533&lt;=判定条件!$C$8*T533,"停止","断続")))</f>
        <v>停止</v>
      </c>
      <c r="W533" s="30" t="n">
        <v>60</v>
      </c>
      <c r="X533" s="30" t="n">
        <v>0</v>
      </c>
      <c r="Y533" s="30" t="str">
        <f aca="false">IF(W533&lt;判定条件!$C$6,"判定不能",IF(X533&gt;=判定条件!$C$7*W533,"運転",IF(X533&lt;=判定条件!$C$8*W533,"停止","断続")))</f>
        <v>停止</v>
      </c>
      <c r="Z533" s="30" t="n">
        <v>60</v>
      </c>
      <c r="AA533" s="30" t="n">
        <v>0</v>
      </c>
      <c r="AB533" s="30" t="str">
        <f aca="false">IF(Z533&lt;判定条件!$C$6,"判定不能",IF(AA533&gt;=判定条件!$C$7*Z533,"運転",IF(AA533&lt;=判定条件!$C$8*Z533,"停止","断続")))</f>
        <v>停止</v>
      </c>
      <c r="AC533" s="30" t="n">
        <v>60</v>
      </c>
      <c r="AD533" s="30" t="n">
        <v>0</v>
      </c>
      <c r="AE533" s="30" t="str">
        <f aca="false">IF(AC533&lt;判定条件!$C$6,"判定不能",IF(AD533&gt;=判定条件!$C$7*AC533,"運転",IF(AD533&lt;=判定条件!$C$8*AC533,"停止","断続")))</f>
        <v>停止</v>
      </c>
      <c r="AF533" s="30" t="n">
        <v>60</v>
      </c>
      <c r="AG533" s="30" t="n">
        <v>0</v>
      </c>
      <c r="AH533" s="30" t="str">
        <f aca="false">IF(OR(P533="判定不能",G533="判定不能"),"判定不能",IF(AG533&gt;=判定条件!$C$9,"利用可",IF(AND(P533="停止",G533="停止"),"両方停止","運転がそろわない")))</f>
        <v>両方停止</v>
      </c>
      <c r="AI533" s="30" t="n">
        <v>0</v>
      </c>
      <c r="AJ533" s="30" t="n">
        <v>0</v>
      </c>
      <c r="AK533" s="30" t="str">
        <f aca="false">IF(OR(S533="判定不能",J533="判定不能"),"判定不能",IF(AJ533&gt;=判定条件!$C$9,"利用可",IF(AND(S533="停止",J533="停止"),"両方停止","運転がそろわない")))</f>
        <v>判定不能</v>
      </c>
      <c r="AL533" s="30" t="n">
        <v>60</v>
      </c>
      <c r="AM533" s="30" t="n">
        <v>0</v>
      </c>
      <c r="AN533" s="30" t="str">
        <f aca="false">IF(OR(V533="判定不能",M533="判定不能"),"判定不能",IF(AM533&gt;=判定条件!$C$9,"利用可",IF(AND(V533="停止",M533="停止"),"両方停止","運転がそろわない")))</f>
        <v>両方停止</v>
      </c>
      <c r="AO533" s="30" t="n">
        <v>60</v>
      </c>
      <c r="AP533" s="30" t="n">
        <v>0</v>
      </c>
      <c r="AQ533" s="30" t="str">
        <f aca="false">IF(OR(Y533="判定不能",G533="判定不能"),"判定不能",IF(AP533&gt;=判定条件!$C$9,"利用可",IF(AND(Y533="停止",G533="停止"),"両方停止","運転がそろわない")))</f>
        <v>両方停止</v>
      </c>
      <c r="AR533" s="30" t="n">
        <v>60</v>
      </c>
      <c r="AS533" s="30" t="n">
        <v>0</v>
      </c>
      <c r="AT533" s="30" t="str">
        <f aca="false">IF(OR(AB533="判定不能",J533="判定不能"),"判定不能",IF(AS533&gt;=判定条件!$C$9,"利用可",IF(AND(AB533="停止",J533="停止"),"両方停止","運転がそろわない")))</f>
        <v>両方停止</v>
      </c>
      <c r="AU533" s="30" t="n">
        <v>60</v>
      </c>
      <c r="AV533" s="30" t="n">
        <v>0</v>
      </c>
      <c r="AW533" s="30" t="str">
        <f aca="false">IF(OR(AE533="判定不能",M533="判定不能"),"判定不能",IF(AV533&gt;=判定条件!$C$9,"利用可",IF(AND(AE533="停止",M533="停止"),"両方停止","運転がそろわない")))</f>
        <v>両方停止</v>
      </c>
      <c r="AX533" s="30" t="str">
        <f aca="false">IF(AND(AH533="利用可",AK533="利用可",AN533="利用可"),"利用可","不可")</f>
        <v>不可</v>
      </c>
      <c r="AY533" s="30" t="str">
        <f aca="false">IF(AND(AQ533="利用可",AT533="利用可",AW533="利用可"),"利用可","不可")</f>
        <v>不可</v>
      </c>
    </row>
    <row r="534" customFormat="false" ht="15" hidden="false" customHeight="false" outlineLevel="0" collapsed="false">
      <c r="A534" s="29" t="n">
        <v>46254</v>
      </c>
      <c r="B534" s="30" t="n">
        <v>3</v>
      </c>
      <c r="C534" s="31" t="s">
        <v>61</v>
      </c>
      <c r="D534" s="31" t="s">
        <v>59</v>
      </c>
      <c r="E534" s="30" t="n">
        <v>60</v>
      </c>
      <c r="F534" s="30" t="n">
        <v>0</v>
      </c>
      <c r="G534" s="30" t="str">
        <f aca="false">IF(E534&lt;判定条件!$C$6,"判定不能",IF(F534&gt;=判定条件!$C$7*E534,"運転",IF(F534&lt;=判定条件!$C$8*E534,"停止","断続")))</f>
        <v>停止</v>
      </c>
      <c r="H534" s="30" t="n">
        <v>60</v>
      </c>
      <c r="I534" s="30" t="n">
        <v>0</v>
      </c>
      <c r="J534" s="30" t="str">
        <f aca="false">IF(H534&lt;判定条件!$C$6,"判定不能",IF(I534&gt;=判定条件!$C$7*H534,"運転",IF(I534&lt;=判定条件!$C$8*H534,"停止","断続")))</f>
        <v>停止</v>
      </c>
      <c r="K534" s="30" t="n">
        <v>60</v>
      </c>
      <c r="L534" s="30" t="n">
        <v>0</v>
      </c>
      <c r="M534" s="30" t="str">
        <f aca="false">IF(K534&lt;判定条件!$C$6,"判定不能",IF(L534&gt;=判定条件!$C$7*K534,"運転",IF(L534&lt;=判定条件!$C$8*K534,"停止","断続")))</f>
        <v>停止</v>
      </c>
      <c r="N534" s="30" t="n">
        <v>60</v>
      </c>
      <c r="O534" s="30" t="n">
        <v>0</v>
      </c>
      <c r="P534" s="30" t="str">
        <f aca="false">IF(N534&lt;判定条件!$C$6,"判定不能",IF(O534&gt;=判定条件!$C$7*N534,"運転",IF(O534&lt;=判定条件!$C$8*N534,"停止","断続")))</f>
        <v>停止</v>
      </c>
      <c r="Q534" s="30" t="n">
        <v>0</v>
      </c>
      <c r="R534" s="30" t="n">
        <v>0</v>
      </c>
      <c r="S534" s="30" t="str">
        <f aca="false">IF(Q534&lt;判定条件!$C$6,"判定不能",IF(R534&gt;=判定条件!$C$7*Q534,"運転",IF(R534&lt;=判定条件!$C$8*Q534,"停止","断続")))</f>
        <v>判定不能</v>
      </c>
      <c r="T534" s="30" t="n">
        <v>60</v>
      </c>
      <c r="U534" s="30" t="n">
        <v>0</v>
      </c>
      <c r="V534" s="30" t="str">
        <f aca="false">IF(T534&lt;判定条件!$C$6,"判定不能",IF(U534&gt;=判定条件!$C$7*T534,"運転",IF(U534&lt;=判定条件!$C$8*T534,"停止","断続")))</f>
        <v>停止</v>
      </c>
      <c r="W534" s="30" t="n">
        <v>60</v>
      </c>
      <c r="X534" s="30" t="n">
        <v>0</v>
      </c>
      <c r="Y534" s="30" t="str">
        <f aca="false">IF(W534&lt;判定条件!$C$6,"判定不能",IF(X534&gt;=判定条件!$C$7*W534,"運転",IF(X534&lt;=判定条件!$C$8*W534,"停止","断続")))</f>
        <v>停止</v>
      </c>
      <c r="Z534" s="30" t="n">
        <v>60</v>
      </c>
      <c r="AA534" s="30" t="n">
        <v>0</v>
      </c>
      <c r="AB534" s="30" t="str">
        <f aca="false">IF(Z534&lt;判定条件!$C$6,"判定不能",IF(AA534&gt;=判定条件!$C$7*Z534,"運転",IF(AA534&lt;=判定条件!$C$8*Z534,"停止","断続")))</f>
        <v>停止</v>
      </c>
      <c r="AC534" s="30" t="n">
        <v>60</v>
      </c>
      <c r="AD534" s="30" t="n">
        <v>0</v>
      </c>
      <c r="AE534" s="30" t="str">
        <f aca="false">IF(AC534&lt;判定条件!$C$6,"判定不能",IF(AD534&gt;=判定条件!$C$7*AC534,"運転",IF(AD534&lt;=判定条件!$C$8*AC534,"停止","断続")))</f>
        <v>停止</v>
      </c>
      <c r="AF534" s="30" t="n">
        <v>60</v>
      </c>
      <c r="AG534" s="30" t="n">
        <v>0</v>
      </c>
      <c r="AH534" s="30" t="str">
        <f aca="false">IF(OR(P534="判定不能",G534="判定不能"),"判定不能",IF(AG534&gt;=判定条件!$C$9,"利用可",IF(AND(P534="停止",G534="停止"),"両方停止","運転がそろわない")))</f>
        <v>両方停止</v>
      </c>
      <c r="AI534" s="30" t="n">
        <v>0</v>
      </c>
      <c r="AJ534" s="30" t="n">
        <v>0</v>
      </c>
      <c r="AK534" s="30" t="str">
        <f aca="false">IF(OR(S534="判定不能",J534="判定不能"),"判定不能",IF(AJ534&gt;=判定条件!$C$9,"利用可",IF(AND(S534="停止",J534="停止"),"両方停止","運転がそろわない")))</f>
        <v>判定不能</v>
      </c>
      <c r="AL534" s="30" t="n">
        <v>60</v>
      </c>
      <c r="AM534" s="30" t="n">
        <v>0</v>
      </c>
      <c r="AN534" s="30" t="str">
        <f aca="false">IF(OR(V534="判定不能",M534="判定不能"),"判定不能",IF(AM534&gt;=判定条件!$C$9,"利用可",IF(AND(V534="停止",M534="停止"),"両方停止","運転がそろわない")))</f>
        <v>両方停止</v>
      </c>
      <c r="AO534" s="30" t="n">
        <v>60</v>
      </c>
      <c r="AP534" s="30" t="n">
        <v>0</v>
      </c>
      <c r="AQ534" s="30" t="str">
        <f aca="false">IF(OR(Y534="判定不能",G534="判定不能"),"判定不能",IF(AP534&gt;=判定条件!$C$9,"利用可",IF(AND(Y534="停止",G534="停止"),"両方停止","運転がそろわない")))</f>
        <v>両方停止</v>
      </c>
      <c r="AR534" s="30" t="n">
        <v>60</v>
      </c>
      <c r="AS534" s="30" t="n">
        <v>0</v>
      </c>
      <c r="AT534" s="30" t="str">
        <f aca="false">IF(OR(AB534="判定不能",J534="判定不能"),"判定不能",IF(AS534&gt;=判定条件!$C$9,"利用可",IF(AND(AB534="停止",J534="停止"),"両方停止","運転がそろわない")))</f>
        <v>両方停止</v>
      </c>
      <c r="AU534" s="30" t="n">
        <v>60</v>
      </c>
      <c r="AV534" s="30" t="n">
        <v>0</v>
      </c>
      <c r="AW534" s="30" t="str">
        <f aca="false">IF(OR(AE534="判定不能",M534="判定不能"),"判定不能",IF(AV534&gt;=判定条件!$C$9,"利用可",IF(AND(AE534="停止",M534="停止"),"両方停止","運転がそろわない")))</f>
        <v>両方停止</v>
      </c>
      <c r="AX534" s="30" t="str">
        <f aca="false">IF(AND(AH534="利用可",AK534="利用可",AN534="利用可"),"利用可","不可")</f>
        <v>不可</v>
      </c>
      <c r="AY534" s="30" t="str">
        <f aca="false">IF(AND(AQ534="利用可",AT534="利用可",AW534="利用可"),"利用可","不可")</f>
        <v>不可</v>
      </c>
    </row>
    <row r="535" customFormat="false" ht="15" hidden="false" customHeight="false" outlineLevel="0" collapsed="false">
      <c r="A535" s="29" t="n">
        <v>46254</v>
      </c>
      <c r="B535" s="30" t="n">
        <v>4</v>
      </c>
      <c r="C535" s="31" t="s">
        <v>61</v>
      </c>
      <c r="D535" s="31" t="s">
        <v>59</v>
      </c>
      <c r="E535" s="30" t="n">
        <v>60</v>
      </c>
      <c r="F535" s="30" t="n">
        <v>0</v>
      </c>
      <c r="G535" s="30" t="str">
        <f aca="false">IF(E535&lt;判定条件!$C$6,"判定不能",IF(F535&gt;=判定条件!$C$7*E535,"運転",IF(F535&lt;=判定条件!$C$8*E535,"停止","断続")))</f>
        <v>停止</v>
      </c>
      <c r="H535" s="30" t="n">
        <v>60</v>
      </c>
      <c r="I535" s="30" t="n">
        <v>0</v>
      </c>
      <c r="J535" s="30" t="str">
        <f aca="false">IF(H535&lt;判定条件!$C$6,"判定不能",IF(I535&gt;=判定条件!$C$7*H535,"運転",IF(I535&lt;=判定条件!$C$8*H535,"停止","断続")))</f>
        <v>停止</v>
      </c>
      <c r="K535" s="30" t="n">
        <v>60</v>
      </c>
      <c r="L535" s="30" t="n">
        <v>0</v>
      </c>
      <c r="M535" s="30" t="str">
        <f aca="false">IF(K535&lt;判定条件!$C$6,"判定不能",IF(L535&gt;=判定条件!$C$7*K535,"運転",IF(L535&lt;=判定条件!$C$8*K535,"停止","断続")))</f>
        <v>停止</v>
      </c>
      <c r="N535" s="30" t="n">
        <v>60</v>
      </c>
      <c r="O535" s="30" t="n">
        <v>0</v>
      </c>
      <c r="P535" s="30" t="str">
        <f aca="false">IF(N535&lt;判定条件!$C$6,"判定不能",IF(O535&gt;=判定条件!$C$7*N535,"運転",IF(O535&lt;=判定条件!$C$8*N535,"停止","断続")))</f>
        <v>停止</v>
      </c>
      <c r="Q535" s="30" t="n">
        <v>0</v>
      </c>
      <c r="R535" s="30" t="n">
        <v>0</v>
      </c>
      <c r="S535" s="30" t="str">
        <f aca="false">IF(Q535&lt;判定条件!$C$6,"判定不能",IF(R535&gt;=判定条件!$C$7*Q535,"運転",IF(R535&lt;=判定条件!$C$8*Q535,"停止","断続")))</f>
        <v>判定不能</v>
      </c>
      <c r="T535" s="30" t="n">
        <v>60</v>
      </c>
      <c r="U535" s="30" t="n">
        <v>0</v>
      </c>
      <c r="V535" s="30" t="str">
        <f aca="false">IF(T535&lt;判定条件!$C$6,"判定不能",IF(U535&gt;=判定条件!$C$7*T535,"運転",IF(U535&lt;=判定条件!$C$8*T535,"停止","断続")))</f>
        <v>停止</v>
      </c>
      <c r="W535" s="30" t="n">
        <v>60</v>
      </c>
      <c r="X535" s="30" t="n">
        <v>0</v>
      </c>
      <c r="Y535" s="30" t="str">
        <f aca="false">IF(W535&lt;判定条件!$C$6,"判定不能",IF(X535&gt;=判定条件!$C$7*W535,"運転",IF(X535&lt;=判定条件!$C$8*W535,"停止","断続")))</f>
        <v>停止</v>
      </c>
      <c r="Z535" s="30" t="n">
        <v>60</v>
      </c>
      <c r="AA535" s="30" t="n">
        <v>0</v>
      </c>
      <c r="AB535" s="30" t="str">
        <f aca="false">IF(Z535&lt;判定条件!$C$6,"判定不能",IF(AA535&gt;=判定条件!$C$7*Z535,"運転",IF(AA535&lt;=判定条件!$C$8*Z535,"停止","断続")))</f>
        <v>停止</v>
      </c>
      <c r="AC535" s="30" t="n">
        <v>60</v>
      </c>
      <c r="AD535" s="30" t="n">
        <v>0</v>
      </c>
      <c r="AE535" s="30" t="str">
        <f aca="false">IF(AC535&lt;判定条件!$C$6,"判定不能",IF(AD535&gt;=判定条件!$C$7*AC535,"運転",IF(AD535&lt;=判定条件!$C$8*AC535,"停止","断続")))</f>
        <v>停止</v>
      </c>
      <c r="AF535" s="30" t="n">
        <v>60</v>
      </c>
      <c r="AG535" s="30" t="n">
        <v>0</v>
      </c>
      <c r="AH535" s="30" t="str">
        <f aca="false">IF(OR(P535="判定不能",G535="判定不能"),"判定不能",IF(AG535&gt;=判定条件!$C$9,"利用可",IF(AND(P535="停止",G535="停止"),"両方停止","運転がそろわない")))</f>
        <v>両方停止</v>
      </c>
      <c r="AI535" s="30" t="n">
        <v>0</v>
      </c>
      <c r="AJ535" s="30" t="n">
        <v>0</v>
      </c>
      <c r="AK535" s="30" t="str">
        <f aca="false">IF(OR(S535="判定不能",J535="判定不能"),"判定不能",IF(AJ535&gt;=判定条件!$C$9,"利用可",IF(AND(S535="停止",J535="停止"),"両方停止","運転がそろわない")))</f>
        <v>判定不能</v>
      </c>
      <c r="AL535" s="30" t="n">
        <v>60</v>
      </c>
      <c r="AM535" s="30" t="n">
        <v>0</v>
      </c>
      <c r="AN535" s="30" t="str">
        <f aca="false">IF(OR(V535="判定不能",M535="判定不能"),"判定不能",IF(AM535&gt;=判定条件!$C$9,"利用可",IF(AND(V535="停止",M535="停止"),"両方停止","運転がそろわない")))</f>
        <v>両方停止</v>
      </c>
      <c r="AO535" s="30" t="n">
        <v>60</v>
      </c>
      <c r="AP535" s="30" t="n">
        <v>0</v>
      </c>
      <c r="AQ535" s="30" t="str">
        <f aca="false">IF(OR(Y535="判定不能",G535="判定不能"),"判定不能",IF(AP535&gt;=判定条件!$C$9,"利用可",IF(AND(Y535="停止",G535="停止"),"両方停止","運転がそろわない")))</f>
        <v>両方停止</v>
      </c>
      <c r="AR535" s="30" t="n">
        <v>60</v>
      </c>
      <c r="AS535" s="30" t="n">
        <v>0</v>
      </c>
      <c r="AT535" s="30" t="str">
        <f aca="false">IF(OR(AB535="判定不能",J535="判定不能"),"判定不能",IF(AS535&gt;=判定条件!$C$9,"利用可",IF(AND(AB535="停止",J535="停止"),"両方停止","運転がそろわない")))</f>
        <v>両方停止</v>
      </c>
      <c r="AU535" s="30" t="n">
        <v>60</v>
      </c>
      <c r="AV535" s="30" t="n">
        <v>0</v>
      </c>
      <c r="AW535" s="30" t="str">
        <f aca="false">IF(OR(AE535="判定不能",M535="判定不能"),"判定不能",IF(AV535&gt;=判定条件!$C$9,"利用可",IF(AND(AE535="停止",M535="停止"),"両方停止","運転がそろわない")))</f>
        <v>両方停止</v>
      </c>
      <c r="AX535" s="30" t="str">
        <f aca="false">IF(AND(AH535="利用可",AK535="利用可",AN535="利用可"),"利用可","不可")</f>
        <v>不可</v>
      </c>
      <c r="AY535" s="30" t="str">
        <f aca="false">IF(AND(AQ535="利用可",AT535="利用可",AW535="利用可"),"利用可","不可")</f>
        <v>不可</v>
      </c>
    </row>
    <row r="536" customFormat="false" ht="15" hidden="false" customHeight="false" outlineLevel="0" collapsed="false">
      <c r="A536" s="29" t="n">
        <v>46254</v>
      </c>
      <c r="B536" s="30" t="n">
        <v>5</v>
      </c>
      <c r="C536" s="31" t="s">
        <v>61</v>
      </c>
      <c r="D536" s="31" t="s">
        <v>59</v>
      </c>
      <c r="E536" s="30" t="n">
        <v>60</v>
      </c>
      <c r="F536" s="30" t="n">
        <v>0</v>
      </c>
      <c r="G536" s="30" t="str">
        <f aca="false">IF(E536&lt;判定条件!$C$6,"判定不能",IF(F536&gt;=判定条件!$C$7*E536,"運転",IF(F536&lt;=判定条件!$C$8*E536,"停止","断続")))</f>
        <v>停止</v>
      </c>
      <c r="H536" s="30" t="n">
        <v>60</v>
      </c>
      <c r="I536" s="30" t="n">
        <v>0</v>
      </c>
      <c r="J536" s="30" t="str">
        <f aca="false">IF(H536&lt;判定条件!$C$6,"判定不能",IF(I536&gt;=判定条件!$C$7*H536,"運転",IF(I536&lt;=判定条件!$C$8*H536,"停止","断続")))</f>
        <v>停止</v>
      </c>
      <c r="K536" s="30" t="n">
        <v>60</v>
      </c>
      <c r="L536" s="30" t="n">
        <v>0</v>
      </c>
      <c r="M536" s="30" t="str">
        <f aca="false">IF(K536&lt;判定条件!$C$6,"判定不能",IF(L536&gt;=判定条件!$C$7*K536,"運転",IF(L536&lt;=判定条件!$C$8*K536,"停止","断続")))</f>
        <v>停止</v>
      </c>
      <c r="N536" s="30" t="n">
        <v>60</v>
      </c>
      <c r="O536" s="30" t="n">
        <v>0</v>
      </c>
      <c r="P536" s="30" t="str">
        <f aca="false">IF(N536&lt;判定条件!$C$6,"判定不能",IF(O536&gt;=判定条件!$C$7*N536,"運転",IF(O536&lt;=判定条件!$C$8*N536,"停止","断続")))</f>
        <v>停止</v>
      </c>
      <c r="Q536" s="30" t="n">
        <v>0</v>
      </c>
      <c r="R536" s="30" t="n">
        <v>0</v>
      </c>
      <c r="S536" s="30" t="str">
        <f aca="false">IF(Q536&lt;判定条件!$C$6,"判定不能",IF(R536&gt;=判定条件!$C$7*Q536,"運転",IF(R536&lt;=判定条件!$C$8*Q536,"停止","断続")))</f>
        <v>判定不能</v>
      </c>
      <c r="T536" s="30" t="n">
        <v>60</v>
      </c>
      <c r="U536" s="30" t="n">
        <v>0</v>
      </c>
      <c r="V536" s="30" t="str">
        <f aca="false">IF(T536&lt;判定条件!$C$6,"判定不能",IF(U536&gt;=判定条件!$C$7*T536,"運転",IF(U536&lt;=判定条件!$C$8*T536,"停止","断続")))</f>
        <v>停止</v>
      </c>
      <c r="W536" s="30" t="n">
        <v>60</v>
      </c>
      <c r="X536" s="30" t="n">
        <v>36</v>
      </c>
      <c r="Y536" s="30" t="str">
        <f aca="false">IF(W536&lt;判定条件!$C$6,"判定不能",IF(X536&gt;=判定条件!$C$7*W536,"運転",IF(X536&lt;=判定条件!$C$8*W536,"停止","断続")))</f>
        <v>断続</v>
      </c>
      <c r="Z536" s="30" t="n">
        <v>60</v>
      </c>
      <c r="AA536" s="30" t="n">
        <v>0</v>
      </c>
      <c r="AB536" s="30" t="str">
        <f aca="false">IF(Z536&lt;判定条件!$C$6,"判定不能",IF(AA536&gt;=判定条件!$C$7*Z536,"運転",IF(AA536&lt;=判定条件!$C$8*Z536,"停止","断続")))</f>
        <v>停止</v>
      </c>
      <c r="AC536" s="30" t="n">
        <v>60</v>
      </c>
      <c r="AD536" s="30" t="n">
        <v>0</v>
      </c>
      <c r="AE536" s="30" t="str">
        <f aca="false">IF(AC536&lt;判定条件!$C$6,"判定不能",IF(AD536&gt;=判定条件!$C$7*AC536,"運転",IF(AD536&lt;=判定条件!$C$8*AC536,"停止","断続")))</f>
        <v>停止</v>
      </c>
      <c r="AF536" s="30" t="n">
        <v>60</v>
      </c>
      <c r="AG536" s="30" t="n">
        <v>0</v>
      </c>
      <c r="AH536" s="30" t="str">
        <f aca="false">IF(OR(P536="判定不能",G536="判定不能"),"判定不能",IF(AG536&gt;=判定条件!$C$9,"利用可",IF(AND(P536="停止",G536="停止"),"両方停止","運転がそろわない")))</f>
        <v>両方停止</v>
      </c>
      <c r="AI536" s="30" t="n">
        <v>0</v>
      </c>
      <c r="AJ536" s="30" t="n">
        <v>0</v>
      </c>
      <c r="AK536" s="30" t="str">
        <f aca="false">IF(OR(S536="判定不能",J536="判定不能"),"判定不能",IF(AJ536&gt;=判定条件!$C$9,"利用可",IF(AND(S536="停止",J536="停止"),"両方停止","運転がそろわない")))</f>
        <v>判定不能</v>
      </c>
      <c r="AL536" s="30" t="n">
        <v>60</v>
      </c>
      <c r="AM536" s="30" t="n">
        <v>0</v>
      </c>
      <c r="AN536" s="30" t="str">
        <f aca="false">IF(OR(V536="判定不能",M536="判定不能"),"判定不能",IF(AM536&gt;=判定条件!$C$9,"利用可",IF(AND(V536="停止",M536="停止"),"両方停止","運転がそろわない")))</f>
        <v>両方停止</v>
      </c>
      <c r="AO536" s="30" t="n">
        <v>60</v>
      </c>
      <c r="AP536" s="30" t="n">
        <v>0</v>
      </c>
      <c r="AQ536" s="30" t="str">
        <f aca="false">IF(OR(Y536="判定不能",G536="判定不能"),"判定不能",IF(AP536&gt;=判定条件!$C$9,"利用可",IF(AND(Y536="停止",G536="停止"),"両方停止","運転がそろわない")))</f>
        <v>運転がそろわない</v>
      </c>
      <c r="AR536" s="30" t="n">
        <v>60</v>
      </c>
      <c r="AS536" s="30" t="n">
        <v>0</v>
      </c>
      <c r="AT536" s="30" t="str">
        <f aca="false">IF(OR(AB536="判定不能",J536="判定不能"),"判定不能",IF(AS536&gt;=判定条件!$C$9,"利用可",IF(AND(AB536="停止",J536="停止"),"両方停止","運転がそろわない")))</f>
        <v>両方停止</v>
      </c>
      <c r="AU536" s="30" t="n">
        <v>60</v>
      </c>
      <c r="AV536" s="30" t="n">
        <v>0</v>
      </c>
      <c r="AW536" s="30" t="str">
        <f aca="false">IF(OR(AE536="判定不能",M536="判定不能"),"判定不能",IF(AV536&gt;=判定条件!$C$9,"利用可",IF(AND(AE536="停止",M536="停止"),"両方停止","運転がそろわない")))</f>
        <v>両方停止</v>
      </c>
      <c r="AX536" s="30" t="str">
        <f aca="false">IF(AND(AH536="利用可",AK536="利用可",AN536="利用可"),"利用可","不可")</f>
        <v>不可</v>
      </c>
      <c r="AY536" s="30" t="str">
        <f aca="false">IF(AND(AQ536="利用可",AT536="利用可",AW536="利用可"),"利用可","不可")</f>
        <v>不可</v>
      </c>
    </row>
    <row r="537" customFormat="false" ht="15" hidden="false" customHeight="false" outlineLevel="0" collapsed="false">
      <c r="A537" s="29" t="n">
        <v>46254</v>
      </c>
      <c r="B537" s="30" t="n">
        <v>6</v>
      </c>
      <c r="C537" s="31" t="s">
        <v>61</v>
      </c>
      <c r="D537" s="31" t="s">
        <v>59</v>
      </c>
      <c r="E537" s="30" t="n">
        <v>60</v>
      </c>
      <c r="F537" s="30" t="n">
        <v>0</v>
      </c>
      <c r="G537" s="30" t="str">
        <f aca="false">IF(E537&lt;判定条件!$C$6,"判定不能",IF(F537&gt;=判定条件!$C$7*E537,"運転",IF(F537&lt;=判定条件!$C$8*E537,"停止","断続")))</f>
        <v>停止</v>
      </c>
      <c r="H537" s="30" t="n">
        <v>60</v>
      </c>
      <c r="I537" s="30" t="n">
        <v>0</v>
      </c>
      <c r="J537" s="30" t="str">
        <f aca="false">IF(H537&lt;判定条件!$C$6,"判定不能",IF(I537&gt;=判定条件!$C$7*H537,"運転",IF(I537&lt;=判定条件!$C$8*H537,"停止","断続")))</f>
        <v>停止</v>
      </c>
      <c r="K537" s="30" t="n">
        <v>60</v>
      </c>
      <c r="L537" s="30" t="n">
        <v>0</v>
      </c>
      <c r="M537" s="30" t="str">
        <f aca="false">IF(K537&lt;判定条件!$C$6,"判定不能",IF(L537&gt;=判定条件!$C$7*K537,"運転",IF(L537&lt;=判定条件!$C$8*K537,"停止","断続")))</f>
        <v>停止</v>
      </c>
      <c r="N537" s="30" t="n">
        <v>60</v>
      </c>
      <c r="O537" s="30" t="n">
        <v>10</v>
      </c>
      <c r="P537" s="30" t="str">
        <f aca="false">IF(N537&lt;判定条件!$C$6,"判定不能",IF(O537&gt;=判定条件!$C$7*N537,"運転",IF(O537&lt;=判定条件!$C$8*N537,"停止","断続")))</f>
        <v>停止</v>
      </c>
      <c r="Q537" s="30" t="n">
        <v>0</v>
      </c>
      <c r="R537" s="30" t="n">
        <v>0</v>
      </c>
      <c r="S537" s="30" t="str">
        <f aca="false">IF(Q537&lt;判定条件!$C$6,"判定不能",IF(R537&gt;=判定条件!$C$7*Q537,"運転",IF(R537&lt;=判定条件!$C$8*Q537,"停止","断続")))</f>
        <v>判定不能</v>
      </c>
      <c r="T537" s="30" t="n">
        <v>60</v>
      </c>
      <c r="U537" s="30" t="n">
        <v>0</v>
      </c>
      <c r="V537" s="30" t="str">
        <f aca="false">IF(T537&lt;判定条件!$C$6,"判定不能",IF(U537&gt;=判定条件!$C$7*T537,"運転",IF(U537&lt;=判定条件!$C$8*T537,"停止","断続")))</f>
        <v>停止</v>
      </c>
      <c r="W537" s="30" t="n">
        <v>60</v>
      </c>
      <c r="X537" s="30" t="n">
        <v>60</v>
      </c>
      <c r="Y537" s="30" t="str">
        <f aca="false">IF(W537&lt;判定条件!$C$6,"判定不能",IF(X537&gt;=判定条件!$C$7*W537,"運転",IF(X537&lt;=判定条件!$C$8*W537,"停止","断続")))</f>
        <v>運転</v>
      </c>
      <c r="Z537" s="30" t="n">
        <v>60</v>
      </c>
      <c r="AA537" s="30" t="n">
        <v>0</v>
      </c>
      <c r="AB537" s="30" t="str">
        <f aca="false">IF(Z537&lt;判定条件!$C$6,"判定不能",IF(AA537&gt;=判定条件!$C$7*Z537,"運転",IF(AA537&lt;=判定条件!$C$8*Z537,"停止","断続")))</f>
        <v>停止</v>
      </c>
      <c r="AC537" s="30" t="n">
        <v>60</v>
      </c>
      <c r="AD537" s="30" t="n">
        <v>31</v>
      </c>
      <c r="AE537" s="30" t="str">
        <f aca="false">IF(AC537&lt;判定条件!$C$6,"判定不能",IF(AD537&gt;=判定条件!$C$7*AC537,"運転",IF(AD537&lt;=判定条件!$C$8*AC537,"停止","断続")))</f>
        <v>断続</v>
      </c>
      <c r="AF537" s="30" t="n">
        <v>60</v>
      </c>
      <c r="AG537" s="30" t="n">
        <v>0</v>
      </c>
      <c r="AH537" s="30" t="str">
        <f aca="false">IF(OR(P537="判定不能",G537="判定不能"),"判定不能",IF(AG537&gt;=判定条件!$C$9,"利用可",IF(AND(P537="停止",G537="停止"),"両方停止","運転がそろわない")))</f>
        <v>両方停止</v>
      </c>
      <c r="AI537" s="30" t="n">
        <v>0</v>
      </c>
      <c r="AJ537" s="30" t="n">
        <v>0</v>
      </c>
      <c r="AK537" s="30" t="str">
        <f aca="false">IF(OR(S537="判定不能",J537="判定不能"),"判定不能",IF(AJ537&gt;=判定条件!$C$9,"利用可",IF(AND(S537="停止",J537="停止"),"両方停止","運転がそろわない")))</f>
        <v>判定不能</v>
      </c>
      <c r="AL537" s="30" t="n">
        <v>60</v>
      </c>
      <c r="AM537" s="30" t="n">
        <v>0</v>
      </c>
      <c r="AN537" s="30" t="str">
        <f aca="false">IF(OR(V537="判定不能",M537="判定不能"),"判定不能",IF(AM537&gt;=判定条件!$C$9,"利用可",IF(AND(V537="停止",M537="停止"),"両方停止","運転がそろわない")))</f>
        <v>両方停止</v>
      </c>
      <c r="AO537" s="30" t="n">
        <v>60</v>
      </c>
      <c r="AP537" s="30" t="n">
        <v>0</v>
      </c>
      <c r="AQ537" s="30" t="str">
        <f aca="false">IF(OR(Y537="判定不能",G537="判定不能"),"判定不能",IF(AP537&gt;=判定条件!$C$9,"利用可",IF(AND(Y537="停止",G537="停止"),"両方停止","運転がそろわない")))</f>
        <v>運転がそろわない</v>
      </c>
      <c r="AR537" s="30" t="n">
        <v>60</v>
      </c>
      <c r="AS537" s="30" t="n">
        <v>0</v>
      </c>
      <c r="AT537" s="30" t="str">
        <f aca="false">IF(OR(AB537="判定不能",J537="判定不能"),"判定不能",IF(AS537&gt;=判定条件!$C$9,"利用可",IF(AND(AB537="停止",J537="停止"),"両方停止","運転がそろわない")))</f>
        <v>両方停止</v>
      </c>
      <c r="AU537" s="30" t="n">
        <v>60</v>
      </c>
      <c r="AV537" s="30" t="n">
        <v>0</v>
      </c>
      <c r="AW537" s="30" t="str">
        <f aca="false">IF(OR(AE537="判定不能",M537="判定不能"),"判定不能",IF(AV537&gt;=判定条件!$C$9,"利用可",IF(AND(AE537="停止",M537="停止"),"両方停止","運転がそろわない")))</f>
        <v>運転がそろわない</v>
      </c>
      <c r="AX537" s="30" t="str">
        <f aca="false">IF(AND(AH537="利用可",AK537="利用可",AN537="利用可"),"利用可","不可")</f>
        <v>不可</v>
      </c>
      <c r="AY537" s="30" t="str">
        <f aca="false">IF(AND(AQ537="利用可",AT537="利用可",AW537="利用可"),"利用可","不可")</f>
        <v>不可</v>
      </c>
    </row>
    <row r="538" customFormat="false" ht="15" hidden="false" customHeight="false" outlineLevel="0" collapsed="false">
      <c r="A538" s="29" t="n">
        <v>46254</v>
      </c>
      <c r="B538" s="30" t="n">
        <v>7</v>
      </c>
      <c r="C538" s="31" t="s">
        <v>61</v>
      </c>
      <c r="D538" s="31" t="s">
        <v>59</v>
      </c>
      <c r="E538" s="30" t="n">
        <v>60</v>
      </c>
      <c r="F538" s="30" t="n">
        <v>0</v>
      </c>
      <c r="G538" s="30" t="str">
        <f aca="false">IF(E538&lt;判定条件!$C$6,"判定不能",IF(F538&gt;=判定条件!$C$7*E538,"運転",IF(F538&lt;=判定条件!$C$8*E538,"停止","断続")))</f>
        <v>停止</v>
      </c>
      <c r="H538" s="30" t="n">
        <v>60</v>
      </c>
      <c r="I538" s="30" t="n">
        <v>0</v>
      </c>
      <c r="J538" s="30" t="str">
        <f aca="false">IF(H538&lt;判定条件!$C$6,"判定不能",IF(I538&gt;=判定条件!$C$7*H538,"運転",IF(I538&lt;=判定条件!$C$8*H538,"停止","断続")))</f>
        <v>停止</v>
      </c>
      <c r="K538" s="30" t="n">
        <v>60</v>
      </c>
      <c r="L538" s="30" t="n">
        <v>1</v>
      </c>
      <c r="M538" s="30" t="str">
        <f aca="false">IF(K538&lt;判定条件!$C$6,"判定不能",IF(L538&gt;=判定条件!$C$7*K538,"運転",IF(L538&lt;=判定条件!$C$8*K538,"停止","断続")))</f>
        <v>停止</v>
      </c>
      <c r="N538" s="30" t="n">
        <v>60</v>
      </c>
      <c r="O538" s="30" t="n">
        <v>60</v>
      </c>
      <c r="P538" s="30" t="str">
        <f aca="false">IF(N538&lt;判定条件!$C$6,"判定不能",IF(O538&gt;=判定条件!$C$7*N538,"運転",IF(O538&lt;=判定条件!$C$8*N538,"停止","断続")))</f>
        <v>運転</v>
      </c>
      <c r="Q538" s="30" t="n">
        <v>0</v>
      </c>
      <c r="R538" s="30" t="n">
        <v>0</v>
      </c>
      <c r="S538" s="30" t="str">
        <f aca="false">IF(Q538&lt;判定条件!$C$6,"判定不能",IF(R538&gt;=判定条件!$C$7*Q538,"運転",IF(R538&lt;=判定条件!$C$8*Q538,"停止","断続")))</f>
        <v>判定不能</v>
      </c>
      <c r="T538" s="30" t="n">
        <v>60</v>
      </c>
      <c r="U538" s="30" t="n">
        <v>30</v>
      </c>
      <c r="V538" s="30" t="str">
        <f aca="false">IF(T538&lt;判定条件!$C$6,"判定不能",IF(U538&gt;=判定条件!$C$7*T538,"運転",IF(U538&lt;=判定条件!$C$8*T538,"停止","断続")))</f>
        <v>断続</v>
      </c>
      <c r="W538" s="30" t="n">
        <v>60</v>
      </c>
      <c r="X538" s="30" t="n">
        <v>60</v>
      </c>
      <c r="Y538" s="30" t="str">
        <f aca="false">IF(W538&lt;判定条件!$C$6,"判定不能",IF(X538&gt;=判定条件!$C$7*W538,"運転",IF(X538&lt;=判定条件!$C$8*W538,"停止","断続")))</f>
        <v>運転</v>
      </c>
      <c r="Z538" s="30" t="n">
        <v>60</v>
      </c>
      <c r="AA538" s="30" t="n">
        <v>56</v>
      </c>
      <c r="AB538" s="30" t="str">
        <f aca="false">IF(Z538&lt;判定条件!$C$6,"判定不能",IF(AA538&gt;=判定条件!$C$7*Z538,"運転",IF(AA538&lt;=判定条件!$C$8*Z538,"停止","断続")))</f>
        <v>運転</v>
      </c>
      <c r="AC538" s="30" t="n">
        <v>60</v>
      </c>
      <c r="AD538" s="30" t="n">
        <v>59</v>
      </c>
      <c r="AE538" s="30" t="str">
        <f aca="false">IF(AC538&lt;判定条件!$C$6,"判定不能",IF(AD538&gt;=判定条件!$C$7*AC538,"運転",IF(AD538&lt;=判定条件!$C$8*AC538,"停止","断続")))</f>
        <v>運転</v>
      </c>
      <c r="AF538" s="30" t="n">
        <v>60</v>
      </c>
      <c r="AG538" s="30" t="n">
        <v>0</v>
      </c>
      <c r="AH538" s="30" t="str">
        <f aca="false">IF(OR(P538="判定不能",G538="判定不能"),"判定不能",IF(AG538&gt;=判定条件!$C$9,"利用可",IF(AND(P538="停止",G538="停止"),"両方停止","運転がそろわない")))</f>
        <v>運転がそろわない</v>
      </c>
      <c r="AI538" s="30" t="n">
        <v>0</v>
      </c>
      <c r="AJ538" s="30" t="n">
        <v>0</v>
      </c>
      <c r="AK538" s="30" t="str">
        <f aca="false">IF(OR(S538="判定不能",J538="判定不能"),"判定不能",IF(AJ538&gt;=判定条件!$C$9,"利用可",IF(AND(S538="停止",J538="停止"),"両方停止","運転がそろわない")))</f>
        <v>判定不能</v>
      </c>
      <c r="AL538" s="30" t="n">
        <v>60</v>
      </c>
      <c r="AM538" s="30" t="n">
        <v>1</v>
      </c>
      <c r="AN538" s="30" t="str">
        <f aca="false">IF(OR(V538="判定不能",M538="判定不能"),"判定不能",IF(AM538&gt;=判定条件!$C$9,"利用可",IF(AND(V538="停止",M538="停止"),"両方停止","運転がそろわない")))</f>
        <v>運転がそろわない</v>
      </c>
      <c r="AO538" s="30" t="n">
        <v>60</v>
      </c>
      <c r="AP538" s="30" t="n">
        <v>0</v>
      </c>
      <c r="AQ538" s="30" t="str">
        <f aca="false">IF(OR(Y538="判定不能",G538="判定不能"),"判定不能",IF(AP538&gt;=判定条件!$C$9,"利用可",IF(AND(Y538="停止",G538="停止"),"両方停止","運転がそろわない")))</f>
        <v>運転がそろわない</v>
      </c>
      <c r="AR538" s="30" t="n">
        <v>60</v>
      </c>
      <c r="AS538" s="30" t="n">
        <v>0</v>
      </c>
      <c r="AT538" s="30" t="str">
        <f aca="false">IF(OR(AB538="判定不能",J538="判定不能"),"判定不能",IF(AS538&gt;=判定条件!$C$9,"利用可",IF(AND(AB538="停止",J538="停止"),"両方停止","運転がそろわない")))</f>
        <v>運転がそろわない</v>
      </c>
      <c r="AU538" s="30" t="n">
        <v>60</v>
      </c>
      <c r="AV538" s="30" t="n">
        <v>1</v>
      </c>
      <c r="AW538" s="30" t="str">
        <f aca="false">IF(OR(AE538="判定不能",M538="判定不能"),"判定不能",IF(AV538&gt;=判定条件!$C$9,"利用可",IF(AND(AE538="停止",M538="停止"),"両方停止","運転がそろわない")))</f>
        <v>運転がそろわない</v>
      </c>
      <c r="AX538" s="30" t="str">
        <f aca="false">IF(AND(AH538="利用可",AK538="利用可",AN538="利用可"),"利用可","不可")</f>
        <v>不可</v>
      </c>
      <c r="AY538" s="30" t="str">
        <f aca="false">IF(AND(AQ538="利用可",AT538="利用可",AW538="利用可"),"利用可","不可")</f>
        <v>不可</v>
      </c>
    </row>
    <row r="539" customFormat="false" ht="15" hidden="false" customHeight="false" outlineLevel="0" collapsed="false">
      <c r="A539" s="29" t="n">
        <v>46254</v>
      </c>
      <c r="B539" s="30" t="n">
        <v>8</v>
      </c>
      <c r="C539" s="31" t="s">
        <v>61</v>
      </c>
      <c r="D539" s="31" t="s">
        <v>59</v>
      </c>
      <c r="E539" s="30" t="n">
        <v>60</v>
      </c>
      <c r="F539" s="30" t="n">
        <v>47</v>
      </c>
      <c r="G539" s="30" t="str">
        <f aca="false">IF(E539&lt;判定条件!$C$6,"判定不能",IF(F539&gt;=判定条件!$C$7*E539,"運転",IF(F539&lt;=判定条件!$C$8*E539,"停止","断続")))</f>
        <v>断続</v>
      </c>
      <c r="H539" s="30" t="n">
        <v>60</v>
      </c>
      <c r="I539" s="30" t="n">
        <v>42</v>
      </c>
      <c r="J539" s="30" t="str">
        <f aca="false">IF(H539&lt;判定条件!$C$6,"判定不能",IF(I539&gt;=判定条件!$C$7*H539,"運転",IF(I539&lt;=判定条件!$C$8*H539,"停止","断続")))</f>
        <v>断続</v>
      </c>
      <c r="K539" s="30" t="n">
        <v>60</v>
      </c>
      <c r="L539" s="30" t="n">
        <v>40</v>
      </c>
      <c r="M539" s="30" t="str">
        <f aca="false">IF(K539&lt;判定条件!$C$6,"判定不能",IF(L539&gt;=判定条件!$C$7*K539,"運転",IF(L539&lt;=判定条件!$C$8*K539,"停止","断続")))</f>
        <v>断続</v>
      </c>
      <c r="N539" s="30" t="n">
        <v>60</v>
      </c>
      <c r="O539" s="30" t="n">
        <v>60</v>
      </c>
      <c r="P539" s="30" t="str">
        <f aca="false">IF(N539&lt;判定条件!$C$6,"判定不能",IF(O539&gt;=判定条件!$C$7*N539,"運転",IF(O539&lt;=判定条件!$C$8*N539,"停止","断続")))</f>
        <v>運転</v>
      </c>
      <c r="Q539" s="30" t="n">
        <v>0</v>
      </c>
      <c r="R539" s="30" t="n">
        <v>0</v>
      </c>
      <c r="S539" s="30" t="str">
        <f aca="false">IF(Q539&lt;判定条件!$C$6,"判定不能",IF(R539&gt;=判定条件!$C$7*Q539,"運転",IF(R539&lt;=判定条件!$C$8*Q539,"停止","断続")))</f>
        <v>判定不能</v>
      </c>
      <c r="T539" s="30" t="n">
        <v>60</v>
      </c>
      <c r="U539" s="30" t="n">
        <v>60</v>
      </c>
      <c r="V539" s="30" t="str">
        <f aca="false">IF(T539&lt;判定条件!$C$6,"判定不能",IF(U539&gt;=判定条件!$C$7*T539,"運転",IF(U539&lt;=判定条件!$C$8*T539,"停止","断続")))</f>
        <v>運転</v>
      </c>
      <c r="W539" s="30" t="n">
        <v>60</v>
      </c>
      <c r="X539" s="30" t="n">
        <v>60</v>
      </c>
      <c r="Y539" s="30" t="str">
        <f aca="false">IF(W539&lt;判定条件!$C$6,"判定不能",IF(X539&gt;=判定条件!$C$7*W539,"運転",IF(X539&lt;=判定条件!$C$8*W539,"停止","断続")))</f>
        <v>運転</v>
      </c>
      <c r="Z539" s="30" t="n">
        <v>60</v>
      </c>
      <c r="AA539" s="30" t="n">
        <v>60</v>
      </c>
      <c r="AB539" s="30" t="str">
        <f aca="false">IF(Z539&lt;判定条件!$C$6,"判定不能",IF(AA539&gt;=判定条件!$C$7*Z539,"運転",IF(AA539&lt;=判定条件!$C$8*Z539,"停止","断続")))</f>
        <v>運転</v>
      </c>
      <c r="AC539" s="30" t="n">
        <v>60</v>
      </c>
      <c r="AD539" s="30" t="n">
        <v>54</v>
      </c>
      <c r="AE539" s="30" t="str">
        <f aca="false">IF(AC539&lt;判定条件!$C$6,"判定不能",IF(AD539&gt;=判定条件!$C$7*AC539,"運転",IF(AD539&lt;=判定条件!$C$8*AC539,"停止","断続")))</f>
        <v>運転</v>
      </c>
      <c r="AF539" s="30" t="n">
        <v>60</v>
      </c>
      <c r="AG539" s="30" t="n">
        <v>47</v>
      </c>
      <c r="AH539" s="30" t="str">
        <f aca="false">IF(OR(P539="判定不能",G539="判定不能"),"判定不能",IF(AG539&gt;=判定条件!$C$9,"利用可",IF(AND(P539="停止",G539="停止"),"両方停止","運転がそろわない")))</f>
        <v>利用可</v>
      </c>
      <c r="AI539" s="30" t="n">
        <v>0</v>
      </c>
      <c r="AJ539" s="30" t="n">
        <v>0</v>
      </c>
      <c r="AK539" s="30" t="str">
        <f aca="false">IF(OR(S539="判定不能",J539="判定不能"),"判定不能",IF(AJ539&gt;=判定条件!$C$9,"利用可",IF(AND(S539="停止",J539="停止"),"両方停止","運転がそろわない")))</f>
        <v>判定不能</v>
      </c>
      <c r="AL539" s="30" t="n">
        <v>60</v>
      </c>
      <c r="AM539" s="30" t="n">
        <v>40</v>
      </c>
      <c r="AN539" s="30" t="str">
        <f aca="false">IF(OR(V539="判定不能",M539="判定不能"),"判定不能",IF(AM539&gt;=判定条件!$C$9,"利用可",IF(AND(V539="停止",M539="停止"),"両方停止","運転がそろわない")))</f>
        <v>利用可</v>
      </c>
      <c r="AO539" s="30" t="n">
        <v>60</v>
      </c>
      <c r="AP539" s="30" t="n">
        <v>47</v>
      </c>
      <c r="AQ539" s="30" t="str">
        <f aca="false">IF(OR(Y539="判定不能",G539="判定不能"),"判定不能",IF(AP539&gt;=判定条件!$C$9,"利用可",IF(AND(Y539="停止",G539="停止"),"両方停止","運転がそろわない")))</f>
        <v>利用可</v>
      </c>
      <c r="AR539" s="30" t="n">
        <v>60</v>
      </c>
      <c r="AS539" s="30" t="n">
        <v>42</v>
      </c>
      <c r="AT539" s="30" t="str">
        <f aca="false">IF(OR(AB539="判定不能",J539="判定不能"),"判定不能",IF(AS539&gt;=判定条件!$C$9,"利用可",IF(AND(AB539="停止",J539="停止"),"両方停止","運転がそろわない")))</f>
        <v>利用可</v>
      </c>
      <c r="AU539" s="30" t="n">
        <v>60</v>
      </c>
      <c r="AV539" s="30" t="n">
        <v>34</v>
      </c>
      <c r="AW539" s="30" t="str">
        <f aca="false">IF(OR(AE539="判定不能",M539="判定不能"),"判定不能",IF(AV539&gt;=判定条件!$C$9,"利用可",IF(AND(AE539="停止",M539="停止"),"両方停止","運転がそろわない")))</f>
        <v>利用可</v>
      </c>
      <c r="AX539" s="30" t="str">
        <f aca="false">IF(AND(AH539="利用可",AK539="利用可",AN539="利用可"),"利用可","不可")</f>
        <v>不可</v>
      </c>
      <c r="AY539" s="30" t="str">
        <f aca="false">IF(AND(AQ539="利用可",AT539="利用可",AW539="利用可"),"利用可","不可")</f>
        <v>利用可</v>
      </c>
    </row>
    <row r="540" customFormat="false" ht="15" hidden="false" customHeight="false" outlineLevel="0" collapsed="false">
      <c r="A540" s="29" t="n">
        <v>46254</v>
      </c>
      <c r="B540" s="30" t="n">
        <v>9</v>
      </c>
      <c r="C540" s="31" t="s">
        <v>61</v>
      </c>
      <c r="D540" s="31" t="s">
        <v>59</v>
      </c>
      <c r="E540" s="30" t="n">
        <v>60</v>
      </c>
      <c r="F540" s="30" t="n">
        <v>60</v>
      </c>
      <c r="G540" s="30" t="str">
        <f aca="false">IF(E540&lt;判定条件!$C$6,"判定不能",IF(F540&gt;=判定条件!$C$7*E540,"運転",IF(F540&lt;=判定条件!$C$8*E540,"停止","断続")))</f>
        <v>運転</v>
      </c>
      <c r="H540" s="30" t="n">
        <v>60</v>
      </c>
      <c r="I540" s="30" t="n">
        <v>60</v>
      </c>
      <c r="J540" s="30" t="str">
        <f aca="false">IF(H540&lt;判定条件!$C$6,"判定不能",IF(I540&gt;=判定条件!$C$7*H540,"運転",IF(I540&lt;=判定条件!$C$8*H540,"停止","断続")))</f>
        <v>運転</v>
      </c>
      <c r="K540" s="30" t="n">
        <v>60</v>
      </c>
      <c r="L540" s="30" t="n">
        <v>60</v>
      </c>
      <c r="M540" s="30" t="str">
        <f aca="false">IF(K540&lt;判定条件!$C$6,"判定不能",IF(L540&gt;=判定条件!$C$7*K540,"運転",IF(L540&lt;=判定条件!$C$8*K540,"停止","断続")))</f>
        <v>運転</v>
      </c>
      <c r="N540" s="30" t="n">
        <v>60</v>
      </c>
      <c r="O540" s="30" t="n">
        <v>60</v>
      </c>
      <c r="P540" s="30" t="str">
        <f aca="false">IF(N540&lt;判定条件!$C$6,"判定不能",IF(O540&gt;=判定条件!$C$7*N540,"運転",IF(O540&lt;=判定条件!$C$8*N540,"停止","断続")))</f>
        <v>運転</v>
      </c>
      <c r="Q540" s="30" t="n">
        <v>0</v>
      </c>
      <c r="R540" s="30" t="n">
        <v>0</v>
      </c>
      <c r="S540" s="30" t="str">
        <f aca="false">IF(Q540&lt;判定条件!$C$6,"判定不能",IF(R540&gt;=判定条件!$C$7*Q540,"運転",IF(R540&lt;=判定条件!$C$8*Q540,"停止","断続")))</f>
        <v>判定不能</v>
      </c>
      <c r="T540" s="30" t="n">
        <v>60</v>
      </c>
      <c r="U540" s="30" t="n">
        <v>60</v>
      </c>
      <c r="V540" s="30" t="str">
        <f aca="false">IF(T540&lt;判定条件!$C$6,"判定不能",IF(U540&gt;=判定条件!$C$7*T540,"運転",IF(U540&lt;=判定条件!$C$8*T540,"停止","断続")))</f>
        <v>運転</v>
      </c>
      <c r="W540" s="30" t="n">
        <v>60</v>
      </c>
      <c r="X540" s="30" t="n">
        <v>60</v>
      </c>
      <c r="Y540" s="30" t="str">
        <f aca="false">IF(W540&lt;判定条件!$C$6,"判定不能",IF(X540&gt;=判定条件!$C$7*W540,"運転",IF(X540&lt;=判定条件!$C$8*W540,"停止","断続")))</f>
        <v>運転</v>
      </c>
      <c r="Z540" s="30" t="n">
        <v>60</v>
      </c>
      <c r="AA540" s="30" t="n">
        <v>60</v>
      </c>
      <c r="AB540" s="30" t="str">
        <f aca="false">IF(Z540&lt;判定条件!$C$6,"判定不能",IF(AA540&gt;=判定条件!$C$7*Z540,"運転",IF(AA540&lt;=判定条件!$C$8*Z540,"停止","断続")))</f>
        <v>運転</v>
      </c>
      <c r="AC540" s="30" t="n">
        <v>60</v>
      </c>
      <c r="AD540" s="30" t="n">
        <v>43</v>
      </c>
      <c r="AE540" s="30" t="str">
        <f aca="false">IF(AC540&lt;判定条件!$C$6,"判定不能",IF(AD540&gt;=判定条件!$C$7*AC540,"運転",IF(AD540&lt;=判定条件!$C$8*AC540,"停止","断続")))</f>
        <v>断続</v>
      </c>
      <c r="AF540" s="30" t="n">
        <v>60</v>
      </c>
      <c r="AG540" s="30" t="n">
        <v>60</v>
      </c>
      <c r="AH540" s="30" t="str">
        <f aca="false">IF(OR(P540="判定不能",G540="判定不能"),"判定不能",IF(AG540&gt;=判定条件!$C$9,"利用可",IF(AND(P540="停止",G540="停止"),"両方停止","運転がそろわない")))</f>
        <v>利用可</v>
      </c>
      <c r="AI540" s="30" t="n">
        <v>0</v>
      </c>
      <c r="AJ540" s="30" t="n">
        <v>0</v>
      </c>
      <c r="AK540" s="30" t="str">
        <f aca="false">IF(OR(S540="判定不能",J540="判定不能"),"判定不能",IF(AJ540&gt;=判定条件!$C$9,"利用可",IF(AND(S540="停止",J540="停止"),"両方停止","運転がそろわない")))</f>
        <v>判定不能</v>
      </c>
      <c r="AL540" s="30" t="n">
        <v>60</v>
      </c>
      <c r="AM540" s="30" t="n">
        <v>60</v>
      </c>
      <c r="AN540" s="30" t="str">
        <f aca="false">IF(OR(V540="判定不能",M540="判定不能"),"判定不能",IF(AM540&gt;=判定条件!$C$9,"利用可",IF(AND(V540="停止",M540="停止"),"両方停止","運転がそろわない")))</f>
        <v>利用可</v>
      </c>
      <c r="AO540" s="30" t="n">
        <v>60</v>
      </c>
      <c r="AP540" s="30" t="n">
        <v>60</v>
      </c>
      <c r="AQ540" s="30" t="str">
        <f aca="false">IF(OR(Y540="判定不能",G540="判定不能"),"判定不能",IF(AP540&gt;=判定条件!$C$9,"利用可",IF(AND(Y540="停止",G540="停止"),"両方停止","運転がそろわない")))</f>
        <v>利用可</v>
      </c>
      <c r="AR540" s="30" t="n">
        <v>60</v>
      </c>
      <c r="AS540" s="30" t="n">
        <v>60</v>
      </c>
      <c r="AT540" s="30" t="str">
        <f aca="false">IF(OR(AB540="判定不能",J540="判定不能"),"判定不能",IF(AS540&gt;=判定条件!$C$9,"利用可",IF(AND(AB540="停止",J540="停止"),"両方停止","運転がそろわない")))</f>
        <v>利用可</v>
      </c>
      <c r="AU540" s="30" t="n">
        <v>60</v>
      </c>
      <c r="AV540" s="30" t="n">
        <v>43</v>
      </c>
      <c r="AW540" s="30" t="str">
        <f aca="false">IF(OR(AE540="判定不能",M540="判定不能"),"判定不能",IF(AV540&gt;=判定条件!$C$9,"利用可",IF(AND(AE540="停止",M540="停止"),"両方停止","運転がそろわない")))</f>
        <v>利用可</v>
      </c>
      <c r="AX540" s="30" t="str">
        <f aca="false">IF(AND(AH540="利用可",AK540="利用可",AN540="利用可"),"利用可","不可")</f>
        <v>不可</v>
      </c>
      <c r="AY540" s="30" t="str">
        <f aca="false">IF(AND(AQ540="利用可",AT540="利用可",AW540="利用可"),"利用可","不可")</f>
        <v>利用可</v>
      </c>
    </row>
    <row r="541" customFormat="false" ht="15" hidden="false" customHeight="false" outlineLevel="0" collapsed="false">
      <c r="A541" s="29" t="n">
        <v>46254</v>
      </c>
      <c r="B541" s="30" t="n">
        <v>10</v>
      </c>
      <c r="C541" s="31" t="s">
        <v>61</v>
      </c>
      <c r="D541" s="31" t="s">
        <v>59</v>
      </c>
      <c r="E541" s="30" t="n">
        <v>60</v>
      </c>
      <c r="F541" s="30" t="n">
        <v>60</v>
      </c>
      <c r="G541" s="30" t="str">
        <f aca="false">IF(E541&lt;判定条件!$C$6,"判定不能",IF(F541&gt;=判定条件!$C$7*E541,"運転",IF(F541&lt;=判定条件!$C$8*E541,"停止","断続")))</f>
        <v>運転</v>
      </c>
      <c r="H541" s="30" t="n">
        <v>60</v>
      </c>
      <c r="I541" s="30" t="n">
        <v>60</v>
      </c>
      <c r="J541" s="30" t="str">
        <f aca="false">IF(H541&lt;判定条件!$C$6,"判定不能",IF(I541&gt;=判定条件!$C$7*H541,"運転",IF(I541&lt;=判定条件!$C$8*H541,"停止","断続")))</f>
        <v>運転</v>
      </c>
      <c r="K541" s="30" t="n">
        <v>60</v>
      </c>
      <c r="L541" s="30" t="n">
        <v>60</v>
      </c>
      <c r="M541" s="30" t="str">
        <f aca="false">IF(K541&lt;判定条件!$C$6,"判定不能",IF(L541&gt;=判定条件!$C$7*K541,"運転",IF(L541&lt;=判定条件!$C$8*K541,"停止","断続")))</f>
        <v>運転</v>
      </c>
      <c r="N541" s="30" t="n">
        <v>60</v>
      </c>
      <c r="O541" s="30" t="n">
        <v>60</v>
      </c>
      <c r="P541" s="30" t="str">
        <f aca="false">IF(N541&lt;判定条件!$C$6,"判定不能",IF(O541&gt;=判定条件!$C$7*N541,"運転",IF(O541&lt;=判定条件!$C$8*N541,"停止","断続")))</f>
        <v>運転</v>
      </c>
      <c r="Q541" s="30" t="n">
        <v>0</v>
      </c>
      <c r="R541" s="30" t="n">
        <v>0</v>
      </c>
      <c r="S541" s="30" t="str">
        <f aca="false">IF(Q541&lt;判定条件!$C$6,"判定不能",IF(R541&gt;=判定条件!$C$7*Q541,"運転",IF(R541&lt;=判定条件!$C$8*Q541,"停止","断続")))</f>
        <v>判定不能</v>
      </c>
      <c r="T541" s="30" t="n">
        <v>60</v>
      </c>
      <c r="U541" s="30" t="n">
        <v>60</v>
      </c>
      <c r="V541" s="30" t="str">
        <f aca="false">IF(T541&lt;判定条件!$C$6,"判定不能",IF(U541&gt;=判定条件!$C$7*T541,"運転",IF(U541&lt;=判定条件!$C$8*T541,"停止","断続")))</f>
        <v>運転</v>
      </c>
      <c r="W541" s="30" t="n">
        <v>60</v>
      </c>
      <c r="X541" s="30" t="n">
        <v>51</v>
      </c>
      <c r="Y541" s="30" t="str">
        <f aca="false">IF(W541&lt;判定条件!$C$6,"判定不能",IF(X541&gt;=判定条件!$C$7*W541,"運転",IF(X541&lt;=判定条件!$C$8*W541,"停止","断続")))</f>
        <v>運転</v>
      </c>
      <c r="Z541" s="30" t="n">
        <v>60</v>
      </c>
      <c r="AA541" s="30" t="n">
        <v>60</v>
      </c>
      <c r="AB541" s="30" t="str">
        <f aca="false">IF(Z541&lt;判定条件!$C$6,"判定不能",IF(AA541&gt;=判定条件!$C$7*Z541,"運転",IF(AA541&lt;=判定条件!$C$8*Z541,"停止","断続")))</f>
        <v>運転</v>
      </c>
      <c r="AC541" s="30" t="n">
        <v>60</v>
      </c>
      <c r="AD541" s="30" t="n">
        <v>60</v>
      </c>
      <c r="AE541" s="30" t="str">
        <f aca="false">IF(AC541&lt;判定条件!$C$6,"判定不能",IF(AD541&gt;=判定条件!$C$7*AC541,"運転",IF(AD541&lt;=判定条件!$C$8*AC541,"停止","断続")))</f>
        <v>運転</v>
      </c>
      <c r="AF541" s="30" t="n">
        <v>60</v>
      </c>
      <c r="AG541" s="30" t="n">
        <v>60</v>
      </c>
      <c r="AH541" s="30" t="str">
        <f aca="false">IF(OR(P541="判定不能",G541="判定不能"),"判定不能",IF(AG541&gt;=判定条件!$C$9,"利用可",IF(AND(P541="停止",G541="停止"),"両方停止","運転がそろわない")))</f>
        <v>利用可</v>
      </c>
      <c r="AI541" s="30" t="n">
        <v>0</v>
      </c>
      <c r="AJ541" s="30" t="n">
        <v>0</v>
      </c>
      <c r="AK541" s="30" t="str">
        <f aca="false">IF(OR(S541="判定不能",J541="判定不能"),"判定不能",IF(AJ541&gt;=判定条件!$C$9,"利用可",IF(AND(S541="停止",J541="停止"),"両方停止","運転がそろわない")))</f>
        <v>判定不能</v>
      </c>
      <c r="AL541" s="30" t="n">
        <v>60</v>
      </c>
      <c r="AM541" s="30" t="n">
        <v>60</v>
      </c>
      <c r="AN541" s="30" t="str">
        <f aca="false">IF(OR(V541="判定不能",M541="判定不能"),"判定不能",IF(AM541&gt;=判定条件!$C$9,"利用可",IF(AND(V541="停止",M541="停止"),"両方停止","運転がそろわない")))</f>
        <v>利用可</v>
      </c>
      <c r="AO541" s="30" t="n">
        <v>60</v>
      </c>
      <c r="AP541" s="30" t="n">
        <v>51</v>
      </c>
      <c r="AQ541" s="30" t="str">
        <f aca="false">IF(OR(Y541="判定不能",G541="判定不能"),"判定不能",IF(AP541&gt;=判定条件!$C$9,"利用可",IF(AND(Y541="停止",G541="停止"),"両方停止","運転がそろわない")))</f>
        <v>利用可</v>
      </c>
      <c r="AR541" s="30" t="n">
        <v>60</v>
      </c>
      <c r="AS541" s="30" t="n">
        <v>60</v>
      </c>
      <c r="AT541" s="30" t="str">
        <f aca="false">IF(OR(AB541="判定不能",J541="判定不能"),"判定不能",IF(AS541&gt;=判定条件!$C$9,"利用可",IF(AND(AB541="停止",J541="停止"),"両方停止","運転がそろわない")))</f>
        <v>利用可</v>
      </c>
      <c r="AU541" s="30" t="n">
        <v>60</v>
      </c>
      <c r="AV541" s="30" t="n">
        <v>60</v>
      </c>
      <c r="AW541" s="30" t="str">
        <f aca="false">IF(OR(AE541="判定不能",M541="判定不能"),"判定不能",IF(AV541&gt;=判定条件!$C$9,"利用可",IF(AND(AE541="停止",M541="停止"),"両方停止","運転がそろわない")))</f>
        <v>利用可</v>
      </c>
      <c r="AX541" s="30" t="str">
        <f aca="false">IF(AND(AH541="利用可",AK541="利用可",AN541="利用可"),"利用可","不可")</f>
        <v>不可</v>
      </c>
      <c r="AY541" s="30" t="str">
        <f aca="false">IF(AND(AQ541="利用可",AT541="利用可",AW541="利用可"),"利用可","不可")</f>
        <v>利用可</v>
      </c>
    </row>
    <row r="542" customFormat="false" ht="15" hidden="false" customHeight="false" outlineLevel="0" collapsed="false">
      <c r="A542" s="29" t="n">
        <v>46254</v>
      </c>
      <c r="B542" s="30" t="n">
        <v>11</v>
      </c>
      <c r="C542" s="31" t="s">
        <v>61</v>
      </c>
      <c r="D542" s="31" t="s">
        <v>59</v>
      </c>
      <c r="E542" s="30" t="n">
        <v>60</v>
      </c>
      <c r="F542" s="30" t="n">
        <v>60</v>
      </c>
      <c r="G542" s="30" t="str">
        <f aca="false">IF(E542&lt;判定条件!$C$6,"判定不能",IF(F542&gt;=判定条件!$C$7*E542,"運転",IF(F542&lt;=判定条件!$C$8*E542,"停止","断続")))</f>
        <v>運転</v>
      </c>
      <c r="H542" s="30" t="n">
        <v>60</v>
      </c>
      <c r="I542" s="30" t="n">
        <v>60</v>
      </c>
      <c r="J542" s="30" t="str">
        <f aca="false">IF(H542&lt;判定条件!$C$6,"判定不能",IF(I542&gt;=判定条件!$C$7*H542,"運転",IF(I542&lt;=判定条件!$C$8*H542,"停止","断続")))</f>
        <v>運転</v>
      </c>
      <c r="K542" s="30" t="n">
        <v>60</v>
      </c>
      <c r="L542" s="30" t="n">
        <v>60</v>
      </c>
      <c r="M542" s="30" t="str">
        <f aca="false">IF(K542&lt;判定条件!$C$6,"判定不能",IF(L542&gt;=判定条件!$C$7*K542,"運転",IF(L542&lt;=判定条件!$C$8*K542,"停止","断続")))</f>
        <v>運転</v>
      </c>
      <c r="N542" s="30" t="n">
        <v>60</v>
      </c>
      <c r="O542" s="30" t="n">
        <v>60</v>
      </c>
      <c r="P542" s="30" t="str">
        <f aca="false">IF(N542&lt;判定条件!$C$6,"判定不能",IF(O542&gt;=判定条件!$C$7*N542,"運転",IF(O542&lt;=判定条件!$C$8*N542,"停止","断続")))</f>
        <v>運転</v>
      </c>
      <c r="Q542" s="30" t="n">
        <v>0</v>
      </c>
      <c r="R542" s="30" t="n">
        <v>0</v>
      </c>
      <c r="S542" s="30" t="str">
        <f aca="false">IF(Q542&lt;判定条件!$C$6,"判定不能",IF(R542&gt;=判定条件!$C$7*Q542,"運転",IF(R542&lt;=判定条件!$C$8*Q542,"停止","断続")))</f>
        <v>判定不能</v>
      </c>
      <c r="T542" s="30" t="n">
        <v>60</v>
      </c>
      <c r="U542" s="30" t="n">
        <v>60</v>
      </c>
      <c r="V542" s="30" t="str">
        <f aca="false">IF(T542&lt;判定条件!$C$6,"判定不能",IF(U542&gt;=判定条件!$C$7*T542,"運転",IF(U542&lt;=判定条件!$C$8*T542,"停止","断続")))</f>
        <v>運転</v>
      </c>
      <c r="W542" s="30" t="n">
        <v>60</v>
      </c>
      <c r="X542" s="30" t="n">
        <v>60</v>
      </c>
      <c r="Y542" s="30" t="str">
        <f aca="false">IF(W542&lt;判定条件!$C$6,"判定不能",IF(X542&gt;=判定条件!$C$7*W542,"運転",IF(X542&lt;=判定条件!$C$8*W542,"停止","断続")))</f>
        <v>運転</v>
      </c>
      <c r="Z542" s="30" t="n">
        <v>60</v>
      </c>
      <c r="AA542" s="30" t="n">
        <v>60</v>
      </c>
      <c r="AB542" s="30" t="str">
        <f aca="false">IF(Z542&lt;判定条件!$C$6,"判定不能",IF(AA542&gt;=判定条件!$C$7*Z542,"運転",IF(AA542&lt;=判定条件!$C$8*Z542,"停止","断続")))</f>
        <v>運転</v>
      </c>
      <c r="AC542" s="30" t="n">
        <v>60</v>
      </c>
      <c r="AD542" s="30" t="n">
        <v>60</v>
      </c>
      <c r="AE542" s="30" t="str">
        <f aca="false">IF(AC542&lt;判定条件!$C$6,"判定不能",IF(AD542&gt;=判定条件!$C$7*AC542,"運転",IF(AD542&lt;=判定条件!$C$8*AC542,"停止","断続")))</f>
        <v>運転</v>
      </c>
      <c r="AF542" s="30" t="n">
        <v>60</v>
      </c>
      <c r="AG542" s="30" t="n">
        <v>60</v>
      </c>
      <c r="AH542" s="30" t="str">
        <f aca="false">IF(OR(P542="判定不能",G542="判定不能"),"判定不能",IF(AG542&gt;=判定条件!$C$9,"利用可",IF(AND(P542="停止",G542="停止"),"両方停止","運転がそろわない")))</f>
        <v>利用可</v>
      </c>
      <c r="AI542" s="30" t="n">
        <v>0</v>
      </c>
      <c r="AJ542" s="30" t="n">
        <v>0</v>
      </c>
      <c r="AK542" s="30" t="str">
        <f aca="false">IF(OR(S542="判定不能",J542="判定不能"),"判定不能",IF(AJ542&gt;=判定条件!$C$9,"利用可",IF(AND(S542="停止",J542="停止"),"両方停止","運転がそろわない")))</f>
        <v>判定不能</v>
      </c>
      <c r="AL542" s="30" t="n">
        <v>60</v>
      </c>
      <c r="AM542" s="30" t="n">
        <v>60</v>
      </c>
      <c r="AN542" s="30" t="str">
        <f aca="false">IF(OR(V542="判定不能",M542="判定不能"),"判定不能",IF(AM542&gt;=判定条件!$C$9,"利用可",IF(AND(V542="停止",M542="停止"),"両方停止","運転がそろわない")))</f>
        <v>利用可</v>
      </c>
      <c r="AO542" s="30" t="n">
        <v>60</v>
      </c>
      <c r="AP542" s="30" t="n">
        <v>60</v>
      </c>
      <c r="AQ542" s="30" t="str">
        <f aca="false">IF(OR(Y542="判定不能",G542="判定不能"),"判定不能",IF(AP542&gt;=判定条件!$C$9,"利用可",IF(AND(Y542="停止",G542="停止"),"両方停止","運転がそろわない")))</f>
        <v>利用可</v>
      </c>
      <c r="AR542" s="30" t="n">
        <v>60</v>
      </c>
      <c r="AS542" s="30" t="n">
        <v>60</v>
      </c>
      <c r="AT542" s="30" t="str">
        <f aca="false">IF(OR(AB542="判定不能",J542="判定不能"),"判定不能",IF(AS542&gt;=判定条件!$C$9,"利用可",IF(AND(AB542="停止",J542="停止"),"両方停止","運転がそろわない")))</f>
        <v>利用可</v>
      </c>
      <c r="AU542" s="30" t="n">
        <v>60</v>
      </c>
      <c r="AV542" s="30" t="n">
        <v>60</v>
      </c>
      <c r="AW542" s="30" t="str">
        <f aca="false">IF(OR(AE542="判定不能",M542="判定不能"),"判定不能",IF(AV542&gt;=判定条件!$C$9,"利用可",IF(AND(AE542="停止",M542="停止"),"両方停止","運転がそろわない")))</f>
        <v>利用可</v>
      </c>
      <c r="AX542" s="30" t="str">
        <f aca="false">IF(AND(AH542="利用可",AK542="利用可",AN542="利用可"),"利用可","不可")</f>
        <v>不可</v>
      </c>
      <c r="AY542" s="30" t="str">
        <f aca="false">IF(AND(AQ542="利用可",AT542="利用可",AW542="利用可"),"利用可","不可")</f>
        <v>利用可</v>
      </c>
    </row>
    <row r="543" customFormat="false" ht="15" hidden="false" customHeight="false" outlineLevel="0" collapsed="false">
      <c r="A543" s="29" t="n">
        <v>46254</v>
      </c>
      <c r="B543" s="30" t="n">
        <v>12</v>
      </c>
      <c r="C543" s="31" t="s">
        <v>61</v>
      </c>
      <c r="D543" s="31" t="s">
        <v>59</v>
      </c>
      <c r="E543" s="30" t="n">
        <v>60</v>
      </c>
      <c r="F543" s="30" t="n">
        <v>60</v>
      </c>
      <c r="G543" s="30" t="str">
        <f aca="false">IF(E543&lt;判定条件!$C$6,"判定不能",IF(F543&gt;=判定条件!$C$7*E543,"運転",IF(F543&lt;=判定条件!$C$8*E543,"停止","断続")))</f>
        <v>運転</v>
      </c>
      <c r="H543" s="30" t="n">
        <v>60</v>
      </c>
      <c r="I543" s="30" t="n">
        <v>60</v>
      </c>
      <c r="J543" s="30" t="str">
        <f aca="false">IF(H543&lt;判定条件!$C$6,"判定不能",IF(I543&gt;=判定条件!$C$7*H543,"運転",IF(I543&lt;=判定条件!$C$8*H543,"停止","断続")))</f>
        <v>運転</v>
      </c>
      <c r="K543" s="30" t="n">
        <v>60</v>
      </c>
      <c r="L543" s="30" t="n">
        <v>60</v>
      </c>
      <c r="M543" s="30" t="str">
        <f aca="false">IF(K543&lt;判定条件!$C$6,"判定不能",IF(L543&gt;=判定条件!$C$7*K543,"運転",IF(L543&lt;=判定条件!$C$8*K543,"停止","断続")))</f>
        <v>運転</v>
      </c>
      <c r="N543" s="30" t="n">
        <v>60</v>
      </c>
      <c r="O543" s="30" t="n">
        <v>60</v>
      </c>
      <c r="P543" s="30" t="str">
        <f aca="false">IF(N543&lt;判定条件!$C$6,"判定不能",IF(O543&gt;=判定条件!$C$7*N543,"運転",IF(O543&lt;=判定条件!$C$8*N543,"停止","断続")))</f>
        <v>運転</v>
      </c>
      <c r="Q543" s="30" t="n">
        <v>0</v>
      </c>
      <c r="R543" s="30" t="n">
        <v>0</v>
      </c>
      <c r="S543" s="30" t="str">
        <f aca="false">IF(Q543&lt;判定条件!$C$6,"判定不能",IF(R543&gt;=判定条件!$C$7*Q543,"運転",IF(R543&lt;=判定条件!$C$8*Q543,"停止","断続")))</f>
        <v>判定不能</v>
      </c>
      <c r="T543" s="30" t="n">
        <v>60</v>
      </c>
      <c r="U543" s="30" t="n">
        <v>60</v>
      </c>
      <c r="V543" s="30" t="str">
        <f aca="false">IF(T543&lt;判定条件!$C$6,"判定不能",IF(U543&gt;=判定条件!$C$7*T543,"運転",IF(U543&lt;=判定条件!$C$8*T543,"停止","断続")))</f>
        <v>運転</v>
      </c>
      <c r="W543" s="30" t="n">
        <v>60</v>
      </c>
      <c r="X543" s="30" t="n">
        <v>60</v>
      </c>
      <c r="Y543" s="30" t="str">
        <f aca="false">IF(W543&lt;判定条件!$C$6,"判定不能",IF(X543&gt;=判定条件!$C$7*W543,"運転",IF(X543&lt;=判定条件!$C$8*W543,"停止","断続")))</f>
        <v>運転</v>
      </c>
      <c r="Z543" s="30" t="n">
        <v>60</v>
      </c>
      <c r="AA543" s="30" t="n">
        <v>60</v>
      </c>
      <c r="AB543" s="30" t="str">
        <f aca="false">IF(Z543&lt;判定条件!$C$6,"判定不能",IF(AA543&gt;=判定条件!$C$7*Z543,"運転",IF(AA543&lt;=判定条件!$C$8*Z543,"停止","断続")))</f>
        <v>運転</v>
      </c>
      <c r="AC543" s="30" t="n">
        <v>60</v>
      </c>
      <c r="AD543" s="30" t="n">
        <v>56</v>
      </c>
      <c r="AE543" s="30" t="str">
        <f aca="false">IF(AC543&lt;判定条件!$C$6,"判定不能",IF(AD543&gt;=判定条件!$C$7*AC543,"運転",IF(AD543&lt;=判定条件!$C$8*AC543,"停止","断続")))</f>
        <v>運転</v>
      </c>
      <c r="AF543" s="30" t="n">
        <v>60</v>
      </c>
      <c r="AG543" s="30" t="n">
        <v>60</v>
      </c>
      <c r="AH543" s="30" t="str">
        <f aca="false">IF(OR(P543="判定不能",G543="判定不能"),"判定不能",IF(AG543&gt;=判定条件!$C$9,"利用可",IF(AND(P543="停止",G543="停止"),"両方停止","運転がそろわない")))</f>
        <v>利用可</v>
      </c>
      <c r="AI543" s="30" t="n">
        <v>0</v>
      </c>
      <c r="AJ543" s="30" t="n">
        <v>0</v>
      </c>
      <c r="AK543" s="30" t="str">
        <f aca="false">IF(OR(S543="判定不能",J543="判定不能"),"判定不能",IF(AJ543&gt;=判定条件!$C$9,"利用可",IF(AND(S543="停止",J543="停止"),"両方停止","運転がそろわない")))</f>
        <v>判定不能</v>
      </c>
      <c r="AL543" s="30" t="n">
        <v>60</v>
      </c>
      <c r="AM543" s="30" t="n">
        <v>60</v>
      </c>
      <c r="AN543" s="30" t="str">
        <f aca="false">IF(OR(V543="判定不能",M543="判定不能"),"判定不能",IF(AM543&gt;=判定条件!$C$9,"利用可",IF(AND(V543="停止",M543="停止"),"両方停止","運転がそろわない")))</f>
        <v>利用可</v>
      </c>
      <c r="AO543" s="30" t="n">
        <v>60</v>
      </c>
      <c r="AP543" s="30" t="n">
        <v>60</v>
      </c>
      <c r="AQ543" s="30" t="str">
        <f aca="false">IF(OR(Y543="判定不能",G543="判定不能"),"判定不能",IF(AP543&gt;=判定条件!$C$9,"利用可",IF(AND(Y543="停止",G543="停止"),"両方停止","運転がそろわない")))</f>
        <v>利用可</v>
      </c>
      <c r="AR543" s="30" t="n">
        <v>60</v>
      </c>
      <c r="AS543" s="30" t="n">
        <v>60</v>
      </c>
      <c r="AT543" s="30" t="str">
        <f aca="false">IF(OR(AB543="判定不能",J543="判定不能"),"判定不能",IF(AS543&gt;=判定条件!$C$9,"利用可",IF(AND(AB543="停止",J543="停止"),"両方停止","運転がそろわない")))</f>
        <v>利用可</v>
      </c>
      <c r="AU543" s="30" t="n">
        <v>60</v>
      </c>
      <c r="AV543" s="30" t="n">
        <v>56</v>
      </c>
      <c r="AW543" s="30" t="str">
        <f aca="false">IF(OR(AE543="判定不能",M543="判定不能"),"判定不能",IF(AV543&gt;=判定条件!$C$9,"利用可",IF(AND(AE543="停止",M543="停止"),"両方停止","運転がそろわない")))</f>
        <v>利用可</v>
      </c>
      <c r="AX543" s="30" t="str">
        <f aca="false">IF(AND(AH543="利用可",AK543="利用可",AN543="利用可"),"利用可","不可")</f>
        <v>不可</v>
      </c>
      <c r="AY543" s="30" t="str">
        <f aca="false">IF(AND(AQ543="利用可",AT543="利用可",AW543="利用可"),"利用可","不可")</f>
        <v>利用可</v>
      </c>
    </row>
    <row r="544" customFormat="false" ht="15" hidden="false" customHeight="false" outlineLevel="0" collapsed="false">
      <c r="A544" s="29" t="n">
        <v>46254</v>
      </c>
      <c r="B544" s="30" t="n">
        <v>13</v>
      </c>
      <c r="C544" s="31" t="s">
        <v>61</v>
      </c>
      <c r="D544" s="31" t="s">
        <v>59</v>
      </c>
      <c r="E544" s="30" t="n">
        <v>60</v>
      </c>
      <c r="F544" s="30" t="n">
        <v>60</v>
      </c>
      <c r="G544" s="30" t="str">
        <f aca="false">IF(E544&lt;判定条件!$C$6,"判定不能",IF(F544&gt;=判定条件!$C$7*E544,"運転",IF(F544&lt;=判定条件!$C$8*E544,"停止","断続")))</f>
        <v>運転</v>
      </c>
      <c r="H544" s="30" t="n">
        <v>60</v>
      </c>
      <c r="I544" s="30" t="n">
        <v>60</v>
      </c>
      <c r="J544" s="30" t="str">
        <f aca="false">IF(H544&lt;判定条件!$C$6,"判定不能",IF(I544&gt;=判定条件!$C$7*H544,"運転",IF(I544&lt;=判定条件!$C$8*H544,"停止","断続")))</f>
        <v>運転</v>
      </c>
      <c r="K544" s="30" t="n">
        <v>60</v>
      </c>
      <c r="L544" s="30" t="n">
        <v>60</v>
      </c>
      <c r="M544" s="30" t="str">
        <f aca="false">IF(K544&lt;判定条件!$C$6,"判定不能",IF(L544&gt;=判定条件!$C$7*K544,"運転",IF(L544&lt;=判定条件!$C$8*K544,"停止","断続")))</f>
        <v>運転</v>
      </c>
      <c r="N544" s="30" t="n">
        <v>60</v>
      </c>
      <c r="O544" s="30" t="n">
        <v>60</v>
      </c>
      <c r="P544" s="30" t="str">
        <f aca="false">IF(N544&lt;判定条件!$C$6,"判定不能",IF(O544&gt;=判定条件!$C$7*N544,"運転",IF(O544&lt;=判定条件!$C$8*N544,"停止","断続")))</f>
        <v>運転</v>
      </c>
      <c r="Q544" s="30" t="n">
        <v>0</v>
      </c>
      <c r="R544" s="30" t="n">
        <v>0</v>
      </c>
      <c r="S544" s="30" t="str">
        <f aca="false">IF(Q544&lt;判定条件!$C$6,"判定不能",IF(R544&gt;=判定条件!$C$7*Q544,"運転",IF(R544&lt;=判定条件!$C$8*Q544,"停止","断続")))</f>
        <v>判定不能</v>
      </c>
      <c r="T544" s="30" t="n">
        <v>60</v>
      </c>
      <c r="U544" s="30" t="n">
        <v>60</v>
      </c>
      <c r="V544" s="30" t="str">
        <f aca="false">IF(T544&lt;判定条件!$C$6,"判定不能",IF(U544&gt;=判定条件!$C$7*T544,"運転",IF(U544&lt;=判定条件!$C$8*T544,"停止","断続")))</f>
        <v>運転</v>
      </c>
      <c r="W544" s="30" t="n">
        <v>60</v>
      </c>
      <c r="X544" s="30" t="n">
        <v>60</v>
      </c>
      <c r="Y544" s="30" t="str">
        <f aca="false">IF(W544&lt;判定条件!$C$6,"判定不能",IF(X544&gt;=判定条件!$C$7*W544,"運転",IF(X544&lt;=判定条件!$C$8*W544,"停止","断続")))</f>
        <v>運転</v>
      </c>
      <c r="Z544" s="30" t="n">
        <v>60</v>
      </c>
      <c r="AA544" s="30" t="n">
        <v>60</v>
      </c>
      <c r="AB544" s="30" t="str">
        <f aca="false">IF(Z544&lt;判定条件!$C$6,"判定不能",IF(AA544&gt;=判定条件!$C$7*Z544,"運転",IF(AA544&lt;=判定条件!$C$8*Z544,"停止","断続")))</f>
        <v>運転</v>
      </c>
      <c r="AC544" s="30" t="n">
        <v>60</v>
      </c>
      <c r="AD544" s="30" t="n">
        <v>60</v>
      </c>
      <c r="AE544" s="30" t="str">
        <f aca="false">IF(AC544&lt;判定条件!$C$6,"判定不能",IF(AD544&gt;=判定条件!$C$7*AC544,"運転",IF(AD544&lt;=判定条件!$C$8*AC544,"停止","断続")))</f>
        <v>運転</v>
      </c>
      <c r="AF544" s="30" t="n">
        <v>60</v>
      </c>
      <c r="AG544" s="30" t="n">
        <v>60</v>
      </c>
      <c r="AH544" s="30" t="str">
        <f aca="false">IF(OR(P544="判定不能",G544="判定不能"),"判定不能",IF(AG544&gt;=判定条件!$C$9,"利用可",IF(AND(P544="停止",G544="停止"),"両方停止","運転がそろわない")))</f>
        <v>利用可</v>
      </c>
      <c r="AI544" s="30" t="n">
        <v>0</v>
      </c>
      <c r="AJ544" s="30" t="n">
        <v>0</v>
      </c>
      <c r="AK544" s="30" t="str">
        <f aca="false">IF(OR(S544="判定不能",J544="判定不能"),"判定不能",IF(AJ544&gt;=判定条件!$C$9,"利用可",IF(AND(S544="停止",J544="停止"),"両方停止","運転がそろわない")))</f>
        <v>判定不能</v>
      </c>
      <c r="AL544" s="30" t="n">
        <v>60</v>
      </c>
      <c r="AM544" s="30" t="n">
        <v>60</v>
      </c>
      <c r="AN544" s="30" t="str">
        <f aca="false">IF(OR(V544="判定不能",M544="判定不能"),"判定不能",IF(AM544&gt;=判定条件!$C$9,"利用可",IF(AND(V544="停止",M544="停止"),"両方停止","運転がそろわない")))</f>
        <v>利用可</v>
      </c>
      <c r="AO544" s="30" t="n">
        <v>60</v>
      </c>
      <c r="AP544" s="30" t="n">
        <v>60</v>
      </c>
      <c r="AQ544" s="30" t="str">
        <f aca="false">IF(OR(Y544="判定不能",G544="判定不能"),"判定不能",IF(AP544&gt;=判定条件!$C$9,"利用可",IF(AND(Y544="停止",G544="停止"),"両方停止","運転がそろわない")))</f>
        <v>利用可</v>
      </c>
      <c r="AR544" s="30" t="n">
        <v>60</v>
      </c>
      <c r="AS544" s="30" t="n">
        <v>60</v>
      </c>
      <c r="AT544" s="30" t="str">
        <f aca="false">IF(OR(AB544="判定不能",J544="判定不能"),"判定不能",IF(AS544&gt;=判定条件!$C$9,"利用可",IF(AND(AB544="停止",J544="停止"),"両方停止","運転がそろわない")))</f>
        <v>利用可</v>
      </c>
      <c r="AU544" s="30" t="n">
        <v>60</v>
      </c>
      <c r="AV544" s="30" t="n">
        <v>60</v>
      </c>
      <c r="AW544" s="30" t="str">
        <f aca="false">IF(OR(AE544="判定不能",M544="判定不能"),"判定不能",IF(AV544&gt;=判定条件!$C$9,"利用可",IF(AND(AE544="停止",M544="停止"),"両方停止","運転がそろわない")))</f>
        <v>利用可</v>
      </c>
      <c r="AX544" s="30" t="str">
        <f aca="false">IF(AND(AH544="利用可",AK544="利用可",AN544="利用可"),"利用可","不可")</f>
        <v>不可</v>
      </c>
      <c r="AY544" s="30" t="str">
        <f aca="false">IF(AND(AQ544="利用可",AT544="利用可",AW544="利用可"),"利用可","不可")</f>
        <v>利用可</v>
      </c>
    </row>
    <row r="545" customFormat="false" ht="15" hidden="false" customHeight="false" outlineLevel="0" collapsed="false">
      <c r="A545" s="29" t="n">
        <v>46254</v>
      </c>
      <c r="B545" s="30" t="n">
        <v>14</v>
      </c>
      <c r="C545" s="31" t="s">
        <v>61</v>
      </c>
      <c r="D545" s="31" t="s">
        <v>59</v>
      </c>
      <c r="E545" s="30" t="n">
        <v>60</v>
      </c>
      <c r="F545" s="30" t="n">
        <v>60</v>
      </c>
      <c r="G545" s="30" t="str">
        <f aca="false">IF(E545&lt;判定条件!$C$6,"判定不能",IF(F545&gt;=判定条件!$C$7*E545,"運転",IF(F545&lt;=判定条件!$C$8*E545,"停止","断続")))</f>
        <v>運転</v>
      </c>
      <c r="H545" s="30" t="n">
        <v>60</v>
      </c>
      <c r="I545" s="30" t="n">
        <v>60</v>
      </c>
      <c r="J545" s="30" t="str">
        <f aca="false">IF(H545&lt;判定条件!$C$6,"判定不能",IF(I545&gt;=判定条件!$C$7*H545,"運転",IF(I545&lt;=判定条件!$C$8*H545,"停止","断続")))</f>
        <v>運転</v>
      </c>
      <c r="K545" s="30" t="n">
        <v>60</v>
      </c>
      <c r="L545" s="30" t="n">
        <v>60</v>
      </c>
      <c r="M545" s="30" t="str">
        <f aca="false">IF(K545&lt;判定条件!$C$6,"判定不能",IF(L545&gt;=判定条件!$C$7*K545,"運転",IF(L545&lt;=判定条件!$C$8*K545,"停止","断続")))</f>
        <v>運転</v>
      </c>
      <c r="N545" s="30" t="n">
        <v>60</v>
      </c>
      <c r="O545" s="30" t="n">
        <v>60</v>
      </c>
      <c r="P545" s="30" t="str">
        <f aca="false">IF(N545&lt;判定条件!$C$6,"判定不能",IF(O545&gt;=判定条件!$C$7*N545,"運転",IF(O545&lt;=判定条件!$C$8*N545,"停止","断続")))</f>
        <v>運転</v>
      </c>
      <c r="Q545" s="30" t="n">
        <v>0</v>
      </c>
      <c r="R545" s="30" t="n">
        <v>0</v>
      </c>
      <c r="S545" s="30" t="str">
        <f aca="false">IF(Q545&lt;判定条件!$C$6,"判定不能",IF(R545&gt;=判定条件!$C$7*Q545,"運転",IF(R545&lt;=判定条件!$C$8*Q545,"停止","断続")))</f>
        <v>判定不能</v>
      </c>
      <c r="T545" s="30" t="n">
        <v>60</v>
      </c>
      <c r="U545" s="30" t="n">
        <v>60</v>
      </c>
      <c r="V545" s="30" t="str">
        <f aca="false">IF(T545&lt;判定条件!$C$6,"判定不能",IF(U545&gt;=判定条件!$C$7*T545,"運転",IF(U545&lt;=判定条件!$C$8*T545,"停止","断続")))</f>
        <v>運転</v>
      </c>
      <c r="W545" s="30" t="n">
        <v>60</v>
      </c>
      <c r="X545" s="30" t="n">
        <v>60</v>
      </c>
      <c r="Y545" s="30" t="str">
        <f aca="false">IF(W545&lt;判定条件!$C$6,"判定不能",IF(X545&gt;=判定条件!$C$7*W545,"運転",IF(X545&lt;=判定条件!$C$8*W545,"停止","断続")))</f>
        <v>運転</v>
      </c>
      <c r="Z545" s="30" t="n">
        <v>60</v>
      </c>
      <c r="AA545" s="30" t="n">
        <v>60</v>
      </c>
      <c r="AB545" s="30" t="str">
        <f aca="false">IF(Z545&lt;判定条件!$C$6,"判定不能",IF(AA545&gt;=判定条件!$C$7*Z545,"運転",IF(AA545&lt;=判定条件!$C$8*Z545,"停止","断続")))</f>
        <v>運転</v>
      </c>
      <c r="AC545" s="30" t="n">
        <v>60</v>
      </c>
      <c r="AD545" s="30" t="n">
        <v>60</v>
      </c>
      <c r="AE545" s="30" t="str">
        <f aca="false">IF(AC545&lt;判定条件!$C$6,"判定不能",IF(AD545&gt;=判定条件!$C$7*AC545,"運転",IF(AD545&lt;=判定条件!$C$8*AC545,"停止","断続")))</f>
        <v>運転</v>
      </c>
      <c r="AF545" s="30" t="n">
        <v>60</v>
      </c>
      <c r="AG545" s="30" t="n">
        <v>60</v>
      </c>
      <c r="AH545" s="30" t="str">
        <f aca="false">IF(OR(P545="判定不能",G545="判定不能"),"判定不能",IF(AG545&gt;=判定条件!$C$9,"利用可",IF(AND(P545="停止",G545="停止"),"両方停止","運転がそろわない")))</f>
        <v>利用可</v>
      </c>
      <c r="AI545" s="30" t="n">
        <v>0</v>
      </c>
      <c r="AJ545" s="30" t="n">
        <v>0</v>
      </c>
      <c r="AK545" s="30" t="str">
        <f aca="false">IF(OR(S545="判定不能",J545="判定不能"),"判定不能",IF(AJ545&gt;=判定条件!$C$9,"利用可",IF(AND(S545="停止",J545="停止"),"両方停止","運転がそろわない")))</f>
        <v>判定不能</v>
      </c>
      <c r="AL545" s="30" t="n">
        <v>60</v>
      </c>
      <c r="AM545" s="30" t="n">
        <v>60</v>
      </c>
      <c r="AN545" s="30" t="str">
        <f aca="false">IF(OR(V545="判定不能",M545="判定不能"),"判定不能",IF(AM545&gt;=判定条件!$C$9,"利用可",IF(AND(V545="停止",M545="停止"),"両方停止","運転がそろわない")))</f>
        <v>利用可</v>
      </c>
      <c r="AO545" s="30" t="n">
        <v>60</v>
      </c>
      <c r="AP545" s="30" t="n">
        <v>60</v>
      </c>
      <c r="AQ545" s="30" t="str">
        <f aca="false">IF(OR(Y545="判定不能",G545="判定不能"),"判定不能",IF(AP545&gt;=判定条件!$C$9,"利用可",IF(AND(Y545="停止",G545="停止"),"両方停止","運転がそろわない")))</f>
        <v>利用可</v>
      </c>
      <c r="AR545" s="30" t="n">
        <v>60</v>
      </c>
      <c r="AS545" s="30" t="n">
        <v>60</v>
      </c>
      <c r="AT545" s="30" t="str">
        <f aca="false">IF(OR(AB545="判定不能",J545="判定不能"),"判定不能",IF(AS545&gt;=判定条件!$C$9,"利用可",IF(AND(AB545="停止",J545="停止"),"両方停止","運転がそろわない")))</f>
        <v>利用可</v>
      </c>
      <c r="AU545" s="30" t="n">
        <v>60</v>
      </c>
      <c r="AV545" s="30" t="n">
        <v>60</v>
      </c>
      <c r="AW545" s="30" t="str">
        <f aca="false">IF(OR(AE545="判定不能",M545="判定不能"),"判定不能",IF(AV545&gt;=判定条件!$C$9,"利用可",IF(AND(AE545="停止",M545="停止"),"両方停止","運転がそろわない")))</f>
        <v>利用可</v>
      </c>
      <c r="AX545" s="30" t="str">
        <f aca="false">IF(AND(AH545="利用可",AK545="利用可",AN545="利用可"),"利用可","不可")</f>
        <v>不可</v>
      </c>
      <c r="AY545" s="30" t="str">
        <f aca="false">IF(AND(AQ545="利用可",AT545="利用可",AW545="利用可"),"利用可","不可")</f>
        <v>利用可</v>
      </c>
    </row>
    <row r="546" customFormat="false" ht="15" hidden="false" customHeight="false" outlineLevel="0" collapsed="false">
      <c r="A546" s="29" t="n">
        <v>46254</v>
      </c>
      <c r="B546" s="30" t="n">
        <v>15</v>
      </c>
      <c r="C546" s="31" t="s">
        <v>61</v>
      </c>
      <c r="D546" s="31" t="s">
        <v>59</v>
      </c>
      <c r="E546" s="30" t="n">
        <v>60</v>
      </c>
      <c r="F546" s="30" t="n">
        <v>60</v>
      </c>
      <c r="G546" s="30" t="str">
        <f aca="false">IF(E546&lt;判定条件!$C$6,"判定不能",IF(F546&gt;=判定条件!$C$7*E546,"運転",IF(F546&lt;=判定条件!$C$8*E546,"停止","断続")))</f>
        <v>運転</v>
      </c>
      <c r="H546" s="30" t="n">
        <v>60</v>
      </c>
      <c r="I546" s="30" t="n">
        <v>60</v>
      </c>
      <c r="J546" s="30" t="str">
        <f aca="false">IF(H546&lt;判定条件!$C$6,"判定不能",IF(I546&gt;=判定条件!$C$7*H546,"運転",IF(I546&lt;=判定条件!$C$8*H546,"停止","断続")))</f>
        <v>運転</v>
      </c>
      <c r="K546" s="30" t="n">
        <v>60</v>
      </c>
      <c r="L546" s="30" t="n">
        <v>60</v>
      </c>
      <c r="M546" s="30" t="str">
        <f aca="false">IF(K546&lt;判定条件!$C$6,"判定不能",IF(L546&gt;=判定条件!$C$7*K546,"運転",IF(L546&lt;=判定条件!$C$8*K546,"停止","断続")))</f>
        <v>運転</v>
      </c>
      <c r="N546" s="30" t="n">
        <v>60</v>
      </c>
      <c r="O546" s="30" t="n">
        <v>60</v>
      </c>
      <c r="P546" s="30" t="str">
        <f aca="false">IF(N546&lt;判定条件!$C$6,"判定不能",IF(O546&gt;=判定条件!$C$7*N546,"運転",IF(O546&lt;=判定条件!$C$8*N546,"停止","断続")))</f>
        <v>運転</v>
      </c>
      <c r="Q546" s="30" t="n">
        <v>0</v>
      </c>
      <c r="R546" s="30" t="n">
        <v>0</v>
      </c>
      <c r="S546" s="30" t="str">
        <f aca="false">IF(Q546&lt;判定条件!$C$6,"判定不能",IF(R546&gt;=判定条件!$C$7*Q546,"運転",IF(R546&lt;=判定条件!$C$8*Q546,"停止","断続")))</f>
        <v>判定不能</v>
      </c>
      <c r="T546" s="30" t="n">
        <v>60</v>
      </c>
      <c r="U546" s="30" t="n">
        <v>60</v>
      </c>
      <c r="V546" s="30" t="str">
        <f aca="false">IF(T546&lt;判定条件!$C$6,"判定不能",IF(U546&gt;=判定条件!$C$7*T546,"運転",IF(U546&lt;=判定条件!$C$8*T546,"停止","断続")))</f>
        <v>運転</v>
      </c>
      <c r="W546" s="30" t="n">
        <v>60</v>
      </c>
      <c r="X546" s="30" t="n">
        <v>41</v>
      </c>
      <c r="Y546" s="30" t="str">
        <f aca="false">IF(W546&lt;判定条件!$C$6,"判定不能",IF(X546&gt;=判定条件!$C$7*W546,"運転",IF(X546&lt;=判定条件!$C$8*W546,"停止","断続")))</f>
        <v>断続</v>
      </c>
      <c r="Z546" s="30" t="n">
        <v>60</v>
      </c>
      <c r="AA546" s="30" t="n">
        <v>60</v>
      </c>
      <c r="AB546" s="30" t="str">
        <f aca="false">IF(Z546&lt;判定条件!$C$6,"判定不能",IF(AA546&gt;=判定条件!$C$7*Z546,"運転",IF(AA546&lt;=判定条件!$C$8*Z546,"停止","断続")))</f>
        <v>運転</v>
      </c>
      <c r="AC546" s="30" t="n">
        <v>60</v>
      </c>
      <c r="AD546" s="30" t="n">
        <v>60</v>
      </c>
      <c r="AE546" s="30" t="str">
        <f aca="false">IF(AC546&lt;判定条件!$C$6,"判定不能",IF(AD546&gt;=判定条件!$C$7*AC546,"運転",IF(AD546&lt;=判定条件!$C$8*AC546,"停止","断続")))</f>
        <v>運転</v>
      </c>
      <c r="AF546" s="30" t="n">
        <v>60</v>
      </c>
      <c r="AG546" s="30" t="n">
        <v>60</v>
      </c>
      <c r="AH546" s="30" t="str">
        <f aca="false">IF(OR(P546="判定不能",G546="判定不能"),"判定不能",IF(AG546&gt;=判定条件!$C$9,"利用可",IF(AND(P546="停止",G546="停止"),"両方停止","運転がそろわない")))</f>
        <v>利用可</v>
      </c>
      <c r="AI546" s="30" t="n">
        <v>0</v>
      </c>
      <c r="AJ546" s="30" t="n">
        <v>0</v>
      </c>
      <c r="AK546" s="30" t="str">
        <f aca="false">IF(OR(S546="判定不能",J546="判定不能"),"判定不能",IF(AJ546&gt;=判定条件!$C$9,"利用可",IF(AND(S546="停止",J546="停止"),"両方停止","運転がそろわない")))</f>
        <v>判定不能</v>
      </c>
      <c r="AL546" s="30" t="n">
        <v>60</v>
      </c>
      <c r="AM546" s="30" t="n">
        <v>60</v>
      </c>
      <c r="AN546" s="30" t="str">
        <f aca="false">IF(OR(V546="判定不能",M546="判定不能"),"判定不能",IF(AM546&gt;=判定条件!$C$9,"利用可",IF(AND(V546="停止",M546="停止"),"両方停止","運転がそろわない")))</f>
        <v>利用可</v>
      </c>
      <c r="AO546" s="30" t="n">
        <v>60</v>
      </c>
      <c r="AP546" s="30" t="n">
        <v>41</v>
      </c>
      <c r="AQ546" s="30" t="str">
        <f aca="false">IF(OR(Y546="判定不能",G546="判定不能"),"判定不能",IF(AP546&gt;=判定条件!$C$9,"利用可",IF(AND(Y546="停止",G546="停止"),"両方停止","運転がそろわない")))</f>
        <v>利用可</v>
      </c>
      <c r="AR546" s="30" t="n">
        <v>60</v>
      </c>
      <c r="AS546" s="30" t="n">
        <v>60</v>
      </c>
      <c r="AT546" s="30" t="str">
        <f aca="false">IF(OR(AB546="判定不能",J546="判定不能"),"判定不能",IF(AS546&gt;=判定条件!$C$9,"利用可",IF(AND(AB546="停止",J546="停止"),"両方停止","運転がそろわない")))</f>
        <v>利用可</v>
      </c>
      <c r="AU546" s="30" t="n">
        <v>60</v>
      </c>
      <c r="AV546" s="30" t="n">
        <v>60</v>
      </c>
      <c r="AW546" s="30" t="str">
        <f aca="false">IF(OR(AE546="判定不能",M546="判定不能"),"判定不能",IF(AV546&gt;=判定条件!$C$9,"利用可",IF(AND(AE546="停止",M546="停止"),"両方停止","運転がそろわない")))</f>
        <v>利用可</v>
      </c>
      <c r="AX546" s="30" t="str">
        <f aca="false">IF(AND(AH546="利用可",AK546="利用可",AN546="利用可"),"利用可","不可")</f>
        <v>不可</v>
      </c>
      <c r="AY546" s="30" t="str">
        <f aca="false">IF(AND(AQ546="利用可",AT546="利用可",AW546="利用可"),"利用可","不可")</f>
        <v>利用可</v>
      </c>
    </row>
    <row r="547" customFormat="false" ht="15" hidden="false" customHeight="false" outlineLevel="0" collapsed="false">
      <c r="A547" s="29" t="n">
        <v>46254</v>
      </c>
      <c r="B547" s="30" t="n">
        <v>16</v>
      </c>
      <c r="C547" s="31" t="s">
        <v>61</v>
      </c>
      <c r="D547" s="31" t="s">
        <v>59</v>
      </c>
      <c r="E547" s="30" t="n">
        <v>60</v>
      </c>
      <c r="F547" s="30" t="n">
        <v>60</v>
      </c>
      <c r="G547" s="30" t="str">
        <f aca="false">IF(E547&lt;判定条件!$C$6,"判定不能",IF(F547&gt;=判定条件!$C$7*E547,"運転",IF(F547&lt;=判定条件!$C$8*E547,"停止","断続")))</f>
        <v>運転</v>
      </c>
      <c r="H547" s="30" t="n">
        <v>60</v>
      </c>
      <c r="I547" s="30" t="n">
        <v>60</v>
      </c>
      <c r="J547" s="30" t="str">
        <f aca="false">IF(H547&lt;判定条件!$C$6,"判定不能",IF(I547&gt;=判定条件!$C$7*H547,"運転",IF(I547&lt;=判定条件!$C$8*H547,"停止","断続")))</f>
        <v>運転</v>
      </c>
      <c r="K547" s="30" t="n">
        <v>60</v>
      </c>
      <c r="L547" s="30" t="n">
        <v>60</v>
      </c>
      <c r="M547" s="30" t="str">
        <f aca="false">IF(K547&lt;判定条件!$C$6,"判定不能",IF(L547&gt;=判定条件!$C$7*K547,"運転",IF(L547&lt;=判定条件!$C$8*K547,"停止","断続")))</f>
        <v>運転</v>
      </c>
      <c r="N547" s="30" t="n">
        <v>60</v>
      </c>
      <c r="O547" s="30" t="n">
        <v>57</v>
      </c>
      <c r="P547" s="30" t="str">
        <f aca="false">IF(N547&lt;判定条件!$C$6,"判定不能",IF(O547&gt;=判定条件!$C$7*N547,"運転",IF(O547&lt;=判定条件!$C$8*N547,"停止","断続")))</f>
        <v>運転</v>
      </c>
      <c r="Q547" s="30" t="n">
        <v>0</v>
      </c>
      <c r="R547" s="30" t="n">
        <v>0</v>
      </c>
      <c r="S547" s="30" t="str">
        <f aca="false">IF(Q547&lt;判定条件!$C$6,"判定不能",IF(R547&gt;=判定条件!$C$7*Q547,"運転",IF(R547&lt;=判定条件!$C$8*Q547,"停止","断続")))</f>
        <v>判定不能</v>
      </c>
      <c r="T547" s="30" t="n">
        <v>60</v>
      </c>
      <c r="U547" s="30" t="n">
        <v>45</v>
      </c>
      <c r="V547" s="30" t="str">
        <f aca="false">IF(T547&lt;判定条件!$C$6,"判定不能",IF(U547&gt;=判定条件!$C$7*T547,"運転",IF(U547&lt;=判定条件!$C$8*T547,"停止","断続")))</f>
        <v>断続</v>
      </c>
      <c r="W547" s="30" t="n">
        <v>60</v>
      </c>
      <c r="X547" s="30" t="n">
        <v>32</v>
      </c>
      <c r="Y547" s="30" t="str">
        <f aca="false">IF(W547&lt;判定条件!$C$6,"判定不能",IF(X547&gt;=判定条件!$C$7*W547,"運転",IF(X547&lt;=判定条件!$C$8*W547,"停止","断続")))</f>
        <v>断続</v>
      </c>
      <c r="Z547" s="30" t="n">
        <v>60</v>
      </c>
      <c r="AA547" s="30" t="n">
        <v>57</v>
      </c>
      <c r="AB547" s="30" t="str">
        <f aca="false">IF(Z547&lt;判定条件!$C$6,"判定不能",IF(AA547&gt;=判定条件!$C$7*Z547,"運転",IF(AA547&lt;=判定条件!$C$8*Z547,"停止","断続")))</f>
        <v>運転</v>
      </c>
      <c r="AC547" s="30" t="n">
        <v>60</v>
      </c>
      <c r="AD547" s="30" t="n">
        <v>42</v>
      </c>
      <c r="AE547" s="30" t="str">
        <f aca="false">IF(AC547&lt;判定条件!$C$6,"判定不能",IF(AD547&gt;=判定条件!$C$7*AC547,"運転",IF(AD547&lt;=判定条件!$C$8*AC547,"停止","断続")))</f>
        <v>断続</v>
      </c>
      <c r="AF547" s="30" t="n">
        <v>60</v>
      </c>
      <c r="AG547" s="30" t="n">
        <v>57</v>
      </c>
      <c r="AH547" s="30" t="str">
        <f aca="false">IF(OR(P547="判定不能",G547="判定不能"),"判定不能",IF(AG547&gt;=判定条件!$C$9,"利用可",IF(AND(P547="停止",G547="停止"),"両方停止","運転がそろわない")))</f>
        <v>利用可</v>
      </c>
      <c r="AI547" s="30" t="n">
        <v>0</v>
      </c>
      <c r="AJ547" s="30" t="n">
        <v>0</v>
      </c>
      <c r="AK547" s="30" t="str">
        <f aca="false">IF(OR(S547="判定不能",J547="判定不能"),"判定不能",IF(AJ547&gt;=判定条件!$C$9,"利用可",IF(AND(S547="停止",J547="停止"),"両方停止","運転がそろわない")))</f>
        <v>判定不能</v>
      </c>
      <c r="AL547" s="30" t="n">
        <v>60</v>
      </c>
      <c r="AM547" s="30" t="n">
        <v>45</v>
      </c>
      <c r="AN547" s="30" t="str">
        <f aca="false">IF(OR(V547="判定不能",M547="判定不能"),"判定不能",IF(AM547&gt;=判定条件!$C$9,"利用可",IF(AND(V547="停止",M547="停止"),"両方停止","運転がそろわない")))</f>
        <v>利用可</v>
      </c>
      <c r="AO547" s="30" t="n">
        <v>60</v>
      </c>
      <c r="AP547" s="30" t="n">
        <v>32</v>
      </c>
      <c r="AQ547" s="30" t="str">
        <f aca="false">IF(OR(Y547="判定不能",G547="判定不能"),"判定不能",IF(AP547&gt;=判定条件!$C$9,"利用可",IF(AND(Y547="停止",G547="停止"),"両方停止","運転がそろわない")))</f>
        <v>利用可</v>
      </c>
      <c r="AR547" s="30" t="n">
        <v>60</v>
      </c>
      <c r="AS547" s="30" t="n">
        <v>57</v>
      </c>
      <c r="AT547" s="30" t="str">
        <f aca="false">IF(OR(AB547="判定不能",J547="判定不能"),"判定不能",IF(AS547&gt;=判定条件!$C$9,"利用可",IF(AND(AB547="停止",J547="停止"),"両方停止","運転がそろわない")))</f>
        <v>利用可</v>
      </c>
      <c r="AU547" s="30" t="n">
        <v>60</v>
      </c>
      <c r="AV547" s="30" t="n">
        <v>42</v>
      </c>
      <c r="AW547" s="30" t="str">
        <f aca="false">IF(OR(AE547="判定不能",M547="判定不能"),"判定不能",IF(AV547&gt;=判定条件!$C$9,"利用可",IF(AND(AE547="停止",M547="停止"),"両方停止","運転がそろわない")))</f>
        <v>利用可</v>
      </c>
      <c r="AX547" s="30" t="str">
        <f aca="false">IF(AND(AH547="利用可",AK547="利用可",AN547="利用可"),"利用可","不可")</f>
        <v>不可</v>
      </c>
      <c r="AY547" s="30" t="str">
        <f aca="false">IF(AND(AQ547="利用可",AT547="利用可",AW547="利用可"),"利用可","不可")</f>
        <v>利用可</v>
      </c>
    </row>
    <row r="548" customFormat="false" ht="15" hidden="false" customHeight="false" outlineLevel="0" collapsed="false">
      <c r="A548" s="29" t="n">
        <v>46254</v>
      </c>
      <c r="B548" s="30" t="n">
        <v>17</v>
      </c>
      <c r="C548" s="31" t="s">
        <v>61</v>
      </c>
      <c r="D548" s="31" t="s">
        <v>59</v>
      </c>
      <c r="E548" s="30" t="n">
        <v>60</v>
      </c>
      <c r="F548" s="30" t="n">
        <v>60</v>
      </c>
      <c r="G548" s="30" t="str">
        <f aca="false">IF(E548&lt;判定条件!$C$6,"判定不能",IF(F548&gt;=判定条件!$C$7*E548,"運転",IF(F548&lt;=判定条件!$C$8*E548,"停止","断続")))</f>
        <v>運転</v>
      </c>
      <c r="H548" s="30" t="n">
        <v>60</v>
      </c>
      <c r="I548" s="30" t="n">
        <v>60</v>
      </c>
      <c r="J548" s="30" t="str">
        <f aca="false">IF(H548&lt;判定条件!$C$6,"判定不能",IF(I548&gt;=判定条件!$C$7*H548,"運転",IF(I548&lt;=判定条件!$C$8*H548,"停止","断続")))</f>
        <v>運転</v>
      </c>
      <c r="K548" s="30" t="n">
        <v>60</v>
      </c>
      <c r="L548" s="30" t="n">
        <v>60</v>
      </c>
      <c r="M548" s="30" t="str">
        <f aca="false">IF(K548&lt;判定条件!$C$6,"判定不能",IF(L548&gt;=判定条件!$C$7*K548,"運転",IF(L548&lt;=判定条件!$C$8*K548,"停止","断続")))</f>
        <v>運転</v>
      </c>
      <c r="N548" s="30" t="n">
        <v>60</v>
      </c>
      <c r="O548" s="30" t="n">
        <v>43</v>
      </c>
      <c r="P548" s="30" t="str">
        <f aca="false">IF(N548&lt;判定条件!$C$6,"判定不能",IF(O548&gt;=判定条件!$C$7*N548,"運転",IF(O548&lt;=判定条件!$C$8*N548,"停止","断続")))</f>
        <v>断続</v>
      </c>
      <c r="Q548" s="30" t="n">
        <v>0</v>
      </c>
      <c r="R548" s="30" t="n">
        <v>0</v>
      </c>
      <c r="S548" s="30" t="str">
        <f aca="false">IF(Q548&lt;判定条件!$C$6,"判定不能",IF(R548&gt;=判定条件!$C$7*Q548,"運転",IF(R548&lt;=判定条件!$C$8*Q548,"停止","断続")))</f>
        <v>判定不能</v>
      </c>
      <c r="T548" s="30" t="n">
        <v>60</v>
      </c>
      <c r="U548" s="30" t="n">
        <v>40</v>
      </c>
      <c r="V548" s="30" t="str">
        <f aca="false">IF(T548&lt;判定条件!$C$6,"判定不能",IF(U548&gt;=判定条件!$C$7*T548,"運転",IF(U548&lt;=判定条件!$C$8*T548,"停止","断続")))</f>
        <v>断続</v>
      </c>
      <c r="W548" s="30" t="n">
        <v>60</v>
      </c>
      <c r="X548" s="30" t="n">
        <v>60</v>
      </c>
      <c r="Y548" s="30" t="str">
        <f aca="false">IF(W548&lt;判定条件!$C$6,"判定不能",IF(X548&gt;=判定条件!$C$7*W548,"運転",IF(X548&lt;=判定条件!$C$8*W548,"停止","断続")))</f>
        <v>運転</v>
      </c>
      <c r="Z548" s="30" t="n">
        <v>60</v>
      </c>
      <c r="AA548" s="30" t="n">
        <v>29</v>
      </c>
      <c r="AB548" s="30" t="str">
        <f aca="false">IF(Z548&lt;判定条件!$C$6,"判定不能",IF(AA548&gt;=判定条件!$C$7*Z548,"運転",IF(AA548&lt;=判定条件!$C$8*Z548,"停止","断続")))</f>
        <v>断続</v>
      </c>
      <c r="AC548" s="30" t="n">
        <v>60</v>
      </c>
      <c r="AD548" s="30" t="n">
        <v>60</v>
      </c>
      <c r="AE548" s="30" t="str">
        <f aca="false">IF(AC548&lt;判定条件!$C$6,"判定不能",IF(AD548&gt;=判定条件!$C$7*AC548,"運転",IF(AD548&lt;=判定条件!$C$8*AC548,"停止","断続")))</f>
        <v>運転</v>
      </c>
      <c r="AF548" s="30" t="n">
        <v>60</v>
      </c>
      <c r="AG548" s="30" t="n">
        <v>43</v>
      </c>
      <c r="AH548" s="30" t="str">
        <f aca="false">IF(OR(P548="判定不能",G548="判定不能"),"判定不能",IF(AG548&gt;=判定条件!$C$9,"利用可",IF(AND(P548="停止",G548="停止"),"両方停止","運転がそろわない")))</f>
        <v>利用可</v>
      </c>
      <c r="AI548" s="30" t="n">
        <v>0</v>
      </c>
      <c r="AJ548" s="30" t="n">
        <v>0</v>
      </c>
      <c r="AK548" s="30" t="str">
        <f aca="false">IF(OR(S548="判定不能",J548="判定不能"),"判定不能",IF(AJ548&gt;=判定条件!$C$9,"利用可",IF(AND(S548="停止",J548="停止"),"両方停止","運転がそろわない")))</f>
        <v>判定不能</v>
      </c>
      <c r="AL548" s="30" t="n">
        <v>60</v>
      </c>
      <c r="AM548" s="30" t="n">
        <v>40</v>
      </c>
      <c r="AN548" s="30" t="str">
        <f aca="false">IF(OR(V548="判定不能",M548="判定不能"),"判定不能",IF(AM548&gt;=判定条件!$C$9,"利用可",IF(AND(V548="停止",M548="停止"),"両方停止","運転がそろわない")))</f>
        <v>利用可</v>
      </c>
      <c r="AO548" s="30" t="n">
        <v>60</v>
      </c>
      <c r="AP548" s="30" t="n">
        <v>60</v>
      </c>
      <c r="AQ548" s="30" t="str">
        <f aca="false">IF(OR(Y548="判定不能",G548="判定不能"),"判定不能",IF(AP548&gt;=判定条件!$C$9,"利用可",IF(AND(Y548="停止",G548="停止"),"両方停止","運転がそろわない")))</f>
        <v>利用可</v>
      </c>
      <c r="AR548" s="30" t="n">
        <v>60</v>
      </c>
      <c r="AS548" s="30" t="n">
        <v>29</v>
      </c>
      <c r="AT548" s="30" t="str">
        <f aca="false">IF(OR(AB548="判定不能",J548="判定不能"),"判定不能",IF(AS548&gt;=判定条件!$C$9,"利用可",IF(AND(AB548="停止",J548="停止"),"両方停止","運転がそろわない")))</f>
        <v>運転がそろわない</v>
      </c>
      <c r="AU548" s="30" t="n">
        <v>60</v>
      </c>
      <c r="AV548" s="30" t="n">
        <v>60</v>
      </c>
      <c r="AW548" s="30" t="str">
        <f aca="false">IF(OR(AE548="判定不能",M548="判定不能"),"判定不能",IF(AV548&gt;=判定条件!$C$9,"利用可",IF(AND(AE548="停止",M548="停止"),"両方停止","運転がそろわない")))</f>
        <v>利用可</v>
      </c>
      <c r="AX548" s="30" t="str">
        <f aca="false">IF(AND(AH548="利用可",AK548="利用可",AN548="利用可"),"利用可","不可")</f>
        <v>不可</v>
      </c>
      <c r="AY548" s="30" t="str">
        <f aca="false">IF(AND(AQ548="利用可",AT548="利用可",AW548="利用可"),"利用可","不可")</f>
        <v>不可</v>
      </c>
    </row>
    <row r="549" customFormat="false" ht="15" hidden="false" customHeight="false" outlineLevel="0" collapsed="false">
      <c r="A549" s="29" t="n">
        <v>46254</v>
      </c>
      <c r="B549" s="30" t="n">
        <v>18</v>
      </c>
      <c r="C549" s="31" t="s">
        <v>61</v>
      </c>
      <c r="D549" s="31" t="s">
        <v>59</v>
      </c>
      <c r="E549" s="30" t="n">
        <v>60</v>
      </c>
      <c r="F549" s="30" t="n">
        <v>60</v>
      </c>
      <c r="G549" s="30" t="str">
        <f aca="false">IF(E549&lt;判定条件!$C$6,"判定不能",IF(F549&gt;=判定条件!$C$7*E549,"運転",IF(F549&lt;=判定条件!$C$8*E549,"停止","断続")))</f>
        <v>運転</v>
      </c>
      <c r="H549" s="30" t="n">
        <v>60</v>
      </c>
      <c r="I549" s="30" t="n">
        <v>60</v>
      </c>
      <c r="J549" s="30" t="str">
        <f aca="false">IF(H549&lt;判定条件!$C$6,"判定不能",IF(I549&gt;=判定条件!$C$7*H549,"運転",IF(I549&lt;=判定条件!$C$8*H549,"停止","断続")))</f>
        <v>運転</v>
      </c>
      <c r="K549" s="30" t="n">
        <v>60</v>
      </c>
      <c r="L549" s="30" t="n">
        <v>60</v>
      </c>
      <c r="M549" s="30" t="str">
        <f aca="false">IF(K549&lt;判定条件!$C$6,"判定不能",IF(L549&gt;=判定条件!$C$7*K549,"運転",IF(L549&lt;=判定条件!$C$8*K549,"停止","断続")))</f>
        <v>運転</v>
      </c>
      <c r="N549" s="30" t="n">
        <v>60</v>
      </c>
      <c r="O549" s="30" t="n">
        <v>10</v>
      </c>
      <c r="P549" s="30" t="str">
        <f aca="false">IF(N549&lt;判定条件!$C$6,"判定不能",IF(O549&gt;=判定条件!$C$7*N549,"運転",IF(O549&lt;=判定条件!$C$8*N549,"停止","断続")))</f>
        <v>停止</v>
      </c>
      <c r="Q549" s="30" t="n">
        <v>0</v>
      </c>
      <c r="R549" s="30" t="n">
        <v>0</v>
      </c>
      <c r="S549" s="30" t="str">
        <f aca="false">IF(Q549&lt;判定条件!$C$6,"判定不能",IF(R549&gt;=判定条件!$C$7*Q549,"運転",IF(R549&lt;=判定条件!$C$8*Q549,"停止","断続")))</f>
        <v>判定不能</v>
      </c>
      <c r="T549" s="30" t="n">
        <v>60</v>
      </c>
      <c r="U549" s="30" t="n">
        <v>4</v>
      </c>
      <c r="V549" s="30" t="str">
        <f aca="false">IF(T549&lt;判定条件!$C$6,"判定不能",IF(U549&gt;=判定条件!$C$7*T549,"運転",IF(U549&lt;=判定条件!$C$8*T549,"停止","断続")))</f>
        <v>停止</v>
      </c>
      <c r="W549" s="30" t="n">
        <v>60</v>
      </c>
      <c r="X549" s="30" t="n">
        <v>51</v>
      </c>
      <c r="Y549" s="30" t="str">
        <f aca="false">IF(W549&lt;判定条件!$C$6,"判定不能",IF(X549&gt;=判定条件!$C$7*W549,"運転",IF(X549&lt;=判定条件!$C$8*W549,"停止","断続")))</f>
        <v>運転</v>
      </c>
      <c r="Z549" s="30" t="n">
        <v>60</v>
      </c>
      <c r="AA549" s="30" t="n">
        <v>51</v>
      </c>
      <c r="AB549" s="30" t="str">
        <f aca="false">IF(Z549&lt;判定条件!$C$6,"判定不能",IF(AA549&gt;=判定条件!$C$7*Z549,"運転",IF(AA549&lt;=判定条件!$C$8*Z549,"停止","断続")))</f>
        <v>運転</v>
      </c>
      <c r="AC549" s="30" t="n">
        <v>60</v>
      </c>
      <c r="AD549" s="30" t="n">
        <v>60</v>
      </c>
      <c r="AE549" s="30" t="str">
        <f aca="false">IF(AC549&lt;判定条件!$C$6,"判定不能",IF(AD549&gt;=判定条件!$C$7*AC549,"運転",IF(AD549&lt;=判定条件!$C$8*AC549,"停止","断続")))</f>
        <v>運転</v>
      </c>
      <c r="AF549" s="30" t="n">
        <v>60</v>
      </c>
      <c r="AG549" s="30" t="n">
        <v>10</v>
      </c>
      <c r="AH549" s="30" t="str">
        <f aca="false">IF(OR(P549="判定不能",G549="判定不能"),"判定不能",IF(AG549&gt;=判定条件!$C$9,"利用可",IF(AND(P549="停止",G549="停止"),"両方停止","運転がそろわない")))</f>
        <v>運転がそろわない</v>
      </c>
      <c r="AI549" s="30" t="n">
        <v>0</v>
      </c>
      <c r="AJ549" s="30" t="n">
        <v>0</v>
      </c>
      <c r="AK549" s="30" t="str">
        <f aca="false">IF(OR(S549="判定不能",J549="判定不能"),"判定不能",IF(AJ549&gt;=判定条件!$C$9,"利用可",IF(AND(S549="停止",J549="停止"),"両方停止","運転がそろわない")))</f>
        <v>判定不能</v>
      </c>
      <c r="AL549" s="30" t="n">
        <v>60</v>
      </c>
      <c r="AM549" s="30" t="n">
        <v>4</v>
      </c>
      <c r="AN549" s="30" t="str">
        <f aca="false">IF(OR(V549="判定不能",M549="判定不能"),"判定不能",IF(AM549&gt;=判定条件!$C$9,"利用可",IF(AND(V549="停止",M549="停止"),"両方停止","運転がそろわない")))</f>
        <v>運転がそろわない</v>
      </c>
      <c r="AO549" s="30" t="n">
        <v>60</v>
      </c>
      <c r="AP549" s="30" t="n">
        <v>51</v>
      </c>
      <c r="AQ549" s="30" t="str">
        <f aca="false">IF(OR(Y549="判定不能",G549="判定不能"),"判定不能",IF(AP549&gt;=判定条件!$C$9,"利用可",IF(AND(Y549="停止",G549="停止"),"両方停止","運転がそろわない")))</f>
        <v>利用可</v>
      </c>
      <c r="AR549" s="30" t="n">
        <v>60</v>
      </c>
      <c r="AS549" s="30" t="n">
        <v>51</v>
      </c>
      <c r="AT549" s="30" t="str">
        <f aca="false">IF(OR(AB549="判定不能",J549="判定不能"),"判定不能",IF(AS549&gt;=判定条件!$C$9,"利用可",IF(AND(AB549="停止",J549="停止"),"両方停止","運転がそろわない")))</f>
        <v>利用可</v>
      </c>
      <c r="AU549" s="30" t="n">
        <v>60</v>
      </c>
      <c r="AV549" s="30" t="n">
        <v>60</v>
      </c>
      <c r="AW549" s="30" t="str">
        <f aca="false">IF(OR(AE549="判定不能",M549="判定不能"),"判定不能",IF(AV549&gt;=判定条件!$C$9,"利用可",IF(AND(AE549="停止",M549="停止"),"両方停止","運転がそろわない")))</f>
        <v>利用可</v>
      </c>
      <c r="AX549" s="30" t="str">
        <f aca="false">IF(AND(AH549="利用可",AK549="利用可",AN549="利用可"),"利用可","不可")</f>
        <v>不可</v>
      </c>
      <c r="AY549" s="30" t="str">
        <f aca="false">IF(AND(AQ549="利用可",AT549="利用可",AW549="利用可"),"利用可","不可")</f>
        <v>利用可</v>
      </c>
    </row>
    <row r="550" customFormat="false" ht="15" hidden="false" customHeight="false" outlineLevel="0" collapsed="false">
      <c r="A550" s="29" t="n">
        <v>46254</v>
      </c>
      <c r="B550" s="30" t="n">
        <v>19</v>
      </c>
      <c r="C550" s="31" t="s">
        <v>61</v>
      </c>
      <c r="D550" s="31" t="s">
        <v>59</v>
      </c>
      <c r="E550" s="30" t="n">
        <v>60</v>
      </c>
      <c r="F550" s="30" t="n">
        <v>60</v>
      </c>
      <c r="G550" s="30" t="str">
        <f aca="false">IF(E550&lt;判定条件!$C$6,"判定不能",IF(F550&gt;=判定条件!$C$7*E550,"運転",IF(F550&lt;=判定条件!$C$8*E550,"停止","断続")))</f>
        <v>運転</v>
      </c>
      <c r="H550" s="30" t="n">
        <v>60</v>
      </c>
      <c r="I550" s="30" t="n">
        <v>49</v>
      </c>
      <c r="J550" s="30" t="str">
        <f aca="false">IF(H550&lt;判定条件!$C$6,"判定不能",IF(I550&gt;=判定条件!$C$7*H550,"運転",IF(I550&lt;=判定条件!$C$8*H550,"停止","断続")))</f>
        <v>運転</v>
      </c>
      <c r="K550" s="30" t="n">
        <v>60</v>
      </c>
      <c r="L550" s="30" t="n">
        <v>60</v>
      </c>
      <c r="M550" s="30" t="str">
        <f aca="false">IF(K550&lt;判定条件!$C$6,"判定不能",IF(L550&gt;=判定条件!$C$7*K550,"運転",IF(L550&lt;=判定条件!$C$8*K550,"停止","断続")))</f>
        <v>運転</v>
      </c>
      <c r="N550" s="30" t="n">
        <v>60</v>
      </c>
      <c r="O550" s="30" t="n">
        <v>60</v>
      </c>
      <c r="P550" s="30" t="str">
        <f aca="false">IF(N550&lt;判定条件!$C$6,"判定不能",IF(O550&gt;=判定条件!$C$7*N550,"運転",IF(O550&lt;=判定条件!$C$8*N550,"停止","断続")))</f>
        <v>運転</v>
      </c>
      <c r="Q550" s="30" t="n">
        <v>0</v>
      </c>
      <c r="R550" s="30" t="n">
        <v>0</v>
      </c>
      <c r="S550" s="30" t="str">
        <f aca="false">IF(Q550&lt;判定条件!$C$6,"判定不能",IF(R550&gt;=判定条件!$C$7*Q550,"運転",IF(R550&lt;=判定条件!$C$8*Q550,"停止","断続")))</f>
        <v>判定不能</v>
      </c>
      <c r="T550" s="30" t="n">
        <v>60</v>
      </c>
      <c r="U550" s="30" t="n">
        <v>0</v>
      </c>
      <c r="V550" s="30" t="str">
        <f aca="false">IF(T550&lt;判定条件!$C$6,"判定不能",IF(U550&gt;=判定条件!$C$7*T550,"運転",IF(U550&lt;=判定条件!$C$8*T550,"停止","断続")))</f>
        <v>停止</v>
      </c>
      <c r="W550" s="30" t="n">
        <v>60</v>
      </c>
      <c r="X550" s="30" t="n">
        <v>40</v>
      </c>
      <c r="Y550" s="30" t="str">
        <f aca="false">IF(W550&lt;判定条件!$C$6,"判定不能",IF(X550&gt;=判定条件!$C$7*W550,"運転",IF(X550&lt;=判定条件!$C$8*W550,"停止","断続")))</f>
        <v>断続</v>
      </c>
      <c r="Z550" s="30" t="n">
        <v>60</v>
      </c>
      <c r="AA550" s="30" t="n">
        <v>25</v>
      </c>
      <c r="AB550" s="30" t="str">
        <f aca="false">IF(Z550&lt;判定条件!$C$6,"判定不能",IF(AA550&gt;=判定条件!$C$7*Z550,"運転",IF(AA550&lt;=判定条件!$C$8*Z550,"停止","断続")))</f>
        <v>断続</v>
      </c>
      <c r="AC550" s="30" t="n">
        <v>60</v>
      </c>
      <c r="AD550" s="30" t="n">
        <v>4</v>
      </c>
      <c r="AE550" s="30" t="str">
        <f aca="false">IF(AC550&lt;判定条件!$C$6,"判定不能",IF(AD550&gt;=判定条件!$C$7*AC550,"運転",IF(AD550&lt;=判定条件!$C$8*AC550,"停止","断続")))</f>
        <v>停止</v>
      </c>
      <c r="AF550" s="30" t="n">
        <v>60</v>
      </c>
      <c r="AG550" s="30" t="n">
        <v>60</v>
      </c>
      <c r="AH550" s="30" t="str">
        <f aca="false">IF(OR(P550="判定不能",G550="判定不能"),"判定不能",IF(AG550&gt;=判定条件!$C$9,"利用可",IF(AND(P550="停止",G550="停止"),"両方停止","運転がそろわない")))</f>
        <v>利用可</v>
      </c>
      <c r="AI550" s="30" t="n">
        <v>0</v>
      </c>
      <c r="AJ550" s="30" t="n">
        <v>0</v>
      </c>
      <c r="AK550" s="30" t="str">
        <f aca="false">IF(OR(S550="判定不能",J550="判定不能"),"判定不能",IF(AJ550&gt;=判定条件!$C$9,"利用可",IF(AND(S550="停止",J550="停止"),"両方停止","運転がそろわない")))</f>
        <v>判定不能</v>
      </c>
      <c r="AL550" s="30" t="n">
        <v>60</v>
      </c>
      <c r="AM550" s="30" t="n">
        <v>0</v>
      </c>
      <c r="AN550" s="30" t="str">
        <f aca="false">IF(OR(V550="判定不能",M550="判定不能"),"判定不能",IF(AM550&gt;=判定条件!$C$9,"利用可",IF(AND(V550="停止",M550="停止"),"両方停止","運転がそろわない")))</f>
        <v>運転がそろわない</v>
      </c>
      <c r="AO550" s="30" t="n">
        <v>60</v>
      </c>
      <c r="AP550" s="30" t="n">
        <v>40</v>
      </c>
      <c r="AQ550" s="30" t="str">
        <f aca="false">IF(OR(Y550="判定不能",G550="判定不能"),"判定不能",IF(AP550&gt;=判定条件!$C$9,"利用可",IF(AND(Y550="停止",G550="停止"),"両方停止","運転がそろわない")))</f>
        <v>利用可</v>
      </c>
      <c r="AR550" s="30" t="n">
        <v>60</v>
      </c>
      <c r="AS550" s="30" t="n">
        <v>24</v>
      </c>
      <c r="AT550" s="30" t="str">
        <f aca="false">IF(OR(AB550="判定不能",J550="判定不能"),"判定不能",IF(AS550&gt;=判定条件!$C$9,"利用可",IF(AND(AB550="停止",J550="停止"),"両方停止","運転がそろわない")))</f>
        <v>運転がそろわない</v>
      </c>
      <c r="AU550" s="30" t="n">
        <v>60</v>
      </c>
      <c r="AV550" s="30" t="n">
        <v>4</v>
      </c>
      <c r="AW550" s="30" t="str">
        <f aca="false">IF(OR(AE550="判定不能",M550="判定不能"),"判定不能",IF(AV550&gt;=判定条件!$C$9,"利用可",IF(AND(AE550="停止",M550="停止"),"両方停止","運転がそろわない")))</f>
        <v>運転がそろわない</v>
      </c>
      <c r="AX550" s="30" t="str">
        <f aca="false">IF(AND(AH550="利用可",AK550="利用可",AN550="利用可"),"利用可","不可")</f>
        <v>不可</v>
      </c>
      <c r="AY550" s="30" t="str">
        <f aca="false">IF(AND(AQ550="利用可",AT550="利用可",AW550="利用可"),"利用可","不可")</f>
        <v>不可</v>
      </c>
    </row>
    <row r="551" customFormat="false" ht="15" hidden="false" customHeight="false" outlineLevel="0" collapsed="false">
      <c r="A551" s="29" t="n">
        <v>46254</v>
      </c>
      <c r="B551" s="30" t="n">
        <v>20</v>
      </c>
      <c r="C551" s="31" t="s">
        <v>61</v>
      </c>
      <c r="D551" s="31" t="s">
        <v>59</v>
      </c>
      <c r="E551" s="30" t="n">
        <v>60</v>
      </c>
      <c r="F551" s="30" t="n">
        <v>50</v>
      </c>
      <c r="G551" s="30" t="str">
        <f aca="false">IF(E551&lt;判定条件!$C$6,"判定不能",IF(F551&gt;=判定条件!$C$7*E551,"運転",IF(F551&lt;=判定条件!$C$8*E551,"停止","断続")))</f>
        <v>運転</v>
      </c>
      <c r="H551" s="30" t="n">
        <v>60</v>
      </c>
      <c r="I551" s="30" t="n">
        <v>50</v>
      </c>
      <c r="J551" s="30" t="str">
        <f aca="false">IF(H551&lt;判定条件!$C$6,"判定不能",IF(I551&gt;=判定条件!$C$7*H551,"運転",IF(I551&lt;=判定条件!$C$8*H551,"停止","断続")))</f>
        <v>運転</v>
      </c>
      <c r="K551" s="30" t="n">
        <v>60</v>
      </c>
      <c r="L551" s="30" t="n">
        <v>55</v>
      </c>
      <c r="M551" s="30" t="str">
        <f aca="false">IF(K551&lt;判定条件!$C$6,"判定不能",IF(L551&gt;=判定条件!$C$7*K551,"運転",IF(L551&lt;=判定条件!$C$8*K551,"停止","断続")))</f>
        <v>運転</v>
      </c>
      <c r="N551" s="30" t="n">
        <v>60</v>
      </c>
      <c r="O551" s="30" t="n">
        <v>5</v>
      </c>
      <c r="P551" s="30" t="str">
        <f aca="false">IF(N551&lt;判定条件!$C$6,"判定不能",IF(O551&gt;=判定条件!$C$7*N551,"運転",IF(O551&lt;=判定条件!$C$8*N551,"停止","断続")))</f>
        <v>停止</v>
      </c>
      <c r="Q551" s="30" t="n">
        <v>0</v>
      </c>
      <c r="R551" s="30" t="n">
        <v>0</v>
      </c>
      <c r="S551" s="30" t="str">
        <f aca="false">IF(Q551&lt;判定条件!$C$6,"判定不能",IF(R551&gt;=判定条件!$C$7*Q551,"運転",IF(R551&lt;=判定条件!$C$8*Q551,"停止","断続")))</f>
        <v>判定不能</v>
      </c>
      <c r="T551" s="30" t="n">
        <v>60</v>
      </c>
      <c r="U551" s="30" t="n">
        <v>56</v>
      </c>
      <c r="V551" s="30" t="str">
        <f aca="false">IF(T551&lt;判定条件!$C$6,"判定不能",IF(U551&gt;=判定条件!$C$7*T551,"運転",IF(U551&lt;=判定条件!$C$8*T551,"停止","断続")))</f>
        <v>運転</v>
      </c>
      <c r="W551" s="30" t="n">
        <v>60</v>
      </c>
      <c r="X551" s="30" t="n">
        <v>42</v>
      </c>
      <c r="Y551" s="30" t="str">
        <f aca="false">IF(W551&lt;判定条件!$C$6,"判定不能",IF(X551&gt;=判定条件!$C$7*W551,"運転",IF(X551&lt;=判定条件!$C$8*W551,"停止","断続")))</f>
        <v>断続</v>
      </c>
      <c r="Z551" s="30" t="n">
        <v>60</v>
      </c>
      <c r="AA551" s="30" t="n">
        <v>41</v>
      </c>
      <c r="AB551" s="30" t="str">
        <f aca="false">IF(Z551&lt;判定条件!$C$6,"判定不能",IF(AA551&gt;=判定条件!$C$7*Z551,"運転",IF(AA551&lt;=判定条件!$C$8*Z551,"停止","断続")))</f>
        <v>断続</v>
      </c>
      <c r="AC551" s="30" t="n">
        <v>60</v>
      </c>
      <c r="AD551" s="30" t="n">
        <v>0</v>
      </c>
      <c r="AE551" s="30" t="str">
        <f aca="false">IF(AC551&lt;判定条件!$C$6,"判定不能",IF(AD551&gt;=判定条件!$C$7*AC551,"運転",IF(AD551&lt;=判定条件!$C$8*AC551,"停止","断続")))</f>
        <v>停止</v>
      </c>
      <c r="AF551" s="30" t="n">
        <v>60</v>
      </c>
      <c r="AG551" s="30" t="n">
        <v>5</v>
      </c>
      <c r="AH551" s="30" t="str">
        <f aca="false">IF(OR(P551="判定不能",G551="判定不能"),"判定不能",IF(AG551&gt;=判定条件!$C$9,"利用可",IF(AND(P551="停止",G551="停止"),"両方停止","運転がそろわない")))</f>
        <v>運転がそろわない</v>
      </c>
      <c r="AI551" s="30" t="n">
        <v>0</v>
      </c>
      <c r="AJ551" s="30" t="n">
        <v>0</v>
      </c>
      <c r="AK551" s="30" t="str">
        <f aca="false">IF(OR(S551="判定不能",J551="判定不能"),"判定不能",IF(AJ551&gt;=判定条件!$C$9,"利用可",IF(AND(S551="停止",J551="停止"),"両方停止","運転がそろわない")))</f>
        <v>判定不能</v>
      </c>
      <c r="AL551" s="30" t="n">
        <v>60</v>
      </c>
      <c r="AM551" s="30" t="n">
        <v>51</v>
      </c>
      <c r="AN551" s="30" t="str">
        <f aca="false">IF(OR(V551="判定不能",M551="判定不能"),"判定不能",IF(AM551&gt;=判定条件!$C$9,"利用可",IF(AND(V551="停止",M551="停止"),"両方停止","運転がそろわない")))</f>
        <v>利用可</v>
      </c>
      <c r="AO551" s="30" t="n">
        <v>60</v>
      </c>
      <c r="AP551" s="30" t="n">
        <v>33</v>
      </c>
      <c r="AQ551" s="30" t="str">
        <f aca="false">IF(OR(Y551="判定不能",G551="判定不能"),"判定不能",IF(AP551&gt;=判定条件!$C$9,"利用可",IF(AND(Y551="停止",G551="停止"),"両方停止","運転がそろわない")))</f>
        <v>利用可</v>
      </c>
      <c r="AR551" s="30" t="n">
        <v>60</v>
      </c>
      <c r="AS551" s="30" t="n">
        <v>31</v>
      </c>
      <c r="AT551" s="30" t="str">
        <f aca="false">IF(OR(AB551="判定不能",J551="判定不能"),"判定不能",IF(AS551&gt;=判定条件!$C$9,"利用可",IF(AND(AB551="停止",J551="停止"),"両方停止","運転がそろわない")))</f>
        <v>利用可</v>
      </c>
      <c r="AU551" s="30" t="n">
        <v>60</v>
      </c>
      <c r="AV551" s="30" t="n">
        <v>0</v>
      </c>
      <c r="AW551" s="30" t="str">
        <f aca="false">IF(OR(AE551="判定不能",M551="判定不能"),"判定不能",IF(AV551&gt;=判定条件!$C$9,"利用可",IF(AND(AE551="停止",M551="停止"),"両方停止","運転がそろわない")))</f>
        <v>運転がそろわない</v>
      </c>
      <c r="AX551" s="30" t="str">
        <f aca="false">IF(AND(AH551="利用可",AK551="利用可",AN551="利用可"),"利用可","不可")</f>
        <v>不可</v>
      </c>
      <c r="AY551" s="30" t="str">
        <f aca="false">IF(AND(AQ551="利用可",AT551="利用可",AW551="利用可"),"利用可","不可")</f>
        <v>不可</v>
      </c>
    </row>
    <row r="552" customFormat="false" ht="15" hidden="false" customHeight="false" outlineLevel="0" collapsed="false">
      <c r="A552" s="29" t="n">
        <v>46254</v>
      </c>
      <c r="B552" s="30" t="n">
        <v>21</v>
      </c>
      <c r="C552" s="31" t="s">
        <v>61</v>
      </c>
      <c r="D552" s="31" t="s">
        <v>59</v>
      </c>
      <c r="E552" s="30" t="n">
        <v>60</v>
      </c>
      <c r="F552" s="30" t="n">
        <v>0</v>
      </c>
      <c r="G552" s="30" t="str">
        <f aca="false">IF(E552&lt;判定条件!$C$6,"判定不能",IF(F552&gt;=判定条件!$C$7*E552,"運転",IF(F552&lt;=判定条件!$C$8*E552,"停止","断続")))</f>
        <v>停止</v>
      </c>
      <c r="H552" s="30" t="n">
        <v>60</v>
      </c>
      <c r="I552" s="30" t="n">
        <v>0</v>
      </c>
      <c r="J552" s="30" t="str">
        <f aca="false">IF(H552&lt;判定条件!$C$6,"判定不能",IF(I552&gt;=判定条件!$C$7*H552,"運転",IF(I552&lt;=判定条件!$C$8*H552,"停止","断続")))</f>
        <v>停止</v>
      </c>
      <c r="K552" s="30" t="n">
        <v>60</v>
      </c>
      <c r="L552" s="30" t="n">
        <v>0</v>
      </c>
      <c r="M552" s="30" t="str">
        <f aca="false">IF(K552&lt;判定条件!$C$6,"判定不能",IF(L552&gt;=判定条件!$C$7*K552,"運転",IF(L552&lt;=判定条件!$C$8*K552,"停止","断続")))</f>
        <v>停止</v>
      </c>
      <c r="N552" s="30" t="n">
        <v>60</v>
      </c>
      <c r="O552" s="30" t="n">
        <v>0</v>
      </c>
      <c r="P552" s="30" t="str">
        <f aca="false">IF(N552&lt;判定条件!$C$6,"判定不能",IF(O552&gt;=判定条件!$C$7*N552,"運転",IF(O552&lt;=判定条件!$C$8*N552,"停止","断続")))</f>
        <v>停止</v>
      </c>
      <c r="Q552" s="30" t="n">
        <v>0</v>
      </c>
      <c r="R552" s="30" t="n">
        <v>0</v>
      </c>
      <c r="S552" s="30" t="str">
        <f aca="false">IF(Q552&lt;判定条件!$C$6,"判定不能",IF(R552&gt;=判定条件!$C$7*Q552,"運転",IF(R552&lt;=判定条件!$C$8*Q552,"停止","断続")))</f>
        <v>判定不能</v>
      </c>
      <c r="T552" s="30" t="n">
        <v>60</v>
      </c>
      <c r="U552" s="30" t="n">
        <v>29</v>
      </c>
      <c r="V552" s="30" t="str">
        <f aca="false">IF(T552&lt;判定条件!$C$6,"判定不能",IF(U552&gt;=判定条件!$C$7*T552,"運転",IF(U552&lt;=判定条件!$C$8*T552,"停止","断続")))</f>
        <v>断続</v>
      </c>
      <c r="W552" s="30" t="n">
        <v>60</v>
      </c>
      <c r="X552" s="30" t="n">
        <v>39</v>
      </c>
      <c r="Y552" s="30" t="str">
        <f aca="false">IF(W552&lt;判定条件!$C$6,"判定不能",IF(X552&gt;=判定条件!$C$7*W552,"運転",IF(X552&lt;=判定条件!$C$8*W552,"停止","断続")))</f>
        <v>断続</v>
      </c>
      <c r="Z552" s="30" t="n">
        <v>60</v>
      </c>
      <c r="AA552" s="30" t="n">
        <v>40</v>
      </c>
      <c r="AB552" s="30" t="str">
        <f aca="false">IF(Z552&lt;判定条件!$C$6,"判定不能",IF(AA552&gt;=判定条件!$C$7*Z552,"運転",IF(AA552&lt;=判定条件!$C$8*Z552,"停止","断続")))</f>
        <v>断続</v>
      </c>
      <c r="AC552" s="30" t="n">
        <v>60</v>
      </c>
      <c r="AD552" s="30" t="n">
        <v>0</v>
      </c>
      <c r="AE552" s="30" t="str">
        <f aca="false">IF(AC552&lt;判定条件!$C$6,"判定不能",IF(AD552&gt;=判定条件!$C$7*AC552,"運転",IF(AD552&lt;=判定条件!$C$8*AC552,"停止","断続")))</f>
        <v>停止</v>
      </c>
      <c r="AF552" s="30" t="n">
        <v>60</v>
      </c>
      <c r="AG552" s="30" t="n">
        <v>0</v>
      </c>
      <c r="AH552" s="30" t="str">
        <f aca="false">IF(OR(P552="判定不能",G552="判定不能"),"判定不能",IF(AG552&gt;=判定条件!$C$9,"利用可",IF(AND(P552="停止",G552="停止"),"両方停止","運転がそろわない")))</f>
        <v>両方停止</v>
      </c>
      <c r="AI552" s="30" t="n">
        <v>0</v>
      </c>
      <c r="AJ552" s="30" t="n">
        <v>0</v>
      </c>
      <c r="AK552" s="30" t="str">
        <f aca="false">IF(OR(S552="判定不能",J552="判定不能"),"判定不能",IF(AJ552&gt;=判定条件!$C$9,"利用可",IF(AND(S552="停止",J552="停止"),"両方停止","運転がそろわない")))</f>
        <v>判定不能</v>
      </c>
      <c r="AL552" s="30" t="n">
        <v>60</v>
      </c>
      <c r="AM552" s="30" t="n">
        <v>0</v>
      </c>
      <c r="AN552" s="30" t="str">
        <f aca="false">IF(OR(V552="判定不能",M552="判定不能"),"判定不能",IF(AM552&gt;=判定条件!$C$9,"利用可",IF(AND(V552="停止",M552="停止"),"両方停止","運転がそろわない")))</f>
        <v>運転がそろわない</v>
      </c>
      <c r="AO552" s="30" t="n">
        <v>60</v>
      </c>
      <c r="AP552" s="30" t="n">
        <v>0</v>
      </c>
      <c r="AQ552" s="30" t="str">
        <f aca="false">IF(OR(Y552="判定不能",G552="判定不能"),"判定不能",IF(AP552&gt;=判定条件!$C$9,"利用可",IF(AND(Y552="停止",G552="停止"),"両方停止","運転がそろわない")))</f>
        <v>運転がそろわない</v>
      </c>
      <c r="AR552" s="30" t="n">
        <v>60</v>
      </c>
      <c r="AS552" s="30" t="n">
        <v>0</v>
      </c>
      <c r="AT552" s="30" t="str">
        <f aca="false">IF(OR(AB552="判定不能",J552="判定不能"),"判定不能",IF(AS552&gt;=判定条件!$C$9,"利用可",IF(AND(AB552="停止",J552="停止"),"両方停止","運転がそろわない")))</f>
        <v>運転がそろわない</v>
      </c>
      <c r="AU552" s="30" t="n">
        <v>60</v>
      </c>
      <c r="AV552" s="30" t="n">
        <v>0</v>
      </c>
      <c r="AW552" s="30" t="str">
        <f aca="false">IF(OR(AE552="判定不能",M552="判定不能"),"判定不能",IF(AV552&gt;=判定条件!$C$9,"利用可",IF(AND(AE552="停止",M552="停止"),"両方停止","運転がそろわない")))</f>
        <v>両方停止</v>
      </c>
      <c r="AX552" s="30" t="str">
        <f aca="false">IF(AND(AH552="利用可",AK552="利用可",AN552="利用可"),"利用可","不可")</f>
        <v>不可</v>
      </c>
      <c r="AY552" s="30" t="str">
        <f aca="false">IF(AND(AQ552="利用可",AT552="利用可",AW552="利用可"),"利用可","不可")</f>
        <v>不可</v>
      </c>
    </row>
    <row r="553" customFormat="false" ht="15" hidden="false" customHeight="false" outlineLevel="0" collapsed="false">
      <c r="A553" s="29" t="n">
        <v>46254</v>
      </c>
      <c r="B553" s="30" t="n">
        <v>22</v>
      </c>
      <c r="C553" s="31" t="s">
        <v>61</v>
      </c>
      <c r="D553" s="31" t="s">
        <v>59</v>
      </c>
      <c r="E553" s="30" t="n">
        <v>60</v>
      </c>
      <c r="F553" s="30" t="n">
        <v>0</v>
      </c>
      <c r="G553" s="30" t="str">
        <f aca="false">IF(E553&lt;判定条件!$C$6,"判定不能",IF(F553&gt;=判定条件!$C$7*E553,"運転",IF(F553&lt;=判定条件!$C$8*E553,"停止","断続")))</f>
        <v>停止</v>
      </c>
      <c r="H553" s="30" t="n">
        <v>60</v>
      </c>
      <c r="I553" s="30" t="n">
        <v>0</v>
      </c>
      <c r="J553" s="30" t="str">
        <f aca="false">IF(H553&lt;判定条件!$C$6,"判定不能",IF(I553&gt;=判定条件!$C$7*H553,"運転",IF(I553&lt;=判定条件!$C$8*H553,"停止","断続")))</f>
        <v>停止</v>
      </c>
      <c r="K553" s="30" t="n">
        <v>60</v>
      </c>
      <c r="L553" s="30" t="n">
        <v>0</v>
      </c>
      <c r="M553" s="30" t="str">
        <f aca="false">IF(K553&lt;判定条件!$C$6,"判定不能",IF(L553&gt;=判定条件!$C$7*K553,"運転",IF(L553&lt;=判定条件!$C$8*K553,"停止","断続")))</f>
        <v>停止</v>
      </c>
      <c r="N553" s="30" t="n">
        <v>60</v>
      </c>
      <c r="O553" s="30" t="n">
        <v>0</v>
      </c>
      <c r="P553" s="30" t="str">
        <f aca="false">IF(N553&lt;判定条件!$C$6,"判定不能",IF(O553&gt;=判定条件!$C$7*N553,"運転",IF(O553&lt;=判定条件!$C$8*N553,"停止","断続")))</f>
        <v>停止</v>
      </c>
      <c r="Q553" s="30" t="n">
        <v>0</v>
      </c>
      <c r="R553" s="30" t="n">
        <v>0</v>
      </c>
      <c r="S553" s="30" t="str">
        <f aca="false">IF(Q553&lt;判定条件!$C$6,"判定不能",IF(R553&gt;=判定条件!$C$7*Q553,"運転",IF(R553&lt;=判定条件!$C$8*Q553,"停止","断続")))</f>
        <v>判定不能</v>
      </c>
      <c r="T553" s="30" t="n">
        <v>60</v>
      </c>
      <c r="U553" s="30" t="n">
        <v>0</v>
      </c>
      <c r="V553" s="30" t="str">
        <f aca="false">IF(T553&lt;判定条件!$C$6,"判定不能",IF(U553&gt;=判定条件!$C$7*T553,"運転",IF(U553&lt;=判定条件!$C$8*T553,"停止","断続")))</f>
        <v>停止</v>
      </c>
      <c r="W553" s="30" t="n">
        <v>60</v>
      </c>
      <c r="X553" s="30" t="n">
        <v>2</v>
      </c>
      <c r="Y553" s="30" t="str">
        <f aca="false">IF(W553&lt;判定条件!$C$6,"判定不能",IF(X553&gt;=判定条件!$C$7*W553,"運転",IF(X553&lt;=判定条件!$C$8*W553,"停止","断続")))</f>
        <v>停止</v>
      </c>
      <c r="Z553" s="30" t="n">
        <v>60</v>
      </c>
      <c r="AA553" s="30" t="n">
        <v>4</v>
      </c>
      <c r="AB553" s="30" t="str">
        <f aca="false">IF(Z553&lt;判定条件!$C$6,"判定不能",IF(AA553&gt;=判定条件!$C$7*Z553,"運転",IF(AA553&lt;=判定条件!$C$8*Z553,"停止","断続")))</f>
        <v>停止</v>
      </c>
      <c r="AC553" s="30" t="n">
        <v>60</v>
      </c>
      <c r="AD553" s="30" t="n">
        <v>0</v>
      </c>
      <c r="AE553" s="30" t="str">
        <f aca="false">IF(AC553&lt;判定条件!$C$6,"判定不能",IF(AD553&gt;=判定条件!$C$7*AC553,"運転",IF(AD553&lt;=判定条件!$C$8*AC553,"停止","断続")))</f>
        <v>停止</v>
      </c>
      <c r="AF553" s="30" t="n">
        <v>60</v>
      </c>
      <c r="AG553" s="30" t="n">
        <v>0</v>
      </c>
      <c r="AH553" s="30" t="str">
        <f aca="false">IF(OR(P553="判定不能",G553="判定不能"),"判定不能",IF(AG553&gt;=判定条件!$C$9,"利用可",IF(AND(P553="停止",G553="停止"),"両方停止","運転がそろわない")))</f>
        <v>両方停止</v>
      </c>
      <c r="AI553" s="30" t="n">
        <v>0</v>
      </c>
      <c r="AJ553" s="30" t="n">
        <v>0</v>
      </c>
      <c r="AK553" s="30" t="str">
        <f aca="false">IF(OR(S553="判定不能",J553="判定不能"),"判定不能",IF(AJ553&gt;=判定条件!$C$9,"利用可",IF(AND(S553="停止",J553="停止"),"両方停止","運転がそろわない")))</f>
        <v>判定不能</v>
      </c>
      <c r="AL553" s="30" t="n">
        <v>60</v>
      </c>
      <c r="AM553" s="30" t="n">
        <v>0</v>
      </c>
      <c r="AN553" s="30" t="str">
        <f aca="false">IF(OR(V553="判定不能",M553="判定不能"),"判定不能",IF(AM553&gt;=判定条件!$C$9,"利用可",IF(AND(V553="停止",M553="停止"),"両方停止","運転がそろわない")))</f>
        <v>両方停止</v>
      </c>
      <c r="AO553" s="30" t="n">
        <v>60</v>
      </c>
      <c r="AP553" s="30" t="n">
        <v>0</v>
      </c>
      <c r="AQ553" s="30" t="str">
        <f aca="false">IF(OR(Y553="判定不能",G553="判定不能"),"判定不能",IF(AP553&gt;=判定条件!$C$9,"利用可",IF(AND(Y553="停止",G553="停止"),"両方停止","運転がそろわない")))</f>
        <v>両方停止</v>
      </c>
      <c r="AR553" s="30" t="n">
        <v>60</v>
      </c>
      <c r="AS553" s="30" t="n">
        <v>0</v>
      </c>
      <c r="AT553" s="30" t="str">
        <f aca="false">IF(OR(AB553="判定不能",J553="判定不能"),"判定不能",IF(AS553&gt;=判定条件!$C$9,"利用可",IF(AND(AB553="停止",J553="停止"),"両方停止","運転がそろわない")))</f>
        <v>両方停止</v>
      </c>
      <c r="AU553" s="30" t="n">
        <v>60</v>
      </c>
      <c r="AV553" s="30" t="n">
        <v>0</v>
      </c>
      <c r="AW553" s="30" t="str">
        <f aca="false">IF(OR(AE553="判定不能",M553="判定不能"),"判定不能",IF(AV553&gt;=判定条件!$C$9,"利用可",IF(AND(AE553="停止",M553="停止"),"両方停止","運転がそろわない")))</f>
        <v>両方停止</v>
      </c>
      <c r="AX553" s="30" t="str">
        <f aca="false">IF(AND(AH553="利用可",AK553="利用可",AN553="利用可"),"利用可","不可")</f>
        <v>不可</v>
      </c>
      <c r="AY553" s="30" t="str">
        <f aca="false">IF(AND(AQ553="利用可",AT553="利用可",AW553="利用可"),"利用可","不可")</f>
        <v>不可</v>
      </c>
    </row>
    <row r="554" customFormat="false" ht="15" hidden="false" customHeight="false" outlineLevel="0" collapsed="false">
      <c r="A554" s="29" t="n">
        <v>46254</v>
      </c>
      <c r="B554" s="30" t="n">
        <v>23</v>
      </c>
      <c r="C554" s="31" t="s">
        <v>61</v>
      </c>
      <c r="D554" s="31" t="s">
        <v>59</v>
      </c>
      <c r="E554" s="30" t="n">
        <v>60</v>
      </c>
      <c r="F554" s="30" t="n">
        <v>0</v>
      </c>
      <c r="G554" s="30" t="str">
        <f aca="false">IF(E554&lt;判定条件!$C$6,"判定不能",IF(F554&gt;=判定条件!$C$7*E554,"運転",IF(F554&lt;=判定条件!$C$8*E554,"停止","断続")))</f>
        <v>停止</v>
      </c>
      <c r="H554" s="30" t="n">
        <v>60</v>
      </c>
      <c r="I554" s="30" t="n">
        <v>0</v>
      </c>
      <c r="J554" s="30" t="str">
        <f aca="false">IF(H554&lt;判定条件!$C$6,"判定不能",IF(I554&gt;=判定条件!$C$7*H554,"運転",IF(I554&lt;=判定条件!$C$8*H554,"停止","断続")))</f>
        <v>停止</v>
      </c>
      <c r="K554" s="30" t="n">
        <v>60</v>
      </c>
      <c r="L554" s="30" t="n">
        <v>0</v>
      </c>
      <c r="M554" s="30" t="str">
        <f aca="false">IF(K554&lt;判定条件!$C$6,"判定不能",IF(L554&gt;=判定条件!$C$7*K554,"運転",IF(L554&lt;=判定条件!$C$8*K554,"停止","断続")))</f>
        <v>停止</v>
      </c>
      <c r="N554" s="30" t="n">
        <v>60</v>
      </c>
      <c r="O554" s="30" t="n">
        <v>0</v>
      </c>
      <c r="P554" s="30" t="str">
        <f aca="false">IF(N554&lt;判定条件!$C$6,"判定不能",IF(O554&gt;=判定条件!$C$7*N554,"運転",IF(O554&lt;=判定条件!$C$8*N554,"停止","断続")))</f>
        <v>停止</v>
      </c>
      <c r="Q554" s="30" t="n">
        <v>0</v>
      </c>
      <c r="R554" s="30" t="n">
        <v>0</v>
      </c>
      <c r="S554" s="30" t="str">
        <f aca="false">IF(Q554&lt;判定条件!$C$6,"判定不能",IF(R554&gt;=判定条件!$C$7*Q554,"運転",IF(R554&lt;=判定条件!$C$8*Q554,"停止","断続")))</f>
        <v>判定不能</v>
      </c>
      <c r="T554" s="30" t="n">
        <v>60</v>
      </c>
      <c r="U554" s="30" t="n">
        <v>0</v>
      </c>
      <c r="V554" s="30" t="str">
        <f aca="false">IF(T554&lt;判定条件!$C$6,"判定不能",IF(U554&gt;=判定条件!$C$7*T554,"運転",IF(U554&lt;=判定条件!$C$8*T554,"停止","断続")))</f>
        <v>停止</v>
      </c>
      <c r="W554" s="30" t="n">
        <v>60</v>
      </c>
      <c r="X554" s="30" t="n">
        <v>0</v>
      </c>
      <c r="Y554" s="30" t="str">
        <f aca="false">IF(W554&lt;判定条件!$C$6,"判定不能",IF(X554&gt;=判定条件!$C$7*W554,"運転",IF(X554&lt;=判定条件!$C$8*W554,"停止","断続")))</f>
        <v>停止</v>
      </c>
      <c r="Z554" s="30" t="n">
        <v>60</v>
      </c>
      <c r="AA554" s="30" t="n">
        <v>0</v>
      </c>
      <c r="AB554" s="30" t="str">
        <f aca="false">IF(Z554&lt;判定条件!$C$6,"判定不能",IF(AA554&gt;=判定条件!$C$7*Z554,"運転",IF(AA554&lt;=判定条件!$C$8*Z554,"停止","断続")))</f>
        <v>停止</v>
      </c>
      <c r="AC554" s="30" t="n">
        <v>60</v>
      </c>
      <c r="AD554" s="30" t="n">
        <v>0</v>
      </c>
      <c r="AE554" s="30" t="str">
        <f aca="false">IF(AC554&lt;判定条件!$C$6,"判定不能",IF(AD554&gt;=判定条件!$C$7*AC554,"運転",IF(AD554&lt;=判定条件!$C$8*AC554,"停止","断続")))</f>
        <v>停止</v>
      </c>
      <c r="AF554" s="30" t="n">
        <v>60</v>
      </c>
      <c r="AG554" s="30" t="n">
        <v>0</v>
      </c>
      <c r="AH554" s="30" t="str">
        <f aca="false">IF(OR(P554="判定不能",G554="判定不能"),"判定不能",IF(AG554&gt;=判定条件!$C$9,"利用可",IF(AND(P554="停止",G554="停止"),"両方停止","運転がそろわない")))</f>
        <v>両方停止</v>
      </c>
      <c r="AI554" s="30" t="n">
        <v>0</v>
      </c>
      <c r="AJ554" s="30" t="n">
        <v>0</v>
      </c>
      <c r="AK554" s="30" t="str">
        <f aca="false">IF(OR(S554="判定不能",J554="判定不能"),"判定不能",IF(AJ554&gt;=判定条件!$C$9,"利用可",IF(AND(S554="停止",J554="停止"),"両方停止","運転がそろわない")))</f>
        <v>判定不能</v>
      </c>
      <c r="AL554" s="30" t="n">
        <v>60</v>
      </c>
      <c r="AM554" s="30" t="n">
        <v>0</v>
      </c>
      <c r="AN554" s="30" t="str">
        <f aca="false">IF(OR(V554="判定不能",M554="判定不能"),"判定不能",IF(AM554&gt;=判定条件!$C$9,"利用可",IF(AND(V554="停止",M554="停止"),"両方停止","運転がそろわない")))</f>
        <v>両方停止</v>
      </c>
      <c r="AO554" s="30" t="n">
        <v>60</v>
      </c>
      <c r="AP554" s="30" t="n">
        <v>0</v>
      </c>
      <c r="AQ554" s="30" t="str">
        <f aca="false">IF(OR(Y554="判定不能",G554="判定不能"),"判定不能",IF(AP554&gt;=判定条件!$C$9,"利用可",IF(AND(Y554="停止",G554="停止"),"両方停止","運転がそろわない")))</f>
        <v>両方停止</v>
      </c>
      <c r="AR554" s="30" t="n">
        <v>60</v>
      </c>
      <c r="AS554" s="30" t="n">
        <v>0</v>
      </c>
      <c r="AT554" s="30" t="str">
        <f aca="false">IF(OR(AB554="判定不能",J554="判定不能"),"判定不能",IF(AS554&gt;=判定条件!$C$9,"利用可",IF(AND(AB554="停止",J554="停止"),"両方停止","運転がそろわない")))</f>
        <v>両方停止</v>
      </c>
      <c r="AU554" s="30" t="n">
        <v>60</v>
      </c>
      <c r="AV554" s="30" t="n">
        <v>0</v>
      </c>
      <c r="AW554" s="30" t="str">
        <f aca="false">IF(OR(AE554="判定不能",M554="判定不能"),"判定不能",IF(AV554&gt;=判定条件!$C$9,"利用可",IF(AND(AE554="停止",M554="停止"),"両方停止","運転がそろわない")))</f>
        <v>両方停止</v>
      </c>
      <c r="AX554" s="30" t="str">
        <f aca="false">IF(AND(AH554="利用可",AK554="利用可",AN554="利用可"),"利用可","不可")</f>
        <v>不可</v>
      </c>
      <c r="AY554" s="30" t="str">
        <f aca="false">IF(AND(AQ554="利用可",AT554="利用可",AW554="利用可"),"利用可","不可")</f>
        <v>不可</v>
      </c>
    </row>
    <row r="555" customFormat="false" ht="15" hidden="false" customHeight="false" outlineLevel="0" collapsed="false">
      <c r="A555" s="29" t="n">
        <v>46255</v>
      </c>
      <c r="B555" s="30" t="n">
        <v>0</v>
      </c>
      <c r="C555" s="31" t="s">
        <v>62</v>
      </c>
      <c r="D555" s="31" t="s">
        <v>59</v>
      </c>
      <c r="E555" s="30" t="n">
        <v>60</v>
      </c>
      <c r="F555" s="30" t="n">
        <v>0</v>
      </c>
      <c r="G555" s="30" t="str">
        <f aca="false">IF(E555&lt;判定条件!$C$6,"判定不能",IF(F555&gt;=判定条件!$C$7*E555,"運転",IF(F555&lt;=判定条件!$C$8*E555,"停止","断続")))</f>
        <v>停止</v>
      </c>
      <c r="H555" s="30" t="n">
        <v>60</v>
      </c>
      <c r="I555" s="30" t="n">
        <v>0</v>
      </c>
      <c r="J555" s="30" t="str">
        <f aca="false">IF(H555&lt;判定条件!$C$6,"判定不能",IF(I555&gt;=判定条件!$C$7*H555,"運転",IF(I555&lt;=判定条件!$C$8*H555,"停止","断続")))</f>
        <v>停止</v>
      </c>
      <c r="K555" s="30" t="n">
        <v>60</v>
      </c>
      <c r="L555" s="30" t="n">
        <v>0</v>
      </c>
      <c r="M555" s="30" t="str">
        <f aca="false">IF(K555&lt;判定条件!$C$6,"判定不能",IF(L555&gt;=判定条件!$C$7*K555,"運転",IF(L555&lt;=判定条件!$C$8*K555,"停止","断続")))</f>
        <v>停止</v>
      </c>
      <c r="N555" s="30" t="n">
        <v>60</v>
      </c>
      <c r="O555" s="30" t="n">
        <v>0</v>
      </c>
      <c r="P555" s="30" t="str">
        <f aca="false">IF(N555&lt;判定条件!$C$6,"判定不能",IF(O555&gt;=判定条件!$C$7*N555,"運転",IF(O555&lt;=判定条件!$C$8*N555,"停止","断続")))</f>
        <v>停止</v>
      </c>
      <c r="Q555" s="30" t="n">
        <v>0</v>
      </c>
      <c r="R555" s="30" t="n">
        <v>0</v>
      </c>
      <c r="S555" s="30" t="str">
        <f aca="false">IF(Q555&lt;判定条件!$C$6,"判定不能",IF(R555&gt;=判定条件!$C$7*Q555,"運転",IF(R555&lt;=判定条件!$C$8*Q555,"停止","断続")))</f>
        <v>判定不能</v>
      </c>
      <c r="T555" s="30" t="n">
        <v>60</v>
      </c>
      <c r="U555" s="30" t="n">
        <v>0</v>
      </c>
      <c r="V555" s="30" t="str">
        <f aca="false">IF(T555&lt;判定条件!$C$6,"判定不能",IF(U555&gt;=判定条件!$C$7*T555,"運転",IF(U555&lt;=判定条件!$C$8*T555,"停止","断続")))</f>
        <v>停止</v>
      </c>
      <c r="W555" s="30" t="n">
        <v>60</v>
      </c>
      <c r="X555" s="30" t="n">
        <v>0</v>
      </c>
      <c r="Y555" s="30" t="str">
        <f aca="false">IF(W555&lt;判定条件!$C$6,"判定不能",IF(X555&gt;=判定条件!$C$7*W555,"運転",IF(X555&lt;=判定条件!$C$8*W555,"停止","断続")))</f>
        <v>停止</v>
      </c>
      <c r="Z555" s="30" t="n">
        <v>60</v>
      </c>
      <c r="AA555" s="30" t="n">
        <v>0</v>
      </c>
      <c r="AB555" s="30" t="str">
        <f aca="false">IF(Z555&lt;判定条件!$C$6,"判定不能",IF(AA555&gt;=判定条件!$C$7*Z555,"運転",IF(AA555&lt;=判定条件!$C$8*Z555,"停止","断続")))</f>
        <v>停止</v>
      </c>
      <c r="AC555" s="30" t="n">
        <v>60</v>
      </c>
      <c r="AD555" s="30" t="n">
        <v>0</v>
      </c>
      <c r="AE555" s="30" t="str">
        <f aca="false">IF(AC555&lt;判定条件!$C$6,"判定不能",IF(AD555&gt;=判定条件!$C$7*AC555,"運転",IF(AD555&lt;=判定条件!$C$8*AC555,"停止","断続")))</f>
        <v>停止</v>
      </c>
      <c r="AF555" s="30" t="n">
        <v>60</v>
      </c>
      <c r="AG555" s="30" t="n">
        <v>0</v>
      </c>
      <c r="AH555" s="30" t="str">
        <f aca="false">IF(OR(P555="判定不能",G555="判定不能"),"判定不能",IF(AG555&gt;=判定条件!$C$9,"利用可",IF(AND(P555="停止",G555="停止"),"両方停止","運転がそろわない")))</f>
        <v>両方停止</v>
      </c>
      <c r="AI555" s="30" t="n">
        <v>0</v>
      </c>
      <c r="AJ555" s="30" t="n">
        <v>0</v>
      </c>
      <c r="AK555" s="30" t="str">
        <f aca="false">IF(OR(S555="判定不能",J555="判定不能"),"判定不能",IF(AJ555&gt;=判定条件!$C$9,"利用可",IF(AND(S555="停止",J555="停止"),"両方停止","運転がそろわない")))</f>
        <v>判定不能</v>
      </c>
      <c r="AL555" s="30" t="n">
        <v>60</v>
      </c>
      <c r="AM555" s="30" t="n">
        <v>0</v>
      </c>
      <c r="AN555" s="30" t="str">
        <f aca="false">IF(OR(V555="判定不能",M555="判定不能"),"判定不能",IF(AM555&gt;=判定条件!$C$9,"利用可",IF(AND(V555="停止",M555="停止"),"両方停止","運転がそろわない")))</f>
        <v>両方停止</v>
      </c>
      <c r="AO555" s="30" t="n">
        <v>60</v>
      </c>
      <c r="AP555" s="30" t="n">
        <v>0</v>
      </c>
      <c r="AQ555" s="30" t="str">
        <f aca="false">IF(OR(Y555="判定不能",G555="判定不能"),"判定不能",IF(AP555&gt;=判定条件!$C$9,"利用可",IF(AND(Y555="停止",G555="停止"),"両方停止","運転がそろわない")))</f>
        <v>両方停止</v>
      </c>
      <c r="AR555" s="30" t="n">
        <v>60</v>
      </c>
      <c r="AS555" s="30" t="n">
        <v>0</v>
      </c>
      <c r="AT555" s="30" t="str">
        <f aca="false">IF(OR(AB555="判定不能",J555="判定不能"),"判定不能",IF(AS555&gt;=判定条件!$C$9,"利用可",IF(AND(AB555="停止",J555="停止"),"両方停止","運転がそろわない")))</f>
        <v>両方停止</v>
      </c>
      <c r="AU555" s="30" t="n">
        <v>60</v>
      </c>
      <c r="AV555" s="30" t="n">
        <v>0</v>
      </c>
      <c r="AW555" s="30" t="str">
        <f aca="false">IF(OR(AE555="判定不能",M555="判定不能"),"判定不能",IF(AV555&gt;=判定条件!$C$9,"利用可",IF(AND(AE555="停止",M555="停止"),"両方停止","運転がそろわない")))</f>
        <v>両方停止</v>
      </c>
      <c r="AX555" s="30" t="str">
        <f aca="false">IF(AND(AH555="利用可",AK555="利用可",AN555="利用可"),"利用可","不可")</f>
        <v>不可</v>
      </c>
      <c r="AY555" s="30" t="str">
        <f aca="false">IF(AND(AQ555="利用可",AT555="利用可",AW555="利用可"),"利用可","不可")</f>
        <v>不可</v>
      </c>
    </row>
    <row r="556" customFormat="false" ht="15" hidden="false" customHeight="false" outlineLevel="0" collapsed="false">
      <c r="A556" s="29" t="n">
        <v>46255</v>
      </c>
      <c r="B556" s="30" t="n">
        <v>1</v>
      </c>
      <c r="C556" s="31" t="s">
        <v>62</v>
      </c>
      <c r="D556" s="31" t="s">
        <v>59</v>
      </c>
      <c r="E556" s="30" t="n">
        <v>60</v>
      </c>
      <c r="F556" s="30" t="n">
        <v>0</v>
      </c>
      <c r="G556" s="30" t="str">
        <f aca="false">IF(E556&lt;判定条件!$C$6,"判定不能",IF(F556&gt;=判定条件!$C$7*E556,"運転",IF(F556&lt;=判定条件!$C$8*E556,"停止","断続")))</f>
        <v>停止</v>
      </c>
      <c r="H556" s="30" t="n">
        <v>60</v>
      </c>
      <c r="I556" s="30" t="n">
        <v>0</v>
      </c>
      <c r="J556" s="30" t="str">
        <f aca="false">IF(H556&lt;判定条件!$C$6,"判定不能",IF(I556&gt;=判定条件!$C$7*H556,"運転",IF(I556&lt;=判定条件!$C$8*H556,"停止","断続")))</f>
        <v>停止</v>
      </c>
      <c r="K556" s="30" t="n">
        <v>60</v>
      </c>
      <c r="L556" s="30" t="n">
        <v>0</v>
      </c>
      <c r="M556" s="30" t="str">
        <f aca="false">IF(K556&lt;判定条件!$C$6,"判定不能",IF(L556&gt;=判定条件!$C$7*K556,"運転",IF(L556&lt;=判定条件!$C$8*K556,"停止","断続")))</f>
        <v>停止</v>
      </c>
      <c r="N556" s="30" t="n">
        <v>60</v>
      </c>
      <c r="O556" s="30" t="n">
        <v>0</v>
      </c>
      <c r="P556" s="30" t="str">
        <f aca="false">IF(N556&lt;判定条件!$C$6,"判定不能",IF(O556&gt;=判定条件!$C$7*N556,"運転",IF(O556&lt;=判定条件!$C$8*N556,"停止","断続")))</f>
        <v>停止</v>
      </c>
      <c r="Q556" s="30" t="n">
        <v>0</v>
      </c>
      <c r="R556" s="30" t="n">
        <v>0</v>
      </c>
      <c r="S556" s="30" t="str">
        <f aca="false">IF(Q556&lt;判定条件!$C$6,"判定不能",IF(R556&gt;=判定条件!$C$7*Q556,"運転",IF(R556&lt;=判定条件!$C$8*Q556,"停止","断続")))</f>
        <v>判定不能</v>
      </c>
      <c r="T556" s="30" t="n">
        <v>60</v>
      </c>
      <c r="U556" s="30" t="n">
        <v>0</v>
      </c>
      <c r="V556" s="30" t="str">
        <f aca="false">IF(T556&lt;判定条件!$C$6,"判定不能",IF(U556&gt;=判定条件!$C$7*T556,"運転",IF(U556&lt;=判定条件!$C$8*T556,"停止","断続")))</f>
        <v>停止</v>
      </c>
      <c r="W556" s="30" t="n">
        <v>60</v>
      </c>
      <c r="X556" s="30" t="n">
        <v>0</v>
      </c>
      <c r="Y556" s="30" t="str">
        <f aca="false">IF(W556&lt;判定条件!$C$6,"判定不能",IF(X556&gt;=判定条件!$C$7*W556,"運転",IF(X556&lt;=判定条件!$C$8*W556,"停止","断続")))</f>
        <v>停止</v>
      </c>
      <c r="Z556" s="30" t="n">
        <v>60</v>
      </c>
      <c r="AA556" s="30" t="n">
        <v>0</v>
      </c>
      <c r="AB556" s="30" t="str">
        <f aca="false">IF(Z556&lt;判定条件!$C$6,"判定不能",IF(AA556&gt;=判定条件!$C$7*Z556,"運転",IF(AA556&lt;=判定条件!$C$8*Z556,"停止","断続")))</f>
        <v>停止</v>
      </c>
      <c r="AC556" s="30" t="n">
        <v>60</v>
      </c>
      <c r="AD556" s="30" t="n">
        <v>0</v>
      </c>
      <c r="AE556" s="30" t="str">
        <f aca="false">IF(AC556&lt;判定条件!$C$6,"判定不能",IF(AD556&gt;=判定条件!$C$7*AC556,"運転",IF(AD556&lt;=判定条件!$C$8*AC556,"停止","断続")))</f>
        <v>停止</v>
      </c>
      <c r="AF556" s="30" t="n">
        <v>60</v>
      </c>
      <c r="AG556" s="30" t="n">
        <v>0</v>
      </c>
      <c r="AH556" s="30" t="str">
        <f aca="false">IF(OR(P556="判定不能",G556="判定不能"),"判定不能",IF(AG556&gt;=判定条件!$C$9,"利用可",IF(AND(P556="停止",G556="停止"),"両方停止","運転がそろわない")))</f>
        <v>両方停止</v>
      </c>
      <c r="AI556" s="30" t="n">
        <v>0</v>
      </c>
      <c r="AJ556" s="30" t="n">
        <v>0</v>
      </c>
      <c r="AK556" s="30" t="str">
        <f aca="false">IF(OR(S556="判定不能",J556="判定不能"),"判定不能",IF(AJ556&gt;=判定条件!$C$9,"利用可",IF(AND(S556="停止",J556="停止"),"両方停止","運転がそろわない")))</f>
        <v>判定不能</v>
      </c>
      <c r="AL556" s="30" t="n">
        <v>60</v>
      </c>
      <c r="AM556" s="30" t="n">
        <v>0</v>
      </c>
      <c r="AN556" s="30" t="str">
        <f aca="false">IF(OR(V556="判定不能",M556="判定不能"),"判定不能",IF(AM556&gt;=判定条件!$C$9,"利用可",IF(AND(V556="停止",M556="停止"),"両方停止","運転がそろわない")))</f>
        <v>両方停止</v>
      </c>
      <c r="AO556" s="30" t="n">
        <v>60</v>
      </c>
      <c r="AP556" s="30" t="n">
        <v>0</v>
      </c>
      <c r="AQ556" s="30" t="str">
        <f aca="false">IF(OR(Y556="判定不能",G556="判定不能"),"判定不能",IF(AP556&gt;=判定条件!$C$9,"利用可",IF(AND(Y556="停止",G556="停止"),"両方停止","運転がそろわない")))</f>
        <v>両方停止</v>
      </c>
      <c r="AR556" s="30" t="n">
        <v>60</v>
      </c>
      <c r="AS556" s="30" t="n">
        <v>0</v>
      </c>
      <c r="AT556" s="30" t="str">
        <f aca="false">IF(OR(AB556="判定不能",J556="判定不能"),"判定不能",IF(AS556&gt;=判定条件!$C$9,"利用可",IF(AND(AB556="停止",J556="停止"),"両方停止","運転がそろわない")))</f>
        <v>両方停止</v>
      </c>
      <c r="AU556" s="30" t="n">
        <v>60</v>
      </c>
      <c r="AV556" s="30" t="n">
        <v>0</v>
      </c>
      <c r="AW556" s="30" t="str">
        <f aca="false">IF(OR(AE556="判定不能",M556="判定不能"),"判定不能",IF(AV556&gt;=判定条件!$C$9,"利用可",IF(AND(AE556="停止",M556="停止"),"両方停止","運転がそろわない")))</f>
        <v>両方停止</v>
      </c>
      <c r="AX556" s="30" t="str">
        <f aca="false">IF(AND(AH556="利用可",AK556="利用可",AN556="利用可"),"利用可","不可")</f>
        <v>不可</v>
      </c>
      <c r="AY556" s="30" t="str">
        <f aca="false">IF(AND(AQ556="利用可",AT556="利用可",AW556="利用可"),"利用可","不可")</f>
        <v>不可</v>
      </c>
    </row>
    <row r="557" customFormat="false" ht="15" hidden="false" customHeight="false" outlineLevel="0" collapsed="false">
      <c r="A557" s="29" t="n">
        <v>46255</v>
      </c>
      <c r="B557" s="30" t="n">
        <v>2</v>
      </c>
      <c r="C557" s="31" t="s">
        <v>62</v>
      </c>
      <c r="D557" s="31" t="s">
        <v>59</v>
      </c>
      <c r="E557" s="30" t="n">
        <v>60</v>
      </c>
      <c r="F557" s="30" t="n">
        <v>0</v>
      </c>
      <c r="G557" s="30" t="str">
        <f aca="false">IF(E557&lt;判定条件!$C$6,"判定不能",IF(F557&gt;=判定条件!$C$7*E557,"運転",IF(F557&lt;=判定条件!$C$8*E557,"停止","断続")))</f>
        <v>停止</v>
      </c>
      <c r="H557" s="30" t="n">
        <v>60</v>
      </c>
      <c r="I557" s="30" t="n">
        <v>0</v>
      </c>
      <c r="J557" s="30" t="str">
        <f aca="false">IF(H557&lt;判定条件!$C$6,"判定不能",IF(I557&gt;=判定条件!$C$7*H557,"運転",IF(I557&lt;=判定条件!$C$8*H557,"停止","断続")))</f>
        <v>停止</v>
      </c>
      <c r="K557" s="30" t="n">
        <v>60</v>
      </c>
      <c r="L557" s="30" t="n">
        <v>0</v>
      </c>
      <c r="M557" s="30" t="str">
        <f aca="false">IF(K557&lt;判定条件!$C$6,"判定不能",IF(L557&gt;=判定条件!$C$7*K557,"運転",IF(L557&lt;=判定条件!$C$8*K557,"停止","断続")))</f>
        <v>停止</v>
      </c>
      <c r="N557" s="30" t="n">
        <v>60</v>
      </c>
      <c r="O557" s="30" t="n">
        <v>0</v>
      </c>
      <c r="P557" s="30" t="str">
        <f aca="false">IF(N557&lt;判定条件!$C$6,"判定不能",IF(O557&gt;=判定条件!$C$7*N557,"運転",IF(O557&lt;=判定条件!$C$8*N557,"停止","断続")))</f>
        <v>停止</v>
      </c>
      <c r="Q557" s="30" t="n">
        <v>0</v>
      </c>
      <c r="R557" s="30" t="n">
        <v>0</v>
      </c>
      <c r="S557" s="30" t="str">
        <f aca="false">IF(Q557&lt;判定条件!$C$6,"判定不能",IF(R557&gt;=判定条件!$C$7*Q557,"運転",IF(R557&lt;=判定条件!$C$8*Q557,"停止","断続")))</f>
        <v>判定不能</v>
      </c>
      <c r="T557" s="30" t="n">
        <v>60</v>
      </c>
      <c r="U557" s="30" t="n">
        <v>0</v>
      </c>
      <c r="V557" s="30" t="str">
        <f aca="false">IF(T557&lt;判定条件!$C$6,"判定不能",IF(U557&gt;=判定条件!$C$7*T557,"運転",IF(U557&lt;=判定条件!$C$8*T557,"停止","断続")))</f>
        <v>停止</v>
      </c>
      <c r="W557" s="30" t="n">
        <v>60</v>
      </c>
      <c r="X557" s="30" t="n">
        <v>0</v>
      </c>
      <c r="Y557" s="30" t="str">
        <f aca="false">IF(W557&lt;判定条件!$C$6,"判定不能",IF(X557&gt;=判定条件!$C$7*W557,"運転",IF(X557&lt;=判定条件!$C$8*W557,"停止","断続")))</f>
        <v>停止</v>
      </c>
      <c r="Z557" s="30" t="n">
        <v>60</v>
      </c>
      <c r="AA557" s="30" t="n">
        <v>0</v>
      </c>
      <c r="AB557" s="30" t="str">
        <f aca="false">IF(Z557&lt;判定条件!$C$6,"判定不能",IF(AA557&gt;=判定条件!$C$7*Z557,"運転",IF(AA557&lt;=判定条件!$C$8*Z557,"停止","断続")))</f>
        <v>停止</v>
      </c>
      <c r="AC557" s="30" t="n">
        <v>60</v>
      </c>
      <c r="AD557" s="30" t="n">
        <v>0</v>
      </c>
      <c r="AE557" s="30" t="str">
        <f aca="false">IF(AC557&lt;判定条件!$C$6,"判定不能",IF(AD557&gt;=判定条件!$C$7*AC557,"運転",IF(AD557&lt;=判定条件!$C$8*AC557,"停止","断続")))</f>
        <v>停止</v>
      </c>
      <c r="AF557" s="30" t="n">
        <v>60</v>
      </c>
      <c r="AG557" s="30" t="n">
        <v>0</v>
      </c>
      <c r="AH557" s="30" t="str">
        <f aca="false">IF(OR(P557="判定不能",G557="判定不能"),"判定不能",IF(AG557&gt;=判定条件!$C$9,"利用可",IF(AND(P557="停止",G557="停止"),"両方停止","運転がそろわない")))</f>
        <v>両方停止</v>
      </c>
      <c r="AI557" s="30" t="n">
        <v>0</v>
      </c>
      <c r="AJ557" s="30" t="n">
        <v>0</v>
      </c>
      <c r="AK557" s="30" t="str">
        <f aca="false">IF(OR(S557="判定不能",J557="判定不能"),"判定不能",IF(AJ557&gt;=判定条件!$C$9,"利用可",IF(AND(S557="停止",J557="停止"),"両方停止","運転がそろわない")))</f>
        <v>判定不能</v>
      </c>
      <c r="AL557" s="30" t="n">
        <v>60</v>
      </c>
      <c r="AM557" s="30" t="n">
        <v>0</v>
      </c>
      <c r="AN557" s="30" t="str">
        <f aca="false">IF(OR(V557="判定不能",M557="判定不能"),"判定不能",IF(AM557&gt;=判定条件!$C$9,"利用可",IF(AND(V557="停止",M557="停止"),"両方停止","運転がそろわない")))</f>
        <v>両方停止</v>
      </c>
      <c r="AO557" s="30" t="n">
        <v>60</v>
      </c>
      <c r="AP557" s="30" t="n">
        <v>0</v>
      </c>
      <c r="AQ557" s="30" t="str">
        <f aca="false">IF(OR(Y557="判定不能",G557="判定不能"),"判定不能",IF(AP557&gt;=判定条件!$C$9,"利用可",IF(AND(Y557="停止",G557="停止"),"両方停止","運転がそろわない")))</f>
        <v>両方停止</v>
      </c>
      <c r="AR557" s="30" t="n">
        <v>60</v>
      </c>
      <c r="AS557" s="30" t="n">
        <v>0</v>
      </c>
      <c r="AT557" s="30" t="str">
        <f aca="false">IF(OR(AB557="判定不能",J557="判定不能"),"判定不能",IF(AS557&gt;=判定条件!$C$9,"利用可",IF(AND(AB557="停止",J557="停止"),"両方停止","運転がそろわない")))</f>
        <v>両方停止</v>
      </c>
      <c r="AU557" s="30" t="n">
        <v>60</v>
      </c>
      <c r="AV557" s="30" t="n">
        <v>0</v>
      </c>
      <c r="AW557" s="30" t="str">
        <f aca="false">IF(OR(AE557="判定不能",M557="判定不能"),"判定不能",IF(AV557&gt;=判定条件!$C$9,"利用可",IF(AND(AE557="停止",M557="停止"),"両方停止","運転がそろわない")))</f>
        <v>両方停止</v>
      </c>
      <c r="AX557" s="30" t="str">
        <f aca="false">IF(AND(AH557="利用可",AK557="利用可",AN557="利用可"),"利用可","不可")</f>
        <v>不可</v>
      </c>
      <c r="AY557" s="30" t="str">
        <f aca="false">IF(AND(AQ557="利用可",AT557="利用可",AW557="利用可"),"利用可","不可")</f>
        <v>不可</v>
      </c>
    </row>
    <row r="558" customFormat="false" ht="15" hidden="false" customHeight="false" outlineLevel="0" collapsed="false">
      <c r="A558" s="29" t="n">
        <v>46255</v>
      </c>
      <c r="B558" s="30" t="n">
        <v>3</v>
      </c>
      <c r="C558" s="31" t="s">
        <v>62</v>
      </c>
      <c r="D558" s="31" t="s">
        <v>59</v>
      </c>
      <c r="E558" s="30" t="n">
        <v>60</v>
      </c>
      <c r="F558" s="30" t="n">
        <v>0</v>
      </c>
      <c r="G558" s="30" t="str">
        <f aca="false">IF(E558&lt;判定条件!$C$6,"判定不能",IF(F558&gt;=判定条件!$C$7*E558,"運転",IF(F558&lt;=判定条件!$C$8*E558,"停止","断続")))</f>
        <v>停止</v>
      </c>
      <c r="H558" s="30" t="n">
        <v>60</v>
      </c>
      <c r="I558" s="30" t="n">
        <v>0</v>
      </c>
      <c r="J558" s="30" t="str">
        <f aca="false">IF(H558&lt;判定条件!$C$6,"判定不能",IF(I558&gt;=判定条件!$C$7*H558,"運転",IF(I558&lt;=判定条件!$C$8*H558,"停止","断続")))</f>
        <v>停止</v>
      </c>
      <c r="K558" s="30" t="n">
        <v>60</v>
      </c>
      <c r="L558" s="30" t="n">
        <v>0</v>
      </c>
      <c r="M558" s="30" t="str">
        <f aca="false">IF(K558&lt;判定条件!$C$6,"判定不能",IF(L558&gt;=判定条件!$C$7*K558,"運転",IF(L558&lt;=判定条件!$C$8*K558,"停止","断続")))</f>
        <v>停止</v>
      </c>
      <c r="N558" s="30" t="n">
        <v>60</v>
      </c>
      <c r="O558" s="30" t="n">
        <v>0</v>
      </c>
      <c r="P558" s="30" t="str">
        <f aca="false">IF(N558&lt;判定条件!$C$6,"判定不能",IF(O558&gt;=判定条件!$C$7*N558,"運転",IF(O558&lt;=判定条件!$C$8*N558,"停止","断続")))</f>
        <v>停止</v>
      </c>
      <c r="Q558" s="30" t="n">
        <v>0</v>
      </c>
      <c r="R558" s="30" t="n">
        <v>0</v>
      </c>
      <c r="S558" s="30" t="str">
        <f aca="false">IF(Q558&lt;判定条件!$C$6,"判定不能",IF(R558&gt;=判定条件!$C$7*Q558,"運転",IF(R558&lt;=判定条件!$C$8*Q558,"停止","断続")))</f>
        <v>判定不能</v>
      </c>
      <c r="T558" s="30" t="n">
        <v>60</v>
      </c>
      <c r="U558" s="30" t="n">
        <v>0</v>
      </c>
      <c r="V558" s="30" t="str">
        <f aca="false">IF(T558&lt;判定条件!$C$6,"判定不能",IF(U558&gt;=判定条件!$C$7*T558,"運転",IF(U558&lt;=判定条件!$C$8*T558,"停止","断続")))</f>
        <v>停止</v>
      </c>
      <c r="W558" s="30" t="n">
        <v>60</v>
      </c>
      <c r="X558" s="30" t="n">
        <v>0</v>
      </c>
      <c r="Y558" s="30" t="str">
        <f aca="false">IF(W558&lt;判定条件!$C$6,"判定不能",IF(X558&gt;=判定条件!$C$7*W558,"運転",IF(X558&lt;=判定条件!$C$8*W558,"停止","断続")))</f>
        <v>停止</v>
      </c>
      <c r="Z558" s="30" t="n">
        <v>60</v>
      </c>
      <c r="AA558" s="30" t="n">
        <v>0</v>
      </c>
      <c r="AB558" s="30" t="str">
        <f aca="false">IF(Z558&lt;判定条件!$C$6,"判定不能",IF(AA558&gt;=判定条件!$C$7*Z558,"運転",IF(AA558&lt;=判定条件!$C$8*Z558,"停止","断続")))</f>
        <v>停止</v>
      </c>
      <c r="AC558" s="30" t="n">
        <v>60</v>
      </c>
      <c r="AD558" s="30" t="n">
        <v>0</v>
      </c>
      <c r="AE558" s="30" t="str">
        <f aca="false">IF(AC558&lt;判定条件!$C$6,"判定不能",IF(AD558&gt;=判定条件!$C$7*AC558,"運転",IF(AD558&lt;=判定条件!$C$8*AC558,"停止","断続")))</f>
        <v>停止</v>
      </c>
      <c r="AF558" s="30" t="n">
        <v>60</v>
      </c>
      <c r="AG558" s="30" t="n">
        <v>0</v>
      </c>
      <c r="AH558" s="30" t="str">
        <f aca="false">IF(OR(P558="判定不能",G558="判定不能"),"判定不能",IF(AG558&gt;=判定条件!$C$9,"利用可",IF(AND(P558="停止",G558="停止"),"両方停止","運転がそろわない")))</f>
        <v>両方停止</v>
      </c>
      <c r="AI558" s="30" t="n">
        <v>0</v>
      </c>
      <c r="AJ558" s="30" t="n">
        <v>0</v>
      </c>
      <c r="AK558" s="30" t="str">
        <f aca="false">IF(OR(S558="判定不能",J558="判定不能"),"判定不能",IF(AJ558&gt;=判定条件!$C$9,"利用可",IF(AND(S558="停止",J558="停止"),"両方停止","運転がそろわない")))</f>
        <v>判定不能</v>
      </c>
      <c r="AL558" s="30" t="n">
        <v>60</v>
      </c>
      <c r="AM558" s="30" t="n">
        <v>0</v>
      </c>
      <c r="AN558" s="30" t="str">
        <f aca="false">IF(OR(V558="判定不能",M558="判定不能"),"判定不能",IF(AM558&gt;=判定条件!$C$9,"利用可",IF(AND(V558="停止",M558="停止"),"両方停止","運転がそろわない")))</f>
        <v>両方停止</v>
      </c>
      <c r="AO558" s="30" t="n">
        <v>60</v>
      </c>
      <c r="AP558" s="30" t="n">
        <v>0</v>
      </c>
      <c r="AQ558" s="30" t="str">
        <f aca="false">IF(OR(Y558="判定不能",G558="判定不能"),"判定不能",IF(AP558&gt;=判定条件!$C$9,"利用可",IF(AND(Y558="停止",G558="停止"),"両方停止","運転がそろわない")))</f>
        <v>両方停止</v>
      </c>
      <c r="AR558" s="30" t="n">
        <v>60</v>
      </c>
      <c r="AS558" s="30" t="n">
        <v>0</v>
      </c>
      <c r="AT558" s="30" t="str">
        <f aca="false">IF(OR(AB558="判定不能",J558="判定不能"),"判定不能",IF(AS558&gt;=判定条件!$C$9,"利用可",IF(AND(AB558="停止",J558="停止"),"両方停止","運転がそろわない")))</f>
        <v>両方停止</v>
      </c>
      <c r="AU558" s="30" t="n">
        <v>60</v>
      </c>
      <c r="AV558" s="30" t="n">
        <v>0</v>
      </c>
      <c r="AW558" s="30" t="str">
        <f aca="false">IF(OR(AE558="判定不能",M558="判定不能"),"判定不能",IF(AV558&gt;=判定条件!$C$9,"利用可",IF(AND(AE558="停止",M558="停止"),"両方停止","運転がそろわない")))</f>
        <v>両方停止</v>
      </c>
      <c r="AX558" s="30" t="str">
        <f aca="false">IF(AND(AH558="利用可",AK558="利用可",AN558="利用可"),"利用可","不可")</f>
        <v>不可</v>
      </c>
      <c r="AY558" s="30" t="str">
        <f aca="false">IF(AND(AQ558="利用可",AT558="利用可",AW558="利用可"),"利用可","不可")</f>
        <v>不可</v>
      </c>
    </row>
    <row r="559" customFormat="false" ht="15" hidden="false" customHeight="false" outlineLevel="0" collapsed="false">
      <c r="A559" s="29" t="n">
        <v>46255</v>
      </c>
      <c r="B559" s="30" t="n">
        <v>4</v>
      </c>
      <c r="C559" s="31" t="s">
        <v>62</v>
      </c>
      <c r="D559" s="31" t="s">
        <v>59</v>
      </c>
      <c r="E559" s="30" t="n">
        <v>60</v>
      </c>
      <c r="F559" s="30" t="n">
        <v>0</v>
      </c>
      <c r="G559" s="30" t="str">
        <f aca="false">IF(E559&lt;判定条件!$C$6,"判定不能",IF(F559&gt;=判定条件!$C$7*E559,"運転",IF(F559&lt;=判定条件!$C$8*E559,"停止","断続")))</f>
        <v>停止</v>
      </c>
      <c r="H559" s="30" t="n">
        <v>60</v>
      </c>
      <c r="I559" s="30" t="n">
        <v>0</v>
      </c>
      <c r="J559" s="30" t="str">
        <f aca="false">IF(H559&lt;判定条件!$C$6,"判定不能",IF(I559&gt;=判定条件!$C$7*H559,"運転",IF(I559&lt;=判定条件!$C$8*H559,"停止","断続")))</f>
        <v>停止</v>
      </c>
      <c r="K559" s="30" t="n">
        <v>60</v>
      </c>
      <c r="L559" s="30" t="n">
        <v>0</v>
      </c>
      <c r="M559" s="30" t="str">
        <f aca="false">IF(K559&lt;判定条件!$C$6,"判定不能",IF(L559&gt;=判定条件!$C$7*K559,"運転",IF(L559&lt;=判定条件!$C$8*K559,"停止","断続")))</f>
        <v>停止</v>
      </c>
      <c r="N559" s="30" t="n">
        <v>60</v>
      </c>
      <c r="O559" s="30" t="n">
        <v>0</v>
      </c>
      <c r="P559" s="30" t="str">
        <f aca="false">IF(N559&lt;判定条件!$C$6,"判定不能",IF(O559&gt;=判定条件!$C$7*N559,"運転",IF(O559&lt;=判定条件!$C$8*N559,"停止","断続")))</f>
        <v>停止</v>
      </c>
      <c r="Q559" s="30" t="n">
        <v>0</v>
      </c>
      <c r="R559" s="30" t="n">
        <v>0</v>
      </c>
      <c r="S559" s="30" t="str">
        <f aca="false">IF(Q559&lt;判定条件!$C$6,"判定不能",IF(R559&gt;=判定条件!$C$7*Q559,"運転",IF(R559&lt;=判定条件!$C$8*Q559,"停止","断続")))</f>
        <v>判定不能</v>
      </c>
      <c r="T559" s="30" t="n">
        <v>60</v>
      </c>
      <c r="U559" s="30" t="n">
        <v>0</v>
      </c>
      <c r="V559" s="30" t="str">
        <f aca="false">IF(T559&lt;判定条件!$C$6,"判定不能",IF(U559&gt;=判定条件!$C$7*T559,"運転",IF(U559&lt;=判定条件!$C$8*T559,"停止","断続")))</f>
        <v>停止</v>
      </c>
      <c r="W559" s="30" t="n">
        <v>60</v>
      </c>
      <c r="X559" s="30" t="n">
        <v>0</v>
      </c>
      <c r="Y559" s="30" t="str">
        <f aca="false">IF(W559&lt;判定条件!$C$6,"判定不能",IF(X559&gt;=判定条件!$C$7*W559,"運転",IF(X559&lt;=判定条件!$C$8*W559,"停止","断続")))</f>
        <v>停止</v>
      </c>
      <c r="Z559" s="30" t="n">
        <v>60</v>
      </c>
      <c r="AA559" s="30" t="n">
        <v>0</v>
      </c>
      <c r="AB559" s="30" t="str">
        <f aca="false">IF(Z559&lt;判定条件!$C$6,"判定不能",IF(AA559&gt;=判定条件!$C$7*Z559,"運転",IF(AA559&lt;=判定条件!$C$8*Z559,"停止","断続")))</f>
        <v>停止</v>
      </c>
      <c r="AC559" s="30" t="n">
        <v>60</v>
      </c>
      <c r="AD559" s="30" t="n">
        <v>0</v>
      </c>
      <c r="AE559" s="30" t="str">
        <f aca="false">IF(AC559&lt;判定条件!$C$6,"判定不能",IF(AD559&gt;=判定条件!$C$7*AC559,"運転",IF(AD559&lt;=判定条件!$C$8*AC559,"停止","断続")))</f>
        <v>停止</v>
      </c>
      <c r="AF559" s="30" t="n">
        <v>60</v>
      </c>
      <c r="AG559" s="30" t="n">
        <v>0</v>
      </c>
      <c r="AH559" s="30" t="str">
        <f aca="false">IF(OR(P559="判定不能",G559="判定不能"),"判定不能",IF(AG559&gt;=判定条件!$C$9,"利用可",IF(AND(P559="停止",G559="停止"),"両方停止","運転がそろわない")))</f>
        <v>両方停止</v>
      </c>
      <c r="AI559" s="30" t="n">
        <v>0</v>
      </c>
      <c r="AJ559" s="30" t="n">
        <v>0</v>
      </c>
      <c r="AK559" s="30" t="str">
        <f aca="false">IF(OR(S559="判定不能",J559="判定不能"),"判定不能",IF(AJ559&gt;=判定条件!$C$9,"利用可",IF(AND(S559="停止",J559="停止"),"両方停止","運転がそろわない")))</f>
        <v>判定不能</v>
      </c>
      <c r="AL559" s="30" t="n">
        <v>60</v>
      </c>
      <c r="AM559" s="30" t="n">
        <v>0</v>
      </c>
      <c r="AN559" s="30" t="str">
        <f aca="false">IF(OR(V559="判定不能",M559="判定不能"),"判定不能",IF(AM559&gt;=判定条件!$C$9,"利用可",IF(AND(V559="停止",M559="停止"),"両方停止","運転がそろわない")))</f>
        <v>両方停止</v>
      </c>
      <c r="AO559" s="30" t="n">
        <v>60</v>
      </c>
      <c r="AP559" s="30" t="n">
        <v>0</v>
      </c>
      <c r="AQ559" s="30" t="str">
        <f aca="false">IF(OR(Y559="判定不能",G559="判定不能"),"判定不能",IF(AP559&gt;=判定条件!$C$9,"利用可",IF(AND(Y559="停止",G559="停止"),"両方停止","運転がそろわない")))</f>
        <v>両方停止</v>
      </c>
      <c r="AR559" s="30" t="n">
        <v>60</v>
      </c>
      <c r="AS559" s="30" t="n">
        <v>0</v>
      </c>
      <c r="AT559" s="30" t="str">
        <f aca="false">IF(OR(AB559="判定不能",J559="判定不能"),"判定不能",IF(AS559&gt;=判定条件!$C$9,"利用可",IF(AND(AB559="停止",J559="停止"),"両方停止","運転がそろわない")))</f>
        <v>両方停止</v>
      </c>
      <c r="AU559" s="30" t="n">
        <v>60</v>
      </c>
      <c r="AV559" s="30" t="n">
        <v>0</v>
      </c>
      <c r="AW559" s="30" t="str">
        <f aca="false">IF(OR(AE559="判定不能",M559="判定不能"),"判定不能",IF(AV559&gt;=判定条件!$C$9,"利用可",IF(AND(AE559="停止",M559="停止"),"両方停止","運転がそろわない")))</f>
        <v>両方停止</v>
      </c>
      <c r="AX559" s="30" t="str">
        <f aca="false">IF(AND(AH559="利用可",AK559="利用可",AN559="利用可"),"利用可","不可")</f>
        <v>不可</v>
      </c>
      <c r="AY559" s="30" t="str">
        <f aca="false">IF(AND(AQ559="利用可",AT559="利用可",AW559="利用可"),"利用可","不可")</f>
        <v>不可</v>
      </c>
    </row>
    <row r="560" customFormat="false" ht="15" hidden="false" customHeight="false" outlineLevel="0" collapsed="false">
      <c r="A560" s="29" t="n">
        <v>46255</v>
      </c>
      <c r="B560" s="30" t="n">
        <v>5</v>
      </c>
      <c r="C560" s="31" t="s">
        <v>62</v>
      </c>
      <c r="D560" s="31" t="s">
        <v>59</v>
      </c>
      <c r="E560" s="30" t="n">
        <v>60</v>
      </c>
      <c r="F560" s="30" t="n">
        <v>0</v>
      </c>
      <c r="G560" s="30" t="str">
        <f aca="false">IF(E560&lt;判定条件!$C$6,"判定不能",IF(F560&gt;=判定条件!$C$7*E560,"運転",IF(F560&lt;=判定条件!$C$8*E560,"停止","断続")))</f>
        <v>停止</v>
      </c>
      <c r="H560" s="30" t="n">
        <v>60</v>
      </c>
      <c r="I560" s="30" t="n">
        <v>0</v>
      </c>
      <c r="J560" s="30" t="str">
        <f aca="false">IF(H560&lt;判定条件!$C$6,"判定不能",IF(I560&gt;=判定条件!$C$7*H560,"運転",IF(I560&lt;=判定条件!$C$8*H560,"停止","断続")))</f>
        <v>停止</v>
      </c>
      <c r="K560" s="30" t="n">
        <v>60</v>
      </c>
      <c r="L560" s="30" t="n">
        <v>0</v>
      </c>
      <c r="M560" s="30" t="str">
        <f aca="false">IF(K560&lt;判定条件!$C$6,"判定不能",IF(L560&gt;=判定条件!$C$7*K560,"運転",IF(L560&lt;=判定条件!$C$8*K560,"停止","断続")))</f>
        <v>停止</v>
      </c>
      <c r="N560" s="30" t="n">
        <v>60</v>
      </c>
      <c r="O560" s="30" t="n">
        <v>0</v>
      </c>
      <c r="P560" s="30" t="str">
        <f aca="false">IF(N560&lt;判定条件!$C$6,"判定不能",IF(O560&gt;=判定条件!$C$7*N560,"運転",IF(O560&lt;=判定条件!$C$8*N560,"停止","断続")))</f>
        <v>停止</v>
      </c>
      <c r="Q560" s="30" t="n">
        <v>0</v>
      </c>
      <c r="R560" s="30" t="n">
        <v>0</v>
      </c>
      <c r="S560" s="30" t="str">
        <f aca="false">IF(Q560&lt;判定条件!$C$6,"判定不能",IF(R560&gt;=判定条件!$C$7*Q560,"運転",IF(R560&lt;=判定条件!$C$8*Q560,"停止","断続")))</f>
        <v>判定不能</v>
      </c>
      <c r="T560" s="30" t="n">
        <v>60</v>
      </c>
      <c r="U560" s="30" t="n">
        <v>0</v>
      </c>
      <c r="V560" s="30" t="str">
        <f aca="false">IF(T560&lt;判定条件!$C$6,"判定不能",IF(U560&gt;=判定条件!$C$7*T560,"運転",IF(U560&lt;=判定条件!$C$8*T560,"停止","断続")))</f>
        <v>停止</v>
      </c>
      <c r="W560" s="30" t="n">
        <v>60</v>
      </c>
      <c r="X560" s="30" t="n">
        <v>0</v>
      </c>
      <c r="Y560" s="30" t="str">
        <f aca="false">IF(W560&lt;判定条件!$C$6,"判定不能",IF(X560&gt;=判定条件!$C$7*W560,"運転",IF(X560&lt;=判定条件!$C$8*W560,"停止","断続")))</f>
        <v>停止</v>
      </c>
      <c r="Z560" s="30" t="n">
        <v>60</v>
      </c>
      <c r="AA560" s="30" t="n">
        <v>0</v>
      </c>
      <c r="AB560" s="30" t="str">
        <f aca="false">IF(Z560&lt;判定条件!$C$6,"判定不能",IF(AA560&gt;=判定条件!$C$7*Z560,"運転",IF(AA560&lt;=判定条件!$C$8*Z560,"停止","断続")))</f>
        <v>停止</v>
      </c>
      <c r="AC560" s="30" t="n">
        <v>60</v>
      </c>
      <c r="AD560" s="30" t="n">
        <v>0</v>
      </c>
      <c r="AE560" s="30" t="str">
        <f aca="false">IF(AC560&lt;判定条件!$C$6,"判定不能",IF(AD560&gt;=判定条件!$C$7*AC560,"運転",IF(AD560&lt;=判定条件!$C$8*AC560,"停止","断続")))</f>
        <v>停止</v>
      </c>
      <c r="AF560" s="30" t="n">
        <v>60</v>
      </c>
      <c r="AG560" s="30" t="n">
        <v>0</v>
      </c>
      <c r="AH560" s="30" t="str">
        <f aca="false">IF(OR(P560="判定不能",G560="判定不能"),"判定不能",IF(AG560&gt;=判定条件!$C$9,"利用可",IF(AND(P560="停止",G560="停止"),"両方停止","運転がそろわない")))</f>
        <v>両方停止</v>
      </c>
      <c r="AI560" s="30" t="n">
        <v>0</v>
      </c>
      <c r="AJ560" s="30" t="n">
        <v>0</v>
      </c>
      <c r="AK560" s="30" t="str">
        <f aca="false">IF(OR(S560="判定不能",J560="判定不能"),"判定不能",IF(AJ560&gt;=判定条件!$C$9,"利用可",IF(AND(S560="停止",J560="停止"),"両方停止","運転がそろわない")))</f>
        <v>判定不能</v>
      </c>
      <c r="AL560" s="30" t="n">
        <v>60</v>
      </c>
      <c r="AM560" s="30" t="n">
        <v>0</v>
      </c>
      <c r="AN560" s="30" t="str">
        <f aca="false">IF(OR(V560="判定不能",M560="判定不能"),"判定不能",IF(AM560&gt;=判定条件!$C$9,"利用可",IF(AND(V560="停止",M560="停止"),"両方停止","運転がそろわない")))</f>
        <v>両方停止</v>
      </c>
      <c r="AO560" s="30" t="n">
        <v>60</v>
      </c>
      <c r="AP560" s="30" t="n">
        <v>0</v>
      </c>
      <c r="AQ560" s="30" t="str">
        <f aca="false">IF(OR(Y560="判定不能",G560="判定不能"),"判定不能",IF(AP560&gt;=判定条件!$C$9,"利用可",IF(AND(Y560="停止",G560="停止"),"両方停止","運転がそろわない")))</f>
        <v>両方停止</v>
      </c>
      <c r="AR560" s="30" t="n">
        <v>60</v>
      </c>
      <c r="AS560" s="30" t="n">
        <v>0</v>
      </c>
      <c r="AT560" s="30" t="str">
        <f aca="false">IF(OR(AB560="判定不能",J560="判定不能"),"判定不能",IF(AS560&gt;=判定条件!$C$9,"利用可",IF(AND(AB560="停止",J560="停止"),"両方停止","運転がそろわない")))</f>
        <v>両方停止</v>
      </c>
      <c r="AU560" s="30" t="n">
        <v>60</v>
      </c>
      <c r="AV560" s="30" t="n">
        <v>0</v>
      </c>
      <c r="AW560" s="30" t="str">
        <f aca="false">IF(OR(AE560="判定不能",M560="判定不能"),"判定不能",IF(AV560&gt;=判定条件!$C$9,"利用可",IF(AND(AE560="停止",M560="停止"),"両方停止","運転がそろわない")))</f>
        <v>両方停止</v>
      </c>
      <c r="AX560" s="30" t="str">
        <f aca="false">IF(AND(AH560="利用可",AK560="利用可",AN560="利用可"),"利用可","不可")</f>
        <v>不可</v>
      </c>
      <c r="AY560" s="30" t="str">
        <f aca="false">IF(AND(AQ560="利用可",AT560="利用可",AW560="利用可"),"利用可","不可")</f>
        <v>不可</v>
      </c>
    </row>
    <row r="561" customFormat="false" ht="15" hidden="false" customHeight="false" outlineLevel="0" collapsed="false">
      <c r="A561" s="29" t="n">
        <v>46255</v>
      </c>
      <c r="B561" s="30" t="n">
        <v>6</v>
      </c>
      <c r="C561" s="31" t="s">
        <v>62</v>
      </c>
      <c r="D561" s="31" t="s">
        <v>59</v>
      </c>
      <c r="E561" s="30" t="n">
        <v>60</v>
      </c>
      <c r="F561" s="30" t="n">
        <v>0</v>
      </c>
      <c r="G561" s="30" t="str">
        <f aca="false">IF(E561&lt;判定条件!$C$6,"判定不能",IF(F561&gt;=判定条件!$C$7*E561,"運転",IF(F561&lt;=判定条件!$C$8*E561,"停止","断続")))</f>
        <v>停止</v>
      </c>
      <c r="H561" s="30" t="n">
        <v>60</v>
      </c>
      <c r="I561" s="30" t="n">
        <v>0</v>
      </c>
      <c r="J561" s="30" t="str">
        <f aca="false">IF(H561&lt;判定条件!$C$6,"判定不能",IF(I561&gt;=判定条件!$C$7*H561,"運転",IF(I561&lt;=判定条件!$C$8*H561,"停止","断続")))</f>
        <v>停止</v>
      </c>
      <c r="K561" s="30" t="n">
        <v>60</v>
      </c>
      <c r="L561" s="30" t="n">
        <v>0</v>
      </c>
      <c r="M561" s="30" t="str">
        <f aca="false">IF(K561&lt;判定条件!$C$6,"判定不能",IF(L561&gt;=判定条件!$C$7*K561,"運転",IF(L561&lt;=判定条件!$C$8*K561,"停止","断続")))</f>
        <v>停止</v>
      </c>
      <c r="N561" s="30" t="n">
        <v>60</v>
      </c>
      <c r="O561" s="30" t="n">
        <v>0</v>
      </c>
      <c r="P561" s="30" t="str">
        <f aca="false">IF(N561&lt;判定条件!$C$6,"判定不能",IF(O561&gt;=判定条件!$C$7*N561,"運転",IF(O561&lt;=判定条件!$C$8*N561,"停止","断続")))</f>
        <v>停止</v>
      </c>
      <c r="Q561" s="30" t="n">
        <v>0</v>
      </c>
      <c r="R561" s="30" t="n">
        <v>0</v>
      </c>
      <c r="S561" s="30" t="str">
        <f aca="false">IF(Q561&lt;判定条件!$C$6,"判定不能",IF(R561&gt;=判定条件!$C$7*Q561,"運転",IF(R561&lt;=判定条件!$C$8*Q561,"停止","断続")))</f>
        <v>判定不能</v>
      </c>
      <c r="T561" s="30" t="n">
        <v>60</v>
      </c>
      <c r="U561" s="30" t="n">
        <v>0</v>
      </c>
      <c r="V561" s="30" t="str">
        <f aca="false">IF(T561&lt;判定条件!$C$6,"判定不能",IF(U561&gt;=判定条件!$C$7*T561,"運転",IF(U561&lt;=判定条件!$C$8*T561,"停止","断続")))</f>
        <v>停止</v>
      </c>
      <c r="W561" s="30" t="n">
        <v>60</v>
      </c>
      <c r="X561" s="30" t="n">
        <v>36</v>
      </c>
      <c r="Y561" s="30" t="str">
        <f aca="false">IF(W561&lt;判定条件!$C$6,"判定不能",IF(X561&gt;=判定条件!$C$7*W561,"運転",IF(X561&lt;=判定条件!$C$8*W561,"停止","断続")))</f>
        <v>断続</v>
      </c>
      <c r="Z561" s="30" t="n">
        <v>60</v>
      </c>
      <c r="AA561" s="30" t="n">
        <v>34</v>
      </c>
      <c r="AB561" s="30" t="str">
        <f aca="false">IF(Z561&lt;判定条件!$C$6,"判定不能",IF(AA561&gt;=判定条件!$C$7*Z561,"運転",IF(AA561&lt;=判定条件!$C$8*Z561,"停止","断続")))</f>
        <v>断続</v>
      </c>
      <c r="AC561" s="30" t="n">
        <v>60</v>
      </c>
      <c r="AD561" s="30" t="n">
        <v>34</v>
      </c>
      <c r="AE561" s="30" t="str">
        <f aca="false">IF(AC561&lt;判定条件!$C$6,"判定不能",IF(AD561&gt;=判定条件!$C$7*AC561,"運転",IF(AD561&lt;=判定条件!$C$8*AC561,"停止","断続")))</f>
        <v>断続</v>
      </c>
      <c r="AF561" s="30" t="n">
        <v>60</v>
      </c>
      <c r="AG561" s="30" t="n">
        <v>0</v>
      </c>
      <c r="AH561" s="30" t="str">
        <f aca="false">IF(OR(P561="判定不能",G561="判定不能"),"判定不能",IF(AG561&gt;=判定条件!$C$9,"利用可",IF(AND(P561="停止",G561="停止"),"両方停止","運転がそろわない")))</f>
        <v>両方停止</v>
      </c>
      <c r="AI561" s="30" t="n">
        <v>0</v>
      </c>
      <c r="AJ561" s="30" t="n">
        <v>0</v>
      </c>
      <c r="AK561" s="30" t="str">
        <f aca="false">IF(OR(S561="判定不能",J561="判定不能"),"判定不能",IF(AJ561&gt;=判定条件!$C$9,"利用可",IF(AND(S561="停止",J561="停止"),"両方停止","運転がそろわない")))</f>
        <v>判定不能</v>
      </c>
      <c r="AL561" s="30" t="n">
        <v>60</v>
      </c>
      <c r="AM561" s="30" t="n">
        <v>0</v>
      </c>
      <c r="AN561" s="30" t="str">
        <f aca="false">IF(OR(V561="判定不能",M561="判定不能"),"判定不能",IF(AM561&gt;=判定条件!$C$9,"利用可",IF(AND(V561="停止",M561="停止"),"両方停止","運転がそろわない")))</f>
        <v>両方停止</v>
      </c>
      <c r="AO561" s="30" t="n">
        <v>60</v>
      </c>
      <c r="AP561" s="30" t="n">
        <v>0</v>
      </c>
      <c r="AQ561" s="30" t="str">
        <f aca="false">IF(OR(Y561="判定不能",G561="判定不能"),"判定不能",IF(AP561&gt;=判定条件!$C$9,"利用可",IF(AND(Y561="停止",G561="停止"),"両方停止","運転がそろわない")))</f>
        <v>運転がそろわない</v>
      </c>
      <c r="AR561" s="30" t="n">
        <v>60</v>
      </c>
      <c r="AS561" s="30" t="n">
        <v>0</v>
      </c>
      <c r="AT561" s="30" t="str">
        <f aca="false">IF(OR(AB561="判定不能",J561="判定不能"),"判定不能",IF(AS561&gt;=判定条件!$C$9,"利用可",IF(AND(AB561="停止",J561="停止"),"両方停止","運転がそろわない")))</f>
        <v>運転がそろわない</v>
      </c>
      <c r="AU561" s="30" t="n">
        <v>60</v>
      </c>
      <c r="AV561" s="30" t="n">
        <v>0</v>
      </c>
      <c r="AW561" s="30" t="str">
        <f aca="false">IF(OR(AE561="判定不能",M561="判定不能"),"判定不能",IF(AV561&gt;=判定条件!$C$9,"利用可",IF(AND(AE561="停止",M561="停止"),"両方停止","運転がそろわない")))</f>
        <v>運転がそろわない</v>
      </c>
      <c r="AX561" s="30" t="str">
        <f aca="false">IF(AND(AH561="利用可",AK561="利用可",AN561="利用可"),"利用可","不可")</f>
        <v>不可</v>
      </c>
      <c r="AY561" s="30" t="str">
        <f aca="false">IF(AND(AQ561="利用可",AT561="利用可",AW561="利用可"),"利用可","不可")</f>
        <v>不可</v>
      </c>
    </row>
    <row r="562" customFormat="false" ht="15" hidden="false" customHeight="false" outlineLevel="0" collapsed="false">
      <c r="A562" s="29" t="n">
        <v>46255</v>
      </c>
      <c r="B562" s="30" t="n">
        <v>7</v>
      </c>
      <c r="C562" s="31" t="s">
        <v>62</v>
      </c>
      <c r="D562" s="31" t="s">
        <v>59</v>
      </c>
      <c r="E562" s="30" t="n">
        <v>60</v>
      </c>
      <c r="F562" s="30" t="n">
        <v>0</v>
      </c>
      <c r="G562" s="30" t="str">
        <f aca="false">IF(E562&lt;判定条件!$C$6,"判定不能",IF(F562&gt;=判定条件!$C$7*E562,"運転",IF(F562&lt;=判定条件!$C$8*E562,"停止","断続")))</f>
        <v>停止</v>
      </c>
      <c r="H562" s="30" t="n">
        <v>60</v>
      </c>
      <c r="I562" s="30" t="n">
        <v>0</v>
      </c>
      <c r="J562" s="30" t="str">
        <f aca="false">IF(H562&lt;判定条件!$C$6,"判定不能",IF(I562&gt;=判定条件!$C$7*H562,"運転",IF(I562&lt;=判定条件!$C$8*H562,"停止","断続")))</f>
        <v>停止</v>
      </c>
      <c r="K562" s="30" t="n">
        <v>60</v>
      </c>
      <c r="L562" s="30" t="n">
        <v>0</v>
      </c>
      <c r="M562" s="30" t="str">
        <f aca="false">IF(K562&lt;判定条件!$C$6,"判定不能",IF(L562&gt;=判定条件!$C$7*K562,"運転",IF(L562&lt;=判定条件!$C$8*K562,"停止","断続")))</f>
        <v>停止</v>
      </c>
      <c r="N562" s="30" t="n">
        <v>60</v>
      </c>
      <c r="O562" s="30" t="n">
        <v>53</v>
      </c>
      <c r="P562" s="30" t="str">
        <f aca="false">IF(N562&lt;判定条件!$C$6,"判定不能",IF(O562&gt;=判定条件!$C$7*N562,"運転",IF(O562&lt;=判定条件!$C$8*N562,"停止","断続")))</f>
        <v>運転</v>
      </c>
      <c r="Q562" s="30" t="n">
        <v>0</v>
      </c>
      <c r="R562" s="30" t="n">
        <v>0</v>
      </c>
      <c r="S562" s="30" t="str">
        <f aca="false">IF(Q562&lt;判定条件!$C$6,"判定不能",IF(R562&gt;=判定条件!$C$7*Q562,"運転",IF(R562&lt;=判定条件!$C$8*Q562,"停止","断続")))</f>
        <v>判定不能</v>
      </c>
      <c r="T562" s="30" t="n">
        <v>60</v>
      </c>
      <c r="U562" s="30" t="n">
        <v>41</v>
      </c>
      <c r="V562" s="30" t="str">
        <f aca="false">IF(T562&lt;判定条件!$C$6,"判定不能",IF(U562&gt;=判定条件!$C$7*T562,"運転",IF(U562&lt;=判定条件!$C$8*T562,"停止","断続")))</f>
        <v>断続</v>
      </c>
      <c r="W562" s="30" t="n">
        <v>60</v>
      </c>
      <c r="X562" s="30" t="n">
        <v>60</v>
      </c>
      <c r="Y562" s="30" t="str">
        <f aca="false">IF(W562&lt;判定条件!$C$6,"判定不能",IF(X562&gt;=判定条件!$C$7*W562,"運転",IF(X562&lt;=判定条件!$C$8*W562,"停止","断続")))</f>
        <v>運転</v>
      </c>
      <c r="Z562" s="30" t="n">
        <v>60</v>
      </c>
      <c r="AA562" s="30" t="n">
        <v>60</v>
      </c>
      <c r="AB562" s="30" t="str">
        <f aca="false">IF(Z562&lt;判定条件!$C$6,"判定不能",IF(AA562&gt;=判定条件!$C$7*Z562,"運転",IF(AA562&lt;=判定条件!$C$8*Z562,"停止","断続")))</f>
        <v>運転</v>
      </c>
      <c r="AC562" s="30" t="n">
        <v>60</v>
      </c>
      <c r="AD562" s="30" t="n">
        <v>60</v>
      </c>
      <c r="AE562" s="30" t="str">
        <f aca="false">IF(AC562&lt;判定条件!$C$6,"判定不能",IF(AD562&gt;=判定条件!$C$7*AC562,"運転",IF(AD562&lt;=判定条件!$C$8*AC562,"停止","断続")))</f>
        <v>運転</v>
      </c>
      <c r="AF562" s="30" t="n">
        <v>60</v>
      </c>
      <c r="AG562" s="30" t="n">
        <v>0</v>
      </c>
      <c r="AH562" s="30" t="str">
        <f aca="false">IF(OR(P562="判定不能",G562="判定不能"),"判定不能",IF(AG562&gt;=判定条件!$C$9,"利用可",IF(AND(P562="停止",G562="停止"),"両方停止","運転がそろわない")))</f>
        <v>運転がそろわない</v>
      </c>
      <c r="AI562" s="30" t="n">
        <v>0</v>
      </c>
      <c r="AJ562" s="30" t="n">
        <v>0</v>
      </c>
      <c r="AK562" s="30" t="str">
        <f aca="false">IF(OR(S562="判定不能",J562="判定不能"),"判定不能",IF(AJ562&gt;=判定条件!$C$9,"利用可",IF(AND(S562="停止",J562="停止"),"両方停止","運転がそろわない")))</f>
        <v>判定不能</v>
      </c>
      <c r="AL562" s="30" t="n">
        <v>60</v>
      </c>
      <c r="AM562" s="30" t="n">
        <v>0</v>
      </c>
      <c r="AN562" s="30" t="str">
        <f aca="false">IF(OR(V562="判定不能",M562="判定不能"),"判定不能",IF(AM562&gt;=判定条件!$C$9,"利用可",IF(AND(V562="停止",M562="停止"),"両方停止","運転がそろわない")))</f>
        <v>運転がそろわない</v>
      </c>
      <c r="AO562" s="30" t="n">
        <v>60</v>
      </c>
      <c r="AP562" s="30" t="n">
        <v>0</v>
      </c>
      <c r="AQ562" s="30" t="str">
        <f aca="false">IF(OR(Y562="判定不能",G562="判定不能"),"判定不能",IF(AP562&gt;=判定条件!$C$9,"利用可",IF(AND(Y562="停止",G562="停止"),"両方停止","運転がそろわない")))</f>
        <v>運転がそろわない</v>
      </c>
      <c r="AR562" s="30" t="n">
        <v>60</v>
      </c>
      <c r="AS562" s="30" t="n">
        <v>0</v>
      </c>
      <c r="AT562" s="30" t="str">
        <f aca="false">IF(OR(AB562="判定不能",J562="判定不能"),"判定不能",IF(AS562&gt;=判定条件!$C$9,"利用可",IF(AND(AB562="停止",J562="停止"),"両方停止","運転がそろわない")))</f>
        <v>運転がそろわない</v>
      </c>
      <c r="AU562" s="30" t="n">
        <v>60</v>
      </c>
      <c r="AV562" s="30" t="n">
        <v>0</v>
      </c>
      <c r="AW562" s="30" t="str">
        <f aca="false">IF(OR(AE562="判定不能",M562="判定不能"),"判定不能",IF(AV562&gt;=判定条件!$C$9,"利用可",IF(AND(AE562="停止",M562="停止"),"両方停止","運転がそろわない")))</f>
        <v>運転がそろわない</v>
      </c>
      <c r="AX562" s="30" t="str">
        <f aca="false">IF(AND(AH562="利用可",AK562="利用可",AN562="利用可"),"利用可","不可")</f>
        <v>不可</v>
      </c>
      <c r="AY562" s="30" t="str">
        <f aca="false">IF(AND(AQ562="利用可",AT562="利用可",AW562="利用可"),"利用可","不可")</f>
        <v>不可</v>
      </c>
    </row>
    <row r="563" customFormat="false" ht="15" hidden="false" customHeight="false" outlineLevel="0" collapsed="false">
      <c r="A563" s="29" t="n">
        <v>46255</v>
      </c>
      <c r="B563" s="30" t="n">
        <v>8</v>
      </c>
      <c r="C563" s="31" t="s">
        <v>62</v>
      </c>
      <c r="D563" s="31" t="s">
        <v>59</v>
      </c>
      <c r="E563" s="30" t="n">
        <v>60</v>
      </c>
      <c r="F563" s="30" t="n">
        <v>47</v>
      </c>
      <c r="G563" s="30" t="str">
        <f aca="false">IF(E563&lt;判定条件!$C$6,"判定不能",IF(F563&gt;=判定条件!$C$7*E563,"運転",IF(F563&lt;=判定条件!$C$8*E563,"停止","断続")))</f>
        <v>断続</v>
      </c>
      <c r="H563" s="30" t="n">
        <v>60</v>
      </c>
      <c r="I563" s="30" t="n">
        <v>31</v>
      </c>
      <c r="J563" s="30" t="str">
        <f aca="false">IF(H563&lt;判定条件!$C$6,"判定不能",IF(I563&gt;=判定条件!$C$7*H563,"運転",IF(I563&lt;=判定条件!$C$8*H563,"停止","断続")))</f>
        <v>断続</v>
      </c>
      <c r="K563" s="30" t="n">
        <v>60</v>
      </c>
      <c r="L563" s="30" t="n">
        <v>32</v>
      </c>
      <c r="M563" s="30" t="str">
        <f aca="false">IF(K563&lt;判定条件!$C$6,"判定不能",IF(L563&gt;=判定条件!$C$7*K563,"運転",IF(L563&lt;=判定条件!$C$8*K563,"停止","断続")))</f>
        <v>断続</v>
      </c>
      <c r="N563" s="30" t="n">
        <v>60</v>
      </c>
      <c r="O563" s="30" t="n">
        <v>57</v>
      </c>
      <c r="P563" s="30" t="str">
        <f aca="false">IF(N563&lt;判定条件!$C$6,"判定不能",IF(O563&gt;=判定条件!$C$7*N563,"運転",IF(O563&lt;=判定条件!$C$8*N563,"停止","断続")))</f>
        <v>運転</v>
      </c>
      <c r="Q563" s="30" t="n">
        <v>0</v>
      </c>
      <c r="R563" s="30" t="n">
        <v>0</v>
      </c>
      <c r="S563" s="30" t="str">
        <f aca="false">IF(Q563&lt;判定条件!$C$6,"判定不能",IF(R563&gt;=判定条件!$C$7*Q563,"運転",IF(R563&lt;=判定条件!$C$8*Q563,"停止","断続")))</f>
        <v>判定不能</v>
      </c>
      <c r="T563" s="30" t="n">
        <v>60</v>
      </c>
      <c r="U563" s="30" t="n">
        <v>40</v>
      </c>
      <c r="V563" s="30" t="str">
        <f aca="false">IF(T563&lt;判定条件!$C$6,"判定不能",IF(U563&gt;=判定条件!$C$7*T563,"運転",IF(U563&lt;=判定条件!$C$8*T563,"停止","断続")))</f>
        <v>断続</v>
      </c>
      <c r="W563" s="30" t="n">
        <v>60</v>
      </c>
      <c r="X563" s="30" t="n">
        <v>36</v>
      </c>
      <c r="Y563" s="30" t="str">
        <f aca="false">IF(W563&lt;判定条件!$C$6,"判定不能",IF(X563&gt;=判定条件!$C$7*W563,"運転",IF(X563&lt;=判定条件!$C$8*W563,"停止","断続")))</f>
        <v>断続</v>
      </c>
      <c r="Z563" s="30" t="n">
        <v>60</v>
      </c>
      <c r="AA563" s="30" t="n">
        <v>47</v>
      </c>
      <c r="AB563" s="30" t="str">
        <f aca="false">IF(Z563&lt;判定条件!$C$6,"判定不能",IF(AA563&gt;=判定条件!$C$7*Z563,"運転",IF(AA563&lt;=判定条件!$C$8*Z563,"停止","断続")))</f>
        <v>断続</v>
      </c>
      <c r="AC563" s="30" t="n">
        <v>60</v>
      </c>
      <c r="AD563" s="30" t="n">
        <v>39</v>
      </c>
      <c r="AE563" s="30" t="str">
        <f aca="false">IF(AC563&lt;判定条件!$C$6,"判定不能",IF(AD563&gt;=判定条件!$C$7*AC563,"運転",IF(AD563&lt;=判定条件!$C$8*AC563,"停止","断続")))</f>
        <v>断続</v>
      </c>
      <c r="AF563" s="30" t="n">
        <v>60</v>
      </c>
      <c r="AG563" s="30" t="n">
        <v>44</v>
      </c>
      <c r="AH563" s="30" t="str">
        <f aca="false">IF(OR(P563="判定不能",G563="判定不能"),"判定不能",IF(AG563&gt;=判定条件!$C$9,"利用可",IF(AND(P563="停止",G563="停止"),"両方停止","運転がそろわない")))</f>
        <v>利用可</v>
      </c>
      <c r="AI563" s="30" t="n">
        <v>0</v>
      </c>
      <c r="AJ563" s="30" t="n">
        <v>0</v>
      </c>
      <c r="AK563" s="30" t="str">
        <f aca="false">IF(OR(S563="判定不能",J563="判定不能"),"判定不能",IF(AJ563&gt;=判定条件!$C$9,"利用可",IF(AND(S563="停止",J563="停止"),"両方停止","運転がそろわない")))</f>
        <v>判定不能</v>
      </c>
      <c r="AL563" s="30" t="n">
        <v>60</v>
      </c>
      <c r="AM563" s="30" t="n">
        <v>12</v>
      </c>
      <c r="AN563" s="30" t="str">
        <f aca="false">IF(OR(V563="判定不能",M563="判定不能"),"判定不能",IF(AM563&gt;=判定条件!$C$9,"利用可",IF(AND(V563="停止",M563="停止"),"両方停止","運転がそろわない")))</f>
        <v>運転がそろわない</v>
      </c>
      <c r="AO563" s="30" t="n">
        <v>60</v>
      </c>
      <c r="AP563" s="30" t="n">
        <v>23</v>
      </c>
      <c r="AQ563" s="30" t="str">
        <f aca="false">IF(OR(Y563="判定不能",G563="判定不能"),"判定不能",IF(AP563&gt;=判定条件!$C$9,"利用可",IF(AND(Y563="停止",G563="停止"),"両方停止","運転がそろわない")))</f>
        <v>運転がそろわない</v>
      </c>
      <c r="AR563" s="30" t="n">
        <v>60</v>
      </c>
      <c r="AS563" s="30" t="n">
        <v>18</v>
      </c>
      <c r="AT563" s="30" t="str">
        <f aca="false">IF(OR(AB563="判定不能",J563="判定不能"),"判定不能",IF(AS563&gt;=判定条件!$C$9,"利用可",IF(AND(AB563="停止",J563="停止"),"両方停止","運転がそろわない")))</f>
        <v>運転がそろわない</v>
      </c>
      <c r="AU563" s="30" t="n">
        <v>60</v>
      </c>
      <c r="AV563" s="30" t="n">
        <v>11</v>
      </c>
      <c r="AW563" s="30" t="str">
        <f aca="false">IF(OR(AE563="判定不能",M563="判定不能"),"判定不能",IF(AV563&gt;=判定条件!$C$9,"利用可",IF(AND(AE563="停止",M563="停止"),"両方停止","運転がそろわない")))</f>
        <v>運転がそろわない</v>
      </c>
      <c r="AX563" s="30" t="str">
        <f aca="false">IF(AND(AH563="利用可",AK563="利用可",AN563="利用可"),"利用可","不可")</f>
        <v>不可</v>
      </c>
      <c r="AY563" s="30" t="str">
        <f aca="false">IF(AND(AQ563="利用可",AT563="利用可",AW563="利用可"),"利用可","不可")</f>
        <v>不可</v>
      </c>
    </row>
    <row r="564" customFormat="false" ht="15" hidden="false" customHeight="false" outlineLevel="0" collapsed="false">
      <c r="A564" s="29" t="n">
        <v>46255</v>
      </c>
      <c r="B564" s="30" t="n">
        <v>9</v>
      </c>
      <c r="C564" s="31" t="s">
        <v>62</v>
      </c>
      <c r="D564" s="31" t="s">
        <v>59</v>
      </c>
      <c r="E564" s="30" t="n">
        <v>60</v>
      </c>
      <c r="F564" s="30" t="n">
        <v>60</v>
      </c>
      <c r="G564" s="30" t="str">
        <f aca="false">IF(E564&lt;判定条件!$C$6,"判定不能",IF(F564&gt;=判定条件!$C$7*E564,"運転",IF(F564&lt;=判定条件!$C$8*E564,"停止","断続")))</f>
        <v>運転</v>
      </c>
      <c r="H564" s="30" t="n">
        <v>60</v>
      </c>
      <c r="I564" s="30" t="n">
        <v>60</v>
      </c>
      <c r="J564" s="30" t="str">
        <f aca="false">IF(H564&lt;判定条件!$C$6,"判定不能",IF(I564&gt;=判定条件!$C$7*H564,"運転",IF(I564&lt;=判定条件!$C$8*H564,"停止","断続")))</f>
        <v>運転</v>
      </c>
      <c r="K564" s="30" t="n">
        <v>60</v>
      </c>
      <c r="L564" s="30" t="n">
        <v>60</v>
      </c>
      <c r="M564" s="30" t="str">
        <f aca="false">IF(K564&lt;判定条件!$C$6,"判定不能",IF(L564&gt;=判定条件!$C$7*K564,"運転",IF(L564&lt;=判定条件!$C$8*K564,"停止","断続")))</f>
        <v>運転</v>
      </c>
      <c r="N564" s="30" t="n">
        <v>60</v>
      </c>
      <c r="O564" s="30" t="n">
        <v>60</v>
      </c>
      <c r="P564" s="30" t="str">
        <f aca="false">IF(N564&lt;判定条件!$C$6,"判定不能",IF(O564&gt;=判定条件!$C$7*N564,"運転",IF(O564&lt;=判定条件!$C$8*N564,"停止","断続")))</f>
        <v>運転</v>
      </c>
      <c r="Q564" s="30" t="n">
        <v>0</v>
      </c>
      <c r="R564" s="30" t="n">
        <v>0</v>
      </c>
      <c r="S564" s="30" t="str">
        <f aca="false">IF(Q564&lt;判定条件!$C$6,"判定不能",IF(R564&gt;=判定条件!$C$7*Q564,"運転",IF(R564&lt;=判定条件!$C$8*Q564,"停止","断続")))</f>
        <v>判定不能</v>
      </c>
      <c r="T564" s="30" t="n">
        <v>60</v>
      </c>
      <c r="U564" s="30" t="n">
        <v>46</v>
      </c>
      <c r="V564" s="30" t="str">
        <f aca="false">IF(T564&lt;判定条件!$C$6,"判定不能",IF(U564&gt;=判定条件!$C$7*T564,"運転",IF(U564&lt;=判定条件!$C$8*T564,"停止","断続")))</f>
        <v>断続</v>
      </c>
      <c r="W564" s="30" t="n">
        <v>60</v>
      </c>
      <c r="X564" s="30" t="n">
        <v>60</v>
      </c>
      <c r="Y564" s="30" t="str">
        <f aca="false">IF(W564&lt;判定条件!$C$6,"判定不能",IF(X564&gt;=判定条件!$C$7*W564,"運転",IF(X564&lt;=判定条件!$C$8*W564,"停止","断続")))</f>
        <v>運転</v>
      </c>
      <c r="Z564" s="30" t="n">
        <v>60</v>
      </c>
      <c r="AA564" s="30" t="n">
        <v>60</v>
      </c>
      <c r="AB564" s="30" t="str">
        <f aca="false">IF(Z564&lt;判定条件!$C$6,"判定不能",IF(AA564&gt;=判定条件!$C$7*Z564,"運転",IF(AA564&lt;=判定条件!$C$8*Z564,"停止","断続")))</f>
        <v>運転</v>
      </c>
      <c r="AC564" s="30" t="n">
        <v>60</v>
      </c>
      <c r="AD564" s="30" t="n">
        <v>50</v>
      </c>
      <c r="AE564" s="30" t="str">
        <f aca="false">IF(AC564&lt;判定条件!$C$6,"判定不能",IF(AD564&gt;=判定条件!$C$7*AC564,"運転",IF(AD564&lt;=判定条件!$C$8*AC564,"停止","断続")))</f>
        <v>運転</v>
      </c>
      <c r="AF564" s="30" t="n">
        <v>60</v>
      </c>
      <c r="AG564" s="30" t="n">
        <v>60</v>
      </c>
      <c r="AH564" s="30" t="str">
        <f aca="false">IF(OR(P564="判定不能",G564="判定不能"),"判定不能",IF(AG564&gt;=判定条件!$C$9,"利用可",IF(AND(P564="停止",G564="停止"),"両方停止","運転がそろわない")))</f>
        <v>利用可</v>
      </c>
      <c r="AI564" s="30" t="n">
        <v>0</v>
      </c>
      <c r="AJ564" s="30" t="n">
        <v>0</v>
      </c>
      <c r="AK564" s="30" t="str">
        <f aca="false">IF(OR(S564="判定不能",J564="判定不能"),"判定不能",IF(AJ564&gt;=判定条件!$C$9,"利用可",IF(AND(S564="停止",J564="停止"),"両方停止","運転がそろわない")))</f>
        <v>判定不能</v>
      </c>
      <c r="AL564" s="30" t="n">
        <v>60</v>
      </c>
      <c r="AM564" s="30" t="n">
        <v>46</v>
      </c>
      <c r="AN564" s="30" t="str">
        <f aca="false">IF(OR(V564="判定不能",M564="判定不能"),"判定不能",IF(AM564&gt;=判定条件!$C$9,"利用可",IF(AND(V564="停止",M564="停止"),"両方停止","運転がそろわない")))</f>
        <v>利用可</v>
      </c>
      <c r="AO564" s="30" t="n">
        <v>60</v>
      </c>
      <c r="AP564" s="30" t="n">
        <v>60</v>
      </c>
      <c r="AQ564" s="30" t="str">
        <f aca="false">IF(OR(Y564="判定不能",G564="判定不能"),"判定不能",IF(AP564&gt;=判定条件!$C$9,"利用可",IF(AND(Y564="停止",G564="停止"),"両方停止","運転がそろわない")))</f>
        <v>利用可</v>
      </c>
      <c r="AR564" s="30" t="n">
        <v>60</v>
      </c>
      <c r="AS564" s="30" t="n">
        <v>60</v>
      </c>
      <c r="AT564" s="30" t="str">
        <f aca="false">IF(OR(AB564="判定不能",J564="判定不能"),"判定不能",IF(AS564&gt;=判定条件!$C$9,"利用可",IF(AND(AB564="停止",J564="停止"),"両方停止","運転がそろわない")))</f>
        <v>利用可</v>
      </c>
      <c r="AU564" s="30" t="n">
        <v>60</v>
      </c>
      <c r="AV564" s="30" t="n">
        <v>50</v>
      </c>
      <c r="AW564" s="30" t="str">
        <f aca="false">IF(OR(AE564="判定不能",M564="判定不能"),"判定不能",IF(AV564&gt;=判定条件!$C$9,"利用可",IF(AND(AE564="停止",M564="停止"),"両方停止","運転がそろわない")))</f>
        <v>利用可</v>
      </c>
      <c r="AX564" s="30" t="str">
        <f aca="false">IF(AND(AH564="利用可",AK564="利用可",AN564="利用可"),"利用可","不可")</f>
        <v>不可</v>
      </c>
      <c r="AY564" s="30" t="str">
        <f aca="false">IF(AND(AQ564="利用可",AT564="利用可",AW564="利用可"),"利用可","不可")</f>
        <v>利用可</v>
      </c>
    </row>
    <row r="565" customFormat="false" ht="15" hidden="false" customHeight="false" outlineLevel="0" collapsed="false">
      <c r="A565" s="29" t="n">
        <v>46255</v>
      </c>
      <c r="B565" s="30" t="n">
        <v>10</v>
      </c>
      <c r="C565" s="31" t="s">
        <v>62</v>
      </c>
      <c r="D565" s="31" t="s">
        <v>59</v>
      </c>
      <c r="E565" s="30" t="n">
        <v>60</v>
      </c>
      <c r="F565" s="30" t="n">
        <v>60</v>
      </c>
      <c r="G565" s="30" t="str">
        <f aca="false">IF(E565&lt;判定条件!$C$6,"判定不能",IF(F565&gt;=判定条件!$C$7*E565,"運転",IF(F565&lt;=判定条件!$C$8*E565,"停止","断続")))</f>
        <v>運転</v>
      </c>
      <c r="H565" s="30" t="n">
        <v>60</v>
      </c>
      <c r="I565" s="30" t="n">
        <v>60</v>
      </c>
      <c r="J565" s="30" t="str">
        <f aca="false">IF(H565&lt;判定条件!$C$6,"判定不能",IF(I565&gt;=判定条件!$C$7*H565,"運転",IF(I565&lt;=判定条件!$C$8*H565,"停止","断続")))</f>
        <v>運転</v>
      </c>
      <c r="K565" s="30" t="n">
        <v>60</v>
      </c>
      <c r="L565" s="30" t="n">
        <v>60</v>
      </c>
      <c r="M565" s="30" t="str">
        <f aca="false">IF(K565&lt;判定条件!$C$6,"判定不能",IF(L565&gt;=判定条件!$C$7*K565,"運転",IF(L565&lt;=判定条件!$C$8*K565,"停止","断続")))</f>
        <v>運転</v>
      </c>
      <c r="N565" s="30" t="n">
        <v>60</v>
      </c>
      <c r="O565" s="30" t="n">
        <v>60</v>
      </c>
      <c r="P565" s="30" t="str">
        <f aca="false">IF(N565&lt;判定条件!$C$6,"判定不能",IF(O565&gt;=判定条件!$C$7*N565,"運転",IF(O565&lt;=判定条件!$C$8*N565,"停止","断続")))</f>
        <v>運転</v>
      </c>
      <c r="Q565" s="30" t="n">
        <v>0</v>
      </c>
      <c r="R565" s="30" t="n">
        <v>0</v>
      </c>
      <c r="S565" s="30" t="str">
        <f aca="false">IF(Q565&lt;判定条件!$C$6,"判定不能",IF(R565&gt;=判定条件!$C$7*Q565,"運転",IF(R565&lt;=判定条件!$C$8*Q565,"停止","断続")))</f>
        <v>判定不能</v>
      </c>
      <c r="T565" s="30" t="n">
        <v>60</v>
      </c>
      <c r="U565" s="30" t="n">
        <v>53</v>
      </c>
      <c r="V565" s="30" t="str">
        <f aca="false">IF(T565&lt;判定条件!$C$6,"判定不能",IF(U565&gt;=判定条件!$C$7*T565,"運転",IF(U565&lt;=判定条件!$C$8*T565,"停止","断続")))</f>
        <v>運転</v>
      </c>
      <c r="W565" s="30" t="n">
        <v>60</v>
      </c>
      <c r="X565" s="30" t="n">
        <v>60</v>
      </c>
      <c r="Y565" s="30" t="str">
        <f aca="false">IF(W565&lt;判定条件!$C$6,"判定不能",IF(X565&gt;=判定条件!$C$7*W565,"運転",IF(X565&lt;=判定条件!$C$8*W565,"停止","断続")))</f>
        <v>運転</v>
      </c>
      <c r="Z565" s="30" t="n">
        <v>60</v>
      </c>
      <c r="AA565" s="30" t="n">
        <v>60</v>
      </c>
      <c r="AB565" s="30" t="str">
        <f aca="false">IF(Z565&lt;判定条件!$C$6,"判定不能",IF(AA565&gt;=判定条件!$C$7*Z565,"運転",IF(AA565&lt;=判定条件!$C$8*Z565,"停止","断続")))</f>
        <v>運転</v>
      </c>
      <c r="AC565" s="30" t="n">
        <v>60</v>
      </c>
      <c r="AD565" s="30" t="n">
        <v>52</v>
      </c>
      <c r="AE565" s="30" t="str">
        <f aca="false">IF(AC565&lt;判定条件!$C$6,"判定不能",IF(AD565&gt;=判定条件!$C$7*AC565,"運転",IF(AD565&lt;=判定条件!$C$8*AC565,"停止","断続")))</f>
        <v>運転</v>
      </c>
      <c r="AF565" s="30" t="n">
        <v>60</v>
      </c>
      <c r="AG565" s="30" t="n">
        <v>60</v>
      </c>
      <c r="AH565" s="30" t="str">
        <f aca="false">IF(OR(P565="判定不能",G565="判定不能"),"判定不能",IF(AG565&gt;=判定条件!$C$9,"利用可",IF(AND(P565="停止",G565="停止"),"両方停止","運転がそろわない")))</f>
        <v>利用可</v>
      </c>
      <c r="AI565" s="30" t="n">
        <v>0</v>
      </c>
      <c r="AJ565" s="30" t="n">
        <v>0</v>
      </c>
      <c r="AK565" s="30" t="str">
        <f aca="false">IF(OR(S565="判定不能",J565="判定不能"),"判定不能",IF(AJ565&gt;=判定条件!$C$9,"利用可",IF(AND(S565="停止",J565="停止"),"両方停止","運転がそろわない")))</f>
        <v>判定不能</v>
      </c>
      <c r="AL565" s="30" t="n">
        <v>60</v>
      </c>
      <c r="AM565" s="30" t="n">
        <v>53</v>
      </c>
      <c r="AN565" s="30" t="str">
        <f aca="false">IF(OR(V565="判定不能",M565="判定不能"),"判定不能",IF(AM565&gt;=判定条件!$C$9,"利用可",IF(AND(V565="停止",M565="停止"),"両方停止","運転がそろわない")))</f>
        <v>利用可</v>
      </c>
      <c r="AO565" s="30" t="n">
        <v>60</v>
      </c>
      <c r="AP565" s="30" t="n">
        <v>60</v>
      </c>
      <c r="AQ565" s="30" t="str">
        <f aca="false">IF(OR(Y565="判定不能",G565="判定不能"),"判定不能",IF(AP565&gt;=判定条件!$C$9,"利用可",IF(AND(Y565="停止",G565="停止"),"両方停止","運転がそろわない")))</f>
        <v>利用可</v>
      </c>
      <c r="AR565" s="30" t="n">
        <v>60</v>
      </c>
      <c r="AS565" s="30" t="n">
        <v>60</v>
      </c>
      <c r="AT565" s="30" t="str">
        <f aca="false">IF(OR(AB565="判定不能",J565="判定不能"),"判定不能",IF(AS565&gt;=判定条件!$C$9,"利用可",IF(AND(AB565="停止",J565="停止"),"両方停止","運転がそろわない")))</f>
        <v>利用可</v>
      </c>
      <c r="AU565" s="30" t="n">
        <v>60</v>
      </c>
      <c r="AV565" s="30" t="n">
        <v>52</v>
      </c>
      <c r="AW565" s="30" t="str">
        <f aca="false">IF(OR(AE565="判定不能",M565="判定不能"),"判定不能",IF(AV565&gt;=判定条件!$C$9,"利用可",IF(AND(AE565="停止",M565="停止"),"両方停止","運転がそろわない")))</f>
        <v>利用可</v>
      </c>
      <c r="AX565" s="30" t="str">
        <f aca="false">IF(AND(AH565="利用可",AK565="利用可",AN565="利用可"),"利用可","不可")</f>
        <v>不可</v>
      </c>
      <c r="AY565" s="30" t="str">
        <f aca="false">IF(AND(AQ565="利用可",AT565="利用可",AW565="利用可"),"利用可","不可")</f>
        <v>利用可</v>
      </c>
    </row>
    <row r="566" customFormat="false" ht="15" hidden="false" customHeight="false" outlineLevel="0" collapsed="false">
      <c r="A566" s="29" t="n">
        <v>46255</v>
      </c>
      <c r="B566" s="30" t="n">
        <v>11</v>
      </c>
      <c r="C566" s="31" t="s">
        <v>62</v>
      </c>
      <c r="D566" s="31" t="s">
        <v>59</v>
      </c>
      <c r="E566" s="30" t="n">
        <v>60</v>
      </c>
      <c r="F566" s="30" t="n">
        <v>60</v>
      </c>
      <c r="G566" s="30" t="str">
        <f aca="false">IF(E566&lt;判定条件!$C$6,"判定不能",IF(F566&gt;=判定条件!$C$7*E566,"運転",IF(F566&lt;=判定条件!$C$8*E566,"停止","断続")))</f>
        <v>運転</v>
      </c>
      <c r="H566" s="30" t="n">
        <v>60</v>
      </c>
      <c r="I566" s="30" t="n">
        <v>60</v>
      </c>
      <c r="J566" s="30" t="str">
        <f aca="false">IF(H566&lt;判定条件!$C$6,"判定不能",IF(I566&gt;=判定条件!$C$7*H566,"運転",IF(I566&lt;=判定条件!$C$8*H566,"停止","断続")))</f>
        <v>運転</v>
      </c>
      <c r="K566" s="30" t="n">
        <v>60</v>
      </c>
      <c r="L566" s="30" t="n">
        <v>60</v>
      </c>
      <c r="M566" s="30" t="str">
        <f aca="false">IF(K566&lt;判定条件!$C$6,"判定不能",IF(L566&gt;=判定条件!$C$7*K566,"運転",IF(L566&lt;=判定条件!$C$8*K566,"停止","断続")))</f>
        <v>運転</v>
      </c>
      <c r="N566" s="30" t="n">
        <v>60</v>
      </c>
      <c r="O566" s="30" t="n">
        <v>60</v>
      </c>
      <c r="P566" s="30" t="str">
        <f aca="false">IF(N566&lt;判定条件!$C$6,"判定不能",IF(O566&gt;=判定条件!$C$7*N566,"運転",IF(O566&lt;=判定条件!$C$8*N566,"停止","断続")))</f>
        <v>運転</v>
      </c>
      <c r="Q566" s="30" t="n">
        <v>0</v>
      </c>
      <c r="R566" s="30" t="n">
        <v>0</v>
      </c>
      <c r="S566" s="30" t="str">
        <f aca="false">IF(Q566&lt;判定条件!$C$6,"判定不能",IF(R566&gt;=判定条件!$C$7*Q566,"運転",IF(R566&lt;=判定条件!$C$8*Q566,"停止","断続")))</f>
        <v>判定不能</v>
      </c>
      <c r="T566" s="30" t="n">
        <v>60</v>
      </c>
      <c r="U566" s="30" t="n">
        <v>55</v>
      </c>
      <c r="V566" s="30" t="str">
        <f aca="false">IF(T566&lt;判定条件!$C$6,"判定不能",IF(U566&gt;=判定条件!$C$7*T566,"運転",IF(U566&lt;=判定条件!$C$8*T566,"停止","断続")))</f>
        <v>運転</v>
      </c>
      <c r="W566" s="30" t="n">
        <v>60</v>
      </c>
      <c r="X566" s="30" t="n">
        <v>60</v>
      </c>
      <c r="Y566" s="30" t="str">
        <f aca="false">IF(W566&lt;判定条件!$C$6,"判定不能",IF(X566&gt;=判定条件!$C$7*W566,"運転",IF(X566&lt;=判定条件!$C$8*W566,"停止","断続")))</f>
        <v>運転</v>
      </c>
      <c r="Z566" s="30" t="n">
        <v>60</v>
      </c>
      <c r="AA566" s="30" t="n">
        <v>60</v>
      </c>
      <c r="AB566" s="30" t="str">
        <f aca="false">IF(Z566&lt;判定条件!$C$6,"判定不能",IF(AA566&gt;=判定条件!$C$7*Z566,"運転",IF(AA566&lt;=判定条件!$C$8*Z566,"停止","断続")))</f>
        <v>運転</v>
      </c>
      <c r="AC566" s="30" t="n">
        <v>60</v>
      </c>
      <c r="AD566" s="30" t="n">
        <v>60</v>
      </c>
      <c r="AE566" s="30" t="str">
        <f aca="false">IF(AC566&lt;判定条件!$C$6,"判定不能",IF(AD566&gt;=判定条件!$C$7*AC566,"運転",IF(AD566&lt;=判定条件!$C$8*AC566,"停止","断続")))</f>
        <v>運転</v>
      </c>
      <c r="AF566" s="30" t="n">
        <v>60</v>
      </c>
      <c r="AG566" s="30" t="n">
        <v>60</v>
      </c>
      <c r="AH566" s="30" t="str">
        <f aca="false">IF(OR(P566="判定不能",G566="判定不能"),"判定不能",IF(AG566&gt;=判定条件!$C$9,"利用可",IF(AND(P566="停止",G566="停止"),"両方停止","運転がそろわない")))</f>
        <v>利用可</v>
      </c>
      <c r="AI566" s="30" t="n">
        <v>0</v>
      </c>
      <c r="AJ566" s="30" t="n">
        <v>0</v>
      </c>
      <c r="AK566" s="30" t="str">
        <f aca="false">IF(OR(S566="判定不能",J566="判定不能"),"判定不能",IF(AJ566&gt;=判定条件!$C$9,"利用可",IF(AND(S566="停止",J566="停止"),"両方停止","運転がそろわない")))</f>
        <v>判定不能</v>
      </c>
      <c r="AL566" s="30" t="n">
        <v>60</v>
      </c>
      <c r="AM566" s="30" t="n">
        <v>55</v>
      </c>
      <c r="AN566" s="30" t="str">
        <f aca="false">IF(OR(V566="判定不能",M566="判定不能"),"判定不能",IF(AM566&gt;=判定条件!$C$9,"利用可",IF(AND(V566="停止",M566="停止"),"両方停止","運転がそろわない")))</f>
        <v>利用可</v>
      </c>
      <c r="AO566" s="30" t="n">
        <v>60</v>
      </c>
      <c r="AP566" s="30" t="n">
        <v>60</v>
      </c>
      <c r="AQ566" s="30" t="str">
        <f aca="false">IF(OR(Y566="判定不能",G566="判定不能"),"判定不能",IF(AP566&gt;=判定条件!$C$9,"利用可",IF(AND(Y566="停止",G566="停止"),"両方停止","運転がそろわない")))</f>
        <v>利用可</v>
      </c>
      <c r="AR566" s="30" t="n">
        <v>60</v>
      </c>
      <c r="AS566" s="30" t="n">
        <v>60</v>
      </c>
      <c r="AT566" s="30" t="str">
        <f aca="false">IF(OR(AB566="判定不能",J566="判定不能"),"判定不能",IF(AS566&gt;=判定条件!$C$9,"利用可",IF(AND(AB566="停止",J566="停止"),"両方停止","運転がそろわない")))</f>
        <v>利用可</v>
      </c>
      <c r="AU566" s="30" t="n">
        <v>60</v>
      </c>
      <c r="AV566" s="30" t="n">
        <v>60</v>
      </c>
      <c r="AW566" s="30" t="str">
        <f aca="false">IF(OR(AE566="判定不能",M566="判定不能"),"判定不能",IF(AV566&gt;=判定条件!$C$9,"利用可",IF(AND(AE566="停止",M566="停止"),"両方停止","運転がそろわない")))</f>
        <v>利用可</v>
      </c>
      <c r="AX566" s="30" t="str">
        <f aca="false">IF(AND(AH566="利用可",AK566="利用可",AN566="利用可"),"利用可","不可")</f>
        <v>不可</v>
      </c>
      <c r="AY566" s="30" t="str">
        <f aca="false">IF(AND(AQ566="利用可",AT566="利用可",AW566="利用可"),"利用可","不可")</f>
        <v>利用可</v>
      </c>
    </row>
    <row r="567" customFormat="false" ht="15" hidden="false" customHeight="false" outlineLevel="0" collapsed="false">
      <c r="A567" s="29" t="n">
        <v>46255</v>
      </c>
      <c r="B567" s="30" t="n">
        <v>12</v>
      </c>
      <c r="C567" s="31" t="s">
        <v>62</v>
      </c>
      <c r="D567" s="31" t="s">
        <v>59</v>
      </c>
      <c r="E567" s="30" t="n">
        <v>60</v>
      </c>
      <c r="F567" s="30" t="n">
        <v>60</v>
      </c>
      <c r="G567" s="30" t="str">
        <f aca="false">IF(E567&lt;判定条件!$C$6,"判定不能",IF(F567&gt;=判定条件!$C$7*E567,"運転",IF(F567&lt;=判定条件!$C$8*E567,"停止","断続")))</f>
        <v>運転</v>
      </c>
      <c r="H567" s="30" t="n">
        <v>60</v>
      </c>
      <c r="I567" s="30" t="n">
        <v>60</v>
      </c>
      <c r="J567" s="30" t="str">
        <f aca="false">IF(H567&lt;判定条件!$C$6,"判定不能",IF(I567&gt;=判定条件!$C$7*H567,"運転",IF(I567&lt;=判定条件!$C$8*H567,"停止","断続")))</f>
        <v>運転</v>
      </c>
      <c r="K567" s="30" t="n">
        <v>60</v>
      </c>
      <c r="L567" s="30" t="n">
        <v>60</v>
      </c>
      <c r="M567" s="30" t="str">
        <f aca="false">IF(K567&lt;判定条件!$C$6,"判定不能",IF(L567&gt;=判定条件!$C$7*K567,"運転",IF(L567&lt;=判定条件!$C$8*K567,"停止","断続")))</f>
        <v>運転</v>
      </c>
      <c r="N567" s="30" t="n">
        <v>60</v>
      </c>
      <c r="O567" s="30" t="n">
        <v>60</v>
      </c>
      <c r="P567" s="30" t="str">
        <f aca="false">IF(N567&lt;判定条件!$C$6,"判定不能",IF(O567&gt;=判定条件!$C$7*N567,"運転",IF(O567&lt;=判定条件!$C$8*N567,"停止","断続")))</f>
        <v>運転</v>
      </c>
      <c r="Q567" s="30" t="n">
        <v>0</v>
      </c>
      <c r="R567" s="30" t="n">
        <v>0</v>
      </c>
      <c r="S567" s="30" t="str">
        <f aca="false">IF(Q567&lt;判定条件!$C$6,"判定不能",IF(R567&gt;=判定条件!$C$7*Q567,"運転",IF(R567&lt;=判定条件!$C$8*Q567,"停止","断続")))</f>
        <v>判定不能</v>
      </c>
      <c r="T567" s="30" t="n">
        <v>60</v>
      </c>
      <c r="U567" s="30" t="n">
        <v>60</v>
      </c>
      <c r="V567" s="30" t="str">
        <f aca="false">IF(T567&lt;判定条件!$C$6,"判定不能",IF(U567&gt;=判定条件!$C$7*T567,"運転",IF(U567&lt;=判定条件!$C$8*T567,"停止","断続")))</f>
        <v>運転</v>
      </c>
      <c r="W567" s="30" t="n">
        <v>60</v>
      </c>
      <c r="X567" s="30" t="n">
        <v>60</v>
      </c>
      <c r="Y567" s="30" t="str">
        <f aca="false">IF(W567&lt;判定条件!$C$6,"判定不能",IF(X567&gt;=判定条件!$C$7*W567,"運転",IF(X567&lt;=判定条件!$C$8*W567,"停止","断続")))</f>
        <v>運転</v>
      </c>
      <c r="Z567" s="30" t="n">
        <v>60</v>
      </c>
      <c r="AA567" s="30" t="n">
        <v>60</v>
      </c>
      <c r="AB567" s="30" t="str">
        <f aca="false">IF(Z567&lt;判定条件!$C$6,"判定不能",IF(AA567&gt;=判定条件!$C$7*Z567,"運転",IF(AA567&lt;=判定条件!$C$8*Z567,"停止","断続")))</f>
        <v>運転</v>
      </c>
      <c r="AC567" s="30" t="n">
        <v>60</v>
      </c>
      <c r="AD567" s="30" t="n">
        <v>60</v>
      </c>
      <c r="AE567" s="30" t="str">
        <f aca="false">IF(AC567&lt;判定条件!$C$6,"判定不能",IF(AD567&gt;=判定条件!$C$7*AC567,"運転",IF(AD567&lt;=判定条件!$C$8*AC567,"停止","断続")))</f>
        <v>運転</v>
      </c>
      <c r="AF567" s="30" t="n">
        <v>60</v>
      </c>
      <c r="AG567" s="30" t="n">
        <v>60</v>
      </c>
      <c r="AH567" s="30" t="str">
        <f aca="false">IF(OR(P567="判定不能",G567="判定不能"),"判定不能",IF(AG567&gt;=判定条件!$C$9,"利用可",IF(AND(P567="停止",G567="停止"),"両方停止","運転がそろわない")))</f>
        <v>利用可</v>
      </c>
      <c r="AI567" s="30" t="n">
        <v>0</v>
      </c>
      <c r="AJ567" s="30" t="n">
        <v>0</v>
      </c>
      <c r="AK567" s="30" t="str">
        <f aca="false">IF(OR(S567="判定不能",J567="判定不能"),"判定不能",IF(AJ567&gt;=判定条件!$C$9,"利用可",IF(AND(S567="停止",J567="停止"),"両方停止","運転がそろわない")))</f>
        <v>判定不能</v>
      </c>
      <c r="AL567" s="30" t="n">
        <v>60</v>
      </c>
      <c r="AM567" s="30" t="n">
        <v>60</v>
      </c>
      <c r="AN567" s="30" t="str">
        <f aca="false">IF(OR(V567="判定不能",M567="判定不能"),"判定不能",IF(AM567&gt;=判定条件!$C$9,"利用可",IF(AND(V567="停止",M567="停止"),"両方停止","運転がそろわない")))</f>
        <v>利用可</v>
      </c>
      <c r="AO567" s="30" t="n">
        <v>60</v>
      </c>
      <c r="AP567" s="30" t="n">
        <v>60</v>
      </c>
      <c r="AQ567" s="30" t="str">
        <f aca="false">IF(OR(Y567="判定不能",G567="判定不能"),"判定不能",IF(AP567&gt;=判定条件!$C$9,"利用可",IF(AND(Y567="停止",G567="停止"),"両方停止","運転がそろわない")))</f>
        <v>利用可</v>
      </c>
      <c r="AR567" s="30" t="n">
        <v>60</v>
      </c>
      <c r="AS567" s="30" t="n">
        <v>60</v>
      </c>
      <c r="AT567" s="30" t="str">
        <f aca="false">IF(OR(AB567="判定不能",J567="判定不能"),"判定不能",IF(AS567&gt;=判定条件!$C$9,"利用可",IF(AND(AB567="停止",J567="停止"),"両方停止","運転がそろわない")))</f>
        <v>利用可</v>
      </c>
      <c r="AU567" s="30" t="n">
        <v>60</v>
      </c>
      <c r="AV567" s="30" t="n">
        <v>60</v>
      </c>
      <c r="AW567" s="30" t="str">
        <f aca="false">IF(OR(AE567="判定不能",M567="判定不能"),"判定不能",IF(AV567&gt;=判定条件!$C$9,"利用可",IF(AND(AE567="停止",M567="停止"),"両方停止","運転がそろわない")))</f>
        <v>利用可</v>
      </c>
      <c r="AX567" s="30" t="str">
        <f aca="false">IF(AND(AH567="利用可",AK567="利用可",AN567="利用可"),"利用可","不可")</f>
        <v>不可</v>
      </c>
      <c r="AY567" s="30" t="str">
        <f aca="false">IF(AND(AQ567="利用可",AT567="利用可",AW567="利用可"),"利用可","不可")</f>
        <v>利用可</v>
      </c>
    </row>
    <row r="568" customFormat="false" ht="15" hidden="false" customHeight="false" outlineLevel="0" collapsed="false">
      <c r="A568" s="29" t="n">
        <v>46255</v>
      </c>
      <c r="B568" s="30" t="n">
        <v>13</v>
      </c>
      <c r="C568" s="31" t="s">
        <v>62</v>
      </c>
      <c r="D568" s="31" t="s">
        <v>59</v>
      </c>
      <c r="E568" s="30" t="n">
        <v>60</v>
      </c>
      <c r="F568" s="30" t="n">
        <v>60</v>
      </c>
      <c r="G568" s="30" t="str">
        <f aca="false">IF(E568&lt;判定条件!$C$6,"判定不能",IF(F568&gt;=判定条件!$C$7*E568,"運転",IF(F568&lt;=判定条件!$C$8*E568,"停止","断続")))</f>
        <v>運転</v>
      </c>
      <c r="H568" s="30" t="n">
        <v>60</v>
      </c>
      <c r="I568" s="30" t="n">
        <v>60</v>
      </c>
      <c r="J568" s="30" t="str">
        <f aca="false">IF(H568&lt;判定条件!$C$6,"判定不能",IF(I568&gt;=判定条件!$C$7*H568,"運転",IF(I568&lt;=判定条件!$C$8*H568,"停止","断続")))</f>
        <v>運転</v>
      </c>
      <c r="K568" s="30" t="n">
        <v>60</v>
      </c>
      <c r="L568" s="30" t="n">
        <v>60</v>
      </c>
      <c r="M568" s="30" t="str">
        <f aca="false">IF(K568&lt;判定条件!$C$6,"判定不能",IF(L568&gt;=判定条件!$C$7*K568,"運転",IF(L568&lt;=判定条件!$C$8*K568,"停止","断続")))</f>
        <v>運転</v>
      </c>
      <c r="N568" s="30" t="n">
        <v>60</v>
      </c>
      <c r="O568" s="30" t="n">
        <v>60</v>
      </c>
      <c r="P568" s="30" t="str">
        <f aca="false">IF(N568&lt;判定条件!$C$6,"判定不能",IF(O568&gt;=判定条件!$C$7*N568,"運転",IF(O568&lt;=判定条件!$C$8*N568,"停止","断続")))</f>
        <v>運転</v>
      </c>
      <c r="Q568" s="30" t="n">
        <v>0</v>
      </c>
      <c r="R568" s="30" t="n">
        <v>0</v>
      </c>
      <c r="S568" s="30" t="str">
        <f aca="false">IF(Q568&lt;判定条件!$C$6,"判定不能",IF(R568&gt;=判定条件!$C$7*Q568,"運転",IF(R568&lt;=判定条件!$C$8*Q568,"停止","断続")))</f>
        <v>判定不能</v>
      </c>
      <c r="T568" s="30" t="n">
        <v>60</v>
      </c>
      <c r="U568" s="30" t="n">
        <v>60</v>
      </c>
      <c r="V568" s="30" t="str">
        <f aca="false">IF(T568&lt;判定条件!$C$6,"判定不能",IF(U568&gt;=判定条件!$C$7*T568,"運転",IF(U568&lt;=判定条件!$C$8*T568,"停止","断続")))</f>
        <v>運転</v>
      </c>
      <c r="W568" s="30" t="n">
        <v>60</v>
      </c>
      <c r="X568" s="30" t="n">
        <v>41</v>
      </c>
      <c r="Y568" s="30" t="str">
        <f aca="false">IF(W568&lt;判定条件!$C$6,"判定不能",IF(X568&gt;=判定条件!$C$7*W568,"運転",IF(X568&lt;=判定条件!$C$8*W568,"停止","断続")))</f>
        <v>断続</v>
      </c>
      <c r="Z568" s="30" t="n">
        <v>60</v>
      </c>
      <c r="AA568" s="30" t="n">
        <v>60</v>
      </c>
      <c r="AB568" s="30" t="str">
        <f aca="false">IF(Z568&lt;判定条件!$C$6,"判定不能",IF(AA568&gt;=判定条件!$C$7*Z568,"運転",IF(AA568&lt;=判定条件!$C$8*Z568,"停止","断続")))</f>
        <v>運転</v>
      </c>
      <c r="AC568" s="30" t="n">
        <v>60</v>
      </c>
      <c r="AD568" s="30" t="n">
        <v>60</v>
      </c>
      <c r="AE568" s="30" t="str">
        <f aca="false">IF(AC568&lt;判定条件!$C$6,"判定不能",IF(AD568&gt;=判定条件!$C$7*AC568,"運転",IF(AD568&lt;=判定条件!$C$8*AC568,"停止","断続")))</f>
        <v>運転</v>
      </c>
      <c r="AF568" s="30" t="n">
        <v>60</v>
      </c>
      <c r="AG568" s="30" t="n">
        <v>60</v>
      </c>
      <c r="AH568" s="30" t="str">
        <f aca="false">IF(OR(P568="判定不能",G568="判定不能"),"判定不能",IF(AG568&gt;=判定条件!$C$9,"利用可",IF(AND(P568="停止",G568="停止"),"両方停止","運転がそろわない")))</f>
        <v>利用可</v>
      </c>
      <c r="AI568" s="30" t="n">
        <v>0</v>
      </c>
      <c r="AJ568" s="30" t="n">
        <v>0</v>
      </c>
      <c r="AK568" s="30" t="str">
        <f aca="false">IF(OR(S568="判定不能",J568="判定不能"),"判定不能",IF(AJ568&gt;=判定条件!$C$9,"利用可",IF(AND(S568="停止",J568="停止"),"両方停止","運転がそろわない")))</f>
        <v>判定不能</v>
      </c>
      <c r="AL568" s="30" t="n">
        <v>60</v>
      </c>
      <c r="AM568" s="30" t="n">
        <v>60</v>
      </c>
      <c r="AN568" s="30" t="str">
        <f aca="false">IF(OR(V568="判定不能",M568="判定不能"),"判定不能",IF(AM568&gt;=判定条件!$C$9,"利用可",IF(AND(V568="停止",M568="停止"),"両方停止","運転がそろわない")))</f>
        <v>利用可</v>
      </c>
      <c r="AO568" s="30" t="n">
        <v>60</v>
      </c>
      <c r="AP568" s="30" t="n">
        <v>41</v>
      </c>
      <c r="AQ568" s="30" t="str">
        <f aca="false">IF(OR(Y568="判定不能",G568="判定不能"),"判定不能",IF(AP568&gt;=判定条件!$C$9,"利用可",IF(AND(Y568="停止",G568="停止"),"両方停止","運転がそろわない")))</f>
        <v>利用可</v>
      </c>
      <c r="AR568" s="30" t="n">
        <v>60</v>
      </c>
      <c r="AS568" s="30" t="n">
        <v>60</v>
      </c>
      <c r="AT568" s="30" t="str">
        <f aca="false">IF(OR(AB568="判定不能",J568="判定不能"),"判定不能",IF(AS568&gt;=判定条件!$C$9,"利用可",IF(AND(AB568="停止",J568="停止"),"両方停止","運転がそろわない")))</f>
        <v>利用可</v>
      </c>
      <c r="AU568" s="30" t="n">
        <v>60</v>
      </c>
      <c r="AV568" s="30" t="n">
        <v>60</v>
      </c>
      <c r="AW568" s="30" t="str">
        <f aca="false">IF(OR(AE568="判定不能",M568="判定不能"),"判定不能",IF(AV568&gt;=判定条件!$C$9,"利用可",IF(AND(AE568="停止",M568="停止"),"両方停止","運転がそろわない")))</f>
        <v>利用可</v>
      </c>
      <c r="AX568" s="30" t="str">
        <f aca="false">IF(AND(AH568="利用可",AK568="利用可",AN568="利用可"),"利用可","不可")</f>
        <v>不可</v>
      </c>
      <c r="AY568" s="30" t="str">
        <f aca="false">IF(AND(AQ568="利用可",AT568="利用可",AW568="利用可"),"利用可","不可")</f>
        <v>利用可</v>
      </c>
    </row>
    <row r="569" customFormat="false" ht="15" hidden="false" customHeight="false" outlineLevel="0" collapsed="false">
      <c r="A569" s="29" t="n">
        <v>46255</v>
      </c>
      <c r="B569" s="30" t="n">
        <v>14</v>
      </c>
      <c r="C569" s="31" t="s">
        <v>62</v>
      </c>
      <c r="D569" s="31" t="s">
        <v>59</v>
      </c>
      <c r="E569" s="30" t="n">
        <v>60</v>
      </c>
      <c r="F569" s="30" t="n">
        <v>60</v>
      </c>
      <c r="G569" s="30" t="str">
        <f aca="false">IF(E569&lt;判定条件!$C$6,"判定不能",IF(F569&gt;=判定条件!$C$7*E569,"運転",IF(F569&lt;=判定条件!$C$8*E569,"停止","断続")))</f>
        <v>運転</v>
      </c>
      <c r="H569" s="30" t="n">
        <v>60</v>
      </c>
      <c r="I569" s="30" t="n">
        <v>60</v>
      </c>
      <c r="J569" s="30" t="str">
        <f aca="false">IF(H569&lt;判定条件!$C$6,"判定不能",IF(I569&gt;=判定条件!$C$7*H569,"運転",IF(I569&lt;=判定条件!$C$8*H569,"停止","断続")))</f>
        <v>運転</v>
      </c>
      <c r="K569" s="30" t="n">
        <v>60</v>
      </c>
      <c r="L569" s="30" t="n">
        <v>60</v>
      </c>
      <c r="M569" s="30" t="str">
        <f aca="false">IF(K569&lt;判定条件!$C$6,"判定不能",IF(L569&gt;=判定条件!$C$7*K569,"運転",IF(L569&lt;=判定条件!$C$8*K569,"停止","断続")))</f>
        <v>運転</v>
      </c>
      <c r="N569" s="30" t="n">
        <v>60</v>
      </c>
      <c r="O569" s="30" t="n">
        <v>60</v>
      </c>
      <c r="P569" s="30" t="str">
        <f aca="false">IF(N569&lt;判定条件!$C$6,"判定不能",IF(O569&gt;=判定条件!$C$7*N569,"運転",IF(O569&lt;=判定条件!$C$8*N569,"停止","断続")))</f>
        <v>運転</v>
      </c>
      <c r="Q569" s="30" t="n">
        <v>0</v>
      </c>
      <c r="R569" s="30" t="n">
        <v>0</v>
      </c>
      <c r="S569" s="30" t="str">
        <f aca="false">IF(Q569&lt;判定条件!$C$6,"判定不能",IF(R569&gt;=判定条件!$C$7*Q569,"運転",IF(R569&lt;=判定条件!$C$8*Q569,"停止","断続")))</f>
        <v>判定不能</v>
      </c>
      <c r="T569" s="30" t="n">
        <v>60</v>
      </c>
      <c r="U569" s="30" t="n">
        <v>46</v>
      </c>
      <c r="V569" s="30" t="str">
        <f aca="false">IF(T569&lt;判定条件!$C$6,"判定不能",IF(U569&gt;=判定条件!$C$7*T569,"運転",IF(U569&lt;=判定条件!$C$8*T569,"停止","断続")))</f>
        <v>断続</v>
      </c>
      <c r="W569" s="30" t="n">
        <v>60</v>
      </c>
      <c r="X569" s="30" t="n">
        <v>60</v>
      </c>
      <c r="Y569" s="30" t="str">
        <f aca="false">IF(W569&lt;判定条件!$C$6,"判定不能",IF(X569&gt;=判定条件!$C$7*W569,"運転",IF(X569&lt;=判定条件!$C$8*W569,"停止","断続")))</f>
        <v>運転</v>
      </c>
      <c r="Z569" s="30" t="n">
        <v>60</v>
      </c>
      <c r="AA569" s="30" t="n">
        <v>47</v>
      </c>
      <c r="AB569" s="30" t="str">
        <f aca="false">IF(Z569&lt;判定条件!$C$6,"判定不能",IF(AA569&gt;=判定条件!$C$7*Z569,"運転",IF(AA569&lt;=判定条件!$C$8*Z569,"停止","断続")))</f>
        <v>断続</v>
      </c>
      <c r="AC569" s="30" t="n">
        <v>60</v>
      </c>
      <c r="AD569" s="30" t="n">
        <v>60</v>
      </c>
      <c r="AE569" s="30" t="str">
        <f aca="false">IF(AC569&lt;判定条件!$C$6,"判定不能",IF(AD569&gt;=判定条件!$C$7*AC569,"運転",IF(AD569&lt;=判定条件!$C$8*AC569,"停止","断続")))</f>
        <v>運転</v>
      </c>
      <c r="AF569" s="30" t="n">
        <v>60</v>
      </c>
      <c r="AG569" s="30" t="n">
        <v>60</v>
      </c>
      <c r="AH569" s="30" t="str">
        <f aca="false">IF(OR(P569="判定不能",G569="判定不能"),"判定不能",IF(AG569&gt;=判定条件!$C$9,"利用可",IF(AND(P569="停止",G569="停止"),"両方停止","運転がそろわない")))</f>
        <v>利用可</v>
      </c>
      <c r="AI569" s="30" t="n">
        <v>0</v>
      </c>
      <c r="AJ569" s="30" t="n">
        <v>0</v>
      </c>
      <c r="AK569" s="30" t="str">
        <f aca="false">IF(OR(S569="判定不能",J569="判定不能"),"判定不能",IF(AJ569&gt;=判定条件!$C$9,"利用可",IF(AND(S569="停止",J569="停止"),"両方停止","運転がそろわない")))</f>
        <v>判定不能</v>
      </c>
      <c r="AL569" s="30" t="n">
        <v>60</v>
      </c>
      <c r="AM569" s="30" t="n">
        <v>46</v>
      </c>
      <c r="AN569" s="30" t="str">
        <f aca="false">IF(OR(V569="判定不能",M569="判定不能"),"判定不能",IF(AM569&gt;=判定条件!$C$9,"利用可",IF(AND(V569="停止",M569="停止"),"両方停止","運転がそろわない")))</f>
        <v>利用可</v>
      </c>
      <c r="AO569" s="30" t="n">
        <v>60</v>
      </c>
      <c r="AP569" s="30" t="n">
        <v>60</v>
      </c>
      <c r="AQ569" s="30" t="str">
        <f aca="false">IF(OR(Y569="判定不能",G569="判定不能"),"判定不能",IF(AP569&gt;=判定条件!$C$9,"利用可",IF(AND(Y569="停止",G569="停止"),"両方停止","運転がそろわない")))</f>
        <v>利用可</v>
      </c>
      <c r="AR569" s="30" t="n">
        <v>60</v>
      </c>
      <c r="AS569" s="30" t="n">
        <v>47</v>
      </c>
      <c r="AT569" s="30" t="str">
        <f aca="false">IF(OR(AB569="判定不能",J569="判定不能"),"判定不能",IF(AS569&gt;=判定条件!$C$9,"利用可",IF(AND(AB569="停止",J569="停止"),"両方停止","運転がそろわない")))</f>
        <v>利用可</v>
      </c>
      <c r="AU569" s="30" t="n">
        <v>60</v>
      </c>
      <c r="AV569" s="30" t="n">
        <v>60</v>
      </c>
      <c r="AW569" s="30" t="str">
        <f aca="false">IF(OR(AE569="判定不能",M569="判定不能"),"判定不能",IF(AV569&gt;=判定条件!$C$9,"利用可",IF(AND(AE569="停止",M569="停止"),"両方停止","運転がそろわない")))</f>
        <v>利用可</v>
      </c>
      <c r="AX569" s="30" t="str">
        <f aca="false">IF(AND(AH569="利用可",AK569="利用可",AN569="利用可"),"利用可","不可")</f>
        <v>不可</v>
      </c>
      <c r="AY569" s="30" t="str">
        <f aca="false">IF(AND(AQ569="利用可",AT569="利用可",AW569="利用可"),"利用可","不可")</f>
        <v>利用可</v>
      </c>
    </row>
    <row r="570" customFormat="false" ht="15" hidden="false" customHeight="false" outlineLevel="0" collapsed="false">
      <c r="A570" s="29" t="n">
        <v>46255</v>
      </c>
      <c r="B570" s="30" t="n">
        <v>15</v>
      </c>
      <c r="C570" s="31" t="s">
        <v>62</v>
      </c>
      <c r="D570" s="31" t="s">
        <v>59</v>
      </c>
      <c r="E570" s="30" t="n">
        <v>60</v>
      </c>
      <c r="F570" s="30" t="n">
        <v>60</v>
      </c>
      <c r="G570" s="30" t="str">
        <f aca="false">IF(E570&lt;判定条件!$C$6,"判定不能",IF(F570&gt;=判定条件!$C$7*E570,"運転",IF(F570&lt;=判定条件!$C$8*E570,"停止","断続")))</f>
        <v>運転</v>
      </c>
      <c r="H570" s="30" t="n">
        <v>60</v>
      </c>
      <c r="I570" s="30" t="n">
        <v>60</v>
      </c>
      <c r="J570" s="30" t="str">
        <f aca="false">IF(H570&lt;判定条件!$C$6,"判定不能",IF(I570&gt;=判定条件!$C$7*H570,"運転",IF(I570&lt;=判定条件!$C$8*H570,"停止","断続")))</f>
        <v>運転</v>
      </c>
      <c r="K570" s="30" t="n">
        <v>60</v>
      </c>
      <c r="L570" s="30" t="n">
        <v>60</v>
      </c>
      <c r="M570" s="30" t="str">
        <f aca="false">IF(K570&lt;判定条件!$C$6,"判定不能",IF(L570&gt;=判定条件!$C$7*K570,"運転",IF(L570&lt;=判定条件!$C$8*K570,"停止","断続")))</f>
        <v>運転</v>
      </c>
      <c r="N570" s="30" t="n">
        <v>60</v>
      </c>
      <c r="O570" s="30" t="n">
        <v>59</v>
      </c>
      <c r="P570" s="30" t="str">
        <f aca="false">IF(N570&lt;判定条件!$C$6,"判定不能",IF(O570&gt;=判定条件!$C$7*N570,"運転",IF(O570&lt;=判定条件!$C$8*N570,"停止","断続")))</f>
        <v>運転</v>
      </c>
      <c r="Q570" s="30" t="n">
        <v>0</v>
      </c>
      <c r="R570" s="30" t="n">
        <v>0</v>
      </c>
      <c r="S570" s="30" t="str">
        <f aca="false">IF(Q570&lt;判定条件!$C$6,"判定不能",IF(R570&gt;=判定条件!$C$7*Q570,"運転",IF(R570&lt;=判定条件!$C$8*Q570,"停止","断続")))</f>
        <v>判定不能</v>
      </c>
      <c r="T570" s="30" t="n">
        <v>60</v>
      </c>
      <c r="U570" s="30" t="n">
        <v>60</v>
      </c>
      <c r="V570" s="30" t="str">
        <f aca="false">IF(T570&lt;判定条件!$C$6,"判定不能",IF(U570&gt;=判定条件!$C$7*T570,"運転",IF(U570&lt;=判定条件!$C$8*T570,"停止","断続")))</f>
        <v>運転</v>
      </c>
      <c r="W570" s="30" t="n">
        <v>60</v>
      </c>
      <c r="X570" s="30" t="n">
        <v>43</v>
      </c>
      <c r="Y570" s="30" t="str">
        <f aca="false">IF(W570&lt;判定条件!$C$6,"判定不能",IF(X570&gt;=判定条件!$C$7*W570,"運転",IF(X570&lt;=判定条件!$C$8*W570,"停止","断続")))</f>
        <v>断続</v>
      </c>
      <c r="Z570" s="30" t="n">
        <v>60</v>
      </c>
      <c r="AA570" s="30" t="n">
        <v>54</v>
      </c>
      <c r="AB570" s="30" t="str">
        <f aca="false">IF(Z570&lt;判定条件!$C$6,"判定不能",IF(AA570&gt;=判定条件!$C$7*Z570,"運転",IF(AA570&lt;=判定条件!$C$8*Z570,"停止","断続")))</f>
        <v>運転</v>
      </c>
      <c r="AC570" s="30" t="n">
        <v>60</v>
      </c>
      <c r="AD570" s="30" t="n">
        <v>60</v>
      </c>
      <c r="AE570" s="30" t="str">
        <f aca="false">IF(AC570&lt;判定条件!$C$6,"判定不能",IF(AD570&gt;=判定条件!$C$7*AC570,"運転",IF(AD570&lt;=判定条件!$C$8*AC570,"停止","断続")))</f>
        <v>運転</v>
      </c>
      <c r="AF570" s="30" t="n">
        <v>60</v>
      </c>
      <c r="AG570" s="30" t="n">
        <v>59</v>
      </c>
      <c r="AH570" s="30" t="str">
        <f aca="false">IF(OR(P570="判定不能",G570="判定不能"),"判定不能",IF(AG570&gt;=判定条件!$C$9,"利用可",IF(AND(P570="停止",G570="停止"),"両方停止","運転がそろわない")))</f>
        <v>利用可</v>
      </c>
      <c r="AI570" s="30" t="n">
        <v>0</v>
      </c>
      <c r="AJ570" s="30" t="n">
        <v>0</v>
      </c>
      <c r="AK570" s="30" t="str">
        <f aca="false">IF(OR(S570="判定不能",J570="判定不能"),"判定不能",IF(AJ570&gt;=判定条件!$C$9,"利用可",IF(AND(S570="停止",J570="停止"),"両方停止","運転がそろわない")))</f>
        <v>判定不能</v>
      </c>
      <c r="AL570" s="30" t="n">
        <v>60</v>
      </c>
      <c r="AM570" s="30" t="n">
        <v>60</v>
      </c>
      <c r="AN570" s="30" t="str">
        <f aca="false">IF(OR(V570="判定不能",M570="判定不能"),"判定不能",IF(AM570&gt;=判定条件!$C$9,"利用可",IF(AND(V570="停止",M570="停止"),"両方停止","運転がそろわない")))</f>
        <v>利用可</v>
      </c>
      <c r="AO570" s="30" t="n">
        <v>60</v>
      </c>
      <c r="AP570" s="30" t="n">
        <v>43</v>
      </c>
      <c r="AQ570" s="30" t="str">
        <f aca="false">IF(OR(Y570="判定不能",G570="判定不能"),"判定不能",IF(AP570&gt;=判定条件!$C$9,"利用可",IF(AND(Y570="停止",G570="停止"),"両方停止","運転がそろわない")))</f>
        <v>利用可</v>
      </c>
      <c r="AR570" s="30" t="n">
        <v>60</v>
      </c>
      <c r="AS570" s="30" t="n">
        <v>54</v>
      </c>
      <c r="AT570" s="30" t="str">
        <f aca="false">IF(OR(AB570="判定不能",J570="判定不能"),"判定不能",IF(AS570&gt;=判定条件!$C$9,"利用可",IF(AND(AB570="停止",J570="停止"),"両方停止","運転がそろわない")))</f>
        <v>利用可</v>
      </c>
      <c r="AU570" s="30" t="n">
        <v>60</v>
      </c>
      <c r="AV570" s="30" t="n">
        <v>60</v>
      </c>
      <c r="AW570" s="30" t="str">
        <f aca="false">IF(OR(AE570="判定不能",M570="判定不能"),"判定不能",IF(AV570&gt;=判定条件!$C$9,"利用可",IF(AND(AE570="停止",M570="停止"),"両方停止","運転がそろわない")))</f>
        <v>利用可</v>
      </c>
      <c r="AX570" s="30" t="str">
        <f aca="false">IF(AND(AH570="利用可",AK570="利用可",AN570="利用可"),"利用可","不可")</f>
        <v>不可</v>
      </c>
      <c r="AY570" s="30" t="str">
        <f aca="false">IF(AND(AQ570="利用可",AT570="利用可",AW570="利用可"),"利用可","不可")</f>
        <v>利用可</v>
      </c>
    </row>
    <row r="571" customFormat="false" ht="15" hidden="false" customHeight="false" outlineLevel="0" collapsed="false">
      <c r="A571" s="29" t="n">
        <v>46255</v>
      </c>
      <c r="B571" s="30" t="n">
        <v>16</v>
      </c>
      <c r="C571" s="31" t="s">
        <v>62</v>
      </c>
      <c r="D571" s="31" t="s">
        <v>59</v>
      </c>
      <c r="E571" s="30" t="n">
        <v>60</v>
      </c>
      <c r="F571" s="30" t="n">
        <v>60</v>
      </c>
      <c r="G571" s="30" t="str">
        <f aca="false">IF(E571&lt;判定条件!$C$6,"判定不能",IF(F571&gt;=判定条件!$C$7*E571,"運転",IF(F571&lt;=判定条件!$C$8*E571,"停止","断続")))</f>
        <v>運転</v>
      </c>
      <c r="H571" s="30" t="n">
        <v>60</v>
      </c>
      <c r="I571" s="30" t="n">
        <v>60</v>
      </c>
      <c r="J571" s="30" t="str">
        <f aca="false">IF(H571&lt;判定条件!$C$6,"判定不能",IF(I571&gt;=判定条件!$C$7*H571,"運転",IF(I571&lt;=判定条件!$C$8*H571,"停止","断続")))</f>
        <v>運転</v>
      </c>
      <c r="K571" s="30" t="n">
        <v>60</v>
      </c>
      <c r="L571" s="30" t="n">
        <v>60</v>
      </c>
      <c r="M571" s="30" t="str">
        <f aca="false">IF(K571&lt;判定条件!$C$6,"判定不能",IF(L571&gt;=判定条件!$C$7*K571,"運転",IF(L571&lt;=判定条件!$C$8*K571,"停止","断続")))</f>
        <v>運転</v>
      </c>
      <c r="N571" s="30" t="n">
        <v>60</v>
      </c>
      <c r="O571" s="30" t="n">
        <v>54</v>
      </c>
      <c r="P571" s="30" t="str">
        <f aca="false">IF(N571&lt;判定条件!$C$6,"判定不能",IF(O571&gt;=判定条件!$C$7*N571,"運転",IF(O571&lt;=判定条件!$C$8*N571,"停止","断続")))</f>
        <v>運転</v>
      </c>
      <c r="Q571" s="30" t="n">
        <v>0</v>
      </c>
      <c r="R571" s="30" t="n">
        <v>0</v>
      </c>
      <c r="S571" s="30" t="str">
        <f aca="false">IF(Q571&lt;判定条件!$C$6,"判定不能",IF(R571&gt;=判定条件!$C$7*Q571,"運転",IF(R571&lt;=判定条件!$C$8*Q571,"停止","断続")))</f>
        <v>判定不能</v>
      </c>
      <c r="T571" s="30" t="n">
        <v>60</v>
      </c>
      <c r="U571" s="30" t="n">
        <v>60</v>
      </c>
      <c r="V571" s="30" t="str">
        <f aca="false">IF(T571&lt;判定条件!$C$6,"判定不能",IF(U571&gt;=判定条件!$C$7*T571,"運転",IF(U571&lt;=判定条件!$C$8*T571,"停止","断続")))</f>
        <v>運転</v>
      </c>
      <c r="W571" s="30" t="n">
        <v>60</v>
      </c>
      <c r="X571" s="30" t="n">
        <v>60</v>
      </c>
      <c r="Y571" s="30" t="str">
        <f aca="false">IF(W571&lt;判定条件!$C$6,"判定不能",IF(X571&gt;=判定条件!$C$7*W571,"運転",IF(X571&lt;=判定条件!$C$8*W571,"停止","断続")))</f>
        <v>運転</v>
      </c>
      <c r="Z571" s="30" t="n">
        <v>60</v>
      </c>
      <c r="AA571" s="30" t="n">
        <v>60</v>
      </c>
      <c r="AB571" s="30" t="str">
        <f aca="false">IF(Z571&lt;判定条件!$C$6,"判定不能",IF(AA571&gt;=判定条件!$C$7*Z571,"運転",IF(AA571&lt;=判定条件!$C$8*Z571,"停止","断続")))</f>
        <v>運転</v>
      </c>
      <c r="AC571" s="30" t="n">
        <v>60</v>
      </c>
      <c r="AD571" s="30" t="n">
        <v>60</v>
      </c>
      <c r="AE571" s="30" t="str">
        <f aca="false">IF(AC571&lt;判定条件!$C$6,"判定不能",IF(AD571&gt;=判定条件!$C$7*AC571,"運転",IF(AD571&lt;=判定条件!$C$8*AC571,"停止","断続")))</f>
        <v>運転</v>
      </c>
      <c r="AF571" s="30" t="n">
        <v>60</v>
      </c>
      <c r="AG571" s="30" t="n">
        <v>54</v>
      </c>
      <c r="AH571" s="30" t="str">
        <f aca="false">IF(OR(P571="判定不能",G571="判定不能"),"判定不能",IF(AG571&gt;=判定条件!$C$9,"利用可",IF(AND(P571="停止",G571="停止"),"両方停止","運転がそろわない")))</f>
        <v>利用可</v>
      </c>
      <c r="AI571" s="30" t="n">
        <v>0</v>
      </c>
      <c r="AJ571" s="30" t="n">
        <v>0</v>
      </c>
      <c r="AK571" s="30" t="str">
        <f aca="false">IF(OR(S571="判定不能",J571="判定不能"),"判定不能",IF(AJ571&gt;=判定条件!$C$9,"利用可",IF(AND(S571="停止",J571="停止"),"両方停止","運転がそろわない")))</f>
        <v>判定不能</v>
      </c>
      <c r="AL571" s="30" t="n">
        <v>60</v>
      </c>
      <c r="AM571" s="30" t="n">
        <v>60</v>
      </c>
      <c r="AN571" s="30" t="str">
        <f aca="false">IF(OR(V571="判定不能",M571="判定不能"),"判定不能",IF(AM571&gt;=判定条件!$C$9,"利用可",IF(AND(V571="停止",M571="停止"),"両方停止","運転がそろわない")))</f>
        <v>利用可</v>
      </c>
      <c r="AO571" s="30" t="n">
        <v>60</v>
      </c>
      <c r="AP571" s="30" t="n">
        <v>60</v>
      </c>
      <c r="AQ571" s="30" t="str">
        <f aca="false">IF(OR(Y571="判定不能",G571="判定不能"),"判定不能",IF(AP571&gt;=判定条件!$C$9,"利用可",IF(AND(Y571="停止",G571="停止"),"両方停止","運転がそろわない")))</f>
        <v>利用可</v>
      </c>
      <c r="AR571" s="30" t="n">
        <v>60</v>
      </c>
      <c r="AS571" s="30" t="n">
        <v>60</v>
      </c>
      <c r="AT571" s="30" t="str">
        <f aca="false">IF(OR(AB571="判定不能",J571="判定不能"),"判定不能",IF(AS571&gt;=判定条件!$C$9,"利用可",IF(AND(AB571="停止",J571="停止"),"両方停止","運転がそろわない")))</f>
        <v>利用可</v>
      </c>
      <c r="AU571" s="30" t="n">
        <v>60</v>
      </c>
      <c r="AV571" s="30" t="n">
        <v>60</v>
      </c>
      <c r="AW571" s="30" t="str">
        <f aca="false">IF(OR(AE571="判定不能",M571="判定不能"),"判定不能",IF(AV571&gt;=判定条件!$C$9,"利用可",IF(AND(AE571="停止",M571="停止"),"両方停止","運転がそろわない")))</f>
        <v>利用可</v>
      </c>
      <c r="AX571" s="30" t="str">
        <f aca="false">IF(AND(AH571="利用可",AK571="利用可",AN571="利用可"),"利用可","不可")</f>
        <v>不可</v>
      </c>
      <c r="AY571" s="30" t="str">
        <f aca="false">IF(AND(AQ571="利用可",AT571="利用可",AW571="利用可"),"利用可","不可")</f>
        <v>利用可</v>
      </c>
    </row>
    <row r="572" customFormat="false" ht="15" hidden="false" customHeight="false" outlineLevel="0" collapsed="false">
      <c r="A572" s="29" t="n">
        <v>46255</v>
      </c>
      <c r="B572" s="30" t="n">
        <v>17</v>
      </c>
      <c r="C572" s="31" t="s">
        <v>62</v>
      </c>
      <c r="D572" s="31" t="s">
        <v>59</v>
      </c>
      <c r="E572" s="30" t="n">
        <v>60</v>
      </c>
      <c r="F572" s="30" t="n">
        <v>60</v>
      </c>
      <c r="G572" s="30" t="str">
        <f aca="false">IF(E572&lt;判定条件!$C$6,"判定不能",IF(F572&gt;=判定条件!$C$7*E572,"運転",IF(F572&lt;=判定条件!$C$8*E572,"停止","断続")))</f>
        <v>運転</v>
      </c>
      <c r="H572" s="30" t="n">
        <v>60</v>
      </c>
      <c r="I572" s="30" t="n">
        <v>54</v>
      </c>
      <c r="J572" s="30" t="str">
        <f aca="false">IF(H572&lt;判定条件!$C$6,"判定不能",IF(I572&gt;=判定条件!$C$7*H572,"運転",IF(I572&lt;=判定条件!$C$8*H572,"停止","断続")))</f>
        <v>運転</v>
      </c>
      <c r="K572" s="30" t="n">
        <v>60</v>
      </c>
      <c r="L572" s="30" t="n">
        <v>60</v>
      </c>
      <c r="M572" s="30" t="str">
        <f aca="false">IF(K572&lt;判定条件!$C$6,"判定不能",IF(L572&gt;=判定条件!$C$7*K572,"運転",IF(L572&lt;=判定条件!$C$8*K572,"停止","断続")))</f>
        <v>運転</v>
      </c>
      <c r="N572" s="30" t="n">
        <v>60</v>
      </c>
      <c r="O572" s="30" t="n">
        <v>44</v>
      </c>
      <c r="P572" s="30" t="str">
        <f aca="false">IF(N572&lt;判定条件!$C$6,"判定不能",IF(O572&gt;=判定条件!$C$7*N572,"運転",IF(O572&lt;=判定条件!$C$8*N572,"停止","断続")))</f>
        <v>断続</v>
      </c>
      <c r="Q572" s="30" t="n">
        <v>0</v>
      </c>
      <c r="R572" s="30" t="n">
        <v>0</v>
      </c>
      <c r="S572" s="30" t="str">
        <f aca="false">IF(Q572&lt;判定条件!$C$6,"判定不能",IF(R572&gt;=判定条件!$C$7*Q572,"運転",IF(R572&lt;=判定条件!$C$8*Q572,"停止","断続")))</f>
        <v>判定不能</v>
      </c>
      <c r="T572" s="30" t="n">
        <v>60</v>
      </c>
      <c r="U572" s="30" t="n">
        <v>60</v>
      </c>
      <c r="V572" s="30" t="str">
        <f aca="false">IF(T572&lt;判定条件!$C$6,"判定不能",IF(U572&gt;=判定条件!$C$7*T572,"運転",IF(U572&lt;=判定条件!$C$8*T572,"停止","断続")))</f>
        <v>運転</v>
      </c>
      <c r="W572" s="30" t="n">
        <v>60</v>
      </c>
      <c r="X572" s="30" t="n">
        <v>60</v>
      </c>
      <c r="Y572" s="30" t="str">
        <f aca="false">IF(W572&lt;判定条件!$C$6,"判定不能",IF(X572&gt;=判定条件!$C$7*W572,"運転",IF(X572&lt;=判定条件!$C$8*W572,"停止","断続")))</f>
        <v>運転</v>
      </c>
      <c r="Z572" s="30" t="n">
        <v>60</v>
      </c>
      <c r="AA572" s="30" t="n">
        <v>60</v>
      </c>
      <c r="AB572" s="30" t="str">
        <f aca="false">IF(Z572&lt;判定条件!$C$6,"判定不能",IF(AA572&gt;=判定条件!$C$7*Z572,"運転",IF(AA572&lt;=判定条件!$C$8*Z572,"停止","断続")))</f>
        <v>運転</v>
      </c>
      <c r="AC572" s="30" t="n">
        <v>60</v>
      </c>
      <c r="AD572" s="30" t="n">
        <v>60</v>
      </c>
      <c r="AE572" s="30" t="str">
        <f aca="false">IF(AC572&lt;判定条件!$C$6,"判定不能",IF(AD572&gt;=判定条件!$C$7*AC572,"運転",IF(AD572&lt;=判定条件!$C$8*AC572,"停止","断続")))</f>
        <v>運転</v>
      </c>
      <c r="AF572" s="30" t="n">
        <v>60</v>
      </c>
      <c r="AG572" s="30" t="n">
        <v>44</v>
      </c>
      <c r="AH572" s="30" t="str">
        <f aca="false">IF(OR(P572="判定不能",G572="判定不能"),"判定不能",IF(AG572&gt;=判定条件!$C$9,"利用可",IF(AND(P572="停止",G572="停止"),"両方停止","運転がそろわない")))</f>
        <v>利用可</v>
      </c>
      <c r="AI572" s="30" t="n">
        <v>0</v>
      </c>
      <c r="AJ572" s="30" t="n">
        <v>0</v>
      </c>
      <c r="AK572" s="30" t="str">
        <f aca="false">IF(OR(S572="判定不能",J572="判定不能"),"判定不能",IF(AJ572&gt;=判定条件!$C$9,"利用可",IF(AND(S572="停止",J572="停止"),"両方停止","運転がそろわない")))</f>
        <v>判定不能</v>
      </c>
      <c r="AL572" s="30" t="n">
        <v>60</v>
      </c>
      <c r="AM572" s="30" t="n">
        <v>60</v>
      </c>
      <c r="AN572" s="30" t="str">
        <f aca="false">IF(OR(V572="判定不能",M572="判定不能"),"判定不能",IF(AM572&gt;=判定条件!$C$9,"利用可",IF(AND(V572="停止",M572="停止"),"両方停止","運転がそろわない")))</f>
        <v>利用可</v>
      </c>
      <c r="AO572" s="30" t="n">
        <v>60</v>
      </c>
      <c r="AP572" s="30" t="n">
        <v>60</v>
      </c>
      <c r="AQ572" s="30" t="str">
        <f aca="false">IF(OR(Y572="判定不能",G572="判定不能"),"判定不能",IF(AP572&gt;=判定条件!$C$9,"利用可",IF(AND(Y572="停止",G572="停止"),"両方停止","運転がそろわない")))</f>
        <v>利用可</v>
      </c>
      <c r="AR572" s="30" t="n">
        <v>60</v>
      </c>
      <c r="AS572" s="30" t="n">
        <v>54</v>
      </c>
      <c r="AT572" s="30" t="str">
        <f aca="false">IF(OR(AB572="判定不能",J572="判定不能"),"判定不能",IF(AS572&gt;=判定条件!$C$9,"利用可",IF(AND(AB572="停止",J572="停止"),"両方停止","運転がそろわない")))</f>
        <v>利用可</v>
      </c>
      <c r="AU572" s="30" t="n">
        <v>60</v>
      </c>
      <c r="AV572" s="30" t="n">
        <v>60</v>
      </c>
      <c r="AW572" s="30" t="str">
        <f aca="false">IF(OR(AE572="判定不能",M572="判定不能"),"判定不能",IF(AV572&gt;=判定条件!$C$9,"利用可",IF(AND(AE572="停止",M572="停止"),"両方停止","運転がそろわない")))</f>
        <v>利用可</v>
      </c>
      <c r="AX572" s="30" t="str">
        <f aca="false">IF(AND(AH572="利用可",AK572="利用可",AN572="利用可"),"利用可","不可")</f>
        <v>不可</v>
      </c>
      <c r="AY572" s="30" t="str">
        <f aca="false">IF(AND(AQ572="利用可",AT572="利用可",AW572="利用可"),"利用可","不可")</f>
        <v>利用可</v>
      </c>
    </row>
    <row r="573" customFormat="false" ht="15" hidden="false" customHeight="false" outlineLevel="0" collapsed="false">
      <c r="A573" s="29" t="n">
        <v>46255</v>
      </c>
      <c r="B573" s="30" t="n">
        <v>18</v>
      </c>
      <c r="C573" s="31" t="s">
        <v>62</v>
      </c>
      <c r="D573" s="31" t="s">
        <v>59</v>
      </c>
      <c r="E573" s="30" t="n">
        <v>60</v>
      </c>
      <c r="F573" s="30" t="n">
        <v>60</v>
      </c>
      <c r="G573" s="30" t="str">
        <f aca="false">IF(E573&lt;判定条件!$C$6,"判定不能",IF(F573&gt;=判定条件!$C$7*E573,"運転",IF(F573&lt;=判定条件!$C$8*E573,"停止","断続")))</f>
        <v>運転</v>
      </c>
      <c r="H573" s="30" t="n">
        <v>60</v>
      </c>
      <c r="I573" s="30" t="n">
        <v>60</v>
      </c>
      <c r="J573" s="30" t="str">
        <f aca="false">IF(H573&lt;判定条件!$C$6,"判定不能",IF(I573&gt;=判定条件!$C$7*H573,"運転",IF(I573&lt;=判定条件!$C$8*H573,"停止","断続")))</f>
        <v>運転</v>
      </c>
      <c r="K573" s="30" t="n">
        <v>60</v>
      </c>
      <c r="L573" s="30" t="n">
        <v>60</v>
      </c>
      <c r="M573" s="30" t="str">
        <f aca="false">IF(K573&lt;判定条件!$C$6,"判定不能",IF(L573&gt;=判定条件!$C$7*K573,"運転",IF(L573&lt;=判定条件!$C$8*K573,"停止","断続")))</f>
        <v>運転</v>
      </c>
      <c r="N573" s="30" t="n">
        <v>60</v>
      </c>
      <c r="O573" s="30" t="n">
        <v>4</v>
      </c>
      <c r="P573" s="30" t="str">
        <f aca="false">IF(N573&lt;判定条件!$C$6,"判定不能",IF(O573&gt;=判定条件!$C$7*N573,"運転",IF(O573&lt;=判定条件!$C$8*N573,"停止","断続")))</f>
        <v>停止</v>
      </c>
      <c r="Q573" s="30" t="n">
        <v>0</v>
      </c>
      <c r="R573" s="30" t="n">
        <v>0</v>
      </c>
      <c r="S573" s="30" t="str">
        <f aca="false">IF(Q573&lt;判定条件!$C$6,"判定不能",IF(R573&gt;=判定条件!$C$7*Q573,"運転",IF(R573&lt;=判定条件!$C$8*Q573,"停止","断続")))</f>
        <v>判定不能</v>
      </c>
      <c r="T573" s="30" t="n">
        <v>60</v>
      </c>
      <c r="U573" s="30" t="n">
        <v>2</v>
      </c>
      <c r="V573" s="30" t="str">
        <f aca="false">IF(T573&lt;判定条件!$C$6,"判定不能",IF(U573&gt;=判定条件!$C$7*T573,"運転",IF(U573&lt;=判定条件!$C$8*T573,"停止","断続")))</f>
        <v>停止</v>
      </c>
      <c r="W573" s="30" t="n">
        <v>60</v>
      </c>
      <c r="X573" s="30" t="n">
        <v>60</v>
      </c>
      <c r="Y573" s="30" t="str">
        <f aca="false">IF(W573&lt;判定条件!$C$6,"判定不能",IF(X573&gt;=判定条件!$C$7*W573,"運転",IF(X573&lt;=判定条件!$C$8*W573,"停止","断続")))</f>
        <v>運転</v>
      </c>
      <c r="Z573" s="30" t="n">
        <v>60</v>
      </c>
      <c r="AA573" s="30" t="n">
        <v>39</v>
      </c>
      <c r="AB573" s="30" t="str">
        <f aca="false">IF(Z573&lt;判定条件!$C$6,"判定不能",IF(AA573&gt;=判定条件!$C$7*Z573,"運転",IF(AA573&lt;=判定条件!$C$8*Z573,"停止","断続")))</f>
        <v>断続</v>
      </c>
      <c r="AC573" s="30" t="n">
        <v>60</v>
      </c>
      <c r="AD573" s="30" t="n">
        <v>60</v>
      </c>
      <c r="AE573" s="30" t="str">
        <f aca="false">IF(AC573&lt;判定条件!$C$6,"判定不能",IF(AD573&gt;=判定条件!$C$7*AC573,"運転",IF(AD573&lt;=判定条件!$C$8*AC573,"停止","断続")))</f>
        <v>運転</v>
      </c>
      <c r="AF573" s="30" t="n">
        <v>60</v>
      </c>
      <c r="AG573" s="30" t="n">
        <v>4</v>
      </c>
      <c r="AH573" s="30" t="str">
        <f aca="false">IF(OR(P573="判定不能",G573="判定不能"),"判定不能",IF(AG573&gt;=判定条件!$C$9,"利用可",IF(AND(P573="停止",G573="停止"),"両方停止","運転がそろわない")))</f>
        <v>運転がそろわない</v>
      </c>
      <c r="AI573" s="30" t="n">
        <v>0</v>
      </c>
      <c r="AJ573" s="30" t="n">
        <v>0</v>
      </c>
      <c r="AK573" s="30" t="str">
        <f aca="false">IF(OR(S573="判定不能",J573="判定不能"),"判定不能",IF(AJ573&gt;=判定条件!$C$9,"利用可",IF(AND(S573="停止",J573="停止"),"両方停止","運転がそろわない")))</f>
        <v>判定不能</v>
      </c>
      <c r="AL573" s="30" t="n">
        <v>60</v>
      </c>
      <c r="AM573" s="30" t="n">
        <v>2</v>
      </c>
      <c r="AN573" s="30" t="str">
        <f aca="false">IF(OR(V573="判定不能",M573="判定不能"),"判定不能",IF(AM573&gt;=判定条件!$C$9,"利用可",IF(AND(V573="停止",M573="停止"),"両方停止","運転がそろわない")))</f>
        <v>運転がそろわない</v>
      </c>
      <c r="AO573" s="30" t="n">
        <v>60</v>
      </c>
      <c r="AP573" s="30" t="n">
        <v>60</v>
      </c>
      <c r="AQ573" s="30" t="str">
        <f aca="false">IF(OR(Y573="判定不能",G573="判定不能"),"判定不能",IF(AP573&gt;=判定条件!$C$9,"利用可",IF(AND(Y573="停止",G573="停止"),"両方停止","運転がそろわない")))</f>
        <v>利用可</v>
      </c>
      <c r="AR573" s="30" t="n">
        <v>60</v>
      </c>
      <c r="AS573" s="30" t="n">
        <v>39</v>
      </c>
      <c r="AT573" s="30" t="str">
        <f aca="false">IF(OR(AB573="判定不能",J573="判定不能"),"判定不能",IF(AS573&gt;=判定条件!$C$9,"利用可",IF(AND(AB573="停止",J573="停止"),"両方停止","運転がそろわない")))</f>
        <v>利用可</v>
      </c>
      <c r="AU573" s="30" t="n">
        <v>60</v>
      </c>
      <c r="AV573" s="30" t="n">
        <v>60</v>
      </c>
      <c r="AW573" s="30" t="str">
        <f aca="false">IF(OR(AE573="判定不能",M573="判定不能"),"判定不能",IF(AV573&gt;=判定条件!$C$9,"利用可",IF(AND(AE573="停止",M573="停止"),"両方停止","運転がそろわない")))</f>
        <v>利用可</v>
      </c>
      <c r="AX573" s="30" t="str">
        <f aca="false">IF(AND(AH573="利用可",AK573="利用可",AN573="利用可"),"利用可","不可")</f>
        <v>不可</v>
      </c>
      <c r="AY573" s="30" t="str">
        <f aca="false">IF(AND(AQ573="利用可",AT573="利用可",AW573="利用可"),"利用可","不可")</f>
        <v>利用可</v>
      </c>
    </row>
    <row r="574" customFormat="false" ht="15" hidden="false" customHeight="false" outlineLevel="0" collapsed="false">
      <c r="A574" s="29" t="n">
        <v>46255</v>
      </c>
      <c r="B574" s="30" t="n">
        <v>19</v>
      </c>
      <c r="C574" s="31" t="s">
        <v>62</v>
      </c>
      <c r="D574" s="31" t="s">
        <v>59</v>
      </c>
      <c r="E574" s="30" t="n">
        <v>60</v>
      </c>
      <c r="F574" s="30" t="n">
        <v>60</v>
      </c>
      <c r="G574" s="30" t="str">
        <f aca="false">IF(E574&lt;判定条件!$C$6,"判定不能",IF(F574&gt;=判定条件!$C$7*E574,"運転",IF(F574&lt;=判定条件!$C$8*E574,"停止","断続")))</f>
        <v>運転</v>
      </c>
      <c r="H574" s="30" t="n">
        <v>60</v>
      </c>
      <c r="I574" s="30" t="n">
        <v>60</v>
      </c>
      <c r="J574" s="30" t="str">
        <f aca="false">IF(H574&lt;判定条件!$C$6,"判定不能",IF(I574&gt;=判定条件!$C$7*H574,"運転",IF(I574&lt;=判定条件!$C$8*H574,"停止","断続")))</f>
        <v>運転</v>
      </c>
      <c r="K574" s="30" t="n">
        <v>60</v>
      </c>
      <c r="L574" s="30" t="n">
        <v>60</v>
      </c>
      <c r="M574" s="30" t="str">
        <f aca="false">IF(K574&lt;判定条件!$C$6,"判定不能",IF(L574&gt;=判定条件!$C$7*K574,"運転",IF(L574&lt;=判定条件!$C$8*K574,"停止","断続")))</f>
        <v>運転</v>
      </c>
      <c r="N574" s="30" t="n">
        <v>60</v>
      </c>
      <c r="O574" s="30" t="n">
        <v>46</v>
      </c>
      <c r="P574" s="30" t="str">
        <f aca="false">IF(N574&lt;判定条件!$C$6,"判定不能",IF(O574&gt;=判定条件!$C$7*N574,"運転",IF(O574&lt;=判定条件!$C$8*N574,"停止","断続")))</f>
        <v>断続</v>
      </c>
      <c r="Q574" s="30" t="n">
        <v>0</v>
      </c>
      <c r="R574" s="30" t="n">
        <v>0</v>
      </c>
      <c r="S574" s="30" t="str">
        <f aca="false">IF(Q574&lt;判定条件!$C$6,"判定不能",IF(R574&gt;=判定条件!$C$7*Q574,"運転",IF(R574&lt;=判定条件!$C$8*Q574,"停止","断続")))</f>
        <v>判定不能</v>
      </c>
      <c r="T574" s="30" t="n">
        <v>60</v>
      </c>
      <c r="U574" s="30" t="n">
        <v>34</v>
      </c>
      <c r="V574" s="30" t="str">
        <f aca="false">IF(T574&lt;判定条件!$C$6,"判定不能",IF(U574&gt;=判定条件!$C$7*T574,"運転",IF(U574&lt;=判定条件!$C$8*T574,"停止","断続")))</f>
        <v>断続</v>
      </c>
      <c r="W574" s="30" t="n">
        <v>60</v>
      </c>
      <c r="X574" s="30" t="n">
        <v>12</v>
      </c>
      <c r="Y574" s="30" t="str">
        <f aca="false">IF(W574&lt;判定条件!$C$6,"判定不能",IF(X574&gt;=判定条件!$C$7*W574,"運転",IF(X574&lt;=判定条件!$C$8*W574,"停止","断続")))</f>
        <v>停止</v>
      </c>
      <c r="Z574" s="30" t="n">
        <v>60</v>
      </c>
      <c r="AA574" s="30" t="n">
        <v>6</v>
      </c>
      <c r="AB574" s="30" t="str">
        <f aca="false">IF(Z574&lt;判定条件!$C$6,"判定不能",IF(AA574&gt;=判定条件!$C$7*Z574,"運転",IF(AA574&lt;=判定条件!$C$8*Z574,"停止","断続")))</f>
        <v>停止</v>
      </c>
      <c r="AC574" s="30" t="n">
        <v>60</v>
      </c>
      <c r="AD574" s="30" t="n">
        <v>5</v>
      </c>
      <c r="AE574" s="30" t="str">
        <f aca="false">IF(AC574&lt;判定条件!$C$6,"判定不能",IF(AD574&gt;=判定条件!$C$7*AC574,"運転",IF(AD574&lt;=判定条件!$C$8*AC574,"停止","断続")))</f>
        <v>停止</v>
      </c>
      <c r="AF574" s="30" t="n">
        <v>60</v>
      </c>
      <c r="AG574" s="30" t="n">
        <v>46</v>
      </c>
      <c r="AH574" s="30" t="str">
        <f aca="false">IF(OR(P574="判定不能",G574="判定不能"),"判定不能",IF(AG574&gt;=判定条件!$C$9,"利用可",IF(AND(P574="停止",G574="停止"),"両方停止","運転がそろわない")))</f>
        <v>利用可</v>
      </c>
      <c r="AI574" s="30" t="n">
        <v>0</v>
      </c>
      <c r="AJ574" s="30" t="n">
        <v>0</v>
      </c>
      <c r="AK574" s="30" t="str">
        <f aca="false">IF(OR(S574="判定不能",J574="判定不能"),"判定不能",IF(AJ574&gt;=判定条件!$C$9,"利用可",IF(AND(S574="停止",J574="停止"),"両方停止","運転がそろわない")))</f>
        <v>判定不能</v>
      </c>
      <c r="AL574" s="30" t="n">
        <v>60</v>
      </c>
      <c r="AM574" s="30" t="n">
        <v>34</v>
      </c>
      <c r="AN574" s="30" t="str">
        <f aca="false">IF(OR(V574="判定不能",M574="判定不能"),"判定不能",IF(AM574&gt;=判定条件!$C$9,"利用可",IF(AND(V574="停止",M574="停止"),"両方停止","運転がそろわない")))</f>
        <v>利用可</v>
      </c>
      <c r="AO574" s="30" t="n">
        <v>60</v>
      </c>
      <c r="AP574" s="30" t="n">
        <v>12</v>
      </c>
      <c r="AQ574" s="30" t="str">
        <f aca="false">IF(OR(Y574="判定不能",G574="判定不能"),"判定不能",IF(AP574&gt;=判定条件!$C$9,"利用可",IF(AND(Y574="停止",G574="停止"),"両方停止","運転がそろわない")))</f>
        <v>運転がそろわない</v>
      </c>
      <c r="AR574" s="30" t="n">
        <v>60</v>
      </c>
      <c r="AS574" s="30" t="n">
        <v>6</v>
      </c>
      <c r="AT574" s="30" t="str">
        <f aca="false">IF(OR(AB574="判定不能",J574="判定不能"),"判定不能",IF(AS574&gt;=判定条件!$C$9,"利用可",IF(AND(AB574="停止",J574="停止"),"両方停止","運転がそろわない")))</f>
        <v>運転がそろわない</v>
      </c>
      <c r="AU574" s="30" t="n">
        <v>60</v>
      </c>
      <c r="AV574" s="30" t="n">
        <v>5</v>
      </c>
      <c r="AW574" s="30" t="str">
        <f aca="false">IF(OR(AE574="判定不能",M574="判定不能"),"判定不能",IF(AV574&gt;=判定条件!$C$9,"利用可",IF(AND(AE574="停止",M574="停止"),"両方停止","運転がそろわない")))</f>
        <v>運転がそろわない</v>
      </c>
      <c r="AX574" s="30" t="str">
        <f aca="false">IF(AND(AH574="利用可",AK574="利用可",AN574="利用可"),"利用可","不可")</f>
        <v>不可</v>
      </c>
      <c r="AY574" s="30" t="str">
        <f aca="false">IF(AND(AQ574="利用可",AT574="利用可",AW574="利用可"),"利用可","不可")</f>
        <v>不可</v>
      </c>
    </row>
    <row r="575" customFormat="false" ht="15" hidden="false" customHeight="false" outlineLevel="0" collapsed="false">
      <c r="A575" s="29" t="n">
        <v>46255</v>
      </c>
      <c r="B575" s="30" t="n">
        <v>20</v>
      </c>
      <c r="C575" s="31" t="s">
        <v>62</v>
      </c>
      <c r="D575" s="31" t="s">
        <v>59</v>
      </c>
      <c r="E575" s="30" t="n">
        <v>60</v>
      </c>
      <c r="F575" s="30" t="n">
        <v>46</v>
      </c>
      <c r="G575" s="30" t="str">
        <f aca="false">IF(E575&lt;判定条件!$C$6,"判定不能",IF(F575&gt;=判定条件!$C$7*E575,"運転",IF(F575&lt;=判定条件!$C$8*E575,"停止","断続")))</f>
        <v>断続</v>
      </c>
      <c r="H575" s="30" t="n">
        <v>60</v>
      </c>
      <c r="I575" s="30" t="n">
        <v>41</v>
      </c>
      <c r="J575" s="30" t="str">
        <f aca="false">IF(H575&lt;判定条件!$C$6,"判定不能",IF(I575&gt;=判定条件!$C$7*H575,"運転",IF(I575&lt;=判定条件!$C$8*H575,"停止","断続")))</f>
        <v>断続</v>
      </c>
      <c r="K575" s="30" t="n">
        <v>60</v>
      </c>
      <c r="L575" s="30" t="n">
        <v>49</v>
      </c>
      <c r="M575" s="30" t="str">
        <f aca="false">IF(K575&lt;判定条件!$C$6,"判定不能",IF(L575&gt;=判定条件!$C$7*K575,"運転",IF(L575&lt;=判定条件!$C$8*K575,"停止","断続")))</f>
        <v>運転</v>
      </c>
      <c r="N575" s="30" t="n">
        <v>60</v>
      </c>
      <c r="O575" s="30" t="n">
        <v>0</v>
      </c>
      <c r="P575" s="30" t="str">
        <f aca="false">IF(N575&lt;判定条件!$C$6,"判定不能",IF(O575&gt;=判定条件!$C$7*N575,"運転",IF(O575&lt;=判定条件!$C$8*N575,"停止","断続")))</f>
        <v>停止</v>
      </c>
      <c r="Q575" s="30" t="n">
        <v>0</v>
      </c>
      <c r="R575" s="30" t="n">
        <v>0</v>
      </c>
      <c r="S575" s="30" t="str">
        <f aca="false">IF(Q575&lt;判定条件!$C$6,"判定不能",IF(R575&gt;=判定条件!$C$7*Q575,"運転",IF(R575&lt;=判定条件!$C$8*Q575,"停止","断続")))</f>
        <v>判定不能</v>
      </c>
      <c r="T575" s="30" t="n">
        <v>60</v>
      </c>
      <c r="U575" s="30" t="n">
        <v>33</v>
      </c>
      <c r="V575" s="30" t="str">
        <f aca="false">IF(T575&lt;判定条件!$C$6,"判定不能",IF(U575&gt;=判定条件!$C$7*T575,"運転",IF(U575&lt;=判定条件!$C$8*T575,"停止","断続")))</f>
        <v>断続</v>
      </c>
      <c r="W575" s="30" t="n">
        <v>60</v>
      </c>
      <c r="X575" s="30" t="n">
        <v>0</v>
      </c>
      <c r="Y575" s="30" t="str">
        <f aca="false">IF(W575&lt;判定条件!$C$6,"判定不能",IF(X575&gt;=判定条件!$C$7*W575,"運転",IF(X575&lt;=判定条件!$C$8*W575,"停止","断続")))</f>
        <v>停止</v>
      </c>
      <c r="Z575" s="30" t="n">
        <v>60</v>
      </c>
      <c r="AA575" s="30" t="n">
        <v>0</v>
      </c>
      <c r="AB575" s="30" t="str">
        <f aca="false">IF(Z575&lt;判定条件!$C$6,"判定不能",IF(AA575&gt;=判定条件!$C$7*Z575,"運転",IF(AA575&lt;=判定条件!$C$8*Z575,"停止","断続")))</f>
        <v>停止</v>
      </c>
      <c r="AC575" s="30" t="n">
        <v>60</v>
      </c>
      <c r="AD575" s="30" t="n">
        <v>0</v>
      </c>
      <c r="AE575" s="30" t="str">
        <f aca="false">IF(AC575&lt;判定条件!$C$6,"判定不能",IF(AD575&gt;=判定条件!$C$7*AC575,"運転",IF(AD575&lt;=判定条件!$C$8*AC575,"停止","断続")))</f>
        <v>停止</v>
      </c>
      <c r="AF575" s="30" t="n">
        <v>60</v>
      </c>
      <c r="AG575" s="30" t="n">
        <v>0</v>
      </c>
      <c r="AH575" s="30" t="str">
        <f aca="false">IF(OR(P575="判定不能",G575="判定不能"),"判定不能",IF(AG575&gt;=判定条件!$C$9,"利用可",IF(AND(P575="停止",G575="停止"),"両方停止","運転がそろわない")))</f>
        <v>運転がそろわない</v>
      </c>
      <c r="AI575" s="30" t="n">
        <v>0</v>
      </c>
      <c r="AJ575" s="30" t="n">
        <v>0</v>
      </c>
      <c r="AK575" s="30" t="str">
        <f aca="false">IF(OR(S575="判定不能",J575="判定不能"),"判定不能",IF(AJ575&gt;=判定条件!$C$9,"利用可",IF(AND(S575="停止",J575="停止"),"両方停止","運転がそろわない")))</f>
        <v>判定不能</v>
      </c>
      <c r="AL575" s="30" t="n">
        <v>60</v>
      </c>
      <c r="AM575" s="30" t="n">
        <v>31</v>
      </c>
      <c r="AN575" s="30" t="str">
        <f aca="false">IF(OR(V575="判定不能",M575="判定不能"),"判定不能",IF(AM575&gt;=判定条件!$C$9,"利用可",IF(AND(V575="停止",M575="停止"),"両方停止","運転がそろわない")))</f>
        <v>利用可</v>
      </c>
      <c r="AO575" s="30" t="n">
        <v>60</v>
      </c>
      <c r="AP575" s="30" t="n">
        <v>0</v>
      </c>
      <c r="AQ575" s="30" t="str">
        <f aca="false">IF(OR(Y575="判定不能",G575="判定不能"),"判定不能",IF(AP575&gt;=判定条件!$C$9,"利用可",IF(AND(Y575="停止",G575="停止"),"両方停止","運転がそろわない")))</f>
        <v>運転がそろわない</v>
      </c>
      <c r="AR575" s="30" t="n">
        <v>60</v>
      </c>
      <c r="AS575" s="30" t="n">
        <v>0</v>
      </c>
      <c r="AT575" s="30" t="str">
        <f aca="false">IF(OR(AB575="判定不能",J575="判定不能"),"判定不能",IF(AS575&gt;=判定条件!$C$9,"利用可",IF(AND(AB575="停止",J575="停止"),"両方停止","運転がそろわない")))</f>
        <v>運転がそろわない</v>
      </c>
      <c r="AU575" s="30" t="n">
        <v>60</v>
      </c>
      <c r="AV575" s="30" t="n">
        <v>0</v>
      </c>
      <c r="AW575" s="30" t="str">
        <f aca="false">IF(OR(AE575="判定不能",M575="判定不能"),"判定不能",IF(AV575&gt;=判定条件!$C$9,"利用可",IF(AND(AE575="停止",M575="停止"),"両方停止","運転がそろわない")))</f>
        <v>運転がそろわない</v>
      </c>
      <c r="AX575" s="30" t="str">
        <f aca="false">IF(AND(AH575="利用可",AK575="利用可",AN575="利用可"),"利用可","不可")</f>
        <v>不可</v>
      </c>
      <c r="AY575" s="30" t="str">
        <f aca="false">IF(AND(AQ575="利用可",AT575="利用可",AW575="利用可"),"利用可","不可")</f>
        <v>不可</v>
      </c>
    </row>
    <row r="576" customFormat="false" ht="15" hidden="false" customHeight="false" outlineLevel="0" collapsed="false">
      <c r="A576" s="29" t="n">
        <v>46255</v>
      </c>
      <c r="B576" s="30" t="n">
        <v>21</v>
      </c>
      <c r="C576" s="31" t="s">
        <v>62</v>
      </c>
      <c r="D576" s="31" t="s">
        <v>59</v>
      </c>
      <c r="E576" s="30" t="n">
        <v>60</v>
      </c>
      <c r="F576" s="30" t="n">
        <v>0</v>
      </c>
      <c r="G576" s="30" t="str">
        <f aca="false">IF(E576&lt;判定条件!$C$6,"判定不能",IF(F576&gt;=判定条件!$C$7*E576,"運転",IF(F576&lt;=判定条件!$C$8*E576,"停止","断続")))</f>
        <v>停止</v>
      </c>
      <c r="H576" s="30" t="n">
        <v>60</v>
      </c>
      <c r="I576" s="30" t="n">
        <v>0</v>
      </c>
      <c r="J576" s="30" t="str">
        <f aca="false">IF(H576&lt;判定条件!$C$6,"判定不能",IF(I576&gt;=判定条件!$C$7*H576,"運転",IF(I576&lt;=判定条件!$C$8*H576,"停止","断続")))</f>
        <v>停止</v>
      </c>
      <c r="K576" s="30" t="n">
        <v>60</v>
      </c>
      <c r="L576" s="30" t="n">
        <v>0</v>
      </c>
      <c r="M576" s="30" t="str">
        <f aca="false">IF(K576&lt;判定条件!$C$6,"判定不能",IF(L576&gt;=判定条件!$C$7*K576,"運転",IF(L576&lt;=判定条件!$C$8*K576,"停止","断続")))</f>
        <v>停止</v>
      </c>
      <c r="N576" s="30" t="n">
        <v>60</v>
      </c>
      <c r="O576" s="30" t="n">
        <v>3</v>
      </c>
      <c r="P576" s="30" t="str">
        <f aca="false">IF(N576&lt;判定条件!$C$6,"判定不能",IF(O576&gt;=判定条件!$C$7*N576,"運転",IF(O576&lt;=判定条件!$C$8*N576,"停止","断続")))</f>
        <v>停止</v>
      </c>
      <c r="Q576" s="30" t="n">
        <v>0</v>
      </c>
      <c r="R576" s="30" t="n">
        <v>0</v>
      </c>
      <c r="S576" s="30" t="str">
        <f aca="false">IF(Q576&lt;判定条件!$C$6,"判定不能",IF(R576&gt;=判定条件!$C$7*Q576,"運転",IF(R576&lt;=判定条件!$C$8*Q576,"停止","断続")))</f>
        <v>判定不能</v>
      </c>
      <c r="T576" s="30" t="n">
        <v>60</v>
      </c>
      <c r="U576" s="30" t="n">
        <v>35</v>
      </c>
      <c r="V576" s="30" t="str">
        <f aca="false">IF(T576&lt;判定条件!$C$6,"判定不能",IF(U576&gt;=判定条件!$C$7*T576,"運転",IF(U576&lt;=判定条件!$C$8*T576,"停止","断続")))</f>
        <v>断続</v>
      </c>
      <c r="W576" s="30" t="n">
        <v>60</v>
      </c>
      <c r="X576" s="30" t="n">
        <v>0</v>
      </c>
      <c r="Y576" s="30" t="str">
        <f aca="false">IF(W576&lt;判定条件!$C$6,"判定不能",IF(X576&gt;=判定条件!$C$7*W576,"運転",IF(X576&lt;=判定条件!$C$8*W576,"停止","断続")))</f>
        <v>停止</v>
      </c>
      <c r="Z576" s="30" t="n">
        <v>60</v>
      </c>
      <c r="AA576" s="30" t="n">
        <v>0</v>
      </c>
      <c r="AB576" s="30" t="str">
        <f aca="false">IF(Z576&lt;判定条件!$C$6,"判定不能",IF(AA576&gt;=判定条件!$C$7*Z576,"運転",IF(AA576&lt;=判定条件!$C$8*Z576,"停止","断続")))</f>
        <v>停止</v>
      </c>
      <c r="AC576" s="30" t="n">
        <v>60</v>
      </c>
      <c r="AD576" s="30" t="n">
        <v>0</v>
      </c>
      <c r="AE576" s="30" t="str">
        <f aca="false">IF(AC576&lt;判定条件!$C$6,"判定不能",IF(AD576&gt;=判定条件!$C$7*AC576,"運転",IF(AD576&lt;=判定条件!$C$8*AC576,"停止","断続")))</f>
        <v>停止</v>
      </c>
      <c r="AF576" s="30" t="n">
        <v>60</v>
      </c>
      <c r="AG576" s="30" t="n">
        <v>0</v>
      </c>
      <c r="AH576" s="30" t="str">
        <f aca="false">IF(OR(P576="判定不能",G576="判定不能"),"判定不能",IF(AG576&gt;=判定条件!$C$9,"利用可",IF(AND(P576="停止",G576="停止"),"両方停止","運転がそろわない")))</f>
        <v>両方停止</v>
      </c>
      <c r="AI576" s="30" t="n">
        <v>0</v>
      </c>
      <c r="AJ576" s="30" t="n">
        <v>0</v>
      </c>
      <c r="AK576" s="30" t="str">
        <f aca="false">IF(OR(S576="判定不能",J576="判定不能"),"判定不能",IF(AJ576&gt;=判定条件!$C$9,"利用可",IF(AND(S576="停止",J576="停止"),"両方停止","運転がそろわない")))</f>
        <v>判定不能</v>
      </c>
      <c r="AL576" s="30" t="n">
        <v>60</v>
      </c>
      <c r="AM576" s="30" t="n">
        <v>0</v>
      </c>
      <c r="AN576" s="30" t="str">
        <f aca="false">IF(OR(V576="判定不能",M576="判定不能"),"判定不能",IF(AM576&gt;=判定条件!$C$9,"利用可",IF(AND(V576="停止",M576="停止"),"両方停止","運転がそろわない")))</f>
        <v>運転がそろわない</v>
      </c>
      <c r="AO576" s="30" t="n">
        <v>60</v>
      </c>
      <c r="AP576" s="30" t="n">
        <v>0</v>
      </c>
      <c r="AQ576" s="30" t="str">
        <f aca="false">IF(OR(Y576="判定不能",G576="判定不能"),"判定不能",IF(AP576&gt;=判定条件!$C$9,"利用可",IF(AND(Y576="停止",G576="停止"),"両方停止","運転がそろわない")))</f>
        <v>両方停止</v>
      </c>
      <c r="AR576" s="30" t="n">
        <v>60</v>
      </c>
      <c r="AS576" s="30" t="n">
        <v>0</v>
      </c>
      <c r="AT576" s="30" t="str">
        <f aca="false">IF(OR(AB576="判定不能",J576="判定不能"),"判定不能",IF(AS576&gt;=判定条件!$C$9,"利用可",IF(AND(AB576="停止",J576="停止"),"両方停止","運転がそろわない")))</f>
        <v>両方停止</v>
      </c>
      <c r="AU576" s="30" t="n">
        <v>60</v>
      </c>
      <c r="AV576" s="30" t="n">
        <v>0</v>
      </c>
      <c r="AW576" s="30" t="str">
        <f aca="false">IF(OR(AE576="判定不能",M576="判定不能"),"判定不能",IF(AV576&gt;=判定条件!$C$9,"利用可",IF(AND(AE576="停止",M576="停止"),"両方停止","運転がそろわない")))</f>
        <v>両方停止</v>
      </c>
      <c r="AX576" s="30" t="str">
        <f aca="false">IF(AND(AH576="利用可",AK576="利用可",AN576="利用可"),"利用可","不可")</f>
        <v>不可</v>
      </c>
      <c r="AY576" s="30" t="str">
        <f aca="false">IF(AND(AQ576="利用可",AT576="利用可",AW576="利用可"),"利用可","不可")</f>
        <v>不可</v>
      </c>
    </row>
    <row r="577" customFormat="false" ht="15" hidden="false" customHeight="false" outlineLevel="0" collapsed="false">
      <c r="A577" s="29" t="n">
        <v>46255</v>
      </c>
      <c r="B577" s="30" t="n">
        <v>22</v>
      </c>
      <c r="C577" s="31" t="s">
        <v>62</v>
      </c>
      <c r="D577" s="31" t="s">
        <v>59</v>
      </c>
      <c r="E577" s="30" t="n">
        <v>60</v>
      </c>
      <c r="F577" s="30" t="n">
        <v>0</v>
      </c>
      <c r="G577" s="30" t="str">
        <f aca="false">IF(E577&lt;判定条件!$C$6,"判定不能",IF(F577&gt;=判定条件!$C$7*E577,"運転",IF(F577&lt;=判定条件!$C$8*E577,"停止","断続")))</f>
        <v>停止</v>
      </c>
      <c r="H577" s="30" t="n">
        <v>60</v>
      </c>
      <c r="I577" s="30" t="n">
        <v>0</v>
      </c>
      <c r="J577" s="30" t="str">
        <f aca="false">IF(H577&lt;判定条件!$C$6,"判定不能",IF(I577&gt;=判定条件!$C$7*H577,"運転",IF(I577&lt;=判定条件!$C$8*H577,"停止","断続")))</f>
        <v>停止</v>
      </c>
      <c r="K577" s="30" t="n">
        <v>60</v>
      </c>
      <c r="L577" s="30" t="n">
        <v>0</v>
      </c>
      <c r="M577" s="30" t="str">
        <f aca="false">IF(K577&lt;判定条件!$C$6,"判定不能",IF(L577&gt;=判定条件!$C$7*K577,"運転",IF(L577&lt;=判定条件!$C$8*K577,"停止","断続")))</f>
        <v>停止</v>
      </c>
      <c r="N577" s="30" t="n">
        <v>60</v>
      </c>
      <c r="O577" s="30" t="n">
        <v>6</v>
      </c>
      <c r="P577" s="30" t="str">
        <f aca="false">IF(N577&lt;判定条件!$C$6,"判定不能",IF(O577&gt;=判定条件!$C$7*N577,"運転",IF(O577&lt;=判定条件!$C$8*N577,"停止","断続")))</f>
        <v>停止</v>
      </c>
      <c r="Q577" s="30" t="n">
        <v>0</v>
      </c>
      <c r="R577" s="30" t="n">
        <v>0</v>
      </c>
      <c r="S577" s="30" t="str">
        <f aca="false">IF(Q577&lt;判定条件!$C$6,"判定不能",IF(R577&gt;=判定条件!$C$7*Q577,"運転",IF(R577&lt;=判定条件!$C$8*Q577,"停止","断続")))</f>
        <v>判定不能</v>
      </c>
      <c r="T577" s="30" t="n">
        <v>60</v>
      </c>
      <c r="U577" s="30" t="n">
        <v>9</v>
      </c>
      <c r="V577" s="30" t="str">
        <f aca="false">IF(T577&lt;判定条件!$C$6,"判定不能",IF(U577&gt;=判定条件!$C$7*T577,"運転",IF(U577&lt;=判定条件!$C$8*T577,"停止","断続")))</f>
        <v>停止</v>
      </c>
      <c r="W577" s="30" t="n">
        <v>60</v>
      </c>
      <c r="X577" s="30" t="n">
        <v>0</v>
      </c>
      <c r="Y577" s="30" t="str">
        <f aca="false">IF(W577&lt;判定条件!$C$6,"判定不能",IF(X577&gt;=判定条件!$C$7*W577,"運転",IF(X577&lt;=判定条件!$C$8*W577,"停止","断続")))</f>
        <v>停止</v>
      </c>
      <c r="Z577" s="30" t="n">
        <v>60</v>
      </c>
      <c r="AA577" s="30" t="n">
        <v>0</v>
      </c>
      <c r="AB577" s="30" t="str">
        <f aca="false">IF(Z577&lt;判定条件!$C$6,"判定不能",IF(AA577&gt;=判定条件!$C$7*Z577,"運転",IF(AA577&lt;=判定条件!$C$8*Z577,"停止","断続")))</f>
        <v>停止</v>
      </c>
      <c r="AC577" s="30" t="n">
        <v>60</v>
      </c>
      <c r="AD577" s="30" t="n">
        <v>0</v>
      </c>
      <c r="AE577" s="30" t="str">
        <f aca="false">IF(AC577&lt;判定条件!$C$6,"判定不能",IF(AD577&gt;=判定条件!$C$7*AC577,"運転",IF(AD577&lt;=判定条件!$C$8*AC577,"停止","断続")))</f>
        <v>停止</v>
      </c>
      <c r="AF577" s="30" t="n">
        <v>60</v>
      </c>
      <c r="AG577" s="30" t="n">
        <v>0</v>
      </c>
      <c r="AH577" s="30" t="str">
        <f aca="false">IF(OR(P577="判定不能",G577="判定不能"),"判定不能",IF(AG577&gt;=判定条件!$C$9,"利用可",IF(AND(P577="停止",G577="停止"),"両方停止","運転がそろわない")))</f>
        <v>両方停止</v>
      </c>
      <c r="AI577" s="30" t="n">
        <v>0</v>
      </c>
      <c r="AJ577" s="30" t="n">
        <v>0</v>
      </c>
      <c r="AK577" s="30" t="str">
        <f aca="false">IF(OR(S577="判定不能",J577="判定不能"),"判定不能",IF(AJ577&gt;=判定条件!$C$9,"利用可",IF(AND(S577="停止",J577="停止"),"両方停止","運転がそろわない")))</f>
        <v>判定不能</v>
      </c>
      <c r="AL577" s="30" t="n">
        <v>60</v>
      </c>
      <c r="AM577" s="30" t="n">
        <v>0</v>
      </c>
      <c r="AN577" s="30" t="str">
        <f aca="false">IF(OR(V577="判定不能",M577="判定不能"),"判定不能",IF(AM577&gt;=判定条件!$C$9,"利用可",IF(AND(V577="停止",M577="停止"),"両方停止","運転がそろわない")))</f>
        <v>両方停止</v>
      </c>
      <c r="AO577" s="30" t="n">
        <v>60</v>
      </c>
      <c r="AP577" s="30" t="n">
        <v>0</v>
      </c>
      <c r="AQ577" s="30" t="str">
        <f aca="false">IF(OR(Y577="判定不能",G577="判定不能"),"判定不能",IF(AP577&gt;=判定条件!$C$9,"利用可",IF(AND(Y577="停止",G577="停止"),"両方停止","運転がそろわない")))</f>
        <v>両方停止</v>
      </c>
      <c r="AR577" s="30" t="n">
        <v>60</v>
      </c>
      <c r="AS577" s="30" t="n">
        <v>0</v>
      </c>
      <c r="AT577" s="30" t="str">
        <f aca="false">IF(OR(AB577="判定不能",J577="判定不能"),"判定不能",IF(AS577&gt;=判定条件!$C$9,"利用可",IF(AND(AB577="停止",J577="停止"),"両方停止","運転がそろわない")))</f>
        <v>両方停止</v>
      </c>
      <c r="AU577" s="30" t="n">
        <v>60</v>
      </c>
      <c r="AV577" s="30" t="n">
        <v>0</v>
      </c>
      <c r="AW577" s="30" t="str">
        <f aca="false">IF(OR(AE577="判定不能",M577="判定不能"),"判定不能",IF(AV577&gt;=判定条件!$C$9,"利用可",IF(AND(AE577="停止",M577="停止"),"両方停止","運転がそろわない")))</f>
        <v>両方停止</v>
      </c>
      <c r="AX577" s="30" t="str">
        <f aca="false">IF(AND(AH577="利用可",AK577="利用可",AN577="利用可"),"利用可","不可")</f>
        <v>不可</v>
      </c>
      <c r="AY577" s="30" t="str">
        <f aca="false">IF(AND(AQ577="利用可",AT577="利用可",AW577="利用可"),"利用可","不可")</f>
        <v>不可</v>
      </c>
    </row>
    <row r="578" customFormat="false" ht="15" hidden="false" customHeight="false" outlineLevel="0" collapsed="false">
      <c r="A578" s="29" t="n">
        <v>46255</v>
      </c>
      <c r="B578" s="30" t="n">
        <v>23</v>
      </c>
      <c r="C578" s="31" t="s">
        <v>62</v>
      </c>
      <c r="D578" s="31" t="s">
        <v>59</v>
      </c>
      <c r="E578" s="30" t="n">
        <v>60</v>
      </c>
      <c r="F578" s="30" t="n">
        <v>0</v>
      </c>
      <c r="G578" s="30" t="str">
        <f aca="false">IF(E578&lt;判定条件!$C$6,"判定不能",IF(F578&gt;=判定条件!$C$7*E578,"運転",IF(F578&lt;=判定条件!$C$8*E578,"停止","断続")))</f>
        <v>停止</v>
      </c>
      <c r="H578" s="30" t="n">
        <v>60</v>
      </c>
      <c r="I578" s="30" t="n">
        <v>0</v>
      </c>
      <c r="J578" s="30" t="str">
        <f aca="false">IF(H578&lt;判定条件!$C$6,"判定不能",IF(I578&gt;=判定条件!$C$7*H578,"運転",IF(I578&lt;=判定条件!$C$8*H578,"停止","断続")))</f>
        <v>停止</v>
      </c>
      <c r="K578" s="30" t="n">
        <v>60</v>
      </c>
      <c r="L578" s="30" t="n">
        <v>0</v>
      </c>
      <c r="M578" s="30" t="str">
        <f aca="false">IF(K578&lt;判定条件!$C$6,"判定不能",IF(L578&gt;=判定条件!$C$7*K578,"運転",IF(L578&lt;=判定条件!$C$8*K578,"停止","断続")))</f>
        <v>停止</v>
      </c>
      <c r="N578" s="30" t="n">
        <v>60</v>
      </c>
      <c r="O578" s="30" t="n">
        <v>0</v>
      </c>
      <c r="P578" s="30" t="str">
        <f aca="false">IF(N578&lt;判定条件!$C$6,"判定不能",IF(O578&gt;=判定条件!$C$7*N578,"運転",IF(O578&lt;=判定条件!$C$8*N578,"停止","断続")))</f>
        <v>停止</v>
      </c>
      <c r="Q578" s="30" t="n">
        <v>0</v>
      </c>
      <c r="R578" s="30" t="n">
        <v>0</v>
      </c>
      <c r="S578" s="30" t="str">
        <f aca="false">IF(Q578&lt;判定条件!$C$6,"判定不能",IF(R578&gt;=判定条件!$C$7*Q578,"運転",IF(R578&lt;=判定条件!$C$8*Q578,"停止","断続")))</f>
        <v>判定不能</v>
      </c>
      <c r="T578" s="30" t="n">
        <v>60</v>
      </c>
      <c r="U578" s="30" t="n">
        <v>0</v>
      </c>
      <c r="V578" s="30" t="str">
        <f aca="false">IF(T578&lt;判定条件!$C$6,"判定不能",IF(U578&gt;=判定条件!$C$7*T578,"運転",IF(U578&lt;=判定条件!$C$8*T578,"停止","断続")))</f>
        <v>停止</v>
      </c>
      <c r="W578" s="30" t="n">
        <v>60</v>
      </c>
      <c r="X578" s="30" t="n">
        <v>0</v>
      </c>
      <c r="Y578" s="30" t="str">
        <f aca="false">IF(W578&lt;判定条件!$C$6,"判定不能",IF(X578&gt;=判定条件!$C$7*W578,"運転",IF(X578&lt;=判定条件!$C$8*W578,"停止","断続")))</f>
        <v>停止</v>
      </c>
      <c r="Z578" s="30" t="n">
        <v>60</v>
      </c>
      <c r="AA578" s="30" t="n">
        <v>0</v>
      </c>
      <c r="AB578" s="30" t="str">
        <f aca="false">IF(Z578&lt;判定条件!$C$6,"判定不能",IF(AA578&gt;=判定条件!$C$7*Z578,"運転",IF(AA578&lt;=判定条件!$C$8*Z578,"停止","断続")))</f>
        <v>停止</v>
      </c>
      <c r="AC578" s="30" t="n">
        <v>60</v>
      </c>
      <c r="AD578" s="30" t="n">
        <v>0</v>
      </c>
      <c r="AE578" s="30" t="str">
        <f aca="false">IF(AC578&lt;判定条件!$C$6,"判定不能",IF(AD578&gt;=判定条件!$C$7*AC578,"運転",IF(AD578&lt;=判定条件!$C$8*AC578,"停止","断続")))</f>
        <v>停止</v>
      </c>
      <c r="AF578" s="30" t="n">
        <v>60</v>
      </c>
      <c r="AG578" s="30" t="n">
        <v>0</v>
      </c>
      <c r="AH578" s="30" t="str">
        <f aca="false">IF(OR(P578="判定不能",G578="判定不能"),"判定不能",IF(AG578&gt;=判定条件!$C$9,"利用可",IF(AND(P578="停止",G578="停止"),"両方停止","運転がそろわない")))</f>
        <v>両方停止</v>
      </c>
      <c r="AI578" s="30" t="n">
        <v>0</v>
      </c>
      <c r="AJ578" s="30" t="n">
        <v>0</v>
      </c>
      <c r="AK578" s="30" t="str">
        <f aca="false">IF(OR(S578="判定不能",J578="判定不能"),"判定不能",IF(AJ578&gt;=判定条件!$C$9,"利用可",IF(AND(S578="停止",J578="停止"),"両方停止","運転がそろわない")))</f>
        <v>判定不能</v>
      </c>
      <c r="AL578" s="30" t="n">
        <v>60</v>
      </c>
      <c r="AM578" s="30" t="n">
        <v>0</v>
      </c>
      <c r="AN578" s="30" t="str">
        <f aca="false">IF(OR(V578="判定不能",M578="判定不能"),"判定不能",IF(AM578&gt;=判定条件!$C$9,"利用可",IF(AND(V578="停止",M578="停止"),"両方停止","運転がそろわない")))</f>
        <v>両方停止</v>
      </c>
      <c r="AO578" s="30" t="n">
        <v>60</v>
      </c>
      <c r="AP578" s="30" t="n">
        <v>0</v>
      </c>
      <c r="AQ578" s="30" t="str">
        <f aca="false">IF(OR(Y578="判定不能",G578="判定不能"),"判定不能",IF(AP578&gt;=判定条件!$C$9,"利用可",IF(AND(Y578="停止",G578="停止"),"両方停止","運転がそろわない")))</f>
        <v>両方停止</v>
      </c>
      <c r="AR578" s="30" t="n">
        <v>60</v>
      </c>
      <c r="AS578" s="30" t="n">
        <v>0</v>
      </c>
      <c r="AT578" s="30" t="str">
        <f aca="false">IF(OR(AB578="判定不能",J578="判定不能"),"判定不能",IF(AS578&gt;=判定条件!$C$9,"利用可",IF(AND(AB578="停止",J578="停止"),"両方停止","運転がそろわない")))</f>
        <v>両方停止</v>
      </c>
      <c r="AU578" s="30" t="n">
        <v>60</v>
      </c>
      <c r="AV578" s="30" t="n">
        <v>0</v>
      </c>
      <c r="AW578" s="30" t="str">
        <f aca="false">IF(OR(AE578="判定不能",M578="判定不能"),"判定不能",IF(AV578&gt;=判定条件!$C$9,"利用可",IF(AND(AE578="停止",M578="停止"),"両方停止","運転がそろわない")))</f>
        <v>両方停止</v>
      </c>
      <c r="AX578" s="30" t="str">
        <f aca="false">IF(AND(AH578="利用可",AK578="利用可",AN578="利用可"),"利用可","不可")</f>
        <v>不可</v>
      </c>
      <c r="AY578" s="30" t="str">
        <f aca="false">IF(AND(AQ578="利用可",AT578="利用可",AW578="利用可"),"利用可","不可")</f>
        <v>不可</v>
      </c>
    </row>
    <row r="579" customFormat="false" ht="15" hidden="false" customHeight="false" outlineLevel="0" collapsed="false">
      <c r="A579" s="29" t="n">
        <v>46256</v>
      </c>
      <c r="B579" s="30" t="n">
        <v>0</v>
      </c>
      <c r="C579" s="31" t="s">
        <v>63</v>
      </c>
      <c r="D579" s="31" t="s">
        <v>64</v>
      </c>
      <c r="E579" s="30" t="n">
        <v>60</v>
      </c>
      <c r="F579" s="30" t="n">
        <v>0</v>
      </c>
      <c r="G579" s="30" t="str">
        <f aca="false">IF(E579&lt;判定条件!$C$6,"判定不能",IF(F579&gt;=判定条件!$C$7*E579,"運転",IF(F579&lt;=判定条件!$C$8*E579,"停止","断続")))</f>
        <v>停止</v>
      </c>
      <c r="H579" s="30" t="n">
        <v>60</v>
      </c>
      <c r="I579" s="30" t="n">
        <v>0</v>
      </c>
      <c r="J579" s="30" t="str">
        <f aca="false">IF(H579&lt;判定条件!$C$6,"判定不能",IF(I579&gt;=判定条件!$C$7*H579,"運転",IF(I579&lt;=判定条件!$C$8*H579,"停止","断続")))</f>
        <v>停止</v>
      </c>
      <c r="K579" s="30" t="n">
        <v>60</v>
      </c>
      <c r="L579" s="30" t="n">
        <v>0</v>
      </c>
      <c r="M579" s="30" t="str">
        <f aca="false">IF(K579&lt;判定条件!$C$6,"判定不能",IF(L579&gt;=判定条件!$C$7*K579,"運転",IF(L579&lt;=判定条件!$C$8*K579,"停止","断続")))</f>
        <v>停止</v>
      </c>
      <c r="N579" s="30" t="n">
        <v>60</v>
      </c>
      <c r="O579" s="30" t="n">
        <v>0</v>
      </c>
      <c r="P579" s="30" t="str">
        <f aca="false">IF(N579&lt;判定条件!$C$6,"判定不能",IF(O579&gt;=判定条件!$C$7*N579,"運転",IF(O579&lt;=判定条件!$C$8*N579,"停止","断続")))</f>
        <v>停止</v>
      </c>
      <c r="Q579" s="30" t="n">
        <v>0</v>
      </c>
      <c r="R579" s="30" t="n">
        <v>0</v>
      </c>
      <c r="S579" s="30" t="str">
        <f aca="false">IF(Q579&lt;判定条件!$C$6,"判定不能",IF(R579&gt;=判定条件!$C$7*Q579,"運転",IF(R579&lt;=判定条件!$C$8*Q579,"停止","断続")))</f>
        <v>判定不能</v>
      </c>
      <c r="T579" s="30" t="n">
        <v>60</v>
      </c>
      <c r="U579" s="30" t="n">
        <v>0</v>
      </c>
      <c r="V579" s="30" t="str">
        <f aca="false">IF(T579&lt;判定条件!$C$6,"判定不能",IF(U579&gt;=判定条件!$C$7*T579,"運転",IF(U579&lt;=判定条件!$C$8*T579,"停止","断続")))</f>
        <v>停止</v>
      </c>
      <c r="W579" s="30" t="n">
        <v>60</v>
      </c>
      <c r="X579" s="30" t="n">
        <v>0</v>
      </c>
      <c r="Y579" s="30" t="str">
        <f aca="false">IF(W579&lt;判定条件!$C$6,"判定不能",IF(X579&gt;=判定条件!$C$7*W579,"運転",IF(X579&lt;=判定条件!$C$8*W579,"停止","断続")))</f>
        <v>停止</v>
      </c>
      <c r="Z579" s="30" t="n">
        <v>60</v>
      </c>
      <c r="AA579" s="30" t="n">
        <v>0</v>
      </c>
      <c r="AB579" s="30" t="str">
        <f aca="false">IF(Z579&lt;判定条件!$C$6,"判定不能",IF(AA579&gt;=判定条件!$C$7*Z579,"運転",IF(AA579&lt;=判定条件!$C$8*Z579,"停止","断続")))</f>
        <v>停止</v>
      </c>
      <c r="AC579" s="30" t="n">
        <v>60</v>
      </c>
      <c r="AD579" s="30" t="n">
        <v>0</v>
      </c>
      <c r="AE579" s="30" t="str">
        <f aca="false">IF(AC579&lt;判定条件!$C$6,"判定不能",IF(AD579&gt;=判定条件!$C$7*AC579,"運転",IF(AD579&lt;=判定条件!$C$8*AC579,"停止","断続")))</f>
        <v>停止</v>
      </c>
      <c r="AF579" s="30" t="n">
        <v>60</v>
      </c>
      <c r="AG579" s="30" t="n">
        <v>0</v>
      </c>
      <c r="AH579" s="30" t="str">
        <f aca="false">IF(OR(P579="判定不能",G579="判定不能"),"判定不能",IF(AG579&gt;=判定条件!$C$9,"利用可",IF(AND(P579="停止",G579="停止"),"両方停止","運転がそろわない")))</f>
        <v>両方停止</v>
      </c>
      <c r="AI579" s="30" t="n">
        <v>0</v>
      </c>
      <c r="AJ579" s="30" t="n">
        <v>0</v>
      </c>
      <c r="AK579" s="30" t="str">
        <f aca="false">IF(OR(S579="判定不能",J579="判定不能"),"判定不能",IF(AJ579&gt;=判定条件!$C$9,"利用可",IF(AND(S579="停止",J579="停止"),"両方停止","運転がそろわない")))</f>
        <v>判定不能</v>
      </c>
      <c r="AL579" s="30" t="n">
        <v>60</v>
      </c>
      <c r="AM579" s="30" t="n">
        <v>0</v>
      </c>
      <c r="AN579" s="30" t="str">
        <f aca="false">IF(OR(V579="判定不能",M579="判定不能"),"判定不能",IF(AM579&gt;=判定条件!$C$9,"利用可",IF(AND(V579="停止",M579="停止"),"両方停止","運転がそろわない")))</f>
        <v>両方停止</v>
      </c>
      <c r="AO579" s="30" t="n">
        <v>60</v>
      </c>
      <c r="AP579" s="30" t="n">
        <v>0</v>
      </c>
      <c r="AQ579" s="30" t="str">
        <f aca="false">IF(OR(Y579="判定不能",G579="判定不能"),"判定不能",IF(AP579&gt;=判定条件!$C$9,"利用可",IF(AND(Y579="停止",G579="停止"),"両方停止","運転がそろわない")))</f>
        <v>両方停止</v>
      </c>
      <c r="AR579" s="30" t="n">
        <v>60</v>
      </c>
      <c r="AS579" s="30" t="n">
        <v>0</v>
      </c>
      <c r="AT579" s="30" t="str">
        <f aca="false">IF(OR(AB579="判定不能",J579="判定不能"),"判定不能",IF(AS579&gt;=判定条件!$C$9,"利用可",IF(AND(AB579="停止",J579="停止"),"両方停止","運転がそろわない")))</f>
        <v>両方停止</v>
      </c>
      <c r="AU579" s="30" t="n">
        <v>60</v>
      </c>
      <c r="AV579" s="30" t="n">
        <v>0</v>
      </c>
      <c r="AW579" s="30" t="str">
        <f aca="false">IF(OR(AE579="判定不能",M579="判定不能"),"判定不能",IF(AV579&gt;=判定条件!$C$9,"利用可",IF(AND(AE579="停止",M579="停止"),"両方停止","運転がそろわない")))</f>
        <v>両方停止</v>
      </c>
      <c r="AX579" s="30" t="str">
        <f aca="false">IF(AND(AH579="利用可",AK579="利用可",AN579="利用可"),"利用可","不可")</f>
        <v>不可</v>
      </c>
      <c r="AY579" s="30" t="str">
        <f aca="false">IF(AND(AQ579="利用可",AT579="利用可",AW579="利用可"),"利用可","不可")</f>
        <v>不可</v>
      </c>
    </row>
    <row r="580" customFormat="false" ht="15" hidden="false" customHeight="false" outlineLevel="0" collapsed="false">
      <c r="A580" s="29" t="n">
        <v>46256</v>
      </c>
      <c r="B580" s="30" t="n">
        <v>1</v>
      </c>
      <c r="C580" s="31" t="s">
        <v>63</v>
      </c>
      <c r="D580" s="31" t="s">
        <v>64</v>
      </c>
      <c r="E580" s="30" t="n">
        <v>60</v>
      </c>
      <c r="F580" s="30" t="n">
        <v>0</v>
      </c>
      <c r="G580" s="30" t="str">
        <f aca="false">IF(E580&lt;判定条件!$C$6,"判定不能",IF(F580&gt;=判定条件!$C$7*E580,"運転",IF(F580&lt;=判定条件!$C$8*E580,"停止","断続")))</f>
        <v>停止</v>
      </c>
      <c r="H580" s="30" t="n">
        <v>60</v>
      </c>
      <c r="I580" s="30" t="n">
        <v>0</v>
      </c>
      <c r="J580" s="30" t="str">
        <f aca="false">IF(H580&lt;判定条件!$C$6,"判定不能",IF(I580&gt;=判定条件!$C$7*H580,"運転",IF(I580&lt;=判定条件!$C$8*H580,"停止","断続")))</f>
        <v>停止</v>
      </c>
      <c r="K580" s="30" t="n">
        <v>60</v>
      </c>
      <c r="L580" s="30" t="n">
        <v>0</v>
      </c>
      <c r="M580" s="30" t="str">
        <f aca="false">IF(K580&lt;判定条件!$C$6,"判定不能",IF(L580&gt;=判定条件!$C$7*K580,"運転",IF(L580&lt;=判定条件!$C$8*K580,"停止","断続")))</f>
        <v>停止</v>
      </c>
      <c r="N580" s="30" t="n">
        <v>60</v>
      </c>
      <c r="O580" s="30" t="n">
        <v>0</v>
      </c>
      <c r="P580" s="30" t="str">
        <f aca="false">IF(N580&lt;判定条件!$C$6,"判定不能",IF(O580&gt;=判定条件!$C$7*N580,"運転",IF(O580&lt;=判定条件!$C$8*N580,"停止","断続")))</f>
        <v>停止</v>
      </c>
      <c r="Q580" s="30" t="n">
        <v>0</v>
      </c>
      <c r="R580" s="30" t="n">
        <v>0</v>
      </c>
      <c r="S580" s="30" t="str">
        <f aca="false">IF(Q580&lt;判定条件!$C$6,"判定不能",IF(R580&gt;=判定条件!$C$7*Q580,"運転",IF(R580&lt;=判定条件!$C$8*Q580,"停止","断続")))</f>
        <v>判定不能</v>
      </c>
      <c r="T580" s="30" t="n">
        <v>60</v>
      </c>
      <c r="U580" s="30" t="n">
        <v>0</v>
      </c>
      <c r="V580" s="30" t="str">
        <f aca="false">IF(T580&lt;判定条件!$C$6,"判定不能",IF(U580&gt;=判定条件!$C$7*T580,"運転",IF(U580&lt;=判定条件!$C$8*T580,"停止","断続")))</f>
        <v>停止</v>
      </c>
      <c r="W580" s="30" t="n">
        <v>60</v>
      </c>
      <c r="X580" s="30" t="n">
        <v>0</v>
      </c>
      <c r="Y580" s="30" t="str">
        <f aca="false">IF(W580&lt;判定条件!$C$6,"判定不能",IF(X580&gt;=判定条件!$C$7*W580,"運転",IF(X580&lt;=判定条件!$C$8*W580,"停止","断続")))</f>
        <v>停止</v>
      </c>
      <c r="Z580" s="30" t="n">
        <v>60</v>
      </c>
      <c r="AA580" s="30" t="n">
        <v>0</v>
      </c>
      <c r="AB580" s="30" t="str">
        <f aca="false">IF(Z580&lt;判定条件!$C$6,"判定不能",IF(AA580&gt;=判定条件!$C$7*Z580,"運転",IF(AA580&lt;=判定条件!$C$8*Z580,"停止","断続")))</f>
        <v>停止</v>
      </c>
      <c r="AC580" s="30" t="n">
        <v>60</v>
      </c>
      <c r="AD580" s="30" t="n">
        <v>0</v>
      </c>
      <c r="AE580" s="30" t="str">
        <f aca="false">IF(AC580&lt;判定条件!$C$6,"判定不能",IF(AD580&gt;=判定条件!$C$7*AC580,"運転",IF(AD580&lt;=判定条件!$C$8*AC580,"停止","断続")))</f>
        <v>停止</v>
      </c>
      <c r="AF580" s="30" t="n">
        <v>60</v>
      </c>
      <c r="AG580" s="30" t="n">
        <v>0</v>
      </c>
      <c r="AH580" s="30" t="str">
        <f aca="false">IF(OR(P580="判定不能",G580="判定不能"),"判定不能",IF(AG580&gt;=判定条件!$C$9,"利用可",IF(AND(P580="停止",G580="停止"),"両方停止","運転がそろわない")))</f>
        <v>両方停止</v>
      </c>
      <c r="AI580" s="30" t="n">
        <v>0</v>
      </c>
      <c r="AJ580" s="30" t="n">
        <v>0</v>
      </c>
      <c r="AK580" s="30" t="str">
        <f aca="false">IF(OR(S580="判定不能",J580="判定不能"),"判定不能",IF(AJ580&gt;=判定条件!$C$9,"利用可",IF(AND(S580="停止",J580="停止"),"両方停止","運転がそろわない")))</f>
        <v>判定不能</v>
      </c>
      <c r="AL580" s="30" t="n">
        <v>60</v>
      </c>
      <c r="AM580" s="30" t="n">
        <v>0</v>
      </c>
      <c r="AN580" s="30" t="str">
        <f aca="false">IF(OR(V580="判定不能",M580="判定不能"),"判定不能",IF(AM580&gt;=判定条件!$C$9,"利用可",IF(AND(V580="停止",M580="停止"),"両方停止","運転がそろわない")))</f>
        <v>両方停止</v>
      </c>
      <c r="AO580" s="30" t="n">
        <v>60</v>
      </c>
      <c r="AP580" s="30" t="n">
        <v>0</v>
      </c>
      <c r="AQ580" s="30" t="str">
        <f aca="false">IF(OR(Y580="判定不能",G580="判定不能"),"判定不能",IF(AP580&gt;=判定条件!$C$9,"利用可",IF(AND(Y580="停止",G580="停止"),"両方停止","運転がそろわない")))</f>
        <v>両方停止</v>
      </c>
      <c r="AR580" s="30" t="n">
        <v>60</v>
      </c>
      <c r="AS580" s="30" t="n">
        <v>0</v>
      </c>
      <c r="AT580" s="30" t="str">
        <f aca="false">IF(OR(AB580="判定不能",J580="判定不能"),"判定不能",IF(AS580&gt;=判定条件!$C$9,"利用可",IF(AND(AB580="停止",J580="停止"),"両方停止","運転がそろわない")))</f>
        <v>両方停止</v>
      </c>
      <c r="AU580" s="30" t="n">
        <v>60</v>
      </c>
      <c r="AV580" s="30" t="n">
        <v>0</v>
      </c>
      <c r="AW580" s="30" t="str">
        <f aca="false">IF(OR(AE580="判定不能",M580="判定不能"),"判定不能",IF(AV580&gt;=判定条件!$C$9,"利用可",IF(AND(AE580="停止",M580="停止"),"両方停止","運転がそろわない")))</f>
        <v>両方停止</v>
      </c>
      <c r="AX580" s="30" t="str">
        <f aca="false">IF(AND(AH580="利用可",AK580="利用可",AN580="利用可"),"利用可","不可")</f>
        <v>不可</v>
      </c>
      <c r="AY580" s="30" t="str">
        <f aca="false">IF(AND(AQ580="利用可",AT580="利用可",AW580="利用可"),"利用可","不可")</f>
        <v>不可</v>
      </c>
    </row>
    <row r="581" customFormat="false" ht="15" hidden="false" customHeight="false" outlineLevel="0" collapsed="false">
      <c r="A581" s="29" t="n">
        <v>46256</v>
      </c>
      <c r="B581" s="30" t="n">
        <v>2</v>
      </c>
      <c r="C581" s="31" t="s">
        <v>63</v>
      </c>
      <c r="D581" s="31" t="s">
        <v>64</v>
      </c>
      <c r="E581" s="30" t="n">
        <v>60</v>
      </c>
      <c r="F581" s="30" t="n">
        <v>0</v>
      </c>
      <c r="G581" s="30" t="str">
        <f aca="false">IF(E581&lt;判定条件!$C$6,"判定不能",IF(F581&gt;=判定条件!$C$7*E581,"運転",IF(F581&lt;=判定条件!$C$8*E581,"停止","断続")))</f>
        <v>停止</v>
      </c>
      <c r="H581" s="30" t="n">
        <v>60</v>
      </c>
      <c r="I581" s="30" t="n">
        <v>0</v>
      </c>
      <c r="J581" s="30" t="str">
        <f aca="false">IF(H581&lt;判定条件!$C$6,"判定不能",IF(I581&gt;=判定条件!$C$7*H581,"運転",IF(I581&lt;=判定条件!$C$8*H581,"停止","断続")))</f>
        <v>停止</v>
      </c>
      <c r="K581" s="30" t="n">
        <v>60</v>
      </c>
      <c r="L581" s="30" t="n">
        <v>0</v>
      </c>
      <c r="M581" s="30" t="str">
        <f aca="false">IF(K581&lt;判定条件!$C$6,"判定不能",IF(L581&gt;=判定条件!$C$7*K581,"運転",IF(L581&lt;=判定条件!$C$8*K581,"停止","断続")))</f>
        <v>停止</v>
      </c>
      <c r="N581" s="30" t="n">
        <v>60</v>
      </c>
      <c r="O581" s="30" t="n">
        <v>0</v>
      </c>
      <c r="P581" s="30" t="str">
        <f aca="false">IF(N581&lt;判定条件!$C$6,"判定不能",IF(O581&gt;=判定条件!$C$7*N581,"運転",IF(O581&lt;=判定条件!$C$8*N581,"停止","断続")))</f>
        <v>停止</v>
      </c>
      <c r="Q581" s="30" t="n">
        <v>0</v>
      </c>
      <c r="R581" s="30" t="n">
        <v>0</v>
      </c>
      <c r="S581" s="30" t="str">
        <f aca="false">IF(Q581&lt;判定条件!$C$6,"判定不能",IF(R581&gt;=判定条件!$C$7*Q581,"運転",IF(R581&lt;=判定条件!$C$8*Q581,"停止","断続")))</f>
        <v>判定不能</v>
      </c>
      <c r="T581" s="30" t="n">
        <v>60</v>
      </c>
      <c r="U581" s="30" t="n">
        <v>0</v>
      </c>
      <c r="V581" s="30" t="str">
        <f aca="false">IF(T581&lt;判定条件!$C$6,"判定不能",IF(U581&gt;=判定条件!$C$7*T581,"運転",IF(U581&lt;=判定条件!$C$8*T581,"停止","断続")))</f>
        <v>停止</v>
      </c>
      <c r="W581" s="30" t="n">
        <v>60</v>
      </c>
      <c r="X581" s="30" t="n">
        <v>0</v>
      </c>
      <c r="Y581" s="30" t="str">
        <f aca="false">IF(W581&lt;判定条件!$C$6,"判定不能",IF(X581&gt;=判定条件!$C$7*W581,"運転",IF(X581&lt;=判定条件!$C$8*W581,"停止","断続")))</f>
        <v>停止</v>
      </c>
      <c r="Z581" s="30" t="n">
        <v>60</v>
      </c>
      <c r="AA581" s="30" t="n">
        <v>0</v>
      </c>
      <c r="AB581" s="30" t="str">
        <f aca="false">IF(Z581&lt;判定条件!$C$6,"判定不能",IF(AA581&gt;=判定条件!$C$7*Z581,"運転",IF(AA581&lt;=判定条件!$C$8*Z581,"停止","断続")))</f>
        <v>停止</v>
      </c>
      <c r="AC581" s="30" t="n">
        <v>60</v>
      </c>
      <c r="AD581" s="30" t="n">
        <v>0</v>
      </c>
      <c r="AE581" s="30" t="str">
        <f aca="false">IF(AC581&lt;判定条件!$C$6,"判定不能",IF(AD581&gt;=判定条件!$C$7*AC581,"運転",IF(AD581&lt;=判定条件!$C$8*AC581,"停止","断続")))</f>
        <v>停止</v>
      </c>
      <c r="AF581" s="30" t="n">
        <v>60</v>
      </c>
      <c r="AG581" s="30" t="n">
        <v>0</v>
      </c>
      <c r="AH581" s="30" t="str">
        <f aca="false">IF(OR(P581="判定不能",G581="判定不能"),"判定不能",IF(AG581&gt;=判定条件!$C$9,"利用可",IF(AND(P581="停止",G581="停止"),"両方停止","運転がそろわない")))</f>
        <v>両方停止</v>
      </c>
      <c r="AI581" s="30" t="n">
        <v>0</v>
      </c>
      <c r="AJ581" s="30" t="n">
        <v>0</v>
      </c>
      <c r="AK581" s="30" t="str">
        <f aca="false">IF(OR(S581="判定不能",J581="判定不能"),"判定不能",IF(AJ581&gt;=判定条件!$C$9,"利用可",IF(AND(S581="停止",J581="停止"),"両方停止","運転がそろわない")))</f>
        <v>判定不能</v>
      </c>
      <c r="AL581" s="30" t="n">
        <v>60</v>
      </c>
      <c r="AM581" s="30" t="n">
        <v>0</v>
      </c>
      <c r="AN581" s="30" t="str">
        <f aca="false">IF(OR(V581="判定不能",M581="判定不能"),"判定不能",IF(AM581&gt;=判定条件!$C$9,"利用可",IF(AND(V581="停止",M581="停止"),"両方停止","運転がそろわない")))</f>
        <v>両方停止</v>
      </c>
      <c r="AO581" s="30" t="n">
        <v>60</v>
      </c>
      <c r="AP581" s="30" t="n">
        <v>0</v>
      </c>
      <c r="AQ581" s="30" t="str">
        <f aca="false">IF(OR(Y581="判定不能",G581="判定不能"),"判定不能",IF(AP581&gt;=判定条件!$C$9,"利用可",IF(AND(Y581="停止",G581="停止"),"両方停止","運転がそろわない")))</f>
        <v>両方停止</v>
      </c>
      <c r="AR581" s="30" t="n">
        <v>60</v>
      </c>
      <c r="AS581" s="30" t="n">
        <v>0</v>
      </c>
      <c r="AT581" s="30" t="str">
        <f aca="false">IF(OR(AB581="判定不能",J581="判定不能"),"判定不能",IF(AS581&gt;=判定条件!$C$9,"利用可",IF(AND(AB581="停止",J581="停止"),"両方停止","運転がそろわない")))</f>
        <v>両方停止</v>
      </c>
      <c r="AU581" s="30" t="n">
        <v>60</v>
      </c>
      <c r="AV581" s="30" t="n">
        <v>0</v>
      </c>
      <c r="AW581" s="30" t="str">
        <f aca="false">IF(OR(AE581="判定不能",M581="判定不能"),"判定不能",IF(AV581&gt;=判定条件!$C$9,"利用可",IF(AND(AE581="停止",M581="停止"),"両方停止","運転がそろわない")))</f>
        <v>両方停止</v>
      </c>
      <c r="AX581" s="30" t="str">
        <f aca="false">IF(AND(AH581="利用可",AK581="利用可",AN581="利用可"),"利用可","不可")</f>
        <v>不可</v>
      </c>
      <c r="AY581" s="30" t="str">
        <f aca="false">IF(AND(AQ581="利用可",AT581="利用可",AW581="利用可"),"利用可","不可")</f>
        <v>不可</v>
      </c>
    </row>
    <row r="582" customFormat="false" ht="15" hidden="false" customHeight="false" outlineLevel="0" collapsed="false">
      <c r="A582" s="29" t="n">
        <v>46256</v>
      </c>
      <c r="B582" s="30" t="n">
        <v>3</v>
      </c>
      <c r="C582" s="31" t="s">
        <v>63</v>
      </c>
      <c r="D582" s="31" t="s">
        <v>64</v>
      </c>
      <c r="E582" s="30" t="n">
        <v>60</v>
      </c>
      <c r="F582" s="30" t="n">
        <v>0</v>
      </c>
      <c r="G582" s="30" t="str">
        <f aca="false">IF(E582&lt;判定条件!$C$6,"判定不能",IF(F582&gt;=判定条件!$C$7*E582,"運転",IF(F582&lt;=判定条件!$C$8*E582,"停止","断続")))</f>
        <v>停止</v>
      </c>
      <c r="H582" s="30" t="n">
        <v>60</v>
      </c>
      <c r="I582" s="30" t="n">
        <v>0</v>
      </c>
      <c r="J582" s="30" t="str">
        <f aca="false">IF(H582&lt;判定条件!$C$6,"判定不能",IF(I582&gt;=判定条件!$C$7*H582,"運転",IF(I582&lt;=判定条件!$C$8*H582,"停止","断続")))</f>
        <v>停止</v>
      </c>
      <c r="K582" s="30" t="n">
        <v>60</v>
      </c>
      <c r="L582" s="30" t="n">
        <v>0</v>
      </c>
      <c r="M582" s="30" t="str">
        <f aca="false">IF(K582&lt;判定条件!$C$6,"判定不能",IF(L582&gt;=判定条件!$C$7*K582,"運転",IF(L582&lt;=判定条件!$C$8*K582,"停止","断続")))</f>
        <v>停止</v>
      </c>
      <c r="N582" s="30" t="n">
        <v>60</v>
      </c>
      <c r="O582" s="30" t="n">
        <v>0</v>
      </c>
      <c r="P582" s="30" t="str">
        <f aca="false">IF(N582&lt;判定条件!$C$6,"判定不能",IF(O582&gt;=判定条件!$C$7*N582,"運転",IF(O582&lt;=判定条件!$C$8*N582,"停止","断続")))</f>
        <v>停止</v>
      </c>
      <c r="Q582" s="30" t="n">
        <v>0</v>
      </c>
      <c r="R582" s="30" t="n">
        <v>0</v>
      </c>
      <c r="S582" s="30" t="str">
        <f aca="false">IF(Q582&lt;判定条件!$C$6,"判定不能",IF(R582&gt;=判定条件!$C$7*Q582,"運転",IF(R582&lt;=判定条件!$C$8*Q582,"停止","断続")))</f>
        <v>判定不能</v>
      </c>
      <c r="T582" s="30" t="n">
        <v>60</v>
      </c>
      <c r="U582" s="30" t="n">
        <v>0</v>
      </c>
      <c r="V582" s="30" t="str">
        <f aca="false">IF(T582&lt;判定条件!$C$6,"判定不能",IF(U582&gt;=判定条件!$C$7*T582,"運転",IF(U582&lt;=判定条件!$C$8*T582,"停止","断続")))</f>
        <v>停止</v>
      </c>
      <c r="W582" s="30" t="n">
        <v>60</v>
      </c>
      <c r="X582" s="30" t="n">
        <v>0</v>
      </c>
      <c r="Y582" s="30" t="str">
        <f aca="false">IF(W582&lt;判定条件!$C$6,"判定不能",IF(X582&gt;=判定条件!$C$7*W582,"運転",IF(X582&lt;=判定条件!$C$8*W582,"停止","断続")))</f>
        <v>停止</v>
      </c>
      <c r="Z582" s="30" t="n">
        <v>60</v>
      </c>
      <c r="AA582" s="30" t="n">
        <v>0</v>
      </c>
      <c r="AB582" s="30" t="str">
        <f aca="false">IF(Z582&lt;判定条件!$C$6,"判定不能",IF(AA582&gt;=判定条件!$C$7*Z582,"運転",IF(AA582&lt;=判定条件!$C$8*Z582,"停止","断続")))</f>
        <v>停止</v>
      </c>
      <c r="AC582" s="30" t="n">
        <v>60</v>
      </c>
      <c r="AD582" s="30" t="n">
        <v>0</v>
      </c>
      <c r="AE582" s="30" t="str">
        <f aca="false">IF(AC582&lt;判定条件!$C$6,"判定不能",IF(AD582&gt;=判定条件!$C$7*AC582,"運転",IF(AD582&lt;=判定条件!$C$8*AC582,"停止","断続")))</f>
        <v>停止</v>
      </c>
      <c r="AF582" s="30" t="n">
        <v>60</v>
      </c>
      <c r="AG582" s="30" t="n">
        <v>0</v>
      </c>
      <c r="AH582" s="30" t="str">
        <f aca="false">IF(OR(P582="判定不能",G582="判定不能"),"判定不能",IF(AG582&gt;=判定条件!$C$9,"利用可",IF(AND(P582="停止",G582="停止"),"両方停止","運転がそろわない")))</f>
        <v>両方停止</v>
      </c>
      <c r="AI582" s="30" t="n">
        <v>0</v>
      </c>
      <c r="AJ582" s="30" t="n">
        <v>0</v>
      </c>
      <c r="AK582" s="30" t="str">
        <f aca="false">IF(OR(S582="判定不能",J582="判定不能"),"判定不能",IF(AJ582&gt;=判定条件!$C$9,"利用可",IF(AND(S582="停止",J582="停止"),"両方停止","運転がそろわない")))</f>
        <v>判定不能</v>
      </c>
      <c r="AL582" s="30" t="n">
        <v>60</v>
      </c>
      <c r="AM582" s="30" t="n">
        <v>0</v>
      </c>
      <c r="AN582" s="30" t="str">
        <f aca="false">IF(OR(V582="判定不能",M582="判定不能"),"判定不能",IF(AM582&gt;=判定条件!$C$9,"利用可",IF(AND(V582="停止",M582="停止"),"両方停止","運転がそろわない")))</f>
        <v>両方停止</v>
      </c>
      <c r="AO582" s="30" t="n">
        <v>60</v>
      </c>
      <c r="AP582" s="30" t="n">
        <v>0</v>
      </c>
      <c r="AQ582" s="30" t="str">
        <f aca="false">IF(OR(Y582="判定不能",G582="判定不能"),"判定不能",IF(AP582&gt;=判定条件!$C$9,"利用可",IF(AND(Y582="停止",G582="停止"),"両方停止","運転がそろわない")))</f>
        <v>両方停止</v>
      </c>
      <c r="AR582" s="30" t="n">
        <v>60</v>
      </c>
      <c r="AS582" s="30" t="n">
        <v>0</v>
      </c>
      <c r="AT582" s="30" t="str">
        <f aca="false">IF(OR(AB582="判定不能",J582="判定不能"),"判定不能",IF(AS582&gt;=判定条件!$C$9,"利用可",IF(AND(AB582="停止",J582="停止"),"両方停止","運転がそろわない")))</f>
        <v>両方停止</v>
      </c>
      <c r="AU582" s="30" t="n">
        <v>60</v>
      </c>
      <c r="AV582" s="30" t="n">
        <v>0</v>
      </c>
      <c r="AW582" s="30" t="str">
        <f aca="false">IF(OR(AE582="判定不能",M582="判定不能"),"判定不能",IF(AV582&gt;=判定条件!$C$9,"利用可",IF(AND(AE582="停止",M582="停止"),"両方停止","運転がそろわない")))</f>
        <v>両方停止</v>
      </c>
      <c r="AX582" s="30" t="str">
        <f aca="false">IF(AND(AH582="利用可",AK582="利用可",AN582="利用可"),"利用可","不可")</f>
        <v>不可</v>
      </c>
      <c r="AY582" s="30" t="str">
        <f aca="false">IF(AND(AQ582="利用可",AT582="利用可",AW582="利用可"),"利用可","不可")</f>
        <v>不可</v>
      </c>
    </row>
    <row r="583" customFormat="false" ht="15" hidden="false" customHeight="false" outlineLevel="0" collapsed="false">
      <c r="A583" s="29" t="n">
        <v>46256</v>
      </c>
      <c r="B583" s="30" t="n">
        <v>4</v>
      </c>
      <c r="C583" s="31" t="s">
        <v>63</v>
      </c>
      <c r="D583" s="31" t="s">
        <v>64</v>
      </c>
      <c r="E583" s="30" t="n">
        <v>60</v>
      </c>
      <c r="F583" s="30" t="n">
        <v>0</v>
      </c>
      <c r="G583" s="30" t="str">
        <f aca="false">IF(E583&lt;判定条件!$C$6,"判定不能",IF(F583&gt;=判定条件!$C$7*E583,"運転",IF(F583&lt;=判定条件!$C$8*E583,"停止","断続")))</f>
        <v>停止</v>
      </c>
      <c r="H583" s="30" t="n">
        <v>60</v>
      </c>
      <c r="I583" s="30" t="n">
        <v>0</v>
      </c>
      <c r="J583" s="30" t="str">
        <f aca="false">IF(H583&lt;判定条件!$C$6,"判定不能",IF(I583&gt;=判定条件!$C$7*H583,"運転",IF(I583&lt;=判定条件!$C$8*H583,"停止","断続")))</f>
        <v>停止</v>
      </c>
      <c r="K583" s="30" t="n">
        <v>60</v>
      </c>
      <c r="L583" s="30" t="n">
        <v>0</v>
      </c>
      <c r="M583" s="30" t="str">
        <f aca="false">IF(K583&lt;判定条件!$C$6,"判定不能",IF(L583&gt;=判定条件!$C$7*K583,"運転",IF(L583&lt;=判定条件!$C$8*K583,"停止","断続")))</f>
        <v>停止</v>
      </c>
      <c r="N583" s="30" t="n">
        <v>60</v>
      </c>
      <c r="O583" s="30" t="n">
        <v>0</v>
      </c>
      <c r="P583" s="30" t="str">
        <f aca="false">IF(N583&lt;判定条件!$C$6,"判定不能",IF(O583&gt;=判定条件!$C$7*N583,"運転",IF(O583&lt;=判定条件!$C$8*N583,"停止","断続")))</f>
        <v>停止</v>
      </c>
      <c r="Q583" s="30" t="n">
        <v>0</v>
      </c>
      <c r="R583" s="30" t="n">
        <v>0</v>
      </c>
      <c r="S583" s="30" t="str">
        <f aca="false">IF(Q583&lt;判定条件!$C$6,"判定不能",IF(R583&gt;=判定条件!$C$7*Q583,"運転",IF(R583&lt;=判定条件!$C$8*Q583,"停止","断続")))</f>
        <v>判定不能</v>
      </c>
      <c r="T583" s="30" t="n">
        <v>60</v>
      </c>
      <c r="U583" s="30" t="n">
        <v>0</v>
      </c>
      <c r="V583" s="30" t="str">
        <f aca="false">IF(T583&lt;判定条件!$C$6,"判定不能",IF(U583&gt;=判定条件!$C$7*T583,"運転",IF(U583&lt;=判定条件!$C$8*T583,"停止","断続")))</f>
        <v>停止</v>
      </c>
      <c r="W583" s="30" t="n">
        <v>60</v>
      </c>
      <c r="X583" s="30" t="n">
        <v>0</v>
      </c>
      <c r="Y583" s="30" t="str">
        <f aca="false">IF(W583&lt;判定条件!$C$6,"判定不能",IF(X583&gt;=判定条件!$C$7*W583,"運転",IF(X583&lt;=判定条件!$C$8*W583,"停止","断続")))</f>
        <v>停止</v>
      </c>
      <c r="Z583" s="30" t="n">
        <v>60</v>
      </c>
      <c r="AA583" s="30" t="n">
        <v>0</v>
      </c>
      <c r="AB583" s="30" t="str">
        <f aca="false">IF(Z583&lt;判定条件!$C$6,"判定不能",IF(AA583&gt;=判定条件!$C$7*Z583,"運転",IF(AA583&lt;=判定条件!$C$8*Z583,"停止","断続")))</f>
        <v>停止</v>
      </c>
      <c r="AC583" s="30" t="n">
        <v>60</v>
      </c>
      <c r="AD583" s="30" t="n">
        <v>0</v>
      </c>
      <c r="AE583" s="30" t="str">
        <f aca="false">IF(AC583&lt;判定条件!$C$6,"判定不能",IF(AD583&gt;=判定条件!$C$7*AC583,"運転",IF(AD583&lt;=判定条件!$C$8*AC583,"停止","断続")))</f>
        <v>停止</v>
      </c>
      <c r="AF583" s="30" t="n">
        <v>60</v>
      </c>
      <c r="AG583" s="30" t="n">
        <v>0</v>
      </c>
      <c r="AH583" s="30" t="str">
        <f aca="false">IF(OR(P583="判定不能",G583="判定不能"),"判定不能",IF(AG583&gt;=判定条件!$C$9,"利用可",IF(AND(P583="停止",G583="停止"),"両方停止","運転がそろわない")))</f>
        <v>両方停止</v>
      </c>
      <c r="AI583" s="30" t="n">
        <v>0</v>
      </c>
      <c r="AJ583" s="30" t="n">
        <v>0</v>
      </c>
      <c r="AK583" s="30" t="str">
        <f aca="false">IF(OR(S583="判定不能",J583="判定不能"),"判定不能",IF(AJ583&gt;=判定条件!$C$9,"利用可",IF(AND(S583="停止",J583="停止"),"両方停止","運転がそろわない")))</f>
        <v>判定不能</v>
      </c>
      <c r="AL583" s="30" t="n">
        <v>60</v>
      </c>
      <c r="AM583" s="30" t="n">
        <v>0</v>
      </c>
      <c r="AN583" s="30" t="str">
        <f aca="false">IF(OR(V583="判定不能",M583="判定不能"),"判定不能",IF(AM583&gt;=判定条件!$C$9,"利用可",IF(AND(V583="停止",M583="停止"),"両方停止","運転がそろわない")))</f>
        <v>両方停止</v>
      </c>
      <c r="AO583" s="30" t="n">
        <v>60</v>
      </c>
      <c r="AP583" s="30" t="n">
        <v>0</v>
      </c>
      <c r="AQ583" s="30" t="str">
        <f aca="false">IF(OR(Y583="判定不能",G583="判定不能"),"判定不能",IF(AP583&gt;=判定条件!$C$9,"利用可",IF(AND(Y583="停止",G583="停止"),"両方停止","運転がそろわない")))</f>
        <v>両方停止</v>
      </c>
      <c r="AR583" s="30" t="n">
        <v>60</v>
      </c>
      <c r="AS583" s="30" t="n">
        <v>0</v>
      </c>
      <c r="AT583" s="30" t="str">
        <f aca="false">IF(OR(AB583="判定不能",J583="判定不能"),"判定不能",IF(AS583&gt;=判定条件!$C$9,"利用可",IF(AND(AB583="停止",J583="停止"),"両方停止","運転がそろわない")))</f>
        <v>両方停止</v>
      </c>
      <c r="AU583" s="30" t="n">
        <v>60</v>
      </c>
      <c r="AV583" s="30" t="n">
        <v>0</v>
      </c>
      <c r="AW583" s="30" t="str">
        <f aca="false">IF(OR(AE583="判定不能",M583="判定不能"),"判定不能",IF(AV583&gt;=判定条件!$C$9,"利用可",IF(AND(AE583="停止",M583="停止"),"両方停止","運転がそろわない")))</f>
        <v>両方停止</v>
      </c>
      <c r="AX583" s="30" t="str">
        <f aca="false">IF(AND(AH583="利用可",AK583="利用可",AN583="利用可"),"利用可","不可")</f>
        <v>不可</v>
      </c>
      <c r="AY583" s="30" t="str">
        <f aca="false">IF(AND(AQ583="利用可",AT583="利用可",AW583="利用可"),"利用可","不可")</f>
        <v>不可</v>
      </c>
    </row>
    <row r="584" customFormat="false" ht="15" hidden="false" customHeight="false" outlineLevel="0" collapsed="false">
      <c r="A584" s="29" t="n">
        <v>46256</v>
      </c>
      <c r="B584" s="30" t="n">
        <v>5</v>
      </c>
      <c r="C584" s="31" t="s">
        <v>63</v>
      </c>
      <c r="D584" s="31" t="s">
        <v>64</v>
      </c>
      <c r="E584" s="30" t="n">
        <v>60</v>
      </c>
      <c r="F584" s="30" t="n">
        <v>0</v>
      </c>
      <c r="G584" s="30" t="str">
        <f aca="false">IF(E584&lt;判定条件!$C$6,"判定不能",IF(F584&gt;=判定条件!$C$7*E584,"運転",IF(F584&lt;=判定条件!$C$8*E584,"停止","断続")))</f>
        <v>停止</v>
      </c>
      <c r="H584" s="30" t="n">
        <v>60</v>
      </c>
      <c r="I584" s="30" t="n">
        <v>0</v>
      </c>
      <c r="J584" s="30" t="str">
        <f aca="false">IF(H584&lt;判定条件!$C$6,"判定不能",IF(I584&gt;=判定条件!$C$7*H584,"運転",IF(I584&lt;=判定条件!$C$8*H584,"停止","断続")))</f>
        <v>停止</v>
      </c>
      <c r="K584" s="30" t="n">
        <v>60</v>
      </c>
      <c r="L584" s="30" t="n">
        <v>0</v>
      </c>
      <c r="M584" s="30" t="str">
        <f aca="false">IF(K584&lt;判定条件!$C$6,"判定不能",IF(L584&gt;=判定条件!$C$7*K584,"運転",IF(L584&lt;=判定条件!$C$8*K584,"停止","断続")))</f>
        <v>停止</v>
      </c>
      <c r="N584" s="30" t="n">
        <v>60</v>
      </c>
      <c r="O584" s="30" t="n">
        <v>0</v>
      </c>
      <c r="P584" s="30" t="str">
        <f aca="false">IF(N584&lt;判定条件!$C$6,"判定不能",IF(O584&gt;=判定条件!$C$7*N584,"運転",IF(O584&lt;=判定条件!$C$8*N584,"停止","断続")))</f>
        <v>停止</v>
      </c>
      <c r="Q584" s="30" t="n">
        <v>0</v>
      </c>
      <c r="R584" s="30" t="n">
        <v>0</v>
      </c>
      <c r="S584" s="30" t="str">
        <f aca="false">IF(Q584&lt;判定条件!$C$6,"判定不能",IF(R584&gt;=判定条件!$C$7*Q584,"運転",IF(R584&lt;=判定条件!$C$8*Q584,"停止","断続")))</f>
        <v>判定不能</v>
      </c>
      <c r="T584" s="30" t="n">
        <v>60</v>
      </c>
      <c r="U584" s="30" t="n">
        <v>0</v>
      </c>
      <c r="V584" s="30" t="str">
        <f aca="false">IF(T584&lt;判定条件!$C$6,"判定不能",IF(U584&gt;=判定条件!$C$7*T584,"運転",IF(U584&lt;=判定条件!$C$8*T584,"停止","断続")))</f>
        <v>停止</v>
      </c>
      <c r="W584" s="30" t="n">
        <v>60</v>
      </c>
      <c r="X584" s="30" t="n">
        <v>0</v>
      </c>
      <c r="Y584" s="30" t="str">
        <f aca="false">IF(W584&lt;判定条件!$C$6,"判定不能",IF(X584&gt;=判定条件!$C$7*W584,"運転",IF(X584&lt;=判定条件!$C$8*W584,"停止","断続")))</f>
        <v>停止</v>
      </c>
      <c r="Z584" s="30" t="n">
        <v>60</v>
      </c>
      <c r="AA584" s="30" t="n">
        <v>0</v>
      </c>
      <c r="AB584" s="30" t="str">
        <f aca="false">IF(Z584&lt;判定条件!$C$6,"判定不能",IF(AA584&gt;=判定条件!$C$7*Z584,"運転",IF(AA584&lt;=判定条件!$C$8*Z584,"停止","断続")))</f>
        <v>停止</v>
      </c>
      <c r="AC584" s="30" t="n">
        <v>60</v>
      </c>
      <c r="AD584" s="30" t="n">
        <v>0</v>
      </c>
      <c r="AE584" s="30" t="str">
        <f aca="false">IF(AC584&lt;判定条件!$C$6,"判定不能",IF(AD584&gt;=判定条件!$C$7*AC584,"運転",IF(AD584&lt;=判定条件!$C$8*AC584,"停止","断続")))</f>
        <v>停止</v>
      </c>
      <c r="AF584" s="30" t="n">
        <v>60</v>
      </c>
      <c r="AG584" s="30" t="n">
        <v>0</v>
      </c>
      <c r="AH584" s="30" t="str">
        <f aca="false">IF(OR(P584="判定不能",G584="判定不能"),"判定不能",IF(AG584&gt;=判定条件!$C$9,"利用可",IF(AND(P584="停止",G584="停止"),"両方停止","運転がそろわない")))</f>
        <v>両方停止</v>
      </c>
      <c r="AI584" s="30" t="n">
        <v>0</v>
      </c>
      <c r="AJ584" s="30" t="n">
        <v>0</v>
      </c>
      <c r="AK584" s="30" t="str">
        <f aca="false">IF(OR(S584="判定不能",J584="判定不能"),"判定不能",IF(AJ584&gt;=判定条件!$C$9,"利用可",IF(AND(S584="停止",J584="停止"),"両方停止","運転がそろわない")))</f>
        <v>判定不能</v>
      </c>
      <c r="AL584" s="30" t="n">
        <v>60</v>
      </c>
      <c r="AM584" s="30" t="n">
        <v>0</v>
      </c>
      <c r="AN584" s="30" t="str">
        <f aca="false">IF(OR(V584="判定不能",M584="判定不能"),"判定不能",IF(AM584&gt;=判定条件!$C$9,"利用可",IF(AND(V584="停止",M584="停止"),"両方停止","運転がそろわない")))</f>
        <v>両方停止</v>
      </c>
      <c r="AO584" s="30" t="n">
        <v>60</v>
      </c>
      <c r="AP584" s="30" t="n">
        <v>0</v>
      </c>
      <c r="AQ584" s="30" t="str">
        <f aca="false">IF(OR(Y584="判定不能",G584="判定不能"),"判定不能",IF(AP584&gt;=判定条件!$C$9,"利用可",IF(AND(Y584="停止",G584="停止"),"両方停止","運転がそろわない")))</f>
        <v>両方停止</v>
      </c>
      <c r="AR584" s="30" t="n">
        <v>60</v>
      </c>
      <c r="AS584" s="30" t="n">
        <v>0</v>
      </c>
      <c r="AT584" s="30" t="str">
        <f aca="false">IF(OR(AB584="判定不能",J584="判定不能"),"判定不能",IF(AS584&gt;=判定条件!$C$9,"利用可",IF(AND(AB584="停止",J584="停止"),"両方停止","運転がそろわない")))</f>
        <v>両方停止</v>
      </c>
      <c r="AU584" s="30" t="n">
        <v>60</v>
      </c>
      <c r="AV584" s="30" t="n">
        <v>0</v>
      </c>
      <c r="AW584" s="30" t="str">
        <f aca="false">IF(OR(AE584="判定不能",M584="判定不能"),"判定不能",IF(AV584&gt;=判定条件!$C$9,"利用可",IF(AND(AE584="停止",M584="停止"),"両方停止","運転がそろわない")))</f>
        <v>両方停止</v>
      </c>
      <c r="AX584" s="30" t="str">
        <f aca="false">IF(AND(AH584="利用可",AK584="利用可",AN584="利用可"),"利用可","不可")</f>
        <v>不可</v>
      </c>
      <c r="AY584" s="30" t="str">
        <f aca="false">IF(AND(AQ584="利用可",AT584="利用可",AW584="利用可"),"利用可","不可")</f>
        <v>不可</v>
      </c>
    </row>
    <row r="585" customFormat="false" ht="15" hidden="false" customHeight="false" outlineLevel="0" collapsed="false">
      <c r="A585" s="29" t="n">
        <v>46256</v>
      </c>
      <c r="B585" s="30" t="n">
        <v>6</v>
      </c>
      <c r="C585" s="31" t="s">
        <v>63</v>
      </c>
      <c r="D585" s="31" t="s">
        <v>64</v>
      </c>
      <c r="E585" s="30" t="n">
        <v>60</v>
      </c>
      <c r="F585" s="30" t="n">
        <v>0</v>
      </c>
      <c r="G585" s="30" t="str">
        <f aca="false">IF(E585&lt;判定条件!$C$6,"判定不能",IF(F585&gt;=判定条件!$C$7*E585,"運転",IF(F585&lt;=判定条件!$C$8*E585,"停止","断続")))</f>
        <v>停止</v>
      </c>
      <c r="H585" s="30" t="n">
        <v>60</v>
      </c>
      <c r="I585" s="30" t="n">
        <v>0</v>
      </c>
      <c r="J585" s="30" t="str">
        <f aca="false">IF(H585&lt;判定条件!$C$6,"判定不能",IF(I585&gt;=判定条件!$C$7*H585,"運転",IF(I585&lt;=判定条件!$C$8*H585,"停止","断続")))</f>
        <v>停止</v>
      </c>
      <c r="K585" s="30" t="n">
        <v>60</v>
      </c>
      <c r="L585" s="30" t="n">
        <v>0</v>
      </c>
      <c r="M585" s="30" t="str">
        <f aca="false">IF(K585&lt;判定条件!$C$6,"判定不能",IF(L585&gt;=判定条件!$C$7*K585,"運転",IF(L585&lt;=判定条件!$C$8*K585,"停止","断続")))</f>
        <v>停止</v>
      </c>
      <c r="N585" s="30" t="n">
        <v>60</v>
      </c>
      <c r="O585" s="30" t="n">
        <v>1</v>
      </c>
      <c r="P585" s="30" t="str">
        <f aca="false">IF(N585&lt;判定条件!$C$6,"判定不能",IF(O585&gt;=判定条件!$C$7*N585,"運転",IF(O585&lt;=判定条件!$C$8*N585,"停止","断続")))</f>
        <v>停止</v>
      </c>
      <c r="Q585" s="30" t="n">
        <v>0</v>
      </c>
      <c r="R585" s="30" t="n">
        <v>0</v>
      </c>
      <c r="S585" s="30" t="str">
        <f aca="false">IF(Q585&lt;判定条件!$C$6,"判定不能",IF(R585&gt;=判定条件!$C$7*Q585,"運転",IF(R585&lt;=判定条件!$C$8*Q585,"停止","断続")))</f>
        <v>判定不能</v>
      </c>
      <c r="T585" s="30" t="n">
        <v>60</v>
      </c>
      <c r="U585" s="30" t="n">
        <v>26</v>
      </c>
      <c r="V585" s="30" t="str">
        <f aca="false">IF(T585&lt;判定条件!$C$6,"判定不能",IF(U585&gt;=判定条件!$C$7*T585,"運転",IF(U585&lt;=判定条件!$C$8*T585,"停止","断続")))</f>
        <v>断続</v>
      </c>
      <c r="W585" s="30" t="n">
        <v>60</v>
      </c>
      <c r="X585" s="30" t="n">
        <v>0</v>
      </c>
      <c r="Y585" s="30" t="str">
        <f aca="false">IF(W585&lt;判定条件!$C$6,"判定不能",IF(X585&gt;=判定条件!$C$7*W585,"運転",IF(X585&lt;=判定条件!$C$8*W585,"停止","断続")))</f>
        <v>停止</v>
      </c>
      <c r="Z585" s="30" t="n">
        <v>60</v>
      </c>
      <c r="AA585" s="30" t="n">
        <v>0</v>
      </c>
      <c r="AB585" s="30" t="str">
        <f aca="false">IF(Z585&lt;判定条件!$C$6,"判定不能",IF(AA585&gt;=判定条件!$C$7*Z585,"運転",IF(AA585&lt;=判定条件!$C$8*Z585,"停止","断続")))</f>
        <v>停止</v>
      </c>
      <c r="AC585" s="30" t="n">
        <v>60</v>
      </c>
      <c r="AD585" s="30" t="n">
        <v>0</v>
      </c>
      <c r="AE585" s="30" t="str">
        <f aca="false">IF(AC585&lt;判定条件!$C$6,"判定不能",IF(AD585&gt;=判定条件!$C$7*AC585,"運転",IF(AD585&lt;=判定条件!$C$8*AC585,"停止","断続")))</f>
        <v>停止</v>
      </c>
      <c r="AF585" s="30" t="n">
        <v>60</v>
      </c>
      <c r="AG585" s="30" t="n">
        <v>0</v>
      </c>
      <c r="AH585" s="30" t="str">
        <f aca="false">IF(OR(P585="判定不能",G585="判定不能"),"判定不能",IF(AG585&gt;=判定条件!$C$9,"利用可",IF(AND(P585="停止",G585="停止"),"両方停止","運転がそろわない")))</f>
        <v>両方停止</v>
      </c>
      <c r="AI585" s="30" t="n">
        <v>0</v>
      </c>
      <c r="AJ585" s="30" t="n">
        <v>0</v>
      </c>
      <c r="AK585" s="30" t="str">
        <f aca="false">IF(OR(S585="判定不能",J585="判定不能"),"判定不能",IF(AJ585&gt;=判定条件!$C$9,"利用可",IF(AND(S585="停止",J585="停止"),"両方停止","運転がそろわない")))</f>
        <v>判定不能</v>
      </c>
      <c r="AL585" s="30" t="n">
        <v>60</v>
      </c>
      <c r="AM585" s="30" t="n">
        <v>0</v>
      </c>
      <c r="AN585" s="30" t="str">
        <f aca="false">IF(OR(V585="判定不能",M585="判定不能"),"判定不能",IF(AM585&gt;=判定条件!$C$9,"利用可",IF(AND(V585="停止",M585="停止"),"両方停止","運転がそろわない")))</f>
        <v>運転がそろわない</v>
      </c>
      <c r="AO585" s="30" t="n">
        <v>60</v>
      </c>
      <c r="AP585" s="30" t="n">
        <v>0</v>
      </c>
      <c r="AQ585" s="30" t="str">
        <f aca="false">IF(OR(Y585="判定不能",G585="判定不能"),"判定不能",IF(AP585&gt;=判定条件!$C$9,"利用可",IF(AND(Y585="停止",G585="停止"),"両方停止","運転がそろわない")))</f>
        <v>両方停止</v>
      </c>
      <c r="AR585" s="30" t="n">
        <v>60</v>
      </c>
      <c r="AS585" s="30" t="n">
        <v>0</v>
      </c>
      <c r="AT585" s="30" t="str">
        <f aca="false">IF(OR(AB585="判定不能",J585="判定不能"),"判定不能",IF(AS585&gt;=判定条件!$C$9,"利用可",IF(AND(AB585="停止",J585="停止"),"両方停止","運転がそろわない")))</f>
        <v>両方停止</v>
      </c>
      <c r="AU585" s="30" t="n">
        <v>60</v>
      </c>
      <c r="AV585" s="30" t="n">
        <v>0</v>
      </c>
      <c r="AW585" s="30" t="str">
        <f aca="false">IF(OR(AE585="判定不能",M585="判定不能"),"判定不能",IF(AV585&gt;=判定条件!$C$9,"利用可",IF(AND(AE585="停止",M585="停止"),"両方停止","運転がそろわない")))</f>
        <v>両方停止</v>
      </c>
      <c r="AX585" s="30" t="str">
        <f aca="false">IF(AND(AH585="利用可",AK585="利用可",AN585="利用可"),"利用可","不可")</f>
        <v>不可</v>
      </c>
      <c r="AY585" s="30" t="str">
        <f aca="false">IF(AND(AQ585="利用可",AT585="利用可",AW585="利用可"),"利用可","不可")</f>
        <v>不可</v>
      </c>
    </row>
    <row r="586" customFormat="false" ht="15" hidden="false" customHeight="false" outlineLevel="0" collapsed="false">
      <c r="A586" s="29" t="n">
        <v>46256</v>
      </c>
      <c r="B586" s="30" t="n">
        <v>7</v>
      </c>
      <c r="C586" s="31" t="s">
        <v>63</v>
      </c>
      <c r="D586" s="31" t="s">
        <v>64</v>
      </c>
      <c r="E586" s="30" t="n">
        <v>60</v>
      </c>
      <c r="F586" s="30" t="n">
        <v>0</v>
      </c>
      <c r="G586" s="30" t="str">
        <f aca="false">IF(E586&lt;判定条件!$C$6,"判定不能",IF(F586&gt;=判定条件!$C$7*E586,"運転",IF(F586&lt;=判定条件!$C$8*E586,"停止","断続")))</f>
        <v>停止</v>
      </c>
      <c r="H586" s="30" t="n">
        <v>60</v>
      </c>
      <c r="I586" s="30" t="n">
        <v>0</v>
      </c>
      <c r="J586" s="30" t="str">
        <f aca="false">IF(H586&lt;判定条件!$C$6,"判定不能",IF(I586&gt;=判定条件!$C$7*H586,"運転",IF(I586&lt;=判定条件!$C$8*H586,"停止","断続")))</f>
        <v>停止</v>
      </c>
      <c r="K586" s="30" t="n">
        <v>60</v>
      </c>
      <c r="L586" s="30" t="n">
        <v>0</v>
      </c>
      <c r="M586" s="30" t="str">
        <f aca="false">IF(K586&lt;判定条件!$C$6,"判定不能",IF(L586&gt;=判定条件!$C$7*K586,"運転",IF(L586&lt;=判定条件!$C$8*K586,"停止","断続")))</f>
        <v>停止</v>
      </c>
      <c r="N586" s="30" t="n">
        <v>60</v>
      </c>
      <c r="O586" s="30" t="n">
        <v>24</v>
      </c>
      <c r="P586" s="30" t="str">
        <f aca="false">IF(N586&lt;判定条件!$C$6,"判定不能",IF(O586&gt;=判定条件!$C$7*N586,"運転",IF(O586&lt;=判定条件!$C$8*N586,"停止","断続")))</f>
        <v>断続</v>
      </c>
      <c r="Q586" s="30" t="n">
        <v>0</v>
      </c>
      <c r="R586" s="30" t="n">
        <v>0</v>
      </c>
      <c r="S586" s="30" t="str">
        <f aca="false">IF(Q586&lt;判定条件!$C$6,"判定不能",IF(R586&gt;=判定条件!$C$7*Q586,"運転",IF(R586&lt;=判定条件!$C$8*Q586,"停止","断続")))</f>
        <v>判定不能</v>
      </c>
      <c r="T586" s="30" t="n">
        <v>60</v>
      </c>
      <c r="U586" s="30" t="n">
        <v>59</v>
      </c>
      <c r="V586" s="30" t="str">
        <f aca="false">IF(T586&lt;判定条件!$C$6,"判定不能",IF(U586&gt;=判定条件!$C$7*T586,"運転",IF(U586&lt;=判定条件!$C$8*T586,"停止","断続")))</f>
        <v>運転</v>
      </c>
      <c r="W586" s="30" t="n">
        <v>60</v>
      </c>
      <c r="X586" s="30" t="n">
        <v>7</v>
      </c>
      <c r="Y586" s="30" t="str">
        <f aca="false">IF(W586&lt;判定条件!$C$6,"判定不能",IF(X586&gt;=判定条件!$C$7*W586,"運転",IF(X586&lt;=判定条件!$C$8*W586,"停止","断続")))</f>
        <v>停止</v>
      </c>
      <c r="Z586" s="30" t="n">
        <v>60</v>
      </c>
      <c r="AA586" s="30" t="n">
        <v>17</v>
      </c>
      <c r="AB586" s="30" t="str">
        <f aca="false">IF(Z586&lt;判定条件!$C$6,"判定不能",IF(AA586&gt;=判定条件!$C$7*Z586,"運転",IF(AA586&lt;=判定条件!$C$8*Z586,"停止","断続")))</f>
        <v>断続</v>
      </c>
      <c r="AC586" s="30" t="n">
        <v>60</v>
      </c>
      <c r="AD586" s="30" t="n">
        <v>29</v>
      </c>
      <c r="AE586" s="30" t="str">
        <f aca="false">IF(AC586&lt;判定条件!$C$6,"判定不能",IF(AD586&gt;=判定条件!$C$7*AC586,"運転",IF(AD586&lt;=判定条件!$C$8*AC586,"停止","断続")))</f>
        <v>断続</v>
      </c>
      <c r="AF586" s="30" t="n">
        <v>60</v>
      </c>
      <c r="AG586" s="30" t="n">
        <v>0</v>
      </c>
      <c r="AH586" s="30" t="str">
        <f aca="false">IF(OR(P586="判定不能",G586="判定不能"),"判定不能",IF(AG586&gt;=判定条件!$C$9,"利用可",IF(AND(P586="停止",G586="停止"),"両方停止","運転がそろわない")))</f>
        <v>運転がそろわない</v>
      </c>
      <c r="AI586" s="30" t="n">
        <v>0</v>
      </c>
      <c r="AJ586" s="30" t="n">
        <v>0</v>
      </c>
      <c r="AK586" s="30" t="str">
        <f aca="false">IF(OR(S586="判定不能",J586="判定不能"),"判定不能",IF(AJ586&gt;=判定条件!$C$9,"利用可",IF(AND(S586="停止",J586="停止"),"両方停止","運転がそろわない")))</f>
        <v>判定不能</v>
      </c>
      <c r="AL586" s="30" t="n">
        <v>60</v>
      </c>
      <c r="AM586" s="30" t="n">
        <v>0</v>
      </c>
      <c r="AN586" s="30" t="str">
        <f aca="false">IF(OR(V586="判定不能",M586="判定不能"),"判定不能",IF(AM586&gt;=判定条件!$C$9,"利用可",IF(AND(V586="停止",M586="停止"),"両方停止","運転がそろわない")))</f>
        <v>運転がそろわない</v>
      </c>
      <c r="AO586" s="30" t="n">
        <v>60</v>
      </c>
      <c r="AP586" s="30" t="n">
        <v>0</v>
      </c>
      <c r="AQ586" s="30" t="str">
        <f aca="false">IF(OR(Y586="判定不能",G586="判定不能"),"判定不能",IF(AP586&gt;=判定条件!$C$9,"利用可",IF(AND(Y586="停止",G586="停止"),"両方停止","運転がそろわない")))</f>
        <v>両方停止</v>
      </c>
      <c r="AR586" s="30" t="n">
        <v>60</v>
      </c>
      <c r="AS586" s="30" t="n">
        <v>0</v>
      </c>
      <c r="AT586" s="30" t="str">
        <f aca="false">IF(OR(AB586="判定不能",J586="判定不能"),"判定不能",IF(AS586&gt;=判定条件!$C$9,"利用可",IF(AND(AB586="停止",J586="停止"),"両方停止","運転がそろわない")))</f>
        <v>運転がそろわない</v>
      </c>
      <c r="AU586" s="30" t="n">
        <v>60</v>
      </c>
      <c r="AV586" s="30" t="n">
        <v>0</v>
      </c>
      <c r="AW586" s="30" t="str">
        <f aca="false">IF(OR(AE586="判定不能",M586="判定不能"),"判定不能",IF(AV586&gt;=判定条件!$C$9,"利用可",IF(AND(AE586="停止",M586="停止"),"両方停止","運転がそろわない")))</f>
        <v>運転がそろわない</v>
      </c>
      <c r="AX586" s="30" t="str">
        <f aca="false">IF(AND(AH586="利用可",AK586="利用可",AN586="利用可"),"利用可","不可")</f>
        <v>不可</v>
      </c>
      <c r="AY586" s="30" t="str">
        <f aca="false">IF(AND(AQ586="利用可",AT586="利用可",AW586="利用可"),"利用可","不可")</f>
        <v>不可</v>
      </c>
    </row>
    <row r="587" customFormat="false" ht="15" hidden="false" customHeight="false" outlineLevel="0" collapsed="false">
      <c r="A587" s="29" t="n">
        <v>46256</v>
      </c>
      <c r="B587" s="30" t="n">
        <v>8</v>
      </c>
      <c r="C587" s="31" t="s">
        <v>63</v>
      </c>
      <c r="D587" s="31" t="s">
        <v>64</v>
      </c>
      <c r="E587" s="30" t="n">
        <v>60</v>
      </c>
      <c r="F587" s="30" t="n">
        <v>36</v>
      </c>
      <c r="G587" s="30" t="str">
        <f aca="false">IF(E587&lt;判定条件!$C$6,"判定不能",IF(F587&gt;=判定条件!$C$7*E587,"運転",IF(F587&lt;=判定条件!$C$8*E587,"停止","断続")))</f>
        <v>断続</v>
      </c>
      <c r="H587" s="30" t="n">
        <v>60</v>
      </c>
      <c r="I587" s="30" t="n">
        <v>22</v>
      </c>
      <c r="J587" s="30" t="str">
        <f aca="false">IF(H587&lt;判定条件!$C$6,"判定不能",IF(I587&gt;=判定条件!$C$7*H587,"運転",IF(I587&lt;=判定条件!$C$8*H587,"停止","断続")))</f>
        <v>断続</v>
      </c>
      <c r="K587" s="30" t="n">
        <v>60</v>
      </c>
      <c r="L587" s="30" t="n">
        <v>22</v>
      </c>
      <c r="M587" s="30" t="str">
        <f aca="false">IF(K587&lt;判定条件!$C$6,"判定不能",IF(L587&gt;=判定条件!$C$7*K587,"運転",IF(L587&lt;=判定条件!$C$8*K587,"停止","断続")))</f>
        <v>断続</v>
      </c>
      <c r="N587" s="30" t="n">
        <v>60</v>
      </c>
      <c r="O587" s="30" t="n">
        <v>48</v>
      </c>
      <c r="P587" s="30" t="str">
        <f aca="false">IF(N587&lt;判定条件!$C$6,"判定不能",IF(O587&gt;=判定条件!$C$7*N587,"運転",IF(O587&lt;=判定条件!$C$8*N587,"停止","断続")))</f>
        <v>運転</v>
      </c>
      <c r="Q587" s="30" t="n">
        <v>0</v>
      </c>
      <c r="R587" s="30" t="n">
        <v>0</v>
      </c>
      <c r="S587" s="30" t="str">
        <f aca="false">IF(Q587&lt;判定条件!$C$6,"判定不能",IF(R587&gt;=判定条件!$C$7*Q587,"運転",IF(R587&lt;=判定条件!$C$8*Q587,"停止","断続")))</f>
        <v>判定不能</v>
      </c>
      <c r="T587" s="30" t="n">
        <v>60</v>
      </c>
      <c r="U587" s="30" t="n">
        <v>28</v>
      </c>
      <c r="V587" s="30" t="str">
        <f aca="false">IF(T587&lt;判定条件!$C$6,"判定不能",IF(U587&gt;=判定条件!$C$7*T587,"運転",IF(U587&lt;=判定条件!$C$8*T587,"停止","断続")))</f>
        <v>断続</v>
      </c>
      <c r="W587" s="30" t="n">
        <v>60</v>
      </c>
      <c r="X587" s="30" t="n">
        <v>59</v>
      </c>
      <c r="Y587" s="30" t="str">
        <f aca="false">IF(W587&lt;判定条件!$C$6,"判定不能",IF(X587&gt;=判定条件!$C$7*W587,"運転",IF(X587&lt;=判定条件!$C$8*W587,"停止","断続")))</f>
        <v>運転</v>
      </c>
      <c r="Z587" s="30" t="n">
        <v>60</v>
      </c>
      <c r="AA587" s="30" t="n">
        <v>30</v>
      </c>
      <c r="AB587" s="30" t="str">
        <f aca="false">IF(Z587&lt;判定条件!$C$6,"判定不能",IF(AA587&gt;=判定条件!$C$7*Z587,"運転",IF(AA587&lt;=判定条件!$C$8*Z587,"停止","断続")))</f>
        <v>断続</v>
      </c>
      <c r="AC587" s="30" t="n">
        <v>60</v>
      </c>
      <c r="AD587" s="30" t="n">
        <v>60</v>
      </c>
      <c r="AE587" s="30" t="str">
        <f aca="false">IF(AC587&lt;判定条件!$C$6,"判定不能",IF(AD587&gt;=判定条件!$C$7*AC587,"運転",IF(AD587&lt;=判定条件!$C$8*AC587,"停止","断続")))</f>
        <v>運転</v>
      </c>
      <c r="AF587" s="30" t="n">
        <v>60</v>
      </c>
      <c r="AG587" s="30" t="n">
        <v>28</v>
      </c>
      <c r="AH587" s="30" t="str">
        <f aca="false">IF(OR(P587="判定不能",G587="判定不能"),"判定不能",IF(AG587&gt;=判定条件!$C$9,"利用可",IF(AND(P587="停止",G587="停止"),"両方停止","運転がそろわない")))</f>
        <v>運転がそろわない</v>
      </c>
      <c r="AI587" s="30" t="n">
        <v>0</v>
      </c>
      <c r="AJ587" s="30" t="n">
        <v>0</v>
      </c>
      <c r="AK587" s="30" t="str">
        <f aca="false">IF(OR(S587="判定不能",J587="判定不能"),"判定不能",IF(AJ587&gt;=判定条件!$C$9,"利用可",IF(AND(S587="停止",J587="停止"),"両方停止","運転がそろわない")))</f>
        <v>判定不能</v>
      </c>
      <c r="AL587" s="30" t="n">
        <v>60</v>
      </c>
      <c r="AM587" s="30" t="n">
        <v>18</v>
      </c>
      <c r="AN587" s="30" t="str">
        <f aca="false">IF(OR(V587="判定不能",M587="判定不能"),"判定不能",IF(AM587&gt;=判定条件!$C$9,"利用可",IF(AND(V587="停止",M587="停止"),"両方停止","運転がそろわない")))</f>
        <v>運転がそろわない</v>
      </c>
      <c r="AO587" s="30" t="n">
        <v>60</v>
      </c>
      <c r="AP587" s="30" t="n">
        <v>36</v>
      </c>
      <c r="AQ587" s="30" t="str">
        <f aca="false">IF(OR(Y587="判定不能",G587="判定不能"),"判定不能",IF(AP587&gt;=判定条件!$C$9,"利用可",IF(AND(Y587="停止",G587="停止"),"両方停止","運転がそろわない")))</f>
        <v>利用可</v>
      </c>
      <c r="AR587" s="30" t="n">
        <v>60</v>
      </c>
      <c r="AS587" s="30" t="n">
        <v>0</v>
      </c>
      <c r="AT587" s="30" t="str">
        <f aca="false">IF(OR(AB587="判定不能",J587="判定不能"),"判定不能",IF(AS587&gt;=判定条件!$C$9,"利用可",IF(AND(AB587="停止",J587="停止"),"両方停止","運転がそろわない")))</f>
        <v>運転がそろわない</v>
      </c>
      <c r="AU587" s="30" t="n">
        <v>60</v>
      </c>
      <c r="AV587" s="30" t="n">
        <v>22</v>
      </c>
      <c r="AW587" s="30" t="str">
        <f aca="false">IF(OR(AE587="判定不能",M587="判定不能"),"判定不能",IF(AV587&gt;=判定条件!$C$9,"利用可",IF(AND(AE587="停止",M587="停止"),"両方停止","運転がそろわない")))</f>
        <v>運転がそろわない</v>
      </c>
      <c r="AX587" s="30" t="str">
        <f aca="false">IF(AND(AH587="利用可",AK587="利用可",AN587="利用可"),"利用可","不可")</f>
        <v>不可</v>
      </c>
      <c r="AY587" s="30" t="str">
        <f aca="false">IF(AND(AQ587="利用可",AT587="利用可",AW587="利用可"),"利用可","不可")</f>
        <v>不可</v>
      </c>
    </row>
    <row r="588" customFormat="false" ht="15" hidden="false" customHeight="false" outlineLevel="0" collapsed="false">
      <c r="A588" s="29" t="n">
        <v>46256</v>
      </c>
      <c r="B588" s="30" t="n">
        <v>9</v>
      </c>
      <c r="C588" s="31" t="s">
        <v>63</v>
      </c>
      <c r="D588" s="31" t="s">
        <v>64</v>
      </c>
      <c r="E588" s="30" t="n">
        <v>60</v>
      </c>
      <c r="F588" s="30" t="n">
        <v>60</v>
      </c>
      <c r="G588" s="30" t="str">
        <f aca="false">IF(E588&lt;判定条件!$C$6,"判定不能",IF(F588&gt;=判定条件!$C$7*E588,"運転",IF(F588&lt;=判定条件!$C$8*E588,"停止","断続")))</f>
        <v>運転</v>
      </c>
      <c r="H588" s="30" t="n">
        <v>60</v>
      </c>
      <c r="I588" s="30" t="n">
        <v>60</v>
      </c>
      <c r="J588" s="30" t="str">
        <f aca="false">IF(H588&lt;判定条件!$C$6,"判定不能",IF(I588&gt;=判定条件!$C$7*H588,"運転",IF(I588&lt;=判定条件!$C$8*H588,"停止","断続")))</f>
        <v>運転</v>
      </c>
      <c r="K588" s="30" t="n">
        <v>60</v>
      </c>
      <c r="L588" s="30" t="n">
        <v>60</v>
      </c>
      <c r="M588" s="30" t="str">
        <f aca="false">IF(K588&lt;判定条件!$C$6,"判定不能",IF(L588&gt;=判定条件!$C$7*K588,"運転",IF(L588&lt;=判定条件!$C$8*K588,"停止","断続")))</f>
        <v>運転</v>
      </c>
      <c r="N588" s="30" t="n">
        <v>60</v>
      </c>
      <c r="O588" s="30" t="n">
        <v>60</v>
      </c>
      <c r="P588" s="30" t="str">
        <f aca="false">IF(N588&lt;判定条件!$C$6,"判定不能",IF(O588&gt;=判定条件!$C$7*N588,"運転",IF(O588&lt;=判定条件!$C$8*N588,"停止","断続")))</f>
        <v>運転</v>
      </c>
      <c r="Q588" s="30" t="n">
        <v>0</v>
      </c>
      <c r="R588" s="30" t="n">
        <v>0</v>
      </c>
      <c r="S588" s="30" t="str">
        <f aca="false">IF(Q588&lt;判定条件!$C$6,"判定不能",IF(R588&gt;=判定条件!$C$7*Q588,"運転",IF(R588&lt;=判定条件!$C$8*Q588,"停止","断続")))</f>
        <v>判定不能</v>
      </c>
      <c r="T588" s="30" t="n">
        <v>60</v>
      </c>
      <c r="U588" s="30" t="n">
        <v>8</v>
      </c>
      <c r="V588" s="30" t="str">
        <f aca="false">IF(T588&lt;判定条件!$C$6,"判定不能",IF(U588&gt;=判定条件!$C$7*T588,"運転",IF(U588&lt;=判定条件!$C$8*T588,"停止","断続")))</f>
        <v>停止</v>
      </c>
      <c r="W588" s="30" t="n">
        <v>60</v>
      </c>
      <c r="X588" s="30" t="n">
        <v>47</v>
      </c>
      <c r="Y588" s="30" t="str">
        <f aca="false">IF(W588&lt;判定条件!$C$6,"判定不能",IF(X588&gt;=判定条件!$C$7*W588,"運転",IF(X588&lt;=判定条件!$C$8*W588,"停止","断続")))</f>
        <v>断続</v>
      </c>
      <c r="Z588" s="30" t="n">
        <v>60</v>
      </c>
      <c r="AA588" s="30" t="n">
        <v>31</v>
      </c>
      <c r="AB588" s="30" t="str">
        <f aca="false">IF(Z588&lt;判定条件!$C$6,"判定不能",IF(AA588&gt;=判定条件!$C$7*Z588,"運転",IF(AA588&lt;=判定条件!$C$8*Z588,"停止","断続")))</f>
        <v>断続</v>
      </c>
      <c r="AC588" s="30" t="n">
        <v>60</v>
      </c>
      <c r="AD588" s="30" t="n">
        <v>60</v>
      </c>
      <c r="AE588" s="30" t="str">
        <f aca="false">IF(AC588&lt;判定条件!$C$6,"判定不能",IF(AD588&gt;=判定条件!$C$7*AC588,"運転",IF(AD588&lt;=判定条件!$C$8*AC588,"停止","断続")))</f>
        <v>運転</v>
      </c>
      <c r="AF588" s="30" t="n">
        <v>60</v>
      </c>
      <c r="AG588" s="30" t="n">
        <v>60</v>
      </c>
      <c r="AH588" s="30" t="str">
        <f aca="false">IF(OR(P588="判定不能",G588="判定不能"),"判定不能",IF(AG588&gt;=判定条件!$C$9,"利用可",IF(AND(P588="停止",G588="停止"),"両方停止","運転がそろわない")))</f>
        <v>利用可</v>
      </c>
      <c r="AI588" s="30" t="n">
        <v>0</v>
      </c>
      <c r="AJ588" s="30" t="n">
        <v>0</v>
      </c>
      <c r="AK588" s="30" t="str">
        <f aca="false">IF(OR(S588="判定不能",J588="判定不能"),"判定不能",IF(AJ588&gt;=判定条件!$C$9,"利用可",IF(AND(S588="停止",J588="停止"),"両方停止","運転がそろわない")))</f>
        <v>判定不能</v>
      </c>
      <c r="AL588" s="30" t="n">
        <v>60</v>
      </c>
      <c r="AM588" s="30" t="n">
        <v>8</v>
      </c>
      <c r="AN588" s="30" t="str">
        <f aca="false">IF(OR(V588="判定不能",M588="判定不能"),"判定不能",IF(AM588&gt;=判定条件!$C$9,"利用可",IF(AND(V588="停止",M588="停止"),"両方停止","運転がそろわない")))</f>
        <v>運転がそろわない</v>
      </c>
      <c r="AO588" s="30" t="n">
        <v>60</v>
      </c>
      <c r="AP588" s="30" t="n">
        <v>47</v>
      </c>
      <c r="AQ588" s="30" t="str">
        <f aca="false">IF(OR(Y588="判定不能",G588="判定不能"),"判定不能",IF(AP588&gt;=判定条件!$C$9,"利用可",IF(AND(Y588="停止",G588="停止"),"両方停止","運転がそろわない")))</f>
        <v>利用可</v>
      </c>
      <c r="AR588" s="30" t="n">
        <v>60</v>
      </c>
      <c r="AS588" s="30" t="n">
        <v>31</v>
      </c>
      <c r="AT588" s="30" t="str">
        <f aca="false">IF(OR(AB588="判定不能",J588="判定不能"),"判定不能",IF(AS588&gt;=判定条件!$C$9,"利用可",IF(AND(AB588="停止",J588="停止"),"両方停止","運転がそろわない")))</f>
        <v>利用可</v>
      </c>
      <c r="AU588" s="30" t="n">
        <v>60</v>
      </c>
      <c r="AV588" s="30" t="n">
        <v>60</v>
      </c>
      <c r="AW588" s="30" t="str">
        <f aca="false">IF(OR(AE588="判定不能",M588="判定不能"),"判定不能",IF(AV588&gt;=判定条件!$C$9,"利用可",IF(AND(AE588="停止",M588="停止"),"両方停止","運転がそろわない")))</f>
        <v>利用可</v>
      </c>
      <c r="AX588" s="30" t="str">
        <f aca="false">IF(AND(AH588="利用可",AK588="利用可",AN588="利用可"),"利用可","不可")</f>
        <v>不可</v>
      </c>
      <c r="AY588" s="30" t="str">
        <f aca="false">IF(AND(AQ588="利用可",AT588="利用可",AW588="利用可"),"利用可","不可")</f>
        <v>利用可</v>
      </c>
    </row>
    <row r="589" customFormat="false" ht="15" hidden="false" customHeight="false" outlineLevel="0" collapsed="false">
      <c r="A589" s="29" t="n">
        <v>46256</v>
      </c>
      <c r="B589" s="30" t="n">
        <v>10</v>
      </c>
      <c r="C589" s="31" t="s">
        <v>63</v>
      </c>
      <c r="D589" s="31" t="s">
        <v>64</v>
      </c>
      <c r="E589" s="30" t="n">
        <v>60</v>
      </c>
      <c r="F589" s="30" t="n">
        <v>60</v>
      </c>
      <c r="G589" s="30" t="str">
        <f aca="false">IF(E589&lt;判定条件!$C$6,"判定不能",IF(F589&gt;=判定条件!$C$7*E589,"運転",IF(F589&lt;=判定条件!$C$8*E589,"停止","断続")))</f>
        <v>運転</v>
      </c>
      <c r="H589" s="30" t="n">
        <v>60</v>
      </c>
      <c r="I589" s="30" t="n">
        <v>60</v>
      </c>
      <c r="J589" s="30" t="str">
        <f aca="false">IF(H589&lt;判定条件!$C$6,"判定不能",IF(I589&gt;=判定条件!$C$7*H589,"運転",IF(I589&lt;=判定条件!$C$8*H589,"停止","断続")))</f>
        <v>運転</v>
      </c>
      <c r="K589" s="30" t="n">
        <v>60</v>
      </c>
      <c r="L589" s="30" t="n">
        <v>60</v>
      </c>
      <c r="M589" s="30" t="str">
        <f aca="false">IF(K589&lt;判定条件!$C$6,"判定不能",IF(L589&gt;=判定条件!$C$7*K589,"運転",IF(L589&lt;=判定条件!$C$8*K589,"停止","断続")))</f>
        <v>運転</v>
      </c>
      <c r="N589" s="30" t="n">
        <v>60</v>
      </c>
      <c r="O589" s="30" t="n">
        <v>45</v>
      </c>
      <c r="P589" s="30" t="str">
        <f aca="false">IF(N589&lt;判定条件!$C$6,"判定不能",IF(O589&gt;=判定条件!$C$7*N589,"運転",IF(O589&lt;=判定条件!$C$8*N589,"停止","断続")))</f>
        <v>断続</v>
      </c>
      <c r="Q589" s="30" t="n">
        <v>0</v>
      </c>
      <c r="R589" s="30" t="n">
        <v>0</v>
      </c>
      <c r="S589" s="30" t="str">
        <f aca="false">IF(Q589&lt;判定条件!$C$6,"判定不能",IF(R589&gt;=判定条件!$C$7*Q589,"運転",IF(R589&lt;=判定条件!$C$8*Q589,"停止","断続")))</f>
        <v>判定不能</v>
      </c>
      <c r="T589" s="30" t="n">
        <v>60</v>
      </c>
      <c r="U589" s="30" t="n">
        <v>0</v>
      </c>
      <c r="V589" s="30" t="str">
        <f aca="false">IF(T589&lt;判定条件!$C$6,"判定不能",IF(U589&gt;=判定条件!$C$7*T589,"運転",IF(U589&lt;=判定条件!$C$8*T589,"停止","断続")))</f>
        <v>停止</v>
      </c>
      <c r="W589" s="30" t="n">
        <v>60</v>
      </c>
      <c r="X589" s="30" t="n">
        <v>40</v>
      </c>
      <c r="Y589" s="30" t="str">
        <f aca="false">IF(W589&lt;判定条件!$C$6,"判定不能",IF(X589&gt;=判定条件!$C$7*W589,"運転",IF(X589&lt;=判定条件!$C$8*W589,"停止","断続")))</f>
        <v>断続</v>
      </c>
      <c r="Z589" s="30" t="n">
        <v>60</v>
      </c>
      <c r="AA589" s="30" t="n">
        <v>60</v>
      </c>
      <c r="AB589" s="30" t="str">
        <f aca="false">IF(Z589&lt;判定条件!$C$6,"判定不能",IF(AA589&gt;=判定条件!$C$7*Z589,"運転",IF(AA589&lt;=判定条件!$C$8*Z589,"停止","断続")))</f>
        <v>運転</v>
      </c>
      <c r="AC589" s="30" t="n">
        <v>60</v>
      </c>
      <c r="AD589" s="30" t="n">
        <v>60</v>
      </c>
      <c r="AE589" s="30" t="str">
        <f aca="false">IF(AC589&lt;判定条件!$C$6,"判定不能",IF(AD589&gt;=判定条件!$C$7*AC589,"運転",IF(AD589&lt;=判定条件!$C$8*AC589,"停止","断続")))</f>
        <v>運転</v>
      </c>
      <c r="AF589" s="30" t="n">
        <v>60</v>
      </c>
      <c r="AG589" s="30" t="n">
        <v>45</v>
      </c>
      <c r="AH589" s="30" t="str">
        <f aca="false">IF(OR(P589="判定不能",G589="判定不能"),"判定不能",IF(AG589&gt;=判定条件!$C$9,"利用可",IF(AND(P589="停止",G589="停止"),"両方停止","運転がそろわない")))</f>
        <v>利用可</v>
      </c>
      <c r="AI589" s="30" t="n">
        <v>0</v>
      </c>
      <c r="AJ589" s="30" t="n">
        <v>0</v>
      </c>
      <c r="AK589" s="30" t="str">
        <f aca="false">IF(OR(S589="判定不能",J589="判定不能"),"判定不能",IF(AJ589&gt;=判定条件!$C$9,"利用可",IF(AND(S589="停止",J589="停止"),"両方停止","運転がそろわない")))</f>
        <v>判定不能</v>
      </c>
      <c r="AL589" s="30" t="n">
        <v>60</v>
      </c>
      <c r="AM589" s="30" t="n">
        <v>0</v>
      </c>
      <c r="AN589" s="30" t="str">
        <f aca="false">IF(OR(V589="判定不能",M589="判定不能"),"判定不能",IF(AM589&gt;=判定条件!$C$9,"利用可",IF(AND(V589="停止",M589="停止"),"両方停止","運転がそろわない")))</f>
        <v>運転がそろわない</v>
      </c>
      <c r="AO589" s="30" t="n">
        <v>60</v>
      </c>
      <c r="AP589" s="30" t="n">
        <v>40</v>
      </c>
      <c r="AQ589" s="30" t="str">
        <f aca="false">IF(OR(Y589="判定不能",G589="判定不能"),"判定不能",IF(AP589&gt;=判定条件!$C$9,"利用可",IF(AND(Y589="停止",G589="停止"),"両方停止","運転がそろわない")))</f>
        <v>利用可</v>
      </c>
      <c r="AR589" s="30" t="n">
        <v>60</v>
      </c>
      <c r="AS589" s="30" t="n">
        <v>60</v>
      </c>
      <c r="AT589" s="30" t="str">
        <f aca="false">IF(OR(AB589="判定不能",J589="判定不能"),"判定不能",IF(AS589&gt;=判定条件!$C$9,"利用可",IF(AND(AB589="停止",J589="停止"),"両方停止","運転がそろわない")))</f>
        <v>利用可</v>
      </c>
      <c r="AU589" s="30" t="n">
        <v>60</v>
      </c>
      <c r="AV589" s="30" t="n">
        <v>60</v>
      </c>
      <c r="AW589" s="30" t="str">
        <f aca="false">IF(OR(AE589="判定不能",M589="判定不能"),"判定不能",IF(AV589&gt;=判定条件!$C$9,"利用可",IF(AND(AE589="停止",M589="停止"),"両方停止","運転がそろわない")))</f>
        <v>利用可</v>
      </c>
      <c r="AX589" s="30" t="str">
        <f aca="false">IF(AND(AH589="利用可",AK589="利用可",AN589="利用可"),"利用可","不可")</f>
        <v>不可</v>
      </c>
      <c r="AY589" s="30" t="str">
        <f aca="false">IF(AND(AQ589="利用可",AT589="利用可",AW589="利用可"),"利用可","不可")</f>
        <v>利用可</v>
      </c>
    </row>
    <row r="590" customFormat="false" ht="15" hidden="false" customHeight="false" outlineLevel="0" collapsed="false">
      <c r="A590" s="29" t="n">
        <v>46256</v>
      </c>
      <c r="B590" s="30" t="n">
        <v>11</v>
      </c>
      <c r="C590" s="31" t="s">
        <v>63</v>
      </c>
      <c r="D590" s="31" t="s">
        <v>64</v>
      </c>
      <c r="E590" s="30" t="n">
        <v>60</v>
      </c>
      <c r="F590" s="30" t="n">
        <v>60</v>
      </c>
      <c r="G590" s="30" t="str">
        <f aca="false">IF(E590&lt;判定条件!$C$6,"判定不能",IF(F590&gt;=判定条件!$C$7*E590,"運転",IF(F590&lt;=判定条件!$C$8*E590,"停止","断続")))</f>
        <v>運転</v>
      </c>
      <c r="H590" s="30" t="n">
        <v>60</v>
      </c>
      <c r="I590" s="30" t="n">
        <v>60</v>
      </c>
      <c r="J590" s="30" t="str">
        <f aca="false">IF(H590&lt;判定条件!$C$6,"判定不能",IF(I590&gt;=判定条件!$C$7*H590,"運転",IF(I590&lt;=判定条件!$C$8*H590,"停止","断続")))</f>
        <v>運転</v>
      </c>
      <c r="K590" s="30" t="n">
        <v>60</v>
      </c>
      <c r="L590" s="30" t="n">
        <v>60</v>
      </c>
      <c r="M590" s="30" t="str">
        <f aca="false">IF(K590&lt;判定条件!$C$6,"判定不能",IF(L590&gt;=判定条件!$C$7*K590,"運転",IF(L590&lt;=判定条件!$C$8*K590,"停止","断続")))</f>
        <v>運転</v>
      </c>
      <c r="N590" s="30" t="n">
        <v>60</v>
      </c>
      <c r="O590" s="30" t="n">
        <v>60</v>
      </c>
      <c r="P590" s="30" t="str">
        <f aca="false">IF(N590&lt;判定条件!$C$6,"判定不能",IF(O590&gt;=判定条件!$C$7*N590,"運転",IF(O590&lt;=判定条件!$C$8*N590,"停止","断続")))</f>
        <v>運転</v>
      </c>
      <c r="Q590" s="30" t="n">
        <v>0</v>
      </c>
      <c r="R590" s="30" t="n">
        <v>0</v>
      </c>
      <c r="S590" s="30" t="str">
        <f aca="false">IF(Q590&lt;判定条件!$C$6,"判定不能",IF(R590&gt;=判定条件!$C$7*Q590,"運転",IF(R590&lt;=判定条件!$C$8*Q590,"停止","断続")))</f>
        <v>判定不能</v>
      </c>
      <c r="T590" s="30" t="n">
        <v>60</v>
      </c>
      <c r="U590" s="30" t="n">
        <v>0</v>
      </c>
      <c r="V590" s="30" t="str">
        <f aca="false">IF(T590&lt;判定条件!$C$6,"判定不能",IF(U590&gt;=判定条件!$C$7*T590,"運転",IF(U590&lt;=判定条件!$C$8*T590,"停止","断続")))</f>
        <v>停止</v>
      </c>
      <c r="W590" s="30" t="n">
        <v>60</v>
      </c>
      <c r="X590" s="30" t="n">
        <v>53</v>
      </c>
      <c r="Y590" s="30" t="str">
        <f aca="false">IF(W590&lt;判定条件!$C$6,"判定不能",IF(X590&gt;=判定条件!$C$7*W590,"運転",IF(X590&lt;=判定条件!$C$8*W590,"停止","断続")))</f>
        <v>運転</v>
      </c>
      <c r="Z590" s="30" t="n">
        <v>60</v>
      </c>
      <c r="AA590" s="30" t="n">
        <v>35</v>
      </c>
      <c r="AB590" s="30" t="str">
        <f aca="false">IF(Z590&lt;判定条件!$C$6,"判定不能",IF(AA590&gt;=判定条件!$C$7*Z590,"運転",IF(AA590&lt;=判定条件!$C$8*Z590,"停止","断続")))</f>
        <v>断続</v>
      </c>
      <c r="AC590" s="30" t="n">
        <v>60</v>
      </c>
      <c r="AD590" s="30" t="n">
        <v>41</v>
      </c>
      <c r="AE590" s="30" t="str">
        <f aca="false">IF(AC590&lt;判定条件!$C$6,"判定不能",IF(AD590&gt;=判定条件!$C$7*AC590,"運転",IF(AD590&lt;=判定条件!$C$8*AC590,"停止","断続")))</f>
        <v>断続</v>
      </c>
      <c r="AF590" s="30" t="n">
        <v>60</v>
      </c>
      <c r="AG590" s="30" t="n">
        <v>60</v>
      </c>
      <c r="AH590" s="30" t="str">
        <f aca="false">IF(OR(P590="判定不能",G590="判定不能"),"判定不能",IF(AG590&gt;=判定条件!$C$9,"利用可",IF(AND(P590="停止",G590="停止"),"両方停止","運転がそろわない")))</f>
        <v>利用可</v>
      </c>
      <c r="AI590" s="30" t="n">
        <v>0</v>
      </c>
      <c r="AJ590" s="30" t="n">
        <v>0</v>
      </c>
      <c r="AK590" s="30" t="str">
        <f aca="false">IF(OR(S590="判定不能",J590="判定不能"),"判定不能",IF(AJ590&gt;=判定条件!$C$9,"利用可",IF(AND(S590="停止",J590="停止"),"両方停止","運転がそろわない")))</f>
        <v>判定不能</v>
      </c>
      <c r="AL590" s="30" t="n">
        <v>60</v>
      </c>
      <c r="AM590" s="30" t="n">
        <v>0</v>
      </c>
      <c r="AN590" s="30" t="str">
        <f aca="false">IF(OR(V590="判定不能",M590="判定不能"),"判定不能",IF(AM590&gt;=判定条件!$C$9,"利用可",IF(AND(V590="停止",M590="停止"),"両方停止","運転がそろわない")))</f>
        <v>運転がそろわない</v>
      </c>
      <c r="AO590" s="30" t="n">
        <v>60</v>
      </c>
      <c r="AP590" s="30" t="n">
        <v>53</v>
      </c>
      <c r="AQ590" s="30" t="str">
        <f aca="false">IF(OR(Y590="判定不能",G590="判定不能"),"判定不能",IF(AP590&gt;=判定条件!$C$9,"利用可",IF(AND(Y590="停止",G590="停止"),"両方停止","運転がそろわない")))</f>
        <v>利用可</v>
      </c>
      <c r="AR590" s="30" t="n">
        <v>60</v>
      </c>
      <c r="AS590" s="30" t="n">
        <v>35</v>
      </c>
      <c r="AT590" s="30" t="str">
        <f aca="false">IF(OR(AB590="判定不能",J590="判定不能"),"判定不能",IF(AS590&gt;=判定条件!$C$9,"利用可",IF(AND(AB590="停止",J590="停止"),"両方停止","運転がそろわない")))</f>
        <v>利用可</v>
      </c>
      <c r="AU590" s="30" t="n">
        <v>60</v>
      </c>
      <c r="AV590" s="30" t="n">
        <v>41</v>
      </c>
      <c r="AW590" s="30" t="str">
        <f aca="false">IF(OR(AE590="判定不能",M590="判定不能"),"判定不能",IF(AV590&gt;=判定条件!$C$9,"利用可",IF(AND(AE590="停止",M590="停止"),"両方停止","運転がそろわない")))</f>
        <v>利用可</v>
      </c>
      <c r="AX590" s="30" t="str">
        <f aca="false">IF(AND(AH590="利用可",AK590="利用可",AN590="利用可"),"利用可","不可")</f>
        <v>不可</v>
      </c>
      <c r="AY590" s="30" t="str">
        <f aca="false">IF(AND(AQ590="利用可",AT590="利用可",AW590="利用可"),"利用可","不可")</f>
        <v>利用可</v>
      </c>
    </row>
    <row r="591" customFormat="false" ht="15" hidden="false" customHeight="false" outlineLevel="0" collapsed="false">
      <c r="A591" s="29" t="n">
        <v>46256</v>
      </c>
      <c r="B591" s="30" t="n">
        <v>12</v>
      </c>
      <c r="C591" s="31" t="s">
        <v>63</v>
      </c>
      <c r="D591" s="31" t="s">
        <v>64</v>
      </c>
      <c r="E591" s="30" t="n">
        <v>60</v>
      </c>
      <c r="F591" s="30" t="n">
        <v>60</v>
      </c>
      <c r="G591" s="30" t="str">
        <f aca="false">IF(E591&lt;判定条件!$C$6,"判定不能",IF(F591&gt;=判定条件!$C$7*E591,"運転",IF(F591&lt;=判定条件!$C$8*E591,"停止","断続")))</f>
        <v>運転</v>
      </c>
      <c r="H591" s="30" t="n">
        <v>60</v>
      </c>
      <c r="I591" s="30" t="n">
        <v>60</v>
      </c>
      <c r="J591" s="30" t="str">
        <f aca="false">IF(H591&lt;判定条件!$C$6,"判定不能",IF(I591&gt;=判定条件!$C$7*H591,"運転",IF(I591&lt;=判定条件!$C$8*H591,"停止","断続")))</f>
        <v>運転</v>
      </c>
      <c r="K591" s="30" t="n">
        <v>60</v>
      </c>
      <c r="L591" s="30" t="n">
        <v>60</v>
      </c>
      <c r="M591" s="30" t="str">
        <f aca="false">IF(K591&lt;判定条件!$C$6,"判定不能",IF(L591&gt;=判定条件!$C$7*K591,"運転",IF(L591&lt;=判定条件!$C$8*K591,"停止","断続")))</f>
        <v>運転</v>
      </c>
      <c r="N591" s="30" t="n">
        <v>60</v>
      </c>
      <c r="O591" s="30" t="n">
        <v>54</v>
      </c>
      <c r="P591" s="30" t="str">
        <f aca="false">IF(N591&lt;判定条件!$C$6,"判定不能",IF(O591&gt;=判定条件!$C$7*N591,"運転",IF(O591&lt;=判定条件!$C$8*N591,"停止","断続")))</f>
        <v>運転</v>
      </c>
      <c r="Q591" s="30" t="n">
        <v>0</v>
      </c>
      <c r="R591" s="30" t="n">
        <v>0</v>
      </c>
      <c r="S591" s="30" t="str">
        <f aca="false">IF(Q591&lt;判定条件!$C$6,"判定不能",IF(R591&gt;=判定条件!$C$7*Q591,"運転",IF(R591&lt;=判定条件!$C$8*Q591,"停止","断続")))</f>
        <v>判定不能</v>
      </c>
      <c r="T591" s="30" t="n">
        <v>60</v>
      </c>
      <c r="U591" s="30" t="n">
        <v>23</v>
      </c>
      <c r="V591" s="30" t="str">
        <f aca="false">IF(T591&lt;判定条件!$C$6,"判定不能",IF(U591&gt;=判定条件!$C$7*T591,"運転",IF(U591&lt;=判定条件!$C$8*T591,"停止","断続")))</f>
        <v>断続</v>
      </c>
      <c r="W591" s="30" t="n">
        <v>60</v>
      </c>
      <c r="X591" s="30" t="n">
        <v>60</v>
      </c>
      <c r="Y591" s="30" t="str">
        <f aca="false">IF(W591&lt;判定条件!$C$6,"判定不能",IF(X591&gt;=判定条件!$C$7*W591,"運転",IF(X591&lt;=判定条件!$C$8*W591,"停止","断続")))</f>
        <v>運転</v>
      </c>
      <c r="Z591" s="30" t="n">
        <v>60</v>
      </c>
      <c r="AA591" s="30" t="n">
        <v>23</v>
      </c>
      <c r="AB591" s="30" t="str">
        <f aca="false">IF(Z591&lt;判定条件!$C$6,"判定不能",IF(AA591&gt;=判定条件!$C$7*Z591,"運転",IF(AA591&lt;=判定条件!$C$8*Z591,"停止","断続")))</f>
        <v>断続</v>
      </c>
      <c r="AC591" s="30" t="n">
        <v>60</v>
      </c>
      <c r="AD591" s="30" t="n">
        <v>60</v>
      </c>
      <c r="AE591" s="30" t="str">
        <f aca="false">IF(AC591&lt;判定条件!$C$6,"判定不能",IF(AD591&gt;=判定条件!$C$7*AC591,"運転",IF(AD591&lt;=判定条件!$C$8*AC591,"停止","断続")))</f>
        <v>運転</v>
      </c>
      <c r="AF591" s="30" t="n">
        <v>60</v>
      </c>
      <c r="AG591" s="30" t="n">
        <v>54</v>
      </c>
      <c r="AH591" s="30" t="str">
        <f aca="false">IF(OR(P591="判定不能",G591="判定不能"),"判定不能",IF(AG591&gt;=判定条件!$C$9,"利用可",IF(AND(P591="停止",G591="停止"),"両方停止","運転がそろわない")))</f>
        <v>利用可</v>
      </c>
      <c r="AI591" s="30" t="n">
        <v>0</v>
      </c>
      <c r="AJ591" s="30" t="n">
        <v>0</v>
      </c>
      <c r="AK591" s="30" t="str">
        <f aca="false">IF(OR(S591="判定不能",J591="判定不能"),"判定不能",IF(AJ591&gt;=判定条件!$C$9,"利用可",IF(AND(S591="停止",J591="停止"),"両方停止","運転がそろわない")))</f>
        <v>判定不能</v>
      </c>
      <c r="AL591" s="30" t="n">
        <v>60</v>
      </c>
      <c r="AM591" s="30" t="n">
        <v>23</v>
      </c>
      <c r="AN591" s="30" t="str">
        <f aca="false">IF(OR(V591="判定不能",M591="判定不能"),"判定不能",IF(AM591&gt;=判定条件!$C$9,"利用可",IF(AND(V591="停止",M591="停止"),"両方停止","運転がそろわない")))</f>
        <v>運転がそろわない</v>
      </c>
      <c r="AO591" s="30" t="n">
        <v>60</v>
      </c>
      <c r="AP591" s="30" t="n">
        <v>60</v>
      </c>
      <c r="AQ591" s="30" t="str">
        <f aca="false">IF(OR(Y591="判定不能",G591="判定不能"),"判定不能",IF(AP591&gt;=判定条件!$C$9,"利用可",IF(AND(Y591="停止",G591="停止"),"両方停止","運転がそろわない")))</f>
        <v>利用可</v>
      </c>
      <c r="AR591" s="30" t="n">
        <v>60</v>
      </c>
      <c r="AS591" s="30" t="n">
        <v>23</v>
      </c>
      <c r="AT591" s="30" t="str">
        <f aca="false">IF(OR(AB591="判定不能",J591="判定不能"),"判定不能",IF(AS591&gt;=判定条件!$C$9,"利用可",IF(AND(AB591="停止",J591="停止"),"両方停止","運転がそろわない")))</f>
        <v>運転がそろわない</v>
      </c>
      <c r="AU591" s="30" t="n">
        <v>60</v>
      </c>
      <c r="AV591" s="30" t="n">
        <v>60</v>
      </c>
      <c r="AW591" s="30" t="str">
        <f aca="false">IF(OR(AE591="判定不能",M591="判定不能"),"判定不能",IF(AV591&gt;=判定条件!$C$9,"利用可",IF(AND(AE591="停止",M591="停止"),"両方停止","運転がそろわない")))</f>
        <v>利用可</v>
      </c>
      <c r="AX591" s="30" t="str">
        <f aca="false">IF(AND(AH591="利用可",AK591="利用可",AN591="利用可"),"利用可","不可")</f>
        <v>不可</v>
      </c>
      <c r="AY591" s="30" t="str">
        <f aca="false">IF(AND(AQ591="利用可",AT591="利用可",AW591="利用可"),"利用可","不可")</f>
        <v>不可</v>
      </c>
    </row>
    <row r="592" customFormat="false" ht="15" hidden="false" customHeight="false" outlineLevel="0" collapsed="false">
      <c r="A592" s="29" t="n">
        <v>46256</v>
      </c>
      <c r="B592" s="30" t="n">
        <v>13</v>
      </c>
      <c r="C592" s="31" t="s">
        <v>63</v>
      </c>
      <c r="D592" s="31" t="s">
        <v>64</v>
      </c>
      <c r="E592" s="30" t="n">
        <v>60</v>
      </c>
      <c r="F592" s="30" t="n">
        <v>60</v>
      </c>
      <c r="G592" s="30" t="str">
        <f aca="false">IF(E592&lt;判定条件!$C$6,"判定不能",IF(F592&gt;=判定条件!$C$7*E592,"運転",IF(F592&lt;=判定条件!$C$8*E592,"停止","断続")))</f>
        <v>運転</v>
      </c>
      <c r="H592" s="30" t="n">
        <v>60</v>
      </c>
      <c r="I592" s="30" t="n">
        <v>60</v>
      </c>
      <c r="J592" s="30" t="str">
        <f aca="false">IF(H592&lt;判定条件!$C$6,"判定不能",IF(I592&gt;=判定条件!$C$7*H592,"運転",IF(I592&lt;=判定条件!$C$8*H592,"停止","断続")))</f>
        <v>運転</v>
      </c>
      <c r="K592" s="30" t="n">
        <v>60</v>
      </c>
      <c r="L592" s="30" t="n">
        <v>60</v>
      </c>
      <c r="M592" s="30" t="str">
        <f aca="false">IF(K592&lt;判定条件!$C$6,"判定不能",IF(L592&gt;=判定条件!$C$7*K592,"運転",IF(L592&lt;=判定条件!$C$8*K592,"停止","断続")))</f>
        <v>運転</v>
      </c>
      <c r="N592" s="30" t="n">
        <v>60</v>
      </c>
      <c r="O592" s="30" t="n">
        <v>45</v>
      </c>
      <c r="P592" s="30" t="str">
        <f aca="false">IF(N592&lt;判定条件!$C$6,"判定不能",IF(O592&gt;=判定条件!$C$7*N592,"運転",IF(O592&lt;=判定条件!$C$8*N592,"停止","断続")))</f>
        <v>断続</v>
      </c>
      <c r="Q592" s="30" t="n">
        <v>0</v>
      </c>
      <c r="R592" s="30" t="n">
        <v>0</v>
      </c>
      <c r="S592" s="30" t="str">
        <f aca="false">IF(Q592&lt;判定条件!$C$6,"判定不能",IF(R592&gt;=判定条件!$C$7*Q592,"運転",IF(R592&lt;=判定条件!$C$8*Q592,"停止","断続")))</f>
        <v>判定不能</v>
      </c>
      <c r="T592" s="30" t="n">
        <v>60</v>
      </c>
      <c r="U592" s="30" t="n">
        <v>60</v>
      </c>
      <c r="V592" s="30" t="str">
        <f aca="false">IF(T592&lt;判定条件!$C$6,"判定不能",IF(U592&gt;=判定条件!$C$7*T592,"運転",IF(U592&lt;=判定条件!$C$8*T592,"停止","断続")))</f>
        <v>運転</v>
      </c>
      <c r="W592" s="30" t="n">
        <v>60</v>
      </c>
      <c r="X592" s="30" t="n">
        <v>60</v>
      </c>
      <c r="Y592" s="30" t="str">
        <f aca="false">IF(W592&lt;判定条件!$C$6,"判定不能",IF(X592&gt;=判定条件!$C$7*W592,"運転",IF(X592&lt;=判定条件!$C$8*W592,"停止","断続")))</f>
        <v>運転</v>
      </c>
      <c r="Z592" s="30" t="n">
        <v>60</v>
      </c>
      <c r="AA592" s="30" t="n">
        <v>53</v>
      </c>
      <c r="AB592" s="30" t="str">
        <f aca="false">IF(Z592&lt;判定条件!$C$6,"判定不能",IF(AA592&gt;=判定条件!$C$7*Z592,"運転",IF(AA592&lt;=判定条件!$C$8*Z592,"停止","断続")))</f>
        <v>運転</v>
      </c>
      <c r="AC592" s="30" t="n">
        <v>60</v>
      </c>
      <c r="AD592" s="30" t="n">
        <v>60</v>
      </c>
      <c r="AE592" s="30" t="str">
        <f aca="false">IF(AC592&lt;判定条件!$C$6,"判定不能",IF(AD592&gt;=判定条件!$C$7*AC592,"運転",IF(AD592&lt;=判定条件!$C$8*AC592,"停止","断続")))</f>
        <v>運転</v>
      </c>
      <c r="AF592" s="30" t="n">
        <v>60</v>
      </c>
      <c r="AG592" s="30" t="n">
        <v>45</v>
      </c>
      <c r="AH592" s="30" t="str">
        <f aca="false">IF(OR(P592="判定不能",G592="判定不能"),"判定不能",IF(AG592&gt;=判定条件!$C$9,"利用可",IF(AND(P592="停止",G592="停止"),"両方停止","運転がそろわない")))</f>
        <v>利用可</v>
      </c>
      <c r="AI592" s="30" t="n">
        <v>0</v>
      </c>
      <c r="AJ592" s="30" t="n">
        <v>0</v>
      </c>
      <c r="AK592" s="30" t="str">
        <f aca="false">IF(OR(S592="判定不能",J592="判定不能"),"判定不能",IF(AJ592&gt;=判定条件!$C$9,"利用可",IF(AND(S592="停止",J592="停止"),"両方停止","運転がそろわない")))</f>
        <v>判定不能</v>
      </c>
      <c r="AL592" s="30" t="n">
        <v>60</v>
      </c>
      <c r="AM592" s="30" t="n">
        <v>60</v>
      </c>
      <c r="AN592" s="30" t="str">
        <f aca="false">IF(OR(V592="判定不能",M592="判定不能"),"判定不能",IF(AM592&gt;=判定条件!$C$9,"利用可",IF(AND(V592="停止",M592="停止"),"両方停止","運転がそろわない")))</f>
        <v>利用可</v>
      </c>
      <c r="AO592" s="30" t="n">
        <v>60</v>
      </c>
      <c r="AP592" s="30" t="n">
        <v>60</v>
      </c>
      <c r="AQ592" s="30" t="str">
        <f aca="false">IF(OR(Y592="判定不能",G592="判定不能"),"判定不能",IF(AP592&gt;=判定条件!$C$9,"利用可",IF(AND(Y592="停止",G592="停止"),"両方停止","運転がそろわない")))</f>
        <v>利用可</v>
      </c>
      <c r="AR592" s="30" t="n">
        <v>60</v>
      </c>
      <c r="AS592" s="30" t="n">
        <v>53</v>
      </c>
      <c r="AT592" s="30" t="str">
        <f aca="false">IF(OR(AB592="判定不能",J592="判定不能"),"判定不能",IF(AS592&gt;=判定条件!$C$9,"利用可",IF(AND(AB592="停止",J592="停止"),"両方停止","運転がそろわない")))</f>
        <v>利用可</v>
      </c>
      <c r="AU592" s="30" t="n">
        <v>60</v>
      </c>
      <c r="AV592" s="30" t="n">
        <v>60</v>
      </c>
      <c r="AW592" s="30" t="str">
        <f aca="false">IF(OR(AE592="判定不能",M592="判定不能"),"判定不能",IF(AV592&gt;=判定条件!$C$9,"利用可",IF(AND(AE592="停止",M592="停止"),"両方停止","運転がそろわない")))</f>
        <v>利用可</v>
      </c>
      <c r="AX592" s="30" t="str">
        <f aca="false">IF(AND(AH592="利用可",AK592="利用可",AN592="利用可"),"利用可","不可")</f>
        <v>不可</v>
      </c>
      <c r="AY592" s="30" t="str">
        <f aca="false">IF(AND(AQ592="利用可",AT592="利用可",AW592="利用可"),"利用可","不可")</f>
        <v>利用可</v>
      </c>
    </row>
    <row r="593" customFormat="false" ht="15" hidden="false" customHeight="false" outlineLevel="0" collapsed="false">
      <c r="A593" s="29" t="n">
        <v>46256</v>
      </c>
      <c r="B593" s="30" t="n">
        <v>14</v>
      </c>
      <c r="C593" s="31" t="s">
        <v>63</v>
      </c>
      <c r="D593" s="31" t="s">
        <v>64</v>
      </c>
      <c r="E593" s="30" t="n">
        <v>60</v>
      </c>
      <c r="F593" s="30" t="n">
        <v>60</v>
      </c>
      <c r="G593" s="30" t="str">
        <f aca="false">IF(E593&lt;判定条件!$C$6,"判定不能",IF(F593&gt;=判定条件!$C$7*E593,"運転",IF(F593&lt;=判定条件!$C$8*E593,"停止","断続")))</f>
        <v>運転</v>
      </c>
      <c r="H593" s="30" t="n">
        <v>60</v>
      </c>
      <c r="I593" s="30" t="n">
        <v>60</v>
      </c>
      <c r="J593" s="30" t="str">
        <f aca="false">IF(H593&lt;判定条件!$C$6,"判定不能",IF(I593&gt;=判定条件!$C$7*H593,"運転",IF(I593&lt;=判定条件!$C$8*H593,"停止","断続")))</f>
        <v>運転</v>
      </c>
      <c r="K593" s="30" t="n">
        <v>60</v>
      </c>
      <c r="L593" s="30" t="n">
        <v>60</v>
      </c>
      <c r="M593" s="30" t="str">
        <f aca="false">IF(K593&lt;判定条件!$C$6,"判定不能",IF(L593&gt;=判定条件!$C$7*K593,"運転",IF(L593&lt;=判定条件!$C$8*K593,"停止","断続")))</f>
        <v>運転</v>
      </c>
      <c r="N593" s="30" t="n">
        <v>60</v>
      </c>
      <c r="O593" s="30" t="n">
        <v>58</v>
      </c>
      <c r="P593" s="30" t="str">
        <f aca="false">IF(N593&lt;判定条件!$C$6,"判定不能",IF(O593&gt;=判定条件!$C$7*N593,"運転",IF(O593&lt;=判定条件!$C$8*N593,"停止","断続")))</f>
        <v>運転</v>
      </c>
      <c r="Q593" s="30" t="n">
        <v>0</v>
      </c>
      <c r="R593" s="30" t="n">
        <v>0</v>
      </c>
      <c r="S593" s="30" t="str">
        <f aca="false">IF(Q593&lt;判定条件!$C$6,"判定不能",IF(R593&gt;=判定条件!$C$7*Q593,"運転",IF(R593&lt;=判定条件!$C$8*Q593,"停止","断続")))</f>
        <v>判定不能</v>
      </c>
      <c r="T593" s="30" t="n">
        <v>60</v>
      </c>
      <c r="U593" s="30" t="n">
        <v>60</v>
      </c>
      <c r="V593" s="30" t="str">
        <f aca="false">IF(T593&lt;判定条件!$C$6,"判定不能",IF(U593&gt;=判定条件!$C$7*T593,"運転",IF(U593&lt;=判定条件!$C$8*T593,"停止","断続")))</f>
        <v>運転</v>
      </c>
      <c r="W593" s="30" t="n">
        <v>60</v>
      </c>
      <c r="X593" s="30" t="n">
        <v>52</v>
      </c>
      <c r="Y593" s="30" t="str">
        <f aca="false">IF(W593&lt;判定条件!$C$6,"判定不能",IF(X593&gt;=判定条件!$C$7*W593,"運転",IF(X593&lt;=判定条件!$C$8*W593,"停止","断続")))</f>
        <v>運転</v>
      </c>
      <c r="Z593" s="30" t="n">
        <v>60</v>
      </c>
      <c r="AA593" s="30" t="n">
        <v>60</v>
      </c>
      <c r="AB593" s="30" t="str">
        <f aca="false">IF(Z593&lt;判定条件!$C$6,"判定不能",IF(AA593&gt;=判定条件!$C$7*Z593,"運転",IF(AA593&lt;=判定条件!$C$8*Z593,"停止","断続")))</f>
        <v>運転</v>
      </c>
      <c r="AC593" s="30" t="n">
        <v>60</v>
      </c>
      <c r="AD593" s="30" t="n">
        <v>60</v>
      </c>
      <c r="AE593" s="30" t="str">
        <f aca="false">IF(AC593&lt;判定条件!$C$6,"判定不能",IF(AD593&gt;=判定条件!$C$7*AC593,"運転",IF(AD593&lt;=判定条件!$C$8*AC593,"停止","断続")))</f>
        <v>運転</v>
      </c>
      <c r="AF593" s="30" t="n">
        <v>60</v>
      </c>
      <c r="AG593" s="30" t="n">
        <v>58</v>
      </c>
      <c r="AH593" s="30" t="str">
        <f aca="false">IF(OR(P593="判定不能",G593="判定不能"),"判定不能",IF(AG593&gt;=判定条件!$C$9,"利用可",IF(AND(P593="停止",G593="停止"),"両方停止","運転がそろわない")))</f>
        <v>利用可</v>
      </c>
      <c r="AI593" s="30" t="n">
        <v>0</v>
      </c>
      <c r="AJ593" s="30" t="n">
        <v>0</v>
      </c>
      <c r="AK593" s="30" t="str">
        <f aca="false">IF(OR(S593="判定不能",J593="判定不能"),"判定不能",IF(AJ593&gt;=判定条件!$C$9,"利用可",IF(AND(S593="停止",J593="停止"),"両方停止","運転がそろわない")))</f>
        <v>判定不能</v>
      </c>
      <c r="AL593" s="30" t="n">
        <v>60</v>
      </c>
      <c r="AM593" s="30" t="n">
        <v>60</v>
      </c>
      <c r="AN593" s="30" t="str">
        <f aca="false">IF(OR(V593="判定不能",M593="判定不能"),"判定不能",IF(AM593&gt;=判定条件!$C$9,"利用可",IF(AND(V593="停止",M593="停止"),"両方停止","運転がそろわない")))</f>
        <v>利用可</v>
      </c>
      <c r="AO593" s="30" t="n">
        <v>60</v>
      </c>
      <c r="AP593" s="30" t="n">
        <v>52</v>
      </c>
      <c r="AQ593" s="30" t="str">
        <f aca="false">IF(OR(Y593="判定不能",G593="判定不能"),"判定不能",IF(AP593&gt;=判定条件!$C$9,"利用可",IF(AND(Y593="停止",G593="停止"),"両方停止","運転がそろわない")))</f>
        <v>利用可</v>
      </c>
      <c r="AR593" s="30" t="n">
        <v>60</v>
      </c>
      <c r="AS593" s="30" t="n">
        <v>60</v>
      </c>
      <c r="AT593" s="30" t="str">
        <f aca="false">IF(OR(AB593="判定不能",J593="判定不能"),"判定不能",IF(AS593&gt;=判定条件!$C$9,"利用可",IF(AND(AB593="停止",J593="停止"),"両方停止","運転がそろわない")))</f>
        <v>利用可</v>
      </c>
      <c r="AU593" s="30" t="n">
        <v>60</v>
      </c>
      <c r="AV593" s="30" t="n">
        <v>60</v>
      </c>
      <c r="AW593" s="30" t="str">
        <f aca="false">IF(OR(AE593="判定不能",M593="判定不能"),"判定不能",IF(AV593&gt;=判定条件!$C$9,"利用可",IF(AND(AE593="停止",M593="停止"),"両方停止","運転がそろわない")))</f>
        <v>利用可</v>
      </c>
      <c r="AX593" s="30" t="str">
        <f aca="false">IF(AND(AH593="利用可",AK593="利用可",AN593="利用可"),"利用可","不可")</f>
        <v>不可</v>
      </c>
      <c r="AY593" s="30" t="str">
        <f aca="false">IF(AND(AQ593="利用可",AT593="利用可",AW593="利用可"),"利用可","不可")</f>
        <v>利用可</v>
      </c>
    </row>
    <row r="594" customFormat="false" ht="15" hidden="false" customHeight="false" outlineLevel="0" collapsed="false">
      <c r="A594" s="29" t="n">
        <v>46256</v>
      </c>
      <c r="B594" s="30" t="n">
        <v>15</v>
      </c>
      <c r="C594" s="31" t="s">
        <v>63</v>
      </c>
      <c r="D594" s="31" t="s">
        <v>64</v>
      </c>
      <c r="E594" s="30" t="n">
        <v>60</v>
      </c>
      <c r="F594" s="30" t="n">
        <v>60</v>
      </c>
      <c r="G594" s="30" t="str">
        <f aca="false">IF(E594&lt;判定条件!$C$6,"判定不能",IF(F594&gt;=判定条件!$C$7*E594,"運転",IF(F594&lt;=判定条件!$C$8*E594,"停止","断続")))</f>
        <v>運転</v>
      </c>
      <c r="H594" s="30" t="n">
        <v>60</v>
      </c>
      <c r="I594" s="30" t="n">
        <v>60</v>
      </c>
      <c r="J594" s="30" t="str">
        <f aca="false">IF(H594&lt;判定条件!$C$6,"判定不能",IF(I594&gt;=判定条件!$C$7*H594,"運転",IF(I594&lt;=判定条件!$C$8*H594,"停止","断続")))</f>
        <v>運転</v>
      </c>
      <c r="K594" s="30" t="n">
        <v>60</v>
      </c>
      <c r="L594" s="30" t="n">
        <v>60</v>
      </c>
      <c r="M594" s="30" t="str">
        <f aca="false">IF(K594&lt;判定条件!$C$6,"判定不能",IF(L594&gt;=判定条件!$C$7*K594,"運転",IF(L594&lt;=判定条件!$C$8*K594,"停止","断続")))</f>
        <v>運転</v>
      </c>
      <c r="N594" s="30" t="n">
        <v>60</v>
      </c>
      <c r="O594" s="30" t="n">
        <v>38</v>
      </c>
      <c r="P594" s="30" t="str">
        <f aca="false">IF(N594&lt;判定条件!$C$6,"判定不能",IF(O594&gt;=判定条件!$C$7*N594,"運転",IF(O594&lt;=判定条件!$C$8*N594,"停止","断続")))</f>
        <v>断続</v>
      </c>
      <c r="Q594" s="30" t="n">
        <v>0</v>
      </c>
      <c r="R594" s="30" t="n">
        <v>0</v>
      </c>
      <c r="S594" s="30" t="str">
        <f aca="false">IF(Q594&lt;判定条件!$C$6,"判定不能",IF(R594&gt;=判定条件!$C$7*Q594,"運転",IF(R594&lt;=判定条件!$C$8*Q594,"停止","断続")))</f>
        <v>判定不能</v>
      </c>
      <c r="T594" s="30" t="n">
        <v>60</v>
      </c>
      <c r="U594" s="30" t="n">
        <v>26</v>
      </c>
      <c r="V594" s="30" t="str">
        <f aca="false">IF(T594&lt;判定条件!$C$6,"判定不能",IF(U594&gt;=判定条件!$C$7*T594,"運転",IF(U594&lt;=判定条件!$C$8*T594,"停止","断続")))</f>
        <v>断続</v>
      </c>
      <c r="W594" s="30" t="n">
        <v>60</v>
      </c>
      <c r="X594" s="30" t="n">
        <v>53</v>
      </c>
      <c r="Y594" s="30" t="str">
        <f aca="false">IF(W594&lt;判定条件!$C$6,"判定不能",IF(X594&gt;=判定条件!$C$7*W594,"運転",IF(X594&lt;=判定条件!$C$8*W594,"停止","断続")))</f>
        <v>運転</v>
      </c>
      <c r="Z594" s="30" t="n">
        <v>60</v>
      </c>
      <c r="AA594" s="30" t="n">
        <v>40</v>
      </c>
      <c r="AB594" s="30" t="str">
        <f aca="false">IF(Z594&lt;判定条件!$C$6,"判定不能",IF(AA594&gt;=判定条件!$C$7*Z594,"運転",IF(AA594&lt;=判定条件!$C$8*Z594,"停止","断続")))</f>
        <v>断続</v>
      </c>
      <c r="AC594" s="30" t="n">
        <v>60</v>
      </c>
      <c r="AD594" s="30" t="n">
        <v>53</v>
      </c>
      <c r="AE594" s="30" t="str">
        <f aca="false">IF(AC594&lt;判定条件!$C$6,"判定不能",IF(AD594&gt;=判定条件!$C$7*AC594,"運転",IF(AD594&lt;=判定条件!$C$8*AC594,"停止","断続")))</f>
        <v>運転</v>
      </c>
      <c r="AF594" s="30" t="n">
        <v>60</v>
      </c>
      <c r="AG594" s="30" t="n">
        <v>38</v>
      </c>
      <c r="AH594" s="30" t="str">
        <f aca="false">IF(OR(P594="判定不能",G594="判定不能"),"判定不能",IF(AG594&gt;=判定条件!$C$9,"利用可",IF(AND(P594="停止",G594="停止"),"両方停止","運転がそろわない")))</f>
        <v>利用可</v>
      </c>
      <c r="AI594" s="30" t="n">
        <v>0</v>
      </c>
      <c r="AJ594" s="30" t="n">
        <v>0</v>
      </c>
      <c r="AK594" s="30" t="str">
        <f aca="false">IF(OR(S594="判定不能",J594="判定不能"),"判定不能",IF(AJ594&gt;=判定条件!$C$9,"利用可",IF(AND(S594="停止",J594="停止"),"両方停止","運転がそろわない")))</f>
        <v>判定不能</v>
      </c>
      <c r="AL594" s="30" t="n">
        <v>60</v>
      </c>
      <c r="AM594" s="30" t="n">
        <v>26</v>
      </c>
      <c r="AN594" s="30" t="str">
        <f aca="false">IF(OR(V594="判定不能",M594="判定不能"),"判定不能",IF(AM594&gt;=判定条件!$C$9,"利用可",IF(AND(V594="停止",M594="停止"),"両方停止","運転がそろわない")))</f>
        <v>運転がそろわない</v>
      </c>
      <c r="AO594" s="30" t="n">
        <v>60</v>
      </c>
      <c r="AP594" s="30" t="n">
        <v>53</v>
      </c>
      <c r="AQ594" s="30" t="str">
        <f aca="false">IF(OR(Y594="判定不能",G594="判定不能"),"判定不能",IF(AP594&gt;=判定条件!$C$9,"利用可",IF(AND(Y594="停止",G594="停止"),"両方停止","運転がそろわない")))</f>
        <v>利用可</v>
      </c>
      <c r="AR594" s="30" t="n">
        <v>60</v>
      </c>
      <c r="AS594" s="30" t="n">
        <v>40</v>
      </c>
      <c r="AT594" s="30" t="str">
        <f aca="false">IF(OR(AB594="判定不能",J594="判定不能"),"判定不能",IF(AS594&gt;=判定条件!$C$9,"利用可",IF(AND(AB594="停止",J594="停止"),"両方停止","運転がそろわない")))</f>
        <v>利用可</v>
      </c>
      <c r="AU594" s="30" t="n">
        <v>60</v>
      </c>
      <c r="AV594" s="30" t="n">
        <v>53</v>
      </c>
      <c r="AW594" s="30" t="str">
        <f aca="false">IF(OR(AE594="判定不能",M594="判定不能"),"判定不能",IF(AV594&gt;=判定条件!$C$9,"利用可",IF(AND(AE594="停止",M594="停止"),"両方停止","運転がそろわない")))</f>
        <v>利用可</v>
      </c>
      <c r="AX594" s="30" t="str">
        <f aca="false">IF(AND(AH594="利用可",AK594="利用可",AN594="利用可"),"利用可","不可")</f>
        <v>不可</v>
      </c>
      <c r="AY594" s="30" t="str">
        <f aca="false">IF(AND(AQ594="利用可",AT594="利用可",AW594="利用可"),"利用可","不可")</f>
        <v>利用可</v>
      </c>
    </row>
    <row r="595" customFormat="false" ht="15" hidden="false" customHeight="false" outlineLevel="0" collapsed="false">
      <c r="A595" s="29" t="n">
        <v>46256</v>
      </c>
      <c r="B595" s="30" t="n">
        <v>16</v>
      </c>
      <c r="C595" s="31" t="s">
        <v>63</v>
      </c>
      <c r="D595" s="31" t="s">
        <v>64</v>
      </c>
      <c r="E595" s="30" t="n">
        <v>60</v>
      </c>
      <c r="F595" s="30" t="n">
        <v>54</v>
      </c>
      <c r="G595" s="30" t="str">
        <f aca="false">IF(E595&lt;判定条件!$C$6,"判定不能",IF(F595&gt;=判定条件!$C$7*E595,"運転",IF(F595&lt;=判定条件!$C$8*E595,"停止","断続")))</f>
        <v>運転</v>
      </c>
      <c r="H595" s="30" t="n">
        <v>60</v>
      </c>
      <c r="I595" s="30" t="n">
        <v>55</v>
      </c>
      <c r="J595" s="30" t="str">
        <f aca="false">IF(H595&lt;判定条件!$C$6,"判定不能",IF(I595&gt;=判定条件!$C$7*H595,"運転",IF(I595&lt;=判定条件!$C$8*H595,"停止","断続")))</f>
        <v>運転</v>
      </c>
      <c r="K595" s="30" t="n">
        <v>60</v>
      </c>
      <c r="L595" s="30" t="n">
        <v>41</v>
      </c>
      <c r="M595" s="30" t="str">
        <f aca="false">IF(K595&lt;判定条件!$C$6,"判定不能",IF(L595&gt;=判定条件!$C$7*K595,"運転",IF(L595&lt;=判定条件!$C$8*K595,"停止","断続")))</f>
        <v>断続</v>
      </c>
      <c r="N595" s="30" t="n">
        <v>60</v>
      </c>
      <c r="O595" s="30" t="n">
        <v>20</v>
      </c>
      <c r="P595" s="30" t="str">
        <f aca="false">IF(N595&lt;判定条件!$C$6,"判定不能",IF(O595&gt;=判定条件!$C$7*N595,"運転",IF(O595&lt;=判定条件!$C$8*N595,"停止","断続")))</f>
        <v>断続</v>
      </c>
      <c r="Q595" s="30" t="n">
        <v>0</v>
      </c>
      <c r="R595" s="30" t="n">
        <v>0</v>
      </c>
      <c r="S595" s="30" t="str">
        <f aca="false">IF(Q595&lt;判定条件!$C$6,"判定不能",IF(R595&gt;=判定条件!$C$7*Q595,"運転",IF(R595&lt;=判定条件!$C$8*Q595,"停止","断続")))</f>
        <v>判定不能</v>
      </c>
      <c r="T595" s="30" t="n">
        <v>60</v>
      </c>
      <c r="U595" s="30" t="n">
        <v>41</v>
      </c>
      <c r="V595" s="30" t="str">
        <f aca="false">IF(T595&lt;判定条件!$C$6,"判定不能",IF(U595&gt;=判定条件!$C$7*T595,"運転",IF(U595&lt;=判定条件!$C$8*T595,"停止","断続")))</f>
        <v>断続</v>
      </c>
      <c r="W595" s="30" t="n">
        <v>60</v>
      </c>
      <c r="X595" s="30" t="n">
        <v>30</v>
      </c>
      <c r="Y595" s="30" t="str">
        <f aca="false">IF(W595&lt;判定条件!$C$6,"判定不能",IF(X595&gt;=判定条件!$C$7*W595,"運転",IF(X595&lt;=判定条件!$C$8*W595,"停止","断続")))</f>
        <v>断続</v>
      </c>
      <c r="Z595" s="30" t="n">
        <v>60</v>
      </c>
      <c r="AA595" s="30" t="n">
        <v>14</v>
      </c>
      <c r="AB595" s="30" t="str">
        <f aca="false">IF(Z595&lt;判定条件!$C$6,"判定不能",IF(AA595&gt;=判定条件!$C$7*Z595,"運転",IF(AA595&lt;=判定条件!$C$8*Z595,"停止","断続")))</f>
        <v>断続</v>
      </c>
      <c r="AC595" s="30" t="n">
        <v>60</v>
      </c>
      <c r="AD595" s="30" t="n">
        <v>60</v>
      </c>
      <c r="AE595" s="30" t="str">
        <f aca="false">IF(AC595&lt;判定条件!$C$6,"判定不能",IF(AD595&gt;=判定条件!$C$7*AC595,"運転",IF(AD595&lt;=判定条件!$C$8*AC595,"停止","断続")))</f>
        <v>運転</v>
      </c>
      <c r="AF595" s="30" t="n">
        <v>60</v>
      </c>
      <c r="AG595" s="30" t="n">
        <v>20</v>
      </c>
      <c r="AH595" s="30" t="str">
        <f aca="false">IF(OR(P595="判定不能",G595="判定不能"),"判定不能",IF(AG595&gt;=判定条件!$C$9,"利用可",IF(AND(P595="停止",G595="停止"),"両方停止","運転がそろわない")))</f>
        <v>運転がそろわない</v>
      </c>
      <c r="AI595" s="30" t="n">
        <v>0</v>
      </c>
      <c r="AJ595" s="30" t="n">
        <v>0</v>
      </c>
      <c r="AK595" s="30" t="str">
        <f aca="false">IF(OR(S595="判定不能",J595="判定不能"),"判定不能",IF(AJ595&gt;=判定条件!$C$9,"利用可",IF(AND(S595="停止",J595="停止"),"両方停止","運転がそろわない")))</f>
        <v>判定不能</v>
      </c>
      <c r="AL595" s="30" t="n">
        <v>60</v>
      </c>
      <c r="AM595" s="30" t="n">
        <v>30</v>
      </c>
      <c r="AN595" s="30" t="str">
        <f aca="false">IF(OR(V595="判定不能",M595="判定不能"),"判定不能",IF(AM595&gt;=判定条件!$C$9,"利用可",IF(AND(V595="停止",M595="停止"),"両方停止","運転がそろわない")))</f>
        <v>利用可</v>
      </c>
      <c r="AO595" s="30" t="n">
        <v>60</v>
      </c>
      <c r="AP595" s="30" t="n">
        <v>30</v>
      </c>
      <c r="AQ595" s="30" t="str">
        <f aca="false">IF(OR(Y595="判定不能",G595="判定不能"),"判定不能",IF(AP595&gt;=判定条件!$C$9,"利用可",IF(AND(Y595="停止",G595="停止"),"両方停止","運転がそろわない")))</f>
        <v>利用可</v>
      </c>
      <c r="AR595" s="30" t="n">
        <v>60</v>
      </c>
      <c r="AS595" s="30" t="n">
        <v>14</v>
      </c>
      <c r="AT595" s="30" t="str">
        <f aca="false">IF(OR(AB595="判定不能",J595="判定不能"),"判定不能",IF(AS595&gt;=判定条件!$C$9,"利用可",IF(AND(AB595="停止",J595="停止"),"両方停止","運転がそろわない")))</f>
        <v>運転がそろわない</v>
      </c>
      <c r="AU595" s="30" t="n">
        <v>60</v>
      </c>
      <c r="AV595" s="30" t="n">
        <v>41</v>
      </c>
      <c r="AW595" s="30" t="str">
        <f aca="false">IF(OR(AE595="判定不能",M595="判定不能"),"判定不能",IF(AV595&gt;=判定条件!$C$9,"利用可",IF(AND(AE595="停止",M595="停止"),"両方停止","運転がそろわない")))</f>
        <v>利用可</v>
      </c>
      <c r="AX595" s="30" t="str">
        <f aca="false">IF(AND(AH595="利用可",AK595="利用可",AN595="利用可"),"利用可","不可")</f>
        <v>不可</v>
      </c>
      <c r="AY595" s="30" t="str">
        <f aca="false">IF(AND(AQ595="利用可",AT595="利用可",AW595="利用可"),"利用可","不可")</f>
        <v>不可</v>
      </c>
    </row>
    <row r="596" customFormat="false" ht="15" hidden="false" customHeight="false" outlineLevel="0" collapsed="false">
      <c r="A596" s="29" t="n">
        <v>46256</v>
      </c>
      <c r="B596" s="30" t="n">
        <v>17</v>
      </c>
      <c r="C596" s="31" t="s">
        <v>63</v>
      </c>
      <c r="D596" s="31" t="s">
        <v>64</v>
      </c>
      <c r="E596" s="30" t="n">
        <v>60</v>
      </c>
      <c r="F596" s="30" t="n">
        <v>54</v>
      </c>
      <c r="G596" s="30" t="str">
        <f aca="false">IF(E596&lt;判定条件!$C$6,"判定不能",IF(F596&gt;=判定条件!$C$7*E596,"運転",IF(F596&lt;=判定条件!$C$8*E596,"停止","断続")))</f>
        <v>運転</v>
      </c>
      <c r="H596" s="30" t="n">
        <v>60</v>
      </c>
      <c r="I596" s="30" t="n">
        <v>53</v>
      </c>
      <c r="J596" s="30" t="str">
        <f aca="false">IF(H596&lt;判定条件!$C$6,"判定不能",IF(I596&gt;=判定条件!$C$7*H596,"運転",IF(I596&lt;=判定条件!$C$8*H596,"停止","断続")))</f>
        <v>運転</v>
      </c>
      <c r="K596" s="30" t="n">
        <v>60</v>
      </c>
      <c r="L596" s="30" t="n">
        <v>40</v>
      </c>
      <c r="M596" s="30" t="str">
        <f aca="false">IF(K596&lt;判定条件!$C$6,"判定不能",IF(L596&gt;=判定条件!$C$7*K596,"運転",IF(L596&lt;=判定条件!$C$8*K596,"停止","断続")))</f>
        <v>断続</v>
      </c>
      <c r="N596" s="30" t="n">
        <v>60</v>
      </c>
      <c r="O596" s="30" t="n">
        <v>7</v>
      </c>
      <c r="P596" s="30" t="str">
        <f aca="false">IF(N596&lt;判定条件!$C$6,"判定不能",IF(O596&gt;=判定条件!$C$7*N596,"運転",IF(O596&lt;=判定条件!$C$8*N596,"停止","断続")))</f>
        <v>停止</v>
      </c>
      <c r="Q596" s="30" t="n">
        <v>0</v>
      </c>
      <c r="R596" s="30" t="n">
        <v>0</v>
      </c>
      <c r="S596" s="30" t="str">
        <f aca="false">IF(Q596&lt;判定条件!$C$6,"判定不能",IF(R596&gt;=判定条件!$C$7*Q596,"運転",IF(R596&lt;=判定条件!$C$8*Q596,"停止","断続")))</f>
        <v>判定不能</v>
      </c>
      <c r="T596" s="30" t="n">
        <v>60</v>
      </c>
      <c r="U596" s="30" t="n">
        <v>43</v>
      </c>
      <c r="V596" s="30" t="str">
        <f aca="false">IF(T596&lt;判定条件!$C$6,"判定不能",IF(U596&gt;=判定条件!$C$7*T596,"運転",IF(U596&lt;=判定条件!$C$8*T596,"停止","断続")))</f>
        <v>断続</v>
      </c>
      <c r="W596" s="30" t="n">
        <v>60</v>
      </c>
      <c r="X596" s="30" t="n">
        <v>21</v>
      </c>
      <c r="Y596" s="30" t="str">
        <f aca="false">IF(W596&lt;判定条件!$C$6,"判定不能",IF(X596&gt;=判定条件!$C$7*W596,"運転",IF(X596&lt;=判定条件!$C$8*W596,"停止","断続")))</f>
        <v>断続</v>
      </c>
      <c r="Z596" s="30" t="n">
        <v>60</v>
      </c>
      <c r="AA596" s="30" t="n">
        <v>0</v>
      </c>
      <c r="AB596" s="30" t="str">
        <f aca="false">IF(Z596&lt;判定条件!$C$6,"判定不能",IF(AA596&gt;=判定条件!$C$7*Z596,"運転",IF(AA596&lt;=判定条件!$C$8*Z596,"停止","断続")))</f>
        <v>停止</v>
      </c>
      <c r="AC596" s="30" t="n">
        <v>60</v>
      </c>
      <c r="AD596" s="30" t="n">
        <v>60</v>
      </c>
      <c r="AE596" s="30" t="str">
        <f aca="false">IF(AC596&lt;判定条件!$C$6,"判定不能",IF(AD596&gt;=判定条件!$C$7*AC596,"運転",IF(AD596&lt;=判定条件!$C$8*AC596,"停止","断続")))</f>
        <v>運転</v>
      </c>
      <c r="AF596" s="30" t="n">
        <v>60</v>
      </c>
      <c r="AG596" s="30" t="n">
        <v>7</v>
      </c>
      <c r="AH596" s="30" t="str">
        <f aca="false">IF(OR(P596="判定不能",G596="判定不能"),"判定不能",IF(AG596&gt;=判定条件!$C$9,"利用可",IF(AND(P596="停止",G596="停止"),"両方停止","運転がそろわない")))</f>
        <v>運転がそろわない</v>
      </c>
      <c r="AI596" s="30" t="n">
        <v>0</v>
      </c>
      <c r="AJ596" s="30" t="n">
        <v>0</v>
      </c>
      <c r="AK596" s="30" t="str">
        <f aca="false">IF(OR(S596="判定不能",J596="判定不能"),"判定不能",IF(AJ596&gt;=判定条件!$C$9,"利用可",IF(AND(S596="停止",J596="停止"),"両方停止","運転がそろわない")))</f>
        <v>判定不能</v>
      </c>
      <c r="AL596" s="30" t="n">
        <v>60</v>
      </c>
      <c r="AM596" s="30" t="n">
        <v>37</v>
      </c>
      <c r="AN596" s="30" t="str">
        <f aca="false">IF(OR(V596="判定不能",M596="判定不能"),"判定不能",IF(AM596&gt;=判定条件!$C$9,"利用可",IF(AND(V596="停止",M596="停止"),"両方停止","運転がそろわない")))</f>
        <v>利用可</v>
      </c>
      <c r="AO596" s="30" t="n">
        <v>60</v>
      </c>
      <c r="AP596" s="30" t="n">
        <v>21</v>
      </c>
      <c r="AQ596" s="30" t="str">
        <f aca="false">IF(OR(Y596="判定不能",G596="判定不能"),"判定不能",IF(AP596&gt;=判定条件!$C$9,"利用可",IF(AND(Y596="停止",G596="停止"),"両方停止","運転がそろわない")))</f>
        <v>運転がそろわない</v>
      </c>
      <c r="AR596" s="30" t="n">
        <v>60</v>
      </c>
      <c r="AS596" s="30" t="n">
        <v>0</v>
      </c>
      <c r="AT596" s="30" t="str">
        <f aca="false">IF(OR(AB596="判定不能",J596="判定不能"),"判定不能",IF(AS596&gt;=判定条件!$C$9,"利用可",IF(AND(AB596="停止",J596="停止"),"両方停止","運転がそろわない")))</f>
        <v>運転がそろわない</v>
      </c>
      <c r="AU596" s="30" t="n">
        <v>60</v>
      </c>
      <c r="AV596" s="30" t="n">
        <v>40</v>
      </c>
      <c r="AW596" s="30" t="str">
        <f aca="false">IF(OR(AE596="判定不能",M596="判定不能"),"判定不能",IF(AV596&gt;=判定条件!$C$9,"利用可",IF(AND(AE596="停止",M596="停止"),"両方停止","運転がそろわない")))</f>
        <v>利用可</v>
      </c>
      <c r="AX596" s="30" t="str">
        <f aca="false">IF(AND(AH596="利用可",AK596="利用可",AN596="利用可"),"利用可","不可")</f>
        <v>不可</v>
      </c>
      <c r="AY596" s="30" t="str">
        <f aca="false">IF(AND(AQ596="利用可",AT596="利用可",AW596="利用可"),"利用可","不可")</f>
        <v>不可</v>
      </c>
    </row>
    <row r="597" customFormat="false" ht="15" hidden="false" customHeight="false" outlineLevel="0" collapsed="false">
      <c r="A597" s="29" t="n">
        <v>46256</v>
      </c>
      <c r="B597" s="30" t="n">
        <v>18</v>
      </c>
      <c r="C597" s="31" t="s">
        <v>63</v>
      </c>
      <c r="D597" s="31" t="s">
        <v>64</v>
      </c>
      <c r="E597" s="30" t="n">
        <v>60</v>
      </c>
      <c r="F597" s="30" t="n">
        <v>47</v>
      </c>
      <c r="G597" s="30" t="str">
        <f aca="false">IF(E597&lt;判定条件!$C$6,"判定不能",IF(F597&gt;=判定条件!$C$7*E597,"運転",IF(F597&lt;=判定条件!$C$8*E597,"停止","断続")))</f>
        <v>断続</v>
      </c>
      <c r="H597" s="30" t="n">
        <v>60</v>
      </c>
      <c r="I597" s="30" t="n">
        <v>44</v>
      </c>
      <c r="J597" s="30" t="str">
        <f aca="false">IF(H597&lt;判定条件!$C$6,"判定不能",IF(I597&gt;=判定条件!$C$7*H597,"運転",IF(I597&lt;=判定条件!$C$8*H597,"停止","断続")))</f>
        <v>断続</v>
      </c>
      <c r="K597" s="30" t="n">
        <v>60</v>
      </c>
      <c r="L597" s="30" t="n">
        <v>54</v>
      </c>
      <c r="M597" s="30" t="str">
        <f aca="false">IF(K597&lt;判定条件!$C$6,"判定不能",IF(L597&gt;=判定条件!$C$7*K597,"運転",IF(L597&lt;=判定条件!$C$8*K597,"停止","断続")))</f>
        <v>運転</v>
      </c>
      <c r="N597" s="30" t="n">
        <v>60</v>
      </c>
      <c r="O597" s="30" t="n">
        <v>0</v>
      </c>
      <c r="P597" s="30" t="str">
        <f aca="false">IF(N597&lt;判定条件!$C$6,"判定不能",IF(O597&gt;=判定条件!$C$7*N597,"運転",IF(O597&lt;=判定条件!$C$8*N597,"停止","断続")))</f>
        <v>停止</v>
      </c>
      <c r="Q597" s="30" t="n">
        <v>0</v>
      </c>
      <c r="R597" s="30" t="n">
        <v>0</v>
      </c>
      <c r="S597" s="30" t="str">
        <f aca="false">IF(Q597&lt;判定条件!$C$6,"判定不能",IF(R597&gt;=判定条件!$C$7*Q597,"運転",IF(R597&lt;=判定条件!$C$8*Q597,"停止","断続")))</f>
        <v>判定不能</v>
      </c>
      <c r="T597" s="30" t="n">
        <v>60</v>
      </c>
      <c r="U597" s="30" t="n">
        <v>5</v>
      </c>
      <c r="V597" s="30" t="str">
        <f aca="false">IF(T597&lt;判定条件!$C$6,"判定不能",IF(U597&gt;=判定条件!$C$7*T597,"運転",IF(U597&lt;=判定条件!$C$8*T597,"停止","断続")))</f>
        <v>停止</v>
      </c>
      <c r="W597" s="30" t="n">
        <v>60</v>
      </c>
      <c r="X597" s="30" t="n">
        <v>2</v>
      </c>
      <c r="Y597" s="30" t="str">
        <f aca="false">IF(W597&lt;判定条件!$C$6,"判定不能",IF(X597&gt;=判定条件!$C$7*W597,"運転",IF(X597&lt;=判定条件!$C$8*W597,"停止","断続")))</f>
        <v>停止</v>
      </c>
      <c r="Z597" s="30" t="n">
        <v>60</v>
      </c>
      <c r="AA597" s="30" t="n">
        <v>0</v>
      </c>
      <c r="AB597" s="30" t="str">
        <f aca="false">IF(Z597&lt;判定条件!$C$6,"判定不能",IF(AA597&gt;=判定条件!$C$7*Z597,"運転",IF(AA597&lt;=判定条件!$C$8*Z597,"停止","断続")))</f>
        <v>停止</v>
      </c>
      <c r="AC597" s="30" t="n">
        <v>60</v>
      </c>
      <c r="AD597" s="30" t="n">
        <v>6</v>
      </c>
      <c r="AE597" s="30" t="str">
        <f aca="false">IF(AC597&lt;判定条件!$C$6,"判定不能",IF(AD597&gt;=判定条件!$C$7*AC597,"運転",IF(AD597&lt;=判定条件!$C$8*AC597,"停止","断続")))</f>
        <v>停止</v>
      </c>
      <c r="AF597" s="30" t="n">
        <v>60</v>
      </c>
      <c r="AG597" s="30" t="n">
        <v>0</v>
      </c>
      <c r="AH597" s="30" t="str">
        <f aca="false">IF(OR(P597="判定不能",G597="判定不能"),"判定不能",IF(AG597&gt;=判定条件!$C$9,"利用可",IF(AND(P597="停止",G597="停止"),"両方停止","運転がそろわない")))</f>
        <v>運転がそろわない</v>
      </c>
      <c r="AI597" s="30" t="n">
        <v>0</v>
      </c>
      <c r="AJ597" s="30" t="n">
        <v>0</v>
      </c>
      <c r="AK597" s="30" t="str">
        <f aca="false">IF(OR(S597="判定不能",J597="判定不能"),"判定不能",IF(AJ597&gt;=判定条件!$C$9,"利用可",IF(AND(S597="停止",J597="停止"),"両方停止","運転がそろわない")))</f>
        <v>判定不能</v>
      </c>
      <c r="AL597" s="30" t="n">
        <v>60</v>
      </c>
      <c r="AM597" s="30" t="n">
        <v>5</v>
      </c>
      <c r="AN597" s="30" t="str">
        <f aca="false">IF(OR(V597="判定不能",M597="判定不能"),"判定不能",IF(AM597&gt;=判定条件!$C$9,"利用可",IF(AND(V597="停止",M597="停止"),"両方停止","運転がそろわない")))</f>
        <v>運転がそろわない</v>
      </c>
      <c r="AO597" s="30" t="n">
        <v>60</v>
      </c>
      <c r="AP597" s="30" t="n">
        <v>2</v>
      </c>
      <c r="AQ597" s="30" t="str">
        <f aca="false">IF(OR(Y597="判定不能",G597="判定不能"),"判定不能",IF(AP597&gt;=判定条件!$C$9,"利用可",IF(AND(Y597="停止",G597="停止"),"両方停止","運転がそろわない")))</f>
        <v>運転がそろわない</v>
      </c>
      <c r="AR597" s="30" t="n">
        <v>60</v>
      </c>
      <c r="AS597" s="30" t="n">
        <v>0</v>
      </c>
      <c r="AT597" s="30" t="str">
        <f aca="false">IF(OR(AB597="判定不能",J597="判定不能"),"判定不能",IF(AS597&gt;=判定条件!$C$9,"利用可",IF(AND(AB597="停止",J597="停止"),"両方停止","運転がそろわない")))</f>
        <v>運転がそろわない</v>
      </c>
      <c r="AU597" s="30" t="n">
        <v>60</v>
      </c>
      <c r="AV597" s="30" t="n">
        <v>6</v>
      </c>
      <c r="AW597" s="30" t="str">
        <f aca="false">IF(OR(AE597="判定不能",M597="判定不能"),"判定不能",IF(AV597&gt;=判定条件!$C$9,"利用可",IF(AND(AE597="停止",M597="停止"),"両方停止","運転がそろわない")))</f>
        <v>運転がそろわない</v>
      </c>
      <c r="AX597" s="30" t="str">
        <f aca="false">IF(AND(AH597="利用可",AK597="利用可",AN597="利用可"),"利用可","不可")</f>
        <v>不可</v>
      </c>
      <c r="AY597" s="30" t="str">
        <f aca="false">IF(AND(AQ597="利用可",AT597="利用可",AW597="利用可"),"利用可","不可")</f>
        <v>不可</v>
      </c>
    </row>
    <row r="598" customFormat="false" ht="15" hidden="false" customHeight="false" outlineLevel="0" collapsed="false">
      <c r="A598" s="29" t="n">
        <v>46256</v>
      </c>
      <c r="B598" s="30" t="n">
        <v>19</v>
      </c>
      <c r="C598" s="31" t="s">
        <v>63</v>
      </c>
      <c r="D598" s="31" t="s">
        <v>64</v>
      </c>
      <c r="E598" s="30" t="n">
        <v>60</v>
      </c>
      <c r="F598" s="30" t="n">
        <v>60</v>
      </c>
      <c r="G598" s="30" t="str">
        <f aca="false">IF(E598&lt;判定条件!$C$6,"判定不能",IF(F598&gt;=判定条件!$C$7*E598,"運転",IF(F598&lt;=判定条件!$C$8*E598,"停止","断続")))</f>
        <v>運転</v>
      </c>
      <c r="H598" s="30" t="n">
        <v>60</v>
      </c>
      <c r="I598" s="30" t="n">
        <v>60</v>
      </c>
      <c r="J598" s="30" t="str">
        <f aca="false">IF(H598&lt;判定条件!$C$6,"判定不能",IF(I598&gt;=判定条件!$C$7*H598,"運転",IF(I598&lt;=判定条件!$C$8*H598,"停止","断続")))</f>
        <v>運転</v>
      </c>
      <c r="K598" s="30" t="n">
        <v>60</v>
      </c>
      <c r="L598" s="30" t="n">
        <v>21</v>
      </c>
      <c r="M598" s="30" t="str">
        <f aca="false">IF(K598&lt;判定条件!$C$6,"判定不能",IF(L598&gt;=判定条件!$C$7*K598,"運転",IF(L598&lt;=判定条件!$C$8*K598,"停止","断続")))</f>
        <v>断続</v>
      </c>
      <c r="N598" s="30" t="n">
        <v>60</v>
      </c>
      <c r="O598" s="30" t="n">
        <v>0</v>
      </c>
      <c r="P598" s="30" t="str">
        <f aca="false">IF(N598&lt;判定条件!$C$6,"判定不能",IF(O598&gt;=判定条件!$C$7*N598,"運転",IF(O598&lt;=判定条件!$C$8*N598,"停止","断続")))</f>
        <v>停止</v>
      </c>
      <c r="Q598" s="30" t="n">
        <v>0</v>
      </c>
      <c r="R598" s="30" t="n">
        <v>0</v>
      </c>
      <c r="S598" s="30" t="str">
        <f aca="false">IF(Q598&lt;判定条件!$C$6,"判定不能",IF(R598&gt;=判定条件!$C$7*Q598,"運転",IF(R598&lt;=判定条件!$C$8*Q598,"停止","断続")))</f>
        <v>判定不能</v>
      </c>
      <c r="T598" s="30" t="n">
        <v>60</v>
      </c>
      <c r="U598" s="30" t="n">
        <v>0</v>
      </c>
      <c r="V598" s="30" t="str">
        <f aca="false">IF(T598&lt;判定条件!$C$6,"判定不能",IF(U598&gt;=判定条件!$C$7*T598,"運転",IF(U598&lt;=判定条件!$C$8*T598,"停止","断続")))</f>
        <v>停止</v>
      </c>
      <c r="W598" s="30" t="n">
        <v>60</v>
      </c>
      <c r="X598" s="30" t="n">
        <v>0</v>
      </c>
      <c r="Y598" s="30" t="str">
        <f aca="false">IF(W598&lt;判定条件!$C$6,"判定不能",IF(X598&gt;=判定条件!$C$7*W598,"運転",IF(X598&lt;=判定条件!$C$8*W598,"停止","断続")))</f>
        <v>停止</v>
      </c>
      <c r="Z598" s="30" t="n">
        <v>60</v>
      </c>
      <c r="AA598" s="30" t="n">
        <v>0</v>
      </c>
      <c r="AB598" s="30" t="str">
        <f aca="false">IF(Z598&lt;判定条件!$C$6,"判定不能",IF(AA598&gt;=判定条件!$C$7*Z598,"運転",IF(AA598&lt;=判定条件!$C$8*Z598,"停止","断続")))</f>
        <v>停止</v>
      </c>
      <c r="AC598" s="30" t="n">
        <v>60</v>
      </c>
      <c r="AD598" s="30" t="n">
        <v>0</v>
      </c>
      <c r="AE598" s="30" t="str">
        <f aca="false">IF(AC598&lt;判定条件!$C$6,"判定不能",IF(AD598&gt;=判定条件!$C$7*AC598,"運転",IF(AD598&lt;=判定条件!$C$8*AC598,"停止","断続")))</f>
        <v>停止</v>
      </c>
      <c r="AF598" s="30" t="n">
        <v>60</v>
      </c>
      <c r="AG598" s="30" t="n">
        <v>0</v>
      </c>
      <c r="AH598" s="30" t="str">
        <f aca="false">IF(OR(P598="判定不能",G598="判定不能"),"判定不能",IF(AG598&gt;=判定条件!$C$9,"利用可",IF(AND(P598="停止",G598="停止"),"両方停止","運転がそろわない")))</f>
        <v>運転がそろわない</v>
      </c>
      <c r="AI598" s="30" t="n">
        <v>0</v>
      </c>
      <c r="AJ598" s="30" t="n">
        <v>0</v>
      </c>
      <c r="AK598" s="30" t="str">
        <f aca="false">IF(OR(S598="判定不能",J598="判定不能"),"判定不能",IF(AJ598&gt;=判定条件!$C$9,"利用可",IF(AND(S598="停止",J598="停止"),"両方停止","運転がそろわない")))</f>
        <v>判定不能</v>
      </c>
      <c r="AL598" s="30" t="n">
        <v>60</v>
      </c>
      <c r="AM598" s="30" t="n">
        <v>0</v>
      </c>
      <c r="AN598" s="30" t="str">
        <f aca="false">IF(OR(V598="判定不能",M598="判定不能"),"判定不能",IF(AM598&gt;=判定条件!$C$9,"利用可",IF(AND(V598="停止",M598="停止"),"両方停止","運転がそろわない")))</f>
        <v>運転がそろわない</v>
      </c>
      <c r="AO598" s="30" t="n">
        <v>60</v>
      </c>
      <c r="AP598" s="30" t="n">
        <v>0</v>
      </c>
      <c r="AQ598" s="30" t="str">
        <f aca="false">IF(OR(Y598="判定不能",G598="判定不能"),"判定不能",IF(AP598&gt;=判定条件!$C$9,"利用可",IF(AND(Y598="停止",G598="停止"),"両方停止","運転がそろわない")))</f>
        <v>運転がそろわない</v>
      </c>
      <c r="AR598" s="30" t="n">
        <v>60</v>
      </c>
      <c r="AS598" s="30" t="n">
        <v>0</v>
      </c>
      <c r="AT598" s="30" t="str">
        <f aca="false">IF(OR(AB598="判定不能",J598="判定不能"),"判定不能",IF(AS598&gt;=判定条件!$C$9,"利用可",IF(AND(AB598="停止",J598="停止"),"両方停止","運転がそろわない")))</f>
        <v>運転がそろわない</v>
      </c>
      <c r="AU598" s="30" t="n">
        <v>60</v>
      </c>
      <c r="AV598" s="30" t="n">
        <v>0</v>
      </c>
      <c r="AW598" s="30" t="str">
        <f aca="false">IF(OR(AE598="判定不能",M598="判定不能"),"判定不能",IF(AV598&gt;=判定条件!$C$9,"利用可",IF(AND(AE598="停止",M598="停止"),"両方停止","運転がそろわない")))</f>
        <v>運転がそろわない</v>
      </c>
      <c r="AX598" s="30" t="str">
        <f aca="false">IF(AND(AH598="利用可",AK598="利用可",AN598="利用可"),"利用可","不可")</f>
        <v>不可</v>
      </c>
      <c r="AY598" s="30" t="str">
        <f aca="false">IF(AND(AQ598="利用可",AT598="利用可",AW598="利用可"),"利用可","不可")</f>
        <v>不可</v>
      </c>
    </row>
    <row r="599" customFormat="false" ht="15" hidden="false" customHeight="false" outlineLevel="0" collapsed="false">
      <c r="A599" s="29" t="n">
        <v>46256</v>
      </c>
      <c r="B599" s="30" t="n">
        <v>20</v>
      </c>
      <c r="C599" s="31" t="s">
        <v>63</v>
      </c>
      <c r="D599" s="31" t="s">
        <v>64</v>
      </c>
      <c r="E599" s="30" t="n">
        <v>60</v>
      </c>
      <c r="F599" s="30" t="n">
        <v>60</v>
      </c>
      <c r="G599" s="30" t="str">
        <f aca="false">IF(E599&lt;判定条件!$C$6,"判定不能",IF(F599&gt;=判定条件!$C$7*E599,"運転",IF(F599&lt;=判定条件!$C$8*E599,"停止","断続")))</f>
        <v>運転</v>
      </c>
      <c r="H599" s="30" t="n">
        <v>60</v>
      </c>
      <c r="I599" s="30" t="n">
        <v>47</v>
      </c>
      <c r="J599" s="30" t="str">
        <f aca="false">IF(H599&lt;判定条件!$C$6,"判定不能",IF(I599&gt;=判定条件!$C$7*H599,"運転",IF(I599&lt;=判定条件!$C$8*H599,"停止","断続")))</f>
        <v>断続</v>
      </c>
      <c r="K599" s="30" t="n">
        <v>60</v>
      </c>
      <c r="L599" s="30" t="n">
        <v>60</v>
      </c>
      <c r="M599" s="30" t="str">
        <f aca="false">IF(K599&lt;判定条件!$C$6,"判定不能",IF(L599&gt;=判定条件!$C$7*K599,"運転",IF(L599&lt;=判定条件!$C$8*K599,"停止","断続")))</f>
        <v>運転</v>
      </c>
      <c r="N599" s="30" t="n">
        <v>60</v>
      </c>
      <c r="O599" s="30" t="n">
        <v>0</v>
      </c>
      <c r="P599" s="30" t="str">
        <f aca="false">IF(N599&lt;判定条件!$C$6,"判定不能",IF(O599&gt;=判定条件!$C$7*N599,"運転",IF(O599&lt;=判定条件!$C$8*N599,"停止","断続")))</f>
        <v>停止</v>
      </c>
      <c r="Q599" s="30" t="n">
        <v>0</v>
      </c>
      <c r="R599" s="30" t="n">
        <v>0</v>
      </c>
      <c r="S599" s="30" t="str">
        <f aca="false">IF(Q599&lt;判定条件!$C$6,"判定不能",IF(R599&gt;=判定条件!$C$7*Q599,"運転",IF(R599&lt;=判定条件!$C$8*Q599,"停止","断続")))</f>
        <v>判定不能</v>
      </c>
      <c r="T599" s="30" t="n">
        <v>60</v>
      </c>
      <c r="U599" s="30" t="n">
        <v>0</v>
      </c>
      <c r="V599" s="30" t="str">
        <f aca="false">IF(T599&lt;判定条件!$C$6,"判定不能",IF(U599&gt;=判定条件!$C$7*T599,"運転",IF(U599&lt;=判定条件!$C$8*T599,"停止","断続")))</f>
        <v>停止</v>
      </c>
      <c r="W599" s="30" t="n">
        <v>60</v>
      </c>
      <c r="X599" s="30" t="n">
        <v>0</v>
      </c>
      <c r="Y599" s="30" t="str">
        <f aca="false">IF(W599&lt;判定条件!$C$6,"判定不能",IF(X599&gt;=判定条件!$C$7*W599,"運転",IF(X599&lt;=判定条件!$C$8*W599,"停止","断続")))</f>
        <v>停止</v>
      </c>
      <c r="Z599" s="30" t="n">
        <v>60</v>
      </c>
      <c r="AA599" s="30" t="n">
        <v>0</v>
      </c>
      <c r="AB599" s="30" t="str">
        <f aca="false">IF(Z599&lt;判定条件!$C$6,"判定不能",IF(AA599&gt;=判定条件!$C$7*Z599,"運転",IF(AA599&lt;=判定条件!$C$8*Z599,"停止","断続")))</f>
        <v>停止</v>
      </c>
      <c r="AC599" s="30" t="n">
        <v>60</v>
      </c>
      <c r="AD599" s="30" t="n">
        <v>0</v>
      </c>
      <c r="AE599" s="30" t="str">
        <f aca="false">IF(AC599&lt;判定条件!$C$6,"判定不能",IF(AD599&gt;=判定条件!$C$7*AC599,"運転",IF(AD599&lt;=判定条件!$C$8*AC599,"停止","断続")))</f>
        <v>停止</v>
      </c>
      <c r="AF599" s="30" t="n">
        <v>60</v>
      </c>
      <c r="AG599" s="30" t="n">
        <v>0</v>
      </c>
      <c r="AH599" s="30" t="str">
        <f aca="false">IF(OR(P599="判定不能",G599="判定不能"),"判定不能",IF(AG599&gt;=判定条件!$C$9,"利用可",IF(AND(P599="停止",G599="停止"),"両方停止","運転がそろわない")))</f>
        <v>運転がそろわない</v>
      </c>
      <c r="AI599" s="30" t="n">
        <v>0</v>
      </c>
      <c r="AJ599" s="30" t="n">
        <v>0</v>
      </c>
      <c r="AK599" s="30" t="str">
        <f aca="false">IF(OR(S599="判定不能",J599="判定不能"),"判定不能",IF(AJ599&gt;=判定条件!$C$9,"利用可",IF(AND(S599="停止",J599="停止"),"両方停止","運転がそろわない")))</f>
        <v>判定不能</v>
      </c>
      <c r="AL599" s="30" t="n">
        <v>60</v>
      </c>
      <c r="AM599" s="30" t="n">
        <v>0</v>
      </c>
      <c r="AN599" s="30" t="str">
        <f aca="false">IF(OR(V599="判定不能",M599="判定不能"),"判定不能",IF(AM599&gt;=判定条件!$C$9,"利用可",IF(AND(V599="停止",M599="停止"),"両方停止","運転がそろわない")))</f>
        <v>運転がそろわない</v>
      </c>
      <c r="AO599" s="30" t="n">
        <v>60</v>
      </c>
      <c r="AP599" s="30" t="n">
        <v>0</v>
      </c>
      <c r="AQ599" s="30" t="str">
        <f aca="false">IF(OR(Y599="判定不能",G599="判定不能"),"判定不能",IF(AP599&gt;=判定条件!$C$9,"利用可",IF(AND(Y599="停止",G599="停止"),"両方停止","運転がそろわない")))</f>
        <v>運転がそろわない</v>
      </c>
      <c r="AR599" s="30" t="n">
        <v>60</v>
      </c>
      <c r="AS599" s="30" t="n">
        <v>0</v>
      </c>
      <c r="AT599" s="30" t="str">
        <f aca="false">IF(OR(AB599="判定不能",J599="判定不能"),"判定不能",IF(AS599&gt;=判定条件!$C$9,"利用可",IF(AND(AB599="停止",J599="停止"),"両方停止","運転がそろわない")))</f>
        <v>運転がそろわない</v>
      </c>
      <c r="AU599" s="30" t="n">
        <v>60</v>
      </c>
      <c r="AV599" s="30" t="n">
        <v>0</v>
      </c>
      <c r="AW599" s="30" t="str">
        <f aca="false">IF(OR(AE599="判定不能",M599="判定不能"),"判定不能",IF(AV599&gt;=判定条件!$C$9,"利用可",IF(AND(AE599="停止",M599="停止"),"両方停止","運転がそろわない")))</f>
        <v>運転がそろわない</v>
      </c>
      <c r="AX599" s="30" t="str">
        <f aca="false">IF(AND(AH599="利用可",AK599="利用可",AN599="利用可"),"利用可","不可")</f>
        <v>不可</v>
      </c>
      <c r="AY599" s="30" t="str">
        <f aca="false">IF(AND(AQ599="利用可",AT599="利用可",AW599="利用可"),"利用可","不可")</f>
        <v>不可</v>
      </c>
    </row>
    <row r="600" customFormat="false" ht="15" hidden="false" customHeight="false" outlineLevel="0" collapsed="false">
      <c r="A600" s="29" t="n">
        <v>46256</v>
      </c>
      <c r="B600" s="30" t="n">
        <v>21</v>
      </c>
      <c r="C600" s="31" t="s">
        <v>63</v>
      </c>
      <c r="D600" s="31" t="s">
        <v>64</v>
      </c>
      <c r="E600" s="30" t="n">
        <v>60</v>
      </c>
      <c r="F600" s="30" t="n">
        <v>6</v>
      </c>
      <c r="G600" s="30" t="str">
        <f aca="false">IF(E600&lt;判定条件!$C$6,"判定不能",IF(F600&gt;=判定条件!$C$7*E600,"運転",IF(F600&lt;=判定条件!$C$8*E600,"停止","断続")))</f>
        <v>停止</v>
      </c>
      <c r="H600" s="30" t="n">
        <v>60</v>
      </c>
      <c r="I600" s="30" t="n">
        <v>0</v>
      </c>
      <c r="J600" s="30" t="str">
        <f aca="false">IF(H600&lt;判定条件!$C$6,"判定不能",IF(I600&gt;=判定条件!$C$7*H600,"運転",IF(I600&lt;=判定条件!$C$8*H600,"停止","断続")))</f>
        <v>停止</v>
      </c>
      <c r="K600" s="30" t="n">
        <v>60</v>
      </c>
      <c r="L600" s="30" t="n">
        <v>21</v>
      </c>
      <c r="M600" s="30" t="str">
        <f aca="false">IF(K600&lt;判定条件!$C$6,"判定不能",IF(L600&gt;=判定条件!$C$7*K600,"運転",IF(L600&lt;=判定条件!$C$8*K600,"停止","断続")))</f>
        <v>断続</v>
      </c>
      <c r="N600" s="30" t="n">
        <v>60</v>
      </c>
      <c r="O600" s="30" t="n">
        <v>0</v>
      </c>
      <c r="P600" s="30" t="str">
        <f aca="false">IF(N600&lt;判定条件!$C$6,"判定不能",IF(O600&gt;=判定条件!$C$7*N600,"運転",IF(O600&lt;=判定条件!$C$8*N600,"停止","断続")))</f>
        <v>停止</v>
      </c>
      <c r="Q600" s="30" t="n">
        <v>0</v>
      </c>
      <c r="R600" s="30" t="n">
        <v>0</v>
      </c>
      <c r="S600" s="30" t="str">
        <f aca="false">IF(Q600&lt;判定条件!$C$6,"判定不能",IF(R600&gt;=判定条件!$C$7*Q600,"運転",IF(R600&lt;=判定条件!$C$8*Q600,"停止","断続")))</f>
        <v>判定不能</v>
      </c>
      <c r="T600" s="30" t="n">
        <v>60</v>
      </c>
      <c r="U600" s="30" t="n">
        <v>0</v>
      </c>
      <c r="V600" s="30" t="str">
        <f aca="false">IF(T600&lt;判定条件!$C$6,"判定不能",IF(U600&gt;=判定条件!$C$7*T600,"運転",IF(U600&lt;=判定条件!$C$8*T600,"停止","断続")))</f>
        <v>停止</v>
      </c>
      <c r="W600" s="30" t="n">
        <v>60</v>
      </c>
      <c r="X600" s="30" t="n">
        <v>0</v>
      </c>
      <c r="Y600" s="30" t="str">
        <f aca="false">IF(W600&lt;判定条件!$C$6,"判定不能",IF(X600&gt;=判定条件!$C$7*W600,"運転",IF(X600&lt;=判定条件!$C$8*W600,"停止","断続")))</f>
        <v>停止</v>
      </c>
      <c r="Z600" s="30" t="n">
        <v>60</v>
      </c>
      <c r="AA600" s="30" t="n">
        <v>0</v>
      </c>
      <c r="AB600" s="30" t="str">
        <f aca="false">IF(Z600&lt;判定条件!$C$6,"判定不能",IF(AA600&gt;=判定条件!$C$7*Z600,"運転",IF(AA600&lt;=判定条件!$C$8*Z600,"停止","断続")))</f>
        <v>停止</v>
      </c>
      <c r="AC600" s="30" t="n">
        <v>60</v>
      </c>
      <c r="AD600" s="30" t="n">
        <v>0</v>
      </c>
      <c r="AE600" s="30" t="str">
        <f aca="false">IF(AC600&lt;判定条件!$C$6,"判定不能",IF(AD600&gt;=判定条件!$C$7*AC600,"運転",IF(AD600&lt;=判定条件!$C$8*AC600,"停止","断続")))</f>
        <v>停止</v>
      </c>
      <c r="AF600" s="30" t="n">
        <v>60</v>
      </c>
      <c r="AG600" s="30" t="n">
        <v>0</v>
      </c>
      <c r="AH600" s="30" t="str">
        <f aca="false">IF(OR(P600="判定不能",G600="判定不能"),"判定不能",IF(AG600&gt;=判定条件!$C$9,"利用可",IF(AND(P600="停止",G600="停止"),"両方停止","運転がそろわない")))</f>
        <v>両方停止</v>
      </c>
      <c r="AI600" s="30" t="n">
        <v>0</v>
      </c>
      <c r="AJ600" s="30" t="n">
        <v>0</v>
      </c>
      <c r="AK600" s="30" t="str">
        <f aca="false">IF(OR(S600="判定不能",J600="判定不能"),"判定不能",IF(AJ600&gt;=判定条件!$C$9,"利用可",IF(AND(S600="停止",J600="停止"),"両方停止","運転がそろわない")))</f>
        <v>判定不能</v>
      </c>
      <c r="AL600" s="30" t="n">
        <v>60</v>
      </c>
      <c r="AM600" s="30" t="n">
        <v>0</v>
      </c>
      <c r="AN600" s="30" t="str">
        <f aca="false">IF(OR(V600="判定不能",M600="判定不能"),"判定不能",IF(AM600&gt;=判定条件!$C$9,"利用可",IF(AND(V600="停止",M600="停止"),"両方停止","運転がそろわない")))</f>
        <v>運転がそろわない</v>
      </c>
      <c r="AO600" s="30" t="n">
        <v>60</v>
      </c>
      <c r="AP600" s="30" t="n">
        <v>0</v>
      </c>
      <c r="AQ600" s="30" t="str">
        <f aca="false">IF(OR(Y600="判定不能",G600="判定不能"),"判定不能",IF(AP600&gt;=判定条件!$C$9,"利用可",IF(AND(Y600="停止",G600="停止"),"両方停止","運転がそろわない")))</f>
        <v>両方停止</v>
      </c>
      <c r="AR600" s="30" t="n">
        <v>60</v>
      </c>
      <c r="AS600" s="30" t="n">
        <v>0</v>
      </c>
      <c r="AT600" s="30" t="str">
        <f aca="false">IF(OR(AB600="判定不能",J600="判定不能"),"判定不能",IF(AS600&gt;=判定条件!$C$9,"利用可",IF(AND(AB600="停止",J600="停止"),"両方停止","運転がそろわない")))</f>
        <v>両方停止</v>
      </c>
      <c r="AU600" s="30" t="n">
        <v>60</v>
      </c>
      <c r="AV600" s="30" t="n">
        <v>0</v>
      </c>
      <c r="AW600" s="30" t="str">
        <f aca="false">IF(OR(AE600="判定不能",M600="判定不能"),"判定不能",IF(AV600&gt;=判定条件!$C$9,"利用可",IF(AND(AE600="停止",M600="停止"),"両方停止","運転がそろわない")))</f>
        <v>運転がそろわない</v>
      </c>
      <c r="AX600" s="30" t="str">
        <f aca="false">IF(AND(AH600="利用可",AK600="利用可",AN600="利用可"),"利用可","不可")</f>
        <v>不可</v>
      </c>
      <c r="AY600" s="30" t="str">
        <f aca="false">IF(AND(AQ600="利用可",AT600="利用可",AW600="利用可"),"利用可","不可")</f>
        <v>不可</v>
      </c>
    </row>
    <row r="601" customFormat="false" ht="15" hidden="false" customHeight="false" outlineLevel="0" collapsed="false">
      <c r="A601" s="29" t="n">
        <v>46256</v>
      </c>
      <c r="B601" s="30" t="n">
        <v>22</v>
      </c>
      <c r="C601" s="31" t="s">
        <v>63</v>
      </c>
      <c r="D601" s="31" t="s">
        <v>64</v>
      </c>
      <c r="E601" s="30" t="n">
        <v>60</v>
      </c>
      <c r="F601" s="30" t="n">
        <v>0</v>
      </c>
      <c r="G601" s="30" t="str">
        <f aca="false">IF(E601&lt;判定条件!$C$6,"判定不能",IF(F601&gt;=判定条件!$C$7*E601,"運転",IF(F601&lt;=判定条件!$C$8*E601,"停止","断続")))</f>
        <v>停止</v>
      </c>
      <c r="H601" s="30" t="n">
        <v>60</v>
      </c>
      <c r="I601" s="30" t="n">
        <v>0</v>
      </c>
      <c r="J601" s="30" t="str">
        <f aca="false">IF(H601&lt;判定条件!$C$6,"判定不能",IF(I601&gt;=判定条件!$C$7*H601,"運転",IF(I601&lt;=判定条件!$C$8*H601,"停止","断続")))</f>
        <v>停止</v>
      </c>
      <c r="K601" s="30" t="n">
        <v>60</v>
      </c>
      <c r="L601" s="30" t="n">
        <v>0</v>
      </c>
      <c r="M601" s="30" t="str">
        <f aca="false">IF(K601&lt;判定条件!$C$6,"判定不能",IF(L601&gt;=判定条件!$C$7*K601,"運転",IF(L601&lt;=判定条件!$C$8*K601,"停止","断続")))</f>
        <v>停止</v>
      </c>
      <c r="N601" s="30" t="n">
        <v>60</v>
      </c>
      <c r="O601" s="30" t="n">
        <v>0</v>
      </c>
      <c r="P601" s="30" t="str">
        <f aca="false">IF(N601&lt;判定条件!$C$6,"判定不能",IF(O601&gt;=判定条件!$C$7*N601,"運転",IF(O601&lt;=判定条件!$C$8*N601,"停止","断続")))</f>
        <v>停止</v>
      </c>
      <c r="Q601" s="30" t="n">
        <v>0</v>
      </c>
      <c r="R601" s="30" t="n">
        <v>0</v>
      </c>
      <c r="S601" s="30" t="str">
        <f aca="false">IF(Q601&lt;判定条件!$C$6,"判定不能",IF(R601&gt;=判定条件!$C$7*Q601,"運転",IF(R601&lt;=判定条件!$C$8*Q601,"停止","断続")))</f>
        <v>判定不能</v>
      </c>
      <c r="T601" s="30" t="n">
        <v>60</v>
      </c>
      <c r="U601" s="30" t="n">
        <v>0</v>
      </c>
      <c r="V601" s="30" t="str">
        <f aca="false">IF(T601&lt;判定条件!$C$6,"判定不能",IF(U601&gt;=判定条件!$C$7*T601,"運転",IF(U601&lt;=判定条件!$C$8*T601,"停止","断続")))</f>
        <v>停止</v>
      </c>
      <c r="W601" s="30" t="n">
        <v>60</v>
      </c>
      <c r="X601" s="30" t="n">
        <v>0</v>
      </c>
      <c r="Y601" s="30" t="str">
        <f aca="false">IF(W601&lt;判定条件!$C$6,"判定不能",IF(X601&gt;=判定条件!$C$7*W601,"運転",IF(X601&lt;=判定条件!$C$8*W601,"停止","断続")))</f>
        <v>停止</v>
      </c>
      <c r="Z601" s="30" t="n">
        <v>60</v>
      </c>
      <c r="AA601" s="30" t="n">
        <v>0</v>
      </c>
      <c r="AB601" s="30" t="str">
        <f aca="false">IF(Z601&lt;判定条件!$C$6,"判定不能",IF(AA601&gt;=判定条件!$C$7*Z601,"運転",IF(AA601&lt;=判定条件!$C$8*Z601,"停止","断続")))</f>
        <v>停止</v>
      </c>
      <c r="AC601" s="30" t="n">
        <v>60</v>
      </c>
      <c r="AD601" s="30" t="n">
        <v>0</v>
      </c>
      <c r="AE601" s="30" t="str">
        <f aca="false">IF(AC601&lt;判定条件!$C$6,"判定不能",IF(AD601&gt;=判定条件!$C$7*AC601,"運転",IF(AD601&lt;=判定条件!$C$8*AC601,"停止","断続")))</f>
        <v>停止</v>
      </c>
      <c r="AF601" s="30" t="n">
        <v>60</v>
      </c>
      <c r="AG601" s="30" t="n">
        <v>0</v>
      </c>
      <c r="AH601" s="30" t="str">
        <f aca="false">IF(OR(P601="判定不能",G601="判定不能"),"判定不能",IF(AG601&gt;=判定条件!$C$9,"利用可",IF(AND(P601="停止",G601="停止"),"両方停止","運転がそろわない")))</f>
        <v>両方停止</v>
      </c>
      <c r="AI601" s="30" t="n">
        <v>0</v>
      </c>
      <c r="AJ601" s="30" t="n">
        <v>0</v>
      </c>
      <c r="AK601" s="30" t="str">
        <f aca="false">IF(OR(S601="判定不能",J601="判定不能"),"判定不能",IF(AJ601&gt;=判定条件!$C$9,"利用可",IF(AND(S601="停止",J601="停止"),"両方停止","運転がそろわない")))</f>
        <v>判定不能</v>
      </c>
      <c r="AL601" s="30" t="n">
        <v>60</v>
      </c>
      <c r="AM601" s="30" t="n">
        <v>0</v>
      </c>
      <c r="AN601" s="30" t="str">
        <f aca="false">IF(OR(V601="判定不能",M601="判定不能"),"判定不能",IF(AM601&gt;=判定条件!$C$9,"利用可",IF(AND(V601="停止",M601="停止"),"両方停止","運転がそろわない")))</f>
        <v>両方停止</v>
      </c>
      <c r="AO601" s="30" t="n">
        <v>60</v>
      </c>
      <c r="AP601" s="30" t="n">
        <v>0</v>
      </c>
      <c r="AQ601" s="30" t="str">
        <f aca="false">IF(OR(Y601="判定不能",G601="判定不能"),"判定不能",IF(AP601&gt;=判定条件!$C$9,"利用可",IF(AND(Y601="停止",G601="停止"),"両方停止","運転がそろわない")))</f>
        <v>両方停止</v>
      </c>
      <c r="AR601" s="30" t="n">
        <v>60</v>
      </c>
      <c r="AS601" s="30" t="n">
        <v>0</v>
      </c>
      <c r="AT601" s="30" t="str">
        <f aca="false">IF(OR(AB601="判定不能",J601="判定不能"),"判定不能",IF(AS601&gt;=判定条件!$C$9,"利用可",IF(AND(AB601="停止",J601="停止"),"両方停止","運転がそろわない")))</f>
        <v>両方停止</v>
      </c>
      <c r="AU601" s="30" t="n">
        <v>60</v>
      </c>
      <c r="AV601" s="30" t="n">
        <v>0</v>
      </c>
      <c r="AW601" s="30" t="str">
        <f aca="false">IF(OR(AE601="判定不能",M601="判定不能"),"判定不能",IF(AV601&gt;=判定条件!$C$9,"利用可",IF(AND(AE601="停止",M601="停止"),"両方停止","運転がそろわない")))</f>
        <v>両方停止</v>
      </c>
      <c r="AX601" s="30" t="str">
        <f aca="false">IF(AND(AH601="利用可",AK601="利用可",AN601="利用可"),"利用可","不可")</f>
        <v>不可</v>
      </c>
      <c r="AY601" s="30" t="str">
        <f aca="false">IF(AND(AQ601="利用可",AT601="利用可",AW601="利用可"),"利用可","不可")</f>
        <v>不可</v>
      </c>
    </row>
    <row r="602" customFormat="false" ht="15" hidden="false" customHeight="false" outlineLevel="0" collapsed="false">
      <c r="A602" s="29" t="n">
        <v>46256</v>
      </c>
      <c r="B602" s="30" t="n">
        <v>23</v>
      </c>
      <c r="C602" s="31" t="s">
        <v>63</v>
      </c>
      <c r="D602" s="31" t="s">
        <v>64</v>
      </c>
      <c r="E602" s="30" t="n">
        <v>60</v>
      </c>
      <c r="F602" s="30" t="n">
        <v>0</v>
      </c>
      <c r="G602" s="30" t="str">
        <f aca="false">IF(E602&lt;判定条件!$C$6,"判定不能",IF(F602&gt;=判定条件!$C$7*E602,"運転",IF(F602&lt;=判定条件!$C$8*E602,"停止","断続")))</f>
        <v>停止</v>
      </c>
      <c r="H602" s="30" t="n">
        <v>60</v>
      </c>
      <c r="I602" s="30" t="n">
        <v>0</v>
      </c>
      <c r="J602" s="30" t="str">
        <f aca="false">IF(H602&lt;判定条件!$C$6,"判定不能",IF(I602&gt;=判定条件!$C$7*H602,"運転",IF(I602&lt;=判定条件!$C$8*H602,"停止","断続")))</f>
        <v>停止</v>
      </c>
      <c r="K602" s="30" t="n">
        <v>60</v>
      </c>
      <c r="L602" s="30" t="n">
        <v>0</v>
      </c>
      <c r="M602" s="30" t="str">
        <f aca="false">IF(K602&lt;判定条件!$C$6,"判定不能",IF(L602&gt;=判定条件!$C$7*K602,"運転",IF(L602&lt;=判定条件!$C$8*K602,"停止","断続")))</f>
        <v>停止</v>
      </c>
      <c r="N602" s="30" t="n">
        <v>60</v>
      </c>
      <c r="O602" s="30" t="n">
        <v>0</v>
      </c>
      <c r="P602" s="30" t="str">
        <f aca="false">IF(N602&lt;判定条件!$C$6,"判定不能",IF(O602&gt;=判定条件!$C$7*N602,"運転",IF(O602&lt;=判定条件!$C$8*N602,"停止","断続")))</f>
        <v>停止</v>
      </c>
      <c r="Q602" s="30" t="n">
        <v>0</v>
      </c>
      <c r="R602" s="30" t="n">
        <v>0</v>
      </c>
      <c r="S602" s="30" t="str">
        <f aca="false">IF(Q602&lt;判定条件!$C$6,"判定不能",IF(R602&gt;=判定条件!$C$7*Q602,"運転",IF(R602&lt;=判定条件!$C$8*Q602,"停止","断続")))</f>
        <v>判定不能</v>
      </c>
      <c r="T602" s="30" t="n">
        <v>60</v>
      </c>
      <c r="U602" s="30" t="n">
        <v>0</v>
      </c>
      <c r="V602" s="30" t="str">
        <f aca="false">IF(T602&lt;判定条件!$C$6,"判定不能",IF(U602&gt;=判定条件!$C$7*T602,"運転",IF(U602&lt;=判定条件!$C$8*T602,"停止","断続")))</f>
        <v>停止</v>
      </c>
      <c r="W602" s="30" t="n">
        <v>60</v>
      </c>
      <c r="X602" s="30" t="n">
        <v>0</v>
      </c>
      <c r="Y602" s="30" t="str">
        <f aca="false">IF(W602&lt;判定条件!$C$6,"判定不能",IF(X602&gt;=判定条件!$C$7*W602,"運転",IF(X602&lt;=判定条件!$C$8*W602,"停止","断続")))</f>
        <v>停止</v>
      </c>
      <c r="Z602" s="30" t="n">
        <v>60</v>
      </c>
      <c r="AA602" s="30" t="n">
        <v>0</v>
      </c>
      <c r="AB602" s="30" t="str">
        <f aca="false">IF(Z602&lt;判定条件!$C$6,"判定不能",IF(AA602&gt;=判定条件!$C$7*Z602,"運転",IF(AA602&lt;=判定条件!$C$8*Z602,"停止","断続")))</f>
        <v>停止</v>
      </c>
      <c r="AC602" s="30" t="n">
        <v>60</v>
      </c>
      <c r="AD602" s="30" t="n">
        <v>0</v>
      </c>
      <c r="AE602" s="30" t="str">
        <f aca="false">IF(AC602&lt;判定条件!$C$6,"判定不能",IF(AD602&gt;=判定条件!$C$7*AC602,"運転",IF(AD602&lt;=判定条件!$C$8*AC602,"停止","断続")))</f>
        <v>停止</v>
      </c>
      <c r="AF602" s="30" t="n">
        <v>60</v>
      </c>
      <c r="AG602" s="30" t="n">
        <v>0</v>
      </c>
      <c r="AH602" s="30" t="str">
        <f aca="false">IF(OR(P602="判定不能",G602="判定不能"),"判定不能",IF(AG602&gt;=判定条件!$C$9,"利用可",IF(AND(P602="停止",G602="停止"),"両方停止","運転がそろわない")))</f>
        <v>両方停止</v>
      </c>
      <c r="AI602" s="30" t="n">
        <v>0</v>
      </c>
      <c r="AJ602" s="30" t="n">
        <v>0</v>
      </c>
      <c r="AK602" s="30" t="str">
        <f aca="false">IF(OR(S602="判定不能",J602="判定不能"),"判定不能",IF(AJ602&gt;=判定条件!$C$9,"利用可",IF(AND(S602="停止",J602="停止"),"両方停止","運転がそろわない")))</f>
        <v>判定不能</v>
      </c>
      <c r="AL602" s="30" t="n">
        <v>60</v>
      </c>
      <c r="AM602" s="30" t="n">
        <v>0</v>
      </c>
      <c r="AN602" s="30" t="str">
        <f aca="false">IF(OR(V602="判定不能",M602="判定不能"),"判定不能",IF(AM602&gt;=判定条件!$C$9,"利用可",IF(AND(V602="停止",M602="停止"),"両方停止","運転がそろわない")))</f>
        <v>両方停止</v>
      </c>
      <c r="AO602" s="30" t="n">
        <v>60</v>
      </c>
      <c r="AP602" s="30" t="n">
        <v>0</v>
      </c>
      <c r="AQ602" s="30" t="str">
        <f aca="false">IF(OR(Y602="判定不能",G602="判定不能"),"判定不能",IF(AP602&gt;=判定条件!$C$9,"利用可",IF(AND(Y602="停止",G602="停止"),"両方停止","運転がそろわない")))</f>
        <v>両方停止</v>
      </c>
      <c r="AR602" s="30" t="n">
        <v>60</v>
      </c>
      <c r="AS602" s="30" t="n">
        <v>0</v>
      </c>
      <c r="AT602" s="30" t="str">
        <f aca="false">IF(OR(AB602="判定不能",J602="判定不能"),"判定不能",IF(AS602&gt;=判定条件!$C$9,"利用可",IF(AND(AB602="停止",J602="停止"),"両方停止","運転がそろわない")))</f>
        <v>両方停止</v>
      </c>
      <c r="AU602" s="30" t="n">
        <v>60</v>
      </c>
      <c r="AV602" s="30" t="n">
        <v>0</v>
      </c>
      <c r="AW602" s="30" t="str">
        <f aca="false">IF(OR(AE602="判定不能",M602="判定不能"),"判定不能",IF(AV602&gt;=判定条件!$C$9,"利用可",IF(AND(AE602="停止",M602="停止"),"両方停止","運転がそろわない")))</f>
        <v>両方停止</v>
      </c>
      <c r="AX602" s="30" t="str">
        <f aca="false">IF(AND(AH602="利用可",AK602="利用可",AN602="利用可"),"利用可","不可")</f>
        <v>不可</v>
      </c>
      <c r="AY602" s="30" t="str">
        <f aca="false">IF(AND(AQ602="利用可",AT602="利用可",AW602="利用可"),"利用可","不可")</f>
        <v>不可</v>
      </c>
    </row>
    <row r="603" customFormat="false" ht="15" hidden="false" customHeight="false" outlineLevel="0" collapsed="false">
      <c r="A603" s="29" t="n">
        <v>46257</v>
      </c>
      <c r="B603" s="30" t="n">
        <v>0</v>
      </c>
      <c r="C603" s="31" t="s">
        <v>65</v>
      </c>
      <c r="D603" s="31" t="s">
        <v>64</v>
      </c>
      <c r="E603" s="30" t="n">
        <v>60</v>
      </c>
      <c r="F603" s="30" t="n">
        <v>0</v>
      </c>
      <c r="G603" s="30" t="str">
        <f aca="false">IF(E603&lt;判定条件!$C$6,"判定不能",IF(F603&gt;=判定条件!$C$7*E603,"運転",IF(F603&lt;=判定条件!$C$8*E603,"停止","断続")))</f>
        <v>停止</v>
      </c>
      <c r="H603" s="30" t="n">
        <v>60</v>
      </c>
      <c r="I603" s="30" t="n">
        <v>0</v>
      </c>
      <c r="J603" s="30" t="str">
        <f aca="false">IF(H603&lt;判定条件!$C$6,"判定不能",IF(I603&gt;=判定条件!$C$7*H603,"運転",IF(I603&lt;=判定条件!$C$8*H603,"停止","断続")))</f>
        <v>停止</v>
      </c>
      <c r="K603" s="30" t="n">
        <v>60</v>
      </c>
      <c r="L603" s="30" t="n">
        <v>0</v>
      </c>
      <c r="M603" s="30" t="str">
        <f aca="false">IF(K603&lt;判定条件!$C$6,"判定不能",IF(L603&gt;=判定条件!$C$7*K603,"運転",IF(L603&lt;=判定条件!$C$8*K603,"停止","断続")))</f>
        <v>停止</v>
      </c>
      <c r="N603" s="30" t="n">
        <v>60</v>
      </c>
      <c r="O603" s="30" t="n">
        <v>0</v>
      </c>
      <c r="P603" s="30" t="str">
        <f aca="false">IF(N603&lt;判定条件!$C$6,"判定不能",IF(O603&gt;=判定条件!$C$7*N603,"運転",IF(O603&lt;=判定条件!$C$8*N603,"停止","断続")))</f>
        <v>停止</v>
      </c>
      <c r="Q603" s="30" t="n">
        <v>0</v>
      </c>
      <c r="R603" s="30" t="n">
        <v>0</v>
      </c>
      <c r="S603" s="30" t="str">
        <f aca="false">IF(Q603&lt;判定条件!$C$6,"判定不能",IF(R603&gt;=判定条件!$C$7*Q603,"運転",IF(R603&lt;=判定条件!$C$8*Q603,"停止","断続")))</f>
        <v>判定不能</v>
      </c>
      <c r="T603" s="30" t="n">
        <v>60</v>
      </c>
      <c r="U603" s="30" t="n">
        <v>0</v>
      </c>
      <c r="V603" s="30" t="str">
        <f aca="false">IF(T603&lt;判定条件!$C$6,"判定不能",IF(U603&gt;=判定条件!$C$7*T603,"運転",IF(U603&lt;=判定条件!$C$8*T603,"停止","断続")))</f>
        <v>停止</v>
      </c>
      <c r="W603" s="30" t="n">
        <v>60</v>
      </c>
      <c r="X603" s="30" t="n">
        <v>0</v>
      </c>
      <c r="Y603" s="30" t="str">
        <f aca="false">IF(W603&lt;判定条件!$C$6,"判定不能",IF(X603&gt;=判定条件!$C$7*W603,"運転",IF(X603&lt;=判定条件!$C$8*W603,"停止","断続")))</f>
        <v>停止</v>
      </c>
      <c r="Z603" s="30" t="n">
        <v>60</v>
      </c>
      <c r="AA603" s="30" t="n">
        <v>0</v>
      </c>
      <c r="AB603" s="30" t="str">
        <f aca="false">IF(Z603&lt;判定条件!$C$6,"判定不能",IF(AA603&gt;=判定条件!$C$7*Z603,"運転",IF(AA603&lt;=判定条件!$C$8*Z603,"停止","断続")))</f>
        <v>停止</v>
      </c>
      <c r="AC603" s="30" t="n">
        <v>60</v>
      </c>
      <c r="AD603" s="30" t="n">
        <v>0</v>
      </c>
      <c r="AE603" s="30" t="str">
        <f aca="false">IF(AC603&lt;判定条件!$C$6,"判定不能",IF(AD603&gt;=判定条件!$C$7*AC603,"運転",IF(AD603&lt;=判定条件!$C$8*AC603,"停止","断続")))</f>
        <v>停止</v>
      </c>
      <c r="AF603" s="30" t="n">
        <v>60</v>
      </c>
      <c r="AG603" s="30" t="n">
        <v>0</v>
      </c>
      <c r="AH603" s="30" t="str">
        <f aca="false">IF(OR(P603="判定不能",G603="判定不能"),"判定不能",IF(AG603&gt;=判定条件!$C$9,"利用可",IF(AND(P603="停止",G603="停止"),"両方停止","運転がそろわない")))</f>
        <v>両方停止</v>
      </c>
      <c r="AI603" s="30" t="n">
        <v>0</v>
      </c>
      <c r="AJ603" s="30" t="n">
        <v>0</v>
      </c>
      <c r="AK603" s="30" t="str">
        <f aca="false">IF(OR(S603="判定不能",J603="判定不能"),"判定不能",IF(AJ603&gt;=判定条件!$C$9,"利用可",IF(AND(S603="停止",J603="停止"),"両方停止","運転がそろわない")))</f>
        <v>判定不能</v>
      </c>
      <c r="AL603" s="30" t="n">
        <v>60</v>
      </c>
      <c r="AM603" s="30" t="n">
        <v>0</v>
      </c>
      <c r="AN603" s="30" t="str">
        <f aca="false">IF(OR(V603="判定不能",M603="判定不能"),"判定不能",IF(AM603&gt;=判定条件!$C$9,"利用可",IF(AND(V603="停止",M603="停止"),"両方停止","運転がそろわない")))</f>
        <v>両方停止</v>
      </c>
      <c r="AO603" s="30" t="n">
        <v>60</v>
      </c>
      <c r="AP603" s="30" t="n">
        <v>0</v>
      </c>
      <c r="AQ603" s="30" t="str">
        <f aca="false">IF(OR(Y603="判定不能",G603="判定不能"),"判定不能",IF(AP603&gt;=判定条件!$C$9,"利用可",IF(AND(Y603="停止",G603="停止"),"両方停止","運転がそろわない")))</f>
        <v>両方停止</v>
      </c>
      <c r="AR603" s="30" t="n">
        <v>60</v>
      </c>
      <c r="AS603" s="30" t="n">
        <v>0</v>
      </c>
      <c r="AT603" s="30" t="str">
        <f aca="false">IF(OR(AB603="判定不能",J603="判定不能"),"判定不能",IF(AS603&gt;=判定条件!$C$9,"利用可",IF(AND(AB603="停止",J603="停止"),"両方停止","運転がそろわない")))</f>
        <v>両方停止</v>
      </c>
      <c r="AU603" s="30" t="n">
        <v>60</v>
      </c>
      <c r="AV603" s="30" t="n">
        <v>0</v>
      </c>
      <c r="AW603" s="30" t="str">
        <f aca="false">IF(OR(AE603="判定不能",M603="判定不能"),"判定不能",IF(AV603&gt;=判定条件!$C$9,"利用可",IF(AND(AE603="停止",M603="停止"),"両方停止","運転がそろわない")))</f>
        <v>両方停止</v>
      </c>
      <c r="AX603" s="30" t="str">
        <f aca="false">IF(AND(AH603="利用可",AK603="利用可",AN603="利用可"),"利用可","不可")</f>
        <v>不可</v>
      </c>
      <c r="AY603" s="30" t="str">
        <f aca="false">IF(AND(AQ603="利用可",AT603="利用可",AW603="利用可"),"利用可","不可")</f>
        <v>不可</v>
      </c>
    </row>
    <row r="604" customFormat="false" ht="15" hidden="false" customHeight="false" outlineLevel="0" collapsed="false">
      <c r="A604" s="29" t="n">
        <v>46257</v>
      </c>
      <c r="B604" s="30" t="n">
        <v>1</v>
      </c>
      <c r="C604" s="31" t="s">
        <v>65</v>
      </c>
      <c r="D604" s="31" t="s">
        <v>64</v>
      </c>
      <c r="E604" s="30" t="n">
        <v>60</v>
      </c>
      <c r="F604" s="30" t="n">
        <v>0</v>
      </c>
      <c r="G604" s="30" t="str">
        <f aca="false">IF(E604&lt;判定条件!$C$6,"判定不能",IF(F604&gt;=判定条件!$C$7*E604,"運転",IF(F604&lt;=判定条件!$C$8*E604,"停止","断続")))</f>
        <v>停止</v>
      </c>
      <c r="H604" s="30" t="n">
        <v>60</v>
      </c>
      <c r="I604" s="30" t="n">
        <v>0</v>
      </c>
      <c r="J604" s="30" t="str">
        <f aca="false">IF(H604&lt;判定条件!$C$6,"判定不能",IF(I604&gt;=判定条件!$C$7*H604,"運転",IF(I604&lt;=判定条件!$C$8*H604,"停止","断続")))</f>
        <v>停止</v>
      </c>
      <c r="K604" s="30" t="n">
        <v>60</v>
      </c>
      <c r="L604" s="30" t="n">
        <v>0</v>
      </c>
      <c r="M604" s="30" t="str">
        <f aca="false">IF(K604&lt;判定条件!$C$6,"判定不能",IF(L604&gt;=判定条件!$C$7*K604,"運転",IF(L604&lt;=判定条件!$C$8*K604,"停止","断続")))</f>
        <v>停止</v>
      </c>
      <c r="N604" s="30" t="n">
        <v>60</v>
      </c>
      <c r="O604" s="30" t="n">
        <v>0</v>
      </c>
      <c r="P604" s="30" t="str">
        <f aca="false">IF(N604&lt;判定条件!$C$6,"判定不能",IF(O604&gt;=判定条件!$C$7*N604,"運転",IF(O604&lt;=判定条件!$C$8*N604,"停止","断続")))</f>
        <v>停止</v>
      </c>
      <c r="Q604" s="30" t="n">
        <v>0</v>
      </c>
      <c r="R604" s="30" t="n">
        <v>0</v>
      </c>
      <c r="S604" s="30" t="str">
        <f aca="false">IF(Q604&lt;判定条件!$C$6,"判定不能",IF(R604&gt;=判定条件!$C$7*Q604,"運転",IF(R604&lt;=判定条件!$C$8*Q604,"停止","断続")))</f>
        <v>判定不能</v>
      </c>
      <c r="T604" s="30" t="n">
        <v>60</v>
      </c>
      <c r="U604" s="30" t="n">
        <v>0</v>
      </c>
      <c r="V604" s="30" t="str">
        <f aca="false">IF(T604&lt;判定条件!$C$6,"判定不能",IF(U604&gt;=判定条件!$C$7*T604,"運転",IF(U604&lt;=判定条件!$C$8*T604,"停止","断続")))</f>
        <v>停止</v>
      </c>
      <c r="W604" s="30" t="n">
        <v>60</v>
      </c>
      <c r="X604" s="30" t="n">
        <v>0</v>
      </c>
      <c r="Y604" s="30" t="str">
        <f aca="false">IF(W604&lt;判定条件!$C$6,"判定不能",IF(X604&gt;=判定条件!$C$7*W604,"運転",IF(X604&lt;=判定条件!$C$8*W604,"停止","断続")))</f>
        <v>停止</v>
      </c>
      <c r="Z604" s="30" t="n">
        <v>60</v>
      </c>
      <c r="AA604" s="30" t="n">
        <v>0</v>
      </c>
      <c r="AB604" s="30" t="str">
        <f aca="false">IF(Z604&lt;判定条件!$C$6,"判定不能",IF(AA604&gt;=判定条件!$C$7*Z604,"運転",IF(AA604&lt;=判定条件!$C$8*Z604,"停止","断続")))</f>
        <v>停止</v>
      </c>
      <c r="AC604" s="30" t="n">
        <v>60</v>
      </c>
      <c r="AD604" s="30" t="n">
        <v>0</v>
      </c>
      <c r="AE604" s="30" t="str">
        <f aca="false">IF(AC604&lt;判定条件!$C$6,"判定不能",IF(AD604&gt;=判定条件!$C$7*AC604,"運転",IF(AD604&lt;=判定条件!$C$8*AC604,"停止","断続")))</f>
        <v>停止</v>
      </c>
      <c r="AF604" s="30" t="n">
        <v>60</v>
      </c>
      <c r="AG604" s="30" t="n">
        <v>0</v>
      </c>
      <c r="AH604" s="30" t="str">
        <f aca="false">IF(OR(P604="判定不能",G604="判定不能"),"判定不能",IF(AG604&gt;=判定条件!$C$9,"利用可",IF(AND(P604="停止",G604="停止"),"両方停止","運転がそろわない")))</f>
        <v>両方停止</v>
      </c>
      <c r="AI604" s="30" t="n">
        <v>0</v>
      </c>
      <c r="AJ604" s="30" t="n">
        <v>0</v>
      </c>
      <c r="AK604" s="30" t="str">
        <f aca="false">IF(OR(S604="判定不能",J604="判定不能"),"判定不能",IF(AJ604&gt;=判定条件!$C$9,"利用可",IF(AND(S604="停止",J604="停止"),"両方停止","運転がそろわない")))</f>
        <v>判定不能</v>
      </c>
      <c r="AL604" s="30" t="n">
        <v>60</v>
      </c>
      <c r="AM604" s="30" t="n">
        <v>0</v>
      </c>
      <c r="AN604" s="30" t="str">
        <f aca="false">IF(OR(V604="判定不能",M604="判定不能"),"判定不能",IF(AM604&gt;=判定条件!$C$9,"利用可",IF(AND(V604="停止",M604="停止"),"両方停止","運転がそろわない")))</f>
        <v>両方停止</v>
      </c>
      <c r="AO604" s="30" t="n">
        <v>60</v>
      </c>
      <c r="AP604" s="30" t="n">
        <v>0</v>
      </c>
      <c r="AQ604" s="30" t="str">
        <f aca="false">IF(OR(Y604="判定不能",G604="判定不能"),"判定不能",IF(AP604&gt;=判定条件!$C$9,"利用可",IF(AND(Y604="停止",G604="停止"),"両方停止","運転がそろわない")))</f>
        <v>両方停止</v>
      </c>
      <c r="AR604" s="30" t="n">
        <v>60</v>
      </c>
      <c r="AS604" s="30" t="n">
        <v>0</v>
      </c>
      <c r="AT604" s="30" t="str">
        <f aca="false">IF(OR(AB604="判定不能",J604="判定不能"),"判定不能",IF(AS604&gt;=判定条件!$C$9,"利用可",IF(AND(AB604="停止",J604="停止"),"両方停止","運転がそろわない")))</f>
        <v>両方停止</v>
      </c>
      <c r="AU604" s="30" t="n">
        <v>60</v>
      </c>
      <c r="AV604" s="30" t="n">
        <v>0</v>
      </c>
      <c r="AW604" s="30" t="str">
        <f aca="false">IF(OR(AE604="判定不能",M604="判定不能"),"判定不能",IF(AV604&gt;=判定条件!$C$9,"利用可",IF(AND(AE604="停止",M604="停止"),"両方停止","運転がそろわない")))</f>
        <v>両方停止</v>
      </c>
      <c r="AX604" s="30" t="str">
        <f aca="false">IF(AND(AH604="利用可",AK604="利用可",AN604="利用可"),"利用可","不可")</f>
        <v>不可</v>
      </c>
      <c r="AY604" s="30" t="str">
        <f aca="false">IF(AND(AQ604="利用可",AT604="利用可",AW604="利用可"),"利用可","不可")</f>
        <v>不可</v>
      </c>
    </row>
    <row r="605" customFormat="false" ht="15" hidden="false" customHeight="false" outlineLevel="0" collapsed="false">
      <c r="A605" s="29" t="n">
        <v>46257</v>
      </c>
      <c r="B605" s="30" t="n">
        <v>2</v>
      </c>
      <c r="C605" s="31" t="s">
        <v>65</v>
      </c>
      <c r="D605" s="31" t="s">
        <v>64</v>
      </c>
      <c r="E605" s="30" t="n">
        <v>60</v>
      </c>
      <c r="F605" s="30" t="n">
        <v>0</v>
      </c>
      <c r="G605" s="30" t="str">
        <f aca="false">IF(E605&lt;判定条件!$C$6,"判定不能",IF(F605&gt;=判定条件!$C$7*E605,"運転",IF(F605&lt;=判定条件!$C$8*E605,"停止","断続")))</f>
        <v>停止</v>
      </c>
      <c r="H605" s="30" t="n">
        <v>60</v>
      </c>
      <c r="I605" s="30" t="n">
        <v>0</v>
      </c>
      <c r="J605" s="30" t="str">
        <f aca="false">IF(H605&lt;判定条件!$C$6,"判定不能",IF(I605&gt;=判定条件!$C$7*H605,"運転",IF(I605&lt;=判定条件!$C$8*H605,"停止","断続")))</f>
        <v>停止</v>
      </c>
      <c r="K605" s="30" t="n">
        <v>60</v>
      </c>
      <c r="L605" s="30" t="n">
        <v>0</v>
      </c>
      <c r="M605" s="30" t="str">
        <f aca="false">IF(K605&lt;判定条件!$C$6,"判定不能",IF(L605&gt;=判定条件!$C$7*K605,"運転",IF(L605&lt;=判定条件!$C$8*K605,"停止","断続")))</f>
        <v>停止</v>
      </c>
      <c r="N605" s="30" t="n">
        <v>60</v>
      </c>
      <c r="O605" s="30" t="n">
        <v>0</v>
      </c>
      <c r="P605" s="30" t="str">
        <f aca="false">IF(N605&lt;判定条件!$C$6,"判定不能",IF(O605&gt;=判定条件!$C$7*N605,"運転",IF(O605&lt;=判定条件!$C$8*N605,"停止","断続")))</f>
        <v>停止</v>
      </c>
      <c r="Q605" s="30" t="n">
        <v>0</v>
      </c>
      <c r="R605" s="30" t="n">
        <v>0</v>
      </c>
      <c r="S605" s="30" t="str">
        <f aca="false">IF(Q605&lt;判定条件!$C$6,"判定不能",IF(R605&gt;=判定条件!$C$7*Q605,"運転",IF(R605&lt;=判定条件!$C$8*Q605,"停止","断続")))</f>
        <v>判定不能</v>
      </c>
      <c r="T605" s="30" t="n">
        <v>60</v>
      </c>
      <c r="U605" s="30" t="n">
        <v>0</v>
      </c>
      <c r="V605" s="30" t="str">
        <f aca="false">IF(T605&lt;判定条件!$C$6,"判定不能",IF(U605&gt;=判定条件!$C$7*T605,"運転",IF(U605&lt;=判定条件!$C$8*T605,"停止","断続")))</f>
        <v>停止</v>
      </c>
      <c r="W605" s="30" t="n">
        <v>60</v>
      </c>
      <c r="X605" s="30" t="n">
        <v>0</v>
      </c>
      <c r="Y605" s="30" t="str">
        <f aca="false">IF(W605&lt;判定条件!$C$6,"判定不能",IF(X605&gt;=判定条件!$C$7*W605,"運転",IF(X605&lt;=判定条件!$C$8*W605,"停止","断続")))</f>
        <v>停止</v>
      </c>
      <c r="Z605" s="30" t="n">
        <v>60</v>
      </c>
      <c r="AA605" s="30" t="n">
        <v>0</v>
      </c>
      <c r="AB605" s="30" t="str">
        <f aca="false">IF(Z605&lt;判定条件!$C$6,"判定不能",IF(AA605&gt;=判定条件!$C$7*Z605,"運転",IF(AA605&lt;=判定条件!$C$8*Z605,"停止","断続")))</f>
        <v>停止</v>
      </c>
      <c r="AC605" s="30" t="n">
        <v>60</v>
      </c>
      <c r="AD605" s="30" t="n">
        <v>0</v>
      </c>
      <c r="AE605" s="30" t="str">
        <f aca="false">IF(AC605&lt;判定条件!$C$6,"判定不能",IF(AD605&gt;=判定条件!$C$7*AC605,"運転",IF(AD605&lt;=判定条件!$C$8*AC605,"停止","断続")))</f>
        <v>停止</v>
      </c>
      <c r="AF605" s="30" t="n">
        <v>60</v>
      </c>
      <c r="AG605" s="30" t="n">
        <v>0</v>
      </c>
      <c r="AH605" s="30" t="str">
        <f aca="false">IF(OR(P605="判定不能",G605="判定不能"),"判定不能",IF(AG605&gt;=判定条件!$C$9,"利用可",IF(AND(P605="停止",G605="停止"),"両方停止","運転がそろわない")))</f>
        <v>両方停止</v>
      </c>
      <c r="AI605" s="30" t="n">
        <v>0</v>
      </c>
      <c r="AJ605" s="30" t="n">
        <v>0</v>
      </c>
      <c r="AK605" s="30" t="str">
        <f aca="false">IF(OR(S605="判定不能",J605="判定不能"),"判定不能",IF(AJ605&gt;=判定条件!$C$9,"利用可",IF(AND(S605="停止",J605="停止"),"両方停止","運転がそろわない")))</f>
        <v>判定不能</v>
      </c>
      <c r="AL605" s="30" t="n">
        <v>60</v>
      </c>
      <c r="AM605" s="30" t="n">
        <v>0</v>
      </c>
      <c r="AN605" s="30" t="str">
        <f aca="false">IF(OR(V605="判定不能",M605="判定不能"),"判定不能",IF(AM605&gt;=判定条件!$C$9,"利用可",IF(AND(V605="停止",M605="停止"),"両方停止","運転がそろわない")))</f>
        <v>両方停止</v>
      </c>
      <c r="AO605" s="30" t="n">
        <v>60</v>
      </c>
      <c r="AP605" s="30" t="n">
        <v>0</v>
      </c>
      <c r="AQ605" s="30" t="str">
        <f aca="false">IF(OR(Y605="判定不能",G605="判定不能"),"判定不能",IF(AP605&gt;=判定条件!$C$9,"利用可",IF(AND(Y605="停止",G605="停止"),"両方停止","運転がそろわない")))</f>
        <v>両方停止</v>
      </c>
      <c r="AR605" s="30" t="n">
        <v>60</v>
      </c>
      <c r="AS605" s="30" t="n">
        <v>0</v>
      </c>
      <c r="AT605" s="30" t="str">
        <f aca="false">IF(OR(AB605="判定不能",J605="判定不能"),"判定不能",IF(AS605&gt;=判定条件!$C$9,"利用可",IF(AND(AB605="停止",J605="停止"),"両方停止","運転がそろわない")))</f>
        <v>両方停止</v>
      </c>
      <c r="AU605" s="30" t="n">
        <v>60</v>
      </c>
      <c r="AV605" s="30" t="n">
        <v>0</v>
      </c>
      <c r="AW605" s="30" t="str">
        <f aca="false">IF(OR(AE605="判定不能",M605="判定不能"),"判定不能",IF(AV605&gt;=判定条件!$C$9,"利用可",IF(AND(AE605="停止",M605="停止"),"両方停止","運転がそろわない")))</f>
        <v>両方停止</v>
      </c>
      <c r="AX605" s="30" t="str">
        <f aca="false">IF(AND(AH605="利用可",AK605="利用可",AN605="利用可"),"利用可","不可")</f>
        <v>不可</v>
      </c>
      <c r="AY605" s="30" t="str">
        <f aca="false">IF(AND(AQ605="利用可",AT605="利用可",AW605="利用可"),"利用可","不可")</f>
        <v>不可</v>
      </c>
    </row>
    <row r="606" customFormat="false" ht="15" hidden="false" customHeight="false" outlineLevel="0" collapsed="false">
      <c r="A606" s="29" t="n">
        <v>46257</v>
      </c>
      <c r="B606" s="30" t="n">
        <v>3</v>
      </c>
      <c r="C606" s="31" t="s">
        <v>65</v>
      </c>
      <c r="D606" s="31" t="s">
        <v>64</v>
      </c>
      <c r="E606" s="30" t="n">
        <v>60</v>
      </c>
      <c r="F606" s="30" t="n">
        <v>0</v>
      </c>
      <c r="G606" s="30" t="str">
        <f aca="false">IF(E606&lt;判定条件!$C$6,"判定不能",IF(F606&gt;=判定条件!$C$7*E606,"運転",IF(F606&lt;=判定条件!$C$8*E606,"停止","断続")))</f>
        <v>停止</v>
      </c>
      <c r="H606" s="30" t="n">
        <v>60</v>
      </c>
      <c r="I606" s="30" t="n">
        <v>0</v>
      </c>
      <c r="J606" s="30" t="str">
        <f aca="false">IF(H606&lt;判定条件!$C$6,"判定不能",IF(I606&gt;=判定条件!$C$7*H606,"運転",IF(I606&lt;=判定条件!$C$8*H606,"停止","断続")))</f>
        <v>停止</v>
      </c>
      <c r="K606" s="30" t="n">
        <v>60</v>
      </c>
      <c r="L606" s="30" t="n">
        <v>0</v>
      </c>
      <c r="M606" s="30" t="str">
        <f aca="false">IF(K606&lt;判定条件!$C$6,"判定不能",IF(L606&gt;=判定条件!$C$7*K606,"運転",IF(L606&lt;=判定条件!$C$8*K606,"停止","断続")))</f>
        <v>停止</v>
      </c>
      <c r="N606" s="30" t="n">
        <v>60</v>
      </c>
      <c r="O606" s="30" t="n">
        <v>0</v>
      </c>
      <c r="P606" s="30" t="str">
        <f aca="false">IF(N606&lt;判定条件!$C$6,"判定不能",IF(O606&gt;=判定条件!$C$7*N606,"運転",IF(O606&lt;=判定条件!$C$8*N606,"停止","断続")))</f>
        <v>停止</v>
      </c>
      <c r="Q606" s="30" t="n">
        <v>0</v>
      </c>
      <c r="R606" s="30" t="n">
        <v>0</v>
      </c>
      <c r="S606" s="30" t="str">
        <f aca="false">IF(Q606&lt;判定条件!$C$6,"判定不能",IF(R606&gt;=判定条件!$C$7*Q606,"運転",IF(R606&lt;=判定条件!$C$8*Q606,"停止","断続")))</f>
        <v>判定不能</v>
      </c>
      <c r="T606" s="30" t="n">
        <v>60</v>
      </c>
      <c r="U606" s="30" t="n">
        <v>0</v>
      </c>
      <c r="V606" s="30" t="str">
        <f aca="false">IF(T606&lt;判定条件!$C$6,"判定不能",IF(U606&gt;=判定条件!$C$7*T606,"運転",IF(U606&lt;=判定条件!$C$8*T606,"停止","断続")))</f>
        <v>停止</v>
      </c>
      <c r="W606" s="30" t="n">
        <v>60</v>
      </c>
      <c r="X606" s="30" t="n">
        <v>0</v>
      </c>
      <c r="Y606" s="30" t="str">
        <f aca="false">IF(W606&lt;判定条件!$C$6,"判定不能",IF(X606&gt;=判定条件!$C$7*W606,"運転",IF(X606&lt;=判定条件!$C$8*W606,"停止","断続")))</f>
        <v>停止</v>
      </c>
      <c r="Z606" s="30" t="n">
        <v>60</v>
      </c>
      <c r="AA606" s="30" t="n">
        <v>0</v>
      </c>
      <c r="AB606" s="30" t="str">
        <f aca="false">IF(Z606&lt;判定条件!$C$6,"判定不能",IF(AA606&gt;=判定条件!$C$7*Z606,"運転",IF(AA606&lt;=判定条件!$C$8*Z606,"停止","断続")))</f>
        <v>停止</v>
      </c>
      <c r="AC606" s="30" t="n">
        <v>60</v>
      </c>
      <c r="AD606" s="30" t="n">
        <v>0</v>
      </c>
      <c r="AE606" s="30" t="str">
        <f aca="false">IF(AC606&lt;判定条件!$C$6,"判定不能",IF(AD606&gt;=判定条件!$C$7*AC606,"運転",IF(AD606&lt;=判定条件!$C$8*AC606,"停止","断続")))</f>
        <v>停止</v>
      </c>
      <c r="AF606" s="30" t="n">
        <v>60</v>
      </c>
      <c r="AG606" s="30" t="n">
        <v>0</v>
      </c>
      <c r="AH606" s="30" t="str">
        <f aca="false">IF(OR(P606="判定不能",G606="判定不能"),"判定不能",IF(AG606&gt;=判定条件!$C$9,"利用可",IF(AND(P606="停止",G606="停止"),"両方停止","運転がそろわない")))</f>
        <v>両方停止</v>
      </c>
      <c r="AI606" s="30" t="n">
        <v>0</v>
      </c>
      <c r="AJ606" s="30" t="n">
        <v>0</v>
      </c>
      <c r="AK606" s="30" t="str">
        <f aca="false">IF(OR(S606="判定不能",J606="判定不能"),"判定不能",IF(AJ606&gt;=判定条件!$C$9,"利用可",IF(AND(S606="停止",J606="停止"),"両方停止","運転がそろわない")))</f>
        <v>判定不能</v>
      </c>
      <c r="AL606" s="30" t="n">
        <v>60</v>
      </c>
      <c r="AM606" s="30" t="n">
        <v>0</v>
      </c>
      <c r="AN606" s="30" t="str">
        <f aca="false">IF(OR(V606="判定不能",M606="判定不能"),"判定不能",IF(AM606&gt;=判定条件!$C$9,"利用可",IF(AND(V606="停止",M606="停止"),"両方停止","運転がそろわない")))</f>
        <v>両方停止</v>
      </c>
      <c r="AO606" s="30" t="n">
        <v>60</v>
      </c>
      <c r="AP606" s="30" t="n">
        <v>0</v>
      </c>
      <c r="AQ606" s="30" t="str">
        <f aca="false">IF(OR(Y606="判定不能",G606="判定不能"),"判定不能",IF(AP606&gt;=判定条件!$C$9,"利用可",IF(AND(Y606="停止",G606="停止"),"両方停止","運転がそろわない")))</f>
        <v>両方停止</v>
      </c>
      <c r="AR606" s="30" t="n">
        <v>60</v>
      </c>
      <c r="AS606" s="30" t="n">
        <v>0</v>
      </c>
      <c r="AT606" s="30" t="str">
        <f aca="false">IF(OR(AB606="判定不能",J606="判定不能"),"判定不能",IF(AS606&gt;=判定条件!$C$9,"利用可",IF(AND(AB606="停止",J606="停止"),"両方停止","運転がそろわない")))</f>
        <v>両方停止</v>
      </c>
      <c r="AU606" s="30" t="n">
        <v>60</v>
      </c>
      <c r="AV606" s="30" t="n">
        <v>0</v>
      </c>
      <c r="AW606" s="30" t="str">
        <f aca="false">IF(OR(AE606="判定不能",M606="判定不能"),"判定不能",IF(AV606&gt;=判定条件!$C$9,"利用可",IF(AND(AE606="停止",M606="停止"),"両方停止","運転がそろわない")))</f>
        <v>両方停止</v>
      </c>
      <c r="AX606" s="30" t="str">
        <f aca="false">IF(AND(AH606="利用可",AK606="利用可",AN606="利用可"),"利用可","不可")</f>
        <v>不可</v>
      </c>
      <c r="AY606" s="30" t="str">
        <f aca="false">IF(AND(AQ606="利用可",AT606="利用可",AW606="利用可"),"利用可","不可")</f>
        <v>不可</v>
      </c>
    </row>
    <row r="607" customFormat="false" ht="15" hidden="false" customHeight="false" outlineLevel="0" collapsed="false">
      <c r="A607" s="29" t="n">
        <v>46257</v>
      </c>
      <c r="B607" s="30" t="n">
        <v>4</v>
      </c>
      <c r="C607" s="31" t="s">
        <v>65</v>
      </c>
      <c r="D607" s="31" t="s">
        <v>64</v>
      </c>
      <c r="E607" s="30" t="n">
        <v>60</v>
      </c>
      <c r="F607" s="30" t="n">
        <v>0</v>
      </c>
      <c r="G607" s="30" t="str">
        <f aca="false">IF(E607&lt;判定条件!$C$6,"判定不能",IF(F607&gt;=判定条件!$C$7*E607,"運転",IF(F607&lt;=判定条件!$C$8*E607,"停止","断続")))</f>
        <v>停止</v>
      </c>
      <c r="H607" s="30" t="n">
        <v>60</v>
      </c>
      <c r="I607" s="30" t="n">
        <v>0</v>
      </c>
      <c r="J607" s="30" t="str">
        <f aca="false">IF(H607&lt;判定条件!$C$6,"判定不能",IF(I607&gt;=判定条件!$C$7*H607,"運転",IF(I607&lt;=判定条件!$C$8*H607,"停止","断続")))</f>
        <v>停止</v>
      </c>
      <c r="K607" s="30" t="n">
        <v>60</v>
      </c>
      <c r="L607" s="30" t="n">
        <v>0</v>
      </c>
      <c r="M607" s="30" t="str">
        <f aca="false">IF(K607&lt;判定条件!$C$6,"判定不能",IF(L607&gt;=判定条件!$C$7*K607,"運転",IF(L607&lt;=判定条件!$C$8*K607,"停止","断続")))</f>
        <v>停止</v>
      </c>
      <c r="N607" s="30" t="n">
        <v>60</v>
      </c>
      <c r="O607" s="30" t="n">
        <v>0</v>
      </c>
      <c r="P607" s="30" t="str">
        <f aca="false">IF(N607&lt;判定条件!$C$6,"判定不能",IF(O607&gt;=判定条件!$C$7*N607,"運転",IF(O607&lt;=判定条件!$C$8*N607,"停止","断続")))</f>
        <v>停止</v>
      </c>
      <c r="Q607" s="30" t="n">
        <v>0</v>
      </c>
      <c r="R607" s="30" t="n">
        <v>0</v>
      </c>
      <c r="S607" s="30" t="str">
        <f aca="false">IF(Q607&lt;判定条件!$C$6,"判定不能",IF(R607&gt;=判定条件!$C$7*Q607,"運転",IF(R607&lt;=判定条件!$C$8*Q607,"停止","断続")))</f>
        <v>判定不能</v>
      </c>
      <c r="T607" s="30" t="n">
        <v>60</v>
      </c>
      <c r="U607" s="30" t="n">
        <v>0</v>
      </c>
      <c r="V607" s="30" t="str">
        <f aca="false">IF(T607&lt;判定条件!$C$6,"判定不能",IF(U607&gt;=判定条件!$C$7*T607,"運転",IF(U607&lt;=判定条件!$C$8*T607,"停止","断続")))</f>
        <v>停止</v>
      </c>
      <c r="W607" s="30" t="n">
        <v>60</v>
      </c>
      <c r="X607" s="30" t="n">
        <v>0</v>
      </c>
      <c r="Y607" s="30" t="str">
        <f aca="false">IF(W607&lt;判定条件!$C$6,"判定不能",IF(X607&gt;=判定条件!$C$7*W607,"運転",IF(X607&lt;=判定条件!$C$8*W607,"停止","断続")))</f>
        <v>停止</v>
      </c>
      <c r="Z607" s="30" t="n">
        <v>60</v>
      </c>
      <c r="AA607" s="30" t="n">
        <v>0</v>
      </c>
      <c r="AB607" s="30" t="str">
        <f aca="false">IF(Z607&lt;判定条件!$C$6,"判定不能",IF(AA607&gt;=判定条件!$C$7*Z607,"運転",IF(AA607&lt;=判定条件!$C$8*Z607,"停止","断続")))</f>
        <v>停止</v>
      </c>
      <c r="AC607" s="30" t="n">
        <v>60</v>
      </c>
      <c r="AD607" s="30" t="n">
        <v>0</v>
      </c>
      <c r="AE607" s="30" t="str">
        <f aca="false">IF(AC607&lt;判定条件!$C$6,"判定不能",IF(AD607&gt;=判定条件!$C$7*AC607,"運転",IF(AD607&lt;=判定条件!$C$8*AC607,"停止","断続")))</f>
        <v>停止</v>
      </c>
      <c r="AF607" s="30" t="n">
        <v>60</v>
      </c>
      <c r="AG607" s="30" t="n">
        <v>0</v>
      </c>
      <c r="AH607" s="30" t="str">
        <f aca="false">IF(OR(P607="判定不能",G607="判定不能"),"判定不能",IF(AG607&gt;=判定条件!$C$9,"利用可",IF(AND(P607="停止",G607="停止"),"両方停止","運転がそろわない")))</f>
        <v>両方停止</v>
      </c>
      <c r="AI607" s="30" t="n">
        <v>0</v>
      </c>
      <c r="AJ607" s="30" t="n">
        <v>0</v>
      </c>
      <c r="AK607" s="30" t="str">
        <f aca="false">IF(OR(S607="判定不能",J607="判定不能"),"判定不能",IF(AJ607&gt;=判定条件!$C$9,"利用可",IF(AND(S607="停止",J607="停止"),"両方停止","運転がそろわない")))</f>
        <v>判定不能</v>
      </c>
      <c r="AL607" s="30" t="n">
        <v>60</v>
      </c>
      <c r="AM607" s="30" t="n">
        <v>0</v>
      </c>
      <c r="AN607" s="30" t="str">
        <f aca="false">IF(OR(V607="判定不能",M607="判定不能"),"判定不能",IF(AM607&gt;=判定条件!$C$9,"利用可",IF(AND(V607="停止",M607="停止"),"両方停止","運転がそろわない")))</f>
        <v>両方停止</v>
      </c>
      <c r="AO607" s="30" t="n">
        <v>60</v>
      </c>
      <c r="AP607" s="30" t="n">
        <v>0</v>
      </c>
      <c r="AQ607" s="30" t="str">
        <f aca="false">IF(OR(Y607="判定不能",G607="判定不能"),"判定不能",IF(AP607&gt;=判定条件!$C$9,"利用可",IF(AND(Y607="停止",G607="停止"),"両方停止","運転がそろわない")))</f>
        <v>両方停止</v>
      </c>
      <c r="AR607" s="30" t="n">
        <v>60</v>
      </c>
      <c r="AS607" s="30" t="n">
        <v>0</v>
      </c>
      <c r="AT607" s="30" t="str">
        <f aca="false">IF(OR(AB607="判定不能",J607="判定不能"),"判定不能",IF(AS607&gt;=判定条件!$C$9,"利用可",IF(AND(AB607="停止",J607="停止"),"両方停止","運転がそろわない")))</f>
        <v>両方停止</v>
      </c>
      <c r="AU607" s="30" t="n">
        <v>60</v>
      </c>
      <c r="AV607" s="30" t="n">
        <v>0</v>
      </c>
      <c r="AW607" s="30" t="str">
        <f aca="false">IF(OR(AE607="判定不能",M607="判定不能"),"判定不能",IF(AV607&gt;=判定条件!$C$9,"利用可",IF(AND(AE607="停止",M607="停止"),"両方停止","運転がそろわない")))</f>
        <v>両方停止</v>
      </c>
      <c r="AX607" s="30" t="str">
        <f aca="false">IF(AND(AH607="利用可",AK607="利用可",AN607="利用可"),"利用可","不可")</f>
        <v>不可</v>
      </c>
      <c r="AY607" s="30" t="str">
        <f aca="false">IF(AND(AQ607="利用可",AT607="利用可",AW607="利用可"),"利用可","不可")</f>
        <v>不可</v>
      </c>
    </row>
    <row r="608" customFormat="false" ht="15" hidden="false" customHeight="false" outlineLevel="0" collapsed="false">
      <c r="A608" s="29" t="n">
        <v>46257</v>
      </c>
      <c r="B608" s="30" t="n">
        <v>5</v>
      </c>
      <c r="C608" s="31" t="s">
        <v>65</v>
      </c>
      <c r="D608" s="31" t="s">
        <v>64</v>
      </c>
      <c r="E608" s="30" t="n">
        <v>60</v>
      </c>
      <c r="F608" s="30" t="n">
        <v>0</v>
      </c>
      <c r="G608" s="30" t="str">
        <f aca="false">IF(E608&lt;判定条件!$C$6,"判定不能",IF(F608&gt;=判定条件!$C$7*E608,"運転",IF(F608&lt;=判定条件!$C$8*E608,"停止","断続")))</f>
        <v>停止</v>
      </c>
      <c r="H608" s="30" t="n">
        <v>60</v>
      </c>
      <c r="I608" s="30" t="n">
        <v>0</v>
      </c>
      <c r="J608" s="30" t="str">
        <f aca="false">IF(H608&lt;判定条件!$C$6,"判定不能",IF(I608&gt;=判定条件!$C$7*H608,"運転",IF(I608&lt;=判定条件!$C$8*H608,"停止","断続")))</f>
        <v>停止</v>
      </c>
      <c r="K608" s="30" t="n">
        <v>60</v>
      </c>
      <c r="L608" s="30" t="n">
        <v>0</v>
      </c>
      <c r="M608" s="30" t="str">
        <f aca="false">IF(K608&lt;判定条件!$C$6,"判定不能",IF(L608&gt;=判定条件!$C$7*K608,"運転",IF(L608&lt;=判定条件!$C$8*K608,"停止","断続")))</f>
        <v>停止</v>
      </c>
      <c r="N608" s="30" t="n">
        <v>60</v>
      </c>
      <c r="O608" s="30" t="n">
        <v>0</v>
      </c>
      <c r="P608" s="30" t="str">
        <f aca="false">IF(N608&lt;判定条件!$C$6,"判定不能",IF(O608&gt;=判定条件!$C$7*N608,"運転",IF(O608&lt;=判定条件!$C$8*N608,"停止","断続")))</f>
        <v>停止</v>
      </c>
      <c r="Q608" s="30" t="n">
        <v>0</v>
      </c>
      <c r="R608" s="30" t="n">
        <v>0</v>
      </c>
      <c r="S608" s="30" t="str">
        <f aca="false">IF(Q608&lt;判定条件!$C$6,"判定不能",IF(R608&gt;=判定条件!$C$7*Q608,"運転",IF(R608&lt;=判定条件!$C$8*Q608,"停止","断続")))</f>
        <v>判定不能</v>
      </c>
      <c r="T608" s="30" t="n">
        <v>60</v>
      </c>
      <c r="U608" s="30" t="n">
        <v>0</v>
      </c>
      <c r="V608" s="30" t="str">
        <f aca="false">IF(T608&lt;判定条件!$C$6,"判定不能",IF(U608&gt;=判定条件!$C$7*T608,"運転",IF(U608&lt;=判定条件!$C$8*T608,"停止","断続")))</f>
        <v>停止</v>
      </c>
      <c r="W608" s="30" t="n">
        <v>60</v>
      </c>
      <c r="X608" s="30" t="n">
        <v>0</v>
      </c>
      <c r="Y608" s="30" t="str">
        <f aca="false">IF(W608&lt;判定条件!$C$6,"判定不能",IF(X608&gt;=判定条件!$C$7*W608,"運転",IF(X608&lt;=判定条件!$C$8*W608,"停止","断続")))</f>
        <v>停止</v>
      </c>
      <c r="Z608" s="30" t="n">
        <v>60</v>
      </c>
      <c r="AA608" s="30" t="n">
        <v>0</v>
      </c>
      <c r="AB608" s="30" t="str">
        <f aca="false">IF(Z608&lt;判定条件!$C$6,"判定不能",IF(AA608&gt;=判定条件!$C$7*Z608,"運転",IF(AA608&lt;=判定条件!$C$8*Z608,"停止","断続")))</f>
        <v>停止</v>
      </c>
      <c r="AC608" s="30" t="n">
        <v>60</v>
      </c>
      <c r="AD608" s="30" t="n">
        <v>0</v>
      </c>
      <c r="AE608" s="30" t="str">
        <f aca="false">IF(AC608&lt;判定条件!$C$6,"判定不能",IF(AD608&gt;=判定条件!$C$7*AC608,"運転",IF(AD608&lt;=判定条件!$C$8*AC608,"停止","断続")))</f>
        <v>停止</v>
      </c>
      <c r="AF608" s="30" t="n">
        <v>60</v>
      </c>
      <c r="AG608" s="30" t="n">
        <v>0</v>
      </c>
      <c r="AH608" s="30" t="str">
        <f aca="false">IF(OR(P608="判定不能",G608="判定不能"),"判定不能",IF(AG608&gt;=判定条件!$C$9,"利用可",IF(AND(P608="停止",G608="停止"),"両方停止","運転がそろわない")))</f>
        <v>両方停止</v>
      </c>
      <c r="AI608" s="30" t="n">
        <v>0</v>
      </c>
      <c r="AJ608" s="30" t="n">
        <v>0</v>
      </c>
      <c r="AK608" s="30" t="str">
        <f aca="false">IF(OR(S608="判定不能",J608="判定不能"),"判定不能",IF(AJ608&gt;=判定条件!$C$9,"利用可",IF(AND(S608="停止",J608="停止"),"両方停止","運転がそろわない")))</f>
        <v>判定不能</v>
      </c>
      <c r="AL608" s="30" t="n">
        <v>60</v>
      </c>
      <c r="AM608" s="30" t="n">
        <v>0</v>
      </c>
      <c r="AN608" s="30" t="str">
        <f aca="false">IF(OR(V608="判定不能",M608="判定不能"),"判定不能",IF(AM608&gt;=判定条件!$C$9,"利用可",IF(AND(V608="停止",M608="停止"),"両方停止","運転がそろわない")))</f>
        <v>両方停止</v>
      </c>
      <c r="AO608" s="30" t="n">
        <v>60</v>
      </c>
      <c r="AP608" s="30" t="n">
        <v>0</v>
      </c>
      <c r="AQ608" s="30" t="str">
        <f aca="false">IF(OR(Y608="判定不能",G608="判定不能"),"判定不能",IF(AP608&gt;=判定条件!$C$9,"利用可",IF(AND(Y608="停止",G608="停止"),"両方停止","運転がそろわない")))</f>
        <v>両方停止</v>
      </c>
      <c r="AR608" s="30" t="n">
        <v>60</v>
      </c>
      <c r="AS608" s="30" t="n">
        <v>0</v>
      </c>
      <c r="AT608" s="30" t="str">
        <f aca="false">IF(OR(AB608="判定不能",J608="判定不能"),"判定不能",IF(AS608&gt;=判定条件!$C$9,"利用可",IF(AND(AB608="停止",J608="停止"),"両方停止","運転がそろわない")))</f>
        <v>両方停止</v>
      </c>
      <c r="AU608" s="30" t="n">
        <v>60</v>
      </c>
      <c r="AV608" s="30" t="n">
        <v>0</v>
      </c>
      <c r="AW608" s="30" t="str">
        <f aca="false">IF(OR(AE608="判定不能",M608="判定不能"),"判定不能",IF(AV608&gt;=判定条件!$C$9,"利用可",IF(AND(AE608="停止",M608="停止"),"両方停止","運転がそろわない")))</f>
        <v>両方停止</v>
      </c>
      <c r="AX608" s="30" t="str">
        <f aca="false">IF(AND(AH608="利用可",AK608="利用可",AN608="利用可"),"利用可","不可")</f>
        <v>不可</v>
      </c>
      <c r="AY608" s="30" t="str">
        <f aca="false">IF(AND(AQ608="利用可",AT608="利用可",AW608="利用可"),"利用可","不可")</f>
        <v>不可</v>
      </c>
    </row>
    <row r="609" customFormat="false" ht="15" hidden="false" customHeight="false" outlineLevel="0" collapsed="false">
      <c r="A609" s="29" t="n">
        <v>46257</v>
      </c>
      <c r="B609" s="30" t="n">
        <v>6</v>
      </c>
      <c r="C609" s="31" t="s">
        <v>65</v>
      </c>
      <c r="D609" s="31" t="s">
        <v>64</v>
      </c>
      <c r="E609" s="30" t="n">
        <v>60</v>
      </c>
      <c r="F609" s="30" t="n">
        <v>0</v>
      </c>
      <c r="G609" s="30" t="str">
        <f aca="false">IF(E609&lt;判定条件!$C$6,"判定不能",IF(F609&gt;=判定条件!$C$7*E609,"運転",IF(F609&lt;=判定条件!$C$8*E609,"停止","断続")))</f>
        <v>停止</v>
      </c>
      <c r="H609" s="30" t="n">
        <v>60</v>
      </c>
      <c r="I609" s="30" t="n">
        <v>0</v>
      </c>
      <c r="J609" s="30" t="str">
        <f aca="false">IF(H609&lt;判定条件!$C$6,"判定不能",IF(I609&gt;=判定条件!$C$7*H609,"運転",IF(I609&lt;=判定条件!$C$8*H609,"停止","断続")))</f>
        <v>停止</v>
      </c>
      <c r="K609" s="30" t="n">
        <v>60</v>
      </c>
      <c r="L609" s="30" t="n">
        <v>0</v>
      </c>
      <c r="M609" s="30" t="str">
        <f aca="false">IF(K609&lt;判定条件!$C$6,"判定不能",IF(L609&gt;=判定条件!$C$7*K609,"運転",IF(L609&lt;=判定条件!$C$8*K609,"停止","断続")))</f>
        <v>停止</v>
      </c>
      <c r="N609" s="30" t="n">
        <v>60</v>
      </c>
      <c r="O609" s="30" t="n">
        <v>0</v>
      </c>
      <c r="P609" s="30" t="str">
        <f aca="false">IF(N609&lt;判定条件!$C$6,"判定不能",IF(O609&gt;=判定条件!$C$7*N609,"運転",IF(O609&lt;=判定条件!$C$8*N609,"停止","断続")))</f>
        <v>停止</v>
      </c>
      <c r="Q609" s="30" t="n">
        <v>0</v>
      </c>
      <c r="R609" s="30" t="n">
        <v>0</v>
      </c>
      <c r="S609" s="30" t="str">
        <f aca="false">IF(Q609&lt;判定条件!$C$6,"判定不能",IF(R609&gt;=判定条件!$C$7*Q609,"運転",IF(R609&lt;=判定条件!$C$8*Q609,"停止","断続")))</f>
        <v>判定不能</v>
      </c>
      <c r="T609" s="30" t="n">
        <v>60</v>
      </c>
      <c r="U609" s="30" t="n">
        <v>0</v>
      </c>
      <c r="V609" s="30" t="str">
        <f aca="false">IF(T609&lt;判定条件!$C$6,"判定不能",IF(U609&gt;=判定条件!$C$7*T609,"運転",IF(U609&lt;=判定条件!$C$8*T609,"停止","断続")))</f>
        <v>停止</v>
      </c>
      <c r="W609" s="30" t="n">
        <v>60</v>
      </c>
      <c r="X609" s="30" t="n">
        <v>0</v>
      </c>
      <c r="Y609" s="30" t="str">
        <f aca="false">IF(W609&lt;判定条件!$C$6,"判定不能",IF(X609&gt;=判定条件!$C$7*W609,"運転",IF(X609&lt;=判定条件!$C$8*W609,"停止","断続")))</f>
        <v>停止</v>
      </c>
      <c r="Z609" s="30" t="n">
        <v>60</v>
      </c>
      <c r="AA609" s="30" t="n">
        <v>0</v>
      </c>
      <c r="AB609" s="30" t="str">
        <f aca="false">IF(Z609&lt;判定条件!$C$6,"判定不能",IF(AA609&gt;=判定条件!$C$7*Z609,"運転",IF(AA609&lt;=判定条件!$C$8*Z609,"停止","断続")))</f>
        <v>停止</v>
      </c>
      <c r="AC609" s="30" t="n">
        <v>60</v>
      </c>
      <c r="AD609" s="30" t="n">
        <v>0</v>
      </c>
      <c r="AE609" s="30" t="str">
        <f aca="false">IF(AC609&lt;判定条件!$C$6,"判定不能",IF(AD609&gt;=判定条件!$C$7*AC609,"運転",IF(AD609&lt;=判定条件!$C$8*AC609,"停止","断続")))</f>
        <v>停止</v>
      </c>
      <c r="AF609" s="30" t="n">
        <v>60</v>
      </c>
      <c r="AG609" s="30" t="n">
        <v>0</v>
      </c>
      <c r="AH609" s="30" t="str">
        <f aca="false">IF(OR(P609="判定不能",G609="判定不能"),"判定不能",IF(AG609&gt;=判定条件!$C$9,"利用可",IF(AND(P609="停止",G609="停止"),"両方停止","運転がそろわない")))</f>
        <v>両方停止</v>
      </c>
      <c r="AI609" s="30" t="n">
        <v>0</v>
      </c>
      <c r="AJ609" s="30" t="n">
        <v>0</v>
      </c>
      <c r="AK609" s="30" t="str">
        <f aca="false">IF(OR(S609="判定不能",J609="判定不能"),"判定不能",IF(AJ609&gt;=判定条件!$C$9,"利用可",IF(AND(S609="停止",J609="停止"),"両方停止","運転がそろわない")))</f>
        <v>判定不能</v>
      </c>
      <c r="AL609" s="30" t="n">
        <v>60</v>
      </c>
      <c r="AM609" s="30" t="n">
        <v>0</v>
      </c>
      <c r="AN609" s="30" t="str">
        <f aca="false">IF(OR(V609="判定不能",M609="判定不能"),"判定不能",IF(AM609&gt;=判定条件!$C$9,"利用可",IF(AND(V609="停止",M609="停止"),"両方停止","運転がそろわない")))</f>
        <v>両方停止</v>
      </c>
      <c r="AO609" s="30" t="n">
        <v>60</v>
      </c>
      <c r="AP609" s="30" t="n">
        <v>0</v>
      </c>
      <c r="AQ609" s="30" t="str">
        <f aca="false">IF(OR(Y609="判定不能",G609="判定不能"),"判定不能",IF(AP609&gt;=判定条件!$C$9,"利用可",IF(AND(Y609="停止",G609="停止"),"両方停止","運転がそろわない")))</f>
        <v>両方停止</v>
      </c>
      <c r="AR609" s="30" t="n">
        <v>60</v>
      </c>
      <c r="AS609" s="30" t="n">
        <v>0</v>
      </c>
      <c r="AT609" s="30" t="str">
        <f aca="false">IF(OR(AB609="判定不能",J609="判定不能"),"判定不能",IF(AS609&gt;=判定条件!$C$9,"利用可",IF(AND(AB609="停止",J609="停止"),"両方停止","運転がそろわない")))</f>
        <v>両方停止</v>
      </c>
      <c r="AU609" s="30" t="n">
        <v>60</v>
      </c>
      <c r="AV609" s="30" t="n">
        <v>0</v>
      </c>
      <c r="AW609" s="30" t="str">
        <f aca="false">IF(OR(AE609="判定不能",M609="判定不能"),"判定不能",IF(AV609&gt;=判定条件!$C$9,"利用可",IF(AND(AE609="停止",M609="停止"),"両方停止","運転がそろわない")))</f>
        <v>両方停止</v>
      </c>
      <c r="AX609" s="30" t="str">
        <f aca="false">IF(AND(AH609="利用可",AK609="利用可",AN609="利用可"),"利用可","不可")</f>
        <v>不可</v>
      </c>
      <c r="AY609" s="30" t="str">
        <f aca="false">IF(AND(AQ609="利用可",AT609="利用可",AW609="利用可"),"利用可","不可")</f>
        <v>不可</v>
      </c>
    </row>
    <row r="610" customFormat="false" ht="15" hidden="false" customHeight="false" outlineLevel="0" collapsed="false">
      <c r="A610" s="29" t="n">
        <v>46257</v>
      </c>
      <c r="B610" s="30" t="n">
        <v>7</v>
      </c>
      <c r="C610" s="31" t="s">
        <v>65</v>
      </c>
      <c r="D610" s="31" t="s">
        <v>64</v>
      </c>
      <c r="E610" s="30" t="n">
        <v>60</v>
      </c>
      <c r="F610" s="30" t="n">
        <v>0</v>
      </c>
      <c r="G610" s="30" t="str">
        <f aca="false">IF(E610&lt;判定条件!$C$6,"判定不能",IF(F610&gt;=判定条件!$C$7*E610,"運転",IF(F610&lt;=判定条件!$C$8*E610,"停止","断続")))</f>
        <v>停止</v>
      </c>
      <c r="H610" s="30" t="n">
        <v>60</v>
      </c>
      <c r="I610" s="30" t="n">
        <v>0</v>
      </c>
      <c r="J610" s="30" t="str">
        <f aca="false">IF(H610&lt;判定条件!$C$6,"判定不能",IF(I610&gt;=判定条件!$C$7*H610,"運転",IF(I610&lt;=判定条件!$C$8*H610,"停止","断続")))</f>
        <v>停止</v>
      </c>
      <c r="K610" s="30" t="n">
        <v>60</v>
      </c>
      <c r="L610" s="30" t="n">
        <v>0</v>
      </c>
      <c r="M610" s="30" t="str">
        <f aca="false">IF(K610&lt;判定条件!$C$6,"判定不能",IF(L610&gt;=判定条件!$C$7*K610,"運転",IF(L610&lt;=判定条件!$C$8*K610,"停止","断続")))</f>
        <v>停止</v>
      </c>
      <c r="N610" s="30" t="n">
        <v>60</v>
      </c>
      <c r="O610" s="30" t="n">
        <v>0</v>
      </c>
      <c r="P610" s="30" t="str">
        <f aca="false">IF(N610&lt;判定条件!$C$6,"判定不能",IF(O610&gt;=判定条件!$C$7*N610,"運転",IF(O610&lt;=判定条件!$C$8*N610,"停止","断続")))</f>
        <v>停止</v>
      </c>
      <c r="Q610" s="30" t="n">
        <v>0</v>
      </c>
      <c r="R610" s="30" t="n">
        <v>0</v>
      </c>
      <c r="S610" s="30" t="str">
        <f aca="false">IF(Q610&lt;判定条件!$C$6,"判定不能",IF(R610&gt;=判定条件!$C$7*Q610,"運転",IF(R610&lt;=判定条件!$C$8*Q610,"停止","断続")))</f>
        <v>判定不能</v>
      </c>
      <c r="T610" s="30" t="n">
        <v>60</v>
      </c>
      <c r="U610" s="30" t="n">
        <v>0</v>
      </c>
      <c r="V610" s="30" t="str">
        <f aca="false">IF(T610&lt;判定条件!$C$6,"判定不能",IF(U610&gt;=判定条件!$C$7*T610,"運転",IF(U610&lt;=判定条件!$C$8*T610,"停止","断続")))</f>
        <v>停止</v>
      </c>
      <c r="W610" s="30" t="n">
        <v>60</v>
      </c>
      <c r="X610" s="30" t="n">
        <v>0</v>
      </c>
      <c r="Y610" s="30" t="str">
        <f aca="false">IF(W610&lt;判定条件!$C$6,"判定不能",IF(X610&gt;=判定条件!$C$7*W610,"運転",IF(X610&lt;=判定条件!$C$8*W610,"停止","断続")))</f>
        <v>停止</v>
      </c>
      <c r="Z610" s="30" t="n">
        <v>60</v>
      </c>
      <c r="AA610" s="30" t="n">
        <v>0</v>
      </c>
      <c r="AB610" s="30" t="str">
        <f aca="false">IF(Z610&lt;判定条件!$C$6,"判定不能",IF(AA610&gt;=判定条件!$C$7*Z610,"運転",IF(AA610&lt;=判定条件!$C$8*Z610,"停止","断続")))</f>
        <v>停止</v>
      </c>
      <c r="AC610" s="30" t="n">
        <v>60</v>
      </c>
      <c r="AD610" s="30" t="n">
        <v>3</v>
      </c>
      <c r="AE610" s="30" t="str">
        <f aca="false">IF(AC610&lt;判定条件!$C$6,"判定不能",IF(AD610&gt;=判定条件!$C$7*AC610,"運転",IF(AD610&lt;=判定条件!$C$8*AC610,"停止","断続")))</f>
        <v>停止</v>
      </c>
      <c r="AF610" s="30" t="n">
        <v>60</v>
      </c>
      <c r="AG610" s="30" t="n">
        <v>0</v>
      </c>
      <c r="AH610" s="30" t="str">
        <f aca="false">IF(OR(P610="判定不能",G610="判定不能"),"判定不能",IF(AG610&gt;=判定条件!$C$9,"利用可",IF(AND(P610="停止",G610="停止"),"両方停止","運転がそろわない")))</f>
        <v>両方停止</v>
      </c>
      <c r="AI610" s="30" t="n">
        <v>0</v>
      </c>
      <c r="AJ610" s="30" t="n">
        <v>0</v>
      </c>
      <c r="AK610" s="30" t="str">
        <f aca="false">IF(OR(S610="判定不能",J610="判定不能"),"判定不能",IF(AJ610&gt;=判定条件!$C$9,"利用可",IF(AND(S610="停止",J610="停止"),"両方停止","運転がそろわない")))</f>
        <v>判定不能</v>
      </c>
      <c r="AL610" s="30" t="n">
        <v>60</v>
      </c>
      <c r="AM610" s="30" t="n">
        <v>0</v>
      </c>
      <c r="AN610" s="30" t="str">
        <f aca="false">IF(OR(V610="判定不能",M610="判定不能"),"判定不能",IF(AM610&gt;=判定条件!$C$9,"利用可",IF(AND(V610="停止",M610="停止"),"両方停止","運転がそろわない")))</f>
        <v>両方停止</v>
      </c>
      <c r="AO610" s="30" t="n">
        <v>60</v>
      </c>
      <c r="AP610" s="30" t="n">
        <v>0</v>
      </c>
      <c r="AQ610" s="30" t="str">
        <f aca="false">IF(OR(Y610="判定不能",G610="判定不能"),"判定不能",IF(AP610&gt;=判定条件!$C$9,"利用可",IF(AND(Y610="停止",G610="停止"),"両方停止","運転がそろわない")))</f>
        <v>両方停止</v>
      </c>
      <c r="AR610" s="30" t="n">
        <v>60</v>
      </c>
      <c r="AS610" s="30" t="n">
        <v>0</v>
      </c>
      <c r="AT610" s="30" t="str">
        <f aca="false">IF(OR(AB610="判定不能",J610="判定不能"),"判定不能",IF(AS610&gt;=判定条件!$C$9,"利用可",IF(AND(AB610="停止",J610="停止"),"両方停止","運転がそろわない")))</f>
        <v>両方停止</v>
      </c>
      <c r="AU610" s="30" t="n">
        <v>60</v>
      </c>
      <c r="AV610" s="30" t="n">
        <v>0</v>
      </c>
      <c r="AW610" s="30" t="str">
        <f aca="false">IF(OR(AE610="判定不能",M610="判定不能"),"判定不能",IF(AV610&gt;=判定条件!$C$9,"利用可",IF(AND(AE610="停止",M610="停止"),"両方停止","運転がそろわない")))</f>
        <v>両方停止</v>
      </c>
      <c r="AX610" s="30" t="str">
        <f aca="false">IF(AND(AH610="利用可",AK610="利用可",AN610="利用可"),"利用可","不可")</f>
        <v>不可</v>
      </c>
      <c r="AY610" s="30" t="str">
        <f aca="false">IF(AND(AQ610="利用可",AT610="利用可",AW610="利用可"),"利用可","不可")</f>
        <v>不可</v>
      </c>
    </row>
    <row r="611" customFormat="false" ht="15" hidden="false" customHeight="false" outlineLevel="0" collapsed="false">
      <c r="A611" s="29" t="n">
        <v>46257</v>
      </c>
      <c r="B611" s="30" t="n">
        <v>8</v>
      </c>
      <c r="C611" s="31" t="s">
        <v>65</v>
      </c>
      <c r="D611" s="31" t="s">
        <v>64</v>
      </c>
      <c r="E611" s="30" t="n">
        <v>60</v>
      </c>
      <c r="F611" s="30" t="n">
        <v>41</v>
      </c>
      <c r="G611" s="30" t="str">
        <f aca="false">IF(E611&lt;判定条件!$C$6,"判定不能",IF(F611&gt;=判定条件!$C$7*E611,"運転",IF(F611&lt;=判定条件!$C$8*E611,"停止","断続")))</f>
        <v>断続</v>
      </c>
      <c r="H611" s="30" t="n">
        <v>60</v>
      </c>
      <c r="I611" s="30" t="n">
        <v>42</v>
      </c>
      <c r="J611" s="30" t="str">
        <f aca="false">IF(H611&lt;判定条件!$C$6,"判定不能",IF(I611&gt;=判定条件!$C$7*H611,"運転",IF(I611&lt;=判定条件!$C$8*H611,"停止","断続")))</f>
        <v>断続</v>
      </c>
      <c r="K611" s="30" t="n">
        <v>60</v>
      </c>
      <c r="L611" s="30" t="n">
        <v>42</v>
      </c>
      <c r="M611" s="30" t="str">
        <f aca="false">IF(K611&lt;判定条件!$C$6,"判定不能",IF(L611&gt;=判定条件!$C$7*K611,"運転",IF(L611&lt;=判定条件!$C$8*K611,"停止","断続")))</f>
        <v>断続</v>
      </c>
      <c r="N611" s="30" t="n">
        <v>60</v>
      </c>
      <c r="O611" s="30" t="n">
        <v>4</v>
      </c>
      <c r="P611" s="30" t="str">
        <f aca="false">IF(N611&lt;判定条件!$C$6,"判定不能",IF(O611&gt;=判定条件!$C$7*N611,"運転",IF(O611&lt;=判定条件!$C$8*N611,"停止","断続")))</f>
        <v>停止</v>
      </c>
      <c r="Q611" s="30" t="n">
        <v>0</v>
      </c>
      <c r="R611" s="30" t="n">
        <v>0</v>
      </c>
      <c r="S611" s="30" t="str">
        <f aca="false">IF(Q611&lt;判定条件!$C$6,"判定不能",IF(R611&gt;=判定条件!$C$7*Q611,"運転",IF(R611&lt;=判定条件!$C$8*Q611,"停止","断続")))</f>
        <v>判定不能</v>
      </c>
      <c r="T611" s="30" t="n">
        <v>60</v>
      </c>
      <c r="U611" s="30" t="n">
        <v>17</v>
      </c>
      <c r="V611" s="30" t="str">
        <f aca="false">IF(T611&lt;判定条件!$C$6,"判定不能",IF(U611&gt;=判定条件!$C$7*T611,"運転",IF(U611&lt;=判定条件!$C$8*T611,"停止","断続")))</f>
        <v>断続</v>
      </c>
      <c r="W611" s="30" t="n">
        <v>60</v>
      </c>
      <c r="X611" s="30" t="n">
        <v>55</v>
      </c>
      <c r="Y611" s="30" t="str">
        <f aca="false">IF(W611&lt;判定条件!$C$6,"判定不能",IF(X611&gt;=判定条件!$C$7*W611,"運転",IF(X611&lt;=判定条件!$C$8*W611,"停止","断続")))</f>
        <v>運転</v>
      </c>
      <c r="Z611" s="30" t="n">
        <v>60</v>
      </c>
      <c r="AA611" s="30" t="n">
        <v>52</v>
      </c>
      <c r="AB611" s="30" t="str">
        <f aca="false">IF(Z611&lt;判定条件!$C$6,"判定不能",IF(AA611&gt;=判定条件!$C$7*Z611,"運転",IF(AA611&lt;=判定条件!$C$8*Z611,"停止","断続")))</f>
        <v>運転</v>
      </c>
      <c r="AC611" s="30" t="n">
        <v>60</v>
      </c>
      <c r="AD611" s="30" t="n">
        <v>55</v>
      </c>
      <c r="AE611" s="30" t="str">
        <f aca="false">IF(AC611&lt;判定条件!$C$6,"判定不能",IF(AD611&gt;=判定条件!$C$7*AC611,"運転",IF(AD611&lt;=判定条件!$C$8*AC611,"停止","断続")))</f>
        <v>運転</v>
      </c>
      <c r="AF611" s="30" t="n">
        <v>60</v>
      </c>
      <c r="AG611" s="30" t="n">
        <v>4</v>
      </c>
      <c r="AH611" s="30" t="str">
        <f aca="false">IF(OR(P611="判定不能",G611="判定不能"),"判定不能",IF(AG611&gt;=判定条件!$C$9,"利用可",IF(AND(P611="停止",G611="停止"),"両方停止","運転がそろわない")))</f>
        <v>運転がそろわない</v>
      </c>
      <c r="AI611" s="30" t="n">
        <v>0</v>
      </c>
      <c r="AJ611" s="30" t="n">
        <v>0</v>
      </c>
      <c r="AK611" s="30" t="str">
        <f aca="false">IF(OR(S611="判定不能",J611="判定不能"),"判定不能",IF(AJ611&gt;=判定条件!$C$9,"利用可",IF(AND(S611="停止",J611="停止"),"両方停止","運転がそろわない")))</f>
        <v>判定不能</v>
      </c>
      <c r="AL611" s="30" t="n">
        <v>60</v>
      </c>
      <c r="AM611" s="30" t="n">
        <v>17</v>
      </c>
      <c r="AN611" s="30" t="str">
        <f aca="false">IF(OR(V611="判定不能",M611="判定不能"),"判定不能",IF(AM611&gt;=判定条件!$C$9,"利用可",IF(AND(V611="停止",M611="停止"),"両方停止","運転がそろわない")))</f>
        <v>運転がそろわない</v>
      </c>
      <c r="AO611" s="30" t="n">
        <v>60</v>
      </c>
      <c r="AP611" s="30" t="n">
        <v>41</v>
      </c>
      <c r="AQ611" s="30" t="str">
        <f aca="false">IF(OR(Y611="判定不能",G611="判定不能"),"判定不能",IF(AP611&gt;=判定条件!$C$9,"利用可",IF(AND(Y611="停止",G611="停止"),"両方停止","運転がそろわない")))</f>
        <v>利用可</v>
      </c>
      <c r="AR611" s="30" t="n">
        <v>60</v>
      </c>
      <c r="AS611" s="30" t="n">
        <v>42</v>
      </c>
      <c r="AT611" s="30" t="str">
        <f aca="false">IF(OR(AB611="判定不能",J611="判定不能"),"判定不能",IF(AS611&gt;=判定条件!$C$9,"利用可",IF(AND(AB611="停止",J611="停止"),"両方停止","運転がそろわない")))</f>
        <v>利用可</v>
      </c>
      <c r="AU611" s="30" t="n">
        <v>60</v>
      </c>
      <c r="AV611" s="30" t="n">
        <v>42</v>
      </c>
      <c r="AW611" s="30" t="str">
        <f aca="false">IF(OR(AE611="判定不能",M611="判定不能"),"判定不能",IF(AV611&gt;=判定条件!$C$9,"利用可",IF(AND(AE611="停止",M611="停止"),"両方停止","運転がそろわない")))</f>
        <v>利用可</v>
      </c>
      <c r="AX611" s="30" t="str">
        <f aca="false">IF(AND(AH611="利用可",AK611="利用可",AN611="利用可"),"利用可","不可")</f>
        <v>不可</v>
      </c>
      <c r="AY611" s="30" t="str">
        <f aca="false">IF(AND(AQ611="利用可",AT611="利用可",AW611="利用可"),"利用可","不可")</f>
        <v>利用可</v>
      </c>
    </row>
    <row r="612" customFormat="false" ht="15" hidden="false" customHeight="false" outlineLevel="0" collapsed="false">
      <c r="A612" s="29" t="n">
        <v>46257</v>
      </c>
      <c r="B612" s="30" t="n">
        <v>9</v>
      </c>
      <c r="C612" s="31" t="s">
        <v>65</v>
      </c>
      <c r="D612" s="31" t="s">
        <v>64</v>
      </c>
      <c r="E612" s="30" t="n">
        <v>60</v>
      </c>
      <c r="F612" s="30" t="n">
        <v>60</v>
      </c>
      <c r="G612" s="30" t="str">
        <f aca="false">IF(E612&lt;判定条件!$C$6,"判定不能",IF(F612&gt;=判定条件!$C$7*E612,"運転",IF(F612&lt;=判定条件!$C$8*E612,"停止","断続")))</f>
        <v>運転</v>
      </c>
      <c r="H612" s="30" t="n">
        <v>60</v>
      </c>
      <c r="I612" s="30" t="n">
        <v>55</v>
      </c>
      <c r="J612" s="30" t="str">
        <f aca="false">IF(H612&lt;判定条件!$C$6,"判定不能",IF(I612&gt;=判定条件!$C$7*H612,"運転",IF(I612&lt;=判定条件!$C$8*H612,"停止","断続")))</f>
        <v>運転</v>
      </c>
      <c r="K612" s="30" t="n">
        <v>60</v>
      </c>
      <c r="L612" s="30" t="n">
        <v>60</v>
      </c>
      <c r="M612" s="30" t="str">
        <f aca="false">IF(K612&lt;判定条件!$C$6,"判定不能",IF(L612&gt;=判定条件!$C$7*K612,"運転",IF(L612&lt;=判定条件!$C$8*K612,"停止","断続")))</f>
        <v>運転</v>
      </c>
      <c r="N612" s="30" t="n">
        <v>60</v>
      </c>
      <c r="O612" s="30" t="n">
        <v>0</v>
      </c>
      <c r="P612" s="30" t="str">
        <f aca="false">IF(N612&lt;判定条件!$C$6,"判定不能",IF(O612&gt;=判定条件!$C$7*N612,"運転",IF(O612&lt;=判定条件!$C$8*N612,"停止","断続")))</f>
        <v>停止</v>
      </c>
      <c r="Q612" s="30" t="n">
        <v>0</v>
      </c>
      <c r="R612" s="30" t="n">
        <v>0</v>
      </c>
      <c r="S612" s="30" t="str">
        <f aca="false">IF(Q612&lt;判定条件!$C$6,"判定不能",IF(R612&gt;=判定条件!$C$7*Q612,"運転",IF(R612&lt;=判定条件!$C$8*Q612,"停止","断続")))</f>
        <v>判定不能</v>
      </c>
      <c r="T612" s="30" t="n">
        <v>60</v>
      </c>
      <c r="U612" s="30" t="n">
        <v>60</v>
      </c>
      <c r="V612" s="30" t="str">
        <f aca="false">IF(T612&lt;判定条件!$C$6,"判定不能",IF(U612&gt;=判定条件!$C$7*T612,"運転",IF(U612&lt;=判定条件!$C$8*T612,"停止","断続")))</f>
        <v>運転</v>
      </c>
      <c r="W612" s="30" t="n">
        <v>60</v>
      </c>
      <c r="X612" s="30" t="n">
        <v>45</v>
      </c>
      <c r="Y612" s="30" t="str">
        <f aca="false">IF(W612&lt;判定条件!$C$6,"判定不能",IF(X612&gt;=判定条件!$C$7*W612,"運転",IF(X612&lt;=判定条件!$C$8*W612,"停止","断続")))</f>
        <v>断続</v>
      </c>
      <c r="Z612" s="30" t="n">
        <v>60</v>
      </c>
      <c r="AA612" s="30" t="n">
        <v>33</v>
      </c>
      <c r="AB612" s="30" t="str">
        <f aca="false">IF(Z612&lt;判定条件!$C$6,"判定不能",IF(AA612&gt;=判定条件!$C$7*Z612,"運転",IF(AA612&lt;=判定条件!$C$8*Z612,"停止","断続")))</f>
        <v>断続</v>
      </c>
      <c r="AC612" s="30" t="n">
        <v>60</v>
      </c>
      <c r="AD612" s="30" t="n">
        <v>60</v>
      </c>
      <c r="AE612" s="30" t="str">
        <f aca="false">IF(AC612&lt;判定条件!$C$6,"判定不能",IF(AD612&gt;=判定条件!$C$7*AC612,"運転",IF(AD612&lt;=判定条件!$C$8*AC612,"停止","断続")))</f>
        <v>運転</v>
      </c>
      <c r="AF612" s="30" t="n">
        <v>60</v>
      </c>
      <c r="AG612" s="30" t="n">
        <v>0</v>
      </c>
      <c r="AH612" s="30" t="str">
        <f aca="false">IF(OR(P612="判定不能",G612="判定不能"),"判定不能",IF(AG612&gt;=判定条件!$C$9,"利用可",IF(AND(P612="停止",G612="停止"),"両方停止","運転がそろわない")))</f>
        <v>運転がそろわない</v>
      </c>
      <c r="AI612" s="30" t="n">
        <v>0</v>
      </c>
      <c r="AJ612" s="30" t="n">
        <v>0</v>
      </c>
      <c r="AK612" s="30" t="str">
        <f aca="false">IF(OR(S612="判定不能",J612="判定不能"),"判定不能",IF(AJ612&gt;=判定条件!$C$9,"利用可",IF(AND(S612="停止",J612="停止"),"両方停止","運転がそろわない")))</f>
        <v>判定不能</v>
      </c>
      <c r="AL612" s="30" t="n">
        <v>60</v>
      </c>
      <c r="AM612" s="30" t="n">
        <v>60</v>
      </c>
      <c r="AN612" s="30" t="str">
        <f aca="false">IF(OR(V612="判定不能",M612="判定不能"),"判定不能",IF(AM612&gt;=判定条件!$C$9,"利用可",IF(AND(V612="停止",M612="停止"),"両方停止","運転がそろわない")))</f>
        <v>利用可</v>
      </c>
      <c r="AO612" s="30" t="n">
        <v>60</v>
      </c>
      <c r="AP612" s="30" t="n">
        <v>45</v>
      </c>
      <c r="AQ612" s="30" t="str">
        <f aca="false">IF(OR(Y612="判定不能",G612="判定不能"),"判定不能",IF(AP612&gt;=判定条件!$C$9,"利用可",IF(AND(Y612="停止",G612="停止"),"両方停止","運転がそろわない")))</f>
        <v>利用可</v>
      </c>
      <c r="AR612" s="30" t="n">
        <v>60</v>
      </c>
      <c r="AS612" s="30" t="n">
        <v>28</v>
      </c>
      <c r="AT612" s="30" t="str">
        <f aca="false">IF(OR(AB612="判定不能",J612="判定不能"),"判定不能",IF(AS612&gt;=判定条件!$C$9,"利用可",IF(AND(AB612="停止",J612="停止"),"両方停止","運転がそろわない")))</f>
        <v>運転がそろわない</v>
      </c>
      <c r="AU612" s="30" t="n">
        <v>60</v>
      </c>
      <c r="AV612" s="30" t="n">
        <v>60</v>
      </c>
      <c r="AW612" s="30" t="str">
        <f aca="false">IF(OR(AE612="判定不能",M612="判定不能"),"判定不能",IF(AV612&gt;=判定条件!$C$9,"利用可",IF(AND(AE612="停止",M612="停止"),"両方停止","運転がそろわない")))</f>
        <v>利用可</v>
      </c>
      <c r="AX612" s="30" t="str">
        <f aca="false">IF(AND(AH612="利用可",AK612="利用可",AN612="利用可"),"利用可","不可")</f>
        <v>不可</v>
      </c>
      <c r="AY612" s="30" t="str">
        <f aca="false">IF(AND(AQ612="利用可",AT612="利用可",AW612="利用可"),"利用可","不可")</f>
        <v>不可</v>
      </c>
    </row>
    <row r="613" customFormat="false" ht="15" hidden="false" customHeight="false" outlineLevel="0" collapsed="false">
      <c r="A613" s="29" t="n">
        <v>46257</v>
      </c>
      <c r="B613" s="30" t="n">
        <v>10</v>
      </c>
      <c r="C613" s="31" t="s">
        <v>65</v>
      </c>
      <c r="D613" s="31" t="s">
        <v>64</v>
      </c>
      <c r="E613" s="30" t="n">
        <v>60</v>
      </c>
      <c r="F613" s="30" t="n">
        <v>60</v>
      </c>
      <c r="G613" s="30" t="str">
        <f aca="false">IF(E613&lt;判定条件!$C$6,"判定不能",IF(F613&gt;=判定条件!$C$7*E613,"運転",IF(F613&lt;=判定条件!$C$8*E613,"停止","断続")))</f>
        <v>運転</v>
      </c>
      <c r="H613" s="30" t="n">
        <v>60</v>
      </c>
      <c r="I613" s="30" t="n">
        <v>60</v>
      </c>
      <c r="J613" s="30" t="str">
        <f aca="false">IF(H613&lt;判定条件!$C$6,"判定不能",IF(I613&gt;=判定条件!$C$7*H613,"運転",IF(I613&lt;=判定条件!$C$8*H613,"停止","断続")))</f>
        <v>運転</v>
      </c>
      <c r="K613" s="30" t="n">
        <v>60</v>
      </c>
      <c r="L613" s="30" t="n">
        <v>60</v>
      </c>
      <c r="M613" s="30" t="str">
        <f aca="false">IF(K613&lt;判定条件!$C$6,"判定不能",IF(L613&gt;=判定条件!$C$7*K613,"運転",IF(L613&lt;=判定条件!$C$8*K613,"停止","断続")))</f>
        <v>運転</v>
      </c>
      <c r="N613" s="30" t="n">
        <v>60</v>
      </c>
      <c r="O613" s="30" t="n">
        <v>11</v>
      </c>
      <c r="P613" s="30" t="str">
        <f aca="false">IF(N613&lt;判定条件!$C$6,"判定不能",IF(O613&gt;=判定条件!$C$7*N613,"運転",IF(O613&lt;=判定条件!$C$8*N613,"停止","断続")))</f>
        <v>停止</v>
      </c>
      <c r="Q613" s="30" t="n">
        <v>0</v>
      </c>
      <c r="R613" s="30" t="n">
        <v>0</v>
      </c>
      <c r="S613" s="30" t="str">
        <f aca="false">IF(Q613&lt;判定条件!$C$6,"判定不能",IF(R613&gt;=判定条件!$C$7*Q613,"運転",IF(R613&lt;=判定条件!$C$8*Q613,"停止","断続")))</f>
        <v>判定不能</v>
      </c>
      <c r="T613" s="30" t="n">
        <v>60</v>
      </c>
      <c r="U613" s="30" t="n">
        <v>50</v>
      </c>
      <c r="V613" s="30" t="str">
        <f aca="false">IF(T613&lt;判定条件!$C$6,"判定不能",IF(U613&gt;=判定条件!$C$7*T613,"運転",IF(U613&lt;=判定条件!$C$8*T613,"停止","断続")))</f>
        <v>運転</v>
      </c>
      <c r="W613" s="30" t="n">
        <v>60</v>
      </c>
      <c r="X613" s="30" t="n">
        <v>60</v>
      </c>
      <c r="Y613" s="30" t="str">
        <f aca="false">IF(W613&lt;判定条件!$C$6,"判定不能",IF(X613&gt;=判定条件!$C$7*W613,"運転",IF(X613&lt;=判定条件!$C$8*W613,"停止","断続")))</f>
        <v>運転</v>
      </c>
      <c r="Z613" s="30" t="n">
        <v>60</v>
      </c>
      <c r="AA613" s="30" t="n">
        <v>27</v>
      </c>
      <c r="AB613" s="30" t="str">
        <f aca="false">IF(Z613&lt;判定条件!$C$6,"判定不能",IF(AA613&gt;=判定条件!$C$7*Z613,"運転",IF(AA613&lt;=判定条件!$C$8*Z613,"停止","断続")))</f>
        <v>断続</v>
      </c>
      <c r="AC613" s="30" t="n">
        <v>60</v>
      </c>
      <c r="AD613" s="30" t="n">
        <v>60</v>
      </c>
      <c r="AE613" s="30" t="str">
        <f aca="false">IF(AC613&lt;判定条件!$C$6,"判定不能",IF(AD613&gt;=判定条件!$C$7*AC613,"運転",IF(AD613&lt;=判定条件!$C$8*AC613,"停止","断続")))</f>
        <v>運転</v>
      </c>
      <c r="AF613" s="30" t="n">
        <v>60</v>
      </c>
      <c r="AG613" s="30" t="n">
        <v>11</v>
      </c>
      <c r="AH613" s="30" t="str">
        <f aca="false">IF(OR(P613="判定不能",G613="判定不能"),"判定不能",IF(AG613&gt;=判定条件!$C$9,"利用可",IF(AND(P613="停止",G613="停止"),"両方停止","運転がそろわない")))</f>
        <v>運転がそろわない</v>
      </c>
      <c r="AI613" s="30" t="n">
        <v>0</v>
      </c>
      <c r="AJ613" s="30" t="n">
        <v>0</v>
      </c>
      <c r="AK613" s="30" t="str">
        <f aca="false">IF(OR(S613="判定不能",J613="判定不能"),"判定不能",IF(AJ613&gt;=判定条件!$C$9,"利用可",IF(AND(S613="停止",J613="停止"),"両方停止","運転がそろわない")))</f>
        <v>判定不能</v>
      </c>
      <c r="AL613" s="30" t="n">
        <v>60</v>
      </c>
      <c r="AM613" s="30" t="n">
        <v>50</v>
      </c>
      <c r="AN613" s="30" t="str">
        <f aca="false">IF(OR(V613="判定不能",M613="判定不能"),"判定不能",IF(AM613&gt;=判定条件!$C$9,"利用可",IF(AND(V613="停止",M613="停止"),"両方停止","運転がそろわない")))</f>
        <v>利用可</v>
      </c>
      <c r="AO613" s="30" t="n">
        <v>60</v>
      </c>
      <c r="AP613" s="30" t="n">
        <v>60</v>
      </c>
      <c r="AQ613" s="30" t="str">
        <f aca="false">IF(OR(Y613="判定不能",G613="判定不能"),"判定不能",IF(AP613&gt;=判定条件!$C$9,"利用可",IF(AND(Y613="停止",G613="停止"),"両方停止","運転がそろわない")))</f>
        <v>利用可</v>
      </c>
      <c r="AR613" s="30" t="n">
        <v>60</v>
      </c>
      <c r="AS613" s="30" t="n">
        <v>27</v>
      </c>
      <c r="AT613" s="30" t="str">
        <f aca="false">IF(OR(AB613="判定不能",J613="判定不能"),"判定不能",IF(AS613&gt;=判定条件!$C$9,"利用可",IF(AND(AB613="停止",J613="停止"),"両方停止","運転がそろわない")))</f>
        <v>運転がそろわない</v>
      </c>
      <c r="AU613" s="30" t="n">
        <v>60</v>
      </c>
      <c r="AV613" s="30" t="n">
        <v>60</v>
      </c>
      <c r="AW613" s="30" t="str">
        <f aca="false">IF(OR(AE613="判定不能",M613="判定不能"),"判定不能",IF(AV613&gt;=判定条件!$C$9,"利用可",IF(AND(AE613="停止",M613="停止"),"両方停止","運転がそろわない")))</f>
        <v>利用可</v>
      </c>
      <c r="AX613" s="30" t="str">
        <f aca="false">IF(AND(AH613="利用可",AK613="利用可",AN613="利用可"),"利用可","不可")</f>
        <v>不可</v>
      </c>
      <c r="AY613" s="30" t="str">
        <f aca="false">IF(AND(AQ613="利用可",AT613="利用可",AW613="利用可"),"利用可","不可")</f>
        <v>不可</v>
      </c>
    </row>
    <row r="614" customFormat="false" ht="15" hidden="false" customHeight="false" outlineLevel="0" collapsed="false">
      <c r="A614" s="29" t="n">
        <v>46257</v>
      </c>
      <c r="B614" s="30" t="n">
        <v>11</v>
      </c>
      <c r="C614" s="31" t="s">
        <v>65</v>
      </c>
      <c r="D614" s="31" t="s">
        <v>64</v>
      </c>
      <c r="E614" s="30" t="n">
        <v>60</v>
      </c>
      <c r="F614" s="30" t="n">
        <v>60</v>
      </c>
      <c r="G614" s="30" t="str">
        <f aca="false">IF(E614&lt;判定条件!$C$6,"判定不能",IF(F614&gt;=判定条件!$C$7*E614,"運転",IF(F614&lt;=判定条件!$C$8*E614,"停止","断続")))</f>
        <v>運転</v>
      </c>
      <c r="H614" s="30" t="n">
        <v>60</v>
      </c>
      <c r="I614" s="30" t="n">
        <v>60</v>
      </c>
      <c r="J614" s="30" t="str">
        <f aca="false">IF(H614&lt;判定条件!$C$6,"判定不能",IF(I614&gt;=判定条件!$C$7*H614,"運転",IF(I614&lt;=判定条件!$C$8*H614,"停止","断続")))</f>
        <v>運転</v>
      </c>
      <c r="K614" s="30" t="n">
        <v>60</v>
      </c>
      <c r="L614" s="30" t="n">
        <v>60</v>
      </c>
      <c r="M614" s="30" t="str">
        <f aca="false">IF(K614&lt;判定条件!$C$6,"判定不能",IF(L614&gt;=判定条件!$C$7*K614,"運転",IF(L614&lt;=判定条件!$C$8*K614,"停止","断続")))</f>
        <v>運転</v>
      </c>
      <c r="N614" s="30" t="n">
        <v>60</v>
      </c>
      <c r="O614" s="30" t="n">
        <v>55</v>
      </c>
      <c r="P614" s="30" t="str">
        <f aca="false">IF(N614&lt;判定条件!$C$6,"判定不能",IF(O614&gt;=判定条件!$C$7*N614,"運転",IF(O614&lt;=判定条件!$C$8*N614,"停止","断続")))</f>
        <v>運転</v>
      </c>
      <c r="Q614" s="30" t="n">
        <v>0</v>
      </c>
      <c r="R614" s="30" t="n">
        <v>0</v>
      </c>
      <c r="S614" s="30" t="str">
        <f aca="false">IF(Q614&lt;判定条件!$C$6,"判定不能",IF(R614&gt;=判定条件!$C$7*Q614,"運転",IF(R614&lt;=判定条件!$C$8*Q614,"停止","断続")))</f>
        <v>判定不能</v>
      </c>
      <c r="T614" s="30" t="n">
        <v>60</v>
      </c>
      <c r="U614" s="30" t="n">
        <v>56</v>
      </c>
      <c r="V614" s="30" t="str">
        <f aca="false">IF(T614&lt;判定条件!$C$6,"判定不能",IF(U614&gt;=判定条件!$C$7*T614,"運転",IF(U614&lt;=判定条件!$C$8*T614,"停止","断続")))</f>
        <v>運転</v>
      </c>
      <c r="W614" s="30" t="n">
        <v>60</v>
      </c>
      <c r="X614" s="30" t="n">
        <v>60</v>
      </c>
      <c r="Y614" s="30" t="str">
        <f aca="false">IF(W614&lt;判定条件!$C$6,"判定不能",IF(X614&gt;=判定条件!$C$7*W614,"運転",IF(X614&lt;=判定条件!$C$8*W614,"停止","断続")))</f>
        <v>運転</v>
      </c>
      <c r="Z614" s="30" t="n">
        <v>60</v>
      </c>
      <c r="AA614" s="30" t="n">
        <v>45</v>
      </c>
      <c r="AB614" s="30" t="str">
        <f aca="false">IF(Z614&lt;判定条件!$C$6,"判定不能",IF(AA614&gt;=判定条件!$C$7*Z614,"運転",IF(AA614&lt;=判定条件!$C$8*Z614,"停止","断続")))</f>
        <v>断続</v>
      </c>
      <c r="AC614" s="30" t="n">
        <v>60</v>
      </c>
      <c r="AD614" s="30" t="n">
        <v>60</v>
      </c>
      <c r="AE614" s="30" t="str">
        <f aca="false">IF(AC614&lt;判定条件!$C$6,"判定不能",IF(AD614&gt;=判定条件!$C$7*AC614,"運転",IF(AD614&lt;=判定条件!$C$8*AC614,"停止","断続")))</f>
        <v>運転</v>
      </c>
      <c r="AF614" s="30" t="n">
        <v>60</v>
      </c>
      <c r="AG614" s="30" t="n">
        <v>55</v>
      </c>
      <c r="AH614" s="30" t="str">
        <f aca="false">IF(OR(P614="判定不能",G614="判定不能"),"判定不能",IF(AG614&gt;=判定条件!$C$9,"利用可",IF(AND(P614="停止",G614="停止"),"両方停止","運転がそろわない")))</f>
        <v>利用可</v>
      </c>
      <c r="AI614" s="30" t="n">
        <v>0</v>
      </c>
      <c r="AJ614" s="30" t="n">
        <v>0</v>
      </c>
      <c r="AK614" s="30" t="str">
        <f aca="false">IF(OR(S614="判定不能",J614="判定不能"),"判定不能",IF(AJ614&gt;=判定条件!$C$9,"利用可",IF(AND(S614="停止",J614="停止"),"両方停止","運転がそろわない")))</f>
        <v>判定不能</v>
      </c>
      <c r="AL614" s="30" t="n">
        <v>60</v>
      </c>
      <c r="AM614" s="30" t="n">
        <v>56</v>
      </c>
      <c r="AN614" s="30" t="str">
        <f aca="false">IF(OR(V614="判定不能",M614="判定不能"),"判定不能",IF(AM614&gt;=判定条件!$C$9,"利用可",IF(AND(V614="停止",M614="停止"),"両方停止","運転がそろわない")))</f>
        <v>利用可</v>
      </c>
      <c r="AO614" s="30" t="n">
        <v>60</v>
      </c>
      <c r="AP614" s="30" t="n">
        <v>60</v>
      </c>
      <c r="AQ614" s="30" t="str">
        <f aca="false">IF(OR(Y614="判定不能",G614="判定不能"),"判定不能",IF(AP614&gt;=判定条件!$C$9,"利用可",IF(AND(Y614="停止",G614="停止"),"両方停止","運転がそろわない")))</f>
        <v>利用可</v>
      </c>
      <c r="AR614" s="30" t="n">
        <v>60</v>
      </c>
      <c r="AS614" s="30" t="n">
        <v>45</v>
      </c>
      <c r="AT614" s="30" t="str">
        <f aca="false">IF(OR(AB614="判定不能",J614="判定不能"),"判定不能",IF(AS614&gt;=判定条件!$C$9,"利用可",IF(AND(AB614="停止",J614="停止"),"両方停止","運転がそろわない")))</f>
        <v>利用可</v>
      </c>
      <c r="AU614" s="30" t="n">
        <v>60</v>
      </c>
      <c r="AV614" s="30" t="n">
        <v>60</v>
      </c>
      <c r="AW614" s="30" t="str">
        <f aca="false">IF(OR(AE614="判定不能",M614="判定不能"),"判定不能",IF(AV614&gt;=判定条件!$C$9,"利用可",IF(AND(AE614="停止",M614="停止"),"両方停止","運転がそろわない")))</f>
        <v>利用可</v>
      </c>
      <c r="AX614" s="30" t="str">
        <f aca="false">IF(AND(AH614="利用可",AK614="利用可",AN614="利用可"),"利用可","不可")</f>
        <v>不可</v>
      </c>
      <c r="AY614" s="30" t="str">
        <f aca="false">IF(AND(AQ614="利用可",AT614="利用可",AW614="利用可"),"利用可","不可")</f>
        <v>利用可</v>
      </c>
    </row>
    <row r="615" customFormat="false" ht="15" hidden="false" customHeight="false" outlineLevel="0" collapsed="false">
      <c r="A615" s="29" t="n">
        <v>46257</v>
      </c>
      <c r="B615" s="30" t="n">
        <v>12</v>
      </c>
      <c r="C615" s="31" t="s">
        <v>65</v>
      </c>
      <c r="D615" s="31" t="s">
        <v>64</v>
      </c>
      <c r="E615" s="30" t="n">
        <v>60</v>
      </c>
      <c r="F615" s="30" t="n">
        <v>60</v>
      </c>
      <c r="G615" s="30" t="str">
        <f aca="false">IF(E615&lt;判定条件!$C$6,"判定不能",IF(F615&gt;=判定条件!$C$7*E615,"運転",IF(F615&lt;=判定条件!$C$8*E615,"停止","断続")))</f>
        <v>運転</v>
      </c>
      <c r="H615" s="30" t="n">
        <v>60</v>
      </c>
      <c r="I615" s="30" t="n">
        <v>60</v>
      </c>
      <c r="J615" s="30" t="str">
        <f aca="false">IF(H615&lt;判定条件!$C$6,"判定不能",IF(I615&gt;=判定条件!$C$7*H615,"運転",IF(I615&lt;=判定条件!$C$8*H615,"停止","断続")))</f>
        <v>運転</v>
      </c>
      <c r="K615" s="30" t="n">
        <v>60</v>
      </c>
      <c r="L615" s="30" t="n">
        <v>60</v>
      </c>
      <c r="M615" s="30" t="str">
        <f aca="false">IF(K615&lt;判定条件!$C$6,"判定不能",IF(L615&gt;=判定条件!$C$7*K615,"運転",IF(L615&lt;=判定条件!$C$8*K615,"停止","断続")))</f>
        <v>運転</v>
      </c>
      <c r="N615" s="30" t="n">
        <v>60</v>
      </c>
      <c r="O615" s="30" t="n">
        <v>38</v>
      </c>
      <c r="P615" s="30" t="str">
        <f aca="false">IF(N615&lt;判定条件!$C$6,"判定不能",IF(O615&gt;=判定条件!$C$7*N615,"運転",IF(O615&lt;=判定条件!$C$8*N615,"停止","断続")))</f>
        <v>断続</v>
      </c>
      <c r="Q615" s="30" t="n">
        <v>0</v>
      </c>
      <c r="R615" s="30" t="n">
        <v>0</v>
      </c>
      <c r="S615" s="30" t="str">
        <f aca="false">IF(Q615&lt;判定条件!$C$6,"判定不能",IF(R615&gt;=判定条件!$C$7*Q615,"運転",IF(R615&lt;=判定条件!$C$8*Q615,"停止","断続")))</f>
        <v>判定不能</v>
      </c>
      <c r="T615" s="30" t="n">
        <v>60</v>
      </c>
      <c r="U615" s="30" t="n">
        <v>8</v>
      </c>
      <c r="V615" s="30" t="str">
        <f aca="false">IF(T615&lt;判定条件!$C$6,"判定不能",IF(U615&gt;=判定条件!$C$7*T615,"運転",IF(U615&lt;=判定条件!$C$8*T615,"停止","断続")))</f>
        <v>停止</v>
      </c>
      <c r="W615" s="30" t="n">
        <v>60</v>
      </c>
      <c r="X615" s="30" t="n">
        <v>57</v>
      </c>
      <c r="Y615" s="30" t="str">
        <f aca="false">IF(W615&lt;判定条件!$C$6,"判定不能",IF(X615&gt;=判定条件!$C$7*W615,"運転",IF(X615&lt;=判定条件!$C$8*W615,"停止","断続")))</f>
        <v>運転</v>
      </c>
      <c r="Z615" s="30" t="n">
        <v>60</v>
      </c>
      <c r="AA615" s="30" t="n">
        <v>60</v>
      </c>
      <c r="AB615" s="30" t="str">
        <f aca="false">IF(Z615&lt;判定条件!$C$6,"判定不能",IF(AA615&gt;=判定条件!$C$7*Z615,"運転",IF(AA615&lt;=判定条件!$C$8*Z615,"停止","断続")))</f>
        <v>運転</v>
      </c>
      <c r="AC615" s="30" t="n">
        <v>60</v>
      </c>
      <c r="AD615" s="30" t="n">
        <v>60</v>
      </c>
      <c r="AE615" s="30" t="str">
        <f aca="false">IF(AC615&lt;判定条件!$C$6,"判定不能",IF(AD615&gt;=判定条件!$C$7*AC615,"運転",IF(AD615&lt;=判定条件!$C$8*AC615,"停止","断続")))</f>
        <v>運転</v>
      </c>
      <c r="AF615" s="30" t="n">
        <v>60</v>
      </c>
      <c r="AG615" s="30" t="n">
        <v>38</v>
      </c>
      <c r="AH615" s="30" t="str">
        <f aca="false">IF(OR(P615="判定不能",G615="判定不能"),"判定不能",IF(AG615&gt;=判定条件!$C$9,"利用可",IF(AND(P615="停止",G615="停止"),"両方停止","運転がそろわない")))</f>
        <v>利用可</v>
      </c>
      <c r="AI615" s="30" t="n">
        <v>0</v>
      </c>
      <c r="AJ615" s="30" t="n">
        <v>0</v>
      </c>
      <c r="AK615" s="30" t="str">
        <f aca="false">IF(OR(S615="判定不能",J615="判定不能"),"判定不能",IF(AJ615&gt;=判定条件!$C$9,"利用可",IF(AND(S615="停止",J615="停止"),"両方停止","運転がそろわない")))</f>
        <v>判定不能</v>
      </c>
      <c r="AL615" s="30" t="n">
        <v>60</v>
      </c>
      <c r="AM615" s="30" t="n">
        <v>8</v>
      </c>
      <c r="AN615" s="30" t="str">
        <f aca="false">IF(OR(V615="判定不能",M615="判定不能"),"判定不能",IF(AM615&gt;=判定条件!$C$9,"利用可",IF(AND(V615="停止",M615="停止"),"両方停止","運転がそろわない")))</f>
        <v>運転がそろわない</v>
      </c>
      <c r="AO615" s="30" t="n">
        <v>60</v>
      </c>
      <c r="AP615" s="30" t="n">
        <v>57</v>
      </c>
      <c r="AQ615" s="30" t="str">
        <f aca="false">IF(OR(Y615="判定不能",G615="判定不能"),"判定不能",IF(AP615&gt;=判定条件!$C$9,"利用可",IF(AND(Y615="停止",G615="停止"),"両方停止","運転がそろわない")))</f>
        <v>利用可</v>
      </c>
      <c r="AR615" s="30" t="n">
        <v>60</v>
      </c>
      <c r="AS615" s="30" t="n">
        <v>60</v>
      </c>
      <c r="AT615" s="30" t="str">
        <f aca="false">IF(OR(AB615="判定不能",J615="判定不能"),"判定不能",IF(AS615&gt;=判定条件!$C$9,"利用可",IF(AND(AB615="停止",J615="停止"),"両方停止","運転がそろわない")))</f>
        <v>利用可</v>
      </c>
      <c r="AU615" s="30" t="n">
        <v>60</v>
      </c>
      <c r="AV615" s="30" t="n">
        <v>60</v>
      </c>
      <c r="AW615" s="30" t="str">
        <f aca="false">IF(OR(AE615="判定不能",M615="判定不能"),"判定不能",IF(AV615&gt;=判定条件!$C$9,"利用可",IF(AND(AE615="停止",M615="停止"),"両方停止","運転がそろわない")))</f>
        <v>利用可</v>
      </c>
      <c r="AX615" s="30" t="str">
        <f aca="false">IF(AND(AH615="利用可",AK615="利用可",AN615="利用可"),"利用可","不可")</f>
        <v>不可</v>
      </c>
      <c r="AY615" s="30" t="str">
        <f aca="false">IF(AND(AQ615="利用可",AT615="利用可",AW615="利用可"),"利用可","不可")</f>
        <v>利用可</v>
      </c>
    </row>
    <row r="616" customFormat="false" ht="15" hidden="false" customHeight="false" outlineLevel="0" collapsed="false">
      <c r="A616" s="29" t="n">
        <v>46257</v>
      </c>
      <c r="B616" s="30" t="n">
        <v>13</v>
      </c>
      <c r="C616" s="31" t="s">
        <v>65</v>
      </c>
      <c r="D616" s="31" t="s">
        <v>64</v>
      </c>
      <c r="E616" s="30" t="n">
        <v>60</v>
      </c>
      <c r="F616" s="30" t="n">
        <v>60</v>
      </c>
      <c r="G616" s="30" t="str">
        <f aca="false">IF(E616&lt;判定条件!$C$6,"判定不能",IF(F616&gt;=判定条件!$C$7*E616,"運転",IF(F616&lt;=判定条件!$C$8*E616,"停止","断続")))</f>
        <v>運転</v>
      </c>
      <c r="H616" s="30" t="n">
        <v>60</v>
      </c>
      <c r="I616" s="30" t="n">
        <v>60</v>
      </c>
      <c r="J616" s="30" t="str">
        <f aca="false">IF(H616&lt;判定条件!$C$6,"判定不能",IF(I616&gt;=判定条件!$C$7*H616,"運転",IF(I616&lt;=判定条件!$C$8*H616,"停止","断続")))</f>
        <v>運転</v>
      </c>
      <c r="K616" s="30" t="n">
        <v>60</v>
      </c>
      <c r="L616" s="30" t="n">
        <v>60</v>
      </c>
      <c r="M616" s="30" t="str">
        <f aca="false">IF(K616&lt;判定条件!$C$6,"判定不能",IF(L616&gt;=判定条件!$C$7*K616,"運転",IF(L616&lt;=判定条件!$C$8*K616,"停止","断続")))</f>
        <v>運転</v>
      </c>
      <c r="N616" s="30" t="n">
        <v>60</v>
      </c>
      <c r="O616" s="30" t="n">
        <v>60</v>
      </c>
      <c r="P616" s="30" t="str">
        <f aca="false">IF(N616&lt;判定条件!$C$6,"判定不能",IF(O616&gt;=判定条件!$C$7*N616,"運転",IF(O616&lt;=判定条件!$C$8*N616,"停止","断続")))</f>
        <v>運転</v>
      </c>
      <c r="Q616" s="30" t="n">
        <v>0</v>
      </c>
      <c r="R616" s="30" t="n">
        <v>0</v>
      </c>
      <c r="S616" s="30" t="str">
        <f aca="false">IF(Q616&lt;判定条件!$C$6,"判定不能",IF(R616&gt;=判定条件!$C$7*Q616,"運転",IF(R616&lt;=判定条件!$C$8*Q616,"停止","断続")))</f>
        <v>判定不能</v>
      </c>
      <c r="T616" s="30" t="n">
        <v>60</v>
      </c>
      <c r="U616" s="30" t="n">
        <v>0</v>
      </c>
      <c r="V616" s="30" t="str">
        <f aca="false">IF(T616&lt;判定条件!$C$6,"判定不能",IF(U616&gt;=判定条件!$C$7*T616,"運転",IF(U616&lt;=判定条件!$C$8*T616,"停止","断続")))</f>
        <v>停止</v>
      </c>
      <c r="W616" s="30" t="n">
        <v>60</v>
      </c>
      <c r="X616" s="30" t="n">
        <v>38</v>
      </c>
      <c r="Y616" s="30" t="str">
        <f aca="false">IF(W616&lt;判定条件!$C$6,"判定不能",IF(X616&gt;=判定条件!$C$7*W616,"運転",IF(X616&lt;=判定条件!$C$8*W616,"停止","断続")))</f>
        <v>断続</v>
      </c>
      <c r="Z616" s="30" t="n">
        <v>60</v>
      </c>
      <c r="AA616" s="30" t="n">
        <v>60</v>
      </c>
      <c r="AB616" s="30" t="str">
        <f aca="false">IF(Z616&lt;判定条件!$C$6,"判定不能",IF(AA616&gt;=判定条件!$C$7*Z616,"運転",IF(AA616&lt;=判定条件!$C$8*Z616,"停止","断続")))</f>
        <v>運転</v>
      </c>
      <c r="AC616" s="30" t="n">
        <v>60</v>
      </c>
      <c r="AD616" s="30" t="n">
        <v>60</v>
      </c>
      <c r="AE616" s="30" t="str">
        <f aca="false">IF(AC616&lt;判定条件!$C$6,"判定不能",IF(AD616&gt;=判定条件!$C$7*AC616,"運転",IF(AD616&lt;=判定条件!$C$8*AC616,"停止","断続")))</f>
        <v>運転</v>
      </c>
      <c r="AF616" s="30" t="n">
        <v>60</v>
      </c>
      <c r="AG616" s="30" t="n">
        <v>60</v>
      </c>
      <c r="AH616" s="30" t="str">
        <f aca="false">IF(OR(P616="判定不能",G616="判定不能"),"判定不能",IF(AG616&gt;=判定条件!$C$9,"利用可",IF(AND(P616="停止",G616="停止"),"両方停止","運転がそろわない")))</f>
        <v>利用可</v>
      </c>
      <c r="AI616" s="30" t="n">
        <v>0</v>
      </c>
      <c r="AJ616" s="30" t="n">
        <v>0</v>
      </c>
      <c r="AK616" s="30" t="str">
        <f aca="false">IF(OR(S616="判定不能",J616="判定不能"),"判定不能",IF(AJ616&gt;=判定条件!$C$9,"利用可",IF(AND(S616="停止",J616="停止"),"両方停止","運転がそろわない")))</f>
        <v>判定不能</v>
      </c>
      <c r="AL616" s="30" t="n">
        <v>60</v>
      </c>
      <c r="AM616" s="30" t="n">
        <v>0</v>
      </c>
      <c r="AN616" s="30" t="str">
        <f aca="false">IF(OR(V616="判定不能",M616="判定不能"),"判定不能",IF(AM616&gt;=判定条件!$C$9,"利用可",IF(AND(V616="停止",M616="停止"),"両方停止","運転がそろわない")))</f>
        <v>運転がそろわない</v>
      </c>
      <c r="AO616" s="30" t="n">
        <v>60</v>
      </c>
      <c r="AP616" s="30" t="n">
        <v>38</v>
      </c>
      <c r="AQ616" s="30" t="str">
        <f aca="false">IF(OR(Y616="判定不能",G616="判定不能"),"判定不能",IF(AP616&gt;=判定条件!$C$9,"利用可",IF(AND(Y616="停止",G616="停止"),"両方停止","運転がそろわない")))</f>
        <v>利用可</v>
      </c>
      <c r="AR616" s="30" t="n">
        <v>60</v>
      </c>
      <c r="AS616" s="30" t="n">
        <v>60</v>
      </c>
      <c r="AT616" s="30" t="str">
        <f aca="false">IF(OR(AB616="判定不能",J616="判定不能"),"判定不能",IF(AS616&gt;=判定条件!$C$9,"利用可",IF(AND(AB616="停止",J616="停止"),"両方停止","運転がそろわない")))</f>
        <v>利用可</v>
      </c>
      <c r="AU616" s="30" t="n">
        <v>60</v>
      </c>
      <c r="AV616" s="30" t="n">
        <v>60</v>
      </c>
      <c r="AW616" s="30" t="str">
        <f aca="false">IF(OR(AE616="判定不能",M616="判定不能"),"判定不能",IF(AV616&gt;=判定条件!$C$9,"利用可",IF(AND(AE616="停止",M616="停止"),"両方停止","運転がそろわない")))</f>
        <v>利用可</v>
      </c>
      <c r="AX616" s="30" t="str">
        <f aca="false">IF(AND(AH616="利用可",AK616="利用可",AN616="利用可"),"利用可","不可")</f>
        <v>不可</v>
      </c>
      <c r="AY616" s="30" t="str">
        <f aca="false">IF(AND(AQ616="利用可",AT616="利用可",AW616="利用可"),"利用可","不可")</f>
        <v>利用可</v>
      </c>
    </row>
    <row r="617" customFormat="false" ht="15" hidden="false" customHeight="false" outlineLevel="0" collapsed="false">
      <c r="A617" s="29" t="n">
        <v>46257</v>
      </c>
      <c r="B617" s="30" t="n">
        <v>14</v>
      </c>
      <c r="C617" s="31" t="s">
        <v>65</v>
      </c>
      <c r="D617" s="31" t="s">
        <v>64</v>
      </c>
      <c r="E617" s="30" t="n">
        <v>60</v>
      </c>
      <c r="F617" s="30" t="n">
        <v>60</v>
      </c>
      <c r="G617" s="30" t="str">
        <f aca="false">IF(E617&lt;判定条件!$C$6,"判定不能",IF(F617&gt;=判定条件!$C$7*E617,"運転",IF(F617&lt;=判定条件!$C$8*E617,"停止","断続")))</f>
        <v>運転</v>
      </c>
      <c r="H617" s="30" t="n">
        <v>60</v>
      </c>
      <c r="I617" s="30" t="n">
        <v>60</v>
      </c>
      <c r="J617" s="30" t="str">
        <f aca="false">IF(H617&lt;判定条件!$C$6,"判定不能",IF(I617&gt;=判定条件!$C$7*H617,"運転",IF(I617&lt;=判定条件!$C$8*H617,"停止","断続")))</f>
        <v>運転</v>
      </c>
      <c r="K617" s="30" t="n">
        <v>60</v>
      </c>
      <c r="L617" s="30" t="n">
        <v>60</v>
      </c>
      <c r="M617" s="30" t="str">
        <f aca="false">IF(K617&lt;判定条件!$C$6,"判定不能",IF(L617&gt;=判定条件!$C$7*K617,"運転",IF(L617&lt;=判定条件!$C$8*K617,"停止","断続")))</f>
        <v>運転</v>
      </c>
      <c r="N617" s="30" t="n">
        <v>60</v>
      </c>
      <c r="O617" s="30" t="n">
        <v>60</v>
      </c>
      <c r="P617" s="30" t="str">
        <f aca="false">IF(N617&lt;判定条件!$C$6,"判定不能",IF(O617&gt;=判定条件!$C$7*N617,"運転",IF(O617&lt;=判定条件!$C$8*N617,"停止","断続")))</f>
        <v>運転</v>
      </c>
      <c r="Q617" s="30" t="n">
        <v>0</v>
      </c>
      <c r="R617" s="30" t="n">
        <v>0</v>
      </c>
      <c r="S617" s="30" t="str">
        <f aca="false">IF(Q617&lt;判定条件!$C$6,"判定不能",IF(R617&gt;=判定条件!$C$7*Q617,"運転",IF(R617&lt;=判定条件!$C$8*Q617,"停止","断続")))</f>
        <v>判定不能</v>
      </c>
      <c r="T617" s="30" t="n">
        <v>60</v>
      </c>
      <c r="U617" s="30" t="n">
        <v>0</v>
      </c>
      <c r="V617" s="30" t="str">
        <f aca="false">IF(T617&lt;判定条件!$C$6,"判定不能",IF(U617&gt;=判定条件!$C$7*T617,"運転",IF(U617&lt;=判定条件!$C$8*T617,"停止","断続")))</f>
        <v>停止</v>
      </c>
      <c r="W617" s="30" t="n">
        <v>60</v>
      </c>
      <c r="X617" s="30" t="n">
        <v>23</v>
      </c>
      <c r="Y617" s="30" t="str">
        <f aca="false">IF(W617&lt;判定条件!$C$6,"判定不能",IF(X617&gt;=判定条件!$C$7*W617,"運転",IF(X617&lt;=判定条件!$C$8*W617,"停止","断続")))</f>
        <v>断続</v>
      </c>
      <c r="Z617" s="30" t="n">
        <v>60</v>
      </c>
      <c r="AA617" s="30" t="n">
        <v>40</v>
      </c>
      <c r="AB617" s="30" t="str">
        <f aca="false">IF(Z617&lt;判定条件!$C$6,"判定不能",IF(AA617&gt;=判定条件!$C$7*Z617,"運転",IF(AA617&lt;=判定条件!$C$8*Z617,"停止","断続")))</f>
        <v>断続</v>
      </c>
      <c r="AC617" s="30" t="n">
        <v>60</v>
      </c>
      <c r="AD617" s="30" t="n">
        <v>60</v>
      </c>
      <c r="AE617" s="30" t="str">
        <f aca="false">IF(AC617&lt;判定条件!$C$6,"判定不能",IF(AD617&gt;=判定条件!$C$7*AC617,"運転",IF(AD617&lt;=判定条件!$C$8*AC617,"停止","断続")))</f>
        <v>運転</v>
      </c>
      <c r="AF617" s="30" t="n">
        <v>60</v>
      </c>
      <c r="AG617" s="30" t="n">
        <v>60</v>
      </c>
      <c r="AH617" s="30" t="str">
        <f aca="false">IF(OR(P617="判定不能",G617="判定不能"),"判定不能",IF(AG617&gt;=判定条件!$C$9,"利用可",IF(AND(P617="停止",G617="停止"),"両方停止","運転がそろわない")))</f>
        <v>利用可</v>
      </c>
      <c r="AI617" s="30" t="n">
        <v>0</v>
      </c>
      <c r="AJ617" s="30" t="n">
        <v>0</v>
      </c>
      <c r="AK617" s="30" t="str">
        <f aca="false">IF(OR(S617="判定不能",J617="判定不能"),"判定不能",IF(AJ617&gt;=判定条件!$C$9,"利用可",IF(AND(S617="停止",J617="停止"),"両方停止","運転がそろわない")))</f>
        <v>判定不能</v>
      </c>
      <c r="AL617" s="30" t="n">
        <v>60</v>
      </c>
      <c r="AM617" s="30" t="n">
        <v>0</v>
      </c>
      <c r="AN617" s="30" t="str">
        <f aca="false">IF(OR(V617="判定不能",M617="判定不能"),"判定不能",IF(AM617&gt;=判定条件!$C$9,"利用可",IF(AND(V617="停止",M617="停止"),"両方停止","運転がそろわない")))</f>
        <v>運転がそろわない</v>
      </c>
      <c r="AO617" s="30" t="n">
        <v>60</v>
      </c>
      <c r="AP617" s="30" t="n">
        <v>23</v>
      </c>
      <c r="AQ617" s="30" t="str">
        <f aca="false">IF(OR(Y617="判定不能",G617="判定不能"),"判定不能",IF(AP617&gt;=判定条件!$C$9,"利用可",IF(AND(Y617="停止",G617="停止"),"両方停止","運転がそろわない")))</f>
        <v>運転がそろわない</v>
      </c>
      <c r="AR617" s="30" t="n">
        <v>60</v>
      </c>
      <c r="AS617" s="30" t="n">
        <v>40</v>
      </c>
      <c r="AT617" s="30" t="str">
        <f aca="false">IF(OR(AB617="判定不能",J617="判定不能"),"判定不能",IF(AS617&gt;=判定条件!$C$9,"利用可",IF(AND(AB617="停止",J617="停止"),"両方停止","運転がそろわない")))</f>
        <v>利用可</v>
      </c>
      <c r="AU617" s="30" t="n">
        <v>60</v>
      </c>
      <c r="AV617" s="30" t="n">
        <v>60</v>
      </c>
      <c r="AW617" s="30" t="str">
        <f aca="false">IF(OR(AE617="判定不能",M617="判定不能"),"判定不能",IF(AV617&gt;=判定条件!$C$9,"利用可",IF(AND(AE617="停止",M617="停止"),"両方停止","運転がそろわない")))</f>
        <v>利用可</v>
      </c>
      <c r="AX617" s="30" t="str">
        <f aca="false">IF(AND(AH617="利用可",AK617="利用可",AN617="利用可"),"利用可","不可")</f>
        <v>不可</v>
      </c>
      <c r="AY617" s="30" t="str">
        <f aca="false">IF(AND(AQ617="利用可",AT617="利用可",AW617="利用可"),"利用可","不可")</f>
        <v>不可</v>
      </c>
    </row>
    <row r="618" customFormat="false" ht="15" hidden="false" customHeight="false" outlineLevel="0" collapsed="false">
      <c r="A618" s="29" t="n">
        <v>46257</v>
      </c>
      <c r="B618" s="30" t="n">
        <v>15</v>
      </c>
      <c r="C618" s="31" t="s">
        <v>65</v>
      </c>
      <c r="D618" s="31" t="s">
        <v>64</v>
      </c>
      <c r="E618" s="30" t="n">
        <v>60</v>
      </c>
      <c r="F618" s="30" t="n">
        <v>60</v>
      </c>
      <c r="G618" s="30" t="str">
        <f aca="false">IF(E618&lt;判定条件!$C$6,"判定不能",IF(F618&gt;=判定条件!$C$7*E618,"運転",IF(F618&lt;=判定条件!$C$8*E618,"停止","断続")))</f>
        <v>運転</v>
      </c>
      <c r="H618" s="30" t="n">
        <v>60</v>
      </c>
      <c r="I618" s="30" t="n">
        <v>54</v>
      </c>
      <c r="J618" s="30" t="str">
        <f aca="false">IF(H618&lt;判定条件!$C$6,"判定不能",IF(I618&gt;=判定条件!$C$7*H618,"運転",IF(I618&lt;=判定条件!$C$8*H618,"停止","断続")))</f>
        <v>運転</v>
      </c>
      <c r="K618" s="30" t="n">
        <v>60</v>
      </c>
      <c r="L618" s="30" t="n">
        <v>60</v>
      </c>
      <c r="M618" s="30" t="str">
        <f aca="false">IF(K618&lt;判定条件!$C$6,"判定不能",IF(L618&gt;=判定条件!$C$7*K618,"運転",IF(L618&lt;=判定条件!$C$8*K618,"停止","断続")))</f>
        <v>運転</v>
      </c>
      <c r="N618" s="30" t="n">
        <v>60</v>
      </c>
      <c r="O618" s="30" t="n">
        <v>60</v>
      </c>
      <c r="P618" s="30" t="str">
        <f aca="false">IF(N618&lt;判定条件!$C$6,"判定不能",IF(O618&gt;=判定条件!$C$7*N618,"運転",IF(O618&lt;=判定条件!$C$8*N618,"停止","断続")))</f>
        <v>運転</v>
      </c>
      <c r="Q618" s="30" t="n">
        <v>0</v>
      </c>
      <c r="R618" s="30" t="n">
        <v>0</v>
      </c>
      <c r="S618" s="30" t="str">
        <f aca="false">IF(Q618&lt;判定条件!$C$6,"判定不能",IF(R618&gt;=判定条件!$C$7*Q618,"運転",IF(R618&lt;=判定条件!$C$8*Q618,"停止","断続")))</f>
        <v>判定不能</v>
      </c>
      <c r="T618" s="30" t="n">
        <v>60</v>
      </c>
      <c r="U618" s="30" t="n">
        <v>0</v>
      </c>
      <c r="V618" s="30" t="str">
        <f aca="false">IF(T618&lt;判定条件!$C$6,"判定不能",IF(U618&gt;=判定条件!$C$7*T618,"運転",IF(U618&lt;=判定条件!$C$8*T618,"停止","断続")))</f>
        <v>停止</v>
      </c>
      <c r="W618" s="30" t="n">
        <v>60</v>
      </c>
      <c r="X618" s="30" t="n">
        <v>23</v>
      </c>
      <c r="Y618" s="30" t="str">
        <f aca="false">IF(W618&lt;判定条件!$C$6,"判定不能",IF(X618&gt;=判定条件!$C$7*W618,"運転",IF(X618&lt;=判定条件!$C$8*W618,"停止","断続")))</f>
        <v>断続</v>
      </c>
      <c r="Z618" s="30" t="n">
        <v>60</v>
      </c>
      <c r="AA618" s="30" t="n">
        <v>48</v>
      </c>
      <c r="AB618" s="30" t="str">
        <f aca="false">IF(Z618&lt;判定条件!$C$6,"判定不能",IF(AA618&gt;=判定条件!$C$7*Z618,"運転",IF(AA618&lt;=判定条件!$C$8*Z618,"停止","断続")))</f>
        <v>運転</v>
      </c>
      <c r="AC618" s="30" t="n">
        <v>60</v>
      </c>
      <c r="AD618" s="30" t="n">
        <v>60</v>
      </c>
      <c r="AE618" s="30" t="str">
        <f aca="false">IF(AC618&lt;判定条件!$C$6,"判定不能",IF(AD618&gt;=判定条件!$C$7*AC618,"運転",IF(AD618&lt;=判定条件!$C$8*AC618,"停止","断続")))</f>
        <v>運転</v>
      </c>
      <c r="AF618" s="30" t="n">
        <v>60</v>
      </c>
      <c r="AG618" s="30" t="n">
        <v>60</v>
      </c>
      <c r="AH618" s="30" t="str">
        <f aca="false">IF(OR(P618="判定不能",G618="判定不能"),"判定不能",IF(AG618&gt;=判定条件!$C$9,"利用可",IF(AND(P618="停止",G618="停止"),"両方停止","運転がそろわない")))</f>
        <v>利用可</v>
      </c>
      <c r="AI618" s="30" t="n">
        <v>0</v>
      </c>
      <c r="AJ618" s="30" t="n">
        <v>0</v>
      </c>
      <c r="AK618" s="30" t="str">
        <f aca="false">IF(OR(S618="判定不能",J618="判定不能"),"判定不能",IF(AJ618&gt;=判定条件!$C$9,"利用可",IF(AND(S618="停止",J618="停止"),"両方停止","運転がそろわない")))</f>
        <v>判定不能</v>
      </c>
      <c r="AL618" s="30" t="n">
        <v>60</v>
      </c>
      <c r="AM618" s="30" t="n">
        <v>0</v>
      </c>
      <c r="AN618" s="30" t="str">
        <f aca="false">IF(OR(V618="判定不能",M618="判定不能"),"判定不能",IF(AM618&gt;=判定条件!$C$9,"利用可",IF(AND(V618="停止",M618="停止"),"両方停止","運転がそろわない")))</f>
        <v>運転がそろわない</v>
      </c>
      <c r="AO618" s="30" t="n">
        <v>60</v>
      </c>
      <c r="AP618" s="30" t="n">
        <v>23</v>
      </c>
      <c r="AQ618" s="30" t="str">
        <f aca="false">IF(OR(Y618="判定不能",G618="判定不能"),"判定不能",IF(AP618&gt;=判定条件!$C$9,"利用可",IF(AND(Y618="停止",G618="停止"),"両方停止","運転がそろわない")))</f>
        <v>運転がそろわない</v>
      </c>
      <c r="AR618" s="30" t="n">
        <v>60</v>
      </c>
      <c r="AS618" s="30" t="n">
        <v>42</v>
      </c>
      <c r="AT618" s="30" t="str">
        <f aca="false">IF(OR(AB618="判定不能",J618="判定不能"),"判定不能",IF(AS618&gt;=判定条件!$C$9,"利用可",IF(AND(AB618="停止",J618="停止"),"両方停止","運転がそろわない")))</f>
        <v>利用可</v>
      </c>
      <c r="AU618" s="30" t="n">
        <v>60</v>
      </c>
      <c r="AV618" s="30" t="n">
        <v>60</v>
      </c>
      <c r="AW618" s="30" t="str">
        <f aca="false">IF(OR(AE618="判定不能",M618="判定不能"),"判定不能",IF(AV618&gt;=判定条件!$C$9,"利用可",IF(AND(AE618="停止",M618="停止"),"両方停止","運転がそろわない")))</f>
        <v>利用可</v>
      </c>
      <c r="AX618" s="30" t="str">
        <f aca="false">IF(AND(AH618="利用可",AK618="利用可",AN618="利用可"),"利用可","不可")</f>
        <v>不可</v>
      </c>
      <c r="AY618" s="30" t="str">
        <f aca="false">IF(AND(AQ618="利用可",AT618="利用可",AW618="利用可"),"利用可","不可")</f>
        <v>不可</v>
      </c>
    </row>
    <row r="619" customFormat="false" ht="15" hidden="false" customHeight="false" outlineLevel="0" collapsed="false">
      <c r="A619" s="29" t="n">
        <v>46257</v>
      </c>
      <c r="B619" s="30" t="n">
        <v>16</v>
      </c>
      <c r="C619" s="31" t="s">
        <v>65</v>
      </c>
      <c r="D619" s="31" t="s">
        <v>64</v>
      </c>
      <c r="E619" s="30" t="n">
        <v>60</v>
      </c>
      <c r="F619" s="30" t="n">
        <v>60</v>
      </c>
      <c r="G619" s="30" t="str">
        <f aca="false">IF(E619&lt;判定条件!$C$6,"判定不能",IF(F619&gt;=判定条件!$C$7*E619,"運転",IF(F619&lt;=判定条件!$C$8*E619,"停止","断続")))</f>
        <v>運転</v>
      </c>
      <c r="H619" s="30" t="n">
        <v>60</v>
      </c>
      <c r="I619" s="30" t="n">
        <v>60</v>
      </c>
      <c r="J619" s="30" t="str">
        <f aca="false">IF(H619&lt;判定条件!$C$6,"判定不能",IF(I619&gt;=判定条件!$C$7*H619,"運転",IF(I619&lt;=判定条件!$C$8*H619,"停止","断続")))</f>
        <v>運転</v>
      </c>
      <c r="K619" s="30" t="n">
        <v>60</v>
      </c>
      <c r="L619" s="30" t="n">
        <v>60</v>
      </c>
      <c r="M619" s="30" t="str">
        <f aca="false">IF(K619&lt;判定条件!$C$6,"判定不能",IF(L619&gt;=判定条件!$C$7*K619,"運転",IF(L619&lt;=判定条件!$C$8*K619,"停止","断続")))</f>
        <v>運転</v>
      </c>
      <c r="N619" s="30" t="n">
        <v>60</v>
      </c>
      <c r="O619" s="30" t="n">
        <v>40</v>
      </c>
      <c r="P619" s="30" t="str">
        <f aca="false">IF(N619&lt;判定条件!$C$6,"判定不能",IF(O619&gt;=判定条件!$C$7*N619,"運転",IF(O619&lt;=判定条件!$C$8*N619,"停止","断続")))</f>
        <v>断続</v>
      </c>
      <c r="Q619" s="30" t="n">
        <v>0</v>
      </c>
      <c r="R619" s="30" t="n">
        <v>0</v>
      </c>
      <c r="S619" s="30" t="str">
        <f aca="false">IF(Q619&lt;判定条件!$C$6,"判定不能",IF(R619&gt;=判定条件!$C$7*Q619,"運転",IF(R619&lt;=判定条件!$C$8*Q619,"停止","断続")))</f>
        <v>判定不能</v>
      </c>
      <c r="T619" s="30" t="n">
        <v>60</v>
      </c>
      <c r="U619" s="30" t="n">
        <v>0</v>
      </c>
      <c r="V619" s="30" t="str">
        <f aca="false">IF(T619&lt;判定条件!$C$6,"判定不能",IF(U619&gt;=判定条件!$C$7*T619,"運転",IF(U619&lt;=判定条件!$C$8*T619,"停止","断続")))</f>
        <v>停止</v>
      </c>
      <c r="W619" s="30" t="n">
        <v>60</v>
      </c>
      <c r="X619" s="30" t="n">
        <v>30</v>
      </c>
      <c r="Y619" s="30" t="str">
        <f aca="false">IF(W619&lt;判定条件!$C$6,"判定不能",IF(X619&gt;=判定条件!$C$7*W619,"運転",IF(X619&lt;=判定条件!$C$8*W619,"停止","断続")))</f>
        <v>断続</v>
      </c>
      <c r="Z619" s="30" t="n">
        <v>60</v>
      </c>
      <c r="AA619" s="30" t="n">
        <v>8</v>
      </c>
      <c r="AB619" s="30" t="str">
        <f aca="false">IF(Z619&lt;判定条件!$C$6,"判定不能",IF(AA619&gt;=判定条件!$C$7*Z619,"運転",IF(AA619&lt;=判定条件!$C$8*Z619,"停止","断続")))</f>
        <v>停止</v>
      </c>
      <c r="AC619" s="30" t="n">
        <v>60</v>
      </c>
      <c r="AD619" s="30" t="n">
        <v>60</v>
      </c>
      <c r="AE619" s="30" t="str">
        <f aca="false">IF(AC619&lt;判定条件!$C$6,"判定不能",IF(AD619&gt;=判定条件!$C$7*AC619,"運転",IF(AD619&lt;=判定条件!$C$8*AC619,"停止","断続")))</f>
        <v>運転</v>
      </c>
      <c r="AF619" s="30" t="n">
        <v>60</v>
      </c>
      <c r="AG619" s="30" t="n">
        <v>40</v>
      </c>
      <c r="AH619" s="30" t="str">
        <f aca="false">IF(OR(P619="判定不能",G619="判定不能"),"判定不能",IF(AG619&gt;=判定条件!$C$9,"利用可",IF(AND(P619="停止",G619="停止"),"両方停止","運転がそろわない")))</f>
        <v>利用可</v>
      </c>
      <c r="AI619" s="30" t="n">
        <v>0</v>
      </c>
      <c r="AJ619" s="30" t="n">
        <v>0</v>
      </c>
      <c r="AK619" s="30" t="str">
        <f aca="false">IF(OR(S619="判定不能",J619="判定不能"),"判定不能",IF(AJ619&gt;=判定条件!$C$9,"利用可",IF(AND(S619="停止",J619="停止"),"両方停止","運転がそろわない")))</f>
        <v>判定不能</v>
      </c>
      <c r="AL619" s="30" t="n">
        <v>60</v>
      </c>
      <c r="AM619" s="30" t="n">
        <v>0</v>
      </c>
      <c r="AN619" s="30" t="str">
        <f aca="false">IF(OR(V619="判定不能",M619="判定不能"),"判定不能",IF(AM619&gt;=判定条件!$C$9,"利用可",IF(AND(V619="停止",M619="停止"),"両方停止","運転がそろわない")))</f>
        <v>運転がそろわない</v>
      </c>
      <c r="AO619" s="30" t="n">
        <v>60</v>
      </c>
      <c r="AP619" s="30" t="n">
        <v>30</v>
      </c>
      <c r="AQ619" s="30" t="str">
        <f aca="false">IF(OR(Y619="判定不能",G619="判定不能"),"判定不能",IF(AP619&gt;=判定条件!$C$9,"利用可",IF(AND(Y619="停止",G619="停止"),"両方停止","運転がそろわない")))</f>
        <v>利用可</v>
      </c>
      <c r="AR619" s="30" t="n">
        <v>60</v>
      </c>
      <c r="AS619" s="30" t="n">
        <v>8</v>
      </c>
      <c r="AT619" s="30" t="str">
        <f aca="false">IF(OR(AB619="判定不能",J619="判定不能"),"判定不能",IF(AS619&gt;=判定条件!$C$9,"利用可",IF(AND(AB619="停止",J619="停止"),"両方停止","運転がそろわない")))</f>
        <v>運転がそろわない</v>
      </c>
      <c r="AU619" s="30" t="n">
        <v>60</v>
      </c>
      <c r="AV619" s="30" t="n">
        <v>60</v>
      </c>
      <c r="AW619" s="30" t="str">
        <f aca="false">IF(OR(AE619="判定不能",M619="判定不能"),"判定不能",IF(AV619&gt;=判定条件!$C$9,"利用可",IF(AND(AE619="停止",M619="停止"),"両方停止","運転がそろわない")))</f>
        <v>利用可</v>
      </c>
      <c r="AX619" s="30" t="str">
        <f aca="false">IF(AND(AH619="利用可",AK619="利用可",AN619="利用可"),"利用可","不可")</f>
        <v>不可</v>
      </c>
      <c r="AY619" s="30" t="str">
        <f aca="false">IF(AND(AQ619="利用可",AT619="利用可",AW619="利用可"),"利用可","不可")</f>
        <v>不可</v>
      </c>
    </row>
    <row r="620" customFormat="false" ht="15" hidden="false" customHeight="false" outlineLevel="0" collapsed="false">
      <c r="A620" s="29" t="n">
        <v>46257</v>
      </c>
      <c r="B620" s="30" t="n">
        <v>17</v>
      </c>
      <c r="C620" s="31" t="s">
        <v>65</v>
      </c>
      <c r="D620" s="31" t="s">
        <v>64</v>
      </c>
      <c r="E620" s="30" t="n">
        <v>60</v>
      </c>
      <c r="F620" s="30" t="n">
        <v>60</v>
      </c>
      <c r="G620" s="30" t="str">
        <f aca="false">IF(E620&lt;判定条件!$C$6,"判定不能",IF(F620&gt;=判定条件!$C$7*E620,"運転",IF(F620&lt;=判定条件!$C$8*E620,"停止","断続")))</f>
        <v>運転</v>
      </c>
      <c r="H620" s="30" t="n">
        <v>60</v>
      </c>
      <c r="I620" s="30" t="n">
        <v>60</v>
      </c>
      <c r="J620" s="30" t="str">
        <f aca="false">IF(H620&lt;判定条件!$C$6,"判定不能",IF(I620&gt;=判定条件!$C$7*H620,"運転",IF(I620&lt;=判定条件!$C$8*H620,"停止","断続")))</f>
        <v>運転</v>
      </c>
      <c r="K620" s="30" t="n">
        <v>60</v>
      </c>
      <c r="L620" s="30" t="n">
        <v>60</v>
      </c>
      <c r="M620" s="30" t="str">
        <f aca="false">IF(K620&lt;判定条件!$C$6,"判定不能",IF(L620&gt;=判定条件!$C$7*K620,"運転",IF(L620&lt;=判定条件!$C$8*K620,"停止","断続")))</f>
        <v>運転</v>
      </c>
      <c r="N620" s="30" t="n">
        <v>60</v>
      </c>
      <c r="O620" s="30" t="n">
        <v>60</v>
      </c>
      <c r="P620" s="30" t="str">
        <f aca="false">IF(N620&lt;判定条件!$C$6,"判定不能",IF(O620&gt;=判定条件!$C$7*N620,"運転",IF(O620&lt;=判定条件!$C$8*N620,"停止","断続")))</f>
        <v>運転</v>
      </c>
      <c r="Q620" s="30" t="n">
        <v>0</v>
      </c>
      <c r="R620" s="30" t="n">
        <v>0</v>
      </c>
      <c r="S620" s="30" t="str">
        <f aca="false">IF(Q620&lt;判定条件!$C$6,"判定不能",IF(R620&gt;=判定条件!$C$7*Q620,"運転",IF(R620&lt;=判定条件!$C$8*Q620,"停止","断続")))</f>
        <v>判定不能</v>
      </c>
      <c r="T620" s="30" t="n">
        <v>60</v>
      </c>
      <c r="U620" s="30" t="n">
        <v>0</v>
      </c>
      <c r="V620" s="30" t="str">
        <f aca="false">IF(T620&lt;判定条件!$C$6,"判定不能",IF(U620&gt;=判定条件!$C$7*T620,"運転",IF(U620&lt;=判定条件!$C$8*T620,"停止","断続")))</f>
        <v>停止</v>
      </c>
      <c r="W620" s="30" t="n">
        <v>60</v>
      </c>
      <c r="X620" s="30" t="n">
        <v>35</v>
      </c>
      <c r="Y620" s="30" t="str">
        <f aca="false">IF(W620&lt;判定条件!$C$6,"判定不能",IF(X620&gt;=判定条件!$C$7*W620,"運転",IF(X620&lt;=判定条件!$C$8*W620,"停止","断続")))</f>
        <v>断続</v>
      </c>
      <c r="Z620" s="30" t="n">
        <v>60</v>
      </c>
      <c r="AA620" s="30" t="n">
        <v>19</v>
      </c>
      <c r="AB620" s="30" t="str">
        <f aca="false">IF(Z620&lt;判定条件!$C$6,"判定不能",IF(AA620&gt;=判定条件!$C$7*Z620,"運転",IF(AA620&lt;=判定条件!$C$8*Z620,"停止","断続")))</f>
        <v>断続</v>
      </c>
      <c r="AC620" s="30" t="n">
        <v>60</v>
      </c>
      <c r="AD620" s="30" t="n">
        <v>60</v>
      </c>
      <c r="AE620" s="30" t="str">
        <f aca="false">IF(AC620&lt;判定条件!$C$6,"判定不能",IF(AD620&gt;=判定条件!$C$7*AC620,"運転",IF(AD620&lt;=判定条件!$C$8*AC620,"停止","断続")))</f>
        <v>運転</v>
      </c>
      <c r="AF620" s="30" t="n">
        <v>60</v>
      </c>
      <c r="AG620" s="30" t="n">
        <v>60</v>
      </c>
      <c r="AH620" s="30" t="str">
        <f aca="false">IF(OR(P620="判定不能",G620="判定不能"),"判定不能",IF(AG620&gt;=判定条件!$C$9,"利用可",IF(AND(P620="停止",G620="停止"),"両方停止","運転がそろわない")))</f>
        <v>利用可</v>
      </c>
      <c r="AI620" s="30" t="n">
        <v>0</v>
      </c>
      <c r="AJ620" s="30" t="n">
        <v>0</v>
      </c>
      <c r="AK620" s="30" t="str">
        <f aca="false">IF(OR(S620="判定不能",J620="判定不能"),"判定不能",IF(AJ620&gt;=判定条件!$C$9,"利用可",IF(AND(S620="停止",J620="停止"),"両方停止","運転がそろわない")))</f>
        <v>判定不能</v>
      </c>
      <c r="AL620" s="30" t="n">
        <v>60</v>
      </c>
      <c r="AM620" s="30" t="n">
        <v>0</v>
      </c>
      <c r="AN620" s="30" t="str">
        <f aca="false">IF(OR(V620="判定不能",M620="判定不能"),"判定不能",IF(AM620&gt;=判定条件!$C$9,"利用可",IF(AND(V620="停止",M620="停止"),"両方停止","運転がそろわない")))</f>
        <v>運転がそろわない</v>
      </c>
      <c r="AO620" s="30" t="n">
        <v>60</v>
      </c>
      <c r="AP620" s="30" t="n">
        <v>35</v>
      </c>
      <c r="AQ620" s="30" t="str">
        <f aca="false">IF(OR(Y620="判定不能",G620="判定不能"),"判定不能",IF(AP620&gt;=判定条件!$C$9,"利用可",IF(AND(Y620="停止",G620="停止"),"両方停止","運転がそろわない")))</f>
        <v>利用可</v>
      </c>
      <c r="AR620" s="30" t="n">
        <v>60</v>
      </c>
      <c r="AS620" s="30" t="n">
        <v>19</v>
      </c>
      <c r="AT620" s="30" t="str">
        <f aca="false">IF(OR(AB620="判定不能",J620="判定不能"),"判定不能",IF(AS620&gt;=判定条件!$C$9,"利用可",IF(AND(AB620="停止",J620="停止"),"両方停止","運転がそろわない")))</f>
        <v>運転がそろわない</v>
      </c>
      <c r="AU620" s="30" t="n">
        <v>60</v>
      </c>
      <c r="AV620" s="30" t="n">
        <v>60</v>
      </c>
      <c r="AW620" s="30" t="str">
        <f aca="false">IF(OR(AE620="判定不能",M620="判定不能"),"判定不能",IF(AV620&gt;=判定条件!$C$9,"利用可",IF(AND(AE620="停止",M620="停止"),"両方停止","運転がそろわない")))</f>
        <v>利用可</v>
      </c>
      <c r="AX620" s="30" t="str">
        <f aca="false">IF(AND(AH620="利用可",AK620="利用可",AN620="利用可"),"利用可","不可")</f>
        <v>不可</v>
      </c>
      <c r="AY620" s="30" t="str">
        <f aca="false">IF(AND(AQ620="利用可",AT620="利用可",AW620="利用可"),"利用可","不可")</f>
        <v>不可</v>
      </c>
    </row>
    <row r="621" customFormat="false" ht="15" hidden="false" customHeight="false" outlineLevel="0" collapsed="false">
      <c r="A621" s="29" t="n">
        <v>46257</v>
      </c>
      <c r="B621" s="30" t="n">
        <v>18</v>
      </c>
      <c r="C621" s="31" t="s">
        <v>65</v>
      </c>
      <c r="D621" s="31" t="s">
        <v>64</v>
      </c>
      <c r="E621" s="30" t="n">
        <v>60</v>
      </c>
      <c r="F621" s="30" t="n">
        <v>60</v>
      </c>
      <c r="G621" s="30" t="str">
        <f aca="false">IF(E621&lt;判定条件!$C$6,"判定不能",IF(F621&gt;=判定条件!$C$7*E621,"運転",IF(F621&lt;=判定条件!$C$8*E621,"停止","断続")))</f>
        <v>運転</v>
      </c>
      <c r="H621" s="30" t="n">
        <v>60</v>
      </c>
      <c r="I621" s="30" t="n">
        <v>60</v>
      </c>
      <c r="J621" s="30" t="str">
        <f aca="false">IF(H621&lt;判定条件!$C$6,"判定不能",IF(I621&gt;=判定条件!$C$7*H621,"運転",IF(I621&lt;=判定条件!$C$8*H621,"停止","断続")))</f>
        <v>運転</v>
      </c>
      <c r="K621" s="30" t="n">
        <v>60</v>
      </c>
      <c r="L621" s="30" t="n">
        <v>60</v>
      </c>
      <c r="M621" s="30" t="str">
        <f aca="false">IF(K621&lt;判定条件!$C$6,"判定不能",IF(L621&gt;=判定条件!$C$7*K621,"運転",IF(L621&lt;=判定条件!$C$8*K621,"停止","断続")))</f>
        <v>運転</v>
      </c>
      <c r="N621" s="30" t="n">
        <v>60</v>
      </c>
      <c r="O621" s="30" t="n">
        <v>13</v>
      </c>
      <c r="P621" s="30" t="str">
        <f aca="false">IF(N621&lt;判定条件!$C$6,"判定不能",IF(O621&gt;=判定条件!$C$7*N621,"運転",IF(O621&lt;=判定条件!$C$8*N621,"停止","断続")))</f>
        <v>断続</v>
      </c>
      <c r="Q621" s="30" t="n">
        <v>0</v>
      </c>
      <c r="R621" s="30" t="n">
        <v>0</v>
      </c>
      <c r="S621" s="30" t="str">
        <f aca="false">IF(Q621&lt;判定条件!$C$6,"判定不能",IF(R621&gt;=判定条件!$C$7*Q621,"運転",IF(R621&lt;=判定条件!$C$8*Q621,"停止","断続")))</f>
        <v>判定不能</v>
      </c>
      <c r="T621" s="30" t="n">
        <v>60</v>
      </c>
      <c r="U621" s="30" t="n">
        <v>0</v>
      </c>
      <c r="V621" s="30" t="str">
        <f aca="false">IF(T621&lt;判定条件!$C$6,"判定不能",IF(U621&gt;=判定条件!$C$7*T621,"運転",IF(U621&lt;=判定条件!$C$8*T621,"停止","断続")))</f>
        <v>停止</v>
      </c>
      <c r="W621" s="30" t="n">
        <v>60</v>
      </c>
      <c r="X621" s="30" t="n">
        <v>0</v>
      </c>
      <c r="Y621" s="30" t="str">
        <f aca="false">IF(W621&lt;判定条件!$C$6,"判定不能",IF(X621&gt;=判定条件!$C$7*W621,"運転",IF(X621&lt;=判定条件!$C$8*W621,"停止","断続")))</f>
        <v>停止</v>
      </c>
      <c r="Z621" s="30" t="n">
        <v>60</v>
      </c>
      <c r="AA621" s="30" t="n">
        <v>8</v>
      </c>
      <c r="AB621" s="30" t="str">
        <f aca="false">IF(Z621&lt;判定条件!$C$6,"判定不能",IF(AA621&gt;=判定条件!$C$7*Z621,"運転",IF(AA621&lt;=判定条件!$C$8*Z621,"停止","断続")))</f>
        <v>停止</v>
      </c>
      <c r="AC621" s="30" t="n">
        <v>60</v>
      </c>
      <c r="AD621" s="30" t="n">
        <v>5</v>
      </c>
      <c r="AE621" s="30" t="str">
        <f aca="false">IF(AC621&lt;判定条件!$C$6,"判定不能",IF(AD621&gt;=判定条件!$C$7*AC621,"運転",IF(AD621&lt;=判定条件!$C$8*AC621,"停止","断続")))</f>
        <v>停止</v>
      </c>
      <c r="AF621" s="30" t="n">
        <v>60</v>
      </c>
      <c r="AG621" s="30" t="n">
        <v>13</v>
      </c>
      <c r="AH621" s="30" t="str">
        <f aca="false">IF(OR(P621="判定不能",G621="判定不能"),"判定不能",IF(AG621&gt;=判定条件!$C$9,"利用可",IF(AND(P621="停止",G621="停止"),"両方停止","運転がそろわない")))</f>
        <v>運転がそろわない</v>
      </c>
      <c r="AI621" s="30" t="n">
        <v>0</v>
      </c>
      <c r="AJ621" s="30" t="n">
        <v>0</v>
      </c>
      <c r="AK621" s="30" t="str">
        <f aca="false">IF(OR(S621="判定不能",J621="判定不能"),"判定不能",IF(AJ621&gt;=判定条件!$C$9,"利用可",IF(AND(S621="停止",J621="停止"),"両方停止","運転がそろわない")))</f>
        <v>判定不能</v>
      </c>
      <c r="AL621" s="30" t="n">
        <v>60</v>
      </c>
      <c r="AM621" s="30" t="n">
        <v>0</v>
      </c>
      <c r="AN621" s="30" t="str">
        <f aca="false">IF(OR(V621="判定不能",M621="判定不能"),"判定不能",IF(AM621&gt;=判定条件!$C$9,"利用可",IF(AND(V621="停止",M621="停止"),"両方停止","運転がそろわない")))</f>
        <v>運転がそろわない</v>
      </c>
      <c r="AO621" s="30" t="n">
        <v>60</v>
      </c>
      <c r="AP621" s="30" t="n">
        <v>0</v>
      </c>
      <c r="AQ621" s="30" t="str">
        <f aca="false">IF(OR(Y621="判定不能",G621="判定不能"),"判定不能",IF(AP621&gt;=判定条件!$C$9,"利用可",IF(AND(Y621="停止",G621="停止"),"両方停止","運転がそろわない")))</f>
        <v>運転がそろわない</v>
      </c>
      <c r="AR621" s="30" t="n">
        <v>60</v>
      </c>
      <c r="AS621" s="30" t="n">
        <v>8</v>
      </c>
      <c r="AT621" s="30" t="str">
        <f aca="false">IF(OR(AB621="判定不能",J621="判定不能"),"判定不能",IF(AS621&gt;=判定条件!$C$9,"利用可",IF(AND(AB621="停止",J621="停止"),"両方停止","運転がそろわない")))</f>
        <v>運転がそろわない</v>
      </c>
      <c r="AU621" s="30" t="n">
        <v>60</v>
      </c>
      <c r="AV621" s="30" t="n">
        <v>5</v>
      </c>
      <c r="AW621" s="30" t="str">
        <f aca="false">IF(OR(AE621="判定不能",M621="判定不能"),"判定不能",IF(AV621&gt;=判定条件!$C$9,"利用可",IF(AND(AE621="停止",M621="停止"),"両方停止","運転がそろわない")))</f>
        <v>運転がそろわない</v>
      </c>
      <c r="AX621" s="30" t="str">
        <f aca="false">IF(AND(AH621="利用可",AK621="利用可",AN621="利用可"),"利用可","不可")</f>
        <v>不可</v>
      </c>
      <c r="AY621" s="30" t="str">
        <f aca="false">IF(AND(AQ621="利用可",AT621="利用可",AW621="利用可"),"利用可","不可")</f>
        <v>不可</v>
      </c>
    </row>
    <row r="622" customFormat="false" ht="15" hidden="false" customHeight="false" outlineLevel="0" collapsed="false">
      <c r="A622" s="29" t="n">
        <v>46257</v>
      </c>
      <c r="B622" s="30" t="n">
        <v>19</v>
      </c>
      <c r="C622" s="31" t="s">
        <v>65</v>
      </c>
      <c r="D622" s="31" t="s">
        <v>64</v>
      </c>
      <c r="E622" s="30" t="n">
        <v>60</v>
      </c>
      <c r="F622" s="30" t="n">
        <v>60</v>
      </c>
      <c r="G622" s="30" t="str">
        <f aca="false">IF(E622&lt;判定条件!$C$6,"判定不能",IF(F622&gt;=判定条件!$C$7*E622,"運転",IF(F622&lt;=判定条件!$C$8*E622,"停止","断続")))</f>
        <v>運転</v>
      </c>
      <c r="H622" s="30" t="n">
        <v>60</v>
      </c>
      <c r="I622" s="30" t="n">
        <v>60</v>
      </c>
      <c r="J622" s="30" t="str">
        <f aca="false">IF(H622&lt;判定条件!$C$6,"判定不能",IF(I622&gt;=判定条件!$C$7*H622,"運転",IF(I622&lt;=判定条件!$C$8*H622,"停止","断続")))</f>
        <v>運転</v>
      </c>
      <c r="K622" s="30" t="n">
        <v>60</v>
      </c>
      <c r="L622" s="30" t="n">
        <v>60</v>
      </c>
      <c r="M622" s="30" t="str">
        <f aca="false">IF(K622&lt;判定条件!$C$6,"判定不能",IF(L622&gt;=判定条件!$C$7*K622,"運転",IF(L622&lt;=判定条件!$C$8*K622,"停止","断続")))</f>
        <v>運転</v>
      </c>
      <c r="N622" s="30" t="n">
        <v>60</v>
      </c>
      <c r="O622" s="30" t="n">
        <v>0</v>
      </c>
      <c r="P622" s="30" t="str">
        <f aca="false">IF(N622&lt;判定条件!$C$6,"判定不能",IF(O622&gt;=判定条件!$C$7*N622,"運転",IF(O622&lt;=判定条件!$C$8*N622,"停止","断続")))</f>
        <v>停止</v>
      </c>
      <c r="Q622" s="30" t="n">
        <v>0</v>
      </c>
      <c r="R622" s="30" t="n">
        <v>0</v>
      </c>
      <c r="S622" s="30" t="str">
        <f aca="false">IF(Q622&lt;判定条件!$C$6,"判定不能",IF(R622&gt;=判定条件!$C$7*Q622,"運転",IF(R622&lt;=判定条件!$C$8*Q622,"停止","断続")))</f>
        <v>判定不能</v>
      </c>
      <c r="T622" s="30" t="n">
        <v>60</v>
      </c>
      <c r="U622" s="30" t="n">
        <v>0</v>
      </c>
      <c r="V622" s="30" t="str">
        <f aca="false">IF(T622&lt;判定条件!$C$6,"判定不能",IF(U622&gt;=判定条件!$C$7*T622,"運転",IF(U622&lt;=判定条件!$C$8*T622,"停止","断続")))</f>
        <v>停止</v>
      </c>
      <c r="W622" s="30" t="n">
        <v>60</v>
      </c>
      <c r="X622" s="30" t="n">
        <v>0</v>
      </c>
      <c r="Y622" s="30" t="str">
        <f aca="false">IF(W622&lt;判定条件!$C$6,"判定不能",IF(X622&gt;=判定条件!$C$7*W622,"運転",IF(X622&lt;=判定条件!$C$8*W622,"停止","断続")))</f>
        <v>停止</v>
      </c>
      <c r="Z622" s="30" t="n">
        <v>60</v>
      </c>
      <c r="AA622" s="30" t="n">
        <v>0</v>
      </c>
      <c r="AB622" s="30" t="str">
        <f aca="false">IF(Z622&lt;判定条件!$C$6,"判定不能",IF(AA622&gt;=判定条件!$C$7*Z622,"運転",IF(AA622&lt;=判定条件!$C$8*Z622,"停止","断続")))</f>
        <v>停止</v>
      </c>
      <c r="AC622" s="30" t="n">
        <v>60</v>
      </c>
      <c r="AD622" s="30" t="n">
        <v>0</v>
      </c>
      <c r="AE622" s="30" t="str">
        <f aca="false">IF(AC622&lt;判定条件!$C$6,"判定不能",IF(AD622&gt;=判定条件!$C$7*AC622,"運転",IF(AD622&lt;=判定条件!$C$8*AC622,"停止","断続")))</f>
        <v>停止</v>
      </c>
      <c r="AF622" s="30" t="n">
        <v>60</v>
      </c>
      <c r="AG622" s="30" t="n">
        <v>0</v>
      </c>
      <c r="AH622" s="30" t="str">
        <f aca="false">IF(OR(P622="判定不能",G622="判定不能"),"判定不能",IF(AG622&gt;=判定条件!$C$9,"利用可",IF(AND(P622="停止",G622="停止"),"両方停止","運転がそろわない")))</f>
        <v>運転がそろわない</v>
      </c>
      <c r="AI622" s="30" t="n">
        <v>0</v>
      </c>
      <c r="AJ622" s="30" t="n">
        <v>0</v>
      </c>
      <c r="AK622" s="30" t="str">
        <f aca="false">IF(OR(S622="判定不能",J622="判定不能"),"判定不能",IF(AJ622&gt;=判定条件!$C$9,"利用可",IF(AND(S622="停止",J622="停止"),"両方停止","運転がそろわない")))</f>
        <v>判定不能</v>
      </c>
      <c r="AL622" s="30" t="n">
        <v>60</v>
      </c>
      <c r="AM622" s="30" t="n">
        <v>0</v>
      </c>
      <c r="AN622" s="30" t="str">
        <f aca="false">IF(OR(V622="判定不能",M622="判定不能"),"判定不能",IF(AM622&gt;=判定条件!$C$9,"利用可",IF(AND(V622="停止",M622="停止"),"両方停止","運転がそろわない")))</f>
        <v>運転がそろわない</v>
      </c>
      <c r="AO622" s="30" t="n">
        <v>60</v>
      </c>
      <c r="AP622" s="30" t="n">
        <v>0</v>
      </c>
      <c r="AQ622" s="30" t="str">
        <f aca="false">IF(OR(Y622="判定不能",G622="判定不能"),"判定不能",IF(AP622&gt;=判定条件!$C$9,"利用可",IF(AND(Y622="停止",G622="停止"),"両方停止","運転がそろわない")))</f>
        <v>運転がそろわない</v>
      </c>
      <c r="AR622" s="30" t="n">
        <v>60</v>
      </c>
      <c r="AS622" s="30" t="n">
        <v>0</v>
      </c>
      <c r="AT622" s="30" t="str">
        <f aca="false">IF(OR(AB622="判定不能",J622="判定不能"),"判定不能",IF(AS622&gt;=判定条件!$C$9,"利用可",IF(AND(AB622="停止",J622="停止"),"両方停止","運転がそろわない")))</f>
        <v>運転がそろわない</v>
      </c>
      <c r="AU622" s="30" t="n">
        <v>60</v>
      </c>
      <c r="AV622" s="30" t="n">
        <v>0</v>
      </c>
      <c r="AW622" s="30" t="str">
        <f aca="false">IF(OR(AE622="判定不能",M622="判定不能"),"判定不能",IF(AV622&gt;=判定条件!$C$9,"利用可",IF(AND(AE622="停止",M622="停止"),"両方停止","運転がそろわない")))</f>
        <v>運転がそろわない</v>
      </c>
      <c r="AX622" s="30" t="str">
        <f aca="false">IF(AND(AH622="利用可",AK622="利用可",AN622="利用可"),"利用可","不可")</f>
        <v>不可</v>
      </c>
      <c r="AY622" s="30" t="str">
        <f aca="false">IF(AND(AQ622="利用可",AT622="利用可",AW622="利用可"),"利用可","不可")</f>
        <v>不可</v>
      </c>
    </row>
    <row r="623" customFormat="false" ht="15" hidden="false" customHeight="false" outlineLevel="0" collapsed="false">
      <c r="A623" s="29" t="n">
        <v>46257</v>
      </c>
      <c r="B623" s="30" t="n">
        <v>20</v>
      </c>
      <c r="C623" s="31" t="s">
        <v>65</v>
      </c>
      <c r="D623" s="31" t="s">
        <v>64</v>
      </c>
      <c r="E623" s="30" t="n">
        <v>60</v>
      </c>
      <c r="F623" s="30" t="n">
        <v>59</v>
      </c>
      <c r="G623" s="30" t="str">
        <f aca="false">IF(E623&lt;判定条件!$C$6,"判定不能",IF(F623&gt;=判定条件!$C$7*E623,"運転",IF(F623&lt;=判定条件!$C$8*E623,"停止","断続")))</f>
        <v>運転</v>
      </c>
      <c r="H623" s="30" t="n">
        <v>60</v>
      </c>
      <c r="I623" s="30" t="n">
        <v>50</v>
      </c>
      <c r="J623" s="30" t="str">
        <f aca="false">IF(H623&lt;判定条件!$C$6,"判定不能",IF(I623&gt;=判定条件!$C$7*H623,"運転",IF(I623&lt;=判定条件!$C$8*H623,"停止","断続")))</f>
        <v>運転</v>
      </c>
      <c r="K623" s="30" t="n">
        <v>60</v>
      </c>
      <c r="L623" s="30" t="n">
        <v>53</v>
      </c>
      <c r="M623" s="30" t="str">
        <f aca="false">IF(K623&lt;判定条件!$C$6,"判定不能",IF(L623&gt;=判定条件!$C$7*K623,"運転",IF(L623&lt;=判定条件!$C$8*K623,"停止","断続")))</f>
        <v>運転</v>
      </c>
      <c r="N623" s="30" t="n">
        <v>60</v>
      </c>
      <c r="O623" s="30" t="n">
        <v>0</v>
      </c>
      <c r="P623" s="30" t="str">
        <f aca="false">IF(N623&lt;判定条件!$C$6,"判定不能",IF(O623&gt;=判定条件!$C$7*N623,"運転",IF(O623&lt;=判定条件!$C$8*N623,"停止","断続")))</f>
        <v>停止</v>
      </c>
      <c r="Q623" s="30" t="n">
        <v>0</v>
      </c>
      <c r="R623" s="30" t="n">
        <v>0</v>
      </c>
      <c r="S623" s="30" t="str">
        <f aca="false">IF(Q623&lt;判定条件!$C$6,"判定不能",IF(R623&gt;=判定条件!$C$7*Q623,"運転",IF(R623&lt;=判定条件!$C$8*Q623,"停止","断続")))</f>
        <v>判定不能</v>
      </c>
      <c r="T623" s="30" t="n">
        <v>60</v>
      </c>
      <c r="U623" s="30" t="n">
        <v>0</v>
      </c>
      <c r="V623" s="30" t="str">
        <f aca="false">IF(T623&lt;判定条件!$C$6,"判定不能",IF(U623&gt;=判定条件!$C$7*T623,"運転",IF(U623&lt;=判定条件!$C$8*T623,"停止","断続")))</f>
        <v>停止</v>
      </c>
      <c r="W623" s="30" t="n">
        <v>60</v>
      </c>
      <c r="X623" s="30" t="n">
        <v>0</v>
      </c>
      <c r="Y623" s="30" t="str">
        <f aca="false">IF(W623&lt;判定条件!$C$6,"判定不能",IF(X623&gt;=判定条件!$C$7*W623,"運転",IF(X623&lt;=判定条件!$C$8*W623,"停止","断続")))</f>
        <v>停止</v>
      </c>
      <c r="Z623" s="30" t="n">
        <v>60</v>
      </c>
      <c r="AA623" s="30" t="n">
        <v>0</v>
      </c>
      <c r="AB623" s="30" t="str">
        <f aca="false">IF(Z623&lt;判定条件!$C$6,"判定不能",IF(AA623&gt;=判定条件!$C$7*Z623,"運転",IF(AA623&lt;=判定条件!$C$8*Z623,"停止","断続")))</f>
        <v>停止</v>
      </c>
      <c r="AC623" s="30" t="n">
        <v>60</v>
      </c>
      <c r="AD623" s="30" t="n">
        <v>0</v>
      </c>
      <c r="AE623" s="30" t="str">
        <f aca="false">IF(AC623&lt;判定条件!$C$6,"判定不能",IF(AD623&gt;=判定条件!$C$7*AC623,"運転",IF(AD623&lt;=判定条件!$C$8*AC623,"停止","断続")))</f>
        <v>停止</v>
      </c>
      <c r="AF623" s="30" t="n">
        <v>60</v>
      </c>
      <c r="AG623" s="30" t="n">
        <v>0</v>
      </c>
      <c r="AH623" s="30" t="str">
        <f aca="false">IF(OR(P623="判定不能",G623="判定不能"),"判定不能",IF(AG623&gt;=判定条件!$C$9,"利用可",IF(AND(P623="停止",G623="停止"),"両方停止","運転がそろわない")))</f>
        <v>運転がそろわない</v>
      </c>
      <c r="AI623" s="30" t="n">
        <v>0</v>
      </c>
      <c r="AJ623" s="30" t="n">
        <v>0</v>
      </c>
      <c r="AK623" s="30" t="str">
        <f aca="false">IF(OR(S623="判定不能",J623="判定不能"),"判定不能",IF(AJ623&gt;=判定条件!$C$9,"利用可",IF(AND(S623="停止",J623="停止"),"両方停止","運転がそろわない")))</f>
        <v>判定不能</v>
      </c>
      <c r="AL623" s="30" t="n">
        <v>60</v>
      </c>
      <c r="AM623" s="30" t="n">
        <v>0</v>
      </c>
      <c r="AN623" s="30" t="str">
        <f aca="false">IF(OR(V623="判定不能",M623="判定不能"),"判定不能",IF(AM623&gt;=判定条件!$C$9,"利用可",IF(AND(V623="停止",M623="停止"),"両方停止","運転がそろわない")))</f>
        <v>運転がそろわない</v>
      </c>
      <c r="AO623" s="30" t="n">
        <v>60</v>
      </c>
      <c r="AP623" s="30" t="n">
        <v>0</v>
      </c>
      <c r="AQ623" s="30" t="str">
        <f aca="false">IF(OR(Y623="判定不能",G623="判定不能"),"判定不能",IF(AP623&gt;=判定条件!$C$9,"利用可",IF(AND(Y623="停止",G623="停止"),"両方停止","運転がそろわない")))</f>
        <v>運転がそろわない</v>
      </c>
      <c r="AR623" s="30" t="n">
        <v>60</v>
      </c>
      <c r="AS623" s="30" t="n">
        <v>0</v>
      </c>
      <c r="AT623" s="30" t="str">
        <f aca="false">IF(OR(AB623="判定不能",J623="判定不能"),"判定不能",IF(AS623&gt;=判定条件!$C$9,"利用可",IF(AND(AB623="停止",J623="停止"),"両方停止","運転がそろわない")))</f>
        <v>運転がそろわない</v>
      </c>
      <c r="AU623" s="30" t="n">
        <v>60</v>
      </c>
      <c r="AV623" s="30" t="n">
        <v>0</v>
      </c>
      <c r="AW623" s="30" t="str">
        <f aca="false">IF(OR(AE623="判定不能",M623="判定不能"),"判定不能",IF(AV623&gt;=判定条件!$C$9,"利用可",IF(AND(AE623="停止",M623="停止"),"両方停止","運転がそろわない")))</f>
        <v>運転がそろわない</v>
      </c>
      <c r="AX623" s="30" t="str">
        <f aca="false">IF(AND(AH623="利用可",AK623="利用可",AN623="利用可"),"利用可","不可")</f>
        <v>不可</v>
      </c>
      <c r="AY623" s="30" t="str">
        <f aca="false">IF(AND(AQ623="利用可",AT623="利用可",AW623="利用可"),"利用可","不可")</f>
        <v>不可</v>
      </c>
    </row>
    <row r="624" customFormat="false" ht="15" hidden="false" customHeight="false" outlineLevel="0" collapsed="false">
      <c r="A624" s="29" t="n">
        <v>46257</v>
      </c>
      <c r="B624" s="30" t="n">
        <v>21</v>
      </c>
      <c r="C624" s="31" t="s">
        <v>65</v>
      </c>
      <c r="D624" s="31" t="s">
        <v>64</v>
      </c>
      <c r="E624" s="30" t="n">
        <v>60</v>
      </c>
      <c r="F624" s="30" t="n">
        <v>0</v>
      </c>
      <c r="G624" s="30" t="str">
        <f aca="false">IF(E624&lt;判定条件!$C$6,"判定不能",IF(F624&gt;=判定条件!$C$7*E624,"運転",IF(F624&lt;=判定条件!$C$8*E624,"停止","断続")))</f>
        <v>停止</v>
      </c>
      <c r="H624" s="30" t="n">
        <v>60</v>
      </c>
      <c r="I624" s="30" t="n">
        <v>0</v>
      </c>
      <c r="J624" s="30" t="str">
        <f aca="false">IF(H624&lt;判定条件!$C$6,"判定不能",IF(I624&gt;=判定条件!$C$7*H624,"運転",IF(I624&lt;=判定条件!$C$8*H624,"停止","断続")))</f>
        <v>停止</v>
      </c>
      <c r="K624" s="30" t="n">
        <v>60</v>
      </c>
      <c r="L624" s="30" t="n">
        <v>0</v>
      </c>
      <c r="M624" s="30" t="str">
        <f aca="false">IF(K624&lt;判定条件!$C$6,"判定不能",IF(L624&gt;=判定条件!$C$7*K624,"運転",IF(L624&lt;=判定条件!$C$8*K624,"停止","断続")))</f>
        <v>停止</v>
      </c>
      <c r="N624" s="30" t="n">
        <v>60</v>
      </c>
      <c r="O624" s="30" t="n">
        <v>0</v>
      </c>
      <c r="P624" s="30" t="str">
        <f aca="false">IF(N624&lt;判定条件!$C$6,"判定不能",IF(O624&gt;=判定条件!$C$7*N624,"運転",IF(O624&lt;=判定条件!$C$8*N624,"停止","断続")))</f>
        <v>停止</v>
      </c>
      <c r="Q624" s="30" t="n">
        <v>0</v>
      </c>
      <c r="R624" s="30" t="n">
        <v>0</v>
      </c>
      <c r="S624" s="30" t="str">
        <f aca="false">IF(Q624&lt;判定条件!$C$6,"判定不能",IF(R624&gt;=判定条件!$C$7*Q624,"運転",IF(R624&lt;=判定条件!$C$8*Q624,"停止","断続")))</f>
        <v>判定不能</v>
      </c>
      <c r="T624" s="30" t="n">
        <v>60</v>
      </c>
      <c r="U624" s="30" t="n">
        <v>0</v>
      </c>
      <c r="V624" s="30" t="str">
        <f aca="false">IF(T624&lt;判定条件!$C$6,"判定不能",IF(U624&gt;=判定条件!$C$7*T624,"運転",IF(U624&lt;=判定条件!$C$8*T624,"停止","断続")))</f>
        <v>停止</v>
      </c>
      <c r="W624" s="30" t="n">
        <v>60</v>
      </c>
      <c r="X624" s="30" t="n">
        <v>0</v>
      </c>
      <c r="Y624" s="30" t="str">
        <f aca="false">IF(W624&lt;判定条件!$C$6,"判定不能",IF(X624&gt;=判定条件!$C$7*W624,"運転",IF(X624&lt;=判定条件!$C$8*W624,"停止","断続")))</f>
        <v>停止</v>
      </c>
      <c r="Z624" s="30" t="n">
        <v>60</v>
      </c>
      <c r="AA624" s="30" t="n">
        <v>0</v>
      </c>
      <c r="AB624" s="30" t="str">
        <f aca="false">IF(Z624&lt;判定条件!$C$6,"判定不能",IF(AA624&gt;=判定条件!$C$7*Z624,"運転",IF(AA624&lt;=判定条件!$C$8*Z624,"停止","断続")))</f>
        <v>停止</v>
      </c>
      <c r="AC624" s="30" t="n">
        <v>60</v>
      </c>
      <c r="AD624" s="30" t="n">
        <v>0</v>
      </c>
      <c r="AE624" s="30" t="str">
        <f aca="false">IF(AC624&lt;判定条件!$C$6,"判定不能",IF(AD624&gt;=判定条件!$C$7*AC624,"運転",IF(AD624&lt;=判定条件!$C$8*AC624,"停止","断続")))</f>
        <v>停止</v>
      </c>
      <c r="AF624" s="30" t="n">
        <v>60</v>
      </c>
      <c r="AG624" s="30" t="n">
        <v>0</v>
      </c>
      <c r="AH624" s="30" t="str">
        <f aca="false">IF(OR(P624="判定不能",G624="判定不能"),"判定不能",IF(AG624&gt;=判定条件!$C$9,"利用可",IF(AND(P624="停止",G624="停止"),"両方停止","運転がそろわない")))</f>
        <v>両方停止</v>
      </c>
      <c r="AI624" s="30" t="n">
        <v>0</v>
      </c>
      <c r="AJ624" s="30" t="n">
        <v>0</v>
      </c>
      <c r="AK624" s="30" t="str">
        <f aca="false">IF(OR(S624="判定不能",J624="判定不能"),"判定不能",IF(AJ624&gt;=判定条件!$C$9,"利用可",IF(AND(S624="停止",J624="停止"),"両方停止","運転がそろわない")))</f>
        <v>判定不能</v>
      </c>
      <c r="AL624" s="30" t="n">
        <v>60</v>
      </c>
      <c r="AM624" s="30" t="n">
        <v>0</v>
      </c>
      <c r="AN624" s="30" t="str">
        <f aca="false">IF(OR(V624="判定不能",M624="判定不能"),"判定不能",IF(AM624&gt;=判定条件!$C$9,"利用可",IF(AND(V624="停止",M624="停止"),"両方停止","運転がそろわない")))</f>
        <v>両方停止</v>
      </c>
      <c r="AO624" s="30" t="n">
        <v>60</v>
      </c>
      <c r="AP624" s="30" t="n">
        <v>0</v>
      </c>
      <c r="AQ624" s="30" t="str">
        <f aca="false">IF(OR(Y624="判定不能",G624="判定不能"),"判定不能",IF(AP624&gt;=判定条件!$C$9,"利用可",IF(AND(Y624="停止",G624="停止"),"両方停止","運転がそろわない")))</f>
        <v>両方停止</v>
      </c>
      <c r="AR624" s="30" t="n">
        <v>60</v>
      </c>
      <c r="AS624" s="30" t="n">
        <v>0</v>
      </c>
      <c r="AT624" s="30" t="str">
        <f aca="false">IF(OR(AB624="判定不能",J624="判定不能"),"判定不能",IF(AS624&gt;=判定条件!$C$9,"利用可",IF(AND(AB624="停止",J624="停止"),"両方停止","運転がそろわない")))</f>
        <v>両方停止</v>
      </c>
      <c r="AU624" s="30" t="n">
        <v>60</v>
      </c>
      <c r="AV624" s="30" t="n">
        <v>0</v>
      </c>
      <c r="AW624" s="30" t="str">
        <f aca="false">IF(OR(AE624="判定不能",M624="判定不能"),"判定不能",IF(AV624&gt;=判定条件!$C$9,"利用可",IF(AND(AE624="停止",M624="停止"),"両方停止","運転がそろわない")))</f>
        <v>両方停止</v>
      </c>
      <c r="AX624" s="30" t="str">
        <f aca="false">IF(AND(AH624="利用可",AK624="利用可",AN624="利用可"),"利用可","不可")</f>
        <v>不可</v>
      </c>
      <c r="AY624" s="30" t="str">
        <f aca="false">IF(AND(AQ624="利用可",AT624="利用可",AW624="利用可"),"利用可","不可")</f>
        <v>不可</v>
      </c>
    </row>
    <row r="625" customFormat="false" ht="15" hidden="false" customHeight="false" outlineLevel="0" collapsed="false">
      <c r="A625" s="29" t="n">
        <v>46257</v>
      </c>
      <c r="B625" s="30" t="n">
        <v>22</v>
      </c>
      <c r="C625" s="31" t="s">
        <v>65</v>
      </c>
      <c r="D625" s="31" t="s">
        <v>64</v>
      </c>
      <c r="E625" s="30" t="n">
        <v>60</v>
      </c>
      <c r="F625" s="30" t="n">
        <v>0</v>
      </c>
      <c r="G625" s="30" t="str">
        <f aca="false">IF(E625&lt;判定条件!$C$6,"判定不能",IF(F625&gt;=判定条件!$C$7*E625,"運転",IF(F625&lt;=判定条件!$C$8*E625,"停止","断続")))</f>
        <v>停止</v>
      </c>
      <c r="H625" s="30" t="n">
        <v>60</v>
      </c>
      <c r="I625" s="30" t="n">
        <v>0</v>
      </c>
      <c r="J625" s="30" t="str">
        <f aca="false">IF(H625&lt;判定条件!$C$6,"判定不能",IF(I625&gt;=判定条件!$C$7*H625,"運転",IF(I625&lt;=判定条件!$C$8*H625,"停止","断続")))</f>
        <v>停止</v>
      </c>
      <c r="K625" s="30" t="n">
        <v>60</v>
      </c>
      <c r="L625" s="30" t="n">
        <v>0</v>
      </c>
      <c r="M625" s="30" t="str">
        <f aca="false">IF(K625&lt;判定条件!$C$6,"判定不能",IF(L625&gt;=判定条件!$C$7*K625,"運転",IF(L625&lt;=判定条件!$C$8*K625,"停止","断続")))</f>
        <v>停止</v>
      </c>
      <c r="N625" s="30" t="n">
        <v>60</v>
      </c>
      <c r="O625" s="30" t="n">
        <v>0</v>
      </c>
      <c r="P625" s="30" t="str">
        <f aca="false">IF(N625&lt;判定条件!$C$6,"判定不能",IF(O625&gt;=判定条件!$C$7*N625,"運転",IF(O625&lt;=判定条件!$C$8*N625,"停止","断続")))</f>
        <v>停止</v>
      </c>
      <c r="Q625" s="30" t="n">
        <v>0</v>
      </c>
      <c r="R625" s="30" t="n">
        <v>0</v>
      </c>
      <c r="S625" s="30" t="str">
        <f aca="false">IF(Q625&lt;判定条件!$C$6,"判定不能",IF(R625&gt;=判定条件!$C$7*Q625,"運転",IF(R625&lt;=判定条件!$C$8*Q625,"停止","断続")))</f>
        <v>判定不能</v>
      </c>
      <c r="T625" s="30" t="n">
        <v>60</v>
      </c>
      <c r="U625" s="30" t="n">
        <v>0</v>
      </c>
      <c r="V625" s="30" t="str">
        <f aca="false">IF(T625&lt;判定条件!$C$6,"判定不能",IF(U625&gt;=判定条件!$C$7*T625,"運転",IF(U625&lt;=判定条件!$C$8*T625,"停止","断続")))</f>
        <v>停止</v>
      </c>
      <c r="W625" s="30" t="n">
        <v>60</v>
      </c>
      <c r="X625" s="30" t="n">
        <v>0</v>
      </c>
      <c r="Y625" s="30" t="str">
        <f aca="false">IF(W625&lt;判定条件!$C$6,"判定不能",IF(X625&gt;=判定条件!$C$7*W625,"運転",IF(X625&lt;=判定条件!$C$8*W625,"停止","断続")))</f>
        <v>停止</v>
      </c>
      <c r="Z625" s="30" t="n">
        <v>60</v>
      </c>
      <c r="AA625" s="30" t="n">
        <v>0</v>
      </c>
      <c r="AB625" s="30" t="str">
        <f aca="false">IF(Z625&lt;判定条件!$C$6,"判定不能",IF(AA625&gt;=判定条件!$C$7*Z625,"運転",IF(AA625&lt;=判定条件!$C$8*Z625,"停止","断続")))</f>
        <v>停止</v>
      </c>
      <c r="AC625" s="30" t="n">
        <v>60</v>
      </c>
      <c r="AD625" s="30" t="n">
        <v>0</v>
      </c>
      <c r="AE625" s="30" t="str">
        <f aca="false">IF(AC625&lt;判定条件!$C$6,"判定不能",IF(AD625&gt;=判定条件!$C$7*AC625,"運転",IF(AD625&lt;=判定条件!$C$8*AC625,"停止","断続")))</f>
        <v>停止</v>
      </c>
      <c r="AF625" s="30" t="n">
        <v>60</v>
      </c>
      <c r="AG625" s="30" t="n">
        <v>0</v>
      </c>
      <c r="AH625" s="30" t="str">
        <f aca="false">IF(OR(P625="判定不能",G625="判定不能"),"判定不能",IF(AG625&gt;=判定条件!$C$9,"利用可",IF(AND(P625="停止",G625="停止"),"両方停止","運転がそろわない")))</f>
        <v>両方停止</v>
      </c>
      <c r="AI625" s="30" t="n">
        <v>0</v>
      </c>
      <c r="AJ625" s="30" t="n">
        <v>0</v>
      </c>
      <c r="AK625" s="30" t="str">
        <f aca="false">IF(OR(S625="判定不能",J625="判定不能"),"判定不能",IF(AJ625&gt;=判定条件!$C$9,"利用可",IF(AND(S625="停止",J625="停止"),"両方停止","運転がそろわない")))</f>
        <v>判定不能</v>
      </c>
      <c r="AL625" s="30" t="n">
        <v>60</v>
      </c>
      <c r="AM625" s="30" t="n">
        <v>0</v>
      </c>
      <c r="AN625" s="30" t="str">
        <f aca="false">IF(OR(V625="判定不能",M625="判定不能"),"判定不能",IF(AM625&gt;=判定条件!$C$9,"利用可",IF(AND(V625="停止",M625="停止"),"両方停止","運転がそろわない")))</f>
        <v>両方停止</v>
      </c>
      <c r="AO625" s="30" t="n">
        <v>60</v>
      </c>
      <c r="AP625" s="30" t="n">
        <v>0</v>
      </c>
      <c r="AQ625" s="30" t="str">
        <f aca="false">IF(OR(Y625="判定不能",G625="判定不能"),"判定不能",IF(AP625&gt;=判定条件!$C$9,"利用可",IF(AND(Y625="停止",G625="停止"),"両方停止","運転がそろわない")))</f>
        <v>両方停止</v>
      </c>
      <c r="AR625" s="30" t="n">
        <v>60</v>
      </c>
      <c r="AS625" s="30" t="n">
        <v>0</v>
      </c>
      <c r="AT625" s="30" t="str">
        <f aca="false">IF(OR(AB625="判定不能",J625="判定不能"),"判定不能",IF(AS625&gt;=判定条件!$C$9,"利用可",IF(AND(AB625="停止",J625="停止"),"両方停止","運転がそろわない")))</f>
        <v>両方停止</v>
      </c>
      <c r="AU625" s="30" t="n">
        <v>60</v>
      </c>
      <c r="AV625" s="30" t="n">
        <v>0</v>
      </c>
      <c r="AW625" s="30" t="str">
        <f aca="false">IF(OR(AE625="判定不能",M625="判定不能"),"判定不能",IF(AV625&gt;=判定条件!$C$9,"利用可",IF(AND(AE625="停止",M625="停止"),"両方停止","運転がそろわない")))</f>
        <v>両方停止</v>
      </c>
      <c r="AX625" s="30" t="str">
        <f aca="false">IF(AND(AH625="利用可",AK625="利用可",AN625="利用可"),"利用可","不可")</f>
        <v>不可</v>
      </c>
      <c r="AY625" s="30" t="str">
        <f aca="false">IF(AND(AQ625="利用可",AT625="利用可",AW625="利用可"),"利用可","不可")</f>
        <v>不可</v>
      </c>
    </row>
    <row r="626" customFormat="false" ht="15" hidden="false" customHeight="false" outlineLevel="0" collapsed="false">
      <c r="A626" s="29" t="n">
        <v>46257</v>
      </c>
      <c r="B626" s="30" t="n">
        <v>23</v>
      </c>
      <c r="C626" s="31" t="s">
        <v>65</v>
      </c>
      <c r="D626" s="31" t="s">
        <v>64</v>
      </c>
      <c r="E626" s="30" t="n">
        <v>60</v>
      </c>
      <c r="F626" s="30" t="n">
        <v>0</v>
      </c>
      <c r="G626" s="30" t="str">
        <f aca="false">IF(E626&lt;判定条件!$C$6,"判定不能",IF(F626&gt;=判定条件!$C$7*E626,"運転",IF(F626&lt;=判定条件!$C$8*E626,"停止","断続")))</f>
        <v>停止</v>
      </c>
      <c r="H626" s="30" t="n">
        <v>60</v>
      </c>
      <c r="I626" s="30" t="n">
        <v>0</v>
      </c>
      <c r="J626" s="30" t="str">
        <f aca="false">IF(H626&lt;判定条件!$C$6,"判定不能",IF(I626&gt;=判定条件!$C$7*H626,"運転",IF(I626&lt;=判定条件!$C$8*H626,"停止","断続")))</f>
        <v>停止</v>
      </c>
      <c r="K626" s="30" t="n">
        <v>60</v>
      </c>
      <c r="L626" s="30" t="n">
        <v>0</v>
      </c>
      <c r="M626" s="30" t="str">
        <f aca="false">IF(K626&lt;判定条件!$C$6,"判定不能",IF(L626&gt;=判定条件!$C$7*K626,"運転",IF(L626&lt;=判定条件!$C$8*K626,"停止","断続")))</f>
        <v>停止</v>
      </c>
      <c r="N626" s="30" t="n">
        <v>60</v>
      </c>
      <c r="O626" s="30" t="n">
        <v>0</v>
      </c>
      <c r="P626" s="30" t="str">
        <f aca="false">IF(N626&lt;判定条件!$C$6,"判定不能",IF(O626&gt;=判定条件!$C$7*N626,"運転",IF(O626&lt;=判定条件!$C$8*N626,"停止","断続")))</f>
        <v>停止</v>
      </c>
      <c r="Q626" s="30" t="n">
        <v>0</v>
      </c>
      <c r="R626" s="30" t="n">
        <v>0</v>
      </c>
      <c r="S626" s="30" t="str">
        <f aca="false">IF(Q626&lt;判定条件!$C$6,"判定不能",IF(R626&gt;=判定条件!$C$7*Q626,"運転",IF(R626&lt;=判定条件!$C$8*Q626,"停止","断続")))</f>
        <v>判定不能</v>
      </c>
      <c r="T626" s="30" t="n">
        <v>60</v>
      </c>
      <c r="U626" s="30" t="n">
        <v>0</v>
      </c>
      <c r="V626" s="30" t="str">
        <f aca="false">IF(T626&lt;判定条件!$C$6,"判定不能",IF(U626&gt;=判定条件!$C$7*T626,"運転",IF(U626&lt;=判定条件!$C$8*T626,"停止","断続")))</f>
        <v>停止</v>
      </c>
      <c r="W626" s="30" t="n">
        <v>60</v>
      </c>
      <c r="X626" s="30" t="n">
        <v>0</v>
      </c>
      <c r="Y626" s="30" t="str">
        <f aca="false">IF(W626&lt;判定条件!$C$6,"判定不能",IF(X626&gt;=判定条件!$C$7*W626,"運転",IF(X626&lt;=判定条件!$C$8*W626,"停止","断続")))</f>
        <v>停止</v>
      </c>
      <c r="Z626" s="30" t="n">
        <v>60</v>
      </c>
      <c r="AA626" s="30" t="n">
        <v>0</v>
      </c>
      <c r="AB626" s="30" t="str">
        <f aca="false">IF(Z626&lt;判定条件!$C$6,"判定不能",IF(AA626&gt;=判定条件!$C$7*Z626,"運転",IF(AA626&lt;=判定条件!$C$8*Z626,"停止","断続")))</f>
        <v>停止</v>
      </c>
      <c r="AC626" s="30" t="n">
        <v>60</v>
      </c>
      <c r="AD626" s="30" t="n">
        <v>0</v>
      </c>
      <c r="AE626" s="30" t="str">
        <f aca="false">IF(AC626&lt;判定条件!$C$6,"判定不能",IF(AD626&gt;=判定条件!$C$7*AC626,"運転",IF(AD626&lt;=判定条件!$C$8*AC626,"停止","断続")))</f>
        <v>停止</v>
      </c>
      <c r="AF626" s="30" t="n">
        <v>60</v>
      </c>
      <c r="AG626" s="30" t="n">
        <v>0</v>
      </c>
      <c r="AH626" s="30" t="str">
        <f aca="false">IF(OR(P626="判定不能",G626="判定不能"),"判定不能",IF(AG626&gt;=判定条件!$C$9,"利用可",IF(AND(P626="停止",G626="停止"),"両方停止","運転がそろわない")))</f>
        <v>両方停止</v>
      </c>
      <c r="AI626" s="30" t="n">
        <v>0</v>
      </c>
      <c r="AJ626" s="30" t="n">
        <v>0</v>
      </c>
      <c r="AK626" s="30" t="str">
        <f aca="false">IF(OR(S626="判定不能",J626="判定不能"),"判定不能",IF(AJ626&gt;=判定条件!$C$9,"利用可",IF(AND(S626="停止",J626="停止"),"両方停止","運転がそろわない")))</f>
        <v>判定不能</v>
      </c>
      <c r="AL626" s="30" t="n">
        <v>60</v>
      </c>
      <c r="AM626" s="30" t="n">
        <v>0</v>
      </c>
      <c r="AN626" s="30" t="str">
        <f aca="false">IF(OR(V626="判定不能",M626="判定不能"),"判定不能",IF(AM626&gt;=判定条件!$C$9,"利用可",IF(AND(V626="停止",M626="停止"),"両方停止","運転がそろわない")))</f>
        <v>両方停止</v>
      </c>
      <c r="AO626" s="30" t="n">
        <v>60</v>
      </c>
      <c r="AP626" s="30" t="n">
        <v>0</v>
      </c>
      <c r="AQ626" s="30" t="str">
        <f aca="false">IF(OR(Y626="判定不能",G626="判定不能"),"判定不能",IF(AP626&gt;=判定条件!$C$9,"利用可",IF(AND(Y626="停止",G626="停止"),"両方停止","運転がそろわない")))</f>
        <v>両方停止</v>
      </c>
      <c r="AR626" s="30" t="n">
        <v>60</v>
      </c>
      <c r="AS626" s="30" t="n">
        <v>0</v>
      </c>
      <c r="AT626" s="30" t="str">
        <f aca="false">IF(OR(AB626="判定不能",J626="判定不能"),"判定不能",IF(AS626&gt;=判定条件!$C$9,"利用可",IF(AND(AB626="停止",J626="停止"),"両方停止","運転がそろわない")))</f>
        <v>両方停止</v>
      </c>
      <c r="AU626" s="30" t="n">
        <v>60</v>
      </c>
      <c r="AV626" s="30" t="n">
        <v>0</v>
      </c>
      <c r="AW626" s="30" t="str">
        <f aca="false">IF(OR(AE626="判定不能",M626="判定不能"),"判定不能",IF(AV626&gt;=判定条件!$C$9,"利用可",IF(AND(AE626="停止",M626="停止"),"両方停止","運転がそろわない")))</f>
        <v>両方停止</v>
      </c>
      <c r="AX626" s="30" t="str">
        <f aca="false">IF(AND(AH626="利用可",AK626="利用可",AN626="利用可"),"利用可","不可")</f>
        <v>不可</v>
      </c>
      <c r="AY626" s="30" t="str">
        <f aca="false">IF(AND(AQ626="利用可",AT626="利用可",AW626="利用可"),"利用可","不可")</f>
        <v>不可</v>
      </c>
    </row>
    <row r="627" customFormat="false" ht="15" hidden="false" customHeight="false" outlineLevel="0" collapsed="false">
      <c r="A627" s="29" t="n">
        <v>46258</v>
      </c>
      <c r="B627" s="30" t="n">
        <v>0</v>
      </c>
      <c r="C627" s="31" t="s">
        <v>66</v>
      </c>
      <c r="D627" s="31" t="s">
        <v>59</v>
      </c>
      <c r="E627" s="30" t="n">
        <v>60</v>
      </c>
      <c r="F627" s="30" t="n">
        <v>0</v>
      </c>
      <c r="G627" s="30" t="str">
        <f aca="false">IF(E627&lt;判定条件!$C$6,"判定不能",IF(F627&gt;=判定条件!$C$7*E627,"運転",IF(F627&lt;=判定条件!$C$8*E627,"停止","断続")))</f>
        <v>停止</v>
      </c>
      <c r="H627" s="30" t="n">
        <v>60</v>
      </c>
      <c r="I627" s="30" t="n">
        <v>0</v>
      </c>
      <c r="J627" s="30" t="str">
        <f aca="false">IF(H627&lt;判定条件!$C$6,"判定不能",IF(I627&gt;=判定条件!$C$7*H627,"運転",IF(I627&lt;=判定条件!$C$8*H627,"停止","断続")))</f>
        <v>停止</v>
      </c>
      <c r="K627" s="30" t="n">
        <v>60</v>
      </c>
      <c r="L627" s="30" t="n">
        <v>0</v>
      </c>
      <c r="M627" s="30" t="str">
        <f aca="false">IF(K627&lt;判定条件!$C$6,"判定不能",IF(L627&gt;=判定条件!$C$7*K627,"運転",IF(L627&lt;=判定条件!$C$8*K627,"停止","断続")))</f>
        <v>停止</v>
      </c>
      <c r="N627" s="30" t="n">
        <v>60</v>
      </c>
      <c r="O627" s="30" t="n">
        <v>0</v>
      </c>
      <c r="P627" s="30" t="str">
        <f aca="false">IF(N627&lt;判定条件!$C$6,"判定不能",IF(O627&gt;=判定条件!$C$7*N627,"運転",IF(O627&lt;=判定条件!$C$8*N627,"停止","断続")))</f>
        <v>停止</v>
      </c>
      <c r="Q627" s="30" t="n">
        <v>0</v>
      </c>
      <c r="R627" s="30" t="n">
        <v>0</v>
      </c>
      <c r="S627" s="30" t="str">
        <f aca="false">IF(Q627&lt;判定条件!$C$6,"判定不能",IF(R627&gt;=判定条件!$C$7*Q627,"運転",IF(R627&lt;=判定条件!$C$8*Q627,"停止","断続")))</f>
        <v>判定不能</v>
      </c>
      <c r="T627" s="30" t="n">
        <v>60</v>
      </c>
      <c r="U627" s="30" t="n">
        <v>0</v>
      </c>
      <c r="V627" s="30" t="str">
        <f aca="false">IF(T627&lt;判定条件!$C$6,"判定不能",IF(U627&gt;=判定条件!$C$7*T627,"運転",IF(U627&lt;=判定条件!$C$8*T627,"停止","断続")))</f>
        <v>停止</v>
      </c>
      <c r="W627" s="30" t="n">
        <v>60</v>
      </c>
      <c r="X627" s="30" t="n">
        <v>0</v>
      </c>
      <c r="Y627" s="30" t="str">
        <f aca="false">IF(W627&lt;判定条件!$C$6,"判定不能",IF(X627&gt;=判定条件!$C$7*W627,"運転",IF(X627&lt;=判定条件!$C$8*W627,"停止","断続")))</f>
        <v>停止</v>
      </c>
      <c r="Z627" s="30" t="n">
        <v>60</v>
      </c>
      <c r="AA627" s="30" t="n">
        <v>0</v>
      </c>
      <c r="AB627" s="30" t="str">
        <f aca="false">IF(Z627&lt;判定条件!$C$6,"判定不能",IF(AA627&gt;=判定条件!$C$7*Z627,"運転",IF(AA627&lt;=判定条件!$C$8*Z627,"停止","断続")))</f>
        <v>停止</v>
      </c>
      <c r="AC627" s="30" t="n">
        <v>60</v>
      </c>
      <c r="AD627" s="30" t="n">
        <v>0</v>
      </c>
      <c r="AE627" s="30" t="str">
        <f aca="false">IF(AC627&lt;判定条件!$C$6,"判定不能",IF(AD627&gt;=判定条件!$C$7*AC627,"運転",IF(AD627&lt;=判定条件!$C$8*AC627,"停止","断続")))</f>
        <v>停止</v>
      </c>
      <c r="AF627" s="30" t="n">
        <v>60</v>
      </c>
      <c r="AG627" s="30" t="n">
        <v>0</v>
      </c>
      <c r="AH627" s="30" t="str">
        <f aca="false">IF(OR(P627="判定不能",G627="判定不能"),"判定不能",IF(AG627&gt;=判定条件!$C$9,"利用可",IF(AND(P627="停止",G627="停止"),"両方停止","運転がそろわない")))</f>
        <v>両方停止</v>
      </c>
      <c r="AI627" s="30" t="n">
        <v>0</v>
      </c>
      <c r="AJ627" s="30" t="n">
        <v>0</v>
      </c>
      <c r="AK627" s="30" t="str">
        <f aca="false">IF(OR(S627="判定不能",J627="判定不能"),"判定不能",IF(AJ627&gt;=判定条件!$C$9,"利用可",IF(AND(S627="停止",J627="停止"),"両方停止","運転がそろわない")))</f>
        <v>判定不能</v>
      </c>
      <c r="AL627" s="30" t="n">
        <v>60</v>
      </c>
      <c r="AM627" s="30" t="n">
        <v>0</v>
      </c>
      <c r="AN627" s="30" t="str">
        <f aca="false">IF(OR(V627="判定不能",M627="判定不能"),"判定不能",IF(AM627&gt;=判定条件!$C$9,"利用可",IF(AND(V627="停止",M627="停止"),"両方停止","運転がそろわない")))</f>
        <v>両方停止</v>
      </c>
      <c r="AO627" s="30" t="n">
        <v>60</v>
      </c>
      <c r="AP627" s="30" t="n">
        <v>0</v>
      </c>
      <c r="AQ627" s="30" t="str">
        <f aca="false">IF(OR(Y627="判定不能",G627="判定不能"),"判定不能",IF(AP627&gt;=判定条件!$C$9,"利用可",IF(AND(Y627="停止",G627="停止"),"両方停止","運転がそろわない")))</f>
        <v>両方停止</v>
      </c>
      <c r="AR627" s="30" t="n">
        <v>60</v>
      </c>
      <c r="AS627" s="30" t="n">
        <v>0</v>
      </c>
      <c r="AT627" s="30" t="str">
        <f aca="false">IF(OR(AB627="判定不能",J627="判定不能"),"判定不能",IF(AS627&gt;=判定条件!$C$9,"利用可",IF(AND(AB627="停止",J627="停止"),"両方停止","運転がそろわない")))</f>
        <v>両方停止</v>
      </c>
      <c r="AU627" s="30" t="n">
        <v>60</v>
      </c>
      <c r="AV627" s="30" t="n">
        <v>0</v>
      </c>
      <c r="AW627" s="30" t="str">
        <f aca="false">IF(OR(AE627="判定不能",M627="判定不能"),"判定不能",IF(AV627&gt;=判定条件!$C$9,"利用可",IF(AND(AE627="停止",M627="停止"),"両方停止","運転がそろわない")))</f>
        <v>両方停止</v>
      </c>
      <c r="AX627" s="30" t="str">
        <f aca="false">IF(AND(AH627="利用可",AK627="利用可",AN627="利用可"),"利用可","不可")</f>
        <v>不可</v>
      </c>
      <c r="AY627" s="30" t="str">
        <f aca="false">IF(AND(AQ627="利用可",AT627="利用可",AW627="利用可"),"利用可","不可")</f>
        <v>不可</v>
      </c>
    </row>
    <row r="628" customFormat="false" ht="15" hidden="false" customHeight="false" outlineLevel="0" collapsed="false">
      <c r="A628" s="29" t="n">
        <v>46258</v>
      </c>
      <c r="B628" s="30" t="n">
        <v>1</v>
      </c>
      <c r="C628" s="31" t="s">
        <v>66</v>
      </c>
      <c r="D628" s="31" t="s">
        <v>59</v>
      </c>
      <c r="E628" s="30" t="n">
        <v>60</v>
      </c>
      <c r="F628" s="30" t="n">
        <v>0</v>
      </c>
      <c r="G628" s="30" t="str">
        <f aca="false">IF(E628&lt;判定条件!$C$6,"判定不能",IF(F628&gt;=判定条件!$C$7*E628,"運転",IF(F628&lt;=判定条件!$C$8*E628,"停止","断続")))</f>
        <v>停止</v>
      </c>
      <c r="H628" s="30" t="n">
        <v>60</v>
      </c>
      <c r="I628" s="30" t="n">
        <v>0</v>
      </c>
      <c r="J628" s="30" t="str">
        <f aca="false">IF(H628&lt;判定条件!$C$6,"判定不能",IF(I628&gt;=判定条件!$C$7*H628,"運転",IF(I628&lt;=判定条件!$C$8*H628,"停止","断続")))</f>
        <v>停止</v>
      </c>
      <c r="K628" s="30" t="n">
        <v>60</v>
      </c>
      <c r="L628" s="30" t="n">
        <v>0</v>
      </c>
      <c r="M628" s="30" t="str">
        <f aca="false">IF(K628&lt;判定条件!$C$6,"判定不能",IF(L628&gt;=判定条件!$C$7*K628,"運転",IF(L628&lt;=判定条件!$C$8*K628,"停止","断続")))</f>
        <v>停止</v>
      </c>
      <c r="N628" s="30" t="n">
        <v>60</v>
      </c>
      <c r="O628" s="30" t="n">
        <v>0</v>
      </c>
      <c r="P628" s="30" t="str">
        <f aca="false">IF(N628&lt;判定条件!$C$6,"判定不能",IF(O628&gt;=判定条件!$C$7*N628,"運転",IF(O628&lt;=判定条件!$C$8*N628,"停止","断続")))</f>
        <v>停止</v>
      </c>
      <c r="Q628" s="30" t="n">
        <v>0</v>
      </c>
      <c r="R628" s="30" t="n">
        <v>0</v>
      </c>
      <c r="S628" s="30" t="str">
        <f aca="false">IF(Q628&lt;判定条件!$C$6,"判定不能",IF(R628&gt;=判定条件!$C$7*Q628,"運転",IF(R628&lt;=判定条件!$C$8*Q628,"停止","断続")))</f>
        <v>判定不能</v>
      </c>
      <c r="T628" s="30" t="n">
        <v>60</v>
      </c>
      <c r="U628" s="30" t="n">
        <v>0</v>
      </c>
      <c r="V628" s="30" t="str">
        <f aca="false">IF(T628&lt;判定条件!$C$6,"判定不能",IF(U628&gt;=判定条件!$C$7*T628,"運転",IF(U628&lt;=判定条件!$C$8*T628,"停止","断続")))</f>
        <v>停止</v>
      </c>
      <c r="W628" s="30" t="n">
        <v>60</v>
      </c>
      <c r="X628" s="30" t="n">
        <v>0</v>
      </c>
      <c r="Y628" s="30" t="str">
        <f aca="false">IF(W628&lt;判定条件!$C$6,"判定不能",IF(X628&gt;=判定条件!$C$7*W628,"運転",IF(X628&lt;=判定条件!$C$8*W628,"停止","断続")))</f>
        <v>停止</v>
      </c>
      <c r="Z628" s="30" t="n">
        <v>60</v>
      </c>
      <c r="AA628" s="30" t="n">
        <v>0</v>
      </c>
      <c r="AB628" s="30" t="str">
        <f aca="false">IF(Z628&lt;判定条件!$C$6,"判定不能",IF(AA628&gt;=判定条件!$C$7*Z628,"運転",IF(AA628&lt;=判定条件!$C$8*Z628,"停止","断続")))</f>
        <v>停止</v>
      </c>
      <c r="AC628" s="30" t="n">
        <v>60</v>
      </c>
      <c r="AD628" s="30" t="n">
        <v>0</v>
      </c>
      <c r="AE628" s="30" t="str">
        <f aca="false">IF(AC628&lt;判定条件!$C$6,"判定不能",IF(AD628&gt;=判定条件!$C$7*AC628,"運転",IF(AD628&lt;=判定条件!$C$8*AC628,"停止","断続")))</f>
        <v>停止</v>
      </c>
      <c r="AF628" s="30" t="n">
        <v>60</v>
      </c>
      <c r="AG628" s="30" t="n">
        <v>0</v>
      </c>
      <c r="AH628" s="30" t="str">
        <f aca="false">IF(OR(P628="判定不能",G628="判定不能"),"判定不能",IF(AG628&gt;=判定条件!$C$9,"利用可",IF(AND(P628="停止",G628="停止"),"両方停止","運転がそろわない")))</f>
        <v>両方停止</v>
      </c>
      <c r="AI628" s="30" t="n">
        <v>0</v>
      </c>
      <c r="AJ628" s="30" t="n">
        <v>0</v>
      </c>
      <c r="AK628" s="30" t="str">
        <f aca="false">IF(OR(S628="判定不能",J628="判定不能"),"判定不能",IF(AJ628&gt;=判定条件!$C$9,"利用可",IF(AND(S628="停止",J628="停止"),"両方停止","運転がそろわない")))</f>
        <v>判定不能</v>
      </c>
      <c r="AL628" s="30" t="n">
        <v>60</v>
      </c>
      <c r="AM628" s="30" t="n">
        <v>0</v>
      </c>
      <c r="AN628" s="30" t="str">
        <f aca="false">IF(OR(V628="判定不能",M628="判定不能"),"判定不能",IF(AM628&gt;=判定条件!$C$9,"利用可",IF(AND(V628="停止",M628="停止"),"両方停止","運転がそろわない")))</f>
        <v>両方停止</v>
      </c>
      <c r="AO628" s="30" t="n">
        <v>60</v>
      </c>
      <c r="AP628" s="30" t="n">
        <v>0</v>
      </c>
      <c r="AQ628" s="30" t="str">
        <f aca="false">IF(OR(Y628="判定不能",G628="判定不能"),"判定不能",IF(AP628&gt;=判定条件!$C$9,"利用可",IF(AND(Y628="停止",G628="停止"),"両方停止","運転がそろわない")))</f>
        <v>両方停止</v>
      </c>
      <c r="AR628" s="30" t="n">
        <v>60</v>
      </c>
      <c r="AS628" s="30" t="n">
        <v>0</v>
      </c>
      <c r="AT628" s="30" t="str">
        <f aca="false">IF(OR(AB628="判定不能",J628="判定不能"),"判定不能",IF(AS628&gt;=判定条件!$C$9,"利用可",IF(AND(AB628="停止",J628="停止"),"両方停止","運転がそろわない")))</f>
        <v>両方停止</v>
      </c>
      <c r="AU628" s="30" t="n">
        <v>60</v>
      </c>
      <c r="AV628" s="30" t="n">
        <v>0</v>
      </c>
      <c r="AW628" s="30" t="str">
        <f aca="false">IF(OR(AE628="判定不能",M628="判定不能"),"判定不能",IF(AV628&gt;=判定条件!$C$9,"利用可",IF(AND(AE628="停止",M628="停止"),"両方停止","運転がそろわない")))</f>
        <v>両方停止</v>
      </c>
      <c r="AX628" s="30" t="str">
        <f aca="false">IF(AND(AH628="利用可",AK628="利用可",AN628="利用可"),"利用可","不可")</f>
        <v>不可</v>
      </c>
      <c r="AY628" s="30" t="str">
        <f aca="false">IF(AND(AQ628="利用可",AT628="利用可",AW628="利用可"),"利用可","不可")</f>
        <v>不可</v>
      </c>
    </row>
    <row r="629" customFormat="false" ht="15" hidden="false" customHeight="false" outlineLevel="0" collapsed="false">
      <c r="A629" s="29" t="n">
        <v>46258</v>
      </c>
      <c r="B629" s="30" t="n">
        <v>2</v>
      </c>
      <c r="C629" s="31" t="s">
        <v>66</v>
      </c>
      <c r="D629" s="31" t="s">
        <v>59</v>
      </c>
      <c r="E629" s="30" t="n">
        <v>60</v>
      </c>
      <c r="F629" s="30" t="n">
        <v>0</v>
      </c>
      <c r="G629" s="30" t="str">
        <f aca="false">IF(E629&lt;判定条件!$C$6,"判定不能",IF(F629&gt;=判定条件!$C$7*E629,"運転",IF(F629&lt;=判定条件!$C$8*E629,"停止","断続")))</f>
        <v>停止</v>
      </c>
      <c r="H629" s="30" t="n">
        <v>60</v>
      </c>
      <c r="I629" s="30" t="n">
        <v>0</v>
      </c>
      <c r="J629" s="30" t="str">
        <f aca="false">IF(H629&lt;判定条件!$C$6,"判定不能",IF(I629&gt;=判定条件!$C$7*H629,"運転",IF(I629&lt;=判定条件!$C$8*H629,"停止","断続")))</f>
        <v>停止</v>
      </c>
      <c r="K629" s="30" t="n">
        <v>60</v>
      </c>
      <c r="L629" s="30" t="n">
        <v>0</v>
      </c>
      <c r="M629" s="30" t="str">
        <f aca="false">IF(K629&lt;判定条件!$C$6,"判定不能",IF(L629&gt;=判定条件!$C$7*K629,"運転",IF(L629&lt;=判定条件!$C$8*K629,"停止","断続")))</f>
        <v>停止</v>
      </c>
      <c r="N629" s="30" t="n">
        <v>60</v>
      </c>
      <c r="O629" s="30" t="n">
        <v>0</v>
      </c>
      <c r="P629" s="30" t="str">
        <f aca="false">IF(N629&lt;判定条件!$C$6,"判定不能",IF(O629&gt;=判定条件!$C$7*N629,"運転",IF(O629&lt;=判定条件!$C$8*N629,"停止","断続")))</f>
        <v>停止</v>
      </c>
      <c r="Q629" s="30" t="n">
        <v>0</v>
      </c>
      <c r="R629" s="30" t="n">
        <v>0</v>
      </c>
      <c r="S629" s="30" t="str">
        <f aca="false">IF(Q629&lt;判定条件!$C$6,"判定不能",IF(R629&gt;=判定条件!$C$7*Q629,"運転",IF(R629&lt;=判定条件!$C$8*Q629,"停止","断続")))</f>
        <v>判定不能</v>
      </c>
      <c r="T629" s="30" t="n">
        <v>60</v>
      </c>
      <c r="U629" s="30" t="n">
        <v>0</v>
      </c>
      <c r="V629" s="30" t="str">
        <f aca="false">IF(T629&lt;判定条件!$C$6,"判定不能",IF(U629&gt;=判定条件!$C$7*T629,"運転",IF(U629&lt;=判定条件!$C$8*T629,"停止","断続")))</f>
        <v>停止</v>
      </c>
      <c r="W629" s="30" t="n">
        <v>60</v>
      </c>
      <c r="X629" s="30" t="n">
        <v>0</v>
      </c>
      <c r="Y629" s="30" t="str">
        <f aca="false">IF(W629&lt;判定条件!$C$6,"判定不能",IF(X629&gt;=判定条件!$C$7*W629,"運転",IF(X629&lt;=判定条件!$C$8*W629,"停止","断続")))</f>
        <v>停止</v>
      </c>
      <c r="Z629" s="30" t="n">
        <v>60</v>
      </c>
      <c r="AA629" s="30" t="n">
        <v>0</v>
      </c>
      <c r="AB629" s="30" t="str">
        <f aca="false">IF(Z629&lt;判定条件!$C$6,"判定不能",IF(AA629&gt;=判定条件!$C$7*Z629,"運転",IF(AA629&lt;=判定条件!$C$8*Z629,"停止","断続")))</f>
        <v>停止</v>
      </c>
      <c r="AC629" s="30" t="n">
        <v>60</v>
      </c>
      <c r="AD629" s="30" t="n">
        <v>0</v>
      </c>
      <c r="AE629" s="30" t="str">
        <f aca="false">IF(AC629&lt;判定条件!$C$6,"判定不能",IF(AD629&gt;=判定条件!$C$7*AC629,"運転",IF(AD629&lt;=判定条件!$C$8*AC629,"停止","断続")))</f>
        <v>停止</v>
      </c>
      <c r="AF629" s="30" t="n">
        <v>60</v>
      </c>
      <c r="AG629" s="30" t="n">
        <v>0</v>
      </c>
      <c r="AH629" s="30" t="str">
        <f aca="false">IF(OR(P629="判定不能",G629="判定不能"),"判定不能",IF(AG629&gt;=判定条件!$C$9,"利用可",IF(AND(P629="停止",G629="停止"),"両方停止","運転がそろわない")))</f>
        <v>両方停止</v>
      </c>
      <c r="AI629" s="30" t="n">
        <v>0</v>
      </c>
      <c r="AJ629" s="30" t="n">
        <v>0</v>
      </c>
      <c r="AK629" s="30" t="str">
        <f aca="false">IF(OR(S629="判定不能",J629="判定不能"),"判定不能",IF(AJ629&gt;=判定条件!$C$9,"利用可",IF(AND(S629="停止",J629="停止"),"両方停止","運転がそろわない")))</f>
        <v>判定不能</v>
      </c>
      <c r="AL629" s="30" t="n">
        <v>60</v>
      </c>
      <c r="AM629" s="30" t="n">
        <v>0</v>
      </c>
      <c r="AN629" s="30" t="str">
        <f aca="false">IF(OR(V629="判定不能",M629="判定不能"),"判定不能",IF(AM629&gt;=判定条件!$C$9,"利用可",IF(AND(V629="停止",M629="停止"),"両方停止","運転がそろわない")))</f>
        <v>両方停止</v>
      </c>
      <c r="AO629" s="30" t="n">
        <v>60</v>
      </c>
      <c r="AP629" s="30" t="n">
        <v>0</v>
      </c>
      <c r="AQ629" s="30" t="str">
        <f aca="false">IF(OR(Y629="判定不能",G629="判定不能"),"判定不能",IF(AP629&gt;=判定条件!$C$9,"利用可",IF(AND(Y629="停止",G629="停止"),"両方停止","運転がそろわない")))</f>
        <v>両方停止</v>
      </c>
      <c r="AR629" s="30" t="n">
        <v>60</v>
      </c>
      <c r="AS629" s="30" t="n">
        <v>0</v>
      </c>
      <c r="AT629" s="30" t="str">
        <f aca="false">IF(OR(AB629="判定不能",J629="判定不能"),"判定不能",IF(AS629&gt;=判定条件!$C$9,"利用可",IF(AND(AB629="停止",J629="停止"),"両方停止","運転がそろわない")))</f>
        <v>両方停止</v>
      </c>
      <c r="AU629" s="30" t="n">
        <v>60</v>
      </c>
      <c r="AV629" s="30" t="n">
        <v>0</v>
      </c>
      <c r="AW629" s="30" t="str">
        <f aca="false">IF(OR(AE629="判定不能",M629="判定不能"),"判定不能",IF(AV629&gt;=判定条件!$C$9,"利用可",IF(AND(AE629="停止",M629="停止"),"両方停止","運転がそろわない")))</f>
        <v>両方停止</v>
      </c>
      <c r="AX629" s="30" t="str">
        <f aca="false">IF(AND(AH629="利用可",AK629="利用可",AN629="利用可"),"利用可","不可")</f>
        <v>不可</v>
      </c>
      <c r="AY629" s="30" t="str">
        <f aca="false">IF(AND(AQ629="利用可",AT629="利用可",AW629="利用可"),"利用可","不可")</f>
        <v>不可</v>
      </c>
    </row>
    <row r="630" customFormat="false" ht="15" hidden="false" customHeight="false" outlineLevel="0" collapsed="false">
      <c r="A630" s="29" t="n">
        <v>46258</v>
      </c>
      <c r="B630" s="30" t="n">
        <v>3</v>
      </c>
      <c r="C630" s="31" t="s">
        <v>66</v>
      </c>
      <c r="D630" s="31" t="s">
        <v>59</v>
      </c>
      <c r="E630" s="30" t="n">
        <v>60</v>
      </c>
      <c r="F630" s="30" t="n">
        <v>0</v>
      </c>
      <c r="G630" s="30" t="str">
        <f aca="false">IF(E630&lt;判定条件!$C$6,"判定不能",IF(F630&gt;=判定条件!$C$7*E630,"運転",IF(F630&lt;=判定条件!$C$8*E630,"停止","断続")))</f>
        <v>停止</v>
      </c>
      <c r="H630" s="30" t="n">
        <v>60</v>
      </c>
      <c r="I630" s="30" t="n">
        <v>0</v>
      </c>
      <c r="J630" s="30" t="str">
        <f aca="false">IF(H630&lt;判定条件!$C$6,"判定不能",IF(I630&gt;=判定条件!$C$7*H630,"運転",IF(I630&lt;=判定条件!$C$8*H630,"停止","断続")))</f>
        <v>停止</v>
      </c>
      <c r="K630" s="30" t="n">
        <v>60</v>
      </c>
      <c r="L630" s="30" t="n">
        <v>0</v>
      </c>
      <c r="M630" s="30" t="str">
        <f aca="false">IF(K630&lt;判定条件!$C$6,"判定不能",IF(L630&gt;=判定条件!$C$7*K630,"運転",IF(L630&lt;=判定条件!$C$8*K630,"停止","断続")))</f>
        <v>停止</v>
      </c>
      <c r="N630" s="30" t="n">
        <v>60</v>
      </c>
      <c r="O630" s="30" t="n">
        <v>0</v>
      </c>
      <c r="P630" s="30" t="str">
        <f aca="false">IF(N630&lt;判定条件!$C$6,"判定不能",IF(O630&gt;=判定条件!$C$7*N630,"運転",IF(O630&lt;=判定条件!$C$8*N630,"停止","断続")))</f>
        <v>停止</v>
      </c>
      <c r="Q630" s="30" t="n">
        <v>0</v>
      </c>
      <c r="R630" s="30" t="n">
        <v>0</v>
      </c>
      <c r="S630" s="30" t="str">
        <f aca="false">IF(Q630&lt;判定条件!$C$6,"判定不能",IF(R630&gt;=判定条件!$C$7*Q630,"運転",IF(R630&lt;=判定条件!$C$8*Q630,"停止","断続")))</f>
        <v>判定不能</v>
      </c>
      <c r="T630" s="30" t="n">
        <v>60</v>
      </c>
      <c r="U630" s="30" t="n">
        <v>0</v>
      </c>
      <c r="V630" s="30" t="str">
        <f aca="false">IF(T630&lt;判定条件!$C$6,"判定不能",IF(U630&gt;=判定条件!$C$7*T630,"運転",IF(U630&lt;=判定条件!$C$8*T630,"停止","断続")))</f>
        <v>停止</v>
      </c>
      <c r="W630" s="30" t="n">
        <v>60</v>
      </c>
      <c r="X630" s="30" t="n">
        <v>0</v>
      </c>
      <c r="Y630" s="30" t="str">
        <f aca="false">IF(W630&lt;判定条件!$C$6,"判定不能",IF(X630&gt;=判定条件!$C$7*W630,"運転",IF(X630&lt;=判定条件!$C$8*W630,"停止","断続")))</f>
        <v>停止</v>
      </c>
      <c r="Z630" s="30" t="n">
        <v>60</v>
      </c>
      <c r="AA630" s="30" t="n">
        <v>0</v>
      </c>
      <c r="AB630" s="30" t="str">
        <f aca="false">IF(Z630&lt;判定条件!$C$6,"判定不能",IF(AA630&gt;=判定条件!$C$7*Z630,"運転",IF(AA630&lt;=判定条件!$C$8*Z630,"停止","断続")))</f>
        <v>停止</v>
      </c>
      <c r="AC630" s="30" t="n">
        <v>60</v>
      </c>
      <c r="AD630" s="30" t="n">
        <v>0</v>
      </c>
      <c r="AE630" s="30" t="str">
        <f aca="false">IF(AC630&lt;判定条件!$C$6,"判定不能",IF(AD630&gt;=判定条件!$C$7*AC630,"運転",IF(AD630&lt;=判定条件!$C$8*AC630,"停止","断続")))</f>
        <v>停止</v>
      </c>
      <c r="AF630" s="30" t="n">
        <v>60</v>
      </c>
      <c r="AG630" s="30" t="n">
        <v>0</v>
      </c>
      <c r="AH630" s="30" t="str">
        <f aca="false">IF(OR(P630="判定不能",G630="判定不能"),"判定不能",IF(AG630&gt;=判定条件!$C$9,"利用可",IF(AND(P630="停止",G630="停止"),"両方停止","運転がそろわない")))</f>
        <v>両方停止</v>
      </c>
      <c r="AI630" s="30" t="n">
        <v>0</v>
      </c>
      <c r="AJ630" s="30" t="n">
        <v>0</v>
      </c>
      <c r="AK630" s="30" t="str">
        <f aca="false">IF(OR(S630="判定不能",J630="判定不能"),"判定不能",IF(AJ630&gt;=判定条件!$C$9,"利用可",IF(AND(S630="停止",J630="停止"),"両方停止","運転がそろわない")))</f>
        <v>判定不能</v>
      </c>
      <c r="AL630" s="30" t="n">
        <v>60</v>
      </c>
      <c r="AM630" s="30" t="n">
        <v>0</v>
      </c>
      <c r="AN630" s="30" t="str">
        <f aca="false">IF(OR(V630="判定不能",M630="判定不能"),"判定不能",IF(AM630&gt;=判定条件!$C$9,"利用可",IF(AND(V630="停止",M630="停止"),"両方停止","運転がそろわない")))</f>
        <v>両方停止</v>
      </c>
      <c r="AO630" s="30" t="n">
        <v>60</v>
      </c>
      <c r="AP630" s="30" t="n">
        <v>0</v>
      </c>
      <c r="AQ630" s="30" t="str">
        <f aca="false">IF(OR(Y630="判定不能",G630="判定不能"),"判定不能",IF(AP630&gt;=判定条件!$C$9,"利用可",IF(AND(Y630="停止",G630="停止"),"両方停止","運転がそろわない")))</f>
        <v>両方停止</v>
      </c>
      <c r="AR630" s="30" t="n">
        <v>60</v>
      </c>
      <c r="AS630" s="30" t="n">
        <v>0</v>
      </c>
      <c r="AT630" s="30" t="str">
        <f aca="false">IF(OR(AB630="判定不能",J630="判定不能"),"判定不能",IF(AS630&gt;=判定条件!$C$9,"利用可",IF(AND(AB630="停止",J630="停止"),"両方停止","運転がそろわない")))</f>
        <v>両方停止</v>
      </c>
      <c r="AU630" s="30" t="n">
        <v>60</v>
      </c>
      <c r="AV630" s="30" t="n">
        <v>0</v>
      </c>
      <c r="AW630" s="30" t="str">
        <f aca="false">IF(OR(AE630="判定不能",M630="判定不能"),"判定不能",IF(AV630&gt;=判定条件!$C$9,"利用可",IF(AND(AE630="停止",M630="停止"),"両方停止","運転がそろわない")))</f>
        <v>両方停止</v>
      </c>
      <c r="AX630" s="30" t="str">
        <f aca="false">IF(AND(AH630="利用可",AK630="利用可",AN630="利用可"),"利用可","不可")</f>
        <v>不可</v>
      </c>
      <c r="AY630" s="30" t="str">
        <f aca="false">IF(AND(AQ630="利用可",AT630="利用可",AW630="利用可"),"利用可","不可")</f>
        <v>不可</v>
      </c>
    </row>
    <row r="631" customFormat="false" ht="15" hidden="false" customHeight="false" outlineLevel="0" collapsed="false">
      <c r="A631" s="29" t="n">
        <v>46258</v>
      </c>
      <c r="B631" s="30" t="n">
        <v>4</v>
      </c>
      <c r="C631" s="31" t="s">
        <v>66</v>
      </c>
      <c r="D631" s="31" t="s">
        <v>59</v>
      </c>
      <c r="E631" s="30" t="n">
        <v>60</v>
      </c>
      <c r="F631" s="30" t="n">
        <v>0</v>
      </c>
      <c r="G631" s="30" t="str">
        <f aca="false">IF(E631&lt;判定条件!$C$6,"判定不能",IF(F631&gt;=判定条件!$C$7*E631,"運転",IF(F631&lt;=判定条件!$C$8*E631,"停止","断続")))</f>
        <v>停止</v>
      </c>
      <c r="H631" s="30" t="n">
        <v>60</v>
      </c>
      <c r="I631" s="30" t="n">
        <v>0</v>
      </c>
      <c r="J631" s="30" t="str">
        <f aca="false">IF(H631&lt;判定条件!$C$6,"判定不能",IF(I631&gt;=判定条件!$C$7*H631,"運転",IF(I631&lt;=判定条件!$C$8*H631,"停止","断続")))</f>
        <v>停止</v>
      </c>
      <c r="K631" s="30" t="n">
        <v>60</v>
      </c>
      <c r="L631" s="30" t="n">
        <v>0</v>
      </c>
      <c r="M631" s="30" t="str">
        <f aca="false">IF(K631&lt;判定条件!$C$6,"判定不能",IF(L631&gt;=判定条件!$C$7*K631,"運転",IF(L631&lt;=判定条件!$C$8*K631,"停止","断続")))</f>
        <v>停止</v>
      </c>
      <c r="N631" s="30" t="n">
        <v>60</v>
      </c>
      <c r="O631" s="30" t="n">
        <v>0</v>
      </c>
      <c r="P631" s="30" t="str">
        <f aca="false">IF(N631&lt;判定条件!$C$6,"判定不能",IF(O631&gt;=判定条件!$C$7*N631,"運転",IF(O631&lt;=判定条件!$C$8*N631,"停止","断続")))</f>
        <v>停止</v>
      </c>
      <c r="Q631" s="30" t="n">
        <v>0</v>
      </c>
      <c r="R631" s="30" t="n">
        <v>0</v>
      </c>
      <c r="S631" s="30" t="str">
        <f aca="false">IF(Q631&lt;判定条件!$C$6,"判定不能",IF(R631&gt;=判定条件!$C$7*Q631,"運転",IF(R631&lt;=判定条件!$C$8*Q631,"停止","断続")))</f>
        <v>判定不能</v>
      </c>
      <c r="T631" s="30" t="n">
        <v>60</v>
      </c>
      <c r="U631" s="30" t="n">
        <v>0</v>
      </c>
      <c r="V631" s="30" t="str">
        <f aca="false">IF(T631&lt;判定条件!$C$6,"判定不能",IF(U631&gt;=判定条件!$C$7*T631,"運転",IF(U631&lt;=判定条件!$C$8*T631,"停止","断続")))</f>
        <v>停止</v>
      </c>
      <c r="W631" s="30" t="n">
        <v>60</v>
      </c>
      <c r="X631" s="30" t="n">
        <v>0</v>
      </c>
      <c r="Y631" s="30" t="str">
        <f aca="false">IF(W631&lt;判定条件!$C$6,"判定不能",IF(X631&gt;=判定条件!$C$7*W631,"運転",IF(X631&lt;=判定条件!$C$8*W631,"停止","断続")))</f>
        <v>停止</v>
      </c>
      <c r="Z631" s="30" t="n">
        <v>60</v>
      </c>
      <c r="AA631" s="30" t="n">
        <v>0</v>
      </c>
      <c r="AB631" s="30" t="str">
        <f aca="false">IF(Z631&lt;判定条件!$C$6,"判定不能",IF(AA631&gt;=判定条件!$C$7*Z631,"運転",IF(AA631&lt;=判定条件!$C$8*Z631,"停止","断続")))</f>
        <v>停止</v>
      </c>
      <c r="AC631" s="30" t="n">
        <v>60</v>
      </c>
      <c r="AD631" s="30" t="n">
        <v>0</v>
      </c>
      <c r="AE631" s="30" t="str">
        <f aca="false">IF(AC631&lt;判定条件!$C$6,"判定不能",IF(AD631&gt;=判定条件!$C$7*AC631,"運転",IF(AD631&lt;=判定条件!$C$8*AC631,"停止","断続")))</f>
        <v>停止</v>
      </c>
      <c r="AF631" s="30" t="n">
        <v>60</v>
      </c>
      <c r="AG631" s="30" t="n">
        <v>0</v>
      </c>
      <c r="AH631" s="30" t="str">
        <f aca="false">IF(OR(P631="判定不能",G631="判定不能"),"判定不能",IF(AG631&gt;=判定条件!$C$9,"利用可",IF(AND(P631="停止",G631="停止"),"両方停止","運転がそろわない")))</f>
        <v>両方停止</v>
      </c>
      <c r="AI631" s="30" t="n">
        <v>0</v>
      </c>
      <c r="AJ631" s="30" t="n">
        <v>0</v>
      </c>
      <c r="AK631" s="30" t="str">
        <f aca="false">IF(OR(S631="判定不能",J631="判定不能"),"判定不能",IF(AJ631&gt;=判定条件!$C$9,"利用可",IF(AND(S631="停止",J631="停止"),"両方停止","運転がそろわない")))</f>
        <v>判定不能</v>
      </c>
      <c r="AL631" s="30" t="n">
        <v>60</v>
      </c>
      <c r="AM631" s="30" t="n">
        <v>0</v>
      </c>
      <c r="AN631" s="30" t="str">
        <f aca="false">IF(OR(V631="判定不能",M631="判定不能"),"判定不能",IF(AM631&gt;=判定条件!$C$9,"利用可",IF(AND(V631="停止",M631="停止"),"両方停止","運転がそろわない")))</f>
        <v>両方停止</v>
      </c>
      <c r="AO631" s="30" t="n">
        <v>60</v>
      </c>
      <c r="AP631" s="30" t="n">
        <v>0</v>
      </c>
      <c r="AQ631" s="30" t="str">
        <f aca="false">IF(OR(Y631="判定不能",G631="判定不能"),"判定不能",IF(AP631&gt;=判定条件!$C$9,"利用可",IF(AND(Y631="停止",G631="停止"),"両方停止","運転がそろわない")))</f>
        <v>両方停止</v>
      </c>
      <c r="AR631" s="30" t="n">
        <v>60</v>
      </c>
      <c r="AS631" s="30" t="n">
        <v>0</v>
      </c>
      <c r="AT631" s="30" t="str">
        <f aca="false">IF(OR(AB631="判定不能",J631="判定不能"),"判定不能",IF(AS631&gt;=判定条件!$C$9,"利用可",IF(AND(AB631="停止",J631="停止"),"両方停止","運転がそろわない")))</f>
        <v>両方停止</v>
      </c>
      <c r="AU631" s="30" t="n">
        <v>60</v>
      </c>
      <c r="AV631" s="30" t="n">
        <v>0</v>
      </c>
      <c r="AW631" s="30" t="str">
        <f aca="false">IF(OR(AE631="判定不能",M631="判定不能"),"判定不能",IF(AV631&gt;=判定条件!$C$9,"利用可",IF(AND(AE631="停止",M631="停止"),"両方停止","運転がそろわない")))</f>
        <v>両方停止</v>
      </c>
      <c r="AX631" s="30" t="str">
        <f aca="false">IF(AND(AH631="利用可",AK631="利用可",AN631="利用可"),"利用可","不可")</f>
        <v>不可</v>
      </c>
      <c r="AY631" s="30" t="str">
        <f aca="false">IF(AND(AQ631="利用可",AT631="利用可",AW631="利用可"),"利用可","不可")</f>
        <v>不可</v>
      </c>
    </row>
    <row r="632" customFormat="false" ht="15" hidden="false" customHeight="false" outlineLevel="0" collapsed="false">
      <c r="A632" s="29" t="n">
        <v>46258</v>
      </c>
      <c r="B632" s="30" t="n">
        <v>5</v>
      </c>
      <c r="C632" s="31" t="s">
        <v>66</v>
      </c>
      <c r="D632" s="31" t="s">
        <v>59</v>
      </c>
      <c r="E632" s="30" t="n">
        <v>60</v>
      </c>
      <c r="F632" s="30" t="n">
        <v>0</v>
      </c>
      <c r="G632" s="30" t="str">
        <f aca="false">IF(E632&lt;判定条件!$C$6,"判定不能",IF(F632&gt;=判定条件!$C$7*E632,"運転",IF(F632&lt;=判定条件!$C$8*E632,"停止","断続")))</f>
        <v>停止</v>
      </c>
      <c r="H632" s="30" t="n">
        <v>60</v>
      </c>
      <c r="I632" s="30" t="n">
        <v>0</v>
      </c>
      <c r="J632" s="30" t="str">
        <f aca="false">IF(H632&lt;判定条件!$C$6,"判定不能",IF(I632&gt;=判定条件!$C$7*H632,"運転",IF(I632&lt;=判定条件!$C$8*H632,"停止","断続")))</f>
        <v>停止</v>
      </c>
      <c r="K632" s="30" t="n">
        <v>60</v>
      </c>
      <c r="L632" s="30" t="n">
        <v>0</v>
      </c>
      <c r="M632" s="30" t="str">
        <f aca="false">IF(K632&lt;判定条件!$C$6,"判定不能",IF(L632&gt;=判定条件!$C$7*K632,"運転",IF(L632&lt;=判定条件!$C$8*K632,"停止","断続")))</f>
        <v>停止</v>
      </c>
      <c r="N632" s="30" t="n">
        <v>60</v>
      </c>
      <c r="O632" s="30" t="n">
        <v>0</v>
      </c>
      <c r="P632" s="30" t="str">
        <f aca="false">IF(N632&lt;判定条件!$C$6,"判定不能",IF(O632&gt;=判定条件!$C$7*N632,"運転",IF(O632&lt;=判定条件!$C$8*N632,"停止","断続")))</f>
        <v>停止</v>
      </c>
      <c r="Q632" s="30" t="n">
        <v>0</v>
      </c>
      <c r="R632" s="30" t="n">
        <v>0</v>
      </c>
      <c r="S632" s="30" t="str">
        <f aca="false">IF(Q632&lt;判定条件!$C$6,"判定不能",IF(R632&gt;=判定条件!$C$7*Q632,"運転",IF(R632&lt;=判定条件!$C$8*Q632,"停止","断続")))</f>
        <v>判定不能</v>
      </c>
      <c r="T632" s="30" t="n">
        <v>60</v>
      </c>
      <c r="U632" s="30" t="n">
        <v>0</v>
      </c>
      <c r="V632" s="30" t="str">
        <f aca="false">IF(T632&lt;判定条件!$C$6,"判定不能",IF(U632&gt;=判定条件!$C$7*T632,"運転",IF(U632&lt;=判定条件!$C$8*T632,"停止","断続")))</f>
        <v>停止</v>
      </c>
      <c r="W632" s="30" t="n">
        <v>60</v>
      </c>
      <c r="X632" s="30" t="n">
        <v>0</v>
      </c>
      <c r="Y632" s="30" t="str">
        <f aca="false">IF(W632&lt;判定条件!$C$6,"判定不能",IF(X632&gt;=判定条件!$C$7*W632,"運転",IF(X632&lt;=判定条件!$C$8*W632,"停止","断続")))</f>
        <v>停止</v>
      </c>
      <c r="Z632" s="30" t="n">
        <v>60</v>
      </c>
      <c r="AA632" s="30" t="n">
        <v>0</v>
      </c>
      <c r="AB632" s="30" t="str">
        <f aca="false">IF(Z632&lt;判定条件!$C$6,"判定不能",IF(AA632&gt;=判定条件!$C$7*Z632,"運転",IF(AA632&lt;=判定条件!$C$8*Z632,"停止","断続")))</f>
        <v>停止</v>
      </c>
      <c r="AC632" s="30" t="n">
        <v>60</v>
      </c>
      <c r="AD632" s="30" t="n">
        <v>0</v>
      </c>
      <c r="AE632" s="30" t="str">
        <f aca="false">IF(AC632&lt;判定条件!$C$6,"判定不能",IF(AD632&gt;=判定条件!$C$7*AC632,"運転",IF(AD632&lt;=判定条件!$C$8*AC632,"停止","断続")))</f>
        <v>停止</v>
      </c>
      <c r="AF632" s="30" t="n">
        <v>60</v>
      </c>
      <c r="AG632" s="30" t="n">
        <v>0</v>
      </c>
      <c r="AH632" s="30" t="str">
        <f aca="false">IF(OR(P632="判定不能",G632="判定不能"),"判定不能",IF(AG632&gt;=判定条件!$C$9,"利用可",IF(AND(P632="停止",G632="停止"),"両方停止","運転がそろわない")))</f>
        <v>両方停止</v>
      </c>
      <c r="AI632" s="30" t="n">
        <v>0</v>
      </c>
      <c r="AJ632" s="30" t="n">
        <v>0</v>
      </c>
      <c r="AK632" s="30" t="str">
        <f aca="false">IF(OR(S632="判定不能",J632="判定不能"),"判定不能",IF(AJ632&gt;=判定条件!$C$9,"利用可",IF(AND(S632="停止",J632="停止"),"両方停止","運転がそろわない")))</f>
        <v>判定不能</v>
      </c>
      <c r="AL632" s="30" t="n">
        <v>60</v>
      </c>
      <c r="AM632" s="30" t="n">
        <v>0</v>
      </c>
      <c r="AN632" s="30" t="str">
        <f aca="false">IF(OR(V632="判定不能",M632="判定不能"),"判定不能",IF(AM632&gt;=判定条件!$C$9,"利用可",IF(AND(V632="停止",M632="停止"),"両方停止","運転がそろわない")))</f>
        <v>両方停止</v>
      </c>
      <c r="AO632" s="30" t="n">
        <v>60</v>
      </c>
      <c r="AP632" s="30" t="n">
        <v>0</v>
      </c>
      <c r="AQ632" s="30" t="str">
        <f aca="false">IF(OR(Y632="判定不能",G632="判定不能"),"判定不能",IF(AP632&gt;=判定条件!$C$9,"利用可",IF(AND(Y632="停止",G632="停止"),"両方停止","運転がそろわない")))</f>
        <v>両方停止</v>
      </c>
      <c r="AR632" s="30" t="n">
        <v>60</v>
      </c>
      <c r="AS632" s="30" t="n">
        <v>0</v>
      </c>
      <c r="AT632" s="30" t="str">
        <f aca="false">IF(OR(AB632="判定不能",J632="判定不能"),"判定不能",IF(AS632&gt;=判定条件!$C$9,"利用可",IF(AND(AB632="停止",J632="停止"),"両方停止","運転がそろわない")))</f>
        <v>両方停止</v>
      </c>
      <c r="AU632" s="30" t="n">
        <v>60</v>
      </c>
      <c r="AV632" s="30" t="n">
        <v>0</v>
      </c>
      <c r="AW632" s="30" t="str">
        <f aca="false">IF(OR(AE632="判定不能",M632="判定不能"),"判定不能",IF(AV632&gt;=判定条件!$C$9,"利用可",IF(AND(AE632="停止",M632="停止"),"両方停止","運転がそろわない")))</f>
        <v>両方停止</v>
      </c>
      <c r="AX632" s="30" t="str">
        <f aca="false">IF(AND(AH632="利用可",AK632="利用可",AN632="利用可"),"利用可","不可")</f>
        <v>不可</v>
      </c>
      <c r="AY632" s="30" t="str">
        <f aca="false">IF(AND(AQ632="利用可",AT632="利用可",AW632="利用可"),"利用可","不可")</f>
        <v>不可</v>
      </c>
    </row>
    <row r="633" customFormat="false" ht="15" hidden="false" customHeight="false" outlineLevel="0" collapsed="false">
      <c r="A633" s="29" t="n">
        <v>46258</v>
      </c>
      <c r="B633" s="30" t="n">
        <v>6</v>
      </c>
      <c r="C633" s="31" t="s">
        <v>66</v>
      </c>
      <c r="D633" s="31" t="s">
        <v>59</v>
      </c>
      <c r="E633" s="30" t="n">
        <v>60</v>
      </c>
      <c r="F633" s="30" t="n">
        <v>0</v>
      </c>
      <c r="G633" s="30" t="str">
        <f aca="false">IF(E633&lt;判定条件!$C$6,"判定不能",IF(F633&gt;=判定条件!$C$7*E633,"運転",IF(F633&lt;=判定条件!$C$8*E633,"停止","断続")))</f>
        <v>停止</v>
      </c>
      <c r="H633" s="30" t="n">
        <v>60</v>
      </c>
      <c r="I633" s="30" t="n">
        <v>0</v>
      </c>
      <c r="J633" s="30" t="str">
        <f aca="false">IF(H633&lt;判定条件!$C$6,"判定不能",IF(I633&gt;=判定条件!$C$7*H633,"運転",IF(I633&lt;=判定条件!$C$8*H633,"停止","断続")))</f>
        <v>停止</v>
      </c>
      <c r="K633" s="30" t="n">
        <v>60</v>
      </c>
      <c r="L633" s="30" t="n">
        <v>0</v>
      </c>
      <c r="M633" s="30" t="str">
        <f aca="false">IF(K633&lt;判定条件!$C$6,"判定不能",IF(L633&gt;=判定条件!$C$7*K633,"運転",IF(L633&lt;=判定条件!$C$8*K633,"停止","断続")))</f>
        <v>停止</v>
      </c>
      <c r="N633" s="30" t="n">
        <v>60</v>
      </c>
      <c r="O633" s="30" t="n">
        <v>11</v>
      </c>
      <c r="P633" s="30" t="str">
        <f aca="false">IF(N633&lt;判定条件!$C$6,"判定不能",IF(O633&gt;=判定条件!$C$7*N633,"運転",IF(O633&lt;=判定条件!$C$8*N633,"停止","断続")))</f>
        <v>停止</v>
      </c>
      <c r="Q633" s="30" t="n">
        <v>0</v>
      </c>
      <c r="R633" s="30" t="n">
        <v>0</v>
      </c>
      <c r="S633" s="30" t="str">
        <f aca="false">IF(Q633&lt;判定条件!$C$6,"判定不能",IF(R633&gt;=判定条件!$C$7*Q633,"運転",IF(R633&lt;=判定条件!$C$8*Q633,"停止","断続")))</f>
        <v>判定不能</v>
      </c>
      <c r="T633" s="30" t="n">
        <v>60</v>
      </c>
      <c r="U633" s="30" t="n">
        <v>27</v>
      </c>
      <c r="V633" s="30" t="str">
        <f aca="false">IF(T633&lt;判定条件!$C$6,"判定不能",IF(U633&gt;=判定条件!$C$7*T633,"運転",IF(U633&lt;=判定条件!$C$8*T633,"停止","断続")))</f>
        <v>断続</v>
      </c>
      <c r="W633" s="30" t="n">
        <v>60</v>
      </c>
      <c r="X633" s="30" t="n">
        <v>38</v>
      </c>
      <c r="Y633" s="30" t="str">
        <f aca="false">IF(W633&lt;判定条件!$C$6,"判定不能",IF(X633&gt;=判定条件!$C$7*W633,"運転",IF(X633&lt;=判定条件!$C$8*W633,"停止","断続")))</f>
        <v>断続</v>
      </c>
      <c r="Z633" s="30" t="n">
        <v>60</v>
      </c>
      <c r="AA633" s="30" t="n">
        <v>38</v>
      </c>
      <c r="AB633" s="30" t="str">
        <f aca="false">IF(Z633&lt;判定条件!$C$6,"判定不能",IF(AA633&gt;=判定条件!$C$7*Z633,"運転",IF(AA633&lt;=判定条件!$C$8*Z633,"停止","断続")))</f>
        <v>断続</v>
      </c>
      <c r="AC633" s="30" t="n">
        <v>60</v>
      </c>
      <c r="AD633" s="30" t="n">
        <v>38</v>
      </c>
      <c r="AE633" s="30" t="str">
        <f aca="false">IF(AC633&lt;判定条件!$C$6,"判定不能",IF(AD633&gt;=判定条件!$C$7*AC633,"運転",IF(AD633&lt;=判定条件!$C$8*AC633,"停止","断続")))</f>
        <v>断続</v>
      </c>
      <c r="AF633" s="30" t="n">
        <v>60</v>
      </c>
      <c r="AG633" s="30" t="n">
        <v>0</v>
      </c>
      <c r="AH633" s="30" t="str">
        <f aca="false">IF(OR(P633="判定不能",G633="判定不能"),"判定不能",IF(AG633&gt;=判定条件!$C$9,"利用可",IF(AND(P633="停止",G633="停止"),"両方停止","運転がそろわない")))</f>
        <v>両方停止</v>
      </c>
      <c r="AI633" s="30" t="n">
        <v>0</v>
      </c>
      <c r="AJ633" s="30" t="n">
        <v>0</v>
      </c>
      <c r="AK633" s="30" t="str">
        <f aca="false">IF(OR(S633="判定不能",J633="判定不能"),"判定不能",IF(AJ633&gt;=判定条件!$C$9,"利用可",IF(AND(S633="停止",J633="停止"),"両方停止","運転がそろわない")))</f>
        <v>判定不能</v>
      </c>
      <c r="AL633" s="30" t="n">
        <v>60</v>
      </c>
      <c r="AM633" s="30" t="n">
        <v>0</v>
      </c>
      <c r="AN633" s="30" t="str">
        <f aca="false">IF(OR(V633="判定不能",M633="判定不能"),"判定不能",IF(AM633&gt;=判定条件!$C$9,"利用可",IF(AND(V633="停止",M633="停止"),"両方停止","運転がそろわない")))</f>
        <v>運転がそろわない</v>
      </c>
      <c r="AO633" s="30" t="n">
        <v>60</v>
      </c>
      <c r="AP633" s="30" t="n">
        <v>0</v>
      </c>
      <c r="AQ633" s="30" t="str">
        <f aca="false">IF(OR(Y633="判定不能",G633="判定不能"),"判定不能",IF(AP633&gt;=判定条件!$C$9,"利用可",IF(AND(Y633="停止",G633="停止"),"両方停止","運転がそろわない")))</f>
        <v>運転がそろわない</v>
      </c>
      <c r="AR633" s="30" t="n">
        <v>60</v>
      </c>
      <c r="AS633" s="30" t="n">
        <v>0</v>
      </c>
      <c r="AT633" s="30" t="str">
        <f aca="false">IF(OR(AB633="判定不能",J633="判定不能"),"判定不能",IF(AS633&gt;=判定条件!$C$9,"利用可",IF(AND(AB633="停止",J633="停止"),"両方停止","運転がそろわない")))</f>
        <v>運転がそろわない</v>
      </c>
      <c r="AU633" s="30" t="n">
        <v>60</v>
      </c>
      <c r="AV633" s="30" t="n">
        <v>0</v>
      </c>
      <c r="AW633" s="30" t="str">
        <f aca="false">IF(OR(AE633="判定不能",M633="判定不能"),"判定不能",IF(AV633&gt;=判定条件!$C$9,"利用可",IF(AND(AE633="停止",M633="停止"),"両方停止","運転がそろわない")))</f>
        <v>運転がそろわない</v>
      </c>
      <c r="AX633" s="30" t="str">
        <f aca="false">IF(AND(AH633="利用可",AK633="利用可",AN633="利用可"),"利用可","不可")</f>
        <v>不可</v>
      </c>
      <c r="AY633" s="30" t="str">
        <f aca="false">IF(AND(AQ633="利用可",AT633="利用可",AW633="利用可"),"利用可","不可")</f>
        <v>不可</v>
      </c>
    </row>
    <row r="634" customFormat="false" ht="15" hidden="false" customHeight="false" outlineLevel="0" collapsed="false">
      <c r="A634" s="29" t="n">
        <v>46258</v>
      </c>
      <c r="B634" s="30" t="n">
        <v>7</v>
      </c>
      <c r="C634" s="31" t="s">
        <v>66</v>
      </c>
      <c r="D634" s="31" t="s">
        <v>59</v>
      </c>
      <c r="E634" s="30" t="n">
        <v>60</v>
      </c>
      <c r="F634" s="30" t="n">
        <v>5</v>
      </c>
      <c r="G634" s="30" t="str">
        <f aca="false">IF(E634&lt;判定条件!$C$6,"判定不能",IF(F634&gt;=判定条件!$C$7*E634,"運転",IF(F634&lt;=判定条件!$C$8*E634,"停止","断続")))</f>
        <v>停止</v>
      </c>
      <c r="H634" s="30" t="n">
        <v>60</v>
      </c>
      <c r="I634" s="30" t="n">
        <v>0</v>
      </c>
      <c r="J634" s="30" t="str">
        <f aca="false">IF(H634&lt;判定条件!$C$6,"判定不能",IF(I634&gt;=判定条件!$C$7*H634,"運転",IF(I634&lt;=判定条件!$C$8*H634,"停止","断続")))</f>
        <v>停止</v>
      </c>
      <c r="K634" s="30" t="n">
        <v>60</v>
      </c>
      <c r="L634" s="30" t="n">
        <v>0</v>
      </c>
      <c r="M634" s="30" t="str">
        <f aca="false">IF(K634&lt;判定条件!$C$6,"判定不能",IF(L634&gt;=判定条件!$C$7*K634,"運転",IF(L634&lt;=判定条件!$C$8*K634,"停止","断続")))</f>
        <v>停止</v>
      </c>
      <c r="N634" s="30" t="n">
        <v>60</v>
      </c>
      <c r="O634" s="30" t="n">
        <v>60</v>
      </c>
      <c r="P634" s="30" t="str">
        <f aca="false">IF(N634&lt;判定条件!$C$6,"判定不能",IF(O634&gt;=判定条件!$C$7*N634,"運転",IF(O634&lt;=判定条件!$C$8*N634,"停止","断続")))</f>
        <v>運転</v>
      </c>
      <c r="Q634" s="30" t="n">
        <v>0</v>
      </c>
      <c r="R634" s="30" t="n">
        <v>0</v>
      </c>
      <c r="S634" s="30" t="str">
        <f aca="false">IF(Q634&lt;判定条件!$C$6,"判定不能",IF(R634&gt;=判定条件!$C$7*Q634,"運転",IF(R634&lt;=判定条件!$C$8*Q634,"停止","断続")))</f>
        <v>判定不能</v>
      </c>
      <c r="T634" s="30" t="n">
        <v>60</v>
      </c>
      <c r="U634" s="30" t="n">
        <v>53</v>
      </c>
      <c r="V634" s="30" t="str">
        <f aca="false">IF(T634&lt;判定条件!$C$6,"判定不能",IF(U634&gt;=判定条件!$C$7*T634,"運転",IF(U634&lt;=判定条件!$C$8*T634,"停止","断続")))</f>
        <v>運転</v>
      </c>
      <c r="W634" s="30" t="n">
        <v>60</v>
      </c>
      <c r="X634" s="30" t="n">
        <v>50</v>
      </c>
      <c r="Y634" s="30" t="str">
        <f aca="false">IF(W634&lt;判定条件!$C$6,"判定不能",IF(X634&gt;=判定条件!$C$7*W634,"運転",IF(X634&lt;=判定条件!$C$8*W634,"停止","断続")))</f>
        <v>運転</v>
      </c>
      <c r="Z634" s="30" t="n">
        <v>60</v>
      </c>
      <c r="AA634" s="30" t="n">
        <v>57</v>
      </c>
      <c r="AB634" s="30" t="str">
        <f aca="false">IF(Z634&lt;判定条件!$C$6,"判定不能",IF(AA634&gt;=判定条件!$C$7*Z634,"運転",IF(AA634&lt;=判定条件!$C$8*Z634,"停止","断続")))</f>
        <v>運転</v>
      </c>
      <c r="AC634" s="30" t="n">
        <v>60</v>
      </c>
      <c r="AD634" s="30" t="n">
        <v>60</v>
      </c>
      <c r="AE634" s="30" t="str">
        <f aca="false">IF(AC634&lt;判定条件!$C$6,"判定不能",IF(AD634&gt;=判定条件!$C$7*AC634,"運転",IF(AD634&lt;=判定条件!$C$8*AC634,"停止","断続")))</f>
        <v>運転</v>
      </c>
      <c r="AF634" s="30" t="n">
        <v>60</v>
      </c>
      <c r="AG634" s="30" t="n">
        <v>5</v>
      </c>
      <c r="AH634" s="30" t="str">
        <f aca="false">IF(OR(P634="判定不能",G634="判定不能"),"判定不能",IF(AG634&gt;=判定条件!$C$9,"利用可",IF(AND(P634="停止",G634="停止"),"両方停止","運転がそろわない")))</f>
        <v>運転がそろわない</v>
      </c>
      <c r="AI634" s="30" t="n">
        <v>0</v>
      </c>
      <c r="AJ634" s="30" t="n">
        <v>0</v>
      </c>
      <c r="AK634" s="30" t="str">
        <f aca="false">IF(OR(S634="判定不能",J634="判定不能"),"判定不能",IF(AJ634&gt;=判定条件!$C$9,"利用可",IF(AND(S634="停止",J634="停止"),"両方停止","運転がそろわない")))</f>
        <v>判定不能</v>
      </c>
      <c r="AL634" s="30" t="n">
        <v>60</v>
      </c>
      <c r="AM634" s="30" t="n">
        <v>0</v>
      </c>
      <c r="AN634" s="30" t="str">
        <f aca="false">IF(OR(V634="判定不能",M634="判定不能"),"判定不能",IF(AM634&gt;=判定条件!$C$9,"利用可",IF(AND(V634="停止",M634="停止"),"両方停止","運転がそろわない")))</f>
        <v>運転がそろわない</v>
      </c>
      <c r="AO634" s="30" t="n">
        <v>60</v>
      </c>
      <c r="AP634" s="30" t="n">
        <v>5</v>
      </c>
      <c r="AQ634" s="30" t="str">
        <f aca="false">IF(OR(Y634="判定不能",G634="判定不能"),"判定不能",IF(AP634&gt;=判定条件!$C$9,"利用可",IF(AND(Y634="停止",G634="停止"),"両方停止","運転がそろわない")))</f>
        <v>運転がそろわない</v>
      </c>
      <c r="AR634" s="30" t="n">
        <v>60</v>
      </c>
      <c r="AS634" s="30" t="n">
        <v>0</v>
      </c>
      <c r="AT634" s="30" t="str">
        <f aca="false">IF(OR(AB634="判定不能",J634="判定不能"),"判定不能",IF(AS634&gt;=判定条件!$C$9,"利用可",IF(AND(AB634="停止",J634="停止"),"両方停止","運転がそろわない")))</f>
        <v>運転がそろわない</v>
      </c>
      <c r="AU634" s="30" t="n">
        <v>60</v>
      </c>
      <c r="AV634" s="30" t="n">
        <v>0</v>
      </c>
      <c r="AW634" s="30" t="str">
        <f aca="false">IF(OR(AE634="判定不能",M634="判定不能"),"判定不能",IF(AV634&gt;=判定条件!$C$9,"利用可",IF(AND(AE634="停止",M634="停止"),"両方停止","運転がそろわない")))</f>
        <v>運転がそろわない</v>
      </c>
      <c r="AX634" s="30" t="str">
        <f aca="false">IF(AND(AH634="利用可",AK634="利用可",AN634="利用可"),"利用可","不可")</f>
        <v>不可</v>
      </c>
      <c r="AY634" s="30" t="str">
        <f aca="false">IF(AND(AQ634="利用可",AT634="利用可",AW634="利用可"),"利用可","不可")</f>
        <v>不可</v>
      </c>
    </row>
    <row r="635" customFormat="false" ht="15" hidden="false" customHeight="false" outlineLevel="0" collapsed="false">
      <c r="A635" s="29" t="n">
        <v>46258</v>
      </c>
      <c r="B635" s="30" t="n">
        <v>8</v>
      </c>
      <c r="C635" s="31" t="s">
        <v>66</v>
      </c>
      <c r="D635" s="31" t="s">
        <v>59</v>
      </c>
      <c r="E635" s="30" t="n">
        <v>60</v>
      </c>
      <c r="F635" s="30" t="n">
        <v>60</v>
      </c>
      <c r="G635" s="30" t="str">
        <f aca="false">IF(E635&lt;判定条件!$C$6,"判定不能",IF(F635&gt;=判定条件!$C$7*E635,"運転",IF(F635&lt;=判定条件!$C$8*E635,"停止","断続")))</f>
        <v>運転</v>
      </c>
      <c r="H635" s="30" t="n">
        <v>60</v>
      </c>
      <c r="I635" s="30" t="n">
        <v>1</v>
      </c>
      <c r="J635" s="30" t="str">
        <f aca="false">IF(H635&lt;判定条件!$C$6,"判定不能",IF(I635&gt;=判定条件!$C$7*H635,"運転",IF(I635&lt;=判定条件!$C$8*H635,"停止","断続")))</f>
        <v>停止</v>
      </c>
      <c r="K635" s="30" t="n">
        <v>60</v>
      </c>
      <c r="L635" s="30" t="n">
        <v>0</v>
      </c>
      <c r="M635" s="30" t="str">
        <f aca="false">IF(K635&lt;判定条件!$C$6,"判定不能",IF(L635&gt;=判定条件!$C$7*K635,"運転",IF(L635&lt;=判定条件!$C$8*K635,"停止","断続")))</f>
        <v>停止</v>
      </c>
      <c r="N635" s="30" t="n">
        <v>60</v>
      </c>
      <c r="O635" s="30" t="n">
        <v>60</v>
      </c>
      <c r="P635" s="30" t="str">
        <f aca="false">IF(N635&lt;判定条件!$C$6,"判定不能",IF(O635&gt;=判定条件!$C$7*N635,"運転",IF(O635&lt;=判定条件!$C$8*N635,"停止","断続")))</f>
        <v>運転</v>
      </c>
      <c r="Q635" s="30" t="n">
        <v>0</v>
      </c>
      <c r="R635" s="30" t="n">
        <v>0</v>
      </c>
      <c r="S635" s="30" t="str">
        <f aca="false">IF(Q635&lt;判定条件!$C$6,"判定不能",IF(R635&gt;=判定条件!$C$7*Q635,"運転",IF(R635&lt;=判定条件!$C$8*Q635,"停止","断続")))</f>
        <v>判定不能</v>
      </c>
      <c r="T635" s="30" t="n">
        <v>60</v>
      </c>
      <c r="U635" s="30" t="n">
        <v>60</v>
      </c>
      <c r="V635" s="30" t="str">
        <f aca="false">IF(T635&lt;判定条件!$C$6,"判定不能",IF(U635&gt;=判定条件!$C$7*T635,"運転",IF(U635&lt;=判定条件!$C$8*T635,"停止","断続")))</f>
        <v>運転</v>
      </c>
      <c r="W635" s="30" t="n">
        <v>60</v>
      </c>
      <c r="X635" s="30" t="n">
        <v>60</v>
      </c>
      <c r="Y635" s="30" t="str">
        <f aca="false">IF(W635&lt;判定条件!$C$6,"判定不能",IF(X635&gt;=判定条件!$C$7*W635,"運転",IF(X635&lt;=判定条件!$C$8*W635,"停止","断続")))</f>
        <v>運転</v>
      </c>
      <c r="Z635" s="30" t="n">
        <v>60</v>
      </c>
      <c r="AA635" s="30" t="n">
        <v>60</v>
      </c>
      <c r="AB635" s="30" t="str">
        <f aca="false">IF(Z635&lt;判定条件!$C$6,"判定不能",IF(AA635&gt;=判定条件!$C$7*Z635,"運転",IF(AA635&lt;=判定条件!$C$8*Z635,"停止","断続")))</f>
        <v>運転</v>
      </c>
      <c r="AC635" s="30" t="n">
        <v>60</v>
      </c>
      <c r="AD635" s="30" t="n">
        <v>60</v>
      </c>
      <c r="AE635" s="30" t="str">
        <f aca="false">IF(AC635&lt;判定条件!$C$6,"判定不能",IF(AD635&gt;=判定条件!$C$7*AC635,"運転",IF(AD635&lt;=判定条件!$C$8*AC635,"停止","断続")))</f>
        <v>運転</v>
      </c>
      <c r="AF635" s="30" t="n">
        <v>60</v>
      </c>
      <c r="AG635" s="30" t="n">
        <v>60</v>
      </c>
      <c r="AH635" s="30" t="str">
        <f aca="false">IF(OR(P635="判定不能",G635="判定不能"),"判定不能",IF(AG635&gt;=判定条件!$C$9,"利用可",IF(AND(P635="停止",G635="停止"),"両方停止","運転がそろわない")))</f>
        <v>利用可</v>
      </c>
      <c r="AI635" s="30" t="n">
        <v>0</v>
      </c>
      <c r="AJ635" s="30" t="n">
        <v>0</v>
      </c>
      <c r="AK635" s="30" t="str">
        <f aca="false">IF(OR(S635="判定不能",J635="判定不能"),"判定不能",IF(AJ635&gt;=判定条件!$C$9,"利用可",IF(AND(S635="停止",J635="停止"),"両方停止","運転がそろわない")))</f>
        <v>判定不能</v>
      </c>
      <c r="AL635" s="30" t="n">
        <v>60</v>
      </c>
      <c r="AM635" s="30" t="n">
        <v>0</v>
      </c>
      <c r="AN635" s="30" t="str">
        <f aca="false">IF(OR(V635="判定不能",M635="判定不能"),"判定不能",IF(AM635&gt;=判定条件!$C$9,"利用可",IF(AND(V635="停止",M635="停止"),"両方停止","運転がそろわない")))</f>
        <v>運転がそろわない</v>
      </c>
      <c r="AO635" s="30" t="n">
        <v>60</v>
      </c>
      <c r="AP635" s="30" t="n">
        <v>60</v>
      </c>
      <c r="AQ635" s="30" t="str">
        <f aca="false">IF(OR(Y635="判定不能",G635="判定不能"),"判定不能",IF(AP635&gt;=判定条件!$C$9,"利用可",IF(AND(Y635="停止",G635="停止"),"両方停止","運転がそろわない")))</f>
        <v>利用可</v>
      </c>
      <c r="AR635" s="30" t="n">
        <v>60</v>
      </c>
      <c r="AS635" s="30" t="n">
        <v>1</v>
      </c>
      <c r="AT635" s="30" t="str">
        <f aca="false">IF(OR(AB635="判定不能",J635="判定不能"),"判定不能",IF(AS635&gt;=判定条件!$C$9,"利用可",IF(AND(AB635="停止",J635="停止"),"両方停止","運転がそろわない")))</f>
        <v>運転がそろわない</v>
      </c>
      <c r="AU635" s="30" t="n">
        <v>60</v>
      </c>
      <c r="AV635" s="30" t="n">
        <v>0</v>
      </c>
      <c r="AW635" s="30" t="str">
        <f aca="false">IF(OR(AE635="判定不能",M635="判定不能"),"判定不能",IF(AV635&gt;=判定条件!$C$9,"利用可",IF(AND(AE635="停止",M635="停止"),"両方停止","運転がそろわない")))</f>
        <v>運転がそろわない</v>
      </c>
      <c r="AX635" s="30" t="str">
        <f aca="false">IF(AND(AH635="利用可",AK635="利用可",AN635="利用可"),"利用可","不可")</f>
        <v>不可</v>
      </c>
      <c r="AY635" s="30" t="str">
        <f aca="false">IF(AND(AQ635="利用可",AT635="利用可",AW635="利用可"),"利用可","不可")</f>
        <v>不可</v>
      </c>
    </row>
    <row r="636" customFormat="false" ht="15" hidden="false" customHeight="false" outlineLevel="0" collapsed="false">
      <c r="A636" s="29" t="n">
        <v>46258</v>
      </c>
      <c r="B636" s="30" t="n">
        <v>9</v>
      </c>
      <c r="C636" s="31" t="s">
        <v>66</v>
      </c>
      <c r="D636" s="31" t="s">
        <v>59</v>
      </c>
      <c r="E636" s="30" t="n">
        <v>60</v>
      </c>
      <c r="F636" s="30" t="n">
        <v>60</v>
      </c>
      <c r="G636" s="30" t="str">
        <f aca="false">IF(E636&lt;判定条件!$C$6,"判定不能",IF(F636&gt;=判定条件!$C$7*E636,"運転",IF(F636&lt;=判定条件!$C$8*E636,"停止","断続")))</f>
        <v>運転</v>
      </c>
      <c r="H636" s="30" t="n">
        <v>60</v>
      </c>
      <c r="I636" s="30" t="n">
        <v>60</v>
      </c>
      <c r="J636" s="30" t="str">
        <f aca="false">IF(H636&lt;判定条件!$C$6,"判定不能",IF(I636&gt;=判定条件!$C$7*H636,"運転",IF(I636&lt;=判定条件!$C$8*H636,"停止","断続")))</f>
        <v>運転</v>
      </c>
      <c r="K636" s="30" t="n">
        <v>60</v>
      </c>
      <c r="L636" s="30" t="n">
        <v>42</v>
      </c>
      <c r="M636" s="30" t="str">
        <f aca="false">IF(K636&lt;判定条件!$C$6,"判定不能",IF(L636&gt;=判定条件!$C$7*K636,"運転",IF(L636&lt;=判定条件!$C$8*K636,"停止","断続")))</f>
        <v>断続</v>
      </c>
      <c r="N636" s="30" t="n">
        <v>60</v>
      </c>
      <c r="O636" s="30" t="n">
        <v>60</v>
      </c>
      <c r="P636" s="30" t="str">
        <f aca="false">IF(N636&lt;判定条件!$C$6,"判定不能",IF(O636&gt;=判定条件!$C$7*N636,"運転",IF(O636&lt;=判定条件!$C$8*N636,"停止","断続")))</f>
        <v>運転</v>
      </c>
      <c r="Q636" s="30" t="n">
        <v>0</v>
      </c>
      <c r="R636" s="30" t="n">
        <v>0</v>
      </c>
      <c r="S636" s="30" t="str">
        <f aca="false">IF(Q636&lt;判定条件!$C$6,"判定不能",IF(R636&gt;=判定条件!$C$7*Q636,"運転",IF(R636&lt;=判定条件!$C$8*Q636,"停止","断続")))</f>
        <v>判定不能</v>
      </c>
      <c r="T636" s="30" t="n">
        <v>60</v>
      </c>
      <c r="U636" s="30" t="n">
        <v>60</v>
      </c>
      <c r="V636" s="30" t="str">
        <f aca="false">IF(T636&lt;判定条件!$C$6,"判定不能",IF(U636&gt;=判定条件!$C$7*T636,"運転",IF(U636&lt;=判定条件!$C$8*T636,"停止","断続")))</f>
        <v>運転</v>
      </c>
      <c r="W636" s="30" t="n">
        <v>60</v>
      </c>
      <c r="X636" s="30" t="n">
        <v>60</v>
      </c>
      <c r="Y636" s="30" t="str">
        <f aca="false">IF(W636&lt;判定条件!$C$6,"判定不能",IF(X636&gt;=判定条件!$C$7*W636,"運転",IF(X636&lt;=判定条件!$C$8*W636,"停止","断続")))</f>
        <v>運転</v>
      </c>
      <c r="Z636" s="30" t="n">
        <v>60</v>
      </c>
      <c r="AA636" s="30" t="n">
        <v>60</v>
      </c>
      <c r="AB636" s="30" t="str">
        <f aca="false">IF(Z636&lt;判定条件!$C$6,"判定不能",IF(AA636&gt;=判定条件!$C$7*Z636,"運転",IF(AA636&lt;=判定条件!$C$8*Z636,"停止","断続")))</f>
        <v>運転</v>
      </c>
      <c r="AC636" s="30" t="n">
        <v>60</v>
      </c>
      <c r="AD636" s="30" t="n">
        <v>60</v>
      </c>
      <c r="AE636" s="30" t="str">
        <f aca="false">IF(AC636&lt;判定条件!$C$6,"判定不能",IF(AD636&gt;=判定条件!$C$7*AC636,"運転",IF(AD636&lt;=判定条件!$C$8*AC636,"停止","断続")))</f>
        <v>運転</v>
      </c>
      <c r="AF636" s="30" t="n">
        <v>60</v>
      </c>
      <c r="AG636" s="30" t="n">
        <v>60</v>
      </c>
      <c r="AH636" s="30" t="str">
        <f aca="false">IF(OR(P636="判定不能",G636="判定不能"),"判定不能",IF(AG636&gt;=判定条件!$C$9,"利用可",IF(AND(P636="停止",G636="停止"),"両方停止","運転がそろわない")))</f>
        <v>利用可</v>
      </c>
      <c r="AI636" s="30" t="n">
        <v>0</v>
      </c>
      <c r="AJ636" s="30" t="n">
        <v>0</v>
      </c>
      <c r="AK636" s="30" t="str">
        <f aca="false">IF(OR(S636="判定不能",J636="判定不能"),"判定不能",IF(AJ636&gt;=判定条件!$C$9,"利用可",IF(AND(S636="停止",J636="停止"),"両方停止","運転がそろわない")))</f>
        <v>判定不能</v>
      </c>
      <c r="AL636" s="30" t="n">
        <v>60</v>
      </c>
      <c r="AM636" s="30" t="n">
        <v>42</v>
      </c>
      <c r="AN636" s="30" t="str">
        <f aca="false">IF(OR(V636="判定不能",M636="判定不能"),"判定不能",IF(AM636&gt;=判定条件!$C$9,"利用可",IF(AND(V636="停止",M636="停止"),"両方停止","運転がそろわない")))</f>
        <v>利用可</v>
      </c>
      <c r="AO636" s="30" t="n">
        <v>60</v>
      </c>
      <c r="AP636" s="30" t="n">
        <v>60</v>
      </c>
      <c r="AQ636" s="30" t="str">
        <f aca="false">IF(OR(Y636="判定不能",G636="判定不能"),"判定不能",IF(AP636&gt;=判定条件!$C$9,"利用可",IF(AND(Y636="停止",G636="停止"),"両方停止","運転がそろわない")))</f>
        <v>利用可</v>
      </c>
      <c r="AR636" s="30" t="n">
        <v>60</v>
      </c>
      <c r="AS636" s="30" t="n">
        <v>60</v>
      </c>
      <c r="AT636" s="30" t="str">
        <f aca="false">IF(OR(AB636="判定不能",J636="判定不能"),"判定不能",IF(AS636&gt;=判定条件!$C$9,"利用可",IF(AND(AB636="停止",J636="停止"),"両方停止","運転がそろわない")))</f>
        <v>利用可</v>
      </c>
      <c r="AU636" s="30" t="n">
        <v>60</v>
      </c>
      <c r="AV636" s="30" t="n">
        <v>42</v>
      </c>
      <c r="AW636" s="30" t="str">
        <f aca="false">IF(OR(AE636="判定不能",M636="判定不能"),"判定不能",IF(AV636&gt;=判定条件!$C$9,"利用可",IF(AND(AE636="停止",M636="停止"),"両方停止","運転がそろわない")))</f>
        <v>利用可</v>
      </c>
      <c r="AX636" s="30" t="str">
        <f aca="false">IF(AND(AH636="利用可",AK636="利用可",AN636="利用可"),"利用可","不可")</f>
        <v>不可</v>
      </c>
      <c r="AY636" s="30" t="str">
        <f aca="false">IF(AND(AQ636="利用可",AT636="利用可",AW636="利用可"),"利用可","不可")</f>
        <v>利用可</v>
      </c>
    </row>
    <row r="637" customFormat="false" ht="15" hidden="false" customHeight="false" outlineLevel="0" collapsed="false">
      <c r="A637" s="29" t="n">
        <v>46258</v>
      </c>
      <c r="B637" s="30" t="n">
        <v>10</v>
      </c>
      <c r="C637" s="31" t="s">
        <v>66</v>
      </c>
      <c r="D637" s="31" t="s">
        <v>59</v>
      </c>
      <c r="E637" s="30" t="n">
        <v>60</v>
      </c>
      <c r="F637" s="30" t="n">
        <v>60</v>
      </c>
      <c r="G637" s="30" t="str">
        <f aca="false">IF(E637&lt;判定条件!$C$6,"判定不能",IF(F637&gt;=判定条件!$C$7*E637,"運転",IF(F637&lt;=判定条件!$C$8*E637,"停止","断続")))</f>
        <v>運転</v>
      </c>
      <c r="H637" s="30" t="n">
        <v>60</v>
      </c>
      <c r="I637" s="30" t="n">
        <v>60</v>
      </c>
      <c r="J637" s="30" t="str">
        <f aca="false">IF(H637&lt;判定条件!$C$6,"判定不能",IF(I637&gt;=判定条件!$C$7*H637,"運転",IF(I637&lt;=判定条件!$C$8*H637,"停止","断続")))</f>
        <v>運転</v>
      </c>
      <c r="K637" s="30" t="n">
        <v>60</v>
      </c>
      <c r="L637" s="30" t="n">
        <v>60</v>
      </c>
      <c r="M637" s="30" t="str">
        <f aca="false">IF(K637&lt;判定条件!$C$6,"判定不能",IF(L637&gt;=判定条件!$C$7*K637,"運転",IF(L637&lt;=判定条件!$C$8*K637,"停止","断続")))</f>
        <v>運転</v>
      </c>
      <c r="N637" s="30" t="n">
        <v>60</v>
      </c>
      <c r="O637" s="30" t="n">
        <v>60</v>
      </c>
      <c r="P637" s="30" t="str">
        <f aca="false">IF(N637&lt;判定条件!$C$6,"判定不能",IF(O637&gt;=判定条件!$C$7*N637,"運転",IF(O637&lt;=判定条件!$C$8*N637,"停止","断続")))</f>
        <v>運転</v>
      </c>
      <c r="Q637" s="30" t="n">
        <v>0</v>
      </c>
      <c r="R637" s="30" t="n">
        <v>0</v>
      </c>
      <c r="S637" s="30" t="str">
        <f aca="false">IF(Q637&lt;判定条件!$C$6,"判定不能",IF(R637&gt;=判定条件!$C$7*Q637,"運転",IF(R637&lt;=判定条件!$C$8*Q637,"停止","断続")))</f>
        <v>判定不能</v>
      </c>
      <c r="T637" s="30" t="n">
        <v>60</v>
      </c>
      <c r="U637" s="30" t="n">
        <v>60</v>
      </c>
      <c r="V637" s="30" t="str">
        <f aca="false">IF(T637&lt;判定条件!$C$6,"判定不能",IF(U637&gt;=判定条件!$C$7*T637,"運転",IF(U637&lt;=判定条件!$C$8*T637,"停止","断続")))</f>
        <v>運転</v>
      </c>
      <c r="W637" s="30" t="n">
        <v>60</v>
      </c>
      <c r="X637" s="30" t="n">
        <v>60</v>
      </c>
      <c r="Y637" s="30" t="str">
        <f aca="false">IF(W637&lt;判定条件!$C$6,"判定不能",IF(X637&gt;=判定条件!$C$7*W637,"運転",IF(X637&lt;=判定条件!$C$8*W637,"停止","断続")))</f>
        <v>運転</v>
      </c>
      <c r="Z637" s="30" t="n">
        <v>60</v>
      </c>
      <c r="AA637" s="30" t="n">
        <v>60</v>
      </c>
      <c r="AB637" s="30" t="str">
        <f aca="false">IF(Z637&lt;判定条件!$C$6,"判定不能",IF(AA637&gt;=判定条件!$C$7*Z637,"運転",IF(AA637&lt;=判定条件!$C$8*Z637,"停止","断続")))</f>
        <v>運転</v>
      </c>
      <c r="AC637" s="30" t="n">
        <v>60</v>
      </c>
      <c r="AD637" s="30" t="n">
        <v>60</v>
      </c>
      <c r="AE637" s="30" t="str">
        <f aca="false">IF(AC637&lt;判定条件!$C$6,"判定不能",IF(AD637&gt;=判定条件!$C$7*AC637,"運転",IF(AD637&lt;=判定条件!$C$8*AC637,"停止","断続")))</f>
        <v>運転</v>
      </c>
      <c r="AF637" s="30" t="n">
        <v>60</v>
      </c>
      <c r="AG637" s="30" t="n">
        <v>60</v>
      </c>
      <c r="AH637" s="30" t="str">
        <f aca="false">IF(OR(P637="判定不能",G637="判定不能"),"判定不能",IF(AG637&gt;=判定条件!$C$9,"利用可",IF(AND(P637="停止",G637="停止"),"両方停止","運転がそろわない")))</f>
        <v>利用可</v>
      </c>
      <c r="AI637" s="30" t="n">
        <v>0</v>
      </c>
      <c r="AJ637" s="30" t="n">
        <v>0</v>
      </c>
      <c r="AK637" s="30" t="str">
        <f aca="false">IF(OR(S637="判定不能",J637="判定不能"),"判定不能",IF(AJ637&gt;=判定条件!$C$9,"利用可",IF(AND(S637="停止",J637="停止"),"両方停止","運転がそろわない")))</f>
        <v>判定不能</v>
      </c>
      <c r="AL637" s="30" t="n">
        <v>60</v>
      </c>
      <c r="AM637" s="30" t="n">
        <v>60</v>
      </c>
      <c r="AN637" s="30" t="str">
        <f aca="false">IF(OR(V637="判定不能",M637="判定不能"),"判定不能",IF(AM637&gt;=判定条件!$C$9,"利用可",IF(AND(V637="停止",M637="停止"),"両方停止","運転がそろわない")))</f>
        <v>利用可</v>
      </c>
      <c r="AO637" s="30" t="n">
        <v>60</v>
      </c>
      <c r="AP637" s="30" t="n">
        <v>60</v>
      </c>
      <c r="AQ637" s="30" t="str">
        <f aca="false">IF(OR(Y637="判定不能",G637="判定不能"),"判定不能",IF(AP637&gt;=判定条件!$C$9,"利用可",IF(AND(Y637="停止",G637="停止"),"両方停止","運転がそろわない")))</f>
        <v>利用可</v>
      </c>
      <c r="AR637" s="30" t="n">
        <v>60</v>
      </c>
      <c r="AS637" s="30" t="n">
        <v>60</v>
      </c>
      <c r="AT637" s="30" t="str">
        <f aca="false">IF(OR(AB637="判定不能",J637="判定不能"),"判定不能",IF(AS637&gt;=判定条件!$C$9,"利用可",IF(AND(AB637="停止",J637="停止"),"両方停止","運転がそろわない")))</f>
        <v>利用可</v>
      </c>
      <c r="AU637" s="30" t="n">
        <v>60</v>
      </c>
      <c r="AV637" s="30" t="n">
        <v>60</v>
      </c>
      <c r="AW637" s="30" t="str">
        <f aca="false">IF(OR(AE637="判定不能",M637="判定不能"),"判定不能",IF(AV637&gt;=判定条件!$C$9,"利用可",IF(AND(AE637="停止",M637="停止"),"両方停止","運転がそろわない")))</f>
        <v>利用可</v>
      </c>
      <c r="AX637" s="30" t="str">
        <f aca="false">IF(AND(AH637="利用可",AK637="利用可",AN637="利用可"),"利用可","不可")</f>
        <v>不可</v>
      </c>
      <c r="AY637" s="30" t="str">
        <f aca="false">IF(AND(AQ637="利用可",AT637="利用可",AW637="利用可"),"利用可","不可")</f>
        <v>利用可</v>
      </c>
    </row>
    <row r="638" customFormat="false" ht="15" hidden="false" customHeight="false" outlineLevel="0" collapsed="false">
      <c r="A638" s="29" t="n">
        <v>46258</v>
      </c>
      <c r="B638" s="30" t="n">
        <v>11</v>
      </c>
      <c r="C638" s="31" t="s">
        <v>66</v>
      </c>
      <c r="D638" s="31" t="s">
        <v>59</v>
      </c>
      <c r="E638" s="30" t="n">
        <v>60</v>
      </c>
      <c r="F638" s="30" t="n">
        <v>60</v>
      </c>
      <c r="G638" s="30" t="str">
        <f aca="false">IF(E638&lt;判定条件!$C$6,"判定不能",IF(F638&gt;=判定条件!$C$7*E638,"運転",IF(F638&lt;=判定条件!$C$8*E638,"停止","断続")))</f>
        <v>運転</v>
      </c>
      <c r="H638" s="30" t="n">
        <v>60</v>
      </c>
      <c r="I638" s="30" t="n">
        <v>60</v>
      </c>
      <c r="J638" s="30" t="str">
        <f aca="false">IF(H638&lt;判定条件!$C$6,"判定不能",IF(I638&gt;=判定条件!$C$7*H638,"運転",IF(I638&lt;=判定条件!$C$8*H638,"停止","断続")))</f>
        <v>運転</v>
      </c>
      <c r="K638" s="30" t="n">
        <v>60</v>
      </c>
      <c r="L638" s="30" t="n">
        <v>60</v>
      </c>
      <c r="M638" s="30" t="str">
        <f aca="false">IF(K638&lt;判定条件!$C$6,"判定不能",IF(L638&gt;=判定条件!$C$7*K638,"運転",IF(L638&lt;=判定条件!$C$8*K638,"停止","断続")))</f>
        <v>運転</v>
      </c>
      <c r="N638" s="30" t="n">
        <v>60</v>
      </c>
      <c r="O638" s="30" t="n">
        <v>60</v>
      </c>
      <c r="P638" s="30" t="str">
        <f aca="false">IF(N638&lt;判定条件!$C$6,"判定不能",IF(O638&gt;=判定条件!$C$7*N638,"運転",IF(O638&lt;=判定条件!$C$8*N638,"停止","断続")))</f>
        <v>運転</v>
      </c>
      <c r="Q638" s="30" t="n">
        <v>0</v>
      </c>
      <c r="R638" s="30" t="n">
        <v>0</v>
      </c>
      <c r="S638" s="30" t="str">
        <f aca="false">IF(Q638&lt;判定条件!$C$6,"判定不能",IF(R638&gt;=判定条件!$C$7*Q638,"運転",IF(R638&lt;=判定条件!$C$8*Q638,"停止","断続")))</f>
        <v>判定不能</v>
      </c>
      <c r="T638" s="30" t="n">
        <v>60</v>
      </c>
      <c r="U638" s="30" t="n">
        <v>49</v>
      </c>
      <c r="V638" s="30" t="str">
        <f aca="false">IF(T638&lt;判定条件!$C$6,"判定不能",IF(U638&gt;=判定条件!$C$7*T638,"運転",IF(U638&lt;=判定条件!$C$8*T638,"停止","断続")))</f>
        <v>運転</v>
      </c>
      <c r="W638" s="30" t="n">
        <v>60</v>
      </c>
      <c r="X638" s="30" t="n">
        <v>60</v>
      </c>
      <c r="Y638" s="30" t="str">
        <f aca="false">IF(W638&lt;判定条件!$C$6,"判定不能",IF(X638&gt;=判定条件!$C$7*W638,"運転",IF(X638&lt;=判定条件!$C$8*W638,"停止","断続")))</f>
        <v>運転</v>
      </c>
      <c r="Z638" s="30" t="n">
        <v>60</v>
      </c>
      <c r="AA638" s="30" t="n">
        <v>60</v>
      </c>
      <c r="AB638" s="30" t="str">
        <f aca="false">IF(Z638&lt;判定条件!$C$6,"判定不能",IF(AA638&gt;=判定条件!$C$7*Z638,"運転",IF(AA638&lt;=判定条件!$C$8*Z638,"停止","断続")))</f>
        <v>運転</v>
      </c>
      <c r="AC638" s="30" t="n">
        <v>60</v>
      </c>
      <c r="AD638" s="30" t="n">
        <v>60</v>
      </c>
      <c r="AE638" s="30" t="str">
        <f aca="false">IF(AC638&lt;判定条件!$C$6,"判定不能",IF(AD638&gt;=判定条件!$C$7*AC638,"運転",IF(AD638&lt;=判定条件!$C$8*AC638,"停止","断続")))</f>
        <v>運転</v>
      </c>
      <c r="AF638" s="30" t="n">
        <v>60</v>
      </c>
      <c r="AG638" s="30" t="n">
        <v>60</v>
      </c>
      <c r="AH638" s="30" t="str">
        <f aca="false">IF(OR(P638="判定不能",G638="判定不能"),"判定不能",IF(AG638&gt;=判定条件!$C$9,"利用可",IF(AND(P638="停止",G638="停止"),"両方停止","運転がそろわない")))</f>
        <v>利用可</v>
      </c>
      <c r="AI638" s="30" t="n">
        <v>0</v>
      </c>
      <c r="AJ638" s="30" t="n">
        <v>0</v>
      </c>
      <c r="AK638" s="30" t="str">
        <f aca="false">IF(OR(S638="判定不能",J638="判定不能"),"判定不能",IF(AJ638&gt;=判定条件!$C$9,"利用可",IF(AND(S638="停止",J638="停止"),"両方停止","運転がそろわない")))</f>
        <v>判定不能</v>
      </c>
      <c r="AL638" s="30" t="n">
        <v>60</v>
      </c>
      <c r="AM638" s="30" t="n">
        <v>49</v>
      </c>
      <c r="AN638" s="30" t="str">
        <f aca="false">IF(OR(V638="判定不能",M638="判定不能"),"判定不能",IF(AM638&gt;=判定条件!$C$9,"利用可",IF(AND(V638="停止",M638="停止"),"両方停止","運転がそろわない")))</f>
        <v>利用可</v>
      </c>
      <c r="AO638" s="30" t="n">
        <v>60</v>
      </c>
      <c r="AP638" s="30" t="n">
        <v>60</v>
      </c>
      <c r="AQ638" s="30" t="str">
        <f aca="false">IF(OR(Y638="判定不能",G638="判定不能"),"判定不能",IF(AP638&gt;=判定条件!$C$9,"利用可",IF(AND(Y638="停止",G638="停止"),"両方停止","運転がそろわない")))</f>
        <v>利用可</v>
      </c>
      <c r="AR638" s="30" t="n">
        <v>60</v>
      </c>
      <c r="AS638" s="30" t="n">
        <v>60</v>
      </c>
      <c r="AT638" s="30" t="str">
        <f aca="false">IF(OR(AB638="判定不能",J638="判定不能"),"判定不能",IF(AS638&gt;=判定条件!$C$9,"利用可",IF(AND(AB638="停止",J638="停止"),"両方停止","運転がそろわない")))</f>
        <v>利用可</v>
      </c>
      <c r="AU638" s="30" t="n">
        <v>60</v>
      </c>
      <c r="AV638" s="30" t="n">
        <v>60</v>
      </c>
      <c r="AW638" s="30" t="str">
        <f aca="false">IF(OR(AE638="判定不能",M638="判定不能"),"判定不能",IF(AV638&gt;=判定条件!$C$9,"利用可",IF(AND(AE638="停止",M638="停止"),"両方停止","運転がそろわない")))</f>
        <v>利用可</v>
      </c>
      <c r="AX638" s="30" t="str">
        <f aca="false">IF(AND(AH638="利用可",AK638="利用可",AN638="利用可"),"利用可","不可")</f>
        <v>不可</v>
      </c>
      <c r="AY638" s="30" t="str">
        <f aca="false">IF(AND(AQ638="利用可",AT638="利用可",AW638="利用可"),"利用可","不可")</f>
        <v>利用可</v>
      </c>
    </row>
    <row r="639" customFormat="false" ht="15" hidden="false" customHeight="false" outlineLevel="0" collapsed="false">
      <c r="A639" s="29" t="n">
        <v>46258</v>
      </c>
      <c r="B639" s="30" t="n">
        <v>12</v>
      </c>
      <c r="C639" s="31" t="s">
        <v>66</v>
      </c>
      <c r="D639" s="31" t="s">
        <v>59</v>
      </c>
      <c r="E639" s="30" t="n">
        <v>60</v>
      </c>
      <c r="F639" s="30" t="n">
        <v>60</v>
      </c>
      <c r="G639" s="30" t="str">
        <f aca="false">IF(E639&lt;判定条件!$C$6,"判定不能",IF(F639&gt;=判定条件!$C$7*E639,"運転",IF(F639&lt;=判定条件!$C$8*E639,"停止","断続")))</f>
        <v>運転</v>
      </c>
      <c r="H639" s="30" t="n">
        <v>60</v>
      </c>
      <c r="I639" s="30" t="n">
        <v>60</v>
      </c>
      <c r="J639" s="30" t="str">
        <f aca="false">IF(H639&lt;判定条件!$C$6,"判定不能",IF(I639&gt;=判定条件!$C$7*H639,"運転",IF(I639&lt;=判定条件!$C$8*H639,"停止","断続")))</f>
        <v>運転</v>
      </c>
      <c r="K639" s="30" t="n">
        <v>60</v>
      </c>
      <c r="L639" s="30" t="n">
        <v>60</v>
      </c>
      <c r="M639" s="30" t="str">
        <f aca="false">IF(K639&lt;判定条件!$C$6,"判定不能",IF(L639&gt;=判定条件!$C$7*K639,"運転",IF(L639&lt;=判定条件!$C$8*K639,"停止","断続")))</f>
        <v>運転</v>
      </c>
      <c r="N639" s="30" t="n">
        <v>60</v>
      </c>
      <c r="O639" s="30" t="n">
        <v>60</v>
      </c>
      <c r="P639" s="30" t="str">
        <f aca="false">IF(N639&lt;判定条件!$C$6,"判定不能",IF(O639&gt;=判定条件!$C$7*N639,"運転",IF(O639&lt;=判定条件!$C$8*N639,"停止","断続")))</f>
        <v>運転</v>
      </c>
      <c r="Q639" s="30" t="n">
        <v>0</v>
      </c>
      <c r="R639" s="30" t="n">
        <v>0</v>
      </c>
      <c r="S639" s="30" t="str">
        <f aca="false">IF(Q639&lt;判定条件!$C$6,"判定不能",IF(R639&gt;=判定条件!$C$7*Q639,"運転",IF(R639&lt;=判定条件!$C$8*Q639,"停止","断続")))</f>
        <v>判定不能</v>
      </c>
      <c r="T639" s="30" t="n">
        <v>60</v>
      </c>
      <c r="U639" s="30" t="n">
        <v>60</v>
      </c>
      <c r="V639" s="30" t="str">
        <f aca="false">IF(T639&lt;判定条件!$C$6,"判定不能",IF(U639&gt;=判定条件!$C$7*T639,"運転",IF(U639&lt;=判定条件!$C$8*T639,"停止","断続")))</f>
        <v>運転</v>
      </c>
      <c r="W639" s="30" t="n">
        <v>60</v>
      </c>
      <c r="X639" s="30" t="n">
        <v>54</v>
      </c>
      <c r="Y639" s="30" t="str">
        <f aca="false">IF(W639&lt;判定条件!$C$6,"判定不能",IF(X639&gt;=判定条件!$C$7*W639,"運転",IF(X639&lt;=判定条件!$C$8*W639,"停止","断続")))</f>
        <v>運転</v>
      </c>
      <c r="Z639" s="30" t="n">
        <v>60</v>
      </c>
      <c r="AA639" s="30" t="n">
        <v>60</v>
      </c>
      <c r="AB639" s="30" t="str">
        <f aca="false">IF(Z639&lt;判定条件!$C$6,"判定不能",IF(AA639&gt;=判定条件!$C$7*Z639,"運転",IF(AA639&lt;=判定条件!$C$8*Z639,"停止","断続")))</f>
        <v>運転</v>
      </c>
      <c r="AC639" s="30" t="n">
        <v>60</v>
      </c>
      <c r="AD639" s="30" t="n">
        <v>60</v>
      </c>
      <c r="AE639" s="30" t="str">
        <f aca="false">IF(AC639&lt;判定条件!$C$6,"判定不能",IF(AD639&gt;=判定条件!$C$7*AC639,"運転",IF(AD639&lt;=判定条件!$C$8*AC639,"停止","断続")))</f>
        <v>運転</v>
      </c>
      <c r="AF639" s="30" t="n">
        <v>60</v>
      </c>
      <c r="AG639" s="30" t="n">
        <v>60</v>
      </c>
      <c r="AH639" s="30" t="str">
        <f aca="false">IF(OR(P639="判定不能",G639="判定不能"),"判定不能",IF(AG639&gt;=判定条件!$C$9,"利用可",IF(AND(P639="停止",G639="停止"),"両方停止","運転がそろわない")))</f>
        <v>利用可</v>
      </c>
      <c r="AI639" s="30" t="n">
        <v>0</v>
      </c>
      <c r="AJ639" s="30" t="n">
        <v>0</v>
      </c>
      <c r="AK639" s="30" t="str">
        <f aca="false">IF(OR(S639="判定不能",J639="判定不能"),"判定不能",IF(AJ639&gt;=判定条件!$C$9,"利用可",IF(AND(S639="停止",J639="停止"),"両方停止","運転がそろわない")))</f>
        <v>判定不能</v>
      </c>
      <c r="AL639" s="30" t="n">
        <v>60</v>
      </c>
      <c r="AM639" s="30" t="n">
        <v>60</v>
      </c>
      <c r="AN639" s="30" t="str">
        <f aca="false">IF(OR(V639="判定不能",M639="判定不能"),"判定不能",IF(AM639&gt;=判定条件!$C$9,"利用可",IF(AND(V639="停止",M639="停止"),"両方停止","運転がそろわない")))</f>
        <v>利用可</v>
      </c>
      <c r="AO639" s="30" t="n">
        <v>60</v>
      </c>
      <c r="AP639" s="30" t="n">
        <v>54</v>
      </c>
      <c r="AQ639" s="30" t="str">
        <f aca="false">IF(OR(Y639="判定不能",G639="判定不能"),"判定不能",IF(AP639&gt;=判定条件!$C$9,"利用可",IF(AND(Y639="停止",G639="停止"),"両方停止","運転がそろわない")))</f>
        <v>利用可</v>
      </c>
      <c r="AR639" s="30" t="n">
        <v>60</v>
      </c>
      <c r="AS639" s="30" t="n">
        <v>60</v>
      </c>
      <c r="AT639" s="30" t="str">
        <f aca="false">IF(OR(AB639="判定不能",J639="判定不能"),"判定不能",IF(AS639&gt;=判定条件!$C$9,"利用可",IF(AND(AB639="停止",J639="停止"),"両方停止","運転がそろわない")))</f>
        <v>利用可</v>
      </c>
      <c r="AU639" s="30" t="n">
        <v>60</v>
      </c>
      <c r="AV639" s="30" t="n">
        <v>60</v>
      </c>
      <c r="AW639" s="30" t="str">
        <f aca="false">IF(OR(AE639="判定不能",M639="判定不能"),"判定不能",IF(AV639&gt;=判定条件!$C$9,"利用可",IF(AND(AE639="停止",M639="停止"),"両方停止","運転がそろわない")))</f>
        <v>利用可</v>
      </c>
      <c r="AX639" s="30" t="str">
        <f aca="false">IF(AND(AH639="利用可",AK639="利用可",AN639="利用可"),"利用可","不可")</f>
        <v>不可</v>
      </c>
      <c r="AY639" s="30" t="str">
        <f aca="false">IF(AND(AQ639="利用可",AT639="利用可",AW639="利用可"),"利用可","不可")</f>
        <v>利用可</v>
      </c>
    </row>
    <row r="640" customFormat="false" ht="15" hidden="false" customHeight="false" outlineLevel="0" collapsed="false">
      <c r="A640" s="29" t="n">
        <v>46258</v>
      </c>
      <c r="B640" s="30" t="n">
        <v>13</v>
      </c>
      <c r="C640" s="31" t="s">
        <v>66</v>
      </c>
      <c r="D640" s="31" t="s">
        <v>59</v>
      </c>
      <c r="E640" s="30" t="n">
        <v>60</v>
      </c>
      <c r="F640" s="30" t="n">
        <v>60</v>
      </c>
      <c r="G640" s="30" t="str">
        <f aca="false">IF(E640&lt;判定条件!$C$6,"判定不能",IF(F640&gt;=判定条件!$C$7*E640,"運転",IF(F640&lt;=判定条件!$C$8*E640,"停止","断続")))</f>
        <v>運転</v>
      </c>
      <c r="H640" s="30" t="n">
        <v>60</v>
      </c>
      <c r="I640" s="30" t="n">
        <v>60</v>
      </c>
      <c r="J640" s="30" t="str">
        <f aca="false">IF(H640&lt;判定条件!$C$6,"判定不能",IF(I640&gt;=判定条件!$C$7*H640,"運転",IF(I640&lt;=判定条件!$C$8*H640,"停止","断続")))</f>
        <v>運転</v>
      </c>
      <c r="K640" s="30" t="n">
        <v>60</v>
      </c>
      <c r="L640" s="30" t="n">
        <v>60</v>
      </c>
      <c r="M640" s="30" t="str">
        <f aca="false">IF(K640&lt;判定条件!$C$6,"判定不能",IF(L640&gt;=判定条件!$C$7*K640,"運転",IF(L640&lt;=判定条件!$C$8*K640,"停止","断続")))</f>
        <v>運転</v>
      </c>
      <c r="N640" s="30" t="n">
        <v>60</v>
      </c>
      <c r="O640" s="30" t="n">
        <v>60</v>
      </c>
      <c r="P640" s="30" t="str">
        <f aca="false">IF(N640&lt;判定条件!$C$6,"判定不能",IF(O640&gt;=判定条件!$C$7*N640,"運転",IF(O640&lt;=判定条件!$C$8*N640,"停止","断続")))</f>
        <v>運転</v>
      </c>
      <c r="Q640" s="30" t="n">
        <v>0</v>
      </c>
      <c r="R640" s="30" t="n">
        <v>0</v>
      </c>
      <c r="S640" s="30" t="str">
        <f aca="false">IF(Q640&lt;判定条件!$C$6,"判定不能",IF(R640&gt;=判定条件!$C$7*Q640,"運転",IF(R640&lt;=判定条件!$C$8*Q640,"停止","断続")))</f>
        <v>判定不能</v>
      </c>
      <c r="T640" s="30" t="n">
        <v>60</v>
      </c>
      <c r="U640" s="30" t="n">
        <v>60</v>
      </c>
      <c r="V640" s="30" t="str">
        <f aca="false">IF(T640&lt;判定条件!$C$6,"判定不能",IF(U640&gt;=判定条件!$C$7*T640,"運転",IF(U640&lt;=判定条件!$C$8*T640,"停止","断続")))</f>
        <v>運転</v>
      </c>
      <c r="W640" s="30" t="n">
        <v>60</v>
      </c>
      <c r="X640" s="30" t="n">
        <v>60</v>
      </c>
      <c r="Y640" s="30" t="str">
        <f aca="false">IF(W640&lt;判定条件!$C$6,"判定不能",IF(X640&gt;=判定条件!$C$7*W640,"運転",IF(X640&lt;=判定条件!$C$8*W640,"停止","断続")))</f>
        <v>運転</v>
      </c>
      <c r="Z640" s="30" t="n">
        <v>60</v>
      </c>
      <c r="AA640" s="30" t="n">
        <v>60</v>
      </c>
      <c r="AB640" s="30" t="str">
        <f aca="false">IF(Z640&lt;判定条件!$C$6,"判定不能",IF(AA640&gt;=判定条件!$C$7*Z640,"運転",IF(AA640&lt;=判定条件!$C$8*Z640,"停止","断続")))</f>
        <v>運転</v>
      </c>
      <c r="AC640" s="30" t="n">
        <v>60</v>
      </c>
      <c r="AD640" s="30" t="n">
        <v>60</v>
      </c>
      <c r="AE640" s="30" t="str">
        <f aca="false">IF(AC640&lt;判定条件!$C$6,"判定不能",IF(AD640&gt;=判定条件!$C$7*AC640,"運転",IF(AD640&lt;=判定条件!$C$8*AC640,"停止","断続")))</f>
        <v>運転</v>
      </c>
      <c r="AF640" s="30" t="n">
        <v>60</v>
      </c>
      <c r="AG640" s="30" t="n">
        <v>60</v>
      </c>
      <c r="AH640" s="30" t="str">
        <f aca="false">IF(OR(P640="判定不能",G640="判定不能"),"判定不能",IF(AG640&gt;=判定条件!$C$9,"利用可",IF(AND(P640="停止",G640="停止"),"両方停止","運転がそろわない")))</f>
        <v>利用可</v>
      </c>
      <c r="AI640" s="30" t="n">
        <v>0</v>
      </c>
      <c r="AJ640" s="30" t="n">
        <v>0</v>
      </c>
      <c r="AK640" s="30" t="str">
        <f aca="false">IF(OR(S640="判定不能",J640="判定不能"),"判定不能",IF(AJ640&gt;=判定条件!$C$9,"利用可",IF(AND(S640="停止",J640="停止"),"両方停止","運転がそろわない")))</f>
        <v>判定不能</v>
      </c>
      <c r="AL640" s="30" t="n">
        <v>60</v>
      </c>
      <c r="AM640" s="30" t="n">
        <v>60</v>
      </c>
      <c r="AN640" s="30" t="str">
        <f aca="false">IF(OR(V640="判定不能",M640="判定不能"),"判定不能",IF(AM640&gt;=判定条件!$C$9,"利用可",IF(AND(V640="停止",M640="停止"),"両方停止","運転がそろわない")))</f>
        <v>利用可</v>
      </c>
      <c r="AO640" s="30" t="n">
        <v>60</v>
      </c>
      <c r="AP640" s="30" t="n">
        <v>60</v>
      </c>
      <c r="AQ640" s="30" t="str">
        <f aca="false">IF(OR(Y640="判定不能",G640="判定不能"),"判定不能",IF(AP640&gt;=判定条件!$C$9,"利用可",IF(AND(Y640="停止",G640="停止"),"両方停止","運転がそろわない")))</f>
        <v>利用可</v>
      </c>
      <c r="AR640" s="30" t="n">
        <v>60</v>
      </c>
      <c r="AS640" s="30" t="n">
        <v>60</v>
      </c>
      <c r="AT640" s="30" t="str">
        <f aca="false">IF(OR(AB640="判定不能",J640="判定不能"),"判定不能",IF(AS640&gt;=判定条件!$C$9,"利用可",IF(AND(AB640="停止",J640="停止"),"両方停止","運転がそろわない")))</f>
        <v>利用可</v>
      </c>
      <c r="AU640" s="30" t="n">
        <v>60</v>
      </c>
      <c r="AV640" s="30" t="n">
        <v>60</v>
      </c>
      <c r="AW640" s="30" t="str">
        <f aca="false">IF(OR(AE640="判定不能",M640="判定不能"),"判定不能",IF(AV640&gt;=判定条件!$C$9,"利用可",IF(AND(AE640="停止",M640="停止"),"両方停止","運転がそろわない")))</f>
        <v>利用可</v>
      </c>
      <c r="AX640" s="30" t="str">
        <f aca="false">IF(AND(AH640="利用可",AK640="利用可",AN640="利用可"),"利用可","不可")</f>
        <v>不可</v>
      </c>
      <c r="AY640" s="30" t="str">
        <f aca="false">IF(AND(AQ640="利用可",AT640="利用可",AW640="利用可"),"利用可","不可")</f>
        <v>利用可</v>
      </c>
    </row>
    <row r="641" customFormat="false" ht="15" hidden="false" customHeight="false" outlineLevel="0" collapsed="false">
      <c r="A641" s="29" t="n">
        <v>46258</v>
      </c>
      <c r="B641" s="30" t="n">
        <v>14</v>
      </c>
      <c r="C641" s="31" t="s">
        <v>66</v>
      </c>
      <c r="D641" s="31" t="s">
        <v>59</v>
      </c>
      <c r="E641" s="30" t="n">
        <v>60</v>
      </c>
      <c r="F641" s="30" t="n">
        <v>60</v>
      </c>
      <c r="G641" s="30" t="str">
        <f aca="false">IF(E641&lt;判定条件!$C$6,"判定不能",IF(F641&gt;=判定条件!$C$7*E641,"運転",IF(F641&lt;=判定条件!$C$8*E641,"停止","断続")))</f>
        <v>運転</v>
      </c>
      <c r="H641" s="30" t="n">
        <v>60</v>
      </c>
      <c r="I641" s="30" t="n">
        <v>60</v>
      </c>
      <c r="J641" s="30" t="str">
        <f aca="false">IF(H641&lt;判定条件!$C$6,"判定不能",IF(I641&gt;=判定条件!$C$7*H641,"運転",IF(I641&lt;=判定条件!$C$8*H641,"停止","断続")))</f>
        <v>運転</v>
      </c>
      <c r="K641" s="30" t="n">
        <v>60</v>
      </c>
      <c r="L641" s="30" t="n">
        <v>60</v>
      </c>
      <c r="M641" s="30" t="str">
        <f aca="false">IF(K641&lt;判定条件!$C$6,"判定不能",IF(L641&gt;=判定条件!$C$7*K641,"運転",IF(L641&lt;=判定条件!$C$8*K641,"停止","断続")))</f>
        <v>運転</v>
      </c>
      <c r="N641" s="30" t="n">
        <v>60</v>
      </c>
      <c r="O641" s="30" t="n">
        <v>60</v>
      </c>
      <c r="P641" s="30" t="str">
        <f aca="false">IF(N641&lt;判定条件!$C$6,"判定不能",IF(O641&gt;=判定条件!$C$7*N641,"運転",IF(O641&lt;=判定条件!$C$8*N641,"停止","断続")))</f>
        <v>運転</v>
      </c>
      <c r="Q641" s="30" t="n">
        <v>0</v>
      </c>
      <c r="R641" s="30" t="n">
        <v>0</v>
      </c>
      <c r="S641" s="30" t="str">
        <f aca="false">IF(Q641&lt;判定条件!$C$6,"判定不能",IF(R641&gt;=判定条件!$C$7*Q641,"運転",IF(R641&lt;=判定条件!$C$8*Q641,"停止","断続")))</f>
        <v>判定不能</v>
      </c>
      <c r="T641" s="30" t="n">
        <v>60</v>
      </c>
      <c r="U641" s="30" t="n">
        <v>60</v>
      </c>
      <c r="V641" s="30" t="str">
        <f aca="false">IF(T641&lt;判定条件!$C$6,"判定不能",IF(U641&gt;=判定条件!$C$7*T641,"運転",IF(U641&lt;=判定条件!$C$8*T641,"停止","断続")))</f>
        <v>運転</v>
      </c>
      <c r="W641" s="30" t="n">
        <v>60</v>
      </c>
      <c r="X641" s="30" t="n">
        <v>60</v>
      </c>
      <c r="Y641" s="30" t="str">
        <f aca="false">IF(W641&lt;判定条件!$C$6,"判定不能",IF(X641&gt;=判定条件!$C$7*W641,"運転",IF(X641&lt;=判定条件!$C$8*W641,"停止","断続")))</f>
        <v>運転</v>
      </c>
      <c r="Z641" s="30" t="n">
        <v>60</v>
      </c>
      <c r="AA641" s="30" t="n">
        <v>54</v>
      </c>
      <c r="AB641" s="30" t="str">
        <f aca="false">IF(Z641&lt;判定条件!$C$6,"判定不能",IF(AA641&gt;=判定条件!$C$7*Z641,"運転",IF(AA641&lt;=判定条件!$C$8*Z641,"停止","断続")))</f>
        <v>運転</v>
      </c>
      <c r="AC641" s="30" t="n">
        <v>60</v>
      </c>
      <c r="AD641" s="30" t="n">
        <v>60</v>
      </c>
      <c r="AE641" s="30" t="str">
        <f aca="false">IF(AC641&lt;判定条件!$C$6,"判定不能",IF(AD641&gt;=判定条件!$C$7*AC641,"運転",IF(AD641&lt;=判定条件!$C$8*AC641,"停止","断続")))</f>
        <v>運転</v>
      </c>
      <c r="AF641" s="30" t="n">
        <v>60</v>
      </c>
      <c r="AG641" s="30" t="n">
        <v>60</v>
      </c>
      <c r="AH641" s="30" t="str">
        <f aca="false">IF(OR(P641="判定不能",G641="判定不能"),"判定不能",IF(AG641&gt;=判定条件!$C$9,"利用可",IF(AND(P641="停止",G641="停止"),"両方停止","運転がそろわない")))</f>
        <v>利用可</v>
      </c>
      <c r="AI641" s="30" t="n">
        <v>0</v>
      </c>
      <c r="AJ641" s="30" t="n">
        <v>0</v>
      </c>
      <c r="AK641" s="30" t="str">
        <f aca="false">IF(OR(S641="判定不能",J641="判定不能"),"判定不能",IF(AJ641&gt;=判定条件!$C$9,"利用可",IF(AND(S641="停止",J641="停止"),"両方停止","運転がそろわない")))</f>
        <v>判定不能</v>
      </c>
      <c r="AL641" s="30" t="n">
        <v>60</v>
      </c>
      <c r="AM641" s="30" t="n">
        <v>60</v>
      </c>
      <c r="AN641" s="30" t="str">
        <f aca="false">IF(OR(V641="判定不能",M641="判定不能"),"判定不能",IF(AM641&gt;=判定条件!$C$9,"利用可",IF(AND(V641="停止",M641="停止"),"両方停止","運転がそろわない")))</f>
        <v>利用可</v>
      </c>
      <c r="AO641" s="30" t="n">
        <v>60</v>
      </c>
      <c r="AP641" s="30" t="n">
        <v>60</v>
      </c>
      <c r="AQ641" s="30" t="str">
        <f aca="false">IF(OR(Y641="判定不能",G641="判定不能"),"判定不能",IF(AP641&gt;=判定条件!$C$9,"利用可",IF(AND(Y641="停止",G641="停止"),"両方停止","運転がそろわない")))</f>
        <v>利用可</v>
      </c>
      <c r="AR641" s="30" t="n">
        <v>60</v>
      </c>
      <c r="AS641" s="30" t="n">
        <v>54</v>
      </c>
      <c r="AT641" s="30" t="str">
        <f aca="false">IF(OR(AB641="判定不能",J641="判定不能"),"判定不能",IF(AS641&gt;=判定条件!$C$9,"利用可",IF(AND(AB641="停止",J641="停止"),"両方停止","運転がそろわない")))</f>
        <v>利用可</v>
      </c>
      <c r="AU641" s="30" t="n">
        <v>60</v>
      </c>
      <c r="AV641" s="30" t="n">
        <v>60</v>
      </c>
      <c r="AW641" s="30" t="str">
        <f aca="false">IF(OR(AE641="判定不能",M641="判定不能"),"判定不能",IF(AV641&gt;=判定条件!$C$9,"利用可",IF(AND(AE641="停止",M641="停止"),"両方停止","運転がそろわない")))</f>
        <v>利用可</v>
      </c>
      <c r="AX641" s="30" t="str">
        <f aca="false">IF(AND(AH641="利用可",AK641="利用可",AN641="利用可"),"利用可","不可")</f>
        <v>不可</v>
      </c>
      <c r="AY641" s="30" t="str">
        <f aca="false">IF(AND(AQ641="利用可",AT641="利用可",AW641="利用可"),"利用可","不可")</f>
        <v>利用可</v>
      </c>
    </row>
    <row r="642" customFormat="false" ht="15" hidden="false" customHeight="false" outlineLevel="0" collapsed="false">
      <c r="A642" s="29" t="n">
        <v>46258</v>
      </c>
      <c r="B642" s="30" t="n">
        <v>15</v>
      </c>
      <c r="C642" s="31" t="s">
        <v>66</v>
      </c>
      <c r="D642" s="31" t="s">
        <v>59</v>
      </c>
      <c r="E642" s="30" t="n">
        <v>60</v>
      </c>
      <c r="F642" s="30" t="n">
        <v>60</v>
      </c>
      <c r="G642" s="30" t="str">
        <f aca="false">IF(E642&lt;判定条件!$C$6,"判定不能",IF(F642&gt;=判定条件!$C$7*E642,"運転",IF(F642&lt;=判定条件!$C$8*E642,"停止","断続")))</f>
        <v>運転</v>
      </c>
      <c r="H642" s="30" t="n">
        <v>60</v>
      </c>
      <c r="I642" s="30" t="n">
        <v>60</v>
      </c>
      <c r="J642" s="30" t="str">
        <f aca="false">IF(H642&lt;判定条件!$C$6,"判定不能",IF(I642&gt;=判定条件!$C$7*H642,"運転",IF(I642&lt;=判定条件!$C$8*H642,"停止","断続")))</f>
        <v>運転</v>
      </c>
      <c r="K642" s="30" t="n">
        <v>60</v>
      </c>
      <c r="L642" s="30" t="n">
        <v>60</v>
      </c>
      <c r="M642" s="30" t="str">
        <f aca="false">IF(K642&lt;判定条件!$C$6,"判定不能",IF(L642&gt;=判定条件!$C$7*K642,"運転",IF(L642&lt;=判定条件!$C$8*K642,"停止","断続")))</f>
        <v>運転</v>
      </c>
      <c r="N642" s="30" t="n">
        <v>60</v>
      </c>
      <c r="O642" s="30" t="n">
        <v>60</v>
      </c>
      <c r="P642" s="30" t="str">
        <f aca="false">IF(N642&lt;判定条件!$C$6,"判定不能",IF(O642&gt;=判定条件!$C$7*N642,"運転",IF(O642&lt;=判定条件!$C$8*N642,"停止","断続")))</f>
        <v>運転</v>
      </c>
      <c r="Q642" s="30" t="n">
        <v>0</v>
      </c>
      <c r="R642" s="30" t="n">
        <v>0</v>
      </c>
      <c r="S642" s="30" t="str">
        <f aca="false">IF(Q642&lt;判定条件!$C$6,"判定不能",IF(R642&gt;=判定条件!$C$7*Q642,"運転",IF(R642&lt;=判定条件!$C$8*Q642,"停止","断続")))</f>
        <v>判定不能</v>
      </c>
      <c r="T642" s="30" t="n">
        <v>60</v>
      </c>
      <c r="U642" s="30" t="n">
        <v>54</v>
      </c>
      <c r="V642" s="30" t="str">
        <f aca="false">IF(T642&lt;判定条件!$C$6,"判定不能",IF(U642&gt;=判定条件!$C$7*T642,"運転",IF(U642&lt;=判定条件!$C$8*T642,"停止","断続")))</f>
        <v>運転</v>
      </c>
      <c r="W642" s="30" t="n">
        <v>60</v>
      </c>
      <c r="X642" s="30" t="n">
        <v>60</v>
      </c>
      <c r="Y642" s="30" t="str">
        <f aca="false">IF(W642&lt;判定条件!$C$6,"判定不能",IF(X642&gt;=判定条件!$C$7*W642,"運転",IF(X642&lt;=判定条件!$C$8*W642,"停止","断続")))</f>
        <v>運転</v>
      </c>
      <c r="Z642" s="30" t="n">
        <v>60</v>
      </c>
      <c r="AA642" s="30" t="n">
        <v>60</v>
      </c>
      <c r="AB642" s="30" t="str">
        <f aca="false">IF(Z642&lt;判定条件!$C$6,"判定不能",IF(AA642&gt;=判定条件!$C$7*Z642,"運転",IF(AA642&lt;=判定条件!$C$8*Z642,"停止","断続")))</f>
        <v>運転</v>
      </c>
      <c r="AC642" s="30" t="n">
        <v>60</v>
      </c>
      <c r="AD642" s="30" t="n">
        <v>60</v>
      </c>
      <c r="AE642" s="30" t="str">
        <f aca="false">IF(AC642&lt;判定条件!$C$6,"判定不能",IF(AD642&gt;=判定条件!$C$7*AC642,"運転",IF(AD642&lt;=判定条件!$C$8*AC642,"停止","断続")))</f>
        <v>運転</v>
      </c>
      <c r="AF642" s="30" t="n">
        <v>60</v>
      </c>
      <c r="AG642" s="30" t="n">
        <v>60</v>
      </c>
      <c r="AH642" s="30" t="str">
        <f aca="false">IF(OR(P642="判定不能",G642="判定不能"),"判定不能",IF(AG642&gt;=判定条件!$C$9,"利用可",IF(AND(P642="停止",G642="停止"),"両方停止","運転がそろわない")))</f>
        <v>利用可</v>
      </c>
      <c r="AI642" s="30" t="n">
        <v>0</v>
      </c>
      <c r="AJ642" s="30" t="n">
        <v>0</v>
      </c>
      <c r="AK642" s="30" t="str">
        <f aca="false">IF(OR(S642="判定不能",J642="判定不能"),"判定不能",IF(AJ642&gt;=判定条件!$C$9,"利用可",IF(AND(S642="停止",J642="停止"),"両方停止","運転がそろわない")))</f>
        <v>判定不能</v>
      </c>
      <c r="AL642" s="30" t="n">
        <v>60</v>
      </c>
      <c r="AM642" s="30" t="n">
        <v>54</v>
      </c>
      <c r="AN642" s="30" t="str">
        <f aca="false">IF(OR(V642="判定不能",M642="判定不能"),"判定不能",IF(AM642&gt;=判定条件!$C$9,"利用可",IF(AND(V642="停止",M642="停止"),"両方停止","運転がそろわない")))</f>
        <v>利用可</v>
      </c>
      <c r="AO642" s="30" t="n">
        <v>60</v>
      </c>
      <c r="AP642" s="30" t="n">
        <v>60</v>
      </c>
      <c r="AQ642" s="30" t="str">
        <f aca="false">IF(OR(Y642="判定不能",G642="判定不能"),"判定不能",IF(AP642&gt;=判定条件!$C$9,"利用可",IF(AND(Y642="停止",G642="停止"),"両方停止","運転がそろわない")))</f>
        <v>利用可</v>
      </c>
      <c r="AR642" s="30" t="n">
        <v>60</v>
      </c>
      <c r="AS642" s="30" t="n">
        <v>60</v>
      </c>
      <c r="AT642" s="30" t="str">
        <f aca="false">IF(OR(AB642="判定不能",J642="判定不能"),"判定不能",IF(AS642&gt;=判定条件!$C$9,"利用可",IF(AND(AB642="停止",J642="停止"),"両方停止","運転がそろわない")))</f>
        <v>利用可</v>
      </c>
      <c r="AU642" s="30" t="n">
        <v>60</v>
      </c>
      <c r="AV642" s="30" t="n">
        <v>60</v>
      </c>
      <c r="AW642" s="30" t="str">
        <f aca="false">IF(OR(AE642="判定不能",M642="判定不能"),"判定不能",IF(AV642&gt;=判定条件!$C$9,"利用可",IF(AND(AE642="停止",M642="停止"),"両方停止","運転がそろわない")))</f>
        <v>利用可</v>
      </c>
      <c r="AX642" s="30" t="str">
        <f aca="false">IF(AND(AH642="利用可",AK642="利用可",AN642="利用可"),"利用可","不可")</f>
        <v>不可</v>
      </c>
      <c r="AY642" s="30" t="str">
        <f aca="false">IF(AND(AQ642="利用可",AT642="利用可",AW642="利用可"),"利用可","不可")</f>
        <v>利用可</v>
      </c>
    </row>
    <row r="643" customFormat="false" ht="15" hidden="false" customHeight="false" outlineLevel="0" collapsed="false">
      <c r="A643" s="29" t="n">
        <v>46258</v>
      </c>
      <c r="B643" s="30" t="n">
        <v>16</v>
      </c>
      <c r="C643" s="31" t="s">
        <v>66</v>
      </c>
      <c r="D643" s="31" t="s">
        <v>59</v>
      </c>
      <c r="E643" s="30" t="n">
        <v>60</v>
      </c>
      <c r="F643" s="30" t="n">
        <v>60</v>
      </c>
      <c r="G643" s="30" t="str">
        <f aca="false">IF(E643&lt;判定条件!$C$6,"判定不能",IF(F643&gt;=判定条件!$C$7*E643,"運転",IF(F643&lt;=判定条件!$C$8*E643,"停止","断続")))</f>
        <v>運転</v>
      </c>
      <c r="H643" s="30" t="n">
        <v>60</v>
      </c>
      <c r="I643" s="30" t="n">
        <v>60</v>
      </c>
      <c r="J643" s="30" t="str">
        <f aca="false">IF(H643&lt;判定条件!$C$6,"判定不能",IF(I643&gt;=判定条件!$C$7*H643,"運転",IF(I643&lt;=判定条件!$C$8*H643,"停止","断続")))</f>
        <v>運転</v>
      </c>
      <c r="K643" s="30" t="n">
        <v>60</v>
      </c>
      <c r="L643" s="30" t="n">
        <v>60</v>
      </c>
      <c r="M643" s="30" t="str">
        <f aca="false">IF(K643&lt;判定条件!$C$6,"判定不能",IF(L643&gt;=判定条件!$C$7*K643,"運転",IF(L643&lt;=判定条件!$C$8*K643,"停止","断続")))</f>
        <v>運転</v>
      </c>
      <c r="N643" s="30" t="n">
        <v>60</v>
      </c>
      <c r="O643" s="30" t="n">
        <v>54</v>
      </c>
      <c r="P643" s="30" t="str">
        <f aca="false">IF(N643&lt;判定条件!$C$6,"判定不能",IF(O643&gt;=判定条件!$C$7*N643,"運転",IF(O643&lt;=判定条件!$C$8*N643,"停止","断続")))</f>
        <v>運転</v>
      </c>
      <c r="Q643" s="30" t="n">
        <v>0</v>
      </c>
      <c r="R643" s="30" t="n">
        <v>0</v>
      </c>
      <c r="S643" s="30" t="str">
        <f aca="false">IF(Q643&lt;判定条件!$C$6,"判定不能",IF(R643&gt;=判定条件!$C$7*Q643,"運転",IF(R643&lt;=判定条件!$C$8*Q643,"停止","断続")))</f>
        <v>判定不能</v>
      </c>
      <c r="T643" s="30" t="n">
        <v>60</v>
      </c>
      <c r="U643" s="30" t="n">
        <v>60</v>
      </c>
      <c r="V643" s="30" t="str">
        <f aca="false">IF(T643&lt;判定条件!$C$6,"判定不能",IF(U643&gt;=判定条件!$C$7*T643,"運転",IF(U643&lt;=判定条件!$C$8*T643,"停止","断続")))</f>
        <v>運転</v>
      </c>
      <c r="W643" s="30" t="n">
        <v>60</v>
      </c>
      <c r="X643" s="30" t="n">
        <v>60</v>
      </c>
      <c r="Y643" s="30" t="str">
        <f aca="false">IF(W643&lt;判定条件!$C$6,"判定不能",IF(X643&gt;=判定条件!$C$7*W643,"運転",IF(X643&lt;=判定条件!$C$8*W643,"停止","断続")))</f>
        <v>運転</v>
      </c>
      <c r="Z643" s="30" t="n">
        <v>60</v>
      </c>
      <c r="AA643" s="30" t="n">
        <v>42</v>
      </c>
      <c r="AB643" s="30" t="str">
        <f aca="false">IF(Z643&lt;判定条件!$C$6,"判定不能",IF(AA643&gt;=判定条件!$C$7*Z643,"運転",IF(AA643&lt;=判定条件!$C$8*Z643,"停止","断続")))</f>
        <v>断続</v>
      </c>
      <c r="AC643" s="30" t="n">
        <v>60</v>
      </c>
      <c r="AD643" s="30" t="n">
        <v>60</v>
      </c>
      <c r="AE643" s="30" t="str">
        <f aca="false">IF(AC643&lt;判定条件!$C$6,"判定不能",IF(AD643&gt;=判定条件!$C$7*AC643,"運転",IF(AD643&lt;=判定条件!$C$8*AC643,"停止","断続")))</f>
        <v>運転</v>
      </c>
      <c r="AF643" s="30" t="n">
        <v>60</v>
      </c>
      <c r="AG643" s="30" t="n">
        <v>54</v>
      </c>
      <c r="AH643" s="30" t="str">
        <f aca="false">IF(OR(P643="判定不能",G643="判定不能"),"判定不能",IF(AG643&gt;=判定条件!$C$9,"利用可",IF(AND(P643="停止",G643="停止"),"両方停止","運転がそろわない")))</f>
        <v>利用可</v>
      </c>
      <c r="AI643" s="30" t="n">
        <v>0</v>
      </c>
      <c r="AJ643" s="30" t="n">
        <v>0</v>
      </c>
      <c r="AK643" s="30" t="str">
        <f aca="false">IF(OR(S643="判定不能",J643="判定不能"),"判定不能",IF(AJ643&gt;=判定条件!$C$9,"利用可",IF(AND(S643="停止",J643="停止"),"両方停止","運転がそろわない")))</f>
        <v>判定不能</v>
      </c>
      <c r="AL643" s="30" t="n">
        <v>60</v>
      </c>
      <c r="AM643" s="30" t="n">
        <v>60</v>
      </c>
      <c r="AN643" s="30" t="str">
        <f aca="false">IF(OR(V643="判定不能",M643="判定不能"),"判定不能",IF(AM643&gt;=判定条件!$C$9,"利用可",IF(AND(V643="停止",M643="停止"),"両方停止","運転がそろわない")))</f>
        <v>利用可</v>
      </c>
      <c r="AO643" s="30" t="n">
        <v>60</v>
      </c>
      <c r="AP643" s="30" t="n">
        <v>60</v>
      </c>
      <c r="AQ643" s="30" t="str">
        <f aca="false">IF(OR(Y643="判定不能",G643="判定不能"),"判定不能",IF(AP643&gt;=判定条件!$C$9,"利用可",IF(AND(Y643="停止",G643="停止"),"両方停止","運転がそろわない")))</f>
        <v>利用可</v>
      </c>
      <c r="AR643" s="30" t="n">
        <v>60</v>
      </c>
      <c r="AS643" s="30" t="n">
        <v>42</v>
      </c>
      <c r="AT643" s="30" t="str">
        <f aca="false">IF(OR(AB643="判定不能",J643="判定不能"),"判定不能",IF(AS643&gt;=判定条件!$C$9,"利用可",IF(AND(AB643="停止",J643="停止"),"両方停止","運転がそろわない")))</f>
        <v>利用可</v>
      </c>
      <c r="AU643" s="30" t="n">
        <v>60</v>
      </c>
      <c r="AV643" s="30" t="n">
        <v>60</v>
      </c>
      <c r="AW643" s="30" t="str">
        <f aca="false">IF(OR(AE643="判定不能",M643="判定不能"),"判定不能",IF(AV643&gt;=判定条件!$C$9,"利用可",IF(AND(AE643="停止",M643="停止"),"両方停止","運転がそろわない")))</f>
        <v>利用可</v>
      </c>
      <c r="AX643" s="30" t="str">
        <f aca="false">IF(AND(AH643="利用可",AK643="利用可",AN643="利用可"),"利用可","不可")</f>
        <v>不可</v>
      </c>
      <c r="AY643" s="30" t="str">
        <f aca="false">IF(AND(AQ643="利用可",AT643="利用可",AW643="利用可"),"利用可","不可")</f>
        <v>利用可</v>
      </c>
    </row>
    <row r="644" customFormat="false" ht="15" hidden="false" customHeight="false" outlineLevel="0" collapsed="false">
      <c r="A644" s="29" t="n">
        <v>46258</v>
      </c>
      <c r="B644" s="30" t="n">
        <v>17</v>
      </c>
      <c r="C644" s="31" t="s">
        <v>66</v>
      </c>
      <c r="D644" s="31" t="s">
        <v>59</v>
      </c>
      <c r="E644" s="30" t="n">
        <v>60</v>
      </c>
      <c r="F644" s="30" t="n">
        <v>60</v>
      </c>
      <c r="G644" s="30" t="str">
        <f aca="false">IF(E644&lt;判定条件!$C$6,"判定不能",IF(F644&gt;=判定条件!$C$7*E644,"運転",IF(F644&lt;=判定条件!$C$8*E644,"停止","断続")))</f>
        <v>運転</v>
      </c>
      <c r="H644" s="30" t="n">
        <v>60</v>
      </c>
      <c r="I644" s="30" t="n">
        <v>60</v>
      </c>
      <c r="J644" s="30" t="str">
        <f aca="false">IF(H644&lt;判定条件!$C$6,"判定不能",IF(I644&gt;=判定条件!$C$7*H644,"運転",IF(I644&lt;=判定条件!$C$8*H644,"停止","断続")))</f>
        <v>運転</v>
      </c>
      <c r="K644" s="30" t="n">
        <v>60</v>
      </c>
      <c r="L644" s="30" t="n">
        <v>60</v>
      </c>
      <c r="M644" s="30" t="str">
        <f aca="false">IF(K644&lt;判定条件!$C$6,"判定不能",IF(L644&gt;=判定条件!$C$7*K644,"運転",IF(L644&lt;=判定条件!$C$8*K644,"停止","断続")))</f>
        <v>運転</v>
      </c>
      <c r="N644" s="30" t="n">
        <v>60</v>
      </c>
      <c r="O644" s="30" t="n">
        <v>59</v>
      </c>
      <c r="P644" s="30" t="str">
        <f aca="false">IF(N644&lt;判定条件!$C$6,"判定不能",IF(O644&gt;=判定条件!$C$7*N644,"運転",IF(O644&lt;=判定条件!$C$8*N644,"停止","断続")))</f>
        <v>運転</v>
      </c>
      <c r="Q644" s="30" t="n">
        <v>0</v>
      </c>
      <c r="R644" s="30" t="n">
        <v>0</v>
      </c>
      <c r="S644" s="30" t="str">
        <f aca="false">IF(Q644&lt;判定条件!$C$6,"判定不能",IF(R644&gt;=判定条件!$C$7*Q644,"運転",IF(R644&lt;=判定条件!$C$8*Q644,"停止","断続")))</f>
        <v>判定不能</v>
      </c>
      <c r="T644" s="30" t="n">
        <v>60</v>
      </c>
      <c r="U644" s="30" t="n">
        <v>32</v>
      </c>
      <c r="V644" s="30" t="str">
        <f aca="false">IF(T644&lt;判定条件!$C$6,"判定不能",IF(U644&gt;=判定条件!$C$7*T644,"運転",IF(U644&lt;=判定条件!$C$8*T644,"停止","断続")))</f>
        <v>断続</v>
      </c>
      <c r="W644" s="30" t="n">
        <v>60</v>
      </c>
      <c r="X644" s="30" t="n">
        <v>60</v>
      </c>
      <c r="Y644" s="30" t="str">
        <f aca="false">IF(W644&lt;判定条件!$C$6,"判定不能",IF(X644&gt;=判定条件!$C$7*W644,"運転",IF(X644&lt;=判定条件!$C$8*W644,"停止","断続")))</f>
        <v>運転</v>
      </c>
      <c r="Z644" s="30" t="n">
        <v>60</v>
      </c>
      <c r="AA644" s="30" t="n">
        <v>50</v>
      </c>
      <c r="AB644" s="30" t="str">
        <f aca="false">IF(Z644&lt;判定条件!$C$6,"判定不能",IF(AA644&gt;=判定条件!$C$7*Z644,"運転",IF(AA644&lt;=判定条件!$C$8*Z644,"停止","断続")))</f>
        <v>運転</v>
      </c>
      <c r="AC644" s="30" t="n">
        <v>60</v>
      </c>
      <c r="AD644" s="30" t="n">
        <v>60</v>
      </c>
      <c r="AE644" s="30" t="str">
        <f aca="false">IF(AC644&lt;判定条件!$C$6,"判定不能",IF(AD644&gt;=判定条件!$C$7*AC644,"運転",IF(AD644&lt;=判定条件!$C$8*AC644,"停止","断続")))</f>
        <v>運転</v>
      </c>
      <c r="AF644" s="30" t="n">
        <v>60</v>
      </c>
      <c r="AG644" s="30" t="n">
        <v>59</v>
      </c>
      <c r="AH644" s="30" t="str">
        <f aca="false">IF(OR(P644="判定不能",G644="判定不能"),"判定不能",IF(AG644&gt;=判定条件!$C$9,"利用可",IF(AND(P644="停止",G644="停止"),"両方停止","運転がそろわない")))</f>
        <v>利用可</v>
      </c>
      <c r="AI644" s="30" t="n">
        <v>0</v>
      </c>
      <c r="AJ644" s="30" t="n">
        <v>0</v>
      </c>
      <c r="AK644" s="30" t="str">
        <f aca="false">IF(OR(S644="判定不能",J644="判定不能"),"判定不能",IF(AJ644&gt;=判定条件!$C$9,"利用可",IF(AND(S644="停止",J644="停止"),"両方停止","運転がそろわない")))</f>
        <v>判定不能</v>
      </c>
      <c r="AL644" s="30" t="n">
        <v>60</v>
      </c>
      <c r="AM644" s="30" t="n">
        <v>32</v>
      </c>
      <c r="AN644" s="30" t="str">
        <f aca="false">IF(OR(V644="判定不能",M644="判定不能"),"判定不能",IF(AM644&gt;=判定条件!$C$9,"利用可",IF(AND(V644="停止",M644="停止"),"両方停止","運転がそろわない")))</f>
        <v>利用可</v>
      </c>
      <c r="AO644" s="30" t="n">
        <v>60</v>
      </c>
      <c r="AP644" s="30" t="n">
        <v>60</v>
      </c>
      <c r="AQ644" s="30" t="str">
        <f aca="false">IF(OR(Y644="判定不能",G644="判定不能"),"判定不能",IF(AP644&gt;=判定条件!$C$9,"利用可",IF(AND(Y644="停止",G644="停止"),"両方停止","運転がそろわない")))</f>
        <v>利用可</v>
      </c>
      <c r="AR644" s="30" t="n">
        <v>60</v>
      </c>
      <c r="AS644" s="30" t="n">
        <v>50</v>
      </c>
      <c r="AT644" s="30" t="str">
        <f aca="false">IF(OR(AB644="判定不能",J644="判定不能"),"判定不能",IF(AS644&gt;=判定条件!$C$9,"利用可",IF(AND(AB644="停止",J644="停止"),"両方停止","運転がそろわない")))</f>
        <v>利用可</v>
      </c>
      <c r="AU644" s="30" t="n">
        <v>60</v>
      </c>
      <c r="AV644" s="30" t="n">
        <v>60</v>
      </c>
      <c r="AW644" s="30" t="str">
        <f aca="false">IF(OR(AE644="判定不能",M644="判定不能"),"判定不能",IF(AV644&gt;=判定条件!$C$9,"利用可",IF(AND(AE644="停止",M644="停止"),"両方停止","運転がそろわない")))</f>
        <v>利用可</v>
      </c>
      <c r="AX644" s="30" t="str">
        <f aca="false">IF(AND(AH644="利用可",AK644="利用可",AN644="利用可"),"利用可","不可")</f>
        <v>不可</v>
      </c>
      <c r="AY644" s="30" t="str">
        <f aca="false">IF(AND(AQ644="利用可",AT644="利用可",AW644="利用可"),"利用可","不可")</f>
        <v>利用可</v>
      </c>
    </row>
    <row r="645" customFormat="false" ht="15" hidden="false" customHeight="false" outlineLevel="0" collapsed="false">
      <c r="A645" s="29" t="n">
        <v>46258</v>
      </c>
      <c r="B645" s="30" t="n">
        <v>18</v>
      </c>
      <c r="C645" s="31" t="s">
        <v>66</v>
      </c>
      <c r="D645" s="31" t="s">
        <v>59</v>
      </c>
      <c r="E645" s="30" t="n">
        <v>60</v>
      </c>
      <c r="F645" s="30" t="n">
        <v>60</v>
      </c>
      <c r="G645" s="30" t="str">
        <f aca="false">IF(E645&lt;判定条件!$C$6,"判定不能",IF(F645&gt;=判定条件!$C$7*E645,"運転",IF(F645&lt;=判定条件!$C$8*E645,"停止","断続")))</f>
        <v>運転</v>
      </c>
      <c r="H645" s="30" t="n">
        <v>60</v>
      </c>
      <c r="I645" s="30" t="n">
        <v>60</v>
      </c>
      <c r="J645" s="30" t="str">
        <f aca="false">IF(H645&lt;判定条件!$C$6,"判定不能",IF(I645&gt;=判定条件!$C$7*H645,"運転",IF(I645&lt;=判定条件!$C$8*H645,"停止","断続")))</f>
        <v>運転</v>
      </c>
      <c r="K645" s="30" t="n">
        <v>60</v>
      </c>
      <c r="L645" s="30" t="n">
        <v>60</v>
      </c>
      <c r="M645" s="30" t="str">
        <f aca="false">IF(K645&lt;判定条件!$C$6,"判定不能",IF(L645&gt;=判定条件!$C$7*K645,"運転",IF(L645&lt;=判定条件!$C$8*K645,"停止","断続")))</f>
        <v>運転</v>
      </c>
      <c r="N645" s="30" t="n">
        <v>60</v>
      </c>
      <c r="O645" s="30" t="n">
        <v>42</v>
      </c>
      <c r="P645" s="30" t="str">
        <f aca="false">IF(N645&lt;判定条件!$C$6,"判定不能",IF(O645&gt;=判定条件!$C$7*N645,"運転",IF(O645&lt;=判定条件!$C$8*N645,"停止","断続")))</f>
        <v>断続</v>
      </c>
      <c r="Q645" s="30" t="n">
        <v>0</v>
      </c>
      <c r="R645" s="30" t="n">
        <v>0</v>
      </c>
      <c r="S645" s="30" t="str">
        <f aca="false">IF(Q645&lt;判定条件!$C$6,"判定不能",IF(R645&gt;=判定条件!$C$7*Q645,"運転",IF(R645&lt;=判定条件!$C$8*Q645,"停止","断続")))</f>
        <v>判定不能</v>
      </c>
      <c r="T645" s="30" t="n">
        <v>60</v>
      </c>
      <c r="U645" s="30" t="n">
        <v>0</v>
      </c>
      <c r="V645" s="30" t="str">
        <f aca="false">IF(T645&lt;判定条件!$C$6,"判定不能",IF(U645&gt;=判定条件!$C$7*T645,"運転",IF(U645&lt;=判定条件!$C$8*T645,"停止","断続")))</f>
        <v>停止</v>
      </c>
      <c r="W645" s="30" t="n">
        <v>60</v>
      </c>
      <c r="X645" s="30" t="n">
        <v>30</v>
      </c>
      <c r="Y645" s="30" t="str">
        <f aca="false">IF(W645&lt;判定条件!$C$6,"判定不能",IF(X645&gt;=判定条件!$C$7*W645,"運転",IF(X645&lt;=判定条件!$C$8*W645,"停止","断続")))</f>
        <v>断続</v>
      </c>
      <c r="Z645" s="30" t="n">
        <v>60</v>
      </c>
      <c r="AA645" s="30" t="n">
        <v>43</v>
      </c>
      <c r="AB645" s="30" t="str">
        <f aca="false">IF(Z645&lt;判定条件!$C$6,"判定不能",IF(AA645&gt;=判定条件!$C$7*Z645,"運転",IF(AA645&lt;=判定条件!$C$8*Z645,"停止","断続")))</f>
        <v>断続</v>
      </c>
      <c r="AC645" s="30" t="n">
        <v>60</v>
      </c>
      <c r="AD645" s="30" t="n">
        <v>48</v>
      </c>
      <c r="AE645" s="30" t="str">
        <f aca="false">IF(AC645&lt;判定条件!$C$6,"判定不能",IF(AD645&gt;=判定条件!$C$7*AC645,"運転",IF(AD645&lt;=判定条件!$C$8*AC645,"停止","断続")))</f>
        <v>運転</v>
      </c>
      <c r="AF645" s="30" t="n">
        <v>60</v>
      </c>
      <c r="AG645" s="30" t="n">
        <v>42</v>
      </c>
      <c r="AH645" s="30" t="str">
        <f aca="false">IF(OR(P645="判定不能",G645="判定不能"),"判定不能",IF(AG645&gt;=判定条件!$C$9,"利用可",IF(AND(P645="停止",G645="停止"),"両方停止","運転がそろわない")))</f>
        <v>利用可</v>
      </c>
      <c r="AI645" s="30" t="n">
        <v>0</v>
      </c>
      <c r="AJ645" s="30" t="n">
        <v>0</v>
      </c>
      <c r="AK645" s="30" t="str">
        <f aca="false">IF(OR(S645="判定不能",J645="判定不能"),"判定不能",IF(AJ645&gt;=判定条件!$C$9,"利用可",IF(AND(S645="停止",J645="停止"),"両方停止","運転がそろわない")))</f>
        <v>判定不能</v>
      </c>
      <c r="AL645" s="30" t="n">
        <v>60</v>
      </c>
      <c r="AM645" s="30" t="n">
        <v>0</v>
      </c>
      <c r="AN645" s="30" t="str">
        <f aca="false">IF(OR(V645="判定不能",M645="判定不能"),"判定不能",IF(AM645&gt;=判定条件!$C$9,"利用可",IF(AND(V645="停止",M645="停止"),"両方停止","運転がそろわない")))</f>
        <v>運転がそろわない</v>
      </c>
      <c r="AO645" s="30" t="n">
        <v>60</v>
      </c>
      <c r="AP645" s="30" t="n">
        <v>30</v>
      </c>
      <c r="AQ645" s="30" t="str">
        <f aca="false">IF(OR(Y645="判定不能",G645="判定不能"),"判定不能",IF(AP645&gt;=判定条件!$C$9,"利用可",IF(AND(Y645="停止",G645="停止"),"両方停止","運転がそろわない")))</f>
        <v>利用可</v>
      </c>
      <c r="AR645" s="30" t="n">
        <v>60</v>
      </c>
      <c r="AS645" s="30" t="n">
        <v>43</v>
      </c>
      <c r="AT645" s="30" t="str">
        <f aca="false">IF(OR(AB645="判定不能",J645="判定不能"),"判定不能",IF(AS645&gt;=判定条件!$C$9,"利用可",IF(AND(AB645="停止",J645="停止"),"両方停止","運転がそろわない")))</f>
        <v>利用可</v>
      </c>
      <c r="AU645" s="30" t="n">
        <v>60</v>
      </c>
      <c r="AV645" s="30" t="n">
        <v>48</v>
      </c>
      <c r="AW645" s="30" t="str">
        <f aca="false">IF(OR(AE645="判定不能",M645="判定不能"),"判定不能",IF(AV645&gt;=判定条件!$C$9,"利用可",IF(AND(AE645="停止",M645="停止"),"両方停止","運転がそろわない")))</f>
        <v>利用可</v>
      </c>
      <c r="AX645" s="30" t="str">
        <f aca="false">IF(AND(AH645="利用可",AK645="利用可",AN645="利用可"),"利用可","不可")</f>
        <v>不可</v>
      </c>
      <c r="AY645" s="30" t="str">
        <f aca="false">IF(AND(AQ645="利用可",AT645="利用可",AW645="利用可"),"利用可","不可")</f>
        <v>利用可</v>
      </c>
    </row>
    <row r="646" customFormat="false" ht="15" hidden="false" customHeight="false" outlineLevel="0" collapsed="false">
      <c r="A646" s="29" t="n">
        <v>46258</v>
      </c>
      <c r="B646" s="30" t="n">
        <v>19</v>
      </c>
      <c r="C646" s="31" t="s">
        <v>66</v>
      </c>
      <c r="D646" s="31" t="s">
        <v>59</v>
      </c>
      <c r="E646" s="30" t="n">
        <v>60</v>
      </c>
      <c r="F646" s="30" t="n">
        <v>52</v>
      </c>
      <c r="G646" s="30" t="str">
        <f aca="false">IF(E646&lt;判定条件!$C$6,"判定不能",IF(F646&gt;=判定条件!$C$7*E646,"運転",IF(F646&lt;=判定条件!$C$8*E646,"停止","断続")))</f>
        <v>運転</v>
      </c>
      <c r="H646" s="30" t="n">
        <v>60</v>
      </c>
      <c r="I646" s="30" t="n">
        <v>52</v>
      </c>
      <c r="J646" s="30" t="str">
        <f aca="false">IF(H646&lt;判定条件!$C$6,"判定不能",IF(I646&gt;=判定条件!$C$7*H646,"運転",IF(I646&lt;=判定条件!$C$8*H646,"停止","断続")))</f>
        <v>運転</v>
      </c>
      <c r="K646" s="30" t="n">
        <v>60</v>
      </c>
      <c r="L646" s="30" t="n">
        <v>60</v>
      </c>
      <c r="M646" s="30" t="str">
        <f aca="false">IF(K646&lt;判定条件!$C$6,"判定不能",IF(L646&gt;=判定条件!$C$7*K646,"運転",IF(L646&lt;=判定条件!$C$8*K646,"停止","断続")))</f>
        <v>運転</v>
      </c>
      <c r="N646" s="30" t="n">
        <v>60</v>
      </c>
      <c r="O646" s="30" t="n">
        <v>36</v>
      </c>
      <c r="P646" s="30" t="str">
        <f aca="false">IF(N646&lt;判定条件!$C$6,"判定不能",IF(O646&gt;=判定条件!$C$7*N646,"運転",IF(O646&lt;=判定条件!$C$8*N646,"停止","断続")))</f>
        <v>断続</v>
      </c>
      <c r="Q646" s="30" t="n">
        <v>0</v>
      </c>
      <c r="R646" s="30" t="n">
        <v>0</v>
      </c>
      <c r="S646" s="30" t="str">
        <f aca="false">IF(Q646&lt;判定条件!$C$6,"判定不能",IF(R646&gt;=判定条件!$C$7*Q646,"運転",IF(R646&lt;=判定条件!$C$8*Q646,"停止","断続")))</f>
        <v>判定不能</v>
      </c>
      <c r="T646" s="30" t="n">
        <v>60</v>
      </c>
      <c r="U646" s="30" t="n">
        <v>0</v>
      </c>
      <c r="V646" s="30" t="str">
        <f aca="false">IF(T646&lt;判定条件!$C$6,"判定不能",IF(U646&gt;=判定条件!$C$7*T646,"運転",IF(U646&lt;=判定条件!$C$8*T646,"停止","断続")))</f>
        <v>停止</v>
      </c>
      <c r="W646" s="30" t="n">
        <v>60</v>
      </c>
      <c r="X646" s="30" t="n">
        <v>4</v>
      </c>
      <c r="Y646" s="30" t="str">
        <f aca="false">IF(W646&lt;判定条件!$C$6,"判定不能",IF(X646&gt;=判定条件!$C$7*W646,"運転",IF(X646&lt;=判定条件!$C$8*W646,"停止","断続")))</f>
        <v>停止</v>
      </c>
      <c r="Z646" s="30" t="n">
        <v>60</v>
      </c>
      <c r="AA646" s="30" t="n">
        <v>40</v>
      </c>
      <c r="AB646" s="30" t="str">
        <f aca="false">IF(Z646&lt;判定条件!$C$6,"判定不能",IF(AA646&gt;=判定条件!$C$7*Z646,"運転",IF(AA646&lt;=判定条件!$C$8*Z646,"停止","断続")))</f>
        <v>断続</v>
      </c>
      <c r="AC646" s="30" t="n">
        <v>60</v>
      </c>
      <c r="AD646" s="30" t="n">
        <v>0</v>
      </c>
      <c r="AE646" s="30" t="str">
        <f aca="false">IF(AC646&lt;判定条件!$C$6,"判定不能",IF(AD646&gt;=判定条件!$C$7*AC646,"運転",IF(AD646&lt;=判定条件!$C$8*AC646,"停止","断続")))</f>
        <v>停止</v>
      </c>
      <c r="AF646" s="30" t="n">
        <v>60</v>
      </c>
      <c r="AG646" s="30" t="n">
        <v>28</v>
      </c>
      <c r="AH646" s="30" t="str">
        <f aca="false">IF(OR(P646="判定不能",G646="判定不能"),"判定不能",IF(AG646&gt;=判定条件!$C$9,"利用可",IF(AND(P646="停止",G646="停止"),"両方停止","運転がそろわない")))</f>
        <v>運転がそろわない</v>
      </c>
      <c r="AI646" s="30" t="n">
        <v>0</v>
      </c>
      <c r="AJ646" s="30" t="n">
        <v>0</v>
      </c>
      <c r="AK646" s="30" t="str">
        <f aca="false">IF(OR(S646="判定不能",J646="判定不能"),"判定不能",IF(AJ646&gt;=判定条件!$C$9,"利用可",IF(AND(S646="停止",J646="停止"),"両方停止","運転がそろわない")))</f>
        <v>判定不能</v>
      </c>
      <c r="AL646" s="30" t="n">
        <v>60</v>
      </c>
      <c r="AM646" s="30" t="n">
        <v>0</v>
      </c>
      <c r="AN646" s="30" t="str">
        <f aca="false">IF(OR(V646="判定不能",M646="判定不能"),"判定不能",IF(AM646&gt;=判定条件!$C$9,"利用可",IF(AND(V646="停止",M646="停止"),"両方停止","運転がそろわない")))</f>
        <v>運転がそろわない</v>
      </c>
      <c r="AO646" s="30" t="n">
        <v>60</v>
      </c>
      <c r="AP646" s="30" t="n">
        <v>4</v>
      </c>
      <c r="AQ646" s="30" t="str">
        <f aca="false">IF(OR(Y646="判定不能",G646="判定不能"),"判定不能",IF(AP646&gt;=判定条件!$C$9,"利用可",IF(AND(Y646="停止",G646="停止"),"両方停止","運転がそろわない")))</f>
        <v>運転がそろわない</v>
      </c>
      <c r="AR646" s="30" t="n">
        <v>60</v>
      </c>
      <c r="AS646" s="30" t="n">
        <v>32</v>
      </c>
      <c r="AT646" s="30" t="str">
        <f aca="false">IF(OR(AB646="判定不能",J646="判定不能"),"判定不能",IF(AS646&gt;=判定条件!$C$9,"利用可",IF(AND(AB646="停止",J646="停止"),"両方停止","運転がそろわない")))</f>
        <v>利用可</v>
      </c>
      <c r="AU646" s="30" t="n">
        <v>60</v>
      </c>
      <c r="AV646" s="30" t="n">
        <v>0</v>
      </c>
      <c r="AW646" s="30" t="str">
        <f aca="false">IF(OR(AE646="判定不能",M646="判定不能"),"判定不能",IF(AV646&gt;=判定条件!$C$9,"利用可",IF(AND(AE646="停止",M646="停止"),"両方停止","運転がそろわない")))</f>
        <v>運転がそろわない</v>
      </c>
      <c r="AX646" s="30" t="str">
        <f aca="false">IF(AND(AH646="利用可",AK646="利用可",AN646="利用可"),"利用可","不可")</f>
        <v>不可</v>
      </c>
      <c r="AY646" s="30" t="str">
        <f aca="false">IF(AND(AQ646="利用可",AT646="利用可",AW646="利用可"),"利用可","不可")</f>
        <v>不可</v>
      </c>
    </row>
    <row r="647" customFormat="false" ht="15" hidden="false" customHeight="false" outlineLevel="0" collapsed="false">
      <c r="A647" s="29" t="n">
        <v>46258</v>
      </c>
      <c r="B647" s="30" t="n">
        <v>20</v>
      </c>
      <c r="C647" s="31" t="s">
        <v>66</v>
      </c>
      <c r="D647" s="31" t="s">
        <v>59</v>
      </c>
      <c r="E647" s="30" t="n">
        <v>60</v>
      </c>
      <c r="F647" s="30" t="n">
        <v>58</v>
      </c>
      <c r="G647" s="30" t="str">
        <f aca="false">IF(E647&lt;判定条件!$C$6,"判定不能",IF(F647&gt;=判定条件!$C$7*E647,"運転",IF(F647&lt;=判定条件!$C$8*E647,"停止","断続")))</f>
        <v>運転</v>
      </c>
      <c r="H647" s="30" t="n">
        <v>60</v>
      </c>
      <c r="I647" s="30" t="n">
        <v>49</v>
      </c>
      <c r="J647" s="30" t="str">
        <f aca="false">IF(H647&lt;判定条件!$C$6,"判定不能",IF(I647&gt;=判定条件!$C$7*H647,"運転",IF(I647&lt;=判定条件!$C$8*H647,"停止","断続")))</f>
        <v>運転</v>
      </c>
      <c r="K647" s="30" t="n">
        <v>60</v>
      </c>
      <c r="L647" s="30" t="n">
        <v>45</v>
      </c>
      <c r="M647" s="30" t="str">
        <f aca="false">IF(K647&lt;判定条件!$C$6,"判定不能",IF(L647&gt;=判定条件!$C$7*K647,"運転",IF(L647&lt;=判定条件!$C$8*K647,"停止","断続")))</f>
        <v>断続</v>
      </c>
      <c r="N647" s="30" t="n">
        <v>60</v>
      </c>
      <c r="O647" s="30" t="n">
        <v>0</v>
      </c>
      <c r="P647" s="30" t="str">
        <f aca="false">IF(N647&lt;判定条件!$C$6,"判定不能",IF(O647&gt;=判定条件!$C$7*N647,"運転",IF(O647&lt;=判定条件!$C$8*N647,"停止","断続")))</f>
        <v>停止</v>
      </c>
      <c r="Q647" s="30" t="n">
        <v>0</v>
      </c>
      <c r="R647" s="30" t="n">
        <v>0</v>
      </c>
      <c r="S647" s="30" t="str">
        <f aca="false">IF(Q647&lt;判定条件!$C$6,"判定不能",IF(R647&gt;=判定条件!$C$7*Q647,"運転",IF(R647&lt;=判定条件!$C$8*Q647,"停止","断続")))</f>
        <v>判定不能</v>
      </c>
      <c r="T647" s="30" t="n">
        <v>60</v>
      </c>
      <c r="U647" s="30" t="n">
        <v>44</v>
      </c>
      <c r="V647" s="30" t="str">
        <f aca="false">IF(T647&lt;判定条件!$C$6,"判定不能",IF(U647&gt;=判定条件!$C$7*T647,"運転",IF(U647&lt;=判定条件!$C$8*T647,"停止","断続")))</f>
        <v>断続</v>
      </c>
      <c r="W647" s="30" t="n">
        <v>60</v>
      </c>
      <c r="X647" s="30" t="n">
        <v>24</v>
      </c>
      <c r="Y647" s="30" t="str">
        <f aca="false">IF(W647&lt;判定条件!$C$6,"判定不能",IF(X647&gt;=判定条件!$C$7*W647,"運転",IF(X647&lt;=判定条件!$C$8*W647,"停止","断続")))</f>
        <v>断続</v>
      </c>
      <c r="Z647" s="30" t="n">
        <v>60</v>
      </c>
      <c r="AA647" s="30" t="n">
        <v>60</v>
      </c>
      <c r="AB647" s="30" t="str">
        <f aca="false">IF(Z647&lt;判定条件!$C$6,"判定不能",IF(AA647&gt;=判定条件!$C$7*Z647,"運転",IF(AA647&lt;=判定条件!$C$8*Z647,"停止","断続")))</f>
        <v>運転</v>
      </c>
      <c r="AC647" s="30" t="n">
        <v>60</v>
      </c>
      <c r="AD647" s="30" t="n">
        <v>0</v>
      </c>
      <c r="AE647" s="30" t="str">
        <f aca="false">IF(AC647&lt;判定条件!$C$6,"判定不能",IF(AD647&gt;=判定条件!$C$7*AC647,"運転",IF(AD647&lt;=判定条件!$C$8*AC647,"停止","断続")))</f>
        <v>停止</v>
      </c>
      <c r="AF647" s="30" t="n">
        <v>60</v>
      </c>
      <c r="AG647" s="30" t="n">
        <v>0</v>
      </c>
      <c r="AH647" s="30" t="str">
        <f aca="false">IF(OR(P647="判定不能",G647="判定不能"),"判定不能",IF(AG647&gt;=判定条件!$C$9,"利用可",IF(AND(P647="停止",G647="停止"),"両方停止","運転がそろわない")))</f>
        <v>運転がそろわない</v>
      </c>
      <c r="AI647" s="30" t="n">
        <v>0</v>
      </c>
      <c r="AJ647" s="30" t="n">
        <v>0</v>
      </c>
      <c r="AK647" s="30" t="str">
        <f aca="false">IF(OR(S647="判定不能",J647="判定不能"),"判定不能",IF(AJ647&gt;=判定条件!$C$9,"利用可",IF(AND(S647="停止",J647="停止"),"両方停止","運転がそろわない")))</f>
        <v>判定不能</v>
      </c>
      <c r="AL647" s="30" t="n">
        <v>60</v>
      </c>
      <c r="AM647" s="30" t="n">
        <v>29</v>
      </c>
      <c r="AN647" s="30" t="str">
        <f aca="false">IF(OR(V647="判定不能",M647="判定不能"),"判定不能",IF(AM647&gt;=判定条件!$C$9,"利用可",IF(AND(V647="停止",M647="停止"),"両方停止","運転がそろわない")))</f>
        <v>運転がそろわない</v>
      </c>
      <c r="AO647" s="30" t="n">
        <v>60</v>
      </c>
      <c r="AP647" s="30" t="n">
        <v>22</v>
      </c>
      <c r="AQ647" s="30" t="str">
        <f aca="false">IF(OR(Y647="判定不能",G647="判定不能"),"判定不能",IF(AP647&gt;=判定条件!$C$9,"利用可",IF(AND(Y647="停止",G647="停止"),"両方停止","運転がそろわない")))</f>
        <v>運転がそろわない</v>
      </c>
      <c r="AR647" s="30" t="n">
        <v>60</v>
      </c>
      <c r="AS647" s="30" t="n">
        <v>49</v>
      </c>
      <c r="AT647" s="30" t="str">
        <f aca="false">IF(OR(AB647="判定不能",J647="判定不能"),"判定不能",IF(AS647&gt;=判定条件!$C$9,"利用可",IF(AND(AB647="停止",J647="停止"),"両方停止","運転がそろわない")))</f>
        <v>利用可</v>
      </c>
      <c r="AU647" s="30" t="n">
        <v>60</v>
      </c>
      <c r="AV647" s="30" t="n">
        <v>0</v>
      </c>
      <c r="AW647" s="30" t="str">
        <f aca="false">IF(OR(AE647="判定不能",M647="判定不能"),"判定不能",IF(AV647&gt;=判定条件!$C$9,"利用可",IF(AND(AE647="停止",M647="停止"),"両方停止","運転がそろわない")))</f>
        <v>運転がそろわない</v>
      </c>
      <c r="AX647" s="30" t="str">
        <f aca="false">IF(AND(AH647="利用可",AK647="利用可",AN647="利用可"),"利用可","不可")</f>
        <v>不可</v>
      </c>
      <c r="AY647" s="30" t="str">
        <f aca="false">IF(AND(AQ647="利用可",AT647="利用可",AW647="利用可"),"利用可","不可")</f>
        <v>不可</v>
      </c>
    </row>
    <row r="648" customFormat="false" ht="15" hidden="false" customHeight="false" outlineLevel="0" collapsed="false">
      <c r="A648" s="29" t="n">
        <v>46258</v>
      </c>
      <c r="B648" s="30" t="n">
        <v>21</v>
      </c>
      <c r="C648" s="31" t="s">
        <v>66</v>
      </c>
      <c r="D648" s="31" t="s">
        <v>59</v>
      </c>
      <c r="E648" s="30" t="n">
        <v>60</v>
      </c>
      <c r="F648" s="30" t="n">
        <v>0</v>
      </c>
      <c r="G648" s="30" t="str">
        <f aca="false">IF(E648&lt;判定条件!$C$6,"判定不能",IF(F648&gt;=判定条件!$C$7*E648,"運転",IF(F648&lt;=判定条件!$C$8*E648,"停止","断続")))</f>
        <v>停止</v>
      </c>
      <c r="H648" s="30" t="n">
        <v>60</v>
      </c>
      <c r="I648" s="30" t="n">
        <v>0</v>
      </c>
      <c r="J648" s="30" t="str">
        <f aca="false">IF(H648&lt;判定条件!$C$6,"判定不能",IF(I648&gt;=判定条件!$C$7*H648,"運転",IF(I648&lt;=判定条件!$C$8*H648,"停止","断続")))</f>
        <v>停止</v>
      </c>
      <c r="K648" s="30" t="n">
        <v>60</v>
      </c>
      <c r="L648" s="30" t="n">
        <v>0</v>
      </c>
      <c r="M648" s="30" t="str">
        <f aca="false">IF(K648&lt;判定条件!$C$6,"判定不能",IF(L648&gt;=判定条件!$C$7*K648,"運転",IF(L648&lt;=判定条件!$C$8*K648,"停止","断続")))</f>
        <v>停止</v>
      </c>
      <c r="N648" s="30" t="n">
        <v>60</v>
      </c>
      <c r="O648" s="30" t="n">
        <v>0</v>
      </c>
      <c r="P648" s="30" t="str">
        <f aca="false">IF(N648&lt;判定条件!$C$6,"判定不能",IF(O648&gt;=判定条件!$C$7*N648,"運転",IF(O648&lt;=判定条件!$C$8*N648,"停止","断続")))</f>
        <v>停止</v>
      </c>
      <c r="Q648" s="30" t="n">
        <v>0</v>
      </c>
      <c r="R648" s="30" t="n">
        <v>0</v>
      </c>
      <c r="S648" s="30" t="str">
        <f aca="false">IF(Q648&lt;判定条件!$C$6,"判定不能",IF(R648&gt;=判定条件!$C$7*Q648,"運転",IF(R648&lt;=判定条件!$C$8*Q648,"停止","断続")))</f>
        <v>判定不能</v>
      </c>
      <c r="T648" s="30" t="n">
        <v>60</v>
      </c>
      <c r="U648" s="30" t="n">
        <v>46</v>
      </c>
      <c r="V648" s="30" t="str">
        <f aca="false">IF(T648&lt;判定条件!$C$6,"判定不能",IF(U648&gt;=判定条件!$C$7*T648,"運転",IF(U648&lt;=判定条件!$C$8*T648,"停止","断続")))</f>
        <v>断続</v>
      </c>
      <c r="W648" s="30" t="n">
        <v>60</v>
      </c>
      <c r="X648" s="30" t="n">
        <v>44</v>
      </c>
      <c r="Y648" s="30" t="str">
        <f aca="false">IF(W648&lt;判定条件!$C$6,"判定不能",IF(X648&gt;=判定条件!$C$7*W648,"運転",IF(X648&lt;=判定条件!$C$8*W648,"停止","断続")))</f>
        <v>断続</v>
      </c>
      <c r="Z648" s="30" t="n">
        <v>60</v>
      </c>
      <c r="AA648" s="30" t="n">
        <v>60</v>
      </c>
      <c r="AB648" s="30" t="str">
        <f aca="false">IF(Z648&lt;判定条件!$C$6,"判定不能",IF(AA648&gt;=判定条件!$C$7*Z648,"運転",IF(AA648&lt;=判定条件!$C$8*Z648,"停止","断続")))</f>
        <v>運転</v>
      </c>
      <c r="AC648" s="30" t="n">
        <v>60</v>
      </c>
      <c r="AD648" s="30" t="n">
        <v>0</v>
      </c>
      <c r="AE648" s="30" t="str">
        <f aca="false">IF(AC648&lt;判定条件!$C$6,"判定不能",IF(AD648&gt;=判定条件!$C$7*AC648,"運転",IF(AD648&lt;=判定条件!$C$8*AC648,"停止","断続")))</f>
        <v>停止</v>
      </c>
      <c r="AF648" s="30" t="n">
        <v>60</v>
      </c>
      <c r="AG648" s="30" t="n">
        <v>0</v>
      </c>
      <c r="AH648" s="30" t="str">
        <f aca="false">IF(OR(P648="判定不能",G648="判定不能"),"判定不能",IF(AG648&gt;=判定条件!$C$9,"利用可",IF(AND(P648="停止",G648="停止"),"両方停止","運転がそろわない")))</f>
        <v>両方停止</v>
      </c>
      <c r="AI648" s="30" t="n">
        <v>0</v>
      </c>
      <c r="AJ648" s="30" t="n">
        <v>0</v>
      </c>
      <c r="AK648" s="30" t="str">
        <f aca="false">IF(OR(S648="判定不能",J648="判定不能"),"判定不能",IF(AJ648&gt;=判定条件!$C$9,"利用可",IF(AND(S648="停止",J648="停止"),"両方停止","運転がそろわない")))</f>
        <v>判定不能</v>
      </c>
      <c r="AL648" s="30" t="n">
        <v>60</v>
      </c>
      <c r="AM648" s="30" t="n">
        <v>0</v>
      </c>
      <c r="AN648" s="30" t="str">
        <f aca="false">IF(OR(V648="判定不能",M648="判定不能"),"判定不能",IF(AM648&gt;=判定条件!$C$9,"利用可",IF(AND(V648="停止",M648="停止"),"両方停止","運転がそろわない")))</f>
        <v>運転がそろわない</v>
      </c>
      <c r="AO648" s="30" t="n">
        <v>60</v>
      </c>
      <c r="AP648" s="30" t="n">
        <v>0</v>
      </c>
      <c r="AQ648" s="30" t="str">
        <f aca="false">IF(OR(Y648="判定不能",G648="判定不能"),"判定不能",IF(AP648&gt;=判定条件!$C$9,"利用可",IF(AND(Y648="停止",G648="停止"),"両方停止","運転がそろわない")))</f>
        <v>運転がそろわない</v>
      </c>
      <c r="AR648" s="30" t="n">
        <v>60</v>
      </c>
      <c r="AS648" s="30" t="n">
        <v>0</v>
      </c>
      <c r="AT648" s="30" t="str">
        <f aca="false">IF(OR(AB648="判定不能",J648="判定不能"),"判定不能",IF(AS648&gt;=判定条件!$C$9,"利用可",IF(AND(AB648="停止",J648="停止"),"両方停止","運転がそろわない")))</f>
        <v>運転がそろわない</v>
      </c>
      <c r="AU648" s="30" t="n">
        <v>60</v>
      </c>
      <c r="AV648" s="30" t="n">
        <v>0</v>
      </c>
      <c r="AW648" s="30" t="str">
        <f aca="false">IF(OR(AE648="判定不能",M648="判定不能"),"判定不能",IF(AV648&gt;=判定条件!$C$9,"利用可",IF(AND(AE648="停止",M648="停止"),"両方停止","運転がそろわない")))</f>
        <v>両方停止</v>
      </c>
      <c r="AX648" s="30" t="str">
        <f aca="false">IF(AND(AH648="利用可",AK648="利用可",AN648="利用可"),"利用可","不可")</f>
        <v>不可</v>
      </c>
      <c r="AY648" s="30" t="str">
        <f aca="false">IF(AND(AQ648="利用可",AT648="利用可",AW648="利用可"),"利用可","不可")</f>
        <v>不可</v>
      </c>
    </row>
    <row r="649" customFormat="false" ht="15" hidden="false" customHeight="false" outlineLevel="0" collapsed="false">
      <c r="A649" s="29" t="n">
        <v>46258</v>
      </c>
      <c r="B649" s="30" t="n">
        <v>22</v>
      </c>
      <c r="C649" s="31" t="s">
        <v>66</v>
      </c>
      <c r="D649" s="31" t="s">
        <v>59</v>
      </c>
      <c r="E649" s="30" t="n">
        <v>60</v>
      </c>
      <c r="F649" s="30" t="n">
        <v>0</v>
      </c>
      <c r="G649" s="30" t="str">
        <f aca="false">IF(E649&lt;判定条件!$C$6,"判定不能",IF(F649&gt;=判定条件!$C$7*E649,"運転",IF(F649&lt;=判定条件!$C$8*E649,"停止","断続")))</f>
        <v>停止</v>
      </c>
      <c r="H649" s="30" t="n">
        <v>60</v>
      </c>
      <c r="I649" s="30" t="n">
        <v>0</v>
      </c>
      <c r="J649" s="30" t="str">
        <f aca="false">IF(H649&lt;判定条件!$C$6,"判定不能",IF(I649&gt;=判定条件!$C$7*H649,"運転",IF(I649&lt;=判定条件!$C$8*H649,"停止","断続")))</f>
        <v>停止</v>
      </c>
      <c r="K649" s="30" t="n">
        <v>60</v>
      </c>
      <c r="L649" s="30" t="n">
        <v>0</v>
      </c>
      <c r="M649" s="30" t="str">
        <f aca="false">IF(K649&lt;判定条件!$C$6,"判定不能",IF(L649&gt;=判定条件!$C$7*K649,"運転",IF(L649&lt;=判定条件!$C$8*K649,"停止","断続")))</f>
        <v>停止</v>
      </c>
      <c r="N649" s="30" t="n">
        <v>60</v>
      </c>
      <c r="O649" s="30" t="n">
        <v>0</v>
      </c>
      <c r="P649" s="30" t="str">
        <f aca="false">IF(N649&lt;判定条件!$C$6,"判定不能",IF(O649&gt;=判定条件!$C$7*N649,"運転",IF(O649&lt;=判定条件!$C$8*N649,"停止","断続")))</f>
        <v>停止</v>
      </c>
      <c r="Q649" s="30" t="n">
        <v>0</v>
      </c>
      <c r="R649" s="30" t="n">
        <v>0</v>
      </c>
      <c r="S649" s="30" t="str">
        <f aca="false">IF(Q649&lt;判定条件!$C$6,"判定不能",IF(R649&gt;=判定条件!$C$7*Q649,"運転",IF(R649&lt;=判定条件!$C$8*Q649,"停止","断続")))</f>
        <v>判定不能</v>
      </c>
      <c r="T649" s="30" t="n">
        <v>60</v>
      </c>
      <c r="U649" s="30" t="n">
        <v>0</v>
      </c>
      <c r="V649" s="30" t="str">
        <f aca="false">IF(T649&lt;判定条件!$C$6,"判定不能",IF(U649&gt;=判定条件!$C$7*T649,"運転",IF(U649&lt;=判定条件!$C$8*T649,"停止","断続")))</f>
        <v>停止</v>
      </c>
      <c r="W649" s="30" t="n">
        <v>60</v>
      </c>
      <c r="X649" s="30" t="n">
        <v>0</v>
      </c>
      <c r="Y649" s="30" t="str">
        <f aca="false">IF(W649&lt;判定条件!$C$6,"判定不能",IF(X649&gt;=判定条件!$C$7*W649,"運転",IF(X649&lt;=判定条件!$C$8*W649,"停止","断続")))</f>
        <v>停止</v>
      </c>
      <c r="Z649" s="30" t="n">
        <v>60</v>
      </c>
      <c r="AA649" s="30" t="n">
        <v>60</v>
      </c>
      <c r="AB649" s="30" t="str">
        <f aca="false">IF(Z649&lt;判定条件!$C$6,"判定不能",IF(AA649&gt;=判定条件!$C$7*Z649,"運転",IF(AA649&lt;=判定条件!$C$8*Z649,"停止","断続")))</f>
        <v>運転</v>
      </c>
      <c r="AC649" s="30" t="n">
        <v>60</v>
      </c>
      <c r="AD649" s="30" t="n">
        <v>0</v>
      </c>
      <c r="AE649" s="30" t="str">
        <f aca="false">IF(AC649&lt;判定条件!$C$6,"判定不能",IF(AD649&gt;=判定条件!$C$7*AC649,"運転",IF(AD649&lt;=判定条件!$C$8*AC649,"停止","断続")))</f>
        <v>停止</v>
      </c>
      <c r="AF649" s="30" t="n">
        <v>60</v>
      </c>
      <c r="AG649" s="30" t="n">
        <v>0</v>
      </c>
      <c r="AH649" s="30" t="str">
        <f aca="false">IF(OR(P649="判定不能",G649="判定不能"),"判定不能",IF(AG649&gt;=判定条件!$C$9,"利用可",IF(AND(P649="停止",G649="停止"),"両方停止","運転がそろわない")))</f>
        <v>両方停止</v>
      </c>
      <c r="AI649" s="30" t="n">
        <v>0</v>
      </c>
      <c r="AJ649" s="30" t="n">
        <v>0</v>
      </c>
      <c r="AK649" s="30" t="str">
        <f aca="false">IF(OR(S649="判定不能",J649="判定不能"),"判定不能",IF(AJ649&gt;=判定条件!$C$9,"利用可",IF(AND(S649="停止",J649="停止"),"両方停止","運転がそろわない")))</f>
        <v>判定不能</v>
      </c>
      <c r="AL649" s="30" t="n">
        <v>60</v>
      </c>
      <c r="AM649" s="30" t="n">
        <v>0</v>
      </c>
      <c r="AN649" s="30" t="str">
        <f aca="false">IF(OR(V649="判定不能",M649="判定不能"),"判定不能",IF(AM649&gt;=判定条件!$C$9,"利用可",IF(AND(V649="停止",M649="停止"),"両方停止","運転がそろわない")))</f>
        <v>両方停止</v>
      </c>
      <c r="AO649" s="30" t="n">
        <v>60</v>
      </c>
      <c r="AP649" s="30" t="n">
        <v>0</v>
      </c>
      <c r="AQ649" s="30" t="str">
        <f aca="false">IF(OR(Y649="判定不能",G649="判定不能"),"判定不能",IF(AP649&gt;=判定条件!$C$9,"利用可",IF(AND(Y649="停止",G649="停止"),"両方停止","運転がそろわない")))</f>
        <v>両方停止</v>
      </c>
      <c r="AR649" s="30" t="n">
        <v>60</v>
      </c>
      <c r="AS649" s="30" t="n">
        <v>0</v>
      </c>
      <c r="AT649" s="30" t="str">
        <f aca="false">IF(OR(AB649="判定不能",J649="判定不能"),"判定不能",IF(AS649&gt;=判定条件!$C$9,"利用可",IF(AND(AB649="停止",J649="停止"),"両方停止","運転がそろわない")))</f>
        <v>運転がそろわない</v>
      </c>
      <c r="AU649" s="30" t="n">
        <v>60</v>
      </c>
      <c r="AV649" s="30" t="n">
        <v>0</v>
      </c>
      <c r="AW649" s="30" t="str">
        <f aca="false">IF(OR(AE649="判定不能",M649="判定不能"),"判定不能",IF(AV649&gt;=判定条件!$C$9,"利用可",IF(AND(AE649="停止",M649="停止"),"両方停止","運転がそろわない")))</f>
        <v>両方停止</v>
      </c>
      <c r="AX649" s="30" t="str">
        <f aca="false">IF(AND(AH649="利用可",AK649="利用可",AN649="利用可"),"利用可","不可")</f>
        <v>不可</v>
      </c>
      <c r="AY649" s="30" t="str">
        <f aca="false">IF(AND(AQ649="利用可",AT649="利用可",AW649="利用可"),"利用可","不可")</f>
        <v>不可</v>
      </c>
    </row>
    <row r="650" customFormat="false" ht="15" hidden="false" customHeight="false" outlineLevel="0" collapsed="false">
      <c r="A650" s="29" t="n">
        <v>46258</v>
      </c>
      <c r="B650" s="30" t="n">
        <v>23</v>
      </c>
      <c r="C650" s="31" t="s">
        <v>66</v>
      </c>
      <c r="D650" s="31" t="s">
        <v>59</v>
      </c>
      <c r="E650" s="30" t="n">
        <v>60</v>
      </c>
      <c r="F650" s="30" t="n">
        <v>0</v>
      </c>
      <c r="G650" s="30" t="str">
        <f aca="false">IF(E650&lt;判定条件!$C$6,"判定不能",IF(F650&gt;=判定条件!$C$7*E650,"運転",IF(F650&lt;=判定条件!$C$8*E650,"停止","断続")))</f>
        <v>停止</v>
      </c>
      <c r="H650" s="30" t="n">
        <v>60</v>
      </c>
      <c r="I650" s="30" t="n">
        <v>0</v>
      </c>
      <c r="J650" s="30" t="str">
        <f aca="false">IF(H650&lt;判定条件!$C$6,"判定不能",IF(I650&gt;=判定条件!$C$7*H650,"運転",IF(I650&lt;=判定条件!$C$8*H650,"停止","断続")))</f>
        <v>停止</v>
      </c>
      <c r="K650" s="30" t="n">
        <v>60</v>
      </c>
      <c r="L650" s="30" t="n">
        <v>0</v>
      </c>
      <c r="M650" s="30" t="str">
        <f aca="false">IF(K650&lt;判定条件!$C$6,"判定不能",IF(L650&gt;=判定条件!$C$7*K650,"運転",IF(L650&lt;=判定条件!$C$8*K650,"停止","断続")))</f>
        <v>停止</v>
      </c>
      <c r="N650" s="30" t="n">
        <v>60</v>
      </c>
      <c r="O650" s="30" t="n">
        <v>0</v>
      </c>
      <c r="P650" s="30" t="str">
        <f aca="false">IF(N650&lt;判定条件!$C$6,"判定不能",IF(O650&gt;=判定条件!$C$7*N650,"運転",IF(O650&lt;=判定条件!$C$8*N650,"停止","断続")))</f>
        <v>停止</v>
      </c>
      <c r="Q650" s="30" t="n">
        <v>0</v>
      </c>
      <c r="R650" s="30" t="n">
        <v>0</v>
      </c>
      <c r="S650" s="30" t="str">
        <f aca="false">IF(Q650&lt;判定条件!$C$6,"判定不能",IF(R650&gt;=判定条件!$C$7*Q650,"運転",IF(R650&lt;=判定条件!$C$8*Q650,"停止","断続")))</f>
        <v>判定不能</v>
      </c>
      <c r="T650" s="30" t="n">
        <v>60</v>
      </c>
      <c r="U650" s="30" t="n">
        <v>0</v>
      </c>
      <c r="V650" s="30" t="str">
        <f aca="false">IF(T650&lt;判定条件!$C$6,"判定不能",IF(U650&gt;=判定条件!$C$7*T650,"運転",IF(U650&lt;=判定条件!$C$8*T650,"停止","断続")))</f>
        <v>停止</v>
      </c>
      <c r="W650" s="30" t="n">
        <v>60</v>
      </c>
      <c r="X650" s="30" t="n">
        <v>0</v>
      </c>
      <c r="Y650" s="30" t="str">
        <f aca="false">IF(W650&lt;判定条件!$C$6,"判定不能",IF(X650&gt;=判定条件!$C$7*W650,"運転",IF(X650&lt;=判定条件!$C$8*W650,"停止","断続")))</f>
        <v>停止</v>
      </c>
      <c r="Z650" s="30" t="n">
        <v>60</v>
      </c>
      <c r="AA650" s="30" t="n">
        <v>3</v>
      </c>
      <c r="AB650" s="30" t="str">
        <f aca="false">IF(Z650&lt;判定条件!$C$6,"判定不能",IF(AA650&gt;=判定条件!$C$7*Z650,"運転",IF(AA650&lt;=判定条件!$C$8*Z650,"停止","断続")))</f>
        <v>停止</v>
      </c>
      <c r="AC650" s="30" t="n">
        <v>60</v>
      </c>
      <c r="AD650" s="30" t="n">
        <v>0</v>
      </c>
      <c r="AE650" s="30" t="str">
        <f aca="false">IF(AC650&lt;判定条件!$C$6,"判定不能",IF(AD650&gt;=判定条件!$C$7*AC650,"運転",IF(AD650&lt;=判定条件!$C$8*AC650,"停止","断続")))</f>
        <v>停止</v>
      </c>
      <c r="AF650" s="30" t="n">
        <v>60</v>
      </c>
      <c r="AG650" s="30" t="n">
        <v>0</v>
      </c>
      <c r="AH650" s="30" t="str">
        <f aca="false">IF(OR(P650="判定不能",G650="判定不能"),"判定不能",IF(AG650&gt;=判定条件!$C$9,"利用可",IF(AND(P650="停止",G650="停止"),"両方停止","運転がそろわない")))</f>
        <v>両方停止</v>
      </c>
      <c r="AI650" s="30" t="n">
        <v>0</v>
      </c>
      <c r="AJ650" s="30" t="n">
        <v>0</v>
      </c>
      <c r="AK650" s="30" t="str">
        <f aca="false">IF(OR(S650="判定不能",J650="判定不能"),"判定不能",IF(AJ650&gt;=判定条件!$C$9,"利用可",IF(AND(S650="停止",J650="停止"),"両方停止","運転がそろわない")))</f>
        <v>判定不能</v>
      </c>
      <c r="AL650" s="30" t="n">
        <v>60</v>
      </c>
      <c r="AM650" s="30" t="n">
        <v>0</v>
      </c>
      <c r="AN650" s="30" t="str">
        <f aca="false">IF(OR(V650="判定不能",M650="判定不能"),"判定不能",IF(AM650&gt;=判定条件!$C$9,"利用可",IF(AND(V650="停止",M650="停止"),"両方停止","運転がそろわない")))</f>
        <v>両方停止</v>
      </c>
      <c r="AO650" s="30" t="n">
        <v>60</v>
      </c>
      <c r="AP650" s="30" t="n">
        <v>0</v>
      </c>
      <c r="AQ650" s="30" t="str">
        <f aca="false">IF(OR(Y650="判定不能",G650="判定不能"),"判定不能",IF(AP650&gt;=判定条件!$C$9,"利用可",IF(AND(Y650="停止",G650="停止"),"両方停止","運転がそろわない")))</f>
        <v>両方停止</v>
      </c>
      <c r="AR650" s="30" t="n">
        <v>60</v>
      </c>
      <c r="AS650" s="30" t="n">
        <v>0</v>
      </c>
      <c r="AT650" s="30" t="str">
        <f aca="false">IF(OR(AB650="判定不能",J650="判定不能"),"判定不能",IF(AS650&gt;=判定条件!$C$9,"利用可",IF(AND(AB650="停止",J650="停止"),"両方停止","運転がそろわない")))</f>
        <v>両方停止</v>
      </c>
      <c r="AU650" s="30" t="n">
        <v>60</v>
      </c>
      <c r="AV650" s="30" t="n">
        <v>0</v>
      </c>
      <c r="AW650" s="30" t="str">
        <f aca="false">IF(OR(AE650="判定不能",M650="判定不能"),"判定不能",IF(AV650&gt;=判定条件!$C$9,"利用可",IF(AND(AE650="停止",M650="停止"),"両方停止","運転がそろわない")))</f>
        <v>両方停止</v>
      </c>
      <c r="AX650" s="30" t="str">
        <f aca="false">IF(AND(AH650="利用可",AK650="利用可",AN650="利用可"),"利用可","不可")</f>
        <v>不可</v>
      </c>
      <c r="AY650" s="30" t="str">
        <f aca="false">IF(AND(AQ650="利用可",AT650="利用可",AW650="利用可"),"利用可","不可")</f>
        <v>不可</v>
      </c>
    </row>
    <row r="651" customFormat="false" ht="15" hidden="false" customHeight="false" outlineLevel="0" collapsed="false">
      <c r="A651" s="29" t="n">
        <v>46259</v>
      </c>
      <c r="B651" s="30" t="n">
        <v>0</v>
      </c>
      <c r="C651" s="31" t="s">
        <v>67</v>
      </c>
      <c r="D651" s="31" t="s">
        <v>59</v>
      </c>
      <c r="E651" s="30" t="n">
        <v>60</v>
      </c>
      <c r="F651" s="30" t="n">
        <v>0</v>
      </c>
      <c r="G651" s="30" t="str">
        <f aca="false">IF(E651&lt;判定条件!$C$6,"判定不能",IF(F651&gt;=判定条件!$C$7*E651,"運転",IF(F651&lt;=判定条件!$C$8*E651,"停止","断続")))</f>
        <v>停止</v>
      </c>
      <c r="H651" s="30" t="n">
        <v>60</v>
      </c>
      <c r="I651" s="30" t="n">
        <v>0</v>
      </c>
      <c r="J651" s="30" t="str">
        <f aca="false">IF(H651&lt;判定条件!$C$6,"判定不能",IF(I651&gt;=判定条件!$C$7*H651,"運転",IF(I651&lt;=判定条件!$C$8*H651,"停止","断続")))</f>
        <v>停止</v>
      </c>
      <c r="K651" s="30" t="n">
        <v>60</v>
      </c>
      <c r="L651" s="30" t="n">
        <v>0</v>
      </c>
      <c r="M651" s="30" t="str">
        <f aca="false">IF(K651&lt;判定条件!$C$6,"判定不能",IF(L651&gt;=判定条件!$C$7*K651,"運転",IF(L651&lt;=判定条件!$C$8*K651,"停止","断続")))</f>
        <v>停止</v>
      </c>
      <c r="N651" s="30" t="n">
        <v>60</v>
      </c>
      <c r="O651" s="30" t="n">
        <v>0</v>
      </c>
      <c r="P651" s="30" t="str">
        <f aca="false">IF(N651&lt;判定条件!$C$6,"判定不能",IF(O651&gt;=判定条件!$C$7*N651,"運転",IF(O651&lt;=判定条件!$C$8*N651,"停止","断続")))</f>
        <v>停止</v>
      </c>
      <c r="Q651" s="30" t="n">
        <v>0</v>
      </c>
      <c r="R651" s="30" t="n">
        <v>0</v>
      </c>
      <c r="S651" s="30" t="str">
        <f aca="false">IF(Q651&lt;判定条件!$C$6,"判定不能",IF(R651&gt;=判定条件!$C$7*Q651,"運転",IF(R651&lt;=判定条件!$C$8*Q651,"停止","断続")))</f>
        <v>判定不能</v>
      </c>
      <c r="T651" s="30" t="n">
        <v>60</v>
      </c>
      <c r="U651" s="30" t="n">
        <v>0</v>
      </c>
      <c r="V651" s="30" t="str">
        <f aca="false">IF(T651&lt;判定条件!$C$6,"判定不能",IF(U651&gt;=判定条件!$C$7*T651,"運転",IF(U651&lt;=判定条件!$C$8*T651,"停止","断続")))</f>
        <v>停止</v>
      </c>
      <c r="W651" s="30" t="n">
        <v>60</v>
      </c>
      <c r="X651" s="30" t="n">
        <v>0</v>
      </c>
      <c r="Y651" s="30" t="str">
        <f aca="false">IF(W651&lt;判定条件!$C$6,"判定不能",IF(X651&gt;=判定条件!$C$7*W651,"運転",IF(X651&lt;=判定条件!$C$8*W651,"停止","断続")))</f>
        <v>停止</v>
      </c>
      <c r="Z651" s="30" t="n">
        <v>60</v>
      </c>
      <c r="AA651" s="30" t="n">
        <v>0</v>
      </c>
      <c r="AB651" s="30" t="str">
        <f aca="false">IF(Z651&lt;判定条件!$C$6,"判定不能",IF(AA651&gt;=判定条件!$C$7*Z651,"運転",IF(AA651&lt;=判定条件!$C$8*Z651,"停止","断続")))</f>
        <v>停止</v>
      </c>
      <c r="AC651" s="30" t="n">
        <v>60</v>
      </c>
      <c r="AD651" s="30" t="n">
        <v>0</v>
      </c>
      <c r="AE651" s="30" t="str">
        <f aca="false">IF(AC651&lt;判定条件!$C$6,"判定不能",IF(AD651&gt;=判定条件!$C$7*AC651,"運転",IF(AD651&lt;=判定条件!$C$8*AC651,"停止","断続")))</f>
        <v>停止</v>
      </c>
      <c r="AF651" s="30" t="n">
        <v>60</v>
      </c>
      <c r="AG651" s="30" t="n">
        <v>0</v>
      </c>
      <c r="AH651" s="30" t="str">
        <f aca="false">IF(OR(P651="判定不能",G651="判定不能"),"判定不能",IF(AG651&gt;=判定条件!$C$9,"利用可",IF(AND(P651="停止",G651="停止"),"両方停止","運転がそろわない")))</f>
        <v>両方停止</v>
      </c>
      <c r="AI651" s="30" t="n">
        <v>0</v>
      </c>
      <c r="AJ651" s="30" t="n">
        <v>0</v>
      </c>
      <c r="AK651" s="30" t="str">
        <f aca="false">IF(OR(S651="判定不能",J651="判定不能"),"判定不能",IF(AJ651&gt;=判定条件!$C$9,"利用可",IF(AND(S651="停止",J651="停止"),"両方停止","運転がそろわない")))</f>
        <v>判定不能</v>
      </c>
      <c r="AL651" s="30" t="n">
        <v>60</v>
      </c>
      <c r="AM651" s="30" t="n">
        <v>0</v>
      </c>
      <c r="AN651" s="30" t="str">
        <f aca="false">IF(OR(V651="判定不能",M651="判定不能"),"判定不能",IF(AM651&gt;=判定条件!$C$9,"利用可",IF(AND(V651="停止",M651="停止"),"両方停止","運転がそろわない")))</f>
        <v>両方停止</v>
      </c>
      <c r="AO651" s="30" t="n">
        <v>60</v>
      </c>
      <c r="AP651" s="30" t="n">
        <v>0</v>
      </c>
      <c r="AQ651" s="30" t="str">
        <f aca="false">IF(OR(Y651="判定不能",G651="判定不能"),"判定不能",IF(AP651&gt;=判定条件!$C$9,"利用可",IF(AND(Y651="停止",G651="停止"),"両方停止","運転がそろわない")))</f>
        <v>両方停止</v>
      </c>
      <c r="AR651" s="30" t="n">
        <v>60</v>
      </c>
      <c r="AS651" s="30" t="n">
        <v>0</v>
      </c>
      <c r="AT651" s="30" t="str">
        <f aca="false">IF(OR(AB651="判定不能",J651="判定不能"),"判定不能",IF(AS651&gt;=判定条件!$C$9,"利用可",IF(AND(AB651="停止",J651="停止"),"両方停止","運転がそろわない")))</f>
        <v>両方停止</v>
      </c>
      <c r="AU651" s="30" t="n">
        <v>60</v>
      </c>
      <c r="AV651" s="30" t="n">
        <v>0</v>
      </c>
      <c r="AW651" s="30" t="str">
        <f aca="false">IF(OR(AE651="判定不能",M651="判定不能"),"判定不能",IF(AV651&gt;=判定条件!$C$9,"利用可",IF(AND(AE651="停止",M651="停止"),"両方停止","運転がそろわない")))</f>
        <v>両方停止</v>
      </c>
      <c r="AX651" s="30" t="str">
        <f aca="false">IF(AND(AH651="利用可",AK651="利用可",AN651="利用可"),"利用可","不可")</f>
        <v>不可</v>
      </c>
      <c r="AY651" s="30" t="str">
        <f aca="false">IF(AND(AQ651="利用可",AT651="利用可",AW651="利用可"),"利用可","不可")</f>
        <v>不可</v>
      </c>
    </row>
    <row r="652" customFormat="false" ht="15" hidden="false" customHeight="false" outlineLevel="0" collapsed="false">
      <c r="A652" s="29" t="n">
        <v>46259</v>
      </c>
      <c r="B652" s="30" t="n">
        <v>1</v>
      </c>
      <c r="C652" s="31" t="s">
        <v>67</v>
      </c>
      <c r="D652" s="31" t="s">
        <v>59</v>
      </c>
      <c r="E652" s="30" t="n">
        <v>60</v>
      </c>
      <c r="F652" s="30" t="n">
        <v>0</v>
      </c>
      <c r="G652" s="30" t="str">
        <f aca="false">IF(E652&lt;判定条件!$C$6,"判定不能",IF(F652&gt;=判定条件!$C$7*E652,"運転",IF(F652&lt;=判定条件!$C$8*E652,"停止","断続")))</f>
        <v>停止</v>
      </c>
      <c r="H652" s="30" t="n">
        <v>60</v>
      </c>
      <c r="I652" s="30" t="n">
        <v>0</v>
      </c>
      <c r="J652" s="30" t="str">
        <f aca="false">IF(H652&lt;判定条件!$C$6,"判定不能",IF(I652&gt;=判定条件!$C$7*H652,"運転",IF(I652&lt;=判定条件!$C$8*H652,"停止","断続")))</f>
        <v>停止</v>
      </c>
      <c r="K652" s="30" t="n">
        <v>60</v>
      </c>
      <c r="L652" s="30" t="n">
        <v>0</v>
      </c>
      <c r="M652" s="30" t="str">
        <f aca="false">IF(K652&lt;判定条件!$C$6,"判定不能",IF(L652&gt;=判定条件!$C$7*K652,"運転",IF(L652&lt;=判定条件!$C$8*K652,"停止","断続")))</f>
        <v>停止</v>
      </c>
      <c r="N652" s="30" t="n">
        <v>60</v>
      </c>
      <c r="O652" s="30" t="n">
        <v>0</v>
      </c>
      <c r="P652" s="30" t="str">
        <f aca="false">IF(N652&lt;判定条件!$C$6,"判定不能",IF(O652&gt;=判定条件!$C$7*N652,"運転",IF(O652&lt;=判定条件!$C$8*N652,"停止","断続")))</f>
        <v>停止</v>
      </c>
      <c r="Q652" s="30" t="n">
        <v>0</v>
      </c>
      <c r="R652" s="30" t="n">
        <v>0</v>
      </c>
      <c r="S652" s="30" t="str">
        <f aca="false">IF(Q652&lt;判定条件!$C$6,"判定不能",IF(R652&gt;=判定条件!$C$7*Q652,"運転",IF(R652&lt;=判定条件!$C$8*Q652,"停止","断続")))</f>
        <v>判定不能</v>
      </c>
      <c r="T652" s="30" t="n">
        <v>60</v>
      </c>
      <c r="U652" s="30" t="n">
        <v>0</v>
      </c>
      <c r="V652" s="30" t="str">
        <f aca="false">IF(T652&lt;判定条件!$C$6,"判定不能",IF(U652&gt;=判定条件!$C$7*T652,"運転",IF(U652&lt;=判定条件!$C$8*T652,"停止","断続")))</f>
        <v>停止</v>
      </c>
      <c r="W652" s="30" t="n">
        <v>60</v>
      </c>
      <c r="X652" s="30" t="n">
        <v>0</v>
      </c>
      <c r="Y652" s="30" t="str">
        <f aca="false">IF(W652&lt;判定条件!$C$6,"判定不能",IF(X652&gt;=判定条件!$C$7*W652,"運転",IF(X652&lt;=判定条件!$C$8*W652,"停止","断続")))</f>
        <v>停止</v>
      </c>
      <c r="Z652" s="30" t="n">
        <v>60</v>
      </c>
      <c r="AA652" s="30" t="n">
        <v>0</v>
      </c>
      <c r="AB652" s="30" t="str">
        <f aca="false">IF(Z652&lt;判定条件!$C$6,"判定不能",IF(AA652&gt;=判定条件!$C$7*Z652,"運転",IF(AA652&lt;=判定条件!$C$8*Z652,"停止","断続")))</f>
        <v>停止</v>
      </c>
      <c r="AC652" s="30" t="n">
        <v>60</v>
      </c>
      <c r="AD652" s="30" t="n">
        <v>0</v>
      </c>
      <c r="AE652" s="30" t="str">
        <f aca="false">IF(AC652&lt;判定条件!$C$6,"判定不能",IF(AD652&gt;=判定条件!$C$7*AC652,"運転",IF(AD652&lt;=判定条件!$C$8*AC652,"停止","断続")))</f>
        <v>停止</v>
      </c>
      <c r="AF652" s="30" t="n">
        <v>60</v>
      </c>
      <c r="AG652" s="30" t="n">
        <v>0</v>
      </c>
      <c r="AH652" s="30" t="str">
        <f aca="false">IF(OR(P652="判定不能",G652="判定不能"),"判定不能",IF(AG652&gt;=判定条件!$C$9,"利用可",IF(AND(P652="停止",G652="停止"),"両方停止","運転がそろわない")))</f>
        <v>両方停止</v>
      </c>
      <c r="AI652" s="30" t="n">
        <v>0</v>
      </c>
      <c r="AJ652" s="30" t="n">
        <v>0</v>
      </c>
      <c r="AK652" s="30" t="str">
        <f aca="false">IF(OR(S652="判定不能",J652="判定不能"),"判定不能",IF(AJ652&gt;=判定条件!$C$9,"利用可",IF(AND(S652="停止",J652="停止"),"両方停止","運転がそろわない")))</f>
        <v>判定不能</v>
      </c>
      <c r="AL652" s="30" t="n">
        <v>60</v>
      </c>
      <c r="AM652" s="30" t="n">
        <v>0</v>
      </c>
      <c r="AN652" s="30" t="str">
        <f aca="false">IF(OR(V652="判定不能",M652="判定不能"),"判定不能",IF(AM652&gt;=判定条件!$C$9,"利用可",IF(AND(V652="停止",M652="停止"),"両方停止","運転がそろわない")))</f>
        <v>両方停止</v>
      </c>
      <c r="AO652" s="30" t="n">
        <v>60</v>
      </c>
      <c r="AP652" s="30" t="n">
        <v>0</v>
      </c>
      <c r="AQ652" s="30" t="str">
        <f aca="false">IF(OR(Y652="判定不能",G652="判定不能"),"判定不能",IF(AP652&gt;=判定条件!$C$9,"利用可",IF(AND(Y652="停止",G652="停止"),"両方停止","運転がそろわない")))</f>
        <v>両方停止</v>
      </c>
      <c r="AR652" s="30" t="n">
        <v>60</v>
      </c>
      <c r="AS652" s="30" t="n">
        <v>0</v>
      </c>
      <c r="AT652" s="30" t="str">
        <f aca="false">IF(OR(AB652="判定不能",J652="判定不能"),"判定不能",IF(AS652&gt;=判定条件!$C$9,"利用可",IF(AND(AB652="停止",J652="停止"),"両方停止","運転がそろわない")))</f>
        <v>両方停止</v>
      </c>
      <c r="AU652" s="30" t="n">
        <v>60</v>
      </c>
      <c r="AV652" s="30" t="n">
        <v>0</v>
      </c>
      <c r="AW652" s="30" t="str">
        <f aca="false">IF(OR(AE652="判定不能",M652="判定不能"),"判定不能",IF(AV652&gt;=判定条件!$C$9,"利用可",IF(AND(AE652="停止",M652="停止"),"両方停止","運転がそろわない")))</f>
        <v>両方停止</v>
      </c>
      <c r="AX652" s="30" t="str">
        <f aca="false">IF(AND(AH652="利用可",AK652="利用可",AN652="利用可"),"利用可","不可")</f>
        <v>不可</v>
      </c>
      <c r="AY652" s="30" t="str">
        <f aca="false">IF(AND(AQ652="利用可",AT652="利用可",AW652="利用可"),"利用可","不可")</f>
        <v>不可</v>
      </c>
    </row>
    <row r="653" customFormat="false" ht="15" hidden="false" customHeight="false" outlineLevel="0" collapsed="false">
      <c r="A653" s="29" t="n">
        <v>46259</v>
      </c>
      <c r="B653" s="30" t="n">
        <v>2</v>
      </c>
      <c r="C653" s="31" t="s">
        <v>67</v>
      </c>
      <c r="D653" s="31" t="s">
        <v>59</v>
      </c>
      <c r="E653" s="30" t="n">
        <v>60</v>
      </c>
      <c r="F653" s="30" t="n">
        <v>0</v>
      </c>
      <c r="G653" s="30" t="str">
        <f aca="false">IF(E653&lt;判定条件!$C$6,"判定不能",IF(F653&gt;=判定条件!$C$7*E653,"運転",IF(F653&lt;=判定条件!$C$8*E653,"停止","断続")))</f>
        <v>停止</v>
      </c>
      <c r="H653" s="30" t="n">
        <v>60</v>
      </c>
      <c r="I653" s="30" t="n">
        <v>0</v>
      </c>
      <c r="J653" s="30" t="str">
        <f aca="false">IF(H653&lt;判定条件!$C$6,"判定不能",IF(I653&gt;=判定条件!$C$7*H653,"運転",IF(I653&lt;=判定条件!$C$8*H653,"停止","断続")))</f>
        <v>停止</v>
      </c>
      <c r="K653" s="30" t="n">
        <v>60</v>
      </c>
      <c r="L653" s="30" t="n">
        <v>0</v>
      </c>
      <c r="M653" s="30" t="str">
        <f aca="false">IF(K653&lt;判定条件!$C$6,"判定不能",IF(L653&gt;=判定条件!$C$7*K653,"運転",IF(L653&lt;=判定条件!$C$8*K653,"停止","断続")))</f>
        <v>停止</v>
      </c>
      <c r="N653" s="30" t="n">
        <v>60</v>
      </c>
      <c r="O653" s="30" t="n">
        <v>0</v>
      </c>
      <c r="P653" s="30" t="str">
        <f aca="false">IF(N653&lt;判定条件!$C$6,"判定不能",IF(O653&gt;=判定条件!$C$7*N653,"運転",IF(O653&lt;=判定条件!$C$8*N653,"停止","断続")))</f>
        <v>停止</v>
      </c>
      <c r="Q653" s="30" t="n">
        <v>0</v>
      </c>
      <c r="R653" s="30" t="n">
        <v>0</v>
      </c>
      <c r="S653" s="30" t="str">
        <f aca="false">IF(Q653&lt;判定条件!$C$6,"判定不能",IF(R653&gt;=判定条件!$C$7*Q653,"運転",IF(R653&lt;=判定条件!$C$8*Q653,"停止","断続")))</f>
        <v>判定不能</v>
      </c>
      <c r="T653" s="30" t="n">
        <v>60</v>
      </c>
      <c r="U653" s="30" t="n">
        <v>0</v>
      </c>
      <c r="V653" s="30" t="str">
        <f aca="false">IF(T653&lt;判定条件!$C$6,"判定不能",IF(U653&gt;=判定条件!$C$7*T653,"運転",IF(U653&lt;=判定条件!$C$8*T653,"停止","断続")))</f>
        <v>停止</v>
      </c>
      <c r="W653" s="30" t="n">
        <v>60</v>
      </c>
      <c r="X653" s="30" t="n">
        <v>0</v>
      </c>
      <c r="Y653" s="30" t="str">
        <f aca="false">IF(W653&lt;判定条件!$C$6,"判定不能",IF(X653&gt;=判定条件!$C$7*W653,"運転",IF(X653&lt;=判定条件!$C$8*W653,"停止","断続")))</f>
        <v>停止</v>
      </c>
      <c r="Z653" s="30" t="n">
        <v>60</v>
      </c>
      <c r="AA653" s="30" t="n">
        <v>0</v>
      </c>
      <c r="AB653" s="30" t="str">
        <f aca="false">IF(Z653&lt;判定条件!$C$6,"判定不能",IF(AA653&gt;=判定条件!$C$7*Z653,"運転",IF(AA653&lt;=判定条件!$C$8*Z653,"停止","断続")))</f>
        <v>停止</v>
      </c>
      <c r="AC653" s="30" t="n">
        <v>60</v>
      </c>
      <c r="AD653" s="30" t="n">
        <v>0</v>
      </c>
      <c r="AE653" s="30" t="str">
        <f aca="false">IF(AC653&lt;判定条件!$C$6,"判定不能",IF(AD653&gt;=判定条件!$C$7*AC653,"運転",IF(AD653&lt;=判定条件!$C$8*AC653,"停止","断続")))</f>
        <v>停止</v>
      </c>
      <c r="AF653" s="30" t="n">
        <v>60</v>
      </c>
      <c r="AG653" s="30" t="n">
        <v>0</v>
      </c>
      <c r="AH653" s="30" t="str">
        <f aca="false">IF(OR(P653="判定不能",G653="判定不能"),"判定不能",IF(AG653&gt;=判定条件!$C$9,"利用可",IF(AND(P653="停止",G653="停止"),"両方停止","運転がそろわない")))</f>
        <v>両方停止</v>
      </c>
      <c r="AI653" s="30" t="n">
        <v>0</v>
      </c>
      <c r="AJ653" s="30" t="n">
        <v>0</v>
      </c>
      <c r="AK653" s="30" t="str">
        <f aca="false">IF(OR(S653="判定不能",J653="判定不能"),"判定不能",IF(AJ653&gt;=判定条件!$C$9,"利用可",IF(AND(S653="停止",J653="停止"),"両方停止","運転がそろわない")))</f>
        <v>判定不能</v>
      </c>
      <c r="AL653" s="30" t="n">
        <v>60</v>
      </c>
      <c r="AM653" s="30" t="n">
        <v>0</v>
      </c>
      <c r="AN653" s="30" t="str">
        <f aca="false">IF(OR(V653="判定不能",M653="判定不能"),"判定不能",IF(AM653&gt;=判定条件!$C$9,"利用可",IF(AND(V653="停止",M653="停止"),"両方停止","運転がそろわない")))</f>
        <v>両方停止</v>
      </c>
      <c r="AO653" s="30" t="n">
        <v>60</v>
      </c>
      <c r="AP653" s="30" t="n">
        <v>0</v>
      </c>
      <c r="AQ653" s="30" t="str">
        <f aca="false">IF(OR(Y653="判定不能",G653="判定不能"),"判定不能",IF(AP653&gt;=判定条件!$C$9,"利用可",IF(AND(Y653="停止",G653="停止"),"両方停止","運転がそろわない")))</f>
        <v>両方停止</v>
      </c>
      <c r="AR653" s="30" t="n">
        <v>60</v>
      </c>
      <c r="AS653" s="30" t="n">
        <v>0</v>
      </c>
      <c r="AT653" s="30" t="str">
        <f aca="false">IF(OR(AB653="判定不能",J653="判定不能"),"判定不能",IF(AS653&gt;=判定条件!$C$9,"利用可",IF(AND(AB653="停止",J653="停止"),"両方停止","運転がそろわない")))</f>
        <v>両方停止</v>
      </c>
      <c r="AU653" s="30" t="n">
        <v>60</v>
      </c>
      <c r="AV653" s="30" t="n">
        <v>0</v>
      </c>
      <c r="AW653" s="30" t="str">
        <f aca="false">IF(OR(AE653="判定不能",M653="判定不能"),"判定不能",IF(AV653&gt;=判定条件!$C$9,"利用可",IF(AND(AE653="停止",M653="停止"),"両方停止","運転がそろわない")))</f>
        <v>両方停止</v>
      </c>
      <c r="AX653" s="30" t="str">
        <f aca="false">IF(AND(AH653="利用可",AK653="利用可",AN653="利用可"),"利用可","不可")</f>
        <v>不可</v>
      </c>
      <c r="AY653" s="30" t="str">
        <f aca="false">IF(AND(AQ653="利用可",AT653="利用可",AW653="利用可"),"利用可","不可")</f>
        <v>不可</v>
      </c>
    </row>
    <row r="654" customFormat="false" ht="15" hidden="false" customHeight="false" outlineLevel="0" collapsed="false">
      <c r="A654" s="29" t="n">
        <v>46259</v>
      </c>
      <c r="B654" s="30" t="n">
        <v>3</v>
      </c>
      <c r="C654" s="31" t="s">
        <v>67</v>
      </c>
      <c r="D654" s="31" t="s">
        <v>59</v>
      </c>
      <c r="E654" s="30" t="n">
        <v>60</v>
      </c>
      <c r="F654" s="30" t="n">
        <v>0</v>
      </c>
      <c r="G654" s="30" t="str">
        <f aca="false">IF(E654&lt;判定条件!$C$6,"判定不能",IF(F654&gt;=判定条件!$C$7*E654,"運転",IF(F654&lt;=判定条件!$C$8*E654,"停止","断続")))</f>
        <v>停止</v>
      </c>
      <c r="H654" s="30" t="n">
        <v>60</v>
      </c>
      <c r="I654" s="30" t="n">
        <v>0</v>
      </c>
      <c r="J654" s="30" t="str">
        <f aca="false">IF(H654&lt;判定条件!$C$6,"判定不能",IF(I654&gt;=判定条件!$C$7*H654,"運転",IF(I654&lt;=判定条件!$C$8*H654,"停止","断続")))</f>
        <v>停止</v>
      </c>
      <c r="K654" s="30" t="n">
        <v>60</v>
      </c>
      <c r="L654" s="30" t="n">
        <v>0</v>
      </c>
      <c r="M654" s="30" t="str">
        <f aca="false">IF(K654&lt;判定条件!$C$6,"判定不能",IF(L654&gt;=判定条件!$C$7*K654,"運転",IF(L654&lt;=判定条件!$C$8*K654,"停止","断続")))</f>
        <v>停止</v>
      </c>
      <c r="N654" s="30" t="n">
        <v>60</v>
      </c>
      <c r="O654" s="30" t="n">
        <v>0</v>
      </c>
      <c r="P654" s="30" t="str">
        <f aca="false">IF(N654&lt;判定条件!$C$6,"判定不能",IF(O654&gt;=判定条件!$C$7*N654,"運転",IF(O654&lt;=判定条件!$C$8*N654,"停止","断続")))</f>
        <v>停止</v>
      </c>
      <c r="Q654" s="30" t="n">
        <v>0</v>
      </c>
      <c r="R654" s="30" t="n">
        <v>0</v>
      </c>
      <c r="S654" s="30" t="str">
        <f aca="false">IF(Q654&lt;判定条件!$C$6,"判定不能",IF(R654&gt;=判定条件!$C$7*Q654,"運転",IF(R654&lt;=判定条件!$C$8*Q654,"停止","断続")))</f>
        <v>判定不能</v>
      </c>
      <c r="T654" s="30" t="n">
        <v>60</v>
      </c>
      <c r="U654" s="30" t="n">
        <v>0</v>
      </c>
      <c r="V654" s="30" t="str">
        <f aca="false">IF(T654&lt;判定条件!$C$6,"判定不能",IF(U654&gt;=判定条件!$C$7*T654,"運転",IF(U654&lt;=判定条件!$C$8*T654,"停止","断続")))</f>
        <v>停止</v>
      </c>
      <c r="W654" s="30" t="n">
        <v>60</v>
      </c>
      <c r="X654" s="30" t="n">
        <v>0</v>
      </c>
      <c r="Y654" s="30" t="str">
        <f aca="false">IF(W654&lt;判定条件!$C$6,"判定不能",IF(X654&gt;=判定条件!$C$7*W654,"運転",IF(X654&lt;=判定条件!$C$8*W654,"停止","断続")))</f>
        <v>停止</v>
      </c>
      <c r="Z654" s="30" t="n">
        <v>60</v>
      </c>
      <c r="AA654" s="30" t="n">
        <v>0</v>
      </c>
      <c r="AB654" s="30" t="str">
        <f aca="false">IF(Z654&lt;判定条件!$C$6,"判定不能",IF(AA654&gt;=判定条件!$C$7*Z654,"運転",IF(AA654&lt;=判定条件!$C$8*Z654,"停止","断続")))</f>
        <v>停止</v>
      </c>
      <c r="AC654" s="30" t="n">
        <v>60</v>
      </c>
      <c r="AD654" s="30" t="n">
        <v>0</v>
      </c>
      <c r="AE654" s="30" t="str">
        <f aca="false">IF(AC654&lt;判定条件!$C$6,"判定不能",IF(AD654&gt;=判定条件!$C$7*AC654,"運転",IF(AD654&lt;=判定条件!$C$8*AC654,"停止","断続")))</f>
        <v>停止</v>
      </c>
      <c r="AF654" s="30" t="n">
        <v>60</v>
      </c>
      <c r="AG654" s="30" t="n">
        <v>0</v>
      </c>
      <c r="AH654" s="30" t="str">
        <f aca="false">IF(OR(P654="判定不能",G654="判定不能"),"判定不能",IF(AG654&gt;=判定条件!$C$9,"利用可",IF(AND(P654="停止",G654="停止"),"両方停止","運転がそろわない")))</f>
        <v>両方停止</v>
      </c>
      <c r="AI654" s="30" t="n">
        <v>0</v>
      </c>
      <c r="AJ654" s="30" t="n">
        <v>0</v>
      </c>
      <c r="AK654" s="30" t="str">
        <f aca="false">IF(OR(S654="判定不能",J654="判定不能"),"判定不能",IF(AJ654&gt;=判定条件!$C$9,"利用可",IF(AND(S654="停止",J654="停止"),"両方停止","運転がそろわない")))</f>
        <v>判定不能</v>
      </c>
      <c r="AL654" s="30" t="n">
        <v>60</v>
      </c>
      <c r="AM654" s="30" t="n">
        <v>0</v>
      </c>
      <c r="AN654" s="30" t="str">
        <f aca="false">IF(OR(V654="判定不能",M654="判定不能"),"判定不能",IF(AM654&gt;=判定条件!$C$9,"利用可",IF(AND(V654="停止",M654="停止"),"両方停止","運転がそろわない")))</f>
        <v>両方停止</v>
      </c>
      <c r="AO654" s="30" t="n">
        <v>60</v>
      </c>
      <c r="AP654" s="30" t="n">
        <v>0</v>
      </c>
      <c r="AQ654" s="30" t="str">
        <f aca="false">IF(OR(Y654="判定不能",G654="判定不能"),"判定不能",IF(AP654&gt;=判定条件!$C$9,"利用可",IF(AND(Y654="停止",G654="停止"),"両方停止","運転がそろわない")))</f>
        <v>両方停止</v>
      </c>
      <c r="AR654" s="30" t="n">
        <v>60</v>
      </c>
      <c r="AS654" s="30" t="n">
        <v>0</v>
      </c>
      <c r="AT654" s="30" t="str">
        <f aca="false">IF(OR(AB654="判定不能",J654="判定不能"),"判定不能",IF(AS654&gt;=判定条件!$C$9,"利用可",IF(AND(AB654="停止",J654="停止"),"両方停止","運転がそろわない")))</f>
        <v>両方停止</v>
      </c>
      <c r="AU654" s="30" t="n">
        <v>60</v>
      </c>
      <c r="AV654" s="30" t="n">
        <v>0</v>
      </c>
      <c r="AW654" s="30" t="str">
        <f aca="false">IF(OR(AE654="判定不能",M654="判定不能"),"判定不能",IF(AV654&gt;=判定条件!$C$9,"利用可",IF(AND(AE654="停止",M654="停止"),"両方停止","運転がそろわない")))</f>
        <v>両方停止</v>
      </c>
      <c r="AX654" s="30" t="str">
        <f aca="false">IF(AND(AH654="利用可",AK654="利用可",AN654="利用可"),"利用可","不可")</f>
        <v>不可</v>
      </c>
      <c r="AY654" s="30" t="str">
        <f aca="false">IF(AND(AQ654="利用可",AT654="利用可",AW654="利用可"),"利用可","不可")</f>
        <v>不可</v>
      </c>
    </row>
    <row r="655" customFormat="false" ht="15" hidden="false" customHeight="false" outlineLevel="0" collapsed="false">
      <c r="A655" s="29" t="n">
        <v>46259</v>
      </c>
      <c r="B655" s="30" t="n">
        <v>4</v>
      </c>
      <c r="C655" s="31" t="s">
        <v>67</v>
      </c>
      <c r="D655" s="31" t="s">
        <v>59</v>
      </c>
      <c r="E655" s="30" t="n">
        <v>60</v>
      </c>
      <c r="F655" s="30" t="n">
        <v>0</v>
      </c>
      <c r="G655" s="30" t="str">
        <f aca="false">IF(E655&lt;判定条件!$C$6,"判定不能",IF(F655&gt;=判定条件!$C$7*E655,"運転",IF(F655&lt;=判定条件!$C$8*E655,"停止","断続")))</f>
        <v>停止</v>
      </c>
      <c r="H655" s="30" t="n">
        <v>60</v>
      </c>
      <c r="I655" s="30" t="n">
        <v>0</v>
      </c>
      <c r="J655" s="30" t="str">
        <f aca="false">IF(H655&lt;判定条件!$C$6,"判定不能",IF(I655&gt;=判定条件!$C$7*H655,"運転",IF(I655&lt;=判定条件!$C$8*H655,"停止","断続")))</f>
        <v>停止</v>
      </c>
      <c r="K655" s="30" t="n">
        <v>60</v>
      </c>
      <c r="L655" s="30" t="n">
        <v>0</v>
      </c>
      <c r="M655" s="30" t="str">
        <f aca="false">IF(K655&lt;判定条件!$C$6,"判定不能",IF(L655&gt;=判定条件!$C$7*K655,"運転",IF(L655&lt;=判定条件!$C$8*K655,"停止","断続")))</f>
        <v>停止</v>
      </c>
      <c r="N655" s="30" t="n">
        <v>60</v>
      </c>
      <c r="O655" s="30" t="n">
        <v>0</v>
      </c>
      <c r="P655" s="30" t="str">
        <f aca="false">IF(N655&lt;判定条件!$C$6,"判定不能",IF(O655&gt;=判定条件!$C$7*N655,"運転",IF(O655&lt;=判定条件!$C$8*N655,"停止","断続")))</f>
        <v>停止</v>
      </c>
      <c r="Q655" s="30" t="n">
        <v>0</v>
      </c>
      <c r="R655" s="30" t="n">
        <v>0</v>
      </c>
      <c r="S655" s="30" t="str">
        <f aca="false">IF(Q655&lt;判定条件!$C$6,"判定不能",IF(R655&gt;=判定条件!$C$7*Q655,"運転",IF(R655&lt;=判定条件!$C$8*Q655,"停止","断続")))</f>
        <v>判定不能</v>
      </c>
      <c r="T655" s="30" t="n">
        <v>60</v>
      </c>
      <c r="U655" s="30" t="n">
        <v>0</v>
      </c>
      <c r="V655" s="30" t="str">
        <f aca="false">IF(T655&lt;判定条件!$C$6,"判定不能",IF(U655&gt;=判定条件!$C$7*T655,"運転",IF(U655&lt;=判定条件!$C$8*T655,"停止","断続")))</f>
        <v>停止</v>
      </c>
      <c r="W655" s="30" t="n">
        <v>60</v>
      </c>
      <c r="X655" s="30" t="n">
        <v>0</v>
      </c>
      <c r="Y655" s="30" t="str">
        <f aca="false">IF(W655&lt;判定条件!$C$6,"判定不能",IF(X655&gt;=判定条件!$C$7*W655,"運転",IF(X655&lt;=判定条件!$C$8*W655,"停止","断続")))</f>
        <v>停止</v>
      </c>
      <c r="Z655" s="30" t="n">
        <v>60</v>
      </c>
      <c r="AA655" s="30" t="n">
        <v>0</v>
      </c>
      <c r="AB655" s="30" t="str">
        <f aca="false">IF(Z655&lt;判定条件!$C$6,"判定不能",IF(AA655&gt;=判定条件!$C$7*Z655,"運転",IF(AA655&lt;=判定条件!$C$8*Z655,"停止","断続")))</f>
        <v>停止</v>
      </c>
      <c r="AC655" s="30" t="n">
        <v>60</v>
      </c>
      <c r="AD655" s="30" t="n">
        <v>0</v>
      </c>
      <c r="AE655" s="30" t="str">
        <f aca="false">IF(AC655&lt;判定条件!$C$6,"判定不能",IF(AD655&gt;=判定条件!$C$7*AC655,"運転",IF(AD655&lt;=判定条件!$C$8*AC655,"停止","断続")))</f>
        <v>停止</v>
      </c>
      <c r="AF655" s="30" t="n">
        <v>60</v>
      </c>
      <c r="AG655" s="30" t="n">
        <v>0</v>
      </c>
      <c r="AH655" s="30" t="str">
        <f aca="false">IF(OR(P655="判定不能",G655="判定不能"),"判定不能",IF(AG655&gt;=判定条件!$C$9,"利用可",IF(AND(P655="停止",G655="停止"),"両方停止","運転がそろわない")))</f>
        <v>両方停止</v>
      </c>
      <c r="AI655" s="30" t="n">
        <v>0</v>
      </c>
      <c r="AJ655" s="30" t="n">
        <v>0</v>
      </c>
      <c r="AK655" s="30" t="str">
        <f aca="false">IF(OR(S655="判定不能",J655="判定不能"),"判定不能",IF(AJ655&gt;=判定条件!$C$9,"利用可",IF(AND(S655="停止",J655="停止"),"両方停止","運転がそろわない")))</f>
        <v>判定不能</v>
      </c>
      <c r="AL655" s="30" t="n">
        <v>60</v>
      </c>
      <c r="AM655" s="30" t="n">
        <v>0</v>
      </c>
      <c r="AN655" s="30" t="str">
        <f aca="false">IF(OR(V655="判定不能",M655="判定不能"),"判定不能",IF(AM655&gt;=判定条件!$C$9,"利用可",IF(AND(V655="停止",M655="停止"),"両方停止","運転がそろわない")))</f>
        <v>両方停止</v>
      </c>
      <c r="AO655" s="30" t="n">
        <v>60</v>
      </c>
      <c r="AP655" s="30" t="n">
        <v>0</v>
      </c>
      <c r="AQ655" s="30" t="str">
        <f aca="false">IF(OR(Y655="判定不能",G655="判定不能"),"判定不能",IF(AP655&gt;=判定条件!$C$9,"利用可",IF(AND(Y655="停止",G655="停止"),"両方停止","運転がそろわない")))</f>
        <v>両方停止</v>
      </c>
      <c r="AR655" s="30" t="n">
        <v>60</v>
      </c>
      <c r="AS655" s="30" t="n">
        <v>0</v>
      </c>
      <c r="AT655" s="30" t="str">
        <f aca="false">IF(OR(AB655="判定不能",J655="判定不能"),"判定不能",IF(AS655&gt;=判定条件!$C$9,"利用可",IF(AND(AB655="停止",J655="停止"),"両方停止","運転がそろわない")))</f>
        <v>両方停止</v>
      </c>
      <c r="AU655" s="30" t="n">
        <v>60</v>
      </c>
      <c r="AV655" s="30" t="n">
        <v>0</v>
      </c>
      <c r="AW655" s="30" t="str">
        <f aca="false">IF(OR(AE655="判定不能",M655="判定不能"),"判定不能",IF(AV655&gt;=判定条件!$C$9,"利用可",IF(AND(AE655="停止",M655="停止"),"両方停止","運転がそろわない")))</f>
        <v>両方停止</v>
      </c>
      <c r="AX655" s="30" t="str">
        <f aca="false">IF(AND(AH655="利用可",AK655="利用可",AN655="利用可"),"利用可","不可")</f>
        <v>不可</v>
      </c>
      <c r="AY655" s="30" t="str">
        <f aca="false">IF(AND(AQ655="利用可",AT655="利用可",AW655="利用可"),"利用可","不可")</f>
        <v>不可</v>
      </c>
    </row>
    <row r="656" customFormat="false" ht="15" hidden="false" customHeight="false" outlineLevel="0" collapsed="false">
      <c r="A656" s="29" t="n">
        <v>46259</v>
      </c>
      <c r="B656" s="30" t="n">
        <v>5</v>
      </c>
      <c r="C656" s="31" t="s">
        <v>67</v>
      </c>
      <c r="D656" s="31" t="s">
        <v>59</v>
      </c>
      <c r="E656" s="30" t="n">
        <v>60</v>
      </c>
      <c r="F656" s="30" t="n">
        <v>0</v>
      </c>
      <c r="G656" s="30" t="str">
        <f aca="false">IF(E656&lt;判定条件!$C$6,"判定不能",IF(F656&gt;=判定条件!$C$7*E656,"運転",IF(F656&lt;=判定条件!$C$8*E656,"停止","断続")))</f>
        <v>停止</v>
      </c>
      <c r="H656" s="30" t="n">
        <v>60</v>
      </c>
      <c r="I656" s="30" t="n">
        <v>0</v>
      </c>
      <c r="J656" s="30" t="str">
        <f aca="false">IF(H656&lt;判定条件!$C$6,"判定不能",IF(I656&gt;=判定条件!$C$7*H656,"運転",IF(I656&lt;=判定条件!$C$8*H656,"停止","断続")))</f>
        <v>停止</v>
      </c>
      <c r="K656" s="30" t="n">
        <v>60</v>
      </c>
      <c r="L656" s="30" t="n">
        <v>0</v>
      </c>
      <c r="M656" s="30" t="str">
        <f aca="false">IF(K656&lt;判定条件!$C$6,"判定不能",IF(L656&gt;=判定条件!$C$7*K656,"運転",IF(L656&lt;=判定条件!$C$8*K656,"停止","断続")))</f>
        <v>停止</v>
      </c>
      <c r="N656" s="30" t="n">
        <v>60</v>
      </c>
      <c r="O656" s="30" t="n">
        <v>0</v>
      </c>
      <c r="P656" s="30" t="str">
        <f aca="false">IF(N656&lt;判定条件!$C$6,"判定不能",IF(O656&gt;=判定条件!$C$7*N656,"運転",IF(O656&lt;=判定条件!$C$8*N656,"停止","断続")))</f>
        <v>停止</v>
      </c>
      <c r="Q656" s="30" t="n">
        <v>0</v>
      </c>
      <c r="R656" s="30" t="n">
        <v>0</v>
      </c>
      <c r="S656" s="30" t="str">
        <f aca="false">IF(Q656&lt;判定条件!$C$6,"判定不能",IF(R656&gt;=判定条件!$C$7*Q656,"運転",IF(R656&lt;=判定条件!$C$8*Q656,"停止","断続")))</f>
        <v>判定不能</v>
      </c>
      <c r="T656" s="30" t="n">
        <v>60</v>
      </c>
      <c r="U656" s="30" t="n">
        <v>0</v>
      </c>
      <c r="V656" s="30" t="str">
        <f aca="false">IF(T656&lt;判定条件!$C$6,"判定不能",IF(U656&gt;=判定条件!$C$7*T656,"運転",IF(U656&lt;=判定条件!$C$8*T656,"停止","断続")))</f>
        <v>停止</v>
      </c>
      <c r="W656" s="30" t="n">
        <v>60</v>
      </c>
      <c r="X656" s="30" t="n">
        <v>0</v>
      </c>
      <c r="Y656" s="30" t="str">
        <f aca="false">IF(W656&lt;判定条件!$C$6,"判定不能",IF(X656&gt;=判定条件!$C$7*W656,"運転",IF(X656&lt;=判定条件!$C$8*W656,"停止","断続")))</f>
        <v>停止</v>
      </c>
      <c r="Z656" s="30" t="n">
        <v>60</v>
      </c>
      <c r="AA656" s="30" t="n">
        <v>0</v>
      </c>
      <c r="AB656" s="30" t="str">
        <f aca="false">IF(Z656&lt;判定条件!$C$6,"判定不能",IF(AA656&gt;=判定条件!$C$7*Z656,"運転",IF(AA656&lt;=判定条件!$C$8*Z656,"停止","断続")))</f>
        <v>停止</v>
      </c>
      <c r="AC656" s="30" t="n">
        <v>60</v>
      </c>
      <c r="AD656" s="30" t="n">
        <v>0</v>
      </c>
      <c r="AE656" s="30" t="str">
        <f aca="false">IF(AC656&lt;判定条件!$C$6,"判定不能",IF(AD656&gt;=判定条件!$C$7*AC656,"運転",IF(AD656&lt;=判定条件!$C$8*AC656,"停止","断続")))</f>
        <v>停止</v>
      </c>
      <c r="AF656" s="30" t="n">
        <v>60</v>
      </c>
      <c r="AG656" s="30" t="n">
        <v>0</v>
      </c>
      <c r="AH656" s="30" t="str">
        <f aca="false">IF(OR(P656="判定不能",G656="判定不能"),"判定不能",IF(AG656&gt;=判定条件!$C$9,"利用可",IF(AND(P656="停止",G656="停止"),"両方停止","運転がそろわない")))</f>
        <v>両方停止</v>
      </c>
      <c r="AI656" s="30" t="n">
        <v>0</v>
      </c>
      <c r="AJ656" s="30" t="n">
        <v>0</v>
      </c>
      <c r="AK656" s="30" t="str">
        <f aca="false">IF(OR(S656="判定不能",J656="判定不能"),"判定不能",IF(AJ656&gt;=判定条件!$C$9,"利用可",IF(AND(S656="停止",J656="停止"),"両方停止","運転がそろわない")))</f>
        <v>判定不能</v>
      </c>
      <c r="AL656" s="30" t="n">
        <v>60</v>
      </c>
      <c r="AM656" s="30" t="n">
        <v>0</v>
      </c>
      <c r="AN656" s="30" t="str">
        <f aca="false">IF(OR(V656="判定不能",M656="判定不能"),"判定不能",IF(AM656&gt;=判定条件!$C$9,"利用可",IF(AND(V656="停止",M656="停止"),"両方停止","運転がそろわない")))</f>
        <v>両方停止</v>
      </c>
      <c r="AO656" s="30" t="n">
        <v>60</v>
      </c>
      <c r="AP656" s="30" t="n">
        <v>0</v>
      </c>
      <c r="AQ656" s="30" t="str">
        <f aca="false">IF(OR(Y656="判定不能",G656="判定不能"),"判定不能",IF(AP656&gt;=判定条件!$C$9,"利用可",IF(AND(Y656="停止",G656="停止"),"両方停止","運転がそろわない")))</f>
        <v>両方停止</v>
      </c>
      <c r="AR656" s="30" t="n">
        <v>60</v>
      </c>
      <c r="AS656" s="30" t="n">
        <v>0</v>
      </c>
      <c r="AT656" s="30" t="str">
        <f aca="false">IF(OR(AB656="判定不能",J656="判定不能"),"判定不能",IF(AS656&gt;=判定条件!$C$9,"利用可",IF(AND(AB656="停止",J656="停止"),"両方停止","運転がそろわない")))</f>
        <v>両方停止</v>
      </c>
      <c r="AU656" s="30" t="n">
        <v>60</v>
      </c>
      <c r="AV656" s="30" t="n">
        <v>0</v>
      </c>
      <c r="AW656" s="30" t="str">
        <f aca="false">IF(OR(AE656="判定不能",M656="判定不能"),"判定不能",IF(AV656&gt;=判定条件!$C$9,"利用可",IF(AND(AE656="停止",M656="停止"),"両方停止","運転がそろわない")))</f>
        <v>両方停止</v>
      </c>
      <c r="AX656" s="30" t="str">
        <f aca="false">IF(AND(AH656="利用可",AK656="利用可",AN656="利用可"),"利用可","不可")</f>
        <v>不可</v>
      </c>
      <c r="AY656" s="30" t="str">
        <f aca="false">IF(AND(AQ656="利用可",AT656="利用可",AW656="利用可"),"利用可","不可")</f>
        <v>不可</v>
      </c>
    </row>
    <row r="657" customFormat="false" ht="15" hidden="false" customHeight="false" outlineLevel="0" collapsed="false">
      <c r="A657" s="29" t="n">
        <v>46259</v>
      </c>
      <c r="B657" s="30" t="n">
        <v>6</v>
      </c>
      <c r="C657" s="31" t="s">
        <v>67</v>
      </c>
      <c r="D657" s="31" t="s">
        <v>59</v>
      </c>
      <c r="E657" s="30" t="n">
        <v>60</v>
      </c>
      <c r="F657" s="30" t="n">
        <v>0</v>
      </c>
      <c r="G657" s="30" t="str">
        <f aca="false">IF(E657&lt;判定条件!$C$6,"判定不能",IF(F657&gt;=判定条件!$C$7*E657,"運転",IF(F657&lt;=判定条件!$C$8*E657,"停止","断続")))</f>
        <v>停止</v>
      </c>
      <c r="H657" s="30" t="n">
        <v>60</v>
      </c>
      <c r="I657" s="30" t="n">
        <v>0</v>
      </c>
      <c r="J657" s="30" t="str">
        <f aca="false">IF(H657&lt;判定条件!$C$6,"判定不能",IF(I657&gt;=判定条件!$C$7*H657,"運転",IF(I657&lt;=判定条件!$C$8*H657,"停止","断続")))</f>
        <v>停止</v>
      </c>
      <c r="K657" s="30" t="n">
        <v>60</v>
      </c>
      <c r="L657" s="30" t="n">
        <v>0</v>
      </c>
      <c r="M657" s="30" t="str">
        <f aca="false">IF(K657&lt;判定条件!$C$6,"判定不能",IF(L657&gt;=判定条件!$C$7*K657,"運転",IF(L657&lt;=判定条件!$C$8*K657,"停止","断続")))</f>
        <v>停止</v>
      </c>
      <c r="N657" s="30" t="n">
        <v>60</v>
      </c>
      <c r="O657" s="30" t="n">
        <v>0</v>
      </c>
      <c r="P657" s="30" t="str">
        <f aca="false">IF(N657&lt;判定条件!$C$6,"判定不能",IF(O657&gt;=判定条件!$C$7*N657,"運転",IF(O657&lt;=判定条件!$C$8*N657,"停止","断続")))</f>
        <v>停止</v>
      </c>
      <c r="Q657" s="30" t="n">
        <v>0</v>
      </c>
      <c r="R657" s="30" t="n">
        <v>0</v>
      </c>
      <c r="S657" s="30" t="str">
        <f aca="false">IF(Q657&lt;判定条件!$C$6,"判定不能",IF(R657&gt;=判定条件!$C$7*Q657,"運転",IF(R657&lt;=判定条件!$C$8*Q657,"停止","断続")))</f>
        <v>判定不能</v>
      </c>
      <c r="T657" s="30" t="n">
        <v>60</v>
      </c>
      <c r="U657" s="30" t="n">
        <v>24</v>
      </c>
      <c r="V657" s="30" t="str">
        <f aca="false">IF(T657&lt;判定条件!$C$6,"判定不能",IF(U657&gt;=判定条件!$C$7*T657,"運転",IF(U657&lt;=判定条件!$C$8*T657,"停止","断続")))</f>
        <v>断続</v>
      </c>
      <c r="W657" s="30" t="n">
        <v>60</v>
      </c>
      <c r="X657" s="30" t="n">
        <v>39</v>
      </c>
      <c r="Y657" s="30" t="str">
        <f aca="false">IF(W657&lt;判定条件!$C$6,"判定不能",IF(X657&gt;=判定条件!$C$7*W657,"運転",IF(X657&lt;=判定条件!$C$8*W657,"停止","断続")))</f>
        <v>断続</v>
      </c>
      <c r="Z657" s="30" t="n">
        <v>60</v>
      </c>
      <c r="AA657" s="30" t="n">
        <v>37</v>
      </c>
      <c r="AB657" s="30" t="str">
        <f aca="false">IF(Z657&lt;判定条件!$C$6,"判定不能",IF(AA657&gt;=判定条件!$C$7*Z657,"運転",IF(AA657&lt;=判定条件!$C$8*Z657,"停止","断続")))</f>
        <v>断続</v>
      </c>
      <c r="AC657" s="30" t="n">
        <v>60</v>
      </c>
      <c r="AD657" s="30" t="n">
        <v>37</v>
      </c>
      <c r="AE657" s="30" t="str">
        <f aca="false">IF(AC657&lt;判定条件!$C$6,"判定不能",IF(AD657&gt;=判定条件!$C$7*AC657,"運転",IF(AD657&lt;=判定条件!$C$8*AC657,"停止","断続")))</f>
        <v>断続</v>
      </c>
      <c r="AF657" s="30" t="n">
        <v>60</v>
      </c>
      <c r="AG657" s="30" t="n">
        <v>0</v>
      </c>
      <c r="AH657" s="30" t="str">
        <f aca="false">IF(OR(P657="判定不能",G657="判定不能"),"判定不能",IF(AG657&gt;=判定条件!$C$9,"利用可",IF(AND(P657="停止",G657="停止"),"両方停止","運転がそろわない")))</f>
        <v>両方停止</v>
      </c>
      <c r="AI657" s="30" t="n">
        <v>0</v>
      </c>
      <c r="AJ657" s="30" t="n">
        <v>0</v>
      </c>
      <c r="AK657" s="30" t="str">
        <f aca="false">IF(OR(S657="判定不能",J657="判定不能"),"判定不能",IF(AJ657&gt;=判定条件!$C$9,"利用可",IF(AND(S657="停止",J657="停止"),"両方停止","運転がそろわない")))</f>
        <v>判定不能</v>
      </c>
      <c r="AL657" s="30" t="n">
        <v>60</v>
      </c>
      <c r="AM657" s="30" t="n">
        <v>0</v>
      </c>
      <c r="AN657" s="30" t="str">
        <f aca="false">IF(OR(V657="判定不能",M657="判定不能"),"判定不能",IF(AM657&gt;=判定条件!$C$9,"利用可",IF(AND(V657="停止",M657="停止"),"両方停止","運転がそろわない")))</f>
        <v>運転がそろわない</v>
      </c>
      <c r="AO657" s="30" t="n">
        <v>60</v>
      </c>
      <c r="AP657" s="30" t="n">
        <v>0</v>
      </c>
      <c r="AQ657" s="30" t="str">
        <f aca="false">IF(OR(Y657="判定不能",G657="判定不能"),"判定不能",IF(AP657&gt;=判定条件!$C$9,"利用可",IF(AND(Y657="停止",G657="停止"),"両方停止","運転がそろわない")))</f>
        <v>運転がそろわない</v>
      </c>
      <c r="AR657" s="30" t="n">
        <v>60</v>
      </c>
      <c r="AS657" s="30" t="n">
        <v>0</v>
      </c>
      <c r="AT657" s="30" t="str">
        <f aca="false">IF(OR(AB657="判定不能",J657="判定不能"),"判定不能",IF(AS657&gt;=判定条件!$C$9,"利用可",IF(AND(AB657="停止",J657="停止"),"両方停止","運転がそろわない")))</f>
        <v>運転がそろわない</v>
      </c>
      <c r="AU657" s="30" t="n">
        <v>60</v>
      </c>
      <c r="AV657" s="30" t="n">
        <v>0</v>
      </c>
      <c r="AW657" s="30" t="str">
        <f aca="false">IF(OR(AE657="判定不能",M657="判定不能"),"判定不能",IF(AV657&gt;=判定条件!$C$9,"利用可",IF(AND(AE657="停止",M657="停止"),"両方停止","運転がそろわない")))</f>
        <v>運転がそろわない</v>
      </c>
      <c r="AX657" s="30" t="str">
        <f aca="false">IF(AND(AH657="利用可",AK657="利用可",AN657="利用可"),"利用可","不可")</f>
        <v>不可</v>
      </c>
      <c r="AY657" s="30" t="str">
        <f aca="false">IF(AND(AQ657="利用可",AT657="利用可",AW657="利用可"),"利用可","不可")</f>
        <v>不可</v>
      </c>
    </row>
    <row r="658" customFormat="false" ht="15" hidden="false" customHeight="false" outlineLevel="0" collapsed="false">
      <c r="A658" s="29" t="n">
        <v>46259</v>
      </c>
      <c r="B658" s="30" t="n">
        <v>7</v>
      </c>
      <c r="C658" s="31" t="s">
        <v>67</v>
      </c>
      <c r="D658" s="31" t="s">
        <v>59</v>
      </c>
      <c r="E658" s="30" t="n">
        <v>60</v>
      </c>
      <c r="F658" s="30" t="n">
        <v>3</v>
      </c>
      <c r="G658" s="30" t="str">
        <f aca="false">IF(E658&lt;判定条件!$C$6,"判定不能",IF(F658&gt;=判定条件!$C$7*E658,"運転",IF(F658&lt;=判定条件!$C$8*E658,"停止","断続")))</f>
        <v>停止</v>
      </c>
      <c r="H658" s="30" t="n">
        <v>60</v>
      </c>
      <c r="I658" s="30" t="n">
        <v>0</v>
      </c>
      <c r="J658" s="30" t="str">
        <f aca="false">IF(H658&lt;判定条件!$C$6,"判定不能",IF(I658&gt;=判定条件!$C$7*H658,"運転",IF(I658&lt;=判定条件!$C$8*H658,"停止","断続")))</f>
        <v>停止</v>
      </c>
      <c r="K658" s="30" t="n">
        <v>60</v>
      </c>
      <c r="L658" s="30" t="n">
        <v>0</v>
      </c>
      <c r="M658" s="30" t="str">
        <f aca="false">IF(K658&lt;判定条件!$C$6,"判定不能",IF(L658&gt;=判定条件!$C$7*K658,"運転",IF(L658&lt;=判定条件!$C$8*K658,"停止","断続")))</f>
        <v>停止</v>
      </c>
      <c r="N658" s="30" t="n">
        <v>60</v>
      </c>
      <c r="O658" s="30" t="n">
        <v>35</v>
      </c>
      <c r="P658" s="30" t="str">
        <f aca="false">IF(N658&lt;判定条件!$C$6,"判定不能",IF(O658&gt;=判定条件!$C$7*N658,"運転",IF(O658&lt;=判定条件!$C$8*N658,"停止","断続")))</f>
        <v>断続</v>
      </c>
      <c r="Q658" s="30" t="n">
        <v>0</v>
      </c>
      <c r="R658" s="30" t="n">
        <v>0</v>
      </c>
      <c r="S658" s="30" t="str">
        <f aca="false">IF(Q658&lt;判定条件!$C$6,"判定不能",IF(R658&gt;=判定条件!$C$7*Q658,"運転",IF(R658&lt;=判定条件!$C$8*Q658,"停止","断続")))</f>
        <v>判定不能</v>
      </c>
      <c r="T658" s="30" t="n">
        <v>60</v>
      </c>
      <c r="U658" s="30" t="n">
        <v>48</v>
      </c>
      <c r="V658" s="30" t="str">
        <f aca="false">IF(T658&lt;判定条件!$C$6,"判定不能",IF(U658&gt;=判定条件!$C$7*T658,"運転",IF(U658&lt;=判定条件!$C$8*T658,"停止","断続")))</f>
        <v>運転</v>
      </c>
      <c r="W658" s="30" t="n">
        <v>60</v>
      </c>
      <c r="X658" s="30" t="n">
        <v>34</v>
      </c>
      <c r="Y658" s="30" t="str">
        <f aca="false">IF(W658&lt;判定条件!$C$6,"判定不能",IF(X658&gt;=判定条件!$C$7*W658,"運転",IF(X658&lt;=判定条件!$C$8*W658,"停止","断続")))</f>
        <v>断続</v>
      </c>
      <c r="Z658" s="30" t="n">
        <v>60</v>
      </c>
      <c r="AA658" s="30" t="n">
        <v>60</v>
      </c>
      <c r="AB658" s="30" t="str">
        <f aca="false">IF(Z658&lt;判定条件!$C$6,"判定不能",IF(AA658&gt;=判定条件!$C$7*Z658,"運転",IF(AA658&lt;=判定条件!$C$8*Z658,"停止","断続")))</f>
        <v>運転</v>
      </c>
      <c r="AC658" s="30" t="n">
        <v>60</v>
      </c>
      <c r="AD658" s="30" t="n">
        <v>60</v>
      </c>
      <c r="AE658" s="30" t="str">
        <f aca="false">IF(AC658&lt;判定条件!$C$6,"判定不能",IF(AD658&gt;=判定条件!$C$7*AC658,"運転",IF(AD658&lt;=判定条件!$C$8*AC658,"停止","断続")))</f>
        <v>運転</v>
      </c>
      <c r="AF658" s="30" t="n">
        <v>60</v>
      </c>
      <c r="AG658" s="30" t="n">
        <v>3</v>
      </c>
      <c r="AH658" s="30" t="str">
        <f aca="false">IF(OR(P658="判定不能",G658="判定不能"),"判定不能",IF(AG658&gt;=判定条件!$C$9,"利用可",IF(AND(P658="停止",G658="停止"),"両方停止","運転がそろわない")))</f>
        <v>運転がそろわない</v>
      </c>
      <c r="AI658" s="30" t="n">
        <v>0</v>
      </c>
      <c r="AJ658" s="30" t="n">
        <v>0</v>
      </c>
      <c r="AK658" s="30" t="str">
        <f aca="false">IF(OR(S658="判定不能",J658="判定不能"),"判定不能",IF(AJ658&gt;=判定条件!$C$9,"利用可",IF(AND(S658="停止",J658="停止"),"両方停止","運転がそろわない")))</f>
        <v>判定不能</v>
      </c>
      <c r="AL658" s="30" t="n">
        <v>60</v>
      </c>
      <c r="AM658" s="30" t="n">
        <v>0</v>
      </c>
      <c r="AN658" s="30" t="str">
        <f aca="false">IF(OR(V658="判定不能",M658="判定不能"),"判定不能",IF(AM658&gt;=判定条件!$C$9,"利用可",IF(AND(V658="停止",M658="停止"),"両方停止","運転がそろわない")))</f>
        <v>運転がそろわない</v>
      </c>
      <c r="AO658" s="30" t="n">
        <v>60</v>
      </c>
      <c r="AP658" s="30" t="n">
        <v>3</v>
      </c>
      <c r="AQ658" s="30" t="str">
        <f aca="false">IF(OR(Y658="判定不能",G658="判定不能"),"判定不能",IF(AP658&gt;=判定条件!$C$9,"利用可",IF(AND(Y658="停止",G658="停止"),"両方停止","運転がそろわない")))</f>
        <v>運転がそろわない</v>
      </c>
      <c r="AR658" s="30" t="n">
        <v>60</v>
      </c>
      <c r="AS658" s="30" t="n">
        <v>0</v>
      </c>
      <c r="AT658" s="30" t="str">
        <f aca="false">IF(OR(AB658="判定不能",J658="判定不能"),"判定不能",IF(AS658&gt;=判定条件!$C$9,"利用可",IF(AND(AB658="停止",J658="停止"),"両方停止","運転がそろわない")))</f>
        <v>運転がそろわない</v>
      </c>
      <c r="AU658" s="30" t="n">
        <v>60</v>
      </c>
      <c r="AV658" s="30" t="n">
        <v>0</v>
      </c>
      <c r="AW658" s="30" t="str">
        <f aca="false">IF(OR(AE658="判定不能",M658="判定不能"),"判定不能",IF(AV658&gt;=判定条件!$C$9,"利用可",IF(AND(AE658="停止",M658="停止"),"両方停止","運転がそろわない")))</f>
        <v>運転がそろわない</v>
      </c>
      <c r="AX658" s="30" t="str">
        <f aca="false">IF(AND(AH658="利用可",AK658="利用可",AN658="利用可"),"利用可","不可")</f>
        <v>不可</v>
      </c>
      <c r="AY658" s="30" t="str">
        <f aca="false">IF(AND(AQ658="利用可",AT658="利用可",AW658="利用可"),"利用可","不可")</f>
        <v>不可</v>
      </c>
    </row>
    <row r="659" customFormat="false" ht="15" hidden="false" customHeight="false" outlineLevel="0" collapsed="false">
      <c r="A659" s="29" t="n">
        <v>46259</v>
      </c>
      <c r="B659" s="30" t="n">
        <v>8</v>
      </c>
      <c r="C659" s="31" t="s">
        <v>67</v>
      </c>
      <c r="D659" s="31" t="s">
        <v>59</v>
      </c>
      <c r="E659" s="30" t="n">
        <v>60</v>
      </c>
      <c r="F659" s="30" t="n">
        <v>59</v>
      </c>
      <c r="G659" s="30" t="str">
        <f aca="false">IF(E659&lt;判定条件!$C$6,"判定不能",IF(F659&gt;=判定条件!$C$7*E659,"運転",IF(F659&lt;=判定条件!$C$8*E659,"停止","断続")))</f>
        <v>運転</v>
      </c>
      <c r="H659" s="30" t="n">
        <v>60</v>
      </c>
      <c r="I659" s="30" t="n">
        <v>33</v>
      </c>
      <c r="J659" s="30" t="str">
        <f aca="false">IF(H659&lt;判定条件!$C$6,"判定不能",IF(I659&gt;=判定条件!$C$7*H659,"運転",IF(I659&lt;=判定条件!$C$8*H659,"停止","断続")))</f>
        <v>断続</v>
      </c>
      <c r="K659" s="30" t="n">
        <v>60</v>
      </c>
      <c r="L659" s="30" t="n">
        <v>34</v>
      </c>
      <c r="M659" s="30" t="str">
        <f aca="false">IF(K659&lt;判定条件!$C$6,"判定不能",IF(L659&gt;=判定条件!$C$7*K659,"運転",IF(L659&lt;=判定条件!$C$8*K659,"停止","断続")))</f>
        <v>断続</v>
      </c>
      <c r="N659" s="30" t="n">
        <v>60</v>
      </c>
      <c r="O659" s="30" t="n">
        <v>60</v>
      </c>
      <c r="P659" s="30" t="str">
        <f aca="false">IF(N659&lt;判定条件!$C$6,"判定不能",IF(O659&gt;=判定条件!$C$7*N659,"運転",IF(O659&lt;=判定条件!$C$8*N659,"停止","断続")))</f>
        <v>運転</v>
      </c>
      <c r="Q659" s="30" t="n">
        <v>0</v>
      </c>
      <c r="R659" s="30" t="n">
        <v>0</v>
      </c>
      <c r="S659" s="30" t="str">
        <f aca="false">IF(Q659&lt;判定条件!$C$6,"判定不能",IF(R659&gt;=判定条件!$C$7*Q659,"運転",IF(R659&lt;=判定条件!$C$8*Q659,"停止","断続")))</f>
        <v>判定不能</v>
      </c>
      <c r="T659" s="30" t="n">
        <v>60</v>
      </c>
      <c r="U659" s="30" t="n">
        <v>60</v>
      </c>
      <c r="V659" s="30" t="str">
        <f aca="false">IF(T659&lt;判定条件!$C$6,"判定不能",IF(U659&gt;=判定条件!$C$7*T659,"運転",IF(U659&lt;=判定条件!$C$8*T659,"停止","断続")))</f>
        <v>運転</v>
      </c>
      <c r="W659" s="30" t="n">
        <v>60</v>
      </c>
      <c r="X659" s="30" t="n">
        <v>50</v>
      </c>
      <c r="Y659" s="30" t="str">
        <f aca="false">IF(W659&lt;判定条件!$C$6,"判定不能",IF(X659&gt;=判定条件!$C$7*W659,"運転",IF(X659&lt;=判定条件!$C$8*W659,"停止","断続")))</f>
        <v>運転</v>
      </c>
      <c r="Z659" s="30" t="n">
        <v>60</v>
      </c>
      <c r="AA659" s="30" t="n">
        <v>60</v>
      </c>
      <c r="AB659" s="30" t="str">
        <f aca="false">IF(Z659&lt;判定条件!$C$6,"判定不能",IF(AA659&gt;=判定条件!$C$7*Z659,"運転",IF(AA659&lt;=判定条件!$C$8*Z659,"停止","断続")))</f>
        <v>運転</v>
      </c>
      <c r="AC659" s="30" t="n">
        <v>60</v>
      </c>
      <c r="AD659" s="30" t="n">
        <v>60</v>
      </c>
      <c r="AE659" s="30" t="str">
        <f aca="false">IF(AC659&lt;判定条件!$C$6,"判定不能",IF(AD659&gt;=判定条件!$C$7*AC659,"運転",IF(AD659&lt;=判定条件!$C$8*AC659,"停止","断続")))</f>
        <v>運転</v>
      </c>
      <c r="AF659" s="30" t="n">
        <v>60</v>
      </c>
      <c r="AG659" s="30" t="n">
        <v>59</v>
      </c>
      <c r="AH659" s="30" t="str">
        <f aca="false">IF(OR(P659="判定不能",G659="判定不能"),"判定不能",IF(AG659&gt;=判定条件!$C$9,"利用可",IF(AND(P659="停止",G659="停止"),"両方停止","運転がそろわない")))</f>
        <v>利用可</v>
      </c>
      <c r="AI659" s="30" t="n">
        <v>0</v>
      </c>
      <c r="AJ659" s="30" t="n">
        <v>0</v>
      </c>
      <c r="AK659" s="30" t="str">
        <f aca="false">IF(OR(S659="判定不能",J659="判定不能"),"判定不能",IF(AJ659&gt;=判定条件!$C$9,"利用可",IF(AND(S659="停止",J659="停止"),"両方停止","運転がそろわない")))</f>
        <v>判定不能</v>
      </c>
      <c r="AL659" s="30" t="n">
        <v>60</v>
      </c>
      <c r="AM659" s="30" t="n">
        <v>34</v>
      </c>
      <c r="AN659" s="30" t="str">
        <f aca="false">IF(OR(V659="判定不能",M659="判定不能"),"判定不能",IF(AM659&gt;=判定条件!$C$9,"利用可",IF(AND(V659="停止",M659="停止"),"両方停止","運転がそろわない")))</f>
        <v>利用可</v>
      </c>
      <c r="AO659" s="30" t="n">
        <v>60</v>
      </c>
      <c r="AP659" s="30" t="n">
        <v>49</v>
      </c>
      <c r="AQ659" s="30" t="str">
        <f aca="false">IF(OR(Y659="判定不能",G659="判定不能"),"判定不能",IF(AP659&gt;=判定条件!$C$9,"利用可",IF(AND(Y659="停止",G659="停止"),"両方停止","運転がそろわない")))</f>
        <v>利用可</v>
      </c>
      <c r="AR659" s="30" t="n">
        <v>60</v>
      </c>
      <c r="AS659" s="30" t="n">
        <v>33</v>
      </c>
      <c r="AT659" s="30" t="str">
        <f aca="false">IF(OR(AB659="判定不能",J659="判定不能"),"判定不能",IF(AS659&gt;=判定条件!$C$9,"利用可",IF(AND(AB659="停止",J659="停止"),"両方停止","運転がそろわない")))</f>
        <v>利用可</v>
      </c>
      <c r="AU659" s="30" t="n">
        <v>60</v>
      </c>
      <c r="AV659" s="30" t="n">
        <v>34</v>
      </c>
      <c r="AW659" s="30" t="str">
        <f aca="false">IF(OR(AE659="判定不能",M659="判定不能"),"判定不能",IF(AV659&gt;=判定条件!$C$9,"利用可",IF(AND(AE659="停止",M659="停止"),"両方停止","運転がそろわない")))</f>
        <v>利用可</v>
      </c>
      <c r="AX659" s="30" t="str">
        <f aca="false">IF(AND(AH659="利用可",AK659="利用可",AN659="利用可"),"利用可","不可")</f>
        <v>不可</v>
      </c>
      <c r="AY659" s="30" t="str">
        <f aca="false">IF(AND(AQ659="利用可",AT659="利用可",AW659="利用可"),"利用可","不可")</f>
        <v>利用可</v>
      </c>
    </row>
    <row r="660" customFormat="false" ht="15" hidden="false" customHeight="false" outlineLevel="0" collapsed="false">
      <c r="A660" s="29" t="n">
        <v>46259</v>
      </c>
      <c r="B660" s="30" t="n">
        <v>9</v>
      </c>
      <c r="C660" s="31" t="s">
        <v>67</v>
      </c>
      <c r="D660" s="31" t="s">
        <v>59</v>
      </c>
      <c r="E660" s="30" t="n">
        <v>60</v>
      </c>
      <c r="F660" s="30" t="n">
        <v>60</v>
      </c>
      <c r="G660" s="30" t="str">
        <f aca="false">IF(E660&lt;判定条件!$C$6,"判定不能",IF(F660&gt;=判定条件!$C$7*E660,"運転",IF(F660&lt;=判定条件!$C$8*E660,"停止","断続")))</f>
        <v>運転</v>
      </c>
      <c r="H660" s="30" t="n">
        <v>60</v>
      </c>
      <c r="I660" s="30" t="n">
        <v>60</v>
      </c>
      <c r="J660" s="30" t="str">
        <f aca="false">IF(H660&lt;判定条件!$C$6,"判定不能",IF(I660&gt;=判定条件!$C$7*H660,"運転",IF(I660&lt;=判定条件!$C$8*H660,"停止","断続")))</f>
        <v>運転</v>
      </c>
      <c r="K660" s="30" t="n">
        <v>60</v>
      </c>
      <c r="L660" s="30" t="n">
        <v>60</v>
      </c>
      <c r="M660" s="30" t="str">
        <f aca="false">IF(K660&lt;判定条件!$C$6,"判定不能",IF(L660&gt;=判定条件!$C$7*K660,"運転",IF(L660&lt;=判定条件!$C$8*K660,"停止","断続")))</f>
        <v>運転</v>
      </c>
      <c r="N660" s="30" t="n">
        <v>60</v>
      </c>
      <c r="O660" s="30" t="n">
        <v>60</v>
      </c>
      <c r="P660" s="30" t="str">
        <f aca="false">IF(N660&lt;判定条件!$C$6,"判定不能",IF(O660&gt;=判定条件!$C$7*N660,"運転",IF(O660&lt;=判定条件!$C$8*N660,"停止","断続")))</f>
        <v>運転</v>
      </c>
      <c r="Q660" s="30" t="n">
        <v>0</v>
      </c>
      <c r="R660" s="30" t="n">
        <v>0</v>
      </c>
      <c r="S660" s="30" t="str">
        <f aca="false">IF(Q660&lt;判定条件!$C$6,"判定不能",IF(R660&gt;=判定条件!$C$7*Q660,"運転",IF(R660&lt;=判定条件!$C$8*Q660,"停止","断続")))</f>
        <v>判定不能</v>
      </c>
      <c r="T660" s="30" t="n">
        <v>60</v>
      </c>
      <c r="U660" s="30" t="n">
        <v>60</v>
      </c>
      <c r="V660" s="30" t="str">
        <f aca="false">IF(T660&lt;判定条件!$C$6,"判定不能",IF(U660&gt;=判定条件!$C$7*T660,"運転",IF(U660&lt;=判定条件!$C$8*T660,"停止","断続")))</f>
        <v>運転</v>
      </c>
      <c r="W660" s="30" t="n">
        <v>60</v>
      </c>
      <c r="X660" s="30" t="n">
        <v>60</v>
      </c>
      <c r="Y660" s="30" t="str">
        <f aca="false">IF(W660&lt;判定条件!$C$6,"判定不能",IF(X660&gt;=判定条件!$C$7*W660,"運転",IF(X660&lt;=判定条件!$C$8*W660,"停止","断続")))</f>
        <v>運転</v>
      </c>
      <c r="Z660" s="30" t="n">
        <v>60</v>
      </c>
      <c r="AA660" s="30" t="n">
        <v>60</v>
      </c>
      <c r="AB660" s="30" t="str">
        <f aca="false">IF(Z660&lt;判定条件!$C$6,"判定不能",IF(AA660&gt;=判定条件!$C$7*Z660,"運転",IF(AA660&lt;=判定条件!$C$8*Z660,"停止","断続")))</f>
        <v>運転</v>
      </c>
      <c r="AC660" s="30" t="n">
        <v>60</v>
      </c>
      <c r="AD660" s="30" t="n">
        <v>60</v>
      </c>
      <c r="AE660" s="30" t="str">
        <f aca="false">IF(AC660&lt;判定条件!$C$6,"判定不能",IF(AD660&gt;=判定条件!$C$7*AC660,"運転",IF(AD660&lt;=判定条件!$C$8*AC660,"停止","断続")))</f>
        <v>運転</v>
      </c>
      <c r="AF660" s="30" t="n">
        <v>60</v>
      </c>
      <c r="AG660" s="30" t="n">
        <v>60</v>
      </c>
      <c r="AH660" s="30" t="str">
        <f aca="false">IF(OR(P660="判定不能",G660="判定不能"),"判定不能",IF(AG660&gt;=判定条件!$C$9,"利用可",IF(AND(P660="停止",G660="停止"),"両方停止","運転がそろわない")))</f>
        <v>利用可</v>
      </c>
      <c r="AI660" s="30" t="n">
        <v>0</v>
      </c>
      <c r="AJ660" s="30" t="n">
        <v>0</v>
      </c>
      <c r="AK660" s="30" t="str">
        <f aca="false">IF(OR(S660="判定不能",J660="判定不能"),"判定不能",IF(AJ660&gt;=判定条件!$C$9,"利用可",IF(AND(S660="停止",J660="停止"),"両方停止","運転がそろわない")))</f>
        <v>判定不能</v>
      </c>
      <c r="AL660" s="30" t="n">
        <v>60</v>
      </c>
      <c r="AM660" s="30" t="n">
        <v>60</v>
      </c>
      <c r="AN660" s="30" t="str">
        <f aca="false">IF(OR(V660="判定不能",M660="判定不能"),"判定不能",IF(AM660&gt;=判定条件!$C$9,"利用可",IF(AND(V660="停止",M660="停止"),"両方停止","運転がそろわない")))</f>
        <v>利用可</v>
      </c>
      <c r="AO660" s="30" t="n">
        <v>60</v>
      </c>
      <c r="AP660" s="30" t="n">
        <v>60</v>
      </c>
      <c r="AQ660" s="30" t="str">
        <f aca="false">IF(OR(Y660="判定不能",G660="判定不能"),"判定不能",IF(AP660&gt;=判定条件!$C$9,"利用可",IF(AND(Y660="停止",G660="停止"),"両方停止","運転がそろわない")))</f>
        <v>利用可</v>
      </c>
      <c r="AR660" s="30" t="n">
        <v>60</v>
      </c>
      <c r="AS660" s="30" t="n">
        <v>60</v>
      </c>
      <c r="AT660" s="30" t="str">
        <f aca="false">IF(OR(AB660="判定不能",J660="判定不能"),"判定不能",IF(AS660&gt;=判定条件!$C$9,"利用可",IF(AND(AB660="停止",J660="停止"),"両方停止","運転がそろわない")))</f>
        <v>利用可</v>
      </c>
      <c r="AU660" s="30" t="n">
        <v>60</v>
      </c>
      <c r="AV660" s="30" t="n">
        <v>60</v>
      </c>
      <c r="AW660" s="30" t="str">
        <f aca="false">IF(OR(AE660="判定不能",M660="判定不能"),"判定不能",IF(AV660&gt;=判定条件!$C$9,"利用可",IF(AND(AE660="停止",M660="停止"),"両方停止","運転がそろわない")))</f>
        <v>利用可</v>
      </c>
      <c r="AX660" s="30" t="str">
        <f aca="false">IF(AND(AH660="利用可",AK660="利用可",AN660="利用可"),"利用可","不可")</f>
        <v>不可</v>
      </c>
      <c r="AY660" s="30" t="str">
        <f aca="false">IF(AND(AQ660="利用可",AT660="利用可",AW660="利用可"),"利用可","不可")</f>
        <v>利用可</v>
      </c>
    </row>
    <row r="661" customFormat="false" ht="15" hidden="false" customHeight="false" outlineLevel="0" collapsed="false">
      <c r="A661" s="29" t="n">
        <v>46259</v>
      </c>
      <c r="B661" s="30" t="n">
        <v>10</v>
      </c>
      <c r="C661" s="31" t="s">
        <v>67</v>
      </c>
      <c r="D661" s="31" t="s">
        <v>59</v>
      </c>
      <c r="E661" s="30" t="n">
        <v>60</v>
      </c>
      <c r="F661" s="30" t="n">
        <v>60</v>
      </c>
      <c r="G661" s="30" t="str">
        <f aca="false">IF(E661&lt;判定条件!$C$6,"判定不能",IF(F661&gt;=判定条件!$C$7*E661,"運転",IF(F661&lt;=判定条件!$C$8*E661,"停止","断続")))</f>
        <v>運転</v>
      </c>
      <c r="H661" s="30" t="n">
        <v>60</v>
      </c>
      <c r="I661" s="30" t="n">
        <v>60</v>
      </c>
      <c r="J661" s="30" t="str">
        <f aca="false">IF(H661&lt;判定条件!$C$6,"判定不能",IF(I661&gt;=判定条件!$C$7*H661,"運転",IF(I661&lt;=判定条件!$C$8*H661,"停止","断続")))</f>
        <v>運転</v>
      </c>
      <c r="K661" s="30" t="n">
        <v>60</v>
      </c>
      <c r="L661" s="30" t="n">
        <v>60</v>
      </c>
      <c r="M661" s="30" t="str">
        <f aca="false">IF(K661&lt;判定条件!$C$6,"判定不能",IF(L661&gt;=判定条件!$C$7*K661,"運転",IF(L661&lt;=判定条件!$C$8*K661,"停止","断続")))</f>
        <v>運転</v>
      </c>
      <c r="N661" s="30" t="n">
        <v>60</v>
      </c>
      <c r="O661" s="30" t="n">
        <v>60</v>
      </c>
      <c r="P661" s="30" t="str">
        <f aca="false">IF(N661&lt;判定条件!$C$6,"判定不能",IF(O661&gt;=判定条件!$C$7*N661,"運転",IF(O661&lt;=判定条件!$C$8*N661,"停止","断続")))</f>
        <v>運転</v>
      </c>
      <c r="Q661" s="30" t="n">
        <v>0</v>
      </c>
      <c r="R661" s="30" t="n">
        <v>0</v>
      </c>
      <c r="S661" s="30" t="str">
        <f aca="false">IF(Q661&lt;判定条件!$C$6,"判定不能",IF(R661&gt;=判定条件!$C$7*Q661,"運転",IF(R661&lt;=判定条件!$C$8*Q661,"停止","断続")))</f>
        <v>判定不能</v>
      </c>
      <c r="T661" s="30" t="n">
        <v>60</v>
      </c>
      <c r="U661" s="30" t="n">
        <v>60</v>
      </c>
      <c r="V661" s="30" t="str">
        <f aca="false">IF(T661&lt;判定条件!$C$6,"判定不能",IF(U661&gt;=判定条件!$C$7*T661,"運転",IF(U661&lt;=判定条件!$C$8*T661,"停止","断続")))</f>
        <v>運転</v>
      </c>
      <c r="W661" s="30" t="n">
        <v>60</v>
      </c>
      <c r="X661" s="30" t="n">
        <v>60</v>
      </c>
      <c r="Y661" s="30" t="str">
        <f aca="false">IF(W661&lt;判定条件!$C$6,"判定不能",IF(X661&gt;=判定条件!$C$7*W661,"運転",IF(X661&lt;=判定条件!$C$8*W661,"停止","断続")))</f>
        <v>運転</v>
      </c>
      <c r="Z661" s="30" t="n">
        <v>60</v>
      </c>
      <c r="AA661" s="30" t="n">
        <v>60</v>
      </c>
      <c r="AB661" s="30" t="str">
        <f aca="false">IF(Z661&lt;判定条件!$C$6,"判定不能",IF(AA661&gt;=判定条件!$C$7*Z661,"運転",IF(AA661&lt;=判定条件!$C$8*Z661,"停止","断続")))</f>
        <v>運転</v>
      </c>
      <c r="AC661" s="30" t="n">
        <v>60</v>
      </c>
      <c r="AD661" s="30" t="n">
        <v>60</v>
      </c>
      <c r="AE661" s="30" t="str">
        <f aca="false">IF(AC661&lt;判定条件!$C$6,"判定不能",IF(AD661&gt;=判定条件!$C$7*AC661,"運転",IF(AD661&lt;=判定条件!$C$8*AC661,"停止","断続")))</f>
        <v>運転</v>
      </c>
      <c r="AF661" s="30" t="n">
        <v>60</v>
      </c>
      <c r="AG661" s="30" t="n">
        <v>60</v>
      </c>
      <c r="AH661" s="30" t="str">
        <f aca="false">IF(OR(P661="判定不能",G661="判定不能"),"判定不能",IF(AG661&gt;=判定条件!$C$9,"利用可",IF(AND(P661="停止",G661="停止"),"両方停止","運転がそろわない")))</f>
        <v>利用可</v>
      </c>
      <c r="AI661" s="30" t="n">
        <v>0</v>
      </c>
      <c r="AJ661" s="30" t="n">
        <v>0</v>
      </c>
      <c r="AK661" s="30" t="str">
        <f aca="false">IF(OR(S661="判定不能",J661="判定不能"),"判定不能",IF(AJ661&gt;=判定条件!$C$9,"利用可",IF(AND(S661="停止",J661="停止"),"両方停止","運転がそろわない")))</f>
        <v>判定不能</v>
      </c>
      <c r="AL661" s="30" t="n">
        <v>60</v>
      </c>
      <c r="AM661" s="30" t="n">
        <v>60</v>
      </c>
      <c r="AN661" s="30" t="str">
        <f aca="false">IF(OR(V661="判定不能",M661="判定不能"),"判定不能",IF(AM661&gt;=判定条件!$C$9,"利用可",IF(AND(V661="停止",M661="停止"),"両方停止","運転がそろわない")))</f>
        <v>利用可</v>
      </c>
      <c r="AO661" s="30" t="n">
        <v>60</v>
      </c>
      <c r="AP661" s="30" t="n">
        <v>60</v>
      </c>
      <c r="AQ661" s="30" t="str">
        <f aca="false">IF(OR(Y661="判定不能",G661="判定不能"),"判定不能",IF(AP661&gt;=判定条件!$C$9,"利用可",IF(AND(Y661="停止",G661="停止"),"両方停止","運転がそろわない")))</f>
        <v>利用可</v>
      </c>
      <c r="AR661" s="30" t="n">
        <v>60</v>
      </c>
      <c r="AS661" s="30" t="n">
        <v>60</v>
      </c>
      <c r="AT661" s="30" t="str">
        <f aca="false">IF(OR(AB661="判定不能",J661="判定不能"),"判定不能",IF(AS661&gt;=判定条件!$C$9,"利用可",IF(AND(AB661="停止",J661="停止"),"両方停止","運転がそろわない")))</f>
        <v>利用可</v>
      </c>
      <c r="AU661" s="30" t="n">
        <v>60</v>
      </c>
      <c r="AV661" s="30" t="n">
        <v>60</v>
      </c>
      <c r="AW661" s="30" t="str">
        <f aca="false">IF(OR(AE661="判定不能",M661="判定不能"),"判定不能",IF(AV661&gt;=判定条件!$C$9,"利用可",IF(AND(AE661="停止",M661="停止"),"両方停止","運転がそろわない")))</f>
        <v>利用可</v>
      </c>
      <c r="AX661" s="30" t="str">
        <f aca="false">IF(AND(AH661="利用可",AK661="利用可",AN661="利用可"),"利用可","不可")</f>
        <v>不可</v>
      </c>
      <c r="AY661" s="30" t="str">
        <f aca="false">IF(AND(AQ661="利用可",AT661="利用可",AW661="利用可"),"利用可","不可")</f>
        <v>利用可</v>
      </c>
    </row>
    <row r="662" customFormat="false" ht="15" hidden="false" customHeight="false" outlineLevel="0" collapsed="false">
      <c r="A662" s="29" t="n">
        <v>46259</v>
      </c>
      <c r="B662" s="30" t="n">
        <v>11</v>
      </c>
      <c r="C662" s="31" t="s">
        <v>67</v>
      </c>
      <c r="D662" s="31" t="s">
        <v>59</v>
      </c>
      <c r="E662" s="30" t="n">
        <v>60</v>
      </c>
      <c r="F662" s="30" t="n">
        <v>60</v>
      </c>
      <c r="G662" s="30" t="str">
        <f aca="false">IF(E662&lt;判定条件!$C$6,"判定不能",IF(F662&gt;=判定条件!$C$7*E662,"運転",IF(F662&lt;=判定条件!$C$8*E662,"停止","断続")))</f>
        <v>運転</v>
      </c>
      <c r="H662" s="30" t="n">
        <v>60</v>
      </c>
      <c r="I662" s="30" t="n">
        <v>60</v>
      </c>
      <c r="J662" s="30" t="str">
        <f aca="false">IF(H662&lt;判定条件!$C$6,"判定不能",IF(I662&gt;=判定条件!$C$7*H662,"運転",IF(I662&lt;=判定条件!$C$8*H662,"停止","断続")))</f>
        <v>運転</v>
      </c>
      <c r="K662" s="30" t="n">
        <v>60</v>
      </c>
      <c r="L662" s="30" t="n">
        <v>60</v>
      </c>
      <c r="M662" s="30" t="str">
        <f aca="false">IF(K662&lt;判定条件!$C$6,"判定不能",IF(L662&gt;=判定条件!$C$7*K662,"運転",IF(L662&lt;=判定条件!$C$8*K662,"停止","断続")))</f>
        <v>運転</v>
      </c>
      <c r="N662" s="30" t="n">
        <v>60</v>
      </c>
      <c r="O662" s="30" t="n">
        <v>60</v>
      </c>
      <c r="P662" s="30" t="str">
        <f aca="false">IF(N662&lt;判定条件!$C$6,"判定不能",IF(O662&gt;=判定条件!$C$7*N662,"運転",IF(O662&lt;=判定条件!$C$8*N662,"停止","断続")))</f>
        <v>運転</v>
      </c>
      <c r="Q662" s="30" t="n">
        <v>0</v>
      </c>
      <c r="R662" s="30" t="n">
        <v>0</v>
      </c>
      <c r="S662" s="30" t="str">
        <f aca="false">IF(Q662&lt;判定条件!$C$6,"判定不能",IF(R662&gt;=判定条件!$C$7*Q662,"運転",IF(R662&lt;=判定条件!$C$8*Q662,"停止","断続")))</f>
        <v>判定不能</v>
      </c>
      <c r="T662" s="30" t="n">
        <v>60</v>
      </c>
      <c r="U662" s="30" t="n">
        <v>60</v>
      </c>
      <c r="V662" s="30" t="str">
        <f aca="false">IF(T662&lt;判定条件!$C$6,"判定不能",IF(U662&gt;=判定条件!$C$7*T662,"運転",IF(U662&lt;=判定条件!$C$8*T662,"停止","断続")))</f>
        <v>運転</v>
      </c>
      <c r="W662" s="30" t="n">
        <v>60</v>
      </c>
      <c r="X662" s="30" t="n">
        <v>60</v>
      </c>
      <c r="Y662" s="30" t="str">
        <f aca="false">IF(W662&lt;判定条件!$C$6,"判定不能",IF(X662&gt;=判定条件!$C$7*W662,"運転",IF(X662&lt;=判定条件!$C$8*W662,"停止","断続")))</f>
        <v>運転</v>
      </c>
      <c r="Z662" s="30" t="n">
        <v>60</v>
      </c>
      <c r="AA662" s="30" t="n">
        <v>60</v>
      </c>
      <c r="AB662" s="30" t="str">
        <f aca="false">IF(Z662&lt;判定条件!$C$6,"判定不能",IF(AA662&gt;=判定条件!$C$7*Z662,"運転",IF(AA662&lt;=判定条件!$C$8*Z662,"停止","断続")))</f>
        <v>運転</v>
      </c>
      <c r="AC662" s="30" t="n">
        <v>60</v>
      </c>
      <c r="AD662" s="30" t="n">
        <v>60</v>
      </c>
      <c r="AE662" s="30" t="str">
        <f aca="false">IF(AC662&lt;判定条件!$C$6,"判定不能",IF(AD662&gt;=判定条件!$C$7*AC662,"運転",IF(AD662&lt;=判定条件!$C$8*AC662,"停止","断続")))</f>
        <v>運転</v>
      </c>
      <c r="AF662" s="30" t="n">
        <v>60</v>
      </c>
      <c r="AG662" s="30" t="n">
        <v>60</v>
      </c>
      <c r="AH662" s="30" t="str">
        <f aca="false">IF(OR(P662="判定不能",G662="判定不能"),"判定不能",IF(AG662&gt;=判定条件!$C$9,"利用可",IF(AND(P662="停止",G662="停止"),"両方停止","運転がそろわない")))</f>
        <v>利用可</v>
      </c>
      <c r="AI662" s="30" t="n">
        <v>0</v>
      </c>
      <c r="AJ662" s="30" t="n">
        <v>0</v>
      </c>
      <c r="AK662" s="30" t="str">
        <f aca="false">IF(OR(S662="判定不能",J662="判定不能"),"判定不能",IF(AJ662&gt;=判定条件!$C$9,"利用可",IF(AND(S662="停止",J662="停止"),"両方停止","運転がそろわない")))</f>
        <v>判定不能</v>
      </c>
      <c r="AL662" s="30" t="n">
        <v>60</v>
      </c>
      <c r="AM662" s="30" t="n">
        <v>60</v>
      </c>
      <c r="AN662" s="30" t="str">
        <f aca="false">IF(OR(V662="判定不能",M662="判定不能"),"判定不能",IF(AM662&gt;=判定条件!$C$9,"利用可",IF(AND(V662="停止",M662="停止"),"両方停止","運転がそろわない")))</f>
        <v>利用可</v>
      </c>
      <c r="AO662" s="30" t="n">
        <v>60</v>
      </c>
      <c r="AP662" s="30" t="n">
        <v>60</v>
      </c>
      <c r="AQ662" s="30" t="str">
        <f aca="false">IF(OR(Y662="判定不能",G662="判定不能"),"判定不能",IF(AP662&gt;=判定条件!$C$9,"利用可",IF(AND(Y662="停止",G662="停止"),"両方停止","運転がそろわない")))</f>
        <v>利用可</v>
      </c>
      <c r="AR662" s="30" t="n">
        <v>60</v>
      </c>
      <c r="AS662" s="30" t="n">
        <v>60</v>
      </c>
      <c r="AT662" s="30" t="str">
        <f aca="false">IF(OR(AB662="判定不能",J662="判定不能"),"判定不能",IF(AS662&gt;=判定条件!$C$9,"利用可",IF(AND(AB662="停止",J662="停止"),"両方停止","運転がそろわない")))</f>
        <v>利用可</v>
      </c>
      <c r="AU662" s="30" t="n">
        <v>60</v>
      </c>
      <c r="AV662" s="30" t="n">
        <v>60</v>
      </c>
      <c r="AW662" s="30" t="str">
        <f aca="false">IF(OR(AE662="判定不能",M662="判定不能"),"判定不能",IF(AV662&gt;=判定条件!$C$9,"利用可",IF(AND(AE662="停止",M662="停止"),"両方停止","運転がそろわない")))</f>
        <v>利用可</v>
      </c>
      <c r="AX662" s="30" t="str">
        <f aca="false">IF(AND(AH662="利用可",AK662="利用可",AN662="利用可"),"利用可","不可")</f>
        <v>不可</v>
      </c>
      <c r="AY662" s="30" t="str">
        <f aca="false">IF(AND(AQ662="利用可",AT662="利用可",AW662="利用可"),"利用可","不可")</f>
        <v>利用可</v>
      </c>
    </row>
    <row r="663" customFormat="false" ht="15" hidden="false" customHeight="false" outlineLevel="0" collapsed="false">
      <c r="A663" s="29" t="n">
        <v>46259</v>
      </c>
      <c r="B663" s="30" t="n">
        <v>12</v>
      </c>
      <c r="C663" s="31" t="s">
        <v>67</v>
      </c>
      <c r="D663" s="31" t="s">
        <v>59</v>
      </c>
      <c r="E663" s="30" t="n">
        <v>60</v>
      </c>
      <c r="F663" s="30" t="n">
        <v>60</v>
      </c>
      <c r="G663" s="30" t="str">
        <f aca="false">IF(E663&lt;判定条件!$C$6,"判定不能",IF(F663&gt;=判定条件!$C$7*E663,"運転",IF(F663&lt;=判定条件!$C$8*E663,"停止","断続")))</f>
        <v>運転</v>
      </c>
      <c r="H663" s="30" t="n">
        <v>60</v>
      </c>
      <c r="I663" s="30" t="n">
        <v>60</v>
      </c>
      <c r="J663" s="30" t="str">
        <f aca="false">IF(H663&lt;判定条件!$C$6,"判定不能",IF(I663&gt;=判定条件!$C$7*H663,"運転",IF(I663&lt;=判定条件!$C$8*H663,"停止","断続")))</f>
        <v>運転</v>
      </c>
      <c r="K663" s="30" t="n">
        <v>60</v>
      </c>
      <c r="L663" s="30" t="n">
        <v>60</v>
      </c>
      <c r="M663" s="30" t="str">
        <f aca="false">IF(K663&lt;判定条件!$C$6,"判定不能",IF(L663&gt;=判定条件!$C$7*K663,"運転",IF(L663&lt;=判定条件!$C$8*K663,"停止","断続")))</f>
        <v>運転</v>
      </c>
      <c r="N663" s="30" t="n">
        <v>60</v>
      </c>
      <c r="O663" s="30" t="n">
        <v>60</v>
      </c>
      <c r="P663" s="30" t="str">
        <f aca="false">IF(N663&lt;判定条件!$C$6,"判定不能",IF(O663&gt;=判定条件!$C$7*N663,"運転",IF(O663&lt;=判定条件!$C$8*N663,"停止","断続")))</f>
        <v>運転</v>
      </c>
      <c r="Q663" s="30" t="n">
        <v>0</v>
      </c>
      <c r="R663" s="30" t="n">
        <v>0</v>
      </c>
      <c r="S663" s="30" t="str">
        <f aca="false">IF(Q663&lt;判定条件!$C$6,"判定不能",IF(R663&gt;=判定条件!$C$7*Q663,"運転",IF(R663&lt;=判定条件!$C$8*Q663,"停止","断続")))</f>
        <v>判定不能</v>
      </c>
      <c r="T663" s="30" t="n">
        <v>60</v>
      </c>
      <c r="U663" s="30" t="n">
        <v>60</v>
      </c>
      <c r="V663" s="30" t="str">
        <f aca="false">IF(T663&lt;判定条件!$C$6,"判定不能",IF(U663&gt;=判定条件!$C$7*T663,"運転",IF(U663&lt;=判定条件!$C$8*T663,"停止","断続")))</f>
        <v>運転</v>
      </c>
      <c r="W663" s="30" t="n">
        <v>60</v>
      </c>
      <c r="X663" s="30" t="n">
        <v>60</v>
      </c>
      <c r="Y663" s="30" t="str">
        <f aca="false">IF(W663&lt;判定条件!$C$6,"判定不能",IF(X663&gt;=判定条件!$C$7*W663,"運転",IF(X663&lt;=判定条件!$C$8*W663,"停止","断続")))</f>
        <v>運転</v>
      </c>
      <c r="Z663" s="30" t="n">
        <v>60</v>
      </c>
      <c r="AA663" s="30" t="n">
        <v>60</v>
      </c>
      <c r="AB663" s="30" t="str">
        <f aca="false">IF(Z663&lt;判定条件!$C$6,"判定不能",IF(AA663&gt;=判定条件!$C$7*Z663,"運転",IF(AA663&lt;=判定条件!$C$8*Z663,"停止","断続")))</f>
        <v>運転</v>
      </c>
      <c r="AC663" s="30" t="n">
        <v>60</v>
      </c>
      <c r="AD663" s="30" t="n">
        <v>60</v>
      </c>
      <c r="AE663" s="30" t="str">
        <f aca="false">IF(AC663&lt;判定条件!$C$6,"判定不能",IF(AD663&gt;=判定条件!$C$7*AC663,"運転",IF(AD663&lt;=判定条件!$C$8*AC663,"停止","断続")))</f>
        <v>運転</v>
      </c>
      <c r="AF663" s="30" t="n">
        <v>60</v>
      </c>
      <c r="AG663" s="30" t="n">
        <v>60</v>
      </c>
      <c r="AH663" s="30" t="str">
        <f aca="false">IF(OR(P663="判定不能",G663="判定不能"),"判定不能",IF(AG663&gt;=判定条件!$C$9,"利用可",IF(AND(P663="停止",G663="停止"),"両方停止","運転がそろわない")))</f>
        <v>利用可</v>
      </c>
      <c r="AI663" s="30" t="n">
        <v>0</v>
      </c>
      <c r="AJ663" s="30" t="n">
        <v>0</v>
      </c>
      <c r="AK663" s="30" t="str">
        <f aca="false">IF(OR(S663="判定不能",J663="判定不能"),"判定不能",IF(AJ663&gt;=判定条件!$C$9,"利用可",IF(AND(S663="停止",J663="停止"),"両方停止","運転がそろわない")))</f>
        <v>判定不能</v>
      </c>
      <c r="AL663" s="30" t="n">
        <v>60</v>
      </c>
      <c r="AM663" s="30" t="n">
        <v>60</v>
      </c>
      <c r="AN663" s="30" t="str">
        <f aca="false">IF(OR(V663="判定不能",M663="判定不能"),"判定不能",IF(AM663&gt;=判定条件!$C$9,"利用可",IF(AND(V663="停止",M663="停止"),"両方停止","運転がそろわない")))</f>
        <v>利用可</v>
      </c>
      <c r="AO663" s="30" t="n">
        <v>60</v>
      </c>
      <c r="AP663" s="30" t="n">
        <v>60</v>
      </c>
      <c r="AQ663" s="30" t="str">
        <f aca="false">IF(OR(Y663="判定不能",G663="判定不能"),"判定不能",IF(AP663&gt;=判定条件!$C$9,"利用可",IF(AND(Y663="停止",G663="停止"),"両方停止","運転がそろわない")))</f>
        <v>利用可</v>
      </c>
      <c r="AR663" s="30" t="n">
        <v>60</v>
      </c>
      <c r="AS663" s="30" t="n">
        <v>60</v>
      </c>
      <c r="AT663" s="30" t="str">
        <f aca="false">IF(OR(AB663="判定不能",J663="判定不能"),"判定不能",IF(AS663&gt;=判定条件!$C$9,"利用可",IF(AND(AB663="停止",J663="停止"),"両方停止","運転がそろわない")))</f>
        <v>利用可</v>
      </c>
      <c r="AU663" s="30" t="n">
        <v>60</v>
      </c>
      <c r="AV663" s="30" t="n">
        <v>60</v>
      </c>
      <c r="AW663" s="30" t="str">
        <f aca="false">IF(OR(AE663="判定不能",M663="判定不能"),"判定不能",IF(AV663&gt;=判定条件!$C$9,"利用可",IF(AND(AE663="停止",M663="停止"),"両方停止","運転がそろわない")))</f>
        <v>利用可</v>
      </c>
      <c r="AX663" s="30" t="str">
        <f aca="false">IF(AND(AH663="利用可",AK663="利用可",AN663="利用可"),"利用可","不可")</f>
        <v>不可</v>
      </c>
      <c r="AY663" s="30" t="str">
        <f aca="false">IF(AND(AQ663="利用可",AT663="利用可",AW663="利用可"),"利用可","不可")</f>
        <v>利用可</v>
      </c>
    </row>
    <row r="664" customFormat="false" ht="15" hidden="false" customHeight="false" outlineLevel="0" collapsed="false">
      <c r="A664" s="29" t="n">
        <v>46259</v>
      </c>
      <c r="B664" s="30" t="n">
        <v>13</v>
      </c>
      <c r="C664" s="31" t="s">
        <v>67</v>
      </c>
      <c r="D664" s="31" t="s">
        <v>59</v>
      </c>
      <c r="E664" s="30" t="n">
        <v>60</v>
      </c>
      <c r="F664" s="30" t="n">
        <v>60</v>
      </c>
      <c r="G664" s="30" t="str">
        <f aca="false">IF(E664&lt;判定条件!$C$6,"判定不能",IF(F664&gt;=判定条件!$C$7*E664,"運転",IF(F664&lt;=判定条件!$C$8*E664,"停止","断続")))</f>
        <v>運転</v>
      </c>
      <c r="H664" s="30" t="n">
        <v>60</v>
      </c>
      <c r="I664" s="30" t="n">
        <v>60</v>
      </c>
      <c r="J664" s="30" t="str">
        <f aca="false">IF(H664&lt;判定条件!$C$6,"判定不能",IF(I664&gt;=判定条件!$C$7*H664,"運転",IF(I664&lt;=判定条件!$C$8*H664,"停止","断続")))</f>
        <v>運転</v>
      </c>
      <c r="K664" s="30" t="n">
        <v>60</v>
      </c>
      <c r="L664" s="30" t="n">
        <v>60</v>
      </c>
      <c r="M664" s="30" t="str">
        <f aca="false">IF(K664&lt;判定条件!$C$6,"判定不能",IF(L664&gt;=判定条件!$C$7*K664,"運転",IF(L664&lt;=判定条件!$C$8*K664,"停止","断続")))</f>
        <v>運転</v>
      </c>
      <c r="N664" s="30" t="n">
        <v>60</v>
      </c>
      <c r="O664" s="30" t="n">
        <v>60</v>
      </c>
      <c r="P664" s="30" t="str">
        <f aca="false">IF(N664&lt;判定条件!$C$6,"判定不能",IF(O664&gt;=判定条件!$C$7*N664,"運転",IF(O664&lt;=判定条件!$C$8*N664,"停止","断続")))</f>
        <v>運転</v>
      </c>
      <c r="Q664" s="30" t="n">
        <v>0</v>
      </c>
      <c r="R664" s="30" t="n">
        <v>0</v>
      </c>
      <c r="S664" s="30" t="str">
        <f aca="false">IF(Q664&lt;判定条件!$C$6,"判定不能",IF(R664&gt;=判定条件!$C$7*Q664,"運転",IF(R664&lt;=判定条件!$C$8*Q664,"停止","断続")))</f>
        <v>判定不能</v>
      </c>
      <c r="T664" s="30" t="n">
        <v>60</v>
      </c>
      <c r="U664" s="30" t="n">
        <v>60</v>
      </c>
      <c r="V664" s="30" t="str">
        <f aca="false">IF(T664&lt;判定条件!$C$6,"判定不能",IF(U664&gt;=判定条件!$C$7*T664,"運転",IF(U664&lt;=判定条件!$C$8*T664,"停止","断続")))</f>
        <v>運転</v>
      </c>
      <c r="W664" s="30" t="n">
        <v>60</v>
      </c>
      <c r="X664" s="30" t="n">
        <v>60</v>
      </c>
      <c r="Y664" s="30" t="str">
        <f aca="false">IF(W664&lt;判定条件!$C$6,"判定不能",IF(X664&gt;=判定条件!$C$7*W664,"運転",IF(X664&lt;=判定条件!$C$8*W664,"停止","断続")))</f>
        <v>運転</v>
      </c>
      <c r="Z664" s="30" t="n">
        <v>60</v>
      </c>
      <c r="AA664" s="30" t="n">
        <v>60</v>
      </c>
      <c r="AB664" s="30" t="str">
        <f aca="false">IF(Z664&lt;判定条件!$C$6,"判定不能",IF(AA664&gt;=判定条件!$C$7*Z664,"運転",IF(AA664&lt;=判定条件!$C$8*Z664,"停止","断続")))</f>
        <v>運転</v>
      </c>
      <c r="AC664" s="30" t="n">
        <v>60</v>
      </c>
      <c r="AD664" s="30" t="n">
        <v>60</v>
      </c>
      <c r="AE664" s="30" t="str">
        <f aca="false">IF(AC664&lt;判定条件!$C$6,"判定不能",IF(AD664&gt;=判定条件!$C$7*AC664,"運転",IF(AD664&lt;=判定条件!$C$8*AC664,"停止","断続")))</f>
        <v>運転</v>
      </c>
      <c r="AF664" s="30" t="n">
        <v>60</v>
      </c>
      <c r="AG664" s="30" t="n">
        <v>60</v>
      </c>
      <c r="AH664" s="30" t="str">
        <f aca="false">IF(OR(P664="判定不能",G664="判定不能"),"判定不能",IF(AG664&gt;=判定条件!$C$9,"利用可",IF(AND(P664="停止",G664="停止"),"両方停止","運転がそろわない")))</f>
        <v>利用可</v>
      </c>
      <c r="AI664" s="30" t="n">
        <v>0</v>
      </c>
      <c r="AJ664" s="30" t="n">
        <v>0</v>
      </c>
      <c r="AK664" s="30" t="str">
        <f aca="false">IF(OR(S664="判定不能",J664="判定不能"),"判定不能",IF(AJ664&gt;=判定条件!$C$9,"利用可",IF(AND(S664="停止",J664="停止"),"両方停止","運転がそろわない")))</f>
        <v>判定不能</v>
      </c>
      <c r="AL664" s="30" t="n">
        <v>60</v>
      </c>
      <c r="AM664" s="30" t="n">
        <v>60</v>
      </c>
      <c r="AN664" s="30" t="str">
        <f aca="false">IF(OR(V664="判定不能",M664="判定不能"),"判定不能",IF(AM664&gt;=判定条件!$C$9,"利用可",IF(AND(V664="停止",M664="停止"),"両方停止","運転がそろわない")))</f>
        <v>利用可</v>
      </c>
      <c r="AO664" s="30" t="n">
        <v>60</v>
      </c>
      <c r="AP664" s="30" t="n">
        <v>60</v>
      </c>
      <c r="AQ664" s="30" t="str">
        <f aca="false">IF(OR(Y664="判定不能",G664="判定不能"),"判定不能",IF(AP664&gt;=判定条件!$C$9,"利用可",IF(AND(Y664="停止",G664="停止"),"両方停止","運転がそろわない")))</f>
        <v>利用可</v>
      </c>
      <c r="AR664" s="30" t="n">
        <v>60</v>
      </c>
      <c r="AS664" s="30" t="n">
        <v>60</v>
      </c>
      <c r="AT664" s="30" t="str">
        <f aca="false">IF(OR(AB664="判定不能",J664="判定不能"),"判定不能",IF(AS664&gt;=判定条件!$C$9,"利用可",IF(AND(AB664="停止",J664="停止"),"両方停止","運転がそろわない")))</f>
        <v>利用可</v>
      </c>
      <c r="AU664" s="30" t="n">
        <v>60</v>
      </c>
      <c r="AV664" s="30" t="n">
        <v>60</v>
      </c>
      <c r="AW664" s="30" t="str">
        <f aca="false">IF(OR(AE664="判定不能",M664="判定不能"),"判定不能",IF(AV664&gt;=判定条件!$C$9,"利用可",IF(AND(AE664="停止",M664="停止"),"両方停止","運転がそろわない")))</f>
        <v>利用可</v>
      </c>
      <c r="AX664" s="30" t="str">
        <f aca="false">IF(AND(AH664="利用可",AK664="利用可",AN664="利用可"),"利用可","不可")</f>
        <v>不可</v>
      </c>
      <c r="AY664" s="30" t="str">
        <f aca="false">IF(AND(AQ664="利用可",AT664="利用可",AW664="利用可"),"利用可","不可")</f>
        <v>利用可</v>
      </c>
    </row>
    <row r="665" customFormat="false" ht="15" hidden="false" customHeight="false" outlineLevel="0" collapsed="false">
      <c r="A665" s="29" t="n">
        <v>46259</v>
      </c>
      <c r="B665" s="30" t="n">
        <v>14</v>
      </c>
      <c r="C665" s="31" t="s">
        <v>67</v>
      </c>
      <c r="D665" s="31" t="s">
        <v>59</v>
      </c>
      <c r="E665" s="30" t="n">
        <v>60</v>
      </c>
      <c r="F665" s="30" t="n">
        <v>60</v>
      </c>
      <c r="G665" s="30" t="str">
        <f aca="false">IF(E665&lt;判定条件!$C$6,"判定不能",IF(F665&gt;=判定条件!$C$7*E665,"運転",IF(F665&lt;=判定条件!$C$8*E665,"停止","断続")))</f>
        <v>運転</v>
      </c>
      <c r="H665" s="30" t="n">
        <v>60</v>
      </c>
      <c r="I665" s="30" t="n">
        <v>60</v>
      </c>
      <c r="J665" s="30" t="str">
        <f aca="false">IF(H665&lt;判定条件!$C$6,"判定不能",IF(I665&gt;=判定条件!$C$7*H665,"運転",IF(I665&lt;=判定条件!$C$8*H665,"停止","断続")))</f>
        <v>運転</v>
      </c>
      <c r="K665" s="30" t="n">
        <v>60</v>
      </c>
      <c r="L665" s="30" t="n">
        <v>60</v>
      </c>
      <c r="M665" s="30" t="str">
        <f aca="false">IF(K665&lt;判定条件!$C$6,"判定不能",IF(L665&gt;=判定条件!$C$7*K665,"運転",IF(L665&lt;=判定条件!$C$8*K665,"停止","断続")))</f>
        <v>運転</v>
      </c>
      <c r="N665" s="30" t="n">
        <v>60</v>
      </c>
      <c r="O665" s="30" t="n">
        <v>60</v>
      </c>
      <c r="P665" s="30" t="str">
        <f aca="false">IF(N665&lt;判定条件!$C$6,"判定不能",IF(O665&gt;=判定条件!$C$7*N665,"運転",IF(O665&lt;=判定条件!$C$8*N665,"停止","断続")))</f>
        <v>運転</v>
      </c>
      <c r="Q665" s="30" t="n">
        <v>0</v>
      </c>
      <c r="R665" s="30" t="n">
        <v>0</v>
      </c>
      <c r="S665" s="30" t="str">
        <f aca="false">IF(Q665&lt;判定条件!$C$6,"判定不能",IF(R665&gt;=判定条件!$C$7*Q665,"運転",IF(R665&lt;=判定条件!$C$8*Q665,"停止","断続")))</f>
        <v>判定不能</v>
      </c>
      <c r="T665" s="30" t="n">
        <v>60</v>
      </c>
      <c r="U665" s="30" t="n">
        <v>60</v>
      </c>
      <c r="V665" s="30" t="str">
        <f aca="false">IF(T665&lt;判定条件!$C$6,"判定不能",IF(U665&gt;=判定条件!$C$7*T665,"運転",IF(U665&lt;=判定条件!$C$8*T665,"停止","断続")))</f>
        <v>運転</v>
      </c>
      <c r="W665" s="30" t="n">
        <v>60</v>
      </c>
      <c r="X665" s="30" t="n">
        <v>60</v>
      </c>
      <c r="Y665" s="30" t="str">
        <f aca="false">IF(W665&lt;判定条件!$C$6,"判定不能",IF(X665&gt;=判定条件!$C$7*W665,"運転",IF(X665&lt;=判定条件!$C$8*W665,"停止","断続")))</f>
        <v>運転</v>
      </c>
      <c r="Z665" s="30" t="n">
        <v>60</v>
      </c>
      <c r="AA665" s="30" t="n">
        <v>60</v>
      </c>
      <c r="AB665" s="30" t="str">
        <f aca="false">IF(Z665&lt;判定条件!$C$6,"判定不能",IF(AA665&gt;=判定条件!$C$7*Z665,"運転",IF(AA665&lt;=判定条件!$C$8*Z665,"停止","断続")))</f>
        <v>運転</v>
      </c>
      <c r="AC665" s="30" t="n">
        <v>60</v>
      </c>
      <c r="AD665" s="30" t="n">
        <v>60</v>
      </c>
      <c r="AE665" s="30" t="str">
        <f aca="false">IF(AC665&lt;判定条件!$C$6,"判定不能",IF(AD665&gt;=判定条件!$C$7*AC665,"運転",IF(AD665&lt;=判定条件!$C$8*AC665,"停止","断続")))</f>
        <v>運転</v>
      </c>
      <c r="AF665" s="30" t="n">
        <v>60</v>
      </c>
      <c r="AG665" s="30" t="n">
        <v>60</v>
      </c>
      <c r="AH665" s="30" t="str">
        <f aca="false">IF(OR(P665="判定不能",G665="判定不能"),"判定不能",IF(AG665&gt;=判定条件!$C$9,"利用可",IF(AND(P665="停止",G665="停止"),"両方停止","運転がそろわない")))</f>
        <v>利用可</v>
      </c>
      <c r="AI665" s="30" t="n">
        <v>0</v>
      </c>
      <c r="AJ665" s="30" t="n">
        <v>0</v>
      </c>
      <c r="AK665" s="30" t="str">
        <f aca="false">IF(OR(S665="判定不能",J665="判定不能"),"判定不能",IF(AJ665&gt;=判定条件!$C$9,"利用可",IF(AND(S665="停止",J665="停止"),"両方停止","運転がそろわない")))</f>
        <v>判定不能</v>
      </c>
      <c r="AL665" s="30" t="n">
        <v>60</v>
      </c>
      <c r="AM665" s="30" t="n">
        <v>60</v>
      </c>
      <c r="AN665" s="30" t="str">
        <f aca="false">IF(OR(V665="判定不能",M665="判定不能"),"判定不能",IF(AM665&gt;=判定条件!$C$9,"利用可",IF(AND(V665="停止",M665="停止"),"両方停止","運転がそろわない")))</f>
        <v>利用可</v>
      </c>
      <c r="AO665" s="30" t="n">
        <v>60</v>
      </c>
      <c r="AP665" s="30" t="n">
        <v>60</v>
      </c>
      <c r="AQ665" s="30" t="str">
        <f aca="false">IF(OR(Y665="判定不能",G665="判定不能"),"判定不能",IF(AP665&gt;=判定条件!$C$9,"利用可",IF(AND(Y665="停止",G665="停止"),"両方停止","運転がそろわない")))</f>
        <v>利用可</v>
      </c>
      <c r="AR665" s="30" t="n">
        <v>60</v>
      </c>
      <c r="AS665" s="30" t="n">
        <v>60</v>
      </c>
      <c r="AT665" s="30" t="str">
        <f aca="false">IF(OR(AB665="判定不能",J665="判定不能"),"判定不能",IF(AS665&gt;=判定条件!$C$9,"利用可",IF(AND(AB665="停止",J665="停止"),"両方停止","運転がそろわない")))</f>
        <v>利用可</v>
      </c>
      <c r="AU665" s="30" t="n">
        <v>60</v>
      </c>
      <c r="AV665" s="30" t="n">
        <v>60</v>
      </c>
      <c r="AW665" s="30" t="str">
        <f aca="false">IF(OR(AE665="判定不能",M665="判定不能"),"判定不能",IF(AV665&gt;=判定条件!$C$9,"利用可",IF(AND(AE665="停止",M665="停止"),"両方停止","運転がそろわない")))</f>
        <v>利用可</v>
      </c>
      <c r="AX665" s="30" t="str">
        <f aca="false">IF(AND(AH665="利用可",AK665="利用可",AN665="利用可"),"利用可","不可")</f>
        <v>不可</v>
      </c>
      <c r="AY665" s="30" t="str">
        <f aca="false">IF(AND(AQ665="利用可",AT665="利用可",AW665="利用可"),"利用可","不可")</f>
        <v>利用可</v>
      </c>
    </row>
    <row r="666" customFormat="false" ht="15" hidden="false" customHeight="false" outlineLevel="0" collapsed="false">
      <c r="A666" s="29" t="n">
        <v>46259</v>
      </c>
      <c r="B666" s="30" t="n">
        <v>15</v>
      </c>
      <c r="C666" s="31" t="s">
        <v>67</v>
      </c>
      <c r="D666" s="31" t="s">
        <v>59</v>
      </c>
      <c r="E666" s="30" t="n">
        <v>60</v>
      </c>
      <c r="F666" s="30" t="n">
        <v>60</v>
      </c>
      <c r="G666" s="30" t="str">
        <f aca="false">IF(E666&lt;判定条件!$C$6,"判定不能",IF(F666&gt;=判定条件!$C$7*E666,"運転",IF(F666&lt;=判定条件!$C$8*E666,"停止","断続")))</f>
        <v>運転</v>
      </c>
      <c r="H666" s="30" t="n">
        <v>60</v>
      </c>
      <c r="I666" s="30" t="n">
        <v>60</v>
      </c>
      <c r="J666" s="30" t="str">
        <f aca="false">IF(H666&lt;判定条件!$C$6,"判定不能",IF(I666&gt;=判定条件!$C$7*H666,"運転",IF(I666&lt;=判定条件!$C$8*H666,"停止","断続")))</f>
        <v>運転</v>
      </c>
      <c r="K666" s="30" t="n">
        <v>60</v>
      </c>
      <c r="L666" s="30" t="n">
        <v>60</v>
      </c>
      <c r="M666" s="30" t="str">
        <f aca="false">IF(K666&lt;判定条件!$C$6,"判定不能",IF(L666&gt;=判定条件!$C$7*K666,"運転",IF(L666&lt;=判定条件!$C$8*K666,"停止","断続")))</f>
        <v>運転</v>
      </c>
      <c r="N666" s="30" t="n">
        <v>60</v>
      </c>
      <c r="O666" s="30" t="n">
        <v>58</v>
      </c>
      <c r="P666" s="30" t="str">
        <f aca="false">IF(N666&lt;判定条件!$C$6,"判定不能",IF(O666&gt;=判定条件!$C$7*N666,"運転",IF(O666&lt;=判定条件!$C$8*N666,"停止","断続")))</f>
        <v>運転</v>
      </c>
      <c r="Q666" s="30" t="n">
        <v>0</v>
      </c>
      <c r="R666" s="30" t="n">
        <v>0</v>
      </c>
      <c r="S666" s="30" t="str">
        <f aca="false">IF(Q666&lt;判定条件!$C$6,"判定不能",IF(R666&gt;=判定条件!$C$7*Q666,"運転",IF(R666&lt;=判定条件!$C$8*Q666,"停止","断続")))</f>
        <v>判定不能</v>
      </c>
      <c r="T666" s="30" t="n">
        <v>60</v>
      </c>
      <c r="U666" s="30" t="n">
        <v>60</v>
      </c>
      <c r="V666" s="30" t="str">
        <f aca="false">IF(T666&lt;判定条件!$C$6,"判定不能",IF(U666&gt;=判定条件!$C$7*T666,"運転",IF(U666&lt;=判定条件!$C$8*T666,"停止","断続")))</f>
        <v>運転</v>
      </c>
      <c r="W666" s="30" t="n">
        <v>60</v>
      </c>
      <c r="X666" s="30" t="n">
        <v>60</v>
      </c>
      <c r="Y666" s="30" t="str">
        <f aca="false">IF(W666&lt;判定条件!$C$6,"判定不能",IF(X666&gt;=判定条件!$C$7*W666,"運転",IF(X666&lt;=判定条件!$C$8*W666,"停止","断続")))</f>
        <v>運転</v>
      </c>
      <c r="Z666" s="30" t="n">
        <v>60</v>
      </c>
      <c r="AA666" s="30" t="n">
        <v>52</v>
      </c>
      <c r="AB666" s="30" t="str">
        <f aca="false">IF(Z666&lt;判定条件!$C$6,"判定不能",IF(AA666&gt;=判定条件!$C$7*Z666,"運転",IF(AA666&lt;=判定条件!$C$8*Z666,"停止","断続")))</f>
        <v>運転</v>
      </c>
      <c r="AC666" s="30" t="n">
        <v>60</v>
      </c>
      <c r="AD666" s="30" t="n">
        <v>60</v>
      </c>
      <c r="AE666" s="30" t="str">
        <f aca="false">IF(AC666&lt;判定条件!$C$6,"判定不能",IF(AD666&gt;=判定条件!$C$7*AC666,"運転",IF(AD666&lt;=判定条件!$C$8*AC666,"停止","断続")))</f>
        <v>運転</v>
      </c>
      <c r="AF666" s="30" t="n">
        <v>60</v>
      </c>
      <c r="AG666" s="30" t="n">
        <v>58</v>
      </c>
      <c r="AH666" s="30" t="str">
        <f aca="false">IF(OR(P666="判定不能",G666="判定不能"),"判定不能",IF(AG666&gt;=判定条件!$C$9,"利用可",IF(AND(P666="停止",G666="停止"),"両方停止","運転がそろわない")))</f>
        <v>利用可</v>
      </c>
      <c r="AI666" s="30" t="n">
        <v>0</v>
      </c>
      <c r="AJ666" s="30" t="n">
        <v>0</v>
      </c>
      <c r="AK666" s="30" t="str">
        <f aca="false">IF(OR(S666="判定不能",J666="判定不能"),"判定不能",IF(AJ666&gt;=判定条件!$C$9,"利用可",IF(AND(S666="停止",J666="停止"),"両方停止","運転がそろわない")))</f>
        <v>判定不能</v>
      </c>
      <c r="AL666" s="30" t="n">
        <v>60</v>
      </c>
      <c r="AM666" s="30" t="n">
        <v>60</v>
      </c>
      <c r="AN666" s="30" t="str">
        <f aca="false">IF(OR(V666="判定不能",M666="判定不能"),"判定不能",IF(AM666&gt;=判定条件!$C$9,"利用可",IF(AND(V666="停止",M666="停止"),"両方停止","運転がそろわない")))</f>
        <v>利用可</v>
      </c>
      <c r="AO666" s="30" t="n">
        <v>60</v>
      </c>
      <c r="AP666" s="30" t="n">
        <v>60</v>
      </c>
      <c r="AQ666" s="30" t="str">
        <f aca="false">IF(OR(Y666="判定不能",G666="判定不能"),"判定不能",IF(AP666&gt;=判定条件!$C$9,"利用可",IF(AND(Y666="停止",G666="停止"),"両方停止","運転がそろわない")))</f>
        <v>利用可</v>
      </c>
      <c r="AR666" s="30" t="n">
        <v>60</v>
      </c>
      <c r="AS666" s="30" t="n">
        <v>52</v>
      </c>
      <c r="AT666" s="30" t="str">
        <f aca="false">IF(OR(AB666="判定不能",J666="判定不能"),"判定不能",IF(AS666&gt;=判定条件!$C$9,"利用可",IF(AND(AB666="停止",J666="停止"),"両方停止","運転がそろわない")))</f>
        <v>利用可</v>
      </c>
      <c r="AU666" s="30" t="n">
        <v>60</v>
      </c>
      <c r="AV666" s="30" t="n">
        <v>60</v>
      </c>
      <c r="AW666" s="30" t="str">
        <f aca="false">IF(OR(AE666="判定不能",M666="判定不能"),"判定不能",IF(AV666&gt;=判定条件!$C$9,"利用可",IF(AND(AE666="停止",M666="停止"),"両方停止","運転がそろわない")))</f>
        <v>利用可</v>
      </c>
      <c r="AX666" s="30" t="str">
        <f aca="false">IF(AND(AH666="利用可",AK666="利用可",AN666="利用可"),"利用可","不可")</f>
        <v>不可</v>
      </c>
      <c r="AY666" s="30" t="str">
        <f aca="false">IF(AND(AQ666="利用可",AT666="利用可",AW666="利用可"),"利用可","不可")</f>
        <v>利用可</v>
      </c>
    </row>
    <row r="667" customFormat="false" ht="15" hidden="false" customHeight="false" outlineLevel="0" collapsed="false">
      <c r="A667" s="29" t="n">
        <v>46259</v>
      </c>
      <c r="B667" s="30" t="n">
        <v>16</v>
      </c>
      <c r="C667" s="31" t="s">
        <v>67</v>
      </c>
      <c r="D667" s="31" t="s">
        <v>59</v>
      </c>
      <c r="E667" s="30" t="n">
        <v>60</v>
      </c>
      <c r="F667" s="30" t="n">
        <v>60</v>
      </c>
      <c r="G667" s="30" t="str">
        <f aca="false">IF(E667&lt;判定条件!$C$6,"判定不能",IF(F667&gt;=判定条件!$C$7*E667,"運転",IF(F667&lt;=判定条件!$C$8*E667,"停止","断続")))</f>
        <v>運転</v>
      </c>
      <c r="H667" s="30" t="n">
        <v>60</v>
      </c>
      <c r="I667" s="30" t="n">
        <v>60</v>
      </c>
      <c r="J667" s="30" t="str">
        <f aca="false">IF(H667&lt;判定条件!$C$6,"判定不能",IF(I667&gt;=判定条件!$C$7*H667,"運転",IF(I667&lt;=判定条件!$C$8*H667,"停止","断続")))</f>
        <v>運転</v>
      </c>
      <c r="K667" s="30" t="n">
        <v>60</v>
      </c>
      <c r="L667" s="30" t="n">
        <v>60</v>
      </c>
      <c r="M667" s="30" t="str">
        <f aca="false">IF(K667&lt;判定条件!$C$6,"判定不能",IF(L667&gt;=判定条件!$C$7*K667,"運転",IF(L667&lt;=判定条件!$C$8*K667,"停止","断続")))</f>
        <v>運転</v>
      </c>
      <c r="N667" s="30" t="n">
        <v>60</v>
      </c>
      <c r="O667" s="30" t="n">
        <v>57</v>
      </c>
      <c r="P667" s="30" t="str">
        <f aca="false">IF(N667&lt;判定条件!$C$6,"判定不能",IF(O667&gt;=判定条件!$C$7*N667,"運転",IF(O667&lt;=判定条件!$C$8*N667,"停止","断続")))</f>
        <v>運転</v>
      </c>
      <c r="Q667" s="30" t="n">
        <v>0</v>
      </c>
      <c r="R667" s="30" t="n">
        <v>0</v>
      </c>
      <c r="S667" s="30" t="str">
        <f aca="false">IF(Q667&lt;判定条件!$C$6,"判定不能",IF(R667&gt;=判定条件!$C$7*Q667,"運転",IF(R667&lt;=判定条件!$C$8*Q667,"停止","断続")))</f>
        <v>判定不能</v>
      </c>
      <c r="T667" s="30" t="n">
        <v>60</v>
      </c>
      <c r="U667" s="30" t="n">
        <v>60</v>
      </c>
      <c r="V667" s="30" t="str">
        <f aca="false">IF(T667&lt;判定条件!$C$6,"判定不能",IF(U667&gt;=判定条件!$C$7*T667,"運転",IF(U667&lt;=判定条件!$C$8*T667,"停止","断続")))</f>
        <v>運転</v>
      </c>
      <c r="W667" s="30" t="n">
        <v>60</v>
      </c>
      <c r="X667" s="30" t="n">
        <v>60</v>
      </c>
      <c r="Y667" s="30" t="str">
        <f aca="false">IF(W667&lt;判定条件!$C$6,"判定不能",IF(X667&gt;=判定条件!$C$7*W667,"運転",IF(X667&lt;=判定条件!$C$8*W667,"停止","断続")))</f>
        <v>運転</v>
      </c>
      <c r="Z667" s="30" t="n">
        <v>60</v>
      </c>
      <c r="AA667" s="30" t="n">
        <v>60</v>
      </c>
      <c r="AB667" s="30" t="str">
        <f aca="false">IF(Z667&lt;判定条件!$C$6,"判定不能",IF(AA667&gt;=判定条件!$C$7*Z667,"運転",IF(AA667&lt;=判定条件!$C$8*Z667,"停止","断続")))</f>
        <v>運転</v>
      </c>
      <c r="AC667" s="30" t="n">
        <v>60</v>
      </c>
      <c r="AD667" s="30" t="n">
        <v>60</v>
      </c>
      <c r="AE667" s="30" t="str">
        <f aca="false">IF(AC667&lt;判定条件!$C$6,"判定不能",IF(AD667&gt;=判定条件!$C$7*AC667,"運転",IF(AD667&lt;=判定条件!$C$8*AC667,"停止","断続")))</f>
        <v>運転</v>
      </c>
      <c r="AF667" s="30" t="n">
        <v>60</v>
      </c>
      <c r="AG667" s="30" t="n">
        <v>57</v>
      </c>
      <c r="AH667" s="30" t="str">
        <f aca="false">IF(OR(P667="判定不能",G667="判定不能"),"判定不能",IF(AG667&gt;=判定条件!$C$9,"利用可",IF(AND(P667="停止",G667="停止"),"両方停止","運転がそろわない")))</f>
        <v>利用可</v>
      </c>
      <c r="AI667" s="30" t="n">
        <v>0</v>
      </c>
      <c r="AJ667" s="30" t="n">
        <v>0</v>
      </c>
      <c r="AK667" s="30" t="str">
        <f aca="false">IF(OR(S667="判定不能",J667="判定不能"),"判定不能",IF(AJ667&gt;=判定条件!$C$9,"利用可",IF(AND(S667="停止",J667="停止"),"両方停止","運転がそろわない")))</f>
        <v>判定不能</v>
      </c>
      <c r="AL667" s="30" t="n">
        <v>60</v>
      </c>
      <c r="AM667" s="30" t="n">
        <v>60</v>
      </c>
      <c r="AN667" s="30" t="str">
        <f aca="false">IF(OR(V667="判定不能",M667="判定不能"),"判定不能",IF(AM667&gt;=判定条件!$C$9,"利用可",IF(AND(V667="停止",M667="停止"),"両方停止","運転がそろわない")))</f>
        <v>利用可</v>
      </c>
      <c r="AO667" s="30" t="n">
        <v>60</v>
      </c>
      <c r="AP667" s="30" t="n">
        <v>60</v>
      </c>
      <c r="AQ667" s="30" t="str">
        <f aca="false">IF(OR(Y667="判定不能",G667="判定不能"),"判定不能",IF(AP667&gt;=判定条件!$C$9,"利用可",IF(AND(Y667="停止",G667="停止"),"両方停止","運転がそろわない")))</f>
        <v>利用可</v>
      </c>
      <c r="AR667" s="30" t="n">
        <v>60</v>
      </c>
      <c r="AS667" s="30" t="n">
        <v>60</v>
      </c>
      <c r="AT667" s="30" t="str">
        <f aca="false">IF(OR(AB667="判定不能",J667="判定不能"),"判定不能",IF(AS667&gt;=判定条件!$C$9,"利用可",IF(AND(AB667="停止",J667="停止"),"両方停止","運転がそろわない")))</f>
        <v>利用可</v>
      </c>
      <c r="AU667" s="30" t="n">
        <v>60</v>
      </c>
      <c r="AV667" s="30" t="n">
        <v>60</v>
      </c>
      <c r="AW667" s="30" t="str">
        <f aca="false">IF(OR(AE667="判定不能",M667="判定不能"),"判定不能",IF(AV667&gt;=判定条件!$C$9,"利用可",IF(AND(AE667="停止",M667="停止"),"両方停止","運転がそろわない")))</f>
        <v>利用可</v>
      </c>
      <c r="AX667" s="30" t="str">
        <f aca="false">IF(AND(AH667="利用可",AK667="利用可",AN667="利用可"),"利用可","不可")</f>
        <v>不可</v>
      </c>
      <c r="AY667" s="30" t="str">
        <f aca="false">IF(AND(AQ667="利用可",AT667="利用可",AW667="利用可"),"利用可","不可")</f>
        <v>利用可</v>
      </c>
    </row>
    <row r="668" customFormat="false" ht="15" hidden="false" customHeight="false" outlineLevel="0" collapsed="false">
      <c r="A668" s="29" t="n">
        <v>46259</v>
      </c>
      <c r="B668" s="30" t="n">
        <v>17</v>
      </c>
      <c r="C668" s="31" t="s">
        <v>67</v>
      </c>
      <c r="D668" s="31" t="s">
        <v>59</v>
      </c>
      <c r="E668" s="30" t="n">
        <v>60</v>
      </c>
      <c r="F668" s="30" t="n">
        <v>60</v>
      </c>
      <c r="G668" s="30" t="str">
        <f aca="false">IF(E668&lt;判定条件!$C$6,"判定不能",IF(F668&gt;=判定条件!$C$7*E668,"運転",IF(F668&lt;=判定条件!$C$8*E668,"停止","断続")))</f>
        <v>運転</v>
      </c>
      <c r="H668" s="30" t="n">
        <v>60</v>
      </c>
      <c r="I668" s="30" t="n">
        <v>60</v>
      </c>
      <c r="J668" s="30" t="str">
        <f aca="false">IF(H668&lt;判定条件!$C$6,"判定不能",IF(I668&gt;=判定条件!$C$7*H668,"運転",IF(I668&lt;=判定条件!$C$8*H668,"停止","断続")))</f>
        <v>運転</v>
      </c>
      <c r="K668" s="30" t="n">
        <v>60</v>
      </c>
      <c r="L668" s="30" t="n">
        <v>60</v>
      </c>
      <c r="M668" s="30" t="str">
        <f aca="false">IF(K668&lt;判定条件!$C$6,"判定不能",IF(L668&gt;=判定条件!$C$7*K668,"運転",IF(L668&lt;=判定条件!$C$8*K668,"停止","断続")))</f>
        <v>運転</v>
      </c>
      <c r="N668" s="30" t="n">
        <v>60</v>
      </c>
      <c r="O668" s="30" t="n">
        <v>53</v>
      </c>
      <c r="P668" s="30" t="str">
        <f aca="false">IF(N668&lt;判定条件!$C$6,"判定不能",IF(O668&gt;=判定条件!$C$7*N668,"運転",IF(O668&lt;=判定条件!$C$8*N668,"停止","断続")))</f>
        <v>運転</v>
      </c>
      <c r="Q668" s="30" t="n">
        <v>0</v>
      </c>
      <c r="R668" s="30" t="n">
        <v>0</v>
      </c>
      <c r="S668" s="30" t="str">
        <f aca="false">IF(Q668&lt;判定条件!$C$6,"判定不能",IF(R668&gt;=判定条件!$C$7*Q668,"運転",IF(R668&lt;=判定条件!$C$8*Q668,"停止","断続")))</f>
        <v>判定不能</v>
      </c>
      <c r="T668" s="30" t="n">
        <v>60</v>
      </c>
      <c r="U668" s="30" t="n">
        <v>34</v>
      </c>
      <c r="V668" s="30" t="str">
        <f aca="false">IF(T668&lt;判定条件!$C$6,"判定不能",IF(U668&gt;=判定条件!$C$7*T668,"運転",IF(U668&lt;=判定条件!$C$8*T668,"停止","断続")))</f>
        <v>断続</v>
      </c>
      <c r="W668" s="30" t="n">
        <v>60</v>
      </c>
      <c r="X668" s="30" t="n">
        <v>60</v>
      </c>
      <c r="Y668" s="30" t="str">
        <f aca="false">IF(W668&lt;判定条件!$C$6,"判定不能",IF(X668&gt;=判定条件!$C$7*W668,"運転",IF(X668&lt;=判定条件!$C$8*W668,"停止","断続")))</f>
        <v>運転</v>
      </c>
      <c r="Z668" s="30" t="n">
        <v>60</v>
      </c>
      <c r="AA668" s="30" t="n">
        <v>60</v>
      </c>
      <c r="AB668" s="30" t="str">
        <f aca="false">IF(Z668&lt;判定条件!$C$6,"判定不能",IF(AA668&gt;=判定条件!$C$7*Z668,"運転",IF(AA668&lt;=判定条件!$C$8*Z668,"停止","断続")))</f>
        <v>運転</v>
      </c>
      <c r="AC668" s="30" t="n">
        <v>60</v>
      </c>
      <c r="AD668" s="30" t="n">
        <v>44</v>
      </c>
      <c r="AE668" s="30" t="str">
        <f aca="false">IF(AC668&lt;判定条件!$C$6,"判定不能",IF(AD668&gt;=判定条件!$C$7*AC668,"運転",IF(AD668&lt;=判定条件!$C$8*AC668,"停止","断続")))</f>
        <v>断続</v>
      </c>
      <c r="AF668" s="30" t="n">
        <v>60</v>
      </c>
      <c r="AG668" s="30" t="n">
        <v>53</v>
      </c>
      <c r="AH668" s="30" t="str">
        <f aca="false">IF(OR(P668="判定不能",G668="判定不能"),"判定不能",IF(AG668&gt;=判定条件!$C$9,"利用可",IF(AND(P668="停止",G668="停止"),"両方停止","運転がそろわない")))</f>
        <v>利用可</v>
      </c>
      <c r="AI668" s="30" t="n">
        <v>0</v>
      </c>
      <c r="AJ668" s="30" t="n">
        <v>0</v>
      </c>
      <c r="AK668" s="30" t="str">
        <f aca="false">IF(OR(S668="判定不能",J668="判定不能"),"判定不能",IF(AJ668&gt;=判定条件!$C$9,"利用可",IF(AND(S668="停止",J668="停止"),"両方停止","運転がそろわない")))</f>
        <v>判定不能</v>
      </c>
      <c r="AL668" s="30" t="n">
        <v>60</v>
      </c>
      <c r="AM668" s="30" t="n">
        <v>34</v>
      </c>
      <c r="AN668" s="30" t="str">
        <f aca="false">IF(OR(V668="判定不能",M668="判定不能"),"判定不能",IF(AM668&gt;=判定条件!$C$9,"利用可",IF(AND(V668="停止",M668="停止"),"両方停止","運転がそろわない")))</f>
        <v>利用可</v>
      </c>
      <c r="AO668" s="30" t="n">
        <v>60</v>
      </c>
      <c r="AP668" s="30" t="n">
        <v>60</v>
      </c>
      <c r="AQ668" s="30" t="str">
        <f aca="false">IF(OR(Y668="判定不能",G668="判定不能"),"判定不能",IF(AP668&gt;=判定条件!$C$9,"利用可",IF(AND(Y668="停止",G668="停止"),"両方停止","運転がそろわない")))</f>
        <v>利用可</v>
      </c>
      <c r="AR668" s="30" t="n">
        <v>60</v>
      </c>
      <c r="AS668" s="30" t="n">
        <v>60</v>
      </c>
      <c r="AT668" s="30" t="str">
        <f aca="false">IF(OR(AB668="判定不能",J668="判定不能"),"判定不能",IF(AS668&gt;=判定条件!$C$9,"利用可",IF(AND(AB668="停止",J668="停止"),"両方停止","運転がそろわない")))</f>
        <v>利用可</v>
      </c>
      <c r="AU668" s="30" t="n">
        <v>60</v>
      </c>
      <c r="AV668" s="30" t="n">
        <v>44</v>
      </c>
      <c r="AW668" s="30" t="str">
        <f aca="false">IF(OR(AE668="判定不能",M668="判定不能"),"判定不能",IF(AV668&gt;=判定条件!$C$9,"利用可",IF(AND(AE668="停止",M668="停止"),"両方停止","運転がそろわない")))</f>
        <v>利用可</v>
      </c>
      <c r="AX668" s="30" t="str">
        <f aca="false">IF(AND(AH668="利用可",AK668="利用可",AN668="利用可"),"利用可","不可")</f>
        <v>不可</v>
      </c>
      <c r="AY668" s="30" t="str">
        <f aca="false">IF(AND(AQ668="利用可",AT668="利用可",AW668="利用可"),"利用可","不可")</f>
        <v>利用可</v>
      </c>
    </row>
    <row r="669" customFormat="false" ht="15" hidden="false" customHeight="false" outlineLevel="0" collapsed="false">
      <c r="A669" s="29" t="n">
        <v>46259</v>
      </c>
      <c r="B669" s="30" t="n">
        <v>18</v>
      </c>
      <c r="C669" s="31" t="s">
        <v>67</v>
      </c>
      <c r="D669" s="31" t="s">
        <v>59</v>
      </c>
      <c r="E669" s="30" t="n">
        <v>60</v>
      </c>
      <c r="F669" s="30" t="n">
        <v>60</v>
      </c>
      <c r="G669" s="30" t="str">
        <f aca="false">IF(E669&lt;判定条件!$C$6,"判定不能",IF(F669&gt;=判定条件!$C$7*E669,"運転",IF(F669&lt;=判定条件!$C$8*E669,"停止","断続")))</f>
        <v>運転</v>
      </c>
      <c r="H669" s="30" t="n">
        <v>60</v>
      </c>
      <c r="I669" s="30" t="n">
        <v>60</v>
      </c>
      <c r="J669" s="30" t="str">
        <f aca="false">IF(H669&lt;判定条件!$C$6,"判定不能",IF(I669&gt;=判定条件!$C$7*H669,"運転",IF(I669&lt;=判定条件!$C$8*H669,"停止","断続")))</f>
        <v>運転</v>
      </c>
      <c r="K669" s="30" t="n">
        <v>60</v>
      </c>
      <c r="L669" s="30" t="n">
        <v>60</v>
      </c>
      <c r="M669" s="30" t="str">
        <f aca="false">IF(K669&lt;判定条件!$C$6,"判定不能",IF(L669&gt;=判定条件!$C$7*K669,"運転",IF(L669&lt;=判定条件!$C$8*K669,"停止","断続")))</f>
        <v>運転</v>
      </c>
      <c r="N669" s="30" t="n">
        <v>60</v>
      </c>
      <c r="O669" s="30" t="n">
        <v>56</v>
      </c>
      <c r="P669" s="30" t="str">
        <f aca="false">IF(N669&lt;判定条件!$C$6,"判定不能",IF(O669&gt;=判定条件!$C$7*N669,"運転",IF(O669&lt;=判定条件!$C$8*N669,"停止","断続")))</f>
        <v>運転</v>
      </c>
      <c r="Q669" s="30" t="n">
        <v>0</v>
      </c>
      <c r="R669" s="30" t="n">
        <v>0</v>
      </c>
      <c r="S669" s="30" t="str">
        <f aca="false">IF(Q669&lt;判定条件!$C$6,"判定不能",IF(R669&gt;=判定条件!$C$7*Q669,"運転",IF(R669&lt;=判定条件!$C$8*Q669,"停止","断続")))</f>
        <v>判定不能</v>
      </c>
      <c r="T669" s="30" t="n">
        <v>60</v>
      </c>
      <c r="U669" s="30" t="n">
        <v>23</v>
      </c>
      <c r="V669" s="30" t="str">
        <f aca="false">IF(T669&lt;判定条件!$C$6,"判定不能",IF(U669&gt;=判定条件!$C$7*T669,"運転",IF(U669&lt;=判定条件!$C$8*T669,"停止","断続")))</f>
        <v>断続</v>
      </c>
      <c r="W669" s="30" t="n">
        <v>60</v>
      </c>
      <c r="X669" s="30" t="n">
        <v>60</v>
      </c>
      <c r="Y669" s="30" t="str">
        <f aca="false">IF(W669&lt;判定条件!$C$6,"判定不能",IF(X669&gt;=判定条件!$C$7*W669,"運転",IF(X669&lt;=判定条件!$C$8*W669,"停止","断続")))</f>
        <v>運転</v>
      </c>
      <c r="Z669" s="30" t="n">
        <v>60</v>
      </c>
      <c r="AA669" s="30" t="n">
        <v>47</v>
      </c>
      <c r="AB669" s="30" t="str">
        <f aca="false">IF(Z669&lt;判定条件!$C$6,"判定不能",IF(AA669&gt;=判定条件!$C$7*Z669,"運転",IF(AA669&lt;=判定条件!$C$8*Z669,"停止","断続")))</f>
        <v>断続</v>
      </c>
      <c r="AC669" s="30" t="n">
        <v>60</v>
      </c>
      <c r="AD669" s="30" t="n">
        <v>39</v>
      </c>
      <c r="AE669" s="30" t="str">
        <f aca="false">IF(AC669&lt;判定条件!$C$6,"判定不能",IF(AD669&gt;=判定条件!$C$7*AC669,"運転",IF(AD669&lt;=判定条件!$C$8*AC669,"停止","断続")))</f>
        <v>断続</v>
      </c>
      <c r="AF669" s="30" t="n">
        <v>60</v>
      </c>
      <c r="AG669" s="30" t="n">
        <v>56</v>
      </c>
      <c r="AH669" s="30" t="str">
        <f aca="false">IF(OR(P669="判定不能",G669="判定不能"),"判定不能",IF(AG669&gt;=判定条件!$C$9,"利用可",IF(AND(P669="停止",G669="停止"),"両方停止","運転がそろわない")))</f>
        <v>利用可</v>
      </c>
      <c r="AI669" s="30" t="n">
        <v>0</v>
      </c>
      <c r="AJ669" s="30" t="n">
        <v>0</v>
      </c>
      <c r="AK669" s="30" t="str">
        <f aca="false">IF(OR(S669="判定不能",J669="判定不能"),"判定不能",IF(AJ669&gt;=判定条件!$C$9,"利用可",IF(AND(S669="停止",J669="停止"),"両方停止","運転がそろわない")))</f>
        <v>判定不能</v>
      </c>
      <c r="AL669" s="30" t="n">
        <v>60</v>
      </c>
      <c r="AM669" s="30" t="n">
        <v>23</v>
      </c>
      <c r="AN669" s="30" t="str">
        <f aca="false">IF(OR(V669="判定不能",M669="判定不能"),"判定不能",IF(AM669&gt;=判定条件!$C$9,"利用可",IF(AND(V669="停止",M669="停止"),"両方停止","運転がそろわない")))</f>
        <v>運転がそろわない</v>
      </c>
      <c r="AO669" s="30" t="n">
        <v>60</v>
      </c>
      <c r="AP669" s="30" t="n">
        <v>60</v>
      </c>
      <c r="AQ669" s="30" t="str">
        <f aca="false">IF(OR(Y669="判定不能",G669="判定不能"),"判定不能",IF(AP669&gt;=判定条件!$C$9,"利用可",IF(AND(Y669="停止",G669="停止"),"両方停止","運転がそろわない")))</f>
        <v>利用可</v>
      </c>
      <c r="AR669" s="30" t="n">
        <v>60</v>
      </c>
      <c r="AS669" s="30" t="n">
        <v>47</v>
      </c>
      <c r="AT669" s="30" t="str">
        <f aca="false">IF(OR(AB669="判定不能",J669="判定不能"),"判定不能",IF(AS669&gt;=判定条件!$C$9,"利用可",IF(AND(AB669="停止",J669="停止"),"両方停止","運転がそろわない")))</f>
        <v>利用可</v>
      </c>
      <c r="AU669" s="30" t="n">
        <v>60</v>
      </c>
      <c r="AV669" s="30" t="n">
        <v>39</v>
      </c>
      <c r="AW669" s="30" t="str">
        <f aca="false">IF(OR(AE669="判定不能",M669="判定不能"),"判定不能",IF(AV669&gt;=判定条件!$C$9,"利用可",IF(AND(AE669="停止",M669="停止"),"両方停止","運転がそろわない")))</f>
        <v>利用可</v>
      </c>
      <c r="AX669" s="30" t="str">
        <f aca="false">IF(AND(AH669="利用可",AK669="利用可",AN669="利用可"),"利用可","不可")</f>
        <v>不可</v>
      </c>
      <c r="AY669" s="30" t="str">
        <f aca="false">IF(AND(AQ669="利用可",AT669="利用可",AW669="利用可"),"利用可","不可")</f>
        <v>利用可</v>
      </c>
    </row>
    <row r="670" customFormat="false" ht="15" hidden="false" customHeight="false" outlineLevel="0" collapsed="false">
      <c r="A670" s="29" t="n">
        <v>46259</v>
      </c>
      <c r="B670" s="30" t="n">
        <v>19</v>
      </c>
      <c r="C670" s="31" t="s">
        <v>67</v>
      </c>
      <c r="D670" s="31" t="s">
        <v>59</v>
      </c>
      <c r="E670" s="30" t="n">
        <v>60</v>
      </c>
      <c r="F670" s="30" t="n">
        <v>60</v>
      </c>
      <c r="G670" s="30" t="str">
        <f aca="false">IF(E670&lt;判定条件!$C$6,"判定不能",IF(F670&gt;=判定条件!$C$7*E670,"運転",IF(F670&lt;=判定条件!$C$8*E670,"停止","断続")))</f>
        <v>運転</v>
      </c>
      <c r="H670" s="30" t="n">
        <v>60</v>
      </c>
      <c r="I670" s="30" t="n">
        <v>55</v>
      </c>
      <c r="J670" s="30" t="str">
        <f aca="false">IF(H670&lt;判定条件!$C$6,"判定不能",IF(I670&gt;=判定条件!$C$7*H670,"運転",IF(I670&lt;=判定条件!$C$8*H670,"停止","断続")))</f>
        <v>運転</v>
      </c>
      <c r="K670" s="30" t="n">
        <v>60</v>
      </c>
      <c r="L670" s="30" t="n">
        <v>60</v>
      </c>
      <c r="M670" s="30" t="str">
        <f aca="false">IF(K670&lt;判定条件!$C$6,"判定不能",IF(L670&gt;=判定条件!$C$7*K670,"運転",IF(L670&lt;=判定条件!$C$8*K670,"停止","断続")))</f>
        <v>運転</v>
      </c>
      <c r="N670" s="30" t="n">
        <v>60</v>
      </c>
      <c r="O670" s="30" t="n">
        <v>60</v>
      </c>
      <c r="P670" s="30" t="str">
        <f aca="false">IF(N670&lt;判定条件!$C$6,"判定不能",IF(O670&gt;=判定条件!$C$7*N670,"運転",IF(O670&lt;=判定条件!$C$8*N670,"停止","断続")))</f>
        <v>運転</v>
      </c>
      <c r="Q670" s="30" t="n">
        <v>0</v>
      </c>
      <c r="R670" s="30" t="n">
        <v>0</v>
      </c>
      <c r="S670" s="30" t="str">
        <f aca="false">IF(Q670&lt;判定条件!$C$6,"判定不能",IF(R670&gt;=判定条件!$C$7*Q670,"運転",IF(R670&lt;=判定条件!$C$8*Q670,"停止","断続")))</f>
        <v>判定不能</v>
      </c>
      <c r="T670" s="30" t="n">
        <v>60</v>
      </c>
      <c r="U670" s="30" t="n">
        <v>60</v>
      </c>
      <c r="V670" s="30" t="str">
        <f aca="false">IF(T670&lt;判定条件!$C$6,"判定不能",IF(U670&gt;=判定条件!$C$7*T670,"運転",IF(U670&lt;=判定条件!$C$8*T670,"停止","断続")))</f>
        <v>運転</v>
      </c>
      <c r="W670" s="30" t="n">
        <v>60</v>
      </c>
      <c r="X670" s="30" t="n">
        <v>11</v>
      </c>
      <c r="Y670" s="30" t="str">
        <f aca="false">IF(W670&lt;判定条件!$C$6,"判定不能",IF(X670&gt;=判定条件!$C$7*W670,"運転",IF(X670&lt;=判定条件!$C$8*W670,"停止","断続")))</f>
        <v>停止</v>
      </c>
      <c r="Z670" s="30" t="n">
        <v>60</v>
      </c>
      <c r="AA670" s="30" t="n">
        <v>4</v>
      </c>
      <c r="AB670" s="30" t="str">
        <f aca="false">IF(Z670&lt;判定条件!$C$6,"判定不能",IF(AA670&gt;=判定条件!$C$7*Z670,"運転",IF(AA670&lt;=判定条件!$C$8*Z670,"停止","断続")))</f>
        <v>停止</v>
      </c>
      <c r="AC670" s="30" t="n">
        <v>60</v>
      </c>
      <c r="AD670" s="30" t="n">
        <v>10</v>
      </c>
      <c r="AE670" s="30" t="str">
        <f aca="false">IF(AC670&lt;判定条件!$C$6,"判定不能",IF(AD670&gt;=判定条件!$C$7*AC670,"運転",IF(AD670&lt;=判定条件!$C$8*AC670,"停止","断続")))</f>
        <v>停止</v>
      </c>
      <c r="AF670" s="30" t="n">
        <v>60</v>
      </c>
      <c r="AG670" s="30" t="n">
        <v>60</v>
      </c>
      <c r="AH670" s="30" t="str">
        <f aca="false">IF(OR(P670="判定不能",G670="判定不能"),"判定不能",IF(AG670&gt;=判定条件!$C$9,"利用可",IF(AND(P670="停止",G670="停止"),"両方停止","運転がそろわない")))</f>
        <v>利用可</v>
      </c>
      <c r="AI670" s="30" t="n">
        <v>0</v>
      </c>
      <c r="AJ670" s="30" t="n">
        <v>0</v>
      </c>
      <c r="AK670" s="30" t="str">
        <f aca="false">IF(OR(S670="判定不能",J670="判定不能"),"判定不能",IF(AJ670&gt;=判定条件!$C$9,"利用可",IF(AND(S670="停止",J670="停止"),"両方停止","運転がそろわない")))</f>
        <v>判定不能</v>
      </c>
      <c r="AL670" s="30" t="n">
        <v>60</v>
      </c>
      <c r="AM670" s="30" t="n">
        <v>60</v>
      </c>
      <c r="AN670" s="30" t="str">
        <f aca="false">IF(OR(V670="判定不能",M670="判定不能"),"判定不能",IF(AM670&gt;=判定条件!$C$9,"利用可",IF(AND(V670="停止",M670="停止"),"両方停止","運転がそろわない")))</f>
        <v>利用可</v>
      </c>
      <c r="AO670" s="30" t="n">
        <v>60</v>
      </c>
      <c r="AP670" s="30" t="n">
        <v>11</v>
      </c>
      <c r="AQ670" s="30" t="str">
        <f aca="false">IF(OR(Y670="判定不能",G670="判定不能"),"判定不能",IF(AP670&gt;=判定条件!$C$9,"利用可",IF(AND(Y670="停止",G670="停止"),"両方停止","運転がそろわない")))</f>
        <v>運転がそろわない</v>
      </c>
      <c r="AR670" s="30" t="n">
        <v>60</v>
      </c>
      <c r="AS670" s="30" t="n">
        <v>4</v>
      </c>
      <c r="AT670" s="30" t="str">
        <f aca="false">IF(OR(AB670="判定不能",J670="判定不能"),"判定不能",IF(AS670&gt;=判定条件!$C$9,"利用可",IF(AND(AB670="停止",J670="停止"),"両方停止","運転がそろわない")))</f>
        <v>運転がそろわない</v>
      </c>
      <c r="AU670" s="30" t="n">
        <v>60</v>
      </c>
      <c r="AV670" s="30" t="n">
        <v>10</v>
      </c>
      <c r="AW670" s="30" t="str">
        <f aca="false">IF(OR(AE670="判定不能",M670="判定不能"),"判定不能",IF(AV670&gt;=判定条件!$C$9,"利用可",IF(AND(AE670="停止",M670="停止"),"両方停止","運転がそろわない")))</f>
        <v>運転がそろわない</v>
      </c>
      <c r="AX670" s="30" t="str">
        <f aca="false">IF(AND(AH670="利用可",AK670="利用可",AN670="利用可"),"利用可","不可")</f>
        <v>不可</v>
      </c>
      <c r="AY670" s="30" t="str">
        <f aca="false">IF(AND(AQ670="利用可",AT670="利用可",AW670="利用可"),"利用可","不可")</f>
        <v>不可</v>
      </c>
    </row>
    <row r="671" customFormat="false" ht="15" hidden="false" customHeight="false" outlineLevel="0" collapsed="false">
      <c r="A671" s="29" t="n">
        <v>46259</v>
      </c>
      <c r="B671" s="30" t="n">
        <v>20</v>
      </c>
      <c r="C671" s="31" t="s">
        <v>67</v>
      </c>
      <c r="D671" s="31" t="s">
        <v>59</v>
      </c>
      <c r="E671" s="30" t="n">
        <v>60</v>
      </c>
      <c r="F671" s="30" t="n">
        <v>47</v>
      </c>
      <c r="G671" s="30" t="str">
        <f aca="false">IF(E671&lt;判定条件!$C$6,"判定不能",IF(F671&gt;=判定条件!$C$7*E671,"運転",IF(F671&lt;=判定条件!$C$8*E671,"停止","断続")))</f>
        <v>断続</v>
      </c>
      <c r="H671" s="30" t="n">
        <v>60</v>
      </c>
      <c r="I671" s="30" t="n">
        <v>46</v>
      </c>
      <c r="J671" s="30" t="str">
        <f aca="false">IF(H671&lt;判定条件!$C$6,"判定不能",IF(I671&gt;=判定条件!$C$7*H671,"運転",IF(I671&lt;=判定条件!$C$8*H671,"停止","断続")))</f>
        <v>断続</v>
      </c>
      <c r="K671" s="30" t="n">
        <v>60</v>
      </c>
      <c r="L671" s="30" t="n">
        <v>48</v>
      </c>
      <c r="M671" s="30" t="str">
        <f aca="false">IF(K671&lt;判定条件!$C$6,"判定不能",IF(L671&gt;=判定条件!$C$7*K671,"運転",IF(L671&lt;=判定条件!$C$8*K671,"停止","断続")))</f>
        <v>運転</v>
      </c>
      <c r="N671" s="30" t="n">
        <v>60</v>
      </c>
      <c r="O671" s="30" t="n">
        <v>7</v>
      </c>
      <c r="P671" s="30" t="str">
        <f aca="false">IF(N671&lt;判定条件!$C$6,"判定不能",IF(O671&gt;=判定条件!$C$7*N671,"運転",IF(O671&lt;=判定条件!$C$8*N671,"停止","断続")))</f>
        <v>停止</v>
      </c>
      <c r="Q671" s="30" t="n">
        <v>0</v>
      </c>
      <c r="R671" s="30" t="n">
        <v>0</v>
      </c>
      <c r="S671" s="30" t="str">
        <f aca="false">IF(Q671&lt;判定条件!$C$6,"判定不能",IF(R671&gt;=判定条件!$C$7*Q671,"運転",IF(R671&lt;=判定条件!$C$8*Q671,"停止","断続")))</f>
        <v>判定不能</v>
      </c>
      <c r="T671" s="30" t="n">
        <v>60</v>
      </c>
      <c r="U671" s="30" t="n">
        <v>33</v>
      </c>
      <c r="V671" s="30" t="str">
        <f aca="false">IF(T671&lt;判定条件!$C$6,"判定不能",IF(U671&gt;=判定条件!$C$7*T671,"運転",IF(U671&lt;=判定条件!$C$8*T671,"停止","断続")))</f>
        <v>断続</v>
      </c>
      <c r="W671" s="30" t="n">
        <v>60</v>
      </c>
      <c r="X671" s="30" t="n">
        <v>0</v>
      </c>
      <c r="Y671" s="30" t="str">
        <f aca="false">IF(W671&lt;判定条件!$C$6,"判定不能",IF(X671&gt;=判定条件!$C$7*W671,"運転",IF(X671&lt;=判定条件!$C$8*W671,"停止","断続")))</f>
        <v>停止</v>
      </c>
      <c r="Z671" s="30" t="n">
        <v>60</v>
      </c>
      <c r="AA671" s="30" t="n">
        <v>0</v>
      </c>
      <c r="AB671" s="30" t="str">
        <f aca="false">IF(Z671&lt;判定条件!$C$6,"判定不能",IF(AA671&gt;=判定条件!$C$7*Z671,"運転",IF(AA671&lt;=判定条件!$C$8*Z671,"停止","断続")))</f>
        <v>停止</v>
      </c>
      <c r="AC671" s="30" t="n">
        <v>60</v>
      </c>
      <c r="AD671" s="30" t="n">
        <v>0</v>
      </c>
      <c r="AE671" s="30" t="str">
        <f aca="false">IF(AC671&lt;判定条件!$C$6,"判定不能",IF(AD671&gt;=判定条件!$C$7*AC671,"運転",IF(AD671&lt;=判定条件!$C$8*AC671,"停止","断続")))</f>
        <v>停止</v>
      </c>
      <c r="AF671" s="30" t="n">
        <v>60</v>
      </c>
      <c r="AG671" s="30" t="n">
        <v>7</v>
      </c>
      <c r="AH671" s="30" t="str">
        <f aca="false">IF(OR(P671="判定不能",G671="判定不能"),"判定不能",IF(AG671&gt;=判定条件!$C$9,"利用可",IF(AND(P671="停止",G671="停止"),"両方停止","運転がそろわない")))</f>
        <v>運転がそろわない</v>
      </c>
      <c r="AI671" s="30" t="n">
        <v>0</v>
      </c>
      <c r="AJ671" s="30" t="n">
        <v>0</v>
      </c>
      <c r="AK671" s="30" t="str">
        <f aca="false">IF(OR(S671="判定不能",J671="判定不能"),"判定不能",IF(AJ671&gt;=判定条件!$C$9,"利用可",IF(AND(S671="停止",J671="停止"),"両方停止","運転がそろわない")))</f>
        <v>判定不能</v>
      </c>
      <c r="AL671" s="30" t="n">
        <v>60</v>
      </c>
      <c r="AM671" s="30" t="n">
        <v>25</v>
      </c>
      <c r="AN671" s="30" t="str">
        <f aca="false">IF(OR(V671="判定不能",M671="判定不能"),"判定不能",IF(AM671&gt;=判定条件!$C$9,"利用可",IF(AND(V671="停止",M671="停止"),"両方停止","運転がそろわない")))</f>
        <v>運転がそろわない</v>
      </c>
      <c r="AO671" s="30" t="n">
        <v>60</v>
      </c>
      <c r="AP671" s="30" t="n">
        <v>0</v>
      </c>
      <c r="AQ671" s="30" t="str">
        <f aca="false">IF(OR(Y671="判定不能",G671="判定不能"),"判定不能",IF(AP671&gt;=判定条件!$C$9,"利用可",IF(AND(Y671="停止",G671="停止"),"両方停止","運転がそろわない")))</f>
        <v>運転がそろわない</v>
      </c>
      <c r="AR671" s="30" t="n">
        <v>60</v>
      </c>
      <c r="AS671" s="30" t="n">
        <v>0</v>
      </c>
      <c r="AT671" s="30" t="str">
        <f aca="false">IF(OR(AB671="判定不能",J671="判定不能"),"判定不能",IF(AS671&gt;=判定条件!$C$9,"利用可",IF(AND(AB671="停止",J671="停止"),"両方停止","運転がそろわない")))</f>
        <v>運転がそろわない</v>
      </c>
      <c r="AU671" s="30" t="n">
        <v>60</v>
      </c>
      <c r="AV671" s="30" t="n">
        <v>0</v>
      </c>
      <c r="AW671" s="30" t="str">
        <f aca="false">IF(OR(AE671="判定不能",M671="判定不能"),"判定不能",IF(AV671&gt;=判定条件!$C$9,"利用可",IF(AND(AE671="停止",M671="停止"),"両方停止","運転がそろわない")))</f>
        <v>運転がそろわない</v>
      </c>
      <c r="AX671" s="30" t="str">
        <f aca="false">IF(AND(AH671="利用可",AK671="利用可",AN671="利用可"),"利用可","不可")</f>
        <v>不可</v>
      </c>
      <c r="AY671" s="30" t="str">
        <f aca="false">IF(AND(AQ671="利用可",AT671="利用可",AW671="利用可"),"利用可","不可")</f>
        <v>不可</v>
      </c>
    </row>
    <row r="672" customFormat="false" ht="15" hidden="false" customHeight="false" outlineLevel="0" collapsed="false">
      <c r="A672" s="29" t="n">
        <v>46259</v>
      </c>
      <c r="B672" s="30" t="n">
        <v>21</v>
      </c>
      <c r="C672" s="31" t="s">
        <v>67</v>
      </c>
      <c r="D672" s="31" t="s">
        <v>59</v>
      </c>
      <c r="E672" s="30" t="n">
        <v>60</v>
      </c>
      <c r="F672" s="30" t="n">
        <v>0</v>
      </c>
      <c r="G672" s="30" t="str">
        <f aca="false">IF(E672&lt;判定条件!$C$6,"判定不能",IF(F672&gt;=判定条件!$C$7*E672,"運転",IF(F672&lt;=判定条件!$C$8*E672,"停止","断続")))</f>
        <v>停止</v>
      </c>
      <c r="H672" s="30" t="n">
        <v>60</v>
      </c>
      <c r="I672" s="30" t="n">
        <v>0</v>
      </c>
      <c r="J672" s="30" t="str">
        <f aca="false">IF(H672&lt;判定条件!$C$6,"判定不能",IF(I672&gt;=判定条件!$C$7*H672,"運転",IF(I672&lt;=判定条件!$C$8*H672,"停止","断続")))</f>
        <v>停止</v>
      </c>
      <c r="K672" s="30" t="n">
        <v>60</v>
      </c>
      <c r="L672" s="30" t="n">
        <v>0</v>
      </c>
      <c r="M672" s="30" t="str">
        <f aca="false">IF(K672&lt;判定条件!$C$6,"判定不能",IF(L672&gt;=判定条件!$C$7*K672,"運転",IF(L672&lt;=判定条件!$C$8*K672,"停止","断続")))</f>
        <v>停止</v>
      </c>
      <c r="N672" s="30" t="n">
        <v>60</v>
      </c>
      <c r="O672" s="30" t="n">
        <v>0</v>
      </c>
      <c r="P672" s="30" t="str">
        <f aca="false">IF(N672&lt;判定条件!$C$6,"判定不能",IF(O672&gt;=判定条件!$C$7*N672,"運転",IF(O672&lt;=判定条件!$C$8*N672,"停止","断続")))</f>
        <v>停止</v>
      </c>
      <c r="Q672" s="30" t="n">
        <v>0</v>
      </c>
      <c r="R672" s="30" t="n">
        <v>0</v>
      </c>
      <c r="S672" s="30" t="str">
        <f aca="false">IF(Q672&lt;判定条件!$C$6,"判定不能",IF(R672&gt;=判定条件!$C$7*Q672,"運転",IF(R672&lt;=判定条件!$C$8*Q672,"停止","断続")))</f>
        <v>判定不能</v>
      </c>
      <c r="T672" s="30" t="n">
        <v>60</v>
      </c>
      <c r="U672" s="30" t="n">
        <v>38</v>
      </c>
      <c r="V672" s="30" t="str">
        <f aca="false">IF(T672&lt;判定条件!$C$6,"判定不能",IF(U672&gt;=判定条件!$C$7*T672,"運転",IF(U672&lt;=判定条件!$C$8*T672,"停止","断続")))</f>
        <v>断続</v>
      </c>
      <c r="W672" s="30" t="n">
        <v>60</v>
      </c>
      <c r="X672" s="30" t="n">
        <v>0</v>
      </c>
      <c r="Y672" s="30" t="str">
        <f aca="false">IF(W672&lt;判定条件!$C$6,"判定不能",IF(X672&gt;=判定条件!$C$7*W672,"運転",IF(X672&lt;=判定条件!$C$8*W672,"停止","断続")))</f>
        <v>停止</v>
      </c>
      <c r="Z672" s="30" t="n">
        <v>60</v>
      </c>
      <c r="AA672" s="30" t="n">
        <v>0</v>
      </c>
      <c r="AB672" s="30" t="str">
        <f aca="false">IF(Z672&lt;判定条件!$C$6,"判定不能",IF(AA672&gt;=判定条件!$C$7*Z672,"運転",IF(AA672&lt;=判定条件!$C$8*Z672,"停止","断続")))</f>
        <v>停止</v>
      </c>
      <c r="AC672" s="30" t="n">
        <v>60</v>
      </c>
      <c r="AD672" s="30" t="n">
        <v>0</v>
      </c>
      <c r="AE672" s="30" t="str">
        <f aca="false">IF(AC672&lt;判定条件!$C$6,"判定不能",IF(AD672&gt;=判定条件!$C$7*AC672,"運転",IF(AD672&lt;=判定条件!$C$8*AC672,"停止","断続")))</f>
        <v>停止</v>
      </c>
      <c r="AF672" s="30" t="n">
        <v>60</v>
      </c>
      <c r="AG672" s="30" t="n">
        <v>0</v>
      </c>
      <c r="AH672" s="30" t="str">
        <f aca="false">IF(OR(P672="判定不能",G672="判定不能"),"判定不能",IF(AG672&gt;=判定条件!$C$9,"利用可",IF(AND(P672="停止",G672="停止"),"両方停止","運転がそろわない")))</f>
        <v>両方停止</v>
      </c>
      <c r="AI672" s="30" t="n">
        <v>0</v>
      </c>
      <c r="AJ672" s="30" t="n">
        <v>0</v>
      </c>
      <c r="AK672" s="30" t="str">
        <f aca="false">IF(OR(S672="判定不能",J672="判定不能"),"判定不能",IF(AJ672&gt;=判定条件!$C$9,"利用可",IF(AND(S672="停止",J672="停止"),"両方停止","運転がそろわない")))</f>
        <v>判定不能</v>
      </c>
      <c r="AL672" s="30" t="n">
        <v>60</v>
      </c>
      <c r="AM672" s="30" t="n">
        <v>0</v>
      </c>
      <c r="AN672" s="30" t="str">
        <f aca="false">IF(OR(V672="判定不能",M672="判定不能"),"判定不能",IF(AM672&gt;=判定条件!$C$9,"利用可",IF(AND(V672="停止",M672="停止"),"両方停止","運転がそろわない")))</f>
        <v>運転がそろわない</v>
      </c>
      <c r="AO672" s="30" t="n">
        <v>60</v>
      </c>
      <c r="AP672" s="30" t="n">
        <v>0</v>
      </c>
      <c r="AQ672" s="30" t="str">
        <f aca="false">IF(OR(Y672="判定不能",G672="判定不能"),"判定不能",IF(AP672&gt;=判定条件!$C$9,"利用可",IF(AND(Y672="停止",G672="停止"),"両方停止","運転がそろわない")))</f>
        <v>両方停止</v>
      </c>
      <c r="AR672" s="30" t="n">
        <v>60</v>
      </c>
      <c r="AS672" s="30" t="n">
        <v>0</v>
      </c>
      <c r="AT672" s="30" t="str">
        <f aca="false">IF(OR(AB672="判定不能",J672="判定不能"),"判定不能",IF(AS672&gt;=判定条件!$C$9,"利用可",IF(AND(AB672="停止",J672="停止"),"両方停止","運転がそろわない")))</f>
        <v>両方停止</v>
      </c>
      <c r="AU672" s="30" t="n">
        <v>60</v>
      </c>
      <c r="AV672" s="30" t="n">
        <v>0</v>
      </c>
      <c r="AW672" s="30" t="str">
        <f aca="false">IF(OR(AE672="判定不能",M672="判定不能"),"判定不能",IF(AV672&gt;=判定条件!$C$9,"利用可",IF(AND(AE672="停止",M672="停止"),"両方停止","運転がそろわない")))</f>
        <v>両方停止</v>
      </c>
      <c r="AX672" s="30" t="str">
        <f aca="false">IF(AND(AH672="利用可",AK672="利用可",AN672="利用可"),"利用可","不可")</f>
        <v>不可</v>
      </c>
      <c r="AY672" s="30" t="str">
        <f aca="false">IF(AND(AQ672="利用可",AT672="利用可",AW672="利用可"),"利用可","不可")</f>
        <v>不可</v>
      </c>
    </row>
    <row r="673" customFormat="false" ht="15" hidden="false" customHeight="false" outlineLevel="0" collapsed="false">
      <c r="A673" s="29" t="n">
        <v>46259</v>
      </c>
      <c r="B673" s="30" t="n">
        <v>22</v>
      </c>
      <c r="C673" s="31" t="s">
        <v>67</v>
      </c>
      <c r="D673" s="31" t="s">
        <v>59</v>
      </c>
      <c r="E673" s="30" t="n">
        <v>60</v>
      </c>
      <c r="F673" s="30" t="n">
        <v>0</v>
      </c>
      <c r="G673" s="30" t="str">
        <f aca="false">IF(E673&lt;判定条件!$C$6,"判定不能",IF(F673&gt;=判定条件!$C$7*E673,"運転",IF(F673&lt;=判定条件!$C$8*E673,"停止","断続")))</f>
        <v>停止</v>
      </c>
      <c r="H673" s="30" t="n">
        <v>60</v>
      </c>
      <c r="I673" s="30" t="n">
        <v>0</v>
      </c>
      <c r="J673" s="30" t="str">
        <f aca="false">IF(H673&lt;判定条件!$C$6,"判定不能",IF(I673&gt;=判定条件!$C$7*H673,"運転",IF(I673&lt;=判定条件!$C$8*H673,"停止","断続")))</f>
        <v>停止</v>
      </c>
      <c r="K673" s="30" t="n">
        <v>60</v>
      </c>
      <c r="L673" s="30" t="n">
        <v>0</v>
      </c>
      <c r="M673" s="30" t="str">
        <f aca="false">IF(K673&lt;判定条件!$C$6,"判定不能",IF(L673&gt;=判定条件!$C$7*K673,"運転",IF(L673&lt;=判定条件!$C$8*K673,"停止","断続")))</f>
        <v>停止</v>
      </c>
      <c r="N673" s="30" t="n">
        <v>60</v>
      </c>
      <c r="O673" s="30" t="n">
        <v>0</v>
      </c>
      <c r="P673" s="30" t="str">
        <f aca="false">IF(N673&lt;判定条件!$C$6,"判定不能",IF(O673&gt;=判定条件!$C$7*N673,"運転",IF(O673&lt;=判定条件!$C$8*N673,"停止","断続")))</f>
        <v>停止</v>
      </c>
      <c r="Q673" s="30" t="n">
        <v>0</v>
      </c>
      <c r="R673" s="30" t="n">
        <v>0</v>
      </c>
      <c r="S673" s="30" t="str">
        <f aca="false">IF(Q673&lt;判定条件!$C$6,"判定不能",IF(R673&gt;=判定条件!$C$7*Q673,"運転",IF(R673&lt;=判定条件!$C$8*Q673,"停止","断続")))</f>
        <v>判定不能</v>
      </c>
      <c r="T673" s="30" t="n">
        <v>60</v>
      </c>
      <c r="U673" s="30" t="n">
        <v>44</v>
      </c>
      <c r="V673" s="30" t="str">
        <f aca="false">IF(T673&lt;判定条件!$C$6,"判定不能",IF(U673&gt;=判定条件!$C$7*T673,"運転",IF(U673&lt;=判定条件!$C$8*T673,"停止","断続")))</f>
        <v>断続</v>
      </c>
      <c r="W673" s="30" t="n">
        <v>60</v>
      </c>
      <c r="X673" s="30" t="n">
        <v>0</v>
      </c>
      <c r="Y673" s="30" t="str">
        <f aca="false">IF(W673&lt;判定条件!$C$6,"判定不能",IF(X673&gt;=判定条件!$C$7*W673,"運転",IF(X673&lt;=判定条件!$C$8*W673,"停止","断続")))</f>
        <v>停止</v>
      </c>
      <c r="Z673" s="30" t="n">
        <v>60</v>
      </c>
      <c r="AA673" s="30" t="n">
        <v>0</v>
      </c>
      <c r="AB673" s="30" t="str">
        <f aca="false">IF(Z673&lt;判定条件!$C$6,"判定不能",IF(AA673&gt;=判定条件!$C$7*Z673,"運転",IF(AA673&lt;=判定条件!$C$8*Z673,"停止","断続")))</f>
        <v>停止</v>
      </c>
      <c r="AC673" s="30" t="n">
        <v>60</v>
      </c>
      <c r="AD673" s="30" t="n">
        <v>0</v>
      </c>
      <c r="AE673" s="30" t="str">
        <f aca="false">IF(AC673&lt;判定条件!$C$6,"判定不能",IF(AD673&gt;=判定条件!$C$7*AC673,"運転",IF(AD673&lt;=判定条件!$C$8*AC673,"停止","断続")))</f>
        <v>停止</v>
      </c>
      <c r="AF673" s="30" t="n">
        <v>60</v>
      </c>
      <c r="AG673" s="30" t="n">
        <v>0</v>
      </c>
      <c r="AH673" s="30" t="str">
        <f aca="false">IF(OR(P673="判定不能",G673="判定不能"),"判定不能",IF(AG673&gt;=判定条件!$C$9,"利用可",IF(AND(P673="停止",G673="停止"),"両方停止","運転がそろわない")))</f>
        <v>両方停止</v>
      </c>
      <c r="AI673" s="30" t="n">
        <v>0</v>
      </c>
      <c r="AJ673" s="30" t="n">
        <v>0</v>
      </c>
      <c r="AK673" s="30" t="str">
        <f aca="false">IF(OR(S673="判定不能",J673="判定不能"),"判定不能",IF(AJ673&gt;=判定条件!$C$9,"利用可",IF(AND(S673="停止",J673="停止"),"両方停止","運転がそろわない")))</f>
        <v>判定不能</v>
      </c>
      <c r="AL673" s="30" t="n">
        <v>60</v>
      </c>
      <c r="AM673" s="30" t="n">
        <v>0</v>
      </c>
      <c r="AN673" s="30" t="str">
        <f aca="false">IF(OR(V673="判定不能",M673="判定不能"),"判定不能",IF(AM673&gt;=判定条件!$C$9,"利用可",IF(AND(V673="停止",M673="停止"),"両方停止","運転がそろわない")))</f>
        <v>運転がそろわない</v>
      </c>
      <c r="AO673" s="30" t="n">
        <v>60</v>
      </c>
      <c r="AP673" s="30" t="n">
        <v>0</v>
      </c>
      <c r="AQ673" s="30" t="str">
        <f aca="false">IF(OR(Y673="判定不能",G673="判定不能"),"判定不能",IF(AP673&gt;=判定条件!$C$9,"利用可",IF(AND(Y673="停止",G673="停止"),"両方停止","運転がそろわない")))</f>
        <v>両方停止</v>
      </c>
      <c r="AR673" s="30" t="n">
        <v>60</v>
      </c>
      <c r="AS673" s="30" t="n">
        <v>0</v>
      </c>
      <c r="AT673" s="30" t="str">
        <f aca="false">IF(OR(AB673="判定不能",J673="判定不能"),"判定不能",IF(AS673&gt;=判定条件!$C$9,"利用可",IF(AND(AB673="停止",J673="停止"),"両方停止","運転がそろわない")))</f>
        <v>両方停止</v>
      </c>
      <c r="AU673" s="30" t="n">
        <v>60</v>
      </c>
      <c r="AV673" s="30" t="n">
        <v>0</v>
      </c>
      <c r="AW673" s="30" t="str">
        <f aca="false">IF(OR(AE673="判定不能",M673="判定不能"),"判定不能",IF(AV673&gt;=判定条件!$C$9,"利用可",IF(AND(AE673="停止",M673="停止"),"両方停止","運転がそろわない")))</f>
        <v>両方停止</v>
      </c>
      <c r="AX673" s="30" t="str">
        <f aca="false">IF(AND(AH673="利用可",AK673="利用可",AN673="利用可"),"利用可","不可")</f>
        <v>不可</v>
      </c>
      <c r="AY673" s="30" t="str">
        <f aca="false">IF(AND(AQ673="利用可",AT673="利用可",AW673="利用可"),"利用可","不可")</f>
        <v>不可</v>
      </c>
    </row>
    <row r="674" customFormat="false" ht="15" hidden="false" customHeight="false" outlineLevel="0" collapsed="false">
      <c r="A674" s="29" t="n">
        <v>46259</v>
      </c>
      <c r="B674" s="30" t="n">
        <v>23</v>
      </c>
      <c r="C674" s="31" t="s">
        <v>67</v>
      </c>
      <c r="D674" s="31" t="s">
        <v>59</v>
      </c>
      <c r="E674" s="30" t="n">
        <v>60</v>
      </c>
      <c r="F674" s="30" t="n">
        <v>0</v>
      </c>
      <c r="G674" s="30" t="str">
        <f aca="false">IF(E674&lt;判定条件!$C$6,"判定不能",IF(F674&gt;=判定条件!$C$7*E674,"運転",IF(F674&lt;=判定条件!$C$8*E674,"停止","断続")))</f>
        <v>停止</v>
      </c>
      <c r="H674" s="30" t="n">
        <v>60</v>
      </c>
      <c r="I674" s="30" t="n">
        <v>0</v>
      </c>
      <c r="J674" s="30" t="str">
        <f aca="false">IF(H674&lt;判定条件!$C$6,"判定不能",IF(I674&gt;=判定条件!$C$7*H674,"運転",IF(I674&lt;=判定条件!$C$8*H674,"停止","断続")))</f>
        <v>停止</v>
      </c>
      <c r="K674" s="30" t="n">
        <v>60</v>
      </c>
      <c r="L674" s="30" t="n">
        <v>0</v>
      </c>
      <c r="M674" s="30" t="str">
        <f aca="false">IF(K674&lt;判定条件!$C$6,"判定不能",IF(L674&gt;=判定条件!$C$7*K674,"運転",IF(L674&lt;=判定条件!$C$8*K674,"停止","断続")))</f>
        <v>停止</v>
      </c>
      <c r="N674" s="30" t="n">
        <v>60</v>
      </c>
      <c r="O674" s="30" t="n">
        <v>0</v>
      </c>
      <c r="P674" s="30" t="str">
        <f aca="false">IF(N674&lt;判定条件!$C$6,"判定不能",IF(O674&gt;=判定条件!$C$7*N674,"運転",IF(O674&lt;=判定条件!$C$8*N674,"停止","断続")))</f>
        <v>停止</v>
      </c>
      <c r="Q674" s="30" t="n">
        <v>0</v>
      </c>
      <c r="R674" s="30" t="n">
        <v>0</v>
      </c>
      <c r="S674" s="30" t="str">
        <f aca="false">IF(Q674&lt;判定条件!$C$6,"判定不能",IF(R674&gt;=判定条件!$C$7*Q674,"運転",IF(R674&lt;=判定条件!$C$8*Q674,"停止","断続")))</f>
        <v>判定不能</v>
      </c>
      <c r="T674" s="30" t="n">
        <v>60</v>
      </c>
      <c r="U674" s="30" t="n">
        <v>41</v>
      </c>
      <c r="V674" s="30" t="str">
        <f aca="false">IF(T674&lt;判定条件!$C$6,"判定不能",IF(U674&gt;=判定条件!$C$7*T674,"運転",IF(U674&lt;=判定条件!$C$8*T674,"停止","断続")))</f>
        <v>断続</v>
      </c>
      <c r="W674" s="30" t="n">
        <v>60</v>
      </c>
      <c r="X674" s="30" t="n">
        <v>0</v>
      </c>
      <c r="Y674" s="30" t="str">
        <f aca="false">IF(W674&lt;判定条件!$C$6,"判定不能",IF(X674&gt;=判定条件!$C$7*W674,"運転",IF(X674&lt;=判定条件!$C$8*W674,"停止","断続")))</f>
        <v>停止</v>
      </c>
      <c r="Z674" s="30" t="n">
        <v>60</v>
      </c>
      <c r="AA674" s="30" t="n">
        <v>0</v>
      </c>
      <c r="AB674" s="30" t="str">
        <f aca="false">IF(Z674&lt;判定条件!$C$6,"判定不能",IF(AA674&gt;=判定条件!$C$7*Z674,"運転",IF(AA674&lt;=判定条件!$C$8*Z674,"停止","断続")))</f>
        <v>停止</v>
      </c>
      <c r="AC674" s="30" t="n">
        <v>60</v>
      </c>
      <c r="AD674" s="30" t="n">
        <v>0</v>
      </c>
      <c r="AE674" s="30" t="str">
        <f aca="false">IF(AC674&lt;判定条件!$C$6,"判定不能",IF(AD674&gt;=判定条件!$C$7*AC674,"運転",IF(AD674&lt;=判定条件!$C$8*AC674,"停止","断続")))</f>
        <v>停止</v>
      </c>
      <c r="AF674" s="30" t="n">
        <v>60</v>
      </c>
      <c r="AG674" s="30" t="n">
        <v>0</v>
      </c>
      <c r="AH674" s="30" t="str">
        <f aca="false">IF(OR(P674="判定不能",G674="判定不能"),"判定不能",IF(AG674&gt;=判定条件!$C$9,"利用可",IF(AND(P674="停止",G674="停止"),"両方停止","運転がそろわない")))</f>
        <v>両方停止</v>
      </c>
      <c r="AI674" s="30" t="n">
        <v>0</v>
      </c>
      <c r="AJ674" s="30" t="n">
        <v>0</v>
      </c>
      <c r="AK674" s="30" t="str">
        <f aca="false">IF(OR(S674="判定不能",J674="判定不能"),"判定不能",IF(AJ674&gt;=判定条件!$C$9,"利用可",IF(AND(S674="停止",J674="停止"),"両方停止","運転がそろわない")))</f>
        <v>判定不能</v>
      </c>
      <c r="AL674" s="30" t="n">
        <v>60</v>
      </c>
      <c r="AM674" s="30" t="n">
        <v>0</v>
      </c>
      <c r="AN674" s="30" t="str">
        <f aca="false">IF(OR(V674="判定不能",M674="判定不能"),"判定不能",IF(AM674&gt;=判定条件!$C$9,"利用可",IF(AND(V674="停止",M674="停止"),"両方停止","運転がそろわない")))</f>
        <v>運転がそろわない</v>
      </c>
      <c r="AO674" s="30" t="n">
        <v>60</v>
      </c>
      <c r="AP674" s="30" t="n">
        <v>0</v>
      </c>
      <c r="AQ674" s="30" t="str">
        <f aca="false">IF(OR(Y674="判定不能",G674="判定不能"),"判定不能",IF(AP674&gt;=判定条件!$C$9,"利用可",IF(AND(Y674="停止",G674="停止"),"両方停止","運転がそろわない")))</f>
        <v>両方停止</v>
      </c>
      <c r="AR674" s="30" t="n">
        <v>60</v>
      </c>
      <c r="AS674" s="30" t="n">
        <v>0</v>
      </c>
      <c r="AT674" s="30" t="str">
        <f aca="false">IF(OR(AB674="判定不能",J674="判定不能"),"判定不能",IF(AS674&gt;=判定条件!$C$9,"利用可",IF(AND(AB674="停止",J674="停止"),"両方停止","運転がそろわない")))</f>
        <v>両方停止</v>
      </c>
      <c r="AU674" s="30" t="n">
        <v>60</v>
      </c>
      <c r="AV674" s="30" t="n">
        <v>0</v>
      </c>
      <c r="AW674" s="30" t="str">
        <f aca="false">IF(OR(AE674="判定不能",M674="判定不能"),"判定不能",IF(AV674&gt;=判定条件!$C$9,"利用可",IF(AND(AE674="停止",M674="停止"),"両方停止","運転がそろわない")))</f>
        <v>両方停止</v>
      </c>
      <c r="AX674" s="30" t="str">
        <f aca="false">IF(AND(AH674="利用可",AK674="利用可",AN674="利用可"),"利用可","不可")</f>
        <v>不可</v>
      </c>
      <c r="AY674" s="30" t="str">
        <f aca="false">IF(AND(AQ674="利用可",AT674="利用可",AW674="利用可"),"利用可","不可")</f>
        <v>不可</v>
      </c>
    </row>
    <row r="675" customFormat="false" ht="15" hidden="false" customHeight="false" outlineLevel="0" collapsed="false">
      <c r="A675" s="29" t="n">
        <v>46260</v>
      </c>
      <c r="B675" s="30" t="n">
        <v>0</v>
      </c>
      <c r="C675" s="31" t="s">
        <v>58</v>
      </c>
      <c r="D675" s="31" t="s">
        <v>59</v>
      </c>
      <c r="E675" s="30" t="n">
        <v>60</v>
      </c>
      <c r="F675" s="30" t="n">
        <v>0</v>
      </c>
      <c r="G675" s="30" t="str">
        <f aca="false">IF(E675&lt;判定条件!$C$6,"判定不能",IF(F675&gt;=判定条件!$C$7*E675,"運転",IF(F675&lt;=判定条件!$C$8*E675,"停止","断続")))</f>
        <v>停止</v>
      </c>
      <c r="H675" s="30" t="n">
        <v>60</v>
      </c>
      <c r="I675" s="30" t="n">
        <v>0</v>
      </c>
      <c r="J675" s="30" t="str">
        <f aca="false">IF(H675&lt;判定条件!$C$6,"判定不能",IF(I675&gt;=判定条件!$C$7*H675,"運転",IF(I675&lt;=判定条件!$C$8*H675,"停止","断続")))</f>
        <v>停止</v>
      </c>
      <c r="K675" s="30" t="n">
        <v>60</v>
      </c>
      <c r="L675" s="30" t="n">
        <v>0</v>
      </c>
      <c r="M675" s="30" t="str">
        <f aca="false">IF(K675&lt;判定条件!$C$6,"判定不能",IF(L675&gt;=判定条件!$C$7*K675,"運転",IF(L675&lt;=判定条件!$C$8*K675,"停止","断続")))</f>
        <v>停止</v>
      </c>
      <c r="N675" s="30" t="n">
        <v>60</v>
      </c>
      <c r="O675" s="30" t="n">
        <v>0</v>
      </c>
      <c r="P675" s="30" t="str">
        <f aca="false">IF(N675&lt;判定条件!$C$6,"判定不能",IF(O675&gt;=判定条件!$C$7*N675,"運転",IF(O675&lt;=判定条件!$C$8*N675,"停止","断続")))</f>
        <v>停止</v>
      </c>
      <c r="Q675" s="30" t="n">
        <v>0</v>
      </c>
      <c r="R675" s="30" t="n">
        <v>0</v>
      </c>
      <c r="S675" s="30" t="str">
        <f aca="false">IF(Q675&lt;判定条件!$C$6,"判定不能",IF(R675&gt;=判定条件!$C$7*Q675,"運転",IF(R675&lt;=判定条件!$C$8*Q675,"停止","断続")))</f>
        <v>判定不能</v>
      </c>
      <c r="T675" s="30" t="n">
        <v>60</v>
      </c>
      <c r="U675" s="30" t="n">
        <v>22</v>
      </c>
      <c r="V675" s="30" t="str">
        <f aca="false">IF(T675&lt;判定条件!$C$6,"判定不能",IF(U675&gt;=判定条件!$C$7*T675,"運転",IF(U675&lt;=判定条件!$C$8*T675,"停止","断続")))</f>
        <v>断続</v>
      </c>
      <c r="W675" s="30" t="n">
        <v>60</v>
      </c>
      <c r="X675" s="30" t="n">
        <v>0</v>
      </c>
      <c r="Y675" s="30" t="str">
        <f aca="false">IF(W675&lt;判定条件!$C$6,"判定不能",IF(X675&gt;=判定条件!$C$7*W675,"運転",IF(X675&lt;=判定条件!$C$8*W675,"停止","断続")))</f>
        <v>停止</v>
      </c>
      <c r="Z675" s="30" t="n">
        <v>60</v>
      </c>
      <c r="AA675" s="30" t="n">
        <v>0</v>
      </c>
      <c r="AB675" s="30" t="str">
        <f aca="false">IF(Z675&lt;判定条件!$C$6,"判定不能",IF(AA675&gt;=判定条件!$C$7*Z675,"運転",IF(AA675&lt;=判定条件!$C$8*Z675,"停止","断続")))</f>
        <v>停止</v>
      </c>
      <c r="AC675" s="30" t="n">
        <v>60</v>
      </c>
      <c r="AD675" s="30" t="n">
        <v>0</v>
      </c>
      <c r="AE675" s="30" t="str">
        <f aca="false">IF(AC675&lt;判定条件!$C$6,"判定不能",IF(AD675&gt;=判定条件!$C$7*AC675,"運転",IF(AD675&lt;=判定条件!$C$8*AC675,"停止","断続")))</f>
        <v>停止</v>
      </c>
      <c r="AF675" s="30" t="n">
        <v>60</v>
      </c>
      <c r="AG675" s="30" t="n">
        <v>0</v>
      </c>
      <c r="AH675" s="30" t="str">
        <f aca="false">IF(OR(P675="判定不能",G675="判定不能"),"判定不能",IF(AG675&gt;=判定条件!$C$9,"利用可",IF(AND(P675="停止",G675="停止"),"両方停止","運転がそろわない")))</f>
        <v>両方停止</v>
      </c>
      <c r="AI675" s="30" t="n">
        <v>0</v>
      </c>
      <c r="AJ675" s="30" t="n">
        <v>0</v>
      </c>
      <c r="AK675" s="30" t="str">
        <f aca="false">IF(OR(S675="判定不能",J675="判定不能"),"判定不能",IF(AJ675&gt;=判定条件!$C$9,"利用可",IF(AND(S675="停止",J675="停止"),"両方停止","運転がそろわない")))</f>
        <v>判定不能</v>
      </c>
      <c r="AL675" s="30" t="n">
        <v>60</v>
      </c>
      <c r="AM675" s="30" t="n">
        <v>0</v>
      </c>
      <c r="AN675" s="30" t="str">
        <f aca="false">IF(OR(V675="判定不能",M675="判定不能"),"判定不能",IF(AM675&gt;=判定条件!$C$9,"利用可",IF(AND(V675="停止",M675="停止"),"両方停止","運転がそろわない")))</f>
        <v>運転がそろわない</v>
      </c>
      <c r="AO675" s="30" t="n">
        <v>60</v>
      </c>
      <c r="AP675" s="30" t="n">
        <v>0</v>
      </c>
      <c r="AQ675" s="30" t="str">
        <f aca="false">IF(OR(Y675="判定不能",G675="判定不能"),"判定不能",IF(AP675&gt;=判定条件!$C$9,"利用可",IF(AND(Y675="停止",G675="停止"),"両方停止","運転がそろわない")))</f>
        <v>両方停止</v>
      </c>
      <c r="AR675" s="30" t="n">
        <v>60</v>
      </c>
      <c r="AS675" s="30" t="n">
        <v>0</v>
      </c>
      <c r="AT675" s="30" t="str">
        <f aca="false">IF(OR(AB675="判定不能",J675="判定不能"),"判定不能",IF(AS675&gt;=判定条件!$C$9,"利用可",IF(AND(AB675="停止",J675="停止"),"両方停止","運転がそろわない")))</f>
        <v>両方停止</v>
      </c>
      <c r="AU675" s="30" t="n">
        <v>60</v>
      </c>
      <c r="AV675" s="30" t="n">
        <v>0</v>
      </c>
      <c r="AW675" s="30" t="str">
        <f aca="false">IF(OR(AE675="判定不能",M675="判定不能"),"判定不能",IF(AV675&gt;=判定条件!$C$9,"利用可",IF(AND(AE675="停止",M675="停止"),"両方停止","運転がそろわない")))</f>
        <v>両方停止</v>
      </c>
      <c r="AX675" s="30" t="str">
        <f aca="false">IF(AND(AH675="利用可",AK675="利用可",AN675="利用可"),"利用可","不可")</f>
        <v>不可</v>
      </c>
      <c r="AY675" s="30" t="str">
        <f aca="false">IF(AND(AQ675="利用可",AT675="利用可",AW675="利用可"),"利用可","不可")</f>
        <v>不可</v>
      </c>
    </row>
    <row r="676" customFormat="false" ht="15" hidden="false" customHeight="false" outlineLevel="0" collapsed="false">
      <c r="A676" s="29" t="n">
        <v>46260</v>
      </c>
      <c r="B676" s="30" t="n">
        <v>1</v>
      </c>
      <c r="C676" s="31" t="s">
        <v>58</v>
      </c>
      <c r="D676" s="31" t="s">
        <v>59</v>
      </c>
      <c r="E676" s="30" t="n">
        <v>60</v>
      </c>
      <c r="F676" s="30" t="n">
        <v>0</v>
      </c>
      <c r="G676" s="30" t="str">
        <f aca="false">IF(E676&lt;判定条件!$C$6,"判定不能",IF(F676&gt;=判定条件!$C$7*E676,"運転",IF(F676&lt;=判定条件!$C$8*E676,"停止","断続")))</f>
        <v>停止</v>
      </c>
      <c r="H676" s="30" t="n">
        <v>60</v>
      </c>
      <c r="I676" s="30" t="n">
        <v>0</v>
      </c>
      <c r="J676" s="30" t="str">
        <f aca="false">IF(H676&lt;判定条件!$C$6,"判定不能",IF(I676&gt;=判定条件!$C$7*H676,"運転",IF(I676&lt;=判定条件!$C$8*H676,"停止","断続")))</f>
        <v>停止</v>
      </c>
      <c r="K676" s="30" t="n">
        <v>60</v>
      </c>
      <c r="L676" s="30" t="n">
        <v>0</v>
      </c>
      <c r="M676" s="30" t="str">
        <f aca="false">IF(K676&lt;判定条件!$C$6,"判定不能",IF(L676&gt;=判定条件!$C$7*K676,"運転",IF(L676&lt;=判定条件!$C$8*K676,"停止","断続")))</f>
        <v>停止</v>
      </c>
      <c r="N676" s="30" t="n">
        <v>60</v>
      </c>
      <c r="O676" s="30" t="n">
        <v>0</v>
      </c>
      <c r="P676" s="30" t="str">
        <f aca="false">IF(N676&lt;判定条件!$C$6,"判定不能",IF(O676&gt;=判定条件!$C$7*N676,"運転",IF(O676&lt;=判定条件!$C$8*N676,"停止","断続")))</f>
        <v>停止</v>
      </c>
      <c r="Q676" s="30" t="n">
        <v>0</v>
      </c>
      <c r="R676" s="30" t="n">
        <v>0</v>
      </c>
      <c r="S676" s="30" t="str">
        <f aca="false">IF(Q676&lt;判定条件!$C$6,"判定不能",IF(R676&gt;=判定条件!$C$7*Q676,"運転",IF(R676&lt;=判定条件!$C$8*Q676,"停止","断続")))</f>
        <v>判定不能</v>
      </c>
      <c r="T676" s="30" t="n">
        <v>60</v>
      </c>
      <c r="U676" s="30" t="n">
        <v>0</v>
      </c>
      <c r="V676" s="30" t="str">
        <f aca="false">IF(T676&lt;判定条件!$C$6,"判定不能",IF(U676&gt;=判定条件!$C$7*T676,"運転",IF(U676&lt;=判定条件!$C$8*T676,"停止","断続")))</f>
        <v>停止</v>
      </c>
      <c r="W676" s="30" t="n">
        <v>60</v>
      </c>
      <c r="X676" s="30" t="n">
        <v>0</v>
      </c>
      <c r="Y676" s="30" t="str">
        <f aca="false">IF(W676&lt;判定条件!$C$6,"判定不能",IF(X676&gt;=判定条件!$C$7*W676,"運転",IF(X676&lt;=判定条件!$C$8*W676,"停止","断続")))</f>
        <v>停止</v>
      </c>
      <c r="Z676" s="30" t="n">
        <v>60</v>
      </c>
      <c r="AA676" s="30" t="n">
        <v>0</v>
      </c>
      <c r="AB676" s="30" t="str">
        <f aca="false">IF(Z676&lt;判定条件!$C$6,"判定不能",IF(AA676&gt;=判定条件!$C$7*Z676,"運転",IF(AA676&lt;=判定条件!$C$8*Z676,"停止","断続")))</f>
        <v>停止</v>
      </c>
      <c r="AC676" s="30" t="n">
        <v>60</v>
      </c>
      <c r="AD676" s="30" t="n">
        <v>0</v>
      </c>
      <c r="AE676" s="30" t="str">
        <f aca="false">IF(AC676&lt;判定条件!$C$6,"判定不能",IF(AD676&gt;=判定条件!$C$7*AC676,"運転",IF(AD676&lt;=判定条件!$C$8*AC676,"停止","断続")))</f>
        <v>停止</v>
      </c>
      <c r="AF676" s="30" t="n">
        <v>60</v>
      </c>
      <c r="AG676" s="30" t="n">
        <v>0</v>
      </c>
      <c r="AH676" s="30" t="str">
        <f aca="false">IF(OR(P676="判定不能",G676="判定不能"),"判定不能",IF(AG676&gt;=判定条件!$C$9,"利用可",IF(AND(P676="停止",G676="停止"),"両方停止","運転がそろわない")))</f>
        <v>両方停止</v>
      </c>
      <c r="AI676" s="30" t="n">
        <v>0</v>
      </c>
      <c r="AJ676" s="30" t="n">
        <v>0</v>
      </c>
      <c r="AK676" s="30" t="str">
        <f aca="false">IF(OR(S676="判定不能",J676="判定不能"),"判定不能",IF(AJ676&gt;=判定条件!$C$9,"利用可",IF(AND(S676="停止",J676="停止"),"両方停止","運転がそろわない")))</f>
        <v>判定不能</v>
      </c>
      <c r="AL676" s="30" t="n">
        <v>60</v>
      </c>
      <c r="AM676" s="30" t="n">
        <v>0</v>
      </c>
      <c r="AN676" s="30" t="str">
        <f aca="false">IF(OR(V676="判定不能",M676="判定不能"),"判定不能",IF(AM676&gt;=判定条件!$C$9,"利用可",IF(AND(V676="停止",M676="停止"),"両方停止","運転がそろわない")))</f>
        <v>両方停止</v>
      </c>
      <c r="AO676" s="30" t="n">
        <v>60</v>
      </c>
      <c r="AP676" s="30" t="n">
        <v>0</v>
      </c>
      <c r="AQ676" s="30" t="str">
        <f aca="false">IF(OR(Y676="判定不能",G676="判定不能"),"判定不能",IF(AP676&gt;=判定条件!$C$9,"利用可",IF(AND(Y676="停止",G676="停止"),"両方停止","運転がそろわない")))</f>
        <v>両方停止</v>
      </c>
      <c r="AR676" s="30" t="n">
        <v>60</v>
      </c>
      <c r="AS676" s="30" t="n">
        <v>0</v>
      </c>
      <c r="AT676" s="30" t="str">
        <f aca="false">IF(OR(AB676="判定不能",J676="判定不能"),"判定不能",IF(AS676&gt;=判定条件!$C$9,"利用可",IF(AND(AB676="停止",J676="停止"),"両方停止","運転がそろわない")))</f>
        <v>両方停止</v>
      </c>
      <c r="AU676" s="30" t="n">
        <v>60</v>
      </c>
      <c r="AV676" s="30" t="n">
        <v>0</v>
      </c>
      <c r="AW676" s="30" t="str">
        <f aca="false">IF(OR(AE676="判定不能",M676="判定不能"),"判定不能",IF(AV676&gt;=判定条件!$C$9,"利用可",IF(AND(AE676="停止",M676="停止"),"両方停止","運転がそろわない")))</f>
        <v>両方停止</v>
      </c>
      <c r="AX676" s="30" t="str">
        <f aca="false">IF(AND(AH676="利用可",AK676="利用可",AN676="利用可"),"利用可","不可")</f>
        <v>不可</v>
      </c>
      <c r="AY676" s="30" t="str">
        <f aca="false">IF(AND(AQ676="利用可",AT676="利用可",AW676="利用可"),"利用可","不可")</f>
        <v>不可</v>
      </c>
    </row>
    <row r="677" customFormat="false" ht="15" hidden="false" customHeight="false" outlineLevel="0" collapsed="false">
      <c r="A677" s="29" t="n">
        <v>46260</v>
      </c>
      <c r="B677" s="30" t="n">
        <v>2</v>
      </c>
      <c r="C677" s="31" t="s">
        <v>58</v>
      </c>
      <c r="D677" s="31" t="s">
        <v>59</v>
      </c>
      <c r="E677" s="30" t="n">
        <v>60</v>
      </c>
      <c r="F677" s="30" t="n">
        <v>0</v>
      </c>
      <c r="G677" s="30" t="str">
        <f aca="false">IF(E677&lt;判定条件!$C$6,"判定不能",IF(F677&gt;=判定条件!$C$7*E677,"運転",IF(F677&lt;=判定条件!$C$8*E677,"停止","断続")))</f>
        <v>停止</v>
      </c>
      <c r="H677" s="30" t="n">
        <v>60</v>
      </c>
      <c r="I677" s="30" t="n">
        <v>0</v>
      </c>
      <c r="J677" s="30" t="str">
        <f aca="false">IF(H677&lt;判定条件!$C$6,"判定不能",IF(I677&gt;=判定条件!$C$7*H677,"運転",IF(I677&lt;=判定条件!$C$8*H677,"停止","断続")))</f>
        <v>停止</v>
      </c>
      <c r="K677" s="30" t="n">
        <v>60</v>
      </c>
      <c r="L677" s="30" t="n">
        <v>0</v>
      </c>
      <c r="M677" s="30" t="str">
        <f aca="false">IF(K677&lt;判定条件!$C$6,"判定不能",IF(L677&gt;=判定条件!$C$7*K677,"運転",IF(L677&lt;=判定条件!$C$8*K677,"停止","断続")))</f>
        <v>停止</v>
      </c>
      <c r="N677" s="30" t="n">
        <v>60</v>
      </c>
      <c r="O677" s="30" t="n">
        <v>0</v>
      </c>
      <c r="P677" s="30" t="str">
        <f aca="false">IF(N677&lt;判定条件!$C$6,"判定不能",IF(O677&gt;=判定条件!$C$7*N677,"運転",IF(O677&lt;=判定条件!$C$8*N677,"停止","断続")))</f>
        <v>停止</v>
      </c>
      <c r="Q677" s="30" t="n">
        <v>0</v>
      </c>
      <c r="R677" s="30" t="n">
        <v>0</v>
      </c>
      <c r="S677" s="30" t="str">
        <f aca="false">IF(Q677&lt;判定条件!$C$6,"判定不能",IF(R677&gt;=判定条件!$C$7*Q677,"運転",IF(R677&lt;=判定条件!$C$8*Q677,"停止","断続")))</f>
        <v>判定不能</v>
      </c>
      <c r="T677" s="30" t="n">
        <v>60</v>
      </c>
      <c r="U677" s="30" t="n">
        <v>0</v>
      </c>
      <c r="V677" s="30" t="str">
        <f aca="false">IF(T677&lt;判定条件!$C$6,"判定不能",IF(U677&gt;=判定条件!$C$7*T677,"運転",IF(U677&lt;=判定条件!$C$8*T677,"停止","断続")))</f>
        <v>停止</v>
      </c>
      <c r="W677" s="30" t="n">
        <v>60</v>
      </c>
      <c r="X677" s="30" t="n">
        <v>0</v>
      </c>
      <c r="Y677" s="30" t="str">
        <f aca="false">IF(W677&lt;判定条件!$C$6,"判定不能",IF(X677&gt;=判定条件!$C$7*W677,"運転",IF(X677&lt;=判定条件!$C$8*W677,"停止","断続")))</f>
        <v>停止</v>
      </c>
      <c r="Z677" s="30" t="n">
        <v>60</v>
      </c>
      <c r="AA677" s="30" t="n">
        <v>0</v>
      </c>
      <c r="AB677" s="30" t="str">
        <f aca="false">IF(Z677&lt;判定条件!$C$6,"判定不能",IF(AA677&gt;=判定条件!$C$7*Z677,"運転",IF(AA677&lt;=判定条件!$C$8*Z677,"停止","断続")))</f>
        <v>停止</v>
      </c>
      <c r="AC677" s="30" t="n">
        <v>60</v>
      </c>
      <c r="AD677" s="30" t="n">
        <v>0</v>
      </c>
      <c r="AE677" s="30" t="str">
        <f aca="false">IF(AC677&lt;判定条件!$C$6,"判定不能",IF(AD677&gt;=判定条件!$C$7*AC677,"運転",IF(AD677&lt;=判定条件!$C$8*AC677,"停止","断続")))</f>
        <v>停止</v>
      </c>
      <c r="AF677" s="30" t="n">
        <v>60</v>
      </c>
      <c r="AG677" s="30" t="n">
        <v>0</v>
      </c>
      <c r="AH677" s="30" t="str">
        <f aca="false">IF(OR(P677="判定不能",G677="判定不能"),"判定不能",IF(AG677&gt;=判定条件!$C$9,"利用可",IF(AND(P677="停止",G677="停止"),"両方停止","運転がそろわない")))</f>
        <v>両方停止</v>
      </c>
      <c r="AI677" s="30" t="n">
        <v>0</v>
      </c>
      <c r="AJ677" s="30" t="n">
        <v>0</v>
      </c>
      <c r="AK677" s="30" t="str">
        <f aca="false">IF(OR(S677="判定不能",J677="判定不能"),"判定不能",IF(AJ677&gt;=判定条件!$C$9,"利用可",IF(AND(S677="停止",J677="停止"),"両方停止","運転がそろわない")))</f>
        <v>判定不能</v>
      </c>
      <c r="AL677" s="30" t="n">
        <v>60</v>
      </c>
      <c r="AM677" s="30" t="n">
        <v>0</v>
      </c>
      <c r="AN677" s="30" t="str">
        <f aca="false">IF(OR(V677="判定不能",M677="判定不能"),"判定不能",IF(AM677&gt;=判定条件!$C$9,"利用可",IF(AND(V677="停止",M677="停止"),"両方停止","運転がそろわない")))</f>
        <v>両方停止</v>
      </c>
      <c r="AO677" s="30" t="n">
        <v>60</v>
      </c>
      <c r="AP677" s="30" t="n">
        <v>0</v>
      </c>
      <c r="AQ677" s="30" t="str">
        <f aca="false">IF(OR(Y677="判定不能",G677="判定不能"),"判定不能",IF(AP677&gt;=判定条件!$C$9,"利用可",IF(AND(Y677="停止",G677="停止"),"両方停止","運転がそろわない")))</f>
        <v>両方停止</v>
      </c>
      <c r="AR677" s="30" t="n">
        <v>60</v>
      </c>
      <c r="AS677" s="30" t="n">
        <v>0</v>
      </c>
      <c r="AT677" s="30" t="str">
        <f aca="false">IF(OR(AB677="判定不能",J677="判定不能"),"判定不能",IF(AS677&gt;=判定条件!$C$9,"利用可",IF(AND(AB677="停止",J677="停止"),"両方停止","運転がそろわない")))</f>
        <v>両方停止</v>
      </c>
      <c r="AU677" s="30" t="n">
        <v>60</v>
      </c>
      <c r="AV677" s="30" t="n">
        <v>0</v>
      </c>
      <c r="AW677" s="30" t="str">
        <f aca="false">IF(OR(AE677="判定不能",M677="判定不能"),"判定不能",IF(AV677&gt;=判定条件!$C$9,"利用可",IF(AND(AE677="停止",M677="停止"),"両方停止","運転がそろわない")))</f>
        <v>両方停止</v>
      </c>
      <c r="AX677" s="30" t="str">
        <f aca="false">IF(AND(AH677="利用可",AK677="利用可",AN677="利用可"),"利用可","不可")</f>
        <v>不可</v>
      </c>
      <c r="AY677" s="30" t="str">
        <f aca="false">IF(AND(AQ677="利用可",AT677="利用可",AW677="利用可"),"利用可","不可")</f>
        <v>不可</v>
      </c>
    </row>
    <row r="678" customFormat="false" ht="15" hidden="false" customHeight="false" outlineLevel="0" collapsed="false">
      <c r="A678" s="29" t="n">
        <v>46260</v>
      </c>
      <c r="B678" s="30" t="n">
        <v>3</v>
      </c>
      <c r="C678" s="31" t="s">
        <v>58</v>
      </c>
      <c r="D678" s="31" t="s">
        <v>59</v>
      </c>
      <c r="E678" s="30" t="n">
        <v>60</v>
      </c>
      <c r="F678" s="30" t="n">
        <v>0</v>
      </c>
      <c r="G678" s="30" t="str">
        <f aca="false">IF(E678&lt;判定条件!$C$6,"判定不能",IF(F678&gt;=判定条件!$C$7*E678,"運転",IF(F678&lt;=判定条件!$C$8*E678,"停止","断続")))</f>
        <v>停止</v>
      </c>
      <c r="H678" s="30" t="n">
        <v>60</v>
      </c>
      <c r="I678" s="30" t="n">
        <v>0</v>
      </c>
      <c r="J678" s="30" t="str">
        <f aca="false">IF(H678&lt;判定条件!$C$6,"判定不能",IF(I678&gt;=判定条件!$C$7*H678,"運転",IF(I678&lt;=判定条件!$C$8*H678,"停止","断続")))</f>
        <v>停止</v>
      </c>
      <c r="K678" s="30" t="n">
        <v>60</v>
      </c>
      <c r="L678" s="30" t="n">
        <v>0</v>
      </c>
      <c r="M678" s="30" t="str">
        <f aca="false">IF(K678&lt;判定条件!$C$6,"判定不能",IF(L678&gt;=判定条件!$C$7*K678,"運転",IF(L678&lt;=判定条件!$C$8*K678,"停止","断続")))</f>
        <v>停止</v>
      </c>
      <c r="N678" s="30" t="n">
        <v>60</v>
      </c>
      <c r="O678" s="30" t="n">
        <v>0</v>
      </c>
      <c r="P678" s="30" t="str">
        <f aca="false">IF(N678&lt;判定条件!$C$6,"判定不能",IF(O678&gt;=判定条件!$C$7*N678,"運転",IF(O678&lt;=判定条件!$C$8*N678,"停止","断続")))</f>
        <v>停止</v>
      </c>
      <c r="Q678" s="30" t="n">
        <v>0</v>
      </c>
      <c r="R678" s="30" t="n">
        <v>0</v>
      </c>
      <c r="S678" s="30" t="str">
        <f aca="false">IF(Q678&lt;判定条件!$C$6,"判定不能",IF(R678&gt;=判定条件!$C$7*Q678,"運転",IF(R678&lt;=判定条件!$C$8*Q678,"停止","断続")))</f>
        <v>判定不能</v>
      </c>
      <c r="T678" s="30" t="n">
        <v>60</v>
      </c>
      <c r="U678" s="30" t="n">
        <v>0</v>
      </c>
      <c r="V678" s="30" t="str">
        <f aca="false">IF(T678&lt;判定条件!$C$6,"判定不能",IF(U678&gt;=判定条件!$C$7*T678,"運転",IF(U678&lt;=判定条件!$C$8*T678,"停止","断続")))</f>
        <v>停止</v>
      </c>
      <c r="W678" s="30" t="n">
        <v>60</v>
      </c>
      <c r="X678" s="30" t="n">
        <v>0</v>
      </c>
      <c r="Y678" s="30" t="str">
        <f aca="false">IF(W678&lt;判定条件!$C$6,"判定不能",IF(X678&gt;=判定条件!$C$7*W678,"運転",IF(X678&lt;=判定条件!$C$8*W678,"停止","断続")))</f>
        <v>停止</v>
      </c>
      <c r="Z678" s="30" t="n">
        <v>60</v>
      </c>
      <c r="AA678" s="30" t="n">
        <v>0</v>
      </c>
      <c r="AB678" s="30" t="str">
        <f aca="false">IF(Z678&lt;判定条件!$C$6,"判定不能",IF(AA678&gt;=判定条件!$C$7*Z678,"運転",IF(AA678&lt;=判定条件!$C$8*Z678,"停止","断続")))</f>
        <v>停止</v>
      </c>
      <c r="AC678" s="30" t="n">
        <v>60</v>
      </c>
      <c r="AD678" s="30" t="n">
        <v>0</v>
      </c>
      <c r="AE678" s="30" t="str">
        <f aca="false">IF(AC678&lt;判定条件!$C$6,"判定不能",IF(AD678&gt;=判定条件!$C$7*AC678,"運転",IF(AD678&lt;=判定条件!$C$8*AC678,"停止","断続")))</f>
        <v>停止</v>
      </c>
      <c r="AF678" s="30" t="n">
        <v>60</v>
      </c>
      <c r="AG678" s="30" t="n">
        <v>0</v>
      </c>
      <c r="AH678" s="30" t="str">
        <f aca="false">IF(OR(P678="判定不能",G678="判定不能"),"判定不能",IF(AG678&gt;=判定条件!$C$9,"利用可",IF(AND(P678="停止",G678="停止"),"両方停止","運転がそろわない")))</f>
        <v>両方停止</v>
      </c>
      <c r="AI678" s="30" t="n">
        <v>0</v>
      </c>
      <c r="AJ678" s="30" t="n">
        <v>0</v>
      </c>
      <c r="AK678" s="30" t="str">
        <f aca="false">IF(OR(S678="判定不能",J678="判定不能"),"判定不能",IF(AJ678&gt;=判定条件!$C$9,"利用可",IF(AND(S678="停止",J678="停止"),"両方停止","運転がそろわない")))</f>
        <v>判定不能</v>
      </c>
      <c r="AL678" s="30" t="n">
        <v>60</v>
      </c>
      <c r="AM678" s="30" t="n">
        <v>0</v>
      </c>
      <c r="AN678" s="30" t="str">
        <f aca="false">IF(OR(V678="判定不能",M678="判定不能"),"判定不能",IF(AM678&gt;=判定条件!$C$9,"利用可",IF(AND(V678="停止",M678="停止"),"両方停止","運転がそろわない")))</f>
        <v>両方停止</v>
      </c>
      <c r="AO678" s="30" t="n">
        <v>60</v>
      </c>
      <c r="AP678" s="30" t="n">
        <v>0</v>
      </c>
      <c r="AQ678" s="30" t="str">
        <f aca="false">IF(OR(Y678="判定不能",G678="判定不能"),"判定不能",IF(AP678&gt;=判定条件!$C$9,"利用可",IF(AND(Y678="停止",G678="停止"),"両方停止","運転がそろわない")))</f>
        <v>両方停止</v>
      </c>
      <c r="AR678" s="30" t="n">
        <v>60</v>
      </c>
      <c r="AS678" s="30" t="n">
        <v>0</v>
      </c>
      <c r="AT678" s="30" t="str">
        <f aca="false">IF(OR(AB678="判定不能",J678="判定不能"),"判定不能",IF(AS678&gt;=判定条件!$C$9,"利用可",IF(AND(AB678="停止",J678="停止"),"両方停止","運転がそろわない")))</f>
        <v>両方停止</v>
      </c>
      <c r="AU678" s="30" t="n">
        <v>60</v>
      </c>
      <c r="AV678" s="30" t="n">
        <v>0</v>
      </c>
      <c r="AW678" s="30" t="str">
        <f aca="false">IF(OR(AE678="判定不能",M678="判定不能"),"判定不能",IF(AV678&gt;=判定条件!$C$9,"利用可",IF(AND(AE678="停止",M678="停止"),"両方停止","運転がそろわない")))</f>
        <v>両方停止</v>
      </c>
      <c r="AX678" s="30" t="str">
        <f aca="false">IF(AND(AH678="利用可",AK678="利用可",AN678="利用可"),"利用可","不可")</f>
        <v>不可</v>
      </c>
      <c r="AY678" s="30" t="str">
        <f aca="false">IF(AND(AQ678="利用可",AT678="利用可",AW678="利用可"),"利用可","不可")</f>
        <v>不可</v>
      </c>
    </row>
    <row r="679" customFormat="false" ht="15" hidden="false" customHeight="false" outlineLevel="0" collapsed="false">
      <c r="A679" s="29" t="n">
        <v>46260</v>
      </c>
      <c r="B679" s="30" t="n">
        <v>4</v>
      </c>
      <c r="C679" s="31" t="s">
        <v>58</v>
      </c>
      <c r="D679" s="31" t="s">
        <v>59</v>
      </c>
      <c r="E679" s="30" t="n">
        <v>60</v>
      </c>
      <c r="F679" s="30" t="n">
        <v>0</v>
      </c>
      <c r="G679" s="30" t="str">
        <f aca="false">IF(E679&lt;判定条件!$C$6,"判定不能",IF(F679&gt;=判定条件!$C$7*E679,"運転",IF(F679&lt;=判定条件!$C$8*E679,"停止","断続")))</f>
        <v>停止</v>
      </c>
      <c r="H679" s="30" t="n">
        <v>60</v>
      </c>
      <c r="I679" s="30" t="n">
        <v>0</v>
      </c>
      <c r="J679" s="30" t="str">
        <f aca="false">IF(H679&lt;判定条件!$C$6,"判定不能",IF(I679&gt;=判定条件!$C$7*H679,"運転",IF(I679&lt;=判定条件!$C$8*H679,"停止","断続")))</f>
        <v>停止</v>
      </c>
      <c r="K679" s="30" t="n">
        <v>60</v>
      </c>
      <c r="L679" s="30" t="n">
        <v>0</v>
      </c>
      <c r="M679" s="30" t="str">
        <f aca="false">IF(K679&lt;判定条件!$C$6,"判定不能",IF(L679&gt;=判定条件!$C$7*K679,"運転",IF(L679&lt;=判定条件!$C$8*K679,"停止","断続")))</f>
        <v>停止</v>
      </c>
      <c r="N679" s="30" t="n">
        <v>60</v>
      </c>
      <c r="O679" s="30" t="n">
        <v>0</v>
      </c>
      <c r="P679" s="30" t="str">
        <f aca="false">IF(N679&lt;判定条件!$C$6,"判定不能",IF(O679&gt;=判定条件!$C$7*N679,"運転",IF(O679&lt;=判定条件!$C$8*N679,"停止","断続")))</f>
        <v>停止</v>
      </c>
      <c r="Q679" s="30" t="n">
        <v>0</v>
      </c>
      <c r="R679" s="30" t="n">
        <v>0</v>
      </c>
      <c r="S679" s="30" t="str">
        <f aca="false">IF(Q679&lt;判定条件!$C$6,"判定不能",IF(R679&gt;=判定条件!$C$7*Q679,"運転",IF(R679&lt;=判定条件!$C$8*Q679,"停止","断続")))</f>
        <v>判定不能</v>
      </c>
      <c r="T679" s="30" t="n">
        <v>60</v>
      </c>
      <c r="U679" s="30" t="n">
        <v>0</v>
      </c>
      <c r="V679" s="30" t="str">
        <f aca="false">IF(T679&lt;判定条件!$C$6,"判定不能",IF(U679&gt;=判定条件!$C$7*T679,"運転",IF(U679&lt;=判定条件!$C$8*T679,"停止","断続")))</f>
        <v>停止</v>
      </c>
      <c r="W679" s="30" t="n">
        <v>60</v>
      </c>
      <c r="X679" s="30" t="n">
        <v>0</v>
      </c>
      <c r="Y679" s="30" t="str">
        <f aca="false">IF(W679&lt;判定条件!$C$6,"判定不能",IF(X679&gt;=判定条件!$C$7*W679,"運転",IF(X679&lt;=判定条件!$C$8*W679,"停止","断続")))</f>
        <v>停止</v>
      </c>
      <c r="Z679" s="30" t="n">
        <v>60</v>
      </c>
      <c r="AA679" s="30" t="n">
        <v>0</v>
      </c>
      <c r="AB679" s="30" t="str">
        <f aca="false">IF(Z679&lt;判定条件!$C$6,"判定不能",IF(AA679&gt;=判定条件!$C$7*Z679,"運転",IF(AA679&lt;=判定条件!$C$8*Z679,"停止","断続")))</f>
        <v>停止</v>
      </c>
      <c r="AC679" s="30" t="n">
        <v>60</v>
      </c>
      <c r="AD679" s="30" t="n">
        <v>0</v>
      </c>
      <c r="AE679" s="30" t="str">
        <f aca="false">IF(AC679&lt;判定条件!$C$6,"判定不能",IF(AD679&gt;=判定条件!$C$7*AC679,"運転",IF(AD679&lt;=判定条件!$C$8*AC679,"停止","断続")))</f>
        <v>停止</v>
      </c>
      <c r="AF679" s="30" t="n">
        <v>60</v>
      </c>
      <c r="AG679" s="30" t="n">
        <v>0</v>
      </c>
      <c r="AH679" s="30" t="str">
        <f aca="false">IF(OR(P679="判定不能",G679="判定不能"),"判定不能",IF(AG679&gt;=判定条件!$C$9,"利用可",IF(AND(P679="停止",G679="停止"),"両方停止","運転がそろわない")))</f>
        <v>両方停止</v>
      </c>
      <c r="AI679" s="30" t="n">
        <v>0</v>
      </c>
      <c r="AJ679" s="30" t="n">
        <v>0</v>
      </c>
      <c r="AK679" s="30" t="str">
        <f aca="false">IF(OR(S679="判定不能",J679="判定不能"),"判定不能",IF(AJ679&gt;=判定条件!$C$9,"利用可",IF(AND(S679="停止",J679="停止"),"両方停止","運転がそろわない")))</f>
        <v>判定不能</v>
      </c>
      <c r="AL679" s="30" t="n">
        <v>60</v>
      </c>
      <c r="AM679" s="30" t="n">
        <v>0</v>
      </c>
      <c r="AN679" s="30" t="str">
        <f aca="false">IF(OR(V679="判定不能",M679="判定不能"),"判定不能",IF(AM679&gt;=判定条件!$C$9,"利用可",IF(AND(V679="停止",M679="停止"),"両方停止","運転がそろわない")))</f>
        <v>両方停止</v>
      </c>
      <c r="AO679" s="30" t="n">
        <v>60</v>
      </c>
      <c r="AP679" s="30" t="n">
        <v>0</v>
      </c>
      <c r="AQ679" s="30" t="str">
        <f aca="false">IF(OR(Y679="判定不能",G679="判定不能"),"判定不能",IF(AP679&gt;=判定条件!$C$9,"利用可",IF(AND(Y679="停止",G679="停止"),"両方停止","運転がそろわない")))</f>
        <v>両方停止</v>
      </c>
      <c r="AR679" s="30" t="n">
        <v>60</v>
      </c>
      <c r="AS679" s="30" t="n">
        <v>0</v>
      </c>
      <c r="AT679" s="30" t="str">
        <f aca="false">IF(OR(AB679="判定不能",J679="判定不能"),"判定不能",IF(AS679&gt;=判定条件!$C$9,"利用可",IF(AND(AB679="停止",J679="停止"),"両方停止","運転がそろわない")))</f>
        <v>両方停止</v>
      </c>
      <c r="AU679" s="30" t="n">
        <v>60</v>
      </c>
      <c r="AV679" s="30" t="n">
        <v>0</v>
      </c>
      <c r="AW679" s="30" t="str">
        <f aca="false">IF(OR(AE679="判定不能",M679="判定不能"),"判定不能",IF(AV679&gt;=判定条件!$C$9,"利用可",IF(AND(AE679="停止",M679="停止"),"両方停止","運転がそろわない")))</f>
        <v>両方停止</v>
      </c>
      <c r="AX679" s="30" t="str">
        <f aca="false">IF(AND(AH679="利用可",AK679="利用可",AN679="利用可"),"利用可","不可")</f>
        <v>不可</v>
      </c>
      <c r="AY679" s="30" t="str">
        <f aca="false">IF(AND(AQ679="利用可",AT679="利用可",AW679="利用可"),"利用可","不可")</f>
        <v>不可</v>
      </c>
    </row>
    <row r="680" customFormat="false" ht="15" hidden="false" customHeight="false" outlineLevel="0" collapsed="false">
      <c r="A680" s="29" t="n">
        <v>46260</v>
      </c>
      <c r="B680" s="30" t="n">
        <v>5</v>
      </c>
      <c r="C680" s="31" t="s">
        <v>58</v>
      </c>
      <c r="D680" s="31" t="s">
        <v>59</v>
      </c>
      <c r="E680" s="30" t="n">
        <v>60</v>
      </c>
      <c r="F680" s="30" t="n">
        <v>0</v>
      </c>
      <c r="G680" s="30" t="str">
        <f aca="false">IF(E680&lt;判定条件!$C$6,"判定不能",IF(F680&gt;=判定条件!$C$7*E680,"運転",IF(F680&lt;=判定条件!$C$8*E680,"停止","断続")))</f>
        <v>停止</v>
      </c>
      <c r="H680" s="30" t="n">
        <v>60</v>
      </c>
      <c r="I680" s="30" t="n">
        <v>0</v>
      </c>
      <c r="J680" s="30" t="str">
        <f aca="false">IF(H680&lt;判定条件!$C$6,"判定不能",IF(I680&gt;=判定条件!$C$7*H680,"運転",IF(I680&lt;=判定条件!$C$8*H680,"停止","断続")))</f>
        <v>停止</v>
      </c>
      <c r="K680" s="30" t="n">
        <v>60</v>
      </c>
      <c r="L680" s="30" t="n">
        <v>0</v>
      </c>
      <c r="M680" s="30" t="str">
        <f aca="false">IF(K680&lt;判定条件!$C$6,"判定不能",IF(L680&gt;=判定条件!$C$7*K680,"運転",IF(L680&lt;=判定条件!$C$8*K680,"停止","断続")))</f>
        <v>停止</v>
      </c>
      <c r="N680" s="30" t="n">
        <v>60</v>
      </c>
      <c r="O680" s="30" t="n">
        <v>0</v>
      </c>
      <c r="P680" s="30" t="str">
        <f aca="false">IF(N680&lt;判定条件!$C$6,"判定不能",IF(O680&gt;=判定条件!$C$7*N680,"運転",IF(O680&lt;=判定条件!$C$8*N680,"停止","断続")))</f>
        <v>停止</v>
      </c>
      <c r="Q680" s="30" t="n">
        <v>0</v>
      </c>
      <c r="R680" s="30" t="n">
        <v>0</v>
      </c>
      <c r="S680" s="30" t="str">
        <f aca="false">IF(Q680&lt;判定条件!$C$6,"判定不能",IF(R680&gt;=判定条件!$C$7*Q680,"運転",IF(R680&lt;=判定条件!$C$8*Q680,"停止","断続")))</f>
        <v>判定不能</v>
      </c>
      <c r="T680" s="30" t="n">
        <v>60</v>
      </c>
      <c r="U680" s="30" t="n">
        <v>0</v>
      </c>
      <c r="V680" s="30" t="str">
        <f aca="false">IF(T680&lt;判定条件!$C$6,"判定不能",IF(U680&gt;=判定条件!$C$7*T680,"運転",IF(U680&lt;=判定条件!$C$8*T680,"停止","断続")))</f>
        <v>停止</v>
      </c>
      <c r="W680" s="30" t="n">
        <v>60</v>
      </c>
      <c r="X680" s="30" t="n">
        <v>0</v>
      </c>
      <c r="Y680" s="30" t="str">
        <f aca="false">IF(W680&lt;判定条件!$C$6,"判定不能",IF(X680&gt;=判定条件!$C$7*W680,"運転",IF(X680&lt;=判定条件!$C$8*W680,"停止","断続")))</f>
        <v>停止</v>
      </c>
      <c r="Z680" s="30" t="n">
        <v>60</v>
      </c>
      <c r="AA680" s="30" t="n">
        <v>0</v>
      </c>
      <c r="AB680" s="30" t="str">
        <f aca="false">IF(Z680&lt;判定条件!$C$6,"判定不能",IF(AA680&gt;=判定条件!$C$7*Z680,"運転",IF(AA680&lt;=判定条件!$C$8*Z680,"停止","断続")))</f>
        <v>停止</v>
      </c>
      <c r="AC680" s="30" t="n">
        <v>60</v>
      </c>
      <c r="AD680" s="30" t="n">
        <v>0</v>
      </c>
      <c r="AE680" s="30" t="str">
        <f aca="false">IF(AC680&lt;判定条件!$C$6,"判定不能",IF(AD680&gt;=判定条件!$C$7*AC680,"運転",IF(AD680&lt;=判定条件!$C$8*AC680,"停止","断続")))</f>
        <v>停止</v>
      </c>
      <c r="AF680" s="30" t="n">
        <v>60</v>
      </c>
      <c r="AG680" s="30" t="n">
        <v>0</v>
      </c>
      <c r="AH680" s="30" t="str">
        <f aca="false">IF(OR(P680="判定不能",G680="判定不能"),"判定不能",IF(AG680&gt;=判定条件!$C$9,"利用可",IF(AND(P680="停止",G680="停止"),"両方停止","運転がそろわない")))</f>
        <v>両方停止</v>
      </c>
      <c r="AI680" s="30" t="n">
        <v>0</v>
      </c>
      <c r="AJ680" s="30" t="n">
        <v>0</v>
      </c>
      <c r="AK680" s="30" t="str">
        <f aca="false">IF(OR(S680="判定不能",J680="判定不能"),"判定不能",IF(AJ680&gt;=判定条件!$C$9,"利用可",IF(AND(S680="停止",J680="停止"),"両方停止","運転がそろわない")))</f>
        <v>判定不能</v>
      </c>
      <c r="AL680" s="30" t="n">
        <v>60</v>
      </c>
      <c r="AM680" s="30" t="n">
        <v>0</v>
      </c>
      <c r="AN680" s="30" t="str">
        <f aca="false">IF(OR(V680="判定不能",M680="判定不能"),"判定不能",IF(AM680&gt;=判定条件!$C$9,"利用可",IF(AND(V680="停止",M680="停止"),"両方停止","運転がそろわない")))</f>
        <v>両方停止</v>
      </c>
      <c r="AO680" s="30" t="n">
        <v>60</v>
      </c>
      <c r="AP680" s="30" t="n">
        <v>0</v>
      </c>
      <c r="AQ680" s="30" t="str">
        <f aca="false">IF(OR(Y680="判定不能",G680="判定不能"),"判定不能",IF(AP680&gt;=判定条件!$C$9,"利用可",IF(AND(Y680="停止",G680="停止"),"両方停止","運転がそろわない")))</f>
        <v>両方停止</v>
      </c>
      <c r="AR680" s="30" t="n">
        <v>60</v>
      </c>
      <c r="AS680" s="30" t="n">
        <v>0</v>
      </c>
      <c r="AT680" s="30" t="str">
        <f aca="false">IF(OR(AB680="判定不能",J680="判定不能"),"判定不能",IF(AS680&gt;=判定条件!$C$9,"利用可",IF(AND(AB680="停止",J680="停止"),"両方停止","運転がそろわない")))</f>
        <v>両方停止</v>
      </c>
      <c r="AU680" s="30" t="n">
        <v>60</v>
      </c>
      <c r="AV680" s="30" t="n">
        <v>0</v>
      </c>
      <c r="AW680" s="30" t="str">
        <f aca="false">IF(OR(AE680="判定不能",M680="判定不能"),"判定不能",IF(AV680&gt;=判定条件!$C$9,"利用可",IF(AND(AE680="停止",M680="停止"),"両方停止","運転がそろわない")))</f>
        <v>両方停止</v>
      </c>
      <c r="AX680" s="30" t="str">
        <f aca="false">IF(AND(AH680="利用可",AK680="利用可",AN680="利用可"),"利用可","不可")</f>
        <v>不可</v>
      </c>
      <c r="AY680" s="30" t="str">
        <f aca="false">IF(AND(AQ680="利用可",AT680="利用可",AW680="利用可"),"利用可","不可")</f>
        <v>不可</v>
      </c>
    </row>
    <row r="681" customFormat="false" ht="15" hidden="false" customHeight="false" outlineLevel="0" collapsed="false">
      <c r="A681" s="29" t="n">
        <v>46260</v>
      </c>
      <c r="B681" s="30" t="n">
        <v>6</v>
      </c>
      <c r="C681" s="31" t="s">
        <v>58</v>
      </c>
      <c r="D681" s="31" t="s">
        <v>59</v>
      </c>
      <c r="E681" s="30" t="n">
        <v>60</v>
      </c>
      <c r="F681" s="30" t="n">
        <v>0</v>
      </c>
      <c r="G681" s="30" t="str">
        <f aca="false">IF(E681&lt;判定条件!$C$6,"判定不能",IF(F681&gt;=判定条件!$C$7*E681,"運転",IF(F681&lt;=判定条件!$C$8*E681,"停止","断続")))</f>
        <v>停止</v>
      </c>
      <c r="H681" s="30" t="n">
        <v>60</v>
      </c>
      <c r="I681" s="30" t="n">
        <v>0</v>
      </c>
      <c r="J681" s="30" t="str">
        <f aca="false">IF(H681&lt;判定条件!$C$6,"判定不能",IF(I681&gt;=判定条件!$C$7*H681,"運転",IF(I681&lt;=判定条件!$C$8*H681,"停止","断続")))</f>
        <v>停止</v>
      </c>
      <c r="K681" s="30" t="n">
        <v>60</v>
      </c>
      <c r="L681" s="30" t="n">
        <v>0</v>
      </c>
      <c r="M681" s="30" t="str">
        <f aca="false">IF(K681&lt;判定条件!$C$6,"判定不能",IF(L681&gt;=判定条件!$C$7*K681,"運転",IF(L681&lt;=判定条件!$C$8*K681,"停止","断続")))</f>
        <v>停止</v>
      </c>
      <c r="N681" s="30" t="n">
        <v>60</v>
      </c>
      <c r="O681" s="30" t="n">
        <v>0</v>
      </c>
      <c r="P681" s="30" t="str">
        <f aca="false">IF(N681&lt;判定条件!$C$6,"判定不能",IF(O681&gt;=判定条件!$C$7*N681,"運転",IF(O681&lt;=判定条件!$C$8*N681,"停止","断続")))</f>
        <v>停止</v>
      </c>
      <c r="Q681" s="30" t="n">
        <v>0</v>
      </c>
      <c r="R681" s="30" t="n">
        <v>0</v>
      </c>
      <c r="S681" s="30" t="str">
        <f aca="false">IF(Q681&lt;判定条件!$C$6,"判定不能",IF(R681&gt;=判定条件!$C$7*Q681,"運転",IF(R681&lt;=判定条件!$C$8*Q681,"停止","断続")))</f>
        <v>判定不能</v>
      </c>
      <c r="T681" s="30" t="n">
        <v>60</v>
      </c>
      <c r="U681" s="30" t="n">
        <v>9</v>
      </c>
      <c r="V681" s="30" t="str">
        <f aca="false">IF(T681&lt;判定条件!$C$6,"判定不能",IF(U681&gt;=判定条件!$C$7*T681,"運転",IF(U681&lt;=判定条件!$C$8*T681,"停止","断続")))</f>
        <v>停止</v>
      </c>
      <c r="W681" s="30" t="n">
        <v>60</v>
      </c>
      <c r="X681" s="30" t="n">
        <v>38</v>
      </c>
      <c r="Y681" s="30" t="str">
        <f aca="false">IF(W681&lt;判定条件!$C$6,"判定不能",IF(X681&gt;=判定条件!$C$7*W681,"運転",IF(X681&lt;=判定条件!$C$8*W681,"停止","断続")))</f>
        <v>断続</v>
      </c>
      <c r="Z681" s="30" t="n">
        <v>60</v>
      </c>
      <c r="AA681" s="30" t="n">
        <v>37</v>
      </c>
      <c r="AB681" s="30" t="str">
        <f aca="false">IF(Z681&lt;判定条件!$C$6,"判定不能",IF(AA681&gt;=判定条件!$C$7*Z681,"運転",IF(AA681&lt;=判定条件!$C$8*Z681,"停止","断続")))</f>
        <v>断続</v>
      </c>
      <c r="AC681" s="30" t="n">
        <v>60</v>
      </c>
      <c r="AD681" s="30" t="n">
        <v>37</v>
      </c>
      <c r="AE681" s="30" t="str">
        <f aca="false">IF(AC681&lt;判定条件!$C$6,"判定不能",IF(AD681&gt;=判定条件!$C$7*AC681,"運転",IF(AD681&lt;=判定条件!$C$8*AC681,"停止","断続")))</f>
        <v>断続</v>
      </c>
      <c r="AF681" s="30" t="n">
        <v>60</v>
      </c>
      <c r="AG681" s="30" t="n">
        <v>0</v>
      </c>
      <c r="AH681" s="30" t="str">
        <f aca="false">IF(OR(P681="判定不能",G681="判定不能"),"判定不能",IF(AG681&gt;=判定条件!$C$9,"利用可",IF(AND(P681="停止",G681="停止"),"両方停止","運転がそろわない")))</f>
        <v>両方停止</v>
      </c>
      <c r="AI681" s="30" t="n">
        <v>0</v>
      </c>
      <c r="AJ681" s="30" t="n">
        <v>0</v>
      </c>
      <c r="AK681" s="30" t="str">
        <f aca="false">IF(OR(S681="判定不能",J681="判定不能"),"判定不能",IF(AJ681&gt;=判定条件!$C$9,"利用可",IF(AND(S681="停止",J681="停止"),"両方停止","運転がそろわない")))</f>
        <v>判定不能</v>
      </c>
      <c r="AL681" s="30" t="n">
        <v>60</v>
      </c>
      <c r="AM681" s="30" t="n">
        <v>0</v>
      </c>
      <c r="AN681" s="30" t="str">
        <f aca="false">IF(OR(V681="判定不能",M681="判定不能"),"判定不能",IF(AM681&gt;=判定条件!$C$9,"利用可",IF(AND(V681="停止",M681="停止"),"両方停止","運転がそろわない")))</f>
        <v>両方停止</v>
      </c>
      <c r="AO681" s="30" t="n">
        <v>60</v>
      </c>
      <c r="AP681" s="30" t="n">
        <v>0</v>
      </c>
      <c r="AQ681" s="30" t="str">
        <f aca="false">IF(OR(Y681="判定不能",G681="判定不能"),"判定不能",IF(AP681&gt;=判定条件!$C$9,"利用可",IF(AND(Y681="停止",G681="停止"),"両方停止","運転がそろわない")))</f>
        <v>運転がそろわない</v>
      </c>
      <c r="AR681" s="30" t="n">
        <v>60</v>
      </c>
      <c r="AS681" s="30" t="n">
        <v>0</v>
      </c>
      <c r="AT681" s="30" t="str">
        <f aca="false">IF(OR(AB681="判定不能",J681="判定不能"),"判定不能",IF(AS681&gt;=判定条件!$C$9,"利用可",IF(AND(AB681="停止",J681="停止"),"両方停止","運転がそろわない")))</f>
        <v>運転がそろわない</v>
      </c>
      <c r="AU681" s="30" t="n">
        <v>60</v>
      </c>
      <c r="AV681" s="30" t="n">
        <v>0</v>
      </c>
      <c r="AW681" s="30" t="str">
        <f aca="false">IF(OR(AE681="判定不能",M681="判定不能"),"判定不能",IF(AV681&gt;=判定条件!$C$9,"利用可",IF(AND(AE681="停止",M681="停止"),"両方停止","運転がそろわない")))</f>
        <v>運転がそろわない</v>
      </c>
      <c r="AX681" s="30" t="str">
        <f aca="false">IF(AND(AH681="利用可",AK681="利用可",AN681="利用可"),"利用可","不可")</f>
        <v>不可</v>
      </c>
      <c r="AY681" s="30" t="str">
        <f aca="false">IF(AND(AQ681="利用可",AT681="利用可",AW681="利用可"),"利用可","不可")</f>
        <v>不可</v>
      </c>
    </row>
    <row r="682" customFormat="false" ht="15" hidden="false" customHeight="false" outlineLevel="0" collapsed="false">
      <c r="A682" s="29" t="n">
        <v>46260</v>
      </c>
      <c r="B682" s="30" t="n">
        <v>7</v>
      </c>
      <c r="C682" s="31" t="s">
        <v>58</v>
      </c>
      <c r="D682" s="31" t="s">
        <v>59</v>
      </c>
      <c r="E682" s="30" t="n">
        <v>60</v>
      </c>
      <c r="F682" s="30" t="n">
        <v>13</v>
      </c>
      <c r="G682" s="30" t="str">
        <f aca="false">IF(E682&lt;判定条件!$C$6,"判定不能",IF(F682&gt;=判定条件!$C$7*E682,"運転",IF(F682&lt;=判定条件!$C$8*E682,"停止","断続")))</f>
        <v>断続</v>
      </c>
      <c r="H682" s="30" t="n">
        <v>60</v>
      </c>
      <c r="I682" s="30" t="n">
        <v>0</v>
      </c>
      <c r="J682" s="30" t="str">
        <f aca="false">IF(H682&lt;判定条件!$C$6,"判定不能",IF(I682&gt;=判定条件!$C$7*H682,"運転",IF(I682&lt;=判定条件!$C$8*H682,"停止","断続")))</f>
        <v>停止</v>
      </c>
      <c r="K682" s="30" t="n">
        <v>60</v>
      </c>
      <c r="L682" s="30" t="n">
        <v>4</v>
      </c>
      <c r="M682" s="30" t="str">
        <f aca="false">IF(K682&lt;判定条件!$C$6,"判定不能",IF(L682&gt;=判定条件!$C$7*K682,"運転",IF(L682&lt;=判定条件!$C$8*K682,"停止","断続")))</f>
        <v>停止</v>
      </c>
      <c r="N682" s="30" t="n">
        <v>60</v>
      </c>
      <c r="O682" s="30" t="n">
        <v>50</v>
      </c>
      <c r="P682" s="30" t="str">
        <f aca="false">IF(N682&lt;判定条件!$C$6,"判定不能",IF(O682&gt;=判定条件!$C$7*N682,"運転",IF(O682&lt;=判定条件!$C$8*N682,"停止","断続")))</f>
        <v>運転</v>
      </c>
      <c r="Q682" s="30" t="n">
        <v>0</v>
      </c>
      <c r="R682" s="30" t="n">
        <v>0</v>
      </c>
      <c r="S682" s="30" t="str">
        <f aca="false">IF(Q682&lt;判定条件!$C$6,"判定不能",IF(R682&gt;=判定条件!$C$7*Q682,"運転",IF(R682&lt;=判定条件!$C$8*Q682,"停止","断続")))</f>
        <v>判定不能</v>
      </c>
      <c r="T682" s="30" t="n">
        <v>60</v>
      </c>
      <c r="U682" s="30" t="n">
        <v>52</v>
      </c>
      <c r="V682" s="30" t="str">
        <f aca="false">IF(T682&lt;判定条件!$C$6,"判定不能",IF(U682&gt;=判定条件!$C$7*T682,"運転",IF(U682&lt;=判定条件!$C$8*T682,"停止","断続")))</f>
        <v>運転</v>
      </c>
      <c r="W682" s="30" t="n">
        <v>60</v>
      </c>
      <c r="X682" s="30" t="n">
        <v>43</v>
      </c>
      <c r="Y682" s="30" t="str">
        <f aca="false">IF(W682&lt;判定条件!$C$6,"判定不能",IF(X682&gt;=判定条件!$C$7*W682,"運転",IF(X682&lt;=判定条件!$C$8*W682,"停止","断続")))</f>
        <v>断続</v>
      </c>
      <c r="Z682" s="30" t="n">
        <v>60</v>
      </c>
      <c r="AA682" s="30" t="n">
        <v>60</v>
      </c>
      <c r="AB682" s="30" t="str">
        <f aca="false">IF(Z682&lt;判定条件!$C$6,"判定不能",IF(AA682&gt;=判定条件!$C$7*Z682,"運転",IF(AA682&lt;=判定条件!$C$8*Z682,"停止","断続")))</f>
        <v>運転</v>
      </c>
      <c r="AC682" s="30" t="n">
        <v>60</v>
      </c>
      <c r="AD682" s="30" t="n">
        <v>49</v>
      </c>
      <c r="AE682" s="30" t="str">
        <f aca="false">IF(AC682&lt;判定条件!$C$6,"判定不能",IF(AD682&gt;=判定条件!$C$7*AC682,"運転",IF(AD682&lt;=判定条件!$C$8*AC682,"停止","断続")))</f>
        <v>運転</v>
      </c>
      <c r="AF682" s="30" t="n">
        <v>60</v>
      </c>
      <c r="AG682" s="30" t="n">
        <v>13</v>
      </c>
      <c r="AH682" s="30" t="str">
        <f aca="false">IF(OR(P682="判定不能",G682="判定不能"),"判定不能",IF(AG682&gt;=判定条件!$C$9,"利用可",IF(AND(P682="停止",G682="停止"),"両方停止","運転がそろわない")))</f>
        <v>運転がそろわない</v>
      </c>
      <c r="AI682" s="30" t="n">
        <v>0</v>
      </c>
      <c r="AJ682" s="30" t="n">
        <v>0</v>
      </c>
      <c r="AK682" s="30" t="str">
        <f aca="false">IF(OR(S682="判定不能",J682="判定不能"),"判定不能",IF(AJ682&gt;=判定条件!$C$9,"利用可",IF(AND(S682="停止",J682="停止"),"両方停止","運転がそろわない")))</f>
        <v>判定不能</v>
      </c>
      <c r="AL682" s="30" t="n">
        <v>60</v>
      </c>
      <c r="AM682" s="30" t="n">
        <v>4</v>
      </c>
      <c r="AN682" s="30" t="str">
        <f aca="false">IF(OR(V682="判定不能",M682="判定不能"),"判定不能",IF(AM682&gt;=判定条件!$C$9,"利用可",IF(AND(V682="停止",M682="停止"),"両方停止","運転がそろわない")))</f>
        <v>運転がそろわない</v>
      </c>
      <c r="AO682" s="30" t="n">
        <v>60</v>
      </c>
      <c r="AP682" s="30" t="n">
        <v>13</v>
      </c>
      <c r="AQ682" s="30" t="str">
        <f aca="false">IF(OR(Y682="判定不能",G682="判定不能"),"判定不能",IF(AP682&gt;=判定条件!$C$9,"利用可",IF(AND(Y682="停止",G682="停止"),"両方停止","運転がそろわない")))</f>
        <v>運転がそろわない</v>
      </c>
      <c r="AR682" s="30" t="n">
        <v>60</v>
      </c>
      <c r="AS682" s="30" t="n">
        <v>0</v>
      </c>
      <c r="AT682" s="30" t="str">
        <f aca="false">IF(OR(AB682="判定不能",J682="判定不能"),"判定不能",IF(AS682&gt;=判定条件!$C$9,"利用可",IF(AND(AB682="停止",J682="停止"),"両方停止","運転がそろわない")))</f>
        <v>運転がそろわない</v>
      </c>
      <c r="AU682" s="30" t="n">
        <v>60</v>
      </c>
      <c r="AV682" s="30" t="n">
        <v>0</v>
      </c>
      <c r="AW682" s="30" t="str">
        <f aca="false">IF(OR(AE682="判定不能",M682="判定不能"),"判定不能",IF(AV682&gt;=判定条件!$C$9,"利用可",IF(AND(AE682="停止",M682="停止"),"両方停止","運転がそろわない")))</f>
        <v>運転がそろわない</v>
      </c>
      <c r="AX682" s="30" t="str">
        <f aca="false">IF(AND(AH682="利用可",AK682="利用可",AN682="利用可"),"利用可","不可")</f>
        <v>不可</v>
      </c>
      <c r="AY682" s="30" t="str">
        <f aca="false">IF(AND(AQ682="利用可",AT682="利用可",AW682="利用可"),"利用可","不可")</f>
        <v>不可</v>
      </c>
    </row>
    <row r="683" customFormat="false" ht="15" hidden="false" customHeight="false" outlineLevel="0" collapsed="false">
      <c r="A683" s="29" t="n">
        <v>46260</v>
      </c>
      <c r="B683" s="30" t="n">
        <v>8</v>
      </c>
      <c r="C683" s="31" t="s">
        <v>58</v>
      </c>
      <c r="D683" s="31" t="s">
        <v>59</v>
      </c>
      <c r="E683" s="30" t="n">
        <v>60</v>
      </c>
      <c r="F683" s="30" t="n">
        <v>60</v>
      </c>
      <c r="G683" s="30" t="str">
        <f aca="false">IF(E683&lt;判定条件!$C$6,"判定不能",IF(F683&gt;=判定条件!$C$7*E683,"運転",IF(F683&lt;=判定条件!$C$8*E683,"停止","断続")))</f>
        <v>運転</v>
      </c>
      <c r="H683" s="30" t="n">
        <v>60</v>
      </c>
      <c r="I683" s="30" t="n">
        <v>46</v>
      </c>
      <c r="J683" s="30" t="str">
        <f aca="false">IF(H683&lt;判定条件!$C$6,"判定不能",IF(I683&gt;=判定条件!$C$7*H683,"運転",IF(I683&lt;=判定条件!$C$8*H683,"停止","断続")))</f>
        <v>断続</v>
      </c>
      <c r="K683" s="30" t="n">
        <v>60</v>
      </c>
      <c r="L683" s="30" t="n">
        <v>45</v>
      </c>
      <c r="M683" s="30" t="str">
        <f aca="false">IF(K683&lt;判定条件!$C$6,"判定不能",IF(L683&gt;=判定条件!$C$7*K683,"運転",IF(L683&lt;=判定条件!$C$8*K683,"停止","断続")))</f>
        <v>断続</v>
      </c>
      <c r="N683" s="30" t="n">
        <v>60</v>
      </c>
      <c r="O683" s="30" t="n">
        <v>60</v>
      </c>
      <c r="P683" s="30" t="str">
        <f aca="false">IF(N683&lt;判定条件!$C$6,"判定不能",IF(O683&gt;=判定条件!$C$7*N683,"運転",IF(O683&lt;=判定条件!$C$8*N683,"停止","断続")))</f>
        <v>運転</v>
      </c>
      <c r="Q683" s="30" t="n">
        <v>0</v>
      </c>
      <c r="R683" s="30" t="n">
        <v>0</v>
      </c>
      <c r="S683" s="30" t="str">
        <f aca="false">IF(Q683&lt;判定条件!$C$6,"判定不能",IF(R683&gt;=判定条件!$C$7*Q683,"運転",IF(R683&lt;=判定条件!$C$8*Q683,"停止","断続")))</f>
        <v>判定不能</v>
      </c>
      <c r="T683" s="30" t="n">
        <v>60</v>
      </c>
      <c r="U683" s="30" t="n">
        <v>60</v>
      </c>
      <c r="V683" s="30" t="str">
        <f aca="false">IF(T683&lt;判定条件!$C$6,"判定不能",IF(U683&gt;=判定条件!$C$7*T683,"運転",IF(U683&lt;=判定条件!$C$8*T683,"停止","断続")))</f>
        <v>運転</v>
      </c>
      <c r="W683" s="30" t="n">
        <v>60</v>
      </c>
      <c r="X683" s="30" t="n">
        <v>60</v>
      </c>
      <c r="Y683" s="30" t="str">
        <f aca="false">IF(W683&lt;判定条件!$C$6,"判定不能",IF(X683&gt;=判定条件!$C$7*W683,"運転",IF(X683&lt;=判定条件!$C$8*W683,"停止","断続")))</f>
        <v>運転</v>
      </c>
      <c r="Z683" s="30" t="n">
        <v>60</v>
      </c>
      <c r="AA683" s="30" t="n">
        <v>60</v>
      </c>
      <c r="AB683" s="30" t="str">
        <f aca="false">IF(Z683&lt;判定条件!$C$6,"判定不能",IF(AA683&gt;=判定条件!$C$7*Z683,"運転",IF(AA683&lt;=判定条件!$C$8*Z683,"停止","断続")))</f>
        <v>運転</v>
      </c>
      <c r="AC683" s="30" t="n">
        <v>60</v>
      </c>
      <c r="AD683" s="30" t="n">
        <v>60</v>
      </c>
      <c r="AE683" s="30" t="str">
        <f aca="false">IF(AC683&lt;判定条件!$C$6,"判定不能",IF(AD683&gt;=判定条件!$C$7*AC683,"運転",IF(AD683&lt;=判定条件!$C$8*AC683,"停止","断続")))</f>
        <v>運転</v>
      </c>
      <c r="AF683" s="30" t="n">
        <v>60</v>
      </c>
      <c r="AG683" s="30" t="n">
        <v>60</v>
      </c>
      <c r="AH683" s="30" t="str">
        <f aca="false">IF(OR(P683="判定不能",G683="判定不能"),"判定不能",IF(AG683&gt;=判定条件!$C$9,"利用可",IF(AND(P683="停止",G683="停止"),"両方停止","運転がそろわない")))</f>
        <v>利用可</v>
      </c>
      <c r="AI683" s="30" t="n">
        <v>0</v>
      </c>
      <c r="AJ683" s="30" t="n">
        <v>0</v>
      </c>
      <c r="AK683" s="30" t="str">
        <f aca="false">IF(OR(S683="判定不能",J683="判定不能"),"判定不能",IF(AJ683&gt;=判定条件!$C$9,"利用可",IF(AND(S683="停止",J683="停止"),"両方停止","運転がそろわない")))</f>
        <v>判定不能</v>
      </c>
      <c r="AL683" s="30" t="n">
        <v>60</v>
      </c>
      <c r="AM683" s="30" t="n">
        <v>45</v>
      </c>
      <c r="AN683" s="30" t="str">
        <f aca="false">IF(OR(V683="判定不能",M683="判定不能"),"判定不能",IF(AM683&gt;=判定条件!$C$9,"利用可",IF(AND(V683="停止",M683="停止"),"両方停止","運転がそろわない")))</f>
        <v>利用可</v>
      </c>
      <c r="AO683" s="30" t="n">
        <v>60</v>
      </c>
      <c r="AP683" s="30" t="n">
        <v>60</v>
      </c>
      <c r="AQ683" s="30" t="str">
        <f aca="false">IF(OR(Y683="判定不能",G683="判定不能"),"判定不能",IF(AP683&gt;=判定条件!$C$9,"利用可",IF(AND(Y683="停止",G683="停止"),"両方停止","運転がそろわない")))</f>
        <v>利用可</v>
      </c>
      <c r="AR683" s="30" t="n">
        <v>60</v>
      </c>
      <c r="AS683" s="30" t="n">
        <v>46</v>
      </c>
      <c r="AT683" s="30" t="str">
        <f aca="false">IF(OR(AB683="判定不能",J683="判定不能"),"判定不能",IF(AS683&gt;=判定条件!$C$9,"利用可",IF(AND(AB683="停止",J683="停止"),"両方停止","運転がそろわない")))</f>
        <v>利用可</v>
      </c>
      <c r="AU683" s="30" t="n">
        <v>60</v>
      </c>
      <c r="AV683" s="30" t="n">
        <v>45</v>
      </c>
      <c r="AW683" s="30" t="str">
        <f aca="false">IF(OR(AE683="判定不能",M683="判定不能"),"判定不能",IF(AV683&gt;=判定条件!$C$9,"利用可",IF(AND(AE683="停止",M683="停止"),"両方停止","運転がそろわない")))</f>
        <v>利用可</v>
      </c>
      <c r="AX683" s="30" t="str">
        <f aca="false">IF(AND(AH683="利用可",AK683="利用可",AN683="利用可"),"利用可","不可")</f>
        <v>不可</v>
      </c>
      <c r="AY683" s="30" t="str">
        <f aca="false">IF(AND(AQ683="利用可",AT683="利用可",AW683="利用可"),"利用可","不可")</f>
        <v>利用可</v>
      </c>
    </row>
    <row r="684" customFormat="false" ht="15" hidden="false" customHeight="false" outlineLevel="0" collapsed="false">
      <c r="A684" s="29" t="n">
        <v>46260</v>
      </c>
      <c r="B684" s="30" t="n">
        <v>9</v>
      </c>
      <c r="C684" s="31" t="s">
        <v>58</v>
      </c>
      <c r="D684" s="31" t="s">
        <v>59</v>
      </c>
      <c r="E684" s="30" t="n">
        <v>60</v>
      </c>
      <c r="F684" s="30" t="n">
        <v>60</v>
      </c>
      <c r="G684" s="30" t="str">
        <f aca="false">IF(E684&lt;判定条件!$C$6,"判定不能",IF(F684&gt;=判定条件!$C$7*E684,"運転",IF(F684&lt;=判定条件!$C$8*E684,"停止","断続")))</f>
        <v>運転</v>
      </c>
      <c r="H684" s="30" t="n">
        <v>60</v>
      </c>
      <c r="I684" s="30" t="n">
        <v>60</v>
      </c>
      <c r="J684" s="30" t="str">
        <f aca="false">IF(H684&lt;判定条件!$C$6,"判定不能",IF(I684&gt;=判定条件!$C$7*H684,"運転",IF(I684&lt;=判定条件!$C$8*H684,"停止","断続")))</f>
        <v>運転</v>
      </c>
      <c r="K684" s="30" t="n">
        <v>60</v>
      </c>
      <c r="L684" s="30" t="n">
        <v>60</v>
      </c>
      <c r="M684" s="30" t="str">
        <f aca="false">IF(K684&lt;判定条件!$C$6,"判定不能",IF(L684&gt;=判定条件!$C$7*K684,"運転",IF(L684&lt;=判定条件!$C$8*K684,"停止","断続")))</f>
        <v>運転</v>
      </c>
      <c r="N684" s="30" t="n">
        <v>60</v>
      </c>
      <c r="O684" s="30" t="n">
        <v>60</v>
      </c>
      <c r="P684" s="30" t="str">
        <f aca="false">IF(N684&lt;判定条件!$C$6,"判定不能",IF(O684&gt;=判定条件!$C$7*N684,"運転",IF(O684&lt;=判定条件!$C$8*N684,"停止","断続")))</f>
        <v>運転</v>
      </c>
      <c r="Q684" s="30" t="n">
        <v>0</v>
      </c>
      <c r="R684" s="30" t="n">
        <v>0</v>
      </c>
      <c r="S684" s="30" t="str">
        <f aca="false">IF(Q684&lt;判定条件!$C$6,"判定不能",IF(R684&gt;=判定条件!$C$7*Q684,"運転",IF(R684&lt;=判定条件!$C$8*Q684,"停止","断続")))</f>
        <v>判定不能</v>
      </c>
      <c r="T684" s="30" t="n">
        <v>60</v>
      </c>
      <c r="U684" s="30" t="n">
        <v>38</v>
      </c>
      <c r="V684" s="30" t="str">
        <f aca="false">IF(T684&lt;判定条件!$C$6,"判定不能",IF(U684&gt;=判定条件!$C$7*T684,"運転",IF(U684&lt;=判定条件!$C$8*T684,"停止","断続")))</f>
        <v>断続</v>
      </c>
      <c r="W684" s="30" t="n">
        <v>60</v>
      </c>
      <c r="X684" s="30" t="n">
        <v>60</v>
      </c>
      <c r="Y684" s="30" t="str">
        <f aca="false">IF(W684&lt;判定条件!$C$6,"判定不能",IF(X684&gt;=判定条件!$C$7*W684,"運転",IF(X684&lt;=判定条件!$C$8*W684,"停止","断続")))</f>
        <v>運転</v>
      </c>
      <c r="Z684" s="30" t="n">
        <v>60</v>
      </c>
      <c r="AA684" s="30" t="n">
        <v>60</v>
      </c>
      <c r="AB684" s="30" t="str">
        <f aca="false">IF(Z684&lt;判定条件!$C$6,"判定不能",IF(AA684&gt;=判定条件!$C$7*Z684,"運転",IF(AA684&lt;=判定条件!$C$8*Z684,"停止","断続")))</f>
        <v>運転</v>
      </c>
      <c r="AC684" s="30" t="n">
        <v>60</v>
      </c>
      <c r="AD684" s="30" t="n">
        <v>60</v>
      </c>
      <c r="AE684" s="30" t="str">
        <f aca="false">IF(AC684&lt;判定条件!$C$6,"判定不能",IF(AD684&gt;=判定条件!$C$7*AC684,"運転",IF(AD684&lt;=判定条件!$C$8*AC684,"停止","断続")))</f>
        <v>運転</v>
      </c>
      <c r="AF684" s="30" t="n">
        <v>60</v>
      </c>
      <c r="AG684" s="30" t="n">
        <v>60</v>
      </c>
      <c r="AH684" s="30" t="str">
        <f aca="false">IF(OR(P684="判定不能",G684="判定不能"),"判定不能",IF(AG684&gt;=判定条件!$C$9,"利用可",IF(AND(P684="停止",G684="停止"),"両方停止","運転がそろわない")))</f>
        <v>利用可</v>
      </c>
      <c r="AI684" s="30" t="n">
        <v>0</v>
      </c>
      <c r="AJ684" s="30" t="n">
        <v>0</v>
      </c>
      <c r="AK684" s="30" t="str">
        <f aca="false">IF(OR(S684="判定不能",J684="判定不能"),"判定不能",IF(AJ684&gt;=判定条件!$C$9,"利用可",IF(AND(S684="停止",J684="停止"),"両方停止","運転がそろわない")))</f>
        <v>判定不能</v>
      </c>
      <c r="AL684" s="30" t="n">
        <v>60</v>
      </c>
      <c r="AM684" s="30" t="n">
        <v>38</v>
      </c>
      <c r="AN684" s="30" t="str">
        <f aca="false">IF(OR(V684="判定不能",M684="判定不能"),"判定不能",IF(AM684&gt;=判定条件!$C$9,"利用可",IF(AND(V684="停止",M684="停止"),"両方停止","運転がそろわない")))</f>
        <v>利用可</v>
      </c>
      <c r="AO684" s="30" t="n">
        <v>60</v>
      </c>
      <c r="AP684" s="30" t="n">
        <v>60</v>
      </c>
      <c r="AQ684" s="30" t="str">
        <f aca="false">IF(OR(Y684="判定不能",G684="判定不能"),"判定不能",IF(AP684&gt;=判定条件!$C$9,"利用可",IF(AND(Y684="停止",G684="停止"),"両方停止","運転がそろわない")))</f>
        <v>利用可</v>
      </c>
      <c r="AR684" s="30" t="n">
        <v>60</v>
      </c>
      <c r="AS684" s="30" t="n">
        <v>60</v>
      </c>
      <c r="AT684" s="30" t="str">
        <f aca="false">IF(OR(AB684="判定不能",J684="判定不能"),"判定不能",IF(AS684&gt;=判定条件!$C$9,"利用可",IF(AND(AB684="停止",J684="停止"),"両方停止","運転がそろわない")))</f>
        <v>利用可</v>
      </c>
      <c r="AU684" s="30" t="n">
        <v>60</v>
      </c>
      <c r="AV684" s="30" t="n">
        <v>60</v>
      </c>
      <c r="AW684" s="30" t="str">
        <f aca="false">IF(OR(AE684="判定不能",M684="判定不能"),"判定不能",IF(AV684&gt;=判定条件!$C$9,"利用可",IF(AND(AE684="停止",M684="停止"),"両方停止","運転がそろわない")))</f>
        <v>利用可</v>
      </c>
      <c r="AX684" s="30" t="str">
        <f aca="false">IF(AND(AH684="利用可",AK684="利用可",AN684="利用可"),"利用可","不可")</f>
        <v>不可</v>
      </c>
      <c r="AY684" s="30" t="str">
        <f aca="false">IF(AND(AQ684="利用可",AT684="利用可",AW684="利用可"),"利用可","不可")</f>
        <v>利用可</v>
      </c>
    </row>
    <row r="685" customFormat="false" ht="15" hidden="false" customHeight="false" outlineLevel="0" collapsed="false">
      <c r="A685" s="29" t="n">
        <v>46260</v>
      </c>
      <c r="B685" s="30" t="n">
        <v>10</v>
      </c>
      <c r="C685" s="31" t="s">
        <v>58</v>
      </c>
      <c r="D685" s="31" t="s">
        <v>59</v>
      </c>
      <c r="E685" s="30" t="n">
        <v>60</v>
      </c>
      <c r="F685" s="30" t="n">
        <v>60</v>
      </c>
      <c r="G685" s="30" t="str">
        <f aca="false">IF(E685&lt;判定条件!$C$6,"判定不能",IF(F685&gt;=判定条件!$C$7*E685,"運転",IF(F685&lt;=判定条件!$C$8*E685,"停止","断続")))</f>
        <v>運転</v>
      </c>
      <c r="H685" s="30" t="n">
        <v>60</v>
      </c>
      <c r="I685" s="30" t="n">
        <v>60</v>
      </c>
      <c r="J685" s="30" t="str">
        <f aca="false">IF(H685&lt;判定条件!$C$6,"判定不能",IF(I685&gt;=判定条件!$C$7*H685,"運転",IF(I685&lt;=判定条件!$C$8*H685,"停止","断続")))</f>
        <v>運転</v>
      </c>
      <c r="K685" s="30" t="n">
        <v>60</v>
      </c>
      <c r="L685" s="30" t="n">
        <v>60</v>
      </c>
      <c r="M685" s="30" t="str">
        <f aca="false">IF(K685&lt;判定条件!$C$6,"判定不能",IF(L685&gt;=判定条件!$C$7*K685,"運転",IF(L685&lt;=判定条件!$C$8*K685,"停止","断続")))</f>
        <v>運転</v>
      </c>
      <c r="N685" s="30" t="n">
        <v>60</v>
      </c>
      <c r="O685" s="30" t="n">
        <v>60</v>
      </c>
      <c r="P685" s="30" t="str">
        <f aca="false">IF(N685&lt;判定条件!$C$6,"判定不能",IF(O685&gt;=判定条件!$C$7*N685,"運転",IF(O685&lt;=判定条件!$C$8*N685,"停止","断続")))</f>
        <v>運転</v>
      </c>
      <c r="Q685" s="30" t="n">
        <v>0</v>
      </c>
      <c r="R685" s="30" t="n">
        <v>0</v>
      </c>
      <c r="S685" s="30" t="str">
        <f aca="false">IF(Q685&lt;判定条件!$C$6,"判定不能",IF(R685&gt;=判定条件!$C$7*Q685,"運転",IF(R685&lt;=判定条件!$C$8*Q685,"停止","断続")))</f>
        <v>判定不能</v>
      </c>
      <c r="T685" s="30" t="n">
        <v>60</v>
      </c>
      <c r="U685" s="30" t="n">
        <v>60</v>
      </c>
      <c r="V685" s="30" t="str">
        <f aca="false">IF(T685&lt;判定条件!$C$6,"判定不能",IF(U685&gt;=判定条件!$C$7*T685,"運転",IF(U685&lt;=判定条件!$C$8*T685,"停止","断続")))</f>
        <v>運転</v>
      </c>
      <c r="W685" s="30" t="n">
        <v>60</v>
      </c>
      <c r="X685" s="30" t="n">
        <v>60</v>
      </c>
      <c r="Y685" s="30" t="str">
        <f aca="false">IF(W685&lt;判定条件!$C$6,"判定不能",IF(X685&gt;=判定条件!$C$7*W685,"運転",IF(X685&lt;=判定条件!$C$8*W685,"停止","断続")))</f>
        <v>運転</v>
      </c>
      <c r="Z685" s="30" t="n">
        <v>60</v>
      </c>
      <c r="AA685" s="30" t="n">
        <v>60</v>
      </c>
      <c r="AB685" s="30" t="str">
        <f aca="false">IF(Z685&lt;判定条件!$C$6,"判定不能",IF(AA685&gt;=判定条件!$C$7*Z685,"運転",IF(AA685&lt;=判定条件!$C$8*Z685,"停止","断続")))</f>
        <v>運転</v>
      </c>
      <c r="AC685" s="30" t="n">
        <v>60</v>
      </c>
      <c r="AD685" s="30" t="n">
        <v>60</v>
      </c>
      <c r="AE685" s="30" t="str">
        <f aca="false">IF(AC685&lt;判定条件!$C$6,"判定不能",IF(AD685&gt;=判定条件!$C$7*AC685,"運転",IF(AD685&lt;=判定条件!$C$8*AC685,"停止","断続")))</f>
        <v>運転</v>
      </c>
      <c r="AF685" s="30" t="n">
        <v>60</v>
      </c>
      <c r="AG685" s="30" t="n">
        <v>60</v>
      </c>
      <c r="AH685" s="30" t="str">
        <f aca="false">IF(OR(P685="判定不能",G685="判定不能"),"判定不能",IF(AG685&gt;=判定条件!$C$9,"利用可",IF(AND(P685="停止",G685="停止"),"両方停止","運転がそろわない")))</f>
        <v>利用可</v>
      </c>
      <c r="AI685" s="30" t="n">
        <v>0</v>
      </c>
      <c r="AJ685" s="30" t="n">
        <v>0</v>
      </c>
      <c r="AK685" s="30" t="str">
        <f aca="false">IF(OR(S685="判定不能",J685="判定不能"),"判定不能",IF(AJ685&gt;=判定条件!$C$9,"利用可",IF(AND(S685="停止",J685="停止"),"両方停止","運転がそろわない")))</f>
        <v>判定不能</v>
      </c>
      <c r="AL685" s="30" t="n">
        <v>60</v>
      </c>
      <c r="AM685" s="30" t="n">
        <v>60</v>
      </c>
      <c r="AN685" s="30" t="str">
        <f aca="false">IF(OR(V685="判定不能",M685="判定不能"),"判定不能",IF(AM685&gt;=判定条件!$C$9,"利用可",IF(AND(V685="停止",M685="停止"),"両方停止","運転がそろわない")))</f>
        <v>利用可</v>
      </c>
      <c r="AO685" s="30" t="n">
        <v>60</v>
      </c>
      <c r="AP685" s="30" t="n">
        <v>60</v>
      </c>
      <c r="AQ685" s="30" t="str">
        <f aca="false">IF(OR(Y685="判定不能",G685="判定不能"),"判定不能",IF(AP685&gt;=判定条件!$C$9,"利用可",IF(AND(Y685="停止",G685="停止"),"両方停止","運転がそろわない")))</f>
        <v>利用可</v>
      </c>
      <c r="AR685" s="30" t="n">
        <v>60</v>
      </c>
      <c r="AS685" s="30" t="n">
        <v>60</v>
      </c>
      <c r="AT685" s="30" t="str">
        <f aca="false">IF(OR(AB685="判定不能",J685="判定不能"),"判定不能",IF(AS685&gt;=判定条件!$C$9,"利用可",IF(AND(AB685="停止",J685="停止"),"両方停止","運転がそろわない")))</f>
        <v>利用可</v>
      </c>
      <c r="AU685" s="30" t="n">
        <v>60</v>
      </c>
      <c r="AV685" s="30" t="n">
        <v>60</v>
      </c>
      <c r="AW685" s="30" t="str">
        <f aca="false">IF(OR(AE685="判定不能",M685="判定不能"),"判定不能",IF(AV685&gt;=判定条件!$C$9,"利用可",IF(AND(AE685="停止",M685="停止"),"両方停止","運転がそろわない")))</f>
        <v>利用可</v>
      </c>
      <c r="AX685" s="30" t="str">
        <f aca="false">IF(AND(AH685="利用可",AK685="利用可",AN685="利用可"),"利用可","不可")</f>
        <v>不可</v>
      </c>
      <c r="AY685" s="30" t="str">
        <f aca="false">IF(AND(AQ685="利用可",AT685="利用可",AW685="利用可"),"利用可","不可")</f>
        <v>利用可</v>
      </c>
    </row>
    <row r="686" customFormat="false" ht="15" hidden="false" customHeight="false" outlineLevel="0" collapsed="false">
      <c r="A686" s="29" t="n">
        <v>46260</v>
      </c>
      <c r="B686" s="30" t="n">
        <v>11</v>
      </c>
      <c r="C686" s="31" t="s">
        <v>58</v>
      </c>
      <c r="D686" s="31" t="s">
        <v>59</v>
      </c>
      <c r="E686" s="30" t="n">
        <v>60</v>
      </c>
      <c r="F686" s="30" t="n">
        <v>60</v>
      </c>
      <c r="G686" s="30" t="str">
        <f aca="false">IF(E686&lt;判定条件!$C$6,"判定不能",IF(F686&gt;=判定条件!$C$7*E686,"運転",IF(F686&lt;=判定条件!$C$8*E686,"停止","断続")))</f>
        <v>運転</v>
      </c>
      <c r="H686" s="30" t="n">
        <v>60</v>
      </c>
      <c r="I686" s="30" t="n">
        <v>60</v>
      </c>
      <c r="J686" s="30" t="str">
        <f aca="false">IF(H686&lt;判定条件!$C$6,"判定不能",IF(I686&gt;=判定条件!$C$7*H686,"運転",IF(I686&lt;=判定条件!$C$8*H686,"停止","断続")))</f>
        <v>運転</v>
      </c>
      <c r="K686" s="30" t="n">
        <v>60</v>
      </c>
      <c r="L686" s="30" t="n">
        <v>60</v>
      </c>
      <c r="M686" s="30" t="str">
        <f aca="false">IF(K686&lt;判定条件!$C$6,"判定不能",IF(L686&gt;=判定条件!$C$7*K686,"運転",IF(L686&lt;=判定条件!$C$8*K686,"停止","断続")))</f>
        <v>運転</v>
      </c>
      <c r="N686" s="30" t="n">
        <v>60</v>
      </c>
      <c r="O686" s="30" t="n">
        <v>60</v>
      </c>
      <c r="P686" s="30" t="str">
        <f aca="false">IF(N686&lt;判定条件!$C$6,"判定不能",IF(O686&gt;=判定条件!$C$7*N686,"運転",IF(O686&lt;=判定条件!$C$8*N686,"停止","断続")))</f>
        <v>運転</v>
      </c>
      <c r="Q686" s="30" t="n">
        <v>0</v>
      </c>
      <c r="R686" s="30" t="n">
        <v>0</v>
      </c>
      <c r="S686" s="30" t="str">
        <f aca="false">IF(Q686&lt;判定条件!$C$6,"判定不能",IF(R686&gt;=判定条件!$C$7*Q686,"運転",IF(R686&lt;=判定条件!$C$8*Q686,"停止","断続")))</f>
        <v>判定不能</v>
      </c>
      <c r="T686" s="30" t="n">
        <v>60</v>
      </c>
      <c r="U686" s="30" t="n">
        <v>60</v>
      </c>
      <c r="V686" s="30" t="str">
        <f aca="false">IF(T686&lt;判定条件!$C$6,"判定不能",IF(U686&gt;=判定条件!$C$7*T686,"運転",IF(U686&lt;=判定条件!$C$8*T686,"停止","断続")))</f>
        <v>運転</v>
      </c>
      <c r="W686" s="30" t="n">
        <v>60</v>
      </c>
      <c r="X686" s="30" t="n">
        <v>60</v>
      </c>
      <c r="Y686" s="30" t="str">
        <f aca="false">IF(W686&lt;判定条件!$C$6,"判定不能",IF(X686&gt;=判定条件!$C$7*W686,"運転",IF(X686&lt;=判定条件!$C$8*W686,"停止","断続")))</f>
        <v>運転</v>
      </c>
      <c r="Z686" s="30" t="n">
        <v>60</v>
      </c>
      <c r="AA686" s="30" t="n">
        <v>60</v>
      </c>
      <c r="AB686" s="30" t="str">
        <f aca="false">IF(Z686&lt;判定条件!$C$6,"判定不能",IF(AA686&gt;=判定条件!$C$7*Z686,"運転",IF(AA686&lt;=判定条件!$C$8*Z686,"停止","断続")))</f>
        <v>運転</v>
      </c>
      <c r="AC686" s="30" t="n">
        <v>60</v>
      </c>
      <c r="AD686" s="30" t="n">
        <v>60</v>
      </c>
      <c r="AE686" s="30" t="str">
        <f aca="false">IF(AC686&lt;判定条件!$C$6,"判定不能",IF(AD686&gt;=判定条件!$C$7*AC686,"運転",IF(AD686&lt;=判定条件!$C$8*AC686,"停止","断続")))</f>
        <v>運転</v>
      </c>
      <c r="AF686" s="30" t="n">
        <v>60</v>
      </c>
      <c r="AG686" s="30" t="n">
        <v>60</v>
      </c>
      <c r="AH686" s="30" t="str">
        <f aca="false">IF(OR(P686="判定不能",G686="判定不能"),"判定不能",IF(AG686&gt;=判定条件!$C$9,"利用可",IF(AND(P686="停止",G686="停止"),"両方停止","運転がそろわない")))</f>
        <v>利用可</v>
      </c>
      <c r="AI686" s="30" t="n">
        <v>0</v>
      </c>
      <c r="AJ686" s="30" t="n">
        <v>0</v>
      </c>
      <c r="AK686" s="30" t="str">
        <f aca="false">IF(OR(S686="判定不能",J686="判定不能"),"判定不能",IF(AJ686&gt;=判定条件!$C$9,"利用可",IF(AND(S686="停止",J686="停止"),"両方停止","運転がそろわない")))</f>
        <v>判定不能</v>
      </c>
      <c r="AL686" s="30" t="n">
        <v>60</v>
      </c>
      <c r="AM686" s="30" t="n">
        <v>60</v>
      </c>
      <c r="AN686" s="30" t="str">
        <f aca="false">IF(OR(V686="判定不能",M686="判定不能"),"判定不能",IF(AM686&gt;=判定条件!$C$9,"利用可",IF(AND(V686="停止",M686="停止"),"両方停止","運転がそろわない")))</f>
        <v>利用可</v>
      </c>
      <c r="AO686" s="30" t="n">
        <v>60</v>
      </c>
      <c r="AP686" s="30" t="n">
        <v>60</v>
      </c>
      <c r="AQ686" s="30" t="str">
        <f aca="false">IF(OR(Y686="判定不能",G686="判定不能"),"判定不能",IF(AP686&gt;=判定条件!$C$9,"利用可",IF(AND(Y686="停止",G686="停止"),"両方停止","運転がそろわない")))</f>
        <v>利用可</v>
      </c>
      <c r="AR686" s="30" t="n">
        <v>60</v>
      </c>
      <c r="AS686" s="30" t="n">
        <v>60</v>
      </c>
      <c r="AT686" s="30" t="str">
        <f aca="false">IF(OR(AB686="判定不能",J686="判定不能"),"判定不能",IF(AS686&gt;=判定条件!$C$9,"利用可",IF(AND(AB686="停止",J686="停止"),"両方停止","運転がそろわない")))</f>
        <v>利用可</v>
      </c>
      <c r="AU686" s="30" t="n">
        <v>60</v>
      </c>
      <c r="AV686" s="30" t="n">
        <v>60</v>
      </c>
      <c r="AW686" s="30" t="str">
        <f aca="false">IF(OR(AE686="判定不能",M686="判定不能"),"判定不能",IF(AV686&gt;=判定条件!$C$9,"利用可",IF(AND(AE686="停止",M686="停止"),"両方停止","運転がそろわない")))</f>
        <v>利用可</v>
      </c>
      <c r="AX686" s="30" t="str">
        <f aca="false">IF(AND(AH686="利用可",AK686="利用可",AN686="利用可"),"利用可","不可")</f>
        <v>不可</v>
      </c>
      <c r="AY686" s="30" t="str">
        <f aca="false">IF(AND(AQ686="利用可",AT686="利用可",AW686="利用可"),"利用可","不可")</f>
        <v>利用可</v>
      </c>
    </row>
    <row r="687" customFormat="false" ht="15" hidden="false" customHeight="false" outlineLevel="0" collapsed="false">
      <c r="A687" s="29" t="n">
        <v>46260</v>
      </c>
      <c r="B687" s="30" t="n">
        <v>12</v>
      </c>
      <c r="C687" s="31" t="s">
        <v>58</v>
      </c>
      <c r="D687" s="31" t="s">
        <v>59</v>
      </c>
      <c r="E687" s="30" t="n">
        <v>60</v>
      </c>
      <c r="F687" s="30" t="n">
        <v>60</v>
      </c>
      <c r="G687" s="30" t="str">
        <f aca="false">IF(E687&lt;判定条件!$C$6,"判定不能",IF(F687&gt;=判定条件!$C$7*E687,"運転",IF(F687&lt;=判定条件!$C$8*E687,"停止","断続")))</f>
        <v>運転</v>
      </c>
      <c r="H687" s="30" t="n">
        <v>60</v>
      </c>
      <c r="I687" s="30" t="n">
        <v>60</v>
      </c>
      <c r="J687" s="30" t="str">
        <f aca="false">IF(H687&lt;判定条件!$C$6,"判定不能",IF(I687&gt;=判定条件!$C$7*H687,"運転",IF(I687&lt;=判定条件!$C$8*H687,"停止","断続")))</f>
        <v>運転</v>
      </c>
      <c r="K687" s="30" t="n">
        <v>60</v>
      </c>
      <c r="L687" s="30" t="n">
        <v>60</v>
      </c>
      <c r="M687" s="30" t="str">
        <f aca="false">IF(K687&lt;判定条件!$C$6,"判定不能",IF(L687&gt;=判定条件!$C$7*K687,"運転",IF(L687&lt;=判定条件!$C$8*K687,"停止","断続")))</f>
        <v>運転</v>
      </c>
      <c r="N687" s="30" t="n">
        <v>60</v>
      </c>
      <c r="O687" s="30" t="n">
        <v>60</v>
      </c>
      <c r="P687" s="30" t="str">
        <f aca="false">IF(N687&lt;判定条件!$C$6,"判定不能",IF(O687&gt;=判定条件!$C$7*N687,"運転",IF(O687&lt;=判定条件!$C$8*N687,"停止","断続")))</f>
        <v>運転</v>
      </c>
      <c r="Q687" s="30" t="n">
        <v>0</v>
      </c>
      <c r="R687" s="30" t="n">
        <v>0</v>
      </c>
      <c r="S687" s="30" t="str">
        <f aca="false">IF(Q687&lt;判定条件!$C$6,"判定不能",IF(R687&gt;=判定条件!$C$7*Q687,"運転",IF(R687&lt;=判定条件!$C$8*Q687,"停止","断続")))</f>
        <v>判定不能</v>
      </c>
      <c r="T687" s="30" t="n">
        <v>60</v>
      </c>
      <c r="U687" s="30" t="n">
        <v>60</v>
      </c>
      <c r="V687" s="30" t="str">
        <f aca="false">IF(T687&lt;判定条件!$C$6,"判定不能",IF(U687&gt;=判定条件!$C$7*T687,"運転",IF(U687&lt;=判定条件!$C$8*T687,"停止","断続")))</f>
        <v>運転</v>
      </c>
      <c r="W687" s="30" t="n">
        <v>60</v>
      </c>
      <c r="X687" s="30" t="n">
        <v>60</v>
      </c>
      <c r="Y687" s="30" t="str">
        <f aca="false">IF(W687&lt;判定条件!$C$6,"判定不能",IF(X687&gt;=判定条件!$C$7*W687,"運転",IF(X687&lt;=判定条件!$C$8*W687,"停止","断続")))</f>
        <v>運転</v>
      </c>
      <c r="Z687" s="30" t="n">
        <v>60</v>
      </c>
      <c r="AA687" s="30" t="n">
        <v>60</v>
      </c>
      <c r="AB687" s="30" t="str">
        <f aca="false">IF(Z687&lt;判定条件!$C$6,"判定不能",IF(AA687&gt;=判定条件!$C$7*Z687,"運転",IF(AA687&lt;=判定条件!$C$8*Z687,"停止","断続")))</f>
        <v>運転</v>
      </c>
      <c r="AC687" s="30" t="n">
        <v>60</v>
      </c>
      <c r="AD687" s="30" t="n">
        <v>60</v>
      </c>
      <c r="AE687" s="30" t="str">
        <f aca="false">IF(AC687&lt;判定条件!$C$6,"判定不能",IF(AD687&gt;=判定条件!$C$7*AC687,"運転",IF(AD687&lt;=判定条件!$C$8*AC687,"停止","断続")))</f>
        <v>運転</v>
      </c>
      <c r="AF687" s="30" t="n">
        <v>60</v>
      </c>
      <c r="AG687" s="30" t="n">
        <v>60</v>
      </c>
      <c r="AH687" s="30" t="str">
        <f aca="false">IF(OR(P687="判定不能",G687="判定不能"),"判定不能",IF(AG687&gt;=判定条件!$C$9,"利用可",IF(AND(P687="停止",G687="停止"),"両方停止","運転がそろわない")))</f>
        <v>利用可</v>
      </c>
      <c r="AI687" s="30" t="n">
        <v>0</v>
      </c>
      <c r="AJ687" s="30" t="n">
        <v>0</v>
      </c>
      <c r="AK687" s="30" t="str">
        <f aca="false">IF(OR(S687="判定不能",J687="判定不能"),"判定不能",IF(AJ687&gt;=判定条件!$C$9,"利用可",IF(AND(S687="停止",J687="停止"),"両方停止","運転がそろわない")))</f>
        <v>判定不能</v>
      </c>
      <c r="AL687" s="30" t="n">
        <v>60</v>
      </c>
      <c r="AM687" s="30" t="n">
        <v>60</v>
      </c>
      <c r="AN687" s="30" t="str">
        <f aca="false">IF(OR(V687="判定不能",M687="判定不能"),"判定不能",IF(AM687&gt;=判定条件!$C$9,"利用可",IF(AND(V687="停止",M687="停止"),"両方停止","運転がそろわない")))</f>
        <v>利用可</v>
      </c>
      <c r="AO687" s="30" t="n">
        <v>60</v>
      </c>
      <c r="AP687" s="30" t="n">
        <v>60</v>
      </c>
      <c r="AQ687" s="30" t="str">
        <f aca="false">IF(OR(Y687="判定不能",G687="判定不能"),"判定不能",IF(AP687&gt;=判定条件!$C$9,"利用可",IF(AND(Y687="停止",G687="停止"),"両方停止","運転がそろわない")))</f>
        <v>利用可</v>
      </c>
      <c r="AR687" s="30" t="n">
        <v>60</v>
      </c>
      <c r="AS687" s="30" t="n">
        <v>60</v>
      </c>
      <c r="AT687" s="30" t="str">
        <f aca="false">IF(OR(AB687="判定不能",J687="判定不能"),"判定不能",IF(AS687&gt;=判定条件!$C$9,"利用可",IF(AND(AB687="停止",J687="停止"),"両方停止","運転がそろわない")))</f>
        <v>利用可</v>
      </c>
      <c r="AU687" s="30" t="n">
        <v>60</v>
      </c>
      <c r="AV687" s="30" t="n">
        <v>60</v>
      </c>
      <c r="AW687" s="30" t="str">
        <f aca="false">IF(OR(AE687="判定不能",M687="判定不能"),"判定不能",IF(AV687&gt;=判定条件!$C$9,"利用可",IF(AND(AE687="停止",M687="停止"),"両方停止","運転がそろわない")))</f>
        <v>利用可</v>
      </c>
      <c r="AX687" s="30" t="str">
        <f aca="false">IF(AND(AH687="利用可",AK687="利用可",AN687="利用可"),"利用可","不可")</f>
        <v>不可</v>
      </c>
      <c r="AY687" s="30" t="str">
        <f aca="false">IF(AND(AQ687="利用可",AT687="利用可",AW687="利用可"),"利用可","不可")</f>
        <v>利用可</v>
      </c>
    </row>
    <row r="688" customFormat="false" ht="15" hidden="false" customHeight="false" outlineLevel="0" collapsed="false">
      <c r="A688" s="29" t="n">
        <v>46260</v>
      </c>
      <c r="B688" s="30" t="n">
        <v>13</v>
      </c>
      <c r="C688" s="31" t="s">
        <v>58</v>
      </c>
      <c r="D688" s="31" t="s">
        <v>59</v>
      </c>
      <c r="E688" s="30" t="n">
        <v>60</v>
      </c>
      <c r="F688" s="30" t="n">
        <v>60</v>
      </c>
      <c r="G688" s="30" t="str">
        <f aca="false">IF(E688&lt;判定条件!$C$6,"判定不能",IF(F688&gt;=判定条件!$C$7*E688,"運転",IF(F688&lt;=判定条件!$C$8*E688,"停止","断続")))</f>
        <v>運転</v>
      </c>
      <c r="H688" s="30" t="n">
        <v>60</v>
      </c>
      <c r="I688" s="30" t="n">
        <v>60</v>
      </c>
      <c r="J688" s="30" t="str">
        <f aca="false">IF(H688&lt;判定条件!$C$6,"判定不能",IF(I688&gt;=判定条件!$C$7*H688,"運転",IF(I688&lt;=判定条件!$C$8*H688,"停止","断続")))</f>
        <v>運転</v>
      </c>
      <c r="K688" s="30" t="n">
        <v>60</v>
      </c>
      <c r="L688" s="30" t="n">
        <v>60</v>
      </c>
      <c r="M688" s="30" t="str">
        <f aca="false">IF(K688&lt;判定条件!$C$6,"判定不能",IF(L688&gt;=判定条件!$C$7*K688,"運転",IF(L688&lt;=判定条件!$C$8*K688,"停止","断続")))</f>
        <v>運転</v>
      </c>
      <c r="N688" s="30" t="n">
        <v>60</v>
      </c>
      <c r="O688" s="30" t="n">
        <v>60</v>
      </c>
      <c r="P688" s="30" t="str">
        <f aca="false">IF(N688&lt;判定条件!$C$6,"判定不能",IF(O688&gt;=判定条件!$C$7*N688,"運転",IF(O688&lt;=判定条件!$C$8*N688,"停止","断続")))</f>
        <v>運転</v>
      </c>
      <c r="Q688" s="30" t="n">
        <v>0</v>
      </c>
      <c r="R688" s="30" t="n">
        <v>0</v>
      </c>
      <c r="S688" s="30" t="str">
        <f aca="false">IF(Q688&lt;判定条件!$C$6,"判定不能",IF(R688&gt;=判定条件!$C$7*Q688,"運転",IF(R688&lt;=判定条件!$C$8*Q688,"停止","断続")))</f>
        <v>判定不能</v>
      </c>
      <c r="T688" s="30" t="n">
        <v>60</v>
      </c>
      <c r="U688" s="30" t="n">
        <v>60</v>
      </c>
      <c r="V688" s="30" t="str">
        <f aca="false">IF(T688&lt;判定条件!$C$6,"判定不能",IF(U688&gt;=判定条件!$C$7*T688,"運転",IF(U688&lt;=判定条件!$C$8*T688,"停止","断続")))</f>
        <v>運転</v>
      </c>
      <c r="W688" s="30" t="n">
        <v>60</v>
      </c>
      <c r="X688" s="30" t="n">
        <v>60</v>
      </c>
      <c r="Y688" s="30" t="str">
        <f aca="false">IF(W688&lt;判定条件!$C$6,"判定不能",IF(X688&gt;=判定条件!$C$7*W688,"運転",IF(X688&lt;=判定条件!$C$8*W688,"停止","断続")))</f>
        <v>運転</v>
      </c>
      <c r="Z688" s="30" t="n">
        <v>60</v>
      </c>
      <c r="AA688" s="30" t="n">
        <v>60</v>
      </c>
      <c r="AB688" s="30" t="str">
        <f aca="false">IF(Z688&lt;判定条件!$C$6,"判定不能",IF(AA688&gt;=判定条件!$C$7*Z688,"運転",IF(AA688&lt;=判定条件!$C$8*Z688,"停止","断続")))</f>
        <v>運転</v>
      </c>
      <c r="AC688" s="30" t="n">
        <v>60</v>
      </c>
      <c r="AD688" s="30" t="n">
        <v>60</v>
      </c>
      <c r="AE688" s="30" t="str">
        <f aca="false">IF(AC688&lt;判定条件!$C$6,"判定不能",IF(AD688&gt;=判定条件!$C$7*AC688,"運転",IF(AD688&lt;=判定条件!$C$8*AC688,"停止","断続")))</f>
        <v>運転</v>
      </c>
      <c r="AF688" s="30" t="n">
        <v>60</v>
      </c>
      <c r="AG688" s="30" t="n">
        <v>60</v>
      </c>
      <c r="AH688" s="30" t="str">
        <f aca="false">IF(OR(P688="判定不能",G688="判定不能"),"判定不能",IF(AG688&gt;=判定条件!$C$9,"利用可",IF(AND(P688="停止",G688="停止"),"両方停止","運転がそろわない")))</f>
        <v>利用可</v>
      </c>
      <c r="AI688" s="30" t="n">
        <v>0</v>
      </c>
      <c r="AJ688" s="30" t="n">
        <v>0</v>
      </c>
      <c r="AK688" s="30" t="str">
        <f aca="false">IF(OR(S688="判定不能",J688="判定不能"),"判定不能",IF(AJ688&gt;=判定条件!$C$9,"利用可",IF(AND(S688="停止",J688="停止"),"両方停止","運転がそろわない")))</f>
        <v>判定不能</v>
      </c>
      <c r="AL688" s="30" t="n">
        <v>60</v>
      </c>
      <c r="AM688" s="30" t="n">
        <v>60</v>
      </c>
      <c r="AN688" s="30" t="str">
        <f aca="false">IF(OR(V688="判定不能",M688="判定不能"),"判定不能",IF(AM688&gt;=判定条件!$C$9,"利用可",IF(AND(V688="停止",M688="停止"),"両方停止","運転がそろわない")))</f>
        <v>利用可</v>
      </c>
      <c r="AO688" s="30" t="n">
        <v>60</v>
      </c>
      <c r="AP688" s="30" t="n">
        <v>60</v>
      </c>
      <c r="AQ688" s="30" t="str">
        <f aca="false">IF(OR(Y688="判定不能",G688="判定不能"),"判定不能",IF(AP688&gt;=判定条件!$C$9,"利用可",IF(AND(Y688="停止",G688="停止"),"両方停止","運転がそろわない")))</f>
        <v>利用可</v>
      </c>
      <c r="AR688" s="30" t="n">
        <v>60</v>
      </c>
      <c r="AS688" s="30" t="n">
        <v>60</v>
      </c>
      <c r="AT688" s="30" t="str">
        <f aca="false">IF(OR(AB688="判定不能",J688="判定不能"),"判定不能",IF(AS688&gt;=判定条件!$C$9,"利用可",IF(AND(AB688="停止",J688="停止"),"両方停止","運転がそろわない")))</f>
        <v>利用可</v>
      </c>
      <c r="AU688" s="30" t="n">
        <v>60</v>
      </c>
      <c r="AV688" s="30" t="n">
        <v>60</v>
      </c>
      <c r="AW688" s="30" t="str">
        <f aca="false">IF(OR(AE688="判定不能",M688="判定不能"),"判定不能",IF(AV688&gt;=判定条件!$C$9,"利用可",IF(AND(AE688="停止",M688="停止"),"両方停止","運転がそろわない")))</f>
        <v>利用可</v>
      </c>
      <c r="AX688" s="30" t="str">
        <f aca="false">IF(AND(AH688="利用可",AK688="利用可",AN688="利用可"),"利用可","不可")</f>
        <v>不可</v>
      </c>
      <c r="AY688" s="30" t="str">
        <f aca="false">IF(AND(AQ688="利用可",AT688="利用可",AW688="利用可"),"利用可","不可")</f>
        <v>利用可</v>
      </c>
    </row>
    <row r="689" customFormat="false" ht="15" hidden="false" customHeight="false" outlineLevel="0" collapsed="false">
      <c r="A689" s="29" t="n">
        <v>46260</v>
      </c>
      <c r="B689" s="30" t="n">
        <v>14</v>
      </c>
      <c r="C689" s="31" t="s">
        <v>58</v>
      </c>
      <c r="D689" s="31" t="s">
        <v>59</v>
      </c>
      <c r="E689" s="30" t="n">
        <v>60</v>
      </c>
      <c r="F689" s="30" t="n">
        <v>60</v>
      </c>
      <c r="G689" s="30" t="str">
        <f aca="false">IF(E689&lt;判定条件!$C$6,"判定不能",IF(F689&gt;=判定条件!$C$7*E689,"運転",IF(F689&lt;=判定条件!$C$8*E689,"停止","断続")))</f>
        <v>運転</v>
      </c>
      <c r="H689" s="30" t="n">
        <v>60</v>
      </c>
      <c r="I689" s="30" t="n">
        <v>60</v>
      </c>
      <c r="J689" s="30" t="str">
        <f aca="false">IF(H689&lt;判定条件!$C$6,"判定不能",IF(I689&gt;=判定条件!$C$7*H689,"運転",IF(I689&lt;=判定条件!$C$8*H689,"停止","断続")))</f>
        <v>運転</v>
      </c>
      <c r="K689" s="30" t="n">
        <v>60</v>
      </c>
      <c r="L689" s="30" t="n">
        <v>60</v>
      </c>
      <c r="M689" s="30" t="str">
        <f aca="false">IF(K689&lt;判定条件!$C$6,"判定不能",IF(L689&gt;=判定条件!$C$7*K689,"運転",IF(L689&lt;=判定条件!$C$8*K689,"停止","断続")))</f>
        <v>運転</v>
      </c>
      <c r="N689" s="30" t="n">
        <v>60</v>
      </c>
      <c r="O689" s="30" t="n">
        <v>60</v>
      </c>
      <c r="P689" s="30" t="str">
        <f aca="false">IF(N689&lt;判定条件!$C$6,"判定不能",IF(O689&gt;=判定条件!$C$7*N689,"運転",IF(O689&lt;=判定条件!$C$8*N689,"停止","断続")))</f>
        <v>運転</v>
      </c>
      <c r="Q689" s="30" t="n">
        <v>0</v>
      </c>
      <c r="R689" s="30" t="n">
        <v>0</v>
      </c>
      <c r="S689" s="30" t="str">
        <f aca="false">IF(Q689&lt;判定条件!$C$6,"判定不能",IF(R689&gt;=判定条件!$C$7*Q689,"運転",IF(R689&lt;=判定条件!$C$8*Q689,"停止","断続")))</f>
        <v>判定不能</v>
      </c>
      <c r="T689" s="30" t="n">
        <v>60</v>
      </c>
      <c r="U689" s="30" t="n">
        <v>60</v>
      </c>
      <c r="V689" s="30" t="str">
        <f aca="false">IF(T689&lt;判定条件!$C$6,"判定不能",IF(U689&gt;=判定条件!$C$7*T689,"運転",IF(U689&lt;=判定条件!$C$8*T689,"停止","断続")))</f>
        <v>運転</v>
      </c>
      <c r="W689" s="30" t="n">
        <v>60</v>
      </c>
      <c r="X689" s="30" t="n">
        <v>60</v>
      </c>
      <c r="Y689" s="30" t="str">
        <f aca="false">IF(W689&lt;判定条件!$C$6,"判定不能",IF(X689&gt;=判定条件!$C$7*W689,"運転",IF(X689&lt;=判定条件!$C$8*W689,"停止","断続")))</f>
        <v>運転</v>
      </c>
      <c r="Z689" s="30" t="n">
        <v>60</v>
      </c>
      <c r="AA689" s="30" t="n">
        <v>60</v>
      </c>
      <c r="AB689" s="30" t="str">
        <f aca="false">IF(Z689&lt;判定条件!$C$6,"判定不能",IF(AA689&gt;=判定条件!$C$7*Z689,"運転",IF(AA689&lt;=判定条件!$C$8*Z689,"停止","断続")))</f>
        <v>運転</v>
      </c>
      <c r="AC689" s="30" t="n">
        <v>60</v>
      </c>
      <c r="AD689" s="30" t="n">
        <v>60</v>
      </c>
      <c r="AE689" s="30" t="str">
        <f aca="false">IF(AC689&lt;判定条件!$C$6,"判定不能",IF(AD689&gt;=判定条件!$C$7*AC689,"運転",IF(AD689&lt;=判定条件!$C$8*AC689,"停止","断続")))</f>
        <v>運転</v>
      </c>
      <c r="AF689" s="30" t="n">
        <v>60</v>
      </c>
      <c r="AG689" s="30" t="n">
        <v>60</v>
      </c>
      <c r="AH689" s="30" t="str">
        <f aca="false">IF(OR(P689="判定不能",G689="判定不能"),"判定不能",IF(AG689&gt;=判定条件!$C$9,"利用可",IF(AND(P689="停止",G689="停止"),"両方停止","運転がそろわない")))</f>
        <v>利用可</v>
      </c>
      <c r="AI689" s="30" t="n">
        <v>0</v>
      </c>
      <c r="AJ689" s="30" t="n">
        <v>0</v>
      </c>
      <c r="AK689" s="30" t="str">
        <f aca="false">IF(OR(S689="判定不能",J689="判定不能"),"判定不能",IF(AJ689&gt;=判定条件!$C$9,"利用可",IF(AND(S689="停止",J689="停止"),"両方停止","運転がそろわない")))</f>
        <v>判定不能</v>
      </c>
      <c r="AL689" s="30" t="n">
        <v>60</v>
      </c>
      <c r="AM689" s="30" t="n">
        <v>60</v>
      </c>
      <c r="AN689" s="30" t="str">
        <f aca="false">IF(OR(V689="判定不能",M689="判定不能"),"判定不能",IF(AM689&gt;=判定条件!$C$9,"利用可",IF(AND(V689="停止",M689="停止"),"両方停止","運転がそろわない")))</f>
        <v>利用可</v>
      </c>
      <c r="AO689" s="30" t="n">
        <v>60</v>
      </c>
      <c r="AP689" s="30" t="n">
        <v>60</v>
      </c>
      <c r="AQ689" s="30" t="str">
        <f aca="false">IF(OR(Y689="判定不能",G689="判定不能"),"判定不能",IF(AP689&gt;=判定条件!$C$9,"利用可",IF(AND(Y689="停止",G689="停止"),"両方停止","運転がそろわない")))</f>
        <v>利用可</v>
      </c>
      <c r="AR689" s="30" t="n">
        <v>60</v>
      </c>
      <c r="AS689" s="30" t="n">
        <v>60</v>
      </c>
      <c r="AT689" s="30" t="str">
        <f aca="false">IF(OR(AB689="判定不能",J689="判定不能"),"判定不能",IF(AS689&gt;=判定条件!$C$9,"利用可",IF(AND(AB689="停止",J689="停止"),"両方停止","運転がそろわない")))</f>
        <v>利用可</v>
      </c>
      <c r="AU689" s="30" t="n">
        <v>60</v>
      </c>
      <c r="AV689" s="30" t="n">
        <v>60</v>
      </c>
      <c r="AW689" s="30" t="str">
        <f aca="false">IF(OR(AE689="判定不能",M689="判定不能"),"判定不能",IF(AV689&gt;=判定条件!$C$9,"利用可",IF(AND(AE689="停止",M689="停止"),"両方停止","運転がそろわない")))</f>
        <v>利用可</v>
      </c>
      <c r="AX689" s="30" t="str">
        <f aca="false">IF(AND(AH689="利用可",AK689="利用可",AN689="利用可"),"利用可","不可")</f>
        <v>不可</v>
      </c>
      <c r="AY689" s="30" t="str">
        <f aca="false">IF(AND(AQ689="利用可",AT689="利用可",AW689="利用可"),"利用可","不可")</f>
        <v>利用可</v>
      </c>
    </row>
    <row r="690" customFormat="false" ht="15" hidden="false" customHeight="false" outlineLevel="0" collapsed="false">
      <c r="A690" s="29" t="n">
        <v>46260</v>
      </c>
      <c r="B690" s="30" t="n">
        <v>15</v>
      </c>
      <c r="C690" s="31" t="s">
        <v>58</v>
      </c>
      <c r="D690" s="31" t="s">
        <v>59</v>
      </c>
      <c r="E690" s="30" t="n">
        <v>60</v>
      </c>
      <c r="F690" s="30" t="n">
        <v>60</v>
      </c>
      <c r="G690" s="30" t="str">
        <f aca="false">IF(E690&lt;判定条件!$C$6,"判定不能",IF(F690&gt;=判定条件!$C$7*E690,"運転",IF(F690&lt;=判定条件!$C$8*E690,"停止","断続")))</f>
        <v>運転</v>
      </c>
      <c r="H690" s="30" t="n">
        <v>60</v>
      </c>
      <c r="I690" s="30" t="n">
        <v>60</v>
      </c>
      <c r="J690" s="30" t="str">
        <f aca="false">IF(H690&lt;判定条件!$C$6,"判定不能",IF(I690&gt;=判定条件!$C$7*H690,"運転",IF(I690&lt;=判定条件!$C$8*H690,"停止","断続")))</f>
        <v>運転</v>
      </c>
      <c r="K690" s="30" t="n">
        <v>60</v>
      </c>
      <c r="L690" s="30" t="n">
        <v>60</v>
      </c>
      <c r="M690" s="30" t="str">
        <f aca="false">IF(K690&lt;判定条件!$C$6,"判定不能",IF(L690&gt;=判定条件!$C$7*K690,"運転",IF(L690&lt;=判定条件!$C$8*K690,"停止","断続")))</f>
        <v>運転</v>
      </c>
      <c r="N690" s="30" t="n">
        <v>60</v>
      </c>
      <c r="O690" s="30" t="n">
        <v>48</v>
      </c>
      <c r="P690" s="30" t="str">
        <f aca="false">IF(N690&lt;判定条件!$C$6,"判定不能",IF(O690&gt;=判定条件!$C$7*N690,"運転",IF(O690&lt;=判定条件!$C$8*N690,"停止","断続")))</f>
        <v>運転</v>
      </c>
      <c r="Q690" s="30" t="n">
        <v>0</v>
      </c>
      <c r="R690" s="30" t="n">
        <v>0</v>
      </c>
      <c r="S690" s="30" t="str">
        <f aca="false">IF(Q690&lt;判定条件!$C$6,"判定不能",IF(R690&gt;=判定条件!$C$7*Q690,"運転",IF(R690&lt;=判定条件!$C$8*Q690,"停止","断続")))</f>
        <v>判定不能</v>
      </c>
      <c r="T690" s="30" t="n">
        <v>60</v>
      </c>
      <c r="U690" s="30" t="n">
        <v>60</v>
      </c>
      <c r="V690" s="30" t="str">
        <f aca="false">IF(T690&lt;判定条件!$C$6,"判定不能",IF(U690&gt;=判定条件!$C$7*T690,"運転",IF(U690&lt;=判定条件!$C$8*T690,"停止","断続")))</f>
        <v>運転</v>
      </c>
      <c r="W690" s="30" t="n">
        <v>60</v>
      </c>
      <c r="X690" s="30" t="n">
        <v>60</v>
      </c>
      <c r="Y690" s="30" t="str">
        <f aca="false">IF(W690&lt;判定条件!$C$6,"判定不能",IF(X690&gt;=判定条件!$C$7*W690,"運転",IF(X690&lt;=判定条件!$C$8*W690,"停止","断続")))</f>
        <v>運転</v>
      </c>
      <c r="Z690" s="30" t="n">
        <v>60</v>
      </c>
      <c r="AA690" s="30" t="n">
        <v>60</v>
      </c>
      <c r="AB690" s="30" t="str">
        <f aca="false">IF(Z690&lt;判定条件!$C$6,"判定不能",IF(AA690&gt;=判定条件!$C$7*Z690,"運転",IF(AA690&lt;=判定条件!$C$8*Z690,"停止","断続")))</f>
        <v>運転</v>
      </c>
      <c r="AC690" s="30" t="n">
        <v>60</v>
      </c>
      <c r="AD690" s="30" t="n">
        <v>60</v>
      </c>
      <c r="AE690" s="30" t="str">
        <f aca="false">IF(AC690&lt;判定条件!$C$6,"判定不能",IF(AD690&gt;=判定条件!$C$7*AC690,"運転",IF(AD690&lt;=判定条件!$C$8*AC690,"停止","断続")))</f>
        <v>運転</v>
      </c>
      <c r="AF690" s="30" t="n">
        <v>60</v>
      </c>
      <c r="AG690" s="30" t="n">
        <v>48</v>
      </c>
      <c r="AH690" s="30" t="str">
        <f aca="false">IF(OR(P690="判定不能",G690="判定不能"),"判定不能",IF(AG690&gt;=判定条件!$C$9,"利用可",IF(AND(P690="停止",G690="停止"),"両方停止","運転がそろわない")))</f>
        <v>利用可</v>
      </c>
      <c r="AI690" s="30" t="n">
        <v>0</v>
      </c>
      <c r="AJ690" s="30" t="n">
        <v>0</v>
      </c>
      <c r="AK690" s="30" t="str">
        <f aca="false">IF(OR(S690="判定不能",J690="判定不能"),"判定不能",IF(AJ690&gt;=判定条件!$C$9,"利用可",IF(AND(S690="停止",J690="停止"),"両方停止","運転がそろわない")))</f>
        <v>判定不能</v>
      </c>
      <c r="AL690" s="30" t="n">
        <v>60</v>
      </c>
      <c r="AM690" s="30" t="n">
        <v>60</v>
      </c>
      <c r="AN690" s="30" t="str">
        <f aca="false">IF(OR(V690="判定不能",M690="判定不能"),"判定不能",IF(AM690&gt;=判定条件!$C$9,"利用可",IF(AND(V690="停止",M690="停止"),"両方停止","運転がそろわない")))</f>
        <v>利用可</v>
      </c>
      <c r="AO690" s="30" t="n">
        <v>60</v>
      </c>
      <c r="AP690" s="30" t="n">
        <v>60</v>
      </c>
      <c r="AQ690" s="30" t="str">
        <f aca="false">IF(OR(Y690="判定不能",G690="判定不能"),"判定不能",IF(AP690&gt;=判定条件!$C$9,"利用可",IF(AND(Y690="停止",G690="停止"),"両方停止","運転がそろわない")))</f>
        <v>利用可</v>
      </c>
      <c r="AR690" s="30" t="n">
        <v>60</v>
      </c>
      <c r="AS690" s="30" t="n">
        <v>60</v>
      </c>
      <c r="AT690" s="30" t="str">
        <f aca="false">IF(OR(AB690="判定不能",J690="判定不能"),"判定不能",IF(AS690&gt;=判定条件!$C$9,"利用可",IF(AND(AB690="停止",J690="停止"),"両方停止","運転がそろわない")))</f>
        <v>利用可</v>
      </c>
      <c r="AU690" s="30" t="n">
        <v>60</v>
      </c>
      <c r="AV690" s="30" t="n">
        <v>60</v>
      </c>
      <c r="AW690" s="30" t="str">
        <f aca="false">IF(OR(AE690="判定不能",M690="判定不能"),"判定不能",IF(AV690&gt;=判定条件!$C$9,"利用可",IF(AND(AE690="停止",M690="停止"),"両方停止","運転がそろわない")))</f>
        <v>利用可</v>
      </c>
      <c r="AX690" s="30" t="str">
        <f aca="false">IF(AND(AH690="利用可",AK690="利用可",AN690="利用可"),"利用可","不可")</f>
        <v>不可</v>
      </c>
      <c r="AY690" s="30" t="str">
        <f aca="false">IF(AND(AQ690="利用可",AT690="利用可",AW690="利用可"),"利用可","不可")</f>
        <v>利用可</v>
      </c>
    </row>
    <row r="691" customFormat="false" ht="15" hidden="false" customHeight="false" outlineLevel="0" collapsed="false">
      <c r="A691" s="29" t="n">
        <v>46260</v>
      </c>
      <c r="B691" s="30" t="n">
        <v>16</v>
      </c>
      <c r="C691" s="31" t="s">
        <v>58</v>
      </c>
      <c r="D691" s="31" t="s">
        <v>59</v>
      </c>
      <c r="E691" s="30" t="n">
        <v>60</v>
      </c>
      <c r="F691" s="30" t="n">
        <v>60</v>
      </c>
      <c r="G691" s="30" t="str">
        <f aca="false">IF(E691&lt;判定条件!$C$6,"判定不能",IF(F691&gt;=判定条件!$C$7*E691,"運転",IF(F691&lt;=判定条件!$C$8*E691,"停止","断続")))</f>
        <v>運転</v>
      </c>
      <c r="H691" s="30" t="n">
        <v>60</v>
      </c>
      <c r="I691" s="30" t="n">
        <v>60</v>
      </c>
      <c r="J691" s="30" t="str">
        <f aca="false">IF(H691&lt;判定条件!$C$6,"判定不能",IF(I691&gt;=判定条件!$C$7*H691,"運転",IF(I691&lt;=判定条件!$C$8*H691,"停止","断続")))</f>
        <v>運転</v>
      </c>
      <c r="K691" s="30" t="n">
        <v>60</v>
      </c>
      <c r="L691" s="30" t="n">
        <v>60</v>
      </c>
      <c r="M691" s="30" t="str">
        <f aca="false">IF(K691&lt;判定条件!$C$6,"判定不能",IF(L691&gt;=判定条件!$C$7*K691,"運転",IF(L691&lt;=判定条件!$C$8*K691,"停止","断続")))</f>
        <v>運転</v>
      </c>
      <c r="N691" s="30" t="n">
        <v>60</v>
      </c>
      <c r="O691" s="30" t="n">
        <v>60</v>
      </c>
      <c r="P691" s="30" t="str">
        <f aca="false">IF(N691&lt;判定条件!$C$6,"判定不能",IF(O691&gt;=判定条件!$C$7*N691,"運転",IF(O691&lt;=判定条件!$C$8*N691,"停止","断続")))</f>
        <v>運転</v>
      </c>
      <c r="Q691" s="30" t="n">
        <v>0</v>
      </c>
      <c r="R691" s="30" t="n">
        <v>0</v>
      </c>
      <c r="S691" s="30" t="str">
        <f aca="false">IF(Q691&lt;判定条件!$C$6,"判定不能",IF(R691&gt;=判定条件!$C$7*Q691,"運転",IF(R691&lt;=判定条件!$C$8*Q691,"停止","断続")))</f>
        <v>判定不能</v>
      </c>
      <c r="T691" s="30" t="n">
        <v>60</v>
      </c>
      <c r="U691" s="30" t="n">
        <v>60</v>
      </c>
      <c r="V691" s="30" t="str">
        <f aca="false">IF(T691&lt;判定条件!$C$6,"判定不能",IF(U691&gt;=判定条件!$C$7*T691,"運転",IF(U691&lt;=判定条件!$C$8*T691,"停止","断続")))</f>
        <v>運転</v>
      </c>
      <c r="W691" s="30" t="n">
        <v>60</v>
      </c>
      <c r="X691" s="30" t="n">
        <v>60</v>
      </c>
      <c r="Y691" s="30" t="str">
        <f aca="false">IF(W691&lt;判定条件!$C$6,"判定不能",IF(X691&gt;=判定条件!$C$7*W691,"運転",IF(X691&lt;=判定条件!$C$8*W691,"停止","断続")))</f>
        <v>運転</v>
      </c>
      <c r="Z691" s="30" t="n">
        <v>60</v>
      </c>
      <c r="AA691" s="30" t="n">
        <v>51</v>
      </c>
      <c r="AB691" s="30" t="str">
        <f aca="false">IF(Z691&lt;判定条件!$C$6,"判定不能",IF(AA691&gt;=判定条件!$C$7*Z691,"運転",IF(AA691&lt;=判定条件!$C$8*Z691,"停止","断続")))</f>
        <v>運転</v>
      </c>
      <c r="AC691" s="30" t="n">
        <v>60</v>
      </c>
      <c r="AD691" s="30" t="n">
        <v>60</v>
      </c>
      <c r="AE691" s="30" t="str">
        <f aca="false">IF(AC691&lt;判定条件!$C$6,"判定不能",IF(AD691&gt;=判定条件!$C$7*AC691,"運転",IF(AD691&lt;=判定条件!$C$8*AC691,"停止","断続")))</f>
        <v>運転</v>
      </c>
      <c r="AF691" s="30" t="n">
        <v>60</v>
      </c>
      <c r="AG691" s="30" t="n">
        <v>60</v>
      </c>
      <c r="AH691" s="30" t="str">
        <f aca="false">IF(OR(P691="判定不能",G691="判定不能"),"判定不能",IF(AG691&gt;=判定条件!$C$9,"利用可",IF(AND(P691="停止",G691="停止"),"両方停止","運転がそろわない")))</f>
        <v>利用可</v>
      </c>
      <c r="AI691" s="30" t="n">
        <v>0</v>
      </c>
      <c r="AJ691" s="30" t="n">
        <v>0</v>
      </c>
      <c r="AK691" s="30" t="str">
        <f aca="false">IF(OR(S691="判定不能",J691="判定不能"),"判定不能",IF(AJ691&gt;=判定条件!$C$9,"利用可",IF(AND(S691="停止",J691="停止"),"両方停止","運転がそろわない")))</f>
        <v>判定不能</v>
      </c>
      <c r="AL691" s="30" t="n">
        <v>60</v>
      </c>
      <c r="AM691" s="30" t="n">
        <v>60</v>
      </c>
      <c r="AN691" s="30" t="str">
        <f aca="false">IF(OR(V691="判定不能",M691="判定不能"),"判定不能",IF(AM691&gt;=判定条件!$C$9,"利用可",IF(AND(V691="停止",M691="停止"),"両方停止","運転がそろわない")))</f>
        <v>利用可</v>
      </c>
      <c r="AO691" s="30" t="n">
        <v>60</v>
      </c>
      <c r="AP691" s="30" t="n">
        <v>60</v>
      </c>
      <c r="AQ691" s="30" t="str">
        <f aca="false">IF(OR(Y691="判定不能",G691="判定不能"),"判定不能",IF(AP691&gt;=判定条件!$C$9,"利用可",IF(AND(Y691="停止",G691="停止"),"両方停止","運転がそろわない")))</f>
        <v>利用可</v>
      </c>
      <c r="AR691" s="30" t="n">
        <v>60</v>
      </c>
      <c r="AS691" s="30" t="n">
        <v>51</v>
      </c>
      <c r="AT691" s="30" t="str">
        <f aca="false">IF(OR(AB691="判定不能",J691="判定不能"),"判定不能",IF(AS691&gt;=判定条件!$C$9,"利用可",IF(AND(AB691="停止",J691="停止"),"両方停止","運転がそろわない")))</f>
        <v>利用可</v>
      </c>
      <c r="AU691" s="30" t="n">
        <v>60</v>
      </c>
      <c r="AV691" s="30" t="n">
        <v>60</v>
      </c>
      <c r="AW691" s="30" t="str">
        <f aca="false">IF(OR(AE691="判定不能",M691="判定不能"),"判定不能",IF(AV691&gt;=判定条件!$C$9,"利用可",IF(AND(AE691="停止",M691="停止"),"両方停止","運転がそろわない")))</f>
        <v>利用可</v>
      </c>
      <c r="AX691" s="30" t="str">
        <f aca="false">IF(AND(AH691="利用可",AK691="利用可",AN691="利用可"),"利用可","不可")</f>
        <v>不可</v>
      </c>
      <c r="AY691" s="30" t="str">
        <f aca="false">IF(AND(AQ691="利用可",AT691="利用可",AW691="利用可"),"利用可","不可")</f>
        <v>利用可</v>
      </c>
    </row>
    <row r="692" customFormat="false" ht="15" hidden="false" customHeight="false" outlineLevel="0" collapsed="false">
      <c r="A692" s="29" t="n">
        <v>46260</v>
      </c>
      <c r="B692" s="30" t="n">
        <v>17</v>
      </c>
      <c r="C692" s="31" t="s">
        <v>58</v>
      </c>
      <c r="D692" s="31" t="s">
        <v>59</v>
      </c>
      <c r="E692" s="30" t="n">
        <v>60</v>
      </c>
      <c r="F692" s="30" t="n">
        <v>60</v>
      </c>
      <c r="G692" s="30" t="str">
        <f aca="false">IF(E692&lt;判定条件!$C$6,"判定不能",IF(F692&gt;=判定条件!$C$7*E692,"運転",IF(F692&lt;=判定条件!$C$8*E692,"停止","断続")))</f>
        <v>運転</v>
      </c>
      <c r="H692" s="30" t="n">
        <v>60</v>
      </c>
      <c r="I692" s="30" t="n">
        <v>60</v>
      </c>
      <c r="J692" s="30" t="str">
        <f aca="false">IF(H692&lt;判定条件!$C$6,"判定不能",IF(I692&gt;=判定条件!$C$7*H692,"運転",IF(I692&lt;=判定条件!$C$8*H692,"停止","断続")))</f>
        <v>運転</v>
      </c>
      <c r="K692" s="30" t="n">
        <v>60</v>
      </c>
      <c r="L692" s="30" t="n">
        <v>60</v>
      </c>
      <c r="M692" s="30" t="str">
        <f aca="false">IF(K692&lt;判定条件!$C$6,"判定不能",IF(L692&gt;=判定条件!$C$7*K692,"運転",IF(L692&lt;=判定条件!$C$8*K692,"停止","断続")))</f>
        <v>運転</v>
      </c>
      <c r="N692" s="30" t="n">
        <v>60</v>
      </c>
      <c r="O692" s="30" t="n">
        <v>55</v>
      </c>
      <c r="P692" s="30" t="str">
        <f aca="false">IF(N692&lt;判定条件!$C$6,"判定不能",IF(O692&gt;=判定条件!$C$7*N692,"運転",IF(O692&lt;=判定条件!$C$8*N692,"停止","断続")))</f>
        <v>運転</v>
      </c>
      <c r="Q692" s="30" t="n">
        <v>0</v>
      </c>
      <c r="R692" s="30" t="n">
        <v>0</v>
      </c>
      <c r="S692" s="30" t="str">
        <f aca="false">IF(Q692&lt;判定条件!$C$6,"判定不能",IF(R692&gt;=判定条件!$C$7*Q692,"運転",IF(R692&lt;=判定条件!$C$8*Q692,"停止","断続")))</f>
        <v>判定不能</v>
      </c>
      <c r="T692" s="30" t="n">
        <v>60</v>
      </c>
      <c r="U692" s="30" t="n">
        <v>59</v>
      </c>
      <c r="V692" s="30" t="str">
        <f aca="false">IF(T692&lt;判定条件!$C$6,"判定不能",IF(U692&gt;=判定条件!$C$7*T692,"運転",IF(U692&lt;=判定条件!$C$8*T692,"停止","断続")))</f>
        <v>運転</v>
      </c>
      <c r="W692" s="30" t="n">
        <v>60</v>
      </c>
      <c r="X692" s="30" t="n">
        <v>34</v>
      </c>
      <c r="Y692" s="30" t="str">
        <f aca="false">IF(W692&lt;判定条件!$C$6,"判定不能",IF(X692&gt;=判定条件!$C$7*W692,"運転",IF(X692&lt;=判定条件!$C$8*W692,"停止","断続")))</f>
        <v>断続</v>
      </c>
      <c r="Z692" s="30" t="n">
        <v>60</v>
      </c>
      <c r="AA692" s="30" t="n">
        <v>60</v>
      </c>
      <c r="AB692" s="30" t="str">
        <f aca="false">IF(Z692&lt;判定条件!$C$6,"判定不能",IF(AA692&gt;=判定条件!$C$7*Z692,"運転",IF(AA692&lt;=判定条件!$C$8*Z692,"停止","断続")))</f>
        <v>運転</v>
      </c>
      <c r="AC692" s="30" t="n">
        <v>60</v>
      </c>
      <c r="AD692" s="30" t="n">
        <v>60</v>
      </c>
      <c r="AE692" s="30" t="str">
        <f aca="false">IF(AC692&lt;判定条件!$C$6,"判定不能",IF(AD692&gt;=判定条件!$C$7*AC692,"運転",IF(AD692&lt;=判定条件!$C$8*AC692,"停止","断続")))</f>
        <v>運転</v>
      </c>
      <c r="AF692" s="30" t="n">
        <v>60</v>
      </c>
      <c r="AG692" s="30" t="n">
        <v>55</v>
      </c>
      <c r="AH692" s="30" t="str">
        <f aca="false">IF(OR(P692="判定不能",G692="判定不能"),"判定不能",IF(AG692&gt;=判定条件!$C$9,"利用可",IF(AND(P692="停止",G692="停止"),"両方停止","運転がそろわない")))</f>
        <v>利用可</v>
      </c>
      <c r="AI692" s="30" t="n">
        <v>0</v>
      </c>
      <c r="AJ692" s="30" t="n">
        <v>0</v>
      </c>
      <c r="AK692" s="30" t="str">
        <f aca="false">IF(OR(S692="判定不能",J692="判定不能"),"判定不能",IF(AJ692&gt;=判定条件!$C$9,"利用可",IF(AND(S692="停止",J692="停止"),"両方停止","運転がそろわない")))</f>
        <v>判定不能</v>
      </c>
      <c r="AL692" s="30" t="n">
        <v>60</v>
      </c>
      <c r="AM692" s="30" t="n">
        <v>59</v>
      </c>
      <c r="AN692" s="30" t="str">
        <f aca="false">IF(OR(V692="判定不能",M692="判定不能"),"判定不能",IF(AM692&gt;=判定条件!$C$9,"利用可",IF(AND(V692="停止",M692="停止"),"両方停止","運転がそろわない")))</f>
        <v>利用可</v>
      </c>
      <c r="AO692" s="30" t="n">
        <v>60</v>
      </c>
      <c r="AP692" s="30" t="n">
        <v>34</v>
      </c>
      <c r="AQ692" s="30" t="str">
        <f aca="false">IF(OR(Y692="判定不能",G692="判定不能"),"判定不能",IF(AP692&gt;=判定条件!$C$9,"利用可",IF(AND(Y692="停止",G692="停止"),"両方停止","運転がそろわない")))</f>
        <v>利用可</v>
      </c>
      <c r="AR692" s="30" t="n">
        <v>60</v>
      </c>
      <c r="AS692" s="30" t="n">
        <v>60</v>
      </c>
      <c r="AT692" s="30" t="str">
        <f aca="false">IF(OR(AB692="判定不能",J692="判定不能"),"判定不能",IF(AS692&gt;=判定条件!$C$9,"利用可",IF(AND(AB692="停止",J692="停止"),"両方停止","運転がそろわない")))</f>
        <v>利用可</v>
      </c>
      <c r="AU692" s="30" t="n">
        <v>60</v>
      </c>
      <c r="AV692" s="30" t="n">
        <v>60</v>
      </c>
      <c r="AW692" s="30" t="str">
        <f aca="false">IF(OR(AE692="判定不能",M692="判定不能"),"判定不能",IF(AV692&gt;=判定条件!$C$9,"利用可",IF(AND(AE692="停止",M692="停止"),"両方停止","運転がそろわない")))</f>
        <v>利用可</v>
      </c>
      <c r="AX692" s="30" t="str">
        <f aca="false">IF(AND(AH692="利用可",AK692="利用可",AN692="利用可"),"利用可","不可")</f>
        <v>不可</v>
      </c>
      <c r="AY692" s="30" t="str">
        <f aca="false">IF(AND(AQ692="利用可",AT692="利用可",AW692="利用可"),"利用可","不可")</f>
        <v>利用可</v>
      </c>
    </row>
    <row r="693" customFormat="false" ht="15" hidden="false" customHeight="false" outlineLevel="0" collapsed="false">
      <c r="A693" s="29" t="n">
        <v>46260</v>
      </c>
      <c r="B693" s="30" t="n">
        <v>18</v>
      </c>
      <c r="C693" s="31" t="s">
        <v>58</v>
      </c>
      <c r="D693" s="31" t="s">
        <v>59</v>
      </c>
      <c r="E693" s="30" t="n">
        <v>60</v>
      </c>
      <c r="F693" s="30" t="n">
        <v>60</v>
      </c>
      <c r="G693" s="30" t="str">
        <f aca="false">IF(E693&lt;判定条件!$C$6,"判定不能",IF(F693&gt;=判定条件!$C$7*E693,"運転",IF(F693&lt;=判定条件!$C$8*E693,"停止","断続")))</f>
        <v>運転</v>
      </c>
      <c r="H693" s="30" t="n">
        <v>60</v>
      </c>
      <c r="I693" s="30" t="n">
        <v>60</v>
      </c>
      <c r="J693" s="30" t="str">
        <f aca="false">IF(H693&lt;判定条件!$C$6,"判定不能",IF(I693&gt;=判定条件!$C$7*H693,"運転",IF(I693&lt;=判定条件!$C$8*H693,"停止","断続")))</f>
        <v>運転</v>
      </c>
      <c r="K693" s="30" t="n">
        <v>60</v>
      </c>
      <c r="L693" s="30" t="n">
        <v>60</v>
      </c>
      <c r="M693" s="30" t="str">
        <f aca="false">IF(K693&lt;判定条件!$C$6,"判定不能",IF(L693&gt;=判定条件!$C$7*K693,"運転",IF(L693&lt;=判定条件!$C$8*K693,"停止","断続")))</f>
        <v>運転</v>
      </c>
      <c r="N693" s="30" t="n">
        <v>60</v>
      </c>
      <c r="O693" s="30" t="n">
        <v>15</v>
      </c>
      <c r="P693" s="30" t="str">
        <f aca="false">IF(N693&lt;判定条件!$C$6,"判定不能",IF(O693&gt;=判定条件!$C$7*N693,"運転",IF(O693&lt;=判定条件!$C$8*N693,"停止","断続")))</f>
        <v>断続</v>
      </c>
      <c r="Q693" s="30" t="n">
        <v>0</v>
      </c>
      <c r="R693" s="30" t="n">
        <v>0</v>
      </c>
      <c r="S693" s="30" t="str">
        <f aca="false">IF(Q693&lt;判定条件!$C$6,"判定不能",IF(R693&gt;=判定条件!$C$7*Q693,"運転",IF(R693&lt;=判定条件!$C$8*Q693,"停止","断続")))</f>
        <v>判定不能</v>
      </c>
      <c r="T693" s="30" t="n">
        <v>60</v>
      </c>
      <c r="U693" s="30" t="n">
        <v>5</v>
      </c>
      <c r="V693" s="30" t="str">
        <f aca="false">IF(T693&lt;判定条件!$C$6,"判定不能",IF(U693&gt;=判定条件!$C$7*T693,"運転",IF(U693&lt;=判定条件!$C$8*T693,"停止","断続")))</f>
        <v>停止</v>
      </c>
      <c r="W693" s="30" t="n">
        <v>60</v>
      </c>
      <c r="X693" s="30" t="n">
        <v>60</v>
      </c>
      <c r="Y693" s="30" t="str">
        <f aca="false">IF(W693&lt;判定条件!$C$6,"判定不能",IF(X693&gt;=判定条件!$C$7*W693,"運転",IF(X693&lt;=判定条件!$C$8*W693,"停止","断続")))</f>
        <v>運転</v>
      </c>
      <c r="Z693" s="30" t="n">
        <v>60</v>
      </c>
      <c r="AA693" s="30" t="n">
        <v>60</v>
      </c>
      <c r="AB693" s="30" t="str">
        <f aca="false">IF(Z693&lt;判定条件!$C$6,"判定不能",IF(AA693&gt;=判定条件!$C$7*Z693,"運転",IF(AA693&lt;=判定条件!$C$8*Z693,"停止","断続")))</f>
        <v>運転</v>
      </c>
      <c r="AC693" s="30" t="n">
        <v>60</v>
      </c>
      <c r="AD693" s="30" t="n">
        <v>60</v>
      </c>
      <c r="AE693" s="30" t="str">
        <f aca="false">IF(AC693&lt;判定条件!$C$6,"判定不能",IF(AD693&gt;=判定条件!$C$7*AC693,"運転",IF(AD693&lt;=判定条件!$C$8*AC693,"停止","断続")))</f>
        <v>運転</v>
      </c>
      <c r="AF693" s="30" t="n">
        <v>60</v>
      </c>
      <c r="AG693" s="30" t="n">
        <v>15</v>
      </c>
      <c r="AH693" s="30" t="str">
        <f aca="false">IF(OR(P693="判定不能",G693="判定不能"),"判定不能",IF(AG693&gt;=判定条件!$C$9,"利用可",IF(AND(P693="停止",G693="停止"),"両方停止","運転がそろわない")))</f>
        <v>運転がそろわない</v>
      </c>
      <c r="AI693" s="30" t="n">
        <v>0</v>
      </c>
      <c r="AJ693" s="30" t="n">
        <v>0</v>
      </c>
      <c r="AK693" s="30" t="str">
        <f aca="false">IF(OR(S693="判定不能",J693="判定不能"),"判定不能",IF(AJ693&gt;=判定条件!$C$9,"利用可",IF(AND(S693="停止",J693="停止"),"両方停止","運転がそろわない")))</f>
        <v>判定不能</v>
      </c>
      <c r="AL693" s="30" t="n">
        <v>60</v>
      </c>
      <c r="AM693" s="30" t="n">
        <v>5</v>
      </c>
      <c r="AN693" s="30" t="str">
        <f aca="false">IF(OR(V693="判定不能",M693="判定不能"),"判定不能",IF(AM693&gt;=判定条件!$C$9,"利用可",IF(AND(V693="停止",M693="停止"),"両方停止","運転がそろわない")))</f>
        <v>運転がそろわない</v>
      </c>
      <c r="AO693" s="30" t="n">
        <v>60</v>
      </c>
      <c r="AP693" s="30" t="n">
        <v>60</v>
      </c>
      <c r="AQ693" s="30" t="str">
        <f aca="false">IF(OR(Y693="判定不能",G693="判定不能"),"判定不能",IF(AP693&gt;=判定条件!$C$9,"利用可",IF(AND(Y693="停止",G693="停止"),"両方停止","運転がそろわない")))</f>
        <v>利用可</v>
      </c>
      <c r="AR693" s="30" t="n">
        <v>60</v>
      </c>
      <c r="AS693" s="30" t="n">
        <v>60</v>
      </c>
      <c r="AT693" s="30" t="str">
        <f aca="false">IF(OR(AB693="判定不能",J693="判定不能"),"判定不能",IF(AS693&gt;=判定条件!$C$9,"利用可",IF(AND(AB693="停止",J693="停止"),"両方停止","運転がそろわない")))</f>
        <v>利用可</v>
      </c>
      <c r="AU693" s="30" t="n">
        <v>60</v>
      </c>
      <c r="AV693" s="30" t="n">
        <v>60</v>
      </c>
      <c r="AW693" s="30" t="str">
        <f aca="false">IF(OR(AE693="判定不能",M693="判定不能"),"判定不能",IF(AV693&gt;=判定条件!$C$9,"利用可",IF(AND(AE693="停止",M693="停止"),"両方停止","運転がそろわない")))</f>
        <v>利用可</v>
      </c>
      <c r="AX693" s="30" t="str">
        <f aca="false">IF(AND(AH693="利用可",AK693="利用可",AN693="利用可"),"利用可","不可")</f>
        <v>不可</v>
      </c>
      <c r="AY693" s="30" t="str">
        <f aca="false">IF(AND(AQ693="利用可",AT693="利用可",AW693="利用可"),"利用可","不可")</f>
        <v>利用可</v>
      </c>
    </row>
    <row r="694" customFormat="false" ht="15" hidden="false" customHeight="false" outlineLevel="0" collapsed="false">
      <c r="A694" s="29" t="n">
        <v>46260</v>
      </c>
      <c r="B694" s="30" t="n">
        <v>19</v>
      </c>
      <c r="C694" s="31" t="s">
        <v>58</v>
      </c>
      <c r="D694" s="31" t="s">
        <v>59</v>
      </c>
      <c r="E694" s="30" t="n">
        <v>60</v>
      </c>
      <c r="F694" s="30" t="n">
        <v>60</v>
      </c>
      <c r="G694" s="30" t="str">
        <f aca="false">IF(E694&lt;判定条件!$C$6,"判定不能",IF(F694&gt;=判定条件!$C$7*E694,"運転",IF(F694&lt;=判定条件!$C$8*E694,"停止","断続")))</f>
        <v>運転</v>
      </c>
      <c r="H694" s="30" t="n">
        <v>60</v>
      </c>
      <c r="I694" s="30" t="n">
        <v>60</v>
      </c>
      <c r="J694" s="30" t="str">
        <f aca="false">IF(H694&lt;判定条件!$C$6,"判定不能",IF(I694&gt;=判定条件!$C$7*H694,"運転",IF(I694&lt;=判定条件!$C$8*H694,"停止","断続")))</f>
        <v>運転</v>
      </c>
      <c r="K694" s="30" t="n">
        <v>60</v>
      </c>
      <c r="L694" s="30" t="n">
        <v>60</v>
      </c>
      <c r="M694" s="30" t="str">
        <f aca="false">IF(K694&lt;判定条件!$C$6,"判定不能",IF(L694&gt;=判定条件!$C$7*K694,"運転",IF(L694&lt;=判定条件!$C$8*K694,"停止","断続")))</f>
        <v>運転</v>
      </c>
      <c r="N694" s="30" t="n">
        <v>60</v>
      </c>
      <c r="O694" s="30" t="n">
        <v>60</v>
      </c>
      <c r="P694" s="30" t="str">
        <f aca="false">IF(N694&lt;判定条件!$C$6,"判定不能",IF(O694&gt;=判定条件!$C$7*N694,"運転",IF(O694&lt;=判定条件!$C$8*N694,"停止","断続")))</f>
        <v>運転</v>
      </c>
      <c r="Q694" s="30" t="n">
        <v>0</v>
      </c>
      <c r="R694" s="30" t="n">
        <v>0</v>
      </c>
      <c r="S694" s="30" t="str">
        <f aca="false">IF(Q694&lt;判定条件!$C$6,"判定不能",IF(R694&gt;=判定条件!$C$7*Q694,"運転",IF(R694&lt;=判定条件!$C$8*Q694,"停止","断続")))</f>
        <v>判定不能</v>
      </c>
      <c r="T694" s="30" t="n">
        <v>60</v>
      </c>
      <c r="U694" s="30" t="n">
        <v>39</v>
      </c>
      <c r="V694" s="30" t="str">
        <f aca="false">IF(T694&lt;判定条件!$C$6,"判定不能",IF(U694&gt;=判定条件!$C$7*T694,"運転",IF(U694&lt;=判定条件!$C$8*T694,"停止","断続")))</f>
        <v>断続</v>
      </c>
      <c r="W694" s="30" t="n">
        <v>60</v>
      </c>
      <c r="X694" s="30" t="n">
        <v>4</v>
      </c>
      <c r="Y694" s="30" t="str">
        <f aca="false">IF(W694&lt;判定条件!$C$6,"判定不能",IF(X694&gt;=判定条件!$C$7*W694,"運転",IF(X694&lt;=判定条件!$C$8*W694,"停止","断続")))</f>
        <v>停止</v>
      </c>
      <c r="Z694" s="30" t="n">
        <v>60</v>
      </c>
      <c r="AA694" s="30" t="n">
        <v>4</v>
      </c>
      <c r="AB694" s="30" t="str">
        <f aca="false">IF(Z694&lt;判定条件!$C$6,"判定不能",IF(AA694&gt;=判定条件!$C$7*Z694,"運転",IF(AA694&lt;=判定条件!$C$8*Z694,"停止","断続")))</f>
        <v>停止</v>
      </c>
      <c r="AC694" s="30" t="n">
        <v>60</v>
      </c>
      <c r="AD694" s="30" t="n">
        <v>5</v>
      </c>
      <c r="AE694" s="30" t="str">
        <f aca="false">IF(AC694&lt;判定条件!$C$6,"判定不能",IF(AD694&gt;=判定条件!$C$7*AC694,"運転",IF(AD694&lt;=判定条件!$C$8*AC694,"停止","断続")))</f>
        <v>停止</v>
      </c>
      <c r="AF694" s="30" t="n">
        <v>60</v>
      </c>
      <c r="AG694" s="30" t="n">
        <v>60</v>
      </c>
      <c r="AH694" s="30" t="str">
        <f aca="false">IF(OR(P694="判定不能",G694="判定不能"),"判定不能",IF(AG694&gt;=判定条件!$C$9,"利用可",IF(AND(P694="停止",G694="停止"),"両方停止","運転がそろわない")))</f>
        <v>利用可</v>
      </c>
      <c r="AI694" s="30" t="n">
        <v>0</v>
      </c>
      <c r="AJ694" s="30" t="n">
        <v>0</v>
      </c>
      <c r="AK694" s="30" t="str">
        <f aca="false">IF(OR(S694="判定不能",J694="判定不能"),"判定不能",IF(AJ694&gt;=判定条件!$C$9,"利用可",IF(AND(S694="停止",J694="停止"),"両方停止","運転がそろわない")))</f>
        <v>判定不能</v>
      </c>
      <c r="AL694" s="30" t="n">
        <v>60</v>
      </c>
      <c r="AM694" s="30" t="n">
        <v>39</v>
      </c>
      <c r="AN694" s="30" t="str">
        <f aca="false">IF(OR(V694="判定不能",M694="判定不能"),"判定不能",IF(AM694&gt;=判定条件!$C$9,"利用可",IF(AND(V694="停止",M694="停止"),"両方停止","運転がそろわない")))</f>
        <v>利用可</v>
      </c>
      <c r="AO694" s="30" t="n">
        <v>60</v>
      </c>
      <c r="AP694" s="30" t="n">
        <v>4</v>
      </c>
      <c r="AQ694" s="30" t="str">
        <f aca="false">IF(OR(Y694="判定不能",G694="判定不能"),"判定不能",IF(AP694&gt;=判定条件!$C$9,"利用可",IF(AND(Y694="停止",G694="停止"),"両方停止","運転がそろわない")))</f>
        <v>運転がそろわない</v>
      </c>
      <c r="AR694" s="30" t="n">
        <v>60</v>
      </c>
      <c r="AS694" s="30" t="n">
        <v>4</v>
      </c>
      <c r="AT694" s="30" t="str">
        <f aca="false">IF(OR(AB694="判定不能",J694="判定不能"),"判定不能",IF(AS694&gt;=判定条件!$C$9,"利用可",IF(AND(AB694="停止",J694="停止"),"両方停止","運転がそろわない")))</f>
        <v>運転がそろわない</v>
      </c>
      <c r="AU694" s="30" t="n">
        <v>60</v>
      </c>
      <c r="AV694" s="30" t="n">
        <v>5</v>
      </c>
      <c r="AW694" s="30" t="str">
        <f aca="false">IF(OR(AE694="判定不能",M694="判定不能"),"判定不能",IF(AV694&gt;=判定条件!$C$9,"利用可",IF(AND(AE694="停止",M694="停止"),"両方停止","運転がそろわない")))</f>
        <v>運転がそろわない</v>
      </c>
      <c r="AX694" s="30" t="str">
        <f aca="false">IF(AND(AH694="利用可",AK694="利用可",AN694="利用可"),"利用可","不可")</f>
        <v>不可</v>
      </c>
      <c r="AY694" s="30" t="str">
        <f aca="false">IF(AND(AQ694="利用可",AT694="利用可",AW694="利用可"),"利用可","不可")</f>
        <v>不可</v>
      </c>
    </row>
    <row r="695" customFormat="false" ht="15" hidden="false" customHeight="false" outlineLevel="0" collapsed="false">
      <c r="A695" s="29" t="n">
        <v>46260</v>
      </c>
      <c r="B695" s="30" t="n">
        <v>20</v>
      </c>
      <c r="C695" s="31" t="s">
        <v>58</v>
      </c>
      <c r="D695" s="31" t="s">
        <v>59</v>
      </c>
      <c r="E695" s="30" t="n">
        <v>60</v>
      </c>
      <c r="F695" s="30" t="n">
        <v>54</v>
      </c>
      <c r="G695" s="30" t="str">
        <f aca="false">IF(E695&lt;判定条件!$C$6,"判定不能",IF(F695&gt;=判定条件!$C$7*E695,"運転",IF(F695&lt;=判定条件!$C$8*E695,"停止","断続")))</f>
        <v>運転</v>
      </c>
      <c r="H695" s="30" t="n">
        <v>60</v>
      </c>
      <c r="I695" s="30" t="n">
        <v>35</v>
      </c>
      <c r="J695" s="30" t="str">
        <f aca="false">IF(H695&lt;判定条件!$C$6,"判定不能",IF(I695&gt;=判定条件!$C$7*H695,"運転",IF(I695&lt;=判定条件!$C$8*H695,"停止","断続")))</f>
        <v>断続</v>
      </c>
      <c r="K695" s="30" t="n">
        <v>60</v>
      </c>
      <c r="L695" s="30" t="n">
        <v>47</v>
      </c>
      <c r="M695" s="30" t="str">
        <f aca="false">IF(K695&lt;判定条件!$C$6,"判定不能",IF(L695&gt;=判定条件!$C$7*K695,"運転",IF(L695&lt;=判定条件!$C$8*K695,"停止","断続")))</f>
        <v>断続</v>
      </c>
      <c r="N695" s="30" t="n">
        <v>60</v>
      </c>
      <c r="O695" s="30" t="n">
        <v>7</v>
      </c>
      <c r="P695" s="30" t="str">
        <f aca="false">IF(N695&lt;判定条件!$C$6,"判定不能",IF(O695&gt;=判定条件!$C$7*N695,"運転",IF(O695&lt;=判定条件!$C$8*N695,"停止","断続")))</f>
        <v>停止</v>
      </c>
      <c r="Q695" s="30" t="n">
        <v>0</v>
      </c>
      <c r="R695" s="30" t="n">
        <v>0</v>
      </c>
      <c r="S695" s="30" t="str">
        <f aca="false">IF(Q695&lt;判定条件!$C$6,"判定不能",IF(R695&gt;=判定条件!$C$7*Q695,"運転",IF(R695&lt;=判定条件!$C$8*Q695,"停止","断続")))</f>
        <v>判定不能</v>
      </c>
      <c r="T695" s="30" t="n">
        <v>60</v>
      </c>
      <c r="U695" s="30" t="n">
        <v>5</v>
      </c>
      <c r="V695" s="30" t="str">
        <f aca="false">IF(T695&lt;判定条件!$C$6,"判定不能",IF(U695&gt;=判定条件!$C$7*T695,"運転",IF(U695&lt;=判定条件!$C$8*T695,"停止","断続")))</f>
        <v>停止</v>
      </c>
      <c r="W695" s="30" t="n">
        <v>60</v>
      </c>
      <c r="X695" s="30" t="n">
        <v>46</v>
      </c>
      <c r="Y695" s="30" t="str">
        <f aca="false">IF(W695&lt;判定条件!$C$6,"判定不能",IF(X695&gt;=判定条件!$C$7*W695,"運転",IF(X695&lt;=判定条件!$C$8*W695,"停止","断続")))</f>
        <v>断続</v>
      </c>
      <c r="Z695" s="30" t="n">
        <v>60</v>
      </c>
      <c r="AA695" s="30" t="n">
        <v>0</v>
      </c>
      <c r="AB695" s="30" t="str">
        <f aca="false">IF(Z695&lt;判定条件!$C$6,"判定不能",IF(AA695&gt;=判定条件!$C$7*Z695,"運転",IF(AA695&lt;=判定条件!$C$8*Z695,"停止","断続")))</f>
        <v>停止</v>
      </c>
      <c r="AC695" s="30" t="n">
        <v>60</v>
      </c>
      <c r="AD695" s="30" t="n">
        <v>0</v>
      </c>
      <c r="AE695" s="30" t="str">
        <f aca="false">IF(AC695&lt;判定条件!$C$6,"判定不能",IF(AD695&gt;=判定条件!$C$7*AC695,"運転",IF(AD695&lt;=判定条件!$C$8*AC695,"停止","断続")))</f>
        <v>停止</v>
      </c>
      <c r="AF695" s="30" t="n">
        <v>60</v>
      </c>
      <c r="AG695" s="30" t="n">
        <v>7</v>
      </c>
      <c r="AH695" s="30" t="str">
        <f aca="false">IF(OR(P695="判定不能",G695="判定不能"),"判定不能",IF(AG695&gt;=判定条件!$C$9,"利用可",IF(AND(P695="停止",G695="停止"),"両方停止","運転がそろわない")))</f>
        <v>運転がそろわない</v>
      </c>
      <c r="AI695" s="30" t="n">
        <v>0</v>
      </c>
      <c r="AJ695" s="30" t="n">
        <v>0</v>
      </c>
      <c r="AK695" s="30" t="str">
        <f aca="false">IF(OR(S695="判定不能",J695="判定不能"),"判定不能",IF(AJ695&gt;=判定条件!$C$9,"利用可",IF(AND(S695="停止",J695="停止"),"両方停止","運転がそろわない")))</f>
        <v>判定不能</v>
      </c>
      <c r="AL695" s="30" t="n">
        <v>60</v>
      </c>
      <c r="AM695" s="30" t="n">
        <v>5</v>
      </c>
      <c r="AN695" s="30" t="str">
        <f aca="false">IF(OR(V695="判定不能",M695="判定不能"),"判定不能",IF(AM695&gt;=判定条件!$C$9,"利用可",IF(AND(V695="停止",M695="停止"),"両方停止","運転がそろわない")))</f>
        <v>運転がそろわない</v>
      </c>
      <c r="AO695" s="30" t="n">
        <v>60</v>
      </c>
      <c r="AP695" s="30" t="n">
        <v>40</v>
      </c>
      <c r="AQ695" s="30" t="str">
        <f aca="false">IF(OR(Y695="判定不能",G695="判定不能"),"判定不能",IF(AP695&gt;=判定条件!$C$9,"利用可",IF(AND(Y695="停止",G695="停止"),"両方停止","運転がそろわない")))</f>
        <v>利用可</v>
      </c>
      <c r="AR695" s="30" t="n">
        <v>60</v>
      </c>
      <c r="AS695" s="30" t="n">
        <v>0</v>
      </c>
      <c r="AT695" s="30" t="str">
        <f aca="false">IF(OR(AB695="判定不能",J695="判定不能"),"判定不能",IF(AS695&gt;=判定条件!$C$9,"利用可",IF(AND(AB695="停止",J695="停止"),"両方停止","運転がそろわない")))</f>
        <v>運転がそろわない</v>
      </c>
      <c r="AU695" s="30" t="n">
        <v>60</v>
      </c>
      <c r="AV695" s="30" t="n">
        <v>0</v>
      </c>
      <c r="AW695" s="30" t="str">
        <f aca="false">IF(OR(AE695="判定不能",M695="判定不能"),"判定不能",IF(AV695&gt;=判定条件!$C$9,"利用可",IF(AND(AE695="停止",M695="停止"),"両方停止","運転がそろわない")))</f>
        <v>運転がそろわない</v>
      </c>
      <c r="AX695" s="30" t="str">
        <f aca="false">IF(AND(AH695="利用可",AK695="利用可",AN695="利用可"),"利用可","不可")</f>
        <v>不可</v>
      </c>
      <c r="AY695" s="30" t="str">
        <f aca="false">IF(AND(AQ695="利用可",AT695="利用可",AW695="利用可"),"利用可","不可")</f>
        <v>不可</v>
      </c>
    </row>
    <row r="696" customFormat="false" ht="15" hidden="false" customHeight="false" outlineLevel="0" collapsed="false">
      <c r="A696" s="29" t="n">
        <v>46260</v>
      </c>
      <c r="B696" s="30" t="n">
        <v>21</v>
      </c>
      <c r="C696" s="31" t="s">
        <v>58</v>
      </c>
      <c r="D696" s="31" t="s">
        <v>59</v>
      </c>
      <c r="E696" s="30" t="n">
        <v>60</v>
      </c>
      <c r="F696" s="30" t="n">
        <v>0</v>
      </c>
      <c r="G696" s="30" t="str">
        <f aca="false">IF(E696&lt;判定条件!$C$6,"判定不能",IF(F696&gt;=判定条件!$C$7*E696,"運転",IF(F696&lt;=判定条件!$C$8*E696,"停止","断続")))</f>
        <v>停止</v>
      </c>
      <c r="H696" s="30" t="n">
        <v>60</v>
      </c>
      <c r="I696" s="30" t="n">
        <v>0</v>
      </c>
      <c r="J696" s="30" t="str">
        <f aca="false">IF(H696&lt;判定条件!$C$6,"判定不能",IF(I696&gt;=判定条件!$C$7*H696,"運転",IF(I696&lt;=判定条件!$C$8*H696,"停止","断続")))</f>
        <v>停止</v>
      </c>
      <c r="K696" s="30" t="n">
        <v>60</v>
      </c>
      <c r="L696" s="30" t="n">
        <v>0</v>
      </c>
      <c r="M696" s="30" t="str">
        <f aca="false">IF(K696&lt;判定条件!$C$6,"判定不能",IF(L696&gt;=判定条件!$C$7*K696,"運転",IF(L696&lt;=判定条件!$C$8*K696,"停止","断続")))</f>
        <v>停止</v>
      </c>
      <c r="N696" s="30" t="n">
        <v>60</v>
      </c>
      <c r="O696" s="30" t="n">
        <v>0</v>
      </c>
      <c r="P696" s="30" t="str">
        <f aca="false">IF(N696&lt;判定条件!$C$6,"判定不能",IF(O696&gt;=判定条件!$C$7*N696,"運転",IF(O696&lt;=判定条件!$C$8*N696,"停止","断続")))</f>
        <v>停止</v>
      </c>
      <c r="Q696" s="30" t="n">
        <v>0</v>
      </c>
      <c r="R696" s="30" t="n">
        <v>0</v>
      </c>
      <c r="S696" s="30" t="str">
        <f aca="false">IF(Q696&lt;判定条件!$C$6,"判定不能",IF(R696&gt;=判定条件!$C$7*Q696,"運転",IF(R696&lt;=判定条件!$C$8*Q696,"停止","断続")))</f>
        <v>判定不能</v>
      </c>
      <c r="T696" s="30" t="n">
        <v>60</v>
      </c>
      <c r="U696" s="30" t="n">
        <v>0</v>
      </c>
      <c r="V696" s="30" t="str">
        <f aca="false">IF(T696&lt;判定条件!$C$6,"判定不能",IF(U696&gt;=判定条件!$C$7*T696,"運転",IF(U696&lt;=判定条件!$C$8*T696,"停止","断続")))</f>
        <v>停止</v>
      </c>
      <c r="W696" s="30" t="n">
        <v>60</v>
      </c>
      <c r="X696" s="30" t="n">
        <v>39</v>
      </c>
      <c r="Y696" s="30" t="str">
        <f aca="false">IF(W696&lt;判定条件!$C$6,"判定不能",IF(X696&gt;=判定条件!$C$7*W696,"運転",IF(X696&lt;=判定条件!$C$8*W696,"停止","断続")))</f>
        <v>断続</v>
      </c>
      <c r="Z696" s="30" t="n">
        <v>60</v>
      </c>
      <c r="AA696" s="30" t="n">
        <v>0</v>
      </c>
      <c r="AB696" s="30" t="str">
        <f aca="false">IF(Z696&lt;判定条件!$C$6,"判定不能",IF(AA696&gt;=判定条件!$C$7*Z696,"運転",IF(AA696&lt;=判定条件!$C$8*Z696,"停止","断続")))</f>
        <v>停止</v>
      </c>
      <c r="AC696" s="30" t="n">
        <v>60</v>
      </c>
      <c r="AD696" s="30" t="n">
        <v>0</v>
      </c>
      <c r="AE696" s="30" t="str">
        <f aca="false">IF(AC696&lt;判定条件!$C$6,"判定不能",IF(AD696&gt;=判定条件!$C$7*AC696,"運転",IF(AD696&lt;=判定条件!$C$8*AC696,"停止","断続")))</f>
        <v>停止</v>
      </c>
      <c r="AF696" s="30" t="n">
        <v>60</v>
      </c>
      <c r="AG696" s="30" t="n">
        <v>0</v>
      </c>
      <c r="AH696" s="30" t="str">
        <f aca="false">IF(OR(P696="判定不能",G696="判定不能"),"判定不能",IF(AG696&gt;=判定条件!$C$9,"利用可",IF(AND(P696="停止",G696="停止"),"両方停止","運転がそろわない")))</f>
        <v>両方停止</v>
      </c>
      <c r="AI696" s="30" t="n">
        <v>0</v>
      </c>
      <c r="AJ696" s="30" t="n">
        <v>0</v>
      </c>
      <c r="AK696" s="30" t="str">
        <f aca="false">IF(OR(S696="判定不能",J696="判定不能"),"判定不能",IF(AJ696&gt;=判定条件!$C$9,"利用可",IF(AND(S696="停止",J696="停止"),"両方停止","運転がそろわない")))</f>
        <v>判定不能</v>
      </c>
      <c r="AL696" s="30" t="n">
        <v>60</v>
      </c>
      <c r="AM696" s="30" t="n">
        <v>0</v>
      </c>
      <c r="AN696" s="30" t="str">
        <f aca="false">IF(OR(V696="判定不能",M696="判定不能"),"判定不能",IF(AM696&gt;=判定条件!$C$9,"利用可",IF(AND(V696="停止",M696="停止"),"両方停止","運転がそろわない")))</f>
        <v>両方停止</v>
      </c>
      <c r="AO696" s="30" t="n">
        <v>60</v>
      </c>
      <c r="AP696" s="30" t="n">
        <v>0</v>
      </c>
      <c r="AQ696" s="30" t="str">
        <f aca="false">IF(OR(Y696="判定不能",G696="判定不能"),"判定不能",IF(AP696&gt;=判定条件!$C$9,"利用可",IF(AND(Y696="停止",G696="停止"),"両方停止","運転がそろわない")))</f>
        <v>運転がそろわない</v>
      </c>
      <c r="AR696" s="30" t="n">
        <v>60</v>
      </c>
      <c r="AS696" s="30" t="n">
        <v>0</v>
      </c>
      <c r="AT696" s="30" t="str">
        <f aca="false">IF(OR(AB696="判定不能",J696="判定不能"),"判定不能",IF(AS696&gt;=判定条件!$C$9,"利用可",IF(AND(AB696="停止",J696="停止"),"両方停止","運転がそろわない")))</f>
        <v>両方停止</v>
      </c>
      <c r="AU696" s="30" t="n">
        <v>60</v>
      </c>
      <c r="AV696" s="30" t="n">
        <v>0</v>
      </c>
      <c r="AW696" s="30" t="str">
        <f aca="false">IF(OR(AE696="判定不能",M696="判定不能"),"判定不能",IF(AV696&gt;=判定条件!$C$9,"利用可",IF(AND(AE696="停止",M696="停止"),"両方停止","運転がそろわない")))</f>
        <v>両方停止</v>
      </c>
      <c r="AX696" s="30" t="str">
        <f aca="false">IF(AND(AH696="利用可",AK696="利用可",AN696="利用可"),"利用可","不可")</f>
        <v>不可</v>
      </c>
      <c r="AY696" s="30" t="str">
        <f aca="false">IF(AND(AQ696="利用可",AT696="利用可",AW696="利用可"),"利用可","不可")</f>
        <v>不可</v>
      </c>
    </row>
    <row r="697" customFormat="false" ht="15" hidden="false" customHeight="false" outlineLevel="0" collapsed="false">
      <c r="A697" s="29" t="n">
        <v>46260</v>
      </c>
      <c r="B697" s="30" t="n">
        <v>22</v>
      </c>
      <c r="C697" s="31" t="s">
        <v>58</v>
      </c>
      <c r="D697" s="31" t="s">
        <v>59</v>
      </c>
      <c r="E697" s="30" t="n">
        <v>60</v>
      </c>
      <c r="F697" s="30" t="n">
        <v>0</v>
      </c>
      <c r="G697" s="30" t="str">
        <f aca="false">IF(E697&lt;判定条件!$C$6,"判定不能",IF(F697&gt;=判定条件!$C$7*E697,"運転",IF(F697&lt;=判定条件!$C$8*E697,"停止","断続")))</f>
        <v>停止</v>
      </c>
      <c r="H697" s="30" t="n">
        <v>60</v>
      </c>
      <c r="I697" s="30" t="n">
        <v>0</v>
      </c>
      <c r="J697" s="30" t="str">
        <f aca="false">IF(H697&lt;判定条件!$C$6,"判定不能",IF(I697&gt;=判定条件!$C$7*H697,"運転",IF(I697&lt;=判定条件!$C$8*H697,"停止","断続")))</f>
        <v>停止</v>
      </c>
      <c r="K697" s="30" t="n">
        <v>60</v>
      </c>
      <c r="L697" s="30" t="n">
        <v>0</v>
      </c>
      <c r="M697" s="30" t="str">
        <f aca="false">IF(K697&lt;判定条件!$C$6,"判定不能",IF(L697&gt;=判定条件!$C$7*K697,"運転",IF(L697&lt;=判定条件!$C$8*K697,"停止","断続")))</f>
        <v>停止</v>
      </c>
      <c r="N697" s="30" t="n">
        <v>60</v>
      </c>
      <c r="O697" s="30" t="n">
        <v>0</v>
      </c>
      <c r="P697" s="30" t="str">
        <f aca="false">IF(N697&lt;判定条件!$C$6,"判定不能",IF(O697&gt;=判定条件!$C$7*N697,"運転",IF(O697&lt;=判定条件!$C$8*N697,"停止","断続")))</f>
        <v>停止</v>
      </c>
      <c r="Q697" s="30" t="n">
        <v>0</v>
      </c>
      <c r="R697" s="30" t="n">
        <v>0</v>
      </c>
      <c r="S697" s="30" t="str">
        <f aca="false">IF(Q697&lt;判定条件!$C$6,"判定不能",IF(R697&gt;=判定条件!$C$7*Q697,"運転",IF(R697&lt;=判定条件!$C$8*Q697,"停止","断続")))</f>
        <v>判定不能</v>
      </c>
      <c r="T697" s="30" t="n">
        <v>60</v>
      </c>
      <c r="U697" s="30" t="n">
        <v>0</v>
      </c>
      <c r="V697" s="30" t="str">
        <f aca="false">IF(T697&lt;判定条件!$C$6,"判定不能",IF(U697&gt;=判定条件!$C$7*T697,"運転",IF(U697&lt;=判定条件!$C$8*T697,"停止","断続")))</f>
        <v>停止</v>
      </c>
      <c r="W697" s="30" t="n">
        <v>60</v>
      </c>
      <c r="X697" s="30" t="n">
        <v>3</v>
      </c>
      <c r="Y697" s="30" t="str">
        <f aca="false">IF(W697&lt;判定条件!$C$6,"判定不能",IF(X697&gt;=判定条件!$C$7*W697,"運転",IF(X697&lt;=判定条件!$C$8*W697,"停止","断続")))</f>
        <v>停止</v>
      </c>
      <c r="Z697" s="30" t="n">
        <v>60</v>
      </c>
      <c r="AA697" s="30" t="n">
        <v>0</v>
      </c>
      <c r="AB697" s="30" t="str">
        <f aca="false">IF(Z697&lt;判定条件!$C$6,"判定不能",IF(AA697&gt;=判定条件!$C$7*Z697,"運転",IF(AA697&lt;=判定条件!$C$8*Z697,"停止","断続")))</f>
        <v>停止</v>
      </c>
      <c r="AC697" s="30" t="n">
        <v>60</v>
      </c>
      <c r="AD697" s="30" t="n">
        <v>0</v>
      </c>
      <c r="AE697" s="30" t="str">
        <f aca="false">IF(AC697&lt;判定条件!$C$6,"判定不能",IF(AD697&gt;=判定条件!$C$7*AC697,"運転",IF(AD697&lt;=判定条件!$C$8*AC697,"停止","断続")))</f>
        <v>停止</v>
      </c>
      <c r="AF697" s="30" t="n">
        <v>60</v>
      </c>
      <c r="AG697" s="30" t="n">
        <v>0</v>
      </c>
      <c r="AH697" s="30" t="str">
        <f aca="false">IF(OR(P697="判定不能",G697="判定不能"),"判定不能",IF(AG697&gt;=判定条件!$C$9,"利用可",IF(AND(P697="停止",G697="停止"),"両方停止","運転がそろわない")))</f>
        <v>両方停止</v>
      </c>
      <c r="AI697" s="30" t="n">
        <v>0</v>
      </c>
      <c r="AJ697" s="30" t="n">
        <v>0</v>
      </c>
      <c r="AK697" s="30" t="str">
        <f aca="false">IF(OR(S697="判定不能",J697="判定不能"),"判定不能",IF(AJ697&gt;=判定条件!$C$9,"利用可",IF(AND(S697="停止",J697="停止"),"両方停止","運転がそろわない")))</f>
        <v>判定不能</v>
      </c>
      <c r="AL697" s="30" t="n">
        <v>60</v>
      </c>
      <c r="AM697" s="30" t="n">
        <v>0</v>
      </c>
      <c r="AN697" s="30" t="str">
        <f aca="false">IF(OR(V697="判定不能",M697="判定不能"),"判定不能",IF(AM697&gt;=判定条件!$C$9,"利用可",IF(AND(V697="停止",M697="停止"),"両方停止","運転がそろわない")))</f>
        <v>両方停止</v>
      </c>
      <c r="AO697" s="30" t="n">
        <v>60</v>
      </c>
      <c r="AP697" s="30" t="n">
        <v>0</v>
      </c>
      <c r="AQ697" s="30" t="str">
        <f aca="false">IF(OR(Y697="判定不能",G697="判定不能"),"判定不能",IF(AP697&gt;=判定条件!$C$9,"利用可",IF(AND(Y697="停止",G697="停止"),"両方停止","運転がそろわない")))</f>
        <v>両方停止</v>
      </c>
      <c r="AR697" s="30" t="n">
        <v>60</v>
      </c>
      <c r="AS697" s="30" t="n">
        <v>0</v>
      </c>
      <c r="AT697" s="30" t="str">
        <f aca="false">IF(OR(AB697="判定不能",J697="判定不能"),"判定不能",IF(AS697&gt;=判定条件!$C$9,"利用可",IF(AND(AB697="停止",J697="停止"),"両方停止","運転がそろわない")))</f>
        <v>両方停止</v>
      </c>
      <c r="AU697" s="30" t="n">
        <v>60</v>
      </c>
      <c r="AV697" s="30" t="n">
        <v>0</v>
      </c>
      <c r="AW697" s="30" t="str">
        <f aca="false">IF(OR(AE697="判定不能",M697="判定不能"),"判定不能",IF(AV697&gt;=判定条件!$C$9,"利用可",IF(AND(AE697="停止",M697="停止"),"両方停止","運転がそろわない")))</f>
        <v>両方停止</v>
      </c>
      <c r="AX697" s="30" t="str">
        <f aca="false">IF(AND(AH697="利用可",AK697="利用可",AN697="利用可"),"利用可","不可")</f>
        <v>不可</v>
      </c>
      <c r="AY697" s="30" t="str">
        <f aca="false">IF(AND(AQ697="利用可",AT697="利用可",AW697="利用可"),"利用可","不可")</f>
        <v>不可</v>
      </c>
    </row>
    <row r="698" customFormat="false" ht="15" hidden="false" customHeight="false" outlineLevel="0" collapsed="false">
      <c r="A698" s="29" t="n">
        <v>46260</v>
      </c>
      <c r="B698" s="30" t="n">
        <v>23</v>
      </c>
      <c r="C698" s="31" t="s">
        <v>58</v>
      </c>
      <c r="D698" s="31" t="s">
        <v>59</v>
      </c>
      <c r="E698" s="30" t="n">
        <v>60</v>
      </c>
      <c r="F698" s="30" t="n">
        <v>0</v>
      </c>
      <c r="G698" s="30" t="str">
        <f aca="false">IF(E698&lt;判定条件!$C$6,"判定不能",IF(F698&gt;=判定条件!$C$7*E698,"運転",IF(F698&lt;=判定条件!$C$8*E698,"停止","断続")))</f>
        <v>停止</v>
      </c>
      <c r="H698" s="30" t="n">
        <v>60</v>
      </c>
      <c r="I698" s="30" t="n">
        <v>0</v>
      </c>
      <c r="J698" s="30" t="str">
        <f aca="false">IF(H698&lt;判定条件!$C$6,"判定不能",IF(I698&gt;=判定条件!$C$7*H698,"運転",IF(I698&lt;=判定条件!$C$8*H698,"停止","断続")))</f>
        <v>停止</v>
      </c>
      <c r="K698" s="30" t="n">
        <v>60</v>
      </c>
      <c r="L698" s="30" t="n">
        <v>0</v>
      </c>
      <c r="M698" s="30" t="str">
        <f aca="false">IF(K698&lt;判定条件!$C$6,"判定不能",IF(L698&gt;=判定条件!$C$7*K698,"運転",IF(L698&lt;=判定条件!$C$8*K698,"停止","断続")))</f>
        <v>停止</v>
      </c>
      <c r="N698" s="30" t="n">
        <v>60</v>
      </c>
      <c r="O698" s="30" t="n">
        <v>0</v>
      </c>
      <c r="P698" s="30" t="str">
        <f aca="false">IF(N698&lt;判定条件!$C$6,"判定不能",IF(O698&gt;=判定条件!$C$7*N698,"運転",IF(O698&lt;=判定条件!$C$8*N698,"停止","断続")))</f>
        <v>停止</v>
      </c>
      <c r="Q698" s="30" t="n">
        <v>0</v>
      </c>
      <c r="R698" s="30" t="n">
        <v>0</v>
      </c>
      <c r="S698" s="30" t="str">
        <f aca="false">IF(Q698&lt;判定条件!$C$6,"判定不能",IF(R698&gt;=判定条件!$C$7*Q698,"運転",IF(R698&lt;=判定条件!$C$8*Q698,"停止","断続")))</f>
        <v>判定不能</v>
      </c>
      <c r="T698" s="30" t="n">
        <v>60</v>
      </c>
      <c r="U698" s="30" t="n">
        <v>0</v>
      </c>
      <c r="V698" s="30" t="str">
        <f aca="false">IF(T698&lt;判定条件!$C$6,"判定不能",IF(U698&gt;=判定条件!$C$7*T698,"運転",IF(U698&lt;=判定条件!$C$8*T698,"停止","断続")))</f>
        <v>停止</v>
      </c>
      <c r="W698" s="30" t="n">
        <v>60</v>
      </c>
      <c r="X698" s="30" t="n">
        <v>0</v>
      </c>
      <c r="Y698" s="30" t="str">
        <f aca="false">IF(W698&lt;判定条件!$C$6,"判定不能",IF(X698&gt;=判定条件!$C$7*W698,"運転",IF(X698&lt;=判定条件!$C$8*W698,"停止","断続")))</f>
        <v>停止</v>
      </c>
      <c r="Z698" s="30" t="n">
        <v>60</v>
      </c>
      <c r="AA698" s="30" t="n">
        <v>0</v>
      </c>
      <c r="AB698" s="30" t="str">
        <f aca="false">IF(Z698&lt;判定条件!$C$6,"判定不能",IF(AA698&gt;=判定条件!$C$7*Z698,"運転",IF(AA698&lt;=判定条件!$C$8*Z698,"停止","断続")))</f>
        <v>停止</v>
      </c>
      <c r="AC698" s="30" t="n">
        <v>60</v>
      </c>
      <c r="AD698" s="30" t="n">
        <v>0</v>
      </c>
      <c r="AE698" s="30" t="str">
        <f aca="false">IF(AC698&lt;判定条件!$C$6,"判定不能",IF(AD698&gt;=判定条件!$C$7*AC698,"運転",IF(AD698&lt;=判定条件!$C$8*AC698,"停止","断続")))</f>
        <v>停止</v>
      </c>
      <c r="AF698" s="30" t="n">
        <v>60</v>
      </c>
      <c r="AG698" s="30" t="n">
        <v>0</v>
      </c>
      <c r="AH698" s="30" t="str">
        <f aca="false">IF(OR(P698="判定不能",G698="判定不能"),"判定不能",IF(AG698&gt;=判定条件!$C$9,"利用可",IF(AND(P698="停止",G698="停止"),"両方停止","運転がそろわない")))</f>
        <v>両方停止</v>
      </c>
      <c r="AI698" s="30" t="n">
        <v>0</v>
      </c>
      <c r="AJ698" s="30" t="n">
        <v>0</v>
      </c>
      <c r="AK698" s="30" t="str">
        <f aca="false">IF(OR(S698="判定不能",J698="判定不能"),"判定不能",IF(AJ698&gt;=判定条件!$C$9,"利用可",IF(AND(S698="停止",J698="停止"),"両方停止","運転がそろわない")))</f>
        <v>判定不能</v>
      </c>
      <c r="AL698" s="30" t="n">
        <v>60</v>
      </c>
      <c r="AM698" s="30" t="n">
        <v>0</v>
      </c>
      <c r="AN698" s="30" t="str">
        <f aca="false">IF(OR(V698="判定不能",M698="判定不能"),"判定不能",IF(AM698&gt;=判定条件!$C$9,"利用可",IF(AND(V698="停止",M698="停止"),"両方停止","運転がそろわない")))</f>
        <v>両方停止</v>
      </c>
      <c r="AO698" s="30" t="n">
        <v>60</v>
      </c>
      <c r="AP698" s="30" t="n">
        <v>0</v>
      </c>
      <c r="AQ698" s="30" t="str">
        <f aca="false">IF(OR(Y698="判定不能",G698="判定不能"),"判定不能",IF(AP698&gt;=判定条件!$C$9,"利用可",IF(AND(Y698="停止",G698="停止"),"両方停止","運転がそろわない")))</f>
        <v>両方停止</v>
      </c>
      <c r="AR698" s="30" t="n">
        <v>60</v>
      </c>
      <c r="AS698" s="30" t="n">
        <v>0</v>
      </c>
      <c r="AT698" s="30" t="str">
        <f aca="false">IF(OR(AB698="判定不能",J698="判定不能"),"判定不能",IF(AS698&gt;=判定条件!$C$9,"利用可",IF(AND(AB698="停止",J698="停止"),"両方停止","運転がそろわない")))</f>
        <v>両方停止</v>
      </c>
      <c r="AU698" s="30" t="n">
        <v>60</v>
      </c>
      <c r="AV698" s="30" t="n">
        <v>0</v>
      </c>
      <c r="AW698" s="30" t="str">
        <f aca="false">IF(OR(AE698="判定不能",M698="判定不能"),"判定不能",IF(AV698&gt;=判定条件!$C$9,"利用可",IF(AND(AE698="停止",M698="停止"),"両方停止","運転がそろわない")))</f>
        <v>両方停止</v>
      </c>
      <c r="AX698" s="30" t="str">
        <f aca="false">IF(AND(AH698="利用可",AK698="利用可",AN698="利用可"),"利用可","不可")</f>
        <v>不可</v>
      </c>
      <c r="AY698" s="30" t="str">
        <f aca="false">IF(AND(AQ698="利用可",AT698="利用可",AW698="利用可"),"利用可","不可")</f>
        <v>不可</v>
      </c>
    </row>
    <row r="699" customFormat="false" ht="15" hidden="false" customHeight="false" outlineLevel="0" collapsed="false">
      <c r="A699" s="29" t="n">
        <v>46261</v>
      </c>
      <c r="B699" s="30" t="n">
        <v>0</v>
      </c>
      <c r="C699" s="31" t="s">
        <v>61</v>
      </c>
      <c r="D699" s="31" t="s">
        <v>59</v>
      </c>
      <c r="E699" s="30" t="n">
        <v>60</v>
      </c>
      <c r="F699" s="30" t="n">
        <v>0</v>
      </c>
      <c r="G699" s="30" t="str">
        <f aca="false">IF(E699&lt;判定条件!$C$6,"判定不能",IF(F699&gt;=判定条件!$C$7*E699,"運転",IF(F699&lt;=判定条件!$C$8*E699,"停止","断続")))</f>
        <v>停止</v>
      </c>
      <c r="H699" s="30" t="n">
        <v>60</v>
      </c>
      <c r="I699" s="30" t="n">
        <v>0</v>
      </c>
      <c r="J699" s="30" t="str">
        <f aca="false">IF(H699&lt;判定条件!$C$6,"判定不能",IF(I699&gt;=判定条件!$C$7*H699,"運転",IF(I699&lt;=判定条件!$C$8*H699,"停止","断続")))</f>
        <v>停止</v>
      </c>
      <c r="K699" s="30" t="n">
        <v>60</v>
      </c>
      <c r="L699" s="30" t="n">
        <v>0</v>
      </c>
      <c r="M699" s="30" t="str">
        <f aca="false">IF(K699&lt;判定条件!$C$6,"判定不能",IF(L699&gt;=判定条件!$C$7*K699,"運転",IF(L699&lt;=判定条件!$C$8*K699,"停止","断続")))</f>
        <v>停止</v>
      </c>
      <c r="N699" s="30" t="n">
        <v>60</v>
      </c>
      <c r="O699" s="30" t="n">
        <v>0</v>
      </c>
      <c r="P699" s="30" t="str">
        <f aca="false">IF(N699&lt;判定条件!$C$6,"判定不能",IF(O699&gt;=判定条件!$C$7*N699,"運転",IF(O699&lt;=判定条件!$C$8*N699,"停止","断続")))</f>
        <v>停止</v>
      </c>
      <c r="Q699" s="30" t="n">
        <v>0</v>
      </c>
      <c r="R699" s="30" t="n">
        <v>0</v>
      </c>
      <c r="S699" s="30" t="str">
        <f aca="false">IF(Q699&lt;判定条件!$C$6,"判定不能",IF(R699&gt;=判定条件!$C$7*Q699,"運転",IF(R699&lt;=判定条件!$C$8*Q699,"停止","断続")))</f>
        <v>判定不能</v>
      </c>
      <c r="T699" s="30" t="n">
        <v>60</v>
      </c>
      <c r="U699" s="30" t="n">
        <v>0</v>
      </c>
      <c r="V699" s="30" t="str">
        <f aca="false">IF(T699&lt;判定条件!$C$6,"判定不能",IF(U699&gt;=判定条件!$C$7*T699,"運転",IF(U699&lt;=判定条件!$C$8*T699,"停止","断続")))</f>
        <v>停止</v>
      </c>
      <c r="W699" s="30" t="n">
        <v>60</v>
      </c>
      <c r="X699" s="30" t="n">
        <v>0</v>
      </c>
      <c r="Y699" s="30" t="str">
        <f aca="false">IF(W699&lt;判定条件!$C$6,"判定不能",IF(X699&gt;=判定条件!$C$7*W699,"運転",IF(X699&lt;=判定条件!$C$8*W699,"停止","断続")))</f>
        <v>停止</v>
      </c>
      <c r="Z699" s="30" t="n">
        <v>60</v>
      </c>
      <c r="AA699" s="30" t="n">
        <v>0</v>
      </c>
      <c r="AB699" s="30" t="str">
        <f aca="false">IF(Z699&lt;判定条件!$C$6,"判定不能",IF(AA699&gt;=判定条件!$C$7*Z699,"運転",IF(AA699&lt;=判定条件!$C$8*Z699,"停止","断続")))</f>
        <v>停止</v>
      </c>
      <c r="AC699" s="30" t="n">
        <v>60</v>
      </c>
      <c r="AD699" s="30" t="n">
        <v>0</v>
      </c>
      <c r="AE699" s="30" t="str">
        <f aca="false">IF(AC699&lt;判定条件!$C$6,"判定不能",IF(AD699&gt;=判定条件!$C$7*AC699,"運転",IF(AD699&lt;=判定条件!$C$8*AC699,"停止","断続")))</f>
        <v>停止</v>
      </c>
      <c r="AF699" s="30" t="n">
        <v>60</v>
      </c>
      <c r="AG699" s="30" t="n">
        <v>0</v>
      </c>
      <c r="AH699" s="30" t="str">
        <f aca="false">IF(OR(P699="判定不能",G699="判定不能"),"判定不能",IF(AG699&gt;=判定条件!$C$9,"利用可",IF(AND(P699="停止",G699="停止"),"両方停止","運転がそろわない")))</f>
        <v>両方停止</v>
      </c>
      <c r="AI699" s="30" t="n">
        <v>0</v>
      </c>
      <c r="AJ699" s="30" t="n">
        <v>0</v>
      </c>
      <c r="AK699" s="30" t="str">
        <f aca="false">IF(OR(S699="判定不能",J699="判定不能"),"判定不能",IF(AJ699&gt;=判定条件!$C$9,"利用可",IF(AND(S699="停止",J699="停止"),"両方停止","運転がそろわない")))</f>
        <v>判定不能</v>
      </c>
      <c r="AL699" s="30" t="n">
        <v>60</v>
      </c>
      <c r="AM699" s="30" t="n">
        <v>0</v>
      </c>
      <c r="AN699" s="30" t="str">
        <f aca="false">IF(OR(V699="判定不能",M699="判定不能"),"判定不能",IF(AM699&gt;=判定条件!$C$9,"利用可",IF(AND(V699="停止",M699="停止"),"両方停止","運転がそろわない")))</f>
        <v>両方停止</v>
      </c>
      <c r="AO699" s="30" t="n">
        <v>60</v>
      </c>
      <c r="AP699" s="30" t="n">
        <v>0</v>
      </c>
      <c r="AQ699" s="30" t="str">
        <f aca="false">IF(OR(Y699="判定不能",G699="判定不能"),"判定不能",IF(AP699&gt;=判定条件!$C$9,"利用可",IF(AND(Y699="停止",G699="停止"),"両方停止","運転がそろわない")))</f>
        <v>両方停止</v>
      </c>
      <c r="AR699" s="30" t="n">
        <v>60</v>
      </c>
      <c r="AS699" s="30" t="n">
        <v>0</v>
      </c>
      <c r="AT699" s="30" t="str">
        <f aca="false">IF(OR(AB699="判定不能",J699="判定不能"),"判定不能",IF(AS699&gt;=判定条件!$C$9,"利用可",IF(AND(AB699="停止",J699="停止"),"両方停止","運転がそろわない")))</f>
        <v>両方停止</v>
      </c>
      <c r="AU699" s="30" t="n">
        <v>60</v>
      </c>
      <c r="AV699" s="30" t="n">
        <v>0</v>
      </c>
      <c r="AW699" s="30" t="str">
        <f aca="false">IF(OR(AE699="判定不能",M699="判定不能"),"判定不能",IF(AV699&gt;=判定条件!$C$9,"利用可",IF(AND(AE699="停止",M699="停止"),"両方停止","運転がそろわない")))</f>
        <v>両方停止</v>
      </c>
      <c r="AX699" s="30" t="str">
        <f aca="false">IF(AND(AH699="利用可",AK699="利用可",AN699="利用可"),"利用可","不可")</f>
        <v>不可</v>
      </c>
      <c r="AY699" s="30" t="str">
        <f aca="false">IF(AND(AQ699="利用可",AT699="利用可",AW699="利用可"),"利用可","不可")</f>
        <v>不可</v>
      </c>
    </row>
    <row r="700" customFormat="false" ht="15" hidden="false" customHeight="false" outlineLevel="0" collapsed="false">
      <c r="A700" s="29" t="n">
        <v>46261</v>
      </c>
      <c r="B700" s="30" t="n">
        <v>1</v>
      </c>
      <c r="C700" s="31" t="s">
        <v>61</v>
      </c>
      <c r="D700" s="31" t="s">
        <v>59</v>
      </c>
      <c r="E700" s="30" t="n">
        <v>60</v>
      </c>
      <c r="F700" s="30" t="n">
        <v>0</v>
      </c>
      <c r="G700" s="30" t="str">
        <f aca="false">IF(E700&lt;判定条件!$C$6,"判定不能",IF(F700&gt;=判定条件!$C$7*E700,"運転",IF(F700&lt;=判定条件!$C$8*E700,"停止","断続")))</f>
        <v>停止</v>
      </c>
      <c r="H700" s="30" t="n">
        <v>60</v>
      </c>
      <c r="I700" s="30" t="n">
        <v>0</v>
      </c>
      <c r="J700" s="30" t="str">
        <f aca="false">IF(H700&lt;判定条件!$C$6,"判定不能",IF(I700&gt;=判定条件!$C$7*H700,"運転",IF(I700&lt;=判定条件!$C$8*H700,"停止","断続")))</f>
        <v>停止</v>
      </c>
      <c r="K700" s="30" t="n">
        <v>60</v>
      </c>
      <c r="L700" s="30" t="n">
        <v>0</v>
      </c>
      <c r="M700" s="30" t="str">
        <f aca="false">IF(K700&lt;判定条件!$C$6,"判定不能",IF(L700&gt;=判定条件!$C$7*K700,"運転",IF(L700&lt;=判定条件!$C$8*K700,"停止","断続")))</f>
        <v>停止</v>
      </c>
      <c r="N700" s="30" t="n">
        <v>60</v>
      </c>
      <c r="O700" s="30" t="n">
        <v>0</v>
      </c>
      <c r="P700" s="30" t="str">
        <f aca="false">IF(N700&lt;判定条件!$C$6,"判定不能",IF(O700&gt;=判定条件!$C$7*N700,"運転",IF(O700&lt;=判定条件!$C$8*N700,"停止","断続")))</f>
        <v>停止</v>
      </c>
      <c r="Q700" s="30" t="n">
        <v>0</v>
      </c>
      <c r="R700" s="30" t="n">
        <v>0</v>
      </c>
      <c r="S700" s="30" t="str">
        <f aca="false">IF(Q700&lt;判定条件!$C$6,"判定不能",IF(R700&gt;=判定条件!$C$7*Q700,"運転",IF(R700&lt;=判定条件!$C$8*Q700,"停止","断続")))</f>
        <v>判定不能</v>
      </c>
      <c r="T700" s="30" t="n">
        <v>60</v>
      </c>
      <c r="U700" s="30" t="n">
        <v>0</v>
      </c>
      <c r="V700" s="30" t="str">
        <f aca="false">IF(T700&lt;判定条件!$C$6,"判定不能",IF(U700&gt;=判定条件!$C$7*T700,"運転",IF(U700&lt;=判定条件!$C$8*T700,"停止","断続")))</f>
        <v>停止</v>
      </c>
      <c r="W700" s="30" t="n">
        <v>60</v>
      </c>
      <c r="X700" s="30" t="n">
        <v>0</v>
      </c>
      <c r="Y700" s="30" t="str">
        <f aca="false">IF(W700&lt;判定条件!$C$6,"判定不能",IF(X700&gt;=判定条件!$C$7*W700,"運転",IF(X700&lt;=判定条件!$C$8*W700,"停止","断続")))</f>
        <v>停止</v>
      </c>
      <c r="Z700" s="30" t="n">
        <v>60</v>
      </c>
      <c r="AA700" s="30" t="n">
        <v>0</v>
      </c>
      <c r="AB700" s="30" t="str">
        <f aca="false">IF(Z700&lt;判定条件!$C$6,"判定不能",IF(AA700&gt;=判定条件!$C$7*Z700,"運転",IF(AA700&lt;=判定条件!$C$8*Z700,"停止","断続")))</f>
        <v>停止</v>
      </c>
      <c r="AC700" s="30" t="n">
        <v>60</v>
      </c>
      <c r="AD700" s="30" t="n">
        <v>0</v>
      </c>
      <c r="AE700" s="30" t="str">
        <f aca="false">IF(AC700&lt;判定条件!$C$6,"判定不能",IF(AD700&gt;=判定条件!$C$7*AC700,"運転",IF(AD700&lt;=判定条件!$C$8*AC700,"停止","断続")))</f>
        <v>停止</v>
      </c>
      <c r="AF700" s="30" t="n">
        <v>60</v>
      </c>
      <c r="AG700" s="30" t="n">
        <v>0</v>
      </c>
      <c r="AH700" s="30" t="str">
        <f aca="false">IF(OR(P700="判定不能",G700="判定不能"),"判定不能",IF(AG700&gt;=判定条件!$C$9,"利用可",IF(AND(P700="停止",G700="停止"),"両方停止","運転がそろわない")))</f>
        <v>両方停止</v>
      </c>
      <c r="AI700" s="30" t="n">
        <v>0</v>
      </c>
      <c r="AJ700" s="30" t="n">
        <v>0</v>
      </c>
      <c r="AK700" s="30" t="str">
        <f aca="false">IF(OR(S700="判定不能",J700="判定不能"),"判定不能",IF(AJ700&gt;=判定条件!$C$9,"利用可",IF(AND(S700="停止",J700="停止"),"両方停止","運転がそろわない")))</f>
        <v>判定不能</v>
      </c>
      <c r="AL700" s="30" t="n">
        <v>60</v>
      </c>
      <c r="AM700" s="30" t="n">
        <v>0</v>
      </c>
      <c r="AN700" s="30" t="str">
        <f aca="false">IF(OR(V700="判定不能",M700="判定不能"),"判定不能",IF(AM700&gt;=判定条件!$C$9,"利用可",IF(AND(V700="停止",M700="停止"),"両方停止","運転がそろわない")))</f>
        <v>両方停止</v>
      </c>
      <c r="AO700" s="30" t="n">
        <v>60</v>
      </c>
      <c r="AP700" s="30" t="n">
        <v>0</v>
      </c>
      <c r="AQ700" s="30" t="str">
        <f aca="false">IF(OR(Y700="判定不能",G700="判定不能"),"判定不能",IF(AP700&gt;=判定条件!$C$9,"利用可",IF(AND(Y700="停止",G700="停止"),"両方停止","運転がそろわない")))</f>
        <v>両方停止</v>
      </c>
      <c r="AR700" s="30" t="n">
        <v>60</v>
      </c>
      <c r="AS700" s="30" t="n">
        <v>0</v>
      </c>
      <c r="AT700" s="30" t="str">
        <f aca="false">IF(OR(AB700="判定不能",J700="判定不能"),"判定不能",IF(AS700&gt;=判定条件!$C$9,"利用可",IF(AND(AB700="停止",J700="停止"),"両方停止","運転がそろわない")))</f>
        <v>両方停止</v>
      </c>
      <c r="AU700" s="30" t="n">
        <v>60</v>
      </c>
      <c r="AV700" s="30" t="n">
        <v>0</v>
      </c>
      <c r="AW700" s="30" t="str">
        <f aca="false">IF(OR(AE700="判定不能",M700="判定不能"),"判定不能",IF(AV700&gt;=判定条件!$C$9,"利用可",IF(AND(AE700="停止",M700="停止"),"両方停止","運転がそろわない")))</f>
        <v>両方停止</v>
      </c>
      <c r="AX700" s="30" t="str">
        <f aca="false">IF(AND(AH700="利用可",AK700="利用可",AN700="利用可"),"利用可","不可")</f>
        <v>不可</v>
      </c>
      <c r="AY700" s="30" t="str">
        <f aca="false">IF(AND(AQ700="利用可",AT700="利用可",AW700="利用可"),"利用可","不可")</f>
        <v>不可</v>
      </c>
    </row>
    <row r="701" customFormat="false" ht="15" hidden="false" customHeight="false" outlineLevel="0" collapsed="false">
      <c r="A701" s="29" t="n">
        <v>46261</v>
      </c>
      <c r="B701" s="30" t="n">
        <v>2</v>
      </c>
      <c r="C701" s="31" t="s">
        <v>61</v>
      </c>
      <c r="D701" s="31" t="s">
        <v>59</v>
      </c>
      <c r="E701" s="30" t="n">
        <v>60</v>
      </c>
      <c r="F701" s="30" t="n">
        <v>0</v>
      </c>
      <c r="G701" s="30" t="str">
        <f aca="false">IF(E701&lt;判定条件!$C$6,"判定不能",IF(F701&gt;=判定条件!$C$7*E701,"運転",IF(F701&lt;=判定条件!$C$8*E701,"停止","断続")))</f>
        <v>停止</v>
      </c>
      <c r="H701" s="30" t="n">
        <v>60</v>
      </c>
      <c r="I701" s="30" t="n">
        <v>0</v>
      </c>
      <c r="J701" s="30" t="str">
        <f aca="false">IF(H701&lt;判定条件!$C$6,"判定不能",IF(I701&gt;=判定条件!$C$7*H701,"運転",IF(I701&lt;=判定条件!$C$8*H701,"停止","断続")))</f>
        <v>停止</v>
      </c>
      <c r="K701" s="30" t="n">
        <v>60</v>
      </c>
      <c r="L701" s="30" t="n">
        <v>0</v>
      </c>
      <c r="M701" s="30" t="str">
        <f aca="false">IF(K701&lt;判定条件!$C$6,"判定不能",IF(L701&gt;=判定条件!$C$7*K701,"運転",IF(L701&lt;=判定条件!$C$8*K701,"停止","断続")))</f>
        <v>停止</v>
      </c>
      <c r="N701" s="30" t="n">
        <v>60</v>
      </c>
      <c r="O701" s="30" t="n">
        <v>0</v>
      </c>
      <c r="P701" s="30" t="str">
        <f aca="false">IF(N701&lt;判定条件!$C$6,"判定不能",IF(O701&gt;=判定条件!$C$7*N701,"運転",IF(O701&lt;=判定条件!$C$8*N701,"停止","断続")))</f>
        <v>停止</v>
      </c>
      <c r="Q701" s="30" t="n">
        <v>0</v>
      </c>
      <c r="R701" s="30" t="n">
        <v>0</v>
      </c>
      <c r="S701" s="30" t="str">
        <f aca="false">IF(Q701&lt;判定条件!$C$6,"判定不能",IF(R701&gt;=判定条件!$C$7*Q701,"運転",IF(R701&lt;=判定条件!$C$8*Q701,"停止","断続")))</f>
        <v>判定不能</v>
      </c>
      <c r="T701" s="30" t="n">
        <v>60</v>
      </c>
      <c r="U701" s="30" t="n">
        <v>0</v>
      </c>
      <c r="V701" s="30" t="str">
        <f aca="false">IF(T701&lt;判定条件!$C$6,"判定不能",IF(U701&gt;=判定条件!$C$7*T701,"運転",IF(U701&lt;=判定条件!$C$8*T701,"停止","断続")))</f>
        <v>停止</v>
      </c>
      <c r="W701" s="30" t="n">
        <v>60</v>
      </c>
      <c r="X701" s="30" t="n">
        <v>0</v>
      </c>
      <c r="Y701" s="30" t="str">
        <f aca="false">IF(W701&lt;判定条件!$C$6,"判定不能",IF(X701&gt;=判定条件!$C$7*W701,"運転",IF(X701&lt;=判定条件!$C$8*W701,"停止","断続")))</f>
        <v>停止</v>
      </c>
      <c r="Z701" s="30" t="n">
        <v>60</v>
      </c>
      <c r="AA701" s="30" t="n">
        <v>0</v>
      </c>
      <c r="AB701" s="30" t="str">
        <f aca="false">IF(Z701&lt;判定条件!$C$6,"判定不能",IF(AA701&gt;=判定条件!$C$7*Z701,"運転",IF(AA701&lt;=判定条件!$C$8*Z701,"停止","断続")))</f>
        <v>停止</v>
      </c>
      <c r="AC701" s="30" t="n">
        <v>60</v>
      </c>
      <c r="AD701" s="30" t="n">
        <v>0</v>
      </c>
      <c r="AE701" s="30" t="str">
        <f aca="false">IF(AC701&lt;判定条件!$C$6,"判定不能",IF(AD701&gt;=判定条件!$C$7*AC701,"運転",IF(AD701&lt;=判定条件!$C$8*AC701,"停止","断続")))</f>
        <v>停止</v>
      </c>
      <c r="AF701" s="30" t="n">
        <v>60</v>
      </c>
      <c r="AG701" s="30" t="n">
        <v>0</v>
      </c>
      <c r="AH701" s="30" t="str">
        <f aca="false">IF(OR(P701="判定不能",G701="判定不能"),"判定不能",IF(AG701&gt;=判定条件!$C$9,"利用可",IF(AND(P701="停止",G701="停止"),"両方停止","運転がそろわない")))</f>
        <v>両方停止</v>
      </c>
      <c r="AI701" s="30" t="n">
        <v>0</v>
      </c>
      <c r="AJ701" s="30" t="n">
        <v>0</v>
      </c>
      <c r="AK701" s="30" t="str">
        <f aca="false">IF(OR(S701="判定不能",J701="判定不能"),"判定不能",IF(AJ701&gt;=判定条件!$C$9,"利用可",IF(AND(S701="停止",J701="停止"),"両方停止","運転がそろわない")))</f>
        <v>判定不能</v>
      </c>
      <c r="AL701" s="30" t="n">
        <v>60</v>
      </c>
      <c r="AM701" s="30" t="n">
        <v>0</v>
      </c>
      <c r="AN701" s="30" t="str">
        <f aca="false">IF(OR(V701="判定不能",M701="判定不能"),"判定不能",IF(AM701&gt;=判定条件!$C$9,"利用可",IF(AND(V701="停止",M701="停止"),"両方停止","運転がそろわない")))</f>
        <v>両方停止</v>
      </c>
      <c r="AO701" s="30" t="n">
        <v>60</v>
      </c>
      <c r="AP701" s="30" t="n">
        <v>0</v>
      </c>
      <c r="AQ701" s="30" t="str">
        <f aca="false">IF(OR(Y701="判定不能",G701="判定不能"),"判定不能",IF(AP701&gt;=判定条件!$C$9,"利用可",IF(AND(Y701="停止",G701="停止"),"両方停止","運転がそろわない")))</f>
        <v>両方停止</v>
      </c>
      <c r="AR701" s="30" t="n">
        <v>60</v>
      </c>
      <c r="AS701" s="30" t="n">
        <v>0</v>
      </c>
      <c r="AT701" s="30" t="str">
        <f aca="false">IF(OR(AB701="判定不能",J701="判定不能"),"判定不能",IF(AS701&gt;=判定条件!$C$9,"利用可",IF(AND(AB701="停止",J701="停止"),"両方停止","運転がそろわない")))</f>
        <v>両方停止</v>
      </c>
      <c r="AU701" s="30" t="n">
        <v>60</v>
      </c>
      <c r="AV701" s="30" t="n">
        <v>0</v>
      </c>
      <c r="AW701" s="30" t="str">
        <f aca="false">IF(OR(AE701="判定不能",M701="判定不能"),"判定不能",IF(AV701&gt;=判定条件!$C$9,"利用可",IF(AND(AE701="停止",M701="停止"),"両方停止","運転がそろわない")))</f>
        <v>両方停止</v>
      </c>
      <c r="AX701" s="30" t="str">
        <f aca="false">IF(AND(AH701="利用可",AK701="利用可",AN701="利用可"),"利用可","不可")</f>
        <v>不可</v>
      </c>
      <c r="AY701" s="30" t="str">
        <f aca="false">IF(AND(AQ701="利用可",AT701="利用可",AW701="利用可"),"利用可","不可")</f>
        <v>不可</v>
      </c>
    </row>
    <row r="702" customFormat="false" ht="15" hidden="false" customHeight="false" outlineLevel="0" collapsed="false">
      <c r="A702" s="29" t="n">
        <v>46261</v>
      </c>
      <c r="B702" s="30" t="n">
        <v>3</v>
      </c>
      <c r="C702" s="31" t="s">
        <v>61</v>
      </c>
      <c r="D702" s="31" t="s">
        <v>59</v>
      </c>
      <c r="E702" s="30" t="n">
        <v>60</v>
      </c>
      <c r="F702" s="30" t="n">
        <v>0</v>
      </c>
      <c r="G702" s="30" t="str">
        <f aca="false">IF(E702&lt;判定条件!$C$6,"判定不能",IF(F702&gt;=判定条件!$C$7*E702,"運転",IF(F702&lt;=判定条件!$C$8*E702,"停止","断続")))</f>
        <v>停止</v>
      </c>
      <c r="H702" s="30" t="n">
        <v>60</v>
      </c>
      <c r="I702" s="30" t="n">
        <v>0</v>
      </c>
      <c r="J702" s="30" t="str">
        <f aca="false">IF(H702&lt;判定条件!$C$6,"判定不能",IF(I702&gt;=判定条件!$C$7*H702,"運転",IF(I702&lt;=判定条件!$C$8*H702,"停止","断続")))</f>
        <v>停止</v>
      </c>
      <c r="K702" s="30" t="n">
        <v>60</v>
      </c>
      <c r="L702" s="30" t="n">
        <v>0</v>
      </c>
      <c r="M702" s="30" t="str">
        <f aca="false">IF(K702&lt;判定条件!$C$6,"判定不能",IF(L702&gt;=判定条件!$C$7*K702,"運転",IF(L702&lt;=判定条件!$C$8*K702,"停止","断続")))</f>
        <v>停止</v>
      </c>
      <c r="N702" s="30" t="n">
        <v>60</v>
      </c>
      <c r="O702" s="30" t="n">
        <v>0</v>
      </c>
      <c r="P702" s="30" t="str">
        <f aca="false">IF(N702&lt;判定条件!$C$6,"判定不能",IF(O702&gt;=判定条件!$C$7*N702,"運転",IF(O702&lt;=判定条件!$C$8*N702,"停止","断続")))</f>
        <v>停止</v>
      </c>
      <c r="Q702" s="30" t="n">
        <v>0</v>
      </c>
      <c r="R702" s="30" t="n">
        <v>0</v>
      </c>
      <c r="S702" s="30" t="str">
        <f aca="false">IF(Q702&lt;判定条件!$C$6,"判定不能",IF(R702&gt;=判定条件!$C$7*Q702,"運転",IF(R702&lt;=判定条件!$C$8*Q702,"停止","断続")))</f>
        <v>判定不能</v>
      </c>
      <c r="T702" s="30" t="n">
        <v>60</v>
      </c>
      <c r="U702" s="30" t="n">
        <v>0</v>
      </c>
      <c r="V702" s="30" t="str">
        <f aca="false">IF(T702&lt;判定条件!$C$6,"判定不能",IF(U702&gt;=判定条件!$C$7*T702,"運転",IF(U702&lt;=判定条件!$C$8*T702,"停止","断続")))</f>
        <v>停止</v>
      </c>
      <c r="W702" s="30" t="n">
        <v>60</v>
      </c>
      <c r="X702" s="30" t="n">
        <v>0</v>
      </c>
      <c r="Y702" s="30" t="str">
        <f aca="false">IF(W702&lt;判定条件!$C$6,"判定不能",IF(X702&gt;=判定条件!$C$7*W702,"運転",IF(X702&lt;=判定条件!$C$8*W702,"停止","断続")))</f>
        <v>停止</v>
      </c>
      <c r="Z702" s="30" t="n">
        <v>60</v>
      </c>
      <c r="AA702" s="30" t="n">
        <v>0</v>
      </c>
      <c r="AB702" s="30" t="str">
        <f aca="false">IF(Z702&lt;判定条件!$C$6,"判定不能",IF(AA702&gt;=判定条件!$C$7*Z702,"運転",IF(AA702&lt;=判定条件!$C$8*Z702,"停止","断続")))</f>
        <v>停止</v>
      </c>
      <c r="AC702" s="30" t="n">
        <v>60</v>
      </c>
      <c r="AD702" s="30" t="n">
        <v>0</v>
      </c>
      <c r="AE702" s="30" t="str">
        <f aca="false">IF(AC702&lt;判定条件!$C$6,"判定不能",IF(AD702&gt;=判定条件!$C$7*AC702,"運転",IF(AD702&lt;=判定条件!$C$8*AC702,"停止","断続")))</f>
        <v>停止</v>
      </c>
      <c r="AF702" s="30" t="n">
        <v>60</v>
      </c>
      <c r="AG702" s="30" t="n">
        <v>0</v>
      </c>
      <c r="AH702" s="30" t="str">
        <f aca="false">IF(OR(P702="判定不能",G702="判定不能"),"判定不能",IF(AG702&gt;=判定条件!$C$9,"利用可",IF(AND(P702="停止",G702="停止"),"両方停止","運転がそろわない")))</f>
        <v>両方停止</v>
      </c>
      <c r="AI702" s="30" t="n">
        <v>0</v>
      </c>
      <c r="AJ702" s="30" t="n">
        <v>0</v>
      </c>
      <c r="AK702" s="30" t="str">
        <f aca="false">IF(OR(S702="判定不能",J702="判定不能"),"判定不能",IF(AJ702&gt;=判定条件!$C$9,"利用可",IF(AND(S702="停止",J702="停止"),"両方停止","運転がそろわない")))</f>
        <v>判定不能</v>
      </c>
      <c r="AL702" s="30" t="n">
        <v>60</v>
      </c>
      <c r="AM702" s="30" t="n">
        <v>0</v>
      </c>
      <c r="AN702" s="30" t="str">
        <f aca="false">IF(OR(V702="判定不能",M702="判定不能"),"判定不能",IF(AM702&gt;=判定条件!$C$9,"利用可",IF(AND(V702="停止",M702="停止"),"両方停止","運転がそろわない")))</f>
        <v>両方停止</v>
      </c>
      <c r="AO702" s="30" t="n">
        <v>60</v>
      </c>
      <c r="AP702" s="30" t="n">
        <v>0</v>
      </c>
      <c r="AQ702" s="30" t="str">
        <f aca="false">IF(OR(Y702="判定不能",G702="判定不能"),"判定不能",IF(AP702&gt;=判定条件!$C$9,"利用可",IF(AND(Y702="停止",G702="停止"),"両方停止","運転がそろわない")))</f>
        <v>両方停止</v>
      </c>
      <c r="AR702" s="30" t="n">
        <v>60</v>
      </c>
      <c r="AS702" s="30" t="n">
        <v>0</v>
      </c>
      <c r="AT702" s="30" t="str">
        <f aca="false">IF(OR(AB702="判定不能",J702="判定不能"),"判定不能",IF(AS702&gt;=判定条件!$C$9,"利用可",IF(AND(AB702="停止",J702="停止"),"両方停止","運転がそろわない")))</f>
        <v>両方停止</v>
      </c>
      <c r="AU702" s="30" t="n">
        <v>60</v>
      </c>
      <c r="AV702" s="30" t="n">
        <v>0</v>
      </c>
      <c r="AW702" s="30" t="str">
        <f aca="false">IF(OR(AE702="判定不能",M702="判定不能"),"判定不能",IF(AV702&gt;=判定条件!$C$9,"利用可",IF(AND(AE702="停止",M702="停止"),"両方停止","運転がそろわない")))</f>
        <v>両方停止</v>
      </c>
      <c r="AX702" s="30" t="str">
        <f aca="false">IF(AND(AH702="利用可",AK702="利用可",AN702="利用可"),"利用可","不可")</f>
        <v>不可</v>
      </c>
      <c r="AY702" s="30" t="str">
        <f aca="false">IF(AND(AQ702="利用可",AT702="利用可",AW702="利用可"),"利用可","不可")</f>
        <v>不可</v>
      </c>
    </row>
    <row r="703" customFormat="false" ht="15" hidden="false" customHeight="false" outlineLevel="0" collapsed="false">
      <c r="A703" s="29" t="n">
        <v>46261</v>
      </c>
      <c r="B703" s="30" t="n">
        <v>4</v>
      </c>
      <c r="C703" s="31" t="s">
        <v>61</v>
      </c>
      <c r="D703" s="31" t="s">
        <v>59</v>
      </c>
      <c r="E703" s="30" t="n">
        <v>60</v>
      </c>
      <c r="F703" s="30" t="n">
        <v>0</v>
      </c>
      <c r="G703" s="30" t="str">
        <f aca="false">IF(E703&lt;判定条件!$C$6,"判定不能",IF(F703&gt;=判定条件!$C$7*E703,"運転",IF(F703&lt;=判定条件!$C$8*E703,"停止","断続")))</f>
        <v>停止</v>
      </c>
      <c r="H703" s="30" t="n">
        <v>60</v>
      </c>
      <c r="I703" s="30" t="n">
        <v>0</v>
      </c>
      <c r="J703" s="30" t="str">
        <f aca="false">IF(H703&lt;判定条件!$C$6,"判定不能",IF(I703&gt;=判定条件!$C$7*H703,"運転",IF(I703&lt;=判定条件!$C$8*H703,"停止","断続")))</f>
        <v>停止</v>
      </c>
      <c r="K703" s="30" t="n">
        <v>60</v>
      </c>
      <c r="L703" s="30" t="n">
        <v>0</v>
      </c>
      <c r="M703" s="30" t="str">
        <f aca="false">IF(K703&lt;判定条件!$C$6,"判定不能",IF(L703&gt;=判定条件!$C$7*K703,"運転",IF(L703&lt;=判定条件!$C$8*K703,"停止","断続")))</f>
        <v>停止</v>
      </c>
      <c r="N703" s="30" t="n">
        <v>60</v>
      </c>
      <c r="O703" s="30" t="n">
        <v>0</v>
      </c>
      <c r="P703" s="30" t="str">
        <f aca="false">IF(N703&lt;判定条件!$C$6,"判定不能",IF(O703&gt;=判定条件!$C$7*N703,"運転",IF(O703&lt;=判定条件!$C$8*N703,"停止","断続")))</f>
        <v>停止</v>
      </c>
      <c r="Q703" s="30" t="n">
        <v>0</v>
      </c>
      <c r="R703" s="30" t="n">
        <v>0</v>
      </c>
      <c r="S703" s="30" t="str">
        <f aca="false">IF(Q703&lt;判定条件!$C$6,"判定不能",IF(R703&gt;=判定条件!$C$7*Q703,"運転",IF(R703&lt;=判定条件!$C$8*Q703,"停止","断続")))</f>
        <v>判定不能</v>
      </c>
      <c r="T703" s="30" t="n">
        <v>60</v>
      </c>
      <c r="U703" s="30" t="n">
        <v>0</v>
      </c>
      <c r="V703" s="30" t="str">
        <f aca="false">IF(T703&lt;判定条件!$C$6,"判定不能",IF(U703&gt;=判定条件!$C$7*T703,"運転",IF(U703&lt;=判定条件!$C$8*T703,"停止","断続")))</f>
        <v>停止</v>
      </c>
      <c r="W703" s="30" t="n">
        <v>60</v>
      </c>
      <c r="X703" s="30" t="n">
        <v>0</v>
      </c>
      <c r="Y703" s="30" t="str">
        <f aca="false">IF(W703&lt;判定条件!$C$6,"判定不能",IF(X703&gt;=判定条件!$C$7*W703,"運転",IF(X703&lt;=判定条件!$C$8*W703,"停止","断続")))</f>
        <v>停止</v>
      </c>
      <c r="Z703" s="30" t="n">
        <v>60</v>
      </c>
      <c r="AA703" s="30" t="n">
        <v>0</v>
      </c>
      <c r="AB703" s="30" t="str">
        <f aca="false">IF(Z703&lt;判定条件!$C$6,"判定不能",IF(AA703&gt;=判定条件!$C$7*Z703,"運転",IF(AA703&lt;=判定条件!$C$8*Z703,"停止","断続")))</f>
        <v>停止</v>
      </c>
      <c r="AC703" s="30" t="n">
        <v>60</v>
      </c>
      <c r="AD703" s="30" t="n">
        <v>0</v>
      </c>
      <c r="AE703" s="30" t="str">
        <f aca="false">IF(AC703&lt;判定条件!$C$6,"判定不能",IF(AD703&gt;=判定条件!$C$7*AC703,"運転",IF(AD703&lt;=判定条件!$C$8*AC703,"停止","断続")))</f>
        <v>停止</v>
      </c>
      <c r="AF703" s="30" t="n">
        <v>60</v>
      </c>
      <c r="AG703" s="30" t="n">
        <v>0</v>
      </c>
      <c r="AH703" s="30" t="str">
        <f aca="false">IF(OR(P703="判定不能",G703="判定不能"),"判定不能",IF(AG703&gt;=判定条件!$C$9,"利用可",IF(AND(P703="停止",G703="停止"),"両方停止","運転がそろわない")))</f>
        <v>両方停止</v>
      </c>
      <c r="AI703" s="30" t="n">
        <v>0</v>
      </c>
      <c r="AJ703" s="30" t="n">
        <v>0</v>
      </c>
      <c r="AK703" s="30" t="str">
        <f aca="false">IF(OR(S703="判定不能",J703="判定不能"),"判定不能",IF(AJ703&gt;=判定条件!$C$9,"利用可",IF(AND(S703="停止",J703="停止"),"両方停止","運転がそろわない")))</f>
        <v>判定不能</v>
      </c>
      <c r="AL703" s="30" t="n">
        <v>60</v>
      </c>
      <c r="AM703" s="30" t="n">
        <v>0</v>
      </c>
      <c r="AN703" s="30" t="str">
        <f aca="false">IF(OR(V703="判定不能",M703="判定不能"),"判定不能",IF(AM703&gt;=判定条件!$C$9,"利用可",IF(AND(V703="停止",M703="停止"),"両方停止","運転がそろわない")))</f>
        <v>両方停止</v>
      </c>
      <c r="AO703" s="30" t="n">
        <v>60</v>
      </c>
      <c r="AP703" s="30" t="n">
        <v>0</v>
      </c>
      <c r="AQ703" s="30" t="str">
        <f aca="false">IF(OR(Y703="判定不能",G703="判定不能"),"判定不能",IF(AP703&gt;=判定条件!$C$9,"利用可",IF(AND(Y703="停止",G703="停止"),"両方停止","運転がそろわない")))</f>
        <v>両方停止</v>
      </c>
      <c r="AR703" s="30" t="n">
        <v>60</v>
      </c>
      <c r="AS703" s="30" t="n">
        <v>0</v>
      </c>
      <c r="AT703" s="30" t="str">
        <f aca="false">IF(OR(AB703="判定不能",J703="判定不能"),"判定不能",IF(AS703&gt;=判定条件!$C$9,"利用可",IF(AND(AB703="停止",J703="停止"),"両方停止","運転がそろわない")))</f>
        <v>両方停止</v>
      </c>
      <c r="AU703" s="30" t="n">
        <v>60</v>
      </c>
      <c r="AV703" s="30" t="n">
        <v>0</v>
      </c>
      <c r="AW703" s="30" t="str">
        <f aca="false">IF(OR(AE703="判定不能",M703="判定不能"),"判定不能",IF(AV703&gt;=判定条件!$C$9,"利用可",IF(AND(AE703="停止",M703="停止"),"両方停止","運転がそろわない")))</f>
        <v>両方停止</v>
      </c>
      <c r="AX703" s="30" t="str">
        <f aca="false">IF(AND(AH703="利用可",AK703="利用可",AN703="利用可"),"利用可","不可")</f>
        <v>不可</v>
      </c>
      <c r="AY703" s="30" t="str">
        <f aca="false">IF(AND(AQ703="利用可",AT703="利用可",AW703="利用可"),"利用可","不可")</f>
        <v>不可</v>
      </c>
    </row>
    <row r="704" customFormat="false" ht="15" hidden="false" customHeight="false" outlineLevel="0" collapsed="false">
      <c r="A704" s="29" t="n">
        <v>46261</v>
      </c>
      <c r="B704" s="30" t="n">
        <v>5</v>
      </c>
      <c r="C704" s="31" t="s">
        <v>61</v>
      </c>
      <c r="D704" s="31" t="s">
        <v>59</v>
      </c>
      <c r="E704" s="30" t="n">
        <v>60</v>
      </c>
      <c r="F704" s="30" t="n">
        <v>0</v>
      </c>
      <c r="G704" s="30" t="str">
        <f aca="false">IF(E704&lt;判定条件!$C$6,"判定不能",IF(F704&gt;=判定条件!$C$7*E704,"運転",IF(F704&lt;=判定条件!$C$8*E704,"停止","断続")))</f>
        <v>停止</v>
      </c>
      <c r="H704" s="30" t="n">
        <v>60</v>
      </c>
      <c r="I704" s="30" t="n">
        <v>0</v>
      </c>
      <c r="J704" s="30" t="str">
        <f aca="false">IF(H704&lt;判定条件!$C$6,"判定不能",IF(I704&gt;=判定条件!$C$7*H704,"運転",IF(I704&lt;=判定条件!$C$8*H704,"停止","断続")))</f>
        <v>停止</v>
      </c>
      <c r="K704" s="30" t="n">
        <v>60</v>
      </c>
      <c r="L704" s="30" t="n">
        <v>0</v>
      </c>
      <c r="M704" s="30" t="str">
        <f aca="false">IF(K704&lt;判定条件!$C$6,"判定不能",IF(L704&gt;=判定条件!$C$7*K704,"運転",IF(L704&lt;=判定条件!$C$8*K704,"停止","断続")))</f>
        <v>停止</v>
      </c>
      <c r="N704" s="30" t="n">
        <v>60</v>
      </c>
      <c r="O704" s="30" t="n">
        <v>0</v>
      </c>
      <c r="P704" s="30" t="str">
        <f aca="false">IF(N704&lt;判定条件!$C$6,"判定不能",IF(O704&gt;=判定条件!$C$7*N704,"運転",IF(O704&lt;=判定条件!$C$8*N704,"停止","断続")))</f>
        <v>停止</v>
      </c>
      <c r="Q704" s="30" t="n">
        <v>0</v>
      </c>
      <c r="R704" s="30" t="n">
        <v>0</v>
      </c>
      <c r="S704" s="30" t="str">
        <f aca="false">IF(Q704&lt;判定条件!$C$6,"判定不能",IF(R704&gt;=判定条件!$C$7*Q704,"運転",IF(R704&lt;=判定条件!$C$8*Q704,"停止","断続")))</f>
        <v>判定不能</v>
      </c>
      <c r="T704" s="30" t="n">
        <v>60</v>
      </c>
      <c r="U704" s="30" t="n">
        <v>0</v>
      </c>
      <c r="V704" s="30" t="str">
        <f aca="false">IF(T704&lt;判定条件!$C$6,"判定不能",IF(U704&gt;=判定条件!$C$7*T704,"運転",IF(U704&lt;=判定条件!$C$8*T704,"停止","断続")))</f>
        <v>停止</v>
      </c>
      <c r="W704" s="30" t="n">
        <v>60</v>
      </c>
      <c r="X704" s="30" t="n">
        <v>0</v>
      </c>
      <c r="Y704" s="30" t="str">
        <f aca="false">IF(W704&lt;判定条件!$C$6,"判定不能",IF(X704&gt;=判定条件!$C$7*W704,"運転",IF(X704&lt;=判定条件!$C$8*W704,"停止","断続")))</f>
        <v>停止</v>
      </c>
      <c r="Z704" s="30" t="n">
        <v>60</v>
      </c>
      <c r="AA704" s="30" t="n">
        <v>0</v>
      </c>
      <c r="AB704" s="30" t="str">
        <f aca="false">IF(Z704&lt;判定条件!$C$6,"判定不能",IF(AA704&gt;=判定条件!$C$7*Z704,"運転",IF(AA704&lt;=判定条件!$C$8*Z704,"停止","断続")))</f>
        <v>停止</v>
      </c>
      <c r="AC704" s="30" t="n">
        <v>60</v>
      </c>
      <c r="AD704" s="30" t="n">
        <v>0</v>
      </c>
      <c r="AE704" s="30" t="str">
        <f aca="false">IF(AC704&lt;判定条件!$C$6,"判定不能",IF(AD704&gt;=判定条件!$C$7*AC704,"運転",IF(AD704&lt;=判定条件!$C$8*AC704,"停止","断続")))</f>
        <v>停止</v>
      </c>
      <c r="AF704" s="30" t="n">
        <v>60</v>
      </c>
      <c r="AG704" s="30" t="n">
        <v>0</v>
      </c>
      <c r="AH704" s="30" t="str">
        <f aca="false">IF(OR(P704="判定不能",G704="判定不能"),"判定不能",IF(AG704&gt;=判定条件!$C$9,"利用可",IF(AND(P704="停止",G704="停止"),"両方停止","運転がそろわない")))</f>
        <v>両方停止</v>
      </c>
      <c r="AI704" s="30" t="n">
        <v>0</v>
      </c>
      <c r="AJ704" s="30" t="n">
        <v>0</v>
      </c>
      <c r="AK704" s="30" t="str">
        <f aca="false">IF(OR(S704="判定不能",J704="判定不能"),"判定不能",IF(AJ704&gt;=判定条件!$C$9,"利用可",IF(AND(S704="停止",J704="停止"),"両方停止","運転がそろわない")))</f>
        <v>判定不能</v>
      </c>
      <c r="AL704" s="30" t="n">
        <v>60</v>
      </c>
      <c r="AM704" s="30" t="n">
        <v>0</v>
      </c>
      <c r="AN704" s="30" t="str">
        <f aca="false">IF(OR(V704="判定不能",M704="判定不能"),"判定不能",IF(AM704&gt;=判定条件!$C$9,"利用可",IF(AND(V704="停止",M704="停止"),"両方停止","運転がそろわない")))</f>
        <v>両方停止</v>
      </c>
      <c r="AO704" s="30" t="n">
        <v>60</v>
      </c>
      <c r="AP704" s="30" t="n">
        <v>0</v>
      </c>
      <c r="AQ704" s="30" t="str">
        <f aca="false">IF(OR(Y704="判定不能",G704="判定不能"),"判定不能",IF(AP704&gt;=判定条件!$C$9,"利用可",IF(AND(Y704="停止",G704="停止"),"両方停止","運転がそろわない")))</f>
        <v>両方停止</v>
      </c>
      <c r="AR704" s="30" t="n">
        <v>60</v>
      </c>
      <c r="AS704" s="30" t="n">
        <v>0</v>
      </c>
      <c r="AT704" s="30" t="str">
        <f aca="false">IF(OR(AB704="判定不能",J704="判定不能"),"判定不能",IF(AS704&gt;=判定条件!$C$9,"利用可",IF(AND(AB704="停止",J704="停止"),"両方停止","運転がそろわない")))</f>
        <v>両方停止</v>
      </c>
      <c r="AU704" s="30" t="n">
        <v>60</v>
      </c>
      <c r="AV704" s="30" t="n">
        <v>0</v>
      </c>
      <c r="AW704" s="30" t="str">
        <f aca="false">IF(OR(AE704="判定不能",M704="判定不能"),"判定不能",IF(AV704&gt;=判定条件!$C$9,"利用可",IF(AND(AE704="停止",M704="停止"),"両方停止","運転がそろわない")))</f>
        <v>両方停止</v>
      </c>
      <c r="AX704" s="30" t="str">
        <f aca="false">IF(AND(AH704="利用可",AK704="利用可",AN704="利用可"),"利用可","不可")</f>
        <v>不可</v>
      </c>
      <c r="AY704" s="30" t="str">
        <f aca="false">IF(AND(AQ704="利用可",AT704="利用可",AW704="利用可"),"利用可","不可")</f>
        <v>不可</v>
      </c>
    </row>
    <row r="705" customFormat="false" ht="15" hidden="false" customHeight="false" outlineLevel="0" collapsed="false">
      <c r="A705" s="29" t="n">
        <v>46261</v>
      </c>
      <c r="B705" s="30" t="n">
        <v>6</v>
      </c>
      <c r="C705" s="31" t="s">
        <v>61</v>
      </c>
      <c r="D705" s="31" t="s">
        <v>59</v>
      </c>
      <c r="E705" s="30" t="n">
        <v>60</v>
      </c>
      <c r="F705" s="30" t="n">
        <v>0</v>
      </c>
      <c r="G705" s="30" t="str">
        <f aca="false">IF(E705&lt;判定条件!$C$6,"判定不能",IF(F705&gt;=判定条件!$C$7*E705,"運転",IF(F705&lt;=判定条件!$C$8*E705,"停止","断続")))</f>
        <v>停止</v>
      </c>
      <c r="H705" s="30" t="n">
        <v>60</v>
      </c>
      <c r="I705" s="30" t="n">
        <v>0</v>
      </c>
      <c r="J705" s="30" t="str">
        <f aca="false">IF(H705&lt;判定条件!$C$6,"判定不能",IF(I705&gt;=判定条件!$C$7*H705,"運転",IF(I705&lt;=判定条件!$C$8*H705,"停止","断続")))</f>
        <v>停止</v>
      </c>
      <c r="K705" s="30" t="n">
        <v>60</v>
      </c>
      <c r="L705" s="30" t="n">
        <v>0</v>
      </c>
      <c r="M705" s="30" t="str">
        <f aca="false">IF(K705&lt;判定条件!$C$6,"判定不能",IF(L705&gt;=判定条件!$C$7*K705,"運転",IF(L705&lt;=判定条件!$C$8*K705,"停止","断続")))</f>
        <v>停止</v>
      </c>
      <c r="N705" s="30" t="n">
        <v>60</v>
      </c>
      <c r="O705" s="30" t="n">
        <v>0</v>
      </c>
      <c r="P705" s="30" t="str">
        <f aca="false">IF(N705&lt;判定条件!$C$6,"判定不能",IF(O705&gt;=判定条件!$C$7*N705,"運転",IF(O705&lt;=判定条件!$C$8*N705,"停止","断続")))</f>
        <v>停止</v>
      </c>
      <c r="Q705" s="30" t="n">
        <v>0</v>
      </c>
      <c r="R705" s="30" t="n">
        <v>0</v>
      </c>
      <c r="S705" s="30" t="str">
        <f aca="false">IF(Q705&lt;判定条件!$C$6,"判定不能",IF(R705&gt;=判定条件!$C$7*Q705,"運転",IF(R705&lt;=判定条件!$C$8*Q705,"停止","断続")))</f>
        <v>判定不能</v>
      </c>
      <c r="T705" s="30" t="n">
        <v>60</v>
      </c>
      <c r="U705" s="30" t="n">
        <v>7</v>
      </c>
      <c r="V705" s="30" t="str">
        <f aca="false">IF(T705&lt;判定条件!$C$6,"判定不能",IF(U705&gt;=判定条件!$C$7*T705,"運転",IF(U705&lt;=判定条件!$C$8*T705,"停止","断続")))</f>
        <v>停止</v>
      </c>
      <c r="W705" s="30" t="n">
        <v>60</v>
      </c>
      <c r="X705" s="30" t="n">
        <v>36</v>
      </c>
      <c r="Y705" s="30" t="str">
        <f aca="false">IF(W705&lt;判定条件!$C$6,"判定不能",IF(X705&gt;=判定条件!$C$7*W705,"運転",IF(X705&lt;=判定条件!$C$8*W705,"停止","断続")))</f>
        <v>断続</v>
      </c>
      <c r="Z705" s="30" t="n">
        <v>60</v>
      </c>
      <c r="AA705" s="30" t="n">
        <v>33</v>
      </c>
      <c r="AB705" s="30" t="str">
        <f aca="false">IF(Z705&lt;判定条件!$C$6,"判定不能",IF(AA705&gt;=判定条件!$C$7*Z705,"運転",IF(AA705&lt;=判定条件!$C$8*Z705,"停止","断続")))</f>
        <v>断続</v>
      </c>
      <c r="AC705" s="30" t="n">
        <v>60</v>
      </c>
      <c r="AD705" s="30" t="n">
        <v>33</v>
      </c>
      <c r="AE705" s="30" t="str">
        <f aca="false">IF(AC705&lt;判定条件!$C$6,"判定不能",IF(AD705&gt;=判定条件!$C$7*AC705,"運転",IF(AD705&lt;=判定条件!$C$8*AC705,"停止","断続")))</f>
        <v>断続</v>
      </c>
      <c r="AF705" s="30" t="n">
        <v>60</v>
      </c>
      <c r="AG705" s="30" t="n">
        <v>0</v>
      </c>
      <c r="AH705" s="30" t="str">
        <f aca="false">IF(OR(P705="判定不能",G705="判定不能"),"判定不能",IF(AG705&gt;=判定条件!$C$9,"利用可",IF(AND(P705="停止",G705="停止"),"両方停止","運転がそろわない")))</f>
        <v>両方停止</v>
      </c>
      <c r="AI705" s="30" t="n">
        <v>0</v>
      </c>
      <c r="AJ705" s="30" t="n">
        <v>0</v>
      </c>
      <c r="AK705" s="30" t="str">
        <f aca="false">IF(OR(S705="判定不能",J705="判定不能"),"判定不能",IF(AJ705&gt;=判定条件!$C$9,"利用可",IF(AND(S705="停止",J705="停止"),"両方停止","運転がそろわない")))</f>
        <v>判定不能</v>
      </c>
      <c r="AL705" s="30" t="n">
        <v>60</v>
      </c>
      <c r="AM705" s="30" t="n">
        <v>0</v>
      </c>
      <c r="AN705" s="30" t="str">
        <f aca="false">IF(OR(V705="判定不能",M705="判定不能"),"判定不能",IF(AM705&gt;=判定条件!$C$9,"利用可",IF(AND(V705="停止",M705="停止"),"両方停止","運転がそろわない")))</f>
        <v>両方停止</v>
      </c>
      <c r="AO705" s="30" t="n">
        <v>60</v>
      </c>
      <c r="AP705" s="30" t="n">
        <v>0</v>
      </c>
      <c r="AQ705" s="30" t="str">
        <f aca="false">IF(OR(Y705="判定不能",G705="判定不能"),"判定不能",IF(AP705&gt;=判定条件!$C$9,"利用可",IF(AND(Y705="停止",G705="停止"),"両方停止","運転がそろわない")))</f>
        <v>運転がそろわない</v>
      </c>
      <c r="AR705" s="30" t="n">
        <v>60</v>
      </c>
      <c r="AS705" s="30" t="n">
        <v>0</v>
      </c>
      <c r="AT705" s="30" t="str">
        <f aca="false">IF(OR(AB705="判定不能",J705="判定不能"),"判定不能",IF(AS705&gt;=判定条件!$C$9,"利用可",IF(AND(AB705="停止",J705="停止"),"両方停止","運転がそろわない")))</f>
        <v>運転がそろわない</v>
      </c>
      <c r="AU705" s="30" t="n">
        <v>60</v>
      </c>
      <c r="AV705" s="30" t="n">
        <v>0</v>
      </c>
      <c r="AW705" s="30" t="str">
        <f aca="false">IF(OR(AE705="判定不能",M705="判定不能"),"判定不能",IF(AV705&gt;=判定条件!$C$9,"利用可",IF(AND(AE705="停止",M705="停止"),"両方停止","運転がそろわない")))</f>
        <v>運転がそろわない</v>
      </c>
      <c r="AX705" s="30" t="str">
        <f aca="false">IF(AND(AH705="利用可",AK705="利用可",AN705="利用可"),"利用可","不可")</f>
        <v>不可</v>
      </c>
      <c r="AY705" s="30" t="str">
        <f aca="false">IF(AND(AQ705="利用可",AT705="利用可",AW705="利用可"),"利用可","不可")</f>
        <v>不可</v>
      </c>
    </row>
    <row r="706" customFormat="false" ht="15" hidden="false" customHeight="false" outlineLevel="0" collapsed="false">
      <c r="A706" s="29" t="n">
        <v>46261</v>
      </c>
      <c r="B706" s="30" t="n">
        <v>7</v>
      </c>
      <c r="C706" s="31" t="s">
        <v>61</v>
      </c>
      <c r="D706" s="31" t="s">
        <v>59</v>
      </c>
      <c r="E706" s="30" t="n">
        <v>60</v>
      </c>
      <c r="F706" s="30" t="n">
        <v>0</v>
      </c>
      <c r="G706" s="30" t="str">
        <f aca="false">IF(E706&lt;判定条件!$C$6,"判定不能",IF(F706&gt;=判定条件!$C$7*E706,"運転",IF(F706&lt;=判定条件!$C$8*E706,"停止","断続")))</f>
        <v>停止</v>
      </c>
      <c r="H706" s="30" t="n">
        <v>60</v>
      </c>
      <c r="I706" s="30" t="n">
        <v>0</v>
      </c>
      <c r="J706" s="30" t="str">
        <f aca="false">IF(H706&lt;判定条件!$C$6,"判定不能",IF(I706&gt;=判定条件!$C$7*H706,"運転",IF(I706&lt;=判定条件!$C$8*H706,"停止","断続")))</f>
        <v>停止</v>
      </c>
      <c r="K706" s="30" t="n">
        <v>60</v>
      </c>
      <c r="L706" s="30" t="n">
        <v>0</v>
      </c>
      <c r="M706" s="30" t="str">
        <f aca="false">IF(K706&lt;判定条件!$C$6,"判定不能",IF(L706&gt;=判定条件!$C$7*K706,"運転",IF(L706&lt;=判定条件!$C$8*K706,"停止","断続")))</f>
        <v>停止</v>
      </c>
      <c r="N706" s="30" t="n">
        <v>60</v>
      </c>
      <c r="O706" s="30" t="n">
        <v>0</v>
      </c>
      <c r="P706" s="30" t="str">
        <f aca="false">IF(N706&lt;判定条件!$C$6,"判定不能",IF(O706&gt;=判定条件!$C$7*N706,"運転",IF(O706&lt;=判定条件!$C$8*N706,"停止","断続")))</f>
        <v>停止</v>
      </c>
      <c r="Q706" s="30" t="n">
        <v>0</v>
      </c>
      <c r="R706" s="30" t="n">
        <v>0</v>
      </c>
      <c r="S706" s="30" t="str">
        <f aca="false">IF(Q706&lt;判定条件!$C$6,"判定不能",IF(R706&gt;=判定条件!$C$7*Q706,"運転",IF(R706&lt;=判定条件!$C$8*Q706,"停止","断続")))</f>
        <v>判定不能</v>
      </c>
      <c r="T706" s="30" t="n">
        <v>60</v>
      </c>
      <c r="U706" s="30" t="n">
        <v>60</v>
      </c>
      <c r="V706" s="30" t="str">
        <f aca="false">IF(T706&lt;判定条件!$C$6,"判定不能",IF(U706&gt;=判定条件!$C$7*T706,"運転",IF(U706&lt;=判定条件!$C$8*T706,"停止","断続")))</f>
        <v>運転</v>
      </c>
      <c r="W706" s="30" t="n">
        <v>60</v>
      </c>
      <c r="X706" s="30" t="n">
        <v>43</v>
      </c>
      <c r="Y706" s="30" t="str">
        <f aca="false">IF(W706&lt;判定条件!$C$6,"判定不能",IF(X706&gt;=判定条件!$C$7*W706,"運転",IF(X706&lt;=判定条件!$C$8*W706,"停止","断続")))</f>
        <v>断続</v>
      </c>
      <c r="Z706" s="30" t="n">
        <v>60</v>
      </c>
      <c r="AA706" s="30" t="n">
        <v>60</v>
      </c>
      <c r="AB706" s="30" t="str">
        <f aca="false">IF(Z706&lt;判定条件!$C$6,"判定不能",IF(AA706&gt;=判定条件!$C$7*Z706,"運転",IF(AA706&lt;=判定条件!$C$8*Z706,"停止","断続")))</f>
        <v>運転</v>
      </c>
      <c r="AC706" s="30" t="n">
        <v>60</v>
      </c>
      <c r="AD706" s="30" t="n">
        <v>49</v>
      </c>
      <c r="AE706" s="30" t="str">
        <f aca="false">IF(AC706&lt;判定条件!$C$6,"判定不能",IF(AD706&gt;=判定条件!$C$7*AC706,"運転",IF(AD706&lt;=判定条件!$C$8*AC706,"停止","断続")))</f>
        <v>運転</v>
      </c>
      <c r="AF706" s="30" t="n">
        <v>60</v>
      </c>
      <c r="AG706" s="30" t="n">
        <v>0</v>
      </c>
      <c r="AH706" s="30" t="str">
        <f aca="false">IF(OR(P706="判定不能",G706="判定不能"),"判定不能",IF(AG706&gt;=判定条件!$C$9,"利用可",IF(AND(P706="停止",G706="停止"),"両方停止","運転がそろわない")))</f>
        <v>両方停止</v>
      </c>
      <c r="AI706" s="30" t="n">
        <v>0</v>
      </c>
      <c r="AJ706" s="30" t="n">
        <v>0</v>
      </c>
      <c r="AK706" s="30" t="str">
        <f aca="false">IF(OR(S706="判定不能",J706="判定不能"),"判定不能",IF(AJ706&gt;=判定条件!$C$9,"利用可",IF(AND(S706="停止",J706="停止"),"両方停止","運転がそろわない")))</f>
        <v>判定不能</v>
      </c>
      <c r="AL706" s="30" t="n">
        <v>60</v>
      </c>
      <c r="AM706" s="30" t="n">
        <v>0</v>
      </c>
      <c r="AN706" s="30" t="str">
        <f aca="false">IF(OR(V706="判定不能",M706="判定不能"),"判定不能",IF(AM706&gt;=判定条件!$C$9,"利用可",IF(AND(V706="停止",M706="停止"),"両方停止","運転がそろわない")))</f>
        <v>運転がそろわない</v>
      </c>
      <c r="AO706" s="30" t="n">
        <v>60</v>
      </c>
      <c r="AP706" s="30" t="n">
        <v>0</v>
      </c>
      <c r="AQ706" s="30" t="str">
        <f aca="false">IF(OR(Y706="判定不能",G706="判定不能"),"判定不能",IF(AP706&gt;=判定条件!$C$9,"利用可",IF(AND(Y706="停止",G706="停止"),"両方停止","運転がそろわない")))</f>
        <v>運転がそろわない</v>
      </c>
      <c r="AR706" s="30" t="n">
        <v>60</v>
      </c>
      <c r="AS706" s="30" t="n">
        <v>0</v>
      </c>
      <c r="AT706" s="30" t="str">
        <f aca="false">IF(OR(AB706="判定不能",J706="判定不能"),"判定不能",IF(AS706&gt;=判定条件!$C$9,"利用可",IF(AND(AB706="停止",J706="停止"),"両方停止","運転がそろわない")))</f>
        <v>運転がそろわない</v>
      </c>
      <c r="AU706" s="30" t="n">
        <v>60</v>
      </c>
      <c r="AV706" s="30" t="n">
        <v>0</v>
      </c>
      <c r="AW706" s="30" t="str">
        <f aca="false">IF(OR(AE706="判定不能",M706="判定不能"),"判定不能",IF(AV706&gt;=判定条件!$C$9,"利用可",IF(AND(AE706="停止",M706="停止"),"両方停止","運転がそろわない")))</f>
        <v>運転がそろわない</v>
      </c>
      <c r="AX706" s="30" t="str">
        <f aca="false">IF(AND(AH706="利用可",AK706="利用可",AN706="利用可"),"利用可","不可")</f>
        <v>不可</v>
      </c>
      <c r="AY706" s="30" t="str">
        <f aca="false">IF(AND(AQ706="利用可",AT706="利用可",AW706="利用可"),"利用可","不可")</f>
        <v>不可</v>
      </c>
    </row>
    <row r="707" customFormat="false" ht="15" hidden="false" customHeight="false" outlineLevel="0" collapsed="false">
      <c r="A707" s="29" t="n">
        <v>46261</v>
      </c>
      <c r="B707" s="30" t="n">
        <v>8</v>
      </c>
      <c r="C707" s="31" t="s">
        <v>61</v>
      </c>
      <c r="D707" s="31" t="s">
        <v>59</v>
      </c>
      <c r="E707" s="30" t="n">
        <v>60</v>
      </c>
      <c r="F707" s="30" t="n">
        <v>41</v>
      </c>
      <c r="G707" s="30" t="str">
        <f aca="false">IF(E707&lt;判定条件!$C$6,"判定不能",IF(F707&gt;=判定条件!$C$7*E707,"運転",IF(F707&lt;=判定条件!$C$8*E707,"停止","断続")))</f>
        <v>断続</v>
      </c>
      <c r="H707" s="30" t="n">
        <v>60</v>
      </c>
      <c r="I707" s="30" t="n">
        <v>38</v>
      </c>
      <c r="J707" s="30" t="str">
        <f aca="false">IF(H707&lt;判定条件!$C$6,"判定不能",IF(I707&gt;=判定条件!$C$7*H707,"運転",IF(I707&lt;=判定条件!$C$8*H707,"停止","断続")))</f>
        <v>断続</v>
      </c>
      <c r="K707" s="30" t="n">
        <v>60</v>
      </c>
      <c r="L707" s="30" t="n">
        <v>29</v>
      </c>
      <c r="M707" s="30" t="str">
        <f aca="false">IF(K707&lt;判定条件!$C$6,"判定不能",IF(L707&gt;=判定条件!$C$7*K707,"運転",IF(L707&lt;=判定条件!$C$8*K707,"停止","断続")))</f>
        <v>断続</v>
      </c>
      <c r="N707" s="30" t="n">
        <v>60</v>
      </c>
      <c r="O707" s="30" t="n">
        <v>60</v>
      </c>
      <c r="P707" s="30" t="str">
        <f aca="false">IF(N707&lt;判定条件!$C$6,"判定不能",IF(O707&gt;=判定条件!$C$7*N707,"運転",IF(O707&lt;=判定条件!$C$8*N707,"停止","断続")))</f>
        <v>運転</v>
      </c>
      <c r="Q707" s="30" t="n">
        <v>0</v>
      </c>
      <c r="R707" s="30" t="n">
        <v>0</v>
      </c>
      <c r="S707" s="30" t="str">
        <f aca="false">IF(Q707&lt;判定条件!$C$6,"判定不能",IF(R707&gt;=判定条件!$C$7*Q707,"運転",IF(R707&lt;=判定条件!$C$8*Q707,"停止","断続")))</f>
        <v>判定不能</v>
      </c>
      <c r="T707" s="30" t="n">
        <v>60</v>
      </c>
      <c r="U707" s="30" t="n">
        <v>60</v>
      </c>
      <c r="V707" s="30" t="str">
        <f aca="false">IF(T707&lt;判定条件!$C$6,"判定不能",IF(U707&gt;=判定条件!$C$7*T707,"運転",IF(U707&lt;=判定条件!$C$8*T707,"停止","断続")))</f>
        <v>運転</v>
      </c>
      <c r="W707" s="30" t="n">
        <v>60</v>
      </c>
      <c r="X707" s="30" t="n">
        <v>60</v>
      </c>
      <c r="Y707" s="30" t="str">
        <f aca="false">IF(W707&lt;判定条件!$C$6,"判定不能",IF(X707&gt;=判定条件!$C$7*W707,"運転",IF(X707&lt;=判定条件!$C$8*W707,"停止","断続")))</f>
        <v>運転</v>
      </c>
      <c r="Z707" s="30" t="n">
        <v>60</v>
      </c>
      <c r="AA707" s="30" t="n">
        <v>60</v>
      </c>
      <c r="AB707" s="30" t="str">
        <f aca="false">IF(Z707&lt;判定条件!$C$6,"判定不能",IF(AA707&gt;=判定条件!$C$7*Z707,"運転",IF(AA707&lt;=判定条件!$C$8*Z707,"停止","断続")))</f>
        <v>運転</v>
      </c>
      <c r="AC707" s="30" t="n">
        <v>60</v>
      </c>
      <c r="AD707" s="30" t="n">
        <v>54</v>
      </c>
      <c r="AE707" s="30" t="str">
        <f aca="false">IF(AC707&lt;判定条件!$C$6,"判定不能",IF(AD707&gt;=判定条件!$C$7*AC707,"運転",IF(AD707&lt;=判定条件!$C$8*AC707,"停止","断続")))</f>
        <v>運転</v>
      </c>
      <c r="AF707" s="30" t="n">
        <v>60</v>
      </c>
      <c r="AG707" s="30" t="n">
        <v>41</v>
      </c>
      <c r="AH707" s="30" t="str">
        <f aca="false">IF(OR(P707="判定不能",G707="判定不能"),"判定不能",IF(AG707&gt;=判定条件!$C$9,"利用可",IF(AND(P707="停止",G707="停止"),"両方停止","運転がそろわない")))</f>
        <v>利用可</v>
      </c>
      <c r="AI707" s="30" t="n">
        <v>0</v>
      </c>
      <c r="AJ707" s="30" t="n">
        <v>0</v>
      </c>
      <c r="AK707" s="30" t="str">
        <f aca="false">IF(OR(S707="判定不能",J707="判定不能"),"判定不能",IF(AJ707&gt;=判定条件!$C$9,"利用可",IF(AND(S707="停止",J707="停止"),"両方停止","運転がそろわない")))</f>
        <v>判定不能</v>
      </c>
      <c r="AL707" s="30" t="n">
        <v>60</v>
      </c>
      <c r="AM707" s="30" t="n">
        <v>29</v>
      </c>
      <c r="AN707" s="30" t="str">
        <f aca="false">IF(OR(V707="判定不能",M707="判定不能"),"判定不能",IF(AM707&gt;=判定条件!$C$9,"利用可",IF(AND(V707="停止",M707="停止"),"両方停止","運転がそろわない")))</f>
        <v>運転がそろわない</v>
      </c>
      <c r="AO707" s="30" t="n">
        <v>60</v>
      </c>
      <c r="AP707" s="30" t="n">
        <v>41</v>
      </c>
      <c r="AQ707" s="30" t="str">
        <f aca="false">IF(OR(Y707="判定不能",G707="判定不能"),"判定不能",IF(AP707&gt;=判定条件!$C$9,"利用可",IF(AND(Y707="停止",G707="停止"),"両方停止","運転がそろわない")))</f>
        <v>利用可</v>
      </c>
      <c r="AR707" s="30" t="n">
        <v>60</v>
      </c>
      <c r="AS707" s="30" t="n">
        <v>38</v>
      </c>
      <c r="AT707" s="30" t="str">
        <f aca="false">IF(OR(AB707="判定不能",J707="判定不能"),"判定不能",IF(AS707&gt;=判定条件!$C$9,"利用可",IF(AND(AB707="停止",J707="停止"),"両方停止","運転がそろわない")))</f>
        <v>利用可</v>
      </c>
      <c r="AU707" s="30" t="n">
        <v>60</v>
      </c>
      <c r="AV707" s="30" t="n">
        <v>23</v>
      </c>
      <c r="AW707" s="30" t="str">
        <f aca="false">IF(OR(AE707="判定不能",M707="判定不能"),"判定不能",IF(AV707&gt;=判定条件!$C$9,"利用可",IF(AND(AE707="停止",M707="停止"),"両方停止","運転がそろわない")))</f>
        <v>運転がそろわない</v>
      </c>
      <c r="AX707" s="30" t="str">
        <f aca="false">IF(AND(AH707="利用可",AK707="利用可",AN707="利用可"),"利用可","不可")</f>
        <v>不可</v>
      </c>
      <c r="AY707" s="30" t="str">
        <f aca="false">IF(AND(AQ707="利用可",AT707="利用可",AW707="利用可"),"利用可","不可")</f>
        <v>不可</v>
      </c>
    </row>
    <row r="708" customFormat="false" ht="15" hidden="false" customHeight="false" outlineLevel="0" collapsed="false">
      <c r="A708" s="29" t="n">
        <v>46261</v>
      </c>
      <c r="B708" s="30" t="n">
        <v>9</v>
      </c>
      <c r="C708" s="31" t="s">
        <v>61</v>
      </c>
      <c r="D708" s="31" t="s">
        <v>59</v>
      </c>
      <c r="E708" s="30" t="n">
        <v>60</v>
      </c>
      <c r="F708" s="30" t="n">
        <v>60</v>
      </c>
      <c r="G708" s="30" t="str">
        <f aca="false">IF(E708&lt;判定条件!$C$6,"判定不能",IF(F708&gt;=判定条件!$C$7*E708,"運転",IF(F708&lt;=判定条件!$C$8*E708,"停止","断続")))</f>
        <v>運転</v>
      </c>
      <c r="H708" s="30" t="n">
        <v>60</v>
      </c>
      <c r="I708" s="30" t="n">
        <v>60</v>
      </c>
      <c r="J708" s="30" t="str">
        <f aca="false">IF(H708&lt;判定条件!$C$6,"判定不能",IF(I708&gt;=判定条件!$C$7*H708,"運転",IF(I708&lt;=判定条件!$C$8*H708,"停止","断続")))</f>
        <v>運転</v>
      </c>
      <c r="K708" s="30" t="n">
        <v>60</v>
      </c>
      <c r="L708" s="30" t="n">
        <v>60</v>
      </c>
      <c r="M708" s="30" t="str">
        <f aca="false">IF(K708&lt;判定条件!$C$6,"判定不能",IF(L708&gt;=判定条件!$C$7*K708,"運転",IF(L708&lt;=判定条件!$C$8*K708,"停止","断続")))</f>
        <v>運転</v>
      </c>
      <c r="N708" s="30" t="n">
        <v>60</v>
      </c>
      <c r="O708" s="30" t="n">
        <v>60</v>
      </c>
      <c r="P708" s="30" t="str">
        <f aca="false">IF(N708&lt;判定条件!$C$6,"判定不能",IF(O708&gt;=判定条件!$C$7*N708,"運転",IF(O708&lt;=判定条件!$C$8*N708,"停止","断続")))</f>
        <v>運転</v>
      </c>
      <c r="Q708" s="30" t="n">
        <v>0</v>
      </c>
      <c r="R708" s="30" t="n">
        <v>0</v>
      </c>
      <c r="S708" s="30" t="str">
        <f aca="false">IF(Q708&lt;判定条件!$C$6,"判定不能",IF(R708&gt;=判定条件!$C$7*Q708,"運転",IF(R708&lt;=判定条件!$C$8*Q708,"停止","断続")))</f>
        <v>判定不能</v>
      </c>
      <c r="T708" s="30" t="n">
        <v>60</v>
      </c>
      <c r="U708" s="30" t="n">
        <v>60</v>
      </c>
      <c r="V708" s="30" t="str">
        <f aca="false">IF(T708&lt;判定条件!$C$6,"判定不能",IF(U708&gt;=判定条件!$C$7*T708,"運転",IF(U708&lt;=判定条件!$C$8*T708,"停止","断続")))</f>
        <v>運転</v>
      </c>
      <c r="W708" s="30" t="n">
        <v>60</v>
      </c>
      <c r="X708" s="30" t="n">
        <v>58</v>
      </c>
      <c r="Y708" s="30" t="str">
        <f aca="false">IF(W708&lt;判定条件!$C$6,"判定不能",IF(X708&gt;=判定条件!$C$7*W708,"運転",IF(X708&lt;=判定条件!$C$8*W708,"停止","断続")))</f>
        <v>運転</v>
      </c>
      <c r="Z708" s="30" t="n">
        <v>60</v>
      </c>
      <c r="AA708" s="30" t="n">
        <v>60</v>
      </c>
      <c r="AB708" s="30" t="str">
        <f aca="false">IF(Z708&lt;判定条件!$C$6,"判定不能",IF(AA708&gt;=判定条件!$C$7*Z708,"運転",IF(AA708&lt;=判定条件!$C$8*Z708,"停止","断続")))</f>
        <v>運転</v>
      </c>
      <c r="AC708" s="30" t="n">
        <v>60</v>
      </c>
      <c r="AD708" s="30" t="n">
        <v>51</v>
      </c>
      <c r="AE708" s="30" t="str">
        <f aca="false">IF(AC708&lt;判定条件!$C$6,"判定不能",IF(AD708&gt;=判定条件!$C$7*AC708,"運転",IF(AD708&lt;=判定条件!$C$8*AC708,"停止","断続")))</f>
        <v>運転</v>
      </c>
      <c r="AF708" s="30" t="n">
        <v>60</v>
      </c>
      <c r="AG708" s="30" t="n">
        <v>60</v>
      </c>
      <c r="AH708" s="30" t="str">
        <f aca="false">IF(OR(P708="判定不能",G708="判定不能"),"判定不能",IF(AG708&gt;=判定条件!$C$9,"利用可",IF(AND(P708="停止",G708="停止"),"両方停止","運転がそろわない")))</f>
        <v>利用可</v>
      </c>
      <c r="AI708" s="30" t="n">
        <v>0</v>
      </c>
      <c r="AJ708" s="30" t="n">
        <v>0</v>
      </c>
      <c r="AK708" s="30" t="str">
        <f aca="false">IF(OR(S708="判定不能",J708="判定不能"),"判定不能",IF(AJ708&gt;=判定条件!$C$9,"利用可",IF(AND(S708="停止",J708="停止"),"両方停止","運転がそろわない")))</f>
        <v>判定不能</v>
      </c>
      <c r="AL708" s="30" t="n">
        <v>60</v>
      </c>
      <c r="AM708" s="30" t="n">
        <v>60</v>
      </c>
      <c r="AN708" s="30" t="str">
        <f aca="false">IF(OR(V708="判定不能",M708="判定不能"),"判定不能",IF(AM708&gt;=判定条件!$C$9,"利用可",IF(AND(V708="停止",M708="停止"),"両方停止","運転がそろわない")))</f>
        <v>利用可</v>
      </c>
      <c r="AO708" s="30" t="n">
        <v>60</v>
      </c>
      <c r="AP708" s="30" t="n">
        <v>58</v>
      </c>
      <c r="AQ708" s="30" t="str">
        <f aca="false">IF(OR(Y708="判定不能",G708="判定不能"),"判定不能",IF(AP708&gt;=判定条件!$C$9,"利用可",IF(AND(Y708="停止",G708="停止"),"両方停止","運転がそろわない")))</f>
        <v>利用可</v>
      </c>
      <c r="AR708" s="30" t="n">
        <v>60</v>
      </c>
      <c r="AS708" s="30" t="n">
        <v>60</v>
      </c>
      <c r="AT708" s="30" t="str">
        <f aca="false">IF(OR(AB708="判定不能",J708="判定不能"),"判定不能",IF(AS708&gt;=判定条件!$C$9,"利用可",IF(AND(AB708="停止",J708="停止"),"両方停止","運転がそろわない")))</f>
        <v>利用可</v>
      </c>
      <c r="AU708" s="30" t="n">
        <v>60</v>
      </c>
      <c r="AV708" s="30" t="n">
        <v>51</v>
      </c>
      <c r="AW708" s="30" t="str">
        <f aca="false">IF(OR(AE708="判定不能",M708="判定不能"),"判定不能",IF(AV708&gt;=判定条件!$C$9,"利用可",IF(AND(AE708="停止",M708="停止"),"両方停止","運転がそろわない")))</f>
        <v>利用可</v>
      </c>
      <c r="AX708" s="30" t="str">
        <f aca="false">IF(AND(AH708="利用可",AK708="利用可",AN708="利用可"),"利用可","不可")</f>
        <v>不可</v>
      </c>
      <c r="AY708" s="30" t="str">
        <f aca="false">IF(AND(AQ708="利用可",AT708="利用可",AW708="利用可"),"利用可","不可")</f>
        <v>利用可</v>
      </c>
    </row>
    <row r="709" customFormat="false" ht="15" hidden="false" customHeight="false" outlineLevel="0" collapsed="false">
      <c r="A709" s="29" t="n">
        <v>46261</v>
      </c>
      <c r="B709" s="30" t="n">
        <v>10</v>
      </c>
      <c r="C709" s="31" t="s">
        <v>61</v>
      </c>
      <c r="D709" s="31" t="s">
        <v>59</v>
      </c>
      <c r="E709" s="30" t="n">
        <v>60</v>
      </c>
      <c r="F709" s="30" t="n">
        <v>60</v>
      </c>
      <c r="G709" s="30" t="str">
        <f aca="false">IF(E709&lt;判定条件!$C$6,"判定不能",IF(F709&gt;=判定条件!$C$7*E709,"運転",IF(F709&lt;=判定条件!$C$8*E709,"停止","断続")))</f>
        <v>運転</v>
      </c>
      <c r="H709" s="30" t="n">
        <v>60</v>
      </c>
      <c r="I709" s="30" t="n">
        <v>60</v>
      </c>
      <c r="J709" s="30" t="str">
        <f aca="false">IF(H709&lt;判定条件!$C$6,"判定不能",IF(I709&gt;=判定条件!$C$7*H709,"運転",IF(I709&lt;=判定条件!$C$8*H709,"停止","断続")))</f>
        <v>運転</v>
      </c>
      <c r="K709" s="30" t="n">
        <v>60</v>
      </c>
      <c r="L709" s="30" t="n">
        <v>60</v>
      </c>
      <c r="M709" s="30" t="str">
        <f aca="false">IF(K709&lt;判定条件!$C$6,"判定不能",IF(L709&gt;=判定条件!$C$7*K709,"運転",IF(L709&lt;=判定条件!$C$8*K709,"停止","断続")))</f>
        <v>運転</v>
      </c>
      <c r="N709" s="30" t="n">
        <v>60</v>
      </c>
      <c r="O709" s="30" t="n">
        <v>60</v>
      </c>
      <c r="P709" s="30" t="str">
        <f aca="false">IF(N709&lt;判定条件!$C$6,"判定不能",IF(O709&gt;=判定条件!$C$7*N709,"運転",IF(O709&lt;=判定条件!$C$8*N709,"停止","断続")))</f>
        <v>運転</v>
      </c>
      <c r="Q709" s="30" t="n">
        <v>0</v>
      </c>
      <c r="R709" s="30" t="n">
        <v>0</v>
      </c>
      <c r="S709" s="30" t="str">
        <f aca="false">IF(Q709&lt;判定条件!$C$6,"判定不能",IF(R709&gt;=判定条件!$C$7*Q709,"運転",IF(R709&lt;=判定条件!$C$8*Q709,"停止","断続")))</f>
        <v>判定不能</v>
      </c>
      <c r="T709" s="30" t="n">
        <v>60</v>
      </c>
      <c r="U709" s="30" t="n">
        <v>60</v>
      </c>
      <c r="V709" s="30" t="str">
        <f aca="false">IF(T709&lt;判定条件!$C$6,"判定不能",IF(U709&gt;=判定条件!$C$7*T709,"運転",IF(U709&lt;=判定条件!$C$8*T709,"停止","断続")))</f>
        <v>運転</v>
      </c>
      <c r="W709" s="30" t="n">
        <v>60</v>
      </c>
      <c r="X709" s="30" t="n">
        <v>47</v>
      </c>
      <c r="Y709" s="30" t="str">
        <f aca="false">IF(W709&lt;判定条件!$C$6,"判定不能",IF(X709&gt;=判定条件!$C$7*W709,"運転",IF(X709&lt;=判定条件!$C$8*W709,"停止","断続")))</f>
        <v>断続</v>
      </c>
      <c r="Z709" s="30" t="n">
        <v>60</v>
      </c>
      <c r="AA709" s="30" t="n">
        <v>53</v>
      </c>
      <c r="AB709" s="30" t="str">
        <f aca="false">IF(Z709&lt;判定条件!$C$6,"判定不能",IF(AA709&gt;=判定条件!$C$7*Z709,"運転",IF(AA709&lt;=判定条件!$C$8*Z709,"停止","断続")))</f>
        <v>運転</v>
      </c>
      <c r="AC709" s="30" t="n">
        <v>60</v>
      </c>
      <c r="AD709" s="30" t="n">
        <v>60</v>
      </c>
      <c r="AE709" s="30" t="str">
        <f aca="false">IF(AC709&lt;判定条件!$C$6,"判定不能",IF(AD709&gt;=判定条件!$C$7*AC709,"運転",IF(AD709&lt;=判定条件!$C$8*AC709,"停止","断続")))</f>
        <v>運転</v>
      </c>
      <c r="AF709" s="30" t="n">
        <v>60</v>
      </c>
      <c r="AG709" s="30" t="n">
        <v>60</v>
      </c>
      <c r="AH709" s="30" t="str">
        <f aca="false">IF(OR(P709="判定不能",G709="判定不能"),"判定不能",IF(AG709&gt;=判定条件!$C$9,"利用可",IF(AND(P709="停止",G709="停止"),"両方停止","運転がそろわない")))</f>
        <v>利用可</v>
      </c>
      <c r="AI709" s="30" t="n">
        <v>0</v>
      </c>
      <c r="AJ709" s="30" t="n">
        <v>0</v>
      </c>
      <c r="AK709" s="30" t="str">
        <f aca="false">IF(OR(S709="判定不能",J709="判定不能"),"判定不能",IF(AJ709&gt;=判定条件!$C$9,"利用可",IF(AND(S709="停止",J709="停止"),"両方停止","運転がそろわない")))</f>
        <v>判定不能</v>
      </c>
      <c r="AL709" s="30" t="n">
        <v>60</v>
      </c>
      <c r="AM709" s="30" t="n">
        <v>60</v>
      </c>
      <c r="AN709" s="30" t="str">
        <f aca="false">IF(OR(V709="判定不能",M709="判定不能"),"判定不能",IF(AM709&gt;=判定条件!$C$9,"利用可",IF(AND(V709="停止",M709="停止"),"両方停止","運転がそろわない")))</f>
        <v>利用可</v>
      </c>
      <c r="AO709" s="30" t="n">
        <v>60</v>
      </c>
      <c r="AP709" s="30" t="n">
        <v>47</v>
      </c>
      <c r="AQ709" s="30" t="str">
        <f aca="false">IF(OR(Y709="判定不能",G709="判定不能"),"判定不能",IF(AP709&gt;=判定条件!$C$9,"利用可",IF(AND(Y709="停止",G709="停止"),"両方停止","運転がそろわない")))</f>
        <v>利用可</v>
      </c>
      <c r="AR709" s="30" t="n">
        <v>60</v>
      </c>
      <c r="AS709" s="30" t="n">
        <v>53</v>
      </c>
      <c r="AT709" s="30" t="str">
        <f aca="false">IF(OR(AB709="判定不能",J709="判定不能"),"判定不能",IF(AS709&gt;=判定条件!$C$9,"利用可",IF(AND(AB709="停止",J709="停止"),"両方停止","運転がそろわない")))</f>
        <v>利用可</v>
      </c>
      <c r="AU709" s="30" t="n">
        <v>60</v>
      </c>
      <c r="AV709" s="30" t="n">
        <v>60</v>
      </c>
      <c r="AW709" s="30" t="str">
        <f aca="false">IF(OR(AE709="判定不能",M709="判定不能"),"判定不能",IF(AV709&gt;=判定条件!$C$9,"利用可",IF(AND(AE709="停止",M709="停止"),"両方停止","運転がそろわない")))</f>
        <v>利用可</v>
      </c>
      <c r="AX709" s="30" t="str">
        <f aca="false">IF(AND(AH709="利用可",AK709="利用可",AN709="利用可"),"利用可","不可")</f>
        <v>不可</v>
      </c>
      <c r="AY709" s="30" t="str">
        <f aca="false">IF(AND(AQ709="利用可",AT709="利用可",AW709="利用可"),"利用可","不可")</f>
        <v>利用可</v>
      </c>
    </row>
    <row r="710" customFormat="false" ht="15" hidden="false" customHeight="false" outlineLevel="0" collapsed="false">
      <c r="A710" s="29" t="n">
        <v>46261</v>
      </c>
      <c r="B710" s="30" t="n">
        <v>11</v>
      </c>
      <c r="C710" s="31" t="s">
        <v>61</v>
      </c>
      <c r="D710" s="31" t="s">
        <v>59</v>
      </c>
      <c r="E710" s="30" t="n">
        <v>60</v>
      </c>
      <c r="F710" s="30" t="n">
        <v>60</v>
      </c>
      <c r="G710" s="30" t="str">
        <f aca="false">IF(E710&lt;判定条件!$C$6,"判定不能",IF(F710&gt;=判定条件!$C$7*E710,"運転",IF(F710&lt;=判定条件!$C$8*E710,"停止","断続")))</f>
        <v>運転</v>
      </c>
      <c r="H710" s="30" t="n">
        <v>60</v>
      </c>
      <c r="I710" s="30" t="n">
        <v>60</v>
      </c>
      <c r="J710" s="30" t="str">
        <f aca="false">IF(H710&lt;判定条件!$C$6,"判定不能",IF(I710&gt;=判定条件!$C$7*H710,"運転",IF(I710&lt;=判定条件!$C$8*H710,"停止","断続")))</f>
        <v>運転</v>
      </c>
      <c r="K710" s="30" t="n">
        <v>60</v>
      </c>
      <c r="L710" s="30" t="n">
        <v>60</v>
      </c>
      <c r="M710" s="30" t="str">
        <f aca="false">IF(K710&lt;判定条件!$C$6,"判定不能",IF(L710&gt;=判定条件!$C$7*K710,"運転",IF(L710&lt;=判定条件!$C$8*K710,"停止","断続")))</f>
        <v>運転</v>
      </c>
      <c r="N710" s="30" t="n">
        <v>60</v>
      </c>
      <c r="O710" s="30" t="n">
        <v>60</v>
      </c>
      <c r="P710" s="30" t="str">
        <f aca="false">IF(N710&lt;判定条件!$C$6,"判定不能",IF(O710&gt;=判定条件!$C$7*N710,"運転",IF(O710&lt;=判定条件!$C$8*N710,"停止","断続")))</f>
        <v>運転</v>
      </c>
      <c r="Q710" s="30" t="n">
        <v>0</v>
      </c>
      <c r="R710" s="30" t="n">
        <v>0</v>
      </c>
      <c r="S710" s="30" t="str">
        <f aca="false">IF(Q710&lt;判定条件!$C$6,"判定不能",IF(R710&gt;=判定条件!$C$7*Q710,"運転",IF(R710&lt;=判定条件!$C$8*Q710,"停止","断続")))</f>
        <v>判定不能</v>
      </c>
      <c r="T710" s="30" t="n">
        <v>60</v>
      </c>
      <c r="U710" s="30" t="n">
        <v>58</v>
      </c>
      <c r="V710" s="30" t="str">
        <f aca="false">IF(T710&lt;判定条件!$C$6,"判定不能",IF(U710&gt;=判定条件!$C$7*T710,"運転",IF(U710&lt;=判定条件!$C$8*T710,"停止","断続")))</f>
        <v>運転</v>
      </c>
      <c r="W710" s="30" t="n">
        <v>60</v>
      </c>
      <c r="X710" s="30" t="n">
        <v>60</v>
      </c>
      <c r="Y710" s="30" t="str">
        <f aca="false">IF(W710&lt;判定条件!$C$6,"判定不能",IF(X710&gt;=判定条件!$C$7*W710,"運転",IF(X710&lt;=判定条件!$C$8*W710,"停止","断続")))</f>
        <v>運転</v>
      </c>
      <c r="Z710" s="30" t="n">
        <v>60</v>
      </c>
      <c r="AA710" s="30" t="n">
        <v>60</v>
      </c>
      <c r="AB710" s="30" t="str">
        <f aca="false">IF(Z710&lt;判定条件!$C$6,"判定不能",IF(AA710&gt;=判定条件!$C$7*Z710,"運転",IF(AA710&lt;=判定条件!$C$8*Z710,"停止","断続")))</f>
        <v>運転</v>
      </c>
      <c r="AC710" s="30" t="n">
        <v>60</v>
      </c>
      <c r="AD710" s="30" t="n">
        <v>60</v>
      </c>
      <c r="AE710" s="30" t="str">
        <f aca="false">IF(AC710&lt;判定条件!$C$6,"判定不能",IF(AD710&gt;=判定条件!$C$7*AC710,"運転",IF(AD710&lt;=判定条件!$C$8*AC710,"停止","断続")))</f>
        <v>運転</v>
      </c>
      <c r="AF710" s="30" t="n">
        <v>60</v>
      </c>
      <c r="AG710" s="30" t="n">
        <v>60</v>
      </c>
      <c r="AH710" s="30" t="str">
        <f aca="false">IF(OR(P710="判定不能",G710="判定不能"),"判定不能",IF(AG710&gt;=判定条件!$C$9,"利用可",IF(AND(P710="停止",G710="停止"),"両方停止","運転がそろわない")))</f>
        <v>利用可</v>
      </c>
      <c r="AI710" s="30" t="n">
        <v>0</v>
      </c>
      <c r="AJ710" s="30" t="n">
        <v>0</v>
      </c>
      <c r="AK710" s="30" t="str">
        <f aca="false">IF(OR(S710="判定不能",J710="判定不能"),"判定不能",IF(AJ710&gt;=判定条件!$C$9,"利用可",IF(AND(S710="停止",J710="停止"),"両方停止","運転がそろわない")))</f>
        <v>判定不能</v>
      </c>
      <c r="AL710" s="30" t="n">
        <v>60</v>
      </c>
      <c r="AM710" s="30" t="n">
        <v>58</v>
      </c>
      <c r="AN710" s="30" t="str">
        <f aca="false">IF(OR(V710="判定不能",M710="判定不能"),"判定不能",IF(AM710&gt;=判定条件!$C$9,"利用可",IF(AND(V710="停止",M710="停止"),"両方停止","運転がそろわない")))</f>
        <v>利用可</v>
      </c>
      <c r="AO710" s="30" t="n">
        <v>60</v>
      </c>
      <c r="AP710" s="30" t="n">
        <v>60</v>
      </c>
      <c r="AQ710" s="30" t="str">
        <f aca="false">IF(OR(Y710="判定不能",G710="判定不能"),"判定不能",IF(AP710&gt;=判定条件!$C$9,"利用可",IF(AND(Y710="停止",G710="停止"),"両方停止","運転がそろわない")))</f>
        <v>利用可</v>
      </c>
      <c r="AR710" s="30" t="n">
        <v>60</v>
      </c>
      <c r="AS710" s="30" t="n">
        <v>60</v>
      </c>
      <c r="AT710" s="30" t="str">
        <f aca="false">IF(OR(AB710="判定不能",J710="判定不能"),"判定不能",IF(AS710&gt;=判定条件!$C$9,"利用可",IF(AND(AB710="停止",J710="停止"),"両方停止","運転がそろわない")))</f>
        <v>利用可</v>
      </c>
      <c r="AU710" s="30" t="n">
        <v>60</v>
      </c>
      <c r="AV710" s="30" t="n">
        <v>60</v>
      </c>
      <c r="AW710" s="30" t="str">
        <f aca="false">IF(OR(AE710="判定不能",M710="判定不能"),"判定不能",IF(AV710&gt;=判定条件!$C$9,"利用可",IF(AND(AE710="停止",M710="停止"),"両方停止","運転がそろわない")))</f>
        <v>利用可</v>
      </c>
      <c r="AX710" s="30" t="str">
        <f aca="false">IF(AND(AH710="利用可",AK710="利用可",AN710="利用可"),"利用可","不可")</f>
        <v>不可</v>
      </c>
      <c r="AY710" s="30" t="str">
        <f aca="false">IF(AND(AQ710="利用可",AT710="利用可",AW710="利用可"),"利用可","不可")</f>
        <v>利用可</v>
      </c>
    </row>
    <row r="711" customFormat="false" ht="15" hidden="false" customHeight="false" outlineLevel="0" collapsed="false">
      <c r="A711" s="29" t="n">
        <v>46261</v>
      </c>
      <c r="B711" s="30" t="n">
        <v>12</v>
      </c>
      <c r="C711" s="31" t="s">
        <v>61</v>
      </c>
      <c r="D711" s="31" t="s">
        <v>59</v>
      </c>
      <c r="E711" s="30" t="n">
        <v>60</v>
      </c>
      <c r="F711" s="30" t="n">
        <v>60</v>
      </c>
      <c r="G711" s="30" t="str">
        <f aca="false">IF(E711&lt;判定条件!$C$6,"判定不能",IF(F711&gt;=判定条件!$C$7*E711,"運転",IF(F711&lt;=判定条件!$C$8*E711,"停止","断続")))</f>
        <v>運転</v>
      </c>
      <c r="H711" s="30" t="n">
        <v>60</v>
      </c>
      <c r="I711" s="30" t="n">
        <v>60</v>
      </c>
      <c r="J711" s="30" t="str">
        <f aca="false">IF(H711&lt;判定条件!$C$6,"判定不能",IF(I711&gt;=判定条件!$C$7*H711,"運転",IF(I711&lt;=判定条件!$C$8*H711,"停止","断続")))</f>
        <v>運転</v>
      </c>
      <c r="K711" s="30" t="n">
        <v>60</v>
      </c>
      <c r="L711" s="30" t="n">
        <v>60</v>
      </c>
      <c r="M711" s="30" t="str">
        <f aca="false">IF(K711&lt;判定条件!$C$6,"判定不能",IF(L711&gt;=判定条件!$C$7*K711,"運転",IF(L711&lt;=判定条件!$C$8*K711,"停止","断続")))</f>
        <v>運転</v>
      </c>
      <c r="N711" s="30" t="n">
        <v>60</v>
      </c>
      <c r="O711" s="30" t="n">
        <v>60</v>
      </c>
      <c r="P711" s="30" t="str">
        <f aca="false">IF(N711&lt;判定条件!$C$6,"判定不能",IF(O711&gt;=判定条件!$C$7*N711,"運転",IF(O711&lt;=判定条件!$C$8*N711,"停止","断続")))</f>
        <v>運転</v>
      </c>
      <c r="Q711" s="30" t="n">
        <v>0</v>
      </c>
      <c r="R711" s="30" t="n">
        <v>0</v>
      </c>
      <c r="S711" s="30" t="str">
        <f aca="false">IF(Q711&lt;判定条件!$C$6,"判定不能",IF(R711&gt;=判定条件!$C$7*Q711,"運転",IF(R711&lt;=判定条件!$C$8*Q711,"停止","断続")))</f>
        <v>判定不能</v>
      </c>
      <c r="T711" s="30" t="n">
        <v>60</v>
      </c>
      <c r="U711" s="30" t="n">
        <v>33</v>
      </c>
      <c r="V711" s="30" t="str">
        <f aca="false">IF(T711&lt;判定条件!$C$6,"判定不能",IF(U711&gt;=判定条件!$C$7*T711,"運転",IF(U711&lt;=判定条件!$C$8*T711,"停止","断続")))</f>
        <v>断続</v>
      </c>
      <c r="W711" s="30" t="n">
        <v>60</v>
      </c>
      <c r="X711" s="30" t="n">
        <v>60</v>
      </c>
      <c r="Y711" s="30" t="str">
        <f aca="false">IF(W711&lt;判定条件!$C$6,"判定不能",IF(X711&gt;=判定条件!$C$7*W711,"運転",IF(X711&lt;=判定条件!$C$8*W711,"停止","断続")))</f>
        <v>運転</v>
      </c>
      <c r="Z711" s="30" t="n">
        <v>60</v>
      </c>
      <c r="AA711" s="30" t="n">
        <v>60</v>
      </c>
      <c r="AB711" s="30" t="str">
        <f aca="false">IF(Z711&lt;判定条件!$C$6,"判定不能",IF(AA711&gt;=判定条件!$C$7*Z711,"運転",IF(AA711&lt;=判定条件!$C$8*Z711,"停止","断続")))</f>
        <v>運転</v>
      </c>
      <c r="AC711" s="30" t="n">
        <v>60</v>
      </c>
      <c r="AD711" s="30" t="n">
        <v>54</v>
      </c>
      <c r="AE711" s="30" t="str">
        <f aca="false">IF(AC711&lt;判定条件!$C$6,"判定不能",IF(AD711&gt;=判定条件!$C$7*AC711,"運転",IF(AD711&lt;=判定条件!$C$8*AC711,"停止","断続")))</f>
        <v>運転</v>
      </c>
      <c r="AF711" s="30" t="n">
        <v>60</v>
      </c>
      <c r="AG711" s="30" t="n">
        <v>60</v>
      </c>
      <c r="AH711" s="30" t="str">
        <f aca="false">IF(OR(P711="判定不能",G711="判定不能"),"判定不能",IF(AG711&gt;=判定条件!$C$9,"利用可",IF(AND(P711="停止",G711="停止"),"両方停止","運転がそろわない")))</f>
        <v>利用可</v>
      </c>
      <c r="AI711" s="30" t="n">
        <v>0</v>
      </c>
      <c r="AJ711" s="30" t="n">
        <v>0</v>
      </c>
      <c r="AK711" s="30" t="str">
        <f aca="false">IF(OR(S711="判定不能",J711="判定不能"),"判定不能",IF(AJ711&gt;=判定条件!$C$9,"利用可",IF(AND(S711="停止",J711="停止"),"両方停止","運転がそろわない")))</f>
        <v>判定不能</v>
      </c>
      <c r="AL711" s="30" t="n">
        <v>60</v>
      </c>
      <c r="AM711" s="30" t="n">
        <v>33</v>
      </c>
      <c r="AN711" s="30" t="str">
        <f aca="false">IF(OR(V711="判定不能",M711="判定不能"),"判定不能",IF(AM711&gt;=判定条件!$C$9,"利用可",IF(AND(V711="停止",M711="停止"),"両方停止","運転がそろわない")))</f>
        <v>利用可</v>
      </c>
      <c r="AO711" s="30" t="n">
        <v>60</v>
      </c>
      <c r="AP711" s="30" t="n">
        <v>60</v>
      </c>
      <c r="AQ711" s="30" t="str">
        <f aca="false">IF(OR(Y711="判定不能",G711="判定不能"),"判定不能",IF(AP711&gt;=判定条件!$C$9,"利用可",IF(AND(Y711="停止",G711="停止"),"両方停止","運転がそろわない")))</f>
        <v>利用可</v>
      </c>
      <c r="AR711" s="30" t="n">
        <v>60</v>
      </c>
      <c r="AS711" s="30" t="n">
        <v>60</v>
      </c>
      <c r="AT711" s="30" t="str">
        <f aca="false">IF(OR(AB711="判定不能",J711="判定不能"),"判定不能",IF(AS711&gt;=判定条件!$C$9,"利用可",IF(AND(AB711="停止",J711="停止"),"両方停止","運転がそろわない")))</f>
        <v>利用可</v>
      </c>
      <c r="AU711" s="30" t="n">
        <v>60</v>
      </c>
      <c r="AV711" s="30" t="n">
        <v>54</v>
      </c>
      <c r="AW711" s="30" t="str">
        <f aca="false">IF(OR(AE711="判定不能",M711="判定不能"),"判定不能",IF(AV711&gt;=判定条件!$C$9,"利用可",IF(AND(AE711="停止",M711="停止"),"両方停止","運転がそろわない")))</f>
        <v>利用可</v>
      </c>
      <c r="AX711" s="30" t="str">
        <f aca="false">IF(AND(AH711="利用可",AK711="利用可",AN711="利用可"),"利用可","不可")</f>
        <v>不可</v>
      </c>
      <c r="AY711" s="30" t="str">
        <f aca="false">IF(AND(AQ711="利用可",AT711="利用可",AW711="利用可"),"利用可","不可")</f>
        <v>利用可</v>
      </c>
    </row>
    <row r="712" customFormat="false" ht="15" hidden="false" customHeight="false" outlineLevel="0" collapsed="false">
      <c r="A712" s="29" t="n">
        <v>46261</v>
      </c>
      <c r="B712" s="30" t="n">
        <v>13</v>
      </c>
      <c r="C712" s="31" t="s">
        <v>61</v>
      </c>
      <c r="D712" s="31" t="s">
        <v>59</v>
      </c>
      <c r="E712" s="30" t="n">
        <v>60</v>
      </c>
      <c r="F712" s="30" t="n">
        <v>60</v>
      </c>
      <c r="G712" s="30" t="str">
        <f aca="false">IF(E712&lt;判定条件!$C$6,"判定不能",IF(F712&gt;=判定条件!$C$7*E712,"運転",IF(F712&lt;=判定条件!$C$8*E712,"停止","断続")))</f>
        <v>運転</v>
      </c>
      <c r="H712" s="30" t="n">
        <v>60</v>
      </c>
      <c r="I712" s="30" t="n">
        <v>60</v>
      </c>
      <c r="J712" s="30" t="str">
        <f aca="false">IF(H712&lt;判定条件!$C$6,"判定不能",IF(I712&gt;=判定条件!$C$7*H712,"運転",IF(I712&lt;=判定条件!$C$8*H712,"停止","断続")))</f>
        <v>運転</v>
      </c>
      <c r="K712" s="30" t="n">
        <v>60</v>
      </c>
      <c r="L712" s="30" t="n">
        <v>60</v>
      </c>
      <c r="M712" s="30" t="str">
        <f aca="false">IF(K712&lt;判定条件!$C$6,"判定不能",IF(L712&gt;=判定条件!$C$7*K712,"運転",IF(L712&lt;=判定条件!$C$8*K712,"停止","断続")))</f>
        <v>運転</v>
      </c>
      <c r="N712" s="30" t="n">
        <v>60</v>
      </c>
      <c r="O712" s="30" t="n">
        <v>54</v>
      </c>
      <c r="P712" s="30" t="str">
        <f aca="false">IF(N712&lt;判定条件!$C$6,"判定不能",IF(O712&gt;=判定条件!$C$7*N712,"運転",IF(O712&lt;=判定条件!$C$8*N712,"停止","断続")))</f>
        <v>運転</v>
      </c>
      <c r="Q712" s="30" t="n">
        <v>0</v>
      </c>
      <c r="R712" s="30" t="n">
        <v>0</v>
      </c>
      <c r="S712" s="30" t="str">
        <f aca="false">IF(Q712&lt;判定条件!$C$6,"判定不能",IF(R712&gt;=判定条件!$C$7*Q712,"運転",IF(R712&lt;=判定条件!$C$8*Q712,"停止","断続")))</f>
        <v>判定不能</v>
      </c>
      <c r="T712" s="30" t="n">
        <v>60</v>
      </c>
      <c r="U712" s="30" t="n">
        <v>60</v>
      </c>
      <c r="V712" s="30" t="str">
        <f aca="false">IF(T712&lt;判定条件!$C$6,"判定不能",IF(U712&gt;=判定条件!$C$7*T712,"運転",IF(U712&lt;=判定条件!$C$8*T712,"停止","断続")))</f>
        <v>運転</v>
      </c>
      <c r="W712" s="30" t="n">
        <v>60</v>
      </c>
      <c r="X712" s="30" t="n">
        <v>60</v>
      </c>
      <c r="Y712" s="30" t="str">
        <f aca="false">IF(W712&lt;判定条件!$C$6,"判定不能",IF(X712&gt;=判定条件!$C$7*W712,"運転",IF(X712&lt;=判定条件!$C$8*W712,"停止","断続")))</f>
        <v>運転</v>
      </c>
      <c r="Z712" s="30" t="n">
        <v>60</v>
      </c>
      <c r="AA712" s="30" t="n">
        <v>56</v>
      </c>
      <c r="AB712" s="30" t="str">
        <f aca="false">IF(Z712&lt;判定条件!$C$6,"判定不能",IF(AA712&gt;=判定条件!$C$7*Z712,"運転",IF(AA712&lt;=判定条件!$C$8*Z712,"停止","断続")))</f>
        <v>運転</v>
      </c>
      <c r="AC712" s="30" t="n">
        <v>60</v>
      </c>
      <c r="AD712" s="30" t="n">
        <v>60</v>
      </c>
      <c r="AE712" s="30" t="str">
        <f aca="false">IF(AC712&lt;判定条件!$C$6,"判定不能",IF(AD712&gt;=判定条件!$C$7*AC712,"運転",IF(AD712&lt;=判定条件!$C$8*AC712,"停止","断続")))</f>
        <v>運転</v>
      </c>
      <c r="AF712" s="30" t="n">
        <v>60</v>
      </c>
      <c r="AG712" s="30" t="n">
        <v>54</v>
      </c>
      <c r="AH712" s="30" t="str">
        <f aca="false">IF(OR(P712="判定不能",G712="判定不能"),"判定不能",IF(AG712&gt;=判定条件!$C$9,"利用可",IF(AND(P712="停止",G712="停止"),"両方停止","運転がそろわない")))</f>
        <v>利用可</v>
      </c>
      <c r="AI712" s="30" t="n">
        <v>0</v>
      </c>
      <c r="AJ712" s="30" t="n">
        <v>0</v>
      </c>
      <c r="AK712" s="30" t="str">
        <f aca="false">IF(OR(S712="判定不能",J712="判定不能"),"判定不能",IF(AJ712&gt;=判定条件!$C$9,"利用可",IF(AND(S712="停止",J712="停止"),"両方停止","運転がそろわない")))</f>
        <v>判定不能</v>
      </c>
      <c r="AL712" s="30" t="n">
        <v>60</v>
      </c>
      <c r="AM712" s="30" t="n">
        <v>60</v>
      </c>
      <c r="AN712" s="30" t="str">
        <f aca="false">IF(OR(V712="判定不能",M712="判定不能"),"判定不能",IF(AM712&gt;=判定条件!$C$9,"利用可",IF(AND(V712="停止",M712="停止"),"両方停止","運転がそろわない")))</f>
        <v>利用可</v>
      </c>
      <c r="AO712" s="30" t="n">
        <v>60</v>
      </c>
      <c r="AP712" s="30" t="n">
        <v>60</v>
      </c>
      <c r="AQ712" s="30" t="str">
        <f aca="false">IF(OR(Y712="判定不能",G712="判定不能"),"判定不能",IF(AP712&gt;=判定条件!$C$9,"利用可",IF(AND(Y712="停止",G712="停止"),"両方停止","運転がそろわない")))</f>
        <v>利用可</v>
      </c>
      <c r="AR712" s="30" t="n">
        <v>60</v>
      </c>
      <c r="AS712" s="30" t="n">
        <v>56</v>
      </c>
      <c r="AT712" s="30" t="str">
        <f aca="false">IF(OR(AB712="判定不能",J712="判定不能"),"判定不能",IF(AS712&gt;=判定条件!$C$9,"利用可",IF(AND(AB712="停止",J712="停止"),"両方停止","運転がそろわない")))</f>
        <v>利用可</v>
      </c>
      <c r="AU712" s="30" t="n">
        <v>60</v>
      </c>
      <c r="AV712" s="30" t="n">
        <v>60</v>
      </c>
      <c r="AW712" s="30" t="str">
        <f aca="false">IF(OR(AE712="判定不能",M712="判定不能"),"判定不能",IF(AV712&gt;=判定条件!$C$9,"利用可",IF(AND(AE712="停止",M712="停止"),"両方停止","運転がそろわない")))</f>
        <v>利用可</v>
      </c>
      <c r="AX712" s="30" t="str">
        <f aca="false">IF(AND(AH712="利用可",AK712="利用可",AN712="利用可"),"利用可","不可")</f>
        <v>不可</v>
      </c>
      <c r="AY712" s="30" t="str">
        <f aca="false">IF(AND(AQ712="利用可",AT712="利用可",AW712="利用可"),"利用可","不可")</f>
        <v>利用可</v>
      </c>
    </row>
    <row r="713" customFormat="false" ht="15" hidden="false" customHeight="false" outlineLevel="0" collapsed="false">
      <c r="A713" s="29" t="n">
        <v>46261</v>
      </c>
      <c r="B713" s="30" t="n">
        <v>14</v>
      </c>
      <c r="C713" s="31" t="s">
        <v>61</v>
      </c>
      <c r="D713" s="31" t="s">
        <v>59</v>
      </c>
      <c r="E713" s="30" t="n">
        <v>60</v>
      </c>
      <c r="F713" s="30" t="n">
        <v>60</v>
      </c>
      <c r="G713" s="30" t="str">
        <f aca="false">IF(E713&lt;判定条件!$C$6,"判定不能",IF(F713&gt;=判定条件!$C$7*E713,"運転",IF(F713&lt;=判定条件!$C$8*E713,"停止","断続")))</f>
        <v>運転</v>
      </c>
      <c r="H713" s="30" t="n">
        <v>60</v>
      </c>
      <c r="I713" s="30" t="n">
        <v>60</v>
      </c>
      <c r="J713" s="30" t="str">
        <f aca="false">IF(H713&lt;判定条件!$C$6,"判定不能",IF(I713&gt;=判定条件!$C$7*H713,"運転",IF(I713&lt;=判定条件!$C$8*H713,"停止","断続")))</f>
        <v>運転</v>
      </c>
      <c r="K713" s="30" t="n">
        <v>60</v>
      </c>
      <c r="L713" s="30" t="n">
        <v>60</v>
      </c>
      <c r="M713" s="30" t="str">
        <f aca="false">IF(K713&lt;判定条件!$C$6,"判定不能",IF(L713&gt;=判定条件!$C$7*K713,"運転",IF(L713&lt;=判定条件!$C$8*K713,"停止","断続")))</f>
        <v>運転</v>
      </c>
      <c r="N713" s="30" t="n">
        <v>60</v>
      </c>
      <c r="O713" s="30" t="n">
        <v>41</v>
      </c>
      <c r="P713" s="30" t="str">
        <f aca="false">IF(N713&lt;判定条件!$C$6,"判定不能",IF(O713&gt;=判定条件!$C$7*N713,"運転",IF(O713&lt;=判定条件!$C$8*N713,"停止","断続")))</f>
        <v>断続</v>
      </c>
      <c r="Q713" s="30" t="n">
        <v>0</v>
      </c>
      <c r="R713" s="30" t="n">
        <v>0</v>
      </c>
      <c r="S713" s="30" t="str">
        <f aca="false">IF(Q713&lt;判定条件!$C$6,"判定不能",IF(R713&gt;=判定条件!$C$7*Q713,"運転",IF(R713&lt;=判定条件!$C$8*Q713,"停止","断続")))</f>
        <v>判定不能</v>
      </c>
      <c r="T713" s="30" t="n">
        <v>60</v>
      </c>
      <c r="U713" s="30" t="n">
        <v>60</v>
      </c>
      <c r="V713" s="30" t="str">
        <f aca="false">IF(T713&lt;判定条件!$C$6,"判定不能",IF(U713&gt;=判定条件!$C$7*T713,"運転",IF(U713&lt;=判定条件!$C$8*T713,"停止","断続")))</f>
        <v>運転</v>
      </c>
      <c r="W713" s="30" t="n">
        <v>60</v>
      </c>
      <c r="X713" s="30" t="n">
        <v>60</v>
      </c>
      <c r="Y713" s="30" t="str">
        <f aca="false">IF(W713&lt;判定条件!$C$6,"判定不能",IF(X713&gt;=判定条件!$C$7*W713,"運転",IF(X713&lt;=判定条件!$C$8*W713,"停止","断続")))</f>
        <v>運転</v>
      </c>
      <c r="Z713" s="30" t="n">
        <v>60</v>
      </c>
      <c r="AA713" s="30" t="n">
        <v>60</v>
      </c>
      <c r="AB713" s="30" t="str">
        <f aca="false">IF(Z713&lt;判定条件!$C$6,"判定不能",IF(AA713&gt;=判定条件!$C$7*Z713,"運転",IF(AA713&lt;=判定条件!$C$8*Z713,"停止","断続")))</f>
        <v>運転</v>
      </c>
      <c r="AC713" s="30" t="n">
        <v>60</v>
      </c>
      <c r="AD713" s="30" t="n">
        <v>60</v>
      </c>
      <c r="AE713" s="30" t="str">
        <f aca="false">IF(AC713&lt;判定条件!$C$6,"判定不能",IF(AD713&gt;=判定条件!$C$7*AC713,"運転",IF(AD713&lt;=判定条件!$C$8*AC713,"停止","断続")))</f>
        <v>運転</v>
      </c>
      <c r="AF713" s="30" t="n">
        <v>60</v>
      </c>
      <c r="AG713" s="30" t="n">
        <v>41</v>
      </c>
      <c r="AH713" s="30" t="str">
        <f aca="false">IF(OR(P713="判定不能",G713="判定不能"),"判定不能",IF(AG713&gt;=判定条件!$C$9,"利用可",IF(AND(P713="停止",G713="停止"),"両方停止","運転がそろわない")))</f>
        <v>利用可</v>
      </c>
      <c r="AI713" s="30" t="n">
        <v>0</v>
      </c>
      <c r="AJ713" s="30" t="n">
        <v>0</v>
      </c>
      <c r="AK713" s="30" t="str">
        <f aca="false">IF(OR(S713="判定不能",J713="判定不能"),"判定不能",IF(AJ713&gt;=判定条件!$C$9,"利用可",IF(AND(S713="停止",J713="停止"),"両方停止","運転がそろわない")))</f>
        <v>判定不能</v>
      </c>
      <c r="AL713" s="30" t="n">
        <v>60</v>
      </c>
      <c r="AM713" s="30" t="n">
        <v>60</v>
      </c>
      <c r="AN713" s="30" t="str">
        <f aca="false">IF(OR(V713="判定不能",M713="判定不能"),"判定不能",IF(AM713&gt;=判定条件!$C$9,"利用可",IF(AND(V713="停止",M713="停止"),"両方停止","運転がそろわない")))</f>
        <v>利用可</v>
      </c>
      <c r="AO713" s="30" t="n">
        <v>60</v>
      </c>
      <c r="AP713" s="30" t="n">
        <v>60</v>
      </c>
      <c r="AQ713" s="30" t="str">
        <f aca="false">IF(OR(Y713="判定不能",G713="判定不能"),"判定不能",IF(AP713&gt;=判定条件!$C$9,"利用可",IF(AND(Y713="停止",G713="停止"),"両方停止","運転がそろわない")))</f>
        <v>利用可</v>
      </c>
      <c r="AR713" s="30" t="n">
        <v>60</v>
      </c>
      <c r="AS713" s="30" t="n">
        <v>60</v>
      </c>
      <c r="AT713" s="30" t="str">
        <f aca="false">IF(OR(AB713="判定不能",J713="判定不能"),"判定不能",IF(AS713&gt;=判定条件!$C$9,"利用可",IF(AND(AB713="停止",J713="停止"),"両方停止","運転がそろわない")))</f>
        <v>利用可</v>
      </c>
      <c r="AU713" s="30" t="n">
        <v>60</v>
      </c>
      <c r="AV713" s="30" t="n">
        <v>60</v>
      </c>
      <c r="AW713" s="30" t="str">
        <f aca="false">IF(OR(AE713="判定不能",M713="判定不能"),"判定不能",IF(AV713&gt;=判定条件!$C$9,"利用可",IF(AND(AE713="停止",M713="停止"),"両方停止","運転がそろわない")))</f>
        <v>利用可</v>
      </c>
      <c r="AX713" s="30" t="str">
        <f aca="false">IF(AND(AH713="利用可",AK713="利用可",AN713="利用可"),"利用可","不可")</f>
        <v>不可</v>
      </c>
      <c r="AY713" s="30" t="str">
        <f aca="false">IF(AND(AQ713="利用可",AT713="利用可",AW713="利用可"),"利用可","不可")</f>
        <v>利用可</v>
      </c>
    </row>
    <row r="714" customFormat="false" ht="15" hidden="false" customHeight="false" outlineLevel="0" collapsed="false">
      <c r="A714" s="29" t="n">
        <v>46261</v>
      </c>
      <c r="B714" s="30" t="n">
        <v>15</v>
      </c>
      <c r="C714" s="31" t="s">
        <v>61</v>
      </c>
      <c r="D714" s="31" t="s">
        <v>59</v>
      </c>
      <c r="E714" s="30" t="n">
        <v>60</v>
      </c>
      <c r="F714" s="30" t="n">
        <v>60</v>
      </c>
      <c r="G714" s="30" t="str">
        <f aca="false">IF(E714&lt;判定条件!$C$6,"判定不能",IF(F714&gt;=判定条件!$C$7*E714,"運転",IF(F714&lt;=判定条件!$C$8*E714,"停止","断続")))</f>
        <v>運転</v>
      </c>
      <c r="H714" s="30" t="n">
        <v>60</v>
      </c>
      <c r="I714" s="30" t="n">
        <v>60</v>
      </c>
      <c r="J714" s="30" t="str">
        <f aca="false">IF(H714&lt;判定条件!$C$6,"判定不能",IF(I714&gt;=判定条件!$C$7*H714,"運転",IF(I714&lt;=判定条件!$C$8*H714,"停止","断続")))</f>
        <v>運転</v>
      </c>
      <c r="K714" s="30" t="n">
        <v>60</v>
      </c>
      <c r="L714" s="30" t="n">
        <v>60</v>
      </c>
      <c r="M714" s="30" t="str">
        <f aca="false">IF(K714&lt;判定条件!$C$6,"判定不能",IF(L714&gt;=判定条件!$C$7*K714,"運転",IF(L714&lt;=判定条件!$C$8*K714,"停止","断続")))</f>
        <v>運転</v>
      </c>
      <c r="N714" s="30" t="n">
        <v>60</v>
      </c>
      <c r="O714" s="30" t="n">
        <v>41</v>
      </c>
      <c r="P714" s="30" t="str">
        <f aca="false">IF(N714&lt;判定条件!$C$6,"判定不能",IF(O714&gt;=判定条件!$C$7*N714,"運転",IF(O714&lt;=判定条件!$C$8*N714,"停止","断続")))</f>
        <v>断続</v>
      </c>
      <c r="Q714" s="30" t="n">
        <v>0</v>
      </c>
      <c r="R714" s="30" t="n">
        <v>0</v>
      </c>
      <c r="S714" s="30" t="str">
        <f aca="false">IF(Q714&lt;判定条件!$C$6,"判定不能",IF(R714&gt;=判定条件!$C$7*Q714,"運転",IF(R714&lt;=判定条件!$C$8*Q714,"停止","断続")))</f>
        <v>判定不能</v>
      </c>
      <c r="T714" s="30" t="n">
        <v>60</v>
      </c>
      <c r="U714" s="30" t="n">
        <v>57</v>
      </c>
      <c r="V714" s="30" t="str">
        <f aca="false">IF(T714&lt;判定条件!$C$6,"判定不能",IF(U714&gt;=判定条件!$C$7*T714,"運転",IF(U714&lt;=判定条件!$C$8*T714,"停止","断続")))</f>
        <v>運転</v>
      </c>
      <c r="W714" s="30" t="n">
        <v>60</v>
      </c>
      <c r="X714" s="30" t="n">
        <v>60</v>
      </c>
      <c r="Y714" s="30" t="str">
        <f aca="false">IF(W714&lt;判定条件!$C$6,"判定不能",IF(X714&gt;=判定条件!$C$7*W714,"運転",IF(X714&lt;=判定条件!$C$8*W714,"停止","断続")))</f>
        <v>運転</v>
      </c>
      <c r="Z714" s="30" t="n">
        <v>60</v>
      </c>
      <c r="AA714" s="30" t="n">
        <v>49</v>
      </c>
      <c r="AB714" s="30" t="str">
        <f aca="false">IF(Z714&lt;判定条件!$C$6,"判定不能",IF(AA714&gt;=判定条件!$C$7*Z714,"運転",IF(AA714&lt;=判定条件!$C$8*Z714,"停止","断続")))</f>
        <v>運転</v>
      </c>
      <c r="AC714" s="30" t="n">
        <v>60</v>
      </c>
      <c r="AD714" s="30" t="n">
        <v>60</v>
      </c>
      <c r="AE714" s="30" t="str">
        <f aca="false">IF(AC714&lt;判定条件!$C$6,"判定不能",IF(AD714&gt;=判定条件!$C$7*AC714,"運転",IF(AD714&lt;=判定条件!$C$8*AC714,"停止","断続")))</f>
        <v>運転</v>
      </c>
      <c r="AF714" s="30" t="n">
        <v>60</v>
      </c>
      <c r="AG714" s="30" t="n">
        <v>41</v>
      </c>
      <c r="AH714" s="30" t="str">
        <f aca="false">IF(OR(P714="判定不能",G714="判定不能"),"判定不能",IF(AG714&gt;=判定条件!$C$9,"利用可",IF(AND(P714="停止",G714="停止"),"両方停止","運転がそろわない")))</f>
        <v>利用可</v>
      </c>
      <c r="AI714" s="30" t="n">
        <v>0</v>
      </c>
      <c r="AJ714" s="30" t="n">
        <v>0</v>
      </c>
      <c r="AK714" s="30" t="str">
        <f aca="false">IF(OR(S714="判定不能",J714="判定不能"),"判定不能",IF(AJ714&gt;=判定条件!$C$9,"利用可",IF(AND(S714="停止",J714="停止"),"両方停止","運転がそろわない")))</f>
        <v>判定不能</v>
      </c>
      <c r="AL714" s="30" t="n">
        <v>60</v>
      </c>
      <c r="AM714" s="30" t="n">
        <v>57</v>
      </c>
      <c r="AN714" s="30" t="str">
        <f aca="false">IF(OR(V714="判定不能",M714="判定不能"),"判定不能",IF(AM714&gt;=判定条件!$C$9,"利用可",IF(AND(V714="停止",M714="停止"),"両方停止","運転がそろわない")))</f>
        <v>利用可</v>
      </c>
      <c r="AO714" s="30" t="n">
        <v>60</v>
      </c>
      <c r="AP714" s="30" t="n">
        <v>60</v>
      </c>
      <c r="AQ714" s="30" t="str">
        <f aca="false">IF(OR(Y714="判定不能",G714="判定不能"),"判定不能",IF(AP714&gt;=判定条件!$C$9,"利用可",IF(AND(Y714="停止",G714="停止"),"両方停止","運転がそろわない")))</f>
        <v>利用可</v>
      </c>
      <c r="AR714" s="30" t="n">
        <v>60</v>
      </c>
      <c r="AS714" s="30" t="n">
        <v>49</v>
      </c>
      <c r="AT714" s="30" t="str">
        <f aca="false">IF(OR(AB714="判定不能",J714="判定不能"),"判定不能",IF(AS714&gt;=判定条件!$C$9,"利用可",IF(AND(AB714="停止",J714="停止"),"両方停止","運転がそろわない")))</f>
        <v>利用可</v>
      </c>
      <c r="AU714" s="30" t="n">
        <v>60</v>
      </c>
      <c r="AV714" s="30" t="n">
        <v>60</v>
      </c>
      <c r="AW714" s="30" t="str">
        <f aca="false">IF(OR(AE714="判定不能",M714="判定不能"),"判定不能",IF(AV714&gt;=判定条件!$C$9,"利用可",IF(AND(AE714="停止",M714="停止"),"両方停止","運転がそろわない")))</f>
        <v>利用可</v>
      </c>
      <c r="AX714" s="30" t="str">
        <f aca="false">IF(AND(AH714="利用可",AK714="利用可",AN714="利用可"),"利用可","不可")</f>
        <v>不可</v>
      </c>
      <c r="AY714" s="30" t="str">
        <f aca="false">IF(AND(AQ714="利用可",AT714="利用可",AW714="利用可"),"利用可","不可")</f>
        <v>利用可</v>
      </c>
    </row>
    <row r="715" customFormat="false" ht="15" hidden="false" customHeight="false" outlineLevel="0" collapsed="false">
      <c r="A715" s="29" t="n">
        <v>46261</v>
      </c>
      <c r="B715" s="30" t="n">
        <v>16</v>
      </c>
      <c r="C715" s="31" t="s">
        <v>61</v>
      </c>
      <c r="D715" s="31" t="s">
        <v>59</v>
      </c>
      <c r="E715" s="30" t="n">
        <v>60</v>
      </c>
      <c r="F715" s="30" t="n">
        <v>48</v>
      </c>
      <c r="G715" s="30" t="str">
        <f aca="false">IF(E715&lt;判定条件!$C$6,"判定不能",IF(F715&gt;=判定条件!$C$7*E715,"運転",IF(F715&lt;=判定条件!$C$8*E715,"停止","断続")))</f>
        <v>運転</v>
      </c>
      <c r="H715" s="30" t="n">
        <v>60</v>
      </c>
      <c r="I715" s="30" t="n">
        <v>51</v>
      </c>
      <c r="J715" s="30" t="str">
        <f aca="false">IF(H715&lt;判定条件!$C$6,"判定不能",IF(I715&gt;=判定条件!$C$7*H715,"運転",IF(I715&lt;=判定条件!$C$8*H715,"停止","断続")))</f>
        <v>運転</v>
      </c>
      <c r="K715" s="30" t="n">
        <v>60</v>
      </c>
      <c r="L715" s="30" t="n">
        <v>60</v>
      </c>
      <c r="M715" s="30" t="str">
        <f aca="false">IF(K715&lt;判定条件!$C$6,"判定不能",IF(L715&gt;=判定条件!$C$7*K715,"運転",IF(L715&lt;=判定条件!$C$8*K715,"停止","断続")))</f>
        <v>運転</v>
      </c>
      <c r="N715" s="30" t="n">
        <v>60</v>
      </c>
      <c r="O715" s="30" t="n">
        <v>35</v>
      </c>
      <c r="P715" s="30" t="str">
        <f aca="false">IF(N715&lt;判定条件!$C$6,"判定不能",IF(O715&gt;=判定条件!$C$7*N715,"運転",IF(O715&lt;=判定条件!$C$8*N715,"停止","断続")))</f>
        <v>断続</v>
      </c>
      <c r="Q715" s="30" t="n">
        <v>0</v>
      </c>
      <c r="R715" s="30" t="n">
        <v>0</v>
      </c>
      <c r="S715" s="30" t="str">
        <f aca="false">IF(Q715&lt;判定条件!$C$6,"判定不能",IF(R715&gt;=判定条件!$C$7*Q715,"運転",IF(R715&lt;=判定条件!$C$8*Q715,"停止","断続")))</f>
        <v>判定不能</v>
      </c>
      <c r="T715" s="30" t="n">
        <v>60</v>
      </c>
      <c r="U715" s="30" t="n">
        <v>60</v>
      </c>
      <c r="V715" s="30" t="str">
        <f aca="false">IF(T715&lt;判定条件!$C$6,"判定不能",IF(U715&gt;=判定条件!$C$7*T715,"運転",IF(U715&lt;=判定条件!$C$8*T715,"停止","断続")))</f>
        <v>運転</v>
      </c>
      <c r="W715" s="30" t="n">
        <v>60</v>
      </c>
      <c r="X715" s="30" t="n">
        <v>60</v>
      </c>
      <c r="Y715" s="30" t="str">
        <f aca="false">IF(W715&lt;判定条件!$C$6,"判定不能",IF(X715&gt;=判定条件!$C$7*W715,"運転",IF(X715&lt;=判定条件!$C$8*W715,"停止","断続")))</f>
        <v>運転</v>
      </c>
      <c r="Z715" s="30" t="n">
        <v>60</v>
      </c>
      <c r="AA715" s="30" t="n">
        <v>35</v>
      </c>
      <c r="AB715" s="30" t="str">
        <f aca="false">IF(Z715&lt;判定条件!$C$6,"判定不能",IF(AA715&gt;=判定条件!$C$7*Z715,"運転",IF(AA715&lt;=判定条件!$C$8*Z715,"停止","断続")))</f>
        <v>断続</v>
      </c>
      <c r="AC715" s="30" t="n">
        <v>60</v>
      </c>
      <c r="AD715" s="30" t="n">
        <v>60</v>
      </c>
      <c r="AE715" s="30" t="str">
        <f aca="false">IF(AC715&lt;判定条件!$C$6,"判定不能",IF(AD715&gt;=判定条件!$C$7*AC715,"運転",IF(AD715&lt;=判定条件!$C$8*AC715,"停止","断続")))</f>
        <v>運転</v>
      </c>
      <c r="AF715" s="30" t="n">
        <v>60</v>
      </c>
      <c r="AG715" s="30" t="n">
        <v>23</v>
      </c>
      <c r="AH715" s="30" t="str">
        <f aca="false">IF(OR(P715="判定不能",G715="判定不能"),"判定不能",IF(AG715&gt;=判定条件!$C$9,"利用可",IF(AND(P715="停止",G715="停止"),"両方停止","運転がそろわない")))</f>
        <v>運転がそろわない</v>
      </c>
      <c r="AI715" s="30" t="n">
        <v>0</v>
      </c>
      <c r="AJ715" s="30" t="n">
        <v>0</v>
      </c>
      <c r="AK715" s="30" t="str">
        <f aca="false">IF(OR(S715="判定不能",J715="判定不能"),"判定不能",IF(AJ715&gt;=判定条件!$C$9,"利用可",IF(AND(S715="停止",J715="停止"),"両方停止","運転がそろわない")))</f>
        <v>判定不能</v>
      </c>
      <c r="AL715" s="30" t="n">
        <v>60</v>
      </c>
      <c r="AM715" s="30" t="n">
        <v>60</v>
      </c>
      <c r="AN715" s="30" t="str">
        <f aca="false">IF(OR(V715="判定不能",M715="判定不能"),"判定不能",IF(AM715&gt;=判定条件!$C$9,"利用可",IF(AND(V715="停止",M715="停止"),"両方停止","運転がそろわない")))</f>
        <v>利用可</v>
      </c>
      <c r="AO715" s="30" t="n">
        <v>60</v>
      </c>
      <c r="AP715" s="30" t="n">
        <v>48</v>
      </c>
      <c r="AQ715" s="30" t="str">
        <f aca="false">IF(OR(Y715="判定不能",G715="判定不能"),"判定不能",IF(AP715&gt;=判定条件!$C$9,"利用可",IF(AND(Y715="停止",G715="停止"),"両方停止","運転がそろわない")))</f>
        <v>利用可</v>
      </c>
      <c r="AR715" s="30" t="n">
        <v>60</v>
      </c>
      <c r="AS715" s="30" t="n">
        <v>35</v>
      </c>
      <c r="AT715" s="30" t="str">
        <f aca="false">IF(OR(AB715="判定不能",J715="判定不能"),"判定不能",IF(AS715&gt;=判定条件!$C$9,"利用可",IF(AND(AB715="停止",J715="停止"),"両方停止","運転がそろわない")))</f>
        <v>利用可</v>
      </c>
      <c r="AU715" s="30" t="n">
        <v>60</v>
      </c>
      <c r="AV715" s="30" t="n">
        <v>60</v>
      </c>
      <c r="AW715" s="30" t="str">
        <f aca="false">IF(OR(AE715="判定不能",M715="判定不能"),"判定不能",IF(AV715&gt;=判定条件!$C$9,"利用可",IF(AND(AE715="停止",M715="停止"),"両方停止","運転がそろわない")))</f>
        <v>利用可</v>
      </c>
      <c r="AX715" s="30" t="str">
        <f aca="false">IF(AND(AH715="利用可",AK715="利用可",AN715="利用可"),"利用可","不可")</f>
        <v>不可</v>
      </c>
      <c r="AY715" s="30" t="str">
        <f aca="false">IF(AND(AQ715="利用可",AT715="利用可",AW715="利用可"),"利用可","不可")</f>
        <v>利用可</v>
      </c>
    </row>
    <row r="716" customFormat="false" ht="15" hidden="false" customHeight="false" outlineLevel="0" collapsed="false">
      <c r="A716" s="29" t="n">
        <v>46261</v>
      </c>
      <c r="B716" s="30" t="n">
        <v>17</v>
      </c>
      <c r="C716" s="31" t="s">
        <v>61</v>
      </c>
      <c r="D716" s="31" t="s">
        <v>59</v>
      </c>
      <c r="E716" s="30" t="n">
        <v>60</v>
      </c>
      <c r="F716" s="30" t="n">
        <v>60</v>
      </c>
      <c r="G716" s="30" t="str">
        <f aca="false">IF(E716&lt;判定条件!$C$6,"判定不能",IF(F716&gt;=判定条件!$C$7*E716,"運転",IF(F716&lt;=判定条件!$C$8*E716,"停止","断続")))</f>
        <v>運転</v>
      </c>
      <c r="H716" s="30" t="n">
        <v>60</v>
      </c>
      <c r="I716" s="30" t="n">
        <v>60</v>
      </c>
      <c r="J716" s="30" t="str">
        <f aca="false">IF(H716&lt;判定条件!$C$6,"判定不能",IF(I716&gt;=判定条件!$C$7*H716,"運転",IF(I716&lt;=判定条件!$C$8*H716,"停止","断続")))</f>
        <v>運転</v>
      </c>
      <c r="K716" s="30" t="n">
        <v>60</v>
      </c>
      <c r="L716" s="30" t="n">
        <v>53</v>
      </c>
      <c r="M716" s="30" t="str">
        <f aca="false">IF(K716&lt;判定条件!$C$6,"判定不能",IF(L716&gt;=判定条件!$C$7*K716,"運転",IF(L716&lt;=判定条件!$C$8*K716,"停止","断続")))</f>
        <v>運転</v>
      </c>
      <c r="N716" s="30" t="n">
        <v>60</v>
      </c>
      <c r="O716" s="30" t="n">
        <v>55</v>
      </c>
      <c r="P716" s="30" t="str">
        <f aca="false">IF(N716&lt;判定条件!$C$6,"判定不能",IF(O716&gt;=判定条件!$C$7*N716,"運転",IF(O716&lt;=判定条件!$C$8*N716,"停止","断続")))</f>
        <v>運転</v>
      </c>
      <c r="Q716" s="30" t="n">
        <v>0</v>
      </c>
      <c r="R716" s="30" t="n">
        <v>0</v>
      </c>
      <c r="S716" s="30" t="str">
        <f aca="false">IF(Q716&lt;判定条件!$C$6,"判定不能",IF(R716&gt;=判定条件!$C$7*Q716,"運転",IF(R716&lt;=判定条件!$C$8*Q716,"停止","断続")))</f>
        <v>判定不能</v>
      </c>
      <c r="T716" s="30" t="n">
        <v>60</v>
      </c>
      <c r="U716" s="30" t="n">
        <v>60</v>
      </c>
      <c r="V716" s="30" t="str">
        <f aca="false">IF(T716&lt;判定条件!$C$6,"判定不能",IF(U716&gt;=判定条件!$C$7*T716,"運転",IF(U716&lt;=判定条件!$C$8*T716,"停止","断続")))</f>
        <v>運転</v>
      </c>
      <c r="W716" s="30" t="n">
        <v>60</v>
      </c>
      <c r="X716" s="30" t="n">
        <v>60</v>
      </c>
      <c r="Y716" s="30" t="str">
        <f aca="false">IF(W716&lt;判定条件!$C$6,"判定不能",IF(X716&gt;=判定条件!$C$7*W716,"運転",IF(X716&lt;=判定条件!$C$8*W716,"停止","断続")))</f>
        <v>運転</v>
      </c>
      <c r="Z716" s="30" t="n">
        <v>60</v>
      </c>
      <c r="AA716" s="30" t="n">
        <v>46</v>
      </c>
      <c r="AB716" s="30" t="str">
        <f aca="false">IF(Z716&lt;判定条件!$C$6,"判定不能",IF(AA716&gt;=判定条件!$C$7*Z716,"運転",IF(AA716&lt;=判定条件!$C$8*Z716,"停止","断続")))</f>
        <v>断続</v>
      </c>
      <c r="AC716" s="30" t="n">
        <v>60</v>
      </c>
      <c r="AD716" s="30" t="n">
        <v>40</v>
      </c>
      <c r="AE716" s="30" t="str">
        <f aca="false">IF(AC716&lt;判定条件!$C$6,"判定不能",IF(AD716&gt;=判定条件!$C$7*AC716,"運転",IF(AD716&lt;=判定条件!$C$8*AC716,"停止","断続")))</f>
        <v>断続</v>
      </c>
      <c r="AF716" s="30" t="n">
        <v>60</v>
      </c>
      <c r="AG716" s="30" t="n">
        <v>55</v>
      </c>
      <c r="AH716" s="30" t="str">
        <f aca="false">IF(OR(P716="判定不能",G716="判定不能"),"判定不能",IF(AG716&gt;=判定条件!$C$9,"利用可",IF(AND(P716="停止",G716="停止"),"両方停止","運転がそろわない")))</f>
        <v>利用可</v>
      </c>
      <c r="AI716" s="30" t="n">
        <v>0</v>
      </c>
      <c r="AJ716" s="30" t="n">
        <v>0</v>
      </c>
      <c r="AK716" s="30" t="str">
        <f aca="false">IF(OR(S716="判定不能",J716="判定不能"),"判定不能",IF(AJ716&gt;=判定条件!$C$9,"利用可",IF(AND(S716="停止",J716="停止"),"両方停止","運転がそろわない")))</f>
        <v>判定不能</v>
      </c>
      <c r="AL716" s="30" t="n">
        <v>60</v>
      </c>
      <c r="AM716" s="30" t="n">
        <v>53</v>
      </c>
      <c r="AN716" s="30" t="str">
        <f aca="false">IF(OR(V716="判定不能",M716="判定不能"),"判定不能",IF(AM716&gt;=判定条件!$C$9,"利用可",IF(AND(V716="停止",M716="停止"),"両方停止","運転がそろわない")))</f>
        <v>利用可</v>
      </c>
      <c r="AO716" s="30" t="n">
        <v>60</v>
      </c>
      <c r="AP716" s="30" t="n">
        <v>60</v>
      </c>
      <c r="AQ716" s="30" t="str">
        <f aca="false">IF(OR(Y716="判定不能",G716="判定不能"),"判定不能",IF(AP716&gt;=判定条件!$C$9,"利用可",IF(AND(Y716="停止",G716="停止"),"両方停止","運転がそろわない")))</f>
        <v>利用可</v>
      </c>
      <c r="AR716" s="30" t="n">
        <v>60</v>
      </c>
      <c r="AS716" s="30" t="n">
        <v>46</v>
      </c>
      <c r="AT716" s="30" t="str">
        <f aca="false">IF(OR(AB716="判定不能",J716="判定不能"),"判定不能",IF(AS716&gt;=判定条件!$C$9,"利用可",IF(AND(AB716="停止",J716="停止"),"両方停止","運転がそろわない")))</f>
        <v>利用可</v>
      </c>
      <c r="AU716" s="30" t="n">
        <v>60</v>
      </c>
      <c r="AV716" s="30" t="n">
        <v>33</v>
      </c>
      <c r="AW716" s="30" t="str">
        <f aca="false">IF(OR(AE716="判定不能",M716="判定不能"),"判定不能",IF(AV716&gt;=判定条件!$C$9,"利用可",IF(AND(AE716="停止",M716="停止"),"両方停止","運転がそろわない")))</f>
        <v>利用可</v>
      </c>
      <c r="AX716" s="30" t="str">
        <f aca="false">IF(AND(AH716="利用可",AK716="利用可",AN716="利用可"),"利用可","不可")</f>
        <v>不可</v>
      </c>
      <c r="AY716" s="30" t="str">
        <f aca="false">IF(AND(AQ716="利用可",AT716="利用可",AW716="利用可"),"利用可","不可")</f>
        <v>利用可</v>
      </c>
    </row>
    <row r="717" customFormat="false" ht="15" hidden="false" customHeight="false" outlineLevel="0" collapsed="false">
      <c r="A717" s="29" t="n">
        <v>46261</v>
      </c>
      <c r="B717" s="30" t="n">
        <v>18</v>
      </c>
      <c r="C717" s="31" t="s">
        <v>61</v>
      </c>
      <c r="D717" s="31" t="s">
        <v>59</v>
      </c>
      <c r="E717" s="30" t="n">
        <v>60</v>
      </c>
      <c r="F717" s="30" t="n">
        <v>60</v>
      </c>
      <c r="G717" s="30" t="str">
        <f aca="false">IF(E717&lt;判定条件!$C$6,"判定不能",IF(F717&gt;=判定条件!$C$7*E717,"運転",IF(F717&lt;=判定条件!$C$8*E717,"停止","断続")))</f>
        <v>運転</v>
      </c>
      <c r="H717" s="30" t="n">
        <v>60</v>
      </c>
      <c r="I717" s="30" t="n">
        <v>60</v>
      </c>
      <c r="J717" s="30" t="str">
        <f aca="false">IF(H717&lt;判定条件!$C$6,"判定不能",IF(I717&gt;=判定条件!$C$7*H717,"運転",IF(I717&lt;=判定条件!$C$8*H717,"停止","断続")))</f>
        <v>運転</v>
      </c>
      <c r="K717" s="30" t="n">
        <v>60</v>
      </c>
      <c r="L717" s="30" t="n">
        <v>60</v>
      </c>
      <c r="M717" s="30" t="str">
        <f aca="false">IF(K717&lt;判定条件!$C$6,"判定不能",IF(L717&gt;=判定条件!$C$7*K717,"運転",IF(L717&lt;=判定条件!$C$8*K717,"停止","断続")))</f>
        <v>運転</v>
      </c>
      <c r="N717" s="30" t="n">
        <v>60</v>
      </c>
      <c r="O717" s="30" t="n">
        <v>33</v>
      </c>
      <c r="P717" s="30" t="str">
        <f aca="false">IF(N717&lt;判定条件!$C$6,"判定不能",IF(O717&gt;=判定条件!$C$7*N717,"運転",IF(O717&lt;=判定条件!$C$8*N717,"停止","断続")))</f>
        <v>断続</v>
      </c>
      <c r="Q717" s="30" t="n">
        <v>0</v>
      </c>
      <c r="R717" s="30" t="n">
        <v>0</v>
      </c>
      <c r="S717" s="30" t="str">
        <f aca="false">IF(Q717&lt;判定条件!$C$6,"判定不能",IF(R717&gt;=判定条件!$C$7*Q717,"運転",IF(R717&lt;=判定条件!$C$8*Q717,"停止","断続")))</f>
        <v>判定不能</v>
      </c>
      <c r="T717" s="30" t="n">
        <v>60</v>
      </c>
      <c r="U717" s="30" t="n">
        <v>14</v>
      </c>
      <c r="V717" s="30" t="str">
        <f aca="false">IF(T717&lt;判定条件!$C$6,"判定不能",IF(U717&gt;=判定条件!$C$7*T717,"運転",IF(U717&lt;=判定条件!$C$8*T717,"停止","断続")))</f>
        <v>断続</v>
      </c>
      <c r="W717" s="30" t="n">
        <v>60</v>
      </c>
      <c r="X717" s="30" t="n">
        <v>52</v>
      </c>
      <c r="Y717" s="30" t="str">
        <f aca="false">IF(W717&lt;判定条件!$C$6,"判定不能",IF(X717&gt;=判定条件!$C$7*W717,"運転",IF(X717&lt;=判定条件!$C$8*W717,"停止","断続")))</f>
        <v>運転</v>
      </c>
      <c r="Z717" s="30" t="n">
        <v>60</v>
      </c>
      <c r="AA717" s="30" t="n">
        <v>55</v>
      </c>
      <c r="AB717" s="30" t="str">
        <f aca="false">IF(Z717&lt;判定条件!$C$6,"判定不能",IF(AA717&gt;=判定条件!$C$7*Z717,"運転",IF(AA717&lt;=判定条件!$C$8*Z717,"停止","断続")))</f>
        <v>運転</v>
      </c>
      <c r="AC717" s="30" t="n">
        <v>60</v>
      </c>
      <c r="AD717" s="30" t="n">
        <v>44</v>
      </c>
      <c r="AE717" s="30" t="str">
        <f aca="false">IF(AC717&lt;判定条件!$C$6,"判定不能",IF(AD717&gt;=判定条件!$C$7*AC717,"運転",IF(AD717&lt;=判定条件!$C$8*AC717,"停止","断続")))</f>
        <v>断続</v>
      </c>
      <c r="AF717" s="30" t="n">
        <v>60</v>
      </c>
      <c r="AG717" s="30" t="n">
        <v>33</v>
      </c>
      <c r="AH717" s="30" t="str">
        <f aca="false">IF(OR(P717="判定不能",G717="判定不能"),"判定不能",IF(AG717&gt;=判定条件!$C$9,"利用可",IF(AND(P717="停止",G717="停止"),"両方停止","運転がそろわない")))</f>
        <v>利用可</v>
      </c>
      <c r="AI717" s="30" t="n">
        <v>0</v>
      </c>
      <c r="AJ717" s="30" t="n">
        <v>0</v>
      </c>
      <c r="AK717" s="30" t="str">
        <f aca="false">IF(OR(S717="判定不能",J717="判定不能"),"判定不能",IF(AJ717&gt;=判定条件!$C$9,"利用可",IF(AND(S717="停止",J717="停止"),"両方停止","運転がそろわない")))</f>
        <v>判定不能</v>
      </c>
      <c r="AL717" s="30" t="n">
        <v>60</v>
      </c>
      <c r="AM717" s="30" t="n">
        <v>14</v>
      </c>
      <c r="AN717" s="30" t="str">
        <f aca="false">IF(OR(V717="判定不能",M717="判定不能"),"判定不能",IF(AM717&gt;=判定条件!$C$9,"利用可",IF(AND(V717="停止",M717="停止"),"両方停止","運転がそろわない")))</f>
        <v>運転がそろわない</v>
      </c>
      <c r="AO717" s="30" t="n">
        <v>60</v>
      </c>
      <c r="AP717" s="30" t="n">
        <v>52</v>
      </c>
      <c r="AQ717" s="30" t="str">
        <f aca="false">IF(OR(Y717="判定不能",G717="判定不能"),"判定不能",IF(AP717&gt;=判定条件!$C$9,"利用可",IF(AND(Y717="停止",G717="停止"),"両方停止","運転がそろわない")))</f>
        <v>利用可</v>
      </c>
      <c r="AR717" s="30" t="n">
        <v>60</v>
      </c>
      <c r="AS717" s="30" t="n">
        <v>55</v>
      </c>
      <c r="AT717" s="30" t="str">
        <f aca="false">IF(OR(AB717="判定不能",J717="判定不能"),"判定不能",IF(AS717&gt;=判定条件!$C$9,"利用可",IF(AND(AB717="停止",J717="停止"),"両方停止","運転がそろわない")))</f>
        <v>利用可</v>
      </c>
      <c r="AU717" s="30" t="n">
        <v>60</v>
      </c>
      <c r="AV717" s="30" t="n">
        <v>44</v>
      </c>
      <c r="AW717" s="30" t="str">
        <f aca="false">IF(OR(AE717="判定不能",M717="判定不能"),"判定不能",IF(AV717&gt;=判定条件!$C$9,"利用可",IF(AND(AE717="停止",M717="停止"),"両方停止","運転がそろわない")))</f>
        <v>利用可</v>
      </c>
      <c r="AX717" s="30" t="str">
        <f aca="false">IF(AND(AH717="利用可",AK717="利用可",AN717="利用可"),"利用可","不可")</f>
        <v>不可</v>
      </c>
      <c r="AY717" s="30" t="str">
        <f aca="false">IF(AND(AQ717="利用可",AT717="利用可",AW717="利用可"),"利用可","不可")</f>
        <v>利用可</v>
      </c>
    </row>
    <row r="718" customFormat="false" ht="15" hidden="false" customHeight="false" outlineLevel="0" collapsed="false">
      <c r="A718" s="29" t="n">
        <v>46261</v>
      </c>
      <c r="B718" s="30" t="n">
        <v>19</v>
      </c>
      <c r="C718" s="31" t="s">
        <v>61</v>
      </c>
      <c r="D718" s="31" t="s">
        <v>59</v>
      </c>
      <c r="E718" s="30" t="n">
        <v>60</v>
      </c>
      <c r="F718" s="30" t="n">
        <v>60</v>
      </c>
      <c r="G718" s="30" t="str">
        <f aca="false">IF(E718&lt;判定条件!$C$6,"判定不能",IF(F718&gt;=判定条件!$C$7*E718,"運転",IF(F718&lt;=判定条件!$C$8*E718,"停止","断続")))</f>
        <v>運転</v>
      </c>
      <c r="H718" s="30" t="n">
        <v>60</v>
      </c>
      <c r="I718" s="30" t="n">
        <v>60</v>
      </c>
      <c r="J718" s="30" t="str">
        <f aca="false">IF(H718&lt;判定条件!$C$6,"判定不能",IF(I718&gt;=判定条件!$C$7*H718,"運転",IF(I718&lt;=判定条件!$C$8*H718,"停止","断続")))</f>
        <v>運転</v>
      </c>
      <c r="K718" s="30" t="n">
        <v>60</v>
      </c>
      <c r="L718" s="30" t="n">
        <v>60</v>
      </c>
      <c r="M718" s="30" t="str">
        <f aca="false">IF(K718&lt;判定条件!$C$6,"判定不能",IF(L718&gt;=判定条件!$C$7*K718,"運転",IF(L718&lt;=判定条件!$C$8*K718,"停止","断続")))</f>
        <v>運転</v>
      </c>
      <c r="N718" s="30" t="n">
        <v>60</v>
      </c>
      <c r="O718" s="30" t="n">
        <v>51</v>
      </c>
      <c r="P718" s="30" t="str">
        <f aca="false">IF(N718&lt;判定条件!$C$6,"判定不能",IF(O718&gt;=判定条件!$C$7*N718,"運転",IF(O718&lt;=判定条件!$C$8*N718,"停止","断続")))</f>
        <v>運転</v>
      </c>
      <c r="Q718" s="30" t="n">
        <v>0</v>
      </c>
      <c r="R718" s="30" t="n">
        <v>0</v>
      </c>
      <c r="S718" s="30" t="str">
        <f aca="false">IF(Q718&lt;判定条件!$C$6,"判定不能",IF(R718&gt;=判定条件!$C$7*Q718,"運転",IF(R718&lt;=判定条件!$C$8*Q718,"停止","断続")))</f>
        <v>判定不能</v>
      </c>
      <c r="T718" s="30" t="n">
        <v>60</v>
      </c>
      <c r="U718" s="30" t="n">
        <v>42</v>
      </c>
      <c r="V718" s="30" t="str">
        <f aca="false">IF(T718&lt;判定条件!$C$6,"判定不能",IF(U718&gt;=判定条件!$C$7*T718,"運転",IF(U718&lt;=判定条件!$C$8*T718,"停止","断続")))</f>
        <v>断続</v>
      </c>
      <c r="W718" s="30" t="n">
        <v>60</v>
      </c>
      <c r="X718" s="30" t="n">
        <v>8</v>
      </c>
      <c r="Y718" s="30" t="str">
        <f aca="false">IF(W718&lt;判定条件!$C$6,"判定不能",IF(X718&gt;=判定条件!$C$7*W718,"運転",IF(X718&lt;=判定条件!$C$8*W718,"停止","断続")))</f>
        <v>停止</v>
      </c>
      <c r="Z718" s="30" t="n">
        <v>60</v>
      </c>
      <c r="AA718" s="30" t="n">
        <v>5</v>
      </c>
      <c r="AB718" s="30" t="str">
        <f aca="false">IF(Z718&lt;判定条件!$C$6,"判定不能",IF(AA718&gt;=判定条件!$C$7*Z718,"運転",IF(AA718&lt;=判定条件!$C$8*Z718,"停止","断続")))</f>
        <v>停止</v>
      </c>
      <c r="AC718" s="30" t="n">
        <v>60</v>
      </c>
      <c r="AD718" s="30" t="n">
        <v>0</v>
      </c>
      <c r="AE718" s="30" t="str">
        <f aca="false">IF(AC718&lt;判定条件!$C$6,"判定不能",IF(AD718&gt;=判定条件!$C$7*AC718,"運転",IF(AD718&lt;=判定条件!$C$8*AC718,"停止","断続")))</f>
        <v>停止</v>
      </c>
      <c r="AF718" s="30" t="n">
        <v>60</v>
      </c>
      <c r="AG718" s="30" t="n">
        <v>51</v>
      </c>
      <c r="AH718" s="30" t="str">
        <f aca="false">IF(OR(P718="判定不能",G718="判定不能"),"判定不能",IF(AG718&gt;=判定条件!$C$9,"利用可",IF(AND(P718="停止",G718="停止"),"両方停止","運転がそろわない")))</f>
        <v>利用可</v>
      </c>
      <c r="AI718" s="30" t="n">
        <v>0</v>
      </c>
      <c r="AJ718" s="30" t="n">
        <v>0</v>
      </c>
      <c r="AK718" s="30" t="str">
        <f aca="false">IF(OR(S718="判定不能",J718="判定不能"),"判定不能",IF(AJ718&gt;=判定条件!$C$9,"利用可",IF(AND(S718="停止",J718="停止"),"両方停止","運転がそろわない")))</f>
        <v>判定不能</v>
      </c>
      <c r="AL718" s="30" t="n">
        <v>60</v>
      </c>
      <c r="AM718" s="30" t="n">
        <v>42</v>
      </c>
      <c r="AN718" s="30" t="str">
        <f aca="false">IF(OR(V718="判定不能",M718="判定不能"),"判定不能",IF(AM718&gt;=判定条件!$C$9,"利用可",IF(AND(V718="停止",M718="停止"),"両方停止","運転がそろわない")))</f>
        <v>利用可</v>
      </c>
      <c r="AO718" s="30" t="n">
        <v>60</v>
      </c>
      <c r="AP718" s="30" t="n">
        <v>8</v>
      </c>
      <c r="AQ718" s="30" t="str">
        <f aca="false">IF(OR(Y718="判定不能",G718="判定不能"),"判定不能",IF(AP718&gt;=判定条件!$C$9,"利用可",IF(AND(Y718="停止",G718="停止"),"両方停止","運転がそろわない")))</f>
        <v>運転がそろわない</v>
      </c>
      <c r="AR718" s="30" t="n">
        <v>60</v>
      </c>
      <c r="AS718" s="30" t="n">
        <v>5</v>
      </c>
      <c r="AT718" s="30" t="str">
        <f aca="false">IF(OR(AB718="判定不能",J718="判定不能"),"判定不能",IF(AS718&gt;=判定条件!$C$9,"利用可",IF(AND(AB718="停止",J718="停止"),"両方停止","運転がそろわない")))</f>
        <v>運転がそろわない</v>
      </c>
      <c r="AU718" s="30" t="n">
        <v>60</v>
      </c>
      <c r="AV718" s="30" t="n">
        <v>0</v>
      </c>
      <c r="AW718" s="30" t="str">
        <f aca="false">IF(OR(AE718="判定不能",M718="判定不能"),"判定不能",IF(AV718&gt;=判定条件!$C$9,"利用可",IF(AND(AE718="停止",M718="停止"),"両方停止","運転がそろわない")))</f>
        <v>運転がそろわない</v>
      </c>
      <c r="AX718" s="30" t="str">
        <f aca="false">IF(AND(AH718="利用可",AK718="利用可",AN718="利用可"),"利用可","不可")</f>
        <v>不可</v>
      </c>
      <c r="AY718" s="30" t="str">
        <f aca="false">IF(AND(AQ718="利用可",AT718="利用可",AW718="利用可"),"利用可","不可")</f>
        <v>不可</v>
      </c>
    </row>
    <row r="719" customFormat="false" ht="15" hidden="false" customHeight="false" outlineLevel="0" collapsed="false">
      <c r="A719" s="29" t="n">
        <v>46261</v>
      </c>
      <c r="B719" s="30" t="n">
        <v>20</v>
      </c>
      <c r="C719" s="31" t="s">
        <v>61</v>
      </c>
      <c r="D719" s="31" t="s">
        <v>59</v>
      </c>
      <c r="E719" s="30" t="n">
        <v>60</v>
      </c>
      <c r="F719" s="30" t="n">
        <v>46</v>
      </c>
      <c r="G719" s="30" t="str">
        <f aca="false">IF(E719&lt;判定条件!$C$6,"判定不能",IF(F719&gt;=判定条件!$C$7*E719,"運転",IF(F719&lt;=判定条件!$C$8*E719,"停止","断続")))</f>
        <v>断続</v>
      </c>
      <c r="H719" s="30" t="n">
        <v>60</v>
      </c>
      <c r="I719" s="30" t="n">
        <v>39</v>
      </c>
      <c r="J719" s="30" t="str">
        <f aca="false">IF(H719&lt;判定条件!$C$6,"判定不能",IF(I719&gt;=判定条件!$C$7*H719,"運転",IF(I719&lt;=判定条件!$C$8*H719,"停止","断続")))</f>
        <v>断続</v>
      </c>
      <c r="K719" s="30" t="n">
        <v>60</v>
      </c>
      <c r="L719" s="30" t="n">
        <v>50</v>
      </c>
      <c r="M719" s="30" t="str">
        <f aca="false">IF(K719&lt;判定条件!$C$6,"判定不能",IF(L719&gt;=判定条件!$C$7*K719,"運転",IF(L719&lt;=判定条件!$C$8*K719,"停止","断続")))</f>
        <v>運転</v>
      </c>
      <c r="N719" s="30" t="n">
        <v>60</v>
      </c>
      <c r="O719" s="30" t="n">
        <v>28</v>
      </c>
      <c r="P719" s="30" t="str">
        <f aca="false">IF(N719&lt;判定条件!$C$6,"判定不能",IF(O719&gt;=判定条件!$C$7*N719,"運転",IF(O719&lt;=判定条件!$C$8*N719,"停止","断続")))</f>
        <v>断続</v>
      </c>
      <c r="Q719" s="30" t="n">
        <v>0</v>
      </c>
      <c r="R719" s="30" t="n">
        <v>0</v>
      </c>
      <c r="S719" s="30" t="str">
        <f aca="false">IF(Q719&lt;判定条件!$C$6,"判定不能",IF(R719&gt;=判定条件!$C$7*Q719,"運転",IF(R719&lt;=判定条件!$C$8*Q719,"停止","断続")))</f>
        <v>判定不能</v>
      </c>
      <c r="T719" s="30" t="n">
        <v>60</v>
      </c>
      <c r="U719" s="30" t="n">
        <v>23</v>
      </c>
      <c r="V719" s="30" t="str">
        <f aca="false">IF(T719&lt;判定条件!$C$6,"判定不能",IF(U719&gt;=判定条件!$C$7*T719,"運転",IF(U719&lt;=判定条件!$C$8*T719,"停止","断続")))</f>
        <v>断続</v>
      </c>
      <c r="W719" s="30" t="n">
        <v>60</v>
      </c>
      <c r="X719" s="30" t="n">
        <v>0</v>
      </c>
      <c r="Y719" s="30" t="str">
        <f aca="false">IF(W719&lt;判定条件!$C$6,"判定不能",IF(X719&gt;=判定条件!$C$7*W719,"運転",IF(X719&lt;=判定条件!$C$8*W719,"停止","断続")))</f>
        <v>停止</v>
      </c>
      <c r="Z719" s="30" t="n">
        <v>60</v>
      </c>
      <c r="AA719" s="30" t="n">
        <v>0</v>
      </c>
      <c r="AB719" s="30" t="str">
        <f aca="false">IF(Z719&lt;判定条件!$C$6,"判定不能",IF(AA719&gt;=判定条件!$C$7*Z719,"運転",IF(AA719&lt;=判定条件!$C$8*Z719,"停止","断続")))</f>
        <v>停止</v>
      </c>
      <c r="AC719" s="30" t="n">
        <v>60</v>
      </c>
      <c r="AD719" s="30" t="n">
        <v>0</v>
      </c>
      <c r="AE719" s="30" t="str">
        <f aca="false">IF(AC719&lt;判定条件!$C$6,"判定不能",IF(AD719&gt;=判定条件!$C$7*AC719,"運転",IF(AD719&lt;=判定条件!$C$8*AC719,"停止","断続")))</f>
        <v>停止</v>
      </c>
      <c r="AF719" s="30" t="n">
        <v>60</v>
      </c>
      <c r="AG719" s="30" t="n">
        <v>14</v>
      </c>
      <c r="AH719" s="30" t="str">
        <f aca="false">IF(OR(P719="判定不能",G719="判定不能"),"判定不能",IF(AG719&gt;=判定条件!$C$9,"利用可",IF(AND(P719="停止",G719="停止"),"両方停止","運転がそろわない")))</f>
        <v>運転がそろわない</v>
      </c>
      <c r="AI719" s="30" t="n">
        <v>0</v>
      </c>
      <c r="AJ719" s="30" t="n">
        <v>0</v>
      </c>
      <c r="AK719" s="30" t="str">
        <f aca="false">IF(OR(S719="判定不能",J719="判定不能"),"判定不能",IF(AJ719&gt;=判定条件!$C$9,"利用可",IF(AND(S719="停止",J719="停止"),"両方停止","運転がそろわない")))</f>
        <v>判定不能</v>
      </c>
      <c r="AL719" s="30" t="n">
        <v>60</v>
      </c>
      <c r="AM719" s="30" t="n">
        <v>13</v>
      </c>
      <c r="AN719" s="30" t="str">
        <f aca="false">IF(OR(V719="判定不能",M719="判定不能"),"判定不能",IF(AM719&gt;=判定条件!$C$9,"利用可",IF(AND(V719="停止",M719="停止"),"両方停止","運転がそろわない")))</f>
        <v>運転がそろわない</v>
      </c>
      <c r="AO719" s="30" t="n">
        <v>60</v>
      </c>
      <c r="AP719" s="30" t="n">
        <v>0</v>
      </c>
      <c r="AQ719" s="30" t="str">
        <f aca="false">IF(OR(Y719="判定不能",G719="判定不能"),"判定不能",IF(AP719&gt;=判定条件!$C$9,"利用可",IF(AND(Y719="停止",G719="停止"),"両方停止","運転がそろわない")))</f>
        <v>運転がそろわない</v>
      </c>
      <c r="AR719" s="30" t="n">
        <v>60</v>
      </c>
      <c r="AS719" s="30" t="n">
        <v>0</v>
      </c>
      <c r="AT719" s="30" t="str">
        <f aca="false">IF(OR(AB719="判定不能",J719="判定不能"),"判定不能",IF(AS719&gt;=判定条件!$C$9,"利用可",IF(AND(AB719="停止",J719="停止"),"両方停止","運転がそろわない")))</f>
        <v>運転がそろわない</v>
      </c>
      <c r="AU719" s="30" t="n">
        <v>60</v>
      </c>
      <c r="AV719" s="30" t="n">
        <v>0</v>
      </c>
      <c r="AW719" s="30" t="str">
        <f aca="false">IF(OR(AE719="判定不能",M719="判定不能"),"判定不能",IF(AV719&gt;=判定条件!$C$9,"利用可",IF(AND(AE719="停止",M719="停止"),"両方停止","運転がそろわない")))</f>
        <v>運転がそろわない</v>
      </c>
      <c r="AX719" s="30" t="str">
        <f aca="false">IF(AND(AH719="利用可",AK719="利用可",AN719="利用可"),"利用可","不可")</f>
        <v>不可</v>
      </c>
      <c r="AY719" s="30" t="str">
        <f aca="false">IF(AND(AQ719="利用可",AT719="利用可",AW719="利用可"),"利用可","不可")</f>
        <v>不可</v>
      </c>
    </row>
    <row r="720" customFormat="false" ht="15" hidden="false" customHeight="false" outlineLevel="0" collapsed="false">
      <c r="A720" s="29" t="n">
        <v>46261</v>
      </c>
      <c r="B720" s="30" t="n">
        <v>21</v>
      </c>
      <c r="C720" s="31" t="s">
        <v>61</v>
      </c>
      <c r="D720" s="31" t="s">
        <v>59</v>
      </c>
      <c r="E720" s="30" t="n">
        <v>60</v>
      </c>
      <c r="F720" s="30" t="n">
        <v>0</v>
      </c>
      <c r="G720" s="30" t="str">
        <f aca="false">IF(E720&lt;判定条件!$C$6,"判定不能",IF(F720&gt;=判定条件!$C$7*E720,"運転",IF(F720&lt;=判定条件!$C$8*E720,"停止","断続")))</f>
        <v>停止</v>
      </c>
      <c r="H720" s="30" t="n">
        <v>60</v>
      </c>
      <c r="I720" s="30" t="n">
        <v>0</v>
      </c>
      <c r="J720" s="30" t="str">
        <f aca="false">IF(H720&lt;判定条件!$C$6,"判定不能",IF(I720&gt;=判定条件!$C$7*H720,"運転",IF(I720&lt;=判定条件!$C$8*H720,"停止","断続")))</f>
        <v>停止</v>
      </c>
      <c r="K720" s="30" t="n">
        <v>60</v>
      </c>
      <c r="L720" s="30" t="n">
        <v>0</v>
      </c>
      <c r="M720" s="30" t="str">
        <f aca="false">IF(K720&lt;判定条件!$C$6,"判定不能",IF(L720&gt;=判定条件!$C$7*K720,"運転",IF(L720&lt;=判定条件!$C$8*K720,"停止","断続")))</f>
        <v>停止</v>
      </c>
      <c r="N720" s="30" t="n">
        <v>60</v>
      </c>
      <c r="O720" s="30" t="n">
        <v>25</v>
      </c>
      <c r="P720" s="30" t="str">
        <f aca="false">IF(N720&lt;判定条件!$C$6,"判定不能",IF(O720&gt;=判定条件!$C$7*N720,"運転",IF(O720&lt;=判定条件!$C$8*N720,"停止","断続")))</f>
        <v>断続</v>
      </c>
      <c r="Q720" s="30" t="n">
        <v>0</v>
      </c>
      <c r="R720" s="30" t="n">
        <v>0</v>
      </c>
      <c r="S720" s="30" t="str">
        <f aca="false">IF(Q720&lt;判定条件!$C$6,"判定不能",IF(R720&gt;=判定条件!$C$7*Q720,"運転",IF(R720&lt;=判定条件!$C$8*Q720,"停止","断続")))</f>
        <v>判定不能</v>
      </c>
      <c r="T720" s="30" t="n">
        <v>60</v>
      </c>
      <c r="U720" s="30" t="n">
        <v>39</v>
      </c>
      <c r="V720" s="30" t="str">
        <f aca="false">IF(T720&lt;判定条件!$C$6,"判定不能",IF(U720&gt;=判定条件!$C$7*T720,"運転",IF(U720&lt;=判定条件!$C$8*T720,"停止","断続")))</f>
        <v>断続</v>
      </c>
      <c r="W720" s="30" t="n">
        <v>60</v>
      </c>
      <c r="X720" s="30" t="n">
        <v>0</v>
      </c>
      <c r="Y720" s="30" t="str">
        <f aca="false">IF(W720&lt;判定条件!$C$6,"判定不能",IF(X720&gt;=判定条件!$C$7*W720,"運転",IF(X720&lt;=判定条件!$C$8*W720,"停止","断続")))</f>
        <v>停止</v>
      </c>
      <c r="Z720" s="30" t="n">
        <v>60</v>
      </c>
      <c r="AA720" s="30" t="n">
        <v>0</v>
      </c>
      <c r="AB720" s="30" t="str">
        <f aca="false">IF(Z720&lt;判定条件!$C$6,"判定不能",IF(AA720&gt;=判定条件!$C$7*Z720,"運転",IF(AA720&lt;=判定条件!$C$8*Z720,"停止","断続")))</f>
        <v>停止</v>
      </c>
      <c r="AC720" s="30" t="n">
        <v>60</v>
      </c>
      <c r="AD720" s="30" t="n">
        <v>0</v>
      </c>
      <c r="AE720" s="30" t="str">
        <f aca="false">IF(AC720&lt;判定条件!$C$6,"判定不能",IF(AD720&gt;=判定条件!$C$7*AC720,"運転",IF(AD720&lt;=判定条件!$C$8*AC720,"停止","断続")))</f>
        <v>停止</v>
      </c>
      <c r="AF720" s="30" t="n">
        <v>60</v>
      </c>
      <c r="AG720" s="30" t="n">
        <v>0</v>
      </c>
      <c r="AH720" s="30" t="str">
        <f aca="false">IF(OR(P720="判定不能",G720="判定不能"),"判定不能",IF(AG720&gt;=判定条件!$C$9,"利用可",IF(AND(P720="停止",G720="停止"),"両方停止","運転がそろわない")))</f>
        <v>運転がそろわない</v>
      </c>
      <c r="AI720" s="30" t="n">
        <v>0</v>
      </c>
      <c r="AJ720" s="30" t="n">
        <v>0</v>
      </c>
      <c r="AK720" s="30" t="str">
        <f aca="false">IF(OR(S720="判定不能",J720="判定不能"),"判定不能",IF(AJ720&gt;=判定条件!$C$9,"利用可",IF(AND(S720="停止",J720="停止"),"両方停止","運転がそろわない")))</f>
        <v>判定不能</v>
      </c>
      <c r="AL720" s="30" t="n">
        <v>60</v>
      </c>
      <c r="AM720" s="30" t="n">
        <v>0</v>
      </c>
      <c r="AN720" s="30" t="str">
        <f aca="false">IF(OR(V720="判定不能",M720="判定不能"),"判定不能",IF(AM720&gt;=判定条件!$C$9,"利用可",IF(AND(V720="停止",M720="停止"),"両方停止","運転がそろわない")))</f>
        <v>運転がそろわない</v>
      </c>
      <c r="AO720" s="30" t="n">
        <v>60</v>
      </c>
      <c r="AP720" s="30" t="n">
        <v>0</v>
      </c>
      <c r="AQ720" s="30" t="str">
        <f aca="false">IF(OR(Y720="判定不能",G720="判定不能"),"判定不能",IF(AP720&gt;=判定条件!$C$9,"利用可",IF(AND(Y720="停止",G720="停止"),"両方停止","運転がそろわない")))</f>
        <v>両方停止</v>
      </c>
      <c r="AR720" s="30" t="n">
        <v>60</v>
      </c>
      <c r="AS720" s="30" t="n">
        <v>0</v>
      </c>
      <c r="AT720" s="30" t="str">
        <f aca="false">IF(OR(AB720="判定不能",J720="判定不能"),"判定不能",IF(AS720&gt;=判定条件!$C$9,"利用可",IF(AND(AB720="停止",J720="停止"),"両方停止","運転がそろわない")))</f>
        <v>両方停止</v>
      </c>
      <c r="AU720" s="30" t="n">
        <v>60</v>
      </c>
      <c r="AV720" s="30" t="n">
        <v>0</v>
      </c>
      <c r="AW720" s="30" t="str">
        <f aca="false">IF(OR(AE720="判定不能",M720="判定不能"),"判定不能",IF(AV720&gt;=判定条件!$C$9,"利用可",IF(AND(AE720="停止",M720="停止"),"両方停止","運転がそろわない")))</f>
        <v>両方停止</v>
      </c>
      <c r="AX720" s="30" t="str">
        <f aca="false">IF(AND(AH720="利用可",AK720="利用可",AN720="利用可"),"利用可","不可")</f>
        <v>不可</v>
      </c>
      <c r="AY720" s="30" t="str">
        <f aca="false">IF(AND(AQ720="利用可",AT720="利用可",AW720="利用可"),"利用可","不可")</f>
        <v>不可</v>
      </c>
    </row>
    <row r="721" customFormat="false" ht="15" hidden="false" customHeight="false" outlineLevel="0" collapsed="false">
      <c r="A721" s="29" t="n">
        <v>46261</v>
      </c>
      <c r="B721" s="30" t="n">
        <v>22</v>
      </c>
      <c r="C721" s="31" t="s">
        <v>61</v>
      </c>
      <c r="D721" s="31" t="s">
        <v>59</v>
      </c>
      <c r="E721" s="30" t="n">
        <v>60</v>
      </c>
      <c r="F721" s="30" t="n">
        <v>0</v>
      </c>
      <c r="G721" s="30" t="str">
        <f aca="false">IF(E721&lt;判定条件!$C$6,"判定不能",IF(F721&gt;=判定条件!$C$7*E721,"運転",IF(F721&lt;=判定条件!$C$8*E721,"停止","断続")))</f>
        <v>停止</v>
      </c>
      <c r="H721" s="30" t="n">
        <v>60</v>
      </c>
      <c r="I721" s="30" t="n">
        <v>0</v>
      </c>
      <c r="J721" s="30" t="str">
        <f aca="false">IF(H721&lt;判定条件!$C$6,"判定不能",IF(I721&gt;=判定条件!$C$7*H721,"運転",IF(I721&lt;=判定条件!$C$8*H721,"停止","断続")))</f>
        <v>停止</v>
      </c>
      <c r="K721" s="30" t="n">
        <v>60</v>
      </c>
      <c r="L721" s="30" t="n">
        <v>0</v>
      </c>
      <c r="M721" s="30" t="str">
        <f aca="false">IF(K721&lt;判定条件!$C$6,"判定不能",IF(L721&gt;=判定条件!$C$7*K721,"運転",IF(L721&lt;=判定条件!$C$8*K721,"停止","断続")))</f>
        <v>停止</v>
      </c>
      <c r="N721" s="30" t="n">
        <v>60</v>
      </c>
      <c r="O721" s="30" t="n">
        <v>6</v>
      </c>
      <c r="P721" s="30" t="str">
        <f aca="false">IF(N721&lt;判定条件!$C$6,"判定不能",IF(O721&gt;=判定条件!$C$7*N721,"運転",IF(O721&lt;=判定条件!$C$8*N721,"停止","断続")))</f>
        <v>停止</v>
      </c>
      <c r="Q721" s="30" t="n">
        <v>0</v>
      </c>
      <c r="R721" s="30" t="n">
        <v>0</v>
      </c>
      <c r="S721" s="30" t="str">
        <f aca="false">IF(Q721&lt;判定条件!$C$6,"判定不能",IF(R721&gt;=判定条件!$C$7*Q721,"運転",IF(R721&lt;=判定条件!$C$8*Q721,"停止","断続")))</f>
        <v>判定不能</v>
      </c>
      <c r="T721" s="30" t="n">
        <v>60</v>
      </c>
      <c r="U721" s="30" t="n">
        <v>17</v>
      </c>
      <c r="V721" s="30" t="str">
        <f aca="false">IF(T721&lt;判定条件!$C$6,"判定不能",IF(U721&gt;=判定条件!$C$7*T721,"運転",IF(U721&lt;=判定条件!$C$8*T721,"停止","断続")))</f>
        <v>断続</v>
      </c>
      <c r="W721" s="30" t="n">
        <v>60</v>
      </c>
      <c r="X721" s="30" t="n">
        <v>0</v>
      </c>
      <c r="Y721" s="30" t="str">
        <f aca="false">IF(W721&lt;判定条件!$C$6,"判定不能",IF(X721&gt;=判定条件!$C$7*W721,"運転",IF(X721&lt;=判定条件!$C$8*W721,"停止","断続")))</f>
        <v>停止</v>
      </c>
      <c r="Z721" s="30" t="n">
        <v>60</v>
      </c>
      <c r="AA721" s="30" t="n">
        <v>0</v>
      </c>
      <c r="AB721" s="30" t="str">
        <f aca="false">IF(Z721&lt;判定条件!$C$6,"判定不能",IF(AA721&gt;=判定条件!$C$7*Z721,"運転",IF(AA721&lt;=判定条件!$C$8*Z721,"停止","断続")))</f>
        <v>停止</v>
      </c>
      <c r="AC721" s="30" t="n">
        <v>60</v>
      </c>
      <c r="AD721" s="30" t="n">
        <v>0</v>
      </c>
      <c r="AE721" s="30" t="str">
        <f aca="false">IF(AC721&lt;判定条件!$C$6,"判定不能",IF(AD721&gt;=判定条件!$C$7*AC721,"運転",IF(AD721&lt;=判定条件!$C$8*AC721,"停止","断続")))</f>
        <v>停止</v>
      </c>
      <c r="AF721" s="30" t="n">
        <v>60</v>
      </c>
      <c r="AG721" s="30" t="n">
        <v>0</v>
      </c>
      <c r="AH721" s="30" t="str">
        <f aca="false">IF(OR(P721="判定不能",G721="判定不能"),"判定不能",IF(AG721&gt;=判定条件!$C$9,"利用可",IF(AND(P721="停止",G721="停止"),"両方停止","運転がそろわない")))</f>
        <v>両方停止</v>
      </c>
      <c r="AI721" s="30" t="n">
        <v>0</v>
      </c>
      <c r="AJ721" s="30" t="n">
        <v>0</v>
      </c>
      <c r="AK721" s="30" t="str">
        <f aca="false">IF(OR(S721="判定不能",J721="判定不能"),"判定不能",IF(AJ721&gt;=判定条件!$C$9,"利用可",IF(AND(S721="停止",J721="停止"),"両方停止","運転がそろわない")))</f>
        <v>判定不能</v>
      </c>
      <c r="AL721" s="30" t="n">
        <v>60</v>
      </c>
      <c r="AM721" s="30" t="n">
        <v>0</v>
      </c>
      <c r="AN721" s="30" t="str">
        <f aca="false">IF(OR(V721="判定不能",M721="判定不能"),"判定不能",IF(AM721&gt;=判定条件!$C$9,"利用可",IF(AND(V721="停止",M721="停止"),"両方停止","運転がそろわない")))</f>
        <v>運転がそろわない</v>
      </c>
      <c r="AO721" s="30" t="n">
        <v>60</v>
      </c>
      <c r="AP721" s="30" t="n">
        <v>0</v>
      </c>
      <c r="AQ721" s="30" t="str">
        <f aca="false">IF(OR(Y721="判定不能",G721="判定不能"),"判定不能",IF(AP721&gt;=判定条件!$C$9,"利用可",IF(AND(Y721="停止",G721="停止"),"両方停止","運転がそろわない")))</f>
        <v>両方停止</v>
      </c>
      <c r="AR721" s="30" t="n">
        <v>60</v>
      </c>
      <c r="AS721" s="30" t="n">
        <v>0</v>
      </c>
      <c r="AT721" s="30" t="str">
        <f aca="false">IF(OR(AB721="判定不能",J721="判定不能"),"判定不能",IF(AS721&gt;=判定条件!$C$9,"利用可",IF(AND(AB721="停止",J721="停止"),"両方停止","運転がそろわない")))</f>
        <v>両方停止</v>
      </c>
      <c r="AU721" s="30" t="n">
        <v>60</v>
      </c>
      <c r="AV721" s="30" t="n">
        <v>0</v>
      </c>
      <c r="AW721" s="30" t="str">
        <f aca="false">IF(OR(AE721="判定不能",M721="判定不能"),"判定不能",IF(AV721&gt;=判定条件!$C$9,"利用可",IF(AND(AE721="停止",M721="停止"),"両方停止","運転がそろわない")))</f>
        <v>両方停止</v>
      </c>
      <c r="AX721" s="30" t="str">
        <f aca="false">IF(AND(AH721="利用可",AK721="利用可",AN721="利用可"),"利用可","不可")</f>
        <v>不可</v>
      </c>
      <c r="AY721" s="30" t="str">
        <f aca="false">IF(AND(AQ721="利用可",AT721="利用可",AW721="利用可"),"利用可","不可")</f>
        <v>不可</v>
      </c>
    </row>
    <row r="722" customFormat="false" ht="15" hidden="false" customHeight="false" outlineLevel="0" collapsed="false">
      <c r="A722" s="29" t="n">
        <v>46261</v>
      </c>
      <c r="B722" s="30" t="n">
        <v>23</v>
      </c>
      <c r="C722" s="31" t="s">
        <v>61</v>
      </c>
      <c r="D722" s="31" t="s">
        <v>59</v>
      </c>
      <c r="E722" s="30" t="n">
        <v>60</v>
      </c>
      <c r="F722" s="30" t="n">
        <v>0</v>
      </c>
      <c r="G722" s="30" t="str">
        <f aca="false">IF(E722&lt;判定条件!$C$6,"判定不能",IF(F722&gt;=判定条件!$C$7*E722,"運転",IF(F722&lt;=判定条件!$C$8*E722,"停止","断続")))</f>
        <v>停止</v>
      </c>
      <c r="H722" s="30" t="n">
        <v>60</v>
      </c>
      <c r="I722" s="30" t="n">
        <v>0</v>
      </c>
      <c r="J722" s="30" t="str">
        <f aca="false">IF(H722&lt;判定条件!$C$6,"判定不能",IF(I722&gt;=判定条件!$C$7*H722,"運転",IF(I722&lt;=判定条件!$C$8*H722,"停止","断続")))</f>
        <v>停止</v>
      </c>
      <c r="K722" s="30" t="n">
        <v>60</v>
      </c>
      <c r="L722" s="30" t="n">
        <v>0</v>
      </c>
      <c r="M722" s="30" t="str">
        <f aca="false">IF(K722&lt;判定条件!$C$6,"判定不能",IF(L722&gt;=判定条件!$C$7*K722,"運転",IF(L722&lt;=判定条件!$C$8*K722,"停止","断続")))</f>
        <v>停止</v>
      </c>
      <c r="N722" s="30" t="n">
        <v>60</v>
      </c>
      <c r="O722" s="30" t="n">
        <v>0</v>
      </c>
      <c r="P722" s="30" t="str">
        <f aca="false">IF(N722&lt;判定条件!$C$6,"判定不能",IF(O722&gt;=判定条件!$C$7*N722,"運転",IF(O722&lt;=判定条件!$C$8*N722,"停止","断続")))</f>
        <v>停止</v>
      </c>
      <c r="Q722" s="30" t="n">
        <v>0</v>
      </c>
      <c r="R722" s="30" t="n">
        <v>0</v>
      </c>
      <c r="S722" s="30" t="str">
        <f aca="false">IF(Q722&lt;判定条件!$C$6,"判定不能",IF(R722&gt;=判定条件!$C$7*Q722,"運転",IF(R722&lt;=判定条件!$C$8*Q722,"停止","断続")))</f>
        <v>判定不能</v>
      </c>
      <c r="T722" s="30" t="n">
        <v>60</v>
      </c>
      <c r="U722" s="30" t="n">
        <v>0</v>
      </c>
      <c r="V722" s="30" t="str">
        <f aca="false">IF(T722&lt;判定条件!$C$6,"判定不能",IF(U722&gt;=判定条件!$C$7*T722,"運転",IF(U722&lt;=判定条件!$C$8*T722,"停止","断続")))</f>
        <v>停止</v>
      </c>
      <c r="W722" s="30" t="n">
        <v>60</v>
      </c>
      <c r="X722" s="30" t="n">
        <v>0</v>
      </c>
      <c r="Y722" s="30" t="str">
        <f aca="false">IF(W722&lt;判定条件!$C$6,"判定不能",IF(X722&gt;=判定条件!$C$7*W722,"運転",IF(X722&lt;=判定条件!$C$8*W722,"停止","断続")))</f>
        <v>停止</v>
      </c>
      <c r="Z722" s="30" t="n">
        <v>60</v>
      </c>
      <c r="AA722" s="30" t="n">
        <v>0</v>
      </c>
      <c r="AB722" s="30" t="str">
        <f aca="false">IF(Z722&lt;判定条件!$C$6,"判定不能",IF(AA722&gt;=判定条件!$C$7*Z722,"運転",IF(AA722&lt;=判定条件!$C$8*Z722,"停止","断続")))</f>
        <v>停止</v>
      </c>
      <c r="AC722" s="30" t="n">
        <v>60</v>
      </c>
      <c r="AD722" s="30" t="n">
        <v>0</v>
      </c>
      <c r="AE722" s="30" t="str">
        <f aca="false">IF(AC722&lt;判定条件!$C$6,"判定不能",IF(AD722&gt;=判定条件!$C$7*AC722,"運転",IF(AD722&lt;=判定条件!$C$8*AC722,"停止","断続")))</f>
        <v>停止</v>
      </c>
      <c r="AF722" s="30" t="n">
        <v>60</v>
      </c>
      <c r="AG722" s="30" t="n">
        <v>0</v>
      </c>
      <c r="AH722" s="30" t="str">
        <f aca="false">IF(OR(P722="判定不能",G722="判定不能"),"判定不能",IF(AG722&gt;=判定条件!$C$9,"利用可",IF(AND(P722="停止",G722="停止"),"両方停止","運転がそろわない")))</f>
        <v>両方停止</v>
      </c>
      <c r="AI722" s="30" t="n">
        <v>0</v>
      </c>
      <c r="AJ722" s="30" t="n">
        <v>0</v>
      </c>
      <c r="AK722" s="30" t="str">
        <f aca="false">IF(OR(S722="判定不能",J722="判定不能"),"判定不能",IF(AJ722&gt;=判定条件!$C$9,"利用可",IF(AND(S722="停止",J722="停止"),"両方停止","運転がそろわない")))</f>
        <v>判定不能</v>
      </c>
      <c r="AL722" s="30" t="n">
        <v>60</v>
      </c>
      <c r="AM722" s="30" t="n">
        <v>0</v>
      </c>
      <c r="AN722" s="30" t="str">
        <f aca="false">IF(OR(V722="判定不能",M722="判定不能"),"判定不能",IF(AM722&gt;=判定条件!$C$9,"利用可",IF(AND(V722="停止",M722="停止"),"両方停止","運転がそろわない")))</f>
        <v>両方停止</v>
      </c>
      <c r="AO722" s="30" t="n">
        <v>60</v>
      </c>
      <c r="AP722" s="30" t="n">
        <v>0</v>
      </c>
      <c r="AQ722" s="30" t="str">
        <f aca="false">IF(OR(Y722="判定不能",G722="判定不能"),"判定不能",IF(AP722&gt;=判定条件!$C$9,"利用可",IF(AND(Y722="停止",G722="停止"),"両方停止","運転がそろわない")))</f>
        <v>両方停止</v>
      </c>
      <c r="AR722" s="30" t="n">
        <v>60</v>
      </c>
      <c r="AS722" s="30" t="n">
        <v>0</v>
      </c>
      <c r="AT722" s="30" t="str">
        <f aca="false">IF(OR(AB722="判定不能",J722="判定不能"),"判定不能",IF(AS722&gt;=判定条件!$C$9,"利用可",IF(AND(AB722="停止",J722="停止"),"両方停止","運転がそろわない")))</f>
        <v>両方停止</v>
      </c>
      <c r="AU722" s="30" t="n">
        <v>60</v>
      </c>
      <c r="AV722" s="30" t="n">
        <v>0</v>
      </c>
      <c r="AW722" s="30" t="str">
        <f aca="false">IF(OR(AE722="判定不能",M722="判定不能"),"判定不能",IF(AV722&gt;=判定条件!$C$9,"利用可",IF(AND(AE722="停止",M722="停止"),"両方停止","運転がそろわない")))</f>
        <v>両方停止</v>
      </c>
      <c r="AX722" s="30" t="str">
        <f aca="false">IF(AND(AH722="利用可",AK722="利用可",AN722="利用可"),"利用可","不可")</f>
        <v>不可</v>
      </c>
      <c r="AY722" s="30" t="str">
        <f aca="false">IF(AND(AQ722="利用可",AT722="利用可",AW722="利用可"),"利用可","不可")</f>
        <v>不可</v>
      </c>
    </row>
    <row r="723" customFormat="false" ht="15" hidden="false" customHeight="false" outlineLevel="0" collapsed="false">
      <c r="A723" s="29" t="n">
        <v>46262</v>
      </c>
      <c r="B723" s="30" t="n">
        <v>0</v>
      </c>
      <c r="C723" s="31" t="s">
        <v>62</v>
      </c>
      <c r="D723" s="31" t="s">
        <v>59</v>
      </c>
      <c r="E723" s="30" t="n">
        <v>60</v>
      </c>
      <c r="F723" s="30" t="n">
        <v>0</v>
      </c>
      <c r="G723" s="30" t="str">
        <f aca="false">IF(E723&lt;判定条件!$C$6,"判定不能",IF(F723&gt;=判定条件!$C$7*E723,"運転",IF(F723&lt;=判定条件!$C$8*E723,"停止","断続")))</f>
        <v>停止</v>
      </c>
      <c r="H723" s="30" t="n">
        <v>60</v>
      </c>
      <c r="I723" s="30" t="n">
        <v>0</v>
      </c>
      <c r="J723" s="30" t="str">
        <f aca="false">IF(H723&lt;判定条件!$C$6,"判定不能",IF(I723&gt;=判定条件!$C$7*H723,"運転",IF(I723&lt;=判定条件!$C$8*H723,"停止","断続")))</f>
        <v>停止</v>
      </c>
      <c r="K723" s="30" t="n">
        <v>60</v>
      </c>
      <c r="L723" s="30" t="n">
        <v>0</v>
      </c>
      <c r="M723" s="30" t="str">
        <f aca="false">IF(K723&lt;判定条件!$C$6,"判定不能",IF(L723&gt;=判定条件!$C$7*K723,"運転",IF(L723&lt;=判定条件!$C$8*K723,"停止","断続")))</f>
        <v>停止</v>
      </c>
      <c r="N723" s="30" t="n">
        <v>60</v>
      </c>
      <c r="O723" s="30" t="n">
        <v>0</v>
      </c>
      <c r="P723" s="30" t="str">
        <f aca="false">IF(N723&lt;判定条件!$C$6,"判定不能",IF(O723&gt;=判定条件!$C$7*N723,"運転",IF(O723&lt;=判定条件!$C$8*N723,"停止","断続")))</f>
        <v>停止</v>
      </c>
      <c r="Q723" s="30" t="n">
        <v>0</v>
      </c>
      <c r="R723" s="30" t="n">
        <v>0</v>
      </c>
      <c r="S723" s="30" t="str">
        <f aca="false">IF(Q723&lt;判定条件!$C$6,"判定不能",IF(R723&gt;=判定条件!$C$7*Q723,"運転",IF(R723&lt;=判定条件!$C$8*Q723,"停止","断続")))</f>
        <v>判定不能</v>
      </c>
      <c r="T723" s="30" t="n">
        <v>60</v>
      </c>
      <c r="U723" s="30" t="n">
        <v>0</v>
      </c>
      <c r="V723" s="30" t="str">
        <f aca="false">IF(T723&lt;判定条件!$C$6,"判定不能",IF(U723&gt;=判定条件!$C$7*T723,"運転",IF(U723&lt;=判定条件!$C$8*T723,"停止","断続")))</f>
        <v>停止</v>
      </c>
      <c r="W723" s="30" t="n">
        <v>60</v>
      </c>
      <c r="X723" s="30" t="n">
        <v>0</v>
      </c>
      <c r="Y723" s="30" t="str">
        <f aca="false">IF(W723&lt;判定条件!$C$6,"判定不能",IF(X723&gt;=判定条件!$C$7*W723,"運転",IF(X723&lt;=判定条件!$C$8*W723,"停止","断続")))</f>
        <v>停止</v>
      </c>
      <c r="Z723" s="30" t="n">
        <v>60</v>
      </c>
      <c r="AA723" s="30" t="n">
        <v>0</v>
      </c>
      <c r="AB723" s="30" t="str">
        <f aca="false">IF(Z723&lt;判定条件!$C$6,"判定不能",IF(AA723&gt;=判定条件!$C$7*Z723,"運転",IF(AA723&lt;=判定条件!$C$8*Z723,"停止","断続")))</f>
        <v>停止</v>
      </c>
      <c r="AC723" s="30" t="n">
        <v>60</v>
      </c>
      <c r="AD723" s="30" t="n">
        <v>0</v>
      </c>
      <c r="AE723" s="30" t="str">
        <f aca="false">IF(AC723&lt;判定条件!$C$6,"判定不能",IF(AD723&gt;=判定条件!$C$7*AC723,"運転",IF(AD723&lt;=判定条件!$C$8*AC723,"停止","断続")))</f>
        <v>停止</v>
      </c>
      <c r="AF723" s="30" t="n">
        <v>60</v>
      </c>
      <c r="AG723" s="30" t="n">
        <v>0</v>
      </c>
      <c r="AH723" s="30" t="str">
        <f aca="false">IF(OR(P723="判定不能",G723="判定不能"),"判定不能",IF(AG723&gt;=判定条件!$C$9,"利用可",IF(AND(P723="停止",G723="停止"),"両方停止","運転がそろわない")))</f>
        <v>両方停止</v>
      </c>
      <c r="AI723" s="30" t="n">
        <v>0</v>
      </c>
      <c r="AJ723" s="30" t="n">
        <v>0</v>
      </c>
      <c r="AK723" s="30" t="str">
        <f aca="false">IF(OR(S723="判定不能",J723="判定不能"),"判定不能",IF(AJ723&gt;=判定条件!$C$9,"利用可",IF(AND(S723="停止",J723="停止"),"両方停止","運転がそろわない")))</f>
        <v>判定不能</v>
      </c>
      <c r="AL723" s="30" t="n">
        <v>60</v>
      </c>
      <c r="AM723" s="30" t="n">
        <v>0</v>
      </c>
      <c r="AN723" s="30" t="str">
        <f aca="false">IF(OR(V723="判定不能",M723="判定不能"),"判定不能",IF(AM723&gt;=判定条件!$C$9,"利用可",IF(AND(V723="停止",M723="停止"),"両方停止","運転がそろわない")))</f>
        <v>両方停止</v>
      </c>
      <c r="AO723" s="30" t="n">
        <v>60</v>
      </c>
      <c r="AP723" s="30" t="n">
        <v>0</v>
      </c>
      <c r="AQ723" s="30" t="str">
        <f aca="false">IF(OR(Y723="判定不能",G723="判定不能"),"判定不能",IF(AP723&gt;=判定条件!$C$9,"利用可",IF(AND(Y723="停止",G723="停止"),"両方停止","運転がそろわない")))</f>
        <v>両方停止</v>
      </c>
      <c r="AR723" s="30" t="n">
        <v>60</v>
      </c>
      <c r="AS723" s="30" t="n">
        <v>0</v>
      </c>
      <c r="AT723" s="30" t="str">
        <f aca="false">IF(OR(AB723="判定不能",J723="判定不能"),"判定不能",IF(AS723&gt;=判定条件!$C$9,"利用可",IF(AND(AB723="停止",J723="停止"),"両方停止","運転がそろわない")))</f>
        <v>両方停止</v>
      </c>
      <c r="AU723" s="30" t="n">
        <v>60</v>
      </c>
      <c r="AV723" s="30" t="n">
        <v>0</v>
      </c>
      <c r="AW723" s="30" t="str">
        <f aca="false">IF(OR(AE723="判定不能",M723="判定不能"),"判定不能",IF(AV723&gt;=判定条件!$C$9,"利用可",IF(AND(AE723="停止",M723="停止"),"両方停止","運転がそろわない")))</f>
        <v>両方停止</v>
      </c>
      <c r="AX723" s="30" t="str">
        <f aca="false">IF(AND(AH723="利用可",AK723="利用可",AN723="利用可"),"利用可","不可")</f>
        <v>不可</v>
      </c>
      <c r="AY723" s="30" t="str">
        <f aca="false">IF(AND(AQ723="利用可",AT723="利用可",AW723="利用可"),"利用可","不可")</f>
        <v>不可</v>
      </c>
    </row>
    <row r="724" customFormat="false" ht="15" hidden="false" customHeight="false" outlineLevel="0" collapsed="false">
      <c r="A724" s="29" t="n">
        <v>46262</v>
      </c>
      <c r="B724" s="30" t="n">
        <v>1</v>
      </c>
      <c r="C724" s="31" t="s">
        <v>62</v>
      </c>
      <c r="D724" s="31" t="s">
        <v>59</v>
      </c>
      <c r="E724" s="30" t="n">
        <v>60</v>
      </c>
      <c r="F724" s="30" t="n">
        <v>0</v>
      </c>
      <c r="G724" s="30" t="str">
        <f aca="false">IF(E724&lt;判定条件!$C$6,"判定不能",IF(F724&gt;=判定条件!$C$7*E724,"運転",IF(F724&lt;=判定条件!$C$8*E724,"停止","断続")))</f>
        <v>停止</v>
      </c>
      <c r="H724" s="30" t="n">
        <v>60</v>
      </c>
      <c r="I724" s="30" t="n">
        <v>0</v>
      </c>
      <c r="J724" s="30" t="str">
        <f aca="false">IF(H724&lt;判定条件!$C$6,"判定不能",IF(I724&gt;=判定条件!$C$7*H724,"運転",IF(I724&lt;=判定条件!$C$8*H724,"停止","断続")))</f>
        <v>停止</v>
      </c>
      <c r="K724" s="30" t="n">
        <v>60</v>
      </c>
      <c r="L724" s="30" t="n">
        <v>0</v>
      </c>
      <c r="M724" s="30" t="str">
        <f aca="false">IF(K724&lt;判定条件!$C$6,"判定不能",IF(L724&gt;=判定条件!$C$7*K724,"運転",IF(L724&lt;=判定条件!$C$8*K724,"停止","断続")))</f>
        <v>停止</v>
      </c>
      <c r="N724" s="30" t="n">
        <v>60</v>
      </c>
      <c r="O724" s="30" t="n">
        <v>0</v>
      </c>
      <c r="P724" s="30" t="str">
        <f aca="false">IF(N724&lt;判定条件!$C$6,"判定不能",IF(O724&gt;=判定条件!$C$7*N724,"運転",IF(O724&lt;=判定条件!$C$8*N724,"停止","断続")))</f>
        <v>停止</v>
      </c>
      <c r="Q724" s="30" t="n">
        <v>0</v>
      </c>
      <c r="R724" s="30" t="n">
        <v>0</v>
      </c>
      <c r="S724" s="30" t="str">
        <f aca="false">IF(Q724&lt;判定条件!$C$6,"判定不能",IF(R724&gt;=判定条件!$C$7*Q724,"運転",IF(R724&lt;=判定条件!$C$8*Q724,"停止","断続")))</f>
        <v>判定不能</v>
      </c>
      <c r="T724" s="30" t="n">
        <v>60</v>
      </c>
      <c r="U724" s="30" t="n">
        <v>0</v>
      </c>
      <c r="V724" s="30" t="str">
        <f aca="false">IF(T724&lt;判定条件!$C$6,"判定不能",IF(U724&gt;=判定条件!$C$7*T724,"運転",IF(U724&lt;=判定条件!$C$8*T724,"停止","断続")))</f>
        <v>停止</v>
      </c>
      <c r="W724" s="30" t="n">
        <v>60</v>
      </c>
      <c r="X724" s="30" t="n">
        <v>0</v>
      </c>
      <c r="Y724" s="30" t="str">
        <f aca="false">IF(W724&lt;判定条件!$C$6,"判定不能",IF(X724&gt;=判定条件!$C$7*W724,"運転",IF(X724&lt;=判定条件!$C$8*W724,"停止","断続")))</f>
        <v>停止</v>
      </c>
      <c r="Z724" s="30" t="n">
        <v>60</v>
      </c>
      <c r="AA724" s="30" t="n">
        <v>0</v>
      </c>
      <c r="AB724" s="30" t="str">
        <f aca="false">IF(Z724&lt;判定条件!$C$6,"判定不能",IF(AA724&gt;=判定条件!$C$7*Z724,"運転",IF(AA724&lt;=判定条件!$C$8*Z724,"停止","断続")))</f>
        <v>停止</v>
      </c>
      <c r="AC724" s="30" t="n">
        <v>60</v>
      </c>
      <c r="AD724" s="30" t="n">
        <v>0</v>
      </c>
      <c r="AE724" s="30" t="str">
        <f aca="false">IF(AC724&lt;判定条件!$C$6,"判定不能",IF(AD724&gt;=判定条件!$C$7*AC724,"運転",IF(AD724&lt;=判定条件!$C$8*AC724,"停止","断続")))</f>
        <v>停止</v>
      </c>
      <c r="AF724" s="30" t="n">
        <v>60</v>
      </c>
      <c r="AG724" s="30" t="n">
        <v>0</v>
      </c>
      <c r="AH724" s="30" t="str">
        <f aca="false">IF(OR(P724="判定不能",G724="判定不能"),"判定不能",IF(AG724&gt;=判定条件!$C$9,"利用可",IF(AND(P724="停止",G724="停止"),"両方停止","運転がそろわない")))</f>
        <v>両方停止</v>
      </c>
      <c r="AI724" s="30" t="n">
        <v>0</v>
      </c>
      <c r="AJ724" s="30" t="n">
        <v>0</v>
      </c>
      <c r="AK724" s="30" t="str">
        <f aca="false">IF(OR(S724="判定不能",J724="判定不能"),"判定不能",IF(AJ724&gt;=判定条件!$C$9,"利用可",IF(AND(S724="停止",J724="停止"),"両方停止","運転がそろわない")))</f>
        <v>判定不能</v>
      </c>
      <c r="AL724" s="30" t="n">
        <v>60</v>
      </c>
      <c r="AM724" s="30" t="n">
        <v>0</v>
      </c>
      <c r="AN724" s="30" t="str">
        <f aca="false">IF(OR(V724="判定不能",M724="判定不能"),"判定不能",IF(AM724&gt;=判定条件!$C$9,"利用可",IF(AND(V724="停止",M724="停止"),"両方停止","運転がそろわない")))</f>
        <v>両方停止</v>
      </c>
      <c r="AO724" s="30" t="n">
        <v>60</v>
      </c>
      <c r="AP724" s="30" t="n">
        <v>0</v>
      </c>
      <c r="AQ724" s="30" t="str">
        <f aca="false">IF(OR(Y724="判定不能",G724="判定不能"),"判定不能",IF(AP724&gt;=判定条件!$C$9,"利用可",IF(AND(Y724="停止",G724="停止"),"両方停止","運転がそろわない")))</f>
        <v>両方停止</v>
      </c>
      <c r="AR724" s="30" t="n">
        <v>60</v>
      </c>
      <c r="AS724" s="30" t="n">
        <v>0</v>
      </c>
      <c r="AT724" s="30" t="str">
        <f aca="false">IF(OR(AB724="判定不能",J724="判定不能"),"判定不能",IF(AS724&gt;=判定条件!$C$9,"利用可",IF(AND(AB724="停止",J724="停止"),"両方停止","運転がそろわない")))</f>
        <v>両方停止</v>
      </c>
      <c r="AU724" s="30" t="n">
        <v>60</v>
      </c>
      <c r="AV724" s="30" t="n">
        <v>0</v>
      </c>
      <c r="AW724" s="30" t="str">
        <f aca="false">IF(OR(AE724="判定不能",M724="判定不能"),"判定不能",IF(AV724&gt;=判定条件!$C$9,"利用可",IF(AND(AE724="停止",M724="停止"),"両方停止","運転がそろわない")))</f>
        <v>両方停止</v>
      </c>
      <c r="AX724" s="30" t="str">
        <f aca="false">IF(AND(AH724="利用可",AK724="利用可",AN724="利用可"),"利用可","不可")</f>
        <v>不可</v>
      </c>
      <c r="AY724" s="30" t="str">
        <f aca="false">IF(AND(AQ724="利用可",AT724="利用可",AW724="利用可"),"利用可","不可")</f>
        <v>不可</v>
      </c>
    </row>
    <row r="725" customFormat="false" ht="15" hidden="false" customHeight="false" outlineLevel="0" collapsed="false">
      <c r="A725" s="29" t="n">
        <v>46262</v>
      </c>
      <c r="B725" s="30" t="n">
        <v>2</v>
      </c>
      <c r="C725" s="31" t="s">
        <v>62</v>
      </c>
      <c r="D725" s="31" t="s">
        <v>59</v>
      </c>
      <c r="E725" s="30" t="n">
        <v>60</v>
      </c>
      <c r="F725" s="30" t="n">
        <v>0</v>
      </c>
      <c r="G725" s="30" t="str">
        <f aca="false">IF(E725&lt;判定条件!$C$6,"判定不能",IF(F725&gt;=判定条件!$C$7*E725,"運転",IF(F725&lt;=判定条件!$C$8*E725,"停止","断続")))</f>
        <v>停止</v>
      </c>
      <c r="H725" s="30" t="n">
        <v>60</v>
      </c>
      <c r="I725" s="30" t="n">
        <v>0</v>
      </c>
      <c r="J725" s="30" t="str">
        <f aca="false">IF(H725&lt;判定条件!$C$6,"判定不能",IF(I725&gt;=判定条件!$C$7*H725,"運転",IF(I725&lt;=判定条件!$C$8*H725,"停止","断続")))</f>
        <v>停止</v>
      </c>
      <c r="K725" s="30" t="n">
        <v>60</v>
      </c>
      <c r="L725" s="30" t="n">
        <v>0</v>
      </c>
      <c r="M725" s="30" t="str">
        <f aca="false">IF(K725&lt;判定条件!$C$6,"判定不能",IF(L725&gt;=判定条件!$C$7*K725,"運転",IF(L725&lt;=判定条件!$C$8*K725,"停止","断続")))</f>
        <v>停止</v>
      </c>
      <c r="N725" s="30" t="n">
        <v>60</v>
      </c>
      <c r="O725" s="30" t="n">
        <v>0</v>
      </c>
      <c r="P725" s="30" t="str">
        <f aca="false">IF(N725&lt;判定条件!$C$6,"判定不能",IF(O725&gt;=判定条件!$C$7*N725,"運転",IF(O725&lt;=判定条件!$C$8*N725,"停止","断続")))</f>
        <v>停止</v>
      </c>
      <c r="Q725" s="30" t="n">
        <v>0</v>
      </c>
      <c r="R725" s="30" t="n">
        <v>0</v>
      </c>
      <c r="S725" s="30" t="str">
        <f aca="false">IF(Q725&lt;判定条件!$C$6,"判定不能",IF(R725&gt;=判定条件!$C$7*Q725,"運転",IF(R725&lt;=判定条件!$C$8*Q725,"停止","断続")))</f>
        <v>判定不能</v>
      </c>
      <c r="T725" s="30" t="n">
        <v>60</v>
      </c>
      <c r="U725" s="30" t="n">
        <v>0</v>
      </c>
      <c r="V725" s="30" t="str">
        <f aca="false">IF(T725&lt;判定条件!$C$6,"判定不能",IF(U725&gt;=判定条件!$C$7*T725,"運転",IF(U725&lt;=判定条件!$C$8*T725,"停止","断続")))</f>
        <v>停止</v>
      </c>
      <c r="W725" s="30" t="n">
        <v>60</v>
      </c>
      <c r="X725" s="30" t="n">
        <v>0</v>
      </c>
      <c r="Y725" s="30" t="str">
        <f aca="false">IF(W725&lt;判定条件!$C$6,"判定不能",IF(X725&gt;=判定条件!$C$7*W725,"運転",IF(X725&lt;=判定条件!$C$8*W725,"停止","断続")))</f>
        <v>停止</v>
      </c>
      <c r="Z725" s="30" t="n">
        <v>60</v>
      </c>
      <c r="AA725" s="30" t="n">
        <v>0</v>
      </c>
      <c r="AB725" s="30" t="str">
        <f aca="false">IF(Z725&lt;判定条件!$C$6,"判定不能",IF(AA725&gt;=判定条件!$C$7*Z725,"運転",IF(AA725&lt;=判定条件!$C$8*Z725,"停止","断続")))</f>
        <v>停止</v>
      </c>
      <c r="AC725" s="30" t="n">
        <v>60</v>
      </c>
      <c r="AD725" s="30" t="n">
        <v>0</v>
      </c>
      <c r="AE725" s="30" t="str">
        <f aca="false">IF(AC725&lt;判定条件!$C$6,"判定不能",IF(AD725&gt;=判定条件!$C$7*AC725,"運転",IF(AD725&lt;=判定条件!$C$8*AC725,"停止","断続")))</f>
        <v>停止</v>
      </c>
      <c r="AF725" s="30" t="n">
        <v>60</v>
      </c>
      <c r="AG725" s="30" t="n">
        <v>0</v>
      </c>
      <c r="AH725" s="30" t="str">
        <f aca="false">IF(OR(P725="判定不能",G725="判定不能"),"判定不能",IF(AG725&gt;=判定条件!$C$9,"利用可",IF(AND(P725="停止",G725="停止"),"両方停止","運転がそろわない")))</f>
        <v>両方停止</v>
      </c>
      <c r="AI725" s="30" t="n">
        <v>0</v>
      </c>
      <c r="AJ725" s="30" t="n">
        <v>0</v>
      </c>
      <c r="AK725" s="30" t="str">
        <f aca="false">IF(OR(S725="判定不能",J725="判定不能"),"判定不能",IF(AJ725&gt;=判定条件!$C$9,"利用可",IF(AND(S725="停止",J725="停止"),"両方停止","運転がそろわない")))</f>
        <v>判定不能</v>
      </c>
      <c r="AL725" s="30" t="n">
        <v>60</v>
      </c>
      <c r="AM725" s="30" t="n">
        <v>0</v>
      </c>
      <c r="AN725" s="30" t="str">
        <f aca="false">IF(OR(V725="判定不能",M725="判定不能"),"判定不能",IF(AM725&gt;=判定条件!$C$9,"利用可",IF(AND(V725="停止",M725="停止"),"両方停止","運転がそろわない")))</f>
        <v>両方停止</v>
      </c>
      <c r="AO725" s="30" t="n">
        <v>60</v>
      </c>
      <c r="AP725" s="30" t="n">
        <v>0</v>
      </c>
      <c r="AQ725" s="30" t="str">
        <f aca="false">IF(OR(Y725="判定不能",G725="判定不能"),"判定不能",IF(AP725&gt;=判定条件!$C$9,"利用可",IF(AND(Y725="停止",G725="停止"),"両方停止","運転がそろわない")))</f>
        <v>両方停止</v>
      </c>
      <c r="AR725" s="30" t="n">
        <v>60</v>
      </c>
      <c r="AS725" s="30" t="n">
        <v>0</v>
      </c>
      <c r="AT725" s="30" t="str">
        <f aca="false">IF(OR(AB725="判定不能",J725="判定不能"),"判定不能",IF(AS725&gt;=判定条件!$C$9,"利用可",IF(AND(AB725="停止",J725="停止"),"両方停止","運転がそろわない")))</f>
        <v>両方停止</v>
      </c>
      <c r="AU725" s="30" t="n">
        <v>60</v>
      </c>
      <c r="AV725" s="30" t="n">
        <v>0</v>
      </c>
      <c r="AW725" s="30" t="str">
        <f aca="false">IF(OR(AE725="判定不能",M725="判定不能"),"判定不能",IF(AV725&gt;=判定条件!$C$9,"利用可",IF(AND(AE725="停止",M725="停止"),"両方停止","運転がそろわない")))</f>
        <v>両方停止</v>
      </c>
      <c r="AX725" s="30" t="str">
        <f aca="false">IF(AND(AH725="利用可",AK725="利用可",AN725="利用可"),"利用可","不可")</f>
        <v>不可</v>
      </c>
      <c r="AY725" s="30" t="str">
        <f aca="false">IF(AND(AQ725="利用可",AT725="利用可",AW725="利用可"),"利用可","不可")</f>
        <v>不可</v>
      </c>
    </row>
    <row r="726" customFormat="false" ht="15" hidden="false" customHeight="false" outlineLevel="0" collapsed="false">
      <c r="A726" s="29" t="n">
        <v>46262</v>
      </c>
      <c r="B726" s="30" t="n">
        <v>3</v>
      </c>
      <c r="C726" s="31" t="s">
        <v>62</v>
      </c>
      <c r="D726" s="31" t="s">
        <v>59</v>
      </c>
      <c r="E726" s="30" t="n">
        <v>60</v>
      </c>
      <c r="F726" s="30" t="n">
        <v>0</v>
      </c>
      <c r="G726" s="30" t="str">
        <f aca="false">IF(E726&lt;判定条件!$C$6,"判定不能",IF(F726&gt;=判定条件!$C$7*E726,"運転",IF(F726&lt;=判定条件!$C$8*E726,"停止","断続")))</f>
        <v>停止</v>
      </c>
      <c r="H726" s="30" t="n">
        <v>60</v>
      </c>
      <c r="I726" s="30" t="n">
        <v>0</v>
      </c>
      <c r="J726" s="30" t="str">
        <f aca="false">IF(H726&lt;判定条件!$C$6,"判定不能",IF(I726&gt;=判定条件!$C$7*H726,"運転",IF(I726&lt;=判定条件!$C$8*H726,"停止","断続")))</f>
        <v>停止</v>
      </c>
      <c r="K726" s="30" t="n">
        <v>60</v>
      </c>
      <c r="L726" s="30" t="n">
        <v>0</v>
      </c>
      <c r="M726" s="30" t="str">
        <f aca="false">IF(K726&lt;判定条件!$C$6,"判定不能",IF(L726&gt;=判定条件!$C$7*K726,"運転",IF(L726&lt;=判定条件!$C$8*K726,"停止","断続")))</f>
        <v>停止</v>
      </c>
      <c r="N726" s="30" t="n">
        <v>60</v>
      </c>
      <c r="O726" s="30" t="n">
        <v>0</v>
      </c>
      <c r="P726" s="30" t="str">
        <f aca="false">IF(N726&lt;判定条件!$C$6,"判定不能",IF(O726&gt;=判定条件!$C$7*N726,"運転",IF(O726&lt;=判定条件!$C$8*N726,"停止","断続")))</f>
        <v>停止</v>
      </c>
      <c r="Q726" s="30" t="n">
        <v>0</v>
      </c>
      <c r="R726" s="30" t="n">
        <v>0</v>
      </c>
      <c r="S726" s="30" t="str">
        <f aca="false">IF(Q726&lt;判定条件!$C$6,"判定不能",IF(R726&gt;=判定条件!$C$7*Q726,"運転",IF(R726&lt;=判定条件!$C$8*Q726,"停止","断続")))</f>
        <v>判定不能</v>
      </c>
      <c r="T726" s="30" t="n">
        <v>60</v>
      </c>
      <c r="U726" s="30" t="n">
        <v>0</v>
      </c>
      <c r="V726" s="30" t="str">
        <f aca="false">IF(T726&lt;判定条件!$C$6,"判定不能",IF(U726&gt;=判定条件!$C$7*T726,"運転",IF(U726&lt;=判定条件!$C$8*T726,"停止","断続")))</f>
        <v>停止</v>
      </c>
      <c r="W726" s="30" t="n">
        <v>60</v>
      </c>
      <c r="X726" s="30" t="n">
        <v>0</v>
      </c>
      <c r="Y726" s="30" t="str">
        <f aca="false">IF(W726&lt;判定条件!$C$6,"判定不能",IF(X726&gt;=判定条件!$C$7*W726,"運転",IF(X726&lt;=判定条件!$C$8*W726,"停止","断続")))</f>
        <v>停止</v>
      </c>
      <c r="Z726" s="30" t="n">
        <v>60</v>
      </c>
      <c r="AA726" s="30" t="n">
        <v>0</v>
      </c>
      <c r="AB726" s="30" t="str">
        <f aca="false">IF(Z726&lt;判定条件!$C$6,"判定不能",IF(AA726&gt;=判定条件!$C$7*Z726,"運転",IF(AA726&lt;=判定条件!$C$8*Z726,"停止","断続")))</f>
        <v>停止</v>
      </c>
      <c r="AC726" s="30" t="n">
        <v>60</v>
      </c>
      <c r="AD726" s="30" t="n">
        <v>0</v>
      </c>
      <c r="AE726" s="30" t="str">
        <f aca="false">IF(AC726&lt;判定条件!$C$6,"判定不能",IF(AD726&gt;=判定条件!$C$7*AC726,"運転",IF(AD726&lt;=判定条件!$C$8*AC726,"停止","断続")))</f>
        <v>停止</v>
      </c>
      <c r="AF726" s="30" t="n">
        <v>60</v>
      </c>
      <c r="AG726" s="30" t="n">
        <v>0</v>
      </c>
      <c r="AH726" s="30" t="str">
        <f aca="false">IF(OR(P726="判定不能",G726="判定不能"),"判定不能",IF(AG726&gt;=判定条件!$C$9,"利用可",IF(AND(P726="停止",G726="停止"),"両方停止","運転がそろわない")))</f>
        <v>両方停止</v>
      </c>
      <c r="AI726" s="30" t="n">
        <v>0</v>
      </c>
      <c r="AJ726" s="30" t="n">
        <v>0</v>
      </c>
      <c r="AK726" s="30" t="str">
        <f aca="false">IF(OR(S726="判定不能",J726="判定不能"),"判定不能",IF(AJ726&gt;=判定条件!$C$9,"利用可",IF(AND(S726="停止",J726="停止"),"両方停止","運転がそろわない")))</f>
        <v>判定不能</v>
      </c>
      <c r="AL726" s="30" t="n">
        <v>60</v>
      </c>
      <c r="AM726" s="30" t="n">
        <v>0</v>
      </c>
      <c r="AN726" s="30" t="str">
        <f aca="false">IF(OR(V726="判定不能",M726="判定不能"),"判定不能",IF(AM726&gt;=判定条件!$C$9,"利用可",IF(AND(V726="停止",M726="停止"),"両方停止","運転がそろわない")))</f>
        <v>両方停止</v>
      </c>
      <c r="AO726" s="30" t="n">
        <v>60</v>
      </c>
      <c r="AP726" s="30" t="n">
        <v>0</v>
      </c>
      <c r="AQ726" s="30" t="str">
        <f aca="false">IF(OR(Y726="判定不能",G726="判定不能"),"判定不能",IF(AP726&gt;=判定条件!$C$9,"利用可",IF(AND(Y726="停止",G726="停止"),"両方停止","運転がそろわない")))</f>
        <v>両方停止</v>
      </c>
      <c r="AR726" s="30" t="n">
        <v>60</v>
      </c>
      <c r="AS726" s="30" t="n">
        <v>0</v>
      </c>
      <c r="AT726" s="30" t="str">
        <f aca="false">IF(OR(AB726="判定不能",J726="判定不能"),"判定不能",IF(AS726&gt;=判定条件!$C$9,"利用可",IF(AND(AB726="停止",J726="停止"),"両方停止","運転がそろわない")))</f>
        <v>両方停止</v>
      </c>
      <c r="AU726" s="30" t="n">
        <v>60</v>
      </c>
      <c r="AV726" s="30" t="n">
        <v>0</v>
      </c>
      <c r="AW726" s="30" t="str">
        <f aca="false">IF(OR(AE726="判定不能",M726="判定不能"),"判定不能",IF(AV726&gt;=判定条件!$C$9,"利用可",IF(AND(AE726="停止",M726="停止"),"両方停止","運転がそろわない")))</f>
        <v>両方停止</v>
      </c>
      <c r="AX726" s="30" t="str">
        <f aca="false">IF(AND(AH726="利用可",AK726="利用可",AN726="利用可"),"利用可","不可")</f>
        <v>不可</v>
      </c>
      <c r="AY726" s="30" t="str">
        <f aca="false">IF(AND(AQ726="利用可",AT726="利用可",AW726="利用可"),"利用可","不可")</f>
        <v>不可</v>
      </c>
    </row>
    <row r="727" customFormat="false" ht="15" hidden="false" customHeight="false" outlineLevel="0" collapsed="false">
      <c r="A727" s="29" t="n">
        <v>46262</v>
      </c>
      <c r="B727" s="30" t="n">
        <v>4</v>
      </c>
      <c r="C727" s="31" t="s">
        <v>62</v>
      </c>
      <c r="D727" s="31" t="s">
        <v>59</v>
      </c>
      <c r="E727" s="30" t="n">
        <v>60</v>
      </c>
      <c r="F727" s="30" t="n">
        <v>0</v>
      </c>
      <c r="G727" s="30" t="str">
        <f aca="false">IF(E727&lt;判定条件!$C$6,"判定不能",IF(F727&gt;=判定条件!$C$7*E727,"運転",IF(F727&lt;=判定条件!$C$8*E727,"停止","断続")))</f>
        <v>停止</v>
      </c>
      <c r="H727" s="30" t="n">
        <v>60</v>
      </c>
      <c r="I727" s="30" t="n">
        <v>0</v>
      </c>
      <c r="J727" s="30" t="str">
        <f aca="false">IF(H727&lt;判定条件!$C$6,"判定不能",IF(I727&gt;=判定条件!$C$7*H727,"運転",IF(I727&lt;=判定条件!$C$8*H727,"停止","断続")))</f>
        <v>停止</v>
      </c>
      <c r="K727" s="30" t="n">
        <v>60</v>
      </c>
      <c r="L727" s="30" t="n">
        <v>0</v>
      </c>
      <c r="M727" s="30" t="str">
        <f aca="false">IF(K727&lt;判定条件!$C$6,"判定不能",IF(L727&gt;=判定条件!$C$7*K727,"運転",IF(L727&lt;=判定条件!$C$8*K727,"停止","断続")))</f>
        <v>停止</v>
      </c>
      <c r="N727" s="30" t="n">
        <v>60</v>
      </c>
      <c r="O727" s="30" t="n">
        <v>0</v>
      </c>
      <c r="P727" s="30" t="str">
        <f aca="false">IF(N727&lt;判定条件!$C$6,"判定不能",IF(O727&gt;=判定条件!$C$7*N727,"運転",IF(O727&lt;=判定条件!$C$8*N727,"停止","断続")))</f>
        <v>停止</v>
      </c>
      <c r="Q727" s="30" t="n">
        <v>0</v>
      </c>
      <c r="R727" s="30" t="n">
        <v>0</v>
      </c>
      <c r="S727" s="30" t="str">
        <f aca="false">IF(Q727&lt;判定条件!$C$6,"判定不能",IF(R727&gt;=判定条件!$C$7*Q727,"運転",IF(R727&lt;=判定条件!$C$8*Q727,"停止","断続")))</f>
        <v>判定不能</v>
      </c>
      <c r="T727" s="30" t="n">
        <v>60</v>
      </c>
      <c r="U727" s="30" t="n">
        <v>0</v>
      </c>
      <c r="V727" s="30" t="str">
        <f aca="false">IF(T727&lt;判定条件!$C$6,"判定不能",IF(U727&gt;=判定条件!$C$7*T727,"運転",IF(U727&lt;=判定条件!$C$8*T727,"停止","断続")))</f>
        <v>停止</v>
      </c>
      <c r="W727" s="30" t="n">
        <v>60</v>
      </c>
      <c r="X727" s="30" t="n">
        <v>0</v>
      </c>
      <c r="Y727" s="30" t="str">
        <f aca="false">IF(W727&lt;判定条件!$C$6,"判定不能",IF(X727&gt;=判定条件!$C$7*W727,"運転",IF(X727&lt;=判定条件!$C$8*W727,"停止","断続")))</f>
        <v>停止</v>
      </c>
      <c r="Z727" s="30" t="n">
        <v>60</v>
      </c>
      <c r="AA727" s="30" t="n">
        <v>0</v>
      </c>
      <c r="AB727" s="30" t="str">
        <f aca="false">IF(Z727&lt;判定条件!$C$6,"判定不能",IF(AA727&gt;=判定条件!$C$7*Z727,"運転",IF(AA727&lt;=判定条件!$C$8*Z727,"停止","断続")))</f>
        <v>停止</v>
      </c>
      <c r="AC727" s="30" t="n">
        <v>60</v>
      </c>
      <c r="AD727" s="30" t="n">
        <v>0</v>
      </c>
      <c r="AE727" s="30" t="str">
        <f aca="false">IF(AC727&lt;判定条件!$C$6,"判定不能",IF(AD727&gt;=判定条件!$C$7*AC727,"運転",IF(AD727&lt;=判定条件!$C$8*AC727,"停止","断続")))</f>
        <v>停止</v>
      </c>
      <c r="AF727" s="30" t="n">
        <v>60</v>
      </c>
      <c r="AG727" s="30" t="n">
        <v>0</v>
      </c>
      <c r="AH727" s="30" t="str">
        <f aca="false">IF(OR(P727="判定不能",G727="判定不能"),"判定不能",IF(AG727&gt;=判定条件!$C$9,"利用可",IF(AND(P727="停止",G727="停止"),"両方停止","運転がそろわない")))</f>
        <v>両方停止</v>
      </c>
      <c r="AI727" s="30" t="n">
        <v>0</v>
      </c>
      <c r="AJ727" s="30" t="n">
        <v>0</v>
      </c>
      <c r="AK727" s="30" t="str">
        <f aca="false">IF(OR(S727="判定不能",J727="判定不能"),"判定不能",IF(AJ727&gt;=判定条件!$C$9,"利用可",IF(AND(S727="停止",J727="停止"),"両方停止","運転がそろわない")))</f>
        <v>判定不能</v>
      </c>
      <c r="AL727" s="30" t="n">
        <v>60</v>
      </c>
      <c r="AM727" s="30" t="n">
        <v>0</v>
      </c>
      <c r="AN727" s="30" t="str">
        <f aca="false">IF(OR(V727="判定不能",M727="判定不能"),"判定不能",IF(AM727&gt;=判定条件!$C$9,"利用可",IF(AND(V727="停止",M727="停止"),"両方停止","運転がそろわない")))</f>
        <v>両方停止</v>
      </c>
      <c r="AO727" s="30" t="n">
        <v>60</v>
      </c>
      <c r="AP727" s="30" t="n">
        <v>0</v>
      </c>
      <c r="AQ727" s="30" t="str">
        <f aca="false">IF(OR(Y727="判定不能",G727="判定不能"),"判定不能",IF(AP727&gt;=判定条件!$C$9,"利用可",IF(AND(Y727="停止",G727="停止"),"両方停止","運転がそろわない")))</f>
        <v>両方停止</v>
      </c>
      <c r="AR727" s="30" t="n">
        <v>60</v>
      </c>
      <c r="AS727" s="30" t="n">
        <v>0</v>
      </c>
      <c r="AT727" s="30" t="str">
        <f aca="false">IF(OR(AB727="判定不能",J727="判定不能"),"判定不能",IF(AS727&gt;=判定条件!$C$9,"利用可",IF(AND(AB727="停止",J727="停止"),"両方停止","運転がそろわない")))</f>
        <v>両方停止</v>
      </c>
      <c r="AU727" s="30" t="n">
        <v>60</v>
      </c>
      <c r="AV727" s="30" t="n">
        <v>0</v>
      </c>
      <c r="AW727" s="30" t="str">
        <f aca="false">IF(OR(AE727="判定不能",M727="判定不能"),"判定不能",IF(AV727&gt;=判定条件!$C$9,"利用可",IF(AND(AE727="停止",M727="停止"),"両方停止","運転がそろわない")))</f>
        <v>両方停止</v>
      </c>
      <c r="AX727" s="30" t="str">
        <f aca="false">IF(AND(AH727="利用可",AK727="利用可",AN727="利用可"),"利用可","不可")</f>
        <v>不可</v>
      </c>
      <c r="AY727" s="30" t="str">
        <f aca="false">IF(AND(AQ727="利用可",AT727="利用可",AW727="利用可"),"利用可","不可")</f>
        <v>不可</v>
      </c>
    </row>
    <row r="728" customFormat="false" ht="15" hidden="false" customHeight="false" outlineLevel="0" collapsed="false">
      <c r="A728" s="29" t="n">
        <v>46262</v>
      </c>
      <c r="B728" s="30" t="n">
        <v>5</v>
      </c>
      <c r="C728" s="31" t="s">
        <v>62</v>
      </c>
      <c r="D728" s="31" t="s">
        <v>59</v>
      </c>
      <c r="E728" s="30" t="n">
        <v>60</v>
      </c>
      <c r="F728" s="30" t="n">
        <v>0</v>
      </c>
      <c r="G728" s="30" t="str">
        <f aca="false">IF(E728&lt;判定条件!$C$6,"判定不能",IF(F728&gt;=判定条件!$C$7*E728,"運転",IF(F728&lt;=判定条件!$C$8*E728,"停止","断続")))</f>
        <v>停止</v>
      </c>
      <c r="H728" s="30" t="n">
        <v>60</v>
      </c>
      <c r="I728" s="30" t="n">
        <v>0</v>
      </c>
      <c r="J728" s="30" t="str">
        <f aca="false">IF(H728&lt;判定条件!$C$6,"判定不能",IF(I728&gt;=判定条件!$C$7*H728,"運転",IF(I728&lt;=判定条件!$C$8*H728,"停止","断続")))</f>
        <v>停止</v>
      </c>
      <c r="K728" s="30" t="n">
        <v>60</v>
      </c>
      <c r="L728" s="30" t="n">
        <v>0</v>
      </c>
      <c r="M728" s="30" t="str">
        <f aca="false">IF(K728&lt;判定条件!$C$6,"判定不能",IF(L728&gt;=判定条件!$C$7*K728,"運転",IF(L728&lt;=判定条件!$C$8*K728,"停止","断続")))</f>
        <v>停止</v>
      </c>
      <c r="N728" s="30" t="n">
        <v>60</v>
      </c>
      <c r="O728" s="30" t="n">
        <v>0</v>
      </c>
      <c r="P728" s="30" t="str">
        <f aca="false">IF(N728&lt;判定条件!$C$6,"判定不能",IF(O728&gt;=判定条件!$C$7*N728,"運転",IF(O728&lt;=判定条件!$C$8*N728,"停止","断続")))</f>
        <v>停止</v>
      </c>
      <c r="Q728" s="30" t="n">
        <v>0</v>
      </c>
      <c r="R728" s="30" t="n">
        <v>0</v>
      </c>
      <c r="S728" s="30" t="str">
        <f aca="false">IF(Q728&lt;判定条件!$C$6,"判定不能",IF(R728&gt;=判定条件!$C$7*Q728,"運転",IF(R728&lt;=判定条件!$C$8*Q728,"停止","断続")))</f>
        <v>判定不能</v>
      </c>
      <c r="T728" s="30" t="n">
        <v>60</v>
      </c>
      <c r="U728" s="30" t="n">
        <v>0</v>
      </c>
      <c r="V728" s="30" t="str">
        <f aca="false">IF(T728&lt;判定条件!$C$6,"判定不能",IF(U728&gt;=判定条件!$C$7*T728,"運転",IF(U728&lt;=判定条件!$C$8*T728,"停止","断続")))</f>
        <v>停止</v>
      </c>
      <c r="W728" s="30" t="n">
        <v>60</v>
      </c>
      <c r="X728" s="30" t="n">
        <v>0</v>
      </c>
      <c r="Y728" s="30" t="str">
        <f aca="false">IF(W728&lt;判定条件!$C$6,"判定不能",IF(X728&gt;=判定条件!$C$7*W728,"運転",IF(X728&lt;=判定条件!$C$8*W728,"停止","断続")))</f>
        <v>停止</v>
      </c>
      <c r="Z728" s="30" t="n">
        <v>60</v>
      </c>
      <c r="AA728" s="30" t="n">
        <v>0</v>
      </c>
      <c r="AB728" s="30" t="str">
        <f aca="false">IF(Z728&lt;判定条件!$C$6,"判定不能",IF(AA728&gt;=判定条件!$C$7*Z728,"運転",IF(AA728&lt;=判定条件!$C$8*Z728,"停止","断続")))</f>
        <v>停止</v>
      </c>
      <c r="AC728" s="30" t="n">
        <v>60</v>
      </c>
      <c r="AD728" s="30" t="n">
        <v>0</v>
      </c>
      <c r="AE728" s="30" t="str">
        <f aca="false">IF(AC728&lt;判定条件!$C$6,"判定不能",IF(AD728&gt;=判定条件!$C$7*AC728,"運転",IF(AD728&lt;=判定条件!$C$8*AC728,"停止","断続")))</f>
        <v>停止</v>
      </c>
      <c r="AF728" s="30" t="n">
        <v>60</v>
      </c>
      <c r="AG728" s="30" t="n">
        <v>0</v>
      </c>
      <c r="AH728" s="30" t="str">
        <f aca="false">IF(OR(P728="判定不能",G728="判定不能"),"判定不能",IF(AG728&gt;=判定条件!$C$9,"利用可",IF(AND(P728="停止",G728="停止"),"両方停止","運転がそろわない")))</f>
        <v>両方停止</v>
      </c>
      <c r="AI728" s="30" t="n">
        <v>0</v>
      </c>
      <c r="AJ728" s="30" t="n">
        <v>0</v>
      </c>
      <c r="AK728" s="30" t="str">
        <f aca="false">IF(OR(S728="判定不能",J728="判定不能"),"判定不能",IF(AJ728&gt;=判定条件!$C$9,"利用可",IF(AND(S728="停止",J728="停止"),"両方停止","運転がそろわない")))</f>
        <v>判定不能</v>
      </c>
      <c r="AL728" s="30" t="n">
        <v>60</v>
      </c>
      <c r="AM728" s="30" t="n">
        <v>0</v>
      </c>
      <c r="AN728" s="30" t="str">
        <f aca="false">IF(OR(V728="判定不能",M728="判定不能"),"判定不能",IF(AM728&gt;=判定条件!$C$9,"利用可",IF(AND(V728="停止",M728="停止"),"両方停止","運転がそろわない")))</f>
        <v>両方停止</v>
      </c>
      <c r="AO728" s="30" t="n">
        <v>60</v>
      </c>
      <c r="AP728" s="30" t="n">
        <v>0</v>
      </c>
      <c r="AQ728" s="30" t="str">
        <f aca="false">IF(OR(Y728="判定不能",G728="判定不能"),"判定不能",IF(AP728&gt;=判定条件!$C$9,"利用可",IF(AND(Y728="停止",G728="停止"),"両方停止","運転がそろわない")))</f>
        <v>両方停止</v>
      </c>
      <c r="AR728" s="30" t="n">
        <v>60</v>
      </c>
      <c r="AS728" s="30" t="n">
        <v>0</v>
      </c>
      <c r="AT728" s="30" t="str">
        <f aca="false">IF(OR(AB728="判定不能",J728="判定不能"),"判定不能",IF(AS728&gt;=判定条件!$C$9,"利用可",IF(AND(AB728="停止",J728="停止"),"両方停止","運転がそろわない")))</f>
        <v>両方停止</v>
      </c>
      <c r="AU728" s="30" t="n">
        <v>60</v>
      </c>
      <c r="AV728" s="30" t="n">
        <v>0</v>
      </c>
      <c r="AW728" s="30" t="str">
        <f aca="false">IF(OR(AE728="判定不能",M728="判定不能"),"判定不能",IF(AV728&gt;=判定条件!$C$9,"利用可",IF(AND(AE728="停止",M728="停止"),"両方停止","運転がそろわない")))</f>
        <v>両方停止</v>
      </c>
      <c r="AX728" s="30" t="str">
        <f aca="false">IF(AND(AH728="利用可",AK728="利用可",AN728="利用可"),"利用可","不可")</f>
        <v>不可</v>
      </c>
      <c r="AY728" s="30" t="str">
        <f aca="false">IF(AND(AQ728="利用可",AT728="利用可",AW728="利用可"),"利用可","不可")</f>
        <v>不可</v>
      </c>
    </row>
    <row r="729" customFormat="false" ht="15" hidden="false" customHeight="false" outlineLevel="0" collapsed="false">
      <c r="A729" s="29" t="n">
        <v>46262</v>
      </c>
      <c r="B729" s="30" t="n">
        <v>6</v>
      </c>
      <c r="C729" s="31" t="s">
        <v>62</v>
      </c>
      <c r="D729" s="31" t="s">
        <v>59</v>
      </c>
      <c r="E729" s="30" t="n">
        <v>60</v>
      </c>
      <c r="F729" s="30" t="n">
        <v>0</v>
      </c>
      <c r="G729" s="30" t="str">
        <f aca="false">IF(E729&lt;判定条件!$C$6,"判定不能",IF(F729&gt;=判定条件!$C$7*E729,"運転",IF(F729&lt;=判定条件!$C$8*E729,"停止","断続")))</f>
        <v>停止</v>
      </c>
      <c r="H729" s="30" t="n">
        <v>60</v>
      </c>
      <c r="I729" s="30" t="n">
        <v>0</v>
      </c>
      <c r="J729" s="30" t="str">
        <f aca="false">IF(H729&lt;判定条件!$C$6,"判定不能",IF(I729&gt;=判定条件!$C$7*H729,"運転",IF(I729&lt;=判定条件!$C$8*H729,"停止","断続")))</f>
        <v>停止</v>
      </c>
      <c r="K729" s="30" t="n">
        <v>60</v>
      </c>
      <c r="L729" s="30" t="n">
        <v>0</v>
      </c>
      <c r="M729" s="30" t="str">
        <f aca="false">IF(K729&lt;判定条件!$C$6,"判定不能",IF(L729&gt;=判定条件!$C$7*K729,"運転",IF(L729&lt;=判定条件!$C$8*K729,"停止","断続")))</f>
        <v>停止</v>
      </c>
      <c r="N729" s="30" t="n">
        <v>60</v>
      </c>
      <c r="O729" s="30" t="n">
        <v>0</v>
      </c>
      <c r="P729" s="30" t="str">
        <f aca="false">IF(N729&lt;判定条件!$C$6,"判定不能",IF(O729&gt;=判定条件!$C$7*N729,"運転",IF(O729&lt;=判定条件!$C$8*N729,"停止","断続")))</f>
        <v>停止</v>
      </c>
      <c r="Q729" s="30" t="n">
        <v>0</v>
      </c>
      <c r="R729" s="30" t="n">
        <v>0</v>
      </c>
      <c r="S729" s="30" t="str">
        <f aca="false">IF(Q729&lt;判定条件!$C$6,"判定不能",IF(R729&gt;=判定条件!$C$7*Q729,"運転",IF(R729&lt;=判定条件!$C$8*Q729,"停止","断続")))</f>
        <v>判定不能</v>
      </c>
      <c r="T729" s="30" t="n">
        <v>60</v>
      </c>
      <c r="U729" s="30" t="n">
        <v>6</v>
      </c>
      <c r="V729" s="30" t="str">
        <f aca="false">IF(T729&lt;判定条件!$C$6,"判定不能",IF(U729&gt;=判定条件!$C$7*T729,"運転",IF(U729&lt;=判定条件!$C$8*T729,"停止","断続")))</f>
        <v>停止</v>
      </c>
      <c r="W729" s="30" t="n">
        <v>60</v>
      </c>
      <c r="X729" s="30" t="n">
        <v>36</v>
      </c>
      <c r="Y729" s="30" t="str">
        <f aca="false">IF(W729&lt;判定条件!$C$6,"判定不能",IF(X729&gt;=判定条件!$C$7*W729,"運転",IF(X729&lt;=判定条件!$C$8*W729,"停止","断続")))</f>
        <v>断続</v>
      </c>
      <c r="Z729" s="30" t="n">
        <v>60</v>
      </c>
      <c r="AA729" s="30" t="n">
        <v>35</v>
      </c>
      <c r="AB729" s="30" t="str">
        <f aca="false">IF(Z729&lt;判定条件!$C$6,"判定不能",IF(AA729&gt;=判定条件!$C$7*Z729,"運転",IF(AA729&lt;=判定条件!$C$8*Z729,"停止","断続")))</f>
        <v>断続</v>
      </c>
      <c r="AC729" s="30" t="n">
        <v>60</v>
      </c>
      <c r="AD729" s="30" t="n">
        <v>35</v>
      </c>
      <c r="AE729" s="30" t="str">
        <f aca="false">IF(AC729&lt;判定条件!$C$6,"判定不能",IF(AD729&gt;=判定条件!$C$7*AC729,"運転",IF(AD729&lt;=判定条件!$C$8*AC729,"停止","断続")))</f>
        <v>断続</v>
      </c>
      <c r="AF729" s="30" t="n">
        <v>60</v>
      </c>
      <c r="AG729" s="30" t="n">
        <v>0</v>
      </c>
      <c r="AH729" s="30" t="str">
        <f aca="false">IF(OR(P729="判定不能",G729="判定不能"),"判定不能",IF(AG729&gt;=判定条件!$C$9,"利用可",IF(AND(P729="停止",G729="停止"),"両方停止","運転がそろわない")))</f>
        <v>両方停止</v>
      </c>
      <c r="AI729" s="30" t="n">
        <v>0</v>
      </c>
      <c r="AJ729" s="30" t="n">
        <v>0</v>
      </c>
      <c r="AK729" s="30" t="str">
        <f aca="false">IF(OR(S729="判定不能",J729="判定不能"),"判定不能",IF(AJ729&gt;=判定条件!$C$9,"利用可",IF(AND(S729="停止",J729="停止"),"両方停止","運転がそろわない")))</f>
        <v>判定不能</v>
      </c>
      <c r="AL729" s="30" t="n">
        <v>60</v>
      </c>
      <c r="AM729" s="30" t="n">
        <v>0</v>
      </c>
      <c r="AN729" s="30" t="str">
        <f aca="false">IF(OR(V729="判定不能",M729="判定不能"),"判定不能",IF(AM729&gt;=判定条件!$C$9,"利用可",IF(AND(V729="停止",M729="停止"),"両方停止","運転がそろわない")))</f>
        <v>両方停止</v>
      </c>
      <c r="AO729" s="30" t="n">
        <v>60</v>
      </c>
      <c r="AP729" s="30" t="n">
        <v>0</v>
      </c>
      <c r="AQ729" s="30" t="str">
        <f aca="false">IF(OR(Y729="判定不能",G729="判定不能"),"判定不能",IF(AP729&gt;=判定条件!$C$9,"利用可",IF(AND(Y729="停止",G729="停止"),"両方停止","運転がそろわない")))</f>
        <v>運転がそろわない</v>
      </c>
      <c r="AR729" s="30" t="n">
        <v>60</v>
      </c>
      <c r="AS729" s="30" t="n">
        <v>0</v>
      </c>
      <c r="AT729" s="30" t="str">
        <f aca="false">IF(OR(AB729="判定不能",J729="判定不能"),"判定不能",IF(AS729&gt;=判定条件!$C$9,"利用可",IF(AND(AB729="停止",J729="停止"),"両方停止","運転がそろわない")))</f>
        <v>運転がそろわない</v>
      </c>
      <c r="AU729" s="30" t="n">
        <v>60</v>
      </c>
      <c r="AV729" s="30" t="n">
        <v>0</v>
      </c>
      <c r="AW729" s="30" t="str">
        <f aca="false">IF(OR(AE729="判定不能",M729="判定不能"),"判定不能",IF(AV729&gt;=判定条件!$C$9,"利用可",IF(AND(AE729="停止",M729="停止"),"両方停止","運転がそろわない")))</f>
        <v>運転がそろわない</v>
      </c>
      <c r="AX729" s="30" t="str">
        <f aca="false">IF(AND(AH729="利用可",AK729="利用可",AN729="利用可"),"利用可","不可")</f>
        <v>不可</v>
      </c>
      <c r="AY729" s="30" t="str">
        <f aca="false">IF(AND(AQ729="利用可",AT729="利用可",AW729="利用可"),"利用可","不可")</f>
        <v>不可</v>
      </c>
    </row>
    <row r="730" customFormat="false" ht="15" hidden="false" customHeight="false" outlineLevel="0" collapsed="false">
      <c r="A730" s="29" t="n">
        <v>46262</v>
      </c>
      <c r="B730" s="30" t="n">
        <v>7</v>
      </c>
      <c r="C730" s="31" t="s">
        <v>62</v>
      </c>
      <c r="D730" s="31" t="s">
        <v>59</v>
      </c>
      <c r="E730" s="30" t="n">
        <v>60</v>
      </c>
      <c r="F730" s="30" t="n">
        <v>2</v>
      </c>
      <c r="G730" s="30" t="str">
        <f aca="false">IF(E730&lt;判定条件!$C$6,"判定不能",IF(F730&gt;=判定条件!$C$7*E730,"運転",IF(F730&lt;=判定条件!$C$8*E730,"停止","断続")))</f>
        <v>停止</v>
      </c>
      <c r="H730" s="30" t="n">
        <v>60</v>
      </c>
      <c r="I730" s="30" t="n">
        <v>0</v>
      </c>
      <c r="J730" s="30" t="str">
        <f aca="false">IF(H730&lt;判定条件!$C$6,"判定不能",IF(I730&gt;=判定条件!$C$7*H730,"運転",IF(I730&lt;=判定条件!$C$8*H730,"停止","断続")))</f>
        <v>停止</v>
      </c>
      <c r="K730" s="30" t="n">
        <v>60</v>
      </c>
      <c r="L730" s="30" t="n">
        <v>0</v>
      </c>
      <c r="M730" s="30" t="str">
        <f aca="false">IF(K730&lt;判定条件!$C$6,"判定不能",IF(L730&gt;=判定条件!$C$7*K730,"運転",IF(L730&lt;=判定条件!$C$8*K730,"停止","断続")))</f>
        <v>停止</v>
      </c>
      <c r="N730" s="30" t="n">
        <v>60</v>
      </c>
      <c r="O730" s="30" t="n">
        <v>37</v>
      </c>
      <c r="P730" s="30" t="str">
        <f aca="false">IF(N730&lt;判定条件!$C$6,"判定不能",IF(O730&gt;=判定条件!$C$7*N730,"運転",IF(O730&lt;=判定条件!$C$8*N730,"停止","断続")))</f>
        <v>断続</v>
      </c>
      <c r="Q730" s="30" t="n">
        <v>0</v>
      </c>
      <c r="R730" s="30" t="n">
        <v>0</v>
      </c>
      <c r="S730" s="30" t="str">
        <f aca="false">IF(Q730&lt;判定条件!$C$6,"判定不能",IF(R730&gt;=判定条件!$C$7*Q730,"運転",IF(R730&lt;=判定条件!$C$8*Q730,"停止","断続")))</f>
        <v>判定不能</v>
      </c>
      <c r="T730" s="30" t="n">
        <v>60</v>
      </c>
      <c r="U730" s="30" t="n">
        <v>60</v>
      </c>
      <c r="V730" s="30" t="str">
        <f aca="false">IF(T730&lt;判定条件!$C$6,"判定不能",IF(U730&gt;=判定条件!$C$7*T730,"運転",IF(U730&lt;=判定条件!$C$8*T730,"停止","断続")))</f>
        <v>運転</v>
      </c>
      <c r="W730" s="30" t="n">
        <v>60</v>
      </c>
      <c r="X730" s="30" t="n">
        <v>48</v>
      </c>
      <c r="Y730" s="30" t="str">
        <f aca="false">IF(W730&lt;判定条件!$C$6,"判定不能",IF(X730&gt;=判定条件!$C$7*W730,"運転",IF(X730&lt;=判定条件!$C$8*W730,"停止","断続")))</f>
        <v>運転</v>
      </c>
      <c r="Z730" s="30" t="n">
        <v>60</v>
      </c>
      <c r="AA730" s="30" t="n">
        <v>60</v>
      </c>
      <c r="AB730" s="30" t="str">
        <f aca="false">IF(Z730&lt;判定条件!$C$6,"判定不能",IF(AA730&gt;=判定条件!$C$7*Z730,"運転",IF(AA730&lt;=判定条件!$C$8*Z730,"停止","断続")))</f>
        <v>運転</v>
      </c>
      <c r="AC730" s="30" t="n">
        <v>60</v>
      </c>
      <c r="AD730" s="30" t="n">
        <v>60</v>
      </c>
      <c r="AE730" s="30" t="str">
        <f aca="false">IF(AC730&lt;判定条件!$C$6,"判定不能",IF(AD730&gt;=判定条件!$C$7*AC730,"運転",IF(AD730&lt;=判定条件!$C$8*AC730,"停止","断続")))</f>
        <v>運転</v>
      </c>
      <c r="AF730" s="30" t="n">
        <v>60</v>
      </c>
      <c r="AG730" s="30" t="n">
        <v>2</v>
      </c>
      <c r="AH730" s="30" t="str">
        <f aca="false">IF(OR(P730="判定不能",G730="判定不能"),"判定不能",IF(AG730&gt;=判定条件!$C$9,"利用可",IF(AND(P730="停止",G730="停止"),"両方停止","運転がそろわない")))</f>
        <v>運転がそろわない</v>
      </c>
      <c r="AI730" s="30" t="n">
        <v>0</v>
      </c>
      <c r="AJ730" s="30" t="n">
        <v>0</v>
      </c>
      <c r="AK730" s="30" t="str">
        <f aca="false">IF(OR(S730="判定不能",J730="判定不能"),"判定不能",IF(AJ730&gt;=判定条件!$C$9,"利用可",IF(AND(S730="停止",J730="停止"),"両方停止","運転がそろわない")))</f>
        <v>判定不能</v>
      </c>
      <c r="AL730" s="30" t="n">
        <v>60</v>
      </c>
      <c r="AM730" s="30" t="n">
        <v>0</v>
      </c>
      <c r="AN730" s="30" t="str">
        <f aca="false">IF(OR(V730="判定不能",M730="判定不能"),"判定不能",IF(AM730&gt;=判定条件!$C$9,"利用可",IF(AND(V730="停止",M730="停止"),"両方停止","運転がそろわない")))</f>
        <v>運転がそろわない</v>
      </c>
      <c r="AO730" s="30" t="n">
        <v>60</v>
      </c>
      <c r="AP730" s="30" t="n">
        <v>2</v>
      </c>
      <c r="AQ730" s="30" t="str">
        <f aca="false">IF(OR(Y730="判定不能",G730="判定不能"),"判定不能",IF(AP730&gt;=判定条件!$C$9,"利用可",IF(AND(Y730="停止",G730="停止"),"両方停止","運転がそろわない")))</f>
        <v>運転がそろわない</v>
      </c>
      <c r="AR730" s="30" t="n">
        <v>60</v>
      </c>
      <c r="AS730" s="30" t="n">
        <v>0</v>
      </c>
      <c r="AT730" s="30" t="str">
        <f aca="false">IF(OR(AB730="判定不能",J730="判定不能"),"判定不能",IF(AS730&gt;=判定条件!$C$9,"利用可",IF(AND(AB730="停止",J730="停止"),"両方停止","運転がそろわない")))</f>
        <v>運転がそろわない</v>
      </c>
      <c r="AU730" s="30" t="n">
        <v>60</v>
      </c>
      <c r="AV730" s="30" t="n">
        <v>0</v>
      </c>
      <c r="AW730" s="30" t="str">
        <f aca="false">IF(OR(AE730="判定不能",M730="判定不能"),"判定不能",IF(AV730&gt;=判定条件!$C$9,"利用可",IF(AND(AE730="停止",M730="停止"),"両方停止","運転がそろわない")))</f>
        <v>運転がそろわない</v>
      </c>
      <c r="AX730" s="30" t="str">
        <f aca="false">IF(AND(AH730="利用可",AK730="利用可",AN730="利用可"),"利用可","不可")</f>
        <v>不可</v>
      </c>
      <c r="AY730" s="30" t="str">
        <f aca="false">IF(AND(AQ730="利用可",AT730="利用可",AW730="利用可"),"利用可","不可")</f>
        <v>不可</v>
      </c>
    </row>
    <row r="731" customFormat="false" ht="15" hidden="false" customHeight="false" outlineLevel="0" collapsed="false">
      <c r="A731" s="29" t="n">
        <v>46262</v>
      </c>
      <c r="B731" s="30" t="n">
        <v>8</v>
      </c>
      <c r="C731" s="31" t="s">
        <v>62</v>
      </c>
      <c r="D731" s="31" t="s">
        <v>59</v>
      </c>
      <c r="E731" s="30" t="n">
        <v>60</v>
      </c>
      <c r="F731" s="30" t="n">
        <v>30</v>
      </c>
      <c r="G731" s="30" t="str">
        <f aca="false">IF(E731&lt;判定条件!$C$6,"判定不能",IF(F731&gt;=判定条件!$C$7*E731,"運転",IF(F731&lt;=判定条件!$C$8*E731,"停止","断続")))</f>
        <v>断続</v>
      </c>
      <c r="H731" s="30" t="n">
        <v>60</v>
      </c>
      <c r="I731" s="30" t="n">
        <v>27</v>
      </c>
      <c r="J731" s="30" t="str">
        <f aca="false">IF(H731&lt;判定条件!$C$6,"判定不能",IF(I731&gt;=判定条件!$C$7*H731,"運転",IF(I731&lt;=判定条件!$C$8*H731,"停止","断続")))</f>
        <v>断続</v>
      </c>
      <c r="K731" s="30" t="n">
        <v>60</v>
      </c>
      <c r="L731" s="30" t="n">
        <v>28</v>
      </c>
      <c r="M731" s="30" t="str">
        <f aca="false">IF(K731&lt;判定条件!$C$6,"判定不能",IF(L731&gt;=判定条件!$C$7*K731,"運転",IF(L731&lt;=判定条件!$C$8*K731,"停止","断続")))</f>
        <v>断続</v>
      </c>
      <c r="N731" s="30" t="n">
        <v>60</v>
      </c>
      <c r="O731" s="30" t="n">
        <v>20</v>
      </c>
      <c r="P731" s="30" t="str">
        <f aca="false">IF(N731&lt;判定条件!$C$6,"判定不能",IF(O731&gt;=判定条件!$C$7*N731,"運転",IF(O731&lt;=判定条件!$C$8*N731,"停止","断続")))</f>
        <v>断続</v>
      </c>
      <c r="Q731" s="30" t="n">
        <v>0</v>
      </c>
      <c r="R731" s="30" t="n">
        <v>0</v>
      </c>
      <c r="S731" s="30" t="str">
        <f aca="false">IF(Q731&lt;判定条件!$C$6,"判定不能",IF(R731&gt;=判定条件!$C$7*Q731,"運転",IF(R731&lt;=判定条件!$C$8*Q731,"停止","断続")))</f>
        <v>判定不能</v>
      </c>
      <c r="T731" s="30" t="n">
        <v>60</v>
      </c>
      <c r="U731" s="30" t="n">
        <v>60</v>
      </c>
      <c r="V731" s="30" t="str">
        <f aca="false">IF(T731&lt;判定条件!$C$6,"判定不能",IF(U731&gt;=判定条件!$C$7*T731,"運転",IF(U731&lt;=判定条件!$C$8*T731,"停止","断続")))</f>
        <v>運転</v>
      </c>
      <c r="W731" s="30" t="n">
        <v>60</v>
      </c>
      <c r="X731" s="30" t="n">
        <v>60</v>
      </c>
      <c r="Y731" s="30" t="str">
        <f aca="false">IF(W731&lt;判定条件!$C$6,"判定不能",IF(X731&gt;=判定条件!$C$7*W731,"運転",IF(X731&lt;=判定条件!$C$8*W731,"停止","断続")))</f>
        <v>運転</v>
      </c>
      <c r="Z731" s="30" t="n">
        <v>60</v>
      </c>
      <c r="AA731" s="30" t="n">
        <v>60</v>
      </c>
      <c r="AB731" s="30" t="str">
        <f aca="false">IF(Z731&lt;判定条件!$C$6,"判定不能",IF(AA731&gt;=判定条件!$C$7*Z731,"運転",IF(AA731&lt;=判定条件!$C$8*Z731,"停止","断続")))</f>
        <v>運転</v>
      </c>
      <c r="AC731" s="30" t="n">
        <v>60</v>
      </c>
      <c r="AD731" s="30" t="n">
        <v>51</v>
      </c>
      <c r="AE731" s="30" t="str">
        <f aca="false">IF(AC731&lt;判定条件!$C$6,"判定不能",IF(AD731&gt;=判定条件!$C$7*AC731,"運転",IF(AD731&lt;=判定条件!$C$8*AC731,"停止","断続")))</f>
        <v>運転</v>
      </c>
      <c r="AF731" s="30" t="n">
        <v>60</v>
      </c>
      <c r="AG731" s="30" t="n">
        <v>18</v>
      </c>
      <c r="AH731" s="30" t="str">
        <f aca="false">IF(OR(P731="判定不能",G731="判定不能"),"判定不能",IF(AG731&gt;=判定条件!$C$9,"利用可",IF(AND(P731="停止",G731="停止"),"両方停止","運転がそろわない")))</f>
        <v>運転がそろわない</v>
      </c>
      <c r="AI731" s="30" t="n">
        <v>0</v>
      </c>
      <c r="AJ731" s="30" t="n">
        <v>0</v>
      </c>
      <c r="AK731" s="30" t="str">
        <f aca="false">IF(OR(S731="判定不能",J731="判定不能"),"判定不能",IF(AJ731&gt;=判定条件!$C$9,"利用可",IF(AND(S731="停止",J731="停止"),"両方停止","運転がそろわない")))</f>
        <v>判定不能</v>
      </c>
      <c r="AL731" s="30" t="n">
        <v>60</v>
      </c>
      <c r="AM731" s="30" t="n">
        <v>28</v>
      </c>
      <c r="AN731" s="30" t="str">
        <f aca="false">IF(OR(V731="判定不能",M731="判定不能"),"判定不能",IF(AM731&gt;=判定条件!$C$9,"利用可",IF(AND(V731="停止",M731="停止"),"両方停止","運転がそろわない")))</f>
        <v>運転がそろわない</v>
      </c>
      <c r="AO731" s="30" t="n">
        <v>60</v>
      </c>
      <c r="AP731" s="30" t="n">
        <v>30</v>
      </c>
      <c r="AQ731" s="30" t="str">
        <f aca="false">IF(OR(Y731="判定不能",G731="判定不能"),"判定不能",IF(AP731&gt;=判定条件!$C$9,"利用可",IF(AND(Y731="停止",G731="停止"),"両方停止","運転がそろわない")))</f>
        <v>利用可</v>
      </c>
      <c r="AR731" s="30" t="n">
        <v>60</v>
      </c>
      <c r="AS731" s="30" t="n">
        <v>27</v>
      </c>
      <c r="AT731" s="30" t="str">
        <f aca="false">IF(OR(AB731="判定不能",J731="判定不能"),"判定不能",IF(AS731&gt;=判定条件!$C$9,"利用可",IF(AND(AB731="停止",J731="停止"),"両方停止","運転がそろわない")))</f>
        <v>運転がそろわない</v>
      </c>
      <c r="AU731" s="30" t="n">
        <v>60</v>
      </c>
      <c r="AV731" s="30" t="n">
        <v>27</v>
      </c>
      <c r="AW731" s="30" t="str">
        <f aca="false">IF(OR(AE731="判定不能",M731="判定不能"),"判定不能",IF(AV731&gt;=判定条件!$C$9,"利用可",IF(AND(AE731="停止",M731="停止"),"両方停止","運転がそろわない")))</f>
        <v>運転がそろわない</v>
      </c>
      <c r="AX731" s="30" t="str">
        <f aca="false">IF(AND(AH731="利用可",AK731="利用可",AN731="利用可"),"利用可","不可")</f>
        <v>不可</v>
      </c>
      <c r="AY731" s="30" t="str">
        <f aca="false">IF(AND(AQ731="利用可",AT731="利用可",AW731="利用可"),"利用可","不可")</f>
        <v>不可</v>
      </c>
    </row>
    <row r="732" customFormat="false" ht="15" hidden="false" customHeight="false" outlineLevel="0" collapsed="false">
      <c r="A732" s="29" t="n">
        <v>46262</v>
      </c>
      <c r="B732" s="30" t="n">
        <v>9</v>
      </c>
      <c r="C732" s="31" t="s">
        <v>62</v>
      </c>
      <c r="D732" s="31" t="s">
        <v>59</v>
      </c>
      <c r="E732" s="30" t="n">
        <v>60</v>
      </c>
      <c r="F732" s="30" t="n">
        <v>60</v>
      </c>
      <c r="G732" s="30" t="str">
        <f aca="false">IF(E732&lt;判定条件!$C$6,"判定不能",IF(F732&gt;=判定条件!$C$7*E732,"運転",IF(F732&lt;=判定条件!$C$8*E732,"停止","断続")))</f>
        <v>運転</v>
      </c>
      <c r="H732" s="30" t="n">
        <v>60</v>
      </c>
      <c r="I732" s="30" t="n">
        <v>60</v>
      </c>
      <c r="J732" s="30" t="str">
        <f aca="false">IF(H732&lt;判定条件!$C$6,"判定不能",IF(I732&gt;=判定条件!$C$7*H732,"運転",IF(I732&lt;=判定条件!$C$8*H732,"停止","断続")))</f>
        <v>運転</v>
      </c>
      <c r="K732" s="30" t="n">
        <v>60</v>
      </c>
      <c r="L732" s="30" t="n">
        <v>60</v>
      </c>
      <c r="M732" s="30" t="str">
        <f aca="false">IF(K732&lt;判定条件!$C$6,"判定不能",IF(L732&gt;=判定条件!$C$7*K732,"運転",IF(L732&lt;=判定条件!$C$8*K732,"停止","断続")))</f>
        <v>運転</v>
      </c>
      <c r="N732" s="30" t="n">
        <v>60</v>
      </c>
      <c r="O732" s="30" t="n">
        <v>26</v>
      </c>
      <c r="P732" s="30" t="str">
        <f aca="false">IF(N732&lt;判定条件!$C$6,"判定不能",IF(O732&gt;=判定条件!$C$7*N732,"運転",IF(O732&lt;=判定条件!$C$8*N732,"停止","断続")))</f>
        <v>断続</v>
      </c>
      <c r="Q732" s="30" t="n">
        <v>0</v>
      </c>
      <c r="R732" s="30" t="n">
        <v>0</v>
      </c>
      <c r="S732" s="30" t="str">
        <f aca="false">IF(Q732&lt;判定条件!$C$6,"判定不能",IF(R732&gt;=判定条件!$C$7*Q732,"運転",IF(R732&lt;=判定条件!$C$8*Q732,"停止","断続")))</f>
        <v>判定不能</v>
      </c>
      <c r="T732" s="30" t="n">
        <v>60</v>
      </c>
      <c r="U732" s="30" t="n">
        <v>60</v>
      </c>
      <c r="V732" s="30" t="str">
        <f aca="false">IF(T732&lt;判定条件!$C$6,"判定不能",IF(U732&gt;=判定条件!$C$7*T732,"運転",IF(U732&lt;=判定条件!$C$8*T732,"停止","断続")))</f>
        <v>運転</v>
      </c>
      <c r="W732" s="30" t="n">
        <v>60</v>
      </c>
      <c r="X732" s="30" t="n">
        <v>60</v>
      </c>
      <c r="Y732" s="30" t="str">
        <f aca="false">IF(W732&lt;判定条件!$C$6,"判定不能",IF(X732&gt;=判定条件!$C$7*W732,"運転",IF(X732&lt;=判定条件!$C$8*W732,"停止","断続")))</f>
        <v>運転</v>
      </c>
      <c r="Z732" s="30" t="n">
        <v>60</v>
      </c>
      <c r="AA732" s="30" t="n">
        <v>60</v>
      </c>
      <c r="AB732" s="30" t="str">
        <f aca="false">IF(Z732&lt;判定条件!$C$6,"判定不能",IF(AA732&gt;=判定条件!$C$7*Z732,"運転",IF(AA732&lt;=判定条件!$C$8*Z732,"停止","断続")))</f>
        <v>運転</v>
      </c>
      <c r="AC732" s="30" t="n">
        <v>60</v>
      </c>
      <c r="AD732" s="30" t="n">
        <v>51</v>
      </c>
      <c r="AE732" s="30" t="str">
        <f aca="false">IF(AC732&lt;判定条件!$C$6,"判定不能",IF(AD732&gt;=判定条件!$C$7*AC732,"運転",IF(AD732&lt;=判定条件!$C$8*AC732,"停止","断続")))</f>
        <v>運転</v>
      </c>
      <c r="AF732" s="30" t="n">
        <v>60</v>
      </c>
      <c r="AG732" s="30" t="n">
        <v>26</v>
      </c>
      <c r="AH732" s="30" t="str">
        <f aca="false">IF(OR(P732="判定不能",G732="判定不能"),"判定不能",IF(AG732&gt;=判定条件!$C$9,"利用可",IF(AND(P732="停止",G732="停止"),"両方停止","運転がそろわない")))</f>
        <v>運転がそろわない</v>
      </c>
      <c r="AI732" s="30" t="n">
        <v>0</v>
      </c>
      <c r="AJ732" s="30" t="n">
        <v>0</v>
      </c>
      <c r="AK732" s="30" t="str">
        <f aca="false">IF(OR(S732="判定不能",J732="判定不能"),"判定不能",IF(AJ732&gt;=判定条件!$C$9,"利用可",IF(AND(S732="停止",J732="停止"),"両方停止","運転がそろわない")))</f>
        <v>判定不能</v>
      </c>
      <c r="AL732" s="30" t="n">
        <v>60</v>
      </c>
      <c r="AM732" s="30" t="n">
        <v>60</v>
      </c>
      <c r="AN732" s="30" t="str">
        <f aca="false">IF(OR(V732="判定不能",M732="判定不能"),"判定不能",IF(AM732&gt;=判定条件!$C$9,"利用可",IF(AND(V732="停止",M732="停止"),"両方停止","運転がそろわない")))</f>
        <v>利用可</v>
      </c>
      <c r="AO732" s="30" t="n">
        <v>60</v>
      </c>
      <c r="AP732" s="30" t="n">
        <v>60</v>
      </c>
      <c r="AQ732" s="30" t="str">
        <f aca="false">IF(OR(Y732="判定不能",G732="判定不能"),"判定不能",IF(AP732&gt;=判定条件!$C$9,"利用可",IF(AND(Y732="停止",G732="停止"),"両方停止","運転がそろわない")))</f>
        <v>利用可</v>
      </c>
      <c r="AR732" s="30" t="n">
        <v>60</v>
      </c>
      <c r="AS732" s="30" t="n">
        <v>60</v>
      </c>
      <c r="AT732" s="30" t="str">
        <f aca="false">IF(OR(AB732="判定不能",J732="判定不能"),"判定不能",IF(AS732&gt;=判定条件!$C$9,"利用可",IF(AND(AB732="停止",J732="停止"),"両方停止","運転がそろわない")))</f>
        <v>利用可</v>
      </c>
      <c r="AU732" s="30" t="n">
        <v>60</v>
      </c>
      <c r="AV732" s="30" t="n">
        <v>51</v>
      </c>
      <c r="AW732" s="30" t="str">
        <f aca="false">IF(OR(AE732="判定不能",M732="判定不能"),"判定不能",IF(AV732&gt;=判定条件!$C$9,"利用可",IF(AND(AE732="停止",M732="停止"),"両方停止","運転がそろわない")))</f>
        <v>利用可</v>
      </c>
      <c r="AX732" s="30" t="str">
        <f aca="false">IF(AND(AH732="利用可",AK732="利用可",AN732="利用可"),"利用可","不可")</f>
        <v>不可</v>
      </c>
      <c r="AY732" s="30" t="str">
        <f aca="false">IF(AND(AQ732="利用可",AT732="利用可",AW732="利用可"),"利用可","不可")</f>
        <v>利用可</v>
      </c>
    </row>
    <row r="733" customFormat="false" ht="15" hidden="false" customHeight="false" outlineLevel="0" collapsed="false">
      <c r="A733" s="29" t="n">
        <v>46262</v>
      </c>
      <c r="B733" s="30" t="n">
        <v>10</v>
      </c>
      <c r="C733" s="31" t="s">
        <v>62</v>
      </c>
      <c r="D733" s="31" t="s">
        <v>59</v>
      </c>
      <c r="E733" s="30" t="n">
        <v>60</v>
      </c>
      <c r="F733" s="30" t="n">
        <v>60</v>
      </c>
      <c r="G733" s="30" t="str">
        <f aca="false">IF(E733&lt;判定条件!$C$6,"判定不能",IF(F733&gt;=判定条件!$C$7*E733,"運転",IF(F733&lt;=判定条件!$C$8*E733,"停止","断続")))</f>
        <v>運転</v>
      </c>
      <c r="H733" s="30" t="n">
        <v>60</v>
      </c>
      <c r="I733" s="30" t="n">
        <v>60</v>
      </c>
      <c r="J733" s="30" t="str">
        <f aca="false">IF(H733&lt;判定条件!$C$6,"判定不能",IF(I733&gt;=判定条件!$C$7*H733,"運転",IF(I733&lt;=判定条件!$C$8*H733,"停止","断続")))</f>
        <v>運転</v>
      </c>
      <c r="K733" s="30" t="n">
        <v>60</v>
      </c>
      <c r="L733" s="30" t="n">
        <v>60</v>
      </c>
      <c r="M733" s="30" t="str">
        <f aca="false">IF(K733&lt;判定条件!$C$6,"判定不能",IF(L733&gt;=判定条件!$C$7*K733,"運転",IF(L733&lt;=判定条件!$C$8*K733,"停止","断続")))</f>
        <v>運転</v>
      </c>
      <c r="N733" s="30" t="n">
        <v>26</v>
      </c>
      <c r="O733" s="30" t="n">
        <v>26</v>
      </c>
      <c r="P733" s="30" t="str">
        <f aca="false">IF(N733&lt;判定条件!$C$6,"判定不能",IF(O733&gt;=判定条件!$C$7*N733,"運転",IF(O733&lt;=判定条件!$C$8*N733,"停止","断続")))</f>
        <v>判定不能</v>
      </c>
      <c r="Q733" s="30" t="n">
        <v>0</v>
      </c>
      <c r="R733" s="30" t="n">
        <v>0</v>
      </c>
      <c r="S733" s="30" t="str">
        <f aca="false">IF(Q733&lt;判定条件!$C$6,"判定不能",IF(R733&gt;=判定条件!$C$7*Q733,"運転",IF(R733&lt;=判定条件!$C$8*Q733,"停止","断続")))</f>
        <v>判定不能</v>
      </c>
      <c r="T733" s="30" t="n">
        <v>26</v>
      </c>
      <c r="U733" s="30" t="n">
        <v>26</v>
      </c>
      <c r="V733" s="30" t="str">
        <f aca="false">IF(T733&lt;判定条件!$C$6,"判定不能",IF(U733&gt;=判定条件!$C$7*T733,"運転",IF(U733&lt;=判定条件!$C$8*T733,"停止","断続")))</f>
        <v>判定不能</v>
      </c>
      <c r="W733" s="30" t="n">
        <v>60</v>
      </c>
      <c r="X733" s="30" t="n">
        <v>60</v>
      </c>
      <c r="Y733" s="30" t="str">
        <f aca="false">IF(W733&lt;判定条件!$C$6,"判定不能",IF(X733&gt;=判定条件!$C$7*W733,"運転",IF(X733&lt;=判定条件!$C$8*W733,"停止","断続")))</f>
        <v>運転</v>
      </c>
      <c r="Z733" s="30" t="n">
        <v>60</v>
      </c>
      <c r="AA733" s="30" t="n">
        <v>60</v>
      </c>
      <c r="AB733" s="30" t="str">
        <f aca="false">IF(Z733&lt;判定条件!$C$6,"判定不能",IF(AA733&gt;=判定条件!$C$7*Z733,"運転",IF(AA733&lt;=判定条件!$C$8*Z733,"停止","断続")))</f>
        <v>運転</v>
      </c>
      <c r="AC733" s="30" t="n">
        <v>60</v>
      </c>
      <c r="AD733" s="30" t="n">
        <v>50</v>
      </c>
      <c r="AE733" s="30" t="str">
        <f aca="false">IF(AC733&lt;判定条件!$C$6,"判定不能",IF(AD733&gt;=判定条件!$C$7*AC733,"運転",IF(AD733&lt;=判定条件!$C$8*AC733,"停止","断続")))</f>
        <v>運転</v>
      </c>
      <c r="AF733" s="30" t="n">
        <v>26</v>
      </c>
      <c r="AG733" s="30" t="n">
        <v>26</v>
      </c>
      <c r="AH733" s="30" t="str">
        <f aca="false">IF(OR(P733="判定不能",G733="判定不能"),"判定不能",IF(AG733&gt;=判定条件!$C$9,"利用可",IF(AND(P733="停止",G733="停止"),"両方停止","運転がそろわない")))</f>
        <v>判定不能</v>
      </c>
      <c r="AI733" s="30" t="n">
        <v>0</v>
      </c>
      <c r="AJ733" s="30" t="n">
        <v>0</v>
      </c>
      <c r="AK733" s="30" t="str">
        <f aca="false">IF(OR(S733="判定不能",J733="判定不能"),"判定不能",IF(AJ733&gt;=判定条件!$C$9,"利用可",IF(AND(S733="停止",J733="停止"),"両方停止","運転がそろわない")))</f>
        <v>判定不能</v>
      </c>
      <c r="AL733" s="30" t="n">
        <v>26</v>
      </c>
      <c r="AM733" s="30" t="n">
        <v>26</v>
      </c>
      <c r="AN733" s="30" t="str">
        <f aca="false">IF(OR(V733="判定不能",M733="判定不能"),"判定不能",IF(AM733&gt;=判定条件!$C$9,"利用可",IF(AND(V733="停止",M733="停止"),"両方停止","運転がそろわない")))</f>
        <v>判定不能</v>
      </c>
      <c r="AO733" s="30" t="n">
        <v>60</v>
      </c>
      <c r="AP733" s="30" t="n">
        <v>60</v>
      </c>
      <c r="AQ733" s="30" t="str">
        <f aca="false">IF(OR(Y733="判定不能",G733="判定不能"),"判定不能",IF(AP733&gt;=判定条件!$C$9,"利用可",IF(AND(Y733="停止",G733="停止"),"両方停止","運転がそろわない")))</f>
        <v>利用可</v>
      </c>
      <c r="AR733" s="30" t="n">
        <v>60</v>
      </c>
      <c r="AS733" s="30" t="n">
        <v>60</v>
      </c>
      <c r="AT733" s="30" t="str">
        <f aca="false">IF(OR(AB733="判定不能",J733="判定不能"),"判定不能",IF(AS733&gt;=判定条件!$C$9,"利用可",IF(AND(AB733="停止",J733="停止"),"両方停止","運転がそろわない")))</f>
        <v>利用可</v>
      </c>
      <c r="AU733" s="30" t="n">
        <v>60</v>
      </c>
      <c r="AV733" s="30" t="n">
        <v>50</v>
      </c>
      <c r="AW733" s="30" t="str">
        <f aca="false">IF(OR(AE733="判定不能",M733="判定不能"),"判定不能",IF(AV733&gt;=判定条件!$C$9,"利用可",IF(AND(AE733="停止",M733="停止"),"両方停止","運転がそろわない")))</f>
        <v>利用可</v>
      </c>
      <c r="AX733" s="30" t="str">
        <f aca="false">IF(AND(AH733="利用可",AK733="利用可",AN733="利用可"),"利用可","不可")</f>
        <v>不可</v>
      </c>
      <c r="AY733" s="30" t="str">
        <f aca="false">IF(AND(AQ733="利用可",AT733="利用可",AW733="利用可"),"利用可","不可")</f>
        <v>利用可</v>
      </c>
    </row>
    <row r="734" customFormat="false" ht="15" hidden="false" customHeight="false" outlineLevel="0" collapsed="false">
      <c r="A734" s="29" t="n">
        <v>46262</v>
      </c>
      <c r="B734" s="30" t="n">
        <v>11</v>
      </c>
      <c r="C734" s="31" t="s">
        <v>62</v>
      </c>
      <c r="D734" s="31" t="s">
        <v>59</v>
      </c>
      <c r="E734" s="30" t="n">
        <v>60</v>
      </c>
      <c r="F734" s="30" t="n">
        <v>60</v>
      </c>
      <c r="G734" s="30" t="str">
        <f aca="false">IF(E734&lt;判定条件!$C$6,"判定不能",IF(F734&gt;=判定条件!$C$7*E734,"運転",IF(F734&lt;=判定条件!$C$8*E734,"停止","断続")))</f>
        <v>運転</v>
      </c>
      <c r="H734" s="30" t="n">
        <v>60</v>
      </c>
      <c r="I734" s="30" t="n">
        <v>60</v>
      </c>
      <c r="J734" s="30" t="str">
        <f aca="false">IF(H734&lt;判定条件!$C$6,"判定不能",IF(I734&gt;=判定条件!$C$7*H734,"運転",IF(I734&lt;=判定条件!$C$8*H734,"停止","断続")))</f>
        <v>運転</v>
      </c>
      <c r="K734" s="30" t="n">
        <v>60</v>
      </c>
      <c r="L734" s="30" t="n">
        <v>60</v>
      </c>
      <c r="M734" s="30" t="str">
        <f aca="false">IF(K734&lt;判定条件!$C$6,"判定不能",IF(L734&gt;=判定条件!$C$7*K734,"運転",IF(L734&lt;=判定条件!$C$8*K734,"停止","断続")))</f>
        <v>運転</v>
      </c>
      <c r="N734" s="30" t="n">
        <v>16</v>
      </c>
      <c r="O734" s="30" t="n">
        <v>16</v>
      </c>
      <c r="P734" s="30" t="str">
        <f aca="false">IF(N734&lt;判定条件!$C$6,"判定不能",IF(O734&gt;=判定条件!$C$7*N734,"運転",IF(O734&lt;=判定条件!$C$8*N734,"停止","断続")))</f>
        <v>判定不能</v>
      </c>
      <c r="Q734" s="30" t="n">
        <v>16</v>
      </c>
      <c r="R734" s="30" t="n">
        <v>4</v>
      </c>
      <c r="S734" s="30" t="str">
        <f aca="false">IF(Q734&lt;判定条件!$C$6,"判定不能",IF(R734&gt;=判定条件!$C$7*Q734,"運転",IF(R734&lt;=判定条件!$C$8*Q734,"停止","断続")))</f>
        <v>判定不能</v>
      </c>
      <c r="T734" s="30" t="n">
        <v>16</v>
      </c>
      <c r="U734" s="30" t="n">
        <v>16</v>
      </c>
      <c r="V734" s="30" t="str">
        <f aca="false">IF(T734&lt;判定条件!$C$6,"判定不能",IF(U734&gt;=判定条件!$C$7*T734,"運転",IF(U734&lt;=判定条件!$C$8*T734,"停止","断続")))</f>
        <v>判定不能</v>
      </c>
      <c r="W734" s="30" t="n">
        <v>60</v>
      </c>
      <c r="X734" s="30" t="n">
        <v>60</v>
      </c>
      <c r="Y734" s="30" t="str">
        <f aca="false">IF(W734&lt;判定条件!$C$6,"判定不能",IF(X734&gt;=判定条件!$C$7*W734,"運転",IF(X734&lt;=判定条件!$C$8*W734,"停止","断続")))</f>
        <v>運転</v>
      </c>
      <c r="Z734" s="30" t="n">
        <v>60</v>
      </c>
      <c r="AA734" s="30" t="n">
        <v>53</v>
      </c>
      <c r="AB734" s="30" t="str">
        <f aca="false">IF(Z734&lt;判定条件!$C$6,"判定不能",IF(AA734&gt;=判定条件!$C$7*Z734,"運転",IF(AA734&lt;=判定条件!$C$8*Z734,"停止","断続")))</f>
        <v>運転</v>
      </c>
      <c r="AC734" s="30" t="n">
        <v>60</v>
      </c>
      <c r="AD734" s="30" t="n">
        <v>60</v>
      </c>
      <c r="AE734" s="30" t="str">
        <f aca="false">IF(AC734&lt;判定条件!$C$6,"判定不能",IF(AD734&gt;=判定条件!$C$7*AC734,"運転",IF(AD734&lt;=判定条件!$C$8*AC734,"停止","断続")))</f>
        <v>運転</v>
      </c>
      <c r="AF734" s="30" t="n">
        <v>16</v>
      </c>
      <c r="AG734" s="30" t="n">
        <v>16</v>
      </c>
      <c r="AH734" s="30" t="str">
        <f aca="false">IF(OR(P734="判定不能",G734="判定不能"),"判定不能",IF(AG734&gt;=判定条件!$C$9,"利用可",IF(AND(P734="停止",G734="停止"),"両方停止","運転がそろわない")))</f>
        <v>判定不能</v>
      </c>
      <c r="AI734" s="30" t="n">
        <v>16</v>
      </c>
      <c r="AJ734" s="30" t="n">
        <v>4</v>
      </c>
      <c r="AK734" s="30" t="str">
        <f aca="false">IF(OR(S734="判定不能",J734="判定不能"),"判定不能",IF(AJ734&gt;=判定条件!$C$9,"利用可",IF(AND(S734="停止",J734="停止"),"両方停止","運転がそろわない")))</f>
        <v>判定不能</v>
      </c>
      <c r="AL734" s="30" t="n">
        <v>16</v>
      </c>
      <c r="AM734" s="30" t="n">
        <v>16</v>
      </c>
      <c r="AN734" s="30" t="str">
        <f aca="false">IF(OR(V734="判定不能",M734="判定不能"),"判定不能",IF(AM734&gt;=判定条件!$C$9,"利用可",IF(AND(V734="停止",M734="停止"),"両方停止","運転がそろわない")))</f>
        <v>判定不能</v>
      </c>
      <c r="AO734" s="30" t="n">
        <v>60</v>
      </c>
      <c r="AP734" s="30" t="n">
        <v>60</v>
      </c>
      <c r="AQ734" s="30" t="str">
        <f aca="false">IF(OR(Y734="判定不能",G734="判定不能"),"判定不能",IF(AP734&gt;=判定条件!$C$9,"利用可",IF(AND(Y734="停止",G734="停止"),"両方停止","運転がそろわない")))</f>
        <v>利用可</v>
      </c>
      <c r="AR734" s="30" t="n">
        <v>60</v>
      </c>
      <c r="AS734" s="30" t="n">
        <v>53</v>
      </c>
      <c r="AT734" s="30" t="str">
        <f aca="false">IF(OR(AB734="判定不能",J734="判定不能"),"判定不能",IF(AS734&gt;=判定条件!$C$9,"利用可",IF(AND(AB734="停止",J734="停止"),"両方停止","運転がそろわない")))</f>
        <v>利用可</v>
      </c>
      <c r="AU734" s="30" t="n">
        <v>60</v>
      </c>
      <c r="AV734" s="30" t="n">
        <v>60</v>
      </c>
      <c r="AW734" s="30" t="str">
        <f aca="false">IF(OR(AE734="判定不能",M734="判定不能"),"判定不能",IF(AV734&gt;=判定条件!$C$9,"利用可",IF(AND(AE734="停止",M734="停止"),"両方停止","運転がそろわない")))</f>
        <v>利用可</v>
      </c>
      <c r="AX734" s="30" t="str">
        <f aca="false">IF(AND(AH734="利用可",AK734="利用可",AN734="利用可"),"利用可","不可")</f>
        <v>不可</v>
      </c>
      <c r="AY734" s="30" t="str">
        <f aca="false">IF(AND(AQ734="利用可",AT734="利用可",AW734="利用可"),"利用可","不可")</f>
        <v>利用可</v>
      </c>
    </row>
    <row r="735" customFormat="false" ht="15" hidden="false" customHeight="false" outlineLevel="0" collapsed="false">
      <c r="A735" s="29" t="n">
        <v>46262</v>
      </c>
      <c r="B735" s="30" t="n">
        <v>12</v>
      </c>
      <c r="C735" s="31" t="s">
        <v>62</v>
      </c>
      <c r="D735" s="31" t="s">
        <v>59</v>
      </c>
      <c r="E735" s="30" t="n">
        <v>60</v>
      </c>
      <c r="F735" s="30" t="n">
        <v>60</v>
      </c>
      <c r="G735" s="30" t="str">
        <f aca="false">IF(E735&lt;判定条件!$C$6,"判定不能",IF(F735&gt;=判定条件!$C$7*E735,"運転",IF(F735&lt;=判定条件!$C$8*E735,"停止","断続")))</f>
        <v>運転</v>
      </c>
      <c r="H735" s="30" t="n">
        <v>60</v>
      </c>
      <c r="I735" s="30" t="n">
        <v>60</v>
      </c>
      <c r="J735" s="30" t="str">
        <f aca="false">IF(H735&lt;判定条件!$C$6,"判定不能",IF(I735&gt;=判定条件!$C$7*H735,"運転",IF(I735&lt;=判定条件!$C$8*H735,"停止","断続")))</f>
        <v>運転</v>
      </c>
      <c r="K735" s="30" t="n">
        <v>60</v>
      </c>
      <c r="L735" s="30" t="n">
        <v>60</v>
      </c>
      <c r="M735" s="30" t="str">
        <f aca="false">IF(K735&lt;判定条件!$C$6,"判定不能",IF(L735&gt;=判定条件!$C$7*K735,"運転",IF(L735&lt;=判定条件!$C$8*K735,"停止","断続")))</f>
        <v>運転</v>
      </c>
      <c r="N735" s="30" t="n">
        <v>60</v>
      </c>
      <c r="O735" s="30" t="n">
        <v>60</v>
      </c>
      <c r="P735" s="30" t="str">
        <f aca="false">IF(N735&lt;判定条件!$C$6,"判定不能",IF(O735&gt;=判定条件!$C$7*N735,"運転",IF(O735&lt;=判定条件!$C$8*N735,"停止","断続")))</f>
        <v>運転</v>
      </c>
      <c r="Q735" s="30" t="n">
        <v>60</v>
      </c>
      <c r="R735" s="30" t="n">
        <v>60</v>
      </c>
      <c r="S735" s="30" t="str">
        <f aca="false">IF(Q735&lt;判定条件!$C$6,"判定不能",IF(R735&gt;=判定条件!$C$7*Q735,"運転",IF(R735&lt;=判定条件!$C$8*Q735,"停止","断続")))</f>
        <v>運転</v>
      </c>
      <c r="T735" s="30" t="n">
        <v>60</v>
      </c>
      <c r="U735" s="30" t="n">
        <v>60</v>
      </c>
      <c r="V735" s="30" t="str">
        <f aca="false">IF(T735&lt;判定条件!$C$6,"判定不能",IF(U735&gt;=判定条件!$C$7*T735,"運転",IF(U735&lt;=判定条件!$C$8*T735,"停止","断続")))</f>
        <v>運転</v>
      </c>
      <c r="W735" s="30" t="n">
        <v>60</v>
      </c>
      <c r="X735" s="30" t="n">
        <v>45</v>
      </c>
      <c r="Y735" s="30" t="str">
        <f aca="false">IF(W735&lt;判定条件!$C$6,"判定不能",IF(X735&gt;=判定条件!$C$7*W735,"運転",IF(X735&lt;=判定条件!$C$8*W735,"停止","断続")))</f>
        <v>断続</v>
      </c>
      <c r="Z735" s="30" t="n">
        <v>60</v>
      </c>
      <c r="AA735" s="30" t="n">
        <v>60</v>
      </c>
      <c r="AB735" s="30" t="str">
        <f aca="false">IF(Z735&lt;判定条件!$C$6,"判定不能",IF(AA735&gt;=判定条件!$C$7*Z735,"運転",IF(AA735&lt;=判定条件!$C$8*Z735,"停止","断続")))</f>
        <v>運転</v>
      </c>
      <c r="AC735" s="30" t="n">
        <v>60</v>
      </c>
      <c r="AD735" s="30" t="n">
        <v>60</v>
      </c>
      <c r="AE735" s="30" t="str">
        <f aca="false">IF(AC735&lt;判定条件!$C$6,"判定不能",IF(AD735&gt;=判定条件!$C$7*AC735,"運転",IF(AD735&lt;=判定条件!$C$8*AC735,"停止","断続")))</f>
        <v>運転</v>
      </c>
      <c r="AF735" s="30" t="n">
        <v>60</v>
      </c>
      <c r="AG735" s="30" t="n">
        <v>60</v>
      </c>
      <c r="AH735" s="30" t="str">
        <f aca="false">IF(OR(P735="判定不能",G735="判定不能"),"判定不能",IF(AG735&gt;=判定条件!$C$9,"利用可",IF(AND(P735="停止",G735="停止"),"両方停止","運転がそろわない")))</f>
        <v>利用可</v>
      </c>
      <c r="AI735" s="30" t="n">
        <v>60</v>
      </c>
      <c r="AJ735" s="30" t="n">
        <v>60</v>
      </c>
      <c r="AK735" s="30" t="str">
        <f aca="false">IF(OR(S735="判定不能",J735="判定不能"),"判定不能",IF(AJ735&gt;=判定条件!$C$9,"利用可",IF(AND(S735="停止",J735="停止"),"両方停止","運転がそろわない")))</f>
        <v>利用可</v>
      </c>
      <c r="AL735" s="30" t="n">
        <v>60</v>
      </c>
      <c r="AM735" s="30" t="n">
        <v>60</v>
      </c>
      <c r="AN735" s="30" t="str">
        <f aca="false">IF(OR(V735="判定不能",M735="判定不能"),"判定不能",IF(AM735&gt;=判定条件!$C$9,"利用可",IF(AND(V735="停止",M735="停止"),"両方停止","運転がそろわない")))</f>
        <v>利用可</v>
      </c>
      <c r="AO735" s="30" t="n">
        <v>60</v>
      </c>
      <c r="AP735" s="30" t="n">
        <v>45</v>
      </c>
      <c r="AQ735" s="30" t="str">
        <f aca="false">IF(OR(Y735="判定不能",G735="判定不能"),"判定不能",IF(AP735&gt;=判定条件!$C$9,"利用可",IF(AND(Y735="停止",G735="停止"),"両方停止","運転がそろわない")))</f>
        <v>利用可</v>
      </c>
      <c r="AR735" s="30" t="n">
        <v>60</v>
      </c>
      <c r="AS735" s="30" t="n">
        <v>60</v>
      </c>
      <c r="AT735" s="30" t="str">
        <f aca="false">IF(OR(AB735="判定不能",J735="判定不能"),"判定不能",IF(AS735&gt;=判定条件!$C$9,"利用可",IF(AND(AB735="停止",J735="停止"),"両方停止","運転がそろわない")))</f>
        <v>利用可</v>
      </c>
      <c r="AU735" s="30" t="n">
        <v>60</v>
      </c>
      <c r="AV735" s="30" t="n">
        <v>60</v>
      </c>
      <c r="AW735" s="30" t="str">
        <f aca="false">IF(OR(AE735="判定不能",M735="判定不能"),"判定不能",IF(AV735&gt;=判定条件!$C$9,"利用可",IF(AND(AE735="停止",M735="停止"),"両方停止","運転がそろわない")))</f>
        <v>利用可</v>
      </c>
      <c r="AX735" s="30" t="str">
        <f aca="false">IF(AND(AH735="利用可",AK735="利用可",AN735="利用可"),"利用可","不可")</f>
        <v>利用可</v>
      </c>
      <c r="AY735" s="30" t="str">
        <f aca="false">IF(AND(AQ735="利用可",AT735="利用可",AW735="利用可"),"利用可","不可")</f>
        <v>利用可</v>
      </c>
    </row>
    <row r="736" customFormat="false" ht="15" hidden="false" customHeight="false" outlineLevel="0" collapsed="false">
      <c r="A736" s="29" t="n">
        <v>46262</v>
      </c>
      <c r="B736" s="30" t="n">
        <v>13</v>
      </c>
      <c r="C736" s="31" t="s">
        <v>62</v>
      </c>
      <c r="D736" s="31" t="s">
        <v>59</v>
      </c>
      <c r="E736" s="30" t="n">
        <v>60</v>
      </c>
      <c r="F736" s="30" t="n">
        <v>60</v>
      </c>
      <c r="G736" s="30" t="str">
        <f aca="false">IF(E736&lt;判定条件!$C$6,"判定不能",IF(F736&gt;=判定条件!$C$7*E736,"運転",IF(F736&lt;=判定条件!$C$8*E736,"停止","断続")))</f>
        <v>運転</v>
      </c>
      <c r="H736" s="30" t="n">
        <v>60</v>
      </c>
      <c r="I736" s="30" t="n">
        <v>60</v>
      </c>
      <c r="J736" s="30" t="str">
        <f aca="false">IF(H736&lt;判定条件!$C$6,"判定不能",IF(I736&gt;=判定条件!$C$7*H736,"運転",IF(I736&lt;=判定条件!$C$8*H736,"停止","断続")))</f>
        <v>運転</v>
      </c>
      <c r="K736" s="30" t="n">
        <v>60</v>
      </c>
      <c r="L736" s="30" t="n">
        <v>60</v>
      </c>
      <c r="M736" s="30" t="str">
        <f aca="false">IF(K736&lt;判定条件!$C$6,"判定不能",IF(L736&gt;=判定条件!$C$7*K736,"運転",IF(L736&lt;=判定条件!$C$8*K736,"停止","断続")))</f>
        <v>運転</v>
      </c>
      <c r="N736" s="30" t="n">
        <v>60</v>
      </c>
      <c r="O736" s="30" t="n">
        <v>60</v>
      </c>
      <c r="P736" s="30" t="str">
        <f aca="false">IF(N736&lt;判定条件!$C$6,"判定不能",IF(O736&gt;=判定条件!$C$7*N736,"運転",IF(O736&lt;=判定条件!$C$8*N736,"停止","断続")))</f>
        <v>運転</v>
      </c>
      <c r="Q736" s="30" t="n">
        <v>60</v>
      </c>
      <c r="R736" s="30" t="n">
        <v>60</v>
      </c>
      <c r="S736" s="30" t="str">
        <f aca="false">IF(Q736&lt;判定条件!$C$6,"判定不能",IF(R736&gt;=判定条件!$C$7*Q736,"運転",IF(R736&lt;=判定条件!$C$8*Q736,"停止","断続")))</f>
        <v>運転</v>
      </c>
      <c r="T736" s="30" t="n">
        <v>60</v>
      </c>
      <c r="U736" s="30" t="n">
        <v>52</v>
      </c>
      <c r="V736" s="30" t="str">
        <f aca="false">IF(T736&lt;判定条件!$C$6,"判定不能",IF(U736&gt;=判定条件!$C$7*T736,"運転",IF(U736&lt;=判定条件!$C$8*T736,"停止","断続")))</f>
        <v>運転</v>
      </c>
      <c r="W736" s="30" t="n">
        <v>60</v>
      </c>
      <c r="X736" s="30" t="n">
        <v>60</v>
      </c>
      <c r="Y736" s="30" t="str">
        <f aca="false">IF(W736&lt;判定条件!$C$6,"判定不能",IF(X736&gt;=判定条件!$C$7*W736,"運転",IF(X736&lt;=判定条件!$C$8*W736,"停止","断続")))</f>
        <v>運転</v>
      </c>
      <c r="Z736" s="30" t="n">
        <v>60</v>
      </c>
      <c r="AA736" s="30" t="n">
        <v>60</v>
      </c>
      <c r="AB736" s="30" t="str">
        <f aca="false">IF(Z736&lt;判定条件!$C$6,"判定不能",IF(AA736&gt;=判定条件!$C$7*Z736,"運転",IF(AA736&lt;=判定条件!$C$8*Z736,"停止","断続")))</f>
        <v>運転</v>
      </c>
      <c r="AC736" s="30" t="n">
        <v>60</v>
      </c>
      <c r="AD736" s="30" t="n">
        <v>60</v>
      </c>
      <c r="AE736" s="30" t="str">
        <f aca="false">IF(AC736&lt;判定条件!$C$6,"判定不能",IF(AD736&gt;=判定条件!$C$7*AC736,"運転",IF(AD736&lt;=判定条件!$C$8*AC736,"停止","断続")))</f>
        <v>運転</v>
      </c>
      <c r="AF736" s="30" t="n">
        <v>60</v>
      </c>
      <c r="AG736" s="30" t="n">
        <v>60</v>
      </c>
      <c r="AH736" s="30" t="str">
        <f aca="false">IF(OR(P736="判定不能",G736="判定不能"),"判定不能",IF(AG736&gt;=判定条件!$C$9,"利用可",IF(AND(P736="停止",G736="停止"),"両方停止","運転がそろわない")))</f>
        <v>利用可</v>
      </c>
      <c r="AI736" s="30" t="n">
        <v>60</v>
      </c>
      <c r="AJ736" s="30" t="n">
        <v>60</v>
      </c>
      <c r="AK736" s="30" t="str">
        <f aca="false">IF(OR(S736="判定不能",J736="判定不能"),"判定不能",IF(AJ736&gt;=判定条件!$C$9,"利用可",IF(AND(S736="停止",J736="停止"),"両方停止","運転がそろわない")))</f>
        <v>利用可</v>
      </c>
      <c r="AL736" s="30" t="n">
        <v>60</v>
      </c>
      <c r="AM736" s="30" t="n">
        <v>52</v>
      </c>
      <c r="AN736" s="30" t="str">
        <f aca="false">IF(OR(V736="判定不能",M736="判定不能"),"判定不能",IF(AM736&gt;=判定条件!$C$9,"利用可",IF(AND(V736="停止",M736="停止"),"両方停止","運転がそろわない")))</f>
        <v>利用可</v>
      </c>
      <c r="AO736" s="30" t="n">
        <v>60</v>
      </c>
      <c r="AP736" s="30" t="n">
        <v>60</v>
      </c>
      <c r="AQ736" s="30" t="str">
        <f aca="false">IF(OR(Y736="判定不能",G736="判定不能"),"判定不能",IF(AP736&gt;=判定条件!$C$9,"利用可",IF(AND(Y736="停止",G736="停止"),"両方停止","運転がそろわない")))</f>
        <v>利用可</v>
      </c>
      <c r="AR736" s="30" t="n">
        <v>60</v>
      </c>
      <c r="AS736" s="30" t="n">
        <v>60</v>
      </c>
      <c r="AT736" s="30" t="str">
        <f aca="false">IF(OR(AB736="判定不能",J736="判定不能"),"判定不能",IF(AS736&gt;=判定条件!$C$9,"利用可",IF(AND(AB736="停止",J736="停止"),"両方停止","運転がそろわない")))</f>
        <v>利用可</v>
      </c>
      <c r="AU736" s="30" t="n">
        <v>60</v>
      </c>
      <c r="AV736" s="30" t="n">
        <v>60</v>
      </c>
      <c r="AW736" s="30" t="str">
        <f aca="false">IF(OR(AE736="判定不能",M736="判定不能"),"判定不能",IF(AV736&gt;=判定条件!$C$9,"利用可",IF(AND(AE736="停止",M736="停止"),"両方停止","運転がそろわない")))</f>
        <v>利用可</v>
      </c>
      <c r="AX736" s="30" t="str">
        <f aca="false">IF(AND(AH736="利用可",AK736="利用可",AN736="利用可"),"利用可","不可")</f>
        <v>利用可</v>
      </c>
      <c r="AY736" s="30" t="str">
        <f aca="false">IF(AND(AQ736="利用可",AT736="利用可",AW736="利用可"),"利用可","不可")</f>
        <v>利用可</v>
      </c>
    </row>
    <row r="737" customFormat="false" ht="15" hidden="false" customHeight="false" outlineLevel="0" collapsed="false">
      <c r="A737" s="29" t="n">
        <v>46262</v>
      </c>
      <c r="B737" s="30" t="n">
        <v>14</v>
      </c>
      <c r="C737" s="31" t="s">
        <v>62</v>
      </c>
      <c r="D737" s="31" t="s">
        <v>59</v>
      </c>
      <c r="E737" s="30" t="n">
        <v>60</v>
      </c>
      <c r="F737" s="30" t="n">
        <v>60</v>
      </c>
      <c r="G737" s="30" t="str">
        <f aca="false">IF(E737&lt;判定条件!$C$6,"判定不能",IF(F737&gt;=判定条件!$C$7*E737,"運転",IF(F737&lt;=判定条件!$C$8*E737,"停止","断続")))</f>
        <v>運転</v>
      </c>
      <c r="H737" s="30" t="n">
        <v>60</v>
      </c>
      <c r="I737" s="30" t="n">
        <v>60</v>
      </c>
      <c r="J737" s="30" t="str">
        <f aca="false">IF(H737&lt;判定条件!$C$6,"判定不能",IF(I737&gt;=判定条件!$C$7*H737,"運転",IF(I737&lt;=判定条件!$C$8*H737,"停止","断続")))</f>
        <v>運転</v>
      </c>
      <c r="K737" s="30" t="n">
        <v>60</v>
      </c>
      <c r="L737" s="30" t="n">
        <v>60</v>
      </c>
      <c r="M737" s="30" t="str">
        <f aca="false">IF(K737&lt;判定条件!$C$6,"判定不能",IF(L737&gt;=判定条件!$C$7*K737,"運転",IF(L737&lt;=判定条件!$C$8*K737,"停止","断続")))</f>
        <v>運転</v>
      </c>
      <c r="N737" s="30" t="n">
        <v>60</v>
      </c>
      <c r="O737" s="30" t="n">
        <v>60</v>
      </c>
      <c r="P737" s="30" t="str">
        <f aca="false">IF(N737&lt;判定条件!$C$6,"判定不能",IF(O737&gt;=判定条件!$C$7*N737,"運転",IF(O737&lt;=判定条件!$C$8*N737,"停止","断続")))</f>
        <v>運転</v>
      </c>
      <c r="Q737" s="30" t="n">
        <v>60</v>
      </c>
      <c r="R737" s="30" t="n">
        <v>60</v>
      </c>
      <c r="S737" s="30" t="str">
        <f aca="false">IF(Q737&lt;判定条件!$C$6,"判定不能",IF(R737&gt;=判定条件!$C$7*Q737,"運転",IF(R737&lt;=判定条件!$C$8*Q737,"停止","断続")))</f>
        <v>運転</v>
      </c>
      <c r="T737" s="30" t="n">
        <v>60</v>
      </c>
      <c r="U737" s="30" t="n">
        <v>60</v>
      </c>
      <c r="V737" s="30" t="str">
        <f aca="false">IF(T737&lt;判定条件!$C$6,"判定不能",IF(U737&gt;=判定条件!$C$7*T737,"運転",IF(U737&lt;=判定条件!$C$8*T737,"停止","断続")))</f>
        <v>運転</v>
      </c>
      <c r="W737" s="30" t="n">
        <v>60</v>
      </c>
      <c r="X737" s="30" t="n">
        <v>60</v>
      </c>
      <c r="Y737" s="30" t="str">
        <f aca="false">IF(W737&lt;判定条件!$C$6,"判定不能",IF(X737&gt;=判定条件!$C$7*W737,"運転",IF(X737&lt;=判定条件!$C$8*W737,"停止","断続")))</f>
        <v>運転</v>
      </c>
      <c r="Z737" s="30" t="n">
        <v>60</v>
      </c>
      <c r="AA737" s="30" t="n">
        <v>60</v>
      </c>
      <c r="AB737" s="30" t="str">
        <f aca="false">IF(Z737&lt;判定条件!$C$6,"判定不能",IF(AA737&gt;=判定条件!$C$7*Z737,"運転",IF(AA737&lt;=判定条件!$C$8*Z737,"停止","断続")))</f>
        <v>運転</v>
      </c>
      <c r="AC737" s="30" t="n">
        <v>60</v>
      </c>
      <c r="AD737" s="30" t="n">
        <v>60</v>
      </c>
      <c r="AE737" s="30" t="str">
        <f aca="false">IF(AC737&lt;判定条件!$C$6,"判定不能",IF(AD737&gt;=判定条件!$C$7*AC737,"運転",IF(AD737&lt;=判定条件!$C$8*AC737,"停止","断続")))</f>
        <v>運転</v>
      </c>
      <c r="AF737" s="30" t="n">
        <v>60</v>
      </c>
      <c r="AG737" s="30" t="n">
        <v>60</v>
      </c>
      <c r="AH737" s="30" t="str">
        <f aca="false">IF(OR(P737="判定不能",G737="判定不能"),"判定不能",IF(AG737&gt;=判定条件!$C$9,"利用可",IF(AND(P737="停止",G737="停止"),"両方停止","運転がそろわない")))</f>
        <v>利用可</v>
      </c>
      <c r="AI737" s="30" t="n">
        <v>60</v>
      </c>
      <c r="AJ737" s="30" t="n">
        <v>60</v>
      </c>
      <c r="AK737" s="30" t="str">
        <f aca="false">IF(OR(S737="判定不能",J737="判定不能"),"判定不能",IF(AJ737&gt;=判定条件!$C$9,"利用可",IF(AND(S737="停止",J737="停止"),"両方停止","運転がそろわない")))</f>
        <v>利用可</v>
      </c>
      <c r="AL737" s="30" t="n">
        <v>60</v>
      </c>
      <c r="AM737" s="30" t="n">
        <v>60</v>
      </c>
      <c r="AN737" s="30" t="str">
        <f aca="false">IF(OR(V737="判定不能",M737="判定不能"),"判定不能",IF(AM737&gt;=判定条件!$C$9,"利用可",IF(AND(V737="停止",M737="停止"),"両方停止","運転がそろわない")))</f>
        <v>利用可</v>
      </c>
      <c r="AO737" s="30" t="n">
        <v>60</v>
      </c>
      <c r="AP737" s="30" t="n">
        <v>60</v>
      </c>
      <c r="AQ737" s="30" t="str">
        <f aca="false">IF(OR(Y737="判定不能",G737="判定不能"),"判定不能",IF(AP737&gt;=判定条件!$C$9,"利用可",IF(AND(Y737="停止",G737="停止"),"両方停止","運転がそろわない")))</f>
        <v>利用可</v>
      </c>
      <c r="AR737" s="30" t="n">
        <v>60</v>
      </c>
      <c r="AS737" s="30" t="n">
        <v>60</v>
      </c>
      <c r="AT737" s="30" t="str">
        <f aca="false">IF(OR(AB737="判定不能",J737="判定不能"),"判定不能",IF(AS737&gt;=判定条件!$C$9,"利用可",IF(AND(AB737="停止",J737="停止"),"両方停止","運転がそろわない")))</f>
        <v>利用可</v>
      </c>
      <c r="AU737" s="30" t="n">
        <v>60</v>
      </c>
      <c r="AV737" s="30" t="n">
        <v>60</v>
      </c>
      <c r="AW737" s="30" t="str">
        <f aca="false">IF(OR(AE737="判定不能",M737="判定不能"),"判定不能",IF(AV737&gt;=判定条件!$C$9,"利用可",IF(AND(AE737="停止",M737="停止"),"両方停止","運転がそろわない")))</f>
        <v>利用可</v>
      </c>
      <c r="AX737" s="30" t="str">
        <f aca="false">IF(AND(AH737="利用可",AK737="利用可",AN737="利用可"),"利用可","不可")</f>
        <v>利用可</v>
      </c>
      <c r="AY737" s="30" t="str">
        <f aca="false">IF(AND(AQ737="利用可",AT737="利用可",AW737="利用可"),"利用可","不可")</f>
        <v>利用可</v>
      </c>
    </row>
    <row r="738" customFormat="false" ht="15" hidden="false" customHeight="false" outlineLevel="0" collapsed="false">
      <c r="A738" s="29" t="n">
        <v>46262</v>
      </c>
      <c r="B738" s="30" t="n">
        <v>15</v>
      </c>
      <c r="C738" s="31" t="s">
        <v>62</v>
      </c>
      <c r="D738" s="31" t="s">
        <v>59</v>
      </c>
      <c r="E738" s="30" t="n">
        <v>60</v>
      </c>
      <c r="F738" s="30" t="n">
        <v>60</v>
      </c>
      <c r="G738" s="30" t="str">
        <f aca="false">IF(E738&lt;判定条件!$C$6,"判定不能",IF(F738&gt;=判定条件!$C$7*E738,"運転",IF(F738&lt;=判定条件!$C$8*E738,"停止","断続")))</f>
        <v>運転</v>
      </c>
      <c r="H738" s="30" t="n">
        <v>60</v>
      </c>
      <c r="I738" s="30" t="n">
        <v>60</v>
      </c>
      <c r="J738" s="30" t="str">
        <f aca="false">IF(H738&lt;判定条件!$C$6,"判定不能",IF(I738&gt;=判定条件!$C$7*H738,"運転",IF(I738&lt;=判定条件!$C$8*H738,"停止","断続")))</f>
        <v>運転</v>
      </c>
      <c r="K738" s="30" t="n">
        <v>60</v>
      </c>
      <c r="L738" s="30" t="n">
        <v>60</v>
      </c>
      <c r="M738" s="30" t="str">
        <f aca="false">IF(K738&lt;判定条件!$C$6,"判定不能",IF(L738&gt;=判定条件!$C$7*K738,"運転",IF(L738&lt;=判定条件!$C$8*K738,"停止","断続")))</f>
        <v>運転</v>
      </c>
      <c r="N738" s="30" t="n">
        <v>60</v>
      </c>
      <c r="O738" s="30" t="n">
        <v>55</v>
      </c>
      <c r="P738" s="30" t="str">
        <f aca="false">IF(N738&lt;判定条件!$C$6,"判定不能",IF(O738&gt;=判定条件!$C$7*N738,"運転",IF(O738&lt;=判定条件!$C$8*N738,"停止","断続")))</f>
        <v>運転</v>
      </c>
      <c r="Q738" s="30" t="n">
        <v>60</v>
      </c>
      <c r="R738" s="30" t="n">
        <v>60</v>
      </c>
      <c r="S738" s="30" t="str">
        <f aca="false">IF(Q738&lt;判定条件!$C$6,"判定不能",IF(R738&gt;=判定条件!$C$7*Q738,"運転",IF(R738&lt;=判定条件!$C$8*Q738,"停止","断続")))</f>
        <v>運転</v>
      </c>
      <c r="T738" s="30" t="n">
        <v>60</v>
      </c>
      <c r="U738" s="30" t="n">
        <v>48</v>
      </c>
      <c r="V738" s="30" t="str">
        <f aca="false">IF(T738&lt;判定条件!$C$6,"判定不能",IF(U738&gt;=判定条件!$C$7*T738,"運転",IF(U738&lt;=判定条件!$C$8*T738,"停止","断続")))</f>
        <v>運転</v>
      </c>
      <c r="W738" s="30" t="n">
        <v>60</v>
      </c>
      <c r="X738" s="30" t="n">
        <v>60</v>
      </c>
      <c r="Y738" s="30" t="str">
        <f aca="false">IF(W738&lt;判定条件!$C$6,"判定不能",IF(X738&gt;=判定条件!$C$7*W738,"運転",IF(X738&lt;=判定条件!$C$8*W738,"停止","断続")))</f>
        <v>運転</v>
      </c>
      <c r="Z738" s="30" t="n">
        <v>60</v>
      </c>
      <c r="AA738" s="30" t="n">
        <v>60</v>
      </c>
      <c r="AB738" s="30" t="str">
        <f aca="false">IF(Z738&lt;判定条件!$C$6,"判定不能",IF(AA738&gt;=判定条件!$C$7*Z738,"運転",IF(AA738&lt;=判定条件!$C$8*Z738,"停止","断続")))</f>
        <v>運転</v>
      </c>
      <c r="AC738" s="30" t="n">
        <v>60</v>
      </c>
      <c r="AD738" s="30" t="n">
        <v>60</v>
      </c>
      <c r="AE738" s="30" t="str">
        <f aca="false">IF(AC738&lt;判定条件!$C$6,"判定不能",IF(AD738&gt;=判定条件!$C$7*AC738,"運転",IF(AD738&lt;=判定条件!$C$8*AC738,"停止","断続")))</f>
        <v>運転</v>
      </c>
      <c r="AF738" s="30" t="n">
        <v>60</v>
      </c>
      <c r="AG738" s="30" t="n">
        <v>55</v>
      </c>
      <c r="AH738" s="30" t="str">
        <f aca="false">IF(OR(P738="判定不能",G738="判定不能"),"判定不能",IF(AG738&gt;=判定条件!$C$9,"利用可",IF(AND(P738="停止",G738="停止"),"両方停止","運転がそろわない")))</f>
        <v>利用可</v>
      </c>
      <c r="AI738" s="30" t="n">
        <v>60</v>
      </c>
      <c r="AJ738" s="30" t="n">
        <v>60</v>
      </c>
      <c r="AK738" s="30" t="str">
        <f aca="false">IF(OR(S738="判定不能",J738="判定不能"),"判定不能",IF(AJ738&gt;=判定条件!$C$9,"利用可",IF(AND(S738="停止",J738="停止"),"両方停止","運転がそろわない")))</f>
        <v>利用可</v>
      </c>
      <c r="AL738" s="30" t="n">
        <v>60</v>
      </c>
      <c r="AM738" s="30" t="n">
        <v>48</v>
      </c>
      <c r="AN738" s="30" t="str">
        <f aca="false">IF(OR(V738="判定不能",M738="判定不能"),"判定不能",IF(AM738&gt;=判定条件!$C$9,"利用可",IF(AND(V738="停止",M738="停止"),"両方停止","運転がそろわない")))</f>
        <v>利用可</v>
      </c>
      <c r="AO738" s="30" t="n">
        <v>60</v>
      </c>
      <c r="AP738" s="30" t="n">
        <v>60</v>
      </c>
      <c r="AQ738" s="30" t="str">
        <f aca="false">IF(OR(Y738="判定不能",G738="判定不能"),"判定不能",IF(AP738&gt;=判定条件!$C$9,"利用可",IF(AND(Y738="停止",G738="停止"),"両方停止","運転がそろわない")))</f>
        <v>利用可</v>
      </c>
      <c r="AR738" s="30" t="n">
        <v>60</v>
      </c>
      <c r="AS738" s="30" t="n">
        <v>60</v>
      </c>
      <c r="AT738" s="30" t="str">
        <f aca="false">IF(OR(AB738="判定不能",J738="判定不能"),"判定不能",IF(AS738&gt;=判定条件!$C$9,"利用可",IF(AND(AB738="停止",J738="停止"),"両方停止","運転がそろわない")))</f>
        <v>利用可</v>
      </c>
      <c r="AU738" s="30" t="n">
        <v>60</v>
      </c>
      <c r="AV738" s="30" t="n">
        <v>60</v>
      </c>
      <c r="AW738" s="30" t="str">
        <f aca="false">IF(OR(AE738="判定不能",M738="判定不能"),"判定不能",IF(AV738&gt;=判定条件!$C$9,"利用可",IF(AND(AE738="停止",M738="停止"),"両方停止","運転がそろわない")))</f>
        <v>利用可</v>
      </c>
      <c r="AX738" s="30" t="str">
        <f aca="false">IF(AND(AH738="利用可",AK738="利用可",AN738="利用可"),"利用可","不可")</f>
        <v>利用可</v>
      </c>
      <c r="AY738" s="30" t="str">
        <f aca="false">IF(AND(AQ738="利用可",AT738="利用可",AW738="利用可"),"利用可","不可")</f>
        <v>利用可</v>
      </c>
    </row>
    <row r="739" customFormat="false" ht="15" hidden="false" customHeight="false" outlineLevel="0" collapsed="false">
      <c r="A739" s="29" t="n">
        <v>46262</v>
      </c>
      <c r="B739" s="30" t="n">
        <v>16</v>
      </c>
      <c r="C739" s="31" t="s">
        <v>62</v>
      </c>
      <c r="D739" s="31" t="s">
        <v>59</v>
      </c>
      <c r="E739" s="30" t="n">
        <v>60</v>
      </c>
      <c r="F739" s="30" t="n">
        <v>60</v>
      </c>
      <c r="G739" s="30" t="str">
        <f aca="false">IF(E739&lt;判定条件!$C$6,"判定不能",IF(F739&gt;=判定条件!$C$7*E739,"運転",IF(F739&lt;=判定条件!$C$8*E739,"停止","断続")))</f>
        <v>運転</v>
      </c>
      <c r="H739" s="30" t="n">
        <v>60</v>
      </c>
      <c r="I739" s="30" t="n">
        <v>60</v>
      </c>
      <c r="J739" s="30" t="str">
        <f aca="false">IF(H739&lt;判定条件!$C$6,"判定不能",IF(I739&gt;=判定条件!$C$7*H739,"運転",IF(I739&lt;=判定条件!$C$8*H739,"停止","断続")))</f>
        <v>運転</v>
      </c>
      <c r="K739" s="30" t="n">
        <v>60</v>
      </c>
      <c r="L739" s="30" t="n">
        <v>60</v>
      </c>
      <c r="M739" s="30" t="str">
        <f aca="false">IF(K739&lt;判定条件!$C$6,"判定不能",IF(L739&gt;=判定条件!$C$7*K739,"運転",IF(L739&lt;=判定条件!$C$8*K739,"停止","断続")))</f>
        <v>運転</v>
      </c>
      <c r="N739" s="30" t="n">
        <v>60</v>
      </c>
      <c r="O739" s="30" t="n">
        <v>50</v>
      </c>
      <c r="P739" s="30" t="str">
        <f aca="false">IF(N739&lt;判定条件!$C$6,"判定不能",IF(O739&gt;=判定条件!$C$7*N739,"運転",IF(O739&lt;=判定条件!$C$8*N739,"停止","断続")))</f>
        <v>運転</v>
      </c>
      <c r="Q739" s="30" t="n">
        <v>60</v>
      </c>
      <c r="R739" s="30" t="n">
        <v>60</v>
      </c>
      <c r="S739" s="30" t="str">
        <f aca="false">IF(Q739&lt;判定条件!$C$6,"判定不能",IF(R739&gt;=判定条件!$C$7*Q739,"運転",IF(R739&lt;=判定条件!$C$8*Q739,"停止","断続")))</f>
        <v>運転</v>
      </c>
      <c r="T739" s="30" t="n">
        <v>60</v>
      </c>
      <c r="U739" s="30" t="n">
        <v>60</v>
      </c>
      <c r="V739" s="30" t="str">
        <f aca="false">IF(T739&lt;判定条件!$C$6,"判定不能",IF(U739&gt;=判定条件!$C$7*T739,"運転",IF(U739&lt;=判定条件!$C$8*T739,"停止","断続")))</f>
        <v>運転</v>
      </c>
      <c r="W739" s="30" t="n">
        <v>60</v>
      </c>
      <c r="X739" s="30" t="n">
        <v>60</v>
      </c>
      <c r="Y739" s="30" t="str">
        <f aca="false">IF(W739&lt;判定条件!$C$6,"判定不能",IF(X739&gt;=判定条件!$C$7*W739,"運転",IF(X739&lt;=判定条件!$C$8*W739,"停止","断続")))</f>
        <v>運転</v>
      </c>
      <c r="Z739" s="30" t="n">
        <v>60</v>
      </c>
      <c r="AA739" s="30" t="n">
        <v>60</v>
      </c>
      <c r="AB739" s="30" t="str">
        <f aca="false">IF(Z739&lt;判定条件!$C$6,"判定不能",IF(AA739&gt;=判定条件!$C$7*Z739,"運転",IF(AA739&lt;=判定条件!$C$8*Z739,"停止","断続")))</f>
        <v>運転</v>
      </c>
      <c r="AC739" s="30" t="n">
        <v>60</v>
      </c>
      <c r="AD739" s="30" t="n">
        <v>60</v>
      </c>
      <c r="AE739" s="30" t="str">
        <f aca="false">IF(AC739&lt;判定条件!$C$6,"判定不能",IF(AD739&gt;=判定条件!$C$7*AC739,"運転",IF(AD739&lt;=判定条件!$C$8*AC739,"停止","断続")))</f>
        <v>運転</v>
      </c>
      <c r="AF739" s="30" t="n">
        <v>60</v>
      </c>
      <c r="AG739" s="30" t="n">
        <v>50</v>
      </c>
      <c r="AH739" s="30" t="str">
        <f aca="false">IF(OR(P739="判定不能",G739="判定不能"),"判定不能",IF(AG739&gt;=判定条件!$C$9,"利用可",IF(AND(P739="停止",G739="停止"),"両方停止","運転がそろわない")))</f>
        <v>利用可</v>
      </c>
      <c r="AI739" s="30" t="n">
        <v>60</v>
      </c>
      <c r="AJ739" s="30" t="n">
        <v>60</v>
      </c>
      <c r="AK739" s="30" t="str">
        <f aca="false">IF(OR(S739="判定不能",J739="判定不能"),"判定不能",IF(AJ739&gt;=判定条件!$C$9,"利用可",IF(AND(S739="停止",J739="停止"),"両方停止","運転がそろわない")))</f>
        <v>利用可</v>
      </c>
      <c r="AL739" s="30" t="n">
        <v>60</v>
      </c>
      <c r="AM739" s="30" t="n">
        <v>60</v>
      </c>
      <c r="AN739" s="30" t="str">
        <f aca="false">IF(OR(V739="判定不能",M739="判定不能"),"判定不能",IF(AM739&gt;=判定条件!$C$9,"利用可",IF(AND(V739="停止",M739="停止"),"両方停止","運転がそろわない")))</f>
        <v>利用可</v>
      </c>
      <c r="AO739" s="30" t="n">
        <v>60</v>
      </c>
      <c r="AP739" s="30" t="n">
        <v>60</v>
      </c>
      <c r="AQ739" s="30" t="str">
        <f aca="false">IF(OR(Y739="判定不能",G739="判定不能"),"判定不能",IF(AP739&gt;=判定条件!$C$9,"利用可",IF(AND(Y739="停止",G739="停止"),"両方停止","運転がそろわない")))</f>
        <v>利用可</v>
      </c>
      <c r="AR739" s="30" t="n">
        <v>60</v>
      </c>
      <c r="AS739" s="30" t="n">
        <v>60</v>
      </c>
      <c r="AT739" s="30" t="str">
        <f aca="false">IF(OR(AB739="判定不能",J739="判定不能"),"判定不能",IF(AS739&gt;=判定条件!$C$9,"利用可",IF(AND(AB739="停止",J739="停止"),"両方停止","運転がそろわない")))</f>
        <v>利用可</v>
      </c>
      <c r="AU739" s="30" t="n">
        <v>60</v>
      </c>
      <c r="AV739" s="30" t="n">
        <v>60</v>
      </c>
      <c r="AW739" s="30" t="str">
        <f aca="false">IF(OR(AE739="判定不能",M739="判定不能"),"判定不能",IF(AV739&gt;=判定条件!$C$9,"利用可",IF(AND(AE739="停止",M739="停止"),"両方停止","運転がそろわない")))</f>
        <v>利用可</v>
      </c>
      <c r="AX739" s="30" t="str">
        <f aca="false">IF(AND(AH739="利用可",AK739="利用可",AN739="利用可"),"利用可","不可")</f>
        <v>利用可</v>
      </c>
      <c r="AY739" s="30" t="str">
        <f aca="false">IF(AND(AQ739="利用可",AT739="利用可",AW739="利用可"),"利用可","不可")</f>
        <v>利用可</v>
      </c>
    </row>
    <row r="740" customFormat="false" ht="15" hidden="false" customHeight="false" outlineLevel="0" collapsed="false">
      <c r="A740" s="29" t="n">
        <v>46262</v>
      </c>
      <c r="B740" s="30" t="n">
        <v>17</v>
      </c>
      <c r="C740" s="31" t="s">
        <v>62</v>
      </c>
      <c r="D740" s="31" t="s">
        <v>59</v>
      </c>
      <c r="E740" s="30" t="n">
        <v>60</v>
      </c>
      <c r="F740" s="30" t="n">
        <v>54</v>
      </c>
      <c r="G740" s="30" t="str">
        <f aca="false">IF(E740&lt;判定条件!$C$6,"判定不能",IF(F740&gt;=判定条件!$C$7*E740,"運転",IF(F740&lt;=判定条件!$C$8*E740,"停止","断続")))</f>
        <v>運転</v>
      </c>
      <c r="H740" s="30" t="n">
        <v>60</v>
      </c>
      <c r="I740" s="30" t="n">
        <v>54</v>
      </c>
      <c r="J740" s="30" t="str">
        <f aca="false">IF(H740&lt;判定条件!$C$6,"判定不能",IF(I740&gt;=判定条件!$C$7*H740,"運転",IF(I740&lt;=判定条件!$C$8*H740,"停止","断続")))</f>
        <v>運転</v>
      </c>
      <c r="K740" s="30" t="n">
        <v>60</v>
      </c>
      <c r="L740" s="30" t="n">
        <v>60</v>
      </c>
      <c r="M740" s="30" t="str">
        <f aca="false">IF(K740&lt;判定条件!$C$6,"判定不能",IF(L740&gt;=判定条件!$C$7*K740,"運転",IF(L740&lt;=判定条件!$C$8*K740,"停止","断続")))</f>
        <v>運転</v>
      </c>
      <c r="N740" s="30" t="n">
        <v>60</v>
      </c>
      <c r="O740" s="30" t="n">
        <v>43</v>
      </c>
      <c r="P740" s="30" t="str">
        <f aca="false">IF(N740&lt;判定条件!$C$6,"判定不能",IF(O740&gt;=判定条件!$C$7*N740,"運転",IF(O740&lt;=判定条件!$C$8*N740,"停止","断続")))</f>
        <v>断続</v>
      </c>
      <c r="Q740" s="30" t="n">
        <v>60</v>
      </c>
      <c r="R740" s="30" t="n">
        <v>60</v>
      </c>
      <c r="S740" s="30" t="str">
        <f aca="false">IF(Q740&lt;判定条件!$C$6,"判定不能",IF(R740&gt;=判定条件!$C$7*Q740,"運転",IF(R740&lt;=判定条件!$C$8*Q740,"停止","断続")))</f>
        <v>運転</v>
      </c>
      <c r="T740" s="30" t="n">
        <v>60</v>
      </c>
      <c r="U740" s="30" t="n">
        <v>60</v>
      </c>
      <c r="V740" s="30" t="str">
        <f aca="false">IF(T740&lt;判定条件!$C$6,"判定不能",IF(U740&gt;=判定条件!$C$7*T740,"運転",IF(U740&lt;=判定条件!$C$8*T740,"停止","断続")))</f>
        <v>運転</v>
      </c>
      <c r="W740" s="30" t="n">
        <v>60</v>
      </c>
      <c r="X740" s="30" t="n">
        <v>60</v>
      </c>
      <c r="Y740" s="30" t="str">
        <f aca="false">IF(W740&lt;判定条件!$C$6,"判定不能",IF(X740&gt;=判定条件!$C$7*W740,"運転",IF(X740&lt;=判定条件!$C$8*W740,"停止","断続")))</f>
        <v>運転</v>
      </c>
      <c r="Z740" s="30" t="n">
        <v>60</v>
      </c>
      <c r="AA740" s="30" t="n">
        <v>50</v>
      </c>
      <c r="AB740" s="30" t="str">
        <f aca="false">IF(Z740&lt;判定条件!$C$6,"判定不能",IF(AA740&gt;=判定条件!$C$7*Z740,"運転",IF(AA740&lt;=判定条件!$C$8*Z740,"停止","断続")))</f>
        <v>運転</v>
      </c>
      <c r="AC740" s="30" t="n">
        <v>60</v>
      </c>
      <c r="AD740" s="30" t="n">
        <v>60</v>
      </c>
      <c r="AE740" s="30" t="str">
        <f aca="false">IF(AC740&lt;判定条件!$C$6,"判定不能",IF(AD740&gt;=判定条件!$C$7*AC740,"運転",IF(AD740&lt;=判定条件!$C$8*AC740,"停止","断続")))</f>
        <v>運転</v>
      </c>
      <c r="AF740" s="30" t="n">
        <v>60</v>
      </c>
      <c r="AG740" s="30" t="n">
        <v>37</v>
      </c>
      <c r="AH740" s="30" t="str">
        <f aca="false">IF(OR(P740="判定不能",G740="判定不能"),"判定不能",IF(AG740&gt;=判定条件!$C$9,"利用可",IF(AND(P740="停止",G740="停止"),"両方停止","運転がそろわない")))</f>
        <v>利用可</v>
      </c>
      <c r="AI740" s="30" t="n">
        <v>60</v>
      </c>
      <c r="AJ740" s="30" t="n">
        <v>54</v>
      </c>
      <c r="AK740" s="30" t="str">
        <f aca="false">IF(OR(S740="判定不能",J740="判定不能"),"判定不能",IF(AJ740&gt;=判定条件!$C$9,"利用可",IF(AND(S740="停止",J740="停止"),"両方停止","運転がそろわない")))</f>
        <v>利用可</v>
      </c>
      <c r="AL740" s="30" t="n">
        <v>60</v>
      </c>
      <c r="AM740" s="30" t="n">
        <v>60</v>
      </c>
      <c r="AN740" s="30" t="str">
        <f aca="false">IF(OR(V740="判定不能",M740="判定不能"),"判定不能",IF(AM740&gt;=判定条件!$C$9,"利用可",IF(AND(V740="停止",M740="停止"),"両方停止","運転がそろわない")))</f>
        <v>利用可</v>
      </c>
      <c r="AO740" s="30" t="n">
        <v>60</v>
      </c>
      <c r="AP740" s="30" t="n">
        <v>54</v>
      </c>
      <c r="AQ740" s="30" t="str">
        <f aca="false">IF(OR(Y740="判定不能",G740="判定不能"),"判定不能",IF(AP740&gt;=判定条件!$C$9,"利用可",IF(AND(Y740="停止",G740="停止"),"両方停止","運転がそろわない")))</f>
        <v>利用可</v>
      </c>
      <c r="AR740" s="30" t="n">
        <v>60</v>
      </c>
      <c r="AS740" s="30" t="n">
        <v>44</v>
      </c>
      <c r="AT740" s="30" t="str">
        <f aca="false">IF(OR(AB740="判定不能",J740="判定不能"),"判定不能",IF(AS740&gt;=判定条件!$C$9,"利用可",IF(AND(AB740="停止",J740="停止"),"両方停止","運転がそろわない")))</f>
        <v>利用可</v>
      </c>
      <c r="AU740" s="30" t="n">
        <v>60</v>
      </c>
      <c r="AV740" s="30" t="n">
        <v>60</v>
      </c>
      <c r="AW740" s="30" t="str">
        <f aca="false">IF(OR(AE740="判定不能",M740="判定不能"),"判定不能",IF(AV740&gt;=判定条件!$C$9,"利用可",IF(AND(AE740="停止",M740="停止"),"両方停止","運転がそろわない")))</f>
        <v>利用可</v>
      </c>
      <c r="AX740" s="30" t="str">
        <f aca="false">IF(AND(AH740="利用可",AK740="利用可",AN740="利用可"),"利用可","不可")</f>
        <v>利用可</v>
      </c>
      <c r="AY740" s="30" t="str">
        <f aca="false">IF(AND(AQ740="利用可",AT740="利用可",AW740="利用可"),"利用可","不可")</f>
        <v>利用可</v>
      </c>
    </row>
    <row r="741" customFormat="false" ht="15" hidden="false" customHeight="false" outlineLevel="0" collapsed="false">
      <c r="A741" s="29" t="n">
        <v>46262</v>
      </c>
      <c r="B741" s="30" t="n">
        <v>18</v>
      </c>
      <c r="C741" s="31" t="s">
        <v>62</v>
      </c>
      <c r="D741" s="31" t="s">
        <v>59</v>
      </c>
      <c r="E741" s="30" t="n">
        <v>60</v>
      </c>
      <c r="F741" s="30" t="n">
        <v>60</v>
      </c>
      <c r="G741" s="30" t="str">
        <f aca="false">IF(E741&lt;判定条件!$C$6,"判定不能",IF(F741&gt;=判定条件!$C$7*E741,"運転",IF(F741&lt;=判定条件!$C$8*E741,"停止","断続")))</f>
        <v>運転</v>
      </c>
      <c r="H741" s="30" t="n">
        <v>60</v>
      </c>
      <c r="I741" s="30" t="n">
        <v>60</v>
      </c>
      <c r="J741" s="30" t="str">
        <f aca="false">IF(H741&lt;判定条件!$C$6,"判定不能",IF(I741&gt;=判定条件!$C$7*H741,"運転",IF(I741&lt;=判定条件!$C$8*H741,"停止","断続")))</f>
        <v>運転</v>
      </c>
      <c r="K741" s="30" t="n">
        <v>60</v>
      </c>
      <c r="L741" s="30" t="n">
        <v>60</v>
      </c>
      <c r="M741" s="30" t="str">
        <f aca="false">IF(K741&lt;判定条件!$C$6,"判定不能",IF(L741&gt;=判定条件!$C$7*K741,"運転",IF(L741&lt;=判定条件!$C$8*K741,"停止","断続")))</f>
        <v>運転</v>
      </c>
      <c r="N741" s="30" t="n">
        <v>60</v>
      </c>
      <c r="O741" s="30" t="n">
        <v>42</v>
      </c>
      <c r="P741" s="30" t="str">
        <f aca="false">IF(N741&lt;判定条件!$C$6,"判定不能",IF(O741&gt;=判定条件!$C$7*N741,"運転",IF(O741&lt;=判定条件!$C$8*N741,"停止","断続")))</f>
        <v>断続</v>
      </c>
      <c r="Q741" s="30" t="n">
        <v>60</v>
      </c>
      <c r="R741" s="30" t="n">
        <v>36</v>
      </c>
      <c r="S741" s="30" t="str">
        <f aca="false">IF(Q741&lt;判定条件!$C$6,"判定不能",IF(R741&gt;=判定条件!$C$7*Q741,"運転",IF(R741&lt;=判定条件!$C$8*Q741,"停止","断続")))</f>
        <v>断続</v>
      </c>
      <c r="T741" s="30" t="n">
        <v>60</v>
      </c>
      <c r="U741" s="30" t="n">
        <v>14</v>
      </c>
      <c r="V741" s="30" t="str">
        <f aca="false">IF(T741&lt;判定条件!$C$6,"判定不能",IF(U741&gt;=判定条件!$C$7*T741,"運転",IF(U741&lt;=判定条件!$C$8*T741,"停止","断続")))</f>
        <v>断続</v>
      </c>
      <c r="W741" s="30" t="n">
        <v>60</v>
      </c>
      <c r="X741" s="30" t="n">
        <v>60</v>
      </c>
      <c r="Y741" s="30" t="str">
        <f aca="false">IF(W741&lt;判定条件!$C$6,"判定不能",IF(X741&gt;=判定条件!$C$7*W741,"運転",IF(X741&lt;=判定条件!$C$8*W741,"停止","断続")))</f>
        <v>運転</v>
      </c>
      <c r="Z741" s="30" t="n">
        <v>60</v>
      </c>
      <c r="AA741" s="30" t="n">
        <v>49</v>
      </c>
      <c r="AB741" s="30" t="str">
        <f aca="false">IF(Z741&lt;判定条件!$C$6,"判定不能",IF(AA741&gt;=判定条件!$C$7*Z741,"運転",IF(AA741&lt;=判定条件!$C$8*Z741,"停止","断続")))</f>
        <v>運転</v>
      </c>
      <c r="AC741" s="30" t="n">
        <v>60</v>
      </c>
      <c r="AD741" s="30" t="n">
        <v>43</v>
      </c>
      <c r="AE741" s="30" t="str">
        <f aca="false">IF(AC741&lt;判定条件!$C$6,"判定不能",IF(AD741&gt;=判定条件!$C$7*AC741,"運転",IF(AD741&lt;=判定条件!$C$8*AC741,"停止","断続")))</f>
        <v>断続</v>
      </c>
      <c r="AF741" s="30" t="n">
        <v>60</v>
      </c>
      <c r="AG741" s="30" t="n">
        <v>42</v>
      </c>
      <c r="AH741" s="30" t="str">
        <f aca="false">IF(OR(P741="判定不能",G741="判定不能"),"判定不能",IF(AG741&gt;=判定条件!$C$9,"利用可",IF(AND(P741="停止",G741="停止"),"両方停止","運転がそろわない")))</f>
        <v>利用可</v>
      </c>
      <c r="AI741" s="30" t="n">
        <v>60</v>
      </c>
      <c r="AJ741" s="30" t="n">
        <v>36</v>
      </c>
      <c r="AK741" s="30" t="str">
        <f aca="false">IF(OR(S741="判定不能",J741="判定不能"),"判定不能",IF(AJ741&gt;=判定条件!$C$9,"利用可",IF(AND(S741="停止",J741="停止"),"両方停止","運転がそろわない")))</f>
        <v>利用可</v>
      </c>
      <c r="AL741" s="30" t="n">
        <v>60</v>
      </c>
      <c r="AM741" s="30" t="n">
        <v>14</v>
      </c>
      <c r="AN741" s="30" t="str">
        <f aca="false">IF(OR(V741="判定不能",M741="判定不能"),"判定不能",IF(AM741&gt;=判定条件!$C$9,"利用可",IF(AND(V741="停止",M741="停止"),"両方停止","運転がそろわない")))</f>
        <v>運転がそろわない</v>
      </c>
      <c r="AO741" s="30" t="n">
        <v>60</v>
      </c>
      <c r="AP741" s="30" t="n">
        <v>60</v>
      </c>
      <c r="AQ741" s="30" t="str">
        <f aca="false">IF(OR(Y741="判定不能",G741="判定不能"),"判定不能",IF(AP741&gt;=判定条件!$C$9,"利用可",IF(AND(Y741="停止",G741="停止"),"両方停止","運転がそろわない")))</f>
        <v>利用可</v>
      </c>
      <c r="AR741" s="30" t="n">
        <v>60</v>
      </c>
      <c r="AS741" s="30" t="n">
        <v>49</v>
      </c>
      <c r="AT741" s="30" t="str">
        <f aca="false">IF(OR(AB741="判定不能",J741="判定不能"),"判定不能",IF(AS741&gt;=判定条件!$C$9,"利用可",IF(AND(AB741="停止",J741="停止"),"両方停止","運転がそろわない")))</f>
        <v>利用可</v>
      </c>
      <c r="AU741" s="30" t="n">
        <v>60</v>
      </c>
      <c r="AV741" s="30" t="n">
        <v>43</v>
      </c>
      <c r="AW741" s="30" t="str">
        <f aca="false">IF(OR(AE741="判定不能",M741="判定不能"),"判定不能",IF(AV741&gt;=判定条件!$C$9,"利用可",IF(AND(AE741="停止",M741="停止"),"両方停止","運転がそろわない")))</f>
        <v>利用可</v>
      </c>
      <c r="AX741" s="30" t="str">
        <f aca="false">IF(AND(AH741="利用可",AK741="利用可",AN741="利用可"),"利用可","不可")</f>
        <v>不可</v>
      </c>
      <c r="AY741" s="30" t="str">
        <f aca="false">IF(AND(AQ741="利用可",AT741="利用可",AW741="利用可"),"利用可","不可")</f>
        <v>利用可</v>
      </c>
    </row>
    <row r="742" customFormat="false" ht="15" hidden="false" customHeight="false" outlineLevel="0" collapsed="false">
      <c r="A742" s="29" t="n">
        <v>46262</v>
      </c>
      <c r="B742" s="30" t="n">
        <v>19</v>
      </c>
      <c r="C742" s="31" t="s">
        <v>62</v>
      </c>
      <c r="D742" s="31" t="s">
        <v>59</v>
      </c>
      <c r="E742" s="30" t="n">
        <v>60</v>
      </c>
      <c r="F742" s="30" t="n">
        <v>60</v>
      </c>
      <c r="G742" s="30" t="str">
        <f aca="false">IF(E742&lt;判定条件!$C$6,"判定不能",IF(F742&gt;=判定条件!$C$7*E742,"運転",IF(F742&lt;=判定条件!$C$8*E742,"停止","断続")))</f>
        <v>運転</v>
      </c>
      <c r="H742" s="30" t="n">
        <v>60</v>
      </c>
      <c r="I742" s="30" t="n">
        <v>60</v>
      </c>
      <c r="J742" s="30" t="str">
        <f aca="false">IF(H742&lt;判定条件!$C$6,"判定不能",IF(I742&gt;=判定条件!$C$7*H742,"運転",IF(I742&lt;=判定条件!$C$8*H742,"停止","断続")))</f>
        <v>運転</v>
      </c>
      <c r="K742" s="30" t="n">
        <v>60</v>
      </c>
      <c r="L742" s="30" t="n">
        <v>60</v>
      </c>
      <c r="M742" s="30" t="str">
        <f aca="false">IF(K742&lt;判定条件!$C$6,"判定不能",IF(L742&gt;=判定条件!$C$7*K742,"運転",IF(L742&lt;=判定条件!$C$8*K742,"停止","断続")))</f>
        <v>運転</v>
      </c>
      <c r="N742" s="30" t="n">
        <v>60</v>
      </c>
      <c r="O742" s="30" t="n">
        <v>45</v>
      </c>
      <c r="P742" s="30" t="str">
        <f aca="false">IF(N742&lt;判定条件!$C$6,"判定不能",IF(O742&gt;=判定条件!$C$7*N742,"運転",IF(O742&lt;=判定条件!$C$8*N742,"停止","断続")))</f>
        <v>断続</v>
      </c>
      <c r="Q742" s="30" t="n">
        <v>60</v>
      </c>
      <c r="R742" s="30" t="n">
        <v>42</v>
      </c>
      <c r="S742" s="30" t="str">
        <f aca="false">IF(Q742&lt;判定条件!$C$6,"判定不能",IF(R742&gt;=判定条件!$C$7*Q742,"運転",IF(R742&lt;=判定条件!$C$8*Q742,"停止","断続")))</f>
        <v>断続</v>
      </c>
      <c r="T742" s="30" t="n">
        <v>60</v>
      </c>
      <c r="U742" s="30" t="n">
        <v>60</v>
      </c>
      <c r="V742" s="30" t="str">
        <f aca="false">IF(T742&lt;判定条件!$C$6,"判定不能",IF(U742&gt;=判定条件!$C$7*T742,"運転",IF(U742&lt;=判定条件!$C$8*T742,"停止","断続")))</f>
        <v>運転</v>
      </c>
      <c r="W742" s="30" t="n">
        <v>60</v>
      </c>
      <c r="X742" s="30" t="n">
        <v>12</v>
      </c>
      <c r="Y742" s="30" t="str">
        <f aca="false">IF(W742&lt;判定条件!$C$6,"判定不能",IF(X742&gt;=判定条件!$C$7*W742,"運転",IF(X742&lt;=判定条件!$C$8*W742,"停止","断続")))</f>
        <v>停止</v>
      </c>
      <c r="Z742" s="30" t="n">
        <v>60</v>
      </c>
      <c r="AA742" s="30" t="n">
        <v>11</v>
      </c>
      <c r="AB742" s="30" t="str">
        <f aca="false">IF(Z742&lt;判定条件!$C$6,"判定不能",IF(AA742&gt;=判定条件!$C$7*Z742,"運転",IF(AA742&lt;=判定条件!$C$8*Z742,"停止","断続")))</f>
        <v>停止</v>
      </c>
      <c r="AC742" s="30" t="n">
        <v>60</v>
      </c>
      <c r="AD742" s="30" t="n">
        <v>8</v>
      </c>
      <c r="AE742" s="30" t="str">
        <f aca="false">IF(AC742&lt;判定条件!$C$6,"判定不能",IF(AD742&gt;=判定条件!$C$7*AC742,"運転",IF(AD742&lt;=判定条件!$C$8*AC742,"停止","断続")))</f>
        <v>停止</v>
      </c>
      <c r="AF742" s="30" t="n">
        <v>60</v>
      </c>
      <c r="AG742" s="30" t="n">
        <v>45</v>
      </c>
      <c r="AH742" s="30" t="str">
        <f aca="false">IF(OR(P742="判定不能",G742="判定不能"),"判定不能",IF(AG742&gt;=判定条件!$C$9,"利用可",IF(AND(P742="停止",G742="停止"),"両方停止","運転がそろわない")))</f>
        <v>利用可</v>
      </c>
      <c r="AI742" s="30" t="n">
        <v>60</v>
      </c>
      <c r="AJ742" s="30" t="n">
        <v>42</v>
      </c>
      <c r="AK742" s="30" t="str">
        <f aca="false">IF(OR(S742="判定不能",J742="判定不能"),"判定不能",IF(AJ742&gt;=判定条件!$C$9,"利用可",IF(AND(S742="停止",J742="停止"),"両方停止","運転がそろわない")))</f>
        <v>利用可</v>
      </c>
      <c r="AL742" s="30" t="n">
        <v>60</v>
      </c>
      <c r="AM742" s="30" t="n">
        <v>60</v>
      </c>
      <c r="AN742" s="30" t="str">
        <f aca="false">IF(OR(V742="判定不能",M742="判定不能"),"判定不能",IF(AM742&gt;=判定条件!$C$9,"利用可",IF(AND(V742="停止",M742="停止"),"両方停止","運転がそろわない")))</f>
        <v>利用可</v>
      </c>
      <c r="AO742" s="30" t="n">
        <v>60</v>
      </c>
      <c r="AP742" s="30" t="n">
        <v>12</v>
      </c>
      <c r="AQ742" s="30" t="str">
        <f aca="false">IF(OR(Y742="判定不能",G742="判定不能"),"判定不能",IF(AP742&gt;=判定条件!$C$9,"利用可",IF(AND(Y742="停止",G742="停止"),"両方停止","運転がそろわない")))</f>
        <v>運転がそろわない</v>
      </c>
      <c r="AR742" s="30" t="n">
        <v>60</v>
      </c>
      <c r="AS742" s="30" t="n">
        <v>11</v>
      </c>
      <c r="AT742" s="30" t="str">
        <f aca="false">IF(OR(AB742="判定不能",J742="判定不能"),"判定不能",IF(AS742&gt;=判定条件!$C$9,"利用可",IF(AND(AB742="停止",J742="停止"),"両方停止","運転がそろわない")))</f>
        <v>運転がそろわない</v>
      </c>
      <c r="AU742" s="30" t="n">
        <v>60</v>
      </c>
      <c r="AV742" s="30" t="n">
        <v>8</v>
      </c>
      <c r="AW742" s="30" t="str">
        <f aca="false">IF(OR(AE742="判定不能",M742="判定不能"),"判定不能",IF(AV742&gt;=判定条件!$C$9,"利用可",IF(AND(AE742="停止",M742="停止"),"両方停止","運転がそろわない")))</f>
        <v>運転がそろわない</v>
      </c>
      <c r="AX742" s="30" t="str">
        <f aca="false">IF(AND(AH742="利用可",AK742="利用可",AN742="利用可"),"利用可","不可")</f>
        <v>利用可</v>
      </c>
      <c r="AY742" s="30" t="str">
        <f aca="false">IF(AND(AQ742="利用可",AT742="利用可",AW742="利用可"),"利用可","不可")</f>
        <v>不可</v>
      </c>
    </row>
    <row r="743" customFormat="false" ht="15" hidden="false" customHeight="false" outlineLevel="0" collapsed="false">
      <c r="A743" s="29" t="n">
        <v>46262</v>
      </c>
      <c r="B743" s="30" t="n">
        <v>20</v>
      </c>
      <c r="C743" s="31" t="s">
        <v>62</v>
      </c>
      <c r="D743" s="31" t="s">
        <v>59</v>
      </c>
      <c r="E743" s="30" t="n">
        <v>60</v>
      </c>
      <c r="F743" s="30" t="n">
        <v>48</v>
      </c>
      <c r="G743" s="30" t="str">
        <f aca="false">IF(E743&lt;判定条件!$C$6,"判定不能",IF(F743&gt;=判定条件!$C$7*E743,"運転",IF(F743&lt;=判定条件!$C$8*E743,"停止","断続")))</f>
        <v>運転</v>
      </c>
      <c r="H743" s="30" t="n">
        <v>60</v>
      </c>
      <c r="I743" s="30" t="n">
        <v>47</v>
      </c>
      <c r="J743" s="30" t="str">
        <f aca="false">IF(H743&lt;判定条件!$C$6,"判定不能",IF(I743&gt;=判定条件!$C$7*H743,"運転",IF(I743&lt;=判定条件!$C$8*H743,"停止","断続")))</f>
        <v>断続</v>
      </c>
      <c r="K743" s="30" t="n">
        <v>60</v>
      </c>
      <c r="L743" s="30" t="n">
        <v>45</v>
      </c>
      <c r="M743" s="30" t="str">
        <f aca="false">IF(K743&lt;判定条件!$C$6,"判定不能",IF(L743&gt;=判定条件!$C$7*K743,"運転",IF(L743&lt;=判定条件!$C$8*K743,"停止","断続")))</f>
        <v>断続</v>
      </c>
      <c r="N743" s="30" t="n">
        <v>60</v>
      </c>
      <c r="O743" s="30" t="n">
        <v>49</v>
      </c>
      <c r="P743" s="30" t="str">
        <f aca="false">IF(N743&lt;判定条件!$C$6,"判定不能",IF(O743&gt;=判定条件!$C$7*N743,"運転",IF(O743&lt;=判定条件!$C$8*N743,"停止","断続")))</f>
        <v>運転</v>
      </c>
      <c r="Q743" s="30" t="n">
        <v>60</v>
      </c>
      <c r="R743" s="30" t="n">
        <v>22</v>
      </c>
      <c r="S743" s="30" t="str">
        <f aca="false">IF(Q743&lt;判定条件!$C$6,"判定不能",IF(R743&gt;=判定条件!$C$7*Q743,"運転",IF(R743&lt;=判定条件!$C$8*Q743,"停止","断続")))</f>
        <v>断続</v>
      </c>
      <c r="T743" s="30" t="n">
        <v>60</v>
      </c>
      <c r="U743" s="30" t="n">
        <v>10</v>
      </c>
      <c r="V743" s="30" t="str">
        <f aca="false">IF(T743&lt;判定条件!$C$6,"判定不能",IF(U743&gt;=判定条件!$C$7*T743,"運転",IF(U743&lt;=判定条件!$C$8*T743,"停止","断続")))</f>
        <v>停止</v>
      </c>
      <c r="W743" s="30" t="n">
        <v>60</v>
      </c>
      <c r="X743" s="30" t="n">
        <v>0</v>
      </c>
      <c r="Y743" s="30" t="str">
        <f aca="false">IF(W743&lt;判定条件!$C$6,"判定不能",IF(X743&gt;=判定条件!$C$7*W743,"運転",IF(X743&lt;=判定条件!$C$8*W743,"停止","断続")))</f>
        <v>停止</v>
      </c>
      <c r="Z743" s="30" t="n">
        <v>60</v>
      </c>
      <c r="AA743" s="30" t="n">
        <v>0</v>
      </c>
      <c r="AB743" s="30" t="str">
        <f aca="false">IF(Z743&lt;判定条件!$C$6,"判定不能",IF(AA743&gt;=判定条件!$C$7*Z743,"運転",IF(AA743&lt;=判定条件!$C$8*Z743,"停止","断続")))</f>
        <v>停止</v>
      </c>
      <c r="AC743" s="30" t="n">
        <v>60</v>
      </c>
      <c r="AD743" s="30" t="n">
        <v>0</v>
      </c>
      <c r="AE743" s="30" t="str">
        <f aca="false">IF(AC743&lt;判定条件!$C$6,"判定不能",IF(AD743&gt;=判定条件!$C$7*AC743,"運転",IF(AD743&lt;=判定条件!$C$8*AC743,"停止","断続")))</f>
        <v>停止</v>
      </c>
      <c r="AF743" s="30" t="n">
        <v>60</v>
      </c>
      <c r="AG743" s="30" t="n">
        <v>37</v>
      </c>
      <c r="AH743" s="30" t="str">
        <f aca="false">IF(OR(P743="判定不能",G743="判定不能"),"判定不能",IF(AG743&gt;=判定条件!$C$9,"利用可",IF(AND(P743="停止",G743="停止"),"両方停止","運転がそろわない")))</f>
        <v>利用可</v>
      </c>
      <c r="AI743" s="30" t="n">
        <v>60</v>
      </c>
      <c r="AJ743" s="30" t="n">
        <v>9</v>
      </c>
      <c r="AK743" s="30" t="str">
        <f aca="false">IF(OR(S743="判定不能",J743="判定不能"),"判定不能",IF(AJ743&gt;=判定条件!$C$9,"利用可",IF(AND(S743="停止",J743="停止"),"両方停止","運転がそろわない")))</f>
        <v>運転がそろわない</v>
      </c>
      <c r="AL743" s="30" t="n">
        <v>60</v>
      </c>
      <c r="AM743" s="30" t="n">
        <v>7</v>
      </c>
      <c r="AN743" s="30" t="str">
        <f aca="false">IF(OR(V743="判定不能",M743="判定不能"),"判定不能",IF(AM743&gt;=判定条件!$C$9,"利用可",IF(AND(V743="停止",M743="停止"),"両方停止","運転がそろわない")))</f>
        <v>運転がそろわない</v>
      </c>
      <c r="AO743" s="30" t="n">
        <v>60</v>
      </c>
      <c r="AP743" s="30" t="n">
        <v>0</v>
      </c>
      <c r="AQ743" s="30" t="str">
        <f aca="false">IF(OR(Y743="判定不能",G743="判定不能"),"判定不能",IF(AP743&gt;=判定条件!$C$9,"利用可",IF(AND(Y743="停止",G743="停止"),"両方停止","運転がそろわない")))</f>
        <v>運転がそろわない</v>
      </c>
      <c r="AR743" s="30" t="n">
        <v>60</v>
      </c>
      <c r="AS743" s="30" t="n">
        <v>0</v>
      </c>
      <c r="AT743" s="30" t="str">
        <f aca="false">IF(OR(AB743="判定不能",J743="判定不能"),"判定不能",IF(AS743&gt;=判定条件!$C$9,"利用可",IF(AND(AB743="停止",J743="停止"),"両方停止","運転がそろわない")))</f>
        <v>運転がそろわない</v>
      </c>
      <c r="AU743" s="30" t="n">
        <v>60</v>
      </c>
      <c r="AV743" s="30" t="n">
        <v>0</v>
      </c>
      <c r="AW743" s="30" t="str">
        <f aca="false">IF(OR(AE743="判定不能",M743="判定不能"),"判定不能",IF(AV743&gt;=判定条件!$C$9,"利用可",IF(AND(AE743="停止",M743="停止"),"両方停止","運転がそろわない")))</f>
        <v>運転がそろわない</v>
      </c>
      <c r="AX743" s="30" t="str">
        <f aca="false">IF(AND(AH743="利用可",AK743="利用可",AN743="利用可"),"利用可","不可")</f>
        <v>不可</v>
      </c>
      <c r="AY743" s="30" t="str">
        <f aca="false">IF(AND(AQ743="利用可",AT743="利用可",AW743="利用可"),"利用可","不可")</f>
        <v>不可</v>
      </c>
    </row>
    <row r="744" customFormat="false" ht="15" hidden="false" customHeight="false" outlineLevel="0" collapsed="false">
      <c r="A744" s="29" t="n">
        <v>46262</v>
      </c>
      <c r="B744" s="30" t="n">
        <v>21</v>
      </c>
      <c r="C744" s="31" t="s">
        <v>62</v>
      </c>
      <c r="D744" s="31" t="s">
        <v>59</v>
      </c>
      <c r="E744" s="30" t="n">
        <v>60</v>
      </c>
      <c r="F744" s="30" t="n">
        <v>0</v>
      </c>
      <c r="G744" s="30" t="str">
        <f aca="false">IF(E744&lt;判定条件!$C$6,"判定不能",IF(F744&gt;=判定条件!$C$7*E744,"運転",IF(F744&lt;=判定条件!$C$8*E744,"停止","断続")))</f>
        <v>停止</v>
      </c>
      <c r="H744" s="30" t="n">
        <v>60</v>
      </c>
      <c r="I744" s="30" t="n">
        <v>0</v>
      </c>
      <c r="J744" s="30" t="str">
        <f aca="false">IF(H744&lt;判定条件!$C$6,"判定不能",IF(I744&gt;=判定条件!$C$7*H744,"運転",IF(I744&lt;=判定条件!$C$8*H744,"停止","断続")))</f>
        <v>停止</v>
      </c>
      <c r="K744" s="30" t="n">
        <v>60</v>
      </c>
      <c r="L744" s="30" t="n">
        <v>0</v>
      </c>
      <c r="M744" s="30" t="str">
        <f aca="false">IF(K744&lt;判定条件!$C$6,"判定不能",IF(L744&gt;=判定条件!$C$7*K744,"運転",IF(L744&lt;=判定条件!$C$8*K744,"停止","断続")))</f>
        <v>停止</v>
      </c>
      <c r="N744" s="30" t="n">
        <v>60</v>
      </c>
      <c r="O744" s="30" t="n">
        <v>40</v>
      </c>
      <c r="P744" s="30" t="str">
        <f aca="false">IF(N744&lt;判定条件!$C$6,"判定不能",IF(O744&gt;=判定条件!$C$7*N744,"運転",IF(O744&lt;=判定条件!$C$8*N744,"停止","断続")))</f>
        <v>断続</v>
      </c>
      <c r="Q744" s="30" t="n">
        <v>60</v>
      </c>
      <c r="R744" s="30" t="n">
        <v>36</v>
      </c>
      <c r="S744" s="30" t="str">
        <f aca="false">IF(Q744&lt;判定条件!$C$6,"判定不能",IF(R744&gt;=判定条件!$C$7*Q744,"運転",IF(R744&lt;=判定条件!$C$8*Q744,"停止","断続")))</f>
        <v>断続</v>
      </c>
      <c r="T744" s="30" t="n">
        <v>60</v>
      </c>
      <c r="U744" s="30" t="n">
        <v>43</v>
      </c>
      <c r="V744" s="30" t="str">
        <f aca="false">IF(T744&lt;判定条件!$C$6,"判定不能",IF(U744&gt;=判定条件!$C$7*T744,"運転",IF(U744&lt;=判定条件!$C$8*T744,"停止","断続")))</f>
        <v>断続</v>
      </c>
      <c r="W744" s="30" t="n">
        <v>60</v>
      </c>
      <c r="X744" s="30" t="n">
        <v>0</v>
      </c>
      <c r="Y744" s="30" t="str">
        <f aca="false">IF(W744&lt;判定条件!$C$6,"判定不能",IF(X744&gt;=判定条件!$C$7*W744,"運転",IF(X744&lt;=判定条件!$C$8*W744,"停止","断続")))</f>
        <v>停止</v>
      </c>
      <c r="Z744" s="30" t="n">
        <v>60</v>
      </c>
      <c r="AA744" s="30" t="n">
        <v>0</v>
      </c>
      <c r="AB744" s="30" t="str">
        <f aca="false">IF(Z744&lt;判定条件!$C$6,"判定不能",IF(AA744&gt;=判定条件!$C$7*Z744,"運転",IF(AA744&lt;=判定条件!$C$8*Z744,"停止","断続")))</f>
        <v>停止</v>
      </c>
      <c r="AC744" s="30" t="n">
        <v>60</v>
      </c>
      <c r="AD744" s="30" t="n">
        <v>0</v>
      </c>
      <c r="AE744" s="30" t="str">
        <f aca="false">IF(AC744&lt;判定条件!$C$6,"判定不能",IF(AD744&gt;=判定条件!$C$7*AC744,"運転",IF(AD744&lt;=判定条件!$C$8*AC744,"停止","断続")))</f>
        <v>停止</v>
      </c>
      <c r="AF744" s="30" t="n">
        <v>60</v>
      </c>
      <c r="AG744" s="30" t="n">
        <v>0</v>
      </c>
      <c r="AH744" s="30" t="str">
        <f aca="false">IF(OR(P744="判定不能",G744="判定不能"),"判定不能",IF(AG744&gt;=判定条件!$C$9,"利用可",IF(AND(P744="停止",G744="停止"),"両方停止","運転がそろわない")))</f>
        <v>運転がそろわない</v>
      </c>
      <c r="AI744" s="30" t="n">
        <v>60</v>
      </c>
      <c r="AJ744" s="30" t="n">
        <v>0</v>
      </c>
      <c r="AK744" s="30" t="str">
        <f aca="false">IF(OR(S744="判定不能",J744="判定不能"),"判定不能",IF(AJ744&gt;=判定条件!$C$9,"利用可",IF(AND(S744="停止",J744="停止"),"両方停止","運転がそろわない")))</f>
        <v>運転がそろわない</v>
      </c>
      <c r="AL744" s="30" t="n">
        <v>60</v>
      </c>
      <c r="AM744" s="30" t="n">
        <v>0</v>
      </c>
      <c r="AN744" s="30" t="str">
        <f aca="false">IF(OR(V744="判定不能",M744="判定不能"),"判定不能",IF(AM744&gt;=判定条件!$C$9,"利用可",IF(AND(V744="停止",M744="停止"),"両方停止","運転がそろわない")))</f>
        <v>運転がそろわない</v>
      </c>
      <c r="AO744" s="30" t="n">
        <v>60</v>
      </c>
      <c r="AP744" s="30" t="n">
        <v>0</v>
      </c>
      <c r="AQ744" s="30" t="str">
        <f aca="false">IF(OR(Y744="判定不能",G744="判定不能"),"判定不能",IF(AP744&gt;=判定条件!$C$9,"利用可",IF(AND(Y744="停止",G744="停止"),"両方停止","運転がそろわない")))</f>
        <v>両方停止</v>
      </c>
      <c r="AR744" s="30" t="n">
        <v>60</v>
      </c>
      <c r="AS744" s="30" t="n">
        <v>0</v>
      </c>
      <c r="AT744" s="30" t="str">
        <f aca="false">IF(OR(AB744="判定不能",J744="判定不能"),"判定不能",IF(AS744&gt;=判定条件!$C$9,"利用可",IF(AND(AB744="停止",J744="停止"),"両方停止","運転がそろわない")))</f>
        <v>両方停止</v>
      </c>
      <c r="AU744" s="30" t="n">
        <v>60</v>
      </c>
      <c r="AV744" s="30" t="n">
        <v>0</v>
      </c>
      <c r="AW744" s="30" t="str">
        <f aca="false">IF(OR(AE744="判定不能",M744="判定不能"),"判定不能",IF(AV744&gt;=判定条件!$C$9,"利用可",IF(AND(AE744="停止",M744="停止"),"両方停止","運転がそろわない")))</f>
        <v>両方停止</v>
      </c>
      <c r="AX744" s="30" t="str">
        <f aca="false">IF(AND(AH744="利用可",AK744="利用可",AN744="利用可"),"利用可","不可")</f>
        <v>不可</v>
      </c>
      <c r="AY744" s="30" t="str">
        <f aca="false">IF(AND(AQ744="利用可",AT744="利用可",AW744="利用可"),"利用可","不可")</f>
        <v>不可</v>
      </c>
    </row>
    <row r="745" customFormat="false" ht="15" hidden="false" customHeight="false" outlineLevel="0" collapsed="false">
      <c r="A745" s="29" t="n">
        <v>46262</v>
      </c>
      <c r="B745" s="30" t="n">
        <v>22</v>
      </c>
      <c r="C745" s="31" t="s">
        <v>62</v>
      </c>
      <c r="D745" s="31" t="s">
        <v>59</v>
      </c>
      <c r="E745" s="30" t="n">
        <v>60</v>
      </c>
      <c r="F745" s="30" t="n">
        <v>0</v>
      </c>
      <c r="G745" s="30" t="str">
        <f aca="false">IF(E745&lt;判定条件!$C$6,"判定不能",IF(F745&gt;=判定条件!$C$7*E745,"運転",IF(F745&lt;=判定条件!$C$8*E745,"停止","断続")))</f>
        <v>停止</v>
      </c>
      <c r="H745" s="30" t="n">
        <v>60</v>
      </c>
      <c r="I745" s="30" t="n">
        <v>0</v>
      </c>
      <c r="J745" s="30" t="str">
        <f aca="false">IF(H745&lt;判定条件!$C$6,"判定不能",IF(I745&gt;=判定条件!$C$7*H745,"運転",IF(I745&lt;=判定条件!$C$8*H745,"停止","断続")))</f>
        <v>停止</v>
      </c>
      <c r="K745" s="30" t="n">
        <v>60</v>
      </c>
      <c r="L745" s="30" t="n">
        <v>0</v>
      </c>
      <c r="M745" s="30" t="str">
        <f aca="false">IF(K745&lt;判定条件!$C$6,"判定不能",IF(L745&gt;=判定条件!$C$7*K745,"運転",IF(L745&lt;=判定条件!$C$8*K745,"停止","断続")))</f>
        <v>停止</v>
      </c>
      <c r="N745" s="30" t="n">
        <v>60</v>
      </c>
      <c r="O745" s="30" t="n">
        <v>0</v>
      </c>
      <c r="P745" s="30" t="str">
        <f aca="false">IF(N745&lt;判定条件!$C$6,"判定不能",IF(O745&gt;=判定条件!$C$7*N745,"運転",IF(O745&lt;=判定条件!$C$8*N745,"停止","断続")))</f>
        <v>停止</v>
      </c>
      <c r="Q745" s="30" t="n">
        <v>60</v>
      </c>
      <c r="R745" s="30" t="n">
        <v>0</v>
      </c>
      <c r="S745" s="30" t="str">
        <f aca="false">IF(Q745&lt;判定条件!$C$6,"判定不能",IF(R745&gt;=判定条件!$C$7*Q745,"運転",IF(R745&lt;=判定条件!$C$8*Q745,"停止","断続")))</f>
        <v>停止</v>
      </c>
      <c r="T745" s="30" t="n">
        <v>60</v>
      </c>
      <c r="U745" s="30" t="n">
        <v>0</v>
      </c>
      <c r="V745" s="30" t="str">
        <f aca="false">IF(T745&lt;判定条件!$C$6,"判定不能",IF(U745&gt;=判定条件!$C$7*T745,"運転",IF(U745&lt;=判定条件!$C$8*T745,"停止","断続")))</f>
        <v>停止</v>
      </c>
      <c r="W745" s="30" t="n">
        <v>60</v>
      </c>
      <c r="X745" s="30" t="n">
        <v>0</v>
      </c>
      <c r="Y745" s="30" t="str">
        <f aca="false">IF(W745&lt;判定条件!$C$6,"判定不能",IF(X745&gt;=判定条件!$C$7*W745,"運転",IF(X745&lt;=判定条件!$C$8*W745,"停止","断続")))</f>
        <v>停止</v>
      </c>
      <c r="Z745" s="30" t="n">
        <v>60</v>
      </c>
      <c r="AA745" s="30" t="n">
        <v>0</v>
      </c>
      <c r="AB745" s="30" t="str">
        <f aca="false">IF(Z745&lt;判定条件!$C$6,"判定不能",IF(AA745&gt;=判定条件!$C$7*Z745,"運転",IF(AA745&lt;=判定条件!$C$8*Z745,"停止","断続")))</f>
        <v>停止</v>
      </c>
      <c r="AC745" s="30" t="n">
        <v>60</v>
      </c>
      <c r="AD745" s="30" t="n">
        <v>0</v>
      </c>
      <c r="AE745" s="30" t="str">
        <f aca="false">IF(AC745&lt;判定条件!$C$6,"判定不能",IF(AD745&gt;=判定条件!$C$7*AC745,"運転",IF(AD745&lt;=判定条件!$C$8*AC745,"停止","断続")))</f>
        <v>停止</v>
      </c>
      <c r="AF745" s="30" t="n">
        <v>60</v>
      </c>
      <c r="AG745" s="30" t="n">
        <v>0</v>
      </c>
      <c r="AH745" s="30" t="str">
        <f aca="false">IF(OR(P745="判定不能",G745="判定不能"),"判定不能",IF(AG745&gt;=判定条件!$C$9,"利用可",IF(AND(P745="停止",G745="停止"),"両方停止","運転がそろわない")))</f>
        <v>両方停止</v>
      </c>
      <c r="AI745" s="30" t="n">
        <v>60</v>
      </c>
      <c r="AJ745" s="30" t="n">
        <v>0</v>
      </c>
      <c r="AK745" s="30" t="str">
        <f aca="false">IF(OR(S745="判定不能",J745="判定不能"),"判定不能",IF(AJ745&gt;=判定条件!$C$9,"利用可",IF(AND(S745="停止",J745="停止"),"両方停止","運転がそろわない")))</f>
        <v>両方停止</v>
      </c>
      <c r="AL745" s="30" t="n">
        <v>60</v>
      </c>
      <c r="AM745" s="30" t="n">
        <v>0</v>
      </c>
      <c r="AN745" s="30" t="str">
        <f aca="false">IF(OR(V745="判定不能",M745="判定不能"),"判定不能",IF(AM745&gt;=判定条件!$C$9,"利用可",IF(AND(V745="停止",M745="停止"),"両方停止","運転がそろわない")))</f>
        <v>両方停止</v>
      </c>
      <c r="AO745" s="30" t="n">
        <v>60</v>
      </c>
      <c r="AP745" s="30" t="n">
        <v>0</v>
      </c>
      <c r="AQ745" s="30" t="str">
        <f aca="false">IF(OR(Y745="判定不能",G745="判定不能"),"判定不能",IF(AP745&gt;=判定条件!$C$9,"利用可",IF(AND(Y745="停止",G745="停止"),"両方停止","運転がそろわない")))</f>
        <v>両方停止</v>
      </c>
      <c r="AR745" s="30" t="n">
        <v>60</v>
      </c>
      <c r="AS745" s="30" t="n">
        <v>0</v>
      </c>
      <c r="AT745" s="30" t="str">
        <f aca="false">IF(OR(AB745="判定不能",J745="判定不能"),"判定不能",IF(AS745&gt;=判定条件!$C$9,"利用可",IF(AND(AB745="停止",J745="停止"),"両方停止","運転がそろわない")))</f>
        <v>両方停止</v>
      </c>
      <c r="AU745" s="30" t="n">
        <v>60</v>
      </c>
      <c r="AV745" s="30" t="n">
        <v>0</v>
      </c>
      <c r="AW745" s="30" t="str">
        <f aca="false">IF(OR(AE745="判定不能",M745="判定不能"),"判定不能",IF(AV745&gt;=判定条件!$C$9,"利用可",IF(AND(AE745="停止",M745="停止"),"両方停止","運転がそろわない")))</f>
        <v>両方停止</v>
      </c>
      <c r="AX745" s="30" t="str">
        <f aca="false">IF(AND(AH745="利用可",AK745="利用可",AN745="利用可"),"利用可","不可")</f>
        <v>不可</v>
      </c>
      <c r="AY745" s="30" t="str">
        <f aca="false">IF(AND(AQ745="利用可",AT745="利用可",AW745="利用可"),"利用可","不可")</f>
        <v>不可</v>
      </c>
    </row>
    <row r="746" customFormat="false" ht="15" hidden="false" customHeight="false" outlineLevel="0" collapsed="false">
      <c r="A746" s="29" t="n">
        <v>46262</v>
      </c>
      <c r="B746" s="30" t="n">
        <v>23</v>
      </c>
      <c r="C746" s="31" t="s">
        <v>62</v>
      </c>
      <c r="D746" s="31" t="s">
        <v>59</v>
      </c>
      <c r="E746" s="30" t="n">
        <v>60</v>
      </c>
      <c r="F746" s="30" t="n">
        <v>0</v>
      </c>
      <c r="G746" s="30" t="str">
        <f aca="false">IF(E746&lt;判定条件!$C$6,"判定不能",IF(F746&gt;=判定条件!$C$7*E746,"運転",IF(F746&lt;=判定条件!$C$8*E746,"停止","断続")))</f>
        <v>停止</v>
      </c>
      <c r="H746" s="30" t="n">
        <v>60</v>
      </c>
      <c r="I746" s="30" t="n">
        <v>0</v>
      </c>
      <c r="J746" s="30" t="str">
        <f aca="false">IF(H746&lt;判定条件!$C$6,"判定不能",IF(I746&gt;=判定条件!$C$7*H746,"運転",IF(I746&lt;=判定条件!$C$8*H746,"停止","断続")))</f>
        <v>停止</v>
      </c>
      <c r="K746" s="30" t="n">
        <v>60</v>
      </c>
      <c r="L746" s="30" t="n">
        <v>0</v>
      </c>
      <c r="M746" s="30" t="str">
        <f aca="false">IF(K746&lt;判定条件!$C$6,"判定不能",IF(L746&gt;=判定条件!$C$7*K746,"運転",IF(L746&lt;=判定条件!$C$8*K746,"停止","断続")))</f>
        <v>停止</v>
      </c>
      <c r="N746" s="30" t="n">
        <v>60</v>
      </c>
      <c r="O746" s="30" t="n">
        <v>0</v>
      </c>
      <c r="P746" s="30" t="str">
        <f aca="false">IF(N746&lt;判定条件!$C$6,"判定不能",IF(O746&gt;=判定条件!$C$7*N746,"運転",IF(O746&lt;=判定条件!$C$8*N746,"停止","断続")))</f>
        <v>停止</v>
      </c>
      <c r="Q746" s="30" t="n">
        <v>60</v>
      </c>
      <c r="R746" s="30" t="n">
        <v>0</v>
      </c>
      <c r="S746" s="30" t="str">
        <f aca="false">IF(Q746&lt;判定条件!$C$6,"判定不能",IF(R746&gt;=判定条件!$C$7*Q746,"運転",IF(R746&lt;=判定条件!$C$8*Q746,"停止","断続")))</f>
        <v>停止</v>
      </c>
      <c r="T746" s="30" t="n">
        <v>60</v>
      </c>
      <c r="U746" s="30" t="n">
        <v>0</v>
      </c>
      <c r="V746" s="30" t="str">
        <f aca="false">IF(T746&lt;判定条件!$C$6,"判定不能",IF(U746&gt;=判定条件!$C$7*T746,"運転",IF(U746&lt;=判定条件!$C$8*T746,"停止","断続")))</f>
        <v>停止</v>
      </c>
      <c r="W746" s="30" t="n">
        <v>60</v>
      </c>
      <c r="X746" s="30" t="n">
        <v>0</v>
      </c>
      <c r="Y746" s="30" t="str">
        <f aca="false">IF(W746&lt;判定条件!$C$6,"判定不能",IF(X746&gt;=判定条件!$C$7*W746,"運転",IF(X746&lt;=判定条件!$C$8*W746,"停止","断続")))</f>
        <v>停止</v>
      </c>
      <c r="Z746" s="30" t="n">
        <v>60</v>
      </c>
      <c r="AA746" s="30" t="n">
        <v>0</v>
      </c>
      <c r="AB746" s="30" t="str">
        <f aca="false">IF(Z746&lt;判定条件!$C$6,"判定不能",IF(AA746&gt;=判定条件!$C$7*Z746,"運転",IF(AA746&lt;=判定条件!$C$8*Z746,"停止","断続")))</f>
        <v>停止</v>
      </c>
      <c r="AC746" s="30" t="n">
        <v>60</v>
      </c>
      <c r="AD746" s="30" t="n">
        <v>0</v>
      </c>
      <c r="AE746" s="30" t="str">
        <f aca="false">IF(AC746&lt;判定条件!$C$6,"判定不能",IF(AD746&gt;=判定条件!$C$7*AC746,"運転",IF(AD746&lt;=判定条件!$C$8*AC746,"停止","断続")))</f>
        <v>停止</v>
      </c>
      <c r="AF746" s="30" t="n">
        <v>60</v>
      </c>
      <c r="AG746" s="30" t="n">
        <v>0</v>
      </c>
      <c r="AH746" s="30" t="str">
        <f aca="false">IF(OR(P746="判定不能",G746="判定不能"),"判定不能",IF(AG746&gt;=判定条件!$C$9,"利用可",IF(AND(P746="停止",G746="停止"),"両方停止","運転がそろわない")))</f>
        <v>両方停止</v>
      </c>
      <c r="AI746" s="30" t="n">
        <v>60</v>
      </c>
      <c r="AJ746" s="30" t="n">
        <v>0</v>
      </c>
      <c r="AK746" s="30" t="str">
        <f aca="false">IF(OR(S746="判定不能",J746="判定不能"),"判定不能",IF(AJ746&gt;=判定条件!$C$9,"利用可",IF(AND(S746="停止",J746="停止"),"両方停止","運転がそろわない")))</f>
        <v>両方停止</v>
      </c>
      <c r="AL746" s="30" t="n">
        <v>60</v>
      </c>
      <c r="AM746" s="30" t="n">
        <v>0</v>
      </c>
      <c r="AN746" s="30" t="str">
        <f aca="false">IF(OR(V746="判定不能",M746="判定不能"),"判定不能",IF(AM746&gt;=判定条件!$C$9,"利用可",IF(AND(V746="停止",M746="停止"),"両方停止","運転がそろわない")))</f>
        <v>両方停止</v>
      </c>
      <c r="AO746" s="30" t="n">
        <v>60</v>
      </c>
      <c r="AP746" s="30" t="n">
        <v>0</v>
      </c>
      <c r="AQ746" s="30" t="str">
        <f aca="false">IF(OR(Y746="判定不能",G746="判定不能"),"判定不能",IF(AP746&gt;=判定条件!$C$9,"利用可",IF(AND(Y746="停止",G746="停止"),"両方停止","運転がそろわない")))</f>
        <v>両方停止</v>
      </c>
      <c r="AR746" s="30" t="n">
        <v>60</v>
      </c>
      <c r="AS746" s="30" t="n">
        <v>0</v>
      </c>
      <c r="AT746" s="30" t="str">
        <f aca="false">IF(OR(AB746="判定不能",J746="判定不能"),"判定不能",IF(AS746&gt;=判定条件!$C$9,"利用可",IF(AND(AB746="停止",J746="停止"),"両方停止","運転がそろわない")))</f>
        <v>両方停止</v>
      </c>
      <c r="AU746" s="30" t="n">
        <v>60</v>
      </c>
      <c r="AV746" s="30" t="n">
        <v>0</v>
      </c>
      <c r="AW746" s="30" t="str">
        <f aca="false">IF(OR(AE746="判定不能",M746="判定不能"),"判定不能",IF(AV746&gt;=判定条件!$C$9,"利用可",IF(AND(AE746="停止",M746="停止"),"両方停止","運転がそろわない")))</f>
        <v>両方停止</v>
      </c>
      <c r="AX746" s="30" t="str">
        <f aca="false">IF(AND(AH746="利用可",AK746="利用可",AN746="利用可"),"利用可","不可")</f>
        <v>不可</v>
      </c>
      <c r="AY746" s="30" t="str">
        <f aca="false">IF(AND(AQ746="利用可",AT746="利用可",AW746="利用可"),"利用可","不可")</f>
        <v>不可</v>
      </c>
    </row>
    <row r="747" customFormat="false" ht="15" hidden="false" customHeight="false" outlineLevel="0" collapsed="false">
      <c r="A747" s="29" t="n">
        <v>46263</v>
      </c>
      <c r="B747" s="30" t="n">
        <v>0</v>
      </c>
      <c r="C747" s="31" t="s">
        <v>63</v>
      </c>
      <c r="D747" s="31" t="s">
        <v>64</v>
      </c>
      <c r="E747" s="30" t="n">
        <v>60</v>
      </c>
      <c r="F747" s="30" t="n">
        <v>0</v>
      </c>
      <c r="G747" s="30" t="str">
        <f aca="false">IF(E747&lt;判定条件!$C$6,"判定不能",IF(F747&gt;=判定条件!$C$7*E747,"運転",IF(F747&lt;=判定条件!$C$8*E747,"停止","断続")))</f>
        <v>停止</v>
      </c>
      <c r="H747" s="30" t="n">
        <v>60</v>
      </c>
      <c r="I747" s="30" t="n">
        <v>0</v>
      </c>
      <c r="J747" s="30" t="str">
        <f aca="false">IF(H747&lt;判定条件!$C$6,"判定不能",IF(I747&gt;=判定条件!$C$7*H747,"運転",IF(I747&lt;=判定条件!$C$8*H747,"停止","断続")))</f>
        <v>停止</v>
      </c>
      <c r="K747" s="30" t="n">
        <v>60</v>
      </c>
      <c r="L747" s="30" t="n">
        <v>0</v>
      </c>
      <c r="M747" s="30" t="str">
        <f aca="false">IF(K747&lt;判定条件!$C$6,"判定不能",IF(L747&gt;=判定条件!$C$7*K747,"運転",IF(L747&lt;=判定条件!$C$8*K747,"停止","断続")))</f>
        <v>停止</v>
      </c>
      <c r="N747" s="30" t="n">
        <v>60</v>
      </c>
      <c r="O747" s="30" t="n">
        <v>0</v>
      </c>
      <c r="P747" s="30" t="str">
        <f aca="false">IF(N747&lt;判定条件!$C$6,"判定不能",IF(O747&gt;=判定条件!$C$7*N747,"運転",IF(O747&lt;=判定条件!$C$8*N747,"停止","断続")))</f>
        <v>停止</v>
      </c>
      <c r="Q747" s="30" t="n">
        <v>60</v>
      </c>
      <c r="R747" s="30" t="n">
        <v>0</v>
      </c>
      <c r="S747" s="30" t="str">
        <f aca="false">IF(Q747&lt;判定条件!$C$6,"判定不能",IF(R747&gt;=判定条件!$C$7*Q747,"運転",IF(R747&lt;=判定条件!$C$8*Q747,"停止","断続")))</f>
        <v>停止</v>
      </c>
      <c r="T747" s="30" t="n">
        <v>60</v>
      </c>
      <c r="U747" s="30" t="n">
        <v>0</v>
      </c>
      <c r="V747" s="30" t="str">
        <f aca="false">IF(T747&lt;判定条件!$C$6,"判定不能",IF(U747&gt;=判定条件!$C$7*T747,"運転",IF(U747&lt;=判定条件!$C$8*T747,"停止","断続")))</f>
        <v>停止</v>
      </c>
      <c r="W747" s="30" t="n">
        <v>60</v>
      </c>
      <c r="X747" s="30" t="n">
        <v>0</v>
      </c>
      <c r="Y747" s="30" t="str">
        <f aca="false">IF(W747&lt;判定条件!$C$6,"判定不能",IF(X747&gt;=判定条件!$C$7*W747,"運転",IF(X747&lt;=判定条件!$C$8*W747,"停止","断続")))</f>
        <v>停止</v>
      </c>
      <c r="Z747" s="30" t="n">
        <v>60</v>
      </c>
      <c r="AA747" s="30" t="n">
        <v>0</v>
      </c>
      <c r="AB747" s="30" t="str">
        <f aca="false">IF(Z747&lt;判定条件!$C$6,"判定不能",IF(AA747&gt;=判定条件!$C$7*Z747,"運転",IF(AA747&lt;=判定条件!$C$8*Z747,"停止","断続")))</f>
        <v>停止</v>
      </c>
      <c r="AC747" s="30" t="n">
        <v>60</v>
      </c>
      <c r="AD747" s="30" t="n">
        <v>0</v>
      </c>
      <c r="AE747" s="30" t="str">
        <f aca="false">IF(AC747&lt;判定条件!$C$6,"判定不能",IF(AD747&gt;=判定条件!$C$7*AC747,"運転",IF(AD747&lt;=判定条件!$C$8*AC747,"停止","断続")))</f>
        <v>停止</v>
      </c>
      <c r="AF747" s="30" t="n">
        <v>60</v>
      </c>
      <c r="AG747" s="30" t="n">
        <v>0</v>
      </c>
      <c r="AH747" s="30" t="str">
        <f aca="false">IF(OR(P747="判定不能",G747="判定不能"),"判定不能",IF(AG747&gt;=判定条件!$C$9,"利用可",IF(AND(P747="停止",G747="停止"),"両方停止","運転がそろわない")))</f>
        <v>両方停止</v>
      </c>
      <c r="AI747" s="30" t="n">
        <v>60</v>
      </c>
      <c r="AJ747" s="30" t="n">
        <v>0</v>
      </c>
      <c r="AK747" s="30" t="str">
        <f aca="false">IF(OR(S747="判定不能",J747="判定不能"),"判定不能",IF(AJ747&gt;=判定条件!$C$9,"利用可",IF(AND(S747="停止",J747="停止"),"両方停止","運転がそろわない")))</f>
        <v>両方停止</v>
      </c>
      <c r="AL747" s="30" t="n">
        <v>60</v>
      </c>
      <c r="AM747" s="30" t="n">
        <v>0</v>
      </c>
      <c r="AN747" s="30" t="str">
        <f aca="false">IF(OR(V747="判定不能",M747="判定不能"),"判定不能",IF(AM747&gt;=判定条件!$C$9,"利用可",IF(AND(V747="停止",M747="停止"),"両方停止","運転がそろわない")))</f>
        <v>両方停止</v>
      </c>
      <c r="AO747" s="30" t="n">
        <v>60</v>
      </c>
      <c r="AP747" s="30" t="n">
        <v>0</v>
      </c>
      <c r="AQ747" s="30" t="str">
        <f aca="false">IF(OR(Y747="判定不能",G747="判定不能"),"判定不能",IF(AP747&gt;=判定条件!$C$9,"利用可",IF(AND(Y747="停止",G747="停止"),"両方停止","運転がそろわない")))</f>
        <v>両方停止</v>
      </c>
      <c r="AR747" s="30" t="n">
        <v>60</v>
      </c>
      <c r="AS747" s="30" t="n">
        <v>0</v>
      </c>
      <c r="AT747" s="30" t="str">
        <f aca="false">IF(OR(AB747="判定不能",J747="判定不能"),"判定不能",IF(AS747&gt;=判定条件!$C$9,"利用可",IF(AND(AB747="停止",J747="停止"),"両方停止","運転がそろわない")))</f>
        <v>両方停止</v>
      </c>
      <c r="AU747" s="30" t="n">
        <v>60</v>
      </c>
      <c r="AV747" s="30" t="n">
        <v>0</v>
      </c>
      <c r="AW747" s="30" t="str">
        <f aca="false">IF(OR(AE747="判定不能",M747="判定不能"),"判定不能",IF(AV747&gt;=判定条件!$C$9,"利用可",IF(AND(AE747="停止",M747="停止"),"両方停止","運転がそろわない")))</f>
        <v>両方停止</v>
      </c>
      <c r="AX747" s="30" t="str">
        <f aca="false">IF(AND(AH747="利用可",AK747="利用可",AN747="利用可"),"利用可","不可")</f>
        <v>不可</v>
      </c>
      <c r="AY747" s="30" t="str">
        <f aca="false">IF(AND(AQ747="利用可",AT747="利用可",AW747="利用可"),"利用可","不可")</f>
        <v>不可</v>
      </c>
    </row>
    <row r="748" customFormat="false" ht="15" hidden="false" customHeight="false" outlineLevel="0" collapsed="false">
      <c r="A748" s="29" t="n">
        <v>46263</v>
      </c>
      <c r="B748" s="30" t="n">
        <v>1</v>
      </c>
      <c r="C748" s="31" t="s">
        <v>63</v>
      </c>
      <c r="D748" s="31" t="s">
        <v>64</v>
      </c>
      <c r="E748" s="30" t="n">
        <v>60</v>
      </c>
      <c r="F748" s="30" t="n">
        <v>0</v>
      </c>
      <c r="G748" s="30" t="str">
        <f aca="false">IF(E748&lt;判定条件!$C$6,"判定不能",IF(F748&gt;=判定条件!$C$7*E748,"運転",IF(F748&lt;=判定条件!$C$8*E748,"停止","断続")))</f>
        <v>停止</v>
      </c>
      <c r="H748" s="30" t="n">
        <v>60</v>
      </c>
      <c r="I748" s="30" t="n">
        <v>0</v>
      </c>
      <c r="J748" s="30" t="str">
        <f aca="false">IF(H748&lt;判定条件!$C$6,"判定不能",IF(I748&gt;=判定条件!$C$7*H748,"運転",IF(I748&lt;=判定条件!$C$8*H748,"停止","断続")))</f>
        <v>停止</v>
      </c>
      <c r="K748" s="30" t="n">
        <v>60</v>
      </c>
      <c r="L748" s="30" t="n">
        <v>0</v>
      </c>
      <c r="M748" s="30" t="str">
        <f aca="false">IF(K748&lt;判定条件!$C$6,"判定不能",IF(L748&gt;=判定条件!$C$7*K748,"運転",IF(L748&lt;=判定条件!$C$8*K748,"停止","断続")))</f>
        <v>停止</v>
      </c>
      <c r="N748" s="30" t="n">
        <v>60</v>
      </c>
      <c r="O748" s="30" t="n">
        <v>0</v>
      </c>
      <c r="P748" s="30" t="str">
        <f aca="false">IF(N748&lt;判定条件!$C$6,"判定不能",IF(O748&gt;=判定条件!$C$7*N748,"運転",IF(O748&lt;=判定条件!$C$8*N748,"停止","断続")))</f>
        <v>停止</v>
      </c>
      <c r="Q748" s="30" t="n">
        <v>60</v>
      </c>
      <c r="R748" s="30" t="n">
        <v>0</v>
      </c>
      <c r="S748" s="30" t="str">
        <f aca="false">IF(Q748&lt;判定条件!$C$6,"判定不能",IF(R748&gt;=判定条件!$C$7*Q748,"運転",IF(R748&lt;=判定条件!$C$8*Q748,"停止","断続")))</f>
        <v>停止</v>
      </c>
      <c r="T748" s="30" t="n">
        <v>60</v>
      </c>
      <c r="U748" s="30" t="n">
        <v>0</v>
      </c>
      <c r="V748" s="30" t="str">
        <f aca="false">IF(T748&lt;判定条件!$C$6,"判定不能",IF(U748&gt;=判定条件!$C$7*T748,"運転",IF(U748&lt;=判定条件!$C$8*T748,"停止","断続")))</f>
        <v>停止</v>
      </c>
      <c r="W748" s="30" t="n">
        <v>60</v>
      </c>
      <c r="X748" s="30" t="n">
        <v>0</v>
      </c>
      <c r="Y748" s="30" t="str">
        <f aca="false">IF(W748&lt;判定条件!$C$6,"判定不能",IF(X748&gt;=判定条件!$C$7*W748,"運転",IF(X748&lt;=判定条件!$C$8*W748,"停止","断続")))</f>
        <v>停止</v>
      </c>
      <c r="Z748" s="30" t="n">
        <v>60</v>
      </c>
      <c r="AA748" s="30" t="n">
        <v>0</v>
      </c>
      <c r="AB748" s="30" t="str">
        <f aca="false">IF(Z748&lt;判定条件!$C$6,"判定不能",IF(AA748&gt;=判定条件!$C$7*Z748,"運転",IF(AA748&lt;=判定条件!$C$8*Z748,"停止","断続")))</f>
        <v>停止</v>
      </c>
      <c r="AC748" s="30" t="n">
        <v>60</v>
      </c>
      <c r="AD748" s="30" t="n">
        <v>0</v>
      </c>
      <c r="AE748" s="30" t="str">
        <f aca="false">IF(AC748&lt;判定条件!$C$6,"判定不能",IF(AD748&gt;=判定条件!$C$7*AC748,"運転",IF(AD748&lt;=判定条件!$C$8*AC748,"停止","断続")))</f>
        <v>停止</v>
      </c>
      <c r="AF748" s="30" t="n">
        <v>60</v>
      </c>
      <c r="AG748" s="30" t="n">
        <v>0</v>
      </c>
      <c r="AH748" s="30" t="str">
        <f aca="false">IF(OR(P748="判定不能",G748="判定不能"),"判定不能",IF(AG748&gt;=判定条件!$C$9,"利用可",IF(AND(P748="停止",G748="停止"),"両方停止","運転がそろわない")))</f>
        <v>両方停止</v>
      </c>
      <c r="AI748" s="30" t="n">
        <v>60</v>
      </c>
      <c r="AJ748" s="30" t="n">
        <v>0</v>
      </c>
      <c r="AK748" s="30" t="str">
        <f aca="false">IF(OR(S748="判定不能",J748="判定不能"),"判定不能",IF(AJ748&gt;=判定条件!$C$9,"利用可",IF(AND(S748="停止",J748="停止"),"両方停止","運転がそろわない")))</f>
        <v>両方停止</v>
      </c>
      <c r="AL748" s="30" t="n">
        <v>60</v>
      </c>
      <c r="AM748" s="30" t="n">
        <v>0</v>
      </c>
      <c r="AN748" s="30" t="str">
        <f aca="false">IF(OR(V748="判定不能",M748="判定不能"),"判定不能",IF(AM748&gt;=判定条件!$C$9,"利用可",IF(AND(V748="停止",M748="停止"),"両方停止","運転がそろわない")))</f>
        <v>両方停止</v>
      </c>
      <c r="AO748" s="30" t="n">
        <v>60</v>
      </c>
      <c r="AP748" s="30" t="n">
        <v>0</v>
      </c>
      <c r="AQ748" s="30" t="str">
        <f aca="false">IF(OR(Y748="判定不能",G748="判定不能"),"判定不能",IF(AP748&gt;=判定条件!$C$9,"利用可",IF(AND(Y748="停止",G748="停止"),"両方停止","運転がそろわない")))</f>
        <v>両方停止</v>
      </c>
      <c r="AR748" s="30" t="n">
        <v>60</v>
      </c>
      <c r="AS748" s="30" t="n">
        <v>0</v>
      </c>
      <c r="AT748" s="30" t="str">
        <f aca="false">IF(OR(AB748="判定不能",J748="判定不能"),"判定不能",IF(AS748&gt;=判定条件!$C$9,"利用可",IF(AND(AB748="停止",J748="停止"),"両方停止","運転がそろわない")))</f>
        <v>両方停止</v>
      </c>
      <c r="AU748" s="30" t="n">
        <v>60</v>
      </c>
      <c r="AV748" s="30" t="n">
        <v>0</v>
      </c>
      <c r="AW748" s="30" t="str">
        <f aca="false">IF(OR(AE748="判定不能",M748="判定不能"),"判定不能",IF(AV748&gt;=判定条件!$C$9,"利用可",IF(AND(AE748="停止",M748="停止"),"両方停止","運転がそろわない")))</f>
        <v>両方停止</v>
      </c>
      <c r="AX748" s="30" t="str">
        <f aca="false">IF(AND(AH748="利用可",AK748="利用可",AN748="利用可"),"利用可","不可")</f>
        <v>不可</v>
      </c>
      <c r="AY748" s="30" t="str">
        <f aca="false">IF(AND(AQ748="利用可",AT748="利用可",AW748="利用可"),"利用可","不可")</f>
        <v>不可</v>
      </c>
    </row>
    <row r="749" customFormat="false" ht="15" hidden="false" customHeight="false" outlineLevel="0" collapsed="false">
      <c r="A749" s="29" t="n">
        <v>46263</v>
      </c>
      <c r="B749" s="30" t="n">
        <v>2</v>
      </c>
      <c r="C749" s="31" t="s">
        <v>63</v>
      </c>
      <c r="D749" s="31" t="s">
        <v>64</v>
      </c>
      <c r="E749" s="30" t="n">
        <v>60</v>
      </c>
      <c r="F749" s="30" t="n">
        <v>0</v>
      </c>
      <c r="G749" s="30" t="str">
        <f aca="false">IF(E749&lt;判定条件!$C$6,"判定不能",IF(F749&gt;=判定条件!$C$7*E749,"運転",IF(F749&lt;=判定条件!$C$8*E749,"停止","断続")))</f>
        <v>停止</v>
      </c>
      <c r="H749" s="30" t="n">
        <v>60</v>
      </c>
      <c r="I749" s="30" t="n">
        <v>0</v>
      </c>
      <c r="J749" s="30" t="str">
        <f aca="false">IF(H749&lt;判定条件!$C$6,"判定不能",IF(I749&gt;=判定条件!$C$7*H749,"運転",IF(I749&lt;=判定条件!$C$8*H749,"停止","断続")))</f>
        <v>停止</v>
      </c>
      <c r="K749" s="30" t="n">
        <v>60</v>
      </c>
      <c r="L749" s="30" t="n">
        <v>0</v>
      </c>
      <c r="M749" s="30" t="str">
        <f aca="false">IF(K749&lt;判定条件!$C$6,"判定不能",IF(L749&gt;=判定条件!$C$7*K749,"運転",IF(L749&lt;=判定条件!$C$8*K749,"停止","断続")))</f>
        <v>停止</v>
      </c>
      <c r="N749" s="30" t="n">
        <v>60</v>
      </c>
      <c r="O749" s="30" t="n">
        <v>0</v>
      </c>
      <c r="P749" s="30" t="str">
        <f aca="false">IF(N749&lt;判定条件!$C$6,"判定不能",IF(O749&gt;=判定条件!$C$7*N749,"運転",IF(O749&lt;=判定条件!$C$8*N749,"停止","断続")))</f>
        <v>停止</v>
      </c>
      <c r="Q749" s="30" t="n">
        <v>60</v>
      </c>
      <c r="R749" s="30" t="n">
        <v>0</v>
      </c>
      <c r="S749" s="30" t="str">
        <f aca="false">IF(Q749&lt;判定条件!$C$6,"判定不能",IF(R749&gt;=判定条件!$C$7*Q749,"運転",IF(R749&lt;=判定条件!$C$8*Q749,"停止","断続")))</f>
        <v>停止</v>
      </c>
      <c r="T749" s="30" t="n">
        <v>60</v>
      </c>
      <c r="U749" s="30" t="n">
        <v>0</v>
      </c>
      <c r="V749" s="30" t="str">
        <f aca="false">IF(T749&lt;判定条件!$C$6,"判定不能",IF(U749&gt;=判定条件!$C$7*T749,"運転",IF(U749&lt;=判定条件!$C$8*T749,"停止","断続")))</f>
        <v>停止</v>
      </c>
      <c r="W749" s="30" t="n">
        <v>60</v>
      </c>
      <c r="X749" s="30" t="n">
        <v>0</v>
      </c>
      <c r="Y749" s="30" t="str">
        <f aca="false">IF(W749&lt;判定条件!$C$6,"判定不能",IF(X749&gt;=判定条件!$C$7*W749,"運転",IF(X749&lt;=判定条件!$C$8*W749,"停止","断続")))</f>
        <v>停止</v>
      </c>
      <c r="Z749" s="30" t="n">
        <v>60</v>
      </c>
      <c r="AA749" s="30" t="n">
        <v>0</v>
      </c>
      <c r="AB749" s="30" t="str">
        <f aca="false">IF(Z749&lt;判定条件!$C$6,"判定不能",IF(AA749&gt;=判定条件!$C$7*Z749,"運転",IF(AA749&lt;=判定条件!$C$8*Z749,"停止","断続")))</f>
        <v>停止</v>
      </c>
      <c r="AC749" s="30" t="n">
        <v>60</v>
      </c>
      <c r="AD749" s="30" t="n">
        <v>0</v>
      </c>
      <c r="AE749" s="30" t="str">
        <f aca="false">IF(AC749&lt;判定条件!$C$6,"判定不能",IF(AD749&gt;=判定条件!$C$7*AC749,"運転",IF(AD749&lt;=判定条件!$C$8*AC749,"停止","断続")))</f>
        <v>停止</v>
      </c>
      <c r="AF749" s="30" t="n">
        <v>60</v>
      </c>
      <c r="AG749" s="30" t="n">
        <v>0</v>
      </c>
      <c r="AH749" s="30" t="str">
        <f aca="false">IF(OR(P749="判定不能",G749="判定不能"),"判定不能",IF(AG749&gt;=判定条件!$C$9,"利用可",IF(AND(P749="停止",G749="停止"),"両方停止","運転がそろわない")))</f>
        <v>両方停止</v>
      </c>
      <c r="AI749" s="30" t="n">
        <v>60</v>
      </c>
      <c r="AJ749" s="30" t="n">
        <v>0</v>
      </c>
      <c r="AK749" s="30" t="str">
        <f aca="false">IF(OR(S749="判定不能",J749="判定不能"),"判定不能",IF(AJ749&gt;=判定条件!$C$9,"利用可",IF(AND(S749="停止",J749="停止"),"両方停止","運転がそろわない")))</f>
        <v>両方停止</v>
      </c>
      <c r="AL749" s="30" t="n">
        <v>60</v>
      </c>
      <c r="AM749" s="30" t="n">
        <v>0</v>
      </c>
      <c r="AN749" s="30" t="str">
        <f aca="false">IF(OR(V749="判定不能",M749="判定不能"),"判定不能",IF(AM749&gt;=判定条件!$C$9,"利用可",IF(AND(V749="停止",M749="停止"),"両方停止","運転がそろわない")))</f>
        <v>両方停止</v>
      </c>
      <c r="AO749" s="30" t="n">
        <v>60</v>
      </c>
      <c r="AP749" s="30" t="n">
        <v>0</v>
      </c>
      <c r="AQ749" s="30" t="str">
        <f aca="false">IF(OR(Y749="判定不能",G749="判定不能"),"判定不能",IF(AP749&gt;=判定条件!$C$9,"利用可",IF(AND(Y749="停止",G749="停止"),"両方停止","運転がそろわない")))</f>
        <v>両方停止</v>
      </c>
      <c r="AR749" s="30" t="n">
        <v>60</v>
      </c>
      <c r="AS749" s="30" t="n">
        <v>0</v>
      </c>
      <c r="AT749" s="30" t="str">
        <f aca="false">IF(OR(AB749="判定不能",J749="判定不能"),"判定不能",IF(AS749&gt;=判定条件!$C$9,"利用可",IF(AND(AB749="停止",J749="停止"),"両方停止","運転がそろわない")))</f>
        <v>両方停止</v>
      </c>
      <c r="AU749" s="30" t="n">
        <v>60</v>
      </c>
      <c r="AV749" s="30" t="n">
        <v>0</v>
      </c>
      <c r="AW749" s="30" t="str">
        <f aca="false">IF(OR(AE749="判定不能",M749="判定不能"),"判定不能",IF(AV749&gt;=判定条件!$C$9,"利用可",IF(AND(AE749="停止",M749="停止"),"両方停止","運転がそろわない")))</f>
        <v>両方停止</v>
      </c>
      <c r="AX749" s="30" t="str">
        <f aca="false">IF(AND(AH749="利用可",AK749="利用可",AN749="利用可"),"利用可","不可")</f>
        <v>不可</v>
      </c>
      <c r="AY749" s="30" t="str">
        <f aca="false">IF(AND(AQ749="利用可",AT749="利用可",AW749="利用可"),"利用可","不可")</f>
        <v>不可</v>
      </c>
    </row>
    <row r="750" customFormat="false" ht="15" hidden="false" customHeight="false" outlineLevel="0" collapsed="false">
      <c r="A750" s="29" t="n">
        <v>46263</v>
      </c>
      <c r="B750" s="30" t="n">
        <v>3</v>
      </c>
      <c r="C750" s="31" t="s">
        <v>63</v>
      </c>
      <c r="D750" s="31" t="s">
        <v>64</v>
      </c>
      <c r="E750" s="30" t="n">
        <v>60</v>
      </c>
      <c r="F750" s="30" t="n">
        <v>0</v>
      </c>
      <c r="G750" s="30" t="str">
        <f aca="false">IF(E750&lt;判定条件!$C$6,"判定不能",IF(F750&gt;=判定条件!$C$7*E750,"運転",IF(F750&lt;=判定条件!$C$8*E750,"停止","断続")))</f>
        <v>停止</v>
      </c>
      <c r="H750" s="30" t="n">
        <v>60</v>
      </c>
      <c r="I750" s="30" t="n">
        <v>0</v>
      </c>
      <c r="J750" s="30" t="str">
        <f aca="false">IF(H750&lt;判定条件!$C$6,"判定不能",IF(I750&gt;=判定条件!$C$7*H750,"運転",IF(I750&lt;=判定条件!$C$8*H750,"停止","断続")))</f>
        <v>停止</v>
      </c>
      <c r="K750" s="30" t="n">
        <v>60</v>
      </c>
      <c r="L750" s="30" t="n">
        <v>0</v>
      </c>
      <c r="M750" s="30" t="str">
        <f aca="false">IF(K750&lt;判定条件!$C$6,"判定不能",IF(L750&gt;=判定条件!$C$7*K750,"運転",IF(L750&lt;=判定条件!$C$8*K750,"停止","断続")))</f>
        <v>停止</v>
      </c>
      <c r="N750" s="30" t="n">
        <v>60</v>
      </c>
      <c r="O750" s="30" t="n">
        <v>0</v>
      </c>
      <c r="P750" s="30" t="str">
        <f aca="false">IF(N750&lt;判定条件!$C$6,"判定不能",IF(O750&gt;=判定条件!$C$7*N750,"運転",IF(O750&lt;=判定条件!$C$8*N750,"停止","断続")))</f>
        <v>停止</v>
      </c>
      <c r="Q750" s="30" t="n">
        <v>60</v>
      </c>
      <c r="R750" s="30" t="n">
        <v>0</v>
      </c>
      <c r="S750" s="30" t="str">
        <f aca="false">IF(Q750&lt;判定条件!$C$6,"判定不能",IF(R750&gt;=判定条件!$C$7*Q750,"運転",IF(R750&lt;=判定条件!$C$8*Q750,"停止","断続")))</f>
        <v>停止</v>
      </c>
      <c r="T750" s="30" t="n">
        <v>60</v>
      </c>
      <c r="U750" s="30" t="n">
        <v>0</v>
      </c>
      <c r="V750" s="30" t="str">
        <f aca="false">IF(T750&lt;判定条件!$C$6,"判定不能",IF(U750&gt;=判定条件!$C$7*T750,"運転",IF(U750&lt;=判定条件!$C$8*T750,"停止","断続")))</f>
        <v>停止</v>
      </c>
      <c r="W750" s="30" t="n">
        <v>60</v>
      </c>
      <c r="X750" s="30" t="n">
        <v>0</v>
      </c>
      <c r="Y750" s="30" t="str">
        <f aca="false">IF(W750&lt;判定条件!$C$6,"判定不能",IF(X750&gt;=判定条件!$C$7*W750,"運転",IF(X750&lt;=判定条件!$C$8*W750,"停止","断続")))</f>
        <v>停止</v>
      </c>
      <c r="Z750" s="30" t="n">
        <v>60</v>
      </c>
      <c r="AA750" s="30" t="n">
        <v>0</v>
      </c>
      <c r="AB750" s="30" t="str">
        <f aca="false">IF(Z750&lt;判定条件!$C$6,"判定不能",IF(AA750&gt;=判定条件!$C$7*Z750,"運転",IF(AA750&lt;=判定条件!$C$8*Z750,"停止","断続")))</f>
        <v>停止</v>
      </c>
      <c r="AC750" s="30" t="n">
        <v>60</v>
      </c>
      <c r="AD750" s="30" t="n">
        <v>0</v>
      </c>
      <c r="AE750" s="30" t="str">
        <f aca="false">IF(AC750&lt;判定条件!$C$6,"判定不能",IF(AD750&gt;=判定条件!$C$7*AC750,"運転",IF(AD750&lt;=判定条件!$C$8*AC750,"停止","断続")))</f>
        <v>停止</v>
      </c>
      <c r="AF750" s="30" t="n">
        <v>60</v>
      </c>
      <c r="AG750" s="30" t="n">
        <v>0</v>
      </c>
      <c r="AH750" s="30" t="str">
        <f aca="false">IF(OR(P750="判定不能",G750="判定不能"),"判定不能",IF(AG750&gt;=判定条件!$C$9,"利用可",IF(AND(P750="停止",G750="停止"),"両方停止","運転がそろわない")))</f>
        <v>両方停止</v>
      </c>
      <c r="AI750" s="30" t="n">
        <v>60</v>
      </c>
      <c r="AJ750" s="30" t="n">
        <v>0</v>
      </c>
      <c r="AK750" s="30" t="str">
        <f aca="false">IF(OR(S750="判定不能",J750="判定不能"),"判定不能",IF(AJ750&gt;=判定条件!$C$9,"利用可",IF(AND(S750="停止",J750="停止"),"両方停止","運転がそろわない")))</f>
        <v>両方停止</v>
      </c>
      <c r="AL750" s="30" t="n">
        <v>60</v>
      </c>
      <c r="AM750" s="30" t="n">
        <v>0</v>
      </c>
      <c r="AN750" s="30" t="str">
        <f aca="false">IF(OR(V750="判定不能",M750="判定不能"),"判定不能",IF(AM750&gt;=判定条件!$C$9,"利用可",IF(AND(V750="停止",M750="停止"),"両方停止","運転がそろわない")))</f>
        <v>両方停止</v>
      </c>
      <c r="AO750" s="30" t="n">
        <v>60</v>
      </c>
      <c r="AP750" s="30" t="n">
        <v>0</v>
      </c>
      <c r="AQ750" s="30" t="str">
        <f aca="false">IF(OR(Y750="判定不能",G750="判定不能"),"判定不能",IF(AP750&gt;=判定条件!$C$9,"利用可",IF(AND(Y750="停止",G750="停止"),"両方停止","運転がそろわない")))</f>
        <v>両方停止</v>
      </c>
      <c r="AR750" s="30" t="n">
        <v>60</v>
      </c>
      <c r="AS750" s="30" t="n">
        <v>0</v>
      </c>
      <c r="AT750" s="30" t="str">
        <f aca="false">IF(OR(AB750="判定不能",J750="判定不能"),"判定不能",IF(AS750&gt;=判定条件!$C$9,"利用可",IF(AND(AB750="停止",J750="停止"),"両方停止","運転がそろわない")))</f>
        <v>両方停止</v>
      </c>
      <c r="AU750" s="30" t="n">
        <v>60</v>
      </c>
      <c r="AV750" s="30" t="n">
        <v>0</v>
      </c>
      <c r="AW750" s="30" t="str">
        <f aca="false">IF(OR(AE750="判定不能",M750="判定不能"),"判定不能",IF(AV750&gt;=判定条件!$C$9,"利用可",IF(AND(AE750="停止",M750="停止"),"両方停止","運転がそろわない")))</f>
        <v>両方停止</v>
      </c>
      <c r="AX750" s="30" t="str">
        <f aca="false">IF(AND(AH750="利用可",AK750="利用可",AN750="利用可"),"利用可","不可")</f>
        <v>不可</v>
      </c>
      <c r="AY750" s="30" t="str">
        <f aca="false">IF(AND(AQ750="利用可",AT750="利用可",AW750="利用可"),"利用可","不可")</f>
        <v>不可</v>
      </c>
    </row>
    <row r="751" customFormat="false" ht="15" hidden="false" customHeight="false" outlineLevel="0" collapsed="false">
      <c r="A751" s="29" t="n">
        <v>46263</v>
      </c>
      <c r="B751" s="30" t="n">
        <v>4</v>
      </c>
      <c r="C751" s="31" t="s">
        <v>63</v>
      </c>
      <c r="D751" s="31" t="s">
        <v>64</v>
      </c>
      <c r="E751" s="30" t="n">
        <v>60</v>
      </c>
      <c r="F751" s="30" t="n">
        <v>0</v>
      </c>
      <c r="G751" s="30" t="str">
        <f aca="false">IF(E751&lt;判定条件!$C$6,"判定不能",IF(F751&gt;=判定条件!$C$7*E751,"運転",IF(F751&lt;=判定条件!$C$8*E751,"停止","断続")))</f>
        <v>停止</v>
      </c>
      <c r="H751" s="30" t="n">
        <v>60</v>
      </c>
      <c r="I751" s="30" t="n">
        <v>0</v>
      </c>
      <c r="J751" s="30" t="str">
        <f aca="false">IF(H751&lt;判定条件!$C$6,"判定不能",IF(I751&gt;=判定条件!$C$7*H751,"運転",IF(I751&lt;=判定条件!$C$8*H751,"停止","断続")))</f>
        <v>停止</v>
      </c>
      <c r="K751" s="30" t="n">
        <v>60</v>
      </c>
      <c r="L751" s="30" t="n">
        <v>0</v>
      </c>
      <c r="M751" s="30" t="str">
        <f aca="false">IF(K751&lt;判定条件!$C$6,"判定不能",IF(L751&gt;=判定条件!$C$7*K751,"運転",IF(L751&lt;=判定条件!$C$8*K751,"停止","断続")))</f>
        <v>停止</v>
      </c>
      <c r="N751" s="30" t="n">
        <v>60</v>
      </c>
      <c r="O751" s="30" t="n">
        <v>0</v>
      </c>
      <c r="P751" s="30" t="str">
        <f aca="false">IF(N751&lt;判定条件!$C$6,"判定不能",IF(O751&gt;=判定条件!$C$7*N751,"運転",IF(O751&lt;=判定条件!$C$8*N751,"停止","断続")))</f>
        <v>停止</v>
      </c>
      <c r="Q751" s="30" t="n">
        <v>60</v>
      </c>
      <c r="R751" s="30" t="n">
        <v>0</v>
      </c>
      <c r="S751" s="30" t="str">
        <f aca="false">IF(Q751&lt;判定条件!$C$6,"判定不能",IF(R751&gt;=判定条件!$C$7*Q751,"運転",IF(R751&lt;=判定条件!$C$8*Q751,"停止","断続")))</f>
        <v>停止</v>
      </c>
      <c r="T751" s="30" t="n">
        <v>60</v>
      </c>
      <c r="U751" s="30" t="n">
        <v>0</v>
      </c>
      <c r="V751" s="30" t="str">
        <f aca="false">IF(T751&lt;判定条件!$C$6,"判定不能",IF(U751&gt;=判定条件!$C$7*T751,"運転",IF(U751&lt;=判定条件!$C$8*T751,"停止","断続")))</f>
        <v>停止</v>
      </c>
      <c r="W751" s="30" t="n">
        <v>60</v>
      </c>
      <c r="X751" s="30" t="n">
        <v>0</v>
      </c>
      <c r="Y751" s="30" t="str">
        <f aca="false">IF(W751&lt;判定条件!$C$6,"判定不能",IF(X751&gt;=判定条件!$C$7*W751,"運転",IF(X751&lt;=判定条件!$C$8*W751,"停止","断続")))</f>
        <v>停止</v>
      </c>
      <c r="Z751" s="30" t="n">
        <v>60</v>
      </c>
      <c r="AA751" s="30" t="n">
        <v>0</v>
      </c>
      <c r="AB751" s="30" t="str">
        <f aca="false">IF(Z751&lt;判定条件!$C$6,"判定不能",IF(AA751&gt;=判定条件!$C$7*Z751,"運転",IF(AA751&lt;=判定条件!$C$8*Z751,"停止","断続")))</f>
        <v>停止</v>
      </c>
      <c r="AC751" s="30" t="n">
        <v>60</v>
      </c>
      <c r="AD751" s="30" t="n">
        <v>0</v>
      </c>
      <c r="AE751" s="30" t="str">
        <f aca="false">IF(AC751&lt;判定条件!$C$6,"判定不能",IF(AD751&gt;=判定条件!$C$7*AC751,"運転",IF(AD751&lt;=判定条件!$C$8*AC751,"停止","断続")))</f>
        <v>停止</v>
      </c>
      <c r="AF751" s="30" t="n">
        <v>60</v>
      </c>
      <c r="AG751" s="30" t="n">
        <v>0</v>
      </c>
      <c r="AH751" s="30" t="str">
        <f aca="false">IF(OR(P751="判定不能",G751="判定不能"),"判定不能",IF(AG751&gt;=判定条件!$C$9,"利用可",IF(AND(P751="停止",G751="停止"),"両方停止","運転がそろわない")))</f>
        <v>両方停止</v>
      </c>
      <c r="AI751" s="30" t="n">
        <v>60</v>
      </c>
      <c r="AJ751" s="30" t="n">
        <v>0</v>
      </c>
      <c r="AK751" s="30" t="str">
        <f aca="false">IF(OR(S751="判定不能",J751="判定不能"),"判定不能",IF(AJ751&gt;=判定条件!$C$9,"利用可",IF(AND(S751="停止",J751="停止"),"両方停止","運転がそろわない")))</f>
        <v>両方停止</v>
      </c>
      <c r="AL751" s="30" t="n">
        <v>60</v>
      </c>
      <c r="AM751" s="30" t="n">
        <v>0</v>
      </c>
      <c r="AN751" s="30" t="str">
        <f aca="false">IF(OR(V751="判定不能",M751="判定不能"),"判定不能",IF(AM751&gt;=判定条件!$C$9,"利用可",IF(AND(V751="停止",M751="停止"),"両方停止","運転がそろわない")))</f>
        <v>両方停止</v>
      </c>
      <c r="AO751" s="30" t="n">
        <v>60</v>
      </c>
      <c r="AP751" s="30" t="n">
        <v>0</v>
      </c>
      <c r="AQ751" s="30" t="str">
        <f aca="false">IF(OR(Y751="判定不能",G751="判定不能"),"判定不能",IF(AP751&gt;=判定条件!$C$9,"利用可",IF(AND(Y751="停止",G751="停止"),"両方停止","運転がそろわない")))</f>
        <v>両方停止</v>
      </c>
      <c r="AR751" s="30" t="n">
        <v>60</v>
      </c>
      <c r="AS751" s="30" t="n">
        <v>0</v>
      </c>
      <c r="AT751" s="30" t="str">
        <f aca="false">IF(OR(AB751="判定不能",J751="判定不能"),"判定不能",IF(AS751&gt;=判定条件!$C$9,"利用可",IF(AND(AB751="停止",J751="停止"),"両方停止","運転がそろわない")))</f>
        <v>両方停止</v>
      </c>
      <c r="AU751" s="30" t="n">
        <v>60</v>
      </c>
      <c r="AV751" s="30" t="n">
        <v>0</v>
      </c>
      <c r="AW751" s="30" t="str">
        <f aca="false">IF(OR(AE751="判定不能",M751="判定不能"),"判定不能",IF(AV751&gt;=判定条件!$C$9,"利用可",IF(AND(AE751="停止",M751="停止"),"両方停止","運転がそろわない")))</f>
        <v>両方停止</v>
      </c>
      <c r="AX751" s="30" t="str">
        <f aca="false">IF(AND(AH751="利用可",AK751="利用可",AN751="利用可"),"利用可","不可")</f>
        <v>不可</v>
      </c>
      <c r="AY751" s="30" t="str">
        <f aca="false">IF(AND(AQ751="利用可",AT751="利用可",AW751="利用可"),"利用可","不可")</f>
        <v>不可</v>
      </c>
    </row>
    <row r="752" customFormat="false" ht="15" hidden="false" customHeight="false" outlineLevel="0" collapsed="false">
      <c r="A752" s="29" t="n">
        <v>46263</v>
      </c>
      <c r="B752" s="30" t="n">
        <v>5</v>
      </c>
      <c r="C752" s="31" t="s">
        <v>63</v>
      </c>
      <c r="D752" s="31" t="s">
        <v>64</v>
      </c>
      <c r="E752" s="30" t="n">
        <v>60</v>
      </c>
      <c r="F752" s="30" t="n">
        <v>0</v>
      </c>
      <c r="G752" s="30" t="str">
        <f aca="false">IF(E752&lt;判定条件!$C$6,"判定不能",IF(F752&gt;=判定条件!$C$7*E752,"運転",IF(F752&lt;=判定条件!$C$8*E752,"停止","断続")))</f>
        <v>停止</v>
      </c>
      <c r="H752" s="30" t="n">
        <v>60</v>
      </c>
      <c r="I752" s="30" t="n">
        <v>0</v>
      </c>
      <c r="J752" s="30" t="str">
        <f aca="false">IF(H752&lt;判定条件!$C$6,"判定不能",IF(I752&gt;=判定条件!$C$7*H752,"運転",IF(I752&lt;=判定条件!$C$8*H752,"停止","断続")))</f>
        <v>停止</v>
      </c>
      <c r="K752" s="30" t="n">
        <v>60</v>
      </c>
      <c r="L752" s="30" t="n">
        <v>0</v>
      </c>
      <c r="M752" s="30" t="str">
        <f aca="false">IF(K752&lt;判定条件!$C$6,"判定不能",IF(L752&gt;=判定条件!$C$7*K752,"運転",IF(L752&lt;=判定条件!$C$8*K752,"停止","断続")))</f>
        <v>停止</v>
      </c>
      <c r="N752" s="30" t="n">
        <v>60</v>
      </c>
      <c r="O752" s="30" t="n">
        <v>0</v>
      </c>
      <c r="P752" s="30" t="str">
        <f aca="false">IF(N752&lt;判定条件!$C$6,"判定不能",IF(O752&gt;=判定条件!$C$7*N752,"運転",IF(O752&lt;=判定条件!$C$8*N752,"停止","断続")))</f>
        <v>停止</v>
      </c>
      <c r="Q752" s="30" t="n">
        <v>60</v>
      </c>
      <c r="R752" s="30" t="n">
        <v>0</v>
      </c>
      <c r="S752" s="30" t="str">
        <f aca="false">IF(Q752&lt;判定条件!$C$6,"判定不能",IF(R752&gt;=判定条件!$C$7*Q752,"運転",IF(R752&lt;=判定条件!$C$8*Q752,"停止","断続")))</f>
        <v>停止</v>
      </c>
      <c r="T752" s="30" t="n">
        <v>60</v>
      </c>
      <c r="U752" s="30" t="n">
        <v>0</v>
      </c>
      <c r="V752" s="30" t="str">
        <f aca="false">IF(T752&lt;判定条件!$C$6,"判定不能",IF(U752&gt;=判定条件!$C$7*T752,"運転",IF(U752&lt;=判定条件!$C$8*T752,"停止","断続")))</f>
        <v>停止</v>
      </c>
      <c r="W752" s="30" t="n">
        <v>60</v>
      </c>
      <c r="X752" s="30" t="n">
        <v>0</v>
      </c>
      <c r="Y752" s="30" t="str">
        <f aca="false">IF(W752&lt;判定条件!$C$6,"判定不能",IF(X752&gt;=判定条件!$C$7*W752,"運転",IF(X752&lt;=判定条件!$C$8*W752,"停止","断続")))</f>
        <v>停止</v>
      </c>
      <c r="Z752" s="30" t="n">
        <v>60</v>
      </c>
      <c r="AA752" s="30" t="n">
        <v>0</v>
      </c>
      <c r="AB752" s="30" t="str">
        <f aca="false">IF(Z752&lt;判定条件!$C$6,"判定不能",IF(AA752&gt;=判定条件!$C$7*Z752,"運転",IF(AA752&lt;=判定条件!$C$8*Z752,"停止","断続")))</f>
        <v>停止</v>
      </c>
      <c r="AC752" s="30" t="n">
        <v>60</v>
      </c>
      <c r="AD752" s="30" t="n">
        <v>0</v>
      </c>
      <c r="AE752" s="30" t="str">
        <f aca="false">IF(AC752&lt;判定条件!$C$6,"判定不能",IF(AD752&gt;=判定条件!$C$7*AC752,"運転",IF(AD752&lt;=判定条件!$C$8*AC752,"停止","断続")))</f>
        <v>停止</v>
      </c>
      <c r="AF752" s="30" t="n">
        <v>60</v>
      </c>
      <c r="AG752" s="30" t="n">
        <v>0</v>
      </c>
      <c r="AH752" s="30" t="str">
        <f aca="false">IF(OR(P752="判定不能",G752="判定不能"),"判定不能",IF(AG752&gt;=判定条件!$C$9,"利用可",IF(AND(P752="停止",G752="停止"),"両方停止","運転がそろわない")))</f>
        <v>両方停止</v>
      </c>
      <c r="AI752" s="30" t="n">
        <v>60</v>
      </c>
      <c r="AJ752" s="30" t="n">
        <v>0</v>
      </c>
      <c r="AK752" s="30" t="str">
        <f aca="false">IF(OR(S752="判定不能",J752="判定不能"),"判定不能",IF(AJ752&gt;=判定条件!$C$9,"利用可",IF(AND(S752="停止",J752="停止"),"両方停止","運転がそろわない")))</f>
        <v>両方停止</v>
      </c>
      <c r="AL752" s="30" t="n">
        <v>60</v>
      </c>
      <c r="AM752" s="30" t="n">
        <v>0</v>
      </c>
      <c r="AN752" s="30" t="str">
        <f aca="false">IF(OR(V752="判定不能",M752="判定不能"),"判定不能",IF(AM752&gt;=判定条件!$C$9,"利用可",IF(AND(V752="停止",M752="停止"),"両方停止","運転がそろわない")))</f>
        <v>両方停止</v>
      </c>
      <c r="AO752" s="30" t="n">
        <v>60</v>
      </c>
      <c r="AP752" s="30" t="n">
        <v>0</v>
      </c>
      <c r="AQ752" s="30" t="str">
        <f aca="false">IF(OR(Y752="判定不能",G752="判定不能"),"判定不能",IF(AP752&gt;=判定条件!$C$9,"利用可",IF(AND(Y752="停止",G752="停止"),"両方停止","運転がそろわない")))</f>
        <v>両方停止</v>
      </c>
      <c r="AR752" s="30" t="n">
        <v>60</v>
      </c>
      <c r="AS752" s="30" t="n">
        <v>0</v>
      </c>
      <c r="AT752" s="30" t="str">
        <f aca="false">IF(OR(AB752="判定不能",J752="判定不能"),"判定不能",IF(AS752&gt;=判定条件!$C$9,"利用可",IF(AND(AB752="停止",J752="停止"),"両方停止","運転がそろわない")))</f>
        <v>両方停止</v>
      </c>
      <c r="AU752" s="30" t="n">
        <v>60</v>
      </c>
      <c r="AV752" s="30" t="n">
        <v>0</v>
      </c>
      <c r="AW752" s="30" t="str">
        <f aca="false">IF(OR(AE752="判定不能",M752="判定不能"),"判定不能",IF(AV752&gt;=判定条件!$C$9,"利用可",IF(AND(AE752="停止",M752="停止"),"両方停止","運転がそろわない")))</f>
        <v>両方停止</v>
      </c>
      <c r="AX752" s="30" t="str">
        <f aca="false">IF(AND(AH752="利用可",AK752="利用可",AN752="利用可"),"利用可","不可")</f>
        <v>不可</v>
      </c>
      <c r="AY752" s="30" t="str">
        <f aca="false">IF(AND(AQ752="利用可",AT752="利用可",AW752="利用可"),"利用可","不可")</f>
        <v>不可</v>
      </c>
    </row>
    <row r="753" customFormat="false" ht="15" hidden="false" customHeight="false" outlineLevel="0" collapsed="false">
      <c r="A753" s="29" t="n">
        <v>46263</v>
      </c>
      <c r="B753" s="30" t="n">
        <v>6</v>
      </c>
      <c r="C753" s="31" t="s">
        <v>63</v>
      </c>
      <c r="D753" s="31" t="s">
        <v>64</v>
      </c>
      <c r="E753" s="30" t="n">
        <v>60</v>
      </c>
      <c r="F753" s="30" t="n">
        <v>0</v>
      </c>
      <c r="G753" s="30" t="str">
        <f aca="false">IF(E753&lt;判定条件!$C$6,"判定不能",IF(F753&gt;=判定条件!$C$7*E753,"運転",IF(F753&lt;=判定条件!$C$8*E753,"停止","断続")))</f>
        <v>停止</v>
      </c>
      <c r="H753" s="30" t="n">
        <v>60</v>
      </c>
      <c r="I753" s="30" t="n">
        <v>0</v>
      </c>
      <c r="J753" s="30" t="str">
        <f aca="false">IF(H753&lt;判定条件!$C$6,"判定不能",IF(I753&gt;=判定条件!$C$7*H753,"運転",IF(I753&lt;=判定条件!$C$8*H753,"停止","断続")))</f>
        <v>停止</v>
      </c>
      <c r="K753" s="30" t="n">
        <v>60</v>
      </c>
      <c r="L753" s="30" t="n">
        <v>0</v>
      </c>
      <c r="M753" s="30" t="str">
        <f aca="false">IF(K753&lt;判定条件!$C$6,"判定不能",IF(L753&gt;=判定条件!$C$7*K753,"運転",IF(L753&lt;=判定条件!$C$8*K753,"停止","断続")))</f>
        <v>停止</v>
      </c>
      <c r="N753" s="30" t="n">
        <v>60</v>
      </c>
      <c r="O753" s="30" t="n">
        <v>0</v>
      </c>
      <c r="P753" s="30" t="str">
        <f aca="false">IF(N753&lt;判定条件!$C$6,"判定不能",IF(O753&gt;=判定条件!$C$7*N753,"運転",IF(O753&lt;=判定条件!$C$8*N753,"停止","断続")))</f>
        <v>停止</v>
      </c>
      <c r="Q753" s="30" t="n">
        <v>60</v>
      </c>
      <c r="R753" s="30" t="n">
        <v>0</v>
      </c>
      <c r="S753" s="30" t="str">
        <f aca="false">IF(Q753&lt;判定条件!$C$6,"判定不能",IF(R753&gt;=判定条件!$C$7*Q753,"運転",IF(R753&lt;=判定条件!$C$8*Q753,"停止","断続")))</f>
        <v>停止</v>
      </c>
      <c r="T753" s="30" t="n">
        <v>60</v>
      </c>
      <c r="U753" s="30" t="n">
        <v>0</v>
      </c>
      <c r="V753" s="30" t="str">
        <f aca="false">IF(T753&lt;判定条件!$C$6,"判定不能",IF(U753&gt;=判定条件!$C$7*T753,"運転",IF(U753&lt;=判定条件!$C$8*T753,"停止","断続")))</f>
        <v>停止</v>
      </c>
      <c r="W753" s="30" t="n">
        <v>60</v>
      </c>
      <c r="X753" s="30" t="n">
        <v>0</v>
      </c>
      <c r="Y753" s="30" t="str">
        <f aca="false">IF(W753&lt;判定条件!$C$6,"判定不能",IF(X753&gt;=判定条件!$C$7*W753,"運転",IF(X753&lt;=判定条件!$C$8*W753,"停止","断続")))</f>
        <v>停止</v>
      </c>
      <c r="Z753" s="30" t="n">
        <v>60</v>
      </c>
      <c r="AA753" s="30" t="n">
        <v>0</v>
      </c>
      <c r="AB753" s="30" t="str">
        <f aca="false">IF(Z753&lt;判定条件!$C$6,"判定不能",IF(AA753&gt;=判定条件!$C$7*Z753,"運転",IF(AA753&lt;=判定条件!$C$8*Z753,"停止","断続")))</f>
        <v>停止</v>
      </c>
      <c r="AC753" s="30" t="n">
        <v>60</v>
      </c>
      <c r="AD753" s="30" t="n">
        <v>0</v>
      </c>
      <c r="AE753" s="30" t="str">
        <f aca="false">IF(AC753&lt;判定条件!$C$6,"判定不能",IF(AD753&gt;=判定条件!$C$7*AC753,"運転",IF(AD753&lt;=判定条件!$C$8*AC753,"停止","断続")))</f>
        <v>停止</v>
      </c>
      <c r="AF753" s="30" t="n">
        <v>60</v>
      </c>
      <c r="AG753" s="30" t="n">
        <v>0</v>
      </c>
      <c r="AH753" s="30" t="str">
        <f aca="false">IF(OR(P753="判定不能",G753="判定不能"),"判定不能",IF(AG753&gt;=判定条件!$C$9,"利用可",IF(AND(P753="停止",G753="停止"),"両方停止","運転がそろわない")))</f>
        <v>両方停止</v>
      </c>
      <c r="AI753" s="30" t="n">
        <v>60</v>
      </c>
      <c r="AJ753" s="30" t="n">
        <v>0</v>
      </c>
      <c r="AK753" s="30" t="str">
        <f aca="false">IF(OR(S753="判定不能",J753="判定不能"),"判定不能",IF(AJ753&gt;=判定条件!$C$9,"利用可",IF(AND(S753="停止",J753="停止"),"両方停止","運転がそろわない")))</f>
        <v>両方停止</v>
      </c>
      <c r="AL753" s="30" t="n">
        <v>60</v>
      </c>
      <c r="AM753" s="30" t="n">
        <v>0</v>
      </c>
      <c r="AN753" s="30" t="str">
        <f aca="false">IF(OR(V753="判定不能",M753="判定不能"),"判定不能",IF(AM753&gt;=判定条件!$C$9,"利用可",IF(AND(V753="停止",M753="停止"),"両方停止","運転がそろわない")))</f>
        <v>両方停止</v>
      </c>
      <c r="AO753" s="30" t="n">
        <v>60</v>
      </c>
      <c r="AP753" s="30" t="n">
        <v>0</v>
      </c>
      <c r="AQ753" s="30" t="str">
        <f aca="false">IF(OR(Y753="判定不能",G753="判定不能"),"判定不能",IF(AP753&gt;=判定条件!$C$9,"利用可",IF(AND(Y753="停止",G753="停止"),"両方停止","運転がそろわない")))</f>
        <v>両方停止</v>
      </c>
      <c r="AR753" s="30" t="n">
        <v>60</v>
      </c>
      <c r="AS753" s="30" t="n">
        <v>0</v>
      </c>
      <c r="AT753" s="30" t="str">
        <f aca="false">IF(OR(AB753="判定不能",J753="判定不能"),"判定不能",IF(AS753&gt;=判定条件!$C$9,"利用可",IF(AND(AB753="停止",J753="停止"),"両方停止","運転がそろわない")))</f>
        <v>両方停止</v>
      </c>
      <c r="AU753" s="30" t="n">
        <v>60</v>
      </c>
      <c r="AV753" s="30" t="n">
        <v>0</v>
      </c>
      <c r="AW753" s="30" t="str">
        <f aca="false">IF(OR(AE753="判定不能",M753="判定不能"),"判定不能",IF(AV753&gt;=判定条件!$C$9,"利用可",IF(AND(AE753="停止",M753="停止"),"両方停止","運転がそろわない")))</f>
        <v>両方停止</v>
      </c>
      <c r="AX753" s="30" t="str">
        <f aca="false">IF(AND(AH753="利用可",AK753="利用可",AN753="利用可"),"利用可","不可")</f>
        <v>不可</v>
      </c>
      <c r="AY753" s="30" t="str">
        <f aca="false">IF(AND(AQ753="利用可",AT753="利用可",AW753="利用可"),"利用可","不可")</f>
        <v>不可</v>
      </c>
    </row>
    <row r="754" customFormat="false" ht="15" hidden="false" customHeight="false" outlineLevel="0" collapsed="false">
      <c r="A754" s="29" t="n">
        <v>46263</v>
      </c>
      <c r="B754" s="30" t="n">
        <v>7</v>
      </c>
      <c r="C754" s="31" t="s">
        <v>63</v>
      </c>
      <c r="D754" s="31" t="s">
        <v>64</v>
      </c>
      <c r="E754" s="30" t="n">
        <v>60</v>
      </c>
      <c r="F754" s="30" t="n">
        <v>0</v>
      </c>
      <c r="G754" s="30" t="str">
        <f aca="false">IF(E754&lt;判定条件!$C$6,"判定不能",IF(F754&gt;=判定条件!$C$7*E754,"運転",IF(F754&lt;=判定条件!$C$8*E754,"停止","断続")))</f>
        <v>停止</v>
      </c>
      <c r="H754" s="30" t="n">
        <v>60</v>
      </c>
      <c r="I754" s="30" t="n">
        <v>0</v>
      </c>
      <c r="J754" s="30" t="str">
        <f aca="false">IF(H754&lt;判定条件!$C$6,"判定不能",IF(I754&gt;=判定条件!$C$7*H754,"運転",IF(I754&lt;=判定条件!$C$8*H754,"停止","断続")))</f>
        <v>停止</v>
      </c>
      <c r="K754" s="30" t="n">
        <v>60</v>
      </c>
      <c r="L754" s="30" t="n">
        <v>0</v>
      </c>
      <c r="M754" s="30" t="str">
        <f aca="false">IF(K754&lt;判定条件!$C$6,"判定不能",IF(L754&gt;=判定条件!$C$7*K754,"運転",IF(L754&lt;=判定条件!$C$8*K754,"停止","断続")))</f>
        <v>停止</v>
      </c>
      <c r="N754" s="30" t="n">
        <v>60</v>
      </c>
      <c r="O754" s="30" t="n">
        <v>5</v>
      </c>
      <c r="P754" s="30" t="str">
        <f aca="false">IF(N754&lt;判定条件!$C$6,"判定不能",IF(O754&gt;=判定条件!$C$7*N754,"運転",IF(O754&lt;=判定条件!$C$8*N754,"停止","断続")))</f>
        <v>停止</v>
      </c>
      <c r="Q754" s="30" t="n">
        <v>60</v>
      </c>
      <c r="R754" s="30" t="n">
        <v>0</v>
      </c>
      <c r="S754" s="30" t="str">
        <f aca="false">IF(Q754&lt;判定条件!$C$6,"判定不能",IF(R754&gt;=判定条件!$C$7*Q754,"運転",IF(R754&lt;=判定条件!$C$8*Q754,"停止","断続")))</f>
        <v>停止</v>
      </c>
      <c r="T754" s="30" t="n">
        <v>60</v>
      </c>
      <c r="U754" s="30" t="n">
        <v>0</v>
      </c>
      <c r="V754" s="30" t="str">
        <f aca="false">IF(T754&lt;判定条件!$C$6,"判定不能",IF(U754&gt;=判定条件!$C$7*T754,"運転",IF(U754&lt;=判定条件!$C$8*T754,"停止","断続")))</f>
        <v>停止</v>
      </c>
      <c r="W754" s="30" t="n">
        <v>60</v>
      </c>
      <c r="X754" s="30" t="n">
        <v>0</v>
      </c>
      <c r="Y754" s="30" t="str">
        <f aca="false">IF(W754&lt;判定条件!$C$6,"判定不能",IF(X754&gt;=判定条件!$C$7*W754,"運転",IF(X754&lt;=判定条件!$C$8*W754,"停止","断続")))</f>
        <v>停止</v>
      </c>
      <c r="Z754" s="30" t="n">
        <v>60</v>
      </c>
      <c r="AA754" s="30" t="n">
        <v>0</v>
      </c>
      <c r="AB754" s="30" t="str">
        <f aca="false">IF(Z754&lt;判定条件!$C$6,"判定不能",IF(AA754&gt;=判定条件!$C$7*Z754,"運転",IF(AA754&lt;=判定条件!$C$8*Z754,"停止","断続")))</f>
        <v>停止</v>
      </c>
      <c r="AC754" s="30" t="n">
        <v>60</v>
      </c>
      <c r="AD754" s="30" t="n">
        <v>0</v>
      </c>
      <c r="AE754" s="30" t="str">
        <f aca="false">IF(AC754&lt;判定条件!$C$6,"判定不能",IF(AD754&gt;=判定条件!$C$7*AC754,"運転",IF(AD754&lt;=判定条件!$C$8*AC754,"停止","断続")))</f>
        <v>停止</v>
      </c>
      <c r="AF754" s="30" t="n">
        <v>60</v>
      </c>
      <c r="AG754" s="30" t="n">
        <v>0</v>
      </c>
      <c r="AH754" s="30" t="str">
        <f aca="false">IF(OR(P754="判定不能",G754="判定不能"),"判定不能",IF(AG754&gt;=判定条件!$C$9,"利用可",IF(AND(P754="停止",G754="停止"),"両方停止","運転がそろわない")))</f>
        <v>両方停止</v>
      </c>
      <c r="AI754" s="30" t="n">
        <v>60</v>
      </c>
      <c r="AJ754" s="30" t="n">
        <v>0</v>
      </c>
      <c r="AK754" s="30" t="str">
        <f aca="false">IF(OR(S754="判定不能",J754="判定不能"),"判定不能",IF(AJ754&gt;=判定条件!$C$9,"利用可",IF(AND(S754="停止",J754="停止"),"両方停止","運転がそろわない")))</f>
        <v>両方停止</v>
      </c>
      <c r="AL754" s="30" t="n">
        <v>60</v>
      </c>
      <c r="AM754" s="30" t="n">
        <v>0</v>
      </c>
      <c r="AN754" s="30" t="str">
        <f aca="false">IF(OR(V754="判定不能",M754="判定不能"),"判定不能",IF(AM754&gt;=判定条件!$C$9,"利用可",IF(AND(V754="停止",M754="停止"),"両方停止","運転がそろわない")))</f>
        <v>両方停止</v>
      </c>
      <c r="AO754" s="30" t="n">
        <v>60</v>
      </c>
      <c r="AP754" s="30" t="n">
        <v>0</v>
      </c>
      <c r="AQ754" s="30" t="str">
        <f aca="false">IF(OR(Y754="判定不能",G754="判定不能"),"判定不能",IF(AP754&gt;=判定条件!$C$9,"利用可",IF(AND(Y754="停止",G754="停止"),"両方停止","運転がそろわない")))</f>
        <v>両方停止</v>
      </c>
      <c r="AR754" s="30" t="n">
        <v>60</v>
      </c>
      <c r="AS754" s="30" t="n">
        <v>0</v>
      </c>
      <c r="AT754" s="30" t="str">
        <f aca="false">IF(OR(AB754="判定不能",J754="判定不能"),"判定不能",IF(AS754&gt;=判定条件!$C$9,"利用可",IF(AND(AB754="停止",J754="停止"),"両方停止","運転がそろわない")))</f>
        <v>両方停止</v>
      </c>
      <c r="AU754" s="30" t="n">
        <v>60</v>
      </c>
      <c r="AV754" s="30" t="n">
        <v>0</v>
      </c>
      <c r="AW754" s="30" t="str">
        <f aca="false">IF(OR(AE754="判定不能",M754="判定不能"),"判定不能",IF(AV754&gt;=判定条件!$C$9,"利用可",IF(AND(AE754="停止",M754="停止"),"両方停止","運転がそろわない")))</f>
        <v>両方停止</v>
      </c>
      <c r="AX754" s="30" t="str">
        <f aca="false">IF(AND(AH754="利用可",AK754="利用可",AN754="利用可"),"利用可","不可")</f>
        <v>不可</v>
      </c>
      <c r="AY754" s="30" t="str">
        <f aca="false">IF(AND(AQ754="利用可",AT754="利用可",AW754="利用可"),"利用可","不可")</f>
        <v>不可</v>
      </c>
    </row>
    <row r="755" customFormat="false" ht="15" hidden="false" customHeight="false" outlineLevel="0" collapsed="false">
      <c r="A755" s="29" t="n">
        <v>46263</v>
      </c>
      <c r="B755" s="30" t="n">
        <v>8</v>
      </c>
      <c r="C755" s="31" t="s">
        <v>63</v>
      </c>
      <c r="D755" s="31" t="s">
        <v>64</v>
      </c>
      <c r="E755" s="30" t="n">
        <v>60</v>
      </c>
      <c r="F755" s="30" t="n">
        <v>0</v>
      </c>
      <c r="G755" s="30" t="str">
        <f aca="false">IF(E755&lt;判定条件!$C$6,"判定不能",IF(F755&gt;=判定条件!$C$7*E755,"運転",IF(F755&lt;=判定条件!$C$8*E755,"停止","断続")))</f>
        <v>停止</v>
      </c>
      <c r="H755" s="30" t="n">
        <v>60</v>
      </c>
      <c r="I755" s="30" t="n">
        <v>0</v>
      </c>
      <c r="J755" s="30" t="str">
        <f aca="false">IF(H755&lt;判定条件!$C$6,"判定不能",IF(I755&gt;=判定条件!$C$7*H755,"運転",IF(I755&lt;=判定条件!$C$8*H755,"停止","断続")))</f>
        <v>停止</v>
      </c>
      <c r="K755" s="30" t="n">
        <v>60</v>
      </c>
      <c r="L755" s="30" t="n">
        <v>0</v>
      </c>
      <c r="M755" s="30" t="str">
        <f aca="false">IF(K755&lt;判定条件!$C$6,"判定不能",IF(L755&gt;=判定条件!$C$7*K755,"運転",IF(L755&lt;=判定条件!$C$8*K755,"停止","断続")))</f>
        <v>停止</v>
      </c>
      <c r="N755" s="30" t="n">
        <v>60</v>
      </c>
      <c r="O755" s="30" t="n">
        <v>0</v>
      </c>
      <c r="P755" s="30" t="str">
        <f aca="false">IF(N755&lt;判定条件!$C$6,"判定不能",IF(O755&gt;=判定条件!$C$7*N755,"運転",IF(O755&lt;=判定条件!$C$8*N755,"停止","断続")))</f>
        <v>停止</v>
      </c>
      <c r="Q755" s="30" t="n">
        <v>60</v>
      </c>
      <c r="R755" s="30" t="n">
        <v>0</v>
      </c>
      <c r="S755" s="30" t="str">
        <f aca="false">IF(Q755&lt;判定条件!$C$6,"判定不能",IF(R755&gt;=判定条件!$C$7*Q755,"運転",IF(R755&lt;=判定条件!$C$8*Q755,"停止","断続")))</f>
        <v>停止</v>
      </c>
      <c r="T755" s="30" t="n">
        <v>60</v>
      </c>
      <c r="U755" s="30" t="n">
        <v>0</v>
      </c>
      <c r="V755" s="30" t="str">
        <f aca="false">IF(T755&lt;判定条件!$C$6,"判定不能",IF(U755&gt;=判定条件!$C$7*T755,"運転",IF(U755&lt;=判定条件!$C$8*T755,"停止","断続")))</f>
        <v>停止</v>
      </c>
      <c r="W755" s="30" t="n">
        <v>60</v>
      </c>
      <c r="X755" s="30" t="n">
        <v>50</v>
      </c>
      <c r="Y755" s="30" t="str">
        <f aca="false">IF(W755&lt;判定条件!$C$6,"判定不能",IF(X755&gt;=判定条件!$C$7*W755,"運転",IF(X755&lt;=判定条件!$C$8*W755,"停止","断続")))</f>
        <v>運転</v>
      </c>
      <c r="Z755" s="30" t="n">
        <v>60</v>
      </c>
      <c r="AA755" s="30" t="n">
        <v>26</v>
      </c>
      <c r="AB755" s="30" t="str">
        <f aca="false">IF(Z755&lt;判定条件!$C$6,"判定不能",IF(AA755&gt;=判定条件!$C$7*Z755,"運転",IF(AA755&lt;=判定条件!$C$8*Z755,"停止","断続")))</f>
        <v>断続</v>
      </c>
      <c r="AC755" s="30" t="n">
        <v>60</v>
      </c>
      <c r="AD755" s="30" t="n">
        <v>57</v>
      </c>
      <c r="AE755" s="30" t="str">
        <f aca="false">IF(AC755&lt;判定条件!$C$6,"判定不能",IF(AD755&gt;=判定条件!$C$7*AC755,"運転",IF(AD755&lt;=判定条件!$C$8*AC755,"停止","断続")))</f>
        <v>運転</v>
      </c>
      <c r="AF755" s="30" t="n">
        <v>60</v>
      </c>
      <c r="AG755" s="30" t="n">
        <v>0</v>
      </c>
      <c r="AH755" s="30" t="str">
        <f aca="false">IF(OR(P755="判定不能",G755="判定不能"),"判定不能",IF(AG755&gt;=判定条件!$C$9,"利用可",IF(AND(P755="停止",G755="停止"),"両方停止","運転がそろわない")))</f>
        <v>両方停止</v>
      </c>
      <c r="AI755" s="30" t="n">
        <v>60</v>
      </c>
      <c r="AJ755" s="30" t="n">
        <v>0</v>
      </c>
      <c r="AK755" s="30" t="str">
        <f aca="false">IF(OR(S755="判定不能",J755="判定不能"),"判定不能",IF(AJ755&gt;=判定条件!$C$9,"利用可",IF(AND(S755="停止",J755="停止"),"両方停止","運転がそろわない")))</f>
        <v>両方停止</v>
      </c>
      <c r="AL755" s="30" t="n">
        <v>60</v>
      </c>
      <c r="AM755" s="30" t="n">
        <v>0</v>
      </c>
      <c r="AN755" s="30" t="str">
        <f aca="false">IF(OR(V755="判定不能",M755="判定不能"),"判定不能",IF(AM755&gt;=判定条件!$C$9,"利用可",IF(AND(V755="停止",M755="停止"),"両方停止","運転がそろわない")))</f>
        <v>両方停止</v>
      </c>
      <c r="AO755" s="30" t="n">
        <v>60</v>
      </c>
      <c r="AP755" s="30" t="n">
        <v>0</v>
      </c>
      <c r="AQ755" s="30" t="str">
        <f aca="false">IF(OR(Y755="判定不能",G755="判定不能"),"判定不能",IF(AP755&gt;=判定条件!$C$9,"利用可",IF(AND(Y755="停止",G755="停止"),"両方停止","運転がそろわない")))</f>
        <v>運転がそろわない</v>
      </c>
      <c r="AR755" s="30" t="n">
        <v>60</v>
      </c>
      <c r="AS755" s="30" t="n">
        <v>0</v>
      </c>
      <c r="AT755" s="30" t="str">
        <f aca="false">IF(OR(AB755="判定不能",J755="判定不能"),"判定不能",IF(AS755&gt;=判定条件!$C$9,"利用可",IF(AND(AB755="停止",J755="停止"),"両方停止","運転がそろわない")))</f>
        <v>運転がそろわない</v>
      </c>
      <c r="AU755" s="30" t="n">
        <v>60</v>
      </c>
      <c r="AV755" s="30" t="n">
        <v>0</v>
      </c>
      <c r="AW755" s="30" t="str">
        <f aca="false">IF(OR(AE755="判定不能",M755="判定不能"),"判定不能",IF(AV755&gt;=判定条件!$C$9,"利用可",IF(AND(AE755="停止",M755="停止"),"両方停止","運転がそろわない")))</f>
        <v>運転がそろわない</v>
      </c>
      <c r="AX755" s="30" t="str">
        <f aca="false">IF(AND(AH755="利用可",AK755="利用可",AN755="利用可"),"利用可","不可")</f>
        <v>不可</v>
      </c>
      <c r="AY755" s="30" t="str">
        <f aca="false">IF(AND(AQ755="利用可",AT755="利用可",AW755="利用可"),"利用可","不可")</f>
        <v>不可</v>
      </c>
    </row>
    <row r="756" customFormat="false" ht="15" hidden="false" customHeight="false" outlineLevel="0" collapsed="false">
      <c r="A756" s="29" t="n">
        <v>46263</v>
      </c>
      <c r="B756" s="30" t="n">
        <v>9</v>
      </c>
      <c r="C756" s="31" t="s">
        <v>63</v>
      </c>
      <c r="D756" s="31" t="s">
        <v>64</v>
      </c>
      <c r="E756" s="30" t="n">
        <v>60</v>
      </c>
      <c r="F756" s="30" t="n">
        <v>48</v>
      </c>
      <c r="G756" s="30" t="str">
        <f aca="false">IF(E756&lt;判定条件!$C$6,"判定不能",IF(F756&gt;=判定条件!$C$7*E756,"運転",IF(F756&lt;=判定条件!$C$8*E756,"停止","断続")))</f>
        <v>運転</v>
      </c>
      <c r="H756" s="30" t="n">
        <v>60</v>
      </c>
      <c r="I756" s="30" t="n">
        <v>49</v>
      </c>
      <c r="J756" s="30" t="str">
        <f aca="false">IF(H756&lt;判定条件!$C$6,"判定不能",IF(I756&gt;=判定条件!$C$7*H756,"運転",IF(I756&lt;=判定条件!$C$8*H756,"停止","断続")))</f>
        <v>運転</v>
      </c>
      <c r="K756" s="30" t="n">
        <v>60</v>
      </c>
      <c r="L756" s="30" t="n">
        <v>48</v>
      </c>
      <c r="M756" s="30" t="str">
        <f aca="false">IF(K756&lt;判定条件!$C$6,"判定不能",IF(L756&gt;=判定条件!$C$7*K756,"運転",IF(L756&lt;=判定条件!$C$8*K756,"停止","断続")))</f>
        <v>運転</v>
      </c>
      <c r="N756" s="30" t="n">
        <v>60</v>
      </c>
      <c r="O756" s="30" t="n">
        <v>0</v>
      </c>
      <c r="P756" s="30" t="str">
        <f aca="false">IF(N756&lt;判定条件!$C$6,"判定不能",IF(O756&gt;=判定条件!$C$7*N756,"運転",IF(O756&lt;=判定条件!$C$8*N756,"停止","断続")))</f>
        <v>停止</v>
      </c>
      <c r="Q756" s="30" t="n">
        <v>60</v>
      </c>
      <c r="R756" s="30" t="n">
        <v>50</v>
      </c>
      <c r="S756" s="30" t="str">
        <f aca="false">IF(Q756&lt;判定条件!$C$6,"判定不能",IF(R756&gt;=判定条件!$C$7*Q756,"運転",IF(R756&lt;=判定条件!$C$8*Q756,"停止","断続")))</f>
        <v>運転</v>
      </c>
      <c r="T756" s="30" t="n">
        <v>60</v>
      </c>
      <c r="U756" s="30" t="n">
        <v>0</v>
      </c>
      <c r="V756" s="30" t="str">
        <f aca="false">IF(T756&lt;判定条件!$C$6,"判定不能",IF(U756&gt;=判定条件!$C$7*T756,"運転",IF(U756&lt;=判定条件!$C$8*T756,"停止","断続")))</f>
        <v>停止</v>
      </c>
      <c r="W756" s="30" t="n">
        <v>60</v>
      </c>
      <c r="X756" s="30" t="n">
        <v>35</v>
      </c>
      <c r="Y756" s="30" t="str">
        <f aca="false">IF(W756&lt;判定条件!$C$6,"判定不能",IF(X756&gt;=判定条件!$C$7*W756,"運転",IF(X756&lt;=判定条件!$C$8*W756,"停止","断続")))</f>
        <v>断続</v>
      </c>
      <c r="Z756" s="30" t="n">
        <v>60</v>
      </c>
      <c r="AA756" s="30" t="n">
        <v>36</v>
      </c>
      <c r="AB756" s="30" t="str">
        <f aca="false">IF(Z756&lt;判定条件!$C$6,"判定不能",IF(AA756&gt;=判定条件!$C$7*Z756,"運転",IF(AA756&lt;=判定条件!$C$8*Z756,"停止","断続")))</f>
        <v>断続</v>
      </c>
      <c r="AC756" s="30" t="n">
        <v>60</v>
      </c>
      <c r="AD756" s="30" t="n">
        <v>60</v>
      </c>
      <c r="AE756" s="30" t="str">
        <f aca="false">IF(AC756&lt;判定条件!$C$6,"判定不能",IF(AD756&gt;=判定条件!$C$7*AC756,"運転",IF(AD756&lt;=判定条件!$C$8*AC756,"停止","断続")))</f>
        <v>運転</v>
      </c>
      <c r="AF756" s="30" t="n">
        <v>60</v>
      </c>
      <c r="AG756" s="30" t="n">
        <v>0</v>
      </c>
      <c r="AH756" s="30" t="str">
        <f aca="false">IF(OR(P756="判定不能",G756="判定不能"),"判定不能",IF(AG756&gt;=判定条件!$C$9,"利用可",IF(AND(P756="停止",G756="停止"),"両方停止","運転がそろわない")))</f>
        <v>運転がそろわない</v>
      </c>
      <c r="AI756" s="30" t="n">
        <v>60</v>
      </c>
      <c r="AJ756" s="30" t="n">
        <v>49</v>
      </c>
      <c r="AK756" s="30" t="str">
        <f aca="false">IF(OR(S756="判定不能",J756="判定不能"),"判定不能",IF(AJ756&gt;=判定条件!$C$9,"利用可",IF(AND(S756="停止",J756="停止"),"両方停止","運転がそろわない")))</f>
        <v>利用可</v>
      </c>
      <c r="AL756" s="30" t="n">
        <v>60</v>
      </c>
      <c r="AM756" s="30" t="n">
        <v>0</v>
      </c>
      <c r="AN756" s="30" t="str">
        <f aca="false">IF(OR(V756="判定不能",M756="判定不能"),"判定不能",IF(AM756&gt;=判定条件!$C$9,"利用可",IF(AND(V756="停止",M756="停止"),"両方停止","運転がそろわない")))</f>
        <v>運転がそろわない</v>
      </c>
      <c r="AO756" s="30" t="n">
        <v>60</v>
      </c>
      <c r="AP756" s="30" t="n">
        <v>35</v>
      </c>
      <c r="AQ756" s="30" t="str">
        <f aca="false">IF(OR(Y756="判定不能",G756="判定不能"),"判定不能",IF(AP756&gt;=判定条件!$C$9,"利用可",IF(AND(Y756="停止",G756="停止"),"両方停止","運転がそろわない")))</f>
        <v>利用可</v>
      </c>
      <c r="AR756" s="30" t="n">
        <v>60</v>
      </c>
      <c r="AS756" s="30" t="n">
        <v>35</v>
      </c>
      <c r="AT756" s="30" t="str">
        <f aca="false">IF(OR(AB756="判定不能",J756="判定不能"),"判定不能",IF(AS756&gt;=判定条件!$C$9,"利用可",IF(AND(AB756="停止",J756="停止"),"両方停止","運転がそろわない")))</f>
        <v>利用可</v>
      </c>
      <c r="AU756" s="30" t="n">
        <v>60</v>
      </c>
      <c r="AV756" s="30" t="n">
        <v>48</v>
      </c>
      <c r="AW756" s="30" t="str">
        <f aca="false">IF(OR(AE756="判定不能",M756="判定不能"),"判定不能",IF(AV756&gt;=判定条件!$C$9,"利用可",IF(AND(AE756="停止",M756="停止"),"両方停止","運転がそろわない")))</f>
        <v>利用可</v>
      </c>
      <c r="AX756" s="30" t="str">
        <f aca="false">IF(AND(AH756="利用可",AK756="利用可",AN756="利用可"),"利用可","不可")</f>
        <v>不可</v>
      </c>
      <c r="AY756" s="30" t="str">
        <f aca="false">IF(AND(AQ756="利用可",AT756="利用可",AW756="利用可"),"利用可","不可")</f>
        <v>利用可</v>
      </c>
    </row>
    <row r="757" customFormat="false" ht="15" hidden="false" customHeight="false" outlineLevel="0" collapsed="false">
      <c r="A757" s="29" t="n">
        <v>46263</v>
      </c>
      <c r="B757" s="30" t="n">
        <v>10</v>
      </c>
      <c r="C757" s="31" t="s">
        <v>63</v>
      </c>
      <c r="D757" s="31" t="s">
        <v>64</v>
      </c>
      <c r="E757" s="30" t="n">
        <v>60</v>
      </c>
      <c r="F757" s="30" t="n">
        <v>60</v>
      </c>
      <c r="G757" s="30" t="str">
        <f aca="false">IF(E757&lt;判定条件!$C$6,"判定不能",IF(F757&gt;=判定条件!$C$7*E757,"運転",IF(F757&lt;=判定条件!$C$8*E757,"停止","断続")))</f>
        <v>運転</v>
      </c>
      <c r="H757" s="30" t="n">
        <v>60</v>
      </c>
      <c r="I757" s="30" t="n">
        <v>60</v>
      </c>
      <c r="J757" s="30" t="str">
        <f aca="false">IF(H757&lt;判定条件!$C$6,"判定不能",IF(I757&gt;=判定条件!$C$7*H757,"運転",IF(I757&lt;=判定条件!$C$8*H757,"停止","断続")))</f>
        <v>運転</v>
      </c>
      <c r="K757" s="30" t="n">
        <v>60</v>
      </c>
      <c r="L757" s="30" t="n">
        <v>53</v>
      </c>
      <c r="M757" s="30" t="str">
        <f aca="false">IF(K757&lt;判定条件!$C$6,"判定不能",IF(L757&gt;=判定条件!$C$7*K757,"運転",IF(L757&lt;=判定条件!$C$8*K757,"停止","断続")))</f>
        <v>運転</v>
      </c>
      <c r="N757" s="30" t="n">
        <v>60</v>
      </c>
      <c r="O757" s="30" t="n">
        <v>0</v>
      </c>
      <c r="P757" s="30" t="str">
        <f aca="false">IF(N757&lt;判定条件!$C$6,"判定不能",IF(O757&gt;=判定条件!$C$7*N757,"運転",IF(O757&lt;=判定条件!$C$8*N757,"停止","断続")))</f>
        <v>停止</v>
      </c>
      <c r="Q757" s="30" t="n">
        <v>60</v>
      </c>
      <c r="R757" s="30" t="n">
        <v>30</v>
      </c>
      <c r="S757" s="30" t="str">
        <f aca="false">IF(Q757&lt;判定条件!$C$6,"判定不能",IF(R757&gt;=判定条件!$C$7*Q757,"運転",IF(R757&lt;=判定条件!$C$8*Q757,"停止","断続")))</f>
        <v>断続</v>
      </c>
      <c r="T757" s="30" t="n">
        <v>60</v>
      </c>
      <c r="U757" s="30" t="n">
        <v>53</v>
      </c>
      <c r="V757" s="30" t="str">
        <f aca="false">IF(T757&lt;判定条件!$C$6,"判定不能",IF(U757&gt;=判定条件!$C$7*T757,"運転",IF(U757&lt;=判定条件!$C$8*T757,"停止","断続")))</f>
        <v>運転</v>
      </c>
      <c r="W757" s="30" t="n">
        <v>60</v>
      </c>
      <c r="X757" s="30" t="n">
        <v>49</v>
      </c>
      <c r="Y757" s="30" t="str">
        <f aca="false">IF(W757&lt;判定条件!$C$6,"判定不能",IF(X757&gt;=判定条件!$C$7*W757,"運転",IF(X757&lt;=判定条件!$C$8*W757,"停止","断続")))</f>
        <v>運転</v>
      </c>
      <c r="Z757" s="30" t="n">
        <v>60</v>
      </c>
      <c r="AA757" s="30" t="n">
        <v>32</v>
      </c>
      <c r="AB757" s="30" t="str">
        <f aca="false">IF(Z757&lt;判定条件!$C$6,"判定不能",IF(AA757&gt;=判定条件!$C$7*Z757,"運転",IF(AA757&lt;=判定条件!$C$8*Z757,"停止","断続")))</f>
        <v>断続</v>
      </c>
      <c r="AC757" s="30" t="n">
        <v>60</v>
      </c>
      <c r="AD757" s="30" t="n">
        <v>60</v>
      </c>
      <c r="AE757" s="30" t="str">
        <f aca="false">IF(AC757&lt;判定条件!$C$6,"判定不能",IF(AD757&gt;=判定条件!$C$7*AC757,"運転",IF(AD757&lt;=判定条件!$C$8*AC757,"停止","断続")))</f>
        <v>運転</v>
      </c>
      <c r="AF757" s="30" t="n">
        <v>60</v>
      </c>
      <c r="AG757" s="30" t="n">
        <v>0</v>
      </c>
      <c r="AH757" s="30" t="str">
        <f aca="false">IF(OR(P757="判定不能",G757="判定不能"),"判定不能",IF(AG757&gt;=判定条件!$C$9,"利用可",IF(AND(P757="停止",G757="停止"),"両方停止","運転がそろわない")))</f>
        <v>運転がそろわない</v>
      </c>
      <c r="AI757" s="30" t="n">
        <v>60</v>
      </c>
      <c r="AJ757" s="30" t="n">
        <v>30</v>
      </c>
      <c r="AK757" s="30" t="str">
        <f aca="false">IF(OR(S757="判定不能",J757="判定不能"),"判定不能",IF(AJ757&gt;=判定条件!$C$9,"利用可",IF(AND(S757="停止",J757="停止"),"両方停止","運転がそろわない")))</f>
        <v>利用可</v>
      </c>
      <c r="AL757" s="30" t="n">
        <v>60</v>
      </c>
      <c r="AM757" s="30" t="n">
        <v>46</v>
      </c>
      <c r="AN757" s="30" t="str">
        <f aca="false">IF(OR(V757="判定不能",M757="判定不能"),"判定不能",IF(AM757&gt;=判定条件!$C$9,"利用可",IF(AND(V757="停止",M757="停止"),"両方停止","運転がそろわない")))</f>
        <v>利用可</v>
      </c>
      <c r="AO757" s="30" t="n">
        <v>60</v>
      </c>
      <c r="AP757" s="30" t="n">
        <v>49</v>
      </c>
      <c r="AQ757" s="30" t="str">
        <f aca="false">IF(OR(Y757="判定不能",G757="判定不能"),"判定不能",IF(AP757&gt;=判定条件!$C$9,"利用可",IF(AND(Y757="停止",G757="停止"),"両方停止","運転がそろわない")))</f>
        <v>利用可</v>
      </c>
      <c r="AR757" s="30" t="n">
        <v>60</v>
      </c>
      <c r="AS757" s="30" t="n">
        <v>32</v>
      </c>
      <c r="AT757" s="30" t="str">
        <f aca="false">IF(OR(AB757="判定不能",J757="判定不能"),"判定不能",IF(AS757&gt;=判定条件!$C$9,"利用可",IF(AND(AB757="停止",J757="停止"),"両方停止","運転がそろわない")))</f>
        <v>利用可</v>
      </c>
      <c r="AU757" s="30" t="n">
        <v>60</v>
      </c>
      <c r="AV757" s="30" t="n">
        <v>53</v>
      </c>
      <c r="AW757" s="30" t="str">
        <f aca="false">IF(OR(AE757="判定不能",M757="判定不能"),"判定不能",IF(AV757&gt;=判定条件!$C$9,"利用可",IF(AND(AE757="停止",M757="停止"),"両方停止","運転がそろわない")))</f>
        <v>利用可</v>
      </c>
      <c r="AX757" s="30" t="str">
        <f aca="false">IF(AND(AH757="利用可",AK757="利用可",AN757="利用可"),"利用可","不可")</f>
        <v>不可</v>
      </c>
      <c r="AY757" s="30" t="str">
        <f aca="false">IF(AND(AQ757="利用可",AT757="利用可",AW757="利用可"),"利用可","不可")</f>
        <v>利用可</v>
      </c>
    </row>
    <row r="758" customFormat="false" ht="15" hidden="false" customHeight="false" outlineLevel="0" collapsed="false">
      <c r="A758" s="29" t="n">
        <v>46263</v>
      </c>
      <c r="B758" s="30" t="n">
        <v>11</v>
      </c>
      <c r="C758" s="31" t="s">
        <v>63</v>
      </c>
      <c r="D758" s="31" t="s">
        <v>64</v>
      </c>
      <c r="E758" s="30" t="n">
        <v>60</v>
      </c>
      <c r="F758" s="30" t="n">
        <v>55</v>
      </c>
      <c r="G758" s="30" t="str">
        <f aca="false">IF(E758&lt;判定条件!$C$6,"判定不能",IF(F758&gt;=判定条件!$C$7*E758,"運転",IF(F758&lt;=判定条件!$C$8*E758,"停止","断続")))</f>
        <v>運転</v>
      </c>
      <c r="H758" s="30" t="n">
        <v>60</v>
      </c>
      <c r="I758" s="30" t="n">
        <v>52</v>
      </c>
      <c r="J758" s="30" t="str">
        <f aca="false">IF(H758&lt;判定条件!$C$6,"判定不能",IF(I758&gt;=判定条件!$C$7*H758,"運転",IF(I758&lt;=判定条件!$C$8*H758,"停止","断続")))</f>
        <v>運転</v>
      </c>
      <c r="K758" s="30" t="n">
        <v>60</v>
      </c>
      <c r="L758" s="30" t="n">
        <v>60</v>
      </c>
      <c r="M758" s="30" t="str">
        <f aca="false">IF(K758&lt;判定条件!$C$6,"判定不能",IF(L758&gt;=判定条件!$C$7*K758,"運転",IF(L758&lt;=判定条件!$C$8*K758,"停止","断続")))</f>
        <v>運転</v>
      </c>
      <c r="N758" s="30" t="n">
        <v>60</v>
      </c>
      <c r="O758" s="30" t="n">
        <v>0</v>
      </c>
      <c r="P758" s="30" t="str">
        <f aca="false">IF(N758&lt;判定条件!$C$6,"判定不能",IF(O758&gt;=判定条件!$C$7*N758,"運転",IF(O758&lt;=判定条件!$C$8*N758,"停止","断続")))</f>
        <v>停止</v>
      </c>
      <c r="Q758" s="30" t="n">
        <v>60</v>
      </c>
      <c r="R758" s="30" t="n">
        <v>23</v>
      </c>
      <c r="S758" s="30" t="str">
        <f aca="false">IF(Q758&lt;判定条件!$C$6,"判定不能",IF(R758&gt;=判定条件!$C$7*Q758,"運転",IF(R758&lt;=判定条件!$C$8*Q758,"停止","断続")))</f>
        <v>断続</v>
      </c>
      <c r="T758" s="30" t="n">
        <v>60</v>
      </c>
      <c r="U758" s="30" t="n">
        <v>49</v>
      </c>
      <c r="V758" s="30" t="str">
        <f aca="false">IF(T758&lt;判定条件!$C$6,"判定不能",IF(U758&gt;=判定条件!$C$7*T758,"運転",IF(U758&lt;=判定条件!$C$8*T758,"停止","断続")))</f>
        <v>運転</v>
      </c>
      <c r="W758" s="30" t="n">
        <v>60</v>
      </c>
      <c r="X758" s="30" t="n">
        <v>19</v>
      </c>
      <c r="Y758" s="30" t="str">
        <f aca="false">IF(W758&lt;判定条件!$C$6,"判定不能",IF(X758&gt;=判定条件!$C$7*W758,"運転",IF(X758&lt;=判定条件!$C$8*W758,"停止","断続")))</f>
        <v>断続</v>
      </c>
      <c r="Z758" s="30" t="n">
        <v>60</v>
      </c>
      <c r="AA758" s="30" t="n">
        <v>10</v>
      </c>
      <c r="AB758" s="30" t="str">
        <f aca="false">IF(Z758&lt;判定条件!$C$6,"判定不能",IF(AA758&gt;=判定条件!$C$7*Z758,"運転",IF(AA758&lt;=判定条件!$C$8*Z758,"停止","断続")))</f>
        <v>停止</v>
      </c>
      <c r="AC758" s="30" t="n">
        <v>60</v>
      </c>
      <c r="AD758" s="30" t="n">
        <v>60</v>
      </c>
      <c r="AE758" s="30" t="str">
        <f aca="false">IF(AC758&lt;判定条件!$C$6,"判定不能",IF(AD758&gt;=判定条件!$C$7*AC758,"運転",IF(AD758&lt;=判定条件!$C$8*AC758,"停止","断続")))</f>
        <v>運転</v>
      </c>
      <c r="AF758" s="30" t="n">
        <v>60</v>
      </c>
      <c r="AG758" s="30" t="n">
        <v>0</v>
      </c>
      <c r="AH758" s="30" t="str">
        <f aca="false">IF(OR(P758="判定不能",G758="判定不能"),"判定不能",IF(AG758&gt;=判定条件!$C$9,"利用可",IF(AND(P758="停止",G758="停止"),"両方停止","運転がそろわない")))</f>
        <v>運転がそろわない</v>
      </c>
      <c r="AI758" s="30" t="n">
        <v>60</v>
      </c>
      <c r="AJ758" s="30" t="n">
        <v>23</v>
      </c>
      <c r="AK758" s="30" t="str">
        <f aca="false">IF(OR(S758="判定不能",J758="判定不能"),"判定不能",IF(AJ758&gt;=判定条件!$C$9,"利用可",IF(AND(S758="停止",J758="停止"),"両方停止","運転がそろわない")))</f>
        <v>運転がそろわない</v>
      </c>
      <c r="AL758" s="30" t="n">
        <v>60</v>
      </c>
      <c r="AM758" s="30" t="n">
        <v>49</v>
      </c>
      <c r="AN758" s="30" t="str">
        <f aca="false">IF(OR(V758="判定不能",M758="判定不能"),"判定不能",IF(AM758&gt;=判定条件!$C$9,"利用可",IF(AND(V758="停止",M758="停止"),"両方停止","運転がそろわない")))</f>
        <v>利用可</v>
      </c>
      <c r="AO758" s="30" t="n">
        <v>60</v>
      </c>
      <c r="AP758" s="30" t="n">
        <v>19</v>
      </c>
      <c r="AQ758" s="30" t="str">
        <f aca="false">IF(OR(Y758="判定不能",G758="判定不能"),"判定不能",IF(AP758&gt;=判定条件!$C$9,"利用可",IF(AND(Y758="停止",G758="停止"),"両方停止","運転がそろわない")))</f>
        <v>運転がそろわない</v>
      </c>
      <c r="AR758" s="30" t="n">
        <v>60</v>
      </c>
      <c r="AS758" s="30" t="n">
        <v>10</v>
      </c>
      <c r="AT758" s="30" t="str">
        <f aca="false">IF(OR(AB758="判定不能",J758="判定不能"),"判定不能",IF(AS758&gt;=判定条件!$C$9,"利用可",IF(AND(AB758="停止",J758="停止"),"両方停止","運転がそろわない")))</f>
        <v>運転がそろわない</v>
      </c>
      <c r="AU758" s="30" t="n">
        <v>60</v>
      </c>
      <c r="AV758" s="30" t="n">
        <v>60</v>
      </c>
      <c r="AW758" s="30" t="str">
        <f aca="false">IF(OR(AE758="判定不能",M758="判定不能"),"判定不能",IF(AV758&gt;=判定条件!$C$9,"利用可",IF(AND(AE758="停止",M758="停止"),"両方停止","運転がそろわない")))</f>
        <v>利用可</v>
      </c>
      <c r="AX758" s="30" t="str">
        <f aca="false">IF(AND(AH758="利用可",AK758="利用可",AN758="利用可"),"利用可","不可")</f>
        <v>不可</v>
      </c>
      <c r="AY758" s="30" t="str">
        <f aca="false">IF(AND(AQ758="利用可",AT758="利用可",AW758="利用可"),"利用可","不可")</f>
        <v>不可</v>
      </c>
    </row>
    <row r="759" customFormat="false" ht="15" hidden="false" customHeight="false" outlineLevel="0" collapsed="false">
      <c r="A759" s="29" t="n">
        <v>46263</v>
      </c>
      <c r="B759" s="30" t="n">
        <v>12</v>
      </c>
      <c r="C759" s="31" t="s">
        <v>63</v>
      </c>
      <c r="D759" s="31" t="s">
        <v>64</v>
      </c>
      <c r="E759" s="30" t="n">
        <v>60</v>
      </c>
      <c r="F759" s="30" t="n">
        <v>55</v>
      </c>
      <c r="G759" s="30" t="str">
        <f aca="false">IF(E759&lt;判定条件!$C$6,"判定不能",IF(F759&gt;=判定条件!$C$7*E759,"運転",IF(F759&lt;=判定条件!$C$8*E759,"停止","断続")))</f>
        <v>運転</v>
      </c>
      <c r="H759" s="30" t="n">
        <v>60</v>
      </c>
      <c r="I759" s="30" t="n">
        <v>55</v>
      </c>
      <c r="J759" s="30" t="str">
        <f aca="false">IF(H759&lt;判定条件!$C$6,"判定不能",IF(I759&gt;=判定条件!$C$7*H759,"運転",IF(I759&lt;=判定条件!$C$8*H759,"停止","断続")))</f>
        <v>運転</v>
      </c>
      <c r="K759" s="30" t="n">
        <v>60</v>
      </c>
      <c r="L759" s="30" t="n">
        <v>60</v>
      </c>
      <c r="M759" s="30" t="str">
        <f aca="false">IF(K759&lt;判定条件!$C$6,"判定不能",IF(L759&gt;=判定条件!$C$7*K759,"運転",IF(L759&lt;=判定条件!$C$8*K759,"停止","断続")))</f>
        <v>運転</v>
      </c>
      <c r="N759" s="30" t="n">
        <v>60</v>
      </c>
      <c r="O759" s="30" t="n">
        <v>0</v>
      </c>
      <c r="P759" s="30" t="str">
        <f aca="false">IF(N759&lt;判定条件!$C$6,"判定不能",IF(O759&gt;=判定条件!$C$7*N759,"運転",IF(O759&lt;=判定条件!$C$8*N759,"停止","断続")))</f>
        <v>停止</v>
      </c>
      <c r="Q759" s="30" t="n">
        <v>60</v>
      </c>
      <c r="R759" s="30" t="n">
        <v>38</v>
      </c>
      <c r="S759" s="30" t="str">
        <f aca="false">IF(Q759&lt;判定条件!$C$6,"判定不能",IF(R759&gt;=判定条件!$C$7*Q759,"運転",IF(R759&lt;=判定条件!$C$8*Q759,"停止","断続")))</f>
        <v>断続</v>
      </c>
      <c r="T759" s="30" t="n">
        <v>60</v>
      </c>
      <c r="U759" s="30" t="n">
        <v>35</v>
      </c>
      <c r="V759" s="30" t="str">
        <f aca="false">IF(T759&lt;判定条件!$C$6,"判定不能",IF(U759&gt;=判定条件!$C$7*T759,"運転",IF(U759&lt;=判定条件!$C$8*T759,"停止","断続")))</f>
        <v>断続</v>
      </c>
      <c r="W759" s="30" t="n">
        <v>60</v>
      </c>
      <c r="X759" s="30" t="n">
        <v>39</v>
      </c>
      <c r="Y759" s="30" t="str">
        <f aca="false">IF(W759&lt;判定条件!$C$6,"判定不能",IF(X759&gt;=判定条件!$C$7*W759,"運転",IF(X759&lt;=判定条件!$C$8*W759,"停止","断続")))</f>
        <v>断続</v>
      </c>
      <c r="Z759" s="30" t="n">
        <v>60</v>
      </c>
      <c r="AA759" s="30" t="n">
        <v>45</v>
      </c>
      <c r="AB759" s="30" t="str">
        <f aca="false">IF(Z759&lt;判定条件!$C$6,"判定不能",IF(AA759&gt;=判定条件!$C$7*Z759,"運転",IF(AA759&lt;=判定条件!$C$8*Z759,"停止","断続")))</f>
        <v>断続</v>
      </c>
      <c r="AC759" s="30" t="n">
        <v>60</v>
      </c>
      <c r="AD759" s="30" t="n">
        <v>50</v>
      </c>
      <c r="AE759" s="30" t="str">
        <f aca="false">IF(AC759&lt;判定条件!$C$6,"判定不能",IF(AD759&gt;=判定条件!$C$7*AC759,"運転",IF(AD759&lt;=判定条件!$C$8*AC759,"停止","断続")))</f>
        <v>運転</v>
      </c>
      <c r="AF759" s="30" t="n">
        <v>60</v>
      </c>
      <c r="AG759" s="30" t="n">
        <v>0</v>
      </c>
      <c r="AH759" s="30" t="str">
        <f aca="false">IF(OR(P759="判定不能",G759="判定不能"),"判定不能",IF(AG759&gt;=判定条件!$C$9,"利用可",IF(AND(P759="停止",G759="停止"),"両方停止","運転がそろわない")))</f>
        <v>運転がそろわない</v>
      </c>
      <c r="AI759" s="30" t="n">
        <v>60</v>
      </c>
      <c r="AJ759" s="30" t="n">
        <v>33</v>
      </c>
      <c r="AK759" s="30" t="str">
        <f aca="false">IF(OR(S759="判定不能",J759="判定不能"),"判定不能",IF(AJ759&gt;=判定条件!$C$9,"利用可",IF(AND(S759="停止",J759="停止"),"両方停止","運転がそろわない")))</f>
        <v>利用可</v>
      </c>
      <c r="AL759" s="30" t="n">
        <v>60</v>
      </c>
      <c r="AM759" s="30" t="n">
        <v>35</v>
      </c>
      <c r="AN759" s="30" t="str">
        <f aca="false">IF(OR(V759="判定不能",M759="判定不能"),"判定不能",IF(AM759&gt;=判定条件!$C$9,"利用可",IF(AND(V759="停止",M759="停止"),"両方停止","運転がそろわない")))</f>
        <v>利用可</v>
      </c>
      <c r="AO759" s="30" t="n">
        <v>60</v>
      </c>
      <c r="AP759" s="30" t="n">
        <v>34</v>
      </c>
      <c r="AQ759" s="30" t="str">
        <f aca="false">IF(OR(Y759="判定不能",G759="判定不能"),"判定不能",IF(AP759&gt;=判定条件!$C$9,"利用可",IF(AND(Y759="停止",G759="停止"),"両方停止","運転がそろわない")))</f>
        <v>利用可</v>
      </c>
      <c r="AR759" s="30" t="n">
        <v>60</v>
      </c>
      <c r="AS759" s="30" t="n">
        <v>40</v>
      </c>
      <c r="AT759" s="30" t="str">
        <f aca="false">IF(OR(AB759="判定不能",J759="判定不能"),"判定不能",IF(AS759&gt;=判定条件!$C$9,"利用可",IF(AND(AB759="停止",J759="停止"),"両方停止","運転がそろわない")))</f>
        <v>利用可</v>
      </c>
      <c r="AU759" s="30" t="n">
        <v>60</v>
      </c>
      <c r="AV759" s="30" t="n">
        <v>50</v>
      </c>
      <c r="AW759" s="30" t="str">
        <f aca="false">IF(OR(AE759="判定不能",M759="判定不能"),"判定不能",IF(AV759&gt;=判定条件!$C$9,"利用可",IF(AND(AE759="停止",M759="停止"),"両方停止","運転がそろわない")))</f>
        <v>利用可</v>
      </c>
      <c r="AX759" s="30" t="str">
        <f aca="false">IF(AND(AH759="利用可",AK759="利用可",AN759="利用可"),"利用可","不可")</f>
        <v>不可</v>
      </c>
      <c r="AY759" s="30" t="str">
        <f aca="false">IF(AND(AQ759="利用可",AT759="利用可",AW759="利用可"),"利用可","不可")</f>
        <v>利用可</v>
      </c>
    </row>
    <row r="760" customFormat="false" ht="15" hidden="false" customHeight="false" outlineLevel="0" collapsed="false">
      <c r="A760" s="29" t="n">
        <v>46263</v>
      </c>
      <c r="B760" s="30" t="n">
        <v>13</v>
      </c>
      <c r="C760" s="31" t="s">
        <v>63</v>
      </c>
      <c r="D760" s="31" t="s">
        <v>64</v>
      </c>
      <c r="E760" s="30" t="n">
        <v>60</v>
      </c>
      <c r="F760" s="30" t="n">
        <v>60</v>
      </c>
      <c r="G760" s="30" t="str">
        <f aca="false">IF(E760&lt;判定条件!$C$6,"判定不能",IF(F760&gt;=判定条件!$C$7*E760,"運転",IF(F760&lt;=判定条件!$C$8*E760,"停止","断続")))</f>
        <v>運転</v>
      </c>
      <c r="H760" s="30" t="n">
        <v>60</v>
      </c>
      <c r="I760" s="30" t="n">
        <v>60</v>
      </c>
      <c r="J760" s="30" t="str">
        <f aca="false">IF(H760&lt;判定条件!$C$6,"判定不能",IF(I760&gt;=判定条件!$C$7*H760,"運転",IF(I760&lt;=判定条件!$C$8*H760,"停止","断続")))</f>
        <v>運転</v>
      </c>
      <c r="K760" s="30" t="n">
        <v>60</v>
      </c>
      <c r="L760" s="30" t="n">
        <v>56</v>
      </c>
      <c r="M760" s="30" t="str">
        <f aca="false">IF(K760&lt;判定条件!$C$6,"判定不能",IF(L760&gt;=判定条件!$C$7*K760,"運転",IF(L760&lt;=判定条件!$C$8*K760,"停止","断続")))</f>
        <v>運転</v>
      </c>
      <c r="N760" s="30" t="n">
        <v>60</v>
      </c>
      <c r="O760" s="30" t="n">
        <v>0</v>
      </c>
      <c r="P760" s="30" t="str">
        <f aca="false">IF(N760&lt;判定条件!$C$6,"判定不能",IF(O760&gt;=判定条件!$C$7*N760,"運転",IF(O760&lt;=判定条件!$C$8*N760,"停止","断続")))</f>
        <v>停止</v>
      </c>
      <c r="Q760" s="30" t="n">
        <v>60</v>
      </c>
      <c r="R760" s="30" t="n">
        <v>42</v>
      </c>
      <c r="S760" s="30" t="str">
        <f aca="false">IF(Q760&lt;判定条件!$C$6,"判定不能",IF(R760&gt;=判定条件!$C$7*Q760,"運転",IF(R760&lt;=判定条件!$C$8*Q760,"停止","断続")))</f>
        <v>断続</v>
      </c>
      <c r="T760" s="30" t="n">
        <v>60</v>
      </c>
      <c r="U760" s="30" t="n">
        <v>25</v>
      </c>
      <c r="V760" s="30" t="str">
        <f aca="false">IF(T760&lt;判定条件!$C$6,"判定不能",IF(U760&gt;=判定条件!$C$7*T760,"運転",IF(U760&lt;=判定条件!$C$8*T760,"停止","断続")))</f>
        <v>断続</v>
      </c>
      <c r="W760" s="30" t="n">
        <v>60</v>
      </c>
      <c r="X760" s="30" t="n">
        <v>44</v>
      </c>
      <c r="Y760" s="30" t="str">
        <f aca="false">IF(W760&lt;判定条件!$C$6,"判定不能",IF(X760&gt;=判定条件!$C$7*W760,"運転",IF(X760&lt;=判定条件!$C$8*W760,"停止","断続")))</f>
        <v>断続</v>
      </c>
      <c r="Z760" s="30" t="n">
        <v>60</v>
      </c>
      <c r="AA760" s="30" t="n">
        <v>29</v>
      </c>
      <c r="AB760" s="30" t="str">
        <f aca="false">IF(Z760&lt;判定条件!$C$6,"判定不能",IF(AA760&gt;=判定条件!$C$7*Z760,"運転",IF(AA760&lt;=判定条件!$C$8*Z760,"停止","断続")))</f>
        <v>断続</v>
      </c>
      <c r="AC760" s="30" t="n">
        <v>60</v>
      </c>
      <c r="AD760" s="30" t="n">
        <v>60</v>
      </c>
      <c r="AE760" s="30" t="str">
        <f aca="false">IF(AC760&lt;判定条件!$C$6,"判定不能",IF(AD760&gt;=判定条件!$C$7*AC760,"運転",IF(AD760&lt;=判定条件!$C$8*AC760,"停止","断続")))</f>
        <v>運転</v>
      </c>
      <c r="AF760" s="30" t="n">
        <v>60</v>
      </c>
      <c r="AG760" s="30" t="n">
        <v>0</v>
      </c>
      <c r="AH760" s="30" t="str">
        <f aca="false">IF(OR(P760="判定不能",G760="判定不能"),"判定不能",IF(AG760&gt;=判定条件!$C$9,"利用可",IF(AND(P760="停止",G760="停止"),"両方停止","運転がそろわない")))</f>
        <v>運転がそろわない</v>
      </c>
      <c r="AI760" s="30" t="n">
        <v>60</v>
      </c>
      <c r="AJ760" s="30" t="n">
        <v>42</v>
      </c>
      <c r="AK760" s="30" t="str">
        <f aca="false">IF(OR(S760="判定不能",J760="判定不能"),"判定不能",IF(AJ760&gt;=判定条件!$C$9,"利用可",IF(AND(S760="停止",J760="停止"),"両方停止","運転がそろわない")))</f>
        <v>利用可</v>
      </c>
      <c r="AL760" s="30" t="n">
        <v>60</v>
      </c>
      <c r="AM760" s="30" t="n">
        <v>22</v>
      </c>
      <c r="AN760" s="30" t="str">
        <f aca="false">IF(OR(V760="判定不能",M760="判定不能"),"判定不能",IF(AM760&gt;=判定条件!$C$9,"利用可",IF(AND(V760="停止",M760="停止"),"両方停止","運転がそろわない")))</f>
        <v>運転がそろわない</v>
      </c>
      <c r="AO760" s="30" t="n">
        <v>60</v>
      </c>
      <c r="AP760" s="30" t="n">
        <v>44</v>
      </c>
      <c r="AQ760" s="30" t="str">
        <f aca="false">IF(OR(Y760="判定不能",G760="判定不能"),"判定不能",IF(AP760&gt;=判定条件!$C$9,"利用可",IF(AND(Y760="停止",G760="停止"),"両方停止","運転がそろわない")))</f>
        <v>利用可</v>
      </c>
      <c r="AR760" s="30" t="n">
        <v>60</v>
      </c>
      <c r="AS760" s="30" t="n">
        <v>29</v>
      </c>
      <c r="AT760" s="30" t="str">
        <f aca="false">IF(OR(AB760="判定不能",J760="判定不能"),"判定不能",IF(AS760&gt;=判定条件!$C$9,"利用可",IF(AND(AB760="停止",J760="停止"),"両方停止","運転がそろわない")))</f>
        <v>運転がそろわない</v>
      </c>
      <c r="AU760" s="30" t="n">
        <v>60</v>
      </c>
      <c r="AV760" s="30" t="n">
        <v>56</v>
      </c>
      <c r="AW760" s="30" t="str">
        <f aca="false">IF(OR(AE760="判定不能",M760="判定不能"),"判定不能",IF(AV760&gt;=判定条件!$C$9,"利用可",IF(AND(AE760="停止",M760="停止"),"両方停止","運転がそろわない")))</f>
        <v>利用可</v>
      </c>
      <c r="AX760" s="30" t="str">
        <f aca="false">IF(AND(AH760="利用可",AK760="利用可",AN760="利用可"),"利用可","不可")</f>
        <v>不可</v>
      </c>
      <c r="AY760" s="30" t="str">
        <f aca="false">IF(AND(AQ760="利用可",AT760="利用可",AW760="利用可"),"利用可","不可")</f>
        <v>不可</v>
      </c>
    </row>
    <row r="761" customFormat="false" ht="15" hidden="false" customHeight="false" outlineLevel="0" collapsed="false">
      <c r="A761" s="29" t="n">
        <v>46263</v>
      </c>
      <c r="B761" s="30" t="n">
        <v>14</v>
      </c>
      <c r="C761" s="31" t="s">
        <v>63</v>
      </c>
      <c r="D761" s="31" t="s">
        <v>64</v>
      </c>
      <c r="E761" s="30" t="n">
        <v>60</v>
      </c>
      <c r="F761" s="30" t="n">
        <v>60</v>
      </c>
      <c r="G761" s="30" t="str">
        <f aca="false">IF(E761&lt;判定条件!$C$6,"判定不能",IF(F761&gt;=判定条件!$C$7*E761,"運転",IF(F761&lt;=判定条件!$C$8*E761,"停止","断続")))</f>
        <v>運転</v>
      </c>
      <c r="H761" s="30" t="n">
        <v>60</v>
      </c>
      <c r="I761" s="30" t="n">
        <v>60</v>
      </c>
      <c r="J761" s="30" t="str">
        <f aca="false">IF(H761&lt;判定条件!$C$6,"判定不能",IF(I761&gt;=判定条件!$C$7*H761,"運転",IF(I761&lt;=判定条件!$C$8*H761,"停止","断続")))</f>
        <v>運転</v>
      </c>
      <c r="K761" s="30" t="n">
        <v>60</v>
      </c>
      <c r="L761" s="30" t="n">
        <v>60</v>
      </c>
      <c r="M761" s="30" t="str">
        <f aca="false">IF(K761&lt;判定条件!$C$6,"判定不能",IF(L761&gt;=判定条件!$C$7*K761,"運転",IF(L761&lt;=判定条件!$C$8*K761,"停止","断続")))</f>
        <v>運転</v>
      </c>
      <c r="N761" s="30" t="n">
        <v>60</v>
      </c>
      <c r="O761" s="30" t="n">
        <v>0</v>
      </c>
      <c r="P761" s="30" t="str">
        <f aca="false">IF(N761&lt;判定条件!$C$6,"判定不能",IF(O761&gt;=判定条件!$C$7*N761,"運転",IF(O761&lt;=判定条件!$C$8*N761,"停止","断続")))</f>
        <v>停止</v>
      </c>
      <c r="Q761" s="30" t="n">
        <v>60</v>
      </c>
      <c r="R761" s="30" t="n">
        <v>29</v>
      </c>
      <c r="S761" s="30" t="str">
        <f aca="false">IF(Q761&lt;判定条件!$C$6,"判定不能",IF(R761&gt;=判定条件!$C$7*Q761,"運転",IF(R761&lt;=判定条件!$C$8*Q761,"停止","断続")))</f>
        <v>断続</v>
      </c>
      <c r="T761" s="30" t="n">
        <v>60</v>
      </c>
      <c r="U761" s="30" t="n">
        <v>19</v>
      </c>
      <c r="V761" s="30" t="str">
        <f aca="false">IF(T761&lt;判定条件!$C$6,"判定不能",IF(U761&gt;=判定条件!$C$7*T761,"運転",IF(U761&lt;=判定条件!$C$8*T761,"停止","断続")))</f>
        <v>断続</v>
      </c>
      <c r="W761" s="30" t="n">
        <v>60</v>
      </c>
      <c r="X761" s="30" t="n">
        <v>34</v>
      </c>
      <c r="Y761" s="30" t="str">
        <f aca="false">IF(W761&lt;判定条件!$C$6,"判定不能",IF(X761&gt;=判定条件!$C$7*W761,"運転",IF(X761&lt;=判定条件!$C$8*W761,"停止","断続")))</f>
        <v>断続</v>
      </c>
      <c r="Z761" s="30" t="n">
        <v>60</v>
      </c>
      <c r="AA761" s="30" t="n">
        <v>13</v>
      </c>
      <c r="AB761" s="30" t="str">
        <f aca="false">IF(Z761&lt;判定条件!$C$6,"判定不能",IF(AA761&gt;=判定条件!$C$7*Z761,"運転",IF(AA761&lt;=判定条件!$C$8*Z761,"停止","断続")))</f>
        <v>断続</v>
      </c>
      <c r="AC761" s="30" t="n">
        <v>60</v>
      </c>
      <c r="AD761" s="30" t="n">
        <v>60</v>
      </c>
      <c r="AE761" s="30" t="str">
        <f aca="false">IF(AC761&lt;判定条件!$C$6,"判定不能",IF(AD761&gt;=判定条件!$C$7*AC761,"運転",IF(AD761&lt;=判定条件!$C$8*AC761,"停止","断続")))</f>
        <v>運転</v>
      </c>
      <c r="AF761" s="30" t="n">
        <v>60</v>
      </c>
      <c r="AG761" s="30" t="n">
        <v>0</v>
      </c>
      <c r="AH761" s="30" t="str">
        <f aca="false">IF(OR(P761="判定不能",G761="判定不能"),"判定不能",IF(AG761&gt;=判定条件!$C$9,"利用可",IF(AND(P761="停止",G761="停止"),"両方停止","運転がそろわない")))</f>
        <v>運転がそろわない</v>
      </c>
      <c r="AI761" s="30" t="n">
        <v>60</v>
      </c>
      <c r="AJ761" s="30" t="n">
        <v>29</v>
      </c>
      <c r="AK761" s="30" t="str">
        <f aca="false">IF(OR(S761="判定不能",J761="判定不能"),"判定不能",IF(AJ761&gt;=判定条件!$C$9,"利用可",IF(AND(S761="停止",J761="停止"),"両方停止","運転がそろわない")))</f>
        <v>運転がそろわない</v>
      </c>
      <c r="AL761" s="30" t="n">
        <v>60</v>
      </c>
      <c r="AM761" s="30" t="n">
        <v>19</v>
      </c>
      <c r="AN761" s="30" t="str">
        <f aca="false">IF(OR(V761="判定不能",M761="判定不能"),"判定不能",IF(AM761&gt;=判定条件!$C$9,"利用可",IF(AND(V761="停止",M761="停止"),"両方停止","運転がそろわない")))</f>
        <v>運転がそろわない</v>
      </c>
      <c r="AO761" s="30" t="n">
        <v>60</v>
      </c>
      <c r="AP761" s="30" t="n">
        <v>34</v>
      </c>
      <c r="AQ761" s="30" t="str">
        <f aca="false">IF(OR(Y761="判定不能",G761="判定不能"),"判定不能",IF(AP761&gt;=判定条件!$C$9,"利用可",IF(AND(Y761="停止",G761="停止"),"両方停止","運転がそろわない")))</f>
        <v>利用可</v>
      </c>
      <c r="AR761" s="30" t="n">
        <v>60</v>
      </c>
      <c r="AS761" s="30" t="n">
        <v>13</v>
      </c>
      <c r="AT761" s="30" t="str">
        <f aca="false">IF(OR(AB761="判定不能",J761="判定不能"),"判定不能",IF(AS761&gt;=判定条件!$C$9,"利用可",IF(AND(AB761="停止",J761="停止"),"両方停止","運転がそろわない")))</f>
        <v>運転がそろわない</v>
      </c>
      <c r="AU761" s="30" t="n">
        <v>60</v>
      </c>
      <c r="AV761" s="30" t="n">
        <v>60</v>
      </c>
      <c r="AW761" s="30" t="str">
        <f aca="false">IF(OR(AE761="判定不能",M761="判定不能"),"判定不能",IF(AV761&gt;=判定条件!$C$9,"利用可",IF(AND(AE761="停止",M761="停止"),"両方停止","運転がそろわない")))</f>
        <v>利用可</v>
      </c>
      <c r="AX761" s="30" t="str">
        <f aca="false">IF(AND(AH761="利用可",AK761="利用可",AN761="利用可"),"利用可","不可")</f>
        <v>不可</v>
      </c>
      <c r="AY761" s="30" t="str">
        <f aca="false">IF(AND(AQ761="利用可",AT761="利用可",AW761="利用可"),"利用可","不可")</f>
        <v>不可</v>
      </c>
    </row>
    <row r="762" customFormat="false" ht="15" hidden="false" customHeight="false" outlineLevel="0" collapsed="false">
      <c r="A762" s="29" t="n">
        <v>46263</v>
      </c>
      <c r="B762" s="30" t="n">
        <v>15</v>
      </c>
      <c r="C762" s="31" t="s">
        <v>63</v>
      </c>
      <c r="D762" s="31" t="s">
        <v>64</v>
      </c>
      <c r="E762" s="30" t="n">
        <v>60</v>
      </c>
      <c r="F762" s="30" t="n">
        <v>53</v>
      </c>
      <c r="G762" s="30" t="str">
        <f aca="false">IF(E762&lt;判定条件!$C$6,"判定不能",IF(F762&gt;=判定条件!$C$7*E762,"運転",IF(F762&lt;=判定条件!$C$8*E762,"停止","断続")))</f>
        <v>運転</v>
      </c>
      <c r="H762" s="30" t="n">
        <v>60</v>
      </c>
      <c r="I762" s="30" t="n">
        <v>49</v>
      </c>
      <c r="J762" s="30" t="str">
        <f aca="false">IF(H762&lt;判定条件!$C$6,"判定不能",IF(I762&gt;=判定条件!$C$7*H762,"運転",IF(I762&lt;=判定条件!$C$8*H762,"停止","断続")))</f>
        <v>運転</v>
      </c>
      <c r="K762" s="30" t="n">
        <v>60</v>
      </c>
      <c r="L762" s="30" t="n">
        <v>60</v>
      </c>
      <c r="M762" s="30" t="str">
        <f aca="false">IF(K762&lt;判定条件!$C$6,"判定不能",IF(L762&gt;=判定条件!$C$7*K762,"運転",IF(L762&lt;=判定条件!$C$8*K762,"停止","断続")))</f>
        <v>運転</v>
      </c>
      <c r="N762" s="30" t="n">
        <v>60</v>
      </c>
      <c r="O762" s="30" t="n">
        <v>0</v>
      </c>
      <c r="P762" s="30" t="str">
        <f aca="false">IF(N762&lt;判定条件!$C$6,"判定不能",IF(O762&gt;=判定条件!$C$7*N762,"運転",IF(O762&lt;=判定条件!$C$8*N762,"停止","断続")))</f>
        <v>停止</v>
      </c>
      <c r="Q762" s="30" t="n">
        <v>60</v>
      </c>
      <c r="R762" s="30" t="n">
        <v>24</v>
      </c>
      <c r="S762" s="30" t="str">
        <f aca="false">IF(Q762&lt;判定条件!$C$6,"判定不能",IF(R762&gt;=判定条件!$C$7*Q762,"運転",IF(R762&lt;=判定条件!$C$8*Q762,"停止","断続")))</f>
        <v>断続</v>
      </c>
      <c r="T762" s="30" t="n">
        <v>60</v>
      </c>
      <c r="U762" s="30" t="n">
        <v>53</v>
      </c>
      <c r="V762" s="30" t="str">
        <f aca="false">IF(T762&lt;判定条件!$C$6,"判定不能",IF(U762&gt;=判定条件!$C$7*T762,"運転",IF(U762&lt;=判定条件!$C$8*T762,"停止","断続")))</f>
        <v>運転</v>
      </c>
      <c r="W762" s="30" t="n">
        <v>60</v>
      </c>
      <c r="X762" s="30" t="n">
        <v>19</v>
      </c>
      <c r="Y762" s="30" t="str">
        <f aca="false">IF(W762&lt;判定条件!$C$6,"判定不能",IF(X762&gt;=判定条件!$C$7*W762,"運転",IF(X762&lt;=判定条件!$C$8*W762,"停止","断続")))</f>
        <v>断続</v>
      </c>
      <c r="Z762" s="30" t="n">
        <v>60</v>
      </c>
      <c r="AA762" s="30" t="n">
        <v>4</v>
      </c>
      <c r="AB762" s="30" t="str">
        <f aca="false">IF(Z762&lt;判定条件!$C$6,"判定不能",IF(AA762&gt;=判定条件!$C$7*Z762,"運転",IF(AA762&lt;=判定条件!$C$8*Z762,"停止","断続")))</f>
        <v>停止</v>
      </c>
      <c r="AC762" s="30" t="n">
        <v>60</v>
      </c>
      <c r="AD762" s="30" t="n">
        <v>45</v>
      </c>
      <c r="AE762" s="30" t="str">
        <f aca="false">IF(AC762&lt;判定条件!$C$6,"判定不能",IF(AD762&gt;=判定条件!$C$7*AC762,"運転",IF(AD762&lt;=判定条件!$C$8*AC762,"停止","断続")))</f>
        <v>断続</v>
      </c>
      <c r="AF762" s="30" t="n">
        <v>60</v>
      </c>
      <c r="AG762" s="30" t="n">
        <v>0</v>
      </c>
      <c r="AH762" s="30" t="str">
        <f aca="false">IF(OR(P762="判定不能",G762="判定不能"),"判定不能",IF(AG762&gt;=判定条件!$C$9,"利用可",IF(AND(P762="停止",G762="停止"),"両方停止","運転がそろわない")))</f>
        <v>運転がそろわない</v>
      </c>
      <c r="AI762" s="30" t="n">
        <v>60</v>
      </c>
      <c r="AJ762" s="30" t="n">
        <v>24</v>
      </c>
      <c r="AK762" s="30" t="str">
        <f aca="false">IF(OR(S762="判定不能",J762="判定不能"),"判定不能",IF(AJ762&gt;=判定条件!$C$9,"利用可",IF(AND(S762="停止",J762="停止"),"両方停止","運転がそろわない")))</f>
        <v>運転がそろわない</v>
      </c>
      <c r="AL762" s="30" t="n">
        <v>60</v>
      </c>
      <c r="AM762" s="30" t="n">
        <v>53</v>
      </c>
      <c r="AN762" s="30" t="str">
        <f aca="false">IF(OR(V762="判定不能",M762="判定不能"),"判定不能",IF(AM762&gt;=判定条件!$C$9,"利用可",IF(AND(V762="停止",M762="停止"),"両方停止","運転がそろわない")))</f>
        <v>利用可</v>
      </c>
      <c r="AO762" s="30" t="n">
        <v>60</v>
      </c>
      <c r="AP762" s="30" t="n">
        <v>19</v>
      </c>
      <c r="AQ762" s="30" t="str">
        <f aca="false">IF(OR(Y762="判定不能",G762="判定不能"),"判定不能",IF(AP762&gt;=判定条件!$C$9,"利用可",IF(AND(Y762="停止",G762="停止"),"両方停止","運転がそろわない")))</f>
        <v>運転がそろわない</v>
      </c>
      <c r="AR762" s="30" t="n">
        <v>60</v>
      </c>
      <c r="AS762" s="30" t="n">
        <v>4</v>
      </c>
      <c r="AT762" s="30" t="str">
        <f aca="false">IF(OR(AB762="判定不能",J762="判定不能"),"判定不能",IF(AS762&gt;=判定条件!$C$9,"利用可",IF(AND(AB762="停止",J762="停止"),"両方停止","運転がそろわない")))</f>
        <v>運転がそろわない</v>
      </c>
      <c r="AU762" s="30" t="n">
        <v>60</v>
      </c>
      <c r="AV762" s="30" t="n">
        <v>45</v>
      </c>
      <c r="AW762" s="30" t="str">
        <f aca="false">IF(OR(AE762="判定不能",M762="判定不能"),"判定不能",IF(AV762&gt;=判定条件!$C$9,"利用可",IF(AND(AE762="停止",M762="停止"),"両方停止","運転がそろわない")))</f>
        <v>利用可</v>
      </c>
      <c r="AX762" s="30" t="str">
        <f aca="false">IF(AND(AH762="利用可",AK762="利用可",AN762="利用可"),"利用可","不可")</f>
        <v>不可</v>
      </c>
      <c r="AY762" s="30" t="str">
        <f aca="false">IF(AND(AQ762="利用可",AT762="利用可",AW762="利用可"),"利用可","不可")</f>
        <v>不可</v>
      </c>
    </row>
    <row r="763" customFormat="false" ht="15" hidden="false" customHeight="false" outlineLevel="0" collapsed="false">
      <c r="A763" s="29" t="n">
        <v>46263</v>
      </c>
      <c r="B763" s="30" t="n">
        <v>16</v>
      </c>
      <c r="C763" s="31" t="s">
        <v>63</v>
      </c>
      <c r="D763" s="31" t="s">
        <v>64</v>
      </c>
      <c r="E763" s="30" t="n">
        <v>60</v>
      </c>
      <c r="F763" s="30" t="n">
        <v>52</v>
      </c>
      <c r="G763" s="30" t="str">
        <f aca="false">IF(E763&lt;判定条件!$C$6,"判定不能",IF(F763&gt;=判定条件!$C$7*E763,"運転",IF(F763&lt;=判定条件!$C$8*E763,"停止","断続")))</f>
        <v>運転</v>
      </c>
      <c r="H763" s="30" t="n">
        <v>60</v>
      </c>
      <c r="I763" s="30" t="n">
        <v>60</v>
      </c>
      <c r="J763" s="30" t="str">
        <f aca="false">IF(H763&lt;判定条件!$C$6,"判定不能",IF(I763&gt;=判定条件!$C$7*H763,"運転",IF(I763&lt;=判定条件!$C$8*H763,"停止","断続")))</f>
        <v>運転</v>
      </c>
      <c r="K763" s="30" t="n">
        <v>60</v>
      </c>
      <c r="L763" s="30" t="n">
        <v>60</v>
      </c>
      <c r="M763" s="30" t="str">
        <f aca="false">IF(K763&lt;判定条件!$C$6,"判定不能",IF(L763&gt;=判定条件!$C$7*K763,"運転",IF(L763&lt;=判定条件!$C$8*K763,"停止","断続")))</f>
        <v>運転</v>
      </c>
      <c r="N763" s="30" t="n">
        <v>60</v>
      </c>
      <c r="O763" s="30" t="n">
        <v>0</v>
      </c>
      <c r="P763" s="30" t="str">
        <f aca="false">IF(N763&lt;判定条件!$C$6,"判定不能",IF(O763&gt;=判定条件!$C$7*N763,"運転",IF(O763&lt;=判定条件!$C$8*N763,"停止","断続")))</f>
        <v>停止</v>
      </c>
      <c r="Q763" s="30" t="n">
        <v>60</v>
      </c>
      <c r="R763" s="30" t="n">
        <v>13</v>
      </c>
      <c r="S763" s="30" t="str">
        <f aca="false">IF(Q763&lt;判定条件!$C$6,"判定不能",IF(R763&gt;=判定条件!$C$7*Q763,"運転",IF(R763&lt;=判定条件!$C$8*Q763,"停止","断続")))</f>
        <v>断続</v>
      </c>
      <c r="T763" s="30" t="n">
        <v>60</v>
      </c>
      <c r="U763" s="30" t="n">
        <v>60</v>
      </c>
      <c r="V763" s="30" t="str">
        <f aca="false">IF(T763&lt;判定条件!$C$6,"判定不能",IF(U763&gt;=判定条件!$C$7*T763,"運転",IF(U763&lt;=判定条件!$C$8*T763,"停止","断続")))</f>
        <v>運転</v>
      </c>
      <c r="W763" s="30" t="n">
        <v>60</v>
      </c>
      <c r="X763" s="30" t="n">
        <v>41</v>
      </c>
      <c r="Y763" s="30" t="str">
        <f aca="false">IF(W763&lt;判定条件!$C$6,"判定不能",IF(X763&gt;=判定条件!$C$7*W763,"運転",IF(X763&lt;=判定条件!$C$8*W763,"停止","断続")))</f>
        <v>断続</v>
      </c>
      <c r="Z763" s="30" t="n">
        <v>60</v>
      </c>
      <c r="AA763" s="30" t="n">
        <v>14</v>
      </c>
      <c r="AB763" s="30" t="str">
        <f aca="false">IF(Z763&lt;判定条件!$C$6,"判定不能",IF(AA763&gt;=判定条件!$C$7*Z763,"運転",IF(AA763&lt;=判定条件!$C$8*Z763,"停止","断続")))</f>
        <v>断続</v>
      </c>
      <c r="AC763" s="30" t="n">
        <v>60</v>
      </c>
      <c r="AD763" s="30" t="n">
        <v>60</v>
      </c>
      <c r="AE763" s="30" t="str">
        <f aca="false">IF(AC763&lt;判定条件!$C$6,"判定不能",IF(AD763&gt;=判定条件!$C$7*AC763,"運転",IF(AD763&lt;=判定条件!$C$8*AC763,"停止","断続")))</f>
        <v>運転</v>
      </c>
      <c r="AF763" s="30" t="n">
        <v>60</v>
      </c>
      <c r="AG763" s="30" t="n">
        <v>0</v>
      </c>
      <c r="AH763" s="30" t="str">
        <f aca="false">IF(OR(P763="判定不能",G763="判定不能"),"判定不能",IF(AG763&gt;=判定条件!$C$9,"利用可",IF(AND(P763="停止",G763="停止"),"両方停止","運転がそろわない")))</f>
        <v>運転がそろわない</v>
      </c>
      <c r="AI763" s="30" t="n">
        <v>60</v>
      </c>
      <c r="AJ763" s="30" t="n">
        <v>13</v>
      </c>
      <c r="AK763" s="30" t="str">
        <f aca="false">IF(OR(S763="判定不能",J763="判定不能"),"判定不能",IF(AJ763&gt;=判定条件!$C$9,"利用可",IF(AND(S763="停止",J763="停止"),"両方停止","運転がそろわない")))</f>
        <v>運転がそろわない</v>
      </c>
      <c r="AL763" s="30" t="n">
        <v>60</v>
      </c>
      <c r="AM763" s="30" t="n">
        <v>60</v>
      </c>
      <c r="AN763" s="30" t="str">
        <f aca="false">IF(OR(V763="判定不能",M763="判定不能"),"判定不能",IF(AM763&gt;=判定条件!$C$9,"利用可",IF(AND(V763="停止",M763="停止"),"両方停止","運転がそろわない")))</f>
        <v>利用可</v>
      </c>
      <c r="AO763" s="30" t="n">
        <v>60</v>
      </c>
      <c r="AP763" s="30" t="n">
        <v>41</v>
      </c>
      <c r="AQ763" s="30" t="str">
        <f aca="false">IF(OR(Y763="判定不能",G763="判定不能"),"判定不能",IF(AP763&gt;=判定条件!$C$9,"利用可",IF(AND(Y763="停止",G763="停止"),"両方停止","運転がそろわない")))</f>
        <v>利用可</v>
      </c>
      <c r="AR763" s="30" t="n">
        <v>60</v>
      </c>
      <c r="AS763" s="30" t="n">
        <v>14</v>
      </c>
      <c r="AT763" s="30" t="str">
        <f aca="false">IF(OR(AB763="判定不能",J763="判定不能"),"判定不能",IF(AS763&gt;=判定条件!$C$9,"利用可",IF(AND(AB763="停止",J763="停止"),"両方停止","運転がそろわない")))</f>
        <v>運転がそろわない</v>
      </c>
      <c r="AU763" s="30" t="n">
        <v>60</v>
      </c>
      <c r="AV763" s="30" t="n">
        <v>60</v>
      </c>
      <c r="AW763" s="30" t="str">
        <f aca="false">IF(OR(AE763="判定不能",M763="判定不能"),"判定不能",IF(AV763&gt;=判定条件!$C$9,"利用可",IF(AND(AE763="停止",M763="停止"),"両方停止","運転がそろわない")))</f>
        <v>利用可</v>
      </c>
      <c r="AX763" s="30" t="str">
        <f aca="false">IF(AND(AH763="利用可",AK763="利用可",AN763="利用可"),"利用可","不可")</f>
        <v>不可</v>
      </c>
      <c r="AY763" s="30" t="str">
        <f aca="false">IF(AND(AQ763="利用可",AT763="利用可",AW763="利用可"),"利用可","不可")</f>
        <v>不可</v>
      </c>
    </row>
    <row r="764" customFormat="false" ht="15" hidden="false" customHeight="false" outlineLevel="0" collapsed="false">
      <c r="A764" s="29" t="n">
        <v>46263</v>
      </c>
      <c r="B764" s="30" t="n">
        <v>17</v>
      </c>
      <c r="C764" s="31" t="s">
        <v>63</v>
      </c>
      <c r="D764" s="31" t="s">
        <v>64</v>
      </c>
      <c r="E764" s="30" t="n">
        <v>60</v>
      </c>
      <c r="F764" s="30" t="n">
        <v>53</v>
      </c>
      <c r="G764" s="30" t="str">
        <f aca="false">IF(E764&lt;判定条件!$C$6,"判定不能",IF(F764&gt;=判定条件!$C$7*E764,"運転",IF(F764&lt;=判定条件!$C$8*E764,"停止","断続")))</f>
        <v>運転</v>
      </c>
      <c r="H764" s="30" t="n">
        <v>60</v>
      </c>
      <c r="I764" s="30" t="n">
        <v>60</v>
      </c>
      <c r="J764" s="30" t="str">
        <f aca="false">IF(H764&lt;判定条件!$C$6,"判定不能",IF(I764&gt;=判定条件!$C$7*H764,"運転",IF(I764&lt;=判定条件!$C$8*H764,"停止","断続")))</f>
        <v>運転</v>
      </c>
      <c r="K764" s="30" t="n">
        <v>60</v>
      </c>
      <c r="L764" s="30" t="n">
        <v>60</v>
      </c>
      <c r="M764" s="30" t="str">
        <f aca="false">IF(K764&lt;判定条件!$C$6,"判定不能",IF(L764&gt;=判定条件!$C$7*K764,"運転",IF(L764&lt;=判定条件!$C$8*K764,"停止","断続")))</f>
        <v>運転</v>
      </c>
      <c r="N764" s="30" t="n">
        <v>60</v>
      </c>
      <c r="O764" s="30" t="n">
        <v>0</v>
      </c>
      <c r="P764" s="30" t="str">
        <f aca="false">IF(N764&lt;判定条件!$C$6,"判定不能",IF(O764&gt;=判定条件!$C$7*N764,"運転",IF(O764&lt;=判定条件!$C$8*N764,"停止","断続")))</f>
        <v>停止</v>
      </c>
      <c r="Q764" s="30" t="n">
        <v>60</v>
      </c>
      <c r="R764" s="30" t="n">
        <v>10</v>
      </c>
      <c r="S764" s="30" t="str">
        <f aca="false">IF(Q764&lt;判定条件!$C$6,"判定不能",IF(R764&gt;=判定条件!$C$7*Q764,"運転",IF(R764&lt;=判定条件!$C$8*Q764,"停止","断続")))</f>
        <v>停止</v>
      </c>
      <c r="T764" s="30" t="n">
        <v>60</v>
      </c>
      <c r="U764" s="30" t="n">
        <v>36</v>
      </c>
      <c r="V764" s="30" t="str">
        <f aca="false">IF(T764&lt;判定条件!$C$6,"判定不能",IF(U764&gt;=判定条件!$C$7*T764,"運転",IF(U764&lt;=判定条件!$C$8*T764,"停止","断続")))</f>
        <v>断続</v>
      </c>
      <c r="W764" s="30" t="n">
        <v>60</v>
      </c>
      <c r="X764" s="30" t="n">
        <v>37</v>
      </c>
      <c r="Y764" s="30" t="str">
        <f aca="false">IF(W764&lt;判定条件!$C$6,"判定不能",IF(X764&gt;=判定条件!$C$7*W764,"運転",IF(X764&lt;=判定条件!$C$8*W764,"停止","断続")))</f>
        <v>断続</v>
      </c>
      <c r="Z764" s="30" t="n">
        <v>60</v>
      </c>
      <c r="AA764" s="30" t="n">
        <v>19</v>
      </c>
      <c r="AB764" s="30" t="str">
        <f aca="false">IF(Z764&lt;判定条件!$C$6,"判定不能",IF(AA764&gt;=判定条件!$C$7*Z764,"運転",IF(AA764&lt;=判定条件!$C$8*Z764,"停止","断続")))</f>
        <v>断続</v>
      </c>
      <c r="AC764" s="30" t="n">
        <v>60</v>
      </c>
      <c r="AD764" s="30" t="n">
        <v>60</v>
      </c>
      <c r="AE764" s="30" t="str">
        <f aca="false">IF(AC764&lt;判定条件!$C$6,"判定不能",IF(AD764&gt;=判定条件!$C$7*AC764,"運転",IF(AD764&lt;=判定条件!$C$8*AC764,"停止","断続")))</f>
        <v>運転</v>
      </c>
      <c r="AF764" s="30" t="n">
        <v>60</v>
      </c>
      <c r="AG764" s="30" t="n">
        <v>0</v>
      </c>
      <c r="AH764" s="30" t="str">
        <f aca="false">IF(OR(P764="判定不能",G764="判定不能"),"判定不能",IF(AG764&gt;=判定条件!$C$9,"利用可",IF(AND(P764="停止",G764="停止"),"両方停止","運転がそろわない")))</f>
        <v>運転がそろわない</v>
      </c>
      <c r="AI764" s="30" t="n">
        <v>60</v>
      </c>
      <c r="AJ764" s="30" t="n">
        <v>10</v>
      </c>
      <c r="AK764" s="30" t="str">
        <f aca="false">IF(OR(S764="判定不能",J764="判定不能"),"判定不能",IF(AJ764&gt;=判定条件!$C$9,"利用可",IF(AND(S764="停止",J764="停止"),"両方停止","運転がそろわない")))</f>
        <v>運転がそろわない</v>
      </c>
      <c r="AL764" s="30" t="n">
        <v>60</v>
      </c>
      <c r="AM764" s="30" t="n">
        <v>36</v>
      </c>
      <c r="AN764" s="30" t="str">
        <f aca="false">IF(OR(V764="判定不能",M764="判定不能"),"判定不能",IF(AM764&gt;=判定条件!$C$9,"利用可",IF(AND(V764="停止",M764="停止"),"両方停止","運転がそろわない")))</f>
        <v>利用可</v>
      </c>
      <c r="AO764" s="30" t="n">
        <v>60</v>
      </c>
      <c r="AP764" s="30" t="n">
        <v>30</v>
      </c>
      <c r="AQ764" s="30" t="str">
        <f aca="false">IF(OR(Y764="判定不能",G764="判定不能"),"判定不能",IF(AP764&gt;=判定条件!$C$9,"利用可",IF(AND(Y764="停止",G764="停止"),"両方停止","運転がそろわない")))</f>
        <v>利用可</v>
      </c>
      <c r="AR764" s="30" t="n">
        <v>60</v>
      </c>
      <c r="AS764" s="30" t="n">
        <v>19</v>
      </c>
      <c r="AT764" s="30" t="str">
        <f aca="false">IF(OR(AB764="判定不能",J764="判定不能"),"判定不能",IF(AS764&gt;=判定条件!$C$9,"利用可",IF(AND(AB764="停止",J764="停止"),"両方停止","運転がそろわない")))</f>
        <v>運転がそろわない</v>
      </c>
      <c r="AU764" s="30" t="n">
        <v>60</v>
      </c>
      <c r="AV764" s="30" t="n">
        <v>60</v>
      </c>
      <c r="AW764" s="30" t="str">
        <f aca="false">IF(OR(AE764="判定不能",M764="判定不能"),"判定不能",IF(AV764&gt;=判定条件!$C$9,"利用可",IF(AND(AE764="停止",M764="停止"),"両方停止","運転がそろわない")))</f>
        <v>利用可</v>
      </c>
      <c r="AX764" s="30" t="str">
        <f aca="false">IF(AND(AH764="利用可",AK764="利用可",AN764="利用可"),"利用可","不可")</f>
        <v>不可</v>
      </c>
      <c r="AY764" s="30" t="str">
        <f aca="false">IF(AND(AQ764="利用可",AT764="利用可",AW764="利用可"),"利用可","不可")</f>
        <v>不可</v>
      </c>
    </row>
    <row r="765" customFormat="false" ht="15" hidden="false" customHeight="false" outlineLevel="0" collapsed="false">
      <c r="A765" s="29" t="n">
        <v>46263</v>
      </c>
      <c r="B765" s="30" t="n">
        <v>18</v>
      </c>
      <c r="C765" s="31" t="s">
        <v>63</v>
      </c>
      <c r="D765" s="31" t="s">
        <v>64</v>
      </c>
      <c r="E765" s="30" t="n">
        <v>60</v>
      </c>
      <c r="F765" s="30" t="n">
        <v>40</v>
      </c>
      <c r="G765" s="30" t="str">
        <f aca="false">IF(E765&lt;判定条件!$C$6,"判定不能",IF(F765&gt;=判定条件!$C$7*E765,"運転",IF(F765&lt;=判定条件!$C$8*E765,"停止","断続")))</f>
        <v>断続</v>
      </c>
      <c r="H765" s="30" t="n">
        <v>60</v>
      </c>
      <c r="I765" s="30" t="n">
        <v>50</v>
      </c>
      <c r="J765" s="30" t="str">
        <f aca="false">IF(H765&lt;判定条件!$C$6,"判定不能",IF(I765&gt;=判定条件!$C$7*H765,"運転",IF(I765&lt;=判定条件!$C$8*H765,"停止","断続")))</f>
        <v>運転</v>
      </c>
      <c r="K765" s="30" t="n">
        <v>60</v>
      </c>
      <c r="L765" s="30" t="n">
        <v>60</v>
      </c>
      <c r="M765" s="30" t="str">
        <f aca="false">IF(K765&lt;判定条件!$C$6,"判定不能",IF(L765&gt;=判定条件!$C$7*K765,"運転",IF(L765&lt;=判定条件!$C$8*K765,"停止","断続")))</f>
        <v>運転</v>
      </c>
      <c r="N765" s="30" t="n">
        <v>60</v>
      </c>
      <c r="O765" s="30" t="n">
        <v>0</v>
      </c>
      <c r="P765" s="30" t="str">
        <f aca="false">IF(N765&lt;判定条件!$C$6,"判定不能",IF(O765&gt;=判定条件!$C$7*N765,"運転",IF(O765&lt;=判定条件!$C$8*N765,"停止","断続")))</f>
        <v>停止</v>
      </c>
      <c r="Q765" s="30" t="n">
        <v>60</v>
      </c>
      <c r="R765" s="30" t="n">
        <v>31</v>
      </c>
      <c r="S765" s="30" t="str">
        <f aca="false">IF(Q765&lt;判定条件!$C$6,"判定不能",IF(R765&gt;=判定条件!$C$7*Q765,"運転",IF(R765&lt;=判定条件!$C$8*Q765,"停止","断続")))</f>
        <v>断続</v>
      </c>
      <c r="T765" s="30" t="n">
        <v>60</v>
      </c>
      <c r="U765" s="30" t="n">
        <v>34</v>
      </c>
      <c r="V765" s="30" t="str">
        <f aca="false">IF(T765&lt;判定条件!$C$6,"判定不能",IF(U765&gt;=判定条件!$C$7*T765,"運転",IF(U765&lt;=判定条件!$C$8*T765,"停止","断続")))</f>
        <v>断続</v>
      </c>
      <c r="W765" s="30" t="n">
        <v>60</v>
      </c>
      <c r="X765" s="30" t="n">
        <v>0</v>
      </c>
      <c r="Y765" s="30" t="str">
        <f aca="false">IF(W765&lt;判定条件!$C$6,"判定不能",IF(X765&gt;=判定条件!$C$7*W765,"運転",IF(X765&lt;=判定条件!$C$8*W765,"停止","断続")))</f>
        <v>停止</v>
      </c>
      <c r="Z765" s="30" t="n">
        <v>60</v>
      </c>
      <c r="AA765" s="30" t="n">
        <v>0</v>
      </c>
      <c r="AB765" s="30" t="str">
        <f aca="false">IF(Z765&lt;判定条件!$C$6,"判定不能",IF(AA765&gt;=判定条件!$C$7*Z765,"運転",IF(AA765&lt;=判定条件!$C$8*Z765,"停止","断続")))</f>
        <v>停止</v>
      </c>
      <c r="AC765" s="30" t="n">
        <v>60</v>
      </c>
      <c r="AD765" s="30" t="n">
        <v>15</v>
      </c>
      <c r="AE765" s="30" t="str">
        <f aca="false">IF(AC765&lt;判定条件!$C$6,"判定不能",IF(AD765&gt;=判定条件!$C$7*AC765,"運転",IF(AD765&lt;=判定条件!$C$8*AC765,"停止","断続")))</f>
        <v>断続</v>
      </c>
      <c r="AF765" s="30" t="n">
        <v>60</v>
      </c>
      <c r="AG765" s="30" t="n">
        <v>0</v>
      </c>
      <c r="AH765" s="30" t="str">
        <f aca="false">IF(OR(P765="判定不能",G765="判定不能"),"判定不能",IF(AG765&gt;=判定条件!$C$9,"利用可",IF(AND(P765="停止",G765="停止"),"両方停止","運転がそろわない")))</f>
        <v>運転がそろわない</v>
      </c>
      <c r="AI765" s="30" t="n">
        <v>60</v>
      </c>
      <c r="AJ765" s="30" t="n">
        <v>31</v>
      </c>
      <c r="AK765" s="30" t="str">
        <f aca="false">IF(OR(S765="判定不能",J765="判定不能"),"判定不能",IF(AJ765&gt;=判定条件!$C$9,"利用可",IF(AND(S765="停止",J765="停止"),"両方停止","運転がそろわない")))</f>
        <v>利用可</v>
      </c>
      <c r="AL765" s="30" t="n">
        <v>60</v>
      </c>
      <c r="AM765" s="30" t="n">
        <v>34</v>
      </c>
      <c r="AN765" s="30" t="str">
        <f aca="false">IF(OR(V765="判定不能",M765="判定不能"),"判定不能",IF(AM765&gt;=判定条件!$C$9,"利用可",IF(AND(V765="停止",M765="停止"),"両方停止","運転がそろわない")))</f>
        <v>利用可</v>
      </c>
      <c r="AO765" s="30" t="n">
        <v>60</v>
      </c>
      <c r="AP765" s="30" t="n">
        <v>0</v>
      </c>
      <c r="AQ765" s="30" t="str">
        <f aca="false">IF(OR(Y765="判定不能",G765="判定不能"),"判定不能",IF(AP765&gt;=判定条件!$C$9,"利用可",IF(AND(Y765="停止",G765="停止"),"両方停止","運転がそろわない")))</f>
        <v>運転がそろわない</v>
      </c>
      <c r="AR765" s="30" t="n">
        <v>60</v>
      </c>
      <c r="AS765" s="30" t="n">
        <v>0</v>
      </c>
      <c r="AT765" s="30" t="str">
        <f aca="false">IF(OR(AB765="判定不能",J765="判定不能"),"判定不能",IF(AS765&gt;=判定条件!$C$9,"利用可",IF(AND(AB765="停止",J765="停止"),"両方停止","運転がそろわない")))</f>
        <v>運転がそろわない</v>
      </c>
      <c r="AU765" s="30" t="n">
        <v>60</v>
      </c>
      <c r="AV765" s="30" t="n">
        <v>15</v>
      </c>
      <c r="AW765" s="30" t="str">
        <f aca="false">IF(OR(AE765="判定不能",M765="判定不能"),"判定不能",IF(AV765&gt;=判定条件!$C$9,"利用可",IF(AND(AE765="停止",M765="停止"),"両方停止","運転がそろわない")))</f>
        <v>運転がそろわない</v>
      </c>
      <c r="AX765" s="30" t="str">
        <f aca="false">IF(AND(AH765="利用可",AK765="利用可",AN765="利用可"),"利用可","不可")</f>
        <v>不可</v>
      </c>
      <c r="AY765" s="30" t="str">
        <f aca="false">IF(AND(AQ765="利用可",AT765="利用可",AW765="利用可"),"利用可","不可")</f>
        <v>不可</v>
      </c>
    </row>
    <row r="766" customFormat="false" ht="15" hidden="false" customHeight="false" outlineLevel="0" collapsed="false">
      <c r="A766" s="29" t="n">
        <v>46263</v>
      </c>
      <c r="B766" s="30" t="n">
        <v>19</v>
      </c>
      <c r="C766" s="31" t="s">
        <v>63</v>
      </c>
      <c r="D766" s="31" t="s">
        <v>64</v>
      </c>
      <c r="E766" s="30" t="n">
        <v>60</v>
      </c>
      <c r="F766" s="30" t="n">
        <v>19</v>
      </c>
      <c r="G766" s="30" t="str">
        <f aca="false">IF(E766&lt;判定条件!$C$6,"判定不能",IF(F766&gt;=判定条件!$C$7*E766,"運転",IF(F766&lt;=判定条件!$C$8*E766,"停止","断続")))</f>
        <v>断続</v>
      </c>
      <c r="H766" s="30" t="n">
        <v>60</v>
      </c>
      <c r="I766" s="30" t="n">
        <v>50</v>
      </c>
      <c r="J766" s="30" t="str">
        <f aca="false">IF(H766&lt;判定条件!$C$6,"判定不能",IF(I766&gt;=判定条件!$C$7*H766,"運転",IF(I766&lt;=判定条件!$C$8*H766,"停止","断続")))</f>
        <v>運転</v>
      </c>
      <c r="K766" s="30" t="n">
        <v>60</v>
      </c>
      <c r="L766" s="30" t="n">
        <v>60</v>
      </c>
      <c r="M766" s="30" t="str">
        <f aca="false">IF(K766&lt;判定条件!$C$6,"判定不能",IF(L766&gt;=判定条件!$C$7*K766,"運転",IF(L766&lt;=判定条件!$C$8*K766,"停止","断続")))</f>
        <v>運転</v>
      </c>
      <c r="N766" s="30" t="n">
        <v>60</v>
      </c>
      <c r="O766" s="30" t="n">
        <v>0</v>
      </c>
      <c r="P766" s="30" t="str">
        <f aca="false">IF(N766&lt;判定条件!$C$6,"判定不能",IF(O766&gt;=判定条件!$C$7*N766,"運転",IF(O766&lt;=判定条件!$C$8*N766,"停止","断続")))</f>
        <v>停止</v>
      </c>
      <c r="Q766" s="30" t="n">
        <v>60</v>
      </c>
      <c r="R766" s="30" t="n">
        <v>6</v>
      </c>
      <c r="S766" s="30" t="str">
        <f aca="false">IF(Q766&lt;判定条件!$C$6,"判定不能",IF(R766&gt;=判定条件!$C$7*Q766,"運転",IF(R766&lt;=判定条件!$C$8*Q766,"停止","断続")))</f>
        <v>停止</v>
      </c>
      <c r="T766" s="30" t="n">
        <v>60</v>
      </c>
      <c r="U766" s="30" t="n">
        <v>37</v>
      </c>
      <c r="V766" s="30" t="str">
        <f aca="false">IF(T766&lt;判定条件!$C$6,"判定不能",IF(U766&gt;=判定条件!$C$7*T766,"運転",IF(U766&lt;=判定条件!$C$8*T766,"停止","断続")))</f>
        <v>断続</v>
      </c>
      <c r="W766" s="30" t="n">
        <v>60</v>
      </c>
      <c r="X766" s="30" t="n">
        <v>0</v>
      </c>
      <c r="Y766" s="30" t="str">
        <f aca="false">IF(W766&lt;判定条件!$C$6,"判定不能",IF(X766&gt;=判定条件!$C$7*W766,"運転",IF(X766&lt;=判定条件!$C$8*W766,"停止","断続")))</f>
        <v>停止</v>
      </c>
      <c r="Z766" s="30" t="n">
        <v>60</v>
      </c>
      <c r="AA766" s="30" t="n">
        <v>0</v>
      </c>
      <c r="AB766" s="30" t="str">
        <f aca="false">IF(Z766&lt;判定条件!$C$6,"判定不能",IF(AA766&gt;=判定条件!$C$7*Z766,"運転",IF(AA766&lt;=判定条件!$C$8*Z766,"停止","断続")))</f>
        <v>停止</v>
      </c>
      <c r="AC766" s="30" t="n">
        <v>60</v>
      </c>
      <c r="AD766" s="30" t="n">
        <v>0</v>
      </c>
      <c r="AE766" s="30" t="str">
        <f aca="false">IF(AC766&lt;判定条件!$C$6,"判定不能",IF(AD766&gt;=判定条件!$C$7*AC766,"運転",IF(AD766&lt;=判定条件!$C$8*AC766,"停止","断続")))</f>
        <v>停止</v>
      </c>
      <c r="AF766" s="30" t="n">
        <v>60</v>
      </c>
      <c r="AG766" s="30" t="n">
        <v>0</v>
      </c>
      <c r="AH766" s="30" t="str">
        <f aca="false">IF(OR(P766="判定不能",G766="判定不能"),"判定不能",IF(AG766&gt;=判定条件!$C$9,"利用可",IF(AND(P766="停止",G766="停止"),"両方停止","運転がそろわない")))</f>
        <v>運転がそろわない</v>
      </c>
      <c r="AI766" s="30" t="n">
        <v>60</v>
      </c>
      <c r="AJ766" s="30" t="n">
        <v>6</v>
      </c>
      <c r="AK766" s="30" t="str">
        <f aca="false">IF(OR(S766="判定不能",J766="判定不能"),"判定不能",IF(AJ766&gt;=判定条件!$C$9,"利用可",IF(AND(S766="停止",J766="停止"),"両方停止","運転がそろわない")))</f>
        <v>運転がそろわない</v>
      </c>
      <c r="AL766" s="30" t="n">
        <v>60</v>
      </c>
      <c r="AM766" s="30" t="n">
        <v>37</v>
      </c>
      <c r="AN766" s="30" t="str">
        <f aca="false">IF(OR(V766="判定不能",M766="判定不能"),"判定不能",IF(AM766&gt;=判定条件!$C$9,"利用可",IF(AND(V766="停止",M766="停止"),"両方停止","運転がそろわない")))</f>
        <v>利用可</v>
      </c>
      <c r="AO766" s="30" t="n">
        <v>60</v>
      </c>
      <c r="AP766" s="30" t="n">
        <v>0</v>
      </c>
      <c r="AQ766" s="30" t="str">
        <f aca="false">IF(OR(Y766="判定不能",G766="判定不能"),"判定不能",IF(AP766&gt;=判定条件!$C$9,"利用可",IF(AND(Y766="停止",G766="停止"),"両方停止","運転がそろわない")))</f>
        <v>運転がそろわない</v>
      </c>
      <c r="AR766" s="30" t="n">
        <v>60</v>
      </c>
      <c r="AS766" s="30" t="n">
        <v>0</v>
      </c>
      <c r="AT766" s="30" t="str">
        <f aca="false">IF(OR(AB766="判定不能",J766="判定不能"),"判定不能",IF(AS766&gt;=判定条件!$C$9,"利用可",IF(AND(AB766="停止",J766="停止"),"両方停止","運転がそろわない")))</f>
        <v>運転がそろわない</v>
      </c>
      <c r="AU766" s="30" t="n">
        <v>60</v>
      </c>
      <c r="AV766" s="30" t="n">
        <v>0</v>
      </c>
      <c r="AW766" s="30" t="str">
        <f aca="false">IF(OR(AE766="判定不能",M766="判定不能"),"判定不能",IF(AV766&gt;=判定条件!$C$9,"利用可",IF(AND(AE766="停止",M766="停止"),"両方停止","運転がそろわない")))</f>
        <v>運転がそろわない</v>
      </c>
      <c r="AX766" s="30" t="str">
        <f aca="false">IF(AND(AH766="利用可",AK766="利用可",AN766="利用可"),"利用可","不可")</f>
        <v>不可</v>
      </c>
      <c r="AY766" s="30" t="str">
        <f aca="false">IF(AND(AQ766="利用可",AT766="利用可",AW766="利用可"),"利用可","不可")</f>
        <v>不可</v>
      </c>
    </row>
    <row r="767" customFormat="false" ht="15" hidden="false" customHeight="false" outlineLevel="0" collapsed="false">
      <c r="A767" s="29" t="n">
        <v>46263</v>
      </c>
      <c r="B767" s="30" t="n">
        <v>20</v>
      </c>
      <c r="C767" s="31" t="s">
        <v>63</v>
      </c>
      <c r="D767" s="31" t="s">
        <v>64</v>
      </c>
      <c r="E767" s="30" t="n">
        <v>60</v>
      </c>
      <c r="F767" s="30" t="n">
        <v>0</v>
      </c>
      <c r="G767" s="30" t="str">
        <f aca="false">IF(E767&lt;判定条件!$C$6,"判定不能",IF(F767&gt;=判定条件!$C$7*E767,"運転",IF(F767&lt;=判定条件!$C$8*E767,"停止","断続")))</f>
        <v>停止</v>
      </c>
      <c r="H767" s="30" t="n">
        <v>60</v>
      </c>
      <c r="I767" s="30" t="n">
        <v>43</v>
      </c>
      <c r="J767" s="30" t="str">
        <f aca="false">IF(H767&lt;判定条件!$C$6,"判定不能",IF(I767&gt;=判定条件!$C$7*H767,"運転",IF(I767&lt;=判定条件!$C$8*H767,"停止","断続")))</f>
        <v>断続</v>
      </c>
      <c r="K767" s="30" t="n">
        <v>60</v>
      </c>
      <c r="L767" s="30" t="n">
        <v>60</v>
      </c>
      <c r="M767" s="30" t="str">
        <f aca="false">IF(K767&lt;判定条件!$C$6,"判定不能",IF(L767&gt;=判定条件!$C$7*K767,"運転",IF(L767&lt;=判定条件!$C$8*K767,"停止","断続")))</f>
        <v>運転</v>
      </c>
      <c r="N767" s="30" t="n">
        <v>60</v>
      </c>
      <c r="O767" s="30" t="n">
        <v>0</v>
      </c>
      <c r="P767" s="30" t="str">
        <f aca="false">IF(N767&lt;判定条件!$C$6,"判定不能",IF(O767&gt;=判定条件!$C$7*N767,"運転",IF(O767&lt;=判定条件!$C$8*N767,"停止","断続")))</f>
        <v>停止</v>
      </c>
      <c r="Q767" s="30" t="n">
        <v>60</v>
      </c>
      <c r="R767" s="30" t="n">
        <v>1</v>
      </c>
      <c r="S767" s="30" t="str">
        <f aca="false">IF(Q767&lt;判定条件!$C$6,"判定不能",IF(R767&gt;=判定条件!$C$7*Q767,"運転",IF(R767&lt;=判定条件!$C$8*Q767,"停止","断続")))</f>
        <v>停止</v>
      </c>
      <c r="T767" s="30" t="n">
        <v>60</v>
      </c>
      <c r="U767" s="30" t="n">
        <v>0</v>
      </c>
      <c r="V767" s="30" t="str">
        <f aca="false">IF(T767&lt;判定条件!$C$6,"判定不能",IF(U767&gt;=判定条件!$C$7*T767,"運転",IF(U767&lt;=判定条件!$C$8*T767,"停止","断続")))</f>
        <v>停止</v>
      </c>
      <c r="W767" s="30" t="n">
        <v>60</v>
      </c>
      <c r="X767" s="30" t="n">
        <v>0</v>
      </c>
      <c r="Y767" s="30" t="str">
        <f aca="false">IF(W767&lt;判定条件!$C$6,"判定不能",IF(X767&gt;=判定条件!$C$7*W767,"運転",IF(X767&lt;=判定条件!$C$8*W767,"停止","断続")))</f>
        <v>停止</v>
      </c>
      <c r="Z767" s="30" t="n">
        <v>60</v>
      </c>
      <c r="AA767" s="30" t="n">
        <v>0</v>
      </c>
      <c r="AB767" s="30" t="str">
        <f aca="false">IF(Z767&lt;判定条件!$C$6,"判定不能",IF(AA767&gt;=判定条件!$C$7*Z767,"運転",IF(AA767&lt;=判定条件!$C$8*Z767,"停止","断続")))</f>
        <v>停止</v>
      </c>
      <c r="AC767" s="30" t="n">
        <v>60</v>
      </c>
      <c r="AD767" s="30" t="n">
        <v>0</v>
      </c>
      <c r="AE767" s="30" t="str">
        <f aca="false">IF(AC767&lt;判定条件!$C$6,"判定不能",IF(AD767&gt;=判定条件!$C$7*AC767,"運転",IF(AD767&lt;=判定条件!$C$8*AC767,"停止","断続")))</f>
        <v>停止</v>
      </c>
      <c r="AF767" s="30" t="n">
        <v>60</v>
      </c>
      <c r="AG767" s="30" t="n">
        <v>0</v>
      </c>
      <c r="AH767" s="30" t="str">
        <f aca="false">IF(OR(P767="判定不能",G767="判定不能"),"判定不能",IF(AG767&gt;=判定条件!$C$9,"利用可",IF(AND(P767="停止",G767="停止"),"両方停止","運転がそろわない")))</f>
        <v>両方停止</v>
      </c>
      <c r="AI767" s="30" t="n">
        <v>60</v>
      </c>
      <c r="AJ767" s="30" t="n">
        <v>1</v>
      </c>
      <c r="AK767" s="30" t="str">
        <f aca="false">IF(OR(S767="判定不能",J767="判定不能"),"判定不能",IF(AJ767&gt;=判定条件!$C$9,"利用可",IF(AND(S767="停止",J767="停止"),"両方停止","運転がそろわない")))</f>
        <v>運転がそろわない</v>
      </c>
      <c r="AL767" s="30" t="n">
        <v>60</v>
      </c>
      <c r="AM767" s="30" t="n">
        <v>0</v>
      </c>
      <c r="AN767" s="30" t="str">
        <f aca="false">IF(OR(V767="判定不能",M767="判定不能"),"判定不能",IF(AM767&gt;=判定条件!$C$9,"利用可",IF(AND(V767="停止",M767="停止"),"両方停止","運転がそろわない")))</f>
        <v>運転がそろわない</v>
      </c>
      <c r="AO767" s="30" t="n">
        <v>60</v>
      </c>
      <c r="AP767" s="30" t="n">
        <v>0</v>
      </c>
      <c r="AQ767" s="30" t="str">
        <f aca="false">IF(OR(Y767="判定不能",G767="判定不能"),"判定不能",IF(AP767&gt;=判定条件!$C$9,"利用可",IF(AND(Y767="停止",G767="停止"),"両方停止","運転がそろわない")))</f>
        <v>両方停止</v>
      </c>
      <c r="AR767" s="30" t="n">
        <v>60</v>
      </c>
      <c r="AS767" s="30" t="n">
        <v>0</v>
      </c>
      <c r="AT767" s="30" t="str">
        <f aca="false">IF(OR(AB767="判定不能",J767="判定不能"),"判定不能",IF(AS767&gt;=判定条件!$C$9,"利用可",IF(AND(AB767="停止",J767="停止"),"両方停止","運転がそろわない")))</f>
        <v>運転がそろわない</v>
      </c>
      <c r="AU767" s="30" t="n">
        <v>60</v>
      </c>
      <c r="AV767" s="30" t="n">
        <v>0</v>
      </c>
      <c r="AW767" s="30" t="str">
        <f aca="false">IF(OR(AE767="判定不能",M767="判定不能"),"判定不能",IF(AV767&gt;=判定条件!$C$9,"利用可",IF(AND(AE767="停止",M767="停止"),"両方停止","運転がそろわない")))</f>
        <v>運転がそろわない</v>
      </c>
      <c r="AX767" s="30" t="str">
        <f aca="false">IF(AND(AH767="利用可",AK767="利用可",AN767="利用可"),"利用可","不可")</f>
        <v>不可</v>
      </c>
      <c r="AY767" s="30" t="str">
        <f aca="false">IF(AND(AQ767="利用可",AT767="利用可",AW767="利用可"),"利用可","不可")</f>
        <v>不可</v>
      </c>
    </row>
    <row r="768" customFormat="false" ht="15" hidden="false" customHeight="false" outlineLevel="0" collapsed="false">
      <c r="A768" s="29" t="n">
        <v>46263</v>
      </c>
      <c r="B768" s="30" t="n">
        <v>21</v>
      </c>
      <c r="C768" s="31" t="s">
        <v>63</v>
      </c>
      <c r="D768" s="31" t="s">
        <v>64</v>
      </c>
      <c r="E768" s="30" t="n">
        <v>60</v>
      </c>
      <c r="F768" s="30" t="n">
        <v>0</v>
      </c>
      <c r="G768" s="30" t="str">
        <f aca="false">IF(E768&lt;判定条件!$C$6,"判定不能",IF(F768&gt;=判定条件!$C$7*E768,"運転",IF(F768&lt;=判定条件!$C$8*E768,"停止","断続")))</f>
        <v>停止</v>
      </c>
      <c r="H768" s="30" t="n">
        <v>60</v>
      </c>
      <c r="I768" s="30" t="n">
        <v>0</v>
      </c>
      <c r="J768" s="30" t="str">
        <f aca="false">IF(H768&lt;判定条件!$C$6,"判定不能",IF(I768&gt;=判定条件!$C$7*H768,"運転",IF(I768&lt;=判定条件!$C$8*H768,"停止","断続")))</f>
        <v>停止</v>
      </c>
      <c r="K768" s="30" t="n">
        <v>60</v>
      </c>
      <c r="L768" s="30" t="n">
        <v>6</v>
      </c>
      <c r="M768" s="30" t="str">
        <f aca="false">IF(K768&lt;判定条件!$C$6,"判定不能",IF(L768&gt;=判定条件!$C$7*K768,"運転",IF(L768&lt;=判定条件!$C$8*K768,"停止","断続")))</f>
        <v>停止</v>
      </c>
      <c r="N768" s="30" t="n">
        <v>60</v>
      </c>
      <c r="O768" s="30" t="n">
        <v>0</v>
      </c>
      <c r="P768" s="30" t="str">
        <f aca="false">IF(N768&lt;判定条件!$C$6,"判定不能",IF(O768&gt;=判定条件!$C$7*N768,"運転",IF(O768&lt;=判定条件!$C$8*N768,"停止","断続")))</f>
        <v>停止</v>
      </c>
      <c r="Q768" s="30" t="n">
        <v>60</v>
      </c>
      <c r="R768" s="30" t="n">
        <v>0</v>
      </c>
      <c r="S768" s="30" t="str">
        <f aca="false">IF(Q768&lt;判定条件!$C$6,"判定不能",IF(R768&gt;=判定条件!$C$7*Q768,"運転",IF(R768&lt;=判定条件!$C$8*Q768,"停止","断続")))</f>
        <v>停止</v>
      </c>
      <c r="T768" s="30" t="n">
        <v>60</v>
      </c>
      <c r="U768" s="30" t="n">
        <v>0</v>
      </c>
      <c r="V768" s="30" t="str">
        <f aca="false">IF(T768&lt;判定条件!$C$6,"判定不能",IF(U768&gt;=判定条件!$C$7*T768,"運転",IF(U768&lt;=判定条件!$C$8*T768,"停止","断続")))</f>
        <v>停止</v>
      </c>
      <c r="W768" s="30" t="n">
        <v>60</v>
      </c>
      <c r="X768" s="30" t="n">
        <v>0</v>
      </c>
      <c r="Y768" s="30" t="str">
        <f aca="false">IF(W768&lt;判定条件!$C$6,"判定不能",IF(X768&gt;=判定条件!$C$7*W768,"運転",IF(X768&lt;=判定条件!$C$8*W768,"停止","断続")))</f>
        <v>停止</v>
      </c>
      <c r="Z768" s="30" t="n">
        <v>60</v>
      </c>
      <c r="AA768" s="30" t="n">
        <v>0</v>
      </c>
      <c r="AB768" s="30" t="str">
        <f aca="false">IF(Z768&lt;判定条件!$C$6,"判定不能",IF(AA768&gt;=判定条件!$C$7*Z768,"運転",IF(AA768&lt;=判定条件!$C$8*Z768,"停止","断続")))</f>
        <v>停止</v>
      </c>
      <c r="AC768" s="30" t="n">
        <v>60</v>
      </c>
      <c r="AD768" s="30" t="n">
        <v>0</v>
      </c>
      <c r="AE768" s="30" t="str">
        <f aca="false">IF(AC768&lt;判定条件!$C$6,"判定不能",IF(AD768&gt;=判定条件!$C$7*AC768,"運転",IF(AD768&lt;=判定条件!$C$8*AC768,"停止","断続")))</f>
        <v>停止</v>
      </c>
      <c r="AF768" s="30" t="n">
        <v>60</v>
      </c>
      <c r="AG768" s="30" t="n">
        <v>0</v>
      </c>
      <c r="AH768" s="30" t="str">
        <f aca="false">IF(OR(P768="判定不能",G768="判定不能"),"判定不能",IF(AG768&gt;=判定条件!$C$9,"利用可",IF(AND(P768="停止",G768="停止"),"両方停止","運転がそろわない")))</f>
        <v>両方停止</v>
      </c>
      <c r="AI768" s="30" t="n">
        <v>60</v>
      </c>
      <c r="AJ768" s="30" t="n">
        <v>0</v>
      </c>
      <c r="AK768" s="30" t="str">
        <f aca="false">IF(OR(S768="判定不能",J768="判定不能"),"判定不能",IF(AJ768&gt;=判定条件!$C$9,"利用可",IF(AND(S768="停止",J768="停止"),"両方停止","運転がそろわない")))</f>
        <v>両方停止</v>
      </c>
      <c r="AL768" s="30" t="n">
        <v>60</v>
      </c>
      <c r="AM768" s="30" t="n">
        <v>0</v>
      </c>
      <c r="AN768" s="30" t="str">
        <f aca="false">IF(OR(V768="判定不能",M768="判定不能"),"判定不能",IF(AM768&gt;=判定条件!$C$9,"利用可",IF(AND(V768="停止",M768="停止"),"両方停止","運転がそろわない")))</f>
        <v>両方停止</v>
      </c>
      <c r="AO768" s="30" t="n">
        <v>60</v>
      </c>
      <c r="AP768" s="30" t="n">
        <v>0</v>
      </c>
      <c r="AQ768" s="30" t="str">
        <f aca="false">IF(OR(Y768="判定不能",G768="判定不能"),"判定不能",IF(AP768&gt;=判定条件!$C$9,"利用可",IF(AND(Y768="停止",G768="停止"),"両方停止","運転がそろわない")))</f>
        <v>両方停止</v>
      </c>
      <c r="AR768" s="30" t="n">
        <v>60</v>
      </c>
      <c r="AS768" s="30" t="n">
        <v>0</v>
      </c>
      <c r="AT768" s="30" t="str">
        <f aca="false">IF(OR(AB768="判定不能",J768="判定不能"),"判定不能",IF(AS768&gt;=判定条件!$C$9,"利用可",IF(AND(AB768="停止",J768="停止"),"両方停止","運転がそろわない")))</f>
        <v>両方停止</v>
      </c>
      <c r="AU768" s="30" t="n">
        <v>60</v>
      </c>
      <c r="AV768" s="30" t="n">
        <v>0</v>
      </c>
      <c r="AW768" s="30" t="str">
        <f aca="false">IF(OR(AE768="判定不能",M768="判定不能"),"判定不能",IF(AV768&gt;=判定条件!$C$9,"利用可",IF(AND(AE768="停止",M768="停止"),"両方停止","運転がそろわない")))</f>
        <v>両方停止</v>
      </c>
      <c r="AX768" s="30" t="str">
        <f aca="false">IF(AND(AH768="利用可",AK768="利用可",AN768="利用可"),"利用可","不可")</f>
        <v>不可</v>
      </c>
      <c r="AY768" s="30" t="str">
        <f aca="false">IF(AND(AQ768="利用可",AT768="利用可",AW768="利用可"),"利用可","不可")</f>
        <v>不可</v>
      </c>
    </row>
    <row r="769" customFormat="false" ht="15" hidden="false" customHeight="false" outlineLevel="0" collapsed="false">
      <c r="A769" s="29" t="n">
        <v>46263</v>
      </c>
      <c r="B769" s="30" t="n">
        <v>22</v>
      </c>
      <c r="C769" s="31" t="s">
        <v>63</v>
      </c>
      <c r="D769" s="31" t="s">
        <v>64</v>
      </c>
      <c r="E769" s="30" t="n">
        <v>60</v>
      </c>
      <c r="F769" s="30" t="n">
        <v>0</v>
      </c>
      <c r="G769" s="30" t="str">
        <f aca="false">IF(E769&lt;判定条件!$C$6,"判定不能",IF(F769&gt;=判定条件!$C$7*E769,"運転",IF(F769&lt;=判定条件!$C$8*E769,"停止","断続")))</f>
        <v>停止</v>
      </c>
      <c r="H769" s="30" t="n">
        <v>60</v>
      </c>
      <c r="I769" s="30" t="n">
        <v>0</v>
      </c>
      <c r="J769" s="30" t="str">
        <f aca="false">IF(H769&lt;判定条件!$C$6,"判定不能",IF(I769&gt;=判定条件!$C$7*H769,"運転",IF(I769&lt;=判定条件!$C$8*H769,"停止","断続")))</f>
        <v>停止</v>
      </c>
      <c r="K769" s="30" t="n">
        <v>60</v>
      </c>
      <c r="L769" s="30" t="n">
        <v>0</v>
      </c>
      <c r="M769" s="30" t="str">
        <f aca="false">IF(K769&lt;判定条件!$C$6,"判定不能",IF(L769&gt;=判定条件!$C$7*K769,"運転",IF(L769&lt;=判定条件!$C$8*K769,"停止","断続")))</f>
        <v>停止</v>
      </c>
      <c r="N769" s="30" t="n">
        <v>60</v>
      </c>
      <c r="O769" s="30" t="n">
        <v>0</v>
      </c>
      <c r="P769" s="30" t="str">
        <f aca="false">IF(N769&lt;判定条件!$C$6,"判定不能",IF(O769&gt;=判定条件!$C$7*N769,"運転",IF(O769&lt;=判定条件!$C$8*N769,"停止","断続")))</f>
        <v>停止</v>
      </c>
      <c r="Q769" s="30" t="n">
        <v>60</v>
      </c>
      <c r="R769" s="30" t="n">
        <v>0</v>
      </c>
      <c r="S769" s="30" t="str">
        <f aca="false">IF(Q769&lt;判定条件!$C$6,"判定不能",IF(R769&gt;=判定条件!$C$7*Q769,"運転",IF(R769&lt;=判定条件!$C$8*Q769,"停止","断続")))</f>
        <v>停止</v>
      </c>
      <c r="T769" s="30" t="n">
        <v>60</v>
      </c>
      <c r="U769" s="30" t="n">
        <v>0</v>
      </c>
      <c r="V769" s="30" t="str">
        <f aca="false">IF(T769&lt;判定条件!$C$6,"判定不能",IF(U769&gt;=判定条件!$C$7*T769,"運転",IF(U769&lt;=判定条件!$C$8*T769,"停止","断続")))</f>
        <v>停止</v>
      </c>
      <c r="W769" s="30" t="n">
        <v>60</v>
      </c>
      <c r="X769" s="30" t="n">
        <v>0</v>
      </c>
      <c r="Y769" s="30" t="str">
        <f aca="false">IF(W769&lt;判定条件!$C$6,"判定不能",IF(X769&gt;=判定条件!$C$7*W769,"運転",IF(X769&lt;=判定条件!$C$8*W769,"停止","断続")))</f>
        <v>停止</v>
      </c>
      <c r="Z769" s="30" t="n">
        <v>60</v>
      </c>
      <c r="AA769" s="30" t="n">
        <v>0</v>
      </c>
      <c r="AB769" s="30" t="str">
        <f aca="false">IF(Z769&lt;判定条件!$C$6,"判定不能",IF(AA769&gt;=判定条件!$C$7*Z769,"運転",IF(AA769&lt;=判定条件!$C$8*Z769,"停止","断続")))</f>
        <v>停止</v>
      </c>
      <c r="AC769" s="30" t="n">
        <v>60</v>
      </c>
      <c r="AD769" s="30" t="n">
        <v>0</v>
      </c>
      <c r="AE769" s="30" t="str">
        <f aca="false">IF(AC769&lt;判定条件!$C$6,"判定不能",IF(AD769&gt;=判定条件!$C$7*AC769,"運転",IF(AD769&lt;=判定条件!$C$8*AC769,"停止","断続")))</f>
        <v>停止</v>
      </c>
      <c r="AF769" s="30" t="n">
        <v>60</v>
      </c>
      <c r="AG769" s="30" t="n">
        <v>0</v>
      </c>
      <c r="AH769" s="30" t="str">
        <f aca="false">IF(OR(P769="判定不能",G769="判定不能"),"判定不能",IF(AG769&gt;=判定条件!$C$9,"利用可",IF(AND(P769="停止",G769="停止"),"両方停止","運転がそろわない")))</f>
        <v>両方停止</v>
      </c>
      <c r="AI769" s="30" t="n">
        <v>60</v>
      </c>
      <c r="AJ769" s="30" t="n">
        <v>0</v>
      </c>
      <c r="AK769" s="30" t="str">
        <f aca="false">IF(OR(S769="判定不能",J769="判定不能"),"判定不能",IF(AJ769&gt;=判定条件!$C$9,"利用可",IF(AND(S769="停止",J769="停止"),"両方停止","運転がそろわない")))</f>
        <v>両方停止</v>
      </c>
      <c r="AL769" s="30" t="n">
        <v>60</v>
      </c>
      <c r="AM769" s="30" t="n">
        <v>0</v>
      </c>
      <c r="AN769" s="30" t="str">
        <f aca="false">IF(OR(V769="判定不能",M769="判定不能"),"判定不能",IF(AM769&gt;=判定条件!$C$9,"利用可",IF(AND(V769="停止",M769="停止"),"両方停止","運転がそろわない")))</f>
        <v>両方停止</v>
      </c>
      <c r="AO769" s="30" t="n">
        <v>60</v>
      </c>
      <c r="AP769" s="30" t="n">
        <v>0</v>
      </c>
      <c r="AQ769" s="30" t="str">
        <f aca="false">IF(OR(Y769="判定不能",G769="判定不能"),"判定不能",IF(AP769&gt;=判定条件!$C$9,"利用可",IF(AND(Y769="停止",G769="停止"),"両方停止","運転がそろわない")))</f>
        <v>両方停止</v>
      </c>
      <c r="AR769" s="30" t="n">
        <v>60</v>
      </c>
      <c r="AS769" s="30" t="n">
        <v>0</v>
      </c>
      <c r="AT769" s="30" t="str">
        <f aca="false">IF(OR(AB769="判定不能",J769="判定不能"),"判定不能",IF(AS769&gt;=判定条件!$C$9,"利用可",IF(AND(AB769="停止",J769="停止"),"両方停止","運転がそろわない")))</f>
        <v>両方停止</v>
      </c>
      <c r="AU769" s="30" t="n">
        <v>60</v>
      </c>
      <c r="AV769" s="30" t="n">
        <v>0</v>
      </c>
      <c r="AW769" s="30" t="str">
        <f aca="false">IF(OR(AE769="判定不能",M769="判定不能"),"判定不能",IF(AV769&gt;=判定条件!$C$9,"利用可",IF(AND(AE769="停止",M769="停止"),"両方停止","運転がそろわない")))</f>
        <v>両方停止</v>
      </c>
      <c r="AX769" s="30" t="str">
        <f aca="false">IF(AND(AH769="利用可",AK769="利用可",AN769="利用可"),"利用可","不可")</f>
        <v>不可</v>
      </c>
      <c r="AY769" s="30" t="str">
        <f aca="false">IF(AND(AQ769="利用可",AT769="利用可",AW769="利用可"),"利用可","不可")</f>
        <v>不可</v>
      </c>
    </row>
    <row r="770" customFormat="false" ht="15" hidden="false" customHeight="false" outlineLevel="0" collapsed="false">
      <c r="A770" s="29" t="n">
        <v>46263</v>
      </c>
      <c r="B770" s="30" t="n">
        <v>23</v>
      </c>
      <c r="C770" s="31" t="s">
        <v>63</v>
      </c>
      <c r="D770" s="31" t="s">
        <v>64</v>
      </c>
      <c r="E770" s="30" t="n">
        <v>60</v>
      </c>
      <c r="F770" s="30" t="n">
        <v>0</v>
      </c>
      <c r="G770" s="30" t="str">
        <f aca="false">IF(E770&lt;判定条件!$C$6,"判定不能",IF(F770&gt;=判定条件!$C$7*E770,"運転",IF(F770&lt;=判定条件!$C$8*E770,"停止","断続")))</f>
        <v>停止</v>
      </c>
      <c r="H770" s="30" t="n">
        <v>60</v>
      </c>
      <c r="I770" s="30" t="n">
        <v>0</v>
      </c>
      <c r="J770" s="30" t="str">
        <f aca="false">IF(H770&lt;判定条件!$C$6,"判定不能",IF(I770&gt;=判定条件!$C$7*H770,"運転",IF(I770&lt;=判定条件!$C$8*H770,"停止","断続")))</f>
        <v>停止</v>
      </c>
      <c r="K770" s="30" t="n">
        <v>60</v>
      </c>
      <c r="L770" s="30" t="n">
        <v>0</v>
      </c>
      <c r="M770" s="30" t="str">
        <f aca="false">IF(K770&lt;判定条件!$C$6,"判定不能",IF(L770&gt;=判定条件!$C$7*K770,"運転",IF(L770&lt;=判定条件!$C$8*K770,"停止","断続")))</f>
        <v>停止</v>
      </c>
      <c r="N770" s="30" t="n">
        <v>60</v>
      </c>
      <c r="O770" s="30" t="n">
        <v>0</v>
      </c>
      <c r="P770" s="30" t="str">
        <f aca="false">IF(N770&lt;判定条件!$C$6,"判定不能",IF(O770&gt;=判定条件!$C$7*N770,"運転",IF(O770&lt;=判定条件!$C$8*N770,"停止","断続")))</f>
        <v>停止</v>
      </c>
      <c r="Q770" s="30" t="n">
        <v>60</v>
      </c>
      <c r="R770" s="30" t="n">
        <v>0</v>
      </c>
      <c r="S770" s="30" t="str">
        <f aca="false">IF(Q770&lt;判定条件!$C$6,"判定不能",IF(R770&gt;=判定条件!$C$7*Q770,"運転",IF(R770&lt;=判定条件!$C$8*Q770,"停止","断続")))</f>
        <v>停止</v>
      </c>
      <c r="T770" s="30" t="n">
        <v>60</v>
      </c>
      <c r="U770" s="30" t="n">
        <v>0</v>
      </c>
      <c r="V770" s="30" t="str">
        <f aca="false">IF(T770&lt;判定条件!$C$6,"判定不能",IF(U770&gt;=判定条件!$C$7*T770,"運転",IF(U770&lt;=判定条件!$C$8*T770,"停止","断続")))</f>
        <v>停止</v>
      </c>
      <c r="W770" s="30" t="n">
        <v>60</v>
      </c>
      <c r="X770" s="30" t="n">
        <v>0</v>
      </c>
      <c r="Y770" s="30" t="str">
        <f aca="false">IF(W770&lt;判定条件!$C$6,"判定不能",IF(X770&gt;=判定条件!$C$7*W770,"運転",IF(X770&lt;=判定条件!$C$8*W770,"停止","断続")))</f>
        <v>停止</v>
      </c>
      <c r="Z770" s="30" t="n">
        <v>60</v>
      </c>
      <c r="AA770" s="30" t="n">
        <v>0</v>
      </c>
      <c r="AB770" s="30" t="str">
        <f aca="false">IF(Z770&lt;判定条件!$C$6,"判定不能",IF(AA770&gt;=判定条件!$C$7*Z770,"運転",IF(AA770&lt;=判定条件!$C$8*Z770,"停止","断続")))</f>
        <v>停止</v>
      </c>
      <c r="AC770" s="30" t="n">
        <v>60</v>
      </c>
      <c r="AD770" s="30" t="n">
        <v>0</v>
      </c>
      <c r="AE770" s="30" t="str">
        <f aca="false">IF(AC770&lt;判定条件!$C$6,"判定不能",IF(AD770&gt;=判定条件!$C$7*AC770,"運転",IF(AD770&lt;=判定条件!$C$8*AC770,"停止","断続")))</f>
        <v>停止</v>
      </c>
      <c r="AF770" s="30" t="n">
        <v>60</v>
      </c>
      <c r="AG770" s="30" t="n">
        <v>0</v>
      </c>
      <c r="AH770" s="30" t="str">
        <f aca="false">IF(OR(P770="判定不能",G770="判定不能"),"判定不能",IF(AG770&gt;=判定条件!$C$9,"利用可",IF(AND(P770="停止",G770="停止"),"両方停止","運転がそろわない")))</f>
        <v>両方停止</v>
      </c>
      <c r="AI770" s="30" t="n">
        <v>60</v>
      </c>
      <c r="AJ770" s="30" t="n">
        <v>0</v>
      </c>
      <c r="AK770" s="30" t="str">
        <f aca="false">IF(OR(S770="判定不能",J770="判定不能"),"判定不能",IF(AJ770&gt;=判定条件!$C$9,"利用可",IF(AND(S770="停止",J770="停止"),"両方停止","運転がそろわない")))</f>
        <v>両方停止</v>
      </c>
      <c r="AL770" s="30" t="n">
        <v>60</v>
      </c>
      <c r="AM770" s="30" t="n">
        <v>0</v>
      </c>
      <c r="AN770" s="30" t="str">
        <f aca="false">IF(OR(V770="判定不能",M770="判定不能"),"判定不能",IF(AM770&gt;=判定条件!$C$9,"利用可",IF(AND(V770="停止",M770="停止"),"両方停止","運転がそろわない")))</f>
        <v>両方停止</v>
      </c>
      <c r="AO770" s="30" t="n">
        <v>60</v>
      </c>
      <c r="AP770" s="30" t="n">
        <v>0</v>
      </c>
      <c r="AQ770" s="30" t="str">
        <f aca="false">IF(OR(Y770="判定不能",G770="判定不能"),"判定不能",IF(AP770&gt;=判定条件!$C$9,"利用可",IF(AND(Y770="停止",G770="停止"),"両方停止","運転がそろわない")))</f>
        <v>両方停止</v>
      </c>
      <c r="AR770" s="30" t="n">
        <v>60</v>
      </c>
      <c r="AS770" s="30" t="n">
        <v>0</v>
      </c>
      <c r="AT770" s="30" t="str">
        <f aca="false">IF(OR(AB770="判定不能",J770="判定不能"),"判定不能",IF(AS770&gt;=判定条件!$C$9,"利用可",IF(AND(AB770="停止",J770="停止"),"両方停止","運転がそろわない")))</f>
        <v>両方停止</v>
      </c>
      <c r="AU770" s="30" t="n">
        <v>60</v>
      </c>
      <c r="AV770" s="30" t="n">
        <v>0</v>
      </c>
      <c r="AW770" s="30" t="str">
        <f aca="false">IF(OR(AE770="判定不能",M770="判定不能"),"判定不能",IF(AV770&gt;=判定条件!$C$9,"利用可",IF(AND(AE770="停止",M770="停止"),"両方停止","運転がそろわない")))</f>
        <v>両方停止</v>
      </c>
      <c r="AX770" s="30" t="str">
        <f aca="false">IF(AND(AH770="利用可",AK770="利用可",AN770="利用可"),"利用可","不可")</f>
        <v>不可</v>
      </c>
      <c r="AY770" s="30" t="str">
        <f aca="false">IF(AND(AQ770="利用可",AT770="利用可",AW770="利用可"),"利用可","不可")</f>
        <v>不可</v>
      </c>
    </row>
    <row r="771" customFormat="false" ht="15" hidden="false" customHeight="false" outlineLevel="0" collapsed="false">
      <c r="A771" s="29" t="n">
        <v>46264</v>
      </c>
      <c r="B771" s="30" t="n">
        <v>0</v>
      </c>
      <c r="C771" s="31" t="s">
        <v>65</v>
      </c>
      <c r="D771" s="31" t="s">
        <v>64</v>
      </c>
      <c r="E771" s="30" t="n">
        <v>60</v>
      </c>
      <c r="F771" s="30" t="n">
        <v>0</v>
      </c>
      <c r="G771" s="30" t="str">
        <f aca="false">IF(E771&lt;判定条件!$C$6,"判定不能",IF(F771&gt;=判定条件!$C$7*E771,"運転",IF(F771&lt;=判定条件!$C$8*E771,"停止","断続")))</f>
        <v>停止</v>
      </c>
      <c r="H771" s="30" t="n">
        <v>60</v>
      </c>
      <c r="I771" s="30" t="n">
        <v>0</v>
      </c>
      <c r="J771" s="30" t="str">
        <f aca="false">IF(H771&lt;判定条件!$C$6,"判定不能",IF(I771&gt;=判定条件!$C$7*H771,"運転",IF(I771&lt;=判定条件!$C$8*H771,"停止","断続")))</f>
        <v>停止</v>
      </c>
      <c r="K771" s="30" t="n">
        <v>60</v>
      </c>
      <c r="L771" s="30" t="n">
        <v>0</v>
      </c>
      <c r="M771" s="30" t="str">
        <f aca="false">IF(K771&lt;判定条件!$C$6,"判定不能",IF(L771&gt;=判定条件!$C$7*K771,"運転",IF(L771&lt;=判定条件!$C$8*K771,"停止","断続")))</f>
        <v>停止</v>
      </c>
      <c r="N771" s="30" t="n">
        <v>60</v>
      </c>
      <c r="O771" s="30" t="n">
        <v>0</v>
      </c>
      <c r="P771" s="30" t="str">
        <f aca="false">IF(N771&lt;判定条件!$C$6,"判定不能",IF(O771&gt;=判定条件!$C$7*N771,"運転",IF(O771&lt;=判定条件!$C$8*N771,"停止","断続")))</f>
        <v>停止</v>
      </c>
      <c r="Q771" s="30" t="n">
        <v>60</v>
      </c>
      <c r="R771" s="30" t="n">
        <v>0</v>
      </c>
      <c r="S771" s="30" t="str">
        <f aca="false">IF(Q771&lt;判定条件!$C$6,"判定不能",IF(R771&gt;=判定条件!$C$7*Q771,"運転",IF(R771&lt;=判定条件!$C$8*Q771,"停止","断続")))</f>
        <v>停止</v>
      </c>
      <c r="T771" s="30" t="n">
        <v>60</v>
      </c>
      <c r="U771" s="30" t="n">
        <v>0</v>
      </c>
      <c r="V771" s="30" t="str">
        <f aca="false">IF(T771&lt;判定条件!$C$6,"判定不能",IF(U771&gt;=判定条件!$C$7*T771,"運転",IF(U771&lt;=判定条件!$C$8*T771,"停止","断続")))</f>
        <v>停止</v>
      </c>
      <c r="W771" s="30" t="n">
        <v>60</v>
      </c>
      <c r="X771" s="30" t="n">
        <v>0</v>
      </c>
      <c r="Y771" s="30" t="str">
        <f aca="false">IF(W771&lt;判定条件!$C$6,"判定不能",IF(X771&gt;=判定条件!$C$7*W771,"運転",IF(X771&lt;=判定条件!$C$8*W771,"停止","断続")))</f>
        <v>停止</v>
      </c>
      <c r="Z771" s="30" t="n">
        <v>60</v>
      </c>
      <c r="AA771" s="30" t="n">
        <v>0</v>
      </c>
      <c r="AB771" s="30" t="str">
        <f aca="false">IF(Z771&lt;判定条件!$C$6,"判定不能",IF(AA771&gt;=判定条件!$C$7*Z771,"運転",IF(AA771&lt;=判定条件!$C$8*Z771,"停止","断続")))</f>
        <v>停止</v>
      </c>
      <c r="AC771" s="30" t="n">
        <v>60</v>
      </c>
      <c r="AD771" s="30" t="n">
        <v>0</v>
      </c>
      <c r="AE771" s="30" t="str">
        <f aca="false">IF(AC771&lt;判定条件!$C$6,"判定不能",IF(AD771&gt;=判定条件!$C$7*AC771,"運転",IF(AD771&lt;=判定条件!$C$8*AC771,"停止","断続")))</f>
        <v>停止</v>
      </c>
      <c r="AF771" s="30" t="n">
        <v>60</v>
      </c>
      <c r="AG771" s="30" t="n">
        <v>0</v>
      </c>
      <c r="AH771" s="30" t="str">
        <f aca="false">IF(OR(P771="判定不能",G771="判定不能"),"判定不能",IF(AG771&gt;=判定条件!$C$9,"利用可",IF(AND(P771="停止",G771="停止"),"両方停止","運転がそろわない")))</f>
        <v>両方停止</v>
      </c>
      <c r="AI771" s="30" t="n">
        <v>60</v>
      </c>
      <c r="AJ771" s="30" t="n">
        <v>0</v>
      </c>
      <c r="AK771" s="30" t="str">
        <f aca="false">IF(OR(S771="判定不能",J771="判定不能"),"判定不能",IF(AJ771&gt;=判定条件!$C$9,"利用可",IF(AND(S771="停止",J771="停止"),"両方停止","運転がそろわない")))</f>
        <v>両方停止</v>
      </c>
      <c r="AL771" s="30" t="n">
        <v>60</v>
      </c>
      <c r="AM771" s="30" t="n">
        <v>0</v>
      </c>
      <c r="AN771" s="30" t="str">
        <f aca="false">IF(OR(V771="判定不能",M771="判定不能"),"判定不能",IF(AM771&gt;=判定条件!$C$9,"利用可",IF(AND(V771="停止",M771="停止"),"両方停止","運転がそろわない")))</f>
        <v>両方停止</v>
      </c>
      <c r="AO771" s="30" t="n">
        <v>60</v>
      </c>
      <c r="AP771" s="30" t="n">
        <v>0</v>
      </c>
      <c r="AQ771" s="30" t="str">
        <f aca="false">IF(OR(Y771="判定不能",G771="判定不能"),"判定不能",IF(AP771&gt;=判定条件!$C$9,"利用可",IF(AND(Y771="停止",G771="停止"),"両方停止","運転がそろわない")))</f>
        <v>両方停止</v>
      </c>
      <c r="AR771" s="30" t="n">
        <v>60</v>
      </c>
      <c r="AS771" s="30" t="n">
        <v>0</v>
      </c>
      <c r="AT771" s="30" t="str">
        <f aca="false">IF(OR(AB771="判定不能",J771="判定不能"),"判定不能",IF(AS771&gt;=判定条件!$C$9,"利用可",IF(AND(AB771="停止",J771="停止"),"両方停止","運転がそろわない")))</f>
        <v>両方停止</v>
      </c>
      <c r="AU771" s="30" t="n">
        <v>60</v>
      </c>
      <c r="AV771" s="30" t="n">
        <v>0</v>
      </c>
      <c r="AW771" s="30" t="str">
        <f aca="false">IF(OR(AE771="判定不能",M771="判定不能"),"判定不能",IF(AV771&gt;=判定条件!$C$9,"利用可",IF(AND(AE771="停止",M771="停止"),"両方停止","運転がそろわない")))</f>
        <v>両方停止</v>
      </c>
      <c r="AX771" s="30" t="str">
        <f aca="false">IF(AND(AH771="利用可",AK771="利用可",AN771="利用可"),"利用可","不可")</f>
        <v>不可</v>
      </c>
      <c r="AY771" s="30" t="str">
        <f aca="false">IF(AND(AQ771="利用可",AT771="利用可",AW771="利用可"),"利用可","不可")</f>
        <v>不可</v>
      </c>
    </row>
    <row r="772" customFormat="false" ht="15" hidden="false" customHeight="false" outlineLevel="0" collapsed="false">
      <c r="A772" s="29" t="n">
        <v>46264</v>
      </c>
      <c r="B772" s="30" t="n">
        <v>1</v>
      </c>
      <c r="C772" s="31" t="s">
        <v>65</v>
      </c>
      <c r="D772" s="31" t="s">
        <v>64</v>
      </c>
      <c r="E772" s="30" t="n">
        <v>60</v>
      </c>
      <c r="F772" s="30" t="n">
        <v>0</v>
      </c>
      <c r="G772" s="30" t="str">
        <f aca="false">IF(E772&lt;判定条件!$C$6,"判定不能",IF(F772&gt;=判定条件!$C$7*E772,"運転",IF(F772&lt;=判定条件!$C$8*E772,"停止","断続")))</f>
        <v>停止</v>
      </c>
      <c r="H772" s="30" t="n">
        <v>60</v>
      </c>
      <c r="I772" s="30" t="n">
        <v>0</v>
      </c>
      <c r="J772" s="30" t="str">
        <f aca="false">IF(H772&lt;判定条件!$C$6,"判定不能",IF(I772&gt;=判定条件!$C$7*H772,"運転",IF(I772&lt;=判定条件!$C$8*H772,"停止","断続")))</f>
        <v>停止</v>
      </c>
      <c r="K772" s="30" t="n">
        <v>60</v>
      </c>
      <c r="L772" s="30" t="n">
        <v>0</v>
      </c>
      <c r="M772" s="30" t="str">
        <f aca="false">IF(K772&lt;判定条件!$C$6,"判定不能",IF(L772&gt;=判定条件!$C$7*K772,"運転",IF(L772&lt;=判定条件!$C$8*K772,"停止","断続")))</f>
        <v>停止</v>
      </c>
      <c r="N772" s="30" t="n">
        <v>60</v>
      </c>
      <c r="O772" s="30" t="n">
        <v>0</v>
      </c>
      <c r="P772" s="30" t="str">
        <f aca="false">IF(N772&lt;判定条件!$C$6,"判定不能",IF(O772&gt;=判定条件!$C$7*N772,"運転",IF(O772&lt;=判定条件!$C$8*N772,"停止","断続")))</f>
        <v>停止</v>
      </c>
      <c r="Q772" s="30" t="n">
        <v>60</v>
      </c>
      <c r="R772" s="30" t="n">
        <v>0</v>
      </c>
      <c r="S772" s="30" t="str">
        <f aca="false">IF(Q772&lt;判定条件!$C$6,"判定不能",IF(R772&gt;=判定条件!$C$7*Q772,"運転",IF(R772&lt;=判定条件!$C$8*Q772,"停止","断続")))</f>
        <v>停止</v>
      </c>
      <c r="T772" s="30" t="n">
        <v>60</v>
      </c>
      <c r="U772" s="30" t="n">
        <v>0</v>
      </c>
      <c r="V772" s="30" t="str">
        <f aca="false">IF(T772&lt;判定条件!$C$6,"判定不能",IF(U772&gt;=判定条件!$C$7*T772,"運転",IF(U772&lt;=判定条件!$C$8*T772,"停止","断続")))</f>
        <v>停止</v>
      </c>
      <c r="W772" s="30" t="n">
        <v>60</v>
      </c>
      <c r="X772" s="30" t="n">
        <v>0</v>
      </c>
      <c r="Y772" s="30" t="str">
        <f aca="false">IF(W772&lt;判定条件!$C$6,"判定不能",IF(X772&gt;=判定条件!$C$7*W772,"運転",IF(X772&lt;=判定条件!$C$8*W772,"停止","断続")))</f>
        <v>停止</v>
      </c>
      <c r="Z772" s="30" t="n">
        <v>60</v>
      </c>
      <c r="AA772" s="30" t="n">
        <v>0</v>
      </c>
      <c r="AB772" s="30" t="str">
        <f aca="false">IF(Z772&lt;判定条件!$C$6,"判定不能",IF(AA772&gt;=判定条件!$C$7*Z772,"運転",IF(AA772&lt;=判定条件!$C$8*Z772,"停止","断続")))</f>
        <v>停止</v>
      </c>
      <c r="AC772" s="30" t="n">
        <v>60</v>
      </c>
      <c r="AD772" s="30" t="n">
        <v>0</v>
      </c>
      <c r="AE772" s="30" t="str">
        <f aca="false">IF(AC772&lt;判定条件!$C$6,"判定不能",IF(AD772&gt;=判定条件!$C$7*AC772,"運転",IF(AD772&lt;=判定条件!$C$8*AC772,"停止","断続")))</f>
        <v>停止</v>
      </c>
      <c r="AF772" s="30" t="n">
        <v>60</v>
      </c>
      <c r="AG772" s="30" t="n">
        <v>0</v>
      </c>
      <c r="AH772" s="30" t="str">
        <f aca="false">IF(OR(P772="判定不能",G772="判定不能"),"判定不能",IF(AG772&gt;=判定条件!$C$9,"利用可",IF(AND(P772="停止",G772="停止"),"両方停止","運転がそろわない")))</f>
        <v>両方停止</v>
      </c>
      <c r="AI772" s="30" t="n">
        <v>60</v>
      </c>
      <c r="AJ772" s="30" t="n">
        <v>0</v>
      </c>
      <c r="AK772" s="30" t="str">
        <f aca="false">IF(OR(S772="判定不能",J772="判定不能"),"判定不能",IF(AJ772&gt;=判定条件!$C$9,"利用可",IF(AND(S772="停止",J772="停止"),"両方停止","運転がそろわない")))</f>
        <v>両方停止</v>
      </c>
      <c r="AL772" s="30" t="n">
        <v>60</v>
      </c>
      <c r="AM772" s="30" t="n">
        <v>0</v>
      </c>
      <c r="AN772" s="30" t="str">
        <f aca="false">IF(OR(V772="判定不能",M772="判定不能"),"判定不能",IF(AM772&gt;=判定条件!$C$9,"利用可",IF(AND(V772="停止",M772="停止"),"両方停止","運転がそろわない")))</f>
        <v>両方停止</v>
      </c>
      <c r="AO772" s="30" t="n">
        <v>60</v>
      </c>
      <c r="AP772" s="30" t="n">
        <v>0</v>
      </c>
      <c r="AQ772" s="30" t="str">
        <f aca="false">IF(OR(Y772="判定不能",G772="判定不能"),"判定不能",IF(AP772&gt;=判定条件!$C$9,"利用可",IF(AND(Y772="停止",G772="停止"),"両方停止","運転がそろわない")))</f>
        <v>両方停止</v>
      </c>
      <c r="AR772" s="30" t="n">
        <v>60</v>
      </c>
      <c r="AS772" s="30" t="n">
        <v>0</v>
      </c>
      <c r="AT772" s="30" t="str">
        <f aca="false">IF(OR(AB772="判定不能",J772="判定不能"),"判定不能",IF(AS772&gt;=判定条件!$C$9,"利用可",IF(AND(AB772="停止",J772="停止"),"両方停止","運転がそろわない")))</f>
        <v>両方停止</v>
      </c>
      <c r="AU772" s="30" t="n">
        <v>60</v>
      </c>
      <c r="AV772" s="30" t="n">
        <v>0</v>
      </c>
      <c r="AW772" s="30" t="str">
        <f aca="false">IF(OR(AE772="判定不能",M772="判定不能"),"判定不能",IF(AV772&gt;=判定条件!$C$9,"利用可",IF(AND(AE772="停止",M772="停止"),"両方停止","運転がそろわない")))</f>
        <v>両方停止</v>
      </c>
      <c r="AX772" s="30" t="str">
        <f aca="false">IF(AND(AH772="利用可",AK772="利用可",AN772="利用可"),"利用可","不可")</f>
        <v>不可</v>
      </c>
      <c r="AY772" s="30" t="str">
        <f aca="false">IF(AND(AQ772="利用可",AT772="利用可",AW772="利用可"),"利用可","不可")</f>
        <v>不可</v>
      </c>
    </row>
    <row r="773" customFormat="false" ht="15" hidden="false" customHeight="false" outlineLevel="0" collapsed="false">
      <c r="A773" s="29" t="n">
        <v>46264</v>
      </c>
      <c r="B773" s="30" t="n">
        <v>2</v>
      </c>
      <c r="C773" s="31" t="s">
        <v>65</v>
      </c>
      <c r="D773" s="31" t="s">
        <v>64</v>
      </c>
      <c r="E773" s="30" t="n">
        <v>60</v>
      </c>
      <c r="F773" s="30" t="n">
        <v>0</v>
      </c>
      <c r="G773" s="30" t="str">
        <f aca="false">IF(E773&lt;判定条件!$C$6,"判定不能",IF(F773&gt;=判定条件!$C$7*E773,"運転",IF(F773&lt;=判定条件!$C$8*E773,"停止","断続")))</f>
        <v>停止</v>
      </c>
      <c r="H773" s="30" t="n">
        <v>60</v>
      </c>
      <c r="I773" s="30" t="n">
        <v>0</v>
      </c>
      <c r="J773" s="30" t="str">
        <f aca="false">IF(H773&lt;判定条件!$C$6,"判定不能",IF(I773&gt;=判定条件!$C$7*H773,"運転",IF(I773&lt;=判定条件!$C$8*H773,"停止","断続")))</f>
        <v>停止</v>
      </c>
      <c r="K773" s="30" t="n">
        <v>60</v>
      </c>
      <c r="L773" s="30" t="n">
        <v>0</v>
      </c>
      <c r="M773" s="30" t="str">
        <f aca="false">IF(K773&lt;判定条件!$C$6,"判定不能",IF(L773&gt;=判定条件!$C$7*K773,"運転",IF(L773&lt;=判定条件!$C$8*K773,"停止","断続")))</f>
        <v>停止</v>
      </c>
      <c r="N773" s="30" t="n">
        <v>60</v>
      </c>
      <c r="O773" s="30" t="n">
        <v>0</v>
      </c>
      <c r="P773" s="30" t="str">
        <f aca="false">IF(N773&lt;判定条件!$C$6,"判定不能",IF(O773&gt;=判定条件!$C$7*N773,"運転",IF(O773&lt;=判定条件!$C$8*N773,"停止","断続")))</f>
        <v>停止</v>
      </c>
      <c r="Q773" s="30" t="n">
        <v>60</v>
      </c>
      <c r="R773" s="30" t="n">
        <v>0</v>
      </c>
      <c r="S773" s="30" t="str">
        <f aca="false">IF(Q773&lt;判定条件!$C$6,"判定不能",IF(R773&gt;=判定条件!$C$7*Q773,"運転",IF(R773&lt;=判定条件!$C$8*Q773,"停止","断続")))</f>
        <v>停止</v>
      </c>
      <c r="T773" s="30" t="n">
        <v>60</v>
      </c>
      <c r="U773" s="30" t="n">
        <v>0</v>
      </c>
      <c r="V773" s="30" t="str">
        <f aca="false">IF(T773&lt;判定条件!$C$6,"判定不能",IF(U773&gt;=判定条件!$C$7*T773,"運転",IF(U773&lt;=判定条件!$C$8*T773,"停止","断続")))</f>
        <v>停止</v>
      </c>
      <c r="W773" s="30" t="n">
        <v>60</v>
      </c>
      <c r="X773" s="30" t="n">
        <v>0</v>
      </c>
      <c r="Y773" s="30" t="str">
        <f aca="false">IF(W773&lt;判定条件!$C$6,"判定不能",IF(X773&gt;=判定条件!$C$7*W773,"運転",IF(X773&lt;=判定条件!$C$8*W773,"停止","断続")))</f>
        <v>停止</v>
      </c>
      <c r="Z773" s="30" t="n">
        <v>60</v>
      </c>
      <c r="AA773" s="30" t="n">
        <v>0</v>
      </c>
      <c r="AB773" s="30" t="str">
        <f aca="false">IF(Z773&lt;判定条件!$C$6,"判定不能",IF(AA773&gt;=判定条件!$C$7*Z773,"運転",IF(AA773&lt;=判定条件!$C$8*Z773,"停止","断続")))</f>
        <v>停止</v>
      </c>
      <c r="AC773" s="30" t="n">
        <v>60</v>
      </c>
      <c r="AD773" s="30" t="n">
        <v>0</v>
      </c>
      <c r="AE773" s="30" t="str">
        <f aca="false">IF(AC773&lt;判定条件!$C$6,"判定不能",IF(AD773&gt;=判定条件!$C$7*AC773,"運転",IF(AD773&lt;=判定条件!$C$8*AC773,"停止","断続")))</f>
        <v>停止</v>
      </c>
      <c r="AF773" s="30" t="n">
        <v>60</v>
      </c>
      <c r="AG773" s="30" t="n">
        <v>0</v>
      </c>
      <c r="AH773" s="30" t="str">
        <f aca="false">IF(OR(P773="判定不能",G773="判定不能"),"判定不能",IF(AG773&gt;=判定条件!$C$9,"利用可",IF(AND(P773="停止",G773="停止"),"両方停止","運転がそろわない")))</f>
        <v>両方停止</v>
      </c>
      <c r="AI773" s="30" t="n">
        <v>60</v>
      </c>
      <c r="AJ773" s="30" t="n">
        <v>0</v>
      </c>
      <c r="AK773" s="30" t="str">
        <f aca="false">IF(OR(S773="判定不能",J773="判定不能"),"判定不能",IF(AJ773&gt;=判定条件!$C$9,"利用可",IF(AND(S773="停止",J773="停止"),"両方停止","運転がそろわない")))</f>
        <v>両方停止</v>
      </c>
      <c r="AL773" s="30" t="n">
        <v>60</v>
      </c>
      <c r="AM773" s="30" t="n">
        <v>0</v>
      </c>
      <c r="AN773" s="30" t="str">
        <f aca="false">IF(OR(V773="判定不能",M773="判定不能"),"判定不能",IF(AM773&gt;=判定条件!$C$9,"利用可",IF(AND(V773="停止",M773="停止"),"両方停止","運転がそろわない")))</f>
        <v>両方停止</v>
      </c>
      <c r="AO773" s="30" t="n">
        <v>60</v>
      </c>
      <c r="AP773" s="30" t="n">
        <v>0</v>
      </c>
      <c r="AQ773" s="30" t="str">
        <f aca="false">IF(OR(Y773="判定不能",G773="判定不能"),"判定不能",IF(AP773&gt;=判定条件!$C$9,"利用可",IF(AND(Y773="停止",G773="停止"),"両方停止","運転がそろわない")))</f>
        <v>両方停止</v>
      </c>
      <c r="AR773" s="30" t="n">
        <v>60</v>
      </c>
      <c r="AS773" s="30" t="n">
        <v>0</v>
      </c>
      <c r="AT773" s="30" t="str">
        <f aca="false">IF(OR(AB773="判定不能",J773="判定不能"),"判定不能",IF(AS773&gt;=判定条件!$C$9,"利用可",IF(AND(AB773="停止",J773="停止"),"両方停止","運転がそろわない")))</f>
        <v>両方停止</v>
      </c>
      <c r="AU773" s="30" t="n">
        <v>60</v>
      </c>
      <c r="AV773" s="30" t="n">
        <v>0</v>
      </c>
      <c r="AW773" s="30" t="str">
        <f aca="false">IF(OR(AE773="判定不能",M773="判定不能"),"判定不能",IF(AV773&gt;=判定条件!$C$9,"利用可",IF(AND(AE773="停止",M773="停止"),"両方停止","運転がそろわない")))</f>
        <v>両方停止</v>
      </c>
      <c r="AX773" s="30" t="str">
        <f aca="false">IF(AND(AH773="利用可",AK773="利用可",AN773="利用可"),"利用可","不可")</f>
        <v>不可</v>
      </c>
      <c r="AY773" s="30" t="str">
        <f aca="false">IF(AND(AQ773="利用可",AT773="利用可",AW773="利用可"),"利用可","不可")</f>
        <v>不可</v>
      </c>
    </row>
    <row r="774" customFormat="false" ht="15" hidden="false" customHeight="false" outlineLevel="0" collapsed="false">
      <c r="A774" s="29" t="n">
        <v>46264</v>
      </c>
      <c r="B774" s="30" t="n">
        <v>3</v>
      </c>
      <c r="C774" s="31" t="s">
        <v>65</v>
      </c>
      <c r="D774" s="31" t="s">
        <v>64</v>
      </c>
      <c r="E774" s="30" t="n">
        <v>60</v>
      </c>
      <c r="F774" s="30" t="n">
        <v>0</v>
      </c>
      <c r="G774" s="30" t="str">
        <f aca="false">IF(E774&lt;判定条件!$C$6,"判定不能",IF(F774&gt;=判定条件!$C$7*E774,"運転",IF(F774&lt;=判定条件!$C$8*E774,"停止","断続")))</f>
        <v>停止</v>
      </c>
      <c r="H774" s="30" t="n">
        <v>60</v>
      </c>
      <c r="I774" s="30" t="n">
        <v>0</v>
      </c>
      <c r="J774" s="30" t="str">
        <f aca="false">IF(H774&lt;判定条件!$C$6,"判定不能",IF(I774&gt;=判定条件!$C$7*H774,"運転",IF(I774&lt;=判定条件!$C$8*H774,"停止","断続")))</f>
        <v>停止</v>
      </c>
      <c r="K774" s="30" t="n">
        <v>60</v>
      </c>
      <c r="L774" s="30" t="n">
        <v>0</v>
      </c>
      <c r="M774" s="30" t="str">
        <f aca="false">IF(K774&lt;判定条件!$C$6,"判定不能",IF(L774&gt;=判定条件!$C$7*K774,"運転",IF(L774&lt;=判定条件!$C$8*K774,"停止","断続")))</f>
        <v>停止</v>
      </c>
      <c r="N774" s="30" t="n">
        <v>60</v>
      </c>
      <c r="O774" s="30" t="n">
        <v>0</v>
      </c>
      <c r="P774" s="30" t="str">
        <f aca="false">IF(N774&lt;判定条件!$C$6,"判定不能",IF(O774&gt;=判定条件!$C$7*N774,"運転",IF(O774&lt;=判定条件!$C$8*N774,"停止","断続")))</f>
        <v>停止</v>
      </c>
      <c r="Q774" s="30" t="n">
        <v>60</v>
      </c>
      <c r="R774" s="30" t="n">
        <v>0</v>
      </c>
      <c r="S774" s="30" t="str">
        <f aca="false">IF(Q774&lt;判定条件!$C$6,"判定不能",IF(R774&gt;=判定条件!$C$7*Q774,"運転",IF(R774&lt;=判定条件!$C$8*Q774,"停止","断続")))</f>
        <v>停止</v>
      </c>
      <c r="T774" s="30" t="n">
        <v>60</v>
      </c>
      <c r="U774" s="30" t="n">
        <v>0</v>
      </c>
      <c r="V774" s="30" t="str">
        <f aca="false">IF(T774&lt;判定条件!$C$6,"判定不能",IF(U774&gt;=判定条件!$C$7*T774,"運転",IF(U774&lt;=判定条件!$C$8*T774,"停止","断続")))</f>
        <v>停止</v>
      </c>
      <c r="W774" s="30" t="n">
        <v>60</v>
      </c>
      <c r="X774" s="30" t="n">
        <v>0</v>
      </c>
      <c r="Y774" s="30" t="str">
        <f aca="false">IF(W774&lt;判定条件!$C$6,"判定不能",IF(X774&gt;=判定条件!$C$7*W774,"運転",IF(X774&lt;=判定条件!$C$8*W774,"停止","断続")))</f>
        <v>停止</v>
      </c>
      <c r="Z774" s="30" t="n">
        <v>60</v>
      </c>
      <c r="AA774" s="30" t="n">
        <v>0</v>
      </c>
      <c r="AB774" s="30" t="str">
        <f aca="false">IF(Z774&lt;判定条件!$C$6,"判定不能",IF(AA774&gt;=判定条件!$C$7*Z774,"運転",IF(AA774&lt;=判定条件!$C$8*Z774,"停止","断続")))</f>
        <v>停止</v>
      </c>
      <c r="AC774" s="30" t="n">
        <v>60</v>
      </c>
      <c r="AD774" s="30" t="n">
        <v>0</v>
      </c>
      <c r="AE774" s="30" t="str">
        <f aca="false">IF(AC774&lt;判定条件!$C$6,"判定不能",IF(AD774&gt;=判定条件!$C$7*AC774,"運転",IF(AD774&lt;=判定条件!$C$8*AC774,"停止","断続")))</f>
        <v>停止</v>
      </c>
      <c r="AF774" s="30" t="n">
        <v>60</v>
      </c>
      <c r="AG774" s="30" t="n">
        <v>0</v>
      </c>
      <c r="AH774" s="30" t="str">
        <f aca="false">IF(OR(P774="判定不能",G774="判定不能"),"判定不能",IF(AG774&gt;=判定条件!$C$9,"利用可",IF(AND(P774="停止",G774="停止"),"両方停止","運転がそろわない")))</f>
        <v>両方停止</v>
      </c>
      <c r="AI774" s="30" t="n">
        <v>60</v>
      </c>
      <c r="AJ774" s="30" t="n">
        <v>0</v>
      </c>
      <c r="AK774" s="30" t="str">
        <f aca="false">IF(OR(S774="判定不能",J774="判定不能"),"判定不能",IF(AJ774&gt;=判定条件!$C$9,"利用可",IF(AND(S774="停止",J774="停止"),"両方停止","運転がそろわない")))</f>
        <v>両方停止</v>
      </c>
      <c r="AL774" s="30" t="n">
        <v>60</v>
      </c>
      <c r="AM774" s="30" t="n">
        <v>0</v>
      </c>
      <c r="AN774" s="30" t="str">
        <f aca="false">IF(OR(V774="判定不能",M774="判定不能"),"判定不能",IF(AM774&gt;=判定条件!$C$9,"利用可",IF(AND(V774="停止",M774="停止"),"両方停止","運転がそろわない")))</f>
        <v>両方停止</v>
      </c>
      <c r="AO774" s="30" t="n">
        <v>60</v>
      </c>
      <c r="AP774" s="30" t="n">
        <v>0</v>
      </c>
      <c r="AQ774" s="30" t="str">
        <f aca="false">IF(OR(Y774="判定不能",G774="判定不能"),"判定不能",IF(AP774&gt;=判定条件!$C$9,"利用可",IF(AND(Y774="停止",G774="停止"),"両方停止","運転がそろわない")))</f>
        <v>両方停止</v>
      </c>
      <c r="AR774" s="30" t="n">
        <v>60</v>
      </c>
      <c r="AS774" s="30" t="n">
        <v>0</v>
      </c>
      <c r="AT774" s="30" t="str">
        <f aca="false">IF(OR(AB774="判定不能",J774="判定不能"),"判定不能",IF(AS774&gt;=判定条件!$C$9,"利用可",IF(AND(AB774="停止",J774="停止"),"両方停止","運転がそろわない")))</f>
        <v>両方停止</v>
      </c>
      <c r="AU774" s="30" t="n">
        <v>60</v>
      </c>
      <c r="AV774" s="30" t="n">
        <v>0</v>
      </c>
      <c r="AW774" s="30" t="str">
        <f aca="false">IF(OR(AE774="判定不能",M774="判定不能"),"判定不能",IF(AV774&gt;=判定条件!$C$9,"利用可",IF(AND(AE774="停止",M774="停止"),"両方停止","運転がそろわない")))</f>
        <v>両方停止</v>
      </c>
      <c r="AX774" s="30" t="str">
        <f aca="false">IF(AND(AH774="利用可",AK774="利用可",AN774="利用可"),"利用可","不可")</f>
        <v>不可</v>
      </c>
      <c r="AY774" s="30" t="str">
        <f aca="false">IF(AND(AQ774="利用可",AT774="利用可",AW774="利用可"),"利用可","不可")</f>
        <v>不可</v>
      </c>
    </row>
    <row r="775" customFormat="false" ht="15" hidden="false" customHeight="false" outlineLevel="0" collapsed="false">
      <c r="A775" s="29" t="n">
        <v>46264</v>
      </c>
      <c r="B775" s="30" t="n">
        <v>4</v>
      </c>
      <c r="C775" s="31" t="s">
        <v>65</v>
      </c>
      <c r="D775" s="31" t="s">
        <v>64</v>
      </c>
      <c r="E775" s="30" t="n">
        <v>60</v>
      </c>
      <c r="F775" s="30" t="n">
        <v>0</v>
      </c>
      <c r="G775" s="30" t="str">
        <f aca="false">IF(E775&lt;判定条件!$C$6,"判定不能",IF(F775&gt;=判定条件!$C$7*E775,"運転",IF(F775&lt;=判定条件!$C$8*E775,"停止","断続")))</f>
        <v>停止</v>
      </c>
      <c r="H775" s="30" t="n">
        <v>18</v>
      </c>
      <c r="I775" s="30" t="n">
        <v>0</v>
      </c>
      <c r="J775" s="30" t="str">
        <f aca="false">IF(H775&lt;判定条件!$C$6,"判定不能",IF(I775&gt;=判定条件!$C$7*H775,"運転",IF(I775&lt;=判定条件!$C$8*H775,"停止","断続")))</f>
        <v>判定不能</v>
      </c>
      <c r="K775" s="30" t="n">
        <v>60</v>
      </c>
      <c r="L775" s="30" t="n">
        <v>0</v>
      </c>
      <c r="M775" s="30" t="str">
        <f aca="false">IF(K775&lt;判定条件!$C$6,"判定不能",IF(L775&gt;=判定条件!$C$7*K775,"運転",IF(L775&lt;=判定条件!$C$8*K775,"停止","断続")))</f>
        <v>停止</v>
      </c>
      <c r="N775" s="30" t="n">
        <v>60</v>
      </c>
      <c r="O775" s="30" t="n">
        <v>0</v>
      </c>
      <c r="P775" s="30" t="str">
        <f aca="false">IF(N775&lt;判定条件!$C$6,"判定不能",IF(O775&gt;=判定条件!$C$7*N775,"運転",IF(O775&lt;=判定条件!$C$8*N775,"停止","断続")))</f>
        <v>停止</v>
      </c>
      <c r="Q775" s="30" t="n">
        <v>60</v>
      </c>
      <c r="R775" s="30" t="n">
        <v>0</v>
      </c>
      <c r="S775" s="30" t="str">
        <f aca="false">IF(Q775&lt;判定条件!$C$6,"判定不能",IF(R775&gt;=判定条件!$C$7*Q775,"運転",IF(R775&lt;=判定条件!$C$8*Q775,"停止","断続")))</f>
        <v>停止</v>
      </c>
      <c r="T775" s="30" t="n">
        <v>60</v>
      </c>
      <c r="U775" s="30" t="n">
        <v>0</v>
      </c>
      <c r="V775" s="30" t="str">
        <f aca="false">IF(T775&lt;判定条件!$C$6,"判定不能",IF(U775&gt;=判定条件!$C$7*T775,"運転",IF(U775&lt;=判定条件!$C$8*T775,"停止","断続")))</f>
        <v>停止</v>
      </c>
      <c r="W775" s="30" t="n">
        <v>60</v>
      </c>
      <c r="X775" s="30" t="n">
        <v>0</v>
      </c>
      <c r="Y775" s="30" t="str">
        <f aca="false">IF(W775&lt;判定条件!$C$6,"判定不能",IF(X775&gt;=判定条件!$C$7*W775,"運転",IF(X775&lt;=判定条件!$C$8*W775,"停止","断続")))</f>
        <v>停止</v>
      </c>
      <c r="Z775" s="30" t="n">
        <v>60</v>
      </c>
      <c r="AA775" s="30" t="n">
        <v>0</v>
      </c>
      <c r="AB775" s="30" t="str">
        <f aca="false">IF(Z775&lt;判定条件!$C$6,"判定不能",IF(AA775&gt;=判定条件!$C$7*Z775,"運転",IF(AA775&lt;=判定条件!$C$8*Z775,"停止","断続")))</f>
        <v>停止</v>
      </c>
      <c r="AC775" s="30" t="n">
        <v>60</v>
      </c>
      <c r="AD775" s="30" t="n">
        <v>0</v>
      </c>
      <c r="AE775" s="30" t="str">
        <f aca="false">IF(AC775&lt;判定条件!$C$6,"判定不能",IF(AD775&gt;=判定条件!$C$7*AC775,"運転",IF(AD775&lt;=判定条件!$C$8*AC775,"停止","断続")))</f>
        <v>停止</v>
      </c>
      <c r="AF775" s="30" t="n">
        <v>60</v>
      </c>
      <c r="AG775" s="30" t="n">
        <v>0</v>
      </c>
      <c r="AH775" s="30" t="str">
        <f aca="false">IF(OR(P775="判定不能",G775="判定不能"),"判定不能",IF(AG775&gt;=判定条件!$C$9,"利用可",IF(AND(P775="停止",G775="停止"),"両方停止","運転がそろわない")))</f>
        <v>両方停止</v>
      </c>
      <c r="AI775" s="30" t="n">
        <v>18</v>
      </c>
      <c r="AJ775" s="30" t="n">
        <v>0</v>
      </c>
      <c r="AK775" s="30" t="str">
        <f aca="false">IF(OR(S775="判定不能",J775="判定不能"),"判定不能",IF(AJ775&gt;=判定条件!$C$9,"利用可",IF(AND(S775="停止",J775="停止"),"両方停止","運転がそろわない")))</f>
        <v>判定不能</v>
      </c>
      <c r="AL775" s="30" t="n">
        <v>60</v>
      </c>
      <c r="AM775" s="30" t="n">
        <v>0</v>
      </c>
      <c r="AN775" s="30" t="str">
        <f aca="false">IF(OR(V775="判定不能",M775="判定不能"),"判定不能",IF(AM775&gt;=判定条件!$C$9,"利用可",IF(AND(V775="停止",M775="停止"),"両方停止","運転がそろわない")))</f>
        <v>両方停止</v>
      </c>
      <c r="AO775" s="30" t="n">
        <v>60</v>
      </c>
      <c r="AP775" s="30" t="n">
        <v>0</v>
      </c>
      <c r="AQ775" s="30" t="str">
        <f aca="false">IF(OR(Y775="判定不能",G775="判定不能"),"判定不能",IF(AP775&gt;=判定条件!$C$9,"利用可",IF(AND(Y775="停止",G775="停止"),"両方停止","運転がそろわない")))</f>
        <v>両方停止</v>
      </c>
      <c r="AR775" s="30" t="n">
        <v>18</v>
      </c>
      <c r="AS775" s="30" t="n">
        <v>0</v>
      </c>
      <c r="AT775" s="30" t="str">
        <f aca="false">IF(OR(AB775="判定不能",J775="判定不能"),"判定不能",IF(AS775&gt;=判定条件!$C$9,"利用可",IF(AND(AB775="停止",J775="停止"),"両方停止","運転がそろわない")))</f>
        <v>判定不能</v>
      </c>
      <c r="AU775" s="30" t="n">
        <v>60</v>
      </c>
      <c r="AV775" s="30" t="n">
        <v>0</v>
      </c>
      <c r="AW775" s="30" t="str">
        <f aca="false">IF(OR(AE775="判定不能",M775="判定不能"),"判定不能",IF(AV775&gt;=判定条件!$C$9,"利用可",IF(AND(AE775="停止",M775="停止"),"両方停止","運転がそろわない")))</f>
        <v>両方停止</v>
      </c>
      <c r="AX775" s="30" t="str">
        <f aca="false">IF(AND(AH775="利用可",AK775="利用可",AN775="利用可"),"利用可","不可")</f>
        <v>不可</v>
      </c>
      <c r="AY775" s="30" t="str">
        <f aca="false">IF(AND(AQ775="利用可",AT775="利用可",AW775="利用可"),"利用可","不可")</f>
        <v>不可</v>
      </c>
    </row>
    <row r="776" customFormat="false" ht="15" hidden="false" customHeight="false" outlineLevel="0" collapsed="false">
      <c r="A776" s="29" t="n">
        <v>46264</v>
      </c>
      <c r="B776" s="30" t="n">
        <v>5</v>
      </c>
      <c r="C776" s="31" t="s">
        <v>65</v>
      </c>
      <c r="D776" s="31" t="s">
        <v>64</v>
      </c>
      <c r="E776" s="30" t="n">
        <v>60</v>
      </c>
      <c r="F776" s="30" t="n">
        <v>0</v>
      </c>
      <c r="G776" s="30" t="str">
        <f aca="false">IF(E776&lt;判定条件!$C$6,"判定不能",IF(F776&gt;=判定条件!$C$7*E776,"運転",IF(F776&lt;=判定条件!$C$8*E776,"停止","断続")))</f>
        <v>停止</v>
      </c>
      <c r="H776" s="30" t="n">
        <v>0</v>
      </c>
      <c r="I776" s="30" t="n">
        <v>0</v>
      </c>
      <c r="J776" s="30" t="str">
        <f aca="false">IF(H776&lt;判定条件!$C$6,"判定不能",IF(I776&gt;=判定条件!$C$7*H776,"運転",IF(I776&lt;=判定条件!$C$8*H776,"停止","断続")))</f>
        <v>判定不能</v>
      </c>
      <c r="K776" s="30" t="n">
        <v>60</v>
      </c>
      <c r="L776" s="30" t="n">
        <v>0</v>
      </c>
      <c r="M776" s="30" t="str">
        <f aca="false">IF(K776&lt;判定条件!$C$6,"判定不能",IF(L776&gt;=判定条件!$C$7*K776,"運転",IF(L776&lt;=判定条件!$C$8*K776,"停止","断続")))</f>
        <v>停止</v>
      </c>
      <c r="N776" s="30" t="n">
        <v>60</v>
      </c>
      <c r="O776" s="30" t="n">
        <v>0</v>
      </c>
      <c r="P776" s="30" t="str">
        <f aca="false">IF(N776&lt;判定条件!$C$6,"判定不能",IF(O776&gt;=判定条件!$C$7*N776,"運転",IF(O776&lt;=判定条件!$C$8*N776,"停止","断続")))</f>
        <v>停止</v>
      </c>
      <c r="Q776" s="30" t="n">
        <v>60</v>
      </c>
      <c r="R776" s="30" t="n">
        <v>0</v>
      </c>
      <c r="S776" s="30" t="str">
        <f aca="false">IF(Q776&lt;判定条件!$C$6,"判定不能",IF(R776&gt;=判定条件!$C$7*Q776,"運転",IF(R776&lt;=判定条件!$C$8*Q776,"停止","断続")))</f>
        <v>停止</v>
      </c>
      <c r="T776" s="30" t="n">
        <v>60</v>
      </c>
      <c r="U776" s="30" t="n">
        <v>0</v>
      </c>
      <c r="V776" s="30" t="str">
        <f aca="false">IF(T776&lt;判定条件!$C$6,"判定不能",IF(U776&gt;=判定条件!$C$7*T776,"運転",IF(U776&lt;=判定条件!$C$8*T776,"停止","断続")))</f>
        <v>停止</v>
      </c>
      <c r="W776" s="30" t="n">
        <v>60</v>
      </c>
      <c r="X776" s="30" t="n">
        <v>0</v>
      </c>
      <c r="Y776" s="30" t="str">
        <f aca="false">IF(W776&lt;判定条件!$C$6,"判定不能",IF(X776&gt;=判定条件!$C$7*W776,"運転",IF(X776&lt;=判定条件!$C$8*W776,"停止","断続")))</f>
        <v>停止</v>
      </c>
      <c r="Z776" s="30" t="n">
        <v>60</v>
      </c>
      <c r="AA776" s="30" t="n">
        <v>0</v>
      </c>
      <c r="AB776" s="30" t="str">
        <f aca="false">IF(Z776&lt;判定条件!$C$6,"判定不能",IF(AA776&gt;=判定条件!$C$7*Z776,"運転",IF(AA776&lt;=判定条件!$C$8*Z776,"停止","断続")))</f>
        <v>停止</v>
      </c>
      <c r="AC776" s="30" t="n">
        <v>60</v>
      </c>
      <c r="AD776" s="30" t="n">
        <v>0</v>
      </c>
      <c r="AE776" s="30" t="str">
        <f aca="false">IF(AC776&lt;判定条件!$C$6,"判定不能",IF(AD776&gt;=判定条件!$C$7*AC776,"運転",IF(AD776&lt;=判定条件!$C$8*AC776,"停止","断続")))</f>
        <v>停止</v>
      </c>
      <c r="AF776" s="30" t="n">
        <v>60</v>
      </c>
      <c r="AG776" s="30" t="n">
        <v>0</v>
      </c>
      <c r="AH776" s="30" t="str">
        <f aca="false">IF(OR(P776="判定不能",G776="判定不能"),"判定不能",IF(AG776&gt;=判定条件!$C$9,"利用可",IF(AND(P776="停止",G776="停止"),"両方停止","運転がそろわない")))</f>
        <v>両方停止</v>
      </c>
      <c r="AI776" s="30" t="n">
        <v>0</v>
      </c>
      <c r="AJ776" s="30" t="n">
        <v>0</v>
      </c>
      <c r="AK776" s="30" t="str">
        <f aca="false">IF(OR(S776="判定不能",J776="判定不能"),"判定不能",IF(AJ776&gt;=判定条件!$C$9,"利用可",IF(AND(S776="停止",J776="停止"),"両方停止","運転がそろわない")))</f>
        <v>判定不能</v>
      </c>
      <c r="AL776" s="30" t="n">
        <v>60</v>
      </c>
      <c r="AM776" s="30" t="n">
        <v>0</v>
      </c>
      <c r="AN776" s="30" t="str">
        <f aca="false">IF(OR(V776="判定不能",M776="判定不能"),"判定不能",IF(AM776&gt;=判定条件!$C$9,"利用可",IF(AND(V776="停止",M776="停止"),"両方停止","運転がそろわない")))</f>
        <v>両方停止</v>
      </c>
      <c r="AO776" s="30" t="n">
        <v>60</v>
      </c>
      <c r="AP776" s="30" t="n">
        <v>0</v>
      </c>
      <c r="AQ776" s="30" t="str">
        <f aca="false">IF(OR(Y776="判定不能",G776="判定不能"),"判定不能",IF(AP776&gt;=判定条件!$C$9,"利用可",IF(AND(Y776="停止",G776="停止"),"両方停止","運転がそろわない")))</f>
        <v>両方停止</v>
      </c>
      <c r="AR776" s="30" t="n">
        <v>0</v>
      </c>
      <c r="AS776" s="30" t="n">
        <v>0</v>
      </c>
      <c r="AT776" s="30" t="str">
        <f aca="false">IF(OR(AB776="判定不能",J776="判定不能"),"判定不能",IF(AS776&gt;=判定条件!$C$9,"利用可",IF(AND(AB776="停止",J776="停止"),"両方停止","運転がそろわない")))</f>
        <v>判定不能</v>
      </c>
      <c r="AU776" s="30" t="n">
        <v>60</v>
      </c>
      <c r="AV776" s="30" t="n">
        <v>0</v>
      </c>
      <c r="AW776" s="30" t="str">
        <f aca="false">IF(OR(AE776="判定不能",M776="判定不能"),"判定不能",IF(AV776&gt;=判定条件!$C$9,"利用可",IF(AND(AE776="停止",M776="停止"),"両方停止","運転がそろわない")))</f>
        <v>両方停止</v>
      </c>
      <c r="AX776" s="30" t="str">
        <f aca="false">IF(AND(AH776="利用可",AK776="利用可",AN776="利用可"),"利用可","不可")</f>
        <v>不可</v>
      </c>
      <c r="AY776" s="30" t="str">
        <f aca="false">IF(AND(AQ776="利用可",AT776="利用可",AW776="利用可"),"利用可","不可")</f>
        <v>不可</v>
      </c>
    </row>
    <row r="777" customFormat="false" ht="15" hidden="false" customHeight="false" outlineLevel="0" collapsed="false">
      <c r="A777" s="29" t="n">
        <v>46264</v>
      </c>
      <c r="B777" s="30" t="n">
        <v>6</v>
      </c>
      <c r="C777" s="31" t="s">
        <v>65</v>
      </c>
      <c r="D777" s="31" t="s">
        <v>64</v>
      </c>
      <c r="E777" s="30" t="n">
        <v>60</v>
      </c>
      <c r="F777" s="30" t="n">
        <v>0</v>
      </c>
      <c r="G777" s="30" t="str">
        <f aca="false">IF(E777&lt;判定条件!$C$6,"判定不能",IF(F777&gt;=判定条件!$C$7*E777,"運転",IF(F777&lt;=判定条件!$C$8*E777,"停止","断続")))</f>
        <v>停止</v>
      </c>
      <c r="H777" s="30" t="n">
        <v>0</v>
      </c>
      <c r="I777" s="30" t="n">
        <v>0</v>
      </c>
      <c r="J777" s="30" t="str">
        <f aca="false">IF(H777&lt;判定条件!$C$6,"判定不能",IF(I777&gt;=判定条件!$C$7*H777,"運転",IF(I777&lt;=判定条件!$C$8*H777,"停止","断続")))</f>
        <v>判定不能</v>
      </c>
      <c r="K777" s="30" t="n">
        <v>60</v>
      </c>
      <c r="L777" s="30" t="n">
        <v>0</v>
      </c>
      <c r="M777" s="30" t="str">
        <f aca="false">IF(K777&lt;判定条件!$C$6,"判定不能",IF(L777&gt;=判定条件!$C$7*K777,"運転",IF(L777&lt;=判定条件!$C$8*K777,"停止","断続")))</f>
        <v>停止</v>
      </c>
      <c r="N777" s="30" t="n">
        <v>60</v>
      </c>
      <c r="O777" s="30" t="n">
        <v>0</v>
      </c>
      <c r="P777" s="30" t="str">
        <f aca="false">IF(N777&lt;判定条件!$C$6,"判定不能",IF(O777&gt;=判定条件!$C$7*N777,"運転",IF(O777&lt;=判定条件!$C$8*N777,"停止","断続")))</f>
        <v>停止</v>
      </c>
      <c r="Q777" s="30" t="n">
        <v>60</v>
      </c>
      <c r="R777" s="30" t="n">
        <v>0</v>
      </c>
      <c r="S777" s="30" t="str">
        <f aca="false">IF(Q777&lt;判定条件!$C$6,"判定不能",IF(R777&gt;=判定条件!$C$7*Q777,"運転",IF(R777&lt;=判定条件!$C$8*Q777,"停止","断続")))</f>
        <v>停止</v>
      </c>
      <c r="T777" s="30" t="n">
        <v>60</v>
      </c>
      <c r="U777" s="30" t="n">
        <v>0</v>
      </c>
      <c r="V777" s="30" t="str">
        <f aca="false">IF(T777&lt;判定条件!$C$6,"判定不能",IF(U777&gt;=判定条件!$C$7*T777,"運転",IF(U777&lt;=判定条件!$C$8*T777,"停止","断続")))</f>
        <v>停止</v>
      </c>
      <c r="W777" s="30" t="n">
        <v>60</v>
      </c>
      <c r="X777" s="30" t="n">
        <v>0</v>
      </c>
      <c r="Y777" s="30" t="str">
        <f aca="false">IF(W777&lt;判定条件!$C$6,"判定不能",IF(X777&gt;=判定条件!$C$7*W777,"運転",IF(X777&lt;=判定条件!$C$8*W777,"停止","断続")))</f>
        <v>停止</v>
      </c>
      <c r="Z777" s="30" t="n">
        <v>60</v>
      </c>
      <c r="AA777" s="30" t="n">
        <v>0</v>
      </c>
      <c r="AB777" s="30" t="str">
        <f aca="false">IF(Z777&lt;判定条件!$C$6,"判定不能",IF(AA777&gt;=判定条件!$C$7*Z777,"運転",IF(AA777&lt;=判定条件!$C$8*Z777,"停止","断続")))</f>
        <v>停止</v>
      </c>
      <c r="AC777" s="30" t="n">
        <v>60</v>
      </c>
      <c r="AD777" s="30" t="n">
        <v>0</v>
      </c>
      <c r="AE777" s="30" t="str">
        <f aca="false">IF(AC777&lt;判定条件!$C$6,"判定不能",IF(AD777&gt;=判定条件!$C$7*AC777,"運転",IF(AD777&lt;=判定条件!$C$8*AC777,"停止","断続")))</f>
        <v>停止</v>
      </c>
      <c r="AF777" s="30" t="n">
        <v>60</v>
      </c>
      <c r="AG777" s="30" t="n">
        <v>0</v>
      </c>
      <c r="AH777" s="30" t="str">
        <f aca="false">IF(OR(P777="判定不能",G777="判定不能"),"判定不能",IF(AG777&gt;=判定条件!$C$9,"利用可",IF(AND(P777="停止",G777="停止"),"両方停止","運転がそろわない")))</f>
        <v>両方停止</v>
      </c>
      <c r="AI777" s="30" t="n">
        <v>0</v>
      </c>
      <c r="AJ777" s="30" t="n">
        <v>0</v>
      </c>
      <c r="AK777" s="30" t="str">
        <f aca="false">IF(OR(S777="判定不能",J777="判定不能"),"判定不能",IF(AJ777&gt;=判定条件!$C$9,"利用可",IF(AND(S777="停止",J777="停止"),"両方停止","運転がそろわない")))</f>
        <v>判定不能</v>
      </c>
      <c r="AL777" s="30" t="n">
        <v>60</v>
      </c>
      <c r="AM777" s="30" t="n">
        <v>0</v>
      </c>
      <c r="AN777" s="30" t="str">
        <f aca="false">IF(OR(V777="判定不能",M777="判定不能"),"判定不能",IF(AM777&gt;=判定条件!$C$9,"利用可",IF(AND(V777="停止",M777="停止"),"両方停止","運転がそろわない")))</f>
        <v>両方停止</v>
      </c>
      <c r="AO777" s="30" t="n">
        <v>60</v>
      </c>
      <c r="AP777" s="30" t="n">
        <v>0</v>
      </c>
      <c r="AQ777" s="30" t="str">
        <f aca="false">IF(OR(Y777="判定不能",G777="判定不能"),"判定不能",IF(AP777&gt;=判定条件!$C$9,"利用可",IF(AND(Y777="停止",G777="停止"),"両方停止","運転がそろわない")))</f>
        <v>両方停止</v>
      </c>
      <c r="AR777" s="30" t="n">
        <v>0</v>
      </c>
      <c r="AS777" s="30" t="n">
        <v>0</v>
      </c>
      <c r="AT777" s="30" t="str">
        <f aca="false">IF(OR(AB777="判定不能",J777="判定不能"),"判定不能",IF(AS777&gt;=判定条件!$C$9,"利用可",IF(AND(AB777="停止",J777="停止"),"両方停止","運転がそろわない")))</f>
        <v>判定不能</v>
      </c>
      <c r="AU777" s="30" t="n">
        <v>60</v>
      </c>
      <c r="AV777" s="30" t="n">
        <v>0</v>
      </c>
      <c r="AW777" s="30" t="str">
        <f aca="false">IF(OR(AE777="判定不能",M777="判定不能"),"判定不能",IF(AV777&gt;=判定条件!$C$9,"利用可",IF(AND(AE777="停止",M777="停止"),"両方停止","運転がそろわない")))</f>
        <v>両方停止</v>
      </c>
      <c r="AX777" s="30" t="str">
        <f aca="false">IF(AND(AH777="利用可",AK777="利用可",AN777="利用可"),"利用可","不可")</f>
        <v>不可</v>
      </c>
      <c r="AY777" s="30" t="str">
        <f aca="false">IF(AND(AQ777="利用可",AT777="利用可",AW777="利用可"),"利用可","不可")</f>
        <v>不可</v>
      </c>
    </row>
    <row r="778" customFormat="false" ht="15" hidden="false" customHeight="false" outlineLevel="0" collapsed="false">
      <c r="A778" s="29" t="n">
        <v>46264</v>
      </c>
      <c r="B778" s="30" t="n">
        <v>7</v>
      </c>
      <c r="C778" s="31" t="s">
        <v>65</v>
      </c>
      <c r="D778" s="31" t="s">
        <v>64</v>
      </c>
      <c r="E778" s="30" t="n">
        <v>60</v>
      </c>
      <c r="F778" s="30" t="n">
        <v>0</v>
      </c>
      <c r="G778" s="30" t="str">
        <f aca="false">IF(E778&lt;判定条件!$C$6,"判定不能",IF(F778&gt;=判定条件!$C$7*E778,"運転",IF(F778&lt;=判定条件!$C$8*E778,"停止","断続")))</f>
        <v>停止</v>
      </c>
      <c r="H778" s="30" t="n">
        <v>0</v>
      </c>
      <c r="I778" s="30" t="n">
        <v>0</v>
      </c>
      <c r="J778" s="30" t="str">
        <f aca="false">IF(H778&lt;判定条件!$C$6,"判定不能",IF(I778&gt;=判定条件!$C$7*H778,"運転",IF(I778&lt;=判定条件!$C$8*H778,"停止","断続")))</f>
        <v>判定不能</v>
      </c>
      <c r="K778" s="30" t="n">
        <v>60</v>
      </c>
      <c r="L778" s="30" t="n">
        <v>0</v>
      </c>
      <c r="M778" s="30" t="str">
        <f aca="false">IF(K778&lt;判定条件!$C$6,"判定不能",IF(L778&gt;=判定条件!$C$7*K778,"運転",IF(L778&lt;=判定条件!$C$8*K778,"停止","断続")))</f>
        <v>停止</v>
      </c>
      <c r="N778" s="30" t="n">
        <v>60</v>
      </c>
      <c r="O778" s="30" t="n">
        <v>0</v>
      </c>
      <c r="P778" s="30" t="str">
        <f aca="false">IF(N778&lt;判定条件!$C$6,"判定不能",IF(O778&gt;=判定条件!$C$7*N778,"運転",IF(O778&lt;=判定条件!$C$8*N778,"停止","断続")))</f>
        <v>停止</v>
      </c>
      <c r="Q778" s="30" t="n">
        <v>60</v>
      </c>
      <c r="R778" s="30" t="n">
        <v>38</v>
      </c>
      <c r="S778" s="30" t="str">
        <f aca="false">IF(Q778&lt;判定条件!$C$6,"判定不能",IF(R778&gt;=判定条件!$C$7*Q778,"運転",IF(R778&lt;=判定条件!$C$8*Q778,"停止","断続")))</f>
        <v>断続</v>
      </c>
      <c r="T778" s="30" t="n">
        <v>60</v>
      </c>
      <c r="U778" s="30" t="n">
        <v>39</v>
      </c>
      <c r="V778" s="30" t="str">
        <f aca="false">IF(T778&lt;判定条件!$C$6,"判定不能",IF(U778&gt;=判定条件!$C$7*T778,"運転",IF(U778&lt;=判定条件!$C$8*T778,"停止","断続")))</f>
        <v>断続</v>
      </c>
      <c r="W778" s="30" t="n">
        <v>60</v>
      </c>
      <c r="X778" s="30" t="n">
        <v>19</v>
      </c>
      <c r="Y778" s="30" t="str">
        <f aca="false">IF(W778&lt;判定条件!$C$6,"判定不能",IF(X778&gt;=判定条件!$C$7*W778,"運転",IF(X778&lt;=判定条件!$C$8*W778,"停止","断続")))</f>
        <v>断続</v>
      </c>
      <c r="Z778" s="30" t="n">
        <v>60</v>
      </c>
      <c r="AA778" s="30" t="n">
        <v>0</v>
      </c>
      <c r="AB778" s="30" t="str">
        <f aca="false">IF(Z778&lt;判定条件!$C$6,"判定不能",IF(AA778&gt;=判定条件!$C$7*Z778,"運転",IF(AA778&lt;=判定条件!$C$8*Z778,"停止","断続")))</f>
        <v>停止</v>
      </c>
      <c r="AC778" s="30" t="n">
        <v>60</v>
      </c>
      <c r="AD778" s="30" t="n">
        <v>0</v>
      </c>
      <c r="AE778" s="30" t="str">
        <f aca="false">IF(AC778&lt;判定条件!$C$6,"判定不能",IF(AD778&gt;=判定条件!$C$7*AC778,"運転",IF(AD778&lt;=判定条件!$C$8*AC778,"停止","断続")))</f>
        <v>停止</v>
      </c>
      <c r="AF778" s="30" t="n">
        <v>60</v>
      </c>
      <c r="AG778" s="30" t="n">
        <v>0</v>
      </c>
      <c r="AH778" s="30" t="str">
        <f aca="false">IF(OR(P778="判定不能",G778="判定不能"),"判定不能",IF(AG778&gt;=判定条件!$C$9,"利用可",IF(AND(P778="停止",G778="停止"),"両方停止","運転がそろわない")))</f>
        <v>両方停止</v>
      </c>
      <c r="AI778" s="30" t="n">
        <v>0</v>
      </c>
      <c r="AJ778" s="30" t="n">
        <v>0</v>
      </c>
      <c r="AK778" s="30" t="str">
        <f aca="false">IF(OR(S778="判定不能",J778="判定不能"),"判定不能",IF(AJ778&gt;=判定条件!$C$9,"利用可",IF(AND(S778="停止",J778="停止"),"両方停止","運転がそろわない")))</f>
        <v>判定不能</v>
      </c>
      <c r="AL778" s="30" t="n">
        <v>60</v>
      </c>
      <c r="AM778" s="30" t="n">
        <v>0</v>
      </c>
      <c r="AN778" s="30" t="str">
        <f aca="false">IF(OR(V778="判定不能",M778="判定不能"),"判定不能",IF(AM778&gt;=判定条件!$C$9,"利用可",IF(AND(V778="停止",M778="停止"),"両方停止","運転がそろわない")))</f>
        <v>運転がそろわない</v>
      </c>
      <c r="AO778" s="30" t="n">
        <v>60</v>
      </c>
      <c r="AP778" s="30" t="n">
        <v>0</v>
      </c>
      <c r="AQ778" s="30" t="str">
        <f aca="false">IF(OR(Y778="判定不能",G778="判定不能"),"判定不能",IF(AP778&gt;=判定条件!$C$9,"利用可",IF(AND(Y778="停止",G778="停止"),"両方停止","運転がそろわない")))</f>
        <v>運転がそろわない</v>
      </c>
      <c r="AR778" s="30" t="n">
        <v>0</v>
      </c>
      <c r="AS778" s="30" t="n">
        <v>0</v>
      </c>
      <c r="AT778" s="30" t="str">
        <f aca="false">IF(OR(AB778="判定不能",J778="判定不能"),"判定不能",IF(AS778&gt;=判定条件!$C$9,"利用可",IF(AND(AB778="停止",J778="停止"),"両方停止","運転がそろわない")))</f>
        <v>判定不能</v>
      </c>
      <c r="AU778" s="30" t="n">
        <v>60</v>
      </c>
      <c r="AV778" s="30" t="n">
        <v>0</v>
      </c>
      <c r="AW778" s="30" t="str">
        <f aca="false">IF(OR(AE778="判定不能",M778="判定不能"),"判定不能",IF(AV778&gt;=判定条件!$C$9,"利用可",IF(AND(AE778="停止",M778="停止"),"両方停止","運転がそろわない")))</f>
        <v>両方停止</v>
      </c>
      <c r="AX778" s="30" t="str">
        <f aca="false">IF(AND(AH778="利用可",AK778="利用可",AN778="利用可"),"利用可","不可")</f>
        <v>不可</v>
      </c>
      <c r="AY778" s="30" t="str">
        <f aca="false">IF(AND(AQ778="利用可",AT778="利用可",AW778="利用可"),"利用可","不可")</f>
        <v>不可</v>
      </c>
    </row>
    <row r="779" customFormat="false" ht="15" hidden="false" customHeight="false" outlineLevel="0" collapsed="false">
      <c r="A779" s="29" t="n">
        <v>46264</v>
      </c>
      <c r="B779" s="30" t="n">
        <v>8</v>
      </c>
      <c r="C779" s="31" t="s">
        <v>65</v>
      </c>
      <c r="D779" s="31" t="s">
        <v>64</v>
      </c>
      <c r="E779" s="30" t="n">
        <v>60</v>
      </c>
      <c r="F779" s="30" t="n">
        <v>9</v>
      </c>
      <c r="G779" s="30" t="str">
        <f aca="false">IF(E779&lt;判定条件!$C$6,"判定不能",IF(F779&gt;=判定条件!$C$7*E779,"運転",IF(F779&lt;=判定条件!$C$8*E779,"停止","断続")))</f>
        <v>停止</v>
      </c>
      <c r="H779" s="30" t="n">
        <v>0</v>
      </c>
      <c r="I779" s="30" t="n">
        <v>0</v>
      </c>
      <c r="J779" s="30" t="str">
        <f aca="false">IF(H779&lt;判定条件!$C$6,"判定不能",IF(I779&gt;=判定条件!$C$7*H779,"運転",IF(I779&lt;=判定条件!$C$8*H779,"停止","断続")))</f>
        <v>判定不能</v>
      </c>
      <c r="K779" s="30" t="n">
        <v>60</v>
      </c>
      <c r="L779" s="30" t="n">
        <v>17</v>
      </c>
      <c r="M779" s="30" t="str">
        <f aca="false">IF(K779&lt;判定条件!$C$6,"判定不能",IF(L779&gt;=判定条件!$C$7*K779,"運転",IF(L779&lt;=判定条件!$C$8*K779,"停止","断続")))</f>
        <v>断続</v>
      </c>
      <c r="N779" s="30" t="n">
        <v>60</v>
      </c>
      <c r="O779" s="30" t="n">
        <v>15</v>
      </c>
      <c r="P779" s="30" t="str">
        <f aca="false">IF(N779&lt;判定条件!$C$6,"判定不能",IF(O779&gt;=判定条件!$C$7*N779,"運転",IF(O779&lt;=判定条件!$C$8*N779,"停止","断続")))</f>
        <v>断続</v>
      </c>
      <c r="Q779" s="30" t="n">
        <v>60</v>
      </c>
      <c r="R779" s="30" t="n">
        <v>60</v>
      </c>
      <c r="S779" s="30" t="str">
        <f aca="false">IF(Q779&lt;判定条件!$C$6,"判定不能",IF(R779&gt;=判定条件!$C$7*Q779,"運転",IF(R779&lt;=判定条件!$C$8*Q779,"停止","断続")))</f>
        <v>運転</v>
      </c>
      <c r="T779" s="30" t="n">
        <v>60</v>
      </c>
      <c r="U779" s="30" t="n">
        <v>60</v>
      </c>
      <c r="V779" s="30" t="str">
        <f aca="false">IF(T779&lt;判定条件!$C$6,"判定不能",IF(U779&gt;=判定条件!$C$7*T779,"運転",IF(U779&lt;=判定条件!$C$8*T779,"停止","断続")))</f>
        <v>運転</v>
      </c>
      <c r="W779" s="30" t="n">
        <v>60</v>
      </c>
      <c r="X779" s="30" t="n">
        <v>54</v>
      </c>
      <c r="Y779" s="30" t="str">
        <f aca="false">IF(W779&lt;判定条件!$C$6,"判定不能",IF(X779&gt;=判定条件!$C$7*W779,"運転",IF(X779&lt;=判定条件!$C$8*W779,"停止","断続")))</f>
        <v>運転</v>
      </c>
      <c r="Z779" s="30" t="n">
        <v>60</v>
      </c>
      <c r="AA779" s="30" t="n">
        <v>43</v>
      </c>
      <c r="AB779" s="30" t="str">
        <f aca="false">IF(Z779&lt;判定条件!$C$6,"判定不能",IF(AA779&gt;=判定条件!$C$7*Z779,"運転",IF(AA779&lt;=判定条件!$C$8*Z779,"停止","断続")))</f>
        <v>断続</v>
      </c>
      <c r="AC779" s="30" t="n">
        <v>60</v>
      </c>
      <c r="AD779" s="30" t="n">
        <v>57</v>
      </c>
      <c r="AE779" s="30" t="str">
        <f aca="false">IF(AC779&lt;判定条件!$C$6,"判定不能",IF(AD779&gt;=判定条件!$C$7*AC779,"運転",IF(AD779&lt;=判定条件!$C$8*AC779,"停止","断続")))</f>
        <v>運転</v>
      </c>
      <c r="AF779" s="30" t="n">
        <v>60</v>
      </c>
      <c r="AG779" s="30" t="n">
        <v>9</v>
      </c>
      <c r="AH779" s="30" t="str">
        <f aca="false">IF(OR(P779="判定不能",G779="判定不能"),"判定不能",IF(AG779&gt;=判定条件!$C$9,"利用可",IF(AND(P779="停止",G779="停止"),"両方停止","運転がそろわない")))</f>
        <v>運転がそろわない</v>
      </c>
      <c r="AI779" s="30" t="n">
        <v>0</v>
      </c>
      <c r="AJ779" s="30" t="n">
        <v>0</v>
      </c>
      <c r="AK779" s="30" t="str">
        <f aca="false">IF(OR(S779="判定不能",J779="判定不能"),"判定不能",IF(AJ779&gt;=判定条件!$C$9,"利用可",IF(AND(S779="停止",J779="停止"),"両方停止","運転がそろわない")))</f>
        <v>判定不能</v>
      </c>
      <c r="AL779" s="30" t="n">
        <v>60</v>
      </c>
      <c r="AM779" s="30" t="n">
        <v>17</v>
      </c>
      <c r="AN779" s="30" t="str">
        <f aca="false">IF(OR(V779="判定不能",M779="判定不能"),"判定不能",IF(AM779&gt;=判定条件!$C$9,"利用可",IF(AND(V779="停止",M779="停止"),"両方停止","運転がそろわない")))</f>
        <v>運転がそろわない</v>
      </c>
      <c r="AO779" s="30" t="n">
        <v>60</v>
      </c>
      <c r="AP779" s="30" t="n">
        <v>9</v>
      </c>
      <c r="AQ779" s="30" t="str">
        <f aca="false">IF(OR(Y779="判定不能",G779="判定不能"),"判定不能",IF(AP779&gt;=判定条件!$C$9,"利用可",IF(AND(Y779="停止",G779="停止"),"両方停止","運転がそろわない")))</f>
        <v>運転がそろわない</v>
      </c>
      <c r="AR779" s="30" t="n">
        <v>0</v>
      </c>
      <c r="AS779" s="30" t="n">
        <v>0</v>
      </c>
      <c r="AT779" s="30" t="str">
        <f aca="false">IF(OR(AB779="判定不能",J779="判定不能"),"判定不能",IF(AS779&gt;=判定条件!$C$9,"利用可",IF(AND(AB779="停止",J779="停止"),"両方停止","運転がそろわない")))</f>
        <v>判定不能</v>
      </c>
      <c r="AU779" s="30" t="n">
        <v>60</v>
      </c>
      <c r="AV779" s="30" t="n">
        <v>17</v>
      </c>
      <c r="AW779" s="30" t="str">
        <f aca="false">IF(OR(AE779="判定不能",M779="判定不能"),"判定不能",IF(AV779&gt;=判定条件!$C$9,"利用可",IF(AND(AE779="停止",M779="停止"),"両方停止","運転がそろわない")))</f>
        <v>運転がそろわない</v>
      </c>
      <c r="AX779" s="30" t="str">
        <f aca="false">IF(AND(AH779="利用可",AK779="利用可",AN779="利用可"),"利用可","不可")</f>
        <v>不可</v>
      </c>
      <c r="AY779" s="30" t="str">
        <f aca="false">IF(AND(AQ779="利用可",AT779="利用可",AW779="利用可"),"利用可","不可")</f>
        <v>不可</v>
      </c>
    </row>
    <row r="780" customFormat="false" ht="15" hidden="false" customHeight="false" outlineLevel="0" collapsed="false">
      <c r="A780" s="29" t="n">
        <v>46264</v>
      </c>
      <c r="B780" s="30" t="n">
        <v>9</v>
      </c>
      <c r="C780" s="31" t="s">
        <v>65</v>
      </c>
      <c r="D780" s="31" t="s">
        <v>64</v>
      </c>
      <c r="E780" s="30" t="n">
        <v>60</v>
      </c>
      <c r="F780" s="30" t="n">
        <v>11</v>
      </c>
      <c r="G780" s="30" t="str">
        <f aca="false">IF(E780&lt;判定条件!$C$6,"判定不能",IF(F780&gt;=判定条件!$C$7*E780,"運転",IF(F780&lt;=判定条件!$C$8*E780,"停止","断続")))</f>
        <v>停止</v>
      </c>
      <c r="H780" s="30" t="n">
        <v>0</v>
      </c>
      <c r="I780" s="30" t="n">
        <v>0</v>
      </c>
      <c r="J780" s="30" t="str">
        <f aca="false">IF(H780&lt;判定条件!$C$6,"判定不能",IF(I780&gt;=判定条件!$C$7*H780,"運転",IF(I780&lt;=判定条件!$C$8*H780,"停止","断続")))</f>
        <v>判定不能</v>
      </c>
      <c r="K780" s="30" t="n">
        <v>60</v>
      </c>
      <c r="L780" s="30" t="n">
        <v>56</v>
      </c>
      <c r="M780" s="30" t="str">
        <f aca="false">IF(K780&lt;判定条件!$C$6,"判定不能",IF(L780&gt;=判定条件!$C$7*K780,"運転",IF(L780&lt;=判定条件!$C$8*K780,"停止","断続")))</f>
        <v>運転</v>
      </c>
      <c r="N780" s="30" t="n">
        <v>60</v>
      </c>
      <c r="O780" s="30" t="n">
        <v>13</v>
      </c>
      <c r="P780" s="30" t="str">
        <f aca="false">IF(N780&lt;判定条件!$C$6,"判定不能",IF(O780&gt;=判定条件!$C$7*N780,"運転",IF(O780&lt;=判定条件!$C$8*N780,"停止","断続")))</f>
        <v>断続</v>
      </c>
      <c r="Q780" s="30" t="n">
        <v>60</v>
      </c>
      <c r="R780" s="30" t="n">
        <v>44</v>
      </c>
      <c r="S780" s="30" t="str">
        <f aca="false">IF(Q780&lt;判定条件!$C$6,"判定不能",IF(R780&gt;=判定条件!$C$7*Q780,"運転",IF(R780&lt;=判定条件!$C$8*Q780,"停止","断続")))</f>
        <v>断続</v>
      </c>
      <c r="T780" s="30" t="n">
        <v>60</v>
      </c>
      <c r="U780" s="30" t="n">
        <v>60</v>
      </c>
      <c r="V780" s="30" t="str">
        <f aca="false">IF(T780&lt;判定条件!$C$6,"判定不能",IF(U780&gt;=判定条件!$C$7*T780,"運転",IF(U780&lt;=判定条件!$C$8*T780,"停止","断続")))</f>
        <v>運転</v>
      </c>
      <c r="W780" s="30" t="n">
        <v>60</v>
      </c>
      <c r="X780" s="30" t="n">
        <v>60</v>
      </c>
      <c r="Y780" s="30" t="str">
        <f aca="false">IF(W780&lt;判定条件!$C$6,"判定不能",IF(X780&gt;=判定条件!$C$7*W780,"運転",IF(X780&lt;=判定条件!$C$8*W780,"停止","断続")))</f>
        <v>運転</v>
      </c>
      <c r="Z780" s="30" t="n">
        <v>60</v>
      </c>
      <c r="AA780" s="30" t="n">
        <v>44</v>
      </c>
      <c r="AB780" s="30" t="str">
        <f aca="false">IF(Z780&lt;判定条件!$C$6,"判定不能",IF(AA780&gt;=判定条件!$C$7*Z780,"運転",IF(AA780&lt;=判定条件!$C$8*Z780,"停止","断続")))</f>
        <v>断続</v>
      </c>
      <c r="AC780" s="30" t="n">
        <v>60</v>
      </c>
      <c r="AD780" s="30" t="n">
        <v>60</v>
      </c>
      <c r="AE780" s="30" t="str">
        <f aca="false">IF(AC780&lt;判定条件!$C$6,"判定不能",IF(AD780&gt;=判定条件!$C$7*AC780,"運転",IF(AD780&lt;=判定条件!$C$8*AC780,"停止","断続")))</f>
        <v>運転</v>
      </c>
      <c r="AF780" s="30" t="n">
        <v>60</v>
      </c>
      <c r="AG780" s="30" t="n">
        <v>8</v>
      </c>
      <c r="AH780" s="30" t="str">
        <f aca="false">IF(OR(P780="判定不能",G780="判定不能"),"判定不能",IF(AG780&gt;=判定条件!$C$9,"利用可",IF(AND(P780="停止",G780="停止"),"両方停止","運転がそろわない")))</f>
        <v>運転がそろわない</v>
      </c>
      <c r="AI780" s="30" t="n">
        <v>0</v>
      </c>
      <c r="AJ780" s="30" t="n">
        <v>0</v>
      </c>
      <c r="AK780" s="30" t="str">
        <f aca="false">IF(OR(S780="判定不能",J780="判定不能"),"判定不能",IF(AJ780&gt;=判定条件!$C$9,"利用可",IF(AND(S780="停止",J780="停止"),"両方停止","運転がそろわない")))</f>
        <v>判定不能</v>
      </c>
      <c r="AL780" s="30" t="n">
        <v>60</v>
      </c>
      <c r="AM780" s="30" t="n">
        <v>56</v>
      </c>
      <c r="AN780" s="30" t="str">
        <f aca="false">IF(OR(V780="判定不能",M780="判定不能"),"判定不能",IF(AM780&gt;=判定条件!$C$9,"利用可",IF(AND(V780="停止",M780="停止"),"両方停止","運転がそろわない")))</f>
        <v>利用可</v>
      </c>
      <c r="AO780" s="30" t="n">
        <v>60</v>
      </c>
      <c r="AP780" s="30" t="n">
        <v>11</v>
      </c>
      <c r="AQ780" s="30" t="str">
        <f aca="false">IF(OR(Y780="判定不能",G780="判定不能"),"判定不能",IF(AP780&gt;=判定条件!$C$9,"利用可",IF(AND(Y780="停止",G780="停止"),"両方停止","運転がそろわない")))</f>
        <v>運転がそろわない</v>
      </c>
      <c r="AR780" s="30" t="n">
        <v>0</v>
      </c>
      <c r="AS780" s="30" t="n">
        <v>0</v>
      </c>
      <c r="AT780" s="30" t="str">
        <f aca="false">IF(OR(AB780="判定不能",J780="判定不能"),"判定不能",IF(AS780&gt;=判定条件!$C$9,"利用可",IF(AND(AB780="停止",J780="停止"),"両方停止","運転がそろわない")))</f>
        <v>判定不能</v>
      </c>
      <c r="AU780" s="30" t="n">
        <v>60</v>
      </c>
      <c r="AV780" s="30" t="n">
        <v>56</v>
      </c>
      <c r="AW780" s="30" t="str">
        <f aca="false">IF(OR(AE780="判定不能",M780="判定不能"),"判定不能",IF(AV780&gt;=判定条件!$C$9,"利用可",IF(AND(AE780="停止",M780="停止"),"両方停止","運転がそろわない")))</f>
        <v>利用可</v>
      </c>
      <c r="AX780" s="30" t="str">
        <f aca="false">IF(AND(AH780="利用可",AK780="利用可",AN780="利用可"),"利用可","不可")</f>
        <v>不可</v>
      </c>
      <c r="AY780" s="30" t="str">
        <f aca="false">IF(AND(AQ780="利用可",AT780="利用可",AW780="利用可"),"利用可","不可")</f>
        <v>不可</v>
      </c>
    </row>
    <row r="781" customFormat="false" ht="15" hidden="false" customHeight="false" outlineLevel="0" collapsed="false">
      <c r="A781" s="29" t="n">
        <v>46264</v>
      </c>
      <c r="B781" s="30" t="n">
        <v>10</v>
      </c>
      <c r="C781" s="31" t="s">
        <v>65</v>
      </c>
      <c r="D781" s="31" t="s">
        <v>64</v>
      </c>
      <c r="E781" s="30" t="n">
        <v>60</v>
      </c>
      <c r="F781" s="30" t="n">
        <v>49</v>
      </c>
      <c r="G781" s="30" t="str">
        <f aca="false">IF(E781&lt;判定条件!$C$6,"判定不能",IF(F781&gt;=判定条件!$C$7*E781,"運転",IF(F781&lt;=判定条件!$C$8*E781,"停止","断続")))</f>
        <v>運転</v>
      </c>
      <c r="H781" s="30" t="n">
        <v>0</v>
      </c>
      <c r="I781" s="30" t="n">
        <v>0</v>
      </c>
      <c r="J781" s="30" t="str">
        <f aca="false">IF(H781&lt;判定条件!$C$6,"判定不能",IF(I781&gt;=判定条件!$C$7*H781,"運転",IF(I781&lt;=判定条件!$C$8*H781,"停止","断続")))</f>
        <v>判定不能</v>
      </c>
      <c r="K781" s="30" t="n">
        <v>60</v>
      </c>
      <c r="L781" s="30" t="n">
        <v>55</v>
      </c>
      <c r="M781" s="30" t="str">
        <f aca="false">IF(K781&lt;判定条件!$C$6,"判定不能",IF(L781&gt;=判定条件!$C$7*K781,"運転",IF(L781&lt;=判定条件!$C$8*K781,"停止","断続")))</f>
        <v>運転</v>
      </c>
      <c r="N781" s="30" t="n">
        <v>60</v>
      </c>
      <c r="O781" s="30" t="n">
        <v>45</v>
      </c>
      <c r="P781" s="30" t="str">
        <f aca="false">IF(N781&lt;判定条件!$C$6,"判定不能",IF(O781&gt;=判定条件!$C$7*N781,"運転",IF(O781&lt;=判定条件!$C$8*N781,"停止","断続")))</f>
        <v>断続</v>
      </c>
      <c r="Q781" s="30" t="n">
        <v>60</v>
      </c>
      <c r="R781" s="30" t="n">
        <v>59</v>
      </c>
      <c r="S781" s="30" t="str">
        <f aca="false">IF(Q781&lt;判定条件!$C$6,"判定不能",IF(R781&gt;=判定条件!$C$7*Q781,"運転",IF(R781&lt;=判定条件!$C$8*Q781,"停止","断続")))</f>
        <v>運転</v>
      </c>
      <c r="T781" s="30" t="n">
        <v>60</v>
      </c>
      <c r="U781" s="30" t="n">
        <v>60</v>
      </c>
      <c r="V781" s="30" t="str">
        <f aca="false">IF(T781&lt;判定条件!$C$6,"判定不能",IF(U781&gt;=判定条件!$C$7*T781,"運転",IF(U781&lt;=判定条件!$C$8*T781,"停止","断続")))</f>
        <v>運転</v>
      </c>
      <c r="W781" s="30" t="n">
        <v>60</v>
      </c>
      <c r="X781" s="30" t="n">
        <v>60</v>
      </c>
      <c r="Y781" s="30" t="str">
        <f aca="false">IF(W781&lt;判定条件!$C$6,"判定不能",IF(X781&gt;=判定条件!$C$7*W781,"運転",IF(X781&lt;=判定条件!$C$8*W781,"停止","断続")))</f>
        <v>運転</v>
      </c>
      <c r="Z781" s="30" t="n">
        <v>60</v>
      </c>
      <c r="AA781" s="30" t="n">
        <v>60</v>
      </c>
      <c r="AB781" s="30" t="str">
        <f aca="false">IF(Z781&lt;判定条件!$C$6,"判定不能",IF(AA781&gt;=判定条件!$C$7*Z781,"運転",IF(AA781&lt;=判定条件!$C$8*Z781,"停止","断続")))</f>
        <v>運転</v>
      </c>
      <c r="AC781" s="30" t="n">
        <v>60</v>
      </c>
      <c r="AD781" s="30" t="n">
        <v>60</v>
      </c>
      <c r="AE781" s="30" t="str">
        <f aca="false">IF(AC781&lt;判定条件!$C$6,"判定不能",IF(AD781&gt;=判定条件!$C$7*AC781,"運転",IF(AD781&lt;=判定条件!$C$8*AC781,"停止","断続")))</f>
        <v>運転</v>
      </c>
      <c r="AF781" s="30" t="n">
        <v>60</v>
      </c>
      <c r="AG781" s="30" t="n">
        <v>34</v>
      </c>
      <c r="AH781" s="30" t="str">
        <f aca="false">IF(OR(P781="判定不能",G781="判定不能"),"判定不能",IF(AG781&gt;=判定条件!$C$9,"利用可",IF(AND(P781="停止",G781="停止"),"両方停止","運転がそろわない")))</f>
        <v>利用可</v>
      </c>
      <c r="AI781" s="30" t="n">
        <v>0</v>
      </c>
      <c r="AJ781" s="30" t="n">
        <v>0</v>
      </c>
      <c r="AK781" s="30" t="str">
        <f aca="false">IF(OR(S781="判定不能",J781="判定不能"),"判定不能",IF(AJ781&gt;=判定条件!$C$9,"利用可",IF(AND(S781="停止",J781="停止"),"両方停止","運転がそろわない")))</f>
        <v>判定不能</v>
      </c>
      <c r="AL781" s="30" t="n">
        <v>60</v>
      </c>
      <c r="AM781" s="30" t="n">
        <v>55</v>
      </c>
      <c r="AN781" s="30" t="str">
        <f aca="false">IF(OR(V781="判定不能",M781="判定不能"),"判定不能",IF(AM781&gt;=判定条件!$C$9,"利用可",IF(AND(V781="停止",M781="停止"),"両方停止","運転がそろわない")))</f>
        <v>利用可</v>
      </c>
      <c r="AO781" s="30" t="n">
        <v>60</v>
      </c>
      <c r="AP781" s="30" t="n">
        <v>49</v>
      </c>
      <c r="AQ781" s="30" t="str">
        <f aca="false">IF(OR(Y781="判定不能",G781="判定不能"),"判定不能",IF(AP781&gt;=判定条件!$C$9,"利用可",IF(AND(Y781="停止",G781="停止"),"両方停止","運転がそろわない")))</f>
        <v>利用可</v>
      </c>
      <c r="AR781" s="30" t="n">
        <v>0</v>
      </c>
      <c r="AS781" s="30" t="n">
        <v>0</v>
      </c>
      <c r="AT781" s="30" t="str">
        <f aca="false">IF(OR(AB781="判定不能",J781="判定不能"),"判定不能",IF(AS781&gt;=判定条件!$C$9,"利用可",IF(AND(AB781="停止",J781="停止"),"両方停止","運転がそろわない")))</f>
        <v>判定不能</v>
      </c>
      <c r="AU781" s="30" t="n">
        <v>60</v>
      </c>
      <c r="AV781" s="30" t="n">
        <v>55</v>
      </c>
      <c r="AW781" s="30" t="str">
        <f aca="false">IF(OR(AE781="判定不能",M781="判定不能"),"判定不能",IF(AV781&gt;=判定条件!$C$9,"利用可",IF(AND(AE781="停止",M781="停止"),"両方停止","運転がそろわない")))</f>
        <v>利用可</v>
      </c>
      <c r="AX781" s="30" t="str">
        <f aca="false">IF(AND(AH781="利用可",AK781="利用可",AN781="利用可"),"利用可","不可")</f>
        <v>不可</v>
      </c>
      <c r="AY781" s="30" t="str">
        <f aca="false">IF(AND(AQ781="利用可",AT781="利用可",AW781="利用可"),"利用可","不可")</f>
        <v>不可</v>
      </c>
    </row>
    <row r="782" customFormat="false" ht="15" hidden="false" customHeight="false" outlineLevel="0" collapsed="false">
      <c r="A782" s="29" t="n">
        <v>46264</v>
      </c>
      <c r="B782" s="30" t="n">
        <v>11</v>
      </c>
      <c r="C782" s="31" t="s">
        <v>65</v>
      </c>
      <c r="D782" s="31" t="s">
        <v>64</v>
      </c>
      <c r="E782" s="30" t="n">
        <v>60</v>
      </c>
      <c r="F782" s="30" t="n">
        <v>49</v>
      </c>
      <c r="G782" s="30" t="str">
        <f aca="false">IF(E782&lt;判定条件!$C$6,"判定不能",IF(F782&gt;=判定条件!$C$7*E782,"運転",IF(F782&lt;=判定条件!$C$8*E782,"停止","断続")))</f>
        <v>運転</v>
      </c>
      <c r="H782" s="30" t="n">
        <v>0</v>
      </c>
      <c r="I782" s="30" t="n">
        <v>0</v>
      </c>
      <c r="J782" s="30" t="str">
        <f aca="false">IF(H782&lt;判定条件!$C$6,"判定不能",IF(I782&gt;=判定条件!$C$7*H782,"運転",IF(I782&lt;=判定条件!$C$8*H782,"停止","断続")))</f>
        <v>判定不能</v>
      </c>
      <c r="K782" s="30" t="n">
        <v>60</v>
      </c>
      <c r="L782" s="30" t="n">
        <v>60</v>
      </c>
      <c r="M782" s="30" t="str">
        <f aca="false">IF(K782&lt;判定条件!$C$6,"判定不能",IF(L782&gt;=判定条件!$C$7*K782,"運転",IF(L782&lt;=判定条件!$C$8*K782,"停止","断続")))</f>
        <v>運転</v>
      </c>
      <c r="N782" s="30" t="n">
        <v>60</v>
      </c>
      <c r="O782" s="30" t="n">
        <v>32</v>
      </c>
      <c r="P782" s="30" t="str">
        <f aca="false">IF(N782&lt;判定条件!$C$6,"判定不能",IF(O782&gt;=判定条件!$C$7*N782,"運転",IF(O782&lt;=判定条件!$C$8*N782,"停止","断続")))</f>
        <v>断続</v>
      </c>
      <c r="Q782" s="30" t="n">
        <v>60</v>
      </c>
      <c r="R782" s="30" t="n">
        <v>60</v>
      </c>
      <c r="S782" s="30" t="str">
        <f aca="false">IF(Q782&lt;判定条件!$C$6,"判定不能",IF(R782&gt;=判定条件!$C$7*Q782,"運転",IF(R782&lt;=判定条件!$C$8*Q782,"停止","断続")))</f>
        <v>運転</v>
      </c>
      <c r="T782" s="30" t="n">
        <v>60</v>
      </c>
      <c r="U782" s="30" t="n">
        <v>53</v>
      </c>
      <c r="V782" s="30" t="str">
        <f aca="false">IF(T782&lt;判定条件!$C$6,"判定不能",IF(U782&gt;=判定条件!$C$7*T782,"運転",IF(U782&lt;=判定条件!$C$8*T782,"停止","断続")))</f>
        <v>運転</v>
      </c>
      <c r="W782" s="30" t="n">
        <v>60</v>
      </c>
      <c r="X782" s="30" t="n">
        <v>53</v>
      </c>
      <c r="Y782" s="30" t="str">
        <f aca="false">IF(W782&lt;判定条件!$C$6,"判定不能",IF(X782&gt;=判定条件!$C$7*W782,"運転",IF(X782&lt;=判定条件!$C$8*W782,"停止","断続")))</f>
        <v>運転</v>
      </c>
      <c r="Z782" s="30" t="n">
        <v>60</v>
      </c>
      <c r="AA782" s="30" t="n">
        <v>60</v>
      </c>
      <c r="AB782" s="30" t="str">
        <f aca="false">IF(Z782&lt;判定条件!$C$6,"判定不能",IF(AA782&gt;=判定条件!$C$7*Z782,"運転",IF(AA782&lt;=判定条件!$C$8*Z782,"停止","断続")))</f>
        <v>運転</v>
      </c>
      <c r="AC782" s="30" t="n">
        <v>60</v>
      </c>
      <c r="AD782" s="30" t="n">
        <v>60</v>
      </c>
      <c r="AE782" s="30" t="str">
        <f aca="false">IF(AC782&lt;判定条件!$C$6,"判定不能",IF(AD782&gt;=判定条件!$C$7*AC782,"運転",IF(AD782&lt;=判定条件!$C$8*AC782,"停止","断続")))</f>
        <v>運転</v>
      </c>
      <c r="AF782" s="30" t="n">
        <v>60</v>
      </c>
      <c r="AG782" s="30" t="n">
        <v>24</v>
      </c>
      <c r="AH782" s="30" t="str">
        <f aca="false">IF(OR(P782="判定不能",G782="判定不能"),"判定不能",IF(AG782&gt;=判定条件!$C$9,"利用可",IF(AND(P782="停止",G782="停止"),"両方停止","運転がそろわない")))</f>
        <v>運転がそろわない</v>
      </c>
      <c r="AI782" s="30" t="n">
        <v>0</v>
      </c>
      <c r="AJ782" s="30" t="n">
        <v>0</v>
      </c>
      <c r="AK782" s="30" t="str">
        <f aca="false">IF(OR(S782="判定不能",J782="判定不能"),"判定不能",IF(AJ782&gt;=判定条件!$C$9,"利用可",IF(AND(S782="停止",J782="停止"),"両方停止","運転がそろわない")))</f>
        <v>判定不能</v>
      </c>
      <c r="AL782" s="30" t="n">
        <v>60</v>
      </c>
      <c r="AM782" s="30" t="n">
        <v>53</v>
      </c>
      <c r="AN782" s="30" t="str">
        <f aca="false">IF(OR(V782="判定不能",M782="判定不能"),"判定不能",IF(AM782&gt;=判定条件!$C$9,"利用可",IF(AND(V782="停止",M782="停止"),"両方停止","運転がそろわない")))</f>
        <v>利用可</v>
      </c>
      <c r="AO782" s="30" t="n">
        <v>60</v>
      </c>
      <c r="AP782" s="30" t="n">
        <v>42</v>
      </c>
      <c r="AQ782" s="30" t="str">
        <f aca="false">IF(OR(Y782="判定不能",G782="判定不能"),"判定不能",IF(AP782&gt;=判定条件!$C$9,"利用可",IF(AND(Y782="停止",G782="停止"),"両方停止","運転がそろわない")))</f>
        <v>利用可</v>
      </c>
      <c r="AR782" s="30" t="n">
        <v>0</v>
      </c>
      <c r="AS782" s="30" t="n">
        <v>0</v>
      </c>
      <c r="AT782" s="30" t="str">
        <f aca="false">IF(OR(AB782="判定不能",J782="判定不能"),"判定不能",IF(AS782&gt;=判定条件!$C$9,"利用可",IF(AND(AB782="停止",J782="停止"),"両方停止","運転がそろわない")))</f>
        <v>判定不能</v>
      </c>
      <c r="AU782" s="30" t="n">
        <v>60</v>
      </c>
      <c r="AV782" s="30" t="n">
        <v>60</v>
      </c>
      <c r="AW782" s="30" t="str">
        <f aca="false">IF(OR(AE782="判定不能",M782="判定不能"),"判定不能",IF(AV782&gt;=判定条件!$C$9,"利用可",IF(AND(AE782="停止",M782="停止"),"両方停止","運転がそろわない")))</f>
        <v>利用可</v>
      </c>
      <c r="AX782" s="30" t="str">
        <f aca="false">IF(AND(AH782="利用可",AK782="利用可",AN782="利用可"),"利用可","不可")</f>
        <v>不可</v>
      </c>
      <c r="AY782" s="30" t="str">
        <f aca="false">IF(AND(AQ782="利用可",AT782="利用可",AW782="利用可"),"利用可","不可")</f>
        <v>不可</v>
      </c>
    </row>
    <row r="783" customFormat="false" ht="15" hidden="false" customHeight="false" outlineLevel="0" collapsed="false">
      <c r="A783" s="29" t="n">
        <v>46264</v>
      </c>
      <c r="B783" s="30" t="n">
        <v>12</v>
      </c>
      <c r="C783" s="31" t="s">
        <v>65</v>
      </c>
      <c r="D783" s="31" t="s">
        <v>64</v>
      </c>
      <c r="E783" s="30" t="n">
        <v>60</v>
      </c>
      <c r="F783" s="30" t="n">
        <v>42</v>
      </c>
      <c r="G783" s="30" t="str">
        <f aca="false">IF(E783&lt;判定条件!$C$6,"判定不能",IF(F783&gt;=判定条件!$C$7*E783,"運転",IF(F783&lt;=判定条件!$C$8*E783,"停止","断続")))</f>
        <v>断続</v>
      </c>
      <c r="H783" s="30" t="n">
        <v>0</v>
      </c>
      <c r="I783" s="30" t="n">
        <v>0</v>
      </c>
      <c r="J783" s="30" t="str">
        <f aca="false">IF(H783&lt;判定条件!$C$6,"判定不能",IF(I783&gt;=判定条件!$C$7*H783,"運転",IF(I783&lt;=判定条件!$C$8*H783,"停止","断続")))</f>
        <v>判定不能</v>
      </c>
      <c r="K783" s="30" t="n">
        <v>60</v>
      </c>
      <c r="L783" s="30" t="n">
        <v>60</v>
      </c>
      <c r="M783" s="30" t="str">
        <f aca="false">IF(K783&lt;判定条件!$C$6,"判定不能",IF(L783&gt;=判定条件!$C$7*K783,"運転",IF(L783&lt;=判定条件!$C$8*K783,"停止","断続")))</f>
        <v>運転</v>
      </c>
      <c r="N783" s="30" t="n">
        <v>60</v>
      </c>
      <c r="O783" s="30" t="n">
        <v>35</v>
      </c>
      <c r="P783" s="30" t="str">
        <f aca="false">IF(N783&lt;判定条件!$C$6,"判定不能",IF(O783&gt;=判定条件!$C$7*N783,"運転",IF(O783&lt;=判定条件!$C$8*N783,"停止","断続")))</f>
        <v>断続</v>
      </c>
      <c r="Q783" s="30" t="n">
        <v>60</v>
      </c>
      <c r="R783" s="30" t="n">
        <v>57</v>
      </c>
      <c r="S783" s="30" t="str">
        <f aca="false">IF(Q783&lt;判定条件!$C$6,"判定不能",IF(R783&gt;=判定条件!$C$7*Q783,"運転",IF(R783&lt;=判定条件!$C$8*Q783,"停止","断続")))</f>
        <v>運転</v>
      </c>
      <c r="T783" s="30" t="n">
        <v>60</v>
      </c>
      <c r="U783" s="30" t="n">
        <v>38</v>
      </c>
      <c r="V783" s="30" t="str">
        <f aca="false">IF(T783&lt;判定条件!$C$6,"判定不能",IF(U783&gt;=判定条件!$C$7*T783,"運転",IF(U783&lt;=判定条件!$C$8*T783,"停止","断続")))</f>
        <v>断続</v>
      </c>
      <c r="W783" s="30" t="n">
        <v>60</v>
      </c>
      <c r="X783" s="30" t="n">
        <v>60</v>
      </c>
      <c r="Y783" s="30" t="str">
        <f aca="false">IF(W783&lt;判定条件!$C$6,"判定不能",IF(X783&gt;=判定条件!$C$7*W783,"運転",IF(X783&lt;=判定条件!$C$8*W783,"停止","断続")))</f>
        <v>運転</v>
      </c>
      <c r="Z783" s="30" t="n">
        <v>60</v>
      </c>
      <c r="AA783" s="30" t="n">
        <v>49</v>
      </c>
      <c r="AB783" s="30" t="str">
        <f aca="false">IF(Z783&lt;判定条件!$C$6,"判定不能",IF(AA783&gt;=判定条件!$C$7*Z783,"運転",IF(AA783&lt;=判定条件!$C$8*Z783,"停止","断続")))</f>
        <v>運転</v>
      </c>
      <c r="AC783" s="30" t="n">
        <v>60</v>
      </c>
      <c r="AD783" s="30" t="n">
        <v>60</v>
      </c>
      <c r="AE783" s="30" t="str">
        <f aca="false">IF(AC783&lt;判定条件!$C$6,"判定不能",IF(AD783&gt;=判定条件!$C$7*AC783,"運転",IF(AD783&lt;=判定条件!$C$8*AC783,"停止","断続")))</f>
        <v>運転</v>
      </c>
      <c r="AF783" s="30" t="n">
        <v>60</v>
      </c>
      <c r="AG783" s="30" t="n">
        <v>31</v>
      </c>
      <c r="AH783" s="30" t="str">
        <f aca="false">IF(OR(P783="判定不能",G783="判定不能"),"判定不能",IF(AG783&gt;=判定条件!$C$9,"利用可",IF(AND(P783="停止",G783="停止"),"両方停止","運転がそろわない")))</f>
        <v>利用可</v>
      </c>
      <c r="AI783" s="30" t="n">
        <v>0</v>
      </c>
      <c r="AJ783" s="30" t="n">
        <v>0</v>
      </c>
      <c r="AK783" s="30" t="str">
        <f aca="false">IF(OR(S783="判定不能",J783="判定不能"),"判定不能",IF(AJ783&gt;=判定条件!$C$9,"利用可",IF(AND(S783="停止",J783="停止"),"両方停止","運転がそろわない")))</f>
        <v>判定不能</v>
      </c>
      <c r="AL783" s="30" t="n">
        <v>60</v>
      </c>
      <c r="AM783" s="30" t="n">
        <v>38</v>
      </c>
      <c r="AN783" s="30" t="str">
        <f aca="false">IF(OR(V783="判定不能",M783="判定不能"),"判定不能",IF(AM783&gt;=判定条件!$C$9,"利用可",IF(AND(V783="停止",M783="停止"),"両方停止","運転がそろわない")))</f>
        <v>利用可</v>
      </c>
      <c r="AO783" s="30" t="n">
        <v>60</v>
      </c>
      <c r="AP783" s="30" t="n">
        <v>42</v>
      </c>
      <c r="AQ783" s="30" t="str">
        <f aca="false">IF(OR(Y783="判定不能",G783="判定不能"),"判定不能",IF(AP783&gt;=判定条件!$C$9,"利用可",IF(AND(Y783="停止",G783="停止"),"両方停止","運転がそろわない")))</f>
        <v>利用可</v>
      </c>
      <c r="AR783" s="30" t="n">
        <v>0</v>
      </c>
      <c r="AS783" s="30" t="n">
        <v>0</v>
      </c>
      <c r="AT783" s="30" t="str">
        <f aca="false">IF(OR(AB783="判定不能",J783="判定不能"),"判定不能",IF(AS783&gt;=判定条件!$C$9,"利用可",IF(AND(AB783="停止",J783="停止"),"両方停止","運転がそろわない")))</f>
        <v>判定不能</v>
      </c>
      <c r="AU783" s="30" t="n">
        <v>60</v>
      </c>
      <c r="AV783" s="30" t="n">
        <v>60</v>
      </c>
      <c r="AW783" s="30" t="str">
        <f aca="false">IF(OR(AE783="判定不能",M783="判定不能"),"判定不能",IF(AV783&gt;=判定条件!$C$9,"利用可",IF(AND(AE783="停止",M783="停止"),"両方停止","運転がそろわない")))</f>
        <v>利用可</v>
      </c>
      <c r="AX783" s="30" t="str">
        <f aca="false">IF(AND(AH783="利用可",AK783="利用可",AN783="利用可"),"利用可","不可")</f>
        <v>不可</v>
      </c>
      <c r="AY783" s="30" t="str">
        <f aca="false">IF(AND(AQ783="利用可",AT783="利用可",AW783="利用可"),"利用可","不可")</f>
        <v>不可</v>
      </c>
    </row>
    <row r="784" customFormat="false" ht="15" hidden="false" customHeight="false" outlineLevel="0" collapsed="false">
      <c r="A784" s="29" t="n">
        <v>46264</v>
      </c>
      <c r="B784" s="30" t="n">
        <v>13</v>
      </c>
      <c r="C784" s="31" t="s">
        <v>65</v>
      </c>
      <c r="D784" s="31" t="s">
        <v>64</v>
      </c>
      <c r="E784" s="30" t="n">
        <v>60</v>
      </c>
      <c r="F784" s="30" t="n">
        <v>60</v>
      </c>
      <c r="G784" s="30" t="str">
        <f aca="false">IF(E784&lt;判定条件!$C$6,"判定不能",IF(F784&gt;=判定条件!$C$7*E784,"運転",IF(F784&lt;=判定条件!$C$8*E784,"停止","断続")))</f>
        <v>運転</v>
      </c>
      <c r="H784" s="30" t="n">
        <v>0</v>
      </c>
      <c r="I784" s="30" t="n">
        <v>0</v>
      </c>
      <c r="J784" s="30" t="str">
        <f aca="false">IF(H784&lt;判定条件!$C$6,"判定不能",IF(I784&gt;=判定条件!$C$7*H784,"運転",IF(I784&lt;=判定条件!$C$8*H784,"停止","断続")))</f>
        <v>判定不能</v>
      </c>
      <c r="K784" s="30" t="n">
        <v>60</v>
      </c>
      <c r="L784" s="30" t="n">
        <v>60</v>
      </c>
      <c r="M784" s="30" t="str">
        <f aca="false">IF(K784&lt;判定条件!$C$6,"判定不能",IF(L784&gt;=判定条件!$C$7*K784,"運転",IF(L784&lt;=判定条件!$C$8*K784,"停止","断続")))</f>
        <v>運転</v>
      </c>
      <c r="N784" s="30" t="n">
        <v>60</v>
      </c>
      <c r="O784" s="30" t="n">
        <v>60</v>
      </c>
      <c r="P784" s="30" t="str">
        <f aca="false">IF(N784&lt;判定条件!$C$6,"判定不能",IF(O784&gt;=判定条件!$C$7*N784,"運転",IF(O784&lt;=判定条件!$C$8*N784,"停止","断続")))</f>
        <v>運転</v>
      </c>
      <c r="Q784" s="30" t="n">
        <v>60</v>
      </c>
      <c r="R784" s="30" t="n">
        <v>26</v>
      </c>
      <c r="S784" s="30" t="str">
        <f aca="false">IF(Q784&lt;判定条件!$C$6,"判定不能",IF(R784&gt;=判定条件!$C$7*Q784,"運転",IF(R784&lt;=判定条件!$C$8*Q784,"停止","断続")))</f>
        <v>断続</v>
      </c>
      <c r="T784" s="30" t="n">
        <v>60</v>
      </c>
      <c r="U784" s="30" t="n">
        <v>31</v>
      </c>
      <c r="V784" s="30" t="str">
        <f aca="false">IF(T784&lt;判定条件!$C$6,"判定不能",IF(U784&gt;=判定条件!$C$7*T784,"運転",IF(U784&lt;=判定条件!$C$8*T784,"停止","断続")))</f>
        <v>断続</v>
      </c>
      <c r="W784" s="30" t="n">
        <v>60</v>
      </c>
      <c r="X784" s="30" t="n">
        <v>53</v>
      </c>
      <c r="Y784" s="30" t="str">
        <f aca="false">IF(W784&lt;判定条件!$C$6,"判定不能",IF(X784&gt;=判定条件!$C$7*W784,"運転",IF(X784&lt;=判定条件!$C$8*W784,"停止","断続")))</f>
        <v>運転</v>
      </c>
      <c r="Z784" s="30" t="n">
        <v>60</v>
      </c>
      <c r="AA784" s="30" t="n">
        <v>42</v>
      </c>
      <c r="AB784" s="30" t="str">
        <f aca="false">IF(Z784&lt;判定条件!$C$6,"判定不能",IF(AA784&gt;=判定条件!$C$7*Z784,"運転",IF(AA784&lt;=判定条件!$C$8*Z784,"停止","断続")))</f>
        <v>断続</v>
      </c>
      <c r="AC784" s="30" t="n">
        <v>60</v>
      </c>
      <c r="AD784" s="30" t="n">
        <v>43</v>
      </c>
      <c r="AE784" s="30" t="str">
        <f aca="false">IF(AC784&lt;判定条件!$C$6,"判定不能",IF(AD784&gt;=判定条件!$C$7*AC784,"運転",IF(AD784&lt;=判定条件!$C$8*AC784,"停止","断続")))</f>
        <v>断続</v>
      </c>
      <c r="AF784" s="30" t="n">
        <v>60</v>
      </c>
      <c r="AG784" s="30" t="n">
        <v>60</v>
      </c>
      <c r="AH784" s="30" t="str">
        <f aca="false">IF(OR(P784="判定不能",G784="判定不能"),"判定不能",IF(AG784&gt;=判定条件!$C$9,"利用可",IF(AND(P784="停止",G784="停止"),"両方停止","運転がそろわない")))</f>
        <v>利用可</v>
      </c>
      <c r="AI784" s="30" t="n">
        <v>0</v>
      </c>
      <c r="AJ784" s="30" t="n">
        <v>0</v>
      </c>
      <c r="AK784" s="30" t="str">
        <f aca="false">IF(OR(S784="判定不能",J784="判定不能"),"判定不能",IF(AJ784&gt;=判定条件!$C$9,"利用可",IF(AND(S784="停止",J784="停止"),"両方停止","運転がそろわない")))</f>
        <v>判定不能</v>
      </c>
      <c r="AL784" s="30" t="n">
        <v>60</v>
      </c>
      <c r="AM784" s="30" t="n">
        <v>31</v>
      </c>
      <c r="AN784" s="30" t="str">
        <f aca="false">IF(OR(V784="判定不能",M784="判定不能"),"判定不能",IF(AM784&gt;=判定条件!$C$9,"利用可",IF(AND(V784="停止",M784="停止"),"両方停止","運転がそろわない")))</f>
        <v>利用可</v>
      </c>
      <c r="AO784" s="30" t="n">
        <v>60</v>
      </c>
      <c r="AP784" s="30" t="n">
        <v>53</v>
      </c>
      <c r="AQ784" s="30" t="str">
        <f aca="false">IF(OR(Y784="判定不能",G784="判定不能"),"判定不能",IF(AP784&gt;=判定条件!$C$9,"利用可",IF(AND(Y784="停止",G784="停止"),"両方停止","運転がそろわない")))</f>
        <v>利用可</v>
      </c>
      <c r="AR784" s="30" t="n">
        <v>0</v>
      </c>
      <c r="AS784" s="30" t="n">
        <v>0</v>
      </c>
      <c r="AT784" s="30" t="str">
        <f aca="false">IF(OR(AB784="判定不能",J784="判定不能"),"判定不能",IF(AS784&gt;=判定条件!$C$9,"利用可",IF(AND(AB784="停止",J784="停止"),"両方停止","運転がそろわない")))</f>
        <v>判定不能</v>
      </c>
      <c r="AU784" s="30" t="n">
        <v>60</v>
      </c>
      <c r="AV784" s="30" t="n">
        <v>43</v>
      </c>
      <c r="AW784" s="30" t="str">
        <f aca="false">IF(OR(AE784="判定不能",M784="判定不能"),"判定不能",IF(AV784&gt;=判定条件!$C$9,"利用可",IF(AND(AE784="停止",M784="停止"),"両方停止","運転がそろわない")))</f>
        <v>利用可</v>
      </c>
      <c r="AX784" s="30" t="str">
        <f aca="false">IF(AND(AH784="利用可",AK784="利用可",AN784="利用可"),"利用可","不可")</f>
        <v>不可</v>
      </c>
      <c r="AY784" s="30" t="str">
        <f aca="false">IF(AND(AQ784="利用可",AT784="利用可",AW784="利用可"),"利用可","不可")</f>
        <v>不可</v>
      </c>
    </row>
    <row r="785" customFormat="false" ht="15" hidden="false" customHeight="false" outlineLevel="0" collapsed="false">
      <c r="A785" s="29" t="n">
        <v>46264</v>
      </c>
      <c r="B785" s="30" t="n">
        <v>14</v>
      </c>
      <c r="C785" s="31" t="s">
        <v>65</v>
      </c>
      <c r="D785" s="31" t="s">
        <v>64</v>
      </c>
      <c r="E785" s="30" t="n">
        <v>60</v>
      </c>
      <c r="F785" s="30" t="n">
        <v>60</v>
      </c>
      <c r="G785" s="30" t="str">
        <f aca="false">IF(E785&lt;判定条件!$C$6,"判定不能",IF(F785&gt;=判定条件!$C$7*E785,"運転",IF(F785&lt;=判定条件!$C$8*E785,"停止","断続")))</f>
        <v>運転</v>
      </c>
      <c r="H785" s="30" t="n">
        <v>0</v>
      </c>
      <c r="I785" s="30" t="n">
        <v>0</v>
      </c>
      <c r="J785" s="30" t="str">
        <f aca="false">IF(H785&lt;判定条件!$C$6,"判定不能",IF(I785&gt;=判定条件!$C$7*H785,"運転",IF(I785&lt;=判定条件!$C$8*H785,"停止","断続")))</f>
        <v>判定不能</v>
      </c>
      <c r="K785" s="30" t="n">
        <v>60</v>
      </c>
      <c r="L785" s="30" t="n">
        <v>60</v>
      </c>
      <c r="M785" s="30" t="str">
        <f aca="false">IF(K785&lt;判定条件!$C$6,"判定不能",IF(L785&gt;=判定条件!$C$7*K785,"運転",IF(L785&lt;=判定条件!$C$8*K785,"停止","断続")))</f>
        <v>運転</v>
      </c>
      <c r="N785" s="30" t="n">
        <v>60</v>
      </c>
      <c r="O785" s="30" t="n">
        <v>60</v>
      </c>
      <c r="P785" s="30" t="str">
        <f aca="false">IF(N785&lt;判定条件!$C$6,"判定不能",IF(O785&gt;=判定条件!$C$7*N785,"運転",IF(O785&lt;=判定条件!$C$8*N785,"停止","断続")))</f>
        <v>運転</v>
      </c>
      <c r="Q785" s="30" t="n">
        <v>60</v>
      </c>
      <c r="R785" s="30" t="n">
        <v>9</v>
      </c>
      <c r="S785" s="30" t="str">
        <f aca="false">IF(Q785&lt;判定条件!$C$6,"判定不能",IF(R785&gt;=判定条件!$C$7*Q785,"運転",IF(R785&lt;=判定条件!$C$8*Q785,"停止","断続")))</f>
        <v>停止</v>
      </c>
      <c r="T785" s="30" t="n">
        <v>60</v>
      </c>
      <c r="U785" s="30" t="n">
        <v>10</v>
      </c>
      <c r="V785" s="30" t="str">
        <f aca="false">IF(T785&lt;判定条件!$C$6,"判定不能",IF(U785&gt;=判定条件!$C$7*T785,"運転",IF(U785&lt;=判定条件!$C$8*T785,"停止","断続")))</f>
        <v>停止</v>
      </c>
      <c r="W785" s="30" t="n">
        <v>60</v>
      </c>
      <c r="X785" s="30" t="n">
        <v>41</v>
      </c>
      <c r="Y785" s="30" t="str">
        <f aca="false">IF(W785&lt;判定条件!$C$6,"判定不能",IF(X785&gt;=判定条件!$C$7*W785,"運転",IF(X785&lt;=判定条件!$C$8*W785,"停止","断続")))</f>
        <v>断続</v>
      </c>
      <c r="Z785" s="30" t="n">
        <v>60</v>
      </c>
      <c r="AA785" s="30" t="n">
        <v>0</v>
      </c>
      <c r="AB785" s="30" t="str">
        <f aca="false">IF(Z785&lt;判定条件!$C$6,"判定不能",IF(AA785&gt;=判定条件!$C$7*Z785,"運転",IF(AA785&lt;=判定条件!$C$8*Z785,"停止","断続")))</f>
        <v>停止</v>
      </c>
      <c r="AC785" s="30" t="n">
        <v>60</v>
      </c>
      <c r="AD785" s="30" t="n">
        <v>52</v>
      </c>
      <c r="AE785" s="30" t="str">
        <f aca="false">IF(AC785&lt;判定条件!$C$6,"判定不能",IF(AD785&gt;=判定条件!$C$7*AC785,"運転",IF(AD785&lt;=判定条件!$C$8*AC785,"停止","断続")))</f>
        <v>運転</v>
      </c>
      <c r="AF785" s="30" t="n">
        <v>60</v>
      </c>
      <c r="AG785" s="30" t="n">
        <v>60</v>
      </c>
      <c r="AH785" s="30" t="str">
        <f aca="false">IF(OR(P785="判定不能",G785="判定不能"),"判定不能",IF(AG785&gt;=判定条件!$C$9,"利用可",IF(AND(P785="停止",G785="停止"),"両方停止","運転がそろわない")))</f>
        <v>利用可</v>
      </c>
      <c r="AI785" s="30" t="n">
        <v>0</v>
      </c>
      <c r="AJ785" s="30" t="n">
        <v>0</v>
      </c>
      <c r="AK785" s="30" t="str">
        <f aca="false">IF(OR(S785="判定不能",J785="判定不能"),"判定不能",IF(AJ785&gt;=判定条件!$C$9,"利用可",IF(AND(S785="停止",J785="停止"),"両方停止","運転がそろわない")))</f>
        <v>判定不能</v>
      </c>
      <c r="AL785" s="30" t="n">
        <v>60</v>
      </c>
      <c r="AM785" s="30" t="n">
        <v>10</v>
      </c>
      <c r="AN785" s="30" t="str">
        <f aca="false">IF(OR(V785="判定不能",M785="判定不能"),"判定不能",IF(AM785&gt;=判定条件!$C$9,"利用可",IF(AND(V785="停止",M785="停止"),"両方停止","運転がそろわない")))</f>
        <v>運転がそろわない</v>
      </c>
      <c r="AO785" s="30" t="n">
        <v>60</v>
      </c>
      <c r="AP785" s="30" t="n">
        <v>41</v>
      </c>
      <c r="AQ785" s="30" t="str">
        <f aca="false">IF(OR(Y785="判定不能",G785="判定不能"),"判定不能",IF(AP785&gt;=判定条件!$C$9,"利用可",IF(AND(Y785="停止",G785="停止"),"両方停止","運転がそろわない")))</f>
        <v>利用可</v>
      </c>
      <c r="AR785" s="30" t="n">
        <v>0</v>
      </c>
      <c r="AS785" s="30" t="n">
        <v>0</v>
      </c>
      <c r="AT785" s="30" t="str">
        <f aca="false">IF(OR(AB785="判定不能",J785="判定不能"),"判定不能",IF(AS785&gt;=判定条件!$C$9,"利用可",IF(AND(AB785="停止",J785="停止"),"両方停止","運転がそろわない")))</f>
        <v>判定不能</v>
      </c>
      <c r="AU785" s="30" t="n">
        <v>60</v>
      </c>
      <c r="AV785" s="30" t="n">
        <v>52</v>
      </c>
      <c r="AW785" s="30" t="str">
        <f aca="false">IF(OR(AE785="判定不能",M785="判定不能"),"判定不能",IF(AV785&gt;=判定条件!$C$9,"利用可",IF(AND(AE785="停止",M785="停止"),"両方停止","運転がそろわない")))</f>
        <v>利用可</v>
      </c>
      <c r="AX785" s="30" t="str">
        <f aca="false">IF(AND(AH785="利用可",AK785="利用可",AN785="利用可"),"利用可","不可")</f>
        <v>不可</v>
      </c>
      <c r="AY785" s="30" t="str">
        <f aca="false">IF(AND(AQ785="利用可",AT785="利用可",AW785="利用可"),"利用可","不可")</f>
        <v>不可</v>
      </c>
    </row>
    <row r="786" customFormat="false" ht="15" hidden="false" customHeight="false" outlineLevel="0" collapsed="false">
      <c r="A786" s="29" t="n">
        <v>46264</v>
      </c>
      <c r="B786" s="30" t="n">
        <v>15</v>
      </c>
      <c r="C786" s="31" t="s">
        <v>65</v>
      </c>
      <c r="D786" s="31" t="s">
        <v>64</v>
      </c>
      <c r="E786" s="30" t="n">
        <v>60</v>
      </c>
      <c r="F786" s="30" t="n">
        <v>57</v>
      </c>
      <c r="G786" s="30" t="str">
        <f aca="false">IF(E786&lt;判定条件!$C$6,"判定不能",IF(F786&gt;=判定条件!$C$7*E786,"運転",IF(F786&lt;=判定条件!$C$8*E786,"停止","断続")))</f>
        <v>運転</v>
      </c>
      <c r="H786" s="30" t="n">
        <v>0</v>
      </c>
      <c r="I786" s="30" t="n">
        <v>0</v>
      </c>
      <c r="J786" s="30" t="str">
        <f aca="false">IF(H786&lt;判定条件!$C$6,"判定不能",IF(I786&gt;=判定条件!$C$7*H786,"運転",IF(I786&lt;=判定条件!$C$8*H786,"停止","断続")))</f>
        <v>判定不能</v>
      </c>
      <c r="K786" s="30" t="n">
        <v>60</v>
      </c>
      <c r="L786" s="30" t="n">
        <v>60</v>
      </c>
      <c r="M786" s="30" t="str">
        <f aca="false">IF(K786&lt;判定条件!$C$6,"判定不能",IF(L786&gt;=判定条件!$C$7*K786,"運転",IF(L786&lt;=判定条件!$C$8*K786,"停止","断続")))</f>
        <v>運転</v>
      </c>
      <c r="N786" s="30" t="n">
        <v>60</v>
      </c>
      <c r="O786" s="30" t="n">
        <v>60</v>
      </c>
      <c r="P786" s="30" t="str">
        <f aca="false">IF(N786&lt;判定条件!$C$6,"判定不能",IF(O786&gt;=判定条件!$C$7*N786,"運転",IF(O786&lt;=判定条件!$C$8*N786,"停止","断続")))</f>
        <v>運転</v>
      </c>
      <c r="Q786" s="30" t="n">
        <v>60</v>
      </c>
      <c r="R786" s="30" t="n">
        <v>0</v>
      </c>
      <c r="S786" s="30" t="str">
        <f aca="false">IF(Q786&lt;判定条件!$C$6,"判定不能",IF(R786&gt;=判定条件!$C$7*Q786,"運転",IF(R786&lt;=判定条件!$C$8*Q786,"停止","断続")))</f>
        <v>停止</v>
      </c>
      <c r="T786" s="30" t="n">
        <v>60</v>
      </c>
      <c r="U786" s="30" t="n">
        <v>0</v>
      </c>
      <c r="V786" s="30" t="str">
        <f aca="false">IF(T786&lt;判定条件!$C$6,"判定不能",IF(U786&gt;=判定条件!$C$7*T786,"運転",IF(U786&lt;=判定条件!$C$8*T786,"停止","断続")))</f>
        <v>停止</v>
      </c>
      <c r="W786" s="30" t="n">
        <v>60</v>
      </c>
      <c r="X786" s="30" t="n">
        <v>19</v>
      </c>
      <c r="Y786" s="30" t="str">
        <f aca="false">IF(W786&lt;判定条件!$C$6,"判定不能",IF(X786&gt;=判定条件!$C$7*W786,"運転",IF(X786&lt;=判定条件!$C$8*W786,"停止","断続")))</f>
        <v>断続</v>
      </c>
      <c r="Z786" s="30" t="n">
        <v>60</v>
      </c>
      <c r="AA786" s="30" t="n">
        <v>9</v>
      </c>
      <c r="AB786" s="30" t="str">
        <f aca="false">IF(Z786&lt;判定条件!$C$6,"判定不能",IF(AA786&gt;=判定条件!$C$7*Z786,"運転",IF(AA786&lt;=判定条件!$C$8*Z786,"停止","断続")))</f>
        <v>停止</v>
      </c>
      <c r="AC786" s="30" t="n">
        <v>60</v>
      </c>
      <c r="AD786" s="30" t="n">
        <v>24</v>
      </c>
      <c r="AE786" s="30" t="str">
        <f aca="false">IF(AC786&lt;判定条件!$C$6,"判定不能",IF(AD786&gt;=判定条件!$C$7*AC786,"運転",IF(AD786&lt;=判定条件!$C$8*AC786,"停止","断続")))</f>
        <v>断続</v>
      </c>
      <c r="AF786" s="30" t="n">
        <v>60</v>
      </c>
      <c r="AG786" s="30" t="n">
        <v>57</v>
      </c>
      <c r="AH786" s="30" t="str">
        <f aca="false">IF(OR(P786="判定不能",G786="判定不能"),"判定不能",IF(AG786&gt;=判定条件!$C$9,"利用可",IF(AND(P786="停止",G786="停止"),"両方停止","運転がそろわない")))</f>
        <v>利用可</v>
      </c>
      <c r="AI786" s="30" t="n">
        <v>0</v>
      </c>
      <c r="AJ786" s="30" t="n">
        <v>0</v>
      </c>
      <c r="AK786" s="30" t="str">
        <f aca="false">IF(OR(S786="判定不能",J786="判定不能"),"判定不能",IF(AJ786&gt;=判定条件!$C$9,"利用可",IF(AND(S786="停止",J786="停止"),"両方停止","運転がそろわない")))</f>
        <v>判定不能</v>
      </c>
      <c r="AL786" s="30" t="n">
        <v>60</v>
      </c>
      <c r="AM786" s="30" t="n">
        <v>0</v>
      </c>
      <c r="AN786" s="30" t="str">
        <f aca="false">IF(OR(V786="判定不能",M786="判定不能"),"判定不能",IF(AM786&gt;=判定条件!$C$9,"利用可",IF(AND(V786="停止",M786="停止"),"両方停止","運転がそろわない")))</f>
        <v>運転がそろわない</v>
      </c>
      <c r="AO786" s="30" t="n">
        <v>60</v>
      </c>
      <c r="AP786" s="30" t="n">
        <v>19</v>
      </c>
      <c r="AQ786" s="30" t="str">
        <f aca="false">IF(OR(Y786="判定不能",G786="判定不能"),"判定不能",IF(AP786&gt;=判定条件!$C$9,"利用可",IF(AND(Y786="停止",G786="停止"),"両方停止","運転がそろわない")))</f>
        <v>運転がそろわない</v>
      </c>
      <c r="AR786" s="30" t="n">
        <v>0</v>
      </c>
      <c r="AS786" s="30" t="n">
        <v>0</v>
      </c>
      <c r="AT786" s="30" t="str">
        <f aca="false">IF(OR(AB786="判定不能",J786="判定不能"),"判定不能",IF(AS786&gt;=判定条件!$C$9,"利用可",IF(AND(AB786="停止",J786="停止"),"両方停止","運転がそろわない")))</f>
        <v>判定不能</v>
      </c>
      <c r="AU786" s="30" t="n">
        <v>60</v>
      </c>
      <c r="AV786" s="30" t="n">
        <v>24</v>
      </c>
      <c r="AW786" s="30" t="str">
        <f aca="false">IF(OR(AE786="判定不能",M786="判定不能"),"判定不能",IF(AV786&gt;=判定条件!$C$9,"利用可",IF(AND(AE786="停止",M786="停止"),"両方停止","運転がそろわない")))</f>
        <v>運転がそろわない</v>
      </c>
      <c r="AX786" s="30" t="str">
        <f aca="false">IF(AND(AH786="利用可",AK786="利用可",AN786="利用可"),"利用可","不可")</f>
        <v>不可</v>
      </c>
      <c r="AY786" s="30" t="str">
        <f aca="false">IF(AND(AQ786="利用可",AT786="利用可",AW786="利用可"),"利用可","不可")</f>
        <v>不可</v>
      </c>
    </row>
    <row r="787" customFormat="false" ht="15" hidden="false" customHeight="false" outlineLevel="0" collapsed="false">
      <c r="A787" s="29" t="n">
        <v>46264</v>
      </c>
      <c r="B787" s="30" t="n">
        <v>16</v>
      </c>
      <c r="C787" s="31" t="s">
        <v>65</v>
      </c>
      <c r="D787" s="31" t="s">
        <v>64</v>
      </c>
      <c r="E787" s="30" t="n">
        <v>60</v>
      </c>
      <c r="F787" s="30" t="n">
        <v>47</v>
      </c>
      <c r="G787" s="30" t="str">
        <f aca="false">IF(E787&lt;判定条件!$C$6,"判定不能",IF(F787&gt;=判定条件!$C$7*E787,"運転",IF(F787&lt;=判定条件!$C$8*E787,"停止","断続")))</f>
        <v>断続</v>
      </c>
      <c r="H787" s="30" t="n">
        <v>0</v>
      </c>
      <c r="I787" s="30" t="n">
        <v>0</v>
      </c>
      <c r="J787" s="30" t="str">
        <f aca="false">IF(H787&lt;判定条件!$C$6,"判定不能",IF(I787&gt;=判定条件!$C$7*H787,"運転",IF(I787&lt;=判定条件!$C$8*H787,"停止","断続")))</f>
        <v>判定不能</v>
      </c>
      <c r="K787" s="30" t="n">
        <v>60</v>
      </c>
      <c r="L787" s="30" t="n">
        <v>60</v>
      </c>
      <c r="M787" s="30" t="str">
        <f aca="false">IF(K787&lt;判定条件!$C$6,"判定不能",IF(L787&gt;=判定条件!$C$7*K787,"運転",IF(L787&lt;=判定条件!$C$8*K787,"停止","断続")))</f>
        <v>運転</v>
      </c>
      <c r="N787" s="30" t="n">
        <v>60</v>
      </c>
      <c r="O787" s="30" t="n">
        <v>56</v>
      </c>
      <c r="P787" s="30" t="str">
        <f aca="false">IF(N787&lt;判定条件!$C$6,"判定不能",IF(O787&gt;=判定条件!$C$7*N787,"運転",IF(O787&lt;=判定条件!$C$8*N787,"停止","断続")))</f>
        <v>運転</v>
      </c>
      <c r="Q787" s="30" t="n">
        <v>60</v>
      </c>
      <c r="R787" s="30" t="n">
        <v>0</v>
      </c>
      <c r="S787" s="30" t="str">
        <f aca="false">IF(Q787&lt;判定条件!$C$6,"判定不能",IF(R787&gt;=判定条件!$C$7*Q787,"運転",IF(R787&lt;=判定条件!$C$8*Q787,"停止","断続")))</f>
        <v>停止</v>
      </c>
      <c r="T787" s="30" t="n">
        <v>60</v>
      </c>
      <c r="U787" s="30" t="n">
        <v>0</v>
      </c>
      <c r="V787" s="30" t="str">
        <f aca="false">IF(T787&lt;判定条件!$C$6,"判定不能",IF(U787&gt;=判定条件!$C$7*T787,"運転",IF(U787&lt;=判定条件!$C$8*T787,"停止","断続")))</f>
        <v>停止</v>
      </c>
      <c r="W787" s="30" t="n">
        <v>60</v>
      </c>
      <c r="X787" s="30" t="n">
        <v>34</v>
      </c>
      <c r="Y787" s="30" t="str">
        <f aca="false">IF(W787&lt;判定条件!$C$6,"判定不能",IF(X787&gt;=判定条件!$C$7*W787,"運転",IF(X787&lt;=判定条件!$C$8*W787,"停止","断続")))</f>
        <v>断続</v>
      </c>
      <c r="Z787" s="30" t="n">
        <v>60</v>
      </c>
      <c r="AA787" s="30" t="n">
        <v>0</v>
      </c>
      <c r="AB787" s="30" t="str">
        <f aca="false">IF(Z787&lt;判定条件!$C$6,"判定不能",IF(AA787&gt;=判定条件!$C$7*Z787,"運転",IF(AA787&lt;=判定条件!$C$8*Z787,"停止","断続")))</f>
        <v>停止</v>
      </c>
      <c r="AC787" s="30" t="n">
        <v>60</v>
      </c>
      <c r="AD787" s="30" t="n">
        <v>60</v>
      </c>
      <c r="AE787" s="30" t="str">
        <f aca="false">IF(AC787&lt;判定条件!$C$6,"判定不能",IF(AD787&gt;=判定条件!$C$7*AC787,"運転",IF(AD787&lt;=判定条件!$C$8*AC787,"停止","断続")))</f>
        <v>運転</v>
      </c>
      <c r="AF787" s="30" t="n">
        <v>60</v>
      </c>
      <c r="AG787" s="30" t="n">
        <v>47</v>
      </c>
      <c r="AH787" s="30" t="str">
        <f aca="false">IF(OR(P787="判定不能",G787="判定不能"),"判定不能",IF(AG787&gt;=判定条件!$C$9,"利用可",IF(AND(P787="停止",G787="停止"),"両方停止","運転がそろわない")))</f>
        <v>利用可</v>
      </c>
      <c r="AI787" s="30" t="n">
        <v>0</v>
      </c>
      <c r="AJ787" s="30" t="n">
        <v>0</v>
      </c>
      <c r="AK787" s="30" t="str">
        <f aca="false">IF(OR(S787="判定不能",J787="判定不能"),"判定不能",IF(AJ787&gt;=判定条件!$C$9,"利用可",IF(AND(S787="停止",J787="停止"),"両方停止","運転がそろわない")))</f>
        <v>判定不能</v>
      </c>
      <c r="AL787" s="30" t="n">
        <v>60</v>
      </c>
      <c r="AM787" s="30" t="n">
        <v>0</v>
      </c>
      <c r="AN787" s="30" t="str">
        <f aca="false">IF(OR(V787="判定不能",M787="判定不能"),"判定不能",IF(AM787&gt;=判定条件!$C$9,"利用可",IF(AND(V787="停止",M787="停止"),"両方停止","運転がそろわない")))</f>
        <v>運転がそろわない</v>
      </c>
      <c r="AO787" s="30" t="n">
        <v>60</v>
      </c>
      <c r="AP787" s="30" t="n">
        <v>34</v>
      </c>
      <c r="AQ787" s="30" t="str">
        <f aca="false">IF(OR(Y787="判定不能",G787="判定不能"),"判定不能",IF(AP787&gt;=判定条件!$C$9,"利用可",IF(AND(Y787="停止",G787="停止"),"両方停止","運転がそろわない")))</f>
        <v>利用可</v>
      </c>
      <c r="AR787" s="30" t="n">
        <v>0</v>
      </c>
      <c r="AS787" s="30" t="n">
        <v>0</v>
      </c>
      <c r="AT787" s="30" t="str">
        <f aca="false">IF(OR(AB787="判定不能",J787="判定不能"),"判定不能",IF(AS787&gt;=判定条件!$C$9,"利用可",IF(AND(AB787="停止",J787="停止"),"両方停止","運転がそろわない")))</f>
        <v>判定不能</v>
      </c>
      <c r="AU787" s="30" t="n">
        <v>60</v>
      </c>
      <c r="AV787" s="30" t="n">
        <v>60</v>
      </c>
      <c r="AW787" s="30" t="str">
        <f aca="false">IF(OR(AE787="判定不能",M787="判定不能"),"判定不能",IF(AV787&gt;=判定条件!$C$9,"利用可",IF(AND(AE787="停止",M787="停止"),"両方停止","運転がそろわない")))</f>
        <v>利用可</v>
      </c>
      <c r="AX787" s="30" t="str">
        <f aca="false">IF(AND(AH787="利用可",AK787="利用可",AN787="利用可"),"利用可","不可")</f>
        <v>不可</v>
      </c>
      <c r="AY787" s="30" t="str">
        <f aca="false">IF(AND(AQ787="利用可",AT787="利用可",AW787="利用可"),"利用可","不可")</f>
        <v>不可</v>
      </c>
    </row>
    <row r="788" customFormat="false" ht="15" hidden="false" customHeight="false" outlineLevel="0" collapsed="false">
      <c r="A788" s="29" t="n">
        <v>46264</v>
      </c>
      <c r="B788" s="30" t="n">
        <v>17</v>
      </c>
      <c r="C788" s="31" t="s">
        <v>65</v>
      </c>
      <c r="D788" s="31" t="s">
        <v>64</v>
      </c>
      <c r="E788" s="30" t="n">
        <v>60</v>
      </c>
      <c r="F788" s="30" t="n">
        <v>60</v>
      </c>
      <c r="G788" s="30" t="str">
        <f aca="false">IF(E788&lt;判定条件!$C$6,"判定不能",IF(F788&gt;=判定条件!$C$7*E788,"運転",IF(F788&lt;=判定条件!$C$8*E788,"停止","断続")))</f>
        <v>運転</v>
      </c>
      <c r="H788" s="30" t="n">
        <v>0</v>
      </c>
      <c r="I788" s="30" t="n">
        <v>0</v>
      </c>
      <c r="J788" s="30" t="str">
        <f aca="false">IF(H788&lt;判定条件!$C$6,"判定不能",IF(I788&gt;=判定条件!$C$7*H788,"運転",IF(I788&lt;=判定条件!$C$8*H788,"停止","断続")))</f>
        <v>判定不能</v>
      </c>
      <c r="K788" s="30" t="n">
        <v>60</v>
      </c>
      <c r="L788" s="30" t="n">
        <v>60</v>
      </c>
      <c r="M788" s="30" t="str">
        <f aca="false">IF(K788&lt;判定条件!$C$6,"判定不能",IF(L788&gt;=判定条件!$C$7*K788,"運転",IF(L788&lt;=判定条件!$C$8*K788,"停止","断続")))</f>
        <v>運転</v>
      </c>
      <c r="N788" s="30" t="n">
        <v>60</v>
      </c>
      <c r="O788" s="30" t="n">
        <v>60</v>
      </c>
      <c r="P788" s="30" t="str">
        <f aca="false">IF(N788&lt;判定条件!$C$6,"判定不能",IF(O788&gt;=判定条件!$C$7*N788,"運転",IF(O788&lt;=判定条件!$C$8*N788,"停止","断続")))</f>
        <v>運転</v>
      </c>
      <c r="Q788" s="30" t="n">
        <v>60</v>
      </c>
      <c r="R788" s="30" t="n">
        <v>0</v>
      </c>
      <c r="S788" s="30" t="str">
        <f aca="false">IF(Q788&lt;判定条件!$C$6,"判定不能",IF(R788&gt;=判定条件!$C$7*Q788,"運転",IF(R788&lt;=判定条件!$C$8*Q788,"停止","断続")))</f>
        <v>停止</v>
      </c>
      <c r="T788" s="30" t="n">
        <v>60</v>
      </c>
      <c r="U788" s="30" t="n">
        <v>0</v>
      </c>
      <c r="V788" s="30" t="str">
        <f aca="false">IF(T788&lt;判定条件!$C$6,"判定不能",IF(U788&gt;=判定条件!$C$7*T788,"運転",IF(U788&lt;=判定条件!$C$8*T788,"停止","断続")))</f>
        <v>停止</v>
      </c>
      <c r="W788" s="30" t="n">
        <v>60</v>
      </c>
      <c r="X788" s="30" t="n">
        <v>30</v>
      </c>
      <c r="Y788" s="30" t="str">
        <f aca="false">IF(W788&lt;判定条件!$C$6,"判定不能",IF(X788&gt;=判定条件!$C$7*W788,"運転",IF(X788&lt;=判定条件!$C$8*W788,"停止","断続")))</f>
        <v>断続</v>
      </c>
      <c r="Z788" s="30" t="n">
        <v>60</v>
      </c>
      <c r="AA788" s="30" t="n">
        <v>26</v>
      </c>
      <c r="AB788" s="30" t="str">
        <f aca="false">IF(Z788&lt;判定条件!$C$6,"判定不能",IF(AA788&gt;=判定条件!$C$7*Z788,"運転",IF(AA788&lt;=判定条件!$C$8*Z788,"停止","断続")))</f>
        <v>断続</v>
      </c>
      <c r="AC788" s="30" t="n">
        <v>60</v>
      </c>
      <c r="AD788" s="30" t="n">
        <v>60</v>
      </c>
      <c r="AE788" s="30" t="str">
        <f aca="false">IF(AC788&lt;判定条件!$C$6,"判定不能",IF(AD788&gt;=判定条件!$C$7*AC788,"運転",IF(AD788&lt;=判定条件!$C$8*AC788,"停止","断続")))</f>
        <v>運転</v>
      </c>
      <c r="AF788" s="30" t="n">
        <v>60</v>
      </c>
      <c r="AG788" s="30" t="n">
        <v>60</v>
      </c>
      <c r="AH788" s="30" t="str">
        <f aca="false">IF(OR(P788="判定不能",G788="判定不能"),"判定不能",IF(AG788&gt;=判定条件!$C$9,"利用可",IF(AND(P788="停止",G788="停止"),"両方停止","運転がそろわない")))</f>
        <v>利用可</v>
      </c>
      <c r="AI788" s="30" t="n">
        <v>0</v>
      </c>
      <c r="AJ788" s="30" t="n">
        <v>0</v>
      </c>
      <c r="AK788" s="30" t="str">
        <f aca="false">IF(OR(S788="判定不能",J788="判定不能"),"判定不能",IF(AJ788&gt;=判定条件!$C$9,"利用可",IF(AND(S788="停止",J788="停止"),"両方停止","運転がそろわない")))</f>
        <v>判定不能</v>
      </c>
      <c r="AL788" s="30" t="n">
        <v>60</v>
      </c>
      <c r="AM788" s="30" t="n">
        <v>0</v>
      </c>
      <c r="AN788" s="30" t="str">
        <f aca="false">IF(OR(V788="判定不能",M788="判定不能"),"判定不能",IF(AM788&gt;=判定条件!$C$9,"利用可",IF(AND(V788="停止",M788="停止"),"両方停止","運転がそろわない")))</f>
        <v>運転がそろわない</v>
      </c>
      <c r="AO788" s="30" t="n">
        <v>60</v>
      </c>
      <c r="AP788" s="30" t="n">
        <v>30</v>
      </c>
      <c r="AQ788" s="30" t="str">
        <f aca="false">IF(OR(Y788="判定不能",G788="判定不能"),"判定不能",IF(AP788&gt;=判定条件!$C$9,"利用可",IF(AND(Y788="停止",G788="停止"),"両方停止","運転がそろわない")))</f>
        <v>利用可</v>
      </c>
      <c r="AR788" s="30" t="n">
        <v>0</v>
      </c>
      <c r="AS788" s="30" t="n">
        <v>0</v>
      </c>
      <c r="AT788" s="30" t="str">
        <f aca="false">IF(OR(AB788="判定不能",J788="判定不能"),"判定不能",IF(AS788&gt;=判定条件!$C$9,"利用可",IF(AND(AB788="停止",J788="停止"),"両方停止","運転がそろわない")))</f>
        <v>判定不能</v>
      </c>
      <c r="AU788" s="30" t="n">
        <v>60</v>
      </c>
      <c r="AV788" s="30" t="n">
        <v>60</v>
      </c>
      <c r="AW788" s="30" t="str">
        <f aca="false">IF(OR(AE788="判定不能",M788="判定不能"),"判定不能",IF(AV788&gt;=判定条件!$C$9,"利用可",IF(AND(AE788="停止",M788="停止"),"両方停止","運転がそろわない")))</f>
        <v>利用可</v>
      </c>
      <c r="AX788" s="30" t="str">
        <f aca="false">IF(AND(AH788="利用可",AK788="利用可",AN788="利用可"),"利用可","不可")</f>
        <v>不可</v>
      </c>
      <c r="AY788" s="30" t="str">
        <f aca="false">IF(AND(AQ788="利用可",AT788="利用可",AW788="利用可"),"利用可","不可")</f>
        <v>不可</v>
      </c>
    </row>
    <row r="789" customFormat="false" ht="15" hidden="false" customHeight="false" outlineLevel="0" collapsed="false">
      <c r="A789" s="29" t="n">
        <v>46264</v>
      </c>
      <c r="B789" s="30" t="n">
        <v>18</v>
      </c>
      <c r="C789" s="31" t="s">
        <v>65</v>
      </c>
      <c r="D789" s="31" t="s">
        <v>64</v>
      </c>
      <c r="E789" s="30" t="n">
        <v>60</v>
      </c>
      <c r="F789" s="30" t="n">
        <v>50</v>
      </c>
      <c r="G789" s="30" t="str">
        <f aca="false">IF(E789&lt;判定条件!$C$6,"判定不能",IF(F789&gt;=判定条件!$C$7*E789,"運転",IF(F789&lt;=判定条件!$C$8*E789,"停止","断続")))</f>
        <v>運転</v>
      </c>
      <c r="H789" s="30" t="n">
        <v>0</v>
      </c>
      <c r="I789" s="30" t="n">
        <v>0</v>
      </c>
      <c r="J789" s="30" t="str">
        <f aca="false">IF(H789&lt;判定条件!$C$6,"判定不能",IF(I789&gt;=判定条件!$C$7*H789,"運転",IF(I789&lt;=判定条件!$C$8*H789,"停止","断続")))</f>
        <v>判定不能</v>
      </c>
      <c r="K789" s="30" t="n">
        <v>60</v>
      </c>
      <c r="L789" s="30" t="n">
        <v>60</v>
      </c>
      <c r="M789" s="30" t="str">
        <f aca="false">IF(K789&lt;判定条件!$C$6,"判定不能",IF(L789&gt;=判定条件!$C$7*K789,"運転",IF(L789&lt;=判定条件!$C$8*K789,"停止","断続")))</f>
        <v>運転</v>
      </c>
      <c r="N789" s="30" t="n">
        <v>60</v>
      </c>
      <c r="O789" s="30" t="n">
        <v>3</v>
      </c>
      <c r="P789" s="30" t="str">
        <f aca="false">IF(N789&lt;判定条件!$C$6,"判定不能",IF(O789&gt;=判定条件!$C$7*N789,"運転",IF(O789&lt;=判定条件!$C$8*N789,"停止","断続")))</f>
        <v>停止</v>
      </c>
      <c r="Q789" s="30" t="n">
        <v>60</v>
      </c>
      <c r="R789" s="30" t="n">
        <v>0</v>
      </c>
      <c r="S789" s="30" t="str">
        <f aca="false">IF(Q789&lt;判定条件!$C$6,"判定不能",IF(R789&gt;=判定条件!$C$7*Q789,"運転",IF(R789&lt;=判定条件!$C$8*Q789,"停止","断続")))</f>
        <v>停止</v>
      </c>
      <c r="T789" s="30" t="n">
        <v>60</v>
      </c>
      <c r="U789" s="30" t="n">
        <v>0</v>
      </c>
      <c r="V789" s="30" t="str">
        <f aca="false">IF(T789&lt;判定条件!$C$6,"判定不能",IF(U789&gt;=判定条件!$C$7*T789,"運転",IF(U789&lt;=判定条件!$C$8*T789,"停止","断続")))</f>
        <v>停止</v>
      </c>
      <c r="W789" s="30" t="n">
        <v>60</v>
      </c>
      <c r="X789" s="30" t="n">
        <v>0</v>
      </c>
      <c r="Y789" s="30" t="str">
        <f aca="false">IF(W789&lt;判定条件!$C$6,"判定不能",IF(X789&gt;=判定条件!$C$7*W789,"運転",IF(X789&lt;=判定条件!$C$8*W789,"停止","断続")))</f>
        <v>停止</v>
      </c>
      <c r="Z789" s="30" t="n">
        <v>60</v>
      </c>
      <c r="AA789" s="30" t="n">
        <v>0</v>
      </c>
      <c r="AB789" s="30" t="str">
        <f aca="false">IF(Z789&lt;判定条件!$C$6,"判定不能",IF(AA789&gt;=判定条件!$C$7*Z789,"運転",IF(AA789&lt;=判定条件!$C$8*Z789,"停止","断続")))</f>
        <v>停止</v>
      </c>
      <c r="AC789" s="30" t="n">
        <v>60</v>
      </c>
      <c r="AD789" s="30" t="n">
        <v>19</v>
      </c>
      <c r="AE789" s="30" t="str">
        <f aca="false">IF(AC789&lt;判定条件!$C$6,"判定不能",IF(AD789&gt;=判定条件!$C$7*AC789,"運転",IF(AD789&lt;=判定条件!$C$8*AC789,"停止","断続")))</f>
        <v>断続</v>
      </c>
      <c r="AF789" s="30" t="n">
        <v>60</v>
      </c>
      <c r="AG789" s="30" t="n">
        <v>3</v>
      </c>
      <c r="AH789" s="30" t="str">
        <f aca="false">IF(OR(P789="判定不能",G789="判定不能"),"判定不能",IF(AG789&gt;=判定条件!$C$9,"利用可",IF(AND(P789="停止",G789="停止"),"両方停止","運転がそろわない")))</f>
        <v>運転がそろわない</v>
      </c>
      <c r="AI789" s="30" t="n">
        <v>0</v>
      </c>
      <c r="AJ789" s="30" t="n">
        <v>0</v>
      </c>
      <c r="AK789" s="30" t="str">
        <f aca="false">IF(OR(S789="判定不能",J789="判定不能"),"判定不能",IF(AJ789&gt;=判定条件!$C$9,"利用可",IF(AND(S789="停止",J789="停止"),"両方停止","運転がそろわない")))</f>
        <v>判定不能</v>
      </c>
      <c r="AL789" s="30" t="n">
        <v>60</v>
      </c>
      <c r="AM789" s="30" t="n">
        <v>0</v>
      </c>
      <c r="AN789" s="30" t="str">
        <f aca="false">IF(OR(V789="判定不能",M789="判定不能"),"判定不能",IF(AM789&gt;=判定条件!$C$9,"利用可",IF(AND(V789="停止",M789="停止"),"両方停止","運転がそろわない")))</f>
        <v>運転がそろわない</v>
      </c>
      <c r="AO789" s="30" t="n">
        <v>60</v>
      </c>
      <c r="AP789" s="30" t="n">
        <v>0</v>
      </c>
      <c r="AQ789" s="30" t="str">
        <f aca="false">IF(OR(Y789="判定不能",G789="判定不能"),"判定不能",IF(AP789&gt;=判定条件!$C$9,"利用可",IF(AND(Y789="停止",G789="停止"),"両方停止","運転がそろわない")))</f>
        <v>運転がそろわない</v>
      </c>
      <c r="AR789" s="30" t="n">
        <v>0</v>
      </c>
      <c r="AS789" s="30" t="n">
        <v>0</v>
      </c>
      <c r="AT789" s="30" t="str">
        <f aca="false">IF(OR(AB789="判定不能",J789="判定不能"),"判定不能",IF(AS789&gt;=判定条件!$C$9,"利用可",IF(AND(AB789="停止",J789="停止"),"両方停止","運転がそろわない")))</f>
        <v>判定不能</v>
      </c>
      <c r="AU789" s="30" t="n">
        <v>60</v>
      </c>
      <c r="AV789" s="30" t="n">
        <v>19</v>
      </c>
      <c r="AW789" s="30" t="str">
        <f aca="false">IF(OR(AE789="判定不能",M789="判定不能"),"判定不能",IF(AV789&gt;=判定条件!$C$9,"利用可",IF(AND(AE789="停止",M789="停止"),"両方停止","運転がそろわない")))</f>
        <v>運転がそろわない</v>
      </c>
      <c r="AX789" s="30" t="str">
        <f aca="false">IF(AND(AH789="利用可",AK789="利用可",AN789="利用可"),"利用可","不可")</f>
        <v>不可</v>
      </c>
      <c r="AY789" s="30" t="str">
        <f aca="false">IF(AND(AQ789="利用可",AT789="利用可",AW789="利用可"),"利用可","不可")</f>
        <v>不可</v>
      </c>
    </row>
    <row r="790" customFormat="false" ht="15" hidden="false" customHeight="false" outlineLevel="0" collapsed="false">
      <c r="A790" s="29" t="n">
        <v>46264</v>
      </c>
      <c r="B790" s="30" t="n">
        <v>19</v>
      </c>
      <c r="C790" s="31" t="s">
        <v>65</v>
      </c>
      <c r="D790" s="31" t="s">
        <v>64</v>
      </c>
      <c r="E790" s="30" t="n">
        <v>60</v>
      </c>
      <c r="F790" s="30" t="n">
        <v>49</v>
      </c>
      <c r="G790" s="30" t="str">
        <f aca="false">IF(E790&lt;判定条件!$C$6,"判定不能",IF(F790&gt;=判定条件!$C$7*E790,"運転",IF(F790&lt;=判定条件!$C$8*E790,"停止","断続")))</f>
        <v>運転</v>
      </c>
      <c r="H790" s="30" t="n">
        <v>0</v>
      </c>
      <c r="I790" s="30" t="n">
        <v>0</v>
      </c>
      <c r="J790" s="30" t="str">
        <f aca="false">IF(H790&lt;判定条件!$C$6,"判定不能",IF(I790&gt;=判定条件!$C$7*H790,"運転",IF(I790&lt;=判定条件!$C$8*H790,"停止","断続")))</f>
        <v>判定不能</v>
      </c>
      <c r="K790" s="30" t="n">
        <v>60</v>
      </c>
      <c r="L790" s="30" t="n">
        <v>60</v>
      </c>
      <c r="M790" s="30" t="str">
        <f aca="false">IF(K790&lt;判定条件!$C$6,"判定不能",IF(L790&gt;=判定条件!$C$7*K790,"運転",IF(L790&lt;=判定条件!$C$8*K790,"停止","断続")))</f>
        <v>運転</v>
      </c>
      <c r="N790" s="30" t="n">
        <v>60</v>
      </c>
      <c r="O790" s="30" t="n">
        <v>0</v>
      </c>
      <c r="P790" s="30" t="str">
        <f aca="false">IF(N790&lt;判定条件!$C$6,"判定不能",IF(O790&gt;=判定条件!$C$7*N790,"運転",IF(O790&lt;=判定条件!$C$8*N790,"停止","断続")))</f>
        <v>停止</v>
      </c>
      <c r="Q790" s="30" t="n">
        <v>60</v>
      </c>
      <c r="R790" s="30" t="n">
        <v>0</v>
      </c>
      <c r="S790" s="30" t="str">
        <f aca="false">IF(Q790&lt;判定条件!$C$6,"判定不能",IF(R790&gt;=判定条件!$C$7*Q790,"運転",IF(R790&lt;=判定条件!$C$8*Q790,"停止","断続")))</f>
        <v>停止</v>
      </c>
      <c r="T790" s="30" t="n">
        <v>60</v>
      </c>
      <c r="U790" s="30" t="n">
        <v>0</v>
      </c>
      <c r="V790" s="30" t="str">
        <f aca="false">IF(T790&lt;判定条件!$C$6,"判定不能",IF(U790&gt;=判定条件!$C$7*T790,"運転",IF(U790&lt;=判定条件!$C$8*T790,"停止","断続")))</f>
        <v>停止</v>
      </c>
      <c r="W790" s="30" t="n">
        <v>60</v>
      </c>
      <c r="X790" s="30" t="n">
        <v>0</v>
      </c>
      <c r="Y790" s="30" t="str">
        <f aca="false">IF(W790&lt;判定条件!$C$6,"判定不能",IF(X790&gt;=判定条件!$C$7*W790,"運転",IF(X790&lt;=判定条件!$C$8*W790,"停止","断続")))</f>
        <v>停止</v>
      </c>
      <c r="Z790" s="30" t="n">
        <v>60</v>
      </c>
      <c r="AA790" s="30" t="n">
        <v>0</v>
      </c>
      <c r="AB790" s="30" t="str">
        <f aca="false">IF(Z790&lt;判定条件!$C$6,"判定不能",IF(AA790&gt;=判定条件!$C$7*Z790,"運転",IF(AA790&lt;=判定条件!$C$8*Z790,"停止","断続")))</f>
        <v>停止</v>
      </c>
      <c r="AC790" s="30" t="n">
        <v>60</v>
      </c>
      <c r="AD790" s="30" t="n">
        <v>0</v>
      </c>
      <c r="AE790" s="30" t="str">
        <f aca="false">IF(AC790&lt;判定条件!$C$6,"判定不能",IF(AD790&gt;=判定条件!$C$7*AC790,"運転",IF(AD790&lt;=判定条件!$C$8*AC790,"停止","断続")))</f>
        <v>停止</v>
      </c>
      <c r="AF790" s="30" t="n">
        <v>60</v>
      </c>
      <c r="AG790" s="30" t="n">
        <v>0</v>
      </c>
      <c r="AH790" s="30" t="str">
        <f aca="false">IF(OR(P790="判定不能",G790="判定不能"),"判定不能",IF(AG790&gt;=判定条件!$C$9,"利用可",IF(AND(P790="停止",G790="停止"),"両方停止","運転がそろわない")))</f>
        <v>運転がそろわない</v>
      </c>
      <c r="AI790" s="30" t="n">
        <v>0</v>
      </c>
      <c r="AJ790" s="30" t="n">
        <v>0</v>
      </c>
      <c r="AK790" s="30" t="str">
        <f aca="false">IF(OR(S790="判定不能",J790="判定不能"),"判定不能",IF(AJ790&gt;=判定条件!$C$9,"利用可",IF(AND(S790="停止",J790="停止"),"両方停止","運転がそろわない")))</f>
        <v>判定不能</v>
      </c>
      <c r="AL790" s="30" t="n">
        <v>60</v>
      </c>
      <c r="AM790" s="30" t="n">
        <v>0</v>
      </c>
      <c r="AN790" s="30" t="str">
        <f aca="false">IF(OR(V790="判定不能",M790="判定不能"),"判定不能",IF(AM790&gt;=判定条件!$C$9,"利用可",IF(AND(V790="停止",M790="停止"),"両方停止","運転がそろわない")))</f>
        <v>運転がそろわない</v>
      </c>
      <c r="AO790" s="30" t="n">
        <v>60</v>
      </c>
      <c r="AP790" s="30" t="n">
        <v>0</v>
      </c>
      <c r="AQ790" s="30" t="str">
        <f aca="false">IF(OR(Y790="判定不能",G790="判定不能"),"判定不能",IF(AP790&gt;=判定条件!$C$9,"利用可",IF(AND(Y790="停止",G790="停止"),"両方停止","運転がそろわない")))</f>
        <v>運転がそろわない</v>
      </c>
      <c r="AR790" s="30" t="n">
        <v>0</v>
      </c>
      <c r="AS790" s="30" t="n">
        <v>0</v>
      </c>
      <c r="AT790" s="30" t="str">
        <f aca="false">IF(OR(AB790="判定不能",J790="判定不能"),"判定不能",IF(AS790&gt;=判定条件!$C$9,"利用可",IF(AND(AB790="停止",J790="停止"),"両方停止","運転がそろわない")))</f>
        <v>判定不能</v>
      </c>
      <c r="AU790" s="30" t="n">
        <v>60</v>
      </c>
      <c r="AV790" s="30" t="n">
        <v>0</v>
      </c>
      <c r="AW790" s="30" t="str">
        <f aca="false">IF(OR(AE790="判定不能",M790="判定不能"),"判定不能",IF(AV790&gt;=判定条件!$C$9,"利用可",IF(AND(AE790="停止",M790="停止"),"両方停止","運転がそろわない")))</f>
        <v>運転がそろわない</v>
      </c>
      <c r="AX790" s="30" t="str">
        <f aca="false">IF(AND(AH790="利用可",AK790="利用可",AN790="利用可"),"利用可","不可")</f>
        <v>不可</v>
      </c>
      <c r="AY790" s="30" t="str">
        <f aca="false">IF(AND(AQ790="利用可",AT790="利用可",AW790="利用可"),"利用可","不可")</f>
        <v>不可</v>
      </c>
    </row>
    <row r="791" customFormat="false" ht="15" hidden="false" customHeight="false" outlineLevel="0" collapsed="false">
      <c r="A791" s="29" t="n">
        <v>46264</v>
      </c>
      <c r="B791" s="30" t="n">
        <v>20</v>
      </c>
      <c r="C791" s="31" t="s">
        <v>65</v>
      </c>
      <c r="D791" s="31" t="s">
        <v>64</v>
      </c>
      <c r="E791" s="30" t="n">
        <v>60</v>
      </c>
      <c r="F791" s="30" t="n">
        <v>51</v>
      </c>
      <c r="G791" s="30" t="str">
        <f aca="false">IF(E791&lt;判定条件!$C$6,"判定不能",IF(F791&gt;=判定条件!$C$7*E791,"運転",IF(F791&lt;=判定条件!$C$8*E791,"停止","断続")))</f>
        <v>運転</v>
      </c>
      <c r="H791" s="30" t="n">
        <v>0</v>
      </c>
      <c r="I791" s="30" t="n">
        <v>0</v>
      </c>
      <c r="J791" s="30" t="str">
        <f aca="false">IF(H791&lt;判定条件!$C$6,"判定不能",IF(I791&gt;=判定条件!$C$7*H791,"運転",IF(I791&lt;=判定条件!$C$8*H791,"停止","断続")))</f>
        <v>判定不能</v>
      </c>
      <c r="K791" s="30" t="n">
        <v>60</v>
      </c>
      <c r="L791" s="30" t="n">
        <v>54</v>
      </c>
      <c r="M791" s="30" t="str">
        <f aca="false">IF(K791&lt;判定条件!$C$6,"判定不能",IF(L791&gt;=判定条件!$C$7*K791,"運転",IF(L791&lt;=判定条件!$C$8*K791,"停止","断続")))</f>
        <v>運転</v>
      </c>
      <c r="N791" s="30" t="n">
        <v>60</v>
      </c>
      <c r="O791" s="30" t="n">
        <v>0</v>
      </c>
      <c r="P791" s="30" t="str">
        <f aca="false">IF(N791&lt;判定条件!$C$6,"判定不能",IF(O791&gt;=判定条件!$C$7*N791,"運転",IF(O791&lt;=判定条件!$C$8*N791,"停止","断続")))</f>
        <v>停止</v>
      </c>
      <c r="Q791" s="30" t="n">
        <v>60</v>
      </c>
      <c r="R791" s="30" t="n">
        <v>0</v>
      </c>
      <c r="S791" s="30" t="str">
        <f aca="false">IF(Q791&lt;判定条件!$C$6,"判定不能",IF(R791&gt;=判定条件!$C$7*Q791,"運転",IF(R791&lt;=判定条件!$C$8*Q791,"停止","断続")))</f>
        <v>停止</v>
      </c>
      <c r="T791" s="30" t="n">
        <v>60</v>
      </c>
      <c r="U791" s="30" t="n">
        <v>0</v>
      </c>
      <c r="V791" s="30" t="str">
        <f aca="false">IF(T791&lt;判定条件!$C$6,"判定不能",IF(U791&gt;=判定条件!$C$7*T791,"運転",IF(U791&lt;=判定条件!$C$8*T791,"停止","断続")))</f>
        <v>停止</v>
      </c>
      <c r="W791" s="30" t="n">
        <v>60</v>
      </c>
      <c r="X791" s="30" t="n">
        <v>0</v>
      </c>
      <c r="Y791" s="30" t="str">
        <f aca="false">IF(W791&lt;判定条件!$C$6,"判定不能",IF(X791&gt;=判定条件!$C$7*W791,"運転",IF(X791&lt;=判定条件!$C$8*W791,"停止","断続")))</f>
        <v>停止</v>
      </c>
      <c r="Z791" s="30" t="n">
        <v>60</v>
      </c>
      <c r="AA791" s="30" t="n">
        <v>0</v>
      </c>
      <c r="AB791" s="30" t="str">
        <f aca="false">IF(Z791&lt;判定条件!$C$6,"判定不能",IF(AA791&gt;=判定条件!$C$7*Z791,"運転",IF(AA791&lt;=判定条件!$C$8*Z791,"停止","断続")))</f>
        <v>停止</v>
      </c>
      <c r="AC791" s="30" t="n">
        <v>60</v>
      </c>
      <c r="AD791" s="30" t="n">
        <v>0</v>
      </c>
      <c r="AE791" s="30" t="str">
        <f aca="false">IF(AC791&lt;判定条件!$C$6,"判定不能",IF(AD791&gt;=判定条件!$C$7*AC791,"運転",IF(AD791&lt;=判定条件!$C$8*AC791,"停止","断続")))</f>
        <v>停止</v>
      </c>
      <c r="AF791" s="30" t="n">
        <v>60</v>
      </c>
      <c r="AG791" s="30" t="n">
        <v>0</v>
      </c>
      <c r="AH791" s="30" t="str">
        <f aca="false">IF(OR(P791="判定不能",G791="判定不能"),"判定不能",IF(AG791&gt;=判定条件!$C$9,"利用可",IF(AND(P791="停止",G791="停止"),"両方停止","運転がそろわない")))</f>
        <v>運転がそろわない</v>
      </c>
      <c r="AI791" s="30" t="n">
        <v>0</v>
      </c>
      <c r="AJ791" s="30" t="n">
        <v>0</v>
      </c>
      <c r="AK791" s="30" t="str">
        <f aca="false">IF(OR(S791="判定不能",J791="判定不能"),"判定不能",IF(AJ791&gt;=判定条件!$C$9,"利用可",IF(AND(S791="停止",J791="停止"),"両方停止","運転がそろわない")))</f>
        <v>判定不能</v>
      </c>
      <c r="AL791" s="30" t="n">
        <v>60</v>
      </c>
      <c r="AM791" s="30" t="n">
        <v>0</v>
      </c>
      <c r="AN791" s="30" t="str">
        <f aca="false">IF(OR(V791="判定不能",M791="判定不能"),"判定不能",IF(AM791&gt;=判定条件!$C$9,"利用可",IF(AND(V791="停止",M791="停止"),"両方停止","運転がそろわない")))</f>
        <v>運転がそろわない</v>
      </c>
      <c r="AO791" s="30" t="n">
        <v>60</v>
      </c>
      <c r="AP791" s="30" t="n">
        <v>0</v>
      </c>
      <c r="AQ791" s="30" t="str">
        <f aca="false">IF(OR(Y791="判定不能",G791="判定不能"),"判定不能",IF(AP791&gt;=判定条件!$C$9,"利用可",IF(AND(Y791="停止",G791="停止"),"両方停止","運転がそろわない")))</f>
        <v>運転がそろわない</v>
      </c>
      <c r="AR791" s="30" t="n">
        <v>0</v>
      </c>
      <c r="AS791" s="30" t="n">
        <v>0</v>
      </c>
      <c r="AT791" s="30" t="str">
        <f aca="false">IF(OR(AB791="判定不能",J791="判定不能"),"判定不能",IF(AS791&gt;=判定条件!$C$9,"利用可",IF(AND(AB791="停止",J791="停止"),"両方停止","運転がそろわない")))</f>
        <v>判定不能</v>
      </c>
      <c r="AU791" s="30" t="n">
        <v>60</v>
      </c>
      <c r="AV791" s="30" t="n">
        <v>0</v>
      </c>
      <c r="AW791" s="30" t="str">
        <f aca="false">IF(OR(AE791="判定不能",M791="判定不能"),"判定不能",IF(AV791&gt;=判定条件!$C$9,"利用可",IF(AND(AE791="停止",M791="停止"),"両方停止","運転がそろわない")))</f>
        <v>運転がそろわない</v>
      </c>
      <c r="AX791" s="30" t="str">
        <f aca="false">IF(AND(AH791="利用可",AK791="利用可",AN791="利用可"),"利用可","不可")</f>
        <v>不可</v>
      </c>
      <c r="AY791" s="30" t="str">
        <f aca="false">IF(AND(AQ791="利用可",AT791="利用可",AW791="利用可"),"利用可","不可")</f>
        <v>不可</v>
      </c>
    </row>
    <row r="792" customFormat="false" ht="15" hidden="false" customHeight="false" outlineLevel="0" collapsed="false">
      <c r="A792" s="29" t="n">
        <v>46264</v>
      </c>
      <c r="B792" s="30" t="n">
        <v>21</v>
      </c>
      <c r="C792" s="31" t="s">
        <v>65</v>
      </c>
      <c r="D792" s="31" t="s">
        <v>64</v>
      </c>
      <c r="E792" s="30" t="n">
        <v>60</v>
      </c>
      <c r="F792" s="30" t="n">
        <v>28</v>
      </c>
      <c r="G792" s="30" t="str">
        <f aca="false">IF(E792&lt;判定条件!$C$6,"判定不能",IF(F792&gt;=判定条件!$C$7*E792,"運転",IF(F792&lt;=判定条件!$C$8*E792,"停止","断続")))</f>
        <v>断続</v>
      </c>
      <c r="H792" s="30" t="n">
        <v>0</v>
      </c>
      <c r="I792" s="30" t="n">
        <v>0</v>
      </c>
      <c r="J792" s="30" t="str">
        <f aca="false">IF(H792&lt;判定条件!$C$6,"判定不能",IF(I792&gt;=判定条件!$C$7*H792,"運転",IF(I792&lt;=判定条件!$C$8*H792,"停止","断続")))</f>
        <v>判定不能</v>
      </c>
      <c r="K792" s="30" t="n">
        <v>60</v>
      </c>
      <c r="L792" s="30" t="n">
        <v>13</v>
      </c>
      <c r="M792" s="30" t="str">
        <f aca="false">IF(K792&lt;判定条件!$C$6,"判定不能",IF(L792&gt;=判定条件!$C$7*K792,"運転",IF(L792&lt;=判定条件!$C$8*K792,"停止","断続")))</f>
        <v>断続</v>
      </c>
      <c r="N792" s="30" t="n">
        <v>60</v>
      </c>
      <c r="O792" s="30" t="n">
        <v>0</v>
      </c>
      <c r="P792" s="30" t="str">
        <f aca="false">IF(N792&lt;判定条件!$C$6,"判定不能",IF(O792&gt;=判定条件!$C$7*N792,"運転",IF(O792&lt;=判定条件!$C$8*N792,"停止","断続")))</f>
        <v>停止</v>
      </c>
      <c r="Q792" s="30" t="n">
        <v>60</v>
      </c>
      <c r="R792" s="30" t="n">
        <v>0</v>
      </c>
      <c r="S792" s="30" t="str">
        <f aca="false">IF(Q792&lt;判定条件!$C$6,"判定不能",IF(R792&gt;=判定条件!$C$7*Q792,"運転",IF(R792&lt;=判定条件!$C$8*Q792,"停止","断続")))</f>
        <v>停止</v>
      </c>
      <c r="T792" s="30" t="n">
        <v>60</v>
      </c>
      <c r="U792" s="30" t="n">
        <v>0</v>
      </c>
      <c r="V792" s="30" t="str">
        <f aca="false">IF(T792&lt;判定条件!$C$6,"判定不能",IF(U792&gt;=判定条件!$C$7*T792,"運転",IF(U792&lt;=判定条件!$C$8*T792,"停止","断続")))</f>
        <v>停止</v>
      </c>
      <c r="W792" s="30" t="n">
        <v>60</v>
      </c>
      <c r="X792" s="30" t="n">
        <v>0</v>
      </c>
      <c r="Y792" s="30" t="str">
        <f aca="false">IF(W792&lt;判定条件!$C$6,"判定不能",IF(X792&gt;=判定条件!$C$7*W792,"運転",IF(X792&lt;=判定条件!$C$8*W792,"停止","断続")))</f>
        <v>停止</v>
      </c>
      <c r="Z792" s="30" t="n">
        <v>60</v>
      </c>
      <c r="AA792" s="30" t="n">
        <v>0</v>
      </c>
      <c r="AB792" s="30" t="str">
        <f aca="false">IF(Z792&lt;判定条件!$C$6,"判定不能",IF(AA792&gt;=判定条件!$C$7*Z792,"運転",IF(AA792&lt;=判定条件!$C$8*Z792,"停止","断続")))</f>
        <v>停止</v>
      </c>
      <c r="AC792" s="30" t="n">
        <v>60</v>
      </c>
      <c r="AD792" s="30" t="n">
        <v>0</v>
      </c>
      <c r="AE792" s="30" t="str">
        <f aca="false">IF(AC792&lt;判定条件!$C$6,"判定不能",IF(AD792&gt;=判定条件!$C$7*AC792,"運転",IF(AD792&lt;=判定条件!$C$8*AC792,"停止","断続")))</f>
        <v>停止</v>
      </c>
      <c r="AF792" s="30" t="n">
        <v>60</v>
      </c>
      <c r="AG792" s="30" t="n">
        <v>0</v>
      </c>
      <c r="AH792" s="30" t="str">
        <f aca="false">IF(OR(P792="判定不能",G792="判定不能"),"判定不能",IF(AG792&gt;=判定条件!$C$9,"利用可",IF(AND(P792="停止",G792="停止"),"両方停止","運転がそろわない")))</f>
        <v>運転がそろわない</v>
      </c>
      <c r="AI792" s="30" t="n">
        <v>0</v>
      </c>
      <c r="AJ792" s="30" t="n">
        <v>0</v>
      </c>
      <c r="AK792" s="30" t="str">
        <f aca="false">IF(OR(S792="判定不能",J792="判定不能"),"判定不能",IF(AJ792&gt;=判定条件!$C$9,"利用可",IF(AND(S792="停止",J792="停止"),"両方停止","運転がそろわない")))</f>
        <v>判定不能</v>
      </c>
      <c r="AL792" s="30" t="n">
        <v>60</v>
      </c>
      <c r="AM792" s="30" t="n">
        <v>0</v>
      </c>
      <c r="AN792" s="30" t="str">
        <f aca="false">IF(OR(V792="判定不能",M792="判定不能"),"判定不能",IF(AM792&gt;=判定条件!$C$9,"利用可",IF(AND(V792="停止",M792="停止"),"両方停止","運転がそろわない")))</f>
        <v>運転がそろわない</v>
      </c>
      <c r="AO792" s="30" t="n">
        <v>60</v>
      </c>
      <c r="AP792" s="30" t="n">
        <v>0</v>
      </c>
      <c r="AQ792" s="30" t="str">
        <f aca="false">IF(OR(Y792="判定不能",G792="判定不能"),"判定不能",IF(AP792&gt;=判定条件!$C$9,"利用可",IF(AND(Y792="停止",G792="停止"),"両方停止","運転がそろわない")))</f>
        <v>運転がそろわない</v>
      </c>
      <c r="AR792" s="30" t="n">
        <v>0</v>
      </c>
      <c r="AS792" s="30" t="n">
        <v>0</v>
      </c>
      <c r="AT792" s="30" t="str">
        <f aca="false">IF(OR(AB792="判定不能",J792="判定不能"),"判定不能",IF(AS792&gt;=判定条件!$C$9,"利用可",IF(AND(AB792="停止",J792="停止"),"両方停止","運転がそろわない")))</f>
        <v>判定不能</v>
      </c>
      <c r="AU792" s="30" t="n">
        <v>60</v>
      </c>
      <c r="AV792" s="30" t="n">
        <v>0</v>
      </c>
      <c r="AW792" s="30" t="str">
        <f aca="false">IF(OR(AE792="判定不能",M792="判定不能"),"判定不能",IF(AV792&gt;=判定条件!$C$9,"利用可",IF(AND(AE792="停止",M792="停止"),"両方停止","運転がそろわない")))</f>
        <v>運転がそろわない</v>
      </c>
      <c r="AX792" s="30" t="str">
        <f aca="false">IF(AND(AH792="利用可",AK792="利用可",AN792="利用可"),"利用可","不可")</f>
        <v>不可</v>
      </c>
      <c r="AY792" s="30" t="str">
        <f aca="false">IF(AND(AQ792="利用可",AT792="利用可",AW792="利用可"),"利用可","不可")</f>
        <v>不可</v>
      </c>
    </row>
    <row r="793" customFormat="false" ht="15" hidden="false" customHeight="false" outlineLevel="0" collapsed="false">
      <c r="A793" s="29" t="n">
        <v>46264</v>
      </c>
      <c r="B793" s="30" t="n">
        <v>22</v>
      </c>
      <c r="C793" s="31" t="s">
        <v>65</v>
      </c>
      <c r="D793" s="31" t="s">
        <v>64</v>
      </c>
      <c r="E793" s="30" t="n">
        <v>60</v>
      </c>
      <c r="F793" s="30" t="n">
        <v>0</v>
      </c>
      <c r="G793" s="30" t="str">
        <f aca="false">IF(E793&lt;判定条件!$C$6,"判定不能",IF(F793&gt;=判定条件!$C$7*E793,"運転",IF(F793&lt;=判定条件!$C$8*E793,"停止","断続")))</f>
        <v>停止</v>
      </c>
      <c r="H793" s="30" t="n">
        <v>0</v>
      </c>
      <c r="I793" s="30" t="n">
        <v>0</v>
      </c>
      <c r="J793" s="30" t="str">
        <f aca="false">IF(H793&lt;判定条件!$C$6,"判定不能",IF(I793&gt;=判定条件!$C$7*H793,"運転",IF(I793&lt;=判定条件!$C$8*H793,"停止","断続")))</f>
        <v>判定不能</v>
      </c>
      <c r="K793" s="30" t="n">
        <v>60</v>
      </c>
      <c r="L793" s="30" t="n">
        <v>0</v>
      </c>
      <c r="M793" s="30" t="str">
        <f aca="false">IF(K793&lt;判定条件!$C$6,"判定不能",IF(L793&gt;=判定条件!$C$7*K793,"運転",IF(L793&lt;=判定条件!$C$8*K793,"停止","断続")))</f>
        <v>停止</v>
      </c>
      <c r="N793" s="30" t="n">
        <v>60</v>
      </c>
      <c r="O793" s="30" t="n">
        <v>0</v>
      </c>
      <c r="P793" s="30" t="str">
        <f aca="false">IF(N793&lt;判定条件!$C$6,"判定不能",IF(O793&gt;=判定条件!$C$7*N793,"運転",IF(O793&lt;=判定条件!$C$8*N793,"停止","断続")))</f>
        <v>停止</v>
      </c>
      <c r="Q793" s="30" t="n">
        <v>60</v>
      </c>
      <c r="R793" s="30" t="n">
        <v>0</v>
      </c>
      <c r="S793" s="30" t="str">
        <f aca="false">IF(Q793&lt;判定条件!$C$6,"判定不能",IF(R793&gt;=判定条件!$C$7*Q793,"運転",IF(R793&lt;=判定条件!$C$8*Q793,"停止","断続")))</f>
        <v>停止</v>
      </c>
      <c r="T793" s="30" t="n">
        <v>60</v>
      </c>
      <c r="U793" s="30" t="n">
        <v>0</v>
      </c>
      <c r="V793" s="30" t="str">
        <f aca="false">IF(T793&lt;判定条件!$C$6,"判定不能",IF(U793&gt;=判定条件!$C$7*T793,"運転",IF(U793&lt;=判定条件!$C$8*T793,"停止","断続")))</f>
        <v>停止</v>
      </c>
      <c r="W793" s="30" t="n">
        <v>60</v>
      </c>
      <c r="X793" s="30" t="n">
        <v>0</v>
      </c>
      <c r="Y793" s="30" t="str">
        <f aca="false">IF(W793&lt;判定条件!$C$6,"判定不能",IF(X793&gt;=判定条件!$C$7*W793,"運転",IF(X793&lt;=判定条件!$C$8*W793,"停止","断続")))</f>
        <v>停止</v>
      </c>
      <c r="Z793" s="30" t="n">
        <v>60</v>
      </c>
      <c r="AA793" s="30" t="n">
        <v>0</v>
      </c>
      <c r="AB793" s="30" t="str">
        <f aca="false">IF(Z793&lt;判定条件!$C$6,"判定不能",IF(AA793&gt;=判定条件!$C$7*Z793,"運転",IF(AA793&lt;=判定条件!$C$8*Z793,"停止","断続")))</f>
        <v>停止</v>
      </c>
      <c r="AC793" s="30" t="n">
        <v>60</v>
      </c>
      <c r="AD793" s="30" t="n">
        <v>0</v>
      </c>
      <c r="AE793" s="30" t="str">
        <f aca="false">IF(AC793&lt;判定条件!$C$6,"判定不能",IF(AD793&gt;=判定条件!$C$7*AC793,"運転",IF(AD793&lt;=判定条件!$C$8*AC793,"停止","断続")))</f>
        <v>停止</v>
      </c>
      <c r="AF793" s="30" t="n">
        <v>60</v>
      </c>
      <c r="AG793" s="30" t="n">
        <v>0</v>
      </c>
      <c r="AH793" s="30" t="str">
        <f aca="false">IF(OR(P793="判定不能",G793="判定不能"),"判定不能",IF(AG793&gt;=判定条件!$C$9,"利用可",IF(AND(P793="停止",G793="停止"),"両方停止","運転がそろわない")))</f>
        <v>両方停止</v>
      </c>
      <c r="AI793" s="30" t="n">
        <v>0</v>
      </c>
      <c r="AJ793" s="30" t="n">
        <v>0</v>
      </c>
      <c r="AK793" s="30" t="str">
        <f aca="false">IF(OR(S793="判定不能",J793="判定不能"),"判定不能",IF(AJ793&gt;=判定条件!$C$9,"利用可",IF(AND(S793="停止",J793="停止"),"両方停止","運転がそろわない")))</f>
        <v>判定不能</v>
      </c>
      <c r="AL793" s="30" t="n">
        <v>60</v>
      </c>
      <c r="AM793" s="30" t="n">
        <v>0</v>
      </c>
      <c r="AN793" s="30" t="str">
        <f aca="false">IF(OR(V793="判定不能",M793="判定不能"),"判定不能",IF(AM793&gt;=判定条件!$C$9,"利用可",IF(AND(V793="停止",M793="停止"),"両方停止","運転がそろわない")))</f>
        <v>両方停止</v>
      </c>
      <c r="AO793" s="30" t="n">
        <v>60</v>
      </c>
      <c r="AP793" s="30" t="n">
        <v>0</v>
      </c>
      <c r="AQ793" s="30" t="str">
        <f aca="false">IF(OR(Y793="判定不能",G793="判定不能"),"判定不能",IF(AP793&gt;=判定条件!$C$9,"利用可",IF(AND(Y793="停止",G793="停止"),"両方停止","運転がそろわない")))</f>
        <v>両方停止</v>
      </c>
      <c r="AR793" s="30" t="n">
        <v>0</v>
      </c>
      <c r="AS793" s="30" t="n">
        <v>0</v>
      </c>
      <c r="AT793" s="30" t="str">
        <f aca="false">IF(OR(AB793="判定不能",J793="判定不能"),"判定不能",IF(AS793&gt;=判定条件!$C$9,"利用可",IF(AND(AB793="停止",J793="停止"),"両方停止","運転がそろわない")))</f>
        <v>判定不能</v>
      </c>
      <c r="AU793" s="30" t="n">
        <v>60</v>
      </c>
      <c r="AV793" s="30" t="n">
        <v>0</v>
      </c>
      <c r="AW793" s="30" t="str">
        <f aca="false">IF(OR(AE793="判定不能",M793="判定不能"),"判定不能",IF(AV793&gt;=判定条件!$C$9,"利用可",IF(AND(AE793="停止",M793="停止"),"両方停止","運転がそろわない")))</f>
        <v>両方停止</v>
      </c>
      <c r="AX793" s="30" t="str">
        <f aca="false">IF(AND(AH793="利用可",AK793="利用可",AN793="利用可"),"利用可","不可")</f>
        <v>不可</v>
      </c>
      <c r="AY793" s="30" t="str">
        <f aca="false">IF(AND(AQ793="利用可",AT793="利用可",AW793="利用可"),"利用可","不可")</f>
        <v>不可</v>
      </c>
    </row>
    <row r="794" customFormat="false" ht="15" hidden="false" customHeight="false" outlineLevel="0" collapsed="false">
      <c r="A794" s="29" t="n">
        <v>46264</v>
      </c>
      <c r="B794" s="30" t="n">
        <v>23</v>
      </c>
      <c r="C794" s="31" t="s">
        <v>65</v>
      </c>
      <c r="D794" s="31" t="s">
        <v>64</v>
      </c>
      <c r="E794" s="30" t="n">
        <v>60</v>
      </c>
      <c r="F794" s="30" t="n">
        <v>0</v>
      </c>
      <c r="G794" s="30" t="str">
        <f aca="false">IF(E794&lt;判定条件!$C$6,"判定不能",IF(F794&gt;=判定条件!$C$7*E794,"運転",IF(F794&lt;=判定条件!$C$8*E794,"停止","断続")))</f>
        <v>停止</v>
      </c>
      <c r="H794" s="30" t="n">
        <v>0</v>
      </c>
      <c r="I794" s="30" t="n">
        <v>0</v>
      </c>
      <c r="J794" s="30" t="str">
        <f aca="false">IF(H794&lt;判定条件!$C$6,"判定不能",IF(I794&gt;=判定条件!$C$7*H794,"運転",IF(I794&lt;=判定条件!$C$8*H794,"停止","断続")))</f>
        <v>判定不能</v>
      </c>
      <c r="K794" s="30" t="n">
        <v>60</v>
      </c>
      <c r="L794" s="30" t="n">
        <v>0</v>
      </c>
      <c r="M794" s="30" t="str">
        <f aca="false">IF(K794&lt;判定条件!$C$6,"判定不能",IF(L794&gt;=判定条件!$C$7*K794,"運転",IF(L794&lt;=判定条件!$C$8*K794,"停止","断続")))</f>
        <v>停止</v>
      </c>
      <c r="N794" s="30" t="n">
        <v>60</v>
      </c>
      <c r="O794" s="30" t="n">
        <v>0</v>
      </c>
      <c r="P794" s="30" t="str">
        <f aca="false">IF(N794&lt;判定条件!$C$6,"判定不能",IF(O794&gt;=判定条件!$C$7*N794,"運転",IF(O794&lt;=判定条件!$C$8*N794,"停止","断続")))</f>
        <v>停止</v>
      </c>
      <c r="Q794" s="30" t="n">
        <v>60</v>
      </c>
      <c r="R794" s="30" t="n">
        <v>0</v>
      </c>
      <c r="S794" s="30" t="str">
        <f aca="false">IF(Q794&lt;判定条件!$C$6,"判定不能",IF(R794&gt;=判定条件!$C$7*Q794,"運転",IF(R794&lt;=判定条件!$C$8*Q794,"停止","断続")))</f>
        <v>停止</v>
      </c>
      <c r="T794" s="30" t="n">
        <v>60</v>
      </c>
      <c r="U794" s="30" t="n">
        <v>0</v>
      </c>
      <c r="V794" s="30" t="str">
        <f aca="false">IF(T794&lt;判定条件!$C$6,"判定不能",IF(U794&gt;=判定条件!$C$7*T794,"運転",IF(U794&lt;=判定条件!$C$8*T794,"停止","断続")))</f>
        <v>停止</v>
      </c>
      <c r="W794" s="30" t="n">
        <v>60</v>
      </c>
      <c r="X794" s="30" t="n">
        <v>0</v>
      </c>
      <c r="Y794" s="30" t="str">
        <f aca="false">IF(W794&lt;判定条件!$C$6,"判定不能",IF(X794&gt;=判定条件!$C$7*W794,"運転",IF(X794&lt;=判定条件!$C$8*W794,"停止","断続")))</f>
        <v>停止</v>
      </c>
      <c r="Z794" s="30" t="n">
        <v>60</v>
      </c>
      <c r="AA794" s="30" t="n">
        <v>0</v>
      </c>
      <c r="AB794" s="30" t="str">
        <f aca="false">IF(Z794&lt;判定条件!$C$6,"判定不能",IF(AA794&gt;=判定条件!$C$7*Z794,"運転",IF(AA794&lt;=判定条件!$C$8*Z794,"停止","断続")))</f>
        <v>停止</v>
      </c>
      <c r="AC794" s="30" t="n">
        <v>60</v>
      </c>
      <c r="AD794" s="30" t="n">
        <v>0</v>
      </c>
      <c r="AE794" s="30" t="str">
        <f aca="false">IF(AC794&lt;判定条件!$C$6,"判定不能",IF(AD794&gt;=判定条件!$C$7*AC794,"運転",IF(AD794&lt;=判定条件!$C$8*AC794,"停止","断続")))</f>
        <v>停止</v>
      </c>
      <c r="AF794" s="30" t="n">
        <v>60</v>
      </c>
      <c r="AG794" s="30" t="n">
        <v>0</v>
      </c>
      <c r="AH794" s="30" t="str">
        <f aca="false">IF(OR(P794="判定不能",G794="判定不能"),"判定不能",IF(AG794&gt;=判定条件!$C$9,"利用可",IF(AND(P794="停止",G794="停止"),"両方停止","運転がそろわない")))</f>
        <v>両方停止</v>
      </c>
      <c r="AI794" s="30" t="n">
        <v>0</v>
      </c>
      <c r="AJ794" s="30" t="n">
        <v>0</v>
      </c>
      <c r="AK794" s="30" t="str">
        <f aca="false">IF(OR(S794="判定不能",J794="判定不能"),"判定不能",IF(AJ794&gt;=判定条件!$C$9,"利用可",IF(AND(S794="停止",J794="停止"),"両方停止","運転がそろわない")))</f>
        <v>判定不能</v>
      </c>
      <c r="AL794" s="30" t="n">
        <v>60</v>
      </c>
      <c r="AM794" s="30" t="n">
        <v>0</v>
      </c>
      <c r="AN794" s="30" t="str">
        <f aca="false">IF(OR(V794="判定不能",M794="判定不能"),"判定不能",IF(AM794&gt;=判定条件!$C$9,"利用可",IF(AND(V794="停止",M794="停止"),"両方停止","運転がそろわない")))</f>
        <v>両方停止</v>
      </c>
      <c r="AO794" s="30" t="n">
        <v>60</v>
      </c>
      <c r="AP794" s="30" t="n">
        <v>0</v>
      </c>
      <c r="AQ794" s="30" t="str">
        <f aca="false">IF(OR(Y794="判定不能",G794="判定不能"),"判定不能",IF(AP794&gt;=判定条件!$C$9,"利用可",IF(AND(Y794="停止",G794="停止"),"両方停止","運転がそろわない")))</f>
        <v>両方停止</v>
      </c>
      <c r="AR794" s="30" t="n">
        <v>0</v>
      </c>
      <c r="AS794" s="30" t="n">
        <v>0</v>
      </c>
      <c r="AT794" s="30" t="str">
        <f aca="false">IF(OR(AB794="判定不能",J794="判定不能"),"判定不能",IF(AS794&gt;=判定条件!$C$9,"利用可",IF(AND(AB794="停止",J794="停止"),"両方停止","運転がそろわない")))</f>
        <v>判定不能</v>
      </c>
      <c r="AU794" s="30" t="n">
        <v>60</v>
      </c>
      <c r="AV794" s="30" t="n">
        <v>0</v>
      </c>
      <c r="AW794" s="30" t="str">
        <f aca="false">IF(OR(AE794="判定不能",M794="判定不能"),"判定不能",IF(AV794&gt;=判定条件!$C$9,"利用可",IF(AND(AE794="停止",M794="停止"),"両方停止","運転がそろわない")))</f>
        <v>両方停止</v>
      </c>
      <c r="AX794" s="30" t="str">
        <f aca="false">IF(AND(AH794="利用可",AK794="利用可",AN794="利用可"),"利用可","不可")</f>
        <v>不可</v>
      </c>
      <c r="AY794" s="30" t="str">
        <f aca="false">IF(AND(AQ794="利用可",AT794="利用可",AW794="利用可"),"利用可","不可")</f>
        <v>不可</v>
      </c>
    </row>
    <row r="795" customFormat="false" ht="15" hidden="false" customHeight="false" outlineLevel="0" collapsed="false">
      <c r="A795" s="29" t="n">
        <v>46265</v>
      </c>
      <c r="B795" s="30" t="n">
        <v>0</v>
      </c>
      <c r="C795" s="31" t="s">
        <v>66</v>
      </c>
      <c r="D795" s="31" t="s">
        <v>59</v>
      </c>
      <c r="E795" s="30" t="n">
        <v>60</v>
      </c>
      <c r="F795" s="30" t="n">
        <v>0</v>
      </c>
      <c r="G795" s="30" t="str">
        <f aca="false">IF(E795&lt;判定条件!$C$6,"判定不能",IF(F795&gt;=判定条件!$C$7*E795,"運転",IF(F795&lt;=判定条件!$C$8*E795,"停止","断続")))</f>
        <v>停止</v>
      </c>
      <c r="H795" s="30" t="n">
        <v>0</v>
      </c>
      <c r="I795" s="30" t="n">
        <v>0</v>
      </c>
      <c r="J795" s="30" t="str">
        <f aca="false">IF(H795&lt;判定条件!$C$6,"判定不能",IF(I795&gt;=判定条件!$C$7*H795,"運転",IF(I795&lt;=判定条件!$C$8*H795,"停止","断続")))</f>
        <v>判定不能</v>
      </c>
      <c r="K795" s="30" t="n">
        <v>60</v>
      </c>
      <c r="L795" s="30" t="n">
        <v>0</v>
      </c>
      <c r="M795" s="30" t="str">
        <f aca="false">IF(K795&lt;判定条件!$C$6,"判定不能",IF(L795&gt;=判定条件!$C$7*K795,"運転",IF(L795&lt;=判定条件!$C$8*K795,"停止","断続")))</f>
        <v>停止</v>
      </c>
      <c r="N795" s="30" t="n">
        <v>60</v>
      </c>
      <c r="O795" s="30" t="n">
        <v>0</v>
      </c>
      <c r="P795" s="30" t="str">
        <f aca="false">IF(N795&lt;判定条件!$C$6,"判定不能",IF(O795&gt;=判定条件!$C$7*N795,"運転",IF(O795&lt;=判定条件!$C$8*N795,"停止","断続")))</f>
        <v>停止</v>
      </c>
      <c r="Q795" s="30" t="n">
        <v>60</v>
      </c>
      <c r="R795" s="30" t="n">
        <v>0</v>
      </c>
      <c r="S795" s="30" t="str">
        <f aca="false">IF(Q795&lt;判定条件!$C$6,"判定不能",IF(R795&gt;=判定条件!$C$7*Q795,"運転",IF(R795&lt;=判定条件!$C$8*Q795,"停止","断続")))</f>
        <v>停止</v>
      </c>
      <c r="T795" s="30" t="n">
        <v>60</v>
      </c>
      <c r="U795" s="30" t="n">
        <v>0</v>
      </c>
      <c r="V795" s="30" t="str">
        <f aca="false">IF(T795&lt;判定条件!$C$6,"判定不能",IF(U795&gt;=判定条件!$C$7*T795,"運転",IF(U795&lt;=判定条件!$C$8*T795,"停止","断続")))</f>
        <v>停止</v>
      </c>
      <c r="W795" s="30" t="n">
        <v>60</v>
      </c>
      <c r="X795" s="30" t="n">
        <v>0</v>
      </c>
      <c r="Y795" s="30" t="str">
        <f aca="false">IF(W795&lt;判定条件!$C$6,"判定不能",IF(X795&gt;=判定条件!$C$7*W795,"運転",IF(X795&lt;=判定条件!$C$8*W795,"停止","断続")))</f>
        <v>停止</v>
      </c>
      <c r="Z795" s="30" t="n">
        <v>60</v>
      </c>
      <c r="AA795" s="30" t="n">
        <v>0</v>
      </c>
      <c r="AB795" s="30" t="str">
        <f aca="false">IF(Z795&lt;判定条件!$C$6,"判定不能",IF(AA795&gt;=判定条件!$C$7*Z795,"運転",IF(AA795&lt;=判定条件!$C$8*Z795,"停止","断続")))</f>
        <v>停止</v>
      </c>
      <c r="AC795" s="30" t="n">
        <v>60</v>
      </c>
      <c r="AD795" s="30" t="n">
        <v>0</v>
      </c>
      <c r="AE795" s="30" t="str">
        <f aca="false">IF(AC795&lt;判定条件!$C$6,"判定不能",IF(AD795&gt;=判定条件!$C$7*AC795,"運転",IF(AD795&lt;=判定条件!$C$8*AC795,"停止","断続")))</f>
        <v>停止</v>
      </c>
      <c r="AF795" s="30" t="n">
        <v>60</v>
      </c>
      <c r="AG795" s="30" t="n">
        <v>0</v>
      </c>
      <c r="AH795" s="30" t="str">
        <f aca="false">IF(OR(P795="判定不能",G795="判定不能"),"判定不能",IF(AG795&gt;=判定条件!$C$9,"利用可",IF(AND(P795="停止",G795="停止"),"両方停止","運転がそろわない")))</f>
        <v>両方停止</v>
      </c>
      <c r="AI795" s="30" t="n">
        <v>0</v>
      </c>
      <c r="AJ795" s="30" t="n">
        <v>0</v>
      </c>
      <c r="AK795" s="30" t="str">
        <f aca="false">IF(OR(S795="判定不能",J795="判定不能"),"判定不能",IF(AJ795&gt;=判定条件!$C$9,"利用可",IF(AND(S795="停止",J795="停止"),"両方停止","運転がそろわない")))</f>
        <v>判定不能</v>
      </c>
      <c r="AL795" s="30" t="n">
        <v>60</v>
      </c>
      <c r="AM795" s="30" t="n">
        <v>0</v>
      </c>
      <c r="AN795" s="30" t="str">
        <f aca="false">IF(OR(V795="判定不能",M795="判定不能"),"判定不能",IF(AM795&gt;=判定条件!$C$9,"利用可",IF(AND(V795="停止",M795="停止"),"両方停止","運転がそろわない")))</f>
        <v>両方停止</v>
      </c>
      <c r="AO795" s="30" t="n">
        <v>60</v>
      </c>
      <c r="AP795" s="30" t="n">
        <v>0</v>
      </c>
      <c r="AQ795" s="30" t="str">
        <f aca="false">IF(OR(Y795="判定不能",G795="判定不能"),"判定不能",IF(AP795&gt;=判定条件!$C$9,"利用可",IF(AND(Y795="停止",G795="停止"),"両方停止","運転がそろわない")))</f>
        <v>両方停止</v>
      </c>
      <c r="AR795" s="30" t="n">
        <v>0</v>
      </c>
      <c r="AS795" s="30" t="n">
        <v>0</v>
      </c>
      <c r="AT795" s="30" t="str">
        <f aca="false">IF(OR(AB795="判定不能",J795="判定不能"),"判定不能",IF(AS795&gt;=判定条件!$C$9,"利用可",IF(AND(AB795="停止",J795="停止"),"両方停止","運転がそろわない")))</f>
        <v>判定不能</v>
      </c>
      <c r="AU795" s="30" t="n">
        <v>60</v>
      </c>
      <c r="AV795" s="30" t="n">
        <v>0</v>
      </c>
      <c r="AW795" s="30" t="str">
        <f aca="false">IF(OR(AE795="判定不能",M795="判定不能"),"判定不能",IF(AV795&gt;=判定条件!$C$9,"利用可",IF(AND(AE795="停止",M795="停止"),"両方停止","運転がそろわない")))</f>
        <v>両方停止</v>
      </c>
      <c r="AX795" s="30" t="str">
        <f aca="false">IF(AND(AH795="利用可",AK795="利用可",AN795="利用可"),"利用可","不可")</f>
        <v>不可</v>
      </c>
      <c r="AY795" s="30" t="str">
        <f aca="false">IF(AND(AQ795="利用可",AT795="利用可",AW795="利用可"),"利用可","不可")</f>
        <v>不可</v>
      </c>
    </row>
    <row r="796" customFormat="false" ht="15" hidden="false" customHeight="false" outlineLevel="0" collapsed="false">
      <c r="A796" s="29" t="n">
        <v>46265</v>
      </c>
      <c r="B796" s="30" t="n">
        <v>1</v>
      </c>
      <c r="C796" s="31" t="s">
        <v>66</v>
      </c>
      <c r="D796" s="31" t="s">
        <v>59</v>
      </c>
      <c r="E796" s="30" t="n">
        <v>60</v>
      </c>
      <c r="F796" s="30" t="n">
        <v>0</v>
      </c>
      <c r="G796" s="30" t="str">
        <f aca="false">IF(E796&lt;判定条件!$C$6,"判定不能",IF(F796&gt;=判定条件!$C$7*E796,"運転",IF(F796&lt;=判定条件!$C$8*E796,"停止","断続")))</f>
        <v>停止</v>
      </c>
      <c r="H796" s="30" t="n">
        <v>0</v>
      </c>
      <c r="I796" s="30" t="n">
        <v>0</v>
      </c>
      <c r="J796" s="30" t="str">
        <f aca="false">IF(H796&lt;判定条件!$C$6,"判定不能",IF(I796&gt;=判定条件!$C$7*H796,"運転",IF(I796&lt;=判定条件!$C$8*H796,"停止","断続")))</f>
        <v>判定不能</v>
      </c>
      <c r="K796" s="30" t="n">
        <v>60</v>
      </c>
      <c r="L796" s="30" t="n">
        <v>0</v>
      </c>
      <c r="M796" s="30" t="str">
        <f aca="false">IF(K796&lt;判定条件!$C$6,"判定不能",IF(L796&gt;=判定条件!$C$7*K796,"運転",IF(L796&lt;=判定条件!$C$8*K796,"停止","断続")))</f>
        <v>停止</v>
      </c>
      <c r="N796" s="30" t="n">
        <v>60</v>
      </c>
      <c r="O796" s="30" t="n">
        <v>0</v>
      </c>
      <c r="P796" s="30" t="str">
        <f aca="false">IF(N796&lt;判定条件!$C$6,"判定不能",IF(O796&gt;=判定条件!$C$7*N796,"運転",IF(O796&lt;=判定条件!$C$8*N796,"停止","断続")))</f>
        <v>停止</v>
      </c>
      <c r="Q796" s="30" t="n">
        <v>60</v>
      </c>
      <c r="R796" s="30" t="n">
        <v>0</v>
      </c>
      <c r="S796" s="30" t="str">
        <f aca="false">IF(Q796&lt;判定条件!$C$6,"判定不能",IF(R796&gt;=判定条件!$C$7*Q796,"運転",IF(R796&lt;=判定条件!$C$8*Q796,"停止","断続")))</f>
        <v>停止</v>
      </c>
      <c r="T796" s="30" t="n">
        <v>60</v>
      </c>
      <c r="U796" s="30" t="n">
        <v>0</v>
      </c>
      <c r="V796" s="30" t="str">
        <f aca="false">IF(T796&lt;判定条件!$C$6,"判定不能",IF(U796&gt;=判定条件!$C$7*T796,"運転",IF(U796&lt;=判定条件!$C$8*T796,"停止","断続")))</f>
        <v>停止</v>
      </c>
      <c r="W796" s="30" t="n">
        <v>60</v>
      </c>
      <c r="X796" s="30" t="n">
        <v>0</v>
      </c>
      <c r="Y796" s="30" t="str">
        <f aca="false">IF(W796&lt;判定条件!$C$6,"判定不能",IF(X796&gt;=判定条件!$C$7*W796,"運転",IF(X796&lt;=判定条件!$C$8*W796,"停止","断続")))</f>
        <v>停止</v>
      </c>
      <c r="Z796" s="30" t="n">
        <v>60</v>
      </c>
      <c r="AA796" s="30" t="n">
        <v>0</v>
      </c>
      <c r="AB796" s="30" t="str">
        <f aca="false">IF(Z796&lt;判定条件!$C$6,"判定不能",IF(AA796&gt;=判定条件!$C$7*Z796,"運転",IF(AA796&lt;=判定条件!$C$8*Z796,"停止","断続")))</f>
        <v>停止</v>
      </c>
      <c r="AC796" s="30" t="n">
        <v>60</v>
      </c>
      <c r="AD796" s="30" t="n">
        <v>0</v>
      </c>
      <c r="AE796" s="30" t="str">
        <f aca="false">IF(AC796&lt;判定条件!$C$6,"判定不能",IF(AD796&gt;=判定条件!$C$7*AC796,"運転",IF(AD796&lt;=判定条件!$C$8*AC796,"停止","断続")))</f>
        <v>停止</v>
      </c>
      <c r="AF796" s="30" t="n">
        <v>60</v>
      </c>
      <c r="AG796" s="30" t="n">
        <v>0</v>
      </c>
      <c r="AH796" s="30" t="str">
        <f aca="false">IF(OR(P796="判定不能",G796="判定不能"),"判定不能",IF(AG796&gt;=判定条件!$C$9,"利用可",IF(AND(P796="停止",G796="停止"),"両方停止","運転がそろわない")))</f>
        <v>両方停止</v>
      </c>
      <c r="AI796" s="30" t="n">
        <v>0</v>
      </c>
      <c r="AJ796" s="30" t="n">
        <v>0</v>
      </c>
      <c r="AK796" s="30" t="str">
        <f aca="false">IF(OR(S796="判定不能",J796="判定不能"),"判定不能",IF(AJ796&gt;=判定条件!$C$9,"利用可",IF(AND(S796="停止",J796="停止"),"両方停止","運転がそろわない")))</f>
        <v>判定不能</v>
      </c>
      <c r="AL796" s="30" t="n">
        <v>60</v>
      </c>
      <c r="AM796" s="30" t="n">
        <v>0</v>
      </c>
      <c r="AN796" s="30" t="str">
        <f aca="false">IF(OR(V796="判定不能",M796="判定不能"),"判定不能",IF(AM796&gt;=判定条件!$C$9,"利用可",IF(AND(V796="停止",M796="停止"),"両方停止","運転がそろわない")))</f>
        <v>両方停止</v>
      </c>
      <c r="AO796" s="30" t="n">
        <v>60</v>
      </c>
      <c r="AP796" s="30" t="n">
        <v>0</v>
      </c>
      <c r="AQ796" s="30" t="str">
        <f aca="false">IF(OR(Y796="判定不能",G796="判定不能"),"判定不能",IF(AP796&gt;=判定条件!$C$9,"利用可",IF(AND(Y796="停止",G796="停止"),"両方停止","運転がそろわない")))</f>
        <v>両方停止</v>
      </c>
      <c r="AR796" s="30" t="n">
        <v>0</v>
      </c>
      <c r="AS796" s="30" t="n">
        <v>0</v>
      </c>
      <c r="AT796" s="30" t="str">
        <f aca="false">IF(OR(AB796="判定不能",J796="判定不能"),"判定不能",IF(AS796&gt;=判定条件!$C$9,"利用可",IF(AND(AB796="停止",J796="停止"),"両方停止","運転がそろわない")))</f>
        <v>判定不能</v>
      </c>
      <c r="AU796" s="30" t="n">
        <v>60</v>
      </c>
      <c r="AV796" s="30" t="n">
        <v>0</v>
      </c>
      <c r="AW796" s="30" t="str">
        <f aca="false">IF(OR(AE796="判定不能",M796="判定不能"),"判定不能",IF(AV796&gt;=判定条件!$C$9,"利用可",IF(AND(AE796="停止",M796="停止"),"両方停止","運転がそろわない")))</f>
        <v>両方停止</v>
      </c>
      <c r="AX796" s="30" t="str">
        <f aca="false">IF(AND(AH796="利用可",AK796="利用可",AN796="利用可"),"利用可","不可")</f>
        <v>不可</v>
      </c>
      <c r="AY796" s="30" t="str">
        <f aca="false">IF(AND(AQ796="利用可",AT796="利用可",AW796="利用可"),"利用可","不可")</f>
        <v>不可</v>
      </c>
    </row>
    <row r="797" customFormat="false" ht="15" hidden="false" customHeight="false" outlineLevel="0" collapsed="false">
      <c r="A797" s="29" t="n">
        <v>46265</v>
      </c>
      <c r="B797" s="30" t="n">
        <v>2</v>
      </c>
      <c r="C797" s="31" t="s">
        <v>66</v>
      </c>
      <c r="D797" s="31" t="s">
        <v>59</v>
      </c>
      <c r="E797" s="30" t="n">
        <v>60</v>
      </c>
      <c r="F797" s="30" t="n">
        <v>0</v>
      </c>
      <c r="G797" s="30" t="str">
        <f aca="false">IF(E797&lt;判定条件!$C$6,"判定不能",IF(F797&gt;=判定条件!$C$7*E797,"運転",IF(F797&lt;=判定条件!$C$8*E797,"停止","断続")))</f>
        <v>停止</v>
      </c>
      <c r="H797" s="30" t="n">
        <v>0</v>
      </c>
      <c r="I797" s="30" t="n">
        <v>0</v>
      </c>
      <c r="J797" s="30" t="str">
        <f aca="false">IF(H797&lt;判定条件!$C$6,"判定不能",IF(I797&gt;=判定条件!$C$7*H797,"運転",IF(I797&lt;=判定条件!$C$8*H797,"停止","断続")))</f>
        <v>判定不能</v>
      </c>
      <c r="K797" s="30" t="n">
        <v>60</v>
      </c>
      <c r="L797" s="30" t="n">
        <v>0</v>
      </c>
      <c r="M797" s="30" t="str">
        <f aca="false">IF(K797&lt;判定条件!$C$6,"判定不能",IF(L797&gt;=判定条件!$C$7*K797,"運転",IF(L797&lt;=判定条件!$C$8*K797,"停止","断続")))</f>
        <v>停止</v>
      </c>
      <c r="N797" s="30" t="n">
        <v>60</v>
      </c>
      <c r="O797" s="30" t="n">
        <v>0</v>
      </c>
      <c r="P797" s="30" t="str">
        <f aca="false">IF(N797&lt;判定条件!$C$6,"判定不能",IF(O797&gt;=判定条件!$C$7*N797,"運転",IF(O797&lt;=判定条件!$C$8*N797,"停止","断続")))</f>
        <v>停止</v>
      </c>
      <c r="Q797" s="30" t="n">
        <v>60</v>
      </c>
      <c r="R797" s="30" t="n">
        <v>0</v>
      </c>
      <c r="S797" s="30" t="str">
        <f aca="false">IF(Q797&lt;判定条件!$C$6,"判定不能",IF(R797&gt;=判定条件!$C$7*Q797,"運転",IF(R797&lt;=判定条件!$C$8*Q797,"停止","断続")))</f>
        <v>停止</v>
      </c>
      <c r="T797" s="30" t="n">
        <v>60</v>
      </c>
      <c r="U797" s="30" t="n">
        <v>0</v>
      </c>
      <c r="V797" s="30" t="str">
        <f aca="false">IF(T797&lt;判定条件!$C$6,"判定不能",IF(U797&gt;=判定条件!$C$7*T797,"運転",IF(U797&lt;=判定条件!$C$8*T797,"停止","断続")))</f>
        <v>停止</v>
      </c>
      <c r="W797" s="30" t="n">
        <v>60</v>
      </c>
      <c r="X797" s="30" t="n">
        <v>0</v>
      </c>
      <c r="Y797" s="30" t="str">
        <f aca="false">IF(W797&lt;判定条件!$C$6,"判定不能",IF(X797&gt;=判定条件!$C$7*W797,"運転",IF(X797&lt;=判定条件!$C$8*W797,"停止","断続")))</f>
        <v>停止</v>
      </c>
      <c r="Z797" s="30" t="n">
        <v>60</v>
      </c>
      <c r="AA797" s="30" t="n">
        <v>0</v>
      </c>
      <c r="AB797" s="30" t="str">
        <f aca="false">IF(Z797&lt;判定条件!$C$6,"判定不能",IF(AA797&gt;=判定条件!$C$7*Z797,"運転",IF(AA797&lt;=判定条件!$C$8*Z797,"停止","断続")))</f>
        <v>停止</v>
      </c>
      <c r="AC797" s="30" t="n">
        <v>60</v>
      </c>
      <c r="AD797" s="30" t="n">
        <v>0</v>
      </c>
      <c r="AE797" s="30" t="str">
        <f aca="false">IF(AC797&lt;判定条件!$C$6,"判定不能",IF(AD797&gt;=判定条件!$C$7*AC797,"運転",IF(AD797&lt;=判定条件!$C$8*AC797,"停止","断続")))</f>
        <v>停止</v>
      </c>
      <c r="AF797" s="30" t="n">
        <v>60</v>
      </c>
      <c r="AG797" s="30" t="n">
        <v>0</v>
      </c>
      <c r="AH797" s="30" t="str">
        <f aca="false">IF(OR(P797="判定不能",G797="判定不能"),"判定不能",IF(AG797&gt;=判定条件!$C$9,"利用可",IF(AND(P797="停止",G797="停止"),"両方停止","運転がそろわない")))</f>
        <v>両方停止</v>
      </c>
      <c r="AI797" s="30" t="n">
        <v>0</v>
      </c>
      <c r="AJ797" s="30" t="n">
        <v>0</v>
      </c>
      <c r="AK797" s="30" t="str">
        <f aca="false">IF(OR(S797="判定不能",J797="判定不能"),"判定不能",IF(AJ797&gt;=判定条件!$C$9,"利用可",IF(AND(S797="停止",J797="停止"),"両方停止","運転がそろわない")))</f>
        <v>判定不能</v>
      </c>
      <c r="AL797" s="30" t="n">
        <v>60</v>
      </c>
      <c r="AM797" s="30" t="n">
        <v>0</v>
      </c>
      <c r="AN797" s="30" t="str">
        <f aca="false">IF(OR(V797="判定不能",M797="判定不能"),"判定不能",IF(AM797&gt;=判定条件!$C$9,"利用可",IF(AND(V797="停止",M797="停止"),"両方停止","運転がそろわない")))</f>
        <v>両方停止</v>
      </c>
      <c r="AO797" s="30" t="n">
        <v>60</v>
      </c>
      <c r="AP797" s="30" t="n">
        <v>0</v>
      </c>
      <c r="AQ797" s="30" t="str">
        <f aca="false">IF(OR(Y797="判定不能",G797="判定不能"),"判定不能",IF(AP797&gt;=判定条件!$C$9,"利用可",IF(AND(Y797="停止",G797="停止"),"両方停止","運転がそろわない")))</f>
        <v>両方停止</v>
      </c>
      <c r="AR797" s="30" t="n">
        <v>0</v>
      </c>
      <c r="AS797" s="30" t="n">
        <v>0</v>
      </c>
      <c r="AT797" s="30" t="str">
        <f aca="false">IF(OR(AB797="判定不能",J797="判定不能"),"判定不能",IF(AS797&gt;=判定条件!$C$9,"利用可",IF(AND(AB797="停止",J797="停止"),"両方停止","運転がそろわない")))</f>
        <v>判定不能</v>
      </c>
      <c r="AU797" s="30" t="n">
        <v>60</v>
      </c>
      <c r="AV797" s="30" t="n">
        <v>0</v>
      </c>
      <c r="AW797" s="30" t="str">
        <f aca="false">IF(OR(AE797="判定不能",M797="判定不能"),"判定不能",IF(AV797&gt;=判定条件!$C$9,"利用可",IF(AND(AE797="停止",M797="停止"),"両方停止","運転がそろわない")))</f>
        <v>両方停止</v>
      </c>
      <c r="AX797" s="30" t="str">
        <f aca="false">IF(AND(AH797="利用可",AK797="利用可",AN797="利用可"),"利用可","不可")</f>
        <v>不可</v>
      </c>
      <c r="AY797" s="30" t="str">
        <f aca="false">IF(AND(AQ797="利用可",AT797="利用可",AW797="利用可"),"利用可","不可")</f>
        <v>不可</v>
      </c>
    </row>
    <row r="798" customFormat="false" ht="15" hidden="false" customHeight="false" outlineLevel="0" collapsed="false">
      <c r="A798" s="29" t="n">
        <v>46265</v>
      </c>
      <c r="B798" s="30" t="n">
        <v>3</v>
      </c>
      <c r="C798" s="31" t="s">
        <v>66</v>
      </c>
      <c r="D798" s="31" t="s">
        <v>59</v>
      </c>
      <c r="E798" s="30" t="n">
        <v>60</v>
      </c>
      <c r="F798" s="30" t="n">
        <v>0</v>
      </c>
      <c r="G798" s="30" t="str">
        <f aca="false">IF(E798&lt;判定条件!$C$6,"判定不能",IF(F798&gt;=判定条件!$C$7*E798,"運転",IF(F798&lt;=判定条件!$C$8*E798,"停止","断続")))</f>
        <v>停止</v>
      </c>
      <c r="H798" s="30" t="n">
        <v>0</v>
      </c>
      <c r="I798" s="30" t="n">
        <v>0</v>
      </c>
      <c r="J798" s="30" t="str">
        <f aca="false">IF(H798&lt;判定条件!$C$6,"判定不能",IF(I798&gt;=判定条件!$C$7*H798,"運転",IF(I798&lt;=判定条件!$C$8*H798,"停止","断続")))</f>
        <v>判定不能</v>
      </c>
      <c r="K798" s="30" t="n">
        <v>60</v>
      </c>
      <c r="L798" s="30" t="n">
        <v>0</v>
      </c>
      <c r="M798" s="30" t="str">
        <f aca="false">IF(K798&lt;判定条件!$C$6,"判定不能",IF(L798&gt;=判定条件!$C$7*K798,"運転",IF(L798&lt;=判定条件!$C$8*K798,"停止","断続")))</f>
        <v>停止</v>
      </c>
      <c r="N798" s="30" t="n">
        <v>60</v>
      </c>
      <c r="O798" s="30" t="n">
        <v>0</v>
      </c>
      <c r="P798" s="30" t="str">
        <f aca="false">IF(N798&lt;判定条件!$C$6,"判定不能",IF(O798&gt;=判定条件!$C$7*N798,"運転",IF(O798&lt;=判定条件!$C$8*N798,"停止","断続")))</f>
        <v>停止</v>
      </c>
      <c r="Q798" s="30" t="n">
        <v>60</v>
      </c>
      <c r="R798" s="30" t="n">
        <v>0</v>
      </c>
      <c r="S798" s="30" t="str">
        <f aca="false">IF(Q798&lt;判定条件!$C$6,"判定不能",IF(R798&gt;=判定条件!$C$7*Q798,"運転",IF(R798&lt;=判定条件!$C$8*Q798,"停止","断続")))</f>
        <v>停止</v>
      </c>
      <c r="T798" s="30" t="n">
        <v>60</v>
      </c>
      <c r="U798" s="30" t="n">
        <v>0</v>
      </c>
      <c r="V798" s="30" t="str">
        <f aca="false">IF(T798&lt;判定条件!$C$6,"判定不能",IF(U798&gt;=判定条件!$C$7*T798,"運転",IF(U798&lt;=判定条件!$C$8*T798,"停止","断続")))</f>
        <v>停止</v>
      </c>
      <c r="W798" s="30" t="n">
        <v>60</v>
      </c>
      <c r="X798" s="30" t="n">
        <v>0</v>
      </c>
      <c r="Y798" s="30" t="str">
        <f aca="false">IF(W798&lt;判定条件!$C$6,"判定不能",IF(X798&gt;=判定条件!$C$7*W798,"運転",IF(X798&lt;=判定条件!$C$8*W798,"停止","断続")))</f>
        <v>停止</v>
      </c>
      <c r="Z798" s="30" t="n">
        <v>60</v>
      </c>
      <c r="AA798" s="30" t="n">
        <v>0</v>
      </c>
      <c r="AB798" s="30" t="str">
        <f aca="false">IF(Z798&lt;判定条件!$C$6,"判定不能",IF(AA798&gt;=判定条件!$C$7*Z798,"運転",IF(AA798&lt;=判定条件!$C$8*Z798,"停止","断続")))</f>
        <v>停止</v>
      </c>
      <c r="AC798" s="30" t="n">
        <v>60</v>
      </c>
      <c r="AD798" s="30" t="n">
        <v>0</v>
      </c>
      <c r="AE798" s="30" t="str">
        <f aca="false">IF(AC798&lt;判定条件!$C$6,"判定不能",IF(AD798&gt;=判定条件!$C$7*AC798,"運転",IF(AD798&lt;=判定条件!$C$8*AC798,"停止","断続")))</f>
        <v>停止</v>
      </c>
      <c r="AF798" s="30" t="n">
        <v>60</v>
      </c>
      <c r="AG798" s="30" t="n">
        <v>0</v>
      </c>
      <c r="AH798" s="30" t="str">
        <f aca="false">IF(OR(P798="判定不能",G798="判定不能"),"判定不能",IF(AG798&gt;=判定条件!$C$9,"利用可",IF(AND(P798="停止",G798="停止"),"両方停止","運転がそろわない")))</f>
        <v>両方停止</v>
      </c>
      <c r="AI798" s="30" t="n">
        <v>0</v>
      </c>
      <c r="AJ798" s="30" t="n">
        <v>0</v>
      </c>
      <c r="AK798" s="30" t="str">
        <f aca="false">IF(OR(S798="判定不能",J798="判定不能"),"判定不能",IF(AJ798&gt;=判定条件!$C$9,"利用可",IF(AND(S798="停止",J798="停止"),"両方停止","運転がそろわない")))</f>
        <v>判定不能</v>
      </c>
      <c r="AL798" s="30" t="n">
        <v>60</v>
      </c>
      <c r="AM798" s="30" t="n">
        <v>0</v>
      </c>
      <c r="AN798" s="30" t="str">
        <f aca="false">IF(OR(V798="判定不能",M798="判定不能"),"判定不能",IF(AM798&gt;=判定条件!$C$9,"利用可",IF(AND(V798="停止",M798="停止"),"両方停止","運転がそろわない")))</f>
        <v>両方停止</v>
      </c>
      <c r="AO798" s="30" t="n">
        <v>60</v>
      </c>
      <c r="AP798" s="30" t="n">
        <v>0</v>
      </c>
      <c r="AQ798" s="30" t="str">
        <f aca="false">IF(OR(Y798="判定不能",G798="判定不能"),"判定不能",IF(AP798&gt;=判定条件!$C$9,"利用可",IF(AND(Y798="停止",G798="停止"),"両方停止","運転がそろわない")))</f>
        <v>両方停止</v>
      </c>
      <c r="AR798" s="30" t="n">
        <v>0</v>
      </c>
      <c r="AS798" s="30" t="n">
        <v>0</v>
      </c>
      <c r="AT798" s="30" t="str">
        <f aca="false">IF(OR(AB798="判定不能",J798="判定不能"),"判定不能",IF(AS798&gt;=判定条件!$C$9,"利用可",IF(AND(AB798="停止",J798="停止"),"両方停止","運転がそろわない")))</f>
        <v>判定不能</v>
      </c>
      <c r="AU798" s="30" t="n">
        <v>60</v>
      </c>
      <c r="AV798" s="30" t="n">
        <v>0</v>
      </c>
      <c r="AW798" s="30" t="str">
        <f aca="false">IF(OR(AE798="判定不能",M798="判定不能"),"判定不能",IF(AV798&gt;=判定条件!$C$9,"利用可",IF(AND(AE798="停止",M798="停止"),"両方停止","運転がそろわない")))</f>
        <v>両方停止</v>
      </c>
      <c r="AX798" s="30" t="str">
        <f aca="false">IF(AND(AH798="利用可",AK798="利用可",AN798="利用可"),"利用可","不可")</f>
        <v>不可</v>
      </c>
      <c r="AY798" s="30" t="str">
        <f aca="false">IF(AND(AQ798="利用可",AT798="利用可",AW798="利用可"),"利用可","不可")</f>
        <v>不可</v>
      </c>
    </row>
    <row r="799" customFormat="false" ht="15" hidden="false" customHeight="false" outlineLevel="0" collapsed="false">
      <c r="A799" s="29" t="n">
        <v>46265</v>
      </c>
      <c r="B799" s="30" t="n">
        <v>4</v>
      </c>
      <c r="C799" s="31" t="s">
        <v>66</v>
      </c>
      <c r="D799" s="31" t="s">
        <v>59</v>
      </c>
      <c r="E799" s="30" t="n">
        <v>60</v>
      </c>
      <c r="F799" s="30" t="n">
        <v>0</v>
      </c>
      <c r="G799" s="30" t="str">
        <f aca="false">IF(E799&lt;判定条件!$C$6,"判定不能",IF(F799&gt;=判定条件!$C$7*E799,"運転",IF(F799&lt;=判定条件!$C$8*E799,"停止","断続")))</f>
        <v>停止</v>
      </c>
      <c r="H799" s="30" t="n">
        <v>0</v>
      </c>
      <c r="I799" s="30" t="n">
        <v>0</v>
      </c>
      <c r="J799" s="30" t="str">
        <f aca="false">IF(H799&lt;判定条件!$C$6,"判定不能",IF(I799&gt;=判定条件!$C$7*H799,"運転",IF(I799&lt;=判定条件!$C$8*H799,"停止","断続")))</f>
        <v>判定不能</v>
      </c>
      <c r="K799" s="30" t="n">
        <v>60</v>
      </c>
      <c r="L799" s="30" t="n">
        <v>0</v>
      </c>
      <c r="M799" s="30" t="str">
        <f aca="false">IF(K799&lt;判定条件!$C$6,"判定不能",IF(L799&gt;=判定条件!$C$7*K799,"運転",IF(L799&lt;=判定条件!$C$8*K799,"停止","断続")))</f>
        <v>停止</v>
      </c>
      <c r="N799" s="30" t="n">
        <v>60</v>
      </c>
      <c r="O799" s="30" t="n">
        <v>0</v>
      </c>
      <c r="P799" s="30" t="str">
        <f aca="false">IF(N799&lt;判定条件!$C$6,"判定不能",IF(O799&gt;=判定条件!$C$7*N799,"運転",IF(O799&lt;=判定条件!$C$8*N799,"停止","断続")))</f>
        <v>停止</v>
      </c>
      <c r="Q799" s="30" t="n">
        <v>60</v>
      </c>
      <c r="R799" s="30" t="n">
        <v>0</v>
      </c>
      <c r="S799" s="30" t="str">
        <f aca="false">IF(Q799&lt;判定条件!$C$6,"判定不能",IF(R799&gt;=判定条件!$C$7*Q799,"運転",IF(R799&lt;=判定条件!$C$8*Q799,"停止","断続")))</f>
        <v>停止</v>
      </c>
      <c r="T799" s="30" t="n">
        <v>60</v>
      </c>
      <c r="U799" s="30" t="n">
        <v>0</v>
      </c>
      <c r="V799" s="30" t="str">
        <f aca="false">IF(T799&lt;判定条件!$C$6,"判定不能",IF(U799&gt;=判定条件!$C$7*T799,"運転",IF(U799&lt;=判定条件!$C$8*T799,"停止","断続")))</f>
        <v>停止</v>
      </c>
      <c r="W799" s="30" t="n">
        <v>60</v>
      </c>
      <c r="X799" s="30" t="n">
        <v>15</v>
      </c>
      <c r="Y799" s="30" t="str">
        <f aca="false">IF(W799&lt;判定条件!$C$6,"判定不能",IF(X799&gt;=判定条件!$C$7*W799,"運転",IF(X799&lt;=判定条件!$C$8*W799,"停止","断続")))</f>
        <v>断続</v>
      </c>
      <c r="Z799" s="30" t="n">
        <v>60</v>
      </c>
      <c r="AA799" s="30" t="n">
        <v>9</v>
      </c>
      <c r="AB799" s="30" t="str">
        <f aca="false">IF(Z799&lt;判定条件!$C$6,"判定不能",IF(AA799&gt;=判定条件!$C$7*Z799,"運転",IF(AA799&lt;=判定条件!$C$8*Z799,"停止","断続")))</f>
        <v>停止</v>
      </c>
      <c r="AC799" s="30" t="n">
        <v>60</v>
      </c>
      <c r="AD799" s="30" t="n">
        <v>19</v>
      </c>
      <c r="AE799" s="30" t="str">
        <f aca="false">IF(AC799&lt;判定条件!$C$6,"判定不能",IF(AD799&gt;=判定条件!$C$7*AC799,"運転",IF(AD799&lt;=判定条件!$C$8*AC799,"停止","断続")))</f>
        <v>断続</v>
      </c>
      <c r="AF799" s="30" t="n">
        <v>60</v>
      </c>
      <c r="AG799" s="30" t="n">
        <v>0</v>
      </c>
      <c r="AH799" s="30" t="str">
        <f aca="false">IF(OR(P799="判定不能",G799="判定不能"),"判定不能",IF(AG799&gt;=判定条件!$C$9,"利用可",IF(AND(P799="停止",G799="停止"),"両方停止","運転がそろわない")))</f>
        <v>両方停止</v>
      </c>
      <c r="AI799" s="30" t="n">
        <v>0</v>
      </c>
      <c r="AJ799" s="30" t="n">
        <v>0</v>
      </c>
      <c r="AK799" s="30" t="str">
        <f aca="false">IF(OR(S799="判定不能",J799="判定不能"),"判定不能",IF(AJ799&gt;=判定条件!$C$9,"利用可",IF(AND(S799="停止",J799="停止"),"両方停止","運転がそろわない")))</f>
        <v>判定不能</v>
      </c>
      <c r="AL799" s="30" t="n">
        <v>60</v>
      </c>
      <c r="AM799" s="30" t="n">
        <v>0</v>
      </c>
      <c r="AN799" s="30" t="str">
        <f aca="false">IF(OR(V799="判定不能",M799="判定不能"),"判定不能",IF(AM799&gt;=判定条件!$C$9,"利用可",IF(AND(V799="停止",M799="停止"),"両方停止","運転がそろわない")))</f>
        <v>両方停止</v>
      </c>
      <c r="AO799" s="30" t="n">
        <v>60</v>
      </c>
      <c r="AP799" s="30" t="n">
        <v>0</v>
      </c>
      <c r="AQ799" s="30" t="str">
        <f aca="false">IF(OR(Y799="判定不能",G799="判定不能"),"判定不能",IF(AP799&gt;=判定条件!$C$9,"利用可",IF(AND(Y799="停止",G799="停止"),"両方停止","運転がそろわない")))</f>
        <v>運転がそろわない</v>
      </c>
      <c r="AR799" s="30" t="n">
        <v>0</v>
      </c>
      <c r="AS799" s="30" t="n">
        <v>0</v>
      </c>
      <c r="AT799" s="30" t="str">
        <f aca="false">IF(OR(AB799="判定不能",J799="判定不能"),"判定不能",IF(AS799&gt;=判定条件!$C$9,"利用可",IF(AND(AB799="停止",J799="停止"),"両方停止","運転がそろわない")))</f>
        <v>判定不能</v>
      </c>
      <c r="AU799" s="30" t="n">
        <v>60</v>
      </c>
      <c r="AV799" s="30" t="n">
        <v>0</v>
      </c>
      <c r="AW799" s="30" t="str">
        <f aca="false">IF(OR(AE799="判定不能",M799="判定不能"),"判定不能",IF(AV799&gt;=判定条件!$C$9,"利用可",IF(AND(AE799="停止",M799="停止"),"両方停止","運転がそろわない")))</f>
        <v>運転がそろわない</v>
      </c>
      <c r="AX799" s="30" t="str">
        <f aca="false">IF(AND(AH799="利用可",AK799="利用可",AN799="利用可"),"利用可","不可")</f>
        <v>不可</v>
      </c>
      <c r="AY799" s="30" t="str">
        <f aca="false">IF(AND(AQ799="利用可",AT799="利用可",AW799="利用可"),"利用可","不可")</f>
        <v>不可</v>
      </c>
    </row>
    <row r="800" customFormat="false" ht="15" hidden="false" customHeight="false" outlineLevel="0" collapsed="false">
      <c r="A800" s="29" t="n">
        <v>46265</v>
      </c>
      <c r="B800" s="30" t="n">
        <v>5</v>
      </c>
      <c r="C800" s="31" t="s">
        <v>66</v>
      </c>
      <c r="D800" s="31" t="s">
        <v>59</v>
      </c>
      <c r="E800" s="30" t="n">
        <v>60</v>
      </c>
      <c r="F800" s="30" t="n">
        <v>0</v>
      </c>
      <c r="G800" s="30" t="str">
        <f aca="false">IF(E800&lt;判定条件!$C$6,"判定不能",IF(F800&gt;=判定条件!$C$7*E800,"運転",IF(F800&lt;=判定条件!$C$8*E800,"停止","断続")))</f>
        <v>停止</v>
      </c>
      <c r="H800" s="30" t="n">
        <v>0</v>
      </c>
      <c r="I800" s="30" t="n">
        <v>0</v>
      </c>
      <c r="J800" s="30" t="str">
        <f aca="false">IF(H800&lt;判定条件!$C$6,"判定不能",IF(I800&gt;=判定条件!$C$7*H800,"運転",IF(I800&lt;=判定条件!$C$8*H800,"停止","断続")))</f>
        <v>判定不能</v>
      </c>
      <c r="K800" s="30" t="n">
        <v>60</v>
      </c>
      <c r="L800" s="30" t="n">
        <v>0</v>
      </c>
      <c r="M800" s="30" t="str">
        <f aca="false">IF(K800&lt;判定条件!$C$6,"判定不能",IF(L800&gt;=判定条件!$C$7*K800,"運転",IF(L800&lt;=判定条件!$C$8*K800,"停止","断続")))</f>
        <v>停止</v>
      </c>
      <c r="N800" s="30" t="n">
        <v>60</v>
      </c>
      <c r="O800" s="30" t="n">
        <v>0</v>
      </c>
      <c r="P800" s="30" t="str">
        <f aca="false">IF(N800&lt;判定条件!$C$6,"判定不能",IF(O800&gt;=判定条件!$C$7*N800,"運転",IF(O800&lt;=判定条件!$C$8*N800,"停止","断続")))</f>
        <v>停止</v>
      </c>
      <c r="Q800" s="30" t="n">
        <v>60</v>
      </c>
      <c r="R800" s="30" t="n">
        <v>0</v>
      </c>
      <c r="S800" s="30" t="str">
        <f aca="false">IF(Q800&lt;判定条件!$C$6,"判定不能",IF(R800&gt;=判定条件!$C$7*Q800,"運転",IF(R800&lt;=判定条件!$C$8*Q800,"停止","断続")))</f>
        <v>停止</v>
      </c>
      <c r="T800" s="30" t="n">
        <v>60</v>
      </c>
      <c r="U800" s="30" t="n">
        <v>0</v>
      </c>
      <c r="V800" s="30" t="str">
        <f aca="false">IF(T800&lt;判定条件!$C$6,"判定不能",IF(U800&gt;=判定条件!$C$7*T800,"運転",IF(U800&lt;=判定条件!$C$8*T800,"停止","断続")))</f>
        <v>停止</v>
      </c>
      <c r="W800" s="30" t="n">
        <v>60</v>
      </c>
      <c r="X800" s="30" t="n">
        <v>40</v>
      </c>
      <c r="Y800" s="30" t="str">
        <f aca="false">IF(W800&lt;判定条件!$C$6,"判定不能",IF(X800&gt;=判定条件!$C$7*W800,"運転",IF(X800&lt;=判定条件!$C$8*W800,"停止","断続")))</f>
        <v>断続</v>
      </c>
      <c r="Z800" s="30" t="n">
        <v>60</v>
      </c>
      <c r="AA800" s="30" t="n">
        <v>60</v>
      </c>
      <c r="AB800" s="30" t="str">
        <f aca="false">IF(Z800&lt;判定条件!$C$6,"判定不能",IF(AA800&gt;=判定条件!$C$7*Z800,"運転",IF(AA800&lt;=判定条件!$C$8*Z800,"停止","断続")))</f>
        <v>運転</v>
      </c>
      <c r="AC800" s="30" t="n">
        <v>60</v>
      </c>
      <c r="AD800" s="30" t="n">
        <v>60</v>
      </c>
      <c r="AE800" s="30" t="str">
        <f aca="false">IF(AC800&lt;判定条件!$C$6,"判定不能",IF(AD800&gt;=判定条件!$C$7*AC800,"運転",IF(AD800&lt;=判定条件!$C$8*AC800,"停止","断続")))</f>
        <v>運転</v>
      </c>
      <c r="AF800" s="30" t="n">
        <v>60</v>
      </c>
      <c r="AG800" s="30" t="n">
        <v>0</v>
      </c>
      <c r="AH800" s="30" t="str">
        <f aca="false">IF(OR(P800="判定不能",G800="判定不能"),"判定不能",IF(AG800&gt;=判定条件!$C$9,"利用可",IF(AND(P800="停止",G800="停止"),"両方停止","運転がそろわない")))</f>
        <v>両方停止</v>
      </c>
      <c r="AI800" s="30" t="n">
        <v>0</v>
      </c>
      <c r="AJ800" s="30" t="n">
        <v>0</v>
      </c>
      <c r="AK800" s="30" t="str">
        <f aca="false">IF(OR(S800="判定不能",J800="判定不能"),"判定不能",IF(AJ800&gt;=判定条件!$C$9,"利用可",IF(AND(S800="停止",J800="停止"),"両方停止","運転がそろわない")))</f>
        <v>判定不能</v>
      </c>
      <c r="AL800" s="30" t="n">
        <v>60</v>
      </c>
      <c r="AM800" s="30" t="n">
        <v>0</v>
      </c>
      <c r="AN800" s="30" t="str">
        <f aca="false">IF(OR(V800="判定不能",M800="判定不能"),"判定不能",IF(AM800&gt;=判定条件!$C$9,"利用可",IF(AND(V800="停止",M800="停止"),"両方停止","運転がそろわない")))</f>
        <v>両方停止</v>
      </c>
      <c r="AO800" s="30" t="n">
        <v>60</v>
      </c>
      <c r="AP800" s="30" t="n">
        <v>0</v>
      </c>
      <c r="AQ800" s="30" t="str">
        <f aca="false">IF(OR(Y800="判定不能",G800="判定不能"),"判定不能",IF(AP800&gt;=判定条件!$C$9,"利用可",IF(AND(Y800="停止",G800="停止"),"両方停止","運転がそろわない")))</f>
        <v>運転がそろわない</v>
      </c>
      <c r="AR800" s="30" t="n">
        <v>0</v>
      </c>
      <c r="AS800" s="30" t="n">
        <v>0</v>
      </c>
      <c r="AT800" s="30" t="str">
        <f aca="false">IF(OR(AB800="判定不能",J800="判定不能"),"判定不能",IF(AS800&gt;=判定条件!$C$9,"利用可",IF(AND(AB800="停止",J800="停止"),"両方停止","運転がそろわない")))</f>
        <v>判定不能</v>
      </c>
      <c r="AU800" s="30" t="n">
        <v>60</v>
      </c>
      <c r="AV800" s="30" t="n">
        <v>0</v>
      </c>
      <c r="AW800" s="30" t="str">
        <f aca="false">IF(OR(AE800="判定不能",M800="判定不能"),"判定不能",IF(AV800&gt;=判定条件!$C$9,"利用可",IF(AND(AE800="停止",M800="停止"),"両方停止","運転がそろわない")))</f>
        <v>運転がそろわない</v>
      </c>
      <c r="AX800" s="30" t="str">
        <f aca="false">IF(AND(AH800="利用可",AK800="利用可",AN800="利用可"),"利用可","不可")</f>
        <v>不可</v>
      </c>
      <c r="AY800" s="30" t="str">
        <f aca="false">IF(AND(AQ800="利用可",AT800="利用可",AW800="利用可"),"利用可","不可")</f>
        <v>不可</v>
      </c>
    </row>
    <row r="801" customFormat="false" ht="15" hidden="false" customHeight="false" outlineLevel="0" collapsed="false">
      <c r="A801" s="29" t="n">
        <v>46265</v>
      </c>
      <c r="B801" s="30" t="n">
        <v>6</v>
      </c>
      <c r="C801" s="31" t="s">
        <v>66</v>
      </c>
      <c r="D801" s="31" t="s">
        <v>59</v>
      </c>
      <c r="E801" s="30" t="n">
        <v>60</v>
      </c>
      <c r="F801" s="30" t="n">
        <v>0</v>
      </c>
      <c r="G801" s="30" t="str">
        <f aca="false">IF(E801&lt;判定条件!$C$6,"判定不能",IF(F801&gt;=判定条件!$C$7*E801,"運転",IF(F801&lt;=判定条件!$C$8*E801,"停止","断続")))</f>
        <v>停止</v>
      </c>
      <c r="H801" s="30" t="n">
        <v>0</v>
      </c>
      <c r="I801" s="30" t="n">
        <v>0</v>
      </c>
      <c r="J801" s="30" t="str">
        <f aca="false">IF(H801&lt;判定条件!$C$6,"判定不能",IF(I801&gt;=判定条件!$C$7*H801,"運転",IF(I801&lt;=判定条件!$C$8*H801,"停止","断続")))</f>
        <v>判定不能</v>
      </c>
      <c r="K801" s="30" t="n">
        <v>60</v>
      </c>
      <c r="L801" s="30" t="n">
        <v>0</v>
      </c>
      <c r="M801" s="30" t="str">
        <f aca="false">IF(K801&lt;判定条件!$C$6,"判定不能",IF(L801&gt;=判定条件!$C$7*K801,"運転",IF(L801&lt;=判定条件!$C$8*K801,"停止","断続")))</f>
        <v>停止</v>
      </c>
      <c r="N801" s="30" t="n">
        <v>60</v>
      </c>
      <c r="O801" s="30" t="n">
        <v>11</v>
      </c>
      <c r="P801" s="30" t="str">
        <f aca="false">IF(N801&lt;判定条件!$C$6,"判定不能",IF(O801&gt;=判定条件!$C$7*N801,"運転",IF(O801&lt;=判定条件!$C$8*N801,"停止","断続")))</f>
        <v>停止</v>
      </c>
      <c r="Q801" s="30" t="n">
        <v>60</v>
      </c>
      <c r="R801" s="30" t="n">
        <v>7</v>
      </c>
      <c r="S801" s="30" t="str">
        <f aca="false">IF(Q801&lt;判定条件!$C$6,"判定不能",IF(R801&gt;=判定条件!$C$7*Q801,"運転",IF(R801&lt;=判定条件!$C$8*Q801,"停止","断続")))</f>
        <v>停止</v>
      </c>
      <c r="T801" s="30" t="n">
        <v>60</v>
      </c>
      <c r="U801" s="30" t="n">
        <v>7</v>
      </c>
      <c r="V801" s="30" t="str">
        <f aca="false">IF(T801&lt;判定条件!$C$6,"判定不能",IF(U801&gt;=判定条件!$C$7*T801,"運転",IF(U801&lt;=判定条件!$C$8*T801,"停止","断続")))</f>
        <v>停止</v>
      </c>
      <c r="W801" s="30" t="n">
        <v>60</v>
      </c>
      <c r="X801" s="30" t="n">
        <v>48</v>
      </c>
      <c r="Y801" s="30" t="str">
        <f aca="false">IF(W801&lt;判定条件!$C$6,"判定不能",IF(X801&gt;=判定条件!$C$7*W801,"運転",IF(X801&lt;=判定条件!$C$8*W801,"停止","断続")))</f>
        <v>運転</v>
      </c>
      <c r="Z801" s="30" t="n">
        <v>60</v>
      </c>
      <c r="AA801" s="30" t="n">
        <v>14</v>
      </c>
      <c r="AB801" s="30" t="str">
        <f aca="false">IF(Z801&lt;判定条件!$C$6,"判定不能",IF(AA801&gt;=判定条件!$C$7*Z801,"運転",IF(AA801&lt;=判定条件!$C$8*Z801,"停止","断続")))</f>
        <v>断続</v>
      </c>
      <c r="AC801" s="30" t="n">
        <v>60</v>
      </c>
      <c r="AD801" s="30" t="n">
        <v>60</v>
      </c>
      <c r="AE801" s="30" t="str">
        <f aca="false">IF(AC801&lt;判定条件!$C$6,"判定不能",IF(AD801&gt;=判定条件!$C$7*AC801,"運転",IF(AD801&lt;=判定条件!$C$8*AC801,"停止","断続")))</f>
        <v>運転</v>
      </c>
      <c r="AF801" s="30" t="n">
        <v>60</v>
      </c>
      <c r="AG801" s="30" t="n">
        <v>0</v>
      </c>
      <c r="AH801" s="30" t="str">
        <f aca="false">IF(OR(P801="判定不能",G801="判定不能"),"判定不能",IF(AG801&gt;=判定条件!$C$9,"利用可",IF(AND(P801="停止",G801="停止"),"両方停止","運転がそろわない")))</f>
        <v>両方停止</v>
      </c>
      <c r="AI801" s="30" t="n">
        <v>0</v>
      </c>
      <c r="AJ801" s="30" t="n">
        <v>0</v>
      </c>
      <c r="AK801" s="30" t="str">
        <f aca="false">IF(OR(S801="判定不能",J801="判定不能"),"判定不能",IF(AJ801&gt;=判定条件!$C$9,"利用可",IF(AND(S801="停止",J801="停止"),"両方停止","運転がそろわない")))</f>
        <v>判定不能</v>
      </c>
      <c r="AL801" s="30" t="n">
        <v>60</v>
      </c>
      <c r="AM801" s="30" t="n">
        <v>0</v>
      </c>
      <c r="AN801" s="30" t="str">
        <f aca="false">IF(OR(V801="判定不能",M801="判定不能"),"判定不能",IF(AM801&gt;=判定条件!$C$9,"利用可",IF(AND(V801="停止",M801="停止"),"両方停止","運転がそろわない")))</f>
        <v>両方停止</v>
      </c>
      <c r="AO801" s="30" t="n">
        <v>60</v>
      </c>
      <c r="AP801" s="30" t="n">
        <v>0</v>
      </c>
      <c r="AQ801" s="30" t="str">
        <f aca="false">IF(OR(Y801="判定不能",G801="判定不能"),"判定不能",IF(AP801&gt;=判定条件!$C$9,"利用可",IF(AND(Y801="停止",G801="停止"),"両方停止","運転がそろわない")))</f>
        <v>運転がそろわない</v>
      </c>
      <c r="AR801" s="30" t="n">
        <v>0</v>
      </c>
      <c r="AS801" s="30" t="n">
        <v>0</v>
      </c>
      <c r="AT801" s="30" t="str">
        <f aca="false">IF(OR(AB801="判定不能",J801="判定不能"),"判定不能",IF(AS801&gt;=判定条件!$C$9,"利用可",IF(AND(AB801="停止",J801="停止"),"両方停止","運転がそろわない")))</f>
        <v>判定不能</v>
      </c>
      <c r="AU801" s="30" t="n">
        <v>60</v>
      </c>
      <c r="AV801" s="30" t="n">
        <v>0</v>
      </c>
      <c r="AW801" s="30" t="str">
        <f aca="false">IF(OR(AE801="判定不能",M801="判定不能"),"判定不能",IF(AV801&gt;=判定条件!$C$9,"利用可",IF(AND(AE801="停止",M801="停止"),"両方停止","運転がそろわない")))</f>
        <v>運転がそろわない</v>
      </c>
      <c r="AX801" s="30" t="str">
        <f aca="false">IF(AND(AH801="利用可",AK801="利用可",AN801="利用可"),"利用可","不可")</f>
        <v>不可</v>
      </c>
      <c r="AY801" s="30" t="str">
        <f aca="false">IF(AND(AQ801="利用可",AT801="利用可",AW801="利用可"),"利用可","不可")</f>
        <v>不可</v>
      </c>
    </row>
    <row r="802" customFormat="false" ht="15" hidden="false" customHeight="false" outlineLevel="0" collapsed="false">
      <c r="A802" s="29" t="n">
        <v>46265</v>
      </c>
      <c r="B802" s="30" t="n">
        <v>7</v>
      </c>
      <c r="C802" s="31" t="s">
        <v>66</v>
      </c>
      <c r="D802" s="31" t="s">
        <v>59</v>
      </c>
      <c r="E802" s="30" t="n">
        <v>60</v>
      </c>
      <c r="F802" s="30" t="n">
        <v>0</v>
      </c>
      <c r="G802" s="30" t="str">
        <f aca="false">IF(E802&lt;判定条件!$C$6,"判定不能",IF(F802&gt;=判定条件!$C$7*E802,"運転",IF(F802&lt;=判定条件!$C$8*E802,"停止","断続")))</f>
        <v>停止</v>
      </c>
      <c r="H802" s="30" t="n">
        <v>0</v>
      </c>
      <c r="I802" s="30" t="n">
        <v>0</v>
      </c>
      <c r="J802" s="30" t="str">
        <f aca="false">IF(H802&lt;判定条件!$C$6,"判定不能",IF(I802&gt;=判定条件!$C$7*H802,"運転",IF(I802&lt;=判定条件!$C$8*H802,"停止","断続")))</f>
        <v>判定不能</v>
      </c>
      <c r="K802" s="30" t="n">
        <v>60</v>
      </c>
      <c r="L802" s="30" t="n">
        <v>0</v>
      </c>
      <c r="M802" s="30" t="str">
        <f aca="false">IF(K802&lt;判定条件!$C$6,"判定不能",IF(L802&gt;=判定条件!$C$7*K802,"運転",IF(L802&lt;=判定条件!$C$8*K802,"停止","断続")))</f>
        <v>停止</v>
      </c>
      <c r="N802" s="30" t="n">
        <v>60</v>
      </c>
      <c r="O802" s="30" t="n">
        <v>53</v>
      </c>
      <c r="P802" s="30" t="str">
        <f aca="false">IF(N802&lt;判定条件!$C$6,"判定不能",IF(O802&gt;=判定条件!$C$7*N802,"運転",IF(O802&lt;=判定条件!$C$8*N802,"停止","断続")))</f>
        <v>運転</v>
      </c>
      <c r="Q802" s="30" t="n">
        <v>60</v>
      </c>
      <c r="R802" s="30" t="n">
        <v>49</v>
      </c>
      <c r="S802" s="30" t="str">
        <f aca="false">IF(Q802&lt;判定条件!$C$6,"判定不能",IF(R802&gt;=判定条件!$C$7*Q802,"運転",IF(R802&lt;=判定条件!$C$8*Q802,"停止","断続")))</f>
        <v>運転</v>
      </c>
      <c r="T802" s="30" t="n">
        <v>60</v>
      </c>
      <c r="U802" s="30" t="n">
        <v>60</v>
      </c>
      <c r="V802" s="30" t="str">
        <f aca="false">IF(T802&lt;判定条件!$C$6,"判定不能",IF(U802&gt;=判定条件!$C$7*T802,"運転",IF(U802&lt;=判定条件!$C$8*T802,"停止","断続")))</f>
        <v>運転</v>
      </c>
      <c r="W802" s="30" t="n">
        <v>60</v>
      </c>
      <c r="X802" s="30" t="n">
        <v>38</v>
      </c>
      <c r="Y802" s="30" t="str">
        <f aca="false">IF(W802&lt;判定条件!$C$6,"判定不能",IF(X802&gt;=判定条件!$C$7*W802,"運転",IF(X802&lt;=判定条件!$C$8*W802,"停止","断続")))</f>
        <v>断続</v>
      </c>
      <c r="Z802" s="30" t="n">
        <v>60</v>
      </c>
      <c r="AA802" s="30" t="n">
        <v>17</v>
      </c>
      <c r="AB802" s="30" t="str">
        <f aca="false">IF(Z802&lt;判定条件!$C$6,"判定不能",IF(AA802&gt;=判定条件!$C$7*Z802,"運転",IF(AA802&lt;=判定条件!$C$8*Z802,"停止","断続")))</f>
        <v>断続</v>
      </c>
      <c r="AC802" s="30" t="n">
        <v>60</v>
      </c>
      <c r="AD802" s="30" t="n">
        <v>60</v>
      </c>
      <c r="AE802" s="30" t="str">
        <f aca="false">IF(AC802&lt;判定条件!$C$6,"判定不能",IF(AD802&gt;=判定条件!$C$7*AC802,"運転",IF(AD802&lt;=判定条件!$C$8*AC802,"停止","断続")))</f>
        <v>運転</v>
      </c>
      <c r="AF802" s="30" t="n">
        <v>60</v>
      </c>
      <c r="AG802" s="30" t="n">
        <v>0</v>
      </c>
      <c r="AH802" s="30" t="str">
        <f aca="false">IF(OR(P802="判定不能",G802="判定不能"),"判定不能",IF(AG802&gt;=判定条件!$C$9,"利用可",IF(AND(P802="停止",G802="停止"),"両方停止","運転がそろわない")))</f>
        <v>運転がそろわない</v>
      </c>
      <c r="AI802" s="30" t="n">
        <v>0</v>
      </c>
      <c r="AJ802" s="30" t="n">
        <v>0</v>
      </c>
      <c r="AK802" s="30" t="str">
        <f aca="false">IF(OR(S802="判定不能",J802="判定不能"),"判定不能",IF(AJ802&gt;=判定条件!$C$9,"利用可",IF(AND(S802="停止",J802="停止"),"両方停止","運転がそろわない")))</f>
        <v>判定不能</v>
      </c>
      <c r="AL802" s="30" t="n">
        <v>60</v>
      </c>
      <c r="AM802" s="30" t="n">
        <v>0</v>
      </c>
      <c r="AN802" s="30" t="str">
        <f aca="false">IF(OR(V802="判定不能",M802="判定不能"),"判定不能",IF(AM802&gt;=判定条件!$C$9,"利用可",IF(AND(V802="停止",M802="停止"),"両方停止","運転がそろわない")))</f>
        <v>運転がそろわない</v>
      </c>
      <c r="AO802" s="30" t="n">
        <v>60</v>
      </c>
      <c r="AP802" s="30" t="n">
        <v>0</v>
      </c>
      <c r="AQ802" s="30" t="str">
        <f aca="false">IF(OR(Y802="判定不能",G802="判定不能"),"判定不能",IF(AP802&gt;=判定条件!$C$9,"利用可",IF(AND(Y802="停止",G802="停止"),"両方停止","運転がそろわない")))</f>
        <v>運転がそろわない</v>
      </c>
      <c r="AR802" s="30" t="n">
        <v>0</v>
      </c>
      <c r="AS802" s="30" t="n">
        <v>0</v>
      </c>
      <c r="AT802" s="30" t="str">
        <f aca="false">IF(OR(AB802="判定不能",J802="判定不能"),"判定不能",IF(AS802&gt;=判定条件!$C$9,"利用可",IF(AND(AB802="停止",J802="停止"),"両方停止","運転がそろわない")))</f>
        <v>判定不能</v>
      </c>
      <c r="AU802" s="30" t="n">
        <v>60</v>
      </c>
      <c r="AV802" s="30" t="n">
        <v>0</v>
      </c>
      <c r="AW802" s="30" t="str">
        <f aca="false">IF(OR(AE802="判定不能",M802="判定不能"),"判定不能",IF(AV802&gt;=判定条件!$C$9,"利用可",IF(AND(AE802="停止",M802="停止"),"両方停止","運転がそろわない")))</f>
        <v>運転がそろわない</v>
      </c>
      <c r="AX802" s="30" t="str">
        <f aca="false">IF(AND(AH802="利用可",AK802="利用可",AN802="利用可"),"利用可","不可")</f>
        <v>不可</v>
      </c>
      <c r="AY802" s="30" t="str">
        <f aca="false">IF(AND(AQ802="利用可",AT802="利用可",AW802="利用可"),"利用可","不可")</f>
        <v>不可</v>
      </c>
    </row>
    <row r="803" customFormat="false" ht="15" hidden="false" customHeight="false" outlineLevel="0" collapsed="false">
      <c r="A803" s="29" t="n">
        <v>46265</v>
      </c>
      <c r="B803" s="30" t="n">
        <v>8</v>
      </c>
      <c r="C803" s="31" t="s">
        <v>66</v>
      </c>
      <c r="D803" s="31" t="s">
        <v>59</v>
      </c>
      <c r="E803" s="30" t="n">
        <v>60</v>
      </c>
      <c r="F803" s="30" t="n">
        <v>0</v>
      </c>
      <c r="G803" s="30" t="str">
        <f aca="false">IF(E803&lt;判定条件!$C$6,"判定不能",IF(F803&gt;=判定条件!$C$7*E803,"運転",IF(F803&lt;=判定条件!$C$8*E803,"停止","断続")))</f>
        <v>停止</v>
      </c>
      <c r="H803" s="30" t="n">
        <v>0</v>
      </c>
      <c r="I803" s="30" t="n">
        <v>0</v>
      </c>
      <c r="J803" s="30" t="str">
        <f aca="false">IF(H803&lt;判定条件!$C$6,"判定不能",IF(I803&gt;=判定条件!$C$7*H803,"運転",IF(I803&lt;=判定条件!$C$8*H803,"停止","断続")))</f>
        <v>判定不能</v>
      </c>
      <c r="K803" s="30" t="n">
        <v>60</v>
      </c>
      <c r="L803" s="30" t="n">
        <v>0</v>
      </c>
      <c r="M803" s="30" t="str">
        <f aca="false">IF(K803&lt;判定条件!$C$6,"判定不能",IF(L803&gt;=判定条件!$C$7*K803,"運転",IF(L803&lt;=判定条件!$C$8*K803,"停止","断続")))</f>
        <v>停止</v>
      </c>
      <c r="N803" s="30" t="n">
        <v>60</v>
      </c>
      <c r="O803" s="30" t="n">
        <v>11</v>
      </c>
      <c r="P803" s="30" t="str">
        <f aca="false">IF(N803&lt;判定条件!$C$6,"判定不能",IF(O803&gt;=判定条件!$C$7*N803,"運転",IF(O803&lt;=判定条件!$C$8*N803,"停止","断続")))</f>
        <v>停止</v>
      </c>
      <c r="Q803" s="30" t="n">
        <v>60</v>
      </c>
      <c r="R803" s="30" t="n">
        <v>36</v>
      </c>
      <c r="S803" s="30" t="str">
        <f aca="false">IF(Q803&lt;判定条件!$C$6,"判定不能",IF(R803&gt;=判定条件!$C$7*Q803,"運転",IF(R803&lt;=判定条件!$C$8*Q803,"停止","断続")))</f>
        <v>断続</v>
      </c>
      <c r="T803" s="30" t="n">
        <v>60</v>
      </c>
      <c r="U803" s="30" t="n">
        <v>54</v>
      </c>
      <c r="V803" s="30" t="str">
        <f aca="false">IF(T803&lt;判定条件!$C$6,"判定不能",IF(U803&gt;=判定条件!$C$7*T803,"運転",IF(U803&lt;=判定条件!$C$8*T803,"停止","断続")))</f>
        <v>運転</v>
      </c>
      <c r="W803" s="30" t="n">
        <v>60</v>
      </c>
      <c r="X803" s="30" t="n">
        <v>33</v>
      </c>
      <c r="Y803" s="30" t="str">
        <f aca="false">IF(W803&lt;判定条件!$C$6,"判定不能",IF(X803&gt;=判定条件!$C$7*W803,"運転",IF(X803&lt;=判定条件!$C$8*W803,"停止","断続")))</f>
        <v>断続</v>
      </c>
      <c r="Z803" s="30" t="n">
        <v>60</v>
      </c>
      <c r="AA803" s="30" t="n">
        <v>47</v>
      </c>
      <c r="AB803" s="30" t="str">
        <f aca="false">IF(Z803&lt;判定条件!$C$6,"判定不能",IF(AA803&gt;=判定条件!$C$7*Z803,"運転",IF(AA803&lt;=判定条件!$C$8*Z803,"停止","断続")))</f>
        <v>断続</v>
      </c>
      <c r="AC803" s="30" t="n">
        <v>60</v>
      </c>
      <c r="AD803" s="30" t="n">
        <v>60</v>
      </c>
      <c r="AE803" s="30" t="str">
        <f aca="false">IF(AC803&lt;判定条件!$C$6,"判定不能",IF(AD803&gt;=判定条件!$C$7*AC803,"運転",IF(AD803&lt;=判定条件!$C$8*AC803,"停止","断続")))</f>
        <v>運転</v>
      </c>
      <c r="AF803" s="30" t="n">
        <v>60</v>
      </c>
      <c r="AG803" s="30" t="n">
        <v>0</v>
      </c>
      <c r="AH803" s="30" t="str">
        <f aca="false">IF(OR(P803="判定不能",G803="判定不能"),"判定不能",IF(AG803&gt;=判定条件!$C$9,"利用可",IF(AND(P803="停止",G803="停止"),"両方停止","運転がそろわない")))</f>
        <v>両方停止</v>
      </c>
      <c r="AI803" s="30" t="n">
        <v>0</v>
      </c>
      <c r="AJ803" s="30" t="n">
        <v>0</v>
      </c>
      <c r="AK803" s="30" t="str">
        <f aca="false">IF(OR(S803="判定不能",J803="判定不能"),"判定不能",IF(AJ803&gt;=判定条件!$C$9,"利用可",IF(AND(S803="停止",J803="停止"),"両方停止","運転がそろわない")))</f>
        <v>判定不能</v>
      </c>
      <c r="AL803" s="30" t="n">
        <v>60</v>
      </c>
      <c r="AM803" s="30" t="n">
        <v>0</v>
      </c>
      <c r="AN803" s="30" t="str">
        <f aca="false">IF(OR(V803="判定不能",M803="判定不能"),"判定不能",IF(AM803&gt;=判定条件!$C$9,"利用可",IF(AND(V803="停止",M803="停止"),"両方停止","運転がそろわない")))</f>
        <v>運転がそろわない</v>
      </c>
      <c r="AO803" s="30" t="n">
        <v>60</v>
      </c>
      <c r="AP803" s="30" t="n">
        <v>0</v>
      </c>
      <c r="AQ803" s="30" t="str">
        <f aca="false">IF(OR(Y803="判定不能",G803="判定不能"),"判定不能",IF(AP803&gt;=判定条件!$C$9,"利用可",IF(AND(Y803="停止",G803="停止"),"両方停止","運転がそろわない")))</f>
        <v>運転がそろわない</v>
      </c>
      <c r="AR803" s="30" t="n">
        <v>0</v>
      </c>
      <c r="AS803" s="30" t="n">
        <v>0</v>
      </c>
      <c r="AT803" s="30" t="str">
        <f aca="false">IF(OR(AB803="判定不能",J803="判定不能"),"判定不能",IF(AS803&gt;=判定条件!$C$9,"利用可",IF(AND(AB803="停止",J803="停止"),"両方停止","運転がそろわない")))</f>
        <v>判定不能</v>
      </c>
      <c r="AU803" s="30" t="n">
        <v>60</v>
      </c>
      <c r="AV803" s="30" t="n">
        <v>0</v>
      </c>
      <c r="AW803" s="30" t="str">
        <f aca="false">IF(OR(AE803="判定不能",M803="判定不能"),"判定不能",IF(AV803&gt;=判定条件!$C$9,"利用可",IF(AND(AE803="停止",M803="停止"),"両方停止","運転がそろわない")))</f>
        <v>運転がそろわない</v>
      </c>
      <c r="AX803" s="30" t="str">
        <f aca="false">IF(AND(AH803="利用可",AK803="利用可",AN803="利用可"),"利用可","不可")</f>
        <v>不可</v>
      </c>
      <c r="AY803" s="30" t="str">
        <f aca="false">IF(AND(AQ803="利用可",AT803="利用可",AW803="利用可"),"利用可","不可")</f>
        <v>不可</v>
      </c>
    </row>
    <row r="804" customFormat="false" ht="15" hidden="false" customHeight="false" outlineLevel="0" collapsed="false">
      <c r="A804" s="29" t="n">
        <v>46265</v>
      </c>
      <c r="B804" s="30" t="n">
        <v>9</v>
      </c>
      <c r="C804" s="31" t="s">
        <v>66</v>
      </c>
      <c r="D804" s="31" t="s">
        <v>59</v>
      </c>
      <c r="E804" s="30" t="n">
        <v>60</v>
      </c>
      <c r="F804" s="30" t="n">
        <v>41</v>
      </c>
      <c r="G804" s="30" t="str">
        <f aca="false">IF(E804&lt;判定条件!$C$6,"判定不能",IF(F804&gt;=判定条件!$C$7*E804,"運転",IF(F804&lt;=判定条件!$C$8*E804,"停止","断続")))</f>
        <v>断続</v>
      </c>
      <c r="H804" s="30" t="n">
        <v>0</v>
      </c>
      <c r="I804" s="30" t="n">
        <v>0</v>
      </c>
      <c r="J804" s="30" t="str">
        <f aca="false">IF(H804&lt;判定条件!$C$6,"判定不能",IF(I804&gt;=判定条件!$C$7*H804,"運転",IF(I804&lt;=判定条件!$C$8*H804,"停止","断続")))</f>
        <v>判定不能</v>
      </c>
      <c r="K804" s="30" t="n">
        <v>60</v>
      </c>
      <c r="L804" s="30" t="n">
        <v>37</v>
      </c>
      <c r="M804" s="30" t="str">
        <f aca="false">IF(K804&lt;判定条件!$C$6,"判定不能",IF(L804&gt;=判定条件!$C$7*K804,"運転",IF(L804&lt;=判定条件!$C$8*K804,"停止","断続")))</f>
        <v>断続</v>
      </c>
      <c r="N804" s="30" t="n">
        <v>60</v>
      </c>
      <c r="O804" s="30" t="n">
        <v>48</v>
      </c>
      <c r="P804" s="30" t="str">
        <f aca="false">IF(N804&lt;判定条件!$C$6,"判定不能",IF(O804&gt;=判定条件!$C$7*N804,"運転",IF(O804&lt;=判定条件!$C$8*N804,"停止","断続")))</f>
        <v>運転</v>
      </c>
      <c r="Q804" s="30" t="n">
        <v>60</v>
      </c>
      <c r="R804" s="30" t="n">
        <v>60</v>
      </c>
      <c r="S804" s="30" t="str">
        <f aca="false">IF(Q804&lt;判定条件!$C$6,"判定不能",IF(R804&gt;=判定条件!$C$7*Q804,"運転",IF(R804&lt;=判定条件!$C$8*Q804,"停止","断続")))</f>
        <v>運転</v>
      </c>
      <c r="T804" s="30" t="n">
        <v>60</v>
      </c>
      <c r="U804" s="30" t="n">
        <v>60</v>
      </c>
      <c r="V804" s="30" t="str">
        <f aca="false">IF(T804&lt;判定条件!$C$6,"判定不能",IF(U804&gt;=判定条件!$C$7*T804,"運転",IF(U804&lt;=判定条件!$C$8*T804,"停止","断続")))</f>
        <v>運転</v>
      </c>
      <c r="W804" s="30" t="n">
        <v>60</v>
      </c>
      <c r="X804" s="30" t="n">
        <v>27</v>
      </c>
      <c r="Y804" s="30" t="str">
        <f aca="false">IF(W804&lt;判定条件!$C$6,"判定不能",IF(X804&gt;=判定条件!$C$7*W804,"運転",IF(X804&lt;=判定条件!$C$8*W804,"停止","断続")))</f>
        <v>断続</v>
      </c>
      <c r="Z804" s="30" t="n">
        <v>60</v>
      </c>
      <c r="AA804" s="30" t="n">
        <v>60</v>
      </c>
      <c r="AB804" s="30" t="str">
        <f aca="false">IF(Z804&lt;判定条件!$C$6,"判定不能",IF(AA804&gt;=判定条件!$C$7*Z804,"運転",IF(AA804&lt;=判定条件!$C$8*Z804,"停止","断続")))</f>
        <v>運転</v>
      </c>
      <c r="AC804" s="30" t="n">
        <v>60</v>
      </c>
      <c r="AD804" s="30" t="n">
        <v>60</v>
      </c>
      <c r="AE804" s="30" t="str">
        <f aca="false">IF(AC804&lt;判定条件!$C$6,"判定不能",IF(AD804&gt;=判定条件!$C$7*AC804,"運転",IF(AD804&lt;=判定条件!$C$8*AC804,"停止","断続")))</f>
        <v>運転</v>
      </c>
      <c r="AF804" s="30" t="n">
        <v>60</v>
      </c>
      <c r="AG804" s="30" t="n">
        <v>29</v>
      </c>
      <c r="AH804" s="30" t="str">
        <f aca="false">IF(OR(P804="判定不能",G804="判定不能"),"判定不能",IF(AG804&gt;=判定条件!$C$9,"利用可",IF(AND(P804="停止",G804="停止"),"両方停止","運転がそろわない")))</f>
        <v>運転がそろわない</v>
      </c>
      <c r="AI804" s="30" t="n">
        <v>0</v>
      </c>
      <c r="AJ804" s="30" t="n">
        <v>0</v>
      </c>
      <c r="AK804" s="30" t="str">
        <f aca="false">IF(OR(S804="判定不能",J804="判定不能"),"判定不能",IF(AJ804&gt;=判定条件!$C$9,"利用可",IF(AND(S804="停止",J804="停止"),"両方停止","運転がそろわない")))</f>
        <v>判定不能</v>
      </c>
      <c r="AL804" s="30" t="n">
        <v>60</v>
      </c>
      <c r="AM804" s="30" t="n">
        <v>37</v>
      </c>
      <c r="AN804" s="30" t="str">
        <f aca="false">IF(OR(V804="判定不能",M804="判定不能"),"判定不能",IF(AM804&gt;=判定条件!$C$9,"利用可",IF(AND(V804="停止",M804="停止"),"両方停止","運転がそろわない")))</f>
        <v>利用可</v>
      </c>
      <c r="AO804" s="30" t="n">
        <v>60</v>
      </c>
      <c r="AP804" s="30" t="n">
        <v>22</v>
      </c>
      <c r="AQ804" s="30" t="str">
        <f aca="false">IF(OR(Y804="判定不能",G804="判定不能"),"判定不能",IF(AP804&gt;=判定条件!$C$9,"利用可",IF(AND(Y804="停止",G804="停止"),"両方停止","運転がそろわない")))</f>
        <v>運転がそろわない</v>
      </c>
      <c r="AR804" s="30" t="n">
        <v>0</v>
      </c>
      <c r="AS804" s="30" t="n">
        <v>0</v>
      </c>
      <c r="AT804" s="30" t="str">
        <f aca="false">IF(OR(AB804="判定不能",J804="判定不能"),"判定不能",IF(AS804&gt;=判定条件!$C$9,"利用可",IF(AND(AB804="停止",J804="停止"),"両方停止","運転がそろわない")))</f>
        <v>判定不能</v>
      </c>
      <c r="AU804" s="30" t="n">
        <v>60</v>
      </c>
      <c r="AV804" s="30" t="n">
        <v>37</v>
      </c>
      <c r="AW804" s="30" t="str">
        <f aca="false">IF(OR(AE804="判定不能",M804="判定不能"),"判定不能",IF(AV804&gt;=判定条件!$C$9,"利用可",IF(AND(AE804="停止",M804="停止"),"両方停止","運転がそろわない")))</f>
        <v>利用可</v>
      </c>
      <c r="AX804" s="30" t="str">
        <f aca="false">IF(AND(AH804="利用可",AK804="利用可",AN804="利用可"),"利用可","不可")</f>
        <v>不可</v>
      </c>
      <c r="AY804" s="30" t="str">
        <f aca="false">IF(AND(AQ804="利用可",AT804="利用可",AW804="利用可"),"利用可","不可")</f>
        <v>不可</v>
      </c>
    </row>
    <row r="805" customFormat="false" ht="15" hidden="false" customHeight="false" outlineLevel="0" collapsed="false">
      <c r="A805" s="29" t="n">
        <v>46265</v>
      </c>
      <c r="B805" s="30" t="n">
        <v>10</v>
      </c>
      <c r="C805" s="31" t="s">
        <v>66</v>
      </c>
      <c r="D805" s="31" t="s">
        <v>59</v>
      </c>
      <c r="E805" s="30" t="n">
        <v>60</v>
      </c>
      <c r="F805" s="30" t="n">
        <v>45</v>
      </c>
      <c r="G805" s="30" t="str">
        <f aca="false">IF(E805&lt;判定条件!$C$6,"判定不能",IF(F805&gt;=判定条件!$C$7*E805,"運転",IF(F805&lt;=判定条件!$C$8*E805,"停止","断続")))</f>
        <v>断続</v>
      </c>
      <c r="H805" s="30" t="n">
        <v>0</v>
      </c>
      <c r="I805" s="30" t="n">
        <v>0</v>
      </c>
      <c r="J805" s="30" t="str">
        <f aca="false">IF(H805&lt;判定条件!$C$6,"判定不能",IF(I805&gt;=判定条件!$C$7*H805,"運転",IF(I805&lt;=判定条件!$C$8*H805,"停止","断続")))</f>
        <v>判定不能</v>
      </c>
      <c r="K805" s="30" t="n">
        <v>60</v>
      </c>
      <c r="L805" s="30" t="n">
        <v>60</v>
      </c>
      <c r="M805" s="30" t="str">
        <f aca="false">IF(K805&lt;判定条件!$C$6,"判定不能",IF(L805&gt;=判定条件!$C$7*K805,"運転",IF(L805&lt;=判定条件!$C$8*K805,"停止","断続")))</f>
        <v>運転</v>
      </c>
      <c r="N805" s="30" t="n">
        <v>60</v>
      </c>
      <c r="O805" s="30" t="n">
        <v>54</v>
      </c>
      <c r="P805" s="30" t="str">
        <f aca="false">IF(N805&lt;判定条件!$C$6,"判定不能",IF(O805&gt;=判定条件!$C$7*N805,"運転",IF(O805&lt;=判定条件!$C$8*N805,"停止","断続")))</f>
        <v>運転</v>
      </c>
      <c r="Q805" s="30" t="n">
        <v>60</v>
      </c>
      <c r="R805" s="30" t="n">
        <v>60</v>
      </c>
      <c r="S805" s="30" t="str">
        <f aca="false">IF(Q805&lt;判定条件!$C$6,"判定不能",IF(R805&gt;=判定条件!$C$7*Q805,"運転",IF(R805&lt;=判定条件!$C$8*Q805,"停止","断続")))</f>
        <v>運転</v>
      </c>
      <c r="T805" s="30" t="n">
        <v>60</v>
      </c>
      <c r="U805" s="30" t="n">
        <v>60</v>
      </c>
      <c r="V805" s="30" t="str">
        <f aca="false">IF(T805&lt;判定条件!$C$6,"判定不能",IF(U805&gt;=判定条件!$C$7*T805,"運転",IF(U805&lt;=判定条件!$C$8*T805,"停止","断続")))</f>
        <v>運転</v>
      </c>
      <c r="W805" s="30" t="n">
        <v>60</v>
      </c>
      <c r="X805" s="30" t="n">
        <v>46</v>
      </c>
      <c r="Y805" s="30" t="str">
        <f aca="false">IF(W805&lt;判定条件!$C$6,"判定不能",IF(X805&gt;=判定条件!$C$7*W805,"運転",IF(X805&lt;=判定条件!$C$8*W805,"停止","断続")))</f>
        <v>断続</v>
      </c>
      <c r="Z805" s="30" t="n">
        <v>60</v>
      </c>
      <c r="AA805" s="30" t="n">
        <v>60</v>
      </c>
      <c r="AB805" s="30" t="str">
        <f aca="false">IF(Z805&lt;判定条件!$C$6,"判定不能",IF(AA805&gt;=判定条件!$C$7*Z805,"運転",IF(AA805&lt;=判定条件!$C$8*Z805,"停止","断続")))</f>
        <v>運転</v>
      </c>
      <c r="AC805" s="30" t="n">
        <v>60</v>
      </c>
      <c r="AD805" s="30" t="n">
        <v>60</v>
      </c>
      <c r="AE805" s="30" t="str">
        <f aca="false">IF(AC805&lt;判定条件!$C$6,"判定不能",IF(AD805&gt;=判定条件!$C$7*AC805,"運転",IF(AD805&lt;=判定条件!$C$8*AC805,"停止","断続")))</f>
        <v>運転</v>
      </c>
      <c r="AF805" s="30" t="n">
        <v>60</v>
      </c>
      <c r="AG805" s="30" t="n">
        <v>39</v>
      </c>
      <c r="AH805" s="30" t="str">
        <f aca="false">IF(OR(P805="判定不能",G805="判定不能"),"判定不能",IF(AG805&gt;=判定条件!$C$9,"利用可",IF(AND(P805="停止",G805="停止"),"両方停止","運転がそろわない")))</f>
        <v>利用可</v>
      </c>
      <c r="AI805" s="30" t="n">
        <v>0</v>
      </c>
      <c r="AJ805" s="30" t="n">
        <v>0</v>
      </c>
      <c r="AK805" s="30" t="str">
        <f aca="false">IF(OR(S805="判定不能",J805="判定不能"),"判定不能",IF(AJ805&gt;=判定条件!$C$9,"利用可",IF(AND(S805="停止",J805="停止"),"両方停止","運転がそろわない")))</f>
        <v>判定不能</v>
      </c>
      <c r="AL805" s="30" t="n">
        <v>60</v>
      </c>
      <c r="AM805" s="30" t="n">
        <v>60</v>
      </c>
      <c r="AN805" s="30" t="str">
        <f aca="false">IF(OR(V805="判定不能",M805="判定不能"),"判定不能",IF(AM805&gt;=判定条件!$C$9,"利用可",IF(AND(V805="停止",M805="停止"),"両方停止","運転がそろわない")))</f>
        <v>利用可</v>
      </c>
      <c r="AO805" s="30" t="n">
        <v>60</v>
      </c>
      <c r="AP805" s="30" t="n">
        <v>31</v>
      </c>
      <c r="AQ805" s="30" t="str">
        <f aca="false">IF(OR(Y805="判定不能",G805="判定不能"),"判定不能",IF(AP805&gt;=判定条件!$C$9,"利用可",IF(AND(Y805="停止",G805="停止"),"両方停止","運転がそろわない")))</f>
        <v>利用可</v>
      </c>
      <c r="AR805" s="30" t="n">
        <v>0</v>
      </c>
      <c r="AS805" s="30" t="n">
        <v>0</v>
      </c>
      <c r="AT805" s="30" t="str">
        <f aca="false">IF(OR(AB805="判定不能",J805="判定不能"),"判定不能",IF(AS805&gt;=判定条件!$C$9,"利用可",IF(AND(AB805="停止",J805="停止"),"両方停止","運転がそろわない")))</f>
        <v>判定不能</v>
      </c>
      <c r="AU805" s="30" t="n">
        <v>60</v>
      </c>
      <c r="AV805" s="30" t="n">
        <v>60</v>
      </c>
      <c r="AW805" s="30" t="str">
        <f aca="false">IF(OR(AE805="判定不能",M805="判定不能"),"判定不能",IF(AV805&gt;=判定条件!$C$9,"利用可",IF(AND(AE805="停止",M805="停止"),"両方停止","運転がそろわない")))</f>
        <v>利用可</v>
      </c>
      <c r="AX805" s="30" t="str">
        <f aca="false">IF(AND(AH805="利用可",AK805="利用可",AN805="利用可"),"利用可","不可")</f>
        <v>不可</v>
      </c>
      <c r="AY805" s="30" t="str">
        <f aca="false">IF(AND(AQ805="利用可",AT805="利用可",AW805="利用可"),"利用可","不可")</f>
        <v>不可</v>
      </c>
    </row>
    <row r="806" customFormat="false" ht="15" hidden="false" customHeight="false" outlineLevel="0" collapsed="false">
      <c r="A806" s="29" t="n">
        <v>46265</v>
      </c>
      <c r="B806" s="30" t="n">
        <v>11</v>
      </c>
      <c r="C806" s="31" t="s">
        <v>66</v>
      </c>
      <c r="D806" s="31" t="s">
        <v>59</v>
      </c>
      <c r="E806" s="30" t="n">
        <v>60</v>
      </c>
      <c r="F806" s="30" t="n">
        <v>60</v>
      </c>
      <c r="G806" s="30" t="str">
        <f aca="false">IF(E806&lt;判定条件!$C$6,"判定不能",IF(F806&gt;=判定条件!$C$7*E806,"運転",IF(F806&lt;=判定条件!$C$8*E806,"停止","断続")))</f>
        <v>運転</v>
      </c>
      <c r="H806" s="30" t="n">
        <v>0</v>
      </c>
      <c r="I806" s="30" t="n">
        <v>0</v>
      </c>
      <c r="J806" s="30" t="str">
        <f aca="false">IF(H806&lt;判定条件!$C$6,"判定不能",IF(I806&gt;=判定条件!$C$7*H806,"運転",IF(I806&lt;=判定条件!$C$8*H806,"停止","断続")))</f>
        <v>判定不能</v>
      </c>
      <c r="K806" s="30" t="n">
        <v>60</v>
      </c>
      <c r="L806" s="30" t="n">
        <v>60</v>
      </c>
      <c r="M806" s="30" t="str">
        <f aca="false">IF(K806&lt;判定条件!$C$6,"判定不能",IF(L806&gt;=判定条件!$C$7*K806,"運転",IF(L806&lt;=判定条件!$C$8*K806,"停止","断続")))</f>
        <v>運転</v>
      </c>
      <c r="N806" s="30" t="n">
        <v>60</v>
      </c>
      <c r="O806" s="30" t="n">
        <v>41</v>
      </c>
      <c r="P806" s="30" t="str">
        <f aca="false">IF(N806&lt;判定条件!$C$6,"判定不能",IF(O806&gt;=判定条件!$C$7*N806,"運転",IF(O806&lt;=判定条件!$C$8*N806,"停止","断続")))</f>
        <v>断続</v>
      </c>
      <c r="Q806" s="30" t="n">
        <v>60</v>
      </c>
      <c r="R806" s="30" t="n">
        <v>60</v>
      </c>
      <c r="S806" s="30" t="str">
        <f aca="false">IF(Q806&lt;判定条件!$C$6,"判定不能",IF(R806&gt;=判定条件!$C$7*Q806,"運転",IF(R806&lt;=判定条件!$C$8*Q806,"停止","断続")))</f>
        <v>運転</v>
      </c>
      <c r="T806" s="30" t="n">
        <v>60</v>
      </c>
      <c r="U806" s="30" t="n">
        <v>60</v>
      </c>
      <c r="V806" s="30" t="str">
        <f aca="false">IF(T806&lt;判定条件!$C$6,"判定不能",IF(U806&gt;=判定条件!$C$7*T806,"運転",IF(U806&lt;=判定条件!$C$8*T806,"停止","断続")))</f>
        <v>運転</v>
      </c>
      <c r="W806" s="30" t="n">
        <v>60</v>
      </c>
      <c r="X806" s="30" t="n">
        <v>36</v>
      </c>
      <c r="Y806" s="30" t="str">
        <f aca="false">IF(W806&lt;判定条件!$C$6,"判定不能",IF(X806&gt;=判定条件!$C$7*W806,"運転",IF(X806&lt;=判定条件!$C$8*W806,"停止","断続")))</f>
        <v>断続</v>
      </c>
      <c r="Z806" s="30" t="n">
        <v>60</v>
      </c>
      <c r="AA806" s="30" t="n">
        <v>60</v>
      </c>
      <c r="AB806" s="30" t="str">
        <f aca="false">IF(Z806&lt;判定条件!$C$6,"判定不能",IF(AA806&gt;=判定条件!$C$7*Z806,"運転",IF(AA806&lt;=判定条件!$C$8*Z806,"停止","断続")))</f>
        <v>運転</v>
      </c>
      <c r="AC806" s="30" t="n">
        <v>60</v>
      </c>
      <c r="AD806" s="30" t="n">
        <v>60</v>
      </c>
      <c r="AE806" s="30" t="str">
        <f aca="false">IF(AC806&lt;判定条件!$C$6,"判定不能",IF(AD806&gt;=判定条件!$C$7*AC806,"運転",IF(AD806&lt;=判定条件!$C$8*AC806,"停止","断続")))</f>
        <v>運転</v>
      </c>
      <c r="AF806" s="30" t="n">
        <v>60</v>
      </c>
      <c r="AG806" s="30" t="n">
        <v>41</v>
      </c>
      <c r="AH806" s="30" t="str">
        <f aca="false">IF(OR(P806="判定不能",G806="判定不能"),"判定不能",IF(AG806&gt;=判定条件!$C$9,"利用可",IF(AND(P806="停止",G806="停止"),"両方停止","運転がそろわない")))</f>
        <v>利用可</v>
      </c>
      <c r="AI806" s="30" t="n">
        <v>0</v>
      </c>
      <c r="AJ806" s="30" t="n">
        <v>0</v>
      </c>
      <c r="AK806" s="30" t="str">
        <f aca="false">IF(OR(S806="判定不能",J806="判定不能"),"判定不能",IF(AJ806&gt;=判定条件!$C$9,"利用可",IF(AND(S806="停止",J806="停止"),"両方停止","運転がそろわない")))</f>
        <v>判定不能</v>
      </c>
      <c r="AL806" s="30" t="n">
        <v>60</v>
      </c>
      <c r="AM806" s="30" t="n">
        <v>60</v>
      </c>
      <c r="AN806" s="30" t="str">
        <f aca="false">IF(OR(V806="判定不能",M806="判定不能"),"判定不能",IF(AM806&gt;=判定条件!$C$9,"利用可",IF(AND(V806="停止",M806="停止"),"両方停止","運転がそろわない")))</f>
        <v>利用可</v>
      </c>
      <c r="AO806" s="30" t="n">
        <v>60</v>
      </c>
      <c r="AP806" s="30" t="n">
        <v>36</v>
      </c>
      <c r="AQ806" s="30" t="str">
        <f aca="false">IF(OR(Y806="判定不能",G806="判定不能"),"判定不能",IF(AP806&gt;=判定条件!$C$9,"利用可",IF(AND(Y806="停止",G806="停止"),"両方停止","運転がそろわない")))</f>
        <v>利用可</v>
      </c>
      <c r="AR806" s="30" t="n">
        <v>0</v>
      </c>
      <c r="AS806" s="30" t="n">
        <v>0</v>
      </c>
      <c r="AT806" s="30" t="str">
        <f aca="false">IF(OR(AB806="判定不能",J806="判定不能"),"判定不能",IF(AS806&gt;=判定条件!$C$9,"利用可",IF(AND(AB806="停止",J806="停止"),"両方停止","運転がそろわない")))</f>
        <v>判定不能</v>
      </c>
      <c r="AU806" s="30" t="n">
        <v>60</v>
      </c>
      <c r="AV806" s="30" t="n">
        <v>60</v>
      </c>
      <c r="AW806" s="30" t="str">
        <f aca="false">IF(OR(AE806="判定不能",M806="判定不能"),"判定不能",IF(AV806&gt;=判定条件!$C$9,"利用可",IF(AND(AE806="停止",M806="停止"),"両方停止","運転がそろわない")))</f>
        <v>利用可</v>
      </c>
      <c r="AX806" s="30" t="str">
        <f aca="false">IF(AND(AH806="利用可",AK806="利用可",AN806="利用可"),"利用可","不可")</f>
        <v>不可</v>
      </c>
      <c r="AY806" s="30" t="str">
        <f aca="false">IF(AND(AQ806="利用可",AT806="利用可",AW806="利用可"),"利用可","不可")</f>
        <v>不可</v>
      </c>
    </row>
    <row r="807" customFormat="false" ht="15" hidden="false" customHeight="false" outlineLevel="0" collapsed="false">
      <c r="A807" s="29" t="n">
        <v>46265</v>
      </c>
      <c r="B807" s="30" t="n">
        <v>12</v>
      </c>
      <c r="C807" s="31" t="s">
        <v>66</v>
      </c>
      <c r="D807" s="31" t="s">
        <v>59</v>
      </c>
      <c r="E807" s="30" t="n">
        <v>60</v>
      </c>
      <c r="F807" s="30" t="n">
        <v>60</v>
      </c>
      <c r="G807" s="30" t="str">
        <f aca="false">IF(E807&lt;判定条件!$C$6,"判定不能",IF(F807&gt;=判定条件!$C$7*E807,"運転",IF(F807&lt;=判定条件!$C$8*E807,"停止","断続")))</f>
        <v>運転</v>
      </c>
      <c r="H807" s="30" t="n">
        <v>0</v>
      </c>
      <c r="I807" s="30" t="n">
        <v>0</v>
      </c>
      <c r="J807" s="30" t="str">
        <f aca="false">IF(H807&lt;判定条件!$C$6,"判定不能",IF(I807&gt;=判定条件!$C$7*H807,"運転",IF(I807&lt;=判定条件!$C$8*H807,"停止","断続")))</f>
        <v>判定不能</v>
      </c>
      <c r="K807" s="30" t="n">
        <v>60</v>
      </c>
      <c r="L807" s="30" t="n">
        <v>60</v>
      </c>
      <c r="M807" s="30" t="str">
        <f aca="false">IF(K807&lt;判定条件!$C$6,"判定不能",IF(L807&gt;=判定条件!$C$7*K807,"運転",IF(L807&lt;=判定条件!$C$8*K807,"停止","断続")))</f>
        <v>運転</v>
      </c>
      <c r="N807" s="30" t="n">
        <v>60</v>
      </c>
      <c r="O807" s="30" t="n">
        <v>60</v>
      </c>
      <c r="P807" s="30" t="str">
        <f aca="false">IF(N807&lt;判定条件!$C$6,"判定不能",IF(O807&gt;=判定条件!$C$7*N807,"運転",IF(O807&lt;=判定条件!$C$8*N807,"停止","断続")))</f>
        <v>運転</v>
      </c>
      <c r="Q807" s="30" t="n">
        <v>60</v>
      </c>
      <c r="R807" s="30" t="n">
        <v>60</v>
      </c>
      <c r="S807" s="30" t="str">
        <f aca="false">IF(Q807&lt;判定条件!$C$6,"判定不能",IF(R807&gt;=判定条件!$C$7*Q807,"運転",IF(R807&lt;=判定条件!$C$8*Q807,"停止","断続")))</f>
        <v>運転</v>
      </c>
      <c r="T807" s="30" t="n">
        <v>60</v>
      </c>
      <c r="U807" s="30" t="n">
        <v>60</v>
      </c>
      <c r="V807" s="30" t="str">
        <f aca="false">IF(T807&lt;判定条件!$C$6,"判定不能",IF(U807&gt;=判定条件!$C$7*T807,"運転",IF(U807&lt;=判定条件!$C$8*T807,"停止","断続")))</f>
        <v>運転</v>
      </c>
      <c r="W807" s="30" t="n">
        <v>60</v>
      </c>
      <c r="X807" s="30" t="n">
        <v>60</v>
      </c>
      <c r="Y807" s="30" t="str">
        <f aca="false">IF(W807&lt;判定条件!$C$6,"判定不能",IF(X807&gt;=判定条件!$C$7*W807,"運転",IF(X807&lt;=判定条件!$C$8*W807,"停止","断続")))</f>
        <v>運転</v>
      </c>
      <c r="Z807" s="30" t="n">
        <v>60</v>
      </c>
      <c r="AA807" s="30" t="n">
        <v>60</v>
      </c>
      <c r="AB807" s="30" t="str">
        <f aca="false">IF(Z807&lt;判定条件!$C$6,"判定不能",IF(AA807&gt;=判定条件!$C$7*Z807,"運転",IF(AA807&lt;=判定条件!$C$8*Z807,"停止","断続")))</f>
        <v>運転</v>
      </c>
      <c r="AC807" s="30" t="n">
        <v>60</v>
      </c>
      <c r="AD807" s="30" t="n">
        <v>59</v>
      </c>
      <c r="AE807" s="30" t="str">
        <f aca="false">IF(AC807&lt;判定条件!$C$6,"判定不能",IF(AD807&gt;=判定条件!$C$7*AC807,"運転",IF(AD807&lt;=判定条件!$C$8*AC807,"停止","断続")))</f>
        <v>運転</v>
      </c>
      <c r="AF807" s="30" t="n">
        <v>60</v>
      </c>
      <c r="AG807" s="30" t="n">
        <v>60</v>
      </c>
      <c r="AH807" s="30" t="str">
        <f aca="false">IF(OR(P807="判定不能",G807="判定不能"),"判定不能",IF(AG807&gt;=判定条件!$C$9,"利用可",IF(AND(P807="停止",G807="停止"),"両方停止","運転がそろわない")))</f>
        <v>利用可</v>
      </c>
      <c r="AI807" s="30" t="n">
        <v>0</v>
      </c>
      <c r="AJ807" s="30" t="n">
        <v>0</v>
      </c>
      <c r="AK807" s="30" t="str">
        <f aca="false">IF(OR(S807="判定不能",J807="判定不能"),"判定不能",IF(AJ807&gt;=判定条件!$C$9,"利用可",IF(AND(S807="停止",J807="停止"),"両方停止","運転がそろわない")))</f>
        <v>判定不能</v>
      </c>
      <c r="AL807" s="30" t="n">
        <v>60</v>
      </c>
      <c r="AM807" s="30" t="n">
        <v>60</v>
      </c>
      <c r="AN807" s="30" t="str">
        <f aca="false">IF(OR(V807="判定不能",M807="判定不能"),"判定不能",IF(AM807&gt;=判定条件!$C$9,"利用可",IF(AND(V807="停止",M807="停止"),"両方停止","運転がそろわない")))</f>
        <v>利用可</v>
      </c>
      <c r="AO807" s="30" t="n">
        <v>60</v>
      </c>
      <c r="AP807" s="30" t="n">
        <v>60</v>
      </c>
      <c r="AQ807" s="30" t="str">
        <f aca="false">IF(OR(Y807="判定不能",G807="判定不能"),"判定不能",IF(AP807&gt;=判定条件!$C$9,"利用可",IF(AND(Y807="停止",G807="停止"),"両方停止","運転がそろわない")))</f>
        <v>利用可</v>
      </c>
      <c r="AR807" s="30" t="n">
        <v>0</v>
      </c>
      <c r="AS807" s="30" t="n">
        <v>0</v>
      </c>
      <c r="AT807" s="30" t="str">
        <f aca="false">IF(OR(AB807="判定不能",J807="判定不能"),"判定不能",IF(AS807&gt;=判定条件!$C$9,"利用可",IF(AND(AB807="停止",J807="停止"),"両方停止","運転がそろわない")))</f>
        <v>判定不能</v>
      </c>
      <c r="AU807" s="30" t="n">
        <v>60</v>
      </c>
      <c r="AV807" s="30" t="n">
        <v>59</v>
      </c>
      <c r="AW807" s="30" t="str">
        <f aca="false">IF(OR(AE807="判定不能",M807="判定不能"),"判定不能",IF(AV807&gt;=判定条件!$C$9,"利用可",IF(AND(AE807="停止",M807="停止"),"両方停止","運転がそろわない")))</f>
        <v>利用可</v>
      </c>
      <c r="AX807" s="30" t="str">
        <f aca="false">IF(AND(AH807="利用可",AK807="利用可",AN807="利用可"),"利用可","不可")</f>
        <v>不可</v>
      </c>
      <c r="AY807" s="30" t="str">
        <f aca="false">IF(AND(AQ807="利用可",AT807="利用可",AW807="利用可"),"利用可","不可")</f>
        <v>不可</v>
      </c>
    </row>
    <row r="808" customFormat="false" ht="15" hidden="false" customHeight="false" outlineLevel="0" collapsed="false">
      <c r="A808" s="29" t="n">
        <v>46265</v>
      </c>
      <c r="B808" s="30" t="n">
        <v>13</v>
      </c>
      <c r="C808" s="31" t="s">
        <v>66</v>
      </c>
      <c r="D808" s="31" t="s">
        <v>59</v>
      </c>
      <c r="E808" s="30" t="n">
        <v>60</v>
      </c>
      <c r="F808" s="30" t="n">
        <v>60</v>
      </c>
      <c r="G808" s="30" t="str">
        <f aca="false">IF(E808&lt;判定条件!$C$6,"判定不能",IF(F808&gt;=判定条件!$C$7*E808,"運転",IF(F808&lt;=判定条件!$C$8*E808,"停止","断続")))</f>
        <v>運転</v>
      </c>
      <c r="H808" s="30" t="n">
        <v>0</v>
      </c>
      <c r="I808" s="30" t="n">
        <v>0</v>
      </c>
      <c r="J808" s="30" t="str">
        <f aca="false">IF(H808&lt;判定条件!$C$6,"判定不能",IF(I808&gt;=判定条件!$C$7*H808,"運転",IF(I808&lt;=判定条件!$C$8*H808,"停止","断続")))</f>
        <v>判定不能</v>
      </c>
      <c r="K808" s="30" t="n">
        <v>60</v>
      </c>
      <c r="L808" s="30" t="n">
        <v>60</v>
      </c>
      <c r="M808" s="30" t="str">
        <f aca="false">IF(K808&lt;判定条件!$C$6,"判定不能",IF(L808&gt;=判定条件!$C$7*K808,"運転",IF(L808&lt;=判定条件!$C$8*K808,"停止","断続")))</f>
        <v>運転</v>
      </c>
      <c r="N808" s="30" t="n">
        <v>60</v>
      </c>
      <c r="O808" s="30" t="n">
        <v>60</v>
      </c>
      <c r="P808" s="30" t="str">
        <f aca="false">IF(N808&lt;判定条件!$C$6,"判定不能",IF(O808&gt;=判定条件!$C$7*N808,"運転",IF(O808&lt;=判定条件!$C$8*N808,"停止","断続")))</f>
        <v>運転</v>
      </c>
      <c r="Q808" s="30" t="n">
        <v>60</v>
      </c>
      <c r="R808" s="30" t="n">
        <v>60</v>
      </c>
      <c r="S808" s="30" t="str">
        <f aca="false">IF(Q808&lt;判定条件!$C$6,"判定不能",IF(R808&gt;=判定条件!$C$7*Q808,"運転",IF(R808&lt;=判定条件!$C$8*Q808,"停止","断続")))</f>
        <v>運転</v>
      </c>
      <c r="T808" s="30" t="n">
        <v>60</v>
      </c>
      <c r="U808" s="30" t="n">
        <v>50</v>
      </c>
      <c r="V808" s="30" t="str">
        <f aca="false">IF(T808&lt;判定条件!$C$6,"判定不能",IF(U808&gt;=判定条件!$C$7*T808,"運転",IF(U808&lt;=判定条件!$C$8*T808,"停止","断続")))</f>
        <v>運転</v>
      </c>
      <c r="W808" s="30" t="n">
        <v>60</v>
      </c>
      <c r="X808" s="30" t="n">
        <v>60</v>
      </c>
      <c r="Y808" s="30" t="str">
        <f aca="false">IF(W808&lt;判定条件!$C$6,"判定不能",IF(X808&gt;=判定条件!$C$7*W808,"運転",IF(X808&lt;=判定条件!$C$8*W808,"停止","断続")))</f>
        <v>運転</v>
      </c>
      <c r="Z808" s="30" t="n">
        <v>60</v>
      </c>
      <c r="AA808" s="30" t="n">
        <v>60</v>
      </c>
      <c r="AB808" s="30" t="str">
        <f aca="false">IF(Z808&lt;判定条件!$C$6,"判定不能",IF(AA808&gt;=判定条件!$C$7*Z808,"運転",IF(AA808&lt;=判定条件!$C$8*Z808,"停止","断続")))</f>
        <v>運転</v>
      </c>
      <c r="AC808" s="30" t="n">
        <v>60</v>
      </c>
      <c r="AD808" s="30" t="n">
        <v>40</v>
      </c>
      <c r="AE808" s="30" t="str">
        <f aca="false">IF(AC808&lt;判定条件!$C$6,"判定不能",IF(AD808&gt;=判定条件!$C$7*AC808,"運転",IF(AD808&lt;=判定条件!$C$8*AC808,"停止","断続")))</f>
        <v>断続</v>
      </c>
      <c r="AF808" s="30" t="n">
        <v>60</v>
      </c>
      <c r="AG808" s="30" t="n">
        <v>60</v>
      </c>
      <c r="AH808" s="30" t="str">
        <f aca="false">IF(OR(P808="判定不能",G808="判定不能"),"判定不能",IF(AG808&gt;=判定条件!$C$9,"利用可",IF(AND(P808="停止",G808="停止"),"両方停止","運転がそろわない")))</f>
        <v>利用可</v>
      </c>
      <c r="AI808" s="30" t="n">
        <v>0</v>
      </c>
      <c r="AJ808" s="30" t="n">
        <v>0</v>
      </c>
      <c r="AK808" s="30" t="str">
        <f aca="false">IF(OR(S808="判定不能",J808="判定不能"),"判定不能",IF(AJ808&gt;=判定条件!$C$9,"利用可",IF(AND(S808="停止",J808="停止"),"両方停止","運転がそろわない")))</f>
        <v>判定不能</v>
      </c>
      <c r="AL808" s="30" t="n">
        <v>60</v>
      </c>
      <c r="AM808" s="30" t="n">
        <v>50</v>
      </c>
      <c r="AN808" s="30" t="str">
        <f aca="false">IF(OR(V808="判定不能",M808="判定不能"),"判定不能",IF(AM808&gt;=判定条件!$C$9,"利用可",IF(AND(V808="停止",M808="停止"),"両方停止","運転がそろわない")))</f>
        <v>利用可</v>
      </c>
      <c r="AO808" s="30" t="n">
        <v>60</v>
      </c>
      <c r="AP808" s="30" t="n">
        <v>60</v>
      </c>
      <c r="AQ808" s="30" t="str">
        <f aca="false">IF(OR(Y808="判定不能",G808="判定不能"),"判定不能",IF(AP808&gt;=判定条件!$C$9,"利用可",IF(AND(Y808="停止",G808="停止"),"両方停止","運転がそろわない")))</f>
        <v>利用可</v>
      </c>
      <c r="AR808" s="30" t="n">
        <v>0</v>
      </c>
      <c r="AS808" s="30" t="n">
        <v>0</v>
      </c>
      <c r="AT808" s="30" t="str">
        <f aca="false">IF(OR(AB808="判定不能",J808="判定不能"),"判定不能",IF(AS808&gt;=判定条件!$C$9,"利用可",IF(AND(AB808="停止",J808="停止"),"両方停止","運転がそろわない")))</f>
        <v>判定不能</v>
      </c>
      <c r="AU808" s="30" t="n">
        <v>60</v>
      </c>
      <c r="AV808" s="30" t="n">
        <v>40</v>
      </c>
      <c r="AW808" s="30" t="str">
        <f aca="false">IF(OR(AE808="判定不能",M808="判定不能"),"判定不能",IF(AV808&gt;=判定条件!$C$9,"利用可",IF(AND(AE808="停止",M808="停止"),"両方停止","運転がそろわない")))</f>
        <v>利用可</v>
      </c>
      <c r="AX808" s="30" t="str">
        <f aca="false">IF(AND(AH808="利用可",AK808="利用可",AN808="利用可"),"利用可","不可")</f>
        <v>不可</v>
      </c>
      <c r="AY808" s="30" t="str">
        <f aca="false">IF(AND(AQ808="利用可",AT808="利用可",AW808="利用可"),"利用可","不可")</f>
        <v>不可</v>
      </c>
    </row>
    <row r="809" customFormat="false" ht="15" hidden="false" customHeight="false" outlineLevel="0" collapsed="false">
      <c r="A809" s="29" t="n">
        <v>46265</v>
      </c>
      <c r="B809" s="30" t="n">
        <v>14</v>
      </c>
      <c r="C809" s="31" t="s">
        <v>66</v>
      </c>
      <c r="D809" s="31" t="s">
        <v>59</v>
      </c>
      <c r="E809" s="30" t="n">
        <v>60</v>
      </c>
      <c r="F809" s="30" t="n">
        <v>60</v>
      </c>
      <c r="G809" s="30" t="str">
        <f aca="false">IF(E809&lt;判定条件!$C$6,"判定不能",IF(F809&gt;=判定条件!$C$7*E809,"運転",IF(F809&lt;=判定条件!$C$8*E809,"停止","断続")))</f>
        <v>運転</v>
      </c>
      <c r="H809" s="30" t="n">
        <v>0</v>
      </c>
      <c r="I809" s="30" t="n">
        <v>0</v>
      </c>
      <c r="J809" s="30" t="str">
        <f aca="false">IF(H809&lt;判定条件!$C$6,"判定不能",IF(I809&gt;=判定条件!$C$7*H809,"運転",IF(I809&lt;=判定条件!$C$8*H809,"停止","断続")))</f>
        <v>判定不能</v>
      </c>
      <c r="K809" s="30" t="n">
        <v>60</v>
      </c>
      <c r="L809" s="30" t="n">
        <v>60</v>
      </c>
      <c r="M809" s="30" t="str">
        <f aca="false">IF(K809&lt;判定条件!$C$6,"判定不能",IF(L809&gt;=判定条件!$C$7*K809,"運転",IF(L809&lt;=判定条件!$C$8*K809,"停止","断続")))</f>
        <v>運転</v>
      </c>
      <c r="N809" s="30" t="n">
        <v>60</v>
      </c>
      <c r="O809" s="30" t="n">
        <v>36</v>
      </c>
      <c r="P809" s="30" t="str">
        <f aca="false">IF(N809&lt;判定条件!$C$6,"判定不能",IF(O809&gt;=判定条件!$C$7*N809,"運転",IF(O809&lt;=判定条件!$C$8*N809,"停止","断続")))</f>
        <v>断続</v>
      </c>
      <c r="Q809" s="30" t="n">
        <v>60</v>
      </c>
      <c r="R809" s="30" t="n">
        <v>54</v>
      </c>
      <c r="S809" s="30" t="str">
        <f aca="false">IF(Q809&lt;判定条件!$C$6,"判定不能",IF(R809&gt;=判定条件!$C$7*Q809,"運転",IF(R809&lt;=判定条件!$C$8*Q809,"停止","断続")))</f>
        <v>運転</v>
      </c>
      <c r="T809" s="30" t="n">
        <v>60</v>
      </c>
      <c r="U809" s="30" t="n">
        <v>51</v>
      </c>
      <c r="V809" s="30" t="str">
        <f aca="false">IF(T809&lt;判定条件!$C$6,"判定不能",IF(U809&gt;=判定条件!$C$7*T809,"運転",IF(U809&lt;=判定条件!$C$8*T809,"停止","断続")))</f>
        <v>運転</v>
      </c>
      <c r="W809" s="30" t="n">
        <v>60</v>
      </c>
      <c r="X809" s="30" t="n">
        <v>41</v>
      </c>
      <c r="Y809" s="30" t="str">
        <f aca="false">IF(W809&lt;判定条件!$C$6,"判定不能",IF(X809&gt;=判定条件!$C$7*W809,"運転",IF(X809&lt;=判定条件!$C$8*W809,"停止","断続")))</f>
        <v>断続</v>
      </c>
      <c r="Z809" s="30" t="n">
        <v>60</v>
      </c>
      <c r="AA809" s="30" t="n">
        <v>60</v>
      </c>
      <c r="AB809" s="30" t="str">
        <f aca="false">IF(Z809&lt;判定条件!$C$6,"判定不能",IF(AA809&gt;=判定条件!$C$7*Z809,"運転",IF(AA809&lt;=判定条件!$C$8*Z809,"停止","断続")))</f>
        <v>運転</v>
      </c>
      <c r="AC809" s="30" t="n">
        <v>60</v>
      </c>
      <c r="AD809" s="30" t="n">
        <v>48</v>
      </c>
      <c r="AE809" s="30" t="str">
        <f aca="false">IF(AC809&lt;判定条件!$C$6,"判定不能",IF(AD809&gt;=判定条件!$C$7*AC809,"運転",IF(AD809&lt;=判定条件!$C$8*AC809,"停止","断続")))</f>
        <v>運転</v>
      </c>
      <c r="AF809" s="30" t="n">
        <v>60</v>
      </c>
      <c r="AG809" s="30" t="n">
        <v>36</v>
      </c>
      <c r="AH809" s="30" t="str">
        <f aca="false">IF(OR(P809="判定不能",G809="判定不能"),"判定不能",IF(AG809&gt;=判定条件!$C$9,"利用可",IF(AND(P809="停止",G809="停止"),"両方停止","運転がそろわない")))</f>
        <v>利用可</v>
      </c>
      <c r="AI809" s="30" t="n">
        <v>0</v>
      </c>
      <c r="AJ809" s="30" t="n">
        <v>0</v>
      </c>
      <c r="AK809" s="30" t="str">
        <f aca="false">IF(OR(S809="判定不能",J809="判定不能"),"判定不能",IF(AJ809&gt;=判定条件!$C$9,"利用可",IF(AND(S809="停止",J809="停止"),"両方停止","運転がそろわない")))</f>
        <v>判定不能</v>
      </c>
      <c r="AL809" s="30" t="n">
        <v>60</v>
      </c>
      <c r="AM809" s="30" t="n">
        <v>51</v>
      </c>
      <c r="AN809" s="30" t="str">
        <f aca="false">IF(OR(V809="判定不能",M809="判定不能"),"判定不能",IF(AM809&gt;=判定条件!$C$9,"利用可",IF(AND(V809="停止",M809="停止"),"両方停止","運転がそろわない")))</f>
        <v>利用可</v>
      </c>
      <c r="AO809" s="30" t="n">
        <v>60</v>
      </c>
      <c r="AP809" s="30" t="n">
        <v>41</v>
      </c>
      <c r="AQ809" s="30" t="str">
        <f aca="false">IF(OR(Y809="判定不能",G809="判定不能"),"判定不能",IF(AP809&gt;=判定条件!$C$9,"利用可",IF(AND(Y809="停止",G809="停止"),"両方停止","運転がそろわない")))</f>
        <v>利用可</v>
      </c>
      <c r="AR809" s="30" t="n">
        <v>0</v>
      </c>
      <c r="AS809" s="30" t="n">
        <v>0</v>
      </c>
      <c r="AT809" s="30" t="str">
        <f aca="false">IF(OR(AB809="判定不能",J809="判定不能"),"判定不能",IF(AS809&gt;=判定条件!$C$9,"利用可",IF(AND(AB809="停止",J809="停止"),"両方停止","運転がそろわない")))</f>
        <v>判定不能</v>
      </c>
      <c r="AU809" s="30" t="n">
        <v>60</v>
      </c>
      <c r="AV809" s="30" t="n">
        <v>48</v>
      </c>
      <c r="AW809" s="30" t="str">
        <f aca="false">IF(OR(AE809="判定不能",M809="判定不能"),"判定不能",IF(AV809&gt;=判定条件!$C$9,"利用可",IF(AND(AE809="停止",M809="停止"),"両方停止","運転がそろわない")))</f>
        <v>利用可</v>
      </c>
      <c r="AX809" s="30" t="str">
        <f aca="false">IF(AND(AH809="利用可",AK809="利用可",AN809="利用可"),"利用可","不可")</f>
        <v>不可</v>
      </c>
      <c r="AY809" s="30" t="str">
        <f aca="false">IF(AND(AQ809="利用可",AT809="利用可",AW809="利用可"),"利用可","不可")</f>
        <v>不可</v>
      </c>
    </row>
    <row r="810" customFormat="false" ht="15" hidden="false" customHeight="false" outlineLevel="0" collapsed="false">
      <c r="A810" s="29" t="n">
        <v>46265</v>
      </c>
      <c r="B810" s="30" t="n">
        <v>15</v>
      </c>
      <c r="C810" s="31" t="s">
        <v>66</v>
      </c>
      <c r="D810" s="31" t="s">
        <v>59</v>
      </c>
      <c r="E810" s="30" t="n">
        <v>60</v>
      </c>
      <c r="F810" s="30" t="n">
        <v>60</v>
      </c>
      <c r="G810" s="30" t="str">
        <f aca="false">IF(E810&lt;判定条件!$C$6,"判定不能",IF(F810&gt;=判定条件!$C$7*E810,"運転",IF(F810&lt;=判定条件!$C$8*E810,"停止","断続")))</f>
        <v>運転</v>
      </c>
      <c r="H810" s="30" t="n">
        <v>0</v>
      </c>
      <c r="I810" s="30" t="n">
        <v>0</v>
      </c>
      <c r="J810" s="30" t="str">
        <f aca="false">IF(H810&lt;判定条件!$C$6,"判定不能",IF(I810&gt;=判定条件!$C$7*H810,"運転",IF(I810&lt;=判定条件!$C$8*H810,"停止","断続")))</f>
        <v>判定不能</v>
      </c>
      <c r="K810" s="30" t="n">
        <v>60</v>
      </c>
      <c r="L810" s="30" t="n">
        <v>60</v>
      </c>
      <c r="M810" s="30" t="str">
        <f aca="false">IF(K810&lt;判定条件!$C$6,"判定不能",IF(L810&gt;=判定条件!$C$7*K810,"運転",IF(L810&lt;=判定条件!$C$8*K810,"停止","断続")))</f>
        <v>運転</v>
      </c>
      <c r="N810" s="30" t="n">
        <v>60</v>
      </c>
      <c r="O810" s="30" t="n">
        <v>60</v>
      </c>
      <c r="P810" s="30" t="str">
        <f aca="false">IF(N810&lt;判定条件!$C$6,"判定不能",IF(O810&gt;=判定条件!$C$7*N810,"運転",IF(O810&lt;=判定条件!$C$8*N810,"停止","断続")))</f>
        <v>運転</v>
      </c>
      <c r="Q810" s="30" t="n">
        <v>60</v>
      </c>
      <c r="R810" s="30" t="n">
        <v>60</v>
      </c>
      <c r="S810" s="30" t="str">
        <f aca="false">IF(Q810&lt;判定条件!$C$6,"判定不能",IF(R810&gt;=判定条件!$C$7*Q810,"運転",IF(R810&lt;=判定条件!$C$8*Q810,"停止","断続")))</f>
        <v>運転</v>
      </c>
      <c r="T810" s="30" t="n">
        <v>60</v>
      </c>
      <c r="U810" s="30" t="n">
        <v>42</v>
      </c>
      <c r="V810" s="30" t="str">
        <f aca="false">IF(T810&lt;判定条件!$C$6,"判定不能",IF(U810&gt;=判定条件!$C$7*T810,"運転",IF(U810&lt;=判定条件!$C$8*T810,"停止","断続")))</f>
        <v>断続</v>
      </c>
      <c r="W810" s="30" t="n">
        <v>60</v>
      </c>
      <c r="X810" s="30" t="n">
        <v>60</v>
      </c>
      <c r="Y810" s="30" t="str">
        <f aca="false">IF(W810&lt;判定条件!$C$6,"判定不能",IF(X810&gt;=判定条件!$C$7*W810,"運転",IF(X810&lt;=判定条件!$C$8*W810,"停止","断続")))</f>
        <v>運転</v>
      </c>
      <c r="Z810" s="30" t="n">
        <v>60</v>
      </c>
      <c r="AA810" s="30" t="n">
        <v>51</v>
      </c>
      <c r="AB810" s="30" t="str">
        <f aca="false">IF(Z810&lt;判定条件!$C$6,"判定不能",IF(AA810&gt;=判定条件!$C$7*Z810,"運転",IF(AA810&lt;=判定条件!$C$8*Z810,"停止","断続")))</f>
        <v>運転</v>
      </c>
      <c r="AC810" s="30" t="n">
        <v>60</v>
      </c>
      <c r="AD810" s="30" t="n">
        <v>33</v>
      </c>
      <c r="AE810" s="30" t="str">
        <f aca="false">IF(AC810&lt;判定条件!$C$6,"判定不能",IF(AD810&gt;=判定条件!$C$7*AC810,"運転",IF(AD810&lt;=判定条件!$C$8*AC810,"停止","断続")))</f>
        <v>断続</v>
      </c>
      <c r="AF810" s="30" t="n">
        <v>60</v>
      </c>
      <c r="AG810" s="30" t="n">
        <v>60</v>
      </c>
      <c r="AH810" s="30" t="str">
        <f aca="false">IF(OR(P810="判定不能",G810="判定不能"),"判定不能",IF(AG810&gt;=判定条件!$C$9,"利用可",IF(AND(P810="停止",G810="停止"),"両方停止","運転がそろわない")))</f>
        <v>利用可</v>
      </c>
      <c r="AI810" s="30" t="n">
        <v>0</v>
      </c>
      <c r="AJ810" s="30" t="n">
        <v>0</v>
      </c>
      <c r="AK810" s="30" t="str">
        <f aca="false">IF(OR(S810="判定不能",J810="判定不能"),"判定不能",IF(AJ810&gt;=判定条件!$C$9,"利用可",IF(AND(S810="停止",J810="停止"),"両方停止","運転がそろわない")))</f>
        <v>判定不能</v>
      </c>
      <c r="AL810" s="30" t="n">
        <v>60</v>
      </c>
      <c r="AM810" s="30" t="n">
        <v>42</v>
      </c>
      <c r="AN810" s="30" t="str">
        <f aca="false">IF(OR(V810="判定不能",M810="判定不能"),"判定不能",IF(AM810&gt;=判定条件!$C$9,"利用可",IF(AND(V810="停止",M810="停止"),"両方停止","運転がそろわない")))</f>
        <v>利用可</v>
      </c>
      <c r="AO810" s="30" t="n">
        <v>60</v>
      </c>
      <c r="AP810" s="30" t="n">
        <v>60</v>
      </c>
      <c r="AQ810" s="30" t="str">
        <f aca="false">IF(OR(Y810="判定不能",G810="判定不能"),"判定不能",IF(AP810&gt;=判定条件!$C$9,"利用可",IF(AND(Y810="停止",G810="停止"),"両方停止","運転がそろわない")))</f>
        <v>利用可</v>
      </c>
      <c r="AR810" s="30" t="n">
        <v>0</v>
      </c>
      <c r="AS810" s="30" t="n">
        <v>0</v>
      </c>
      <c r="AT810" s="30" t="str">
        <f aca="false">IF(OR(AB810="判定不能",J810="判定不能"),"判定不能",IF(AS810&gt;=判定条件!$C$9,"利用可",IF(AND(AB810="停止",J810="停止"),"両方停止","運転がそろわない")))</f>
        <v>判定不能</v>
      </c>
      <c r="AU810" s="30" t="n">
        <v>60</v>
      </c>
      <c r="AV810" s="30" t="n">
        <v>33</v>
      </c>
      <c r="AW810" s="30" t="str">
        <f aca="false">IF(OR(AE810="判定不能",M810="判定不能"),"判定不能",IF(AV810&gt;=判定条件!$C$9,"利用可",IF(AND(AE810="停止",M810="停止"),"両方停止","運転がそろわない")))</f>
        <v>利用可</v>
      </c>
      <c r="AX810" s="30" t="str">
        <f aca="false">IF(AND(AH810="利用可",AK810="利用可",AN810="利用可"),"利用可","不可")</f>
        <v>不可</v>
      </c>
      <c r="AY810" s="30" t="str">
        <f aca="false">IF(AND(AQ810="利用可",AT810="利用可",AW810="利用可"),"利用可","不可")</f>
        <v>不可</v>
      </c>
    </row>
    <row r="811" customFormat="false" ht="15" hidden="false" customHeight="false" outlineLevel="0" collapsed="false">
      <c r="A811" s="29" t="n">
        <v>46265</v>
      </c>
      <c r="B811" s="30" t="n">
        <v>16</v>
      </c>
      <c r="C811" s="31" t="s">
        <v>66</v>
      </c>
      <c r="D811" s="31" t="s">
        <v>59</v>
      </c>
      <c r="E811" s="30" t="n">
        <v>60</v>
      </c>
      <c r="F811" s="30" t="n">
        <v>60</v>
      </c>
      <c r="G811" s="30" t="str">
        <f aca="false">IF(E811&lt;判定条件!$C$6,"判定不能",IF(F811&gt;=判定条件!$C$7*E811,"運転",IF(F811&lt;=判定条件!$C$8*E811,"停止","断続")))</f>
        <v>運転</v>
      </c>
      <c r="H811" s="30" t="n">
        <v>0</v>
      </c>
      <c r="I811" s="30" t="n">
        <v>0</v>
      </c>
      <c r="J811" s="30" t="str">
        <f aca="false">IF(H811&lt;判定条件!$C$6,"判定不能",IF(I811&gt;=判定条件!$C$7*H811,"運転",IF(I811&lt;=判定条件!$C$8*H811,"停止","断続")))</f>
        <v>判定不能</v>
      </c>
      <c r="K811" s="30" t="n">
        <v>60</v>
      </c>
      <c r="L811" s="30" t="n">
        <v>60</v>
      </c>
      <c r="M811" s="30" t="str">
        <f aca="false">IF(K811&lt;判定条件!$C$6,"判定不能",IF(L811&gt;=判定条件!$C$7*K811,"運転",IF(L811&lt;=判定条件!$C$8*K811,"停止","断続")))</f>
        <v>運転</v>
      </c>
      <c r="N811" s="30" t="n">
        <v>60</v>
      </c>
      <c r="O811" s="30" t="n">
        <v>40</v>
      </c>
      <c r="P811" s="30" t="str">
        <f aca="false">IF(N811&lt;判定条件!$C$6,"判定不能",IF(O811&gt;=判定条件!$C$7*N811,"運転",IF(O811&lt;=判定条件!$C$8*N811,"停止","断続")))</f>
        <v>断続</v>
      </c>
      <c r="Q811" s="30" t="n">
        <v>60</v>
      </c>
      <c r="R811" s="30" t="n">
        <v>60</v>
      </c>
      <c r="S811" s="30" t="str">
        <f aca="false">IF(Q811&lt;判定条件!$C$6,"判定不能",IF(R811&gt;=判定条件!$C$7*Q811,"運転",IF(R811&lt;=判定条件!$C$8*Q811,"停止","断続")))</f>
        <v>運転</v>
      </c>
      <c r="T811" s="30" t="n">
        <v>60</v>
      </c>
      <c r="U811" s="30" t="n">
        <v>43</v>
      </c>
      <c r="V811" s="30" t="str">
        <f aca="false">IF(T811&lt;判定条件!$C$6,"判定不能",IF(U811&gt;=判定条件!$C$7*T811,"運転",IF(U811&lt;=判定条件!$C$8*T811,"停止","断続")))</f>
        <v>断続</v>
      </c>
      <c r="W811" s="30" t="n">
        <v>60</v>
      </c>
      <c r="X811" s="30" t="n">
        <v>60</v>
      </c>
      <c r="Y811" s="30" t="str">
        <f aca="false">IF(W811&lt;判定条件!$C$6,"判定不能",IF(X811&gt;=判定条件!$C$7*W811,"運転",IF(X811&lt;=判定条件!$C$8*W811,"停止","断続")))</f>
        <v>運転</v>
      </c>
      <c r="Z811" s="30" t="n">
        <v>60</v>
      </c>
      <c r="AA811" s="30" t="n">
        <v>55</v>
      </c>
      <c r="AB811" s="30" t="str">
        <f aca="false">IF(Z811&lt;判定条件!$C$6,"判定不能",IF(AA811&gt;=判定条件!$C$7*Z811,"運転",IF(AA811&lt;=判定条件!$C$8*Z811,"停止","断続")))</f>
        <v>運転</v>
      </c>
      <c r="AC811" s="30" t="n">
        <v>60</v>
      </c>
      <c r="AD811" s="30" t="n">
        <v>35</v>
      </c>
      <c r="AE811" s="30" t="str">
        <f aca="false">IF(AC811&lt;判定条件!$C$6,"判定不能",IF(AD811&gt;=判定条件!$C$7*AC811,"運転",IF(AD811&lt;=判定条件!$C$8*AC811,"停止","断続")))</f>
        <v>断続</v>
      </c>
      <c r="AF811" s="30" t="n">
        <v>60</v>
      </c>
      <c r="AG811" s="30" t="n">
        <v>40</v>
      </c>
      <c r="AH811" s="30" t="str">
        <f aca="false">IF(OR(P811="判定不能",G811="判定不能"),"判定不能",IF(AG811&gt;=判定条件!$C$9,"利用可",IF(AND(P811="停止",G811="停止"),"両方停止","運転がそろわない")))</f>
        <v>利用可</v>
      </c>
      <c r="AI811" s="30" t="n">
        <v>0</v>
      </c>
      <c r="AJ811" s="30" t="n">
        <v>0</v>
      </c>
      <c r="AK811" s="30" t="str">
        <f aca="false">IF(OR(S811="判定不能",J811="判定不能"),"判定不能",IF(AJ811&gt;=判定条件!$C$9,"利用可",IF(AND(S811="停止",J811="停止"),"両方停止","運転がそろわない")))</f>
        <v>判定不能</v>
      </c>
      <c r="AL811" s="30" t="n">
        <v>60</v>
      </c>
      <c r="AM811" s="30" t="n">
        <v>43</v>
      </c>
      <c r="AN811" s="30" t="str">
        <f aca="false">IF(OR(V811="判定不能",M811="判定不能"),"判定不能",IF(AM811&gt;=判定条件!$C$9,"利用可",IF(AND(V811="停止",M811="停止"),"両方停止","運転がそろわない")))</f>
        <v>利用可</v>
      </c>
      <c r="AO811" s="30" t="n">
        <v>60</v>
      </c>
      <c r="AP811" s="30" t="n">
        <v>60</v>
      </c>
      <c r="AQ811" s="30" t="str">
        <f aca="false">IF(OR(Y811="判定不能",G811="判定不能"),"判定不能",IF(AP811&gt;=判定条件!$C$9,"利用可",IF(AND(Y811="停止",G811="停止"),"両方停止","運転がそろわない")))</f>
        <v>利用可</v>
      </c>
      <c r="AR811" s="30" t="n">
        <v>0</v>
      </c>
      <c r="AS811" s="30" t="n">
        <v>0</v>
      </c>
      <c r="AT811" s="30" t="str">
        <f aca="false">IF(OR(AB811="判定不能",J811="判定不能"),"判定不能",IF(AS811&gt;=判定条件!$C$9,"利用可",IF(AND(AB811="停止",J811="停止"),"両方停止","運転がそろわない")))</f>
        <v>判定不能</v>
      </c>
      <c r="AU811" s="30" t="n">
        <v>60</v>
      </c>
      <c r="AV811" s="30" t="n">
        <v>35</v>
      </c>
      <c r="AW811" s="30" t="str">
        <f aca="false">IF(OR(AE811="判定不能",M811="判定不能"),"判定不能",IF(AV811&gt;=判定条件!$C$9,"利用可",IF(AND(AE811="停止",M811="停止"),"両方停止","運転がそろわない")))</f>
        <v>利用可</v>
      </c>
      <c r="AX811" s="30" t="str">
        <f aca="false">IF(AND(AH811="利用可",AK811="利用可",AN811="利用可"),"利用可","不可")</f>
        <v>不可</v>
      </c>
      <c r="AY811" s="30" t="str">
        <f aca="false">IF(AND(AQ811="利用可",AT811="利用可",AW811="利用可"),"利用可","不可")</f>
        <v>不可</v>
      </c>
    </row>
    <row r="812" customFormat="false" ht="15" hidden="false" customHeight="false" outlineLevel="0" collapsed="false">
      <c r="A812" s="29" t="n">
        <v>46265</v>
      </c>
      <c r="B812" s="30" t="n">
        <v>17</v>
      </c>
      <c r="C812" s="31" t="s">
        <v>66</v>
      </c>
      <c r="D812" s="31" t="s">
        <v>59</v>
      </c>
      <c r="E812" s="30" t="n">
        <v>60</v>
      </c>
      <c r="F812" s="30" t="n">
        <v>52</v>
      </c>
      <c r="G812" s="30" t="str">
        <f aca="false">IF(E812&lt;判定条件!$C$6,"判定不能",IF(F812&gt;=判定条件!$C$7*E812,"運転",IF(F812&lt;=判定条件!$C$8*E812,"停止","断続")))</f>
        <v>運転</v>
      </c>
      <c r="H812" s="30" t="n">
        <v>0</v>
      </c>
      <c r="I812" s="30" t="n">
        <v>0</v>
      </c>
      <c r="J812" s="30" t="str">
        <f aca="false">IF(H812&lt;判定条件!$C$6,"判定不能",IF(I812&gt;=判定条件!$C$7*H812,"運転",IF(I812&lt;=判定条件!$C$8*H812,"停止","断続")))</f>
        <v>判定不能</v>
      </c>
      <c r="K812" s="30" t="n">
        <v>60</v>
      </c>
      <c r="L812" s="30" t="n">
        <v>60</v>
      </c>
      <c r="M812" s="30" t="str">
        <f aca="false">IF(K812&lt;判定条件!$C$6,"判定不能",IF(L812&gt;=判定条件!$C$7*K812,"運転",IF(L812&lt;=判定条件!$C$8*K812,"停止","断続")))</f>
        <v>運転</v>
      </c>
      <c r="N812" s="30" t="n">
        <v>60</v>
      </c>
      <c r="O812" s="30" t="n">
        <v>52</v>
      </c>
      <c r="P812" s="30" t="str">
        <f aca="false">IF(N812&lt;判定条件!$C$6,"判定不能",IF(O812&gt;=判定条件!$C$7*N812,"運転",IF(O812&lt;=判定条件!$C$8*N812,"停止","断続")))</f>
        <v>運転</v>
      </c>
      <c r="Q812" s="30" t="n">
        <v>60</v>
      </c>
      <c r="R812" s="30" t="n">
        <v>53</v>
      </c>
      <c r="S812" s="30" t="str">
        <f aca="false">IF(Q812&lt;判定条件!$C$6,"判定不能",IF(R812&gt;=判定条件!$C$7*Q812,"運転",IF(R812&lt;=判定条件!$C$8*Q812,"停止","断続")))</f>
        <v>運転</v>
      </c>
      <c r="T812" s="30" t="n">
        <v>60</v>
      </c>
      <c r="U812" s="30" t="n">
        <v>27</v>
      </c>
      <c r="V812" s="30" t="str">
        <f aca="false">IF(T812&lt;判定条件!$C$6,"判定不能",IF(U812&gt;=判定条件!$C$7*T812,"運転",IF(U812&lt;=判定条件!$C$8*T812,"停止","断続")))</f>
        <v>断続</v>
      </c>
      <c r="W812" s="30" t="n">
        <v>60</v>
      </c>
      <c r="X812" s="30" t="n">
        <v>44</v>
      </c>
      <c r="Y812" s="30" t="str">
        <f aca="false">IF(W812&lt;判定条件!$C$6,"判定不能",IF(X812&gt;=判定条件!$C$7*W812,"運転",IF(X812&lt;=判定条件!$C$8*W812,"停止","断続")))</f>
        <v>断続</v>
      </c>
      <c r="Z812" s="30" t="n">
        <v>60</v>
      </c>
      <c r="AA812" s="30" t="n">
        <v>20</v>
      </c>
      <c r="AB812" s="30" t="str">
        <f aca="false">IF(Z812&lt;判定条件!$C$6,"判定不能",IF(AA812&gt;=判定条件!$C$7*Z812,"運転",IF(AA812&lt;=判定条件!$C$8*Z812,"停止","断続")))</f>
        <v>断続</v>
      </c>
      <c r="AC812" s="30" t="n">
        <v>60</v>
      </c>
      <c r="AD812" s="30" t="n">
        <v>55</v>
      </c>
      <c r="AE812" s="30" t="str">
        <f aca="false">IF(AC812&lt;判定条件!$C$6,"判定不能",IF(AD812&gt;=判定条件!$C$7*AC812,"運転",IF(AD812&lt;=判定条件!$C$8*AC812,"停止","断続")))</f>
        <v>運転</v>
      </c>
      <c r="AF812" s="30" t="n">
        <v>60</v>
      </c>
      <c r="AG812" s="30" t="n">
        <v>44</v>
      </c>
      <c r="AH812" s="30" t="str">
        <f aca="false">IF(OR(P812="判定不能",G812="判定不能"),"判定不能",IF(AG812&gt;=判定条件!$C$9,"利用可",IF(AND(P812="停止",G812="停止"),"両方停止","運転がそろわない")))</f>
        <v>利用可</v>
      </c>
      <c r="AI812" s="30" t="n">
        <v>0</v>
      </c>
      <c r="AJ812" s="30" t="n">
        <v>0</v>
      </c>
      <c r="AK812" s="30" t="str">
        <f aca="false">IF(OR(S812="判定不能",J812="判定不能"),"判定不能",IF(AJ812&gt;=判定条件!$C$9,"利用可",IF(AND(S812="停止",J812="停止"),"両方停止","運転がそろわない")))</f>
        <v>判定不能</v>
      </c>
      <c r="AL812" s="30" t="n">
        <v>60</v>
      </c>
      <c r="AM812" s="30" t="n">
        <v>27</v>
      </c>
      <c r="AN812" s="30" t="str">
        <f aca="false">IF(OR(V812="判定不能",M812="判定不能"),"判定不能",IF(AM812&gt;=判定条件!$C$9,"利用可",IF(AND(V812="停止",M812="停止"),"両方停止","運転がそろわない")))</f>
        <v>運転がそろわない</v>
      </c>
      <c r="AO812" s="30" t="n">
        <v>60</v>
      </c>
      <c r="AP812" s="30" t="n">
        <v>44</v>
      </c>
      <c r="AQ812" s="30" t="str">
        <f aca="false">IF(OR(Y812="判定不能",G812="判定不能"),"判定不能",IF(AP812&gt;=判定条件!$C$9,"利用可",IF(AND(Y812="停止",G812="停止"),"両方停止","運転がそろわない")))</f>
        <v>利用可</v>
      </c>
      <c r="AR812" s="30" t="n">
        <v>0</v>
      </c>
      <c r="AS812" s="30" t="n">
        <v>0</v>
      </c>
      <c r="AT812" s="30" t="str">
        <f aca="false">IF(OR(AB812="判定不能",J812="判定不能"),"判定不能",IF(AS812&gt;=判定条件!$C$9,"利用可",IF(AND(AB812="停止",J812="停止"),"両方停止","運転がそろわない")))</f>
        <v>判定不能</v>
      </c>
      <c r="AU812" s="30" t="n">
        <v>60</v>
      </c>
      <c r="AV812" s="30" t="n">
        <v>55</v>
      </c>
      <c r="AW812" s="30" t="str">
        <f aca="false">IF(OR(AE812="判定不能",M812="判定不能"),"判定不能",IF(AV812&gt;=判定条件!$C$9,"利用可",IF(AND(AE812="停止",M812="停止"),"両方停止","運転がそろわない")))</f>
        <v>利用可</v>
      </c>
      <c r="AX812" s="30" t="str">
        <f aca="false">IF(AND(AH812="利用可",AK812="利用可",AN812="利用可"),"利用可","不可")</f>
        <v>不可</v>
      </c>
      <c r="AY812" s="30" t="str">
        <f aca="false">IF(AND(AQ812="利用可",AT812="利用可",AW812="利用可"),"利用可","不可")</f>
        <v>不可</v>
      </c>
    </row>
    <row r="813" customFormat="false" ht="15" hidden="false" customHeight="false" outlineLevel="0" collapsed="false">
      <c r="A813" s="29" t="n">
        <v>46265</v>
      </c>
      <c r="B813" s="30" t="n">
        <v>18</v>
      </c>
      <c r="C813" s="31" t="s">
        <v>66</v>
      </c>
      <c r="D813" s="31" t="s">
        <v>59</v>
      </c>
      <c r="E813" s="30" t="n">
        <v>60</v>
      </c>
      <c r="F813" s="30" t="n">
        <v>60</v>
      </c>
      <c r="G813" s="30" t="str">
        <f aca="false">IF(E813&lt;判定条件!$C$6,"判定不能",IF(F813&gt;=判定条件!$C$7*E813,"運転",IF(F813&lt;=判定条件!$C$8*E813,"停止","断続")))</f>
        <v>運転</v>
      </c>
      <c r="H813" s="30" t="n">
        <v>0</v>
      </c>
      <c r="I813" s="30" t="n">
        <v>0</v>
      </c>
      <c r="J813" s="30" t="str">
        <f aca="false">IF(H813&lt;判定条件!$C$6,"判定不能",IF(I813&gt;=判定条件!$C$7*H813,"運転",IF(I813&lt;=判定条件!$C$8*H813,"停止","断続")))</f>
        <v>判定不能</v>
      </c>
      <c r="K813" s="30" t="n">
        <v>60</v>
      </c>
      <c r="L813" s="30" t="n">
        <v>60</v>
      </c>
      <c r="M813" s="30" t="str">
        <f aca="false">IF(K813&lt;判定条件!$C$6,"判定不能",IF(L813&gt;=判定条件!$C$7*K813,"運転",IF(L813&lt;=判定条件!$C$8*K813,"停止","断続")))</f>
        <v>運転</v>
      </c>
      <c r="N813" s="30" t="n">
        <v>60</v>
      </c>
      <c r="O813" s="30" t="n">
        <v>0</v>
      </c>
      <c r="P813" s="30" t="str">
        <f aca="false">IF(N813&lt;判定条件!$C$6,"判定不能",IF(O813&gt;=判定条件!$C$7*N813,"運転",IF(O813&lt;=判定条件!$C$8*N813,"停止","断続")))</f>
        <v>停止</v>
      </c>
      <c r="Q813" s="30" t="n">
        <v>60</v>
      </c>
      <c r="R813" s="30" t="n">
        <v>4</v>
      </c>
      <c r="S813" s="30" t="str">
        <f aca="false">IF(Q813&lt;判定条件!$C$6,"判定不能",IF(R813&gt;=判定条件!$C$7*Q813,"運転",IF(R813&lt;=判定条件!$C$8*Q813,"停止","断続")))</f>
        <v>停止</v>
      </c>
      <c r="T813" s="30" t="n">
        <v>60</v>
      </c>
      <c r="U813" s="30" t="n">
        <v>0</v>
      </c>
      <c r="V813" s="30" t="str">
        <f aca="false">IF(T813&lt;判定条件!$C$6,"判定不能",IF(U813&gt;=判定条件!$C$7*T813,"運転",IF(U813&lt;=判定条件!$C$8*T813,"停止","断続")))</f>
        <v>停止</v>
      </c>
      <c r="W813" s="30" t="n">
        <v>60</v>
      </c>
      <c r="X813" s="30" t="n">
        <v>60</v>
      </c>
      <c r="Y813" s="30" t="str">
        <f aca="false">IF(W813&lt;判定条件!$C$6,"判定不能",IF(X813&gt;=判定条件!$C$7*W813,"運転",IF(X813&lt;=判定条件!$C$8*W813,"停止","断続")))</f>
        <v>運転</v>
      </c>
      <c r="Z813" s="30" t="n">
        <v>60</v>
      </c>
      <c r="AA813" s="30" t="n">
        <v>20</v>
      </c>
      <c r="AB813" s="30" t="str">
        <f aca="false">IF(Z813&lt;判定条件!$C$6,"判定不能",IF(AA813&gt;=判定条件!$C$7*Z813,"運転",IF(AA813&lt;=判定条件!$C$8*Z813,"停止","断続")))</f>
        <v>断続</v>
      </c>
      <c r="AC813" s="30" t="n">
        <v>60</v>
      </c>
      <c r="AD813" s="30" t="n">
        <v>60</v>
      </c>
      <c r="AE813" s="30" t="str">
        <f aca="false">IF(AC813&lt;判定条件!$C$6,"判定不能",IF(AD813&gt;=判定条件!$C$7*AC813,"運転",IF(AD813&lt;=判定条件!$C$8*AC813,"停止","断続")))</f>
        <v>運転</v>
      </c>
      <c r="AF813" s="30" t="n">
        <v>60</v>
      </c>
      <c r="AG813" s="30" t="n">
        <v>0</v>
      </c>
      <c r="AH813" s="30" t="str">
        <f aca="false">IF(OR(P813="判定不能",G813="判定不能"),"判定不能",IF(AG813&gt;=判定条件!$C$9,"利用可",IF(AND(P813="停止",G813="停止"),"両方停止","運転がそろわない")))</f>
        <v>運転がそろわない</v>
      </c>
      <c r="AI813" s="30" t="n">
        <v>0</v>
      </c>
      <c r="AJ813" s="30" t="n">
        <v>0</v>
      </c>
      <c r="AK813" s="30" t="str">
        <f aca="false">IF(OR(S813="判定不能",J813="判定不能"),"判定不能",IF(AJ813&gt;=判定条件!$C$9,"利用可",IF(AND(S813="停止",J813="停止"),"両方停止","運転がそろわない")))</f>
        <v>判定不能</v>
      </c>
      <c r="AL813" s="30" t="n">
        <v>60</v>
      </c>
      <c r="AM813" s="30" t="n">
        <v>0</v>
      </c>
      <c r="AN813" s="30" t="str">
        <f aca="false">IF(OR(V813="判定不能",M813="判定不能"),"判定不能",IF(AM813&gt;=判定条件!$C$9,"利用可",IF(AND(V813="停止",M813="停止"),"両方停止","運転がそろわない")))</f>
        <v>運転がそろわない</v>
      </c>
      <c r="AO813" s="30" t="n">
        <v>60</v>
      </c>
      <c r="AP813" s="30" t="n">
        <v>60</v>
      </c>
      <c r="AQ813" s="30" t="str">
        <f aca="false">IF(OR(Y813="判定不能",G813="判定不能"),"判定不能",IF(AP813&gt;=判定条件!$C$9,"利用可",IF(AND(Y813="停止",G813="停止"),"両方停止","運転がそろわない")))</f>
        <v>利用可</v>
      </c>
      <c r="AR813" s="30" t="n">
        <v>0</v>
      </c>
      <c r="AS813" s="30" t="n">
        <v>0</v>
      </c>
      <c r="AT813" s="30" t="str">
        <f aca="false">IF(OR(AB813="判定不能",J813="判定不能"),"判定不能",IF(AS813&gt;=判定条件!$C$9,"利用可",IF(AND(AB813="停止",J813="停止"),"両方停止","運転がそろわない")))</f>
        <v>判定不能</v>
      </c>
      <c r="AU813" s="30" t="n">
        <v>60</v>
      </c>
      <c r="AV813" s="30" t="n">
        <v>60</v>
      </c>
      <c r="AW813" s="30" t="str">
        <f aca="false">IF(OR(AE813="判定不能",M813="判定不能"),"判定不能",IF(AV813&gt;=判定条件!$C$9,"利用可",IF(AND(AE813="停止",M813="停止"),"両方停止","運転がそろわない")))</f>
        <v>利用可</v>
      </c>
      <c r="AX813" s="30" t="str">
        <f aca="false">IF(AND(AH813="利用可",AK813="利用可",AN813="利用可"),"利用可","不可")</f>
        <v>不可</v>
      </c>
      <c r="AY813" s="30" t="str">
        <f aca="false">IF(AND(AQ813="利用可",AT813="利用可",AW813="利用可"),"利用可","不可")</f>
        <v>不可</v>
      </c>
    </row>
    <row r="814" customFormat="false" ht="15" hidden="false" customHeight="false" outlineLevel="0" collapsed="false">
      <c r="A814" s="29" t="n">
        <v>46265</v>
      </c>
      <c r="B814" s="30" t="n">
        <v>19</v>
      </c>
      <c r="C814" s="31" t="s">
        <v>66</v>
      </c>
      <c r="D814" s="31" t="s">
        <v>59</v>
      </c>
      <c r="E814" s="30" t="n">
        <v>60</v>
      </c>
      <c r="F814" s="30" t="n">
        <v>51</v>
      </c>
      <c r="G814" s="30" t="str">
        <f aca="false">IF(E814&lt;判定条件!$C$6,"判定不能",IF(F814&gt;=判定条件!$C$7*E814,"運転",IF(F814&lt;=判定条件!$C$8*E814,"停止","断続")))</f>
        <v>運転</v>
      </c>
      <c r="H814" s="30" t="n">
        <v>0</v>
      </c>
      <c r="I814" s="30" t="n">
        <v>0</v>
      </c>
      <c r="J814" s="30" t="str">
        <f aca="false">IF(H814&lt;判定条件!$C$6,"判定不能",IF(I814&gt;=判定条件!$C$7*H814,"運転",IF(I814&lt;=判定条件!$C$8*H814,"停止","断続")))</f>
        <v>判定不能</v>
      </c>
      <c r="K814" s="30" t="n">
        <v>60</v>
      </c>
      <c r="L814" s="30" t="n">
        <v>60</v>
      </c>
      <c r="M814" s="30" t="str">
        <f aca="false">IF(K814&lt;判定条件!$C$6,"判定不能",IF(L814&gt;=判定条件!$C$7*K814,"運転",IF(L814&lt;=判定条件!$C$8*K814,"停止","断続")))</f>
        <v>運転</v>
      </c>
      <c r="N814" s="30" t="n">
        <v>60</v>
      </c>
      <c r="O814" s="30" t="n">
        <v>0</v>
      </c>
      <c r="P814" s="30" t="str">
        <f aca="false">IF(N814&lt;判定条件!$C$6,"判定不能",IF(O814&gt;=判定条件!$C$7*N814,"運転",IF(O814&lt;=判定条件!$C$8*N814,"停止","断続")))</f>
        <v>停止</v>
      </c>
      <c r="Q814" s="30" t="n">
        <v>60</v>
      </c>
      <c r="R814" s="30" t="n">
        <v>28</v>
      </c>
      <c r="S814" s="30" t="str">
        <f aca="false">IF(Q814&lt;判定条件!$C$6,"判定不能",IF(R814&gt;=判定条件!$C$7*Q814,"運転",IF(R814&lt;=判定条件!$C$8*Q814,"停止","断続")))</f>
        <v>断続</v>
      </c>
      <c r="T814" s="30" t="n">
        <v>60</v>
      </c>
      <c r="U814" s="30" t="n">
        <v>28</v>
      </c>
      <c r="V814" s="30" t="str">
        <f aca="false">IF(T814&lt;判定条件!$C$6,"判定不能",IF(U814&gt;=判定条件!$C$7*T814,"運転",IF(U814&lt;=判定条件!$C$8*T814,"停止","断続")))</f>
        <v>断続</v>
      </c>
      <c r="W814" s="30" t="n">
        <v>60</v>
      </c>
      <c r="X814" s="30" t="n">
        <v>14</v>
      </c>
      <c r="Y814" s="30" t="str">
        <f aca="false">IF(W814&lt;判定条件!$C$6,"判定不能",IF(X814&gt;=判定条件!$C$7*W814,"運転",IF(X814&lt;=判定条件!$C$8*W814,"停止","断続")))</f>
        <v>断続</v>
      </c>
      <c r="Z814" s="30" t="n">
        <v>60</v>
      </c>
      <c r="AA814" s="30" t="n">
        <v>26</v>
      </c>
      <c r="AB814" s="30" t="str">
        <f aca="false">IF(Z814&lt;判定条件!$C$6,"判定不能",IF(AA814&gt;=判定条件!$C$7*Z814,"運転",IF(AA814&lt;=判定条件!$C$8*Z814,"停止","断続")))</f>
        <v>断続</v>
      </c>
      <c r="AC814" s="30" t="n">
        <v>60</v>
      </c>
      <c r="AD814" s="30" t="n">
        <v>25</v>
      </c>
      <c r="AE814" s="30" t="str">
        <f aca="false">IF(AC814&lt;判定条件!$C$6,"判定不能",IF(AD814&gt;=判定条件!$C$7*AC814,"運転",IF(AD814&lt;=判定条件!$C$8*AC814,"停止","断続")))</f>
        <v>断続</v>
      </c>
      <c r="AF814" s="30" t="n">
        <v>60</v>
      </c>
      <c r="AG814" s="30" t="n">
        <v>0</v>
      </c>
      <c r="AH814" s="30" t="str">
        <f aca="false">IF(OR(P814="判定不能",G814="判定不能"),"判定不能",IF(AG814&gt;=判定条件!$C$9,"利用可",IF(AND(P814="停止",G814="停止"),"両方停止","運転がそろわない")))</f>
        <v>運転がそろわない</v>
      </c>
      <c r="AI814" s="30" t="n">
        <v>0</v>
      </c>
      <c r="AJ814" s="30" t="n">
        <v>0</v>
      </c>
      <c r="AK814" s="30" t="str">
        <f aca="false">IF(OR(S814="判定不能",J814="判定不能"),"判定不能",IF(AJ814&gt;=判定条件!$C$9,"利用可",IF(AND(S814="停止",J814="停止"),"両方停止","運転がそろわない")))</f>
        <v>判定不能</v>
      </c>
      <c r="AL814" s="30" t="n">
        <v>60</v>
      </c>
      <c r="AM814" s="30" t="n">
        <v>28</v>
      </c>
      <c r="AN814" s="30" t="str">
        <f aca="false">IF(OR(V814="判定不能",M814="判定不能"),"判定不能",IF(AM814&gt;=判定条件!$C$9,"利用可",IF(AND(V814="停止",M814="停止"),"両方停止","運転がそろわない")))</f>
        <v>運転がそろわない</v>
      </c>
      <c r="AO814" s="30" t="n">
        <v>60</v>
      </c>
      <c r="AP814" s="30" t="n">
        <v>14</v>
      </c>
      <c r="AQ814" s="30" t="str">
        <f aca="false">IF(OR(Y814="判定不能",G814="判定不能"),"判定不能",IF(AP814&gt;=判定条件!$C$9,"利用可",IF(AND(Y814="停止",G814="停止"),"両方停止","運転がそろわない")))</f>
        <v>運転がそろわない</v>
      </c>
      <c r="AR814" s="30" t="n">
        <v>0</v>
      </c>
      <c r="AS814" s="30" t="n">
        <v>0</v>
      </c>
      <c r="AT814" s="30" t="str">
        <f aca="false">IF(OR(AB814="判定不能",J814="判定不能"),"判定不能",IF(AS814&gt;=判定条件!$C$9,"利用可",IF(AND(AB814="停止",J814="停止"),"両方停止","運転がそろわない")))</f>
        <v>判定不能</v>
      </c>
      <c r="AU814" s="30" t="n">
        <v>60</v>
      </c>
      <c r="AV814" s="30" t="n">
        <v>25</v>
      </c>
      <c r="AW814" s="30" t="str">
        <f aca="false">IF(OR(AE814="判定不能",M814="判定不能"),"判定不能",IF(AV814&gt;=判定条件!$C$9,"利用可",IF(AND(AE814="停止",M814="停止"),"両方停止","運転がそろわない")))</f>
        <v>運転がそろわない</v>
      </c>
      <c r="AX814" s="30" t="str">
        <f aca="false">IF(AND(AH814="利用可",AK814="利用可",AN814="利用可"),"利用可","不可")</f>
        <v>不可</v>
      </c>
      <c r="AY814" s="30" t="str">
        <f aca="false">IF(AND(AQ814="利用可",AT814="利用可",AW814="利用可"),"利用可","不可")</f>
        <v>不可</v>
      </c>
    </row>
    <row r="815" customFormat="false" ht="15" hidden="false" customHeight="false" outlineLevel="0" collapsed="false">
      <c r="A815" s="29" t="n">
        <v>46265</v>
      </c>
      <c r="B815" s="30" t="n">
        <v>20</v>
      </c>
      <c r="C815" s="31" t="s">
        <v>66</v>
      </c>
      <c r="D815" s="31" t="s">
        <v>59</v>
      </c>
      <c r="E815" s="30" t="n">
        <v>60</v>
      </c>
      <c r="F815" s="30" t="n">
        <v>54</v>
      </c>
      <c r="G815" s="30" t="str">
        <f aca="false">IF(E815&lt;判定条件!$C$6,"判定不能",IF(F815&gt;=判定条件!$C$7*E815,"運転",IF(F815&lt;=判定条件!$C$8*E815,"停止","断続")))</f>
        <v>運転</v>
      </c>
      <c r="H815" s="30" t="n">
        <v>0</v>
      </c>
      <c r="I815" s="30" t="n">
        <v>0</v>
      </c>
      <c r="J815" s="30" t="str">
        <f aca="false">IF(H815&lt;判定条件!$C$6,"判定不能",IF(I815&gt;=判定条件!$C$7*H815,"運転",IF(I815&lt;=判定条件!$C$8*H815,"停止","断続")))</f>
        <v>判定不能</v>
      </c>
      <c r="K815" s="30" t="n">
        <v>60</v>
      </c>
      <c r="L815" s="30" t="n">
        <v>60</v>
      </c>
      <c r="M815" s="30" t="str">
        <f aca="false">IF(K815&lt;判定条件!$C$6,"判定不能",IF(L815&gt;=判定条件!$C$7*K815,"運転",IF(L815&lt;=判定条件!$C$8*K815,"停止","断続")))</f>
        <v>運転</v>
      </c>
      <c r="N815" s="30" t="n">
        <v>60</v>
      </c>
      <c r="O815" s="30" t="n">
        <v>0</v>
      </c>
      <c r="P815" s="30" t="str">
        <f aca="false">IF(N815&lt;判定条件!$C$6,"判定不能",IF(O815&gt;=判定条件!$C$7*N815,"運転",IF(O815&lt;=判定条件!$C$8*N815,"停止","断続")))</f>
        <v>停止</v>
      </c>
      <c r="Q815" s="30" t="n">
        <v>60</v>
      </c>
      <c r="R815" s="30" t="n">
        <v>16</v>
      </c>
      <c r="S815" s="30" t="str">
        <f aca="false">IF(Q815&lt;判定条件!$C$6,"判定不能",IF(R815&gt;=判定条件!$C$7*Q815,"運転",IF(R815&lt;=判定条件!$C$8*Q815,"停止","断続")))</f>
        <v>断続</v>
      </c>
      <c r="T815" s="30" t="n">
        <v>60</v>
      </c>
      <c r="U815" s="30" t="n">
        <v>20</v>
      </c>
      <c r="V815" s="30" t="str">
        <f aca="false">IF(T815&lt;判定条件!$C$6,"判定不能",IF(U815&gt;=判定条件!$C$7*T815,"運転",IF(U815&lt;=判定条件!$C$8*T815,"停止","断続")))</f>
        <v>断続</v>
      </c>
      <c r="W815" s="30" t="n">
        <v>60</v>
      </c>
      <c r="X815" s="30" t="n">
        <v>44</v>
      </c>
      <c r="Y815" s="30" t="str">
        <f aca="false">IF(W815&lt;判定条件!$C$6,"判定不能",IF(X815&gt;=判定条件!$C$7*W815,"運転",IF(X815&lt;=判定条件!$C$8*W815,"停止","断続")))</f>
        <v>断続</v>
      </c>
      <c r="Z815" s="30" t="n">
        <v>60</v>
      </c>
      <c r="AA815" s="30" t="n">
        <v>10</v>
      </c>
      <c r="AB815" s="30" t="str">
        <f aca="false">IF(Z815&lt;判定条件!$C$6,"判定不能",IF(AA815&gt;=判定条件!$C$7*Z815,"運転",IF(AA815&lt;=判定条件!$C$8*Z815,"停止","断続")))</f>
        <v>停止</v>
      </c>
      <c r="AC815" s="30" t="n">
        <v>60</v>
      </c>
      <c r="AD815" s="30" t="n">
        <v>0</v>
      </c>
      <c r="AE815" s="30" t="str">
        <f aca="false">IF(AC815&lt;判定条件!$C$6,"判定不能",IF(AD815&gt;=判定条件!$C$7*AC815,"運転",IF(AD815&lt;=判定条件!$C$8*AC815,"停止","断続")))</f>
        <v>停止</v>
      </c>
      <c r="AF815" s="30" t="n">
        <v>60</v>
      </c>
      <c r="AG815" s="30" t="n">
        <v>0</v>
      </c>
      <c r="AH815" s="30" t="str">
        <f aca="false">IF(OR(P815="判定不能",G815="判定不能"),"判定不能",IF(AG815&gt;=判定条件!$C$9,"利用可",IF(AND(P815="停止",G815="停止"),"両方停止","運転がそろわない")))</f>
        <v>運転がそろわない</v>
      </c>
      <c r="AI815" s="30" t="n">
        <v>0</v>
      </c>
      <c r="AJ815" s="30" t="n">
        <v>0</v>
      </c>
      <c r="AK815" s="30" t="str">
        <f aca="false">IF(OR(S815="判定不能",J815="判定不能"),"判定不能",IF(AJ815&gt;=判定条件!$C$9,"利用可",IF(AND(S815="停止",J815="停止"),"両方停止","運転がそろわない")))</f>
        <v>判定不能</v>
      </c>
      <c r="AL815" s="30" t="n">
        <v>60</v>
      </c>
      <c r="AM815" s="30" t="n">
        <v>20</v>
      </c>
      <c r="AN815" s="30" t="str">
        <f aca="false">IF(OR(V815="判定不能",M815="判定不能"),"判定不能",IF(AM815&gt;=判定条件!$C$9,"利用可",IF(AND(V815="停止",M815="停止"),"両方停止","運転がそろわない")))</f>
        <v>運転がそろわない</v>
      </c>
      <c r="AO815" s="30" t="n">
        <v>60</v>
      </c>
      <c r="AP815" s="30" t="n">
        <v>44</v>
      </c>
      <c r="AQ815" s="30" t="str">
        <f aca="false">IF(OR(Y815="判定不能",G815="判定不能"),"判定不能",IF(AP815&gt;=判定条件!$C$9,"利用可",IF(AND(Y815="停止",G815="停止"),"両方停止","運転がそろわない")))</f>
        <v>利用可</v>
      </c>
      <c r="AR815" s="30" t="n">
        <v>0</v>
      </c>
      <c r="AS815" s="30" t="n">
        <v>0</v>
      </c>
      <c r="AT815" s="30" t="str">
        <f aca="false">IF(OR(AB815="判定不能",J815="判定不能"),"判定不能",IF(AS815&gt;=判定条件!$C$9,"利用可",IF(AND(AB815="停止",J815="停止"),"両方停止","運転がそろわない")))</f>
        <v>判定不能</v>
      </c>
      <c r="AU815" s="30" t="n">
        <v>60</v>
      </c>
      <c r="AV815" s="30" t="n">
        <v>0</v>
      </c>
      <c r="AW815" s="30" t="str">
        <f aca="false">IF(OR(AE815="判定不能",M815="判定不能"),"判定不能",IF(AV815&gt;=判定条件!$C$9,"利用可",IF(AND(AE815="停止",M815="停止"),"両方停止","運転がそろわない")))</f>
        <v>運転がそろわない</v>
      </c>
      <c r="AX815" s="30" t="str">
        <f aca="false">IF(AND(AH815="利用可",AK815="利用可",AN815="利用可"),"利用可","不可")</f>
        <v>不可</v>
      </c>
      <c r="AY815" s="30" t="str">
        <f aca="false">IF(AND(AQ815="利用可",AT815="利用可",AW815="利用可"),"利用可","不可")</f>
        <v>不可</v>
      </c>
    </row>
    <row r="816" customFormat="false" ht="15" hidden="false" customHeight="false" outlineLevel="0" collapsed="false">
      <c r="A816" s="29" t="n">
        <v>46265</v>
      </c>
      <c r="B816" s="30" t="n">
        <v>21</v>
      </c>
      <c r="C816" s="31" t="s">
        <v>66</v>
      </c>
      <c r="D816" s="31" t="s">
        <v>59</v>
      </c>
      <c r="E816" s="30" t="n">
        <v>60</v>
      </c>
      <c r="F816" s="30" t="n">
        <v>5</v>
      </c>
      <c r="G816" s="30" t="str">
        <f aca="false">IF(E816&lt;判定条件!$C$6,"判定不能",IF(F816&gt;=判定条件!$C$7*E816,"運転",IF(F816&lt;=判定条件!$C$8*E816,"停止","断続")))</f>
        <v>停止</v>
      </c>
      <c r="H816" s="30" t="n">
        <v>0</v>
      </c>
      <c r="I816" s="30" t="n">
        <v>0</v>
      </c>
      <c r="J816" s="30" t="str">
        <f aca="false">IF(H816&lt;判定条件!$C$6,"判定不能",IF(I816&gt;=判定条件!$C$7*H816,"運転",IF(I816&lt;=判定条件!$C$8*H816,"停止","断続")))</f>
        <v>判定不能</v>
      </c>
      <c r="K816" s="30" t="n">
        <v>60</v>
      </c>
      <c r="L816" s="30" t="n">
        <v>7</v>
      </c>
      <c r="M816" s="30" t="str">
        <f aca="false">IF(K816&lt;判定条件!$C$6,"判定不能",IF(L816&gt;=判定条件!$C$7*K816,"運転",IF(L816&lt;=判定条件!$C$8*K816,"停止","断続")))</f>
        <v>停止</v>
      </c>
      <c r="N816" s="30" t="n">
        <v>60</v>
      </c>
      <c r="O816" s="30" t="n">
        <v>0</v>
      </c>
      <c r="P816" s="30" t="str">
        <f aca="false">IF(N816&lt;判定条件!$C$6,"判定不能",IF(O816&gt;=判定条件!$C$7*N816,"運転",IF(O816&lt;=判定条件!$C$8*N816,"停止","断続")))</f>
        <v>停止</v>
      </c>
      <c r="Q816" s="30" t="n">
        <v>60</v>
      </c>
      <c r="R816" s="30" t="n">
        <v>0</v>
      </c>
      <c r="S816" s="30" t="str">
        <f aca="false">IF(Q816&lt;判定条件!$C$6,"判定不能",IF(R816&gt;=判定条件!$C$7*Q816,"運転",IF(R816&lt;=判定条件!$C$8*Q816,"停止","断続")))</f>
        <v>停止</v>
      </c>
      <c r="T816" s="30" t="n">
        <v>60</v>
      </c>
      <c r="U816" s="30" t="n">
        <v>0</v>
      </c>
      <c r="V816" s="30" t="str">
        <f aca="false">IF(T816&lt;判定条件!$C$6,"判定不能",IF(U816&gt;=判定条件!$C$7*T816,"運転",IF(U816&lt;=判定条件!$C$8*T816,"停止","断続")))</f>
        <v>停止</v>
      </c>
      <c r="W816" s="30" t="n">
        <v>60</v>
      </c>
      <c r="X816" s="30" t="n">
        <v>43</v>
      </c>
      <c r="Y816" s="30" t="str">
        <f aca="false">IF(W816&lt;判定条件!$C$6,"判定不能",IF(X816&gt;=判定条件!$C$7*W816,"運転",IF(X816&lt;=判定条件!$C$8*W816,"停止","断続")))</f>
        <v>断続</v>
      </c>
      <c r="Z816" s="30" t="n">
        <v>60</v>
      </c>
      <c r="AA816" s="30" t="n">
        <v>30</v>
      </c>
      <c r="AB816" s="30" t="str">
        <f aca="false">IF(Z816&lt;判定条件!$C$6,"判定不能",IF(AA816&gt;=判定条件!$C$7*Z816,"運転",IF(AA816&lt;=判定条件!$C$8*Z816,"停止","断続")))</f>
        <v>断続</v>
      </c>
      <c r="AC816" s="30" t="n">
        <v>60</v>
      </c>
      <c r="AD816" s="30" t="n">
        <v>0</v>
      </c>
      <c r="AE816" s="30" t="str">
        <f aca="false">IF(AC816&lt;判定条件!$C$6,"判定不能",IF(AD816&gt;=判定条件!$C$7*AC816,"運転",IF(AD816&lt;=判定条件!$C$8*AC816,"停止","断続")))</f>
        <v>停止</v>
      </c>
      <c r="AF816" s="30" t="n">
        <v>60</v>
      </c>
      <c r="AG816" s="30" t="n">
        <v>0</v>
      </c>
      <c r="AH816" s="30" t="str">
        <f aca="false">IF(OR(P816="判定不能",G816="判定不能"),"判定不能",IF(AG816&gt;=判定条件!$C$9,"利用可",IF(AND(P816="停止",G816="停止"),"両方停止","運転がそろわない")))</f>
        <v>両方停止</v>
      </c>
      <c r="AI816" s="30" t="n">
        <v>0</v>
      </c>
      <c r="AJ816" s="30" t="n">
        <v>0</v>
      </c>
      <c r="AK816" s="30" t="str">
        <f aca="false">IF(OR(S816="判定不能",J816="判定不能"),"判定不能",IF(AJ816&gt;=判定条件!$C$9,"利用可",IF(AND(S816="停止",J816="停止"),"両方停止","運転がそろわない")))</f>
        <v>判定不能</v>
      </c>
      <c r="AL816" s="30" t="n">
        <v>60</v>
      </c>
      <c r="AM816" s="30" t="n">
        <v>0</v>
      </c>
      <c r="AN816" s="30" t="str">
        <f aca="false">IF(OR(V816="判定不能",M816="判定不能"),"判定不能",IF(AM816&gt;=判定条件!$C$9,"利用可",IF(AND(V816="停止",M816="停止"),"両方停止","運転がそろわない")))</f>
        <v>両方停止</v>
      </c>
      <c r="AO816" s="30" t="n">
        <v>60</v>
      </c>
      <c r="AP816" s="30" t="n">
        <v>0</v>
      </c>
      <c r="AQ816" s="30" t="str">
        <f aca="false">IF(OR(Y816="判定不能",G816="判定不能"),"判定不能",IF(AP816&gt;=判定条件!$C$9,"利用可",IF(AND(Y816="停止",G816="停止"),"両方停止","運転がそろわない")))</f>
        <v>運転がそろわない</v>
      </c>
      <c r="AR816" s="30" t="n">
        <v>0</v>
      </c>
      <c r="AS816" s="30" t="n">
        <v>0</v>
      </c>
      <c r="AT816" s="30" t="str">
        <f aca="false">IF(OR(AB816="判定不能",J816="判定不能"),"判定不能",IF(AS816&gt;=判定条件!$C$9,"利用可",IF(AND(AB816="停止",J816="停止"),"両方停止","運転がそろわない")))</f>
        <v>判定不能</v>
      </c>
      <c r="AU816" s="30" t="n">
        <v>60</v>
      </c>
      <c r="AV816" s="30" t="n">
        <v>0</v>
      </c>
      <c r="AW816" s="30" t="str">
        <f aca="false">IF(OR(AE816="判定不能",M816="判定不能"),"判定不能",IF(AV816&gt;=判定条件!$C$9,"利用可",IF(AND(AE816="停止",M816="停止"),"両方停止","運転がそろわない")))</f>
        <v>両方停止</v>
      </c>
      <c r="AX816" s="30" t="str">
        <f aca="false">IF(AND(AH816="利用可",AK816="利用可",AN816="利用可"),"利用可","不可")</f>
        <v>不可</v>
      </c>
      <c r="AY816" s="30" t="str">
        <f aca="false">IF(AND(AQ816="利用可",AT816="利用可",AW816="利用可"),"利用可","不可")</f>
        <v>不可</v>
      </c>
    </row>
    <row r="817" customFormat="false" ht="15" hidden="false" customHeight="false" outlineLevel="0" collapsed="false">
      <c r="A817" s="29" t="n">
        <v>46265</v>
      </c>
      <c r="B817" s="30" t="n">
        <v>22</v>
      </c>
      <c r="C817" s="31" t="s">
        <v>66</v>
      </c>
      <c r="D817" s="31" t="s">
        <v>59</v>
      </c>
      <c r="E817" s="30" t="n">
        <v>60</v>
      </c>
      <c r="F817" s="30" t="n">
        <v>0</v>
      </c>
      <c r="G817" s="30" t="str">
        <f aca="false">IF(E817&lt;判定条件!$C$6,"判定不能",IF(F817&gt;=判定条件!$C$7*E817,"運転",IF(F817&lt;=判定条件!$C$8*E817,"停止","断続")))</f>
        <v>停止</v>
      </c>
      <c r="H817" s="30" t="n">
        <v>0</v>
      </c>
      <c r="I817" s="30" t="n">
        <v>0</v>
      </c>
      <c r="J817" s="30" t="str">
        <f aca="false">IF(H817&lt;判定条件!$C$6,"判定不能",IF(I817&gt;=判定条件!$C$7*H817,"運転",IF(I817&lt;=判定条件!$C$8*H817,"停止","断続")))</f>
        <v>判定不能</v>
      </c>
      <c r="K817" s="30" t="n">
        <v>60</v>
      </c>
      <c r="L817" s="30" t="n">
        <v>0</v>
      </c>
      <c r="M817" s="30" t="str">
        <f aca="false">IF(K817&lt;判定条件!$C$6,"判定不能",IF(L817&gt;=判定条件!$C$7*K817,"運転",IF(L817&lt;=判定条件!$C$8*K817,"停止","断続")))</f>
        <v>停止</v>
      </c>
      <c r="N817" s="30" t="n">
        <v>60</v>
      </c>
      <c r="O817" s="30" t="n">
        <v>0</v>
      </c>
      <c r="P817" s="30" t="str">
        <f aca="false">IF(N817&lt;判定条件!$C$6,"判定不能",IF(O817&gt;=判定条件!$C$7*N817,"運転",IF(O817&lt;=判定条件!$C$8*N817,"停止","断続")))</f>
        <v>停止</v>
      </c>
      <c r="Q817" s="30" t="n">
        <v>60</v>
      </c>
      <c r="R817" s="30" t="n">
        <v>0</v>
      </c>
      <c r="S817" s="30" t="str">
        <f aca="false">IF(Q817&lt;判定条件!$C$6,"判定不能",IF(R817&gt;=判定条件!$C$7*Q817,"運転",IF(R817&lt;=判定条件!$C$8*Q817,"停止","断続")))</f>
        <v>停止</v>
      </c>
      <c r="T817" s="30" t="n">
        <v>60</v>
      </c>
      <c r="U817" s="30" t="n">
        <v>0</v>
      </c>
      <c r="V817" s="30" t="str">
        <f aca="false">IF(T817&lt;判定条件!$C$6,"判定不能",IF(U817&gt;=判定条件!$C$7*T817,"運転",IF(U817&lt;=判定条件!$C$8*T817,"停止","断続")))</f>
        <v>停止</v>
      </c>
      <c r="W817" s="30" t="n">
        <v>60</v>
      </c>
      <c r="X817" s="30" t="n">
        <v>11</v>
      </c>
      <c r="Y817" s="30" t="str">
        <f aca="false">IF(W817&lt;判定条件!$C$6,"判定不能",IF(X817&gt;=判定条件!$C$7*W817,"運転",IF(X817&lt;=判定条件!$C$8*W817,"停止","断続")))</f>
        <v>停止</v>
      </c>
      <c r="Z817" s="30" t="n">
        <v>60</v>
      </c>
      <c r="AA817" s="30" t="n">
        <v>0</v>
      </c>
      <c r="AB817" s="30" t="str">
        <f aca="false">IF(Z817&lt;判定条件!$C$6,"判定不能",IF(AA817&gt;=判定条件!$C$7*Z817,"運転",IF(AA817&lt;=判定条件!$C$8*Z817,"停止","断続")))</f>
        <v>停止</v>
      </c>
      <c r="AC817" s="30" t="n">
        <v>60</v>
      </c>
      <c r="AD817" s="30" t="n">
        <v>0</v>
      </c>
      <c r="AE817" s="30" t="str">
        <f aca="false">IF(AC817&lt;判定条件!$C$6,"判定不能",IF(AD817&gt;=判定条件!$C$7*AC817,"運転",IF(AD817&lt;=判定条件!$C$8*AC817,"停止","断続")))</f>
        <v>停止</v>
      </c>
      <c r="AF817" s="30" t="n">
        <v>60</v>
      </c>
      <c r="AG817" s="30" t="n">
        <v>0</v>
      </c>
      <c r="AH817" s="30" t="str">
        <f aca="false">IF(OR(P817="判定不能",G817="判定不能"),"判定不能",IF(AG817&gt;=判定条件!$C$9,"利用可",IF(AND(P817="停止",G817="停止"),"両方停止","運転がそろわない")))</f>
        <v>両方停止</v>
      </c>
      <c r="AI817" s="30" t="n">
        <v>0</v>
      </c>
      <c r="AJ817" s="30" t="n">
        <v>0</v>
      </c>
      <c r="AK817" s="30" t="str">
        <f aca="false">IF(OR(S817="判定不能",J817="判定不能"),"判定不能",IF(AJ817&gt;=判定条件!$C$9,"利用可",IF(AND(S817="停止",J817="停止"),"両方停止","運転がそろわない")))</f>
        <v>判定不能</v>
      </c>
      <c r="AL817" s="30" t="n">
        <v>60</v>
      </c>
      <c r="AM817" s="30" t="n">
        <v>0</v>
      </c>
      <c r="AN817" s="30" t="str">
        <f aca="false">IF(OR(V817="判定不能",M817="判定不能"),"判定不能",IF(AM817&gt;=判定条件!$C$9,"利用可",IF(AND(V817="停止",M817="停止"),"両方停止","運転がそろわない")))</f>
        <v>両方停止</v>
      </c>
      <c r="AO817" s="30" t="n">
        <v>60</v>
      </c>
      <c r="AP817" s="30" t="n">
        <v>0</v>
      </c>
      <c r="AQ817" s="30" t="str">
        <f aca="false">IF(OR(Y817="判定不能",G817="判定不能"),"判定不能",IF(AP817&gt;=判定条件!$C$9,"利用可",IF(AND(Y817="停止",G817="停止"),"両方停止","運転がそろわない")))</f>
        <v>両方停止</v>
      </c>
      <c r="AR817" s="30" t="n">
        <v>0</v>
      </c>
      <c r="AS817" s="30" t="n">
        <v>0</v>
      </c>
      <c r="AT817" s="30" t="str">
        <f aca="false">IF(OR(AB817="判定不能",J817="判定不能"),"判定不能",IF(AS817&gt;=判定条件!$C$9,"利用可",IF(AND(AB817="停止",J817="停止"),"両方停止","運転がそろわない")))</f>
        <v>判定不能</v>
      </c>
      <c r="AU817" s="30" t="n">
        <v>60</v>
      </c>
      <c r="AV817" s="30" t="n">
        <v>0</v>
      </c>
      <c r="AW817" s="30" t="str">
        <f aca="false">IF(OR(AE817="判定不能",M817="判定不能"),"判定不能",IF(AV817&gt;=判定条件!$C$9,"利用可",IF(AND(AE817="停止",M817="停止"),"両方停止","運転がそろわない")))</f>
        <v>両方停止</v>
      </c>
      <c r="AX817" s="30" t="str">
        <f aca="false">IF(AND(AH817="利用可",AK817="利用可",AN817="利用可"),"利用可","不可")</f>
        <v>不可</v>
      </c>
      <c r="AY817" s="30" t="str">
        <f aca="false">IF(AND(AQ817="利用可",AT817="利用可",AW817="利用可"),"利用可","不可")</f>
        <v>不可</v>
      </c>
    </row>
    <row r="818" customFormat="false" ht="15" hidden="false" customHeight="false" outlineLevel="0" collapsed="false">
      <c r="A818" s="29" t="n">
        <v>46265</v>
      </c>
      <c r="B818" s="30" t="n">
        <v>23</v>
      </c>
      <c r="C818" s="31" t="s">
        <v>66</v>
      </c>
      <c r="D818" s="31" t="s">
        <v>59</v>
      </c>
      <c r="E818" s="30" t="n">
        <v>60</v>
      </c>
      <c r="F818" s="30" t="n">
        <v>0</v>
      </c>
      <c r="G818" s="30" t="str">
        <f aca="false">IF(E818&lt;判定条件!$C$6,"判定不能",IF(F818&gt;=判定条件!$C$7*E818,"運転",IF(F818&lt;=判定条件!$C$8*E818,"停止","断続")))</f>
        <v>停止</v>
      </c>
      <c r="H818" s="30" t="n">
        <v>0</v>
      </c>
      <c r="I818" s="30" t="n">
        <v>0</v>
      </c>
      <c r="J818" s="30" t="str">
        <f aca="false">IF(H818&lt;判定条件!$C$6,"判定不能",IF(I818&gt;=判定条件!$C$7*H818,"運転",IF(I818&lt;=判定条件!$C$8*H818,"停止","断続")))</f>
        <v>判定不能</v>
      </c>
      <c r="K818" s="30" t="n">
        <v>60</v>
      </c>
      <c r="L818" s="30" t="n">
        <v>0</v>
      </c>
      <c r="M818" s="30" t="str">
        <f aca="false">IF(K818&lt;判定条件!$C$6,"判定不能",IF(L818&gt;=判定条件!$C$7*K818,"運転",IF(L818&lt;=判定条件!$C$8*K818,"停止","断続")))</f>
        <v>停止</v>
      </c>
      <c r="N818" s="30" t="n">
        <v>60</v>
      </c>
      <c r="O818" s="30" t="n">
        <v>0</v>
      </c>
      <c r="P818" s="30" t="str">
        <f aca="false">IF(N818&lt;判定条件!$C$6,"判定不能",IF(O818&gt;=判定条件!$C$7*N818,"運転",IF(O818&lt;=判定条件!$C$8*N818,"停止","断続")))</f>
        <v>停止</v>
      </c>
      <c r="Q818" s="30" t="n">
        <v>60</v>
      </c>
      <c r="R818" s="30" t="n">
        <v>0</v>
      </c>
      <c r="S818" s="30" t="str">
        <f aca="false">IF(Q818&lt;判定条件!$C$6,"判定不能",IF(R818&gt;=判定条件!$C$7*Q818,"運転",IF(R818&lt;=判定条件!$C$8*Q818,"停止","断続")))</f>
        <v>停止</v>
      </c>
      <c r="T818" s="30" t="n">
        <v>60</v>
      </c>
      <c r="U818" s="30" t="n">
        <v>0</v>
      </c>
      <c r="V818" s="30" t="str">
        <f aca="false">IF(T818&lt;判定条件!$C$6,"判定不能",IF(U818&gt;=判定条件!$C$7*T818,"運転",IF(U818&lt;=判定条件!$C$8*T818,"停止","断続")))</f>
        <v>停止</v>
      </c>
      <c r="W818" s="30" t="n">
        <v>60</v>
      </c>
      <c r="X818" s="30" t="n">
        <v>0</v>
      </c>
      <c r="Y818" s="30" t="str">
        <f aca="false">IF(W818&lt;判定条件!$C$6,"判定不能",IF(X818&gt;=判定条件!$C$7*W818,"運転",IF(X818&lt;=判定条件!$C$8*W818,"停止","断続")))</f>
        <v>停止</v>
      </c>
      <c r="Z818" s="30" t="n">
        <v>60</v>
      </c>
      <c r="AA818" s="30" t="n">
        <v>0</v>
      </c>
      <c r="AB818" s="30" t="str">
        <f aca="false">IF(Z818&lt;判定条件!$C$6,"判定不能",IF(AA818&gt;=判定条件!$C$7*Z818,"運転",IF(AA818&lt;=判定条件!$C$8*Z818,"停止","断続")))</f>
        <v>停止</v>
      </c>
      <c r="AC818" s="30" t="n">
        <v>60</v>
      </c>
      <c r="AD818" s="30" t="n">
        <v>0</v>
      </c>
      <c r="AE818" s="30" t="str">
        <f aca="false">IF(AC818&lt;判定条件!$C$6,"判定不能",IF(AD818&gt;=判定条件!$C$7*AC818,"運転",IF(AD818&lt;=判定条件!$C$8*AC818,"停止","断続")))</f>
        <v>停止</v>
      </c>
      <c r="AF818" s="30" t="n">
        <v>60</v>
      </c>
      <c r="AG818" s="30" t="n">
        <v>0</v>
      </c>
      <c r="AH818" s="30" t="str">
        <f aca="false">IF(OR(P818="判定不能",G818="判定不能"),"判定不能",IF(AG818&gt;=判定条件!$C$9,"利用可",IF(AND(P818="停止",G818="停止"),"両方停止","運転がそろわない")))</f>
        <v>両方停止</v>
      </c>
      <c r="AI818" s="30" t="n">
        <v>0</v>
      </c>
      <c r="AJ818" s="30" t="n">
        <v>0</v>
      </c>
      <c r="AK818" s="30" t="str">
        <f aca="false">IF(OR(S818="判定不能",J818="判定不能"),"判定不能",IF(AJ818&gt;=判定条件!$C$9,"利用可",IF(AND(S818="停止",J818="停止"),"両方停止","運転がそろわない")))</f>
        <v>判定不能</v>
      </c>
      <c r="AL818" s="30" t="n">
        <v>60</v>
      </c>
      <c r="AM818" s="30" t="n">
        <v>0</v>
      </c>
      <c r="AN818" s="30" t="str">
        <f aca="false">IF(OR(V818="判定不能",M818="判定不能"),"判定不能",IF(AM818&gt;=判定条件!$C$9,"利用可",IF(AND(V818="停止",M818="停止"),"両方停止","運転がそろわない")))</f>
        <v>両方停止</v>
      </c>
      <c r="AO818" s="30" t="n">
        <v>60</v>
      </c>
      <c r="AP818" s="30" t="n">
        <v>0</v>
      </c>
      <c r="AQ818" s="30" t="str">
        <f aca="false">IF(OR(Y818="判定不能",G818="判定不能"),"判定不能",IF(AP818&gt;=判定条件!$C$9,"利用可",IF(AND(Y818="停止",G818="停止"),"両方停止","運転がそろわない")))</f>
        <v>両方停止</v>
      </c>
      <c r="AR818" s="30" t="n">
        <v>0</v>
      </c>
      <c r="AS818" s="30" t="n">
        <v>0</v>
      </c>
      <c r="AT818" s="30" t="str">
        <f aca="false">IF(OR(AB818="判定不能",J818="判定不能"),"判定不能",IF(AS818&gt;=判定条件!$C$9,"利用可",IF(AND(AB818="停止",J818="停止"),"両方停止","運転がそろわない")))</f>
        <v>判定不能</v>
      </c>
      <c r="AU818" s="30" t="n">
        <v>60</v>
      </c>
      <c r="AV818" s="30" t="n">
        <v>0</v>
      </c>
      <c r="AW818" s="30" t="str">
        <f aca="false">IF(OR(AE818="判定不能",M818="判定不能"),"判定不能",IF(AV818&gt;=判定条件!$C$9,"利用可",IF(AND(AE818="停止",M818="停止"),"両方停止","運転がそろわない")))</f>
        <v>両方停止</v>
      </c>
      <c r="AX818" s="30" t="str">
        <f aca="false">IF(AND(AH818="利用可",AK818="利用可",AN818="利用可"),"利用可","不可")</f>
        <v>不可</v>
      </c>
      <c r="AY818" s="30" t="str">
        <f aca="false">IF(AND(AQ818="利用可",AT818="利用可",AW818="利用可"),"利用可","不可")</f>
        <v>不可</v>
      </c>
    </row>
    <row r="819" customFormat="false" ht="15" hidden="false" customHeight="false" outlineLevel="0" collapsed="false">
      <c r="A819" s="29" t="n">
        <v>46266</v>
      </c>
      <c r="B819" s="30" t="n">
        <v>0</v>
      </c>
      <c r="C819" s="31" t="s">
        <v>67</v>
      </c>
      <c r="D819" s="31" t="s">
        <v>59</v>
      </c>
      <c r="E819" s="30" t="n">
        <v>60</v>
      </c>
      <c r="F819" s="30" t="n">
        <v>0</v>
      </c>
      <c r="G819" s="30" t="str">
        <f aca="false">IF(E819&lt;判定条件!$C$6,"判定不能",IF(F819&gt;=判定条件!$C$7*E819,"運転",IF(F819&lt;=判定条件!$C$8*E819,"停止","断続")))</f>
        <v>停止</v>
      </c>
      <c r="H819" s="30" t="n">
        <v>0</v>
      </c>
      <c r="I819" s="30" t="n">
        <v>0</v>
      </c>
      <c r="J819" s="30" t="str">
        <f aca="false">IF(H819&lt;判定条件!$C$6,"判定不能",IF(I819&gt;=判定条件!$C$7*H819,"運転",IF(I819&lt;=判定条件!$C$8*H819,"停止","断続")))</f>
        <v>判定不能</v>
      </c>
      <c r="K819" s="30" t="n">
        <v>60</v>
      </c>
      <c r="L819" s="30" t="n">
        <v>0</v>
      </c>
      <c r="M819" s="30" t="str">
        <f aca="false">IF(K819&lt;判定条件!$C$6,"判定不能",IF(L819&gt;=判定条件!$C$7*K819,"運転",IF(L819&lt;=判定条件!$C$8*K819,"停止","断続")))</f>
        <v>停止</v>
      </c>
      <c r="N819" s="30" t="n">
        <v>60</v>
      </c>
      <c r="O819" s="30" t="n">
        <v>0</v>
      </c>
      <c r="P819" s="30" t="str">
        <f aca="false">IF(N819&lt;判定条件!$C$6,"判定不能",IF(O819&gt;=判定条件!$C$7*N819,"運転",IF(O819&lt;=判定条件!$C$8*N819,"停止","断続")))</f>
        <v>停止</v>
      </c>
      <c r="Q819" s="30" t="n">
        <v>60</v>
      </c>
      <c r="R819" s="30" t="n">
        <v>0</v>
      </c>
      <c r="S819" s="30" t="str">
        <f aca="false">IF(Q819&lt;判定条件!$C$6,"判定不能",IF(R819&gt;=判定条件!$C$7*Q819,"運転",IF(R819&lt;=判定条件!$C$8*Q819,"停止","断続")))</f>
        <v>停止</v>
      </c>
      <c r="T819" s="30" t="n">
        <v>60</v>
      </c>
      <c r="U819" s="30" t="n">
        <v>0</v>
      </c>
      <c r="V819" s="30" t="str">
        <f aca="false">IF(T819&lt;判定条件!$C$6,"判定不能",IF(U819&gt;=判定条件!$C$7*T819,"運転",IF(U819&lt;=判定条件!$C$8*T819,"停止","断続")))</f>
        <v>停止</v>
      </c>
      <c r="W819" s="30" t="n">
        <v>60</v>
      </c>
      <c r="X819" s="30" t="n">
        <v>0</v>
      </c>
      <c r="Y819" s="30" t="str">
        <f aca="false">IF(W819&lt;判定条件!$C$6,"判定不能",IF(X819&gt;=判定条件!$C$7*W819,"運転",IF(X819&lt;=判定条件!$C$8*W819,"停止","断続")))</f>
        <v>停止</v>
      </c>
      <c r="Z819" s="30" t="n">
        <v>60</v>
      </c>
      <c r="AA819" s="30" t="n">
        <v>0</v>
      </c>
      <c r="AB819" s="30" t="str">
        <f aca="false">IF(Z819&lt;判定条件!$C$6,"判定不能",IF(AA819&gt;=判定条件!$C$7*Z819,"運転",IF(AA819&lt;=判定条件!$C$8*Z819,"停止","断続")))</f>
        <v>停止</v>
      </c>
      <c r="AC819" s="30" t="n">
        <v>60</v>
      </c>
      <c r="AD819" s="30" t="n">
        <v>0</v>
      </c>
      <c r="AE819" s="30" t="str">
        <f aca="false">IF(AC819&lt;判定条件!$C$6,"判定不能",IF(AD819&gt;=判定条件!$C$7*AC819,"運転",IF(AD819&lt;=判定条件!$C$8*AC819,"停止","断続")))</f>
        <v>停止</v>
      </c>
      <c r="AF819" s="30" t="n">
        <v>60</v>
      </c>
      <c r="AG819" s="30" t="n">
        <v>0</v>
      </c>
      <c r="AH819" s="30" t="str">
        <f aca="false">IF(OR(P819="判定不能",G819="判定不能"),"判定不能",IF(AG819&gt;=判定条件!$C$9,"利用可",IF(AND(P819="停止",G819="停止"),"両方停止","運転がそろわない")))</f>
        <v>両方停止</v>
      </c>
      <c r="AI819" s="30" t="n">
        <v>0</v>
      </c>
      <c r="AJ819" s="30" t="n">
        <v>0</v>
      </c>
      <c r="AK819" s="30" t="str">
        <f aca="false">IF(OR(S819="判定不能",J819="判定不能"),"判定不能",IF(AJ819&gt;=判定条件!$C$9,"利用可",IF(AND(S819="停止",J819="停止"),"両方停止","運転がそろわない")))</f>
        <v>判定不能</v>
      </c>
      <c r="AL819" s="30" t="n">
        <v>60</v>
      </c>
      <c r="AM819" s="30" t="n">
        <v>0</v>
      </c>
      <c r="AN819" s="30" t="str">
        <f aca="false">IF(OR(V819="判定不能",M819="判定不能"),"判定不能",IF(AM819&gt;=判定条件!$C$9,"利用可",IF(AND(V819="停止",M819="停止"),"両方停止","運転がそろわない")))</f>
        <v>両方停止</v>
      </c>
      <c r="AO819" s="30" t="n">
        <v>60</v>
      </c>
      <c r="AP819" s="30" t="n">
        <v>0</v>
      </c>
      <c r="AQ819" s="30" t="str">
        <f aca="false">IF(OR(Y819="判定不能",G819="判定不能"),"判定不能",IF(AP819&gt;=判定条件!$C$9,"利用可",IF(AND(Y819="停止",G819="停止"),"両方停止","運転がそろわない")))</f>
        <v>両方停止</v>
      </c>
      <c r="AR819" s="30" t="n">
        <v>0</v>
      </c>
      <c r="AS819" s="30" t="n">
        <v>0</v>
      </c>
      <c r="AT819" s="30" t="str">
        <f aca="false">IF(OR(AB819="判定不能",J819="判定不能"),"判定不能",IF(AS819&gt;=判定条件!$C$9,"利用可",IF(AND(AB819="停止",J819="停止"),"両方停止","運転がそろわない")))</f>
        <v>判定不能</v>
      </c>
      <c r="AU819" s="30" t="n">
        <v>60</v>
      </c>
      <c r="AV819" s="30" t="n">
        <v>0</v>
      </c>
      <c r="AW819" s="30" t="str">
        <f aca="false">IF(OR(AE819="判定不能",M819="判定不能"),"判定不能",IF(AV819&gt;=判定条件!$C$9,"利用可",IF(AND(AE819="停止",M819="停止"),"両方停止","運転がそろわない")))</f>
        <v>両方停止</v>
      </c>
      <c r="AX819" s="30" t="str">
        <f aca="false">IF(AND(AH819="利用可",AK819="利用可",AN819="利用可"),"利用可","不可")</f>
        <v>不可</v>
      </c>
      <c r="AY819" s="30" t="str">
        <f aca="false">IF(AND(AQ819="利用可",AT819="利用可",AW819="利用可"),"利用可","不可")</f>
        <v>不可</v>
      </c>
    </row>
    <row r="820" customFormat="false" ht="15" hidden="false" customHeight="false" outlineLevel="0" collapsed="false">
      <c r="A820" s="29" t="n">
        <v>46266</v>
      </c>
      <c r="B820" s="30" t="n">
        <v>1</v>
      </c>
      <c r="C820" s="31" t="s">
        <v>67</v>
      </c>
      <c r="D820" s="31" t="s">
        <v>59</v>
      </c>
      <c r="E820" s="30" t="n">
        <v>60</v>
      </c>
      <c r="F820" s="30" t="n">
        <v>0</v>
      </c>
      <c r="G820" s="30" t="str">
        <f aca="false">IF(E820&lt;判定条件!$C$6,"判定不能",IF(F820&gt;=判定条件!$C$7*E820,"運転",IF(F820&lt;=判定条件!$C$8*E820,"停止","断続")))</f>
        <v>停止</v>
      </c>
      <c r="H820" s="30" t="n">
        <v>0</v>
      </c>
      <c r="I820" s="30" t="n">
        <v>0</v>
      </c>
      <c r="J820" s="30" t="str">
        <f aca="false">IF(H820&lt;判定条件!$C$6,"判定不能",IF(I820&gt;=判定条件!$C$7*H820,"運転",IF(I820&lt;=判定条件!$C$8*H820,"停止","断続")))</f>
        <v>判定不能</v>
      </c>
      <c r="K820" s="30" t="n">
        <v>60</v>
      </c>
      <c r="L820" s="30" t="n">
        <v>0</v>
      </c>
      <c r="M820" s="30" t="str">
        <f aca="false">IF(K820&lt;判定条件!$C$6,"判定不能",IF(L820&gt;=判定条件!$C$7*K820,"運転",IF(L820&lt;=判定条件!$C$8*K820,"停止","断続")))</f>
        <v>停止</v>
      </c>
      <c r="N820" s="30" t="n">
        <v>60</v>
      </c>
      <c r="O820" s="30" t="n">
        <v>0</v>
      </c>
      <c r="P820" s="30" t="str">
        <f aca="false">IF(N820&lt;判定条件!$C$6,"判定不能",IF(O820&gt;=判定条件!$C$7*N820,"運転",IF(O820&lt;=判定条件!$C$8*N820,"停止","断続")))</f>
        <v>停止</v>
      </c>
      <c r="Q820" s="30" t="n">
        <v>60</v>
      </c>
      <c r="R820" s="30" t="n">
        <v>0</v>
      </c>
      <c r="S820" s="30" t="str">
        <f aca="false">IF(Q820&lt;判定条件!$C$6,"判定不能",IF(R820&gt;=判定条件!$C$7*Q820,"運転",IF(R820&lt;=判定条件!$C$8*Q820,"停止","断続")))</f>
        <v>停止</v>
      </c>
      <c r="T820" s="30" t="n">
        <v>60</v>
      </c>
      <c r="U820" s="30" t="n">
        <v>0</v>
      </c>
      <c r="V820" s="30" t="str">
        <f aca="false">IF(T820&lt;判定条件!$C$6,"判定不能",IF(U820&gt;=判定条件!$C$7*T820,"運転",IF(U820&lt;=判定条件!$C$8*T820,"停止","断続")))</f>
        <v>停止</v>
      </c>
      <c r="W820" s="30" t="n">
        <v>60</v>
      </c>
      <c r="X820" s="30" t="n">
        <v>0</v>
      </c>
      <c r="Y820" s="30" t="str">
        <f aca="false">IF(W820&lt;判定条件!$C$6,"判定不能",IF(X820&gt;=判定条件!$C$7*W820,"運転",IF(X820&lt;=判定条件!$C$8*W820,"停止","断続")))</f>
        <v>停止</v>
      </c>
      <c r="Z820" s="30" t="n">
        <v>60</v>
      </c>
      <c r="AA820" s="30" t="n">
        <v>0</v>
      </c>
      <c r="AB820" s="30" t="str">
        <f aca="false">IF(Z820&lt;判定条件!$C$6,"判定不能",IF(AA820&gt;=判定条件!$C$7*Z820,"運転",IF(AA820&lt;=判定条件!$C$8*Z820,"停止","断続")))</f>
        <v>停止</v>
      </c>
      <c r="AC820" s="30" t="n">
        <v>60</v>
      </c>
      <c r="AD820" s="30" t="n">
        <v>0</v>
      </c>
      <c r="AE820" s="30" t="str">
        <f aca="false">IF(AC820&lt;判定条件!$C$6,"判定不能",IF(AD820&gt;=判定条件!$C$7*AC820,"運転",IF(AD820&lt;=判定条件!$C$8*AC820,"停止","断続")))</f>
        <v>停止</v>
      </c>
      <c r="AF820" s="30" t="n">
        <v>60</v>
      </c>
      <c r="AG820" s="30" t="n">
        <v>0</v>
      </c>
      <c r="AH820" s="30" t="str">
        <f aca="false">IF(OR(P820="判定不能",G820="判定不能"),"判定不能",IF(AG820&gt;=判定条件!$C$9,"利用可",IF(AND(P820="停止",G820="停止"),"両方停止","運転がそろわない")))</f>
        <v>両方停止</v>
      </c>
      <c r="AI820" s="30" t="n">
        <v>0</v>
      </c>
      <c r="AJ820" s="30" t="n">
        <v>0</v>
      </c>
      <c r="AK820" s="30" t="str">
        <f aca="false">IF(OR(S820="判定不能",J820="判定不能"),"判定不能",IF(AJ820&gt;=判定条件!$C$9,"利用可",IF(AND(S820="停止",J820="停止"),"両方停止","運転がそろわない")))</f>
        <v>判定不能</v>
      </c>
      <c r="AL820" s="30" t="n">
        <v>60</v>
      </c>
      <c r="AM820" s="30" t="n">
        <v>0</v>
      </c>
      <c r="AN820" s="30" t="str">
        <f aca="false">IF(OR(V820="判定不能",M820="判定不能"),"判定不能",IF(AM820&gt;=判定条件!$C$9,"利用可",IF(AND(V820="停止",M820="停止"),"両方停止","運転がそろわない")))</f>
        <v>両方停止</v>
      </c>
      <c r="AO820" s="30" t="n">
        <v>60</v>
      </c>
      <c r="AP820" s="30" t="n">
        <v>0</v>
      </c>
      <c r="AQ820" s="30" t="str">
        <f aca="false">IF(OR(Y820="判定不能",G820="判定不能"),"判定不能",IF(AP820&gt;=判定条件!$C$9,"利用可",IF(AND(Y820="停止",G820="停止"),"両方停止","運転がそろわない")))</f>
        <v>両方停止</v>
      </c>
      <c r="AR820" s="30" t="n">
        <v>0</v>
      </c>
      <c r="AS820" s="30" t="n">
        <v>0</v>
      </c>
      <c r="AT820" s="30" t="str">
        <f aca="false">IF(OR(AB820="判定不能",J820="判定不能"),"判定不能",IF(AS820&gt;=判定条件!$C$9,"利用可",IF(AND(AB820="停止",J820="停止"),"両方停止","運転がそろわない")))</f>
        <v>判定不能</v>
      </c>
      <c r="AU820" s="30" t="n">
        <v>60</v>
      </c>
      <c r="AV820" s="30" t="n">
        <v>0</v>
      </c>
      <c r="AW820" s="30" t="str">
        <f aca="false">IF(OR(AE820="判定不能",M820="判定不能"),"判定不能",IF(AV820&gt;=判定条件!$C$9,"利用可",IF(AND(AE820="停止",M820="停止"),"両方停止","運転がそろわない")))</f>
        <v>両方停止</v>
      </c>
      <c r="AX820" s="30" t="str">
        <f aca="false">IF(AND(AH820="利用可",AK820="利用可",AN820="利用可"),"利用可","不可")</f>
        <v>不可</v>
      </c>
      <c r="AY820" s="30" t="str">
        <f aca="false">IF(AND(AQ820="利用可",AT820="利用可",AW820="利用可"),"利用可","不可")</f>
        <v>不可</v>
      </c>
    </row>
    <row r="821" customFormat="false" ht="15" hidden="false" customHeight="false" outlineLevel="0" collapsed="false">
      <c r="A821" s="29" t="n">
        <v>46266</v>
      </c>
      <c r="B821" s="30" t="n">
        <v>2</v>
      </c>
      <c r="C821" s="31" t="s">
        <v>67</v>
      </c>
      <c r="D821" s="31" t="s">
        <v>59</v>
      </c>
      <c r="E821" s="30" t="n">
        <v>60</v>
      </c>
      <c r="F821" s="30" t="n">
        <v>0</v>
      </c>
      <c r="G821" s="30" t="str">
        <f aca="false">IF(E821&lt;判定条件!$C$6,"判定不能",IF(F821&gt;=判定条件!$C$7*E821,"運転",IF(F821&lt;=判定条件!$C$8*E821,"停止","断続")))</f>
        <v>停止</v>
      </c>
      <c r="H821" s="30" t="n">
        <v>0</v>
      </c>
      <c r="I821" s="30" t="n">
        <v>0</v>
      </c>
      <c r="J821" s="30" t="str">
        <f aca="false">IF(H821&lt;判定条件!$C$6,"判定不能",IF(I821&gt;=判定条件!$C$7*H821,"運転",IF(I821&lt;=判定条件!$C$8*H821,"停止","断続")))</f>
        <v>判定不能</v>
      </c>
      <c r="K821" s="30" t="n">
        <v>60</v>
      </c>
      <c r="L821" s="30" t="n">
        <v>0</v>
      </c>
      <c r="M821" s="30" t="str">
        <f aca="false">IF(K821&lt;判定条件!$C$6,"判定不能",IF(L821&gt;=判定条件!$C$7*K821,"運転",IF(L821&lt;=判定条件!$C$8*K821,"停止","断続")))</f>
        <v>停止</v>
      </c>
      <c r="N821" s="30" t="n">
        <v>60</v>
      </c>
      <c r="O821" s="30" t="n">
        <v>0</v>
      </c>
      <c r="P821" s="30" t="str">
        <f aca="false">IF(N821&lt;判定条件!$C$6,"判定不能",IF(O821&gt;=判定条件!$C$7*N821,"運転",IF(O821&lt;=判定条件!$C$8*N821,"停止","断続")))</f>
        <v>停止</v>
      </c>
      <c r="Q821" s="30" t="n">
        <v>60</v>
      </c>
      <c r="R821" s="30" t="n">
        <v>0</v>
      </c>
      <c r="S821" s="30" t="str">
        <f aca="false">IF(Q821&lt;判定条件!$C$6,"判定不能",IF(R821&gt;=判定条件!$C$7*Q821,"運転",IF(R821&lt;=判定条件!$C$8*Q821,"停止","断続")))</f>
        <v>停止</v>
      </c>
      <c r="T821" s="30" t="n">
        <v>60</v>
      </c>
      <c r="U821" s="30" t="n">
        <v>0</v>
      </c>
      <c r="V821" s="30" t="str">
        <f aca="false">IF(T821&lt;判定条件!$C$6,"判定不能",IF(U821&gt;=判定条件!$C$7*T821,"運転",IF(U821&lt;=判定条件!$C$8*T821,"停止","断続")))</f>
        <v>停止</v>
      </c>
      <c r="W821" s="30" t="n">
        <v>60</v>
      </c>
      <c r="X821" s="30" t="n">
        <v>0</v>
      </c>
      <c r="Y821" s="30" t="str">
        <f aca="false">IF(W821&lt;判定条件!$C$6,"判定不能",IF(X821&gt;=判定条件!$C$7*W821,"運転",IF(X821&lt;=判定条件!$C$8*W821,"停止","断続")))</f>
        <v>停止</v>
      </c>
      <c r="Z821" s="30" t="n">
        <v>60</v>
      </c>
      <c r="AA821" s="30" t="n">
        <v>0</v>
      </c>
      <c r="AB821" s="30" t="str">
        <f aca="false">IF(Z821&lt;判定条件!$C$6,"判定不能",IF(AA821&gt;=判定条件!$C$7*Z821,"運転",IF(AA821&lt;=判定条件!$C$8*Z821,"停止","断続")))</f>
        <v>停止</v>
      </c>
      <c r="AC821" s="30" t="n">
        <v>60</v>
      </c>
      <c r="AD821" s="30" t="n">
        <v>0</v>
      </c>
      <c r="AE821" s="30" t="str">
        <f aca="false">IF(AC821&lt;判定条件!$C$6,"判定不能",IF(AD821&gt;=判定条件!$C$7*AC821,"運転",IF(AD821&lt;=判定条件!$C$8*AC821,"停止","断続")))</f>
        <v>停止</v>
      </c>
      <c r="AF821" s="30" t="n">
        <v>60</v>
      </c>
      <c r="AG821" s="30" t="n">
        <v>0</v>
      </c>
      <c r="AH821" s="30" t="str">
        <f aca="false">IF(OR(P821="判定不能",G821="判定不能"),"判定不能",IF(AG821&gt;=判定条件!$C$9,"利用可",IF(AND(P821="停止",G821="停止"),"両方停止","運転がそろわない")))</f>
        <v>両方停止</v>
      </c>
      <c r="AI821" s="30" t="n">
        <v>0</v>
      </c>
      <c r="AJ821" s="30" t="n">
        <v>0</v>
      </c>
      <c r="AK821" s="30" t="str">
        <f aca="false">IF(OR(S821="判定不能",J821="判定不能"),"判定不能",IF(AJ821&gt;=判定条件!$C$9,"利用可",IF(AND(S821="停止",J821="停止"),"両方停止","運転がそろわない")))</f>
        <v>判定不能</v>
      </c>
      <c r="AL821" s="30" t="n">
        <v>60</v>
      </c>
      <c r="AM821" s="30" t="n">
        <v>0</v>
      </c>
      <c r="AN821" s="30" t="str">
        <f aca="false">IF(OR(V821="判定不能",M821="判定不能"),"判定不能",IF(AM821&gt;=判定条件!$C$9,"利用可",IF(AND(V821="停止",M821="停止"),"両方停止","運転がそろわない")))</f>
        <v>両方停止</v>
      </c>
      <c r="AO821" s="30" t="n">
        <v>60</v>
      </c>
      <c r="AP821" s="30" t="n">
        <v>0</v>
      </c>
      <c r="AQ821" s="30" t="str">
        <f aca="false">IF(OR(Y821="判定不能",G821="判定不能"),"判定不能",IF(AP821&gt;=判定条件!$C$9,"利用可",IF(AND(Y821="停止",G821="停止"),"両方停止","運転がそろわない")))</f>
        <v>両方停止</v>
      </c>
      <c r="AR821" s="30" t="n">
        <v>0</v>
      </c>
      <c r="AS821" s="30" t="n">
        <v>0</v>
      </c>
      <c r="AT821" s="30" t="str">
        <f aca="false">IF(OR(AB821="判定不能",J821="判定不能"),"判定不能",IF(AS821&gt;=判定条件!$C$9,"利用可",IF(AND(AB821="停止",J821="停止"),"両方停止","運転がそろわない")))</f>
        <v>判定不能</v>
      </c>
      <c r="AU821" s="30" t="n">
        <v>60</v>
      </c>
      <c r="AV821" s="30" t="n">
        <v>0</v>
      </c>
      <c r="AW821" s="30" t="str">
        <f aca="false">IF(OR(AE821="判定不能",M821="判定不能"),"判定不能",IF(AV821&gt;=判定条件!$C$9,"利用可",IF(AND(AE821="停止",M821="停止"),"両方停止","運転がそろわない")))</f>
        <v>両方停止</v>
      </c>
      <c r="AX821" s="30" t="str">
        <f aca="false">IF(AND(AH821="利用可",AK821="利用可",AN821="利用可"),"利用可","不可")</f>
        <v>不可</v>
      </c>
      <c r="AY821" s="30" t="str">
        <f aca="false">IF(AND(AQ821="利用可",AT821="利用可",AW821="利用可"),"利用可","不可")</f>
        <v>不可</v>
      </c>
    </row>
    <row r="822" customFormat="false" ht="15" hidden="false" customHeight="false" outlineLevel="0" collapsed="false">
      <c r="A822" s="29" t="n">
        <v>46266</v>
      </c>
      <c r="B822" s="30" t="n">
        <v>3</v>
      </c>
      <c r="C822" s="31" t="s">
        <v>67</v>
      </c>
      <c r="D822" s="31" t="s">
        <v>59</v>
      </c>
      <c r="E822" s="30" t="n">
        <v>60</v>
      </c>
      <c r="F822" s="30" t="n">
        <v>0</v>
      </c>
      <c r="G822" s="30" t="str">
        <f aca="false">IF(E822&lt;判定条件!$C$6,"判定不能",IF(F822&gt;=判定条件!$C$7*E822,"運転",IF(F822&lt;=判定条件!$C$8*E822,"停止","断続")))</f>
        <v>停止</v>
      </c>
      <c r="H822" s="30" t="n">
        <v>0</v>
      </c>
      <c r="I822" s="30" t="n">
        <v>0</v>
      </c>
      <c r="J822" s="30" t="str">
        <f aca="false">IF(H822&lt;判定条件!$C$6,"判定不能",IF(I822&gt;=判定条件!$C$7*H822,"運転",IF(I822&lt;=判定条件!$C$8*H822,"停止","断続")))</f>
        <v>判定不能</v>
      </c>
      <c r="K822" s="30" t="n">
        <v>60</v>
      </c>
      <c r="L822" s="30" t="n">
        <v>0</v>
      </c>
      <c r="M822" s="30" t="str">
        <f aca="false">IF(K822&lt;判定条件!$C$6,"判定不能",IF(L822&gt;=判定条件!$C$7*K822,"運転",IF(L822&lt;=判定条件!$C$8*K822,"停止","断続")))</f>
        <v>停止</v>
      </c>
      <c r="N822" s="30" t="n">
        <v>60</v>
      </c>
      <c r="O822" s="30" t="n">
        <v>0</v>
      </c>
      <c r="P822" s="30" t="str">
        <f aca="false">IF(N822&lt;判定条件!$C$6,"判定不能",IF(O822&gt;=判定条件!$C$7*N822,"運転",IF(O822&lt;=判定条件!$C$8*N822,"停止","断続")))</f>
        <v>停止</v>
      </c>
      <c r="Q822" s="30" t="n">
        <v>60</v>
      </c>
      <c r="R822" s="30" t="n">
        <v>0</v>
      </c>
      <c r="S822" s="30" t="str">
        <f aca="false">IF(Q822&lt;判定条件!$C$6,"判定不能",IF(R822&gt;=判定条件!$C$7*Q822,"運転",IF(R822&lt;=判定条件!$C$8*Q822,"停止","断続")))</f>
        <v>停止</v>
      </c>
      <c r="T822" s="30" t="n">
        <v>60</v>
      </c>
      <c r="U822" s="30" t="n">
        <v>0</v>
      </c>
      <c r="V822" s="30" t="str">
        <f aca="false">IF(T822&lt;判定条件!$C$6,"判定不能",IF(U822&gt;=判定条件!$C$7*T822,"運転",IF(U822&lt;=判定条件!$C$8*T822,"停止","断続")))</f>
        <v>停止</v>
      </c>
      <c r="W822" s="30" t="n">
        <v>60</v>
      </c>
      <c r="X822" s="30" t="n">
        <v>0</v>
      </c>
      <c r="Y822" s="30" t="str">
        <f aca="false">IF(W822&lt;判定条件!$C$6,"判定不能",IF(X822&gt;=判定条件!$C$7*W822,"運転",IF(X822&lt;=判定条件!$C$8*W822,"停止","断続")))</f>
        <v>停止</v>
      </c>
      <c r="Z822" s="30" t="n">
        <v>60</v>
      </c>
      <c r="AA822" s="30" t="n">
        <v>0</v>
      </c>
      <c r="AB822" s="30" t="str">
        <f aca="false">IF(Z822&lt;判定条件!$C$6,"判定不能",IF(AA822&gt;=判定条件!$C$7*Z822,"運転",IF(AA822&lt;=判定条件!$C$8*Z822,"停止","断続")))</f>
        <v>停止</v>
      </c>
      <c r="AC822" s="30" t="n">
        <v>60</v>
      </c>
      <c r="AD822" s="30" t="n">
        <v>0</v>
      </c>
      <c r="AE822" s="30" t="str">
        <f aca="false">IF(AC822&lt;判定条件!$C$6,"判定不能",IF(AD822&gt;=判定条件!$C$7*AC822,"運転",IF(AD822&lt;=判定条件!$C$8*AC822,"停止","断続")))</f>
        <v>停止</v>
      </c>
      <c r="AF822" s="30" t="n">
        <v>60</v>
      </c>
      <c r="AG822" s="30" t="n">
        <v>0</v>
      </c>
      <c r="AH822" s="30" t="str">
        <f aca="false">IF(OR(P822="判定不能",G822="判定不能"),"判定不能",IF(AG822&gt;=判定条件!$C$9,"利用可",IF(AND(P822="停止",G822="停止"),"両方停止","運転がそろわない")))</f>
        <v>両方停止</v>
      </c>
      <c r="AI822" s="30" t="n">
        <v>0</v>
      </c>
      <c r="AJ822" s="30" t="n">
        <v>0</v>
      </c>
      <c r="AK822" s="30" t="str">
        <f aca="false">IF(OR(S822="判定不能",J822="判定不能"),"判定不能",IF(AJ822&gt;=判定条件!$C$9,"利用可",IF(AND(S822="停止",J822="停止"),"両方停止","運転がそろわない")))</f>
        <v>判定不能</v>
      </c>
      <c r="AL822" s="30" t="n">
        <v>60</v>
      </c>
      <c r="AM822" s="30" t="n">
        <v>0</v>
      </c>
      <c r="AN822" s="30" t="str">
        <f aca="false">IF(OR(V822="判定不能",M822="判定不能"),"判定不能",IF(AM822&gt;=判定条件!$C$9,"利用可",IF(AND(V822="停止",M822="停止"),"両方停止","運転がそろわない")))</f>
        <v>両方停止</v>
      </c>
      <c r="AO822" s="30" t="n">
        <v>60</v>
      </c>
      <c r="AP822" s="30" t="n">
        <v>0</v>
      </c>
      <c r="AQ822" s="30" t="str">
        <f aca="false">IF(OR(Y822="判定不能",G822="判定不能"),"判定不能",IF(AP822&gt;=判定条件!$C$9,"利用可",IF(AND(Y822="停止",G822="停止"),"両方停止","運転がそろわない")))</f>
        <v>両方停止</v>
      </c>
      <c r="AR822" s="30" t="n">
        <v>0</v>
      </c>
      <c r="AS822" s="30" t="n">
        <v>0</v>
      </c>
      <c r="AT822" s="30" t="str">
        <f aca="false">IF(OR(AB822="判定不能",J822="判定不能"),"判定不能",IF(AS822&gt;=判定条件!$C$9,"利用可",IF(AND(AB822="停止",J822="停止"),"両方停止","運転がそろわない")))</f>
        <v>判定不能</v>
      </c>
      <c r="AU822" s="30" t="n">
        <v>60</v>
      </c>
      <c r="AV822" s="30" t="n">
        <v>0</v>
      </c>
      <c r="AW822" s="30" t="str">
        <f aca="false">IF(OR(AE822="判定不能",M822="判定不能"),"判定不能",IF(AV822&gt;=判定条件!$C$9,"利用可",IF(AND(AE822="停止",M822="停止"),"両方停止","運転がそろわない")))</f>
        <v>両方停止</v>
      </c>
      <c r="AX822" s="30" t="str">
        <f aca="false">IF(AND(AH822="利用可",AK822="利用可",AN822="利用可"),"利用可","不可")</f>
        <v>不可</v>
      </c>
      <c r="AY822" s="30" t="str">
        <f aca="false">IF(AND(AQ822="利用可",AT822="利用可",AW822="利用可"),"利用可","不可")</f>
        <v>不可</v>
      </c>
    </row>
    <row r="823" customFormat="false" ht="15" hidden="false" customHeight="false" outlineLevel="0" collapsed="false">
      <c r="A823" s="29" t="n">
        <v>46266</v>
      </c>
      <c r="B823" s="30" t="n">
        <v>4</v>
      </c>
      <c r="C823" s="31" t="s">
        <v>67</v>
      </c>
      <c r="D823" s="31" t="s">
        <v>59</v>
      </c>
      <c r="E823" s="30" t="n">
        <v>60</v>
      </c>
      <c r="F823" s="30" t="n">
        <v>0</v>
      </c>
      <c r="G823" s="30" t="str">
        <f aca="false">IF(E823&lt;判定条件!$C$6,"判定不能",IF(F823&gt;=判定条件!$C$7*E823,"運転",IF(F823&lt;=判定条件!$C$8*E823,"停止","断続")))</f>
        <v>停止</v>
      </c>
      <c r="H823" s="30" t="n">
        <v>0</v>
      </c>
      <c r="I823" s="30" t="n">
        <v>0</v>
      </c>
      <c r="J823" s="30" t="str">
        <f aca="false">IF(H823&lt;判定条件!$C$6,"判定不能",IF(I823&gt;=判定条件!$C$7*H823,"運転",IF(I823&lt;=判定条件!$C$8*H823,"停止","断続")))</f>
        <v>判定不能</v>
      </c>
      <c r="K823" s="30" t="n">
        <v>60</v>
      </c>
      <c r="L823" s="30" t="n">
        <v>0</v>
      </c>
      <c r="M823" s="30" t="str">
        <f aca="false">IF(K823&lt;判定条件!$C$6,"判定不能",IF(L823&gt;=判定条件!$C$7*K823,"運転",IF(L823&lt;=判定条件!$C$8*K823,"停止","断続")))</f>
        <v>停止</v>
      </c>
      <c r="N823" s="30" t="n">
        <v>60</v>
      </c>
      <c r="O823" s="30" t="n">
        <v>0</v>
      </c>
      <c r="P823" s="30" t="str">
        <f aca="false">IF(N823&lt;判定条件!$C$6,"判定不能",IF(O823&gt;=判定条件!$C$7*N823,"運転",IF(O823&lt;=判定条件!$C$8*N823,"停止","断続")))</f>
        <v>停止</v>
      </c>
      <c r="Q823" s="30" t="n">
        <v>60</v>
      </c>
      <c r="R823" s="30" t="n">
        <v>0</v>
      </c>
      <c r="S823" s="30" t="str">
        <f aca="false">IF(Q823&lt;判定条件!$C$6,"判定不能",IF(R823&gt;=判定条件!$C$7*Q823,"運転",IF(R823&lt;=判定条件!$C$8*Q823,"停止","断続")))</f>
        <v>停止</v>
      </c>
      <c r="T823" s="30" t="n">
        <v>60</v>
      </c>
      <c r="U823" s="30" t="n">
        <v>0</v>
      </c>
      <c r="V823" s="30" t="str">
        <f aca="false">IF(T823&lt;判定条件!$C$6,"判定不能",IF(U823&gt;=判定条件!$C$7*T823,"運転",IF(U823&lt;=判定条件!$C$8*T823,"停止","断続")))</f>
        <v>停止</v>
      </c>
      <c r="W823" s="30" t="n">
        <v>60</v>
      </c>
      <c r="X823" s="30" t="n">
        <v>0</v>
      </c>
      <c r="Y823" s="30" t="str">
        <f aca="false">IF(W823&lt;判定条件!$C$6,"判定不能",IF(X823&gt;=判定条件!$C$7*W823,"運転",IF(X823&lt;=判定条件!$C$8*W823,"停止","断続")))</f>
        <v>停止</v>
      </c>
      <c r="Z823" s="30" t="n">
        <v>60</v>
      </c>
      <c r="AA823" s="30" t="n">
        <v>0</v>
      </c>
      <c r="AB823" s="30" t="str">
        <f aca="false">IF(Z823&lt;判定条件!$C$6,"判定不能",IF(AA823&gt;=判定条件!$C$7*Z823,"運転",IF(AA823&lt;=判定条件!$C$8*Z823,"停止","断続")))</f>
        <v>停止</v>
      </c>
      <c r="AC823" s="30" t="n">
        <v>60</v>
      </c>
      <c r="AD823" s="30" t="n">
        <v>0</v>
      </c>
      <c r="AE823" s="30" t="str">
        <f aca="false">IF(AC823&lt;判定条件!$C$6,"判定不能",IF(AD823&gt;=判定条件!$C$7*AC823,"運転",IF(AD823&lt;=判定条件!$C$8*AC823,"停止","断続")))</f>
        <v>停止</v>
      </c>
      <c r="AF823" s="30" t="n">
        <v>60</v>
      </c>
      <c r="AG823" s="30" t="n">
        <v>0</v>
      </c>
      <c r="AH823" s="30" t="str">
        <f aca="false">IF(OR(P823="判定不能",G823="判定不能"),"判定不能",IF(AG823&gt;=判定条件!$C$9,"利用可",IF(AND(P823="停止",G823="停止"),"両方停止","運転がそろわない")))</f>
        <v>両方停止</v>
      </c>
      <c r="AI823" s="30" t="n">
        <v>0</v>
      </c>
      <c r="AJ823" s="30" t="n">
        <v>0</v>
      </c>
      <c r="AK823" s="30" t="str">
        <f aca="false">IF(OR(S823="判定不能",J823="判定不能"),"判定不能",IF(AJ823&gt;=判定条件!$C$9,"利用可",IF(AND(S823="停止",J823="停止"),"両方停止","運転がそろわない")))</f>
        <v>判定不能</v>
      </c>
      <c r="AL823" s="30" t="n">
        <v>60</v>
      </c>
      <c r="AM823" s="30" t="n">
        <v>0</v>
      </c>
      <c r="AN823" s="30" t="str">
        <f aca="false">IF(OR(V823="判定不能",M823="判定不能"),"判定不能",IF(AM823&gt;=判定条件!$C$9,"利用可",IF(AND(V823="停止",M823="停止"),"両方停止","運転がそろわない")))</f>
        <v>両方停止</v>
      </c>
      <c r="AO823" s="30" t="n">
        <v>60</v>
      </c>
      <c r="AP823" s="30" t="n">
        <v>0</v>
      </c>
      <c r="AQ823" s="30" t="str">
        <f aca="false">IF(OR(Y823="判定不能",G823="判定不能"),"判定不能",IF(AP823&gt;=判定条件!$C$9,"利用可",IF(AND(Y823="停止",G823="停止"),"両方停止","運転がそろわない")))</f>
        <v>両方停止</v>
      </c>
      <c r="AR823" s="30" t="n">
        <v>0</v>
      </c>
      <c r="AS823" s="30" t="n">
        <v>0</v>
      </c>
      <c r="AT823" s="30" t="str">
        <f aca="false">IF(OR(AB823="判定不能",J823="判定不能"),"判定不能",IF(AS823&gt;=判定条件!$C$9,"利用可",IF(AND(AB823="停止",J823="停止"),"両方停止","運転がそろわない")))</f>
        <v>判定不能</v>
      </c>
      <c r="AU823" s="30" t="n">
        <v>60</v>
      </c>
      <c r="AV823" s="30" t="n">
        <v>0</v>
      </c>
      <c r="AW823" s="30" t="str">
        <f aca="false">IF(OR(AE823="判定不能",M823="判定不能"),"判定不能",IF(AV823&gt;=判定条件!$C$9,"利用可",IF(AND(AE823="停止",M823="停止"),"両方停止","運転がそろわない")))</f>
        <v>両方停止</v>
      </c>
      <c r="AX823" s="30" t="str">
        <f aca="false">IF(AND(AH823="利用可",AK823="利用可",AN823="利用可"),"利用可","不可")</f>
        <v>不可</v>
      </c>
      <c r="AY823" s="30" t="str">
        <f aca="false">IF(AND(AQ823="利用可",AT823="利用可",AW823="利用可"),"利用可","不可")</f>
        <v>不可</v>
      </c>
    </row>
    <row r="824" customFormat="false" ht="15" hidden="false" customHeight="false" outlineLevel="0" collapsed="false">
      <c r="A824" s="29" t="n">
        <v>46266</v>
      </c>
      <c r="B824" s="30" t="n">
        <v>5</v>
      </c>
      <c r="C824" s="31" t="s">
        <v>67</v>
      </c>
      <c r="D824" s="31" t="s">
        <v>59</v>
      </c>
      <c r="E824" s="30" t="n">
        <v>60</v>
      </c>
      <c r="F824" s="30" t="n">
        <v>0</v>
      </c>
      <c r="G824" s="30" t="str">
        <f aca="false">IF(E824&lt;判定条件!$C$6,"判定不能",IF(F824&gt;=判定条件!$C$7*E824,"運転",IF(F824&lt;=判定条件!$C$8*E824,"停止","断続")))</f>
        <v>停止</v>
      </c>
      <c r="H824" s="30" t="n">
        <v>0</v>
      </c>
      <c r="I824" s="30" t="n">
        <v>0</v>
      </c>
      <c r="J824" s="30" t="str">
        <f aca="false">IF(H824&lt;判定条件!$C$6,"判定不能",IF(I824&gt;=判定条件!$C$7*H824,"運転",IF(I824&lt;=判定条件!$C$8*H824,"停止","断続")))</f>
        <v>判定不能</v>
      </c>
      <c r="K824" s="30" t="n">
        <v>60</v>
      </c>
      <c r="L824" s="30" t="n">
        <v>0</v>
      </c>
      <c r="M824" s="30" t="str">
        <f aca="false">IF(K824&lt;判定条件!$C$6,"判定不能",IF(L824&gt;=判定条件!$C$7*K824,"運転",IF(L824&lt;=判定条件!$C$8*K824,"停止","断続")))</f>
        <v>停止</v>
      </c>
      <c r="N824" s="30" t="n">
        <v>60</v>
      </c>
      <c r="O824" s="30" t="n">
        <v>0</v>
      </c>
      <c r="P824" s="30" t="str">
        <f aca="false">IF(N824&lt;判定条件!$C$6,"判定不能",IF(O824&gt;=判定条件!$C$7*N824,"運転",IF(O824&lt;=判定条件!$C$8*N824,"停止","断続")))</f>
        <v>停止</v>
      </c>
      <c r="Q824" s="30" t="n">
        <v>60</v>
      </c>
      <c r="R824" s="30" t="n">
        <v>0</v>
      </c>
      <c r="S824" s="30" t="str">
        <f aca="false">IF(Q824&lt;判定条件!$C$6,"判定不能",IF(R824&gt;=判定条件!$C$7*Q824,"運転",IF(R824&lt;=判定条件!$C$8*Q824,"停止","断続")))</f>
        <v>停止</v>
      </c>
      <c r="T824" s="30" t="n">
        <v>60</v>
      </c>
      <c r="U824" s="30" t="n">
        <v>0</v>
      </c>
      <c r="V824" s="30" t="str">
        <f aca="false">IF(T824&lt;判定条件!$C$6,"判定不能",IF(U824&gt;=判定条件!$C$7*T824,"運転",IF(U824&lt;=判定条件!$C$8*T824,"停止","断続")))</f>
        <v>停止</v>
      </c>
      <c r="W824" s="30" t="n">
        <v>60</v>
      </c>
      <c r="X824" s="30" t="n">
        <v>0</v>
      </c>
      <c r="Y824" s="30" t="str">
        <f aca="false">IF(W824&lt;判定条件!$C$6,"判定不能",IF(X824&gt;=判定条件!$C$7*W824,"運転",IF(X824&lt;=判定条件!$C$8*W824,"停止","断続")))</f>
        <v>停止</v>
      </c>
      <c r="Z824" s="30" t="n">
        <v>60</v>
      </c>
      <c r="AA824" s="30" t="n">
        <v>0</v>
      </c>
      <c r="AB824" s="30" t="str">
        <f aca="false">IF(Z824&lt;判定条件!$C$6,"判定不能",IF(AA824&gt;=判定条件!$C$7*Z824,"運転",IF(AA824&lt;=判定条件!$C$8*Z824,"停止","断続")))</f>
        <v>停止</v>
      </c>
      <c r="AC824" s="30" t="n">
        <v>60</v>
      </c>
      <c r="AD824" s="30" t="n">
        <v>0</v>
      </c>
      <c r="AE824" s="30" t="str">
        <f aca="false">IF(AC824&lt;判定条件!$C$6,"判定不能",IF(AD824&gt;=判定条件!$C$7*AC824,"運転",IF(AD824&lt;=判定条件!$C$8*AC824,"停止","断続")))</f>
        <v>停止</v>
      </c>
      <c r="AF824" s="30" t="n">
        <v>60</v>
      </c>
      <c r="AG824" s="30" t="n">
        <v>0</v>
      </c>
      <c r="AH824" s="30" t="str">
        <f aca="false">IF(OR(P824="判定不能",G824="判定不能"),"判定不能",IF(AG824&gt;=判定条件!$C$9,"利用可",IF(AND(P824="停止",G824="停止"),"両方停止","運転がそろわない")))</f>
        <v>両方停止</v>
      </c>
      <c r="AI824" s="30" t="n">
        <v>0</v>
      </c>
      <c r="AJ824" s="30" t="n">
        <v>0</v>
      </c>
      <c r="AK824" s="30" t="str">
        <f aca="false">IF(OR(S824="判定不能",J824="判定不能"),"判定不能",IF(AJ824&gt;=判定条件!$C$9,"利用可",IF(AND(S824="停止",J824="停止"),"両方停止","運転がそろわない")))</f>
        <v>判定不能</v>
      </c>
      <c r="AL824" s="30" t="n">
        <v>60</v>
      </c>
      <c r="AM824" s="30" t="n">
        <v>0</v>
      </c>
      <c r="AN824" s="30" t="str">
        <f aca="false">IF(OR(V824="判定不能",M824="判定不能"),"判定不能",IF(AM824&gt;=判定条件!$C$9,"利用可",IF(AND(V824="停止",M824="停止"),"両方停止","運転がそろわない")))</f>
        <v>両方停止</v>
      </c>
      <c r="AO824" s="30" t="n">
        <v>60</v>
      </c>
      <c r="AP824" s="30" t="n">
        <v>0</v>
      </c>
      <c r="AQ824" s="30" t="str">
        <f aca="false">IF(OR(Y824="判定不能",G824="判定不能"),"判定不能",IF(AP824&gt;=判定条件!$C$9,"利用可",IF(AND(Y824="停止",G824="停止"),"両方停止","運転がそろわない")))</f>
        <v>両方停止</v>
      </c>
      <c r="AR824" s="30" t="n">
        <v>0</v>
      </c>
      <c r="AS824" s="30" t="n">
        <v>0</v>
      </c>
      <c r="AT824" s="30" t="str">
        <f aca="false">IF(OR(AB824="判定不能",J824="判定不能"),"判定不能",IF(AS824&gt;=判定条件!$C$9,"利用可",IF(AND(AB824="停止",J824="停止"),"両方停止","運転がそろわない")))</f>
        <v>判定不能</v>
      </c>
      <c r="AU824" s="30" t="n">
        <v>60</v>
      </c>
      <c r="AV824" s="30" t="n">
        <v>0</v>
      </c>
      <c r="AW824" s="30" t="str">
        <f aca="false">IF(OR(AE824="判定不能",M824="判定不能"),"判定不能",IF(AV824&gt;=判定条件!$C$9,"利用可",IF(AND(AE824="停止",M824="停止"),"両方停止","運転がそろわない")))</f>
        <v>両方停止</v>
      </c>
      <c r="AX824" s="30" t="str">
        <f aca="false">IF(AND(AH824="利用可",AK824="利用可",AN824="利用可"),"利用可","不可")</f>
        <v>不可</v>
      </c>
      <c r="AY824" s="30" t="str">
        <f aca="false">IF(AND(AQ824="利用可",AT824="利用可",AW824="利用可"),"利用可","不可")</f>
        <v>不可</v>
      </c>
    </row>
    <row r="825" customFormat="false" ht="15" hidden="false" customHeight="false" outlineLevel="0" collapsed="false">
      <c r="A825" s="29" t="n">
        <v>46266</v>
      </c>
      <c r="B825" s="30" t="n">
        <v>6</v>
      </c>
      <c r="C825" s="31" t="s">
        <v>67</v>
      </c>
      <c r="D825" s="31" t="s">
        <v>59</v>
      </c>
      <c r="E825" s="30" t="n">
        <v>60</v>
      </c>
      <c r="F825" s="30" t="n">
        <v>0</v>
      </c>
      <c r="G825" s="30" t="str">
        <f aca="false">IF(E825&lt;判定条件!$C$6,"判定不能",IF(F825&gt;=判定条件!$C$7*E825,"運転",IF(F825&lt;=判定条件!$C$8*E825,"停止","断続")))</f>
        <v>停止</v>
      </c>
      <c r="H825" s="30" t="n">
        <v>0</v>
      </c>
      <c r="I825" s="30" t="n">
        <v>0</v>
      </c>
      <c r="J825" s="30" t="str">
        <f aca="false">IF(H825&lt;判定条件!$C$6,"判定不能",IF(I825&gt;=判定条件!$C$7*H825,"運転",IF(I825&lt;=判定条件!$C$8*H825,"停止","断続")))</f>
        <v>判定不能</v>
      </c>
      <c r="K825" s="30" t="n">
        <v>60</v>
      </c>
      <c r="L825" s="30" t="n">
        <v>0</v>
      </c>
      <c r="M825" s="30" t="str">
        <f aca="false">IF(K825&lt;判定条件!$C$6,"判定不能",IF(L825&gt;=判定条件!$C$7*K825,"運転",IF(L825&lt;=判定条件!$C$8*K825,"停止","断続")))</f>
        <v>停止</v>
      </c>
      <c r="N825" s="30" t="n">
        <v>60</v>
      </c>
      <c r="O825" s="30" t="n">
        <v>10</v>
      </c>
      <c r="P825" s="30" t="str">
        <f aca="false">IF(N825&lt;判定条件!$C$6,"判定不能",IF(O825&gt;=判定条件!$C$7*N825,"運転",IF(O825&lt;=判定条件!$C$8*N825,"停止","断続")))</f>
        <v>停止</v>
      </c>
      <c r="Q825" s="30" t="n">
        <v>60</v>
      </c>
      <c r="R825" s="30" t="n">
        <v>5</v>
      </c>
      <c r="S825" s="30" t="str">
        <f aca="false">IF(Q825&lt;判定条件!$C$6,"判定不能",IF(R825&gt;=判定条件!$C$7*Q825,"運転",IF(R825&lt;=判定条件!$C$8*Q825,"停止","断続")))</f>
        <v>停止</v>
      </c>
      <c r="T825" s="30" t="n">
        <v>60</v>
      </c>
      <c r="U825" s="30" t="n">
        <v>6</v>
      </c>
      <c r="V825" s="30" t="str">
        <f aca="false">IF(T825&lt;判定条件!$C$6,"判定不能",IF(U825&gt;=判定条件!$C$7*T825,"運転",IF(U825&lt;=判定条件!$C$8*T825,"停止","断続")))</f>
        <v>停止</v>
      </c>
      <c r="W825" s="30" t="n">
        <v>60</v>
      </c>
      <c r="X825" s="30" t="n">
        <v>27</v>
      </c>
      <c r="Y825" s="30" t="str">
        <f aca="false">IF(W825&lt;判定条件!$C$6,"判定不能",IF(X825&gt;=判定条件!$C$7*W825,"運転",IF(X825&lt;=判定条件!$C$8*W825,"停止","断続")))</f>
        <v>断続</v>
      </c>
      <c r="Z825" s="30" t="n">
        <v>60</v>
      </c>
      <c r="AA825" s="30" t="n">
        <v>28</v>
      </c>
      <c r="AB825" s="30" t="str">
        <f aca="false">IF(Z825&lt;判定条件!$C$6,"判定不能",IF(AA825&gt;=判定条件!$C$7*Z825,"運転",IF(AA825&lt;=判定条件!$C$8*Z825,"停止","断続")))</f>
        <v>断続</v>
      </c>
      <c r="AC825" s="30" t="n">
        <v>60</v>
      </c>
      <c r="AD825" s="30" t="n">
        <v>36</v>
      </c>
      <c r="AE825" s="30" t="str">
        <f aca="false">IF(AC825&lt;判定条件!$C$6,"判定不能",IF(AD825&gt;=判定条件!$C$7*AC825,"運転",IF(AD825&lt;=判定条件!$C$8*AC825,"停止","断続")))</f>
        <v>断続</v>
      </c>
      <c r="AF825" s="30" t="n">
        <v>60</v>
      </c>
      <c r="AG825" s="30" t="n">
        <v>0</v>
      </c>
      <c r="AH825" s="30" t="str">
        <f aca="false">IF(OR(P825="判定不能",G825="判定不能"),"判定不能",IF(AG825&gt;=判定条件!$C$9,"利用可",IF(AND(P825="停止",G825="停止"),"両方停止","運転がそろわない")))</f>
        <v>両方停止</v>
      </c>
      <c r="AI825" s="30" t="n">
        <v>0</v>
      </c>
      <c r="AJ825" s="30" t="n">
        <v>0</v>
      </c>
      <c r="AK825" s="30" t="str">
        <f aca="false">IF(OR(S825="判定不能",J825="判定不能"),"判定不能",IF(AJ825&gt;=判定条件!$C$9,"利用可",IF(AND(S825="停止",J825="停止"),"両方停止","運転がそろわない")))</f>
        <v>判定不能</v>
      </c>
      <c r="AL825" s="30" t="n">
        <v>60</v>
      </c>
      <c r="AM825" s="30" t="n">
        <v>0</v>
      </c>
      <c r="AN825" s="30" t="str">
        <f aca="false">IF(OR(V825="判定不能",M825="判定不能"),"判定不能",IF(AM825&gt;=判定条件!$C$9,"利用可",IF(AND(V825="停止",M825="停止"),"両方停止","運転がそろわない")))</f>
        <v>両方停止</v>
      </c>
      <c r="AO825" s="30" t="n">
        <v>60</v>
      </c>
      <c r="AP825" s="30" t="n">
        <v>0</v>
      </c>
      <c r="AQ825" s="30" t="str">
        <f aca="false">IF(OR(Y825="判定不能",G825="判定不能"),"判定不能",IF(AP825&gt;=判定条件!$C$9,"利用可",IF(AND(Y825="停止",G825="停止"),"両方停止","運転がそろわない")))</f>
        <v>運転がそろわない</v>
      </c>
      <c r="AR825" s="30" t="n">
        <v>0</v>
      </c>
      <c r="AS825" s="30" t="n">
        <v>0</v>
      </c>
      <c r="AT825" s="30" t="str">
        <f aca="false">IF(OR(AB825="判定不能",J825="判定不能"),"判定不能",IF(AS825&gt;=判定条件!$C$9,"利用可",IF(AND(AB825="停止",J825="停止"),"両方停止","運転がそろわない")))</f>
        <v>判定不能</v>
      </c>
      <c r="AU825" s="30" t="n">
        <v>60</v>
      </c>
      <c r="AV825" s="30" t="n">
        <v>0</v>
      </c>
      <c r="AW825" s="30" t="str">
        <f aca="false">IF(OR(AE825="判定不能",M825="判定不能"),"判定不能",IF(AV825&gt;=判定条件!$C$9,"利用可",IF(AND(AE825="停止",M825="停止"),"両方停止","運転がそろわない")))</f>
        <v>運転がそろわない</v>
      </c>
      <c r="AX825" s="30" t="str">
        <f aca="false">IF(AND(AH825="利用可",AK825="利用可",AN825="利用可"),"利用可","不可")</f>
        <v>不可</v>
      </c>
      <c r="AY825" s="30" t="str">
        <f aca="false">IF(AND(AQ825="利用可",AT825="利用可",AW825="利用可"),"利用可","不可")</f>
        <v>不可</v>
      </c>
    </row>
    <row r="826" customFormat="false" ht="15" hidden="false" customHeight="false" outlineLevel="0" collapsed="false">
      <c r="A826" s="29" t="n">
        <v>46266</v>
      </c>
      <c r="B826" s="30" t="n">
        <v>7</v>
      </c>
      <c r="C826" s="31" t="s">
        <v>67</v>
      </c>
      <c r="D826" s="31" t="s">
        <v>59</v>
      </c>
      <c r="E826" s="30" t="n">
        <v>60</v>
      </c>
      <c r="F826" s="30" t="n">
        <v>0</v>
      </c>
      <c r="G826" s="30" t="str">
        <f aca="false">IF(E826&lt;判定条件!$C$6,"判定不能",IF(F826&gt;=判定条件!$C$7*E826,"運転",IF(F826&lt;=判定条件!$C$8*E826,"停止","断続")))</f>
        <v>停止</v>
      </c>
      <c r="H826" s="30" t="n">
        <v>0</v>
      </c>
      <c r="I826" s="30" t="n">
        <v>0</v>
      </c>
      <c r="J826" s="30" t="str">
        <f aca="false">IF(H826&lt;判定条件!$C$6,"判定不能",IF(I826&gt;=判定条件!$C$7*H826,"運転",IF(I826&lt;=判定条件!$C$8*H826,"停止","断続")))</f>
        <v>判定不能</v>
      </c>
      <c r="K826" s="30" t="n">
        <v>60</v>
      </c>
      <c r="L826" s="30" t="n">
        <v>0</v>
      </c>
      <c r="M826" s="30" t="str">
        <f aca="false">IF(K826&lt;判定条件!$C$6,"判定不能",IF(L826&gt;=判定条件!$C$7*K826,"運転",IF(L826&lt;=判定条件!$C$8*K826,"停止","断続")))</f>
        <v>停止</v>
      </c>
      <c r="N826" s="30" t="n">
        <v>60</v>
      </c>
      <c r="O826" s="30" t="n">
        <v>28</v>
      </c>
      <c r="P826" s="30" t="str">
        <f aca="false">IF(N826&lt;判定条件!$C$6,"判定不能",IF(O826&gt;=判定条件!$C$7*N826,"運転",IF(O826&lt;=判定条件!$C$8*N826,"停止","断続")))</f>
        <v>断続</v>
      </c>
      <c r="Q826" s="30" t="n">
        <v>60</v>
      </c>
      <c r="R826" s="30" t="n">
        <v>27</v>
      </c>
      <c r="S826" s="30" t="str">
        <f aca="false">IF(Q826&lt;判定条件!$C$6,"判定不能",IF(R826&gt;=判定条件!$C$7*Q826,"運転",IF(R826&lt;=判定条件!$C$8*Q826,"停止","断続")))</f>
        <v>断続</v>
      </c>
      <c r="T826" s="30" t="n">
        <v>60</v>
      </c>
      <c r="U826" s="30" t="n">
        <v>60</v>
      </c>
      <c r="V826" s="30" t="str">
        <f aca="false">IF(T826&lt;判定条件!$C$6,"判定不能",IF(U826&gt;=判定条件!$C$7*T826,"運転",IF(U826&lt;=判定条件!$C$8*T826,"停止","断続")))</f>
        <v>運転</v>
      </c>
      <c r="W826" s="30" t="n">
        <v>60</v>
      </c>
      <c r="X826" s="30" t="n">
        <v>37</v>
      </c>
      <c r="Y826" s="30" t="str">
        <f aca="false">IF(W826&lt;判定条件!$C$6,"判定不能",IF(X826&gt;=判定条件!$C$7*W826,"運転",IF(X826&lt;=判定条件!$C$8*W826,"停止","断続")))</f>
        <v>断続</v>
      </c>
      <c r="Z826" s="30" t="n">
        <v>60</v>
      </c>
      <c r="AA826" s="30" t="n">
        <v>12</v>
      </c>
      <c r="AB826" s="30" t="str">
        <f aca="false">IF(Z826&lt;判定条件!$C$6,"判定不能",IF(AA826&gt;=判定条件!$C$7*Z826,"運転",IF(AA826&lt;=判定条件!$C$8*Z826,"停止","断続")))</f>
        <v>停止</v>
      </c>
      <c r="AC826" s="30" t="n">
        <v>60</v>
      </c>
      <c r="AD826" s="30" t="n">
        <v>60</v>
      </c>
      <c r="AE826" s="30" t="str">
        <f aca="false">IF(AC826&lt;判定条件!$C$6,"判定不能",IF(AD826&gt;=判定条件!$C$7*AC826,"運転",IF(AD826&lt;=判定条件!$C$8*AC826,"停止","断続")))</f>
        <v>運転</v>
      </c>
      <c r="AF826" s="30" t="n">
        <v>60</v>
      </c>
      <c r="AG826" s="30" t="n">
        <v>0</v>
      </c>
      <c r="AH826" s="30" t="str">
        <f aca="false">IF(OR(P826="判定不能",G826="判定不能"),"判定不能",IF(AG826&gt;=判定条件!$C$9,"利用可",IF(AND(P826="停止",G826="停止"),"両方停止","運転がそろわない")))</f>
        <v>運転がそろわない</v>
      </c>
      <c r="AI826" s="30" t="n">
        <v>0</v>
      </c>
      <c r="AJ826" s="30" t="n">
        <v>0</v>
      </c>
      <c r="AK826" s="30" t="str">
        <f aca="false">IF(OR(S826="判定不能",J826="判定不能"),"判定不能",IF(AJ826&gt;=判定条件!$C$9,"利用可",IF(AND(S826="停止",J826="停止"),"両方停止","運転がそろわない")))</f>
        <v>判定不能</v>
      </c>
      <c r="AL826" s="30" t="n">
        <v>60</v>
      </c>
      <c r="AM826" s="30" t="n">
        <v>0</v>
      </c>
      <c r="AN826" s="30" t="str">
        <f aca="false">IF(OR(V826="判定不能",M826="判定不能"),"判定不能",IF(AM826&gt;=判定条件!$C$9,"利用可",IF(AND(V826="停止",M826="停止"),"両方停止","運転がそろわない")))</f>
        <v>運転がそろわない</v>
      </c>
      <c r="AO826" s="30" t="n">
        <v>60</v>
      </c>
      <c r="AP826" s="30" t="n">
        <v>0</v>
      </c>
      <c r="AQ826" s="30" t="str">
        <f aca="false">IF(OR(Y826="判定不能",G826="判定不能"),"判定不能",IF(AP826&gt;=判定条件!$C$9,"利用可",IF(AND(Y826="停止",G826="停止"),"両方停止","運転がそろわない")))</f>
        <v>運転がそろわない</v>
      </c>
      <c r="AR826" s="30" t="n">
        <v>0</v>
      </c>
      <c r="AS826" s="30" t="n">
        <v>0</v>
      </c>
      <c r="AT826" s="30" t="str">
        <f aca="false">IF(OR(AB826="判定不能",J826="判定不能"),"判定不能",IF(AS826&gt;=判定条件!$C$9,"利用可",IF(AND(AB826="停止",J826="停止"),"両方停止","運転がそろわない")))</f>
        <v>判定不能</v>
      </c>
      <c r="AU826" s="30" t="n">
        <v>60</v>
      </c>
      <c r="AV826" s="30" t="n">
        <v>0</v>
      </c>
      <c r="AW826" s="30" t="str">
        <f aca="false">IF(OR(AE826="判定不能",M826="判定不能"),"判定不能",IF(AV826&gt;=判定条件!$C$9,"利用可",IF(AND(AE826="停止",M826="停止"),"両方停止","運転がそろわない")))</f>
        <v>運転がそろわない</v>
      </c>
      <c r="AX826" s="30" t="str">
        <f aca="false">IF(AND(AH826="利用可",AK826="利用可",AN826="利用可"),"利用可","不可")</f>
        <v>不可</v>
      </c>
      <c r="AY826" s="30" t="str">
        <f aca="false">IF(AND(AQ826="利用可",AT826="利用可",AW826="利用可"),"利用可","不可")</f>
        <v>不可</v>
      </c>
    </row>
    <row r="827" customFormat="false" ht="15" hidden="false" customHeight="false" outlineLevel="0" collapsed="false">
      <c r="A827" s="29" t="n">
        <v>46266</v>
      </c>
      <c r="B827" s="30" t="n">
        <v>8</v>
      </c>
      <c r="C827" s="31" t="s">
        <v>67</v>
      </c>
      <c r="D827" s="31" t="s">
        <v>59</v>
      </c>
      <c r="E827" s="30" t="n">
        <v>60</v>
      </c>
      <c r="F827" s="30" t="n">
        <v>0</v>
      </c>
      <c r="G827" s="30" t="str">
        <f aca="false">IF(E827&lt;判定条件!$C$6,"判定不能",IF(F827&gt;=判定条件!$C$7*E827,"運転",IF(F827&lt;=判定条件!$C$8*E827,"停止","断続")))</f>
        <v>停止</v>
      </c>
      <c r="H827" s="30" t="n">
        <v>0</v>
      </c>
      <c r="I827" s="30" t="n">
        <v>0</v>
      </c>
      <c r="J827" s="30" t="str">
        <f aca="false">IF(H827&lt;判定条件!$C$6,"判定不能",IF(I827&gt;=判定条件!$C$7*H827,"運転",IF(I827&lt;=判定条件!$C$8*H827,"停止","断続")))</f>
        <v>判定不能</v>
      </c>
      <c r="K827" s="30" t="n">
        <v>60</v>
      </c>
      <c r="L827" s="30" t="n">
        <v>0</v>
      </c>
      <c r="M827" s="30" t="str">
        <f aca="false">IF(K827&lt;判定条件!$C$6,"判定不能",IF(L827&gt;=判定条件!$C$7*K827,"運転",IF(L827&lt;=判定条件!$C$8*K827,"停止","断続")))</f>
        <v>停止</v>
      </c>
      <c r="N827" s="30" t="n">
        <v>60</v>
      </c>
      <c r="O827" s="30" t="n">
        <v>56</v>
      </c>
      <c r="P827" s="30" t="str">
        <f aca="false">IF(N827&lt;判定条件!$C$6,"判定不能",IF(O827&gt;=判定条件!$C$7*N827,"運転",IF(O827&lt;=判定条件!$C$8*N827,"停止","断続")))</f>
        <v>運転</v>
      </c>
      <c r="Q827" s="30" t="n">
        <v>60</v>
      </c>
      <c r="R827" s="30" t="n">
        <v>58</v>
      </c>
      <c r="S827" s="30" t="str">
        <f aca="false">IF(Q827&lt;判定条件!$C$6,"判定不能",IF(R827&gt;=判定条件!$C$7*Q827,"運転",IF(R827&lt;=判定条件!$C$8*Q827,"停止","断続")))</f>
        <v>運転</v>
      </c>
      <c r="T827" s="30" t="n">
        <v>60</v>
      </c>
      <c r="U827" s="30" t="n">
        <v>60</v>
      </c>
      <c r="V827" s="30" t="str">
        <f aca="false">IF(T827&lt;判定条件!$C$6,"判定不能",IF(U827&gt;=判定条件!$C$7*T827,"運転",IF(U827&lt;=判定条件!$C$8*T827,"停止","断続")))</f>
        <v>運転</v>
      </c>
      <c r="W827" s="30" t="n">
        <v>60</v>
      </c>
      <c r="X827" s="30" t="n">
        <v>44</v>
      </c>
      <c r="Y827" s="30" t="str">
        <f aca="false">IF(W827&lt;判定条件!$C$6,"判定不能",IF(X827&gt;=判定条件!$C$7*W827,"運転",IF(X827&lt;=判定条件!$C$8*W827,"停止","断続")))</f>
        <v>断続</v>
      </c>
      <c r="Z827" s="30" t="n">
        <v>60</v>
      </c>
      <c r="AA827" s="30" t="n">
        <v>57</v>
      </c>
      <c r="AB827" s="30" t="str">
        <f aca="false">IF(Z827&lt;判定条件!$C$6,"判定不能",IF(AA827&gt;=判定条件!$C$7*Z827,"運転",IF(AA827&lt;=判定条件!$C$8*Z827,"停止","断続")))</f>
        <v>運転</v>
      </c>
      <c r="AC827" s="30" t="n">
        <v>60</v>
      </c>
      <c r="AD827" s="30" t="n">
        <v>60</v>
      </c>
      <c r="AE827" s="30" t="str">
        <f aca="false">IF(AC827&lt;判定条件!$C$6,"判定不能",IF(AD827&gt;=判定条件!$C$7*AC827,"運転",IF(AD827&lt;=判定条件!$C$8*AC827,"停止","断続")))</f>
        <v>運転</v>
      </c>
      <c r="AF827" s="30" t="n">
        <v>60</v>
      </c>
      <c r="AG827" s="30" t="n">
        <v>0</v>
      </c>
      <c r="AH827" s="30" t="str">
        <f aca="false">IF(OR(P827="判定不能",G827="判定不能"),"判定不能",IF(AG827&gt;=判定条件!$C$9,"利用可",IF(AND(P827="停止",G827="停止"),"両方停止","運転がそろわない")))</f>
        <v>運転がそろわない</v>
      </c>
      <c r="AI827" s="30" t="n">
        <v>0</v>
      </c>
      <c r="AJ827" s="30" t="n">
        <v>0</v>
      </c>
      <c r="AK827" s="30" t="str">
        <f aca="false">IF(OR(S827="判定不能",J827="判定不能"),"判定不能",IF(AJ827&gt;=判定条件!$C$9,"利用可",IF(AND(S827="停止",J827="停止"),"両方停止","運転がそろわない")))</f>
        <v>判定不能</v>
      </c>
      <c r="AL827" s="30" t="n">
        <v>60</v>
      </c>
      <c r="AM827" s="30" t="n">
        <v>0</v>
      </c>
      <c r="AN827" s="30" t="str">
        <f aca="false">IF(OR(V827="判定不能",M827="判定不能"),"判定不能",IF(AM827&gt;=判定条件!$C$9,"利用可",IF(AND(V827="停止",M827="停止"),"両方停止","運転がそろわない")))</f>
        <v>運転がそろわない</v>
      </c>
      <c r="AO827" s="30" t="n">
        <v>60</v>
      </c>
      <c r="AP827" s="30" t="n">
        <v>0</v>
      </c>
      <c r="AQ827" s="30" t="str">
        <f aca="false">IF(OR(Y827="判定不能",G827="判定不能"),"判定不能",IF(AP827&gt;=判定条件!$C$9,"利用可",IF(AND(Y827="停止",G827="停止"),"両方停止","運転がそろわない")))</f>
        <v>運転がそろわない</v>
      </c>
      <c r="AR827" s="30" t="n">
        <v>0</v>
      </c>
      <c r="AS827" s="30" t="n">
        <v>0</v>
      </c>
      <c r="AT827" s="30" t="str">
        <f aca="false">IF(OR(AB827="判定不能",J827="判定不能"),"判定不能",IF(AS827&gt;=判定条件!$C$9,"利用可",IF(AND(AB827="停止",J827="停止"),"両方停止","運転がそろわない")))</f>
        <v>判定不能</v>
      </c>
      <c r="AU827" s="30" t="n">
        <v>60</v>
      </c>
      <c r="AV827" s="30" t="n">
        <v>0</v>
      </c>
      <c r="AW827" s="30" t="str">
        <f aca="false">IF(OR(AE827="判定不能",M827="判定不能"),"判定不能",IF(AV827&gt;=判定条件!$C$9,"利用可",IF(AND(AE827="停止",M827="停止"),"両方停止","運転がそろわない")))</f>
        <v>運転がそろわない</v>
      </c>
      <c r="AX827" s="30" t="str">
        <f aca="false">IF(AND(AH827="利用可",AK827="利用可",AN827="利用可"),"利用可","不可")</f>
        <v>不可</v>
      </c>
      <c r="AY827" s="30" t="str">
        <f aca="false">IF(AND(AQ827="利用可",AT827="利用可",AW827="利用可"),"利用可","不可")</f>
        <v>不可</v>
      </c>
    </row>
    <row r="828" customFormat="false" ht="15" hidden="false" customHeight="false" outlineLevel="0" collapsed="false">
      <c r="A828" s="29" t="n">
        <v>46266</v>
      </c>
      <c r="B828" s="30" t="n">
        <v>9</v>
      </c>
      <c r="C828" s="31" t="s">
        <v>67</v>
      </c>
      <c r="D828" s="31" t="s">
        <v>59</v>
      </c>
      <c r="E828" s="30" t="n">
        <v>60</v>
      </c>
      <c r="F828" s="30" t="n">
        <v>42</v>
      </c>
      <c r="G828" s="30" t="str">
        <f aca="false">IF(E828&lt;判定条件!$C$6,"判定不能",IF(F828&gt;=判定条件!$C$7*E828,"運転",IF(F828&lt;=判定条件!$C$8*E828,"停止","断続")))</f>
        <v>断続</v>
      </c>
      <c r="H828" s="30" t="n">
        <v>0</v>
      </c>
      <c r="I828" s="30" t="n">
        <v>0</v>
      </c>
      <c r="J828" s="30" t="str">
        <f aca="false">IF(H828&lt;判定条件!$C$6,"判定不能",IF(I828&gt;=判定条件!$C$7*H828,"運転",IF(I828&lt;=判定条件!$C$8*H828,"停止","断続")))</f>
        <v>判定不能</v>
      </c>
      <c r="K828" s="30" t="n">
        <v>60</v>
      </c>
      <c r="L828" s="30" t="n">
        <v>41</v>
      </c>
      <c r="M828" s="30" t="str">
        <f aca="false">IF(K828&lt;判定条件!$C$6,"判定不能",IF(L828&gt;=判定条件!$C$7*K828,"運転",IF(L828&lt;=判定条件!$C$8*K828,"停止","断続")))</f>
        <v>断続</v>
      </c>
      <c r="N828" s="30" t="n">
        <v>60</v>
      </c>
      <c r="O828" s="30" t="n">
        <v>52</v>
      </c>
      <c r="P828" s="30" t="str">
        <f aca="false">IF(N828&lt;判定条件!$C$6,"判定不能",IF(O828&gt;=判定条件!$C$7*N828,"運転",IF(O828&lt;=判定条件!$C$8*N828,"停止","断続")))</f>
        <v>運転</v>
      </c>
      <c r="Q828" s="30" t="n">
        <v>60</v>
      </c>
      <c r="R828" s="30" t="n">
        <v>60</v>
      </c>
      <c r="S828" s="30" t="str">
        <f aca="false">IF(Q828&lt;判定条件!$C$6,"判定不能",IF(R828&gt;=判定条件!$C$7*Q828,"運転",IF(R828&lt;=判定条件!$C$8*Q828,"停止","断続")))</f>
        <v>運転</v>
      </c>
      <c r="T828" s="30" t="n">
        <v>60</v>
      </c>
      <c r="U828" s="30" t="n">
        <v>60</v>
      </c>
      <c r="V828" s="30" t="str">
        <f aca="false">IF(T828&lt;判定条件!$C$6,"判定不能",IF(U828&gt;=判定条件!$C$7*T828,"運転",IF(U828&lt;=判定条件!$C$8*T828,"停止","断続")))</f>
        <v>運転</v>
      </c>
      <c r="W828" s="30" t="n">
        <v>60</v>
      </c>
      <c r="X828" s="30" t="n">
        <v>49</v>
      </c>
      <c r="Y828" s="30" t="str">
        <f aca="false">IF(W828&lt;判定条件!$C$6,"判定不能",IF(X828&gt;=判定条件!$C$7*W828,"運転",IF(X828&lt;=判定条件!$C$8*W828,"停止","断続")))</f>
        <v>運転</v>
      </c>
      <c r="Z828" s="30" t="n">
        <v>60</v>
      </c>
      <c r="AA828" s="30" t="n">
        <v>60</v>
      </c>
      <c r="AB828" s="30" t="str">
        <f aca="false">IF(Z828&lt;判定条件!$C$6,"判定不能",IF(AA828&gt;=判定条件!$C$7*Z828,"運転",IF(AA828&lt;=判定条件!$C$8*Z828,"停止","断続")))</f>
        <v>運転</v>
      </c>
      <c r="AC828" s="30" t="n">
        <v>60</v>
      </c>
      <c r="AD828" s="30" t="n">
        <v>60</v>
      </c>
      <c r="AE828" s="30" t="str">
        <f aca="false">IF(AC828&lt;判定条件!$C$6,"判定不能",IF(AD828&gt;=判定条件!$C$7*AC828,"運転",IF(AD828&lt;=判定条件!$C$8*AC828,"停止","断続")))</f>
        <v>運転</v>
      </c>
      <c r="AF828" s="30" t="n">
        <v>60</v>
      </c>
      <c r="AG828" s="30" t="n">
        <v>42</v>
      </c>
      <c r="AH828" s="30" t="str">
        <f aca="false">IF(OR(P828="判定不能",G828="判定不能"),"判定不能",IF(AG828&gt;=判定条件!$C$9,"利用可",IF(AND(P828="停止",G828="停止"),"両方停止","運転がそろわない")))</f>
        <v>利用可</v>
      </c>
      <c r="AI828" s="30" t="n">
        <v>0</v>
      </c>
      <c r="AJ828" s="30" t="n">
        <v>0</v>
      </c>
      <c r="AK828" s="30" t="str">
        <f aca="false">IF(OR(S828="判定不能",J828="判定不能"),"判定不能",IF(AJ828&gt;=判定条件!$C$9,"利用可",IF(AND(S828="停止",J828="停止"),"両方停止","運転がそろわない")))</f>
        <v>判定不能</v>
      </c>
      <c r="AL828" s="30" t="n">
        <v>60</v>
      </c>
      <c r="AM828" s="30" t="n">
        <v>41</v>
      </c>
      <c r="AN828" s="30" t="str">
        <f aca="false">IF(OR(V828="判定不能",M828="判定不能"),"判定不能",IF(AM828&gt;=判定条件!$C$9,"利用可",IF(AND(V828="停止",M828="停止"),"両方停止","運転がそろわない")))</f>
        <v>利用可</v>
      </c>
      <c r="AO828" s="30" t="n">
        <v>60</v>
      </c>
      <c r="AP828" s="30" t="n">
        <v>34</v>
      </c>
      <c r="AQ828" s="30" t="str">
        <f aca="false">IF(OR(Y828="判定不能",G828="判定不能"),"判定不能",IF(AP828&gt;=判定条件!$C$9,"利用可",IF(AND(Y828="停止",G828="停止"),"両方停止","運転がそろわない")))</f>
        <v>利用可</v>
      </c>
      <c r="AR828" s="30" t="n">
        <v>0</v>
      </c>
      <c r="AS828" s="30" t="n">
        <v>0</v>
      </c>
      <c r="AT828" s="30" t="str">
        <f aca="false">IF(OR(AB828="判定不能",J828="判定不能"),"判定不能",IF(AS828&gt;=判定条件!$C$9,"利用可",IF(AND(AB828="停止",J828="停止"),"両方停止","運転がそろわない")))</f>
        <v>判定不能</v>
      </c>
      <c r="AU828" s="30" t="n">
        <v>60</v>
      </c>
      <c r="AV828" s="30" t="n">
        <v>41</v>
      </c>
      <c r="AW828" s="30" t="str">
        <f aca="false">IF(OR(AE828="判定不能",M828="判定不能"),"判定不能",IF(AV828&gt;=判定条件!$C$9,"利用可",IF(AND(AE828="停止",M828="停止"),"両方停止","運転がそろわない")))</f>
        <v>利用可</v>
      </c>
      <c r="AX828" s="30" t="str">
        <f aca="false">IF(AND(AH828="利用可",AK828="利用可",AN828="利用可"),"利用可","不可")</f>
        <v>不可</v>
      </c>
      <c r="AY828" s="30" t="str">
        <f aca="false">IF(AND(AQ828="利用可",AT828="利用可",AW828="利用可"),"利用可","不可")</f>
        <v>不可</v>
      </c>
    </row>
    <row r="829" customFormat="false" ht="15" hidden="false" customHeight="false" outlineLevel="0" collapsed="false">
      <c r="A829" s="29" t="n">
        <v>46266</v>
      </c>
      <c r="B829" s="30" t="n">
        <v>10</v>
      </c>
      <c r="C829" s="31" t="s">
        <v>67</v>
      </c>
      <c r="D829" s="31" t="s">
        <v>59</v>
      </c>
      <c r="E829" s="30" t="n">
        <v>60</v>
      </c>
      <c r="F829" s="30" t="n">
        <v>60</v>
      </c>
      <c r="G829" s="30" t="str">
        <f aca="false">IF(E829&lt;判定条件!$C$6,"判定不能",IF(F829&gt;=判定条件!$C$7*E829,"運転",IF(F829&lt;=判定条件!$C$8*E829,"停止","断続")))</f>
        <v>運転</v>
      </c>
      <c r="H829" s="30" t="n">
        <v>0</v>
      </c>
      <c r="I829" s="30" t="n">
        <v>0</v>
      </c>
      <c r="J829" s="30" t="str">
        <f aca="false">IF(H829&lt;判定条件!$C$6,"判定不能",IF(I829&gt;=判定条件!$C$7*H829,"運転",IF(I829&lt;=判定条件!$C$8*H829,"停止","断続")))</f>
        <v>判定不能</v>
      </c>
      <c r="K829" s="30" t="n">
        <v>60</v>
      </c>
      <c r="L829" s="30" t="n">
        <v>60</v>
      </c>
      <c r="M829" s="30" t="str">
        <f aca="false">IF(K829&lt;判定条件!$C$6,"判定不能",IF(L829&gt;=判定条件!$C$7*K829,"運転",IF(L829&lt;=判定条件!$C$8*K829,"停止","断続")))</f>
        <v>運転</v>
      </c>
      <c r="N829" s="30" t="n">
        <v>60</v>
      </c>
      <c r="O829" s="30" t="n">
        <v>58</v>
      </c>
      <c r="P829" s="30" t="str">
        <f aca="false">IF(N829&lt;判定条件!$C$6,"判定不能",IF(O829&gt;=判定条件!$C$7*N829,"運転",IF(O829&lt;=判定条件!$C$8*N829,"停止","断続")))</f>
        <v>運転</v>
      </c>
      <c r="Q829" s="30" t="n">
        <v>60</v>
      </c>
      <c r="R829" s="30" t="n">
        <v>60</v>
      </c>
      <c r="S829" s="30" t="str">
        <f aca="false">IF(Q829&lt;判定条件!$C$6,"判定不能",IF(R829&gt;=判定条件!$C$7*Q829,"運転",IF(R829&lt;=判定条件!$C$8*Q829,"停止","断続")))</f>
        <v>運転</v>
      </c>
      <c r="T829" s="30" t="n">
        <v>60</v>
      </c>
      <c r="U829" s="30" t="n">
        <v>60</v>
      </c>
      <c r="V829" s="30" t="str">
        <f aca="false">IF(T829&lt;判定条件!$C$6,"判定不能",IF(U829&gt;=判定条件!$C$7*T829,"運転",IF(U829&lt;=判定条件!$C$8*T829,"停止","断続")))</f>
        <v>運転</v>
      </c>
      <c r="W829" s="30" t="n">
        <v>60</v>
      </c>
      <c r="X829" s="30" t="n">
        <v>41</v>
      </c>
      <c r="Y829" s="30" t="str">
        <f aca="false">IF(W829&lt;判定条件!$C$6,"判定不能",IF(X829&gt;=判定条件!$C$7*W829,"運転",IF(X829&lt;=判定条件!$C$8*W829,"停止","断続")))</f>
        <v>断続</v>
      </c>
      <c r="Z829" s="30" t="n">
        <v>60</v>
      </c>
      <c r="AA829" s="30" t="n">
        <v>60</v>
      </c>
      <c r="AB829" s="30" t="str">
        <f aca="false">IF(Z829&lt;判定条件!$C$6,"判定不能",IF(AA829&gt;=判定条件!$C$7*Z829,"運転",IF(AA829&lt;=判定条件!$C$8*Z829,"停止","断続")))</f>
        <v>運転</v>
      </c>
      <c r="AC829" s="30" t="n">
        <v>60</v>
      </c>
      <c r="AD829" s="30" t="n">
        <v>60</v>
      </c>
      <c r="AE829" s="30" t="str">
        <f aca="false">IF(AC829&lt;判定条件!$C$6,"判定不能",IF(AD829&gt;=判定条件!$C$7*AC829,"運転",IF(AD829&lt;=判定条件!$C$8*AC829,"停止","断続")))</f>
        <v>運転</v>
      </c>
      <c r="AF829" s="30" t="n">
        <v>60</v>
      </c>
      <c r="AG829" s="30" t="n">
        <v>58</v>
      </c>
      <c r="AH829" s="30" t="str">
        <f aca="false">IF(OR(P829="判定不能",G829="判定不能"),"判定不能",IF(AG829&gt;=判定条件!$C$9,"利用可",IF(AND(P829="停止",G829="停止"),"両方停止","運転がそろわない")))</f>
        <v>利用可</v>
      </c>
      <c r="AI829" s="30" t="n">
        <v>0</v>
      </c>
      <c r="AJ829" s="30" t="n">
        <v>0</v>
      </c>
      <c r="AK829" s="30" t="str">
        <f aca="false">IF(OR(S829="判定不能",J829="判定不能"),"判定不能",IF(AJ829&gt;=判定条件!$C$9,"利用可",IF(AND(S829="停止",J829="停止"),"両方停止","運転がそろわない")))</f>
        <v>判定不能</v>
      </c>
      <c r="AL829" s="30" t="n">
        <v>60</v>
      </c>
      <c r="AM829" s="30" t="n">
        <v>60</v>
      </c>
      <c r="AN829" s="30" t="str">
        <f aca="false">IF(OR(V829="判定不能",M829="判定不能"),"判定不能",IF(AM829&gt;=判定条件!$C$9,"利用可",IF(AND(V829="停止",M829="停止"),"両方停止","運転がそろわない")))</f>
        <v>利用可</v>
      </c>
      <c r="AO829" s="30" t="n">
        <v>60</v>
      </c>
      <c r="AP829" s="30" t="n">
        <v>41</v>
      </c>
      <c r="AQ829" s="30" t="str">
        <f aca="false">IF(OR(Y829="判定不能",G829="判定不能"),"判定不能",IF(AP829&gt;=判定条件!$C$9,"利用可",IF(AND(Y829="停止",G829="停止"),"両方停止","運転がそろわない")))</f>
        <v>利用可</v>
      </c>
      <c r="AR829" s="30" t="n">
        <v>0</v>
      </c>
      <c r="AS829" s="30" t="n">
        <v>0</v>
      </c>
      <c r="AT829" s="30" t="str">
        <f aca="false">IF(OR(AB829="判定不能",J829="判定不能"),"判定不能",IF(AS829&gt;=判定条件!$C$9,"利用可",IF(AND(AB829="停止",J829="停止"),"両方停止","運転がそろわない")))</f>
        <v>判定不能</v>
      </c>
      <c r="AU829" s="30" t="n">
        <v>60</v>
      </c>
      <c r="AV829" s="30" t="n">
        <v>60</v>
      </c>
      <c r="AW829" s="30" t="str">
        <f aca="false">IF(OR(AE829="判定不能",M829="判定不能"),"判定不能",IF(AV829&gt;=判定条件!$C$9,"利用可",IF(AND(AE829="停止",M829="停止"),"両方停止","運転がそろわない")))</f>
        <v>利用可</v>
      </c>
      <c r="AX829" s="30" t="str">
        <f aca="false">IF(AND(AH829="利用可",AK829="利用可",AN829="利用可"),"利用可","不可")</f>
        <v>不可</v>
      </c>
      <c r="AY829" s="30" t="str">
        <f aca="false">IF(AND(AQ829="利用可",AT829="利用可",AW829="利用可"),"利用可","不可")</f>
        <v>不可</v>
      </c>
    </row>
    <row r="830" customFormat="false" ht="15" hidden="false" customHeight="false" outlineLevel="0" collapsed="false">
      <c r="A830" s="29" t="n">
        <v>46266</v>
      </c>
      <c r="B830" s="30" t="n">
        <v>11</v>
      </c>
      <c r="C830" s="31" t="s">
        <v>67</v>
      </c>
      <c r="D830" s="31" t="s">
        <v>59</v>
      </c>
      <c r="E830" s="30" t="n">
        <v>60</v>
      </c>
      <c r="F830" s="30" t="n">
        <v>60</v>
      </c>
      <c r="G830" s="30" t="str">
        <f aca="false">IF(E830&lt;判定条件!$C$6,"判定不能",IF(F830&gt;=判定条件!$C$7*E830,"運転",IF(F830&lt;=判定条件!$C$8*E830,"停止","断続")))</f>
        <v>運転</v>
      </c>
      <c r="H830" s="30" t="n">
        <v>0</v>
      </c>
      <c r="I830" s="30" t="n">
        <v>0</v>
      </c>
      <c r="J830" s="30" t="str">
        <f aca="false">IF(H830&lt;判定条件!$C$6,"判定不能",IF(I830&gt;=判定条件!$C$7*H830,"運転",IF(I830&lt;=判定条件!$C$8*H830,"停止","断続")))</f>
        <v>判定不能</v>
      </c>
      <c r="K830" s="30" t="n">
        <v>60</v>
      </c>
      <c r="L830" s="30" t="n">
        <v>60</v>
      </c>
      <c r="M830" s="30" t="str">
        <f aca="false">IF(K830&lt;判定条件!$C$6,"判定不能",IF(L830&gt;=判定条件!$C$7*K830,"運転",IF(L830&lt;=判定条件!$C$8*K830,"停止","断続")))</f>
        <v>運転</v>
      </c>
      <c r="N830" s="30" t="n">
        <v>60</v>
      </c>
      <c r="O830" s="30" t="n">
        <v>33</v>
      </c>
      <c r="P830" s="30" t="str">
        <f aca="false">IF(N830&lt;判定条件!$C$6,"判定不能",IF(O830&gt;=判定条件!$C$7*N830,"運転",IF(O830&lt;=判定条件!$C$8*N830,"停止","断続")))</f>
        <v>断続</v>
      </c>
      <c r="Q830" s="30" t="n">
        <v>60</v>
      </c>
      <c r="R830" s="30" t="n">
        <v>60</v>
      </c>
      <c r="S830" s="30" t="str">
        <f aca="false">IF(Q830&lt;判定条件!$C$6,"判定不能",IF(R830&gt;=判定条件!$C$7*Q830,"運転",IF(R830&lt;=判定条件!$C$8*Q830,"停止","断続")))</f>
        <v>運転</v>
      </c>
      <c r="T830" s="30" t="n">
        <v>60</v>
      </c>
      <c r="U830" s="30" t="n">
        <v>60</v>
      </c>
      <c r="V830" s="30" t="str">
        <f aca="false">IF(T830&lt;判定条件!$C$6,"判定不能",IF(U830&gt;=判定条件!$C$7*T830,"運転",IF(U830&lt;=判定条件!$C$8*T830,"停止","断続")))</f>
        <v>運転</v>
      </c>
      <c r="W830" s="30" t="n">
        <v>60</v>
      </c>
      <c r="X830" s="30" t="n">
        <v>54</v>
      </c>
      <c r="Y830" s="30" t="str">
        <f aca="false">IF(W830&lt;判定条件!$C$6,"判定不能",IF(X830&gt;=判定条件!$C$7*W830,"運転",IF(X830&lt;=判定条件!$C$8*W830,"停止","断続")))</f>
        <v>運転</v>
      </c>
      <c r="Z830" s="30" t="n">
        <v>60</v>
      </c>
      <c r="AA830" s="30" t="n">
        <v>60</v>
      </c>
      <c r="AB830" s="30" t="str">
        <f aca="false">IF(Z830&lt;判定条件!$C$6,"判定不能",IF(AA830&gt;=判定条件!$C$7*Z830,"運転",IF(AA830&lt;=判定条件!$C$8*Z830,"停止","断続")))</f>
        <v>運転</v>
      </c>
      <c r="AC830" s="30" t="n">
        <v>60</v>
      </c>
      <c r="AD830" s="30" t="n">
        <v>60</v>
      </c>
      <c r="AE830" s="30" t="str">
        <f aca="false">IF(AC830&lt;判定条件!$C$6,"判定不能",IF(AD830&gt;=判定条件!$C$7*AC830,"運転",IF(AD830&lt;=判定条件!$C$8*AC830,"停止","断続")))</f>
        <v>運転</v>
      </c>
      <c r="AF830" s="30" t="n">
        <v>60</v>
      </c>
      <c r="AG830" s="30" t="n">
        <v>33</v>
      </c>
      <c r="AH830" s="30" t="str">
        <f aca="false">IF(OR(P830="判定不能",G830="判定不能"),"判定不能",IF(AG830&gt;=判定条件!$C$9,"利用可",IF(AND(P830="停止",G830="停止"),"両方停止","運転がそろわない")))</f>
        <v>利用可</v>
      </c>
      <c r="AI830" s="30" t="n">
        <v>0</v>
      </c>
      <c r="AJ830" s="30" t="n">
        <v>0</v>
      </c>
      <c r="AK830" s="30" t="str">
        <f aca="false">IF(OR(S830="判定不能",J830="判定不能"),"判定不能",IF(AJ830&gt;=判定条件!$C$9,"利用可",IF(AND(S830="停止",J830="停止"),"両方停止","運転がそろわない")))</f>
        <v>判定不能</v>
      </c>
      <c r="AL830" s="30" t="n">
        <v>60</v>
      </c>
      <c r="AM830" s="30" t="n">
        <v>60</v>
      </c>
      <c r="AN830" s="30" t="str">
        <f aca="false">IF(OR(V830="判定不能",M830="判定不能"),"判定不能",IF(AM830&gt;=判定条件!$C$9,"利用可",IF(AND(V830="停止",M830="停止"),"両方停止","運転がそろわない")))</f>
        <v>利用可</v>
      </c>
      <c r="AO830" s="30" t="n">
        <v>60</v>
      </c>
      <c r="AP830" s="30" t="n">
        <v>54</v>
      </c>
      <c r="AQ830" s="30" t="str">
        <f aca="false">IF(OR(Y830="判定不能",G830="判定不能"),"判定不能",IF(AP830&gt;=判定条件!$C$9,"利用可",IF(AND(Y830="停止",G830="停止"),"両方停止","運転がそろわない")))</f>
        <v>利用可</v>
      </c>
      <c r="AR830" s="30" t="n">
        <v>0</v>
      </c>
      <c r="AS830" s="30" t="n">
        <v>0</v>
      </c>
      <c r="AT830" s="30" t="str">
        <f aca="false">IF(OR(AB830="判定不能",J830="判定不能"),"判定不能",IF(AS830&gt;=判定条件!$C$9,"利用可",IF(AND(AB830="停止",J830="停止"),"両方停止","運転がそろわない")))</f>
        <v>判定不能</v>
      </c>
      <c r="AU830" s="30" t="n">
        <v>60</v>
      </c>
      <c r="AV830" s="30" t="n">
        <v>60</v>
      </c>
      <c r="AW830" s="30" t="str">
        <f aca="false">IF(OR(AE830="判定不能",M830="判定不能"),"判定不能",IF(AV830&gt;=判定条件!$C$9,"利用可",IF(AND(AE830="停止",M830="停止"),"両方停止","運転がそろわない")))</f>
        <v>利用可</v>
      </c>
      <c r="AX830" s="30" t="str">
        <f aca="false">IF(AND(AH830="利用可",AK830="利用可",AN830="利用可"),"利用可","不可")</f>
        <v>不可</v>
      </c>
      <c r="AY830" s="30" t="str">
        <f aca="false">IF(AND(AQ830="利用可",AT830="利用可",AW830="利用可"),"利用可","不可")</f>
        <v>不可</v>
      </c>
    </row>
    <row r="831" customFormat="false" ht="15" hidden="false" customHeight="false" outlineLevel="0" collapsed="false">
      <c r="A831" s="29" t="n">
        <v>46266</v>
      </c>
      <c r="B831" s="30" t="n">
        <v>12</v>
      </c>
      <c r="C831" s="31" t="s">
        <v>67</v>
      </c>
      <c r="D831" s="31" t="s">
        <v>59</v>
      </c>
      <c r="E831" s="30" t="n">
        <v>60</v>
      </c>
      <c r="F831" s="30" t="n">
        <v>60</v>
      </c>
      <c r="G831" s="30" t="str">
        <f aca="false">IF(E831&lt;判定条件!$C$6,"判定不能",IF(F831&gt;=判定条件!$C$7*E831,"運転",IF(F831&lt;=判定条件!$C$8*E831,"停止","断続")))</f>
        <v>運転</v>
      </c>
      <c r="H831" s="30" t="n">
        <v>0</v>
      </c>
      <c r="I831" s="30" t="n">
        <v>0</v>
      </c>
      <c r="J831" s="30" t="str">
        <f aca="false">IF(H831&lt;判定条件!$C$6,"判定不能",IF(I831&gt;=判定条件!$C$7*H831,"運転",IF(I831&lt;=判定条件!$C$8*H831,"停止","断続")))</f>
        <v>判定不能</v>
      </c>
      <c r="K831" s="30" t="n">
        <v>60</v>
      </c>
      <c r="L831" s="30" t="n">
        <v>60</v>
      </c>
      <c r="M831" s="30" t="str">
        <f aca="false">IF(K831&lt;判定条件!$C$6,"判定不能",IF(L831&gt;=判定条件!$C$7*K831,"運転",IF(L831&lt;=判定条件!$C$8*K831,"停止","断続")))</f>
        <v>運転</v>
      </c>
      <c r="N831" s="30" t="n">
        <v>60</v>
      </c>
      <c r="O831" s="30" t="n">
        <v>33</v>
      </c>
      <c r="P831" s="30" t="str">
        <f aca="false">IF(N831&lt;判定条件!$C$6,"判定不能",IF(O831&gt;=判定条件!$C$7*N831,"運転",IF(O831&lt;=判定条件!$C$8*N831,"停止","断続")))</f>
        <v>断続</v>
      </c>
      <c r="Q831" s="30" t="n">
        <v>60</v>
      </c>
      <c r="R831" s="30" t="n">
        <v>60</v>
      </c>
      <c r="S831" s="30" t="str">
        <f aca="false">IF(Q831&lt;判定条件!$C$6,"判定不能",IF(R831&gt;=判定条件!$C$7*Q831,"運転",IF(R831&lt;=判定条件!$C$8*Q831,"停止","断続")))</f>
        <v>運転</v>
      </c>
      <c r="T831" s="30" t="n">
        <v>60</v>
      </c>
      <c r="U831" s="30" t="n">
        <v>60</v>
      </c>
      <c r="V831" s="30" t="str">
        <f aca="false">IF(T831&lt;判定条件!$C$6,"判定不能",IF(U831&gt;=判定条件!$C$7*T831,"運転",IF(U831&lt;=判定条件!$C$8*T831,"停止","断続")))</f>
        <v>運転</v>
      </c>
      <c r="W831" s="30" t="n">
        <v>60</v>
      </c>
      <c r="X831" s="30" t="n">
        <v>17</v>
      </c>
      <c r="Y831" s="30" t="str">
        <f aca="false">IF(W831&lt;判定条件!$C$6,"判定不能",IF(X831&gt;=判定条件!$C$7*W831,"運転",IF(X831&lt;=判定条件!$C$8*W831,"停止","断続")))</f>
        <v>断続</v>
      </c>
      <c r="Z831" s="30" t="n">
        <v>60</v>
      </c>
      <c r="AA831" s="30" t="n">
        <v>57</v>
      </c>
      <c r="AB831" s="30" t="str">
        <f aca="false">IF(Z831&lt;判定条件!$C$6,"判定不能",IF(AA831&gt;=判定条件!$C$7*Z831,"運転",IF(AA831&lt;=判定条件!$C$8*Z831,"停止","断続")))</f>
        <v>運転</v>
      </c>
      <c r="AC831" s="30" t="n">
        <v>60</v>
      </c>
      <c r="AD831" s="30" t="n">
        <v>43</v>
      </c>
      <c r="AE831" s="30" t="str">
        <f aca="false">IF(AC831&lt;判定条件!$C$6,"判定不能",IF(AD831&gt;=判定条件!$C$7*AC831,"運転",IF(AD831&lt;=判定条件!$C$8*AC831,"停止","断続")))</f>
        <v>断続</v>
      </c>
      <c r="AF831" s="30" t="n">
        <v>60</v>
      </c>
      <c r="AG831" s="30" t="n">
        <v>33</v>
      </c>
      <c r="AH831" s="30" t="str">
        <f aca="false">IF(OR(P831="判定不能",G831="判定不能"),"判定不能",IF(AG831&gt;=判定条件!$C$9,"利用可",IF(AND(P831="停止",G831="停止"),"両方停止","運転がそろわない")))</f>
        <v>利用可</v>
      </c>
      <c r="AI831" s="30" t="n">
        <v>0</v>
      </c>
      <c r="AJ831" s="30" t="n">
        <v>0</v>
      </c>
      <c r="AK831" s="30" t="str">
        <f aca="false">IF(OR(S831="判定不能",J831="判定不能"),"判定不能",IF(AJ831&gt;=判定条件!$C$9,"利用可",IF(AND(S831="停止",J831="停止"),"両方停止","運転がそろわない")))</f>
        <v>判定不能</v>
      </c>
      <c r="AL831" s="30" t="n">
        <v>60</v>
      </c>
      <c r="AM831" s="30" t="n">
        <v>60</v>
      </c>
      <c r="AN831" s="30" t="str">
        <f aca="false">IF(OR(V831="判定不能",M831="判定不能"),"判定不能",IF(AM831&gt;=判定条件!$C$9,"利用可",IF(AND(V831="停止",M831="停止"),"両方停止","運転がそろわない")))</f>
        <v>利用可</v>
      </c>
      <c r="AO831" s="30" t="n">
        <v>60</v>
      </c>
      <c r="AP831" s="30" t="n">
        <v>17</v>
      </c>
      <c r="AQ831" s="30" t="str">
        <f aca="false">IF(OR(Y831="判定不能",G831="判定不能"),"判定不能",IF(AP831&gt;=判定条件!$C$9,"利用可",IF(AND(Y831="停止",G831="停止"),"両方停止","運転がそろわない")))</f>
        <v>運転がそろわない</v>
      </c>
      <c r="AR831" s="30" t="n">
        <v>0</v>
      </c>
      <c r="AS831" s="30" t="n">
        <v>0</v>
      </c>
      <c r="AT831" s="30" t="str">
        <f aca="false">IF(OR(AB831="判定不能",J831="判定不能"),"判定不能",IF(AS831&gt;=判定条件!$C$9,"利用可",IF(AND(AB831="停止",J831="停止"),"両方停止","運転がそろわない")))</f>
        <v>判定不能</v>
      </c>
      <c r="AU831" s="30" t="n">
        <v>60</v>
      </c>
      <c r="AV831" s="30" t="n">
        <v>43</v>
      </c>
      <c r="AW831" s="30" t="str">
        <f aca="false">IF(OR(AE831="判定不能",M831="判定不能"),"判定不能",IF(AV831&gt;=判定条件!$C$9,"利用可",IF(AND(AE831="停止",M831="停止"),"両方停止","運転がそろわない")))</f>
        <v>利用可</v>
      </c>
      <c r="AX831" s="30" t="str">
        <f aca="false">IF(AND(AH831="利用可",AK831="利用可",AN831="利用可"),"利用可","不可")</f>
        <v>不可</v>
      </c>
      <c r="AY831" s="30" t="str">
        <f aca="false">IF(AND(AQ831="利用可",AT831="利用可",AW831="利用可"),"利用可","不可")</f>
        <v>不可</v>
      </c>
    </row>
    <row r="832" customFormat="false" ht="15" hidden="false" customHeight="false" outlineLevel="0" collapsed="false">
      <c r="A832" s="29" t="n">
        <v>46266</v>
      </c>
      <c r="B832" s="30" t="n">
        <v>13</v>
      </c>
      <c r="C832" s="31" t="s">
        <v>67</v>
      </c>
      <c r="D832" s="31" t="s">
        <v>59</v>
      </c>
      <c r="E832" s="30" t="n">
        <v>60</v>
      </c>
      <c r="F832" s="30" t="n">
        <v>60</v>
      </c>
      <c r="G832" s="30" t="str">
        <f aca="false">IF(E832&lt;判定条件!$C$6,"判定不能",IF(F832&gt;=判定条件!$C$7*E832,"運転",IF(F832&lt;=判定条件!$C$8*E832,"停止","断続")))</f>
        <v>運転</v>
      </c>
      <c r="H832" s="30" t="n">
        <v>0</v>
      </c>
      <c r="I832" s="30" t="n">
        <v>0</v>
      </c>
      <c r="J832" s="30" t="str">
        <f aca="false">IF(H832&lt;判定条件!$C$6,"判定不能",IF(I832&gt;=判定条件!$C$7*H832,"運転",IF(I832&lt;=判定条件!$C$8*H832,"停止","断続")))</f>
        <v>判定不能</v>
      </c>
      <c r="K832" s="30" t="n">
        <v>60</v>
      </c>
      <c r="L832" s="30" t="n">
        <v>60</v>
      </c>
      <c r="M832" s="30" t="str">
        <f aca="false">IF(K832&lt;判定条件!$C$6,"判定不能",IF(L832&gt;=判定条件!$C$7*K832,"運転",IF(L832&lt;=判定条件!$C$8*K832,"停止","断続")))</f>
        <v>運転</v>
      </c>
      <c r="N832" s="30" t="n">
        <v>60</v>
      </c>
      <c r="O832" s="30" t="n">
        <v>42</v>
      </c>
      <c r="P832" s="30" t="str">
        <f aca="false">IF(N832&lt;判定条件!$C$6,"判定不能",IF(O832&gt;=判定条件!$C$7*N832,"運転",IF(O832&lt;=判定条件!$C$8*N832,"停止","断続")))</f>
        <v>断続</v>
      </c>
      <c r="Q832" s="30" t="n">
        <v>60</v>
      </c>
      <c r="R832" s="30" t="n">
        <v>55</v>
      </c>
      <c r="S832" s="30" t="str">
        <f aca="false">IF(Q832&lt;判定条件!$C$6,"判定不能",IF(R832&gt;=判定条件!$C$7*Q832,"運転",IF(R832&lt;=判定条件!$C$8*Q832,"停止","断続")))</f>
        <v>運転</v>
      </c>
      <c r="T832" s="30" t="n">
        <v>60</v>
      </c>
      <c r="U832" s="30" t="n">
        <v>60</v>
      </c>
      <c r="V832" s="30" t="str">
        <f aca="false">IF(T832&lt;判定条件!$C$6,"判定不能",IF(U832&gt;=判定条件!$C$7*T832,"運転",IF(U832&lt;=判定条件!$C$8*T832,"停止","断続")))</f>
        <v>運転</v>
      </c>
      <c r="W832" s="30" t="n">
        <v>60</v>
      </c>
      <c r="X832" s="30" t="n">
        <v>36</v>
      </c>
      <c r="Y832" s="30" t="str">
        <f aca="false">IF(W832&lt;判定条件!$C$6,"判定不能",IF(X832&gt;=判定条件!$C$7*W832,"運転",IF(X832&lt;=判定条件!$C$8*W832,"停止","断続")))</f>
        <v>断続</v>
      </c>
      <c r="Z832" s="30" t="n">
        <v>60</v>
      </c>
      <c r="AA832" s="30" t="n">
        <v>42</v>
      </c>
      <c r="AB832" s="30" t="str">
        <f aca="false">IF(Z832&lt;判定条件!$C$6,"判定不能",IF(AA832&gt;=判定条件!$C$7*Z832,"運転",IF(AA832&lt;=判定条件!$C$8*Z832,"停止","断続")))</f>
        <v>断続</v>
      </c>
      <c r="AC832" s="30" t="n">
        <v>60</v>
      </c>
      <c r="AD832" s="30" t="n">
        <v>59</v>
      </c>
      <c r="AE832" s="30" t="str">
        <f aca="false">IF(AC832&lt;判定条件!$C$6,"判定不能",IF(AD832&gt;=判定条件!$C$7*AC832,"運転",IF(AD832&lt;=判定条件!$C$8*AC832,"停止","断続")))</f>
        <v>運転</v>
      </c>
      <c r="AF832" s="30" t="n">
        <v>60</v>
      </c>
      <c r="AG832" s="30" t="n">
        <v>42</v>
      </c>
      <c r="AH832" s="30" t="str">
        <f aca="false">IF(OR(P832="判定不能",G832="判定不能"),"判定不能",IF(AG832&gt;=判定条件!$C$9,"利用可",IF(AND(P832="停止",G832="停止"),"両方停止","運転がそろわない")))</f>
        <v>利用可</v>
      </c>
      <c r="AI832" s="30" t="n">
        <v>0</v>
      </c>
      <c r="AJ832" s="30" t="n">
        <v>0</v>
      </c>
      <c r="AK832" s="30" t="str">
        <f aca="false">IF(OR(S832="判定不能",J832="判定不能"),"判定不能",IF(AJ832&gt;=判定条件!$C$9,"利用可",IF(AND(S832="停止",J832="停止"),"両方停止","運転がそろわない")))</f>
        <v>判定不能</v>
      </c>
      <c r="AL832" s="30" t="n">
        <v>60</v>
      </c>
      <c r="AM832" s="30" t="n">
        <v>60</v>
      </c>
      <c r="AN832" s="30" t="str">
        <f aca="false">IF(OR(V832="判定不能",M832="判定不能"),"判定不能",IF(AM832&gt;=判定条件!$C$9,"利用可",IF(AND(V832="停止",M832="停止"),"両方停止","運転がそろわない")))</f>
        <v>利用可</v>
      </c>
      <c r="AO832" s="30" t="n">
        <v>60</v>
      </c>
      <c r="AP832" s="30" t="n">
        <v>36</v>
      </c>
      <c r="AQ832" s="30" t="str">
        <f aca="false">IF(OR(Y832="判定不能",G832="判定不能"),"判定不能",IF(AP832&gt;=判定条件!$C$9,"利用可",IF(AND(Y832="停止",G832="停止"),"両方停止","運転がそろわない")))</f>
        <v>利用可</v>
      </c>
      <c r="AR832" s="30" t="n">
        <v>0</v>
      </c>
      <c r="AS832" s="30" t="n">
        <v>0</v>
      </c>
      <c r="AT832" s="30" t="str">
        <f aca="false">IF(OR(AB832="判定不能",J832="判定不能"),"判定不能",IF(AS832&gt;=判定条件!$C$9,"利用可",IF(AND(AB832="停止",J832="停止"),"両方停止","運転がそろわない")))</f>
        <v>判定不能</v>
      </c>
      <c r="AU832" s="30" t="n">
        <v>60</v>
      </c>
      <c r="AV832" s="30" t="n">
        <v>59</v>
      </c>
      <c r="AW832" s="30" t="str">
        <f aca="false">IF(OR(AE832="判定不能",M832="判定不能"),"判定不能",IF(AV832&gt;=判定条件!$C$9,"利用可",IF(AND(AE832="停止",M832="停止"),"両方停止","運転がそろわない")))</f>
        <v>利用可</v>
      </c>
      <c r="AX832" s="30" t="str">
        <f aca="false">IF(AND(AH832="利用可",AK832="利用可",AN832="利用可"),"利用可","不可")</f>
        <v>不可</v>
      </c>
      <c r="AY832" s="30" t="str">
        <f aca="false">IF(AND(AQ832="利用可",AT832="利用可",AW832="利用可"),"利用可","不可")</f>
        <v>不可</v>
      </c>
    </row>
    <row r="833" customFormat="false" ht="15" hidden="false" customHeight="false" outlineLevel="0" collapsed="false">
      <c r="A833" s="29" t="n">
        <v>46266</v>
      </c>
      <c r="B833" s="30" t="n">
        <v>14</v>
      </c>
      <c r="C833" s="31" t="s">
        <v>67</v>
      </c>
      <c r="D833" s="31" t="s">
        <v>59</v>
      </c>
      <c r="E833" s="30" t="n">
        <v>60</v>
      </c>
      <c r="F833" s="30" t="n">
        <v>60</v>
      </c>
      <c r="G833" s="30" t="str">
        <f aca="false">IF(E833&lt;判定条件!$C$6,"判定不能",IF(F833&gt;=判定条件!$C$7*E833,"運転",IF(F833&lt;=判定条件!$C$8*E833,"停止","断続")))</f>
        <v>運転</v>
      </c>
      <c r="H833" s="30" t="n">
        <v>0</v>
      </c>
      <c r="I833" s="30" t="n">
        <v>0</v>
      </c>
      <c r="J833" s="30" t="str">
        <f aca="false">IF(H833&lt;判定条件!$C$6,"判定不能",IF(I833&gt;=判定条件!$C$7*H833,"運転",IF(I833&lt;=判定条件!$C$8*H833,"停止","断続")))</f>
        <v>判定不能</v>
      </c>
      <c r="K833" s="30" t="n">
        <v>60</v>
      </c>
      <c r="L833" s="30" t="n">
        <v>60</v>
      </c>
      <c r="M833" s="30" t="str">
        <f aca="false">IF(K833&lt;判定条件!$C$6,"判定不能",IF(L833&gt;=判定条件!$C$7*K833,"運転",IF(L833&lt;=判定条件!$C$8*K833,"停止","断続")))</f>
        <v>運転</v>
      </c>
      <c r="N833" s="30" t="n">
        <v>60</v>
      </c>
      <c r="O833" s="30" t="n">
        <v>54</v>
      </c>
      <c r="P833" s="30" t="str">
        <f aca="false">IF(N833&lt;判定条件!$C$6,"判定不能",IF(O833&gt;=判定条件!$C$7*N833,"運転",IF(O833&lt;=判定条件!$C$8*N833,"停止","断続")))</f>
        <v>運転</v>
      </c>
      <c r="Q833" s="30" t="n">
        <v>60</v>
      </c>
      <c r="R833" s="30" t="n">
        <v>60</v>
      </c>
      <c r="S833" s="30" t="str">
        <f aca="false">IF(Q833&lt;判定条件!$C$6,"判定不能",IF(R833&gt;=判定条件!$C$7*Q833,"運転",IF(R833&lt;=判定条件!$C$8*Q833,"停止","断続")))</f>
        <v>運転</v>
      </c>
      <c r="T833" s="30" t="n">
        <v>60</v>
      </c>
      <c r="U833" s="30" t="n">
        <v>60</v>
      </c>
      <c r="V833" s="30" t="str">
        <f aca="false">IF(T833&lt;判定条件!$C$6,"判定不能",IF(U833&gt;=判定条件!$C$7*T833,"運転",IF(U833&lt;=判定条件!$C$8*T833,"停止","断続")))</f>
        <v>運転</v>
      </c>
      <c r="W833" s="30" t="n">
        <v>60</v>
      </c>
      <c r="X833" s="30" t="n">
        <v>43</v>
      </c>
      <c r="Y833" s="30" t="str">
        <f aca="false">IF(W833&lt;判定条件!$C$6,"判定不能",IF(X833&gt;=判定条件!$C$7*W833,"運転",IF(X833&lt;=判定条件!$C$8*W833,"停止","断続")))</f>
        <v>断続</v>
      </c>
      <c r="Z833" s="30" t="n">
        <v>60</v>
      </c>
      <c r="AA833" s="30" t="n">
        <v>60</v>
      </c>
      <c r="AB833" s="30" t="str">
        <f aca="false">IF(Z833&lt;判定条件!$C$6,"判定不能",IF(AA833&gt;=判定条件!$C$7*Z833,"運転",IF(AA833&lt;=判定条件!$C$8*Z833,"停止","断続")))</f>
        <v>運転</v>
      </c>
      <c r="AC833" s="30" t="n">
        <v>60</v>
      </c>
      <c r="AD833" s="30" t="n">
        <v>60</v>
      </c>
      <c r="AE833" s="30" t="str">
        <f aca="false">IF(AC833&lt;判定条件!$C$6,"判定不能",IF(AD833&gt;=判定条件!$C$7*AC833,"運転",IF(AD833&lt;=判定条件!$C$8*AC833,"停止","断続")))</f>
        <v>運転</v>
      </c>
      <c r="AF833" s="30" t="n">
        <v>60</v>
      </c>
      <c r="AG833" s="30" t="n">
        <v>54</v>
      </c>
      <c r="AH833" s="30" t="str">
        <f aca="false">IF(OR(P833="判定不能",G833="判定不能"),"判定不能",IF(AG833&gt;=判定条件!$C$9,"利用可",IF(AND(P833="停止",G833="停止"),"両方停止","運転がそろわない")))</f>
        <v>利用可</v>
      </c>
      <c r="AI833" s="30" t="n">
        <v>0</v>
      </c>
      <c r="AJ833" s="30" t="n">
        <v>0</v>
      </c>
      <c r="AK833" s="30" t="str">
        <f aca="false">IF(OR(S833="判定不能",J833="判定不能"),"判定不能",IF(AJ833&gt;=判定条件!$C$9,"利用可",IF(AND(S833="停止",J833="停止"),"両方停止","運転がそろわない")))</f>
        <v>判定不能</v>
      </c>
      <c r="AL833" s="30" t="n">
        <v>60</v>
      </c>
      <c r="AM833" s="30" t="n">
        <v>60</v>
      </c>
      <c r="AN833" s="30" t="str">
        <f aca="false">IF(OR(V833="判定不能",M833="判定不能"),"判定不能",IF(AM833&gt;=判定条件!$C$9,"利用可",IF(AND(V833="停止",M833="停止"),"両方停止","運転がそろわない")))</f>
        <v>利用可</v>
      </c>
      <c r="AO833" s="30" t="n">
        <v>60</v>
      </c>
      <c r="AP833" s="30" t="n">
        <v>43</v>
      </c>
      <c r="AQ833" s="30" t="str">
        <f aca="false">IF(OR(Y833="判定不能",G833="判定不能"),"判定不能",IF(AP833&gt;=判定条件!$C$9,"利用可",IF(AND(Y833="停止",G833="停止"),"両方停止","運転がそろわない")))</f>
        <v>利用可</v>
      </c>
      <c r="AR833" s="30" t="n">
        <v>0</v>
      </c>
      <c r="AS833" s="30" t="n">
        <v>0</v>
      </c>
      <c r="AT833" s="30" t="str">
        <f aca="false">IF(OR(AB833="判定不能",J833="判定不能"),"判定不能",IF(AS833&gt;=判定条件!$C$9,"利用可",IF(AND(AB833="停止",J833="停止"),"両方停止","運転がそろわない")))</f>
        <v>判定不能</v>
      </c>
      <c r="AU833" s="30" t="n">
        <v>60</v>
      </c>
      <c r="AV833" s="30" t="n">
        <v>60</v>
      </c>
      <c r="AW833" s="30" t="str">
        <f aca="false">IF(OR(AE833="判定不能",M833="判定不能"),"判定不能",IF(AV833&gt;=判定条件!$C$9,"利用可",IF(AND(AE833="停止",M833="停止"),"両方停止","運転がそろわない")))</f>
        <v>利用可</v>
      </c>
      <c r="AX833" s="30" t="str">
        <f aca="false">IF(AND(AH833="利用可",AK833="利用可",AN833="利用可"),"利用可","不可")</f>
        <v>不可</v>
      </c>
      <c r="AY833" s="30" t="str">
        <f aca="false">IF(AND(AQ833="利用可",AT833="利用可",AW833="利用可"),"利用可","不可")</f>
        <v>不可</v>
      </c>
    </row>
    <row r="834" customFormat="false" ht="15" hidden="false" customHeight="false" outlineLevel="0" collapsed="false">
      <c r="A834" s="29" t="n">
        <v>46266</v>
      </c>
      <c r="B834" s="30" t="n">
        <v>15</v>
      </c>
      <c r="C834" s="31" t="s">
        <v>67</v>
      </c>
      <c r="D834" s="31" t="s">
        <v>59</v>
      </c>
      <c r="E834" s="30" t="n">
        <v>60</v>
      </c>
      <c r="F834" s="30" t="n">
        <v>60</v>
      </c>
      <c r="G834" s="30" t="str">
        <f aca="false">IF(E834&lt;判定条件!$C$6,"判定不能",IF(F834&gt;=判定条件!$C$7*E834,"運転",IF(F834&lt;=判定条件!$C$8*E834,"停止","断続")))</f>
        <v>運転</v>
      </c>
      <c r="H834" s="30" t="n">
        <v>0</v>
      </c>
      <c r="I834" s="30" t="n">
        <v>0</v>
      </c>
      <c r="J834" s="30" t="str">
        <f aca="false">IF(H834&lt;判定条件!$C$6,"判定不能",IF(I834&gt;=判定条件!$C$7*H834,"運転",IF(I834&lt;=判定条件!$C$8*H834,"停止","断続")))</f>
        <v>判定不能</v>
      </c>
      <c r="K834" s="30" t="n">
        <v>60</v>
      </c>
      <c r="L834" s="30" t="n">
        <v>60</v>
      </c>
      <c r="M834" s="30" t="str">
        <f aca="false">IF(K834&lt;判定条件!$C$6,"判定不能",IF(L834&gt;=判定条件!$C$7*K834,"運転",IF(L834&lt;=判定条件!$C$8*K834,"停止","断続")))</f>
        <v>運転</v>
      </c>
      <c r="N834" s="30" t="n">
        <v>60</v>
      </c>
      <c r="O834" s="30" t="n">
        <v>60</v>
      </c>
      <c r="P834" s="30" t="str">
        <f aca="false">IF(N834&lt;判定条件!$C$6,"判定不能",IF(O834&gt;=判定条件!$C$7*N834,"運転",IF(O834&lt;=判定条件!$C$8*N834,"停止","断続")))</f>
        <v>運転</v>
      </c>
      <c r="Q834" s="30" t="n">
        <v>60</v>
      </c>
      <c r="R834" s="30" t="n">
        <v>60</v>
      </c>
      <c r="S834" s="30" t="str">
        <f aca="false">IF(Q834&lt;判定条件!$C$6,"判定不能",IF(R834&gt;=判定条件!$C$7*Q834,"運転",IF(R834&lt;=判定条件!$C$8*Q834,"停止","断続")))</f>
        <v>運転</v>
      </c>
      <c r="T834" s="30" t="n">
        <v>60</v>
      </c>
      <c r="U834" s="30" t="n">
        <v>60</v>
      </c>
      <c r="V834" s="30" t="str">
        <f aca="false">IF(T834&lt;判定条件!$C$6,"判定不能",IF(U834&gt;=判定条件!$C$7*T834,"運転",IF(U834&lt;=判定条件!$C$8*T834,"停止","断続")))</f>
        <v>運転</v>
      </c>
      <c r="W834" s="30" t="n">
        <v>60</v>
      </c>
      <c r="X834" s="30" t="n">
        <v>52</v>
      </c>
      <c r="Y834" s="30" t="str">
        <f aca="false">IF(W834&lt;判定条件!$C$6,"判定不能",IF(X834&gt;=判定条件!$C$7*W834,"運転",IF(X834&lt;=判定条件!$C$8*W834,"停止","断続")))</f>
        <v>運転</v>
      </c>
      <c r="Z834" s="30" t="n">
        <v>60</v>
      </c>
      <c r="AA834" s="30" t="n">
        <v>56</v>
      </c>
      <c r="AB834" s="30" t="str">
        <f aca="false">IF(Z834&lt;判定条件!$C$6,"判定不能",IF(AA834&gt;=判定条件!$C$7*Z834,"運転",IF(AA834&lt;=判定条件!$C$8*Z834,"停止","断続")))</f>
        <v>運転</v>
      </c>
      <c r="AC834" s="30" t="n">
        <v>60</v>
      </c>
      <c r="AD834" s="30" t="n">
        <v>60</v>
      </c>
      <c r="AE834" s="30" t="str">
        <f aca="false">IF(AC834&lt;判定条件!$C$6,"判定不能",IF(AD834&gt;=判定条件!$C$7*AC834,"運転",IF(AD834&lt;=判定条件!$C$8*AC834,"停止","断続")))</f>
        <v>運転</v>
      </c>
      <c r="AF834" s="30" t="n">
        <v>60</v>
      </c>
      <c r="AG834" s="30" t="n">
        <v>60</v>
      </c>
      <c r="AH834" s="30" t="str">
        <f aca="false">IF(OR(P834="判定不能",G834="判定不能"),"判定不能",IF(AG834&gt;=判定条件!$C$9,"利用可",IF(AND(P834="停止",G834="停止"),"両方停止","運転がそろわない")))</f>
        <v>利用可</v>
      </c>
      <c r="AI834" s="30" t="n">
        <v>0</v>
      </c>
      <c r="AJ834" s="30" t="n">
        <v>0</v>
      </c>
      <c r="AK834" s="30" t="str">
        <f aca="false">IF(OR(S834="判定不能",J834="判定不能"),"判定不能",IF(AJ834&gt;=判定条件!$C$9,"利用可",IF(AND(S834="停止",J834="停止"),"両方停止","運転がそろわない")))</f>
        <v>判定不能</v>
      </c>
      <c r="AL834" s="30" t="n">
        <v>60</v>
      </c>
      <c r="AM834" s="30" t="n">
        <v>60</v>
      </c>
      <c r="AN834" s="30" t="str">
        <f aca="false">IF(OR(V834="判定不能",M834="判定不能"),"判定不能",IF(AM834&gt;=判定条件!$C$9,"利用可",IF(AND(V834="停止",M834="停止"),"両方停止","運転がそろわない")))</f>
        <v>利用可</v>
      </c>
      <c r="AO834" s="30" t="n">
        <v>60</v>
      </c>
      <c r="AP834" s="30" t="n">
        <v>52</v>
      </c>
      <c r="AQ834" s="30" t="str">
        <f aca="false">IF(OR(Y834="判定不能",G834="判定不能"),"判定不能",IF(AP834&gt;=判定条件!$C$9,"利用可",IF(AND(Y834="停止",G834="停止"),"両方停止","運転がそろわない")))</f>
        <v>利用可</v>
      </c>
      <c r="AR834" s="30" t="n">
        <v>0</v>
      </c>
      <c r="AS834" s="30" t="n">
        <v>0</v>
      </c>
      <c r="AT834" s="30" t="str">
        <f aca="false">IF(OR(AB834="判定不能",J834="判定不能"),"判定不能",IF(AS834&gt;=判定条件!$C$9,"利用可",IF(AND(AB834="停止",J834="停止"),"両方停止","運転がそろわない")))</f>
        <v>判定不能</v>
      </c>
      <c r="AU834" s="30" t="n">
        <v>60</v>
      </c>
      <c r="AV834" s="30" t="n">
        <v>60</v>
      </c>
      <c r="AW834" s="30" t="str">
        <f aca="false">IF(OR(AE834="判定不能",M834="判定不能"),"判定不能",IF(AV834&gt;=判定条件!$C$9,"利用可",IF(AND(AE834="停止",M834="停止"),"両方停止","運転がそろわない")))</f>
        <v>利用可</v>
      </c>
      <c r="AX834" s="30" t="str">
        <f aca="false">IF(AND(AH834="利用可",AK834="利用可",AN834="利用可"),"利用可","不可")</f>
        <v>不可</v>
      </c>
      <c r="AY834" s="30" t="str">
        <f aca="false">IF(AND(AQ834="利用可",AT834="利用可",AW834="利用可"),"利用可","不可")</f>
        <v>不可</v>
      </c>
    </row>
    <row r="835" customFormat="false" ht="15" hidden="false" customHeight="false" outlineLevel="0" collapsed="false">
      <c r="A835" s="29" t="n">
        <v>46266</v>
      </c>
      <c r="B835" s="30" t="n">
        <v>16</v>
      </c>
      <c r="C835" s="31" t="s">
        <v>67</v>
      </c>
      <c r="D835" s="31" t="s">
        <v>59</v>
      </c>
      <c r="E835" s="30" t="n">
        <v>60</v>
      </c>
      <c r="F835" s="30" t="n">
        <v>60</v>
      </c>
      <c r="G835" s="30" t="str">
        <f aca="false">IF(E835&lt;判定条件!$C$6,"判定不能",IF(F835&gt;=判定条件!$C$7*E835,"運転",IF(F835&lt;=判定条件!$C$8*E835,"停止","断続")))</f>
        <v>運転</v>
      </c>
      <c r="H835" s="30" t="n">
        <v>0</v>
      </c>
      <c r="I835" s="30" t="n">
        <v>0</v>
      </c>
      <c r="J835" s="30" t="str">
        <f aca="false">IF(H835&lt;判定条件!$C$6,"判定不能",IF(I835&gt;=判定条件!$C$7*H835,"運転",IF(I835&lt;=判定条件!$C$8*H835,"停止","断続")))</f>
        <v>判定不能</v>
      </c>
      <c r="K835" s="30" t="n">
        <v>60</v>
      </c>
      <c r="L835" s="30" t="n">
        <v>60</v>
      </c>
      <c r="M835" s="30" t="str">
        <f aca="false">IF(K835&lt;判定条件!$C$6,"判定不能",IF(L835&gt;=判定条件!$C$7*K835,"運転",IF(L835&lt;=判定条件!$C$8*K835,"停止","断続")))</f>
        <v>運転</v>
      </c>
      <c r="N835" s="30" t="n">
        <v>60</v>
      </c>
      <c r="O835" s="30" t="n">
        <v>50</v>
      </c>
      <c r="P835" s="30" t="str">
        <f aca="false">IF(N835&lt;判定条件!$C$6,"判定不能",IF(O835&gt;=判定条件!$C$7*N835,"運転",IF(O835&lt;=判定条件!$C$8*N835,"停止","断続")))</f>
        <v>運転</v>
      </c>
      <c r="Q835" s="30" t="n">
        <v>60</v>
      </c>
      <c r="R835" s="30" t="n">
        <v>60</v>
      </c>
      <c r="S835" s="30" t="str">
        <f aca="false">IF(Q835&lt;判定条件!$C$6,"判定不能",IF(R835&gt;=判定条件!$C$7*Q835,"運転",IF(R835&lt;=判定条件!$C$8*Q835,"停止","断続")))</f>
        <v>運転</v>
      </c>
      <c r="T835" s="30" t="n">
        <v>60</v>
      </c>
      <c r="U835" s="30" t="n">
        <v>45</v>
      </c>
      <c r="V835" s="30" t="str">
        <f aca="false">IF(T835&lt;判定条件!$C$6,"判定不能",IF(U835&gt;=判定条件!$C$7*T835,"運転",IF(U835&lt;=判定条件!$C$8*T835,"停止","断続")))</f>
        <v>断続</v>
      </c>
      <c r="W835" s="30" t="n">
        <v>60</v>
      </c>
      <c r="X835" s="30" t="n">
        <v>44</v>
      </c>
      <c r="Y835" s="30" t="str">
        <f aca="false">IF(W835&lt;判定条件!$C$6,"判定不能",IF(X835&gt;=判定条件!$C$7*W835,"運転",IF(X835&lt;=判定条件!$C$8*W835,"停止","断続")))</f>
        <v>断続</v>
      </c>
      <c r="Z835" s="30" t="n">
        <v>60</v>
      </c>
      <c r="AA835" s="30" t="n">
        <v>48</v>
      </c>
      <c r="AB835" s="30" t="str">
        <f aca="false">IF(Z835&lt;判定条件!$C$6,"判定不能",IF(AA835&gt;=判定条件!$C$7*Z835,"運転",IF(AA835&lt;=判定条件!$C$8*Z835,"停止","断続")))</f>
        <v>運転</v>
      </c>
      <c r="AC835" s="30" t="n">
        <v>60</v>
      </c>
      <c r="AD835" s="30" t="n">
        <v>60</v>
      </c>
      <c r="AE835" s="30" t="str">
        <f aca="false">IF(AC835&lt;判定条件!$C$6,"判定不能",IF(AD835&gt;=判定条件!$C$7*AC835,"運転",IF(AD835&lt;=判定条件!$C$8*AC835,"停止","断続")))</f>
        <v>運転</v>
      </c>
      <c r="AF835" s="30" t="n">
        <v>60</v>
      </c>
      <c r="AG835" s="30" t="n">
        <v>50</v>
      </c>
      <c r="AH835" s="30" t="str">
        <f aca="false">IF(OR(P835="判定不能",G835="判定不能"),"判定不能",IF(AG835&gt;=判定条件!$C$9,"利用可",IF(AND(P835="停止",G835="停止"),"両方停止","運転がそろわない")))</f>
        <v>利用可</v>
      </c>
      <c r="AI835" s="30" t="n">
        <v>0</v>
      </c>
      <c r="AJ835" s="30" t="n">
        <v>0</v>
      </c>
      <c r="AK835" s="30" t="str">
        <f aca="false">IF(OR(S835="判定不能",J835="判定不能"),"判定不能",IF(AJ835&gt;=判定条件!$C$9,"利用可",IF(AND(S835="停止",J835="停止"),"両方停止","運転がそろわない")))</f>
        <v>判定不能</v>
      </c>
      <c r="AL835" s="30" t="n">
        <v>60</v>
      </c>
      <c r="AM835" s="30" t="n">
        <v>45</v>
      </c>
      <c r="AN835" s="30" t="str">
        <f aca="false">IF(OR(V835="判定不能",M835="判定不能"),"判定不能",IF(AM835&gt;=判定条件!$C$9,"利用可",IF(AND(V835="停止",M835="停止"),"両方停止","運転がそろわない")))</f>
        <v>利用可</v>
      </c>
      <c r="AO835" s="30" t="n">
        <v>60</v>
      </c>
      <c r="AP835" s="30" t="n">
        <v>44</v>
      </c>
      <c r="AQ835" s="30" t="str">
        <f aca="false">IF(OR(Y835="判定不能",G835="判定不能"),"判定不能",IF(AP835&gt;=判定条件!$C$9,"利用可",IF(AND(Y835="停止",G835="停止"),"両方停止","運転がそろわない")))</f>
        <v>利用可</v>
      </c>
      <c r="AR835" s="30" t="n">
        <v>0</v>
      </c>
      <c r="AS835" s="30" t="n">
        <v>0</v>
      </c>
      <c r="AT835" s="30" t="str">
        <f aca="false">IF(OR(AB835="判定不能",J835="判定不能"),"判定不能",IF(AS835&gt;=判定条件!$C$9,"利用可",IF(AND(AB835="停止",J835="停止"),"両方停止","運転がそろわない")))</f>
        <v>判定不能</v>
      </c>
      <c r="AU835" s="30" t="n">
        <v>60</v>
      </c>
      <c r="AV835" s="30" t="n">
        <v>60</v>
      </c>
      <c r="AW835" s="30" t="str">
        <f aca="false">IF(OR(AE835="判定不能",M835="判定不能"),"判定不能",IF(AV835&gt;=判定条件!$C$9,"利用可",IF(AND(AE835="停止",M835="停止"),"両方停止","運転がそろわない")))</f>
        <v>利用可</v>
      </c>
      <c r="AX835" s="30" t="str">
        <f aca="false">IF(AND(AH835="利用可",AK835="利用可",AN835="利用可"),"利用可","不可")</f>
        <v>不可</v>
      </c>
      <c r="AY835" s="30" t="str">
        <f aca="false">IF(AND(AQ835="利用可",AT835="利用可",AW835="利用可"),"利用可","不可")</f>
        <v>不可</v>
      </c>
    </row>
    <row r="836" customFormat="false" ht="15" hidden="false" customHeight="false" outlineLevel="0" collapsed="false">
      <c r="A836" s="29" t="n">
        <v>46266</v>
      </c>
      <c r="B836" s="30" t="n">
        <v>17</v>
      </c>
      <c r="C836" s="31" t="s">
        <v>67</v>
      </c>
      <c r="D836" s="31" t="s">
        <v>59</v>
      </c>
      <c r="E836" s="30" t="n">
        <v>60</v>
      </c>
      <c r="F836" s="30" t="n">
        <v>60</v>
      </c>
      <c r="G836" s="30" t="str">
        <f aca="false">IF(E836&lt;判定条件!$C$6,"判定不能",IF(F836&gt;=判定条件!$C$7*E836,"運転",IF(F836&lt;=判定条件!$C$8*E836,"停止","断続")))</f>
        <v>運転</v>
      </c>
      <c r="H836" s="30" t="n">
        <v>0</v>
      </c>
      <c r="I836" s="30" t="n">
        <v>0</v>
      </c>
      <c r="J836" s="30" t="str">
        <f aca="false">IF(H836&lt;判定条件!$C$6,"判定不能",IF(I836&gt;=判定条件!$C$7*H836,"運転",IF(I836&lt;=判定条件!$C$8*H836,"停止","断続")))</f>
        <v>判定不能</v>
      </c>
      <c r="K836" s="30" t="n">
        <v>60</v>
      </c>
      <c r="L836" s="30" t="n">
        <v>60</v>
      </c>
      <c r="M836" s="30" t="str">
        <f aca="false">IF(K836&lt;判定条件!$C$6,"判定不能",IF(L836&gt;=判定条件!$C$7*K836,"運転",IF(L836&lt;=判定条件!$C$8*K836,"停止","断続")))</f>
        <v>運転</v>
      </c>
      <c r="N836" s="30" t="n">
        <v>60</v>
      </c>
      <c r="O836" s="30" t="n">
        <v>17</v>
      </c>
      <c r="P836" s="30" t="str">
        <f aca="false">IF(N836&lt;判定条件!$C$6,"判定不能",IF(O836&gt;=判定条件!$C$7*N836,"運転",IF(O836&lt;=判定条件!$C$8*N836,"停止","断続")))</f>
        <v>断続</v>
      </c>
      <c r="Q836" s="30" t="n">
        <v>60</v>
      </c>
      <c r="R836" s="30" t="n">
        <v>60</v>
      </c>
      <c r="S836" s="30" t="str">
        <f aca="false">IF(Q836&lt;判定条件!$C$6,"判定不能",IF(R836&gt;=判定条件!$C$7*Q836,"運転",IF(R836&lt;=判定条件!$C$8*Q836,"停止","断続")))</f>
        <v>運転</v>
      </c>
      <c r="T836" s="30" t="n">
        <v>60</v>
      </c>
      <c r="U836" s="30" t="n">
        <v>57</v>
      </c>
      <c r="V836" s="30" t="str">
        <f aca="false">IF(T836&lt;判定条件!$C$6,"判定不能",IF(U836&gt;=判定条件!$C$7*T836,"運転",IF(U836&lt;=判定条件!$C$8*T836,"停止","断続")))</f>
        <v>運転</v>
      </c>
      <c r="W836" s="30" t="n">
        <v>60</v>
      </c>
      <c r="X836" s="30" t="n">
        <v>60</v>
      </c>
      <c r="Y836" s="30" t="str">
        <f aca="false">IF(W836&lt;判定条件!$C$6,"判定不能",IF(X836&gt;=判定条件!$C$7*W836,"運転",IF(X836&lt;=判定条件!$C$8*W836,"停止","断続")))</f>
        <v>運転</v>
      </c>
      <c r="Z836" s="30" t="n">
        <v>60</v>
      </c>
      <c r="AA836" s="30" t="n">
        <v>60</v>
      </c>
      <c r="AB836" s="30" t="str">
        <f aca="false">IF(Z836&lt;判定条件!$C$6,"判定不能",IF(AA836&gt;=判定条件!$C$7*Z836,"運転",IF(AA836&lt;=判定条件!$C$8*Z836,"停止","断続")))</f>
        <v>運転</v>
      </c>
      <c r="AC836" s="30" t="n">
        <v>60</v>
      </c>
      <c r="AD836" s="30" t="n">
        <v>34</v>
      </c>
      <c r="AE836" s="30" t="str">
        <f aca="false">IF(AC836&lt;判定条件!$C$6,"判定不能",IF(AD836&gt;=判定条件!$C$7*AC836,"運転",IF(AD836&lt;=判定条件!$C$8*AC836,"停止","断続")))</f>
        <v>断続</v>
      </c>
      <c r="AF836" s="30" t="n">
        <v>60</v>
      </c>
      <c r="AG836" s="30" t="n">
        <v>17</v>
      </c>
      <c r="AH836" s="30" t="str">
        <f aca="false">IF(OR(P836="判定不能",G836="判定不能"),"判定不能",IF(AG836&gt;=判定条件!$C$9,"利用可",IF(AND(P836="停止",G836="停止"),"両方停止","運転がそろわない")))</f>
        <v>運転がそろわない</v>
      </c>
      <c r="AI836" s="30" t="n">
        <v>0</v>
      </c>
      <c r="AJ836" s="30" t="n">
        <v>0</v>
      </c>
      <c r="AK836" s="30" t="str">
        <f aca="false">IF(OR(S836="判定不能",J836="判定不能"),"判定不能",IF(AJ836&gt;=判定条件!$C$9,"利用可",IF(AND(S836="停止",J836="停止"),"両方停止","運転がそろわない")))</f>
        <v>判定不能</v>
      </c>
      <c r="AL836" s="30" t="n">
        <v>60</v>
      </c>
      <c r="AM836" s="30" t="n">
        <v>57</v>
      </c>
      <c r="AN836" s="30" t="str">
        <f aca="false">IF(OR(V836="判定不能",M836="判定不能"),"判定不能",IF(AM836&gt;=判定条件!$C$9,"利用可",IF(AND(V836="停止",M836="停止"),"両方停止","運転がそろわない")))</f>
        <v>利用可</v>
      </c>
      <c r="AO836" s="30" t="n">
        <v>60</v>
      </c>
      <c r="AP836" s="30" t="n">
        <v>60</v>
      </c>
      <c r="AQ836" s="30" t="str">
        <f aca="false">IF(OR(Y836="判定不能",G836="判定不能"),"判定不能",IF(AP836&gt;=判定条件!$C$9,"利用可",IF(AND(Y836="停止",G836="停止"),"両方停止","運転がそろわない")))</f>
        <v>利用可</v>
      </c>
      <c r="AR836" s="30" t="n">
        <v>0</v>
      </c>
      <c r="AS836" s="30" t="n">
        <v>0</v>
      </c>
      <c r="AT836" s="30" t="str">
        <f aca="false">IF(OR(AB836="判定不能",J836="判定不能"),"判定不能",IF(AS836&gt;=判定条件!$C$9,"利用可",IF(AND(AB836="停止",J836="停止"),"両方停止","運転がそろわない")))</f>
        <v>判定不能</v>
      </c>
      <c r="AU836" s="30" t="n">
        <v>60</v>
      </c>
      <c r="AV836" s="30" t="n">
        <v>34</v>
      </c>
      <c r="AW836" s="30" t="str">
        <f aca="false">IF(OR(AE836="判定不能",M836="判定不能"),"判定不能",IF(AV836&gt;=判定条件!$C$9,"利用可",IF(AND(AE836="停止",M836="停止"),"両方停止","運転がそろわない")))</f>
        <v>利用可</v>
      </c>
      <c r="AX836" s="30" t="str">
        <f aca="false">IF(AND(AH836="利用可",AK836="利用可",AN836="利用可"),"利用可","不可")</f>
        <v>不可</v>
      </c>
      <c r="AY836" s="30" t="str">
        <f aca="false">IF(AND(AQ836="利用可",AT836="利用可",AW836="利用可"),"利用可","不可")</f>
        <v>不可</v>
      </c>
    </row>
    <row r="837" customFormat="false" ht="15" hidden="false" customHeight="false" outlineLevel="0" collapsed="false">
      <c r="A837" s="29" t="n">
        <v>46266</v>
      </c>
      <c r="B837" s="30" t="n">
        <v>18</v>
      </c>
      <c r="C837" s="31" t="s">
        <v>67</v>
      </c>
      <c r="D837" s="31" t="s">
        <v>59</v>
      </c>
      <c r="E837" s="30" t="n">
        <v>60</v>
      </c>
      <c r="F837" s="30" t="n">
        <v>60</v>
      </c>
      <c r="G837" s="30" t="str">
        <f aca="false">IF(E837&lt;判定条件!$C$6,"判定不能",IF(F837&gt;=判定条件!$C$7*E837,"運転",IF(F837&lt;=判定条件!$C$8*E837,"停止","断続")))</f>
        <v>運転</v>
      </c>
      <c r="H837" s="30" t="n">
        <v>0</v>
      </c>
      <c r="I837" s="30" t="n">
        <v>0</v>
      </c>
      <c r="J837" s="30" t="str">
        <f aca="false">IF(H837&lt;判定条件!$C$6,"判定不能",IF(I837&gt;=判定条件!$C$7*H837,"運転",IF(I837&lt;=判定条件!$C$8*H837,"停止","断続")))</f>
        <v>判定不能</v>
      </c>
      <c r="K837" s="30" t="n">
        <v>60</v>
      </c>
      <c r="L837" s="30" t="n">
        <v>60</v>
      </c>
      <c r="M837" s="30" t="str">
        <f aca="false">IF(K837&lt;判定条件!$C$6,"判定不能",IF(L837&gt;=判定条件!$C$7*K837,"運転",IF(L837&lt;=判定条件!$C$8*K837,"停止","断続")))</f>
        <v>運転</v>
      </c>
      <c r="N837" s="30" t="n">
        <v>60</v>
      </c>
      <c r="O837" s="30" t="n">
        <v>0</v>
      </c>
      <c r="P837" s="30" t="str">
        <f aca="false">IF(N837&lt;判定条件!$C$6,"判定不能",IF(O837&gt;=判定条件!$C$7*N837,"運転",IF(O837&lt;=判定条件!$C$8*N837,"停止","断続")))</f>
        <v>停止</v>
      </c>
      <c r="Q837" s="30" t="n">
        <v>60</v>
      </c>
      <c r="R837" s="30" t="n">
        <v>4</v>
      </c>
      <c r="S837" s="30" t="str">
        <f aca="false">IF(Q837&lt;判定条件!$C$6,"判定不能",IF(R837&gt;=判定条件!$C$7*Q837,"運転",IF(R837&lt;=判定条件!$C$8*Q837,"停止","断続")))</f>
        <v>停止</v>
      </c>
      <c r="T837" s="30" t="n">
        <v>60</v>
      </c>
      <c r="U837" s="30" t="n">
        <v>0</v>
      </c>
      <c r="V837" s="30" t="str">
        <f aca="false">IF(T837&lt;判定条件!$C$6,"判定不能",IF(U837&gt;=判定条件!$C$7*T837,"運転",IF(U837&lt;=判定条件!$C$8*T837,"停止","断続")))</f>
        <v>停止</v>
      </c>
      <c r="W837" s="30" t="n">
        <v>60</v>
      </c>
      <c r="X837" s="30" t="n">
        <v>45</v>
      </c>
      <c r="Y837" s="30" t="str">
        <f aca="false">IF(W837&lt;判定条件!$C$6,"判定不能",IF(X837&gt;=判定条件!$C$7*W837,"運転",IF(X837&lt;=判定条件!$C$8*W837,"停止","断続")))</f>
        <v>断続</v>
      </c>
      <c r="Z837" s="30" t="n">
        <v>60</v>
      </c>
      <c r="AA837" s="30" t="n">
        <v>43</v>
      </c>
      <c r="AB837" s="30" t="str">
        <f aca="false">IF(Z837&lt;判定条件!$C$6,"判定不能",IF(AA837&gt;=判定条件!$C$7*Z837,"運転",IF(AA837&lt;=判定条件!$C$8*Z837,"停止","断続")))</f>
        <v>断続</v>
      </c>
      <c r="AC837" s="30" t="n">
        <v>60</v>
      </c>
      <c r="AD837" s="30" t="n">
        <v>60</v>
      </c>
      <c r="AE837" s="30" t="str">
        <f aca="false">IF(AC837&lt;判定条件!$C$6,"判定不能",IF(AD837&gt;=判定条件!$C$7*AC837,"運転",IF(AD837&lt;=判定条件!$C$8*AC837,"停止","断続")))</f>
        <v>運転</v>
      </c>
      <c r="AF837" s="30" t="n">
        <v>60</v>
      </c>
      <c r="AG837" s="30" t="n">
        <v>0</v>
      </c>
      <c r="AH837" s="30" t="str">
        <f aca="false">IF(OR(P837="判定不能",G837="判定不能"),"判定不能",IF(AG837&gt;=判定条件!$C$9,"利用可",IF(AND(P837="停止",G837="停止"),"両方停止","運転がそろわない")))</f>
        <v>運転がそろわない</v>
      </c>
      <c r="AI837" s="30" t="n">
        <v>0</v>
      </c>
      <c r="AJ837" s="30" t="n">
        <v>0</v>
      </c>
      <c r="AK837" s="30" t="str">
        <f aca="false">IF(OR(S837="判定不能",J837="判定不能"),"判定不能",IF(AJ837&gt;=判定条件!$C$9,"利用可",IF(AND(S837="停止",J837="停止"),"両方停止","運転がそろわない")))</f>
        <v>判定不能</v>
      </c>
      <c r="AL837" s="30" t="n">
        <v>60</v>
      </c>
      <c r="AM837" s="30" t="n">
        <v>0</v>
      </c>
      <c r="AN837" s="30" t="str">
        <f aca="false">IF(OR(V837="判定不能",M837="判定不能"),"判定不能",IF(AM837&gt;=判定条件!$C$9,"利用可",IF(AND(V837="停止",M837="停止"),"両方停止","運転がそろわない")))</f>
        <v>運転がそろわない</v>
      </c>
      <c r="AO837" s="30" t="n">
        <v>60</v>
      </c>
      <c r="AP837" s="30" t="n">
        <v>45</v>
      </c>
      <c r="AQ837" s="30" t="str">
        <f aca="false">IF(OR(Y837="判定不能",G837="判定不能"),"判定不能",IF(AP837&gt;=判定条件!$C$9,"利用可",IF(AND(Y837="停止",G837="停止"),"両方停止","運転がそろわない")))</f>
        <v>利用可</v>
      </c>
      <c r="AR837" s="30" t="n">
        <v>0</v>
      </c>
      <c r="AS837" s="30" t="n">
        <v>0</v>
      </c>
      <c r="AT837" s="30" t="str">
        <f aca="false">IF(OR(AB837="判定不能",J837="判定不能"),"判定不能",IF(AS837&gt;=判定条件!$C$9,"利用可",IF(AND(AB837="停止",J837="停止"),"両方停止","運転がそろわない")))</f>
        <v>判定不能</v>
      </c>
      <c r="AU837" s="30" t="n">
        <v>60</v>
      </c>
      <c r="AV837" s="30" t="n">
        <v>60</v>
      </c>
      <c r="AW837" s="30" t="str">
        <f aca="false">IF(OR(AE837="判定不能",M837="判定不能"),"判定不能",IF(AV837&gt;=判定条件!$C$9,"利用可",IF(AND(AE837="停止",M837="停止"),"両方停止","運転がそろわない")))</f>
        <v>利用可</v>
      </c>
      <c r="AX837" s="30" t="str">
        <f aca="false">IF(AND(AH837="利用可",AK837="利用可",AN837="利用可"),"利用可","不可")</f>
        <v>不可</v>
      </c>
      <c r="AY837" s="30" t="str">
        <f aca="false">IF(AND(AQ837="利用可",AT837="利用可",AW837="利用可"),"利用可","不可")</f>
        <v>不可</v>
      </c>
    </row>
    <row r="838" customFormat="false" ht="15" hidden="false" customHeight="false" outlineLevel="0" collapsed="false">
      <c r="A838" s="29" t="n">
        <v>46266</v>
      </c>
      <c r="B838" s="30" t="n">
        <v>19</v>
      </c>
      <c r="C838" s="31" t="s">
        <v>67</v>
      </c>
      <c r="D838" s="31" t="s">
        <v>59</v>
      </c>
      <c r="E838" s="30" t="n">
        <v>60</v>
      </c>
      <c r="F838" s="30" t="n">
        <v>60</v>
      </c>
      <c r="G838" s="30" t="str">
        <f aca="false">IF(E838&lt;判定条件!$C$6,"判定不能",IF(F838&gt;=判定条件!$C$7*E838,"運転",IF(F838&lt;=判定条件!$C$8*E838,"停止","断続")))</f>
        <v>運転</v>
      </c>
      <c r="H838" s="30" t="n">
        <v>0</v>
      </c>
      <c r="I838" s="30" t="n">
        <v>0</v>
      </c>
      <c r="J838" s="30" t="str">
        <f aca="false">IF(H838&lt;判定条件!$C$6,"判定不能",IF(I838&gt;=判定条件!$C$7*H838,"運転",IF(I838&lt;=判定条件!$C$8*H838,"停止","断続")))</f>
        <v>判定不能</v>
      </c>
      <c r="K838" s="30" t="n">
        <v>60</v>
      </c>
      <c r="L838" s="30" t="n">
        <v>60</v>
      </c>
      <c r="M838" s="30" t="str">
        <f aca="false">IF(K838&lt;判定条件!$C$6,"判定不能",IF(L838&gt;=判定条件!$C$7*K838,"運転",IF(L838&lt;=判定条件!$C$8*K838,"停止","断続")))</f>
        <v>運転</v>
      </c>
      <c r="N838" s="30" t="n">
        <v>60</v>
      </c>
      <c r="O838" s="30" t="n">
        <v>23</v>
      </c>
      <c r="P838" s="30" t="str">
        <f aca="false">IF(N838&lt;判定条件!$C$6,"判定不能",IF(O838&gt;=判定条件!$C$7*N838,"運転",IF(O838&lt;=判定条件!$C$8*N838,"停止","断続")))</f>
        <v>断続</v>
      </c>
      <c r="Q838" s="30" t="n">
        <v>60</v>
      </c>
      <c r="R838" s="30" t="n">
        <v>36</v>
      </c>
      <c r="S838" s="30" t="str">
        <f aca="false">IF(Q838&lt;判定条件!$C$6,"判定不能",IF(R838&gt;=判定条件!$C$7*Q838,"運転",IF(R838&lt;=判定条件!$C$8*Q838,"停止","断続")))</f>
        <v>断続</v>
      </c>
      <c r="T838" s="30" t="n">
        <v>60</v>
      </c>
      <c r="U838" s="30" t="n">
        <v>24</v>
      </c>
      <c r="V838" s="30" t="str">
        <f aca="false">IF(T838&lt;判定条件!$C$6,"判定不能",IF(U838&gt;=判定条件!$C$7*T838,"運転",IF(U838&lt;=判定条件!$C$8*T838,"停止","断続")))</f>
        <v>断続</v>
      </c>
      <c r="W838" s="30" t="n">
        <v>60</v>
      </c>
      <c r="X838" s="30" t="n">
        <v>14</v>
      </c>
      <c r="Y838" s="30" t="str">
        <f aca="false">IF(W838&lt;判定条件!$C$6,"判定不能",IF(X838&gt;=判定条件!$C$7*W838,"運転",IF(X838&lt;=判定条件!$C$8*W838,"停止","断続")))</f>
        <v>断続</v>
      </c>
      <c r="Z838" s="30" t="n">
        <v>60</v>
      </c>
      <c r="AA838" s="30" t="n">
        <v>7</v>
      </c>
      <c r="AB838" s="30" t="str">
        <f aca="false">IF(Z838&lt;判定条件!$C$6,"判定不能",IF(AA838&gt;=判定条件!$C$7*Z838,"運転",IF(AA838&lt;=判定条件!$C$8*Z838,"停止","断続")))</f>
        <v>停止</v>
      </c>
      <c r="AC838" s="30" t="n">
        <v>60</v>
      </c>
      <c r="AD838" s="30" t="n">
        <v>12</v>
      </c>
      <c r="AE838" s="30" t="str">
        <f aca="false">IF(AC838&lt;判定条件!$C$6,"判定不能",IF(AD838&gt;=判定条件!$C$7*AC838,"運転",IF(AD838&lt;=判定条件!$C$8*AC838,"停止","断続")))</f>
        <v>停止</v>
      </c>
      <c r="AF838" s="30" t="n">
        <v>60</v>
      </c>
      <c r="AG838" s="30" t="n">
        <v>23</v>
      </c>
      <c r="AH838" s="30" t="str">
        <f aca="false">IF(OR(P838="判定不能",G838="判定不能"),"判定不能",IF(AG838&gt;=判定条件!$C$9,"利用可",IF(AND(P838="停止",G838="停止"),"両方停止","運転がそろわない")))</f>
        <v>運転がそろわない</v>
      </c>
      <c r="AI838" s="30" t="n">
        <v>0</v>
      </c>
      <c r="AJ838" s="30" t="n">
        <v>0</v>
      </c>
      <c r="AK838" s="30" t="str">
        <f aca="false">IF(OR(S838="判定不能",J838="判定不能"),"判定不能",IF(AJ838&gt;=判定条件!$C$9,"利用可",IF(AND(S838="停止",J838="停止"),"両方停止","運転がそろわない")))</f>
        <v>判定不能</v>
      </c>
      <c r="AL838" s="30" t="n">
        <v>60</v>
      </c>
      <c r="AM838" s="30" t="n">
        <v>24</v>
      </c>
      <c r="AN838" s="30" t="str">
        <f aca="false">IF(OR(V838="判定不能",M838="判定不能"),"判定不能",IF(AM838&gt;=判定条件!$C$9,"利用可",IF(AND(V838="停止",M838="停止"),"両方停止","運転がそろわない")))</f>
        <v>運転がそろわない</v>
      </c>
      <c r="AO838" s="30" t="n">
        <v>60</v>
      </c>
      <c r="AP838" s="30" t="n">
        <v>14</v>
      </c>
      <c r="AQ838" s="30" t="str">
        <f aca="false">IF(OR(Y838="判定不能",G838="判定不能"),"判定不能",IF(AP838&gt;=判定条件!$C$9,"利用可",IF(AND(Y838="停止",G838="停止"),"両方停止","運転がそろわない")))</f>
        <v>運転がそろわない</v>
      </c>
      <c r="AR838" s="30" t="n">
        <v>0</v>
      </c>
      <c r="AS838" s="30" t="n">
        <v>0</v>
      </c>
      <c r="AT838" s="30" t="str">
        <f aca="false">IF(OR(AB838="判定不能",J838="判定不能"),"判定不能",IF(AS838&gt;=判定条件!$C$9,"利用可",IF(AND(AB838="停止",J838="停止"),"両方停止","運転がそろわない")))</f>
        <v>判定不能</v>
      </c>
      <c r="AU838" s="30" t="n">
        <v>60</v>
      </c>
      <c r="AV838" s="30" t="n">
        <v>12</v>
      </c>
      <c r="AW838" s="30" t="str">
        <f aca="false">IF(OR(AE838="判定不能",M838="判定不能"),"判定不能",IF(AV838&gt;=判定条件!$C$9,"利用可",IF(AND(AE838="停止",M838="停止"),"両方停止","運転がそろわない")))</f>
        <v>運転がそろわない</v>
      </c>
      <c r="AX838" s="30" t="str">
        <f aca="false">IF(AND(AH838="利用可",AK838="利用可",AN838="利用可"),"利用可","不可")</f>
        <v>不可</v>
      </c>
      <c r="AY838" s="30" t="str">
        <f aca="false">IF(AND(AQ838="利用可",AT838="利用可",AW838="利用可"),"利用可","不可")</f>
        <v>不可</v>
      </c>
    </row>
    <row r="839" customFormat="false" ht="15" hidden="false" customHeight="false" outlineLevel="0" collapsed="false">
      <c r="A839" s="29" t="n">
        <v>46266</v>
      </c>
      <c r="B839" s="30" t="n">
        <v>20</v>
      </c>
      <c r="C839" s="31" t="s">
        <v>67</v>
      </c>
      <c r="D839" s="31" t="s">
        <v>59</v>
      </c>
      <c r="E839" s="30" t="n">
        <v>60</v>
      </c>
      <c r="F839" s="30" t="n">
        <v>51</v>
      </c>
      <c r="G839" s="30" t="str">
        <f aca="false">IF(E839&lt;判定条件!$C$6,"判定不能",IF(F839&gt;=判定条件!$C$7*E839,"運転",IF(F839&lt;=判定条件!$C$8*E839,"停止","断続")))</f>
        <v>運転</v>
      </c>
      <c r="H839" s="30" t="n">
        <v>0</v>
      </c>
      <c r="I839" s="30" t="n">
        <v>0</v>
      </c>
      <c r="J839" s="30" t="str">
        <f aca="false">IF(H839&lt;判定条件!$C$6,"判定不能",IF(I839&gt;=判定条件!$C$7*H839,"運転",IF(I839&lt;=判定条件!$C$8*H839,"停止","断続")))</f>
        <v>判定不能</v>
      </c>
      <c r="K839" s="30" t="n">
        <v>60</v>
      </c>
      <c r="L839" s="30" t="n">
        <v>60</v>
      </c>
      <c r="M839" s="30" t="str">
        <f aca="false">IF(K839&lt;判定条件!$C$6,"判定不能",IF(L839&gt;=判定条件!$C$7*K839,"運転",IF(L839&lt;=判定条件!$C$8*K839,"停止","断続")))</f>
        <v>運転</v>
      </c>
      <c r="N839" s="30" t="n">
        <v>60</v>
      </c>
      <c r="O839" s="30" t="n">
        <v>3</v>
      </c>
      <c r="P839" s="30" t="str">
        <f aca="false">IF(N839&lt;判定条件!$C$6,"判定不能",IF(O839&gt;=判定条件!$C$7*N839,"運転",IF(O839&lt;=判定条件!$C$8*N839,"停止","断続")))</f>
        <v>停止</v>
      </c>
      <c r="Q839" s="30" t="n">
        <v>60</v>
      </c>
      <c r="R839" s="30" t="n">
        <v>5</v>
      </c>
      <c r="S839" s="30" t="str">
        <f aca="false">IF(Q839&lt;判定条件!$C$6,"判定不能",IF(R839&gt;=判定条件!$C$7*Q839,"運転",IF(R839&lt;=判定条件!$C$8*Q839,"停止","断続")))</f>
        <v>停止</v>
      </c>
      <c r="T839" s="30" t="n">
        <v>60</v>
      </c>
      <c r="U839" s="30" t="n">
        <v>0</v>
      </c>
      <c r="V839" s="30" t="str">
        <f aca="false">IF(T839&lt;判定条件!$C$6,"判定不能",IF(U839&gt;=判定条件!$C$7*T839,"運転",IF(U839&lt;=判定条件!$C$8*T839,"停止","断続")))</f>
        <v>停止</v>
      </c>
      <c r="W839" s="30" t="n">
        <v>60</v>
      </c>
      <c r="X839" s="30" t="n">
        <v>36</v>
      </c>
      <c r="Y839" s="30" t="str">
        <f aca="false">IF(W839&lt;判定条件!$C$6,"判定不能",IF(X839&gt;=判定条件!$C$7*W839,"運転",IF(X839&lt;=判定条件!$C$8*W839,"停止","断続")))</f>
        <v>断続</v>
      </c>
      <c r="Z839" s="30" t="n">
        <v>60</v>
      </c>
      <c r="AA839" s="30" t="n">
        <v>0</v>
      </c>
      <c r="AB839" s="30" t="str">
        <f aca="false">IF(Z839&lt;判定条件!$C$6,"判定不能",IF(AA839&gt;=判定条件!$C$7*Z839,"運転",IF(AA839&lt;=判定条件!$C$8*Z839,"停止","断続")))</f>
        <v>停止</v>
      </c>
      <c r="AC839" s="30" t="n">
        <v>60</v>
      </c>
      <c r="AD839" s="30" t="n">
        <v>0</v>
      </c>
      <c r="AE839" s="30" t="str">
        <f aca="false">IF(AC839&lt;判定条件!$C$6,"判定不能",IF(AD839&gt;=判定条件!$C$7*AC839,"運転",IF(AD839&lt;=判定条件!$C$8*AC839,"停止","断続")))</f>
        <v>停止</v>
      </c>
      <c r="AF839" s="30" t="n">
        <v>60</v>
      </c>
      <c r="AG839" s="30" t="n">
        <v>3</v>
      </c>
      <c r="AH839" s="30" t="str">
        <f aca="false">IF(OR(P839="判定不能",G839="判定不能"),"判定不能",IF(AG839&gt;=判定条件!$C$9,"利用可",IF(AND(P839="停止",G839="停止"),"両方停止","運転がそろわない")))</f>
        <v>運転がそろわない</v>
      </c>
      <c r="AI839" s="30" t="n">
        <v>0</v>
      </c>
      <c r="AJ839" s="30" t="n">
        <v>0</v>
      </c>
      <c r="AK839" s="30" t="str">
        <f aca="false">IF(OR(S839="判定不能",J839="判定不能"),"判定不能",IF(AJ839&gt;=判定条件!$C$9,"利用可",IF(AND(S839="停止",J839="停止"),"両方停止","運転がそろわない")))</f>
        <v>判定不能</v>
      </c>
      <c r="AL839" s="30" t="n">
        <v>60</v>
      </c>
      <c r="AM839" s="30" t="n">
        <v>0</v>
      </c>
      <c r="AN839" s="30" t="str">
        <f aca="false">IF(OR(V839="判定不能",M839="判定不能"),"判定不能",IF(AM839&gt;=判定条件!$C$9,"利用可",IF(AND(V839="停止",M839="停止"),"両方停止","運転がそろわない")))</f>
        <v>運転がそろわない</v>
      </c>
      <c r="AO839" s="30" t="n">
        <v>60</v>
      </c>
      <c r="AP839" s="30" t="n">
        <v>27</v>
      </c>
      <c r="AQ839" s="30" t="str">
        <f aca="false">IF(OR(Y839="判定不能",G839="判定不能"),"判定不能",IF(AP839&gt;=判定条件!$C$9,"利用可",IF(AND(Y839="停止",G839="停止"),"両方停止","運転がそろわない")))</f>
        <v>運転がそろわない</v>
      </c>
      <c r="AR839" s="30" t="n">
        <v>0</v>
      </c>
      <c r="AS839" s="30" t="n">
        <v>0</v>
      </c>
      <c r="AT839" s="30" t="str">
        <f aca="false">IF(OR(AB839="判定不能",J839="判定不能"),"判定不能",IF(AS839&gt;=判定条件!$C$9,"利用可",IF(AND(AB839="停止",J839="停止"),"両方停止","運転がそろわない")))</f>
        <v>判定不能</v>
      </c>
      <c r="AU839" s="30" t="n">
        <v>60</v>
      </c>
      <c r="AV839" s="30" t="n">
        <v>0</v>
      </c>
      <c r="AW839" s="30" t="str">
        <f aca="false">IF(OR(AE839="判定不能",M839="判定不能"),"判定不能",IF(AV839&gt;=判定条件!$C$9,"利用可",IF(AND(AE839="停止",M839="停止"),"両方停止","運転がそろわない")))</f>
        <v>運転がそろわない</v>
      </c>
      <c r="AX839" s="30" t="str">
        <f aca="false">IF(AND(AH839="利用可",AK839="利用可",AN839="利用可"),"利用可","不可")</f>
        <v>不可</v>
      </c>
      <c r="AY839" s="30" t="str">
        <f aca="false">IF(AND(AQ839="利用可",AT839="利用可",AW839="利用可"),"利用可","不可")</f>
        <v>不可</v>
      </c>
    </row>
    <row r="840" customFormat="false" ht="15" hidden="false" customHeight="false" outlineLevel="0" collapsed="false">
      <c r="A840" s="29" t="n">
        <v>46266</v>
      </c>
      <c r="B840" s="30" t="n">
        <v>21</v>
      </c>
      <c r="C840" s="31" t="s">
        <v>67</v>
      </c>
      <c r="D840" s="31" t="s">
        <v>59</v>
      </c>
      <c r="E840" s="30" t="n">
        <v>60</v>
      </c>
      <c r="F840" s="30" t="n">
        <v>0</v>
      </c>
      <c r="G840" s="30" t="str">
        <f aca="false">IF(E840&lt;判定条件!$C$6,"判定不能",IF(F840&gt;=判定条件!$C$7*E840,"運転",IF(F840&lt;=判定条件!$C$8*E840,"停止","断続")))</f>
        <v>停止</v>
      </c>
      <c r="H840" s="30" t="n">
        <v>0</v>
      </c>
      <c r="I840" s="30" t="n">
        <v>0</v>
      </c>
      <c r="J840" s="30" t="str">
        <f aca="false">IF(H840&lt;判定条件!$C$6,"判定不能",IF(I840&gt;=判定条件!$C$7*H840,"運転",IF(I840&lt;=判定条件!$C$8*H840,"停止","断続")))</f>
        <v>判定不能</v>
      </c>
      <c r="K840" s="30" t="n">
        <v>60</v>
      </c>
      <c r="L840" s="30" t="n">
        <v>60</v>
      </c>
      <c r="M840" s="30" t="str">
        <f aca="false">IF(K840&lt;判定条件!$C$6,"判定不能",IF(L840&gt;=判定条件!$C$7*K840,"運転",IF(L840&lt;=判定条件!$C$8*K840,"停止","断続")))</f>
        <v>運転</v>
      </c>
      <c r="N840" s="30" t="n">
        <v>60</v>
      </c>
      <c r="O840" s="30" t="n">
        <v>0</v>
      </c>
      <c r="P840" s="30" t="str">
        <f aca="false">IF(N840&lt;判定条件!$C$6,"判定不能",IF(O840&gt;=判定条件!$C$7*N840,"運転",IF(O840&lt;=判定条件!$C$8*N840,"停止","断続")))</f>
        <v>停止</v>
      </c>
      <c r="Q840" s="30" t="n">
        <v>60</v>
      </c>
      <c r="R840" s="30" t="n">
        <v>0</v>
      </c>
      <c r="S840" s="30" t="str">
        <f aca="false">IF(Q840&lt;判定条件!$C$6,"判定不能",IF(R840&gt;=判定条件!$C$7*Q840,"運転",IF(R840&lt;=判定条件!$C$8*Q840,"停止","断続")))</f>
        <v>停止</v>
      </c>
      <c r="T840" s="30" t="n">
        <v>60</v>
      </c>
      <c r="U840" s="30" t="n">
        <v>0</v>
      </c>
      <c r="V840" s="30" t="str">
        <f aca="false">IF(T840&lt;判定条件!$C$6,"判定不能",IF(U840&gt;=判定条件!$C$7*T840,"運転",IF(U840&lt;=判定条件!$C$8*T840,"停止","断続")))</f>
        <v>停止</v>
      </c>
      <c r="W840" s="30" t="n">
        <v>60</v>
      </c>
      <c r="X840" s="30" t="n">
        <v>37</v>
      </c>
      <c r="Y840" s="30" t="str">
        <f aca="false">IF(W840&lt;判定条件!$C$6,"判定不能",IF(X840&gt;=判定条件!$C$7*W840,"運転",IF(X840&lt;=判定条件!$C$8*W840,"停止","断続")))</f>
        <v>断続</v>
      </c>
      <c r="Z840" s="30" t="n">
        <v>60</v>
      </c>
      <c r="AA840" s="30" t="n">
        <v>0</v>
      </c>
      <c r="AB840" s="30" t="str">
        <f aca="false">IF(Z840&lt;判定条件!$C$6,"判定不能",IF(AA840&gt;=判定条件!$C$7*Z840,"運転",IF(AA840&lt;=判定条件!$C$8*Z840,"停止","断続")))</f>
        <v>停止</v>
      </c>
      <c r="AC840" s="30" t="n">
        <v>60</v>
      </c>
      <c r="AD840" s="30" t="n">
        <v>0</v>
      </c>
      <c r="AE840" s="30" t="str">
        <f aca="false">IF(AC840&lt;判定条件!$C$6,"判定不能",IF(AD840&gt;=判定条件!$C$7*AC840,"運転",IF(AD840&lt;=判定条件!$C$8*AC840,"停止","断続")))</f>
        <v>停止</v>
      </c>
      <c r="AF840" s="30" t="n">
        <v>60</v>
      </c>
      <c r="AG840" s="30" t="n">
        <v>0</v>
      </c>
      <c r="AH840" s="30" t="str">
        <f aca="false">IF(OR(P840="判定不能",G840="判定不能"),"判定不能",IF(AG840&gt;=判定条件!$C$9,"利用可",IF(AND(P840="停止",G840="停止"),"両方停止","運転がそろわない")))</f>
        <v>両方停止</v>
      </c>
      <c r="AI840" s="30" t="n">
        <v>0</v>
      </c>
      <c r="AJ840" s="30" t="n">
        <v>0</v>
      </c>
      <c r="AK840" s="30" t="str">
        <f aca="false">IF(OR(S840="判定不能",J840="判定不能"),"判定不能",IF(AJ840&gt;=判定条件!$C$9,"利用可",IF(AND(S840="停止",J840="停止"),"両方停止","運転がそろわない")))</f>
        <v>判定不能</v>
      </c>
      <c r="AL840" s="30" t="n">
        <v>60</v>
      </c>
      <c r="AM840" s="30" t="n">
        <v>0</v>
      </c>
      <c r="AN840" s="30" t="str">
        <f aca="false">IF(OR(V840="判定不能",M840="判定不能"),"判定不能",IF(AM840&gt;=判定条件!$C$9,"利用可",IF(AND(V840="停止",M840="停止"),"両方停止","運転がそろわない")))</f>
        <v>運転がそろわない</v>
      </c>
      <c r="AO840" s="30" t="n">
        <v>60</v>
      </c>
      <c r="AP840" s="30" t="n">
        <v>0</v>
      </c>
      <c r="AQ840" s="30" t="str">
        <f aca="false">IF(OR(Y840="判定不能",G840="判定不能"),"判定不能",IF(AP840&gt;=判定条件!$C$9,"利用可",IF(AND(Y840="停止",G840="停止"),"両方停止","運転がそろわない")))</f>
        <v>運転がそろわない</v>
      </c>
      <c r="AR840" s="30" t="n">
        <v>0</v>
      </c>
      <c r="AS840" s="30" t="n">
        <v>0</v>
      </c>
      <c r="AT840" s="30" t="str">
        <f aca="false">IF(OR(AB840="判定不能",J840="判定不能"),"判定不能",IF(AS840&gt;=判定条件!$C$9,"利用可",IF(AND(AB840="停止",J840="停止"),"両方停止","運転がそろわない")))</f>
        <v>判定不能</v>
      </c>
      <c r="AU840" s="30" t="n">
        <v>60</v>
      </c>
      <c r="AV840" s="30" t="n">
        <v>0</v>
      </c>
      <c r="AW840" s="30" t="str">
        <f aca="false">IF(OR(AE840="判定不能",M840="判定不能"),"判定不能",IF(AV840&gt;=判定条件!$C$9,"利用可",IF(AND(AE840="停止",M840="停止"),"両方停止","運転がそろわない")))</f>
        <v>運転がそろわない</v>
      </c>
      <c r="AX840" s="30" t="str">
        <f aca="false">IF(AND(AH840="利用可",AK840="利用可",AN840="利用可"),"利用可","不可")</f>
        <v>不可</v>
      </c>
      <c r="AY840" s="30" t="str">
        <f aca="false">IF(AND(AQ840="利用可",AT840="利用可",AW840="利用可"),"利用可","不可")</f>
        <v>不可</v>
      </c>
    </row>
    <row r="841" customFormat="false" ht="15" hidden="false" customHeight="false" outlineLevel="0" collapsed="false">
      <c r="A841" s="29" t="n">
        <v>46266</v>
      </c>
      <c r="B841" s="30" t="n">
        <v>22</v>
      </c>
      <c r="C841" s="31" t="s">
        <v>67</v>
      </c>
      <c r="D841" s="31" t="s">
        <v>59</v>
      </c>
      <c r="E841" s="30" t="n">
        <v>60</v>
      </c>
      <c r="F841" s="30" t="n">
        <v>0</v>
      </c>
      <c r="G841" s="30" t="str">
        <f aca="false">IF(E841&lt;判定条件!$C$6,"判定不能",IF(F841&gt;=判定条件!$C$7*E841,"運転",IF(F841&lt;=判定条件!$C$8*E841,"停止","断続")))</f>
        <v>停止</v>
      </c>
      <c r="H841" s="30" t="n">
        <v>0</v>
      </c>
      <c r="I841" s="30" t="n">
        <v>0</v>
      </c>
      <c r="J841" s="30" t="str">
        <f aca="false">IF(H841&lt;判定条件!$C$6,"判定不能",IF(I841&gt;=判定条件!$C$7*H841,"運転",IF(I841&lt;=判定条件!$C$8*H841,"停止","断続")))</f>
        <v>判定不能</v>
      </c>
      <c r="K841" s="30" t="n">
        <v>60</v>
      </c>
      <c r="L841" s="30" t="n">
        <v>60</v>
      </c>
      <c r="M841" s="30" t="str">
        <f aca="false">IF(K841&lt;判定条件!$C$6,"判定不能",IF(L841&gt;=判定条件!$C$7*K841,"運転",IF(L841&lt;=判定条件!$C$8*K841,"停止","断続")))</f>
        <v>運転</v>
      </c>
      <c r="N841" s="30" t="n">
        <v>60</v>
      </c>
      <c r="O841" s="30" t="n">
        <v>0</v>
      </c>
      <c r="P841" s="30" t="str">
        <f aca="false">IF(N841&lt;判定条件!$C$6,"判定不能",IF(O841&gt;=判定条件!$C$7*N841,"運転",IF(O841&lt;=判定条件!$C$8*N841,"停止","断続")))</f>
        <v>停止</v>
      </c>
      <c r="Q841" s="30" t="n">
        <v>60</v>
      </c>
      <c r="R841" s="30" t="n">
        <v>0</v>
      </c>
      <c r="S841" s="30" t="str">
        <f aca="false">IF(Q841&lt;判定条件!$C$6,"判定不能",IF(R841&gt;=判定条件!$C$7*Q841,"運転",IF(R841&lt;=判定条件!$C$8*Q841,"停止","断続")))</f>
        <v>停止</v>
      </c>
      <c r="T841" s="30" t="n">
        <v>60</v>
      </c>
      <c r="U841" s="30" t="n">
        <v>0</v>
      </c>
      <c r="V841" s="30" t="str">
        <f aca="false">IF(T841&lt;判定条件!$C$6,"判定不能",IF(U841&gt;=判定条件!$C$7*T841,"運転",IF(U841&lt;=判定条件!$C$8*T841,"停止","断続")))</f>
        <v>停止</v>
      </c>
      <c r="W841" s="30" t="n">
        <v>60</v>
      </c>
      <c r="X841" s="30" t="n">
        <v>0</v>
      </c>
      <c r="Y841" s="30" t="str">
        <f aca="false">IF(W841&lt;判定条件!$C$6,"判定不能",IF(X841&gt;=判定条件!$C$7*W841,"運転",IF(X841&lt;=判定条件!$C$8*W841,"停止","断続")))</f>
        <v>停止</v>
      </c>
      <c r="Z841" s="30" t="n">
        <v>60</v>
      </c>
      <c r="AA841" s="30" t="n">
        <v>0</v>
      </c>
      <c r="AB841" s="30" t="str">
        <f aca="false">IF(Z841&lt;判定条件!$C$6,"判定不能",IF(AA841&gt;=判定条件!$C$7*Z841,"運転",IF(AA841&lt;=判定条件!$C$8*Z841,"停止","断続")))</f>
        <v>停止</v>
      </c>
      <c r="AC841" s="30" t="n">
        <v>60</v>
      </c>
      <c r="AD841" s="30" t="n">
        <v>0</v>
      </c>
      <c r="AE841" s="30" t="str">
        <f aca="false">IF(AC841&lt;判定条件!$C$6,"判定不能",IF(AD841&gt;=判定条件!$C$7*AC841,"運転",IF(AD841&lt;=判定条件!$C$8*AC841,"停止","断続")))</f>
        <v>停止</v>
      </c>
      <c r="AF841" s="30" t="n">
        <v>60</v>
      </c>
      <c r="AG841" s="30" t="n">
        <v>0</v>
      </c>
      <c r="AH841" s="30" t="str">
        <f aca="false">IF(OR(P841="判定不能",G841="判定不能"),"判定不能",IF(AG841&gt;=判定条件!$C$9,"利用可",IF(AND(P841="停止",G841="停止"),"両方停止","運転がそろわない")))</f>
        <v>両方停止</v>
      </c>
      <c r="AI841" s="30" t="n">
        <v>0</v>
      </c>
      <c r="AJ841" s="30" t="n">
        <v>0</v>
      </c>
      <c r="AK841" s="30" t="str">
        <f aca="false">IF(OR(S841="判定不能",J841="判定不能"),"判定不能",IF(AJ841&gt;=判定条件!$C$9,"利用可",IF(AND(S841="停止",J841="停止"),"両方停止","運転がそろわない")))</f>
        <v>判定不能</v>
      </c>
      <c r="AL841" s="30" t="n">
        <v>60</v>
      </c>
      <c r="AM841" s="30" t="n">
        <v>0</v>
      </c>
      <c r="AN841" s="30" t="str">
        <f aca="false">IF(OR(V841="判定不能",M841="判定不能"),"判定不能",IF(AM841&gt;=判定条件!$C$9,"利用可",IF(AND(V841="停止",M841="停止"),"両方停止","運転がそろわない")))</f>
        <v>運転がそろわない</v>
      </c>
      <c r="AO841" s="30" t="n">
        <v>60</v>
      </c>
      <c r="AP841" s="30" t="n">
        <v>0</v>
      </c>
      <c r="AQ841" s="30" t="str">
        <f aca="false">IF(OR(Y841="判定不能",G841="判定不能"),"判定不能",IF(AP841&gt;=判定条件!$C$9,"利用可",IF(AND(Y841="停止",G841="停止"),"両方停止","運転がそろわない")))</f>
        <v>両方停止</v>
      </c>
      <c r="AR841" s="30" t="n">
        <v>0</v>
      </c>
      <c r="AS841" s="30" t="n">
        <v>0</v>
      </c>
      <c r="AT841" s="30" t="str">
        <f aca="false">IF(OR(AB841="判定不能",J841="判定不能"),"判定不能",IF(AS841&gt;=判定条件!$C$9,"利用可",IF(AND(AB841="停止",J841="停止"),"両方停止","運転がそろわない")))</f>
        <v>判定不能</v>
      </c>
      <c r="AU841" s="30" t="n">
        <v>60</v>
      </c>
      <c r="AV841" s="30" t="n">
        <v>0</v>
      </c>
      <c r="AW841" s="30" t="str">
        <f aca="false">IF(OR(AE841="判定不能",M841="判定不能"),"判定不能",IF(AV841&gt;=判定条件!$C$9,"利用可",IF(AND(AE841="停止",M841="停止"),"両方停止","運転がそろわない")))</f>
        <v>運転がそろわない</v>
      </c>
      <c r="AX841" s="30" t="str">
        <f aca="false">IF(AND(AH841="利用可",AK841="利用可",AN841="利用可"),"利用可","不可")</f>
        <v>不可</v>
      </c>
      <c r="AY841" s="30" t="str">
        <f aca="false">IF(AND(AQ841="利用可",AT841="利用可",AW841="利用可"),"利用可","不可")</f>
        <v>不可</v>
      </c>
    </row>
    <row r="842" customFormat="false" ht="15" hidden="false" customHeight="false" outlineLevel="0" collapsed="false">
      <c r="A842" s="29" t="n">
        <v>46266</v>
      </c>
      <c r="B842" s="30" t="n">
        <v>23</v>
      </c>
      <c r="C842" s="31" t="s">
        <v>67</v>
      </c>
      <c r="D842" s="31" t="s">
        <v>59</v>
      </c>
      <c r="E842" s="30" t="n">
        <v>60</v>
      </c>
      <c r="F842" s="30" t="n">
        <v>0</v>
      </c>
      <c r="G842" s="30" t="str">
        <f aca="false">IF(E842&lt;判定条件!$C$6,"判定不能",IF(F842&gt;=判定条件!$C$7*E842,"運転",IF(F842&lt;=判定条件!$C$8*E842,"停止","断続")))</f>
        <v>停止</v>
      </c>
      <c r="H842" s="30" t="n">
        <v>0</v>
      </c>
      <c r="I842" s="30" t="n">
        <v>0</v>
      </c>
      <c r="J842" s="30" t="str">
        <f aca="false">IF(H842&lt;判定条件!$C$6,"判定不能",IF(I842&gt;=判定条件!$C$7*H842,"運転",IF(I842&lt;=判定条件!$C$8*H842,"停止","断続")))</f>
        <v>判定不能</v>
      </c>
      <c r="K842" s="30" t="n">
        <v>60</v>
      </c>
      <c r="L842" s="30" t="n">
        <v>60</v>
      </c>
      <c r="M842" s="30" t="str">
        <f aca="false">IF(K842&lt;判定条件!$C$6,"判定不能",IF(L842&gt;=判定条件!$C$7*K842,"運転",IF(L842&lt;=判定条件!$C$8*K842,"停止","断続")))</f>
        <v>運転</v>
      </c>
      <c r="N842" s="30" t="n">
        <v>60</v>
      </c>
      <c r="O842" s="30" t="n">
        <v>0</v>
      </c>
      <c r="P842" s="30" t="str">
        <f aca="false">IF(N842&lt;判定条件!$C$6,"判定不能",IF(O842&gt;=判定条件!$C$7*N842,"運転",IF(O842&lt;=判定条件!$C$8*N842,"停止","断続")))</f>
        <v>停止</v>
      </c>
      <c r="Q842" s="30" t="n">
        <v>60</v>
      </c>
      <c r="R842" s="30" t="n">
        <v>0</v>
      </c>
      <c r="S842" s="30" t="str">
        <f aca="false">IF(Q842&lt;判定条件!$C$6,"判定不能",IF(R842&gt;=判定条件!$C$7*Q842,"運転",IF(R842&lt;=判定条件!$C$8*Q842,"停止","断続")))</f>
        <v>停止</v>
      </c>
      <c r="T842" s="30" t="n">
        <v>60</v>
      </c>
      <c r="U842" s="30" t="n">
        <v>0</v>
      </c>
      <c r="V842" s="30" t="str">
        <f aca="false">IF(T842&lt;判定条件!$C$6,"判定不能",IF(U842&gt;=判定条件!$C$7*T842,"運転",IF(U842&lt;=判定条件!$C$8*T842,"停止","断続")))</f>
        <v>停止</v>
      </c>
      <c r="W842" s="30" t="n">
        <v>60</v>
      </c>
      <c r="X842" s="30" t="n">
        <v>0</v>
      </c>
      <c r="Y842" s="30" t="str">
        <f aca="false">IF(W842&lt;判定条件!$C$6,"判定不能",IF(X842&gt;=判定条件!$C$7*W842,"運転",IF(X842&lt;=判定条件!$C$8*W842,"停止","断続")))</f>
        <v>停止</v>
      </c>
      <c r="Z842" s="30" t="n">
        <v>60</v>
      </c>
      <c r="AA842" s="30" t="n">
        <v>0</v>
      </c>
      <c r="AB842" s="30" t="str">
        <f aca="false">IF(Z842&lt;判定条件!$C$6,"判定不能",IF(AA842&gt;=判定条件!$C$7*Z842,"運転",IF(AA842&lt;=判定条件!$C$8*Z842,"停止","断続")))</f>
        <v>停止</v>
      </c>
      <c r="AC842" s="30" t="n">
        <v>60</v>
      </c>
      <c r="AD842" s="30" t="n">
        <v>0</v>
      </c>
      <c r="AE842" s="30" t="str">
        <f aca="false">IF(AC842&lt;判定条件!$C$6,"判定不能",IF(AD842&gt;=判定条件!$C$7*AC842,"運転",IF(AD842&lt;=判定条件!$C$8*AC842,"停止","断続")))</f>
        <v>停止</v>
      </c>
      <c r="AF842" s="30" t="n">
        <v>60</v>
      </c>
      <c r="AG842" s="30" t="n">
        <v>0</v>
      </c>
      <c r="AH842" s="30" t="str">
        <f aca="false">IF(OR(P842="判定不能",G842="判定不能"),"判定不能",IF(AG842&gt;=判定条件!$C$9,"利用可",IF(AND(P842="停止",G842="停止"),"両方停止","運転がそろわない")))</f>
        <v>両方停止</v>
      </c>
      <c r="AI842" s="30" t="n">
        <v>0</v>
      </c>
      <c r="AJ842" s="30" t="n">
        <v>0</v>
      </c>
      <c r="AK842" s="30" t="str">
        <f aca="false">IF(OR(S842="判定不能",J842="判定不能"),"判定不能",IF(AJ842&gt;=判定条件!$C$9,"利用可",IF(AND(S842="停止",J842="停止"),"両方停止","運転がそろわない")))</f>
        <v>判定不能</v>
      </c>
      <c r="AL842" s="30" t="n">
        <v>60</v>
      </c>
      <c r="AM842" s="30" t="n">
        <v>0</v>
      </c>
      <c r="AN842" s="30" t="str">
        <f aca="false">IF(OR(V842="判定不能",M842="判定不能"),"判定不能",IF(AM842&gt;=判定条件!$C$9,"利用可",IF(AND(V842="停止",M842="停止"),"両方停止","運転がそろわない")))</f>
        <v>運転がそろわない</v>
      </c>
      <c r="AO842" s="30" t="n">
        <v>60</v>
      </c>
      <c r="AP842" s="30" t="n">
        <v>0</v>
      </c>
      <c r="AQ842" s="30" t="str">
        <f aca="false">IF(OR(Y842="判定不能",G842="判定不能"),"判定不能",IF(AP842&gt;=判定条件!$C$9,"利用可",IF(AND(Y842="停止",G842="停止"),"両方停止","運転がそろわない")))</f>
        <v>両方停止</v>
      </c>
      <c r="AR842" s="30" t="n">
        <v>0</v>
      </c>
      <c r="AS842" s="30" t="n">
        <v>0</v>
      </c>
      <c r="AT842" s="30" t="str">
        <f aca="false">IF(OR(AB842="判定不能",J842="判定不能"),"判定不能",IF(AS842&gt;=判定条件!$C$9,"利用可",IF(AND(AB842="停止",J842="停止"),"両方停止","運転がそろわない")))</f>
        <v>判定不能</v>
      </c>
      <c r="AU842" s="30" t="n">
        <v>60</v>
      </c>
      <c r="AV842" s="30" t="n">
        <v>0</v>
      </c>
      <c r="AW842" s="30" t="str">
        <f aca="false">IF(OR(AE842="判定不能",M842="判定不能"),"判定不能",IF(AV842&gt;=判定条件!$C$9,"利用可",IF(AND(AE842="停止",M842="停止"),"両方停止","運転がそろわない")))</f>
        <v>運転がそろわない</v>
      </c>
      <c r="AX842" s="30" t="str">
        <f aca="false">IF(AND(AH842="利用可",AK842="利用可",AN842="利用可"),"利用可","不可")</f>
        <v>不可</v>
      </c>
      <c r="AY842" s="30" t="str">
        <f aca="false">IF(AND(AQ842="利用可",AT842="利用可",AW842="利用可"),"利用可","不可")</f>
        <v>不可</v>
      </c>
    </row>
    <row r="843" customFormat="false" ht="15" hidden="false" customHeight="false" outlineLevel="0" collapsed="false">
      <c r="A843" s="29" t="n">
        <v>46267</v>
      </c>
      <c r="B843" s="30" t="n">
        <v>0</v>
      </c>
      <c r="C843" s="31" t="s">
        <v>58</v>
      </c>
      <c r="D843" s="31" t="s">
        <v>59</v>
      </c>
      <c r="E843" s="30" t="n">
        <v>60</v>
      </c>
      <c r="F843" s="30" t="n">
        <v>0</v>
      </c>
      <c r="G843" s="30" t="str">
        <f aca="false">IF(E843&lt;判定条件!$C$6,"判定不能",IF(F843&gt;=判定条件!$C$7*E843,"運転",IF(F843&lt;=判定条件!$C$8*E843,"停止","断続")))</f>
        <v>停止</v>
      </c>
      <c r="H843" s="30" t="n">
        <v>0</v>
      </c>
      <c r="I843" s="30" t="n">
        <v>0</v>
      </c>
      <c r="J843" s="30" t="str">
        <f aca="false">IF(H843&lt;判定条件!$C$6,"判定不能",IF(I843&gt;=判定条件!$C$7*H843,"運転",IF(I843&lt;=判定条件!$C$8*H843,"停止","断続")))</f>
        <v>判定不能</v>
      </c>
      <c r="K843" s="30" t="n">
        <v>60</v>
      </c>
      <c r="L843" s="30" t="n">
        <v>60</v>
      </c>
      <c r="M843" s="30" t="str">
        <f aca="false">IF(K843&lt;判定条件!$C$6,"判定不能",IF(L843&gt;=判定条件!$C$7*K843,"運転",IF(L843&lt;=判定条件!$C$8*K843,"停止","断続")))</f>
        <v>運転</v>
      </c>
      <c r="N843" s="30" t="n">
        <v>60</v>
      </c>
      <c r="O843" s="30" t="n">
        <v>0</v>
      </c>
      <c r="P843" s="30" t="str">
        <f aca="false">IF(N843&lt;判定条件!$C$6,"判定不能",IF(O843&gt;=判定条件!$C$7*N843,"運転",IF(O843&lt;=判定条件!$C$8*N843,"停止","断続")))</f>
        <v>停止</v>
      </c>
      <c r="Q843" s="30" t="n">
        <v>60</v>
      </c>
      <c r="R843" s="30" t="n">
        <v>0</v>
      </c>
      <c r="S843" s="30" t="str">
        <f aca="false">IF(Q843&lt;判定条件!$C$6,"判定不能",IF(R843&gt;=判定条件!$C$7*Q843,"運転",IF(R843&lt;=判定条件!$C$8*Q843,"停止","断続")))</f>
        <v>停止</v>
      </c>
      <c r="T843" s="30" t="n">
        <v>60</v>
      </c>
      <c r="U843" s="30" t="n">
        <v>0</v>
      </c>
      <c r="V843" s="30" t="str">
        <f aca="false">IF(T843&lt;判定条件!$C$6,"判定不能",IF(U843&gt;=判定条件!$C$7*T843,"運転",IF(U843&lt;=判定条件!$C$8*T843,"停止","断続")))</f>
        <v>停止</v>
      </c>
      <c r="W843" s="30" t="n">
        <v>60</v>
      </c>
      <c r="X843" s="30" t="n">
        <v>0</v>
      </c>
      <c r="Y843" s="30" t="str">
        <f aca="false">IF(W843&lt;判定条件!$C$6,"判定不能",IF(X843&gt;=判定条件!$C$7*W843,"運転",IF(X843&lt;=判定条件!$C$8*W843,"停止","断続")))</f>
        <v>停止</v>
      </c>
      <c r="Z843" s="30" t="n">
        <v>60</v>
      </c>
      <c r="AA843" s="30" t="n">
        <v>0</v>
      </c>
      <c r="AB843" s="30" t="str">
        <f aca="false">IF(Z843&lt;判定条件!$C$6,"判定不能",IF(AA843&gt;=判定条件!$C$7*Z843,"運転",IF(AA843&lt;=判定条件!$C$8*Z843,"停止","断続")))</f>
        <v>停止</v>
      </c>
      <c r="AC843" s="30" t="n">
        <v>60</v>
      </c>
      <c r="AD843" s="30" t="n">
        <v>0</v>
      </c>
      <c r="AE843" s="30" t="str">
        <f aca="false">IF(AC843&lt;判定条件!$C$6,"判定不能",IF(AD843&gt;=判定条件!$C$7*AC843,"運転",IF(AD843&lt;=判定条件!$C$8*AC843,"停止","断続")))</f>
        <v>停止</v>
      </c>
      <c r="AF843" s="30" t="n">
        <v>60</v>
      </c>
      <c r="AG843" s="30" t="n">
        <v>0</v>
      </c>
      <c r="AH843" s="30" t="str">
        <f aca="false">IF(OR(P843="判定不能",G843="判定不能"),"判定不能",IF(AG843&gt;=判定条件!$C$9,"利用可",IF(AND(P843="停止",G843="停止"),"両方停止","運転がそろわない")))</f>
        <v>両方停止</v>
      </c>
      <c r="AI843" s="30" t="n">
        <v>0</v>
      </c>
      <c r="AJ843" s="30" t="n">
        <v>0</v>
      </c>
      <c r="AK843" s="30" t="str">
        <f aca="false">IF(OR(S843="判定不能",J843="判定不能"),"判定不能",IF(AJ843&gt;=判定条件!$C$9,"利用可",IF(AND(S843="停止",J843="停止"),"両方停止","運転がそろわない")))</f>
        <v>判定不能</v>
      </c>
      <c r="AL843" s="30" t="n">
        <v>60</v>
      </c>
      <c r="AM843" s="30" t="n">
        <v>0</v>
      </c>
      <c r="AN843" s="30" t="str">
        <f aca="false">IF(OR(V843="判定不能",M843="判定不能"),"判定不能",IF(AM843&gt;=判定条件!$C$9,"利用可",IF(AND(V843="停止",M843="停止"),"両方停止","運転がそろわない")))</f>
        <v>運転がそろわない</v>
      </c>
      <c r="AO843" s="30" t="n">
        <v>60</v>
      </c>
      <c r="AP843" s="30" t="n">
        <v>0</v>
      </c>
      <c r="AQ843" s="30" t="str">
        <f aca="false">IF(OR(Y843="判定不能",G843="判定不能"),"判定不能",IF(AP843&gt;=判定条件!$C$9,"利用可",IF(AND(Y843="停止",G843="停止"),"両方停止","運転がそろわない")))</f>
        <v>両方停止</v>
      </c>
      <c r="AR843" s="30" t="n">
        <v>0</v>
      </c>
      <c r="AS843" s="30" t="n">
        <v>0</v>
      </c>
      <c r="AT843" s="30" t="str">
        <f aca="false">IF(OR(AB843="判定不能",J843="判定不能"),"判定不能",IF(AS843&gt;=判定条件!$C$9,"利用可",IF(AND(AB843="停止",J843="停止"),"両方停止","運転がそろわない")))</f>
        <v>判定不能</v>
      </c>
      <c r="AU843" s="30" t="n">
        <v>60</v>
      </c>
      <c r="AV843" s="30" t="n">
        <v>0</v>
      </c>
      <c r="AW843" s="30" t="str">
        <f aca="false">IF(OR(AE843="判定不能",M843="判定不能"),"判定不能",IF(AV843&gt;=判定条件!$C$9,"利用可",IF(AND(AE843="停止",M843="停止"),"両方停止","運転がそろわない")))</f>
        <v>運転がそろわない</v>
      </c>
      <c r="AX843" s="30" t="str">
        <f aca="false">IF(AND(AH843="利用可",AK843="利用可",AN843="利用可"),"利用可","不可")</f>
        <v>不可</v>
      </c>
      <c r="AY843" s="30" t="str">
        <f aca="false">IF(AND(AQ843="利用可",AT843="利用可",AW843="利用可"),"利用可","不可")</f>
        <v>不可</v>
      </c>
    </row>
    <row r="844" customFormat="false" ht="15" hidden="false" customHeight="false" outlineLevel="0" collapsed="false">
      <c r="A844" s="29" t="n">
        <v>46267</v>
      </c>
      <c r="B844" s="30" t="n">
        <v>1</v>
      </c>
      <c r="C844" s="31" t="s">
        <v>58</v>
      </c>
      <c r="D844" s="31" t="s">
        <v>59</v>
      </c>
      <c r="E844" s="30" t="n">
        <v>60</v>
      </c>
      <c r="F844" s="30" t="n">
        <v>0</v>
      </c>
      <c r="G844" s="30" t="str">
        <f aca="false">IF(E844&lt;判定条件!$C$6,"判定不能",IF(F844&gt;=判定条件!$C$7*E844,"運転",IF(F844&lt;=判定条件!$C$8*E844,"停止","断続")))</f>
        <v>停止</v>
      </c>
      <c r="H844" s="30" t="n">
        <v>0</v>
      </c>
      <c r="I844" s="30" t="n">
        <v>0</v>
      </c>
      <c r="J844" s="30" t="str">
        <f aca="false">IF(H844&lt;判定条件!$C$6,"判定不能",IF(I844&gt;=判定条件!$C$7*H844,"運転",IF(I844&lt;=判定条件!$C$8*H844,"停止","断続")))</f>
        <v>判定不能</v>
      </c>
      <c r="K844" s="30" t="n">
        <v>60</v>
      </c>
      <c r="L844" s="30" t="n">
        <v>60</v>
      </c>
      <c r="M844" s="30" t="str">
        <f aca="false">IF(K844&lt;判定条件!$C$6,"判定不能",IF(L844&gt;=判定条件!$C$7*K844,"運転",IF(L844&lt;=判定条件!$C$8*K844,"停止","断続")))</f>
        <v>運転</v>
      </c>
      <c r="N844" s="30" t="n">
        <v>60</v>
      </c>
      <c r="O844" s="30" t="n">
        <v>0</v>
      </c>
      <c r="P844" s="30" t="str">
        <f aca="false">IF(N844&lt;判定条件!$C$6,"判定不能",IF(O844&gt;=判定条件!$C$7*N844,"運転",IF(O844&lt;=判定条件!$C$8*N844,"停止","断続")))</f>
        <v>停止</v>
      </c>
      <c r="Q844" s="30" t="n">
        <v>60</v>
      </c>
      <c r="R844" s="30" t="n">
        <v>0</v>
      </c>
      <c r="S844" s="30" t="str">
        <f aca="false">IF(Q844&lt;判定条件!$C$6,"判定不能",IF(R844&gt;=判定条件!$C$7*Q844,"運転",IF(R844&lt;=判定条件!$C$8*Q844,"停止","断続")))</f>
        <v>停止</v>
      </c>
      <c r="T844" s="30" t="n">
        <v>60</v>
      </c>
      <c r="U844" s="30" t="n">
        <v>0</v>
      </c>
      <c r="V844" s="30" t="str">
        <f aca="false">IF(T844&lt;判定条件!$C$6,"判定不能",IF(U844&gt;=判定条件!$C$7*T844,"運転",IF(U844&lt;=判定条件!$C$8*T844,"停止","断続")))</f>
        <v>停止</v>
      </c>
      <c r="W844" s="30" t="n">
        <v>60</v>
      </c>
      <c r="X844" s="30" t="n">
        <v>0</v>
      </c>
      <c r="Y844" s="30" t="str">
        <f aca="false">IF(W844&lt;判定条件!$C$6,"判定不能",IF(X844&gt;=判定条件!$C$7*W844,"運転",IF(X844&lt;=判定条件!$C$8*W844,"停止","断続")))</f>
        <v>停止</v>
      </c>
      <c r="Z844" s="30" t="n">
        <v>60</v>
      </c>
      <c r="AA844" s="30" t="n">
        <v>0</v>
      </c>
      <c r="AB844" s="30" t="str">
        <f aca="false">IF(Z844&lt;判定条件!$C$6,"判定不能",IF(AA844&gt;=判定条件!$C$7*Z844,"運転",IF(AA844&lt;=判定条件!$C$8*Z844,"停止","断続")))</f>
        <v>停止</v>
      </c>
      <c r="AC844" s="30" t="n">
        <v>60</v>
      </c>
      <c r="AD844" s="30" t="n">
        <v>0</v>
      </c>
      <c r="AE844" s="30" t="str">
        <f aca="false">IF(AC844&lt;判定条件!$C$6,"判定不能",IF(AD844&gt;=判定条件!$C$7*AC844,"運転",IF(AD844&lt;=判定条件!$C$8*AC844,"停止","断続")))</f>
        <v>停止</v>
      </c>
      <c r="AF844" s="30" t="n">
        <v>60</v>
      </c>
      <c r="AG844" s="30" t="n">
        <v>0</v>
      </c>
      <c r="AH844" s="30" t="str">
        <f aca="false">IF(OR(P844="判定不能",G844="判定不能"),"判定不能",IF(AG844&gt;=判定条件!$C$9,"利用可",IF(AND(P844="停止",G844="停止"),"両方停止","運転がそろわない")))</f>
        <v>両方停止</v>
      </c>
      <c r="AI844" s="30" t="n">
        <v>0</v>
      </c>
      <c r="AJ844" s="30" t="n">
        <v>0</v>
      </c>
      <c r="AK844" s="30" t="str">
        <f aca="false">IF(OR(S844="判定不能",J844="判定不能"),"判定不能",IF(AJ844&gt;=判定条件!$C$9,"利用可",IF(AND(S844="停止",J844="停止"),"両方停止","運転がそろわない")))</f>
        <v>判定不能</v>
      </c>
      <c r="AL844" s="30" t="n">
        <v>60</v>
      </c>
      <c r="AM844" s="30" t="n">
        <v>0</v>
      </c>
      <c r="AN844" s="30" t="str">
        <f aca="false">IF(OR(V844="判定不能",M844="判定不能"),"判定不能",IF(AM844&gt;=判定条件!$C$9,"利用可",IF(AND(V844="停止",M844="停止"),"両方停止","運転がそろわない")))</f>
        <v>運転がそろわない</v>
      </c>
      <c r="AO844" s="30" t="n">
        <v>60</v>
      </c>
      <c r="AP844" s="30" t="n">
        <v>0</v>
      </c>
      <c r="AQ844" s="30" t="str">
        <f aca="false">IF(OR(Y844="判定不能",G844="判定不能"),"判定不能",IF(AP844&gt;=判定条件!$C$9,"利用可",IF(AND(Y844="停止",G844="停止"),"両方停止","運転がそろわない")))</f>
        <v>両方停止</v>
      </c>
      <c r="AR844" s="30" t="n">
        <v>0</v>
      </c>
      <c r="AS844" s="30" t="n">
        <v>0</v>
      </c>
      <c r="AT844" s="30" t="str">
        <f aca="false">IF(OR(AB844="判定不能",J844="判定不能"),"判定不能",IF(AS844&gt;=判定条件!$C$9,"利用可",IF(AND(AB844="停止",J844="停止"),"両方停止","運転がそろわない")))</f>
        <v>判定不能</v>
      </c>
      <c r="AU844" s="30" t="n">
        <v>60</v>
      </c>
      <c r="AV844" s="30" t="n">
        <v>0</v>
      </c>
      <c r="AW844" s="30" t="str">
        <f aca="false">IF(OR(AE844="判定不能",M844="判定不能"),"判定不能",IF(AV844&gt;=判定条件!$C$9,"利用可",IF(AND(AE844="停止",M844="停止"),"両方停止","運転がそろわない")))</f>
        <v>運転がそろわない</v>
      </c>
      <c r="AX844" s="30" t="str">
        <f aca="false">IF(AND(AH844="利用可",AK844="利用可",AN844="利用可"),"利用可","不可")</f>
        <v>不可</v>
      </c>
      <c r="AY844" s="30" t="str">
        <f aca="false">IF(AND(AQ844="利用可",AT844="利用可",AW844="利用可"),"利用可","不可")</f>
        <v>不可</v>
      </c>
    </row>
    <row r="845" customFormat="false" ht="15" hidden="false" customHeight="false" outlineLevel="0" collapsed="false">
      <c r="A845" s="29" t="n">
        <v>46267</v>
      </c>
      <c r="B845" s="30" t="n">
        <v>2</v>
      </c>
      <c r="C845" s="31" t="s">
        <v>58</v>
      </c>
      <c r="D845" s="31" t="s">
        <v>59</v>
      </c>
      <c r="E845" s="30" t="n">
        <v>60</v>
      </c>
      <c r="F845" s="30" t="n">
        <v>0</v>
      </c>
      <c r="G845" s="30" t="str">
        <f aca="false">IF(E845&lt;判定条件!$C$6,"判定不能",IF(F845&gt;=判定条件!$C$7*E845,"運転",IF(F845&lt;=判定条件!$C$8*E845,"停止","断続")))</f>
        <v>停止</v>
      </c>
      <c r="H845" s="30" t="n">
        <v>0</v>
      </c>
      <c r="I845" s="30" t="n">
        <v>0</v>
      </c>
      <c r="J845" s="30" t="str">
        <f aca="false">IF(H845&lt;判定条件!$C$6,"判定不能",IF(I845&gt;=判定条件!$C$7*H845,"運転",IF(I845&lt;=判定条件!$C$8*H845,"停止","断続")))</f>
        <v>判定不能</v>
      </c>
      <c r="K845" s="30" t="n">
        <v>60</v>
      </c>
      <c r="L845" s="30" t="n">
        <v>60</v>
      </c>
      <c r="M845" s="30" t="str">
        <f aca="false">IF(K845&lt;判定条件!$C$6,"判定不能",IF(L845&gt;=判定条件!$C$7*K845,"運転",IF(L845&lt;=判定条件!$C$8*K845,"停止","断続")))</f>
        <v>運転</v>
      </c>
      <c r="N845" s="30" t="n">
        <v>60</v>
      </c>
      <c r="O845" s="30" t="n">
        <v>0</v>
      </c>
      <c r="P845" s="30" t="str">
        <f aca="false">IF(N845&lt;判定条件!$C$6,"判定不能",IF(O845&gt;=判定条件!$C$7*N845,"運転",IF(O845&lt;=判定条件!$C$8*N845,"停止","断続")))</f>
        <v>停止</v>
      </c>
      <c r="Q845" s="30" t="n">
        <v>60</v>
      </c>
      <c r="R845" s="30" t="n">
        <v>0</v>
      </c>
      <c r="S845" s="30" t="str">
        <f aca="false">IF(Q845&lt;判定条件!$C$6,"判定不能",IF(R845&gt;=判定条件!$C$7*Q845,"運転",IF(R845&lt;=判定条件!$C$8*Q845,"停止","断続")))</f>
        <v>停止</v>
      </c>
      <c r="T845" s="30" t="n">
        <v>60</v>
      </c>
      <c r="U845" s="30" t="n">
        <v>0</v>
      </c>
      <c r="V845" s="30" t="str">
        <f aca="false">IF(T845&lt;判定条件!$C$6,"判定不能",IF(U845&gt;=判定条件!$C$7*T845,"運転",IF(U845&lt;=判定条件!$C$8*T845,"停止","断続")))</f>
        <v>停止</v>
      </c>
      <c r="W845" s="30" t="n">
        <v>60</v>
      </c>
      <c r="X845" s="30" t="n">
        <v>0</v>
      </c>
      <c r="Y845" s="30" t="str">
        <f aca="false">IF(W845&lt;判定条件!$C$6,"判定不能",IF(X845&gt;=判定条件!$C$7*W845,"運転",IF(X845&lt;=判定条件!$C$8*W845,"停止","断続")))</f>
        <v>停止</v>
      </c>
      <c r="Z845" s="30" t="n">
        <v>60</v>
      </c>
      <c r="AA845" s="30" t="n">
        <v>0</v>
      </c>
      <c r="AB845" s="30" t="str">
        <f aca="false">IF(Z845&lt;判定条件!$C$6,"判定不能",IF(AA845&gt;=判定条件!$C$7*Z845,"運転",IF(AA845&lt;=判定条件!$C$8*Z845,"停止","断続")))</f>
        <v>停止</v>
      </c>
      <c r="AC845" s="30" t="n">
        <v>60</v>
      </c>
      <c r="AD845" s="30" t="n">
        <v>0</v>
      </c>
      <c r="AE845" s="30" t="str">
        <f aca="false">IF(AC845&lt;判定条件!$C$6,"判定不能",IF(AD845&gt;=判定条件!$C$7*AC845,"運転",IF(AD845&lt;=判定条件!$C$8*AC845,"停止","断続")))</f>
        <v>停止</v>
      </c>
      <c r="AF845" s="30" t="n">
        <v>60</v>
      </c>
      <c r="AG845" s="30" t="n">
        <v>0</v>
      </c>
      <c r="AH845" s="30" t="str">
        <f aca="false">IF(OR(P845="判定不能",G845="判定不能"),"判定不能",IF(AG845&gt;=判定条件!$C$9,"利用可",IF(AND(P845="停止",G845="停止"),"両方停止","運転がそろわない")))</f>
        <v>両方停止</v>
      </c>
      <c r="AI845" s="30" t="n">
        <v>0</v>
      </c>
      <c r="AJ845" s="30" t="n">
        <v>0</v>
      </c>
      <c r="AK845" s="30" t="str">
        <f aca="false">IF(OR(S845="判定不能",J845="判定不能"),"判定不能",IF(AJ845&gt;=判定条件!$C$9,"利用可",IF(AND(S845="停止",J845="停止"),"両方停止","運転がそろわない")))</f>
        <v>判定不能</v>
      </c>
      <c r="AL845" s="30" t="n">
        <v>60</v>
      </c>
      <c r="AM845" s="30" t="n">
        <v>0</v>
      </c>
      <c r="AN845" s="30" t="str">
        <f aca="false">IF(OR(V845="判定不能",M845="判定不能"),"判定不能",IF(AM845&gt;=判定条件!$C$9,"利用可",IF(AND(V845="停止",M845="停止"),"両方停止","運転がそろわない")))</f>
        <v>運転がそろわない</v>
      </c>
      <c r="AO845" s="30" t="n">
        <v>60</v>
      </c>
      <c r="AP845" s="30" t="n">
        <v>0</v>
      </c>
      <c r="AQ845" s="30" t="str">
        <f aca="false">IF(OR(Y845="判定不能",G845="判定不能"),"判定不能",IF(AP845&gt;=判定条件!$C$9,"利用可",IF(AND(Y845="停止",G845="停止"),"両方停止","運転がそろわない")))</f>
        <v>両方停止</v>
      </c>
      <c r="AR845" s="30" t="n">
        <v>0</v>
      </c>
      <c r="AS845" s="30" t="n">
        <v>0</v>
      </c>
      <c r="AT845" s="30" t="str">
        <f aca="false">IF(OR(AB845="判定不能",J845="判定不能"),"判定不能",IF(AS845&gt;=判定条件!$C$9,"利用可",IF(AND(AB845="停止",J845="停止"),"両方停止","運転がそろわない")))</f>
        <v>判定不能</v>
      </c>
      <c r="AU845" s="30" t="n">
        <v>60</v>
      </c>
      <c r="AV845" s="30" t="n">
        <v>0</v>
      </c>
      <c r="AW845" s="30" t="str">
        <f aca="false">IF(OR(AE845="判定不能",M845="判定不能"),"判定不能",IF(AV845&gt;=判定条件!$C$9,"利用可",IF(AND(AE845="停止",M845="停止"),"両方停止","運転がそろわない")))</f>
        <v>運転がそろわない</v>
      </c>
      <c r="AX845" s="30" t="str">
        <f aca="false">IF(AND(AH845="利用可",AK845="利用可",AN845="利用可"),"利用可","不可")</f>
        <v>不可</v>
      </c>
      <c r="AY845" s="30" t="str">
        <f aca="false">IF(AND(AQ845="利用可",AT845="利用可",AW845="利用可"),"利用可","不可")</f>
        <v>不可</v>
      </c>
    </row>
    <row r="846" customFormat="false" ht="15" hidden="false" customHeight="false" outlineLevel="0" collapsed="false">
      <c r="A846" s="29" t="n">
        <v>46267</v>
      </c>
      <c r="B846" s="30" t="n">
        <v>3</v>
      </c>
      <c r="C846" s="31" t="s">
        <v>58</v>
      </c>
      <c r="D846" s="31" t="s">
        <v>59</v>
      </c>
      <c r="E846" s="30" t="n">
        <v>60</v>
      </c>
      <c r="F846" s="30" t="n">
        <v>0</v>
      </c>
      <c r="G846" s="30" t="str">
        <f aca="false">IF(E846&lt;判定条件!$C$6,"判定不能",IF(F846&gt;=判定条件!$C$7*E846,"運転",IF(F846&lt;=判定条件!$C$8*E846,"停止","断続")))</f>
        <v>停止</v>
      </c>
      <c r="H846" s="30" t="n">
        <v>0</v>
      </c>
      <c r="I846" s="30" t="n">
        <v>0</v>
      </c>
      <c r="J846" s="30" t="str">
        <f aca="false">IF(H846&lt;判定条件!$C$6,"判定不能",IF(I846&gt;=判定条件!$C$7*H846,"運転",IF(I846&lt;=判定条件!$C$8*H846,"停止","断続")))</f>
        <v>判定不能</v>
      </c>
      <c r="K846" s="30" t="n">
        <v>60</v>
      </c>
      <c r="L846" s="30" t="n">
        <v>60</v>
      </c>
      <c r="M846" s="30" t="str">
        <f aca="false">IF(K846&lt;判定条件!$C$6,"判定不能",IF(L846&gt;=判定条件!$C$7*K846,"運転",IF(L846&lt;=判定条件!$C$8*K846,"停止","断続")))</f>
        <v>運転</v>
      </c>
      <c r="N846" s="30" t="n">
        <v>60</v>
      </c>
      <c r="O846" s="30" t="n">
        <v>0</v>
      </c>
      <c r="P846" s="30" t="str">
        <f aca="false">IF(N846&lt;判定条件!$C$6,"判定不能",IF(O846&gt;=判定条件!$C$7*N846,"運転",IF(O846&lt;=判定条件!$C$8*N846,"停止","断続")))</f>
        <v>停止</v>
      </c>
      <c r="Q846" s="30" t="n">
        <v>60</v>
      </c>
      <c r="R846" s="30" t="n">
        <v>0</v>
      </c>
      <c r="S846" s="30" t="str">
        <f aca="false">IF(Q846&lt;判定条件!$C$6,"判定不能",IF(R846&gt;=判定条件!$C$7*Q846,"運転",IF(R846&lt;=判定条件!$C$8*Q846,"停止","断続")))</f>
        <v>停止</v>
      </c>
      <c r="T846" s="30" t="n">
        <v>60</v>
      </c>
      <c r="U846" s="30" t="n">
        <v>0</v>
      </c>
      <c r="V846" s="30" t="str">
        <f aca="false">IF(T846&lt;判定条件!$C$6,"判定不能",IF(U846&gt;=判定条件!$C$7*T846,"運転",IF(U846&lt;=判定条件!$C$8*T846,"停止","断続")))</f>
        <v>停止</v>
      </c>
      <c r="W846" s="30" t="n">
        <v>60</v>
      </c>
      <c r="X846" s="30" t="n">
        <v>0</v>
      </c>
      <c r="Y846" s="30" t="str">
        <f aca="false">IF(W846&lt;判定条件!$C$6,"判定不能",IF(X846&gt;=判定条件!$C$7*W846,"運転",IF(X846&lt;=判定条件!$C$8*W846,"停止","断続")))</f>
        <v>停止</v>
      </c>
      <c r="Z846" s="30" t="n">
        <v>60</v>
      </c>
      <c r="AA846" s="30" t="n">
        <v>0</v>
      </c>
      <c r="AB846" s="30" t="str">
        <f aca="false">IF(Z846&lt;判定条件!$C$6,"判定不能",IF(AA846&gt;=判定条件!$C$7*Z846,"運転",IF(AA846&lt;=判定条件!$C$8*Z846,"停止","断続")))</f>
        <v>停止</v>
      </c>
      <c r="AC846" s="30" t="n">
        <v>60</v>
      </c>
      <c r="AD846" s="30" t="n">
        <v>0</v>
      </c>
      <c r="AE846" s="30" t="str">
        <f aca="false">IF(AC846&lt;判定条件!$C$6,"判定不能",IF(AD846&gt;=判定条件!$C$7*AC846,"運転",IF(AD846&lt;=判定条件!$C$8*AC846,"停止","断続")))</f>
        <v>停止</v>
      </c>
      <c r="AF846" s="30" t="n">
        <v>60</v>
      </c>
      <c r="AG846" s="30" t="n">
        <v>0</v>
      </c>
      <c r="AH846" s="30" t="str">
        <f aca="false">IF(OR(P846="判定不能",G846="判定不能"),"判定不能",IF(AG846&gt;=判定条件!$C$9,"利用可",IF(AND(P846="停止",G846="停止"),"両方停止","運転がそろわない")))</f>
        <v>両方停止</v>
      </c>
      <c r="AI846" s="30" t="n">
        <v>0</v>
      </c>
      <c r="AJ846" s="30" t="n">
        <v>0</v>
      </c>
      <c r="AK846" s="30" t="str">
        <f aca="false">IF(OR(S846="判定不能",J846="判定不能"),"判定不能",IF(AJ846&gt;=判定条件!$C$9,"利用可",IF(AND(S846="停止",J846="停止"),"両方停止","運転がそろわない")))</f>
        <v>判定不能</v>
      </c>
      <c r="AL846" s="30" t="n">
        <v>60</v>
      </c>
      <c r="AM846" s="30" t="n">
        <v>0</v>
      </c>
      <c r="AN846" s="30" t="str">
        <f aca="false">IF(OR(V846="判定不能",M846="判定不能"),"判定不能",IF(AM846&gt;=判定条件!$C$9,"利用可",IF(AND(V846="停止",M846="停止"),"両方停止","運転がそろわない")))</f>
        <v>運転がそろわない</v>
      </c>
      <c r="AO846" s="30" t="n">
        <v>60</v>
      </c>
      <c r="AP846" s="30" t="n">
        <v>0</v>
      </c>
      <c r="AQ846" s="30" t="str">
        <f aca="false">IF(OR(Y846="判定不能",G846="判定不能"),"判定不能",IF(AP846&gt;=判定条件!$C$9,"利用可",IF(AND(Y846="停止",G846="停止"),"両方停止","運転がそろわない")))</f>
        <v>両方停止</v>
      </c>
      <c r="AR846" s="30" t="n">
        <v>0</v>
      </c>
      <c r="AS846" s="30" t="n">
        <v>0</v>
      </c>
      <c r="AT846" s="30" t="str">
        <f aca="false">IF(OR(AB846="判定不能",J846="判定不能"),"判定不能",IF(AS846&gt;=判定条件!$C$9,"利用可",IF(AND(AB846="停止",J846="停止"),"両方停止","運転がそろわない")))</f>
        <v>判定不能</v>
      </c>
      <c r="AU846" s="30" t="n">
        <v>60</v>
      </c>
      <c r="AV846" s="30" t="n">
        <v>0</v>
      </c>
      <c r="AW846" s="30" t="str">
        <f aca="false">IF(OR(AE846="判定不能",M846="判定不能"),"判定不能",IF(AV846&gt;=判定条件!$C$9,"利用可",IF(AND(AE846="停止",M846="停止"),"両方停止","運転がそろわない")))</f>
        <v>運転がそろわない</v>
      </c>
      <c r="AX846" s="30" t="str">
        <f aca="false">IF(AND(AH846="利用可",AK846="利用可",AN846="利用可"),"利用可","不可")</f>
        <v>不可</v>
      </c>
      <c r="AY846" s="30" t="str">
        <f aca="false">IF(AND(AQ846="利用可",AT846="利用可",AW846="利用可"),"利用可","不可")</f>
        <v>不可</v>
      </c>
    </row>
    <row r="847" customFormat="false" ht="15" hidden="false" customHeight="false" outlineLevel="0" collapsed="false">
      <c r="A847" s="29" t="n">
        <v>46267</v>
      </c>
      <c r="B847" s="30" t="n">
        <v>4</v>
      </c>
      <c r="C847" s="31" t="s">
        <v>58</v>
      </c>
      <c r="D847" s="31" t="s">
        <v>59</v>
      </c>
      <c r="E847" s="30" t="n">
        <v>60</v>
      </c>
      <c r="F847" s="30" t="n">
        <v>0</v>
      </c>
      <c r="G847" s="30" t="str">
        <f aca="false">IF(E847&lt;判定条件!$C$6,"判定不能",IF(F847&gt;=判定条件!$C$7*E847,"運転",IF(F847&lt;=判定条件!$C$8*E847,"停止","断続")))</f>
        <v>停止</v>
      </c>
      <c r="H847" s="30" t="n">
        <v>0</v>
      </c>
      <c r="I847" s="30" t="n">
        <v>0</v>
      </c>
      <c r="J847" s="30" t="str">
        <f aca="false">IF(H847&lt;判定条件!$C$6,"判定不能",IF(I847&gt;=判定条件!$C$7*H847,"運転",IF(I847&lt;=判定条件!$C$8*H847,"停止","断続")))</f>
        <v>判定不能</v>
      </c>
      <c r="K847" s="30" t="n">
        <v>60</v>
      </c>
      <c r="L847" s="30" t="n">
        <v>60</v>
      </c>
      <c r="M847" s="30" t="str">
        <f aca="false">IF(K847&lt;判定条件!$C$6,"判定不能",IF(L847&gt;=判定条件!$C$7*K847,"運転",IF(L847&lt;=判定条件!$C$8*K847,"停止","断続")))</f>
        <v>運転</v>
      </c>
      <c r="N847" s="30" t="n">
        <v>60</v>
      </c>
      <c r="O847" s="30" t="n">
        <v>0</v>
      </c>
      <c r="P847" s="30" t="str">
        <f aca="false">IF(N847&lt;判定条件!$C$6,"判定不能",IF(O847&gt;=判定条件!$C$7*N847,"運転",IF(O847&lt;=判定条件!$C$8*N847,"停止","断続")))</f>
        <v>停止</v>
      </c>
      <c r="Q847" s="30" t="n">
        <v>60</v>
      </c>
      <c r="R847" s="30" t="n">
        <v>0</v>
      </c>
      <c r="S847" s="30" t="str">
        <f aca="false">IF(Q847&lt;判定条件!$C$6,"判定不能",IF(R847&gt;=判定条件!$C$7*Q847,"運転",IF(R847&lt;=判定条件!$C$8*Q847,"停止","断続")))</f>
        <v>停止</v>
      </c>
      <c r="T847" s="30" t="n">
        <v>60</v>
      </c>
      <c r="U847" s="30" t="n">
        <v>0</v>
      </c>
      <c r="V847" s="30" t="str">
        <f aca="false">IF(T847&lt;判定条件!$C$6,"判定不能",IF(U847&gt;=判定条件!$C$7*T847,"運転",IF(U847&lt;=判定条件!$C$8*T847,"停止","断続")))</f>
        <v>停止</v>
      </c>
      <c r="W847" s="30" t="n">
        <v>60</v>
      </c>
      <c r="X847" s="30" t="n">
        <v>0</v>
      </c>
      <c r="Y847" s="30" t="str">
        <f aca="false">IF(W847&lt;判定条件!$C$6,"判定不能",IF(X847&gt;=判定条件!$C$7*W847,"運転",IF(X847&lt;=判定条件!$C$8*W847,"停止","断続")))</f>
        <v>停止</v>
      </c>
      <c r="Z847" s="30" t="n">
        <v>60</v>
      </c>
      <c r="AA847" s="30" t="n">
        <v>0</v>
      </c>
      <c r="AB847" s="30" t="str">
        <f aca="false">IF(Z847&lt;判定条件!$C$6,"判定不能",IF(AA847&gt;=判定条件!$C$7*Z847,"運転",IF(AA847&lt;=判定条件!$C$8*Z847,"停止","断続")))</f>
        <v>停止</v>
      </c>
      <c r="AC847" s="30" t="n">
        <v>60</v>
      </c>
      <c r="AD847" s="30" t="n">
        <v>0</v>
      </c>
      <c r="AE847" s="30" t="str">
        <f aca="false">IF(AC847&lt;判定条件!$C$6,"判定不能",IF(AD847&gt;=判定条件!$C$7*AC847,"運転",IF(AD847&lt;=判定条件!$C$8*AC847,"停止","断続")))</f>
        <v>停止</v>
      </c>
      <c r="AF847" s="30" t="n">
        <v>60</v>
      </c>
      <c r="AG847" s="30" t="n">
        <v>0</v>
      </c>
      <c r="AH847" s="30" t="str">
        <f aca="false">IF(OR(P847="判定不能",G847="判定不能"),"判定不能",IF(AG847&gt;=判定条件!$C$9,"利用可",IF(AND(P847="停止",G847="停止"),"両方停止","運転がそろわない")))</f>
        <v>両方停止</v>
      </c>
      <c r="AI847" s="30" t="n">
        <v>0</v>
      </c>
      <c r="AJ847" s="30" t="n">
        <v>0</v>
      </c>
      <c r="AK847" s="30" t="str">
        <f aca="false">IF(OR(S847="判定不能",J847="判定不能"),"判定不能",IF(AJ847&gt;=判定条件!$C$9,"利用可",IF(AND(S847="停止",J847="停止"),"両方停止","運転がそろわない")))</f>
        <v>判定不能</v>
      </c>
      <c r="AL847" s="30" t="n">
        <v>60</v>
      </c>
      <c r="AM847" s="30" t="n">
        <v>0</v>
      </c>
      <c r="AN847" s="30" t="str">
        <f aca="false">IF(OR(V847="判定不能",M847="判定不能"),"判定不能",IF(AM847&gt;=判定条件!$C$9,"利用可",IF(AND(V847="停止",M847="停止"),"両方停止","運転がそろわない")))</f>
        <v>運転がそろわない</v>
      </c>
      <c r="AO847" s="30" t="n">
        <v>60</v>
      </c>
      <c r="AP847" s="30" t="n">
        <v>0</v>
      </c>
      <c r="AQ847" s="30" t="str">
        <f aca="false">IF(OR(Y847="判定不能",G847="判定不能"),"判定不能",IF(AP847&gt;=判定条件!$C$9,"利用可",IF(AND(Y847="停止",G847="停止"),"両方停止","運転がそろわない")))</f>
        <v>両方停止</v>
      </c>
      <c r="AR847" s="30" t="n">
        <v>0</v>
      </c>
      <c r="AS847" s="30" t="n">
        <v>0</v>
      </c>
      <c r="AT847" s="30" t="str">
        <f aca="false">IF(OR(AB847="判定不能",J847="判定不能"),"判定不能",IF(AS847&gt;=判定条件!$C$9,"利用可",IF(AND(AB847="停止",J847="停止"),"両方停止","運転がそろわない")))</f>
        <v>判定不能</v>
      </c>
      <c r="AU847" s="30" t="n">
        <v>60</v>
      </c>
      <c r="AV847" s="30" t="n">
        <v>0</v>
      </c>
      <c r="AW847" s="30" t="str">
        <f aca="false">IF(OR(AE847="判定不能",M847="判定不能"),"判定不能",IF(AV847&gt;=判定条件!$C$9,"利用可",IF(AND(AE847="停止",M847="停止"),"両方停止","運転がそろわない")))</f>
        <v>運転がそろわない</v>
      </c>
      <c r="AX847" s="30" t="str">
        <f aca="false">IF(AND(AH847="利用可",AK847="利用可",AN847="利用可"),"利用可","不可")</f>
        <v>不可</v>
      </c>
      <c r="AY847" s="30" t="str">
        <f aca="false">IF(AND(AQ847="利用可",AT847="利用可",AW847="利用可"),"利用可","不可")</f>
        <v>不可</v>
      </c>
    </row>
    <row r="848" customFormat="false" ht="15" hidden="false" customHeight="false" outlineLevel="0" collapsed="false">
      <c r="A848" s="29" t="n">
        <v>46267</v>
      </c>
      <c r="B848" s="30" t="n">
        <v>5</v>
      </c>
      <c r="C848" s="31" t="s">
        <v>58</v>
      </c>
      <c r="D848" s="31" t="s">
        <v>59</v>
      </c>
      <c r="E848" s="30" t="n">
        <v>60</v>
      </c>
      <c r="F848" s="30" t="n">
        <v>0</v>
      </c>
      <c r="G848" s="30" t="str">
        <f aca="false">IF(E848&lt;判定条件!$C$6,"判定不能",IF(F848&gt;=判定条件!$C$7*E848,"運転",IF(F848&lt;=判定条件!$C$8*E848,"停止","断続")))</f>
        <v>停止</v>
      </c>
      <c r="H848" s="30" t="n">
        <v>0</v>
      </c>
      <c r="I848" s="30" t="n">
        <v>0</v>
      </c>
      <c r="J848" s="30" t="str">
        <f aca="false">IF(H848&lt;判定条件!$C$6,"判定不能",IF(I848&gt;=判定条件!$C$7*H848,"運転",IF(I848&lt;=判定条件!$C$8*H848,"停止","断続")))</f>
        <v>判定不能</v>
      </c>
      <c r="K848" s="30" t="n">
        <v>60</v>
      </c>
      <c r="L848" s="30" t="n">
        <v>60</v>
      </c>
      <c r="M848" s="30" t="str">
        <f aca="false">IF(K848&lt;判定条件!$C$6,"判定不能",IF(L848&gt;=判定条件!$C$7*K848,"運転",IF(L848&lt;=判定条件!$C$8*K848,"停止","断続")))</f>
        <v>運転</v>
      </c>
      <c r="N848" s="30" t="n">
        <v>60</v>
      </c>
      <c r="O848" s="30" t="n">
        <v>0</v>
      </c>
      <c r="P848" s="30" t="str">
        <f aca="false">IF(N848&lt;判定条件!$C$6,"判定不能",IF(O848&gt;=判定条件!$C$7*N848,"運転",IF(O848&lt;=判定条件!$C$8*N848,"停止","断続")))</f>
        <v>停止</v>
      </c>
      <c r="Q848" s="30" t="n">
        <v>60</v>
      </c>
      <c r="R848" s="30" t="n">
        <v>0</v>
      </c>
      <c r="S848" s="30" t="str">
        <f aca="false">IF(Q848&lt;判定条件!$C$6,"判定不能",IF(R848&gt;=判定条件!$C$7*Q848,"運転",IF(R848&lt;=判定条件!$C$8*Q848,"停止","断続")))</f>
        <v>停止</v>
      </c>
      <c r="T848" s="30" t="n">
        <v>60</v>
      </c>
      <c r="U848" s="30" t="n">
        <v>0</v>
      </c>
      <c r="V848" s="30" t="str">
        <f aca="false">IF(T848&lt;判定条件!$C$6,"判定不能",IF(U848&gt;=判定条件!$C$7*T848,"運転",IF(U848&lt;=判定条件!$C$8*T848,"停止","断続")))</f>
        <v>停止</v>
      </c>
      <c r="W848" s="30" t="n">
        <v>60</v>
      </c>
      <c r="X848" s="30" t="n">
        <v>27</v>
      </c>
      <c r="Y848" s="30" t="str">
        <f aca="false">IF(W848&lt;判定条件!$C$6,"判定不能",IF(X848&gt;=判定条件!$C$7*W848,"運転",IF(X848&lt;=判定条件!$C$8*W848,"停止","断続")))</f>
        <v>断続</v>
      </c>
      <c r="Z848" s="30" t="n">
        <v>60</v>
      </c>
      <c r="AA848" s="30" t="n">
        <v>0</v>
      </c>
      <c r="AB848" s="30" t="str">
        <f aca="false">IF(Z848&lt;判定条件!$C$6,"判定不能",IF(AA848&gt;=判定条件!$C$7*Z848,"運転",IF(AA848&lt;=判定条件!$C$8*Z848,"停止","断続")))</f>
        <v>停止</v>
      </c>
      <c r="AC848" s="30" t="n">
        <v>60</v>
      </c>
      <c r="AD848" s="30" t="n">
        <v>0</v>
      </c>
      <c r="AE848" s="30" t="str">
        <f aca="false">IF(AC848&lt;判定条件!$C$6,"判定不能",IF(AD848&gt;=判定条件!$C$7*AC848,"運転",IF(AD848&lt;=判定条件!$C$8*AC848,"停止","断続")))</f>
        <v>停止</v>
      </c>
      <c r="AF848" s="30" t="n">
        <v>60</v>
      </c>
      <c r="AG848" s="30" t="n">
        <v>0</v>
      </c>
      <c r="AH848" s="30" t="str">
        <f aca="false">IF(OR(P848="判定不能",G848="判定不能"),"判定不能",IF(AG848&gt;=判定条件!$C$9,"利用可",IF(AND(P848="停止",G848="停止"),"両方停止","運転がそろわない")))</f>
        <v>両方停止</v>
      </c>
      <c r="AI848" s="30" t="n">
        <v>0</v>
      </c>
      <c r="AJ848" s="30" t="n">
        <v>0</v>
      </c>
      <c r="AK848" s="30" t="str">
        <f aca="false">IF(OR(S848="判定不能",J848="判定不能"),"判定不能",IF(AJ848&gt;=判定条件!$C$9,"利用可",IF(AND(S848="停止",J848="停止"),"両方停止","運転がそろわない")))</f>
        <v>判定不能</v>
      </c>
      <c r="AL848" s="30" t="n">
        <v>60</v>
      </c>
      <c r="AM848" s="30" t="n">
        <v>0</v>
      </c>
      <c r="AN848" s="30" t="str">
        <f aca="false">IF(OR(V848="判定不能",M848="判定不能"),"判定不能",IF(AM848&gt;=判定条件!$C$9,"利用可",IF(AND(V848="停止",M848="停止"),"両方停止","運転がそろわない")))</f>
        <v>運転がそろわない</v>
      </c>
      <c r="AO848" s="30" t="n">
        <v>60</v>
      </c>
      <c r="AP848" s="30" t="n">
        <v>0</v>
      </c>
      <c r="AQ848" s="30" t="str">
        <f aca="false">IF(OR(Y848="判定不能",G848="判定不能"),"判定不能",IF(AP848&gt;=判定条件!$C$9,"利用可",IF(AND(Y848="停止",G848="停止"),"両方停止","運転がそろわない")))</f>
        <v>運転がそろわない</v>
      </c>
      <c r="AR848" s="30" t="n">
        <v>0</v>
      </c>
      <c r="AS848" s="30" t="n">
        <v>0</v>
      </c>
      <c r="AT848" s="30" t="str">
        <f aca="false">IF(OR(AB848="判定不能",J848="判定不能"),"判定不能",IF(AS848&gt;=判定条件!$C$9,"利用可",IF(AND(AB848="停止",J848="停止"),"両方停止","運転がそろわない")))</f>
        <v>判定不能</v>
      </c>
      <c r="AU848" s="30" t="n">
        <v>60</v>
      </c>
      <c r="AV848" s="30" t="n">
        <v>0</v>
      </c>
      <c r="AW848" s="30" t="str">
        <f aca="false">IF(OR(AE848="判定不能",M848="判定不能"),"判定不能",IF(AV848&gt;=判定条件!$C$9,"利用可",IF(AND(AE848="停止",M848="停止"),"両方停止","運転がそろわない")))</f>
        <v>運転がそろわない</v>
      </c>
      <c r="AX848" s="30" t="str">
        <f aca="false">IF(AND(AH848="利用可",AK848="利用可",AN848="利用可"),"利用可","不可")</f>
        <v>不可</v>
      </c>
      <c r="AY848" s="30" t="str">
        <f aca="false">IF(AND(AQ848="利用可",AT848="利用可",AW848="利用可"),"利用可","不可")</f>
        <v>不可</v>
      </c>
    </row>
    <row r="849" customFormat="false" ht="15" hidden="false" customHeight="false" outlineLevel="0" collapsed="false">
      <c r="A849" s="29" t="n">
        <v>46267</v>
      </c>
      <c r="B849" s="30" t="n">
        <v>6</v>
      </c>
      <c r="C849" s="31" t="s">
        <v>58</v>
      </c>
      <c r="D849" s="31" t="s">
        <v>59</v>
      </c>
      <c r="E849" s="30" t="n">
        <v>60</v>
      </c>
      <c r="F849" s="30" t="n">
        <v>0</v>
      </c>
      <c r="G849" s="30" t="str">
        <f aca="false">IF(E849&lt;判定条件!$C$6,"判定不能",IF(F849&gt;=判定条件!$C$7*E849,"運転",IF(F849&lt;=判定条件!$C$8*E849,"停止","断続")))</f>
        <v>停止</v>
      </c>
      <c r="H849" s="30" t="n">
        <v>0</v>
      </c>
      <c r="I849" s="30" t="n">
        <v>0</v>
      </c>
      <c r="J849" s="30" t="str">
        <f aca="false">IF(H849&lt;判定条件!$C$6,"判定不能",IF(I849&gt;=判定条件!$C$7*H849,"運転",IF(I849&lt;=判定条件!$C$8*H849,"停止","断続")))</f>
        <v>判定不能</v>
      </c>
      <c r="K849" s="30" t="n">
        <v>60</v>
      </c>
      <c r="L849" s="30" t="n">
        <v>60</v>
      </c>
      <c r="M849" s="30" t="str">
        <f aca="false">IF(K849&lt;判定条件!$C$6,"判定不能",IF(L849&gt;=判定条件!$C$7*K849,"運転",IF(L849&lt;=判定条件!$C$8*K849,"停止","断続")))</f>
        <v>運転</v>
      </c>
      <c r="N849" s="30" t="n">
        <v>60</v>
      </c>
      <c r="O849" s="30" t="n">
        <v>0</v>
      </c>
      <c r="P849" s="30" t="str">
        <f aca="false">IF(N849&lt;判定条件!$C$6,"判定不能",IF(O849&gt;=判定条件!$C$7*N849,"運転",IF(O849&lt;=判定条件!$C$8*N849,"停止","断続")))</f>
        <v>停止</v>
      </c>
      <c r="Q849" s="30" t="n">
        <v>60</v>
      </c>
      <c r="R849" s="30" t="n">
        <v>15</v>
      </c>
      <c r="S849" s="30" t="str">
        <f aca="false">IF(Q849&lt;判定条件!$C$6,"判定不能",IF(R849&gt;=判定条件!$C$7*Q849,"運転",IF(R849&lt;=判定条件!$C$8*Q849,"停止","断続")))</f>
        <v>断続</v>
      </c>
      <c r="T849" s="30" t="n">
        <v>60</v>
      </c>
      <c r="U849" s="30" t="n">
        <v>15</v>
      </c>
      <c r="V849" s="30" t="str">
        <f aca="false">IF(T849&lt;判定条件!$C$6,"判定不能",IF(U849&gt;=判定条件!$C$7*T849,"運転",IF(U849&lt;=判定条件!$C$8*T849,"停止","断続")))</f>
        <v>断続</v>
      </c>
      <c r="W849" s="30" t="n">
        <v>60</v>
      </c>
      <c r="X849" s="30" t="n">
        <v>37</v>
      </c>
      <c r="Y849" s="30" t="str">
        <f aca="false">IF(W849&lt;判定条件!$C$6,"判定不能",IF(X849&gt;=判定条件!$C$7*W849,"運転",IF(X849&lt;=判定条件!$C$8*W849,"停止","断続")))</f>
        <v>断続</v>
      </c>
      <c r="Z849" s="30" t="n">
        <v>60</v>
      </c>
      <c r="AA849" s="30" t="n">
        <v>32</v>
      </c>
      <c r="AB849" s="30" t="str">
        <f aca="false">IF(Z849&lt;判定条件!$C$6,"判定不能",IF(AA849&gt;=判定条件!$C$7*Z849,"運転",IF(AA849&lt;=判定条件!$C$8*Z849,"停止","断続")))</f>
        <v>断続</v>
      </c>
      <c r="AC849" s="30" t="n">
        <v>60</v>
      </c>
      <c r="AD849" s="30" t="n">
        <v>35</v>
      </c>
      <c r="AE849" s="30" t="str">
        <f aca="false">IF(AC849&lt;判定条件!$C$6,"判定不能",IF(AD849&gt;=判定条件!$C$7*AC849,"運転",IF(AD849&lt;=判定条件!$C$8*AC849,"停止","断続")))</f>
        <v>断続</v>
      </c>
      <c r="AF849" s="30" t="n">
        <v>60</v>
      </c>
      <c r="AG849" s="30" t="n">
        <v>0</v>
      </c>
      <c r="AH849" s="30" t="str">
        <f aca="false">IF(OR(P849="判定不能",G849="判定不能"),"判定不能",IF(AG849&gt;=判定条件!$C$9,"利用可",IF(AND(P849="停止",G849="停止"),"両方停止","運転がそろわない")))</f>
        <v>両方停止</v>
      </c>
      <c r="AI849" s="30" t="n">
        <v>0</v>
      </c>
      <c r="AJ849" s="30" t="n">
        <v>0</v>
      </c>
      <c r="AK849" s="30" t="str">
        <f aca="false">IF(OR(S849="判定不能",J849="判定不能"),"判定不能",IF(AJ849&gt;=判定条件!$C$9,"利用可",IF(AND(S849="停止",J849="停止"),"両方停止","運転がそろわない")))</f>
        <v>判定不能</v>
      </c>
      <c r="AL849" s="30" t="n">
        <v>60</v>
      </c>
      <c r="AM849" s="30" t="n">
        <v>15</v>
      </c>
      <c r="AN849" s="30" t="str">
        <f aca="false">IF(OR(V849="判定不能",M849="判定不能"),"判定不能",IF(AM849&gt;=判定条件!$C$9,"利用可",IF(AND(V849="停止",M849="停止"),"両方停止","運転がそろわない")))</f>
        <v>運転がそろわない</v>
      </c>
      <c r="AO849" s="30" t="n">
        <v>60</v>
      </c>
      <c r="AP849" s="30" t="n">
        <v>0</v>
      </c>
      <c r="AQ849" s="30" t="str">
        <f aca="false">IF(OR(Y849="判定不能",G849="判定不能"),"判定不能",IF(AP849&gt;=判定条件!$C$9,"利用可",IF(AND(Y849="停止",G849="停止"),"両方停止","運転がそろわない")))</f>
        <v>運転がそろわない</v>
      </c>
      <c r="AR849" s="30" t="n">
        <v>0</v>
      </c>
      <c r="AS849" s="30" t="n">
        <v>0</v>
      </c>
      <c r="AT849" s="30" t="str">
        <f aca="false">IF(OR(AB849="判定不能",J849="判定不能"),"判定不能",IF(AS849&gt;=判定条件!$C$9,"利用可",IF(AND(AB849="停止",J849="停止"),"両方停止","運転がそろわない")))</f>
        <v>判定不能</v>
      </c>
      <c r="AU849" s="30" t="n">
        <v>60</v>
      </c>
      <c r="AV849" s="30" t="n">
        <v>35</v>
      </c>
      <c r="AW849" s="30" t="str">
        <f aca="false">IF(OR(AE849="判定不能",M849="判定不能"),"判定不能",IF(AV849&gt;=判定条件!$C$9,"利用可",IF(AND(AE849="停止",M849="停止"),"両方停止","運転がそろわない")))</f>
        <v>利用可</v>
      </c>
      <c r="AX849" s="30" t="str">
        <f aca="false">IF(AND(AH849="利用可",AK849="利用可",AN849="利用可"),"利用可","不可")</f>
        <v>不可</v>
      </c>
      <c r="AY849" s="30" t="str">
        <f aca="false">IF(AND(AQ849="利用可",AT849="利用可",AW849="利用可"),"利用可","不可")</f>
        <v>不可</v>
      </c>
    </row>
    <row r="850" customFormat="false" ht="15" hidden="false" customHeight="false" outlineLevel="0" collapsed="false">
      <c r="A850" s="29" t="n">
        <v>46267</v>
      </c>
      <c r="B850" s="30" t="n">
        <v>7</v>
      </c>
      <c r="C850" s="31" t="s">
        <v>58</v>
      </c>
      <c r="D850" s="31" t="s">
        <v>59</v>
      </c>
      <c r="E850" s="30" t="n">
        <v>60</v>
      </c>
      <c r="F850" s="30" t="n">
        <v>0</v>
      </c>
      <c r="G850" s="30" t="str">
        <f aca="false">IF(E850&lt;判定条件!$C$6,"判定不能",IF(F850&gt;=判定条件!$C$7*E850,"運転",IF(F850&lt;=判定条件!$C$8*E850,"停止","断続")))</f>
        <v>停止</v>
      </c>
      <c r="H850" s="30" t="n">
        <v>0</v>
      </c>
      <c r="I850" s="30" t="n">
        <v>0</v>
      </c>
      <c r="J850" s="30" t="str">
        <f aca="false">IF(H850&lt;判定条件!$C$6,"判定不能",IF(I850&gt;=判定条件!$C$7*H850,"運転",IF(I850&lt;=判定条件!$C$8*H850,"停止","断続")))</f>
        <v>判定不能</v>
      </c>
      <c r="K850" s="30" t="n">
        <v>60</v>
      </c>
      <c r="L850" s="30" t="n">
        <v>60</v>
      </c>
      <c r="M850" s="30" t="str">
        <f aca="false">IF(K850&lt;判定条件!$C$6,"判定不能",IF(L850&gt;=判定条件!$C$7*K850,"運転",IF(L850&lt;=判定条件!$C$8*K850,"停止","断続")))</f>
        <v>運転</v>
      </c>
      <c r="N850" s="30" t="n">
        <v>60</v>
      </c>
      <c r="O850" s="30" t="n">
        <v>56</v>
      </c>
      <c r="P850" s="30" t="str">
        <f aca="false">IF(N850&lt;判定条件!$C$6,"判定不能",IF(O850&gt;=判定条件!$C$7*N850,"運転",IF(O850&lt;=判定条件!$C$8*N850,"停止","断続")))</f>
        <v>運転</v>
      </c>
      <c r="Q850" s="30" t="n">
        <v>60</v>
      </c>
      <c r="R850" s="30" t="n">
        <v>60</v>
      </c>
      <c r="S850" s="30" t="str">
        <f aca="false">IF(Q850&lt;判定条件!$C$6,"判定不能",IF(R850&gt;=判定条件!$C$7*Q850,"運転",IF(R850&lt;=判定条件!$C$8*Q850,"停止","断続")))</f>
        <v>運転</v>
      </c>
      <c r="T850" s="30" t="n">
        <v>60</v>
      </c>
      <c r="U850" s="30" t="n">
        <v>60</v>
      </c>
      <c r="V850" s="30" t="str">
        <f aca="false">IF(T850&lt;判定条件!$C$6,"判定不能",IF(U850&gt;=判定条件!$C$7*T850,"運転",IF(U850&lt;=判定条件!$C$8*T850,"停止","断続")))</f>
        <v>運転</v>
      </c>
      <c r="W850" s="30" t="n">
        <v>60</v>
      </c>
      <c r="X850" s="30" t="n">
        <v>44</v>
      </c>
      <c r="Y850" s="30" t="str">
        <f aca="false">IF(W850&lt;判定条件!$C$6,"判定不能",IF(X850&gt;=判定条件!$C$7*W850,"運転",IF(X850&lt;=判定条件!$C$8*W850,"停止","断続")))</f>
        <v>断続</v>
      </c>
      <c r="Z850" s="30" t="n">
        <v>60</v>
      </c>
      <c r="AA850" s="30" t="n">
        <v>60</v>
      </c>
      <c r="AB850" s="30" t="str">
        <f aca="false">IF(Z850&lt;判定条件!$C$6,"判定不能",IF(AA850&gt;=判定条件!$C$7*Z850,"運転",IF(AA850&lt;=判定条件!$C$8*Z850,"停止","断続")))</f>
        <v>運転</v>
      </c>
      <c r="AC850" s="30" t="n">
        <v>60</v>
      </c>
      <c r="AD850" s="30" t="n">
        <v>60</v>
      </c>
      <c r="AE850" s="30" t="str">
        <f aca="false">IF(AC850&lt;判定条件!$C$6,"判定不能",IF(AD850&gt;=判定条件!$C$7*AC850,"運転",IF(AD850&lt;=判定条件!$C$8*AC850,"停止","断続")))</f>
        <v>運転</v>
      </c>
      <c r="AF850" s="30" t="n">
        <v>60</v>
      </c>
      <c r="AG850" s="30" t="n">
        <v>0</v>
      </c>
      <c r="AH850" s="30" t="str">
        <f aca="false">IF(OR(P850="判定不能",G850="判定不能"),"判定不能",IF(AG850&gt;=判定条件!$C$9,"利用可",IF(AND(P850="停止",G850="停止"),"両方停止","運転がそろわない")))</f>
        <v>運転がそろわない</v>
      </c>
      <c r="AI850" s="30" t="n">
        <v>0</v>
      </c>
      <c r="AJ850" s="30" t="n">
        <v>0</v>
      </c>
      <c r="AK850" s="30" t="str">
        <f aca="false">IF(OR(S850="判定不能",J850="判定不能"),"判定不能",IF(AJ850&gt;=判定条件!$C$9,"利用可",IF(AND(S850="停止",J850="停止"),"両方停止","運転がそろわない")))</f>
        <v>判定不能</v>
      </c>
      <c r="AL850" s="30" t="n">
        <v>60</v>
      </c>
      <c r="AM850" s="30" t="n">
        <v>60</v>
      </c>
      <c r="AN850" s="30" t="str">
        <f aca="false">IF(OR(V850="判定不能",M850="判定不能"),"判定不能",IF(AM850&gt;=判定条件!$C$9,"利用可",IF(AND(V850="停止",M850="停止"),"両方停止","運転がそろわない")))</f>
        <v>利用可</v>
      </c>
      <c r="AO850" s="30" t="n">
        <v>60</v>
      </c>
      <c r="AP850" s="30" t="n">
        <v>0</v>
      </c>
      <c r="AQ850" s="30" t="str">
        <f aca="false">IF(OR(Y850="判定不能",G850="判定不能"),"判定不能",IF(AP850&gt;=判定条件!$C$9,"利用可",IF(AND(Y850="停止",G850="停止"),"両方停止","運転がそろわない")))</f>
        <v>運転がそろわない</v>
      </c>
      <c r="AR850" s="30" t="n">
        <v>0</v>
      </c>
      <c r="AS850" s="30" t="n">
        <v>0</v>
      </c>
      <c r="AT850" s="30" t="str">
        <f aca="false">IF(OR(AB850="判定不能",J850="判定不能"),"判定不能",IF(AS850&gt;=判定条件!$C$9,"利用可",IF(AND(AB850="停止",J850="停止"),"両方停止","運転がそろわない")))</f>
        <v>判定不能</v>
      </c>
      <c r="AU850" s="30" t="n">
        <v>60</v>
      </c>
      <c r="AV850" s="30" t="n">
        <v>60</v>
      </c>
      <c r="AW850" s="30" t="str">
        <f aca="false">IF(OR(AE850="判定不能",M850="判定不能"),"判定不能",IF(AV850&gt;=判定条件!$C$9,"利用可",IF(AND(AE850="停止",M850="停止"),"両方停止","運転がそろわない")))</f>
        <v>利用可</v>
      </c>
      <c r="AX850" s="30" t="str">
        <f aca="false">IF(AND(AH850="利用可",AK850="利用可",AN850="利用可"),"利用可","不可")</f>
        <v>不可</v>
      </c>
      <c r="AY850" s="30" t="str">
        <f aca="false">IF(AND(AQ850="利用可",AT850="利用可",AW850="利用可"),"利用可","不可")</f>
        <v>不可</v>
      </c>
    </row>
    <row r="851" customFormat="false" ht="15" hidden="false" customHeight="false" outlineLevel="0" collapsed="false">
      <c r="A851" s="29" t="n">
        <v>46267</v>
      </c>
      <c r="B851" s="30" t="n">
        <v>8</v>
      </c>
      <c r="C851" s="31" t="s">
        <v>58</v>
      </c>
      <c r="D851" s="31" t="s">
        <v>59</v>
      </c>
      <c r="E851" s="30" t="n">
        <v>60</v>
      </c>
      <c r="F851" s="30" t="n">
        <v>57</v>
      </c>
      <c r="G851" s="30" t="str">
        <f aca="false">IF(E851&lt;判定条件!$C$6,"判定不能",IF(F851&gt;=判定条件!$C$7*E851,"運転",IF(F851&lt;=判定条件!$C$8*E851,"停止","断続")))</f>
        <v>運転</v>
      </c>
      <c r="H851" s="30" t="n">
        <v>0</v>
      </c>
      <c r="I851" s="30" t="n">
        <v>0</v>
      </c>
      <c r="J851" s="30" t="str">
        <f aca="false">IF(H851&lt;判定条件!$C$6,"判定不能",IF(I851&gt;=判定条件!$C$7*H851,"運転",IF(I851&lt;=判定条件!$C$8*H851,"停止","断続")))</f>
        <v>判定不能</v>
      </c>
      <c r="K851" s="30" t="n">
        <v>60</v>
      </c>
      <c r="L851" s="30" t="n">
        <v>60</v>
      </c>
      <c r="M851" s="30" t="str">
        <f aca="false">IF(K851&lt;判定条件!$C$6,"判定不能",IF(L851&gt;=判定条件!$C$7*K851,"運転",IF(L851&lt;=判定条件!$C$8*K851,"停止","断続")))</f>
        <v>運転</v>
      </c>
      <c r="N851" s="30" t="n">
        <v>60</v>
      </c>
      <c r="O851" s="30" t="n">
        <v>60</v>
      </c>
      <c r="P851" s="30" t="str">
        <f aca="false">IF(N851&lt;判定条件!$C$6,"判定不能",IF(O851&gt;=判定条件!$C$7*N851,"運転",IF(O851&lt;=判定条件!$C$8*N851,"停止","断続")))</f>
        <v>運転</v>
      </c>
      <c r="Q851" s="30" t="n">
        <v>60</v>
      </c>
      <c r="R851" s="30" t="n">
        <v>60</v>
      </c>
      <c r="S851" s="30" t="str">
        <f aca="false">IF(Q851&lt;判定条件!$C$6,"判定不能",IF(R851&gt;=判定条件!$C$7*Q851,"運転",IF(R851&lt;=判定条件!$C$8*Q851,"停止","断続")))</f>
        <v>運転</v>
      </c>
      <c r="T851" s="30" t="n">
        <v>60</v>
      </c>
      <c r="U851" s="30" t="n">
        <v>54</v>
      </c>
      <c r="V851" s="30" t="str">
        <f aca="false">IF(T851&lt;判定条件!$C$6,"判定不能",IF(U851&gt;=判定条件!$C$7*T851,"運転",IF(U851&lt;=判定条件!$C$8*T851,"停止","断続")))</f>
        <v>運転</v>
      </c>
      <c r="W851" s="30" t="n">
        <v>60</v>
      </c>
      <c r="X851" s="30" t="n">
        <v>35</v>
      </c>
      <c r="Y851" s="30" t="str">
        <f aca="false">IF(W851&lt;判定条件!$C$6,"判定不能",IF(X851&gt;=判定条件!$C$7*W851,"運転",IF(X851&lt;=判定条件!$C$8*W851,"停止","断続")))</f>
        <v>断続</v>
      </c>
      <c r="Z851" s="30" t="n">
        <v>60</v>
      </c>
      <c r="AA851" s="30" t="n">
        <v>60</v>
      </c>
      <c r="AB851" s="30" t="str">
        <f aca="false">IF(Z851&lt;判定条件!$C$6,"判定不能",IF(AA851&gt;=判定条件!$C$7*Z851,"運転",IF(AA851&lt;=判定条件!$C$8*Z851,"停止","断続")))</f>
        <v>運転</v>
      </c>
      <c r="AC851" s="30" t="n">
        <v>60</v>
      </c>
      <c r="AD851" s="30" t="n">
        <v>60</v>
      </c>
      <c r="AE851" s="30" t="str">
        <f aca="false">IF(AC851&lt;判定条件!$C$6,"判定不能",IF(AD851&gt;=判定条件!$C$7*AC851,"運転",IF(AD851&lt;=判定条件!$C$8*AC851,"停止","断続")))</f>
        <v>運転</v>
      </c>
      <c r="AF851" s="30" t="n">
        <v>60</v>
      </c>
      <c r="AG851" s="30" t="n">
        <v>57</v>
      </c>
      <c r="AH851" s="30" t="str">
        <f aca="false">IF(OR(P851="判定不能",G851="判定不能"),"判定不能",IF(AG851&gt;=判定条件!$C$9,"利用可",IF(AND(P851="停止",G851="停止"),"両方停止","運転がそろわない")))</f>
        <v>利用可</v>
      </c>
      <c r="AI851" s="30" t="n">
        <v>0</v>
      </c>
      <c r="AJ851" s="30" t="n">
        <v>0</v>
      </c>
      <c r="AK851" s="30" t="str">
        <f aca="false">IF(OR(S851="判定不能",J851="判定不能"),"判定不能",IF(AJ851&gt;=判定条件!$C$9,"利用可",IF(AND(S851="停止",J851="停止"),"両方停止","運転がそろわない")))</f>
        <v>判定不能</v>
      </c>
      <c r="AL851" s="30" t="n">
        <v>60</v>
      </c>
      <c r="AM851" s="30" t="n">
        <v>54</v>
      </c>
      <c r="AN851" s="30" t="str">
        <f aca="false">IF(OR(V851="判定不能",M851="判定不能"),"判定不能",IF(AM851&gt;=判定条件!$C$9,"利用可",IF(AND(V851="停止",M851="停止"),"両方停止","運転がそろわない")))</f>
        <v>利用可</v>
      </c>
      <c r="AO851" s="30" t="n">
        <v>60</v>
      </c>
      <c r="AP851" s="30" t="n">
        <v>32</v>
      </c>
      <c r="AQ851" s="30" t="str">
        <f aca="false">IF(OR(Y851="判定不能",G851="判定不能"),"判定不能",IF(AP851&gt;=判定条件!$C$9,"利用可",IF(AND(Y851="停止",G851="停止"),"両方停止","運転がそろわない")))</f>
        <v>利用可</v>
      </c>
      <c r="AR851" s="30" t="n">
        <v>0</v>
      </c>
      <c r="AS851" s="30" t="n">
        <v>0</v>
      </c>
      <c r="AT851" s="30" t="str">
        <f aca="false">IF(OR(AB851="判定不能",J851="判定不能"),"判定不能",IF(AS851&gt;=判定条件!$C$9,"利用可",IF(AND(AB851="停止",J851="停止"),"両方停止","運転がそろわない")))</f>
        <v>判定不能</v>
      </c>
      <c r="AU851" s="30" t="n">
        <v>60</v>
      </c>
      <c r="AV851" s="30" t="n">
        <v>60</v>
      </c>
      <c r="AW851" s="30" t="str">
        <f aca="false">IF(OR(AE851="判定不能",M851="判定不能"),"判定不能",IF(AV851&gt;=判定条件!$C$9,"利用可",IF(AND(AE851="停止",M851="停止"),"両方停止","運転がそろわない")))</f>
        <v>利用可</v>
      </c>
      <c r="AX851" s="30" t="str">
        <f aca="false">IF(AND(AH851="利用可",AK851="利用可",AN851="利用可"),"利用可","不可")</f>
        <v>不可</v>
      </c>
      <c r="AY851" s="30" t="str">
        <f aca="false">IF(AND(AQ851="利用可",AT851="利用可",AW851="利用可"),"利用可","不可")</f>
        <v>不可</v>
      </c>
    </row>
    <row r="852" customFormat="false" ht="15" hidden="false" customHeight="false" outlineLevel="0" collapsed="false">
      <c r="A852" s="29" t="n">
        <v>46267</v>
      </c>
      <c r="B852" s="30" t="n">
        <v>9</v>
      </c>
      <c r="C852" s="31" t="s">
        <v>58</v>
      </c>
      <c r="D852" s="31" t="s">
        <v>59</v>
      </c>
      <c r="E852" s="30" t="n">
        <v>60</v>
      </c>
      <c r="F852" s="30" t="n">
        <v>56</v>
      </c>
      <c r="G852" s="30" t="str">
        <f aca="false">IF(E852&lt;判定条件!$C$6,"判定不能",IF(F852&gt;=判定条件!$C$7*E852,"運転",IF(F852&lt;=判定条件!$C$8*E852,"停止","断続")))</f>
        <v>運転</v>
      </c>
      <c r="H852" s="30" t="n">
        <v>0</v>
      </c>
      <c r="I852" s="30" t="n">
        <v>0</v>
      </c>
      <c r="J852" s="30" t="str">
        <f aca="false">IF(H852&lt;判定条件!$C$6,"判定不能",IF(I852&gt;=判定条件!$C$7*H852,"運転",IF(I852&lt;=判定条件!$C$8*H852,"停止","断続")))</f>
        <v>判定不能</v>
      </c>
      <c r="K852" s="30" t="n">
        <v>60</v>
      </c>
      <c r="L852" s="30" t="n">
        <v>60</v>
      </c>
      <c r="M852" s="30" t="str">
        <f aca="false">IF(K852&lt;判定条件!$C$6,"判定不能",IF(L852&gt;=判定条件!$C$7*K852,"運転",IF(L852&lt;=判定条件!$C$8*K852,"停止","断続")))</f>
        <v>運転</v>
      </c>
      <c r="N852" s="30" t="n">
        <v>60</v>
      </c>
      <c r="O852" s="30" t="n">
        <v>37</v>
      </c>
      <c r="P852" s="30" t="str">
        <f aca="false">IF(N852&lt;判定条件!$C$6,"判定不能",IF(O852&gt;=判定条件!$C$7*N852,"運転",IF(O852&lt;=判定条件!$C$8*N852,"停止","断続")))</f>
        <v>断続</v>
      </c>
      <c r="Q852" s="30" t="n">
        <v>60</v>
      </c>
      <c r="R852" s="30" t="n">
        <v>60</v>
      </c>
      <c r="S852" s="30" t="str">
        <f aca="false">IF(Q852&lt;判定条件!$C$6,"判定不能",IF(R852&gt;=判定条件!$C$7*Q852,"運転",IF(R852&lt;=判定条件!$C$8*Q852,"停止","断続")))</f>
        <v>運転</v>
      </c>
      <c r="T852" s="30" t="n">
        <v>60</v>
      </c>
      <c r="U852" s="30" t="n">
        <v>35</v>
      </c>
      <c r="V852" s="30" t="str">
        <f aca="false">IF(T852&lt;判定条件!$C$6,"判定不能",IF(U852&gt;=判定条件!$C$7*T852,"運転",IF(U852&lt;=判定条件!$C$8*T852,"停止","断続")))</f>
        <v>断続</v>
      </c>
      <c r="W852" s="30" t="n">
        <v>60</v>
      </c>
      <c r="X852" s="30" t="n">
        <v>47</v>
      </c>
      <c r="Y852" s="30" t="str">
        <f aca="false">IF(W852&lt;判定条件!$C$6,"判定不能",IF(X852&gt;=判定条件!$C$7*W852,"運転",IF(X852&lt;=判定条件!$C$8*W852,"停止","断続")))</f>
        <v>断続</v>
      </c>
      <c r="Z852" s="30" t="n">
        <v>60</v>
      </c>
      <c r="AA852" s="30" t="n">
        <v>45</v>
      </c>
      <c r="AB852" s="30" t="str">
        <f aca="false">IF(Z852&lt;判定条件!$C$6,"判定不能",IF(AA852&gt;=判定条件!$C$7*Z852,"運転",IF(AA852&lt;=判定条件!$C$8*Z852,"停止","断続")))</f>
        <v>断続</v>
      </c>
      <c r="AC852" s="30" t="n">
        <v>60</v>
      </c>
      <c r="AD852" s="30" t="n">
        <v>55</v>
      </c>
      <c r="AE852" s="30" t="str">
        <f aca="false">IF(AC852&lt;判定条件!$C$6,"判定不能",IF(AD852&gt;=判定条件!$C$7*AC852,"運転",IF(AD852&lt;=判定条件!$C$8*AC852,"停止","断続")))</f>
        <v>運転</v>
      </c>
      <c r="AF852" s="30" t="n">
        <v>60</v>
      </c>
      <c r="AG852" s="30" t="n">
        <v>33</v>
      </c>
      <c r="AH852" s="30" t="str">
        <f aca="false">IF(OR(P852="判定不能",G852="判定不能"),"判定不能",IF(AG852&gt;=判定条件!$C$9,"利用可",IF(AND(P852="停止",G852="停止"),"両方停止","運転がそろわない")))</f>
        <v>利用可</v>
      </c>
      <c r="AI852" s="30" t="n">
        <v>0</v>
      </c>
      <c r="AJ852" s="30" t="n">
        <v>0</v>
      </c>
      <c r="AK852" s="30" t="str">
        <f aca="false">IF(OR(S852="判定不能",J852="判定不能"),"判定不能",IF(AJ852&gt;=判定条件!$C$9,"利用可",IF(AND(S852="停止",J852="停止"),"両方停止","運転がそろわない")))</f>
        <v>判定不能</v>
      </c>
      <c r="AL852" s="30" t="n">
        <v>60</v>
      </c>
      <c r="AM852" s="30" t="n">
        <v>35</v>
      </c>
      <c r="AN852" s="30" t="str">
        <f aca="false">IF(OR(V852="判定不能",M852="判定不能"),"判定不能",IF(AM852&gt;=判定条件!$C$9,"利用可",IF(AND(V852="停止",M852="停止"),"両方停止","運転がそろわない")))</f>
        <v>利用可</v>
      </c>
      <c r="AO852" s="30" t="n">
        <v>60</v>
      </c>
      <c r="AP852" s="30" t="n">
        <v>43</v>
      </c>
      <c r="AQ852" s="30" t="str">
        <f aca="false">IF(OR(Y852="判定不能",G852="判定不能"),"判定不能",IF(AP852&gt;=判定条件!$C$9,"利用可",IF(AND(Y852="停止",G852="停止"),"両方停止","運転がそろわない")))</f>
        <v>利用可</v>
      </c>
      <c r="AR852" s="30" t="n">
        <v>0</v>
      </c>
      <c r="AS852" s="30" t="n">
        <v>0</v>
      </c>
      <c r="AT852" s="30" t="str">
        <f aca="false">IF(OR(AB852="判定不能",J852="判定不能"),"判定不能",IF(AS852&gt;=判定条件!$C$9,"利用可",IF(AND(AB852="停止",J852="停止"),"両方停止","運転がそろわない")))</f>
        <v>判定不能</v>
      </c>
      <c r="AU852" s="30" t="n">
        <v>60</v>
      </c>
      <c r="AV852" s="30" t="n">
        <v>55</v>
      </c>
      <c r="AW852" s="30" t="str">
        <f aca="false">IF(OR(AE852="判定不能",M852="判定不能"),"判定不能",IF(AV852&gt;=判定条件!$C$9,"利用可",IF(AND(AE852="停止",M852="停止"),"両方停止","運転がそろわない")))</f>
        <v>利用可</v>
      </c>
      <c r="AX852" s="30" t="str">
        <f aca="false">IF(AND(AH852="利用可",AK852="利用可",AN852="利用可"),"利用可","不可")</f>
        <v>不可</v>
      </c>
      <c r="AY852" s="30" t="str">
        <f aca="false">IF(AND(AQ852="利用可",AT852="利用可",AW852="利用可"),"利用可","不可")</f>
        <v>不可</v>
      </c>
    </row>
    <row r="853" customFormat="false" ht="15" hidden="false" customHeight="false" outlineLevel="0" collapsed="false">
      <c r="A853" s="29" t="n">
        <v>46267</v>
      </c>
      <c r="B853" s="30" t="n">
        <v>10</v>
      </c>
      <c r="C853" s="31" t="s">
        <v>58</v>
      </c>
      <c r="D853" s="31" t="s">
        <v>59</v>
      </c>
      <c r="E853" s="30" t="n">
        <v>60</v>
      </c>
      <c r="F853" s="30" t="n">
        <v>58</v>
      </c>
      <c r="G853" s="30" t="str">
        <f aca="false">IF(E853&lt;判定条件!$C$6,"判定不能",IF(F853&gt;=判定条件!$C$7*E853,"運転",IF(F853&lt;=判定条件!$C$8*E853,"停止","断続")))</f>
        <v>運転</v>
      </c>
      <c r="H853" s="30" t="n">
        <v>0</v>
      </c>
      <c r="I853" s="30" t="n">
        <v>0</v>
      </c>
      <c r="J853" s="30" t="str">
        <f aca="false">IF(H853&lt;判定条件!$C$6,"判定不能",IF(I853&gt;=判定条件!$C$7*H853,"運転",IF(I853&lt;=判定条件!$C$8*H853,"停止","断続")))</f>
        <v>判定不能</v>
      </c>
      <c r="K853" s="30" t="n">
        <v>60</v>
      </c>
      <c r="L853" s="30" t="n">
        <v>60</v>
      </c>
      <c r="M853" s="30" t="str">
        <f aca="false">IF(K853&lt;判定条件!$C$6,"判定不能",IF(L853&gt;=判定条件!$C$7*K853,"運転",IF(L853&lt;=判定条件!$C$8*K853,"停止","断続")))</f>
        <v>運転</v>
      </c>
      <c r="N853" s="30" t="n">
        <v>60</v>
      </c>
      <c r="O853" s="30" t="n">
        <v>60</v>
      </c>
      <c r="P853" s="30" t="str">
        <f aca="false">IF(N853&lt;判定条件!$C$6,"判定不能",IF(O853&gt;=判定条件!$C$7*N853,"運転",IF(O853&lt;=判定条件!$C$8*N853,"停止","断続")))</f>
        <v>運転</v>
      </c>
      <c r="Q853" s="30" t="n">
        <v>60</v>
      </c>
      <c r="R853" s="30" t="n">
        <v>60</v>
      </c>
      <c r="S853" s="30" t="str">
        <f aca="false">IF(Q853&lt;判定条件!$C$6,"判定不能",IF(R853&gt;=判定条件!$C$7*Q853,"運転",IF(R853&lt;=判定条件!$C$8*Q853,"停止","断続")))</f>
        <v>運転</v>
      </c>
      <c r="T853" s="30" t="n">
        <v>60</v>
      </c>
      <c r="U853" s="30" t="n">
        <v>49</v>
      </c>
      <c r="V853" s="30" t="str">
        <f aca="false">IF(T853&lt;判定条件!$C$6,"判定不能",IF(U853&gt;=判定条件!$C$7*T853,"運転",IF(U853&lt;=判定条件!$C$8*T853,"停止","断続")))</f>
        <v>運転</v>
      </c>
      <c r="W853" s="30" t="n">
        <v>60</v>
      </c>
      <c r="X853" s="30" t="n">
        <v>60</v>
      </c>
      <c r="Y853" s="30" t="str">
        <f aca="false">IF(W853&lt;判定条件!$C$6,"判定不能",IF(X853&gt;=判定条件!$C$7*W853,"運転",IF(X853&lt;=判定条件!$C$8*W853,"停止","断続")))</f>
        <v>運転</v>
      </c>
      <c r="Z853" s="30" t="n">
        <v>60</v>
      </c>
      <c r="AA853" s="30" t="n">
        <v>49</v>
      </c>
      <c r="AB853" s="30" t="str">
        <f aca="false">IF(Z853&lt;判定条件!$C$6,"判定不能",IF(AA853&gt;=判定条件!$C$7*Z853,"運転",IF(AA853&lt;=判定条件!$C$8*Z853,"停止","断続")))</f>
        <v>運転</v>
      </c>
      <c r="AC853" s="30" t="n">
        <v>60</v>
      </c>
      <c r="AD853" s="30" t="n">
        <v>41</v>
      </c>
      <c r="AE853" s="30" t="str">
        <f aca="false">IF(AC853&lt;判定条件!$C$6,"判定不能",IF(AD853&gt;=判定条件!$C$7*AC853,"運転",IF(AD853&lt;=判定条件!$C$8*AC853,"停止","断続")))</f>
        <v>断続</v>
      </c>
      <c r="AF853" s="30" t="n">
        <v>60</v>
      </c>
      <c r="AG853" s="30" t="n">
        <v>58</v>
      </c>
      <c r="AH853" s="30" t="str">
        <f aca="false">IF(OR(P853="判定不能",G853="判定不能"),"判定不能",IF(AG853&gt;=判定条件!$C$9,"利用可",IF(AND(P853="停止",G853="停止"),"両方停止","運転がそろわない")))</f>
        <v>利用可</v>
      </c>
      <c r="AI853" s="30" t="n">
        <v>0</v>
      </c>
      <c r="AJ853" s="30" t="n">
        <v>0</v>
      </c>
      <c r="AK853" s="30" t="str">
        <f aca="false">IF(OR(S853="判定不能",J853="判定不能"),"判定不能",IF(AJ853&gt;=判定条件!$C$9,"利用可",IF(AND(S853="停止",J853="停止"),"両方停止","運転がそろわない")))</f>
        <v>判定不能</v>
      </c>
      <c r="AL853" s="30" t="n">
        <v>60</v>
      </c>
      <c r="AM853" s="30" t="n">
        <v>49</v>
      </c>
      <c r="AN853" s="30" t="str">
        <f aca="false">IF(OR(V853="判定不能",M853="判定不能"),"判定不能",IF(AM853&gt;=判定条件!$C$9,"利用可",IF(AND(V853="停止",M853="停止"),"両方停止","運転がそろわない")))</f>
        <v>利用可</v>
      </c>
      <c r="AO853" s="30" t="n">
        <v>60</v>
      </c>
      <c r="AP853" s="30" t="n">
        <v>58</v>
      </c>
      <c r="AQ853" s="30" t="str">
        <f aca="false">IF(OR(Y853="判定不能",G853="判定不能"),"判定不能",IF(AP853&gt;=判定条件!$C$9,"利用可",IF(AND(Y853="停止",G853="停止"),"両方停止","運転がそろわない")))</f>
        <v>利用可</v>
      </c>
      <c r="AR853" s="30" t="n">
        <v>0</v>
      </c>
      <c r="AS853" s="30" t="n">
        <v>0</v>
      </c>
      <c r="AT853" s="30" t="str">
        <f aca="false">IF(OR(AB853="判定不能",J853="判定不能"),"判定不能",IF(AS853&gt;=判定条件!$C$9,"利用可",IF(AND(AB853="停止",J853="停止"),"両方停止","運転がそろわない")))</f>
        <v>判定不能</v>
      </c>
      <c r="AU853" s="30" t="n">
        <v>60</v>
      </c>
      <c r="AV853" s="30" t="n">
        <v>41</v>
      </c>
      <c r="AW853" s="30" t="str">
        <f aca="false">IF(OR(AE853="判定不能",M853="判定不能"),"判定不能",IF(AV853&gt;=判定条件!$C$9,"利用可",IF(AND(AE853="停止",M853="停止"),"両方停止","運転がそろわない")))</f>
        <v>利用可</v>
      </c>
      <c r="AX853" s="30" t="str">
        <f aca="false">IF(AND(AH853="利用可",AK853="利用可",AN853="利用可"),"利用可","不可")</f>
        <v>不可</v>
      </c>
      <c r="AY853" s="30" t="str">
        <f aca="false">IF(AND(AQ853="利用可",AT853="利用可",AW853="利用可"),"利用可","不可")</f>
        <v>不可</v>
      </c>
    </row>
    <row r="854" customFormat="false" ht="15" hidden="false" customHeight="false" outlineLevel="0" collapsed="false">
      <c r="A854" s="29" t="n">
        <v>46267</v>
      </c>
      <c r="B854" s="30" t="n">
        <v>11</v>
      </c>
      <c r="C854" s="31" t="s">
        <v>58</v>
      </c>
      <c r="D854" s="31" t="s">
        <v>59</v>
      </c>
      <c r="E854" s="30" t="n">
        <v>60</v>
      </c>
      <c r="F854" s="30" t="n">
        <v>60</v>
      </c>
      <c r="G854" s="30" t="str">
        <f aca="false">IF(E854&lt;判定条件!$C$6,"判定不能",IF(F854&gt;=判定条件!$C$7*E854,"運転",IF(F854&lt;=判定条件!$C$8*E854,"停止","断続")))</f>
        <v>運転</v>
      </c>
      <c r="H854" s="30" t="n">
        <v>0</v>
      </c>
      <c r="I854" s="30" t="n">
        <v>0</v>
      </c>
      <c r="J854" s="30" t="str">
        <f aca="false">IF(H854&lt;判定条件!$C$6,"判定不能",IF(I854&gt;=判定条件!$C$7*H854,"運転",IF(I854&lt;=判定条件!$C$8*H854,"停止","断続")))</f>
        <v>判定不能</v>
      </c>
      <c r="K854" s="30" t="n">
        <v>60</v>
      </c>
      <c r="L854" s="30" t="n">
        <v>60</v>
      </c>
      <c r="M854" s="30" t="str">
        <f aca="false">IF(K854&lt;判定条件!$C$6,"判定不能",IF(L854&gt;=判定条件!$C$7*K854,"運転",IF(L854&lt;=判定条件!$C$8*K854,"停止","断続")))</f>
        <v>運転</v>
      </c>
      <c r="N854" s="30" t="n">
        <v>60</v>
      </c>
      <c r="O854" s="30" t="n">
        <v>60</v>
      </c>
      <c r="P854" s="30" t="str">
        <f aca="false">IF(N854&lt;判定条件!$C$6,"判定不能",IF(O854&gt;=判定条件!$C$7*N854,"運転",IF(O854&lt;=判定条件!$C$8*N854,"停止","断続")))</f>
        <v>運転</v>
      </c>
      <c r="Q854" s="30" t="n">
        <v>60</v>
      </c>
      <c r="R854" s="30" t="n">
        <v>60</v>
      </c>
      <c r="S854" s="30" t="str">
        <f aca="false">IF(Q854&lt;判定条件!$C$6,"判定不能",IF(R854&gt;=判定条件!$C$7*Q854,"運転",IF(R854&lt;=判定条件!$C$8*Q854,"停止","断続")))</f>
        <v>運転</v>
      </c>
      <c r="T854" s="30" t="n">
        <v>60</v>
      </c>
      <c r="U854" s="30" t="n">
        <v>60</v>
      </c>
      <c r="V854" s="30" t="str">
        <f aca="false">IF(T854&lt;判定条件!$C$6,"判定不能",IF(U854&gt;=判定条件!$C$7*T854,"運転",IF(U854&lt;=判定条件!$C$8*T854,"停止","断続")))</f>
        <v>運転</v>
      </c>
      <c r="W854" s="30" t="n">
        <v>60</v>
      </c>
      <c r="X854" s="30" t="n">
        <v>60</v>
      </c>
      <c r="Y854" s="30" t="str">
        <f aca="false">IF(W854&lt;判定条件!$C$6,"判定不能",IF(X854&gt;=判定条件!$C$7*W854,"運転",IF(X854&lt;=判定条件!$C$8*W854,"停止","断続")))</f>
        <v>運転</v>
      </c>
      <c r="Z854" s="30" t="n">
        <v>60</v>
      </c>
      <c r="AA854" s="30" t="n">
        <v>60</v>
      </c>
      <c r="AB854" s="30" t="str">
        <f aca="false">IF(Z854&lt;判定条件!$C$6,"判定不能",IF(AA854&gt;=判定条件!$C$7*Z854,"運転",IF(AA854&lt;=判定条件!$C$8*Z854,"停止","断続")))</f>
        <v>運転</v>
      </c>
      <c r="AC854" s="30" t="n">
        <v>60</v>
      </c>
      <c r="AD854" s="30" t="n">
        <v>60</v>
      </c>
      <c r="AE854" s="30" t="str">
        <f aca="false">IF(AC854&lt;判定条件!$C$6,"判定不能",IF(AD854&gt;=判定条件!$C$7*AC854,"運転",IF(AD854&lt;=判定条件!$C$8*AC854,"停止","断続")))</f>
        <v>運転</v>
      </c>
      <c r="AF854" s="30" t="n">
        <v>60</v>
      </c>
      <c r="AG854" s="30" t="n">
        <v>60</v>
      </c>
      <c r="AH854" s="30" t="str">
        <f aca="false">IF(OR(P854="判定不能",G854="判定不能"),"判定不能",IF(AG854&gt;=判定条件!$C$9,"利用可",IF(AND(P854="停止",G854="停止"),"両方停止","運転がそろわない")))</f>
        <v>利用可</v>
      </c>
      <c r="AI854" s="30" t="n">
        <v>0</v>
      </c>
      <c r="AJ854" s="30" t="n">
        <v>0</v>
      </c>
      <c r="AK854" s="30" t="str">
        <f aca="false">IF(OR(S854="判定不能",J854="判定不能"),"判定不能",IF(AJ854&gt;=判定条件!$C$9,"利用可",IF(AND(S854="停止",J854="停止"),"両方停止","運転がそろわない")))</f>
        <v>判定不能</v>
      </c>
      <c r="AL854" s="30" t="n">
        <v>60</v>
      </c>
      <c r="AM854" s="30" t="n">
        <v>60</v>
      </c>
      <c r="AN854" s="30" t="str">
        <f aca="false">IF(OR(V854="判定不能",M854="判定不能"),"判定不能",IF(AM854&gt;=判定条件!$C$9,"利用可",IF(AND(V854="停止",M854="停止"),"両方停止","運転がそろわない")))</f>
        <v>利用可</v>
      </c>
      <c r="AO854" s="30" t="n">
        <v>60</v>
      </c>
      <c r="AP854" s="30" t="n">
        <v>60</v>
      </c>
      <c r="AQ854" s="30" t="str">
        <f aca="false">IF(OR(Y854="判定不能",G854="判定不能"),"判定不能",IF(AP854&gt;=判定条件!$C$9,"利用可",IF(AND(Y854="停止",G854="停止"),"両方停止","運転がそろわない")))</f>
        <v>利用可</v>
      </c>
      <c r="AR854" s="30" t="n">
        <v>0</v>
      </c>
      <c r="AS854" s="30" t="n">
        <v>0</v>
      </c>
      <c r="AT854" s="30" t="str">
        <f aca="false">IF(OR(AB854="判定不能",J854="判定不能"),"判定不能",IF(AS854&gt;=判定条件!$C$9,"利用可",IF(AND(AB854="停止",J854="停止"),"両方停止","運転がそろわない")))</f>
        <v>判定不能</v>
      </c>
      <c r="AU854" s="30" t="n">
        <v>60</v>
      </c>
      <c r="AV854" s="30" t="n">
        <v>60</v>
      </c>
      <c r="AW854" s="30" t="str">
        <f aca="false">IF(OR(AE854="判定不能",M854="判定不能"),"判定不能",IF(AV854&gt;=判定条件!$C$9,"利用可",IF(AND(AE854="停止",M854="停止"),"両方停止","運転がそろわない")))</f>
        <v>利用可</v>
      </c>
      <c r="AX854" s="30" t="str">
        <f aca="false">IF(AND(AH854="利用可",AK854="利用可",AN854="利用可"),"利用可","不可")</f>
        <v>不可</v>
      </c>
      <c r="AY854" s="30" t="str">
        <f aca="false">IF(AND(AQ854="利用可",AT854="利用可",AW854="利用可"),"利用可","不可")</f>
        <v>不可</v>
      </c>
    </row>
    <row r="855" customFormat="false" ht="15" hidden="false" customHeight="false" outlineLevel="0" collapsed="false">
      <c r="A855" s="29" t="n">
        <v>46267</v>
      </c>
      <c r="B855" s="30" t="n">
        <v>12</v>
      </c>
      <c r="C855" s="31" t="s">
        <v>58</v>
      </c>
      <c r="D855" s="31" t="s">
        <v>59</v>
      </c>
      <c r="E855" s="30" t="n">
        <v>60</v>
      </c>
      <c r="F855" s="30" t="n">
        <v>60</v>
      </c>
      <c r="G855" s="30" t="str">
        <f aca="false">IF(E855&lt;判定条件!$C$6,"判定不能",IF(F855&gt;=判定条件!$C$7*E855,"運転",IF(F855&lt;=判定条件!$C$8*E855,"停止","断続")))</f>
        <v>運転</v>
      </c>
      <c r="H855" s="30" t="n">
        <v>0</v>
      </c>
      <c r="I855" s="30" t="n">
        <v>0</v>
      </c>
      <c r="J855" s="30" t="str">
        <f aca="false">IF(H855&lt;判定条件!$C$6,"判定不能",IF(I855&gt;=判定条件!$C$7*H855,"運転",IF(I855&lt;=判定条件!$C$8*H855,"停止","断続")))</f>
        <v>判定不能</v>
      </c>
      <c r="K855" s="30" t="n">
        <v>60</v>
      </c>
      <c r="L855" s="30" t="n">
        <v>60</v>
      </c>
      <c r="M855" s="30" t="str">
        <f aca="false">IF(K855&lt;判定条件!$C$6,"判定不能",IF(L855&gt;=判定条件!$C$7*K855,"運転",IF(L855&lt;=判定条件!$C$8*K855,"停止","断続")))</f>
        <v>運転</v>
      </c>
      <c r="N855" s="30" t="n">
        <v>60</v>
      </c>
      <c r="O855" s="30" t="n">
        <v>60</v>
      </c>
      <c r="P855" s="30" t="str">
        <f aca="false">IF(N855&lt;判定条件!$C$6,"判定不能",IF(O855&gt;=判定条件!$C$7*N855,"運転",IF(O855&lt;=判定条件!$C$8*N855,"停止","断続")))</f>
        <v>運転</v>
      </c>
      <c r="Q855" s="30" t="n">
        <v>60</v>
      </c>
      <c r="R855" s="30" t="n">
        <v>60</v>
      </c>
      <c r="S855" s="30" t="str">
        <f aca="false">IF(Q855&lt;判定条件!$C$6,"判定不能",IF(R855&gt;=判定条件!$C$7*Q855,"運転",IF(R855&lt;=判定条件!$C$8*Q855,"停止","断続")))</f>
        <v>運転</v>
      </c>
      <c r="T855" s="30" t="n">
        <v>60</v>
      </c>
      <c r="U855" s="30" t="n">
        <v>32</v>
      </c>
      <c r="V855" s="30" t="str">
        <f aca="false">IF(T855&lt;判定条件!$C$6,"判定不能",IF(U855&gt;=判定条件!$C$7*T855,"運転",IF(U855&lt;=判定条件!$C$8*T855,"停止","断続")))</f>
        <v>断続</v>
      </c>
      <c r="W855" s="30" t="n">
        <v>60</v>
      </c>
      <c r="X855" s="30" t="n">
        <v>60</v>
      </c>
      <c r="Y855" s="30" t="str">
        <f aca="false">IF(W855&lt;判定条件!$C$6,"判定不能",IF(X855&gt;=判定条件!$C$7*W855,"運転",IF(X855&lt;=判定条件!$C$8*W855,"停止","断続")))</f>
        <v>運転</v>
      </c>
      <c r="Z855" s="30" t="n">
        <v>60</v>
      </c>
      <c r="AA855" s="30" t="n">
        <v>60</v>
      </c>
      <c r="AB855" s="30" t="str">
        <f aca="false">IF(Z855&lt;判定条件!$C$6,"判定不能",IF(AA855&gt;=判定条件!$C$7*Z855,"運転",IF(AA855&lt;=判定条件!$C$8*Z855,"停止","断続")))</f>
        <v>運転</v>
      </c>
      <c r="AC855" s="30" t="n">
        <v>60</v>
      </c>
      <c r="AD855" s="30" t="n">
        <v>60</v>
      </c>
      <c r="AE855" s="30" t="str">
        <f aca="false">IF(AC855&lt;判定条件!$C$6,"判定不能",IF(AD855&gt;=判定条件!$C$7*AC855,"運転",IF(AD855&lt;=判定条件!$C$8*AC855,"停止","断続")))</f>
        <v>運転</v>
      </c>
      <c r="AF855" s="30" t="n">
        <v>60</v>
      </c>
      <c r="AG855" s="30" t="n">
        <v>60</v>
      </c>
      <c r="AH855" s="30" t="str">
        <f aca="false">IF(OR(P855="判定不能",G855="判定不能"),"判定不能",IF(AG855&gt;=判定条件!$C$9,"利用可",IF(AND(P855="停止",G855="停止"),"両方停止","運転がそろわない")))</f>
        <v>利用可</v>
      </c>
      <c r="AI855" s="30" t="n">
        <v>0</v>
      </c>
      <c r="AJ855" s="30" t="n">
        <v>0</v>
      </c>
      <c r="AK855" s="30" t="str">
        <f aca="false">IF(OR(S855="判定不能",J855="判定不能"),"判定不能",IF(AJ855&gt;=判定条件!$C$9,"利用可",IF(AND(S855="停止",J855="停止"),"両方停止","運転がそろわない")))</f>
        <v>判定不能</v>
      </c>
      <c r="AL855" s="30" t="n">
        <v>60</v>
      </c>
      <c r="AM855" s="30" t="n">
        <v>32</v>
      </c>
      <c r="AN855" s="30" t="str">
        <f aca="false">IF(OR(V855="判定不能",M855="判定不能"),"判定不能",IF(AM855&gt;=判定条件!$C$9,"利用可",IF(AND(V855="停止",M855="停止"),"両方停止","運転がそろわない")))</f>
        <v>利用可</v>
      </c>
      <c r="AO855" s="30" t="n">
        <v>60</v>
      </c>
      <c r="AP855" s="30" t="n">
        <v>60</v>
      </c>
      <c r="AQ855" s="30" t="str">
        <f aca="false">IF(OR(Y855="判定不能",G855="判定不能"),"判定不能",IF(AP855&gt;=判定条件!$C$9,"利用可",IF(AND(Y855="停止",G855="停止"),"両方停止","運転がそろわない")))</f>
        <v>利用可</v>
      </c>
      <c r="AR855" s="30" t="n">
        <v>0</v>
      </c>
      <c r="AS855" s="30" t="n">
        <v>0</v>
      </c>
      <c r="AT855" s="30" t="str">
        <f aca="false">IF(OR(AB855="判定不能",J855="判定不能"),"判定不能",IF(AS855&gt;=判定条件!$C$9,"利用可",IF(AND(AB855="停止",J855="停止"),"両方停止","運転がそろわない")))</f>
        <v>判定不能</v>
      </c>
      <c r="AU855" s="30" t="n">
        <v>60</v>
      </c>
      <c r="AV855" s="30" t="n">
        <v>60</v>
      </c>
      <c r="AW855" s="30" t="str">
        <f aca="false">IF(OR(AE855="判定不能",M855="判定不能"),"判定不能",IF(AV855&gt;=判定条件!$C$9,"利用可",IF(AND(AE855="停止",M855="停止"),"両方停止","運転がそろわない")))</f>
        <v>利用可</v>
      </c>
      <c r="AX855" s="30" t="str">
        <f aca="false">IF(AND(AH855="利用可",AK855="利用可",AN855="利用可"),"利用可","不可")</f>
        <v>不可</v>
      </c>
      <c r="AY855" s="30" t="str">
        <f aca="false">IF(AND(AQ855="利用可",AT855="利用可",AW855="利用可"),"利用可","不可")</f>
        <v>不可</v>
      </c>
    </row>
    <row r="856" customFormat="false" ht="15" hidden="false" customHeight="false" outlineLevel="0" collapsed="false">
      <c r="A856" s="29" t="n">
        <v>46267</v>
      </c>
      <c r="B856" s="30" t="n">
        <v>13</v>
      </c>
      <c r="C856" s="31" t="s">
        <v>58</v>
      </c>
      <c r="D856" s="31" t="s">
        <v>59</v>
      </c>
      <c r="E856" s="30" t="n">
        <v>60</v>
      </c>
      <c r="F856" s="30" t="n">
        <v>60</v>
      </c>
      <c r="G856" s="30" t="str">
        <f aca="false">IF(E856&lt;判定条件!$C$6,"判定不能",IF(F856&gt;=判定条件!$C$7*E856,"運転",IF(F856&lt;=判定条件!$C$8*E856,"停止","断続")))</f>
        <v>運転</v>
      </c>
      <c r="H856" s="30" t="n">
        <v>0</v>
      </c>
      <c r="I856" s="30" t="n">
        <v>0</v>
      </c>
      <c r="J856" s="30" t="str">
        <f aca="false">IF(H856&lt;判定条件!$C$6,"判定不能",IF(I856&gt;=判定条件!$C$7*H856,"運転",IF(I856&lt;=判定条件!$C$8*H856,"停止","断続")))</f>
        <v>判定不能</v>
      </c>
      <c r="K856" s="30" t="n">
        <v>60</v>
      </c>
      <c r="L856" s="30" t="n">
        <v>60</v>
      </c>
      <c r="M856" s="30" t="str">
        <f aca="false">IF(K856&lt;判定条件!$C$6,"判定不能",IF(L856&gt;=判定条件!$C$7*K856,"運転",IF(L856&lt;=判定条件!$C$8*K856,"停止","断続")))</f>
        <v>運転</v>
      </c>
      <c r="N856" s="30" t="n">
        <v>60</v>
      </c>
      <c r="O856" s="30" t="n">
        <v>60</v>
      </c>
      <c r="P856" s="30" t="str">
        <f aca="false">IF(N856&lt;判定条件!$C$6,"判定不能",IF(O856&gt;=判定条件!$C$7*N856,"運転",IF(O856&lt;=判定条件!$C$8*N856,"停止","断続")))</f>
        <v>運転</v>
      </c>
      <c r="Q856" s="30" t="n">
        <v>60</v>
      </c>
      <c r="R856" s="30" t="n">
        <v>53</v>
      </c>
      <c r="S856" s="30" t="str">
        <f aca="false">IF(Q856&lt;判定条件!$C$6,"判定不能",IF(R856&gt;=判定条件!$C$7*Q856,"運転",IF(R856&lt;=判定条件!$C$8*Q856,"停止","断続")))</f>
        <v>運転</v>
      </c>
      <c r="T856" s="30" t="n">
        <v>60</v>
      </c>
      <c r="U856" s="30" t="n">
        <v>60</v>
      </c>
      <c r="V856" s="30" t="str">
        <f aca="false">IF(T856&lt;判定条件!$C$6,"判定不能",IF(U856&gt;=判定条件!$C$7*T856,"運転",IF(U856&lt;=判定条件!$C$8*T856,"停止","断続")))</f>
        <v>運転</v>
      </c>
      <c r="W856" s="30" t="n">
        <v>60</v>
      </c>
      <c r="X856" s="30" t="n">
        <v>60</v>
      </c>
      <c r="Y856" s="30" t="str">
        <f aca="false">IF(W856&lt;判定条件!$C$6,"判定不能",IF(X856&gt;=判定条件!$C$7*W856,"運転",IF(X856&lt;=判定条件!$C$8*W856,"停止","断続")))</f>
        <v>運転</v>
      </c>
      <c r="Z856" s="30" t="n">
        <v>60</v>
      </c>
      <c r="AA856" s="30" t="n">
        <v>60</v>
      </c>
      <c r="AB856" s="30" t="str">
        <f aca="false">IF(Z856&lt;判定条件!$C$6,"判定不能",IF(AA856&gt;=判定条件!$C$7*Z856,"運転",IF(AA856&lt;=判定条件!$C$8*Z856,"停止","断続")))</f>
        <v>運転</v>
      </c>
      <c r="AC856" s="30" t="n">
        <v>60</v>
      </c>
      <c r="AD856" s="30" t="n">
        <v>60</v>
      </c>
      <c r="AE856" s="30" t="str">
        <f aca="false">IF(AC856&lt;判定条件!$C$6,"判定不能",IF(AD856&gt;=判定条件!$C$7*AC856,"運転",IF(AD856&lt;=判定条件!$C$8*AC856,"停止","断続")))</f>
        <v>運転</v>
      </c>
      <c r="AF856" s="30" t="n">
        <v>60</v>
      </c>
      <c r="AG856" s="30" t="n">
        <v>60</v>
      </c>
      <c r="AH856" s="30" t="str">
        <f aca="false">IF(OR(P856="判定不能",G856="判定不能"),"判定不能",IF(AG856&gt;=判定条件!$C$9,"利用可",IF(AND(P856="停止",G856="停止"),"両方停止","運転がそろわない")))</f>
        <v>利用可</v>
      </c>
      <c r="AI856" s="30" t="n">
        <v>0</v>
      </c>
      <c r="AJ856" s="30" t="n">
        <v>0</v>
      </c>
      <c r="AK856" s="30" t="str">
        <f aca="false">IF(OR(S856="判定不能",J856="判定不能"),"判定不能",IF(AJ856&gt;=判定条件!$C$9,"利用可",IF(AND(S856="停止",J856="停止"),"両方停止","運転がそろわない")))</f>
        <v>判定不能</v>
      </c>
      <c r="AL856" s="30" t="n">
        <v>60</v>
      </c>
      <c r="AM856" s="30" t="n">
        <v>60</v>
      </c>
      <c r="AN856" s="30" t="str">
        <f aca="false">IF(OR(V856="判定不能",M856="判定不能"),"判定不能",IF(AM856&gt;=判定条件!$C$9,"利用可",IF(AND(V856="停止",M856="停止"),"両方停止","運転がそろわない")))</f>
        <v>利用可</v>
      </c>
      <c r="AO856" s="30" t="n">
        <v>60</v>
      </c>
      <c r="AP856" s="30" t="n">
        <v>60</v>
      </c>
      <c r="AQ856" s="30" t="str">
        <f aca="false">IF(OR(Y856="判定不能",G856="判定不能"),"判定不能",IF(AP856&gt;=判定条件!$C$9,"利用可",IF(AND(Y856="停止",G856="停止"),"両方停止","運転がそろわない")))</f>
        <v>利用可</v>
      </c>
      <c r="AR856" s="30" t="n">
        <v>0</v>
      </c>
      <c r="AS856" s="30" t="n">
        <v>0</v>
      </c>
      <c r="AT856" s="30" t="str">
        <f aca="false">IF(OR(AB856="判定不能",J856="判定不能"),"判定不能",IF(AS856&gt;=判定条件!$C$9,"利用可",IF(AND(AB856="停止",J856="停止"),"両方停止","運転がそろわない")))</f>
        <v>判定不能</v>
      </c>
      <c r="AU856" s="30" t="n">
        <v>60</v>
      </c>
      <c r="AV856" s="30" t="n">
        <v>60</v>
      </c>
      <c r="AW856" s="30" t="str">
        <f aca="false">IF(OR(AE856="判定不能",M856="判定不能"),"判定不能",IF(AV856&gt;=判定条件!$C$9,"利用可",IF(AND(AE856="停止",M856="停止"),"両方停止","運転がそろわない")))</f>
        <v>利用可</v>
      </c>
      <c r="AX856" s="30" t="str">
        <f aca="false">IF(AND(AH856="利用可",AK856="利用可",AN856="利用可"),"利用可","不可")</f>
        <v>不可</v>
      </c>
      <c r="AY856" s="30" t="str">
        <f aca="false">IF(AND(AQ856="利用可",AT856="利用可",AW856="利用可"),"利用可","不可")</f>
        <v>不可</v>
      </c>
    </row>
    <row r="857" customFormat="false" ht="15" hidden="false" customHeight="false" outlineLevel="0" collapsed="false">
      <c r="A857" s="29" t="n">
        <v>46267</v>
      </c>
      <c r="B857" s="30" t="n">
        <v>14</v>
      </c>
      <c r="C857" s="31" t="s">
        <v>58</v>
      </c>
      <c r="D857" s="31" t="s">
        <v>59</v>
      </c>
      <c r="E857" s="30" t="n">
        <v>60</v>
      </c>
      <c r="F857" s="30" t="n">
        <v>60</v>
      </c>
      <c r="G857" s="30" t="str">
        <f aca="false">IF(E857&lt;判定条件!$C$6,"判定不能",IF(F857&gt;=判定条件!$C$7*E857,"運転",IF(F857&lt;=判定条件!$C$8*E857,"停止","断続")))</f>
        <v>運転</v>
      </c>
      <c r="H857" s="30" t="n">
        <v>0</v>
      </c>
      <c r="I857" s="30" t="n">
        <v>0</v>
      </c>
      <c r="J857" s="30" t="str">
        <f aca="false">IF(H857&lt;判定条件!$C$6,"判定不能",IF(I857&gt;=判定条件!$C$7*H857,"運転",IF(I857&lt;=判定条件!$C$8*H857,"停止","断続")))</f>
        <v>判定不能</v>
      </c>
      <c r="K857" s="30" t="n">
        <v>60</v>
      </c>
      <c r="L857" s="30" t="n">
        <v>60</v>
      </c>
      <c r="M857" s="30" t="str">
        <f aca="false">IF(K857&lt;判定条件!$C$6,"判定不能",IF(L857&gt;=判定条件!$C$7*K857,"運転",IF(L857&lt;=判定条件!$C$8*K857,"停止","断続")))</f>
        <v>運転</v>
      </c>
      <c r="N857" s="30" t="n">
        <v>60</v>
      </c>
      <c r="O857" s="30" t="n">
        <v>60</v>
      </c>
      <c r="P857" s="30" t="str">
        <f aca="false">IF(N857&lt;判定条件!$C$6,"判定不能",IF(O857&gt;=判定条件!$C$7*N857,"運転",IF(O857&lt;=判定条件!$C$8*N857,"停止","断続")))</f>
        <v>運転</v>
      </c>
      <c r="Q857" s="30" t="n">
        <v>60</v>
      </c>
      <c r="R857" s="30" t="n">
        <v>60</v>
      </c>
      <c r="S857" s="30" t="str">
        <f aca="false">IF(Q857&lt;判定条件!$C$6,"判定不能",IF(R857&gt;=判定条件!$C$7*Q857,"運転",IF(R857&lt;=判定条件!$C$8*Q857,"停止","断続")))</f>
        <v>運転</v>
      </c>
      <c r="T857" s="30" t="n">
        <v>60</v>
      </c>
      <c r="U857" s="30" t="n">
        <v>60</v>
      </c>
      <c r="V857" s="30" t="str">
        <f aca="false">IF(T857&lt;判定条件!$C$6,"判定不能",IF(U857&gt;=判定条件!$C$7*T857,"運転",IF(U857&lt;=判定条件!$C$8*T857,"停止","断続")))</f>
        <v>運転</v>
      </c>
      <c r="W857" s="30" t="n">
        <v>60</v>
      </c>
      <c r="X857" s="30" t="n">
        <v>42</v>
      </c>
      <c r="Y857" s="30" t="str">
        <f aca="false">IF(W857&lt;判定条件!$C$6,"判定不能",IF(X857&gt;=判定条件!$C$7*W857,"運転",IF(X857&lt;=判定条件!$C$8*W857,"停止","断続")))</f>
        <v>断続</v>
      </c>
      <c r="Z857" s="30" t="n">
        <v>60</v>
      </c>
      <c r="AA857" s="30" t="n">
        <v>60</v>
      </c>
      <c r="AB857" s="30" t="str">
        <f aca="false">IF(Z857&lt;判定条件!$C$6,"判定不能",IF(AA857&gt;=判定条件!$C$7*Z857,"運転",IF(AA857&lt;=判定条件!$C$8*Z857,"停止","断続")))</f>
        <v>運転</v>
      </c>
      <c r="AC857" s="30" t="n">
        <v>60</v>
      </c>
      <c r="AD857" s="30" t="n">
        <v>60</v>
      </c>
      <c r="AE857" s="30" t="str">
        <f aca="false">IF(AC857&lt;判定条件!$C$6,"判定不能",IF(AD857&gt;=判定条件!$C$7*AC857,"運転",IF(AD857&lt;=判定条件!$C$8*AC857,"停止","断続")))</f>
        <v>運転</v>
      </c>
      <c r="AF857" s="30" t="n">
        <v>60</v>
      </c>
      <c r="AG857" s="30" t="n">
        <v>60</v>
      </c>
      <c r="AH857" s="30" t="str">
        <f aca="false">IF(OR(P857="判定不能",G857="判定不能"),"判定不能",IF(AG857&gt;=判定条件!$C$9,"利用可",IF(AND(P857="停止",G857="停止"),"両方停止","運転がそろわない")))</f>
        <v>利用可</v>
      </c>
      <c r="AI857" s="30" t="n">
        <v>0</v>
      </c>
      <c r="AJ857" s="30" t="n">
        <v>0</v>
      </c>
      <c r="AK857" s="30" t="str">
        <f aca="false">IF(OR(S857="判定不能",J857="判定不能"),"判定不能",IF(AJ857&gt;=判定条件!$C$9,"利用可",IF(AND(S857="停止",J857="停止"),"両方停止","運転がそろわない")))</f>
        <v>判定不能</v>
      </c>
      <c r="AL857" s="30" t="n">
        <v>60</v>
      </c>
      <c r="AM857" s="30" t="n">
        <v>60</v>
      </c>
      <c r="AN857" s="30" t="str">
        <f aca="false">IF(OR(V857="判定不能",M857="判定不能"),"判定不能",IF(AM857&gt;=判定条件!$C$9,"利用可",IF(AND(V857="停止",M857="停止"),"両方停止","運転がそろわない")))</f>
        <v>利用可</v>
      </c>
      <c r="AO857" s="30" t="n">
        <v>60</v>
      </c>
      <c r="AP857" s="30" t="n">
        <v>42</v>
      </c>
      <c r="AQ857" s="30" t="str">
        <f aca="false">IF(OR(Y857="判定不能",G857="判定不能"),"判定不能",IF(AP857&gt;=判定条件!$C$9,"利用可",IF(AND(Y857="停止",G857="停止"),"両方停止","運転がそろわない")))</f>
        <v>利用可</v>
      </c>
      <c r="AR857" s="30" t="n">
        <v>0</v>
      </c>
      <c r="AS857" s="30" t="n">
        <v>0</v>
      </c>
      <c r="AT857" s="30" t="str">
        <f aca="false">IF(OR(AB857="判定不能",J857="判定不能"),"判定不能",IF(AS857&gt;=判定条件!$C$9,"利用可",IF(AND(AB857="停止",J857="停止"),"両方停止","運転がそろわない")))</f>
        <v>判定不能</v>
      </c>
      <c r="AU857" s="30" t="n">
        <v>60</v>
      </c>
      <c r="AV857" s="30" t="n">
        <v>60</v>
      </c>
      <c r="AW857" s="30" t="str">
        <f aca="false">IF(OR(AE857="判定不能",M857="判定不能"),"判定不能",IF(AV857&gt;=判定条件!$C$9,"利用可",IF(AND(AE857="停止",M857="停止"),"両方停止","運転がそろわない")))</f>
        <v>利用可</v>
      </c>
      <c r="AX857" s="30" t="str">
        <f aca="false">IF(AND(AH857="利用可",AK857="利用可",AN857="利用可"),"利用可","不可")</f>
        <v>不可</v>
      </c>
      <c r="AY857" s="30" t="str">
        <f aca="false">IF(AND(AQ857="利用可",AT857="利用可",AW857="利用可"),"利用可","不可")</f>
        <v>不可</v>
      </c>
    </row>
    <row r="858" customFormat="false" ht="15" hidden="false" customHeight="false" outlineLevel="0" collapsed="false">
      <c r="A858" s="29" t="n">
        <v>46267</v>
      </c>
      <c r="B858" s="30" t="n">
        <v>15</v>
      </c>
      <c r="C858" s="31" t="s">
        <v>58</v>
      </c>
      <c r="D858" s="31" t="s">
        <v>59</v>
      </c>
      <c r="E858" s="30" t="n">
        <v>60</v>
      </c>
      <c r="F858" s="30" t="n">
        <v>60</v>
      </c>
      <c r="G858" s="30" t="str">
        <f aca="false">IF(E858&lt;判定条件!$C$6,"判定不能",IF(F858&gt;=判定条件!$C$7*E858,"運転",IF(F858&lt;=判定条件!$C$8*E858,"停止","断続")))</f>
        <v>運転</v>
      </c>
      <c r="H858" s="30" t="n">
        <v>0</v>
      </c>
      <c r="I858" s="30" t="n">
        <v>0</v>
      </c>
      <c r="J858" s="30" t="str">
        <f aca="false">IF(H858&lt;判定条件!$C$6,"判定不能",IF(I858&gt;=判定条件!$C$7*H858,"運転",IF(I858&lt;=判定条件!$C$8*H858,"停止","断続")))</f>
        <v>判定不能</v>
      </c>
      <c r="K858" s="30" t="n">
        <v>60</v>
      </c>
      <c r="L858" s="30" t="n">
        <v>60</v>
      </c>
      <c r="M858" s="30" t="str">
        <f aca="false">IF(K858&lt;判定条件!$C$6,"判定不能",IF(L858&gt;=判定条件!$C$7*K858,"運転",IF(L858&lt;=判定条件!$C$8*K858,"停止","断続")))</f>
        <v>運転</v>
      </c>
      <c r="N858" s="30" t="n">
        <v>60</v>
      </c>
      <c r="O858" s="30" t="n">
        <v>60</v>
      </c>
      <c r="P858" s="30" t="str">
        <f aca="false">IF(N858&lt;判定条件!$C$6,"判定不能",IF(O858&gt;=判定条件!$C$7*N858,"運転",IF(O858&lt;=判定条件!$C$8*N858,"停止","断続")))</f>
        <v>運転</v>
      </c>
      <c r="Q858" s="30" t="n">
        <v>60</v>
      </c>
      <c r="R858" s="30" t="n">
        <v>60</v>
      </c>
      <c r="S858" s="30" t="str">
        <f aca="false">IF(Q858&lt;判定条件!$C$6,"判定不能",IF(R858&gt;=判定条件!$C$7*Q858,"運転",IF(R858&lt;=判定条件!$C$8*Q858,"停止","断続")))</f>
        <v>運転</v>
      </c>
      <c r="T858" s="30" t="n">
        <v>60</v>
      </c>
      <c r="U858" s="30" t="n">
        <v>60</v>
      </c>
      <c r="V858" s="30" t="str">
        <f aca="false">IF(T858&lt;判定条件!$C$6,"判定不能",IF(U858&gt;=判定条件!$C$7*T858,"運転",IF(U858&lt;=判定条件!$C$8*T858,"停止","断続")))</f>
        <v>運転</v>
      </c>
      <c r="W858" s="30" t="n">
        <v>60</v>
      </c>
      <c r="X858" s="30" t="n">
        <v>53</v>
      </c>
      <c r="Y858" s="30" t="str">
        <f aca="false">IF(W858&lt;判定条件!$C$6,"判定不能",IF(X858&gt;=判定条件!$C$7*W858,"運転",IF(X858&lt;=判定条件!$C$8*W858,"停止","断続")))</f>
        <v>運転</v>
      </c>
      <c r="Z858" s="30" t="n">
        <v>60</v>
      </c>
      <c r="AA858" s="30" t="n">
        <v>60</v>
      </c>
      <c r="AB858" s="30" t="str">
        <f aca="false">IF(Z858&lt;判定条件!$C$6,"判定不能",IF(AA858&gt;=判定条件!$C$7*Z858,"運転",IF(AA858&lt;=判定条件!$C$8*Z858,"停止","断続")))</f>
        <v>運転</v>
      </c>
      <c r="AC858" s="30" t="n">
        <v>60</v>
      </c>
      <c r="AD858" s="30" t="n">
        <v>60</v>
      </c>
      <c r="AE858" s="30" t="str">
        <f aca="false">IF(AC858&lt;判定条件!$C$6,"判定不能",IF(AD858&gt;=判定条件!$C$7*AC858,"運転",IF(AD858&lt;=判定条件!$C$8*AC858,"停止","断続")))</f>
        <v>運転</v>
      </c>
      <c r="AF858" s="30" t="n">
        <v>60</v>
      </c>
      <c r="AG858" s="30" t="n">
        <v>60</v>
      </c>
      <c r="AH858" s="30" t="str">
        <f aca="false">IF(OR(P858="判定不能",G858="判定不能"),"判定不能",IF(AG858&gt;=判定条件!$C$9,"利用可",IF(AND(P858="停止",G858="停止"),"両方停止","運転がそろわない")))</f>
        <v>利用可</v>
      </c>
      <c r="AI858" s="30" t="n">
        <v>0</v>
      </c>
      <c r="AJ858" s="30" t="n">
        <v>0</v>
      </c>
      <c r="AK858" s="30" t="str">
        <f aca="false">IF(OR(S858="判定不能",J858="判定不能"),"判定不能",IF(AJ858&gt;=判定条件!$C$9,"利用可",IF(AND(S858="停止",J858="停止"),"両方停止","運転がそろわない")))</f>
        <v>判定不能</v>
      </c>
      <c r="AL858" s="30" t="n">
        <v>60</v>
      </c>
      <c r="AM858" s="30" t="n">
        <v>60</v>
      </c>
      <c r="AN858" s="30" t="str">
        <f aca="false">IF(OR(V858="判定不能",M858="判定不能"),"判定不能",IF(AM858&gt;=判定条件!$C$9,"利用可",IF(AND(V858="停止",M858="停止"),"両方停止","運転がそろわない")))</f>
        <v>利用可</v>
      </c>
      <c r="AO858" s="30" t="n">
        <v>60</v>
      </c>
      <c r="AP858" s="30" t="n">
        <v>53</v>
      </c>
      <c r="AQ858" s="30" t="str">
        <f aca="false">IF(OR(Y858="判定不能",G858="判定不能"),"判定不能",IF(AP858&gt;=判定条件!$C$9,"利用可",IF(AND(Y858="停止",G858="停止"),"両方停止","運転がそろわない")))</f>
        <v>利用可</v>
      </c>
      <c r="AR858" s="30" t="n">
        <v>0</v>
      </c>
      <c r="AS858" s="30" t="n">
        <v>0</v>
      </c>
      <c r="AT858" s="30" t="str">
        <f aca="false">IF(OR(AB858="判定不能",J858="判定不能"),"判定不能",IF(AS858&gt;=判定条件!$C$9,"利用可",IF(AND(AB858="停止",J858="停止"),"両方停止","運転がそろわない")))</f>
        <v>判定不能</v>
      </c>
      <c r="AU858" s="30" t="n">
        <v>60</v>
      </c>
      <c r="AV858" s="30" t="n">
        <v>60</v>
      </c>
      <c r="AW858" s="30" t="str">
        <f aca="false">IF(OR(AE858="判定不能",M858="判定不能"),"判定不能",IF(AV858&gt;=判定条件!$C$9,"利用可",IF(AND(AE858="停止",M858="停止"),"両方停止","運転がそろわない")))</f>
        <v>利用可</v>
      </c>
      <c r="AX858" s="30" t="str">
        <f aca="false">IF(AND(AH858="利用可",AK858="利用可",AN858="利用可"),"利用可","不可")</f>
        <v>不可</v>
      </c>
      <c r="AY858" s="30" t="str">
        <f aca="false">IF(AND(AQ858="利用可",AT858="利用可",AW858="利用可"),"利用可","不可")</f>
        <v>不可</v>
      </c>
    </row>
    <row r="859" customFormat="false" ht="15" hidden="false" customHeight="false" outlineLevel="0" collapsed="false">
      <c r="A859" s="29" t="n">
        <v>46267</v>
      </c>
      <c r="B859" s="30" t="n">
        <v>16</v>
      </c>
      <c r="C859" s="31" t="s">
        <v>58</v>
      </c>
      <c r="D859" s="31" t="s">
        <v>59</v>
      </c>
      <c r="E859" s="30" t="n">
        <v>60</v>
      </c>
      <c r="F859" s="30" t="n">
        <v>60</v>
      </c>
      <c r="G859" s="30" t="str">
        <f aca="false">IF(E859&lt;判定条件!$C$6,"判定不能",IF(F859&gt;=判定条件!$C$7*E859,"運転",IF(F859&lt;=判定条件!$C$8*E859,"停止","断続")))</f>
        <v>運転</v>
      </c>
      <c r="H859" s="30" t="n">
        <v>0</v>
      </c>
      <c r="I859" s="30" t="n">
        <v>0</v>
      </c>
      <c r="J859" s="30" t="str">
        <f aca="false">IF(H859&lt;判定条件!$C$6,"判定不能",IF(I859&gt;=判定条件!$C$7*H859,"運転",IF(I859&lt;=判定条件!$C$8*H859,"停止","断続")))</f>
        <v>判定不能</v>
      </c>
      <c r="K859" s="30" t="n">
        <v>60</v>
      </c>
      <c r="L859" s="30" t="n">
        <v>60</v>
      </c>
      <c r="M859" s="30" t="str">
        <f aca="false">IF(K859&lt;判定条件!$C$6,"判定不能",IF(L859&gt;=判定条件!$C$7*K859,"運転",IF(L859&lt;=判定条件!$C$8*K859,"停止","断続")))</f>
        <v>運転</v>
      </c>
      <c r="N859" s="30" t="n">
        <v>60</v>
      </c>
      <c r="O859" s="30" t="n">
        <v>44</v>
      </c>
      <c r="P859" s="30" t="str">
        <f aca="false">IF(N859&lt;判定条件!$C$6,"判定不能",IF(O859&gt;=判定条件!$C$7*N859,"運転",IF(O859&lt;=判定条件!$C$8*N859,"停止","断続")))</f>
        <v>断続</v>
      </c>
      <c r="Q859" s="30" t="n">
        <v>60</v>
      </c>
      <c r="R859" s="30" t="n">
        <v>60</v>
      </c>
      <c r="S859" s="30" t="str">
        <f aca="false">IF(Q859&lt;判定条件!$C$6,"判定不能",IF(R859&gt;=判定条件!$C$7*Q859,"運転",IF(R859&lt;=判定条件!$C$8*Q859,"停止","断続")))</f>
        <v>運転</v>
      </c>
      <c r="T859" s="30" t="n">
        <v>60</v>
      </c>
      <c r="U859" s="30" t="n">
        <v>53</v>
      </c>
      <c r="V859" s="30" t="str">
        <f aca="false">IF(T859&lt;判定条件!$C$6,"判定不能",IF(U859&gt;=判定条件!$C$7*T859,"運転",IF(U859&lt;=判定条件!$C$8*T859,"停止","断続")))</f>
        <v>運転</v>
      </c>
      <c r="W859" s="30" t="n">
        <v>60</v>
      </c>
      <c r="X859" s="30" t="n">
        <v>49</v>
      </c>
      <c r="Y859" s="30" t="str">
        <f aca="false">IF(W859&lt;判定条件!$C$6,"判定不能",IF(X859&gt;=判定条件!$C$7*W859,"運転",IF(X859&lt;=判定条件!$C$8*W859,"停止","断続")))</f>
        <v>運転</v>
      </c>
      <c r="Z859" s="30" t="n">
        <v>60</v>
      </c>
      <c r="AA859" s="30" t="n">
        <v>53</v>
      </c>
      <c r="AB859" s="30" t="str">
        <f aca="false">IF(Z859&lt;判定条件!$C$6,"判定不能",IF(AA859&gt;=判定条件!$C$7*Z859,"運転",IF(AA859&lt;=判定条件!$C$8*Z859,"停止","断続")))</f>
        <v>運転</v>
      </c>
      <c r="AC859" s="30" t="n">
        <v>60</v>
      </c>
      <c r="AD859" s="30" t="n">
        <v>60</v>
      </c>
      <c r="AE859" s="30" t="str">
        <f aca="false">IF(AC859&lt;判定条件!$C$6,"判定不能",IF(AD859&gt;=判定条件!$C$7*AC859,"運転",IF(AD859&lt;=判定条件!$C$8*AC859,"停止","断続")))</f>
        <v>運転</v>
      </c>
      <c r="AF859" s="30" t="n">
        <v>60</v>
      </c>
      <c r="AG859" s="30" t="n">
        <v>44</v>
      </c>
      <c r="AH859" s="30" t="str">
        <f aca="false">IF(OR(P859="判定不能",G859="判定不能"),"判定不能",IF(AG859&gt;=判定条件!$C$9,"利用可",IF(AND(P859="停止",G859="停止"),"両方停止","運転がそろわない")))</f>
        <v>利用可</v>
      </c>
      <c r="AI859" s="30" t="n">
        <v>0</v>
      </c>
      <c r="AJ859" s="30" t="n">
        <v>0</v>
      </c>
      <c r="AK859" s="30" t="str">
        <f aca="false">IF(OR(S859="判定不能",J859="判定不能"),"判定不能",IF(AJ859&gt;=判定条件!$C$9,"利用可",IF(AND(S859="停止",J859="停止"),"両方停止","運転がそろわない")))</f>
        <v>判定不能</v>
      </c>
      <c r="AL859" s="30" t="n">
        <v>60</v>
      </c>
      <c r="AM859" s="30" t="n">
        <v>53</v>
      </c>
      <c r="AN859" s="30" t="str">
        <f aca="false">IF(OR(V859="判定不能",M859="判定不能"),"判定不能",IF(AM859&gt;=判定条件!$C$9,"利用可",IF(AND(V859="停止",M859="停止"),"両方停止","運転がそろわない")))</f>
        <v>利用可</v>
      </c>
      <c r="AO859" s="30" t="n">
        <v>60</v>
      </c>
      <c r="AP859" s="30" t="n">
        <v>49</v>
      </c>
      <c r="AQ859" s="30" t="str">
        <f aca="false">IF(OR(Y859="判定不能",G859="判定不能"),"判定不能",IF(AP859&gt;=判定条件!$C$9,"利用可",IF(AND(Y859="停止",G859="停止"),"両方停止","運転がそろわない")))</f>
        <v>利用可</v>
      </c>
      <c r="AR859" s="30" t="n">
        <v>0</v>
      </c>
      <c r="AS859" s="30" t="n">
        <v>0</v>
      </c>
      <c r="AT859" s="30" t="str">
        <f aca="false">IF(OR(AB859="判定不能",J859="判定不能"),"判定不能",IF(AS859&gt;=判定条件!$C$9,"利用可",IF(AND(AB859="停止",J859="停止"),"両方停止","運転がそろわない")))</f>
        <v>判定不能</v>
      </c>
      <c r="AU859" s="30" t="n">
        <v>60</v>
      </c>
      <c r="AV859" s="30" t="n">
        <v>60</v>
      </c>
      <c r="AW859" s="30" t="str">
        <f aca="false">IF(OR(AE859="判定不能",M859="判定不能"),"判定不能",IF(AV859&gt;=判定条件!$C$9,"利用可",IF(AND(AE859="停止",M859="停止"),"両方停止","運転がそろわない")))</f>
        <v>利用可</v>
      </c>
      <c r="AX859" s="30" t="str">
        <f aca="false">IF(AND(AH859="利用可",AK859="利用可",AN859="利用可"),"利用可","不可")</f>
        <v>不可</v>
      </c>
      <c r="AY859" s="30" t="str">
        <f aca="false">IF(AND(AQ859="利用可",AT859="利用可",AW859="利用可"),"利用可","不可")</f>
        <v>不可</v>
      </c>
    </row>
    <row r="860" customFormat="false" ht="15" hidden="false" customHeight="false" outlineLevel="0" collapsed="false">
      <c r="A860" s="29" t="n">
        <v>46267</v>
      </c>
      <c r="B860" s="30" t="n">
        <v>17</v>
      </c>
      <c r="C860" s="31" t="s">
        <v>58</v>
      </c>
      <c r="D860" s="31" t="s">
        <v>59</v>
      </c>
      <c r="E860" s="30" t="n">
        <v>60</v>
      </c>
      <c r="F860" s="30" t="n">
        <v>60</v>
      </c>
      <c r="G860" s="30" t="str">
        <f aca="false">IF(E860&lt;判定条件!$C$6,"判定不能",IF(F860&gt;=判定条件!$C$7*E860,"運転",IF(F860&lt;=判定条件!$C$8*E860,"停止","断続")))</f>
        <v>運転</v>
      </c>
      <c r="H860" s="30" t="n">
        <v>0</v>
      </c>
      <c r="I860" s="30" t="n">
        <v>0</v>
      </c>
      <c r="J860" s="30" t="str">
        <f aca="false">IF(H860&lt;判定条件!$C$6,"判定不能",IF(I860&gt;=判定条件!$C$7*H860,"運転",IF(I860&lt;=判定条件!$C$8*H860,"停止","断続")))</f>
        <v>判定不能</v>
      </c>
      <c r="K860" s="30" t="n">
        <v>60</v>
      </c>
      <c r="L860" s="30" t="n">
        <v>60</v>
      </c>
      <c r="M860" s="30" t="str">
        <f aca="false">IF(K860&lt;判定条件!$C$6,"判定不能",IF(L860&gt;=判定条件!$C$7*K860,"運転",IF(L860&lt;=判定条件!$C$8*K860,"停止","断続")))</f>
        <v>運転</v>
      </c>
      <c r="N860" s="30" t="n">
        <v>60</v>
      </c>
      <c r="O860" s="30" t="n">
        <v>46</v>
      </c>
      <c r="P860" s="30" t="str">
        <f aca="false">IF(N860&lt;判定条件!$C$6,"判定不能",IF(O860&gt;=判定条件!$C$7*N860,"運転",IF(O860&lt;=判定条件!$C$8*N860,"停止","断続")))</f>
        <v>断続</v>
      </c>
      <c r="Q860" s="30" t="n">
        <v>60</v>
      </c>
      <c r="R860" s="30" t="n">
        <v>60</v>
      </c>
      <c r="S860" s="30" t="str">
        <f aca="false">IF(Q860&lt;判定条件!$C$6,"判定不能",IF(R860&gt;=判定条件!$C$7*Q860,"運転",IF(R860&lt;=判定条件!$C$8*Q860,"停止","断続")))</f>
        <v>運転</v>
      </c>
      <c r="T860" s="30" t="n">
        <v>60</v>
      </c>
      <c r="U860" s="30" t="n">
        <v>54</v>
      </c>
      <c r="V860" s="30" t="str">
        <f aca="false">IF(T860&lt;判定条件!$C$6,"判定不能",IF(U860&gt;=判定条件!$C$7*T860,"運転",IF(U860&lt;=判定条件!$C$8*T860,"停止","断続")))</f>
        <v>運転</v>
      </c>
      <c r="W860" s="30" t="n">
        <v>60</v>
      </c>
      <c r="X860" s="30" t="n">
        <v>60</v>
      </c>
      <c r="Y860" s="30" t="str">
        <f aca="false">IF(W860&lt;判定条件!$C$6,"判定不能",IF(X860&gt;=判定条件!$C$7*W860,"運転",IF(X860&lt;=判定条件!$C$8*W860,"停止","断続")))</f>
        <v>運転</v>
      </c>
      <c r="Z860" s="30" t="n">
        <v>60</v>
      </c>
      <c r="AA860" s="30" t="n">
        <v>9</v>
      </c>
      <c r="AB860" s="30" t="str">
        <f aca="false">IF(Z860&lt;判定条件!$C$6,"判定不能",IF(AA860&gt;=判定条件!$C$7*Z860,"運転",IF(AA860&lt;=判定条件!$C$8*Z860,"停止","断続")))</f>
        <v>停止</v>
      </c>
      <c r="AC860" s="30" t="n">
        <v>60</v>
      </c>
      <c r="AD860" s="30" t="n">
        <v>41</v>
      </c>
      <c r="AE860" s="30" t="str">
        <f aca="false">IF(AC860&lt;判定条件!$C$6,"判定不能",IF(AD860&gt;=判定条件!$C$7*AC860,"運転",IF(AD860&lt;=判定条件!$C$8*AC860,"停止","断続")))</f>
        <v>断続</v>
      </c>
      <c r="AF860" s="30" t="n">
        <v>60</v>
      </c>
      <c r="AG860" s="30" t="n">
        <v>46</v>
      </c>
      <c r="AH860" s="30" t="str">
        <f aca="false">IF(OR(P860="判定不能",G860="判定不能"),"判定不能",IF(AG860&gt;=判定条件!$C$9,"利用可",IF(AND(P860="停止",G860="停止"),"両方停止","運転がそろわない")))</f>
        <v>利用可</v>
      </c>
      <c r="AI860" s="30" t="n">
        <v>0</v>
      </c>
      <c r="AJ860" s="30" t="n">
        <v>0</v>
      </c>
      <c r="AK860" s="30" t="str">
        <f aca="false">IF(OR(S860="判定不能",J860="判定不能"),"判定不能",IF(AJ860&gt;=判定条件!$C$9,"利用可",IF(AND(S860="停止",J860="停止"),"両方停止","運転がそろわない")))</f>
        <v>判定不能</v>
      </c>
      <c r="AL860" s="30" t="n">
        <v>60</v>
      </c>
      <c r="AM860" s="30" t="n">
        <v>54</v>
      </c>
      <c r="AN860" s="30" t="str">
        <f aca="false">IF(OR(V860="判定不能",M860="判定不能"),"判定不能",IF(AM860&gt;=判定条件!$C$9,"利用可",IF(AND(V860="停止",M860="停止"),"両方停止","運転がそろわない")))</f>
        <v>利用可</v>
      </c>
      <c r="AO860" s="30" t="n">
        <v>60</v>
      </c>
      <c r="AP860" s="30" t="n">
        <v>60</v>
      </c>
      <c r="AQ860" s="30" t="str">
        <f aca="false">IF(OR(Y860="判定不能",G860="判定不能"),"判定不能",IF(AP860&gt;=判定条件!$C$9,"利用可",IF(AND(Y860="停止",G860="停止"),"両方停止","運転がそろわない")))</f>
        <v>利用可</v>
      </c>
      <c r="AR860" s="30" t="n">
        <v>0</v>
      </c>
      <c r="AS860" s="30" t="n">
        <v>0</v>
      </c>
      <c r="AT860" s="30" t="str">
        <f aca="false">IF(OR(AB860="判定不能",J860="判定不能"),"判定不能",IF(AS860&gt;=判定条件!$C$9,"利用可",IF(AND(AB860="停止",J860="停止"),"両方停止","運転がそろわない")))</f>
        <v>判定不能</v>
      </c>
      <c r="AU860" s="30" t="n">
        <v>60</v>
      </c>
      <c r="AV860" s="30" t="n">
        <v>41</v>
      </c>
      <c r="AW860" s="30" t="str">
        <f aca="false">IF(OR(AE860="判定不能",M860="判定不能"),"判定不能",IF(AV860&gt;=判定条件!$C$9,"利用可",IF(AND(AE860="停止",M860="停止"),"両方停止","運転がそろわない")))</f>
        <v>利用可</v>
      </c>
      <c r="AX860" s="30" t="str">
        <f aca="false">IF(AND(AH860="利用可",AK860="利用可",AN860="利用可"),"利用可","不可")</f>
        <v>不可</v>
      </c>
      <c r="AY860" s="30" t="str">
        <f aca="false">IF(AND(AQ860="利用可",AT860="利用可",AW860="利用可"),"利用可","不可")</f>
        <v>不可</v>
      </c>
    </row>
    <row r="861" customFormat="false" ht="15" hidden="false" customHeight="false" outlineLevel="0" collapsed="false">
      <c r="A861" s="29" t="n">
        <v>46267</v>
      </c>
      <c r="B861" s="30" t="n">
        <v>18</v>
      </c>
      <c r="C861" s="31" t="s">
        <v>58</v>
      </c>
      <c r="D861" s="31" t="s">
        <v>59</v>
      </c>
      <c r="E861" s="30" t="n">
        <v>60</v>
      </c>
      <c r="F861" s="30" t="n">
        <v>60</v>
      </c>
      <c r="G861" s="30" t="str">
        <f aca="false">IF(E861&lt;判定条件!$C$6,"判定不能",IF(F861&gt;=判定条件!$C$7*E861,"運転",IF(F861&lt;=判定条件!$C$8*E861,"停止","断続")))</f>
        <v>運転</v>
      </c>
      <c r="H861" s="30" t="n">
        <v>0</v>
      </c>
      <c r="I861" s="30" t="n">
        <v>0</v>
      </c>
      <c r="J861" s="30" t="str">
        <f aca="false">IF(H861&lt;判定条件!$C$6,"判定不能",IF(I861&gt;=判定条件!$C$7*H861,"運転",IF(I861&lt;=判定条件!$C$8*H861,"停止","断続")))</f>
        <v>判定不能</v>
      </c>
      <c r="K861" s="30" t="n">
        <v>60</v>
      </c>
      <c r="L861" s="30" t="n">
        <v>60</v>
      </c>
      <c r="M861" s="30" t="str">
        <f aca="false">IF(K861&lt;判定条件!$C$6,"判定不能",IF(L861&gt;=判定条件!$C$7*K861,"運転",IF(L861&lt;=判定条件!$C$8*K861,"停止","断続")))</f>
        <v>運転</v>
      </c>
      <c r="N861" s="30" t="n">
        <v>60</v>
      </c>
      <c r="O861" s="30" t="n">
        <v>52</v>
      </c>
      <c r="P861" s="30" t="str">
        <f aca="false">IF(N861&lt;判定条件!$C$6,"判定不能",IF(O861&gt;=判定条件!$C$7*N861,"運転",IF(O861&lt;=判定条件!$C$8*N861,"停止","断続")))</f>
        <v>運転</v>
      </c>
      <c r="Q861" s="30" t="n">
        <v>60</v>
      </c>
      <c r="R861" s="30" t="n">
        <v>9</v>
      </c>
      <c r="S861" s="30" t="str">
        <f aca="false">IF(Q861&lt;判定条件!$C$6,"判定不能",IF(R861&gt;=判定条件!$C$7*Q861,"運転",IF(R861&lt;=判定条件!$C$8*Q861,"停止","断続")))</f>
        <v>停止</v>
      </c>
      <c r="T861" s="30" t="n">
        <v>60</v>
      </c>
      <c r="U861" s="30" t="n">
        <v>0</v>
      </c>
      <c r="V861" s="30" t="str">
        <f aca="false">IF(T861&lt;判定条件!$C$6,"判定不能",IF(U861&gt;=判定条件!$C$7*T861,"運転",IF(U861&lt;=判定条件!$C$8*T861,"停止","断続")))</f>
        <v>停止</v>
      </c>
      <c r="W861" s="30" t="n">
        <v>60</v>
      </c>
      <c r="X861" s="30" t="n">
        <v>45</v>
      </c>
      <c r="Y861" s="30" t="str">
        <f aca="false">IF(W861&lt;判定条件!$C$6,"判定不能",IF(X861&gt;=判定条件!$C$7*W861,"運転",IF(X861&lt;=判定条件!$C$8*W861,"停止","断続")))</f>
        <v>断続</v>
      </c>
      <c r="Z861" s="30" t="n">
        <v>60</v>
      </c>
      <c r="AA861" s="30" t="n">
        <v>41</v>
      </c>
      <c r="AB861" s="30" t="str">
        <f aca="false">IF(Z861&lt;判定条件!$C$6,"判定不能",IF(AA861&gt;=判定条件!$C$7*Z861,"運転",IF(AA861&lt;=判定条件!$C$8*Z861,"停止","断続")))</f>
        <v>断続</v>
      </c>
      <c r="AC861" s="30" t="n">
        <v>60</v>
      </c>
      <c r="AD861" s="30" t="n">
        <v>40</v>
      </c>
      <c r="AE861" s="30" t="str">
        <f aca="false">IF(AC861&lt;判定条件!$C$6,"判定不能",IF(AD861&gt;=判定条件!$C$7*AC861,"運転",IF(AD861&lt;=判定条件!$C$8*AC861,"停止","断続")))</f>
        <v>断続</v>
      </c>
      <c r="AF861" s="30" t="n">
        <v>60</v>
      </c>
      <c r="AG861" s="30" t="n">
        <v>52</v>
      </c>
      <c r="AH861" s="30" t="str">
        <f aca="false">IF(OR(P861="判定不能",G861="判定不能"),"判定不能",IF(AG861&gt;=判定条件!$C$9,"利用可",IF(AND(P861="停止",G861="停止"),"両方停止","運転がそろわない")))</f>
        <v>利用可</v>
      </c>
      <c r="AI861" s="30" t="n">
        <v>0</v>
      </c>
      <c r="AJ861" s="30" t="n">
        <v>0</v>
      </c>
      <c r="AK861" s="30" t="str">
        <f aca="false">IF(OR(S861="判定不能",J861="判定不能"),"判定不能",IF(AJ861&gt;=判定条件!$C$9,"利用可",IF(AND(S861="停止",J861="停止"),"両方停止","運転がそろわない")))</f>
        <v>判定不能</v>
      </c>
      <c r="AL861" s="30" t="n">
        <v>60</v>
      </c>
      <c r="AM861" s="30" t="n">
        <v>0</v>
      </c>
      <c r="AN861" s="30" t="str">
        <f aca="false">IF(OR(V861="判定不能",M861="判定不能"),"判定不能",IF(AM861&gt;=判定条件!$C$9,"利用可",IF(AND(V861="停止",M861="停止"),"両方停止","運転がそろわない")))</f>
        <v>運転がそろわない</v>
      </c>
      <c r="AO861" s="30" t="n">
        <v>60</v>
      </c>
      <c r="AP861" s="30" t="n">
        <v>45</v>
      </c>
      <c r="AQ861" s="30" t="str">
        <f aca="false">IF(OR(Y861="判定不能",G861="判定不能"),"判定不能",IF(AP861&gt;=判定条件!$C$9,"利用可",IF(AND(Y861="停止",G861="停止"),"両方停止","運転がそろわない")))</f>
        <v>利用可</v>
      </c>
      <c r="AR861" s="30" t="n">
        <v>0</v>
      </c>
      <c r="AS861" s="30" t="n">
        <v>0</v>
      </c>
      <c r="AT861" s="30" t="str">
        <f aca="false">IF(OR(AB861="判定不能",J861="判定不能"),"判定不能",IF(AS861&gt;=判定条件!$C$9,"利用可",IF(AND(AB861="停止",J861="停止"),"両方停止","運転がそろわない")))</f>
        <v>判定不能</v>
      </c>
      <c r="AU861" s="30" t="n">
        <v>60</v>
      </c>
      <c r="AV861" s="30" t="n">
        <v>40</v>
      </c>
      <c r="AW861" s="30" t="str">
        <f aca="false">IF(OR(AE861="判定不能",M861="判定不能"),"判定不能",IF(AV861&gt;=判定条件!$C$9,"利用可",IF(AND(AE861="停止",M861="停止"),"両方停止","運転がそろわない")))</f>
        <v>利用可</v>
      </c>
      <c r="AX861" s="30" t="str">
        <f aca="false">IF(AND(AH861="利用可",AK861="利用可",AN861="利用可"),"利用可","不可")</f>
        <v>不可</v>
      </c>
      <c r="AY861" s="30" t="str">
        <f aca="false">IF(AND(AQ861="利用可",AT861="利用可",AW861="利用可"),"利用可","不可")</f>
        <v>不可</v>
      </c>
    </row>
    <row r="862" customFormat="false" ht="15" hidden="false" customHeight="false" outlineLevel="0" collapsed="false">
      <c r="A862" s="29" t="n">
        <v>46267</v>
      </c>
      <c r="B862" s="30" t="n">
        <v>19</v>
      </c>
      <c r="C862" s="31" t="s">
        <v>58</v>
      </c>
      <c r="D862" s="31" t="s">
        <v>59</v>
      </c>
      <c r="E862" s="30" t="n">
        <v>60</v>
      </c>
      <c r="F862" s="30" t="n">
        <v>60</v>
      </c>
      <c r="G862" s="30" t="str">
        <f aca="false">IF(E862&lt;判定条件!$C$6,"判定不能",IF(F862&gt;=判定条件!$C$7*E862,"運転",IF(F862&lt;=判定条件!$C$8*E862,"停止","断続")))</f>
        <v>運転</v>
      </c>
      <c r="H862" s="30" t="n">
        <v>0</v>
      </c>
      <c r="I862" s="30" t="n">
        <v>0</v>
      </c>
      <c r="J862" s="30" t="str">
        <f aca="false">IF(H862&lt;判定条件!$C$6,"判定不能",IF(I862&gt;=判定条件!$C$7*H862,"運転",IF(I862&lt;=判定条件!$C$8*H862,"停止","断続")))</f>
        <v>判定不能</v>
      </c>
      <c r="K862" s="30" t="n">
        <v>60</v>
      </c>
      <c r="L862" s="30" t="n">
        <v>60</v>
      </c>
      <c r="M862" s="30" t="str">
        <f aca="false">IF(K862&lt;判定条件!$C$6,"判定不能",IF(L862&gt;=判定条件!$C$7*K862,"運転",IF(L862&lt;=判定条件!$C$8*K862,"停止","断続")))</f>
        <v>運転</v>
      </c>
      <c r="N862" s="30" t="n">
        <v>60</v>
      </c>
      <c r="O862" s="30" t="n">
        <v>38</v>
      </c>
      <c r="P862" s="30" t="str">
        <f aca="false">IF(N862&lt;判定条件!$C$6,"判定不能",IF(O862&gt;=判定条件!$C$7*N862,"運転",IF(O862&lt;=判定条件!$C$8*N862,"停止","断続")))</f>
        <v>断続</v>
      </c>
      <c r="Q862" s="30" t="n">
        <v>60</v>
      </c>
      <c r="R862" s="30" t="n">
        <v>0</v>
      </c>
      <c r="S862" s="30" t="str">
        <f aca="false">IF(Q862&lt;判定条件!$C$6,"判定不能",IF(R862&gt;=判定条件!$C$7*Q862,"運転",IF(R862&lt;=判定条件!$C$8*Q862,"停止","断続")))</f>
        <v>停止</v>
      </c>
      <c r="T862" s="30" t="n">
        <v>60</v>
      </c>
      <c r="U862" s="30" t="n">
        <v>0</v>
      </c>
      <c r="V862" s="30" t="str">
        <f aca="false">IF(T862&lt;判定条件!$C$6,"判定不能",IF(U862&gt;=判定条件!$C$7*T862,"運転",IF(U862&lt;=判定条件!$C$8*T862,"停止","断続")))</f>
        <v>停止</v>
      </c>
      <c r="W862" s="30" t="n">
        <v>60</v>
      </c>
      <c r="X862" s="30" t="n">
        <v>0</v>
      </c>
      <c r="Y862" s="30" t="str">
        <f aca="false">IF(W862&lt;判定条件!$C$6,"判定不能",IF(X862&gt;=判定条件!$C$7*W862,"運転",IF(X862&lt;=判定条件!$C$8*W862,"停止","断続")))</f>
        <v>停止</v>
      </c>
      <c r="Z862" s="30" t="n">
        <v>60</v>
      </c>
      <c r="AA862" s="30" t="n">
        <v>5</v>
      </c>
      <c r="AB862" s="30" t="str">
        <f aca="false">IF(Z862&lt;判定条件!$C$6,"判定不能",IF(AA862&gt;=判定条件!$C$7*Z862,"運転",IF(AA862&lt;=判定条件!$C$8*Z862,"停止","断続")))</f>
        <v>停止</v>
      </c>
      <c r="AC862" s="30" t="n">
        <v>60</v>
      </c>
      <c r="AD862" s="30" t="n">
        <v>11</v>
      </c>
      <c r="AE862" s="30" t="str">
        <f aca="false">IF(AC862&lt;判定条件!$C$6,"判定不能",IF(AD862&gt;=判定条件!$C$7*AC862,"運転",IF(AD862&lt;=判定条件!$C$8*AC862,"停止","断続")))</f>
        <v>停止</v>
      </c>
      <c r="AF862" s="30" t="n">
        <v>60</v>
      </c>
      <c r="AG862" s="30" t="n">
        <v>38</v>
      </c>
      <c r="AH862" s="30" t="str">
        <f aca="false">IF(OR(P862="判定不能",G862="判定不能"),"判定不能",IF(AG862&gt;=判定条件!$C$9,"利用可",IF(AND(P862="停止",G862="停止"),"両方停止","運転がそろわない")))</f>
        <v>利用可</v>
      </c>
      <c r="AI862" s="30" t="n">
        <v>0</v>
      </c>
      <c r="AJ862" s="30" t="n">
        <v>0</v>
      </c>
      <c r="AK862" s="30" t="str">
        <f aca="false">IF(OR(S862="判定不能",J862="判定不能"),"判定不能",IF(AJ862&gt;=判定条件!$C$9,"利用可",IF(AND(S862="停止",J862="停止"),"両方停止","運転がそろわない")))</f>
        <v>判定不能</v>
      </c>
      <c r="AL862" s="30" t="n">
        <v>60</v>
      </c>
      <c r="AM862" s="30" t="n">
        <v>0</v>
      </c>
      <c r="AN862" s="30" t="str">
        <f aca="false">IF(OR(V862="判定不能",M862="判定不能"),"判定不能",IF(AM862&gt;=判定条件!$C$9,"利用可",IF(AND(V862="停止",M862="停止"),"両方停止","運転がそろわない")))</f>
        <v>運転がそろわない</v>
      </c>
      <c r="AO862" s="30" t="n">
        <v>60</v>
      </c>
      <c r="AP862" s="30" t="n">
        <v>0</v>
      </c>
      <c r="AQ862" s="30" t="str">
        <f aca="false">IF(OR(Y862="判定不能",G862="判定不能"),"判定不能",IF(AP862&gt;=判定条件!$C$9,"利用可",IF(AND(Y862="停止",G862="停止"),"両方停止","運転がそろわない")))</f>
        <v>運転がそろわない</v>
      </c>
      <c r="AR862" s="30" t="n">
        <v>0</v>
      </c>
      <c r="AS862" s="30" t="n">
        <v>0</v>
      </c>
      <c r="AT862" s="30" t="str">
        <f aca="false">IF(OR(AB862="判定不能",J862="判定不能"),"判定不能",IF(AS862&gt;=判定条件!$C$9,"利用可",IF(AND(AB862="停止",J862="停止"),"両方停止","運転がそろわない")))</f>
        <v>判定不能</v>
      </c>
      <c r="AU862" s="30" t="n">
        <v>60</v>
      </c>
      <c r="AV862" s="30" t="n">
        <v>11</v>
      </c>
      <c r="AW862" s="30" t="str">
        <f aca="false">IF(OR(AE862="判定不能",M862="判定不能"),"判定不能",IF(AV862&gt;=判定条件!$C$9,"利用可",IF(AND(AE862="停止",M862="停止"),"両方停止","運転がそろわない")))</f>
        <v>運転がそろわない</v>
      </c>
      <c r="AX862" s="30" t="str">
        <f aca="false">IF(AND(AH862="利用可",AK862="利用可",AN862="利用可"),"利用可","不可")</f>
        <v>不可</v>
      </c>
      <c r="AY862" s="30" t="str">
        <f aca="false">IF(AND(AQ862="利用可",AT862="利用可",AW862="利用可"),"利用可","不可")</f>
        <v>不可</v>
      </c>
    </row>
    <row r="863" customFormat="false" ht="15" hidden="false" customHeight="false" outlineLevel="0" collapsed="false">
      <c r="A863" s="29" t="n">
        <v>46267</v>
      </c>
      <c r="B863" s="30" t="n">
        <v>20</v>
      </c>
      <c r="C863" s="31" t="s">
        <v>58</v>
      </c>
      <c r="D863" s="31" t="s">
        <v>59</v>
      </c>
      <c r="E863" s="30" t="n">
        <v>60</v>
      </c>
      <c r="F863" s="30" t="n">
        <v>46</v>
      </c>
      <c r="G863" s="30" t="str">
        <f aca="false">IF(E863&lt;判定条件!$C$6,"判定不能",IF(F863&gt;=判定条件!$C$7*E863,"運転",IF(F863&lt;=判定条件!$C$8*E863,"停止","断続")))</f>
        <v>断続</v>
      </c>
      <c r="H863" s="30" t="n">
        <v>0</v>
      </c>
      <c r="I863" s="30" t="n">
        <v>0</v>
      </c>
      <c r="J863" s="30" t="str">
        <f aca="false">IF(H863&lt;判定条件!$C$6,"判定不能",IF(I863&gt;=判定条件!$C$7*H863,"運転",IF(I863&lt;=判定条件!$C$8*H863,"停止","断続")))</f>
        <v>判定不能</v>
      </c>
      <c r="K863" s="30" t="n">
        <v>60</v>
      </c>
      <c r="L863" s="30" t="n">
        <v>60</v>
      </c>
      <c r="M863" s="30" t="str">
        <f aca="false">IF(K863&lt;判定条件!$C$6,"判定不能",IF(L863&gt;=判定条件!$C$7*K863,"運転",IF(L863&lt;=判定条件!$C$8*K863,"停止","断続")))</f>
        <v>運転</v>
      </c>
      <c r="N863" s="30" t="n">
        <v>60</v>
      </c>
      <c r="O863" s="30" t="n">
        <v>12</v>
      </c>
      <c r="P863" s="30" t="str">
        <f aca="false">IF(N863&lt;判定条件!$C$6,"判定不能",IF(O863&gt;=判定条件!$C$7*N863,"運転",IF(O863&lt;=判定条件!$C$8*N863,"停止","断続")))</f>
        <v>停止</v>
      </c>
      <c r="Q863" s="30" t="n">
        <v>60</v>
      </c>
      <c r="R863" s="30" t="n">
        <v>0</v>
      </c>
      <c r="S863" s="30" t="str">
        <f aca="false">IF(Q863&lt;判定条件!$C$6,"判定不能",IF(R863&gt;=判定条件!$C$7*Q863,"運転",IF(R863&lt;=判定条件!$C$8*Q863,"停止","断続")))</f>
        <v>停止</v>
      </c>
      <c r="T863" s="30" t="n">
        <v>60</v>
      </c>
      <c r="U863" s="30" t="n">
        <v>0</v>
      </c>
      <c r="V863" s="30" t="str">
        <f aca="false">IF(T863&lt;判定条件!$C$6,"判定不能",IF(U863&gt;=判定条件!$C$7*T863,"運転",IF(U863&lt;=判定条件!$C$8*T863,"停止","断続")))</f>
        <v>停止</v>
      </c>
      <c r="W863" s="30" t="n">
        <v>60</v>
      </c>
      <c r="X863" s="30" t="n">
        <v>0</v>
      </c>
      <c r="Y863" s="30" t="str">
        <f aca="false">IF(W863&lt;判定条件!$C$6,"判定不能",IF(X863&gt;=判定条件!$C$7*W863,"運転",IF(X863&lt;=判定条件!$C$8*W863,"停止","断続")))</f>
        <v>停止</v>
      </c>
      <c r="Z863" s="30" t="n">
        <v>60</v>
      </c>
      <c r="AA863" s="30" t="n">
        <v>0</v>
      </c>
      <c r="AB863" s="30" t="str">
        <f aca="false">IF(Z863&lt;判定条件!$C$6,"判定不能",IF(AA863&gt;=判定条件!$C$7*Z863,"運転",IF(AA863&lt;=判定条件!$C$8*Z863,"停止","断続")))</f>
        <v>停止</v>
      </c>
      <c r="AC863" s="30" t="n">
        <v>60</v>
      </c>
      <c r="AD863" s="30" t="n">
        <v>0</v>
      </c>
      <c r="AE863" s="30" t="str">
        <f aca="false">IF(AC863&lt;判定条件!$C$6,"判定不能",IF(AD863&gt;=判定条件!$C$7*AC863,"運転",IF(AD863&lt;=判定条件!$C$8*AC863,"停止","断続")))</f>
        <v>停止</v>
      </c>
      <c r="AF863" s="30" t="n">
        <v>60</v>
      </c>
      <c r="AG863" s="30" t="n">
        <v>12</v>
      </c>
      <c r="AH863" s="30" t="str">
        <f aca="false">IF(OR(P863="判定不能",G863="判定不能"),"判定不能",IF(AG863&gt;=判定条件!$C$9,"利用可",IF(AND(P863="停止",G863="停止"),"両方停止","運転がそろわない")))</f>
        <v>運転がそろわない</v>
      </c>
      <c r="AI863" s="30" t="n">
        <v>0</v>
      </c>
      <c r="AJ863" s="30" t="n">
        <v>0</v>
      </c>
      <c r="AK863" s="30" t="str">
        <f aca="false">IF(OR(S863="判定不能",J863="判定不能"),"判定不能",IF(AJ863&gt;=判定条件!$C$9,"利用可",IF(AND(S863="停止",J863="停止"),"両方停止","運転がそろわない")))</f>
        <v>判定不能</v>
      </c>
      <c r="AL863" s="30" t="n">
        <v>60</v>
      </c>
      <c r="AM863" s="30" t="n">
        <v>0</v>
      </c>
      <c r="AN863" s="30" t="str">
        <f aca="false">IF(OR(V863="判定不能",M863="判定不能"),"判定不能",IF(AM863&gt;=判定条件!$C$9,"利用可",IF(AND(V863="停止",M863="停止"),"両方停止","運転がそろわない")))</f>
        <v>運転がそろわない</v>
      </c>
      <c r="AO863" s="30" t="n">
        <v>60</v>
      </c>
      <c r="AP863" s="30" t="n">
        <v>0</v>
      </c>
      <c r="AQ863" s="30" t="str">
        <f aca="false">IF(OR(Y863="判定不能",G863="判定不能"),"判定不能",IF(AP863&gt;=判定条件!$C$9,"利用可",IF(AND(Y863="停止",G863="停止"),"両方停止","運転がそろわない")))</f>
        <v>運転がそろわない</v>
      </c>
      <c r="AR863" s="30" t="n">
        <v>0</v>
      </c>
      <c r="AS863" s="30" t="n">
        <v>0</v>
      </c>
      <c r="AT863" s="30" t="str">
        <f aca="false">IF(OR(AB863="判定不能",J863="判定不能"),"判定不能",IF(AS863&gt;=判定条件!$C$9,"利用可",IF(AND(AB863="停止",J863="停止"),"両方停止","運転がそろわない")))</f>
        <v>判定不能</v>
      </c>
      <c r="AU863" s="30" t="n">
        <v>60</v>
      </c>
      <c r="AV863" s="30" t="n">
        <v>0</v>
      </c>
      <c r="AW863" s="30" t="str">
        <f aca="false">IF(OR(AE863="判定不能",M863="判定不能"),"判定不能",IF(AV863&gt;=判定条件!$C$9,"利用可",IF(AND(AE863="停止",M863="停止"),"両方停止","運転がそろわない")))</f>
        <v>運転がそろわない</v>
      </c>
      <c r="AX863" s="30" t="str">
        <f aca="false">IF(AND(AH863="利用可",AK863="利用可",AN863="利用可"),"利用可","不可")</f>
        <v>不可</v>
      </c>
      <c r="AY863" s="30" t="str">
        <f aca="false">IF(AND(AQ863="利用可",AT863="利用可",AW863="利用可"),"利用可","不可")</f>
        <v>不可</v>
      </c>
    </row>
    <row r="864" customFormat="false" ht="15" hidden="false" customHeight="false" outlineLevel="0" collapsed="false">
      <c r="A864" s="29" t="n">
        <v>46267</v>
      </c>
      <c r="B864" s="30" t="n">
        <v>21</v>
      </c>
      <c r="C864" s="31" t="s">
        <v>58</v>
      </c>
      <c r="D864" s="31" t="s">
        <v>59</v>
      </c>
      <c r="E864" s="30" t="n">
        <v>60</v>
      </c>
      <c r="F864" s="30" t="n">
        <v>38</v>
      </c>
      <c r="G864" s="30" t="str">
        <f aca="false">IF(E864&lt;判定条件!$C$6,"判定不能",IF(F864&gt;=判定条件!$C$7*E864,"運転",IF(F864&lt;=判定条件!$C$8*E864,"停止","断続")))</f>
        <v>断続</v>
      </c>
      <c r="H864" s="30" t="n">
        <v>0</v>
      </c>
      <c r="I864" s="30" t="n">
        <v>0</v>
      </c>
      <c r="J864" s="30" t="str">
        <f aca="false">IF(H864&lt;判定条件!$C$6,"判定不能",IF(I864&gt;=判定条件!$C$7*H864,"運転",IF(I864&lt;=判定条件!$C$8*H864,"停止","断続")))</f>
        <v>判定不能</v>
      </c>
      <c r="K864" s="30" t="n">
        <v>60</v>
      </c>
      <c r="L864" s="30" t="n">
        <v>60</v>
      </c>
      <c r="M864" s="30" t="str">
        <f aca="false">IF(K864&lt;判定条件!$C$6,"判定不能",IF(L864&gt;=判定条件!$C$7*K864,"運転",IF(L864&lt;=判定条件!$C$8*K864,"停止","断続")))</f>
        <v>運転</v>
      </c>
      <c r="N864" s="30" t="n">
        <v>60</v>
      </c>
      <c r="O864" s="30" t="n">
        <v>0</v>
      </c>
      <c r="P864" s="30" t="str">
        <f aca="false">IF(N864&lt;判定条件!$C$6,"判定不能",IF(O864&gt;=判定条件!$C$7*N864,"運転",IF(O864&lt;=判定条件!$C$8*N864,"停止","断続")))</f>
        <v>停止</v>
      </c>
      <c r="Q864" s="30" t="n">
        <v>60</v>
      </c>
      <c r="R864" s="30" t="n">
        <v>0</v>
      </c>
      <c r="S864" s="30" t="str">
        <f aca="false">IF(Q864&lt;判定条件!$C$6,"判定不能",IF(R864&gt;=判定条件!$C$7*Q864,"運転",IF(R864&lt;=判定条件!$C$8*Q864,"停止","断続")))</f>
        <v>停止</v>
      </c>
      <c r="T864" s="30" t="n">
        <v>60</v>
      </c>
      <c r="U864" s="30" t="n">
        <v>0</v>
      </c>
      <c r="V864" s="30" t="str">
        <f aca="false">IF(T864&lt;判定条件!$C$6,"判定不能",IF(U864&gt;=判定条件!$C$7*T864,"運転",IF(U864&lt;=判定条件!$C$8*T864,"停止","断続")))</f>
        <v>停止</v>
      </c>
      <c r="W864" s="30" t="n">
        <v>60</v>
      </c>
      <c r="X864" s="30" t="n">
        <v>0</v>
      </c>
      <c r="Y864" s="30" t="str">
        <f aca="false">IF(W864&lt;判定条件!$C$6,"判定不能",IF(X864&gt;=判定条件!$C$7*W864,"運転",IF(X864&lt;=判定条件!$C$8*W864,"停止","断続")))</f>
        <v>停止</v>
      </c>
      <c r="Z864" s="30" t="n">
        <v>60</v>
      </c>
      <c r="AA864" s="30" t="n">
        <v>0</v>
      </c>
      <c r="AB864" s="30" t="str">
        <f aca="false">IF(Z864&lt;判定条件!$C$6,"判定不能",IF(AA864&gt;=判定条件!$C$7*Z864,"運転",IF(AA864&lt;=判定条件!$C$8*Z864,"停止","断続")))</f>
        <v>停止</v>
      </c>
      <c r="AC864" s="30" t="n">
        <v>60</v>
      </c>
      <c r="AD864" s="30" t="n">
        <v>0</v>
      </c>
      <c r="AE864" s="30" t="str">
        <f aca="false">IF(AC864&lt;判定条件!$C$6,"判定不能",IF(AD864&gt;=判定条件!$C$7*AC864,"運転",IF(AD864&lt;=判定条件!$C$8*AC864,"停止","断続")))</f>
        <v>停止</v>
      </c>
      <c r="AF864" s="30" t="n">
        <v>60</v>
      </c>
      <c r="AG864" s="30" t="n">
        <v>0</v>
      </c>
      <c r="AH864" s="30" t="str">
        <f aca="false">IF(OR(P864="判定不能",G864="判定不能"),"判定不能",IF(AG864&gt;=判定条件!$C$9,"利用可",IF(AND(P864="停止",G864="停止"),"両方停止","運転がそろわない")))</f>
        <v>運転がそろわない</v>
      </c>
      <c r="AI864" s="30" t="n">
        <v>0</v>
      </c>
      <c r="AJ864" s="30" t="n">
        <v>0</v>
      </c>
      <c r="AK864" s="30" t="str">
        <f aca="false">IF(OR(S864="判定不能",J864="判定不能"),"判定不能",IF(AJ864&gt;=判定条件!$C$9,"利用可",IF(AND(S864="停止",J864="停止"),"両方停止","運転がそろわない")))</f>
        <v>判定不能</v>
      </c>
      <c r="AL864" s="30" t="n">
        <v>60</v>
      </c>
      <c r="AM864" s="30" t="n">
        <v>0</v>
      </c>
      <c r="AN864" s="30" t="str">
        <f aca="false">IF(OR(V864="判定不能",M864="判定不能"),"判定不能",IF(AM864&gt;=判定条件!$C$9,"利用可",IF(AND(V864="停止",M864="停止"),"両方停止","運転がそろわない")))</f>
        <v>運転がそろわない</v>
      </c>
      <c r="AO864" s="30" t="n">
        <v>60</v>
      </c>
      <c r="AP864" s="30" t="n">
        <v>0</v>
      </c>
      <c r="AQ864" s="30" t="str">
        <f aca="false">IF(OR(Y864="判定不能",G864="判定不能"),"判定不能",IF(AP864&gt;=判定条件!$C$9,"利用可",IF(AND(Y864="停止",G864="停止"),"両方停止","運転がそろわない")))</f>
        <v>運転がそろわない</v>
      </c>
      <c r="AR864" s="30" t="n">
        <v>0</v>
      </c>
      <c r="AS864" s="30" t="n">
        <v>0</v>
      </c>
      <c r="AT864" s="30" t="str">
        <f aca="false">IF(OR(AB864="判定不能",J864="判定不能"),"判定不能",IF(AS864&gt;=判定条件!$C$9,"利用可",IF(AND(AB864="停止",J864="停止"),"両方停止","運転がそろわない")))</f>
        <v>判定不能</v>
      </c>
      <c r="AU864" s="30" t="n">
        <v>60</v>
      </c>
      <c r="AV864" s="30" t="n">
        <v>0</v>
      </c>
      <c r="AW864" s="30" t="str">
        <f aca="false">IF(OR(AE864="判定不能",M864="判定不能"),"判定不能",IF(AV864&gt;=判定条件!$C$9,"利用可",IF(AND(AE864="停止",M864="停止"),"両方停止","運転がそろわない")))</f>
        <v>運転がそろわない</v>
      </c>
      <c r="AX864" s="30" t="str">
        <f aca="false">IF(AND(AH864="利用可",AK864="利用可",AN864="利用可"),"利用可","不可")</f>
        <v>不可</v>
      </c>
      <c r="AY864" s="30" t="str">
        <f aca="false">IF(AND(AQ864="利用可",AT864="利用可",AW864="利用可"),"利用可","不可")</f>
        <v>不可</v>
      </c>
    </row>
    <row r="865" customFormat="false" ht="15" hidden="false" customHeight="false" outlineLevel="0" collapsed="false">
      <c r="A865" s="29" t="n">
        <v>46267</v>
      </c>
      <c r="B865" s="30" t="n">
        <v>22</v>
      </c>
      <c r="C865" s="31" t="s">
        <v>58</v>
      </c>
      <c r="D865" s="31" t="s">
        <v>59</v>
      </c>
      <c r="E865" s="30" t="n">
        <v>60</v>
      </c>
      <c r="F865" s="30" t="n">
        <v>16</v>
      </c>
      <c r="G865" s="30" t="str">
        <f aca="false">IF(E865&lt;判定条件!$C$6,"判定不能",IF(F865&gt;=判定条件!$C$7*E865,"運転",IF(F865&lt;=判定条件!$C$8*E865,"停止","断続")))</f>
        <v>断続</v>
      </c>
      <c r="H865" s="30" t="n">
        <v>0</v>
      </c>
      <c r="I865" s="30" t="n">
        <v>0</v>
      </c>
      <c r="J865" s="30" t="str">
        <f aca="false">IF(H865&lt;判定条件!$C$6,"判定不能",IF(I865&gt;=判定条件!$C$7*H865,"運転",IF(I865&lt;=判定条件!$C$8*H865,"停止","断続")))</f>
        <v>判定不能</v>
      </c>
      <c r="K865" s="30" t="n">
        <v>60</v>
      </c>
      <c r="L865" s="30" t="n">
        <v>60</v>
      </c>
      <c r="M865" s="30" t="str">
        <f aca="false">IF(K865&lt;判定条件!$C$6,"判定不能",IF(L865&gt;=判定条件!$C$7*K865,"運転",IF(L865&lt;=判定条件!$C$8*K865,"停止","断続")))</f>
        <v>運転</v>
      </c>
      <c r="N865" s="30" t="n">
        <v>60</v>
      </c>
      <c r="O865" s="30" t="n">
        <v>0</v>
      </c>
      <c r="P865" s="30" t="str">
        <f aca="false">IF(N865&lt;判定条件!$C$6,"判定不能",IF(O865&gt;=判定条件!$C$7*N865,"運転",IF(O865&lt;=判定条件!$C$8*N865,"停止","断続")))</f>
        <v>停止</v>
      </c>
      <c r="Q865" s="30" t="n">
        <v>60</v>
      </c>
      <c r="R865" s="30" t="n">
        <v>0</v>
      </c>
      <c r="S865" s="30" t="str">
        <f aca="false">IF(Q865&lt;判定条件!$C$6,"判定不能",IF(R865&gt;=判定条件!$C$7*Q865,"運転",IF(R865&lt;=判定条件!$C$8*Q865,"停止","断続")))</f>
        <v>停止</v>
      </c>
      <c r="T865" s="30" t="n">
        <v>60</v>
      </c>
      <c r="U865" s="30" t="n">
        <v>0</v>
      </c>
      <c r="V865" s="30" t="str">
        <f aca="false">IF(T865&lt;判定条件!$C$6,"判定不能",IF(U865&gt;=判定条件!$C$7*T865,"運転",IF(U865&lt;=判定条件!$C$8*T865,"停止","断続")))</f>
        <v>停止</v>
      </c>
      <c r="W865" s="30" t="n">
        <v>60</v>
      </c>
      <c r="X865" s="30" t="n">
        <v>0</v>
      </c>
      <c r="Y865" s="30" t="str">
        <f aca="false">IF(W865&lt;判定条件!$C$6,"判定不能",IF(X865&gt;=判定条件!$C$7*W865,"運転",IF(X865&lt;=判定条件!$C$8*W865,"停止","断続")))</f>
        <v>停止</v>
      </c>
      <c r="Z865" s="30" t="n">
        <v>60</v>
      </c>
      <c r="AA865" s="30" t="n">
        <v>0</v>
      </c>
      <c r="AB865" s="30" t="str">
        <f aca="false">IF(Z865&lt;判定条件!$C$6,"判定不能",IF(AA865&gt;=判定条件!$C$7*Z865,"運転",IF(AA865&lt;=判定条件!$C$8*Z865,"停止","断続")))</f>
        <v>停止</v>
      </c>
      <c r="AC865" s="30" t="n">
        <v>60</v>
      </c>
      <c r="AD865" s="30" t="n">
        <v>0</v>
      </c>
      <c r="AE865" s="30" t="str">
        <f aca="false">IF(AC865&lt;判定条件!$C$6,"判定不能",IF(AD865&gt;=判定条件!$C$7*AC865,"運転",IF(AD865&lt;=判定条件!$C$8*AC865,"停止","断続")))</f>
        <v>停止</v>
      </c>
      <c r="AF865" s="30" t="n">
        <v>60</v>
      </c>
      <c r="AG865" s="30" t="n">
        <v>0</v>
      </c>
      <c r="AH865" s="30" t="str">
        <f aca="false">IF(OR(P865="判定不能",G865="判定不能"),"判定不能",IF(AG865&gt;=判定条件!$C$9,"利用可",IF(AND(P865="停止",G865="停止"),"両方停止","運転がそろわない")))</f>
        <v>運転がそろわない</v>
      </c>
      <c r="AI865" s="30" t="n">
        <v>0</v>
      </c>
      <c r="AJ865" s="30" t="n">
        <v>0</v>
      </c>
      <c r="AK865" s="30" t="str">
        <f aca="false">IF(OR(S865="判定不能",J865="判定不能"),"判定不能",IF(AJ865&gt;=判定条件!$C$9,"利用可",IF(AND(S865="停止",J865="停止"),"両方停止","運転がそろわない")))</f>
        <v>判定不能</v>
      </c>
      <c r="AL865" s="30" t="n">
        <v>60</v>
      </c>
      <c r="AM865" s="30" t="n">
        <v>0</v>
      </c>
      <c r="AN865" s="30" t="str">
        <f aca="false">IF(OR(V865="判定不能",M865="判定不能"),"判定不能",IF(AM865&gt;=判定条件!$C$9,"利用可",IF(AND(V865="停止",M865="停止"),"両方停止","運転がそろわない")))</f>
        <v>運転がそろわない</v>
      </c>
      <c r="AO865" s="30" t="n">
        <v>60</v>
      </c>
      <c r="AP865" s="30" t="n">
        <v>0</v>
      </c>
      <c r="AQ865" s="30" t="str">
        <f aca="false">IF(OR(Y865="判定不能",G865="判定不能"),"判定不能",IF(AP865&gt;=判定条件!$C$9,"利用可",IF(AND(Y865="停止",G865="停止"),"両方停止","運転がそろわない")))</f>
        <v>運転がそろわない</v>
      </c>
      <c r="AR865" s="30" t="n">
        <v>0</v>
      </c>
      <c r="AS865" s="30" t="n">
        <v>0</v>
      </c>
      <c r="AT865" s="30" t="str">
        <f aca="false">IF(OR(AB865="判定不能",J865="判定不能"),"判定不能",IF(AS865&gt;=判定条件!$C$9,"利用可",IF(AND(AB865="停止",J865="停止"),"両方停止","運転がそろわない")))</f>
        <v>判定不能</v>
      </c>
      <c r="AU865" s="30" t="n">
        <v>60</v>
      </c>
      <c r="AV865" s="30" t="n">
        <v>0</v>
      </c>
      <c r="AW865" s="30" t="str">
        <f aca="false">IF(OR(AE865="判定不能",M865="判定不能"),"判定不能",IF(AV865&gt;=判定条件!$C$9,"利用可",IF(AND(AE865="停止",M865="停止"),"両方停止","運転がそろわない")))</f>
        <v>運転がそろわない</v>
      </c>
      <c r="AX865" s="30" t="str">
        <f aca="false">IF(AND(AH865="利用可",AK865="利用可",AN865="利用可"),"利用可","不可")</f>
        <v>不可</v>
      </c>
      <c r="AY865" s="30" t="str">
        <f aca="false">IF(AND(AQ865="利用可",AT865="利用可",AW865="利用可"),"利用可","不可")</f>
        <v>不可</v>
      </c>
    </row>
    <row r="866" customFormat="false" ht="15" hidden="false" customHeight="false" outlineLevel="0" collapsed="false">
      <c r="A866" s="29" t="n">
        <v>46267</v>
      </c>
      <c r="B866" s="30" t="n">
        <v>23</v>
      </c>
      <c r="C866" s="31" t="s">
        <v>58</v>
      </c>
      <c r="D866" s="31" t="s">
        <v>59</v>
      </c>
      <c r="E866" s="30" t="n">
        <v>60</v>
      </c>
      <c r="F866" s="30" t="n">
        <v>0</v>
      </c>
      <c r="G866" s="30" t="str">
        <f aca="false">IF(E866&lt;判定条件!$C$6,"判定不能",IF(F866&gt;=判定条件!$C$7*E866,"運転",IF(F866&lt;=判定条件!$C$8*E866,"停止","断続")))</f>
        <v>停止</v>
      </c>
      <c r="H866" s="30" t="n">
        <v>0</v>
      </c>
      <c r="I866" s="30" t="n">
        <v>0</v>
      </c>
      <c r="J866" s="30" t="str">
        <f aca="false">IF(H866&lt;判定条件!$C$6,"判定不能",IF(I866&gt;=判定条件!$C$7*H866,"運転",IF(I866&lt;=判定条件!$C$8*H866,"停止","断続")))</f>
        <v>判定不能</v>
      </c>
      <c r="K866" s="30" t="n">
        <v>60</v>
      </c>
      <c r="L866" s="30" t="n">
        <v>60</v>
      </c>
      <c r="M866" s="30" t="str">
        <f aca="false">IF(K866&lt;判定条件!$C$6,"判定不能",IF(L866&gt;=判定条件!$C$7*K866,"運転",IF(L866&lt;=判定条件!$C$8*K866,"停止","断続")))</f>
        <v>運転</v>
      </c>
      <c r="N866" s="30" t="n">
        <v>60</v>
      </c>
      <c r="O866" s="30" t="n">
        <v>0</v>
      </c>
      <c r="P866" s="30" t="str">
        <f aca="false">IF(N866&lt;判定条件!$C$6,"判定不能",IF(O866&gt;=判定条件!$C$7*N866,"運転",IF(O866&lt;=判定条件!$C$8*N866,"停止","断続")))</f>
        <v>停止</v>
      </c>
      <c r="Q866" s="30" t="n">
        <v>60</v>
      </c>
      <c r="R866" s="30" t="n">
        <v>0</v>
      </c>
      <c r="S866" s="30" t="str">
        <f aca="false">IF(Q866&lt;判定条件!$C$6,"判定不能",IF(R866&gt;=判定条件!$C$7*Q866,"運転",IF(R866&lt;=判定条件!$C$8*Q866,"停止","断続")))</f>
        <v>停止</v>
      </c>
      <c r="T866" s="30" t="n">
        <v>60</v>
      </c>
      <c r="U866" s="30" t="n">
        <v>0</v>
      </c>
      <c r="V866" s="30" t="str">
        <f aca="false">IF(T866&lt;判定条件!$C$6,"判定不能",IF(U866&gt;=判定条件!$C$7*T866,"運転",IF(U866&lt;=判定条件!$C$8*T866,"停止","断続")))</f>
        <v>停止</v>
      </c>
      <c r="W866" s="30" t="n">
        <v>60</v>
      </c>
      <c r="X866" s="30" t="n">
        <v>0</v>
      </c>
      <c r="Y866" s="30" t="str">
        <f aca="false">IF(W866&lt;判定条件!$C$6,"判定不能",IF(X866&gt;=判定条件!$C$7*W866,"運転",IF(X866&lt;=判定条件!$C$8*W866,"停止","断続")))</f>
        <v>停止</v>
      </c>
      <c r="Z866" s="30" t="n">
        <v>60</v>
      </c>
      <c r="AA866" s="30" t="n">
        <v>0</v>
      </c>
      <c r="AB866" s="30" t="str">
        <f aca="false">IF(Z866&lt;判定条件!$C$6,"判定不能",IF(AA866&gt;=判定条件!$C$7*Z866,"運転",IF(AA866&lt;=判定条件!$C$8*Z866,"停止","断続")))</f>
        <v>停止</v>
      </c>
      <c r="AC866" s="30" t="n">
        <v>60</v>
      </c>
      <c r="AD866" s="30" t="n">
        <v>0</v>
      </c>
      <c r="AE866" s="30" t="str">
        <f aca="false">IF(AC866&lt;判定条件!$C$6,"判定不能",IF(AD866&gt;=判定条件!$C$7*AC866,"運転",IF(AD866&lt;=判定条件!$C$8*AC866,"停止","断続")))</f>
        <v>停止</v>
      </c>
      <c r="AF866" s="30" t="n">
        <v>60</v>
      </c>
      <c r="AG866" s="30" t="n">
        <v>0</v>
      </c>
      <c r="AH866" s="30" t="str">
        <f aca="false">IF(OR(P866="判定不能",G866="判定不能"),"判定不能",IF(AG866&gt;=判定条件!$C$9,"利用可",IF(AND(P866="停止",G866="停止"),"両方停止","運転がそろわない")))</f>
        <v>両方停止</v>
      </c>
      <c r="AI866" s="30" t="n">
        <v>0</v>
      </c>
      <c r="AJ866" s="30" t="n">
        <v>0</v>
      </c>
      <c r="AK866" s="30" t="str">
        <f aca="false">IF(OR(S866="判定不能",J866="判定不能"),"判定不能",IF(AJ866&gt;=判定条件!$C$9,"利用可",IF(AND(S866="停止",J866="停止"),"両方停止","運転がそろわない")))</f>
        <v>判定不能</v>
      </c>
      <c r="AL866" s="30" t="n">
        <v>60</v>
      </c>
      <c r="AM866" s="30" t="n">
        <v>0</v>
      </c>
      <c r="AN866" s="30" t="str">
        <f aca="false">IF(OR(V866="判定不能",M866="判定不能"),"判定不能",IF(AM866&gt;=判定条件!$C$9,"利用可",IF(AND(V866="停止",M866="停止"),"両方停止","運転がそろわない")))</f>
        <v>運転がそろわない</v>
      </c>
      <c r="AO866" s="30" t="n">
        <v>60</v>
      </c>
      <c r="AP866" s="30" t="n">
        <v>0</v>
      </c>
      <c r="AQ866" s="30" t="str">
        <f aca="false">IF(OR(Y866="判定不能",G866="判定不能"),"判定不能",IF(AP866&gt;=判定条件!$C$9,"利用可",IF(AND(Y866="停止",G866="停止"),"両方停止","運転がそろわない")))</f>
        <v>両方停止</v>
      </c>
      <c r="AR866" s="30" t="n">
        <v>0</v>
      </c>
      <c r="AS866" s="30" t="n">
        <v>0</v>
      </c>
      <c r="AT866" s="30" t="str">
        <f aca="false">IF(OR(AB866="判定不能",J866="判定不能"),"判定不能",IF(AS866&gt;=判定条件!$C$9,"利用可",IF(AND(AB866="停止",J866="停止"),"両方停止","運転がそろわない")))</f>
        <v>判定不能</v>
      </c>
      <c r="AU866" s="30" t="n">
        <v>60</v>
      </c>
      <c r="AV866" s="30" t="n">
        <v>0</v>
      </c>
      <c r="AW866" s="30" t="str">
        <f aca="false">IF(OR(AE866="判定不能",M866="判定不能"),"判定不能",IF(AV866&gt;=判定条件!$C$9,"利用可",IF(AND(AE866="停止",M866="停止"),"両方停止","運転がそろわない")))</f>
        <v>運転がそろわない</v>
      </c>
      <c r="AX866" s="30" t="str">
        <f aca="false">IF(AND(AH866="利用可",AK866="利用可",AN866="利用可"),"利用可","不可")</f>
        <v>不可</v>
      </c>
      <c r="AY866" s="30" t="str">
        <f aca="false">IF(AND(AQ866="利用可",AT866="利用可",AW866="利用可"),"利用可","不可")</f>
        <v>不可</v>
      </c>
    </row>
    <row r="867" customFormat="false" ht="15" hidden="false" customHeight="false" outlineLevel="0" collapsed="false">
      <c r="A867" s="29" t="n">
        <v>46268</v>
      </c>
      <c r="B867" s="30" t="n">
        <v>0</v>
      </c>
      <c r="C867" s="31" t="s">
        <v>61</v>
      </c>
      <c r="D867" s="31" t="s">
        <v>59</v>
      </c>
      <c r="E867" s="30" t="n">
        <v>60</v>
      </c>
      <c r="F867" s="30" t="n">
        <v>0</v>
      </c>
      <c r="G867" s="30" t="str">
        <f aca="false">IF(E867&lt;判定条件!$C$6,"判定不能",IF(F867&gt;=判定条件!$C$7*E867,"運転",IF(F867&lt;=判定条件!$C$8*E867,"停止","断続")))</f>
        <v>停止</v>
      </c>
      <c r="H867" s="30" t="n">
        <v>0</v>
      </c>
      <c r="I867" s="30" t="n">
        <v>0</v>
      </c>
      <c r="J867" s="30" t="str">
        <f aca="false">IF(H867&lt;判定条件!$C$6,"判定不能",IF(I867&gt;=判定条件!$C$7*H867,"運転",IF(I867&lt;=判定条件!$C$8*H867,"停止","断続")))</f>
        <v>判定不能</v>
      </c>
      <c r="K867" s="30" t="n">
        <v>60</v>
      </c>
      <c r="L867" s="30" t="n">
        <v>60</v>
      </c>
      <c r="M867" s="30" t="str">
        <f aca="false">IF(K867&lt;判定条件!$C$6,"判定不能",IF(L867&gt;=判定条件!$C$7*K867,"運転",IF(L867&lt;=判定条件!$C$8*K867,"停止","断続")))</f>
        <v>運転</v>
      </c>
      <c r="N867" s="30" t="n">
        <v>60</v>
      </c>
      <c r="O867" s="30" t="n">
        <v>0</v>
      </c>
      <c r="P867" s="30" t="str">
        <f aca="false">IF(N867&lt;判定条件!$C$6,"判定不能",IF(O867&gt;=判定条件!$C$7*N867,"運転",IF(O867&lt;=判定条件!$C$8*N867,"停止","断続")))</f>
        <v>停止</v>
      </c>
      <c r="Q867" s="30" t="n">
        <v>60</v>
      </c>
      <c r="R867" s="30" t="n">
        <v>0</v>
      </c>
      <c r="S867" s="30" t="str">
        <f aca="false">IF(Q867&lt;判定条件!$C$6,"判定不能",IF(R867&gt;=判定条件!$C$7*Q867,"運転",IF(R867&lt;=判定条件!$C$8*Q867,"停止","断続")))</f>
        <v>停止</v>
      </c>
      <c r="T867" s="30" t="n">
        <v>60</v>
      </c>
      <c r="U867" s="30" t="n">
        <v>0</v>
      </c>
      <c r="V867" s="30" t="str">
        <f aca="false">IF(T867&lt;判定条件!$C$6,"判定不能",IF(U867&gt;=判定条件!$C$7*T867,"運転",IF(U867&lt;=判定条件!$C$8*T867,"停止","断続")))</f>
        <v>停止</v>
      </c>
      <c r="W867" s="30" t="n">
        <v>60</v>
      </c>
      <c r="X867" s="30" t="n">
        <v>0</v>
      </c>
      <c r="Y867" s="30" t="str">
        <f aca="false">IF(W867&lt;判定条件!$C$6,"判定不能",IF(X867&gt;=判定条件!$C$7*W867,"運転",IF(X867&lt;=判定条件!$C$8*W867,"停止","断続")))</f>
        <v>停止</v>
      </c>
      <c r="Z867" s="30" t="n">
        <v>60</v>
      </c>
      <c r="AA867" s="30" t="n">
        <v>0</v>
      </c>
      <c r="AB867" s="30" t="str">
        <f aca="false">IF(Z867&lt;判定条件!$C$6,"判定不能",IF(AA867&gt;=判定条件!$C$7*Z867,"運転",IF(AA867&lt;=判定条件!$C$8*Z867,"停止","断続")))</f>
        <v>停止</v>
      </c>
      <c r="AC867" s="30" t="n">
        <v>60</v>
      </c>
      <c r="AD867" s="30" t="n">
        <v>0</v>
      </c>
      <c r="AE867" s="30" t="str">
        <f aca="false">IF(AC867&lt;判定条件!$C$6,"判定不能",IF(AD867&gt;=判定条件!$C$7*AC867,"運転",IF(AD867&lt;=判定条件!$C$8*AC867,"停止","断続")))</f>
        <v>停止</v>
      </c>
      <c r="AF867" s="30" t="n">
        <v>60</v>
      </c>
      <c r="AG867" s="30" t="n">
        <v>0</v>
      </c>
      <c r="AH867" s="30" t="str">
        <f aca="false">IF(OR(P867="判定不能",G867="判定不能"),"判定不能",IF(AG867&gt;=判定条件!$C$9,"利用可",IF(AND(P867="停止",G867="停止"),"両方停止","運転がそろわない")))</f>
        <v>両方停止</v>
      </c>
      <c r="AI867" s="30" t="n">
        <v>0</v>
      </c>
      <c r="AJ867" s="30" t="n">
        <v>0</v>
      </c>
      <c r="AK867" s="30" t="str">
        <f aca="false">IF(OR(S867="判定不能",J867="判定不能"),"判定不能",IF(AJ867&gt;=判定条件!$C$9,"利用可",IF(AND(S867="停止",J867="停止"),"両方停止","運転がそろわない")))</f>
        <v>判定不能</v>
      </c>
      <c r="AL867" s="30" t="n">
        <v>60</v>
      </c>
      <c r="AM867" s="30" t="n">
        <v>0</v>
      </c>
      <c r="AN867" s="30" t="str">
        <f aca="false">IF(OR(V867="判定不能",M867="判定不能"),"判定不能",IF(AM867&gt;=判定条件!$C$9,"利用可",IF(AND(V867="停止",M867="停止"),"両方停止","運転がそろわない")))</f>
        <v>運転がそろわない</v>
      </c>
      <c r="AO867" s="30" t="n">
        <v>60</v>
      </c>
      <c r="AP867" s="30" t="n">
        <v>0</v>
      </c>
      <c r="AQ867" s="30" t="str">
        <f aca="false">IF(OR(Y867="判定不能",G867="判定不能"),"判定不能",IF(AP867&gt;=判定条件!$C$9,"利用可",IF(AND(Y867="停止",G867="停止"),"両方停止","運転がそろわない")))</f>
        <v>両方停止</v>
      </c>
      <c r="AR867" s="30" t="n">
        <v>0</v>
      </c>
      <c r="AS867" s="30" t="n">
        <v>0</v>
      </c>
      <c r="AT867" s="30" t="str">
        <f aca="false">IF(OR(AB867="判定不能",J867="判定不能"),"判定不能",IF(AS867&gt;=判定条件!$C$9,"利用可",IF(AND(AB867="停止",J867="停止"),"両方停止","運転がそろわない")))</f>
        <v>判定不能</v>
      </c>
      <c r="AU867" s="30" t="n">
        <v>60</v>
      </c>
      <c r="AV867" s="30" t="n">
        <v>0</v>
      </c>
      <c r="AW867" s="30" t="str">
        <f aca="false">IF(OR(AE867="判定不能",M867="判定不能"),"判定不能",IF(AV867&gt;=判定条件!$C$9,"利用可",IF(AND(AE867="停止",M867="停止"),"両方停止","運転がそろわない")))</f>
        <v>運転がそろわない</v>
      </c>
      <c r="AX867" s="30" t="str">
        <f aca="false">IF(AND(AH867="利用可",AK867="利用可",AN867="利用可"),"利用可","不可")</f>
        <v>不可</v>
      </c>
      <c r="AY867" s="30" t="str">
        <f aca="false">IF(AND(AQ867="利用可",AT867="利用可",AW867="利用可"),"利用可","不可")</f>
        <v>不可</v>
      </c>
    </row>
    <row r="868" customFormat="false" ht="15" hidden="false" customHeight="false" outlineLevel="0" collapsed="false">
      <c r="A868" s="29" t="n">
        <v>46268</v>
      </c>
      <c r="B868" s="30" t="n">
        <v>1</v>
      </c>
      <c r="C868" s="31" t="s">
        <v>61</v>
      </c>
      <c r="D868" s="31" t="s">
        <v>59</v>
      </c>
      <c r="E868" s="30" t="n">
        <v>60</v>
      </c>
      <c r="F868" s="30" t="n">
        <v>0</v>
      </c>
      <c r="G868" s="30" t="str">
        <f aca="false">IF(E868&lt;判定条件!$C$6,"判定不能",IF(F868&gt;=判定条件!$C$7*E868,"運転",IF(F868&lt;=判定条件!$C$8*E868,"停止","断続")))</f>
        <v>停止</v>
      </c>
      <c r="H868" s="30" t="n">
        <v>0</v>
      </c>
      <c r="I868" s="30" t="n">
        <v>0</v>
      </c>
      <c r="J868" s="30" t="str">
        <f aca="false">IF(H868&lt;判定条件!$C$6,"判定不能",IF(I868&gt;=判定条件!$C$7*H868,"運転",IF(I868&lt;=判定条件!$C$8*H868,"停止","断続")))</f>
        <v>判定不能</v>
      </c>
      <c r="K868" s="30" t="n">
        <v>60</v>
      </c>
      <c r="L868" s="30" t="n">
        <v>60</v>
      </c>
      <c r="M868" s="30" t="str">
        <f aca="false">IF(K868&lt;判定条件!$C$6,"判定不能",IF(L868&gt;=判定条件!$C$7*K868,"運転",IF(L868&lt;=判定条件!$C$8*K868,"停止","断続")))</f>
        <v>運転</v>
      </c>
      <c r="N868" s="30" t="n">
        <v>60</v>
      </c>
      <c r="O868" s="30" t="n">
        <v>0</v>
      </c>
      <c r="P868" s="30" t="str">
        <f aca="false">IF(N868&lt;判定条件!$C$6,"判定不能",IF(O868&gt;=判定条件!$C$7*N868,"運転",IF(O868&lt;=判定条件!$C$8*N868,"停止","断続")))</f>
        <v>停止</v>
      </c>
      <c r="Q868" s="30" t="n">
        <v>60</v>
      </c>
      <c r="R868" s="30" t="n">
        <v>0</v>
      </c>
      <c r="S868" s="30" t="str">
        <f aca="false">IF(Q868&lt;判定条件!$C$6,"判定不能",IF(R868&gt;=判定条件!$C$7*Q868,"運転",IF(R868&lt;=判定条件!$C$8*Q868,"停止","断続")))</f>
        <v>停止</v>
      </c>
      <c r="T868" s="30" t="n">
        <v>60</v>
      </c>
      <c r="U868" s="30" t="n">
        <v>0</v>
      </c>
      <c r="V868" s="30" t="str">
        <f aca="false">IF(T868&lt;判定条件!$C$6,"判定不能",IF(U868&gt;=判定条件!$C$7*T868,"運転",IF(U868&lt;=判定条件!$C$8*T868,"停止","断続")))</f>
        <v>停止</v>
      </c>
      <c r="W868" s="30" t="n">
        <v>60</v>
      </c>
      <c r="X868" s="30" t="n">
        <v>0</v>
      </c>
      <c r="Y868" s="30" t="str">
        <f aca="false">IF(W868&lt;判定条件!$C$6,"判定不能",IF(X868&gt;=判定条件!$C$7*W868,"運転",IF(X868&lt;=判定条件!$C$8*W868,"停止","断続")))</f>
        <v>停止</v>
      </c>
      <c r="Z868" s="30" t="n">
        <v>60</v>
      </c>
      <c r="AA868" s="30" t="n">
        <v>0</v>
      </c>
      <c r="AB868" s="30" t="str">
        <f aca="false">IF(Z868&lt;判定条件!$C$6,"判定不能",IF(AA868&gt;=判定条件!$C$7*Z868,"運転",IF(AA868&lt;=判定条件!$C$8*Z868,"停止","断続")))</f>
        <v>停止</v>
      </c>
      <c r="AC868" s="30" t="n">
        <v>60</v>
      </c>
      <c r="AD868" s="30" t="n">
        <v>0</v>
      </c>
      <c r="AE868" s="30" t="str">
        <f aca="false">IF(AC868&lt;判定条件!$C$6,"判定不能",IF(AD868&gt;=判定条件!$C$7*AC868,"運転",IF(AD868&lt;=判定条件!$C$8*AC868,"停止","断続")))</f>
        <v>停止</v>
      </c>
      <c r="AF868" s="30" t="n">
        <v>60</v>
      </c>
      <c r="AG868" s="30" t="n">
        <v>0</v>
      </c>
      <c r="AH868" s="30" t="str">
        <f aca="false">IF(OR(P868="判定不能",G868="判定不能"),"判定不能",IF(AG868&gt;=判定条件!$C$9,"利用可",IF(AND(P868="停止",G868="停止"),"両方停止","運転がそろわない")))</f>
        <v>両方停止</v>
      </c>
      <c r="AI868" s="30" t="n">
        <v>0</v>
      </c>
      <c r="AJ868" s="30" t="n">
        <v>0</v>
      </c>
      <c r="AK868" s="30" t="str">
        <f aca="false">IF(OR(S868="判定不能",J868="判定不能"),"判定不能",IF(AJ868&gt;=判定条件!$C$9,"利用可",IF(AND(S868="停止",J868="停止"),"両方停止","運転がそろわない")))</f>
        <v>判定不能</v>
      </c>
      <c r="AL868" s="30" t="n">
        <v>60</v>
      </c>
      <c r="AM868" s="30" t="n">
        <v>0</v>
      </c>
      <c r="AN868" s="30" t="str">
        <f aca="false">IF(OR(V868="判定不能",M868="判定不能"),"判定不能",IF(AM868&gt;=判定条件!$C$9,"利用可",IF(AND(V868="停止",M868="停止"),"両方停止","運転がそろわない")))</f>
        <v>運転がそろわない</v>
      </c>
      <c r="AO868" s="30" t="n">
        <v>60</v>
      </c>
      <c r="AP868" s="30" t="n">
        <v>0</v>
      </c>
      <c r="AQ868" s="30" t="str">
        <f aca="false">IF(OR(Y868="判定不能",G868="判定不能"),"判定不能",IF(AP868&gt;=判定条件!$C$9,"利用可",IF(AND(Y868="停止",G868="停止"),"両方停止","運転がそろわない")))</f>
        <v>両方停止</v>
      </c>
      <c r="AR868" s="30" t="n">
        <v>0</v>
      </c>
      <c r="AS868" s="30" t="n">
        <v>0</v>
      </c>
      <c r="AT868" s="30" t="str">
        <f aca="false">IF(OR(AB868="判定不能",J868="判定不能"),"判定不能",IF(AS868&gt;=判定条件!$C$9,"利用可",IF(AND(AB868="停止",J868="停止"),"両方停止","運転がそろわない")))</f>
        <v>判定不能</v>
      </c>
      <c r="AU868" s="30" t="n">
        <v>60</v>
      </c>
      <c r="AV868" s="30" t="n">
        <v>0</v>
      </c>
      <c r="AW868" s="30" t="str">
        <f aca="false">IF(OR(AE868="判定不能",M868="判定不能"),"判定不能",IF(AV868&gt;=判定条件!$C$9,"利用可",IF(AND(AE868="停止",M868="停止"),"両方停止","運転がそろわない")))</f>
        <v>運転がそろわない</v>
      </c>
      <c r="AX868" s="30" t="str">
        <f aca="false">IF(AND(AH868="利用可",AK868="利用可",AN868="利用可"),"利用可","不可")</f>
        <v>不可</v>
      </c>
      <c r="AY868" s="30" t="str">
        <f aca="false">IF(AND(AQ868="利用可",AT868="利用可",AW868="利用可"),"利用可","不可")</f>
        <v>不可</v>
      </c>
    </row>
    <row r="869" customFormat="false" ht="15" hidden="false" customHeight="false" outlineLevel="0" collapsed="false">
      <c r="A869" s="29" t="n">
        <v>46268</v>
      </c>
      <c r="B869" s="30" t="n">
        <v>2</v>
      </c>
      <c r="C869" s="31" t="s">
        <v>61</v>
      </c>
      <c r="D869" s="31" t="s">
        <v>59</v>
      </c>
      <c r="E869" s="30" t="n">
        <v>60</v>
      </c>
      <c r="F869" s="30" t="n">
        <v>0</v>
      </c>
      <c r="G869" s="30" t="str">
        <f aca="false">IF(E869&lt;判定条件!$C$6,"判定不能",IF(F869&gt;=判定条件!$C$7*E869,"運転",IF(F869&lt;=判定条件!$C$8*E869,"停止","断続")))</f>
        <v>停止</v>
      </c>
      <c r="H869" s="30" t="n">
        <v>0</v>
      </c>
      <c r="I869" s="30" t="n">
        <v>0</v>
      </c>
      <c r="J869" s="30" t="str">
        <f aca="false">IF(H869&lt;判定条件!$C$6,"判定不能",IF(I869&gt;=判定条件!$C$7*H869,"運転",IF(I869&lt;=判定条件!$C$8*H869,"停止","断続")))</f>
        <v>判定不能</v>
      </c>
      <c r="K869" s="30" t="n">
        <v>60</v>
      </c>
      <c r="L869" s="30" t="n">
        <v>60</v>
      </c>
      <c r="M869" s="30" t="str">
        <f aca="false">IF(K869&lt;判定条件!$C$6,"判定不能",IF(L869&gt;=判定条件!$C$7*K869,"運転",IF(L869&lt;=判定条件!$C$8*K869,"停止","断続")))</f>
        <v>運転</v>
      </c>
      <c r="N869" s="30" t="n">
        <v>60</v>
      </c>
      <c r="O869" s="30" t="n">
        <v>0</v>
      </c>
      <c r="P869" s="30" t="str">
        <f aca="false">IF(N869&lt;判定条件!$C$6,"判定不能",IF(O869&gt;=判定条件!$C$7*N869,"運転",IF(O869&lt;=判定条件!$C$8*N869,"停止","断続")))</f>
        <v>停止</v>
      </c>
      <c r="Q869" s="30" t="n">
        <v>60</v>
      </c>
      <c r="R869" s="30" t="n">
        <v>0</v>
      </c>
      <c r="S869" s="30" t="str">
        <f aca="false">IF(Q869&lt;判定条件!$C$6,"判定不能",IF(R869&gt;=判定条件!$C$7*Q869,"運転",IF(R869&lt;=判定条件!$C$8*Q869,"停止","断続")))</f>
        <v>停止</v>
      </c>
      <c r="T869" s="30" t="n">
        <v>60</v>
      </c>
      <c r="U869" s="30" t="n">
        <v>0</v>
      </c>
      <c r="V869" s="30" t="str">
        <f aca="false">IF(T869&lt;判定条件!$C$6,"判定不能",IF(U869&gt;=判定条件!$C$7*T869,"運転",IF(U869&lt;=判定条件!$C$8*T869,"停止","断続")))</f>
        <v>停止</v>
      </c>
      <c r="W869" s="30" t="n">
        <v>60</v>
      </c>
      <c r="X869" s="30" t="n">
        <v>0</v>
      </c>
      <c r="Y869" s="30" t="str">
        <f aca="false">IF(W869&lt;判定条件!$C$6,"判定不能",IF(X869&gt;=判定条件!$C$7*W869,"運転",IF(X869&lt;=判定条件!$C$8*W869,"停止","断続")))</f>
        <v>停止</v>
      </c>
      <c r="Z869" s="30" t="n">
        <v>60</v>
      </c>
      <c r="AA869" s="30" t="n">
        <v>0</v>
      </c>
      <c r="AB869" s="30" t="str">
        <f aca="false">IF(Z869&lt;判定条件!$C$6,"判定不能",IF(AA869&gt;=判定条件!$C$7*Z869,"運転",IF(AA869&lt;=判定条件!$C$8*Z869,"停止","断続")))</f>
        <v>停止</v>
      </c>
      <c r="AC869" s="30" t="n">
        <v>60</v>
      </c>
      <c r="AD869" s="30" t="n">
        <v>0</v>
      </c>
      <c r="AE869" s="30" t="str">
        <f aca="false">IF(AC869&lt;判定条件!$C$6,"判定不能",IF(AD869&gt;=判定条件!$C$7*AC869,"運転",IF(AD869&lt;=判定条件!$C$8*AC869,"停止","断続")))</f>
        <v>停止</v>
      </c>
      <c r="AF869" s="30" t="n">
        <v>60</v>
      </c>
      <c r="AG869" s="30" t="n">
        <v>0</v>
      </c>
      <c r="AH869" s="30" t="str">
        <f aca="false">IF(OR(P869="判定不能",G869="判定不能"),"判定不能",IF(AG869&gt;=判定条件!$C$9,"利用可",IF(AND(P869="停止",G869="停止"),"両方停止","運転がそろわない")))</f>
        <v>両方停止</v>
      </c>
      <c r="AI869" s="30" t="n">
        <v>0</v>
      </c>
      <c r="AJ869" s="30" t="n">
        <v>0</v>
      </c>
      <c r="AK869" s="30" t="str">
        <f aca="false">IF(OR(S869="判定不能",J869="判定不能"),"判定不能",IF(AJ869&gt;=判定条件!$C$9,"利用可",IF(AND(S869="停止",J869="停止"),"両方停止","運転がそろわない")))</f>
        <v>判定不能</v>
      </c>
      <c r="AL869" s="30" t="n">
        <v>60</v>
      </c>
      <c r="AM869" s="30" t="n">
        <v>0</v>
      </c>
      <c r="AN869" s="30" t="str">
        <f aca="false">IF(OR(V869="判定不能",M869="判定不能"),"判定不能",IF(AM869&gt;=判定条件!$C$9,"利用可",IF(AND(V869="停止",M869="停止"),"両方停止","運転がそろわない")))</f>
        <v>運転がそろわない</v>
      </c>
      <c r="AO869" s="30" t="n">
        <v>60</v>
      </c>
      <c r="AP869" s="30" t="n">
        <v>0</v>
      </c>
      <c r="AQ869" s="30" t="str">
        <f aca="false">IF(OR(Y869="判定不能",G869="判定不能"),"判定不能",IF(AP869&gt;=判定条件!$C$9,"利用可",IF(AND(Y869="停止",G869="停止"),"両方停止","運転がそろわない")))</f>
        <v>両方停止</v>
      </c>
      <c r="AR869" s="30" t="n">
        <v>0</v>
      </c>
      <c r="AS869" s="30" t="n">
        <v>0</v>
      </c>
      <c r="AT869" s="30" t="str">
        <f aca="false">IF(OR(AB869="判定不能",J869="判定不能"),"判定不能",IF(AS869&gt;=判定条件!$C$9,"利用可",IF(AND(AB869="停止",J869="停止"),"両方停止","運転がそろわない")))</f>
        <v>判定不能</v>
      </c>
      <c r="AU869" s="30" t="n">
        <v>60</v>
      </c>
      <c r="AV869" s="30" t="n">
        <v>0</v>
      </c>
      <c r="AW869" s="30" t="str">
        <f aca="false">IF(OR(AE869="判定不能",M869="判定不能"),"判定不能",IF(AV869&gt;=判定条件!$C$9,"利用可",IF(AND(AE869="停止",M869="停止"),"両方停止","運転がそろわない")))</f>
        <v>運転がそろわない</v>
      </c>
      <c r="AX869" s="30" t="str">
        <f aca="false">IF(AND(AH869="利用可",AK869="利用可",AN869="利用可"),"利用可","不可")</f>
        <v>不可</v>
      </c>
      <c r="AY869" s="30" t="str">
        <f aca="false">IF(AND(AQ869="利用可",AT869="利用可",AW869="利用可"),"利用可","不可")</f>
        <v>不可</v>
      </c>
    </row>
    <row r="870" customFormat="false" ht="15" hidden="false" customHeight="false" outlineLevel="0" collapsed="false">
      <c r="A870" s="29" t="n">
        <v>46268</v>
      </c>
      <c r="B870" s="30" t="n">
        <v>3</v>
      </c>
      <c r="C870" s="31" t="s">
        <v>61</v>
      </c>
      <c r="D870" s="31" t="s">
        <v>59</v>
      </c>
      <c r="E870" s="30" t="n">
        <v>60</v>
      </c>
      <c r="F870" s="30" t="n">
        <v>0</v>
      </c>
      <c r="G870" s="30" t="str">
        <f aca="false">IF(E870&lt;判定条件!$C$6,"判定不能",IF(F870&gt;=判定条件!$C$7*E870,"運転",IF(F870&lt;=判定条件!$C$8*E870,"停止","断続")))</f>
        <v>停止</v>
      </c>
      <c r="H870" s="30" t="n">
        <v>0</v>
      </c>
      <c r="I870" s="30" t="n">
        <v>0</v>
      </c>
      <c r="J870" s="30" t="str">
        <f aca="false">IF(H870&lt;判定条件!$C$6,"判定不能",IF(I870&gt;=判定条件!$C$7*H870,"運転",IF(I870&lt;=判定条件!$C$8*H870,"停止","断続")))</f>
        <v>判定不能</v>
      </c>
      <c r="K870" s="30" t="n">
        <v>60</v>
      </c>
      <c r="L870" s="30" t="n">
        <v>60</v>
      </c>
      <c r="M870" s="30" t="str">
        <f aca="false">IF(K870&lt;判定条件!$C$6,"判定不能",IF(L870&gt;=判定条件!$C$7*K870,"運転",IF(L870&lt;=判定条件!$C$8*K870,"停止","断続")))</f>
        <v>運転</v>
      </c>
      <c r="N870" s="30" t="n">
        <v>60</v>
      </c>
      <c r="O870" s="30" t="n">
        <v>0</v>
      </c>
      <c r="P870" s="30" t="str">
        <f aca="false">IF(N870&lt;判定条件!$C$6,"判定不能",IF(O870&gt;=判定条件!$C$7*N870,"運転",IF(O870&lt;=判定条件!$C$8*N870,"停止","断続")))</f>
        <v>停止</v>
      </c>
      <c r="Q870" s="30" t="n">
        <v>60</v>
      </c>
      <c r="R870" s="30" t="n">
        <v>0</v>
      </c>
      <c r="S870" s="30" t="str">
        <f aca="false">IF(Q870&lt;判定条件!$C$6,"判定不能",IF(R870&gt;=判定条件!$C$7*Q870,"運転",IF(R870&lt;=判定条件!$C$8*Q870,"停止","断続")))</f>
        <v>停止</v>
      </c>
      <c r="T870" s="30" t="n">
        <v>60</v>
      </c>
      <c r="U870" s="30" t="n">
        <v>0</v>
      </c>
      <c r="V870" s="30" t="str">
        <f aca="false">IF(T870&lt;判定条件!$C$6,"判定不能",IF(U870&gt;=判定条件!$C$7*T870,"運転",IF(U870&lt;=判定条件!$C$8*T870,"停止","断続")))</f>
        <v>停止</v>
      </c>
      <c r="W870" s="30" t="n">
        <v>60</v>
      </c>
      <c r="X870" s="30" t="n">
        <v>0</v>
      </c>
      <c r="Y870" s="30" t="str">
        <f aca="false">IF(W870&lt;判定条件!$C$6,"判定不能",IF(X870&gt;=判定条件!$C$7*W870,"運転",IF(X870&lt;=判定条件!$C$8*W870,"停止","断続")))</f>
        <v>停止</v>
      </c>
      <c r="Z870" s="30" t="n">
        <v>60</v>
      </c>
      <c r="AA870" s="30" t="n">
        <v>0</v>
      </c>
      <c r="AB870" s="30" t="str">
        <f aca="false">IF(Z870&lt;判定条件!$C$6,"判定不能",IF(AA870&gt;=判定条件!$C$7*Z870,"運転",IF(AA870&lt;=判定条件!$C$8*Z870,"停止","断続")))</f>
        <v>停止</v>
      </c>
      <c r="AC870" s="30" t="n">
        <v>60</v>
      </c>
      <c r="AD870" s="30" t="n">
        <v>0</v>
      </c>
      <c r="AE870" s="30" t="str">
        <f aca="false">IF(AC870&lt;判定条件!$C$6,"判定不能",IF(AD870&gt;=判定条件!$C$7*AC870,"運転",IF(AD870&lt;=判定条件!$C$8*AC870,"停止","断続")))</f>
        <v>停止</v>
      </c>
      <c r="AF870" s="30" t="n">
        <v>60</v>
      </c>
      <c r="AG870" s="30" t="n">
        <v>0</v>
      </c>
      <c r="AH870" s="30" t="str">
        <f aca="false">IF(OR(P870="判定不能",G870="判定不能"),"判定不能",IF(AG870&gt;=判定条件!$C$9,"利用可",IF(AND(P870="停止",G870="停止"),"両方停止","運転がそろわない")))</f>
        <v>両方停止</v>
      </c>
      <c r="AI870" s="30" t="n">
        <v>0</v>
      </c>
      <c r="AJ870" s="30" t="n">
        <v>0</v>
      </c>
      <c r="AK870" s="30" t="str">
        <f aca="false">IF(OR(S870="判定不能",J870="判定不能"),"判定不能",IF(AJ870&gt;=判定条件!$C$9,"利用可",IF(AND(S870="停止",J870="停止"),"両方停止","運転がそろわない")))</f>
        <v>判定不能</v>
      </c>
      <c r="AL870" s="30" t="n">
        <v>60</v>
      </c>
      <c r="AM870" s="30" t="n">
        <v>0</v>
      </c>
      <c r="AN870" s="30" t="str">
        <f aca="false">IF(OR(V870="判定不能",M870="判定不能"),"判定不能",IF(AM870&gt;=判定条件!$C$9,"利用可",IF(AND(V870="停止",M870="停止"),"両方停止","運転がそろわない")))</f>
        <v>運転がそろわない</v>
      </c>
      <c r="AO870" s="30" t="n">
        <v>60</v>
      </c>
      <c r="AP870" s="30" t="n">
        <v>0</v>
      </c>
      <c r="AQ870" s="30" t="str">
        <f aca="false">IF(OR(Y870="判定不能",G870="判定不能"),"判定不能",IF(AP870&gt;=判定条件!$C$9,"利用可",IF(AND(Y870="停止",G870="停止"),"両方停止","運転がそろわない")))</f>
        <v>両方停止</v>
      </c>
      <c r="AR870" s="30" t="n">
        <v>0</v>
      </c>
      <c r="AS870" s="30" t="n">
        <v>0</v>
      </c>
      <c r="AT870" s="30" t="str">
        <f aca="false">IF(OR(AB870="判定不能",J870="判定不能"),"判定不能",IF(AS870&gt;=判定条件!$C$9,"利用可",IF(AND(AB870="停止",J870="停止"),"両方停止","運転がそろわない")))</f>
        <v>判定不能</v>
      </c>
      <c r="AU870" s="30" t="n">
        <v>60</v>
      </c>
      <c r="AV870" s="30" t="n">
        <v>0</v>
      </c>
      <c r="AW870" s="30" t="str">
        <f aca="false">IF(OR(AE870="判定不能",M870="判定不能"),"判定不能",IF(AV870&gt;=判定条件!$C$9,"利用可",IF(AND(AE870="停止",M870="停止"),"両方停止","運転がそろわない")))</f>
        <v>運転がそろわない</v>
      </c>
      <c r="AX870" s="30" t="str">
        <f aca="false">IF(AND(AH870="利用可",AK870="利用可",AN870="利用可"),"利用可","不可")</f>
        <v>不可</v>
      </c>
      <c r="AY870" s="30" t="str">
        <f aca="false">IF(AND(AQ870="利用可",AT870="利用可",AW870="利用可"),"利用可","不可")</f>
        <v>不可</v>
      </c>
    </row>
    <row r="871" customFormat="false" ht="15" hidden="false" customHeight="false" outlineLevel="0" collapsed="false">
      <c r="A871" s="29" t="n">
        <v>46268</v>
      </c>
      <c r="B871" s="30" t="n">
        <v>4</v>
      </c>
      <c r="C871" s="31" t="s">
        <v>61</v>
      </c>
      <c r="D871" s="31" t="s">
        <v>59</v>
      </c>
      <c r="E871" s="30" t="n">
        <v>60</v>
      </c>
      <c r="F871" s="30" t="n">
        <v>0</v>
      </c>
      <c r="G871" s="30" t="str">
        <f aca="false">IF(E871&lt;判定条件!$C$6,"判定不能",IF(F871&gt;=判定条件!$C$7*E871,"運転",IF(F871&lt;=判定条件!$C$8*E871,"停止","断続")))</f>
        <v>停止</v>
      </c>
      <c r="H871" s="30" t="n">
        <v>0</v>
      </c>
      <c r="I871" s="30" t="n">
        <v>0</v>
      </c>
      <c r="J871" s="30" t="str">
        <f aca="false">IF(H871&lt;判定条件!$C$6,"判定不能",IF(I871&gt;=判定条件!$C$7*H871,"運転",IF(I871&lt;=判定条件!$C$8*H871,"停止","断続")))</f>
        <v>判定不能</v>
      </c>
      <c r="K871" s="30" t="n">
        <v>60</v>
      </c>
      <c r="L871" s="30" t="n">
        <v>60</v>
      </c>
      <c r="M871" s="30" t="str">
        <f aca="false">IF(K871&lt;判定条件!$C$6,"判定不能",IF(L871&gt;=判定条件!$C$7*K871,"運転",IF(L871&lt;=判定条件!$C$8*K871,"停止","断続")))</f>
        <v>運転</v>
      </c>
      <c r="N871" s="30" t="n">
        <v>60</v>
      </c>
      <c r="O871" s="30" t="n">
        <v>0</v>
      </c>
      <c r="P871" s="30" t="str">
        <f aca="false">IF(N871&lt;判定条件!$C$6,"判定不能",IF(O871&gt;=判定条件!$C$7*N871,"運転",IF(O871&lt;=判定条件!$C$8*N871,"停止","断続")))</f>
        <v>停止</v>
      </c>
      <c r="Q871" s="30" t="n">
        <v>60</v>
      </c>
      <c r="R871" s="30" t="n">
        <v>0</v>
      </c>
      <c r="S871" s="30" t="str">
        <f aca="false">IF(Q871&lt;判定条件!$C$6,"判定不能",IF(R871&gt;=判定条件!$C$7*Q871,"運転",IF(R871&lt;=判定条件!$C$8*Q871,"停止","断続")))</f>
        <v>停止</v>
      </c>
      <c r="T871" s="30" t="n">
        <v>60</v>
      </c>
      <c r="U871" s="30" t="n">
        <v>0</v>
      </c>
      <c r="V871" s="30" t="str">
        <f aca="false">IF(T871&lt;判定条件!$C$6,"判定不能",IF(U871&gt;=判定条件!$C$7*T871,"運転",IF(U871&lt;=判定条件!$C$8*T871,"停止","断続")))</f>
        <v>停止</v>
      </c>
      <c r="W871" s="30" t="n">
        <v>60</v>
      </c>
      <c r="X871" s="30" t="n">
        <v>0</v>
      </c>
      <c r="Y871" s="30" t="str">
        <f aca="false">IF(W871&lt;判定条件!$C$6,"判定不能",IF(X871&gt;=判定条件!$C$7*W871,"運転",IF(X871&lt;=判定条件!$C$8*W871,"停止","断続")))</f>
        <v>停止</v>
      </c>
      <c r="Z871" s="30" t="n">
        <v>60</v>
      </c>
      <c r="AA871" s="30" t="n">
        <v>0</v>
      </c>
      <c r="AB871" s="30" t="str">
        <f aca="false">IF(Z871&lt;判定条件!$C$6,"判定不能",IF(AA871&gt;=判定条件!$C$7*Z871,"運転",IF(AA871&lt;=判定条件!$C$8*Z871,"停止","断続")))</f>
        <v>停止</v>
      </c>
      <c r="AC871" s="30" t="n">
        <v>60</v>
      </c>
      <c r="AD871" s="30" t="n">
        <v>0</v>
      </c>
      <c r="AE871" s="30" t="str">
        <f aca="false">IF(AC871&lt;判定条件!$C$6,"判定不能",IF(AD871&gt;=判定条件!$C$7*AC871,"運転",IF(AD871&lt;=判定条件!$C$8*AC871,"停止","断続")))</f>
        <v>停止</v>
      </c>
      <c r="AF871" s="30" t="n">
        <v>60</v>
      </c>
      <c r="AG871" s="30" t="n">
        <v>0</v>
      </c>
      <c r="AH871" s="30" t="str">
        <f aca="false">IF(OR(P871="判定不能",G871="判定不能"),"判定不能",IF(AG871&gt;=判定条件!$C$9,"利用可",IF(AND(P871="停止",G871="停止"),"両方停止","運転がそろわない")))</f>
        <v>両方停止</v>
      </c>
      <c r="AI871" s="30" t="n">
        <v>0</v>
      </c>
      <c r="AJ871" s="30" t="n">
        <v>0</v>
      </c>
      <c r="AK871" s="30" t="str">
        <f aca="false">IF(OR(S871="判定不能",J871="判定不能"),"判定不能",IF(AJ871&gt;=判定条件!$C$9,"利用可",IF(AND(S871="停止",J871="停止"),"両方停止","運転がそろわない")))</f>
        <v>判定不能</v>
      </c>
      <c r="AL871" s="30" t="n">
        <v>60</v>
      </c>
      <c r="AM871" s="30" t="n">
        <v>0</v>
      </c>
      <c r="AN871" s="30" t="str">
        <f aca="false">IF(OR(V871="判定不能",M871="判定不能"),"判定不能",IF(AM871&gt;=判定条件!$C$9,"利用可",IF(AND(V871="停止",M871="停止"),"両方停止","運転がそろわない")))</f>
        <v>運転がそろわない</v>
      </c>
      <c r="AO871" s="30" t="n">
        <v>60</v>
      </c>
      <c r="AP871" s="30" t="n">
        <v>0</v>
      </c>
      <c r="AQ871" s="30" t="str">
        <f aca="false">IF(OR(Y871="判定不能",G871="判定不能"),"判定不能",IF(AP871&gt;=判定条件!$C$9,"利用可",IF(AND(Y871="停止",G871="停止"),"両方停止","運転がそろわない")))</f>
        <v>両方停止</v>
      </c>
      <c r="AR871" s="30" t="n">
        <v>0</v>
      </c>
      <c r="AS871" s="30" t="n">
        <v>0</v>
      </c>
      <c r="AT871" s="30" t="str">
        <f aca="false">IF(OR(AB871="判定不能",J871="判定不能"),"判定不能",IF(AS871&gt;=判定条件!$C$9,"利用可",IF(AND(AB871="停止",J871="停止"),"両方停止","運転がそろわない")))</f>
        <v>判定不能</v>
      </c>
      <c r="AU871" s="30" t="n">
        <v>60</v>
      </c>
      <c r="AV871" s="30" t="n">
        <v>0</v>
      </c>
      <c r="AW871" s="30" t="str">
        <f aca="false">IF(OR(AE871="判定不能",M871="判定不能"),"判定不能",IF(AV871&gt;=判定条件!$C$9,"利用可",IF(AND(AE871="停止",M871="停止"),"両方停止","運転がそろわない")))</f>
        <v>運転がそろわない</v>
      </c>
      <c r="AX871" s="30" t="str">
        <f aca="false">IF(AND(AH871="利用可",AK871="利用可",AN871="利用可"),"利用可","不可")</f>
        <v>不可</v>
      </c>
      <c r="AY871" s="30" t="str">
        <f aca="false">IF(AND(AQ871="利用可",AT871="利用可",AW871="利用可"),"利用可","不可")</f>
        <v>不可</v>
      </c>
    </row>
    <row r="872" customFormat="false" ht="15" hidden="false" customHeight="false" outlineLevel="0" collapsed="false">
      <c r="A872" s="29" t="n">
        <v>46268</v>
      </c>
      <c r="B872" s="30" t="n">
        <v>5</v>
      </c>
      <c r="C872" s="31" t="s">
        <v>61</v>
      </c>
      <c r="D872" s="31" t="s">
        <v>59</v>
      </c>
      <c r="E872" s="30" t="n">
        <v>60</v>
      </c>
      <c r="F872" s="30" t="n">
        <v>0</v>
      </c>
      <c r="G872" s="30" t="str">
        <f aca="false">IF(E872&lt;判定条件!$C$6,"判定不能",IF(F872&gt;=判定条件!$C$7*E872,"運転",IF(F872&lt;=判定条件!$C$8*E872,"停止","断続")))</f>
        <v>停止</v>
      </c>
      <c r="H872" s="30" t="n">
        <v>0</v>
      </c>
      <c r="I872" s="30" t="n">
        <v>0</v>
      </c>
      <c r="J872" s="30" t="str">
        <f aca="false">IF(H872&lt;判定条件!$C$6,"判定不能",IF(I872&gt;=判定条件!$C$7*H872,"運転",IF(I872&lt;=判定条件!$C$8*H872,"停止","断続")))</f>
        <v>判定不能</v>
      </c>
      <c r="K872" s="30" t="n">
        <v>60</v>
      </c>
      <c r="L872" s="30" t="n">
        <v>60</v>
      </c>
      <c r="M872" s="30" t="str">
        <f aca="false">IF(K872&lt;判定条件!$C$6,"判定不能",IF(L872&gt;=判定条件!$C$7*K872,"運転",IF(L872&lt;=判定条件!$C$8*K872,"停止","断続")))</f>
        <v>運転</v>
      </c>
      <c r="N872" s="30" t="n">
        <v>60</v>
      </c>
      <c r="O872" s="30" t="n">
        <v>0</v>
      </c>
      <c r="P872" s="30" t="str">
        <f aca="false">IF(N872&lt;判定条件!$C$6,"判定不能",IF(O872&gt;=判定条件!$C$7*N872,"運転",IF(O872&lt;=判定条件!$C$8*N872,"停止","断続")))</f>
        <v>停止</v>
      </c>
      <c r="Q872" s="30" t="n">
        <v>60</v>
      </c>
      <c r="R872" s="30" t="n">
        <v>0</v>
      </c>
      <c r="S872" s="30" t="str">
        <f aca="false">IF(Q872&lt;判定条件!$C$6,"判定不能",IF(R872&gt;=判定条件!$C$7*Q872,"運転",IF(R872&lt;=判定条件!$C$8*Q872,"停止","断続")))</f>
        <v>停止</v>
      </c>
      <c r="T872" s="30" t="n">
        <v>60</v>
      </c>
      <c r="U872" s="30" t="n">
        <v>0</v>
      </c>
      <c r="V872" s="30" t="str">
        <f aca="false">IF(T872&lt;判定条件!$C$6,"判定不能",IF(U872&gt;=判定条件!$C$7*T872,"運転",IF(U872&lt;=判定条件!$C$8*T872,"停止","断続")))</f>
        <v>停止</v>
      </c>
      <c r="W872" s="30" t="n">
        <v>60</v>
      </c>
      <c r="X872" s="30" t="n">
        <v>0</v>
      </c>
      <c r="Y872" s="30" t="str">
        <f aca="false">IF(W872&lt;判定条件!$C$6,"判定不能",IF(X872&gt;=判定条件!$C$7*W872,"運転",IF(X872&lt;=判定条件!$C$8*W872,"停止","断続")))</f>
        <v>停止</v>
      </c>
      <c r="Z872" s="30" t="n">
        <v>60</v>
      </c>
      <c r="AA872" s="30" t="n">
        <v>0</v>
      </c>
      <c r="AB872" s="30" t="str">
        <f aca="false">IF(Z872&lt;判定条件!$C$6,"判定不能",IF(AA872&gt;=判定条件!$C$7*Z872,"運転",IF(AA872&lt;=判定条件!$C$8*Z872,"停止","断続")))</f>
        <v>停止</v>
      </c>
      <c r="AC872" s="30" t="n">
        <v>60</v>
      </c>
      <c r="AD872" s="30" t="n">
        <v>0</v>
      </c>
      <c r="AE872" s="30" t="str">
        <f aca="false">IF(AC872&lt;判定条件!$C$6,"判定不能",IF(AD872&gt;=判定条件!$C$7*AC872,"運転",IF(AD872&lt;=判定条件!$C$8*AC872,"停止","断続")))</f>
        <v>停止</v>
      </c>
      <c r="AF872" s="30" t="n">
        <v>60</v>
      </c>
      <c r="AG872" s="30" t="n">
        <v>0</v>
      </c>
      <c r="AH872" s="30" t="str">
        <f aca="false">IF(OR(P872="判定不能",G872="判定不能"),"判定不能",IF(AG872&gt;=判定条件!$C$9,"利用可",IF(AND(P872="停止",G872="停止"),"両方停止","運転がそろわない")))</f>
        <v>両方停止</v>
      </c>
      <c r="AI872" s="30" t="n">
        <v>0</v>
      </c>
      <c r="AJ872" s="30" t="n">
        <v>0</v>
      </c>
      <c r="AK872" s="30" t="str">
        <f aca="false">IF(OR(S872="判定不能",J872="判定不能"),"判定不能",IF(AJ872&gt;=判定条件!$C$9,"利用可",IF(AND(S872="停止",J872="停止"),"両方停止","運転がそろわない")))</f>
        <v>判定不能</v>
      </c>
      <c r="AL872" s="30" t="n">
        <v>60</v>
      </c>
      <c r="AM872" s="30" t="n">
        <v>0</v>
      </c>
      <c r="AN872" s="30" t="str">
        <f aca="false">IF(OR(V872="判定不能",M872="判定不能"),"判定不能",IF(AM872&gt;=判定条件!$C$9,"利用可",IF(AND(V872="停止",M872="停止"),"両方停止","運転がそろわない")))</f>
        <v>運転がそろわない</v>
      </c>
      <c r="AO872" s="30" t="n">
        <v>60</v>
      </c>
      <c r="AP872" s="30" t="n">
        <v>0</v>
      </c>
      <c r="AQ872" s="30" t="str">
        <f aca="false">IF(OR(Y872="判定不能",G872="判定不能"),"判定不能",IF(AP872&gt;=判定条件!$C$9,"利用可",IF(AND(Y872="停止",G872="停止"),"両方停止","運転がそろわない")))</f>
        <v>両方停止</v>
      </c>
      <c r="AR872" s="30" t="n">
        <v>0</v>
      </c>
      <c r="AS872" s="30" t="n">
        <v>0</v>
      </c>
      <c r="AT872" s="30" t="str">
        <f aca="false">IF(OR(AB872="判定不能",J872="判定不能"),"判定不能",IF(AS872&gt;=判定条件!$C$9,"利用可",IF(AND(AB872="停止",J872="停止"),"両方停止","運転がそろわない")))</f>
        <v>判定不能</v>
      </c>
      <c r="AU872" s="30" t="n">
        <v>60</v>
      </c>
      <c r="AV872" s="30" t="n">
        <v>0</v>
      </c>
      <c r="AW872" s="30" t="str">
        <f aca="false">IF(OR(AE872="判定不能",M872="判定不能"),"判定不能",IF(AV872&gt;=判定条件!$C$9,"利用可",IF(AND(AE872="停止",M872="停止"),"両方停止","運転がそろわない")))</f>
        <v>運転がそろわない</v>
      </c>
      <c r="AX872" s="30" t="str">
        <f aca="false">IF(AND(AH872="利用可",AK872="利用可",AN872="利用可"),"利用可","不可")</f>
        <v>不可</v>
      </c>
      <c r="AY872" s="30" t="str">
        <f aca="false">IF(AND(AQ872="利用可",AT872="利用可",AW872="利用可"),"利用可","不可")</f>
        <v>不可</v>
      </c>
    </row>
    <row r="873" customFormat="false" ht="15" hidden="false" customHeight="false" outlineLevel="0" collapsed="false">
      <c r="A873" s="29" t="n">
        <v>46268</v>
      </c>
      <c r="B873" s="30" t="n">
        <v>6</v>
      </c>
      <c r="C873" s="31" t="s">
        <v>61</v>
      </c>
      <c r="D873" s="31" t="s">
        <v>59</v>
      </c>
      <c r="E873" s="30" t="n">
        <v>60</v>
      </c>
      <c r="F873" s="30" t="n">
        <v>0</v>
      </c>
      <c r="G873" s="30" t="str">
        <f aca="false">IF(E873&lt;判定条件!$C$6,"判定不能",IF(F873&gt;=判定条件!$C$7*E873,"運転",IF(F873&lt;=判定条件!$C$8*E873,"停止","断続")))</f>
        <v>停止</v>
      </c>
      <c r="H873" s="30" t="n">
        <v>0</v>
      </c>
      <c r="I873" s="30" t="n">
        <v>0</v>
      </c>
      <c r="J873" s="30" t="str">
        <f aca="false">IF(H873&lt;判定条件!$C$6,"判定不能",IF(I873&gt;=判定条件!$C$7*H873,"運転",IF(I873&lt;=判定条件!$C$8*H873,"停止","断続")))</f>
        <v>判定不能</v>
      </c>
      <c r="K873" s="30" t="n">
        <v>60</v>
      </c>
      <c r="L873" s="30" t="n">
        <v>60</v>
      </c>
      <c r="M873" s="30" t="str">
        <f aca="false">IF(K873&lt;判定条件!$C$6,"判定不能",IF(L873&gt;=判定条件!$C$7*K873,"運転",IF(L873&lt;=判定条件!$C$8*K873,"停止","断続")))</f>
        <v>運転</v>
      </c>
      <c r="N873" s="30" t="n">
        <v>60</v>
      </c>
      <c r="O873" s="30" t="n">
        <v>0</v>
      </c>
      <c r="P873" s="30" t="str">
        <f aca="false">IF(N873&lt;判定条件!$C$6,"判定不能",IF(O873&gt;=判定条件!$C$7*N873,"運転",IF(O873&lt;=判定条件!$C$8*N873,"停止","断続")))</f>
        <v>停止</v>
      </c>
      <c r="Q873" s="30" t="n">
        <v>60</v>
      </c>
      <c r="R873" s="30" t="n">
        <v>8</v>
      </c>
      <c r="S873" s="30" t="str">
        <f aca="false">IF(Q873&lt;判定条件!$C$6,"判定不能",IF(R873&gt;=判定条件!$C$7*Q873,"運転",IF(R873&lt;=判定条件!$C$8*Q873,"停止","断続")))</f>
        <v>停止</v>
      </c>
      <c r="T873" s="30" t="n">
        <v>60</v>
      </c>
      <c r="U873" s="30" t="n">
        <v>8</v>
      </c>
      <c r="V873" s="30" t="str">
        <f aca="false">IF(T873&lt;判定条件!$C$6,"判定不能",IF(U873&gt;=判定条件!$C$7*T873,"運転",IF(U873&lt;=判定条件!$C$8*T873,"停止","断続")))</f>
        <v>停止</v>
      </c>
      <c r="W873" s="30" t="n">
        <v>60</v>
      </c>
      <c r="X873" s="30" t="n">
        <v>37</v>
      </c>
      <c r="Y873" s="30" t="str">
        <f aca="false">IF(W873&lt;判定条件!$C$6,"判定不能",IF(X873&gt;=判定条件!$C$7*W873,"運転",IF(X873&lt;=判定条件!$C$8*W873,"停止","断続")))</f>
        <v>断続</v>
      </c>
      <c r="Z873" s="30" t="n">
        <v>60</v>
      </c>
      <c r="AA873" s="30" t="n">
        <v>34</v>
      </c>
      <c r="AB873" s="30" t="str">
        <f aca="false">IF(Z873&lt;判定条件!$C$6,"判定不能",IF(AA873&gt;=判定条件!$C$7*Z873,"運転",IF(AA873&lt;=判定条件!$C$8*Z873,"停止","断続")))</f>
        <v>断続</v>
      </c>
      <c r="AC873" s="30" t="n">
        <v>60</v>
      </c>
      <c r="AD873" s="30" t="n">
        <v>34</v>
      </c>
      <c r="AE873" s="30" t="str">
        <f aca="false">IF(AC873&lt;判定条件!$C$6,"判定不能",IF(AD873&gt;=判定条件!$C$7*AC873,"運転",IF(AD873&lt;=判定条件!$C$8*AC873,"停止","断続")))</f>
        <v>断続</v>
      </c>
      <c r="AF873" s="30" t="n">
        <v>60</v>
      </c>
      <c r="AG873" s="30" t="n">
        <v>0</v>
      </c>
      <c r="AH873" s="30" t="str">
        <f aca="false">IF(OR(P873="判定不能",G873="判定不能"),"判定不能",IF(AG873&gt;=判定条件!$C$9,"利用可",IF(AND(P873="停止",G873="停止"),"両方停止","運転がそろわない")))</f>
        <v>両方停止</v>
      </c>
      <c r="AI873" s="30" t="n">
        <v>0</v>
      </c>
      <c r="AJ873" s="30" t="n">
        <v>0</v>
      </c>
      <c r="AK873" s="30" t="str">
        <f aca="false">IF(OR(S873="判定不能",J873="判定不能"),"判定不能",IF(AJ873&gt;=判定条件!$C$9,"利用可",IF(AND(S873="停止",J873="停止"),"両方停止","運転がそろわない")))</f>
        <v>判定不能</v>
      </c>
      <c r="AL873" s="30" t="n">
        <v>60</v>
      </c>
      <c r="AM873" s="30" t="n">
        <v>8</v>
      </c>
      <c r="AN873" s="30" t="str">
        <f aca="false">IF(OR(V873="判定不能",M873="判定不能"),"判定不能",IF(AM873&gt;=判定条件!$C$9,"利用可",IF(AND(V873="停止",M873="停止"),"両方停止","運転がそろわない")))</f>
        <v>運転がそろわない</v>
      </c>
      <c r="AO873" s="30" t="n">
        <v>60</v>
      </c>
      <c r="AP873" s="30" t="n">
        <v>0</v>
      </c>
      <c r="AQ873" s="30" t="str">
        <f aca="false">IF(OR(Y873="判定不能",G873="判定不能"),"判定不能",IF(AP873&gt;=判定条件!$C$9,"利用可",IF(AND(Y873="停止",G873="停止"),"両方停止","運転がそろわない")))</f>
        <v>運転がそろわない</v>
      </c>
      <c r="AR873" s="30" t="n">
        <v>0</v>
      </c>
      <c r="AS873" s="30" t="n">
        <v>0</v>
      </c>
      <c r="AT873" s="30" t="str">
        <f aca="false">IF(OR(AB873="判定不能",J873="判定不能"),"判定不能",IF(AS873&gt;=判定条件!$C$9,"利用可",IF(AND(AB873="停止",J873="停止"),"両方停止","運転がそろわない")))</f>
        <v>判定不能</v>
      </c>
      <c r="AU873" s="30" t="n">
        <v>60</v>
      </c>
      <c r="AV873" s="30" t="n">
        <v>34</v>
      </c>
      <c r="AW873" s="30" t="str">
        <f aca="false">IF(OR(AE873="判定不能",M873="判定不能"),"判定不能",IF(AV873&gt;=判定条件!$C$9,"利用可",IF(AND(AE873="停止",M873="停止"),"両方停止","運転がそろわない")))</f>
        <v>利用可</v>
      </c>
      <c r="AX873" s="30" t="str">
        <f aca="false">IF(AND(AH873="利用可",AK873="利用可",AN873="利用可"),"利用可","不可")</f>
        <v>不可</v>
      </c>
      <c r="AY873" s="30" t="str">
        <f aca="false">IF(AND(AQ873="利用可",AT873="利用可",AW873="利用可"),"利用可","不可")</f>
        <v>不可</v>
      </c>
    </row>
    <row r="874" customFormat="false" ht="15" hidden="false" customHeight="false" outlineLevel="0" collapsed="false">
      <c r="A874" s="29" t="n">
        <v>46268</v>
      </c>
      <c r="B874" s="30" t="n">
        <v>7</v>
      </c>
      <c r="C874" s="31" t="s">
        <v>61</v>
      </c>
      <c r="D874" s="31" t="s">
        <v>59</v>
      </c>
      <c r="E874" s="30" t="n">
        <v>60</v>
      </c>
      <c r="F874" s="30" t="n">
        <v>0</v>
      </c>
      <c r="G874" s="30" t="str">
        <f aca="false">IF(E874&lt;判定条件!$C$6,"判定不能",IF(F874&gt;=判定条件!$C$7*E874,"運転",IF(F874&lt;=判定条件!$C$8*E874,"停止","断続")))</f>
        <v>停止</v>
      </c>
      <c r="H874" s="30" t="n">
        <v>0</v>
      </c>
      <c r="I874" s="30" t="n">
        <v>0</v>
      </c>
      <c r="J874" s="30" t="str">
        <f aca="false">IF(H874&lt;判定条件!$C$6,"判定不能",IF(I874&gt;=判定条件!$C$7*H874,"運転",IF(I874&lt;=判定条件!$C$8*H874,"停止","断続")))</f>
        <v>判定不能</v>
      </c>
      <c r="K874" s="30" t="n">
        <v>60</v>
      </c>
      <c r="L874" s="30" t="n">
        <v>60</v>
      </c>
      <c r="M874" s="30" t="str">
        <f aca="false">IF(K874&lt;判定条件!$C$6,"判定不能",IF(L874&gt;=判定条件!$C$7*K874,"運転",IF(L874&lt;=判定条件!$C$8*K874,"停止","断続")))</f>
        <v>運転</v>
      </c>
      <c r="N874" s="30" t="n">
        <v>60</v>
      </c>
      <c r="O874" s="30" t="n">
        <v>48</v>
      </c>
      <c r="P874" s="30" t="str">
        <f aca="false">IF(N874&lt;判定条件!$C$6,"判定不能",IF(O874&gt;=判定条件!$C$7*N874,"運転",IF(O874&lt;=判定条件!$C$8*N874,"停止","断続")))</f>
        <v>運転</v>
      </c>
      <c r="Q874" s="30" t="n">
        <v>60</v>
      </c>
      <c r="R874" s="30" t="n">
        <v>60</v>
      </c>
      <c r="S874" s="30" t="str">
        <f aca="false">IF(Q874&lt;判定条件!$C$6,"判定不能",IF(R874&gt;=判定条件!$C$7*Q874,"運転",IF(R874&lt;=判定条件!$C$8*Q874,"停止","断続")))</f>
        <v>運転</v>
      </c>
      <c r="T874" s="30" t="n">
        <v>60</v>
      </c>
      <c r="U874" s="30" t="n">
        <v>55</v>
      </c>
      <c r="V874" s="30" t="str">
        <f aca="false">IF(T874&lt;判定条件!$C$6,"判定不能",IF(U874&gt;=判定条件!$C$7*T874,"運転",IF(U874&lt;=判定条件!$C$8*T874,"停止","断続")))</f>
        <v>運転</v>
      </c>
      <c r="W874" s="30" t="n">
        <v>60</v>
      </c>
      <c r="X874" s="30" t="n">
        <v>46</v>
      </c>
      <c r="Y874" s="30" t="str">
        <f aca="false">IF(W874&lt;判定条件!$C$6,"判定不能",IF(X874&gt;=判定条件!$C$7*W874,"運転",IF(X874&lt;=判定条件!$C$8*W874,"停止","断続")))</f>
        <v>断続</v>
      </c>
      <c r="Z874" s="30" t="n">
        <v>60</v>
      </c>
      <c r="AA874" s="30" t="n">
        <v>60</v>
      </c>
      <c r="AB874" s="30" t="str">
        <f aca="false">IF(Z874&lt;判定条件!$C$6,"判定不能",IF(AA874&gt;=判定条件!$C$7*Z874,"運転",IF(AA874&lt;=判定条件!$C$8*Z874,"停止","断続")))</f>
        <v>運転</v>
      </c>
      <c r="AC874" s="30" t="n">
        <v>60</v>
      </c>
      <c r="AD874" s="30" t="n">
        <v>60</v>
      </c>
      <c r="AE874" s="30" t="str">
        <f aca="false">IF(AC874&lt;判定条件!$C$6,"判定不能",IF(AD874&gt;=判定条件!$C$7*AC874,"運転",IF(AD874&lt;=判定条件!$C$8*AC874,"停止","断続")))</f>
        <v>運転</v>
      </c>
      <c r="AF874" s="30" t="n">
        <v>60</v>
      </c>
      <c r="AG874" s="30" t="n">
        <v>0</v>
      </c>
      <c r="AH874" s="30" t="str">
        <f aca="false">IF(OR(P874="判定不能",G874="判定不能"),"判定不能",IF(AG874&gt;=判定条件!$C$9,"利用可",IF(AND(P874="停止",G874="停止"),"両方停止","運転がそろわない")))</f>
        <v>運転がそろわない</v>
      </c>
      <c r="AI874" s="30" t="n">
        <v>0</v>
      </c>
      <c r="AJ874" s="30" t="n">
        <v>0</v>
      </c>
      <c r="AK874" s="30" t="str">
        <f aca="false">IF(OR(S874="判定不能",J874="判定不能"),"判定不能",IF(AJ874&gt;=判定条件!$C$9,"利用可",IF(AND(S874="停止",J874="停止"),"両方停止","運転がそろわない")))</f>
        <v>判定不能</v>
      </c>
      <c r="AL874" s="30" t="n">
        <v>60</v>
      </c>
      <c r="AM874" s="30" t="n">
        <v>55</v>
      </c>
      <c r="AN874" s="30" t="str">
        <f aca="false">IF(OR(V874="判定不能",M874="判定不能"),"判定不能",IF(AM874&gt;=判定条件!$C$9,"利用可",IF(AND(V874="停止",M874="停止"),"両方停止","運転がそろわない")))</f>
        <v>利用可</v>
      </c>
      <c r="AO874" s="30" t="n">
        <v>60</v>
      </c>
      <c r="AP874" s="30" t="n">
        <v>0</v>
      </c>
      <c r="AQ874" s="30" t="str">
        <f aca="false">IF(OR(Y874="判定不能",G874="判定不能"),"判定不能",IF(AP874&gt;=判定条件!$C$9,"利用可",IF(AND(Y874="停止",G874="停止"),"両方停止","運転がそろわない")))</f>
        <v>運転がそろわない</v>
      </c>
      <c r="AR874" s="30" t="n">
        <v>0</v>
      </c>
      <c r="AS874" s="30" t="n">
        <v>0</v>
      </c>
      <c r="AT874" s="30" t="str">
        <f aca="false">IF(OR(AB874="判定不能",J874="判定不能"),"判定不能",IF(AS874&gt;=判定条件!$C$9,"利用可",IF(AND(AB874="停止",J874="停止"),"両方停止","運転がそろわない")))</f>
        <v>判定不能</v>
      </c>
      <c r="AU874" s="30" t="n">
        <v>60</v>
      </c>
      <c r="AV874" s="30" t="n">
        <v>60</v>
      </c>
      <c r="AW874" s="30" t="str">
        <f aca="false">IF(OR(AE874="判定不能",M874="判定不能"),"判定不能",IF(AV874&gt;=判定条件!$C$9,"利用可",IF(AND(AE874="停止",M874="停止"),"両方停止","運転がそろわない")))</f>
        <v>利用可</v>
      </c>
      <c r="AX874" s="30" t="str">
        <f aca="false">IF(AND(AH874="利用可",AK874="利用可",AN874="利用可"),"利用可","不可")</f>
        <v>不可</v>
      </c>
      <c r="AY874" s="30" t="str">
        <f aca="false">IF(AND(AQ874="利用可",AT874="利用可",AW874="利用可"),"利用可","不可")</f>
        <v>不可</v>
      </c>
    </row>
    <row r="875" customFormat="false" ht="15" hidden="false" customHeight="false" outlineLevel="0" collapsed="false">
      <c r="A875" s="29" t="n">
        <v>46268</v>
      </c>
      <c r="B875" s="30" t="n">
        <v>8</v>
      </c>
      <c r="C875" s="31" t="s">
        <v>61</v>
      </c>
      <c r="D875" s="31" t="s">
        <v>59</v>
      </c>
      <c r="E875" s="30" t="n">
        <v>60</v>
      </c>
      <c r="F875" s="30" t="n">
        <v>18</v>
      </c>
      <c r="G875" s="30" t="str">
        <f aca="false">IF(E875&lt;判定条件!$C$6,"判定不能",IF(F875&gt;=判定条件!$C$7*E875,"運転",IF(F875&lt;=判定条件!$C$8*E875,"停止","断続")))</f>
        <v>断続</v>
      </c>
      <c r="H875" s="30" t="n">
        <v>0</v>
      </c>
      <c r="I875" s="30" t="n">
        <v>0</v>
      </c>
      <c r="J875" s="30" t="str">
        <f aca="false">IF(H875&lt;判定条件!$C$6,"判定不能",IF(I875&gt;=判定条件!$C$7*H875,"運転",IF(I875&lt;=判定条件!$C$8*H875,"停止","断続")))</f>
        <v>判定不能</v>
      </c>
      <c r="K875" s="30" t="n">
        <v>60</v>
      </c>
      <c r="L875" s="30" t="n">
        <v>60</v>
      </c>
      <c r="M875" s="30" t="str">
        <f aca="false">IF(K875&lt;判定条件!$C$6,"判定不能",IF(L875&gt;=判定条件!$C$7*K875,"運転",IF(L875&lt;=判定条件!$C$8*K875,"停止","断続")))</f>
        <v>運転</v>
      </c>
      <c r="N875" s="30" t="n">
        <v>60</v>
      </c>
      <c r="O875" s="30" t="n">
        <v>57</v>
      </c>
      <c r="P875" s="30" t="str">
        <f aca="false">IF(N875&lt;判定条件!$C$6,"判定不能",IF(O875&gt;=判定条件!$C$7*N875,"運転",IF(O875&lt;=判定条件!$C$8*N875,"停止","断続")))</f>
        <v>運転</v>
      </c>
      <c r="Q875" s="30" t="n">
        <v>60</v>
      </c>
      <c r="R875" s="30" t="n">
        <v>60</v>
      </c>
      <c r="S875" s="30" t="str">
        <f aca="false">IF(Q875&lt;判定条件!$C$6,"判定不能",IF(R875&gt;=判定条件!$C$7*Q875,"運転",IF(R875&lt;=判定条件!$C$8*Q875,"停止","断続")))</f>
        <v>運転</v>
      </c>
      <c r="T875" s="30" t="n">
        <v>60</v>
      </c>
      <c r="U875" s="30" t="n">
        <v>47</v>
      </c>
      <c r="V875" s="30" t="str">
        <f aca="false">IF(T875&lt;判定条件!$C$6,"判定不能",IF(U875&gt;=判定条件!$C$7*T875,"運転",IF(U875&lt;=判定条件!$C$8*T875,"停止","断続")))</f>
        <v>断続</v>
      </c>
      <c r="W875" s="30" t="n">
        <v>60</v>
      </c>
      <c r="X875" s="30" t="n">
        <v>42</v>
      </c>
      <c r="Y875" s="30" t="str">
        <f aca="false">IF(W875&lt;判定条件!$C$6,"判定不能",IF(X875&gt;=判定条件!$C$7*W875,"運転",IF(X875&lt;=判定条件!$C$8*W875,"停止","断続")))</f>
        <v>断続</v>
      </c>
      <c r="Z875" s="30" t="n">
        <v>60</v>
      </c>
      <c r="AA875" s="30" t="n">
        <v>60</v>
      </c>
      <c r="AB875" s="30" t="str">
        <f aca="false">IF(Z875&lt;判定条件!$C$6,"判定不能",IF(AA875&gt;=判定条件!$C$7*Z875,"運転",IF(AA875&lt;=判定条件!$C$8*Z875,"停止","断続")))</f>
        <v>運転</v>
      </c>
      <c r="AC875" s="30" t="n">
        <v>60</v>
      </c>
      <c r="AD875" s="30" t="n">
        <v>60</v>
      </c>
      <c r="AE875" s="30" t="str">
        <f aca="false">IF(AC875&lt;判定条件!$C$6,"判定不能",IF(AD875&gt;=判定条件!$C$7*AC875,"運転",IF(AD875&lt;=判定条件!$C$8*AC875,"停止","断続")))</f>
        <v>運転</v>
      </c>
      <c r="AF875" s="30" t="n">
        <v>60</v>
      </c>
      <c r="AG875" s="30" t="n">
        <v>18</v>
      </c>
      <c r="AH875" s="30" t="str">
        <f aca="false">IF(OR(P875="判定不能",G875="判定不能"),"判定不能",IF(AG875&gt;=判定条件!$C$9,"利用可",IF(AND(P875="停止",G875="停止"),"両方停止","運転がそろわない")))</f>
        <v>運転がそろわない</v>
      </c>
      <c r="AI875" s="30" t="n">
        <v>0</v>
      </c>
      <c r="AJ875" s="30" t="n">
        <v>0</v>
      </c>
      <c r="AK875" s="30" t="str">
        <f aca="false">IF(OR(S875="判定不能",J875="判定不能"),"判定不能",IF(AJ875&gt;=判定条件!$C$9,"利用可",IF(AND(S875="停止",J875="停止"),"両方停止","運転がそろわない")))</f>
        <v>判定不能</v>
      </c>
      <c r="AL875" s="30" t="n">
        <v>60</v>
      </c>
      <c r="AM875" s="30" t="n">
        <v>47</v>
      </c>
      <c r="AN875" s="30" t="str">
        <f aca="false">IF(OR(V875="判定不能",M875="判定不能"),"判定不能",IF(AM875&gt;=判定条件!$C$9,"利用可",IF(AND(V875="停止",M875="停止"),"両方停止","運転がそろわない")))</f>
        <v>利用可</v>
      </c>
      <c r="AO875" s="30" t="n">
        <v>60</v>
      </c>
      <c r="AP875" s="30" t="n">
        <v>14</v>
      </c>
      <c r="AQ875" s="30" t="str">
        <f aca="false">IF(OR(Y875="判定不能",G875="判定不能"),"判定不能",IF(AP875&gt;=判定条件!$C$9,"利用可",IF(AND(Y875="停止",G875="停止"),"両方停止","運転がそろわない")))</f>
        <v>運転がそろわない</v>
      </c>
      <c r="AR875" s="30" t="n">
        <v>0</v>
      </c>
      <c r="AS875" s="30" t="n">
        <v>0</v>
      </c>
      <c r="AT875" s="30" t="str">
        <f aca="false">IF(OR(AB875="判定不能",J875="判定不能"),"判定不能",IF(AS875&gt;=判定条件!$C$9,"利用可",IF(AND(AB875="停止",J875="停止"),"両方停止","運転がそろわない")))</f>
        <v>判定不能</v>
      </c>
      <c r="AU875" s="30" t="n">
        <v>60</v>
      </c>
      <c r="AV875" s="30" t="n">
        <v>60</v>
      </c>
      <c r="AW875" s="30" t="str">
        <f aca="false">IF(OR(AE875="判定不能",M875="判定不能"),"判定不能",IF(AV875&gt;=判定条件!$C$9,"利用可",IF(AND(AE875="停止",M875="停止"),"両方停止","運転がそろわない")))</f>
        <v>利用可</v>
      </c>
      <c r="AX875" s="30" t="str">
        <f aca="false">IF(AND(AH875="利用可",AK875="利用可",AN875="利用可"),"利用可","不可")</f>
        <v>不可</v>
      </c>
      <c r="AY875" s="30" t="str">
        <f aca="false">IF(AND(AQ875="利用可",AT875="利用可",AW875="利用可"),"利用可","不可")</f>
        <v>不可</v>
      </c>
    </row>
    <row r="876" customFormat="false" ht="15" hidden="false" customHeight="false" outlineLevel="0" collapsed="false">
      <c r="A876" s="29" t="n">
        <v>46268</v>
      </c>
      <c r="B876" s="30" t="n">
        <v>9</v>
      </c>
      <c r="C876" s="31" t="s">
        <v>61</v>
      </c>
      <c r="D876" s="31" t="s">
        <v>59</v>
      </c>
      <c r="E876" s="30" t="n">
        <v>60</v>
      </c>
      <c r="F876" s="30" t="n">
        <v>60</v>
      </c>
      <c r="G876" s="30" t="str">
        <f aca="false">IF(E876&lt;判定条件!$C$6,"判定不能",IF(F876&gt;=判定条件!$C$7*E876,"運転",IF(F876&lt;=判定条件!$C$8*E876,"停止","断続")))</f>
        <v>運転</v>
      </c>
      <c r="H876" s="30" t="n">
        <v>0</v>
      </c>
      <c r="I876" s="30" t="n">
        <v>0</v>
      </c>
      <c r="J876" s="30" t="str">
        <f aca="false">IF(H876&lt;判定条件!$C$6,"判定不能",IF(I876&gt;=判定条件!$C$7*H876,"運転",IF(I876&lt;=判定条件!$C$8*H876,"停止","断続")))</f>
        <v>判定不能</v>
      </c>
      <c r="K876" s="30" t="n">
        <v>60</v>
      </c>
      <c r="L876" s="30" t="n">
        <v>60</v>
      </c>
      <c r="M876" s="30" t="str">
        <f aca="false">IF(K876&lt;判定条件!$C$6,"判定不能",IF(L876&gt;=判定条件!$C$7*K876,"運転",IF(L876&lt;=判定条件!$C$8*K876,"停止","断続")))</f>
        <v>運転</v>
      </c>
      <c r="N876" s="30" t="n">
        <v>60</v>
      </c>
      <c r="O876" s="30" t="n">
        <v>60</v>
      </c>
      <c r="P876" s="30" t="str">
        <f aca="false">IF(N876&lt;判定条件!$C$6,"判定不能",IF(O876&gt;=判定条件!$C$7*N876,"運転",IF(O876&lt;=判定条件!$C$8*N876,"停止","断続")))</f>
        <v>運転</v>
      </c>
      <c r="Q876" s="30" t="n">
        <v>60</v>
      </c>
      <c r="R876" s="30" t="n">
        <v>60</v>
      </c>
      <c r="S876" s="30" t="str">
        <f aca="false">IF(Q876&lt;判定条件!$C$6,"判定不能",IF(R876&gt;=判定条件!$C$7*Q876,"運転",IF(R876&lt;=判定条件!$C$8*Q876,"停止","断続")))</f>
        <v>運転</v>
      </c>
      <c r="T876" s="30" t="n">
        <v>60</v>
      </c>
      <c r="U876" s="30" t="n">
        <v>60</v>
      </c>
      <c r="V876" s="30" t="str">
        <f aca="false">IF(T876&lt;判定条件!$C$6,"判定不能",IF(U876&gt;=判定条件!$C$7*T876,"運転",IF(U876&lt;=判定条件!$C$8*T876,"停止","断続")))</f>
        <v>運転</v>
      </c>
      <c r="W876" s="30" t="n">
        <v>60</v>
      </c>
      <c r="X876" s="30" t="n">
        <v>60</v>
      </c>
      <c r="Y876" s="30" t="str">
        <f aca="false">IF(W876&lt;判定条件!$C$6,"判定不能",IF(X876&gt;=判定条件!$C$7*W876,"運転",IF(X876&lt;=判定条件!$C$8*W876,"停止","断続")))</f>
        <v>運転</v>
      </c>
      <c r="Z876" s="30" t="n">
        <v>60</v>
      </c>
      <c r="AA876" s="30" t="n">
        <v>60</v>
      </c>
      <c r="AB876" s="30" t="str">
        <f aca="false">IF(Z876&lt;判定条件!$C$6,"判定不能",IF(AA876&gt;=判定条件!$C$7*Z876,"運転",IF(AA876&lt;=判定条件!$C$8*Z876,"停止","断続")))</f>
        <v>運転</v>
      </c>
      <c r="AC876" s="30" t="n">
        <v>60</v>
      </c>
      <c r="AD876" s="30" t="n">
        <v>60</v>
      </c>
      <c r="AE876" s="30" t="str">
        <f aca="false">IF(AC876&lt;判定条件!$C$6,"判定不能",IF(AD876&gt;=判定条件!$C$7*AC876,"運転",IF(AD876&lt;=判定条件!$C$8*AC876,"停止","断続")))</f>
        <v>運転</v>
      </c>
      <c r="AF876" s="30" t="n">
        <v>60</v>
      </c>
      <c r="AG876" s="30" t="n">
        <v>60</v>
      </c>
      <c r="AH876" s="30" t="str">
        <f aca="false">IF(OR(P876="判定不能",G876="判定不能"),"判定不能",IF(AG876&gt;=判定条件!$C$9,"利用可",IF(AND(P876="停止",G876="停止"),"両方停止","運転がそろわない")))</f>
        <v>利用可</v>
      </c>
      <c r="AI876" s="30" t="n">
        <v>0</v>
      </c>
      <c r="AJ876" s="30" t="n">
        <v>0</v>
      </c>
      <c r="AK876" s="30" t="str">
        <f aca="false">IF(OR(S876="判定不能",J876="判定不能"),"判定不能",IF(AJ876&gt;=判定条件!$C$9,"利用可",IF(AND(S876="停止",J876="停止"),"両方停止","運転がそろわない")))</f>
        <v>判定不能</v>
      </c>
      <c r="AL876" s="30" t="n">
        <v>60</v>
      </c>
      <c r="AM876" s="30" t="n">
        <v>60</v>
      </c>
      <c r="AN876" s="30" t="str">
        <f aca="false">IF(OR(V876="判定不能",M876="判定不能"),"判定不能",IF(AM876&gt;=判定条件!$C$9,"利用可",IF(AND(V876="停止",M876="停止"),"両方停止","運転がそろわない")))</f>
        <v>利用可</v>
      </c>
      <c r="AO876" s="30" t="n">
        <v>60</v>
      </c>
      <c r="AP876" s="30" t="n">
        <v>60</v>
      </c>
      <c r="AQ876" s="30" t="str">
        <f aca="false">IF(OR(Y876="判定不能",G876="判定不能"),"判定不能",IF(AP876&gt;=判定条件!$C$9,"利用可",IF(AND(Y876="停止",G876="停止"),"両方停止","運転がそろわない")))</f>
        <v>利用可</v>
      </c>
      <c r="AR876" s="30" t="n">
        <v>0</v>
      </c>
      <c r="AS876" s="30" t="n">
        <v>0</v>
      </c>
      <c r="AT876" s="30" t="str">
        <f aca="false">IF(OR(AB876="判定不能",J876="判定不能"),"判定不能",IF(AS876&gt;=判定条件!$C$9,"利用可",IF(AND(AB876="停止",J876="停止"),"両方停止","運転がそろわない")))</f>
        <v>判定不能</v>
      </c>
      <c r="AU876" s="30" t="n">
        <v>60</v>
      </c>
      <c r="AV876" s="30" t="n">
        <v>60</v>
      </c>
      <c r="AW876" s="30" t="str">
        <f aca="false">IF(OR(AE876="判定不能",M876="判定不能"),"判定不能",IF(AV876&gt;=判定条件!$C$9,"利用可",IF(AND(AE876="停止",M876="停止"),"両方停止","運転がそろわない")))</f>
        <v>利用可</v>
      </c>
      <c r="AX876" s="30" t="str">
        <f aca="false">IF(AND(AH876="利用可",AK876="利用可",AN876="利用可"),"利用可","不可")</f>
        <v>不可</v>
      </c>
      <c r="AY876" s="30" t="str">
        <f aca="false">IF(AND(AQ876="利用可",AT876="利用可",AW876="利用可"),"利用可","不可")</f>
        <v>不可</v>
      </c>
    </row>
    <row r="877" customFormat="false" ht="15" hidden="false" customHeight="false" outlineLevel="0" collapsed="false">
      <c r="A877" s="29" t="n">
        <v>46268</v>
      </c>
      <c r="B877" s="30" t="n">
        <v>10</v>
      </c>
      <c r="C877" s="31" t="s">
        <v>61</v>
      </c>
      <c r="D877" s="31" t="s">
        <v>59</v>
      </c>
      <c r="E877" s="30" t="n">
        <v>60</v>
      </c>
      <c r="F877" s="30" t="n">
        <v>60</v>
      </c>
      <c r="G877" s="30" t="str">
        <f aca="false">IF(E877&lt;判定条件!$C$6,"判定不能",IF(F877&gt;=判定条件!$C$7*E877,"運転",IF(F877&lt;=判定条件!$C$8*E877,"停止","断続")))</f>
        <v>運転</v>
      </c>
      <c r="H877" s="30" t="n">
        <v>0</v>
      </c>
      <c r="I877" s="30" t="n">
        <v>0</v>
      </c>
      <c r="J877" s="30" t="str">
        <f aca="false">IF(H877&lt;判定条件!$C$6,"判定不能",IF(I877&gt;=判定条件!$C$7*H877,"運転",IF(I877&lt;=判定条件!$C$8*H877,"停止","断続")))</f>
        <v>判定不能</v>
      </c>
      <c r="K877" s="30" t="n">
        <v>60</v>
      </c>
      <c r="L877" s="30" t="n">
        <v>60</v>
      </c>
      <c r="M877" s="30" t="str">
        <f aca="false">IF(K877&lt;判定条件!$C$6,"判定不能",IF(L877&gt;=判定条件!$C$7*K877,"運転",IF(L877&lt;=判定条件!$C$8*K877,"停止","断続")))</f>
        <v>運転</v>
      </c>
      <c r="N877" s="30" t="n">
        <v>60</v>
      </c>
      <c r="O877" s="30" t="n">
        <v>60</v>
      </c>
      <c r="P877" s="30" t="str">
        <f aca="false">IF(N877&lt;判定条件!$C$6,"判定不能",IF(O877&gt;=判定条件!$C$7*N877,"運転",IF(O877&lt;=判定条件!$C$8*N877,"停止","断続")))</f>
        <v>運転</v>
      </c>
      <c r="Q877" s="30" t="n">
        <v>60</v>
      </c>
      <c r="R877" s="30" t="n">
        <v>60</v>
      </c>
      <c r="S877" s="30" t="str">
        <f aca="false">IF(Q877&lt;判定条件!$C$6,"判定不能",IF(R877&gt;=判定条件!$C$7*Q877,"運転",IF(R877&lt;=判定条件!$C$8*Q877,"停止","断続")))</f>
        <v>運転</v>
      </c>
      <c r="T877" s="30" t="n">
        <v>60</v>
      </c>
      <c r="U877" s="30" t="n">
        <v>60</v>
      </c>
      <c r="V877" s="30" t="str">
        <f aca="false">IF(T877&lt;判定条件!$C$6,"判定不能",IF(U877&gt;=判定条件!$C$7*T877,"運転",IF(U877&lt;=判定条件!$C$8*T877,"停止","断続")))</f>
        <v>運転</v>
      </c>
      <c r="W877" s="30" t="n">
        <v>60</v>
      </c>
      <c r="X877" s="30" t="n">
        <v>35</v>
      </c>
      <c r="Y877" s="30" t="str">
        <f aca="false">IF(W877&lt;判定条件!$C$6,"判定不能",IF(X877&gt;=判定条件!$C$7*W877,"運転",IF(X877&lt;=判定条件!$C$8*W877,"停止","断続")))</f>
        <v>断続</v>
      </c>
      <c r="Z877" s="30" t="n">
        <v>60</v>
      </c>
      <c r="AA877" s="30" t="n">
        <v>60</v>
      </c>
      <c r="AB877" s="30" t="str">
        <f aca="false">IF(Z877&lt;判定条件!$C$6,"判定不能",IF(AA877&gt;=判定条件!$C$7*Z877,"運転",IF(AA877&lt;=判定条件!$C$8*Z877,"停止","断続")))</f>
        <v>運転</v>
      </c>
      <c r="AC877" s="30" t="n">
        <v>60</v>
      </c>
      <c r="AD877" s="30" t="n">
        <v>51</v>
      </c>
      <c r="AE877" s="30" t="str">
        <f aca="false">IF(AC877&lt;判定条件!$C$6,"判定不能",IF(AD877&gt;=判定条件!$C$7*AC877,"運転",IF(AD877&lt;=判定条件!$C$8*AC877,"停止","断続")))</f>
        <v>運転</v>
      </c>
      <c r="AF877" s="30" t="n">
        <v>60</v>
      </c>
      <c r="AG877" s="30" t="n">
        <v>60</v>
      </c>
      <c r="AH877" s="30" t="str">
        <f aca="false">IF(OR(P877="判定不能",G877="判定不能"),"判定不能",IF(AG877&gt;=判定条件!$C$9,"利用可",IF(AND(P877="停止",G877="停止"),"両方停止","運転がそろわない")))</f>
        <v>利用可</v>
      </c>
      <c r="AI877" s="30" t="n">
        <v>0</v>
      </c>
      <c r="AJ877" s="30" t="n">
        <v>0</v>
      </c>
      <c r="AK877" s="30" t="str">
        <f aca="false">IF(OR(S877="判定不能",J877="判定不能"),"判定不能",IF(AJ877&gt;=判定条件!$C$9,"利用可",IF(AND(S877="停止",J877="停止"),"両方停止","運転がそろわない")))</f>
        <v>判定不能</v>
      </c>
      <c r="AL877" s="30" t="n">
        <v>60</v>
      </c>
      <c r="AM877" s="30" t="n">
        <v>60</v>
      </c>
      <c r="AN877" s="30" t="str">
        <f aca="false">IF(OR(V877="判定不能",M877="判定不能"),"判定不能",IF(AM877&gt;=判定条件!$C$9,"利用可",IF(AND(V877="停止",M877="停止"),"両方停止","運転がそろわない")))</f>
        <v>利用可</v>
      </c>
      <c r="AO877" s="30" t="n">
        <v>60</v>
      </c>
      <c r="AP877" s="30" t="n">
        <v>35</v>
      </c>
      <c r="AQ877" s="30" t="str">
        <f aca="false">IF(OR(Y877="判定不能",G877="判定不能"),"判定不能",IF(AP877&gt;=判定条件!$C$9,"利用可",IF(AND(Y877="停止",G877="停止"),"両方停止","運転がそろわない")))</f>
        <v>利用可</v>
      </c>
      <c r="AR877" s="30" t="n">
        <v>0</v>
      </c>
      <c r="AS877" s="30" t="n">
        <v>0</v>
      </c>
      <c r="AT877" s="30" t="str">
        <f aca="false">IF(OR(AB877="判定不能",J877="判定不能"),"判定不能",IF(AS877&gt;=判定条件!$C$9,"利用可",IF(AND(AB877="停止",J877="停止"),"両方停止","運転がそろわない")))</f>
        <v>判定不能</v>
      </c>
      <c r="AU877" s="30" t="n">
        <v>60</v>
      </c>
      <c r="AV877" s="30" t="n">
        <v>51</v>
      </c>
      <c r="AW877" s="30" t="str">
        <f aca="false">IF(OR(AE877="判定不能",M877="判定不能"),"判定不能",IF(AV877&gt;=判定条件!$C$9,"利用可",IF(AND(AE877="停止",M877="停止"),"両方停止","運転がそろわない")))</f>
        <v>利用可</v>
      </c>
      <c r="AX877" s="30" t="str">
        <f aca="false">IF(AND(AH877="利用可",AK877="利用可",AN877="利用可"),"利用可","不可")</f>
        <v>不可</v>
      </c>
      <c r="AY877" s="30" t="str">
        <f aca="false">IF(AND(AQ877="利用可",AT877="利用可",AW877="利用可"),"利用可","不可")</f>
        <v>不可</v>
      </c>
    </row>
    <row r="878" customFormat="false" ht="15" hidden="false" customHeight="false" outlineLevel="0" collapsed="false">
      <c r="A878" s="29" t="n">
        <v>46268</v>
      </c>
      <c r="B878" s="30" t="n">
        <v>11</v>
      </c>
      <c r="C878" s="31" t="s">
        <v>61</v>
      </c>
      <c r="D878" s="31" t="s">
        <v>59</v>
      </c>
      <c r="E878" s="30" t="n">
        <v>60</v>
      </c>
      <c r="F878" s="30" t="n">
        <v>60</v>
      </c>
      <c r="G878" s="30" t="str">
        <f aca="false">IF(E878&lt;判定条件!$C$6,"判定不能",IF(F878&gt;=判定条件!$C$7*E878,"運転",IF(F878&lt;=判定条件!$C$8*E878,"停止","断続")))</f>
        <v>運転</v>
      </c>
      <c r="H878" s="30" t="n">
        <v>0</v>
      </c>
      <c r="I878" s="30" t="n">
        <v>0</v>
      </c>
      <c r="J878" s="30" t="str">
        <f aca="false">IF(H878&lt;判定条件!$C$6,"判定不能",IF(I878&gt;=判定条件!$C$7*H878,"運転",IF(I878&lt;=判定条件!$C$8*H878,"停止","断続")))</f>
        <v>判定不能</v>
      </c>
      <c r="K878" s="30" t="n">
        <v>60</v>
      </c>
      <c r="L878" s="30" t="n">
        <v>60</v>
      </c>
      <c r="M878" s="30" t="str">
        <f aca="false">IF(K878&lt;判定条件!$C$6,"判定不能",IF(L878&gt;=判定条件!$C$7*K878,"運転",IF(L878&lt;=判定条件!$C$8*K878,"停止","断続")))</f>
        <v>運転</v>
      </c>
      <c r="N878" s="30" t="n">
        <v>60</v>
      </c>
      <c r="O878" s="30" t="n">
        <v>60</v>
      </c>
      <c r="P878" s="30" t="str">
        <f aca="false">IF(N878&lt;判定条件!$C$6,"判定不能",IF(O878&gt;=判定条件!$C$7*N878,"運転",IF(O878&lt;=判定条件!$C$8*N878,"停止","断続")))</f>
        <v>運転</v>
      </c>
      <c r="Q878" s="30" t="n">
        <v>60</v>
      </c>
      <c r="R878" s="30" t="n">
        <v>51</v>
      </c>
      <c r="S878" s="30" t="str">
        <f aca="false">IF(Q878&lt;判定条件!$C$6,"判定不能",IF(R878&gt;=判定条件!$C$7*Q878,"運転",IF(R878&lt;=判定条件!$C$8*Q878,"停止","断続")))</f>
        <v>運転</v>
      </c>
      <c r="T878" s="30" t="n">
        <v>60</v>
      </c>
      <c r="U878" s="30" t="n">
        <v>60</v>
      </c>
      <c r="V878" s="30" t="str">
        <f aca="false">IF(T878&lt;判定条件!$C$6,"判定不能",IF(U878&gt;=判定条件!$C$7*T878,"運転",IF(U878&lt;=判定条件!$C$8*T878,"停止","断続")))</f>
        <v>運転</v>
      </c>
      <c r="W878" s="30" t="n">
        <v>60</v>
      </c>
      <c r="X878" s="30" t="n">
        <v>60</v>
      </c>
      <c r="Y878" s="30" t="str">
        <f aca="false">IF(W878&lt;判定条件!$C$6,"判定不能",IF(X878&gt;=判定条件!$C$7*W878,"運転",IF(X878&lt;=判定条件!$C$8*W878,"停止","断続")))</f>
        <v>運転</v>
      </c>
      <c r="Z878" s="30" t="n">
        <v>60</v>
      </c>
      <c r="AA878" s="30" t="n">
        <v>60</v>
      </c>
      <c r="AB878" s="30" t="str">
        <f aca="false">IF(Z878&lt;判定条件!$C$6,"判定不能",IF(AA878&gt;=判定条件!$C$7*Z878,"運転",IF(AA878&lt;=判定条件!$C$8*Z878,"停止","断続")))</f>
        <v>運転</v>
      </c>
      <c r="AC878" s="30" t="n">
        <v>60</v>
      </c>
      <c r="AD878" s="30" t="n">
        <v>60</v>
      </c>
      <c r="AE878" s="30" t="str">
        <f aca="false">IF(AC878&lt;判定条件!$C$6,"判定不能",IF(AD878&gt;=判定条件!$C$7*AC878,"運転",IF(AD878&lt;=判定条件!$C$8*AC878,"停止","断続")))</f>
        <v>運転</v>
      </c>
      <c r="AF878" s="30" t="n">
        <v>60</v>
      </c>
      <c r="AG878" s="30" t="n">
        <v>60</v>
      </c>
      <c r="AH878" s="30" t="str">
        <f aca="false">IF(OR(P878="判定不能",G878="判定不能"),"判定不能",IF(AG878&gt;=判定条件!$C$9,"利用可",IF(AND(P878="停止",G878="停止"),"両方停止","運転がそろわない")))</f>
        <v>利用可</v>
      </c>
      <c r="AI878" s="30" t="n">
        <v>0</v>
      </c>
      <c r="AJ878" s="30" t="n">
        <v>0</v>
      </c>
      <c r="AK878" s="30" t="str">
        <f aca="false">IF(OR(S878="判定不能",J878="判定不能"),"判定不能",IF(AJ878&gt;=判定条件!$C$9,"利用可",IF(AND(S878="停止",J878="停止"),"両方停止","運転がそろわない")))</f>
        <v>判定不能</v>
      </c>
      <c r="AL878" s="30" t="n">
        <v>60</v>
      </c>
      <c r="AM878" s="30" t="n">
        <v>60</v>
      </c>
      <c r="AN878" s="30" t="str">
        <f aca="false">IF(OR(V878="判定不能",M878="判定不能"),"判定不能",IF(AM878&gt;=判定条件!$C$9,"利用可",IF(AND(V878="停止",M878="停止"),"両方停止","運転がそろわない")))</f>
        <v>利用可</v>
      </c>
      <c r="AO878" s="30" t="n">
        <v>60</v>
      </c>
      <c r="AP878" s="30" t="n">
        <v>60</v>
      </c>
      <c r="AQ878" s="30" t="str">
        <f aca="false">IF(OR(Y878="判定不能",G878="判定不能"),"判定不能",IF(AP878&gt;=判定条件!$C$9,"利用可",IF(AND(Y878="停止",G878="停止"),"両方停止","運転がそろわない")))</f>
        <v>利用可</v>
      </c>
      <c r="AR878" s="30" t="n">
        <v>0</v>
      </c>
      <c r="AS878" s="30" t="n">
        <v>0</v>
      </c>
      <c r="AT878" s="30" t="str">
        <f aca="false">IF(OR(AB878="判定不能",J878="判定不能"),"判定不能",IF(AS878&gt;=判定条件!$C$9,"利用可",IF(AND(AB878="停止",J878="停止"),"両方停止","運転がそろわない")))</f>
        <v>判定不能</v>
      </c>
      <c r="AU878" s="30" t="n">
        <v>60</v>
      </c>
      <c r="AV878" s="30" t="n">
        <v>60</v>
      </c>
      <c r="AW878" s="30" t="str">
        <f aca="false">IF(OR(AE878="判定不能",M878="判定不能"),"判定不能",IF(AV878&gt;=判定条件!$C$9,"利用可",IF(AND(AE878="停止",M878="停止"),"両方停止","運転がそろわない")))</f>
        <v>利用可</v>
      </c>
      <c r="AX878" s="30" t="str">
        <f aca="false">IF(AND(AH878="利用可",AK878="利用可",AN878="利用可"),"利用可","不可")</f>
        <v>不可</v>
      </c>
      <c r="AY878" s="30" t="str">
        <f aca="false">IF(AND(AQ878="利用可",AT878="利用可",AW878="利用可"),"利用可","不可")</f>
        <v>不可</v>
      </c>
    </row>
    <row r="879" customFormat="false" ht="15" hidden="false" customHeight="false" outlineLevel="0" collapsed="false">
      <c r="A879" s="29" t="n">
        <v>46268</v>
      </c>
      <c r="B879" s="30" t="n">
        <v>12</v>
      </c>
      <c r="C879" s="31" t="s">
        <v>61</v>
      </c>
      <c r="D879" s="31" t="s">
        <v>59</v>
      </c>
      <c r="E879" s="30" t="n">
        <v>60</v>
      </c>
      <c r="F879" s="30" t="n">
        <v>54</v>
      </c>
      <c r="G879" s="30" t="str">
        <f aca="false">IF(E879&lt;判定条件!$C$6,"判定不能",IF(F879&gt;=判定条件!$C$7*E879,"運転",IF(F879&lt;=判定条件!$C$8*E879,"停止","断続")))</f>
        <v>運転</v>
      </c>
      <c r="H879" s="30" t="n">
        <v>0</v>
      </c>
      <c r="I879" s="30" t="n">
        <v>0</v>
      </c>
      <c r="J879" s="30" t="str">
        <f aca="false">IF(H879&lt;判定条件!$C$6,"判定不能",IF(I879&gt;=判定条件!$C$7*H879,"運転",IF(I879&lt;=判定条件!$C$8*H879,"停止","断続")))</f>
        <v>判定不能</v>
      </c>
      <c r="K879" s="30" t="n">
        <v>60</v>
      </c>
      <c r="L879" s="30" t="n">
        <v>60</v>
      </c>
      <c r="M879" s="30" t="str">
        <f aca="false">IF(K879&lt;判定条件!$C$6,"判定不能",IF(L879&gt;=判定条件!$C$7*K879,"運転",IF(L879&lt;=判定条件!$C$8*K879,"停止","断続")))</f>
        <v>運転</v>
      </c>
      <c r="N879" s="30" t="n">
        <v>60</v>
      </c>
      <c r="O879" s="30" t="n">
        <v>59</v>
      </c>
      <c r="P879" s="30" t="str">
        <f aca="false">IF(N879&lt;判定条件!$C$6,"判定不能",IF(O879&gt;=判定条件!$C$7*N879,"運転",IF(O879&lt;=判定条件!$C$8*N879,"停止","断続")))</f>
        <v>運転</v>
      </c>
      <c r="Q879" s="30" t="n">
        <v>60</v>
      </c>
      <c r="R879" s="30" t="n">
        <v>60</v>
      </c>
      <c r="S879" s="30" t="str">
        <f aca="false">IF(Q879&lt;判定条件!$C$6,"判定不能",IF(R879&gt;=判定条件!$C$7*Q879,"運転",IF(R879&lt;=判定条件!$C$8*Q879,"停止","断続")))</f>
        <v>運転</v>
      </c>
      <c r="T879" s="30" t="n">
        <v>60</v>
      </c>
      <c r="U879" s="30" t="n">
        <v>59</v>
      </c>
      <c r="V879" s="30" t="str">
        <f aca="false">IF(T879&lt;判定条件!$C$6,"判定不能",IF(U879&gt;=判定条件!$C$7*T879,"運転",IF(U879&lt;=判定条件!$C$8*T879,"停止","断続")))</f>
        <v>運転</v>
      </c>
      <c r="W879" s="30" t="n">
        <v>60</v>
      </c>
      <c r="X879" s="30" t="n">
        <v>60</v>
      </c>
      <c r="Y879" s="30" t="str">
        <f aca="false">IF(W879&lt;判定条件!$C$6,"判定不能",IF(X879&gt;=判定条件!$C$7*W879,"運転",IF(X879&lt;=判定条件!$C$8*W879,"停止","断続")))</f>
        <v>運転</v>
      </c>
      <c r="Z879" s="30" t="n">
        <v>60</v>
      </c>
      <c r="AA879" s="30" t="n">
        <v>60</v>
      </c>
      <c r="AB879" s="30" t="str">
        <f aca="false">IF(Z879&lt;判定条件!$C$6,"判定不能",IF(AA879&gt;=判定条件!$C$7*Z879,"運転",IF(AA879&lt;=判定条件!$C$8*Z879,"停止","断続")))</f>
        <v>運転</v>
      </c>
      <c r="AC879" s="30" t="n">
        <v>60</v>
      </c>
      <c r="AD879" s="30" t="n">
        <v>60</v>
      </c>
      <c r="AE879" s="30" t="str">
        <f aca="false">IF(AC879&lt;判定条件!$C$6,"判定不能",IF(AD879&gt;=判定条件!$C$7*AC879,"運転",IF(AD879&lt;=判定条件!$C$8*AC879,"停止","断続")))</f>
        <v>運転</v>
      </c>
      <c r="AF879" s="30" t="n">
        <v>60</v>
      </c>
      <c r="AG879" s="30" t="n">
        <v>53</v>
      </c>
      <c r="AH879" s="30" t="str">
        <f aca="false">IF(OR(P879="判定不能",G879="判定不能"),"判定不能",IF(AG879&gt;=判定条件!$C$9,"利用可",IF(AND(P879="停止",G879="停止"),"両方停止","運転がそろわない")))</f>
        <v>利用可</v>
      </c>
      <c r="AI879" s="30" t="n">
        <v>0</v>
      </c>
      <c r="AJ879" s="30" t="n">
        <v>0</v>
      </c>
      <c r="AK879" s="30" t="str">
        <f aca="false">IF(OR(S879="判定不能",J879="判定不能"),"判定不能",IF(AJ879&gt;=判定条件!$C$9,"利用可",IF(AND(S879="停止",J879="停止"),"両方停止","運転がそろわない")))</f>
        <v>判定不能</v>
      </c>
      <c r="AL879" s="30" t="n">
        <v>60</v>
      </c>
      <c r="AM879" s="30" t="n">
        <v>59</v>
      </c>
      <c r="AN879" s="30" t="str">
        <f aca="false">IF(OR(V879="判定不能",M879="判定不能"),"判定不能",IF(AM879&gt;=判定条件!$C$9,"利用可",IF(AND(V879="停止",M879="停止"),"両方停止","運転がそろわない")))</f>
        <v>利用可</v>
      </c>
      <c r="AO879" s="30" t="n">
        <v>60</v>
      </c>
      <c r="AP879" s="30" t="n">
        <v>54</v>
      </c>
      <c r="AQ879" s="30" t="str">
        <f aca="false">IF(OR(Y879="判定不能",G879="判定不能"),"判定不能",IF(AP879&gt;=判定条件!$C$9,"利用可",IF(AND(Y879="停止",G879="停止"),"両方停止","運転がそろわない")))</f>
        <v>利用可</v>
      </c>
      <c r="AR879" s="30" t="n">
        <v>0</v>
      </c>
      <c r="AS879" s="30" t="n">
        <v>0</v>
      </c>
      <c r="AT879" s="30" t="str">
        <f aca="false">IF(OR(AB879="判定不能",J879="判定不能"),"判定不能",IF(AS879&gt;=判定条件!$C$9,"利用可",IF(AND(AB879="停止",J879="停止"),"両方停止","運転がそろわない")))</f>
        <v>判定不能</v>
      </c>
      <c r="AU879" s="30" t="n">
        <v>60</v>
      </c>
      <c r="AV879" s="30" t="n">
        <v>60</v>
      </c>
      <c r="AW879" s="30" t="str">
        <f aca="false">IF(OR(AE879="判定不能",M879="判定不能"),"判定不能",IF(AV879&gt;=判定条件!$C$9,"利用可",IF(AND(AE879="停止",M879="停止"),"両方停止","運転がそろわない")))</f>
        <v>利用可</v>
      </c>
      <c r="AX879" s="30" t="str">
        <f aca="false">IF(AND(AH879="利用可",AK879="利用可",AN879="利用可"),"利用可","不可")</f>
        <v>不可</v>
      </c>
      <c r="AY879" s="30" t="str">
        <f aca="false">IF(AND(AQ879="利用可",AT879="利用可",AW879="利用可"),"利用可","不可")</f>
        <v>不可</v>
      </c>
    </row>
    <row r="880" customFormat="false" ht="15" hidden="false" customHeight="false" outlineLevel="0" collapsed="false">
      <c r="A880" s="29" t="n">
        <v>46268</v>
      </c>
      <c r="B880" s="30" t="n">
        <v>13</v>
      </c>
      <c r="C880" s="31" t="s">
        <v>61</v>
      </c>
      <c r="D880" s="31" t="s">
        <v>59</v>
      </c>
      <c r="E880" s="30" t="n">
        <v>60</v>
      </c>
      <c r="F880" s="30" t="n">
        <v>60</v>
      </c>
      <c r="G880" s="30" t="str">
        <f aca="false">IF(E880&lt;判定条件!$C$6,"判定不能",IF(F880&gt;=判定条件!$C$7*E880,"運転",IF(F880&lt;=判定条件!$C$8*E880,"停止","断続")))</f>
        <v>運転</v>
      </c>
      <c r="H880" s="30" t="n">
        <v>0</v>
      </c>
      <c r="I880" s="30" t="n">
        <v>0</v>
      </c>
      <c r="J880" s="30" t="str">
        <f aca="false">IF(H880&lt;判定条件!$C$6,"判定不能",IF(I880&gt;=判定条件!$C$7*H880,"運転",IF(I880&lt;=判定条件!$C$8*H880,"停止","断続")))</f>
        <v>判定不能</v>
      </c>
      <c r="K880" s="30" t="n">
        <v>60</v>
      </c>
      <c r="L880" s="30" t="n">
        <v>60</v>
      </c>
      <c r="M880" s="30" t="str">
        <f aca="false">IF(K880&lt;判定条件!$C$6,"判定不能",IF(L880&gt;=判定条件!$C$7*K880,"運転",IF(L880&lt;=判定条件!$C$8*K880,"停止","断続")))</f>
        <v>運転</v>
      </c>
      <c r="N880" s="30" t="n">
        <v>60</v>
      </c>
      <c r="O880" s="30" t="n">
        <v>33</v>
      </c>
      <c r="P880" s="30" t="str">
        <f aca="false">IF(N880&lt;判定条件!$C$6,"判定不能",IF(O880&gt;=判定条件!$C$7*N880,"運転",IF(O880&lt;=判定条件!$C$8*N880,"停止","断続")))</f>
        <v>断続</v>
      </c>
      <c r="Q880" s="30" t="n">
        <v>60</v>
      </c>
      <c r="R880" s="30" t="n">
        <v>60</v>
      </c>
      <c r="S880" s="30" t="str">
        <f aca="false">IF(Q880&lt;判定条件!$C$6,"判定不能",IF(R880&gt;=判定条件!$C$7*Q880,"運転",IF(R880&lt;=判定条件!$C$8*Q880,"停止","断続")))</f>
        <v>運転</v>
      </c>
      <c r="T880" s="30" t="n">
        <v>60</v>
      </c>
      <c r="U880" s="30" t="n">
        <v>38</v>
      </c>
      <c r="V880" s="30" t="str">
        <f aca="false">IF(T880&lt;判定条件!$C$6,"判定不能",IF(U880&gt;=判定条件!$C$7*T880,"運転",IF(U880&lt;=判定条件!$C$8*T880,"停止","断続")))</f>
        <v>断続</v>
      </c>
      <c r="W880" s="30" t="n">
        <v>60</v>
      </c>
      <c r="X880" s="30" t="n">
        <v>60</v>
      </c>
      <c r="Y880" s="30" t="str">
        <f aca="false">IF(W880&lt;判定条件!$C$6,"判定不能",IF(X880&gt;=判定条件!$C$7*W880,"運転",IF(X880&lt;=判定条件!$C$8*W880,"停止","断続")))</f>
        <v>運転</v>
      </c>
      <c r="Z880" s="30" t="n">
        <v>60</v>
      </c>
      <c r="AA880" s="30" t="n">
        <v>27</v>
      </c>
      <c r="AB880" s="30" t="str">
        <f aca="false">IF(Z880&lt;判定条件!$C$6,"判定不能",IF(AA880&gt;=判定条件!$C$7*Z880,"運転",IF(AA880&lt;=判定条件!$C$8*Z880,"停止","断続")))</f>
        <v>断続</v>
      </c>
      <c r="AC880" s="30" t="n">
        <v>60</v>
      </c>
      <c r="AD880" s="30" t="n">
        <v>60</v>
      </c>
      <c r="AE880" s="30" t="str">
        <f aca="false">IF(AC880&lt;判定条件!$C$6,"判定不能",IF(AD880&gt;=判定条件!$C$7*AC880,"運転",IF(AD880&lt;=判定条件!$C$8*AC880,"停止","断続")))</f>
        <v>運転</v>
      </c>
      <c r="AF880" s="30" t="n">
        <v>60</v>
      </c>
      <c r="AG880" s="30" t="n">
        <v>33</v>
      </c>
      <c r="AH880" s="30" t="str">
        <f aca="false">IF(OR(P880="判定不能",G880="判定不能"),"判定不能",IF(AG880&gt;=判定条件!$C$9,"利用可",IF(AND(P880="停止",G880="停止"),"両方停止","運転がそろわない")))</f>
        <v>利用可</v>
      </c>
      <c r="AI880" s="30" t="n">
        <v>0</v>
      </c>
      <c r="AJ880" s="30" t="n">
        <v>0</v>
      </c>
      <c r="AK880" s="30" t="str">
        <f aca="false">IF(OR(S880="判定不能",J880="判定不能"),"判定不能",IF(AJ880&gt;=判定条件!$C$9,"利用可",IF(AND(S880="停止",J880="停止"),"両方停止","運転がそろわない")))</f>
        <v>判定不能</v>
      </c>
      <c r="AL880" s="30" t="n">
        <v>60</v>
      </c>
      <c r="AM880" s="30" t="n">
        <v>38</v>
      </c>
      <c r="AN880" s="30" t="str">
        <f aca="false">IF(OR(V880="判定不能",M880="判定不能"),"判定不能",IF(AM880&gt;=判定条件!$C$9,"利用可",IF(AND(V880="停止",M880="停止"),"両方停止","運転がそろわない")))</f>
        <v>利用可</v>
      </c>
      <c r="AO880" s="30" t="n">
        <v>60</v>
      </c>
      <c r="AP880" s="30" t="n">
        <v>60</v>
      </c>
      <c r="AQ880" s="30" t="str">
        <f aca="false">IF(OR(Y880="判定不能",G880="判定不能"),"判定不能",IF(AP880&gt;=判定条件!$C$9,"利用可",IF(AND(Y880="停止",G880="停止"),"両方停止","運転がそろわない")))</f>
        <v>利用可</v>
      </c>
      <c r="AR880" s="30" t="n">
        <v>0</v>
      </c>
      <c r="AS880" s="30" t="n">
        <v>0</v>
      </c>
      <c r="AT880" s="30" t="str">
        <f aca="false">IF(OR(AB880="判定不能",J880="判定不能"),"判定不能",IF(AS880&gt;=判定条件!$C$9,"利用可",IF(AND(AB880="停止",J880="停止"),"両方停止","運転がそろわない")))</f>
        <v>判定不能</v>
      </c>
      <c r="AU880" s="30" t="n">
        <v>60</v>
      </c>
      <c r="AV880" s="30" t="n">
        <v>60</v>
      </c>
      <c r="AW880" s="30" t="str">
        <f aca="false">IF(OR(AE880="判定不能",M880="判定不能"),"判定不能",IF(AV880&gt;=判定条件!$C$9,"利用可",IF(AND(AE880="停止",M880="停止"),"両方停止","運転がそろわない")))</f>
        <v>利用可</v>
      </c>
      <c r="AX880" s="30" t="str">
        <f aca="false">IF(AND(AH880="利用可",AK880="利用可",AN880="利用可"),"利用可","不可")</f>
        <v>不可</v>
      </c>
      <c r="AY880" s="30" t="str">
        <f aca="false">IF(AND(AQ880="利用可",AT880="利用可",AW880="利用可"),"利用可","不可")</f>
        <v>不可</v>
      </c>
    </row>
    <row r="881" customFormat="false" ht="15" hidden="false" customHeight="false" outlineLevel="0" collapsed="false">
      <c r="A881" s="29" t="n">
        <v>46268</v>
      </c>
      <c r="B881" s="30" t="n">
        <v>14</v>
      </c>
      <c r="C881" s="31" t="s">
        <v>61</v>
      </c>
      <c r="D881" s="31" t="s">
        <v>59</v>
      </c>
      <c r="E881" s="30" t="n">
        <v>60</v>
      </c>
      <c r="F881" s="30" t="n">
        <v>60</v>
      </c>
      <c r="G881" s="30" t="str">
        <f aca="false">IF(E881&lt;判定条件!$C$6,"判定不能",IF(F881&gt;=判定条件!$C$7*E881,"運転",IF(F881&lt;=判定条件!$C$8*E881,"停止","断続")))</f>
        <v>運転</v>
      </c>
      <c r="H881" s="30" t="n">
        <v>0</v>
      </c>
      <c r="I881" s="30" t="n">
        <v>0</v>
      </c>
      <c r="J881" s="30" t="str">
        <f aca="false">IF(H881&lt;判定条件!$C$6,"判定不能",IF(I881&gt;=判定条件!$C$7*H881,"運転",IF(I881&lt;=判定条件!$C$8*H881,"停止","断続")))</f>
        <v>判定不能</v>
      </c>
      <c r="K881" s="30" t="n">
        <v>60</v>
      </c>
      <c r="L881" s="30" t="n">
        <v>60</v>
      </c>
      <c r="M881" s="30" t="str">
        <f aca="false">IF(K881&lt;判定条件!$C$6,"判定不能",IF(L881&gt;=判定条件!$C$7*K881,"運転",IF(L881&lt;=判定条件!$C$8*K881,"停止","断続")))</f>
        <v>運転</v>
      </c>
      <c r="N881" s="30" t="n">
        <v>60</v>
      </c>
      <c r="O881" s="30" t="n">
        <v>43</v>
      </c>
      <c r="P881" s="30" t="str">
        <f aca="false">IF(N881&lt;判定条件!$C$6,"判定不能",IF(O881&gt;=判定条件!$C$7*N881,"運転",IF(O881&lt;=判定条件!$C$8*N881,"停止","断続")))</f>
        <v>断続</v>
      </c>
      <c r="Q881" s="30" t="n">
        <v>60</v>
      </c>
      <c r="R881" s="30" t="n">
        <v>60</v>
      </c>
      <c r="S881" s="30" t="str">
        <f aca="false">IF(Q881&lt;判定条件!$C$6,"判定不能",IF(R881&gt;=判定条件!$C$7*Q881,"運転",IF(R881&lt;=判定条件!$C$8*Q881,"停止","断続")))</f>
        <v>運転</v>
      </c>
      <c r="T881" s="30" t="n">
        <v>60</v>
      </c>
      <c r="U881" s="30" t="n">
        <v>32</v>
      </c>
      <c r="V881" s="30" t="str">
        <f aca="false">IF(T881&lt;判定条件!$C$6,"判定不能",IF(U881&gt;=判定条件!$C$7*T881,"運転",IF(U881&lt;=判定条件!$C$8*T881,"停止","断続")))</f>
        <v>断続</v>
      </c>
      <c r="W881" s="30" t="n">
        <v>60</v>
      </c>
      <c r="X881" s="30" t="n">
        <v>39</v>
      </c>
      <c r="Y881" s="30" t="str">
        <f aca="false">IF(W881&lt;判定条件!$C$6,"判定不能",IF(X881&gt;=判定条件!$C$7*W881,"運転",IF(X881&lt;=判定条件!$C$8*W881,"停止","断続")))</f>
        <v>断続</v>
      </c>
      <c r="Z881" s="30" t="n">
        <v>60</v>
      </c>
      <c r="AA881" s="30" t="n">
        <v>60</v>
      </c>
      <c r="AB881" s="30" t="str">
        <f aca="false">IF(Z881&lt;判定条件!$C$6,"判定不能",IF(AA881&gt;=判定条件!$C$7*Z881,"運転",IF(AA881&lt;=判定条件!$C$8*Z881,"停止","断続")))</f>
        <v>運転</v>
      </c>
      <c r="AC881" s="30" t="n">
        <v>60</v>
      </c>
      <c r="AD881" s="30" t="n">
        <v>60</v>
      </c>
      <c r="AE881" s="30" t="str">
        <f aca="false">IF(AC881&lt;判定条件!$C$6,"判定不能",IF(AD881&gt;=判定条件!$C$7*AC881,"運転",IF(AD881&lt;=判定条件!$C$8*AC881,"停止","断続")))</f>
        <v>運転</v>
      </c>
      <c r="AF881" s="30" t="n">
        <v>60</v>
      </c>
      <c r="AG881" s="30" t="n">
        <v>43</v>
      </c>
      <c r="AH881" s="30" t="str">
        <f aca="false">IF(OR(P881="判定不能",G881="判定不能"),"判定不能",IF(AG881&gt;=判定条件!$C$9,"利用可",IF(AND(P881="停止",G881="停止"),"両方停止","運転がそろわない")))</f>
        <v>利用可</v>
      </c>
      <c r="AI881" s="30" t="n">
        <v>0</v>
      </c>
      <c r="AJ881" s="30" t="n">
        <v>0</v>
      </c>
      <c r="AK881" s="30" t="str">
        <f aca="false">IF(OR(S881="判定不能",J881="判定不能"),"判定不能",IF(AJ881&gt;=判定条件!$C$9,"利用可",IF(AND(S881="停止",J881="停止"),"両方停止","運転がそろわない")))</f>
        <v>判定不能</v>
      </c>
      <c r="AL881" s="30" t="n">
        <v>60</v>
      </c>
      <c r="AM881" s="30" t="n">
        <v>32</v>
      </c>
      <c r="AN881" s="30" t="str">
        <f aca="false">IF(OR(V881="判定不能",M881="判定不能"),"判定不能",IF(AM881&gt;=判定条件!$C$9,"利用可",IF(AND(V881="停止",M881="停止"),"両方停止","運転がそろわない")))</f>
        <v>利用可</v>
      </c>
      <c r="AO881" s="30" t="n">
        <v>60</v>
      </c>
      <c r="AP881" s="30" t="n">
        <v>39</v>
      </c>
      <c r="AQ881" s="30" t="str">
        <f aca="false">IF(OR(Y881="判定不能",G881="判定不能"),"判定不能",IF(AP881&gt;=判定条件!$C$9,"利用可",IF(AND(Y881="停止",G881="停止"),"両方停止","運転がそろわない")))</f>
        <v>利用可</v>
      </c>
      <c r="AR881" s="30" t="n">
        <v>0</v>
      </c>
      <c r="AS881" s="30" t="n">
        <v>0</v>
      </c>
      <c r="AT881" s="30" t="str">
        <f aca="false">IF(OR(AB881="判定不能",J881="判定不能"),"判定不能",IF(AS881&gt;=判定条件!$C$9,"利用可",IF(AND(AB881="停止",J881="停止"),"両方停止","運転がそろわない")))</f>
        <v>判定不能</v>
      </c>
      <c r="AU881" s="30" t="n">
        <v>60</v>
      </c>
      <c r="AV881" s="30" t="n">
        <v>60</v>
      </c>
      <c r="AW881" s="30" t="str">
        <f aca="false">IF(OR(AE881="判定不能",M881="判定不能"),"判定不能",IF(AV881&gt;=判定条件!$C$9,"利用可",IF(AND(AE881="停止",M881="停止"),"両方停止","運転がそろわない")))</f>
        <v>利用可</v>
      </c>
      <c r="AX881" s="30" t="str">
        <f aca="false">IF(AND(AH881="利用可",AK881="利用可",AN881="利用可"),"利用可","不可")</f>
        <v>不可</v>
      </c>
      <c r="AY881" s="30" t="str">
        <f aca="false">IF(AND(AQ881="利用可",AT881="利用可",AW881="利用可"),"利用可","不可")</f>
        <v>不可</v>
      </c>
    </row>
    <row r="882" customFormat="false" ht="15" hidden="false" customHeight="false" outlineLevel="0" collapsed="false">
      <c r="A882" s="29" t="n">
        <v>46268</v>
      </c>
      <c r="B882" s="30" t="n">
        <v>15</v>
      </c>
      <c r="C882" s="31" t="s">
        <v>61</v>
      </c>
      <c r="D882" s="31" t="s">
        <v>59</v>
      </c>
      <c r="E882" s="30" t="n">
        <v>60</v>
      </c>
      <c r="F882" s="30" t="n">
        <v>60</v>
      </c>
      <c r="G882" s="30" t="str">
        <f aca="false">IF(E882&lt;判定条件!$C$6,"判定不能",IF(F882&gt;=判定条件!$C$7*E882,"運転",IF(F882&lt;=判定条件!$C$8*E882,"停止","断続")))</f>
        <v>運転</v>
      </c>
      <c r="H882" s="30" t="n">
        <v>0</v>
      </c>
      <c r="I882" s="30" t="n">
        <v>0</v>
      </c>
      <c r="J882" s="30" t="str">
        <f aca="false">IF(H882&lt;判定条件!$C$6,"判定不能",IF(I882&gt;=判定条件!$C$7*H882,"運転",IF(I882&lt;=判定条件!$C$8*H882,"停止","断続")))</f>
        <v>判定不能</v>
      </c>
      <c r="K882" s="30" t="n">
        <v>60</v>
      </c>
      <c r="L882" s="30" t="n">
        <v>60</v>
      </c>
      <c r="M882" s="30" t="str">
        <f aca="false">IF(K882&lt;判定条件!$C$6,"判定不能",IF(L882&gt;=判定条件!$C$7*K882,"運転",IF(L882&lt;=判定条件!$C$8*K882,"停止","断続")))</f>
        <v>運転</v>
      </c>
      <c r="N882" s="30" t="n">
        <v>60</v>
      </c>
      <c r="O882" s="30" t="n">
        <v>44</v>
      </c>
      <c r="P882" s="30" t="str">
        <f aca="false">IF(N882&lt;判定条件!$C$6,"判定不能",IF(O882&gt;=判定条件!$C$7*N882,"運転",IF(O882&lt;=判定条件!$C$8*N882,"停止","断続")))</f>
        <v>断続</v>
      </c>
      <c r="Q882" s="30" t="n">
        <v>60</v>
      </c>
      <c r="R882" s="30" t="n">
        <v>60</v>
      </c>
      <c r="S882" s="30" t="str">
        <f aca="false">IF(Q882&lt;判定条件!$C$6,"判定不能",IF(R882&gt;=判定条件!$C$7*Q882,"運転",IF(R882&lt;=判定条件!$C$8*Q882,"停止","断続")))</f>
        <v>運転</v>
      </c>
      <c r="T882" s="30" t="n">
        <v>60</v>
      </c>
      <c r="U882" s="30" t="n">
        <v>58</v>
      </c>
      <c r="V882" s="30" t="str">
        <f aca="false">IF(T882&lt;判定条件!$C$6,"判定不能",IF(U882&gt;=判定条件!$C$7*T882,"運転",IF(U882&lt;=判定条件!$C$8*T882,"停止","断続")))</f>
        <v>運転</v>
      </c>
      <c r="W882" s="30" t="n">
        <v>60</v>
      </c>
      <c r="X882" s="30" t="n">
        <v>34</v>
      </c>
      <c r="Y882" s="30" t="str">
        <f aca="false">IF(W882&lt;判定条件!$C$6,"判定不能",IF(X882&gt;=判定条件!$C$7*W882,"運転",IF(X882&lt;=判定条件!$C$8*W882,"停止","断続")))</f>
        <v>断続</v>
      </c>
      <c r="Z882" s="30" t="n">
        <v>60</v>
      </c>
      <c r="AA882" s="30" t="n">
        <v>60</v>
      </c>
      <c r="AB882" s="30" t="str">
        <f aca="false">IF(Z882&lt;判定条件!$C$6,"判定不能",IF(AA882&gt;=判定条件!$C$7*Z882,"運転",IF(AA882&lt;=判定条件!$C$8*Z882,"停止","断続")))</f>
        <v>運転</v>
      </c>
      <c r="AC882" s="30" t="n">
        <v>60</v>
      </c>
      <c r="AD882" s="30" t="n">
        <v>60</v>
      </c>
      <c r="AE882" s="30" t="str">
        <f aca="false">IF(AC882&lt;判定条件!$C$6,"判定不能",IF(AD882&gt;=判定条件!$C$7*AC882,"運転",IF(AD882&lt;=判定条件!$C$8*AC882,"停止","断続")))</f>
        <v>運転</v>
      </c>
      <c r="AF882" s="30" t="n">
        <v>60</v>
      </c>
      <c r="AG882" s="30" t="n">
        <v>44</v>
      </c>
      <c r="AH882" s="30" t="str">
        <f aca="false">IF(OR(P882="判定不能",G882="判定不能"),"判定不能",IF(AG882&gt;=判定条件!$C$9,"利用可",IF(AND(P882="停止",G882="停止"),"両方停止","運転がそろわない")))</f>
        <v>利用可</v>
      </c>
      <c r="AI882" s="30" t="n">
        <v>0</v>
      </c>
      <c r="AJ882" s="30" t="n">
        <v>0</v>
      </c>
      <c r="AK882" s="30" t="str">
        <f aca="false">IF(OR(S882="判定不能",J882="判定不能"),"判定不能",IF(AJ882&gt;=判定条件!$C$9,"利用可",IF(AND(S882="停止",J882="停止"),"両方停止","運転がそろわない")))</f>
        <v>判定不能</v>
      </c>
      <c r="AL882" s="30" t="n">
        <v>60</v>
      </c>
      <c r="AM882" s="30" t="n">
        <v>58</v>
      </c>
      <c r="AN882" s="30" t="str">
        <f aca="false">IF(OR(V882="判定不能",M882="判定不能"),"判定不能",IF(AM882&gt;=判定条件!$C$9,"利用可",IF(AND(V882="停止",M882="停止"),"両方停止","運転がそろわない")))</f>
        <v>利用可</v>
      </c>
      <c r="AO882" s="30" t="n">
        <v>60</v>
      </c>
      <c r="AP882" s="30" t="n">
        <v>34</v>
      </c>
      <c r="AQ882" s="30" t="str">
        <f aca="false">IF(OR(Y882="判定不能",G882="判定不能"),"判定不能",IF(AP882&gt;=判定条件!$C$9,"利用可",IF(AND(Y882="停止",G882="停止"),"両方停止","運転がそろわない")))</f>
        <v>利用可</v>
      </c>
      <c r="AR882" s="30" t="n">
        <v>0</v>
      </c>
      <c r="AS882" s="30" t="n">
        <v>0</v>
      </c>
      <c r="AT882" s="30" t="str">
        <f aca="false">IF(OR(AB882="判定不能",J882="判定不能"),"判定不能",IF(AS882&gt;=判定条件!$C$9,"利用可",IF(AND(AB882="停止",J882="停止"),"両方停止","運転がそろわない")))</f>
        <v>判定不能</v>
      </c>
      <c r="AU882" s="30" t="n">
        <v>60</v>
      </c>
      <c r="AV882" s="30" t="n">
        <v>60</v>
      </c>
      <c r="AW882" s="30" t="str">
        <f aca="false">IF(OR(AE882="判定不能",M882="判定不能"),"判定不能",IF(AV882&gt;=判定条件!$C$9,"利用可",IF(AND(AE882="停止",M882="停止"),"両方停止","運転がそろわない")))</f>
        <v>利用可</v>
      </c>
      <c r="AX882" s="30" t="str">
        <f aca="false">IF(AND(AH882="利用可",AK882="利用可",AN882="利用可"),"利用可","不可")</f>
        <v>不可</v>
      </c>
      <c r="AY882" s="30" t="str">
        <f aca="false">IF(AND(AQ882="利用可",AT882="利用可",AW882="利用可"),"利用可","不可")</f>
        <v>不可</v>
      </c>
    </row>
    <row r="883" customFormat="false" ht="15" hidden="false" customHeight="false" outlineLevel="0" collapsed="false">
      <c r="A883" s="29" t="n">
        <v>46268</v>
      </c>
      <c r="B883" s="30" t="n">
        <v>16</v>
      </c>
      <c r="C883" s="31" t="s">
        <v>61</v>
      </c>
      <c r="D883" s="31" t="s">
        <v>59</v>
      </c>
      <c r="E883" s="30" t="n">
        <v>60</v>
      </c>
      <c r="F883" s="30" t="n">
        <v>60</v>
      </c>
      <c r="G883" s="30" t="str">
        <f aca="false">IF(E883&lt;判定条件!$C$6,"判定不能",IF(F883&gt;=判定条件!$C$7*E883,"運転",IF(F883&lt;=判定条件!$C$8*E883,"停止","断続")))</f>
        <v>運転</v>
      </c>
      <c r="H883" s="30" t="n">
        <v>0</v>
      </c>
      <c r="I883" s="30" t="n">
        <v>0</v>
      </c>
      <c r="J883" s="30" t="str">
        <f aca="false">IF(H883&lt;判定条件!$C$6,"判定不能",IF(I883&gt;=判定条件!$C$7*H883,"運転",IF(I883&lt;=判定条件!$C$8*H883,"停止","断続")))</f>
        <v>判定不能</v>
      </c>
      <c r="K883" s="30" t="n">
        <v>60</v>
      </c>
      <c r="L883" s="30" t="n">
        <v>60</v>
      </c>
      <c r="M883" s="30" t="str">
        <f aca="false">IF(K883&lt;判定条件!$C$6,"判定不能",IF(L883&gt;=判定条件!$C$7*K883,"運転",IF(L883&lt;=判定条件!$C$8*K883,"停止","断続")))</f>
        <v>運転</v>
      </c>
      <c r="N883" s="30" t="n">
        <v>60</v>
      </c>
      <c r="O883" s="30" t="n">
        <v>60</v>
      </c>
      <c r="P883" s="30" t="str">
        <f aca="false">IF(N883&lt;判定条件!$C$6,"判定不能",IF(O883&gt;=判定条件!$C$7*N883,"運転",IF(O883&lt;=判定条件!$C$8*N883,"停止","断続")))</f>
        <v>運転</v>
      </c>
      <c r="Q883" s="30" t="n">
        <v>60</v>
      </c>
      <c r="R883" s="30" t="n">
        <v>60</v>
      </c>
      <c r="S883" s="30" t="str">
        <f aca="false">IF(Q883&lt;判定条件!$C$6,"判定不能",IF(R883&gt;=判定条件!$C$7*Q883,"運転",IF(R883&lt;=判定条件!$C$8*Q883,"停止","断続")))</f>
        <v>運転</v>
      </c>
      <c r="T883" s="30" t="n">
        <v>60</v>
      </c>
      <c r="U883" s="30" t="n">
        <v>42</v>
      </c>
      <c r="V883" s="30" t="str">
        <f aca="false">IF(T883&lt;判定条件!$C$6,"判定不能",IF(U883&gt;=判定条件!$C$7*T883,"運転",IF(U883&lt;=判定条件!$C$8*T883,"停止","断続")))</f>
        <v>断続</v>
      </c>
      <c r="W883" s="30" t="n">
        <v>60</v>
      </c>
      <c r="X883" s="30" t="n">
        <v>25</v>
      </c>
      <c r="Y883" s="30" t="str">
        <f aca="false">IF(W883&lt;判定条件!$C$6,"判定不能",IF(X883&gt;=判定条件!$C$7*W883,"運転",IF(X883&lt;=判定条件!$C$8*W883,"停止","断続")))</f>
        <v>断続</v>
      </c>
      <c r="Z883" s="30" t="n">
        <v>60</v>
      </c>
      <c r="AA883" s="30" t="n">
        <v>60</v>
      </c>
      <c r="AB883" s="30" t="str">
        <f aca="false">IF(Z883&lt;判定条件!$C$6,"判定不能",IF(AA883&gt;=判定条件!$C$7*Z883,"運転",IF(AA883&lt;=判定条件!$C$8*Z883,"停止","断続")))</f>
        <v>運転</v>
      </c>
      <c r="AC883" s="30" t="n">
        <v>60</v>
      </c>
      <c r="AD883" s="30" t="n">
        <v>60</v>
      </c>
      <c r="AE883" s="30" t="str">
        <f aca="false">IF(AC883&lt;判定条件!$C$6,"判定不能",IF(AD883&gt;=判定条件!$C$7*AC883,"運転",IF(AD883&lt;=判定条件!$C$8*AC883,"停止","断続")))</f>
        <v>運転</v>
      </c>
      <c r="AF883" s="30" t="n">
        <v>60</v>
      </c>
      <c r="AG883" s="30" t="n">
        <v>60</v>
      </c>
      <c r="AH883" s="30" t="str">
        <f aca="false">IF(OR(P883="判定不能",G883="判定不能"),"判定不能",IF(AG883&gt;=判定条件!$C$9,"利用可",IF(AND(P883="停止",G883="停止"),"両方停止","運転がそろわない")))</f>
        <v>利用可</v>
      </c>
      <c r="AI883" s="30" t="n">
        <v>0</v>
      </c>
      <c r="AJ883" s="30" t="n">
        <v>0</v>
      </c>
      <c r="AK883" s="30" t="str">
        <f aca="false">IF(OR(S883="判定不能",J883="判定不能"),"判定不能",IF(AJ883&gt;=判定条件!$C$9,"利用可",IF(AND(S883="停止",J883="停止"),"両方停止","運転がそろわない")))</f>
        <v>判定不能</v>
      </c>
      <c r="AL883" s="30" t="n">
        <v>60</v>
      </c>
      <c r="AM883" s="30" t="n">
        <v>42</v>
      </c>
      <c r="AN883" s="30" t="str">
        <f aca="false">IF(OR(V883="判定不能",M883="判定不能"),"判定不能",IF(AM883&gt;=判定条件!$C$9,"利用可",IF(AND(V883="停止",M883="停止"),"両方停止","運転がそろわない")))</f>
        <v>利用可</v>
      </c>
      <c r="AO883" s="30" t="n">
        <v>60</v>
      </c>
      <c r="AP883" s="30" t="n">
        <v>25</v>
      </c>
      <c r="AQ883" s="30" t="str">
        <f aca="false">IF(OR(Y883="判定不能",G883="判定不能"),"判定不能",IF(AP883&gt;=判定条件!$C$9,"利用可",IF(AND(Y883="停止",G883="停止"),"両方停止","運転がそろわない")))</f>
        <v>運転がそろわない</v>
      </c>
      <c r="AR883" s="30" t="n">
        <v>0</v>
      </c>
      <c r="AS883" s="30" t="n">
        <v>0</v>
      </c>
      <c r="AT883" s="30" t="str">
        <f aca="false">IF(OR(AB883="判定不能",J883="判定不能"),"判定不能",IF(AS883&gt;=判定条件!$C$9,"利用可",IF(AND(AB883="停止",J883="停止"),"両方停止","運転がそろわない")))</f>
        <v>判定不能</v>
      </c>
      <c r="AU883" s="30" t="n">
        <v>60</v>
      </c>
      <c r="AV883" s="30" t="n">
        <v>60</v>
      </c>
      <c r="AW883" s="30" t="str">
        <f aca="false">IF(OR(AE883="判定不能",M883="判定不能"),"判定不能",IF(AV883&gt;=判定条件!$C$9,"利用可",IF(AND(AE883="停止",M883="停止"),"両方停止","運転がそろわない")))</f>
        <v>利用可</v>
      </c>
      <c r="AX883" s="30" t="str">
        <f aca="false">IF(AND(AH883="利用可",AK883="利用可",AN883="利用可"),"利用可","不可")</f>
        <v>不可</v>
      </c>
      <c r="AY883" s="30" t="str">
        <f aca="false">IF(AND(AQ883="利用可",AT883="利用可",AW883="利用可"),"利用可","不可")</f>
        <v>不可</v>
      </c>
    </row>
    <row r="884" customFormat="false" ht="15" hidden="false" customHeight="false" outlineLevel="0" collapsed="false">
      <c r="A884" s="29" t="n">
        <v>46268</v>
      </c>
      <c r="B884" s="30" t="n">
        <v>17</v>
      </c>
      <c r="C884" s="31" t="s">
        <v>61</v>
      </c>
      <c r="D884" s="31" t="s">
        <v>59</v>
      </c>
      <c r="E884" s="30" t="n">
        <v>60</v>
      </c>
      <c r="F884" s="30" t="n">
        <v>60</v>
      </c>
      <c r="G884" s="30" t="str">
        <f aca="false">IF(E884&lt;判定条件!$C$6,"判定不能",IF(F884&gt;=判定条件!$C$7*E884,"運転",IF(F884&lt;=判定条件!$C$8*E884,"停止","断続")))</f>
        <v>運転</v>
      </c>
      <c r="H884" s="30" t="n">
        <v>0</v>
      </c>
      <c r="I884" s="30" t="n">
        <v>0</v>
      </c>
      <c r="J884" s="30" t="str">
        <f aca="false">IF(H884&lt;判定条件!$C$6,"判定不能",IF(I884&gt;=判定条件!$C$7*H884,"運転",IF(I884&lt;=判定条件!$C$8*H884,"停止","断続")))</f>
        <v>判定不能</v>
      </c>
      <c r="K884" s="30" t="n">
        <v>60</v>
      </c>
      <c r="L884" s="30" t="n">
        <v>60</v>
      </c>
      <c r="M884" s="30" t="str">
        <f aca="false">IF(K884&lt;判定条件!$C$6,"判定不能",IF(L884&gt;=判定条件!$C$7*K884,"運転",IF(L884&lt;=判定条件!$C$8*K884,"停止","断続")))</f>
        <v>運転</v>
      </c>
      <c r="N884" s="30" t="n">
        <v>60</v>
      </c>
      <c r="O884" s="30" t="n">
        <v>34</v>
      </c>
      <c r="P884" s="30" t="str">
        <f aca="false">IF(N884&lt;判定条件!$C$6,"判定不能",IF(O884&gt;=判定条件!$C$7*N884,"運転",IF(O884&lt;=判定条件!$C$8*N884,"停止","断続")))</f>
        <v>断続</v>
      </c>
      <c r="Q884" s="30" t="n">
        <v>60</v>
      </c>
      <c r="R884" s="30" t="n">
        <v>43</v>
      </c>
      <c r="S884" s="30" t="str">
        <f aca="false">IF(Q884&lt;判定条件!$C$6,"判定不能",IF(R884&gt;=判定条件!$C$7*Q884,"運転",IF(R884&lt;=判定条件!$C$8*Q884,"停止","断続")))</f>
        <v>断続</v>
      </c>
      <c r="T884" s="30" t="n">
        <v>60</v>
      </c>
      <c r="U884" s="30" t="n">
        <v>60</v>
      </c>
      <c r="V884" s="30" t="str">
        <f aca="false">IF(T884&lt;判定条件!$C$6,"判定不能",IF(U884&gt;=判定条件!$C$7*T884,"運転",IF(U884&lt;=判定条件!$C$8*T884,"停止","断続")))</f>
        <v>運転</v>
      </c>
      <c r="W884" s="30" t="n">
        <v>60</v>
      </c>
      <c r="X884" s="30" t="n">
        <v>57</v>
      </c>
      <c r="Y884" s="30" t="str">
        <f aca="false">IF(W884&lt;判定条件!$C$6,"判定不能",IF(X884&gt;=判定条件!$C$7*W884,"運転",IF(X884&lt;=判定条件!$C$8*W884,"停止","断続")))</f>
        <v>運転</v>
      </c>
      <c r="Z884" s="30" t="n">
        <v>60</v>
      </c>
      <c r="AA884" s="30" t="n">
        <v>48</v>
      </c>
      <c r="AB884" s="30" t="str">
        <f aca="false">IF(Z884&lt;判定条件!$C$6,"判定不能",IF(AA884&gt;=判定条件!$C$7*Z884,"運転",IF(AA884&lt;=判定条件!$C$8*Z884,"停止","断続")))</f>
        <v>運転</v>
      </c>
      <c r="AC884" s="30" t="n">
        <v>60</v>
      </c>
      <c r="AD884" s="30" t="n">
        <v>60</v>
      </c>
      <c r="AE884" s="30" t="str">
        <f aca="false">IF(AC884&lt;判定条件!$C$6,"判定不能",IF(AD884&gt;=判定条件!$C$7*AC884,"運転",IF(AD884&lt;=判定条件!$C$8*AC884,"停止","断続")))</f>
        <v>運転</v>
      </c>
      <c r="AF884" s="30" t="n">
        <v>60</v>
      </c>
      <c r="AG884" s="30" t="n">
        <v>34</v>
      </c>
      <c r="AH884" s="30" t="str">
        <f aca="false">IF(OR(P884="判定不能",G884="判定不能"),"判定不能",IF(AG884&gt;=判定条件!$C$9,"利用可",IF(AND(P884="停止",G884="停止"),"両方停止","運転がそろわない")))</f>
        <v>利用可</v>
      </c>
      <c r="AI884" s="30" t="n">
        <v>0</v>
      </c>
      <c r="AJ884" s="30" t="n">
        <v>0</v>
      </c>
      <c r="AK884" s="30" t="str">
        <f aca="false">IF(OR(S884="判定不能",J884="判定不能"),"判定不能",IF(AJ884&gt;=判定条件!$C$9,"利用可",IF(AND(S884="停止",J884="停止"),"両方停止","運転がそろわない")))</f>
        <v>判定不能</v>
      </c>
      <c r="AL884" s="30" t="n">
        <v>60</v>
      </c>
      <c r="AM884" s="30" t="n">
        <v>60</v>
      </c>
      <c r="AN884" s="30" t="str">
        <f aca="false">IF(OR(V884="判定不能",M884="判定不能"),"判定不能",IF(AM884&gt;=判定条件!$C$9,"利用可",IF(AND(V884="停止",M884="停止"),"両方停止","運転がそろわない")))</f>
        <v>利用可</v>
      </c>
      <c r="AO884" s="30" t="n">
        <v>60</v>
      </c>
      <c r="AP884" s="30" t="n">
        <v>57</v>
      </c>
      <c r="AQ884" s="30" t="str">
        <f aca="false">IF(OR(Y884="判定不能",G884="判定不能"),"判定不能",IF(AP884&gt;=判定条件!$C$9,"利用可",IF(AND(Y884="停止",G884="停止"),"両方停止","運転がそろわない")))</f>
        <v>利用可</v>
      </c>
      <c r="AR884" s="30" t="n">
        <v>0</v>
      </c>
      <c r="AS884" s="30" t="n">
        <v>0</v>
      </c>
      <c r="AT884" s="30" t="str">
        <f aca="false">IF(OR(AB884="判定不能",J884="判定不能"),"判定不能",IF(AS884&gt;=判定条件!$C$9,"利用可",IF(AND(AB884="停止",J884="停止"),"両方停止","運転がそろわない")))</f>
        <v>判定不能</v>
      </c>
      <c r="AU884" s="30" t="n">
        <v>60</v>
      </c>
      <c r="AV884" s="30" t="n">
        <v>60</v>
      </c>
      <c r="AW884" s="30" t="str">
        <f aca="false">IF(OR(AE884="判定不能",M884="判定不能"),"判定不能",IF(AV884&gt;=判定条件!$C$9,"利用可",IF(AND(AE884="停止",M884="停止"),"両方停止","運転がそろわない")))</f>
        <v>利用可</v>
      </c>
      <c r="AX884" s="30" t="str">
        <f aca="false">IF(AND(AH884="利用可",AK884="利用可",AN884="利用可"),"利用可","不可")</f>
        <v>不可</v>
      </c>
      <c r="AY884" s="30" t="str">
        <f aca="false">IF(AND(AQ884="利用可",AT884="利用可",AW884="利用可"),"利用可","不可")</f>
        <v>不可</v>
      </c>
    </row>
    <row r="885" customFormat="false" ht="15" hidden="false" customHeight="false" outlineLevel="0" collapsed="false">
      <c r="A885" s="29" t="n">
        <v>46268</v>
      </c>
      <c r="B885" s="30" t="n">
        <v>18</v>
      </c>
      <c r="C885" s="31" t="s">
        <v>61</v>
      </c>
      <c r="D885" s="31" t="s">
        <v>59</v>
      </c>
      <c r="E885" s="30" t="n">
        <v>60</v>
      </c>
      <c r="F885" s="30" t="n">
        <v>60</v>
      </c>
      <c r="G885" s="30" t="str">
        <f aca="false">IF(E885&lt;判定条件!$C$6,"判定不能",IF(F885&gt;=判定条件!$C$7*E885,"運転",IF(F885&lt;=判定条件!$C$8*E885,"停止","断続")))</f>
        <v>運転</v>
      </c>
      <c r="H885" s="30" t="n">
        <v>0</v>
      </c>
      <c r="I885" s="30" t="n">
        <v>0</v>
      </c>
      <c r="J885" s="30" t="str">
        <f aca="false">IF(H885&lt;判定条件!$C$6,"判定不能",IF(I885&gt;=判定条件!$C$7*H885,"運転",IF(I885&lt;=判定条件!$C$8*H885,"停止","断続")))</f>
        <v>判定不能</v>
      </c>
      <c r="K885" s="30" t="n">
        <v>60</v>
      </c>
      <c r="L885" s="30" t="n">
        <v>60</v>
      </c>
      <c r="M885" s="30" t="str">
        <f aca="false">IF(K885&lt;判定条件!$C$6,"判定不能",IF(L885&gt;=判定条件!$C$7*K885,"運転",IF(L885&lt;=判定条件!$C$8*K885,"停止","断続")))</f>
        <v>運転</v>
      </c>
      <c r="N885" s="30" t="n">
        <v>60</v>
      </c>
      <c r="O885" s="30" t="n">
        <v>9</v>
      </c>
      <c r="P885" s="30" t="str">
        <f aca="false">IF(N885&lt;判定条件!$C$6,"判定不能",IF(O885&gt;=判定条件!$C$7*N885,"運転",IF(O885&lt;=判定条件!$C$8*N885,"停止","断続")))</f>
        <v>停止</v>
      </c>
      <c r="Q885" s="30" t="n">
        <v>60</v>
      </c>
      <c r="R885" s="30" t="n">
        <v>4</v>
      </c>
      <c r="S885" s="30" t="str">
        <f aca="false">IF(Q885&lt;判定条件!$C$6,"判定不能",IF(R885&gt;=判定条件!$C$7*Q885,"運転",IF(R885&lt;=判定条件!$C$8*Q885,"停止","断続")))</f>
        <v>停止</v>
      </c>
      <c r="T885" s="30" t="n">
        <v>60</v>
      </c>
      <c r="U885" s="30" t="n">
        <v>4</v>
      </c>
      <c r="V885" s="30" t="str">
        <f aca="false">IF(T885&lt;判定条件!$C$6,"判定不能",IF(U885&gt;=判定条件!$C$7*T885,"運転",IF(U885&lt;=判定条件!$C$8*T885,"停止","断続")))</f>
        <v>停止</v>
      </c>
      <c r="W885" s="30" t="n">
        <v>60</v>
      </c>
      <c r="X885" s="30" t="n">
        <v>46</v>
      </c>
      <c r="Y885" s="30" t="str">
        <f aca="false">IF(W885&lt;判定条件!$C$6,"判定不能",IF(X885&gt;=判定条件!$C$7*W885,"運転",IF(X885&lt;=判定条件!$C$8*W885,"停止","断続")))</f>
        <v>断続</v>
      </c>
      <c r="Z885" s="30" t="n">
        <v>60</v>
      </c>
      <c r="AA885" s="30" t="n">
        <v>48</v>
      </c>
      <c r="AB885" s="30" t="str">
        <f aca="false">IF(Z885&lt;判定条件!$C$6,"判定不能",IF(AA885&gt;=判定条件!$C$7*Z885,"運転",IF(AA885&lt;=判定条件!$C$8*Z885,"停止","断続")))</f>
        <v>運転</v>
      </c>
      <c r="AC885" s="30" t="n">
        <v>60</v>
      </c>
      <c r="AD885" s="30" t="n">
        <v>60</v>
      </c>
      <c r="AE885" s="30" t="str">
        <f aca="false">IF(AC885&lt;判定条件!$C$6,"判定不能",IF(AD885&gt;=判定条件!$C$7*AC885,"運転",IF(AD885&lt;=判定条件!$C$8*AC885,"停止","断続")))</f>
        <v>運転</v>
      </c>
      <c r="AF885" s="30" t="n">
        <v>60</v>
      </c>
      <c r="AG885" s="30" t="n">
        <v>9</v>
      </c>
      <c r="AH885" s="30" t="str">
        <f aca="false">IF(OR(P885="判定不能",G885="判定不能"),"判定不能",IF(AG885&gt;=判定条件!$C$9,"利用可",IF(AND(P885="停止",G885="停止"),"両方停止","運転がそろわない")))</f>
        <v>運転がそろわない</v>
      </c>
      <c r="AI885" s="30" t="n">
        <v>0</v>
      </c>
      <c r="AJ885" s="30" t="n">
        <v>0</v>
      </c>
      <c r="AK885" s="30" t="str">
        <f aca="false">IF(OR(S885="判定不能",J885="判定不能"),"判定不能",IF(AJ885&gt;=判定条件!$C$9,"利用可",IF(AND(S885="停止",J885="停止"),"両方停止","運転がそろわない")))</f>
        <v>判定不能</v>
      </c>
      <c r="AL885" s="30" t="n">
        <v>60</v>
      </c>
      <c r="AM885" s="30" t="n">
        <v>4</v>
      </c>
      <c r="AN885" s="30" t="str">
        <f aca="false">IF(OR(V885="判定不能",M885="判定不能"),"判定不能",IF(AM885&gt;=判定条件!$C$9,"利用可",IF(AND(V885="停止",M885="停止"),"両方停止","運転がそろわない")))</f>
        <v>運転がそろわない</v>
      </c>
      <c r="AO885" s="30" t="n">
        <v>60</v>
      </c>
      <c r="AP885" s="30" t="n">
        <v>46</v>
      </c>
      <c r="AQ885" s="30" t="str">
        <f aca="false">IF(OR(Y885="判定不能",G885="判定不能"),"判定不能",IF(AP885&gt;=判定条件!$C$9,"利用可",IF(AND(Y885="停止",G885="停止"),"両方停止","運転がそろわない")))</f>
        <v>利用可</v>
      </c>
      <c r="AR885" s="30" t="n">
        <v>0</v>
      </c>
      <c r="AS885" s="30" t="n">
        <v>0</v>
      </c>
      <c r="AT885" s="30" t="str">
        <f aca="false">IF(OR(AB885="判定不能",J885="判定不能"),"判定不能",IF(AS885&gt;=判定条件!$C$9,"利用可",IF(AND(AB885="停止",J885="停止"),"両方停止","運転がそろわない")))</f>
        <v>判定不能</v>
      </c>
      <c r="AU885" s="30" t="n">
        <v>60</v>
      </c>
      <c r="AV885" s="30" t="n">
        <v>60</v>
      </c>
      <c r="AW885" s="30" t="str">
        <f aca="false">IF(OR(AE885="判定不能",M885="判定不能"),"判定不能",IF(AV885&gt;=判定条件!$C$9,"利用可",IF(AND(AE885="停止",M885="停止"),"両方停止","運転がそろわない")))</f>
        <v>利用可</v>
      </c>
      <c r="AX885" s="30" t="str">
        <f aca="false">IF(AND(AH885="利用可",AK885="利用可",AN885="利用可"),"利用可","不可")</f>
        <v>不可</v>
      </c>
      <c r="AY885" s="30" t="str">
        <f aca="false">IF(AND(AQ885="利用可",AT885="利用可",AW885="利用可"),"利用可","不可")</f>
        <v>不可</v>
      </c>
    </row>
    <row r="886" customFormat="false" ht="15" hidden="false" customHeight="false" outlineLevel="0" collapsed="false">
      <c r="A886" s="29" t="n">
        <v>46268</v>
      </c>
      <c r="B886" s="30" t="n">
        <v>19</v>
      </c>
      <c r="C886" s="31" t="s">
        <v>61</v>
      </c>
      <c r="D886" s="31" t="s">
        <v>59</v>
      </c>
      <c r="E886" s="30" t="n">
        <v>60</v>
      </c>
      <c r="F886" s="30" t="n">
        <v>60</v>
      </c>
      <c r="G886" s="30" t="str">
        <f aca="false">IF(E886&lt;判定条件!$C$6,"判定不能",IF(F886&gt;=判定条件!$C$7*E886,"運転",IF(F886&lt;=判定条件!$C$8*E886,"停止","断続")))</f>
        <v>運転</v>
      </c>
      <c r="H886" s="30" t="n">
        <v>0</v>
      </c>
      <c r="I886" s="30" t="n">
        <v>0</v>
      </c>
      <c r="J886" s="30" t="str">
        <f aca="false">IF(H886&lt;判定条件!$C$6,"判定不能",IF(I886&gt;=判定条件!$C$7*H886,"運転",IF(I886&lt;=判定条件!$C$8*H886,"停止","断続")))</f>
        <v>判定不能</v>
      </c>
      <c r="K886" s="30" t="n">
        <v>60</v>
      </c>
      <c r="L886" s="30" t="n">
        <v>60</v>
      </c>
      <c r="M886" s="30" t="str">
        <f aca="false">IF(K886&lt;判定条件!$C$6,"判定不能",IF(L886&gt;=判定条件!$C$7*K886,"運転",IF(L886&lt;=判定条件!$C$8*K886,"停止","断続")))</f>
        <v>運転</v>
      </c>
      <c r="N886" s="30" t="n">
        <v>60</v>
      </c>
      <c r="O886" s="30" t="n">
        <v>47</v>
      </c>
      <c r="P886" s="30" t="str">
        <f aca="false">IF(N886&lt;判定条件!$C$6,"判定不能",IF(O886&gt;=判定条件!$C$7*N886,"運転",IF(O886&lt;=判定条件!$C$8*N886,"停止","断続")))</f>
        <v>断続</v>
      </c>
      <c r="Q886" s="30" t="n">
        <v>60</v>
      </c>
      <c r="R886" s="30" t="n">
        <v>0</v>
      </c>
      <c r="S886" s="30" t="str">
        <f aca="false">IF(Q886&lt;判定条件!$C$6,"判定不能",IF(R886&gt;=判定条件!$C$7*Q886,"運転",IF(R886&lt;=判定条件!$C$8*Q886,"停止","断続")))</f>
        <v>停止</v>
      </c>
      <c r="T886" s="30" t="n">
        <v>60</v>
      </c>
      <c r="U886" s="30" t="n">
        <v>36</v>
      </c>
      <c r="V886" s="30" t="str">
        <f aca="false">IF(T886&lt;判定条件!$C$6,"判定不能",IF(U886&gt;=判定条件!$C$7*T886,"運転",IF(U886&lt;=判定条件!$C$8*T886,"停止","断続")))</f>
        <v>断続</v>
      </c>
      <c r="W886" s="30" t="n">
        <v>60</v>
      </c>
      <c r="X886" s="30" t="n">
        <v>17</v>
      </c>
      <c r="Y886" s="30" t="str">
        <f aca="false">IF(W886&lt;判定条件!$C$6,"判定不能",IF(X886&gt;=判定条件!$C$7*W886,"運転",IF(X886&lt;=判定条件!$C$8*W886,"停止","断続")))</f>
        <v>断続</v>
      </c>
      <c r="Z886" s="30" t="n">
        <v>60</v>
      </c>
      <c r="AA886" s="30" t="n">
        <v>0</v>
      </c>
      <c r="AB886" s="30" t="str">
        <f aca="false">IF(Z886&lt;判定条件!$C$6,"判定不能",IF(AA886&gt;=判定条件!$C$7*Z886,"運転",IF(AA886&lt;=判定条件!$C$8*Z886,"停止","断続")))</f>
        <v>停止</v>
      </c>
      <c r="AC886" s="30" t="n">
        <v>60</v>
      </c>
      <c r="AD886" s="30" t="n">
        <v>7</v>
      </c>
      <c r="AE886" s="30" t="str">
        <f aca="false">IF(AC886&lt;判定条件!$C$6,"判定不能",IF(AD886&gt;=判定条件!$C$7*AC886,"運転",IF(AD886&lt;=判定条件!$C$8*AC886,"停止","断続")))</f>
        <v>停止</v>
      </c>
      <c r="AF886" s="30" t="n">
        <v>60</v>
      </c>
      <c r="AG886" s="30" t="n">
        <v>47</v>
      </c>
      <c r="AH886" s="30" t="str">
        <f aca="false">IF(OR(P886="判定不能",G886="判定不能"),"判定不能",IF(AG886&gt;=判定条件!$C$9,"利用可",IF(AND(P886="停止",G886="停止"),"両方停止","運転がそろわない")))</f>
        <v>利用可</v>
      </c>
      <c r="AI886" s="30" t="n">
        <v>0</v>
      </c>
      <c r="AJ886" s="30" t="n">
        <v>0</v>
      </c>
      <c r="AK886" s="30" t="str">
        <f aca="false">IF(OR(S886="判定不能",J886="判定不能"),"判定不能",IF(AJ886&gt;=判定条件!$C$9,"利用可",IF(AND(S886="停止",J886="停止"),"両方停止","運転がそろわない")))</f>
        <v>判定不能</v>
      </c>
      <c r="AL886" s="30" t="n">
        <v>60</v>
      </c>
      <c r="AM886" s="30" t="n">
        <v>36</v>
      </c>
      <c r="AN886" s="30" t="str">
        <f aca="false">IF(OR(V886="判定不能",M886="判定不能"),"判定不能",IF(AM886&gt;=判定条件!$C$9,"利用可",IF(AND(V886="停止",M886="停止"),"両方停止","運転がそろわない")))</f>
        <v>利用可</v>
      </c>
      <c r="AO886" s="30" t="n">
        <v>60</v>
      </c>
      <c r="AP886" s="30" t="n">
        <v>17</v>
      </c>
      <c r="AQ886" s="30" t="str">
        <f aca="false">IF(OR(Y886="判定不能",G886="判定不能"),"判定不能",IF(AP886&gt;=判定条件!$C$9,"利用可",IF(AND(Y886="停止",G886="停止"),"両方停止","運転がそろわない")))</f>
        <v>運転がそろわない</v>
      </c>
      <c r="AR886" s="30" t="n">
        <v>0</v>
      </c>
      <c r="AS886" s="30" t="n">
        <v>0</v>
      </c>
      <c r="AT886" s="30" t="str">
        <f aca="false">IF(OR(AB886="判定不能",J886="判定不能"),"判定不能",IF(AS886&gt;=判定条件!$C$9,"利用可",IF(AND(AB886="停止",J886="停止"),"両方停止","運転がそろわない")))</f>
        <v>判定不能</v>
      </c>
      <c r="AU886" s="30" t="n">
        <v>60</v>
      </c>
      <c r="AV886" s="30" t="n">
        <v>7</v>
      </c>
      <c r="AW886" s="30" t="str">
        <f aca="false">IF(OR(AE886="判定不能",M886="判定不能"),"判定不能",IF(AV886&gt;=判定条件!$C$9,"利用可",IF(AND(AE886="停止",M886="停止"),"両方停止","運転がそろわない")))</f>
        <v>運転がそろわない</v>
      </c>
      <c r="AX886" s="30" t="str">
        <f aca="false">IF(AND(AH886="利用可",AK886="利用可",AN886="利用可"),"利用可","不可")</f>
        <v>不可</v>
      </c>
      <c r="AY886" s="30" t="str">
        <f aca="false">IF(AND(AQ886="利用可",AT886="利用可",AW886="利用可"),"利用可","不可")</f>
        <v>不可</v>
      </c>
    </row>
    <row r="887" customFormat="false" ht="15" hidden="false" customHeight="false" outlineLevel="0" collapsed="false">
      <c r="A887" s="29" t="n">
        <v>46268</v>
      </c>
      <c r="B887" s="30" t="n">
        <v>20</v>
      </c>
      <c r="C887" s="31" t="s">
        <v>61</v>
      </c>
      <c r="D887" s="31" t="s">
        <v>59</v>
      </c>
      <c r="E887" s="30" t="n">
        <v>60</v>
      </c>
      <c r="F887" s="30" t="n">
        <v>40</v>
      </c>
      <c r="G887" s="30" t="str">
        <f aca="false">IF(E887&lt;判定条件!$C$6,"判定不能",IF(F887&gt;=判定条件!$C$7*E887,"運転",IF(F887&lt;=判定条件!$C$8*E887,"停止","断続")))</f>
        <v>断続</v>
      </c>
      <c r="H887" s="30" t="n">
        <v>0</v>
      </c>
      <c r="I887" s="30" t="n">
        <v>0</v>
      </c>
      <c r="J887" s="30" t="str">
        <f aca="false">IF(H887&lt;判定条件!$C$6,"判定不能",IF(I887&gt;=判定条件!$C$7*H887,"運転",IF(I887&lt;=判定条件!$C$8*H887,"停止","断続")))</f>
        <v>判定不能</v>
      </c>
      <c r="K887" s="30" t="n">
        <v>60</v>
      </c>
      <c r="L887" s="30" t="n">
        <v>60</v>
      </c>
      <c r="M887" s="30" t="str">
        <f aca="false">IF(K887&lt;判定条件!$C$6,"判定不能",IF(L887&gt;=判定条件!$C$7*K887,"運転",IF(L887&lt;=判定条件!$C$8*K887,"停止","断続")))</f>
        <v>運転</v>
      </c>
      <c r="N887" s="30" t="n">
        <v>60</v>
      </c>
      <c r="O887" s="30" t="n">
        <v>0</v>
      </c>
      <c r="P887" s="30" t="str">
        <f aca="false">IF(N887&lt;判定条件!$C$6,"判定不能",IF(O887&gt;=判定条件!$C$7*N887,"運転",IF(O887&lt;=判定条件!$C$8*N887,"停止","断続")))</f>
        <v>停止</v>
      </c>
      <c r="Q887" s="30" t="n">
        <v>60</v>
      </c>
      <c r="R887" s="30" t="n">
        <v>0</v>
      </c>
      <c r="S887" s="30" t="str">
        <f aca="false">IF(Q887&lt;判定条件!$C$6,"判定不能",IF(R887&gt;=判定条件!$C$7*Q887,"運転",IF(R887&lt;=判定条件!$C$8*Q887,"停止","断続")))</f>
        <v>停止</v>
      </c>
      <c r="T887" s="30" t="n">
        <v>60</v>
      </c>
      <c r="U887" s="30" t="n">
        <v>9</v>
      </c>
      <c r="V887" s="30" t="str">
        <f aca="false">IF(T887&lt;判定条件!$C$6,"判定不能",IF(U887&gt;=判定条件!$C$7*T887,"運転",IF(U887&lt;=判定条件!$C$8*T887,"停止","断続")))</f>
        <v>停止</v>
      </c>
      <c r="W887" s="30" t="n">
        <v>60</v>
      </c>
      <c r="X887" s="30" t="n">
        <v>0</v>
      </c>
      <c r="Y887" s="30" t="str">
        <f aca="false">IF(W887&lt;判定条件!$C$6,"判定不能",IF(X887&gt;=判定条件!$C$7*W887,"運転",IF(X887&lt;=判定条件!$C$8*W887,"停止","断続")))</f>
        <v>停止</v>
      </c>
      <c r="Z887" s="30" t="n">
        <v>60</v>
      </c>
      <c r="AA887" s="30" t="n">
        <v>0</v>
      </c>
      <c r="AB887" s="30" t="str">
        <f aca="false">IF(Z887&lt;判定条件!$C$6,"判定不能",IF(AA887&gt;=判定条件!$C$7*Z887,"運転",IF(AA887&lt;=判定条件!$C$8*Z887,"停止","断続")))</f>
        <v>停止</v>
      </c>
      <c r="AC887" s="30" t="n">
        <v>60</v>
      </c>
      <c r="AD887" s="30" t="n">
        <v>0</v>
      </c>
      <c r="AE887" s="30" t="str">
        <f aca="false">IF(AC887&lt;判定条件!$C$6,"判定不能",IF(AD887&gt;=判定条件!$C$7*AC887,"運転",IF(AD887&lt;=判定条件!$C$8*AC887,"停止","断続")))</f>
        <v>停止</v>
      </c>
      <c r="AF887" s="30" t="n">
        <v>60</v>
      </c>
      <c r="AG887" s="30" t="n">
        <v>0</v>
      </c>
      <c r="AH887" s="30" t="str">
        <f aca="false">IF(OR(P887="判定不能",G887="判定不能"),"判定不能",IF(AG887&gt;=判定条件!$C$9,"利用可",IF(AND(P887="停止",G887="停止"),"両方停止","運転がそろわない")))</f>
        <v>運転がそろわない</v>
      </c>
      <c r="AI887" s="30" t="n">
        <v>0</v>
      </c>
      <c r="AJ887" s="30" t="n">
        <v>0</v>
      </c>
      <c r="AK887" s="30" t="str">
        <f aca="false">IF(OR(S887="判定不能",J887="判定不能"),"判定不能",IF(AJ887&gt;=判定条件!$C$9,"利用可",IF(AND(S887="停止",J887="停止"),"両方停止","運転がそろわない")))</f>
        <v>判定不能</v>
      </c>
      <c r="AL887" s="30" t="n">
        <v>60</v>
      </c>
      <c r="AM887" s="30" t="n">
        <v>9</v>
      </c>
      <c r="AN887" s="30" t="str">
        <f aca="false">IF(OR(V887="判定不能",M887="判定不能"),"判定不能",IF(AM887&gt;=判定条件!$C$9,"利用可",IF(AND(V887="停止",M887="停止"),"両方停止","運転がそろわない")))</f>
        <v>運転がそろわない</v>
      </c>
      <c r="AO887" s="30" t="n">
        <v>60</v>
      </c>
      <c r="AP887" s="30" t="n">
        <v>0</v>
      </c>
      <c r="AQ887" s="30" t="str">
        <f aca="false">IF(OR(Y887="判定不能",G887="判定不能"),"判定不能",IF(AP887&gt;=判定条件!$C$9,"利用可",IF(AND(Y887="停止",G887="停止"),"両方停止","運転がそろわない")))</f>
        <v>運転がそろわない</v>
      </c>
      <c r="AR887" s="30" t="n">
        <v>0</v>
      </c>
      <c r="AS887" s="30" t="n">
        <v>0</v>
      </c>
      <c r="AT887" s="30" t="str">
        <f aca="false">IF(OR(AB887="判定不能",J887="判定不能"),"判定不能",IF(AS887&gt;=判定条件!$C$9,"利用可",IF(AND(AB887="停止",J887="停止"),"両方停止","運転がそろわない")))</f>
        <v>判定不能</v>
      </c>
      <c r="AU887" s="30" t="n">
        <v>60</v>
      </c>
      <c r="AV887" s="30" t="n">
        <v>0</v>
      </c>
      <c r="AW887" s="30" t="str">
        <f aca="false">IF(OR(AE887="判定不能",M887="判定不能"),"判定不能",IF(AV887&gt;=判定条件!$C$9,"利用可",IF(AND(AE887="停止",M887="停止"),"両方停止","運転がそろわない")))</f>
        <v>運転がそろわない</v>
      </c>
      <c r="AX887" s="30" t="str">
        <f aca="false">IF(AND(AH887="利用可",AK887="利用可",AN887="利用可"),"利用可","不可")</f>
        <v>不可</v>
      </c>
      <c r="AY887" s="30" t="str">
        <f aca="false">IF(AND(AQ887="利用可",AT887="利用可",AW887="利用可"),"利用可","不可")</f>
        <v>不可</v>
      </c>
    </row>
    <row r="888" customFormat="false" ht="15" hidden="false" customHeight="false" outlineLevel="0" collapsed="false">
      <c r="A888" s="29" t="n">
        <v>46268</v>
      </c>
      <c r="B888" s="30" t="n">
        <v>21</v>
      </c>
      <c r="C888" s="31" t="s">
        <v>61</v>
      </c>
      <c r="D888" s="31" t="s">
        <v>59</v>
      </c>
      <c r="E888" s="30" t="n">
        <v>60</v>
      </c>
      <c r="F888" s="30" t="n">
        <v>0</v>
      </c>
      <c r="G888" s="30" t="str">
        <f aca="false">IF(E888&lt;判定条件!$C$6,"判定不能",IF(F888&gt;=判定条件!$C$7*E888,"運転",IF(F888&lt;=判定条件!$C$8*E888,"停止","断続")))</f>
        <v>停止</v>
      </c>
      <c r="H888" s="30" t="n">
        <v>0</v>
      </c>
      <c r="I888" s="30" t="n">
        <v>0</v>
      </c>
      <c r="J888" s="30" t="str">
        <f aca="false">IF(H888&lt;判定条件!$C$6,"判定不能",IF(I888&gt;=判定条件!$C$7*H888,"運転",IF(I888&lt;=判定条件!$C$8*H888,"停止","断続")))</f>
        <v>判定不能</v>
      </c>
      <c r="K888" s="30" t="n">
        <v>60</v>
      </c>
      <c r="L888" s="30" t="n">
        <v>60</v>
      </c>
      <c r="M888" s="30" t="str">
        <f aca="false">IF(K888&lt;判定条件!$C$6,"判定不能",IF(L888&gt;=判定条件!$C$7*K888,"運転",IF(L888&lt;=判定条件!$C$8*K888,"停止","断続")))</f>
        <v>運転</v>
      </c>
      <c r="N888" s="30" t="n">
        <v>60</v>
      </c>
      <c r="O888" s="30" t="n">
        <v>0</v>
      </c>
      <c r="P888" s="30" t="str">
        <f aca="false">IF(N888&lt;判定条件!$C$6,"判定不能",IF(O888&gt;=判定条件!$C$7*N888,"運転",IF(O888&lt;=判定条件!$C$8*N888,"停止","断続")))</f>
        <v>停止</v>
      </c>
      <c r="Q888" s="30" t="n">
        <v>60</v>
      </c>
      <c r="R888" s="30" t="n">
        <v>0</v>
      </c>
      <c r="S888" s="30" t="str">
        <f aca="false">IF(Q888&lt;判定条件!$C$6,"判定不能",IF(R888&gt;=判定条件!$C$7*Q888,"運転",IF(R888&lt;=判定条件!$C$8*Q888,"停止","断続")))</f>
        <v>停止</v>
      </c>
      <c r="T888" s="30" t="n">
        <v>60</v>
      </c>
      <c r="U888" s="30" t="n">
        <v>0</v>
      </c>
      <c r="V888" s="30" t="str">
        <f aca="false">IF(T888&lt;判定条件!$C$6,"判定不能",IF(U888&gt;=判定条件!$C$7*T888,"運転",IF(U888&lt;=判定条件!$C$8*T888,"停止","断続")))</f>
        <v>停止</v>
      </c>
      <c r="W888" s="30" t="n">
        <v>60</v>
      </c>
      <c r="X888" s="30" t="n">
        <v>0</v>
      </c>
      <c r="Y888" s="30" t="str">
        <f aca="false">IF(W888&lt;判定条件!$C$6,"判定不能",IF(X888&gt;=判定条件!$C$7*W888,"運転",IF(X888&lt;=判定条件!$C$8*W888,"停止","断続")))</f>
        <v>停止</v>
      </c>
      <c r="Z888" s="30" t="n">
        <v>60</v>
      </c>
      <c r="AA888" s="30" t="n">
        <v>0</v>
      </c>
      <c r="AB888" s="30" t="str">
        <f aca="false">IF(Z888&lt;判定条件!$C$6,"判定不能",IF(AA888&gt;=判定条件!$C$7*Z888,"運転",IF(AA888&lt;=判定条件!$C$8*Z888,"停止","断続")))</f>
        <v>停止</v>
      </c>
      <c r="AC888" s="30" t="n">
        <v>60</v>
      </c>
      <c r="AD888" s="30" t="n">
        <v>0</v>
      </c>
      <c r="AE888" s="30" t="str">
        <f aca="false">IF(AC888&lt;判定条件!$C$6,"判定不能",IF(AD888&gt;=判定条件!$C$7*AC888,"運転",IF(AD888&lt;=判定条件!$C$8*AC888,"停止","断続")))</f>
        <v>停止</v>
      </c>
      <c r="AF888" s="30" t="n">
        <v>60</v>
      </c>
      <c r="AG888" s="30" t="n">
        <v>0</v>
      </c>
      <c r="AH888" s="30" t="str">
        <f aca="false">IF(OR(P888="判定不能",G888="判定不能"),"判定不能",IF(AG888&gt;=判定条件!$C$9,"利用可",IF(AND(P888="停止",G888="停止"),"両方停止","運転がそろわない")))</f>
        <v>両方停止</v>
      </c>
      <c r="AI888" s="30" t="n">
        <v>0</v>
      </c>
      <c r="AJ888" s="30" t="n">
        <v>0</v>
      </c>
      <c r="AK888" s="30" t="str">
        <f aca="false">IF(OR(S888="判定不能",J888="判定不能"),"判定不能",IF(AJ888&gt;=判定条件!$C$9,"利用可",IF(AND(S888="停止",J888="停止"),"両方停止","運転がそろわない")))</f>
        <v>判定不能</v>
      </c>
      <c r="AL888" s="30" t="n">
        <v>60</v>
      </c>
      <c r="AM888" s="30" t="n">
        <v>0</v>
      </c>
      <c r="AN888" s="30" t="str">
        <f aca="false">IF(OR(V888="判定不能",M888="判定不能"),"判定不能",IF(AM888&gt;=判定条件!$C$9,"利用可",IF(AND(V888="停止",M888="停止"),"両方停止","運転がそろわない")))</f>
        <v>運転がそろわない</v>
      </c>
      <c r="AO888" s="30" t="n">
        <v>60</v>
      </c>
      <c r="AP888" s="30" t="n">
        <v>0</v>
      </c>
      <c r="AQ888" s="30" t="str">
        <f aca="false">IF(OR(Y888="判定不能",G888="判定不能"),"判定不能",IF(AP888&gt;=判定条件!$C$9,"利用可",IF(AND(Y888="停止",G888="停止"),"両方停止","運転がそろわない")))</f>
        <v>両方停止</v>
      </c>
      <c r="AR888" s="30" t="n">
        <v>0</v>
      </c>
      <c r="AS888" s="30" t="n">
        <v>0</v>
      </c>
      <c r="AT888" s="30" t="str">
        <f aca="false">IF(OR(AB888="判定不能",J888="判定不能"),"判定不能",IF(AS888&gt;=判定条件!$C$9,"利用可",IF(AND(AB888="停止",J888="停止"),"両方停止","運転がそろわない")))</f>
        <v>判定不能</v>
      </c>
      <c r="AU888" s="30" t="n">
        <v>60</v>
      </c>
      <c r="AV888" s="30" t="n">
        <v>0</v>
      </c>
      <c r="AW888" s="30" t="str">
        <f aca="false">IF(OR(AE888="判定不能",M888="判定不能"),"判定不能",IF(AV888&gt;=判定条件!$C$9,"利用可",IF(AND(AE888="停止",M888="停止"),"両方停止","運転がそろわない")))</f>
        <v>運転がそろわない</v>
      </c>
      <c r="AX888" s="30" t="str">
        <f aca="false">IF(AND(AH888="利用可",AK888="利用可",AN888="利用可"),"利用可","不可")</f>
        <v>不可</v>
      </c>
      <c r="AY888" s="30" t="str">
        <f aca="false">IF(AND(AQ888="利用可",AT888="利用可",AW888="利用可"),"利用可","不可")</f>
        <v>不可</v>
      </c>
    </row>
    <row r="889" customFormat="false" ht="15" hidden="false" customHeight="false" outlineLevel="0" collapsed="false">
      <c r="A889" s="29" t="n">
        <v>46268</v>
      </c>
      <c r="B889" s="30" t="n">
        <v>22</v>
      </c>
      <c r="C889" s="31" t="s">
        <v>61</v>
      </c>
      <c r="D889" s="31" t="s">
        <v>59</v>
      </c>
      <c r="E889" s="30" t="n">
        <v>60</v>
      </c>
      <c r="F889" s="30" t="n">
        <v>0</v>
      </c>
      <c r="G889" s="30" t="str">
        <f aca="false">IF(E889&lt;判定条件!$C$6,"判定不能",IF(F889&gt;=判定条件!$C$7*E889,"運転",IF(F889&lt;=判定条件!$C$8*E889,"停止","断続")))</f>
        <v>停止</v>
      </c>
      <c r="H889" s="30" t="n">
        <v>0</v>
      </c>
      <c r="I889" s="30" t="n">
        <v>0</v>
      </c>
      <c r="J889" s="30" t="str">
        <f aca="false">IF(H889&lt;判定条件!$C$6,"判定不能",IF(I889&gt;=判定条件!$C$7*H889,"運転",IF(I889&lt;=判定条件!$C$8*H889,"停止","断続")))</f>
        <v>判定不能</v>
      </c>
      <c r="K889" s="30" t="n">
        <v>60</v>
      </c>
      <c r="L889" s="30" t="n">
        <v>60</v>
      </c>
      <c r="M889" s="30" t="str">
        <f aca="false">IF(K889&lt;判定条件!$C$6,"判定不能",IF(L889&gt;=判定条件!$C$7*K889,"運転",IF(L889&lt;=判定条件!$C$8*K889,"停止","断続")))</f>
        <v>運転</v>
      </c>
      <c r="N889" s="30" t="n">
        <v>60</v>
      </c>
      <c r="O889" s="30" t="n">
        <v>4</v>
      </c>
      <c r="P889" s="30" t="str">
        <f aca="false">IF(N889&lt;判定条件!$C$6,"判定不能",IF(O889&gt;=判定条件!$C$7*N889,"運転",IF(O889&lt;=判定条件!$C$8*N889,"停止","断続")))</f>
        <v>停止</v>
      </c>
      <c r="Q889" s="30" t="n">
        <v>60</v>
      </c>
      <c r="R889" s="30" t="n">
        <v>0</v>
      </c>
      <c r="S889" s="30" t="str">
        <f aca="false">IF(Q889&lt;判定条件!$C$6,"判定不能",IF(R889&gt;=判定条件!$C$7*Q889,"運転",IF(R889&lt;=判定条件!$C$8*Q889,"停止","断続")))</f>
        <v>停止</v>
      </c>
      <c r="T889" s="30" t="n">
        <v>60</v>
      </c>
      <c r="U889" s="30" t="n">
        <v>0</v>
      </c>
      <c r="V889" s="30" t="str">
        <f aca="false">IF(T889&lt;判定条件!$C$6,"判定不能",IF(U889&gt;=判定条件!$C$7*T889,"運転",IF(U889&lt;=判定条件!$C$8*T889,"停止","断続")))</f>
        <v>停止</v>
      </c>
      <c r="W889" s="30" t="n">
        <v>60</v>
      </c>
      <c r="X889" s="30" t="n">
        <v>0</v>
      </c>
      <c r="Y889" s="30" t="str">
        <f aca="false">IF(W889&lt;判定条件!$C$6,"判定不能",IF(X889&gt;=判定条件!$C$7*W889,"運転",IF(X889&lt;=判定条件!$C$8*W889,"停止","断続")))</f>
        <v>停止</v>
      </c>
      <c r="Z889" s="30" t="n">
        <v>60</v>
      </c>
      <c r="AA889" s="30" t="n">
        <v>0</v>
      </c>
      <c r="AB889" s="30" t="str">
        <f aca="false">IF(Z889&lt;判定条件!$C$6,"判定不能",IF(AA889&gt;=判定条件!$C$7*Z889,"運転",IF(AA889&lt;=判定条件!$C$8*Z889,"停止","断続")))</f>
        <v>停止</v>
      </c>
      <c r="AC889" s="30" t="n">
        <v>60</v>
      </c>
      <c r="AD889" s="30" t="n">
        <v>0</v>
      </c>
      <c r="AE889" s="30" t="str">
        <f aca="false">IF(AC889&lt;判定条件!$C$6,"判定不能",IF(AD889&gt;=判定条件!$C$7*AC889,"運転",IF(AD889&lt;=判定条件!$C$8*AC889,"停止","断続")))</f>
        <v>停止</v>
      </c>
      <c r="AF889" s="30" t="n">
        <v>60</v>
      </c>
      <c r="AG889" s="30" t="n">
        <v>0</v>
      </c>
      <c r="AH889" s="30" t="str">
        <f aca="false">IF(OR(P889="判定不能",G889="判定不能"),"判定不能",IF(AG889&gt;=判定条件!$C$9,"利用可",IF(AND(P889="停止",G889="停止"),"両方停止","運転がそろわない")))</f>
        <v>両方停止</v>
      </c>
      <c r="AI889" s="30" t="n">
        <v>0</v>
      </c>
      <c r="AJ889" s="30" t="n">
        <v>0</v>
      </c>
      <c r="AK889" s="30" t="str">
        <f aca="false">IF(OR(S889="判定不能",J889="判定不能"),"判定不能",IF(AJ889&gt;=判定条件!$C$9,"利用可",IF(AND(S889="停止",J889="停止"),"両方停止","運転がそろわない")))</f>
        <v>判定不能</v>
      </c>
      <c r="AL889" s="30" t="n">
        <v>60</v>
      </c>
      <c r="AM889" s="30" t="n">
        <v>0</v>
      </c>
      <c r="AN889" s="30" t="str">
        <f aca="false">IF(OR(V889="判定不能",M889="判定不能"),"判定不能",IF(AM889&gt;=判定条件!$C$9,"利用可",IF(AND(V889="停止",M889="停止"),"両方停止","運転がそろわない")))</f>
        <v>運転がそろわない</v>
      </c>
      <c r="AO889" s="30" t="n">
        <v>60</v>
      </c>
      <c r="AP889" s="30" t="n">
        <v>0</v>
      </c>
      <c r="AQ889" s="30" t="str">
        <f aca="false">IF(OR(Y889="判定不能",G889="判定不能"),"判定不能",IF(AP889&gt;=判定条件!$C$9,"利用可",IF(AND(Y889="停止",G889="停止"),"両方停止","運転がそろわない")))</f>
        <v>両方停止</v>
      </c>
      <c r="AR889" s="30" t="n">
        <v>0</v>
      </c>
      <c r="AS889" s="30" t="n">
        <v>0</v>
      </c>
      <c r="AT889" s="30" t="str">
        <f aca="false">IF(OR(AB889="判定不能",J889="判定不能"),"判定不能",IF(AS889&gt;=判定条件!$C$9,"利用可",IF(AND(AB889="停止",J889="停止"),"両方停止","運転がそろわない")))</f>
        <v>判定不能</v>
      </c>
      <c r="AU889" s="30" t="n">
        <v>60</v>
      </c>
      <c r="AV889" s="30" t="n">
        <v>0</v>
      </c>
      <c r="AW889" s="30" t="str">
        <f aca="false">IF(OR(AE889="判定不能",M889="判定不能"),"判定不能",IF(AV889&gt;=判定条件!$C$9,"利用可",IF(AND(AE889="停止",M889="停止"),"両方停止","運転がそろわない")))</f>
        <v>運転がそろわない</v>
      </c>
      <c r="AX889" s="30" t="str">
        <f aca="false">IF(AND(AH889="利用可",AK889="利用可",AN889="利用可"),"利用可","不可")</f>
        <v>不可</v>
      </c>
      <c r="AY889" s="30" t="str">
        <f aca="false">IF(AND(AQ889="利用可",AT889="利用可",AW889="利用可"),"利用可","不可")</f>
        <v>不可</v>
      </c>
    </row>
    <row r="890" customFormat="false" ht="15" hidden="false" customHeight="false" outlineLevel="0" collapsed="false">
      <c r="A890" s="29" t="n">
        <v>46268</v>
      </c>
      <c r="B890" s="30" t="n">
        <v>23</v>
      </c>
      <c r="C890" s="31" t="s">
        <v>61</v>
      </c>
      <c r="D890" s="31" t="s">
        <v>59</v>
      </c>
      <c r="E890" s="30" t="n">
        <v>60</v>
      </c>
      <c r="F890" s="30" t="n">
        <v>0</v>
      </c>
      <c r="G890" s="30" t="str">
        <f aca="false">IF(E890&lt;判定条件!$C$6,"判定不能",IF(F890&gt;=判定条件!$C$7*E890,"運転",IF(F890&lt;=判定条件!$C$8*E890,"停止","断続")))</f>
        <v>停止</v>
      </c>
      <c r="H890" s="30" t="n">
        <v>0</v>
      </c>
      <c r="I890" s="30" t="n">
        <v>0</v>
      </c>
      <c r="J890" s="30" t="str">
        <f aca="false">IF(H890&lt;判定条件!$C$6,"判定不能",IF(I890&gt;=判定条件!$C$7*H890,"運転",IF(I890&lt;=判定条件!$C$8*H890,"停止","断続")))</f>
        <v>判定不能</v>
      </c>
      <c r="K890" s="30" t="n">
        <v>60</v>
      </c>
      <c r="L890" s="30" t="n">
        <v>60</v>
      </c>
      <c r="M890" s="30" t="str">
        <f aca="false">IF(K890&lt;判定条件!$C$6,"判定不能",IF(L890&gt;=判定条件!$C$7*K890,"運転",IF(L890&lt;=判定条件!$C$8*K890,"停止","断続")))</f>
        <v>運転</v>
      </c>
      <c r="N890" s="30" t="n">
        <v>60</v>
      </c>
      <c r="O890" s="30" t="n">
        <v>54</v>
      </c>
      <c r="P890" s="30" t="str">
        <f aca="false">IF(N890&lt;判定条件!$C$6,"判定不能",IF(O890&gt;=判定条件!$C$7*N890,"運転",IF(O890&lt;=判定条件!$C$8*N890,"停止","断続")))</f>
        <v>運転</v>
      </c>
      <c r="Q890" s="30" t="n">
        <v>60</v>
      </c>
      <c r="R890" s="30" t="n">
        <v>0</v>
      </c>
      <c r="S890" s="30" t="str">
        <f aca="false">IF(Q890&lt;判定条件!$C$6,"判定不能",IF(R890&gt;=判定条件!$C$7*Q890,"運転",IF(R890&lt;=判定条件!$C$8*Q890,"停止","断続")))</f>
        <v>停止</v>
      </c>
      <c r="T890" s="30" t="n">
        <v>60</v>
      </c>
      <c r="U890" s="30" t="n">
        <v>0</v>
      </c>
      <c r="V890" s="30" t="str">
        <f aca="false">IF(T890&lt;判定条件!$C$6,"判定不能",IF(U890&gt;=判定条件!$C$7*T890,"運転",IF(U890&lt;=判定条件!$C$8*T890,"停止","断続")))</f>
        <v>停止</v>
      </c>
      <c r="W890" s="30" t="n">
        <v>60</v>
      </c>
      <c r="X890" s="30" t="n">
        <v>0</v>
      </c>
      <c r="Y890" s="30" t="str">
        <f aca="false">IF(W890&lt;判定条件!$C$6,"判定不能",IF(X890&gt;=判定条件!$C$7*W890,"運転",IF(X890&lt;=判定条件!$C$8*W890,"停止","断続")))</f>
        <v>停止</v>
      </c>
      <c r="Z890" s="30" t="n">
        <v>60</v>
      </c>
      <c r="AA890" s="30" t="n">
        <v>0</v>
      </c>
      <c r="AB890" s="30" t="str">
        <f aca="false">IF(Z890&lt;判定条件!$C$6,"判定不能",IF(AA890&gt;=判定条件!$C$7*Z890,"運転",IF(AA890&lt;=判定条件!$C$8*Z890,"停止","断続")))</f>
        <v>停止</v>
      </c>
      <c r="AC890" s="30" t="n">
        <v>60</v>
      </c>
      <c r="AD890" s="30" t="n">
        <v>0</v>
      </c>
      <c r="AE890" s="30" t="str">
        <f aca="false">IF(AC890&lt;判定条件!$C$6,"判定不能",IF(AD890&gt;=判定条件!$C$7*AC890,"運転",IF(AD890&lt;=判定条件!$C$8*AC890,"停止","断続")))</f>
        <v>停止</v>
      </c>
      <c r="AF890" s="30" t="n">
        <v>60</v>
      </c>
      <c r="AG890" s="30" t="n">
        <v>0</v>
      </c>
      <c r="AH890" s="30" t="str">
        <f aca="false">IF(OR(P890="判定不能",G890="判定不能"),"判定不能",IF(AG890&gt;=判定条件!$C$9,"利用可",IF(AND(P890="停止",G890="停止"),"両方停止","運転がそろわない")))</f>
        <v>運転がそろわない</v>
      </c>
      <c r="AI890" s="30" t="n">
        <v>0</v>
      </c>
      <c r="AJ890" s="30" t="n">
        <v>0</v>
      </c>
      <c r="AK890" s="30" t="str">
        <f aca="false">IF(OR(S890="判定不能",J890="判定不能"),"判定不能",IF(AJ890&gt;=判定条件!$C$9,"利用可",IF(AND(S890="停止",J890="停止"),"両方停止","運転がそろわない")))</f>
        <v>判定不能</v>
      </c>
      <c r="AL890" s="30" t="n">
        <v>60</v>
      </c>
      <c r="AM890" s="30" t="n">
        <v>0</v>
      </c>
      <c r="AN890" s="30" t="str">
        <f aca="false">IF(OR(V890="判定不能",M890="判定不能"),"判定不能",IF(AM890&gt;=判定条件!$C$9,"利用可",IF(AND(V890="停止",M890="停止"),"両方停止","運転がそろわない")))</f>
        <v>運転がそろわない</v>
      </c>
      <c r="AO890" s="30" t="n">
        <v>60</v>
      </c>
      <c r="AP890" s="30" t="n">
        <v>0</v>
      </c>
      <c r="AQ890" s="30" t="str">
        <f aca="false">IF(OR(Y890="判定不能",G890="判定不能"),"判定不能",IF(AP890&gt;=判定条件!$C$9,"利用可",IF(AND(Y890="停止",G890="停止"),"両方停止","運転がそろわない")))</f>
        <v>両方停止</v>
      </c>
      <c r="AR890" s="30" t="n">
        <v>0</v>
      </c>
      <c r="AS890" s="30" t="n">
        <v>0</v>
      </c>
      <c r="AT890" s="30" t="str">
        <f aca="false">IF(OR(AB890="判定不能",J890="判定不能"),"判定不能",IF(AS890&gt;=判定条件!$C$9,"利用可",IF(AND(AB890="停止",J890="停止"),"両方停止","運転がそろわない")))</f>
        <v>判定不能</v>
      </c>
      <c r="AU890" s="30" t="n">
        <v>60</v>
      </c>
      <c r="AV890" s="30" t="n">
        <v>0</v>
      </c>
      <c r="AW890" s="30" t="str">
        <f aca="false">IF(OR(AE890="判定不能",M890="判定不能"),"判定不能",IF(AV890&gt;=判定条件!$C$9,"利用可",IF(AND(AE890="停止",M890="停止"),"両方停止","運転がそろわない")))</f>
        <v>運転がそろわない</v>
      </c>
      <c r="AX890" s="30" t="str">
        <f aca="false">IF(AND(AH890="利用可",AK890="利用可",AN890="利用可"),"利用可","不可")</f>
        <v>不可</v>
      </c>
      <c r="AY890" s="30" t="str">
        <f aca="false">IF(AND(AQ890="利用可",AT890="利用可",AW890="利用可"),"利用可","不可")</f>
        <v>不可</v>
      </c>
    </row>
    <row r="891" customFormat="false" ht="15" hidden="false" customHeight="false" outlineLevel="0" collapsed="false">
      <c r="A891" s="29" t="n">
        <v>46269</v>
      </c>
      <c r="B891" s="30" t="n">
        <v>0</v>
      </c>
      <c r="C891" s="31" t="s">
        <v>62</v>
      </c>
      <c r="D891" s="31" t="s">
        <v>59</v>
      </c>
      <c r="E891" s="30" t="n">
        <v>60</v>
      </c>
      <c r="F891" s="30" t="n">
        <v>0</v>
      </c>
      <c r="G891" s="30" t="str">
        <f aca="false">IF(E891&lt;判定条件!$C$6,"判定不能",IF(F891&gt;=判定条件!$C$7*E891,"運転",IF(F891&lt;=判定条件!$C$8*E891,"停止","断続")))</f>
        <v>停止</v>
      </c>
      <c r="H891" s="30" t="n">
        <v>0</v>
      </c>
      <c r="I891" s="30" t="n">
        <v>0</v>
      </c>
      <c r="J891" s="30" t="str">
        <f aca="false">IF(H891&lt;判定条件!$C$6,"判定不能",IF(I891&gt;=判定条件!$C$7*H891,"運転",IF(I891&lt;=判定条件!$C$8*H891,"停止","断続")))</f>
        <v>判定不能</v>
      </c>
      <c r="K891" s="30" t="n">
        <v>60</v>
      </c>
      <c r="L891" s="30" t="n">
        <v>60</v>
      </c>
      <c r="M891" s="30" t="str">
        <f aca="false">IF(K891&lt;判定条件!$C$6,"判定不能",IF(L891&gt;=判定条件!$C$7*K891,"運転",IF(L891&lt;=判定条件!$C$8*K891,"停止","断続")))</f>
        <v>運転</v>
      </c>
      <c r="N891" s="30" t="n">
        <v>60</v>
      </c>
      <c r="O891" s="30" t="n">
        <v>0</v>
      </c>
      <c r="P891" s="30" t="str">
        <f aca="false">IF(N891&lt;判定条件!$C$6,"判定不能",IF(O891&gt;=判定条件!$C$7*N891,"運転",IF(O891&lt;=判定条件!$C$8*N891,"停止","断続")))</f>
        <v>停止</v>
      </c>
      <c r="Q891" s="30" t="n">
        <v>60</v>
      </c>
      <c r="R891" s="30" t="n">
        <v>0</v>
      </c>
      <c r="S891" s="30" t="str">
        <f aca="false">IF(Q891&lt;判定条件!$C$6,"判定不能",IF(R891&gt;=判定条件!$C$7*Q891,"運転",IF(R891&lt;=判定条件!$C$8*Q891,"停止","断続")))</f>
        <v>停止</v>
      </c>
      <c r="T891" s="30" t="n">
        <v>60</v>
      </c>
      <c r="U891" s="30" t="n">
        <v>0</v>
      </c>
      <c r="V891" s="30" t="str">
        <f aca="false">IF(T891&lt;判定条件!$C$6,"判定不能",IF(U891&gt;=判定条件!$C$7*T891,"運転",IF(U891&lt;=判定条件!$C$8*T891,"停止","断続")))</f>
        <v>停止</v>
      </c>
      <c r="W891" s="30" t="n">
        <v>60</v>
      </c>
      <c r="X891" s="30" t="n">
        <v>0</v>
      </c>
      <c r="Y891" s="30" t="str">
        <f aca="false">IF(W891&lt;判定条件!$C$6,"判定不能",IF(X891&gt;=判定条件!$C$7*W891,"運転",IF(X891&lt;=判定条件!$C$8*W891,"停止","断続")))</f>
        <v>停止</v>
      </c>
      <c r="Z891" s="30" t="n">
        <v>60</v>
      </c>
      <c r="AA891" s="30" t="n">
        <v>0</v>
      </c>
      <c r="AB891" s="30" t="str">
        <f aca="false">IF(Z891&lt;判定条件!$C$6,"判定不能",IF(AA891&gt;=判定条件!$C$7*Z891,"運転",IF(AA891&lt;=判定条件!$C$8*Z891,"停止","断続")))</f>
        <v>停止</v>
      </c>
      <c r="AC891" s="30" t="n">
        <v>60</v>
      </c>
      <c r="AD891" s="30" t="n">
        <v>0</v>
      </c>
      <c r="AE891" s="30" t="str">
        <f aca="false">IF(AC891&lt;判定条件!$C$6,"判定不能",IF(AD891&gt;=判定条件!$C$7*AC891,"運転",IF(AD891&lt;=判定条件!$C$8*AC891,"停止","断続")))</f>
        <v>停止</v>
      </c>
      <c r="AF891" s="30" t="n">
        <v>60</v>
      </c>
      <c r="AG891" s="30" t="n">
        <v>0</v>
      </c>
      <c r="AH891" s="30" t="str">
        <f aca="false">IF(OR(P891="判定不能",G891="判定不能"),"判定不能",IF(AG891&gt;=判定条件!$C$9,"利用可",IF(AND(P891="停止",G891="停止"),"両方停止","運転がそろわない")))</f>
        <v>両方停止</v>
      </c>
      <c r="AI891" s="30" t="n">
        <v>0</v>
      </c>
      <c r="AJ891" s="30" t="n">
        <v>0</v>
      </c>
      <c r="AK891" s="30" t="str">
        <f aca="false">IF(OR(S891="判定不能",J891="判定不能"),"判定不能",IF(AJ891&gt;=判定条件!$C$9,"利用可",IF(AND(S891="停止",J891="停止"),"両方停止","運転がそろわない")))</f>
        <v>判定不能</v>
      </c>
      <c r="AL891" s="30" t="n">
        <v>60</v>
      </c>
      <c r="AM891" s="30" t="n">
        <v>0</v>
      </c>
      <c r="AN891" s="30" t="str">
        <f aca="false">IF(OR(V891="判定不能",M891="判定不能"),"判定不能",IF(AM891&gt;=判定条件!$C$9,"利用可",IF(AND(V891="停止",M891="停止"),"両方停止","運転がそろわない")))</f>
        <v>運転がそろわない</v>
      </c>
      <c r="AO891" s="30" t="n">
        <v>60</v>
      </c>
      <c r="AP891" s="30" t="n">
        <v>0</v>
      </c>
      <c r="AQ891" s="30" t="str">
        <f aca="false">IF(OR(Y891="判定不能",G891="判定不能"),"判定不能",IF(AP891&gt;=判定条件!$C$9,"利用可",IF(AND(Y891="停止",G891="停止"),"両方停止","運転がそろわない")))</f>
        <v>両方停止</v>
      </c>
      <c r="AR891" s="30" t="n">
        <v>0</v>
      </c>
      <c r="AS891" s="30" t="n">
        <v>0</v>
      </c>
      <c r="AT891" s="30" t="str">
        <f aca="false">IF(OR(AB891="判定不能",J891="判定不能"),"判定不能",IF(AS891&gt;=判定条件!$C$9,"利用可",IF(AND(AB891="停止",J891="停止"),"両方停止","運転がそろわない")))</f>
        <v>判定不能</v>
      </c>
      <c r="AU891" s="30" t="n">
        <v>60</v>
      </c>
      <c r="AV891" s="30" t="n">
        <v>0</v>
      </c>
      <c r="AW891" s="30" t="str">
        <f aca="false">IF(OR(AE891="判定不能",M891="判定不能"),"判定不能",IF(AV891&gt;=判定条件!$C$9,"利用可",IF(AND(AE891="停止",M891="停止"),"両方停止","運転がそろわない")))</f>
        <v>運転がそろわない</v>
      </c>
      <c r="AX891" s="30" t="str">
        <f aca="false">IF(AND(AH891="利用可",AK891="利用可",AN891="利用可"),"利用可","不可")</f>
        <v>不可</v>
      </c>
      <c r="AY891" s="30" t="str">
        <f aca="false">IF(AND(AQ891="利用可",AT891="利用可",AW891="利用可"),"利用可","不可")</f>
        <v>不可</v>
      </c>
    </row>
    <row r="892" customFormat="false" ht="15" hidden="false" customHeight="false" outlineLevel="0" collapsed="false">
      <c r="A892" s="29" t="n">
        <v>46269</v>
      </c>
      <c r="B892" s="30" t="n">
        <v>1</v>
      </c>
      <c r="C892" s="31" t="s">
        <v>62</v>
      </c>
      <c r="D892" s="31" t="s">
        <v>59</v>
      </c>
      <c r="E892" s="30" t="n">
        <v>60</v>
      </c>
      <c r="F892" s="30" t="n">
        <v>0</v>
      </c>
      <c r="G892" s="30" t="str">
        <f aca="false">IF(E892&lt;判定条件!$C$6,"判定不能",IF(F892&gt;=判定条件!$C$7*E892,"運転",IF(F892&lt;=判定条件!$C$8*E892,"停止","断続")))</f>
        <v>停止</v>
      </c>
      <c r="H892" s="30" t="n">
        <v>0</v>
      </c>
      <c r="I892" s="30" t="n">
        <v>0</v>
      </c>
      <c r="J892" s="30" t="str">
        <f aca="false">IF(H892&lt;判定条件!$C$6,"判定不能",IF(I892&gt;=判定条件!$C$7*H892,"運転",IF(I892&lt;=判定条件!$C$8*H892,"停止","断続")))</f>
        <v>判定不能</v>
      </c>
      <c r="K892" s="30" t="n">
        <v>60</v>
      </c>
      <c r="L892" s="30" t="n">
        <v>60</v>
      </c>
      <c r="M892" s="30" t="str">
        <f aca="false">IF(K892&lt;判定条件!$C$6,"判定不能",IF(L892&gt;=判定条件!$C$7*K892,"運転",IF(L892&lt;=判定条件!$C$8*K892,"停止","断続")))</f>
        <v>運転</v>
      </c>
      <c r="N892" s="30" t="n">
        <v>60</v>
      </c>
      <c r="O892" s="30" t="n">
        <v>32</v>
      </c>
      <c r="P892" s="30" t="str">
        <f aca="false">IF(N892&lt;判定条件!$C$6,"判定不能",IF(O892&gt;=判定条件!$C$7*N892,"運転",IF(O892&lt;=判定条件!$C$8*N892,"停止","断続")))</f>
        <v>断続</v>
      </c>
      <c r="Q892" s="30" t="n">
        <v>60</v>
      </c>
      <c r="R892" s="30" t="n">
        <v>0</v>
      </c>
      <c r="S892" s="30" t="str">
        <f aca="false">IF(Q892&lt;判定条件!$C$6,"判定不能",IF(R892&gt;=判定条件!$C$7*Q892,"運転",IF(R892&lt;=判定条件!$C$8*Q892,"停止","断続")))</f>
        <v>停止</v>
      </c>
      <c r="T892" s="30" t="n">
        <v>60</v>
      </c>
      <c r="U892" s="30" t="n">
        <v>0</v>
      </c>
      <c r="V892" s="30" t="str">
        <f aca="false">IF(T892&lt;判定条件!$C$6,"判定不能",IF(U892&gt;=判定条件!$C$7*T892,"運転",IF(U892&lt;=判定条件!$C$8*T892,"停止","断続")))</f>
        <v>停止</v>
      </c>
      <c r="W892" s="30" t="n">
        <v>60</v>
      </c>
      <c r="X892" s="30" t="n">
        <v>0</v>
      </c>
      <c r="Y892" s="30" t="str">
        <f aca="false">IF(W892&lt;判定条件!$C$6,"判定不能",IF(X892&gt;=判定条件!$C$7*W892,"運転",IF(X892&lt;=判定条件!$C$8*W892,"停止","断続")))</f>
        <v>停止</v>
      </c>
      <c r="Z892" s="30" t="n">
        <v>60</v>
      </c>
      <c r="AA892" s="30" t="n">
        <v>0</v>
      </c>
      <c r="AB892" s="30" t="str">
        <f aca="false">IF(Z892&lt;判定条件!$C$6,"判定不能",IF(AA892&gt;=判定条件!$C$7*Z892,"運転",IF(AA892&lt;=判定条件!$C$8*Z892,"停止","断続")))</f>
        <v>停止</v>
      </c>
      <c r="AC892" s="30" t="n">
        <v>60</v>
      </c>
      <c r="AD892" s="30" t="n">
        <v>0</v>
      </c>
      <c r="AE892" s="30" t="str">
        <f aca="false">IF(AC892&lt;判定条件!$C$6,"判定不能",IF(AD892&gt;=判定条件!$C$7*AC892,"運転",IF(AD892&lt;=判定条件!$C$8*AC892,"停止","断続")))</f>
        <v>停止</v>
      </c>
      <c r="AF892" s="30" t="n">
        <v>60</v>
      </c>
      <c r="AG892" s="30" t="n">
        <v>0</v>
      </c>
      <c r="AH892" s="30" t="str">
        <f aca="false">IF(OR(P892="判定不能",G892="判定不能"),"判定不能",IF(AG892&gt;=判定条件!$C$9,"利用可",IF(AND(P892="停止",G892="停止"),"両方停止","運転がそろわない")))</f>
        <v>運転がそろわない</v>
      </c>
      <c r="AI892" s="30" t="n">
        <v>0</v>
      </c>
      <c r="AJ892" s="30" t="n">
        <v>0</v>
      </c>
      <c r="AK892" s="30" t="str">
        <f aca="false">IF(OR(S892="判定不能",J892="判定不能"),"判定不能",IF(AJ892&gt;=判定条件!$C$9,"利用可",IF(AND(S892="停止",J892="停止"),"両方停止","運転がそろわない")))</f>
        <v>判定不能</v>
      </c>
      <c r="AL892" s="30" t="n">
        <v>60</v>
      </c>
      <c r="AM892" s="30" t="n">
        <v>0</v>
      </c>
      <c r="AN892" s="30" t="str">
        <f aca="false">IF(OR(V892="判定不能",M892="判定不能"),"判定不能",IF(AM892&gt;=判定条件!$C$9,"利用可",IF(AND(V892="停止",M892="停止"),"両方停止","運転がそろわない")))</f>
        <v>運転がそろわない</v>
      </c>
      <c r="AO892" s="30" t="n">
        <v>60</v>
      </c>
      <c r="AP892" s="30" t="n">
        <v>0</v>
      </c>
      <c r="AQ892" s="30" t="str">
        <f aca="false">IF(OR(Y892="判定不能",G892="判定不能"),"判定不能",IF(AP892&gt;=判定条件!$C$9,"利用可",IF(AND(Y892="停止",G892="停止"),"両方停止","運転がそろわない")))</f>
        <v>両方停止</v>
      </c>
      <c r="AR892" s="30" t="n">
        <v>0</v>
      </c>
      <c r="AS892" s="30" t="n">
        <v>0</v>
      </c>
      <c r="AT892" s="30" t="str">
        <f aca="false">IF(OR(AB892="判定不能",J892="判定不能"),"判定不能",IF(AS892&gt;=判定条件!$C$9,"利用可",IF(AND(AB892="停止",J892="停止"),"両方停止","運転がそろわない")))</f>
        <v>判定不能</v>
      </c>
      <c r="AU892" s="30" t="n">
        <v>60</v>
      </c>
      <c r="AV892" s="30" t="n">
        <v>0</v>
      </c>
      <c r="AW892" s="30" t="str">
        <f aca="false">IF(OR(AE892="判定不能",M892="判定不能"),"判定不能",IF(AV892&gt;=判定条件!$C$9,"利用可",IF(AND(AE892="停止",M892="停止"),"両方停止","運転がそろわない")))</f>
        <v>運転がそろわない</v>
      </c>
      <c r="AX892" s="30" t="str">
        <f aca="false">IF(AND(AH892="利用可",AK892="利用可",AN892="利用可"),"利用可","不可")</f>
        <v>不可</v>
      </c>
      <c r="AY892" s="30" t="str">
        <f aca="false">IF(AND(AQ892="利用可",AT892="利用可",AW892="利用可"),"利用可","不可")</f>
        <v>不可</v>
      </c>
    </row>
    <row r="893" customFormat="false" ht="15" hidden="false" customHeight="false" outlineLevel="0" collapsed="false">
      <c r="A893" s="29" t="n">
        <v>46269</v>
      </c>
      <c r="B893" s="30" t="n">
        <v>2</v>
      </c>
      <c r="C893" s="31" t="s">
        <v>62</v>
      </c>
      <c r="D893" s="31" t="s">
        <v>59</v>
      </c>
      <c r="E893" s="30" t="n">
        <v>60</v>
      </c>
      <c r="F893" s="30" t="n">
        <v>0</v>
      </c>
      <c r="G893" s="30" t="str">
        <f aca="false">IF(E893&lt;判定条件!$C$6,"判定不能",IF(F893&gt;=判定条件!$C$7*E893,"運転",IF(F893&lt;=判定条件!$C$8*E893,"停止","断続")))</f>
        <v>停止</v>
      </c>
      <c r="H893" s="30" t="n">
        <v>0</v>
      </c>
      <c r="I893" s="30" t="n">
        <v>0</v>
      </c>
      <c r="J893" s="30" t="str">
        <f aca="false">IF(H893&lt;判定条件!$C$6,"判定不能",IF(I893&gt;=判定条件!$C$7*H893,"運転",IF(I893&lt;=判定条件!$C$8*H893,"停止","断続")))</f>
        <v>判定不能</v>
      </c>
      <c r="K893" s="30" t="n">
        <v>60</v>
      </c>
      <c r="L893" s="30" t="n">
        <v>60</v>
      </c>
      <c r="M893" s="30" t="str">
        <f aca="false">IF(K893&lt;判定条件!$C$6,"判定不能",IF(L893&gt;=判定条件!$C$7*K893,"運転",IF(L893&lt;=判定条件!$C$8*K893,"停止","断続")))</f>
        <v>運転</v>
      </c>
      <c r="N893" s="30" t="n">
        <v>60</v>
      </c>
      <c r="O893" s="30" t="n">
        <v>45</v>
      </c>
      <c r="P893" s="30" t="str">
        <f aca="false">IF(N893&lt;判定条件!$C$6,"判定不能",IF(O893&gt;=判定条件!$C$7*N893,"運転",IF(O893&lt;=判定条件!$C$8*N893,"停止","断続")))</f>
        <v>断続</v>
      </c>
      <c r="Q893" s="30" t="n">
        <v>60</v>
      </c>
      <c r="R893" s="30" t="n">
        <v>0</v>
      </c>
      <c r="S893" s="30" t="str">
        <f aca="false">IF(Q893&lt;判定条件!$C$6,"判定不能",IF(R893&gt;=判定条件!$C$7*Q893,"運転",IF(R893&lt;=判定条件!$C$8*Q893,"停止","断続")))</f>
        <v>停止</v>
      </c>
      <c r="T893" s="30" t="n">
        <v>60</v>
      </c>
      <c r="U893" s="30" t="n">
        <v>0</v>
      </c>
      <c r="V893" s="30" t="str">
        <f aca="false">IF(T893&lt;判定条件!$C$6,"判定不能",IF(U893&gt;=判定条件!$C$7*T893,"運転",IF(U893&lt;=判定条件!$C$8*T893,"停止","断続")))</f>
        <v>停止</v>
      </c>
      <c r="W893" s="30" t="n">
        <v>60</v>
      </c>
      <c r="X893" s="30" t="n">
        <v>0</v>
      </c>
      <c r="Y893" s="30" t="str">
        <f aca="false">IF(W893&lt;判定条件!$C$6,"判定不能",IF(X893&gt;=判定条件!$C$7*W893,"運転",IF(X893&lt;=判定条件!$C$8*W893,"停止","断続")))</f>
        <v>停止</v>
      </c>
      <c r="Z893" s="30" t="n">
        <v>60</v>
      </c>
      <c r="AA893" s="30" t="n">
        <v>0</v>
      </c>
      <c r="AB893" s="30" t="str">
        <f aca="false">IF(Z893&lt;判定条件!$C$6,"判定不能",IF(AA893&gt;=判定条件!$C$7*Z893,"運転",IF(AA893&lt;=判定条件!$C$8*Z893,"停止","断続")))</f>
        <v>停止</v>
      </c>
      <c r="AC893" s="30" t="n">
        <v>60</v>
      </c>
      <c r="AD893" s="30" t="n">
        <v>0</v>
      </c>
      <c r="AE893" s="30" t="str">
        <f aca="false">IF(AC893&lt;判定条件!$C$6,"判定不能",IF(AD893&gt;=判定条件!$C$7*AC893,"運転",IF(AD893&lt;=判定条件!$C$8*AC893,"停止","断続")))</f>
        <v>停止</v>
      </c>
      <c r="AF893" s="30" t="n">
        <v>60</v>
      </c>
      <c r="AG893" s="30" t="n">
        <v>0</v>
      </c>
      <c r="AH893" s="30" t="str">
        <f aca="false">IF(OR(P893="判定不能",G893="判定不能"),"判定不能",IF(AG893&gt;=判定条件!$C$9,"利用可",IF(AND(P893="停止",G893="停止"),"両方停止","運転がそろわない")))</f>
        <v>運転がそろわない</v>
      </c>
      <c r="AI893" s="30" t="n">
        <v>0</v>
      </c>
      <c r="AJ893" s="30" t="n">
        <v>0</v>
      </c>
      <c r="AK893" s="30" t="str">
        <f aca="false">IF(OR(S893="判定不能",J893="判定不能"),"判定不能",IF(AJ893&gt;=判定条件!$C$9,"利用可",IF(AND(S893="停止",J893="停止"),"両方停止","運転がそろわない")))</f>
        <v>判定不能</v>
      </c>
      <c r="AL893" s="30" t="n">
        <v>60</v>
      </c>
      <c r="AM893" s="30" t="n">
        <v>0</v>
      </c>
      <c r="AN893" s="30" t="str">
        <f aca="false">IF(OR(V893="判定不能",M893="判定不能"),"判定不能",IF(AM893&gt;=判定条件!$C$9,"利用可",IF(AND(V893="停止",M893="停止"),"両方停止","運転がそろわない")))</f>
        <v>運転がそろわない</v>
      </c>
      <c r="AO893" s="30" t="n">
        <v>60</v>
      </c>
      <c r="AP893" s="30" t="n">
        <v>0</v>
      </c>
      <c r="AQ893" s="30" t="str">
        <f aca="false">IF(OR(Y893="判定不能",G893="判定不能"),"判定不能",IF(AP893&gt;=判定条件!$C$9,"利用可",IF(AND(Y893="停止",G893="停止"),"両方停止","運転がそろわない")))</f>
        <v>両方停止</v>
      </c>
      <c r="AR893" s="30" t="n">
        <v>0</v>
      </c>
      <c r="AS893" s="30" t="n">
        <v>0</v>
      </c>
      <c r="AT893" s="30" t="str">
        <f aca="false">IF(OR(AB893="判定不能",J893="判定不能"),"判定不能",IF(AS893&gt;=判定条件!$C$9,"利用可",IF(AND(AB893="停止",J893="停止"),"両方停止","運転がそろわない")))</f>
        <v>判定不能</v>
      </c>
      <c r="AU893" s="30" t="n">
        <v>60</v>
      </c>
      <c r="AV893" s="30" t="n">
        <v>0</v>
      </c>
      <c r="AW893" s="30" t="str">
        <f aca="false">IF(OR(AE893="判定不能",M893="判定不能"),"判定不能",IF(AV893&gt;=判定条件!$C$9,"利用可",IF(AND(AE893="停止",M893="停止"),"両方停止","運転がそろわない")))</f>
        <v>運転がそろわない</v>
      </c>
      <c r="AX893" s="30" t="str">
        <f aca="false">IF(AND(AH893="利用可",AK893="利用可",AN893="利用可"),"利用可","不可")</f>
        <v>不可</v>
      </c>
      <c r="AY893" s="30" t="str">
        <f aca="false">IF(AND(AQ893="利用可",AT893="利用可",AW893="利用可"),"利用可","不可")</f>
        <v>不可</v>
      </c>
    </row>
    <row r="894" customFormat="false" ht="15" hidden="false" customHeight="false" outlineLevel="0" collapsed="false">
      <c r="A894" s="29" t="n">
        <v>46269</v>
      </c>
      <c r="B894" s="30" t="n">
        <v>3</v>
      </c>
      <c r="C894" s="31" t="s">
        <v>62</v>
      </c>
      <c r="D894" s="31" t="s">
        <v>59</v>
      </c>
      <c r="E894" s="30" t="n">
        <v>60</v>
      </c>
      <c r="F894" s="30" t="n">
        <v>0</v>
      </c>
      <c r="G894" s="30" t="str">
        <f aca="false">IF(E894&lt;判定条件!$C$6,"判定不能",IF(F894&gt;=判定条件!$C$7*E894,"運転",IF(F894&lt;=判定条件!$C$8*E894,"停止","断続")))</f>
        <v>停止</v>
      </c>
      <c r="H894" s="30" t="n">
        <v>0</v>
      </c>
      <c r="I894" s="30" t="n">
        <v>0</v>
      </c>
      <c r="J894" s="30" t="str">
        <f aca="false">IF(H894&lt;判定条件!$C$6,"判定不能",IF(I894&gt;=判定条件!$C$7*H894,"運転",IF(I894&lt;=判定条件!$C$8*H894,"停止","断続")))</f>
        <v>判定不能</v>
      </c>
      <c r="K894" s="30" t="n">
        <v>60</v>
      </c>
      <c r="L894" s="30" t="n">
        <v>60</v>
      </c>
      <c r="M894" s="30" t="str">
        <f aca="false">IF(K894&lt;判定条件!$C$6,"判定不能",IF(L894&gt;=判定条件!$C$7*K894,"運転",IF(L894&lt;=判定条件!$C$8*K894,"停止","断続")))</f>
        <v>運転</v>
      </c>
      <c r="N894" s="30" t="n">
        <v>60</v>
      </c>
      <c r="O894" s="30" t="n">
        <v>0</v>
      </c>
      <c r="P894" s="30" t="str">
        <f aca="false">IF(N894&lt;判定条件!$C$6,"判定不能",IF(O894&gt;=判定条件!$C$7*N894,"運転",IF(O894&lt;=判定条件!$C$8*N894,"停止","断続")))</f>
        <v>停止</v>
      </c>
      <c r="Q894" s="30" t="n">
        <v>60</v>
      </c>
      <c r="R894" s="30" t="n">
        <v>0</v>
      </c>
      <c r="S894" s="30" t="str">
        <f aca="false">IF(Q894&lt;判定条件!$C$6,"判定不能",IF(R894&gt;=判定条件!$C$7*Q894,"運転",IF(R894&lt;=判定条件!$C$8*Q894,"停止","断続")))</f>
        <v>停止</v>
      </c>
      <c r="T894" s="30" t="n">
        <v>60</v>
      </c>
      <c r="U894" s="30" t="n">
        <v>0</v>
      </c>
      <c r="V894" s="30" t="str">
        <f aca="false">IF(T894&lt;判定条件!$C$6,"判定不能",IF(U894&gt;=判定条件!$C$7*T894,"運転",IF(U894&lt;=判定条件!$C$8*T894,"停止","断続")))</f>
        <v>停止</v>
      </c>
      <c r="W894" s="30" t="n">
        <v>60</v>
      </c>
      <c r="X894" s="30" t="n">
        <v>0</v>
      </c>
      <c r="Y894" s="30" t="str">
        <f aca="false">IF(W894&lt;判定条件!$C$6,"判定不能",IF(X894&gt;=判定条件!$C$7*W894,"運転",IF(X894&lt;=判定条件!$C$8*W894,"停止","断続")))</f>
        <v>停止</v>
      </c>
      <c r="Z894" s="30" t="n">
        <v>60</v>
      </c>
      <c r="AA894" s="30" t="n">
        <v>0</v>
      </c>
      <c r="AB894" s="30" t="str">
        <f aca="false">IF(Z894&lt;判定条件!$C$6,"判定不能",IF(AA894&gt;=判定条件!$C$7*Z894,"運転",IF(AA894&lt;=判定条件!$C$8*Z894,"停止","断続")))</f>
        <v>停止</v>
      </c>
      <c r="AC894" s="30" t="n">
        <v>60</v>
      </c>
      <c r="AD894" s="30" t="n">
        <v>0</v>
      </c>
      <c r="AE894" s="30" t="str">
        <f aca="false">IF(AC894&lt;判定条件!$C$6,"判定不能",IF(AD894&gt;=判定条件!$C$7*AC894,"運転",IF(AD894&lt;=判定条件!$C$8*AC894,"停止","断続")))</f>
        <v>停止</v>
      </c>
      <c r="AF894" s="30" t="n">
        <v>60</v>
      </c>
      <c r="AG894" s="30" t="n">
        <v>0</v>
      </c>
      <c r="AH894" s="30" t="str">
        <f aca="false">IF(OR(P894="判定不能",G894="判定不能"),"判定不能",IF(AG894&gt;=判定条件!$C$9,"利用可",IF(AND(P894="停止",G894="停止"),"両方停止","運転がそろわない")))</f>
        <v>両方停止</v>
      </c>
      <c r="AI894" s="30" t="n">
        <v>0</v>
      </c>
      <c r="AJ894" s="30" t="n">
        <v>0</v>
      </c>
      <c r="AK894" s="30" t="str">
        <f aca="false">IF(OR(S894="判定不能",J894="判定不能"),"判定不能",IF(AJ894&gt;=判定条件!$C$9,"利用可",IF(AND(S894="停止",J894="停止"),"両方停止","運転がそろわない")))</f>
        <v>判定不能</v>
      </c>
      <c r="AL894" s="30" t="n">
        <v>60</v>
      </c>
      <c r="AM894" s="30" t="n">
        <v>0</v>
      </c>
      <c r="AN894" s="30" t="str">
        <f aca="false">IF(OR(V894="判定不能",M894="判定不能"),"判定不能",IF(AM894&gt;=判定条件!$C$9,"利用可",IF(AND(V894="停止",M894="停止"),"両方停止","運転がそろわない")))</f>
        <v>運転がそろわない</v>
      </c>
      <c r="AO894" s="30" t="n">
        <v>60</v>
      </c>
      <c r="AP894" s="30" t="n">
        <v>0</v>
      </c>
      <c r="AQ894" s="30" t="str">
        <f aca="false">IF(OR(Y894="判定不能",G894="判定不能"),"判定不能",IF(AP894&gt;=判定条件!$C$9,"利用可",IF(AND(Y894="停止",G894="停止"),"両方停止","運転がそろわない")))</f>
        <v>両方停止</v>
      </c>
      <c r="AR894" s="30" t="n">
        <v>0</v>
      </c>
      <c r="AS894" s="30" t="n">
        <v>0</v>
      </c>
      <c r="AT894" s="30" t="str">
        <f aca="false">IF(OR(AB894="判定不能",J894="判定不能"),"判定不能",IF(AS894&gt;=判定条件!$C$9,"利用可",IF(AND(AB894="停止",J894="停止"),"両方停止","運転がそろわない")))</f>
        <v>判定不能</v>
      </c>
      <c r="AU894" s="30" t="n">
        <v>60</v>
      </c>
      <c r="AV894" s="30" t="n">
        <v>0</v>
      </c>
      <c r="AW894" s="30" t="str">
        <f aca="false">IF(OR(AE894="判定不能",M894="判定不能"),"判定不能",IF(AV894&gt;=判定条件!$C$9,"利用可",IF(AND(AE894="停止",M894="停止"),"両方停止","運転がそろわない")))</f>
        <v>運転がそろわない</v>
      </c>
      <c r="AX894" s="30" t="str">
        <f aca="false">IF(AND(AH894="利用可",AK894="利用可",AN894="利用可"),"利用可","不可")</f>
        <v>不可</v>
      </c>
      <c r="AY894" s="30" t="str">
        <f aca="false">IF(AND(AQ894="利用可",AT894="利用可",AW894="利用可"),"利用可","不可")</f>
        <v>不可</v>
      </c>
    </row>
    <row r="895" customFormat="false" ht="15" hidden="false" customHeight="false" outlineLevel="0" collapsed="false">
      <c r="A895" s="29" t="n">
        <v>46269</v>
      </c>
      <c r="B895" s="30" t="n">
        <v>4</v>
      </c>
      <c r="C895" s="31" t="s">
        <v>62</v>
      </c>
      <c r="D895" s="31" t="s">
        <v>59</v>
      </c>
      <c r="E895" s="30" t="n">
        <v>60</v>
      </c>
      <c r="F895" s="30" t="n">
        <v>0</v>
      </c>
      <c r="G895" s="30" t="str">
        <f aca="false">IF(E895&lt;判定条件!$C$6,"判定不能",IF(F895&gt;=判定条件!$C$7*E895,"運転",IF(F895&lt;=判定条件!$C$8*E895,"停止","断続")))</f>
        <v>停止</v>
      </c>
      <c r="H895" s="30" t="n">
        <v>0</v>
      </c>
      <c r="I895" s="30" t="n">
        <v>0</v>
      </c>
      <c r="J895" s="30" t="str">
        <f aca="false">IF(H895&lt;判定条件!$C$6,"判定不能",IF(I895&gt;=判定条件!$C$7*H895,"運転",IF(I895&lt;=判定条件!$C$8*H895,"停止","断続")))</f>
        <v>判定不能</v>
      </c>
      <c r="K895" s="30" t="n">
        <v>60</v>
      </c>
      <c r="L895" s="30" t="n">
        <v>60</v>
      </c>
      <c r="M895" s="30" t="str">
        <f aca="false">IF(K895&lt;判定条件!$C$6,"判定不能",IF(L895&gt;=判定条件!$C$7*K895,"運転",IF(L895&lt;=判定条件!$C$8*K895,"停止","断続")))</f>
        <v>運転</v>
      </c>
      <c r="N895" s="30" t="n">
        <v>60</v>
      </c>
      <c r="O895" s="30" t="n">
        <v>0</v>
      </c>
      <c r="P895" s="30" t="str">
        <f aca="false">IF(N895&lt;判定条件!$C$6,"判定不能",IF(O895&gt;=判定条件!$C$7*N895,"運転",IF(O895&lt;=判定条件!$C$8*N895,"停止","断続")))</f>
        <v>停止</v>
      </c>
      <c r="Q895" s="30" t="n">
        <v>60</v>
      </c>
      <c r="R895" s="30" t="n">
        <v>0</v>
      </c>
      <c r="S895" s="30" t="str">
        <f aca="false">IF(Q895&lt;判定条件!$C$6,"判定不能",IF(R895&gt;=判定条件!$C$7*Q895,"運転",IF(R895&lt;=判定条件!$C$8*Q895,"停止","断続")))</f>
        <v>停止</v>
      </c>
      <c r="T895" s="30" t="n">
        <v>60</v>
      </c>
      <c r="U895" s="30" t="n">
        <v>0</v>
      </c>
      <c r="V895" s="30" t="str">
        <f aca="false">IF(T895&lt;判定条件!$C$6,"判定不能",IF(U895&gt;=判定条件!$C$7*T895,"運転",IF(U895&lt;=判定条件!$C$8*T895,"停止","断続")))</f>
        <v>停止</v>
      </c>
      <c r="W895" s="30" t="n">
        <v>60</v>
      </c>
      <c r="X895" s="30" t="n">
        <v>0</v>
      </c>
      <c r="Y895" s="30" t="str">
        <f aca="false">IF(W895&lt;判定条件!$C$6,"判定不能",IF(X895&gt;=判定条件!$C$7*W895,"運転",IF(X895&lt;=判定条件!$C$8*W895,"停止","断続")))</f>
        <v>停止</v>
      </c>
      <c r="Z895" s="30" t="n">
        <v>60</v>
      </c>
      <c r="AA895" s="30" t="n">
        <v>0</v>
      </c>
      <c r="AB895" s="30" t="str">
        <f aca="false">IF(Z895&lt;判定条件!$C$6,"判定不能",IF(AA895&gt;=判定条件!$C$7*Z895,"運転",IF(AA895&lt;=判定条件!$C$8*Z895,"停止","断続")))</f>
        <v>停止</v>
      </c>
      <c r="AC895" s="30" t="n">
        <v>60</v>
      </c>
      <c r="AD895" s="30" t="n">
        <v>0</v>
      </c>
      <c r="AE895" s="30" t="str">
        <f aca="false">IF(AC895&lt;判定条件!$C$6,"判定不能",IF(AD895&gt;=判定条件!$C$7*AC895,"運転",IF(AD895&lt;=判定条件!$C$8*AC895,"停止","断続")))</f>
        <v>停止</v>
      </c>
      <c r="AF895" s="30" t="n">
        <v>60</v>
      </c>
      <c r="AG895" s="30" t="n">
        <v>0</v>
      </c>
      <c r="AH895" s="30" t="str">
        <f aca="false">IF(OR(P895="判定不能",G895="判定不能"),"判定不能",IF(AG895&gt;=判定条件!$C$9,"利用可",IF(AND(P895="停止",G895="停止"),"両方停止","運転がそろわない")))</f>
        <v>両方停止</v>
      </c>
      <c r="AI895" s="30" t="n">
        <v>0</v>
      </c>
      <c r="AJ895" s="30" t="n">
        <v>0</v>
      </c>
      <c r="AK895" s="30" t="str">
        <f aca="false">IF(OR(S895="判定不能",J895="判定不能"),"判定不能",IF(AJ895&gt;=判定条件!$C$9,"利用可",IF(AND(S895="停止",J895="停止"),"両方停止","運転がそろわない")))</f>
        <v>判定不能</v>
      </c>
      <c r="AL895" s="30" t="n">
        <v>60</v>
      </c>
      <c r="AM895" s="30" t="n">
        <v>0</v>
      </c>
      <c r="AN895" s="30" t="str">
        <f aca="false">IF(OR(V895="判定不能",M895="判定不能"),"判定不能",IF(AM895&gt;=判定条件!$C$9,"利用可",IF(AND(V895="停止",M895="停止"),"両方停止","運転がそろわない")))</f>
        <v>運転がそろわない</v>
      </c>
      <c r="AO895" s="30" t="n">
        <v>60</v>
      </c>
      <c r="AP895" s="30" t="n">
        <v>0</v>
      </c>
      <c r="AQ895" s="30" t="str">
        <f aca="false">IF(OR(Y895="判定不能",G895="判定不能"),"判定不能",IF(AP895&gt;=判定条件!$C$9,"利用可",IF(AND(Y895="停止",G895="停止"),"両方停止","運転がそろわない")))</f>
        <v>両方停止</v>
      </c>
      <c r="AR895" s="30" t="n">
        <v>0</v>
      </c>
      <c r="AS895" s="30" t="n">
        <v>0</v>
      </c>
      <c r="AT895" s="30" t="str">
        <f aca="false">IF(OR(AB895="判定不能",J895="判定不能"),"判定不能",IF(AS895&gt;=判定条件!$C$9,"利用可",IF(AND(AB895="停止",J895="停止"),"両方停止","運転がそろわない")))</f>
        <v>判定不能</v>
      </c>
      <c r="AU895" s="30" t="n">
        <v>60</v>
      </c>
      <c r="AV895" s="30" t="n">
        <v>0</v>
      </c>
      <c r="AW895" s="30" t="str">
        <f aca="false">IF(OR(AE895="判定不能",M895="判定不能"),"判定不能",IF(AV895&gt;=判定条件!$C$9,"利用可",IF(AND(AE895="停止",M895="停止"),"両方停止","運転がそろわない")))</f>
        <v>運転がそろわない</v>
      </c>
      <c r="AX895" s="30" t="str">
        <f aca="false">IF(AND(AH895="利用可",AK895="利用可",AN895="利用可"),"利用可","不可")</f>
        <v>不可</v>
      </c>
      <c r="AY895" s="30" t="str">
        <f aca="false">IF(AND(AQ895="利用可",AT895="利用可",AW895="利用可"),"利用可","不可")</f>
        <v>不可</v>
      </c>
    </row>
    <row r="896" customFormat="false" ht="15" hidden="false" customHeight="false" outlineLevel="0" collapsed="false">
      <c r="A896" s="29" t="n">
        <v>46269</v>
      </c>
      <c r="B896" s="30" t="n">
        <v>5</v>
      </c>
      <c r="C896" s="31" t="s">
        <v>62</v>
      </c>
      <c r="D896" s="31" t="s">
        <v>59</v>
      </c>
      <c r="E896" s="30" t="n">
        <v>60</v>
      </c>
      <c r="F896" s="30" t="n">
        <v>0</v>
      </c>
      <c r="G896" s="30" t="str">
        <f aca="false">IF(E896&lt;判定条件!$C$6,"判定不能",IF(F896&gt;=判定条件!$C$7*E896,"運転",IF(F896&lt;=判定条件!$C$8*E896,"停止","断続")))</f>
        <v>停止</v>
      </c>
      <c r="H896" s="30" t="n">
        <v>0</v>
      </c>
      <c r="I896" s="30" t="n">
        <v>0</v>
      </c>
      <c r="J896" s="30" t="str">
        <f aca="false">IF(H896&lt;判定条件!$C$6,"判定不能",IF(I896&gt;=判定条件!$C$7*H896,"運転",IF(I896&lt;=判定条件!$C$8*H896,"停止","断続")))</f>
        <v>判定不能</v>
      </c>
      <c r="K896" s="30" t="n">
        <v>60</v>
      </c>
      <c r="L896" s="30" t="n">
        <v>60</v>
      </c>
      <c r="M896" s="30" t="str">
        <f aca="false">IF(K896&lt;判定条件!$C$6,"判定不能",IF(L896&gt;=判定条件!$C$7*K896,"運転",IF(L896&lt;=判定条件!$C$8*K896,"停止","断続")))</f>
        <v>運転</v>
      </c>
      <c r="N896" s="30" t="n">
        <v>60</v>
      </c>
      <c r="O896" s="30" t="n">
        <v>0</v>
      </c>
      <c r="P896" s="30" t="str">
        <f aca="false">IF(N896&lt;判定条件!$C$6,"判定不能",IF(O896&gt;=判定条件!$C$7*N896,"運転",IF(O896&lt;=判定条件!$C$8*N896,"停止","断続")))</f>
        <v>停止</v>
      </c>
      <c r="Q896" s="30" t="n">
        <v>60</v>
      </c>
      <c r="R896" s="30" t="n">
        <v>0</v>
      </c>
      <c r="S896" s="30" t="str">
        <f aca="false">IF(Q896&lt;判定条件!$C$6,"判定不能",IF(R896&gt;=判定条件!$C$7*Q896,"運転",IF(R896&lt;=判定条件!$C$8*Q896,"停止","断続")))</f>
        <v>停止</v>
      </c>
      <c r="T896" s="30" t="n">
        <v>60</v>
      </c>
      <c r="U896" s="30" t="n">
        <v>0</v>
      </c>
      <c r="V896" s="30" t="str">
        <f aca="false">IF(T896&lt;判定条件!$C$6,"判定不能",IF(U896&gt;=判定条件!$C$7*T896,"運転",IF(U896&lt;=判定条件!$C$8*T896,"停止","断続")))</f>
        <v>停止</v>
      </c>
      <c r="W896" s="30" t="n">
        <v>60</v>
      </c>
      <c r="X896" s="30" t="n">
        <v>0</v>
      </c>
      <c r="Y896" s="30" t="str">
        <f aca="false">IF(W896&lt;判定条件!$C$6,"判定不能",IF(X896&gt;=判定条件!$C$7*W896,"運転",IF(X896&lt;=判定条件!$C$8*W896,"停止","断続")))</f>
        <v>停止</v>
      </c>
      <c r="Z896" s="30" t="n">
        <v>60</v>
      </c>
      <c r="AA896" s="30" t="n">
        <v>0</v>
      </c>
      <c r="AB896" s="30" t="str">
        <f aca="false">IF(Z896&lt;判定条件!$C$6,"判定不能",IF(AA896&gt;=判定条件!$C$7*Z896,"運転",IF(AA896&lt;=判定条件!$C$8*Z896,"停止","断続")))</f>
        <v>停止</v>
      </c>
      <c r="AC896" s="30" t="n">
        <v>60</v>
      </c>
      <c r="AD896" s="30" t="n">
        <v>0</v>
      </c>
      <c r="AE896" s="30" t="str">
        <f aca="false">IF(AC896&lt;判定条件!$C$6,"判定不能",IF(AD896&gt;=判定条件!$C$7*AC896,"運転",IF(AD896&lt;=判定条件!$C$8*AC896,"停止","断続")))</f>
        <v>停止</v>
      </c>
      <c r="AF896" s="30" t="n">
        <v>60</v>
      </c>
      <c r="AG896" s="30" t="n">
        <v>0</v>
      </c>
      <c r="AH896" s="30" t="str">
        <f aca="false">IF(OR(P896="判定不能",G896="判定不能"),"判定不能",IF(AG896&gt;=判定条件!$C$9,"利用可",IF(AND(P896="停止",G896="停止"),"両方停止","運転がそろわない")))</f>
        <v>両方停止</v>
      </c>
      <c r="AI896" s="30" t="n">
        <v>0</v>
      </c>
      <c r="AJ896" s="30" t="n">
        <v>0</v>
      </c>
      <c r="AK896" s="30" t="str">
        <f aca="false">IF(OR(S896="判定不能",J896="判定不能"),"判定不能",IF(AJ896&gt;=判定条件!$C$9,"利用可",IF(AND(S896="停止",J896="停止"),"両方停止","運転がそろわない")))</f>
        <v>判定不能</v>
      </c>
      <c r="AL896" s="30" t="n">
        <v>60</v>
      </c>
      <c r="AM896" s="30" t="n">
        <v>0</v>
      </c>
      <c r="AN896" s="30" t="str">
        <f aca="false">IF(OR(V896="判定不能",M896="判定不能"),"判定不能",IF(AM896&gt;=判定条件!$C$9,"利用可",IF(AND(V896="停止",M896="停止"),"両方停止","運転がそろわない")))</f>
        <v>運転がそろわない</v>
      </c>
      <c r="AO896" s="30" t="n">
        <v>60</v>
      </c>
      <c r="AP896" s="30" t="n">
        <v>0</v>
      </c>
      <c r="AQ896" s="30" t="str">
        <f aca="false">IF(OR(Y896="判定不能",G896="判定不能"),"判定不能",IF(AP896&gt;=判定条件!$C$9,"利用可",IF(AND(Y896="停止",G896="停止"),"両方停止","運転がそろわない")))</f>
        <v>両方停止</v>
      </c>
      <c r="AR896" s="30" t="n">
        <v>0</v>
      </c>
      <c r="AS896" s="30" t="n">
        <v>0</v>
      </c>
      <c r="AT896" s="30" t="str">
        <f aca="false">IF(OR(AB896="判定不能",J896="判定不能"),"判定不能",IF(AS896&gt;=判定条件!$C$9,"利用可",IF(AND(AB896="停止",J896="停止"),"両方停止","運転がそろわない")))</f>
        <v>判定不能</v>
      </c>
      <c r="AU896" s="30" t="n">
        <v>60</v>
      </c>
      <c r="AV896" s="30" t="n">
        <v>0</v>
      </c>
      <c r="AW896" s="30" t="str">
        <f aca="false">IF(OR(AE896="判定不能",M896="判定不能"),"判定不能",IF(AV896&gt;=判定条件!$C$9,"利用可",IF(AND(AE896="停止",M896="停止"),"両方停止","運転がそろわない")))</f>
        <v>運転がそろわない</v>
      </c>
      <c r="AX896" s="30" t="str">
        <f aca="false">IF(AND(AH896="利用可",AK896="利用可",AN896="利用可"),"利用可","不可")</f>
        <v>不可</v>
      </c>
      <c r="AY896" s="30" t="str">
        <f aca="false">IF(AND(AQ896="利用可",AT896="利用可",AW896="利用可"),"利用可","不可")</f>
        <v>不可</v>
      </c>
    </row>
    <row r="897" customFormat="false" ht="15" hidden="false" customHeight="false" outlineLevel="0" collapsed="false">
      <c r="A897" s="29" t="n">
        <v>46269</v>
      </c>
      <c r="B897" s="30" t="n">
        <v>6</v>
      </c>
      <c r="C897" s="31" t="s">
        <v>62</v>
      </c>
      <c r="D897" s="31" t="s">
        <v>59</v>
      </c>
      <c r="E897" s="30" t="n">
        <v>60</v>
      </c>
      <c r="F897" s="30" t="n">
        <v>0</v>
      </c>
      <c r="G897" s="30" t="str">
        <f aca="false">IF(E897&lt;判定条件!$C$6,"判定不能",IF(F897&gt;=判定条件!$C$7*E897,"運転",IF(F897&lt;=判定条件!$C$8*E897,"停止","断続")))</f>
        <v>停止</v>
      </c>
      <c r="H897" s="30" t="n">
        <v>0</v>
      </c>
      <c r="I897" s="30" t="n">
        <v>0</v>
      </c>
      <c r="J897" s="30" t="str">
        <f aca="false">IF(H897&lt;判定条件!$C$6,"判定不能",IF(I897&gt;=判定条件!$C$7*H897,"運転",IF(I897&lt;=判定条件!$C$8*H897,"停止","断続")))</f>
        <v>判定不能</v>
      </c>
      <c r="K897" s="30" t="n">
        <v>60</v>
      </c>
      <c r="L897" s="30" t="n">
        <v>60</v>
      </c>
      <c r="M897" s="30" t="str">
        <f aca="false">IF(K897&lt;判定条件!$C$6,"判定不能",IF(L897&gt;=判定条件!$C$7*K897,"運転",IF(L897&lt;=判定条件!$C$8*K897,"停止","断続")))</f>
        <v>運転</v>
      </c>
      <c r="N897" s="30" t="n">
        <v>60</v>
      </c>
      <c r="O897" s="30" t="n">
        <v>0</v>
      </c>
      <c r="P897" s="30" t="str">
        <f aca="false">IF(N897&lt;判定条件!$C$6,"判定不能",IF(O897&gt;=判定条件!$C$7*N897,"運転",IF(O897&lt;=判定条件!$C$8*N897,"停止","断続")))</f>
        <v>停止</v>
      </c>
      <c r="Q897" s="30" t="n">
        <v>60</v>
      </c>
      <c r="R897" s="30" t="n">
        <v>6</v>
      </c>
      <c r="S897" s="30" t="str">
        <f aca="false">IF(Q897&lt;判定条件!$C$6,"判定不能",IF(R897&gt;=判定条件!$C$7*Q897,"運転",IF(R897&lt;=判定条件!$C$8*Q897,"停止","断続")))</f>
        <v>停止</v>
      </c>
      <c r="T897" s="30" t="n">
        <v>60</v>
      </c>
      <c r="U897" s="30" t="n">
        <v>6</v>
      </c>
      <c r="V897" s="30" t="str">
        <f aca="false">IF(T897&lt;判定条件!$C$6,"判定不能",IF(U897&gt;=判定条件!$C$7*T897,"運転",IF(U897&lt;=判定条件!$C$8*T897,"停止","断続")))</f>
        <v>停止</v>
      </c>
      <c r="W897" s="30" t="n">
        <v>60</v>
      </c>
      <c r="X897" s="30" t="n">
        <v>40</v>
      </c>
      <c r="Y897" s="30" t="str">
        <f aca="false">IF(W897&lt;判定条件!$C$6,"判定不能",IF(X897&gt;=判定条件!$C$7*W897,"運転",IF(X897&lt;=判定条件!$C$8*W897,"停止","断続")))</f>
        <v>断続</v>
      </c>
      <c r="Z897" s="30" t="n">
        <v>60</v>
      </c>
      <c r="AA897" s="30" t="n">
        <v>36</v>
      </c>
      <c r="AB897" s="30" t="str">
        <f aca="false">IF(Z897&lt;判定条件!$C$6,"判定不能",IF(AA897&gt;=判定条件!$C$7*Z897,"運転",IF(AA897&lt;=判定条件!$C$8*Z897,"停止","断続")))</f>
        <v>断続</v>
      </c>
      <c r="AC897" s="30" t="n">
        <v>60</v>
      </c>
      <c r="AD897" s="30" t="n">
        <v>38</v>
      </c>
      <c r="AE897" s="30" t="str">
        <f aca="false">IF(AC897&lt;判定条件!$C$6,"判定不能",IF(AD897&gt;=判定条件!$C$7*AC897,"運転",IF(AD897&lt;=判定条件!$C$8*AC897,"停止","断続")))</f>
        <v>断続</v>
      </c>
      <c r="AF897" s="30" t="n">
        <v>60</v>
      </c>
      <c r="AG897" s="30" t="n">
        <v>0</v>
      </c>
      <c r="AH897" s="30" t="str">
        <f aca="false">IF(OR(P897="判定不能",G897="判定不能"),"判定不能",IF(AG897&gt;=判定条件!$C$9,"利用可",IF(AND(P897="停止",G897="停止"),"両方停止","運転がそろわない")))</f>
        <v>両方停止</v>
      </c>
      <c r="AI897" s="30" t="n">
        <v>0</v>
      </c>
      <c r="AJ897" s="30" t="n">
        <v>0</v>
      </c>
      <c r="AK897" s="30" t="str">
        <f aca="false">IF(OR(S897="判定不能",J897="判定不能"),"判定不能",IF(AJ897&gt;=判定条件!$C$9,"利用可",IF(AND(S897="停止",J897="停止"),"両方停止","運転がそろわない")))</f>
        <v>判定不能</v>
      </c>
      <c r="AL897" s="30" t="n">
        <v>60</v>
      </c>
      <c r="AM897" s="30" t="n">
        <v>6</v>
      </c>
      <c r="AN897" s="30" t="str">
        <f aca="false">IF(OR(V897="判定不能",M897="判定不能"),"判定不能",IF(AM897&gt;=判定条件!$C$9,"利用可",IF(AND(V897="停止",M897="停止"),"両方停止","運転がそろわない")))</f>
        <v>運転がそろわない</v>
      </c>
      <c r="AO897" s="30" t="n">
        <v>60</v>
      </c>
      <c r="AP897" s="30" t="n">
        <v>0</v>
      </c>
      <c r="AQ897" s="30" t="str">
        <f aca="false">IF(OR(Y897="判定不能",G897="判定不能"),"判定不能",IF(AP897&gt;=判定条件!$C$9,"利用可",IF(AND(Y897="停止",G897="停止"),"両方停止","運転がそろわない")))</f>
        <v>運転がそろわない</v>
      </c>
      <c r="AR897" s="30" t="n">
        <v>0</v>
      </c>
      <c r="AS897" s="30" t="n">
        <v>0</v>
      </c>
      <c r="AT897" s="30" t="str">
        <f aca="false">IF(OR(AB897="判定不能",J897="判定不能"),"判定不能",IF(AS897&gt;=判定条件!$C$9,"利用可",IF(AND(AB897="停止",J897="停止"),"両方停止","運転がそろわない")))</f>
        <v>判定不能</v>
      </c>
      <c r="AU897" s="30" t="n">
        <v>60</v>
      </c>
      <c r="AV897" s="30" t="n">
        <v>38</v>
      </c>
      <c r="AW897" s="30" t="str">
        <f aca="false">IF(OR(AE897="判定不能",M897="判定不能"),"判定不能",IF(AV897&gt;=判定条件!$C$9,"利用可",IF(AND(AE897="停止",M897="停止"),"両方停止","運転がそろわない")))</f>
        <v>利用可</v>
      </c>
      <c r="AX897" s="30" t="str">
        <f aca="false">IF(AND(AH897="利用可",AK897="利用可",AN897="利用可"),"利用可","不可")</f>
        <v>不可</v>
      </c>
      <c r="AY897" s="30" t="str">
        <f aca="false">IF(AND(AQ897="利用可",AT897="利用可",AW897="利用可"),"利用可","不可")</f>
        <v>不可</v>
      </c>
    </row>
    <row r="898" customFormat="false" ht="15" hidden="false" customHeight="false" outlineLevel="0" collapsed="false">
      <c r="A898" s="29" t="n">
        <v>46269</v>
      </c>
      <c r="B898" s="30" t="n">
        <v>7</v>
      </c>
      <c r="C898" s="31" t="s">
        <v>62</v>
      </c>
      <c r="D898" s="31" t="s">
        <v>59</v>
      </c>
      <c r="E898" s="30" t="n">
        <v>60</v>
      </c>
      <c r="F898" s="30" t="n">
        <v>0</v>
      </c>
      <c r="G898" s="30" t="str">
        <f aca="false">IF(E898&lt;判定条件!$C$6,"判定不能",IF(F898&gt;=判定条件!$C$7*E898,"運転",IF(F898&lt;=判定条件!$C$8*E898,"停止","断続")))</f>
        <v>停止</v>
      </c>
      <c r="H898" s="30" t="n">
        <v>0</v>
      </c>
      <c r="I898" s="30" t="n">
        <v>0</v>
      </c>
      <c r="J898" s="30" t="str">
        <f aca="false">IF(H898&lt;判定条件!$C$6,"判定不能",IF(I898&gt;=判定条件!$C$7*H898,"運転",IF(I898&lt;=判定条件!$C$8*H898,"停止","断続")))</f>
        <v>判定不能</v>
      </c>
      <c r="K898" s="30" t="n">
        <v>60</v>
      </c>
      <c r="L898" s="30" t="n">
        <v>60</v>
      </c>
      <c r="M898" s="30" t="str">
        <f aca="false">IF(K898&lt;判定条件!$C$6,"判定不能",IF(L898&gt;=判定条件!$C$7*K898,"運転",IF(L898&lt;=判定条件!$C$8*K898,"停止","断続")))</f>
        <v>運転</v>
      </c>
      <c r="N898" s="30" t="n">
        <v>60</v>
      </c>
      <c r="O898" s="30" t="n">
        <v>19</v>
      </c>
      <c r="P898" s="30" t="str">
        <f aca="false">IF(N898&lt;判定条件!$C$6,"判定不能",IF(O898&gt;=判定条件!$C$7*N898,"運転",IF(O898&lt;=判定条件!$C$8*N898,"停止","断続")))</f>
        <v>断続</v>
      </c>
      <c r="Q898" s="30" t="n">
        <v>60</v>
      </c>
      <c r="R898" s="30" t="n">
        <v>34</v>
      </c>
      <c r="S898" s="30" t="str">
        <f aca="false">IF(Q898&lt;判定条件!$C$6,"判定不能",IF(R898&gt;=判定条件!$C$7*Q898,"運転",IF(R898&lt;=判定条件!$C$8*Q898,"停止","断続")))</f>
        <v>断続</v>
      </c>
      <c r="T898" s="30" t="n">
        <v>60</v>
      </c>
      <c r="U898" s="30" t="n">
        <v>60</v>
      </c>
      <c r="V898" s="30" t="str">
        <f aca="false">IF(T898&lt;判定条件!$C$6,"判定不能",IF(U898&gt;=判定条件!$C$7*T898,"運転",IF(U898&lt;=判定条件!$C$8*T898,"停止","断続")))</f>
        <v>運転</v>
      </c>
      <c r="W898" s="30" t="n">
        <v>60</v>
      </c>
      <c r="X898" s="30" t="n">
        <v>37</v>
      </c>
      <c r="Y898" s="30" t="str">
        <f aca="false">IF(W898&lt;判定条件!$C$6,"判定不能",IF(X898&gt;=判定条件!$C$7*W898,"運転",IF(X898&lt;=判定条件!$C$8*W898,"停止","断続")))</f>
        <v>断続</v>
      </c>
      <c r="Z898" s="30" t="n">
        <v>60</v>
      </c>
      <c r="AA898" s="30" t="n">
        <v>22</v>
      </c>
      <c r="AB898" s="30" t="str">
        <f aca="false">IF(Z898&lt;判定条件!$C$6,"判定不能",IF(AA898&gt;=判定条件!$C$7*Z898,"運転",IF(AA898&lt;=判定条件!$C$8*Z898,"停止","断続")))</f>
        <v>断続</v>
      </c>
      <c r="AC898" s="30" t="n">
        <v>60</v>
      </c>
      <c r="AD898" s="30" t="n">
        <v>60</v>
      </c>
      <c r="AE898" s="30" t="str">
        <f aca="false">IF(AC898&lt;判定条件!$C$6,"判定不能",IF(AD898&gt;=判定条件!$C$7*AC898,"運転",IF(AD898&lt;=判定条件!$C$8*AC898,"停止","断続")))</f>
        <v>運転</v>
      </c>
      <c r="AF898" s="30" t="n">
        <v>60</v>
      </c>
      <c r="AG898" s="30" t="n">
        <v>0</v>
      </c>
      <c r="AH898" s="30" t="str">
        <f aca="false">IF(OR(P898="判定不能",G898="判定不能"),"判定不能",IF(AG898&gt;=判定条件!$C$9,"利用可",IF(AND(P898="停止",G898="停止"),"両方停止","運転がそろわない")))</f>
        <v>運転がそろわない</v>
      </c>
      <c r="AI898" s="30" t="n">
        <v>0</v>
      </c>
      <c r="AJ898" s="30" t="n">
        <v>0</v>
      </c>
      <c r="AK898" s="30" t="str">
        <f aca="false">IF(OR(S898="判定不能",J898="判定不能"),"判定不能",IF(AJ898&gt;=判定条件!$C$9,"利用可",IF(AND(S898="停止",J898="停止"),"両方停止","運転がそろわない")))</f>
        <v>判定不能</v>
      </c>
      <c r="AL898" s="30" t="n">
        <v>60</v>
      </c>
      <c r="AM898" s="30" t="n">
        <v>60</v>
      </c>
      <c r="AN898" s="30" t="str">
        <f aca="false">IF(OR(V898="判定不能",M898="判定不能"),"判定不能",IF(AM898&gt;=判定条件!$C$9,"利用可",IF(AND(V898="停止",M898="停止"),"両方停止","運転がそろわない")))</f>
        <v>利用可</v>
      </c>
      <c r="AO898" s="30" t="n">
        <v>60</v>
      </c>
      <c r="AP898" s="30" t="n">
        <v>0</v>
      </c>
      <c r="AQ898" s="30" t="str">
        <f aca="false">IF(OR(Y898="判定不能",G898="判定不能"),"判定不能",IF(AP898&gt;=判定条件!$C$9,"利用可",IF(AND(Y898="停止",G898="停止"),"両方停止","運転がそろわない")))</f>
        <v>運転がそろわない</v>
      </c>
      <c r="AR898" s="30" t="n">
        <v>0</v>
      </c>
      <c r="AS898" s="30" t="n">
        <v>0</v>
      </c>
      <c r="AT898" s="30" t="str">
        <f aca="false">IF(OR(AB898="判定不能",J898="判定不能"),"判定不能",IF(AS898&gt;=判定条件!$C$9,"利用可",IF(AND(AB898="停止",J898="停止"),"両方停止","運転がそろわない")))</f>
        <v>判定不能</v>
      </c>
      <c r="AU898" s="30" t="n">
        <v>60</v>
      </c>
      <c r="AV898" s="30" t="n">
        <v>60</v>
      </c>
      <c r="AW898" s="30" t="str">
        <f aca="false">IF(OR(AE898="判定不能",M898="判定不能"),"判定不能",IF(AV898&gt;=判定条件!$C$9,"利用可",IF(AND(AE898="停止",M898="停止"),"両方停止","運転がそろわない")))</f>
        <v>利用可</v>
      </c>
      <c r="AX898" s="30" t="str">
        <f aca="false">IF(AND(AH898="利用可",AK898="利用可",AN898="利用可"),"利用可","不可")</f>
        <v>不可</v>
      </c>
      <c r="AY898" s="30" t="str">
        <f aca="false">IF(AND(AQ898="利用可",AT898="利用可",AW898="利用可"),"利用可","不可")</f>
        <v>不可</v>
      </c>
    </row>
    <row r="899" customFormat="false" ht="15" hidden="false" customHeight="false" outlineLevel="0" collapsed="false">
      <c r="A899" s="29" t="n">
        <v>46269</v>
      </c>
      <c r="B899" s="30" t="n">
        <v>8</v>
      </c>
      <c r="C899" s="31" t="s">
        <v>62</v>
      </c>
      <c r="D899" s="31" t="s">
        <v>59</v>
      </c>
      <c r="E899" s="30" t="n">
        <v>60</v>
      </c>
      <c r="F899" s="30" t="n">
        <v>0</v>
      </c>
      <c r="G899" s="30" t="str">
        <f aca="false">IF(E899&lt;判定条件!$C$6,"判定不能",IF(F899&gt;=判定条件!$C$7*E899,"運転",IF(F899&lt;=判定条件!$C$8*E899,"停止","断続")))</f>
        <v>停止</v>
      </c>
      <c r="H899" s="30" t="n">
        <v>0</v>
      </c>
      <c r="I899" s="30" t="n">
        <v>0</v>
      </c>
      <c r="J899" s="30" t="str">
        <f aca="false">IF(H899&lt;判定条件!$C$6,"判定不能",IF(I899&gt;=判定条件!$C$7*H899,"運転",IF(I899&lt;=判定条件!$C$8*H899,"停止","断続")))</f>
        <v>判定不能</v>
      </c>
      <c r="K899" s="30" t="n">
        <v>60</v>
      </c>
      <c r="L899" s="30" t="n">
        <v>60</v>
      </c>
      <c r="M899" s="30" t="str">
        <f aca="false">IF(K899&lt;判定条件!$C$6,"判定不能",IF(L899&gt;=判定条件!$C$7*K899,"運転",IF(L899&lt;=判定条件!$C$8*K899,"停止","断続")))</f>
        <v>運転</v>
      </c>
      <c r="N899" s="30" t="n">
        <v>60</v>
      </c>
      <c r="O899" s="30" t="n">
        <v>14</v>
      </c>
      <c r="P899" s="30" t="str">
        <f aca="false">IF(N899&lt;判定条件!$C$6,"判定不能",IF(O899&gt;=判定条件!$C$7*N899,"運転",IF(O899&lt;=判定条件!$C$8*N899,"停止","断続")))</f>
        <v>断続</v>
      </c>
      <c r="Q899" s="30" t="n">
        <v>60</v>
      </c>
      <c r="R899" s="30" t="n">
        <v>41</v>
      </c>
      <c r="S899" s="30" t="str">
        <f aca="false">IF(Q899&lt;判定条件!$C$6,"判定不能",IF(R899&gt;=判定条件!$C$7*Q899,"運転",IF(R899&lt;=判定条件!$C$8*Q899,"停止","断続")))</f>
        <v>断続</v>
      </c>
      <c r="T899" s="30" t="n">
        <v>60</v>
      </c>
      <c r="U899" s="30" t="n">
        <v>60</v>
      </c>
      <c r="V899" s="30" t="str">
        <f aca="false">IF(T899&lt;判定条件!$C$6,"判定不能",IF(U899&gt;=判定条件!$C$7*T899,"運転",IF(U899&lt;=判定条件!$C$8*T899,"停止","断続")))</f>
        <v>運転</v>
      </c>
      <c r="W899" s="30" t="n">
        <v>60</v>
      </c>
      <c r="X899" s="30" t="n">
        <v>40</v>
      </c>
      <c r="Y899" s="30" t="str">
        <f aca="false">IF(W899&lt;判定条件!$C$6,"判定不能",IF(X899&gt;=判定条件!$C$7*W899,"運転",IF(X899&lt;=判定条件!$C$8*W899,"停止","断続")))</f>
        <v>断続</v>
      </c>
      <c r="Z899" s="30" t="n">
        <v>60</v>
      </c>
      <c r="AA899" s="30" t="n">
        <v>60</v>
      </c>
      <c r="AB899" s="30" t="str">
        <f aca="false">IF(Z899&lt;判定条件!$C$6,"判定不能",IF(AA899&gt;=判定条件!$C$7*Z899,"運転",IF(AA899&lt;=判定条件!$C$8*Z899,"停止","断続")))</f>
        <v>運転</v>
      </c>
      <c r="AC899" s="30" t="n">
        <v>60</v>
      </c>
      <c r="AD899" s="30" t="n">
        <v>60</v>
      </c>
      <c r="AE899" s="30" t="str">
        <f aca="false">IF(AC899&lt;判定条件!$C$6,"判定不能",IF(AD899&gt;=判定条件!$C$7*AC899,"運転",IF(AD899&lt;=判定条件!$C$8*AC899,"停止","断続")))</f>
        <v>運転</v>
      </c>
      <c r="AF899" s="30" t="n">
        <v>60</v>
      </c>
      <c r="AG899" s="30" t="n">
        <v>0</v>
      </c>
      <c r="AH899" s="30" t="str">
        <f aca="false">IF(OR(P899="判定不能",G899="判定不能"),"判定不能",IF(AG899&gt;=判定条件!$C$9,"利用可",IF(AND(P899="停止",G899="停止"),"両方停止","運転がそろわない")))</f>
        <v>運転がそろわない</v>
      </c>
      <c r="AI899" s="30" t="n">
        <v>0</v>
      </c>
      <c r="AJ899" s="30" t="n">
        <v>0</v>
      </c>
      <c r="AK899" s="30" t="str">
        <f aca="false">IF(OR(S899="判定不能",J899="判定不能"),"判定不能",IF(AJ899&gt;=判定条件!$C$9,"利用可",IF(AND(S899="停止",J899="停止"),"両方停止","運転がそろわない")))</f>
        <v>判定不能</v>
      </c>
      <c r="AL899" s="30" t="n">
        <v>60</v>
      </c>
      <c r="AM899" s="30" t="n">
        <v>60</v>
      </c>
      <c r="AN899" s="30" t="str">
        <f aca="false">IF(OR(V899="判定不能",M899="判定不能"),"判定不能",IF(AM899&gt;=判定条件!$C$9,"利用可",IF(AND(V899="停止",M899="停止"),"両方停止","運転がそろわない")))</f>
        <v>利用可</v>
      </c>
      <c r="AO899" s="30" t="n">
        <v>60</v>
      </c>
      <c r="AP899" s="30" t="n">
        <v>0</v>
      </c>
      <c r="AQ899" s="30" t="str">
        <f aca="false">IF(OR(Y899="判定不能",G899="判定不能"),"判定不能",IF(AP899&gt;=判定条件!$C$9,"利用可",IF(AND(Y899="停止",G899="停止"),"両方停止","運転がそろわない")))</f>
        <v>運転がそろわない</v>
      </c>
      <c r="AR899" s="30" t="n">
        <v>0</v>
      </c>
      <c r="AS899" s="30" t="n">
        <v>0</v>
      </c>
      <c r="AT899" s="30" t="str">
        <f aca="false">IF(OR(AB899="判定不能",J899="判定不能"),"判定不能",IF(AS899&gt;=判定条件!$C$9,"利用可",IF(AND(AB899="停止",J899="停止"),"両方停止","運転がそろわない")))</f>
        <v>判定不能</v>
      </c>
      <c r="AU899" s="30" t="n">
        <v>60</v>
      </c>
      <c r="AV899" s="30" t="n">
        <v>60</v>
      </c>
      <c r="AW899" s="30" t="str">
        <f aca="false">IF(OR(AE899="判定不能",M899="判定不能"),"判定不能",IF(AV899&gt;=判定条件!$C$9,"利用可",IF(AND(AE899="停止",M899="停止"),"両方停止","運転がそろわない")))</f>
        <v>利用可</v>
      </c>
      <c r="AX899" s="30" t="str">
        <f aca="false">IF(AND(AH899="利用可",AK899="利用可",AN899="利用可"),"利用可","不可")</f>
        <v>不可</v>
      </c>
      <c r="AY899" s="30" t="str">
        <f aca="false">IF(AND(AQ899="利用可",AT899="利用可",AW899="利用可"),"利用可","不可")</f>
        <v>不可</v>
      </c>
    </row>
    <row r="900" customFormat="false" ht="15" hidden="false" customHeight="false" outlineLevel="0" collapsed="false">
      <c r="A900" s="29" t="n">
        <v>46269</v>
      </c>
      <c r="B900" s="30" t="n">
        <v>9</v>
      </c>
      <c r="C900" s="31" t="s">
        <v>62</v>
      </c>
      <c r="D900" s="31" t="s">
        <v>59</v>
      </c>
      <c r="E900" s="30" t="n">
        <v>60</v>
      </c>
      <c r="F900" s="30" t="n">
        <v>23</v>
      </c>
      <c r="G900" s="30" t="str">
        <f aca="false">IF(E900&lt;判定条件!$C$6,"判定不能",IF(F900&gt;=判定条件!$C$7*E900,"運転",IF(F900&lt;=判定条件!$C$8*E900,"停止","断続")))</f>
        <v>断続</v>
      </c>
      <c r="H900" s="30" t="n">
        <v>0</v>
      </c>
      <c r="I900" s="30" t="n">
        <v>0</v>
      </c>
      <c r="J900" s="30" t="str">
        <f aca="false">IF(H900&lt;判定条件!$C$6,"判定不能",IF(I900&gt;=判定条件!$C$7*H900,"運転",IF(I900&lt;=判定条件!$C$8*H900,"停止","断続")))</f>
        <v>判定不能</v>
      </c>
      <c r="K900" s="30" t="n">
        <v>60</v>
      </c>
      <c r="L900" s="30" t="n">
        <v>60</v>
      </c>
      <c r="M900" s="30" t="str">
        <f aca="false">IF(K900&lt;判定条件!$C$6,"判定不能",IF(L900&gt;=判定条件!$C$7*K900,"運転",IF(L900&lt;=判定条件!$C$8*K900,"停止","断続")))</f>
        <v>運転</v>
      </c>
      <c r="N900" s="30" t="n">
        <v>60</v>
      </c>
      <c r="O900" s="30" t="n">
        <v>54</v>
      </c>
      <c r="P900" s="30" t="str">
        <f aca="false">IF(N900&lt;判定条件!$C$6,"判定不能",IF(O900&gt;=判定条件!$C$7*N900,"運転",IF(O900&lt;=判定条件!$C$8*N900,"停止","断続")))</f>
        <v>運転</v>
      </c>
      <c r="Q900" s="30" t="n">
        <v>60</v>
      </c>
      <c r="R900" s="30" t="n">
        <v>55</v>
      </c>
      <c r="S900" s="30" t="str">
        <f aca="false">IF(Q900&lt;判定条件!$C$6,"判定不能",IF(R900&gt;=判定条件!$C$7*Q900,"運転",IF(R900&lt;=判定条件!$C$8*Q900,"停止","断続")))</f>
        <v>運転</v>
      </c>
      <c r="T900" s="30" t="n">
        <v>60</v>
      </c>
      <c r="U900" s="30" t="n">
        <v>60</v>
      </c>
      <c r="V900" s="30" t="str">
        <f aca="false">IF(T900&lt;判定条件!$C$6,"判定不能",IF(U900&gt;=判定条件!$C$7*T900,"運転",IF(U900&lt;=判定条件!$C$8*T900,"停止","断続")))</f>
        <v>運転</v>
      </c>
      <c r="W900" s="30" t="n">
        <v>60</v>
      </c>
      <c r="X900" s="30" t="n">
        <v>60</v>
      </c>
      <c r="Y900" s="30" t="str">
        <f aca="false">IF(W900&lt;判定条件!$C$6,"判定不能",IF(X900&gt;=判定条件!$C$7*W900,"運転",IF(X900&lt;=判定条件!$C$8*W900,"停止","断続")))</f>
        <v>運転</v>
      </c>
      <c r="Z900" s="30" t="n">
        <v>60</v>
      </c>
      <c r="AA900" s="30" t="n">
        <v>46</v>
      </c>
      <c r="AB900" s="30" t="str">
        <f aca="false">IF(Z900&lt;判定条件!$C$6,"判定不能",IF(AA900&gt;=判定条件!$C$7*Z900,"運転",IF(AA900&lt;=判定条件!$C$8*Z900,"停止","断続")))</f>
        <v>断続</v>
      </c>
      <c r="AC900" s="30" t="n">
        <v>60</v>
      </c>
      <c r="AD900" s="30" t="n">
        <v>60</v>
      </c>
      <c r="AE900" s="30" t="str">
        <f aca="false">IF(AC900&lt;判定条件!$C$6,"判定不能",IF(AD900&gt;=判定条件!$C$7*AC900,"運転",IF(AD900&lt;=判定条件!$C$8*AC900,"停止","断続")))</f>
        <v>運転</v>
      </c>
      <c r="AF900" s="30" t="n">
        <v>60</v>
      </c>
      <c r="AG900" s="30" t="n">
        <v>17</v>
      </c>
      <c r="AH900" s="30" t="str">
        <f aca="false">IF(OR(P900="判定不能",G900="判定不能"),"判定不能",IF(AG900&gt;=判定条件!$C$9,"利用可",IF(AND(P900="停止",G900="停止"),"両方停止","運転がそろわない")))</f>
        <v>運転がそろわない</v>
      </c>
      <c r="AI900" s="30" t="n">
        <v>0</v>
      </c>
      <c r="AJ900" s="30" t="n">
        <v>0</v>
      </c>
      <c r="AK900" s="30" t="str">
        <f aca="false">IF(OR(S900="判定不能",J900="判定不能"),"判定不能",IF(AJ900&gt;=判定条件!$C$9,"利用可",IF(AND(S900="停止",J900="停止"),"両方停止","運転がそろわない")))</f>
        <v>判定不能</v>
      </c>
      <c r="AL900" s="30" t="n">
        <v>60</v>
      </c>
      <c r="AM900" s="30" t="n">
        <v>60</v>
      </c>
      <c r="AN900" s="30" t="str">
        <f aca="false">IF(OR(V900="判定不能",M900="判定不能"),"判定不能",IF(AM900&gt;=判定条件!$C$9,"利用可",IF(AND(V900="停止",M900="停止"),"両方停止","運転がそろわない")))</f>
        <v>利用可</v>
      </c>
      <c r="AO900" s="30" t="n">
        <v>60</v>
      </c>
      <c r="AP900" s="30" t="n">
        <v>23</v>
      </c>
      <c r="AQ900" s="30" t="str">
        <f aca="false">IF(OR(Y900="判定不能",G900="判定不能"),"判定不能",IF(AP900&gt;=判定条件!$C$9,"利用可",IF(AND(Y900="停止",G900="停止"),"両方停止","運転がそろわない")))</f>
        <v>運転がそろわない</v>
      </c>
      <c r="AR900" s="30" t="n">
        <v>0</v>
      </c>
      <c r="AS900" s="30" t="n">
        <v>0</v>
      </c>
      <c r="AT900" s="30" t="str">
        <f aca="false">IF(OR(AB900="判定不能",J900="判定不能"),"判定不能",IF(AS900&gt;=判定条件!$C$9,"利用可",IF(AND(AB900="停止",J900="停止"),"両方停止","運転がそろわない")))</f>
        <v>判定不能</v>
      </c>
      <c r="AU900" s="30" t="n">
        <v>60</v>
      </c>
      <c r="AV900" s="30" t="n">
        <v>60</v>
      </c>
      <c r="AW900" s="30" t="str">
        <f aca="false">IF(OR(AE900="判定不能",M900="判定不能"),"判定不能",IF(AV900&gt;=判定条件!$C$9,"利用可",IF(AND(AE900="停止",M900="停止"),"両方停止","運転がそろわない")))</f>
        <v>利用可</v>
      </c>
      <c r="AX900" s="30" t="str">
        <f aca="false">IF(AND(AH900="利用可",AK900="利用可",AN900="利用可"),"利用可","不可")</f>
        <v>不可</v>
      </c>
      <c r="AY900" s="30" t="str">
        <f aca="false">IF(AND(AQ900="利用可",AT900="利用可",AW900="利用可"),"利用可","不可")</f>
        <v>不可</v>
      </c>
    </row>
    <row r="901" customFormat="false" ht="15" hidden="false" customHeight="false" outlineLevel="0" collapsed="false">
      <c r="A901" s="29" t="n">
        <v>46269</v>
      </c>
      <c r="B901" s="30" t="n">
        <v>10</v>
      </c>
      <c r="C901" s="31" t="s">
        <v>62</v>
      </c>
      <c r="D901" s="31" t="s">
        <v>59</v>
      </c>
      <c r="E901" s="30" t="n">
        <v>60</v>
      </c>
      <c r="F901" s="30" t="n">
        <v>50</v>
      </c>
      <c r="G901" s="30" t="str">
        <f aca="false">IF(E901&lt;判定条件!$C$6,"判定不能",IF(F901&gt;=判定条件!$C$7*E901,"運転",IF(F901&lt;=判定条件!$C$8*E901,"停止","断続")))</f>
        <v>運転</v>
      </c>
      <c r="H901" s="30" t="n">
        <v>0</v>
      </c>
      <c r="I901" s="30" t="n">
        <v>0</v>
      </c>
      <c r="J901" s="30" t="str">
        <f aca="false">IF(H901&lt;判定条件!$C$6,"判定不能",IF(I901&gt;=判定条件!$C$7*H901,"運転",IF(I901&lt;=判定条件!$C$8*H901,"停止","断続")))</f>
        <v>判定不能</v>
      </c>
      <c r="K901" s="30" t="n">
        <v>60</v>
      </c>
      <c r="L901" s="30" t="n">
        <v>60</v>
      </c>
      <c r="M901" s="30" t="str">
        <f aca="false">IF(K901&lt;判定条件!$C$6,"判定不能",IF(L901&gt;=判定条件!$C$7*K901,"運転",IF(L901&lt;=判定条件!$C$8*K901,"停止","断続")))</f>
        <v>運転</v>
      </c>
      <c r="N901" s="30" t="n">
        <v>60</v>
      </c>
      <c r="O901" s="30" t="n">
        <v>40</v>
      </c>
      <c r="P901" s="30" t="str">
        <f aca="false">IF(N901&lt;判定条件!$C$6,"判定不能",IF(O901&gt;=判定条件!$C$7*N901,"運転",IF(O901&lt;=判定条件!$C$8*N901,"停止","断続")))</f>
        <v>断続</v>
      </c>
      <c r="Q901" s="30" t="n">
        <v>60</v>
      </c>
      <c r="R901" s="30" t="n">
        <v>60</v>
      </c>
      <c r="S901" s="30" t="str">
        <f aca="false">IF(Q901&lt;判定条件!$C$6,"判定不能",IF(R901&gt;=判定条件!$C$7*Q901,"運転",IF(R901&lt;=判定条件!$C$8*Q901,"停止","断続")))</f>
        <v>運転</v>
      </c>
      <c r="T901" s="30" t="n">
        <v>60</v>
      </c>
      <c r="U901" s="30" t="n">
        <v>41</v>
      </c>
      <c r="V901" s="30" t="str">
        <f aca="false">IF(T901&lt;判定条件!$C$6,"判定不能",IF(U901&gt;=判定条件!$C$7*T901,"運転",IF(U901&lt;=判定条件!$C$8*T901,"停止","断続")))</f>
        <v>断続</v>
      </c>
      <c r="W901" s="30" t="n">
        <v>60</v>
      </c>
      <c r="X901" s="30" t="n">
        <v>24</v>
      </c>
      <c r="Y901" s="30" t="str">
        <f aca="false">IF(W901&lt;判定条件!$C$6,"判定不能",IF(X901&gt;=判定条件!$C$7*W901,"運転",IF(X901&lt;=判定条件!$C$8*W901,"停止","断続")))</f>
        <v>断続</v>
      </c>
      <c r="Z901" s="30" t="n">
        <v>60</v>
      </c>
      <c r="AA901" s="30" t="n">
        <v>60</v>
      </c>
      <c r="AB901" s="30" t="str">
        <f aca="false">IF(Z901&lt;判定条件!$C$6,"判定不能",IF(AA901&gt;=判定条件!$C$7*Z901,"運転",IF(AA901&lt;=判定条件!$C$8*Z901,"停止","断続")))</f>
        <v>運転</v>
      </c>
      <c r="AC901" s="30" t="n">
        <v>60</v>
      </c>
      <c r="AD901" s="30" t="n">
        <v>60</v>
      </c>
      <c r="AE901" s="30" t="str">
        <f aca="false">IF(AC901&lt;判定条件!$C$6,"判定不能",IF(AD901&gt;=判定条件!$C$7*AC901,"運転",IF(AD901&lt;=判定条件!$C$8*AC901,"停止","断続")))</f>
        <v>運転</v>
      </c>
      <c r="AF901" s="30" t="n">
        <v>60</v>
      </c>
      <c r="AG901" s="30" t="n">
        <v>37</v>
      </c>
      <c r="AH901" s="30" t="str">
        <f aca="false">IF(OR(P901="判定不能",G901="判定不能"),"判定不能",IF(AG901&gt;=判定条件!$C$9,"利用可",IF(AND(P901="停止",G901="停止"),"両方停止","運転がそろわない")))</f>
        <v>利用可</v>
      </c>
      <c r="AI901" s="30" t="n">
        <v>0</v>
      </c>
      <c r="AJ901" s="30" t="n">
        <v>0</v>
      </c>
      <c r="AK901" s="30" t="str">
        <f aca="false">IF(OR(S901="判定不能",J901="判定不能"),"判定不能",IF(AJ901&gt;=判定条件!$C$9,"利用可",IF(AND(S901="停止",J901="停止"),"両方停止","運転がそろわない")))</f>
        <v>判定不能</v>
      </c>
      <c r="AL901" s="30" t="n">
        <v>60</v>
      </c>
      <c r="AM901" s="30" t="n">
        <v>41</v>
      </c>
      <c r="AN901" s="30" t="str">
        <f aca="false">IF(OR(V901="判定不能",M901="判定不能"),"判定不能",IF(AM901&gt;=判定条件!$C$9,"利用可",IF(AND(V901="停止",M901="停止"),"両方停止","運転がそろわない")))</f>
        <v>利用可</v>
      </c>
      <c r="AO901" s="30" t="n">
        <v>60</v>
      </c>
      <c r="AP901" s="30" t="n">
        <v>14</v>
      </c>
      <c r="AQ901" s="30" t="str">
        <f aca="false">IF(OR(Y901="判定不能",G901="判定不能"),"判定不能",IF(AP901&gt;=判定条件!$C$9,"利用可",IF(AND(Y901="停止",G901="停止"),"両方停止","運転がそろわない")))</f>
        <v>運転がそろわない</v>
      </c>
      <c r="AR901" s="30" t="n">
        <v>0</v>
      </c>
      <c r="AS901" s="30" t="n">
        <v>0</v>
      </c>
      <c r="AT901" s="30" t="str">
        <f aca="false">IF(OR(AB901="判定不能",J901="判定不能"),"判定不能",IF(AS901&gt;=判定条件!$C$9,"利用可",IF(AND(AB901="停止",J901="停止"),"両方停止","運転がそろわない")))</f>
        <v>判定不能</v>
      </c>
      <c r="AU901" s="30" t="n">
        <v>60</v>
      </c>
      <c r="AV901" s="30" t="n">
        <v>60</v>
      </c>
      <c r="AW901" s="30" t="str">
        <f aca="false">IF(OR(AE901="判定不能",M901="判定不能"),"判定不能",IF(AV901&gt;=判定条件!$C$9,"利用可",IF(AND(AE901="停止",M901="停止"),"両方停止","運転がそろわない")))</f>
        <v>利用可</v>
      </c>
      <c r="AX901" s="30" t="str">
        <f aca="false">IF(AND(AH901="利用可",AK901="利用可",AN901="利用可"),"利用可","不可")</f>
        <v>不可</v>
      </c>
      <c r="AY901" s="30" t="str">
        <f aca="false">IF(AND(AQ901="利用可",AT901="利用可",AW901="利用可"),"利用可","不可")</f>
        <v>不可</v>
      </c>
    </row>
    <row r="902" customFormat="false" ht="15" hidden="false" customHeight="false" outlineLevel="0" collapsed="false">
      <c r="A902" s="29" t="n">
        <v>46269</v>
      </c>
      <c r="B902" s="30" t="n">
        <v>11</v>
      </c>
      <c r="C902" s="31" t="s">
        <v>62</v>
      </c>
      <c r="D902" s="31" t="s">
        <v>59</v>
      </c>
      <c r="E902" s="30" t="n">
        <v>60</v>
      </c>
      <c r="F902" s="30" t="n">
        <v>60</v>
      </c>
      <c r="G902" s="30" t="str">
        <f aca="false">IF(E902&lt;判定条件!$C$6,"判定不能",IF(F902&gt;=判定条件!$C$7*E902,"運転",IF(F902&lt;=判定条件!$C$8*E902,"停止","断続")))</f>
        <v>運転</v>
      </c>
      <c r="H902" s="30" t="n">
        <v>0</v>
      </c>
      <c r="I902" s="30" t="n">
        <v>0</v>
      </c>
      <c r="J902" s="30" t="str">
        <f aca="false">IF(H902&lt;判定条件!$C$6,"判定不能",IF(I902&gt;=判定条件!$C$7*H902,"運転",IF(I902&lt;=判定条件!$C$8*H902,"停止","断続")))</f>
        <v>判定不能</v>
      </c>
      <c r="K902" s="30" t="n">
        <v>60</v>
      </c>
      <c r="L902" s="30" t="n">
        <v>60</v>
      </c>
      <c r="M902" s="30" t="str">
        <f aca="false">IF(K902&lt;判定条件!$C$6,"判定不能",IF(L902&gt;=判定条件!$C$7*K902,"運転",IF(L902&lt;=判定条件!$C$8*K902,"停止","断続")))</f>
        <v>運転</v>
      </c>
      <c r="N902" s="30" t="n">
        <v>60</v>
      </c>
      <c r="O902" s="30" t="n">
        <v>29</v>
      </c>
      <c r="P902" s="30" t="str">
        <f aca="false">IF(N902&lt;判定条件!$C$6,"判定不能",IF(O902&gt;=判定条件!$C$7*N902,"運転",IF(O902&lt;=判定条件!$C$8*N902,"停止","断続")))</f>
        <v>断続</v>
      </c>
      <c r="Q902" s="30" t="n">
        <v>60</v>
      </c>
      <c r="R902" s="30" t="n">
        <v>39</v>
      </c>
      <c r="S902" s="30" t="str">
        <f aca="false">IF(Q902&lt;判定条件!$C$6,"判定不能",IF(R902&gt;=判定条件!$C$7*Q902,"運転",IF(R902&lt;=判定条件!$C$8*Q902,"停止","断続")))</f>
        <v>断続</v>
      </c>
      <c r="T902" s="30" t="n">
        <v>60</v>
      </c>
      <c r="U902" s="30" t="n">
        <v>60</v>
      </c>
      <c r="V902" s="30" t="str">
        <f aca="false">IF(T902&lt;判定条件!$C$6,"判定不能",IF(U902&gt;=判定条件!$C$7*T902,"運転",IF(U902&lt;=判定条件!$C$8*T902,"停止","断続")))</f>
        <v>運転</v>
      </c>
      <c r="W902" s="30" t="n">
        <v>60</v>
      </c>
      <c r="X902" s="30" t="n">
        <v>39</v>
      </c>
      <c r="Y902" s="30" t="str">
        <f aca="false">IF(W902&lt;判定条件!$C$6,"判定不能",IF(X902&gt;=判定条件!$C$7*W902,"運転",IF(X902&lt;=判定条件!$C$8*W902,"停止","断続")))</f>
        <v>断続</v>
      </c>
      <c r="Z902" s="30" t="n">
        <v>60</v>
      </c>
      <c r="AA902" s="30" t="n">
        <v>60</v>
      </c>
      <c r="AB902" s="30" t="str">
        <f aca="false">IF(Z902&lt;判定条件!$C$6,"判定不能",IF(AA902&gt;=判定条件!$C$7*Z902,"運転",IF(AA902&lt;=判定条件!$C$8*Z902,"停止","断続")))</f>
        <v>運転</v>
      </c>
      <c r="AC902" s="30" t="n">
        <v>60</v>
      </c>
      <c r="AD902" s="30" t="n">
        <v>60</v>
      </c>
      <c r="AE902" s="30" t="str">
        <f aca="false">IF(AC902&lt;判定条件!$C$6,"判定不能",IF(AD902&gt;=判定条件!$C$7*AC902,"運転",IF(AD902&lt;=判定条件!$C$8*AC902,"停止","断続")))</f>
        <v>運転</v>
      </c>
      <c r="AF902" s="30" t="n">
        <v>60</v>
      </c>
      <c r="AG902" s="30" t="n">
        <v>29</v>
      </c>
      <c r="AH902" s="30" t="str">
        <f aca="false">IF(OR(P902="判定不能",G902="判定不能"),"判定不能",IF(AG902&gt;=判定条件!$C$9,"利用可",IF(AND(P902="停止",G902="停止"),"両方停止","運転がそろわない")))</f>
        <v>運転がそろわない</v>
      </c>
      <c r="AI902" s="30" t="n">
        <v>0</v>
      </c>
      <c r="AJ902" s="30" t="n">
        <v>0</v>
      </c>
      <c r="AK902" s="30" t="str">
        <f aca="false">IF(OR(S902="判定不能",J902="判定不能"),"判定不能",IF(AJ902&gt;=判定条件!$C$9,"利用可",IF(AND(S902="停止",J902="停止"),"両方停止","運転がそろわない")))</f>
        <v>判定不能</v>
      </c>
      <c r="AL902" s="30" t="n">
        <v>60</v>
      </c>
      <c r="AM902" s="30" t="n">
        <v>60</v>
      </c>
      <c r="AN902" s="30" t="str">
        <f aca="false">IF(OR(V902="判定不能",M902="判定不能"),"判定不能",IF(AM902&gt;=判定条件!$C$9,"利用可",IF(AND(V902="停止",M902="停止"),"両方停止","運転がそろわない")))</f>
        <v>利用可</v>
      </c>
      <c r="AO902" s="30" t="n">
        <v>60</v>
      </c>
      <c r="AP902" s="30" t="n">
        <v>39</v>
      </c>
      <c r="AQ902" s="30" t="str">
        <f aca="false">IF(OR(Y902="判定不能",G902="判定不能"),"判定不能",IF(AP902&gt;=判定条件!$C$9,"利用可",IF(AND(Y902="停止",G902="停止"),"両方停止","運転がそろわない")))</f>
        <v>利用可</v>
      </c>
      <c r="AR902" s="30" t="n">
        <v>0</v>
      </c>
      <c r="AS902" s="30" t="n">
        <v>0</v>
      </c>
      <c r="AT902" s="30" t="str">
        <f aca="false">IF(OR(AB902="判定不能",J902="判定不能"),"判定不能",IF(AS902&gt;=判定条件!$C$9,"利用可",IF(AND(AB902="停止",J902="停止"),"両方停止","運転がそろわない")))</f>
        <v>判定不能</v>
      </c>
      <c r="AU902" s="30" t="n">
        <v>60</v>
      </c>
      <c r="AV902" s="30" t="n">
        <v>60</v>
      </c>
      <c r="AW902" s="30" t="str">
        <f aca="false">IF(OR(AE902="判定不能",M902="判定不能"),"判定不能",IF(AV902&gt;=判定条件!$C$9,"利用可",IF(AND(AE902="停止",M902="停止"),"両方停止","運転がそろわない")))</f>
        <v>利用可</v>
      </c>
      <c r="AX902" s="30" t="str">
        <f aca="false">IF(AND(AH902="利用可",AK902="利用可",AN902="利用可"),"利用可","不可")</f>
        <v>不可</v>
      </c>
      <c r="AY902" s="30" t="str">
        <f aca="false">IF(AND(AQ902="利用可",AT902="利用可",AW902="利用可"),"利用可","不可")</f>
        <v>不可</v>
      </c>
    </row>
    <row r="903" customFormat="false" ht="15" hidden="false" customHeight="false" outlineLevel="0" collapsed="false">
      <c r="A903" s="29" t="n">
        <v>46269</v>
      </c>
      <c r="B903" s="30" t="n">
        <v>12</v>
      </c>
      <c r="C903" s="31" t="s">
        <v>62</v>
      </c>
      <c r="D903" s="31" t="s">
        <v>59</v>
      </c>
      <c r="E903" s="30" t="n">
        <v>60</v>
      </c>
      <c r="F903" s="30" t="n">
        <v>60</v>
      </c>
      <c r="G903" s="30" t="str">
        <f aca="false">IF(E903&lt;判定条件!$C$6,"判定不能",IF(F903&gt;=判定条件!$C$7*E903,"運転",IF(F903&lt;=判定条件!$C$8*E903,"停止","断続")))</f>
        <v>運転</v>
      </c>
      <c r="H903" s="30" t="n">
        <v>0</v>
      </c>
      <c r="I903" s="30" t="n">
        <v>0</v>
      </c>
      <c r="J903" s="30" t="str">
        <f aca="false">IF(H903&lt;判定条件!$C$6,"判定不能",IF(I903&gt;=判定条件!$C$7*H903,"運転",IF(I903&lt;=判定条件!$C$8*H903,"停止","断続")))</f>
        <v>判定不能</v>
      </c>
      <c r="K903" s="30" t="n">
        <v>60</v>
      </c>
      <c r="L903" s="30" t="n">
        <v>60</v>
      </c>
      <c r="M903" s="30" t="str">
        <f aca="false">IF(K903&lt;判定条件!$C$6,"判定不能",IF(L903&gt;=判定条件!$C$7*K903,"運転",IF(L903&lt;=判定条件!$C$8*K903,"停止","断続")))</f>
        <v>運転</v>
      </c>
      <c r="N903" s="30" t="n">
        <v>60</v>
      </c>
      <c r="O903" s="30" t="n">
        <v>60</v>
      </c>
      <c r="P903" s="30" t="str">
        <f aca="false">IF(N903&lt;判定条件!$C$6,"判定不能",IF(O903&gt;=判定条件!$C$7*N903,"運転",IF(O903&lt;=判定条件!$C$8*N903,"停止","断続")))</f>
        <v>運転</v>
      </c>
      <c r="Q903" s="30" t="n">
        <v>60</v>
      </c>
      <c r="R903" s="30" t="n">
        <v>60</v>
      </c>
      <c r="S903" s="30" t="str">
        <f aca="false">IF(Q903&lt;判定条件!$C$6,"判定不能",IF(R903&gt;=判定条件!$C$7*Q903,"運転",IF(R903&lt;=判定条件!$C$8*Q903,"停止","断続")))</f>
        <v>運転</v>
      </c>
      <c r="T903" s="30" t="n">
        <v>60</v>
      </c>
      <c r="U903" s="30" t="n">
        <v>60</v>
      </c>
      <c r="V903" s="30" t="str">
        <f aca="false">IF(T903&lt;判定条件!$C$6,"判定不能",IF(U903&gt;=判定条件!$C$7*T903,"運転",IF(U903&lt;=判定条件!$C$8*T903,"停止","断続")))</f>
        <v>運転</v>
      </c>
      <c r="W903" s="30" t="n">
        <v>60</v>
      </c>
      <c r="X903" s="30" t="n">
        <v>42</v>
      </c>
      <c r="Y903" s="30" t="str">
        <f aca="false">IF(W903&lt;判定条件!$C$6,"判定不能",IF(X903&gt;=判定条件!$C$7*W903,"運転",IF(X903&lt;=判定条件!$C$8*W903,"停止","断続")))</f>
        <v>断続</v>
      </c>
      <c r="Z903" s="30" t="n">
        <v>60</v>
      </c>
      <c r="AA903" s="30" t="n">
        <v>60</v>
      </c>
      <c r="AB903" s="30" t="str">
        <f aca="false">IF(Z903&lt;判定条件!$C$6,"判定不能",IF(AA903&gt;=判定条件!$C$7*Z903,"運転",IF(AA903&lt;=判定条件!$C$8*Z903,"停止","断続")))</f>
        <v>運転</v>
      </c>
      <c r="AC903" s="30" t="n">
        <v>60</v>
      </c>
      <c r="AD903" s="30" t="n">
        <v>53</v>
      </c>
      <c r="AE903" s="30" t="str">
        <f aca="false">IF(AC903&lt;判定条件!$C$6,"判定不能",IF(AD903&gt;=判定条件!$C$7*AC903,"運転",IF(AD903&lt;=判定条件!$C$8*AC903,"停止","断続")))</f>
        <v>運転</v>
      </c>
      <c r="AF903" s="30" t="n">
        <v>60</v>
      </c>
      <c r="AG903" s="30" t="n">
        <v>60</v>
      </c>
      <c r="AH903" s="30" t="str">
        <f aca="false">IF(OR(P903="判定不能",G903="判定不能"),"判定不能",IF(AG903&gt;=判定条件!$C$9,"利用可",IF(AND(P903="停止",G903="停止"),"両方停止","運転がそろわない")))</f>
        <v>利用可</v>
      </c>
      <c r="AI903" s="30" t="n">
        <v>0</v>
      </c>
      <c r="AJ903" s="30" t="n">
        <v>0</v>
      </c>
      <c r="AK903" s="30" t="str">
        <f aca="false">IF(OR(S903="判定不能",J903="判定不能"),"判定不能",IF(AJ903&gt;=判定条件!$C$9,"利用可",IF(AND(S903="停止",J903="停止"),"両方停止","運転がそろわない")))</f>
        <v>判定不能</v>
      </c>
      <c r="AL903" s="30" t="n">
        <v>60</v>
      </c>
      <c r="AM903" s="30" t="n">
        <v>60</v>
      </c>
      <c r="AN903" s="30" t="str">
        <f aca="false">IF(OR(V903="判定不能",M903="判定不能"),"判定不能",IF(AM903&gt;=判定条件!$C$9,"利用可",IF(AND(V903="停止",M903="停止"),"両方停止","運転がそろわない")))</f>
        <v>利用可</v>
      </c>
      <c r="AO903" s="30" t="n">
        <v>60</v>
      </c>
      <c r="AP903" s="30" t="n">
        <v>42</v>
      </c>
      <c r="AQ903" s="30" t="str">
        <f aca="false">IF(OR(Y903="判定不能",G903="判定不能"),"判定不能",IF(AP903&gt;=判定条件!$C$9,"利用可",IF(AND(Y903="停止",G903="停止"),"両方停止","運転がそろわない")))</f>
        <v>利用可</v>
      </c>
      <c r="AR903" s="30" t="n">
        <v>0</v>
      </c>
      <c r="AS903" s="30" t="n">
        <v>0</v>
      </c>
      <c r="AT903" s="30" t="str">
        <f aca="false">IF(OR(AB903="判定不能",J903="判定不能"),"判定不能",IF(AS903&gt;=判定条件!$C$9,"利用可",IF(AND(AB903="停止",J903="停止"),"両方停止","運転がそろわない")))</f>
        <v>判定不能</v>
      </c>
      <c r="AU903" s="30" t="n">
        <v>60</v>
      </c>
      <c r="AV903" s="30" t="n">
        <v>53</v>
      </c>
      <c r="AW903" s="30" t="str">
        <f aca="false">IF(OR(AE903="判定不能",M903="判定不能"),"判定不能",IF(AV903&gt;=判定条件!$C$9,"利用可",IF(AND(AE903="停止",M903="停止"),"両方停止","運転がそろわない")))</f>
        <v>利用可</v>
      </c>
      <c r="AX903" s="30" t="str">
        <f aca="false">IF(AND(AH903="利用可",AK903="利用可",AN903="利用可"),"利用可","不可")</f>
        <v>不可</v>
      </c>
      <c r="AY903" s="30" t="str">
        <f aca="false">IF(AND(AQ903="利用可",AT903="利用可",AW903="利用可"),"利用可","不可")</f>
        <v>不可</v>
      </c>
    </row>
    <row r="904" customFormat="false" ht="15" hidden="false" customHeight="false" outlineLevel="0" collapsed="false">
      <c r="A904" s="29" t="n">
        <v>46269</v>
      </c>
      <c r="B904" s="30" t="n">
        <v>13</v>
      </c>
      <c r="C904" s="31" t="s">
        <v>62</v>
      </c>
      <c r="D904" s="31" t="s">
        <v>59</v>
      </c>
      <c r="E904" s="30" t="n">
        <v>60</v>
      </c>
      <c r="F904" s="30" t="n">
        <v>59</v>
      </c>
      <c r="G904" s="30" t="str">
        <f aca="false">IF(E904&lt;判定条件!$C$6,"判定不能",IF(F904&gt;=判定条件!$C$7*E904,"運転",IF(F904&lt;=判定条件!$C$8*E904,"停止","断続")))</f>
        <v>運転</v>
      </c>
      <c r="H904" s="30" t="n">
        <v>0</v>
      </c>
      <c r="I904" s="30" t="n">
        <v>0</v>
      </c>
      <c r="J904" s="30" t="str">
        <f aca="false">IF(H904&lt;判定条件!$C$6,"判定不能",IF(I904&gt;=判定条件!$C$7*H904,"運転",IF(I904&lt;=判定条件!$C$8*H904,"停止","断続")))</f>
        <v>判定不能</v>
      </c>
      <c r="K904" s="30" t="n">
        <v>60</v>
      </c>
      <c r="L904" s="30" t="n">
        <v>60</v>
      </c>
      <c r="M904" s="30" t="str">
        <f aca="false">IF(K904&lt;判定条件!$C$6,"判定不能",IF(L904&gt;=判定条件!$C$7*K904,"運転",IF(L904&lt;=判定条件!$C$8*K904,"停止","断続")))</f>
        <v>運転</v>
      </c>
      <c r="N904" s="30" t="n">
        <v>60</v>
      </c>
      <c r="O904" s="30" t="n">
        <v>38</v>
      </c>
      <c r="P904" s="30" t="str">
        <f aca="false">IF(N904&lt;判定条件!$C$6,"判定不能",IF(O904&gt;=判定条件!$C$7*N904,"運転",IF(O904&lt;=判定条件!$C$8*N904,"停止","断続")))</f>
        <v>断続</v>
      </c>
      <c r="Q904" s="30" t="n">
        <v>60</v>
      </c>
      <c r="R904" s="30" t="n">
        <v>60</v>
      </c>
      <c r="S904" s="30" t="str">
        <f aca="false">IF(Q904&lt;判定条件!$C$6,"判定不能",IF(R904&gt;=判定条件!$C$7*Q904,"運転",IF(R904&lt;=判定条件!$C$8*Q904,"停止","断続")))</f>
        <v>運転</v>
      </c>
      <c r="T904" s="30" t="n">
        <v>60</v>
      </c>
      <c r="U904" s="30" t="n">
        <v>60</v>
      </c>
      <c r="V904" s="30" t="str">
        <f aca="false">IF(T904&lt;判定条件!$C$6,"判定不能",IF(U904&gt;=判定条件!$C$7*T904,"運転",IF(U904&lt;=判定条件!$C$8*T904,"停止","断続")))</f>
        <v>運転</v>
      </c>
      <c r="W904" s="30" t="n">
        <v>60</v>
      </c>
      <c r="X904" s="30" t="n">
        <v>50</v>
      </c>
      <c r="Y904" s="30" t="str">
        <f aca="false">IF(W904&lt;判定条件!$C$6,"判定不能",IF(X904&gt;=判定条件!$C$7*W904,"運転",IF(X904&lt;=判定条件!$C$8*W904,"停止","断続")))</f>
        <v>運転</v>
      </c>
      <c r="Z904" s="30" t="n">
        <v>60</v>
      </c>
      <c r="AA904" s="30" t="n">
        <v>60</v>
      </c>
      <c r="AB904" s="30" t="str">
        <f aca="false">IF(Z904&lt;判定条件!$C$6,"判定不能",IF(AA904&gt;=判定条件!$C$7*Z904,"運転",IF(AA904&lt;=判定条件!$C$8*Z904,"停止","断続")))</f>
        <v>運転</v>
      </c>
      <c r="AC904" s="30" t="n">
        <v>60</v>
      </c>
      <c r="AD904" s="30" t="n">
        <v>60</v>
      </c>
      <c r="AE904" s="30" t="str">
        <f aca="false">IF(AC904&lt;判定条件!$C$6,"判定不能",IF(AD904&gt;=判定条件!$C$7*AC904,"運転",IF(AD904&lt;=判定条件!$C$8*AC904,"停止","断続")))</f>
        <v>運転</v>
      </c>
      <c r="AF904" s="30" t="n">
        <v>60</v>
      </c>
      <c r="AG904" s="30" t="n">
        <v>38</v>
      </c>
      <c r="AH904" s="30" t="str">
        <f aca="false">IF(OR(P904="判定不能",G904="判定不能"),"判定不能",IF(AG904&gt;=判定条件!$C$9,"利用可",IF(AND(P904="停止",G904="停止"),"両方停止","運転がそろわない")))</f>
        <v>利用可</v>
      </c>
      <c r="AI904" s="30" t="n">
        <v>0</v>
      </c>
      <c r="AJ904" s="30" t="n">
        <v>0</v>
      </c>
      <c r="AK904" s="30" t="str">
        <f aca="false">IF(OR(S904="判定不能",J904="判定不能"),"判定不能",IF(AJ904&gt;=判定条件!$C$9,"利用可",IF(AND(S904="停止",J904="停止"),"両方停止","運転がそろわない")))</f>
        <v>判定不能</v>
      </c>
      <c r="AL904" s="30" t="n">
        <v>60</v>
      </c>
      <c r="AM904" s="30" t="n">
        <v>60</v>
      </c>
      <c r="AN904" s="30" t="str">
        <f aca="false">IF(OR(V904="判定不能",M904="判定不能"),"判定不能",IF(AM904&gt;=判定条件!$C$9,"利用可",IF(AND(V904="停止",M904="停止"),"両方停止","運転がそろわない")))</f>
        <v>利用可</v>
      </c>
      <c r="AO904" s="30" t="n">
        <v>60</v>
      </c>
      <c r="AP904" s="30" t="n">
        <v>49</v>
      </c>
      <c r="AQ904" s="30" t="str">
        <f aca="false">IF(OR(Y904="判定不能",G904="判定不能"),"判定不能",IF(AP904&gt;=判定条件!$C$9,"利用可",IF(AND(Y904="停止",G904="停止"),"両方停止","運転がそろわない")))</f>
        <v>利用可</v>
      </c>
      <c r="AR904" s="30" t="n">
        <v>0</v>
      </c>
      <c r="AS904" s="30" t="n">
        <v>0</v>
      </c>
      <c r="AT904" s="30" t="str">
        <f aca="false">IF(OR(AB904="判定不能",J904="判定不能"),"判定不能",IF(AS904&gt;=判定条件!$C$9,"利用可",IF(AND(AB904="停止",J904="停止"),"両方停止","運転がそろわない")))</f>
        <v>判定不能</v>
      </c>
      <c r="AU904" s="30" t="n">
        <v>60</v>
      </c>
      <c r="AV904" s="30" t="n">
        <v>60</v>
      </c>
      <c r="AW904" s="30" t="str">
        <f aca="false">IF(OR(AE904="判定不能",M904="判定不能"),"判定不能",IF(AV904&gt;=判定条件!$C$9,"利用可",IF(AND(AE904="停止",M904="停止"),"両方停止","運転がそろわない")))</f>
        <v>利用可</v>
      </c>
      <c r="AX904" s="30" t="str">
        <f aca="false">IF(AND(AH904="利用可",AK904="利用可",AN904="利用可"),"利用可","不可")</f>
        <v>不可</v>
      </c>
      <c r="AY904" s="30" t="str">
        <f aca="false">IF(AND(AQ904="利用可",AT904="利用可",AW904="利用可"),"利用可","不可")</f>
        <v>不可</v>
      </c>
    </row>
    <row r="905" customFormat="false" ht="15" hidden="false" customHeight="false" outlineLevel="0" collapsed="false">
      <c r="A905" s="29" t="n">
        <v>46269</v>
      </c>
      <c r="B905" s="30" t="n">
        <v>14</v>
      </c>
      <c r="C905" s="31" t="s">
        <v>62</v>
      </c>
      <c r="D905" s="31" t="s">
        <v>59</v>
      </c>
      <c r="E905" s="30" t="n">
        <v>60</v>
      </c>
      <c r="F905" s="30" t="n">
        <v>57</v>
      </c>
      <c r="G905" s="30" t="str">
        <f aca="false">IF(E905&lt;判定条件!$C$6,"判定不能",IF(F905&gt;=判定条件!$C$7*E905,"運転",IF(F905&lt;=判定条件!$C$8*E905,"停止","断続")))</f>
        <v>運転</v>
      </c>
      <c r="H905" s="30" t="n">
        <v>0</v>
      </c>
      <c r="I905" s="30" t="n">
        <v>0</v>
      </c>
      <c r="J905" s="30" t="str">
        <f aca="false">IF(H905&lt;判定条件!$C$6,"判定不能",IF(I905&gt;=判定条件!$C$7*H905,"運転",IF(I905&lt;=判定条件!$C$8*H905,"停止","断続")))</f>
        <v>判定不能</v>
      </c>
      <c r="K905" s="30" t="n">
        <v>60</v>
      </c>
      <c r="L905" s="30" t="n">
        <v>60</v>
      </c>
      <c r="M905" s="30" t="str">
        <f aca="false">IF(K905&lt;判定条件!$C$6,"判定不能",IF(L905&gt;=判定条件!$C$7*K905,"運転",IF(L905&lt;=判定条件!$C$8*K905,"停止","断続")))</f>
        <v>運転</v>
      </c>
      <c r="N905" s="30" t="n">
        <v>60</v>
      </c>
      <c r="O905" s="30" t="n">
        <v>35</v>
      </c>
      <c r="P905" s="30" t="str">
        <f aca="false">IF(N905&lt;判定条件!$C$6,"判定不能",IF(O905&gt;=判定条件!$C$7*N905,"運転",IF(O905&lt;=判定条件!$C$8*N905,"停止","断続")))</f>
        <v>断続</v>
      </c>
      <c r="Q905" s="30" t="n">
        <v>60</v>
      </c>
      <c r="R905" s="30" t="n">
        <v>60</v>
      </c>
      <c r="S905" s="30" t="str">
        <f aca="false">IF(Q905&lt;判定条件!$C$6,"判定不能",IF(R905&gt;=判定条件!$C$7*Q905,"運転",IF(R905&lt;=判定条件!$C$8*Q905,"停止","断続")))</f>
        <v>運転</v>
      </c>
      <c r="T905" s="30" t="n">
        <v>60</v>
      </c>
      <c r="U905" s="30" t="n">
        <v>60</v>
      </c>
      <c r="V905" s="30" t="str">
        <f aca="false">IF(T905&lt;判定条件!$C$6,"判定不能",IF(U905&gt;=判定条件!$C$7*T905,"運転",IF(U905&lt;=判定条件!$C$8*T905,"停止","断続")))</f>
        <v>運転</v>
      </c>
      <c r="W905" s="30" t="n">
        <v>60</v>
      </c>
      <c r="X905" s="30" t="n">
        <v>38</v>
      </c>
      <c r="Y905" s="30" t="str">
        <f aca="false">IF(W905&lt;判定条件!$C$6,"判定不能",IF(X905&gt;=判定条件!$C$7*W905,"運転",IF(X905&lt;=判定条件!$C$8*W905,"停止","断続")))</f>
        <v>断続</v>
      </c>
      <c r="Z905" s="30" t="n">
        <v>60</v>
      </c>
      <c r="AA905" s="30" t="n">
        <v>60</v>
      </c>
      <c r="AB905" s="30" t="str">
        <f aca="false">IF(Z905&lt;判定条件!$C$6,"判定不能",IF(AA905&gt;=判定条件!$C$7*Z905,"運転",IF(AA905&lt;=判定条件!$C$8*Z905,"停止","断続")))</f>
        <v>運転</v>
      </c>
      <c r="AC905" s="30" t="n">
        <v>60</v>
      </c>
      <c r="AD905" s="30" t="n">
        <v>60</v>
      </c>
      <c r="AE905" s="30" t="str">
        <f aca="false">IF(AC905&lt;判定条件!$C$6,"判定不能",IF(AD905&gt;=判定条件!$C$7*AC905,"運転",IF(AD905&lt;=判定条件!$C$8*AC905,"停止","断続")))</f>
        <v>運転</v>
      </c>
      <c r="AF905" s="30" t="n">
        <v>60</v>
      </c>
      <c r="AG905" s="30" t="n">
        <v>35</v>
      </c>
      <c r="AH905" s="30" t="str">
        <f aca="false">IF(OR(P905="判定不能",G905="判定不能"),"判定不能",IF(AG905&gt;=判定条件!$C$9,"利用可",IF(AND(P905="停止",G905="停止"),"両方停止","運転がそろわない")))</f>
        <v>利用可</v>
      </c>
      <c r="AI905" s="30" t="n">
        <v>0</v>
      </c>
      <c r="AJ905" s="30" t="n">
        <v>0</v>
      </c>
      <c r="AK905" s="30" t="str">
        <f aca="false">IF(OR(S905="判定不能",J905="判定不能"),"判定不能",IF(AJ905&gt;=判定条件!$C$9,"利用可",IF(AND(S905="停止",J905="停止"),"両方停止","運転がそろわない")))</f>
        <v>判定不能</v>
      </c>
      <c r="AL905" s="30" t="n">
        <v>60</v>
      </c>
      <c r="AM905" s="30" t="n">
        <v>60</v>
      </c>
      <c r="AN905" s="30" t="str">
        <f aca="false">IF(OR(V905="判定不能",M905="判定不能"),"判定不能",IF(AM905&gt;=判定条件!$C$9,"利用可",IF(AND(V905="停止",M905="停止"),"両方停止","運転がそろわない")))</f>
        <v>利用可</v>
      </c>
      <c r="AO905" s="30" t="n">
        <v>60</v>
      </c>
      <c r="AP905" s="30" t="n">
        <v>35</v>
      </c>
      <c r="AQ905" s="30" t="str">
        <f aca="false">IF(OR(Y905="判定不能",G905="判定不能"),"判定不能",IF(AP905&gt;=判定条件!$C$9,"利用可",IF(AND(Y905="停止",G905="停止"),"両方停止","運転がそろわない")))</f>
        <v>利用可</v>
      </c>
      <c r="AR905" s="30" t="n">
        <v>0</v>
      </c>
      <c r="AS905" s="30" t="n">
        <v>0</v>
      </c>
      <c r="AT905" s="30" t="str">
        <f aca="false">IF(OR(AB905="判定不能",J905="判定不能"),"判定不能",IF(AS905&gt;=判定条件!$C$9,"利用可",IF(AND(AB905="停止",J905="停止"),"両方停止","運転がそろわない")))</f>
        <v>判定不能</v>
      </c>
      <c r="AU905" s="30" t="n">
        <v>60</v>
      </c>
      <c r="AV905" s="30" t="n">
        <v>60</v>
      </c>
      <c r="AW905" s="30" t="str">
        <f aca="false">IF(OR(AE905="判定不能",M905="判定不能"),"判定不能",IF(AV905&gt;=判定条件!$C$9,"利用可",IF(AND(AE905="停止",M905="停止"),"両方停止","運転がそろわない")))</f>
        <v>利用可</v>
      </c>
      <c r="AX905" s="30" t="str">
        <f aca="false">IF(AND(AH905="利用可",AK905="利用可",AN905="利用可"),"利用可","不可")</f>
        <v>不可</v>
      </c>
      <c r="AY905" s="30" t="str">
        <f aca="false">IF(AND(AQ905="利用可",AT905="利用可",AW905="利用可"),"利用可","不可")</f>
        <v>不可</v>
      </c>
    </row>
    <row r="906" customFormat="false" ht="15" hidden="false" customHeight="false" outlineLevel="0" collapsed="false">
      <c r="A906" s="29" t="n">
        <v>46269</v>
      </c>
      <c r="B906" s="30" t="n">
        <v>15</v>
      </c>
      <c r="C906" s="31" t="s">
        <v>62</v>
      </c>
      <c r="D906" s="31" t="s">
        <v>59</v>
      </c>
      <c r="E906" s="30" t="n">
        <v>60</v>
      </c>
      <c r="F906" s="30" t="n">
        <v>54</v>
      </c>
      <c r="G906" s="30" t="str">
        <f aca="false">IF(E906&lt;判定条件!$C$6,"判定不能",IF(F906&gt;=判定条件!$C$7*E906,"運転",IF(F906&lt;=判定条件!$C$8*E906,"停止","断続")))</f>
        <v>運転</v>
      </c>
      <c r="H906" s="30" t="n">
        <v>0</v>
      </c>
      <c r="I906" s="30" t="n">
        <v>0</v>
      </c>
      <c r="J906" s="30" t="str">
        <f aca="false">IF(H906&lt;判定条件!$C$6,"判定不能",IF(I906&gt;=判定条件!$C$7*H906,"運転",IF(I906&lt;=判定条件!$C$8*H906,"停止","断続")))</f>
        <v>判定不能</v>
      </c>
      <c r="K906" s="30" t="n">
        <v>60</v>
      </c>
      <c r="L906" s="30" t="n">
        <v>60</v>
      </c>
      <c r="M906" s="30" t="str">
        <f aca="false">IF(K906&lt;判定条件!$C$6,"判定不能",IF(L906&gt;=判定条件!$C$7*K906,"運転",IF(L906&lt;=判定条件!$C$8*K906,"停止","断続")))</f>
        <v>運転</v>
      </c>
      <c r="N906" s="30" t="n">
        <v>60</v>
      </c>
      <c r="O906" s="30" t="n">
        <v>34</v>
      </c>
      <c r="P906" s="30" t="str">
        <f aca="false">IF(N906&lt;判定条件!$C$6,"判定不能",IF(O906&gt;=判定条件!$C$7*N906,"運転",IF(O906&lt;=判定条件!$C$8*N906,"停止","断続")))</f>
        <v>断続</v>
      </c>
      <c r="Q906" s="30" t="n">
        <v>60</v>
      </c>
      <c r="R906" s="30" t="n">
        <v>52</v>
      </c>
      <c r="S906" s="30" t="str">
        <f aca="false">IF(Q906&lt;判定条件!$C$6,"判定不能",IF(R906&gt;=判定条件!$C$7*Q906,"運転",IF(R906&lt;=判定条件!$C$8*Q906,"停止","断続")))</f>
        <v>運転</v>
      </c>
      <c r="T906" s="30" t="n">
        <v>60</v>
      </c>
      <c r="U906" s="30" t="n">
        <v>46</v>
      </c>
      <c r="V906" s="30" t="str">
        <f aca="false">IF(T906&lt;判定条件!$C$6,"判定不能",IF(U906&gt;=判定条件!$C$7*T906,"運転",IF(U906&lt;=判定条件!$C$8*T906,"停止","断続")))</f>
        <v>断続</v>
      </c>
      <c r="W906" s="30" t="n">
        <v>60</v>
      </c>
      <c r="X906" s="30" t="n">
        <v>52</v>
      </c>
      <c r="Y906" s="30" t="str">
        <f aca="false">IF(W906&lt;判定条件!$C$6,"判定不能",IF(X906&gt;=判定条件!$C$7*W906,"運転",IF(X906&lt;=判定条件!$C$8*W906,"停止","断続")))</f>
        <v>運転</v>
      </c>
      <c r="Z906" s="30" t="n">
        <v>60</v>
      </c>
      <c r="AA906" s="30" t="n">
        <v>49</v>
      </c>
      <c r="AB906" s="30" t="str">
        <f aca="false">IF(Z906&lt;判定条件!$C$6,"判定不能",IF(AA906&gt;=判定条件!$C$7*Z906,"運転",IF(AA906&lt;=判定条件!$C$8*Z906,"停止","断続")))</f>
        <v>運転</v>
      </c>
      <c r="AC906" s="30" t="n">
        <v>60</v>
      </c>
      <c r="AD906" s="30" t="n">
        <v>48</v>
      </c>
      <c r="AE906" s="30" t="str">
        <f aca="false">IF(AC906&lt;判定条件!$C$6,"判定不能",IF(AD906&gt;=判定条件!$C$7*AC906,"運転",IF(AD906&lt;=判定条件!$C$8*AC906,"停止","断続")))</f>
        <v>運転</v>
      </c>
      <c r="AF906" s="30" t="n">
        <v>60</v>
      </c>
      <c r="AG906" s="30" t="n">
        <v>28</v>
      </c>
      <c r="AH906" s="30" t="str">
        <f aca="false">IF(OR(P906="判定不能",G906="判定不能"),"判定不能",IF(AG906&gt;=判定条件!$C$9,"利用可",IF(AND(P906="停止",G906="停止"),"両方停止","運転がそろわない")))</f>
        <v>運転がそろわない</v>
      </c>
      <c r="AI906" s="30" t="n">
        <v>0</v>
      </c>
      <c r="AJ906" s="30" t="n">
        <v>0</v>
      </c>
      <c r="AK906" s="30" t="str">
        <f aca="false">IF(OR(S906="判定不能",J906="判定不能"),"判定不能",IF(AJ906&gt;=判定条件!$C$9,"利用可",IF(AND(S906="停止",J906="停止"),"両方停止","運転がそろわない")))</f>
        <v>判定不能</v>
      </c>
      <c r="AL906" s="30" t="n">
        <v>60</v>
      </c>
      <c r="AM906" s="30" t="n">
        <v>46</v>
      </c>
      <c r="AN906" s="30" t="str">
        <f aca="false">IF(OR(V906="判定不能",M906="判定不能"),"判定不能",IF(AM906&gt;=判定条件!$C$9,"利用可",IF(AND(V906="停止",M906="停止"),"両方停止","運転がそろわない")))</f>
        <v>利用可</v>
      </c>
      <c r="AO906" s="30" t="n">
        <v>60</v>
      </c>
      <c r="AP906" s="30" t="n">
        <v>46</v>
      </c>
      <c r="AQ906" s="30" t="str">
        <f aca="false">IF(OR(Y906="判定不能",G906="判定不能"),"判定不能",IF(AP906&gt;=判定条件!$C$9,"利用可",IF(AND(Y906="停止",G906="停止"),"両方停止","運転がそろわない")))</f>
        <v>利用可</v>
      </c>
      <c r="AR906" s="30" t="n">
        <v>0</v>
      </c>
      <c r="AS906" s="30" t="n">
        <v>0</v>
      </c>
      <c r="AT906" s="30" t="str">
        <f aca="false">IF(OR(AB906="判定不能",J906="判定不能"),"判定不能",IF(AS906&gt;=判定条件!$C$9,"利用可",IF(AND(AB906="停止",J906="停止"),"両方停止","運転がそろわない")))</f>
        <v>判定不能</v>
      </c>
      <c r="AU906" s="30" t="n">
        <v>60</v>
      </c>
      <c r="AV906" s="30" t="n">
        <v>48</v>
      </c>
      <c r="AW906" s="30" t="str">
        <f aca="false">IF(OR(AE906="判定不能",M906="判定不能"),"判定不能",IF(AV906&gt;=判定条件!$C$9,"利用可",IF(AND(AE906="停止",M906="停止"),"両方停止","運転がそろわない")))</f>
        <v>利用可</v>
      </c>
      <c r="AX906" s="30" t="str">
        <f aca="false">IF(AND(AH906="利用可",AK906="利用可",AN906="利用可"),"利用可","不可")</f>
        <v>不可</v>
      </c>
      <c r="AY906" s="30" t="str">
        <f aca="false">IF(AND(AQ906="利用可",AT906="利用可",AW906="利用可"),"利用可","不可")</f>
        <v>不可</v>
      </c>
    </row>
    <row r="907" customFormat="false" ht="15" hidden="false" customHeight="false" outlineLevel="0" collapsed="false">
      <c r="A907" s="29" t="n">
        <v>46269</v>
      </c>
      <c r="B907" s="30" t="n">
        <v>16</v>
      </c>
      <c r="C907" s="31" t="s">
        <v>62</v>
      </c>
      <c r="D907" s="31" t="s">
        <v>59</v>
      </c>
      <c r="E907" s="30" t="n">
        <v>60</v>
      </c>
      <c r="F907" s="30" t="n">
        <v>53</v>
      </c>
      <c r="G907" s="30" t="str">
        <f aca="false">IF(E907&lt;判定条件!$C$6,"判定不能",IF(F907&gt;=判定条件!$C$7*E907,"運転",IF(F907&lt;=判定条件!$C$8*E907,"停止","断続")))</f>
        <v>運転</v>
      </c>
      <c r="H907" s="30" t="n">
        <v>0</v>
      </c>
      <c r="I907" s="30" t="n">
        <v>0</v>
      </c>
      <c r="J907" s="30" t="str">
        <f aca="false">IF(H907&lt;判定条件!$C$6,"判定不能",IF(I907&gt;=判定条件!$C$7*H907,"運転",IF(I907&lt;=判定条件!$C$8*H907,"停止","断続")))</f>
        <v>判定不能</v>
      </c>
      <c r="K907" s="30" t="n">
        <v>60</v>
      </c>
      <c r="L907" s="30" t="n">
        <v>60</v>
      </c>
      <c r="M907" s="30" t="str">
        <f aca="false">IF(K907&lt;判定条件!$C$6,"判定不能",IF(L907&gt;=判定条件!$C$7*K907,"運転",IF(L907&lt;=判定条件!$C$8*K907,"停止","断続")))</f>
        <v>運転</v>
      </c>
      <c r="N907" s="30" t="n">
        <v>60</v>
      </c>
      <c r="O907" s="30" t="n">
        <v>60</v>
      </c>
      <c r="P907" s="30" t="str">
        <f aca="false">IF(N907&lt;判定条件!$C$6,"判定不能",IF(O907&gt;=判定条件!$C$7*N907,"運転",IF(O907&lt;=判定条件!$C$8*N907,"停止","断続")))</f>
        <v>運転</v>
      </c>
      <c r="Q907" s="30" t="n">
        <v>60</v>
      </c>
      <c r="R907" s="30" t="n">
        <v>60</v>
      </c>
      <c r="S907" s="30" t="str">
        <f aca="false">IF(Q907&lt;判定条件!$C$6,"判定不能",IF(R907&gt;=判定条件!$C$7*Q907,"運転",IF(R907&lt;=判定条件!$C$8*Q907,"停止","断続")))</f>
        <v>運転</v>
      </c>
      <c r="T907" s="30" t="n">
        <v>60</v>
      </c>
      <c r="U907" s="30" t="n">
        <v>42</v>
      </c>
      <c r="V907" s="30" t="str">
        <f aca="false">IF(T907&lt;判定条件!$C$6,"判定不能",IF(U907&gt;=判定条件!$C$7*T907,"運転",IF(U907&lt;=判定条件!$C$8*T907,"停止","断続")))</f>
        <v>断続</v>
      </c>
      <c r="W907" s="30" t="n">
        <v>60</v>
      </c>
      <c r="X907" s="30" t="n">
        <v>29</v>
      </c>
      <c r="Y907" s="30" t="str">
        <f aca="false">IF(W907&lt;判定条件!$C$6,"判定不能",IF(X907&gt;=判定条件!$C$7*W907,"運転",IF(X907&lt;=判定条件!$C$8*W907,"停止","断続")))</f>
        <v>断続</v>
      </c>
      <c r="Z907" s="30" t="n">
        <v>60</v>
      </c>
      <c r="AA907" s="30" t="n">
        <v>26</v>
      </c>
      <c r="AB907" s="30" t="str">
        <f aca="false">IF(Z907&lt;判定条件!$C$6,"判定不能",IF(AA907&gt;=判定条件!$C$7*Z907,"運転",IF(AA907&lt;=判定条件!$C$8*Z907,"停止","断続")))</f>
        <v>断続</v>
      </c>
      <c r="AC907" s="30" t="n">
        <v>60</v>
      </c>
      <c r="AD907" s="30" t="n">
        <v>60</v>
      </c>
      <c r="AE907" s="30" t="str">
        <f aca="false">IF(AC907&lt;判定条件!$C$6,"判定不能",IF(AD907&gt;=判定条件!$C$7*AC907,"運転",IF(AD907&lt;=判定条件!$C$8*AC907,"停止","断続")))</f>
        <v>運転</v>
      </c>
      <c r="AF907" s="30" t="n">
        <v>60</v>
      </c>
      <c r="AG907" s="30" t="n">
        <v>53</v>
      </c>
      <c r="AH907" s="30" t="str">
        <f aca="false">IF(OR(P907="判定不能",G907="判定不能"),"判定不能",IF(AG907&gt;=判定条件!$C$9,"利用可",IF(AND(P907="停止",G907="停止"),"両方停止","運転がそろわない")))</f>
        <v>利用可</v>
      </c>
      <c r="AI907" s="30" t="n">
        <v>0</v>
      </c>
      <c r="AJ907" s="30" t="n">
        <v>0</v>
      </c>
      <c r="AK907" s="30" t="str">
        <f aca="false">IF(OR(S907="判定不能",J907="判定不能"),"判定不能",IF(AJ907&gt;=判定条件!$C$9,"利用可",IF(AND(S907="停止",J907="停止"),"両方停止","運転がそろわない")))</f>
        <v>判定不能</v>
      </c>
      <c r="AL907" s="30" t="n">
        <v>60</v>
      </c>
      <c r="AM907" s="30" t="n">
        <v>42</v>
      </c>
      <c r="AN907" s="30" t="str">
        <f aca="false">IF(OR(V907="判定不能",M907="判定不能"),"判定不能",IF(AM907&gt;=判定条件!$C$9,"利用可",IF(AND(V907="停止",M907="停止"),"両方停止","運転がそろわない")))</f>
        <v>利用可</v>
      </c>
      <c r="AO907" s="30" t="n">
        <v>60</v>
      </c>
      <c r="AP907" s="30" t="n">
        <v>29</v>
      </c>
      <c r="AQ907" s="30" t="str">
        <f aca="false">IF(OR(Y907="判定不能",G907="判定不能"),"判定不能",IF(AP907&gt;=判定条件!$C$9,"利用可",IF(AND(Y907="停止",G907="停止"),"両方停止","運転がそろわない")))</f>
        <v>運転がそろわない</v>
      </c>
      <c r="AR907" s="30" t="n">
        <v>0</v>
      </c>
      <c r="AS907" s="30" t="n">
        <v>0</v>
      </c>
      <c r="AT907" s="30" t="str">
        <f aca="false">IF(OR(AB907="判定不能",J907="判定不能"),"判定不能",IF(AS907&gt;=判定条件!$C$9,"利用可",IF(AND(AB907="停止",J907="停止"),"両方停止","運転がそろわない")))</f>
        <v>判定不能</v>
      </c>
      <c r="AU907" s="30" t="n">
        <v>60</v>
      </c>
      <c r="AV907" s="30" t="n">
        <v>60</v>
      </c>
      <c r="AW907" s="30" t="str">
        <f aca="false">IF(OR(AE907="判定不能",M907="判定不能"),"判定不能",IF(AV907&gt;=判定条件!$C$9,"利用可",IF(AND(AE907="停止",M907="停止"),"両方停止","運転がそろわない")))</f>
        <v>利用可</v>
      </c>
      <c r="AX907" s="30" t="str">
        <f aca="false">IF(AND(AH907="利用可",AK907="利用可",AN907="利用可"),"利用可","不可")</f>
        <v>不可</v>
      </c>
      <c r="AY907" s="30" t="str">
        <f aca="false">IF(AND(AQ907="利用可",AT907="利用可",AW907="利用可"),"利用可","不可")</f>
        <v>不可</v>
      </c>
    </row>
    <row r="908" customFormat="false" ht="15" hidden="false" customHeight="false" outlineLevel="0" collapsed="false">
      <c r="A908" s="29" t="n">
        <v>46269</v>
      </c>
      <c r="B908" s="30" t="n">
        <v>17</v>
      </c>
      <c r="C908" s="31" t="s">
        <v>62</v>
      </c>
      <c r="D908" s="31" t="s">
        <v>59</v>
      </c>
      <c r="E908" s="30" t="n">
        <v>60</v>
      </c>
      <c r="F908" s="30" t="n">
        <v>46</v>
      </c>
      <c r="G908" s="30" t="str">
        <f aca="false">IF(E908&lt;判定条件!$C$6,"判定不能",IF(F908&gt;=判定条件!$C$7*E908,"運転",IF(F908&lt;=判定条件!$C$8*E908,"停止","断続")))</f>
        <v>断続</v>
      </c>
      <c r="H908" s="30" t="n">
        <v>0</v>
      </c>
      <c r="I908" s="30" t="n">
        <v>0</v>
      </c>
      <c r="J908" s="30" t="str">
        <f aca="false">IF(H908&lt;判定条件!$C$6,"判定不能",IF(I908&gt;=判定条件!$C$7*H908,"運転",IF(I908&lt;=判定条件!$C$8*H908,"停止","断続")))</f>
        <v>判定不能</v>
      </c>
      <c r="K908" s="30" t="n">
        <v>60</v>
      </c>
      <c r="L908" s="30" t="n">
        <v>60</v>
      </c>
      <c r="M908" s="30" t="str">
        <f aca="false">IF(K908&lt;判定条件!$C$6,"判定不能",IF(L908&gt;=判定条件!$C$7*K908,"運転",IF(L908&lt;=判定条件!$C$8*K908,"停止","断続")))</f>
        <v>運転</v>
      </c>
      <c r="N908" s="30" t="n">
        <v>60</v>
      </c>
      <c r="O908" s="30" t="n">
        <v>54</v>
      </c>
      <c r="P908" s="30" t="str">
        <f aca="false">IF(N908&lt;判定条件!$C$6,"判定不能",IF(O908&gt;=判定条件!$C$7*N908,"運転",IF(O908&lt;=判定条件!$C$8*N908,"停止","断続")))</f>
        <v>運転</v>
      </c>
      <c r="Q908" s="30" t="n">
        <v>60</v>
      </c>
      <c r="R908" s="30" t="n">
        <v>50</v>
      </c>
      <c r="S908" s="30" t="str">
        <f aca="false">IF(Q908&lt;判定条件!$C$6,"判定不能",IF(R908&gt;=判定条件!$C$7*Q908,"運転",IF(R908&lt;=判定条件!$C$8*Q908,"停止","断続")))</f>
        <v>運転</v>
      </c>
      <c r="T908" s="30" t="n">
        <v>60</v>
      </c>
      <c r="U908" s="30" t="n">
        <v>31</v>
      </c>
      <c r="V908" s="30" t="str">
        <f aca="false">IF(T908&lt;判定条件!$C$6,"判定不能",IF(U908&gt;=判定条件!$C$7*T908,"運転",IF(U908&lt;=判定条件!$C$8*T908,"停止","断続")))</f>
        <v>断続</v>
      </c>
      <c r="W908" s="30" t="n">
        <v>60</v>
      </c>
      <c r="X908" s="30" t="n">
        <v>39</v>
      </c>
      <c r="Y908" s="30" t="str">
        <f aca="false">IF(W908&lt;判定条件!$C$6,"判定不能",IF(X908&gt;=判定条件!$C$7*W908,"運転",IF(X908&lt;=判定条件!$C$8*W908,"停止","断続")))</f>
        <v>断続</v>
      </c>
      <c r="Z908" s="30" t="n">
        <v>60</v>
      </c>
      <c r="AA908" s="30" t="n">
        <v>41</v>
      </c>
      <c r="AB908" s="30" t="str">
        <f aca="false">IF(Z908&lt;判定条件!$C$6,"判定不能",IF(AA908&gt;=判定条件!$C$7*Z908,"運転",IF(AA908&lt;=判定条件!$C$8*Z908,"停止","断続")))</f>
        <v>断続</v>
      </c>
      <c r="AC908" s="30" t="n">
        <v>60</v>
      </c>
      <c r="AD908" s="30" t="n">
        <v>42</v>
      </c>
      <c r="AE908" s="30" t="str">
        <f aca="false">IF(AC908&lt;判定条件!$C$6,"判定不能",IF(AD908&gt;=判定条件!$C$7*AC908,"運転",IF(AD908&lt;=判定条件!$C$8*AC908,"停止","断続")))</f>
        <v>断続</v>
      </c>
      <c r="AF908" s="30" t="n">
        <v>60</v>
      </c>
      <c r="AG908" s="30" t="n">
        <v>46</v>
      </c>
      <c r="AH908" s="30" t="str">
        <f aca="false">IF(OR(P908="判定不能",G908="判定不能"),"判定不能",IF(AG908&gt;=判定条件!$C$9,"利用可",IF(AND(P908="停止",G908="停止"),"両方停止","運転がそろわない")))</f>
        <v>利用可</v>
      </c>
      <c r="AI908" s="30" t="n">
        <v>0</v>
      </c>
      <c r="AJ908" s="30" t="n">
        <v>0</v>
      </c>
      <c r="AK908" s="30" t="str">
        <f aca="false">IF(OR(S908="判定不能",J908="判定不能"),"判定不能",IF(AJ908&gt;=判定条件!$C$9,"利用可",IF(AND(S908="停止",J908="停止"),"両方停止","運転がそろわない")))</f>
        <v>判定不能</v>
      </c>
      <c r="AL908" s="30" t="n">
        <v>60</v>
      </c>
      <c r="AM908" s="30" t="n">
        <v>31</v>
      </c>
      <c r="AN908" s="30" t="str">
        <f aca="false">IF(OR(V908="判定不能",M908="判定不能"),"判定不能",IF(AM908&gt;=判定条件!$C$9,"利用可",IF(AND(V908="停止",M908="停止"),"両方停止","運転がそろわない")))</f>
        <v>利用可</v>
      </c>
      <c r="AO908" s="30" t="n">
        <v>60</v>
      </c>
      <c r="AP908" s="30" t="n">
        <v>32</v>
      </c>
      <c r="AQ908" s="30" t="str">
        <f aca="false">IF(OR(Y908="判定不能",G908="判定不能"),"判定不能",IF(AP908&gt;=判定条件!$C$9,"利用可",IF(AND(Y908="停止",G908="停止"),"両方停止","運転がそろわない")))</f>
        <v>利用可</v>
      </c>
      <c r="AR908" s="30" t="n">
        <v>0</v>
      </c>
      <c r="AS908" s="30" t="n">
        <v>0</v>
      </c>
      <c r="AT908" s="30" t="str">
        <f aca="false">IF(OR(AB908="判定不能",J908="判定不能"),"判定不能",IF(AS908&gt;=判定条件!$C$9,"利用可",IF(AND(AB908="停止",J908="停止"),"両方停止","運転がそろわない")))</f>
        <v>判定不能</v>
      </c>
      <c r="AU908" s="30" t="n">
        <v>60</v>
      </c>
      <c r="AV908" s="30" t="n">
        <v>42</v>
      </c>
      <c r="AW908" s="30" t="str">
        <f aca="false">IF(OR(AE908="判定不能",M908="判定不能"),"判定不能",IF(AV908&gt;=判定条件!$C$9,"利用可",IF(AND(AE908="停止",M908="停止"),"両方停止","運転がそろわない")))</f>
        <v>利用可</v>
      </c>
      <c r="AX908" s="30" t="str">
        <f aca="false">IF(AND(AH908="利用可",AK908="利用可",AN908="利用可"),"利用可","不可")</f>
        <v>不可</v>
      </c>
      <c r="AY908" s="30" t="str">
        <f aca="false">IF(AND(AQ908="利用可",AT908="利用可",AW908="利用可"),"利用可","不可")</f>
        <v>不可</v>
      </c>
    </row>
    <row r="909" customFormat="false" ht="15" hidden="false" customHeight="false" outlineLevel="0" collapsed="false">
      <c r="A909" s="29" t="n">
        <v>46269</v>
      </c>
      <c r="B909" s="30" t="n">
        <v>18</v>
      </c>
      <c r="C909" s="31" t="s">
        <v>62</v>
      </c>
      <c r="D909" s="31" t="s">
        <v>59</v>
      </c>
      <c r="E909" s="30" t="n">
        <v>60</v>
      </c>
      <c r="F909" s="30" t="n">
        <v>55</v>
      </c>
      <c r="G909" s="30" t="str">
        <f aca="false">IF(E909&lt;判定条件!$C$6,"判定不能",IF(F909&gt;=判定条件!$C$7*E909,"運転",IF(F909&lt;=判定条件!$C$8*E909,"停止","断続")))</f>
        <v>運転</v>
      </c>
      <c r="H909" s="30" t="n">
        <v>0</v>
      </c>
      <c r="I909" s="30" t="n">
        <v>0</v>
      </c>
      <c r="J909" s="30" t="str">
        <f aca="false">IF(H909&lt;判定条件!$C$6,"判定不能",IF(I909&gt;=判定条件!$C$7*H909,"運転",IF(I909&lt;=判定条件!$C$8*H909,"停止","断続")))</f>
        <v>判定不能</v>
      </c>
      <c r="K909" s="30" t="n">
        <v>60</v>
      </c>
      <c r="L909" s="30" t="n">
        <v>60</v>
      </c>
      <c r="M909" s="30" t="str">
        <f aca="false">IF(K909&lt;判定条件!$C$6,"判定不能",IF(L909&gt;=判定条件!$C$7*K909,"運転",IF(L909&lt;=判定条件!$C$8*K909,"停止","断続")))</f>
        <v>運転</v>
      </c>
      <c r="N909" s="30" t="n">
        <v>60</v>
      </c>
      <c r="O909" s="30" t="n">
        <v>0</v>
      </c>
      <c r="P909" s="30" t="str">
        <f aca="false">IF(N909&lt;判定条件!$C$6,"判定不能",IF(O909&gt;=判定条件!$C$7*N909,"運転",IF(O909&lt;=判定条件!$C$8*N909,"停止","断続")))</f>
        <v>停止</v>
      </c>
      <c r="Q909" s="30" t="n">
        <v>60</v>
      </c>
      <c r="R909" s="30" t="n">
        <v>3</v>
      </c>
      <c r="S909" s="30" t="str">
        <f aca="false">IF(Q909&lt;判定条件!$C$6,"判定不能",IF(R909&gt;=判定条件!$C$7*Q909,"運転",IF(R909&lt;=判定条件!$C$8*Q909,"停止","断続")))</f>
        <v>停止</v>
      </c>
      <c r="T909" s="30" t="n">
        <v>60</v>
      </c>
      <c r="U909" s="30" t="n">
        <v>0</v>
      </c>
      <c r="V909" s="30" t="str">
        <f aca="false">IF(T909&lt;判定条件!$C$6,"判定不能",IF(U909&gt;=判定条件!$C$7*T909,"運転",IF(U909&lt;=判定条件!$C$8*T909,"停止","断続")))</f>
        <v>停止</v>
      </c>
      <c r="W909" s="30" t="n">
        <v>60</v>
      </c>
      <c r="X909" s="30" t="n">
        <v>60</v>
      </c>
      <c r="Y909" s="30" t="str">
        <f aca="false">IF(W909&lt;判定条件!$C$6,"判定不能",IF(X909&gt;=判定条件!$C$7*W909,"運転",IF(X909&lt;=判定条件!$C$8*W909,"停止","断続")))</f>
        <v>運転</v>
      </c>
      <c r="Z909" s="30" t="n">
        <v>60</v>
      </c>
      <c r="AA909" s="30" t="n">
        <v>2</v>
      </c>
      <c r="AB909" s="30" t="str">
        <f aca="false">IF(Z909&lt;判定条件!$C$6,"判定不能",IF(AA909&gt;=判定条件!$C$7*Z909,"運転",IF(AA909&lt;=判定条件!$C$8*Z909,"停止","断続")))</f>
        <v>停止</v>
      </c>
      <c r="AC909" s="30" t="n">
        <v>60</v>
      </c>
      <c r="AD909" s="30" t="n">
        <v>50</v>
      </c>
      <c r="AE909" s="30" t="str">
        <f aca="false">IF(AC909&lt;判定条件!$C$6,"判定不能",IF(AD909&gt;=判定条件!$C$7*AC909,"運転",IF(AD909&lt;=判定条件!$C$8*AC909,"停止","断続")))</f>
        <v>運転</v>
      </c>
      <c r="AF909" s="30" t="n">
        <v>60</v>
      </c>
      <c r="AG909" s="30" t="n">
        <v>0</v>
      </c>
      <c r="AH909" s="30" t="str">
        <f aca="false">IF(OR(P909="判定不能",G909="判定不能"),"判定不能",IF(AG909&gt;=判定条件!$C$9,"利用可",IF(AND(P909="停止",G909="停止"),"両方停止","運転がそろわない")))</f>
        <v>運転がそろわない</v>
      </c>
      <c r="AI909" s="30" t="n">
        <v>0</v>
      </c>
      <c r="AJ909" s="30" t="n">
        <v>0</v>
      </c>
      <c r="AK909" s="30" t="str">
        <f aca="false">IF(OR(S909="判定不能",J909="判定不能"),"判定不能",IF(AJ909&gt;=判定条件!$C$9,"利用可",IF(AND(S909="停止",J909="停止"),"両方停止","運転がそろわない")))</f>
        <v>判定不能</v>
      </c>
      <c r="AL909" s="30" t="n">
        <v>60</v>
      </c>
      <c r="AM909" s="30" t="n">
        <v>0</v>
      </c>
      <c r="AN909" s="30" t="str">
        <f aca="false">IF(OR(V909="判定不能",M909="判定不能"),"判定不能",IF(AM909&gt;=判定条件!$C$9,"利用可",IF(AND(V909="停止",M909="停止"),"両方停止","運転がそろわない")))</f>
        <v>運転がそろわない</v>
      </c>
      <c r="AO909" s="30" t="n">
        <v>60</v>
      </c>
      <c r="AP909" s="30" t="n">
        <v>55</v>
      </c>
      <c r="AQ909" s="30" t="str">
        <f aca="false">IF(OR(Y909="判定不能",G909="判定不能"),"判定不能",IF(AP909&gt;=判定条件!$C$9,"利用可",IF(AND(Y909="停止",G909="停止"),"両方停止","運転がそろわない")))</f>
        <v>利用可</v>
      </c>
      <c r="AR909" s="30" t="n">
        <v>0</v>
      </c>
      <c r="AS909" s="30" t="n">
        <v>0</v>
      </c>
      <c r="AT909" s="30" t="str">
        <f aca="false">IF(OR(AB909="判定不能",J909="判定不能"),"判定不能",IF(AS909&gt;=判定条件!$C$9,"利用可",IF(AND(AB909="停止",J909="停止"),"両方停止","運転がそろわない")))</f>
        <v>判定不能</v>
      </c>
      <c r="AU909" s="30" t="n">
        <v>60</v>
      </c>
      <c r="AV909" s="30" t="n">
        <v>50</v>
      </c>
      <c r="AW909" s="30" t="str">
        <f aca="false">IF(OR(AE909="判定不能",M909="判定不能"),"判定不能",IF(AV909&gt;=判定条件!$C$9,"利用可",IF(AND(AE909="停止",M909="停止"),"両方停止","運転がそろわない")))</f>
        <v>利用可</v>
      </c>
      <c r="AX909" s="30" t="str">
        <f aca="false">IF(AND(AH909="利用可",AK909="利用可",AN909="利用可"),"利用可","不可")</f>
        <v>不可</v>
      </c>
      <c r="AY909" s="30" t="str">
        <f aca="false">IF(AND(AQ909="利用可",AT909="利用可",AW909="利用可"),"利用可","不可")</f>
        <v>不可</v>
      </c>
    </row>
    <row r="910" customFormat="false" ht="15" hidden="false" customHeight="false" outlineLevel="0" collapsed="false">
      <c r="A910" s="29" t="n">
        <v>46269</v>
      </c>
      <c r="B910" s="30" t="n">
        <v>19</v>
      </c>
      <c r="C910" s="31" t="s">
        <v>62</v>
      </c>
      <c r="D910" s="31" t="s">
        <v>59</v>
      </c>
      <c r="E910" s="30" t="n">
        <v>60</v>
      </c>
      <c r="F910" s="30" t="n">
        <v>54</v>
      </c>
      <c r="G910" s="30" t="str">
        <f aca="false">IF(E910&lt;判定条件!$C$6,"判定不能",IF(F910&gt;=判定条件!$C$7*E910,"運転",IF(F910&lt;=判定条件!$C$8*E910,"停止","断続")))</f>
        <v>運転</v>
      </c>
      <c r="H910" s="30" t="n">
        <v>0</v>
      </c>
      <c r="I910" s="30" t="n">
        <v>0</v>
      </c>
      <c r="J910" s="30" t="str">
        <f aca="false">IF(H910&lt;判定条件!$C$6,"判定不能",IF(I910&gt;=判定条件!$C$7*H910,"運転",IF(I910&lt;=判定条件!$C$8*H910,"停止","断続")))</f>
        <v>判定不能</v>
      </c>
      <c r="K910" s="30" t="n">
        <v>60</v>
      </c>
      <c r="L910" s="30" t="n">
        <v>60</v>
      </c>
      <c r="M910" s="30" t="str">
        <f aca="false">IF(K910&lt;判定条件!$C$6,"判定不能",IF(L910&gt;=判定条件!$C$7*K910,"運転",IF(L910&lt;=判定条件!$C$8*K910,"停止","断続")))</f>
        <v>運転</v>
      </c>
      <c r="N910" s="30" t="n">
        <v>60</v>
      </c>
      <c r="O910" s="30" t="n">
        <v>0</v>
      </c>
      <c r="P910" s="30" t="str">
        <f aca="false">IF(N910&lt;判定条件!$C$6,"判定不能",IF(O910&gt;=判定条件!$C$7*N910,"運転",IF(O910&lt;=判定条件!$C$8*N910,"停止","断続")))</f>
        <v>停止</v>
      </c>
      <c r="Q910" s="30" t="n">
        <v>60</v>
      </c>
      <c r="R910" s="30" t="n">
        <v>0</v>
      </c>
      <c r="S910" s="30" t="str">
        <f aca="false">IF(Q910&lt;判定条件!$C$6,"判定不能",IF(R910&gt;=判定条件!$C$7*Q910,"運転",IF(R910&lt;=判定条件!$C$8*Q910,"停止","断続")))</f>
        <v>停止</v>
      </c>
      <c r="T910" s="30" t="n">
        <v>60</v>
      </c>
      <c r="U910" s="30" t="n">
        <v>0</v>
      </c>
      <c r="V910" s="30" t="str">
        <f aca="false">IF(T910&lt;判定条件!$C$6,"判定不能",IF(U910&gt;=判定条件!$C$7*T910,"運転",IF(U910&lt;=判定条件!$C$8*T910,"停止","断続")))</f>
        <v>停止</v>
      </c>
      <c r="W910" s="30" t="n">
        <v>60</v>
      </c>
      <c r="X910" s="30" t="n">
        <v>16</v>
      </c>
      <c r="Y910" s="30" t="str">
        <f aca="false">IF(W910&lt;判定条件!$C$6,"判定不能",IF(X910&gt;=判定条件!$C$7*W910,"運転",IF(X910&lt;=判定条件!$C$8*W910,"停止","断続")))</f>
        <v>断続</v>
      </c>
      <c r="Z910" s="30" t="n">
        <v>60</v>
      </c>
      <c r="AA910" s="30" t="n">
        <v>0</v>
      </c>
      <c r="AB910" s="30" t="str">
        <f aca="false">IF(Z910&lt;判定条件!$C$6,"判定不能",IF(AA910&gt;=判定条件!$C$7*Z910,"運転",IF(AA910&lt;=判定条件!$C$8*Z910,"停止","断続")))</f>
        <v>停止</v>
      </c>
      <c r="AC910" s="30" t="n">
        <v>60</v>
      </c>
      <c r="AD910" s="30" t="n">
        <v>3</v>
      </c>
      <c r="AE910" s="30" t="str">
        <f aca="false">IF(AC910&lt;判定条件!$C$6,"判定不能",IF(AD910&gt;=判定条件!$C$7*AC910,"運転",IF(AD910&lt;=判定条件!$C$8*AC910,"停止","断続")))</f>
        <v>停止</v>
      </c>
      <c r="AF910" s="30" t="n">
        <v>60</v>
      </c>
      <c r="AG910" s="30" t="n">
        <v>0</v>
      </c>
      <c r="AH910" s="30" t="str">
        <f aca="false">IF(OR(P910="判定不能",G910="判定不能"),"判定不能",IF(AG910&gt;=判定条件!$C$9,"利用可",IF(AND(P910="停止",G910="停止"),"両方停止","運転がそろわない")))</f>
        <v>運転がそろわない</v>
      </c>
      <c r="AI910" s="30" t="n">
        <v>0</v>
      </c>
      <c r="AJ910" s="30" t="n">
        <v>0</v>
      </c>
      <c r="AK910" s="30" t="str">
        <f aca="false">IF(OR(S910="判定不能",J910="判定不能"),"判定不能",IF(AJ910&gt;=判定条件!$C$9,"利用可",IF(AND(S910="停止",J910="停止"),"両方停止","運転がそろわない")))</f>
        <v>判定不能</v>
      </c>
      <c r="AL910" s="30" t="n">
        <v>60</v>
      </c>
      <c r="AM910" s="30" t="n">
        <v>0</v>
      </c>
      <c r="AN910" s="30" t="str">
        <f aca="false">IF(OR(V910="判定不能",M910="判定不能"),"判定不能",IF(AM910&gt;=判定条件!$C$9,"利用可",IF(AND(V910="停止",M910="停止"),"両方停止","運転がそろわない")))</f>
        <v>運転がそろわない</v>
      </c>
      <c r="AO910" s="30" t="n">
        <v>60</v>
      </c>
      <c r="AP910" s="30" t="n">
        <v>10</v>
      </c>
      <c r="AQ910" s="30" t="str">
        <f aca="false">IF(OR(Y910="判定不能",G910="判定不能"),"判定不能",IF(AP910&gt;=判定条件!$C$9,"利用可",IF(AND(Y910="停止",G910="停止"),"両方停止","運転がそろわない")))</f>
        <v>運転がそろわない</v>
      </c>
      <c r="AR910" s="30" t="n">
        <v>0</v>
      </c>
      <c r="AS910" s="30" t="n">
        <v>0</v>
      </c>
      <c r="AT910" s="30" t="str">
        <f aca="false">IF(OR(AB910="判定不能",J910="判定不能"),"判定不能",IF(AS910&gt;=判定条件!$C$9,"利用可",IF(AND(AB910="停止",J910="停止"),"両方停止","運転がそろわない")))</f>
        <v>判定不能</v>
      </c>
      <c r="AU910" s="30" t="n">
        <v>60</v>
      </c>
      <c r="AV910" s="30" t="n">
        <v>3</v>
      </c>
      <c r="AW910" s="30" t="str">
        <f aca="false">IF(OR(AE910="判定不能",M910="判定不能"),"判定不能",IF(AV910&gt;=判定条件!$C$9,"利用可",IF(AND(AE910="停止",M910="停止"),"両方停止","運転がそろわない")))</f>
        <v>運転がそろわない</v>
      </c>
      <c r="AX910" s="30" t="str">
        <f aca="false">IF(AND(AH910="利用可",AK910="利用可",AN910="利用可"),"利用可","不可")</f>
        <v>不可</v>
      </c>
      <c r="AY910" s="30" t="str">
        <f aca="false">IF(AND(AQ910="利用可",AT910="利用可",AW910="利用可"),"利用可","不可")</f>
        <v>不可</v>
      </c>
    </row>
    <row r="911" customFormat="false" ht="15" hidden="false" customHeight="false" outlineLevel="0" collapsed="false">
      <c r="A911" s="29" t="n">
        <v>46269</v>
      </c>
      <c r="B911" s="30" t="n">
        <v>20</v>
      </c>
      <c r="C911" s="31" t="s">
        <v>62</v>
      </c>
      <c r="D911" s="31" t="s">
        <v>59</v>
      </c>
      <c r="E911" s="30" t="n">
        <v>60</v>
      </c>
      <c r="F911" s="30" t="n">
        <v>29</v>
      </c>
      <c r="G911" s="30" t="str">
        <f aca="false">IF(E911&lt;判定条件!$C$6,"判定不能",IF(F911&gt;=判定条件!$C$7*E911,"運転",IF(F911&lt;=判定条件!$C$8*E911,"停止","断続")))</f>
        <v>断続</v>
      </c>
      <c r="H911" s="30" t="n">
        <v>0</v>
      </c>
      <c r="I911" s="30" t="n">
        <v>0</v>
      </c>
      <c r="J911" s="30" t="str">
        <f aca="false">IF(H911&lt;判定条件!$C$6,"判定不能",IF(I911&gt;=判定条件!$C$7*H911,"運転",IF(I911&lt;=判定条件!$C$8*H911,"停止","断続")))</f>
        <v>判定不能</v>
      </c>
      <c r="K911" s="30" t="n">
        <v>60</v>
      </c>
      <c r="L911" s="30" t="n">
        <v>60</v>
      </c>
      <c r="M911" s="30" t="str">
        <f aca="false">IF(K911&lt;判定条件!$C$6,"判定不能",IF(L911&gt;=判定条件!$C$7*K911,"運転",IF(L911&lt;=判定条件!$C$8*K911,"停止","断続")))</f>
        <v>運転</v>
      </c>
      <c r="N911" s="30" t="n">
        <v>60</v>
      </c>
      <c r="O911" s="30" t="n">
        <v>0</v>
      </c>
      <c r="P911" s="30" t="str">
        <f aca="false">IF(N911&lt;判定条件!$C$6,"判定不能",IF(O911&gt;=判定条件!$C$7*N911,"運転",IF(O911&lt;=判定条件!$C$8*N911,"停止","断続")))</f>
        <v>停止</v>
      </c>
      <c r="Q911" s="30" t="n">
        <v>60</v>
      </c>
      <c r="R911" s="30" t="n">
        <v>25</v>
      </c>
      <c r="S911" s="30" t="str">
        <f aca="false">IF(Q911&lt;判定条件!$C$6,"判定不能",IF(R911&gt;=判定条件!$C$7*Q911,"運転",IF(R911&lt;=判定条件!$C$8*Q911,"停止","断続")))</f>
        <v>断続</v>
      </c>
      <c r="T911" s="30" t="n">
        <v>60</v>
      </c>
      <c r="U911" s="30" t="n">
        <v>47</v>
      </c>
      <c r="V911" s="30" t="str">
        <f aca="false">IF(T911&lt;判定条件!$C$6,"判定不能",IF(U911&gt;=判定条件!$C$7*T911,"運転",IF(U911&lt;=判定条件!$C$8*T911,"停止","断続")))</f>
        <v>断続</v>
      </c>
      <c r="W911" s="30" t="n">
        <v>60</v>
      </c>
      <c r="X911" s="30" t="n">
        <v>46</v>
      </c>
      <c r="Y911" s="30" t="str">
        <f aca="false">IF(W911&lt;判定条件!$C$6,"判定不能",IF(X911&gt;=判定条件!$C$7*W911,"運転",IF(X911&lt;=判定条件!$C$8*W911,"停止","断続")))</f>
        <v>断続</v>
      </c>
      <c r="Z911" s="30" t="n">
        <v>60</v>
      </c>
      <c r="AA911" s="30" t="n">
        <v>9</v>
      </c>
      <c r="AB911" s="30" t="str">
        <f aca="false">IF(Z911&lt;判定条件!$C$6,"判定不能",IF(AA911&gt;=判定条件!$C$7*Z911,"運転",IF(AA911&lt;=判定条件!$C$8*Z911,"停止","断続")))</f>
        <v>停止</v>
      </c>
      <c r="AC911" s="30" t="n">
        <v>60</v>
      </c>
      <c r="AD911" s="30" t="n">
        <v>0</v>
      </c>
      <c r="AE911" s="30" t="str">
        <f aca="false">IF(AC911&lt;判定条件!$C$6,"判定不能",IF(AD911&gt;=判定条件!$C$7*AC911,"運転",IF(AD911&lt;=判定条件!$C$8*AC911,"停止","断続")))</f>
        <v>停止</v>
      </c>
      <c r="AF911" s="30" t="n">
        <v>60</v>
      </c>
      <c r="AG911" s="30" t="n">
        <v>0</v>
      </c>
      <c r="AH911" s="30" t="str">
        <f aca="false">IF(OR(P911="判定不能",G911="判定不能"),"判定不能",IF(AG911&gt;=判定条件!$C$9,"利用可",IF(AND(P911="停止",G911="停止"),"両方停止","運転がそろわない")))</f>
        <v>運転がそろわない</v>
      </c>
      <c r="AI911" s="30" t="n">
        <v>0</v>
      </c>
      <c r="AJ911" s="30" t="n">
        <v>0</v>
      </c>
      <c r="AK911" s="30" t="str">
        <f aca="false">IF(OR(S911="判定不能",J911="判定不能"),"判定不能",IF(AJ911&gt;=判定条件!$C$9,"利用可",IF(AND(S911="停止",J911="停止"),"両方停止","運転がそろわない")))</f>
        <v>判定不能</v>
      </c>
      <c r="AL911" s="30" t="n">
        <v>60</v>
      </c>
      <c r="AM911" s="30" t="n">
        <v>47</v>
      </c>
      <c r="AN911" s="30" t="str">
        <f aca="false">IF(OR(V911="判定不能",M911="判定不能"),"判定不能",IF(AM911&gt;=判定条件!$C$9,"利用可",IF(AND(V911="停止",M911="停止"),"両方停止","運転がそろわない")))</f>
        <v>利用可</v>
      </c>
      <c r="AO911" s="30" t="n">
        <v>60</v>
      </c>
      <c r="AP911" s="30" t="n">
        <v>28</v>
      </c>
      <c r="AQ911" s="30" t="str">
        <f aca="false">IF(OR(Y911="判定不能",G911="判定不能"),"判定不能",IF(AP911&gt;=判定条件!$C$9,"利用可",IF(AND(Y911="停止",G911="停止"),"両方停止","運転がそろわない")))</f>
        <v>運転がそろわない</v>
      </c>
      <c r="AR911" s="30" t="n">
        <v>0</v>
      </c>
      <c r="AS911" s="30" t="n">
        <v>0</v>
      </c>
      <c r="AT911" s="30" t="str">
        <f aca="false">IF(OR(AB911="判定不能",J911="判定不能"),"判定不能",IF(AS911&gt;=判定条件!$C$9,"利用可",IF(AND(AB911="停止",J911="停止"),"両方停止","運転がそろわない")))</f>
        <v>判定不能</v>
      </c>
      <c r="AU911" s="30" t="n">
        <v>60</v>
      </c>
      <c r="AV911" s="30" t="n">
        <v>0</v>
      </c>
      <c r="AW911" s="30" t="str">
        <f aca="false">IF(OR(AE911="判定不能",M911="判定不能"),"判定不能",IF(AV911&gt;=判定条件!$C$9,"利用可",IF(AND(AE911="停止",M911="停止"),"両方停止","運転がそろわない")))</f>
        <v>運転がそろわない</v>
      </c>
      <c r="AX911" s="30" t="str">
        <f aca="false">IF(AND(AH911="利用可",AK911="利用可",AN911="利用可"),"利用可","不可")</f>
        <v>不可</v>
      </c>
      <c r="AY911" s="30" t="str">
        <f aca="false">IF(AND(AQ911="利用可",AT911="利用可",AW911="利用可"),"利用可","不可")</f>
        <v>不可</v>
      </c>
    </row>
    <row r="912" customFormat="false" ht="15" hidden="false" customHeight="false" outlineLevel="0" collapsed="false">
      <c r="A912" s="29" t="n">
        <v>46269</v>
      </c>
      <c r="B912" s="30" t="n">
        <v>21</v>
      </c>
      <c r="C912" s="31" t="s">
        <v>62</v>
      </c>
      <c r="D912" s="31" t="s">
        <v>59</v>
      </c>
      <c r="E912" s="30" t="n">
        <v>60</v>
      </c>
      <c r="F912" s="30" t="n">
        <v>0</v>
      </c>
      <c r="G912" s="30" t="str">
        <f aca="false">IF(E912&lt;判定条件!$C$6,"判定不能",IF(F912&gt;=判定条件!$C$7*E912,"運転",IF(F912&lt;=判定条件!$C$8*E912,"停止","断続")))</f>
        <v>停止</v>
      </c>
      <c r="H912" s="30" t="n">
        <v>0</v>
      </c>
      <c r="I912" s="30" t="n">
        <v>0</v>
      </c>
      <c r="J912" s="30" t="str">
        <f aca="false">IF(H912&lt;判定条件!$C$6,"判定不能",IF(I912&gt;=判定条件!$C$7*H912,"運転",IF(I912&lt;=判定条件!$C$8*H912,"停止","断続")))</f>
        <v>判定不能</v>
      </c>
      <c r="K912" s="30" t="n">
        <v>60</v>
      </c>
      <c r="L912" s="30" t="n">
        <v>60</v>
      </c>
      <c r="M912" s="30" t="str">
        <f aca="false">IF(K912&lt;判定条件!$C$6,"判定不能",IF(L912&gt;=判定条件!$C$7*K912,"運転",IF(L912&lt;=判定条件!$C$8*K912,"停止","断続")))</f>
        <v>運転</v>
      </c>
      <c r="N912" s="30" t="n">
        <v>60</v>
      </c>
      <c r="O912" s="30" t="n">
        <v>0</v>
      </c>
      <c r="P912" s="30" t="str">
        <f aca="false">IF(N912&lt;判定条件!$C$6,"判定不能",IF(O912&gt;=判定条件!$C$7*N912,"運転",IF(O912&lt;=判定条件!$C$8*N912,"停止","断続")))</f>
        <v>停止</v>
      </c>
      <c r="Q912" s="30" t="n">
        <v>60</v>
      </c>
      <c r="R912" s="30" t="n">
        <v>5</v>
      </c>
      <c r="S912" s="30" t="str">
        <f aca="false">IF(Q912&lt;判定条件!$C$6,"判定不能",IF(R912&gt;=判定条件!$C$7*Q912,"運転",IF(R912&lt;=判定条件!$C$8*Q912,"停止","断続")))</f>
        <v>停止</v>
      </c>
      <c r="T912" s="30" t="n">
        <v>60</v>
      </c>
      <c r="U912" s="30" t="n">
        <v>48</v>
      </c>
      <c r="V912" s="30" t="str">
        <f aca="false">IF(T912&lt;判定条件!$C$6,"判定不能",IF(U912&gt;=判定条件!$C$7*T912,"運転",IF(U912&lt;=判定条件!$C$8*T912,"停止","断続")))</f>
        <v>運転</v>
      </c>
      <c r="W912" s="30" t="n">
        <v>60</v>
      </c>
      <c r="X912" s="30" t="n">
        <v>39</v>
      </c>
      <c r="Y912" s="30" t="str">
        <f aca="false">IF(W912&lt;判定条件!$C$6,"判定不能",IF(X912&gt;=判定条件!$C$7*W912,"運転",IF(X912&lt;=判定条件!$C$8*W912,"停止","断続")))</f>
        <v>断続</v>
      </c>
      <c r="Z912" s="30" t="n">
        <v>60</v>
      </c>
      <c r="AA912" s="30" t="n">
        <v>11</v>
      </c>
      <c r="AB912" s="30" t="str">
        <f aca="false">IF(Z912&lt;判定条件!$C$6,"判定不能",IF(AA912&gt;=判定条件!$C$7*Z912,"運転",IF(AA912&lt;=判定条件!$C$8*Z912,"停止","断続")))</f>
        <v>停止</v>
      </c>
      <c r="AC912" s="30" t="n">
        <v>60</v>
      </c>
      <c r="AD912" s="30" t="n">
        <v>0</v>
      </c>
      <c r="AE912" s="30" t="str">
        <f aca="false">IF(AC912&lt;判定条件!$C$6,"判定不能",IF(AD912&gt;=判定条件!$C$7*AC912,"運転",IF(AD912&lt;=判定条件!$C$8*AC912,"停止","断続")))</f>
        <v>停止</v>
      </c>
      <c r="AF912" s="30" t="n">
        <v>60</v>
      </c>
      <c r="AG912" s="30" t="n">
        <v>0</v>
      </c>
      <c r="AH912" s="30" t="str">
        <f aca="false">IF(OR(P912="判定不能",G912="判定不能"),"判定不能",IF(AG912&gt;=判定条件!$C$9,"利用可",IF(AND(P912="停止",G912="停止"),"両方停止","運転がそろわない")))</f>
        <v>両方停止</v>
      </c>
      <c r="AI912" s="30" t="n">
        <v>0</v>
      </c>
      <c r="AJ912" s="30" t="n">
        <v>0</v>
      </c>
      <c r="AK912" s="30" t="str">
        <f aca="false">IF(OR(S912="判定不能",J912="判定不能"),"判定不能",IF(AJ912&gt;=判定条件!$C$9,"利用可",IF(AND(S912="停止",J912="停止"),"両方停止","運転がそろわない")))</f>
        <v>判定不能</v>
      </c>
      <c r="AL912" s="30" t="n">
        <v>60</v>
      </c>
      <c r="AM912" s="30" t="n">
        <v>48</v>
      </c>
      <c r="AN912" s="30" t="str">
        <f aca="false">IF(OR(V912="判定不能",M912="判定不能"),"判定不能",IF(AM912&gt;=判定条件!$C$9,"利用可",IF(AND(V912="停止",M912="停止"),"両方停止","運転がそろわない")))</f>
        <v>利用可</v>
      </c>
      <c r="AO912" s="30" t="n">
        <v>60</v>
      </c>
      <c r="AP912" s="30" t="n">
        <v>0</v>
      </c>
      <c r="AQ912" s="30" t="str">
        <f aca="false">IF(OR(Y912="判定不能",G912="判定不能"),"判定不能",IF(AP912&gt;=判定条件!$C$9,"利用可",IF(AND(Y912="停止",G912="停止"),"両方停止","運転がそろわない")))</f>
        <v>運転がそろわない</v>
      </c>
      <c r="AR912" s="30" t="n">
        <v>0</v>
      </c>
      <c r="AS912" s="30" t="n">
        <v>0</v>
      </c>
      <c r="AT912" s="30" t="str">
        <f aca="false">IF(OR(AB912="判定不能",J912="判定不能"),"判定不能",IF(AS912&gt;=判定条件!$C$9,"利用可",IF(AND(AB912="停止",J912="停止"),"両方停止","運転がそろわない")))</f>
        <v>判定不能</v>
      </c>
      <c r="AU912" s="30" t="n">
        <v>60</v>
      </c>
      <c r="AV912" s="30" t="n">
        <v>0</v>
      </c>
      <c r="AW912" s="30" t="str">
        <f aca="false">IF(OR(AE912="判定不能",M912="判定不能"),"判定不能",IF(AV912&gt;=判定条件!$C$9,"利用可",IF(AND(AE912="停止",M912="停止"),"両方停止","運転がそろわない")))</f>
        <v>運転がそろわない</v>
      </c>
      <c r="AX912" s="30" t="str">
        <f aca="false">IF(AND(AH912="利用可",AK912="利用可",AN912="利用可"),"利用可","不可")</f>
        <v>不可</v>
      </c>
      <c r="AY912" s="30" t="str">
        <f aca="false">IF(AND(AQ912="利用可",AT912="利用可",AW912="利用可"),"利用可","不可")</f>
        <v>不可</v>
      </c>
    </row>
    <row r="913" customFormat="false" ht="15" hidden="false" customHeight="false" outlineLevel="0" collapsed="false">
      <c r="A913" s="29" t="n">
        <v>46269</v>
      </c>
      <c r="B913" s="30" t="n">
        <v>22</v>
      </c>
      <c r="C913" s="31" t="s">
        <v>62</v>
      </c>
      <c r="D913" s="31" t="s">
        <v>59</v>
      </c>
      <c r="E913" s="30" t="n">
        <v>60</v>
      </c>
      <c r="F913" s="30" t="n">
        <v>0</v>
      </c>
      <c r="G913" s="30" t="str">
        <f aca="false">IF(E913&lt;判定条件!$C$6,"判定不能",IF(F913&gt;=判定条件!$C$7*E913,"運転",IF(F913&lt;=判定条件!$C$8*E913,"停止","断続")))</f>
        <v>停止</v>
      </c>
      <c r="H913" s="30" t="n">
        <v>0</v>
      </c>
      <c r="I913" s="30" t="n">
        <v>0</v>
      </c>
      <c r="J913" s="30" t="str">
        <f aca="false">IF(H913&lt;判定条件!$C$6,"判定不能",IF(I913&gt;=判定条件!$C$7*H913,"運転",IF(I913&lt;=判定条件!$C$8*H913,"停止","断続")))</f>
        <v>判定不能</v>
      </c>
      <c r="K913" s="30" t="n">
        <v>60</v>
      </c>
      <c r="L913" s="30" t="n">
        <v>60</v>
      </c>
      <c r="M913" s="30" t="str">
        <f aca="false">IF(K913&lt;判定条件!$C$6,"判定不能",IF(L913&gt;=判定条件!$C$7*K913,"運転",IF(L913&lt;=判定条件!$C$8*K913,"停止","断続")))</f>
        <v>運転</v>
      </c>
      <c r="N913" s="30" t="n">
        <v>60</v>
      </c>
      <c r="O913" s="30" t="n">
        <v>5</v>
      </c>
      <c r="P913" s="30" t="str">
        <f aca="false">IF(N913&lt;判定条件!$C$6,"判定不能",IF(O913&gt;=判定条件!$C$7*N913,"運転",IF(O913&lt;=判定条件!$C$8*N913,"停止","断続")))</f>
        <v>停止</v>
      </c>
      <c r="Q913" s="30" t="n">
        <v>60</v>
      </c>
      <c r="R913" s="30" t="n">
        <v>0</v>
      </c>
      <c r="S913" s="30" t="str">
        <f aca="false">IF(Q913&lt;判定条件!$C$6,"判定不能",IF(R913&gt;=判定条件!$C$7*Q913,"運転",IF(R913&lt;=判定条件!$C$8*Q913,"停止","断続")))</f>
        <v>停止</v>
      </c>
      <c r="T913" s="30" t="n">
        <v>60</v>
      </c>
      <c r="U913" s="30" t="n">
        <v>11</v>
      </c>
      <c r="V913" s="30" t="str">
        <f aca="false">IF(T913&lt;判定条件!$C$6,"判定不能",IF(U913&gt;=判定条件!$C$7*T913,"運転",IF(U913&lt;=判定条件!$C$8*T913,"停止","断続")))</f>
        <v>停止</v>
      </c>
      <c r="W913" s="30" t="n">
        <v>60</v>
      </c>
      <c r="X913" s="30" t="n">
        <v>53</v>
      </c>
      <c r="Y913" s="30" t="str">
        <f aca="false">IF(W913&lt;判定条件!$C$6,"判定不能",IF(X913&gt;=判定条件!$C$7*W913,"運転",IF(X913&lt;=判定条件!$C$8*W913,"停止","断続")))</f>
        <v>運転</v>
      </c>
      <c r="Z913" s="30" t="n">
        <v>60</v>
      </c>
      <c r="AA913" s="30" t="n">
        <v>18</v>
      </c>
      <c r="AB913" s="30" t="str">
        <f aca="false">IF(Z913&lt;判定条件!$C$6,"判定不能",IF(AA913&gt;=判定条件!$C$7*Z913,"運転",IF(AA913&lt;=判定条件!$C$8*Z913,"停止","断続")))</f>
        <v>断続</v>
      </c>
      <c r="AC913" s="30" t="n">
        <v>60</v>
      </c>
      <c r="AD913" s="30" t="n">
        <v>0</v>
      </c>
      <c r="AE913" s="30" t="str">
        <f aca="false">IF(AC913&lt;判定条件!$C$6,"判定不能",IF(AD913&gt;=判定条件!$C$7*AC913,"運転",IF(AD913&lt;=判定条件!$C$8*AC913,"停止","断続")))</f>
        <v>停止</v>
      </c>
      <c r="AF913" s="30" t="n">
        <v>60</v>
      </c>
      <c r="AG913" s="30" t="n">
        <v>0</v>
      </c>
      <c r="AH913" s="30" t="str">
        <f aca="false">IF(OR(P913="判定不能",G913="判定不能"),"判定不能",IF(AG913&gt;=判定条件!$C$9,"利用可",IF(AND(P913="停止",G913="停止"),"両方停止","運転がそろわない")))</f>
        <v>両方停止</v>
      </c>
      <c r="AI913" s="30" t="n">
        <v>0</v>
      </c>
      <c r="AJ913" s="30" t="n">
        <v>0</v>
      </c>
      <c r="AK913" s="30" t="str">
        <f aca="false">IF(OR(S913="判定不能",J913="判定不能"),"判定不能",IF(AJ913&gt;=判定条件!$C$9,"利用可",IF(AND(S913="停止",J913="停止"),"両方停止","運転がそろわない")))</f>
        <v>判定不能</v>
      </c>
      <c r="AL913" s="30" t="n">
        <v>60</v>
      </c>
      <c r="AM913" s="30" t="n">
        <v>11</v>
      </c>
      <c r="AN913" s="30" t="str">
        <f aca="false">IF(OR(V913="判定不能",M913="判定不能"),"判定不能",IF(AM913&gt;=判定条件!$C$9,"利用可",IF(AND(V913="停止",M913="停止"),"両方停止","運転がそろわない")))</f>
        <v>運転がそろわない</v>
      </c>
      <c r="AO913" s="30" t="n">
        <v>60</v>
      </c>
      <c r="AP913" s="30" t="n">
        <v>0</v>
      </c>
      <c r="AQ913" s="30" t="str">
        <f aca="false">IF(OR(Y913="判定不能",G913="判定不能"),"判定不能",IF(AP913&gt;=判定条件!$C$9,"利用可",IF(AND(Y913="停止",G913="停止"),"両方停止","運転がそろわない")))</f>
        <v>運転がそろわない</v>
      </c>
      <c r="AR913" s="30" t="n">
        <v>0</v>
      </c>
      <c r="AS913" s="30" t="n">
        <v>0</v>
      </c>
      <c r="AT913" s="30" t="str">
        <f aca="false">IF(OR(AB913="判定不能",J913="判定不能"),"判定不能",IF(AS913&gt;=判定条件!$C$9,"利用可",IF(AND(AB913="停止",J913="停止"),"両方停止","運転がそろわない")))</f>
        <v>判定不能</v>
      </c>
      <c r="AU913" s="30" t="n">
        <v>60</v>
      </c>
      <c r="AV913" s="30" t="n">
        <v>0</v>
      </c>
      <c r="AW913" s="30" t="str">
        <f aca="false">IF(OR(AE913="判定不能",M913="判定不能"),"判定不能",IF(AV913&gt;=判定条件!$C$9,"利用可",IF(AND(AE913="停止",M913="停止"),"両方停止","運転がそろわない")))</f>
        <v>運転がそろわない</v>
      </c>
      <c r="AX913" s="30" t="str">
        <f aca="false">IF(AND(AH913="利用可",AK913="利用可",AN913="利用可"),"利用可","不可")</f>
        <v>不可</v>
      </c>
      <c r="AY913" s="30" t="str">
        <f aca="false">IF(AND(AQ913="利用可",AT913="利用可",AW913="利用可"),"利用可","不可")</f>
        <v>不可</v>
      </c>
    </row>
    <row r="914" customFormat="false" ht="15" hidden="false" customHeight="false" outlineLevel="0" collapsed="false">
      <c r="A914" s="29" t="n">
        <v>46269</v>
      </c>
      <c r="B914" s="30" t="n">
        <v>23</v>
      </c>
      <c r="C914" s="31" t="s">
        <v>62</v>
      </c>
      <c r="D914" s="31" t="s">
        <v>59</v>
      </c>
      <c r="E914" s="30" t="n">
        <v>60</v>
      </c>
      <c r="F914" s="30" t="n">
        <v>0</v>
      </c>
      <c r="G914" s="30" t="str">
        <f aca="false">IF(E914&lt;判定条件!$C$6,"判定不能",IF(F914&gt;=判定条件!$C$7*E914,"運転",IF(F914&lt;=判定条件!$C$8*E914,"停止","断続")))</f>
        <v>停止</v>
      </c>
      <c r="H914" s="30" t="n">
        <v>0</v>
      </c>
      <c r="I914" s="30" t="n">
        <v>0</v>
      </c>
      <c r="J914" s="30" t="str">
        <f aca="false">IF(H914&lt;判定条件!$C$6,"判定不能",IF(I914&gt;=判定条件!$C$7*H914,"運転",IF(I914&lt;=判定条件!$C$8*H914,"停止","断続")))</f>
        <v>判定不能</v>
      </c>
      <c r="K914" s="30" t="n">
        <v>60</v>
      </c>
      <c r="L914" s="30" t="n">
        <v>60</v>
      </c>
      <c r="M914" s="30" t="str">
        <f aca="false">IF(K914&lt;判定条件!$C$6,"判定不能",IF(L914&gt;=判定条件!$C$7*K914,"運転",IF(L914&lt;=判定条件!$C$8*K914,"停止","断続")))</f>
        <v>運転</v>
      </c>
      <c r="N914" s="30" t="n">
        <v>60</v>
      </c>
      <c r="O914" s="30" t="n">
        <v>0</v>
      </c>
      <c r="P914" s="30" t="str">
        <f aca="false">IF(N914&lt;判定条件!$C$6,"判定不能",IF(O914&gt;=判定条件!$C$7*N914,"運転",IF(O914&lt;=判定条件!$C$8*N914,"停止","断続")))</f>
        <v>停止</v>
      </c>
      <c r="Q914" s="30" t="n">
        <v>60</v>
      </c>
      <c r="R914" s="30" t="n">
        <v>0</v>
      </c>
      <c r="S914" s="30" t="str">
        <f aca="false">IF(Q914&lt;判定条件!$C$6,"判定不能",IF(R914&gt;=判定条件!$C$7*Q914,"運転",IF(R914&lt;=判定条件!$C$8*Q914,"停止","断続")))</f>
        <v>停止</v>
      </c>
      <c r="T914" s="30" t="n">
        <v>60</v>
      </c>
      <c r="U914" s="30" t="n">
        <v>0</v>
      </c>
      <c r="V914" s="30" t="str">
        <f aca="false">IF(T914&lt;判定条件!$C$6,"判定不能",IF(U914&gt;=判定条件!$C$7*T914,"運転",IF(U914&lt;=判定条件!$C$8*T914,"停止","断続")))</f>
        <v>停止</v>
      </c>
      <c r="W914" s="30" t="n">
        <v>60</v>
      </c>
      <c r="X914" s="30" t="n">
        <v>40</v>
      </c>
      <c r="Y914" s="30" t="str">
        <f aca="false">IF(W914&lt;判定条件!$C$6,"判定不能",IF(X914&gt;=判定条件!$C$7*W914,"運転",IF(X914&lt;=判定条件!$C$8*W914,"停止","断続")))</f>
        <v>断続</v>
      </c>
      <c r="Z914" s="30" t="n">
        <v>60</v>
      </c>
      <c r="AA914" s="30" t="n">
        <v>2</v>
      </c>
      <c r="AB914" s="30" t="str">
        <f aca="false">IF(Z914&lt;判定条件!$C$6,"判定不能",IF(AA914&gt;=判定条件!$C$7*Z914,"運転",IF(AA914&lt;=判定条件!$C$8*Z914,"停止","断続")))</f>
        <v>停止</v>
      </c>
      <c r="AC914" s="30" t="n">
        <v>60</v>
      </c>
      <c r="AD914" s="30" t="n">
        <v>0</v>
      </c>
      <c r="AE914" s="30" t="str">
        <f aca="false">IF(AC914&lt;判定条件!$C$6,"判定不能",IF(AD914&gt;=判定条件!$C$7*AC914,"運転",IF(AD914&lt;=判定条件!$C$8*AC914,"停止","断続")))</f>
        <v>停止</v>
      </c>
      <c r="AF914" s="30" t="n">
        <v>60</v>
      </c>
      <c r="AG914" s="30" t="n">
        <v>0</v>
      </c>
      <c r="AH914" s="30" t="str">
        <f aca="false">IF(OR(P914="判定不能",G914="判定不能"),"判定不能",IF(AG914&gt;=判定条件!$C$9,"利用可",IF(AND(P914="停止",G914="停止"),"両方停止","運転がそろわない")))</f>
        <v>両方停止</v>
      </c>
      <c r="AI914" s="30" t="n">
        <v>0</v>
      </c>
      <c r="AJ914" s="30" t="n">
        <v>0</v>
      </c>
      <c r="AK914" s="30" t="str">
        <f aca="false">IF(OR(S914="判定不能",J914="判定不能"),"判定不能",IF(AJ914&gt;=判定条件!$C$9,"利用可",IF(AND(S914="停止",J914="停止"),"両方停止","運転がそろわない")))</f>
        <v>判定不能</v>
      </c>
      <c r="AL914" s="30" t="n">
        <v>60</v>
      </c>
      <c r="AM914" s="30" t="n">
        <v>0</v>
      </c>
      <c r="AN914" s="30" t="str">
        <f aca="false">IF(OR(V914="判定不能",M914="判定不能"),"判定不能",IF(AM914&gt;=判定条件!$C$9,"利用可",IF(AND(V914="停止",M914="停止"),"両方停止","運転がそろわない")))</f>
        <v>運転がそろわない</v>
      </c>
      <c r="AO914" s="30" t="n">
        <v>60</v>
      </c>
      <c r="AP914" s="30" t="n">
        <v>0</v>
      </c>
      <c r="AQ914" s="30" t="str">
        <f aca="false">IF(OR(Y914="判定不能",G914="判定不能"),"判定不能",IF(AP914&gt;=判定条件!$C$9,"利用可",IF(AND(Y914="停止",G914="停止"),"両方停止","運転がそろわない")))</f>
        <v>運転がそろわない</v>
      </c>
      <c r="AR914" s="30" t="n">
        <v>0</v>
      </c>
      <c r="AS914" s="30" t="n">
        <v>0</v>
      </c>
      <c r="AT914" s="30" t="str">
        <f aca="false">IF(OR(AB914="判定不能",J914="判定不能"),"判定不能",IF(AS914&gt;=判定条件!$C$9,"利用可",IF(AND(AB914="停止",J914="停止"),"両方停止","運転がそろわない")))</f>
        <v>判定不能</v>
      </c>
      <c r="AU914" s="30" t="n">
        <v>60</v>
      </c>
      <c r="AV914" s="30" t="n">
        <v>0</v>
      </c>
      <c r="AW914" s="30" t="str">
        <f aca="false">IF(OR(AE914="判定不能",M914="判定不能"),"判定不能",IF(AV914&gt;=判定条件!$C$9,"利用可",IF(AND(AE914="停止",M914="停止"),"両方停止","運転がそろわない")))</f>
        <v>運転がそろわない</v>
      </c>
      <c r="AX914" s="30" t="str">
        <f aca="false">IF(AND(AH914="利用可",AK914="利用可",AN914="利用可"),"利用可","不可")</f>
        <v>不可</v>
      </c>
      <c r="AY914" s="30" t="str">
        <f aca="false">IF(AND(AQ914="利用可",AT914="利用可",AW914="利用可"),"利用可","不可")</f>
        <v>不可</v>
      </c>
    </row>
    <row r="915" customFormat="false" ht="15" hidden="false" customHeight="false" outlineLevel="0" collapsed="false">
      <c r="A915" s="29" t="n">
        <v>46270</v>
      </c>
      <c r="B915" s="30" t="n">
        <v>0</v>
      </c>
      <c r="C915" s="31" t="s">
        <v>63</v>
      </c>
      <c r="D915" s="31" t="s">
        <v>64</v>
      </c>
      <c r="E915" s="30" t="n">
        <v>60</v>
      </c>
      <c r="F915" s="30" t="n">
        <v>0</v>
      </c>
      <c r="G915" s="30" t="str">
        <f aca="false">IF(E915&lt;判定条件!$C$6,"判定不能",IF(F915&gt;=判定条件!$C$7*E915,"運転",IF(F915&lt;=判定条件!$C$8*E915,"停止","断続")))</f>
        <v>停止</v>
      </c>
      <c r="H915" s="30" t="n">
        <v>0</v>
      </c>
      <c r="I915" s="30" t="n">
        <v>0</v>
      </c>
      <c r="J915" s="30" t="str">
        <f aca="false">IF(H915&lt;判定条件!$C$6,"判定不能",IF(I915&gt;=判定条件!$C$7*H915,"運転",IF(I915&lt;=判定条件!$C$8*H915,"停止","断続")))</f>
        <v>判定不能</v>
      </c>
      <c r="K915" s="30" t="n">
        <v>60</v>
      </c>
      <c r="L915" s="30" t="n">
        <v>60</v>
      </c>
      <c r="M915" s="30" t="str">
        <f aca="false">IF(K915&lt;判定条件!$C$6,"判定不能",IF(L915&gt;=判定条件!$C$7*K915,"運転",IF(L915&lt;=判定条件!$C$8*K915,"停止","断続")))</f>
        <v>運転</v>
      </c>
      <c r="N915" s="30" t="n">
        <v>60</v>
      </c>
      <c r="O915" s="30" t="n">
        <v>0</v>
      </c>
      <c r="P915" s="30" t="str">
        <f aca="false">IF(N915&lt;判定条件!$C$6,"判定不能",IF(O915&gt;=判定条件!$C$7*N915,"運転",IF(O915&lt;=判定条件!$C$8*N915,"停止","断続")))</f>
        <v>停止</v>
      </c>
      <c r="Q915" s="30" t="n">
        <v>60</v>
      </c>
      <c r="R915" s="30" t="n">
        <v>0</v>
      </c>
      <c r="S915" s="30" t="str">
        <f aca="false">IF(Q915&lt;判定条件!$C$6,"判定不能",IF(R915&gt;=判定条件!$C$7*Q915,"運転",IF(R915&lt;=判定条件!$C$8*Q915,"停止","断続")))</f>
        <v>停止</v>
      </c>
      <c r="T915" s="30" t="n">
        <v>60</v>
      </c>
      <c r="U915" s="30" t="n">
        <v>0</v>
      </c>
      <c r="V915" s="30" t="str">
        <f aca="false">IF(T915&lt;判定条件!$C$6,"判定不能",IF(U915&gt;=判定条件!$C$7*T915,"運転",IF(U915&lt;=判定条件!$C$8*T915,"停止","断続")))</f>
        <v>停止</v>
      </c>
      <c r="W915" s="30" t="n">
        <v>60</v>
      </c>
      <c r="X915" s="30" t="n">
        <v>1</v>
      </c>
      <c r="Y915" s="30" t="str">
        <f aca="false">IF(W915&lt;判定条件!$C$6,"判定不能",IF(X915&gt;=判定条件!$C$7*W915,"運転",IF(X915&lt;=判定条件!$C$8*W915,"停止","断続")))</f>
        <v>停止</v>
      </c>
      <c r="Z915" s="30" t="n">
        <v>60</v>
      </c>
      <c r="AA915" s="30" t="n">
        <v>0</v>
      </c>
      <c r="AB915" s="30" t="str">
        <f aca="false">IF(Z915&lt;判定条件!$C$6,"判定不能",IF(AA915&gt;=判定条件!$C$7*Z915,"運転",IF(AA915&lt;=判定条件!$C$8*Z915,"停止","断続")))</f>
        <v>停止</v>
      </c>
      <c r="AC915" s="30" t="n">
        <v>60</v>
      </c>
      <c r="AD915" s="30" t="n">
        <v>0</v>
      </c>
      <c r="AE915" s="30" t="str">
        <f aca="false">IF(AC915&lt;判定条件!$C$6,"判定不能",IF(AD915&gt;=判定条件!$C$7*AC915,"運転",IF(AD915&lt;=判定条件!$C$8*AC915,"停止","断続")))</f>
        <v>停止</v>
      </c>
      <c r="AF915" s="30" t="n">
        <v>60</v>
      </c>
      <c r="AG915" s="30" t="n">
        <v>0</v>
      </c>
      <c r="AH915" s="30" t="str">
        <f aca="false">IF(OR(P915="判定不能",G915="判定不能"),"判定不能",IF(AG915&gt;=判定条件!$C$9,"利用可",IF(AND(P915="停止",G915="停止"),"両方停止","運転がそろわない")))</f>
        <v>両方停止</v>
      </c>
      <c r="AI915" s="30" t="n">
        <v>0</v>
      </c>
      <c r="AJ915" s="30" t="n">
        <v>0</v>
      </c>
      <c r="AK915" s="30" t="str">
        <f aca="false">IF(OR(S915="判定不能",J915="判定不能"),"判定不能",IF(AJ915&gt;=判定条件!$C$9,"利用可",IF(AND(S915="停止",J915="停止"),"両方停止","運転がそろわない")))</f>
        <v>判定不能</v>
      </c>
      <c r="AL915" s="30" t="n">
        <v>60</v>
      </c>
      <c r="AM915" s="30" t="n">
        <v>0</v>
      </c>
      <c r="AN915" s="30" t="str">
        <f aca="false">IF(OR(V915="判定不能",M915="判定不能"),"判定不能",IF(AM915&gt;=判定条件!$C$9,"利用可",IF(AND(V915="停止",M915="停止"),"両方停止","運転がそろわない")))</f>
        <v>運転がそろわない</v>
      </c>
      <c r="AO915" s="30" t="n">
        <v>60</v>
      </c>
      <c r="AP915" s="30" t="n">
        <v>0</v>
      </c>
      <c r="AQ915" s="30" t="str">
        <f aca="false">IF(OR(Y915="判定不能",G915="判定不能"),"判定不能",IF(AP915&gt;=判定条件!$C$9,"利用可",IF(AND(Y915="停止",G915="停止"),"両方停止","運転がそろわない")))</f>
        <v>両方停止</v>
      </c>
      <c r="AR915" s="30" t="n">
        <v>0</v>
      </c>
      <c r="AS915" s="30" t="n">
        <v>0</v>
      </c>
      <c r="AT915" s="30" t="str">
        <f aca="false">IF(OR(AB915="判定不能",J915="判定不能"),"判定不能",IF(AS915&gt;=判定条件!$C$9,"利用可",IF(AND(AB915="停止",J915="停止"),"両方停止","運転がそろわない")))</f>
        <v>判定不能</v>
      </c>
      <c r="AU915" s="30" t="n">
        <v>60</v>
      </c>
      <c r="AV915" s="30" t="n">
        <v>0</v>
      </c>
      <c r="AW915" s="30" t="str">
        <f aca="false">IF(OR(AE915="判定不能",M915="判定不能"),"判定不能",IF(AV915&gt;=判定条件!$C$9,"利用可",IF(AND(AE915="停止",M915="停止"),"両方停止","運転がそろわない")))</f>
        <v>運転がそろわない</v>
      </c>
      <c r="AX915" s="30" t="str">
        <f aca="false">IF(AND(AH915="利用可",AK915="利用可",AN915="利用可"),"利用可","不可")</f>
        <v>不可</v>
      </c>
      <c r="AY915" s="30" t="str">
        <f aca="false">IF(AND(AQ915="利用可",AT915="利用可",AW915="利用可"),"利用可","不可")</f>
        <v>不可</v>
      </c>
    </row>
    <row r="916" customFormat="false" ht="15" hidden="false" customHeight="false" outlineLevel="0" collapsed="false">
      <c r="A916" s="29" t="n">
        <v>46270</v>
      </c>
      <c r="B916" s="30" t="n">
        <v>1</v>
      </c>
      <c r="C916" s="31" t="s">
        <v>63</v>
      </c>
      <c r="D916" s="31" t="s">
        <v>64</v>
      </c>
      <c r="E916" s="30" t="n">
        <v>60</v>
      </c>
      <c r="F916" s="30" t="n">
        <v>0</v>
      </c>
      <c r="G916" s="30" t="str">
        <f aca="false">IF(E916&lt;判定条件!$C$6,"判定不能",IF(F916&gt;=判定条件!$C$7*E916,"運転",IF(F916&lt;=判定条件!$C$8*E916,"停止","断続")))</f>
        <v>停止</v>
      </c>
      <c r="H916" s="30" t="n">
        <v>0</v>
      </c>
      <c r="I916" s="30" t="n">
        <v>0</v>
      </c>
      <c r="J916" s="30" t="str">
        <f aca="false">IF(H916&lt;判定条件!$C$6,"判定不能",IF(I916&gt;=判定条件!$C$7*H916,"運転",IF(I916&lt;=判定条件!$C$8*H916,"停止","断続")))</f>
        <v>判定不能</v>
      </c>
      <c r="K916" s="30" t="n">
        <v>60</v>
      </c>
      <c r="L916" s="30" t="n">
        <v>60</v>
      </c>
      <c r="M916" s="30" t="str">
        <f aca="false">IF(K916&lt;判定条件!$C$6,"判定不能",IF(L916&gt;=判定条件!$C$7*K916,"運転",IF(L916&lt;=判定条件!$C$8*K916,"停止","断続")))</f>
        <v>運転</v>
      </c>
      <c r="N916" s="30" t="n">
        <v>60</v>
      </c>
      <c r="O916" s="30" t="n">
        <v>0</v>
      </c>
      <c r="P916" s="30" t="str">
        <f aca="false">IF(N916&lt;判定条件!$C$6,"判定不能",IF(O916&gt;=判定条件!$C$7*N916,"運転",IF(O916&lt;=判定条件!$C$8*N916,"停止","断続")))</f>
        <v>停止</v>
      </c>
      <c r="Q916" s="30" t="n">
        <v>60</v>
      </c>
      <c r="R916" s="30" t="n">
        <v>0</v>
      </c>
      <c r="S916" s="30" t="str">
        <f aca="false">IF(Q916&lt;判定条件!$C$6,"判定不能",IF(R916&gt;=判定条件!$C$7*Q916,"運転",IF(R916&lt;=判定条件!$C$8*Q916,"停止","断続")))</f>
        <v>停止</v>
      </c>
      <c r="T916" s="30" t="n">
        <v>60</v>
      </c>
      <c r="U916" s="30" t="n">
        <v>0</v>
      </c>
      <c r="V916" s="30" t="str">
        <f aca="false">IF(T916&lt;判定条件!$C$6,"判定不能",IF(U916&gt;=判定条件!$C$7*T916,"運転",IF(U916&lt;=判定条件!$C$8*T916,"停止","断続")))</f>
        <v>停止</v>
      </c>
      <c r="W916" s="30" t="n">
        <v>60</v>
      </c>
      <c r="X916" s="30" t="n">
        <v>0</v>
      </c>
      <c r="Y916" s="30" t="str">
        <f aca="false">IF(W916&lt;判定条件!$C$6,"判定不能",IF(X916&gt;=判定条件!$C$7*W916,"運転",IF(X916&lt;=判定条件!$C$8*W916,"停止","断続")))</f>
        <v>停止</v>
      </c>
      <c r="Z916" s="30" t="n">
        <v>60</v>
      </c>
      <c r="AA916" s="30" t="n">
        <v>0</v>
      </c>
      <c r="AB916" s="30" t="str">
        <f aca="false">IF(Z916&lt;判定条件!$C$6,"判定不能",IF(AA916&gt;=判定条件!$C$7*Z916,"運転",IF(AA916&lt;=判定条件!$C$8*Z916,"停止","断続")))</f>
        <v>停止</v>
      </c>
      <c r="AC916" s="30" t="n">
        <v>60</v>
      </c>
      <c r="AD916" s="30" t="n">
        <v>0</v>
      </c>
      <c r="AE916" s="30" t="str">
        <f aca="false">IF(AC916&lt;判定条件!$C$6,"判定不能",IF(AD916&gt;=判定条件!$C$7*AC916,"運転",IF(AD916&lt;=判定条件!$C$8*AC916,"停止","断続")))</f>
        <v>停止</v>
      </c>
      <c r="AF916" s="30" t="n">
        <v>60</v>
      </c>
      <c r="AG916" s="30" t="n">
        <v>0</v>
      </c>
      <c r="AH916" s="30" t="str">
        <f aca="false">IF(OR(P916="判定不能",G916="判定不能"),"判定不能",IF(AG916&gt;=判定条件!$C$9,"利用可",IF(AND(P916="停止",G916="停止"),"両方停止","運転がそろわない")))</f>
        <v>両方停止</v>
      </c>
      <c r="AI916" s="30" t="n">
        <v>0</v>
      </c>
      <c r="AJ916" s="30" t="n">
        <v>0</v>
      </c>
      <c r="AK916" s="30" t="str">
        <f aca="false">IF(OR(S916="判定不能",J916="判定不能"),"判定不能",IF(AJ916&gt;=判定条件!$C$9,"利用可",IF(AND(S916="停止",J916="停止"),"両方停止","運転がそろわない")))</f>
        <v>判定不能</v>
      </c>
      <c r="AL916" s="30" t="n">
        <v>60</v>
      </c>
      <c r="AM916" s="30" t="n">
        <v>0</v>
      </c>
      <c r="AN916" s="30" t="str">
        <f aca="false">IF(OR(V916="判定不能",M916="判定不能"),"判定不能",IF(AM916&gt;=判定条件!$C$9,"利用可",IF(AND(V916="停止",M916="停止"),"両方停止","運転がそろわない")))</f>
        <v>運転がそろわない</v>
      </c>
      <c r="AO916" s="30" t="n">
        <v>60</v>
      </c>
      <c r="AP916" s="30" t="n">
        <v>0</v>
      </c>
      <c r="AQ916" s="30" t="str">
        <f aca="false">IF(OR(Y916="判定不能",G916="判定不能"),"判定不能",IF(AP916&gt;=判定条件!$C$9,"利用可",IF(AND(Y916="停止",G916="停止"),"両方停止","運転がそろわない")))</f>
        <v>両方停止</v>
      </c>
      <c r="AR916" s="30" t="n">
        <v>0</v>
      </c>
      <c r="AS916" s="30" t="n">
        <v>0</v>
      </c>
      <c r="AT916" s="30" t="str">
        <f aca="false">IF(OR(AB916="判定不能",J916="判定不能"),"判定不能",IF(AS916&gt;=判定条件!$C$9,"利用可",IF(AND(AB916="停止",J916="停止"),"両方停止","運転がそろわない")))</f>
        <v>判定不能</v>
      </c>
      <c r="AU916" s="30" t="n">
        <v>60</v>
      </c>
      <c r="AV916" s="30" t="n">
        <v>0</v>
      </c>
      <c r="AW916" s="30" t="str">
        <f aca="false">IF(OR(AE916="判定不能",M916="判定不能"),"判定不能",IF(AV916&gt;=判定条件!$C$9,"利用可",IF(AND(AE916="停止",M916="停止"),"両方停止","運転がそろわない")))</f>
        <v>運転がそろわない</v>
      </c>
      <c r="AX916" s="30" t="str">
        <f aca="false">IF(AND(AH916="利用可",AK916="利用可",AN916="利用可"),"利用可","不可")</f>
        <v>不可</v>
      </c>
      <c r="AY916" s="30" t="str">
        <f aca="false">IF(AND(AQ916="利用可",AT916="利用可",AW916="利用可"),"利用可","不可")</f>
        <v>不可</v>
      </c>
    </row>
    <row r="917" customFormat="false" ht="15" hidden="false" customHeight="false" outlineLevel="0" collapsed="false">
      <c r="A917" s="29" t="n">
        <v>46270</v>
      </c>
      <c r="B917" s="30" t="n">
        <v>2</v>
      </c>
      <c r="C917" s="31" t="s">
        <v>63</v>
      </c>
      <c r="D917" s="31" t="s">
        <v>64</v>
      </c>
      <c r="E917" s="30" t="n">
        <v>60</v>
      </c>
      <c r="F917" s="30" t="n">
        <v>0</v>
      </c>
      <c r="G917" s="30" t="str">
        <f aca="false">IF(E917&lt;判定条件!$C$6,"判定不能",IF(F917&gt;=判定条件!$C$7*E917,"運転",IF(F917&lt;=判定条件!$C$8*E917,"停止","断続")))</f>
        <v>停止</v>
      </c>
      <c r="H917" s="30" t="n">
        <v>0</v>
      </c>
      <c r="I917" s="30" t="n">
        <v>0</v>
      </c>
      <c r="J917" s="30" t="str">
        <f aca="false">IF(H917&lt;判定条件!$C$6,"判定不能",IF(I917&gt;=判定条件!$C$7*H917,"運転",IF(I917&lt;=判定条件!$C$8*H917,"停止","断続")))</f>
        <v>判定不能</v>
      </c>
      <c r="K917" s="30" t="n">
        <v>60</v>
      </c>
      <c r="L917" s="30" t="n">
        <v>60</v>
      </c>
      <c r="M917" s="30" t="str">
        <f aca="false">IF(K917&lt;判定条件!$C$6,"判定不能",IF(L917&gt;=判定条件!$C$7*K917,"運転",IF(L917&lt;=判定条件!$C$8*K917,"停止","断続")))</f>
        <v>運転</v>
      </c>
      <c r="N917" s="30" t="n">
        <v>60</v>
      </c>
      <c r="O917" s="30" t="n">
        <v>0</v>
      </c>
      <c r="P917" s="30" t="str">
        <f aca="false">IF(N917&lt;判定条件!$C$6,"判定不能",IF(O917&gt;=判定条件!$C$7*N917,"運転",IF(O917&lt;=判定条件!$C$8*N917,"停止","断続")))</f>
        <v>停止</v>
      </c>
      <c r="Q917" s="30" t="n">
        <v>60</v>
      </c>
      <c r="R917" s="30" t="n">
        <v>0</v>
      </c>
      <c r="S917" s="30" t="str">
        <f aca="false">IF(Q917&lt;判定条件!$C$6,"判定不能",IF(R917&gt;=判定条件!$C$7*Q917,"運転",IF(R917&lt;=判定条件!$C$8*Q917,"停止","断続")))</f>
        <v>停止</v>
      </c>
      <c r="T917" s="30" t="n">
        <v>60</v>
      </c>
      <c r="U917" s="30" t="n">
        <v>0</v>
      </c>
      <c r="V917" s="30" t="str">
        <f aca="false">IF(T917&lt;判定条件!$C$6,"判定不能",IF(U917&gt;=判定条件!$C$7*T917,"運転",IF(U917&lt;=判定条件!$C$8*T917,"停止","断続")))</f>
        <v>停止</v>
      </c>
      <c r="W917" s="30" t="n">
        <v>60</v>
      </c>
      <c r="X917" s="30" t="n">
        <v>0</v>
      </c>
      <c r="Y917" s="30" t="str">
        <f aca="false">IF(W917&lt;判定条件!$C$6,"判定不能",IF(X917&gt;=判定条件!$C$7*W917,"運転",IF(X917&lt;=判定条件!$C$8*W917,"停止","断続")))</f>
        <v>停止</v>
      </c>
      <c r="Z917" s="30" t="n">
        <v>60</v>
      </c>
      <c r="AA917" s="30" t="n">
        <v>0</v>
      </c>
      <c r="AB917" s="30" t="str">
        <f aca="false">IF(Z917&lt;判定条件!$C$6,"判定不能",IF(AA917&gt;=判定条件!$C$7*Z917,"運転",IF(AA917&lt;=判定条件!$C$8*Z917,"停止","断続")))</f>
        <v>停止</v>
      </c>
      <c r="AC917" s="30" t="n">
        <v>60</v>
      </c>
      <c r="AD917" s="30" t="n">
        <v>0</v>
      </c>
      <c r="AE917" s="30" t="str">
        <f aca="false">IF(AC917&lt;判定条件!$C$6,"判定不能",IF(AD917&gt;=判定条件!$C$7*AC917,"運転",IF(AD917&lt;=判定条件!$C$8*AC917,"停止","断続")))</f>
        <v>停止</v>
      </c>
      <c r="AF917" s="30" t="n">
        <v>60</v>
      </c>
      <c r="AG917" s="30" t="n">
        <v>0</v>
      </c>
      <c r="AH917" s="30" t="str">
        <f aca="false">IF(OR(P917="判定不能",G917="判定不能"),"判定不能",IF(AG917&gt;=判定条件!$C$9,"利用可",IF(AND(P917="停止",G917="停止"),"両方停止","運転がそろわない")))</f>
        <v>両方停止</v>
      </c>
      <c r="AI917" s="30" t="n">
        <v>0</v>
      </c>
      <c r="AJ917" s="30" t="n">
        <v>0</v>
      </c>
      <c r="AK917" s="30" t="str">
        <f aca="false">IF(OR(S917="判定不能",J917="判定不能"),"判定不能",IF(AJ917&gt;=判定条件!$C$9,"利用可",IF(AND(S917="停止",J917="停止"),"両方停止","運転がそろわない")))</f>
        <v>判定不能</v>
      </c>
      <c r="AL917" s="30" t="n">
        <v>60</v>
      </c>
      <c r="AM917" s="30" t="n">
        <v>0</v>
      </c>
      <c r="AN917" s="30" t="str">
        <f aca="false">IF(OR(V917="判定不能",M917="判定不能"),"判定不能",IF(AM917&gt;=判定条件!$C$9,"利用可",IF(AND(V917="停止",M917="停止"),"両方停止","運転がそろわない")))</f>
        <v>運転がそろわない</v>
      </c>
      <c r="AO917" s="30" t="n">
        <v>60</v>
      </c>
      <c r="AP917" s="30" t="n">
        <v>0</v>
      </c>
      <c r="AQ917" s="30" t="str">
        <f aca="false">IF(OR(Y917="判定不能",G917="判定不能"),"判定不能",IF(AP917&gt;=判定条件!$C$9,"利用可",IF(AND(Y917="停止",G917="停止"),"両方停止","運転がそろわない")))</f>
        <v>両方停止</v>
      </c>
      <c r="AR917" s="30" t="n">
        <v>0</v>
      </c>
      <c r="AS917" s="30" t="n">
        <v>0</v>
      </c>
      <c r="AT917" s="30" t="str">
        <f aca="false">IF(OR(AB917="判定不能",J917="判定不能"),"判定不能",IF(AS917&gt;=判定条件!$C$9,"利用可",IF(AND(AB917="停止",J917="停止"),"両方停止","運転がそろわない")))</f>
        <v>判定不能</v>
      </c>
      <c r="AU917" s="30" t="n">
        <v>60</v>
      </c>
      <c r="AV917" s="30" t="n">
        <v>0</v>
      </c>
      <c r="AW917" s="30" t="str">
        <f aca="false">IF(OR(AE917="判定不能",M917="判定不能"),"判定不能",IF(AV917&gt;=判定条件!$C$9,"利用可",IF(AND(AE917="停止",M917="停止"),"両方停止","運転がそろわない")))</f>
        <v>運転がそろわない</v>
      </c>
      <c r="AX917" s="30" t="str">
        <f aca="false">IF(AND(AH917="利用可",AK917="利用可",AN917="利用可"),"利用可","不可")</f>
        <v>不可</v>
      </c>
      <c r="AY917" s="30" t="str">
        <f aca="false">IF(AND(AQ917="利用可",AT917="利用可",AW917="利用可"),"利用可","不可")</f>
        <v>不可</v>
      </c>
    </row>
    <row r="918" customFormat="false" ht="15" hidden="false" customHeight="false" outlineLevel="0" collapsed="false">
      <c r="A918" s="29" t="n">
        <v>46270</v>
      </c>
      <c r="B918" s="30" t="n">
        <v>3</v>
      </c>
      <c r="C918" s="31" t="s">
        <v>63</v>
      </c>
      <c r="D918" s="31" t="s">
        <v>64</v>
      </c>
      <c r="E918" s="30" t="n">
        <v>60</v>
      </c>
      <c r="F918" s="30" t="n">
        <v>0</v>
      </c>
      <c r="G918" s="30" t="str">
        <f aca="false">IF(E918&lt;判定条件!$C$6,"判定不能",IF(F918&gt;=判定条件!$C$7*E918,"運転",IF(F918&lt;=判定条件!$C$8*E918,"停止","断続")))</f>
        <v>停止</v>
      </c>
      <c r="H918" s="30" t="n">
        <v>4</v>
      </c>
      <c r="I918" s="30" t="n">
        <v>0</v>
      </c>
      <c r="J918" s="30" t="str">
        <f aca="false">IF(H918&lt;判定条件!$C$6,"判定不能",IF(I918&gt;=判定条件!$C$7*H918,"運転",IF(I918&lt;=判定条件!$C$8*H918,"停止","断続")))</f>
        <v>判定不能</v>
      </c>
      <c r="K918" s="30" t="n">
        <v>60</v>
      </c>
      <c r="L918" s="30" t="n">
        <v>60</v>
      </c>
      <c r="M918" s="30" t="str">
        <f aca="false">IF(K918&lt;判定条件!$C$6,"判定不能",IF(L918&gt;=判定条件!$C$7*K918,"運転",IF(L918&lt;=判定条件!$C$8*K918,"停止","断続")))</f>
        <v>運転</v>
      </c>
      <c r="N918" s="30" t="n">
        <v>60</v>
      </c>
      <c r="O918" s="30" t="n">
        <v>0</v>
      </c>
      <c r="P918" s="30" t="str">
        <f aca="false">IF(N918&lt;判定条件!$C$6,"判定不能",IF(O918&gt;=判定条件!$C$7*N918,"運転",IF(O918&lt;=判定条件!$C$8*N918,"停止","断続")))</f>
        <v>停止</v>
      </c>
      <c r="Q918" s="30" t="n">
        <v>60</v>
      </c>
      <c r="R918" s="30" t="n">
        <v>0</v>
      </c>
      <c r="S918" s="30" t="str">
        <f aca="false">IF(Q918&lt;判定条件!$C$6,"判定不能",IF(R918&gt;=判定条件!$C$7*Q918,"運転",IF(R918&lt;=判定条件!$C$8*Q918,"停止","断続")))</f>
        <v>停止</v>
      </c>
      <c r="T918" s="30" t="n">
        <v>60</v>
      </c>
      <c r="U918" s="30" t="n">
        <v>0</v>
      </c>
      <c r="V918" s="30" t="str">
        <f aca="false">IF(T918&lt;判定条件!$C$6,"判定不能",IF(U918&gt;=判定条件!$C$7*T918,"運転",IF(U918&lt;=判定条件!$C$8*T918,"停止","断続")))</f>
        <v>停止</v>
      </c>
      <c r="W918" s="30" t="n">
        <v>60</v>
      </c>
      <c r="X918" s="30" t="n">
        <v>0</v>
      </c>
      <c r="Y918" s="30" t="str">
        <f aca="false">IF(W918&lt;判定条件!$C$6,"判定不能",IF(X918&gt;=判定条件!$C$7*W918,"運転",IF(X918&lt;=判定条件!$C$8*W918,"停止","断続")))</f>
        <v>停止</v>
      </c>
      <c r="Z918" s="30" t="n">
        <v>60</v>
      </c>
      <c r="AA918" s="30" t="n">
        <v>0</v>
      </c>
      <c r="AB918" s="30" t="str">
        <f aca="false">IF(Z918&lt;判定条件!$C$6,"判定不能",IF(AA918&gt;=判定条件!$C$7*Z918,"運転",IF(AA918&lt;=判定条件!$C$8*Z918,"停止","断続")))</f>
        <v>停止</v>
      </c>
      <c r="AC918" s="30" t="n">
        <v>60</v>
      </c>
      <c r="AD918" s="30" t="n">
        <v>0</v>
      </c>
      <c r="AE918" s="30" t="str">
        <f aca="false">IF(AC918&lt;判定条件!$C$6,"判定不能",IF(AD918&gt;=判定条件!$C$7*AC918,"運転",IF(AD918&lt;=判定条件!$C$8*AC918,"停止","断続")))</f>
        <v>停止</v>
      </c>
      <c r="AF918" s="30" t="n">
        <v>60</v>
      </c>
      <c r="AG918" s="30" t="n">
        <v>0</v>
      </c>
      <c r="AH918" s="30" t="str">
        <f aca="false">IF(OR(P918="判定不能",G918="判定不能"),"判定不能",IF(AG918&gt;=判定条件!$C$9,"利用可",IF(AND(P918="停止",G918="停止"),"両方停止","運転がそろわない")))</f>
        <v>両方停止</v>
      </c>
      <c r="AI918" s="30" t="n">
        <v>4</v>
      </c>
      <c r="AJ918" s="30" t="n">
        <v>0</v>
      </c>
      <c r="AK918" s="30" t="str">
        <f aca="false">IF(OR(S918="判定不能",J918="判定不能"),"判定不能",IF(AJ918&gt;=判定条件!$C$9,"利用可",IF(AND(S918="停止",J918="停止"),"両方停止","運転がそろわない")))</f>
        <v>判定不能</v>
      </c>
      <c r="AL918" s="30" t="n">
        <v>60</v>
      </c>
      <c r="AM918" s="30" t="n">
        <v>0</v>
      </c>
      <c r="AN918" s="30" t="str">
        <f aca="false">IF(OR(V918="判定不能",M918="判定不能"),"判定不能",IF(AM918&gt;=判定条件!$C$9,"利用可",IF(AND(V918="停止",M918="停止"),"両方停止","運転がそろわない")))</f>
        <v>運転がそろわない</v>
      </c>
      <c r="AO918" s="30" t="n">
        <v>60</v>
      </c>
      <c r="AP918" s="30" t="n">
        <v>0</v>
      </c>
      <c r="AQ918" s="30" t="str">
        <f aca="false">IF(OR(Y918="判定不能",G918="判定不能"),"判定不能",IF(AP918&gt;=判定条件!$C$9,"利用可",IF(AND(Y918="停止",G918="停止"),"両方停止","運転がそろわない")))</f>
        <v>両方停止</v>
      </c>
      <c r="AR918" s="30" t="n">
        <v>4</v>
      </c>
      <c r="AS918" s="30" t="n">
        <v>0</v>
      </c>
      <c r="AT918" s="30" t="str">
        <f aca="false">IF(OR(AB918="判定不能",J918="判定不能"),"判定不能",IF(AS918&gt;=判定条件!$C$9,"利用可",IF(AND(AB918="停止",J918="停止"),"両方停止","運転がそろわない")))</f>
        <v>判定不能</v>
      </c>
      <c r="AU918" s="30" t="n">
        <v>60</v>
      </c>
      <c r="AV918" s="30" t="n">
        <v>0</v>
      </c>
      <c r="AW918" s="30" t="str">
        <f aca="false">IF(OR(AE918="判定不能",M918="判定不能"),"判定不能",IF(AV918&gt;=判定条件!$C$9,"利用可",IF(AND(AE918="停止",M918="停止"),"両方停止","運転がそろわない")))</f>
        <v>運転がそろわない</v>
      </c>
      <c r="AX918" s="30" t="str">
        <f aca="false">IF(AND(AH918="利用可",AK918="利用可",AN918="利用可"),"利用可","不可")</f>
        <v>不可</v>
      </c>
      <c r="AY918" s="30" t="str">
        <f aca="false">IF(AND(AQ918="利用可",AT918="利用可",AW918="利用可"),"利用可","不可")</f>
        <v>不可</v>
      </c>
    </row>
    <row r="919" customFormat="false" ht="15" hidden="false" customHeight="false" outlineLevel="0" collapsed="false">
      <c r="A919" s="29" t="n">
        <v>46270</v>
      </c>
      <c r="B919" s="30" t="n">
        <v>4</v>
      </c>
      <c r="C919" s="31" t="s">
        <v>63</v>
      </c>
      <c r="D919" s="31" t="s">
        <v>64</v>
      </c>
      <c r="E919" s="30" t="n">
        <v>60</v>
      </c>
      <c r="F919" s="30" t="n">
        <v>0</v>
      </c>
      <c r="G919" s="30" t="str">
        <f aca="false">IF(E919&lt;判定条件!$C$6,"判定不能",IF(F919&gt;=判定条件!$C$7*E919,"運転",IF(F919&lt;=判定条件!$C$8*E919,"停止","断続")))</f>
        <v>停止</v>
      </c>
      <c r="H919" s="30" t="n">
        <v>60</v>
      </c>
      <c r="I919" s="30" t="n">
        <v>0</v>
      </c>
      <c r="J919" s="30" t="str">
        <f aca="false">IF(H919&lt;判定条件!$C$6,"判定不能",IF(I919&gt;=判定条件!$C$7*H919,"運転",IF(I919&lt;=判定条件!$C$8*H919,"停止","断続")))</f>
        <v>停止</v>
      </c>
      <c r="K919" s="30" t="n">
        <v>60</v>
      </c>
      <c r="L919" s="30" t="n">
        <v>60</v>
      </c>
      <c r="M919" s="30" t="str">
        <f aca="false">IF(K919&lt;判定条件!$C$6,"判定不能",IF(L919&gt;=判定条件!$C$7*K919,"運転",IF(L919&lt;=判定条件!$C$8*K919,"停止","断続")))</f>
        <v>運転</v>
      </c>
      <c r="N919" s="30" t="n">
        <v>60</v>
      </c>
      <c r="O919" s="30" t="n">
        <v>0</v>
      </c>
      <c r="P919" s="30" t="str">
        <f aca="false">IF(N919&lt;判定条件!$C$6,"判定不能",IF(O919&gt;=判定条件!$C$7*N919,"運転",IF(O919&lt;=判定条件!$C$8*N919,"停止","断続")))</f>
        <v>停止</v>
      </c>
      <c r="Q919" s="30" t="n">
        <v>60</v>
      </c>
      <c r="R919" s="30" t="n">
        <v>0</v>
      </c>
      <c r="S919" s="30" t="str">
        <f aca="false">IF(Q919&lt;判定条件!$C$6,"判定不能",IF(R919&gt;=判定条件!$C$7*Q919,"運転",IF(R919&lt;=判定条件!$C$8*Q919,"停止","断続")))</f>
        <v>停止</v>
      </c>
      <c r="T919" s="30" t="n">
        <v>60</v>
      </c>
      <c r="U919" s="30" t="n">
        <v>0</v>
      </c>
      <c r="V919" s="30" t="str">
        <f aca="false">IF(T919&lt;判定条件!$C$6,"判定不能",IF(U919&gt;=判定条件!$C$7*T919,"運転",IF(U919&lt;=判定条件!$C$8*T919,"停止","断続")))</f>
        <v>停止</v>
      </c>
      <c r="W919" s="30" t="n">
        <v>60</v>
      </c>
      <c r="X919" s="30" t="n">
        <v>0</v>
      </c>
      <c r="Y919" s="30" t="str">
        <f aca="false">IF(W919&lt;判定条件!$C$6,"判定不能",IF(X919&gt;=判定条件!$C$7*W919,"運転",IF(X919&lt;=判定条件!$C$8*W919,"停止","断続")))</f>
        <v>停止</v>
      </c>
      <c r="Z919" s="30" t="n">
        <v>60</v>
      </c>
      <c r="AA919" s="30" t="n">
        <v>0</v>
      </c>
      <c r="AB919" s="30" t="str">
        <f aca="false">IF(Z919&lt;判定条件!$C$6,"判定不能",IF(AA919&gt;=判定条件!$C$7*Z919,"運転",IF(AA919&lt;=判定条件!$C$8*Z919,"停止","断続")))</f>
        <v>停止</v>
      </c>
      <c r="AC919" s="30" t="n">
        <v>60</v>
      </c>
      <c r="AD919" s="30" t="n">
        <v>0</v>
      </c>
      <c r="AE919" s="30" t="str">
        <f aca="false">IF(AC919&lt;判定条件!$C$6,"判定不能",IF(AD919&gt;=判定条件!$C$7*AC919,"運転",IF(AD919&lt;=判定条件!$C$8*AC919,"停止","断続")))</f>
        <v>停止</v>
      </c>
      <c r="AF919" s="30" t="n">
        <v>60</v>
      </c>
      <c r="AG919" s="30" t="n">
        <v>0</v>
      </c>
      <c r="AH919" s="30" t="str">
        <f aca="false">IF(OR(P919="判定不能",G919="判定不能"),"判定不能",IF(AG919&gt;=判定条件!$C$9,"利用可",IF(AND(P919="停止",G919="停止"),"両方停止","運転がそろわない")))</f>
        <v>両方停止</v>
      </c>
      <c r="AI919" s="30" t="n">
        <v>60</v>
      </c>
      <c r="AJ919" s="30" t="n">
        <v>0</v>
      </c>
      <c r="AK919" s="30" t="str">
        <f aca="false">IF(OR(S919="判定不能",J919="判定不能"),"判定不能",IF(AJ919&gt;=判定条件!$C$9,"利用可",IF(AND(S919="停止",J919="停止"),"両方停止","運転がそろわない")))</f>
        <v>両方停止</v>
      </c>
      <c r="AL919" s="30" t="n">
        <v>60</v>
      </c>
      <c r="AM919" s="30" t="n">
        <v>0</v>
      </c>
      <c r="AN919" s="30" t="str">
        <f aca="false">IF(OR(V919="判定不能",M919="判定不能"),"判定不能",IF(AM919&gt;=判定条件!$C$9,"利用可",IF(AND(V919="停止",M919="停止"),"両方停止","運転がそろわない")))</f>
        <v>運転がそろわない</v>
      </c>
      <c r="AO919" s="30" t="n">
        <v>60</v>
      </c>
      <c r="AP919" s="30" t="n">
        <v>0</v>
      </c>
      <c r="AQ919" s="30" t="str">
        <f aca="false">IF(OR(Y919="判定不能",G919="判定不能"),"判定不能",IF(AP919&gt;=判定条件!$C$9,"利用可",IF(AND(Y919="停止",G919="停止"),"両方停止","運転がそろわない")))</f>
        <v>両方停止</v>
      </c>
      <c r="AR919" s="30" t="n">
        <v>60</v>
      </c>
      <c r="AS919" s="30" t="n">
        <v>0</v>
      </c>
      <c r="AT919" s="30" t="str">
        <f aca="false">IF(OR(AB919="判定不能",J919="判定不能"),"判定不能",IF(AS919&gt;=判定条件!$C$9,"利用可",IF(AND(AB919="停止",J919="停止"),"両方停止","運転がそろわない")))</f>
        <v>両方停止</v>
      </c>
      <c r="AU919" s="30" t="n">
        <v>60</v>
      </c>
      <c r="AV919" s="30" t="n">
        <v>0</v>
      </c>
      <c r="AW919" s="30" t="str">
        <f aca="false">IF(OR(AE919="判定不能",M919="判定不能"),"判定不能",IF(AV919&gt;=判定条件!$C$9,"利用可",IF(AND(AE919="停止",M919="停止"),"両方停止","運転がそろわない")))</f>
        <v>運転がそろわない</v>
      </c>
      <c r="AX919" s="30" t="str">
        <f aca="false">IF(AND(AH919="利用可",AK919="利用可",AN919="利用可"),"利用可","不可")</f>
        <v>不可</v>
      </c>
      <c r="AY919" s="30" t="str">
        <f aca="false">IF(AND(AQ919="利用可",AT919="利用可",AW919="利用可"),"利用可","不可")</f>
        <v>不可</v>
      </c>
    </row>
    <row r="920" customFormat="false" ht="15" hidden="false" customHeight="false" outlineLevel="0" collapsed="false">
      <c r="A920" s="29" t="n">
        <v>46270</v>
      </c>
      <c r="B920" s="30" t="n">
        <v>5</v>
      </c>
      <c r="C920" s="31" t="s">
        <v>63</v>
      </c>
      <c r="D920" s="31" t="s">
        <v>64</v>
      </c>
      <c r="E920" s="30" t="n">
        <v>60</v>
      </c>
      <c r="F920" s="30" t="n">
        <v>0</v>
      </c>
      <c r="G920" s="30" t="str">
        <f aca="false">IF(E920&lt;判定条件!$C$6,"判定不能",IF(F920&gt;=判定条件!$C$7*E920,"運転",IF(F920&lt;=判定条件!$C$8*E920,"停止","断続")))</f>
        <v>停止</v>
      </c>
      <c r="H920" s="30" t="n">
        <v>60</v>
      </c>
      <c r="I920" s="30" t="n">
        <v>0</v>
      </c>
      <c r="J920" s="30" t="str">
        <f aca="false">IF(H920&lt;判定条件!$C$6,"判定不能",IF(I920&gt;=判定条件!$C$7*H920,"運転",IF(I920&lt;=判定条件!$C$8*H920,"停止","断続")))</f>
        <v>停止</v>
      </c>
      <c r="K920" s="30" t="n">
        <v>60</v>
      </c>
      <c r="L920" s="30" t="n">
        <v>60</v>
      </c>
      <c r="M920" s="30" t="str">
        <f aca="false">IF(K920&lt;判定条件!$C$6,"判定不能",IF(L920&gt;=判定条件!$C$7*K920,"運転",IF(L920&lt;=判定条件!$C$8*K920,"停止","断続")))</f>
        <v>運転</v>
      </c>
      <c r="N920" s="30" t="n">
        <v>60</v>
      </c>
      <c r="O920" s="30" t="n">
        <v>0</v>
      </c>
      <c r="P920" s="30" t="str">
        <f aca="false">IF(N920&lt;判定条件!$C$6,"判定不能",IF(O920&gt;=判定条件!$C$7*N920,"運転",IF(O920&lt;=判定条件!$C$8*N920,"停止","断続")))</f>
        <v>停止</v>
      </c>
      <c r="Q920" s="30" t="n">
        <v>60</v>
      </c>
      <c r="R920" s="30" t="n">
        <v>0</v>
      </c>
      <c r="S920" s="30" t="str">
        <f aca="false">IF(Q920&lt;判定条件!$C$6,"判定不能",IF(R920&gt;=判定条件!$C$7*Q920,"運転",IF(R920&lt;=判定条件!$C$8*Q920,"停止","断続")))</f>
        <v>停止</v>
      </c>
      <c r="T920" s="30" t="n">
        <v>60</v>
      </c>
      <c r="U920" s="30" t="n">
        <v>0</v>
      </c>
      <c r="V920" s="30" t="str">
        <f aca="false">IF(T920&lt;判定条件!$C$6,"判定不能",IF(U920&gt;=判定条件!$C$7*T920,"運転",IF(U920&lt;=判定条件!$C$8*T920,"停止","断続")))</f>
        <v>停止</v>
      </c>
      <c r="W920" s="30" t="n">
        <v>60</v>
      </c>
      <c r="X920" s="30" t="n">
        <v>0</v>
      </c>
      <c r="Y920" s="30" t="str">
        <f aca="false">IF(W920&lt;判定条件!$C$6,"判定不能",IF(X920&gt;=判定条件!$C$7*W920,"運転",IF(X920&lt;=判定条件!$C$8*W920,"停止","断続")))</f>
        <v>停止</v>
      </c>
      <c r="Z920" s="30" t="n">
        <v>60</v>
      </c>
      <c r="AA920" s="30" t="n">
        <v>0</v>
      </c>
      <c r="AB920" s="30" t="str">
        <f aca="false">IF(Z920&lt;判定条件!$C$6,"判定不能",IF(AA920&gt;=判定条件!$C$7*Z920,"運転",IF(AA920&lt;=判定条件!$C$8*Z920,"停止","断続")))</f>
        <v>停止</v>
      </c>
      <c r="AC920" s="30" t="n">
        <v>60</v>
      </c>
      <c r="AD920" s="30" t="n">
        <v>0</v>
      </c>
      <c r="AE920" s="30" t="str">
        <f aca="false">IF(AC920&lt;判定条件!$C$6,"判定不能",IF(AD920&gt;=判定条件!$C$7*AC920,"運転",IF(AD920&lt;=判定条件!$C$8*AC920,"停止","断続")))</f>
        <v>停止</v>
      </c>
      <c r="AF920" s="30" t="n">
        <v>60</v>
      </c>
      <c r="AG920" s="30" t="n">
        <v>0</v>
      </c>
      <c r="AH920" s="30" t="str">
        <f aca="false">IF(OR(P920="判定不能",G920="判定不能"),"判定不能",IF(AG920&gt;=判定条件!$C$9,"利用可",IF(AND(P920="停止",G920="停止"),"両方停止","運転がそろわない")))</f>
        <v>両方停止</v>
      </c>
      <c r="AI920" s="30" t="n">
        <v>60</v>
      </c>
      <c r="AJ920" s="30" t="n">
        <v>0</v>
      </c>
      <c r="AK920" s="30" t="str">
        <f aca="false">IF(OR(S920="判定不能",J920="判定不能"),"判定不能",IF(AJ920&gt;=判定条件!$C$9,"利用可",IF(AND(S920="停止",J920="停止"),"両方停止","運転がそろわない")))</f>
        <v>両方停止</v>
      </c>
      <c r="AL920" s="30" t="n">
        <v>60</v>
      </c>
      <c r="AM920" s="30" t="n">
        <v>0</v>
      </c>
      <c r="AN920" s="30" t="str">
        <f aca="false">IF(OR(V920="判定不能",M920="判定不能"),"判定不能",IF(AM920&gt;=判定条件!$C$9,"利用可",IF(AND(V920="停止",M920="停止"),"両方停止","運転がそろわない")))</f>
        <v>運転がそろわない</v>
      </c>
      <c r="AO920" s="30" t="n">
        <v>60</v>
      </c>
      <c r="AP920" s="30" t="n">
        <v>0</v>
      </c>
      <c r="AQ920" s="30" t="str">
        <f aca="false">IF(OR(Y920="判定不能",G920="判定不能"),"判定不能",IF(AP920&gt;=判定条件!$C$9,"利用可",IF(AND(Y920="停止",G920="停止"),"両方停止","運転がそろわない")))</f>
        <v>両方停止</v>
      </c>
      <c r="AR920" s="30" t="n">
        <v>60</v>
      </c>
      <c r="AS920" s="30" t="n">
        <v>0</v>
      </c>
      <c r="AT920" s="30" t="str">
        <f aca="false">IF(OR(AB920="判定不能",J920="判定不能"),"判定不能",IF(AS920&gt;=判定条件!$C$9,"利用可",IF(AND(AB920="停止",J920="停止"),"両方停止","運転がそろわない")))</f>
        <v>両方停止</v>
      </c>
      <c r="AU920" s="30" t="n">
        <v>60</v>
      </c>
      <c r="AV920" s="30" t="n">
        <v>0</v>
      </c>
      <c r="AW920" s="30" t="str">
        <f aca="false">IF(OR(AE920="判定不能",M920="判定不能"),"判定不能",IF(AV920&gt;=判定条件!$C$9,"利用可",IF(AND(AE920="停止",M920="停止"),"両方停止","運転がそろわない")))</f>
        <v>運転がそろわない</v>
      </c>
      <c r="AX920" s="30" t="str">
        <f aca="false">IF(AND(AH920="利用可",AK920="利用可",AN920="利用可"),"利用可","不可")</f>
        <v>不可</v>
      </c>
      <c r="AY920" s="30" t="str">
        <f aca="false">IF(AND(AQ920="利用可",AT920="利用可",AW920="利用可"),"利用可","不可")</f>
        <v>不可</v>
      </c>
    </row>
    <row r="921" customFormat="false" ht="15" hidden="false" customHeight="false" outlineLevel="0" collapsed="false">
      <c r="A921" s="29" t="n">
        <v>46270</v>
      </c>
      <c r="B921" s="30" t="n">
        <v>6</v>
      </c>
      <c r="C921" s="31" t="s">
        <v>63</v>
      </c>
      <c r="D921" s="31" t="s">
        <v>64</v>
      </c>
      <c r="E921" s="30" t="n">
        <v>60</v>
      </c>
      <c r="F921" s="30" t="n">
        <v>0</v>
      </c>
      <c r="G921" s="30" t="str">
        <f aca="false">IF(E921&lt;判定条件!$C$6,"判定不能",IF(F921&gt;=判定条件!$C$7*E921,"運転",IF(F921&lt;=判定条件!$C$8*E921,"停止","断続")))</f>
        <v>停止</v>
      </c>
      <c r="H921" s="30" t="n">
        <v>60</v>
      </c>
      <c r="I921" s="30" t="n">
        <v>0</v>
      </c>
      <c r="J921" s="30" t="str">
        <f aca="false">IF(H921&lt;判定条件!$C$6,"判定不能",IF(I921&gt;=判定条件!$C$7*H921,"運転",IF(I921&lt;=判定条件!$C$8*H921,"停止","断続")))</f>
        <v>停止</v>
      </c>
      <c r="K921" s="30" t="n">
        <v>60</v>
      </c>
      <c r="L921" s="30" t="n">
        <v>60</v>
      </c>
      <c r="M921" s="30" t="str">
        <f aca="false">IF(K921&lt;判定条件!$C$6,"判定不能",IF(L921&gt;=判定条件!$C$7*K921,"運転",IF(L921&lt;=判定条件!$C$8*K921,"停止","断続")))</f>
        <v>運転</v>
      </c>
      <c r="N921" s="30" t="n">
        <v>60</v>
      </c>
      <c r="O921" s="30" t="n">
        <v>0</v>
      </c>
      <c r="P921" s="30" t="str">
        <f aca="false">IF(N921&lt;判定条件!$C$6,"判定不能",IF(O921&gt;=判定条件!$C$7*N921,"運転",IF(O921&lt;=判定条件!$C$8*N921,"停止","断続")))</f>
        <v>停止</v>
      </c>
      <c r="Q921" s="30" t="n">
        <v>60</v>
      </c>
      <c r="R921" s="30" t="n">
        <v>0</v>
      </c>
      <c r="S921" s="30" t="str">
        <f aca="false">IF(Q921&lt;判定条件!$C$6,"判定不能",IF(R921&gt;=判定条件!$C$7*Q921,"運転",IF(R921&lt;=判定条件!$C$8*Q921,"停止","断続")))</f>
        <v>停止</v>
      </c>
      <c r="T921" s="30" t="n">
        <v>60</v>
      </c>
      <c r="U921" s="30" t="n">
        <v>0</v>
      </c>
      <c r="V921" s="30" t="str">
        <f aca="false">IF(T921&lt;判定条件!$C$6,"判定不能",IF(U921&gt;=判定条件!$C$7*T921,"運転",IF(U921&lt;=判定条件!$C$8*T921,"停止","断続")))</f>
        <v>停止</v>
      </c>
      <c r="W921" s="30" t="n">
        <v>60</v>
      </c>
      <c r="X921" s="30" t="n">
        <v>0</v>
      </c>
      <c r="Y921" s="30" t="str">
        <f aca="false">IF(W921&lt;判定条件!$C$6,"判定不能",IF(X921&gt;=判定条件!$C$7*W921,"運転",IF(X921&lt;=判定条件!$C$8*W921,"停止","断続")))</f>
        <v>停止</v>
      </c>
      <c r="Z921" s="30" t="n">
        <v>60</v>
      </c>
      <c r="AA921" s="30" t="n">
        <v>0</v>
      </c>
      <c r="AB921" s="30" t="str">
        <f aca="false">IF(Z921&lt;判定条件!$C$6,"判定不能",IF(AA921&gt;=判定条件!$C$7*Z921,"運転",IF(AA921&lt;=判定条件!$C$8*Z921,"停止","断続")))</f>
        <v>停止</v>
      </c>
      <c r="AC921" s="30" t="n">
        <v>60</v>
      </c>
      <c r="AD921" s="30" t="n">
        <v>0</v>
      </c>
      <c r="AE921" s="30" t="str">
        <f aca="false">IF(AC921&lt;判定条件!$C$6,"判定不能",IF(AD921&gt;=判定条件!$C$7*AC921,"運転",IF(AD921&lt;=判定条件!$C$8*AC921,"停止","断続")))</f>
        <v>停止</v>
      </c>
      <c r="AF921" s="30" t="n">
        <v>60</v>
      </c>
      <c r="AG921" s="30" t="n">
        <v>0</v>
      </c>
      <c r="AH921" s="30" t="str">
        <f aca="false">IF(OR(P921="判定不能",G921="判定不能"),"判定不能",IF(AG921&gt;=判定条件!$C$9,"利用可",IF(AND(P921="停止",G921="停止"),"両方停止","運転がそろわない")))</f>
        <v>両方停止</v>
      </c>
      <c r="AI921" s="30" t="n">
        <v>60</v>
      </c>
      <c r="AJ921" s="30" t="n">
        <v>0</v>
      </c>
      <c r="AK921" s="30" t="str">
        <f aca="false">IF(OR(S921="判定不能",J921="判定不能"),"判定不能",IF(AJ921&gt;=判定条件!$C$9,"利用可",IF(AND(S921="停止",J921="停止"),"両方停止","運転がそろわない")))</f>
        <v>両方停止</v>
      </c>
      <c r="AL921" s="30" t="n">
        <v>60</v>
      </c>
      <c r="AM921" s="30" t="n">
        <v>0</v>
      </c>
      <c r="AN921" s="30" t="str">
        <f aca="false">IF(OR(V921="判定不能",M921="判定不能"),"判定不能",IF(AM921&gt;=判定条件!$C$9,"利用可",IF(AND(V921="停止",M921="停止"),"両方停止","運転がそろわない")))</f>
        <v>運転がそろわない</v>
      </c>
      <c r="AO921" s="30" t="n">
        <v>60</v>
      </c>
      <c r="AP921" s="30" t="n">
        <v>0</v>
      </c>
      <c r="AQ921" s="30" t="str">
        <f aca="false">IF(OR(Y921="判定不能",G921="判定不能"),"判定不能",IF(AP921&gt;=判定条件!$C$9,"利用可",IF(AND(Y921="停止",G921="停止"),"両方停止","運転がそろわない")))</f>
        <v>両方停止</v>
      </c>
      <c r="AR921" s="30" t="n">
        <v>60</v>
      </c>
      <c r="AS921" s="30" t="n">
        <v>0</v>
      </c>
      <c r="AT921" s="30" t="str">
        <f aca="false">IF(OR(AB921="判定不能",J921="判定不能"),"判定不能",IF(AS921&gt;=判定条件!$C$9,"利用可",IF(AND(AB921="停止",J921="停止"),"両方停止","運転がそろわない")))</f>
        <v>両方停止</v>
      </c>
      <c r="AU921" s="30" t="n">
        <v>60</v>
      </c>
      <c r="AV921" s="30" t="n">
        <v>0</v>
      </c>
      <c r="AW921" s="30" t="str">
        <f aca="false">IF(OR(AE921="判定不能",M921="判定不能"),"判定不能",IF(AV921&gt;=判定条件!$C$9,"利用可",IF(AND(AE921="停止",M921="停止"),"両方停止","運転がそろわない")))</f>
        <v>運転がそろわない</v>
      </c>
      <c r="AX921" s="30" t="str">
        <f aca="false">IF(AND(AH921="利用可",AK921="利用可",AN921="利用可"),"利用可","不可")</f>
        <v>不可</v>
      </c>
      <c r="AY921" s="30" t="str">
        <f aca="false">IF(AND(AQ921="利用可",AT921="利用可",AW921="利用可"),"利用可","不可")</f>
        <v>不可</v>
      </c>
    </row>
    <row r="922" customFormat="false" ht="15" hidden="false" customHeight="false" outlineLevel="0" collapsed="false">
      <c r="A922" s="29" t="n">
        <v>46270</v>
      </c>
      <c r="B922" s="30" t="n">
        <v>7</v>
      </c>
      <c r="C922" s="31" t="s">
        <v>63</v>
      </c>
      <c r="D922" s="31" t="s">
        <v>64</v>
      </c>
      <c r="E922" s="30" t="n">
        <v>60</v>
      </c>
      <c r="F922" s="30" t="n">
        <v>0</v>
      </c>
      <c r="G922" s="30" t="str">
        <f aca="false">IF(E922&lt;判定条件!$C$6,"判定不能",IF(F922&gt;=判定条件!$C$7*E922,"運転",IF(F922&lt;=判定条件!$C$8*E922,"停止","断続")))</f>
        <v>停止</v>
      </c>
      <c r="H922" s="30" t="n">
        <v>60</v>
      </c>
      <c r="I922" s="30" t="n">
        <v>0</v>
      </c>
      <c r="J922" s="30" t="str">
        <f aca="false">IF(H922&lt;判定条件!$C$6,"判定不能",IF(I922&gt;=判定条件!$C$7*H922,"運転",IF(I922&lt;=判定条件!$C$8*H922,"停止","断続")))</f>
        <v>停止</v>
      </c>
      <c r="K922" s="30" t="n">
        <v>60</v>
      </c>
      <c r="L922" s="30" t="n">
        <v>60</v>
      </c>
      <c r="M922" s="30" t="str">
        <f aca="false">IF(K922&lt;判定条件!$C$6,"判定不能",IF(L922&gt;=判定条件!$C$7*K922,"運転",IF(L922&lt;=判定条件!$C$8*K922,"停止","断続")))</f>
        <v>運転</v>
      </c>
      <c r="N922" s="30" t="n">
        <v>60</v>
      </c>
      <c r="O922" s="30" t="n">
        <v>0</v>
      </c>
      <c r="P922" s="30" t="str">
        <f aca="false">IF(N922&lt;判定条件!$C$6,"判定不能",IF(O922&gt;=判定条件!$C$7*N922,"運転",IF(O922&lt;=判定条件!$C$8*N922,"停止","断続")))</f>
        <v>停止</v>
      </c>
      <c r="Q922" s="30" t="n">
        <v>60</v>
      </c>
      <c r="R922" s="30" t="n">
        <v>0</v>
      </c>
      <c r="S922" s="30" t="str">
        <f aca="false">IF(Q922&lt;判定条件!$C$6,"判定不能",IF(R922&gt;=判定条件!$C$7*Q922,"運転",IF(R922&lt;=判定条件!$C$8*Q922,"停止","断続")))</f>
        <v>停止</v>
      </c>
      <c r="T922" s="30" t="n">
        <v>60</v>
      </c>
      <c r="U922" s="30" t="n">
        <v>0</v>
      </c>
      <c r="V922" s="30" t="str">
        <f aca="false">IF(T922&lt;判定条件!$C$6,"判定不能",IF(U922&gt;=判定条件!$C$7*T922,"運転",IF(U922&lt;=判定条件!$C$8*T922,"停止","断続")))</f>
        <v>停止</v>
      </c>
      <c r="W922" s="30" t="n">
        <v>60</v>
      </c>
      <c r="X922" s="30" t="n">
        <v>0</v>
      </c>
      <c r="Y922" s="30" t="str">
        <f aca="false">IF(W922&lt;判定条件!$C$6,"判定不能",IF(X922&gt;=判定条件!$C$7*W922,"運転",IF(X922&lt;=判定条件!$C$8*W922,"停止","断続")))</f>
        <v>停止</v>
      </c>
      <c r="Z922" s="30" t="n">
        <v>60</v>
      </c>
      <c r="AA922" s="30" t="n">
        <v>0</v>
      </c>
      <c r="AB922" s="30" t="str">
        <f aca="false">IF(Z922&lt;判定条件!$C$6,"判定不能",IF(AA922&gt;=判定条件!$C$7*Z922,"運転",IF(AA922&lt;=判定条件!$C$8*Z922,"停止","断続")))</f>
        <v>停止</v>
      </c>
      <c r="AC922" s="30" t="n">
        <v>60</v>
      </c>
      <c r="AD922" s="30" t="n">
        <v>0</v>
      </c>
      <c r="AE922" s="30" t="str">
        <f aca="false">IF(AC922&lt;判定条件!$C$6,"判定不能",IF(AD922&gt;=判定条件!$C$7*AC922,"運転",IF(AD922&lt;=判定条件!$C$8*AC922,"停止","断続")))</f>
        <v>停止</v>
      </c>
      <c r="AF922" s="30" t="n">
        <v>60</v>
      </c>
      <c r="AG922" s="30" t="n">
        <v>0</v>
      </c>
      <c r="AH922" s="30" t="str">
        <f aca="false">IF(OR(P922="判定不能",G922="判定不能"),"判定不能",IF(AG922&gt;=判定条件!$C$9,"利用可",IF(AND(P922="停止",G922="停止"),"両方停止","運転がそろわない")))</f>
        <v>両方停止</v>
      </c>
      <c r="AI922" s="30" t="n">
        <v>60</v>
      </c>
      <c r="AJ922" s="30" t="n">
        <v>0</v>
      </c>
      <c r="AK922" s="30" t="str">
        <f aca="false">IF(OR(S922="判定不能",J922="判定不能"),"判定不能",IF(AJ922&gt;=判定条件!$C$9,"利用可",IF(AND(S922="停止",J922="停止"),"両方停止","運転がそろわない")))</f>
        <v>両方停止</v>
      </c>
      <c r="AL922" s="30" t="n">
        <v>60</v>
      </c>
      <c r="AM922" s="30" t="n">
        <v>0</v>
      </c>
      <c r="AN922" s="30" t="str">
        <f aca="false">IF(OR(V922="判定不能",M922="判定不能"),"判定不能",IF(AM922&gt;=判定条件!$C$9,"利用可",IF(AND(V922="停止",M922="停止"),"両方停止","運転がそろわない")))</f>
        <v>運転がそろわない</v>
      </c>
      <c r="AO922" s="30" t="n">
        <v>60</v>
      </c>
      <c r="AP922" s="30" t="n">
        <v>0</v>
      </c>
      <c r="AQ922" s="30" t="str">
        <f aca="false">IF(OR(Y922="判定不能",G922="判定不能"),"判定不能",IF(AP922&gt;=判定条件!$C$9,"利用可",IF(AND(Y922="停止",G922="停止"),"両方停止","運転がそろわない")))</f>
        <v>両方停止</v>
      </c>
      <c r="AR922" s="30" t="n">
        <v>60</v>
      </c>
      <c r="AS922" s="30" t="n">
        <v>0</v>
      </c>
      <c r="AT922" s="30" t="str">
        <f aca="false">IF(OR(AB922="判定不能",J922="判定不能"),"判定不能",IF(AS922&gt;=判定条件!$C$9,"利用可",IF(AND(AB922="停止",J922="停止"),"両方停止","運転がそろわない")))</f>
        <v>両方停止</v>
      </c>
      <c r="AU922" s="30" t="n">
        <v>60</v>
      </c>
      <c r="AV922" s="30" t="n">
        <v>0</v>
      </c>
      <c r="AW922" s="30" t="str">
        <f aca="false">IF(OR(AE922="判定不能",M922="判定不能"),"判定不能",IF(AV922&gt;=判定条件!$C$9,"利用可",IF(AND(AE922="停止",M922="停止"),"両方停止","運転がそろわない")))</f>
        <v>運転がそろわない</v>
      </c>
      <c r="AX922" s="30" t="str">
        <f aca="false">IF(AND(AH922="利用可",AK922="利用可",AN922="利用可"),"利用可","不可")</f>
        <v>不可</v>
      </c>
      <c r="AY922" s="30" t="str">
        <f aca="false">IF(AND(AQ922="利用可",AT922="利用可",AW922="利用可"),"利用可","不可")</f>
        <v>不可</v>
      </c>
    </row>
    <row r="923" customFormat="false" ht="15" hidden="false" customHeight="false" outlineLevel="0" collapsed="false">
      <c r="A923" s="29" t="n">
        <v>46270</v>
      </c>
      <c r="B923" s="30" t="n">
        <v>8</v>
      </c>
      <c r="C923" s="31" t="s">
        <v>63</v>
      </c>
      <c r="D923" s="31" t="s">
        <v>64</v>
      </c>
      <c r="E923" s="30" t="n">
        <v>60</v>
      </c>
      <c r="F923" s="30" t="n">
        <v>0</v>
      </c>
      <c r="G923" s="30" t="str">
        <f aca="false">IF(E923&lt;判定条件!$C$6,"判定不能",IF(F923&gt;=判定条件!$C$7*E923,"運転",IF(F923&lt;=判定条件!$C$8*E923,"停止","断続")))</f>
        <v>停止</v>
      </c>
      <c r="H923" s="30" t="n">
        <v>60</v>
      </c>
      <c r="I923" s="30" t="n">
        <v>0</v>
      </c>
      <c r="J923" s="30" t="str">
        <f aca="false">IF(H923&lt;判定条件!$C$6,"判定不能",IF(I923&gt;=判定条件!$C$7*H923,"運転",IF(I923&lt;=判定条件!$C$8*H923,"停止","断続")))</f>
        <v>停止</v>
      </c>
      <c r="K923" s="30" t="n">
        <v>60</v>
      </c>
      <c r="L923" s="30" t="n">
        <v>60</v>
      </c>
      <c r="M923" s="30" t="str">
        <f aca="false">IF(K923&lt;判定条件!$C$6,"判定不能",IF(L923&gt;=判定条件!$C$7*K923,"運転",IF(L923&lt;=判定条件!$C$8*K923,"停止","断続")))</f>
        <v>運転</v>
      </c>
      <c r="N923" s="30" t="n">
        <v>60</v>
      </c>
      <c r="O923" s="30" t="n">
        <v>0</v>
      </c>
      <c r="P923" s="30" t="str">
        <f aca="false">IF(N923&lt;判定条件!$C$6,"判定不能",IF(O923&gt;=判定条件!$C$7*N923,"運転",IF(O923&lt;=判定条件!$C$8*N923,"停止","断続")))</f>
        <v>停止</v>
      </c>
      <c r="Q923" s="30" t="n">
        <v>60</v>
      </c>
      <c r="R923" s="30" t="n">
        <v>31</v>
      </c>
      <c r="S923" s="30" t="str">
        <f aca="false">IF(Q923&lt;判定条件!$C$6,"判定不能",IF(R923&gt;=判定条件!$C$7*Q923,"運転",IF(R923&lt;=判定条件!$C$8*Q923,"停止","断続")))</f>
        <v>断続</v>
      </c>
      <c r="T923" s="30" t="n">
        <v>60</v>
      </c>
      <c r="U923" s="30" t="n">
        <v>57</v>
      </c>
      <c r="V923" s="30" t="str">
        <f aca="false">IF(T923&lt;判定条件!$C$6,"判定不能",IF(U923&gt;=判定条件!$C$7*T923,"運転",IF(U923&lt;=判定条件!$C$8*T923,"停止","断続")))</f>
        <v>運転</v>
      </c>
      <c r="W923" s="30" t="n">
        <v>60</v>
      </c>
      <c r="X923" s="30" t="n">
        <v>57</v>
      </c>
      <c r="Y923" s="30" t="str">
        <f aca="false">IF(W923&lt;判定条件!$C$6,"判定不能",IF(X923&gt;=判定条件!$C$7*W923,"運転",IF(X923&lt;=判定条件!$C$8*W923,"停止","断続")))</f>
        <v>運転</v>
      </c>
      <c r="Z923" s="30" t="n">
        <v>60</v>
      </c>
      <c r="AA923" s="30" t="n">
        <v>26</v>
      </c>
      <c r="AB923" s="30" t="str">
        <f aca="false">IF(Z923&lt;判定条件!$C$6,"判定不能",IF(AA923&gt;=判定条件!$C$7*Z923,"運転",IF(AA923&lt;=判定条件!$C$8*Z923,"停止","断続")))</f>
        <v>断続</v>
      </c>
      <c r="AC923" s="30" t="n">
        <v>60</v>
      </c>
      <c r="AD923" s="30" t="n">
        <v>57</v>
      </c>
      <c r="AE923" s="30" t="str">
        <f aca="false">IF(AC923&lt;判定条件!$C$6,"判定不能",IF(AD923&gt;=判定条件!$C$7*AC923,"運転",IF(AD923&lt;=判定条件!$C$8*AC923,"停止","断続")))</f>
        <v>運転</v>
      </c>
      <c r="AF923" s="30" t="n">
        <v>60</v>
      </c>
      <c r="AG923" s="30" t="n">
        <v>0</v>
      </c>
      <c r="AH923" s="30" t="str">
        <f aca="false">IF(OR(P923="判定不能",G923="判定不能"),"判定不能",IF(AG923&gt;=判定条件!$C$9,"利用可",IF(AND(P923="停止",G923="停止"),"両方停止","運転がそろわない")))</f>
        <v>両方停止</v>
      </c>
      <c r="AI923" s="30" t="n">
        <v>60</v>
      </c>
      <c r="AJ923" s="30" t="n">
        <v>0</v>
      </c>
      <c r="AK923" s="30" t="str">
        <f aca="false">IF(OR(S923="判定不能",J923="判定不能"),"判定不能",IF(AJ923&gt;=判定条件!$C$9,"利用可",IF(AND(S923="停止",J923="停止"),"両方停止","運転がそろわない")))</f>
        <v>運転がそろわない</v>
      </c>
      <c r="AL923" s="30" t="n">
        <v>60</v>
      </c>
      <c r="AM923" s="30" t="n">
        <v>57</v>
      </c>
      <c r="AN923" s="30" t="str">
        <f aca="false">IF(OR(V923="判定不能",M923="判定不能"),"判定不能",IF(AM923&gt;=判定条件!$C$9,"利用可",IF(AND(V923="停止",M923="停止"),"両方停止","運転がそろわない")))</f>
        <v>利用可</v>
      </c>
      <c r="AO923" s="30" t="n">
        <v>60</v>
      </c>
      <c r="AP923" s="30" t="n">
        <v>0</v>
      </c>
      <c r="AQ923" s="30" t="str">
        <f aca="false">IF(OR(Y923="判定不能",G923="判定不能"),"判定不能",IF(AP923&gt;=判定条件!$C$9,"利用可",IF(AND(Y923="停止",G923="停止"),"両方停止","運転がそろわない")))</f>
        <v>運転がそろわない</v>
      </c>
      <c r="AR923" s="30" t="n">
        <v>60</v>
      </c>
      <c r="AS923" s="30" t="n">
        <v>0</v>
      </c>
      <c r="AT923" s="30" t="str">
        <f aca="false">IF(OR(AB923="判定不能",J923="判定不能"),"判定不能",IF(AS923&gt;=判定条件!$C$9,"利用可",IF(AND(AB923="停止",J923="停止"),"両方停止","運転がそろわない")))</f>
        <v>運転がそろわない</v>
      </c>
      <c r="AU923" s="30" t="n">
        <v>60</v>
      </c>
      <c r="AV923" s="30" t="n">
        <v>57</v>
      </c>
      <c r="AW923" s="30" t="str">
        <f aca="false">IF(OR(AE923="判定不能",M923="判定不能"),"判定不能",IF(AV923&gt;=判定条件!$C$9,"利用可",IF(AND(AE923="停止",M923="停止"),"両方停止","運転がそろわない")))</f>
        <v>利用可</v>
      </c>
      <c r="AX923" s="30" t="str">
        <f aca="false">IF(AND(AH923="利用可",AK923="利用可",AN923="利用可"),"利用可","不可")</f>
        <v>不可</v>
      </c>
      <c r="AY923" s="30" t="str">
        <f aca="false">IF(AND(AQ923="利用可",AT923="利用可",AW923="利用可"),"利用可","不可")</f>
        <v>不可</v>
      </c>
    </row>
    <row r="924" customFormat="false" ht="15" hidden="false" customHeight="false" outlineLevel="0" collapsed="false">
      <c r="A924" s="29" t="n">
        <v>46270</v>
      </c>
      <c r="B924" s="30" t="n">
        <v>9</v>
      </c>
      <c r="C924" s="31" t="s">
        <v>63</v>
      </c>
      <c r="D924" s="31" t="s">
        <v>64</v>
      </c>
      <c r="E924" s="30" t="n">
        <v>60</v>
      </c>
      <c r="F924" s="30" t="n">
        <v>0</v>
      </c>
      <c r="G924" s="30" t="str">
        <f aca="false">IF(E924&lt;判定条件!$C$6,"判定不能",IF(F924&gt;=判定条件!$C$7*E924,"運転",IF(F924&lt;=判定条件!$C$8*E924,"停止","断続")))</f>
        <v>停止</v>
      </c>
      <c r="H924" s="30" t="n">
        <v>60</v>
      </c>
      <c r="I924" s="30" t="n">
        <v>0</v>
      </c>
      <c r="J924" s="30" t="str">
        <f aca="false">IF(H924&lt;判定条件!$C$6,"判定不能",IF(I924&gt;=判定条件!$C$7*H924,"運転",IF(I924&lt;=判定条件!$C$8*H924,"停止","断続")))</f>
        <v>停止</v>
      </c>
      <c r="K924" s="30" t="n">
        <v>60</v>
      </c>
      <c r="L924" s="30" t="n">
        <v>60</v>
      </c>
      <c r="M924" s="30" t="str">
        <f aca="false">IF(K924&lt;判定条件!$C$6,"判定不能",IF(L924&gt;=判定条件!$C$7*K924,"運転",IF(L924&lt;=判定条件!$C$8*K924,"停止","断続")))</f>
        <v>運転</v>
      </c>
      <c r="N924" s="30" t="n">
        <v>60</v>
      </c>
      <c r="O924" s="30" t="n">
        <v>0</v>
      </c>
      <c r="P924" s="30" t="str">
        <f aca="false">IF(N924&lt;判定条件!$C$6,"判定不能",IF(O924&gt;=判定条件!$C$7*N924,"運転",IF(O924&lt;=判定条件!$C$8*N924,"停止","断続")))</f>
        <v>停止</v>
      </c>
      <c r="Q924" s="30" t="n">
        <v>60</v>
      </c>
      <c r="R924" s="30" t="n">
        <v>0</v>
      </c>
      <c r="S924" s="30" t="str">
        <f aca="false">IF(Q924&lt;判定条件!$C$6,"判定不能",IF(R924&gt;=判定条件!$C$7*Q924,"運転",IF(R924&lt;=判定条件!$C$8*Q924,"停止","断続")))</f>
        <v>停止</v>
      </c>
      <c r="T924" s="30" t="n">
        <v>60</v>
      </c>
      <c r="U924" s="30" t="n">
        <v>25</v>
      </c>
      <c r="V924" s="30" t="str">
        <f aca="false">IF(T924&lt;判定条件!$C$6,"判定不能",IF(U924&gt;=判定条件!$C$7*T924,"運転",IF(U924&lt;=判定条件!$C$8*T924,"停止","断続")))</f>
        <v>断続</v>
      </c>
      <c r="W924" s="30" t="n">
        <v>60</v>
      </c>
      <c r="X924" s="30" t="n">
        <v>44</v>
      </c>
      <c r="Y924" s="30" t="str">
        <f aca="false">IF(W924&lt;判定条件!$C$6,"判定不能",IF(X924&gt;=判定条件!$C$7*W924,"運転",IF(X924&lt;=判定条件!$C$8*W924,"停止","断続")))</f>
        <v>断続</v>
      </c>
      <c r="Z924" s="30" t="n">
        <v>60</v>
      </c>
      <c r="AA924" s="30" t="n">
        <v>19</v>
      </c>
      <c r="AB924" s="30" t="str">
        <f aca="false">IF(Z924&lt;判定条件!$C$6,"判定不能",IF(AA924&gt;=判定条件!$C$7*Z924,"運転",IF(AA924&lt;=判定条件!$C$8*Z924,"停止","断続")))</f>
        <v>断続</v>
      </c>
      <c r="AC924" s="30" t="n">
        <v>60</v>
      </c>
      <c r="AD924" s="30" t="n">
        <v>60</v>
      </c>
      <c r="AE924" s="30" t="str">
        <f aca="false">IF(AC924&lt;判定条件!$C$6,"判定不能",IF(AD924&gt;=判定条件!$C$7*AC924,"運転",IF(AD924&lt;=判定条件!$C$8*AC924,"停止","断続")))</f>
        <v>運転</v>
      </c>
      <c r="AF924" s="30" t="n">
        <v>60</v>
      </c>
      <c r="AG924" s="30" t="n">
        <v>0</v>
      </c>
      <c r="AH924" s="30" t="str">
        <f aca="false">IF(OR(P924="判定不能",G924="判定不能"),"判定不能",IF(AG924&gt;=判定条件!$C$9,"利用可",IF(AND(P924="停止",G924="停止"),"両方停止","運転がそろわない")))</f>
        <v>両方停止</v>
      </c>
      <c r="AI924" s="30" t="n">
        <v>60</v>
      </c>
      <c r="AJ924" s="30" t="n">
        <v>0</v>
      </c>
      <c r="AK924" s="30" t="str">
        <f aca="false">IF(OR(S924="判定不能",J924="判定不能"),"判定不能",IF(AJ924&gt;=判定条件!$C$9,"利用可",IF(AND(S924="停止",J924="停止"),"両方停止","運転がそろわない")))</f>
        <v>両方停止</v>
      </c>
      <c r="AL924" s="30" t="n">
        <v>60</v>
      </c>
      <c r="AM924" s="30" t="n">
        <v>25</v>
      </c>
      <c r="AN924" s="30" t="str">
        <f aca="false">IF(OR(V924="判定不能",M924="判定不能"),"判定不能",IF(AM924&gt;=判定条件!$C$9,"利用可",IF(AND(V924="停止",M924="停止"),"両方停止","運転がそろわない")))</f>
        <v>運転がそろわない</v>
      </c>
      <c r="AO924" s="30" t="n">
        <v>60</v>
      </c>
      <c r="AP924" s="30" t="n">
        <v>0</v>
      </c>
      <c r="AQ924" s="30" t="str">
        <f aca="false">IF(OR(Y924="判定不能",G924="判定不能"),"判定不能",IF(AP924&gt;=判定条件!$C$9,"利用可",IF(AND(Y924="停止",G924="停止"),"両方停止","運転がそろわない")))</f>
        <v>運転がそろわない</v>
      </c>
      <c r="AR924" s="30" t="n">
        <v>60</v>
      </c>
      <c r="AS924" s="30" t="n">
        <v>0</v>
      </c>
      <c r="AT924" s="30" t="str">
        <f aca="false">IF(OR(AB924="判定不能",J924="判定不能"),"判定不能",IF(AS924&gt;=判定条件!$C$9,"利用可",IF(AND(AB924="停止",J924="停止"),"両方停止","運転がそろわない")))</f>
        <v>運転がそろわない</v>
      </c>
      <c r="AU924" s="30" t="n">
        <v>60</v>
      </c>
      <c r="AV924" s="30" t="n">
        <v>60</v>
      </c>
      <c r="AW924" s="30" t="str">
        <f aca="false">IF(OR(AE924="判定不能",M924="判定不能"),"判定不能",IF(AV924&gt;=判定条件!$C$9,"利用可",IF(AND(AE924="停止",M924="停止"),"両方停止","運転がそろわない")))</f>
        <v>利用可</v>
      </c>
      <c r="AX924" s="30" t="str">
        <f aca="false">IF(AND(AH924="利用可",AK924="利用可",AN924="利用可"),"利用可","不可")</f>
        <v>不可</v>
      </c>
      <c r="AY924" s="30" t="str">
        <f aca="false">IF(AND(AQ924="利用可",AT924="利用可",AW924="利用可"),"利用可","不可")</f>
        <v>不可</v>
      </c>
    </row>
    <row r="925" customFormat="false" ht="15" hidden="false" customHeight="false" outlineLevel="0" collapsed="false">
      <c r="A925" s="29" t="n">
        <v>46270</v>
      </c>
      <c r="B925" s="30" t="n">
        <v>10</v>
      </c>
      <c r="C925" s="31" t="s">
        <v>63</v>
      </c>
      <c r="D925" s="31" t="s">
        <v>64</v>
      </c>
      <c r="E925" s="30" t="n">
        <v>60</v>
      </c>
      <c r="F925" s="30" t="n">
        <v>0</v>
      </c>
      <c r="G925" s="30" t="str">
        <f aca="false">IF(E925&lt;判定条件!$C$6,"判定不能",IF(F925&gt;=判定条件!$C$7*E925,"運転",IF(F925&lt;=判定条件!$C$8*E925,"停止","断続")))</f>
        <v>停止</v>
      </c>
      <c r="H925" s="30" t="n">
        <v>60</v>
      </c>
      <c r="I925" s="30" t="n">
        <v>0</v>
      </c>
      <c r="J925" s="30" t="str">
        <f aca="false">IF(H925&lt;判定条件!$C$6,"判定不能",IF(I925&gt;=判定条件!$C$7*H925,"運転",IF(I925&lt;=判定条件!$C$8*H925,"停止","断続")))</f>
        <v>停止</v>
      </c>
      <c r="K925" s="30" t="n">
        <v>60</v>
      </c>
      <c r="L925" s="30" t="n">
        <v>60</v>
      </c>
      <c r="M925" s="30" t="str">
        <f aca="false">IF(K925&lt;判定条件!$C$6,"判定不能",IF(L925&gt;=判定条件!$C$7*K925,"運転",IF(L925&lt;=判定条件!$C$8*K925,"停止","断続")))</f>
        <v>運転</v>
      </c>
      <c r="N925" s="30" t="n">
        <v>60</v>
      </c>
      <c r="O925" s="30" t="n">
        <v>0</v>
      </c>
      <c r="P925" s="30" t="str">
        <f aca="false">IF(N925&lt;判定条件!$C$6,"判定不能",IF(O925&gt;=判定条件!$C$7*N925,"運転",IF(O925&lt;=判定条件!$C$8*N925,"停止","断続")))</f>
        <v>停止</v>
      </c>
      <c r="Q925" s="30" t="n">
        <v>60</v>
      </c>
      <c r="R925" s="30" t="n">
        <v>7</v>
      </c>
      <c r="S925" s="30" t="str">
        <f aca="false">IF(Q925&lt;判定条件!$C$6,"判定不能",IF(R925&gt;=判定条件!$C$7*Q925,"運転",IF(R925&lt;=判定条件!$C$8*Q925,"停止","断続")))</f>
        <v>停止</v>
      </c>
      <c r="T925" s="30" t="n">
        <v>60</v>
      </c>
      <c r="U925" s="30" t="n">
        <v>17</v>
      </c>
      <c r="V925" s="30" t="str">
        <f aca="false">IF(T925&lt;判定条件!$C$6,"判定不能",IF(U925&gt;=判定条件!$C$7*T925,"運転",IF(U925&lt;=判定条件!$C$8*T925,"停止","断続")))</f>
        <v>断続</v>
      </c>
      <c r="W925" s="30" t="n">
        <v>60</v>
      </c>
      <c r="X925" s="30" t="n">
        <v>47</v>
      </c>
      <c r="Y925" s="30" t="str">
        <f aca="false">IF(W925&lt;判定条件!$C$6,"判定不能",IF(X925&gt;=判定条件!$C$7*W925,"運転",IF(X925&lt;=判定条件!$C$8*W925,"停止","断続")))</f>
        <v>断続</v>
      </c>
      <c r="Z925" s="30" t="n">
        <v>60</v>
      </c>
      <c r="AA925" s="30" t="n">
        <v>22</v>
      </c>
      <c r="AB925" s="30" t="str">
        <f aca="false">IF(Z925&lt;判定条件!$C$6,"判定不能",IF(AA925&gt;=判定条件!$C$7*Z925,"運転",IF(AA925&lt;=判定条件!$C$8*Z925,"停止","断続")))</f>
        <v>断続</v>
      </c>
      <c r="AC925" s="30" t="n">
        <v>60</v>
      </c>
      <c r="AD925" s="30" t="n">
        <v>60</v>
      </c>
      <c r="AE925" s="30" t="str">
        <f aca="false">IF(AC925&lt;判定条件!$C$6,"判定不能",IF(AD925&gt;=判定条件!$C$7*AC925,"運転",IF(AD925&lt;=判定条件!$C$8*AC925,"停止","断続")))</f>
        <v>運転</v>
      </c>
      <c r="AF925" s="30" t="n">
        <v>60</v>
      </c>
      <c r="AG925" s="30" t="n">
        <v>0</v>
      </c>
      <c r="AH925" s="30" t="str">
        <f aca="false">IF(OR(P925="判定不能",G925="判定不能"),"判定不能",IF(AG925&gt;=判定条件!$C$9,"利用可",IF(AND(P925="停止",G925="停止"),"両方停止","運転がそろわない")))</f>
        <v>両方停止</v>
      </c>
      <c r="AI925" s="30" t="n">
        <v>60</v>
      </c>
      <c r="AJ925" s="30" t="n">
        <v>0</v>
      </c>
      <c r="AK925" s="30" t="str">
        <f aca="false">IF(OR(S925="判定不能",J925="判定不能"),"判定不能",IF(AJ925&gt;=判定条件!$C$9,"利用可",IF(AND(S925="停止",J925="停止"),"両方停止","運転がそろわない")))</f>
        <v>両方停止</v>
      </c>
      <c r="AL925" s="30" t="n">
        <v>60</v>
      </c>
      <c r="AM925" s="30" t="n">
        <v>17</v>
      </c>
      <c r="AN925" s="30" t="str">
        <f aca="false">IF(OR(V925="判定不能",M925="判定不能"),"判定不能",IF(AM925&gt;=判定条件!$C$9,"利用可",IF(AND(V925="停止",M925="停止"),"両方停止","運転がそろわない")))</f>
        <v>運転がそろわない</v>
      </c>
      <c r="AO925" s="30" t="n">
        <v>60</v>
      </c>
      <c r="AP925" s="30" t="n">
        <v>0</v>
      </c>
      <c r="AQ925" s="30" t="str">
        <f aca="false">IF(OR(Y925="判定不能",G925="判定不能"),"判定不能",IF(AP925&gt;=判定条件!$C$9,"利用可",IF(AND(Y925="停止",G925="停止"),"両方停止","運転がそろわない")))</f>
        <v>運転がそろわない</v>
      </c>
      <c r="AR925" s="30" t="n">
        <v>60</v>
      </c>
      <c r="AS925" s="30" t="n">
        <v>0</v>
      </c>
      <c r="AT925" s="30" t="str">
        <f aca="false">IF(OR(AB925="判定不能",J925="判定不能"),"判定不能",IF(AS925&gt;=判定条件!$C$9,"利用可",IF(AND(AB925="停止",J925="停止"),"両方停止","運転がそろわない")))</f>
        <v>運転がそろわない</v>
      </c>
      <c r="AU925" s="30" t="n">
        <v>60</v>
      </c>
      <c r="AV925" s="30" t="n">
        <v>60</v>
      </c>
      <c r="AW925" s="30" t="str">
        <f aca="false">IF(OR(AE925="判定不能",M925="判定不能"),"判定不能",IF(AV925&gt;=判定条件!$C$9,"利用可",IF(AND(AE925="停止",M925="停止"),"両方停止","運転がそろわない")))</f>
        <v>利用可</v>
      </c>
      <c r="AX925" s="30" t="str">
        <f aca="false">IF(AND(AH925="利用可",AK925="利用可",AN925="利用可"),"利用可","不可")</f>
        <v>不可</v>
      </c>
      <c r="AY925" s="30" t="str">
        <f aca="false">IF(AND(AQ925="利用可",AT925="利用可",AW925="利用可"),"利用可","不可")</f>
        <v>不可</v>
      </c>
    </row>
    <row r="926" customFormat="false" ht="15" hidden="false" customHeight="false" outlineLevel="0" collapsed="false">
      <c r="A926" s="29" t="n">
        <v>46270</v>
      </c>
      <c r="B926" s="30" t="n">
        <v>11</v>
      </c>
      <c r="C926" s="31" t="s">
        <v>63</v>
      </c>
      <c r="D926" s="31" t="s">
        <v>64</v>
      </c>
      <c r="E926" s="30" t="n">
        <v>60</v>
      </c>
      <c r="F926" s="30" t="n">
        <v>21</v>
      </c>
      <c r="G926" s="30" t="str">
        <f aca="false">IF(E926&lt;判定条件!$C$6,"判定不能",IF(F926&gt;=判定条件!$C$7*E926,"運転",IF(F926&lt;=判定条件!$C$8*E926,"停止","断続")))</f>
        <v>断続</v>
      </c>
      <c r="H926" s="30" t="n">
        <v>60</v>
      </c>
      <c r="I926" s="30" t="n">
        <v>9</v>
      </c>
      <c r="J926" s="30" t="str">
        <f aca="false">IF(H926&lt;判定条件!$C$6,"判定不能",IF(I926&gt;=判定条件!$C$7*H926,"運転",IF(I926&lt;=判定条件!$C$8*H926,"停止","断続")))</f>
        <v>停止</v>
      </c>
      <c r="K926" s="30" t="n">
        <v>60</v>
      </c>
      <c r="L926" s="30" t="n">
        <v>60</v>
      </c>
      <c r="M926" s="30" t="str">
        <f aca="false">IF(K926&lt;判定条件!$C$6,"判定不能",IF(L926&gt;=判定条件!$C$7*K926,"運転",IF(L926&lt;=判定条件!$C$8*K926,"停止","断続")))</f>
        <v>運転</v>
      </c>
      <c r="N926" s="30" t="n">
        <v>60</v>
      </c>
      <c r="O926" s="30" t="n">
        <v>14</v>
      </c>
      <c r="P926" s="30" t="str">
        <f aca="false">IF(N926&lt;判定条件!$C$6,"判定不能",IF(O926&gt;=判定条件!$C$7*N926,"運転",IF(O926&lt;=判定条件!$C$8*N926,"停止","断続")))</f>
        <v>断続</v>
      </c>
      <c r="Q926" s="30" t="n">
        <v>60</v>
      </c>
      <c r="R926" s="30" t="n">
        <v>53</v>
      </c>
      <c r="S926" s="30" t="str">
        <f aca="false">IF(Q926&lt;判定条件!$C$6,"判定不能",IF(R926&gt;=判定条件!$C$7*Q926,"運転",IF(R926&lt;=判定条件!$C$8*Q926,"停止","断続")))</f>
        <v>運転</v>
      </c>
      <c r="T926" s="30" t="n">
        <v>60</v>
      </c>
      <c r="U926" s="30" t="n">
        <v>60</v>
      </c>
      <c r="V926" s="30" t="str">
        <f aca="false">IF(T926&lt;判定条件!$C$6,"判定不能",IF(U926&gt;=判定条件!$C$7*T926,"運転",IF(U926&lt;=判定条件!$C$8*T926,"停止","断続")))</f>
        <v>運転</v>
      </c>
      <c r="W926" s="30" t="n">
        <v>60</v>
      </c>
      <c r="X926" s="30" t="n">
        <v>54</v>
      </c>
      <c r="Y926" s="30" t="str">
        <f aca="false">IF(W926&lt;判定条件!$C$6,"判定不能",IF(X926&gt;=判定条件!$C$7*W926,"運転",IF(X926&lt;=判定条件!$C$8*W926,"停止","断続")))</f>
        <v>運転</v>
      </c>
      <c r="Z926" s="30" t="n">
        <v>60</v>
      </c>
      <c r="AA926" s="30" t="n">
        <v>47</v>
      </c>
      <c r="AB926" s="30" t="str">
        <f aca="false">IF(Z926&lt;判定条件!$C$6,"判定不能",IF(AA926&gt;=判定条件!$C$7*Z926,"運転",IF(AA926&lt;=判定条件!$C$8*Z926,"停止","断続")))</f>
        <v>断続</v>
      </c>
      <c r="AC926" s="30" t="n">
        <v>60</v>
      </c>
      <c r="AD926" s="30" t="n">
        <v>60</v>
      </c>
      <c r="AE926" s="30" t="str">
        <f aca="false">IF(AC926&lt;判定条件!$C$6,"判定不能",IF(AD926&gt;=判定条件!$C$7*AC926,"運転",IF(AD926&lt;=判定条件!$C$8*AC926,"停止","断続")))</f>
        <v>運転</v>
      </c>
      <c r="AF926" s="30" t="n">
        <v>60</v>
      </c>
      <c r="AG926" s="30" t="n">
        <v>11</v>
      </c>
      <c r="AH926" s="30" t="str">
        <f aca="false">IF(OR(P926="判定不能",G926="判定不能"),"判定不能",IF(AG926&gt;=判定条件!$C$9,"利用可",IF(AND(P926="停止",G926="停止"),"両方停止","運転がそろわない")))</f>
        <v>運転がそろわない</v>
      </c>
      <c r="AI926" s="30" t="n">
        <v>60</v>
      </c>
      <c r="AJ926" s="30" t="n">
        <v>9</v>
      </c>
      <c r="AK926" s="30" t="str">
        <f aca="false">IF(OR(S926="判定不能",J926="判定不能"),"判定不能",IF(AJ926&gt;=判定条件!$C$9,"利用可",IF(AND(S926="停止",J926="停止"),"両方停止","運転がそろわない")))</f>
        <v>運転がそろわない</v>
      </c>
      <c r="AL926" s="30" t="n">
        <v>60</v>
      </c>
      <c r="AM926" s="30" t="n">
        <v>60</v>
      </c>
      <c r="AN926" s="30" t="str">
        <f aca="false">IF(OR(V926="判定不能",M926="判定不能"),"判定不能",IF(AM926&gt;=判定条件!$C$9,"利用可",IF(AND(V926="停止",M926="停止"),"両方停止","運転がそろわない")))</f>
        <v>利用可</v>
      </c>
      <c r="AO926" s="30" t="n">
        <v>60</v>
      </c>
      <c r="AP926" s="30" t="n">
        <v>21</v>
      </c>
      <c r="AQ926" s="30" t="str">
        <f aca="false">IF(OR(Y926="判定不能",G926="判定不能"),"判定不能",IF(AP926&gt;=判定条件!$C$9,"利用可",IF(AND(Y926="停止",G926="停止"),"両方停止","運転がそろわない")))</f>
        <v>運転がそろわない</v>
      </c>
      <c r="AR926" s="30" t="n">
        <v>60</v>
      </c>
      <c r="AS926" s="30" t="n">
        <v>9</v>
      </c>
      <c r="AT926" s="30" t="str">
        <f aca="false">IF(OR(AB926="判定不能",J926="判定不能"),"判定不能",IF(AS926&gt;=判定条件!$C$9,"利用可",IF(AND(AB926="停止",J926="停止"),"両方停止","運転がそろわない")))</f>
        <v>運転がそろわない</v>
      </c>
      <c r="AU926" s="30" t="n">
        <v>60</v>
      </c>
      <c r="AV926" s="30" t="n">
        <v>60</v>
      </c>
      <c r="AW926" s="30" t="str">
        <f aca="false">IF(OR(AE926="判定不能",M926="判定不能"),"判定不能",IF(AV926&gt;=判定条件!$C$9,"利用可",IF(AND(AE926="停止",M926="停止"),"両方停止","運転がそろわない")))</f>
        <v>利用可</v>
      </c>
      <c r="AX926" s="30" t="str">
        <f aca="false">IF(AND(AH926="利用可",AK926="利用可",AN926="利用可"),"利用可","不可")</f>
        <v>不可</v>
      </c>
      <c r="AY926" s="30" t="str">
        <f aca="false">IF(AND(AQ926="利用可",AT926="利用可",AW926="利用可"),"利用可","不可")</f>
        <v>不可</v>
      </c>
    </row>
    <row r="927" customFormat="false" ht="15" hidden="false" customHeight="false" outlineLevel="0" collapsed="false">
      <c r="A927" s="29" t="n">
        <v>46270</v>
      </c>
      <c r="B927" s="30" t="n">
        <v>12</v>
      </c>
      <c r="C927" s="31" t="s">
        <v>63</v>
      </c>
      <c r="D927" s="31" t="s">
        <v>64</v>
      </c>
      <c r="E927" s="30" t="n">
        <v>60</v>
      </c>
      <c r="F927" s="30" t="n">
        <v>52</v>
      </c>
      <c r="G927" s="30" t="str">
        <f aca="false">IF(E927&lt;判定条件!$C$6,"判定不能",IF(F927&gt;=判定条件!$C$7*E927,"運転",IF(F927&lt;=判定条件!$C$8*E927,"停止","断続")))</f>
        <v>運転</v>
      </c>
      <c r="H927" s="30" t="n">
        <v>60</v>
      </c>
      <c r="I927" s="30" t="n">
        <v>60</v>
      </c>
      <c r="J927" s="30" t="str">
        <f aca="false">IF(H927&lt;判定条件!$C$6,"判定不能",IF(I927&gt;=判定条件!$C$7*H927,"運転",IF(I927&lt;=判定条件!$C$8*H927,"停止","断続")))</f>
        <v>運転</v>
      </c>
      <c r="K927" s="30" t="n">
        <v>60</v>
      </c>
      <c r="L927" s="30" t="n">
        <v>60</v>
      </c>
      <c r="M927" s="30" t="str">
        <f aca="false">IF(K927&lt;判定条件!$C$6,"判定不能",IF(L927&gt;=判定条件!$C$7*K927,"運転",IF(L927&lt;=判定条件!$C$8*K927,"停止","断続")))</f>
        <v>運転</v>
      </c>
      <c r="N927" s="30" t="n">
        <v>60</v>
      </c>
      <c r="O927" s="30" t="n">
        <v>44</v>
      </c>
      <c r="P927" s="30" t="str">
        <f aca="false">IF(N927&lt;判定条件!$C$6,"判定不能",IF(O927&gt;=判定条件!$C$7*N927,"運転",IF(O927&lt;=判定条件!$C$8*N927,"停止","断続")))</f>
        <v>断続</v>
      </c>
      <c r="Q927" s="30" t="n">
        <v>60</v>
      </c>
      <c r="R927" s="30" t="n">
        <v>51</v>
      </c>
      <c r="S927" s="30" t="str">
        <f aca="false">IF(Q927&lt;判定条件!$C$6,"判定不能",IF(R927&gt;=判定条件!$C$7*Q927,"運転",IF(R927&lt;=判定条件!$C$8*Q927,"停止","断続")))</f>
        <v>運転</v>
      </c>
      <c r="T927" s="30" t="n">
        <v>60</v>
      </c>
      <c r="U927" s="30" t="n">
        <v>52</v>
      </c>
      <c r="V927" s="30" t="str">
        <f aca="false">IF(T927&lt;判定条件!$C$6,"判定不能",IF(U927&gt;=判定条件!$C$7*T927,"運転",IF(U927&lt;=判定条件!$C$8*T927,"停止","断続")))</f>
        <v>運転</v>
      </c>
      <c r="W927" s="30" t="n">
        <v>60</v>
      </c>
      <c r="X927" s="30" t="n">
        <v>51</v>
      </c>
      <c r="Y927" s="30" t="str">
        <f aca="false">IF(W927&lt;判定条件!$C$6,"判定不能",IF(X927&gt;=判定条件!$C$7*W927,"運転",IF(X927&lt;=判定条件!$C$8*W927,"停止","断続")))</f>
        <v>運転</v>
      </c>
      <c r="Z927" s="30" t="n">
        <v>60</v>
      </c>
      <c r="AA927" s="30" t="n">
        <v>50</v>
      </c>
      <c r="AB927" s="30" t="str">
        <f aca="false">IF(Z927&lt;判定条件!$C$6,"判定不能",IF(AA927&gt;=判定条件!$C$7*Z927,"運転",IF(AA927&lt;=判定条件!$C$8*Z927,"停止","断続")))</f>
        <v>運転</v>
      </c>
      <c r="AC927" s="30" t="n">
        <v>60</v>
      </c>
      <c r="AD927" s="30" t="n">
        <v>60</v>
      </c>
      <c r="AE927" s="30" t="str">
        <f aca="false">IF(AC927&lt;判定条件!$C$6,"判定不能",IF(AD927&gt;=判定条件!$C$7*AC927,"運転",IF(AD927&lt;=判定条件!$C$8*AC927,"停止","断続")))</f>
        <v>運転</v>
      </c>
      <c r="AF927" s="30" t="n">
        <v>60</v>
      </c>
      <c r="AG927" s="30" t="n">
        <v>39</v>
      </c>
      <c r="AH927" s="30" t="str">
        <f aca="false">IF(OR(P927="判定不能",G927="判定不能"),"判定不能",IF(AG927&gt;=判定条件!$C$9,"利用可",IF(AND(P927="停止",G927="停止"),"両方停止","運転がそろわない")))</f>
        <v>利用可</v>
      </c>
      <c r="AI927" s="30" t="n">
        <v>60</v>
      </c>
      <c r="AJ927" s="30" t="n">
        <v>51</v>
      </c>
      <c r="AK927" s="30" t="str">
        <f aca="false">IF(OR(S927="判定不能",J927="判定不能"),"判定不能",IF(AJ927&gt;=判定条件!$C$9,"利用可",IF(AND(S927="停止",J927="停止"),"両方停止","運転がそろわない")))</f>
        <v>利用可</v>
      </c>
      <c r="AL927" s="30" t="n">
        <v>60</v>
      </c>
      <c r="AM927" s="30" t="n">
        <v>52</v>
      </c>
      <c r="AN927" s="30" t="str">
        <f aca="false">IF(OR(V927="判定不能",M927="判定不能"),"判定不能",IF(AM927&gt;=判定条件!$C$9,"利用可",IF(AND(V927="停止",M927="停止"),"両方停止","運転がそろわない")))</f>
        <v>利用可</v>
      </c>
      <c r="AO927" s="30" t="n">
        <v>60</v>
      </c>
      <c r="AP927" s="30" t="n">
        <v>47</v>
      </c>
      <c r="AQ927" s="30" t="str">
        <f aca="false">IF(OR(Y927="判定不能",G927="判定不能"),"判定不能",IF(AP927&gt;=判定条件!$C$9,"利用可",IF(AND(Y927="停止",G927="停止"),"両方停止","運転がそろわない")))</f>
        <v>利用可</v>
      </c>
      <c r="AR927" s="30" t="n">
        <v>60</v>
      </c>
      <c r="AS927" s="30" t="n">
        <v>50</v>
      </c>
      <c r="AT927" s="30" t="str">
        <f aca="false">IF(OR(AB927="判定不能",J927="判定不能"),"判定不能",IF(AS927&gt;=判定条件!$C$9,"利用可",IF(AND(AB927="停止",J927="停止"),"両方停止","運転がそろわない")))</f>
        <v>利用可</v>
      </c>
      <c r="AU927" s="30" t="n">
        <v>60</v>
      </c>
      <c r="AV927" s="30" t="n">
        <v>60</v>
      </c>
      <c r="AW927" s="30" t="str">
        <f aca="false">IF(OR(AE927="判定不能",M927="判定不能"),"判定不能",IF(AV927&gt;=判定条件!$C$9,"利用可",IF(AND(AE927="停止",M927="停止"),"両方停止","運転がそろわない")))</f>
        <v>利用可</v>
      </c>
      <c r="AX927" s="30" t="str">
        <f aca="false">IF(AND(AH927="利用可",AK927="利用可",AN927="利用可"),"利用可","不可")</f>
        <v>利用可</v>
      </c>
      <c r="AY927" s="30" t="str">
        <f aca="false">IF(AND(AQ927="利用可",AT927="利用可",AW927="利用可"),"利用可","不可")</f>
        <v>利用可</v>
      </c>
    </row>
    <row r="928" customFormat="false" ht="15" hidden="false" customHeight="false" outlineLevel="0" collapsed="false">
      <c r="A928" s="29" t="n">
        <v>46270</v>
      </c>
      <c r="B928" s="30" t="n">
        <v>13</v>
      </c>
      <c r="C928" s="31" t="s">
        <v>63</v>
      </c>
      <c r="D928" s="31" t="s">
        <v>64</v>
      </c>
      <c r="E928" s="30" t="n">
        <v>60</v>
      </c>
      <c r="F928" s="30" t="n">
        <v>60</v>
      </c>
      <c r="G928" s="30" t="str">
        <f aca="false">IF(E928&lt;判定条件!$C$6,"判定不能",IF(F928&gt;=判定条件!$C$7*E928,"運転",IF(F928&lt;=判定条件!$C$8*E928,"停止","断続")))</f>
        <v>運転</v>
      </c>
      <c r="H928" s="30" t="n">
        <v>60</v>
      </c>
      <c r="I928" s="30" t="n">
        <v>60</v>
      </c>
      <c r="J928" s="30" t="str">
        <f aca="false">IF(H928&lt;判定条件!$C$6,"判定不能",IF(I928&gt;=判定条件!$C$7*H928,"運転",IF(I928&lt;=判定条件!$C$8*H928,"停止","断続")))</f>
        <v>運転</v>
      </c>
      <c r="K928" s="30" t="n">
        <v>60</v>
      </c>
      <c r="L928" s="30" t="n">
        <v>60</v>
      </c>
      <c r="M928" s="30" t="str">
        <f aca="false">IF(K928&lt;判定条件!$C$6,"判定不能",IF(L928&gt;=判定条件!$C$7*K928,"運転",IF(L928&lt;=判定条件!$C$8*K928,"停止","断続")))</f>
        <v>運転</v>
      </c>
      <c r="N928" s="30" t="n">
        <v>60</v>
      </c>
      <c r="O928" s="30" t="n">
        <v>39</v>
      </c>
      <c r="P928" s="30" t="str">
        <f aca="false">IF(N928&lt;判定条件!$C$6,"判定不能",IF(O928&gt;=判定条件!$C$7*N928,"運転",IF(O928&lt;=判定条件!$C$8*N928,"停止","断続")))</f>
        <v>断続</v>
      </c>
      <c r="Q928" s="30" t="n">
        <v>60</v>
      </c>
      <c r="R928" s="30" t="n">
        <v>52</v>
      </c>
      <c r="S928" s="30" t="str">
        <f aca="false">IF(Q928&lt;判定条件!$C$6,"判定不能",IF(R928&gt;=判定条件!$C$7*Q928,"運転",IF(R928&lt;=判定条件!$C$8*Q928,"停止","断続")))</f>
        <v>運転</v>
      </c>
      <c r="T928" s="30" t="n">
        <v>60</v>
      </c>
      <c r="U928" s="30" t="n">
        <v>53</v>
      </c>
      <c r="V928" s="30" t="str">
        <f aca="false">IF(T928&lt;判定条件!$C$6,"判定不能",IF(U928&gt;=判定条件!$C$7*T928,"運転",IF(U928&lt;=判定条件!$C$8*T928,"停止","断続")))</f>
        <v>運転</v>
      </c>
      <c r="W928" s="30" t="n">
        <v>60</v>
      </c>
      <c r="X928" s="30" t="n">
        <v>49</v>
      </c>
      <c r="Y928" s="30" t="str">
        <f aca="false">IF(W928&lt;判定条件!$C$6,"判定不能",IF(X928&gt;=判定条件!$C$7*W928,"運転",IF(X928&lt;=判定条件!$C$8*W928,"停止","断続")))</f>
        <v>運転</v>
      </c>
      <c r="Z928" s="30" t="n">
        <v>60</v>
      </c>
      <c r="AA928" s="30" t="n">
        <v>54</v>
      </c>
      <c r="AB928" s="30" t="str">
        <f aca="false">IF(Z928&lt;判定条件!$C$6,"判定不能",IF(AA928&gt;=判定条件!$C$7*Z928,"運転",IF(AA928&lt;=判定条件!$C$8*Z928,"停止","断続")))</f>
        <v>運転</v>
      </c>
      <c r="AC928" s="30" t="n">
        <v>60</v>
      </c>
      <c r="AD928" s="30" t="n">
        <v>60</v>
      </c>
      <c r="AE928" s="30" t="str">
        <f aca="false">IF(AC928&lt;判定条件!$C$6,"判定不能",IF(AD928&gt;=判定条件!$C$7*AC928,"運転",IF(AD928&lt;=判定条件!$C$8*AC928,"停止","断続")))</f>
        <v>運転</v>
      </c>
      <c r="AF928" s="30" t="n">
        <v>60</v>
      </c>
      <c r="AG928" s="30" t="n">
        <v>39</v>
      </c>
      <c r="AH928" s="30" t="str">
        <f aca="false">IF(OR(P928="判定不能",G928="判定不能"),"判定不能",IF(AG928&gt;=判定条件!$C$9,"利用可",IF(AND(P928="停止",G928="停止"),"両方停止","運転がそろわない")))</f>
        <v>利用可</v>
      </c>
      <c r="AI928" s="30" t="n">
        <v>60</v>
      </c>
      <c r="AJ928" s="30" t="n">
        <v>52</v>
      </c>
      <c r="AK928" s="30" t="str">
        <f aca="false">IF(OR(S928="判定不能",J928="判定不能"),"判定不能",IF(AJ928&gt;=判定条件!$C$9,"利用可",IF(AND(S928="停止",J928="停止"),"両方停止","運転がそろわない")))</f>
        <v>利用可</v>
      </c>
      <c r="AL928" s="30" t="n">
        <v>60</v>
      </c>
      <c r="AM928" s="30" t="n">
        <v>53</v>
      </c>
      <c r="AN928" s="30" t="str">
        <f aca="false">IF(OR(V928="判定不能",M928="判定不能"),"判定不能",IF(AM928&gt;=判定条件!$C$9,"利用可",IF(AND(V928="停止",M928="停止"),"両方停止","運転がそろわない")))</f>
        <v>利用可</v>
      </c>
      <c r="AO928" s="30" t="n">
        <v>60</v>
      </c>
      <c r="AP928" s="30" t="n">
        <v>49</v>
      </c>
      <c r="AQ928" s="30" t="str">
        <f aca="false">IF(OR(Y928="判定不能",G928="判定不能"),"判定不能",IF(AP928&gt;=判定条件!$C$9,"利用可",IF(AND(Y928="停止",G928="停止"),"両方停止","運転がそろわない")))</f>
        <v>利用可</v>
      </c>
      <c r="AR928" s="30" t="n">
        <v>60</v>
      </c>
      <c r="AS928" s="30" t="n">
        <v>54</v>
      </c>
      <c r="AT928" s="30" t="str">
        <f aca="false">IF(OR(AB928="判定不能",J928="判定不能"),"判定不能",IF(AS928&gt;=判定条件!$C$9,"利用可",IF(AND(AB928="停止",J928="停止"),"両方停止","運転がそろわない")))</f>
        <v>利用可</v>
      </c>
      <c r="AU928" s="30" t="n">
        <v>60</v>
      </c>
      <c r="AV928" s="30" t="n">
        <v>60</v>
      </c>
      <c r="AW928" s="30" t="str">
        <f aca="false">IF(OR(AE928="判定不能",M928="判定不能"),"判定不能",IF(AV928&gt;=判定条件!$C$9,"利用可",IF(AND(AE928="停止",M928="停止"),"両方停止","運転がそろわない")))</f>
        <v>利用可</v>
      </c>
      <c r="AX928" s="30" t="str">
        <f aca="false">IF(AND(AH928="利用可",AK928="利用可",AN928="利用可"),"利用可","不可")</f>
        <v>利用可</v>
      </c>
      <c r="AY928" s="30" t="str">
        <f aca="false">IF(AND(AQ928="利用可",AT928="利用可",AW928="利用可"),"利用可","不可")</f>
        <v>利用可</v>
      </c>
    </row>
    <row r="929" customFormat="false" ht="15" hidden="false" customHeight="false" outlineLevel="0" collapsed="false">
      <c r="A929" s="29" t="n">
        <v>46270</v>
      </c>
      <c r="B929" s="30" t="n">
        <v>14</v>
      </c>
      <c r="C929" s="31" t="s">
        <v>63</v>
      </c>
      <c r="D929" s="31" t="s">
        <v>64</v>
      </c>
      <c r="E929" s="30" t="n">
        <v>60</v>
      </c>
      <c r="F929" s="30" t="n">
        <v>60</v>
      </c>
      <c r="G929" s="30" t="str">
        <f aca="false">IF(E929&lt;判定条件!$C$6,"判定不能",IF(F929&gt;=判定条件!$C$7*E929,"運転",IF(F929&lt;=判定条件!$C$8*E929,"停止","断続")))</f>
        <v>運転</v>
      </c>
      <c r="H929" s="30" t="n">
        <v>60</v>
      </c>
      <c r="I929" s="30" t="n">
        <v>60</v>
      </c>
      <c r="J929" s="30" t="str">
        <f aca="false">IF(H929&lt;判定条件!$C$6,"判定不能",IF(I929&gt;=判定条件!$C$7*H929,"運転",IF(I929&lt;=判定条件!$C$8*H929,"停止","断続")))</f>
        <v>運転</v>
      </c>
      <c r="K929" s="30" t="n">
        <v>60</v>
      </c>
      <c r="L929" s="30" t="n">
        <v>60</v>
      </c>
      <c r="M929" s="30" t="str">
        <f aca="false">IF(K929&lt;判定条件!$C$6,"判定不能",IF(L929&gt;=判定条件!$C$7*K929,"運転",IF(L929&lt;=判定条件!$C$8*K929,"停止","断続")))</f>
        <v>運転</v>
      </c>
      <c r="N929" s="30" t="n">
        <v>60</v>
      </c>
      <c r="O929" s="30" t="n">
        <v>33</v>
      </c>
      <c r="P929" s="30" t="str">
        <f aca="false">IF(N929&lt;判定条件!$C$6,"判定不能",IF(O929&gt;=判定条件!$C$7*N929,"運転",IF(O929&lt;=判定条件!$C$8*N929,"停止","断続")))</f>
        <v>断続</v>
      </c>
      <c r="Q929" s="30" t="n">
        <v>60</v>
      </c>
      <c r="R929" s="30" t="n">
        <v>60</v>
      </c>
      <c r="S929" s="30" t="str">
        <f aca="false">IF(Q929&lt;判定条件!$C$6,"判定不能",IF(R929&gt;=判定条件!$C$7*Q929,"運転",IF(R929&lt;=判定条件!$C$8*Q929,"停止","断続")))</f>
        <v>運転</v>
      </c>
      <c r="T929" s="30" t="n">
        <v>60</v>
      </c>
      <c r="U929" s="30" t="n">
        <v>60</v>
      </c>
      <c r="V929" s="30" t="str">
        <f aca="false">IF(T929&lt;判定条件!$C$6,"判定不能",IF(U929&gt;=判定条件!$C$7*T929,"運転",IF(U929&lt;=判定条件!$C$8*T929,"停止","断続")))</f>
        <v>運転</v>
      </c>
      <c r="W929" s="30" t="n">
        <v>60</v>
      </c>
      <c r="X929" s="30" t="n">
        <v>60</v>
      </c>
      <c r="Y929" s="30" t="str">
        <f aca="false">IF(W929&lt;判定条件!$C$6,"判定不能",IF(X929&gt;=判定条件!$C$7*W929,"運転",IF(X929&lt;=判定条件!$C$8*W929,"停止","断続")))</f>
        <v>運転</v>
      </c>
      <c r="Z929" s="30" t="n">
        <v>60</v>
      </c>
      <c r="AA929" s="30" t="n">
        <v>16</v>
      </c>
      <c r="AB929" s="30" t="str">
        <f aca="false">IF(Z929&lt;判定条件!$C$6,"判定不能",IF(AA929&gt;=判定条件!$C$7*Z929,"運転",IF(AA929&lt;=判定条件!$C$8*Z929,"停止","断続")))</f>
        <v>断続</v>
      </c>
      <c r="AC929" s="30" t="n">
        <v>60</v>
      </c>
      <c r="AD929" s="30" t="n">
        <v>53</v>
      </c>
      <c r="AE929" s="30" t="str">
        <f aca="false">IF(AC929&lt;判定条件!$C$6,"判定不能",IF(AD929&gt;=判定条件!$C$7*AC929,"運転",IF(AD929&lt;=判定条件!$C$8*AC929,"停止","断続")))</f>
        <v>運転</v>
      </c>
      <c r="AF929" s="30" t="n">
        <v>60</v>
      </c>
      <c r="AG929" s="30" t="n">
        <v>33</v>
      </c>
      <c r="AH929" s="30" t="str">
        <f aca="false">IF(OR(P929="判定不能",G929="判定不能"),"判定不能",IF(AG929&gt;=判定条件!$C$9,"利用可",IF(AND(P929="停止",G929="停止"),"両方停止","運転がそろわない")))</f>
        <v>利用可</v>
      </c>
      <c r="AI929" s="30" t="n">
        <v>60</v>
      </c>
      <c r="AJ929" s="30" t="n">
        <v>60</v>
      </c>
      <c r="AK929" s="30" t="str">
        <f aca="false">IF(OR(S929="判定不能",J929="判定不能"),"判定不能",IF(AJ929&gt;=判定条件!$C$9,"利用可",IF(AND(S929="停止",J929="停止"),"両方停止","運転がそろわない")))</f>
        <v>利用可</v>
      </c>
      <c r="AL929" s="30" t="n">
        <v>60</v>
      </c>
      <c r="AM929" s="30" t="n">
        <v>60</v>
      </c>
      <c r="AN929" s="30" t="str">
        <f aca="false">IF(OR(V929="判定不能",M929="判定不能"),"判定不能",IF(AM929&gt;=判定条件!$C$9,"利用可",IF(AND(V929="停止",M929="停止"),"両方停止","運転がそろわない")))</f>
        <v>利用可</v>
      </c>
      <c r="AO929" s="30" t="n">
        <v>60</v>
      </c>
      <c r="AP929" s="30" t="n">
        <v>60</v>
      </c>
      <c r="AQ929" s="30" t="str">
        <f aca="false">IF(OR(Y929="判定不能",G929="判定不能"),"判定不能",IF(AP929&gt;=判定条件!$C$9,"利用可",IF(AND(Y929="停止",G929="停止"),"両方停止","運転がそろわない")))</f>
        <v>利用可</v>
      </c>
      <c r="AR929" s="30" t="n">
        <v>60</v>
      </c>
      <c r="AS929" s="30" t="n">
        <v>16</v>
      </c>
      <c r="AT929" s="30" t="str">
        <f aca="false">IF(OR(AB929="判定不能",J929="判定不能"),"判定不能",IF(AS929&gt;=判定条件!$C$9,"利用可",IF(AND(AB929="停止",J929="停止"),"両方停止","運転がそろわない")))</f>
        <v>運転がそろわない</v>
      </c>
      <c r="AU929" s="30" t="n">
        <v>60</v>
      </c>
      <c r="AV929" s="30" t="n">
        <v>53</v>
      </c>
      <c r="AW929" s="30" t="str">
        <f aca="false">IF(OR(AE929="判定不能",M929="判定不能"),"判定不能",IF(AV929&gt;=判定条件!$C$9,"利用可",IF(AND(AE929="停止",M929="停止"),"両方停止","運転がそろわない")))</f>
        <v>利用可</v>
      </c>
      <c r="AX929" s="30" t="str">
        <f aca="false">IF(AND(AH929="利用可",AK929="利用可",AN929="利用可"),"利用可","不可")</f>
        <v>利用可</v>
      </c>
      <c r="AY929" s="30" t="str">
        <f aca="false">IF(AND(AQ929="利用可",AT929="利用可",AW929="利用可"),"利用可","不可")</f>
        <v>不可</v>
      </c>
    </row>
    <row r="930" customFormat="false" ht="15" hidden="false" customHeight="false" outlineLevel="0" collapsed="false">
      <c r="A930" s="29" t="n">
        <v>46270</v>
      </c>
      <c r="B930" s="30" t="n">
        <v>15</v>
      </c>
      <c r="C930" s="31" t="s">
        <v>63</v>
      </c>
      <c r="D930" s="31" t="s">
        <v>64</v>
      </c>
      <c r="E930" s="30" t="n">
        <v>60</v>
      </c>
      <c r="F930" s="30" t="n">
        <v>60</v>
      </c>
      <c r="G930" s="30" t="str">
        <f aca="false">IF(E930&lt;判定条件!$C$6,"判定不能",IF(F930&gt;=判定条件!$C$7*E930,"運転",IF(F930&lt;=判定条件!$C$8*E930,"停止","断続")))</f>
        <v>運転</v>
      </c>
      <c r="H930" s="30" t="n">
        <v>60</v>
      </c>
      <c r="I930" s="30" t="n">
        <v>60</v>
      </c>
      <c r="J930" s="30" t="str">
        <f aca="false">IF(H930&lt;判定条件!$C$6,"判定不能",IF(I930&gt;=判定条件!$C$7*H930,"運転",IF(I930&lt;=判定条件!$C$8*H930,"停止","断続")))</f>
        <v>運転</v>
      </c>
      <c r="K930" s="30" t="n">
        <v>60</v>
      </c>
      <c r="L930" s="30" t="n">
        <v>60</v>
      </c>
      <c r="M930" s="30" t="str">
        <f aca="false">IF(K930&lt;判定条件!$C$6,"判定不能",IF(L930&gt;=判定条件!$C$7*K930,"運転",IF(L930&lt;=判定条件!$C$8*K930,"停止","断続")))</f>
        <v>運転</v>
      </c>
      <c r="N930" s="30" t="n">
        <v>60</v>
      </c>
      <c r="O930" s="30" t="n">
        <v>45</v>
      </c>
      <c r="P930" s="30" t="str">
        <f aca="false">IF(N930&lt;判定条件!$C$6,"判定不能",IF(O930&gt;=判定条件!$C$7*N930,"運転",IF(O930&lt;=判定条件!$C$8*N930,"停止","断続")))</f>
        <v>断続</v>
      </c>
      <c r="Q930" s="30" t="n">
        <v>60</v>
      </c>
      <c r="R930" s="30" t="n">
        <v>53</v>
      </c>
      <c r="S930" s="30" t="str">
        <f aca="false">IF(Q930&lt;判定条件!$C$6,"判定不能",IF(R930&gt;=判定条件!$C$7*Q930,"運転",IF(R930&lt;=判定条件!$C$8*Q930,"停止","断続")))</f>
        <v>運転</v>
      </c>
      <c r="T930" s="30" t="n">
        <v>60</v>
      </c>
      <c r="U930" s="30" t="n">
        <v>53</v>
      </c>
      <c r="V930" s="30" t="str">
        <f aca="false">IF(T930&lt;判定条件!$C$6,"判定不能",IF(U930&gt;=判定条件!$C$7*T930,"運転",IF(U930&lt;=判定条件!$C$8*T930,"停止","断続")))</f>
        <v>運転</v>
      </c>
      <c r="W930" s="30" t="n">
        <v>60</v>
      </c>
      <c r="X930" s="30" t="n">
        <v>49</v>
      </c>
      <c r="Y930" s="30" t="str">
        <f aca="false">IF(W930&lt;判定条件!$C$6,"判定不能",IF(X930&gt;=判定条件!$C$7*W930,"運転",IF(X930&lt;=判定条件!$C$8*W930,"停止","断続")))</f>
        <v>運転</v>
      </c>
      <c r="Z930" s="30" t="n">
        <v>60</v>
      </c>
      <c r="AA930" s="30" t="n">
        <v>10</v>
      </c>
      <c r="AB930" s="30" t="str">
        <f aca="false">IF(Z930&lt;判定条件!$C$6,"判定不能",IF(AA930&gt;=判定条件!$C$7*Z930,"運転",IF(AA930&lt;=判定条件!$C$8*Z930,"停止","断続")))</f>
        <v>停止</v>
      </c>
      <c r="AC930" s="30" t="n">
        <v>60</v>
      </c>
      <c r="AD930" s="30" t="n">
        <v>48</v>
      </c>
      <c r="AE930" s="30" t="str">
        <f aca="false">IF(AC930&lt;判定条件!$C$6,"判定不能",IF(AD930&gt;=判定条件!$C$7*AC930,"運転",IF(AD930&lt;=判定条件!$C$8*AC930,"停止","断続")))</f>
        <v>運転</v>
      </c>
      <c r="AF930" s="30" t="n">
        <v>60</v>
      </c>
      <c r="AG930" s="30" t="n">
        <v>45</v>
      </c>
      <c r="AH930" s="30" t="str">
        <f aca="false">IF(OR(P930="判定不能",G930="判定不能"),"判定不能",IF(AG930&gt;=判定条件!$C$9,"利用可",IF(AND(P930="停止",G930="停止"),"両方停止","運転がそろわない")))</f>
        <v>利用可</v>
      </c>
      <c r="AI930" s="30" t="n">
        <v>60</v>
      </c>
      <c r="AJ930" s="30" t="n">
        <v>53</v>
      </c>
      <c r="AK930" s="30" t="str">
        <f aca="false">IF(OR(S930="判定不能",J930="判定不能"),"判定不能",IF(AJ930&gt;=判定条件!$C$9,"利用可",IF(AND(S930="停止",J930="停止"),"両方停止","運転がそろわない")))</f>
        <v>利用可</v>
      </c>
      <c r="AL930" s="30" t="n">
        <v>60</v>
      </c>
      <c r="AM930" s="30" t="n">
        <v>53</v>
      </c>
      <c r="AN930" s="30" t="str">
        <f aca="false">IF(OR(V930="判定不能",M930="判定不能"),"判定不能",IF(AM930&gt;=判定条件!$C$9,"利用可",IF(AND(V930="停止",M930="停止"),"両方停止","運転がそろわない")))</f>
        <v>利用可</v>
      </c>
      <c r="AO930" s="30" t="n">
        <v>60</v>
      </c>
      <c r="AP930" s="30" t="n">
        <v>49</v>
      </c>
      <c r="AQ930" s="30" t="str">
        <f aca="false">IF(OR(Y930="判定不能",G930="判定不能"),"判定不能",IF(AP930&gt;=判定条件!$C$9,"利用可",IF(AND(Y930="停止",G930="停止"),"両方停止","運転がそろわない")))</f>
        <v>利用可</v>
      </c>
      <c r="AR930" s="30" t="n">
        <v>60</v>
      </c>
      <c r="AS930" s="30" t="n">
        <v>10</v>
      </c>
      <c r="AT930" s="30" t="str">
        <f aca="false">IF(OR(AB930="判定不能",J930="判定不能"),"判定不能",IF(AS930&gt;=判定条件!$C$9,"利用可",IF(AND(AB930="停止",J930="停止"),"両方停止","運転がそろわない")))</f>
        <v>運転がそろわない</v>
      </c>
      <c r="AU930" s="30" t="n">
        <v>60</v>
      </c>
      <c r="AV930" s="30" t="n">
        <v>48</v>
      </c>
      <c r="AW930" s="30" t="str">
        <f aca="false">IF(OR(AE930="判定不能",M930="判定不能"),"判定不能",IF(AV930&gt;=判定条件!$C$9,"利用可",IF(AND(AE930="停止",M930="停止"),"両方停止","運転がそろわない")))</f>
        <v>利用可</v>
      </c>
      <c r="AX930" s="30" t="str">
        <f aca="false">IF(AND(AH930="利用可",AK930="利用可",AN930="利用可"),"利用可","不可")</f>
        <v>利用可</v>
      </c>
      <c r="AY930" s="30" t="str">
        <f aca="false">IF(AND(AQ930="利用可",AT930="利用可",AW930="利用可"),"利用可","不可")</f>
        <v>不可</v>
      </c>
    </row>
    <row r="931" customFormat="false" ht="15" hidden="false" customHeight="false" outlineLevel="0" collapsed="false">
      <c r="A931" s="29" t="n">
        <v>46270</v>
      </c>
      <c r="B931" s="30" t="n">
        <v>16</v>
      </c>
      <c r="C931" s="31" t="s">
        <v>63</v>
      </c>
      <c r="D931" s="31" t="s">
        <v>64</v>
      </c>
      <c r="E931" s="30" t="n">
        <v>60</v>
      </c>
      <c r="F931" s="30" t="n">
        <v>60</v>
      </c>
      <c r="G931" s="30" t="str">
        <f aca="false">IF(E931&lt;判定条件!$C$6,"判定不能",IF(F931&gt;=判定条件!$C$7*E931,"運転",IF(F931&lt;=判定条件!$C$8*E931,"停止","断続")))</f>
        <v>運転</v>
      </c>
      <c r="H931" s="30" t="n">
        <v>60</v>
      </c>
      <c r="I931" s="30" t="n">
        <v>60</v>
      </c>
      <c r="J931" s="30" t="str">
        <f aca="false">IF(H931&lt;判定条件!$C$6,"判定不能",IF(I931&gt;=判定条件!$C$7*H931,"運転",IF(I931&lt;=判定条件!$C$8*H931,"停止","断続")))</f>
        <v>運転</v>
      </c>
      <c r="K931" s="30" t="n">
        <v>60</v>
      </c>
      <c r="L931" s="30" t="n">
        <v>60</v>
      </c>
      <c r="M931" s="30" t="str">
        <f aca="false">IF(K931&lt;判定条件!$C$6,"判定不能",IF(L931&gt;=判定条件!$C$7*K931,"運転",IF(L931&lt;=判定条件!$C$8*K931,"停止","断続")))</f>
        <v>運転</v>
      </c>
      <c r="N931" s="30" t="n">
        <v>60</v>
      </c>
      <c r="O931" s="30" t="n">
        <v>31</v>
      </c>
      <c r="P931" s="30" t="str">
        <f aca="false">IF(N931&lt;判定条件!$C$6,"判定不能",IF(O931&gt;=判定条件!$C$7*N931,"運転",IF(O931&lt;=判定条件!$C$8*N931,"停止","断続")))</f>
        <v>断続</v>
      </c>
      <c r="Q931" s="30" t="n">
        <v>60</v>
      </c>
      <c r="R931" s="30" t="n">
        <v>32</v>
      </c>
      <c r="S931" s="30" t="str">
        <f aca="false">IF(Q931&lt;判定条件!$C$6,"判定不能",IF(R931&gt;=判定条件!$C$7*Q931,"運転",IF(R931&lt;=判定条件!$C$8*Q931,"停止","断続")))</f>
        <v>断続</v>
      </c>
      <c r="T931" s="30" t="n">
        <v>60</v>
      </c>
      <c r="U931" s="30" t="n">
        <v>5</v>
      </c>
      <c r="V931" s="30" t="str">
        <f aca="false">IF(T931&lt;判定条件!$C$6,"判定不能",IF(U931&gt;=判定条件!$C$7*T931,"運転",IF(U931&lt;=判定条件!$C$8*T931,"停止","断続")))</f>
        <v>停止</v>
      </c>
      <c r="W931" s="30" t="n">
        <v>60</v>
      </c>
      <c r="X931" s="30" t="n">
        <v>26</v>
      </c>
      <c r="Y931" s="30" t="str">
        <f aca="false">IF(W931&lt;判定条件!$C$6,"判定不能",IF(X931&gt;=判定条件!$C$7*W931,"運転",IF(X931&lt;=判定条件!$C$8*W931,"停止","断続")))</f>
        <v>断続</v>
      </c>
      <c r="Z931" s="30" t="n">
        <v>60</v>
      </c>
      <c r="AA931" s="30" t="n">
        <v>11</v>
      </c>
      <c r="AB931" s="30" t="str">
        <f aca="false">IF(Z931&lt;判定条件!$C$6,"判定不能",IF(AA931&gt;=判定条件!$C$7*Z931,"運転",IF(AA931&lt;=判定条件!$C$8*Z931,"停止","断続")))</f>
        <v>停止</v>
      </c>
      <c r="AC931" s="30" t="n">
        <v>60</v>
      </c>
      <c r="AD931" s="30" t="n">
        <v>52</v>
      </c>
      <c r="AE931" s="30" t="str">
        <f aca="false">IF(AC931&lt;判定条件!$C$6,"判定不能",IF(AD931&gt;=判定条件!$C$7*AC931,"運転",IF(AD931&lt;=判定条件!$C$8*AC931,"停止","断続")))</f>
        <v>運転</v>
      </c>
      <c r="AF931" s="30" t="n">
        <v>60</v>
      </c>
      <c r="AG931" s="30" t="n">
        <v>31</v>
      </c>
      <c r="AH931" s="30" t="str">
        <f aca="false">IF(OR(P931="判定不能",G931="判定不能"),"判定不能",IF(AG931&gt;=判定条件!$C$9,"利用可",IF(AND(P931="停止",G931="停止"),"両方停止","運転がそろわない")))</f>
        <v>利用可</v>
      </c>
      <c r="AI931" s="30" t="n">
        <v>60</v>
      </c>
      <c r="AJ931" s="30" t="n">
        <v>32</v>
      </c>
      <c r="AK931" s="30" t="str">
        <f aca="false">IF(OR(S931="判定不能",J931="判定不能"),"判定不能",IF(AJ931&gt;=判定条件!$C$9,"利用可",IF(AND(S931="停止",J931="停止"),"両方停止","運転がそろわない")))</f>
        <v>利用可</v>
      </c>
      <c r="AL931" s="30" t="n">
        <v>60</v>
      </c>
      <c r="AM931" s="30" t="n">
        <v>5</v>
      </c>
      <c r="AN931" s="30" t="str">
        <f aca="false">IF(OR(V931="判定不能",M931="判定不能"),"判定不能",IF(AM931&gt;=判定条件!$C$9,"利用可",IF(AND(V931="停止",M931="停止"),"両方停止","運転がそろわない")))</f>
        <v>運転がそろわない</v>
      </c>
      <c r="AO931" s="30" t="n">
        <v>60</v>
      </c>
      <c r="AP931" s="30" t="n">
        <v>26</v>
      </c>
      <c r="AQ931" s="30" t="str">
        <f aca="false">IF(OR(Y931="判定不能",G931="判定不能"),"判定不能",IF(AP931&gt;=判定条件!$C$9,"利用可",IF(AND(Y931="停止",G931="停止"),"両方停止","運転がそろわない")))</f>
        <v>運転がそろわない</v>
      </c>
      <c r="AR931" s="30" t="n">
        <v>60</v>
      </c>
      <c r="AS931" s="30" t="n">
        <v>11</v>
      </c>
      <c r="AT931" s="30" t="str">
        <f aca="false">IF(OR(AB931="判定不能",J931="判定不能"),"判定不能",IF(AS931&gt;=判定条件!$C$9,"利用可",IF(AND(AB931="停止",J931="停止"),"両方停止","運転がそろわない")))</f>
        <v>運転がそろわない</v>
      </c>
      <c r="AU931" s="30" t="n">
        <v>60</v>
      </c>
      <c r="AV931" s="30" t="n">
        <v>52</v>
      </c>
      <c r="AW931" s="30" t="str">
        <f aca="false">IF(OR(AE931="判定不能",M931="判定不能"),"判定不能",IF(AV931&gt;=判定条件!$C$9,"利用可",IF(AND(AE931="停止",M931="停止"),"両方停止","運転がそろわない")))</f>
        <v>利用可</v>
      </c>
      <c r="AX931" s="30" t="str">
        <f aca="false">IF(AND(AH931="利用可",AK931="利用可",AN931="利用可"),"利用可","不可")</f>
        <v>不可</v>
      </c>
      <c r="AY931" s="30" t="str">
        <f aca="false">IF(AND(AQ931="利用可",AT931="利用可",AW931="利用可"),"利用可","不可")</f>
        <v>不可</v>
      </c>
    </row>
    <row r="932" customFormat="false" ht="15" hidden="false" customHeight="false" outlineLevel="0" collapsed="false">
      <c r="A932" s="29" t="n">
        <v>46270</v>
      </c>
      <c r="B932" s="30" t="n">
        <v>17</v>
      </c>
      <c r="C932" s="31" t="s">
        <v>63</v>
      </c>
      <c r="D932" s="31" t="s">
        <v>64</v>
      </c>
      <c r="E932" s="30" t="n">
        <v>60</v>
      </c>
      <c r="F932" s="30" t="n">
        <v>55</v>
      </c>
      <c r="G932" s="30" t="str">
        <f aca="false">IF(E932&lt;判定条件!$C$6,"判定不能",IF(F932&gt;=判定条件!$C$7*E932,"運転",IF(F932&lt;=判定条件!$C$8*E932,"停止","断続")))</f>
        <v>運転</v>
      </c>
      <c r="H932" s="30" t="n">
        <v>60</v>
      </c>
      <c r="I932" s="30" t="n">
        <v>49</v>
      </c>
      <c r="J932" s="30" t="str">
        <f aca="false">IF(H932&lt;判定条件!$C$6,"判定不能",IF(I932&gt;=判定条件!$C$7*H932,"運転",IF(I932&lt;=判定条件!$C$8*H932,"停止","断続")))</f>
        <v>運転</v>
      </c>
      <c r="K932" s="30" t="n">
        <v>60</v>
      </c>
      <c r="L932" s="30" t="n">
        <v>60</v>
      </c>
      <c r="M932" s="30" t="str">
        <f aca="false">IF(K932&lt;判定条件!$C$6,"判定不能",IF(L932&gt;=判定条件!$C$7*K932,"運転",IF(L932&lt;=判定条件!$C$8*K932,"停止","断続")))</f>
        <v>運転</v>
      </c>
      <c r="N932" s="30" t="n">
        <v>60</v>
      </c>
      <c r="O932" s="30" t="n">
        <v>33</v>
      </c>
      <c r="P932" s="30" t="str">
        <f aca="false">IF(N932&lt;判定条件!$C$6,"判定不能",IF(O932&gt;=判定条件!$C$7*N932,"運転",IF(O932&lt;=判定条件!$C$8*N932,"停止","断続")))</f>
        <v>断続</v>
      </c>
      <c r="Q932" s="30" t="n">
        <v>60</v>
      </c>
      <c r="R932" s="30" t="n">
        <v>35</v>
      </c>
      <c r="S932" s="30" t="str">
        <f aca="false">IF(Q932&lt;判定条件!$C$6,"判定不能",IF(R932&gt;=判定条件!$C$7*Q932,"運転",IF(R932&lt;=判定条件!$C$8*Q932,"停止","断続")))</f>
        <v>断続</v>
      </c>
      <c r="T932" s="30" t="n">
        <v>60</v>
      </c>
      <c r="U932" s="30" t="n">
        <v>8</v>
      </c>
      <c r="V932" s="30" t="str">
        <f aca="false">IF(T932&lt;判定条件!$C$6,"判定不能",IF(U932&gt;=判定条件!$C$7*T932,"運転",IF(U932&lt;=判定条件!$C$8*T932,"停止","断続")))</f>
        <v>停止</v>
      </c>
      <c r="W932" s="30" t="n">
        <v>60</v>
      </c>
      <c r="X932" s="30" t="n">
        <v>36</v>
      </c>
      <c r="Y932" s="30" t="str">
        <f aca="false">IF(W932&lt;判定条件!$C$6,"判定不能",IF(X932&gt;=判定条件!$C$7*W932,"運転",IF(X932&lt;=判定条件!$C$8*W932,"停止","断続")))</f>
        <v>断続</v>
      </c>
      <c r="Z932" s="30" t="n">
        <v>60</v>
      </c>
      <c r="AA932" s="30" t="n">
        <v>34</v>
      </c>
      <c r="AB932" s="30" t="str">
        <f aca="false">IF(Z932&lt;判定条件!$C$6,"判定不能",IF(AA932&gt;=判定条件!$C$7*Z932,"運転",IF(AA932&lt;=判定条件!$C$8*Z932,"停止","断続")))</f>
        <v>断続</v>
      </c>
      <c r="AC932" s="30" t="n">
        <v>60</v>
      </c>
      <c r="AD932" s="30" t="n">
        <v>52</v>
      </c>
      <c r="AE932" s="30" t="str">
        <f aca="false">IF(AC932&lt;判定条件!$C$6,"判定不能",IF(AD932&gt;=判定条件!$C$7*AC932,"運転",IF(AD932&lt;=判定条件!$C$8*AC932,"停止","断続")))</f>
        <v>運転</v>
      </c>
      <c r="AF932" s="30" t="n">
        <v>60</v>
      </c>
      <c r="AG932" s="30" t="n">
        <v>33</v>
      </c>
      <c r="AH932" s="30" t="str">
        <f aca="false">IF(OR(P932="判定不能",G932="判定不能"),"判定不能",IF(AG932&gt;=判定条件!$C$9,"利用可",IF(AND(P932="停止",G932="停止"),"両方停止","運転がそろわない")))</f>
        <v>利用可</v>
      </c>
      <c r="AI932" s="30" t="n">
        <v>60</v>
      </c>
      <c r="AJ932" s="30" t="n">
        <v>29</v>
      </c>
      <c r="AK932" s="30" t="str">
        <f aca="false">IF(OR(S932="判定不能",J932="判定不能"),"判定不能",IF(AJ932&gt;=判定条件!$C$9,"利用可",IF(AND(S932="停止",J932="停止"),"両方停止","運転がそろわない")))</f>
        <v>運転がそろわない</v>
      </c>
      <c r="AL932" s="30" t="n">
        <v>60</v>
      </c>
      <c r="AM932" s="30" t="n">
        <v>8</v>
      </c>
      <c r="AN932" s="30" t="str">
        <f aca="false">IF(OR(V932="判定不能",M932="判定不能"),"判定不能",IF(AM932&gt;=判定条件!$C$9,"利用可",IF(AND(V932="停止",M932="停止"),"両方停止","運転がそろわない")))</f>
        <v>運転がそろわない</v>
      </c>
      <c r="AO932" s="30" t="n">
        <v>60</v>
      </c>
      <c r="AP932" s="30" t="n">
        <v>31</v>
      </c>
      <c r="AQ932" s="30" t="str">
        <f aca="false">IF(OR(Y932="判定不能",G932="判定不能"),"判定不能",IF(AP932&gt;=判定条件!$C$9,"利用可",IF(AND(Y932="停止",G932="停止"),"両方停止","運転がそろわない")))</f>
        <v>利用可</v>
      </c>
      <c r="AR932" s="30" t="n">
        <v>60</v>
      </c>
      <c r="AS932" s="30" t="n">
        <v>32</v>
      </c>
      <c r="AT932" s="30" t="str">
        <f aca="false">IF(OR(AB932="判定不能",J932="判定不能"),"判定不能",IF(AS932&gt;=判定条件!$C$9,"利用可",IF(AND(AB932="停止",J932="停止"),"両方停止","運転がそろわない")))</f>
        <v>利用可</v>
      </c>
      <c r="AU932" s="30" t="n">
        <v>60</v>
      </c>
      <c r="AV932" s="30" t="n">
        <v>52</v>
      </c>
      <c r="AW932" s="30" t="str">
        <f aca="false">IF(OR(AE932="判定不能",M932="判定不能"),"判定不能",IF(AV932&gt;=判定条件!$C$9,"利用可",IF(AND(AE932="停止",M932="停止"),"両方停止","運転がそろわない")))</f>
        <v>利用可</v>
      </c>
      <c r="AX932" s="30" t="str">
        <f aca="false">IF(AND(AH932="利用可",AK932="利用可",AN932="利用可"),"利用可","不可")</f>
        <v>不可</v>
      </c>
      <c r="AY932" s="30" t="str">
        <f aca="false">IF(AND(AQ932="利用可",AT932="利用可",AW932="利用可"),"利用可","不可")</f>
        <v>利用可</v>
      </c>
    </row>
    <row r="933" customFormat="false" ht="15" hidden="false" customHeight="false" outlineLevel="0" collapsed="false">
      <c r="A933" s="29" t="n">
        <v>46270</v>
      </c>
      <c r="B933" s="30" t="n">
        <v>18</v>
      </c>
      <c r="C933" s="31" t="s">
        <v>63</v>
      </c>
      <c r="D933" s="31" t="s">
        <v>64</v>
      </c>
      <c r="E933" s="30" t="n">
        <v>60</v>
      </c>
      <c r="F933" s="30" t="n">
        <v>47</v>
      </c>
      <c r="G933" s="30" t="str">
        <f aca="false">IF(E933&lt;判定条件!$C$6,"判定不能",IF(F933&gt;=判定条件!$C$7*E933,"運転",IF(F933&lt;=判定条件!$C$8*E933,"停止","断続")))</f>
        <v>断続</v>
      </c>
      <c r="H933" s="30" t="n">
        <v>60</v>
      </c>
      <c r="I933" s="30" t="n">
        <v>52</v>
      </c>
      <c r="J933" s="30" t="str">
        <f aca="false">IF(H933&lt;判定条件!$C$6,"判定不能",IF(I933&gt;=判定条件!$C$7*H933,"運転",IF(I933&lt;=判定条件!$C$8*H933,"停止","断続")))</f>
        <v>運転</v>
      </c>
      <c r="K933" s="30" t="n">
        <v>60</v>
      </c>
      <c r="L933" s="30" t="n">
        <v>60</v>
      </c>
      <c r="M933" s="30" t="str">
        <f aca="false">IF(K933&lt;判定条件!$C$6,"判定不能",IF(L933&gt;=判定条件!$C$7*K933,"運転",IF(L933&lt;=判定条件!$C$8*K933,"停止","断続")))</f>
        <v>運転</v>
      </c>
      <c r="N933" s="30" t="n">
        <v>60</v>
      </c>
      <c r="O933" s="30" t="n">
        <v>3</v>
      </c>
      <c r="P933" s="30" t="str">
        <f aca="false">IF(N933&lt;判定条件!$C$6,"判定不能",IF(O933&gt;=判定条件!$C$7*N933,"運転",IF(O933&lt;=判定条件!$C$8*N933,"停止","断続")))</f>
        <v>停止</v>
      </c>
      <c r="Q933" s="30" t="n">
        <v>60</v>
      </c>
      <c r="R933" s="30" t="n">
        <v>2</v>
      </c>
      <c r="S933" s="30" t="str">
        <f aca="false">IF(Q933&lt;判定条件!$C$6,"判定不能",IF(R933&gt;=判定条件!$C$7*Q933,"運転",IF(R933&lt;=判定条件!$C$8*Q933,"停止","断続")))</f>
        <v>停止</v>
      </c>
      <c r="T933" s="30" t="n">
        <v>60</v>
      </c>
      <c r="U933" s="30" t="n">
        <v>0</v>
      </c>
      <c r="V933" s="30" t="str">
        <f aca="false">IF(T933&lt;判定条件!$C$6,"判定不能",IF(U933&gt;=判定条件!$C$7*T933,"運転",IF(U933&lt;=判定条件!$C$8*T933,"停止","断続")))</f>
        <v>停止</v>
      </c>
      <c r="W933" s="30" t="n">
        <v>60</v>
      </c>
      <c r="X933" s="30" t="n">
        <v>5</v>
      </c>
      <c r="Y933" s="30" t="str">
        <f aca="false">IF(W933&lt;判定条件!$C$6,"判定不能",IF(X933&gt;=判定条件!$C$7*W933,"運転",IF(X933&lt;=判定条件!$C$8*W933,"停止","断続")))</f>
        <v>停止</v>
      </c>
      <c r="Z933" s="30" t="n">
        <v>60</v>
      </c>
      <c r="AA933" s="30" t="n">
        <v>6</v>
      </c>
      <c r="AB933" s="30" t="str">
        <f aca="false">IF(Z933&lt;判定条件!$C$6,"判定不能",IF(AA933&gt;=判定条件!$C$7*Z933,"運転",IF(AA933&lt;=判定条件!$C$8*Z933,"停止","断続")))</f>
        <v>停止</v>
      </c>
      <c r="AC933" s="30" t="n">
        <v>60</v>
      </c>
      <c r="AD933" s="30" t="n">
        <v>8</v>
      </c>
      <c r="AE933" s="30" t="str">
        <f aca="false">IF(AC933&lt;判定条件!$C$6,"判定不能",IF(AD933&gt;=判定条件!$C$7*AC933,"運転",IF(AD933&lt;=判定条件!$C$8*AC933,"停止","断続")))</f>
        <v>停止</v>
      </c>
      <c r="AF933" s="30" t="n">
        <v>60</v>
      </c>
      <c r="AG933" s="30" t="n">
        <v>3</v>
      </c>
      <c r="AH933" s="30" t="str">
        <f aca="false">IF(OR(P933="判定不能",G933="判定不能"),"判定不能",IF(AG933&gt;=判定条件!$C$9,"利用可",IF(AND(P933="停止",G933="停止"),"両方停止","運転がそろわない")))</f>
        <v>運転がそろわない</v>
      </c>
      <c r="AI933" s="30" t="n">
        <v>60</v>
      </c>
      <c r="AJ933" s="30" t="n">
        <v>2</v>
      </c>
      <c r="AK933" s="30" t="str">
        <f aca="false">IF(OR(S933="判定不能",J933="判定不能"),"判定不能",IF(AJ933&gt;=判定条件!$C$9,"利用可",IF(AND(S933="停止",J933="停止"),"両方停止","運転がそろわない")))</f>
        <v>運転がそろわない</v>
      </c>
      <c r="AL933" s="30" t="n">
        <v>60</v>
      </c>
      <c r="AM933" s="30" t="n">
        <v>0</v>
      </c>
      <c r="AN933" s="30" t="str">
        <f aca="false">IF(OR(V933="判定不能",M933="判定不能"),"判定不能",IF(AM933&gt;=判定条件!$C$9,"利用可",IF(AND(V933="停止",M933="停止"),"両方停止","運転がそろわない")))</f>
        <v>運転がそろわない</v>
      </c>
      <c r="AO933" s="30" t="n">
        <v>60</v>
      </c>
      <c r="AP933" s="30" t="n">
        <v>5</v>
      </c>
      <c r="AQ933" s="30" t="str">
        <f aca="false">IF(OR(Y933="判定不能",G933="判定不能"),"判定不能",IF(AP933&gt;=判定条件!$C$9,"利用可",IF(AND(Y933="停止",G933="停止"),"両方停止","運転がそろわない")))</f>
        <v>運転がそろわない</v>
      </c>
      <c r="AR933" s="30" t="n">
        <v>60</v>
      </c>
      <c r="AS933" s="30" t="n">
        <v>6</v>
      </c>
      <c r="AT933" s="30" t="str">
        <f aca="false">IF(OR(AB933="判定不能",J933="判定不能"),"判定不能",IF(AS933&gt;=判定条件!$C$9,"利用可",IF(AND(AB933="停止",J933="停止"),"両方停止","運転がそろわない")))</f>
        <v>運転がそろわない</v>
      </c>
      <c r="AU933" s="30" t="n">
        <v>60</v>
      </c>
      <c r="AV933" s="30" t="n">
        <v>8</v>
      </c>
      <c r="AW933" s="30" t="str">
        <f aca="false">IF(OR(AE933="判定不能",M933="判定不能"),"判定不能",IF(AV933&gt;=判定条件!$C$9,"利用可",IF(AND(AE933="停止",M933="停止"),"両方停止","運転がそろわない")))</f>
        <v>運転がそろわない</v>
      </c>
      <c r="AX933" s="30" t="str">
        <f aca="false">IF(AND(AH933="利用可",AK933="利用可",AN933="利用可"),"利用可","不可")</f>
        <v>不可</v>
      </c>
      <c r="AY933" s="30" t="str">
        <f aca="false">IF(AND(AQ933="利用可",AT933="利用可",AW933="利用可"),"利用可","不可")</f>
        <v>不可</v>
      </c>
    </row>
    <row r="934" customFormat="false" ht="15" hidden="false" customHeight="false" outlineLevel="0" collapsed="false">
      <c r="A934" s="29" t="n">
        <v>46270</v>
      </c>
      <c r="B934" s="30" t="n">
        <v>19</v>
      </c>
      <c r="C934" s="31" t="s">
        <v>63</v>
      </c>
      <c r="D934" s="31" t="s">
        <v>64</v>
      </c>
      <c r="E934" s="30" t="n">
        <v>60</v>
      </c>
      <c r="F934" s="30" t="n">
        <v>36</v>
      </c>
      <c r="G934" s="30" t="str">
        <f aca="false">IF(E934&lt;判定条件!$C$6,"判定不能",IF(F934&gt;=判定条件!$C$7*E934,"運転",IF(F934&lt;=判定条件!$C$8*E934,"停止","断続")))</f>
        <v>断続</v>
      </c>
      <c r="H934" s="30" t="n">
        <v>60</v>
      </c>
      <c r="I934" s="30" t="n">
        <v>51</v>
      </c>
      <c r="J934" s="30" t="str">
        <f aca="false">IF(H934&lt;判定条件!$C$6,"判定不能",IF(I934&gt;=判定条件!$C$7*H934,"運転",IF(I934&lt;=判定条件!$C$8*H934,"停止","断続")))</f>
        <v>運転</v>
      </c>
      <c r="K934" s="30" t="n">
        <v>60</v>
      </c>
      <c r="L934" s="30" t="n">
        <v>60</v>
      </c>
      <c r="M934" s="30" t="str">
        <f aca="false">IF(K934&lt;判定条件!$C$6,"判定不能",IF(L934&gt;=判定条件!$C$7*K934,"運転",IF(L934&lt;=判定条件!$C$8*K934,"停止","断続")))</f>
        <v>運転</v>
      </c>
      <c r="N934" s="30" t="n">
        <v>60</v>
      </c>
      <c r="O934" s="30" t="n">
        <v>0</v>
      </c>
      <c r="P934" s="30" t="str">
        <f aca="false">IF(N934&lt;判定条件!$C$6,"判定不能",IF(O934&gt;=判定条件!$C$7*N934,"運転",IF(O934&lt;=判定条件!$C$8*N934,"停止","断続")))</f>
        <v>停止</v>
      </c>
      <c r="Q934" s="30" t="n">
        <v>60</v>
      </c>
      <c r="R934" s="30" t="n">
        <v>59</v>
      </c>
      <c r="S934" s="30" t="str">
        <f aca="false">IF(Q934&lt;判定条件!$C$6,"判定不能",IF(R934&gt;=判定条件!$C$7*Q934,"運転",IF(R934&lt;=判定条件!$C$8*Q934,"停止","断続")))</f>
        <v>運転</v>
      </c>
      <c r="T934" s="30" t="n">
        <v>60</v>
      </c>
      <c r="U934" s="30" t="n">
        <v>0</v>
      </c>
      <c r="V934" s="30" t="str">
        <f aca="false">IF(T934&lt;判定条件!$C$6,"判定不能",IF(U934&gt;=判定条件!$C$7*T934,"運転",IF(U934&lt;=判定条件!$C$8*T934,"停止","断続")))</f>
        <v>停止</v>
      </c>
      <c r="W934" s="30" t="n">
        <v>60</v>
      </c>
      <c r="X934" s="30" t="n">
        <v>0</v>
      </c>
      <c r="Y934" s="30" t="str">
        <f aca="false">IF(W934&lt;判定条件!$C$6,"判定不能",IF(X934&gt;=判定条件!$C$7*W934,"運転",IF(X934&lt;=判定条件!$C$8*W934,"停止","断続")))</f>
        <v>停止</v>
      </c>
      <c r="Z934" s="30" t="n">
        <v>60</v>
      </c>
      <c r="AA934" s="30" t="n">
        <v>0</v>
      </c>
      <c r="AB934" s="30" t="str">
        <f aca="false">IF(Z934&lt;判定条件!$C$6,"判定不能",IF(AA934&gt;=判定条件!$C$7*Z934,"運転",IF(AA934&lt;=判定条件!$C$8*Z934,"停止","断続")))</f>
        <v>停止</v>
      </c>
      <c r="AC934" s="30" t="n">
        <v>60</v>
      </c>
      <c r="AD934" s="30" t="n">
        <v>0</v>
      </c>
      <c r="AE934" s="30" t="str">
        <f aca="false">IF(AC934&lt;判定条件!$C$6,"判定不能",IF(AD934&gt;=判定条件!$C$7*AC934,"運転",IF(AD934&lt;=判定条件!$C$8*AC934,"停止","断続")))</f>
        <v>停止</v>
      </c>
      <c r="AF934" s="30" t="n">
        <v>60</v>
      </c>
      <c r="AG934" s="30" t="n">
        <v>0</v>
      </c>
      <c r="AH934" s="30" t="str">
        <f aca="false">IF(OR(P934="判定不能",G934="判定不能"),"判定不能",IF(AG934&gt;=判定条件!$C$9,"利用可",IF(AND(P934="停止",G934="停止"),"両方停止","運転がそろわない")))</f>
        <v>運転がそろわない</v>
      </c>
      <c r="AI934" s="30" t="n">
        <v>60</v>
      </c>
      <c r="AJ934" s="30" t="n">
        <v>50</v>
      </c>
      <c r="AK934" s="30" t="str">
        <f aca="false">IF(OR(S934="判定不能",J934="判定不能"),"判定不能",IF(AJ934&gt;=判定条件!$C$9,"利用可",IF(AND(S934="停止",J934="停止"),"両方停止","運転がそろわない")))</f>
        <v>利用可</v>
      </c>
      <c r="AL934" s="30" t="n">
        <v>60</v>
      </c>
      <c r="AM934" s="30" t="n">
        <v>0</v>
      </c>
      <c r="AN934" s="30" t="str">
        <f aca="false">IF(OR(V934="判定不能",M934="判定不能"),"判定不能",IF(AM934&gt;=判定条件!$C$9,"利用可",IF(AND(V934="停止",M934="停止"),"両方停止","運転がそろわない")))</f>
        <v>運転がそろわない</v>
      </c>
      <c r="AO934" s="30" t="n">
        <v>60</v>
      </c>
      <c r="AP934" s="30" t="n">
        <v>0</v>
      </c>
      <c r="AQ934" s="30" t="str">
        <f aca="false">IF(OR(Y934="判定不能",G934="判定不能"),"判定不能",IF(AP934&gt;=判定条件!$C$9,"利用可",IF(AND(Y934="停止",G934="停止"),"両方停止","運転がそろわない")))</f>
        <v>運転がそろわない</v>
      </c>
      <c r="AR934" s="30" t="n">
        <v>60</v>
      </c>
      <c r="AS934" s="30" t="n">
        <v>0</v>
      </c>
      <c r="AT934" s="30" t="str">
        <f aca="false">IF(OR(AB934="判定不能",J934="判定不能"),"判定不能",IF(AS934&gt;=判定条件!$C$9,"利用可",IF(AND(AB934="停止",J934="停止"),"両方停止","運転がそろわない")))</f>
        <v>運転がそろわない</v>
      </c>
      <c r="AU934" s="30" t="n">
        <v>60</v>
      </c>
      <c r="AV934" s="30" t="n">
        <v>0</v>
      </c>
      <c r="AW934" s="30" t="str">
        <f aca="false">IF(OR(AE934="判定不能",M934="判定不能"),"判定不能",IF(AV934&gt;=判定条件!$C$9,"利用可",IF(AND(AE934="停止",M934="停止"),"両方停止","運転がそろわない")))</f>
        <v>運転がそろわない</v>
      </c>
      <c r="AX934" s="30" t="str">
        <f aca="false">IF(AND(AH934="利用可",AK934="利用可",AN934="利用可"),"利用可","不可")</f>
        <v>不可</v>
      </c>
      <c r="AY934" s="30" t="str">
        <f aca="false">IF(AND(AQ934="利用可",AT934="利用可",AW934="利用可"),"利用可","不可")</f>
        <v>不可</v>
      </c>
    </row>
    <row r="935" customFormat="false" ht="15" hidden="false" customHeight="false" outlineLevel="0" collapsed="false">
      <c r="A935" s="29" t="n">
        <v>46270</v>
      </c>
      <c r="B935" s="30" t="n">
        <v>20</v>
      </c>
      <c r="C935" s="31" t="s">
        <v>63</v>
      </c>
      <c r="D935" s="31" t="s">
        <v>64</v>
      </c>
      <c r="E935" s="30" t="n">
        <v>60</v>
      </c>
      <c r="F935" s="30" t="n">
        <v>19</v>
      </c>
      <c r="G935" s="30" t="str">
        <f aca="false">IF(E935&lt;判定条件!$C$6,"判定不能",IF(F935&gt;=判定条件!$C$7*E935,"運転",IF(F935&lt;=判定条件!$C$8*E935,"停止","断続")))</f>
        <v>断続</v>
      </c>
      <c r="H935" s="30" t="n">
        <v>60</v>
      </c>
      <c r="I935" s="30" t="n">
        <v>27</v>
      </c>
      <c r="J935" s="30" t="str">
        <f aca="false">IF(H935&lt;判定条件!$C$6,"判定不能",IF(I935&gt;=判定条件!$C$7*H935,"運転",IF(I935&lt;=判定条件!$C$8*H935,"停止","断続")))</f>
        <v>断続</v>
      </c>
      <c r="K935" s="30" t="n">
        <v>60</v>
      </c>
      <c r="L935" s="30" t="n">
        <v>60</v>
      </c>
      <c r="M935" s="30" t="str">
        <f aca="false">IF(K935&lt;判定条件!$C$6,"判定不能",IF(L935&gt;=判定条件!$C$7*K935,"運転",IF(L935&lt;=判定条件!$C$8*K935,"停止","断続")))</f>
        <v>運転</v>
      </c>
      <c r="N935" s="30" t="n">
        <v>60</v>
      </c>
      <c r="O935" s="30" t="n">
        <v>0</v>
      </c>
      <c r="P935" s="30" t="str">
        <f aca="false">IF(N935&lt;判定条件!$C$6,"判定不能",IF(O935&gt;=判定条件!$C$7*N935,"運転",IF(O935&lt;=判定条件!$C$8*N935,"停止","断続")))</f>
        <v>停止</v>
      </c>
      <c r="Q935" s="30" t="n">
        <v>60</v>
      </c>
      <c r="R935" s="30" t="n">
        <v>13</v>
      </c>
      <c r="S935" s="30" t="str">
        <f aca="false">IF(Q935&lt;判定条件!$C$6,"判定不能",IF(R935&gt;=判定条件!$C$7*Q935,"運転",IF(R935&lt;=判定条件!$C$8*Q935,"停止","断続")))</f>
        <v>断続</v>
      </c>
      <c r="T935" s="30" t="n">
        <v>60</v>
      </c>
      <c r="U935" s="30" t="n">
        <v>0</v>
      </c>
      <c r="V935" s="30" t="str">
        <f aca="false">IF(T935&lt;判定条件!$C$6,"判定不能",IF(U935&gt;=判定条件!$C$7*T935,"運転",IF(U935&lt;=判定条件!$C$8*T935,"停止","断続")))</f>
        <v>停止</v>
      </c>
      <c r="W935" s="30" t="n">
        <v>60</v>
      </c>
      <c r="X935" s="30" t="n">
        <v>0</v>
      </c>
      <c r="Y935" s="30" t="str">
        <f aca="false">IF(W935&lt;判定条件!$C$6,"判定不能",IF(X935&gt;=判定条件!$C$7*W935,"運転",IF(X935&lt;=判定条件!$C$8*W935,"停止","断続")))</f>
        <v>停止</v>
      </c>
      <c r="Z935" s="30" t="n">
        <v>60</v>
      </c>
      <c r="AA935" s="30" t="n">
        <v>0</v>
      </c>
      <c r="AB935" s="30" t="str">
        <f aca="false">IF(Z935&lt;判定条件!$C$6,"判定不能",IF(AA935&gt;=判定条件!$C$7*Z935,"運転",IF(AA935&lt;=判定条件!$C$8*Z935,"停止","断続")))</f>
        <v>停止</v>
      </c>
      <c r="AC935" s="30" t="n">
        <v>60</v>
      </c>
      <c r="AD935" s="30" t="n">
        <v>0</v>
      </c>
      <c r="AE935" s="30" t="str">
        <f aca="false">IF(AC935&lt;判定条件!$C$6,"判定不能",IF(AD935&gt;=判定条件!$C$7*AC935,"運転",IF(AD935&lt;=判定条件!$C$8*AC935,"停止","断続")))</f>
        <v>停止</v>
      </c>
      <c r="AF935" s="30" t="n">
        <v>60</v>
      </c>
      <c r="AG935" s="30" t="n">
        <v>0</v>
      </c>
      <c r="AH935" s="30" t="str">
        <f aca="false">IF(OR(P935="判定不能",G935="判定不能"),"判定不能",IF(AG935&gt;=判定条件!$C$9,"利用可",IF(AND(P935="停止",G935="停止"),"両方停止","運転がそろわない")))</f>
        <v>運転がそろわない</v>
      </c>
      <c r="AI935" s="30" t="n">
        <v>60</v>
      </c>
      <c r="AJ935" s="30" t="n">
        <v>13</v>
      </c>
      <c r="AK935" s="30" t="str">
        <f aca="false">IF(OR(S935="判定不能",J935="判定不能"),"判定不能",IF(AJ935&gt;=判定条件!$C$9,"利用可",IF(AND(S935="停止",J935="停止"),"両方停止","運転がそろわない")))</f>
        <v>運転がそろわない</v>
      </c>
      <c r="AL935" s="30" t="n">
        <v>60</v>
      </c>
      <c r="AM935" s="30" t="n">
        <v>0</v>
      </c>
      <c r="AN935" s="30" t="str">
        <f aca="false">IF(OR(V935="判定不能",M935="判定不能"),"判定不能",IF(AM935&gt;=判定条件!$C$9,"利用可",IF(AND(V935="停止",M935="停止"),"両方停止","運転がそろわない")))</f>
        <v>運転がそろわない</v>
      </c>
      <c r="AO935" s="30" t="n">
        <v>60</v>
      </c>
      <c r="AP935" s="30" t="n">
        <v>0</v>
      </c>
      <c r="AQ935" s="30" t="str">
        <f aca="false">IF(OR(Y935="判定不能",G935="判定不能"),"判定不能",IF(AP935&gt;=判定条件!$C$9,"利用可",IF(AND(Y935="停止",G935="停止"),"両方停止","運転がそろわない")))</f>
        <v>運転がそろわない</v>
      </c>
      <c r="AR935" s="30" t="n">
        <v>60</v>
      </c>
      <c r="AS935" s="30" t="n">
        <v>0</v>
      </c>
      <c r="AT935" s="30" t="str">
        <f aca="false">IF(OR(AB935="判定不能",J935="判定不能"),"判定不能",IF(AS935&gt;=判定条件!$C$9,"利用可",IF(AND(AB935="停止",J935="停止"),"両方停止","運転がそろわない")))</f>
        <v>運転がそろわない</v>
      </c>
      <c r="AU935" s="30" t="n">
        <v>60</v>
      </c>
      <c r="AV935" s="30" t="n">
        <v>0</v>
      </c>
      <c r="AW935" s="30" t="str">
        <f aca="false">IF(OR(AE935="判定不能",M935="判定不能"),"判定不能",IF(AV935&gt;=判定条件!$C$9,"利用可",IF(AND(AE935="停止",M935="停止"),"両方停止","運転がそろわない")))</f>
        <v>運転がそろわない</v>
      </c>
      <c r="AX935" s="30" t="str">
        <f aca="false">IF(AND(AH935="利用可",AK935="利用可",AN935="利用可"),"利用可","不可")</f>
        <v>不可</v>
      </c>
      <c r="AY935" s="30" t="str">
        <f aca="false">IF(AND(AQ935="利用可",AT935="利用可",AW935="利用可"),"利用可","不可")</f>
        <v>不可</v>
      </c>
    </row>
    <row r="936" customFormat="false" ht="15" hidden="false" customHeight="false" outlineLevel="0" collapsed="false">
      <c r="A936" s="29" t="n">
        <v>46270</v>
      </c>
      <c r="B936" s="30" t="n">
        <v>21</v>
      </c>
      <c r="C936" s="31" t="s">
        <v>63</v>
      </c>
      <c r="D936" s="31" t="s">
        <v>64</v>
      </c>
      <c r="E936" s="30" t="n">
        <v>60</v>
      </c>
      <c r="F936" s="30" t="n">
        <v>0</v>
      </c>
      <c r="G936" s="30" t="str">
        <f aca="false">IF(E936&lt;判定条件!$C$6,"判定不能",IF(F936&gt;=判定条件!$C$7*E936,"運転",IF(F936&lt;=判定条件!$C$8*E936,"停止","断続")))</f>
        <v>停止</v>
      </c>
      <c r="H936" s="30" t="n">
        <v>60</v>
      </c>
      <c r="I936" s="30" t="n">
        <v>0</v>
      </c>
      <c r="J936" s="30" t="str">
        <f aca="false">IF(H936&lt;判定条件!$C$6,"判定不能",IF(I936&gt;=判定条件!$C$7*H936,"運転",IF(I936&lt;=判定条件!$C$8*H936,"停止","断続")))</f>
        <v>停止</v>
      </c>
      <c r="K936" s="30" t="n">
        <v>60</v>
      </c>
      <c r="L936" s="30" t="n">
        <v>60</v>
      </c>
      <c r="M936" s="30" t="str">
        <f aca="false">IF(K936&lt;判定条件!$C$6,"判定不能",IF(L936&gt;=判定条件!$C$7*K936,"運転",IF(L936&lt;=判定条件!$C$8*K936,"停止","断続")))</f>
        <v>運転</v>
      </c>
      <c r="N936" s="30" t="n">
        <v>60</v>
      </c>
      <c r="O936" s="30" t="n">
        <v>0</v>
      </c>
      <c r="P936" s="30" t="str">
        <f aca="false">IF(N936&lt;判定条件!$C$6,"判定不能",IF(O936&gt;=判定条件!$C$7*N936,"運転",IF(O936&lt;=判定条件!$C$8*N936,"停止","断続")))</f>
        <v>停止</v>
      </c>
      <c r="Q936" s="30" t="n">
        <v>60</v>
      </c>
      <c r="R936" s="30" t="n">
        <v>0</v>
      </c>
      <c r="S936" s="30" t="str">
        <f aca="false">IF(Q936&lt;判定条件!$C$6,"判定不能",IF(R936&gt;=判定条件!$C$7*Q936,"運転",IF(R936&lt;=判定条件!$C$8*Q936,"停止","断続")))</f>
        <v>停止</v>
      </c>
      <c r="T936" s="30" t="n">
        <v>60</v>
      </c>
      <c r="U936" s="30" t="n">
        <v>0</v>
      </c>
      <c r="V936" s="30" t="str">
        <f aca="false">IF(T936&lt;判定条件!$C$6,"判定不能",IF(U936&gt;=判定条件!$C$7*T936,"運転",IF(U936&lt;=判定条件!$C$8*T936,"停止","断続")))</f>
        <v>停止</v>
      </c>
      <c r="W936" s="30" t="n">
        <v>60</v>
      </c>
      <c r="X936" s="30" t="n">
        <v>0</v>
      </c>
      <c r="Y936" s="30" t="str">
        <f aca="false">IF(W936&lt;判定条件!$C$6,"判定不能",IF(X936&gt;=判定条件!$C$7*W936,"運転",IF(X936&lt;=判定条件!$C$8*W936,"停止","断続")))</f>
        <v>停止</v>
      </c>
      <c r="Z936" s="30" t="n">
        <v>60</v>
      </c>
      <c r="AA936" s="30" t="n">
        <v>0</v>
      </c>
      <c r="AB936" s="30" t="str">
        <f aca="false">IF(Z936&lt;判定条件!$C$6,"判定不能",IF(AA936&gt;=判定条件!$C$7*Z936,"運転",IF(AA936&lt;=判定条件!$C$8*Z936,"停止","断続")))</f>
        <v>停止</v>
      </c>
      <c r="AC936" s="30" t="n">
        <v>60</v>
      </c>
      <c r="AD936" s="30" t="n">
        <v>0</v>
      </c>
      <c r="AE936" s="30" t="str">
        <f aca="false">IF(AC936&lt;判定条件!$C$6,"判定不能",IF(AD936&gt;=判定条件!$C$7*AC936,"運転",IF(AD936&lt;=判定条件!$C$8*AC936,"停止","断続")))</f>
        <v>停止</v>
      </c>
      <c r="AF936" s="30" t="n">
        <v>60</v>
      </c>
      <c r="AG936" s="30" t="n">
        <v>0</v>
      </c>
      <c r="AH936" s="30" t="str">
        <f aca="false">IF(OR(P936="判定不能",G936="判定不能"),"判定不能",IF(AG936&gt;=判定条件!$C$9,"利用可",IF(AND(P936="停止",G936="停止"),"両方停止","運転がそろわない")))</f>
        <v>両方停止</v>
      </c>
      <c r="AI936" s="30" t="n">
        <v>60</v>
      </c>
      <c r="AJ936" s="30" t="n">
        <v>0</v>
      </c>
      <c r="AK936" s="30" t="str">
        <f aca="false">IF(OR(S936="判定不能",J936="判定不能"),"判定不能",IF(AJ936&gt;=判定条件!$C$9,"利用可",IF(AND(S936="停止",J936="停止"),"両方停止","運転がそろわない")))</f>
        <v>両方停止</v>
      </c>
      <c r="AL936" s="30" t="n">
        <v>60</v>
      </c>
      <c r="AM936" s="30" t="n">
        <v>0</v>
      </c>
      <c r="AN936" s="30" t="str">
        <f aca="false">IF(OR(V936="判定不能",M936="判定不能"),"判定不能",IF(AM936&gt;=判定条件!$C$9,"利用可",IF(AND(V936="停止",M936="停止"),"両方停止","運転がそろわない")))</f>
        <v>運転がそろわない</v>
      </c>
      <c r="AO936" s="30" t="n">
        <v>60</v>
      </c>
      <c r="AP936" s="30" t="n">
        <v>0</v>
      </c>
      <c r="AQ936" s="30" t="str">
        <f aca="false">IF(OR(Y936="判定不能",G936="判定不能"),"判定不能",IF(AP936&gt;=判定条件!$C$9,"利用可",IF(AND(Y936="停止",G936="停止"),"両方停止","運転がそろわない")))</f>
        <v>両方停止</v>
      </c>
      <c r="AR936" s="30" t="n">
        <v>60</v>
      </c>
      <c r="AS936" s="30" t="n">
        <v>0</v>
      </c>
      <c r="AT936" s="30" t="str">
        <f aca="false">IF(OR(AB936="判定不能",J936="判定不能"),"判定不能",IF(AS936&gt;=判定条件!$C$9,"利用可",IF(AND(AB936="停止",J936="停止"),"両方停止","運転がそろわない")))</f>
        <v>両方停止</v>
      </c>
      <c r="AU936" s="30" t="n">
        <v>60</v>
      </c>
      <c r="AV936" s="30" t="n">
        <v>0</v>
      </c>
      <c r="AW936" s="30" t="str">
        <f aca="false">IF(OR(AE936="判定不能",M936="判定不能"),"判定不能",IF(AV936&gt;=判定条件!$C$9,"利用可",IF(AND(AE936="停止",M936="停止"),"両方停止","運転がそろわない")))</f>
        <v>運転がそろわない</v>
      </c>
      <c r="AX936" s="30" t="str">
        <f aca="false">IF(AND(AH936="利用可",AK936="利用可",AN936="利用可"),"利用可","不可")</f>
        <v>不可</v>
      </c>
      <c r="AY936" s="30" t="str">
        <f aca="false">IF(AND(AQ936="利用可",AT936="利用可",AW936="利用可"),"利用可","不可")</f>
        <v>不可</v>
      </c>
    </row>
    <row r="937" customFormat="false" ht="15" hidden="false" customHeight="false" outlineLevel="0" collapsed="false">
      <c r="A937" s="29" t="n">
        <v>46270</v>
      </c>
      <c r="B937" s="30" t="n">
        <v>22</v>
      </c>
      <c r="C937" s="31" t="s">
        <v>63</v>
      </c>
      <c r="D937" s="31" t="s">
        <v>64</v>
      </c>
      <c r="E937" s="30" t="n">
        <v>60</v>
      </c>
      <c r="F937" s="30" t="n">
        <v>0</v>
      </c>
      <c r="G937" s="30" t="str">
        <f aca="false">IF(E937&lt;判定条件!$C$6,"判定不能",IF(F937&gt;=判定条件!$C$7*E937,"運転",IF(F937&lt;=判定条件!$C$8*E937,"停止","断続")))</f>
        <v>停止</v>
      </c>
      <c r="H937" s="30" t="n">
        <v>60</v>
      </c>
      <c r="I937" s="30" t="n">
        <v>0</v>
      </c>
      <c r="J937" s="30" t="str">
        <f aca="false">IF(H937&lt;判定条件!$C$6,"判定不能",IF(I937&gt;=判定条件!$C$7*H937,"運転",IF(I937&lt;=判定条件!$C$8*H937,"停止","断続")))</f>
        <v>停止</v>
      </c>
      <c r="K937" s="30" t="n">
        <v>60</v>
      </c>
      <c r="L937" s="30" t="n">
        <v>60</v>
      </c>
      <c r="M937" s="30" t="str">
        <f aca="false">IF(K937&lt;判定条件!$C$6,"判定不能",IF(L937&gt;=判定条件!$C$7*K937,"運転",IF(L937&lt;=判定条件!$C$8*K937,"停止","断続")))</f>
        <v>運転</v>
      </c>
      <c r="N937" s="30" t="n">
        <v>60</v>
      </c>
      <c r="O937" s="30" t="n">
        <v>0</v>
      </c>
      <c r="P937" s="30" t="str">
        <f aca="false">IF(N937&lt;判定条件!$C$6,"判定不能",IF(O937&gt;=判定条件!$C$7*N937,"運転",IF(O937&lt;=判定条件!$C$8*N937,"停止","断続")))</f>
        <v>停止</v>
      </c>
      <c r="Q937" s="30" t="n">
        <v>60</v>
      </c>
      <c r="R937" s="30" t="n">
        <v>0</v>
      </c>
      <c r="S937" s="30" t="str">
        <f aca="false">IF(Q937&lt;判定条件!$C$6,"判定不能",IF(R937&gt;=判定条件!$C$7*Q937,"運転",IF(R937&lt;=判定条件!$C$8*Q937,"停止","断続")))</f>
        <v>停止</v>
      </c>
      <c r="T937" s="30" t="n">
        <v>60</v>
      </c>
      <c r="U937" s="30" t="n">
        <v>0</v>
      </c>
      <c r="V937" s="30" t="str">
        <f aca="false">IF(T937&lt;判定条件!$C$6,"判定不能",IF(U937&gt;=判定条件!$C$7*T937,"運転",IF(U937&lt;=判定条件!$C$8*T937,"停止","断続")))</f>
        <v>停止</v>
      </c>
      <c r="W937" s="30" t="n">
        <v>60</v>
      </c>
      <c r="X937" s="30" t="n">
        <v>0</v>
      </c>
      <c r="Y937" s="30" t="str">
        <f aca="false">IF(W937&lt;判定条件!$C$6,"判定不能",IF(X937&gt;=判定条件!$C$7*W937,"運転",IF(X937&lt;=判定条件!$C$8*W937,"停止","断続")))</f>
        <v>停止</v>
      </c>
      <c r="Z937" s="30" t="n">
        <v>60</v>
      </c>
      <c r="AA937" s="30" t="n">
        <v>0</v>
      </c>
      <c r="AB937" s="30" t="str">
        <f aca="false">IF(Z937&lt;判定条件!$C$6,"判定不能",IF(AA937&gt;=判定条件!$C$7*Z937,"運転",IF(AA937&lt;=判定条件!$C$8*Z937,"停止","断続")))</f>
        <v>停止</v>
      </c>
      <c r="AC937" s="30" t="n">
        <v>60</v>
      </c>
      <c r="AD937" s="30" t="n">
        <v>0</v>
      </c>
      <c r="AE937" s="30" t="str">
        <f aca="false">IF(AC937&lt;判定条件!$C$6,"判定不能",IF(AD937&gt;=判定条件!$C$7*AC937,"運転",IF(AD937&lt;=判定条件!$C$8*AC937,"停止","断続")))</f>
        <v>停止</v>
      </c>
      <c r="AF937" s="30" t="n">
        <v>60</v>
      </c>
      <c r="AG937" s="30" t="n">
        <v>0</v>
      </c>
      <c r="AH937" s="30" t="str">
        <f aca="false">IF(OR(P937="判定不能",G937="判定不能"),"判定不能",IF(AG937&gt;=判定条件!$C$9,"利用可",IF(AND(P937="停止",G937="停止"),"両方停止","運転がそろわない")))</f>
        <v>両方停止</v>
      </c>
      <c r="AI937" s="30" t="n">
        <v>60</v>
      </c>
      <c r="AJ937" s="30" t="n">
        <v>0</v>
      </c>
      <c r="AK937" s="30" t="str">
        <f aca="false">IF(OR(S937="判定不能",J937="判定不能"),"判定不能",IF(AJ937&gt;=判定条件!$C$9,"利用可",IF(AND(S937="停止",J937="停止"),"両方停止","運転がそろわない")))</f>
        <v>両方停止</v>
      </c>
      <c r="AL937" s="30" t="n">
        <v>60</v>
      </c>
      <c r="AM937" s="30" t="n">
        <v>0</v>
      </c>
      <c r="AN937" s="30" t="str">
        <f aca="false">IF(OR(V937="判定不能",M937="判定不能"),"判定不能",IF(AM937&gt;=判定条件!$C$9,"利用可",IF(AND(V937="停止",M937="停止"),"両方停止","運転がそろわない")))</f>
        <v>運転がそろわない</v>
      </c>
      <c r="AO937" s="30" t="n">
        <v>60</v>
      </c>
      <c r="AP937" s="30" t="n">
        <v>0</v>
      </c>
      <c r="AQ937" s="30" t="str">
        <f aca="false">IF(OR(Y937="判定不能",G937="判定不能"),"判定不能",IF(AP937&gt;=判定条件!$C$9,"利用可",IF(AND(Y937="停止",G937="停止"),"両方停止","運転がそろわない")))</f>
        <v>両方停止</v>
      </c>
      <c r="AR937" s="30" t="n">
        <v>60</v>
      </c>
      <c r="AS937" s="30" t="n">
        <v>0</v>
      </c>
      <c r="AT937" s="30" t="str">
        <f aca="false">IF(OR(AB937="判定不能",J937="判定不能"),"判定不能",IF(AS937&gt;=判定条件!$C$9,"利用可",IF(AND(AB937="停止",J937="停止"),"両方停止","運転がそろわない")))</f>
        <v>両方停止</v>
      </c>
      <c r="AU937" s="30" t="n">
        <v>60</v>
      </c>
      <c r="AV937" s="30" t="n">
        <v>0</v>
      </c>
      <c r="AW937" s="30" t="str">
        <f aca="false">IF(OR(AE937="判定不能",M937="判定不能"),"判定不能",IF(AV937&gt;=判定条件!$C$9,"利用可",IF(AND(AE937="停止",M937="停止"),"両方停止","運転がそろわない")))</f>
        <v>運転がそろわない</v>
      </c>
      <c r="AX937" s="30" t="str">
        <f aca="false">IF(AND(AH937="利用可",AK937="利用可",AN937="利用可"),"利用可","不可")</f>
        <v>不可</v>
      </c>
      <c r="AY937" s="30" t="str">
        <f aca="false">IF(AND(AQ937="利用可",AT937="利用可",AW937="利用可"),"利用可","不可")</f>
        <v>不可</v>
      </c>
    </row>
    <row r="938" customFormat="false" ht="15" hidden="false" customHeight="false" outlineLevel="0" collapsed="false">
      <c r="A938" s="29" t="n">
        <v>46270</v>
      </c>
      <c r="B938" s="30" t="n">
        <v>23</v>
      </c>
      <c r="C938" s="31" t="s">
        <v>63</v>
      </c>
      <c r="D938" s="31" t="s">
        <v>64</v>
      </c>
      <c r="E938" s="30" t="n">
        <v>60</v>
      </c>
      <c r="F938" s="30" t="n">
        <v>0</v>
      </c>
      <c r="G938" s="30" t="str">
        <f aca="false">IF(E938&lt;判定条件!$C$6,"判定不能",IF(F938&gt;=判定条件!$C$7*E938,"運転",IF(F938&lt;=判定条件!$C$8*E938,"停止","断続")))</f>
        <v>停止</v>
      </c>
      <c r="H938" s="30" t="n">
        <v>60</v>
      </c>
      <c r="I938" s="30" t="n">
        <v>0</v>
      </c>
      <c r="J938" s="30" t="str">
        <f aca="false">IF(H938&lt;判定条件!$C$6,"判定不能",IF(I938&gt;=判定条件!$C$7*H938,"運転",IF(I938&lt;=判定条件!$C$8*H938,"停止","断続")))</f>
        <v>停止</v>
      </c>
      <c r="K938" s="30" t="n">
        <v>60</v>
      </c>
      <c r="L938" s="30" t="n">
        <v>60</v>
      </c>
      <c r="M938" s="30" t="str">
        <f aca="false">IF(K938&lt;判定条件!$C$6,"判定不能",IF(L938&gt;=判定条件!$C$7*K938,"運転",IF(L938&lt;=判定条件!$C$8*K938,"停止","断続")))</f>
        <v>運転</v>
      </c>
      <c r="N938" s="30" t="n">
        <v>60</v>
      </c>
      <c r="O938" s="30" t="n">
        <v>0</v>
      </c>
      <c r="P938" s="30" t="str">
        <f aca="false">IF(N938&lt;判定条件!$C$6,"判定不能",IF(O938&gt;=判定条件!$C$7*N938,"運転",IF(O938&lt;=判定条件!$C$8*N938,"停止","断続")))</f>
        <v>停止</v>
      </c>
      <c r="Q938" s="30" t="n">
        <v>60</v>
      </c>
      <c r="R938" s="30" t="n">
        <v>0</v>
      </c>
      <c r="S938" s="30" t="str">
        <f aca="false">IF(Q938&lt;判定条件!$C$6,"判定不能",IF(R938&gt;=判定条件!$C$7*Q938,"運転",IF(R938&lt;=判定条件!$C$8*Q938,"停止","断続")))</f>
        <v>停止</v>
      </c>
      <c r="T938" s="30" t="n">
        <v>60</v>
      </c>
      <c r="U938" s="30" t="n">
        <v>0</v>
      </c>
      <c r="V938" s="30" t="str">
        <f aca="false">IF(T938&lt;判定条件!$C$6,"判定不能",IF(U938&gt;=判定条件!$C$7*T938,"運転",IF(U938&lt;=判定条件!$C$8*T938,"停止","断続")))</f>
        <v>停止</v>
      </c>
      <c r="W938" s="30" t="n">
        <v>60</v>
      </c>
      <c r="X938" s="30" t="n">
        <v>0</v>
      </c>
      <c r="Y938" s="30" t="str">
        <f aca="false">IF(W938&lt;判定条件!$C$6,"判定不能",IF(X938&gt;=判定条件!$C$7*W938,"運転",IF(X938&lt;=判定条件!$C$8*W938,"停止","断続")))</f>
        <v>停止</v>
      </c>
      <c r="Z938" s="30" t="n">
        <v>60</v>
      </c>
      <c r="AA938" s="30" t="n">
        <v>0</v>
      </c>
      <c r="AB938" s="30" t="str">
        <f aca="false">IF(Z938&lt;判定条件!$C$6,"判定不能",IF(AA938&gt;=判定条件!$C$7*Z938,"運転",IF(AA938&lt;=判定条件!$C$8*Z938,"停止","断続")))</f>
        <v>停止</v>
      </c>
      <c r="AC938" s="30" t="n">
        <v>60</v>
      </c>
      <c r="AD938" s="30" t="n">
        <v>0</v>
      </c>
      <c r="AE938" s="30" t="str">
        <f aca="false">IF(AC938&lt;判定条件!$C$6,"判定不能",IF(AD938&gt;=判定条件!$C$7*AC938,"運転",IF(AD938&lt;=判定条件!$C$8*AC938,"停止","断続")))</f>
        <v>停止</v>
      </c>
      <c r="AF938" s="30" t="n">
        <v>60</v>
      </c>
      <c r="AG938" s="30" t="n">
        <v>0</v>
      </c>
      <c r="AH938" s="30" t="str">
        <f aca="false">IF(OR(P938="判定不能",G938="判定不能"),"判定不能",IF(AG938&gt;=判定条件!$C$9,"利用可",IF(AND(P938="停止",G938="停止"),"両方停止","運転がそろわない")))</f>
        <v>両方停止</v>
      </c>
      <c r="AI938" s="30" t="n">
        <v>60</v>
      </c>
      <c r="AJ938" s="30" t="n">
        <v>0</v>
      </c>
      <c r="AK938" s="30" t="str">
        <f aca="false">IF(OR(S938="判定不能",J938="判定不能"),"判定不能",IF(AJ938&gt;=判定条件!$C$9,"利用可",IF(AND(S938="停止",J938="停止"),"両方停止","運転がそろわない")))</f>
        <v>両方停止</v>
      </c>
      <c r="AL938" s="30" t="n">
        <v>60</v>
      </c>
      <c r="AM938" s="30" t="n">
        <v>0</v>
      </c>
      <c r="AN938" s="30" t="str">
        <f aca="false">IF(OR(V938="判定不能",M938="判定不能"),"判定不能",IF(AM938&gt;=判定条件!$C$9,"利用可",IF(AND(V938="停止",M938="停止"),"両方停止","運転がそろわない")))</f>
        <v>運転がそろわない</v>
      </c>
      <c r="AO938" s="30" t="n">
        <v>60</v>
      </c>
      <c r="AP938" s="30" t="n">
        <v>0</v>
      </c>
      <c r="AQ938" s="30" t="str">
        <f aca="false">IF(OR(Y938="判定不能",G938="判定不能"),"判定不能",IF(AP938&gt;=判定条件!$C$9,"利用可",IF(AND(Y938="停止",G938="停止"),"両方停止","運転がそろわない")))</f>
        <v>両方停止</v>
      </c>
      <c r="AR938" s="30" t="n">
        <v>60</v>
      </c>
      <c r="AS938" s="30" t="n">
        <v>0</v>
      </c>
      <c r="AT938" s="30" t="str">
        <f aca="false">IF(OR(AB938="判定不能",J938="判定不能"),"判定不能",IF(AS938&gt;=判定条件!$C$9,"利用可",IF(AND(AB938="停止",J938="停止"),"両方停止","運転がそろわない")))</f>
        <v>両方停止</v>
      </c>
      <c r="AU938" s="30" t="n">
        <v>60</v>
      </c>
      <c r="AV938" s="30" t="n">
        <v>0</v>
      </c>
      <c r="AW938" s="30" t="str">
        <f aca="false">IF(OR(AE938="判定不能",M938="判定不能"),"判定不能",IF(AV938&gt;=判定条件!$C$9,"利用可",IF(AND(AE938="停止",M938="停止"),"両方停止","運転がそろわない")))</f>
        <v>運転がそろわない</v>
      </c>
      <c r="AX938" s="30" t="str">
        <f aca="false">IF(AND(AH938="利用可",AK938="利用可",AN938="利用可"),"利用可","不可")</f>
        <v>不可</v>
      </c>
      <c r="AY938" s="30" t="str">
        <f aca="false">IF(AND(AQ938="利用可",AT938="利用可",AW938="利用可"),"利用可","不可")</f>
        <v>不可</v>
      </c>
    </row>
    <row r="939" customFormat="false" ht="15" hidden="false" customHeight="false" outlineLevel="0" collapsed="false">
      <c r="A939" s="29" t="n">
        <v>46271</v>
      </c>
      <c r="B939" s="30" t="n">
        <v>0</v>
      </c>
      <c r="C939" s="31" t="s">
        <v>65</v>
      </c>
      <c r="D939" s="31" t="s">
        <v>64</v>
      </c>
      <c r="E939" s="30" t="n">
        <v>60</v>
      </c>
      <c r="F939" s="30" t="n">
        <v>0</v>
      </c>
      <c r="G939" s="30" t="str">
        <f aca="false">IF(E939&lt;判定条件!$C$6,"判定不能",IF(F939&gt;=判定条件!$C$7*E939,"運転",IF(F939&lt;=判定条件!$C$8*E939,"停止","断続")))</f>
        <v>停止</v>
      </c>
      <c r="H939" s="30" t="n">
        <v>60</v>
      </c>
      <c r="I939" s="30" t="n">
        <v>0</v>
      </c>
      <c r="J939" s="30" t="str">
        <f aca="false">IF(H939&lt;判定条件!$C$6,"判定不能",IF(I939&gt;=判定条件!$C$7*H939,"運転",IF(I939&lt;=判定条件!$C$8*H939,"停止","断続")))</f>
        <v>停止</v>
      </c>
      <c r="K939" s="30" t="n">
        <v>60</v>
      </c>
      <c r="L939" s="30" t="n">
        <v>60</v>
      </c>
      <c r="M939" s="30" t="str">
        <f aca="false">IF(K939&lt;判定条件!$C$6,"判定不能",IF(L939&gt;=判定条件!$C$7*K939,"運転",IF(L939&lt;=判定条件!$C$8*K939,"停止","断続")))</f>
        <v>運転</v>
      </c>
      <c r="N939" s="30" t="n">
        <v>60</v>
      </c>
      <c r="O939" s="30" t="n">
        <v>0</v>
      </c>
      <c r="P939" s="30" t="str">
        <f aca="false">IF(N939&lt;判定条件!$C$6,"判定不能",IF(O939&gt;=判定条件!$C$7*N939,"運転",IF(O939&lt;=判定条件!$C$8*N939,"停止","断続")))</f>
        <v>停止</v>
      </c>
      <c r="Q939" s="30" t="n">
        <v>60</v>
      </c>
      <c r="R939" s="30" t="n">
        <v>0</v>
      </c>
      <c r="S939" s="30" t="str">
        <f aca="false">IF(Q939&lt;判定条件!$C$6,"判定不能",IF(R939&gt;=判定条件!$C$7*Q939,"運転",IF(R939&lt;=判定条件!$C$8*Q939,"停止","断続")))</f>
        <v>停止</v>
      </c>
      <c r="T939" s="30" t="n">
        <v>60</v>
      </c>
      <c r="U939" s="30" t="n">
        <v>0</v>
      </c>
      <c r="V939" s="30" t="str">
        <f aca="false">IF(T939&lt;判定条件!$C$6,"判定不能",IF(U939&gt;=判定条件!$C$7*T939,"運転",IF(U939&lt;=判定条件!$C$8*T939,"停止","断続")))</f>
        <v>停止</v>
      </c>
      <c r="W939" s="30" t="n">
        <v>60</v>
      </c>
      <c r="X939" s="30" t="n">
        <v>0</v>
      </c>
      <c r="Y939" s="30" t="str">
        <f aca="false">IF(W939&lt;判定条件!$C$6,"判定不能",IF(X939&gt;=判定条件!$C$7*W939,"運転",IF(X939&lt;=判定条件!$C$8*W939,"停止","断続")))</f>
        <v>停止</v>
      </c>
      <c r="Z939" s="30" t="n">
        <v>60</v>
      </c>
      <c r="AA939" s="30" t="n">
        <v>0</v>
      </c>
      <c r="AB939" s="30" t="str">
        <f aca="false">IF(Z939&lt;判定条件!$C$6,"判定不能",IF(AA939&gt;=判定条件!$C$7*Z939,"運転",IF(AA939&lt;=判定条件!$C$8*Z939,"停止","断続")))</f>
        <v>停止</v>
      </c>
      <c r="AC939" s="30" t="n">
        <v>60</v>
      </c>
      <c r="AD939" s="30" t="n">
        <v>0</v>
      </c>
      <c r="AE939" s="30" t="str">
        <f aca="false">IF(AC939&lt;判定条件!$C$6,"判定不能",IF(AD939&gt;=判定条件!$C$7*AC939,"運転",IF(AD939&lt;=判定条件!$C$8*AC939,"停止","断続")))</f>
        <v>停止</v>
      </c>
      <c r="AF939" s="30" t="n">
        <v>60</v>
      </c>
      <c r="AG939" s="30" t="n">
        <v>0</v>
      </c>
      <c r="AH939" s="30" t="str">
        <f aca="false">IF(OR(P939="判定不能",G939="判定不能"),"判定不能",IF(AG939&gt;=判定条件!$C$9,"利用可",IF(AND(P939="停止",G939="停止"),"両方停止","運転がそろわない")))</f>
        <v>両方停止</v>
      </c>
      <c r="AI939" s="30" t="n">
        <v>60</v>
      </c>
      <c r="AJ939" s="30" t="n">
        <v>0</v>
      </c>
      <c r="AK939" s="30" t="str">
        <f aca="false">IF(OR(S939="判定不能",J939="判定不能"),"判定不能",IF(AJ939&gt;=判定条件!$C$9,"利用可",IF(AND(S939="停止",J939="停止"),"両方停止","運転がそろわない")))</f>
        <v>両方停止</v>
      </c>
      <c r="AL939" s="30" t="n">
        <v>60</v>
      </c>
      <c r="AM939" s="30" t="n">
        <v>0</v>
      </c>
      <c r="AN939" s="30" t="str">
        <f aca="false">IF(OR(V939="判定不能",M939="判定不能"),"判定不能",IF(AM939&gt;=判定条件!$C$9,"利用可",IF(AND(V939="停止",M939="停止"),"両方停止","運転がそろわない")))</f>
        <v>運転がそろわない</v>
      </c>
      <c r="AO939" s="30" t="n">
        <v>60</v>
      </c>
      <c r="AP939" s="30" t="n">
        <v>0</v>
      </c>
      <c r="AQ939" s="30" t="str">
        <f aca="false">IF(OR(Y939="判定不能",G939="判定不能"),"判定不能",IF(AP939&gt;=判定条件!$C$9,"利用可",IF(AND(Y939="停止",G939="停止"),"両方停止","運転がそろわない")))</f>
        <v>両方停止</v>
      </c>
      <c r="AR939" s="30" t="n">
        <v>60</v>
      </c>
      <c r="AS939" s="30" t="n">
        <v>0</v>
      </c>
      <c r="AT939" s="30" t="str">
        <f aca="false">IF(OR(AB939="判定不能",J939="判定不能"),"判定不能",IF(AS939&gt;=判定条件!$C$9,"利用可",IF(AND(AB939="停止",J939="停止"),"両方停止","運転がそろわない")))</f>
        <v>両方停止</v>
      </c>
      <c r="AU939" s="30" t="n">
        <v>60</v>
      </c>
      <c r="AV939" s="30" t="n">
        <v>0</v>
      </c>
      <c r="AW939" s="30" t="str">
        <f aca="false">IF(OR(AE939="判定不能",M939="判定不能"),"判定不能",IF(AV939&gt;=判定条件!$C$9,"利用可",IF(AND(AE939="停止",M939="停止"),"両方停止","運転がそろわない")))</f>
        <v>運転がそろわない</v>
      </c>
      <c r="AX939" s="30" t="str">
        <f aca="false">IF(AND(AH939="利用可",AK939="利用可",AN939="利用可"),"利用可","不可")</f>
        <v>不可</v>
      </c>
      <c r="AY939" s="30" t="str">
        <f aca="false">IF(AND(AQ939="利用可",AT939="利用可",AW939="利用可"),"利用可","不可")</f>
        <v>不可</v>
      </c>
    </row>
    <row r="940" customFormat="false" ht="15" hidden="false" customHeight="false" outlineLevel="0" collapsed="false">
      <c r="A940" s="29" t="n">
        <v>46271</v>
      </c>
      <c r="B940" s="30" t="n">
        <v>1</v>
      </c>
      <c r="C940" s="31" t="s">
        <v>65</v>
      </c>
      <c r="D940" s="31" t="s">
        <v>64</v>
      </c>
      <c r="E940" s="30" t="n">
        <v>60</v>
      </c>
      <c r="F940" s="30" t="n">
        <v>0</v>
      </c>
      <c r="G940" s="30" t="str">
        <f aca="false">IF(E940&lt;判定条件!$C$6,"判定不能",IF(F940&gt;=判定条件!$C$7*E940,"運転",IF(F940&lt;=判定条件!$C$8*E940,"停止","断続")))</f>
        <v>停止</v>
      </c>
      <c r="H940" s="30" t="n">
        <v>60</v>
      </c>
      <c r="I940" s="30" t="n">
        <v>0</v>
      </c>
      <c r="J940" s="30" t="str">
        <f aca="false">IF(H940&lt;判定条件!$C$6,"判定不能",IF(I940&gt;=判定条件!$C$7*H940,"運転",IF(I940&lt;=判定条件!$C$8*H940,"停止","断続")))</f>
        <v>停止</v>
      </c>
      <c r="K940" s="30" t="n">
        <v>60</v>
      </c>
      <c r="L940" s="30" t="n">
        <v>60</v>
      </c>
      <c r="M940" s="30" t="str">
        <f aca="false">IF(K940&lt;判定条件!$C$6,"判定不能",IF(L940&gt;=判定条件!$C$7*K940,"運転",IF(L940&lt;=判定条件!$C$8*K940,"停止","断続")))</f>
        <v>運転</v>
      </c>
      <c r="N940" s="30" t="n">
        <v>60</v>
      </c>
      <c r="O940" s="30" t="n">
        <v>0</v>
      </c>
      <c r="P940" s="30" t="str">
        <f aca="false">IF(N940&lt;判定条件!$C$6,"判定不能",IF(O940&gt;=判定条件!$C$7*N940,"運転",IF(O940&lt;=判定条件!$C$8*N940,"停止","断続")))</f>
        <v>停止</v>
      </c>
      <c r="Q940" s="30" t="n">
        <v>60</v>
      </c>
      <c r="R940" s="30" t="n">
        <v>0</v>
      </c>
      <c r="S940" s="30" t="str">
        <f aca="false">IF(Q940&lt;判定条件!$C$6,"判定不能",IF(R940&gt;=判定条件!$C$7*Q940,"運転",IF(R940&lt;=判定条件!$C$8*Q940,"停止","断続")))</f>
        <v>停止</v>
      </c>
      <c r="T940" s="30" t="n">
        <v>60</v>
      </c>
      <c r="U940" s="30" t="n">
        <v>0</v>
      </c>
      <c r="V940" s="30" t="str">
        <f aca="false">IF(T940&lt;判定条件!$C$6,"判定不能",IF(U940&gt;=判定条件!$C$7*T940,"運転",IF(U940&lt;=判定条件!$C$8*T940,"停止","断続")))</f>
        <v>停止</v>
      </c>
      <c r="W940" s="30" t="n">
        <v>60</v>
      </c>
      <c r="X940" s="30" t="n">
        <v>0</v>
      </c>
      <c r="Y940" s="30" t="str">
        <f aca="false">IF(W940&lt;判定条件!$C$6,"判定不能",IF(X940&gt;=判定条件!$C$7*W940,"運転",IF(X940&lt;=判定条件!$C$8*W940,"停止","断続")))</f>
        <v>停止</v>
      </c>
      <c r="Z940" s="30" t="n">
        <v>60</v>
      </c>
      <c r="AA940" s="30" t="n">
        <v>0</v>
      </c>
      <c r="AB940" s="30" t="str">
        <f aca="false">IF(Z940&lt;判定条件!$C$6,"判定不能",IF(AA940&gt;=判定条件!$C$7*Z940,"運転",IF(AA940&lt;=判定条件!$C$8*Z940,"停止","断続")))</f>
        <v>停止</v>
      </c>
      <c r="AC940" s="30" t="n">
        <v>60</v>
      </c>
      <c r="AD940" s="30" t="n">
        <v>0</v>
      </c>
      <c r="AE940" s="30" t="str">
        <f aca="false">IF(AC940&lt;判定条件!$C$6,"判定不能",IF(AD940&gt;=判定条件!$C$7*AC940,"運転",IF(AD940&lt;=判定条件!$C$8*AC940,"停止","断続")))</f>
        <v>停止</v>
      </c>
      <c r="AF940" s="30" t="n">
        <v>60</v>
      </c>
      <c r="AG940" s="30" t="n">
        <v>0</v>
      </c>
      <c r="AH940" s="30" t="str">
        <f aca="false">IF(OR(P940="判定不能",G940="判定不能"),"判定不能",IF(AG940&gt;=判定条件!$C$9,"利用可",IF(AND(P940="停止",G940="停止"),"両方停止","運転がそろわない")))</f>
        <v>両方停止</v>
      </c>
      <c r="AI940" s="30" t="n">
        <v>60</v>
      </c>
      <c r="AJ940" s="30" t="n">
        <v>0</v>
      </c>
      <c r="AK940" s="30" t="str">
        <f aca="false">IF(OR(S940="判定不能",J940="判定不能"),"判定不能",IF(AJ940&gt;=判定条件!$C$9,"利用可",IF(AND(S940="停止",J940="停止"),"両方停止","運転がそろわない")))</f>
        <v>両方停止</v>
      </c>
      <c r="AL940" s="30" t="n">
        <v>60</v>
      </c>
      <c r="AM940" s="30" t="n">
        <v>0</v>
      </c>
      <c r="AN940" s="30" t="str">
        <f aca="false">IF(OR(V940="判定不能",M940="判定不能"),"判定不能",IF(AM940&gt;=判定条件!$C$9,"利用可",IF(AND(V940="停止",M940="停止"),"両方停止","運転がそろわない")))</f>
        <v>運転がそろわない</v>
      </c>
      <c r="AO940" s="30" t="n">
        <v>60</v>
      </c>
      <c r="AP940" s="30" t="n">
        <v>0</v>
      </c>
      <c r="AQ940" s="30" t="str">
        <f aca="false">IF(OR(Y940="判定不能",G940="判定不能"),"判定不能",IF(AP940&gt;=判定条件!$C$9,"利用可",IF(AND(Y940="停止",G940="停止"),"両方停止","運転がそろわない")))</f>
        <v>両方停止</v>
      </c>
      <c r="AR940" s="30" t="n">
        <v>60</v>
      </c>
      <c r="AS940" s="30" t="n">
        <v>0</v>
      </c>
      <c r="AT940" s="30" t="str">
        <f aca="false">IF(OR(AB940="判定不能",J940="判定不能"),"判定不能",IF(AS940&gt;=判定条件!$C$9,"利用可",IF(AND(AB940="停止",J940="停止"),"両方停止","運転がそろわない")))</f>
        <v>両方停止</v>
      </c>
      <c r="AU940" s="30" t="n">
        <v>60</v>
      </c>
      <c r="AV940" s="30" t="n">
        <v>0</v>
      </c>
      <c r="AW940" s="30" t="str">
        <f aca="false">IF(OR(AE940="判定不能",M940="判定不能"),"判定不能",IF(AV940&gt;=判定条件!$C$9,"利用可",IF(AND(AE940="停止",M940="停止"),"両方停止","運転がそろわない")))</f>
        <v>運転がそろわない</v>
      </c>
      <c r="AX940" s="30" t="str">
        <f aca="false">IF(AND(AH940="利用可",AK940="利用可",AN940="利用可"),"利用可","不可")</f>
        <v>不可</v>
      </c>
      <c r="AY940" s="30" t="str">
        <f aca="false">IF(AND(AQ940="利用可",AT940="利用可",AW940="利用可"),"利用可","不可")</f>
        <v>不可</v>
      </c>
    </row>
    <row r="941" customFormat="false" ht="15" hidden="false" customHeight="false" outlineLevel="0" collapsed="false">
      <c r="A941" s="29" t="n">
        <v>46271</v>
      </c>
      <c r="B941" s="30" t="n">
        <v>2</v>
      </c>
      <c r="C941" s="31" t="s">
        <v>65</v>
      </c>
      <c r="D941" s="31" t="s">
        <v>64</v>
      </c>
      <c r="E941" s="30" t="n">
        <v>60</v>
      </c>
      <c r="F941" s="30" t="n">
        <v>0</v>
      </c>
      <c r="G941" s="30" t="str">
        <f aca="false">IF(E941&lt;判定条件!$C$6,"判定不能",IF(F941&gt;=判定条件!$C$7*E941,"運転",IF(F941&lt;=判定条件!$C$8*E941,"停止","断続")))</f>
        <v>停止</v>
      </c>
      <c r="H941" s="30" t="n">
        <v>60</v>
      </c>
      <c r="I941" s="30" t="n">
        <v>0</v>
      </c>
      <c r="J941" s="30" t="str">
        <f aca="false">IF(H941&lt;判定条件!$C$6,"判定不能",IF(I941&gt;=判定条件!$C$7*H941,"運転",IF(I941&lt;=判定条件!$C$8*H941,"停止","断続")))</f>
        <v>停止</v>
      </c>
      <c r="K941" s="30" t="n">
        <v>60</v>
      </c>
      <c r="L941" s="30" t="n">
        <v>60</v>
      </c>
      <c r="M941" s="30" t="str">
        <f aca="false">IF(K941&lt;判定条件!$C$6,"判定不能",IF(L941&gt;=判定条件!$C$7*K941,"運転",IF(L941&lt;=判定条件!$C$8*K941,"停止","断続")))</f>
        <v>運転</v>
      </c>
      <c r="N941" s="30" t="n">
        <v>60</v>
      </c>
      <c r="O941" s="30" t="n">
        <v>0</v>
      </c>
      <c r="P941" s="30" t="str">
        <f aca="false">IF(N941&lt;判定条件!$C$6,"判定不能",IF(O941&gt;=判定条件!$C$7*N941,"運転",IF(O941&lt;=判定条件!$C$8*N941,"停止","断続")))</f>
        <v>停止</v>
      </c>
      <c r="Q941" s="30" t="n">
        <v>60</v>
      </c>
      <c r="R941" s="30" t="n">
        <v>0</v>
      </c>
      <c r="S941" s="30" t="str">
        <f aca="false">IF(Q941&lt;判定条件!$C$6,"判定不能",IF(R941&gt;=判定条件!$C$7*Q941,"運転",IF(R941&lt;=判定条件!$C$8*Q941,"停止","断続")))</f>
        <v>停止</v>
      </c>
      <c r="T941" s="30" t="n">
        <v>60</v>
      </c>
      <c r="U941" s="30" t="n">
        <v>0</v>
      </c>
      <c r="V941" s="30" t="str">
        <f aca="false">IF(T941&lt;判定条件!$C$6,"判定不能",IF(U941&gt;=判定条件!$C$7*T941,"運転",IF(U941&lt;=判定条件!$C$8*T941,"停止","断続")))</f>
        <v>停止</v>
      </c>
      <c r="W941" s="30" t="n">
        <v>60</v>
      </c>
      <c r="X941" s="30" t="n">
        <v>0</v>
      </c>
      <c r="Y941" s="30" t="str">
        <f aca="false">IF(W941&lt;判定条件!$C$6,"判定不能",IF(X941&gt;=判定条件!$C$7*W941,"運転",IF(X941&lt;=判定条件!$C$8*W941,"停止","断続")))</f>
        <v>停止</v>
      </c>
      <c r="Z941" s="30" t="n">
        <v>60</v>
      </c>
      <c r="AA941" s="30" t="n">
        <v>0</v>
      </c>
      <c r="AB941" s="30" t="str">
        <f aca="false">IF(Z941&lt;判定条件!$C$6,"判定不能",IF(AA941&gt;=判定条件!$C$7*Z941,"運転",IF(AA941&lt;=判定条件!$C$8*Z941,"停止","断続")))</f>
        <v>停止</v>
      </c>
      <c r="AC941" s="30" t="n">
        <v>60</v>
      </c>
      <c r="AD941" s="30" t="n">
        <v>0</v>
      </c>
      <c r="AE941" s="30" t="str">
        <f aca="false">IF(AC941&lt;判定条件!$C$6,"判定不能",IF(AD941&gt;=判定条件!$C$7*AC941,"運転",IF(AD941&lt;=判定条件!$C$8*AC941,"停止","断続")))</f>
        <v>停止</v>
      </c>
      <c r="AF941" s="30" t="n">
        <v>60</v>
      </c>
      <c r="AG941" s="30" t="n">
        <v>0</v>
      </c>
      <c r="AH941" s="30" t="str">
        <f aca="false">IF(OR(P941="判定不能",G941="判定不能"),"判定不能",IF(AG941&gt;=判定条件!$C$9,"利用可",IF(AND(P941="停止",G941="停止"),"両方停止","運転がそろわない")))</f>
        <v>両方停止</v>
      </c>
      <c r="AI941" s="30" t="n">
        <v>60</v>
      </c>
      <c r="AJ941" s="30" t="n">
        <v>0</v>
      </c>
      <c r="AK941" s="30" t="str">
        <f aca="false">IF(OR(S941="判定不能",J941="判定不能"),"判定不能",IF(AJ941&gt;=判定条件!$C$9,"利用可",IF(AND(S941="停止",J941="停止"),"両方停止","運転がそろわない")))</f>
        <v>両方停止</v>
      </c>
      <c r="AL941" s="30" t="n">
        <v>60</v>
      </c>
      <c r="AM941" s="30" t="n">
        <v>0</v>
      </c>
      <c r="AN941" s="30" t="str">
        <f aca="false">IF(OR(V941="判定不能",M941="判定不能"),"判定不能",IF(AM941&gt;=判定条件!$C$9,"利用可",IF(AND(V941="停止",M941="停止"),"両方停止","運転がそろわない")))</f>
        <v>運転がそろわない</v>
      </c>
      <c r="AO941" s="30" t="n">
        <v>60</v>
      </c>
      <c r="AP941" s="30" t="n">
        <v>0</v>
      </c>
      <c r="AQ941" s="30" t="str">
        <f aca="false">IF(OR(Y941="判定不能",G941="判定不能"),"判定不能",IF(AP941&gt;=判定条件!$C$9,"利用可",IF(AND(Y941="停止",G941="停止"),"両方停止","運転がそろわない")))</f>
        <v>両方停止</v>
      </c>
      <c r="AR941" s="30" t="n">
        <v>60</v>
      </c>
      <c r="AS941" s="30" t="n">
        <v>0</v>
      </c>
      <c r="AT941" s="30" t="str">
        <f aca="false">IF(OR(AB941="判定不能",J941="判定不能"),"判定不能",IF(AS941&gt;=判定条件!$C$9,"利用可",IF(AND(AB941="停止",J941="停止"),"両方停止","運転がそろわない")))</f>
        <v>両方停止</v>
      </c>
      <c r="AU941" s="30" t="n">
        <v>60</v>
      </c>
      <c r="AV941" s="30" t="n">
        <v>0</v>
      </c>
      <c r="AW941" s="30" t="str">
        <f aca="false">IF(OR(AE941="判定不能",M941="判定不能"),"判定不能",IF(AV941&gt;=判定条件!$C$9,"利用可",IF(AND(AE941="停止",M941="停止"),"両方停止","運転がそろわない")))</f>
        <v>運転がそろわない</v>
      </c>
      <c r="AX941" s="30" t="str">
        <f aca="false">IF(AND(AH941="利用可",AK941="利用可",AN941="利用可"),"利用可","不可")</f>
        <v>不可</v>
      </c>
      <c r="AY941" s="30" t="str">
        <f aca="false">IF(AND(AQ941="利用可",AT941="利用可",AW941="利用可"),"利用可","不可")</f>
        <v>不可</v>
      </c>
    </row>
    <row r="942" customFormat="false" ht="15" hidden="false" customHeight="false" outlineLevel="0" collapsed="false">
      <c r="A942" s="29" t="n">
        <v>46271</v>
      </c>
      <c r="B942" s="30" t="n">
        <v>3</v>
      </c>
      <c r="C942" s="31" t="s">
        <v>65</v>
      </c>
      <c r="D942" s="31" t="s">
        <v>64</v>
      </c>
      <c r="E942" s="30" t="n">
        <v>60</v>
      </c>
      <c r="F942" s="30" t="n">
        <v>0</v>
      </c>
      <c r="G942" s="30" t="str">
        <f aca="false">IF(E942&lt;判定条件!$C$6,"判定不能",IF(F942&gt;=判定条件!$C$7*E942,"運転",IF(F942&lt;=判定条件!$C$8*E942,"停止","断続")))</f>
        <v>停止</v>
      </c>
      <c r="H942" s="30" t="n">
        <v>60</v>
      </c>
      <c r="I942" s="30" t="n">
        <v>0</v>
      </c>
      <c r="J942" s="30" t="str">
        <f aca="false">IF(H942&lt;判定条件!$C$6,"判定不能",IF(I942&gt;=判定条件!$C$7*H942,"運転",IF(I942&lt;=判定条件!$C$8*H942,"停止","断続")))</f>
        <v>停止</v>
      </c>
      <c r="K942" s="30" t="n">
        <v>60</v>
      </c>
      <c r="L942" s="30" t="n">
        <v>60</v>
      </c>
      <c r="M942" s="30" t="str">
        <f aca="false">IF(K942&lt;判定条件!$C$6,"判定不能",IF(L942&gt;=判定条件!$C$7*K942,"運転",IF(L942&lt;=判定条件!$C$8*K942,"停止","断続")))</f>
        <v>運転</v>
      </c>
      <c r="N942" s="30" t="n">
        <v>60</v>
      </c>
      <c r="O942" s="30" t="n">
        <v>0</v>
      </c>
      <c r="P942" s="30" t="str">
        <f aca="false">IF(N942&lt;判定条件!$C$6,"判定不能",IF(O942&gt;=判定条件!$C$7*N942,"運転",IF(O942&lt;=判定条件!$C$8*N942,"停止","断続")))</f>
        <v>停止</v>
      </c>
      <c r="Q942" s="30" t="n">
        <v>60</v>
      </c>
      <c r="R942" s="30" t="n">
        <v>0</v>
      </c>
      <c r="S942" s="30" t="str">
        <f aca="false">IF(Q942&lt;判定条件!$C$6,"判定不能",IF(R942&gt;=判定条件!$C$7*Q942,"運転",IF(R942&lt;=判定条件!$C$8*Q942,"停止","断続")))</f>
        <v>停止</v>
      </c>
      <c r="T942" s="30" t="n">
        <v>60</v>
      </c>
      <c r="U942" s="30" t="n">
        <v>0</v>
      </c>
      <c r="V942" s="30" t="str">
        <f aca="false">IF(T942&lt;判定条件!$C$6,"判定不能",IF(U942&gt;=判定条件!$C$7*T942,"運転",IF(U942&lt;=判定条件!$C$8*T942,"停止","断続")))</f>
        <v>停止</v>
      </c>
      <c r="W942" s="30" t="n">
        <v>60</v>
      </c>
      <c r="X942" s="30" t="n">
        <v>0</v>
      </c>
      <c r="Y942" s="30" t="str">
        <f aca="false">IF(W942&lt;判定条件!$C$6,"判定不能",IF(X942&gt;=判定条件!$C$7*W942,"運転",IF(X942&lt;=判定条件!$C$8*W942,"停止","断続")))</f>
        <v>停止</v>
      </c>
      <c r="Z942" s="30" t="n">
        <v>60</v>
      </c>
      <c r="AA942" s="30" t="n">
        <v>0</v>
      </c>
      <c r="AB942" s="30" t="str">
        <f aca="false">IF(Z942&lt;判定条件!$C$6,"判定不能",IF(AA942&gt;=判定条件!$C$7*Z942,"運転",IF(AA942&lt;=判定条件!$C$8*Z942,"停止","断続")))</f>
        <v>停止</v>
      </c>
      <c r="AC942" s="30" t="n">
        <v>60</v>
      </c>
      <c r="AD942" s="30" t="n">
        <v>0</v>
      </c>
      <c r="AE942" s="30" t="str">
        <f aca="false">IF(AC942&lt;判定条件!$C$6,"判定不能",IF(AD942&gt;=判定条件!$C$7*AC942,"運転",IF(AD942&lt;=判定条件!$C$8*AC942,"停止","断続")))</f>
        <v>停止</v>
      </c>
      <c r="AF942" s="30" t="n">
        <v>60</v>
      </c>
      <c r="AG942" s="30" t="n">
        <v>0</v>
      </c>
      <c r="AH942" s="30" t="str">
        <f aca="false">IF(OR(P942="判定不能",G942="判定不能"),"判定不能",IF(AG942&gt;=判定条件!$C$9,"利用可",IF(AND(P942="停止",G942="停止"),"両方停止","運転がそろわない")))</f>
        <v>両方停止</v>
      </c>
      <c r="AI942" s="30" t="n">
        <v>60</v>
      </c>
      <c r="AJ942" s="30" t="n">
        <v>0</v>
      </c>
      <c r="AK942" s="30" t="str">
        <f aca="false">IF(OR(S942="判定不能",J942="判定不能"),"判定不能",IF(AJ942&gt;=判定条件!$C$9,"利用可",IF(AND(S942="停止",J942="停止"),"両方停止","運転がそろわない")))</f>
        <v>両方停止</v>
      </c>
      <c r="AL942" s="30" t="n">
        <v>60</v>
      </c>
      <c r="AM942" s="30" t="n">
        <v>0</v>
      </c>
      <c r="AN942" s="30" t="str">
        <f aca="false">IF(OR(V942="判定不能",M942="判定不能"),"判定不能",IF(AM942&gt;=判定条件!$C$9,"利用可",IF(AND(V942="停止",M942="停止"),"両方停止","運転がそろわない")))</f>
        <v>運転がそろわない</v>
      </c>
      <c r="AO942" s="30" t="n">
        <v>60</v>
      </c>
      <c r="AP942" s="30" t="n">
        <v>0</v>
      </c>
      <c r="AQ942" s="30" t="str">
        <f aca="false">IF(OR(Y942="判定不能",G942="判定不能"),"判定不能",IF(AP942&gt;=判定条件!$C$9,"利用可",IF(AND(Y942="停止",G942="停止"),"両方停止","運転がそろわない")))</f>
        <v>両方停止</v>
      </c>
      <c r="AR942" s="30" t="n">
        <v>60</v>
      </c>
      <c r="AS942" s="30" t="n">
        <v>0</v>
      </c>
      <c r="AT942" s="30" t="str">
        <f aca="false">IF(OR(AB942="判定不能",J942="判定不能"),"判定不能",IF(AS942&gt;=判定条件!$C$9,"利用可",IF(AND(AB942="停止",J942="停止"),"両方停止","運転がそろわない")))</f>
        <v>両方停止</v>
      </c>
      <c r="AU942" s="30" t="n">
        <v>60</v>
      </c>
      <c r="AV942" s="30" t="n">
        <v>0</v>
      </c>
      <c r="AW942" s="30" t="str">
        <f aca="false">IF(OR(AE942="判定不能",M942="判定不能"),"判定不能",IF(AV942&gt;=判定条件!$C$9,"利用可",IF(AND(AE942="停止",M942="停止"),"両方停止","運転がそろわない")))</f>
        <v>運転がそろわない</v>
      </c>
      <c r="AX942" s="30" t="str">
        <f aca="false">IF(AND(AH942="利用可",AK942="利用可",AN942="利用可"),"利用可","不可")</f>
        <v>不可</v>
      </c>
      <c r="AY942" s="30" t="str">
        <f aca="false">IF(AND(AQ942="利用可",AT942="利用可",AW942="利用可"),"利用可","不可")</f>
        <v>不可</v>
      </c>
    </row>
    <row r="943" customFormat="false" ht="15" hidden="false" customHeight="false" outlineLevel="0" collapsed="false">
      <c r="A943" s="29" t="n">
        <v>46271</v>
      </c>
      <c r="B943" s="30" t="n">
        <v>4</v>
      </c>
      <c r="C943" s="31" t="s">
        <v>65</v>
      </c>
      <c r="D943" s="31" t="s">
        <v>64</v>
      </c>
      <c r="E943" s="30" t="n">
        <v>60</v>
      </c>
      <c r="F943" s="30" t="n">
        <v>0</v>
      </c>
      <c r="G943" s="30" t="str">
        <f aca="false">IF(E943&lt;判定条件!$C$6,"判定不能",IF(F943&gt;=判定条件!$C$7*E943,"運転",IF(F943&lt;=判定条件!$C$8*E943,"停止","断続")))</f>
        <v>停止</v>
      </c>
      <c r="H943" s="30" t="n">
        <v>60</v>
      </c>
      <c r="I943" s="30" t="n">
        <v>0</v>
      </c>
      <c r="J943" s="30" t="str">
        <f aca="false">IF(H943&lt;判定条件!$C$6,"判定不能",IF(I943&gt;=判定条件!$C$7*H943,"運転",IF(I943&lt;=判定条件!$C$8*H943,"停止","断続")))</f>
        <v>停止</v>
      </c>
      <c r="K943" s="30" t="n">
        <v>60</v>
      </c>
      <c r="L943" s="30" t="n">
        <v>60</v>
      </c>
      <c r="M943" s="30" t="str">
        <f aca="false">IF(K943&lt;判定条件!$C$6,"判定不能",IF(L943&gt;=判定条件!$C$7*K943,"運転",IF(L943&lt;=判定条件!$C$8*K943,"停止","断続")))</f>
        <v>運転</v>
      </c>
      <c r="N943" s="30" t="n">
        <v>60</v>
      </c>
      <c r="O943" s="30" t="n">
        <v>0</v>
      </c>
      <c r="P943" s="30" t="str">
        <f aca="false">IF(N943&lt;判定条件!$C$6,"判定不能",IF(O943&gt;=判定条件!$C$7*N943,"運転",IF(O943&lt;=判定条件!$C$8*N943,"停止","断続")))</f>
        <v>停止</v>
      </c>
      <c r="Q943" s="30" t="n">
        <v>60</v>
      </c>
      <c r="R943" s="30" t="n">
        <v>0</v>
      </c>
      <c r="S943" s="30" t="str">
        <f aca="false">IF(Q943&lt;判定条件!$C$6,"判定不能",IF(R943&gt;=判定条件!$C$7*Q943,"運転",IF(R943&lt;=判定条件!$C$8*Q943,"停止","断続")))</f>
        <v>停止</v>
      </c>
      <c r="T943" s="30" t="n">
        <v>60</v>
      </c>
      <c r="U943" s="30" t="n">
        <v>0</v>
      </c>
      <c r="V943" s="30" t="str">
        <f aca="false">IF(T943&lt;判定条件!$C$6,"判定不能",IF(U943&gt;=判定条件!$C$7*T943,"運転",IF(U943&lt;=判定条件!$C$8*T943,"停止","断続")))</f>
        <v>停止</v>
      </c>
      <c r="W943" s="30" t="n">
        <v>60</v>
      </c>
      <c r="X943" s="30" t="n">
        <v>0</v>
      </c>
      <c r="Y943" s="30" t="str">
        <f aca="false">IF(W943&lt;判定条件!$C$6,"判定不能",IF(X943&gt;=判定条件!$C$7*W943,"運転",IF(X943&lt;=判定条件!$C$8*W943,"停止","断続")))</f>
        <v>停止</v>
      </c>
      <c r="Z943" s="30" t="n">
        <v>60</v>
      </c>
      <c r="AA943" s="30" t="n">
        <v>0</v>
      </c>
      <c r="AB943" s="30" t="str">
        <f aca="false">IF(Z943&lt;判定条件!$C$6,"判定不能",IF(AA943&gt;=判定条件!$C$7*Z943,"運転",IF(AA943&lt;=判定条件!$C$8*Z943,"停止","断続")))</f>
        <v>停止</v>
      </c>
      <c r="AC943" s="30" t="n">
        <v>60</v>
      </c>
      <c r="AD943" s="30" t="n">
        <v>0</v>
      </c>
      <c r="AE943" s="30" t="str">
        <f aca="false">IF(AC943&lt;判定条件!$C$6,"判定不能",IF(AD943&gt;=判定条件!$C$7*AC943,"運転",IF(AD943&lt;=判定条件!$C$8*AC943,"停止","断続")))</f>
        <v>停止</v>
      </c>
      <c r="AF943" s="30" t="n">
        <v>60</v>
      </c>
      <c r="AG943" s="30" t="n">
        <v>0</v>
      </c>
      <c r="AH943" s="30" t="str">
        <f aca="false">IF(OR(P943="判定不能",G943="判定不能"),"判定不能",IF(AG943&gt;=判定条件!$C$9,"利用可",IF(AND(P943="停止",G943="停止"),"両方停止","運転がそろわない")))</f>
        <v>両方停止</v>
      </c>
      <c r="AI943" s="30" t="n">
        <v>60</v>
      </c>
      <c r="AJ943" s="30" t="n">
        <v>0</v>
      </c>
      <c r="AK943" s="30" t="str">
        <f aca="false">IF(OR(S943="判定不能",J943="判定不能"),"判定不能",IF(AJ943&gt;=判定条件!$C$9,"利用可",IF(AND(S943="停止",J943="停止"),"両方停止","運転がそろわない")))</f>
        <v>両方停止</v>
      </c>
      <c r="AL943" s="30" t="n">
        <v>60</v>
      </c>
      <c r="AM943" s="30" t="n">
        <v>0</v>
      </c>
      <c r="AN943" s="30" t="str">
        <f aca="false">IF(OR(V943="判定不能",M943="判定不能"),"判定不能",IF(AM943&gt;=判定条件!$C$9,"利用可",IF(AND(V943="停止",M943="停止"),"両方停止","運転がそろわない")))</f>
        <v>運転がそろわない</v>
      </c>
      <c r="AO943" s="30" t="n">
        <v>60</v>
      </c>
      <c r="AP943" s="30" t="n">
        <v>0</v>
      </c>
      <c r="AQ943" s="30" t="str">
        <f aca="false">IF(OR(Y943="判定不能",G943="判定不能"),"判定不能",IF(AP943&gt;=判定条件!$C$9,"利用可",IF(AND(Y943="停止",G943="停止"),"両方停止","運転がそろわない")))</f>
        <v>両方停止</v>
      </c>
      <c r="AR943" s="30" t="n">
        <v>60</v>
      </c>
      <c r="AS943" s="30" t="n">
        <v>0</v>
      </c>
      <c r="AT943" s="30" t="str">
        <f aca="false">IF(OR(AB943="判定不能",J943="判定不能"),"判定不能",IF(AS943&gt;=判定条件!$C$9,"利用可",IF(AND(AB943="停止",J943="停止"),"両方停止","運転がそろわない")))</f>
        <v>両方停止</v>
      </c>
      <c r="AU943" s="30" t="n">
        <v>60</v>
      </c>
      <c r="AV943" s="30" t="n">
        <v>0</v>
      </c>
      <c r="AW943" s="30" t="str">
        <f aca="false">IF(OR(AE943="判定不能",M943="判定不能"),"判定不能",IF(AV943&gt;=判定条件!$C$9,"利用可",IF(AND(AE943="停止",M943="停止"),"両方停止","運転がそろわない")))</f>
        <v>運転がそろわない</v>
      </c>
      <c r="AX943" s="30" t="str">
        <f aca="false">IF(AND(AH943="利用可",AK943="利用可",AN943="利用可"),"利用可","不可")</f>
        <v>不可</v>
      </c>
      <c r="AY943" s="30" t="str">
        <f aca="false">IF(AND(AQ943="利用可",AT943="利用可",AW943="利用可"),"利用可","不可")</f>
        <v>不可</v>
      </c>
    </row>
    <row r="944" customFormat="false" ht="15" hidden="false" customHeight="false" outlineLevel="0" collapsed="false">
      <c r="A944" s="29" t="n">
        <v>46271</v>
      </c>
      <c r="B944" s="30" t="n">
        <v>5</v>
      </c>
      <c r="C944" s="31" t="s">
        <v>65</v>
      </c>
      <c r="D944" s="31" t="s">
        <v>64</v>
      </c>
      <c r="E944" s="30" t="n">
        <v>60</v>
      </c>
      <c r="F944" s="30" t="n">
        <v>0</v>
      </c>
      <c r="G944" s="30" t="str">
        <f aca="false">IF(E944&lt;判定条件!$C$6,"判定不能",IF(F944&gt;=判定条件!$C$7*E944,"運転",IF(F944&lt;=判定条件!$C$8*E944,"停止","断続")))</f>
        <v>停止</v>
      </c>
      <c r="H944" s="30" t="n">
        <v>60</v>
      </c>
      <c r="I944" s="30" t="n">
        <v>0</v>
      </c>
      <c r="J944" s="30" t="str">
        <f aca="false">IF(H944&lt;判定条件!$C$6,"判定不能",IF(I944&gt;=判定条件!$C$7*H944,"運転",IF(I944&lt;=判定条件!$C$8*H944,"停止","断続")))</f>
        <v>停止</v>
      </c>
      <c r="K944" s="30" t="n">
        <v>60</v>
      </c>
      <c r="L944" s="30" t="n">
        <v>60</v>
      </c>
      <c r="M944" s="30" t="str">
        <f aca="false">IF(K944&lt;判定条件!$C$6,"判定不能",IF(L944&gt;=判定条件!$C$7*K944,"運転",IF(L944&lt;=判定条件!$C$8*K944,"停止","断続")))</f>
        <v>運転</v>
      </c>
      <c r="N944" s="30" t="n">
        <v>60</v>
      </c>
      <c r="O944" s="30" t="n">
        <v>0</v>
      </c>
      <c r="P944" s="30" t="str">
        <f aca="false">IF(N944&lt;判定条件!$C$6,"判定不能",IF(O944&gt;=判定条件!$C$7*N944,"運転",IF(O944&lt;=判定条件!$C$8*N944,"停止","断続")))</f>
        <v>停止</v>
      </c>
      <c r="Q944" s="30" t="n">
        <v>60</v>
      </c>
      <c r="R944" s="30" t="n">
        <v>0</v>
      </c>
      <c r="S944" s="30" t="str">
        <f aca="false">IF(Q944&lt;判定条件!$C$6,"判定不能",IF(R944&gt;=判定条件!$C$7*Q944,"運転",IF(R944&lt;=判定条件!$C$8*Q944,"停止","断続")))</f>
        <v>停止</v>
      </c>
      <c r="T944" s="30" t="n">
        <v>60</v>
      </c>
      <c r="U944" s="30" t="n">
        <v>0</v>
      </c>
      <c r="V944" s="30" t="str">
        <f aca="false">IF(T944&lt;判定条件!$C$6,"判定不能",IF(U944&gt;=判定条件!$C$7*T944,"運転",IF(U944&lt;=判定条件!$C$8*T944,"停止","断続")))</f>
        <v>停止</v>
      </c>
      <c r="W944" s="30" t="n">
        <v>60</v>
      </c>
      <c r="X944" s="30" t="n">
        <v>0</v>
      </c>
      <c r="Y944" s="30" t="str">
        <f aca="false">IF(W944&lt;判定条件!$C$6,"判定不能",IF(X944&gt;=判定条件!$C$7*W944,"運転",IF(X944&lt;=判定条件!$C$8*W944,"停止","断続")))</f>
        <v>停止</v>
      </c>
      <c r="Z944" s="30" t="n">
        <v>60</v>
      </c>
      <c r="AA944" s="30" t="n">
        <v>0</v>
      </c>
      <c r="AB944" s="30" t="str">
        <f aca="false">IF(Z944&lt;判定条件!$C$6,"判定不能",IF(AA944&gt;=判定条件!$C$7*Z944,"運転",IF(AA944&lt;=判定条件!$C$8*Z944,"停止","断続")))</f>
        <v>停止</v>
      </c>
      <c r="AC944" s="30" t="n">
        <v>60</v>
      </c>
      <c r="AD944" s="30" t="n">
        <v>0</v>
      </c>
      <c r="AE944" s="30" t="str">
        <f aca="false">IF(AC944&lt;判定条件!$C$6,"判定不能",IF(AD944&gt;=判定条件!$C$7*AC944,"運転",IF(AD944&lt;=判定条件!$C$8*AC944,"停止","断続")))</f>
        <v>停止</v>
      </c>
      <c r="AF944" s="30" t="n">
        <v>60</v>
      </c>
      <c r="AG944" s="30" t="n">
        <v>0</v>
      </c>
      <c r="AH944" s="30" t="str">
        <f aca="false">IF(OR(P944="判定不能",G944="判定不能"),"判定不能",IF(AG944&gt;=判定条件!$C$9,"利用可",IF(AND(P944="停止",G944="停止"),"両方停止","運転がそろわない")))</f>
        <v>両方停止</v>
      </c>
      <c r="AI944" s="30" t="n">
        <v>60</v>
      </c>
      <c r="AJ944" s="30" t="n">
        <v>0</v>
      </c>
      <c r="AK944" s="30" t="str">
        <f aca="false">IF(OR(S944="判定不能",J944="判定不能"),"判定不能",IF(AJ944&gt;=判定条件!$C$9,"利用可",IF(AND(S944="停止",J944="停止"),"両方停止","運転がそろわない")))</f>
        <v>両方停止</v>
      </c>
      <c r="AL944" s="30" t="n">
        <v>60</v>
      </c>
      <c r="AM944" s="30" t="n">
        <v>0</v>
      </c>
      <c r="AN944" s="30" t="str">
        <f aca="false">IF(OR(V944="判定不能",M944="判定不能"),"判定不能",IF(AM944&gt;=判定条件!$C$9,"利用可",IF(AND(V944="停止",M944="停止"),"両方停止","運転がそろわない")))</f>
        <v>運転がそろわない</v>
      </c>
      <c r="AO944" s="30" t="n">
        <v>60</v>
      </c>
      <c r="AP944" s="30" t="n">
        <v>0</v>
      </c>
      <c r="AQ944" s="30" t="str">
        <f aca="false">IF(OR(Y944="判定不能",G944="判定不能"),"判定不能",IF(AP944&gt;=判定条件!$C$9,"利用可",IF(AND(Y944="停止",G944="停止"),"両方停止","運転がそろわない")))</f>
        <v>両方停止</v>
      </c>
      <c r="AR944" s="30" t="n">
        <v>60</v>
      </c>
      <c r="AS944" s="30" t="n">
        <v>0</v>
      </c>
      <c r="AT944" s="30" t="str">
        <f aca="false">IF(OR(AB944="判定不能",J944="判定不能"),"判定不能",IF(AS944&gt;=判定条件!$C$9,"利用可",IF(AND(AB944="停止",J944="停止"),"両方停止","運転がそろわない")))</f>
        <v>両方停止</v>
      </c>
      <c r="AU944" s="30" t="n">
        <v>60</v>
      </c>
      <c r="AV944" s="30" t="n">
        <v>0</v>
      </c>
      <c r="AW944" s="30" t="str">
        <f aca="false">IF(OR(AE944="判定不能",M944="判定不能"),"判定不能",IF(AV944&gt;=判定条件!$C$9,"利用可",IF(AND(AE944="停止",M944="停止"),"両方停止","運転がそろわない")))</f>
        <v>運転がそろわない</v>
      </c>
      <c r="AX944" s="30" t="str">
        <f aca="false">IF(AND(AH944="利用可",AK944="利用可",AN944="利用可"),"利用可","不可")</f>
        <v>不可</v>
      </c>
      <c r="AY944" s="30" t="str">
        <f aca="false">IF(AND(AQ944="利用可",AT944="利用可",AW944="利用可"),"利用可","不可")</f>
        <v>不可</v>
      </c>
    </row>
    <row r="945" customFormat="false" ht="15" hidden="false" customHeight="false" outlineLevel="0" collapsed="false">
      <c r="A945" s="29" t="n">
        <v>46271</v>
      </c>
      <c r="B945" s="30" t="n">
        <v>6</v>
      </c>
      <c r="C945" s="31" t="s">
        <v>65</v>
      </c>
      <c r="D945" s="31" t="s">
        <v>64</v>
      </c>
      <c r="E945" s="30" t="n">
        <v>60</v>
      </c>
      <c r="F945" s="30" t="n">
        <v>0</v>
      </c>
      <c r="G945" s="30" t="str">
        <f aca="false">IF(E945&lt;判定条件!$C$6,"判定不能",IF(F945&gt;=判定条件!$C$7*E945,"運転",IF(F945&lt;=判定条件!$C$8*E945,"停止","断続")))</f>
        <v>停止</v>
      </c>
      <c r="H945" s="30" t="n">
        <v>60</v>
      </c>
      <c r="I945" s="30" t="n">
        <v>0</v>
      </c>
      <c r="J945" s="30" t="str">
        <f aca="false">IF(H945&lt;判定条件!$C$6,"判定不能",IF(I945&gt;=判定条件!$C$7*H945,"運転",IF(I945&lt;=判定条件!$C$8*H945,"停止","断続")))</f>
        <v>停止</v>
      </c>
      <c r="K945" s="30" t="n">
        <v>60</v>
      </c>
      <c r="L945" s="30" t="n">
        <v>60</v>
      </c>
      <c r="M945" s="30" t="str">
        <f aca="false">IF(K945&lt;判定条件!$C$6,"判定不能",IF(L945&gt;=判定条件!$C$7*K945,"運転",IF(L945&lt;=判定条件!$C$8*K945,"停止","断続")))</f>
        <v>運転</v>
      </c>
      <c r="N945" s="30" t="n">
        <v>60</v>
      </c>
      <c r="O945" s="30" t="n">
        <v>0</v>
      </c>
      <c r="P945" s="30" t="str">
        <f aca="false">IF(N945&lt;判定条件!$C$6,"判定不能",IF(O945&gt;=判定条件!$C$7*N945,"運転",IF(O945&lt;=判定条件!$C$8*N945,"停止","断続")))</f>
        <v>停止</v>
      </c>
      <c r="Q945" s="30" t="n">
        <v>60</v>
      </c>
      <c r="R945" s="30" t="n">
        <v>0</v>
      </c>
      <c r="S945" s="30" t="str">
        <f aca="false">IF(Q945&lt;判定条件!$C$6,"判定不能",IF(R945&gt;=判定条件!$C$7*Q945,"運転",IF(R945&lt;=判定条件!$C$8*Q945,"停止","断続")))</f>
        <v>停止</v>
      </c>
      <c r="T945" s="30" t="n">
        <v>60</v>
      </c>
      <c r="U945" s="30" t="n">
        <v>0</v>
      </c>
      <c r="V945" s="30" t="str">
        <f aca="false">IF(T945&lt;判定条件!$C$6,"判定不能",IF(U945&gt;=判定条件!$C$7*T945,"運転",IF(U945&lt;=判定条件!$C$8*T945,"停止","断続")))</f>
        <v>停止</v>
      </c>
      <c r="W945" s="30" t="n">
        <v>60</v>
      </c>
      <c r="X945" s="30" t="n">
        <v>0</v>
      </c>
      <c r="Y945" s="30" t="str">
        <f aca="false">IF(W945&lt;判定条件!$C$6,"判定不能",IF(X945&gt;=判定条件!$C$7*W945,"運転",IF(X945&lt;=判定条件!$C$8*W945,"停止","断続")))</f>
        <v>停止</v>
      </c>
      <c r="Z945" s="30" t="n">
        <v>60</v>
      </c>
      <c r="AA945" s="30" t="n">
        <v>0</v>
      </c>
      <c r="AB945" s="30" t="str">
        <f aca="false">IF(Z945&lt;判定条件!$C$6,"判定不能",IF(AA945&gt;=判定条件!$C$7*Z945,"運転",IF(AA945&lt;=判定条件!$C$8*Z945,"停止","断続")))</f>
        <v>停止</v>
      </c>
      <c r="AC945" s="30" t="n">
        <v>60</v>
      </c>
      <c r="AD945" s="30" t="n">
        <v>0</v>
      </c>
      <c r="AE945" s="30" t="str">
        <f aca="false">IF(AC945&lt;判定条件!$C$6,"判定不能",IF(AD945&gt;=判定条件!$C$7*AC945,"運転",IF(AD945&lt;=判定条件!$C$8*AC945,"停止","断続")))</f>
        <v>停止</v>
      </c>
      <c r="AF945" s="30" t="n">
        <v>60</v>
      </c>
      <c r="AG945" s="30" t="n">
        <v>0</v>
      </c>
      <c r="AH945" s="30" t="str">
        <f aca="false">IF(OR(P945="判定不能",G945="判定不能"),"判定不能",IF(AG945&gt;=判定条件!$C$9,"利用可",IF(AND(P945="停止",G945="停止"),"両方停止","運転がそろわない")))</f>
        <v>両方停止</v>
      </c>
      <c r="AI945" s="30" t="n">
        <v>60</v>
      </c>
      <c r="AJ945" s="30" t="n">
        <v>0</v>
      </c>
      <c r="AK945" s="30" t="str">
        <f aca="false">IF(OR(S945="判定不能",J945="判定不能"),"判定不能",IF(AJ945&gt;=判定条件!$C$9,"利用可",IF(AND(S945="停止",J945="停止"),"両方停止","運転がそろわない")))</f>
        <v>両方停止</v>
      </c>
      <c r="AL945" s="30" t="n">
        <v>60</v>
      </c>
      <c r="AM945" s="30" t="n">
        <v>0</v>
      </c>
      <c r="AN945" s="30" t="str">
        <f aca="false">IF(OR(V945="判定不能",M945="判定不能"),"判定不能",IF(AM945&gt;=判定条件!$C$9,"利用可",IF(AND(V945="停止",M945="停止"),"両方停止","運転がそろわない")))</f>
        <v>運転がそろわない</v>
      </c>
      <c r="AO945" s="30" t="n">
        <v>60</v>
      </c>
      <c r="AP945" s="30" t="n">
        <v>0</v>
      </c>
      <c r="AQ945" s="30" t="str">
        <f aca="false">IF(OR(Y945="判定不能",G945="判定不能"),"判定不能",IF(AP945&gt;=判定条件!$C$9,"利用可",IF(AND(Y945="停止",G945="停止"),"両方停止","運転がそろわない")))</f>
        <v>両方停止</v>
      </c>
      <c r="AR945" s="30" t="n">
        <v>60</v>
      </c>
      <c r="AS945" s="30" t="n">
        <v>0</v>
      </c>
      <c r="AT945" s="30" t="str">
        <f aca="false">IF(OR(AB945="判定不能",J945="判定不能"),"判定不能",IF(AS945&gt;=判定条件!$C$9,"利用可",IF(AND(AB945="停止",J945="停止"),"両方停止","運転がそろわない")))</f>
        <v>両方停止</v>
      </c>
      <c r="AU945" s="30" t="n">
        <v>60</v>
      </c>
      <c r="AV945" s="30" t="n">
        <v>0</v>
      </c>
      <c r="AW945" s="30" t="str">
        <f aca="false">IF(OR(AE945="判定不能",M945="判定不能"),"判定不能",IF(AV945&gt;=判定条件!$C$9,"利用可",IF(AND(AE945="停止",M945="停止"),"両方停止","運転がそろわない")))</f>
        <v>運転がそろわない</v>
      </c>
      <c r="AX945" s="30" t="str">
        <f aca="false">IF(AND(AH945="利用可",AK945="利用可",AN945="利用可"),"利用可","不可")</f>
        <v>不可</v>
      </c>
      <c r="AY945" s="30" t="str">
        <f aca="false">IF(AND(AQ945="利用可",AT945="利用可",AW945="利用可"),"利用可","不可")</f>
        <v>不可</v>
      </c>
    </row>
    <row r="946" customFormat="false" ht="15" hidden="false" customHeight="false" outlineLevel="0" collapsed="false">
      <c r="A946" s="29" t="n">
        <v>46271</v>
      </c>
      <c r="B946" s="30" t="n">
        <v>7</v>
      </c>
      <c r="C946" s="31" t="s">
        <v>65</v>
      </c>
      <c r="D946" s="31" t="s">
        <v>64</v>
      </c>
      <c r="E946" s="30" t="n">
        <v>60</v>
      </c>
      <c r="F946" s="30" t="n">
        <v>0</v>
      </c>
      <c r="G946" s="30" t="str">
        <f aca="false">IF(E946&lt;判定条件!$C$6,"判定不能",IF(F946&gt;=判定条件!$C$7*E946,"運転",IF(F946&lt;=判定条件!$C$8*E946,"停止","断続")))</f>
        <v>停止</v>
      </c>
      <c r="H946" s="30" t="n">
        <v>60</v>
      </c>
      <c r="I946" s="30" t="n">
        <v>0</v>
      </c>
      <c r="J946" s="30" t="str">
        <f aca="false">IF(H946&lt;判定条件!$C$6,"判定不能",IF(I946&gt;=判定条件!$C$7*H946,"運転",IF(I946&lt;=判定条件!$C$8*H946,"停止","断続")))</f>
        <v>停止</v>
      </c>
      <c r="K946" s="30" t="n">
        <v>60</v>
      </c>
      <c r="L946" s="30" t="n">
        <v>60</v>
      </c>
      <c r="M946" s="30" t="str">
        <f aca="false">IF(K946&lt;判定条件!$C$6,"判定不能",IF(L946&gt;=判定条件!$C$7*K946,"運転",IF(L946&lt;=判定条件!$C$8*K946,"停止","断続")))</f>
        <v>運転</v>
      </c>
      <c r="N946" s="30" t="n">
        <v>60</v>
      </c>
      <c r="O946" s="30" t="n">
        <v>0</v>
      </c>
      <c r="P946" s="30" t="str">
        <f aca="false">IF(N946&lt;判定条件!$C$6,"判定不能",IF(O946&gt;=判定条件!$C$7*N946,"運転",IF(O946&lt;=判定条件!$C$8*N946,"停止","断続")))</f>
        <v>停止</v>
      </c>
      <c r="Q946" s="30" t="n">
        <v>60</v>
      </c>
      <c r="R946" s="30" t="n">
        <v>0</v>
      </c>
      <c r="S946" s="30" t="str">
        <f aca="false">IF(Q946&lt;判定条件!$C$6,"判定不能",IF(R946&gt;=判定条件!$C$7*Q946,"運転",IF(R946&lt;=判定条件!$C$8*Q946,"停止","断続")))</f>
        <v>停止</v>
      </c>
      <c r="T946" s="30" t="n">
        <v>60</v>
      </c>
      <c r="U946" s="30" t="n">
        <v>10</v>
      </c>
      <c r="V946" s="30" t="str">
        <f aca="false">IF(T946&lt;判定条件!$C$6,"判定不能",IF(U946&gt;=判定条件!$C$7*T946,"運転",IF(U946&lt;=判定条件!$C$8*T946,"停止","断続")))</f>
        <v>停止</v>
      </c>
      <c r="W946" s="30" t="n">
        <v>60</v>
      </c>
      <c r="X946" s="30" t="n">
        <v>0</v>
      </c>
      <c r="Y946" s="30" t="str">
        <f aca="false">IF(W946&lt;判定条件!$C$6,"判定不能",IF(X946&gt;=判定条件!$C$7*W946,"運転",IF(X946&lt;=判定条件!$C$8*W946,"停止","断続")))</f>
        <v>停止</v>
      </c>
      <c r="Z946" s="30" t="n">
        <v>60</v>
      </c>
      <c r="AA946" s="30" t="n">
        <v>0</v>
      </c>
      <c r="AB946" s="30" t="str">
        <f aca="false">IF(Z946&lt;判定条件!$C$6,"判定不能",IF(AA946&gt;=判定条件!$C$7*Z946,"運転",IF(AA946&lt;=判定条件!$C$8*Z946,"停止","断続")))</f>
        <v>停止</v>
      </c>
      <c r="AC946" s="30" t="n">
        <v>60</v>
      </c>
      <c r="AD946" s="30" t="n">
        <v>0</v>
      </c>
      <c r="AE946" s="30" t="str">
        <f aca="false">IF(AC946&lt;判定条件!$C$6,"判定不能",IF(AD946&gt;=判定条件!$C$7*AC946,"運転",IF(AD946&lt;=判定条件!$C$8*AC946,"停止","断続")))</f>
        <v>停止</v>
      </c>
      <c r="AF946" s="30" t="n">
        <v>60</v>
      </c>
      <c r="AG946" s="30" t="n">
        <v>0</v>
      </c>
      <c r="AH946" s="30" t="str">
        <f aca="false">IF(OR(P946="判定不能",G946="判定不能"),"判定不能",IF(AG946&gt;=判定条件!$C$9,"利用可",IF(AND(P946="停止",G946="停止"),"両方停止","運転がそろわない")))</f>
        <v>両方停止</v>
      </c>
      <c r="AI946" s="30" t="n">
        <v>60</v>
      </c>
      <c r="AJ946" s="30" t="n">
        <v>0</v>
      </c>
      <c r="AK946" s="30" t="str">
        <f aca="false">IF(OR(S946="判定不能",J946="判定不能"),"判定不能",IF(AJ946&gt;=判定条件!$C$9,"利用可",IF(AND(S946="停止",J946="停止"),"両方停止","運転がそろわない")))</f>
        <v>両方停止</v>
      </c>
      <c r="AL946" s="30" t="n">
        <v>60</v>
      </c>
      <c r="AM946" s="30" t="n">
        <v>10</v>
      </c>
      <c r="AN946" s="30" t="str">
        <f aca="false">IF(OR(V946="判定不能",M946="判定不能"),"判定不能",IF(AM946&gt;=判定条件!$C$9,"利用可",IF(AND(V946="停止",M946="停止"),"両方停止","運転がそろわない")))</f>
        <v>運転がそろわない</v>
      </c>
      <c r="AO946" s="30" t="n">
        <v>60</v>
      </c>
      <c r="AP946" s="30" t="n">
        <v>0</v>
      </c>
      <c r="AQ946" s="30" t="str">
        <f aca="false">IF(OR(Y946="判定不能",G946="判定不能"),"判定不能",IF(AP946&gt;=判定条件!$C$9,"利用可",IF(AND(Y946="停止",G946="停止"),"両方停止","運転がそろわない")))</f>
        <v>両方停止</v>
      </c>
      <c r="AR946" s="30" t="n">
        <v>60</v>
      </c>
      <c r="AS946" s="30" t="n">
        <v>0</v>
      </c>
      <c r="AT946" s="30" t="str">
        <f aca="false">IF(OR(AB946="判定不能",J946="判定不能"),"判定不能",IF(AS946&gt;=判定条件!$C$9,"利用可",IF(AND(AB946="停止",J946="停止"),"両方停止","運転がそろわない")))</f>
        <v>両方停止</v>
      </c>
      <c r="AU946" s="30" t="n">
        <v>60</v>
      </c>
      <c r="AV946" s="30" t="n">
        <v>0</v>
      </c>
      <c r="AW946" s="30" t="str">
        <f aca="false">IF(OR(AE946="判定不能",M946="判定不能"),"判定不能",IF(AV946&gt;=判定条件!$C$9,"利用可",IF(AND(AE946="停止",M946="停止"),"両方停止","運転がそろわない")))</f>
        <v>運転がそろわない</v>
      </c>
      <c r="AX946" s="30" t="str">
        <f aca="false">IF(AND(AH946="利用可",AK946="利用可",AN946="利用可"),"利用可","不可")</f>
        <v>不可</v>
      </c>
      <c r="AY946" s="30" t="str">
        <f aca="false">IF(AND(AQ946="利用可",AT946="利用可",AW946="利用可"),"利用可","不可")</f>
        <v>不可</v>
      </c>
    </row>
    <row r="947" customFormat="false" ht="15" hidden="false" customHeight="false" outlineLevel="0" collapsed="false">
      <c r="A947" s="29" t="n">
        <v>46271</v>
      </c>
      <c r="B947" s="30" t="n">
        <v>8</v>
      </c>
      <c r="C947" s="31" t="s">
        <v>65</v>
      </c>
      <c r="D947" s="31" t="s">
        <v>64</v>
      </c>
      <c r="E947" s="30" t="n">
        <v>60</v>
      </c>
      <c r="F947" s="30" t="n">
        <v>0</v>
      </c>
      <c r="G947" s="30" t="str">
        <f aca="false">IF(E947&lt;判定条件!$C$6,"判定不能",IF(F947&gt;=判定条件!$C$7*E947,"運転",IF(F947&lt;=判定条件!$C$8*E947,"停止","断続")))</f>
        <v>停止</v>
      </c>
      <c r="H947" s="30" t="n">
        <v>60</v>
      </c>
      <c r="I947" s="30" t="n">
        <v>0</v>
      </c>
      <c r="J947" s="30" t="str">
        <f aca="false">IF(H947&lt;判定条件!$C$6,"判定不能",IF(I947&gt;=判定条件!$C$7*H947,"運転",IF(I947&lt;=判定条件!$C$8*H947,"停止","断続")))</f>
        <v>停止</v>
      </c>
      <c r="K947" s="30" t="n">
        <v>60</v>
      </c>
      <c r="L947" s="30" t="n">
        <v>60</v>
      </c>
      <c r="M947" s="30" t="str">
        <f aca="false">IF(K947&lt;判定条件!$C$6,"判定不能",IF(L947&gt;=判定条件!$C$7*K947,"運転",IF(L947&lt;=判定条件!$C$8*K947,"停止","断続")))</f>
        <v>運転</v>
      </c>
      <c r="N947" s="30" t="n">
        <v>60</v>
      </c>
      <c r="O947" s="30" t="n">
        <v>0</v>
      </c>
      <c r="P947" s="30" t="str">
        <f aca="false">IF(N947&lt;判定条件!$C$6,"判定不能",IF(O947&gt;=判定条件!$C$7*N947,"運転",IF(O947&lt;=判定条件!$C$8*N947,"停止","断続")))</f>
        <v>停止</v>
      </c>
      <c r="Q947" s="30" t="n">
        <v>60</v>
      </c>
      <c r="R947" s="30" t="n">
        <v>10</v>
      </c>
      <c r="S947" s="30" t="str">
        <f aca="false">IF(Q947&lt;判定条件!$C$6,"判定不能",IF(R947&gt;=判定条件!$C$7*Q947,"運転",IF(R947&lt;=判定条件!$C$8*Q947,"停止","断続")))</f>
        <v>停止</v>
      </c>
      <c r="T947" s="30" t="n">
        <v>60</v>
      </c>
      <c r="U947" s="30" t="n">
        <v>16</v>
      </c>
      <c r="V947" s="30" t="str">
        <f aca="false">IF(T947&lt;判定条件!$C$6,"判定不能",IF(U947&gt;=判定条件!$C$7*T947,"運転",IF(U947&lt;=判定条件!$C$8*T947,"停止","断続")))</f>
        <v>断続</v>
      </c>
      <c r="W947" s="30" t="n">
        <v>60</v>
      </c>
      <c r="X947" s="30" t="n">
        <v>37</v>
      </c>
      <c r="Y947" s="30" t="str">
        <f aca="false">IF(W947&lt;判定条件!$C$6,"判定不能",IF(X947&gt;=判定条件!$C$7*W947,"運転",IF(X947&lt;=判定条件!$C$8*W947,"停止","断続")))</f>
        <v>断続</v>
      </c>
      <c r="Z947" s="30" t="n">
        <v>60</v>
      </c>
      <c r="AA947" s="30" t="n">
        <v>11</v>
      </c>
      <c r="AB947" s="30" t="str">
        <f aca="false">IF(Z947&lt;判定条件!$C$6,"判定不能",IF(AA947&gt;=判定条件!$C$7*Z947,"運転",IF(AA947&lt;=判定条件!$C$8*Z947,"停止","断続")))</f>
        <v>停止</v>
      </c>
      <c r="AC947" s="30" t="n">
        <v>60</v>
      </c>
      <c r="AD947" s="30" t="n">
        <v>56</v>
      </c>
      <c r="AE947" s="30" t="str">
        <f aca="false">IF(AC947&lt;判定条件!$C$6,"判定不能",IF(AD947&gt;=判定条件!$C$7*AC947,"運転",IF(AD947&lt;=判定条件!$C$8*AC947,"停止","断続")))</f>
        <v>運転</v>
      </c>
      <c r="AF947" s="30" t="n">
        <v>60</v>
      </c>
      <c r="AG947" s="30" t="n">
        <v>0</v>
      </c>
      <c r="AH947" s="30" t="str">
        <f aca="false">IF(OR(P947="判定不能",G947="判定不能"),"判定不能",IF(AG947&gt;=判定条件!$C$9,"利用可",IF(AND(P947="停止",G947="停止"),"両方停止","運転がそろわない")))</f>
        <v>両方停止</v>
      </c>
      <c r="AI947" s="30" t="n">
        <v>60</v>
      </c>
      <c r="AJ947" s="30" t="n">
        <v>0</v>
      </c>
      <c r="AK947" s="30" t="str">
        <f aca="false">IF(OR(S947="判定不能",J947="判定不能"),"判定不能",IF(AJ947&gt;=判定条件!$C$9,"利用可",IF(AND(S947="停止",J947="停止"),"両方停止","運転がそろわない")))</f>
        <v>両方停止</v>
      </c>
      <c r="AL947" s="30" t="n">
        <v>60</v>
      </c>
      <c r="AM947" s="30" t="n">
        <v>16</v>
      </c>
      <c r="AN947" s="30" t="str">
        <f aca="false">IF(OR(V947="判定不能",M947="判定不能"),"判定不能",IF(AM947&gt;=判定条件!$C$9,"利用可",IF(AND(V947="停止",M947="停止"),"両方停止","運転がそろわない")))</f>
        <v>運転がそろわない</v>
      </c>
      <c r="AO947" s="30" t="n">
        <v>60</v>
      </c>
      <c r="AP947" s="30" t="n">
        <v>0</v>
      </c>
      <c r="AQ947" s="30" t="str">
        <f aca="false">IF(OR(Y947="判定不能",G947="判定不能"),"判定不能",IF(AP947&gt;=判定条件!$C$9,"利用可",IF(AND(Y947="停止",G947="停止"),"両方停止","運転がそろわない")))</f>
        <v>運転がそろわない</v>
      </c>
      <c r="AR947" s="30" t="n">
        <v>60</v>
      </c>
      <c r="AS947" s="30" t="n">
        <v>0</v>
      </c>
      <c r="AT947" s="30" t="str">
        <f aca="false">IF(OR(AB947="判定不能",J947="判定不能"),"判定不能",IF(AS947&gt;=判定条件!$C$9,"利用可",IF(AND(AB947="停止",J947="停止"),"両方停止","運転がそろわない")))</f>
        <v>両方停止</v>
      </c>
      <c r="AU947" s="30" t="n">
        <v>60</v>
      </c>
      <c r="AV947" s="30" t="n">
        <v>56</v>
      </c>
      <c r="AW947" s="30" t="str">
        <f aca="false">IF(OR(AE947="判定不能",M947="判定不能"),"判定不能",IF(AV947&gt;=判定条件!$C$9,"利用可",IF(AND(AE947="停止",M947="停止"),"両方停止","運転がそろわない")))</f>
        <v>利用可</v>
      </c>
      <c r="AX947" s="30" t="str">
        <f aca="false">IF(AND(AH947="利用可",AK947="利用可",AN947="利用可"),"利用可","不可")</f>
        <v>不可</v>
      </c>
      <c r="AY947" s="30" t="str">
        <f aca="false">IF(AND(AQ947="利用可",AT947="利用可",AW947="利用可"),"利用可","不可")</f>
        <v>不可</v>
      </c>
    </row>
    <row r="948" customFormat="false" ht="15" hidden="false" customHeight="false" outlineLevel="0" collapsed="false">
      <c r="A948" s="29" t="n">
        <v>46271</v>
      </c>
      <c r="B948" s="30" t="n">
        <v>9</v>
      </c>
      <c r="C948" s="31" t="s">
        <v>65</v>
      </c>
      <c r="D948" s="31" t="s">
        <v>64</v>
      </c>
      <c r="E948" s="30" t="n">
        <v>60</v>
      </c>
      <c r="F948" s="30" t="n">
        <v>0</v>
      </c>
      <c r="G948" s="30" t="str">
        <f aca="false">IF(E948&lt;判定条件!$C$6,"判定不能",IF(F948&gt;=判定条件!$C$7*E948,"運転",IF(F948&lt;=判定条件!$C$8*E948,"停止","断続")))</f>
        <v>停止</v>
      </c>
      <c r="H948" s="30" t="n">
        <v>48</v>
      </c>
      <c r="I948" s="30" t="n">
        <v>11</v>
      </c>
      <c r="J948" s="30" t="str">
        <f aca="false">IF(H948&lt;判定条件!$C$6,"判定不能",IF(I948&gt;=判定条件!$C$7*H948,"運転",IF(I948&lt;=判定条件!$C$8*H948,"停止","断続")))</f>
        <v>断続</v>
      </c>
      <c r="K948" s="30" t="n">
        <v>60</v>
      </c>
      <c r="L948" s="30" t="n">
        <v>60</v>
      </c>
      <c r="M948" s="30" t="str">
        <f aca="false">IF(K948&lt;判定条件!$C$6,"判定不能",IF(L948&gt;=判定条件!$C$7*K948,"運転",IF(L948&lt;=判定条件!$C$8*K948,"停止","断続")))</f>
        <v>運転</v>
      </c>
      <c r="N948" s="30" t="n">
        <v>60</v>
      </c>
      <c r="O948" s="30" t="n">
        <v>0</v>
      </c>
      <c r="P948" s="30" t="str">
        <f aca="false">IF(N948&lt;判定条件!$C$6,"判定不能",IF(O948&gt;=判定条件!$C$7*N948,"運転",IF(O948&lt;=判定条件!$C$8*N948,"停止","断続")))</f>
        <v>停止</v>
      </c>
      <c r="Q948" s="30" t="n">
        <v>60</v>
      </c>
      <c r="R948" s="30" t="n">
        <v>35</v>
      </c>
      <c r="S948" s="30" t="str">
        <f aca="false">IF(Q948&lt;判定条件!$C$6,"判定不能",IF(R948&gt;=判定条件!$C$7*Q948,"運転",IF(R948&lt;=判定条件!$C$8*Q948,"停止","断続")))</f>
        <v>断続</v>
      </c>
      <c r="T948" s="30" t="n">
        <v>60</v>
      </c>
      <c r="U948" s="30" t="n">
        <v>0</v>
      </c>
      <c r="V948" s="30" t="str">
        <f aca="false">IF(T948&lt;判定条件!$C$6,"判定不能",IF(U948&gt;=判定条件!$C$7*T948,"運転",IF(U948&lt;=判定条件!$C$8*T948,"停止","断続")))</f>
        <v>停止</v>
      </c>
      <c r="W948" s="30" t="n">
        <v>60</v>
      </c>
      <c r="X948" s="30" t="n">
        <v>0</v>
      </c>
      <c r="Y948" s="30" t="str">
        <f aca="false">IF(W948&lt;判定条件!$C$6,"判定不能",IF(X948&gt;=判定条件!$C$7*W948,"運転",IF(X948&lt;=判定条件!$C$8*W948,"停止","断続")))</f>
        <v>停止</v>
      </c>
      <c r="Z948" s="30" t="n">
        <v>60</v>
      </c>
      <c r="AA948" s="30" t="n">
        <v>14</v>
      </c>
      <c r="AB948" s="30" t="str">
        <f aca="false">IF(Z948&lt;判定条件!$C$6,"判定不能",IF(AA948&gt;=判定条件!$C$7*Z948,"運転",IF(AA948&lt;=判定条件!$C$8*Z948,"停止","断続")))</f>
        <v>断続</v>
      </c>
      <c r="AC948" s="30" t="n">
        <v>60</v>
      </c>
      <c r="AD948" s="30" t="n">
        <v>60</v>
      </c>
      <c r="AE948" s="30" t="str">
        <f aca="false">IF(AC948&lt;判定条件!$C$6,"判定不能",IF(AD948&gt;=判定条件!$C$7*AC948,"運転",IF(AD948&lt;=判定条件!$C$8*AC948,"停止","断続")))</f>
        <v>運転</v>
      </c>
      <c r="AF948" s="30" t="n">
        <v>60</v>
      </c>
      <c r="AG948" s="30" t="n">
        <v>0</v>
      </c>
      <c r="AH948" s="30" t="str">
        <f aca="false">IF(OR(P948="判定不能",G948="判定不能"),"判定不能",IF(AG948&gt;=判定条件!$C$9,"利用可",IF(AND(P948="停止",G948="停止"),"両方停止","運転がそろわない")))</f>
        <v>両方停止</v>
      </c>
      <c r="AI948" s="30" t="n">
        <v>48</v>
      </c>
      <c r="AJ948" s="30" t="n">
        <v>8</v>
      </c>
      <c r="AK948" s="30" t="str">
        <f aca="false">IF(OR(S948="判定不能",J948="判定不能"),"判定不能",IF(AJ948&gt;=判定条件!$C$9,"利用可",IF(AND(S948="停止",J948="停止"),"両方停止","運転がそろわない")))</f>
        <v>運転がそろわない</v>
      </c>
      <c r="AL948" s="30" t="n">
        <v>60</v>
      </c>
      <c r="AM948" s="30" t="n">
        <v>0</v>
      </c>
      <c r="AN948" s="30" t="str">
        <f aca="false">IF(OR(V948="判定不能",M948="判定不能"),"判定不能",IF(AM948&gt;=判定条件!$C$9,"利用可",IF(AND(V948="停止",M948="停止"),"両方停止","運転がそろわない")))</f>
        <v>運転がそろわない</v>
      </c>
      <c r="AO948" s="30" t="n">
        <v>60</v>
      </c>
      <c r="AP948" s="30" t="n">
        <v>0</v>
      </c>
      <c r="AQ948" s="30" t="str">
        <f aca="false">IF(OR(Y948="判定不能",G948="判定不能"),"判定不能",IF(AP948&gt;=判定条件!$C$9,"利用可",IF(AND(Y948="停止",G948="停止"),"両方停止","運転がそろわない")))</f>
        <v>両方停止</v>
      </c>
      <c r="AR948" s="30" t="n">
        <v>48</v>
      </c>
      <c r="AS948" s="30" t="n">
        <v>0</v>
      </c>
      <c r="AT948" s="30" t="str">
        <f aca="false">IF(OR(AB948="判定不能",J948="判定不能"),"判定不能",IF(AS948&gt;=判定条件!$C$9,"利用可",IF(AND(AB948="停止",J948="停止"),"両方停止","運転がそろわない")))</f>
        <v>運転がそろわない</v>
      </c>
      <c r="AU948" s="30" t="n">
        <v>60</v>
      </c>
      <c r="AV948" s="30" t="n">
        <v>60</v>
      </c>
      <c r="AW948" s="30" t="str">
        <f aca="false">IF(OR(AE948="判定不能",M948="判定不能"),"判定不能",IF(AV948&gt;=判定条件!$C$9,"利用可",IF(AND(AE948="停止",M948="停止"),"両方停止","運転がそろわない")))</f>
        <v>利用可</v>
      </c>
      <c r="AX948" s="30" t="str">
        <f aca="false">IF(AND(AH948="利用可",AK948="利用可",AN948="利用可"),"利用可","不可")</f>
        <v>不可</v>
      </c>
      <c r="AY948" s="30" t="str">
        <f aca="false">IF(AND(AQ948="利用可",AT948="利用可",AW948="利用可"),"利用可","不可")</f>
        <v>不可</v>
      </c>
    </row>
    <row r="949" customFormat="false" ht="15" hidden="false" customHeight="false" outlineLevel="0" collapsed="false">
      <c r="A949" s="29" t="n">
        <v>46271</v>
      </c>
      <c r="B949" s="30" t="n">
        <v>10</v>
      </c>
      <c r="C949" s="31" t="s">
        <v>65</v>
      </c>
      <c r="D949" s="31" t="s">
        <v>64</v>
      </c>
      <c r="E949" s="30" t="n">
        <v>60</v>
      </c>
      <c r="F949" s="30" t="n">
        <v>0</v>
      </c>
      <c r="G949" s="30" t="str">
        <f aca="false">IF(E949&lt;判定条件!$C$6,"判定不能",IF(F949&gt;=判定条件!$C$7*E949,"運転",IF(F949&lt;=判定条件!$C$8*E949,"停止","断続")))</f>
        <v>停止</v>
      </c>
      <c r="H949" s="30" t="n">
        <v>0</v>
      </c>
      <c r="I949" s="30" t="n">
        <v>0</v>
      </c>
      <c r="J949" s="30" t="str">
        <f aca="false">IF(H949&lt;判定条件!$C$6,"判定不能",IF(I949&gt;=判定条件!$C$7*H949,"運転",IF(I949&lt;=判定条件!$C$8*H949,"停止","断続")))</f>
        <v>判定不能</v>
      </c>
      <c r="K949" s="30" t="n">
        <v>60</v>
      </c>
      <c r="L949" s="30" t="n">
        <v>60</v>
      </c>
      <c r="M949" s="30" t="str">
        <f aca="false">IF(K949&lt;判定条件!$C$6,"判定不能",IF(L949&gt;=判定条件!$C$7*K949,"運転",IF(L949&lt;=判定条件!$C$8*K949,"停止","断続")))</f>
        <v>運転</v>
      </c>
      <c r="N949" s="30" t="n">
        <v>60</v>
      </c>
      <c r="O949" s="30" t="n">
        <v>0</v>
      </c>
      <c r="P949" s="30" t="str">
        <f aca="false">IF(N949&lt;判定条件!$C$6,"判定不能",IF(O949&gt;=判定条件!$C$7*N949,"運転",IF(O949&lt;=判定条件!$C$8*N949,"停止","断続")))</f>
        <v>停止</v>
      </c>
      <c r="Q949" s="30" t="n">
        <v>60</v>
      </c>
      <c r="R949" s="30" t="n">
        <v>24</v>
      </c>
      <c r="S949" s="30" t="str">
        <f aca="false">IF(Q949&lt;判定条件!$C$6,"判定不能",IF(R949&gt;=判定条件!$C$7*Q949,"運転",IF(R949&lt;=判定条件!$C$8*Q949,"停止","断続")))</f>
        <v>断続</v>
      </c>
      <c r="T949" s="30" t="n">
        <v>60</v>
      </c>
      <c r="U949" s="30" t="n">
        <v>0</v>
      </c>
      <c r="V949" s="30" t="str">
        <f aca="false">IF(T949&lt;判定条件!$C$6,"判定不能",IF(U949&gt;=判定条件!$C$7*T949,"運転",IF(U949&lt;=判定条件!$C$8*T949,"停止","断続")))</f>
        <v>停止</v>
      </c>
      <c r="W949" s="30" t="n">
        <v>60</v>
      </c>
      <c r="X949" s="30" t="n">
        <v>30</v>
      </c>
      <c r="Y949" s="30" t="str">
        <f aca="false">IF(W949&lt;判定条件!$C$6,"判定不能",IF(X949&gt;=判定条件!$C$7*W949,"運転",IF(X949&lt;=判定条件!$C$8*W949,"停止","断続")))</f>
        <v>断続</v>
      </c>
      <c r="Z949" s="30" t="n">
        <v>60</v>
      </c>
      <c r="AA949" s="30" t="n">
        <v>0</v>
      </c>
      <c r="AB949" s="30" t="str">
        <f aca="false">IF(Z949&lt;判定条件!$C$6,"判定不能",IF(AA949&gt;=判定条件!$C$7*Z949,"運転",IF(AA949&lt;=判定条件!$C$8*Z949,"停止","断続")))</f>
        <v>停止</v>
      </c>
      <c r="AC949" s="30" t="n">
        <v>60</v>
      </c>
      <c r="AD949" s="30" t="n">
        <v>45</v>
      </c>
      <c r="AE949" s="30" t="str">
        <f aca="false">IF(AC949&lt;判定条件!$C$6,"判定不能",IF(AD949&gt;=判定条件!$C$7*AC949,"運転",IF(AD949&lt;=判定条件!$C$8*AC949,"停止","断続")))</f>
        <v>断続</v>
      </c>
      <c r="AF949" s="30" t="n">
        <v>60</v>
      </c>
      <c r="AG949" s="30" t="n">
        <v>0</v>
      </c>
      <c r="AH949" s="30" t="str">
        <f aca="false">IF(OR(P949="判定不能",G949="判定不能"),"判定不能",IF(AG949&gt;=判定条件!$C$9,"利用可",IF(AND(P949="停止",G949="停止"),"両方停止","運転がそろわない")))</f>
        <v>両方停止</v>
      </c>
      <c r="AI949" s="30" t="n">
        <v>0</v>
      </c>
      <c r="AJ949" s="30" t="n">
        <v>0</v>
      </c>
      <c r="AK949" s="30" t="str">
        <f aca="false">IF(OR(S949="判定不能",J949="判定不能"),"判定不能",IF(AJ949&gt;=判定条件!$C$9,"利用可",IF(AND(S949="停止",J949="停止"),"両方停止","運転がそろわない")))</f>
        <v>判定不能</v>
      </c>
      <c r="AL949" s="30" t="n">
        <v>60</v>
      </c>
      <c r="AM949" s="30" t="n">
        <v>0</v>
      </c>
      <c r="AN949" s="30" t="str">
        <f aca="false">IF(OR(V949="判定不能",M949="判定不能"),"判定不能",IF(AM949&gt;=判定条件!$C$9,"利用可",IF(AND(V949="停止",M949="停止"),"両方停止","運転がそろわない")))</f>
        <v>運転がそろわない</v>
      </c>
      <c r="AO949" s="30" t="n">
        <v>60</v>
      </c>
      <c r="AP949" s="30" t="n">
        <v>0</v>
      </c>
      <c r="AQ949" s="30" t="str">
        <f aca="false">IF(OR(Y949="判定不能",G949="判定不能"),"判定不能",IF(AP949&gt;=判定条件!$C$9,"利用可",IF(AND(Y949="停止",G949="停止"),"両方停止","運転がそろわない")))</f>
        <v>運転がそろわない</v>
      </c>
      <c r="AR949" s="30" t="n">
        <v>0</v>
      </c>
      <c r="AS949" s="30" t="n">
        <v>0</v>
      </c>
      <c r="AT949" s="30" t="str">
        <f aca="false">IF(OR(AB949="判定不能",J949="判定不能"),"判定不能",IF(AS949&gt;=判定条件!$C$9,"利用可",IF(AND(AB949="停止",J949="停止"),"両方停止","運転がそろわない")))</f>
        <v>判定不能</v>
      </c>
      <c r="AU949" s="30" t="n">
        <v>60</v>
      </c>
      <c r="AV949" s="30" t="n">
        <v>45</v>
      </c>
      <c r="AW949" s="30" t="str">
        <f aca="false">IF(OR(AE949="判定不能",M949="判定不能"),"判定不能",IF(AV949&gt;=判定条件!$C$9,"利用可",IF(AND(AE949="停止",M949="停止"),"両方停止","運転がそろわない")))</f>
        <v>利用可</v>
      </c>
      <c r="AX949" s="30" t="str">
        <f aca="false">IF(AND(AH949="利用可",AK949="利用可",AN949="利用可"),"利用可","不可")</f>
        <v>不可</v>
      </c>
      <c r="AY949" s="30" t="str">
        <f aca="false">IF(AND(AQ949="利用可",AT949="利用可",AW949="利用可"),"利用可","不可")</f>
        <v>不可</v>
      </c>
    </row>
    <row r="950" customFormat="false" ht="15" hidden="false" customHeight="false" outlineLevel="0" collapsed="false">
      <c r="A950" s="29" t="n">
        <v>46271</v>
      </c>
      <c r="B950" s="30" t="n">
        <v>11</v>
      </c>
      <c r="C950" s="31" t="s">
        <v>65</v>
      </c>
      <c r="D950" s="31" t="s">
        <v>64</v>
      </c>
      <c r="E950" s="30" t="n">
        <v>60</v>
      </c>
      <c r="F950" s="30" t="n">
        <v>0</v>
      </c>
      <c r="G950" s="30" t="str">
        <f aca="false">IF(E950&lt;判定条件!$C$6,"判定不能",IF(F950&gt;=判定条件!$C$7*E950,"運転",IF(F950&lt;=判定条件!$C$8*E950,"停止","断続")))</f>
        <v>停止</v>
      </c>
      <c r="H950" s="30" t="n">
        <v>0</v>
      </c>
      <c r="I950" s="30" t="n">
        <v>0</v>
      </c>
      <c r="J950" s="30" t="str">
        <f aca="false">IF(H950&lt;判定条件!$C$6,"判定不能",IF(I950&gt;=判定条件!$C$7*H950,"運転",IF(I950&lt;=判定条件!$C$8*H950,"停止","断続")))</f>
        <v>判定不能</v>
      </c>
      <c r="K950" s="30" t="n">
        <v>60</v>
      </c>
      <c r="L950" s="30" t="n">
        <v>60</v>
      </c>
      <c r="M950" s="30" t="str">
        <f aca="false">IF(K950&lt;判定条件!$C$6,"判定不能",IF(L950&gt;=判定条件!$C$7*K950,"運転",IF(L950&lt;=判定条件!$C$8*K950,"停止","断続")))</f>
        <v>運転</v>
      </c>
      <c r="N950" s="30" t="n">
        <v>60</v>
      </c>
      <c r="O950" s="30" t="n">
        <v>0</v>
      </c>
      <c r="P950" s="30" t="str">
        <f aca="false">IF(N950&lt;判定条件!$C$6,"判定不能",IF(O950&gt;=判定条件!$C$7*N950,"運転",IF(O950&lt;=判定条件!$C$8*N950,"停止","断続")))</f>
        <v>停止</v>
      </c>
      <c r="Q950" s="30" t="n">
        <v>60</v>
      </c>
      <c r="R950" s="30" t="n">
        <v>0</v>
      </c>
      <c r="S950" s="30" t="str">
        <f aca="false">IF(Q950&lt;判定条件!$C$6,"判定不能",IF(R950&gt;=判定条件!$C$7*Q950,"運転",IF(R950&lt;=判定条件!$C$8*Q950,"停止","断続")))</f>
        <v>停止</v>
      </c>
      <c r="T950" s="30" t="n">
        <v>60</v>
      </c>
      <c r="U950" s="30" t="n">
        <v>0</v>
      </c>
      <c r="V950" s="30" t="str">
        <f aca="false">IF(T950&lt;判定条件!$C$6,"判定不能",IF(U950&gt;=判定条件!$C$7*T950,"運転",IF(U950&lt;=判定条件!$C$8*T950,"停止","断続")))</f>
        <v>停止</v>
      </c>
      <c r="W950" s="30" t="n">
        <v>60</v>
      </c>
      <c r="X950" s="30" t="n">
        <v>0</v>
      </c>
      <c r="Y950" s="30" t="str">
        <f aca="false">IF(W950&lt;判定条件!$C$6,"判定不能",IF(X950&gt;=判定条件!$C$7*W950,"運転",IF(X950&lt;=判定条件!$C$8*W950,"停止","断続")))</f>
        <v>停止</v>
      </c>
      <c r="Z950" s="30" t="n">
        <v>60</v>
      </c>
      <c r="AA950" s="30" t="n">
        <v>0</v>
      </c>
      <c r="AB950" s="30" t="str">
        <f aca="false">IF(Z950&lt;判定条件!$C$6,"判定不能",IF(AA950&gt;=判定条件!$C$7*Z950,"運転",IF(AA950&lt;=判定条件!$C$8*Z950,"停止","断続")))</f>
        <v>停止</v>
      </c>
      <c r="AC950" s="30" t="n">
        <v>60</v>
      </c>
      <c r="AD950" s="30" t="n">
        <v>50</v>
      </c>
      <c r="AE950" s="30" t="str">
        <f aca="false">IF(AC950&lt;判定条件!$C$6,"判定不能",IF(AD950&gt;=判定条件!$C$7*AC950,"運転",IF(AD950&lt;=判定条件!$C$8*AC950,"停止","断続")))</f>
        <v>運転</v>
      </c>
      <c r="AF950" s="30" t="n">
        <v>60</v>
      </c>
      <c r="AG950" s="30" t="n">
        <v>0</v>
      </c>
      <c r="AH950" s="30" t="str">
        <f aca="false">IF(OR(P950="判定不能",G950="判定不能"),"判定不能",IF(AG950&gt;=判定条件!$C$9,"利用可",IF(AND(P950="停止",G950="停止"),"両方停止","運転がそろわない")))</f>
        <v>両方停止</v>
      </c>
      <c r="AI950" s="30" t="n">
        <v>0</v>
      </c>
      <c r="AJ950" s="30" t="n">
        <v>0</v>
      </c>
      <c r="AK950" s="30" t="str">
        <f aca="false">IF(OR(S950="判定不能",J950="判定不能"),"判定不能",IF(AJ950&gt;=判定条件!$C$9,"利用可",IF(AND(S950="停止",J950="停止"),"両方停止","運転がそろわない")))</f>
        <v>判定不能</v>
      </c>
      <c r="AL950" s="30" t="n">
        <v>60</v>
      </c>
      <c r="AM950" s="30" t="n">
        <v>0</v>
      </c>
      <c r="AN950" s="30" t="str">
        <f aca="false">IF(OR(V950="判定不能",M950="判定不能"),"判定不能",IF(AM950&gt;=判定条件!$C$9,"利用可",IF(AND(V950="停止",M950="停止"),"両方停止","運転がそろわない")))</f>
        <v>運転がそろわない</v>
      </c>
      <c r="AO950" s="30" t="n">
        <v>60</v>
      </c>
      <c r="AP950" s="30" t="n">
        <v>0</v>
      </c>
      <c r="AQ950" s="30" t="str">
        <f aca="false">IF(OR(Y950="判定不能",G950="判定不能"),"判定不能",IF(AP950&gt;=判定条件!$C$9,"利用可",IF(AND(Y950="停止",G950="停止"),"両方停止","運転がそろわない")))</f>
        <v>両方停止</v>
      </c>
      <c r="AR950" s="30" t="n">
        <v>0</v>
      </c>
      <c r="AS950" s="30" t="n">
        <v>0</v>
      </c>
      <c r="AT950" s="30" t="str">
        <f aca="false">IF(OR(AB950="判定不能",J950="判定不能"),"判定不能",IF(AS950&gt;=判定条件!$C$9,"利用可",IF(AND(AB950="停止",J950="停止"),"両方停止","運転がそろわない")))</f>
        <v>判定不能</v>
      </c>
      <c r="AU950" s="30" t="n">
        <v>60</v>
      </c>
      <c r="AV950" s="30" t="n">
        <v>50</v>
      </c>
      <c r="AW950" s="30" t="str">
        <f aca="false">IF(OR(AE950="判定不能",M950="判定不能"),"判定不能",IF(AV950&gt;=判定条件!$C$9,"利用可",IF(AND(AE950="停止",M950="停止"),"両方停止","運転がそろわない")))</f>
        <v>利用可</v>
      </c>
      <c r="AX950" s="30" t="str">
        <f aca="false">IF(AND(AH950="利用可",AK950="利用可",AN950="利用可"),"利用可","不可")</f>
        <v>不可</v>
      </c>
      <c r="AY950" s="30" t="str">
        <f aca="false">IF(AND(AQ950="利用可",AT950="利用可",AW950="利用可"),"利用可","不可")</f>
        <v>不可</v>
      </c>
    </row>
    <row r="951" customFormat="false" ht="15" hidden="false" customHeight="false" outlineLevel="0" collapsed="false">
      <c r="A951" s="29" t="n">
        <v>46271</v>
      </c>
      <c r="B951" s="30" t="n">
        <v>12</v>
      </c>
      <c r="C951" s="31" t="s">
        <v>65</v>
      </c>
      <c r="D951" s="31" t="s">
        <v>64</v>
      </c>
      <c r="E951" s="30" t="n">
        <v>60</v>
      </c>
      <c r="F951" s="30" t="n">
        <v>0</v>
      </c>
      <c r="G951" s="30" t="str">
        <f aca="false">IF(E951&lt;判定条件!$C$6,"判定不能",IF(F951&gt;=判定条件!$C$7*E951,"運転",IF(F951&lt;=判定条件!$C$8*E951,"停止","断続")))</f>
        <v>停止</v>
      </c>
      <c r="H951" s="30" t="n">
        <v>0</v>
      </c>
      <c r="I951" s="30" t="n">
        <v>0</v>
      </c>
      <c r="J951" s="30" t="str">
        <f aca="false">IF(H951&lt;判定条件!$C$6,"判定不能",IF(I951&gt;=判定条件!$C$7*H951,"運転",IF(I951&lt;=判定条件!$C$8*H951,"停止","断続")))</f>
        <v>判定不能</v>
      </c>
      <c r="K951" s="30" t="n">
        <v>60</v>
      </c>
      <c r="L951" s="30" t="n">
        <v>60</v>
      </c>
      <c r="M951" s="30" t="str">
        <f aca="false">IF(K951&lt;判定条件!$C$6,"判定不能",IF(L951&gt;=判定条件!$C$7*K951,"運転",IF(L951&lt;=判定条件!$C$8*K951,"停止","断続")))</f>
        <v>運転</v>
      </c>
      <c r="N951" s="30" t="n">
        <v>60</v>
      </c>
      <c r="O951" s="30" t="n">
        <v>0</v>
      </c>
      <c r="P951" s="30" t="str">
        <f aca="false">IF(N951&lt;判定条件!$C$6,"判定不能",IF(O951&gt;=判定条件!$C$7*N951,"運転",IF(O951&lt;=判定条件!$C$8*N951,"停止","断続")))</f>
        <v>停止</v>
      </c>
      <c r="Q951" s="30" t="n">
        <v>60</v>
      </c>
      <c r="R951" s="30" t="n">
        <v>0</v>
      </c>
      <c r="S951" s="30" t="str">
        <f aca="false">IF(Q951&lt;判定条件!$C$6,"判定不能",IF(R951&gt;=判定条件!$C$7*Q951,"運転",IF(R951&lt;=判定条件!$C$8*Q951,"停止","断続")))</f>
        <v>停止</v>
      </c>
      <c r="T951" s="30" t="n">
        <v>60</v>
      </c>
      <c r="U951" s="30" t="n">
        <v>0</v>
      </c>
      <c r="V951" s="30" t="str">
        <f aca="false">IF(T951&lt;判定条件!$C$6,"判定不能",IF(U951&gt;=判定条件!$C$7*T951,"運転",IF(U951&lt;=判定条件!$C$8*T951,"停止","断続")))</f>
        <v>停止</v>
      </c>
      <c r="W951" s="30" t="n">
        <v>60</v>
      </c>
      <c r="X951" s="30" t="n">
        <v>25</v>
      </c>
      <c r="Y951" s="30" t="str">
        <f aca="false">IF(W951&lt;判定条件!$C$6,"判定不能",IF(X951&gt;=判定条件!$C$7*W951,"運転",IF(X951&lt;=判定条件!$C$8*W951,"停止","断続")))</f>
        <v>断続</v>
      </c>
      <c r="Z951" s="30" t="n">
        <v>60</v>
      </c>
      <c r="AA951" s="30" t="n">
        <v>0</v>
      </c>
      <c r="AB951" s="30" t="str">
        <f aca="false">IF(Z951&lt;判定条件!$C$6,"判定不能",IF(AA951&gt;=判定条件!$C$7*Z951,"運転",IF(AA951&lt;=判定条件!$C$8*Z951,"停止","断続")))</f>
        <v>停止</v>
      </c>
      <c r="AC951" s="30" t="n">
        <v>60</v>
      </c>
      <c r="AD951" s="30" t="n">
        <v>40</v>
      </c>
      <c r="AE951" s="30" t="str">
        <f aca="false">IF(AC951&lt;判定条件!$C$6,"判定不能",IF(AD951&gt;=判定条件!$C$7*AC951,"運転",IF(AD951&lt;=判定条件!$C$8*AC951,"停止","断続")))</f>
        <v>断続</v>
      </c>
      <c r="AF951" s="30" t="n">
        <v>60</v>
      </c>
      <c r="AG951" s="30" t="n">
        <v>0</v>
      </c>
      <c r="AH951" s="30" t="str">
        <f aca="false">IF(OR(P951="判定不能",G951="判定不能"),"判定不能",IF(AG951&gt;=判定条件!$C$9,"利用可",IF(AND(P951="停止",G951="停止"),"両方停止","運転がそろわない")))</f>
        <v>両方停止</v>
      </c>
      <c r="AI951" s="30" t="n">
        <v>0</v>
      </c>
      <c r="AJ951" s="30" t="n">
        <v>0</v>
      </c>
      <c r="AK951" s="30" t="str">
        <f aca="false">IF(OR(S951="判定不能",J951="判定不能"),"判定不能",IF(AJ951&gt;=判定条件!$C$9,"利用可",IF(AND(S951="停止",J951="停止"),"両方停止","運転がそろわない")))</f>
        <v>判定不能</v>
      </c>
      <c r="AL951" s="30" t="n">
        <v>60</v>
      </c>
      <c r="AM951" s="30" t="n">
        <v>0</v>
      </c>
      <c r="AN951" s="30" t="str">
        <f aca="false">IF(OR(V951="判定不能",M951="判定不能"),"判定不能",IF(AM951&gt;=判定条件!$C$9,"利用可",IF(AND(V951="停止",M951="停止"),"両方停止","運転がそろわない")))</f>
        <v>運転がそろわない</v>
      </c>
      <c r="AO951" s="30" t="n">
        <v>60</v>
      </c>
      <c r="AP951" s="30" t="n">
        <v>0</v>
      </c>
      <c r="AQ951" s="30" t="str">
        <f aca="false">IF(OR(Y951="判定不能",G951="判定不能"),"判定不能",IF(AP951&gt;=判定条件!$C$9,"利用可",IF(AND(Y951="停止",G951="停止"),"両方停止","運転がそろわない")))</f>
        <v>運転がそろわない</v>
      </c>
      <c r="AR951" s="30" t="n">
        <v>0</v>
      </c>
      <c r="AS951" s="30" t="n">
        <v>0</v>
      </c>
      <c r="AT951" s="30" t="str">
        <f aca="false">IF(OR(AB951="判定不能",J951="判定不能"),"判定不能",IF(AS951&gt;=判定条件!$C$9,"利用可",IF(AND(AB951="停止",J951="停止"),"両方停止","運転がそろわない")))</f>
        <v>判定不能</v>
      </c>
      <c r="AU951" s="30" t="n">
        <v>60</v>
      </c>
      <c r="AV951" s="30" t="n">
        <v>40</v>
      </c>
      <c r="AW951" s="30" t="str">
        <f aca="false">IF(OR(AE951="判定不能",M951="判定不能"),"判定不能",IF(AV951&gt;=判定条件!$C$9,"利用可",IF(AND(AE951="停止",M951="停止"),"両方停止","運転がそろわない")))</f>
        <v>利用可</v>
      </c>
      <c r="AX951" s="30" t="str">
        <f aca="false">IF(AND(AH951="利用可",AK951="利用可",AN951="利用可"),"利用可","不可")</f>
        <v>不可</v>
      </c>
      <c r="AY951" s="30" t="str">
        <f aca="false">IF(AND(AQ951="利用可",AT951="利用可",AW951="利用可"),"利用可","不可")</f>
        <v>不可</v>
      </c>
    </row>
    <row r="952" customFormat="false" ht="15" hidden="false" customHeight="false" outlineLevel="0" collapsed="false">
      <c r="A952" s="29" t="n">
        <v>46271</v>
      </c>
      <c r="B952" s="30" t="n">
        <v>13</v>
      </c>
      <c r="C952" s="31" t="s">
        <v>65</v>
      </c>
      <c r="D952" s="31" t="s">
        <v>64</v>
      </c>
      <c r="E952" s="30" t="n">
        <v>60</v>
      </c>
      <c r="F952" s="30" t="n">
        <v>6</v>
      </c>
      <c r="G952" s="30" t="str">
        <f aca="false">IF(E952&lt;判定条件!$C$6,"判定不能",IF(F952&gt;=判定条件!$C$7*E952,"運転",IF(F952&lt;=判定条件!$C$8*E952,"停止","断続")))</f>
        <v>停止</v>
      </c>
      <c r="H952" s="30" t="n">
        <v>0</v>
      </c>
      <c r="I952" s="30" t="n">
        <v>0</v>
      </c>
      <c r="J952" s="30" t="str">
        <f aca="false">IF(H952&lt;判定条件!$C$6,"判定不能",IF(I952&gt;=判定条件!$C$7*H952,"運転",IF(I952&lt;=判定条件!$C$8*H952,"停止","断続")))</f>
        <v>判定不能</v>
      </c>
      <c r="K952" s="30" t="n">
        <v>60</v>
      </c>
      <c r="L952" s="30" t="n">
        <v>60</v>
      </c>
      <c r="M952" s="30" t="str">
        <f aca="false">IF(K952&lt;判定条件!$C$6,"判定不能",IF(L952&gt;=判定条件!$C$7*K952,"運転",IF(L952&lt;=判定条件!$C$8*K952,"停止","断続")))</f>
        <v>運転</v>
      </c>
      <c r="N952" s="30" t="n">
        <v>60</v>
      </c>
      <c r="O952" s="30" t="n">
        <v>0</v>
      </c>
      <c r="P952" s="30" t="str">
        <f aca="false">IF(N952&lt;判定条件!$C$6,"判定不能",IF(O952&gt;=判定条件!$C$7*N952,"運転",IF(O952&lt;=判定条件!$C$8*N952,"停止","断続")))</f>
        <v>停止</v>
      </c>
      <c r="Q952" s="30" t="n">
        <v>60</v>
      </c>
      <c r="R952" s="30" t="n">
        <v>8</v>
      </c>
      <c r="S952" s="30" t="str">
        <f aca="false">IF(Q952&lt;判定条件!$C$6,"判定不能",IF(R952&gt;=判定条件!$C$7*Q952,"運転",IF(R952&lt;=判定条件!$C$8*Q952,"停止","断続")))</f>
        <v>停止</v>
      </c>
      <c r="T952" s="30" t="n">
        <v>60</v>
      </c>
      <c r="U952" s="30" t="n">
        <v>0</v>
      </c>
      <c r="V952" s="30" t="str">
        <f aca="false">IF(T952&lt;判定条件!$C$6,"判定不能",IF(U952&gt;=判定条件!$C$7*T952,"運転",IF(U952&lt;=判定条件!$C$8*T952,"停止","断続")))</f>
        <v>停止</v>
      </c>
      <c r="W952" s="30" t="n">
        <v>60</v>
      </c>
      <c r="X952" s="30" t="n">
        <v>11</v>
      </c>
      <c r="Y952" s="30" t="str">
        <f aca="false">IF(W952&lt;判定条件!$C$6,"判定不能",IF(X952&gt;=判定条件!$C$7*W952,"運転",IF(X952&lt;=判定条件!$C$8*W952,"停止","断続")))</f>
        <v>停止</v>
      </c>
      <c r="Z952" s="30" t="n">
        <v>60</v>
      </c>
      <c r="AA952" s="30" t="n">
        <v>0</v>
      </c>
      <c r="AB952" s="30" t="str">
        <f aca="false">IF(Z952&lt;判定条件!$C$6,"判定不能",IF(AA952&gt;=判定条件!$C$7*Z952,"運転",IF(AA952&lt;=判定条件!$C$8*Z952,"停止","断続")))</f>
        <v>停止</v>
      </c>
      <c r="AC952" s="30" t="n">
        <v>60</v>
      </c>
      <c r="AD952" s="30" t="n">
        <v>56</v>
      </c>
      <c r="AE952" s="30" t="str">
        <f aca="false">IF(AC952&lt;判定条件!$C$6,"判定不能",IF(AD952&gt;=判定条件!$C$7*AC952,"運転",IF(AD952&lt;=判定条件!$C$8*AC952,"停止","断続")))</f>
        <v>運転</v>
      </c>
      <c r="AF952" s="30" t="n">
        <v>60</v>
      </c>
      <c r="AG952" s="30" t="n">
        <v>0</v>
      </c>
      <c r="AH952" s="30" t="str">
        <f aca="false">IF(OR(P952="判定不能",G952="判定不能"),"判定不能",IF(AG952&gt;=判定条件!$C$9,"利用可",IF(AND(P952="停止",G952="停止"),"両方停止","運転がそろわない")))</f>
        <v>両方停止</v>
      </c>
      <c r="AI952" s="30" t="n">
        <v>0</v>
      </c>
      <c r="AJ952" s="30" t="n">
        <v>0</v>
      </c>
      <c r="AK952" s="30" t="str">
        <f aca="false">IF(OR(S952="判定不能",J952="判定不能"),"判定不能",IF(AJ952&gt;=判定条件!$C$9,"利用可",IF(AND(S952="停止",J952="停止"),"両方停止","運転がそろわない")))</f>
        <v>判定不能</v>
      </c>
      <c r="AL952" s="30" t="n">
        <v>60</v>
      </c>
      <c r="AM952" s="30" t="n">
        <v>0</v>
      </c>
      <c r="AN952" s="30" t="str">
        <f aca="false">IF(OR(V952="判定不能",M952="判定不能"),"判定不能",IF(AM952&gt;=判定条件!$C$9,"利用可",IF(AND(V952="停止",M952="停止"),"両方停止","運転がそろわない")))</f>
        <v>運転がそろわない</v>
      </c>
      <c r="AO952" s="30" t="n">
        <v>60</v>
      </c>
      <c r="AP952" s="30" t="n">
        <v>0</v>
      </c>
      <c r="AQ952" s="30" t="str">
        <f aca="false">IF(OR(Y952="判定不能",G952="判定不能"),"判定不能",IF(AP952&gt;=判定条件!$C$9,"利用可",IF(AND(Y952="停止",G952="停止"),"両方停止","運転がそろわない")))</f>
        <v>両方停止</v>
      </c>
      <c r="AR952" s="30" t="n">
        <v>0</v>
      </c>
      <c r="AS952" s="30" t="n">
        <v>0</v>
      </c>
      <c r="AT952" s="30" t="str">
        <f aca="false">IF(OR(AB952="判定不能",J952="判定不能"),"判定不能",IF(AS952&gt;=判定条件!$C$9,"利用可",IF(AND(AB952="停止",J952="停止"),"両方停止","運転がそろわない")))</f>
        <v>判定不能</v>
      </c>
      <c r="AU952" s="30" t="n">
        <v>60</v>
      </c>
      <c r="AV952" s="30" t="n">
        <v>56</v>
      </c>
      <c r="AW952" s="30" t="str">
        <f aca="false">IF(OR(AE952="判定不能",M952="判定不能"),"判定不能",IF(AV952&gt;=判定条件!$C$9,"利用可",IF(AND(AE952="停止",M952="停止"),"両方停止","運転がそろわない")))</f>
        <v>利用可</v>
      </c>
      <c r="AX952" s="30" t="str">
        <f aca="false">IF(AND(AH952="利用可",AK952="利用可",AN952="利用可"),"利用可","不可")</f>
        <v>不可</v>
      </c>
      <c r="AY952" s="30" t="str">
        <f aca="false">IF(AND(AQ952="利用可",AT952="利用可",AW952="利用可"),"利用可","不可")</f>
        <v>不可</v>
      </c>
    </row>
    <row r="953" customFormat="false" ht="15" hidden="false" customHeight="false" outlineLevel="0" collapsed="false">
      <c r="A953" s="29" t="n">
        <v>46271</v>
      </c>
      <c r="B953" s="30" t="n">
        <v>14</v>
      </c>
      <c r="C953" s="31" t="s">
        <v>65</v>
      </c>
      <c r="D953" s="31" t="s">
        <v>64</v>
      </c>
      <c r="E953" s="30" t="n">
        <v>60</v>
      </c>
      <c r="F953" s="30" t="n">
        <v>8</v>
      </c>
      <c r="G953" s="30" t="str">
        <f aca="false">IF(E953&lt;判定条件!$C$6,"判定不能",IF(F953&gt;=判定条件!$C$7*E953,"運転",IF(F953&lt;=判定条件!$C$8*E953,"停止","断続")))</f>
        <v>停止</v>
      </c>
      <c r="H953" s="30" t="n">
        <v>0</v>
      </c>
      <c r="I953" s="30" t="n">
        <v>0</v>
      </c>
      <c r="J953" s="30" t="str">
        <f aca="false">IF(H953&lt;判定条件!$C$6,"判定不能",IF(I953&gt;=判定条件!$C$7*H953,"運転",IF(I953&lt;=判定条件!$C$8*H953,"停止","断続")))</f>
        <v>判定不能</v>
      </c>
      <c r="K953" s="30" t="n">
        <v>60</v>
      </c>
      <c r="L953" s="30" t="n">
        <v>60</v>
      </c>
      <c r="M953" s="30" t="str">
        <f aca="false">IF(K953&lt;判定条件!$C$6,"判定不能",IF(L953&gt;=判定条件!$C$7*K953,"運転",IF(L953&lt;=判定条件!$C$8*K953,"停止","断続")))</f>
        <v>運転</v>
      </c>
      <c r="N953" s="30" t="n">
        <v>60</v>
      </c>
      <c r="O953" s="30" t="n">
        <v>0</v>
      </c>
      <c r="P953" s="30" t="str">
        <f aca="false">IF(N953&lt;判定条件!$C$6,"判定不能",IF(O953&gt;=判定条件!$C$7*N953,"運転",IF(O953&lt;=判定条件!$C$8*N953,"停止","断続")))</f>
        <v>停止</v>
      </c>
      <c r="Q953" s="30" t="n">
        <v>60</v>
      </c>
      <c r="R953" s="30" t="n">
        <v>26</v>
      </c>
      <c r="S953" s="30" t="str">
        <f aca="false">IF(Q953&lt;判定条件!$C$6,"判定不能",IF(R953&gt;=判定条件!$C$7*Q953,"運転",IF(R953&lt;=判定条件!$C$8*Q953,"停止","断続")))</f>
        <v>断続</v>
      </c>
      <c r="T953" s="30" t="n">
        <v>60</v>
      </c>
      <c r="U953" s="30" t="n">
        <v>0</v>
      </c>
      <c r="V953" s="30" t="str">
        <f aca="false">IF(T953&lt;判定条件!$C$6,"判定不能",IF(U953&gt;=判定条件!$C$7*T953,"運転",IF(U953&lt;=判定条件!$C$8*T953,"停止","断続")))</f>
        <v>停止</v>
      </c>
      <c r="W953" s="30" t="n">
        <v>60</v>
      </c>
      <c r="X953" s="30" t="n">
        <v>16</v>
      </c>
      <c r="Y953" s="30" t="str">
        <f aca="false">IF(W953&lt;判定条件!$C$6,"判定不能",IF(X953&gt;=判定条件!$C$7*W953,"運転",IF(X953&lt;=判定条件!$C$8*W953,"停止","断続")))</f>
        <v>断続</v>
      </c>
      <c r="Z953" s="30" t="n">
        <v>60</v>
      </c>
      <c r="AA953" s="30" t="n">
        <v>0</v>
      </c>
      <c r="AB953" s="30" t="str">
        <f aca="false">IF(Z953&lt;判定条件!$C$6,"判定不能",IF(AA953&gt;=判定条件!$C$7*Z953,"運転",IF(AA953&lt;=判定条件!$C$8*Z953,"停止","断続")))</f>
        <v>停止</v>
      </c>
      <c r="AC953" s="30" t="n">
        <v>60</v>
      </c>
      <c r="AD953" s="30" t="n">
        <v>52</v>
      </c>
      <c r="AE953" s="30" t="str">
        <f aca="false">IF(AC953&lt;判定条件!$C$6,"判定不能",IF(AD953&gt;=判定条件!$C$7*AC953,"運転",IF(AD953&lt;=判定条件!$C$8*AC953,"停止","断続")))</f>
        <v>運転</v>
      </c>
      <c r="AF953" s="30" t="n">
        <v>60</v>
      </c>
      <c r="AG953" s="30" t="n">
        <v>0</v>
      </c>
      <c r="AH953" s="30" t="str">
        <f aca="false">IF(OR(P953="判定不能",G953="判定不能"),"判定不能",IF(AG953&gt;=判定条件!$C$9,"利用可",IF(AND(P953="停止",G953="停止"),"両方停止","運転がそろわない")))</f>
        <v>両方停止</v>
      </c>
      <c r="AI953" s="30" t="n">
        <v>0</v>
      </c>
      <c r="AJ953" s="30" t="n">
        <v>0</v>
      </c>
      <c r="AK953" s="30" t="str">
        <f aca="false">IF(OR(S953="判定不能",J953="判定不能"),"判定不能",IF(AJ953&gt;=判定条件!$C$9,"利用可",IF(AND(S953="停止",J953="停止"),"両方停止","運転がそろわない")))</f>
        <v>判定不能</v>
      </c>
      <c r="AL953" s="30" t="n">
        <v>60</v>
      </c>
      <c r="AM953" s="30" t="n">
        <v>0</v>
      </c>
      <c r="AN953" s="30" t="str">
        <f aca="false">IF(OR(V953="判定不能",M953="判定不能"),"判定不能",IF(AM953&gt;=判定条件!$C$9,"利用可",IF(AND(V953="停止",M953="停止"),"両方停止","運転がそろわない")))</f>
        <v>運転がそろわない</v>
      </c>
      <c r="AO953" s="30" t="n">
        <v>60</v>
      </c>
      <c r="AP953" s="30" t="n">
        <v>0</v>
      </c>
      <c r="AQ953" s="30" t="str">
        <f aca="false">IF(OR(Y953="判定不能",G953="判定不能"),"判定不能",IF(AP953&gt;=判定条件!$C$9,"利用可",IF(AND(Y953="停止",G953="停止"),"両方停止","運転がそろわない")))</f>
        <v>運転がそろわない</v>
      </c>
      <c r="AR953" s="30" t="n">
        <v>0</v>
      </c>
      <c r="AS953" s="30" t="n">
        <v>0</v>
      </c>
      <c r="AT953" s="30" t="str">
        <f aca="false">IF(OR(AB953="判定不能",J953="判定不能"),"判定不能",IF(AS953&gt;=判定条件!$C$9,"利用可",IF(AND(AB953="停止",J953="停止"),"両方停止","運転がそろわない")))</f>
        <v>判定不能</v>
      </c>
      <c r="AU953" s="30" t="n">
        <v>60</v>
      </c>
      <c r="AV953" s="30" t="n">
        <v>52</v>
      </c>
      <c r="AW953" s="30" t="str">
        <f aca="false">IF(OR(AE953="判定不能",M953="判定不能"),"判定不能",IF(AV953&gt;=判定条件!$C$9,"利用可",IF(AND(AE953="停止",M953="停止"),"両方停止","運転がそろわない")))</f>
        <v>利用可</v>
      </c>
      <c r="AX953" s="30" t="str">
        <f aca="false">IF(AND(AH953="利用可",AK953="利用可",AN953="利用可"),"利用可","不可")</f>
        <v>不可</v>
      </c>
      <c r="AY953" s="30" t="str">
        <f aca="false">IF(AND(AQ953="利用可",AT953="利用可",AW953="利用可"),"利用可","不可")</f>
        <v>不可</v>
      </c>
    </row>
    <row r="954" customFormat="false" ht="15" hidden="false" customHeight="false" outlineLevel="0" collapsed="false">
      <c r="A954" s="29" t="n">
        <v>46271</v>
      </c>
      <c r="B954" s="30" t="n">
        <v>15</v>
      </c>
      <c r="C954" s="31" t="s">
        <v>65</v>
      </c>
      <c r="D954" s="31" t="s">
        <v>64</v>
      </c>
      <c r="E954" s="30" t="n">
        <v>60</v>
      </c>
      <c r="F954" s="30" t="n">
        <v>6</v>
      </c>
      <c r="G954" s="30" t="str">
        <f aca="false">IF(E954&lt;判定条件!$C$6,"判定不能",IF(F954&gt;=判定条件!$C$7*E954,"運転",IF(F954&lt;=判定条件!$C$8*E954,"停止","断続")))</f>
        <v>停止</v>
      </c>
      <c r="H954" s="30" t="n">
        <v>0</v>
      </c>
      <c r="I954" s="30" t="n">
        <v>0</v>
      </c>
      <c r="J954" s="30" t="str">
        <f aca="false">IF(H954&lt;判定条件!$C$6,"判定不能",IF(I954&gt;=判定条件!$C$7*H954,"運転",IF(I954&lt;=判定条件!$C$8*H954,"停止","断続")))</f>
        <v>判定不能</v>
      </c>
      <c r="K954" s="30" t="n">
        <v>60</v>
      </c>
      <c r="L954" s="30" t="n">
        <v>60</v>
      </c>
      <c r="M954" s="30" t="str">
        <f aca="false">IF(K954&lt;判定条件!$C$6,"判定不能",IF(L954&gt;=判定条件!$C$7*K954,"運転",IF(L954&lt;=判定条件!$C$8*K954,"停止","断続")))</f>
        <v>運転</v>
      </c>
      <c r="N954" s="30" t="n">
        <v>60</v>
      </c>
      <c r="O954" s="30" t="n">
        <v>0</v>
      </c>
      <c r="P954" s="30" t="str">
        <f aca="false">IF(N954&lt;判定条件!$C$6,"判定不能",IF(O954&gt;=判定条件!$C$7*N954,"運転",IF(O954&lt;=判定条件!$C$8*N954,"停止","断続")))</f>
        <v>停止</v>
      </c>
      <c r="Q954" s="30" t="n">
        <v>60</v>
      </c>
      <c r="R954" s="30" t="n">
        <v>25</v>
      </c>
      <c r="S954" s="30" t="str">
        <f aca="false">IF(Q954&lt;判定条件!$C$6,"判定不能",IF(R954&gt;=判定条件!$C$7*Q954,"運転",IF(R954&lt;=判定条件!$C$8*Q954,"停止","断続")))</f>
        <v>断続</v>
      </c>
      <c r="T954" s="30" t="n">
        <v>60</v>
      </c>
      <c r="U954" s="30" t="n">
        <v>0</v>
      </c>
      <c r="V954" s="30" t="str">
        <f aca="false">IF(T954&lt;判定条件!$C$6,"判定不能",IF(U954&gt;=判定条件!$C$7*T954,"運転",IF(U954&lt;=判定条件!$C$8*T954,"停止","断続")))</f>
        <v>停止</v>
      </c>
      <c r="W954" s="30" t="n">
        <v>60</v>
      </c>
      <c r="X954" s="30" t="n">
        <v>0</v>
      </c>
      <c r="Y954" s="30" t="str">
        <f aca="false">IF(W954&lt;判定条件!$C$6,"判定不能",IF(X954&gt;=判定条件!$C$7*W954,"運転",IF(X954&lt;=判定条件!$C$8*W954,"停止","断続")))</f>
        <v>停止</v>
      </c>
      <c r="Z954" s="30" t="n">
        <v>60</v>
      </c>
      <c r="AA954" s="30" t="n">
        <v>0</v>
      </c>
      <c r="AB954" s="30" t="str">
        <f aca="false">IF(Z954&lt;判定条件!$C$6,"判定不能",IF(AA954&gt;=判定条件!$C$7*Z954,"運転",IF(AA954&lt;=判定条件!$C$8*Z954,"停止","断続")))</f>
        <v>停止</v>
      </c>
      <c r="AC954" s="30" t="n">
        <v>60</v>
      </c>
      <c r="AD954" s="30" t="n">
        <v>60</v>
      </c>
      <c r="AE954" s="30" t="str">
        <f aca="false">IF(AC954&lt;判定条件!$C$6,"判定不能",IF(AD954&gt;=判定条件!$C$7*AC954,"運転",IF(AD954&lt;=判定条件!$C$8*AC954,"停止","断続")))</f>
        <v>運転</v>
      </c>
      <c r="AF954" s="30" t="n">
        <v>60</v>
      </c>
      <c r="AG954" s="30" t="n">
        <v>0</v>
      </c>
      <c r="AH954" s="30" t="str">
        <f aca="false">IF(OR(P954="判定不能",G954="判定不能"),"判定不能",IF(AG954&gt;=判定条件!$C$9,"利用可",IF(AND(P954="停止",G954="停止"),"両方停止","運転がそろわない")))</f>
        <v>両方停止</v>
      </c>
      <c r="AI954" s="30" t="n">
        <v>0</v>
      </c>
      <c r="AJ954" s="30" t="n">
        <v>0</v>
      </c>
      <c r="AK954" s="30" t="str">
        <f aca="false">IF(OR(S954="判定不能",J954="判定不能"),"判定不能",IF(AJ954&gt;=判定条件!$C$9,"利用可",IF(AND(S954="停止",J954="停止"),"両方停止","運転がそろわない")))</f>
        <v>判定不能</v>
      </c>
      <c r="AL954" s="30" t="n">
        <v>60</v>
      </c>
      <c r="AM954" s="30" t="n">
        <v>0</v>
      </c>
      <c r="AN954" s="30" t="str">
        <f aca="false">IF(OR(V954="判定不能",M954="判定不能"),"判定不能",IF(AM954&gt;=判定条件!$C$9,"利用可",IF(AND(V954="停止",M954="停止"),"両方停止","運転がそろわない")))</f>
        <v>運転がそろわない</v>
      </c>
      <c r="AO954" s="30" t="n">
        <v>60</v>
      </c>
      <c r="AP954" s="30" t="n">
        <v>0</v>
      </c>
      <c r="AQ954" s="30" t="str">
        <f aca="false">IF(OR(Y954="判定不能",G954="判定不能"),"判定不能",IF(AP954&gt;=判定条件!$C$9,"利用可",IF(AND(Y954="停止",G954="停止"),"両方停止","運転がそろわない")))</f>
        <v>両方停止</v>
      </c>
      <c r="AR954" s="30" t="n">
        <v>0</v>
      </c>
      <c r="AS954" s="30" t="n">
        <v>0</v>
      </c>
      <c r="AT954" s="30" t="str">
        <f aca="false">IF(OR(AB954="判定不能",J954="判定不能"),"判定不能",IF(AS954&gt;=判定条件!$C$9,"利用可",IF(AND(AB954="停止",J954="停止"),"両方停止","運転がそろわない")))</f>
        <v>判定不能</v>
      </c>
      <c r="AU954" s="30" t="n">
        <v>60</v>
      </c>
      <c r="AV954" s="30" t="n">
        <v>60</v>
      </c>
      <c r="AW954" s="30" t="str">
        <f aca="false">IF(OR(AE954="判定不能",M954="判定不能"),"判定不能",IF(AV954&gt;=判定条件!$C$9,"利用可",IF(AND(AE954="停止",M954="停止"),"両方停止","運転がそろわない")))</f>
        <v>利用可</v>
      </c>
      <c r="AX954" s="30" t="str">
        <f aca="false">IF(AND(AH954="利用可",AK954="利用可",AN954="利用可"),"利用可","不可")</f>
        <v>不可</v>
      </c>
      <c r="AY954" s="30" t="str">
        <f aca="false">IF(AND(AQ954="利用可",AT954="利用可",AW954="利用可"),"利用可","不可")</f>
        <v>不可</v>
      </c>
    </row>
    <row r="955" customFormat="false" ht="15" hidden="false" customHeight="false" outlineLevel="0" collapsed="false">
      <c r="A955" s="29" t="n">
        <v>46271</v>
      </c>
      <c r="B955" s="30" t="n">
        <v>16</v>
      </c>
      <c r="C955" s="31" t="s">
        <v>65</v>
      </c>
      <c r="D955" s="31" t="s">
        <v>64</v>
      </c>
      <c r="E955" s="30" t="n">
        <v>60</v>
      </c>
      <c r="F955" s="30" t="n">
        <v>0</v>
      </c>
      <c r="G955" s="30" t="str">
        <f aca="false">IF(E955&lt;判定条件!$C$6,"判定不能",IF(F955&gt;=判定条件!$C$7*E955,"運転",IF(F955&lt;=判定条件!$C$8*E955,"停止","断続")))</f>
        <v>停止</v>
      </c>
      <c r="H955" s="30" t="n">
        <v>0</v>
      </c>
      <c r="I955" s="30" t="n">
        <v>0</v>
      </c>
      <c r="J955" s="30" t="str">
        <f aca="false">IF(H955&lt;判定条件!$C$6,"判定不能",IF(I955&gt;=判定条件!$C$7*H955,"運転",IF(I955&lt;=判定条件!$C$8*H955,"停止","断続")))</f>
        <v>判定不能</v>
      </c>
      <c r="K955" s="30" t="n">
        <v>60</v>
      </c>
      <c r="L955" s="30" t="n">
        <v>60</v>
      </c>
      <c r="M955" s="30" t="str">
        <f aca="false">IF(K955&lt;判定条件!$C$6,"判定不能",IF(L955&gt;=判定条件!$C$7*K955,"運転",IF(L955&lt;=判定条件!$C$8*K955,"停止","断続")))</f>
        <v>運転</v>
      </c>
      <c r="N955" s="30" t="n">
        <v>60</v>
      </c>
      <c r="O955" s="30" t="n">
        <v>0</v>
      </c>
      <c r="P955" s="30" t="str">
        <f aca="false">IF(N955&lt;判定条件!$C$6,"判定不能",IF(O955&gt;=判定条件!$C$7*N955,"運転",IF(O955&lt;=判定条件!$C$8*N955,"停止","断続")))</f>
        <v>停止</v>
      </c>
      <c r="Q955" s="30" t="n">
        <v>60</v>
      </c>
      <c r="R955" s="30" t="n">
        <v>20</v>
      </c>
      <c r="S955" s="30" t="str">
        <f aca="false">IF(Q955&lt;判定条件!$C$6,"判定不能",IF(R955&gt;=判定条件!$C$7*Q955,"運転",IF(R955&lt;=判定条件!$C$8*Q955,"停止","断続")))</f>
        <v>断続</v>
      </c>
      <c r="T955" s="30" t="n">
        <v>60</v>
      </c>
      <c r="U955" s="30" t="n">
        <v>0</v>
      </c>
      <c r="V955" s="30" t="str">
        <f aca="false">IF(T955&lt;判定条件!$C$6,"判定不能",IF(U955&gt;=判定条件!$C$7*T955,"運転",IF(U955&lt;=判定条件!$C$8*T955,"停止","断続")))</f>
        <v>停止</v>
      </c>
      <c r="W955" s="30" t="n">
        <v>60</v>
      </c>
      <c r="X955" s="30" t="n">
        <v>19</v>
      </c>
      <c r="Y955" s="30" t="str">
        <f aca="false">IF(W955&lt;判定条件!$C$6,"判定不能",IF(X955&gt;=判定条件!$C$7*W955,"運転",IF(X955&lt;=判定条件!$C$8*W955,"停止","断続")))</f>
        <v>断続</v>
      </c>
      <c r="Z955" s="30" t="n">
        <v>60</v>
      </c>
      <c r="AA955" s="30" t="n">
        <v>0</v>
      </c>
      <c r="AB955" s="30" t="str">
        <f aca="false">IF(Z955&lt;判定条件!$C$6,"判定不能",IF(AA955&gt;=判定条件!$C$7*Z955,"運転",IF(AA955&lt;=判定条件!$C$8*Z955,"停止","断続")))</f>
        <v>停止</v>
      </c>
      <c r="AC955" s="30" t="n">
        <v>60</v>
      </c>
      <c r="AD955" s="30" t="n">
        <v>48</v>
      </c>
      <c r="AE955" s="30" t="str">
        <f aca="false">IF(AC955&lt;判定条件!$C$6,"判定不能",IF(AD955&gt;=判定条件!$C$7*AC955,"運転",IF(AD955&lt;=判定条件!$C$8*AC955,"停止","断続")))</f>
        <v>運転</v>
      </c>
      <c r="AF955" s="30" t="n">
        <v>60</v>
      </c>
      <c r="AG955" s="30" t="n">
        <v>0</v>
      </c>
      <c r="AH955" s="30" t="str">
        <f aca="false">IF(OR(P955="判定不能",G955="判定不能"),"判定不能",IF(AG955&gt;=判定条件!$C$9,"利用可",IF(AND(P955="停止",G955="停止"),"両方停止","運転がそろわない")))</f>
        <v>両方停止</v>
      </c>
      <c r="AI955" s="30" t="n">
        <v>0</v>
      </c>
      <c r="AJ955" s="30" t="n">
        <v>0</v>
      </c>
      <c r="AK955" s="30" t="str">
        <f aca="false">IF(OR(S955="判定不能",J955="判定不能"),"判定不能",IF(AJ955&gt;=判定条件!$C$9,"利用可",IF(AND(S955="停止",J955="停止"),"両方停止","運転がそろわない")))</f>
        <v>判定不能</v>
      </c>
      <c r="AL955" s="30" t="n">
        <v>60</v>
      </c>
      <c r="AM955" s="30" t="n">
        <v>0</v>
      </c>
      <c r="AN955" s="30" t="str">
        <f aca="false">IF(OR(V955="判定不能",M955="判定不能"),"判定不能",IF(AM955&gt;=判定条件!$C$9,"利用可",IF(AND(V955="停止",M955="停止"),"両方停止","運転がそろわない")))</f>
        <v>運転がそろわない</v>
      </c>
      <c r="AO955" s="30" t="n">
        <v>60</v>
      </c>
      <c r="AP955" s="30" t="n">
        <v>0</v>
      </c>
      <c r="AQ955" s="30" t="str">
        <f aca="false">IF(OR(Y955="判定不能",G955="判定不能"),"判定不能",IF(AP955&gt;=判定条件!$C$9,"利用可",IF(AND(Y955="停止",G955="停止"),"両方停止","運転がそろわない")))</f>
        <v>運転がそろわない</v>
      </c>
      <c r="AR955" s="30" t="n">
        <v>0</v>
      </c>
      <c r="AS955" s="30" t="n">
        <v>0</v>
      </c>
      <c r="AT955" s="30" t="str">
        <f aca="false">IF(OR(AB955="判定不能",J955="判定不能"),"判定不能",IF(AS955&gt;=判定条件!$C$9,"利用可",IF(AND(AB955="停止",J955="停止"),"両方停止","運転がそろわない")))</f>
        <v>判定不能</v>
      </c>
      <c r="AU955" s="30" t="n">
        <v>60</v>
      </c>
      <c r="AV955" s="30" t="n">
        <v>48</v>
      </c>
      <c r="AW955" s="30" t="str">
        <f aca="false">IF(OR(AE955="判定不能",M955="判定不能"),"判定不能",IF(AV955&gt;=判定条件!$C$9,"利用可",IF(AND(AE955="停止",M955="停止"),"両方停止","運転がそろわない")))</f>
        <v>利用可</v>
      </c>
      <c r="AX955" s="30" t="str">
        <f aca="false">IF(AND(AH955="利用可",AK955="利用可",AN955="利用可"),"利用可","不可")</f>
        <v>不可</v>
      </c>
      <c r="AY955" s="30" t="str">
        <f aca="false">IF(AND(AQ955="利用可",AT955="利用可",AW955="利用可"),"利用可","不可")</f>
        <v>不可</v>
      </c>
    </row>
    <row r="956" customFormat="false" ht="15" hidden="false" customHeight="false" outlineLevel="0" collapsed="false">
      <c r="A956" s="29" t="n">
        <v>46271</v>
      </c>
      <c r="B956" s="30" t="n">
        <v>17</v>
      </c>
      <c r="C956" s="31" t="s">
        <v>65</v>
      </c>
      <c r="D956" s="31" t="s">
        <v>64</v>
      </c>
      <c r="E956" s="30" t="n">
        <v>60</v>
      </c>
      <c r="F956" s="30" t="n">
        <v>0</v>
      </c>
      <c r="G956" s="30" t="str">
        <f aca="false">IF(E956&lt;判定条件!$C$6,"判定不能",IF(F956&gt;=判定条件!$C$7*E956,"運転",IF(F956&lt;=判定条件!$C$8*E956,"停止","断続")))</f>
        <v>停止</v>
      </c>
      <c r="H956" s="30" t="n">
        <v>0</v>
      </c>
      <c r="I956" s="30" t="n">
        <v>0</v>
      </c>
      <c r="J956" s="30" t="str">
        <f aca="false">IF(H956&lt;判定条件!$C$6,"判定不能",IF(I956&gt;=判定条件!$C$7*H956,"運転",IF(I956&lt;=判定条件!$C$8*H956,"停止","断続")))</f>
        <v>判定不能</v>
      </c>
      <c r="K956" s="30" t="n">
        <v>60</v>
      </c>
      <c r="L956" s="30" t="n">
        <v>60</v>
      </c>
      <c r="M956" s="30" t="str">
        <f aca="false">IF(K956&lt;判定条件!$C$6,"判定不能",IF(L956&gt;=判定条件!$C$7*K956,"運転",IF(L956&lt;=判定条件!$C$8*K956,"停止","断続")))</f>
        <v>運転</v>
      </c>
      <c r="N956" s="30" t="n">
        <v>60</v>
      </c>
      <c r="O956" s="30" t="n">
        <v>0</v>
      </c>
      <c r="P956" s="30" t="str">
        <f aca="false">IF(N956&lt;判定条件!$C$6,"判定不能",IF(O956&gt;=判定条件!$C$7*N956,"運転",IF(O956&lt;=判定条件!$C$8*N956,"停止","断続")))</f>
        <v>停止</v>
      </c>
      <c r="Q956" s="30" t="n">
        <v>60</v>
      </c>
      <c r="R956" s="30" t="n">
        <v>42</v>
      </c>
      <c r="S956" s="30" t="str">
        <f aca="false">IF(Q956&lt;判定条件!$C$6,"判定不能",IF(R956&gt;=判定条件!$C$7*Q956,"運転",IF(R956&lt;=判定条件!$C$8*Q956,"停止","断続")))</f>
        <v>断続</v>
      </c>
      <c r="T956" s="30" t="n">
        <v>60</v>
      </c>
      <c r="U956" s="30" t="n">
        <v>0</v>
      </c>
      <c r="V956" s="30" t="str">
        <f aca="false">IF(T956&lt;判定条件!$C$6,"判定不能",IF(U956&gt;=判定条件!$C$7*T956,"運転",IF(U956&lt;=判定条件!$C$8*T956,"停止","断続")))</f>
        <v>停止</v>
      </c>
      <c r="W956" s="30" t="n">
        <v>60</v>
      </c>
      <c r="X956" s="30" t="n">
        <v>11</v>
      </c>
      <c r="Y956" s="30" t="str">
        <f aca="false">IF(W956&lt;判定条件!$C$6,"判定不能",IF(X956&gt;=判定条件!$C$7*W956,"運転",IF(X956&lt;=判定条件!$C$8*W956,"停止","断続")))</f>
        <v>停止</v>
      </c>
      <c r="Z956" s="30" t="n">
        <v>60</v>
      </c>
      <c r="AA956" s="30" t="n">
        <v>0</v>
      </c>
      <c r="AB956" s="30" t="str">
        <f aca="false">IF(Z956&lt;判定条件!$C$6,"判定不能",IF(AA956&gt;=判定条件!$C$7*Z956,"運転",IF(AA956&lt;=判定条件!$C$8*Z956,"停止","断続")))</f>
        <v>停止</v>
      </c>
      <c r="AC956" s="30" t="n">
        <v>60</v>
      </c>
      <c r="AD956" s="30" t="n">
        <v>41</v>
      </c>
      <c r="AE956" s="30" t="str">
        <f aca="false">IF(AC956&lt;判定条件!$C$6,"判定不能",IF(AD956&gt;=判定条件!$C$7*AC956,"運転",IF(AD956&lt;=判定条件!$C$8*AC956,"停止","断続")))</f>
        <v>断続</v>
      </c>
      <c r="AF956" s="30" t="n">
        <v>60</v>
      </c>
      <c r="AG956" s="30" t="n">
        <v>0</v>
      </c>
      <c r="AH956" s="30" t="str">
        <f aca="false">IF(OR(P956="判定不能",G956="判定不能"),"判定不能",IF(AG956&gt;=判定条件!$C$9,"利用可",IF(AND(P956="停止",G956="停止"),"両方停止","運転がそろわない")))</f>
        <v>両方停止</v>
      </c>
      <c r="AI956" s="30" t="n">
        <v>0</v>
      </c>
      <c r="AJ956" s="30" t="n">
        <v>0</v>
      </c>
      <c r="AK956" s="30" t="str">
        <f aca="false">IF(OR(S956="判定不能",J956="判定不能"),"判定不能",IF(AJ956&gt;=判定条件!$C$9,"利用可",IF(AND(S956="停止",J956="停止"),"両方停止","運転がそろわない")))</f>
        <v>判定不能</v>
      </c>
      <c r="AL956" s="30" t="n">
        <v>60</v>
      </c>
      <c r="AM956" s="30" t="n">
        <v>0</v>
      </c>
      <c r="AN956" s="30" t="str">
        <f aca="false">IF(OR(V956="判定不能",M956="判定不能"),"判定不能",IF(AM956&gt;=判定条件!$C$9,"利用可",IF(AND(V956="停止",M956="停止"),"両方停止","運転がそろわない")))</f>
        <v>運転がそろわない</v>
      </c>
      <c r="AO956" s="30" t="n">
        <v>60</v>
      </c>
      <c r="AP956" s="30" t="n">
        <v>0</v>
      </c>
      <c r="AQ956" s="30" t="str">
        <f aca="false">IF(OR(Y956="判定不能",G956="判定不能"),"判定不能",IF(AP956&gt;=判定条件!$C$9,"利用可",IF(AND(Y956="停止",G956="停止"),"両方停止","運転がそろわない")))</f>
        <v>両方停止</v>
      </c>
      <c r="AR956" s="30" t="n">
        <v>0</v>
      </c>
      <c r="AS956" s="30" t="n">
        <v>0</v>
      </c>
      <c r="AT956" s="30" t="str">
        <f aca="false">IF(OR(AB956="判定不能",J956="判定不能"),"判定不能",IF(AS956&gt;=判定条件!$C$9,"利用可",IF(AND(AB956="停止",J956="停止"),"両方停止","運転がそろわない")))</f>
        <v>判定不能</v>
      </c>
      <c r="AU956" s="30" t="n">
        <v>60</v>
      </c>
      <c r="AV956" s="30" t="n">
        <v>41</v>
      </c>
      <c r="AW956" s="30" t="str">
        <f aca="false">IF(OR(AE956="判定不能",M956="判定不能"),"判定不能",IF(AV956&gt;=判定条件!$C$9,"利用可",IF(AND(AE956="停止",M956="停止"),"両方停止","運転がそろわない")))</f>
        <v>利用可</v>
      </c>
      <c r="AX956" s="30" t="str">
        <f aca="false">IF(AND(AH956="利用可",AK956="利用可",AN956="利用可"),"利用可","不可")</f>
        <v>不可</v>
      </c>
      <c r="AY956" s="30" t="str">
        <f aca="false">IF(AND(AQ956="利用可",AT956="利用可",AW956="利用可"),"利用可","不可")</f>
        <v>不可</v>
      </c>
    </row>
    <row r="957" customFormat="false" ht="15" hidden="false" customHeight="false" outlineLevel="0" collapsed="false">
      <c r="A957" s="29" t="n">
        <v>46271</v>
      </c>
      <c r="B957" s="30" t="n">
        <v>18</v>
      </c>
      <c r="C957" s="31" t="s">
        <v>65</v>
      </c>
      <c r="D957" s="31" t="s">
        <v>64</v>
      </c>
      <c r="E957" s="30" t="n">
        <v>60</v>
      </c>
      <c r="F957" s="30" t="n">
        <v>0</v>
      </c>
      <c r="G957" s="30" t="str">
        <f aca="false">IF(E957&lt;判定条件!$C$6,"判定不能",IF(F957&gt;=判定条件!$C$7*E957,"運転",IF(F957&lt;=判定条件!$C$8*E957,"停止","断続")))</f>
        <v>停止</v>
      </c>
      <c r="H957" s="30" t="n">
        <v>11</v>
      </c>
      <c r="I957" s="30" t="n">
        <v>0</v>
      </c>
      <c r="J957" s="30" t="str">
        <f aca="false">IF(H957&lt;判定条件!$C$6,"判定不能",IF(I957&gt;=判定条件!$C$7*H957,"運転",IF(I957&lt;=判定条件!$C$8*H957,"停止","断続")))</f>
        <v>判定不能</v>
      </c>
      <c r="K957" s="30" t="n">
        <v>60</v>
      </c>
      <c r="L957" s="30" t="n">
        <v>60</v>
      </c>
      <c r="M957" s="30" t="str">
        <f aca="false">IF(K957&lt;判定条件!$C$6,"判定不能",IF(L957&gt;=判定条件!$C$7*K957,"運転",IF(L957&lt;=判定条件!$C$8*K957,"停止","断続")))</f>
        <v>運転</v>
      </c>
      <c r="N957" s="30" t="n">
        <v>60</v>
      </c>
      <c r="O957" s="30" t="n">
        <v>0</v>
      </c>
      <c r="P957" s="30" t="str">
        <f aca="false">IF(N957&lt;判定条件!$C$6,"判定不能",IF(O957&gt;=判定条件!$C$7*N957,"運転",IF(O957&lt;=判定条件!$C$8*N957,"停止","断続")))</f>
        <v>停止</v>
      </c>
      <c r="Q957" s="30" t="n">
        <v>60</v>
      </c>
      <c r="R957" s="30" t="n">
        <v>0</v>
      </c>
      <c r="S957" s="30" t="str">
        <f aca="false">IF(Q957&lt;判定条件!$C$6,"判定不能",IF(R957&gt;=判定条件!$C$7*Q957,"運転",IF(R957&lt;=判定条件!$C$8*Q957,"停止","断続")))</f>
        <v>停止</v>
      </c>
      <c r="T957" s="30" t="n">
        <v>60</v>
      </c>
      <c r="U957" s="30" t="n">
        <v>0</v>
      </c>
      <c r="V957" s="30" t="str">
        <f aca="false">IF(T957&lt;判定条件!$C$6,"判定不能",IF(U957&gt;=判定条件!$C$7*T957,"運転",IF(U957&lt;=判定条件!$C$8*T957,"停止","断続")))</f>
        <v>停止</v>
      </c>
      <c r="W957" s="30" t="n">
        <v>60</v>
      </c>
      <c r="X957" s="30" t="n">
        <v>5</v>
      </c>
      <c r="Y957" s="30" t="str">
        <f aca="false">IF(W957&lt;判定条件!$C$6,"判定不能",IF(X957&gt;=判定条件!$C$7*W957,"運転",IF(X957&lt;=判定条件!$C$8*W957,"停止","断続")))</f>
        <v>停止</v>
      </c>
      <c r="Z957" s="30" t="n">
        <v>60</v>
      </c>
      <c r="AA957" s="30" t="n">
        <v>0</v>
      </c>
      <c r="AB957" s="30" t="str">
        <f aca="false">IF(Z957&lt;判定条件!$C$6,"判定不能",IF(AA957&gt;=判定条件!$C$7*Z957,"運転",IF(AA957&lt;=判定条件!$C$8*Z957,"停止","断続")))</f>
        <v>停止</v>
      </c>
      <c r="AC957" s="30" t="n">
        <v>60</v>
      </c>
      <c r="AD957" s="30" t="n">
        <v>10</v>
      </c>
      <c r="AE957" s="30" t="str">
        <f aca="false">IF(AC957&lt;判定条件!$C$6,"判定不能",IF(AD957&gt;=判定条件!$C$7*AC957,"運転",IF(AD957&lt;=判定条件!$C$8*AC957,"停止","断続")))</f>
        <v>停止</v>
      </c>
      <c r="AF957" s="30" t="n">
        <v>60</v>
      </c>
      <c r="AG957" s="30" t="n">
        <v>0</v>
      </c>
      <c r="AH957" s="30" t="str">
        <f aca="false">IF(OR(P957="判定不能",G957="判定不能"),"判定不能",IF(AG957&gt;=判定条件!$C$9,"利用可",IF(AND(P957="停止",G957="停止"),"両方停止","運転がそろわない")))</f>
        <v>両方停止</v>
      </c>
      <c r="AI957" s="30" t="n">
        <v>11</v>
      </c>
      <c r="AJ957" s="30" t="n">
        <v>0</v>
      </c>
      <c r="AK957" s="30" t="str">
        <f aca="false">IF(OR(S957="判定不能",J957="判定不能"),"判定不能",IF(AJ957&gt;=判定条件!$C$9,"利用可",IF(AND(S957="停止",J957="停止"),"両方停止","運転がそろわない")))</f>
        <v>判定不能</v>
      </c>
      <c r="AL957" s="30" t="n">
        <v>60</v>
      </c>
      <c r="AM957" s="30" t="n">
        <v>0</v>
      </c>
      <c r="AN957" s="30" t="str">
        <f aca="false">IF(OR(V957="判定不能",M957="判定不能"),"判定不能",IF(AM957&gt;=判定条件!$C$9,"利用可",IF(AND(V957="停止",M957="停止"),"両方停止","運転がそろわない")))</f>
        <v>運転がそろわない</v>
      </c>
      <c r="AO957" s="30" t="n">
        <v>60</v>
      </c>
      <c r="AP957" s="30" t="n">
        <v>0</v>
      </c>
      <c r="AQ957" s="30" t="str">
        <f aca="false">IF(OR(Y957="判定不能",G957="判定不能"),"判定不能",IF(AP957&gt;=判定条件!$C$9,"利用可",IF(AND(Y957="停止",G957="停止"),"両方停止","運転がそろわない")))</f>
        <v>両方停止</v>
      </c>
      <c r="AR957" s="30" t="n">
        <v>11</v>
      </c>
      <c r="AS957" s="30" t="n">
        <v>0</v>
      </c>
      <c r="AT957" s="30" t="str">
        <f aca="false">IF(OR(AB957="判定不能",J957="判定不能"),"判定不能",IF(AS957&gt;=判定条件!$C$9,"利用可",IF(AND(AB957="停止",J957="停止"),"両方停止","運転がそろわない")))</f>
        <v>判定不能</v>
      </c>
      <c r="AU957" s="30" t="n">
        <v>60</v>
      </c>
      <c r="AV957" s="30" t="n">
        <v>10</v>
      </c>
      <c r="AW957" s="30" t="str">
        <f aca="false">IF(OR(AE957="判定不能",M957="判定不能"),"判定不能",IF(AV957&gt;=判定条件!$C$9,"利用可",IF(AND(AE957="停止",M957="停止"),"両方停止","運転がそろわない")))</f>
        <v>運転がそろわない</v>
      </c>
      <c r="AX957" s="30" t="str">
        <f aca="false">IF(AND(AH957="利用可",AK957="利用可",AN957="利用可"),"利用可","不可")</f>
        <v>不可</v>
      </c>
      <c r="AY957" s="30" t="str">
        <f aca="false">IF(AND(AQ957="利用可",AT957="利用可",AW957="利用可"),"利用可","不可")</f>
        <v>不可</v>
      </c>
    </row>
    <row r="958" customFormat="false" ht="15" hidden="false" customHeight="false" outlineLevel="0" collapsed="false">
      <c r="A958" s="29" t="n">
        <v>46271</v>
      </c>
      <c r="B958" s="30" t="n">
        <v>19</v>
      </c>
      <c r="C958" s="31" t="s">
        <v>65</v>
      </c>
      <c r="D958" s="31" t="s">
        <v>64</v>
      </c>
      <c r="E958" s="30" t="n">
        <v>60</v>
      </c>
      <c r="F958" s="30" t="n">
        <v>0</v>
      </c>
      <c r="G958" s="30" t="str">
        <f aca="false">IF(E958&lt;判定条件!$C$6,"判定不能",IF(F958&gt;=判定条件!$C$7*E958,"運転",IF(F958&lt;=判定条件!$C$8*E958,"停止","断続")))</f>
        <v>停止</v>
      </c>
      <c r="H958" s="30" t="n">
        <v>60</v>
      </c>
      <c r="I958" s="30" t="n">
        <v>3</v>
      </c>
      <c r="J958" s="30" t="str">
        <f aca="false">IF(H958&lt;判定条件!$C$6,"判定不能",IF(I958&gt;=判定条件!$C$7*H958,"運転",IF(I958&lt;=判定条件!$C$8*H958,"停止","断続")))</f>
        <v>停止</v>
      </c>
      <c r="K958" s="30" t="n">
        <v>60</v>
      </c>
      <c r="L958" s="30" t="n">
        <v>60</v>
      </c>
      <c r="M958" s="30" t="str">
        <f aca="false">IF(K958&lt;判定条件!$C$6,"判定不能",IF(L958&gt;=判定条件!$C$7*K958,"運転",IF(L958&lt;=判定条件!$C$8*K958,"停止","断続")))</f>
        <v>運転</v>
      </c>
      <c r="N958" s="30" t="n">
        <v>60</v>
      </c>
      <c r="O958" s="30" t="n">
        <v>0</v>
      </c>
      <c r="P958" s="30" t="str">
        <f aca="false">IF(N958&lt;判定条件!$C$6,"判定不能",IF(O958&gt;=判定条件!$C$7*N958,"運転",IF(O958&lt;=判定条件!$C$8*N958,"停止","断続")))</f>
        <v>停止</v>
      </c>
      <c r="Q958" s="30" t="n">
        <v>60</v>
      </c>
      <c r="R958" s="30" t="n">
        <v>0</v>
      </c>
      <c r="S958" s="30" t="str">
        <f aca="false">IF(Q958&lt;判定条件!$C$6,"判定不能",IF(R958&gt;=判定条件!$C$7*Q958,"運転",IF(R958&lt;=判定条件!$C$8*Q958,"停止","断続")))</f>
        <v>停止</v>
      </c>
      <c r="T958" s="30" t="n">
        <v>60</v>
      </c>
      <c r="U958" s="30" t="n">
        <v>0</v>
      </c>
      <c r="V958" s="30" t="str">
        <f aca="false">IF(T958&lt;判定条件!$C$6,"判定不能",IF(U958&gt;=判定条件!$C$7*T958,"運転",IF(U958&lt;=判定条件!$C$8*T958,"停止","断続")))</f>
        <v>停止</v>
      </c>
      <c r="W958" s="30" t="n">
        <v>60</v>
      </c>
      <c r="X958" s="30" t="n">
        <v>0</v>
      </c>
      <c r="Y958" s="30" t="str">
        <f aca="false">IF(W958&lt;判定条件!$C$6,"判定不能",IF(X958&gt;=判定条件!$C$7*W958,"運転",IF(X958&lt;=判定条件!$C$8*W958,"停止","断続")))</f>
        <v>停止</v>
      </c>
      <c r="Z958" s="30" t="n">
        <v>60</v>
      </c>
      <c r="AA958" s="30" t="n">
        <v>0</v>
      </c>
      <c r="AB958" s="30" t="str">
        <f aca="false">IF(Z958&lt;判定条件!$C$6,"判定不能",IF(AA958&gt;=判定条件!$C$7*Z958,"運転",IF(AA958&lt;=判定条件!$C$8*Z958,"停止","断続")))</f>
        <v>停止</v>
      </c>
      <c r="AC958" s="30" t="n">
        <v>60</v>
      </c>
      <c r="AD958" s="30" t="n">
        <v>0</v>
      </c>
      <c r="AE958" s="30" t="str">
        <f aca="false">IF(AC958&lt;判定条件!$C$6,"判定不能",IF(AD958&gt;=判定条件!$C$7*AC958,"運転",IF(AD958&lt;=判定条件!$C$8*AC958,"停止","断続")))</f>
        <v>停止</v>
      </c>
      <c r="AF958" s="30" t="n">
        <v>60</v>
      </c>
      <c r="AG958" s="30" t="n">
        <v>0</v>
      </c>
      <c r="AH958" s="30" t="str">
        <f aca="false">IF(OR(P958="判定不能",G958="判定不能"),"判定不能",IF(AG958&gt;=判定条件!$C$9,"利用可",IF(AND(P958="停止",G958="停止"),"両方停止","運転がそろわない")))</f>
        <v>両方停止</v>
      </c>
      <c r="AI958" s="30" t="n">
        <v>60</v>
      </c>
      <c r="AJ958" s="30" t="n">
        <v>0</v>
      </c>
      <c r="AK958" s="30" t="str">
        <f aca="false">IF(OR(S958="判定不能",J958="判定不能"),"判定不能",IF(AJ958&gt;=判定条件!$C$9,"利用可",IF(AND(S958="停止",J958="停止"),"両方停止","運転がそろわない")))</f>
        <v>両方停止</v>
      </c>
      <c r="AL958" s="30" t="n">
        <v>60</v>
      </c>
      <c r="AM958" s="30" t="n">
        <v>0</v>
      </c>
      <c r="AN958" s="30" t="str">
        <f aca="false">IF(OR(V958="判定不能",M958="判定不能"),"判定不能",IF(AM958&gt;=判定条件!$C$9,"利用可",IF(AND(V958="停止",M958="停止"),"両方停止","運転がそろわない")))</f>
        <v>運転がそろわない</v>
      </c>
      <c r="AO958" s="30" t="n">
        <v>60</v>
      </c>
      <c r="AP958" s="30" t="n">
        <v>0</v>
      </c>
      <c r="AQ958" s="30" t="str">
        <f aca="false">IF(OR(Y958="判定不能",G958="判定不能"),"判定不能",IF(AP958&gt;=判定条件!$C$9,"利用可",IF(AND(Y958="停止",G958="停止"),"両方停止","運転がそろわない")))</f>
        <v>両方停止</v>
      </c>
      <c r="AR958" s="30" t="n">
        <v>60</v>
      </c>
      <c r="AS958" s="30" t="n">
        <v>0</v>
      </c>
      <c r="AT958" s="30" t="str">
        <f aca="false">IF(OR(AB958="判定不能",J958="判定不能"),"判定不能",IF(AS958&gt;=判定条件!$C$9,"利用可",IF(AND(AB958="停止",J958="停止"),"両方停止","運転がそろわない")))</f>
        <v>両方停止</v>
      </c>
      <c r="AU958" s="30" t="n">
        <v>60</v>
      </c>
      <c r="AV958" s="30" t="n">
        <v>0</v>
      </c>
      <c r="AW958" s="30" t="str">
        <f aca="false">IF(OR(AE958="判定不能",M958="判定不能"),"判定不能",IF(AV958&gt;=判定条件!$C$9,"利用可",IF(AND(AE958="停止",M958="停止"),"両方停止","運転がそろわない")))</f>
        <v>運転がそろわない</v>
      </c>
      <c r="AX958" s="30" t="str">
        <f aca="false">IF(AND(AH958="利用可",AK958="利用可",AN958="利用可"),"利用可","不可")</f>
        <v>不可</v>
      </c>
      <c r="AY958" s="30" t="str">
        <f aca="false">IF(AND(AQ958="利用可",AT958="利用可",AW958="利用可"),"利用可","不可")</f>
        <v>不可</v>
      </c>
    </row>
    <row r="959" customFormat="false" ht="15" hidden="false" customHeight="false" outlineLevel="0" collapsed="false">
      <c r="A959" s="29" t="n">
        <v>46271</v>
      </c>
      <c r="B959" s="30" t="n">
        <v>20</v>
      </c>
      <c r="C959" s="31" t="s">
        <v>65</v>
      </c>
      <c r="D959" s="31" t="s">
        <v>64</v>
      </c>
      <c r="E959" s="30" t="n">
        <v>60</v>
      </c>
      <c r="F959" s="30" t="n">
        <v>0</v>
      </c>
      <c r="G959" s="30" t="str">
        <f aca="false">IF(E959&lt;判定条件!$C$6,"判定不能",IF(F959&gt;=判定条件!$C$7*E959,"運転",IF(F959&lt;=判定条件!$C$8*E959,"停止","断続")))</f>
        <v>停止</v>
      </c>
      <c r="H959" s="30" t="n">
        <v>60</v>
      </c>
      <c r="I959" s="30" t="n">
        <v>15</v>
      </c>
      <c r="J959" s="30" t="str">
        <f aca="false">IF(H959&lt;判定条件!$C$6,"判定不能",IF(I959&gt;=判定条件!$C$7*H959,"運転",IF(I959&lt;=判定条件!$C$8*H959,"停止","断続")))</f>
        <v>断続</v>
      </c>
      <c r="K959" s="30" t="n">
        <v>60</v>
      </c>
      <c r="L959" s="30" t="n">
        <v>60</v>
      </c>
      <c r="M959" s="30" t="str">
        <f aca="false">IF(K959&lt;判定条件!$C$6,"判定不能",IF(L959&gt;=判定条件!$C$7*K959,"運転",IF(L959&lt;=判定条件!$C$8*K959,"停止","断続")))</f>
        <v>運転</v>
      </c>
      <c r="N959" s="30" t="n">
        <v>60</v>
      </c>
      <c r="O959" s="30" t="n">
        <v>0</v>
      </c>
      <c r="P959" s="30" t="str">
        <f aca="false">IF(N959&lt;判定条件!$C$6,"判定不能",IF(O959&gt;=判定条件!$C$7*N959,"運転",IF(O959&lt;=判定条件!$C$8*N959,"停止","断続")))</f>
        <v>停止</v>
      </c>
      <c r="Q959" s="30" t="n">
        <v>60</v>
      </c>
      <c r="R959" s="30" t="n">
        <v>0</v>
      </c>
      <c r="S959" s="30" t="str">
        <f aca="false">IF(Q959&lt;判定条件!$C$6,"判定不能",IF(R959&gt;=判定条件!$C$7*Q959,"運転",IF(R959&lt;=判定条件!$C$8*Q959,"停止","断続")))</f>
        <v>停止</v>
      </c>
      <c r="T959" s="30" t="n">
        <v>60</v>
      </c>
      <c r="U959" s="30" t="n">
        <v>0</v>
      </c>
      <c r="V959" s="30" t="str">
        <f aca="false">IF(T959&lt;判定条件!$C$6,"判定不能",IF(U959&gt;=判定条件!$C$7*T959,"運転",IF(U959&lt;=判定条件!$C$8*T959,"停止","断続")))</f>
        <v>停止</v>
      </c>
      <c r="W959" s="30" t="n">
        <v>60</v>
      </c>
      <c r="X959" s="30" t="n">
        <v>0</v>
      </c>
      <c r="Y959" s="30" t="str">
        <f aca="false">IF(W959&lt;判定条件!$C$6,"判定不能",IF(X959&gt;=判定条件!$C$7*W959,"運転",IF(X959&lt;=判定条件!$C$8*W959,"停止","断続")))</f>
        <v>停止</v>
      </c>
      <c r="Z959" s="30" t="n">
        <v>60</v>
      </c>
      <c r="AA959" s="30" t="n">
        <v>0</v>
      </c>
      <c r="AB959" s="30" t="str">
        <f aca="false">IF(Z959&lt;判定条件!$C$6,"判定不能",IF(AA959&gt;=判定条件!$C$7*Z959,"運転",IF(AA959&lt;=判定条件!$C$8*Z959,"停止","断続")))</f>
        <v>停止</v>
      </c>
      <c r="AC959" s="30" t="n">
        <v>60</v>
      </c>
      <c r="AD959" s="30" t="n">
        <v>0</v>
      </c>
      <c r="AE959" s="30" t="str">
        <f aca="false">IF(AC959&lt;判定条件!$C$6,"判定不能",IF(AD959&gt;=判定条件!$C$7*AC959,"運転",IF(AD959&lt;=判定条件!$C$8*AC959,"停止","断続")))</f>
        <v>停止</v>
      </c>
      <c r="AF959" s="30" t="n">
        <v>60</v>
      </c>
      <c r="AG959" s="30" t="n">
        <v>0</v>
      </c>
      <c r="AH959" s="30" t="str">
        <f aca="false">IF(OR(P959="判定不能",G959="判定不能"),"判定不能",IF(AG959&gt;=判定条件!$C$9,"利用可",IF(AND(P959="停止",G959="停止"),"両方停止","運転がそろわない")))</f>
        <v>両方停止</v>
      </c>
      <c r="AI959" s="30" t="n">
        <v>60</v>
      </c>
      <c r="AJ959" s="30" t="n">
        <v>0</v>
      </c>
      <c r="AK959" s="30" t="str">
        <f aca="false">IF(OR(S959="判定不能",J959="判定不能"),"判定不能",IF(AJ959&gt;=判定条件!$C$9,"利用可",IF(AND(S959="停止",J959="停止"),"両方停止","運転がそろわない")))</f>
        <v>運転がそろわない</v>
      </c>
      <c r="AL959" s="30" t="n">
        <v>60</v>
      </c>
      <c r="AM959" s="30" t="n">
        <v>0</v>
      </c>
      <c r="AN959" s="30" t="str">
        <f aca="false">IF(OR(V959="判定不能",M959="判定不能"),"判定不能",IF(AM959&gt;=判定条件!$C$9,"利用可",IF(AND(V959="停止",M959="停止"),"両方停止","運転がそろわない")))</f>
        <v>運転がそろわない</v>
      </c>
      <c r="AO959" s="30" t="n">
        <v>60</v>
      </c>
      <c r="AP959" s="30" t="n">
        <v>0</v>
      </c>
      <c r="AQ959" s="30" t="str">
        <f aca="false">IF(OR(Y959="判定不能",G959="判定不能"),"判定不能",IF(AP959&gt;=判定条件!$C$9,"利用可",IF(AND(Y959="停止",G959="停止"),"両方停止","運転がそろわない")))</f>
        <v>両方停止</v>
      </c>
      <c r="AR959" s="30" t="n">
        <v>60</v>
      </c>
      <c r="AS959" s="30" t="n">
        <v>0</v>
      </c>
      <c r="AT959" s="30" t="str">
        <f aca="false">IF(OR(AB959="判定不能",J959="判定不能"),"判定不能",IF(AS959&gt;=判定条件!$C$9,"利用可",IF(AND(AB959="停止",J959="停止"),"両方停止","運転がそろわない")))</f>
        <v>運転がそろわない</v>
      </c>
      <c r="AU959" s="30" t="n">
        <v>60</v>
      </c>
      <c r="AV959" s="30" t="n">
        <v>0</v>
      </c>
      <c r="AW959" s="30" t="str">
        <f aca="false">IF(OR(AE959="判定不能",M959="判定不能"),"判定不能",IF(AV959&gt;=判定条件!$C$9,"利用可",IF(AND(AE959="停止",M959="停止"),"両方停止","運転がそろわない")))</f>
        <v>運転がそろわない</v>
      </c>
      <c r="AX959" s="30" t="str">
        <f aca="false">IF(AND(AH959="利用可",AK959="利用可",AN959="利用可"),"利用可","不可")</f>
        <v>不可</v>
      </c>
      <c r="AY959" s="30" t="str">
        <f aca="false">IF(AND(AQ959="利用可",AT959="利用可",AW959="利用可"),"利用可","不可")</f>
        <v>不可</v>
      </c>
    </row>
    <row r="960" customFormat="false" ht="15" hidden="false" customHeight="false" outlineLevel="0" collapsed="false">
      <c r="A960" s="29" t="n">
        <v>46271</v>
      </c>
      <c r="B960" s="30" t="n">
        <v>21</v>
      </c>
      <c r="C960" s="31" t="s">
        <v>65</v>
      </c>
      <c r="D960" s="31" t="s">
        <v>64</v>
      </c>
      <c r="E960" s="30" t="n">
        <v>60</v>
      </c>
      <c r="F960" s="30" t="n">
        <v>0</v>
      </c>
      <c r="G960" s="30" t="str">
        <f aca="false">IF(E960&lt;判定条件!$C$6,"判定不能",IF(F960&gt;=判定条件!$C$7*E960,"運転",IF(F960&lt;=判定条件!$C$8*E960,"停止","断続")))</f>
        <v>停止</v>
      </c>
      <c r="H960" s="30" t="n">
        <v>60</v>
      </c>
      <c r="I960" s="30" t="n">
        <v>0</v>
      </c>
      <c r="J960" s="30" t="str">
        <f aca="false">IF(H960&lt;判定条件!$C$6,"判定不能",IF(I960&gt;=判定条件!$C$7*H960,"運転",IF(I960&lt;=判定条件!$C$8*H960,"停止","断続")))</f>
        <v>停止</v>
      </c>
      <c r="K960" s="30" t="n">
        <v>60</v>
      </c>
      <c r="L960" s="30" t="n">
        <v>60</v>
      </c>
      <c r="M960" s="30" t="str">
        <f aca="false">IF(K960&lt;判定条件!$C$6,"判定不能",IF(L960&gt;=判定条件!$C$7*K960,"運転",IF(L960&lt;=判定条件!$C$8*K960,"停止","断続")))</f>
        <v>運転</v>
      </c>
      <c r="N960" s="30" t="n">
        <v>60</v>
      </c>
      <c r="O960" s="30" t="n">
        <v>0</v>
      </c>
      <c r="P960" s="30" t="str">
        <f aca="false">IF(N960&lt;判定条件!$C$6,"判定不能",IF(O960&gt;=判定条件!$C$7*N960,"運転",IF(O960&lt;=判定条件!$C$8*N960,"停止","断続")))</f>
        <v>停止</v>
      </c>
      <c r="Q960" s="30" t="n">
        <v>60</v>
      </c>
      <c r="R960" s="30" t="n">
        <v>0</v>
      </c>
      <c r="S960" s="30" t="str">
        <f aca="false">IF(Q960&lt;判定条件!$C$6,"判定不能",IF(R960&gt;=判定条件!$C$7*Q960,"運転",IF(R960&lt;=判定条件!$C$8*Q960,"停止","断続")))</f>
        <v>停止</v>
      </c>
      <c r="T960" s="30" t="n">
        <v>60</v>
      </c>
      <c r="U960" s="30" t="n">
        <v>0</v>
      </c>
      <c r="V960" s="30" t="str">
        <f aca="false">IF(T960&lt;判定条件!$C$6,"判定不能",IF(U960&gt;=判定条件!$C$7*T960,"運転",IF(U960&lt;=判定条件!$C$8*T960,"停止","断続")))</f>
        <v>停止</v>
      </c>
      <c r="W960" s="30" t="n">
        <v>60</v>
      </c>
      <c r="X960" s="30" t="n">
        <v>0</v>
      </c>
      <c r="Y960" s="30" t="str">
        <f aca="false">IF(W960&lt;判定条件!$C$6,"判定不能",IF(X960&gt;=判定条件!$C$7*W960,"運転",IF(X960&lt;=判定条件!$C$8*W960,"停止","断続")))</f>
        <v>停止</v>
      </c>
      <c r="Z960" s="30" t="n">
        <v>60</v>
      </c>
      <c r="AA960" s="30" t="n">
        <v>0</v>
      </c>
      <c r="AB960" s="30" t="str">
        <f aca="false">IF(Z960&lt;判定条件!$C$6,"判定不能",IF(AA960&gt;=判定条件!$C$7*Z960,"運転",IF(AA960&lt;=判定条件!$C$8*Z960,"停止","断続")))</f>
        <v>停止</v>
      </c>
      <c r="AC960" s="30" t="n">
        <v>60</v>
      </c>
      <c r="AD960" s="30" t="n">
        <v>0</v>
      </c>
      <c r="AE960" s="30" t="str">
        <f aca="false">IF(AC960&lt;判定条件!$C$6,"判定不能",IF(AD960&gt;=判定条件!$C$7*AC960,"運転",IF(AD960&lt;=判定条件!$C$8*AC960,"停止","断続")))</f>
        <v>停止</v>
      </c>
      <c r="AF960" s="30" t="n">
        <v>60</v>
      </c>
      <c r="AG960" s="30" t="n">
        <v>0</v>
      </c>
      <c r="AH960" s="30" t="str">
        <f aca="false">IF(OR(P960="判定不能",G960="判定不能"),"判定不能",IF(AG960&gt;=判定条件!$C$9,"利用可",IF(AND(P960="停止",G960="停止"),"両方停止","運転がそろわない")))</f>
        <v>両方停止</v>
      </c>
      <c r="AI960" s="30" t="n">
        <v>60</v>
      </c>
      <c r="AJ960" s="30" t="n">
        <v>0</v>
      </c>
      <c r="AK960" s="30" t="str">
        <f aca="false">IF(OR(S960="判定不能",J960="判定不能"),"判定不能",IF(AJ960&gt;=判定条件!$C$9,"利用可",IF(AND(S960="停止",J960="停止"),"両方停止","運転がそろわない")))</f>
        <v>両方停止</v>
      </c>
      <c r="AL960" s="30" t="n">
        <v>60</v>
      </c>
      <c r="AM960" s="30" t="n">
        <v>0</v>
      </c>
      <c r="AN960" s="30" t="str">
        <f aca="false">IF(OR(V960="判定不能",M960="判定不能"),"判定不能",IF(AM960&gt;=判定条件!$C$9,"利用可",IF(AND(V960="停止",M960="停止"),"両方停止","運転がそろわない")))</f>
        <v>運転がそろわない</v>
      </c>
      <c r="AO960" s="30" t="n">
        <v>60</v>
      </c>
      <c r="AP960" s="30" t="n">
        <v>0</v>
      </c>
      <c r="AQ960" s="30" t="str">
        <f aca="false">IF(OR(Y960="判定不能",G960="判定不能"),"判定不能",IF(AP960&gt;=判定条件!$C$9,"利用可",IF(AND(Y960="停止",G960="停止"),"両方停止","運転がそろわない")))</f>
        <v>両方停止</v>
      </c>
      <c r="AR960" s="30" t="n">
        <v>60</v>
      </c>
      <c r="AS960" s="30" t="n">
        <v>0</v>
      </c>
      <c r="AT960" s="30" t="str">
        <f aca="false">IF(OR(AB960="判定不能",J960="判定不能"),"判定不能",IF(AS960&gt;=判定条件!$C$9,"利用可",IF(AND(AB960="停止",J960="停止"),"両方停止","運転がそろわない")))</f>
        <v>両方停止</v>
      </c>
      <c r="AU960" s="30" t="n">
        <v>60</v>
      </c>
      <c r="AV960" s="30" t="n">
        <v>0</v>
      </c>
      <c r="AW960" s="30" t="str">
        <f aca="false">IF(OR(AE960="判定不能",M960="判定不能"),"判定不能",IF(AV960&gt;=判定条件!$C$9,"利用可",IF(AND(AE960="停止",M960="停止"),"両方停止","運転がそろわない")))</f>
        <v>運転がそろわない</v>
      </c>
      <c r="AX960" s="30" t="str">
        <f aca="false">IF(AND(AH960="利用可",AK960="利用可",AN960="利用可"),"利用可","不可")</f>
        <v>不可</v>
      </c>
      <c r="AY960" s="30" t="str">
        <f aca="false">IF(AND(AQ960="利用可",AT960="利用可",AW960="利用可"),"利用可","不可")</f>
        <v>不可</v>
      </c>
    </row>
    <row r="961" customFormat="false" ht="15" hidden="false" customHeight="false" outlineLevel="0" collapsed="false">
      <c r="A961" s="29" t="n">
        <v>46271</v>
      </c>
      <c r="B961" s="30" t="n">
        <v>22</v>
      </c>
      <c r="C961" s="31" t="s">
        <v>65</v>
      </c>
      <c r="D961" s="31" t="s">
        <v>64</v>
      </c>
      <c r="E961" s="30" t="n">
        <v>60</v>
      </c>
      <c r="F961" s="30" t="n">
        <v>0</v>
      </c>
      <c r="G961" s="30" t="str">
        <f aca="false">IF(E961&lt;判定条件!$C$6,"判定不能",IF(F961&gt;=判定条件!$C$7*E961,"運転",IF(F961&lt;=判定条件!$C$8*E961,"停止","断続")))</f>
        <v>停止</v>
      </c>
      <c r="H961" s="30" t="n">
        <v>60</v>
      </c>
      <c r="I961" s="30" t="n">
        <v>0</v>
      </c>
      <c r="J961" s="30" t="str">
        <f aca="false">IF(H961&lt;判定条件!$C$6,"判定不能",IF(I961&gt;=判定条件!$C$7*H961,"運転",IF(I961&lt;=判定条件!$C$8*H961,"停止","断続")))</f>
        <v>停止</v>
      </c>
      <c r="K961" s="30" t="n">
        <v>60</v>
      </c>
      <c r="L961" s="30" t="n">
        <v>60</v>
      </c>
      <c r="M961" s="30" t="str">
        <f aca="false">IF(K961&lt;判定条件!$C$6,"判定不能",IF(L961&gt;=判定条件!$C$7*K961,"運転",IF(L961&lt;=判定条件!$C$8*K961,"停止","断続")))</f>
        <v>運転</v>
      </c>
      <c r="N961" s="30" t="n">
        <v>60</v>
      </c>
      <c r="O961" s="30" t="n">
        <v>0</v>
      </c>
      <c r="P961" s="30" t="str">
        <f aca="false">IF(N961&lt;判定条件!$C$6,"判定不能",IF(O961&gt;=判定条件!$C$7*N961,"運転",IF(O961&lt;=判定条件!$C$8*N961,"停止","断続")))</f>
        <v>停止</v>
      </c>
      <c r="Q961" s="30" t="n">
        <v>60</v>
      </c>
      <c r="R961" s="30" t="n">
        <v>0</v>
      </c>
      <c r="S961" s="30" t="str">
        <f aca="false">IF(Q961&lt;判定条件!$C$6,"判定不能",IF(R961&gt;=判定条件!$C$7*Q961,"運転",IF(R961&lt;=判定条件!$C$8*Q961,"停止","断続")))</f>
        <v>停止</v>
      </c>
      <c r="T961" s="30" t="n">
        <v>60</v>
      </c>
      <c r="U961" s="30" t="n">
        <v>0</v>
      </c>
      <c r="V961" s="30" t="str">
        <f aca="false">IF(T961&lt;判定条件!$C$6,"判定不能",IF(U961&gt;=判定条件!$C$7*T961,"運転",IF(U961&lt;=判定条件!$C$8*T961,"停止","断続")))</f>
        <v>停止</v>
      </c>
      <c r="W961" s="30" t="n">
        <v>60</v>
      </c>
      <c r="X961" s="30" t="n">
        <v>0</v>
      </c>
      <c r="Y961" s="30" t="str">
        <f aca="false">IF(W961&lt;判定条件!$C$6,"判定不能",IF(X961&gt;=判定条件!$C$7*W961,"運転",IF(X961&lt;=判定条件!$C$8*W961,"停止","断続")))</f>
        <v>停止</v>
      </c>
      <c r="Z961" s="30" t="n">
        <v>60</v>
      </c>
      <c r="AA961" s="30" t="n">
        <v>0</v>
      </c>
      <c r="AB961" s="30" t="str">
        <f aca="false">IF(Z961&lt;判定条件!$C$6,"判定不能",IF(AA961&gt;=判定条件!$C$7*Z961,"運転",IF(AA961&lt;=判定条件!$C$8*Z961,"停止","断続")))</f>
        <v>停止</v>
      </c>
      <c r="AC961" s="30" t="n">
        <v>60</v>
      </c>
      <c r="AD961" s="30" t="n">
        <v>0</v>
      </c>
      <c r="AE961" s="30" t="str">
        <f aca="false">IF(AC961&lt;判定条件!$C$6,"判定不能",IF(AD961&gt;=判定条件!$C$7*AC961,"運転",IF(AD961&lt;=判定条件!$C$8*AC961,"停止","断続")))</f>
        <v>停止</v>
      </c>
      <c r="AF961" s="30" t="n">
        <v>60</v>
      </c>
      <c r="AG961" s="30" t="n">
        <v>0</v>
      </c>
      <c r="AH961" s="30" t="str">
        <f aca="false">IF(OR(P961="判定不能",G961="判定不能"),"判定不能",IF(AG961&gt;=判定条件!$C$9,"利用可",IF(AND(P961="停止",G961="停止"),"両方停止","運転がそろわない")))</f>
        <v>両方停止</v>
      </c>
      <c r="AI961" s="30" t="n">
        <v>60</v>
      </c>
      <c r="AJ961" s="30" t="n">
        <v>0</v>
      </c>
      <c r="AK961" s="30" t="str">
        <f aca="false">IF(OR(S961="判定不能",J961="判定不能"),"判定不能",IF(AJ961&gt;=判定条件!$C$9,"利用可",IF(AND(S961="停止",J961="停止"),"両方停止","運転がそろわない")))</f>
        <v>両方停止</v>
      </c>
      <c r="AL961" s="30" t="n">
        <v>60</v>
      </c>
      <c r="AM961" s="30" t="n">
        <v>0</v>
      </c>
      <c r="AN961" s="30" t="str">
        <f aca="false">IF(OR(V961="判定不能",M961="判定不能"),"判定不能",IF(AM961&gt;=判定条件!$C$9,"利用可",IF(AND(V961="停止",M961="停止"),"両方停止","運転がそろわない")))</f>
        <v>運転がそろわない</v>
      </c>
      <c r="AO961" s="30" t="n">
        <v>60</v>
      </c>
      <c r="AP961" s="30" t="n">
        <v>0</v>
      </c>
      <c r="AQ961" s="30" t="str">
        <f aca="false">IF(OR(Y961="判定不能",G961="判定不能"),"判定不能",IF(AP961&gt;=判定条件!$C$9,"利用可",IF(AND(Y961="停止",G961="停止"),"両方停止","運転がそろわない")))</f>
        <v>両方停止</v>
      </c>
      <c r="AR961" s="30" t="n">
        <v>60</v>
      </c>
      <c r="AS961" s="30" t="n">
        <v>0</v>
      </c>
      <c r="AT961" s="30" t="str">
        <f aca="false">IF(OR(AB961="判定不能",J961="判定不能"),"判定不能",IF(AS961&gt;=判定条件!$C$9,"利用可",IF(AND(AB961="停止",J961="停止"),"両方停止","運転がそろわない")))</f>
        <v>両方停止</v>
      </c>
      <c r="AU961" s="30" t="n">
        <v>60</v>
      </c>
      <c r="AV961" s="30" t="n">
        <v>0</v>
      </c>
      <c r="AW961" s="30" t="str">
        <f aca="false">IF(OR(AE961="判定不能",M961="判定不能"),"判定不能",IF(AV961&gt;=判定条件!$C$9,"利用可",IF(AND(AE961="停止",M961="停止"),"両方停止","運転がそろわない")))</f>
        <v>運転がそろわない</v>
      </c>
      <c r="AX961" s="30" t="str">
        <f aca="false">IF(AND(AH961="利用可",AK961="利用可",AN961="利用可"),"利用可","不可")</f>
        <v>不可</v>
      </c>
      <c r="AY961" s="30" t="str">
        <f aca="false">IF(AND(AQ961="利用可",AT961="利用可",AW961="利用可"),"利用可","不可")</f>
        <v>不可</v>
      </c>
    </row>
    <row r="962" customFormat="false" ht="15" hidden="false" customHeight="false" outlineLevel="0" collapsed="false">
      <c r="A962" s="29" t="n">
        <v>46271</v>
      </c>
      <c r="B962" s="30" t="n">
        <v>23</v>
      </c>
      <c r="C962" s="31" t="s">
        <v>65</v>
      </c>
      <c r="D962" s="31" t="s">
        <v>64</v>
      </c>
      <c r="E962" s="30" t="n">
        <v>60</v>
      </c>
      <c r="F962" s="30" t="n">
        <v>0</v>
      </c>
      <c r="G962" s="30" t="str">
        <f aca="false">IF(E962&lt;判定条件!$C$6,"判定不能",IF(F962&gt;=判定条件!$C$7*E962,"運転",IF(F962&lt;=判定条件!$C$8*E962,"停止","断続")))</f>
        <v>停止</v>
      </c>
      <c r="H962" s="30" t="n">
        <v>60</v>
      </c>
      <c r="I962" s="30" t="n">
        <v>0</v>
      </c>
      <c r="J962" s="30" t="str">
        <f aca="false">IF(H962&lt;判定条件!$C$6,"判定不能",IF(I962&gt;=判定条件!$C$7*H962,"運転",IF(I962&lt;=判定条件!$C$8*H962,"停止","断続")))</f>
        <v>停止</v>
      </c>
      <c r="K962" s="30" t="n">
        <v>60</v>
      </c>
      <c r="L962" s="30" t="n">
        <v>60</v>
      </c>
      <c r="M962" s="30" t="str">
        <f aca="false">IF(K962&lt;判定条件!$C$6,"判定不能",IF(L962&gt;=判定条件!$C$7*K962,"運転",IF(L962&lt;=判定条件!$C$8*K962,"停止","断続")))</f>
        <v>運転</v>
      </c>
      <c r="N962" s="30" t="n">
        <v>60</v>
      </c>
      <c r="O962" s="30" t="n">
        <v>0</v>
      </c>
      <c r="P962" s="30" t="str">
        <f aca="false">IF(N962&lt;判定条件!$C$6,"判定不能",IF(O962&gt;=判定条件!$C$7*N962,"運転",IF(O962&lt;=判定条件!$C$8*N962,"停止","断続")))</f>
        <v>停止</v>
      </c>
      <c r="Q962" s="30" t="n">
        <v>60</v>
      </c>
      <c r="R962" s="30" t="n">
        <v>0</v>
      </c>
      <c r="S962" s="30" t="str">
        <f aca="false">IF(Q962&lt;判定条件!$C$6,"判定不能",IF(R962&gt;=判定条件!$C$7*Q962,"運転",IF(R962&lt;=判定条件!$C$8*Q962,"停止","断続")))</f>
        <v>停止</v>
      </c>
      <c r="T962" s="30" t="n">
        <v>60</v>
      </c>
      <c r="U962" s="30" t="n">
        <v>0</v>
      </c>
      <c r="V962" s="30" t="str">
        <f aca="false">IF(T962&lt;判定条件!$C$6,"判定不能",IF(U962&gt;=判定条件!$C$7*T962,"運転",IF(U962&lt;=判定条件!$C$8*T962,"停止","断続")))</f>
        <v>停止</v>
      </c>
      <c r="W962" s="30" t="n">
        <v>60</v>
      </c>
      <c r="X962" s="30" t="n">
        <v>0</v>
      </c>
      <c r="Y962" s="30" t="str">
        <f aca="false">IF(W962&lt;判定条件!$C$6,"判定不能",IF(X962&gt;=判定条件!$C$7*W962,"運転",IF(X962&lt;=判定条件!$C$8*W962,"停止","断続")))</f>
        <v>停止</v>
      </c>
      <c r="Z962" s="30" t="n">
        <v>60</v>
      </c>
      <c r="AA962" s="30" t="n">
        <v>0</v>
      </c>
      <c r="AB962" s="30" t="str">
        <f aca="false">IF(Z962&lt;判定条件!$C$6,"判定不能",IF(AA962&gt;=判定条件!$C$7*Z962,"運転",IF(AA962&lt;=判定条件!$C$8*Z962,"停止","断続")))</f>
        <v>停止</v>
      </c>
      <c r="AC962" s="30" t="n">
        <v>60</v>
      </c>
      <c r="AD962" s="30" t="n">
        <v>0</v>
      </c>
      <c r="AE962" s="30" t="str">
        <f aca="false">IF(AC962&lt;判定条件!$C$6,"判定不能",IF(AD962&gt;=判定条件!$C$7*AC962,"運転",IF(AD962&lt;=判定条件!$C$8*AC962,"停止","断続")))</f>
        <v>停止</v>
      </c>
      <c r="AF962" s="30" t="n">
        <v>60</v>
      </c>
      <c r="AG962" s="30" t="n">
        <v>0</v>
      </c>
      <c r="AH962" s="30" t="str">
        <f aca="false">IF(OR(P962="判定不能",G962="判定不能"),"判定不能",IF(AG962&gt;=判定条件!$C$9,"利用可",IF(AND(P962="停止",G962="停止"),"両方停止","運転がそろわない")))</f>
        <v>両方停止</v>
      </c>
      <c r="AI962" s="30" t="n">
        <v>60</v>
      </c>
      <c r="AJ962" s="30" t="n">
        <v>0</v>
      </c>
      <c r="AK962" s="30" t="str">
        <f aca="false">IF(OR(S962="判定不能",J962="判定不能"),"判定不能",IF(AJ962&gt;=判定条件!$C$9,"利用可",IF(AND(S962="停止",J962="停止"),"両方停止","運転がそろわない")))</f>
        <v>両方停止</v>
      </c>
      <c r="AL962" s="30" t="n">
        <v>60</v>
      </c>
      <c r="AM962" s="30" t="n">
        <v>0</v>
      </c>
      <c r="AN962" s="30" t="str">
        <f aca="false">IF(OR(V962="判定不能",M962="判定不能"),"判定不能",IF(AM962&gt;=判定条件!$C$9,"利用可",IF(AND(V962="停止",M962="停止"),"両方停止","運転がそろわない")))</f>
        <v>運転がそろわない</v>
      </c>
      <c r="AO962" s="30" t="n">
        <v>60</v>
      </c>
      <c r="AP962" s="30" t="n">
        <v>0</v>
      </c>
      <c r="AQ962" s="30" t="str">
        <f aca="false">IF(OR(Y962="判定不能",G962="判定不能"),"判定不能",IF(AP962&gt;=判定条件!$C$9,"利用可",IF(AND(Y962="停止",G962="停止"),"両方停止","運転がそろわない")))</f>
        <v>両方停止</v>
      </c>
      <c r="AR962" s="30" t="n">
        <v>60</v>
      </c>
      <c r="AS962" s="30" t="n">
        <v>0</v>
      </c>
      <c r="AT962" s="30" t="str">
        <f aca="false">IF(OR(AB962="判定不能",J962="判定不能"),"判定不能",IF(AS962&gt;=判定条件!$C$9,"利用可",IF(AND(AB962="停止",J962="停止"),"両方停止","運転がそろわない")))</f>
        <v>両方停止</v>
      </c>
      <c r="AU962" s="30" t="n">
        <v>60</v>
      </c>
      <c r="AV962" s="30" t="n">
        <v>0</v>
      </c>
      <c r="AW962" s="30" t="str">
        <f aca="false">IF(OR(AE962="判定不能",M962="判定不能"),"判定不能",IF(AV962&gt;=判定条件!$C$9,"利用可",IF(AND(AE962="停止",M962="停止"),"両方停止","運転がそろわない")))</f>
        <v>運転がそろわない</v>
      </c>
      <c r="AX962" s="30" t="str">
        <f aca="false">IF(AND(AH962="利用可",AK962="利用可",AN962="利用可"),"利用可","不可")</f>
        <v>不可</v>
      </c>
      <c r="AY962" s="30" t="str">
        <f aca="false">IF(AND(AQ962="利用可",AT962="利用可",AW962="利用可"),"利用可","不可")</f>
        <v>不可</v>
      </c>
    </row>
    <row r="963" customFormat="false" ht="15" hidden="false" customHeight="false" outlineLevel="0" collapsed="false">
      <c r="A963" s="29" t="n">
        <v>46272</v>
      </c>
      <c r="B963" s="30" t="n">
        <v>0</v>
      </c>
      <c r="C963" s="31" t="s">
        <v>66</v>
      </c>
      <c r="D963" s="31" t="s">
        <v>59</v>
      </c>
      <c r="E963" s="30" t="n">
        <v>60</v>
      </c>
      <c r="F963" s="30" t="n">
        <v>0</v>
      </c>
      <c r="G963" s="30" t="str">
        <f aca="false">IF(E963&lt;判定条件!$C$6,"判定不能",IF(F963&gt;=判定条件!$C$7*E963,"運転",IF(F963&lt;=判定条件!$C$8*E963,"停止","断続")))</f>
        <v>停止</v>
      </c>
      <c r="H963" s="30" t="n">
        <v>60</v>
      </c>
      <c r="I963" s="30" t="n">
        <v>0</v>
      </c>
      <c r="J963" s="30" t="str">
        <f aca="false">IF(H963&lt;判定条件!$C$6,"判定不能",IF(I963&gt;=判定条件!$C$7*H963,"運転",IF(I963&lt;=判定条件!$C$8*H963,"停止","断続")))</f>
        <v>停止</v>
      </c>
      <c r="K963" s="30" t="n">
        <v>60</v>
      </c>
      <c r="L963" s="30" t="n">
        <v>60</v>
      </c>
      <c r="M963" s="30" t="str">
        <f aca="false">IF(K963&lt;判定条件!$C$6,"判定不能",IF(L963&gt;=判定条件!$C$7*K963,"運転",IF(L963&lt;=判定条件!$C$8*K963,"停止","断続")))</f>
        <v>運転</v>
      </c>
      <c r="N963" s="30" t="n">
        <v>60</v>
      </c>
      <c r="O963" s="30" t="n">
        <v>0</v>
      </c>
      <c r="P963" s="30" t="str">
        <f aca="false">IF(N963&lt;判定条件!$C$6,"判定不能",IF(O963&gt;=判定条件!$C$7*N963,"運転",IF(O963&lt;=判定条件!$C$8*N963,"停止","断続")))</f>
        <v>停止</v>
      </c>
      <c r="Q963" s="30" t="n">
        <v>60</v>
      </c>
      <c r="R963" s="30" t="n">
        <v>0</v>
      </c>
      <c r="S963" s="30" t="str">
        <f aca="false">IF(Q963&lt;判定条件!$C$6,"判定不能",IF(R963&gt;=判定条件!$C$7*Q963,"運転",IF(R963&lt;=判定条件!$C$8*Q963,"停止","断続")))</f>
        <v>停止</v>
      </c>
      <c r="T963" s="30" t="n">
        <v>60</v>
      </c>
      <c r="U963" s="30" t="n">
        <v>0</v>
      </c>
      <c r="V963" s="30" t="str">
        <f aca="false">IF(T963&lt;判定条件!$C$6,"判定不能",IF(U963&gt;=判定条件!$C$7*T963,"運転",IF(U963&lt;=判定条件!$C$8*T963,"停止","断続")))</f>
        <v>停止</v>
      </c>
      <c r="W963" s="30" t="n">
        <v>60</v>
      </c>
      <c r="X963" s="30" t="n">
        <v>0</v>
      </c>
      <c r="Y963" s="30" t="str">
        <f aca="false">IF(W963&lt;判定条件!$C$6,"判定不能",IF(X963&gt;=判定条件!$C$7*W963,"運転",IF(X963&lt;=判定条件!$C$8*W963,"停止","断続")))</f>
        <v>停止</v>
      </c>
      <c r="Z963" s="30" t="n">
        <v>60</v>
      </c>
      <c r="AA963" s="30" t="n">
        <v>0</v>
      </c>
      <c r="AB963" s="30" t="str">
        <f aca="false">IF(Z963&lt;判定条件!$C$6,"判定不能",IF(AA963&gt;=判定条件!$C$7*Z963,"運転",IF(AA963&lt;=判定条件!$C$8*Z963,"停止","断続")))</f>
        <v>停止</v>
      </c>
      <c r="AC963" s="30" t="n">
        <v>60</v>
      </c>
      <c r="AD963" s="30" t="n">
        <v>0</v>
      </c>
      <c r="AE963" s="30" t="str">
        <f aca="false">IF(AC963&lt;判定条件!$C$6,"判定不能",IF(AD963&gt;=判定条件!$C$7*AC963,"運転",IF(AD963&lt;=判定条件!$C$8*AC963,"停止","断続")))</f>
        <v>停止</v>
      </c>
      <c r="AF963" s="30" t="n">
        <v>60</v>
      </c>
      <c r="AG963" s="30" t="n">
        <v>0</v>
      </c>
      <c r="AH963" s="30" t="str">
        <f aca="false">IF(OR(P963="判定不能",G963="判定不能"),"判定不能",IF(AG963&gt;=判定条件!$C$9,"利用可",IF(AND(P963="停止",G963="停止"),"両方停止","運転がそろわない")))</f>
        <v>両方停止</v>
      </c>
      <c r="AI963" s="30" t="n">
        <v>60</v>
      </c>
      <c r="AJ963" s="30" t="n">
        <v>0</v>
      </c>
      <c r="AK963" s="30" t="str">
        <f aca="false">IF(OR(S963="判定不能",J963="判定不能"),"判定不能",IF(AJ963&gt;=判定条件!$C$9,"利用可",IF(AND(S963="停止",J963="停止"),"両方停止","運転がそろわない")))</f>
        <v>両方停止</v>
      </c>
      <c r="AL963" s="30" t="n">
        <v>60</v>
      </c>
      <c r="AM963" s="30" t="n">
        <v>0</v>
      </c>
      <c r="AN963" s="30" t="str">
        <f aca="false">IF(OR(V963="判定不能",M963="判定不能"),"判定不能",IF(AM963&gt;=判定条件!$C$9,"利用可",IF(AND(V963="停止",M963="停止"),"両方停止","運転がそろわない")))</f>
        <v>運転がそろわない</v>
      </c>
      <c r="AO963" s="30" t="n">
        <v>60</v>
      </c>
      <c r="AP963" s="30" t="n">
        <v>0</v>
      </c>
      <c r="AQ963" s="30" t="str">
        <f aca="false">IF(OR(Y963="判定不能",G963="判定不能"),"判定不能",IF(AP963&gt;=判定条件!$C$9,"利用可",IF(AND(Y963="停止",G963="停止"),"両方停止","運転がそろわない")))</f>
        <v>両方停止</v>
      </c>
      <c r="AR963" s="30" t="n">
        <v>60</v>
      </c>
      <c r="AS963" s="30" t="n">
        <v>0</v>
      </c>
      <c r="AT963" s="30" t="str">
        <f aca="false">IF(OR(AB963="判定不能",J963="判定不能"),"判定不能",IF(AS963&gt;=判定条件!$C$9,"利用可",IF(AND(AB963="停止",J963="停止"),"両方停止","運転がそろわない")))</f>
        <v>両方停止</v>
      </c>
      <c r="AU963" s="30" t="n">
        <v>60</v>
      </c>
      <c r="AV963" s="30" t="n">
        <v>0</v>
      </c>
      <c r="AW963" s="30" t="str">
        <f aca="false">IF(OR(AE963="判定不能",M963="判定不能"),"判定不能",IF(AV963&gt;=判定条件!$C$9,"利用可",IF(AND(AE963="停止",M963="停止"),"両方停止","運転がそろわない")))</f>
        <v>運転がそろわない</v>
      </c>
      <c r="AX963" s="30" t="str">
        <f aca="false">IF(AND(AH963="利用可",AK963="利用可",AN963="利用可"),"利用可","不可")</f>
        <v>不可</v>
      </c>
      <c r="AY963" s="30" t="str">
        <f aca="false">IF(AND(AQ963="利用可",AT963="利用可",AW963="利用可"),"利用可","不可")</f>
        <v>不可</v>
      </c>
    </row>
    <row r="964" customFormat="false" ht="15" hidden="false" customHeight="false" outlineLevel="0" collapsed="false">
      <c r="A964" s="29" t="n">
        <v>46272</v>
      </c>
      <c r="B964" s="30" t="n">
        <v>1</v>
      </c>
      <c r="C964" s="31" t="s">
        <v>66</v>
      </c>
      <c r="D964" s="31" t="s">
        <v>59</v>
      </c>
      <c r="E964" s="30" t="n">
        <v>60</v>
      </c>
      <c r="F964" s="30" t="n">
        <v>0</v>
      </c>
      <c r="G964" s="30" t="str">
        <f aca="false">IF(E964&lt;判定条件!$C$6,"判定不能",IF(F964&gt;=判定条件!$C$7*E964,"運転",IF(F964&lt;=判定条件!$C$8*E964,"停止","断続")))</f>
        <v>停止</v>
      </c>
      <c r="H964" s="30" t="n">
        <v>60</v>
      </c>
      <c r="I964" s="30" t="n">
        <v>0</v>
      </c>
      <c r="J964" s="30" t="str">
        <f aca="false">IF(H964&lt;判定条件!$C$6,"判定不能",IF(I964&gt;=判定条件!$C$7*H964,"運転",IF(I964&lt;=判定条件!$C$8*H964,"停止","断続")))</f>
        <v>停止</v>
      </c>
      <c r="K964" s="30" t="n">
        <v>60</v>
      </c>
      <c r="L964" s="30" t="n">
        <v>60</v>
      </c>
      <c r="M964" s="30" t="str">
        <f aca="false">IF(K964&lt;判定条件!$C$6,"判定不能",IF(L964&gt;=判定条件!$C$7*K964,"運転",IF(L964&lt;=判定条件!$C$8*K964,"停止","断続")))</f>
        <v>運転</v>
      </c>
      <c r="N964" s="30" t="n">
        <v>60</v>
      </c>
      <c r="O964" s="30" t="n">
        <v>0</v>
      </c>
      <c r="P964" s="30" t="str">
        <f aca="false">IF(N964&lt;判定条件!$C$6,"判定不能",IF(O964&gt;=判定条件!$C$7*N964,"運転",IF(O964&lt;=判定条件!$C$8*N964,"停止","断続")))</f>
        <v>停止</v>
      </c>
      <c r="Q964" s="30" t="n">
        <v>60</v>
      </c>
      <c r="R964" s="30" t="n">
        <v>0</v>
      </c>
      <c r="S964" s="30" t="str">
        <f aca="false">IF(Q964&lt;判定条件!$C$6,"判定不能",IF(R964&gt;=判定条件!$C$7*Q964,"運転",IF(R964&lt;=判定条件!$C$8*Q964,"停止","断続")))</f>
        <v>停止</v>
      </c>
      <c r="T964" s="30" t="n">
        <v>60</v>
      </c>
      <c r="U964" s="30" t="n">
        <v>0</v>
      </c>
      <c r="V964" s="30" t="str">
        <f aca="false">IF(T964&lt;判定条件!$C$6,"判定不能",IF(U964&gt;=判定条件!$C$7*T964,"運転",IF(U964&lt;=判定条件!$C$8*T964,"停止","断続")))</f>
        <v>停止</v>
      </c>
      <c r="W964" s="30" t="n">
        <v>60</v>
      </c>
      <c r="X964" s="30" t="n">
        <v>0</v>
      </c>
      <c r="Y964" s="30" t="str">
        <f aca="false">IF(W964&lt;判定条件!$C$6,"判定不能",IF(X964&gt;=判定条件!$C$7*W964,"運転",IF(X964&lt;=判定条件!$C$8*W964,"停止","断続")))</f>
        <v>停止</v>
      </c>
      <c r="Z964" s="30" t="n">
        <v>60</v>
      </c>
      <c r="AA964" s="30" t="n">
        <v>0</v>
      </c>
      <c r="AB964" s="30" t="str">
        <f aca="false">IF(Z964&lt;判定条件!$C$6,"判定不能",IF(AA964&gt;=判定条件!$C$7*Z964,"運転",IF(AA964&lt;=判定条件!$C$8*Z964,"停止","断続")))</f>
        <v>停止</v>
      </c>
      <c r="AC964" s="30" t="n">
        <v>60</v>
      </c>
      <c r="AD964" s="30" t="n">
        <v>0</v>
      </c>
      <c r="AE964" s="30" t="str">
        <f aca="false">IF(AC964&lt;判定条件!$C$6,"判定不能",IF(AD964&gt;=判定条件!$C$7*AC964,"運転",IF(AD964&lt;=判定条件!$C$8*AC964,"停止","断続")))</f>
        <v>停止</v>
      </c>
      <c r="AF964" s="30" t="n">
        <v>60</v>
      </c>
      <c r="AG964" s="30" t="n">
        <v>0</v>
      </c>
      <c r="AH964" s="30" t="str">
        <f aca="false">IF(OR(P964="判定不能",G964="判定不能"),"判定不能",IF(AG964&gt;=判定条件!$C$9,"利用可",IF(AND(P964="停止",G964="停止"),"両方停止","運転がそろわない")))</f>
        <v>両方停止</v>
      </c>
      <c r="AI964" s="30" t="n">
        <v>60</v>
      </c>
      <c r="AJ964" s="30" t="n">
        <v>0</v>
      </c>
      <c r="AK964" s="30" t="str">
        <f aca="false">IF(OR(S964="判定不能",J964="判定不能"),"判定不能",IF(AJ964&gt;=判定条件!$C$9,"利用可",IF(AND(S964="停止",J964="停止"),"両方停止","運転がそろわない")))</f>
        <v>両方停止</v>
      </c>
      <c r="AL964" s="30" t="n">
        <v>60</v>
      </c>
      <c r="AM964" s="30" t="n">
        <v>0</v>
      </c>
      <c r="AN964" s="30" t="str">
        <f aca="false">IF(OR(V964="判定不能",M964="判定不能"),"判定不能",IF(AM964&gt;=判定条件!$C$9,"利用可",IF(AND(V964="停止",M964="停止"),"両方停止","運転がそろわない")))</f>
        <v>運転がそろわない</v>
      </c>
      <c r="AO964" s="30" t="n">
        <v>60</v>
      </c>
      <c r="AP964" s="30" t="n">
        <v>0</v>
      </c>
      <c r="AQ964" s="30" t="str">
        <f aca="false">IF(OR(Y964="判定不能",G964="判定不能"),"判定不能",IF(AP964&gt;=判定条件!$C$9,"利用可",IF(AND(Y964="停止",G964="停止"),"両方停止","運転がそろわない")))</f>
        <v>両方停止</v>
      </c>
      <c r="AR964" s="30" t="n">
        <v>60</v>
      </c>
      <c r="AS964" s="30" t="n">
        <v>0</v>
      </c>
      <c r="AT964" s="30" t="str">
        <f aca="false">IF(OR(AB964="判定不能",J964="判定不能"),"判定不能",IF(AS964&gt;=判定条件!$C$9,"利用可",IF(AND(AB964="停止",J964="停止"),"両方停止","運転がそろわない")))</f>
        <v>両方停止</v>
      </c>
      <c r="AU964" s="30" t="n">
        <v>60</v>
      </c>
      <c r="AV964" s="30" t="n">
        <v>0</v>
      </c>
      <c r="AW964" s="30" t="str">
        <f aca="false">IF(OR(AE964="判定不能",M964="判定不能"),"判定不能",IF(AV964&gt;=判定条件!$C$9,"利用可",IF(AND(AE964="停止",M964="停止"),"両方停止","運転がそろわない")))</f>
        <v>運転がそろわない</v>
      </c>
      <c r="AX964" s="30" t="str">
        <f aca="false">IF(AND(AH964="利用可",AK964="利用可",AN964="利用可"),"利用可","不可")</f>
        <v>不可</v>
      </c>
      <c r="AY964" s="30" t="str">
        <f aca="false">IF(AND(AQ964="利用可",AT964="利用可",AW964="利用可"),"利用可","不可")</f>
        <v>不可</v>
      </c>
    </row>
    <row r="965" customFormat="false" ht="15" hidden="false" customHeight="false" outlineLevel="0" collapsed="false">
      <c r="A965" s="29" t="n">
        <v>46272</v>
      </c>
      <c r="B965" s="30" t="n">
        <v>2</v>
      </c>
      <c r="C965" s="31" t="s">
        <v>66</v>
      </c>
      <c r="D965" s="31" t="s">
        <v>59</v>
      </c>
      <c r="E965" s="30" t="n">
        <v>60</v>
      </c>
      <c r="F965" s="30" t="n">
        <v>0</v>
      </c>
      <c r="G965" s="30" t="str">
        <f aca="false">IF(E965&lt;判定条件!$C$6,"判定不能",IF(F965&gt;=判定条件!$C$7*E965,"運転",IF(F965&lt;=判定条件!$C$8*E965,"停止","断続")))</f>
        <v>停止</v>
      </c>
      <c r="H965" s="30" t="n">
        <v>60</v>
      </c>
      <c r="I965" s="30" t="n">
        <v>0</v>
      </c>
      <c r="J965" s="30" t="str">
        <f aca="false">IF(H965&lt;判定条件!$C$6,"判定不能",IF(I965&gt;=判定条件!$C$7*H965,"運転",IF(I965&lt;=判定条件!$C$8*H965,"停止","断続")))</f>
        <v>停止</v>
      </c>
      <c r="K965" s="30" t="n">
        <v>60</v>
      </c>
      <c r="L965" s="30" t="n">
        <v>60</v>
      </c>
      <c r="M965" s="30" t="str">
        <f aca="false">IF(K965&lt;判定条件!$C$6,"判定不能",IF(L965&gt;=判定条件!$C$7*K965,"運転",IF(L965&lt;=判定条件!$C$8*K965,"停止","断続")))</f>
        <v>運転</v>
      </c>
      <c r="N965" s="30" t="n">
        <v>60</v>
      </c>
      <c r="O965" s="30" t="n">
        <v>0</v>
      </c>
      <c r="P965" s="30" t="str">
        <f aca="false">IF(N965&lt;判定条件!$C$6,"判定不能",IF(O965&gt;=判定条件!$C$7*N965,"運転",IF(O965&lt;=判定条件!$C$8*N965,"停止","断続")))</f>
        <v>停止</v>
      </c>
      <c r="Q965" s="30" t="n">
        <v>60</v>
      </c>
      <c r="R965" s="30" t="n">
        <v>0</v>
      </c>
      <c r="S965" s="30" t="str">
        <f aca="false">IF(Q965&lt;判定条件!$C$6,"判定不能",IF(R965&gt;=判定条件!$C$7*Q965,"運転",IF(R965&lt;=判定条件!$C$8*Q965,"停止","断続")))</f>
        <v>停止</v>
      </c>
      <c r="T965" s="30" t="n">
        <v>60</v>
      </c>
      <c r="U965" s="30" t="n">
        <v>0</v>
      </c>
      <c r="V965" s="30" t="str">
        <f aca="false">IF(T965&lt;判定条件!$C$6,"判定不能",IF(U965&gt;=判定条件!$C$7*T965,"運転",IF(U965&lt;=判定条件!$C$8*T965,"停止","断続")))</f>
        <v>停止</v>
      </c>
      <c r="W965" s="30" t="n">
        <v>60</v>
      </c>
      <c r="X965" s="30" t="n">
        <v>0</v>
      </c>
      <c r="Y965" s="30" t="str">
        <f aca="false">IF(W965&lt;判定条件!$C$6,"判定不能",IF(X965&gt;=判定条件!$C$7*W965,"運転",IF(X965&lt;=判定条件!$C$8*W965,"停止","断続")))</f>
        <v>停止</v>
      </c>
      <c r="Z965" s="30" t="n">
        <v>60</v>
      </c>
      <c r="AA965" s="30" t="n">
        <v>0</v>
      </c>
      <c r="AB965" s="30" t="str">
        <f aca="false">IF(Z965&lt;判定条件!$C$6,"判定不能",IF(AA965&gt;=判定条件!$C$7*Z965,"運転",IF(AA965&lt;=判定条件!$C$8*Z965,"停止","断続")))</f>
        <v>停止</v>
      </c>
      <c r="AC965" s="30" t="n">
        <v>60</v>
      </c>
      <c r="AD965" s="30" t="n">
        <v>0</v>
      </c>
      <c r="AE965" s="30" t="str">
        <f aca="false">IF(AC965&lt;判定条件!$C$6,"判定不能",IF(AD965&gt;=判定条件!$C$7*AC965,"運転",IF(AD965&lt;=判定条件!$C$8*AC965,"停止","断続")))</f>
        <v>停止</v>
      </c>
      <c r="AF965" s="30" t="n">
        <v>60</v>
      </c>
      <c r="AG965" s="30" t="n">
        <v>0</v>
      </c>
      <c r="AH965" s="30" t="str">
        <f aca="false">IF(OR(P965="判定不能",G965="判定不能"),"判定不能",IF(AG965&gt;=判定条件!$C$9,"利用可",IF(AND(P965="停止",G965="停止"),"両方停止","運転がそろわない")))</f>
        <v>両方停止</v>
      </c>
      <c r="AI965" s="30" t="n">
        <v>60</v>
      </c>
      <c r="AJ965" s="30" t="n">
        <v>0</v>
      </c>
      <c r="AK965" s="30" t="str">
        <f aca="false">IF(OR(S965="判定不能",J965="判定不能"),"判定不能",IF(AJ965&gt;=判定条件!$C$9,"利用可",IF(AND(S965="停止",J965="停止"),"両方停止","運転がそろわない")))</f>
        <v>両方停止</v>
      </c>
      <c r="AL965" s="30" t="n">
        <v>60</v>
      </c>
      <c r="AM965" s="30" t="n">
        <v>0</v>
      </c>
      <c r="AN965" s="30" t="str">
        <f aca="false">IF(OR(V965="判定不能",M965="判定不能"),"判定不能",IF(AM965&gt;=判定条件!$C$9,"利用可",IF(AND(V965="停止",M965="停止"),"両方停止","運転がそろわない")))</f>
        <v>運転がそろわない</v>
      </c>
      <c r="AO965" s="30" t="n">
        <v>60</v>
      </c>
      <c r="AP965" s="30" t="n">
        <v>0</v>
      </c>
      <c r="AQ965" s="30" t="str">
        <f aca="false">IF(OR(Y965="判定不能",G965="判定不能"),"判定不能",IF(AP965&gt;=判定条件!$C$9,"利用可",IF(AND(Y965="停止",G965="停止"),"両方停止","運転がそろわない")))</f>
        <v>両方停止</v>
      </c>
      <c r="AR965" s="30" t="n">
        <v>60</v>
      </c>
      <c r="AS965" s="30" t="n">
        <v>0</v>
      </c>
      <c r="AT965" s="30" t="str">
        <f aca="false">IF(OR(AB965="判定不能",J965="判定不能"),"判定不能",IF(AS965&gt;=判定条件!$C$9,"利用可",IF(AND(AB965="停止",J965="停止"),"両方停止","運転がそろわない")))</f>
        <v>両方停止</v>
      </c>
      <c r="AU965" s="30" t="n">
        <v>60</v>
      </c>
      <c r="AV965" s="30" t="n">
        <v>0</v>
      </c>
      <c r="AW965" s="30" t="str">
        <f aca="false">IF(OR(AE965="判定不能",M965="判定不能"),"判定不能",IF(AV965&gt;=判定条件!$C$9,"利用可",IF(AND(AE965="停止",M965="停止"),"両方停止","運転がそろわない")))</f>
        <v>運転がそろわない</v>
      </c>
      <c r="AX965" s="30" t="str">
        <f aca="false">IF(AND(AH965="利用可",AK965="利用可",AN965="利用可"),"利用可","不可")</f>
        <v>不可</v>
      </c>
      <c r="AY965" s="30" t="str">
        <f aca="false">IF(AND(AQ965="利用可",AT965="利用可",AW965="利用可"),"利用可","不可")</f>
        <v>不可</v>
      </c>
    </row>
    <row r="966" customFormat="false" ht="15" hidden="false" customHeight="false" outlineLevel="0" collapsed="false">
      <c r="A966" s="29" t="n">
        <v>46272</v>
      </c>
      <c r="B966" s="30" t="n">
        <v>3</v>
      </c>
      <c r="C966" s="31" t="s">
        <v>66</v>
      </c>
      <c r="D966" s="31" t="s">
        <v>59</v>
      </c>
      <c r="E966" s="30" t="n">
        <v>60</v>
      </c>
      <c r="F966" s="30" t="n">
        <v>0</v>
      </c>
      <c r="G966" s="30" t="str">
        <f aca="false">IF(E966&lt;判定条件!$C$6,"判定不能",IF(F966&gt;=判定条件!$C$7*E966,"運転",IF(F966&lt;=判定条件!$C$8*E966,"停止","断続")))</f>
        <v>停止</v>
      </c>
      <c r="H966" s="30" t="n">
        <v>60</v>
      </c>
      <c r="I966" s="30" t="n">
        <v>0</v>
      </c>
      <c r="J966" s="30" t="str">
        <f aca="false">IF(H966&lt;判定条件!$C$6,"判定不能",IF(I966&gt;=判定条件!$C$7*H966,"運転",IF(I966&lt;=判定条件!$C$8*H966,"停止","断続")))</f>
        <v>停止</v>
      </c>
      <c r="K966" s="30" t="n">
        <v>60</v>
      </c>
      <c r="L966" s="30" t="n">
        <v>60</v>
      </c>
      <c r="M966" s="30" t="str">
        <f aca="false">IF(K966&lt;判定条件!$C$6,"判定不能",IF(L966&gt;=判定条件!$C$7*K966,"運転",IF(L966&lt;=判定条件!$C$8*K966,"停止","断続")))</f>
        <v>運転</v>
      </c>
      <c r="N966" s="30" t="n">
        <v>60</v>
      </c>
      <c r="O966" s="30" t="n">
        <v>0</v>
      </c>
      <c r="P966" s="30" t="str">
        <f aca="false">IF(N966&lt;判定条件!$C$6,"判定不能",IF(O966&gt;=判定条件!$C$7*N966,"運転",IF(O966&lt;=判定条件!$C$8*N966,"停止","断続")))</f>
        <v>停止</v>
      </c>
      <c r="Q966" s="30" t="n">
        <v>60</v>
      </c>
      <c r="R966" s="30" t="n">
        <v>0</v>
      </c>
      <c r="S966" s="30" t="str">
        <f aca="false">IF(Q966&lt;判定条件!$C$6,"判定不能",IF(R966&gt;=判定条件!$C$7*Q966,"運転",IF(R966&lt;=判定条件!$C$8*Q966,"停止","断続")))</f>
        <v>停止</v>
      </c>
      <c r="T966" s="30" t="n">
        <v>60</v>
      </c>
      <c r="U966" s="30" t="n">
        <v>0</v>
      </c>
      <c r="V966" s="30" t="str">
        <f aca="false">IF(T966&lt;判定条件!$C$6,"判定不能",IF(U966&gt;=判定条件!$C$7*T966,"運転",IF(U966&lt;=判定条件!$C$8*T966,"停止","断続")))</f>
        <v>停止</v>
      </c>
      <c r="W966" s="30" t="n">
        <v>60</v>
      </c>
      <c r="X966" s="30" t="n">
        <v>0</v>
      </c>
      <c r="Y966" s="30" t="str">
        <f aca="false">IF(W966&lt;判定条件!$C$6,"判定不能",IF(X966&gt;=判定条件!$C$7*W966,"運転",IF(X966&lt;=判定条件!$C$8*W966,"停止","断続")))</f>
        <v>停止</v>
      </c>
      <c r="Z966" s="30" t="n">
        <v>60</v>
      </c>
      <c r="AA966" s="30" t="n">
        <v>0</v>
      </c>
      <c r="AB966" s="30" t="str">
        <f aca="false">IF(Z966&lt;判定条件!$C$6,"判定不能",IF(AA966&gt;=判定条件!$C$7*Z966,"運転",IF(AA966&lt;=判定条件!$C$8*Z966,"停止","断続")))</f>
        <v>停止</v>
      </c>
      <c r="AC966" s="30" t="n">
        <v>60</v>
      </c>
      <c r="AD966" s="30" t="n">
        <v>0</v>
      </c>
      <c r="AE966" s="30" t="str">
        <f aca="false">IF(AC966&lt;判定条件!$C$6,"判定不能",IF(AD966&gt;=判定条件!$C$7*AC966,"運転",IF(AD966&lt;=判定条件!$C$8*AC966,"停止","断続")))</f>
        <v>停止</v>
      </c>
      <c r="AF966" s="30" t="n">
        <v>60</v>
      </c>
      <c r="AG966" s="30" t="n">
        <v>0</v>
      </c>
      <c r="AH966" s="30" t="str">
        <f aca="false">IF(OR(P966="判定不能",G966="判定不能"),"判定不能",IF(AG966&gt;=判定条件!$C$9,"利用可",IF(AND(P966="停止",G966="停止"),"両方停止","運転がそろわない")))</f>
        <v>両方停止</v>
      </c>
      <c r="AI966" s="30" t="n">
        <v>60</v>
      </c>
      <c r="AJ966" s="30" t="n">
        <v>0</v>
      </c>
      <c r="AK966" s="30" t="str">
        <f aca="false">IF(OR(S966="判定不能",J966="判定不能"),"判定不能",IF(AJ966&gt;=判定条件!$C$9,"利用可",IF(AND(S966="停止",J966="停止"),"両方停止","運転がそろわない")))</f>
        <v>両方停止</v>
      </c>
      <c r="AL966" s="30" t="n">
        <v>60</v>
      </c>
      <c r="AM966" s="30" t="n">
        <v>0</v>
      </c>
      <c r="AN966" s="30" t="str">
        <f aca="false">IF(OR(V966="判定不能",M966="判定不能"),"判定不能",IF(AM966&gt;=判定条件!$C$9,"利用可",IF(AND(V966="停止",M966="停止"),"両方停止","運転がそろわない")))</f>
        <v>運転がそろわない</v>
      </c>
      <c r="AO966" s="30" t="n">
        <v>60</v>
      </c>
      <c r="AP966" s="30" t="n">
        <v>0</v>
      </c>
      <c r="AQ966" s="30" t="str">
        <f aca="false">IF(OR(Y966="判定不能",G966="判定不能"),"判定不能",IF(AP966&gt;=判定条件!$C$9,"利用可",IF(AND(Y966="停止",G966="停止"),"両方停止","運転がそろわない")))</f>
        <v>両方停止</v>
      </c>
      <c r="AR966" s="30" t="n">
        <v>60</v>
      </c>
      <c r="AS966" s="30" t="n">
        <v>0</v>
      </c>
      <c r="AT966" s="30" t="str">
        <f aca="false">IF(OR(AB966="判定不能",J966="判定不能"),"判定不能",IF(AS966&gt;=判定条件!$C$9,"利用可",IF(AND(AB966="停止",J966="停止"),"両方停止","運転がそろわない")))</f>
        <v>両方停止</v>
      </c>
      <c r="AU966" s="30" t="n">
        <v>60</v>
      </c>
      <c r="AV966" s="30" t="n">
        <v>0</v>
      </c>
      <c r="AW966" s="30" t="str">
        <f aca="false">IF(OR(AE966="判定不能",M966="判定不能"),"判定不能",IF(AV966&gt;=判定条件!$C$9,"利用可",IF(AND(AE966="停止",M966="停止"),"両方停止","運転がそろわない")))</f>
        <v>運転がそろわない</v>
      </c>
      <c r="AX966" s="30" t="str">
        <f aca="false">IF(AND(AH966="利用可",AK966="利用可",AN966="利用可"),"利用可","不可")</f>
        <v>不可</v>
      </c>
      <c r="AY966" s="30" t="str">
        <f aca="false">IF(AND(AQ966="利用可",AT966="利用可",AW966="利用可"),"利用可","不可")</f>
        <v>不可</v>
      </c>
    </row>
    <row r="967" customFormat="false" ht="15" hidden="false" customHeight="false" outlineLevel="0" collapsed="false">
      <c r="A967" s="29" t="n">
        <v>46272</v>
      </c>
      <c r="B967" s="30" t="n">
        <v>4</v>
      </c>
      <c r="C967" s="31" t="s">
        <v>66</v>
      </c>
      <c r="D967" s="31" t="s">
        <v>59</v>
      </c>
      <c r="E967" s="30" t="n">
        <v>60</v>
      </c>
      <c r="F967" s="30" t="n">
        <v>0</v>
      </c>
      <c r="G967" s="30" t="str">
        <f aca="false">IF(E967&lt;判定条件!$C$6,"判定不能",IF(F967&gt;=判定条件!$C$7*E967,"運転",IF(F967&lt;=判定条件!$C$8*E967,"停止","断続")))</f>
        <v>停止</v>
      </c>
      <c r="H967" s="30" t="n">
        <v>60</v>
      </c>
      <c r="I967" s="30" t="n">
        <v>0</v>
      </c>
      <c r="J967" s="30" t="str">
        <f aca="false">IF(H967&lt;判定条件!$C$6,"判定不能",IF(I967&gt;=判定条件!$C$7*H967,"運転",IF(I967&lt;=判定条件!$C$8*H967,"停止","断続")))</f>
        <v>停止</v>
      </c>
      <c r="K967" s="30" t="n">
        <v>60</v>
      </c>
      <c r="L967" s="30" t="n">
        <v>60</v>
      </c>
      <c r="M967" s="30" t="str">
        <f aca="false">IF(K967&lt;判定条件!$C$6,"判定不能",IF(L967&gt;=判定条件!$C$7*K967,"運転",IF(L967&lt;=判定条件!$C$8*K967,"停止","断続")))</f>
        <v>運転</v>
      </c>
      <c r="N967" s="30" t="n">
        <v>60</v>
      </c>
      <c r="O967" s="30" t="n">
        <v>0</v>
      </c>
      <c r="P967" s="30" t="str">
        <f aca="false">IF(N967&lt;判定条件!$C$6,"判定不能",IF(O967&gt;=判定条件!$C$7*N967,"運転",IF(O967&lt;=判定条件!$C$8*N967,"停止","断続")))</f>
        <v>停止</v>
      </c>
      <c r="Q967" s="30" t="n">
        <v>60</v>
      </c>
      <c r="R967" s="30" t="n">
        <v>0</v>
      </c>
      <c r="S967" s="30" t="str">
        <f aca="false">IF(Q967&lt;判定条件!$C$6,"判定不能",IF(R967&gt;=判定条件!$C$7*Q967,"運転",IF(R967&lt;=判定条件!$C$8*Q967,"停止","断続")))</f>
        <v>停止</v>
      </c>
      <c r="T967" s="30" t="n">
        <v>60</v>
      </c>
      <c r="U967" s="30" t="n">
        <v>0</v>
      </c>
      <c r="V967" s="30" t="str">
        <f aca="false">IF(T967&lt;判定条件!$C$6,"判定不能",IF(U967&gt;=判定条件!$C$7*T967,"運転",IF(U967&lt;=判定条件!$C$8*T967,"停止","断続")))</f>
        <v>停止</v>
      </c>
      <c r="W967" s="30" t="n">
        <v>60</v>
      </c>
      <c r="X967" s="30" t="n">
        <v>0</v>
      </c>
      <c r="Y967" s="30" t="str">
        <f aca="false">IF(W967&lt;判定条件!$C$6,"判定不能",IF(X967&gt;=判定条件!$C$7*W967,"運転",IF(X967&lt;=判定条件!$C$8*W967,"停止","断続")))</f>
        <v>停止</v>
      </c>
      <c r="Z967" s="30" t="n">
        <v>60</v>
      </c>
      <c r="AA967" s="30" t="n">
        <v>0</v>
      </c>
      <c r="AB967" s="30" t="str">
        <f aca="false">IF(Z967&lt;判定条件!$C$6,"判定不能",IF(AA967&gt;=判定条件!$C$7*Z967,"運転",IF(AA967&lt;=判定条件!$C$8*Z967,"停止","断続")))</f>
        <v>停止</v>
      </c>
      <c r="AC967" s="30" t="n">
        <v>60</v>
      </c>
      <c r="AD967" s="30" t="n">
        <v>0</v>
      </c>
      <c r="AE967" s="30" t="str">
        <f aca="false">IF(AC967&lt;判定条件!$C$6,"判定不能",IF(AD967&gt;=判定条件!$C$7*AC967,"運転",IF(AD967&lt;=判定条件!$C$8*AC967,"停止","断続")))</f>
        <v>停止</v>
      </c>
      <c r="AF967" s="30" t="n">
        <v>60</v>
      </c>
      <c r="AG967" s="30" t="n">
        <v>0</v>
      </c>
      <c r="AH967" s="30" t="str">
        <f aca="false">IF(OR(P967="判定不能",G967="判定不能"),"判定不能",IF(AG967&gt;=判定条件!$C$9,"利用可",IF(AND(P967="停止",G967="停止"),"両方停止","運転がそろわない")))</f>
        <v>両方停止</v>
      </c>
      <c r="AI967" s="30" t="n">
        <v>60</v>
      </c>
      <c r="AJ967" s="30" t="n">
        <v>0</v>
      </c>
      <c r="AK967" s="30" t="str">
        <f aca="false">IF(OR(S967="判定不能",J967="判定不能"),"判定不能",IF(AJ967&gt;=判定条件!$C$9,"利用可",IF(AND(S967="停止",J967="停止"),"両方停止","運転がそろわない")))</f>
        <v>両方停止</v>
      </c>
      <c r="AL967" s="30" t="n">
        <v>60</v>
      </c>
      <c r="AM967" s="30" t="n">
        <v>0</v>
      </c>
      <c r="AN967" s="30" t="str">
        <f aca="false">IF(OR(V967="判定不能",M967="判定不能"),"判定不能",IF(AM967&gt;=判定条件!$C$9,"利用可",IF(AND(V967="停止",M967="停止"),"両方停止","運転がそろわない")))</f>
        <v>運転がそろわない</v>
      </c>
      <c r="AO967" s="30" t="n">
        <v>60</v>
      </c>
      <c r="AP967" s="30" t="n">
        <v>0</v>
      </c>
      <c r="AQ967" s="30" t="str">
        <f aca="false">IF(OR(Y967="判定不能",G967="判定不能"),"判定不能",IF(AP967&gt;=判定条件!$C$9,"利用可",IF(AND(Y967="停止",G967="停止"),"両方停止","運転がそろわない")))</f>
        <v>両方停止</v>
      </c>
      <c r="AR967" s="30" t="n">
        <v>60</v>
      </c>
      <c r="AS967" s="30" t="n">
        <v>0</v>
      </c>
      <c r="AT967" s="30" t="str">
        <f aca="false">IF(OR(AB967="判定不能",J967="判定不能"),"判定不能",IF(AS967&gt;=判定条件!$C$9,"利用可",IF(AND(AB967="停止",J967="停止"),"両方停止","運転がそろわない")))</f>
        <v>両方停止</v>
      </c>
      <c r="AU967" s="30" t="n">
        <v>60</v>
      </c>
      <c r="AV967" s="30" t="n">
        <v>0</v>
      </c>
      <c r="AW967" s="30" t="str">
        <f aca="false">IF(OR(AE967="判定不能",M967="判定不能"),"判定不能",IF(AV967&gt;=判定条件!$C$9,"利用可",IF(AND(AE967="停止",M967="停止"),"両方停止","運転がそろわない")))</f>
        <v>運転がそろわない</v>
      </c>
      <c r="AX967" s="30" t="str">
        <f aca="false">IF(AND(AH967="利用可",AK967="利用可",AN967="利用可"),"利用可","不可")</f>
        <v>不可</v>
      </c>
      <c r="AY967" s="30" t="str">
        <f aca="false">IF(AND(AQ967="利用可",AT967="利用可",AW967="利用可"),"利用可","不可")</f>
        <v>不可</v>
      </c>
    </row>
    <row r="968" customFormat="false" ht="15" hidden="false" customHeight="false" outlineLevel="0" collapsed="false">
      <c r="A968" s="29" t="n">
        <v>46272</v>
      </c>
      <c r="B968" s="30" t="n">
        <v>5</v>
      </c>
      <c r="C968" s="31" t="s">
        <v>66</v>
      </c>
      <c r="D968" s="31" t="s">
        <v>59</v>
      </c>
      <c r="E968" s="30" t="n">
        <v>60</v>
      </c>
      <c r="F968" s="30" t="n">
        <v>0</v>
      </c>
      <c r="G968" s="30" t="str">
        <f aca="false">IF(E968&lt;判定条件!$C$6,"判定不能",IF(F968&gt;=判定条件!$C$7*E968,"運転",IF(F968&lt;=判定条件!$C$8*E968,"停止","断続")))</f>
        <v>停止</v>
      </c>
      <c r="H968" s="30" t="n">
        <v>60</v>
      </c>
      <c r="I968" s="30" t="n">
        <v>0</v>
      </c>
      <c r="J968" s="30" t="str">
        <f aca="false">IF(H968&lt;判定条件!$C$6,"判定不能",IF(I968&gt;=判定条件!$C$7*H968,"運転",IF(I968&lt;=判定条件!$C$8*H968,"停止","断続")))</f>
        <v>停止</v>
      </c>
      <c r="K968" s="30" t="n">
        <v>60</v>
      </c>
      <c r="L968" s="30" t="n">
        <v>60</v>
      </c>
      <c r="M968" s="30" t="str">
        <f aca="false">IF(K968&lt;判定条件!$C$6,"判定不能",IF(L968&gt;=判定条件!$C$7*K968,"運転",IF(L968&lt;=判定条件!$C$8*K968,"停止","断続")))</f>
        <v>運転</v>
      </c>
      <c r="N968" s="30" t="n">
        <v>60</v>
      </c>
      <c r="O968" s="30" t="n">
        <v>0</v>
      </c>
      <c r="P968" s="30" t="str">
        <f aca="false">IF(N968&lt;判定条件!$C$6,"判定不能",IF(O968&gt;=判定条件!$C$7*N968,"運転",IF(O968&lt;=判定条件!$C$8*N968,"停止","断続")))</f>
        <v>停止</v>
      </c>
      <c r="Q968" s="30" t="n">
        <v>60</v>
      </c>
      <c r="R968" s="30" t="n">
        <v>0</v>
      </c>
      <c r="S968" s="30" t="str">
        <f aca="false">IF(Q968&lt;判定条件!$C$6,"判定不能",IF(R968&gt;=判定条件!$C$7*Q968,"運転",IF(R968&lt;=判定条件!$C$8*Q968,"停止","断続")))</f>
        <v>停止</v>
      </c>
      <c r="T968" s="30" t="n">
        <v>60</v>
      </c>
      <c r="U968" s="30" t="n">
        <v>0</v>
      </c>
      <c r="V968" s="30" t="str">
        <f aca="false">IF(T968&lt;判定条件!$C$6,"判定不能",IF(U968&gt;=判定条件!$C$7*T968,"運転",IF(U968&lt;=判定条件!$C$8*T968,"停止","断続")))</f>
        <v>停止</v>
      </c>
      <c r="W968" s="30" t="n">
        <v>60</v>
      </c>
      <c r="X968" s="30" t="n">
        <v>0</v>
      </c>
      <c r="Y968" s="30" t="str">
        <f aca="false">IF(W968&lt;判定条件!$C$6,"判定不能",IF(X968&gt;=判定条件!$C$7*W968,"運転",IF(X968&lt;=判定条件!$C$8*W968,"停止","断続")))</f>
        <v>停止</v>
      </c>
      <c r="Z968" s="30" t="n">
        <v>60</v>
      </c>
      <c r="AA968" s="30" t="n">
        <v>0</v>
      </c>
      <c r="AB968" s="30" t="str">
        <f aca="false">IF(Z968&lt;判定条件!$C$6,"判定不能",IF(AA968&gt;=判定条件!$C$7*Z968,"運転",IF(AA968&lt;=判定条件!$C$8*Z968,"停止","断続")))</f>
        <v>停止</v>
      </c>
      <c r="AC968" s="30" t="n">
        <v>60</v>
      </c>
      <c r="AD968" s="30" t="n">
        <v>0</v>
      </c>
      <c r="AE968" s="30" t="str">
        <f aca="false">IF(AC968&lt;判定条件!$C$6,"判定不能",IF(AD968&gt;=判定条件!$C$7*AC968,"運転",IF(AD968&lt;=判定条件!$C$8*AC968,"停止","断続")))</f>
        <v>停止</v>
      </c>
      <c r="AF968" s="30" t="n">
        <v>60</v>
      </c>
      <c r="AG968" s="30" t="n">
        <v>0</v>
      </c>
      <c r="AH968" s="30" t="str">
        <f aca="false">IF(OR(P968="判定不能",G968="判定不能"),"判定不能",IF(AG968&gt;=判定条件!$C$9,"利用可",IF(AND(P968="停止",G968="停止"),"両方停止","運転がそろわない")))</f>
        <v>両方停止</v>
      </c>
      <c r="AI968" s="30" t="n">
        <v>60</v>
      </c>
      <c r="AJ968" s="30" t="n">
        <v>0</v>
      </c>
      <c r="AK968" s="30" t="str">
        <f aca="false">IF(OR(S968="判定不能",J968="判定不能"),"判定不能",IF(AJ968&gt;=判定条件!$C$9,"利用可",IF(AND(S968="停止",J968="停止"),"両方停止","運転がそろわない")))</f>
        <v>両方停止</v>
      </c>
      <c r="AL968" s="30" t="n">
        <v>60</v>
      </c>
      <c r="AM968" s="30" t="n">
        <v>0</v>
      </c>
      <c r="AN968" s="30" t="str">
        <f aca="false">IF(OR(V968="判定不能",M968="判定不能"),"判定不能",IF(AM968&gt;=判定条件!$C$9,"利用可",IF(AND(V968="停止",M968="停止"),"両方停止","運転がそろわない")))</f>
        <v>運転がそろわない</v>
      </c>
      <c r="AO968" s="30" t="n">
        <v>60</v>
      </c>
      <c r="AP968" s="30" t="n">
        <v>0</v>
      </c>
      <c r="AQ968" s="30" t="str">
        <f aca="false">IF(OR(Y968="判定不能",G968="判定不能"),"判定不能",IF(AP968&gt;=判定条件!$C$9,"利用可",IF(AND(Y968="停止",G968="停止"),"両方停止","運転がそろわない")))</f>
        <v>両方停止</v>
      </c>
      <c r="AR968" s="30" t="n">
        <v>60</v>
      </c>
      <c r="AS968" s="30" t="n">
        <v>0</v>
      </c>
      <c r="AT968" s="30" t="str">
        <f aca="false">IF(OR(AB968="判定不能",J968="判定不能"),"判定不能",IF(AS968&gt;=判定条件!$C$9,"利用可",IF(AND(AB968="停止",J968="停止"),"両方停止","運転がそろわない")))</f>
        <v>両方停止</v>
      </c>
      <c r="AU968" s="30" t="n">
        <v>60</v>
      </c>
      <c r="AV968" s="30" t="n">
        <v>0</v>
      </c>
      <c r="AW968" s="30" t="str">
        <f aca="false">IF(OR(AE968="判定不能",M968="判定不能"),"判定不能",IF(AV968&gt;=判定条件!$C$9,"利用可",IF(AND(AE968="停止",M968="停止"),"両方停止","運転がそろわない")))</f>
        <v>運転がそろわない</v>
      </c>
      <c r="AX968" s="30" t="str">
        <f aca="false">IF(AND(AH968="利用可",AK968="利用可",AN968="利用可"),"利用可","不可")</f>
        <v>不可</v>
      </c>
      <c r="AY968" s="30" t="str">
        <f aca="false">IF(AND(AQ968="利用可",AT968="利用可",AW968="利用可"),"利用可","不可")</f>
        <v>不可</v>
      </c>
    </row>
    <row r="969" customFormat="false" ht="15" hidden="false" customHeight="false" outlineLevel="0" collapsed="false">
      <c r="A969" s="29" t="n">
        <v>46272</v>
      </c>
      <c r="B969" s="30" t="n">
        <v>6</v>
      </c>
      <c r="C969" s="31" t="s">
        <v>66</v>
      </c>
      <c r="D969" s="31" t="s">
        <v>59</v>
      </c>
      <c r="E969" s="30" t="n">
        <v>60</v>
      </c>
      <c r="F969" s="30" t="n">
        <v>0</v>
      </c>
      <c r="G969" s="30" t="str">
        <f aca="false">IF(E969&lt;判定条件!$C$6,"判定不能",IF(F969&gt;=判定条件!$C$7*E969,"運転",IF(F969&lt;=判定条件!$C$8*E969,"停止","断続")))</f>
        <v>停止</v>
      </c>
      <c r="H969" s="30" t="n">
        <v>60</v>
      </c>
      <c r="I969" s="30" t="n">
        <v>0</v>
      </c>
      <c r="J969" s="30" t="str">
        <f aca="false">IF(H969&lt;判定条件!$C$6,"判定不能",IF(I969&gt;=判定条件!$C$7*H969,"運転",IF(I969&lt;=判定条件!$C$8*H969,"停止","断続")))</f>
        <v>停止</v>
      </c>
      <c r="K969" s="30" t="n">
        <v>60</v>
      </c>
      <c r="L969" s="30" t="n">
        <v>60</v>
      </c>
      <c r="M969" s="30" t="str">
        <f aca="false">IF(K969&lt;判定条件!$C$6,"判定不能",IF(L969&gt;=判定条件!$C$7*K969,"運転",IF(L969&lt;=判定条件!$C$8*K969,"停止","断続")))</f>
        <v>運転</v>
      </c>
      <c r="N969" s="30" t="n">
        <v>60</v>
      </c>
      <c r="O969" s="30" t="n">
        <v>0</v>
      </c>
      <c r="P969" s="30" t="str">
        <f aca="false">IF(N969&lt;判定条件!$C$6,"判定不能",IF(O969&gt;=判定条件!$C$7*N969,"運転",IF(O969&lt;=判定条件!$C$8*N969,"停止","断続")))</f>
        <v>停止</v>
      </c>
      <c r="Q969" s="30" t="n">
        <v>60</v>
      </c>
      <c r="R969" s="30" t="n">
        <v>3</v>
      </c>
      <c r="S969" s="30" t="str">
        <f aca="false">IF(Q969&lt;判定条件!$C$6,"判定不能",IF(R969&gt;=判定条件!$C$7*Q969,"運転",IF(R969&lt;=判定条件!$C$8*Q969,"停止","断続")))</f>
        <v>停止</v>
      </c>
      <c r="T969" s="30" t="n">
        <v>60</v>
      </c>
      <c r="U969" s="30" t="n">
        <v>0</v>
      </c>
      <c r="V969" s="30" t="str">
        <f aca="false">IF(T969&lt;判定条件!$C$6,"判定不能",IF(U969&gt;=判定条件!$C$7*T969,"運転",IF(U969&lt;=判定条件!$C$8*T969,"停止","断続")))</f>
        <v>停止</v>
      </c>
      <c r="W969" s="30" t="n">
        <v>60</v>
      </c>
      <c r="X969" s="30" t="n">
        <v>0</v>
      </c>
      <c r="Y969" s="30" t="str">
        <f aca="false">IF(W969&lt;判定条件!$C$6,"判定不能",IF(X969&gt;=判定条件!$C$7*W969,"運転",IF(X969&lt;=判定条件!$C$8*W969,"停止","断続")))</f>
        <v>停止</v>
      </c>
      <c r="Z969" s="30" t="n">
        <v>60</v>
      </c>
      <c r="AA969" s="30" t="n">
        <v>0</v>
      </c>
      <c r="AB969" s="30" t="str">
        <f aca="false">IF(Z969&lt;判定条件!$C$6,"判定不能",IF(AA969&gt;=判定条件!$C$7*Z969,"運転",IF(AA969&lt;=判定条件!$C$8*Z969,"停止","断続")))</f>
        <v>停止</v>
      </c>
      <c r="AC969" s="30" t="n">
        <v>60</v>
      </c>
      <c r="AD969" s="30" t="n">
        <v>0</v>
      </c>
      <c r="AE969" s="30" t="str">
        <f aca="false">IF(AC969&lt;判定条件!$C$6,"判定不能",IF(AD969&gt;=判定条件!$C$7*AC969,"運転",IF(AD969&lt;=判定条件!$C$8*AC969,"停止","断続")))</f>
        <v>停止</v>
      </c>
      <c r="AF969" s="30" t="n">
        <v>60</v>
      </c>
      <c r="AG969" s="30" t="n">
        <v>0</v>
      </c>
      <c r="AH969" s="30" t="str">
        <f aca="false">IF(OR(P969="判定不能",G969="判定不能"),"判定不能",IF(AG969&gt;=判定条件!$C$9,"利用可",IF(AND(P969="停止",G969="停止"),"両方停止","運転がそろわない")))</f>
        <v>両方停止</v>
      </c>
      <c r="AI969" s="30" t="n">
        <v>60</v>
      </c>
      <c r="AJ969" s="30" t="n">
        <v>0</v>
      </c>
      <c r="AK969" s="30" t="str">
        <f aca="false">IF(OR(S969="判定不能",J969="判定不能"),"判定不能",IF(AJ969&gt;=判定条件!$C$9,"利用可",IF(AND(S969="停止",J969="停止"),"両方停止","運転がそろわない")))</f>
        <v>両方停止</v>
      </c>
      <c r="AL969" s="30" t="n">
        <v>60</v>
      </c>
      <c r="AM969" s="30" t="n">
        <v>0</v>
      </c>
      <c r="AN969" s="30" t="str">
        <f aca="false">IF(OR(V969="判定不能",M969="判定不能"),"判定不能",IF(AM969&gt;=判定条件!$C$9,"利用可",IF(AND(V969="停止",M969="停止"),"両方停止","運転がそろわない")))</f>
        <v>運転がそろわない</v>
      </c>
      <c r="AO969" s="30" t="n">
        <v>60</v>
      </c>
      <c r="AP969" s="30" t="n">
        <v>0</v>
      </c>
      <c r="AQ969" s="30" t="str">
        <f aca="false">IF(OR(Y969="判定不能",G969="判定不能"),"判定不能",IF(AP969&gt;=判定条件!$C$9,"利用可",IF(AND(Y969="停止",G969="停止"),"両方停止","運転がそろわない")))</f>
        <v>両方停止</v>
      </c>
      <c r="AR969" s="30" t="n">
        <v>60</v>
      </c>
      <c r="AS969" s="30" t="n">
        <v>0</v>
      </c>
      <c r="AT969" s="30" t="str">
        <f aca="false">IF(OR(AB969="判定不能",J969="判定不能"),"判定不能",IF(AS969&gt;=判定条件!$C$9,"利用可",IF(AND(AB969="停止",J969="停止"),"両方停止","運転がそろわない")))</f>
        <v>両方停止</v>
      </c>
      <c r="AU969" s="30" t="n">
        <v>60</v>
      </c>
      <c r="AV969" s="30" t="n">
        <v>0</v>
      </c>
      <c r="AW969" s="30" t="str">
        <f aca="false">IF(OR(AE969="判定不能",M969="判定不能"),"判定不能",IF(AV969&gt;=判定条件!$C$9,"利用可",IF(AND(AE969="停止",M969="停止"),"両方停止","運転がそろわない")))</f>
        <v>運転がそろわない</v>
      </c>
      <c r="AX969" s="30" t="str">
        <f aca="false">IF(AND(AH969="利用可",AK969="利用可",AN969="利用可"),"利用可","不可")</f>
        <v>不可</v>
      </c>
      <c r="AY969" s="30" t="str">
        <f aca="false">IF(AND(AQ969="利用可",AT969="利用可",AW969="利用可"),"利用可","不可")</f>
        <v>不可</v>
      </c>
    </row>
    <row r="970" customFormat="false" ht="15" hidden="false" customHeight="false" outlineLevel="0" collapsed="false">
      <c r="A970" s="29" t="n">
        <v>46272</v>
      </c>
      <c r="B970" s="30" t="n">
        <v>7</v>
      </c>
      <c r="C970" s="31" t="s">
        <v>66</v>
      </c>
      <c r="D970" s="31" t="s">
        <v>59</v>
      </c>
      <c r="E970" s="30" t="n">
        <v>60</v>
      </c>
      <c r="F970" s="30" t="n">
        <v>0</v>
      </c>
      <c r="G970" s="30" t="str">
        <f aca="false">IF(E970&lt;判定条件!$C$6,"判定不能",IF(F970&gt;=判定条件!$C$7*E970,"運転",IF(F970&lt;=判定条件!$C$8*E970,"停止","断続")))</f>
        <v>停止</v>
      </c>
      <c r="H970" s="30" t="n">
        <v>60</v>
      </c>
      <c r="I970" s="30" t="n">
        <v>0</v>
      </c>
      <c r="J970" s="30" t="str">
        <f aca="false">IF(H970&lt;判定条件!$C$6,"判定不能",IF(I970&gt;=判定条件!$C$7*H970,"運転",IF(I970&lt;=判定条件!$C$8*H970,"停止","断続")))</f>
        <v>停止</v>
      </c>
      <c r="K970" s="30" t="n">
        <v>60</v>
      </c>
      <c r="L970" s="30" t="n">
        <v>60</v>
      </c>
      <c r="M970" s="30" t="str">
        <f aca="false">IF(K970&lt;判定条件!$C$6,"判定不能",IF(L970&gt;=判定条件!$C$7*K970,"運転",IF(L970&lt;=判定条件!$C$8*K970,"停止","断続")))</f>
        <v>運転</v>
      </c>
      <c r="N970" s="30" t="n">
        <v>60</v>
      </c>
      <c r="O970" s="30" t="n">
        <v>27</v>
      </c>
      <c r="P970" s="30" t="str">
        <f aca="false">IF(N970&lt;判定条件!$C$6,"判定不能",IF(O970&gt;=判定条件!$C$7*N970,"運転",IF(O970&lt;=判定条件!$C$8*N970,"停止","断続")))</f>
        <v>断続</v>
      </c>
      <c r="Q970" s="30" t="n">
        <v>60</v>
      </c>
      <c r="R970" s="30" t="n">
        <v>19</v>
      </c>
      <c r="S970" s="30" t="str">
        <f aca="false">IF(Q970&lt;判定条件!$C$6,"判定不能",IF(R970&gt;=判定条件!$C$7*Q970,"運転",IF(R970&lt;=判定条件!$C$8*Q970,"停止","断続")))</f>
        <v>断続</v>
      </c>
      <c r="T970" s="30" t="n">
        <v>60</v>
      </c>
      <c r="U970" s="30" t="n">
        <v>0</v>
      </c>
      <c r="V970" s="30" t="str">
        <f aca="false">IF(T970&lt;判定条件!$C$6,"判定不能",IF(U970&gt;=判定条件!$C$7*T970,"運転",IF(U970&lt;=判定条件!$C$8*T970,"停止","断続")))</f>
        <v>停止</v>
      </c>
      <c r="W970" s="30" t="n">
        <v>60</v>
      </c>
      <c r="X970" s="30" t="n">
        <v>0</v>
      </c>
      <c r="Y970" s="30" t="str">
        <f aca="false">IF(W970&lt;判定条件!$C$6,"判定不能",IF(X970&gt;=判定条件!$C$7*W970,"運転",IF(X970&lt;=判定条件!$C$8*W970,"停止","断続")))</f>
        <v>停止</v>
      </c>
      <c r="Z970" s="30" t="n">
        <v>60</v>
      </c>
      <c r="AA970" s="30" t="n">
        <v>0</v>
      </c>
      <c r="AB970" s="30" t="str">
        <f aca="false">IF(Z970&lt;判定条件!$C$6,"判定不能",IF(AA970&gt;=判定条件!$C$7*Z970,"運転",IF(AA970&lt;=判定条件!$C$8*Z970,"停止","断続")))</f>
        <v>停止</v>
      </c>
      <c r="AC970" s="30" t="n">
        <v>60</v>
      </c>
      <c r="AD970" s="30" t="n">
        <v>42</v>
      </c>
      <c r="AE970" s="30" t="str">
        <f aca="false">IF(AC970&lt;判定条件!$C$6,"判定不能",IF(AD970&gt;=判定条件!$C$7*AC970,"運転",IF(AD970&lt;=判定条件!$C$8*AC970,"停止","断続")))</f>
        <v>断続</v>
      </c>
      <c r="AF970" s="30" t="n">
        <v>60</v>
      </c>
      <c r="AG970" s="30" t="n">
        <v>0</v>
      </c>
      <c r="AH970" s="30" t="str">
        <f aca="false">IF(OR(P970="判定不能",G970="判定不能"),"判定不能",IF(AG970&gt;=判定条件!$C$9,"利用可",IF(AND(P970="停止",G970="停止"),"両方停止","運転がそろわない")))</f>
        <v>運転がそろわない</v>
      </c>
      <c r="AI970" s="30" t="n">
        <v>60</v>
      </c>
      <c r="AJ970" s="30" t="n">
        <v>0</v>
      </c>
      <c r="AK970" s="30" t="str">
        <f aca="false">IF(OR(S970="判定不能",J970="判定不能"),"判定不能",IF(AJ970&gt;=判定条件!$C$9,"利用可",IF(AND(S970="停止",J970="停止"),"両方停止","運転がそろわない")))</f>
        <v>運転がそろわない</v>
      </c>
      <c r="AL970" s="30" t="n">
        <v>60</v>
      </c>
      <c r="AM970" s="30" t="n">
        <v>0</v>
      </c>
      <c r="AN970" s="30" t="str">
        <f aca="false">IF(OR(V970="判定不能",M970="判定不能"),"判定不能",IF(AM970&gt;=判定条件!$C$9,"利用可",IF(AND(V970="停止",M970="停止"),"両方停止","運転がそろわない")))</f>
        <v>運転がそろわない</v>
      </c>
      <c r="AO970" s="30" t="n">
        <v>60</v>
      </c>
      <c r="AP970" s="30" t="n">
        <v>0</v>
      </c>
      <c r="AQ970" s="30" t="str">
        <f aca="false">IF(OR(Y970="判定不能",G970="判定不能"),"判定不能",IF(AP970&gt;=判定条件!$C$9,"利用可",IF(AND(Y970="停止",G970="停止"),"両方停止","運転がそろわない")))</f>
        <v>両方停止</v>
      </c>
      <c r="AR970" s="30" t="n">
        <v>60</v>
      </c>
      <c r="AS970" s="30" t="n">
        <v>0</v>
      </c>
      <c r="AT970" s="30" t="str">
        <f aca="false">IF(OR(AB970="判定不能",J970="判定不能"),"判定不能",IF(AS970&gt;=判定条件!$C$9,"利用可",IF(AND(AB970="停止",J970="停止"),"両方停止","運転がそろわない")))</f>
        <v>両方停止</v>
      </c>
      <c r="AU970" s="30" t="n">
        <v>60</v>
      </c>
      <c r="AV970" s="30" t="n">
        <v>42</v>
      </c>
      <c r="AW970" s="30" t="str">
        <f aca="false">IF(OR(AE970="判定不能",M970="判定不能"),"判定不能",IF(AV970&gt;=判定条件!$C$9,"利用可",IF(AND(AE970="停止",M970="停止"),"両方停止","運転がそろわない")))</f>
        <v>利用可</v>
      </c>
      <c r="AX970" s="30" t="str">
        <f aca="false">IF(AND(AH970="利用可",AK970="利用可",AN970="利用可"),"利用可","不可")</f>
        <v>不可</v>
      </c>
      <c r="AY970" s="30" t="str">
        <f aca="false">IF(AND(AQ970="利用可",AT970="利用可",AW970="利用可"),"利用可","不可")</f>
        <v>不可</v>
      </c>
    </row>
    <row r="971" customFormat="false" ht="15" hidden="false" customHeight="false" outlineLevel="0" collapsed="false">
      <c r="A971" s="29" t="n">
        <v>46272</v>
      </c>
      <c r="B971" s="30" t="n">
        <v>8</v>
      </c>
      <c r="C971" s="31" t="s">
        <v>66</v>
      </c>
      <c r="D971" s="31" t="s">
        <v>59</v>
      </c>
      <c r="E971" s="30" t="n">
        <v>60</v>
      </c>
      <c r="F971" s="30" t="n">
        <v>0</v>
      </c>
      <c r="G971" s="30" t="str">
        <f aca="false">IF(E971&lt;判定条件!$C$6,"判定不能",IF(F971&gt;=判定条件!$C$7*E971,"運転",IF(F971&lt;=判定条件!$C$8*E971,"停止","断続")))</f>
        <v>停止</v>
      </c>
      <c r="H971" s="30" t="n">
        <v>45</v>
      </c>
      <c r="I971" s="30" t="n">
        <v>0</v>
      </c>
      <c r="J971" s="30" t="str">
        <f aca="false">IF(H971&lt;判定条件!$C$6,"判定不能",IF(I971&gt;=判定条件!$C$7*H971,"運転",IF(I971&lt;=判定条件!$C$8*H971,"停止","断続")))</f>
        <v>判定不能</v>
      </c>
      <c r="K971" s="30" t="n">
        <v>60</v>
      </c>
      <c r="L971" s="30" t="n">
        <v>60</v>
      </c>
      <c r="M971" s="30" t="str">
        <f aca="false">IF(K971&lt;判定条件!$C$6,"判定不能",IF(L971&gt;=判定条件!$C$7*K971,"運転",IF(L971&lt;=判定条件!$C$8*K971,"停止","断続")))</f>
        <v>運転</v>
      </c>
      <c r="N971" s="30" t="n">
        <v>60</v>
      </c>
      <c r="O971" s="30" t="n">
        <v>36</v>
      </c>
      <c r="P971" s="30" t="str">
        <f aca="false">IF(N971&lt;判定条件!$C$6,"判定不能",IF(O971&gt;=判定条件!$C$7*N971,"運転",IF(O971&lt;=判定条件!$C$8*N971,"停止","断続")))</f>
        <v>断続</v>
      </c>
      <c r="Q971" s="30" t="n">
        <v>60</v>
      </c>
      <c r="R971" s="30" t="n">
        <v>56</v>
      </c>
      <c r="S971" s="30" t="str">
        <f aca="false">IF(Q971&lt;判定条件!$C$6,"判定不能",IF(R971&gt;=判定条件!$C$7*Q971,"運転",IF(R971&lt;=判定条件!$C$8*Q971,"停止","断続")))</f>
        <v>運転</v>
      </c>
      <c r="T971" s="30" t="n">
        <v>60</v>
      </c>
      <c r="U971" s="30" t="n">
        <v>47</v>
      </c>
      <c r="V971" s="30" t="str">
        <f aca="false">IF(T971&lt;判定条件!$C$6,"判定不能",IF(U971&gt;=判定条件!$C$7*T971,"運転",IF(U971&lt;=判定条件!$C$8*T971,"停止","断続")))</f>
        <v>断続</v>
      </c>
      <c r="W971" s="30" t="n">
        <v>60</v>
      </c>
      <c r="X971" s="30" t="n">
        <v>26</v>
      </c>
      <c r="Y971" s="30" t="str">
        <f aca="false">IF(W971&lt;判定条件!$C$6,"判定不能",IF(X971&gt;=判定条件!$C$7*W971,"運転",IF(X971&lt;=判定条件!$C$8*W971,"停止","断続")))</f>
        <v>断続</v>
      </c>
      <c r="Z971" s="30" t="n">
        <v>60</v>
      </c>
      <c r="AA971" s="30" t="n">
        <v>16</v>
      </c>
      <c r="AB971" s="30" t="str">
        <f aca="false">IF(Z971&lt;判定条件!$C$6,"判定不能",IF(AA971&gt;=判定条件!$C$7*Z971,"運転",IF(AA971&lt;=判定条件!$C$8*Z971,"停止","断続")))</f>
        <v>断続</v>
      </c>
      <c r="AC971" s="30" t="n">
        <v>60</v>
      </c>
      <c r="AD971" s="30" t="n">
        <v>60</v>
      </c>
      <c r="AE971" s="30" t="str">
        <f aca="false">IF(AC971&lt;判定条件!$C$6,"判定不能",IF(AD971&gt;=判定条件!$C$7*AC971,"運転",IF(AD971&lt;=判定条件!$C$8*AC971,"停止","断続")))</f>
        <v>運転</v>
      </c>
      <c r="AF971" s="30" t="n">
        <v>60</v>
      </c>
      <c r="AG971" s="30" t="n">
        <v>0</v>
      </c>
      <c r="AH971" s="30" t="str">
        <f aca="false">IF(OR(P971="判定不能",G971="判定不能"),"判定不能",IF(AG971&gt;=判定条件!$C$9,"利用可",IF(AND(P971="停止",G971="停止"),"両方停止","運転がそろわない")))</f>
        <v>運転がそろわない</v>
      </c>
      <c r="AI971" s="30" t="n">
        <v>45</v>
      </c>
      <c r="AJ971" s="30" t="n">
        <v>0</v>
      </c>
      <c r="AK971" s="30" t="str">
        <f aca="false">IF(OR(S971="判定不能",J971="判定不能"),"判定不能",IF(AJ971&gt;=判定条件!$C$9,"利用可",IF(AND(S971="停止",J971="停止"),"両方停止","運転がそろわない")))</f>
        <v>判定不能</v>
      </c>
      <c r="AL971" s="30" t="n">
        <v>60</v>
      </c>
      <c r="AM971" s="30" t="n">
        <v>47</v>
      </c>
      <c r="AN971" s="30" t="str">
        <f aca="false">IF(OR(V971="判定不能",M971="判定不能"),"判定不能",IF(AM971&gt;=判定条件!$C$9,"利用可",IF(AND(V971="停止",M971="停止"),"両方停止","運転がそろわない")))</f>
        <v>利用可</v>
      </c>
      <c r="AO971" s="30" t="n">
        <v>60</v>
      </c>
      <c r="AP971" s="30" t="n">
        <v>0</v>
      </c>
      <c r="AQ971" s="30" t="str">
        <f aca="false">IF(OR(Y971="判定不能",G971="判定不能"),"判定不能",IF(AP971&gt;=判定条件!$C$9,"利用可",IF(AND(Y971="停止",G971="停止"),"両方停止","運転がそろわない")))</f>
        <v>運転がそろわない</v>
      </c>
      <c r="AR971" s="30" t="n">
        <v>45</v>
      </c>
      <c r="AS971" s="30" t="n">
        <v>0</v>
      </c>
      <c r="AT971" s="30" t="str">
        <f aca="false">IF(OR(AB971="判定不能",J971="判定不能"),"判定不能",IF(AS971&gt;=判定条件!$C$9,"利用可",IF(AND(AB971="停止",J971="停止"),"両方停止","運転がそろわない")))</f>
        <v>判定不能</v>
      </c>
      <c r="AU971" s="30" t="n">
        <v>60</v>
      </c>
      <c r="AV971" s="30" t="n">
        <v>60</v>
      </c>
      <c r="AW971" s="30" t="str">
        <f aca="false">IF(OR(AE971="判定不能",M971="判定不能"),"判定不能",IF(AV971&gt;=判定条件!$C$9,"利用可",IF(AND(AE971="停止",M971="停止"),"両方停止","運転がそろわない")))</f>
        <v>利用可</v>
      </c>
      <c r="AX971" s="30" t="str">
        <f aca="false">IF(AND(AH971="利用可",AK971="利用可",AN971="利用可"),"利用可","不可")</f>
        <v>不可</v>
      </c>
      <c r="AY971" s="30" t="str">
        <f aca="false">IF(AND(AQ971="利用可",AT971="利用可",AW971="利用可"),"利用可","不可")</f>
        <v>不可</v>
      </c>
    </row>
    <row r="972" customFormat="false" ht="15" hidden="false" customHeight="false" outlineLevel="0" collapsed="false">
      <c r="A972" s="29" t="n">
        <v>46272</v>
      </c>
      <c r="B972" s="30" t="n">
        <v>9</v>
      </c>
      <c r="C972" s="31" t="s">
        <v>66</v>
      </c>
      <c r="D972" s="31" t="s">
        <v>59</v>
      </c>
      <c r="E972" s="30" t="n">
        <v>60</v>
      </c>
      <c r="F972" s="30" t="n">
        <v>0</v>
      </c>
      <c r="G972" s="30" t="str">
        <f aca="false">IF(E972&lt;判定条件!$C$6,"判定不能",IF(F972&gt;=判定条件!$C$7*E972,"運転",IF(F972&lt;=判定条件!$C$8*E972,"停止","断続")))</f>
        <v>停止</v>
      </c>
      <c r="H972" s="30" t="n">
        <v>0</v>
      </c>
      <c r="I972" s="30" t="n">
        <v>0</v>
      </c>
      <c r="J972" s="30" t="str">
        <f aca="false">IF(H972&lt;判定条件!$C$6,"判定不能",IF(I972&gt;=判定条件!$C$7*H972,"運転",IF(I972&lt;=判定条件!$C$8*H972,"停止","断続")))</f>
        <v>判定不能</v>
      </c>
      <c r="K972" s="30" t="n">
        <v>60</v>
      </c>
      <c r="L972" s="30" t="n">
        <v>60</v>
      </c>
      <c r="M972" s="30" t="str">
        <f aca="false">IF(K972&lt;判定条件!$C$6,"判定不能",IF(L972&gt;=判定条件!$C$7*K972,"運転",IF(L972&lt;=判定条件!$C$8*K972,"停止","断続")))</f>
        <v>運転</v>
      </c>
      <c r="N972" s="30" t="n">
        <v>60</v>
      </c>
      <c r="O972" s="30" t="n">
        <v>47</v>
      </c>
      <c r="P972" s="30" t="str">
        <f aca="false">IF(N972&lt;判定条件!$C$6,"判定不能",IF(O972&gt;=判定条件!$C$7*N972,"運転",IF(O972&lt;=判定条件!$C$8*N972,"停止","断続")))</f>
        <v>断続</v>
      </c>
      <c r="Q972" s="30" t="n">
        <v>60</v>
      </c>
      <c r="R972" s="30" t="n">
        <v>60</v>
      </c>
      <c r="S972" s="30" t="str">
        <f aca="false">IF(Q972&lt;判定条件!$C$6,"判定不能",IF(R972&gt;=判定条件!$C$7*Q972,"運転",IF(R972&lt;=判定条件!$C$8*Q972,"停止","断続")))</f>
        <v>運転</v>
      </c>
      <c r="T972" s="30" t="n">
        <v>60</v>
      </c>
      <c r="U972" s="30" t="n">
        <v>60</v>
      </c>
      <c r="V972" s="30" t="str">
        <f aca="false">IF(T972&lt;判定条件!$C$6,"判定不能",IF(U972&gt;=判定条件!$C$7*T972,"運転",IF(U972&lt;=判定条件!$C$8*T972,"停止","断続")))</f>
        <v>運転</v>
      </c>
      <c r="W972" s="30" t="n">
        <v>60</v>
      </c>
      <c r="X972" s="30" t="n">
        <v>60</v>
      </c>
      <c r="Y972" s="30" t="str">
        <f aca="false">IF(W972&lt;判定条件!$C$6,"判定不能",IF(X972&gt;=判定条件!$C$7*W972,"運転",IF(X972&lt;=判定条件!$C$8*W972,"停止","断続")))</f>
        <v>運転</v>
      </c>
      <c r="Z972" s="30" t="n">
        <v>60</v>
      </c>
      <c r="AA972" s="30" t="n">
        <v>42</v>
      </c>
      <c r="AB972" s="30" t="str">
        <f aca="false">IF(Z972&lt;判定条件!$C$6,"判定不能",IF(AA972&gt;=判定条件!$C$7*Z972,"運転",IF(AA972&lt;=判定条件!$C$8*Z972,"停止","断続")))</f>
        <v>断続</v>
      </c>
      <c r="AC972" s="30" t="n">
        <v>60</v>
      </c>
      <c r="AD972" s="30" t="n">
        <v>60</v>
      </c>
      <c r="AE972" s="30" t="str">
        <f aca="false">IF(AC972&lt;判定条件!$C$6,"判定不能",IF(AD972&gt;=判定条件!$C$7*AC972,"運転",IF(AD972&lt;=判定条件!$C$8*AC972,"停止","断続")))</f>
        <v>運転</v>
      </c>
      <c r="AF972" s="30" t="n">
        <v>60</v>
      </c>
      <c r="AG972" s="30" t="n">
        <v>0</v>
      </c>
      <c r="AH972" s="30" t="str">
        <f aca="false">IF(OR(P972="判定不能",G972="判定不能"),"判定不能",IF(AG972&gt;=判定条件!$C$9,"利用可",IF(AND(P972="停止",G972="停止"),"両方停止","運転がそろわない")))</f>
        <v>運転がそろわない</v>
      </c>
      <c r="AI972" s="30" t="n">
        <v>0</v>
      </c>
      <c r="AJ972" s="30" t="n">
        <v>0</v>
      </c>
      <c r="AK972" s="30" t="str">
        <f aca="false">IF(OR(S972="判定不能",J972="判定不能"),"判定不能",IF(AJ972&gt;=判定条件!$C$9,"利用可",IF(AND(S972="停止",J972="停止"),"両方停止","運転がそろわない")))</f>
        <v>判定不能</v>
      </c>
      <c r="AL972" s="30" t="n">
        <v>60</v>
      </c>
      <c r="AM972" s="30" t="n">
        <v>60</v>
      </c>
      <c r="AN972" s="30" t="str">
        <f aca="false">IF(OR(V972="判定不能",M972="判定不能"),"判定不能",IF(AM972&gt;=判定条件!$C$9,"利用可",IF(AND(V972="停止",M972="停止"),"両方停止","運転がそろわない")))</f>
        <v>利用可</v>
      </c>
      <c r="AO972" s="30" t="n">
        <v>60</v>
      </c>
      <c r="AP972" s="30" t="n">
        <v>0</v>
      </c>
      <c r="AQ972" s="30" t="str">
        <f aca="false">IF(OR(Y972="判定不能",G972="判定不能"),"判定不能",IF(AP972&gt;=判定条件!$C$9,"利用可",IF(AND(Y972="停止",G972="停止"),"両方停止","運転がそろわない")))</f>
        <v>運転がそろわない</v>
      </c>
      <c r="AR972" s="30" t="n">
        <v>0</v>
      </c>
      <c r="AS972" s="30" t="n">
        <v>0</v>
      </c>
      <c r="AT972" s="30" t="str">
        <f aca="false">IF(OR(AB972="判定不能",J972="判定不能"),"判定不能",IF(AS972&gt;=判定条件!$C$9,"利用可",IF(AND(AB972="停止",J972="停止"),"両方停止","運転がそろわない")))</f>
        <v>判定不能</v>
      </c>
      <c r="AU972" s="30" t="n">
        <v>60</v>
      </c>
      <c r="AV972" s="30" t="n">
        <v>60</v>
      </c>
      <c r="AW972" s="30" t="str">
        <f aca="false">IF(OR(AE972="判定不能",M972="判定不能"),"判定不能",IF(AV972&gt;=判定条件!$C$9,"利用可",IF(AND(AE972="停止",M972="停止"),"両方停止","運転がそろわない")))</f>
        <v>利用可</v>
      </c>
      <c r="AX972" s="30" t="str">
        <f aca="false">IF(AND(AH972="利用可",AK972="利用可",AN972="利用可"),"利用可","不可")</f>
        <v>不可</v>
      </c>
      <c r="AY972" s="30" t="str">
        <f aca="false">IF(AND(AQ972="利用可",AT972="利用可",AW972="利用可"),"利用可","不可")</f>
        <v>不可</v>
      </c>
    </row>
    <row r="973" customFormat="false" ht="15" hidden="false" customHeight="false" outlineLevel="0" collapsed="false">
      <c r="A973" s="29" t="n">
        <v>46272</v>
      </c>
      <c r="B973" s="30" t="n">
        <v>10</v>
      </c>
      <c r="C973" s="31" t="s">
        <v>66</v>
      </c>
      <c r="D973" s="31" t="s">
        <v>59</v>
      </c>
      <c r="E973" s="30" t="n">
        <v>60</v>
      </c>
      <c r="F973" s="30" t="n">
        <v>38</v>
      </c>
      <c r="G973" s="30" t="str">
        <f aca="false">IF(E973&lt;判定条件!$C$6,"判定不能",IF(F973&gt;=判定条件!$C$7*E973,"運転",IF(F973&lt;=判定条件!$C$8*E973,"停止","断続")))</f>
        <v>断続</v>
      </c>
      <c r="H973" s="30" t="n">
        <v>0</v>
      </c>
      <c r="I973" s="30" t="n">
        <v>0</v>
      </c>
      <c r="J973" s="30" t="str">
        <f aca="false">IF(H973&lt;判定条件!$C$6,"判定不能",IF(I973&gt;=判定条件!$C$7*H973,"運転",IF(I973&lt;=判定条件!$C$8*H973,"停止","断続")))</f>
        <v>判定不能</v>
      </c>
      <c r="K973" s="30" t="n">
        <v>60</v>
      </c>
      <c r="L973" s="30" t="n">
        <v>60</v>
      </c>
      <c r="M973" s="30" t="str">
        <f aca="false">IF(K973&lt;判定条件!$C$6,"判定不能",IF(L973&gt;=判定条件!$C$7*K973,"運転",IF(L973&lt;=判定条件!$C$8*K973,"停止","断続")))</f>
        <v>運転</v>
      </c>
      <c r="N973" s="30" t="n">
        <v>60</v>
      </c>
      <c r="O973" s="30" t="n">
        <v>60</v>
      </c>
      <c r="P973" s="30" t="str">
        <f aca="false">IF(N973&lt;判定条件!$C$6,"判定不能",IF(O973&gt;=判定条件!$C$7*N973,"運転",IF(O973&lt;=判定条件!$C$8*N973,"停止","断続")))</f>
        <v>運転</v>
      </c>
      <c r="Q973" s="30" t="n">
        <v>60</v>
      </c>
      <c r="R973" s="30" t="n">
        <v>57</v>
      </c>
      <c r="S973" s="30" t="str">
        <f aca="false">IF(Q973&lt;判定条件!$C$6,"判定不能",IF(R973&gt;=判定条件!$C$7*Q973,"運転",IF(R973&lt;=判定条件!$C$8*Q973,"停止","断続")))</f>
        <v>運転</v>
      </c>
      <c r="T973" s="30" t="n">
        <v>60</v>
      </c>
      <c r="U973" s="30" t="n">
        <v>48</v>
      </c>
      <c r="V973" s="30" t="str">
        <f aca="false">IF(T973&lt;判定条件!$C$6,"判定不能",IF(U973&gt;=判定条件!$C$7*T973,"運転",IF(U973&lt;=判定条件!$C$8*T973,"停止","断続")))</f>
        <v>運転</v>
      </c>
      <c r="W973" s="30" t="n">
        <v>60</v>
      </c>
      <c r="X973" s="30" t="n">
        <v>60</v>
      </c>
      <c r="Y973" s="30" t="str">
        <f aca="false">IF(W973&lt;判定条件!$C$6,"判定不能",IF(X973&gt;=判定条件!$C$7*W973,"運転",IF(X973&lt;=判定条件!$C$8*W973,"停止","断続")))</f>
        <v>運転</v>
      </c>
      <c r="Z973" s="30" t="n">
        <v>60</v>
      </c>
      <c r="AA973" s="30" t="n">
        <v>32</v>
      </c>
      <c r="AB973" s="30" t="str">
        <f aca="false">IF(Z973&lt;判定条件!$C$6,"判定不能",IF(AA973&gt;=判定条件!$C$7*Z973,"運転",IF(AA973&lt;=判定条件!$C$8*Z973,"停止","断続")))</f>
        <v>断続</v>
      </c>
      <c r="AC973" s="30" t="n">
        <v>60</v>
      </c>
      <c r="AD973" s="30" t="n">
        <v>60</v>
      </c>
      <c r="AE973" s="30" t="str">
        <f aca="false">IF(AC973&lt;判定条件!$C$6,"判定不能",IF(AD973&gt;=判定条件!$C$7*AC973,"運転",IF(AD973&lt;=判定条件!$C$8*AC973,"停止","断続")))</f>
        <v>運転</v>
      </c>
      <c r="AF973" s="30" t="n">
        <v>60</v>
      </c>
      <c r="AG973" s="30" t="n">
        <v>38</v>
      </c>
      <c r="AH973" s="30" t="str">
        <f aca="false">IF(OR(P973="判定不能",G973="判定不能"),"判定不能",IF(AG973&gt;=判定条件!$C$9,"利用可",IF(AND(P973="停止",G973="停止"),"両方停止","運転がそろわない")))</f>
        <v>利用可</v>
      </c>
      <c r="AI973" s="30" t="n">
        <v>0</v>
      </c>
      <c r="AJ973" s="30" t="n">
        <v>0</v>
      </c>
      <c r="AK973" s="30" t="str">
        <f aca="false">IF(OR(S973="判定不能",J973="判定不能"),"判定不能",IF(AJ973&gt;=判定条件!$C$9,"利用可",IF(AND(S973="停止",J973="停止"),"両方停止","運転がそろわない")))</f>
        <v>判定不能</v>
      </c>
      <c r="AL973" s="30" t="n">
        <v>60</v>
      </c>
      <c r="AM973" s="30" t="n">
        <v>48</v>
      </c>
      <c r="AN973" s="30" t="str">
        <f aca="false">IF(OR(V973="判定不能",M973="判定不能"),"判定不能",IF(AM973&gt;=判定条件!$C$9,"利用可",IF(AND(V973="停止",M973="停止"),"両方停止","運転がそろわない")))</f>
        <v>利用可</v>
      </c>
      <c r="AO973" s="30" t="n">
        <v>60</v>
      </c>
      <c r="AP973" s="30" t="n">
        <v>38</v>
      </c>
      <c r="AQ973" s="30" t="str">
        <f aca="false">IF(OR(Y973="判定不能",G973="判定不能"),"判定不能",IF(AP973&gt;=判定条件!$C$9,"利用可",IF(AND(Y973="停止",G973="停止"),"両方停止","運転がそろわない")))</f>
        <v>利用可</v>
      </c>
      <c r="AR973" s="30" t="n">
        <v>0</v>
      </c>
      <c r="AS973" s="30" t="n">
        <v>0</v>
      </c>
      <c r="AT973" s="30" t="str">
        <f aca="false">IF(OR(AB973="判定不能",J973="判定不能"),"判定不能",IF(AS973&gt;=判定条件!$C$9,"利用可",IF(AND(AB973="停止",J973="停止"),"両方停止","運転がそろわない")))</f>
        <v>判定不能</v>
      </c>
      <c r="AU973" s="30" t="n">
        <v>60</v>
      </c>
      <c r="AV973" s="30" t="n">
        <v>60</v>
      </c>
      <c r="AW973" s="30" t="str">
        <f aca="false">IF(OR(AE973="判定不能",M973="判定不能"),"判定不能",IF(AV973&gt;=判定条件!$C$9,"利用可",IF(AND(AE973="停止",M973="停止"),"両方停止","運転がそろわない")))</f>
        <v>利用可</v>
      </c>
      <c r="AX973" s="30" t="str">
        <f aca="false">IF(AND(AH973="利用可",AK973="利用可",AN973="利用可"),"利用可","不可")</f>
        <v>不可</v>
      </c>
      <c r="AY973" s="30" t="str">
        <f aca="false">IF(AND(AQ973="利用可",AT973="利用可",AW973="利用可"),"利用可","不可")</f>
        <v>不可</v>
      </c>
    </row>
    <row r="974" customFormat="false" ht="15" hidden="false" customHeight="false" outlineLevel="0" collapsed="false">
      <c r="A974" s="29" t="n">
        <v>46272</v>
      </c>
      <c r="B974" s="30" t="n">
        <v>11</v>
      </c>
      <c r="C974" s="31" t="s">
        <v>66</v>
      </c>
      <c r="D974" s="31" t="s">
        <v>59</v>
      </c>
      <c r="E974" s="30" t="n">
        <v>60</v>
      </c>
      <c r="F974" s="30" t="n">
        <v>60</v>
      </c>
      <c r="G974" s="30" t="str">
        <f aca="false">IF(E974&lt;判定条件!$C$6,"判定不能",IF(F974&gt;=判定条件!$C$7*E974,"運転",IF(F974&lt;=判定条件!$C$8*E974,"停止","断続")))</f>
        <v>運転</v>
      </c>
      <c r="H974" s="30" t="n">
        <v>0</v>
      </c>
      <c r="I974" s="30" t="n">
        <v>0</v>
      </c>
      <c r="J974" s="30" t="str">
        <f aca="false">IF(H974&lt;判定条件!$C$6,"判定不能",IF(I974&gt;=判定条件!$C$7*H974,"運転",IF(I974&lt;=判定条件!$C$8*H974,"停止","断続")))</f>
        <v>判定不能</v>
      </c>
      <c r="K974" s="30" t="n">
        <v>60</v>
      </c>
      <c r="L974" s="30" t="n">
        <v>60</v>
      </c>
      <c r="M974" s="30" t="str">
        <f aca="false">IF(K974&lt;判定条件!$C$6,"判定不能",IF(L974&gt;=判定条件!$C$7*K974,"運転",IF(L974&lt;=判定条件!$C$8*K974,"停止","断続")))</f>
        <v>運転</v>
      </c>
      <c r="N974" s="30" t="n">
        <v>60</v>
      </c>
      <c r="O974" s="30" t="n">
        <v>60</v>
      </c>
      <c r="P974" s="30" t="str">
        <f aca="false">IF(N974&lt;判定条件!$C$6,"判定不能",IF(O974&gt;=判定条件!$C$7*N974,"運転",IF(O974&lt;=判定条件!$C$8*N974,"停止","断続")))</f>
        <v>運転</v>
      </c>
      <c r="Q974" s="30" t="n">
        <v>60</v>
      </c>
      <c r="R974" s="30" t="n">
        <v>60</v>
      </c>
      <c r="S974" s="30" t="str">
        <f aca="false">IF(Q974&lt;判定条件!$C$6,"判定不能",IF(R974&gt;=判定条件!$C$7*Q974,"運転",IF(R974&lt;=判定条件!$C$8*Q974,"停止","断続")))</f>
        <v>運転</v>
      </c>
      <c r="T974" s="30" t="n">
        <v>60</v>
      </c>
      <c r="U974" s="30" t="n">
        <v>29</v>
      </c>
      <c r="V974" s="30" t="str">
        <f aca="false">IF(T974&lt;判定条件!$C$6,"判定不能",IF(U974&gt;=判定条件!$C$7*T974,"運転",IF(U974&lt;=判定条件!$C$8*T974,"停止","断続")))</f>
        <v>断続</v>
      </c>
      <c r="W974" s="30" t="n">
        <v>60</v>
      </c>
      <c r="X974" s="30" t="n">
        <v>55</v>
      </c>
      <c r="Y974" s="30" t="str">
        <f aca="false">IF(W974&lt;判定条件!$C$6,"判定不能",IF(X974&gt;=判定条件!$C$7*W974,"運転",IF(X974&lt;=判定条件!$C$8*W974,"停止","断続")))</f>
        <v>運転</v>
      </c>
      <c r="Z974" s="30" t="n">
        <v>60</v>
      </c>
      <c r="AA974" s="30" t="n">
        <v>42</v>
      </c>
      <c r="AB974" s="30" t="str">
        <f aca="false">IF(Z974&lt;判定条件!$C$6,"判定不能",IF(AA974&gt;=判定条件!$C$7*Z974,"運転",IF(AA974&lt;=判定条件!$C$8*Z974,"停止","断続")))</f>
        <v>断続</v>
      </c>
      <c r="AC974" s="30" t="n">
        <v>60</v>
      </c>
      <c r="AD974" s="30" t="n">
        <v>50</v>
      </c>
      <c r="AE974" s="30" t="str">
        <f aca="false">IF(AC974&lt;判定条件!$C$6,"判定不能",IF(AD974&gt;=判定条件!$C$7*AC974,"運転",IF(AD974&lt;=判定条件!$C$8*AC974,"停止","断続")))</f>
        <v>運転</v>
      </c>
      <c r="AF974" s="30" t="n">
        <v>60</v>
      </c>
      <c r="AG974" s="30" t="n">
        <v>60</v>
      </c>
      <c r="AH974" s="30" t="str">
        <f aca="false">IF(OR(P974="判定不能",G974="判定不能"),"判定不能",IF(AG974&gt;=判定条件!$C$9,"利用可",IF(AND(P974="停止",G974="停止"),"両方停止","運転がそろわない")))</f>
        <v>利用可</v>
      </c>
      <c r="AI974" s="30" t="n">
        <v>0</v>
      </c>
      <c r="AJ974" s="30" t="n">
        <v>0</v>
      </c>
      <c r="AK974" s="30" t="str">
        <f aca="false">IF(OR(S974="判定不能",J974="判定不能"),"判定不能",IF(AJ974&gt;=判定条件!$C$9,"利用可",IF(AND(S974="停止",J974="停止"),"両方停止","運転がそろわない")))</f>
        <v>判定不能</v>
      </c>
      <c r="AL974" s="30" t="n">
        <v>60</v>
      </c>
      <c r="AM974" s="30" t="n">
        <v>29</v>
      </c>
      <c r="AN974" s="30" t="str">
        <f aca="false">IF(OR(V974="判定不能",M974="判定不能"),"判定不能",IF(AM974&gt;=判定条件!$C$9,"利用可",IF(AND(V974="停止",M974="停止"),"両方停止","運転がそろわない")))</f>
        <v>運転がそろわない</v>
      </c>
      <c r="AO974" s="30" t="n">
        <v>60</v>
      </c>
      <c r="AP974" s="30" t="n">
        <v>55</v>
      </c>
      <c r="AQ974" s="30" t="str">
        <f aca="false">IF(OR(Y974="判定不能",G974="判定不能"),"判定不能",IF(AP974&gt;=判定条件!$C$9,"利用可",IF(AND(Y974="停止",G974="停止"),"両方停止","運転がそろわない")))</f>
        <v>利用可</v>
      </c>
      <c r="AR974" s="30" t="n">
        <v>0</v>
      </c>
      <c r="AS974" s="30" t="n">
        <v>0</v>
      </c>
      <c r="AT974" s="30" t="str">
        <f aca="false">IF(OR(AB974="判定不能",J974="判定不能"),"判定不能",IF(AS974&gt;=判定条件!$C$9,"利用可",IF(AND(AB974="停止",J974="停止"),"両方停止","運転がそろわない")))</f>
        <v>判定不能</v>
      </c>
      <c r="AU974" s="30" t="n">
        <v>60</v>
      </c>
      <c r="AV974" s="30" t="n">
        <v>50</v>
      </c>
      <c r="AW974" s="30" t="str">
        <f aca="false">IF(OR(AE974="判定不能",M974="判定不能"),"判定不能",IF(AV974&gt;=判定条件!$C$9,"利用可",IF(AND(AE974="停止",M974="停止"),"両方停止","運転がそろわない")))</f>
        <v>利用可</v>
      </c>
      <c r="AX974" s="30" t="str">
        <f aca="false">IF(AND(AH974="利用可",AK974="利用可",AN974="利用可"),"利用可","不可")</f>
        <v>不可</v>
      </c>
      <c r="AY974" s="30" t="str">
        <f aca="false">IF(AND(AQ974="利用可",AT974="利用可",AW974="利用可"),"利用可","不可")</f>
        <v>不可</v>
      </c>
    </row>
    <row r="975" customFormat="false" ht="15" hidden="false" customHeight="false" outlineLevel="0" collapsed="false">
      <c r="A975" s="29" t="n">
        <v>46272</v>
      </c>
      <c r="B975" s="30" t="n">
        <v>12</v>
      </c>
      <c r="C975" s="31" t="s">
        <v>66</v>
      </c>
      <c r="D975" s="31" t="s">
        <v>59</v>
      </c>
      <c r="E975" s="30" t="n">
        <v>60</v>
      </c>
      <c r="F975" s="30" t="n">
        <v>35</v>
      </c>
      <c r="G975" s="30" t="str">
        <f aca="false">IF(E975&lt;判定条件!$C$6,"判定不能",IF(F975&gt;=判定条件!$C$7*E975,"運転",IF(F975&lt;=判定条件!$C$8*E975,"停止","断続")))</f>
        <v>断続</v>
      </c>
      <c r="H975" s="30" t="n">
        <v>0</v>
      </c>
      <c r="I975" s="30" t="n">
        <v>0</v>
      </c>
      <c r="J975" s="30" t="str">
        <f aca="false">IF(H975&lt;判定条件!$C$6,"判定不能",IF(I975&gt;=判定条件!$C$7*H975,"運転",IF(I975&lt;=判定条件!$C$8*H975,"停止","断続")))</f>
        <v>判定不能</v>
      </c>
      <c r="K975" s="30" t="n">
        <v>60</v>
      </c>
      <c r="L975" s="30" t="n">
        <v>60</v>
      </c>
      <c r="M975" s="30" t="str">
        <f aca="false">IF(K975&lt;判定条件!$C$6,"判定不能",IF(L975&gt;=判定条件!$C$7*K975,"運転",IF(L975&lt;=判定条件!$C$8*K975,"停止","断続")))</f>
        <v>運転</v>
      </c>
      <c r="N975" s="30" t="n">
        <v>60</v>
      </c>
      <c r="O975" s="30" t="n">
        <v>60</v>
      </c>
      <c r="P975" s="30" t="str">
        <f aca="false">IF(N975&lt;判定条件!$C$6,"判定不能",IF(O975&gt;=判定条件!$C$7*N975,"運転",IF(O975&lt;=判定条件!$C$8*N975,"停止","断続")))</f>
        <v>運転</v>
      </c>
      <c r="Q975" s="30" t="n">
        <v>60</v>
      </c>
      <c r="R975" s="30" t="n">
        <v>60</v>
      </c>
      <c r="S975" s="30" t="str">
        <f aca="false">IF(Q975&lt;判定条件!$C$6,"判定不能",IF(R975&gt;=判定条件!$C$7*Q975,"運転",IF(R975&lt;=判定条件!$C$8*Q975,"停止","断続")))</f>
        <v>運転</v>
      </c>
      <c r="T975" s="30" t="n">
        <v>60</v>
      </c>
      <c r="U975" s="30" t="n">
        <v>42</v>
      </c>
      <c r="V975" s="30" t="str">
        <f aca="false">IF(T975&lt;判定条件!$C$6,"判定不能",IF(U975&gt;=判定条件!$C$7*T975,"運転",IF(U975&lt;=判定条件!$C$8*T975,"停止","断続")))</f>
        <v>断続</v>
      </c>
      <c r="W975" s="30" t="n">
        <v>60</v>
      </c>
      <c r="X975" s="30" t="n">
        <v>36</v>
      </c>
      <c r="Y975" s="30" t="str">
        <f aca="false">IF(W975&lt;判定条件!$C$6,"判定不能",IF(X975&gt;=判定条件!$C$7*W975,"運転",IF(X975&lt;=判定条件!$C$8*W975,"停止","断続")))</f>
        <v>断続</v>
      </c>
      <c r="Z975" s="30" t="n">
        <v>60</v>
      </c>
      <c r="AA975" s="30" t="n">
        <v>14</v>
      </c>
      <c r="AB975" s="30" t="str">
        <f aca="false">IF(Z975&lt;判定条件!$C$6,"判定不能",IF(AA975&gt;=判定条件!$C$7*Z975,"運転",IF(AA975&lt;=判定条件!$C$8*Z975,"停止","断続")))</f>
        <v>断続</v>
      </c>
      <c r="AC975" s="30" t="n">
        <v>60</v>
      </c>
      <c r="AD975" s="30" t="n">
        <v>60</v>
      </c>
      <c r="AE975" s="30" t="str">
        <f aca="false">IF(AC975&lt;判定条件!$C$6,"判定不能",IF(AD975&gt;=判定条件!$C$7*AC975,"運転",IF(AD975&lt;=判定条件!$C$8*AC975,"停止","断続")))</f>
        <v>運転</v>
      </c>
      <c r="AF975" s="30" t="n">
        <v>60</v>
      </c>
      <c r="AG975" s="30" t="n">
        <v>35</v>
      </c>
      <c r="AH975" s="30" t="str">
        <f aca="false">IF(OR(P975="判定不能",G975="判定不能"),"判定不能",IF(AG975&gt;=判定条件!$C$9,"利用可",IF(AND(P975="停止",G975="停止"),"両方停止","運転がそろわない")))</f>
        <v>利用可</v>
      </c>
      <c r="AI975" s="30" t="n">
        <v>0</v>
      </c>
      <c r="AJ975" s="30" t="n">
        <v>0</v>
      </c>
      <c r="AK975" s="30" t="str">
        <f aca="false">IF(OR(S975="判定不能",J975="判定不能"),"判定不能",IF(AJ975&gt;=判定条件!$C$9,"利用可",IF(AND(S975="停止",J975="停止"),"両方停止","運転がそろわない")))</f>
        <v>判定不能</v>
      </c>
      <c r="AL975" s="30" t="n">
        <v>60</v>
      </c>
      <c r="AM975" s="30" t="n">
        <v>42</v>
      </c>
      <c r="AN975" s="30" t="str">
        <f aca="false">IF(OR(V975="判定不能",M975="判定不能"),"判定不能",IF(AM975&gt;=判定条件!$C$9,"利用可",IF(AND(V975="停止",M975="停止"),"両方停止","運転がそろわない")))</f>
        <v>利用可</v>
      </c>
      <c r="AO975" s="30" t="n">
        <v>60</v>
      </c>
      <c r="AP975" s="30" t="n">
        <v>22</v>
      </c>
      <c r="AQ975" s="30" t="str">
        <f aca="false">IF(OR(Y975="判定不能",G975="判定不能"),"判定不能",IF(AP975&gt;=判定条件!$C$9,"利用可",IF(AND(Y975="停止",G975="停止"),"両方停止","運転がそろわない")))</f>
        <v>運転がそろわない</v>
      </c>
      <c r="AR975" s="30" t="n">
        <v>0</v>
      </c>
      <c r="AS975" s="30" t="n">
        <v>0</v>
      </c>
      <c r="AT975" s="30" t="str">
        <f aca="false">IF(OR(AB975="判定不能",J975="判定不能"),"判定不能",IF(AS975&gt;=判定条件!$C$9,"利用可",IF(AND(AB975="停止",J975="停止"),"両方停止","運転がそろわない")))</f>
        <v>判定不能</v>
      </c>
      <c r="AU975" s="30" t="n">
        <v>60</v>
      </c>
      <c r="AV975" s="30" t="n">
        <v>60</v>
      </c>
      <c r="AW975" s="30" t="str">
        <f aca="false">IF(OR(AE975="判定不能",M975="判定不能"),"判定不能",IF(AV975&gt;=判定条件!$C$9,"利用可",IF(AND(AE975="停止",M975="停止"),"両方停止","運転がそろわない")))</f>
        <v>利用可</v>
      </c>
      <c r="AX975" s="30" t="str">
        <f aca="false">IF(AND(AH975="利用可",AK975="利用可",AN975="利用可"),"利用可","不可")</f>
        <v>不可</v>
      </c>
      <c r="AY975" s="30" t="str">
        <f aca="false">IF(AND(AQ975="利用可",AT975="利用可",AW975="利用可"),"利用可","不可")</f>
        <v>不可</v>
      </c>
    </row>
    <row r="976" customFormat="false" ht="15" hidden="false" customHeight="false" outlineLevel="0" collapsed="false">
      <c r="A976" s="29" t="n">
        <v>46272</v>
      </c>
      <c r="B976" s="30" t="n">
        <v>13</v>
      </c>
      <c r="C976" s="31" t="s">
        <v>66</v>
      </c>
      <c r="D976" s="31" t="s">
        <v>59</v>
      </c>
      <c r="E976" s="30" t="n">
        <v>60</v>
      </c>
      <c r="F976" s="30" t="n">
        <v>46</v>
      </c>
      <c r="G976" s="30" t="str">
        <f aca="false">IF(E976&lt;判定条件!$C$6,"判定不能",IF(F976&gt;=判定条件!$C$7*E976,"運転",IF(F976&lt;=判定条件!$C$8*E976,"停止","断続")))</f>
        <v>断続</v>
      </c>
      <c r="H976" s="30" t="n">
        <v>0</v>
      </c>
      <c r="I976" s="30" t="n">
        <v>0</v>
      </c>
      <c r="J976" s="30" t="str">
        <f aca="false">IF(H976&lt;判定条件!$C$6,"判定不能",IF(I976&gt;=判定条件!$C$7*H976,"運転",IF(I976&lt;=判定条件!$C$8*H976,"停止","断続")))</f>
        <v>判定不能</v>
      </c>
      <c r="K976" s="30" t="n">
        <v>60</v>
      </c>
      <c r="L976" s="30" t="n">
        <v>60</v>
      </c>
      <c r="M976" s="30" t="str">
        <f aca="false">IF(K976&lt;判定条件!$C$6,"判定不能",IF(L976&gt;=判定条件!$C$7*K976,"運転",IF(L976&lt;=判定条件!$C$8*K976,"停止","断続")))</f>
        <v>運転</v>
      </c>
      <c r="N976" s="30" t="n">
        <v>60</v>
      </c>
      <c r="O976" s="30" t="n">
        <v>55</v>
      </c>
      <c r="P976" s="30" t="str">
        <f aca="false">IF(N976&lt;判定条件!$C$6,"判定不能",IF(O976&gt;=判定条件!$C$7*N976,"運転",IF(O976&lt;=判定条件!$C$8*N976,"停止","断続")))</f>
        <v>運転</v>
      </c>
      <c r="Q976" s="30" t="n">
        <v>60</v>
      </c>
      <c r="R976" s="30" t="n">
        <v>60</v>
      </c>
      <c r="S976" s="30" t="str">
        <f aca="false">IF(Q976&lt;判定条件!$C$6,"判定不能",IF(R976&gt;=判定条件!$C$7*Q976,"運転",IF(R976&lt;=判定条件!$C$8*Q976,"停止","断続")))</f>
        <v>運転</v>
      </c>
      <c r="T976" s="30" t="n">
        <v>60</v>
      </c>
      <c r="U976" s="30" t="n">
        <v>54</v>
      </c>
      <c r="V976" s="30" t="str">
        <f aca="false">IF(T976&lt;判定条件!$C$6,"判定不能",IF(U976&gt;=判定条件!$C$7*T976,"運転",IF(U976&lt;=判定条件!$C$8*T976,"停止","断続")))</f>
        <v>運転</v>
      </c>
      <c r="W976" s="30" t="n">
        <v>60</v>
      </c>
      <c r="X976" s="30" t="n">
        <v>27</v>
      </c>
      <c r="Y976" s="30" t="str">
        <f aca="false">IF(W976&lt;判定条件!$C$6,"判定不能",IF(X976&gt;=判定条件!$C$7*W976,"運転",IF(X976&lt;=判定条件!$C$8*W976,"停止","断続")))</f>
        <v>断続</v>
      </c>
      <c r="Z976" s="30" t="n">
        <v>60</v>
      </c>
      <c r="AA976" s="30" t="n">
        <v>29</v>
      </c>
      <c r="AB976" s="30" t="str">
        <f aca="false">IF(Z976&lt;判定条件!$C$6,"判定不能",IF(AA976&gt;=判定条件!$C$7*Z976,"運転",IF(AA976&lt;=判定条件!$C$8*Z976,"停止","断続")))</f>
        <v>断続</v>
      </c>
      <c r="AC976" s="30" t="n">
        <v>60</v>
      </c>
      <c r="AD976" s="30" t="n">
        <v>60</v>
      </c>
      <c r="AE976" s="30" t="str">
        <f aca="false">IF(AC976&lt;判定条件!$C$6,"判定不能",IF(AD976&gt;=判定条件!$C$7*AC976,"運転",IF(AD976&lt;=判定条件!$C$8*AC976,"停止","断続")))</f>
        <v>運転</v>
      </c>
      <c r="AF976" s="30" t="n">
        <v>60</v>
      </c>
      <c r="AG976" s="30" t="n">
        <v>45</v>
      </c>
      <c r="AH976" s="30" t="str">
        <f aca="false">IF(OR(P976="判定不能",G976="判定不能"),"判定不能",IF(AG976&gt;=判定条件!$C$9,"利用可",IF(AND(P976="停止",G976="停止"),"両方停止","運転がそろわない")))</f>
        <v>利用可</v>
      </c>
      <c r="AI976" s="30" t="n">
        <v>0</v>
      </c>
      <c r="AJ976" s="30" t="n">
        <v>0</v>
      </c>
      <c r="AK976" s="30" t="str">
        <f aca="false">IF(OR(S976="判定不能",J976="判定不能"),"判定不能",IF(AJ976&gt;=判定条件!$C$9,"利用可",IF(AND(S976="停止",J976="停止"),"両方停止","運転がそろわない")))</f>
        <v>判定不能</v>
      </c>
      <c r="AL976" s="30" t="n">
        <v>60</v>
      </c>
      <c r="AM976" s="30" t="n">
        <v>54</v>
      </c>
      <c r="AN976" s="30" t="str">
        <f aca="false">IF(OR(V976="判定不能",M976="判定不能"),"判定不能",IF(AM976&gt;=判定条件!$C$9,"利用可",IF(AND(V976="停止",M976="停止"),"両方停止","運転がそろわない")))</f>
        <v>利用可</v>
      </c>
      <c r="AO976" s="30" t="n">
        <v>60</v>
      </c>
      <c r="AP976" s="30" t="n">
        <v>21</v>
      </c>
      <c r="AQ976" s="30" t="str">
        <f aca="false">IF(OR(Y976="判定不能",G976="判定不能"),"判定不能",IF(AP976&gt;=判定条件!$C$9,"利用可",IF(AND(Y976="停止",G976="停止"),"両方停止","運転がそろわない")))</f>
        <v>運転がそろわない</v>
      </c>
      <c r="AR976" s="30" t="n">
        <v>0</v>
      </c>
      <c r="AS976" s="30" t="n">
        <v>0</v>
      </c>
      <c r="AT976" s="30" t="str">
        <f aca="false">IF(OR(AB976="判定不能",J976="判定不能"),"判定不能",IF(AS976&gt;=判定条件!$C$9,"利用可",IF(AND(AB976="停止",J976="停止"),"両方停止","運転がそろわない")))</f>
        <v>判定不能</v>
      </c>
      <c r="AU976" s="30" t="n">
        <v>60</v>
      </c>
      <c r="AV976" s="30" t="n">
        <v>60</v>
      </c>
      <c r="AW976" s="30" t="str">
        <f aca="false">IF(OR(AE976="判定不能",M976="判定不能"),"判定不能",IF(AV976&gt;=判定条件!$C$9,"利用可",IF(AND(AE976="停止",M976="停止"),"両方停止","運転がそろわない")))</f>
        <v>利用可</v>
      </c>
      <c r="AX976" s="30" t="str">
        <f aca="false">IF(AND(AH976="利用可",AK976="利用可",AN976="利用可"),"利用可","不可")</f>
        <v>不可</v>
      </c>
      <c r="AY976" s="30" t="str">
        <f aca="false">IF(AND(AQ976="利用可",AT976="利用可",AW976="利用可"),"利用可","不可")</f>
        <v>不可</v>
      </c>
    </row>
    <row r="977" customFormat="false" ht="15" hidden="false" customHeight="false" outlineLevel="0" collapsed="false">
      <c r="A977" s="29" t="n">
        <v>46272</v>
      </c>
      <c r="B977" s="30" t="n">
        <v>14</v>
      </c>
      <c r="C977" s="31" t="s">
        <v>66</v>
      </c>
      <c r="D977" s="31" t="s">
        <v>59</v>
      </c>
      <c r="E977" s="30" t="n">
        <v>60</v>
      </c>
      <c r="F977" s="30" t="n">
        <v>9</v>
      </c>
      <c r="G977" s="30" t="str">
        <f aca="false">IF(E977&lt;判定条件!$C$6,"判定不能",IF(F977&gt;=判定条件!$C$7*E977,"運転",IF(F977&lt;=判定条件!$C$8*E977,"停止","断続")))</f>
        <v>停止</v>
      </c>
      <c r="H977" s="30" t="n">
        <v>0</v>
      </c>
      <c r="I977" s="30" t="n">
        <v>0</v>
      </c>
      <c r="J977" s="30" t="str">
        <f aca="false">IF(H977&lt;判定条件!$C$6,"判定不能",IF(I977&gt;=判定条件!$C$7*H977,"運転",IF(I977&lt;=判定条件!$C$8*H977,"停止","断続")))</f>
        <v>判定不能</v>
      </c>
      <c r="K977" s="30" t="n">
        <v>60</v>
      </c>
      <c r="L977" s="30" t="n">
        <v>60</v>
      </c>
      <c r="M977" s="30" t="str">
        <f aca="false">IF(K977&lt;判定条件!$C$6,"判定不能",IF(L977&gt;=判定条件!$C$7*K977,"運転",IF(L977&lt;=判定条件!$C$8*K977,"停止","断続")))</f>
        <v>運転</v>
      </c>
      <c r="N977" s="30" t="n">
        <v>60</v>
      </c>
      <c r="O977" s="30" t="n">
        <v>48</v>
      </c>
      <c r="P977" s="30" t="str">
        <f aca="false">IF(N977&lt;判定条件!$C$6,"判定不能",IF(O977&gt;=判定条件!$C$7*N977,"運転",IF(O977&lt;=判定条件!$C$8*N977,"停止","断続")))</f>
        <v>運転</v>
      </c>
      <c r="Q977" s="30" t="n">
        <v>60</v>
      </c>
      <c r="R977" s="30" t="n">
        <v>60</v>
      </c>
      <c r="S977" s="30" t="str">
        <f aca="false">IF(Q977&lt;判定条件!$C$6,"判定不能",IF(R977&gt;=判定条件!$C$7*Q977,"運転",IF(R977&lt;=判定条件!$C$8*Q977,"停止","断続")))</f>
        <v>運転</v>
      </c>
      <c r="T977" s="30" t="n">
        <v>60</v>
      </c>
      <c r="U977" s="30" t="n">
        <v>16</v>
      </c>
      <c r="V977" s="30" t="str">
        <f aca="false">IF(T977&lt;判定条件!$C$6,"判定不能",IF(U977&gt;=判定条件!$C$7*T977,"運転",IF(U977&lt;=判定条件!$C$8*T977,"停止","断続")))</f>
        <v>断続</v>
      </c>
      <c r="W977" s="30" t="n">
        <v>60</v>
      </c>
      <c r="X977" s="30" t="n">
        <v>32</v>
      </c>
      <c r="Y977" s="30" t="str">
        <f aca="false">IF(W977&lt;判定条件!$C$6,"判定不能",IF(X977&gt;=判定条件!$C$7*W977,"運転",IF(X977&lt;=判定条件!$C$8*W977,"停止","断続")))</f>
        <v>断続</v>
      </c>
      <c r="Z977" s="30" t="n">
        <v>60</v>
      </c>
      <c r="AA977" s="30" t="n">
        <v>0</v>
      </c>
      <c r="AB977" s="30" t="str">
        <f aca="false">IF(Z977&lt;判定条件!$C$6,"判定不能",IF(AA977&gt;=判定条件!$C$7*Z977,"運転",IF(AA977&lt;=判定条件!$C$8*Z977,"停止","断続")))</f>
        <v>停止</v>
      </c>
      <c r="AC977" s="30" t="n">
        <v>60</v>
      </c>
      <c r="AD977" s="30" t="n">
        <v>41</v>
      </c>
      <c r="AE977" s="30" t="str">
        <f aca="false">IF(AC977&lt;判定条件!$C$6,"判定不能",IF(AD977&gt;=判定条件!$C$7*AC977,"運転",IF(AD977&lt;=判定条件!$C$8*AC977,"停止","断続")))</f>
        <v>断続</v>
      </c>
      <c r="AF977" s="30" t="n">
        <v>60</v>
      </c>
      <c r="AG977" s="30" t="n">
        <v>7</v>
      </c>
      <c r="AH977" s="30" t="str">
        <f aca="false">IF(OR(P977="判定不能",G977="判定不能"),"判定不能",IF(AG977&gt;=判定条件!$C$9,"利用可",IF(AND(P977="停止",G977="停止"),"両方停止","運転がそろわない")))</f>
        <v>運転がそろわない</v>
      </c>
      <c r="AI977" s="30" t="n">
        <v>0</v>
      </c>
      <c r="AJ977" s="30" t="n">
        <v>0</v>
      </c>
      <c r="AK977" s="30" t="str">
        <f aca="false">IF(OR(S977="判定不能",J977="判定不能"),"判定不能",IF(AJ977&gt;=判定条件!$C$9,"利用可",IF(AND(S977="停止",J977="停止"),"両方停止","運転がそろわない")))</f>
        <v>判定不能</v>
      </c>
      <c r="AL977" s="30" t="n">
        <v>60</v>
      </c>
      <c r="AM977" s="30" t="n">
        <v>16</v>
      </c>
      <c r="AN977" s="30" t="str">
        <f aca="false">IF(OR(V977="判定不能",M977="判定不能"),"判定不能",IF(AM977&gt;=判定条件!$C$9,"利用可",IF(AND(V977="停止",M977="停止"),"両方停止","運転がそろわない")))</f>
        <v>運転がそろわない</v>
      </c>
      <c r="AO977" s="30" t="n">
        <v>60</v>
      </c>
      <c r="AP977" s="30" t="n">
        <v>4</v>
      </c>
      <c r="AQ977" s="30" t="str">
        <f aca="false">IF(OR(Y977="判定不能",G977="判定不能"),"判定不能",IF(AP977&gt;=判定条件!$C$9,"利用可",IF(AND(Y977="停止",G977="停止"),"両方停止","運転がそろわない")))</f>
        <v>運転がそろわない</v>
      </c>
      <c r="AR977" s="30" t="n">
        <v>0</v>
      </c>
      <c r="AS977" s="30" t="n">
        <v>0</v>
      </c>
      <c r="AT977" s="30" t="str">
        <f aca="false">IF(OR(AB977="判定不能",J977="判定不能"),"判定不能",IF(AS977&gt;=判定条件!$C$9,"利用可",IF(AND(AB977="停止",J977="停止"),"両方停止","運転がそろわない")))</f>
        <v>判定不能</v>
      </c>
      <c r="AU977" s="30" t="n">
        <v>60</v>
      </c>
      <c r="AV977" s="30" t="n">
        <v>41</v>
      </c>
      <c r="AW977" s="30" t="str">
        <f aca="false">IF(OR(AE977="判定不能",M977="判定不能"),"判定不能",IF(AV977&gt;=判定条件!$C$9,"利用可",IF(AND(AE977="停止",M977="停止"),"両方停止","運転がそろわない")))</f>
        <v>利用可</v>
      </c>
      <c r="AX977" s="30" t="str">
        <f aca="false">IF(AND(AH977="利用可",AK977="利用可",AN977="利用可"),"利用可","不可")</f>
        <v>不可</v>
      </c>
      <c r="AY977" s="30" t="str">
        <f aca="false">IF(AND(AQ977="利用可",AT977="利用可",AW977="利用可"),"利用可","不可")</f>
        <v>不可</v>
      </c>
    </row>
    <row r="978" customFormat="false" ht="15" hidden="false" customHeight="false" outlineLevel="0" collapsed="false">
      <c r="A978" s="29" t="n">
        <v>46272</v>
      </c>
      <c r="B978" s="30" t="n">
        <v>15</v>
      </c>
      <c r="C978" s="31" t="s">
        <v>66</v>
      </c>
      <c r="D978" s="31" t="s">
        <v>59</v>
      </c>
      <c r="E978" s="30" t="n">
        <v>60</v>
      </c>
      <c r="F978" s="30" t="n">
        <v>17</v>
      </c>
      <c r="G978" s="30" t="str">
        <f aca="false">IF(E978&lt;判定条件!$C$6,"判定不能",IF(F978&gt;=判定条件!$C$7*E978,"運転",IF(F978&lt;=判定条件!$C$8*E978,"停止","断続")))</f>
        <v>断続</v>
      </c>
      <c r="H978" s="30" t="n">
        <v>0</v>
      </c>
      <c r="I978" s="30" t="n">
        <v>0</v>
      </c>
      <c r="J978" s="30" t="str">
        <f aca="false">IF(H978&lt;判定条件!$C$6,"判定不能",IF(I978&gt;=判定条件!$C$7*H978,"運転",IF(I978&lt;=判定条件!$C$8*H978,"停止","断続")))</f>
        <v>判定不能</v>
      </c>
      <c r="K978" s="30" t="n">
        <v>60</v>
      </c>
      <c r="L978" s="30" t="n">
        <v>60</v>
      </c>
      <c r="M978" s="30" t="str">
        <f aca="false">IF(K978&lt;判定条件!$C$6,"判定不能",IF(L978&gt;=判定条件!$C$7*K978,"運転",IF(L978&lt;=判定条件!$C$8*K978,"停止","断続")))</f>
        <v>運転</v>
      </c>
      <c r="N978" s="30" t="n">
        <v>60</v>
      </c>
      <c r="O978" s="30" t="n">
        <v>39</v>
      </c>
      <c r="P978" s="30" t="str">
        <f aca="false">IF(N978&lt;判定条件!$C$6,"判定不能",IF(O978&gt;=判定条件!$C$7*N978,"運転",IF(O978&lt;=判定条件!$C$8*N978,"停止","断続")))</f>
        <v>断続</v>
      </c>
      <c r="Q978" s="30" t="n">
        <v>60</v>
      </c>
      <c r="R978" s="30" t="n">
        <v>32</v>
      </c>
      <c r="S978" s="30" t="str">
        <f aca="false">IF(Q978&lt;判定条件!$C$6,"判定不能",IF(R978&gt;=判定条件!$C$7*Q978,"運転",IF(R978&lt;=判定条件!$C$8*Q978,"停止","断続")))</f>
        <v>断続</v>
      </c>
      <c r="T978" s="30" t="n">
        <v>60</v>
      </c>
      <c r="U978" s="30" t="n">
        <v>56</v>
      </c>
      <c r="V978" s="30" t="str">
        <f aca="false">IF(T978&lt;判定条件!$C$6,"判定不能",IF(U978&gt;=判定条件!$C$7*T978,"運転",IF(U978&lt;=判定条件!$C$8*T978,"停止","断続")))</f>
        <v>運転</v>
      </c>
      <c r="W978" s="30" t="n">
        <v>60</v>
      </c>
      <c r="X978" s="30" t="n">
        <v>29</v>
      </c>
      <c r="Y978" s="30" t="str">
        <f aca="false">IF(W978&lt;判定条件!$C$6,"判定不能",IF(X978&gt;=判定条件!$C$7*W978,"運転",IF(X978&lt;=判定条件!$C$8*W978,"停止","断続")))</f>
        <v>断続</v>
      </c>
      <c r="Z978" s="30" t="n">
        <v>60</v>
      </c>
      <c r="AA978" s="30" t="n">
        <v>10</v>
      </c>
      <c r="AB978" s="30" t="str">
        <f aca="false">IF(Z978&lt;判定条件!$C$6,"判定不能",IF(AA978&gt;=判定条件!$C$7*Z978,"運転",IF(AA978&lt;=判定条件!$C$8*Z978,"停止","断続")))</f>
        <v>停止</v>
      </c>
      <c r="AC978" s="30" t="n">
        <v>60</v>
      </c>
      <c r="AD978" s="30" t="n">
        <v>60</v>
      </c>
      <c r="AE978" s="30" t="str">
        <f aca="false">IF(AC978&lt;判定条件!$C$6,"判定不能",IF(AD978&gt;=判定条件!$C$7*AC978,"運転",IF(AD978&lt;=判定条件!$C$8*AC978,"停止","断続")))</f>
        <v>運転</v>
      </c>
      <c r="AF978" s="30" t="n">
        <v>60</v>
      </c>
      <c r="AG978" s="30" t="n">
        <v>13</v>
      </c>
      <c r="AH978" s="30" t="str">
        <f aca="false">IF(OR(P978="判定不能",G978="判定不能"),"判定不能",IF(AG978&gt;=判定条件!$C$9,"利用可",IF(AND(P978="停止",G978="停止"),"両方停止","運転がそろわない")))</f>
        <v>運転がそろわない</v>
      </c>
      <c r="AI978" s="30" t="n">
        <v>0</v>
      </c>
      <c r="AJ978" s="30" t="n">
        <v>0</v>
      </c>
      <c r="AK978" s="30" t="str">
        <f aca="false">IF(OR(S978="判定不能",J978="判定不能"),"判定不能",IF(AJ978&gt;=判定条件!$C$9,"利用可",IF(AND(S978="停止",J978="停止"),"両方停止","運転がそろわない")))</f>
        <v>判定不能</v>
      </c>
      <c r="AL978" s="30" t="n">
        <v>60</v>
      </c>
      <c r="AM978" s="30" t="n">
        <v>56</v>
      </c>
      <c r="AN978" s="30" t="str">
        <f aca="false">IF(OR(V978="判定不能",M978="判定不能"),"判定不能",IF(AM978&gt;=判定条件!$C$9,"利用可",IF(AND(V978="停止",M978="停止"),"両方停止","運転がそろわない")))</f>
        <v>利用可</v>
      </c>
      <c r="AO978" s="30" t="n">
        <v>60</v>
      </c>
      <c r="AP978" s="30" t="n">
        <v>11</v>
      </c>
      <c r="AQ978" s="30" t="str">
        <f aca="false">IF(OR(Y978="判定不能",G978="判定不能"),"判定不能",IF(AP978&gt;=判定条件!$C$9,"利用可",IF(AND(Y978="停止",G978="停止"),"両方停止","運転がそろわない")))</f>
        <v>運転がそろわない</v>
      </c>
      <c r="AR978" s="30" t="n">
        <v>0</v>
      </c>
      <c r="AS978" s="30" t="n">
        <v>0</v>
      </c>
      <c r="AT978" s="30" t="str">
        <f aca="false">IF(OR(AB978="判定不能",J978="判定不能"),"判定不能",IF(AS978&gt;=判定条件!$C$9,"利用可",IF(AND(AB978="停止",J978="停止"),"両方停止","運転がそろわない")))</f>
        <v>判定不能</v>
      </c>
      <c r="AU978" s="30" t="n">
        <v>60</v>
      </c>
      <c r="AV978" s="30" t="n">
        <v>60</v>
      </c>
      <c r="AW978" s="30" t="str">
        <f aca="false">IF(OR(AE978="判定不能",M978="判定不能"),"判定不能",IF(AV978&gt;=判定条件!$C$9,"利用可",IF(AND(AE978="停止",M978="停止"),"両方停止","運転がそろわない")))</f>
        <v>利用可</v>
      </c>
      <c r="AX978" s="30" t="str">
        <f aca="false">IF(AND(AH978="利用可",AK978="利用可",AN978="利用可"),"利用可","不可")</f>
        <v>不可</v>
      </c>
      <c r="AY978" s="30" t="str">
        <f aca="false">IF(AND(AQ978="利用可",AT978="利用可",AW978="利用可"),"利用可","不可")</f>
        <v>不可</v>
      </c>
    </row>
    <row r="979" customFormat="false" ht="15" hidden="false" customHeight="false" outlineLevel="0" collapsed="false">
      <c r="A979" s="29" t="n">
        <v>46272</v>
      </c>
      <c r="B979" s="30" t="n">
        <v>16</v>
      </c>
      <c r="C979" s="31" t="s">
        <v>66</v>
      </c>
      <c r="D979" s="31" t="s">
        <v>59</v>
      </c>
      <c r="E979" s="30" t="n">
        <v>32</v>
      </c>
      <c r="F979" s="30" t="n">
        <v>6</v>
      </c>
      <c r="G979" s="30" t="str">
        <f aca="false">IF(E979&lt;判定条件!$C$6,"判定不能",IF(F979&gt;=判定条件!$C$7*E979,"運転",IF(F979&lt;=判定条件!$C$8*E979,"停止","断続")))</f>
        <v>判定不能</v>
      </c>
      <c r="H979" s="30" t="n">
        <v>0</v>
      </c>
      <c r="I979" s="30" t="n">
        <v>0</v>
      </c>
      <c r="J979" s="30" t="str">
        <f aca="false">IF(H979&lt;判定条件!$C$6,"判定不能",IF(I979&gt;=判定条件!$C$7*H979,"運転",IF(I979&lt;=判定条件!$C$8*H979,"停止","断続")))</f>
        <v>判定不能</v>
      </c>
      <c r="K979" s="30" t="n">
        <v>33</v>
      </c>
      <c r="L979" s="30" t="n">
        <v>33</v>
      </c>
      <c r="M979" s="30" t="str">
        <f aca="false">IF(K979&lt;判定条件!$C$6,"判定不能",IF(L979&gt;=判定条件!$C$7*K979,"運転",IF(L979&lt;=判定条件!$C$8*K979,"停止","断続")))</f>
        <v>判定不能</v>
      </c>
      <c r="N979" s="30" t="n">
        <v>60</v>
      </c>
      <c r="O979" s="30" t="n">
        <v>33</v>
      </c>
      <c r="P979" s="30" t="str">
        <f aca="false">IF(N979&lt;判定条件!$C$6,"判定不能",IF(O979&gt;=判定条件!$C$7*N979,"運転",IF(O979&lt;=判定条件!$C$8*N979,"停止","断続")))</f>
        <v>断続</v>
      </c>
      <c r="Q979" s="30" t="n">
        <v>60</v>
      </c>
      <c r="R979" s="30" t="n">
        <v>34</v>
      </c>
      <c r="S979" s="30" t="str">
        <f aca="false">IF(Q979&lt;判定条件!$C$6,"判定不能",IF(R979&gt;=判定条件!$C$7*Q979,"運転",IF(R979&lt;=判定条件!$C$8*Q979,"停止","断続")))</f>
        <v>断続</v>
      </c>
      <c r="T979" s="30" t="n">
        <v>60</v>
      </c>
      <c r="U979" s="30" t="n">
        <v>54</v>
      </c>
      <c r="V979" s="30" t="str">
        <f aca="false">IF(T979&lt;判定条件!$C$6,"判定不能",IF(U979&gt;=判定条件!$C$7*T979,"運転",IF(U979&lt;=判定条件!$C$8*T979,"停止","断続")))</f>
        <v>運転</v>
      </c>
      <c r="W979" s="30" t="n">
        <v>60</v>
      </c>
      <c r="X979" s="30" t="n">
        <v>21</v>
      </c>
      <c r="Y979" s="30" t="str">
        <f aca="false">IF(W979&lt;判定条件!$C$6,"判定不能",IF(X979&gt;=判定条件!$C$7*W979,"運転",IF(X979&lt;=判定条件!$C$8*W979,"停止","断続")))</f>
        <v>断続</v>
      </c>
      <c r="Z979" s="30" t="n">
        <v>60</v>
      </c>
      <c r="AA979" s="30" t="n">
        <v>25</v>
      </c>
      <c r="AB979" s="30" t="str">
        <f aca="false">IF(Z979&lt;判定条件!$C$6,"判定不能",IF(AA979&gt;=判定条件!$C$7*Z979,"運転",IF(AA979&lt;=判定条件!$C$8*Z979,"停止","断続")))</f>
        <v>断続</v>
      </c>
      <c r="AC979" s="30" t="n">
        <v>60</v>
      </c>
      <c r="AD979" s="30" t="n">
        <v>60</v>
      </c>
      <c r="AE979" s="30" t="str">
        <f aca="false">IF(AC979&lt;判定条件!$C$6,"判定不能",IF(AD979&gt;=判定条件!$C$7*AC979,"運転",IF(AD979&lt;=判定条件!$C$8*AC979,"停止","断続")))</f>
        <v>運転</v>
      </c>
      <c r="AF979" s="30" t="n">
        <v>32</v>
      </c>
      <c r="AG979" s="30" t="n">
        <v>5</v>
      </c>
      <c r="AH979" s="30" t="str">
        <f aca="false">IF(OR(P979="判定不能",G979="判定不能"),"判定不能",IF(AG979&gt;=判定条件!$C$9,"利用可",IF(AND(P979="停止",G979="停止"),"両方停止","運転がそろわない")))</f>
        <v>判定不能</v>
      </c>
      <c r="AI979" s="30" t="n">
        <v>0</v>
      </c>
      <c r="AJ979" s="30" t="n">
        <v>0</v>
      </c>
      <c r="AK979" s="30" t="str">
        <f aca="false">IF(OR(S979="判定不能",J979="判定不能"),"判定不能",IF(AJ979&gt;=判定条件!$C$9,"利用可",IF(AND(S979="停止",J979="停止"),"両方停止","運転がそろわない")))</f>
        <v>判定不能</v>
      </c>
      <c r="AL979" s="30" t="n">
        <v>33</v>
      </c>
      <c r="AM979" s="30" t="n">
        <v>27</v>
      </c>
      <c r="AN979" s="30" t="str">
        <f aca="false">IF(OR(V979="判定不能",M979="判定不能"),"判定不能",IF(AM979&gt;=判定条件!$C$9,"利用可",IF(AND(V979="停止",M979="停止"),"両方停止","運転がそろわない")))</f>
        <v>判定不能</v>
      </c>
      <c r="AO979" s="30" t="n">
        <v>32</v>
      </c>
      <c r="AP979" s="30" t="n">
        <v>0</v>
      </c>
      <c r="AQ979" s="30" t="str">
        <f aca="false">IF(OR(Y979="判定不能",G979="判定不能"),"判定不能",IF(AP979&gt;=判定条件!$C$9,"利用可",IF(AND(Y979="停止",G979="停止"),"両方停止","運転がそろわない")))</f>
        <v>判定不能</v>
      </c>
      <c r="AR979" s="30" t="n">
        <v>0</v>
      </c>
      <c r="AS979" s="30" t="n">
        <v>0</v>
      </c>
      <c r="AT979" s="30" t="str">
        <f aca="false">IF(OR(AB979="判定不能",J979="判定不能"),"判定不能",IF(AS979&gt;=判定条件!$C$9,"利用可",IF(AND(AB979="停止",J979="停止"),"両方停止","運転がそろわない")))</f>
        <v>判定不能</v>
      </c>
      <c r="AU979" s="30" t="n">
        <v>33</v>
      </c>
      <c r="AV979" s="30" t="n">
        <v>33</v>
      </c>
      <c r="AW979" s="30" t="str">
        <f aca="false">IF(OR(AE979="判定不能",M979="判定不能"),"判定不能",IF(AV979&gt;=判定条件!$C$9,"利用可",IF(AND(AE979="停止",M979="停止"),"両方停止","運転がそろわない")))</f>
        <v>判定不能</v>
      </c>
      <c r="AX979" s="30" t="str">
        <f aca="false">IF(AND(AH979="利用可",AK979="利用可",AN979="利用可"),"利用可","不可")</f>
        <v>不可</v>
      </c>
      <c r="AY979" s="30" t="str">
        <f aca="false">IF(AND(AQ979="利用可",AT979="利用可",AW979="利用可"),"利用可","不可")</f>
        <v>不可</v>
      </c>
    </row>
    <row r="980" customFormat="false" ht="15" hidden="false" customHeight="false" outlineLevel="0" collapsed="false">
      <c r="A980" s="29" t="n">
        <v>46272</v>
      </c>
      <c r="B980" s="30" t="n">
        <v>17</v>
      </c>
      <c r="C980" s="31" t="s">
        <v>66</v>
      </c>
      <c r="D980" s="31" t="s">
        <v>59</v>
      </c>
      <c r="E980" s="30" t="n">
        <v>43</v>
      </c>
      <c r="F980" s="30" t="n">
        <v>16</v>
      </c>
      <c r="G980" s="30" t="str">
        <f aca="false">IF(E980&lt;判定条件!$C$6,"判定不能",IF(F980&gt;=判定条件!$C$7*E980,"運転",IF(F980&lt;=判定条件!$C$8*E980,"停止","断続")))</f>
        <v>判定不能</v>
      </c>
      <c r="H980" s="30" t="n">
        <v>0</v>
      </c>
      <c r="I980" s="30" t="n">
        <v>0</v>
      </c>
      <c r="J980" s="30" t="str">
        <f aca="false">IF(H980&lt;判定条件!$C$6,"判定不能",IF(I980&gt;=判定条件!$C$7*H980,"運転",IF(I980&lt;=判定条件!$C$8*H980,"停止","断続")))</f>
        <v>判定不能</v>
      </c>
      <c r="K980" s="30" t="n">
        <v>43</v>
      </c>
      <c r="L980" s="30" t="n">
        <v>43</v>
      </c>
      <c r="M980" s="30" t="str">
        <f aca="false">IF(K980&lt;判定条件!$C$6,"判定不能",IF(L980&gt;=判定条件!$C$7*K980,"運転",IF(L980&lt;=判定条件!$C$8*K980,"停止","断続")))</f>
        <v>判定不能</v>
      </c>
      <c r="N980" s="30" t="n">
        <v>60</v>
      </c>
      <c r="O980" s="30" t="n">
        <v>43</v>
      </c>
      <c r="P980" s="30" t="str">
        <f aca="false">IF(N980&lt;判定条件!$C$6,"判定不能",IF(O980&gt;=判定条件!$C$7*N980,"運転",IF(O980&lt;=判定条件!$C$8*N980,"停止","断続")))</f>
        <v>断続</v>
      </c>
      <c r="Q980" s="30" t="n">
        <v>60</v>
      </c>
      <c r="R980" s="30" t="n">
        <v>59</v>
      </c>
      <c r="S980" s="30" t="str">
        <f aca="false">IF(Q980&lt;判定条件!$C$6,"判定不能",IF(R980&gt;=判定条件!$C$7*Q980,"運転",IF(R980&lt;=判定条件!$C$8*Q980,"停止","断続")))</f>
        <v>運転</v>
      </c>
      <c r="T980" s="30" t="n">
        <v>60</v>
      </c>
      <c r="U980" s="30" t="n">
        <v>60</v>
      </c>
      <c r="V980" s="30" t="str">
        <f aca="false">IF(T980&lt;判定条件!$C$6,"判定不能",IF(U980&gt;=判定条件!$C$7*T980,"運転",IF(U980&lt;=判定条件!$C$8*T980,"停止","断続")))</f>
        <v>運転</v>
      </c>
      <c r="W980" s="30" t="n">
        <v>60</v>
      </c>
      <c r="X980" s="30" t="n">
        <v>22</v>
      </c>
      <c r="Y980" s="30" t="str">
        <f aca="false">IF(W980&lt;判定条件!$C$6,"判定不能",IF(X980&gt;=判定条件!$C$7*W980,"運転",IF(X980&lt;=判定条件!$C$8*W980,"停止","断続")))</f>
        <v>断続</v>
      </c>
      <c r="Z980" s="30" t="n">
        <v>60</v>
      </c>
      <c r="AA980" s="30" t="n">
        <v>13</v>
      </c>
      <c r="AB980" s="30" t="str">
        <f aca="false">IF(Z980&lt;判定条件!$C$6,"判定不能",IF(AA980&gt;=判定条件!$C$7*Z980,"運転",IF(AA980&lt;=判定条件!$C$8*Z980,"停止","断続")))</f>
        <v>断続</v>
      </c>
      <c r="AC980" s="30" t="n">
        <v>60</v>
      </c>
      <c r="AD980" s="30" t="n">
        <v>60</v>
      </c>
      <c r="AE980" s="30" t="str">
        <f aca="false">IF(AC980&lt;判定条件!$C$6,"判定不能",IF(AD980&gt;=判定条件!$C$7*AC980,"運転",IF(AD980&lt;=判定条件!$C$8*AC980,"停止","断続")))</f>
        <v>運転</v>
      </c>
      <c r="AF980" s="30" t="n">
        <v>43</v>
      </c>
      <c r="AG980" s="30" t="n">
        <v>1</v>
      </c>
      <c r="AH980" s="30" t="str">
        <f aca="false">IF(OR(P980="判定不能",G980="判定不能"),"判定不能",IF(AG980&gt;=判定条件!$C$9,"利用可",IF(AND(P980="停止",G980="停止"),"両方停止","運転がそろわない")))</f>
        <v>判定不能</v>
      </c>
      <c r="AI980" s="30" t="n">
        <v>0</v>
      </c>
      <c r="AJ980" s="30" t="n">
        <v>0</v>
      </c>
      <c r="AK980" s="30" t="str">
        <f aca="false">IF(OR(S980="判定不能",J980="判定不能"),"判定不能",IF(AJ980&gt;=判定条件!$C$9,"利用可",IF(AND(S980="停止",J980="停止"),"両方停止","運転がそろわない")))</f>
        <v>判定不能</v>
      </c>
      <c r="AL980" s="30" t="n">
        <v>43</v>
      </c>
      <c r="AM980" s="30" t="n">
        <v>43</v>
      </c>
      <c r="AN980" s="30" t="str">
        <f aca="false">IF(OR(V980="判定不能",M980="判定不能"),"判定不能",IF(AM980&gt;=判定条件!$C$9,"利用可",IF(AND(V980="停止",M980="停止"),"両方停止","運転がそろわない")))</f>
        <v>判定不能</v>
      </c>
      <c r="AO980" s="30" t="n">
        <v>43</v>
      </c>
      <c r="AP980" s="30" t="n">
        <v>5</v>
      </c>
      <c r="AQ980" s="30" t="str">
        <f aca="false">IF(OR(Y980="判定不能",G980="判定不能"),"判定不能",IF(AP980&gt;=判定条件!$C$9,"利用可",IF(AND(Y980="停止",G980="停止"),"両方停止","運転がそろわない")))</f>
        <v>判定不能</v>
      </c>
      <c r="AR980" s="30" t="n">
        <v>0</v>
      </c>
      <c r="AS980" s="30" t="n">
        <v>0</v>
      </c>
      <c r="AT980" s="30" t="str">
        <f aca="false">IF(OR(AB980="判定不能",J980="判定不能"),"判定不能",IF(AS980&gt;=判定条件!$C$9,"利用可",IF(AND(AB980="停止",J980="停止"),"両方停止","運転がそろわない")))</f>
        <v>判定不能</v>
      </c>
      <c r="AU980" s="30" t="n">
        <v>43</v>
      </c>
      <c r="AV980" s="30" t="n">
        <v>43</v>
      </c>
      <c r="AW980" s="30" t="str">
        <f aca="false">IF(OR(AE980="判定不能",M980="判定不能"),"判定不能",IF(AV980&gt;=判定条件!$C$9,"利用可",IF(AND(AE980="停止",M980="停止"),"両方停止","運転がそろわない")))</f>
        <v>判定不能</v>
      </c>
      <c r="AX980" s="30" t="str">
        <f aca="false">IF(AND(AH980="利用可",AK980="利用可",AN980="利用可"),"利用可","不可")</f>
        <v>不可</v>
      </c>
      <c r="AY980" s="30" t="str">
        <f aca="false">IF(AND(AQ980="利用可",AT980="利用可",AW980="利用可"),"利用可","不可")</f>
        <v>不可</v>
      </c>
    </row>
    <row r="981" customFormat="false" ht="15" hidden="false" customHeight="false" outlineLevel="0" collapsed="false">
      <c r="A981" s="29" t="n">
        <v>46272</v>
      </c>
      <c r="B981" s="30" t="n">
        <v>18</v>
      </c>
      <c r="C981" s="31" t="s">
        <v>66</v>
      </c>
      <c r="D981" s="31" t="s">
        <v>59</v>
      </c>
      <c r="E981" s="30" t="n">
        <v>60</v>
      </c>
      <c r="F981" s="30" t="n">
        <v>25</v>
      </c>
      <c r="G981" s="30" t="str">
        <f aca="false">IF(E981&lt;判定条件!$C$6,"判定不能",IF(F981&gt;=判定条件!$C$7*E981,"運転",IF(F981&lt;=判定条件!$C$8*E981,"停止","断続")))</f>
        <v>断続</v>
      </c>
      <c r="H981" s="30" t="n">
        <v>0</v>
      </c>
      <c r="I981" s="30" t="n">
        <v>0</v>
      </c>
      <c r="J981" s="30" t="str">
        <f aca="false">IF(H981&lt;判定条件!$C$6,"判定不能",IF(I981&gt;=判定条件!$C$7*H981,"運転",IF(I981&lt;=判定条件!$C$8*H981,"停止","断続")))</f>
        <v>判定不能</v>
      </c>
      <c r="K981" s="30" t="n">
        <v>60</v>
      </c>
      <c r="L981" s="30" t="n">
        <v>60</v>
      </c>
      <c r="M981" s="30" t="str">
        <f aca="false">IF(K981&lt;判定条件!$C$6,"判定不能",IF(L981&gt;=判定条件!$C$7*K981,"運転",IF(L981&lt;=判定条件!$C$8*K981,"停止","断続")))</f>
        <v>運転</v>
      </c>
      <c r="N981" s="30" t="n">
        <v>60</v>
      </c>
      <c r="O981" s="30" t="n">
        <v>5</v>
      </c>
      <c r="P981" s="30" t="str">
        <f aca="false">IF(N981&lt;判定条件!$C$6,"判定不能",IF(O981&gt;=判定条件!$C$7*N981,"運転",IF(O981&lt;=判定条件!$C$8*N981,"停止","断続")))</f>
        <v>停止</v>
      </c>
      <c r="Q981" s="30" t="n">
        <v>60</v>
      </c>
      <c r="R981" s="30" t="n">
        <v>20</v>
      </c>
      <c r="S981" s="30" t="str">
        <f aca="false">IF(Q981&lt;判定条件!$C$6,"判定不能",IF(R981&gt;=判定条件!$C$7*Q981,"運転",IF(R981&lt;=判定条件!$C$8*Q981,"停止","断続")))</f>
        <v>断続</v>
      </c>
      <c r="T981" s="30" t="n">
        <v>60</v>
      </c>
      <c r="U981" s="30" t="n">
        <v>51</v>
      </c>
      <c r="V981" s="30" t="str">
        <f aca="false">IF(T981&lt;判定条件!$C$6,"判定不能",IF(U981&gt;=判定条件!$C$7*T981,"運転",IF(U981&lt;=判定条件!$C$8*T981,"停止","断続")))</f>
        <v>運転</v>
      </c>
      <c r="W981" s="30" t="n">
        <v>60</v>
      </c>
      <c r="X981" s="30" t="n">
        <v>32</v>
      </c>
      <c r="Y981" s="30" t="str">
        <f aca="false">IF(W981&lt;判定条件!$C$6,"判定不能",IF(X981&gt;=判定条件!$C$7*W981,"運転",IF(X981&lt;=判定条件!$C$8*W981,"停止","断続")))</f>
        <v>断続</v>
      </c>
      <c r="Z981" s="30" t="n">
        <v>60</v>
      </c>
      <c r="AA981" s="30" t="n">
        <v>8</v>
      </c>
      <c r="AB981" s="30" t="str">
        <f aca="false">IF(Z981&lt;判定条件!$C$6,"判定不能",IF(AA981&gt;=判定条件!$C$7*Z981,"運転",IF(AA981&lt;=判定条件!$C$8*Z981,"停止","断続")))</f>
        <v>停止</v>
      </c>
      <c r="AC981" s="30" t="n">
        <v>60</v>
      </c>
      <c r="AD981" s="30" t="n">
        <v>60</v>
      </c>
      <c r="AE981" s="30" t="str">
        <f aca="false">IF(AC981&lt;判定条件!$C$6,"判定不能",IF(AD981&gt;=判定条件!$C$7*AC981,"運転",IF(AD981&lt;=判定条件!$C$8*AC981,"停止","断続")))</f>
        <v>運転</v>
      </c>
      <c r="AF981" s="30" t="n">
        <v>60</v>
      </c>
      <c r="AG981" s="30" t="n">
        <v>3</v>
      </c>
      <c r="AH981" s="30" t="str">
        <f aca="false">IF(OR(P981="判定不能",G981="判定不能"),"判定不能",IF(AG981&gt;=判定条件!$C$9,"利用可",IF(AND(P981="停止",G981="停止"),"両方停止","運転がそろわない")))</f>
        <v>運転がそろわない</v>
      </c>
      <c r="AI981" s="30" t="n">
        <v>0</v>
      </c>
      <c r="AJ981" s="30" t="n">
        <v>0</v>
      </c>
      <c r="AK981" s="30" t="str">
        <f aca="false">IF(OR(S981="判定不能",J981="判定不能"),"判定不能",IF(AJ981&gt;=判定条件!$C$9,"利用可",IF(AND(S981="停止",J981="停止"),"両方停止","運転がそろわない")))</f>
        <v>判定不能</v>
      </c>
      <c r="AL981" s="30" t="n">
        <v>60</v>
      </c>
      <c r="AM981" s="30" t="n">
        <v>51</v>
      </c>
      <c r="AN981" s="30" t="str">
        <f aca="false">IF(OR(V981="判定不能",M981="判定不能"),"判定不能",IF(AM981&gt;=判定条件!$C$9,"利用可",IF(AND(V981="停止",M981="停止"),"両方停止","運転がそろわない")))</f>
        <v>利用可</v>
      </c>
      <c r="AO981" s="30" t="n">
        <v>60</v>
      </c>
      <c r="AP981" s="30" t="n">
        <v>10</v>
      </c>
      <c r="AQ981" s="30" t="str">
        <f aca="false">IF(OR(Y981="判定不能",G981="判定不能"),"判定不能",IF(AP981&gt;=判定条件!$C$9,"利用可",IF(AND(Y981="停止",G981="停止"),"両方停止","運転がそろわない")))</f>
        <v>運転がそろわない</v>
      </c>
      <c r="AR981" s="30" t="n">
        <v>0</v>
      </c>
      <c r="AS981" s="30" t="n">
        <v>0</v>
      </c>
      <c r="AT981" s="30" t="str">
        <f aca="false">IF(OR(AB981="判定不能",J981="判定不能"),"判定不能",IF(AS981&gt;=判定条件!$C$9,"利用可",IF(AND(AB981="停止",J981="停止"),"両方停止","運転がそろわない")))</f>
        <v>判定不能</v>
      </c>
      <c r="AU981" s="30" t="n">
        <v>60</v>
      </c>
      <c r="AV981" s="30" t="n">
        <v>60</v>
      </c>
      <c r="AW981" s="30" t="str">
        <f aca="false">IF(OR(AE981="判定不能",M981="判定不能"),"判定不能",IF(AV981&gt;=判定条件!$C$9,"利用可",IF(AND(AE981="停止",M981="停止"),"両方停止","運転がそろわない")))</f>
        <v>利用可</v>
      </c>
      <c r="AX981" s="30" t="str">
        <f aca="false">IF(AND(AH981="利用可",AK981="利用可",AN981="利用可"),"利用可","不可")</f>
        <v>不可</v>
      </c>
      <c r="AY981" s="30" t="str">
        <f aca="false">IF(AND(AQ981="利用可",AT981="利用可",AW981="利用可"),"利用可","不可")</f>
        <v>不可</v>
      </c>
    </row>
    <row r="982" customFormat="false" ht="15" hidden="false" customHeight="false" outlineLevel="0" collapsed="false">
      <c r="A982" s="29" t="n">
        <v>46272</v>
      </c>
      <c r="B982" s="30" t="n">
        <v>19</v>
      </c>
      <c r="C982" s="31" t="s">
        <v>66</v>
      </c>
      <c r="D982" s="31" t="s">
        <v>59</v>
      </c>
      <c r="E982" s="30" t="n">
        <v>60</v>
      </c>
      <c r="F982" s="30" t="n">
        <v>24</v>
      </c>
      <c r="G982" s="30" t="str">
        <f aca="false">IF(E982&lt;判定条件!$C$6,"判定不能",IF(F982&gt;=判定条件!$C$7*E982,"運転",IF(F982&lt;=判定条件!$C$8*E982,"停止","断続")))</f>
        <v>断続</v>
      </c>
      <c r="H982" s="30" t="n">
        <v>0</v>
      </c>
      <c r="I982" s="30" t="n">
        <v>0</v>
      </c>
      <c r="J982" s="30" t="str">
        <f aca="false">IF(H982&lt;判定条件!$C$6,"判定不能",IF(I982&gt;=判定条件!$C$7*H982,"運転",IF(I982&lt;=判定条件!$C$8*H982,"停止","断続")))</f>
        <v>判定不能</v>
      </c>
      <c r="K982" s="30" t="n">
        <v>60</v>
      </c>
      <c r="L982" s="30" t="n">
        <v>57</v>
      </c>
      <c r="M982" s="30" t="str">
        <f aca="false">IF(K982&lt;判定条件!$C$6,"判定不能",IF(L982&gt;=判定条件!$C$7*K982,"運転",IF(L982&lt;=判定条件!$C$8*K982,"停止","断続")))</f>
        <v>運転</v>
      </c>
      <c r="N982" s="30" t="n">
        <v>60</v>
      </c>
      <c r="O982" s="30" t="n">
        <v>10</v>
      </c>
      <c r="P982" s="30" t="str">
        <f aca="false">IF(N982&lt;判定条件!$C$6,"判定不能",IF(O982&gt;=判定条件!$C$7*N982,"運転",IF(O982&lt;=判定条件!$C$8*N982,"停止","断続")))</f>
        <v>停止</v>
      </c>
      <c r="Q982" s="30" t="n">
        <v>60</v>
      </c>
      <c r="R982" s="30" t="n">
        <v>43</v>
      </c>
      <c r="S982" s="30" t="str">
        <f aca="false">IF(Q982&lt;判定条件!$C$6,"判定不能",IF(R982&gt;=判定条件!$C$7*Q982,"運転",IF(R982&lt;=判定条件!$C$8*Q982,"停止","断続")))</f>
        <v>断続</v>
      </c>
      <c r="T982" s="30" t="n">
        <v>60</v>
      </c>
      <c r="U982" s="30" t="n">
        <v>60</v>
      </c>
      <c r="V982" s="30" t="str">
        <f aca="false">IF(T982&lt;判定条件!$C$6,"判定不能",IF(U982&gt;=判定条件!$C$7*T982,"運転",IF(U982&lt;=判定条件!$C$8*T982,"停止","断続")))</f>
        <v>運転</v>
      </c>
      <c r="W982" s="30" t="n">
        <v>60</v>
      </c>
      <c r="X982" s="30" t="n">
        <v>0</v>
      </c>
      <c r="Y982" s="30" t="str">
        <f aca="false">IF(W982&lt;判定条件!$C$6,"判定不能",IF(X982&gt;=判定条件!$C$7*W982,"運転",IF(X982&lt;=判定条件!$C$8*W982,"停止","断続")))</f>
        <v>停止</v>
      </c>
      <c r="Z982" s="30" t="n">
        <v>60</v>
      </c>
      <c r="AA982" s="30" t="n">
        <v>0</v>
      </c>
      <c r="AB982" s="30" t="str">
        <f aca="false">IF(Z982&lt;判定条件!$C$6,"判定不能",IF(AA982&gt;=判定条件!$C$7*Z982,"運転",IF(AA982&lt;=判定条件!$C$8*Z982,"停止","断続")))</f>
        <v>停止</v>
      </c>
      <c r="AC982" s="30" t="n">
        <v>60</v>
      </c>
      <c r="AD982" s="30" t="n">
        <v>18</v>
      </c>
      <c r="AE982" s="30" t="str">
        <f aca="false">IF(AC982&lt;判定条件!$C$6,"判定不能",IF(AD982&gt;=判定条件!$C$7*AC982,"運転",IF(AD982&lt;=判定条件!$C$8*AC982,"停止","断続")))</f>
        <v>断続</v>
      </c>
      <c r="AF982" s="30" t="n">
        <v>60</v>
      </c>
      <c r="AG982" s="30" t="n">
        <v>0</v>
      </c>
      <c r="AH982" s="30" t="str">
        <f aca="false">IF(OR(P982="判定不能",G982="判定不能"),"判定不能",IF(AG982&gt;=判定条件!$C$9,"利用可",IF(AND(P982="停止",G982="停止"),"両方停止","運転がそろわない")))</f>
        <v>運転がそろわない</v>
      </c>
      <c r="AI982" s="30" t="n">
        <v>0</v>
      </c>
      <c r="AJ982" s="30" t="n">
        <v>0</v>
      </c>
      <c r="AK982" s="30" t="str">
        <f aca="false">IF(OR(S982="判定不能",J982="判定不能"),"判定不能",IF(AJ982&gt;=判定条件!$C$9,"利用可",IF(AND(S982="停止",J982="停止"),"両方停止","運転がそろわない")))</f>
        <v>判定不能</v>
      </c>
      <c r="AL982" s="30" t="n">
        <v>60</v>
      </c>
      <c r="AM982" s="30" t="n">
        <v>57</v>
      </c>
      <c r="AN982" s="30" t="str">
        <f aca="false">IF(OR(V982="判定不能",M982="判定不能"),"判定不能",IF(AM982&gt;=判定条件!$C$9,"利用可",IF(AND(V982="停止",M982="停止"),"両方停止","運転がそろわない")))</f>
        <v>利用可</v>
      </c>
      <c r="AO982" s="30" t="n">
        <v>60</v>
      </c>
      <c r="AP982" s="30" t="n">
        <v>0</v>
      </c>
      <c r="AQ982" s="30" t="str">
        <f aca="false">IF(OR(Y982="判定不能",G982="判定不能"),"判定不能",IF(AP982&gt;=判定条件!$C$9,"利用可",IF(AND(Y982="停止",G982="停止"),"両方停止","運転がそろわない")))</f>
        <v>運転がそろわない</v>
      </c>
      <c r="AR982" s="30" t="n">
        <v>0</v>
      </c>
      <c r="AS982" s="30" t="n">
        <v>0</v>
      </c>
      <c r="AT982" s="30" t="str">
        <f aca="false">IF(OR(AB982="判定不能",J982="判定不能"),"判定不能",IF(AS982&gt;=判定条件!$C$9,"利用可",IF(AND(AB982="停止",J982="停止"),"両方停止","運転がそろわない")))</f>
        <v>判定不能</v>
      </c>
      <c r="AU982" s="30" t="n">
        <v>60</v>
      </c>
      <c r="AV982" s="30" t="n">
        <v>18</v>
      </c>
      <c r="AW982" s="30" t="str">
        <f aca="false">IF(OR(AE982="判定不能",M982="判定不能"),"判定不能",IF(AV982&gt;=判定条件!$C$9,"利用可",IF(AND(AE982="停止",M982="停止"),"両方停止","運転がそろわない")))</f>
        <v>運転がそろわない</v>
      </c>
      <c r="AX982" s="30" t="str">
        <f aca="false">IF(AND(AH982="利用可",AK982="利用可",AN982="利用可"),"利用可","不可")</f>
        <v>不可</v>
      </c>
      <c r="AY982" s="30" t="str">
        <f aca="false">IF(AND(AQ982="利用可",AT982="利用可",AW982="利用可"),"利用可","不可")</f>
        <v>不可</v>
      </c>
    </row>
    <row r="983" customFormat="false" ht="15" hidden="false" customHeight="false" outlineLevel="0" collapsed="false">
      <c r="A983" s="29" t="n">
        <v>46272</v>
      </c>
      <c r="B983" s="30" t="n">
        <v>20</v>
      </c>
      <c r="C983" s="31" t="s">
        <v>66</v>
      </c>
      <c r="D983" s="31" t="s">
        <v>59</v>
      </c>
      <c r="E983" s="30" t="n">
        <v>60</v>
      </c>
      <c r="F983" s="30" t="n">
        <v>3</v>
      </c>
      <c r="G983" s="30" t="str">
        <f aca="false">IF(E983&lt;判定条件!$C$6,"判定不能",IF(F983&gt;=判定条件!$C$7*E983,"運転",IF(F983&lt;=判定条件!$C$8*E983,"停止","断続")))</f>
        <v>停止</v>
      </c>
      <c r="H983" s="30" t="n">
        <v>0</v>
      </c>
      <c r="I983" s="30" t="n">
        <v>0</v>
      </c>
      <c r="J983" s="30" t="str">
        <f aca="false">IF(H983&lt;判定条件!$C$6,"判定不能",IF(I983&gt;=判定条件!$C$7*H983,"運転",IF(I983&lt;=判定条件!$C$8*H983,"停止","断続")))</f>
        <v>判定不能</v>
      </c>
      <c r="K983" s="30" t="n">
        <v>60</v>
      </c>
      <c r="L983" s="30" t="n">
        <v>50</v>
      </c>
      <c r="M983" s="30" t="str">
        <f aca="false">IF(K983&lt;判定条件!$C$6,"判定不能",IF(L983&gt;=判定条件!$C$7*K983,"運転",IF(L983&lt;=判定条件!$C$8*K983,"停止","断続")))</f>
        <v>運転</v>
      </c>
      <c r="N983" s="30" t="n">
        <v>60</v>
      </c>
      <c r="O983" s="30" t="n">
        <v>39</v>
      </c>
      <c r="P983" s="30" t="str">
        <f aca="false">IF(N983&lt;判定条件!$C$6,"判定不能",IF(O983&gt;=判定条件!$C$7*N983,"運転",IF(O983&lt;=判定条件!$C$8*N983,"停止","断続")))</f>
        <v>断続</v>
      </c>
      <c r="Q983" s="30" t="n">
        <v>60</v>
      </c>
      <c r="R983" s="30" t="n">
        <v>53</v>
      </c>
      <c r="S983" s="30" t="str">
        <f aca="false">IF(Q983&lt;判定条件!$C$6,"判定不能",IF(R983&gt;=判定条件!$C$7*Q983,"運転",IF(R983&lt;=判定条件!$C$8*Q983,"停止","断続")))</f>
        <v>運転</v>
      </c>
      <c r="T983" s="30" t="n">
        <v>60</v>
      </c>
      <c r="U983" s="30" t="n">
        <v>60</v>
      </c>
      <c r="V983" s="30" t="str">
        <f aca="false">IF(T983&lt;判定条件!$C$6,"判定不能",IF(U983&gt;=判定条件!$C$7*T983,"運転",IF(U983&lt;=判定条件!$C$8*T983,"停止","断続")))</f>
        <v>運転</v>
      </c>
      <c r="W983" s="30" t="n">
        <v>60</v>
      </c>
      <c r="X983" s="30" t="n">
        <v>28</v>
      </c>
      <c r="Y983" s="30" t="str">
        <f aca="false">IF(W983&lt;判定条件!$C$6,"判定不能",IF(X983&gt;=判定条件!$C$7*W983,"運転",IF(X983&lt;=判定条件!$C$8*W983,"停止","断続")))</f>
        <v>断続</v>
      </c>
      <c r="Z983" s="30" t="n">
        <v>60</v>
      </c>
      <c r="AA983" s="30" t="n">
        <v>0</v>
      </c>
      <c r="AB983" s="30" t="str">
        <f aca="false">IF(Z983&lt;判定条件!$C$6,"判定不能",IF(AA983&gt;=判定条件!$C$7*Z983,"運転",IF(AA983&lt;=判定条件!$C$8*Z983,"停止","断続")))</f>
        <v>停止</v>
      </c>
      <c r="AC983" s="30" t="n">
        <v>60</v>
      </c>
      <c r="AD983" s="30" t="n">
        <v>0</v>
      </c>
      <c r="AE983" s="30" t="str">
        <f aca="false">IF(AC983&lt;判定条件!$C$6,"判定不能",IF(AD983&gt;=判定条件!$C$7*AC983,"運転",IF(AD983&lt;=判定条件!$C$8*AC983,"停止","断続")))</f>
        <v>停止</v>
      </c>
      <c r="AF983" s="30" t="n">
        <v>60</v>
      </c>
      <c r="AG983" s="30" t="n">
        <v>0</v>
      </c>
      <c r="AH983" s="30" t="str">
        <f aca="false">IF(OR(P983="判定不能",G983="判定不能"),"判定不能",IF(AG983&gt;=判定条件!$C$9,"利用可",IF(AND(P983="停止",G983="停止"),"両方停止","運転がそろわない")))</f>
        <v>運転がそろわない</v>
      </c>
      <c r="AI983" s="30" t="n">
        <v>0</v>
      </c>
      <c r="AJ983" s="30" t="n">
        <v>0</v>
      </c>
      <c r="AK983" s="30" t="str">
        <f aca="false">IF(OR(S983="判定不能",J983="判定不能"),"判定不能",IF(AJ983&gt;=判定条件!$C$9,"利用可",IF(AND(S983="停止",J983="停止"),"両方停止","運転がそろわない")))</f>
        <v>判定不能</v>
      </c>
      <c r="AL983" s="30" t="n">
        <v>60</v>
      </c>
      <c r="AM983" s="30" t="n">
        <v>50</v>
      </c>
      <c r="AN983" s="30" t="str">
        <f aca="false">IF(OR(V983="判定不能",M983="判定不能"),"判定不能",IF(AM983&gt;=判定条件!$C$9,"利用可",IF(AND(V983="停止",M983="停止"),"両方停止","運転がそろわない")))</f>
        <v>利用可</v>
      </c>
      <c r="AO983" s="30" t="n">
        <v>60</v>
      </c>
      <c r="AP983" s="30" t="n">
        <v>0</v>
      </c>
      <c r="AQ983" s="30" t="str">
        <f aca="false">IF(OR(Y983="判定不能",G983="判定不能"),"判定不能",IF(AP983&gt;=判定条件!$C$9,"利用可",IF(AND(Y983="停止",G983="停止"),"両方停止","運転がそろわない")))</f>
        <v>運転がそろわない</v>
      </c>
      <c r="AR983" s="30" t="n">
        <v>0</v>
      </c>
      <c r="AS983" s="30" t="n">
        <v>0</v>
      </c>
      <c r="AT983" s="30" t="str">
        <f aca="false">IF(OR(AB983="判定不能",J983="判定不能"),"判定不能",IF(AS983&gt;=判定条件!$C$9,"利用可",IF(AND(AB983="停止",J983="停止"),"両方停止","運転がそろわない")))</f>
        <v>判定不能</v>
      </c>
      <c r="AU983" s="30" t="n">
        <v>60</v>
      </c>
      <c r="AV983" s="30" t="n">
        <v>0</v>
      </c>
      <c r="AW983" s="30" t="str">
        <f aca="false">IF(OR(AE983="判定不能",M983="判定不能"),"判定不能",IF(AV983&gt;=判定条件!$C$9,"利用可",IF(AND(AE983="停止",M983="停止"),"両方停止","運転がそろわない")))</f>
        <v>運転がそろわない</v>
      </c>
      <c r="AX983" s="30" t="str">
        <f aca="false">IF(AND(AH983="利用可",AK983="利用可",AN983="利用可"),"利用可","不可")</f>
        <v>不可</v>
      </c>
      <c r="AY983" s="30" t="str">
        <f aca="false">IF(AND(AQ983="利用可",AT983="利用可",AW983="利用可"),"利用可","不可")</f>
        <v>不可</v>
      </c>
    </row>
    <row r="984" customFormat="false" ht="15" hidden="false" customHeight="false" outlineLevel="0" collapsed="false">
      <c r="A984" s="29" t="n">
        <v>46272</v>
      </c>
      <c r="B984" s="30" t="n">
        <v>21</v>
      </c>
      <c r="C984" s="31" t="s">
        <v>66</v>
      </c>
      <c r="D984" s="31" t="s">
        <v>59</v>
      </c>
      <c r="E984" s="30" t="n">
        <v>60</v>
      </c>
      <c r="F984" s="30" t="n">
        <v>0</v>
      </c>
      <c r="G984" s="30" t="str">
        <f aca="false">IF(E984&lt;判定条件!$C$6,"判定不能",IF(F984&gt;=判定条件!$C$7*E984,"運転",IF(F984&lt;=判定条件!$C$8*E984,"停止","断続")))</f>
        <v>停止</v>
      </c>
      <c r="H984" s="30" t="n">
        <v>0</v>
      </c>
      <c r="I984" s="30" t="n">
        <v>0</v>
      </c>
      <c r="J984" s="30" t="str">
        <f aca="false">IF(H984&lt;判定条件!$C$6,"判定不能",IF(I984&gt;=判定条件!$C$7*H984,"運転",IF(I984&lt;=判定条件!$C$8*H984,"停止","断続")))</f>
        <v>判定不能</v>
      </c>
      <c r="K984" s="30" t="n">
        <v>60</v>
      </c>
      <c r="L984" s="30" t="n">
        <v>19</v>
      </c>
      <c r="M984" s="30" t="str">
        <f aca="false">IF(K984&lt;判定条件!$C$6,"判定不能",IF(L984&gt;=判定条件!$C$7*K984,"運転",IF(L984&lt;=判定条件!$C$8*K984,"停止","断続")))</f>
        <v>断続</v>
      </c>
      <c r="N984" s="30" t="n">
        <v>60</v>
      </c>
      <c r="O984" s="30" t="n">
        <v>0</v>
      </c>
      <c r="P984" s="30" t="str">
        <f aca="false">IF(N984&lt;判定条件!$C$6,"判定不能",IF(O984&gt;=判定条件!$C$7*N984,"運転",IF(O984&lt;=判定条件!$C$8*N984,"停止","断続")))</f>
        <v>停止</v>
      </c>
      <c r="Q984" s="30" t="n">
        <v>60</v>
      </c>
      <c r="R984" s="30" t="n">
        <v>16</v>
      </c>
      <c r="S984" s="30" t="str">
        <f aca="false">IF(Q984&lt;判定条件!$C$6,"判定不能",IF(R984&gt;=判定条件!$C$7*Q984,"運転",IF(R984&lt;=判定条件!$C$8*Q984,"停止","断続")))</f>
        <v>断続</v>
      </c>
      <c r="T984" s="30" t="n">
        <v>60</v>
      </c>
      <c r="U984" s="30" t="n">
        <v>60</v>
      </c>
      <c r="V984" s="30" t="str">
        <f aca="false">IF(T984&lt;判定条件!$C$6,"判定不能",IF(U984&gt;=判定条件!$C$7*T984,"運転",IF(U984&lt;=判定条件!$C$8*T984,"停止","断続")))</f>
        <v>運転</v>
      </c>
      <c r="W984" s="30" t="n">
        <v>60</v>
      </c>
      <c r="X984" s="30" t="n">
        <v>60</v>
      </c>
      <c r="Y984" s="30" t="str">
        <f aca="false">IF(W984&lt;判定条件!$C$6,"判定不能",IF(X984&gt;=判定条件!$C$7*W984,"運転",IF(X984&lt;=判定条件!$C$8*W984,"停止","断続")))</f>
        <v>運転</v>
      </c>
      <c r="Z984" s="30" t="n">
        <v>60</v>
      </c>
      <c r="AA984" s="30" t="n">
        <v>0</v>
      </c>
      <c r="AB984" s="30" t="str">
        <f aca="false">IF(Z984&lt;判定条件!$C$6,"判定不能",IF(AA984&gt;=判定条件!$C$7*Z984,"運転",IF(AA984&lt;=判定条件!$C$8*Z984,"停止","断続")))</f>
        <v>停止</v>
      </c>
      <c r="AC984" s="30" t="n">
        <v>60</v>
      </c>
      <c r="AD984" s="30" t="n">
        <v>0</v>
      </c>
      <c r="AE984" s="30" t="str">
        <f aca="false">IF(AC984&lt;判定条件!$C$6,"判定不能",IF(AD984&gt;=判定条件!$C$7*AC984,"運転",IF(AD984&lt;=判定条件!$C$8*AC984,"停止","断続")))</f>
        <v>停止</v>
      </c>
      <c r="AF984" s="30" t="n">
        <v>60</v>
      </c>
      <c r="AG984" s="30" t="n">
        <v>0</v>
      </c>
      <c r="AH984" s="30" t="str">
        <f aca="false">IF(OR(P984="判定不能",G984="判定不能"),"判定不能",IF(AG984&gt;=判定条件!$C$9,"利用可",IF(AND(P984="停止",G984="停止"),"両方停止","運転がそろわない")))</f>
        <v>両方停止</v>
      </c>
      <c r="AI984" s="30" t="n">
        <v>0</v>
      </c>
      <c r="AJ984" s="30" t="n">
        <v>0</v>
      </c>
      <c r="AK984" s="30" t="str">
        <f aca="false">IF(OR(S984="判定不能",J984="判定不能"),"判定不能",IF(AJ984&gt;=判定条件!$C$9,"利用可",IF(AND(S984="停止",J984="停止"),"両方停止","運転がそろわない")))</f>
        <v>判定不能</v>
      </c>
      <c r="AL984" s="30" t="n">
        <v>60</v>
      </c>
      <c r="AM984" s="30" t="n">
        <v>19</v>
      </c>
      <c r="AN984" s="30" t="str">
        <f aca="false">IF(OR(V984="判定不能",M984="判定不能"),"判定不能",IF(AM984&gt;=判定条件!$C$9,"利用可",IF(AND(V984="停止",M984="停止"),"両方停止","運転がそろわない")))</f>
        <v>運転がそろわない</v>
      </c>
      <c r="AO984" s="30" t="n">
        <v>60</v>
      </c>
      <c r="AP984" s="30" t="n">
        <v>0</v>
      </c>
      <c r="AQ984" s="30" t="str">
        <f aca="false">IF(OR(Y984="判定不能",G984="判定不能"),"判定不能",IF(AP984&gt;=判定条件!$C$9,"利用可",IF(AND(Y984="停止",G984="停止"),"両方停止","運転がそろわない")))</f>
        <v>運転がそろわない</v>
      </c>
      <c r="AR984" s="30" t="n">
        <v>0</v>
      </c>
      <c r="AS984" s="30" t="n">
        <v>0</v>
      </c>
      <c r="AT984" s="30" t="str">
        <f aca="false">IF(OR(AB984="判定不能",J984="判定不能"),"判定不能",IF(AS984&gt;=判定条件!$C$9,"利用可",IF(AND(AB984="停止",J984="停止"),"両方停止","運転がそろわない")))</f>
        <v>判定不能</v>
      </c>
      <c r="AU984" s="30" t="n">
        <v>60</v>
      </c>
      <c r="AV984" s="30" t="n">
        <v>0</v>
      </c>
      <c r="AW984" s="30" t="str">
        <f aca="false">IF(OR(AE984="判定不能",M984="判定不能"),"判定不能",IF(AV984&gt;=判定条件!$C$9,"利用可",IF(AND(AE984="停止",M984="停止"),"両方停止","運転がそろわない")))</f>
        <v>運転がそろわない</v>
      </c>
      <c r="AX984" s="30" t="str">
        <f aca="false">IF(AND(AH984="利用可",AK984="利用可",AN984="利用可"),"利用可","不可")</f>
        <v>不可</v>
      </c>
      <c r="AY984" s="30" t="str">
        <f aca="false">IF(AND(AQ984="利用可",AT984="利用可",AW984="利用可"),"利用可","不可")</f>
        <v>不可</v>
      </c>
    </row>
    <row r="985" customFormat="false" ht="15" hidden="false" customHeight="false" outlineLevel="0" collapsed="false">
      <c r="A985" s="29" t="n">
        <v>46272</v>
      </c>
      <c r="B985" s="30" t="n">
        <v>22</v>
      </c>
      <c r="C985" s="31" t="s">
        <v>66</v>
      </c>
      <c r="D985" s="31" t="s">
        <v>59</v>
      </c>
      <c r="E985" s="30" t="n">
        <v>60</v>
      </c>
      <c r="F985" s="30" t="n">
        <v>0</v>
      </c>
      <c r="G985" s="30" t="str">
        <f aca="false">IF(E985&lt;判定条件!$C$6,"判定不能",IF(F985&gt;=判定条件!$C$7*E985,"運転",IF(F985&lt;=判定条件!$C$8*E985,"停止","断続")))</f>
        <v>停止</v>
      </c>
      <c r="H985" s="30" t="n">
        <v>0</v>
      </c>
      <c r="I985" s="30" t="n">
        <v>0</v>
      </c>
      <c r="J985" s="30" t="str">
        <f aca="false">IF(H985&lt;判定条件!$C$6,"判定不能",IF(I985&gt;=判定条件!$C$7*H985,"運転",IF(I985&lt;=判定条件!$C$8*H985,"停止","断続")))</f>
        <v>判定不能</v>
      </c>
      <c r="K985" s="30" t="n">
        <v>60</v>
      </c>
      <c r="L985" s="30" t="n">
        <v>0</v>
      </c>
      <c r="M985" s="30" t="str">
        <f aca="false">IF(K985&lt;判定条件!$C$6,"判定不能",IF(L985&gt;=判定条件!$C$7*K985,"運転",IF(L985&lt;=判定条件!$C$8*K985,"停止","断続")))</f>
        <v>停止</v>
      </c>
      <c r="N985" s="30" t="n">
        <v>60</v>
      </c>
      <c r="O985" s="30" t="n">
        <v>0</v>
      </c>
      <c r="P985" s="30" t="str">
        <f aca="false">IF(N985&lt;判定条件!$C$6,"判定不能",IF(O985&gt;=判定条件!$C$7*N985,"運転",IF(O985&lt;=判定条件!$C$8*N985,"停止","断続")))</f>
        <v>停止</v>
      </c>
      <c r="Q985" s="30" t="n">
        <v>60</v>
      </c>
      <c r="R985" s="30" t="n">
        <v>15</v>
      </c>
      <c r="S985" s="30" t="str">
        <f aca="false">IF(Q985&lt;判定条件!$C$6,"判定不能",IF(R985&gt;=判定条件!$C$7*Q985,"運転",IF(R985&lt;=判定条件!$C$8*Q985,"停止","断続")))</f>
        <v>断続</v>
      </c>
      <c r="T985" s="30" t="n">
        <v>60</v>
      </c>
      <c r="U985" s="30" t="n">
        <v>26</v>
      </c>
      <c r="V985" s="30" t="str">
        <f aca="false">IF(T985&lt;判定条件!$C$6,"判定不能",IF(U985&gt;=判定条件!$C$7*T985,"運転",IF(U985&lt;=判定条件!$C$8*T985,"停止","断続")))</f>
        <v>断続</v>
      </c>
      <c r="W985" s="30" t="n">
        <v>60</v>
      </c>
      <c r="X985" s="30" t="n">
        <v>25</v>
      </c>
      <c r="Y985" s="30" t="str">
        <f aca="false">IF(W985&lt;判定条件!$C$6,"判定不能",IF(X985&gt;=判定条件!$C$7*W985,"運転",IF(X985&lt;=判定条件!$C$8*W985,"停止","断続")))</f>
        <v>断続</v>
      </c>
      <c r="Z985" s="30" t="n">
        <v>60</v>
      </c>
      <c r="AA985" s="30" t="n">
        <v>0</v>
      </c>
      <c r="AB985" s="30" t="str">
        <f aca="false">IF(Z985&lt;判定条件!$C$6,"判定不能",IF(AA985&gt;=判定条件!$C$7*Z985,"運転",IF(AA985&lt;=判定条件!$C$8*Z985,"停止","断続")))</f>
        <v>停止</v>
      </c>
      <c r="AC985" s="30" t="n">
        <v>60</v>
      </c>
      <c r="AD985" s="30" t="n">
        <v>0</v>
      </c>
      <c r="AE985" s="30" t="str">
        <f aca="false">IF(AC985&lt;判定条件!$C$6,"判定不能",IF(AD985&gt;=判定条件!$C$7*AC985,"運転",IF(AD985&lt;=判定条件!$C$8*AC985,"停止","断続")))</f>
        <v>停止</v>
      </c>
      <c r="AF985" s="30" t="n">
        <v>60</v>
      </c>
      <c r="AG985" s="30" t="n">
        <v>0</v>
      </c>
      <c r="AH985" s="30" t="str">
        <f aca="false">IF(OR(P985="判定不能",G985="判定不能"),"判定不能",IF(AG985&gt;=判定条件!$C$9,"利用可",IF(AND(P985="停止",G985="停止"),"両方停止","運転がそろわない")))</f>
        <v>両方停止</v>
      </c>
      <c r="AI985" s="30" t="n">
        <v>0</v>
      </c>
      <c r="AJ985" s="30" t="n">
        <v>0</v>
      </c>
      <c r="AK985" s="30" t="str">
        <f aca="false">IF(OR(S985="判定不能",J985="判定不能"),"判定不能",IF(AJ985&gt;=判定条件!$C$9,"利用可",IF(AND(S985="停止",J985="停止"),"両方停止","運転がそろわない")))</f>
        <v>判定不能</v>
      </c>
      <c r="AL985" s="30" t="n">
        <v>60</v>
      </c>
      <c r="AM985" s="30" t="n">
        <v>0</v>
      </c>
      <c r="AN985" s="30" t="str">
        <f aca="false">IF(OR(V985="判定不能",M985="判定不能"),"判定不能",IF(AM985&gt;=判定条件!$C$9,"利用可",IF(AND(V985="停止",M985="停止"),"両方停止","運転がそろわない")))</f>
        <v>運転がそろわない</v>
      </c>
      <c r="AO985" s="30" t="n">
        <v>60</v>
      </c>
      <c r="AP985" s="30" t="n">
        <v>0</v>
      </c>
      <c r="AQ985" s="30" t="str">
        <f aca="false">IF(OR(Y985="判定不能",G985="判定不能"),"判定不能",IF(AP985&gt;=判定条件!$C$9,"利用可",IF(AND(Y985="停止",G985="停止"),"両方停止","運転がそろわない")))</f>
        <v>運転がそろわない</v>
      </c>
      <c r="AR985" s="30" t="n">
        <v>0</v>
      </c>
      <c r="AS985" s="30" t="n">
        <v>0</v>
      </c>
      <c r="AT985" s="30" t="str">
        <f aca="false">IF(OR(AB985="判定不能",J985="判定不能"),"判定不能",IF(AS985&gt;=判定条件!$C$9,"利用可",IF(AND(AB985="停止",J985="停止"),"両方停止","運転がそろわない")))</f>
        <v>判定不能</v>
      </c>
      <c r="AU985" s="30" t="n">
        <v>60</v>
      </c>
      <c r="AV985" s="30" t="n">
        <v>0</v>
      </c>
      <c r="AW985" s="30" t="str">
        <f aca="false">IF(OR(AE985="判定不能",M985="判定不能"),"判定不能",IF(AV985&gt;=判定条件!$C$9,"利用可",IF(AND(AE985="停止",M985="停止"),"両方停止","運転がそろわない")))</f>
        <v>両方停止</v>
      </c>
      <c r="AX985" s="30" t="str">
        <f aca="false">IF(AND(AH985="利用可",AK985="利用可",AN985="利用可"),"利用可","不可")</f>
        <v>不可</v>
      </c>
      <c r="AY985" s="30" t="str">
        <f aca="false">IF(AND(AQ985="利用可",AT985="利用可",AW985="利用可"),"利用可","不可")</f>
        <v>不可</v>
      </c>
    </row>
    <row r="986" customFormat="false" ht="15" hidden="false" customHeight="false" outlineLevel="0" collapsed="false">
      <c r="A986" s="29" t="n">
        <v>46272</v>
      </c>
      <c r="B986" s="30" t="n">
        <v>23</v>
      </c>
      <c r="C986" s="31" t="s">
        <v>66</v>
      </c>
      <c r="D986" s="31" t="s">
        <v>59</v>
      </c>
      <c r="E986" s="30" t="n">
        <v>60</v>
      </c>
      <c r="F986" s="30" t="n">
        <v>0</v>
      </c>
      <c r="G986" s="30" t="str">
        <f aca="false">IF(E986&lt;判定条件!$C$6,"判定不能",IF(F986&gt;=判定条件!$C$7*E986,"運転",IF(F986&lt;=判定条件!$C$8*E986,"停止","断続")))</f>
        <v>停止</v>
      </c>
      <c r="H986" s="30" t="n">
        <v>0</v>
      </c>
      <c r="I986" s="30" t="n">
        <v>0</v>
      </c>
      <c r="J986" s="30" t="str">
        <f aca="false">IF(H986&lt;判定条件!$C$6,"判定不能",IF(I986&gt;=判定条件!$C$7*H986,"運転",IF(I986&lt;=判定条件!$C$8*H986,"停止","断続")))</f>
        <v>判定不能</v>
      </c>
      <c r="K986" s="30" t="n">
        <v>60</v>
      </c>
      <c r="L986" s="30" t="n">
        <v>0</v>
      </c>
      <c r="M986" s="30" t="str">
        <f aca="false">IF(K986&lt;判定条件!$C$6,"判定不能",IF(L986&gt;=判定条件!$C$7*K986,"運転",IF(L986&lt;=判定条件!$C$8*K986,"停止","断続")))</f>
        <v>停止</v>
      </c>
      <c r="N986" s="30" t="n">
        <v>60</v>
      </c>
      <c r="O986" s="30" t="n">
        <v>0</v>
      </c>
      <c r="P986" s="30" t="str">
        <f aca="false">IF(N986&lt;判定条件!$C$6,"判定不能",IF(O986&gt;=判定条件!$C$7*N986,"運転",IF(O986&lt;=判定条件!$C$8*N986,"停止","断続")))</f>
        <v>停止</v>
      </c>
      <c r="Q986" s="30" t="n">
        <v>60</v>
      </c>
      <c r="R986" s="30" t="n">
        <v>0</v>
      </c>
      <c r="S986" s="30" t="str">
        <f aca="false">IF(Q986&lt;判定条件!$C$6,"判定不能",IF(R986&gt;=判定条件!$C$7*Q986,"運転",IF(R986&lt;=判定条件!$C$8*Q986,"停止","断続")))</f>
        <v>停止</v>
      </c>
      <c r="T986" s="30" t="n">
        <v>60</v>
      </c>
      <c r="U986" s="30" t="n">
        <v>0</v>
      </c>
      <c r="V986" s="30" t="str">
        <f aca="false">IF(T986&lt;判定条件!$C$6,"判定不能",IF(U986&gt;=判定条件!$C$7*T986,"運転",IF(U986&lt;=判定条件!$C$8*T986,"停止","断続")))</f>
        <v>停止</v>
      </c>
      <c r="W986" s="30" t="n">
        <v>60</v>
      </c>
      <c r="X986" s="30" t="n">
        <v>0</v>
      </c>
      <c r="Y986" s="30" t="str">
        <f aca="false">IF(W986&lt;判定条件!$C$6,"判定不能",IF(X986&gt;=判定条件!$C$7*W986,"運転",IF(X986&lt;=判定条件!$C$8*W986,"停止","断続")))</f>
        <v>停止</v>
      </c>
      <c r="Z986" s="30" t="n">
        <v>60</v>
      </c>
      <c r="AA986" s="30" t="n">
        <v>0</v>
      </c>
      <c r="AB986" s="30" t="str">
        <f aca="false">IF(Z986&lt;判定条件!$C$6,"判定不能",IF(AA986&gt;=判定条件!$C$7*Z986,"運転",IF(AA986&lt;=判定条件!$C$8*Z986,"停止","断続")))</f>
        <v>停止</v>
      </c>
      <c r="AC986" s="30" t="n">
        <v>60</v>
      </c>
      <c r="AD986" s="30" t="n">
        <v>0</v>
      </c>
      <c r="AE986" s="30" t="str">
        <f aca="false">IF(AC986&lt;判定条件!$C$6,"判定不能",IF(AD986&gt;=判定条件!$C$7*AC986,"運転",IF(AD986&lt;=判定条件!$C$8*AC986,"停止","断続")))</f>
        <v>停止</v>
      </c>
      <c r="AF986" s="30" t="n">
        <v>60</v>
      </c>
      <c r="AG986" s="30" t="n">
        <v>0</v>
      </c>
      <c r="AH986" s="30" t="str">
        <f aca="false">IF(OR(P986="判定不能",G986="判定不能"),"判定不能",IF(AG986&gt;=判定条件!$C$9,"利用可",IF(AND(P986="停止",G986="停止"),"両方停止","運転がそろわない")))</f>
        <v>両方停止</v>
      </c>
      <c r="AI986" s="30" t="n">
        <v>0</v>
      </c>
      <c r="AJ986" s="30" t="n">
        <v>0</v>
      </c>
      <c r="AK986" s="30" t="str">
        <f aca="false">IF(OR(S986="判定不能",J986="判定不能"),"判定不能",IF(AJ986&gt;=判定条件!$C$9,"利用可",IF(AND(S986="停止",J986="停止"),"両方停止","運転がそろわない")))</f>
        <v>判定不能</v>
      </c>
      <c r="AL986" s="30" t="n">
        <v>60</v>
      </c>
      <c r="AM986" s="30" t="n">
        <v>0</v>
      </c>
      <c r="AN986" s="30" t="str">
        <f aca="false">IF(OR(V986="判定不能",M986="判定不能"),"判定不能",IF(AM986&gt;=判定条件!$C$9,"利用可",IF(AND(V986="停止",M986="停止"),"両方停止","運転がそろわない")))</f>
        <v>両方停止</v>
      </c>
      <c r="AO986" s="30" t="n">
        <v>60</v>
      </c>
      <c r="AP986" s="30" t="n">
        <v>0</v>
      </c>
      <c r="AQ986" s="30" t="str">
        <f aca="false">IF(OR(Y986="判定不能",G986="判定不能"),"判定不能",IF(AP986&gt;=判定条件!$C$9,"利用可",IF(AND(Y986="停止",G986="停止"),"両方停止","運転がそろわない")))</f>
        <v>両方停止</v>
      </c>
      <c r="AR986" s="30" t="n">
        <v>0</v>
      </c>
      <c r="AS986" s="30" t="n">
        <v>0</v>
      </c>
      <c r="AT986" s="30" t="str">
        <f aca="false">IF(OR(AB986="判定不能",J986="判定不能"),"判定不能",IF(AS986&gt;=判定条件!$C$9,"利用可",IF(AND(AB986="停止",J986="停止"),"両方停止","運転がそろわない")))</f>
        <v>判定不能</v>
      </c>
      <c r="AU986" s="30" t="n">
        <v>60</v>
      </c>
      <c r="AV986" s="30" t="n">
        <v>0</v>
      </c>
      <c r="AW986" s="30" t="str">
        <f aca="false">IF(OR(AE986="判定不能",M986="判定不能"),"判定不能",IF(AV986&gt;=判定条件!$C$9,"利用可",IF(AND(AE986="停止",M986="停止"),"両方停止","運転がそろわない")))</f>
        <v>両方停止</v>
      </c>
      <c r="AX986" s="30" t="str">
        <f aca="false">IF(AND(AH986="利用可",AK986="利用可",AN986="利用可"),"利用可","不可")</f>
        <v>不可</v>
      </c>
      <c r="AY986" s="30" t="str">
        <f aca="false">IF(AND(AQ986="利用可",AT986="利用可",AW986="利用可"),"利用可","不可")</f>
        <v>不可</v>
      </c>
    </row>
    <row r="987" customFormat="false" ht="15" hidden="false" customHeight="false" outlineLevel="0" collapsed="false">
      <c r="A987" s="29" t="n">
        <v>46273</v>
      </c>
      <c r="B987" s="30" t="n">
        <v>0</v>
      </c>
      <c r="C987" s="31" t="s">
        <v>67</v>
      </c>
      <c r="D987" s="31" t="s">
        <v>59</v>
      </c>
      <c r="E987" s="30" t="n">
        <v>60</v>
      </c>
      <c r="F987" s="30" t="n">
        <v>0</v>
      </c>
      <c r="G987" s="30" t="str">
        <f aca="false">IF(E987&lt;判定条件!$C$6,"判定不能",IF(F987&gt;=判定条件!$C$7*E987,"運転",IF(F987&lt;=判定条件!$C$8*E987,"停止","断続")))</f>
        <v>停止</v>
      </c>
      <c r="H987" s="30" t="n">
        <v>20</v>
      </c>
      <c r="I987" s="30" t="n">
        <v>0</v>
      </c>
      <c r="J987" s="30" t="str">
        <f aca="false">IF(H987&lt;判定条件!$C$6,"判定不能",IF(I987&gt;=判定条件!$C$7*H987,"運転",IF(I987&lt;=判定条件!$C$8*H987,"停止","断続")))</f>
        <v>判定不能</v>
      </c>
      <c r="K987" s="30" t="n">
        <v>60</v>
      </c>
      <c r="L987" s="30" t="n">
        <v>0</v>
      </c>
      <c r="M987" s="30" t="str">
        <f aca="false">IF(K987&lt;判定条件!$C$6,"判定不能",IF(L987&gt;=判定条件!$C$7*K987,"運転",IF(L987&lt;=判定条件!$C$8*K987,"停止","断続")))</f>
        <v>停止</v>
      </c>
      <c r="N987" s="30" t="n">
        <v>60</v>
      </c>
      <c r="O987" s="30" t="n">
        <v>0</v>
      </c>
      <c r="P987" s="30" t="str">
        <f aca="false">IF(N987&lt;判定条件!$C$6,"判定不能",IF(O987&gt;=判定条件!$C$7*N987,"運転",IF(O987&lt;=判定条件!$C$8*N987,"停止","断続")))</f>
        <v>停止</v>
      </c>
      <c r="Q987" s="30" t="n">
        <v>60</v>
      </c>
      <c r="R987" s="30" t="n">
        <v>0</v>
      </c>
      <c r="S987" s="30" t="str">
        <f aca="false">IF(Q987&lt;判定条件!$C$6,"判定不能",IF(R987&gt;=判定条件!$C$7*Q987,"運転",IF(R987&lt;=判定条件!$C$8*Q987,"停止","断続")))</f>
        <v>停止</v>
      </c>
      <c r="T987" s="30" t="n">
        <v>60</v>
      </c>
      <c r="U987" s="30" t="n">
        <v>0</v>
      </c>
      <c r="V987" s="30" t="str">
        <f aca="false">IF(T987&lt;判定条件!$C$6,"判定不能",IF(U987&gt;=判定条件!$C$7*T987,"運転",IF(U987&lt;=判定条件!$C$8*T987,"停止","断続")))</f>
        <v>停止</v>
      </c>
      <c r="W987" s="30" t="n">
        <v>60</v>
      </c>
      <c r="X987" s="30" t="n">
        <v>0</v>
      </c>
      <c r="Y987" s="30" t="str">
        <f aca="false">IF(W987&lt;判定条件!$C$6,"判定不能",IF(X987&gt;=判定条件!$C$7*W987,"運転",IF(X987&lt;=判定条件!$C$8*W987,"停止","断続")))</f>
        <v>停止</v>
      </c>
      <c r="Z987" s="30" t="n">
        <v>60</v>
      </c>
      <c r="AA987" s="30" t="n">
        <v>0</v>
      </c>
      <c r="AB987" s="30" t="str">
        <f aca="false">IF(Z987&lt;判定条件!$C$6,"判定不能",IF(AA987&gt;=判定条件!$C$7*Z987,"運転",IF(AA987&lt;=判定条件!$C$8*Z987,"停止","断続")))</f>
        <v>停止</v>
      </c>
      <c r="AC987" s="30" t="n">
        <v>60</v>
      </c>
      <c r="AD987" s="30" t="n">
        <v>0</v>
      </c>
      <c r="AE987" s="30" t="str">
        <f aca="false">IF(AC987&lt;判定条件!$C$6,"判定不能",IF(AD987&gt;=判定条件!$C$7*AC987,"運転",IF(AD987&lt;=判定条件!$C$8*AC987,"停止","断続")))</f>
        <v>停止</v>
      </c>
      <c r="AF987" s="30" t="n">
        <v>60</v>
      </c>
      <c r="AG987" s="30" t="n">
        <v>0</v>
      </c>
      <c r="AH987" s="30" t="str">
        <f aca="false">IF(OR(P987="判定不能",G987="判定不能"),"判定不能",IF(AG987&gt;=判定条件!$C$9,"利用可",IF(AND(P987="停止",G987="停止"),"両方停止","運転がそろわない")))</f>
        <v>両方停止</v>
      </c>
      <c r="AI987" s="30" t="n">
        <v>20</v>
      </c>
      <c r="AJ987" s="30" t="n">
        <v>0</v>
      </c>
      <c r="AK987" s="30" t="str">
        <f aca="false">IF(OR(S987="判定不能",J987="判定不能"),"判定不能",IF(AJ987&gt;=判定条件!$C$9,"利用可",IF(AND(S987="停止",J987="停止"),"両方停止","運転がそろわない")))</f>
        <v>判定不能</v>
      </c>
      <c r="AL987" s="30" t="n">
        <v>60</v>
      </c>
      <c r="AM987" s="30" t="n">
        <v>0</v>
      </c>
      <c r="AN987" s="30" t="str">
        <f aca="false">IF(OR(V987="判定不能",M987="判定不能"),"判定不能",IF(AM987&gt;=判定条件!$C$9,"利用可",IF(AND(V987="停止",M987="停止"),"両方停止","運転がそろわない")))</f>
        <v>両方停止</v>
      </c>
      <c r="AO987" s="30" t="n">
        <v>60</v>
      </c>
      <c r="AP987" s="30" t="n">
        <v>0</v>
      </c>
      <c r="AQ987" s="30" t="str">
        <f aca="false">IF(OR(Y987="判定不能",G987="判定不能"),"判定不能",IF(AP987&gt;=判定条件!$C$9,"利用可",IF(AND(Y987="停止",G987="停止"),"両方停止","運転がそろわない")))</f>
        <v>両方停止</v>
      </c>
      <c r="AR987" s="30" t="n">
        <v>20</v>
      </c>
      <c r="AS987" s="30" t="n">
        <v>0</v>
      </c>
      <c r="AT987" s="30" t="str">
        <f aca="false">IF(OR(AB987="判定不能",J987="判定不能"),"判定不能",IF(AS987&gt;=判定条件!$C$9,"利用可",IF(AND(AB987="停止",J987="停止"),"両方停止","運転がそろわない")))</f>
        <v>判定不能</v>
      </c>
      <c r="AU987" s="30" t="n">
        <v>60</v>
      </c>
      <c r="AV987" s="30" t="n">
        <v>0</v>
      </c>
      <c r="AW987" s="30" t="str">
        <f aca="false">IF(OR(AE987="判定不能",M987="判定不能"),"判定不能",IF(AV987&gt;=判定条件!$C$9,"利用可",IF(AND(AE987="停止",M987="停止"),"両方停止","運転がそろわない")))</f>
        <v>両方停止</v>
      </c>
      <c r="AX987" s="30" t="str">
        <f aca="false">IF(AND(AH987="利用可",AK987="利用可",AN987="利用可"),"利用可","不可")</f>
        <v>不可</v>
      </c>
      <c r="AY987" s="30" t="str">
        <f aca="false">IF(AND(AQ987="利用可",AT987="利用可",AW987="利用可"),"利用可","不可")</f>
        <v>不可</v>
      </c>
    </row>
    <row r="988" customFormat="false" ht="15" hidden="false" customHeight="false" outlineLevel="0" collapsed="false">
      <c r="A988" s="29" t="n">
        <v>46273</v>
      </c>
      <c r="B988" s="30" t="n">
        <v>1</v>
      </c>
      <c r="C988" s="31" t="s">
        <v>67</v>
      </c>
      <c r="D988" s="31" t="s">
        <v>59</v>
      </c>
      <c r="E988" s="30" t="n">
        <v>60</v>
      </c>
      <c r="F988" s="30" t="n">
        <v>0</v>
      </c>
      <c r="G988" s="30" t="str">
        <f aca="false">IF(E988&lt;判定条件!$C$6,"判定不能",IF(F988&gt;=判定条件!$C$7*E988,"運転",IF(F988&lt;=判定条件!$C$8*E988,"停止","断続")))</f>
        <v>停止</v>
      </c>
      <c r="H988" s="30" t="n">
        <v>60</v>
      </c>
      <c r="I988" s="30" t="n">
        <v>0</v>
      </c>
      <c r="J988" s="30" t="str">
        <f aca="false">IF(H988&lt;判定条件!$C$6,"判定不能",IF(I988&gt;=判定条件!$C$7*H988,"運転",IF(I988&lt;=判定条件!$C$8*H988,"停止","断続")))</f>
        <v>停止</v>
      </c>
      <c r="K988" s="30" t="n">
        <v>60</v>
      </c>
      <c r="L988" s="30" t="n">
        <v>0</v>
      </c>
      <c r="M988" s="30" t="str">
        <f aca="false">IF(K988&lt;判定条件!$C$6,"判定不能",IF(L988&gt;=判定条件!$C$7*K988,"運転",IF(L988&lt;=判定条件!$C$8*K988,"停止","断続")))</f>
        <v>停止</v>
      </c>
      <c r="N988" s="30" t="n">
        <v>60</v>
      </c>
      <c r="O988" s="30" t="n">
        <v>0</v>
      </c>
      <c r="P988" s="30" t="str">
        <f aca="false">IF(N988&lt;判定条件!$C$6,"判定不能",IF(O988&gt;=判定条件!$C$7*N988,"運転",IF(O988&lt;=判定条件!$C$8*N988,"停止","断続")))</f>
        <v>停止</v>
      </c>
      <c r="Q988" s="30" t="n">
        <v>60</v>
      </c>
      <c r="R988" s="30" t="n">
        <v>0</v>
      </c>
      <c r="S988" s="30" t="str">
        <f aca="false">IF(Q988&lt;判定条件!$C$6,"判定不能",IF(R988&gt;=判定条件!$C$7*Q988,"運転",IF(R988&lt;=判定条件!$C$8*Q988,"停止","断続")))</f>
        <v>停止</v>
      </c>
      <c r="T988" s="30" t="n">
        <v>60</v>
      </c>
      <c r="U988" s="30" t="n">
        <v>0</v>
      </c>
      <c r="V988" s="30" t="str">
        <f aca="false">IF(T988&lt;判定条件!$C$6,"判定不能",IF(U988&gt;=判定条件!$C$7*T988,"運転",IF(U988&lt;=判定条件!$C$8*T988,"停止","断続")))</f>
        <v>停止</v>
      </c>
      <c r="W988" s="30" t="n">
        <v>60</v>
      </c>
      <c r="X988" s="30" t="n">
        <v>0</v>
      </c>
      <c r="Y988" s="30" t="str">
        <f aca="false">IF(W988&lt;判定条件!$C$6,"判定不能",IF(X988&gt;=判定条件!$C$7*W988,"運転",IF(X988&lt;=判定条件!$C$8*W988,"停止","断続")))</f>
        <v>停止</v>
      </c>
      <c r="Z988" s="30" t="n">
        <v>60</v>
      </c>
      <c r="AA988" s="30" t="n">
        <v>0</v>
      </c>
      <c r="AB988" s="30" t="str">
        <f aca="false">IF(Z988&lt;判定条件!$C$6,"判定不能",IF(AA988&gt;=判定条件!$C$7*Z988,"運転",IF(AA988&lt;=判定条件!$C$8*Z988,"停止","断続")))</f>
        <v>停止</v>
      </c>
      <c r="AC988" s="30" t="n">
        <v>60</v>
      </c>
      <c r="AD988" s="30" t="n">
        <v>0</v>
      </c>
      <c r="AE988" s="30" t="str">
        <f aca="false">IF(AC988&lt;判定条件!$C$6,"判定不能",IF(AD988&gt;=判定条件!$C$7*AC988,"運転",IF(AD988&lt;=判定条件!$C$8*AC988,"停止","断続")))</f>
        <v>停止</v>
      </c>
      <c r="AF988" s="30" t="n">
        <v>60</v>
      </c>
      <c r="AG988" s="30" t="n">
        <v>0</v>
      </c>
      <c r="AH988" s="30" t="str">
        <f aca="false">IF(OR(P988="判定不能",G988="判定不能"),"判定不能",IF(AG988&gt;=判定条件!$C$9,"利用可",IF(AND(P988="停止",G988="停止"),"両方停止","運転がそろわない")))</f>
        <v>両方停止</v>
      </c>
      <c r="AI988" s="30" t="n">
        <v>60</v>
      </c>
      <c r="AJ988" s="30" t="n">
        <v>0</v>
      </c>
      <c r="AK988" s="30" t="str">
        <f aca="false">IF(OR(S988="判定不能",J988="判定不能"),"判定不能",IF(AJ988&gt;=判定条件!$C$9,"利用可",IF(AND(S988="停止",J988="停止"),"両方停止","運転がそろわない")))</f>
        <v>両方停止</v>
      </c>
      <c r="AL988" s="30" t="n">
        <v>60</v>
      </c>
      <c r="AM988" s="30" t="n">
        <v>0</v>
      </c>
      <c r="AN988" s="30" t="str">
        <f aca="false">IF(OR(V988="判定不能",M988="判定不能"),"判定不能",IF(AM988&gt;=判定条件!$C$9,"利用可",IF(AND(V988="停止",M988="停止"),"両方停止","運転がそろわない")))</f>
        <v>両方停止</v>
      </c>
      <c r="AO988" s="30" t="n">
        <v>60</v>
      </c>
      <c r="AP988" s="30" t="n">
        <v>0</v>
      </c>
      <c r="AQ988" s="30" t="str">
        <f aca="false">IF(OR(Y988="判定不能",G988="判定不能"),"判定不能",IF(AP988&gt;=判定条件!$C$9,"利用可",IF(AND(Y988="停止",G988="停止"),"両方停止","運転がそろわない")))</f>
        <v>両方停止</v>
      </c>
      <c r="AR988" s="30" t="n">
        <v>60</v>
      </c>
      <c r="AS988" s="30" t="n">
        <v>0</v>
      </c>
      <c r="AT988" s="30" t="str">
        <f aca="false">IF(OR(AB988="判定不能",J988="判定不能"),"判定不能",IF(AS988&gt;=判定条件!$C$9,"利用可",IF(AND(AB988="停止",J988="停止"),"両方停止","運転がそろわない")))</f>
        <v>両方停止</v>
      </c>
      <c r="AU988" s="30" t="n">
        <v>60</v>
      </c>
      <c r="AV988" s="30" t="n">
        <v>0</v>
      </c>
      <c r="AW988" s="30" t="str">
        <f aca="false">IF(OR(AE988="判定不能",M988="判定不能"),"判定不能",IF(AV988&gt;=判定条件!$C$9,"利用可",IF(AND(AE988="停止",M988="停止"),"両方停止","運転がそろわない")))</f>
        <v>両方停止</v>
      </c>
      <c r="AX988" s="30" t="str">
        <f aca="false">IF(AND(AH988="利用可",AK988="利用可",AN988="利用可"),"利用可","不可")</f>
        <v>不可</v>
      </c>
      <c r="AY988" s="30" t="str">
        <f aca="false">IF(AND(AQ988="利用可",AT988="利用可",AW988="利用可"),"利用可","不可")</f>
        <v>不可</v>
      </c>
    </row>
    <row r="989" customFormat="false" ht="15" hidden="false" customHeight="false" outlineLevel="0" collapsed="false">
      <c r="A989" s="29" t="n">
        <v>46273</v>
      </c>
      <c r="B989" s="30" t="n">
        <v>2</v>
      </c>
      <c r="C989" s="31" t="s">
        <v>67</v>
      </c>
      <c r="D989" s="31" t="s">
        <v>59</v>
      </c>
      <c r="E989" s="30" t="n">
        <v>60</v>
      </c>
      <c r="F989" s="30" t="n">
        <v>0</v>
      </c>
      <c r="G989" s="30" t="str">
        <f aca="false">IF(E989&lt;判定条件!$C$6,"判定不能",IF(F989&gt;=判定条件!$C$7*E989,"運転",IF(F989&lt;=判定条件!$C$8*E989,"停止","断続")))</f>
        <v>停止</v>
      </c>
      <c r="H989" s="30" t="n">
        <v>60</v>
      </c>
      <c r="I989" s="30" t="n">
        <v>0</v>
      </c>
      <c r="J989" s="30" t="str">
        <f aca="false">IF(H989&lt;判定条件!$C$6,"判定不能",IF(I989&gt;=判定条件!$C$7*H989,"運転",IF(I989&lt;=判定条件!$C$8*H989,"停止","断続")))</f>
        <v>停止</v>
      </c>
      <c r="K989" s="30" t="n">
        <v>60</v>
      </c>
      <c r="L989" s="30" t="n">
        <v>0</v>
      </c>
      <c r="M989" s="30" t="str">
        <f aca="false">IF(K989&lt;判定条件!$C$6,"判定不能",IF(L989&gt;=判定条件!$C$7*K989,"運転",IF(L989&lt;=判定条件!$C$8*K989,"停止","断続")))</f>
        <v>停止</v>
      </c>
      <c r="N989" s="30" t="n">
        <v>60</v>
      </c>
      <c r="O989" s="30" t="n">
        <v>0</v>
      </c>
      <c r="P989" s="30" t="str">
        <f aca="false">IF(N989&lt;判定条件!$C$6,"判定不能",IF(O989&gt;=判定条件!$C$7*N989,"運転",IF(O989&lt;=判定条件!$C$8*N989,"停止","断続")))</f>
        <v>停止</v>
      </c>
      <c r="Q989" s="30" t="n">
        <v>60</v>
      </c>
      <c r="R989" s="30" t="n">
        <v>0</v>
      </c>
      <c r="S989" s="30" t="str">
        <f aca="false">IF(Q989&lt;判定条件!$C$6,"判定不能",IF(R989&gt;=判定条件!$C$7*Q989,"運転",IF(R989&lt;=判定条件!$C$8*Q989,"停止","断続")))</f>
        <v>停止</v>
      </c>
      <c r="T989" s="30" t="n">
        <v>60</v>
      </c>
      <c r="U989" s="30" t="n">
        <v>0</v>
      </c>
      <c r="V989" s="30" t="str">
        <f aca="false">IF(T989&lt;判定条件!$C$6,"判定不能",IF(U989&gt;=判定条件!$C$7*T989,"運転",IF(U989&lt;=判定条件!$C$8*T989,"停止","断続")))</f>
        <v>停止</v>
      </c>
      <c r="W989" s="30" t="n">
        <v>60</v>
      </c>
      <c r="X989" s="30" t="n">
        <v>0</v>
      </c>
      <c r="Y989" s="30" t="str">
        <f aca="false">IF(W989&lt;判定条件!$C$6,"判定不能",IF(X989&gt;=判定条件!$C$7*W989,"運転",IF(X989&lt;=判定条件!$C$8*W989,"停止","断続")))</f>
        <v>停止</v>
      </c>
      <c r="Z989" s="30" t="n">
        <v>60</v>
      </c>
      <c r="AA989" s="30" t="n">
        <v>0</v>
      </c>
      <c r="AB989" s="30" t="str">
        <f aca="false">IF(Z989&lt;判定条件!$C$6,"判定不能",IF(AA989&gt;=判定条件!$C$7*Z989,"運転",IF(AA989&lt;=判定条件!$C$8*Z989,"停止","断続")))</f>
        <v>停止</v>
      </c>
      <c r="AC989" s="30" t="n">
        <v>60</v>
      </c>
      <c r="AD989" s="30" t="n">
        <v>0</v>
      </c>
      <c r="AE989" s="30" t="str">
        <f aca="false">IF(AC989&lt;判定条件!$C$6,"判定不能",IF(AD989&gt;=判定条件!$C$7*AC989,"運転",IF(AD989&lt;=判定条件!$C$8*AC989,"停止","断続")))</f>
        <v>停止</v>
      </c>
      <c r="AF989" s="30" t="n">
        <v>60</v>
      </c>
      <c r="AG989" s="30" t="n">
        <v>0</v>
      </c>
      <c r="AH989" s="30" t="str">
        <f aca="false">IF(OR(P989="判定不能",G989="判定不能"),"判定不能",IF(AG989&gt;=判定条件!$C$9,"利用可",IF(AND(P989="停止",G989="停止"),"両方停止","運転がそろわない")))</f>
        <v>両方停止</v>
      </c>
      <c r="AI989" s="30" t="n">
        <v>60</v>
      </c>
      <c r="AJ989" s="30" t="n">
        <v>0</v>
      </c>
      <c r="AK989" s="30" t="str">
        <f aca="false">IF(OR(S989="判定不能",J989="判定不能"),"判定不能",IF(AJ989&gt;=判定条件!$C$9,"利用可",IF(AND(S989="停止",J989="停止"),"両方停止","運転がそろわない")))</f>
        <v>両方停止</v>
      </c>
      <c r="AL989" s="30" t="n">
        <v>60</v>
      </c>
      <c r="AM989" s="30" t="n">
        <v>0</v>
      </c>
      <c r="AN989" s="30" t="str">
        <f aca="false">IF(OR(V989="判定不能",M989="判定不能"),"判定不能",IF(AM989&gt;=判定条件!$C$9,"利用可",IF(AND(V989="停止",M989="停止"),"両方停止","運転がそろわない")))</f>
        <v>両方停止</v>
      </c>
      <c r="AO989" s="30" t="n">
        <v>60</v>
      </c>
      <c r="AP989" s="30" t="n">
        <v>0</v>
      </c>
      <c r="AQ989" s="30" t="str">
        <f aca="false">IF(OR(Y989="判定不能",G989="判定不能"),"判定不能",IF(AP989&gt;=判定条件!$C$9,"利用可",IF(AND(Y989="停止",G989="停止"),"両方停止","運転がそろわない")))</f>
        <v>両方停止</v>
      </c>
      <c r="AR989" s="30" t="n">
        <v>60</v>
      </c>
      <c r="AS989" s="30" t="n">
        <v>0</v>
      </c>
      <c r="AT989" s="30" t="str">
        <f aca="false">IF(OR(AB989="判定不能",J989="判定不能"),"判定不能",IF(AS989&gt;=判定条件!$C$9,"利用可",IF(AND(AB989="停止",J989="停止"),"両方停止","運転がそろわない")))</f>
        <v>両方停止</v>
      </c>
      <c r="AU989" s="30" t="n">
        <v>60</v>
      </c>
      <c r="AV989" s="30" t="n">
        <v>0</v>
      </c>
      <c r="AW989" s="30" t="str">
        <f aca="false">IF(OR(AE989="判定不能",M989="判定不能"),"判定不能",IF(AV989&gt;=判定条件!$C$9,"利用可",IF(AND(AE989="停止",M989="停止"),"両方停止","運転がそろわない")))</f>
        <v>両方停止</v>
      </c>
      <c r="AX989" s="30" t="str">
        <f aca="false">IF(AND(AH989="利用可",AK989="利用可",AN989="利用可"),"利用可","不可")</f>
        <v>不可</v>
      </c>
      <c r="AY989" s="30" t="str">
        <f aca="false">IF(AND(AQ989="利用可",AT989="利用可",AW989="利用可"),"利用可","不可")</f>
        <v>不可</v>
      </c>
    </row>
    <row r="990" customFormat="false" ht="15" hidden="false" customHeight="false" outlineLevel="0" collapsed="false">
      <c r="A990" s="29" t="n">
        <v>46273</v>
      </c>
      <c r="B990" s="30" t="n">
        <v>3</v>
      </c>
      <c r="C990" s="31" t="s">
        <v>67</v>
      </c>
      <c r="D990" s="31" t="s">
        <v>59</v>
      </c>
      <c r="E990" s="30" t="n">
        <v>60</v>
      </c>
      <c r="F990" s="30" t="n">
        <v>0</v>
      </c>
      <c r="G990" s="30" t="str">
        <f aca="false">IF(E990&lt;判定条件!$C$6,"判定不能",IF(F990&gt;=判定条件!$C$7*E990,"運転",IF(F990&lt;=判定条件!$C$8*E990,"停止","断続")))</f>
        <v>停止</v>
      </c>
      <c r="H990" s="30" t="n">
        <v>60</v>
      </c>
      <c r="I990" s="30" t="n">
        <v>0</v>
      </c>
      <c r="J990" s="30" t="str">
        <f aca="false">IF(H990&lt;判定条件!$C$6,"判定不能",IF(I990&gt;=判定条件!$C$7*H990,"運転",IF(I990&lt;=判定条件!$C$8*H990,"停止","断続")))</f>
        <v>停止</v>
      </c>
      <c r="K990" s="30" t="n">
        <v>60</v>
      </c>
      <c r="L990" s="30" t="n">
        <v>0</v>
      </c>
      <c r="M990" s="30" t="str">
        <f aca="false">IF(K990&lt;判定条件!$C$6,"判定不能",IF(L990&gt;=判定条件!$C$7*K990,"運転",IF(L990&lt;=判定条件!$C$8*K990,"停止","断続")))</f>
        <v>停止</v>
      </c>
      <c r="N990" s="30" t="n">
        <v>60</v>
      </c>
      <c r="O990" s="30" t="n">
        <v>0</v>
      </c>
      <c r="P990" s="30" t="str">
        <f aca="false">IF(N990&lt;判定条件!$C$6,"判定不能",IF(O990&gt;=判定条件!$C$7*N990,"運転",IF(O990&lt;=判定条件!$C$8*N990,"停止","断続")))</f>
        <v>停止</v>
      </c>
      <c r="Q990" s="30" t="n">
        <v>60</v>
      </c>
      <c r="R990" s="30" t="n">
        <v>0</v>
      </c>
      <c r="S990" s="30" t="str">
        <f aca="false">IF(Q990&lt;判定条件!$C$6,"判定不能",IF(R990&gt;=判定条件!$C$7*Q990,"運転",IF(R990&lt;=判定条件!$C$8*Q990,"停止","断続")))</f>
        <v>停止</v>
      </c>
      <c r="T990" s="30" t="n">
        <v>60</v>
      </c>
      <c r="U990" s="30" t="n">
        <v>0</v>
      </c>
      <c r="V990" s="30" t="str">
        <f aca="false">IF(T990&lt;判定条件!$C$6,"判定不能",IF(U990&gt;=判定条件!$C$7*T990,"運転",IF(U990&lt;=判定条件!$C$8*T990,"停止","断続")))</f>
        <v>停止</v>
      </c>
      <c r="W990" s="30" t="n">
        <v>60</v>
      </c>
      <c r="X990" s="30" t="n">
        <v>0</v>
      </c>
      <c r="Y990" s="30" t="str">
        <f aca="false">IF(W990&lt;判定条件!$C$6,"判定不能",IF(X990&gt;=判定条件!$C$7*W990,"運転",IF(X990&lt;=判定条件!$C$8*W990,"停止","断続")))</f>
        <v>停止</v>
      </c>
      <c r="Z990" s="30" t="n">
        <v>60</v>
      </c>
      <c r="AA990" s="30" t="n">
        <v>0</v>
      </c>
      <c r="AB990" s="30" t="str">
        <f aca="false">IF(Z990&lt;判定条件!$C$6,"判定不能",IF(AA990&gt;=判定条件!$C$7*Z990,"運転",IF(AA990&lt;=判定条件!$C$8*Z990,"停止","断続")))</f>
        <v>停止</v>
      </c>
      <c r="AC990" s="30" t="n">
        <v>60</v>
      </c>
      <c r="AD990" s="30" t="n">
        <v>0</v>
      </c>
      <c r="AE990" s="30" t="str">
        <f aca="false">IF(AC990&lt;判定条件!$C$6,"判定不能",IF(AD990&gt;=判定条件!$C$7*AC990,"運転",IF(AD990&lt;=判定条件!$C$8*AC990,"停止","断続")))</f>
        <v>停止</v>
      </c>
      <c r="AF990" s="30" t="n">
        <v>60</v>
      </c>
      <c r="AG990" s="30" t="n">
        <v>0</v>
      </c>
      <c r="AH990" s="30" t="str">
        <f aca="false">IF(OR(P990="判定不能",G990="判定不能"),"判定不能",IF(AG990&gt;=判定条件!$C$9,"利用可",IF(AND(P990="停止",G990="停止"),"両方停止","運転がそろわない")))</f>
        <v>両方停止</v>
      </c>
      <c r="AI990" s="30" t="n">
        <v>60</v>
      </c>
      <c r="AJ990" s="30" t="n">
        <v>0</v>
      </c>
      <c r="AK990" s="30" t="str">
        <f aca="false">IF(OR(S990="判定不能",J990="判定不能"),"判定不能",IF(AJ990&gt;=判定条件!$C$9,"利用可",IF(AND(S990="停止",J990="停止"),"両方停止","運転がそろわない")))</f>
        <v>両方停止</v>
      </c>
      <c r="AL990" s="30" t="n">
        <v>60</v>
      </c>
      <c r="AM990" s="30" t="n">
        <v>0</v>
      </c>
      <c r="AN990" s="30" t="str">
        <f aca="false">IF(OR(V990="判定不能",M990="判定不能"),"判定不能",IF(AM990&gt;=判定条件!$C$9,"利用可",IF(AND(V990="停止",M990="停止"),"両方停止","運転がそろわない")))</f>
        <v>両方停止</v>
      </c>
      <c r="AO990" s="30" t="n">
        <v>60</v>
      </c>
      <c r="AP990" s="30" t="n">
        <v>0</v>
      </c>
      <c r="AQ990" s="30" t="str">
        <f aca="false">IF(OR(Y990="判定不能",G990="判定不能"),"判定不能",IF(AP990&gt;=判定条件!$C$9,"利用可",IF(AND(Y990="停止",G990="停止"),"両方停止","運転がそろわない")))</f>
        <v>両方停止</v>
      </c>
      <c r="AR990" s="30" t="n">
        <v>60</v>
      </c>
      <c r="AS990" s="30" t="n">
        <v>0</v>
      </c>
      <c r="AT990" s="30" t="str">
        <f aca="false">IF(OR(AB990="判定不能",J990="判定不能"),"判定不能",IF(AS990&gt;=判定条件!$C$9,"利用可",IF(AND(AB990="停止",J990="停止"),"両方停止","運転がそろわない")))</f>
        <v>両方停止</v>
      </c>
      <c r="AU990" s="30" t="n">
        <v>60</v>
      </c>
      <c r="AV990" s="30" t="n">
        <v>0</v>
      </c>
      <c r="AW990" s="30" t="str">
        <f aca="false">IF(OR(AE990="判定不能",M990="判定不能"),"判定不能",IF(AV990&gt;=判定条件!$C$9,"利用可",IF(AND(AE990="停止",M990="停止"),"両方停止","運転がそろわない")))</f>
        <v>両方停止</v>
      </c>
      <c r="AX990" s="30" t="str">
        <f aca="false">IF(AND(AH990="利用可",AK990="利用可",AN990="利用可"),"利用可","不可")</f>
        <v>不可</v>
      </c>
      <c r="AY990" s="30" t="str">
        <f aca="false">IF(AND(AQ990="利用可",AT990="利用可",AW990="利用可"),"利用可","不可")</f>
        <v>不可</v>
      </c>
    </row>
    <row r="991" customFormat="false" ht="15" hidden="false" customHeight="false" outlineLevel="0" collapsed="false">
      <c r="A991" s="29" t="n">
        <v>46273</v>
      </c>
      <c r="B991" s="30" t="n">
        <v>4</v>
      </c>
      <c r="C991" s="31" t="s">
        <v>67</v>
      </c>
      <c r="D991" s="31" t="s">
        <v>59</v>
      </c>
      <c r="E991" s="30" t="n">
        <v>60</v>
      </c>
      <c r="F991" s="30" t="n">
        <v>0</v>
      </c>
      <c r="G991" s="30" t="str">
        <f aca="false">IF(E991&lt;判定条件!$C$6,"判定不能",IF(F991&gt;=判定条件!$C$7*E991,"運転",IF(F991&lt;=判定条件!$C$8*E991,"停止","断続")))</f>
        <v>停止</v>
      </c>
      <c r="H991" s="30" t="n">
        <v>60</v>
      </c>
      <c r="I991" s="30" t="n">
        <v>0</v>
      </c>
      <c r="J991" s="30" t="str">
        <f aca="false">IF(H991&lt;判定条件!$C$6,"判定不能",IF(I991&gt;=判定条件!$C$7*H991,"運転",IF(I991&lt;=判定条件!$C$8*H991,"停止","断続")))</f>
        <v>停止</v>
      </c>
      <c r="K991" s="30" t="n">
        <v>60</v>
      </c>
      <c r="L991" s="30" t="n">
        <v>0</v>
      </c>
      <c r="M991" s="30" t="str">
        <f aca="false">IF(K991&lt;判定条件!$C$6,"判定不能",IF(L991&gt;=判定条件!$C$7*K991,"運転",IF(L991&lt;=判定条件!$C$8*K991,"停止","断続")))</f>
        <v>停止</v>
      </c>
      <c r="N991" s="30" t="n">
        <v>60</v>
      </c>
      <c r="O991" s="30" t="n">
        <v>0</v>
      </c>
      <c r="P991" s="30" t="str">
        <f aca="false">IF(N991&lt;判定条件!$C$6,"判定不能",IF(O991&gt;=判定条件!$C$7*N991,"運転",IF(O991&lt;=判定条件!$C$8*N991,"停止","断続")))</f>
        <v>停止</v>
      </c>
      <c r="Q991" s="30" t="n">
        <v>60</v>
      </c>
      <c r="R991" s="30" t="n">
        <v>0</v>
      </c>
      <c r="S991" s="30" t="str">
        <f aca="false">IF(Q991&lt;判定条件!$C$6,"判定不能",IF(R991&gt;=判定条件!$C$7*Q991,"運転",IF(R991&lt;=判定条件!$C$8*Q991,"停止","断続")))</f>
        <v>停止</v>
      </c>
      <c r="T991" s="30" t="n">
        <v>60</v>
      </c>
      <c r="U991" s="30" t="n">
        <v>0</v>
      </c>
      <c r="V991" s="30" t="str">
        <f aca="false">IF(T991&lt;判定条件!$C$6,"判定不能",IF(U991&gt;=判定条件!$C$7*T991,"運転",IF(U991&lt;=判定条件!$C$8*T991,"停止","断続")))</f>
        <v>停止</v>
      </c>
      <c r="W991" s="30" t="n">
        <v>60</v>
      </c>
      <c r="X991" s="30" t="n">
        <v>0</v>
      </c>
      <c r="Y991" s="30" t="str">
        <f aca="false">IF(W991&lt;判定条件!$C$6,"判定不能",IF(X991&gt;=判定条件!$C$7*W991,"運転",IF(X991&lt;=判定条件!$C$8*W991,"停止","断続")))</f>
        <v>停止</v>
      </c>
      <c r="Z991" s="30" t="n">
        <v>60</v>
      </c>
      <c r="AA991" s="30" t="n">
        <v>0</v>
      </c>
      <c r="AB991" s="30" t="str">
        <f aca="false">IF(Z991&lt;判定条件!$C$6,"判定不能",IF(AA991&gt;=判定条件!$C$7*Z991,"運転",IF(AA991&lt;=判定条件!$C$8*Z991,"停止","断続")))</f>
        <v>停止</v>
      </c>
      <c r="AC991" s="30" t="n">
        <v>60</v>
      </c>
      <c r="AD991" s="30" t="n">
        <v>0</v>
      </c>
      <c r="AE991" s="30" t="str">
        <f aca="false">IF(AC991&lt;判定条件!$C$6,"判定不能",IF(AD991&gt;=判定条件!$C$7*AC991,"運転",IF(AD991&lt;=判定条件!$C$8*AC991,"停止","断続")))</f>
        <v>停止</v>
      </c>
      <c r="AF991" s="30" t="n">
        <v>60</v>
      </c>
      <c r="AG991" s="30" t="n">
        <v>0</v>
      </c>
      <c r="AH991" s="30" t="str">
        <f aca="false">IF(OR(P991="判定不能",G991="判定不能"),"判定不能",IF(AG991&gt;=判定条件!$C$9,"利用可",IF(AND(P991="停止",G991="停止"),"両方停止","運転がそろわない")))</f>
        <v>両方停止</v>
      </c>
      <c r="AI991" s="30" t="n">
        <v>60</v>
      </c>
      <c r="AJ991" s="30" t="n">
        <v>0</v>
      </c>
      <c r="AK991" s="30" t="str">
        <f aca="false">IF(OR(S991="判定不能",J991="判定不能"),"判定不能",IF(AJ991&gt;=判定条件!$C$9,"利用可",IF(AND(S991="停止",J991="停止"),"両方停止","運転がそろわない")))</f>
        <v>両方停止</v>
      </c>
      <c r="AL991" s="30" t="n">
        <v>60</v>
      </c>
      <c r="AM991" s="30" t="n">
        <v>0</v>
      </c>
      <c r="AN991" s="30" t="str">
        <f aca="false">IF(OR(V991="判定不能",M991="判定不能"),"判定不能",IF(AM991&gt;=判定条件!$C$9,"利用可",IF(AND(V991="停止",M991="停止"),"両方停止","運転がそろわない")))</f>
        <v>両方停止</v>
      </c>
      <c r="AO991" s="30" t="n">
        <v>60</v>
      </c>
      <c r="AP991" s="30" t="n">
        <v>0</v>
      </c>
      <c r="AQ991" s="30" t="str">
        <f aca="false">IF(OR(Y991="判定不能",G991="判定不能"),"判定不能",IF(AP991&gt;=判定条件!$C$9,"利用可",IF(AND(Y991="停止",G991="停止"),"両方停止","運転がそろわない")))</f>
        <v>両方停止</v>
      </c>
      <c r="AR991" s="30" t="n">
        <v>60</v>
      </c>
      <c r="AS991" s="30" t="n">
        <v>0</v>
      </c>
      <c r="AT991" s="30" t="str">
        <f aca="false">IF(OR(AB991="判定不能",J991="判定不能"),"判定不能",IF(AS991&gt;=判定条件!$C$9,"利用可",IF(AND(AB991="停止",J991="停止"),"両方停止","運転がそろわない")))</f>
        <v>両方停止</v>
      </c>
      <c r="AU991" s="30" t="n">
        <v>60</v>
      </c>
      <c r="AV991" s="30" t="n">
        <v>0</v>
      </c>
      <c r="AW991" s="30" t="str">
        <f aca="false">IF(OR(AE991="判定不能",M991="判定不能"),"判定不能",IF(AV991&gt;=判定条件!$C$9,"利用可",IF(AND(AE991="停止",M991="停止"),"両方停止","運転がそろわない")))</f>
        <v>両方停止</v>
      </c>
      <c r="AX991" s="30" t="str">
        <f aca="false">IF(AND(AH991="利用可",AK991="利用可",AN991="利用可"),"利用可","不可")</f>
        <v>不可</v>
      </c>
      <c r="AY991" s="30" t="str">
        <f aca="false">IF(AND(AQ991="利用可",AT991="利用可",AW991="利用可"),"利用可","不可")</f>
        <v>不可</v>
      </c>
    </row>
    <row r="992" customFormat="false" ht="15" hidden="false" customHeight="false" outlineLevel="0" collapsed="false">
      <c r="A992" s="29" t="n">
        <v>46273</v>
      </c>
      <c r="B992" s="30" t="n">
        <v>5</v>
      </c>
      <c r="C992" s="31" t="s">
        <v>67</v>
      </c>
      <c r="D992" s="31" t="s">
        <v>59</v>
      </c>
      <c r="E992" s="30" t="n">
        <v>60</v>
      </c>
      <c r="F992" s="30" t="n">
        <v>0</v>
      </c>
      <c r="G992" s="30" t="str">
        <f aca="false">IF(E992&lt;判定条件!$C$6,"判定不能",IF(F992&gt;=判定条件!$C$7*E992,"運転",IF(F992&lt;=判定条件!$C$8*E992,"停止","断続")))</f>
        <v>停止</v>
      </c>
      <c r="H992" s="30" t="n">
        <v>60</v>
      </c>
      <c r="I992" s="30" t="n">
        <v>0</v>
      </c>
      <c r="J992" s="30" t="str">
        <f aca="false">IF(H992&lt;判定条件!$C$6,"判定不能",IF(I992&gt;=判定条件!$C$7*H992,"運転",IF(I992&lt;=判定条件!$C$8*H992,"停止","断続")))</f>
        <v>停止</v>
      </c>
      <c r="K992" s="30" t="n">
        <v>60</v>
      </c>
      <c r="L992" s="30" t="n">
        <v>0</v>
      </c>
      <c r="M992" s="30" t="str">
        <f aca="false">IF(K992&lt;判定条件!$C$6,"判定不能",IF(L992&gt;=判定条件!$C$7*K992,"運転",IF(L992&lt;=判定条件!$C$8*K992,"停止","断続")))</f>
        <v>停止</v>
      </c>
      <c r="N992" s="30" t="n">
        <v>60</v>
      </c>
      <c r="O992" s="30" t="n">
        <v>0</v>
      </c>
      <c r="P992" s="30" t="str">
        <f aca="false">IF(N992&lt;判定条件!$C$6,"判定不能",IF(O992&gt;=判定条件!$C$7*N992,"運転",IF(O992&lt;=判定条件!$C$8*N992,"停止","断続")))</f>
        <v>停止</v>
      </c>
      <c r="Q992" s="30" t="n">
        <v>60</v>
      </c>
      <c r="R992" s="30" t="n">
        <v>0</v>
      </c>
      <c r="S992" s="30" t="str">
        <f aca="false">IF(Q992&lt;判定条件!$C$6,"判定不能",IF(R992&gt;=判定条件!$C$7*Q992,"運転",IF(R992&lt;=判定条件!$C$8*Q992,"停止","断続")))</f>
        <v>停止</v>
      </c>
      <c r="T992" s="30" t="n">
        <v>60</v>
      </c>
      <c r="U992" s="30" t="n">
        <v>0</v>
      </c>
      <c r="V992" s="30" t="str">
        <f aca="false">IF(T992&lt;判定条件!$C$6,"判定不能",IF(U992&gt;=判定条件!$C$7*T992,"運転",IF(U992&lt;=判定条件!$C$8*T992,"停止","断続")))</f>
        <v>停止</v>
      </c>
      <c r="W992" s="30" t="n">
        <v>60</v>
      </c>
      <c r="X992" s="30" t="n">
        <v>26</v>
      </c>
      <c r="Y992" s="30" t="str">
        <f aca="false">IF(W992&lt;判定条件!$C$6,"判定不能",IF(X992&gt;=判定条件!$C$7*W992,"運転",IF(X992&lt;=判定条件!$C$8*W992,"停止","断続")))</f>
        <v>断続</v>
      </c>
      <c r="Z992" s="30" t="n">
        <v>60</v>
      </c>
      <c r="AA992" s="30" t="n">
        <v>0</v>
      </c>
      <c r="AB992" s="30" t="str">
        <f aca="false">IF(Z992&lt;判定条件!$C$6,"判定不能",IF(AA992&gt;=判定条件!$C$7*Z992,"運転",IF(AA992&lt;=判定条件!$C$8*Z992,"停止","断続")))</f>
        <v>停止</v>
      </c>
      <c r="AC992" s="30" t="n">
        <v>60</v>
      </c>
      <c r="AD992" s="30" t="n">
        <v>0</v>
      </c>
      <c r="AE992" s="30" t="str">
        <f aca="false">IF(AC992&lt;判定条件!$C$6,"判定不能",IF(AD992&gt;=判定条件!$C$7*AC992,"運転",IF(AD992&lt;=判定条件!$C$8*AC992,"停止","断続")))</f>
        <v>停止</v>
      </c>
      <c r="AF992" s="30" t="n">
        <v>60</v>
      </c>
      <c r="AG992" s="30" t="n">
        <v>0</v>
      </c>
      <c r="AH992" s="30" t="str">
        <f aca="false">IF(OR(P992="判定不能",G992="判定不能"),"判定不能",IF(AG992&gt;=判定条件!$C$9,"利用可",IF(AND(P992="停止",G992="停止"),"両方停止","運転がそろわない")))</f>
        <v>両方停止</v>
      </c>
      <c r="AI992" s="30" t="n">
        <v>60</v>
      </c>
      <c r="AJ992" s="30" t="n">
        <v>0</v>
      </c>
      <c r="AK992" s="30" t="str">
        <f aca="false">IF(OR(S992="判定不能",J992="判定不能"),"判定不能",IF(AJ992&gt;=判定条件!$C$9,"利用可",IF(AND(S992="停止",J992="停止"),"両方停止","運転がそろわない")))</f>
        <v>両方停止</v>
      </c>
      <c r="AL992" s="30" t="n">
        <v>60</v>
      </c>
      <c r="AM992" s="30" t="n">
        <v>0</v>
      </c>
      <c r="AN992" s="30" t="str">
        <f aca="false">IF(OR(V992="判定不能",M992="判定不能"),"判定不能",IF(AM992&gt;=判定条件!$C$9,"利用可",IF(AND(V992="停止",M992="停止"),"両方停止","運転がそろわない")))</f>
        <v>両方停止</v>
      </c>
      <c r="AO992" s="30" t="n">
        <v>60</v>
      </c>
      <c r="AP992" s="30" t="n">
        <v>0</v>
      </c>
      <c r="AQ992" s="30" t="str">
        <f aca="false">IF(OR(Y992="判定不能",G992="判定不能"),"判定不能",IF(AP992&gt;=判定条件!$C$9,"利用可",IF(AND(Y992="停止",G992="停止"),"両方停止","運転がそろわない")))</f>
        <v>運転がそろわない</v>
      </c>
      <c r="AR992" s="30" t="n">
        <v>60</v>
      </c>
      <c r="AS992" s="30" t="n">
        <v>0</v>
      </c>
      <c r="AT992" s="30" t="str">
        <f aca="false">IF(OR(AB992="判定不能",J992="判定不能"),"判定不能",IF(AS992&gt;=判定条件!$C$9,"利用可",IF(AND(AB992="停止",J992="停止"),"両方停止","運転がそろわない")))</f>
        <v>両方停止</v>
      </c>
      <c r="AU992" s="30" t="n">
        <v>60</v>
      </c>
      <c r="AV992" s="30" t="n">
        <v>0</v>
      </c>
      <c r="AW992" s="30" t="str">
        <f aca="false">IF(OR(AE992="判定不能",M992="判定不能"),"判定不能",IF(AV992&gt;=判定条件!$C$9,"利用可",IF(AND(AE992="停止",M992="停止"),"両方停止","運転がそろわない")))</f>
        <v>両方停止</v>
      </c>
      <c r="AX992" s="30" t="str">
        <f aca="false">IF(AND(AH992="利用可",AK992="利用可",AN992="利用可"),"利用可","不可")</f>
        <v>不可</v>
      </c>
      <c r="AY992" s="30" t="str">
        <f aca="false">IF(AND(AQ992="利用可",AT992="利用可",AW992="利用可"),"利用可","不可")</f>
        <v>不可</v>
      </c>
    </row>
    <row r="993" customFormat="false" ht="15" hidden="false" customHeight="false" outlineLevel="0" collapsed="false">
      <c r="A993" s="29" t="n">
        <v>46273</v>
      </c>
      <c r="B993" s="30" t="n">
        <v>6</v>
      </c>
      <c r="C993" s="31" t="s">
        <v>67</v>
      </c>
      <c r="D993" s="31" t="s">
        <v>59</v>
      </c>
      <c r="E993" s="30" t="n">
        <v>60</v>
      </c>
      <c r="F993" s="30" t="n">
        <v>0</v>
      </c>
      <c r="G993" s="30" t="str">
        <f aca="false">IF(E993&lt;判定条件!$C$6,"判定不能",IF(F993&gt;=判定条件!$C$7*E993,"運転",IF(F993&lt;=判定条件!$C$8*E993,"停止","断続")))</f>
        <v>停止</v>
      </c>
      <c r="H993" s="30" t="n">
        <v>60</v>
      </c>
      <c r="I993" s="30" t="n">
        <v>0</v>
      </c>
      <c r="J993" s="30" t="str">
        <f aca="false">IF(H993&lt;判定条件!$C$6,"判定不能",IF(I993&gt;=判定条件!$C$7*H993,"運転",IF(I993&lt;=判定条件!$C$8*H993,"停止","断続")))</f>
        <v>停止</v>
      </c>
      <c r="K993" s="30" t="n">
        <v>60</v>
      </c>
      <c r="L993" s="30" t="n">
        <v>0</v>
      </c>
      <c r="M993" s="30" t="str">
        <f aca="false">IF(K993&lt;判定条件!$C$6,"判定不能",IF(L993&gt;=判定条件!$C$7*K993,"運転",IF(L993&lt;=判定条件!$C$8*K993,"停止","断続")))</f>
        <v>停止</v>
      </c>
      <c r="N993" s="30" t="n">
        <v>60</v>
      </c>
      <c r="O993" s="30" t="n">
        <v>0</v>
      </c>
      <c r="P993" s="30" t="str">
        <f aca="false">IF(N993&lt;判定条件!$C$6,"判定不能",IF(O993&gt;=判定条件!$C$7*N993,"運転",IF(O993&lt;=判定条件!$C$8*N993,"停止","断続")))</f>
        <v>停止</v>
      </c>
      <c r="Q993" s="30" t="n">
        <v>60</v>
      </c>
      <c r="R993" s="30" t="n">
        <v>6</v>
      </c>
      <c r="S993" s="30" t="str">
        <f aca="false">IF(Q993&lt;判定条件!$C$6,"判定不能",IF(R993&gt;=判定条件!$C$7*Q993,"運転",IF(R993&lt;=判定条件!$C$8*Q993,"停止","断続")))</f>
        <v>停止</v>
      </c>
      <c r="T993" s="30" t="n">
        <v>60</v>
      </c>
      <c r="U993" s="30" t="n">
        <v>7</v>
      </c>
      <c r="V993" s="30" t="str">
        <f aca="false">IF(T993&lt;判定条件!$C$6,"判定不能",IF(U993&gt;=判定条件!$C$7*T993,"運転",IF(U993&lt;=判定条件!$C$8*T993,"停止","断続")))</f>
        <v>停止</v>
      </c>
      <c r="W993" s="30" t="n">
        <v>60</v>
      </c>
      <c r="X993" s="30" t="n">
        <v>60</v>
      </c>
      <c r="Y993" s="30" t="str">
        <f aca="false">IF(W993&lt;判定条件!$C$6,"判定不能",IF(X993&gt;=判定条件!$C$7*W993,"運転",IF(X993&lt;=判定条件!$C$8*W993,"停止","断続")))</f>
        <v>運転</v>
      </c>
      <c r="Z993" s="30" t="n">
        <v>60</v>
      </c>
      <c r="AA993" s="30" t="n">
        <v>0</v>
      </c>
      <c r="AB993" s="30" t="str">
        <f aca="false">IF(Z993&lt;判定条件!$C$6,"判定不能",IF(AA993&gt;=判定条件!$C$7*Z993,"運転",IF(AA993&lt;=判定条件!$C$8*Z993,"停止","断続")))</f>
        <v>停止</v>
      </c>
      <c r="AC993" s="30" t="n">
        <v>60</v>
      </c>
      <c r="AD993" s="30" t="n">
        <v>15</v>
      </c>
      <c r="AE993" s="30" t="str">
        <f aca="false">IF(AC993&lt;判定条件!$C$6,"判定不能",IF(AD993&gt;=判定条件!$C$7*AC993,"運転",IF(AD993&lt;=判定条件!$C$8*AC993,"停止","断続")))</f>
        <v>断続</v>
      </c>
      <c r="AF993" s="30" t="n">
        <v>60</v>
      </c>
      <c r="AG993" s="30" t="n">
        <v>0</v>
      </c>
      <c r="AH993" s="30" t="str">
        <f aca="false">IF(OR(P993="判定不能",G993="判定不能"),"判定不能",IF(AG993&gt;=判定条件!$C$9,"利用可",IF(AND(P993="停止",G993="停止"),"両方停止","運転がそろわない")))</f>
        <v>両方停止</v>
      </c>
      <c r="AI993" s="30" t="n">
        <v>60</v>
      </c>
      <c r="AJ993" s="30" t="n">
        <v>0</v>
      </c>
      <c r="AK993" s="30" t="str">
        <f aca="false">IF(OR(S993="判定不能",J993="判定不能"),"判定不能",IF(AJ993&gt;=判定条件!$C$9,"利用可",IF(AND(S993="停止",J993="停止"),"両方停止","運転がそろわない")))</f>
        <v>両方停止</v>
      </c>
      <c r="AL993" s="30" t="n">
        <v>60</v>
      </c>
      <c r="AM993" s="30" t="n">
        <v>0</v>
      </c>
      <c r="AN993" s="30" t="str">
        <f aca="false">IF(OR(V993="判定不能",M993="判定不能"),"判定不能",IF(AM993&gt;=判定条件!$C$9,"利用可",IF(AND(V993="停止",M993="停止"),"両方停止","運転がそろわない")))</f>
        <v>両方停止</v>
      </c>
      <c r="AO993" s="30" t="n">
        <v>60</v>
      </c>
      <c r="AP993" s="30" t="n">
        <v>0</v>
      </c>
      <c r="AQ993" s="30" t="str">
        <f aca="false">IF(OR(Y993="判定不能",G993="判定不能"),"判定不能",IF(AP993&gt;=判定条件!$C$9,"利用可",IF(AND(Y993="停止",G993="停止"),"両方停止","運転がそろわない")))</f>
        <v>運転がそろわない</v>
      </c>
      <c r="AR993" s="30" t="n">
        <v>60</v>
      </c>
      <c r="AS993" s="30" t="n">
        <v>0</v>
      </c>
      <c r="AT993" s="30" t="str">
        <f aca="false">IF(OR(AB993="判定不能",J993="判定不能"),"判定不能",IF(AS993&gt;=判定条件!$C$9,"利用可",IF(AND(AB993="停止",J993="停止"),"両方停止","運転がそろわない")))</f>
        <v>両方停止</v>
      </c>
      <c r="AU993" s="30" t="n">
        <v>60</v>
      </c>
      <c r="AV993" s="30" t="n">
        <v>0</v>
      </c>
      <c r="AW993" s="30" t="str">
        <f aca="false">IF(OR(AE993="判定不能",M993="判定不能"),"判定不能",IF(AV993&gt;=判定条件!$C$9,"利用可",IF(AND(AE993="停止",M993="停止"),"両方停止","運転がそろわない")))</f>
        <v>運転がそろわない</v>
      </c>
      <c r="AX993" s="30" t="str">
        <f aca="false">IF(AND(AH993="利用可",AK993="利用可",AN993="利用可"),"利用可","不可")</f>
        <v>不可</v>
      </c>
      <c r="AY993" s="30" t="str">
        <f aca="false">IF(AND(AQ993="利用可",AT993="利用可",AW993="利用可"),"利用可","不可")</f>
        <v>不可</v>
      </c>
    </row>
    <row r="994" customFormat="false" ht="15" hidden="false" customHeight="false" outlineLevel="0" collapsed="false">
      <c r="A994" s="29" t="n">
        <v>46273</v>
      </c>
      <c r="B994" s="30" t="n">
        <v>7</v>
      </c>
      <c r="C994" s="31" t="s">
        <v>67</v>
      </c>
      <c r="D994" s="31" t="s">
        <v>59</v>
      </c>
      <c r="E994" s="30" t="n">
        <v>60</v>
      </c>
      <c r="F994" s="30" t="n">
        <v>0</v>
      </c>
      <c r="G994" s="30" t="str">
        <f aca="false">IF(E994&lt;判定条件!$C$6,"判定不能",IF(F994&gt;=判定条件!$C$7*E994,"運転",IF(F994&lt;=判定条件!$C$8*E994,"停止","断続")))</f>
        <v>停止</v>
      </c>
      <c r="H994" s="30" t="n">
        <v>60</v>
      </c>
      <c r="I994" s="30" t="n">
        <v>0</v>
      </c>
      <c r="J994" s="30" t="str">
        <f aca="false">IF(H994&lt;判定条件!$C$6,"判定不能",IF(I994&gt;=判定条件!$C$7*H994,"運転",IF(I994&lt;=判定条件!$C$8*H994,"停止","断続")))</f>
        <v>停止</v>
      </c>
      <c r="K994" s="30" t="n">
        <v>60</v>
      </c>
      <c r="L994" s="30" t="n">
        <v>0</v>
      </c>
      <c r="M994" s="30" t="str">
        <f aca="false">IF(K994&lt;判定条件!$C$6,"判定不能",IF(L994&gt;=判定条件!$C$7*K994,"運転",IF(L994&lt;=判定条件!$C$8*K994,"停止","断続")))</f>
        <v>停止</v>
      </c>
      <c r="N994" s="30" t="n">
        <v>60</v>
      </c>
      <c r="O994" s="30" t="n">
        <v>11</v>
      </c>
      <c r="P994" s="30" t="str">
        <f aca="false">IF(N994&lt;判定条件!$C$6,"判定不能",IF(O994&gt;=判定条件!$C$7*N994,"運転",IF(O994&lt;=判定条件!$C$8*N994,"停止","断続")))</f>
        <v>停止</v>
      </c>
      <c r="Q994" s="30" t="n">
        <v>60</v>
      </c>
      <c r="R994" s="30" t="n">
        <v>28</v>
      </c>
      <c r="S994" s="30" t="str">
        <f aca="false">IF(Q994&lt;判定条件!$C$6,"判定不能",IF(R994&gt;=判定条件!$C$7*Q994,"運転",IF(R994&lt;=判定条件!$C$8*Q994,"停止","断続")))</f>
        <v>断続</v>
      </c>
      <c r="T994" s="30" t="n">
        <v>60</v>
      </c>
      <c r="U994" s="30" t="n">
        <v>60</v>
      </c>
      <c r="V994" s="30" t="str">
        <f aca="false">IF(T994&lt;判定条件!$C$6,"判定不能",IF(U994&gt;=判定条件!$C$7*T994,"運転",IF(U994&lt;=判定条件!$C$8*T994,"停止","断続")))</f>
        <v>運転</v>
      </c>
      <c r="W994" s="30" t="n">
        <v>60</v>
      </c>
      <c r="X994" s="30" t="n">
        <v>49</v>
      </c>
      <c r="Y994" s="30" t="str">
        <f aca="false">IF(W994&lt;判定条件!$C$6,"判定不能",IF(X994&gt;=判定条件!$C$7*W994,"運転",IF(X994&lt;=判定条件!$C$8*W994,"停止","断続")))</f>
        <v>運転</v>
      </c>
      <c r="Z994" s="30" t="n">
        <v>60</v>
      </c>
      <c r="AA994" s="30" t="n">
        <v>47</v>
      </c>
      <c r="AB994" s="30" t="str">
        <f aca="false">IF(Z994&lt;判定条件!$C$6,"判定不能",IF(AA994&gt;=判定条件!$C$7*Z994,"運転",IF(AA994&lt;=判定条件!$C$8*Z994,"停止","断続")))</f>
        <v>断続</v>
      </c>
      <c r="AC994" s="30" t="n">
        <v>60</v>
      </c>
      <c r="AD994" s="30" t="n">
        <v>60</v>
      </c>
      <c r="AE994" s="30" t="str">
        <f aca="false">IF(AC994&lt;判定条件!$C$6,"判定不能",IF(AD994&gt;=判定条件!$C$7*AC994,"運転",IF(AD994&lt;=判定条件!$C$8*AC994,"停止","断続")))</f>
        <v>運転</v>
      </c>
      <c r="AF994" s="30" t="n">
        <v>60</v>
      </c>
      <c r="AG994" s="30" t="n">
        <v>0</v>
      </c>
      <c r="AH994" s="30" t="str">
        <f aca="false">IF(OR(P994="判定不能",G994="判定不能"),"判定不能",IF(AG994&gt;=判定条件!$C$9,"利用可",IF(AND(P994="停止",G994="停止"),"両方停止","運転がそろわない")))</f>
        <v>両方停止</v>
      </c>
      <c r="AI994" s="30" t="n">
        <v>60</v>
      </c>
      <c r="AJ994" s="30" t="n">
        <v>0</v>
      </c>
      <c r="AK994" s="30" t="str">
        <f aca="false">IF(OR(S994="判定不能",J994="判定不能"),"判定不能",IF(AJ994&gt;=判定条件!$C$9,"利用可",IF(AND(S994="停止",J994="停止"),"両方停止","運転がそろわない")))</f>
        <v>運転がそろわない</v>
      </c>
      <c r="AL994" s="30" t="n">
        <v>60</v>
      </c>
      <c r="AM994" s="30" t="n">
        <v>0</v>
      </c>
      <c r="AN994" s="30" t="str">
        <f aca="false">IF(OR(V994="判定不能",M994="判定不能"),"判定不能",IF(AM994&gt;=判定条件!$C$9,"利用可",IF(AND(V994="停止",M994="停止"),"両方停止","運転がそろわない")))</f>
        <v>運転がそろわない</v>
      </c>
      <c r="AO994" s="30" t="n">
        <v>60</v>
      </c>
      <c r="AP994" s="30" t="n">
        <v>0</v>
      </c>
      <c r="AQ994" s="30" t="str">
        <f aca="false">IF(OR(Y994="判定不能",G994="判定不能"),"判定不能",IF(AP994&gt;=判定条件!$C$9,"利用可",IF(AND(Y994="停止",G994="停止"),"両方停止","運転がそろわない")))</f>
        <v>運転がそろわない</v>
      </c>
      <c r="AR994" s="30" t="n">
        <v>60</v>
      </c>
      <c r="AS994" s="30" t="n">
        <v>0</v>
      </c>
      <c r="AT994" s="30" t="str">
        <f aca="false">IF(OR(AB994="判定不能",J994="判定不能"),"判定不能",IF(AS994&gt;=判定条件!$C$9,"利用可",IF(AND(AB994="停止",J994="停止"),"両方停止","運転がそろわない")))</f>
        <v>運転がそろわない</v>
      </c>
      <c r="AU994" s="30" t="n">
        <v>60</v>
      </c>
      <c r="AV994" s="30" t="n">
        <v>0</v>
      </c>
      <c r="AW994" s="30" t="str">
        <f aca="false">IF(OR(AE994="判定不能",M994="判定不能"),"判定不能",IF(AV994&gt;=判定条件!$C$9,"利用可",IF(AND(AE994="停止",M994="停止"),"両方停止","運転がそろわない")))</f>
        <v>運転がそろわない</v>
      </c>
      <c r="AX994" s="30" t="str">
        <f aca="false">IF(AND(AH994="利用可",AK994="利用可",AN994="利用可"),"利用可","不可")</f>
        <v>不可</v>
      </c>
      <c r="AY994" s="30" t="str">
        <f aca="false">IF(AND(AQ994="利用可",AT994="利用可",AW994="利用可"),"利用可","不可")</f>
        <v>不可</v>
      </c>
    </row>
    <row r="995" customFormat="false" ht="15" hidden="false" customHeight="false" outlineLevel="0" collapsed="false">
      <c r="A995" s="29" t="n">
        <v>46273</v>
      </c>
      <c r="B995" s="30" t="n">
        <v>8</v>
      </c>
      <c r="C995" s="31" t="s">
        <v>67</v>
      </c>
      <c r="D995" s="31" t="s">
        <v>59</v>
      </c>
      <c r="E995" s="30" t="n">
        <v>60</v>
      </c>
      <c r="F995" s="30" t="n">
        <v>39</v>
      </c>
      <c r="G995" s="30" t="str">
        <f aca="false">IF(E995&lt;判定条件!$C$6,"判定不能",IF(F995&gt;=判定条件!$C$7*E995,"運転",IF(F995&lt;=判定条件!$C$8*E995,"停止","断続")))</f>
        <v>断続</v>
      </c>
      <c r="H995" s="30" t="n">
        <v>60</v>
      </c>
      <c r="I995" s="30" t="n">
        <v>35</v>
      </c>
      <c r="J995" s="30" t="str">
        <f aca="false">IF(H995&lt;判定条件!$C$6,"判定不能",IF(I995&gt;=判定条件!$C$7*H995,"運転",IF(I995&lt;=判定条件!$C$8*H995,"停止","断続")))</f>
        <v>断続</v>
      </c>
      <c r="K995" s="30" t="n">
        <v>60</v>
      </c>
      <c r="L995" s="30" t="n">
        <v>38</v>
      </c>
      <c r="M995" s="30" t="str">
        <f aca="false">IF(K995&lt;判定条件!$C$6,"判定不能",IF(L995&gt;=判定条件!$C$7*K995,"運転",IF(L995&lt;=判定条件!$C$8*K995,"停止","断続")))</f>
        <v>断続</v>
      </c>
      <c r="N995" s="30" t="n">
        <v>60</v>
      </c>
      <c r="O995" s="30" t="n">
        <v>20</v>
      </c>
      <c r="P995" s="30" t="str">
        <f aca="false">IF(N995&lt;判定条件!$C$6,"判定不能",IF(O995&gt;=判定条件!$C$7*N995,"運転",IF(O995&lt;=判定条件!$C$8*N995,"停止","断続")))</f>
        <v>断続</v>
      </c>
      <c r="Q995" s="30" t="n">
        <v>60</v>
      </c>
      <c r="R995" s="30" t="n">
        <v>50</v>
      </c>
      <c r="S995" s="30" t="str">
        <f aca="false">IF(Q995&lt;判定条件!$C$6,"判定不能",IF(R995&gt;=判定条件!$C$7*Q995,"運転",IF(R995&lt;=判定条件!$C$8*Q995,"停止","断続")))</f>
        <v>運転</v>
      </c>
      <c r="T995" s="30" t="n">
        <v>60</v>
      </c>
      <c r="U995" s="30" t="n">
        <v>60</v>
      </c>
      <c r="V995" s="30" t="str">
        <f aca="false">IF(T995&lt;判定条件!$C$6,"判定不能",IF(U995&gt;=判定条件!$C$7*T995,"運転",IF(U995&lt;=判定条件!$C$8*T995,"停止","断続")))</f>
        <v>運転</v>
      </c>
      <c r="W995" s="30" t="n">
        <v>60</v>
      </c>
      <c r="X995" s="30" t="n">
        <v>50</v>
      </c>
      <c r="Y995" s="30" t="str">
        <f aca="false">IF(W995&lt;判定条件!$C$6,"判定不能",IF(X995&gt;=判定条件!$C$7*W995,"運転",IF(X995&lt;=判定条件!$C$8*W995,"停止","断続")))</f>
        <v>運転</v>
      </c>
      <c r="Z995" s="30" t="n">
        <v>60</v>
      </c>
      <c r="AA995" s="30" t="n">
        <v>52</v>
      </c>
      <c r="AB995" s="30" t="str">
        <f aca="false">IF(Z995&lt;判定条件!$C$6,"判定不能",IF(AA995&gt;=判定条件!$C$7*Z995,"運転",IF(AA995&lt;=判定条件!$C$8*Z995,"停止","断続")))</f>
        <v>運転</v>
      </c>
      <c r="AC995" s="30" t="n">
        <v>60</v>
      </c>
      <c r="AD995" s="30" t="n">
        <v>60</v>
      </c>
      <c r="AE995" s="30" t="str">
        <f aca="false">IF(AC995&lt;判定条件!$C$6,"判定不能",IF(AD995&gt;=判定条件!$C$7*AC995,"運転",IF(AD995&lt;=判定条件!$C$8*AC995,"停止","断続")))</f>
        <v>運転</v>
      </c>
      <c r="AF995" s="30" t="n">
        <v>60</v>
      </c>
      <c r="AG995" s="30" t="n">
        <v>6</v>
      </c>
      <c r="AH995" s="30" t="str">
        <f aca="false">IF(OR(P995="判定不能",G995="判定不能"),"判定不能",IF(AG995&gt;=判定条件!$C$9,"利用可",IF(AND(P995="停止",G995="停止"),"両方停止","運転がそろわない")))</f>
        <v>運転がそろわない</v>
      </c>
      <c r="AI995" s="30" t="n">
        <v>60</v>
      </c>
      <c r="AJ995" s="30" t="n">
        <v>25</v>
      </c>
      <c r="AK995" s="30" t="str">
        <f aca="false">IF(OR(S995="判定不能",J995="判定不能"),"判定不能",IF(AJ995&gt;=判定条件!$C$9,"利用可",IF(AND(S995="停止",J995="停止"),"両方停止","運転がそろわない")))</f>
        <v>運転がそろわない</v>
      </c>
      <c r="AL995" s="30" t="n">
        <v>60</v>
      </c>
      <c r="AM995" s="30" t="n">
        <v>38</v>
      </c>
      <c r="AN995" s="30" t="str">
        <f aca="false">IF(OR(V995="判定不能",M995="判定不能"),"判定不能",IF(AM995&gt;=判定条件!$C$9,"利用可",IF(AND(V995="停止",M995="停止"),"両方停止","運転がそろわない")))</f>
        <v>利用可</v>
      </c>
      <c r="AO995" s="30" t="n">
        <v>60</v>
      </c>
      <c r="AP995" s="30" t="n">
        <v>39</v>
      </c>
      <c r="AQ995" s="30" t="str">
        <f aca="false">IF(OR(Y995="判定不能",G995="判定不能"),"判定不能",IF(AP995&gt;=判定条件!$C$9,"利用可",IF(AND(Y995="停止",G995="停止"),"両方停止","運転がそろわない")))</f>
        <v>利用可</v>
      </c>
      <c r="AR995" s="30" t="n">
        <v>60</v>
      </c>
      <c r="AS995" s="30" t="n">
        <v>28</v>
      </c>
      <c r="AT995" s="30" t="str">
        <f aca="false">IF(OR(AB995="判定不能",J995="判定不能"),"判定不能",IF(AS995&gt;=判定条件!$C$9,"利用可",IF(AND(AB995="停止",J995="停止"),"両方停止","運転がそろわない")))</f>
        <v>運転がそろわない</v>
      </c>
      <c r="AU995" s="30" t="n">
        <v>60</v>
      </c>
      <c r="AV995" s="30" t="n">
        <v>38</v>
      </c>
      <c r="AW995" s="30" t="str">
        <f aca="false">IF(OR(AE995="判定不能",M995="判定不能"),"判定不能",IF(AV995&gt;=判定条件!$C$9,"利用可",IF(AND(AE995="停止",M995="停止"),"両方停止","運転がそろわない")))</f>
        <v>利用可</v>
      </c>
      <c r="AX995" s="30" t="str">
        <f aca="false">IF(AND(AH995="利用可",AK995="利用可",AN995="利用可"),"利用可","不可")</f>
        <v>不可</v>
      </c>
      <c r="AY995" s="30" t="str">
        <f aca="false">IF(AND(AQ995="利用可",AT995="利用可",AW995="利用可"),"利用可","不可")</f>
        <v>不可</v>
      </c>
    </row>
    <row r="996" customFormat="false" ht="15" hidden="false" customHeight="false" outlineLevel="0" collapsed="false">
      <c r="A996" s="29" t="n">
        <v>46273</v>
      </c>
      <c r="B996" s="30" t="n">
        <v>9</v>
      </c>
      <c r="C996" s="31" t="s">
        <v>67</v>
      </c>
      <c r="D996" s="31" t="s">
        <v>59</v>
      </c>
      <c r="E996" s="30" t="n">
        <v>60</v>
      </c>
      <c r="F996" s="30" t="n">
        <v>18</v>
      </c>
      <c r="G996" s="30" t="str">
        <f aca="false">IF(E996&lt;判定条件!$C$6,"判定不能",IF(F996&gt;=判定条件!$C$7*E996,"運転",IF(F996&lt;=判定条件!$C$8*E996,"停止","断続")))</f>
        <v>断続</v>
      </c>
      <c r="H996" s="30" t="n">
        <v>60</v>
      </c>
      <c r="I996" s="30" t="n">
        <v>58</v>
      </c>
      <c r="J996" s="30" t="str">
        <f aca="false">IF(H996&lt;判定条件!$C$6,"判定不能",IF(I996&gt;=判定条件!$C$7*H996,"運転",IF(I996&lt;=判定条件!$C$8*H996,"停止","断続")))</f>
        <v>運転</v>
      </c>
      <c r="K996" s="30" t="n">
        <v>60</v>
      </c>
      <c r="L996" s="30" t="n">
        <v>60</v>
      </c>
      <c r="M996" s="30" t="str">
        <f aca="false">IF(K996&lt;判定条件!$C$6,"判定不能",IF(L996&gt;=判定条件!$C$7*K996,"運転",IF(L996&lt;=判定条件!$C$8*K996,"停止","断続")))</f>
        <v>運転</v>
      </c>
      <c r="N996" s="30" t="n">
        <v>60</v>
      </c>
      <c r="O996" s="30" t="n">
        <v>50</v>
      </c>
      <c r="P996" s="30" t="str">
        <f aca="false">IF(N996&lt;判定条件!$C$6,"判定不能",IF(O996&gt;=判定条件!$C$7*N996,"運転",IF(O996&lt;=判定条件!$C$8*N996,"停止","断続")))</f>
        <v>運転</v>
      </c>
      <c r="Q996" s="30" t="n">
        <v>60</v>
      </c>
      <c r="R996" s="30" t="n">
        <v>53</v>
      </c>
      <c r="S996" s="30" t="str">
        <f aca="false">IF(Q996&lt;判定条件!$C$6,"判定不能",IF(R996&gt;=判定条件!$C$7*Q996,"運転",IF(R996&lt;=判定条件!$C$8*Q996,"停止","断続")))</f>
        <v>運転</v>
      </c>
      <c r="T996" s="30" t="n">
        <v>60</v>
      </c>
      <c r="U996" s="30" t="n">
        <v>60</v>
      </c>
      <c r="V996" s="30" t="str">
        <f aca="false">IF(T996&lt;判定条件!$C$6,"判定不能",IF(U996&gt;=判定条件!$C$7*T996,"運転",IF(U996&lt;=判定条件!$C$8*T996,"停止","断続")))</f>
        <v>運転</v>
      </c>
      <c r="W996" s="30" t="n">
        <v>60</v>
      </c>
      <c r="X996" s="30" t="n">
        <v>54</v>
      </c>
      <c r="Y996" s="30" t="str">
        <f aca="false">IF(W996&lt;判定条件!$C$6,"判定不能",IF(X996&gt;=判定条件!$C$7*W996,"運転",IF(X996&lt;=判定条件!$C$8*W996,"停止","断続")))</f>
        <v>運転</v>
      </c>
      <c r="Z996" s="30" t="n">
        <v>60</v>
      </c>
      <c r="AA996" s="30" t="n">
        <v>60</v>
      </c>
      <c r="AB996" s="30" t="str">
        <f aca="false">IF(Z996&lt;判定条件!$C$6,"判定不能",IF(AA996&gt;=判定条件!$C$7*Z996,"運転",IF(AA996&lt;=判定条件!$C$8*Z996,"停止","断続")))</f>
        <v>運転</v>
      </c>
      <c r="AC996" s="30" t="n">
        <v>60</v>
      </c>
      <c r="AD996" s="30" t="n">
        <v>60</v>
      </c>
      <c r="AE996" s="30" t="str">
        <f aca="false">IF(AC996&lt;判定条件!$C$6,"判定不能",IF(AD996&gt;=判定条件!$C$7*AC996,"運転",IF(AD996&lt;=判定条件!$C$8*AC996,"停止","断続")))</f>
        <v>運転</v>
      </c>
      <c r="AF996" s="30" t="n">
        <v>60</v>
      </c>
      <c r="AG996" s="30" t="n">
        <v>18</v>
      </c>
      <c r="AH996" s="30" t="str">
        <f aca="false">IF(OR(P996="判定不能",G996="判定不能"),"判定不能",IF(AG996&gt;=判定条件!$C$9,"利用可",IF(AND(P996="停止",G996="停止"),"両方停止","運転がそろわない")))</f>
        <v>運転がそろわない</v>
      </c>
      <c r="AI996" s="30" t="n">
        <v>60</v>
      </c>
      <c r="AJ996" s="30" t="n">
        <v>51</v>
      </c>
      <c r="AK996" s="30" t="str">
        <f aca="false">IF(OR(S996="判定不能",J996="判定不能"),"判定不能",IF(AJ996&gt;=判定条件!$C$9,"利用可",IF(AND(S996="停止",J996="停止"),"両方停止","運転がそろわない")))</f>
        <v>利用可</v>
      </c>
      <c r="AL996" s="30" t="n">
        <v>60</v>
      </c>
      <c r="AM996" s="30" t="n">
        <v>60</v>
      </c>
      <c r="AN996" s="30" t="str">
        <f aca="false">IF(OR(V996="判定不能",M996="判定不能"),"判定不能",IF(AM996&gt;=判定条件!$C$9,"利用可",IF(AND(V996="停止",M996="停止"),"両方停止","運転がそろわない")))</f>
        <v>利用可</v>
      </c>
      <c r="AO996" s="30" t="n">
        <v>60</v>
      </c>
      <c r="AP996" s="30" t="n">
        <v>18</v>
      </c>
      <c r="AQ996" s="30" t="str">
        <f aca="false">IF(OR(Y996="判定不能",G996="判定不能"),"判定不能",IF(AP996&gt;=判定条件!$C$9,"利用可",IF(AND(Y996="停止",G996="停止"),"両方停止","運転がそろわない")))</f>
        <v>運転がそろわない</v>
      </c>
      <c r="AR996" s="30" t="n">
        <v>60</v>
      </c>
      <c r="AS996" s="30" t="n">
        <v>58</v>
      </c>
      <c r="AT996" s="30" t="str">
        <f aca="false">IF(OR(AB996="判定不能",J996="判定不能"),"判定不能",IF(AS996&gt;=判定条件!$C$9,"利用可",IF(AND(AB996="停止",J996="停止"),"両方停止","運転がそろわない")))</f>
        <v>利用可</v>
      </c>
      <c r="AU996" s="30" t="n">
        <v>60</v>
      </c>
      <c r="AV996" s="30" t="n">
        <v>60</v>
      </c>
      <c r="AW996" s="30" t="str">
        <f aca="false">IF(OR(AE996="判定不能",M996="判定不能"),"判定不能",IF(AV996&gt;=判定条件!$C$9,"利用可",IF(AND(AE996="停止",M996="停止"),"両方停止","運転がそろわない")))</f>
        <v>利用可</v>
      </c>
      <c r="AX996" s="30" t="str">
        <f aca="false">IF(AND(AH996="利用可",AK996="利用可",AN996="利用可"),"利用可","不可")</f>
        <v>不可</v>
      </c>
      <c r="AY996" s="30" t="str">
        <f aca="false">IF(AND(AQ996="利用可",AT996="利用可",AW996="利用可"),"利用可","不可")</f>
        <v>不可</v>
      </c>
    </row>
    <row r="997" customFormat="false" ht="15" hidden="false" customHeight="false" outlineLevel="0" collapsed="false">
      <c r="A997" s="29" t="n">
        <v>46273</v>
      </c>
      <c r="B997" s="30" t="n">
        <v>10</v>
      </c>
      <c r="C997" s="31" t="s">
        <v>67</v>
      </c>
      <c r="D997" s="31" t="s">
        <v>59</v>
      </c>
      <c r="E997" s="30" t="n">
        <v>60</v>
      </c>
      <c r="F997" s="30" t="n">
        <v>60</v>
      </c>
      <c r="G997" s="30" t="str">
        <f aca="false">IF(E997&lt;判定条件!$C$6,"判定不能",IF(F997&gt;=判定条件!$C$7*E997,"運転",IF(F997&lt;=判定条件!$C$8*E997,"停止","断続")))</f>
        <v>運転</v>
      </c>
      <c r="H997" s="30" t="n">
        <v>60</v>
      </c>
      <c r="I997" s="30" t="n">
        <v>60</v>
      </c>
      <c r="J997" s="30" t="str">
        <f aca="false">IF(H997&lt;判定条件!$C$6,"判定不能",IF(I997&gt;=判定条件!$C$7*H997,"運転",IF(I997&lt;=判定条件!$C$8*H997,"停止","断続")))</f>
        <v>運転</v>
      </c>
      <c r="K997" s="30" t="n">
        <v>60</v>
      </c>
      <c r="L997" s="30" t="n">
        <v>60</v>
      </c>
      <c r="M997" s="30" t="str">
        <f aca="false">IF(K997&lt;判定条件!$C$6,"判定不能",IF(L997&gt;=判定条件!$C$7*K997,"運転",IF(L997&lt;=判定条件!$C$8*K997,"停止","断続")))</f>
        <v>運転</v>
      </c>
      <c r="N997" s="30" t="n">
        <v>60</v>
      </c>
      <c r="O997" s="30" t="n">
        <v>60</v>
      </c>
      <c r="P997" s="30" t="str">
        <f aca="false">IF(N997&lt;判定条件!$C$6,"判定不能",IF(O997&gt;=判定条件!$C$7*N997,"運転",IF(O997&lt;=判定条件!$C$8*N997,"停止","断続")))</f>
        <v>運転</v>
      </c>
      <c r="Q997" s="30" t="n">
        <v>60</v>
      </c>
      <c r="R997" s="30" t="n">
        <v>60</v>
      </c>
      <c r="S997" s="30" t="str">
        <f aca="false">IF(Q997&lt;判定条件!$C$6,"判定不能",IF(R997&gt;=判定条件!$C$7*Q997,"運転",IF(R997&lt;=判定条件!$C$8*Q997,"停止","断続")))</f>
        <v>運転</v>
      </c>
      <c r="T997" s="30" t="n">
        <v>60</v>
      </c>
      <c r="U997" s="30" t="n">
        <v>53</v>
      </c>
      <c r="V997" s="30" t="str">
        <f aca="false">IF(T997&lt;判定条件!$C$6,"判定不能",IF(U997&gt;=判定条件!$C$7*T997,"運転",IF(U997&lt;=判定条件!$C$8*T997,"停止","断続")))</f>
        <v>運転</v>
      </c>
      <c r="W997" s="30" t="n">
        <v>60</v>
      </c>
      <c r="X997" s="30" t="n">
        <v>60</v>
      </c>
      <c r="Y997" s="30" t="str">
        <f aca="false">IF(W997&lt;判定条件!$C$6,"判定不能",IF(X997&gt;=判定条件!$C$7*W997,"運転",IF(X997&lt;=判定条件!$C$8*W997,"停止","断続")))</f>
        <v>運転</v>
      </c>
      <c r="Z997" s="30" t="n">
        <v>60</v>
      </c>
      <c r="AA997" s="30" t="n">
        <v>60</v>
      </c>
      <c r="AB997" s="30" t="str">
        <f aca="false">IF(Z997&lt;判定条件!$C$6,"判定不能",IF(AA997&gt;=判定条件!$C$7*Z997,"運転",IF(AA997&lt;=判定条件!$C$8*Z997,"停止","断続")))</f>
        <v>運転</v>
      </c>
      <c r="AC997" s="30" t="n">
        <v>60</v>
      </c>
      <c r="AD997" s="30" t="n">
        <v>50</v>
      </c>
      <c r="AE997" s="30" t="str">
        <f aca="false">IF(AC997&lt;判定条件!$C$6,"判定不能",IF(AD997&gt;=判定条件!$C$7*AC997,"運転",IF(AD997&lt;=判定条件!$C$8*AC997,"停止","断続")))</f>
        <v>運転</v>
      </c>
      <c r="AF997" s="30" t="n">
        <v>60</v>
      </c>
      <c r="AG997" s="30" t="n">
        <v>60</v>
      </c>
      <c r="AH997" s="30" t="str">
        <f aca="false">IF(OR(P997="判定不能",G997="判定不能"),"判定不能",IF(AG997&gt;=判定条件!$C$9,"利用可",IF(AND(P997="停止",G997="停止"),"両方停止","運転がそろわない")))</f>
        <v>利用可</v>
      </c>
      <c r="AI997" s="30" t="n">
        <v>60</v>
      </c>
      <c r="AJ997" s="30" t="n">
        <v>60</v>
      </c>
      <c r="AK997" s="30" t="str">
        <f aca="false">IF(OR(S997="判定不能",J997="判定不能"),"判定不能",IF(AJ997&gt;=判定条件!$C$9,"利用可",IF(AND(S997="停止",J997="停止"),"両方停止","運転がそろわない")))</f>
        <v>利用可</v>
      </c>
      <c r="AL997" s="30" t="n">
        <v>60</v>
      </c>
      <c r="AM997" s="30" t="n">
        <v>53</v>
      </c>
      <c r="AN997" s="30" t="str">
        <f aca="false">IF(OR(V997="判定不能",M997="判定不能"),"判定不能",IF(AM997&gt;=判定条件!$C$9,"利用可",IF(AND(V997="停止",M997="停止"),"両方停止","運転がそろわない")))</f>
        <v>利用可</v>
      </c>
      <c r="AO997" s="30" t="n">
        <v>60</v>
      </c>
      <c r="AP997" s="30" t="n">
        <v>60</v>
      </c>
      <c r="AQ997" s="30" t="str">
        <f aca="false">IF(OR(Y997="判定不能",G997="判定不能"),"判定不能",IF(AP997&gt;=判定条件!$C$9,"利用可",IF(AND(Y997="停止",G997="停止"),"両方停止","運転がそろわない")))</f>
        <v>利用可</v>
      </c>
      <c r="AR997" s="30" t="n">
        <v>60</v>
      </c>
      <c r="AS997" s="30" t="n">
        <v>60</v>
      </c>
      <c r="AT997" s="30" t="str">
        <f aca="false">IF(OR(AB997="判定不能",J997="判定不能"),"判定不能",IF(AS997&gt;=判定条件!$C$9,"利用可",IF(AND(AB997="停止",J997="停止"),"両方停止","運転がそろわない")))</f>
        <v>利用可</v>
      </c>
      <c r="AU997" s="30" t="n">
        <v>60</v>
      </c>
      <c r="AV997" s="30" t="n">
        <v>50</v>
      </c>
      <c r="AW997" s="30" t="str">
        <f aca="false">IF(OR(AE997="判定不能",M997="判定不能"),"判定不能",IF(AV997&gt;=判定条件!$C$9,"利用可",IF(AND(AE997="停止",M997="停止"),"両方停止","運転がそろわない")))</f>
        <v>利用可</v>
      </c>
      <c r="AX997" s="30" t="str">
        <f aca="false">IF(AND(AH997="利用可",AK997="利用可",AN997="利用可"),"利用可","不可")</f>
        <v>利用可</v>
      </c>
      <c r="AY997" s="30" t="str">
        <f aca="false">IF(AND(AQ997="利用可",AT997="利用可",AW997="利用可"),"利用可","不可")</f>
        <v>利用可</v>
      </c>
    </row>
    <row r="998" customFormat="false" ht="15" hidden="false" customHeight="false" outlineLevel="0" collapsed="false">
      <c r="A998" s="29" t="n">
        <v>46273</v>
      </c>
      <c r="B998" s="30" t="n">
        <v>11</v>
      </c>
      <c r="C998" s="31" t="s">
        <v>67</v>
      </c>
      <c r="D998" s="31" t="s">
        <v>59</v>
      </c>
      <c r="E998" s="30" t="n">
        <v>60</v>
      </c>
      <c r="F998" s="30" t="n">
        <v>60</v>
      </c>
      <c r="G998" s="30" t="str">
        <f aca="false">IF(E998&lt;判定条件!$C$6,"判定不能",IF(F998&gt;=判定条件!$C$7*E998,"運転",IF(F998&lt;=判定条件!$C$8*E998,"停止","断続")))</f>
        <v>運転</v>
      </c>
      <c r="H998" s="30" t="n">
        <v>60</v>
      </c>
      <c r="I998" s="30" t="n">
        <v>60</v>
      </c>
      <c r="J998" s="30" t="str">
        <f aca="false">IF(H998&lt;判定条件!$C$6,"判定不能",IF(I998&gt;=判定条件!$C$7*H998,"運転",IF(I998&lt;=判定条件!$C$8*H998,"停止","断続")))</f>
        <v>運転</v>
      </c>
      <c r="K998" s="30" t="n">
        <v>60</v>
      </c>
      <c r="L998" s="30" t="n">
        <v>60</v>
      </c>
      <c r="M998" s="30" t="str">
        <f aca="false">IF(K998&lt;判定条件!$C$6,"判定不能",IF(L998&gt;=判定条件!$C$7*K998,"運転",IF(L998&lt;=判定条件!$C$8*K998,"停止","断続")))</f>
        <v>運転</v>
      </c>
      <c r="N998" s="30" t="n">
        <v>60</v>
      </c>
      <c r="O998" s="30" t="n">
        <v>60</v>
      </c>
      <c r="P998" s="30" t="str">
        <f aca="false">IF(N998&lt;判定条件!$C$6,"判定不能",IF(O998&gt;=判定条件!$C$7*N998,"運転",IF(O998&lt;=判定条件!$C$8*N998,"停止","断続")))</f>
        <v>運転</v>
      </c>
      <c r="Q998" s="30" t="n">
        <v>60</v>
      </c>
      <c r="R998" s="30" t="n">
        <v>51</v>
      </c>
      <c r="S998" s="30" t="str">
        <f aca="false">IF(Q998&lt;判定条件!$C$6,"判定不能",IF(R998&gt;=判定条件!$C$7*Q998,"運転",IF(R998&lt;=判定条件!$C$8*Q998,"停止","断続")))</f>
        <v>運転</v>
      </c>
      <c r="T998" s="30" t="n">
        <v>60</v>
      </c>
      <c r="U998" s="30" t="n">
        <v>47</v>
      </c>
      <c r="V998" s="30" t="str">
        <f aca="false">IF(T998&lt;判定条件!$C$6,"判定不能",IF(U998&gt;=判定条件!$C$7*T998,"運転",IF(U998&lt;=判定条件!$C$8*T998,"停止","断続")))</f>
        <v>断続</v>
      </c>
      <c r="W998" s="30" t="n">
        <v>60</v>
      </c>
      <c r="X998" s="30" t="n">
        <v>60</v>
      </c>
      <c r="Y998" s="30" t="str">
        <f aca="false">IF(W998&lt;判定条件!$C$6,"判定不能",IF(X998&gt;=判定条件!$C$7*W998,"運転",IF(X998&lt;=判定条件!$C$8*W998,"停止","断続")))</f>
        <v>運転</v>
      </c>
      <c r="Z998" s="30" t="n">
        <v>60</v>
      </c>
      <c r="AA998" s="30" t="n">
        <v>60</v>
      </c>
      <c r="AB998" s="30" t="str">
        <f aca="false">IF(Z998&lt;判定条件!$C$6,"判定不能",IF(AA998&gt;=判定条件!$C$7*Z998,"運転",IF(AA998&lt;=判定条件!$C$8*Z998,"停止","断続")))</f>
        <v>運転</v>
      </c>
      <c r="AC998" s="30" t="n">
        <v>60</v>
      </c>
      <c r="AD998" s="30" t="n">
        <v>60</v>
      </c>
      <c r="AE998" s="30" t="str">
        <f aca="false">IF(AC998&lt;判定条件!$C$6,"判定不能",IF(AD998&gt;=判定条件!$C$7*AC998,"運転",IF(AD998&lt;=判定条件!$C$8*AC998,"停止","断続")))</f>
        <v>運転</v>
      </c>
      <c r="AF998" s="30" t="n">
        <v>60</v>
      </c>
      <c r="AG998" s="30" t="n">
        <v>60</v>
      </c>
      <c r="AH998" s="30" t="str">
        <f aca="false">IF(OR(P998="判定不能",G998="判定不能"),"判定不能",IF(AG998&gt;=判定条件!$C$9,"利用可",IF(AND(P998="停止",G998="停止"),"両方停止","運転がそろわない")))</f>
        <v>利用可</v>
      </c>
      <c r="AI998" s="30" t="n">
        <v>60</v>
      </c>
      <c r="AJ998" s="30" t="n">
        <v>51</v>
      </c>
      <c r="AK998" s="30" t="str">
        <f aca="false">IF(OR(S998="判定不能",J998="判定不能"),"判定不能",IF(AJ998&gt;=判定条件!$C$9,"利用可",IF(AND(S998="停止",J998="停止"),"両方停止","運転がそろわない")))</f>
        <v>利用可</v>
      </c>
      <c r="AL998" s="30" t="n">
        <v>60</v>
      </c>
      <c r="AM998" s="30" t="n">
        <v>47</v>
      </c>
      <c r="AN998" s="30" t="str">
        <f aca="false">IF(OR(V998="判定不能",M998="判定不能"),"判定不能",IF(AM998&gt;=判定条件!$C$9,"利用可",IF(AND(V998="停止",M998="停止"),"両方停止","運転がそろわない")))</f>
        <v>利用可</v>
      </c>
      <c r="AO998" s="30" t="n">
        <v>60</v>
      </c>
      <c r="AP998" s="30" t="n">
        <v>60</v>
      </c>
      <c r="AQ998" s="30" t="str">
        <f aca="false">IF(OR(Y998="判定不能",G998="判定不能"),"判定不能",IF(AP998&gt;=判定条件!$C$9,"利用可",IF(AND(Y998="停止",G998="停止"),"両方停止","運転がそろわない")))</f>
        <v>利用可</v>
      </c>
      <c r="AR998" s="30" t="n">
        <v>60</v>
      </c>
      <c r="AS998" s="30" t="n">
        <v>60</v>
      </c>
      <c r="AT998" s="30" t="str">
        <f aca="false">IF(OR(AB998="判定不能",J998="判定不能"),"判定不能",IF(AS998&gt;=判定条件!$C$9,"利用可",IF(AND(AB998="停止",J998="停止"),"両方停止","運転がそろわない")))</f>
        <v>利用可</v>
      </c>
      <c r="AU998" s="30" t="n">
        <v>60</v>
      </c>
      <c r="AV998" s="30" t="n">
        <v>60</v>
      </c>
      <c r="AW998" s="30" t="str">
        <f aca="false">IF(OR(AE998="判定不能",M998="判定不能"),"判定不能",IF(AV998&gt;=判定条件!$C$9,"利用可",IF(AND(AE998="停止",M998="停止"),"両方停止","運転がそろわない")))</f>
        <v>利用可</v>
      </c>
      <c r="AX998" s="30" t="str">
        <f aca="false">IF(AND(AH998="利用可",AK998="利用可",AN998="利用可"),"利用可","不可")</f>
        <v>利用可</v>
      </c>
      <c r="AY998" s="30" t="str">
        <f aca="false">IF(AND(AQ998="利用可",AT998="利用可",AW998="利用可"),"利用可","不可")</f>
        <v>利用可</v>
      </c>
    </row>
    <row r="999" customFormat="false" ht="15" hidden="false" customHeight="false" outlineLevel="0" collapsed="false">
      <c r="A999" s="29" t="n">
        <v>46273</v>
      </c>
      <c r="B999" s="30" t="n">
        <v>12</v>
      </c>
      <c r="C999" s="31" t="s">
        <v>67</v>
      </c>
      <c r="D999" s="31" t="s">
        <v>59</v>
      </c>
      <c r="E999" s="30" t="n">
        <v>60</v>
      </c>
      <c r="F999" s="30" t="n">
        <v>60</v>
      </c>
      <c r="G999" s="30" t="str">
        <f aca="false">IF(E999&lt;判定条件!$C$6,"判定不能",IF(F999&gt;=判定条件!$C$7*E999,"運転",IF(F999&lt;=判定条件!$C$8*E999,"停止","断続")))</f>
        <v>運転</v>
      </c>
      <c r="H999" s="30" t="n">
        <v>60</v>
      </c>
      <c r="I999" s="30" t="n">
        <v>60</v>
      </c>
      <c r="J999" s="30" t="str">
        <f aca="false">IF(H999&lt;判定条件!$C$6,"判定不能",IF(I999&gt;=判定条件!$C$7*H999,"運転",IF(I999&lt;=判定条件!$C$8*H999,"停止","断続")))</f>
        <v>運転</v>
      </c>
      <c r="K999" s="30" t="n">
        <v>60</v>
      </c>
      <c r="L999" s="30" t="n">
        <v>60</v>
      </c>
      <c r="M999" s="30" t="str">
        <f aca="false">IF(K999&lt;判定条件!$C$6,"判定不能",IF(L999&gt;=判定条件!$C$7*K999,"運転",IF(L999&lt;=判定条件!$C$8*K999,"停止","断続")))</f>
        <v>運転</v>
      </c>
      <c r="N999" s="30" t="n">
        <v>60</v>
      </c>
      <c r="O999" s="30" t="n">
        <v>60</v>
      </c>
      <c r="P999" s="30" t="str">
        <f aca="false">IF(N999&lt;判定条件!$C$6,"判定不能",IF(O999&gt;=判定条件!$C$7*N999,"運転",IF(O999&lt;=判定条件!$C$8*N999,"停止","断続")))</f>
        <v>運転</v>
      </c>
      <c r="Q999" s="30" t="n">
        <v>60</v>
      </c>
      <c r="R999" s="30" t="n">
        <v>60</v>
      </c>
      <c r="S999" s="30" t="str">
        <f aca="false">IF(Q999&lt;判定条件!$C$6,"判定不能",IF(R999&gt;=判定条件!$C$7*Q999,"運転",IF(R999&lt;=判定条件!$C$8*Q999,"停止","断続")))</f>
        <v>運転</v>
      </c>
      <c r="T999" s="30" t="n">
        <v>60</v>
      </c>
      <c r="U999" s="30" t="n">
        <v>59</v>
      </c>
      <c r="V999" s="30" t="str">
        <f aca="false">IF(T999&lt;判定条件!$C$6,"判定不能",IF(U999&gt;=判定条件!$C$7*T999,"運転",IF(U999&lt;=判定条件!$C$8*T999,"停止","断続")))</f>
        <v>運転</v>
      </c>
      <c r="W999" s="30" t="n">
        <v>60</v>
      </c>
      <c r="X999" s="30" t="n">
        <v>60</v>
      </c>
      <c r="Y999" s="30" t="str">
        <f aca="false">IF(W999&lt;判定条件!$C$6,"判定不能",IF(X999&gt;=判定条件!$C$7*W999,"運転",IF(X999&lt;=判定条件!$C$8*W999,"停止","断続")))</f>
        <v>運転</v>
      </c>
      <c r="Z999" s="30" t="n">
        <v>60</v>
      </c>
      <c r="AA999" s="30" t="n">
        <v>60</v>
      </c>
      <c r="AB999" s="30" t="str">
        <f aca="false">IF(Z999&lt;判定条件!$C$6,"判定不能",IF(AA999&gt;=判定条件!$C$7*Z999,"運転",IF(AA999&lt;=判定条件!$C$8*Z999,"停止","断続")))</f>
        <v>運転</v>
      </c>
      <c r="AC999" s="30" t="n">
        <v>60</v>
      </c>
      <c r="AD999" s="30" t="n">
        <v>60</v>
      </c>
      <c r="AE999" s="30" t="str">
        <f aca="false">IF(AC999&lt;判定条件!$C$6,"判定不能",IF(AD999&gt;=判定条件!$C$7*AC999,"運転",IF(AD999&lt;=判定条件!$C$8*AC999,"停止","断続")))</f>
        <v>運転</v>
      </c>
      <c r="AF999" s="30" t="n">
        <v>60</v>
      </c>
      <c r="AG999" s="30" t="n">
        <v>60</v>
      </c>
      <c r="AH999" s="30" t="str">
        <f aca="false">IF(OR(P999="判定不能",G999="判定不能"),"判定不能",IF(AG999&gt;=判定条件!$C$9,"利用可",IF(AND(P999="停止",G999="停止"),"両方停止","運転がそろわない")))</f>
        <v>利用可</v>
      </c>
      <c r="AI999" s="30" t="n">
        <v>60</v>
      </c>
      <c r="AJ999" s="30" t="n">
        <v>60</v>
      </c>
      <c r="AK999" s="30" t="str">
        <f aca="false">IF(OR(S999="判定不能",J999="判定不能"),"判定不能",IF(AJ999&gt;=判定条件!$C$9,"利用可",IF(AND(S999="停止",J999="停止"),"両方停止","運転がそろわない")))</f>
        <v>利用可</v>
      </c>
      <c r="AL999" s="30" t="n">
        <v>60</v>
      </c>
      <c r="AM999" s="30" t="n">
        <v>59</v>
      </c>
      <c r="AN999" s="30" t="str">
        <f aca="false">IF(OR(V999="判定不能",M999="判定不能"),"判定不能",IF(AM999&gt;=判定条件!$C$9,"利用可",IF(AND(V999="停止",M999="停止"),"両方停止","運転がそろわない")))</f>
        <v>利用可</v>
      </c>
      <c r="AO999" s="30" t="n">
        <v>60</v>
      </c>
      <c r="AP999" s="30" t="n">
        <v>60</v>
      </c>
      <c r="AQ999" s="30" t="str">
        <f aca="false">IF(OR(Y999="判定不能",G999="判定不能"),"判定不能",IF(AP999&gt;=判定条件!$C$9,"利用可",IF(AND(Y999="停止",G999="停止"),"両方停止","運転がそろわない")))</f>
        <v>利用可</v>
      </c>
      <c r="AR999" s="30" t="n">
        <v>60</v>
      </c>
      <c r="AS999" s="30" t="n">
        <v>60</v>
      </c>
      <c r="AT999" s="30" t="str">
        <f aca="false">IF(OR(AB999="判定不能",J999="判定不能"),"判定不能",IF(AS999&gt;=判定条件!$C$9,"利用可",IF(AND(AB999="停止",J999="停止"),"両方停止","運転がそろわない")))</f>
        <v>利用可</v>
      </c>
      <c r="AU999" s="30" t="n">
        <v>60</v>
      </c>
      <c r="AV999" s="30" t="n">
        <v>60</v>
      </c>
      <c r="AW999" s="30" t="str">
        <f aca="false">IF(OR(AE999="判定不能",M999="判定不能"),"判定不能",IF(AV999&gt;=判定条件!$C$9,"利用可",IF(AND(AE999="停止",M999="停止"),"両方停止","運転がそろわない")))</f>
        <v>利用可</v>
      </c>
      <c r="AX999" s="30" t="str">
        <f aca="false">IF(AND(AH999="利用可",AK999="利用可",AN999="利用可"),"利用可","不可")</f>
        <v>利用可</v>
      </c>
      <c r="AY999" s="30" t="str">
        <f aca="false">IF(AND(AQ999="利用可",AT999="利用可",AW999="利用可"),"利用可","不可")</f>
        <v>利用可</v>
      </c>
    </row>
    <row r="1000" customFormat="false" ht="15" hidden="false" customHeight="false" outlineLevel="0" collapsed="false">
      <c r="A1000" s="29" t="n">
        <v>46273</v>
      </c>
      <c r="B1000" s="30" t="n">
        <v>13</v>
      </c>
      <c r="C1000" s="31" t="s">
        <v>67</v>
      </c>
      <c r="D1000" s="31" t="s">
        <v>59</v>
      </c>
      <c r="E1000" s="30" t="n">
        <v>60</v>
      </c>
      <c r="F1000" s="30" t="n">
        <v>60</v>
      </c>
      <c r="G1000" s="30" t="str">
        <f aca="false">IF(E1000&lt;判定条件!$C$6,"判定不能",IF(F1000&gt;=判定条件!$C$7*E1000,"運転",IF(F1000&lt;=判定条件!$C$8*E1000,"停止","断続")))</f>
        <v>運転</v>
      </c>
      <c r="H1000" s="30" t="n">
        <v>60</v>
      </c>
      <c r="I1000" s="30" t="n">
        <v>60</v>
      </c>
      <c r="J1000" s="30" t="str">
        <f aca="false">IF(H1000&lt;判定条件!$C$6,"判定不能",IF(I1000&gt;=判定条件!$C$7*H1000,"運転",IF(I1000&lt;=判定条件!$C$8*H1000,"停止","断続")))</f>
        <v>運転</v>
      </c>
      <c r="K1000" s="30" t="n">
        <v>60</v>
      </c>
      <c r="L1000" s="30" t="n">
        <v>60</v>
      </c>
      <c r="M1000" s="30" t="str">
        <f aca="false">IF(K1000&lt;判定条件!$C$6,"判定不能",IF(L1000&gt;=判定条件!$C$7*K1000,"運転",IF(L1000&lt;=判定条件!$C$8*K1000,"停止","断続")))</f>
        <v>運転</v>
      </c>
      <c r="N1000" s="30" t="n">
        <v>60</v>
      </c>
      <c r="O1000" s="30" t="n">
        <v>60</v>
      </c>
      <c r="P1000" s="30" t="str">
        <f aca="false">IF(N1000&lt;判定条件!$C$6,"判定不能",IF(O1000&gt;=判定条件!$C$7*N1000,"運転",IF(O1000&lt;=判定条件!$C$8*N1000,"停止","断続")))</f>
        <v>運転</v>
      </c>
      <c r="Q1000" s="30" t="n">
        <v>60</v>
      </c>
      <c r="R1000" s="30" t="n">
        <v>60</v>
      </c>
      <c r="S1000" s="30" t="str">
        <f aca="false">IF(Q1000&lt;判定条件!$C$6,"判定不能",IF(R1000&gt;=判定条件!$C$7*Q1000,"運転",IF(R1000&lt;=判定条件!$C$8*Q1000,"停止","断続")))</f>
        <v>運転</v>
      </c>
      <c r="T1000" s="30" t="n">
        <v>60</v>
      </c>
      <c r="U1000" s="30" t="n">
        <v>60</v>
      </c>
      <c r="V1000" s="30" t="str">
        <f aca="false">IF(T1000&lt;判定条件!$C$6,"判定不能",IF(U1000&gt;=判定条件!$C$7*T1000,"運転",IF(U1000&lt;=判定条件!$C$8*T1000,"停止","断続")))</f>
        <v>運転</v>
      </c>
      <c r="W1000" s="30" t="n">
        <v>60</v>
      </c>
      <c r="X1000" s="30" t="n">
        <v>60</v>
      </c>
      <c r="Y1000" s="30" t="str">
        <f aca="false">IF(W1000&lt;判定条件!$C$6,"判定不能",IF(X1000&gt;=判定条件!$C$7*W1000,"運転",IF(X1000&lt;=判定条件!$C$8*W1000,"停止","断続")))</f>
        <v>運転</v>
      </c>
      <c r="Z1000" s="30" t="n">
        <v>60</v>
      </c>
      <c r="AA1000" s="30" t="n">
        <v>60</v>
      </c>
      <c r="AB1000" s="30" t="str">
        <f aca="false">IF(Z1000&lt;判定条件!$C$6,"判定不能",IF(AA1000&gt;=判定条件!$C$7*Z1000,"運転",IF(AA1000&lt;=判定条件!$C$8*Z1000,"停止","断続")))</f>
        <v>運転</v>
      </c>
      <c r="AC1000" s="30" t="n">
        <v>60</v>
      </c>
      <c r="AD1000" s="30" t="n">
        <v>60</v>
      </c>
      <c r="AE1000" s="30" t="str">
        <f aca="false">IF(AC1000&lt;判定条件!$C$6,"判定不能",IF(AD1000&gt;=判定条件!$C$7*AC1000,"運転",IF(AD1000&lt;=判定条件!$C$8*AC1000,"停止","断続")))</f>
        <v>運転</v>
      </c>
      <c r="AF1000" s="30" t="n">
        <v>60</v>
      </c>
      <c r="AG1000" s="30" t="n">
        <v>60</v>
      </c>
      <c r="AH1000" s="30" t="str">
        <f aca="false">IF(OR(P1000="判定不能",G1000="判定不能"),"判定不能",IF(AG1000&gt;=判定条件!$C$9,"利用可",IF(AND(P1000="停止",G1000="停止"),"両方停止","運転がそろわない")))</f>
        <v>利用可</v>
      </c>
      <c r="AI1000" s="30" t="n">
        <v>60</v>
      </c>
      <c r="AJ1000" s="30" t="n">
        <v>60</v>
      </c>
      <c r="AK1000" s="30" t="str">
        <f aca="false">IF(OR(S1000="判定不能",J1000="判定不能"),"判定不能",IF(AJ1000&gt;=判定条件!$C$9,"利用可",IF(AND(S1000="停止",J1000="停止"),"両方停止","運転がそろわない")))</f>
        <v>利用可</v>
      </c>
      <c r="AL1000" s="30" t="n">
        <v>60</v>
      </c>
      <c r="AM1000" s="30" t="n">
        <v>60</v>
      </c>
      <c r="AN1000" s="30" t="str">
        <f aca="false">IF(OR(V1000="判定不能",M1000="判定不能"),"判定不能",IF(AM1000&gt;=判定条件!$C$9,"利用可",IF(AND(V1000="停止",M1000="停止"),"両方停止","運転がそろわない")))</f>
        <v>利用可</v>
      </c>
      <c r="AO1000" s="30" t="n">
        <v>60</v>
      </c>
      <c r="AP1000" s="30" t="n">
        <v>60</v>
      </c>
      <c r="AQ1000" s="30" t="str">
        <f aca="false">IF(OR(Y1000="判定不能",G1000="判定不能"),"判定不能",IF(AP1000&gt;=判定条件!$C$9,"利用可",IF(AND(Y1000="停止",G1000="停止"),"両方停止","運転がそろわない")))</f>
        <v>利用可</v>
      </c>
      <c r="AR1000" s="30" t="n">
        <v>60</v>
      </c>
      <c r="AS1000" s="30" t="n">
        <v>60</v>
      </c>
      <c r="AT1000" s="30" t="str">
        <f aca="false">IF(OR(AB1000="判定不能",J1000="判定不能"),"判定不能",IF(AS1000&gt;=判定条件!$C$9,"利用可",IF(AND(AB1000="停止",J1000="停止"),"両方停止","運転がそろわない")))</f>
        <v>利用可</v>
      </c>
      <c r="AU1000" s="30" t="n">
        <v>60</v>
      </c>
      <c r="AV1000" s="30" t="n">
        <v>60</v>
      </c>
      <c r="AW1000" s="30" t="str">
        <f aca="false">IF(OR(AE1000="判定不能",M1000="判定不能"),"判定不能",IF(AV1000&gt;=判定条件!$C$9,"利用可",IF(AND(AE1000="停止",M1000="停止"),"両方停止","運転がそろわない")))</f>
        <v>利用可</v>
      </c>
      <c r="AX1000" s="30" t="str">
        <f aca="false">IF(AND(AH1000="利用可",AK1000="利用可",AN1000="利用可"),"利用可","不可")</f>
        <v>利用可</v>
      </c>
      <c r="AY1000" s="30" t="str">
        <f aca="false">IF(AND(AQ1000="利用可",AT1000="利用可",AW1000="利用可"),"利用可","不可")</f>
        <v>利用可</v>
      </c>
    </row>
    <row r="1001" customFormat="false" ht="15" hidden="false" customHeight="false" outlineLevel="0" collapsed="false">
      <c r="A1001" s="29" t="n">
        <v>46273</v>
      </c>
      <c r="B1001" s="30" t="n">
        <v>14</v>
      </c>
      <c r="C1001" s="31" t="s">
        <v>67</v>
      </c>
      <c r="D1001" s="31" t="s">
        <v>59</v>
      </c>
      <c r="E1001" s="30" t="n">
        <v>60</v>
      </c>
      <c r="F1001" s="30" t="n">
        <v>60</v>
      </c>
      <c r="G1001" s="30" t="str">
        <f aca="false">IF(E1001&lt;判定条件!$C$6,"判定不能",IF(F1001&gt;=判定条件!$C$7*E1001,"運転",IF(F1001&lt;=判定条件!$C$8*E1001,"停止","断続")))</f>
        <v>運転</v>
      </c>
      <c r="H1001" s="30" t="n">
        <v>60</v>
      </c>
      <c r="I1001" s="30" t="n">
        <v>60</v>
      </c>
      <c r="J1001" s="30" t="str">
        <f aca="false">IF(H1001&lt;判定条件!$C$6,"判定不能",IF(I1001&gt;=判定条件!$C$7*H1001,"運転",IF(I1001&lt;=判定条件!$C$8*H1001,"停止","断続")))</f>
        <v>運転</v>
      </c>
      <c r="K1001" s="30" t="n">
        <v>60</v>
      </c>
      <c r="L1001" s="30" t="n">
        <v>60</v>
      </c>
      <c r="M1001" s="30" t="str">
        <f aca="false">IF(K1001&lt;判定条件!$C$6,"判定不能",IF(L1001&gt;=判定条件!$C$7*K1001,"運転",IF(L1001&lt;=判定条件!$C$8*K1001,"停止","断続")))</f>
        <v>運転</v>
      </c>
      <c r="N1001" s="30" t="n">
        <v>60</v>
      </c>
      <c r="O1001" s="30" t="n">
        <v>60</v>
      </c>
      <c r="P1001" s="30" t="str">
        <f aca="false">IF(N1001&lt;判定条件!$C$6,"判定不能",IF(O1001&gt;=判定条件!$C$7*N1001,"運転",IF(O1001&lt;=判定条件!$C$8*N1001,"停止","断続")))</f>
        <v>運転</v>
      </c>
      <c r="Q1001" s="30" t="n">
        <v>60</v>
      </c>
      <c r="R1001" s="30" t="n">
        <v>60</v>
      </c>
      <c r="S1001" s="30" t="str">
        <f aca="false">IF(Q1001&lt;判定条件!$C$6,"判定不能",IF(R1001&gt;=判定条件!$C$7*Q1001,"運転",IF(R1001&lt;=判定条件!$C$8*Q1001,"停止","断続")))</f>
        <v>運転</v>
      </c>
      <c r="T1001" s="30" t="n">
        <v>60</v>
      </c>
      <c r="U1001" s="30" t="n">
        <v>60</v>
      </c>
      <c r="V1001" s="30" t="str">
        <f aca="false">IF(T1001&lt;判定条件!$C$6,"判定不能",IF(U1001&gt;=判定条件!$C$7*T1001,"運転",IF(U1001&lt;=判定条件!$C$8*T1001,"停止","断続")))</f>
        <v>運転</v>
      </c>
      <c r="W1001" s="30" t="n">
        <v>60</v>
      </c>
      <c r="X1001" s="30" t="n">
        <v>37</v>
      </c>
      <c r="Y1001" s="30" t="str">
        <f aca="false">IF(W1001&lt;判定条件!$C$6,"判定不能",IF(X1001&gt;=判定条件!$C$7*W1001,"運転",IF(X1001&lt;=判定条件!$C$8*W1001,"停止","断続")))</f>
        <v>断続</v>
      </c>
      <c r="Z1001" s="30" t="n">
        <v>60</v>
      </c>
      <c r="AA1001" s="30" t="n">
        <v>59</v>
      </c>
      <c r="AB1001" s="30" t="str">
        <f aca="false">IF(Z1001&lt;判定条件!$C$6,"判定不能",IF(AA1001&gt;=判定条件!$C$7*Z1001,"運転",IF(AA1001&lt;=判定条件!$C$8*Z1001,"停止","断続")))</f>
        <v>運転</v>
      </c>
      <c r="AC1001" s="30" t="n">
        <v>60</v>
      </c>
      <c r="AD1001" s="30" t="n">
        <v>48</v>
      </c>
      <c r="AE1001" s="30" t="str">
        <f aca="false">IF(AC1001&lt;判定条件!$C$6,"判定不能",IF(AD1001&gt;=判定条件!$C$7*AC1001,"運転",IF(AD1001&lt;=判定条件!$C$8*AC1001,"停止","断続")))</f>
        <v>運転</v>
      </c>
      <c r="AF1001" s="30" t="n">
        <v>60</v>
      </c>
      <c r="AG1001" s="30" t="n">
        <v>60</v>
      </c>
      <c r="AH1001" s="30" t="str">
        <f aca="false">IF(OR(P1001="判定不能",G1001="判定不能"),"判定不能",IF(AG1001&gt;=判定条件!$C$9,"利用可",IF(AND(P1001="停止",G1001="停止"),"両方停止","運転がそろわない")))</f>
        <v>利用可</v>
      </c>
      <c r="AI1001" s="30" t="n">
        <v>60</v>
      </c>
      <c r="AJ1001" s="30" t="n">
        <v>60</v>
      </c>
      <c r="AK1001" s="30" t="str">
        <f aca="false">IF(OR(S1001="判定不能",J1001="判定不能"),"判定不能",IF(AJ1001&gt;=判定条件!$C$9,"利用可",IF(AND(S1001="停止",J1001="停止"),"両方停止","運転がそろわない")))</f>
        <v>利用可</v>
      </c>
      <c r="AL1001" s="30" t="n">
        <v>60</v>
      </c>
      <c r="AM1001" s="30" t="n">
        <v>60</v>
      </c>
      <c r="AN1001" s="30" t="str">
        <f aca="false">IF(OR(V1001="判定不能",M1001="判定不能"),"判定不能",IF(AM1001&gt;=判定条件!$C$9,"利用可",IF(AND(V1001="停止",M1001="停止"),"両方停止","運転がそろわない")))</f>
        <v>利用可</v>
      </c>
      <c r="AO1001" s="30" t="n">
        <v>60</v>
      </c>
      <c r="AP1001" s="30" t="n">
        <v>37</v>
      </c>
      <c r="AQ1001" s="30" t="str">
        <f aca="false">IF(OR(Y1001="判定不能",G1001="判定不能"),"判定不能",IF(AP1001&gt;=判定条件!$C$9,"利用可",IF(AND(Y1001="停止",G1001="停止"),"両方停止","運転がそろわない")))</f>
        <v>利用可</v>
      </c>
      <c r="AR1001" s="30" t="n">
        <v>60</v>
      </c>
      <c r="AS1001" s="30" t="n">
        <v>59</v>
      </c>
      <c r="AT1001" s="30" t="str">
        <f aca="false">IF(OR(AB1001="判定不能",J1001="判定不能"),"判定不能",IF(AS1001&gt;=判定条件!$C$9,"利用可",IF(AND(AB1001="停止",J1001="停止"),"両方停止","運転がそろわない")))</f>
        <v>利用可</v>
      </c>
      <c r="AU1001" s="30" t="n">
        <v>60</v>
      </c>
      <c r="AV1001" s="30" t="n">
        <v>48</v>
      </c>
      <c r="AW1001" s="30" t="str">
        <f aca="false">IF(OR(AE1001="判定不能",M1001="判定不能"),"判定不能",IF(AV1001&gt;=判定条件!$C$9,"利用可",IF(AND(AE1001="停止",M1001="停止"),"両方停止","運転がそろわない")))</f>
        <v>利用可</v>
      </c>
      <c r="AX1001" s="30" t="str">
        <f aca="false">IF(AND(AH1001="利用可",AK1001="利用可",AN1001="利用可"),"利用可","不可")</f>
        <v>利用可</v>
      </c>
      <c r="AY1001" s="30" t="str">
        <f aca="false">IF(AND(AQ1001="利用可",AT1001="利用可",AW1001="利用可"),"利用可","不可")</f>
        <v>利用可</v>
      </c>
    </row>
    <row r="1002" customFormat="false" ht="15" hidden="false" customHeight="false" outlineLevel="0" collapsed="false">
      <c r="A1002" s="29" t="n">
        <v>46273</v>
      </c>
      <c r="B1002" s="30" t="n">
        <v>15</v>
      </c>
      <c r="C1002" s="31" t="s">
        <v>67</v>
      </c>
      <c r="D1002" s="31" t="s">
        <v>59</v>
      </c>
      <c r="E1002" s="30" t="n">
        <v>60</v>
      </c>
      <c r="F1002" s="30" t="n">
        <v>60</v>
      </c>
      <c r="G1002" s="30" t="str">
        <f aca="false">IF(E1002&lt;判定条件!$C$6,"判定不能",IF(F1002&gt;=判定条件!$C$7*E1002,"運転",IF(F1002&lt;=判定条件!$C$8*E1002,"停止","断続")))</f>
        <v>運転</v>
      </c>
      <c r="H1002" s="30" t="n">
        <v>60</v>
      </c>
      <c r="I1002" s="30" t="n">
        <v>60</v>
      </c>
      <c r="J1002" s="30" t="str">
        <f aca="false">IF(H1002&lt;判定条件!$C$6,"判定不能",IF(I1002&gt;=判定条件!$C$7*H1002,"運転",IF(I1002&lt;=判定条件!$C$8*H1002,"停止","断続")))</f>
        <v>運転</v>
      </c>
      <c r="K1002" s="30" t="n">
        <v>60</v>
      </c>
      <c r="L1002" s="30" t="n">
        <v>60</v>
      </c>
      <c r="M1002" s="30" t="str">
        <f aca="false">IF(K1002&lt;判定条件!$C$6,"判定不能",IF(L1002&gt;=判定条件!$C$7*K1002,"運転",IF(L1002&lt;=判定条件!$C$8*K1002,"停止","断続")))</f>
        <v>運転</v>
      </c>
      <c r="N1002" s="30" t="n">
        <v>60</v>
      </c>
      <c r="O1002" s="30" t="n">
        <v>15</v>
      </c>
      <c r="P1002" s="30" t="str">
        <f aca="false">IF(N1002&lt;判定条件!$C$6,"判定不能",IF(O1002&gt;=判定条件!$C$7*N1002,"運転",IF(O1002&lt;=判定条件!$C$8*N1002,"停止","断続")))</f>
        <v>断続</v>
      </c>
      <c r="Q1002" s="30" t="n">
        <v>60</v>
      </c>
      <c r="R1002" s="30" t="n">
        <v>60</v>
      </c>
      <c r="S1002" s="30" t="str">
        <f aca="false">IF(Q1002&lt;判定条件!$C$6,"判定不能",IF(R1002&gt;=判定条件!$C$7*Q1002,"運転",IF(R1002&lt;=判定条件!$C$8*Q1002,"停止","断続")))</f>
        <v>運転</v>
      </c>
      <c r="T1002" s="30" t="n">
        <v>60</v>
      </c>
      <c r="U1002" s="30" t="n">
        <v>55</v>
      </c>
      <c r="V1002" s="30" t="str">
        <f aca="false">IF(T1002&lt;判定条件!$C$6,"判定不能",IF(U1002&gt;=判定条件!$C$7*T1002,"運転",IF(U1002&lt;=判定条件!$C$8*T1002,"停止","断続")))</f>
        <v>運転</v>
      </c>
      <c r="W1002" s="30" t="n">
        <v>60</v>
      </c>
      <c r="X1002" s="30" t="n">
        <v>31</v>
      </c>
      <c r="Y1002" s="30" t="str">
        <f aca="false">IF(W1002&lt;判定条件!$C$6,"判定不能",IF(X1002&gt;=判定条件!$C$7*W1002,"運転",IF(X1002&lt;=判定条件!$C$8*W1002,"停止","断続")))</f>
        <v>断続</v>
      </c>
      <c r="Z1002" s="30" t="n">
        <v>60</v>
      </c>
      <c r="AA1002" s="30" t="n">
        <v>32</v>
      </c>
      <c r="AB1002" s="30" t="str">
        <f aca="false">IF(Z1002&lt;判定条件!$C$6,"判定不能",IF(AA1002&gt;=判定条件!$C$7*Z1002,"運転",IF(AA1002&lt;=判定条件!$C$8*Z1002,"停止","断続")))</f>
        <v>断続</v>
      </c>
      <c r="AC1002" s="30" t="n">
        <v>60</v>
      </c>
      <c r="AD1002" s="30" t="n">
        <v>44</v>
      </c>
      <c r="AE1002" s="30" t="str">
        <f aca="false">IF(AC1002&lt;判定条件!$C$6,"判定不能",IF(AD1002&gt;=判定条件!$C$7*AC1002,"運転",IF(AD1002&lt;=判定条件!$C$8*AC1002,"停止","断続")))</f>
        <v>断続</v>
      </c>
      <c r="AF1002" s="30" t="n">
        <v>60</v>
      </c>
      <c r="AG1002" s="30" t="n">
        <v>15</v>
      </c>
      <c r="AH1002" s="30" t="str">
        <f aca="false">IF(OR(P1002="判定不能",G1002="判定不能"),"判定不能",IF(AG1002&gt;=判定条件!$C$9,"利用可",IF(AND(P1002="停止",G1002="停止"),"両方停止","運転がそろわない")))</f>
        <v>運転がそろわない</v>
      </c>
      <c r="AI1002" s="30" t="n">
        <v>60</v>
      </c>
      <c r="AJ1002" s="30" t="n">
        <v>60</v>
      </c>
      <c r="AK1002" s="30" t="str">
        <f aca="false">IF(OR(S1002="判定不能",J1002="判定不能"),"判定不能",IF(AJ1002&gt;=判定条件!$C$9,"利用可",IF(AND(S1002="停止",J1002="停止"),"両方停止","運転がそろわない")))</f>
        <v>利用可</v>
      </c>
      <c r="AL1002" s="30" t="n">
        <v>60</v>
      </c>
      <c r="AM1002" s="30" t="n">
        <v>55</v>
      </c>
      <c r="AN1002" s="30" t="str">
        <f aca="false">IF(OR(V1002="判定不能",M1002="判定不能"),"判定不能",IF(AM1002&gt;=判定条件!$C$9,"利用可",IF(AND(V1002="停止",M1002="停止"),"両方停止","運転がそろわない")))</f>
        <v>利用可</v>
      </c>
      <c r="AO1002" s="30" t="n">
        <v>60</v>
      </c>
      <c r="AP1002" s="30" t="n">
        <v>31</v>
      </c>
      <c r="AQ1002" s="30" t="str">
        <f aca="false">IF(OR(Y1002="判定不能",G1002="判定不能"),"判定不能",IF(AP1002&gt;=判定条件!$C$9,"利用可",IF(AND(Y1002="停止",G1002="停止"),"両方停止","運転がそろわない")))</f>
        <v>利用可</v>
      </c>
      <c r="AR1002" s="30" t="n">
        <v>60</v>
      </c>
      <c r="AS1002" s="30" t="n">
        <v>32</v>
      </c>
      <c r="AT1002" s="30" t="str">
        <f aca="false">IF(OR(AB1002="判定不能",J1002="判定不能"),"判定不能",IF(AS1002&gt;=判定条件!$C$9,"利用可",IF(AND(AB1002="停止",J1002="停止"),"両方停止","運転がそろわない")))</f>
        <v>利用可</v>
      </c>
      <c r="AU1002" s="30" t="n">
        <v>60</v>
      </c>
      <c r="AV1002" s="30" t="n">
        <v>44</v>
      </c>
      <c r="AW1002" s="30" t="str">
        <f aca="false">IF(OR(AE1002="判定不能",M1002="判定不能"),"判定不能",IF(AV1002&gt;=判定条件!$C$9,"利用可",IF(AND(AE1002="停止",M1002="停止"),"両方停止","運転がそろわない")))</f>
        <v>利用可</v>
      </c>
      <c r="AX1002" s="30" t="str">
        <f aca="false">IF(AND(AH1002="利用可",AK1002="利用可",AN1002="利用可"),"利用可","不可")</f>
        <v>不可</v>
      </c>
      <c r="AY1002" s="30" t="str">
        <f aca="false">IF(AND(AQ1002="利用可",AT1002="利用可",AW1002="利用可"),"利用可","不可")</f>
        <v>利用可</v>
      </c>
    </row>
    <row r="1003" customFormat="false" ht="15" hidden="false" customHeight="false" outlineLevel="0" collapsed="false">
      <c r="A1003" s="29" t="n">
        <v>46273</v>
      </c>
      <c r="B1003" s="30" t="n">
        <v>16</v>
      </c>
      <c r="C1003" s="31" t="s">
        <v>67</v>
      </c>
      <c r="D1003" s="31" t="s">
        <v>59</v>
      </c>
      <c r="E1003" s="30" t="n">
        <v>60</v>
      </c>
      <c r="F1003" s="30" t="n">
        <v>60</v>
      </c>
      <c r="G1003" s="30" t="str">
        <f aca="false">IF(E1003&lt;判定条件!$C$6,"判定不能",IF(F1003&gt;=判定条件!$C$7*E1003,"運転",IF(F1003&lt;=判定条件!$C$8*E1003,"停止","断続")))</f>
        <v>運転</v>
      </c>
      <c r="H1003" s="30" t="n">
        <v>60</v>
      </c>
      <c r="I1003" s="30" t="n">
        <v>59</v>
      </c>
      <c r="J1003" s="30" t="str">
        <f aca="false">IF(H1003&lt;判定条件!$C$6,"判定不能",IF(I1003&gt;=判定条件!$C$7*H1003,"運転",IF(I1003&lt;=判定条件!$C$8*H1003,"停止","断続")))</f>
        <v>運転</v>
      </c>
      <c r="K1003" s="30" t="n">
        <v>60</v>
      </c>
      <c r="L1003" s="30" t="n">
        <v>60</v>
      </c>
      <c r="M1003" s="30" t="str">
        <f aca="false">IF(K1003&lt;判定条件!$C$6,"判定不能",IF(L1003&gt;=判定条件!$C$7*K1003,"運転",IF(L1003&lt;=判定条件!$C$8*K1003,"停止","断続")))</f>
        <v>運転</v>
      </c>
      <c r="N1003" s="30" t="n">
        <v>60</v>
      </c>
      <c r="O1003" s="30" t="n">
        <v>52</v>
      </c>
      <c r="P1003" s="30" t="str">
        <f aca="false">IF(N1003&lt;判定条件!$C$6,"判定不能",IF(O1003&gt;=判定条件!$C$7*N1003,"運転",IF(O1003&lt;=判定条件!$C$8*N1003,"停止","断続")))</f>
        <v>運転</v>
      </c>
      <c r="Q1003" s="30" t="n">
        <v>60</v>
      </c>
      <c r="R1003" s="30" t="n">
        <v>57</v>
      </c>
      <c r="S1003" s="30" t="str">
        <f aca="false">IF(Q1003&lt;判定条件!$C$6,"判定不能",IF(R1003&gt;=判定条件!$C$7*Q1003,"運転",IF(R1003&lt;=判定条件!$C$8*Q1003,"停止","断続")))</f>
        <v>運転</v>
      </c>
      <c r="T1003" s="30" t="n">
        <v>60</v>
      </c>
      <c r="U1003" s="30" t="n">
        <v>53</v>
      </c>
      <c r="V1003" s="30" t="str">
        <f aca="false">IF(T1003&lt;判定条件!$C$6,"判定不能",IF(U1003&gt;=判定条件!$C$7*T1003,"運転",IF(U1003&lt;=判定条件!$C$8*T1003,"停止","断続")))</f>
        <v>運転</v>
      </c>
      <c r="W1003" s="30" t="n">
        <v>60</v>
      </c>
      <c r="X1003" s="30" t="n">
        <v>49</v>
      </c>
      <c r="Y1003" s="30" t="str">
        <f aca="false">IF(W1003&lt;判定条件!$C$6,"判定不能",IF(X1003&gt;=判定条件!$C$7*W1003,"運転",IF(X1003&lt;=判定条件!$C$8*W1003,"停止","断続")))</f>
        <v>運転</v>
      </c>
      <c r="Z1003" s="30" t="n">
        <v>60</v>
      </c>
      <c r="AA1003" s="30" t="n">
        <v>31</v>
      </c>
      <c r="AB1003" s="30" t="str">
        <f aca="false">IF(Z1003&lt;判定条件!$C$6,"判定不能",IF(AA1003&gt;=判定条件!$C$7*Z1003,"運転",IF(AA1003&lt;=判定条件!$C$8*Z1003,"停止","断続")))</f>
        <v>断続</v>
      </c>
      <c r="AC1003" s="30" t="n">
        <v>60</v>
      </c>
      <c r="AD1003" s="30" t="n">
        <v>41</v>
      </c>
      <c r="AE1003" s="30" t="str">
        <f aca="false">IF(AC1003&lt;判定条件!$C$6,"判定不能",IF(AD1003&gt;=判定条件!$C$7*AC1003,"運転",IF(AD1003&lt;=判定条件!$C$8*AC1003,"停止","断続")))</f>
        <v>断続</v>
      </c>
      <c r="AF1003" s="30" t="n">
        <v>60</v>
      </c>
      <c r="AG1003" s="30" t="n">
        <v>52</v>
      </c>
      <c r="AH1003" s="30" t="str">
        <f aca="false">IF(OR(P1003="判定不能",G1003="判定不能"),"判定不能",IF(AG1003&gt;=判定条件!$C$9,"利用可",IF(AND(P1003="停止",G1003="停止"),"両方停止","運転がそろわない")))</f>
        <v>利用可</v>
      </c>
      <c r="AI1003" s="30" t="n">
        <v>60</v>
      </c>
      <c r="AJ1003" s="30" t="n">
        <v>56</v>
      </c>
      <c r="AK1003" s="30" t="str">
        <f aca="false">IF(OR(S1003="判定不能",J1003="判定不能"),"判定不能",IF(AJ1003&gt;=判定条件!$C$9,"利用可",IF(AND(S1003="停止",J1003="停止"),"両方停止","運転がそろわない")))</f>
        <v>利用可</v>
      </c>
      <c r="AL1003" s="30" t="n">
        <v>60</v>
      </c>
      <c r="AM1003" s="30" t="n">
        <v>53</v>
      </c>
      <c r="AN1003" s="30" t="str">
        <f aca="false">IF(OR(V1003="判定不能",M1003="判定不能"),"判定不能",IF(AM1003&gt;=判定条件!$C$9,"利用可",IF(AND(V1003="停止",M1003="停止"),"両方停止","運転がそろわない")))</f>
        <v>利用可</v>
      </c>
      <c r="AO1003" s="30" t="n">
        <v>60</v>
      </c>
      <c r="AP1003" s="30" t="n">
        <v>49</v>
      </c>
      <c r="AQ1003" s="30" t="str">
        <f aca="false">IF(OR(Y1003="判定不能",G1003="判定不能"),"判定不能",IF(AP1003&gt;=判定条件!$C$9,"利用可",IF(AND(Y1003="停止",G1003="停止"),"両方停止","運転がそろわない")))</f>
        <v>利用可</v>
      </c>
      <c r="AR1003" s="30" t="n">
        <v>60</v>
      </c>
      <c r="AS1003" s="30" t="n">
        <v>31</v>
      </c>
      <c r="AT1003" s="30" t="str">
        <f aca="false">IF(OR(AB1003="判定不能",J1003="判定不能"),"判定不能",IF(AS1003&gt;=判定条件!$C$9,"利用可",IF(AND(AB1003="停止",J1003="停止"),"両方停止","運転がそろわない")))</f>
        <v>利用可</v>
      </c>
      <c r="AU1003" s="30" t="n">
        <v>60</v>
      </c>
      <c r="AV1003" s="30" t="n">
        <v>41</v>
      </c>
      <c r="AW1003" s="30" t="str">
        <f aca="false">IF(OR(AE1003="判定不能",M1003="判定不能"),"判定不能",IF(AV1003&gt;=判定条件!$C$9,"利用可",IF(AND(AE1003="停止",M1003="停止"),"両方停止","運転がそろわない")))</f>
        <v>利用可</v>
      </c>
      <c r="AX1003" s="30" t="str">
        <f aca="false">IF(AND(AH1003="利用可",AK1003="利用可",AN1003="利用可"),"利用可","不可")</f>
        <v>利用可</v>
      </c>
      <c r="AY1003" s="30" t="str">
        <f aca="false">IF(AND(AQ1003="利用可",AT1003="利用可",AW1003="利用可"),"利用可","不可")</f>
        <v>利用可</v>
      </c>
    </row>
    <row r="1004" customFormat="false" ht="15" hidden="false" customHeight="false" outlineLevel="0" collapsed="false">
      <c r="A1004" s="29" t="n">
        <v>46273</v>
      </c>
      <c r="B1004" s="30" t="n">
        <v>17</v>
      </c>
      <c r="C1004" s="31" t="s">
        <v>67</v>
      </c>
      <c r="D1004" s="31" t="s">
        <v>59</v>
      </c>
      <c r="E1004" s="30" t="n">
        <v>60</v>
      </c>
      <c r="F1004" s="30" t="n">
        <v>50</v>
      </c>
      <c r="G1004" s="30" t="str">
        <f aca="false">IF(E1004&lt;判定条件!$C$6,"判定不能",IF(F1004&gt;=判定条件!$C$7*E1004,"運転",IF(F1004&lt;=判定条件!$C$8*E1004,"停止","断続")))</f>
        <v>運転</v>
      </c>
      <c r="H1004" s="30" t="n">
        <v>60</v>
      </c>
      <c r="I1004" s="30" t="n">
        <v>50</v>
      </c>
      <c r="J1004" s="30" t="str">
        <f aca="false">IF(H1004&lt;判定条件!$C$6,"判定不能",IF(I1004&gt;=判定条件!$C$7*H1004,"運転",IF(I1004&lt;=判定条件!$C$8*H1004,"停止","断続")))</f>
        <v>運転</v>
      </c>
      <c r="K1004" s="30" t="n">
        <v>60</v>
      </c>
      <c r="L1004" s="30" t="n">
        <v>48</v>
      </c>
      <c r="M1004" s="30" t="str">
        <f aca="false">IF(K1004&lt;判定条件!$C$6,"判定不能",IF(L1004&gt;=判定条件!$C$7*K1004,"運転",IF(L1004&lt;=判定条件!$C$8*K1004,"停止","断続")))</f>
        <v>運転</v>
      </c>
      <c r="N1004" s="30" t="n">
        <v>60</v>
      </c>
      <c r="O1004" s="30" t="n">
        <v>43</v>
      </c>
      <c r="P1004" s="30" t="str">
        <f aca="false">IF(N1004&lt;判定条件!$C$6,"判定不能",IF(O1004&gt;=判定条件!$C$7*N1004,"運転",IF(O1004&lt;=判定条件!$C$8*N1004,"停止","断続")))</f>
        <v>断続</v>
      </c>
      <c r="Q1004" s="30" t="n">
        <v>60</v>
      </c>
      <c r="R1004" s="30" t="n">
        <v>60</v>
      </c>
      <c r="S1004" s="30" t="str">
        <f aca="false">IF(Q1004&lt;判定条件!$C$6,"判定不能",IF(R1004&gt;=判定条件!$C$7*Q1004,"運転",IF(R1004&lt;=判定条件!$C$8*Q1004,"停止","断続")))</f>
        <v>運転</v>
      </c>
      <c r="T1004" s="30" t="n">
        <v>60</v>
      </c>
      <c r="U1004" s="30" t="n">
        <v>37</v>
      </c>
      <c r="V1004" s="30" t="str">
        <f aca="false">IF(T1004&lt;判定条件!$C$6,"判定不能",IF(U1004&gt;=判定条件!$C$7*T1004,"運転",IF(U1004&lt;=判定条件!$C$8*T1004,"停止","断続")))</f>
        <v>断続</v>
      </c>
      <c r="W1004" s="30" t="n">
        <v>60</v>
      </c>
      <c r="X1004" s="30" t="n">
        <v>60</v>
      </c>
      <c r="Y1004" s="30" t="str">
        <f aca="false">IF(W1004&lt;判定条件!$C$6,"判定不能",IF(X1004&gt;=判定条件!$C$7*W1004,"運転",IF(X1004&lt;=判定条件!$C$8*W1004,"停止","断続")))</f>
        <v>運転</v>
      </c>
      <c r="Z1004" s="30" t="n">
        <v>60</v>
      </c>
      <c r="AA1004" s="30" t="n">
        <v>29</v>
      </c>
      <c r="AB1004" s="30" t="str">
        <f aca="false">IF(Z1004&lt;判定条件!$C$6,"判定不能",IF(AA1004&gt;=判定条件!$C$7*Z1004,"運転",IF(AA1004&lt;=判定条件!$C$8*Z1004,"停止","断続")))</f>
        <v>断続</v>
      </c>
      <c r="AC1004" s="30" t="n">
        <v>60</v>
      </c>
      <c r="AD1004" s="30" t="n">
        <v>60</v>
      </c>
      <c r="AE1004" s="30" t="str">
        <f aca="false">IF(AC1004&lt;判定条件!$C$6,"判定不能",IF(AD1004&gt;=判定条件!$C$7*AC1004,"運転",IF(AD1004&lt;=判定条件!$C$8*AC1004,"停止","断続")))</f>
        <v>運転</v>
      </c>
      <c r="AF1004" s="30" t="n">
        <v>60</v>
      </c>
      <c r="AG1004" s="30" t="n">
        <v>43</v>
      </c>
      <c r="AH1004" s="30" t="str">
        <f aca="false">IF(OR(P1004="判定不能",G1004="判定不能"),"判定不能",IF(AG1004&gt;=判定条件!$C$9,"利用可",IF(AND(P1004="停止",G1004="停止"),"両方停止","運転がそろわない")))</f>
        <v>利用可</v>
      </c>
      <c r="AI1004" s="30" t="n">
        <v>60</v>
      </c>
      <c r="AJ1004" s="30" t="n">
        <v>50</v>
      </c>
      <c r="AK1004" s="30" t="str">
        <f aca="false">IF(OR(S1004="判定不能",J1004="判定不能"),"判定不能",IF(AJ1004&gt;=判定条件!$C$9,"利用可",IF(AND(S1004="停止",J1004="停止"),"両方停止","運転がそろわない")))</f>
        <v>利用可</v>
      </c>
      <c r="AL1004" s="30" t="n">
        <v>60</v>
      </c>
      <c r="AM1004" s="30" t="n">
        <v>25</v>
      </c>
      <c r="AN1004" s="30" t="str">
        <f aca="false">IF(OR(V1004="判定不能",M1004="判定不能"),"判定不能",IF(AM1004&gt;=判定条件!$C$9,"利用可",IF(AND(V1004="停止",M1004="停止"),"両方停止","運転がそろわない")))</f>
        <v>運転がそろわない</v>
      </c>
      <c r="AO1004" s="30" t="n">
        <v>60</v>
      </c>
      <c r="AP1004" s="30" t="n">
        <v>50</v>
      </c>
      <c r="AQ1004" s="30" t="str">
        <f aca="false">IF(OR(Y1004="判定不能",G1004="判定不能"),"判定不能",IF(AP1004&gt;=判定条件!$C$9,"利用可",IF(AND(Y1004="停止",G1004="停止"),"両方停止","運転がそろわない")))</f>
        <v>利用可</v>
      </c>
      <c r="AR1004" s="30" t="n">
        <v>60</v>
      </c>
      <c r="AS1004" s="30" t="n">
        <v>25</v>
      </c>
      <c r="AT1004" s="30" t="str">
        <f aca="false">IF(OR(AB1004="判定不能",J1004="判定不能"),"判定不能",IF(AS1004&gt;=判定条件!$C$9,"利用可",IF(AND(AB1004="停止",J1004="停止"),"両方停止","運転がそろわない")))</f>
        <v>運転がそろわない</v>
      </c>
      <c r="AU1004" s="30" t="n">
        <v>60</v>
      </c>
      <c r="AV1004" s="30" t="n">
        <v>48</v>
      </c>
      <c r="AW1004" s="30" t="str">
        <f aca="false">IF(OR(AE1004="判定不能",M1004="判定不能"),"判定不能",IF(AV1004&gt;=判定条件!$C$9,"利用可",IF(AND(AE1004="停止",M1004="停止"),"両方停止","運転がそろわない")))</f>
        <v>利用可</v>
      </c>
      <c r="AX1004" s="30" t="str">
        <f aca="false">IF(AND(AH1004="利用可",AK1004="利用可",AN1004="利用可"),"利用可","不可")</f>
        <v>不可</v>
      </c>
      <c r="AY1004" s="30" t="str">
        <f aca="false">IF(AND(AQ1004="利用可",AT1004="利用可",AW1004="利用可"),"利用可","不可")</f>
        <v>不可</v>
      </c>
    </row>
    <row r="1005" customFormat="false" ht="15" hidden="false" customHeight="false" outlineLevel="0" collapsed="false">
      <c r="A1005" s="29" t="n">
        <v>46273</v>
      </c>
      <c r="B1005" s="30" t="n">
        <v>18</v>
      </c>
      <c r="C1005" s="31" t="s">
        <v>67</v>
      </c>
      <c r="D1005" s="31" t="s">
        <v>59</v>
      </c>
      <c r="E1005" s="30" t="n">
        <v>60</v>
      </c>
      <c r="F1005" s="30" t="n">
        <v>49</v>
      </c>
      <c r="G1005" s="30" t="str">
        <f aca="false">IF(E1005&lt;判定条件!$C$6,"判定不能",IF(F1005&gt;=判定条件!$C$7*E1005,"運転",IF(F1005&lt;=判定条件!$C$8*E1005,"停止","断続")))</f>
        <v>運転</v>
      </c>
      <c r="H1005" s="30" t="n">
        <v>60</v>
      </c>
      <c r="I1005" s="30" t="n">
        <v>53</v>
      </c>
      <c r="J1005" s="30" t="str">
        <f aca="false">IF(H1005&lt;判定条件!$C$6,"判定不能",IF(I1005&gt;=判定条件!$C$7*H1005,"運転",IF(I1005&lt;=判定条件!$C$8*H1005,"停止","断続")))</f>
        <v>運転</v>
      </c>
      <c r="K1005" s="30" t="n">
        <v>60</v>
      </c>
      <c r="L1005" s="30" t="n">
        <v>60</v>
      </c>
      <c r="M1005" s="30" t="str">
        <f aca="false">IF(K1005&lt;判定条件!$C$6,"判定不能",IF(L1005&gt;=判定条件!$C$7*K1005,"運転",IF(L1005&lt;=判定条件!$C$8*K1005,"停止","断続")))</f>
        <v>運転</v>
      </c>
      <c r="N1005" s="30" t="n">
        <v>60</v>
      </c>
      <c r="O1005" s="30" t="n">
        <v>16</v>
      </c>
      <c r="P1005" s="30" t="str">
        <f aca="false">IF(N1005&lt;判定条件!$C$6,"判定不能",IF(O1005&gt;=判定条件!$C$7*N1005,"運転",IF(O1005&lt;=判定条件!$C$8*N1005,"停止","断続")))</f>
        <v>断続</v>
      </c>
      <c r="Q1005" s="30" t="n">
        <v>60</v>
      </c>
      <c r="R1005" s="30" t="n">
        <v>53</v>
      </c>
      <c r="S1005" s="30" t="str">
        <f aca="false">IF(Q1005&lt;判定条件!$C$6,"判定不能",IF(R1005&gt;=判定条件!$C$7*Q1005,"運転",IF(R1005&lt;=判定条件!$C$8*Q1005,"停止","断続")))</f>
        <v>運転</v>
      </c>
      <c r="T1005" s="30" t="n">
        <v>60</v>
      </c>
      <c r="U1005" s="30" t="n">
        <v>24</v>
      </c>
      <c r="V1005" s="30" t="str">
        <f aca="false">IF(T1005&lt;判定条件!$C$6,"判定不能",IF(U1005&gt;=判定条件!$C$7*T1005,"運転",IF(U1005&lt;=判定条件!$C$8*T1005,"停止","断続")))</f>
        <v>断続</v>
      </c>
      <c r="W1005" s="30" t="n">
        <v>60</v>
      </c>
      <c r="X1005" s="30" t="n">
        <v>48</v>
      </c>
      <c r="Y1005" s="30" t="str">
        <f aca="false">IF(W1005&lt;判定条件!$C$6,"判定不能",IF(X1005&gt;=判定条件!$C$7*W1005,"運転",IF(X1005&lt;=判定条件!$C$8*W1005,"停止","断続")))</f>
        <v>運転</v>
      </c>
      <c r="Z1005" s="30" t="n">
        <v>60</v>
      </c>
      <c r="AA1005" s="30" t="n">
        <v>34</v>
      </c>
      <c r="AB1005" s="30" t="str">
        <f aca="false">IF(Z1005&lt;判定条件!$C$6,"判定不能",IF(AA1005&gt;=判定条件!$C$7*Z1005,"運転",IF(AA1005&lt;=判定条件!$C$8*Z1005,"停止","断続")))</f>
        <v>断続</v>
      </c>
      <c r="AC1005" s="30" t="n">
        <v>60</v>
      </c>
      <c r="AD1005" s="30" t="n">
        <v>52</v>
      </c>
      <c r="AE1005" s="30" t="str">
        <f aca="false">IF(AC1005&lt;判定条件!$C$6,"判定不能",IF(AD1005&gt;=判定条件!$C$7*AC1005,"運転",IF(AD1005&lt;=判定条件!$C$8*AC1005,"停止","断続")))</f>
        <v>運転</v>
      </c>
      <c r="AF1005" s="30" t="n">
        <v>60</v>
      </c>
      <c r="AG1005" s="30" t="n">
        <v>16</v>
      </c>
      <c r="AH1005" s="30" t="str">
        <f aca="false">IF(OR(P1005="判定不能",G1005="判定不能"),"判定不能",IF(AG1005&gt;=判定条件!$C$9,"利用可",IF(AND(P1005="停止",G1005="停止"),"両方停止","運転がそろわない")))</f>
        <v>運転がそろわない</v>
      </c>
      <c r="AI1005" s="30" t="n">
        <v>60</v>
      </c>
      <c r="AJ1005" s="30" t="n">
        <v>50</v>
      </c>
      <c r="AK1005" s="30" t="str">
        <f aca="false">IF(OR(S1005="判定不能",J1005="判定不能"),"判定不能",IF(AJ1005&gt;=判定条件!$C$9,"利用可",IF(AND(S1005="停止",J1005="停止"),"両方停止","運転がそろわない")))</f>
        <v>利用可</v>
      </c>
      <c r="AL1005" s="30" t="n">
        <v>60</v>
      </c>
      <c r="AM1005" s="30" t="n">
        <v>24</v>
      </c>
      <c r="AN1005" s="30" t="str">
        <f aca="false">IF(OR(V1005="判定不能",M1005="判定不能"),"判定不能",IF(AM1005&gt;=判定条件!$C$9,"利用可",IF(AND(V1005="停止",M1005="停止"),"両方停止","運転がそろわない")))</f>
        <v>運転がそろわない</v>
      </c>
      <c r="AO1005" s="30" t="n">
        <v>60</v>
      </c>
      <c r="AP1005" s="30" t="n">
        <v>37</v>
      </c>
      <c r="AQ1005" s="30" t="str">
        <f aca="false">IF(OR(Y1005="判定不能",G1005="判定不能"),"判定不能",IF(AP1005&gt;=判定条件!$C$9,"利用可",IF(AND(Y1005="停止",G1005="停止"),"両方停止","運転がそろわない")))</f>
        <v>利用可</v>
      </c>
      <c r="AR1005" s="30" t="n">
        <v>60</v>
      </c>
      <c r="AS1005" s="30" t="n">
        <v>34</v>
      </c>
      <c r="AT1005" s="30" t="str">
        <f aca="false">IF(OR(AB1005="判定不能",J1005="判定不能"),"判定不能",IF(AS1005&gt;=判定条件!$C$9,"利用可",IF(AND(AB1005="停止",J1005="停止"),"両方停止","運転がそろわない")))</f>
        <v>利用可</v>
      </c>
      <c r="AU1005" s="30" t="n">
        <v>60</v>
      </c>
      <c r="AV1005" s="30" t="n">
        <v>52</v>
      </c>
      <c r="AW1005" s="30" t="str">
        <f aca="false">IF(OR(AE1005="判定不能",M1005="判定不能"),"判定不能",IF(AV1005&gt;=判定条件!$C$9,"利用可",IF(AND(AE1005="停止",M1005="停止"),"両方停止","運転がそろわない")))</f>
        <v>利用可</v>
      </c>
      <c r="AX1005" s="30" t="str">
        <f aca="false">IF(AND(AH1005="利用可",AK1005="利用可",AN1005="利用可"),"利用可","不可")</f>
        <v>不可</v>
      </c>
      <c r="AY1005" s="30" t="str">
        <f aca="false">IF(AND(AQ1005="利用可",AT1005="利用可",AW1005="利用可"),"利用可","不可")</f>
        <v>利用可</v>
      </c>
    </row>
    <row r="1006" customFormat="false" ht="15" hidden="false" customHeight="false" outlineLevel="0" collapsed="false">
      <c r="A1006" s="29" t="n">
        <v>46273</v>
      </c>
      <c r="B1006" s="30" t="n">
        <v>19</v>
      </c>
      <c r="C1006" s="31" t="s">
        <v>67</v>
      </c>
      <c r="D1006" s="31" t="s">
        <v>59</v>
      </c>
      <c r="E1006" s="30" t="n">
        <v>60</v>
      </c>
      <c r="F1006" s="30" t="n">
        <v>55</v>
      </c>
      <c r="G1006" s="30" t="str">
        <f aca="false">IF(E1006&lt;判定条件!$C$6,"判定不能",IF(F1006&gt;=判定条件!$C$7*E1006,"運転",IF(F1006&lt;=判定条件!$C$8*E1006,"停止","断続")))</f>
        <v>運転</v>
      </c>
      <c r="H1006" s="30" t="n">
        <v>60</v>
      </c>
      <c r="I1006" s="30" t="n">
        <v>55</v>
      </c>
      <c r="J1006" s="30" t="str">
        <f aca="false">IF(H1006&lt;判定条件!$C$6,"判定不能",IF(I1006&gt;=判定条件!$C$7*H1006,"運転",IF(I1006&lt;=判定条件!$C$8*H1006,"停止","断続")))</f>
        <v>運転</v>
      </c>
      <c r="K1006" s="30" t="n">
        <v>60</v>
      </c>
      <c r="L1006" s="30" t="n">
        <v>60</v>
      </c>
      <c r="M1006" s="30" t="str">
        <f aca="false">IF(K1006&lt;判定条件!$C$6,"判定不能",IF(L1006&gt;=判定条件!$C$7*K1006,"運転",IF(L1006&lt;=判定条件!$C$8*K1006,"停止","断続")))</f>
        <v>運転</v>
      </c>
      <c r="N1006" s="30" t="n">
        <v>60</v>
      </c>
      <c r="O1006" s="30" t="n">
        <v>42</v>
      </c>
      <c r="P1006" s="30" t="str">
        <f aca="false">IF(N1006&lt;判定条件!$C$6,"判定不能",IF(O1006&gt;=判定条件!$C$7*N1006,"運転",IF(O1006&lt;=判定条件!$C$8*N1006,"停止","断続")))</f>
        <v>断続</v>
      </c>
      <c r="Q1006" s="30" t="n">
        <v>60</v>
      </c>
      <c r="R1006" s="30" t="n">
        <v>33</v>
      </c>
      <c r="S1006" s="30" t="str">
        <f aca="false">IF(Q1006&lt;判定条件!$C$6,"判定不能",IF(R1006&gt;=判定条件!$C$7*Q1006,"運転",IF(R1006&lt;=判定条件!$C$8*Q1006,"停止","断続")))</f>
        <v>断続</v>
      </c>
      <c r="T1006" s="30" t="n">
        <v>60</v>
      </c>
      <c r="U1006" s="30" t="n">
        <v>35</v>
      </c>
      <c r="V1006" s="30" t="str">
        <f aca="false">IF(T1006&lt;判定条件!$C$6,"判定不能",IF(U1006&gt;=判定条件!$C$7*T1006,"運転",IF(U1006&lt;=判定条件!$C$8*T1006,"停止","断続")))</f>
        <v>断続</v>
      </c>
      <c r="W1006" s="30" t="n">
        <v>60</v>
      </c>
      <c r="X1006" s="30" t="n">
        <v>19</v>
      </c>
      <c r="Y1006" s="30" t="str">
        <f aca="false">IF(W1006&lt;判定条件!$C$6,"判定不能",IF(X1006&gt;=判定条件!$C$7*W1006,"運転",IF(X1006&lt;=判定条件!$C$8*W1006,"停止","断続")))</f>
        <v>断続</v>
      </c>
      <c r="Z1006" s="30" t="n">
        <v>60</v>
      </c>
      <c r="AA1006" s="30" t="n">
        <v>23</v>
      </c>
      <c r="AB1006" s="30" t="str">
        <f aca="false">IF(Z1006&lt;判定条件!$C$6,"判定不能",IF(AA1006&gt;=判定条件!$C$7*Z1006,"運転",IF(AA1006&lt;=判定条件!$C$8*Z1006,"停止","断続")))</f>
        <v>断続</v>
      </c>
      <c r="AC1006" s="30" t="n">
        <v>60</v>
      </c>
      <c r="AD1006" s="30" t="n">
        <v>27</v>
      </c>
      <c r="AE1006" s="30" t="str">
        <f aca="false">IF(AC1006&lt;判定条件!$C$6,"判定不能",IF(AD1006&gt;=判定条件!$C$7*AC1006,"運転",IF(AD1006&lt;=判定条件!$C$8*AC1006,"停止","断続")))</f>
        <v>断続</v>
      </c>
      <c r="AF1006" s="30" t="n">
        <v>60</v>
      </c>
      <c r="AG1006" s="30" t="n">
        <v>37</v>
      </c>
      <c r="AH1006" s="30" t="str">
        <f aca="false">IF(OR(P1006="判定不能",G1006="判定不能"),"判定不能",IF(AG1006&gt;=判定条件!$C$9,"利用可",IF(AND(P1006="停止",G1006="停止"),"両方停止","運転がそろわない")))</f>
        <v>利用可</v>
      </c>
      <c r="AI1006" s="30" t="n">
        <v>60</v>
      </c>
      <c r="AJ1006" s="30" t="n">
        <v>28</v>
      </c>
      <c r="AK1006" s="30" t="str">
        <f aca="false">IF(OR(S1006="判定不能",J1006="判定不能"),"判定不能",IF(AJ1006&gt;=判定条件!$C$9,"利用可",IF(AND(S1006="停止",J1006="停止"),"両方停止","運転がそろわない")))</f>
        <v>運転がそろわない</v>
      </c>
      <c r="AL1006" s="30" t="n">
        <v>60</v>
      </c>
      <c r="AM1006" s="30" t="n">
        <v>35</v>
      </c>
      <c r="AN1006" s="30" t="str">
        <f aca="false">IF(OR(V1006="判定不能",M1006="判定不能"),"判定不能",IF(AM1006&gt;=判定条件!$C$9,"利用可",IF(AND(V1006="停止",M1006="停止"),"両方停止","運転がそろわない")))</f>
        <v>利用可</v>
      </c>
      <c r="AO1006" s="30" t="n">
        <v>60</v>
      </c>
      <c r="AP1006" s="30" t="n">
        <v>14</v>
      </c>
      <c r="AQ1006" s="30" t="str">
        <f aca="false">IF(OR(Y1006="判定不能",G1006="判定不能"),"判定不能",IF(AP1006&gt;=判定条件!$C$9,"利用可",IF(AND(Y1006="停止",G1006="停止"),"両方停止","運転がそろわない")))</f>
        <v>運転がそろわない</v>
      </c>
      <c r="AR1006" s="30" t="n">
        <v>60</v>
      </c>
      <c r="AS1006" s="30" t="n">
        <v>22</v>
      </c>
      <c r="AT1006" s="30" t="str">
        <f aca="false">IF(OR(AB1006="判定不能",J1006="判定不能"),"判定不能",IF(AS1006&gt;=判定条件!$C$9,"利用可",IF(AND(AB1006="停止",J1006="停止"),"両方停止","運転がそろわない")))</f>
        <v>運転がそろわない</v>
      </c>
      <c r="AU1006" s="30" t="n">
        <v>60</v>
      </c>
      <c r="AV1006" s="30" t="n">
        <v>27</v>
      </c>
      <c r="AW1006" s="30" t="str">
        <f aca="false">IF(OR(AE1006="判定不能",M1006="判定不能"),"判定不能",IF(AV1006&gt;=判定条件!$C$9,"利用可",IF(AND(AE1006="停止",M1006="停止"),"両方停止","運転がそろわない")))</f>
        <v>運転がそろわない</v>
      </c>
      <c r="AX1006" s="30" t="str">
        <f aca="false">IF(AND(AH1006="利用可",AK1006="利用可",AN1006="利用可"),"利用可","不可")</f>
        <v>不可</v>
      </c>
      <c r="AY1006" s="30" t="str">
        <f aca="false">IF(AND(AQ1006="利用可",AT1006="利用可",AW1006="利用可"),"利用可","不可")</f>
        <v>不可</v>
      </c>
    </row>
    <row r="1007" customFormat="false" ht="15" hidden="false" customHeight="false" outlineLevel="0" collapsed="false">
      <c r="A1007" s="29" t="n">
        <v>46273</v>
      </c>
      <c r="B1007" s="30" t="n">
        <v>20</v>
      </c>
      <c r="C1007" s="31" t="s">
        <v>67</v>
      </c>
      <c r="D1007" s="31" t="s">
        <v>59</v>
      </c>
      <c r="E1007" s="30" t="n">
        <v>60</v>
      </c>
      <c r="F1007" s="30" t="n">
        <v>46</v>
      </c>
      <c r="G1007" s="30" t="str">
        <f aca="false">IF(E1007&lt;判定条件!$C$6,"判定不能",IF(F1007&gt;=判定条件!$C$7*E1007,"運転",IF(F1007&lt;=判定条件!$C$8*E1007,"停止","断続")))</f>
        <v>断続</v>
      </c>
      <c r="H1007" s="30" t="n">
        <v>60</v>
      </c>
      <c r="I1007" s="30" t="n">
        <v>45</v>
      </c>
      <c r="J1007" s="30" t="str">
        <f aca="false">IF(H1007&lt;判定条件!$C$6,"判定不能",IF(I1007&gt;=判定条件!$C$7*H1007,"運転",IF(I1007&lt;=判定条件!$C$8*H1007,"停止","断続")))</f>
        <v>断続</v>
      </c>
      <c r="K1007" s="30" t="n">
        <v>60</v>
      </c>
      <c r="L1007" s="30" t="n">
        <v>43</v>
      </c>
      <c r="M1007" s="30" t="str">
        <f aca="false">IF(K1007&lt;判定条件!$C$6,"判定不能",IF(L1007&gt;=判定条件!$C$7*K1007,"運転",IF(L1007&lt;=判定条件!$C$8*K1007,"停止","断続")))</f>
        <v>断続</v>
      </c>
      <c r="N1007" s="30" t="n">
        <v>60</v>
      </c>
      <c r="O1007" s="30" t="n">
        <v>60</v>
      </c>
      <c r="P1007" s="30" t="str">
        <f aca="false">IF(N1007&lt;判定条件!$C$6,"判定不能",IF(O1007&gt;=判定条件!$C$7*N1007,"運転",IF(O1007&lt;=判定条件!$C$8*N1007,"停止","断続")))</f>
        <v>運転</v>
      </c>
      <c r="Q1007" s="30" t="n">
        <v>60</v>
      </c>
      <c r="R1007" s="30" t="n">
        <v>0</v>
      </c>
      <c r="S1007" s="30" t="str">
        <f aca="false">IF(Q1007&lt;判定条件!$C$6,"判定不能",IF(R1007&gt;=判定条件!$C$7*Q1007,"運転",IF(R1007&lt;=判定条件!$C$8*Q1007,"停止","断続")))</f>
        <v>停止</v>
      </c>
      <c r="T1007" s="30" t="n">
        <v>60</v>
      </c>
      <c r="U1007" s="30" t="n">
        <v>0</v>
      </c>
      <c r="V1007" s="30" t="str">
        <f aca="false">IF(T1007&lt;判定条件!$C$6,"判定不能",IF(U1007&gt;=判定条件!$C$7*T1007,"運転",IF(U1007&lt;=判定条件!$C$8*T1007,"停止","断続")))</f>
        <v>停止</v>
      </c>
      <c r="W1007" s="30" t="n">
        <v>60</v>
      </c>
      <c r="X1007" s="30" t="n">
        <v>25</v>
      </c>
      <c r="Y1007" s="30" t="str">
        <f aca="false">IF(W1007&lt;判定条件!$C$6,"判定不能",IF(X1007&gt;=判定条件!$C$7*W1007,"運転",IF(X1007&lt;=判定条件!$C$8*W1007,"停止","断続")))</f>
        <v>断続</v>
      </c>
      <c r="Z1007" s="30" t="n">
        <v>60</v>
      </c>
      <c r="AA1007" s="30" t="n">
        <v>21</v>
      </c>
      <c r="AB1007" s="30" t="str">
        <f aca="false">IF(Z1007&lt;判定条件!$C$6,"判定不能",IF(AA1007&gt;=判定条件!$C$7*Z1007,"運転",IF(AA1007&lt;=判定条件!$C$8*Z1007,"停止","断続")))</f>
        <v>断続</v>
      </c>
      <c r="AC1007" s="30" t="n">
        <v>60</v>
      </c>
      <c r="AD1007" s="30" t="n">
        <v>39</v>
      </c>
      <c r="AE1007" s="30" t="str">
        <f aca="false">IF(AC1007&lt;判定条件!$C$6,"判定不能",IF(AD1007&gt;=判定条件!$C$7*AC1007,"運転",IF(AD1007&lt;=判定条件!$C$8*AC1007,"停止","断続")))</f>
        <v>断続</v>
      </c>
      <c r="AF1007" s="30" t="n">
        <v>60</v>
      </c>
      <c r="AG1007" s="30" t="n">
        <v>46</v>
      </c>
      <c r="AH1007" s="30" t="str">
        <f aca="false">IF(OR(P1007="判定不能",G1007="判定不能"),"判定不能",IF(AG1007&gt;=判定条件!$C$9,"利用可",IF(AND(P1007="停止",G1007="停止"),"両方停止","運転がそろわない")))</f>
        <v>利用可</v>
      </c>
      <c r="AI1007" s="30" t="n">
        <v>60</v>
      </c>
      <c r="AJ1007" s="30" t="n">
        <v>0</v>
      </c>
      <c r="AK1007" s="30" t="str">
        <f aca="false">IF(OR(S1007="判定不能",J1007="判定不能"),"判定不能",IF(AJ1007&gt;=判定条件!$C$9,"利用可",IF(AND(S1007="停止",J1007="停止"),"両方停止","運転がそろわない")))</f>
        <v>運転がそろわない</v>
      </c>
      <c r="AL1007" s="30" t="n">
        <v>60</v>
      </c>
      <c r="AM1007" s="30" t="n">
        <v>0</v>
      </c>
      <c r="AN1007" s="30" t="str">
        <f aca="false">IF(OR(V1007="判定不能",M1007="判定不能"),"判定不能",IF(AM1007&gt;=判定条件!$C$9,"利用可",IF(AND(V1007="停止",M1007="停止"),"両方停止","運転がそろわない")))</f>
        <v>運転がそろわない</v>
      </c>
      <c r="AO1007" s="30" t="n">
        <v>60</v>
      </c>
      <c r="AP1007" s="30" t="n">
        <v>25</v>
      </c>
      <c r="AQ1007" s="30" t="str">
        <f aca="false">IF(OR(Y1007="判定不能",G1007="判定不能"),"判定不能",IF(AP1007&gt;=判定条件!$C$9,"利用可",IF(AND(Y1007="停止",G1007="停止"),"両方停止","運転がそろわない")))</f>
        <v>運転がそろわない</v>
      </c>
      <c r="AR1007" s="30" t="n">
        <v>60</v>
      </c>
      <c r="AS1007" s="30" t="n">
        <v>6</v>
      </c>
      <c r="AT1007" s="30" t="str">
        <f aca="false">IF(OR(AB1007="判定不能",J1007="判定不能"),"判定不能",IF(AS1007&gt;=判定条件!$C$9,"利用可",IF(AND(AB1007="停止",J1007="停止"),"両方停止","運転がそろわない")))</f>
        <v>運転がそろわない</v>
      </c>
      <c r="AU1007" s="30" t="n">
        <v>60</v>
      </c>
      <c r="AV1007" s="30" t="n">
        <v>22</v>
      </c>
      <c r="AW1007" s="30" t="str">
        <f aca="false">IF(OR(AE1007="判定不能",M1007="判定不能"),"判定不能",IF(AV1007&gt;=判定条件!$C$9,"利用可",IF(AND(AE1007="停止",M1007="停止"),"両方停止","運転がそろわない")))</f>
        <v>運転がそろわない</v>
      </c>
      <c r="AX1007" s="30" t="str">
        <f aca="false">IF(AND(AH1007="利用可",AK1007="利用可",AN1007="利用可"),"利用可","不可")</f>
        <v>不可</v>
      </c>
      <c r="AY1007" s="30" t="str">
        <f aca="false">IF(AND(AQ1007="利用可",AT1007="利用可",AW1007="利用可"),"利用可","不可")</f>
        <v>不可</v>
      </c>
    </row>
    <row r="1008" customFormat="false" ht="15" hidden="false" customHeight="false" outlineLevel="0" collapsed="false">
      <c r="A1008" s="29" t="n">
        <v>46273</v>
      </c>
      <c r="B1008" s="30" t="n">
        <v>21</v>
      </c>
      <c r="C1008" s="31" t="s">
        <v>67</v>
      </c>
      <c r="D1008" s="31" t="s">
        <v>59</v>
      </c>
      <c r="E1008" s="30" t="n">
        <v>60</v>
      </c>
      <c r="F1008" s="30" t="n">
        <v>0</v>
      </c>
      <c r="G1008" s="30" t="str">
        <f aca="false">IF(E1008&lt;判定条件!$C$6,"判定不能",IF(F1008&gt;=判定条件!$C$7*E1008,"運転",IF(F1008&lt;=判定条件!$C$8*E1008,"停止","断続")))</f>
        <v>停止</v>
      </c>
      <c r="H1008" s="30" t="n">
        <v>60</v>
      </c>
      <c r="I1008" s="30" t="n">
        <v>0</v>
      </c>
      <c r="J1008" s="30" t="str">
        <f aca="false">IF(H1008&lt;判定条件!$C$6,"判定不能",IF(I1008&gt;=判定条件!$C$7*H1008,"運転",IF(I1008&lt;=判定条件!$C$8*H1008,"停止","断続")))</f>
        <v>停止</v>
      </c>
      <c r="K1008" s="30" t="n">
        <v>60</v>
      </c>
      <c r="L1008" s="30" t="n">
        <v>0</v>
      </c>
      <c r="M1008" s="30" t="str">
        <f aca="false">IF(K1008&lt;判定条件!$C$6,"判定不能",IF(L1008&gt;=判定条件!$C$7*K1008,"運転",IF(L1008&lt;=判定条件!$C$8*K1008,"停止","断続")))</f>
        <v>停止</v>
      </c>
      <c r="N1008" s="30" t="n">
        <v>60</v>
      </c>
      <c r="O1008" s="30" t="n">
        <v>29</v>
      </c>
      <c r="P1008" s="30" t="str">
        <f aca="false">IF(N1008&lt;判定条件!$C$6,"判定不能",IF(O1008&gt;=判定条件!$C$7*N1008,"運転",IF(O1008&lt;=判定条件!$C$8*N1008,"停止","断続")))</f>
        <v>断続</v>
      </c>
      <c r="Q1008" s="30" t="n">
        <v>60</v>
      </c>
      <c r="R1008" s="30" t="n">
        <v>0</v>
      </c>
      <c r="S1008" s="30" t="str">
        <f aca="false">IF(Q1008&lt;判定条件!$C$6,"判定不能",IF(R1008&gt;=判定条件!$C$7*Q1008,"運転",IF(R1008&lt;=判定条件!$C$8*Q1008,"停止","断続")))</f>
        <v>停止</v>
      </c>
      <c r="T1008" s="30" t="n">
        <v>60</v>
      </c>
      <c r="U1008" s="30" t="n">
        <v>0</v>
      </c>
      <c r="V1008" s="30" t="str">
        <f aca="false">IF(T1008&lt;判定条件!$C$6,"判定不能",IF(U1008&gt;=判定条件!$C$7*T1008,"運転",IF(U1008&lt;=判定条件!$C$8*T1008,"停止","断続")))</f>
        <v>停止</v>
      </c>
      <c r="W1008" s="30" t="n">
        <v>60</v>
      </c>
      <c r="X1008" s="30" t="n">
        <v>0</v>
      </c>
      <c r="Y1008" s="30" t="str">
        <f aca="false">IF(W1008&lt;判定条件!$C$6,"判定不能",IF(X1008&gt;=判定条件!$C$7*W1008,"運転",IF(X1008&lt;=判定条件!$C$8*W1008,"停止","断続")))</f>
        <v>停止</v>
      </c>
      <c r="Z1008" s="30" t="n">
        <v>60</v>
      </c>
      <c r="AA1008" s="30" t="n">
        <v>34</v>
      </c>
      <c r="AB1008" s="30" t="str">
        <f aca="false">IF(Z1008&lt;判定条件!$C$6,"判定不能",IF(AA1008&gt;=判定条件!$C$7*Z1008,"運転",IF(AA1008&lt;=判定条件!$C$8*Z1008,"停止","断続")))</f>
        <v>断続</v>
      </c>
      <c r="AC1008" s="30" t="n">
        <v>60</v>
      </c>
      <c r="AD1008" s="30" t="n">
        <v>31</v>
      </c>
      <c r="AE1008" s="30" t="str">
        <f aca="false">IF(AC1008&lt;判定条件!$C$6,"判定不能",IF(AD1008&gt;=判定条件!$C$7*AC1008,"運転",IF(AD1008&lt;=判定条件!$C$8*AC1008,"停止","断続")))</f>
        <v>断続</v>
      </c>
      <c r="AF1008" s="30" t="n">
        <v>60</v>
      </c>
      <c r="AG1008" s="30" t="n">
        <v>0</v>
      </c>
      <c r="AH1008" s="30" t="str">
        <f aca="false">IF(OR(P1008="判定不能",G1008="判定不能"),"判定不能",IF(AG1008&gt;=判定条件!$C$9,"利用可",IF(AND(P1008="停止",G1008="停止"),"両方停止","運転がそろわない")))</f>
        <v>運転がそろわない</v>
      </c>
      <c r="AI1008" s="30" t="n">
        <v>60</v>
      </c>
      <c r="AJ1008" s="30" t="n">
        <v>0</v>
      </c>
      <c r="AK1008" s="30" t="str">
        <f aca="false">IF(OR(S1008="判定不能",J1008="判定不能"),"判定不能",IF(AJ1008&gt;=判定条件!$C$9,"利用可",IF(AND(S1008="停止",J1008="停止"),"両方停止","運転がそろわない")))</f>
        <v>両方停止</v>
      </c>
      <c r="AL1008" s="30" t="n">
        <v>60</v>
      </c>
      <c r="AM1008" s="30" t="n">
        <v>0</v>
      </c>
      <c r="AN1008" s="30" t="str">
        <f aca="false">IF(OR(V1008="判定不能",M1008="判定不能"),"判定不能",IF(AM1008&gt;=判定条件!$C$9,"利用可",IF(AND(V1008="停止",M1008="停止"),"両方停止","運転がそろわない")))</f>
        <v>両方停止</v>
      </c>
      <c r="AO1008" s="30" t="n">
        <v>60</v>
      </c>
      <c r="AP1008" s="30" t="n">
        <v>0</v>
      </c>
      <c r="AQ1008" s="30" t="str">
        <f aca="false">IF(OR(Y1008="判定不能",G1008="判定不能"),"判定不能",IF(AP1008&gt;=判定条件!$C$9,"利用可",IF(AND(Y1008="停止",G1008="停止"),"両方停止","運転がそろわない")))</f>
        <v>両方停止</v>
      </c>
      <c r="AR1008" s="30" t="n">
        <v>60</v>
      </c>
      <c r="AS1008" s="30" t="n">
        <v>0</v>
      </c>
      <c r="AT1008" s="30" t="str">
        <f aca="false">IF(OR(AB1008="判定不能",J1008="判定不能"),"判定不能",IF(AS1008&gt;=判定条件!$C$9,"利用可",IF(AND(AB1008="停止",J1008="停止"),"両方停止","運転がそろわない")))</f>
        <v>運転がそろわない</v>
      </c>
      <c r="AU1008" s="30" t="n">
        <v>60</v>
      </c>
      <c r="AV1008" s="30" t="n">
        <v>0</v>
      </c>
      <c r="AW1008" s="30" t="str">
        <f aca="false">IF(OR(AE1008="判定不能",M1008="判定不能"),"判定不能",IF(AV1008&gt;=判定条件!$C$9,"利用可",IF(AND(AE1008="停止",M1008="停止"),"両方停止","運転がそろわない")))</f>
        <v>運転がそろわない</v>
      </c>
      <c r="AX1008" s="30" t="str">
        <f aca="false">IF(AND(AH1008="利用可",AK1008="利用可",AN1008="利用可"),"利用可","不可")</f>
        <v>不可</v>
      </c>
      <c r="AY1008" s="30" t="str">
        <f aca="false">IF(AND(AQ1008="利用可",AT1008="利用可",AW1008="利用可"),"利用可","不可")</f>
        <v>不可</v>
      </c>
    </row>
    <row r="1009" customFormat="false" ht="15" hidden="false" customHeight="false" outlineLevel="0" collapsed="false">
      <c r="A1009" s="29" t="n">
        <v>46273</v>
      </c>
      <c r="B1009" s="30" t="n">
        <v>22</v>
      </c>
      <c r="C1009" s="31" t="s">
        <v>67</v>
      </c>
      <c r="D1009" s="31" t="s">
        <v>59</v>
      </c>
      <c r="E1009" s="30" t="n">
        <v>60</v>
      </c>
      <c r="F1009" s="30" t="n">
        <v>0</v>
      </c>
      <c r="G1009" s="30" t="str">
        <f aca="false">IF(E1009&lt;判定条件!$C$6,"判定不能",IF(F1009&gt;=判定条件!$C$7*E1009,"運転",IF(F1009&lt;=判定条件!$C$8*E1009,"停止","断続")))</f>
        <v>停止</v>
      </c>
      <c r="H1009" s="30" t="n">
        <v>60</v>
      </c>
      <c r="I1009" s="30" t="n">
        <v>0</v>
      </c>
      <c r="J1009" s="30" t="str">
        <f aca="false">IF(H1009&lt;判定条件!$C$6,"判定不能",IF(I1009&gt;=判定条件!$C$7*H1009,"運転",IF(I1009&lt;=判定条件!$C$8*H1009,"停止","断続")))</f>
        <v>停止</v>
      </c>
      <c r="K1009" s="30" t="n">
        <v>60</v>
      </c>
      <c r="L1009" s="30" t="n">
        <v>0</v>
      </c>
      <c r="M1009" s="30" t="str">
        <f aca="false">IF(K1009&lt;判定条件!$C$6,"判定不能",IF(L1009&gt;=判定条件!$C$7*K1009,"運転",IF(L1009&lt;=判定条件!$C$8*K1009,"停止","断続")))</f>
        <v>停止</v>
      </c>
      <c r="N1009" s="30" t="n">
        <v>60</v>
      </c>
      <c r="O1009" s="30" t="n">
        <v>5</v>
      </c>
      <c r="P1009" s="30" t="str">
        <f aca="false">IF(N1009&lt;判定条件!$C$6,"判定不能",IF(O1009&gt;=判定条件!$C$7*N1009,"運転",IF(O1009&lt;=判定条件!$C$8*N1009,"停止","断続")))</f>
        <v>停止</v>
      </c>
      <c r="Q1009" s="30" t="n">
        <v>60</v>
      </c>
      <c r="R1009" s="30" t="n">
        <v>0</v>
      </c>
      <c r="S1009" s="30" t="str">
        <f aca="false">IF(Q1009&lt;判定条件!$C$6,"判定不能",IF(R1009&gt;=判定条件!$C$7*Q1009,"運転",IF(R1009&lt;=判定条件!$C$8*Q1009,"停止","断続")))</f>
        <v>停止</v>
      </c>
      <c r="T1009" s="30" t="n">
        <v>60</v>
      </c>
      <c r="U1009" s="30" t="n">
        <v>0</v>
      </c>
      <c r="V1009" s="30" t="str">
        <f aca="false">IF(T1009&lt;判定条件!$C$6,"判定不能",IF(U1009&gt;=判定条件!$C$7*T1009,"運転",IF(U1009&lt;=判定条件!$C$8*T1009,"停止","断続")))</f>
        <v>停止</v>
      </c>
      <c r="W1009" s="30" t="n">
        <v>60</v>
      </c>
      <c r="X1009" s="30" t="n">
        <v>19</v>
      </c>
      <c r="Y1009" s="30" t="str">
        <f aca="false">IF(W1009&lt;判定条件!$C$6,"判定不能",IF(X1009&gt;=判定条件!$C$7*W1009,"運転",IF(X1009&lt;=判定条件!$C$8*W1009,"停止","断続")))</f>
        <v>断続</v>
      </c>
      <c r="Z1009" s="30" t="n">
        <v>60</v>
      </c>
      <c r="AA1009" s="30" t="n">
        <v>23</v>
      </c>
      <c r="AB1009" s="30" t="str">
        <f aca="false">IF(Z1009&lt;判定条件!$C$6,"判定不能",IF(AA1009&gt;=判定条件!$C$7*Z1009,"運転",IF(AA1009&lt;=判定条件!$C$8*Z1009,"停止","断続")))</f>
        <v>断続</v>
      </c>
      <c r="AC1009" s="30" t="n">
        <v>60</v>
      </c>
      <c r="AD1009" s="30" t="n">
        <v>36</v>
      </c>
      <c r="AE1009" s="30" t="str">
        <f aca="false">IF(AC1009&lt;判定条件!$C$6,"判定不能",IF(AD1009&gt;=判定条件!$C$7*AC1009,"運転",IF(AD1009&lt;=判定条件!$C$8*AC1009,"停止","断続")))</f>
        <v>断続</v>
      </c>
      <c r="AF1009" s="30" t="n">
        <v>60</v>
      </c>
      <c r="AG1009" s="30" t="n">
        <v>0</v>
      </c>
      <c r="AH1009" s="30" t="str">
        <f aca="false">IF(OR(P1009="判定不能",G1009="判定不能"),"判定不能",IF(AG1009&gt;=判定条件!$C$9,"利用可",IF(AND(P1009="停止",G1009="停止"),"両方停止","運転がそろわない")))</f>
        <v>両方停止</v>
      </c>
      <c r="AI1009" s="30" t="n">
        <v>60</v>
      </c>
      <c r="AJ1009" s="30" t="n">
        <v>0</v>
      </c>
      <c r="AK1009" s="30" t="str">
        <f aca="false">IF(OR(S1009="判定不能",J1009="判定不能"),"判定不能",IF(AJ1009&gt;=判定条件!$C$9,"利用可",IF(AND(S1009="停止",J1009="停止"),"両方停止","運転がそろわない")))</f>
        <v>両方停止</v>
      </c>
      <c r="AL1009" s="30" t="n">
        <v>60</v>
      </c>
      <c r="AM1009" s="30" t="n">
        <v>0</v>
      </c>
      <c r="AN1009" s="30" t="str">
        <f aca="false">IF(OR(V1009="判定不能",M1009="判定不能"),"判定不能",IF(AM1009&gt;=判定条件!$C$9,"利用可",IF(AND(V1009="停止",M1009="停止"),"両方停止","運転がそろわない")))</f>
        <v>両方停止</v>
      </c>
      <c r="AO1009" s="30" t="n">
        <v>60</v>
      </c>
      <c r="AP1009" s="30" t="n">
        <v>0</v>
      </c>
      <c r="AQ1009" s="30" t="str">
        <f aca="false">IF(OR(Y1009="判定不能",G1009="判定不能"),"判定不能",IF(AP1009&gt;=判定条件!$C$9,"利用可",IF(AND(Y1009="停止",G1009="停止"),"両方停止","運転がそろわない")))</f>
        <v>運転がそろわない</v>
      </c>
      <c r="AR1009" s="30" t="n">
        <v>60</v>
      </c>
      <c r="AS1009" s="30" t="n">
        <v>0</v>
      </c>
      <c r="AT1009" s="30" t="str">
        <f aca="false">IF(OR(AB1009="判定不能",J1009="判定不能"),"判定不能",IF(AS1009&gt;=判定条件!$C$9,"利用可",IF(AND(AB1009="停止",J1009="停止"),"両方停止","運転がそろわない")))</f>
        <v>運転がそろわない</v>
      </c>
      <c r="AU1009" s="30" t="n">
        <v>60</v>
      </c>
      <c r="AV1009" s="30" t="n">
        <v>0</v>
      </c>
      <c r="AW1009" s="30" t="str">
        <f aca="false">IF(OR(AE1009="判定不能",M1009="判定不能"),"判定不能",IF(AV1009&gt;=判定条件!$C$9,"利用可",IF(AND(AE1009="停止",M1009="停止"),"両方停止","運転がそろわない")))</f>
        <v>運転がそろわない</v>
      </c>
      <c r="AX1009" s="30" t="str">
        <f aca="false">IF(AND(AH1009="利用可",AK1009="利用可",AN1009="利用可"),"利用可","不可")</f>
        <v>不可</v>
      </c>
      <c r="AY1009" s="30" t="str">
        <f aca="false">IF(AND(AQ1009="利用可",AT1009="利用可",AW1009="利用可"),"利用可","不可")</f>
        <v>不可</v>
      </c>
    </row>
    <row r="1010" customFormat="false" ht="15" hidden="false" customHeight="false" outlineLevel="0" collapsed="false">
      <c r="A1010" s="29" t="n">
        <v>46273</v>
      </c>
      <c r="B1010" s="30" t="n">
        <v>23</v>
      </c>
      <c r="C1010" s="31" t="s">
        <v>67</v>
      </c>
      <c r="D1010" s="31" t="s">
        <v>59</v>
      </c>
      <c r="E1010" s="30" t="n">
        <v>60</v>
      </c>
      <c r="F1010" s="30" t="n">
        <v>0</v>
      </c>
      <c r="G1010" s="30" t="str">
        <f aca="false">IF(E1010&lt;判定条件!$C$6,"判定不能",IF(F1010&gt;=判定条件!$C$7*E1010,"運転",IF(F1010&lt;=判定条件!$C$8*E1010,"停止","断続")))</f>
        <v>停止</v>
      </c>
      <c r="H1010" s="30" t="n">
        <v>60</v>
      </c>
      <c r="I1010" s="30" t="n">
        <v>0</v>
      </c>
      <c r="J1010" s="30" t="str">
        <f aca="false">IF(H1010&lt;判定条件!$C$6,"判定不能",IF(I1010&gt;=判定条件!$C$7*H1010,"運転",IF(I1010&lt;=判定条件!$C$8*H1010,"停止","断続")))</f>
        <v>停止</v>
      </c>
      <c r="K1010" s="30" t="n">
        <v>60</v>
      </c>
      <c r="L1010" s="30" t="n">
        <v>0</v>
      </c>
      <c r="M1010" s="30" t="str">
        <f aca="false">IF(K1010&lt;判定条件!$C$6,"判定不能",IF(L1010&gt;=判定条件!$C$7*K1010,"運転",IF(L1010&lt;=判定条件!$C$8*K1010,"停止","断続")))</f>
        <v>停止</v>
      </c>
      <c r="N1010" s="30" t="n">
        <v>60</v>
      </c>
      <c r="O1010" s="30" t="n">
        <v>0</v>
      </c>
      <c r="P1010" s="30" t="str">
        <f aca="false">IF(N1010&lt;判定条件!$C$6,"判定不能",IF(O1010&gt;=判定条件!$C$7*N1010,"運転",IF(O1010&lt;=判定条件!$C$8*N1010,"停止","断続")))</f>
        <v>停止</v>
      </c>
      <c r="Q1010" s="30" t="n">
        <v>60</v>
      </c>
      <c r="R1010" s="30" t="n">
        <v>0</v>
      </c>
      <c r="S1010" s="30" t="str">
        <f aca="false">IF(Q1010&lt;判定条件!$C$6,"判定不能",IF(R1010&gt;=判定条件!$C$7*Q1010,"運転",IF(R1010&lt;=判定条件!$C$8*Q1010,"停止","断続")))</f>
        <v>停止</v>
      </c>
      <c r="T1010" s="30" t="n">
        <v>60</v>
      </c>
      <c r="U1010" s="30" t="n">
        <v>0</v>
      </c>
      <c r="V1010" s="30" t="str">
        <f aca="false">IF(T1010&lt;判定条件!$C$6,"判定不能",IF(U1010&gt;=判定条件!$C$7*T1010,"運転",IF(U1010&lt;=判定条件!$C$8*T1010,"停止","断続")))</f>
        <v>停止</v>
      </c>
      <c r="W1010" s="30" t="n">
        <v>60</v>
      </c>
      <c r="X1010" s="30" t="n">
        <v>0</v>
      </c>
      <c r="Y1010" s="30" t="str">
        <f aca="false">IF(W1010&lt;判定条件!$C$6,"判定不能",IF(X1010&gt;=判定条件!$C$7*W1010,"運転",IF(X1010&lt;=判定条件!$C$8*W1010,"停止","断続")))</f>
        <v>停止</v>
      </c>
      <c r="Z1010" s="30" t="n">
        <v>60</v>
      </c>
      <c r="AA1010" s="30" t="n">
        <v>6</v>
      </c>
      <c r="AB1010" s="30" t="str">
        <f aca="false">IF(Z1010&lt;判定条件!$C$6,"判定不能",IF(AA1010&gt;=判定条件!$C$7*Z1010,"運転",IF(AA1010&lt;=判定条件!$C$8*Z1010,"停止","断続")))</f>
        <v>停止</v>
      </c>
      <c r="AC1010" s="30" t="n">
        <v>60</v>
      </c>
      <c r="AD1010" s="30" t="n">
        <v>14</v>
      </c>
      <c r="AE1010" s="30" t="str">
        <f aca="false">IF(AC1010&lt;判定条件!$C$6,"判定不能",IF(AD1010&gt;=判定条件!$C$7*AC1010,"運転",IF(AD1010&lt;=判定条件!$C$8*AC1010,"停止","断続")))</f>
        <v>断続</v>
      </c>
      <c r="AF1010" s="30" t="n">
        <v>60</v>
      </c>
      <c r="AG1010" s="30" t="n">
        <v>0</v>
      </c>
      <c r="AH1010" s="30" t="str">
        <f aca="false">IF(OR(P1010="判定不能",G1010="判定不能"),"判定不能",IF(AG1010&gt;=判定条件!$C$9,"利用可",IF(AND(P1010="停止",G1010="停止"),"両方停止","運転がそろわない")))</f>
        <v>両方停止</v>
      </c>
      <c r="AI1010" s="30" t="n">
        <v>60</v>
      </c>
      <c r="AJ1010" s="30" t="n">
        <v>0</v>
      </c>
      <c r="AK1010" s="30" t="str">
        <f aca="false">IF(OR(S1010="判定不能",J1010="判定不能"),"判定不能",IF(AJ1010&gt;=判定条件!$C$9,"利用可",IF(AND(S1010="停止",J1010="停止"),"両方停止","運転がそろわない")))</f>
        <v>両方停止</v>
      </c>
      <c r="AL1010" s="30" t="n">
        <v>60</v>
      </c>
      <c r="AM1010" s="30" t="n">
        <v>0</v>
      </c>
      <c r="AN1010" s="30" t="str">
        <f aca="false">IF(OR(V1010="判定不能",M1010="判定不能"),"判定不能",IF(AM1010&gt;=判定条件!$C$9,"利用可",IF(AND(V1010="停止",M1010="停止"),"両方停止","運転がそろわない")))</f>
        <v>両方停止</v>
      </c>
      <c r="AO1010" s="30" t="n">
        <v>60</v>
      </c>
      <c r="AP1010" s="30" t="n">
        <v>0</v>
      </c>
      <c r="AQ1010" s="30" t="str">
        <f aca="false">IF(OR(Y1010="判定不能",G1010="判定不能"),"判定不能",IF(AP1010&gt;=判定条件!$C$9,"利用可",IF(AND(Y1010="停止",G1010="停止"),"両方停止","運転がそろわない")))</f>
        <v>両方停止</v>
      </c>
      <c r="AR1010" s="30" t="n">
        <v>60</v>
      </c>
      <c r="AS1010" s="30" t="n">
        <v>0</v>
      </c>
      <c r="AT1010" s="30" t="str">
        <f aca="false">IF(OR(AB1010="判定不能",J1010="判定不能"),"判定不能",IF(AS1010&gt;=判定条件!$C$9,"利用可",IF(AND(AB1010="停止",J1010="停止"),"両方停止","運転がそろわない")))</f>
        <v>両方停止</v>
      </c>
      <c r="AU1010" s="30" t="n">
        <v>60</v>
      </c>
      <c r="AV1010" s="30" t="n">
        <v>0</v>
      </c>
      <c r="AW1010" s="30" t="str">
        <f aca="false">IF(OR(AE1010="判定不能",M1010="判定不能"),"判定不能",IF(AV1010&gt;=判定条件!$C$9,"利用可",IF(AND(AE1010="停止",M1010="停止"),"両方停止","運転がそろわない")))</f>
        <v>運転がそろわない</v>
      </c>
      <c r="AX1010" s="30" t="str">
        <f aca="false">IF(AND(AH1010="利用可",AK1010="利用可",AN1010="利用可"),"利用可","不可")</f>
        <v>不可</v>
      </c>
      <c r="AY1010" s="30" t="str">
        <f aca="false">IF(AND(AQ1010="利用可",AT1010="利用可",AW1010="利用可"),"利用可","不可")</f>
        <v>不可</v>
      </c>
    </row>
    <row r="1011" customFormat="false" ht="15" hidden="false" customHeight="false" outlineLevel="0" collapsed="false">
      <c r="A1011" s="29" t="n">
        <v>46274</v>
      </c>
      <c r="B1011" s="30" t="n">
        <v>0</v>
      </c>
      <c r="C1011" s="31" t="s">
        <v>58</v>
      </c>
      <c r="D1011" s="31" t="s">
        <v>59</v>
      </c>
      <c r="E1011" s="30" t="n">
        <v>60</v>
      </c>
      <c r="F1011" s="30" t="n">
        <v>0</v>
      </c>
      <c r="G1011" s="30" t="str">
        <f aca="false">IF(E1011&lt;判定条件!$C$6,"判定不能",IF(F1011&gt;=判定条件!$C$7*E1011,"運転",IF(F1011&lt;=判定条件!$C$8*E1011,"停止","断続")))</f>
        <v>停止</v>
      </c>
      <c r="H1011" s="30" t="n">
        <v>60</v>
      </c>
      <c r="I1011" s="30" t="n">
        <v>0</v>
      </c>
      <c r="J1011" s="30" t="str">
        <f aca="false">IF(H1011&lt;判定条件!$C$6,"判定不能",IF(I1011&gt;=判定条件!$C$7*H1011,"運転",IF(I1011&lt;=判定条件!$C$8*H1011,"停止","断続")))</f>
        <v>停止</v>
      </c>
      <c r="K1011" s="30" t="n">
        <v>60</v>
      </c>
      <c r="L1011" s="30" t="n">
        <v>0</v>
      </c>
      <c r="M1011" s="30" t="str">
        <f aca="false">IF(K1011&lt;判定条件!$C$6,"判定不能",IF(L1011&gt;=判定条件!$C$7*K1011,"運転",IF(L1011&lt;=判定条件!$C$8*K1011,"停止","断続")))</f>
        <v>停止</v>
      </c>
      <c r="N1011" s="30" t="n">
        <v>60</v>
      </c>
      <c r="O1011" s="30" t="n">
        <v>0</v>
      </c>
      <c r="P1011" s="30" t="str">
        <f aca="false">IF(N1011&lt;判定条件!$C$6,"判定不能",IF(O1011&gt;=判定条件!$C$7*N1011,"運転",IF(O1011&lt;=判定条件!$C$8*N1011,"停止","断続")))</f>
        <v>停止</v>
      </c>
      <c r="Q1011" s="30" t="n">
        <v>60</v>
      </c>
      <c r="R1011" s="30" t="n">
        <v>0</v>
      </c>
      <c r="S1011" s="30" t="str">
        <f aca="false">IF(Q1011&lt;判定条件!$C$6,"判定不能",IF(R1011&gt;=判定条件!$C$7*Q1011,"運転",IF(R1011&lt;=判定条件!$C$8*Q1011,"停止","断続")))</f>
        <v>停止</v>
      </c>
      <c r="T1011" s="30" t="n">
        <v>60</v>
      </c>
      <c r="U1011" s="30" t="n">
        <v>0</v>
      </c>
      <c r="V1011" s="30" t="str">
        <f aca="false">IF(T1011&lt;判定条件!$C$6,"判定不能",IF(U1011&gt;=判定条件!$C$7*T1011,"運転",IF(U1011&lt;=判定条件!$C$8*T1011,"停止","断続")))</f>
        <v>停止</v>
      </c>
      <c r="W1011" s="30" t="n">
        <v>60</v>
      </c>
      <c r="X1011" s="30" t="n">
        <v>0</v>
      </c>
      <c r="Y1011" s="30" t="str">
        <f aca="false">IF(W1011&lt;判定条件!$C$6,"判定不能",IF(X1011&gt;=判定条件!$C$7*W1011,"運転",IF(X1011&lt;=判定条件!$C$8*W1011,"停止","断続")))</f>
        <v>停止</v>
      </c>
      <c r="Z1011" s="30" t="n">
        <v>60</v>
      </c>
      <c r="AA1011" s="30" t="n">
        <v>0</v>
      </c>
      <c r="AB1011" s="30" t="str">
        <f aca="false">IF(Z1011&lt;判定条件!$C$6,"判定不能",IF(AA1011&gt;=判定条件!$C$7*Z1011,"運転",IF(AA1011&lt;=判定条件!$C$8*Z1011,"停止","断続")))</f>
        <v>停止</v>
      </c>
      <c r="AC1011" s="30" t="n">
        <v>60</v>
      </c>
      <c r="AD1011" s="30" t="n">
        <v>0</v>
      </c>
      <c r="AE1011" s="30" t="str">
        <f aca="false">IF(AC1011&lt;判定条件!$C$6,"判定不能",IF(AD1011&gt;=判定条件!$C$7*AC1011,"運転",IF(AD1011&lt;=判定条件!$C$8*AC1011,"停止","断続")))</f>
        <v>停止</v>
      </c>
      <c r="AF1011" s="30" t="n">
        <v>60</v>
      </c>
      <c r="AG1011" s="30" t="n">
        <v>0</v>
      </c>
      <c r="AH1011" s="30" t="str">
        <f aca="false">IF(OR(P1011="判定不能",G1011="判定不能"),"判定不能",IF(AG1011&gt;=判定条件!$C$9,"利用可",IF(AND(P1011="停止",G1011="停止"),"両方停止","運転がそろわない")))</f>
        <v>両方停止</v>
      </c>
      <c r="AI1011" s="30" t="n">
        <v>60</v>
      </c>
      <c r="AJ1011" s="30" t="n">
        <v>0</v>
      </c>
      <c r="AK1011" s="30" t="str">
        <f aca="false">IF(OR(S1011="判定不能",J1011="判定不能"),"判定不能",IF(AJ1011&gt;=判定条件!$C$9,"利用可",IF(AND(S1011="停止",J1011="停止"),"両方停止","運転がそろわない")))</f>
        <v>両方停止</v>
      </c>
      <c r="AL1011" s="30" t="n">
        <v>60</v>
      </c>
      <c r="AM1011" s="30" t="n">
        <v>0</v>
      </c>
      <c r="AN1011" s="30" t="str">
        <f aca="false">IF(OR(V1011="判定不能",M1011="判定不能"),"判定不能",IF(AM1011&gt;=判定条件!$C$9,"利用可",IF(AND(V1011="停止",M1011="停止"),"両方停止","運転がそろわない")))</f>
        <v>両方停止</v>
      </c>
      <c r="AO1011" s="30" t="n">
        <v>60</v>
      </c>
      <c r="AP1011" s="30" t="n">
        <v>0</v>
      </c>
      <c r="AQ1011" s="30" t="str">
        <f aca="false">IF(OR(Y1011="判定不能",G1011="判定不能"),"判定不能",IF(AP1011&gt;=判定条件!$C$9,"利用可",IF(AND(Y1011="停止",G1011="停止"),"両方停止","運転がそろわない")))</f>
        <v>両方停止</v>
      </c>
      <c r="AR1011" s="30" t="n">
        <v>60</v>
      </c>
      <c r="AS1011" s="30" t="n">
        <v>0</v>
      </c>
      <c r="AT1011" s="30" t="str">
        <f aca="false">IF(OR(AB1011="判定不能",J1011="判定不能"),"判定不能",IF(AS1011&gt;=判定条件!$C$9,"利用可",IF(AND(AB1011="停止",J1011="停止"),"両方停止","運転がそろわない")))</f>
        <v>両方停止</v>
      </c>
      <c r="AU1011" s="30" t="n">
        <v>60</v>
      </c>
      <c r="AV1011" s="30" t="n">
        <v>0</v>
      </c>
      <c r="AW1011" s="30" t="str">
        <f aca="false">IF(OR(AE1011="判定不能",M1011="判定不能"),"判定不能",IF(AV1011&gt;=判定条件!$C$9,"利用可",IF(AND(AE1011="停止",M1011="停止"),"両方停止","運転がそろわない")))</f>
        <v>両方停止</v>
      </c>
      <c r="AX1011" s="30" t="str">
        <f aca="false">IF(AND(AH1011="利用可",AK1011="利用可",AN1011="利用可"),"利用可","不可")</f>
        <v>不可</v>
      </c>
      <c r="AY1011" s="30" t="str">
        <f aca="false">IF(AND(AQ1011="利用可",AT1011="利用可",AW1011="利用可"),"利用可","不可")</f>
        <v>不可</v>
      </c>
    </row>
    <row r="1012" customFormat="false" ht="15" hidden="false" customHeight="false" outlineLevel="0" collapsed="false">
      <c r="A1012" s="29" t="n">
        <v>46274</v>
      </c>
      <c r="B1012" s="30" t="n">
        <v>1</v>
      </c>
      <c r="C1012" s="31" t="s">
        <v>58</v>
      </c>
      <c r="D1012" s="31" t="s">
        <v>59</v>
      </c>
      <c r="E1012" s="30" t="n">
        <v>60</v>
      </c>
      <c r="F1012" s="30" t="n">
        <v>0</v>
      </c>
      <c r="G1012" s="30" t="str">
        <f aca="false">IF(E1012&lt;判定条件!$C$6,"判定不能",IF(F1012&gt;=判定条件!$C$7*E1012,"運転",IF(F1012&lt;=判定条件!$C$8*E1012,"停止","断続")))</f>
        <v>停止</v>
      </c>
      <c r="H1012" s="30" t="n">
        <v>60</v>
      </c>
      <c r="I1012" s="30" t="n">
        <v>0</v>
      </c>
      <c r="J1012" s="30" t="str">
        <f aca="false">IF(H1012&lt;判定条件!$C$6,"判定不能",IF(I1012&gt;=判定条件!$C$7*H1012,"運転",IF(I1012&lt;=判定条件!$C$8*H1012,"停止","断続")))</f>
        <v>停止</v>
      </c>
      <c r="K1012" s="30" t="n">
        <v>60</v>
      </c>
      <c r="L1012" s="30" t="n">
        <v>0</v>
      </c>
      <c r="M1012" s="30" t="str">
        <f aca="false">IF(K1012&lt;判定条件!$C$6,"判定不能",IF(L1012&gt;=判定条件!$C$7*K1012,"運転",IF(L1012&lt;=判定条件!$C$8*K1012,"停止","断続")))</f>
        <v>停止</v>
      </c>
      <c r="N1012" s="30" t="n">
        <v>60</v>
      </c>
      <c r="O1012" s="30" t="n">
        <v>0</v>
      </c>
      <c r="P1012" s="30" t="str">
        <f aca="false">IF(N1012&lt;判定条件!$C$6,"判定不能",IF(O1012&gt;=判定条件!$C$7*N1012,"運転",IF(O1012&lt;=判定条件!$C$8*N1012,"停止","断続")))</f>
        <v>停止</v>
      </c>
      <c r="Q1012" s="30" t="n">
        <v>60</v>
      </c>
      <c r="R1012" s="30" t="n">
        <v>0</v>
      </c>
      <c r="S1012" s="30" t="str">
        <f aca="false">IF(Q1012&lt;判定条件!$C$6,"判定不能",IF(R1012&gt;=判定条件!$C$7*Q1012,"運転",IF(R1012&lt;=判定条件!$C$8*Q1012,"停止","断続")))</f>
        <v>停止</v>
      </c>
      <c r="T1012" s="30" t="n">
        <v>60</v>
      </c>
      <c r="U1012" s="30" t="n">
        <v>0</v>
      </c>
      <c r="V1012" s="30" t="str">
        <f aca="false">IF(T1012&lt;判定条件!$C$6,"判定不能",IF(U1012&gt;=判定条件!$C$7*T1012,"運転",IF(U1012&lt;=判定条件!$C$8*T1012,"停止","断続")))</f>
        <v>停止</v>
      </c>
      <c r="W1012" s="30" t="n">
        <v>60</v>
      </c>
      <c r="X1012" s="30" t="n">
        <v>0</v>
      </c>
      <c r="Y1012" s="30" t="str">
        <f aca="false">IF(W1012&lt;判定条件!$C$6,"判定不能",IF(X1012&gt;=判定条件!$C$7*W1012,"運転",IF(X1012&lt;=判定条件!$C$8*W1012,"停止","断続")))</f>
        <v>停止</v>
      </c>
      <c r="Z1012" s="30" t="n">
        <v>60</v>
      </c>
      <c r="AA1012" s="30" t="n">
        <v>0</v>
      </c>
      <c r="AB1012" s="30" t="str">
        <f aca="false">IF(Z1012&lt;判定条件!$C$6,"判定不能",IF(AA1012&gt;=判定条件!$C$7*Z1012,"運転",IF(AA1012&lt;=判定条件!$C$8*Z1012,"停止","断続")))</f>
        <v>停止</v>
      </c>
      <c r="AC1012" s="30" t="n">
        <v>60</v>
      </c>
      <c r="AD1012" s="30" t="n">
        <v>0</v>
      </c>
      <c r="AE1012" s="30" t="str">
        <f aca="false">IF(AC1012&lt;判定条件!$C$6,"判定不能",IF(AD1012&gt;=判定条件!$C$7*AC1012,"運転",IF(AD1012&lt;=判定条件!$C$8*AC1012,"停止","断続")))</f>
        <v>停止</v>
      </c>
      <c r="AF1012" s="30" t="n">
        <v>60</v>
      </c>
      <c r="AG1012" s="30" t="n">
        <v>0</v>
      </c>
      <c r="AH1012" s="30" t="str">
        <f aca="false">IF(OR(P1012="判定不能",G1012="判定不能"),"判定不能",IF(AG1012&gt;=判定条件!$C$9,"利用可",IF(AND(P1012="停止",G1012="停止"),"両方停止","運転がそろわない")))</f>
        <v>両方停止</v>
      </c>
      <c r="AI1012" s="30" t="n">
        <v>60</v>
      </c>
      <c r="AJ1012" s="30" t="n">
        <v>0</v>
      </c>
      <c r="AK1012" s="30" t="str">
        <f aca="false">IF(OR(S1012="判定不能",J1012="判定不能"),"判定不能",IF(AJ1012&gt;=判定条件!$C$9,"利用可",IF(AND(S1012="停止",J1012="停止"),"両方停止","運転がそろわない")))</f>
        <v>両方停止</v>
      </c>
      <c r="AL1012" s="30" t="n">
        <v>60</v>
      </c>
      <c r="AM1012" s="30" t="n">
        <v>0</v>
      </c>
      <c r="AN1012" s="30" t="str">
        <f aca="false">IF(OR(V1012="判定不能",M1012="判定不能"),"判定不能",IF(AM1012&gt;=判定条件!$C$9,"利用可",IF(AND(V1012="停止",M1012="停止"),"両方停止","運転がそろわない")))</f>
        <v>両方停止</v>
      </c>
      <c r="AO1012" s="30" t="n">
        <v>60</v>
      </c>
      <c r="AP1012" s="30" t="n">
        <v>0</v>
      </c>
      <c r="AQ1012" s="30" t="str">
        <f aca="false">IF(OR(Y1012="判定不能",G1012="判定不能"),"判定不能",IF(AP1012&gt;=判定条件!$C$9,"利用可",IF(AND(Y1012="停止",G1012="停止"),"両方停止","運転がそろわない")))</f>
        <v>両方停止</v>
      </c>
      <c r="AR1012" s="30" t="n">
        <v>60</v>
      </c>
      <c r="AS1012" s="30" t="n">
        <v>0</v>
      </c>
      <c r="AT1012" s="30" t="str">
        <f aca="false">IF(OR(AB1012="判定不能",J1012="判定不能"),"判定不能",IF(AS1012&gt;=判定条件!$C$9,"利用可",IF(AND(AB1012="停止",J1012="停止"),"両方停止","運転がそろわない")))</f>
        <v>両方停止</v>
      </c>
      <c r="AU1012" s="30" t="n">
        <v>60</v>
      </c>
      <c r="AV1012" s="30" t="n">
        <v>0</v>
      </c>
      <c r="AW1012" s="30" t="str">
        <f aca="false">IF(OR(AE1012="判定不能",M1012="判定不能"),"判定不能",IF(AV1012&gt;=判定条件!$C$9,"利用可",IF(AND(AE1012="停止",M1012="停止"),"両方停止","運転がそろわない")))</f>
        <v>両方停止</v>
      </c>
      <c r="AX1012" s="30" t="str">
        <f aca="false">IF(AND(AH1012="利用可",AK1012="利用可",AN1012="利用可"),"利用可","不可")</f>
        <v>不可</v>
      </c>
      <c r="AY1012" s="30" t="str">
        <f aca="false">IF(AND(AQ1012="利用可",AT1012="利用可",AW1012="利用可"),"利用可","不可")</f>
        <v>不可</v>
      </c>
    </row>
    <row r="1013" customFormat="false" ht="15" hidden="false" customHeight="false" outlineLevel="0" collapsed="false">
      <c r="A1013" s="29" t="n">
        <v>46274</v>
      </c>
      <c r="B1013" s="30" t="n">
        <v>2</v>
      </c>
      <c r="C1013" s="31" t="s">
        <v>58</v>
      </c>
      <c r="D1013" s="31" t="s">
        <v>59</v>
      </c>
      <c r="E1013" s="30" t="n">
        <v>60</v>
      </c>
      <c r="F1013" s="30" t="n">
        <v>0</v>
      </c>
      <c r="G1013" s="30" t="str">
        <f aca="false">IF(E1013&lt;判定条件!$C$6,"判定不能",IF(F1013&gt;=判定条件!$C$7*E1013,"運転",IF(F1013&lt;=判定条件!$C$8*E1013,"停止","断続")))</f>
        <v>停止</v>
      </c>
      <c r="H1013" s="30" t="n">
        <v>60</v>
      </c>
      <c r="I1013" s="30" t="n">
        <v>0</v>
      </c>
      <c r="J1013" s="30" t="str">
        <f aca="false">IF(H1013&lt;判定条件!$C$6,"判定不能",IF(I1013&gt;=判定条件!$C$7*H1013,"運転",IF(I1013&lt;=判定条件!$C$8*H1013,"停止","断続")))</f>
        <v>停止</v>
      </c>
      <c r="K1013" s="30" t="n">
        <v>60</v>
      </c>
      <c r="L1013" s="30" t="n">
        <v>0</v>
      </c>
      <c r="M1013" s="30" t="str">
        <f aca="false">IF(K1013&lt;判定条件!$C$6,"判定不能",IF(L1013&gt;=判定条件!$C$7*K1013,"運転",IF(L1013&lt;=判定条件!$C$8*K1013,"停止","断続")))</f>
        <v>停止</v>
      </c>
      <c r="N1013" s="30" t="n">
        <v>60</v>
      </c>
      <c r="O1013" s="30" t="n">
        <v>0</v>
      </c>
      <c r="P1013" s="30" t="str">
        <f aca="false">IF(N1013&lt;判定条件!$C$6,"判定不能",IF(O1013&gt;=判定条件!$C$7*N1013,"運転",IF(O1013&lt;=判定条件!$C$8*N1013,"停止","断続")))</f>
        <v>停止</v>
      </c>
      <c r="Q1013" s="30" t="n">
        <v>60</v>
      </c>
      <c r="R1013" s="30" t="n">
        <v>0</v>
      </c>
      <c r="S1013" s="30" t="str">
        <f aca="false">IF(Q1013&lt;判定条件!$C$6,"判定不能",IF(R1013&gt;=判定条件!$C$7*Q1013,"運転",IF(R1013&lt;=判定条件!$C$8*Q1013,"停止","断続")))</f>
        <v>停止</v>
      </c>
      <c r="T1013" s="30" t="n">
        <v>60</v>
      </c>
      <c r="U1013" s="30" t="n">
        <v>0</v>
      </c>
      <c r="V1013" s="30" t="str">
        <f aca="false">IF(T1013&lt;判定条件!$C$6,"判定不能",IF(U1013&gt;=判定条件!$C$7*T1013,"運転",IF(U1013&lt;=判定条件!$C$8*T1013,"停止","断続")))</f>
        <v>停止</v>
      </c>
      <c r="W1013" s="30" t="n">
        <v>60</v>
      </c>
      <c r="X1013" s="30" t="n">
        <v>0</v>
      </c>
      <c r="Y1013" s="30" t="str">
        <f aca="false">IF(W1013&lt;判定条件!$C$6,"判定不能",IF(X1013&gt;=判定条件!$C$7*W1013,"運転",IF(X1013&lt;=判定条件!$C$8*W1013,"停止","断続")))</f>
        <v>停止</v>
      </c>
      <c r="Z1013" s="30" t="n">
        <v>60</v>
      </c>
      <c r="AA1013" s="30" t="n">
        <v>0</v>
      </c>
      <c r="AB1013" s="30" t="str">
        <f aca="false">IF(Z1013&lt;判定条件!$C$6,"判定不能",IF(AA1013&gt;=判定条件!$C$7*Z1013,"運転",IF(AA1013&lt;=判定条件!$C$8*Z1013,"停止","断続")))</f>
        <v>停止</v>
      </c>
      <c r="AC1013" s="30" t="n">
        <v>60</v>
      </c>
      <c r="AD1013" s="30" t="n">
        <v>0</v>
      </c>
      <c r="AE1013" s="30" t="str">
        <f aca="false">IF(AC1013&lt;判定条件!$C$6,"判定不能",IF(AD1013&gt;=判定条件!$C$7*AC1013,"運転",IF(AD1013&lt;=判定条件!$C$8*AC1013,"停止","断続")))</f>
        <v>停止</v>
      </c>
      <c r="AF1013" s="30" t="n">
        <v>60</v>
      </c>
      <c r="AG1013" s="30" t="n">
        <v>0</v>
      </c>
      <c r="AH1013" s="30" t="str">
        <f aca="false">IF(OR(P1013="判定不能",G1013="判定不能"),"判定不能",IF(AG1013&gt;=判定条件!$C$9,"利用可",IF(AND(P1013="停止",G1013="停止"),"両方停止","運転がそろわない")))</f>
        <v>両方停止</v>
      </c>
      <c r="AI1013" s="30" t="n">
        <v>60</v>
      </c>
      <c r="AJ1013" s="30" t="n">
        <v>0</v>
      </c>
      <c r="AK1013" s="30" t="str">
        <f aca="false">IF(OR(S1013="判定不能",J1013="判定不能"),"判定不能",IF(AJ1013&gt;=判定条件!$C$9,"利用可",IF(AND(S1013="停止",J1013="停止"),"両方停止","運転がそろわない")))</f>
        <v>両方停止</v>
      </c>
      <c r="AL1013" s="30" t="n">
        <v>60</v>
      </c>
      <c r="AM1013" s="30" t="n">
        <v>0</v>
      </c>
      <c r="AN1013" s="30" t="str">
        <f aca="false">IF(OR(V1013="判定不能",M1013="判定不能"),"判定不能",IF(AM1013&gt;=判定条件!$C$9,"利用可",IF(AND(V1013="停止",M1013="停止"),"両方停止","運転がそろわない")))</f>
        <v>両方停止</v>
      </c>
      <c r="AO1013" s="30" t="n">
        <v>60</v>
      </c>
      <c r="AP1013" s="30" t="n">
        <v>0</v>
      </c>
      <c r="AQ1013" s="30" t="str">
        <f aca="false">IF(OR(Y1013="判定不能",G1013="判定不能"),"判定不能",IF(AP1013&gt;=判定条件!$C$9,"利用可",IF(AND(Y1013="停止",G1013="停止"),"両方停止","運転がそろわない")))</f>
        <v>両方停止</v>
      </c>
      <c r="AR1013" s="30" t="n">
        <v>60</v>
      </c>
      <c r="AS1013" s="30" t="n">
        <v>0</v>
      </c>
      <c r="AT1013" s="30" t="str">
        <f aca="false">IF(OR(AB1013="判定不能",J1013="判定不能"),"判定不能",IF(AS1013&gt;=判定条件!$C$9,"利用可",IF(AND(AB1013="停止",J1013="停止"),"両方停止","運転がそろわない")))</f>
        <v>両方停止</v>
      </c>
      <c r="AU1013" s="30" t="n">
        <v>60</v>
      </c>
      <c r="AV1013" s="30" t="n">
        <v>0</v>
      </c>
      <c r="AW1013" s="30" t="str">
        <f aca="false">IF(OR(AE1013="判定不能",M1013="判定不能"),"判定不能",IF(AV1013&gt;=判定条件!$C$9,"利用可",IF(AND(AE1013="停止",M1013="停止"),"両方停止","運転がそろわない")))</f>
        <v>両方停止</v>
      </c>
      <c r="AX1013" s="30" t="str">
        <f aca="false">IF(AND(AH1013="利用可",AK1013="利用可",AN1013="利用可"),"利用可","不可")</f>
        <v>不可</v>
      </c>
      <c r="AY1013" s="30" t="str">
        <f aca="false">IF(AND(AQ1013="利用可",AT1013="利用可",AW1013="利用可"),"利用可","不可")</f>
        <v>不可</v>
      </c>
    </row>
    <row r="1014" customFormat="false" ht="15" hidden="false" customHeight="false" outlineLevel="0" collapsed="false">
      <c r="A1014" s="29" t="n">
        <v>46274</v>
      </c>
      <c r="B1014" s="30" t="n">
        <v>3</v>
      </c>
      <c r="C1014" s="31" t="s">
        <v>58</v>
      </c>
      <c r="D1014" s="31" t="s">
        <v>59</v>
      </c>
      <c r="E1014" s="30" t="n">
        <v>60</v>
      </c>
      <c r="F1014" s="30" t="n">
        <v>0</v>
      </c>
      <c r="G1014" s="30" t="str">
        <f aca="false">IF(E1014&lt;判定条件!$C$6,"判定不能",IF(F1014&gt;=判定条件!$C$7*E1014,"運転",IF(F1014&lt;=判定条件!$C$8*E1014,"停止","断続")))</f>
        <v>停止</v>
      </c>
      <c r="H1014" s="30" t="n">
        <v>60</v>
      </c>
      <c r="I1014" s="30" t="n">
        <v>0</v>
      </c>
      <c r="J1014" s="30" t="str">
        <f aca="false">IF(H1014&lt;判定条件!$C$6,"判定不能",IF(I1014&gt;=判定条件!$C$7*H1014,"運転",IF(I1014&lt;=判定条件!$C$8*H1014,"停止","断続")))</f>
        <v>停止</v>
      </c>
      <c r="K1014" s="30" t="n">
        <v>60</v>
      </c>
      <c r="L1014" s="30" t="n">
        <v>0</v>
      </c>
      <c r="M1014" s="30" t="str">
        <f aca="false">IF(K1014&lt;判定条件!$C$6,"判定不能",IF(L1014&gt;=判定条件!$C$7*K1014,"運転",IF(L1014&lt;=判定条件!$C$8*K1014,"停止","断続")))</f>
        <v>停止</v>
      </c>
      <c r="N1014" s="30" t="n">
        <v>60</v>
      </c>
      <c r="O1014" s="30" t="n">
        <v>0</v>
      </c>
      <c r="P1014" s="30" t="str">
        <f aca="false">IF(N1014&lt;判定条件!$C$6,"判定不能",IF(O1014&gt;=判定条件!$C$7*N1014,"運転",IF(O1014&lt;=判定条件!$C$8*N1014,"停止","断続")))</f>
        <v>停止</v>
      </c>
      <c r="Q1014" s="30" t="n">
        <v>60</v>
      </c>
      <c r="R1014" s="30" t="n">
        <v>0</v>
      </c>
      <c r="S1014" s="30" t="str">
        <f aca="false">IF(Q1014&lt;判定条件!$C$6,"判定不能",IF(R1014&gt;=判定条件!$C$7*Q1014,"運転",IF(R1014&lt;=判定条件!$C$8*Q1014,"停止","断続")))</f>
        <v>停止</v>
      </c>
      <c r="T1014" s="30" t="n">
        <v>60</v>
      </c>
      <c r="U1014" s="30" t="n">
        <v>0</v>
      </c>
      <c r="V1014" s="30" t="str">
        <f aca="false">IF(T1014&lt;判定条件!$C$6,"判定不能",IF(U1014&gt;=判定条件!$C$7*T1014,"運転",IF(U1014&lt;=判定条件!$C$8*T1014,"停止","断続")))</f>
        <v>停止</v>
      </c>
      <c r="W1014" s="30" t="n">
        <v>60</v>
      </c>
      <c r="X1014" s="30" t="n">
        <v>0</v>
      </c>
      <c r="Y1014" s="30" t="str">
        <f aca="false">IF(W1014&lt;判定条件!$C$6,"判定不能",IF(X1014&gt;=判定条件!$C$7*W1014,"運転",IF(X1014&lt;=判定条件!$C$8*W1014,"停止","断続")))</f>
        <v>停止</v>
      </c>
      <c r="Z1014" s="30" t="n">
        <v>60</v>
      </c>
      <c r="AA1014" s="30" t="n">
        <v>0</v>
      </c>
      <c r="AB1014" s="30" t="str">
        <f aca="false">IF(Z1014&lt;判定条件!$C$6,"判定不能",IF(AA1014&gt;=判定条件!$C$7*Z1014,"運転",IF(AA1014&lt;=判定条件!$C$8*Z1014,"停止","断続")))</f>
        <v>停止</v>
      </c>
      <c r="AC1014" s="30" t="n">
        <v>60</v>
      </c>
      <c r="AD1014" s="30" t="n">
        <v>0</v>
      </c>
      <c r="AE1014" s="30" t="str">
        <f aca="false">IF(AC1014&lt;判定条件!$C$6,"判定不能",IF(AD1014&gt;=判定条件!$C$7*AC1014,"運転",IF(AD1014&lt;=判定条件!$C$8*AC1014,"停止","断続")))</f>
        <v>停止</v>
      </c>
      <c r="AF1014" s="30" t="n">
        <v>60</v>
      </c>
      <c r="AG1014" s="30" t="n">
        <v>0</v>
      </c>
      <c r="AH1014" s="30" t="str">
        <f aca="false">IF(OR(P1014="判定不能",G1014="判定不能"),"判定不能",IF(AG1014&gt;=判定条件!$C$9,"利用可",IF(AND(P1014="停止",G1014="停止"),"両方停止","運転がそろわない")))</f>
        <v>両方停止</v>
      </c>
      <c r="AI1014" s="30" t="n">
        <v>60</v>
      </c>
      <c r="AJ1014" s="30" t="n">
        <v>0</v>
      </c>
      <c r="AK1014" s="30" t="str">
        <f aca="false">IF(OR(S1014="判定不能",J1014="判定不能"),"判定不能",IF(AJ1014&gt;=判定条件!$C$9,"利用可",IF(AND(S1014="停止",J1014="停止"),"両方停止","運転がそろわない")))</f>
        <v>両方停止</v>
      </c>
      <c r="AL1014" s="30" t="n">
        <v>60</v>
      </c>
      <c r="AM1014" s="30" t="n">
        <v>0</v>
      </c>
      <c r="AN1014" s="30" t="str">
        <f aca="false">IF(OR(V1014="判定不能",M1014="判定不能"),"判定不能",IF(AM1014&gt;=判定条件!$C$9,"利用可",IF(AND(V1014="停止",M1014="停止"),"両方停止","運転がそろわない")))</f>
        <v>両方停止</v>
      </c>
      <c r="AO1014" s="30" t="n">
        <v>60</v>
      </c>
      <c r="AP1014" s="30" t="n">
        <v>0</v>
      </c>
      <c r="AQ1014" s="30" t="str">
        <f aca="false">IF(OR(Y1014="判定不能",G1014="判定不能"),"判定不能",IF(AP1014&gt;=判定条件!$C$9,"利用可",IF(AND(Y1014="停止",G1014="停止"),"両方停止","運転がそろわない")))</f>
        <v>両方停止</v>
      </c>
      <c r="AR1014" s="30" t="n">
        <v>60</v>
      </c>
      <c r="AS1014" s="30" t="n">
        <v>0</v>
      </c>
      <c r="AT1014" s="30" t="str">
        <f aca="false">IF(OR(AB1014="判定不能",J1014="判定不能"),"判定不能",IF(AS1014&gt;=判定条件!$C$9,"利用可",IF(AND(AB1014="停止",J1014="停止"),"両方停止","運転がそろわない")))</f>
        <v>両方停止</v>
      </c>
      <c r="AU1014" s="30" t="n">
        <v>60</v>
      </c>
      <c r="AV1014" s="30" t="n">
        <v>0</v>
      </c>
      <c r="AW1014" s="30" t="str">
        <f aca="false">IF(OR(AE1014="判定不能",M1014="判定不能"),"判定不能",IF(AV1014&gt;=判定条件!$C$9,"利用可",IF(AND(AE1014="停止",M1014="停止"),"両方停止","運転がそろわない")))</f>
        <v>両方停止</v>
      </c>
      <c r="AX1014" s="30" t="str">
        <f aca="false">IF(AND(AH1014="利用可",AK1014="利用可",AN1014="利用可"),"利用可","不可")</f>
        <v>不可</v>
      </c>
      <c r="AY1014" s="30" t="str">
        <f aca="false">IF(AND(AQ1014="利用可",AT1014="利用可",AW1014="利用可"),"利用可","不可")</f>
        <v>不可</v>
      </c>
    </row>
    <row r="1015" customFormat="false" ht="15" hidden="false" customHeight="false" outlineLevel="0" collapsed="false">
      <c r="A1015" s="29" t="n">
        <v>46274</v>
      </c>
      <c r="B1015" s="30" t="n">
        <v>4</v>
      </c>
      <c r="C1015" s="31" t="s">
        <v>58</v>
      </c>
      <c r="D1015" s="31" t="s">
        <v>59</v>
      </c>
      <c r="E1015" s="30" t="n">
        <v>60</v>
      </c>
      <c r="F1015" s="30" t="n">
        <v>0</v>
      </c>
      <c r="G1015" s="30" t="str">
        <f aca="false">IF(E1015&lt;判定条件!$C$6,"判定不能",IF(F1015&gt;=判定条件!$C$7*E1015,"運転",IF(F1015&lt;=判定条件!$C$8*E1015,"停止","断続")))</f>
        <v>停止</v>
      </c>
      <c r="H1015" s="30" t="n">
        <v>60</v>
      </c>
      <c r="I1015" s="30" t="n">
        <v>0</v>
      </c>
      <c r="J1015" s="30" t="str">
        <f aca="false">IF(H1015&lt;判定条件!$C$6,"判定不能",IF(I1015&gt;=判定条件!$C$7*H1015,"運転",IF(I1015&lt;=判定条件!$C$8*H1015,"停止","断続")))</f>
        <v>停止</v>
      </c>
      <c r="K1015" s="30" t="n">
        <v>60</v>
      </c>
      <c r="L1015" s="30" t="n">
        <v>0</v>
      </c>
      <c r="M1015" s="30" t="str">
        <f aca="false">IF(K1015&lt;判定条件!$C$6,"判定不能",IF(L1015&gt;=判定条件!$C$7*K1015,"運転",IF(L1015&lt;=判定条件!$C$8*K1015,"停止","断続")))</f>
        <v>停止</v>
      </c>
      <c r="N1015" s="30" t="n">
        <v>60</v>
      </c>
      <c r="O1015" s="30" t="n">
        <v>0</v>
      </c>
      <c r="P1015" s="30" t="str">
        <f aca="false">IF(N1015&lt;判定条件!$C$6,"判定不能",IF(O1015&gt;=判定条件!$C$7*N1015,"運転",IF(O1015&lt;=判定条件!$C$8*N1015,"停止","断続")))</f>
        <v>停止</v>
      </c>
      <c r="Q1015" s="30" t="n">
        <v>60</v>
      </c>
      <c r="R1015" s="30" t="n">
        <v>0</v>
      </c>
      <c r="S1015" s="30" t="str">
        <f aca="false">IF(Q1015&lt;判定条件!$C$6,"判定不能",IF(R1015&gt;=判定条件!$C$7*Q1015,"運転",IF(R1015&lt;=判定条件!$C$8*Q1015,"停止","断続")))</f>
        <v>停止</v>
      </c>
      <c r="T1015" s="30" t="n">
        <v>60</v>
      </c>
      <c r="U1015" s="30" t="n">
        <v>0</v>
      </c>
      <c r="V1015" s="30" t="str">
        <f aca="false">IF(T1015&lt;判定条件!$C$6,"判定不能",IF(U1015&gt;=判定条件!$C$7*T1015,"運転",IF(U1015&lt;=判定条件!$C$8*T1015,"停止","断続")))</f>
        <v>停止</v>
      </c>
      <c r="W1015" s="30" t="n">
        <v>60</v>
      </c>
      <c r="X1015" s="30" t="n">
        <v>0</v>
      </c>
      <c r="Y1015" s="30" t="str">
        <f aca="false">IF(W1015&lt;判定条件!$C$6,"判定不能",IF(X1015&gt;=判定条件!$C$7*W1015,"運転",IF(X1015&lt;=判定条件!$C$8*W1015,"停止","断続")))</f>
        <v>停止</v>
      </c>
      <c r="Z1015" s="30" t="n">
        <v>60</v>
      </c>
      <c r="AA1015" s="30" t="n">
        <v>0</v>
      </c>
      <c r="AB1015" s="30" t="str">
        <f aca="false">IF(Z1015&lt;判定条件!$C$6,"判定不能",IF(AA1015&gt;=判定条件!$C$7*Z1015,"運転",IF(AA1015&lt;=判定条件!$C$8*Z1015,"停止","断続")))</f>
        <v>停止</v>
      </c>
      <c r="AC1015" s="30" t="n">
        <v>60</v>
      </c>
      <c r="AD1015" s="30" t="n">
        <v>0</v>
      </c>
      <c r="AE1015" s="30" t="str">
        <f aca="false">IF(AC1015&lt;判定条件!$C$6,"判定不能",IF(AD1015&gt;=判定条件!$C$7*AC1015,"運転",IF(AD1015&lt;=判定条件!$C$8*AC1015,"停止","断続")))</f>
        <v>停止</v>
      </c>
      <c r="AF1015" s="30" t="n">
        <v>60</v>
      </c>
      <c r="AG1015" s="30" t="n">
        <v>0</v>
      </c>
      <c r="AH1015" s="30" t="str">
        <f aca="false">IF(OR(P1015="判定不能",G1015="判定不能"),"判定不能",IF(AG1015&gt;=判定条件!$C$9,"利用可",IF(AND(P1015="停止",G1015="停止"),"両方停止","運転がそろわない")))</f>
        <v>両方停止</v>
      </c>
      <c r="AI1015" s="30" t="n">
        <v>60</v>
      </c>
      <c r="AJ1015" s="30" t="n">
        <v>0</v>
      </c>
      <c r="AK1015" s="30" t="str">
        <f aca="false">IF(OR(S1015="判定不能",J1015="判定不能"),"判定不能",IF(AJ1015&gt;=判定条件!$C$9,"利用可",IF(AND(S1015="停止",J1015="停止"),"両方停止","運転がそろわない")))</f>
        <v>両方停止</v>
      </c>
      <c r="AL1015" s="30" t="n">
        <v>60</v>
      </c>
      <c r="AM1015" s="30" t="n">
        <v>0</v>
      </c>
      <c r="AN1015" s="30" t="str">
        <f aca="false">IF(OR(V1015="判定不能",M1015="判定不能"),"判定不能",IF(AM1015&gt;=判定条件!$C$9,"利用可",IF(AND(V1015="停止",M1015="停止"),"両方停止","運転がそろわない")))</f>
        <v>両方停止</v>
      </c>
      <c r="AO1015" s="30" t="n">
        <v>60</v>
      </c>
      <c r="AP1015" s="30" t="n">
        <v>0</v>
      </c>
      <c r="AQ1015" s="30" t="str">
        <f aca="false">IF(OR(Y1015="判定不能",G1015="判定不能"),"判定不能",IF(AP1015&gt;=判定条件!$C$9,"利用可",IF(AND(Y1015="停止",G1015="停止"),"両方停止","運転がそろわない")))</f>
        <v>両方停止</v>
      </c>
      <c r="AR1015" s="30" t="n">
        <v>60</v>
      </c>
      <c r="AS1015" s="30" t="n">
        <v>0</v>
      </c>
      <c r="AT1015" s="30" t="str">
        <f aca="false">IF(OR(AB1015="判定不能",J1015="判定不能"),"判定不能",IF(AS1015&gt;=判定条件!$C$9,"利用可",IF(AND(AB1015="停止",J1015="停止"),"両方停止","運転がそろわない")))</f>
        <v>両方停止</v>
      </c>
      <c r="AU1015" s="30" t="n">
        <v>60</v>
      </c>
      <c r="AV1015" s="30" t="n">
        <v>0</v>
      </c>
      <c r="AW1015" s="30" t="str">
        <f aca="false">IF(OR(AE1015="判定不能",M1015="判定不能"),"判定不能",IF(AV1015&gt;=判定条件!$C$9,"利用可",IF(AND(AE1015="停止",M1015="停止"),"両方停止","運転がそろわない")))</f>
        <v>両方停止</v>
      </c>
      <c r="AX1015" s="30" t="str">
        <f aca="false">IF(AND(AH1015="利用可",AK1015="利用可",AN1015="利用可"),"利用可","不可")</f>
        <v>不可</v>
      </c>
      <c r="AY1015" s="30" t="str">
        <f aca="false">IF(AND(AQ1015="利用可",AT1015="利用可",AW1015="利用可"),"利用可","不可")</f>
        <v>不可</v>
      </c>
    </row>
    <row r="1016" customFormat="false" ht="15" hidden="false" customHeight="false" outlineLevel="0" collapsed="false">
      <c r="A1016" s="29" t="n">
        <v>46274</v>
      </c>
      <c r="B1016" s="30" t="n">
        <v>5</v>
      </c>
      <c r="C1016" s="31" t="s">
        <v>58</v>
      </c>
      <c r="D1016" s="31" t="s">
        <v>59</v>
      </c>
      <c r="E1016" s="30" t="n">
        <v>60</v>
      </c>
      <c r="F1016" s="30" t="n">
        <v>0</v>
      </c>
      <c r="G1016" s="30" t="str">
        <f aca="false">IF(E1016&lt;判定条件!$C$6,"判定不能",IF(F1016&gt;=判定条件!$C$7*E1016,"運転",IF(F1016&lt;=判定条件!$C$8*E1016,"停止","断続")))</f>
        <v>停止</v>
      </c>
      <c r="H1016" s="30" t="n">
        <v>60</v>
      </c>
      <c r="I1016" s="30" t="n">
        <v>0</v>
      </c>
      <c r="J1016" s="30" t="str">
        <f aca="false">IF(H1016&lt;判定条件!$C$6,"判定不能",IF(I1016&gt;=判定条件!$C$7*H1016,"運転",IF(I1016&lt;=判定条件!$C$8*H1016,"停止","断続")))</f>
        <v>停止</v>
      </c>
      <c r="K1016" s="30" t="n">
        <v>60</v>
      </c>
      <c r="L1016" s="30" t="n">
        <v>0</v>
      </c>
      <c r="M1016" s="30" t="str">
        <f aca="false">IF(K1016&lt;判定条件!$C$6,"判定不能",IF(L1016&gt;=判定条件!$C$7*K1016,"運転",IF(L1016&lt;=判定条件!$C$8*K1016,"停止","断続")))</f>
        <v>停止</v>
      </c>
      <c r="N1016" s="30" t="n">
        <v>60</v>
      </c>
      <c r="O1016" s="30" t="n">
        <v>0</v>
      </c>
      <c r="P1016" s="30" t="str">
        <f aca="false">IF(N1016&lt;判定条件!$C$6,"判定不能",IF(O1016&gt;=判定条件!$C$7*N1016,"運転",IF(O1016&lt;=判定条件!$C$8*N1016,"停止","断続")))</f>
        <v>停止</v>
      </c>
      <c r="Q1016" s="30" t="n">
        <v>60</v>
      </c>
      <c r="R1016" s="30" t="n">
        <v>0</v>
      </c>
      <c r="S1016" s="30" t="str">
        <f aca="false">IF(Q1016&lt;判定条件!$C$6,"判定不能",IF(R1016&gt;=判定条件!$C$7*Q1016,"運転",IF(R1016&lt;=判定条件!$C$8*Q1016,"停止","断続")))</f>
        <v>停止</v>
      </c>
      <c r="T1016" s="30" t="n">
        <v>60</v>
      </c>
      <c r="U1016" s="30" t="n">
        <v>0</v>
      </c>
      <c r="V1016" s="30" t="str">
        <f aca="false">IF(T1016&lt;判定条件!$C$6,"判定不能",IF(U1016&gt;=判定条件!$C$7*T1016,"運転",IF(U1016&lt;=判定条件!$C$8*T1016,"停止","断続")))</f>
        <v>停止</v>
      </c>
      <c r="W1016" s="30" t="n">
        <v>60</v>
      </c>
      <c r="X1016" s="30" t="n">
        <v>0</v>
      </c>
      <c r="Y1016" s="30" t="str">
        <f aca="false">IF(W1016&lt;判定条件!$C$6,"判定不能",IF(X1016&gt;=判定条件!$C$7*W1016,"運転",IF(X1016&lt;=判定条件!$C$8*W1016,"停止","断続")))</f>
        <v>停止</v>
      </c>
      <c r="Z1016" s="30" t="n">
        <v>60</v>
      </c>
      <c r="AA1016" s="30" t="n">
        <v>0</v>
      </c>
      <c r="AB1016" s="30" t="str">
        <f aca="false">IF(Z1016&lt;判定条件!$C$6,"判定不能",IF(AA1016&gt;=判定条件!$C$7*Z1016,"運転",IF(AA1016&lt;=判定条件!$C$8*Z1016,"停止","断続")))</f>
        <v>停止</v>
      </c>
      <c r="AC1016" s="30" t="n">
        <v>60</v>
      </c>
      <c r="AD1016" s="30" t="n">
        <v>0</v>
      </c>
      <c r="AE1016" s="30" t="str">
        <f aca="false">IF(AC1016&lt;判定条件!$C$6,"判定不能",IF(AD1016&gt;=判定条件!$C$7*AC1016,"運転",IF(AD1016&lt;=判定条件!$C$8*AC1016,"停止","断続")))</f>
        <v>停止</v>
      </c>
      <c r="AF1016" s="30" t="n">
        <v>60</v>
      </c>
      <c r="AG1016" s="30" t="n">
        <v>0</v>
      </c>
      <c r="AH1016" s="30" t="str">
        <f aca="false">IF(OR(P1016="判定不能",G1016="判定不能"),"判定不能",IF(AG1016&gt;=判定条件!$C$9,"利用可",IF(AND(P1016="停止",G1016="停止"),"両方停止","運転がそろわない")))</f>
        <v>両方停止</v>
      </c>
      <c r="AI1016" s="30" t="n">
        <v>60</v>
      </c>
      <c r="AJ1016" s="30" t="n">
        <v>0</v>
      </c>
      <c r="AK1016" s="30" t="str">
        <f aca="false">IF(OR(S1016="判定不能",J1016="判定不能"),"判定不能",IF(AJ1016&gt;=判定条件!$C$9,"利用可",IF(AND(S1016="停止",J1016="停止"),"両方停止","運転がそろわない")))</f>
        <v>両方停止</v>
      </c>
      <c r="AL1016" s="30" t="n">
        <v>60</v>
      </c>
      <c r="AM1016" s="30" t="n">
        <v>0</v>
      </c>
      <c r="AN1016" s="30" t="str">
        <f aca="false">IF(OR(V1016="判定不能",M1016="判定不能"),"判定不能",IF(AM1016&gt;=判定条件!$C$9,"利用可",IF(AND(V1016="停止",M1016="停止"),"両方停止","運転がそろわない")))</f>
        <v>両方停止</v>
      </c>
      <c r="AO1016" s="30" t="n">
        <v>60</v>
      </c>
      <c r="AP1016" s="30" t="n">
        <v>0</v>
      </c>
      <c r="AQ1016" s="30" t="str">
        <f aca="false">IF(OR(Y1016="判定不能",G1016="判定不能"),"判定不能",IF(AP1016&gt;=判定条件!$C$9,"利用可",IF(AND(Y1016="停止",G1016="停止"),"両方停止","運転がそろわない")))</f>
        <v>両方停止</v>
      </c>
      <c r="AR1016" s="30" t="n">
        <v>60</v>
      </c>
      <c r="AS1016" s="30" t="n">
        <v>0</v>
      </c>
      <c r="AT1016" s="30" t="str">
        <f aca="false">IF(OR(AB1016="判定不能",J1016="判定不能"),"判定不能",IF(AS1016&gt;=判定条件!$C$9,"利用可",IF(AND(AB1016="停止",J1016="停止"),"両方停止","運転がそろわない")))</f>
        <v>両方停止</v>
      </c>
      <c r="AU1016" s="30" t="n">
        <v>60</v>
      </c>
      <c r="AV1016" s="30" t="n">
        <v>0</v>
      </c>
      <c r="AW1016" s="30" t="str">
        <f aca="false">IF(OR(AE1016="判定不能",M1016="判定不能"),"判定不能",IF(AV1016&gt;=判定条件!$C$9,"利用可",IF(AND(AE1016="停止",M1016="停止"),"両方停止","運転がそろわない")))</f>
        <v>両方停止</v>
      </c>
      <c r="AX1016" s="30" t="str">
        <f aca="false">IF(AND(AH1016="利用可",AK1016="利用可",AN1016="利用可"),"利用可","不可")</f>
        <v>不可</v>
      </c>
      <c r="AY1016" s="30" t="str">
        <f aca="false">IF(AND(AQ1016="利用可",AT1016="利用可",AW1016="利用可"),"利用可","不可")</f>
        <v>不可</v>
      </c>
    </row>
    <row r="1017" customFormat="false" ht="15" hidden="false" customHeight="false" outlineLevel="0" collapsed="false">
      <c r="A1017" s="29" t="n">
        <v>46274</v>
      </c>
      <c r="B1017" s="30" t="n">
        <v>6</v>
      </c>
      <c r="C1017" s="31" t="s">
        <v>58</v>
      </c>
      <c r="D1017" s="31" t="s">
        <v>59</v>
      </c>
      <c r="E1017" s="30" t="n">
        <v>60</v>
      </c>
      <c r="F1017" s="30" t="n">
        <v>0</v>
      </c>
      <c r="G1017" s="30" t="str">
        <f aca="false">IF(E1017&lt;判定条件!$C$6,"判定不能",IF(F1017&gt;=判定条件!$C$7*E1017,"運転",IF(F1017&lt;=判定条件!$C$8*E1017,"停止","断続")))</f>
        <v>停止</v>
      </c>
      <c r="H1017" s="30" t="n">
        <v>60</v>
      </c>
      <c r="I1017" s="30" t="n">
        <v>0</v>
      </c>
      <c r="J1017" s="30" t="str">
        <f aca="false">IF(H1017&lt;判定条件!$C$6,"判定不能",IF(I1017&gt;=判定条件!$C$7*H1017,"運転",IF(I1017&lt;=判定条件!$C$8*H1017,"停止","断続")))</f>
        <v>停止</v>
      </c>
      <c r="K1017" s="30" t="n">
        <v>60</v>
      </c>
      <c r="L1017" s="30" t="n">
        <v>0</v>
      </c>
      <c r="M1017" s="30" t="str">
        <f aca="false">IF(K1017&lt;判定条件!$C$6,"判定不能",IF(L1017&gt;=判定条件!$C$7*K1017,"運転",IF(L1017&lt;=判定条件!$C$8*K1017,"停止","断続")))</f>
        <v>停止</v>
      </c>
      <c r="N1017" s="30" t="n">
        <v>60</v>
      </c>
      <c r="O1017" s="30" t="n">
        <v>11</v>
      </c>
      <c r="P1017" s="30" t="str">
        <f aca="false">IF(N1017&lt;判定条件!$C$6,"判定不能",IF(O1017&gt;=判定条件!$C$7*N1017,"運転",IF(O1017&lt;=判定条件!$C$8*N1017,"停止","断続")))</f>
        <v>停止</v>
      </c>
      <c r="Q1017" s="30" t="n">
        <v>60</v>
      </c>
      <c r="R1017" s="30" t="n">
        <v>17</v>
      </c>
      <c r="S1017" s="30" t="str">
        <f aca="false">IF(Q1017&lt;判定条件!$C$6,"判定不能",IF(R1017&gt;=判定条件!$C$7*Q1017,"運転",IF(R1017&lt;=判定条件!$C$8*Q1017,"停止","断続")))</f>
        <v>断続</v>
      </c>
      <c r="T1017" s="30" t="n">
        <v>60</v>
      </c>
      <c r="U1017" s="30" t="n">
        <v>0</v>
      </c>
      <c r="V1017" s="30" t="str">
        <f aca="false">IF(T1017&lt;判定条件!$C$6,"判定不能",IF(U1017&gt;=判定条件!$C$7*T1017,"運転",IF(U1017&lt;=判定条件!$C$8*T1017,"停止","断続")))</f>
        <v>停止</v>
      </c>
      <c r="W1017" s="30" t="n">
        <v>60</v>
      </c>
      <c r="X1017" s="30" t="n">
        <v>37</v>
      </c>
      <c r="Y1017" s="30" t="str">
        <f aca="false">IF(W1017&lt;判定条件!$C$6,"判定不能",IF(X1017&gt;=判定条件!$C$7*W1017,"運転",IF(X1017&lt;=判定条件!$C$8*W1017,"停止","断続")))</f>
        <v>断続</v>
      </c>
      <c r="Z1017" s="30" t="n">
        <v>60</v>
      </c>
      <c r="AA1017" s="30" t="n">
        <v>19</v>
      </c>
      <c r="AB1017" s="30" t="str">
        <f aca="false">IF(Z1017&lt;判定条件!$C$6,"判定不能",IF(AA1017&gt;=判定条件!$C$7*Z1017,"運転",IF(AA1017&lt;=判定条件!$C$8*Z1017,"停止","断続")))</f>
        <v>断続</v>
      </c>
      <c r="AC1017" s="30" t="n">
        <v>60</v>
      </c>
      <c r="AD1017" s="30" t="n">
        <v>34</v>
      </c>
      <c r="AE1017" s="30" t="str">
        <f aca="false">IF(AC1017&lt;判定条件!$C$6,"判定不能",IF(AD1017&gt;=判定条件!$C$7*AC1017,"運転",IF(AD1017&lt;=判定条件!$C$8*AC1017,"停止","断続")))</f>
        <v>断続</v>
      </c>
      <c r="AF1017" s="30" t="n">
        <v>60</v>
      </c>
      <c r="AG1017" s="30" t="n">
        <v>0</v>
      </c>
      <c r="AH1017" s="30" t="str">
        <f aca="false">IF(OR(P1017="判定不能",G1017="判定不能"),"判定不能",IF(AG1017&gt;=判定条件!$C$9,"利用可",IF(AND(P1017="停止",G1017="停止"),"両方停止","運転がそろわない")))</f>
        <v>両方停止</v>
      </c>
      <c r="AI1017" s="30" t="n">
        <v>60</v>
      </c>
      <c r="AJ1017" s="30" t="n">
        <v>0</v>
      </c>
      <c r="AK1017" s="30" t="str">
        <f aca="false">IF(OR(S1017="判定不能",J1017="判定不能"),"判定不能",IF(AJ1017&gt;=判定条件!$C$9,"利用可",IF(AND(S1017="停止",J1017="停止"),"両方停止","運転がそろわない")))</f>
        <v>運転がそろわない</v>
      </c>
      <c r="AL1017" s="30" t="n">
        <v>60</v>
      </c>
      <c r="AM1017" s="30" t="n">
        <v>0</v>
      </c>
      <c r="AN1017" s="30" t="str">
        <f aca="false">IF(OR(V1017="判定不能",M1017="判定不能"),"判定不能",IF(AM1017&gt;=判定条件!$C$9,"利用可",IF(AND(V1017="停止",M1017="停止"),"両方停止","運転がそろわない")))</f>
        <v>両方停止</v>
      </c>
      <c r="AO1017" s="30" t="n">
        <v>60</v>
      </c>
      <c r="AP1017" s="30" t="n">
        <v>0</v>
      </c>
      <c r="AQ1017" s="30" t="str">
        <f aca="false">IF(OR(Y1017="判定不能",G1017="判定不能"),"判定不能",IF(AP1017&gt;=判定条件!$C$9,"利用可",IF(AND(Y1017="停止",G1017="停止"),"両方停止","運転がそろわない")))</f>
        <v>運転がそろわない</v>
      </c>
      <c r="AR1017" s="30" t="n">
        <v>60</v>
      </c>
      <c r="AS1017" s="30" t="n">
        <v>0</v>
      </c>
      <c r="AT1017" s="30" t="str">
        <f aca="false">IF(OR(AB1017="判定不能",J1017="判定不能"),"判定不能",IF(AS1017&gt;=判定条件!$C$9,"利用可",IF(AND(AB1017="停止",J1017="停止"),"両方停止","運転がそろわない")))</f>
        <v>運転がそろわない</v>
      </c>
      <c r="AU1017" s="30" t="n">
        <v>60</v>
      </c>
      <c r="AV1017" s="30" t="n">
        <v>0</v>
      </c>
      <c r="AW1017" s="30" t="str">
        <f aca="false">IF(OR(AE1017="判定不能",M1017="判定不能"),"判定不能",IF(AV1017&gt;=判定条件!$C$9,"利用可",IF(AND(AE1017="停止",M1017="停止"),"両方停止","運転がそろわない")))</f>
        <v>運転がそろわない</v>
      </c>
      <c r="AX1017" s="30" t="str">
        <f aca="false">IF(AND(AH1017="利用可",AK1017="利用可",AN1017="利用可"),"利用可","不可")</f>
        <v>不可</v>
      </c>
      <c r="AY1017" s="30" t="str">
        <f aca="false">IF(AND(AQ1017="利用可",AT1017="利用可",AW1017="利用可"),"利用可","不可")</f>
        <v>不可</v>
      </c>
    </row>
    <row r="1018" customFormat="false" ht="15" hidden="false" customHeight="false" outlineLevel="0" collapsed="false">
      <c r="A1018" s="29" t="n">
        <v>46274</v>
      </c>
      <c r="B1018" s="30" t="n">
        <v>7</v>
      </c>
      <c r="C1018" s="31" t="s">
        <v>58</v>
      </c>
      <c r="D1018" s="31" t="s">
        <v>59</v>
      </c>
      <c r="E1018" s="30" t="n">
        <v>60</v>
      </c>
      <c r="F1018" s="30" t="n">
        <v>11</v>
      </c>
      <c r="G1018" s="30" t="str">
        <f aca="false">IF(E1018&lt;判定条件!$C$6,"判定不能",IF(F1018&gt;=判定条件!$C$7*E1018,"運転",IF(F1018&lt;=判定条件!$C$8*E1018,"停止","断続")))</f>
        <v>停止</v>
      </c>
      <c r="H1018" s="30" t="n">
        <v>60</v>
      </c>
      <c r="I1018" s="30" t="n">
        <v>0</v>
      </c>
      <c r="J1018" s="30" t="str">
        <f aca="false">IF(H1018&lt;判定条件!$C$6,"判定不能",IF(I1018&gt;=判定条件!$C$7*H1018,"運転",IF(I1018&lt;=判定条件!$C$8*H1018,"停止","断続")))</f>
        <v>停止</v>
      </c>
      <c r="K1018" s="30" t="n">
        <v>60</v>
      </c>
      <c r="L1018" s="30" t="n">
        <v>0</v>
      </c>
      <c r="M1018" s="30" t="str">
        <f aca="false">IF(K1018&lt;判定条件!$C$6,"判定不能",IF(L1018&gt;=判定条件!$C$7*K1018,"運転",IF(L1018&lt;=判定条件!$C$8*K1018,"停止","断続")))</f>
        <v>停止</v>
      </c>
      <c r="N1018" s="30" t="n">
        <v>60</v>
      </c>
      <c r="O1018" s="30" t="n">
        <v>55</v>
      </c>
      <c r="P1018" s="30" t="str">
        <f aca="false">IF(N1018&lt;判定条件!$C$6,"判定不能",IF(O1018&gt;=判定条件!$C$7*N1018,"運転",IF(O1018&lt;=判定条件!$C$8*N1018,"停止","断続")))</f>
        <v>運転</v>
      </c>
      <c r="Q1018" s="30" t="n">
        <v>60</v>
      </c>
      <c r="R1018" s="30" t="n">
        <v>60</v>
      </c>
      <c r="S1018" s="30" t="str">
        <f aca="false">IF(Q1018&lt;判定条件!$C$6,"判定不能",IF(R1018&gt;=判定条件!$C$7*Q1018,"運転",IF(R1018&lt;=判定条件!$C$8*Q1018,"停止","断続")))</f>
        <v>運転</v>
      </c>
      <c r="T1018" s="30" t="n">
        <v>60</v>
      </c>
      <c r="U1018" s="30" t="n">
        <v>22</v>
      </c>
      <c r="V1018" s="30" t="str">
        <f aca="false">IF(T1018&lt;判定条件!$C$6,"判定不能",IF(U1018&gt;=判定条件!$C$7*T1018,"運転",IF(U1018&lt;=判定条件!$C$8*T1018,"停止","断続")))</f>
        <v>断続</v>
      </c>
      <c r="W1018" s="30" t="n">
        <v>60</v>
      </c>
      <c r="X1018" s="30" t="n">
        <v>27</v>
      </c>
      <c r="Y1018" s="30" t="str">
        <f aca="false">IF(W1018&lt;判定条件!$C$6,"判定不能",IF(X1018&gt;=判定条件!$C$7*W1018,"運転",IF(X1018&lt;=判定条件!$C$8*W1018,"停止","断続")))</f>
        <v>断続</v>
      </c>
      <c r="Z1018" s="30" t="n">
        <v>60</v>
      </c>
      <c r="AA1018" s="30" t="n">
        <v>46</v>
      </c>
      <c r="AB1018" s="30" t="str">
        <f aca="false">IF(Z1018&lt;判定条件!$C$6,"判定不能",IF(AA1018&gt;=判定条件!$C$7*Z1018,"運転",IF(AA1018&lt;=判定条件!$C$8*Z1018,"停止","断続")))</f>
        <v>断続</v>
      </c>
      <c r="AC1018" s="30" t="n">
        <v>60</v>
      </c>
      <c r="AD1018" s="30" t="n">
        <v>60</v>
      </c>
      <c r="AE1018" s="30" t="str">
        <f aca="false">IF(AC1018&lt;判定条件!$C$6,"判定不能",IF(AD1018&gt;=判定条件!$C$7*AC1018,"運転",IF(AD1018&lt;=判定条件!$C$8*AC1018,"停止","断続")))</f>
        <v>運転</v>
      </c>
      <c r="AF1018" s="30" t="n">
        <v>60</v>
      </c>
      <c r="AG1018" s="30" t="n">
        <v>11</v>
      </c>
      <c r="AH1018" s="30" t="str">
        <f aca="false">IF(OR(P1018="判定不能",G1018="判定不能"),"判定不能",IF(AG1018&gt;=判定条件!$C$9,"利用可",IF(AND(P1018="停止",G1018="停止"),"両方停止","運転がそろわない")))</f>
        <v>運転がそろわない</v>
      </c>
      <c r="AI1018" s="30" t="n">
        <v>60</v>
      </c>
      <c r="AJ1018" s="30" t="n">
        <v>0</v>
      </c>
      <c r="AK1018" s="30" t="str">
        <f aca="false">IF(OR(S1018="判定不能",J1018="判定不能"),"判定不能",IF(AJ1018&gt;=判定条件!$C$9,"利用可",IF(AND(S1018="停止",J1018="停止"),"両方停止","運転がそろわない")))</f>
        <v>運転がそろわない</v>
      </c>
      <c r="AL1018" s="30" t="n">
        <v>60</v>
      </c>
      <c r="AM1018" s="30" t="n">
        <v>0</v>
      </c>
      <c r="AN1018" s="30" t="str">
        <f aca="false">IF(OR(V1018="判定不能",M1018="判定不能"),"判定不能",IF(AM1018&gt;=判定条件!$C$9,"利用可",IF(AND(V1018="停止",M1018="停止"),"両方停止","運転がそろわない")))</f>
        <v>運転がそろわない</v>
      </c>
      <c r="AO1018" s="30" t="n">
        <v>60</v>
      </c>
      <c r="AP1018" s="30" t="n">
        <v>11</v>
      </c>
      <c r="AQ1018" s="30" t="str">
        <f aca="false">IF(OR(Y1018="判定不能",G1018="判定不能"),"判定不能",IF(AP1018&gt;=判定条件!$C$9,"利用可",IF(AND(Y1018="停止",G1018="停止"),"両方停止","運転がそろわない")))</f>
        <v>運転がそろわない</v>
      </c>
      <c r="AR1018" s="30" t="n">
        <v>60</v>
      </c>
      <c r="AS1018" s="30" t="n">
        <v>0</v>
      </c>
      <c r="AT1018" s="30" t="str">
        <f aca="false">IF(OR(AB1018="判定不能",J1018="判定不能"),"判定不能",IF(AS1018&gt;=判定条件!$C$9,"利用可",IF(AND(AB1018="停止",J1018="停止"),"両方停止","運転がそろわない")))</f>
        <v>運転がそろわない</v>
      </c>
      <c r="AU1018" s="30" t="n">
        <v>60</v>
      </c>
      <c r="AV1018" s="30" t="n">
        <v>0</v>
      </c>
      <c r="AW1018" s="30" t="str">
        <f aca="false">IF(OR(AE1018="判定不能",M1018="判定不能"),"判定不能",IF(AV1018&gt;=判定条件!$C$9,"利用可",IF(AND(AE1018="停止",M1018="停止"),"両方停止","運転がそろわない")))</f>
        <v>運転がそろわない</v>
      </c>
      <c r="AX1018" s="30" t="str">
        <f aca="false">IF(AND(AH1018="利用可",AK1018="利用可",AN1018="利用可"),"利用可","不可")</f>
        <v>不可</v>
      </c>
      <c r="AY1018" s="30" t="str">
        <f aca="false">IF(AND(AQ1018="利用可",AT1018="利用可",AW1018="利用可"),"利用可","不可")</f>
        <v>不可</v>
      </c>
    </row>
    <row r="1019" customFormat="false" ht="15" hidden="false" customHeight="false" outlineLevel="0" collapsed="false">
      <c r="A1019" s="29" t="n">
        <v>46274</v>
      </c>
      <c r="B1019" s="30" t="n">
        <v>8</v>
      </c>
      <c r="C1019" s="31" t="s">
        <v>58</v>
      </c>
      <c r="D1019" s="31" t="s">
        <v>59</v>
      </c>
      <c r="E1019" s="30" t="n">
        <v>60</v>
      </c>
      <c r="F1019" s="30" t="n">
        <v>60</v>
      </c>
      <c r="G1019" s="30" t="str">
        <f aca="false">IF(E1019&lt;判定条件!$C$6,"判定不能",IF(F1019&gt;=判定条件!$C$7*E1019,"運転",IF(F1019&lt;=判定条件!$C$8*E1019,"停止","断続")))</f>
        <v>運転</v>
      </c>
      <c r="H1019" s="30" t="n">
        <v>60</v>
      </c>
      <c r="I1019" s="30" t="n">
        <v>30</v>
      </c>
      <c r="J1019" s="30" t="str">
        <f aca="false">IF(H1019&lt;判定条件!$C$6,"判定不能",IF(I1019&gt;=判定条件!$C$7*H1019,"運転",IF(I1019&lt;=判定条件!$C$8*H1019,"停止","断続")))</f>
        <v>断続</v>
      </c>
      <c r="K1019" s="30" t="n">
        <v>60</v>
      </c>
      <c r="L1019" s="30" t="n">
        <v>38</v>
      </c>
      <c r="M1019" s="30" t="str">
        <f aca="false">IF(K1019&lt;判定条件!$C$6,"判定不能",IF(L1019&gt;=判定条件!$C$7*K1019,"運転",IF(L1019&lt;=判定条件!$C$8*K1019,"停止","断続")))</f>
        <v>断続</v>
      </c>
      <c r="N1019" s="30" t="n">
        <v>60</v>
      </c>
      <c r="O1019" s="30" t="n">
        <v>53</v>
      </c>
      <c r="P1019" s="30" t="str">
        <f aca="false">IF(N1019&lt;判定条件!$C$6,"判定不能",IF(O1019&gt;=判定条件!$C$7*N1019,"運転",IF(O1019&lt;=判定条件!$C$8*N1019,"停止","断続")))</f>
        <v>運転</v>
      </c>
      <c r="Q1019" s="30" t="n">
        <v>60</v>
      </c>
      <c r="R1019" s="30" t="n">
        <v>52</v>
      </c>
      <c r="S1019" s="30" t="str">
        <f aca="false">IF(Q1019&lt;判定条件!$C$6,"判定不能",IF(R1019&gt;=判定条件!$C$7*Q1019,"運転",IF(R1019&lt;=判定条件!$C$8*Q1019,"停止","断続")))</f>
        <v>運転</v>
      </c>
      <c r="T1019" s="30" t="n">
        <v>60</v>
      </c>
      <c r="U1019" s="30" t="n">
        <v>59</v>
      </c>
      <c r="V1019" s="30" t="str">
        <f aca="false">IF(T1019&lt;判定条件!$C$6,"判定不能",IF(U1019&gt;=判定条件!$C$7*T1019,"運転",IF(U1019&lt;=判定条件!$C$8*T1019,"停止","断続")))</f>
        <v>運転</v>
      </c>
      <c r="W1019" s="30" t="n">
        <v>60</v>
      </c>
      <c r="X1019" s="30" t="n">
        <v>40</v>
      </c>
      <c r="Y1019" s="30" t="str">
        <f aca="false">IF(W1019&lt;判定条件!$C$6,"判定不能",IF(X1019&gt;=判定条件!$C$7*W1019,"運転",IF(X1019&lt;=判定条件!$C$8*W1019,"停止","断続")))</f>
        <v>断続</v>
      </c>
      <c r="Z1019" s="30" t="n">
        <v>60</v>
      </c>
      <c r="AA1019" s="30" t="n">
        <v>55</v>
      </c>
      <c r="AB1019" s="30" t="str">
        <f aca="false">IF(Z1019&lt;判定条件!$C$6,"判定不能",IF(AA1019&gt;=判定条件!$C$7*Z1019,"運転",IF(AA1019&lt;=判定条件!$C$8*Z1019,"停止","断続")))</f>
        <v>運転</v>
      </c>
      <c r="AC1019" s="30" t="n">
        <v>60</v>
      </c>
      <c r="AD1019" s="30" t="n">
        <v>45</v>
      </c>
      <c r="AE1019" s="30" t="str">
        <f aca="false">IF(AC1019&lt;判定条件!$C$6,"判定不能",IF(AD1019&gt;=判定条件!$C$7*AC1019,"運転",IF(AD1019&lt;=判定条件!$C$8*AC1019,"停止","断続")))</f>
        <v>断続</v>
      </c>
      <c r="AF1019" s="30" t="n">
        <v>60</v>
      </c>
      <c r="AG1019" s="30" t="n">
        <v>53</v>
      </c>
      <c r="AH1019" s="30" t="str">
        <f aca="false">IF(OR(P1019="判定不能",G1019="判定不能"),"判定不能",IF(AG1019&gt;=判定条件!$C$9,"利用可",IF(AND(P1019="停止",G1019="停止"),"両方停止","運転がそろわない")))</f>
        <v>利用可</v>
      </c>
      <c r="AI1019" s="30" t="n">
        <v>60</v>
      </c>
      <c r="AJ1019" s="30" t="n">
        <v>22</v>
      </c>
      <c r="AK1019" s="30" t="str">
        <f aca="false">IF(OR(S1019="判定不能",J1019="判定不能"),"判定不能",IF(AJ1019&gt;=判定条件!$C$9,"利用可",IF(AND(S1019="停止",J1019="停止"),"両方停止","運転がそろわない")))</f>
        <v>運転がそろわない</v>
      </c>
      <c r="AL1019" s="30" t="n">
        <v>60</v>
      </c>
      <c r="AM1019" s="30" t="n">
        <v>38</v>
      </c>
      <c r="AN1019" s="30" t="str">
        <f aca="false">IF(OR(V1019="判定不能",M1019="判定不能"),"判定不能",IF(AM1019&gt;=判定条件!$C$9,"利用可",IF(AND(V1019="停止",M1019="停止"),"両方停止","運転がそろわない")))</f>
        <v>利用可</v>
      </c>
      <c r="AO1019" s="30" t="n">
        <v>60</v>
      </c>
      <c r="AP1019" s="30" t="n">
        <v>40</v>
      </c>
      <c r="AQ1019" s="30" t="str">
        <f aca="false">IF(OR(Y1019="判定不能",G1019="判定不能"),"判定不能",IF(AP1019&gt;=判定条件!$C$9,"利用可",IF(AND(Y1019="停止",G1019="停止"),"両方停止","運転がそろわない")))</f>
        <v>利用可</v>
      </c>
      <c r="AR1019" s="30" t="n">
        <v>60</v>
      </c>
      <c r="AS1019" s="30" t="n">
        <v>25</v>
      </c>
      <c r="AT1019" s="30" t="str">
        <f aca="false">IF(OR(AB1019="判定不能",J1019="判定不能"),"判定不能",IF(AS1019&gt;=判定条件!$C$9,"利用可",IF(AND(AB1019="停止",J1019="停止"),"両方停止","運転がそろわない")))</f>
        <v>運転がそろわない</v>
      </c>
      <c r="AU1019" s="30" t="n">
        <v>60</v>
      </c>
      <c r="AV1019" s="30" t="n">
        <v>36</v>
      </c>
      <c r="AW1019" s="30" t="str">
        <f aca="false">IF(OR(AE1019="判定不能",M1019="判定不能"),"判定不能",IF(AV1019&gt;=判定条件!$C$9,"利用可",IF(AND(AE1019="停止",M1019="停止"),"両方停止","運転がそろわない")))</f>
        <v>利用可</v>
      </c>
      <c r="AX1019" s="30" t="str">
        <f aca="false">IF(AND(AH1019="利用可",AK1019="利用可",AN1019="利用可"),"利用可","不可")</f>
        <v>不可</v>
      </c>
      <c r="AY1019" s="30" t="str">
        <f aca="false">IF(AND(AQ1019="利用可",AT1019="利用可",AW1019="利用可"),"利用可","不可")</f>
        <v>不可</v>
      </c>
    </row>
    <row r="1020" customFormat="false" ht="15" hidden="false" customHeight="false" outlineLevel="0" collapsed="false">
      <c r="A1020" s="29" t="n">
        <v>46274</v>
      </c>
      <c r="B1020" s="30" t="n">
        <v>9</v>
      </c>
      <c r="C1020" s="31" t="s">
        <v>58</v>
      </c>
      <c r="D1020" s="31" t="s">
        <v>59</v>
      </c>
      <c r="E1020" s="30" t="n">
        <v>60</v>
      </c>
      <c r="F1020" s="30" t="n">
        <v>60</v>
      </c>
      <c r="G1020" s="30" t="str">
        <f aca="false">IF(E1020&lt;判定条件!$C$6,"判定不能",IF(F1020&gt;=判定条件!$C$7*E1020,"運転",IF(F1020&lt;=判定条件!$C$8*E1020,"停止","断続")))</f>
        <v>運転</v>
      </c>
      <c r="H1020" s="30" t="n">
        <v>60</v>
      </c>
      <c r="I1020" s="30" t="n">
        <v>60</v>
      </c>
      <c r="J1020" s="30" t="str">
        <f aca="false">IF(H1020&lt;判定条件!$C$6,"判定不能",IF(I1020&gt;=判定条件!$C$7*H1020,"運転",IF(I1020&lt;=判定条件!$C$8*H1020,"停止","断続")))</f>
        <v>運転</v>
      </c>
      <c r="K1020" s="30" t="n">
        <v>60</v>
      </c>
      <c r="L1020" s="30" t="n">
        <v>60</v>
      </c>
      <c r="M1020" s="30" t="str">
        <f aca="false">IF(K1020&lt;判定条件!$C$6,"判定不能",IF(L1020&gt;=判定条件!$C$7*K1020,"運転",IF(L1020&lt;=判定条件!$C$8*K1020,"停止","断続")))</f>
        <v>運転</v>
      </c>
      <c r="N1020" s="30" t="n">
        <v>60</v>
      </c>
      <c r="O1020" s="30" t="n">
        <v>60</v>
      </c>
      <c r="P1020" s="30" t="str">
        <f aca="false">IF(N1020&lt;判定条件!$C$6,"判定不能",IF(O1020&gt;=判定条件!$C$7*N1020,"運転",IF(O1020&lt;=判定条件!$C$8*N1020,"停止","断続")))</f>
        <v>運転</v>
      </c>
      <c r="Q1020" s="30" t="n">
        <v>60</v>
      </c>
      <c r="R1020" s="30" t="n">
        <v>60</v>
      </c>
      <c r="S1020" s="30" t="str">
        <f aca="false">IF(Q1020&lt;判定条件!$C$6,"判定不能",IF(R1020&gt;=判定条件!$C$7*Q1020,"運転",IF(R1020&lt;=判定条件!$C$8*Q1020,"停止","断続")))</f>
        <v>運転</v>
      </c>
      <c r="T1020" s="30" t="n">
        <v>60</v>
      </c>
      <c r="U1020" s="30" t="n">
        <v>39</v>
      </c>
      <c r="V1020" s="30" t="str">
        <f aca="false">IF(T1020&lt;判定条件!$C$6,"判定不能",IF(U1020&gt;=判定条件!$C$7*T1020,"運転",IF(U1020&lt;=判定条件!$C$8*T1020,"停止","断続")))</f>
        <v>断続</v>
      </c>
      <c r="W1020" s="30" t="n">
        <v>60</v>
      </c>
      <c r="X1020" s="30" t="n">
        <v>35</v>
      </c>
      <c r="Y1020" s="30" t="str">
        <f aca="false">IF(W1020&lt;判定条件!$C$6,"判定不能",IF(X1020&gt;=判定条件!$C$7*W1020,"運転",IF(X1020&lt;=判定条件!$C$8*W1020,"停止","断続")))</f>
        <v>断続</v>
      </c>
      <c r="Z1020" s="30" t="n">
        <v>60</v>
      </c>
      <c r="AA1020" s="30" t="n">
        <v>40</v>
      </c>
      <c r="AB1020" s="30" t="str">
        <f aca="false">IF(Z1020&lt;判定条件!$C$6,"判定不能",IF(AA1020&gt;=判定条件!$C$7*Z1020,"運転",IF(AA1020&lt;=判定条件!$C$8*Z1020,"停止","断続")))</f>
        <v>断続</v>
      </c>
      <c r="AC1020" s="30" t="n">
        <v>60</v>
      </c>
      <c r="AD1020" s="30" t="n">
        <v>41</v>
      </c>
      <c r="AE1020" s="30" t="str">
        <f aca="false">IF(AC1020&lt;判定条件!$C$6,"判定不能",IF(AD1020&gt;=判定条件!$C$7*AC1020,"運転",IF(AD1020&lt;=判定条件!$C$8*AC1020,"停止","断続")))</f>
        <v>断続</v>
      </c>
      <c r="AF1020" s="30" t="n">
        <v>60</v>
      </c>
      <c r="AG1020" s="30" t="n">
        <v>60</v>
      </c>
      <c r="AH1020" s="30" t="str">
        <f aca="false">IF(OR(P1020="判定不能",G1020="判定不能"),"判定不能",IF(AG1020&gt;=判定条件!$C$9,"利用可",IF(AND(P1020="停止",G1020="停止"),"両方停止","運転がそろわない")))</f>
        <v>利用可</v>
      </c>
      <c r="AI1020" s="30" t="n">
        <v>60</v>
      </c>
      <c r="AJ1020" s="30" t="n">
        <v>60</v>
      </c>
      <c r="AK1020" s="30" t="str">
        <f aca="false">IF(OR(S1020="判定不能",J1020="判定不能"),"判定不能",IF(AJ1020&gt;=判定条件!$C$9,"利用可",IF(AND(S1020="停止",J1020="停止"),"両方停止","運転がそろわない")))</f>
        <v>利用可</v>
      </c>
      <c r="AL1020" s="30" t="n">
        <v>60</v>
      </c>
      <c r="AM1020" s="30" t="n">
        <v>39</v>
      </c>
      <c r="AN1020" s="30" t="str">
        <f aca="false">IF(OR(V1020="判定不能",M1020="判定不能"),"判定不能",IF(AM1020&gt;=判定条件!$C$9,"利用可",IF(AND(V1020="停止",M1020="停止"),"両方停止","運転がそろわない")))</f>
        <v>利用可</v>
      </c>
      <c r="AO1020" s="30" t="n">
        <v>60</v>
      </c>
      <c r="AP1020" s="30" t="n">
        <v>35</v>
      </c>
      <c r="AQ1020" s="30" t="str">
        <f aca="false">IF(OR(Y1020="判定不能",G1020="判定不能"),"判定不能",IF(AP1020&gt;=判定条件!$C$9,"利用可",IF(AND(Y1020="停止",G1020="停止"),"両方停止","運転がそろわない")))</f>
        <v>利用可</v>
      </c>
      <c r="AR1020" s="30" t="n">
        <v>60</v>
      </c>
      <c r="AS1020" s="30" t="n">
        <v>40</v>
      </c>
      <c r="AT1020" s="30" t="str">
        <f aca="false">IF(OR(AB1020="判定不能",J1020="判定不能"),"判定不能",IF(AS1020&gt;=判定条件!$C$9,"利用可",IF(AND(AB1020="停止",J1020="停止"),"両方停止","運転がそろわない")))</f>
        <v>利用可</v>
      </c>
      <c r="AU1020" s="30" t="n">
        <v>60</v>
      </c>
      <c r="AV1020" s="30" t="n">
        <v>41</v>
      </c>
      <c r="AW1020" s="30" t="str">
        <f aca="false">IF(OR(AE1020="判定不能",M1020="判定不能"),"判定不能",IF(AV1020&gt;=判定条件!$C$9,"利用可",IF(AND(AE1020="停止",M1020="停止"),"両方停止","運転がそろわない")))</f>
        <v>利用可</v>
      </c>
      <c r="AX1020" s="30" t="str">
        <f aca="false">IF(AND(AH1020="利用可",AK1020="利用可",AN1020="利用可"),"利用可","不可")</f>
        <v>利用可</v>
      </c>
      <c r="AY1020" s="30" t="str">
        <f aca="false">IF(AND(AQ1020="利用可",AT1020="利用可",AW1020="利用可"),"利用可","不可")</f>
        <v>利用可</v>
      </c>
    </row>
    <row r="1021" customFormat="false" ht="15" hidden="false" customHeight="false" outlineLevel="0" collapsed="false">
      <c r="A1021" s="29" t="n">
        <v>46274</v>
      </c>
      <c r="B1021" s="30" t="n">
        <v>10</v>
      </c>
      <c r="C1021" s="31" t="s">
        <v>58</v>
      </c>
      <c r="D1021" s="31" t="s">
        <v>59</v>
      </c>
      <c r="E1021" s="30" t="n">
        <v>60</v>
      </c>
      <c r="F1021" s="30" t="n">
        <v>60</v>
      </c>
      <c r="G1021" s="30" t="str">
        <f aca="false">IF(E1021&lt;判定条件!$C$6,"判定不能",IF(F1021&gt;=判定条件!$C$7*E1021,"運転",IF(F1021&lt;=判定条件!$C$8*E1021,"停止","断続")))</f>
        <v>運転</v>
      </c>
      <c r="H1021" s="30" t="n">
        <v>60</v>
      </c>
      <c r="I1021" s="30" t="n">
        <v>60</v>
      </c>
      <c r="J1021" s="30" t="str">
        <f aca="false">IF(H1021&lt;判定条件!$C$6,"判定不能",IF(I1021&gt;=判定条件!$C$7*H1021,"運転",IF(I1021&lt;=判定条件!$C$8*H1021,"停止","断続")))</f>
        <v>運転</v>
      </c>
      <c r="K1021" s="30" t="n">
        <v>60</v>
      </c>
      <c r="L1021" s="30" t="n">
        <v>60</v>
      </c>
      <c r="M1021" s="30" t="str">
        <f aca="false">IF(K1021&lt;判定条件!$C$6,"判定不能",IF(L1021&gt;=判定条件!$C$7*K1021,"運転",IF(L1021&lt;=判定条件!$C$8*K1021,"停止","断続")))</f>
        <v>運転</v>
      </c>
      <c r="N1021" s="30" t="n">
        <v>60</v>
      </c>
      <c r="O1021" s="30" t="n">
        <v>60</v>
      </c>
      <c r="P1021" s="30" t="str">
        <f aca="false">IF(N1021&lt;判定条件!$C$6,"判定不能",IF(O1021&gt;=判定条件!$C$7*N1021,"運転",IF(O1021&lt;=判定条件!$C$8*N1021,"停止","断続")))</f>
        <v>運転</v>
      </c>
      <c r="Q1021" s="30" t="n">
        <v>60</v>
      </c>
      <c r="R1021" s="30" t="n">
        <v>60</v>
      </c>
      <c r="S1021" s="30" t="str">
        <f aca="false">IF(Q1021&lt;判定条件!$C$6,"判定不能",IF(R1021&gt;=判定条件!$C$7*Q1021,"運転",IF(R1021&lt;=判定条件!$C$8*Q1021,"停止","断続")))</f>
        <v>運転</v>
      </c>
      <c r="T1021" s="30" t="n">
        <v>60</v>
      </c>
      <c r="U1021" s="30" t="n">
        <v>60</v>
      </c>
      <c r="V1021" s="30" t="str">
        <f aca="false">IF(T1021&lt;判定条件!$C$6,"判定不能",IF(U1021&gt;=判定条件!$C$7*T1021,"運転",IF(U1021&lt;=判定条件!$C$8*T1021,"停止","断続")))</f>
        <v>運転</v>
      </c>
      <c r="W1021" s="30" t="n">
        <v>60</v>
      </c>
      <c r="X1021" s="30" t="n">
        <v>37</v>
      </c>
      <c r="Y1021" s="30" t="str">
        <f aca="false">IF(W1021&lt;判定条件!$C$6,"判定不能",IF(X1021&gt;=判定条件!$C$7*W1021,"運転",IF(X1021&lt;=判定条件!$C$8*W1021,"停止","断続")))</f>
        <v>断続</v>
      </c>
      <c r="Z1021" s="30" t="n">
        <v>60</v>
      </c>
      <c r="AA1021" s="30" t="n">
        <v>60</v>
      </c>
      <c r="AB1021" s="30" t="str">
        <f aca="false">IF(Z1021&lt;判定条件!$C$6,"判定不能",IF(AA1021&gt;=判定条件!$C$7*Z1021,"運転",IF(AA1021&lt;=判定条件!$C$8*Z1021,"停止","断続")))</f>
        <v>運転</v>
      </c>
      <c r="AC1021" s="30" t="n">
        <v>60</v>
      </c>
      <c r="AD1021" s="30" t="n">
        <v>60</v>
      </c>
      <c r="AE1021" s="30" t="str">
        <f aca="false">IF(AC1021&lt;判定条件!$C$6,"判定不能",IF(AD1021&gt;=判定条件!$C$7*AC1021,"運転",IF(AD1021&lt;=判定条件!$C$8*AC1021,"停止","断続")))</f>
        <v>運転</v>
      </c>
      <c r="AF1021" s="30" t="n">
        <v>60</v>
      </c>
      <c r="AG1021" s="30" t="n">
        <v>60</v>
      </c>
      <c r="AH1021" s="30" t="str">
        <f aca="false">IF(OR(P1021="判定不能",G1021="判定不能"),"判定不能",IF(AG1021&gt;=判定条件!$C$9,"利用可",IF(AND(P1021="停止",G1021="停止"),"両方停止","運転がそろわない")))</f>
        <v>利用可</v>
      </c>
      <c r="AI1021" s="30" t="n">
        <v>60</v>
      </c>
      <c r="AJ1021" s="30" t="n">
        <v>60</v>
      </c>
      <c r="AK1021" s="30" t="str">
        <f aca="false">IF(OR(S1021="判定不能",J1021="判定不能"),"判定不能",IF(AJ1021&gt;=判定条件!$C$9,"利用可",IF(AND(S1021="停止",J1021="停止"),"両方停止","運転がそろわない")))</f>
        <v>利用可</v>
      </c>
      <c r="AL1021" s="30" t="n">
        <v>60</v>
      </c>
      <c r="AM1021" s="30" t="n">
        <v>60</v>
      </c>
      <c r="AN1021" s="30" t="str">
        <f aca="false">IF(OR(V1021="判定不能",M1021="判定不能"),"判定不能",IF(AM1021&gt;=判定条件!$C$9,"利用可",IF(AND(V1021="停止",M1021="停止"),"両方停止","運転がそろわない")))</f>
        <v>利用可</v>
      </c>
      <c r="AO1021" s="30" t="n">
        <v>60</v>
      </c>
      <c r="AP1021" s="30" t="n">
        <v>37</v>
      </c>
      <c r="AQ1021" s="30" t="str">
        <f aca="false">IF(OR(Y1021="判定不能",G1021="判定不能"),"判定不能",IF(AP1021&gt;=判定条件!$C$9,"利用可",IF(AND(Y1021="停止",G1021="停止"),"両方停止","運転がそろわない")))</f>
        <v>利用可</v>
      </c>
      <c r="AR1021" s="30" t="n">
        <v>60</v>
      </c>
      <c r="AS1021" s="30" t="n">
        <v>60</v>
      </c>
      <c r="AT1021" s="30" t="str">
        <f aca="false">IF(OR(AB1021="判定不能",J1021="判定不能"),"判定不能",IF(AS1021&gt;=判定条件!$C$9,"利用可",IF(AND(AB1021="停止",J1021="停止"),"両方停止","運転がそろわない")))</f>
        <v>利用可</v>
      </c>
      <c r="AU1021" s="30" t="n">
        <v>60</v>
      </c>
      <c r="AV1021" s="30" t="n">
        <v>60</v>
      </c>
      <c r="AW1021" s="30" t="str">
        <f aca="false">IF(OR(AE1021="判定不能",M1021="判定不能"),"判定不能",IF(AV1021&gt;=判定条件!$C$9,"利用可",IF(AND(AE1021="停止",M1021="停止"),"両方停止","運転がそろわない")))</f>
        <v>利用可</v>
      </c>
      <c r="AX1021" s="30" t="str">
        <f aca="false">IF(AND(AH1021="利用可",AK1021="利用可",AN1021="利用可"),"利用可","不可")</f>
        <v>利用可</v>
      </c>
      <c r="AY1021" s="30" t="str">
        <f aca="false">IF(AND(AQ1021="利用可",AT1021="利用可",AW1021="利用可"),"利用可","不可")</f>
        <v>利用可</v>
      </c>
    </row>
    <row r="1022" customFormat="false" ht="15" hidden="false" customHeight="false" outlineLevel="0" collapsed="false">
      <c r="A1022" s="29" t="n">
        <v>46274</v>
      </c>
      <c r="B1022" s="30" t="n">
        <v>11</v>
      </c>
      <c r="C1022" s="31" t="s">
        <v>58</v>
      </c>
      <c r="D1022" s="31" t="s">
        <v>59</v>
      </c>
      <c r="E1022" s="30" t="n">
        <v>60</v>
      </c>
      <c r="F1022" s="30" t="n">
        <v>60</v>
      </c>
      <c r="G1022" s="30" t="str">
        <f aca="false">IF(E1022&lt;判定条件!$C$6,"判定不能",IF(F1022&gt;=判定条件!$C$7*E1022,"運転",IF(F1022&lt;=判定条件!$C$8*E1022,"停止","断続")))</f>
        <v>運転</v>
      </c>
      <c r="H1022" s="30" t="n">
        <v>60</v>
      </c>
      <c r="I1022" s="30" t="n">
        <v>60</v>
      </c>
      <c r="J1022" s="30" t="str">
        <f aca="false">IF(H1022&lt;判定条件!$C$6,"判定不能",IF(I1022&gt;=判定条件!$C$7*H1022,"運転",IF(I1022&lt;=判定条件!$C$8*H1022,"停止","断続")))</f>
        <v>運転</v>
      </c>
      <c r="K1022" s="30" t="n">
        <v>60</v>
      </c>
      <c r="L1022" s="30" t="n">
        <v>60</v>
      </c>
      <c r="M1022" s="30" t="str">
        <f aca="false">IF(K1022&lt;判定条件!$C$6,"判定不能",IF(L1022&gt;=判定条件!$C$7*K1022,"運転",IF(L1022&lt;=判定条件!$C$8*K1022,"停止","断続")))</f>
        <v>運転</v>
      </c>
      <c r="N1022" s="30" t="n">
        <v>60</v>
      </c>
      <c r="O1022" s="30" t="n">
        <v>60</v>
      </c>
      <c r="P1022" s="30" t="str">
        <f aca="false">IF(N1022&lt;判定条件!$C$6,"判定不能",IF(O1022&gt;=判定条件!$C$7*N1022,"運転",IF(O1022&lt;=判定条件!$C$8*N1022,"停止","断続")))</f>
        <v>運転</v>
      </c>
      <c r="Q1022" s="30" t="n">
        <v>60</v>
      </c>
      <c r="R1022" s="30" t="n">
        <v>60</v>
      </c>
      <c r="S1022" s="30" t="str">
        <f aca="false">IF(Q1022&lt;判定条件!$C$6,"判定不能",IF(R1022&gt;=判定条件!$C$7*Q1022,"運転",IF(R1022&lt;=判定条件!$C$8*Q1022,"停止","断続")))</f>
        <v>運転</v>
      </c>
      <c r="T1022" s="30" t="n">
        <v>60</v>
      </c>
      <c r="U1022" s="30" t="n">
        <v>60</v>
      </c>
      <c r="V1022" s="30" t="str">
        <f aca="false">IF(T1022&lt;判定条件!$C$6,"判定不能",IF(U1022&gt;=判定条件!$C$7*T1022,"運転",IF(U1022&lt;=判定条件!$C$8*T1022,"停止","断続")))</f>
        <v>運転</v>
      </c>
      <c r="W1022" s="30" t="n">
        <v>60</v>
      </c>
      <c r="X1022" s="30" t="n">
        <v>35</v>
      </c>
      <c r="Y1022" s="30" t="str">
        <f aca="false">IF(W1022&lt;判定条件!$C$6,"判定不能",IF(X1022&gt;=判定条件!$C$7*W1022,"運転",IF(X1022&lt;=判定条件!$C$8*W1022,"停止","断続")))</f>
        <v>断続</v>
      </c>
      <c r="Z1022" s="30" t="n">
        <v>60</v>
      </c>
      <c r="AA1022" s="30" t="n">
        <v>60</v>
      </c>
      <c r="AB1022" s="30" t="str">
        <f aca="false">IF(Z1022&lt;判定条件!$C$6,"判定不能",IF(AA1022&gt;=判定条件!$C$7*Z1022,"運転",IF(AA1022&lt;=判定条件!$C$8*Z1022,"停止","断続")))</f>
        <v>運転</v>
      </c>
      <c r="AC1022" s="30" t="n">
        <v>60</v>
      </c>
      <c r="AD1022" s="30" t="n">
        <v>31</v>
      </c>
      <c r="AE1022" s="30" t="str">
        <f aca="false">IF(AC1022&lt;判定条件!$C$6,"判定不能",IF(AD1022&gt;=判定条件!$C$7*AC1022,"運転",IF(AD1022&lt;=判定条件!$C$8*AC1022,"停止","断続")))</f>
        <v>断続</v>
      </c>
      <c r="AF1022" s="30" t="n">
        <v>60</v>
      </c>
      <c r="AG1022" s="30" t="n">
        <v>60</v>
      </c>
      <c r="AH1022" s="30" t="str">
        <f aca="false">IF(OR(P1022="判定不能",G1022="判定不能"),"判定不能",IF(AG1022&gt;=判定条件!$C$9,"利用可",IF(AND(P1022="停止",G1022="停止"),"両方停止","運転がそろわない")))</f>
        <v>利用可</v>
      </c>
      <c r="AI1022" s="30" t="n">
        <v>60</v>
      </c>
      <c r="AJ1022" s="30" t="n">
        <v>60</v>
      </c>
      <c r="AK1022" s="30" t="str">
        <f aca="false">IF(OR(S1022="判定不能",J1022="判定不能"),"判定不能",IF(AJ1022&gt;=判定条件!$C$9,"利用可",IF(AND(S1022="停止",J1022="停止"),"両方停止","運転がそろわない")))</f>
        <v>利用可</v>
      </c>
      <c r="AL1022" s="30" t="n">
        <v>60</v>
      </c>
      <c r="AM1022" s="30" t="n">
        <v>60</v>
      </c>
      <c r="AN1022" s="30" t="str">
        <f aca="false">IF(OR(V1022="判定不能",M1022="判定不能"),"判定不能",IF(AM1022&gt;=判定条件!$C$9,"利用可",IF(AND(V1022="停止",M1022="停止"),"両方停止","運転がそろわない")))</f>
        <v>利用可</v>
      </c>
      <c r="AO1022" s="30" t="n">
        <v>60</v>
      </c>
      <c r="AP1022" s="30" t="n">
        <v>35</v>
      </c>
      <c r="AQ1022" s="30" t="str">
        <f aca="false">IF(OR(Y1022="判定不能",G1022="判定不能"),"判定不能",IF(AP1022&gt;=判定条件!$C$9,"利用可",IF(AND(Y1022="停止",G1022="停止"),"両方停止","運転がそろわない")))</f>
        <v>利用可</v>
      </c>
      <c r="AR1022" s="30" t="n">
        <v>60</v>
      </c>
      <c r="AS1022" s="30" t="n">
        <v>60</v>
      </c>
      <c r="AT1022" s="30" t="str">
        <f aca="false">IF(OR(AB1022="判定不能",J1022="判定不能"),"判定不能",IF(AS1022&gt;=判定条件!$C$9,"利用可",IF(AND(AB1022="停止",J1022="停止"),"両方停止","運転がそろわない")))</f>
        <v>利用可</v>
      </c>
      <c r="AU1022" s="30" t="n">
        <v>60</v>
      </c>
      <c r="AV1022" s="30" t="n">
        <v>31</v>
      </c>
      <c r="AW1022" s="30" t="str">
        <f aca="false">IF(OR(AE1022="判定不能",M1022="判定不能"),"判定不能",IF(AV1022&gt;=判定条件!$C$9,"利用可",IF(AND(AE1022="停止",M1022="停止"),"両方停止","運転がそろわない")))</f>
        <v>利用可</v>
      </c>
      <c r="AX1022" s="30" t="str">
        <f aca="false">IF(AND(AH1022="利用可",AK1022="利用可",AN1022="利用可"),"利用可","不可")</f>
        <v>利用可</v>
      </c>
      <c r="AY1022" s="30" t="str">
        <f aca="false">IF(AND(AQ1022="利用可",AT1022="利用可",AW1022="利用可"),"利用可","不可")</f>
        <v>利用可</v>
      </c>
    </row>
    <row r="1023" customFormat="false" ht="15" hidden="false" customHeight="false" outlineLevel="0" collapsed="false">
      <c r="A1023" s="29" t="n">
        <v>46274</v>
      </c>
      <c r="B1023" s="30" t="n">
        <v>12</v>
      </c>
      <c r="C1023" s="31" t="s">
        <v>58</v>
      </c>
      <c r="D1023" s="31" t="s">
        <v>59</v>
      </c>
      <c r="E1023" s="30" t="n">
        <v>60</v>
      </c>
      <c r="F1023" s="30" t="n">
        <v>60</v>
      </c>
      <c r="G1023" s="30" t="str">
        <f aca="false">IF(E1023&lt;判定条件!$C$6,"判定不能",IF(F1023&gt;=判定条件!$C$7*E1023,"運転",IF(F1023&lt;=判定条件!$C$8*E1023,"停止","断続")))</f>
        <v>運転</v>
      </c>
      <c r="H1023" s="30" t="n">
        <v>60</v>
      </c>
      <c r="I1023" s="30" t="n">
        <v>60</v>
      </c>
      <c r="J1023" s="30" t="str">
        <f aca="false">IF(H1023&lt;判定条件!$C$6,"判定不能",IF(I1023&gt;=判定条件!$C$7*H1023,"運転",IF(I1023&lt;=判定条件!$C$8*H1023,"停止","断続")))</f>
        <v>運転</v>
      </c>
      <c r="K1023" s="30" t="n">
        <v>60</v>
      </c>
      <c r="L1023" s="30" t="n">
        <v>60</v>
      </c>
      <c r="M1023" s="30" t="str">
        <f aca="false">IF(K1023&lt;判定条件!$C$6,"判定不能",IF(L1023&gt;=判定条件!$C$7*K1023,"運転",IF(L1023&lt;=判定条件!$C$8*K1023,"停止","断続")))</f>
        <v>運転</v>
      </c>
      <c r="N1023" s="30" t="n">
        <v>60</v>
      </c>
      <c r="O1023" s="30" t="n">
        <v>37</v>
      </c>
      <c r="P1023" s="30" t="str">
        <f aca="false">IF(N1023&lt;判定条件!$C$6,"判定不能",IF(O1023&gt;=判定条件!$C$7*N1023,"運転",IF(O1023&lt;=判定条件!$C$8*N1023,"停止","断続")))</f>
        <v>断続</v>
      </c>
      <c r="Q1023" s="30" t="n">
        <v>60</v>
      </c>
      <c r="R1023" s="30" t="n">
        <v>60</v>
      </c>
      <c r="S1023" s="30" t="str">
        <f aca="false">IF(Q1023&lt;判定条件!$C$6,"判定不能",IF(R1023&gt;=判定条件!$C$7*Q1023,"運転",IF(R1023&lt;=判定条件!$C$8*Q1023,"停止","断続")))</f>
        <v>運転</v>
      </c>
      <c r="T1023" s="30" t="n">
        <v>60</v>
      </c>
      <c r="U1023" s="30" t="n">
        <v>55</v>
      </c>
      <c r="V1023" s="30" t="str">
        <f aca="false">IF(T1023&lt;判定条件!$C$6,"判定不能",IF(U1023&gt;=判定条件!$C$7*T1023,"運転",IF(U1023&lt;=判定条件!$C$8*T1023,"停止","断続")))</f>
        <v>運転</v>
      </c>
      <c r="W1023" s="30" t="n">
        <v>60</v>
      </c>
      <c r="X1023" s="30" t="n">
        <v>54</v>
      </c>
      <c r="Y1023" s="30" t="str">
        <f aca="false">IF(W1023&lt;判定条件!$C$6,"判定不能",IF(X1023&gt;=判定条件!$C$7*W1023,"運転",IF(X1023&lt;=判定条件!$C$8*W1023,"停止","断続")))</f>
        <v>運転</v>
      </c>
      <c r="Z1023" s="30" t="n">
        <v>60</v>
      </c>
      <c r="AA1023" s="30" t="n">
        <v>60</v>
      </c>
      <c r="AB1023" s="30" t="str">
        <f aca="false">IF(Z1023&lt;判定条件!$C$6,"判定不能",IF(AA1023&gt;=判定条件!$C$7*Z1023,"運転",IF(AA1023&lt;=判定条件!$C$8*Z1023,"停止","断続")))</f>
        <v>運転</v>
      </c>
      <c r="AC1023" s="30" t="n">
        <v>60</v>
      </c>
      <c r="AD1023" s="30" t="n">
        <v>60</v>
      </c>
      <c r="AE1023" s="30" t="str">
        <f aca="false">IF(AC1023&lt;判定条件!$C$6,"判定不能",IF(AD1023&gt;=判定条件!$C$7*AC1023,"運転",IF(AD1023&lt;=判定条件!$C$8*AC1023,"停止","断続")))</f>
        <v>運転</v>
      </c>
      <c r="AF1023" s="30" t="n">
        <v>60</v>
      </c>
      <c r="AG1023" s="30" t="n">
        <v>37</v>
      </c>
      <c r="AH1023" s="30" t="str">
        <f aca="false">IF(OR(P1023="判定不能",G1023="判定不能"),"判定不能",IF(AG1023&gt;=判定条件!$C$9,"利用可",IF(AND(P1023="停止",G1023="停止"),"両方停止","運転がそろわない")))</f>
        <v>利用可</v>
      </c>
      <c r="AI1023" s="30" t="n">
        <v>60</v>
      </c>
      <c r="AJ1023" s="30" t="n">
        <v>60</v>
      </c>
      <c r="AK1023" s="30" t="str">
        <f aca="false">IF(OR(S1023="判定不能",J1023="判定不能"),"判定不能",IF(AJ1023&gt;=判定条件!$C$9,"利用可",IF(AND(S1023="停止",J1023="停止"),"両方停止","運転がそろわない")))</f>
        <v>利用可</v>
      </c>
      <c r="AL1023" s="30" t="n">
        <v>60</v>
      </c>
      <c r="AM1023" s="30" t="n">
        <v>55</v>
      </c>
      <c r="AN1023" s="30" t="str">
        <f aca="false">IF(OR(V1023="判定不能",M1023="判定不能"),"判定不能",IF(AM1023&gt;=判定条件!$C$9,"利用可",IF(AND(V1023="停止",M1023="停止"),"両方停止","運転がそろわない")))</f>
        <v>利用可</v>
      </c>
      <c r="AO1023" s="30" t="n">
        <v>60</v>
      </c>
      <c r="AP1023" s="30" t="n">
        <v>54</v>
      </c>
      <c r="AQ1023" s="30" t="str">
        <f aca="false">IF(OR(Y1023="判定不能",G1023="判定不能"),"判定不能",IF(AP1023&gt;=判定条件!$C$9,"利用可",IF(AND(Y1023="停止",G1023="停止"),"両方停止","運転がそろわない")))</f>
        <v>利用可</v>
      </c>
      <c r="AR1023" s="30" t="n">
        <v>60</v>
      </c>
      <c r="AS1023" s="30" t="n">
        <v>60</v>
      </c>
      <c r="AT1023" s="30" t="str">
        <f aca="false">IF(OR(AB1023="判定不能",J1023="判定不能"),"判定不能",IF(AS1023&gt;=判定条件!$C$9,"利用可",IF(AND(AB1023="停止",J1023="停止"),"両方停止","運転がそろわない")))</f>
        <v>利用可</v>
      </c>
      <c r="AU1023" s="30" t="n">
        <v>60</v>
      </c>
      <c r="AV1023" s="30" t="n">
        <v>60</v>
      </c>
      <c r="AW1023" s="30" t="str">
        <f aca="false">IF(OR(AE1023="判定不能",M1023="判定不能"),"判定不能",IF(AV1023&gt;=判定条件!$C$9,"利用可",IF(AND(AE1023="停止",M1023="停止"),"両方停止","運転がそろわない")))</f>
        <v>利用可</v>
      </c>
      <c r="AX1023" s="30" t="str">
        <f aca="false">IF(AND(AH1023="利用可",AK1023="利用可",AN1023="利用可"),"利用可","不可")</f>
        <v>利用可</v>
      </c>
      <c r="AY1023" s="30" t="str">
        <f aca="false">IF(AND(AQ1023="利用可",AT1023="利用可",AW1023="利用可"),"利用可","不可")</f>
        <v>利用可</v>
      </c>
    </row>
    <row r="1024" customFormat="false" ht="15" hidden="false" customHeight="false" outlineLevel="0" collapsed="false">
      <c r="A1024" s="29" t="n">
        <v>46274</v>
      </c>
      <c r="B1024" s="30" t="n">
        <v>13</v>
      </c>
      <c r="C1024" s="31" t="s">
        <v>58</v>
      </c>
      <c r="D1024" s="31" t="s">
        <v>59</v>
      </c>
      <c r="E1024" s="30" t="n">
        <v>60</v>
      </c>
      <c r="F1024" s="30" t="n">
        <v>60</v>
      </c>
      <c r="G1024" s="30" t="str">
        <f aca="false">IF(E1024&lt;判定条件!$C$6,"判定不能",IF(F1024&gt;=判定条件!$C$7*E1024,"運転",IF(F1024&lt;=判定条件!$C$8*E1024,"停止","断続")))</f>
        <v>運転</v>
      </c>
      <c r="H1024" s="30" t="n">
        <v>60</v>
      </c>
      <c r="I1024" s="30" t="n">
        <v>60</v>
      </c>
      <c r="J1024" s="30" t="str">
        <f aca="false">IF(H1024&lt;判定条件!$C$6,"判定不能",IF(I1024&gt;=判定条件!$C$7*H1024,"運転",IF(I1024&lt;=判定条件!$C$8*H1024,"停止","断続")))</f>
        <v>運転</v>
      </c>
      <c r="K1024" s="30" t="n">
        <v>60</v>
      </c>
      <c r="L1024" s="30" t="n">
        <v>60</v>
      </c>
      <c r="M1024" s="30" t="str">
        <f aca="false">IF(K1024&lt;判定条件!$C$6,"判定不能",IF(L1024&gt;=判定条件!$C$7*K1024,"運転",IF(L1024&lt;=判定条件!$C$8*K1024,"停止","断続")))</f>
        <v>運転</v>
      </c>
      <c r="N1024" s="30" t="n">
        <v>60</v>
      </c>
      <c r="O1024" s="30" t="n">
        <v>60</v>
      </c>
      <c r="P1024" s="30" t="str">
        <f aca="false">IF(N1024&lt;判定条件!$C$6,"判定不能",IF(O1024&gt;=判定条件!$C$7*N1024,"運転",IF(O1024&lt;=判定条件!$C$8*N1024,"停止","断続")))</f>
        <v>運転</v>
      </c>
      <c r="Q1024" s="30" t="n">
        <v>60</v>
      </c>
      <c r="R1024" s="30" t="n">
        <v>60</v>
      </c>
      <c r="S1024" s="30" t="str">
        <f aca="false">IF(Q1024&lt;判定条件!$C$6,"判定不能",IF(R1024&gt;=判定条件!$C$7*Q1024,"運転",IF(R1024&lt;=判定条件!$C$8*Q1024,"停止","断続")))</f>
        <v>運転</v>
      </c>
      <c r="T1024" s="30" t="n">
        <v>60</v>
      </c>
      <c r="U1024" s="30" t="n">
        <v>56</v>
      </c>
      <c r="V1024" s="30" t="str">
        <f aca="false">IF(T1024&lt;判定条件!$C$6,"判定不能",IF(U1024&gt;=判定条件!$C$7*T1024,"運転",IF(U1024&lt;=判定条件!$C$8*T1024,"停止","断続")))</f>
        <v>運転</v>
      </c>
      <c r="W1024" s="30" t="n">
        <v>60</v>
      </c>
      <c r="X1024" s="30" t="n">
        <v>24</v>
      </c>
      <c r="Y1024" s="30" t="str">
        <f aca="false">IF(W1024&lt;判定条件!$C$6,"判定不能",IF(X1024&gt;=判定条件!$C$7*W1024,"運転",IF(X1024&lt;=判定条件!$C$8*W1024,"停止","断続")))</f>
        <v>断続</v>
      </c>
      <c r="Z1024" s="30" t="n">
        <v>60</v>
      </c>
      <c r="AA1024" s="30" t="n">
        <v>31</v>
      </c>
      <c r="AB1024" s="30" t="str">
        <f aca="false">IF(Z1024&lt;判定条件!$C$6,"判定不能",IF(AA1024&gt;=判定条件!$C$7*Z1024,"運転",IF(AA1024&lt;=判定条件!$C$8*Z1024,"停止","断続")))</f>
        <v>断続</v>
      </c>
      <c r="AC1024" s="30" t="n">
        <v>60</v>
      </c>
      <c r="AD1024" s="30" t="n">
        <v>60</v>
      </c>
      <c r="AE1024" s="30" t="str">
        <f aca="false">IF(AC1024&lt;判定条件!$C$6,"判定不能",IF(AD1024&gt;=判定条件!$C$7*AC1024,"運転",IF(AD1024&lt;=判定条件!$C$8*AC1024,"停止","断続")))</f>
        <v>運転</v>
      </c>
      <c r="AF1024" s="30" t="n">
        <v>60</v>
      </c>
      <c r="AG1024" s="30" t="n">
        <v>60</v>
      </c>
      <c r="AH1024" s="30" t="str">
        <f aca="false">IF(OR(P1024="判定不能",G1024="判定不能"),"判定不能",IF(AG1024&gt;=判定条件!$C$9,"利用可",IF(AND(P1024="停止",G1024="停止"),"両方停止","運転がそろわない")))</f>
        <v>利用可</v>
      </c>
      <c r="AI1024" s="30" t="n">
        <v>60</v>
      </c>
      <c r="AJ1024" s="30" t="n">
        <v>60</v>
      </c>
      <c r="AK1024" s="30" t="str">
        <f aca="false">IF(OR(S1024="判定不能",J1024="判定不能"),"判定不能",IF(AJ1024&gt;=判定条件!$C$9,"利用可",IF(AND(S1024="停止",J1024="停止"),"両方停止","運転がそろわない")))</f>
        <v>利用可</v>
      </c>
      <c r="AL1024" s="30" t="n">
        <v>60</v>
      </c>
      <c r="AM1024" s="30" t="n">
        <v>56</v>
      </c>
      <c r="AN1024" s="30" t="str">
        <f aca="false">IF(OR(V1024="判定不能",M1024="判定不能"),"判定不能",IF(AM1024&gt;=判定条件!$C$9,"利用可",IF(AND(V1024="停止",M1024="停止"),"両方停止","運転がそろわない")))</f>
        <v>利用可</v>
      </c>
      <c r="AO1024" s="30" t="n">
        <v>60</v>
      </c>
      <c r="AP1024" s="30" t="n">
        <v>24</v>
      </c>
      <c r="AQ1024" s="30" t="str">
        <f aca="false">IF(OR(Y1024="判定不能",G1024="判定不能"),"判定不能",IF(AP1024&gt;=判定条件!$C$9,"利用可",IF(AND(Y1024="停止",G1024="停止"),"両方停止","運転がそろわない")))</f>
        <v>運転がそろわない</v>
      </c>
      <c r="AR1024" s="30" t="n">
        <v>60</v>
      </c>
      <c r="AS1024" s="30" t="n">
        <v>31</v>
      </c>
      <c r="AT1024" s="30" t="str">
        <f aca="false">IF(OR(AB1024="判定不能",J1024="判定不能"),"判定不能",IF(AS1024&gt;=判定条件!$C$9,"利用可",IF(AND(AB1024="停止",J1024="停止"),"両方停止","運転がそろわない")))</f>
        <v>利用可</v>
      </c>
      <c r="AU1024" s="30" t="n">
        <v>60</v>
      </c>
      <c r="AV1024" s="30" t="n">
        <v>60</v>
      </c>
      <c r="AW1024" s="30" t="str">
        <f aca="false">IF(OR(AE1024="判定不能",M1024="判定不能"),"判定不能",IF(AV1024&gt;=判定条件!$C$9,"利用可",IF(AND(AE1024="停止",M1024="停止"),"両方停止","運転がそろわない")))</f>
        <v>利用可</v>
      </c>
      <c r="AX1024" s="30" t="str">
        <f aca="false">IF(AND(AH1024="利用可",AK1024="利用可",AN1024="利用可"),"利用可","不可")</f>
        <v>利用可</v>
      </c>
      <c r="AY1024" s="30" t="str">
        <f aca="false">IF(AND(AQ1024="利用可",AT1024="利用可",AW1024="利用可"),"利用可","不可")</f>
        <v>不可</v>
      </c>
    </row>
    <row r="1025" customFormat="false" ht="15" hidden="false" customHeight="false" outlineLevel="0" collapsed="false">
      <c r="A1025" s="29" t="n">
        <v>46274</v>
      </c>
      <c r="B1025" s="30" t="n">
        <v>14</v>
      </c>
      <c r="C1025" s="31" t="s">
        <v>58</v>
      </c>
      <c r="D1025" s="31" t="s">
        <v>59</v>
      </c>
      <c r="E1025" s="30" t="n">
        <v>60</v>
      </c>
      <c r="F1025" s="30" t="n">
        <v>60</v>
      </c>
      <c r="G1025" s="30" t="str">
        <f aca="false">IF(E1025&lt;判定条件!$C$6,"判定不能",IF(F1025&gt;=判定条件!$C$7*E1025,"運転",IF(F1025&lt;=判定条件!$C$8*E1025,"停止","断続")))</f>
        <v>運転</v>
      </c>
      <c r="H1025" s="30" t="n">
        <v>60</v>
      </c>
      <c r="I1025" s="30" t="n">
        <v>54</v>
      </c>
      <c r="J1025" s="30" t="str">
        <f aca="false">IF(H1025&lt;判定条件!$C$6,"判定不能",IF(I1025&gt;=判定条件!$C$7*H1025,"運転",IF(I1025&lt;=判定条件!$C$8*H1025,"停止","断続")))</f>
        <v>運転</v>
      </c>
      <c r="K1025" s="30" t="n">
        <v>60</v>
      </c>
      <c r="L1025" s="30" t="n">
        <v>60</v>
      </c>
      <c r="M1025" s="30" t="str">
        <f aca="false">IF(K1025&lt;判定条件!$C$6,"判定不能",IF(L1025&gt;=判定条件!$C$7*K1025,"運転",IF(L1025&lt;=判定条件!$C$8*K1025,"停止","断続")))</f>
        <v>運転</v>
      </c>
      <c r="N1025" s="30" t="n">
        <v>60</v>
      </c>
      <c r="O1025" s="30" t="n">
        <v>60</v>
      </c>
      <c r="P1025" s="30" t="str">
        <f aca="false">IF(N1025&lt;判定条件!$C$6,"判定不能",IF(O1025&gt;=判定条件!$C$7*N1025,"運転",IF(O1025&lt;=判定条件!$C$8*N1025,"停止","断続")))</f>
        <v>運転</v>
      </c>
      <c r="Q1025" s="30" t="n">
        <v>60</v>
      </c>
      <c r="R1025" s="30" t="n">
        <v>60</v>
      </c>
      <c r="S1025" s="30" t="str">
        <f aca="false">IF(Q1025&lt;判定条件!$C$6,"判定不能",IF(R1025&gt;=判定条件!$C$7*Q1025,"運転",IF(R1025&lt;=判定条件!$C$8*Q1025,"停止","断続")))</f>
        <v>運転</v>
      </c>
      <c r="T1025" s="30" t="n">
        <v>60</v>
      </c>
      <c r="U1025" s="30" t="n">
        <v>29</v>
      </c>
      <c r="V1025" s="30" t="str">
        <f aca="false">IF(T1025&lt;判定条件!$C$6,"判定不能",IF(U1025&gt;=判定条件!$C$7*T1025,"運転",IF(U1025&lt;=判定条件!$C$8*T1025,"停止","断続")))</f>
        <v>断続</v>
      </c>
      <c r="W1025" s="30" t="n">
        <v>60</v>
      </c>
      <c r="X1025" s="30" t="n">
        <v>41</v>
      </c>
      <c r="Y1025" s="30" t="str">
        <f aca="false">IF(W1025&lt;判定条件!$C$6,"判定不能",IF(X1025&gt;=判定条件!$C$7*W1025,"運転",IF(X1025&lt;=判定条件!$C$8*W1025,"停止","断続")))</f>
        <v>断続</v>
      </c>
      <c r="Z1025" s="30" t="n">
        <v>60</v>
      </c>
      <c r="AA1025" s="30" t="n">
        <v>60</v>
      </c>
      <c r="AB1025" s="30" t="str">
        <f aca="false">IF(Z1025&lt;判定条件!$C$6,"判定不能",IF(AA1025&gt;=判定条件!$C$7*Z1025,"運転",IF(AA1025&lt;=判定条件!$C$8*Z1025,"停止","断続")))</f>
        <v>運転</v>
      </c>
      <c r="AC1025" s="30" t="n">
        <v>60</v>
      </c>
      <c r="AD1025" s="30" t="n">
        <v>60</v>
      </c>
      <c r="AE1025" s="30" t="str">
        <f aca="false">IF(AC1025&lt;判定条件!$C$6,"判定不能",IF(AD1025&gt;=判定条件!$C$7*AC1025,"運転",IF(AD1025&lt;=判定条件!$C$8*AC1025,"停止","断続")))</f>
        <v>運転</v>
      </c>
      <c r="AF1025" s="30" t="n">
        <v>60</v>
      </c>
      <c r="AG1025" s="30" t="n">
        <v>60</v>
      </c>
      <c r="AH1025" s="30" t="str">
        <f aca="false">IF(OR(P1025="判定不能",G1025="判定不能"),"判定不能",IF(AG1025&gt;=判定条件!$C$9,"利用可",IF(AND(P1025="停止",G1025="停止"),"両方停止","運転がそろわない")))</f>
        <v>利用可</v>
      </c>
      <c r="AI1025" s="30" t="n">
        <v>60</v>
      </c>
      <c r="AJ1025" s="30" t="n">
        <v>54</v>
      </c>
      <c r="AK1025" s="30" t="str">
        <f aca="false">IF(OR(S1025="判定不能",J1025="判定不能"),"判定不能",IF(AJ1025&gt;=判定条件!$C$9,"利用可",IF(AND(S1025="停止",J1025="停止"),"両方停止","運転がそろわない")))</f>
        <v>利用可</v>
      </c>
      <c r="AL1025" s="30" t="n">
        <v>60</v>
      </c>
      <c r="AM1025" s="30" t="n">
        <v>29</v>
      </c>
      <c r="AN1025" s="30" t="str">
        <f aca="false">IF(OR(V1025="判定不能",M1025="判定不能"),"判定不能",IF(AM1025&gt;=判定条件!$C$9,"利用可",IF(AND(V1025="停止",M1025="停止"),"両方停止","運転がそろわない")))</f>
        <v>運転がそろわない</v>
      </c>
      <c r="AO1025" s="30" t="n">
        <v>60</v>
      </c>
      <c r="AP1025" s="30" t="n">
        <v>41</v>
      </c>
      <c r="AQ1025" s="30" t="str">
        <f aca="false">IF(OR(Y1025="判定不能",G1025="判定不能"),"判定不能",IF(AP1025&gt;=判定条件!$C$9,"利用可",IF(AND(Y1025="停止",G1025="停止"),"両方停止","運転がそろわない")))</f>
        <v>利用可</v>
      </c>
      <c r="AR1025" s="30" t="n">
        <v>60</v>
      </c>
      <c r="AS1025" s="30" t="n">
        <v>54</v>
      </c>
      <c r="AT1025" s="30" t="str">
        <f aca="false">IF(OR(AB1025="判定不能",J1025="判定不能"),"判定不能",IF(AS1025&gt;=判定条件!$C$9,"利用可",IF(AND(AB1025="停止",J1025="停止"),"両方停止","運転がそろわない")))</f>
        <v>利用可</v>
      </c>
      <c r="AU1025" s="30" t="n">
        <v>60</v>
      </c>
      <c r="AV1025" s="30" t="n">
        <v>60</v>
      </c>
      <c r="AW1025" s="30" t="str">
        <f aca="false">IF(OR(AE1025="判定不能",M1025="判定不能"),"判定不能",IF(AV1025&gt;=判定条件!$C$9,"利用可",IF(AND(AE1025="停止",M1025="停止"),"両方停止","運転がそろわない")))</f>
        <v>利用可</v>
      </c>
      <c r="AX1025" s="30" t="str">
        <f aca="false">IF(AND(AH1025="利用可",AK1025="利用可",AN1025="利用可"),"利用可","不可")</f>
        <v>不可</v>
      </c>
      <c r="AY1025" s="30" t="str">
        <f aca="false">IF(AND(AQ1025="利用可",AT1025="利用可",AW1025="利用可"),"利用可","不可")</f>
        <v>利用可</v>
      </c>
    </row>
    <row r="1026" customFormat="false" ht="15" hidden="false" customHeight="false" outlineLevel="0" collapsed="false">
      <c r="A1026" s="29" t="n">
        <v>46274</v>
      </c>
      <c r="B1026" s="30" t="n">
        <v>15</v>
      </c>
      <c r="C1026" s="31" t="s">
        <v>58</v>
      </c>
      <c r="D1026" s="31" t="s">
        <v>59</v>
      </c>
      <c r="E1026" s="30" t="n">
        <v>60</v>
      </c>
      <c r="F1026" s="30" t="n">
        <v>60</v>
      </c>
      <c r="G1026" s="30" t="str">
        <f aca="false">IF(E1026&lt;判定条件!$C$6,"判定不能",IF(F1026&gt;=判定条件!$C$7*E1026,"運転",IF(F1026&lt;=判定条件!$C$8*E1026,"停止","断続")))</f>
        <v>運転</v>
      </c>
      <c r="H1026" s="30" t="n">
        <v>60</v>
      </c>
      <c r="I1026" s="30" t="n">
        <v>54</v>
      </c>
      <c r="J1026" s="30" t="str">
        <f aca="false">IF(H1026&lt;判定条件!$C$6,"判定不能",IF(I1026&gt;=判定条件!$C$7*H1026,"運転",IF(I1026&lt;=判定条件!$C$8*H1026,"停止","断続")))</f>
        <v>運転</v>
      </c>
      <c r="K1026" s="30" t="n">
        <v>60</v>
      </c>
      <c r="L1026" s="30" t="n">
        <v>60</v>
      </c>
      <c r="M1026" s="30" t="str">
        <f aca="false">IF(K1026&lt;判定条件!$C$6,"判定不能",IF(L1026&gt;=判定条件!$C$7*K1026,"運転",IF(L1026&lt;=判定条件!$C$8*K1026,"停止","断続")))</f>
        <v>運転</v>
      </c>
      <c r="N1026" s="30" t="n">
        <v>60</v>
      </c>
      <c r="O1026" s="30" t="n">
        <v>14</v>
      </c>
      <c r="P1026" s="30" t="str">
        <f aca="false">IF(N1026&lt;判定条件!$C$6,"判定不能",IF(O1026&gt;=判定条件!$C$7*N1026,"運転",IF(O1026&lt;=判定条件!$C$8*N1026,"停止","断続")))</f>
        <v>断続</v>
      </c>
      <c r="Q1026" s="30" t="n">
        <v>60</v>
      </c>
      <c r="R1026" s="30" t="n">
        <v>28</v>
      </c>
      <c r="S1026" s="30" t="str">
        <f aca="false">IF(Q1026&lt;判定条件!$C$6,"判定不能",IF(R1026&gt;=判定条件!$C$7*Q1026,"運転",IF(R1026&lt;=判定条件!$C$8*Q1026,"停止","断続")))</f>
        <v>断続</v>
      </c>
      <c r="T1026" s="30" t="n">
        <v>60</v>
      </c>
      <c r="U1026" s="30" t="n">
        <v>60</v>
      </c>
      <c r="V1026" s="30" t="str">
        <f aca="false">IF(T1026&lt;判定条件!$C$6,"判定不能",IF(U1026&gt;=判定条件!$C$7*T1026,"運転",IF(U1026&lt;=判定条件!$C$8*T1026,"停止","断続")))</f>
        <v>運転</v>
      </c>
      <c r="W1026" s="30" t="n">
        <v>60</v>
      </c>
      <c r="X1026" s="30" t="n">
        <v>60</v>
      </c>
      <c r="Y1026" s="30" t="str">
        <f aca="false">IF(W1026&lt;判定条件!$C$6,"判定不能",IF(X1026&gt;=判定条件!$C$7*W1026,"運転",IF(X1026&lt;=判定条件!$C$8*W1026,"停止","断続")))</f>
        <v>運転</v>
      </c>
      <c r="Z1026" s="30" t="n">
        <v>60</v>
      </c>
      <c r="AA1026" s="30" t="n">
        <v>26</v>
      </c>
      <c r="AB1026" s="30" t="str">
        <f aca="false">IF(Z1026&lt;判定条件!$C$6,"判定不能",IF(AA1026&gt;=判定条件!$C$7*Z1026,"運転",IF(AA1026&lt;=判定条件!$C$8*Z1026,"停止","断続")))</f>
        <v>断続</v>
      </c>
      <c r="AC1026" s="30" t="n">
        <v>60</v>
      </c>
      <c r="AD1026" s="30" t="n">
        <v>47</v>
      </c>
      <c r="AE1026" s="30" t="str">
        <f aca="false">IF(AC1026&lt;判定条件!$C$6,"判定不能",IF(AD1026&gt;=判定条件!$C$7*AC1026,"運転",IF(AD1026&lt;=判定条件!$C$8*AC1026,"停止","断続")))</f>
        <v>断続</v>
      </c>
      <c r="AF1026" s="30" t="n">
        <v>60</v>
      </c>
      <c r="AG1026" s="30" t="n">
        <v>14</v>
      </c>
      <c r="AH1026" s="30" t="str">
        <f aca="false">IF(OR(P1026="判定不能",G1026="判定不能"),"判定不能",IF(AG1026&gt;=判定条件!$C$9,"利用可",IF(AND(P1026="停止",G1026="停止"),"両方停止","運転がそろわない")))</f>
        <v>運転がそろわない</v>
      </c>
      <c r="AI1026" s="30" t="n">
        <v>60</v>
      </c>
      <c r="AJ1026" s="30" t="n">
        <v>22</v>
      </c>
      <c r="AK1026" s="30" t="str">
        <f aca="false">IF(OR(S1026="判定不能",J1026="判定不能"),"判定不能",IF(AJ1026&gt;=判定条件!$C$9,"利用可",IF(AND(S1026="停止",J1026="停止"),"両方停止","運転がそろわない")))</f>
        <v>運転がそろわない</v>
      </c>
      <c r="AL1026" s="30" t="n">
        <v>60</v>
      </c>
      <c r="AM1026" s="30" t="n">
        <v>60</v>
      </c>
      <c r="AN1026" s="30" t="str">
        <f aca="false">IF(OR(V1026="判定不能",M1026="判定不能"),"判定不能",IF(AM1026&gt;=判定条件!$C$9,"利用可",IF(AND(V1026="停止",M1026="停止"),"両方停止","運転がそろわない")))</f>
        <v>利用可</v>
      </c>
      <c r="AO1026" s="30" t="n">
        <v>60</v>
      </c>
      <c r="AP1026" s="30" t="n">
        <v>60</v>
      </c>
      <c r="AQ1026" s="30" t="str">
        <f aca="false">IF(OR(Y1026="判定不能",G1026="判定不能"),"判定不能",IF(AP1026&gt;=判定条件!$C$9,"利用可",IF(AND(Y1026="停止",G1026="停止"),"両方停止","運転がそろわない")))</f>
        <v>利用可</v>
      </c>
      <c r="AR1026" s="30" t="n">
        <v>60</v>
      </c>
      <c r="AS1026" s="30" t="n">
        <v>26</v>
      </c>
      <c r="AT1026" s="30" t="str">
        <f aca="false">IF(OR(AB1026="判定不能",J1026="判定不能"),"判定不能",IF(AS1026&gt;=判定条件!$C$9,"利用可",IF(AND(AB1026="停止",J1026="停止"),"両方停止","運転がそろわない")))</f>
        <v>運転がそろわない</v>
      </c>
      <c r="AU1026" s="30" t="n">
        <v>60</v>
      </c>
      <c r="AV1026" s="30" t="n">
        <v>47</v>
      </c>
      <c r="AW1026" s="30" t="str">
        <f aca="false">IF(OR(AE1026="判定不能",M1026="判定不能"),"判定不能",IF(AV1026&gt;=判定条件!$C$9,"利用可",IF(AND(AE1026="停止",M1026="停止"),"両方停止","運転がそろわない")))</f>
        <v>利用可</v>
      </c>
      <c r="AX1026" s="30" t="str">
        <f aca="false">IF(AND(AH1026="利用可",AK1026="利用可",AN1026="利用可"),"利用可","不可")</f>
        <v>不可</v>
      </c>
      <c r="AY1026" s="30" t="str">
        <f aca="false">IF(AND(AQ1026="利用可",AT1026="利用可",AW1026="利用可"),"利用可","不可")</f>
        <v>不可</v>
      </c>
    </row>
    <row r="1027" customFormat="false" ht="15" hidden="false" customHeight="false" outlineLevel="0" collapsed="false">
      <c r="A1027" s="29" t="n">
        <v>46274</v>
      </c>
      <c r="B1027" s="30" t="n">
        <v>16</v>
      </c>
      <c r="C1027" s="31" t="s">
        <v>58</v>
      </c>
      <c r="D1027" s="31" t="s">
        <v>59</v>
      </c>
      <c r="E1027" s="30" t="n">
        <v>60</v>
      </c>
      <c r="F1027" s="30" t="n">
        <v>55</v>
      </c>
      <c r="G1027" s="30" t="str">
        <f aca="false">IF(E1027&lt;判定条件!$C$6,"判定不能",IF(F1027&gt;=判定条件!$C$7*E1027,"運転",IF(F1027&lt;=判定条件!$C$8*E1027,"停止","断続")))</f>
        <v>運転</v>
      </c>
      <c r="H1027" s="30" t="n">
        <v>60</v>
      </c>
      <c r="I1027" s="30" t="n">
        <v>51</v>
      </c>
      <c r="J1027" s="30" t="str">
        <f aca="false">IF(H1027&lt;判定条件!$C$6,"判定不能",IF(I1027&gt;=判定条件!$C$7*H1027,"運転",IF(I1027&lt;=判定条件!$C$8*H1027,"停止","断続")))</f>
        <v>運転</v>
      </c>
      <c r="K1027" s="30" t="n">
        <v>60</v>
      </c>
      <c r="L1027" s="30" t="n">
        <v>60</v>
      </c>
      <c r="M1027" s="30" t="str">
        <f aca="false">IF(K1027&lt;判定条件!$C$6,"判定不能",IF(L1027&gt;=判定条件!$C$7*K1027,"運転",IF(L1027&lt;=判定条件!$C$8*K1027,"停止","断続")))</f>
        <v>運転</v>
      </c>
      <c r="N1027" s="30" t="n">
        <v>60</v>
      </c>
      <c r="O1027" s="30" t="n">
        <v>53</v>
      </c>
      <c r="P1027" s="30" t="str">
        <f aca="false">IF(N1027&lt;判定条件!$C$6,"判定不能",IF(O1027&gt;=判定条件!$C$7*N1027,"運転",IF(O1027&lt;=判定条件!$C$8*N1027,"停止","断続")))</f>
        <v>運転</v>
      </c>
      <c r="Q1027" s="30" t="n">
        <v>60</v>
      </c>
      <c r="R1027" s="30" t="n">
        <v>60</v>
      </c>
      <c r="S1027" s="30" t="str">
        <f aca="false">IF(Q1027&lt;判定条件!$C$6,"判定不能",IF(R1027&gt;=判定条件!$C$7*Q1027,"運転",IF(R1027&lt;=判定条件!$C$8*Q1027,"停止","断続")))</f>
        <v>運転</v>
      </c>
      <c r="T1027" s="30" t="n">
        <v>60</v>
      </c>
      <c r="U1027" s="30" t="n">
        <v>40</v>
      </c>
      <c r="V1027" s="30" t="str">
        <f aca="false">IF(T1027&lt;判定条件!$C$6,"判定不能",IF(U1027&gt;=判定条件!$C$7*T1027,"運転",IF(U1027&lt;=判定条件!$C$8*T1027,"停止","断続")))</f>
        <v>断続</v>
      </c>
      <c r="W1027" s="30" t="n">
        <v>60</v>
      </c>
      <c r="X1027" s="30" t="n">
        <v>56</v>
      </c>
      <c r="Y1027" s="30" t="str">
        <f aca="false">IF(W1027&lt;判定条件!$C$6,"判定不能",IF(X1027&gt;=判定条件!$C$7*W1027,"運転",IF(X1027&lt;=判定条件!$C$8*W1027,"停止","断続")))</f>
        <v>運転</v>
      </c>
      <c r="Z1027" s="30" t="n">
        <v>60</v>
      </c>
      <c r="AA1027" s="30" t="n">
        <v>54</v>
      </c>
      <c r="AB1027" s="30" t="str">
        <f aca="false">IF(Z1027&lt;判定条件!$C$6,"判定不能",IF(AA1027&gt;=判定条件!$C$7*Z1027,"運転",IF(AA1027&lt;=判定条件!$C$8*Z1027,"停止","断続")))</f>
        <v>運転</v>
      </c>
      <c r="AC1027" s="30" t="n">
        <v>60</v>
      </c>
      <c r="AD1027" s="30" t="n">
        <v>46</v>
      </c>
      <c r="AE1027" s="30" t="str">
        <f aca="false">IF(AC1027&lt;判定条件!$C$6,"判定不能",IF(AD1027&gt;=判定条件!$C$7*AC1027,"運転",IF(AD1027&lt;=判定条件!$C$8*AC1027,"停止","断続")))</f>
        <v>断続</v>
      </c>
      <c r="AF1027" s="30" t="n">
        <v>60</v>
      </c>
      <c r="AG1027" s="30" t="n">
        <v>53</v>
      </c>
      <c r="AH1027" s="30" t="str">
        <f aca="false">IF(OR(P1027="判定不能",G1027="判定不能"),"判定不能",IF(AG1027&gt;=判定条件!$C$9,"利用可",IF(AND(P1027="停止",G1027="停止"),"両方停止","運転がそろわない")))</f>
        <v>利用可</v>
      </c>
      <c r="AI1027" s="30" t="n">
        <v>60</v>
      </c>
      <c r="AJ1027" s="30" t="n">
        <v>51</v>
      </c>
      <c r="AK1027" s="30" t="str">
        <f aca="false">IF(OR(S1027="判定不能",J1027="判定不能"),"判定不能",IF(AJ1027&gt;=判定条件!$C$9,"利用可",IF(AND(S1027="停止",J1027="停止"),"両方停止","運転がそろわない")))</f>
        <v>利用可</v>
      </c>
      <c r="AL1027" s="30" t="n">
        <v>60</v>
      </c>
      <c r="AM1027" s="30" t="n">
        <v>40</v>
      </c>
      <c r="AN1027" s="30" t="str">
        <f aca="false">IF(OR(V1027="判定不能",M1027="判定不能"),"判定不能",IF(AM1027&gt;=判定条件!$C$9,"利用可",IF(AND(V1027="停止",M1027="停止"),"両方停止","運転がそろわない")))</f>
        <v>利用可</v>
      </c>
      <c r="AO1027" s="30" t="n">
        <v>60</v>
      </c>
      <c r="AP1027" s="30" t="n">
        <v>51</v>
      </c>
      <c r="AQ1027" s="30" t="str">
        <f aca="false">IF(OR(Y1027="判定不能",G1027="判定不能"),"判定不能",IF(AP1027&gt;=判定条件!$C$9,"利用可",IF(AND(Y1027="停止",G1027="停止"),"両方停止","運転がそろわない")))</f>
        <v>利用可</v>
      </c>
      <c r="AR1027" s="30" t="n">
        <v>60</v>
      </c>
      <c r="AS1027" s="30" t="n">
        <v>49</v>
      </c>
      <c r="AT1027" s="30" t="str">
        <f aca="false">IF(OR(AB1027="判定不能",J1027="判定不能"),"判定不能",IF(AS1027&gt;=判定条件!$C$9,"利用可",IF(AND(AB1027="停止",J1027="停止"),"両方停止","運転がそろわない")))</f>
        <v>利用可</v>
      </c>
      <c r="AU1027" s="30" t="n">
        <v>60</v>
      </c>
      <c r="AV1027" s="30" t="n">
        <v>46</v>
      </c>
      <c r="AW1027" s="30" t="str">
        <f aca="false">IF(OR(AE1027="判定不能",M1027="判定不能"),"判定不能",IF(AV1027&gt;=判定条件!$C$9,"利用可",IF(AND(AE1027="停止",M1027="停止"),"両方停止","運転がそろわない")))</f>
        <v>利用可</v>
      </c>
      <c r="AX1027" s="30" t="str">
        <f aca="false">IF(AND(AH1027="利用可",AK1027="利用可",AN1027="利用可"),"利用可","不可")</f>
        <v>利用可</v>
      </c>
      <c r="AY1027" s="30" t="str">
        <f aca="false">IF(AND(AQ1027="利用可",AT1027="利用可",AW1027="利用可"),"利用可","不可")</f>
        <v>利用可</v>
      </c>
    </row>
    <row r="1028" customFormat="false" ht="15" hidden="false" customHeight="false" outlineLevel="0" collapsed="false">
      <c r="A1028" s="29" t="n">
        <v>46274</v>
      </c>
      <c r="B1028" s="30" t="n">
        <v>17</v>
      </c>
      <c r="C1028" s="31" t="s">
        <v>58</v>
      </c>
      <c r="D1028" s="31" t="s">
        <v>59</v>
      </c>
      <c r="E1028" s="30" t="n">
        <v>60</v>
      </c>
      <c r="F1028" s="30" t="n">
        <v>41</v>
      </c>
      <c r="G1028" s="30" t="str">
        <f aca="false">IF(E1028&lt;判定条件!$C$6,"判定不能",IF(F1028&gt;=判定条件!$C$7*E1028,"運転",IF(F1028&lt;=判定条件!$C$8*E1028,"停止","断続")))</f>
        <v>断続</v>
      </c>
      <c r="H1028" s="30" t="n">
        <v>60</v>
      </c>
      <c r="I1028" s="30" t="n">
        <v>55</v>
      </c>
      <c r="J1028" s="30" t="str">
        <f aca="false">IF(H1028&lt;判定条件!$C$6,"判定不能",IF(I1028&gt;=判定条件!$C$7*H1028,"運転",IF(I1028&lt;=判定条件!$C$8*H1028,"停止","断続")))</f>
        <v>運転</v>
      </c>
      <c r="K1028" s="30" t="n">
        <v>60</v>
      </c>
      <c r="L1028" s="30" t="n">
        <v>46</v>
      </c>
      <c r="M1028" s="30" t="str">
        <f aca="false">IF(K1028&lt;判定条件!$C$6,"判定不能",IF(L1028&gt;=判定条件!$C$7*K1028,"運転",IF(L1028&lt;=判定条件!$C$8*K1028,"停止","断続")))</f>
        <v>断続</v>
      </c>
      <c r="N1028" s="30" t="n">
        <v>60</v>
      </c>
      <c r="O1028" s="30" t="n">
        <v>37</v>
      </c>
      <c r="P1028" s="30" t="str">
        <f aca="false">IF(N1028&lt;判定条件!$C$6,"判定不能",IF(O1028&gt;=判定条件!$C$7*N1028,"運転",IF(O1028&lt;=判定条件!$C$8*N1028,"停止","断続")))</f>
        <v>断続</v>
      </c>
      <c r="Q1028" s="30" t="n">
        <v>60</v>
      </c>
      <c r="R1028" s="30" t="n">
        <v>32</v>
      </c>
      <c r="S1028" s="30" t="str">
        <f aca="false">IF(Q1028&lt;判定条件!$C$6,"判定不能",IF(R1028&gt;=判定条件!$C$7*Q1028,"運転",IF(R1028&lt;=判定条件!$C$8*Q1028,"停止","断続")))</f>
        <v>断続</v>
      </c>
      <c r="T1028" s="30" t="n">
        <v>60</v>
      </c>
      <c r="U1028" s="30" t="n">
        <v>60</v>
      </c>
      <c r="V1028" s="30" t="str">
        <f aca="false">IF(T1028&lt;判定条件!$C$6,"判定不能",IF(U1028&gt;=判定条件!$C$7*T1028,"運転",IF(U1028&lt;=判定条件!$C$8*T1028,"停止","断続")))</f>
        <v>運転</v>
      </c>
      <c r="W1028" s="30" t="n">
        <v>60</v>
      </c>
      <c r="X1028" s="30" t="n">
        <v>36</v>
      </c>
      <c r="Y1028" s="30" t="str">
        <f aca="false">IF(W1028&lt;判定条件!$C$6,"判定不能",IF(X1028&gt;=判定条件!$C$7*W1028,"運転",IF(X1028&lt;=判定条件!$C$8*W1028,"停止","断続")))</f>
        <v>断続</v>
      </c>
      <c r="Z1028" s="30" t="n">
        <v>60</v>
      </c>
      <c r="AA1028" s="30" t="n">
        <v>18</v>
      </c>
      <c r="AB1028" s="30" t="str">
        <f aca="false">IF(Z1028&lt;判定条件!$C$6,"判定不能",IF(AA1028&gt;=判定条件!$C$7*Z1028,"運転",IF(AA1028&lt;=判定条件!$C$8*Z1028,"停止","断続")))</f>
        <v>断続</v>
      </c>
      <c r="AC1028" s="30" t="n">
        <v>60</v>
      </c>
      <c r="AD1028" s="30" t="n">
        <v>50</v>
      </c>
      <c r="AE1028" s="30" t="str">
        <f aca="false">IF(AC1028&lt;判定条件!$C$6,"判定不能",IF(AD1028&gt;=判定条件!$C$7*AC1028,"運転",IF(AD1028&lt;=判定条件!$C$8*AC1028,"停止","断続")))</f>
        <v>運転</v>
      </c>
      <c r="AF1028" s="30" t="n">
        <v>60</v>
      </c>
      <c r="AG1028" s="30" t="n">
        <v>27</v>
      </c>
      <c r="AH1028" s="30" t="str">
        <f aca="false">IF(OR(P1028="判定不能",G1028="判定不能"),"判定不能",IF(AG1028&gt;=判定条件!$C$9,"利用可",IF(AND(P1028="停止",G1028="停止"),"両方停止","運転がそろわない")))</f>
        <v>運転がそろわない</v>
      </c>
      <c r="AI1028" s="30" t="n">
        <v>60</v>
      </c>
      <c r="AJ1028" s="30" t="n">
        <v>29</v>
      </c>
      <c r="AK1028" s="30" t="str">
        <f aca="false">IF(OR(S1028="判定不能",J1028="判定不能"),"判定不能",IF(AJ1028&gt;=判定条件!$C$9,"利用可",IF(AND(S1028="停止",J1028="停止"),"両方停止","運転がそろわない")))</f>
        <v>運転がそろわない</v>
      </c>
      <c r="AL1028" s="30" t="n">
        <v>60</v>
      </c>
      <c r="AM1028" s="30" t="n">
        <v>46</v>
      </c>
      <c r="AN1028" s="30" t="str">
        <f aca="false">IF(OR(V1028="判定不能",M1028="判定不能"),"判定不能",IF(AM1028&gt;=判定条件!$C$9,"利用可",IF(AND(V1028="停止",M1028="停止"),"両方停止","運転がそろわない")))</f>
        <v>利用可</v>
      </c>
      <c r="AO1028" s="30" t="n">
        <v>60</v>
      </c>
      <c r="AP1028" s="30" t="n">
        <v>29</v>
      </c>
      <c r="AQ1028" s="30" t="str">
        <f aca="false">IF(OR(Y1028="判定不能",G1028="判定不能"),"判定不能",IF(AP1028&gt;=判定条件!$C$9,"利用可",IF(AND(Y1028="停止",G1028="停止"),"両方停止","運転がそろわない")))</f>
        <v>運転がそろわない</v>
      </c>
      <c r="AR1028" s="30" t="n">
        <v>60</v>
      </c>
      <c r="AS1028" s="30" t="n">
        <v>13</v>
      </c>
      <c r="AT1028" s="30" t="str">
        <f aca="false">IF(OR(AB1028="判定不能",J1028="判定不能"),"判定不能",IF(AS1028&gt;=判定条件!$C$9,"利用可",IF(AND(AB1028="停止",J1028="停止"),"両方停止","運転がそろわない")))</f>
        <v>運転がそろわない</v>
      </c>
      <c r="AU1028" s="30" t="n">
        <v>60</v>
      </c>
      <c r="AV1028" s="30" t="n">
        <v>36</v>
      </c>
      <c r="AW1028" s="30" t="str">
        <f aca="false">IF(OR(AE1028="判定不能",M1028="判定不能"),"判定不能",IF(AV1028&gt;=判定条件!$C$9,"利用可",IF(AND(AE1028="停止",M1028="停止"),"両方停止","運転がそろわない")))</f>
        <v>利用可</v>
      </c>
      <c r="AX1028" s="30" t="str">
        <f aca="false">IF(AND(AH1028="利用可",AK1028="利用可",AN1028="利用可"),"利用可","不可")</f>
        <v>不可</v>
      </c>
      <c r="AY1028" s="30" t="str">
        <f aca="false">IF(AND(AQ1028="利用可",AT1028="利用可",AW1028="利用可"),"利用可","不可")</f>
        <v>不可</v>
      </c>
    </row>
    <row r="1029" customFormat="false" ht="15" hidden="false" customHeight="false" outlineLevel="0" collapsed="false">
      <c r="A1029" s="29" t="n">
        <v>46274</v>
      </c>
      <c r="B1029" s="30" t="n">
        <v>18</v>
      </c>
      <c r="C1029" s="31" t="s">
        <v>58</v>
      </c>
      <c r="D1029" s="31" t="s">
        <v>59</v>
      </c>
      <c r="E1029" s="30" t="n">
        <v>60</v>
      </c>
      <c r="F1029" s="30" t="n">
        <v>45</v>
      </c>
      <c r="G1029" s="30" t="str">
        <f aca="false">IF(E1029&lt;判定条件!$C$6,"判定不能",IF(F1029&gt;=判定条件!$C$7*E1029,"運転",IF(F1029&lt;=判定条件!$C$8*E1029,"停止","断続")))</f>
        <v>断続</v>
      </c>
      <c r="H1029" s="30" t="n">
        <v>60</v>
      </c>
      <c r="I1029" s="30" t="n">
        <v>28</v>
      </c>
      <c r="J1029" s="30" t="str">
        <f aca="false">IF(H1029&lt;判定条件!$C$6,"判定不能",IF(I1029&gt;=判定条件!$C$7*H1029,"運転",IF(I1029&lt;=判定条件!$C$8*H1029,"停止","断続")))</f>
        <v>断続</v>
      </c>
      <c r="K1029" s="30" t="n">
        <v>60</v>
      </c>
      <c r="L1029" s="30" t="n">
        <v>26</v>
      </c>
      <c r="M1029" s="30" t="str">
        <f aca="false">IF(K1029&lt;判定条件!$C$6,"判定不能",IF(L1029&gt;=判定条件!$C$7*K1029,"運転",IF(L1029&lt;=判定条件!$C$8*K1029,"停止","断続")))</f>
        <v>断続</v>
      </c>
      <c r="N1029" s="30" t="n">
        <v>60</v>
      </c>
      <c r="O1029" s="30" t="n">
        <v>5</v>
      </c>
      <c r="P1029" s="30" t="str">
        <f aca="false">IF(N1029&lt;判定条件!$C$6,"判定不能",IF(O1029&gt;=判定条件!$C$7*N1029,"運転",IF(O1029&lt;=判定条件!$C$8*N1029,"停止","断続")))</f>
        <v>停止</v>
      </c>
      <c r="Q1029" s="30" t="n">
        <v>60</v>
      </c>
      <c r="R1029" s="30" t="n">
        <v>0</v>
      </c>
      <c r="S1029" s="30" t="str">
        <f aca="false">IF(Q1029&lt;判定条件!$C$6,"判定不能",IF(R1029&gt;=判定条件!$C$7*Q1029,"運転",IF(R1029&lt;=判定条件!$C$8*Q1029,"停止","断続")))</f>
        <v>停止</v>
      </c>
      <c r="T1029" s="30" t="n">
        <v>60</v>
      </c>
      <c r="U1029" s="30" t="n">
        <v>5</v>
      </c>
      <c r="V1029" s="30" t="str">
        <f aca="false">IF(T1029&lt;判定条件!$C$6,"判定不能",IF(U1029&gt;=判定条件!$C$7*T1029,"運転",IF(U1029&lt;=判定条件!$C$8*T1029,"停止","断続")))</f>
        <v>停止</v>
      </c>
      <c r="W1029" s="30" t="n">
        <v>60</v>
      </c>
      <c r="X1029" s="30" t="n">
        <v>4</v>
      </c>
      <c r="Y1029" s="30" t="str">
        <f aca="false">IF(W1029&lt;判定条件!$C$6,"判定不能",IF(X1029&gt;=判定条件!$C$7*W1029,"運転",IF(X1029&lt;=判定条件!$C$8*W1029,"停止","断続")))</f>
        <v>停止</v>
      </c>
      <c r="Z1029" s="30" t="n">
        <v>60</v>
      </c>
      <c r="AA1029" s="30" t="n">
        <v>36</v>
      </c>
      <c r="AB1029" s="30" t="str">
        <f aca="false">IF(Z1029&lt;判定条件!$C$6,"判定不能",IF(AA1029&gt;=判定条件!$C$7*Z1029,"運転",IF(AA1029&lt;=判定条件!$C$8*Z1029,"停止","断続")))</f>
        <v>断続</v>
      </c>
      <c r="AC1029" s="30" t="n">
        <v>60</v>
      </c>
      <c r="AD1029" s="30" t="n">
        <v>52</v>
      </c>
      <c r="AE1029" s="30" t="str">
        <f aca="false">IF(AC1029&lt;判定条件!$C$6,"判定不能",IF(AD1029&gt;=判定条件!$C$7*AC1029,"運転",IF(AD1029&lt;=判定条件!$C$8*AC1029,"停止","断続")))</f>
        <v>運転</v>
      </c>
      <c r="AF1029" s="30" t="n">
        <v>60</v>
      </c>
      <c r="AG1029" s="30" t="n">
        <v>5</v>
      </c>
      <c r="AH1029" s="30" t="str">
        <f aca="false">IF(OR(P1029="判定不能",G1029="判定不能"),"判定不能",IF(AG1029&gt;=判定条件!$C$9,"利用可",IF(AND(P1029="停止",G1029="停止"),"両方停止","運転がそろわない")))</f>
        <v>運転がそろわない</v>
      </c>
      <c r="AI1029" s="30" t="n">
        <v>60</v>
      </c>
      <c r="AJ1029" s="30" t="n">
        <v>0</v>
      </c>
      <c r="AK1029" s="30" t="str">
        <f aca="false">IF(OR(S1029="判定不能",J1029="判定不能"),"判定不能",IF(AJ1029&gt;=判定条件!$C$9,"利用可",IF(AND(S1029="停止",J1029="停止"),"両方停止","運転がそろわない")))</f>
        <v>運転がそろわない</v>
      </c>
      <c r="AL1029" s="30" t="n">
        <v>60</v>
      </c>
      <c r="AM1029" s="30" t="n">
        <v>0</v>
      </c>
      <c r="AN1029" s="30" t="str">
        <f aca="false">IF(OR(V1029="判定不能",M1029="判定不能"),"判定不能",IF(AM1029&gt;=判定条件!$C$9,"利用可",IF(AND(V1029="停止",M1029="停止"),"両方停止","運転がそろわない")))</f>
        <v>運転がそろわない</v>
      </c>
      <c r="AO1029" s="30" t="n">
        <v>60</v>
      </c>
      <c r="AP1029" s="30" t="n">
        <v>4</v>
      </c>
      <c r="AQ1029" s="30" t="str">
        <f aca="false">IF(OR(Y1029="判定不能",G1029="判定不能"),"判定不能",IF(AP1029&gt;=判定条件!$C$9,"利用可",IF(AND(Y1029="停止",G1029="停止"),"両方停止","運転がそろわない")))</f>
        <v>運転がそろわない</v>
      </c>
      <c r="AR1029" s="30" t="n">
        <v>60</v>
      </c>
      <c r="AS1029" s="30" t="n">
        <v>20</v>
      </c>
      <c r="AT1029" s="30" t="str">
        <f aca="false">IF(OR(AB1029="判定不能",J1029="判定不能"),"判定不能",IF(AS1029&gt;=判定条件!$C$9,"利用可",IF(AND(AB1029="停止",J1029="停止"),"両方停止","運転がそろわない")))</f>
        <v>運転がそろわない</v>
      </c>
      <c r="AU1029" s="30" t="n">
        <v>60</v>
      </c>
      <c r="AV1029" s="30" t="n">
        <v>22</v>
      </c>
      <c r="AW1029" s="30" t="str">
        <f aca="false">IF(OR(AE1029="判定不能",M1029="判定不能"),"判定不能",IF(AV1029&gt;=判定条件!$C$9,"利用可",IF(AND(AE1029="停止",M1029="停止"),"両方停止","運転がそろわない")))</f>
        <v>運転がそろわない</v>
      </c>
      <c r="AX1029" s="30" t="str">
        <f aca="false">IF(AND(AH1029="利用可",AK1029="利用可",AN1029="利用可"),"利用可","不可")</f>
        <v>不可</v>
      </c>
      <c r="AY1029" s="30" t="str">
        <f aca="false">IF(AND(AQ1029="利用可",AT1029="利用可",AW1029="利用可"),"利用可","不可")</f>
        <v>不可</v>
      </c>
    </row>
    <row r="1030" customFormat="false" ht="15" hidden="false" customHeight="false" outlineLevel="0" collapsed="false">
      <c r="A1030" s="29" t="n">
        <v>46274</v>
      </c>
      <c r="B1030" s="30" t="n">
        <v>19</v>
      </c>
      <c r="C1030" s="31" t="s">
        <v>58</v>
      </c>
      <c r="D1030" s="31" t="s">
        <v>59</v>
      </c>
      <c r="E1030" s="30" t="n">
        <v>60</v>
      </c>
      <c r="F1030" s="30" t="n">
        <v>20</v>
      </c>
      <c r="G1030" s="30" t="str">
        <f aca="false">IF(E1030&lt;判定条件!$C$6,"判定不能",IF(F1030&gt;=判定条件!$C$7*E1030,"運転",IF(F1030&lt;=判定条件!$C$8*E1030,"停止","断続")))</f>
        <v>断続</v>
      </c>
      <c r="H1030" s="30" t="n">
        <v>60</v>
      </c>
      <c r="I1030" s="30" t="n">
        <v>11</v>
      </c>
      <c r="J1030" s="30" t="str">
        <f aca="false">IF(H1030&lt;判定条件!$C$6,"判定不能",IF(I1030&gt;=判定条件!$C$7*H1030,"運転",IF(I1030&lt;=判定条件!$C$8*H1030,"停止","断続")))</f>
        <v>停止</v>
      </c>
      <c r="K1030" s="30" t="n">
        <v>60</v>
      </c>
      <c r="L1030" s="30" t="n">
        <v>60</v>
      </c>
      <c r="M1030" s="30" t="str">
        <f aca="false">IF(K1030&lt;判定条件!$C$6,"判定不能",IF(L1030&gt;=判定条件!$C$7*K1030,"運転",IF(L1030&lt;=判定条件!$C$8*K1030,"停止","断続")))</f>
        <v>運転</v>
      </c>
      <c r="N1030" s="30" t="n">
        <v>60</v>
      </c>
      <c r="O1030" s="30" t="n">
        <v>0</v>
      </c>
      <c r="P1030" s="30" t="str">
        <f aca="false">IF(N1030&lt;判定条件!$C$6,"判定不能",IF(O1030&gt;=判定条件!$C$7*N1030,"運転",IF(O1030&lt;=判定条件!$C$8*N1030,"停止","断続")))</f>
        <v>停止</v>
      </c>
      <c r="Q1030" s="30" t="n">
        <v>60</v>
      </c>
      <c r="R1030" s="30" t="n">
        <v>46</v>
      </c>
      <c r="S1030" s="30" t="str">
        <f aca="false">IF(Q1030&lt;判定条件!$C$6,"判定不能",IF(R1030&gt;=判定条件!$C$7*Q1030,"運転",IF(R1030&lt;=判定条件!$C$8*Q1030,"停止","断続")))</f>
        <v>断続</v>
      </c>
      <c r="T1030" s="30" t="n">
        <v>60</v>
      </c>
      <c r="U1030" s="30" t="n">
        <v>27</v>
      </c>
      <c r="V1030" s="30" t="str">
        <f aca="false">IF(T1030&lt;判定条件!$C$6,"判定不能",IF(U1030&gt;=判定条件!$C$7*T1030,"運転",IF(U1030&lt;=判定条件!$C$8*T1030,"停止","断続")))</f>
        <v>断続</v>
      </c>
      <c r="W1030" s="30" t="n">
        <v>60</v>
      </c>
      <c r="X1030" s="30" t="n">
        <v>0</v>
      </c>
      <c r="Y1030" s="30" t="str">
        <f aca="false">IF(W1030&lt;判定条件!$C$6,"判定不能",IF(X1030&gt;=判定条件!$C$7*W1030,"運転",IF(X1030&lt;=判定条件!$C$8*W1030,"停止","断続")))</f>
        <v>停止</v>
      </c>
      <c r="Z1030" s="30" t="n">
        <v>60</v>
      </c>
      <c r="AA1030" s="30" t="n">
        <v>0</v>
      </c>
      <c r="AB1030" s="30" t="str">
        <f aca="false">IF(Z1030&lt;判定条件!$C$6,"判定不能",IF(AA1030&gt;=判定条件!$C$7*Z1030,"運転",IF(AA1030&lt;=判定条件!$C$8*Z1030,"停止","断続")))</f>
        <v>停止</v>
      </c>
      <c r="AC1030" s="30" t="n">
        <v>60</v>
      </c>
      <c r="AD1030" s="30" t="n">
        <v>6</v>
      </c>
      <c r="AE1030" s="30" t="str">
        <f aca="false">IF(AC1030&lt;判定条件!$C$6,"判定不能",IF(AD1030&gt;=判定条件!$C$7*AC1030,"運転",IF(AD1030&lt;=判定条件!$C$8*AC1030,"停止","断続")))</f>
        <v>停止</v>
      </c>
      <c r="AF1030" s="30" t="n">
        <v>60</v>
      </c>
      <c r="AG1030" s="30" t="n">
        <v>0</v>
      </c>
      <c r="AH1030" s="30" t="str">
        <f aca="false">IF(OR(P1030="判定不能",G1030="判定不能"),"判定不能",IF(AG1030&gt;=判定条件!$C$9,"利用可",IF(AND(P1030="停止",G1030="停止"),"両方停止","運転がそろわない")))</f>
        <v>運転がそろわない</v>
      </c>
      <c r="AI1030" s="30" t="n">
        <v>60</v>
      </c>
      <c r="AJ1030" s="30" t="n">
        <v>5</v>
      </c>
      <c r="AK1030" s="30" t="str">
        <f aca="false">IF(OR(S1030="判定不能",J1030="判定不能"),"判定不能",IF(AJ1030&gt;=判定条件!$C$9,"利用可",IF(AND(S1030="停止",J1030="停止"),"両方停止","運転がそろわない")))</f>
        <v>運転がそろわない</v>
      </c>
      <c r="AL1030" s="30" t="n">
        <v>60</v>
      </c>
      <c r="AM1030" s="30" t="n">
        <v>27</v>
      </c>
      <c r="AN1030" s="30" t="str">
        <f aca="false">IF(OR(V1030="判定不能",M1030="判定不能"),"判定不能",IF(AM1030&gt;=判定条件!$C$9,"利用可",IF(AND(V1030="停止",M1030="停止"),"両方停止","運転がそろわない")))</f>
        <v>運転がそろわない</v>
      </c>
      <c r="AO1030" s="30" t="n">
        <v>60</v>
      </c>
      <c r="AP1030" s="30" t="n">
        <v>0</v>
      </c>
      <c r="AQ1030" s="30" t="str">
        <f aca="false">IF(OR(Y1030="判定不能",G1030="判定不能"),"判定不能",IF(AP1030&gt;=判定条件!$C$9,"利用可",IF(AND(Y1030="停止",G1030="停止"),"両方停止","運転がそろわない")))</f>
        <v>運転がそろわない</v>
      </c>
      <c r="AR1030" s="30" t="n">
        <v>60</v>
      </c>
      <c r="AS1030" s="30" t="n">
        <v>0</v>
      </c>
      <c r="AT1030" s="30" t="str">
        <f aca="false">IF(OR(AB1030="判定不能",J1030="判定不能"),"判定不能",IF(AS1030&gt;=判定条件!$C$9,"利用可",IF(AND(AB1030="停止",J1030="停止"),"両方停止","運転がそろわない")))</f>
        <v>両方停止</v>
      </c>
      <c r="AU1030" s="30" t="n">
        <v>60</v>
      </c>
      <c r="AV1030" s="30" t="n">
        <v>6</v>
      </c>
      <c r="AW1030" s="30" t="str">
        <f aca="false">IF(OR(AE1030="判定不能",M1030="判定不能"),"判定不能",IF(AV1030&gt;=判定条件!$C$9,"利用可",IF(AND(AE1030="停止",M1030="停止"),"両方停止","運転がそろわない")))</f>
        <v>運転がそろわない</v>
      </c>
      <c r="AX1030" s="30" t="str">
        <f aca="false">IF(AND(AH1030="利用可",AK1030="利用可",AN1030="利用可"),"利用可","不可")</f>
        <v>不可</v>
      </c>
      <c r="AY1030" s="30" t="str">
        <f aca="false">IF(AND(AQ1030="利用可",AT1030="利用可",AW1030="利用可"),"利用可","不可")</f>
        <v>不可</v>
      </c>
    </row>
    <row r="1031" customFormat="false" ht="15" hidden="false" customHeight="false" outlineLevel="0" collapsed="false">
      <c r="A1031" s="29" t="n">
        <v>46274</v>
      </c>
      <c r="B1031" s="30" t="n">
        <v>20</v>
      </c>
      <c r="C1031" s="31" t="s">
        <v>58</v>
      </c>
      <c r="D1031" s="31" t="s">
        <v>59</v>
      </c>
      <c r="E1031" s="30" t="n">
        <v>60</v>
      </c>
      <c r="F1031" s="30" t="n">
        <v>17</v>
      </c>
      <c r="G1031" s="30" t="str">
        <f aca="false">IF(E1031&lt;判定条件!$C$6,"判定不能",IF(F1031&gt;=判定条件!$C$7*E1031,"運転",IF(F1031&lt;=判定条件!$C$8*E1031,"停止","断続")))</f>
        <v>断続</v>
      </c>
      <c r="H1031" s="30" t="n">
        <v>60</v>
      </c>
      <c r="I1031" s="30" t="n">
        <v>18</v>
      </c>
      <c r="J1031" s="30" t="str">
        <f aca="false">IF(H1031&lt;判定条件!$C$6,"判定不能",IF(I1031&gt;=判定条件!$C$7*H1031,"運転",IF(I1031&lt;=判定条件!$C$8*H1031,"停止","断続")))</f>
        <v>断続</v>
      </c>
      <c r="K1031" s="30" t="n">
        <v>60</v>
      </c>
      <c r="L1031" s="30" t="n">
        <v>22</v>
      </c>
      <c r="M1031" s="30" t="str">
        <f aca="false">IF(K1031&lt;判定条件!$C$6,"判定不能",IF(L1031&gt;=判定条件!$C$7*K1031,"運転",IF(L1031&lt;=判定条件!$C$8*K1031,"停止","断続")))</f>
        <v>断続</v>
      </c>
      <c r="N1031" s="30" t="n">
        <v>60</v>
      </c>
      <c r="O1031" s="30" t="n">
        <v>0</v>
      </c>
      <c r="P1031" s="30" t="str">
        <f aca="false">IF(N1031&lt;判定条件!$C$6,"判定不能",IF(O1031&gt;=判定条件!$C$7*N1031,"運転",IF(O1031&lt;=判定条件!$C$8*N1031,"停止","断続")))</f>
        <v>停止</v>
      </c>
      <c r="Q1031" s="30" t="n">
        <v>60</v>
      </c>
      <c r="R1031" s="30" t="n">
        <v>2</v>
      </c>
      <c r="S1031" s="30" t="str">
        <f aca="false">IF(Q1031&lt;判定条件!$C$6,"判定不能",IF(R1031&gt;=判定条件!$C$7*Q1031,"運転",IF(R1031&lt;=判定条件!$C$8*Q1031,"停止","断続")))</f>
        <v>停止</v>
      </c>
      <c r="T1031" s="30" t="n">
        <v>60</v>
      </c>
      <c r="U1031" s="30" t="n">
        <v>4</v>
      </c>
      <c r="V1031" s="30" t="str">
        <f aca="false">IF(T1031&lt;判定条件!$C$6,"判定不能",IF(U1031&gt;=判定条件!$C$7*T1031,"運転",IF(U1031&lt;=判定条件!$C$8*T1031,"停止","断続")))</f>
        <v>停止</v>
      </c>
      <c r="W1031" s="30" t="n">
        <v>60</v>
      </c>
      <c r="X1031" s="30" t="n">
        <v>0</v>
      </c>
      <c r="Y1031" s="30" t="str">
        <f aca="false">IF(W1031&lt;判定条件!$C$6,"判定不能",IF(X1031&gt;=判定条件!$C$7*W1031,"運転",IF(X1031&lt;=判定条件!$C$8*W1031,"停止","断続")))</f>
        <v>停止</v>
      </c>
      <c r="Z1031" s="30" t="n">
        <v>60</v>
      </c>
      <c r="AA1031" s="30" t="n">
        <v>0</v>
      </c>
      <c r="AB1031" s="30" t="str">
        <f aca="false">IF(Z1031&lt;判定条件!$C$6,"判定不能",IF(AA1031&gt;=判定条件!$C$7*Z1031,"運転",IF(AA1031&lt;=判定条件!$C$8*Z1031,"停止","断続")))</f>
        <v>停止</v>
      </c>
      <c r="AC1031" s="30" t="n">
        <v>60</v>
      </c>
      <c r="AD1031" s="30" t="n">
        <v>0</v>
      </c>
      <c r="AE1031" s="30" t="str">
        <f aca="false">IF(AC1031&lt;判定条件!$C$6,"判定不能",IF(AD1031&gt;=判定条件!$C$7*AC1031,"運転",IF(AD1031&lt;=判定条件!$C$8*AC1031,"停止","断続")))</f>
        <v>停止</v>
      </c>
      <c r="AF1031" s="30" t="n">
        <v>60</v>
      </c>
      <c r="AG1031" s="30" t="n">
        <v>0</v>
      </c>
      <c r="AH1031" s="30" t="str">
        <f aca="false">IF(OR(P1031="判定不能",G1031="判定不能"),"判定不能",IF(AG1031&gt;=判定条件!$C$9,"利用可",IF(AND(P1031="停止",G1031="停止"),"両方停止","運転がそろわない")))</f>
        <v>運転がそろわない</v>
      </c>
      <c r="AI1031" s="30" t="n">
        <v>60</v>
      </c>
      <c r="AJ1031" s="30" t="n">
        <v>2</v>
      </c>
      <c r="AK1031" s="30" t="str">
        <f aca="false">IF(OR(S1031="判定不能",J1031="判定不能"),"判定不能",IF(AJ1031&gt;=判定条件!$C$9,"利用可",IF(AND(S1031="停止",J1031="停止"),"両方停止","運転がそろわない")))</f>
        <v>運転がそろわない</v>
      </c>
      <c r="AL1031" s="30" t="n">
        <v>60</v>
      </c>
      <c r="AM1031" s="30" t="n">
        <v>3</v>
      </c>
      <c r="AN1031" s="30" t="str">
        <f aca="false">IF(OR(V1031="判定不能",M1031="判定不能"),"判定不能",IF(AM1031&gt;=判定条件!$C$9,"利用可",IF(AND(V1031="停止",M1031="停止"),"両方停止","運転がそろわない")))</f>
        <v>運転がそろわない</v>
      </c>
      <c r="AO1031" s="30" t="n">
        <v>60</v>
      </c>
      <c r="AP1031" s="30" t="n">
        <v>0</v>
      </c>
      <c r="AQ1031" s="30" t="str">
        <f aca="false">IF(OR(Y1031="判定不能",G1031="判定不能"),"判定不能",IF(AP1031&gt;=判定条件!$C$9,"利用可",IF(AND(Y1031="停止",G1031="停止"),"両方停止","運転がそろわない")))</f>
        <v>運転がそろわない</v>
      </c>
      <c r="AR1031" s="30" t="n">
        <v>60</v>
      </c>
      <c r="AS1031" s="30" t="n">
        <v>0</v>
      </c>
      <c r="AT1031" s="30" t="str">
        <f aca="false">IF(OR(AB1031="判定不能",J1031="判定不能"),"判定不能",IF(AS1031&gt;=判定条件!$C$9,"利用可",IF(AND(AB1031="停止",J1031="停止"),"両方停止","運転がそろわない")))</f>
        <v>運転がそろわない</v>
      </c>
      <c r="AU1031" s="30" t="n">
        <v>60</v>
      </c>
      <c r="AV1031" s="30" t="n">
        <v>0</v>
      </c>
      <c r="AW1031" s="30" t="str">
        <f aca="false">IF(OR(AE1031="判定不能",M1031="判定不能"),"判定不能",IF(AV1031&gt;=判定条件!$C$9,"利用可",IF(AND(AE1031="停止",M1031="停止"),"両方停止","運転がそろわない")))</f>
        <v>運転がそろわない</v>
      </c>
      <c r="AX1031" s="30" t="str">
        <f aca="false">IF(AND(AH1031="利用可",AK1031="利用可",AN1031="利用可"),"利用可","不可")</f>
        <v>不可</v>
      </c>
      <c r="AY1031" s="30" t="str">
        <f aca="false">IF(AND(AQ1031="利用可",AT1031="利用可",AW1031="利用可"),"利用可","不可")</f>
        <v>不可</v>
      </c>
    </row>
    <row r="1032" customFormat="false" ht="15" hidden="false" customHeight="false" outlineLevel="0" collapsed="false">
      <c r="A1032" s="29" t="n">
        <v>46274</v>
      </c>
      <c r="B1032" s="30" t="n">
        <v>21</v>
      </c>
      <c r="C1032" s="31" t="s">
        <v>58</v>
      </c>
      <c r="D1032" s="31" t="s">
        <v>59</v>
      </c>
      <c r="E1032" s="30" t="n">
        <v>60</v>
      </c>
      <c r="F1032" s="30" t="n">
        <v>0</v>
      </c>
      <c r="G1032" s="30" t="str">
        <f aca="false">IF(E1032&lt;判定条件!$C$6,"判定不能",IF(F1032&gt;=判定条件!$C$7*E1032,"運転",IF(F1032&lt;=判定条件!$C$8*E1032,"停止","断続")))</f>
        <v>停止</v>
      </c>
      <c r="H1032" s="30" t="n">
        <v>60</v>
      </c>
      <c r="I1032" s="30" t="n">
        <v>0</v>
      </c>
      <c r="J1032" s="30" t="str">
        <f aca="false">IF(H1032&lt;判定条件!$C$6,"判定不能",IF(I1032&gt;=判定条件!$C$7*H1032,"運転",IF(I1032&lt;=判定条件!$C$8*H1032,"停止","断続")))</f>
        <v>停止</v>
      </c>
      <c r="K1032" s="30" t="n">
        <v>60</v>
      </c>
      <c r="L1032" s="30" t="n">
        <v>0</v>
      </c>
      <c r="M1032" s="30" t="str">
        <f aca="false">IF(K1032&lt;判定条件!$C$6,"判定不能",IF(L1032&gt;=判定条件!$C$7*K1032,"運転",IF(L1032&lt;=判定条件!$C$8*K1032,"停止","断続")))</f>
        <v>停止</v>
      </c>
      <c r="N1032" s="30" t="n">
        <v>60</v>
      </c>
      <c r="O1032" s="30" t="n">
        <v>0</v>
      </c>
      <c r="P1032" s="30" t="str">
        <f aca="false">IF(N1032&lt;判定条件!$C$6,"判定不能",IF(O1032&gt;=判定条件!$C$7*N1032,"運転",IF(O1032&lt;=判定条件!$C$8*N1032,"停止","断続")))</f>
        <v>停止</v>
      </c>
      <c r="Q1032" s="30" t="n">
        <v>60</v>
      </c>
      <c r="R1032" s="30" t="n">
        <v>0</v>
      </c>
      <c r="S1032" s="30" t="str">
        <f aca="false">IF(Q1032&lt;判定条件!$C$6,"判定不能",IF(R1032&gt;=判定条件!$C$7*Q1032,"運転",IF(R1032&lt;=判定条件!$C$8*Q1032,"停止","断続")))</f>
        <v>停止</v>
      </c>
      <c r="T1032" s="30" t="n">
        <v>60</v>
      </c>
      <c r="U1032" s="30" t="n">
        <v>0</v>
      </c>
      <c r="V1032" s="30" t="str">
        <f aca="false">IF(T1032&lt;判定条件!$C$6,"判定不能",IF(U1032&gt;=判定条件!$C$7*T1032,"運転",IF(U1032&lt;=判定条件!$C$8*T1032,"停止","断続")))</f>
        <v>停止</v>
      </c>
      <c r="W1032" s="30" t="n">
        <v>60</v>
      </c>
      <c r="X1032" s="30" t="n">
        <v>0</v>
      </c>
      <c r="Y1032" s="30" t="str">
        <f aca="false">IF(W1032&lt;判定条件!$C$6,"判定不能",IF(X1032&gt;=判定条件!$C$7*W1032,"運転",IF(X1032&lt;=判定条件!$C$8*W1032,"停止","断続")))</f>
        <v>停止</v>
      </c>
      <c r="Z1032" s="30" t="n">
        <v>60</v>
      </c>
      <c r="AA1032" s="30" t="n">
        <v>0</v>
      </c>
      <c r="AB1032" s="30" t="str">
        <f aca="false">IF(Z1032&lt;判定条件!$C$6,"判定不能",IF(AA1032&gt;=判定条件!$C$7*Z1032,"運転",IF(AA1032&lt;=判定条件!$C$8*Z1032,"停止","断続")))</f>
        <v>停止</v>
      </c>
      <c r="AC1032" s="30" t="n">
        <v>60</v>
      </c>
      <c r="AD1032" s="30" t="n">
        <v>0</v>
      </c>
      <c r="AE1032" s="30" t="str">
        <f aca="false">IF(AC1032&lt;判定条件!$C$6,"判定不能",IF(AD1032&gt;=判定条件!$C$7*AC1032,"運転",IF(AD1032&lt;=判定条件!$C$8*AC1032,"停止","断続")))</f>
        <v>停止</v>
      </c>
      <c r="AF1032" s="30" t="n">
        <v>60</v>
      </c>
      <c r="AG1032" s="30" t="n">
        <v>0</v>
      </c>
      <c r="AH1032" s="30" t="str">
        <f aca="false">IF(OR(P1032="判定不能",G1032="判定不能"),"判定不能",IF(AG1032&gt;=判定条件!$C$9,"利用可",IF(AND(P1032="停止",G1032="停止"),"両方停止","運転がそろわない")))</f>
        <v>両方停止</v>
      </c>
      <c r="AI1032" s="30" t="n">
        <v>60</v>
      </c>
      <c r="AJ1032" s="30" t="n">
        <v>0</v>
      </c>
      <c r="AK1032" s="30" t="str">
        <f aca="false">IF(OR(S1032="判定不能",J1032="判定不能"),"判定不能",IF(AJ1032&gt;=判定条件!$C$9,"利用可",IF(AND(S1032="停止",J1032="停止"),"両方停止","運転がそろわない")))</f>
        <v>両方停止</v>
      </c>
      <c r="AL1032" s="30" t="n">
        <v>60</v>
      </c>
      <c r="AM1032" s="30" t="n">
        <v>0</v>
      </c>
      <c r="AN1032" s="30" t="str">
        <f aca="false">IF(OR(V1032="判定不能",M1032="判定不能"),"判定不能",IF(AM1032&gt;=判定条件!$C$9,"利用可",IF(AND(V1032="停止",M1032="停止"),"両方停止","運転がそろわない")))</f>
        <v>両方停止</v>
      </c>
      <c r="AO1032" s="30" t="n">
        <v>60</v>
      </c>
      <c r="AP1032" s="30" t="n">
        <v>0</v>
      </c>
      <c r="AQ1032" s="30" t="str">
        <f aca="false">IF(OR(Y1032="判定不能",G1032="判定不能"),"判定不能",IF(AP1032&gt;=判定条件!$C$9,"利用可",IF(AND(Y1032="停止",G1032="停止"),"両方停止","運転がそろわない")))</f>
        <v>両方停止</v>
      </c>
      <c r="AR1032" s="30" t="n">
        <v>60</v>
      </c>
      <c r="AS1032" s="30" t="n">
        <v>0</v>
      </c>
      <c r="AT1032" s="30" t="str">
        <f aca="false">IF(OR(AB1032="判定不能",J1032="判定不能"),"判定不能",IF(AS1032&gt;=判定条件!$C$9,"利用可",IF(AND(AB1032="停止",J1032="停止"),"両方停止","運転がそろわない")))</f>
        <v>両方停止</v>
      </c>
      <c r="AU1032" s="30" t="n">
        <v>60</v>
      </c>
      <c r="AV1032" s="30" t="n">
        <v>0</v>
      </c>
      <c r="AW1032" s="30" t="str">
        <f aca="false">IF(OR(AE1032="判定不能",M1032="判定不能"),"判定不能",IF(AV1032&gt;=判定条件!$C$9,"利用可",IF(AND(AE1032="停止",M1032="停止"),"両方停止","運転がそろわない")))</f>
        <v>両方停止</v>
      </c>
      <c r="AX1032" s="30" t="str">
        <f aca="false">IF(AND(AH1032="利用可",AK1032="利用可",AN1032="利用可"),"利用可","不可")</f>
        <v>不可</v>
      </c>
      <c r="AY1032" s="30" t="str">
        <f aca="false">IF(AND(AQ1032="利用可",AT1032="利用可",AW1032="利用可"),"利用可","不可")</f>
        <v>不可</v>
      </c>
    </row>
    <row r="1033" customFormat="false" ht="15" hidden="false" customHeight="false" outlineLevel="0" collapsed="false">
      <c r="A1033" s="29" t="n">
        <v>46274</v>
      </c>
      <c r="B1033" s="30" t="n">
        <v>22</v>
      </c>
      <c r="C1033" s="31" t="s">
        <v>58</v>
      </c>
      <c r="D1033" s="31" t="s">
        <v>59</v>
      </c>
      <c r="E1033" s="30" t="n">
        <v>60</v>
      </c>
      <c r="F1033" s="30" t="n">
        <v>0</v>
      </c>
      <c r="G1033" s="30" t="str">
        <f aca="false">IF(E1033&lt;判定条件!$C$6,"判定不能",IF(F1033&gt;=判定条件!$C$7*E1033,"運転",IF(F1033&lt;=判定条件!$C$8*E1033,"停止","断続")))</f>
        <v>停止</v>
      </c>
      <c r="H1033" s="30" t="n">
        <v>60</v>
      </c>
      <c r="I1033" s="30" t="n">
        <v>0</v>
      </c>
      <c r="J1033" s="30" t="str">
        <f aca="false">IF(H1033&lt;判定条件!$C$6,"判定不能",IF(I1033&gt;=判定条件!$C$7*H1033,"運転",IF(I1033&lt;=判定条件!$C$8*H1033,"停止","断続")))</f>
        <v>停止</v>
      </c>
      <c r="K1033" s="30" t="n">
        <v>60</v>
      </c>
      <c r="L1033" s="30" t="n">
        <v>0</v>
      </c>
      <c r="M1033" s="30" t="str">
        <f aca="false">IF(K1033&lt;判定条件!$C$6,"判定不能",IF(L1033&gt;=判定条件!$C$7*K1033,"運転",IF(L1033&lt;=判定条件!$C$8*K1033,"停止","断続")))</f>
        <v>停止</v>
      </c>
      <c r="N1033" s="30" t="n">
        <v>60</v>
      </c>
      <c r="O1033" s="30" t="n">
        <v>0</v>
      </c>
      <c r="P1033" s="30" t="str">
        <f aca="false">IF(N1033&lt;判定条件!$C$6,"判定不能",IF(O1033&gt;=判定条件!$C$7*N1033,"運転",IF(O1033&lt;=判定条件!$C$8*N1033,"停止","断続")))</f>
        <v>停止</v>
      </c>
      <c r="Q1033" s="30" t="n">
        <v>60</v>
      </c>
      <c r="R1033" s="30" t="n">
        <v>0</v>
      </c>
      <c r="S1033" s="30" t="str">
        <f aca="false">IF(Q1033&lt;判定条件!$C$6,"判定不能",IF(R1033&gt;=判定条件!$C$7*Q1033,"運転",IF(R1033&lt;=判定条件!$C$8*Q1033,"停止","断続")))</f>
        <v>停止</v>
      </c>
      <c r="T1033" s="30" t="n">
        <v>60</v>
      </c>
      <c r="U1033" s="30" t="n">
        <v>0</v>
      </c>
      <c r="V1033" s="30" t="str">
        <f aca="false">IF(T1033&lt;判定条件!$C$6,"判定不能",IF(U1033&gt;=判定条件!$C$7*T1033,"運転",IF(U1033&lt;=判定条件!$C$8*T1033,"停止","断続")))</f>
        <v>停止</v>
      </c>
      <c r="W1033" s="30" t="n">
        <v>60</v>
      </c>
      <c r="X1033" s="30" t="n">
        <v>0</v>
      </c>
      <c r="Y1033" s="30" t="str">
        <f aca="false">IF(W1033&lt;判定条件!$C$6,"判定不能",IF(X1033&gt;=判定条件!$C$7*W1033,"運転",IF(X1033&lt;=判定条件!$C$8*W1033,"停止","断続")))</f>
        <v>停止</v>
      </c>
      <c r="Z1033" s="30" t="n">
        <v>60</v>
      </c>
      <c r="AA1033" s="30" t="n">
        <v>0</v>
      </c>
      <c r="AB1033" s="30" t="str">
        <f aca="false">IF(Z1033&lt;判定条件!$C$6,"判定不能",IF(AA1033&gt;=判定条件!$C$7*Z1033,"運転",IF(AA1033&lt;=判定条件!$C$8*Z1033,"停止","断続")))</f>
        <v>停止</v>
      </c>
      <c r="AC1033" s="30" t="n">
        <v>60</v>
      </c>
      <c r="AD1033" s="30" t="n">
        <v>0</v>
      </c>
      <c r="AE1033" s="30" t="str">
        <f aca="false">IF(AC1033&lt;判定条件!$C$6,"判定不能",IF(AD1033&gt;=判定条件!$C$7*AC1033,"運転",IF(AD1033&lt;=判定条件!$C$8*AC1033,"停止","断続")))</f>
        <v>停止</v>
      </c>
      <c r="AF1033" s="30" t="n">
        <v>60</v>
      </c>
      <c r="AG1033" s="30" t="n">
        <v>0</v>
      </c>
      <c r="AH1033" s="30" t="str">
        <f aca="false">IF(OR(P1033="判定不能",G1033="判定不能"),"判定不能",IF(AG1033&gt;=判定条件!$C$9,"利用可",IF(AND(P1033="停止",G1033="停止"),"両方停止","運転がそろわない")))</f>
        <v>両方停止</v>
      </c>
      <c r="AI1033" s="30" t="n">
        <v>60</v>
      </c>
      <c r="AJ1033" s="30" t="n">
        <v>0</v>
      </c>
      <c r="AK1033" s="30" t="str">
        <f aca="false">IF(OR(S1033="判定不能",J1033="判定不能"),"判定不能",IF(AJ1033&gt;=判定条件!$C$9,"利用可",IF(AND(S1033="停止",J1033="停止"),"両方停止","運転がそろわない")))</f>
        <v>両方停止</v>
      </c>
      <c r="AL1033" s="30" t="n">
        <v>60</v>
      </c>
      <c r="AM1033" s="30" t="n">
        <v>0</v>
      </c>
      <c r="AN1033" s="30" t="str">
        <f aca="false">IF(OR(V1033="判定不能",M1033="判定不能"),"判定不能",IF(AM1033&gt;=判定条件!$C$9,"利用可",IF(AND(V1033="停止",M1033="停止"),"両方停止","運転がそろわない")))</f>
        <v>両方停止</v>
      </c>
      <c r="AO1033" s="30" t="n">
        <v>60</v>
      </c>
      <c r="AP1033" s="30" t="n">
        <v>0</v>
      </c>
      <c r="AQ1033" s="30" t="str">
        <f aca="false">IF(OR(Y1033="判定不能",G1033="判定不能"),"判定不能",IF(AP1033&gt;=判定条件!$C$9,"利用可",IF(AND(Y1033="停止",G1033="停止"),"両方停止","運転がそろわない")))</f>
        <v>両方停止</v>
      </c>
      <c r="AR1033" s="30" t="n">
        <v>60</v>
      </c>
      <c r="AS1033" s="30" t="n">
        <v>0</v>
      </c>
      <c r="AT1033" s="30" t="str">
        <f aca="false">IF(OR(AB1033="判定不能",J1033="判定不能"),"判定不能",IF(AS1033&gt;=判定条件!$C$9,"利用可",IF(AND(AB1033="停止",J1033="停止"),"両方停止","運転がそろわない")))</f>
        <v>両方停止</v>
      </c>
      <c r="AU1033" s="30" t="n">
        <v>60</v>
      </c>
      <c r="AV1033" s="30" t="n">
        <v>0</v>
      </c>
      <c r="AW1033" s="30" t="str">
        <f aca="false">IF(OR(AE1033="判定不能",M1033="判定不能"),"判定不能",IF(AV1033&gt;=判定条件!$C$9,"利用可",IF(AND(AE1033="停止",M1033="停止"),"両方停止","運転がそろわない")))</f>
        <v>両方停止</v>
      </c>
      <c r="AX1033" s="30" t="str">
        <f aca="false">IF(AND(AH1033="利用可",AK1033="利用可",AN1033="利用可"),"利用可","不可")</f>
        <v>不可</v>
      </c>
      <c r="AY1033" s="30" t="str">
        <f aca="false">IF(AND(AQ1033="利用可",AT1033="利用可",AW1033="利用可"),"利用可","不可")</f>
        <v>不可</v>
      </c>
    </row>
    <row r="1034" customFormat="false" ht="15" hidden="false" customHeight="false" outlineLevel="0" collapsed="false">
      <c r="A1034" s="29" t="n">
        <v>46274</v>
      </c>
      <c r="B1034" s="30" t="n">
        <v>23</v>
      </c>
      <c r="C1034" s="31" t="s">
        <v>58</v>
      </c>
      <c r="D1034" s="31" t="s">
        <v>59</v>
      </c>
      <c r="E1034" s="30" t="n">
        <v>60</v>
      </c>
      <c r="F1034" s="30" t="n">
        <v>0</v>
      </c>
      <c r="G1034" s="30" t="str">
        <f aca="false">IF(E1034&lt;判定条件!$C$6,"判定不能",IF(F1034&gt;=判定条件!$C$7*E1034,"運転",IF(F1034&lt;=判定条件!$C$8*E1034,"停止","断続")))</f>
        <v>停止</v>
      </c>
      <c r="H1034" s="30" t="n">
        <v>60</v>
      </c>
      <c r="I1034" s="30" t="n">
        <v>0</v>
      </c>
      <c r="J1034" s="30" t="str">
        <f aca="false">IF(H1034&lt;判定条件!$C$6,"判定不能",IF(I1034&gt;=判定条件!$C$7*H1034,"運転",IF(I1034&lt;=判定条件!$C$8*H1034,"停止","断続")))</f>
        <v>停止</v>
      </c>
      <c r="K1034" s="30" t="n">
        <v>60</v>
      </c>
      <c r="L1034" s="30" t="n">
        <v>0</v>
      </c>
      <c r="M1034" s="30" t="str">
        <f aca="false">IF(K1034&lt;判定条件!$C$6,"判定不能",IF(L1034&gt;=判定条件!$C$7*K1034,"運転",IF(L1034&lt;=判定条件!$C$8*K1034,"停止","断続")))</f>
        <v>停止</v>
      </c>
      <c r="N1034" s="30" t="n">
        <v>60</v>
      </c>
      <c r="O1034" s="30" t="n">
        <v>0</v>
      </c>
      <c r="P1034" s="30" t="str">
        <f aca="false">IF(N1034&lt;判定条件!$C$6,"判定不能",IF(O1034&gt;=判定条件!$C$7*N1034,"運転",IF(O1034&lt;=判定条件!$C$8*N1034,"停止","断続")))</f>
        <v>停止</v>
      </c>
      <c r="Q1034" s="30" t="n">
        <v>60</v>
      </c>
      <c r="R1034" s="30" t="n">
        <v>0</v>
      </c>
      <c r="S1034" s="30" t="str">
        <f aca="false">IF(Q1034&lt;判定条件!$C$6,"判定不能",IF(R1034&gt;=判定条件!$C$7*Q1034,"運転",IF(R1034&lt;=判定条件!$C$8*Q1034,"停止","断続")))</f>
        <v>停止</v>
      </c>
      <c r="T1034" s="30" t="n">
        <v>60</v>
      </c>
      <c r="U1034" s="30" t="n">
        <v>0</v>
      </c>
      <c r="V1034" s="30" t="str">
        <f aca="false">IF(T1034&lt;判定条件!$C$6,"判定不能",IF(U1034&gt;=判定条件!$C$7*T1034,"運転",IF(U1034&lt;=判定条件!$C$8*T1034,"停止","断続")))</f>
        <v>停止</v>
      </c>
      <c r="W1034" s="30" t="n">
        <v>60</v>
      </c>
      <c r="X1034" s="30" t="n">
        <v>0</v>
      </c>
      <c r="Y1034" s="30" t="str">
        <f aca="false">IF(W1034&lt;判定条件!$C$6,"判定不能",IF(X1034&gt;=判定条件!$C$7*W1034,"運転",IF(X1034&lt;=判定条件!$C$8*W1034,"停止","断続")))</f>
        <v>停止</v>
      </c>
      <c r="Z1034" s="30" t="n">
        <v>60</v>
      </c>
      <c r="AA1034" s="30" t="n">
        <v>0</v>
      </c>
      <c r="AB1034" s="30" t="str">
        <f aca="false">IF(Z1034&lt;判定条件!$C$6,"判定不能",IF(AA1034&gt;=判定条件!$C$7*Z1034,"運転",IF(AA1034&lt;=判定条件!$C$8*Z1034,"停止","断続")))</f>
        <v>停止</v>
      </c>
      <c r="AC1034" s="30" t="n">
        <v>60</v>
      </c>
      <c r="AD1034" s="30" t="n">
        <v>0</v>
      </c>
      <c r="AE1034" s="30" t="str">
        <f aca="false">IF(AC1034&lt;判定条件!$C$6,"判定不能",IF(AD1034&gt;=判定条件!$C$7*AC1034,"運転",IF(AD1034&lt;=判定条件!$C$8*AC1034,"停止","断続")))</f>
        <v>停止</v>
      </c>
      <c r="AF1034" s="30" t="n">
        <v>60</v>
      </c>
      <c r="AG1034" s="30" t="n">
        <v>0</v>
      </c>
      <c r="AH1034" s="30" t="str">
        <f aca="false">IF(OR(P1034="判定不能",G1034="判定不能"),"判定不能",IF(AG1034&gt;=判定条件!$C$9,"利用可",IF(AND(P1034="停止",G1034="停止"),"両方停止","運転がそろわない")))</f>
        <v>両方停止</v>
      </c>
      <c r="AI1034" s="30" t="n">
        <v>60</v>
      </c>
      <c r="AJ1034" s="30" t="n">
        <v>0</v>
      </c>
      <c r="AK1034" s="30" t="str">
        <f aca="false">IF(OR(S1034="判定不能",J1034="判定不能"),"判定不能",IF(AJ1034&gt;=判定条件!$C$9,"利用可",IF(AND(S1034="停止",J1034="停止"),"両方停止","運転がそろわない")))</f>
        <v>両方停止</v>
      </c>
      <c r="AL1034" s="30" t="n">
        <v>60</v>
      </c>
      <c r="AM1034" s="30" t="n">
        <v>0</v>
      </c>
      <c r="AN1034" s="30" t="str">
        <f aca="false">IF(OR(V1034="判定不能",M1034="判定不能"),"判定不能",IF(AM1034&gt;=判定条件!$C$9,"利用可",IF(AND(V1034="停止",M1034="停止"),"両方停止","運転がそろわない")))</f>
        <v>両方停止</v>
      </c>
      <c r="AO1034" s="30" t="n">
        <v>60</v>
      </c>
      <c r="AP1034" s="30" t="n">
        <v>0</v>
      </c>
      <c r="AQ1034" s="30" t="str">
        <f aca="false">IF(OR(Y1034="判定不能",G1034="判定不能"),"判定不能",IF(AP1034&gt;=判定条件!$C$9,"利用可",IF(AND(Y1034="停止",G1034="停止"),"両方停止","運転がそろわない")))</f>
        <v>両方停止</v>
      </c>
      <c r="AR1034" s="30" t="n">
        <v>60</v>
      </c>
      <c r="AS1034" s="30" t="n">
        <v>0</v>
      </c>
      <c r="AT1034" s="30" t="str">
        <f aca="false">IF(OR(AB1034="判定不能",J1034="判定不能"),"判定不能",IF(AS1034&gt;=判定条件!$C$9,"利用可",IF(AND(AB1034="停止",J1034="停止"),"両方停止","運転がそろわない")))</f>
        <v>両方停止</v>
      </c>
      <c r="AU1034" s="30" t="n">
        <v>60</v>
      </c>
      <c r="AV1034" s="30" t="n">
        <v>0</v>
      </c>
      <c r="AW1034" s="30" t="str">
        <f aca="false">IF(OR(AE1034="判定不能",M1034="判定不能"),"判定不能",IF(AV1034&gt;=判定条件!$C$9,"利用可",IF(AND(AE1034="停止",M1034="停止"),"両方停止","運転がそろわない")))</f>
        <v>両方停止</v>
      </c>
      <c r="AX1034" s="30" t="str">
        <f aca="false">IF(AND(AH1034="利用可",AK1034="利用可",AN1034="利用可"),"利用可","不可")</f>
        <v>不可</v>
      </c>
      <c r="AY1034" s="30" t="str">
        <f aca="false">IF(AND(AQ1034="利用可",AT1034="利用可",AW1034="利用可"),"利用可","不可")</f>
        <v>不可</v>
      </c>
    </row>
    <row r="1035" customFormat="false" ht="15" hidden="false" customHeight="false" outlineLevel="0" collapsed="false">
      <c r="A1035" s="29" t="n">
        <v>46275</v>
      </c>
      <c r="B1035" s="30" t="n">
        <v>0</v>
      </c>
      <c r="C1035" s="31" t="s">
        <v>61</v>
      </c>
      <c r="D1035" s="31" t="s">
        <v>59</v>
      </c>
      <c r="E1035" s="30" t="n">
        <v>60</v>
      </c>
      <c r="F1035" s="30" t="n">
        <v>0</v>
      </c>
      <c r="G1035" s="30" t="str">
        <f aca="false">IF(E1035&lt;判定条件!$C$6,"判定不能",IF(F1035&gt;=判定条件!$C$7*E1035,"運転",IF(F1035&lt;=判定条件!$C$8*E1035,"停止","断続")))</f>
        <v>停止</v>
      </c>
      <c r="H1035" s="30" t="n">
        <v>60</v>
      </c>
      <c r="I1035" s="30" t="n">
        <v>0</v>
      </c>
      <c r="J1035" s="30" t="str">
        <f aca="false">IF(H1035&lt;判定条件!$C$6,"判定不能",IF(I1035&gt;=判定条件!$C$7*H1035,"運転",IF(I1035&lt;=判定条件!$C$8*H1035,"停止","断続")))</f>
        <v>停止</v>
      </c>
      <c r="K1035" s="30" t="n">
        <v>60</v>
      </c>
      <c r="L1035" s="30" t="n">
        <v>0</v>
      </c>
      <c r="M1035" s="30" t="str">
        <f aca="false">IF(K1035&lt;判定条件!$C$6,"判定不能",IF(L1035&gt;=判定条件!$C$7*K1035,"運転",IF(L1035&lt;=判定条件!$C$8*K1035,"停止","断続")))</f>
        <v>停止</v>
      </c>
      <c r="N1035" s="30" t="n">
        <v>60</v>
      </c>
      <c r="O1035" s="30" t="n">
        <v>0</v>
      </c>
      <c r="P1035" s="30" t="str">
        <f aca="false">IF(N1035&lt;判定条件!$C$6,"判定不能",IF(O1035&gt;=判定条件!$C$7*N1035,"運転",IF(O1035&lt;=判定条件!$C$8*N1035,"停止","断続")))</f>
        <v>停止</v>
      </c>
      <c r="Q1035" s="30" t="n">
        <v>60</v>
      </c>
      <c r="R1035" s="30" t="n">
        <v>0</v>
      </c>
      <c r="S1035" s="30" t="str">
        <f aca="false">IF(Q1035&lt;判定条件!$C$6,"判定不能",IF(R1035&gt;=判定条件!$C$7*Q1035,"運転",IF(R1035&lt;=判定条件!$C$8*Q1035,"停止","断続")))</f>
        <v>停止</v>
      </c>
      <c r="T1035" s="30" t="n">
        <v>60</v>
      </c>
      <c r="U1035" s="30" t="n">
        <v>0</v>
      </c>
      <c r="V1035" s="30" t="str">
        <f aca="false">IF(T1035&lt;判定条件!$C$6,"判定不能",IF(U1035&gt;=判定条件!$C$7*T1035,"運転",IF(U1035&lt;=判定条件!$C$8*T1035,"停止","断続")))</f>
        <v>停止</v>
      </c>
      <c r="W1035" s="30" t="n">
        <v>60</v>
      </c>
      <c r="X1035" s="30" t="n">
        <v>0</v>
      </c>
      <c r="Y1035" s="30" t="str">
        <f aca="false">IF(W1035&lt;判定条件!$C$6,"判定不能",IF(X1035&gt;=判定条件!$C$7*W1035,"運転",IF(X1035&lt;=判定条件!$C$8*W1035,"停止","断続")))</f>
        <v>停止</v>
      </c>
      <c r="Z1035" s="30" t="n">
        <v>60</v>
      </c>
      <c r="AA1035" s="30" t="n">
        <v>0</v>
      </c>
      <c r="AB1035" s="30" t="str">
        <f aca="false">IF(Z1035&lt;判定条件!$C$6,"判定不能",IF(AA1035&gt;=判定条件!$C$7*Z1035,"運転",IF(AA1035&lt;=判定条件!$C$8*Z1035,"停止","断続")))</f>
        <v>停止</v>
      </c>
      <c r="AC1035" s="30" t="n">
        <v>60</v>
      </c>
      <c r="AD1035" s="30" t="n">
        <v>0</v>
      </c>
      <c r="AE1035" s="30" t="str">
        <f aca="false">IF(AC1035&lt;判定条件!$C$6,"判定不能",IF(AD1035&gt;=判定条件!$C$7*AC1035,"運転",IF(AD1035&lt;=判定条件!$C$8*AC1035,"停止","断続")))</f>
        <v>停止</v>
      </c>
      <c r="AF1035" s="30" t="n">
        <v>60</v>
      </c>
      <c r="AG1035" s="30" t="n">
        <v>0</v>
      </c>
      <c r="AH1035" s="30" t="str">
        <f aca="false">IF(OR(P1035="判定不能",G1035="判定不能"),"判定不能",IF(AG1035&gt;=判定条件!$C$9,"利用可",IF(AND(P1035="停止",G1035="停止"),"両方停止","運転がそろわない")))</f>
        <v>両方停止</v>
      </c>
      <c r="AI1035" s="30" t="n">
        <v>60</v>
      </c>
      <c r="AJ1035" s="30" t="n">
        <v>0</v>
      </c>
      <c r="AK1035" s="30" t="str">
        <f aca="false">IF(OR(S1035="判定不能",J1035="判定不能"),"判定不能",IF(AJ1035&gt;=判定条件!$C$9,"利用可",IF(AND(S1035="停止",J1035="停止"),"両方停止","運転がそろわない")))</f>
        <v>両方停止</v>
      </c>
      <c r="AL1035" s="30" t="n">
        <v>60</v>
      </c>
      <c r="AM1035" s="30" t="n">
        <v>0</v>
      </c>
      <c r="AN1035" s="30" t="str">
        <f aca="false">IF(OR(V1035="判定不能",M1035="判定不能"),"判定不能",IF(AM1035&gt;=判定条件!$C$9,"利用可",IF(AND(V1035="停止",M1035="停止"),"両方停止","運転がそろわない")))</f>
        <v>両方停止</v>
      </c>
      <c r="AO1035" s="30" t="n">
        <v>60</v>
      </c>
      <c r="AP1035" s="30" t="n">
        <v>0</v>
      </c>
      <c r="AQ1035" s="30" t="str">
        <f aca="false">IF(OR(Y1035="判定不能",G1035="判定不能"),"判定不能",IF(AP1035&gt;=判定条件!$C$9,"利用可",IF(AND(Y1035="停止",G1035="停止"),"両方停止","運転がそろわない")))</f>
        <v>両方停止</v>
      </c>
      <c r="AR1035" s="30" t="n">
        <v>60</v>
      </c>
      <c r="AS1035" s="30" t="n">
        <v>0</v>
      </c>
      <c r="AT1035" s="30" t="str">
        <f aca="false">IF(OR(AB1035="判定不能",J1035="判定不能"),"判定不能",IF(AS1035&gt;=判定条件!$C$9,"利用可",IF(AND(AB1035="停止",J1035="停止"),"両方停止","運転がそろわない")))</f>
        <v>両方停止</v>
      </c>
      <c r="AU1035" s="30" t="n">
        <v>60</v>
      </c>
      <c r="AV1035" s="30" t="n">
        <v>0</v>
      </c>
      <c r="AW1035" s="30" t="str">
        <f aca="false">IF(OR(AE1035="判定不能",M1035="判定不能"),"判定不能",IF(AV1035&gt;=判定条件!$C$9,"利用可",IF(AND(AE1035="停止",M1035="停止"),"両方停止","運転がそろわない")))</f>
        <v>両方停止</v>
      </c>
      <c r="AX1035" s="30" t="str">
        <f aca="false">IF(AND(AH1035="利用可",AK1035="利用可",AN1035="利用可"),"利用可","不可")</f>
        <v>不可</v>
      </c>
      <c r="AY1035" s="30" t="str">
        <f aca="false">IF(AND(AQ1035="利用可",AT1035="利用可",AW1035="利用可"),"利用可","不可")</f>
        <v>不可</v>
      </c>
    </row>
    <row r="1036" customFormat="false" ht="15" hidden="false" customHeight="false" outlineLevel="0" collapsed="false">
      <c r="A1036" s="29" t="n">
        <v>46275</v>
      </c>
      <c r="B1036" s="30" t="n">
        <v>1</v>
      </c>
      <c r="C1036" s="31" t="s">
        <v>61</v>
      </c>
      <c r="D1036" s="31" t="s">
        <v>59</v>
      </c>
      <c r="E1036" s="30" t="n">
        <v>60</v>
      </c>
      <c r="F1036" s="30" t="n">
        <v>0</v>
      </c>
      <c r="G1036" s="30" t="str">
        <f aca="false">IF(E1036&lt;判定条件!$C$6,"判定不能",IF(F1036&gt;=判定条件!$C$7*E1036,"運転",IF(F1036&lt;=判定条件!$C$8*E1036,"停止","断続")))</f>
        <v>停止</v>
      </c>
      <c r="H1036" s="30" t="n">
        <v>60</v>
      </c>
      <c r="I1036" s="30" t="n">
        <v>0</v>
      </c>
      <c r="J1036" s="30" t="str">
        <f aca="false">IF(H1036&lt;判定条件!$C$6,"判定不能",IF(I1036&gt;=判定条件!$C$7*H1036,"運転",IF(I1036&lt;=判定条件!$C$8*H1036,"停止","断続")))</f>
        <v>停止</v>
      </c>
      <c r="K1036" s="30" t="n">
        <v>60</v>
      </c>
      <c r="L1036" s="30" t="n">
        <v>0</v>
      </c>
      <c r="M1036" s="30" t="str">
        <f aca="false">IF(K1036&lt;判定条件!$C$6,"判定不能",IF(L1036&gt;=判定条件!$C$7*K1036,"運転",IF(L1036&lt;=判定条件!$C$8*K1036,"停止","断続")))</f>
        <v>停止</v>
      </c>
      <c r="N1036" s="30" t="n">
        <v>60</v>
      </c>
      <c r="O1036" s="30" t="n">
        <v>0</v>
      </c>
      <c r="P1036" s="30" t="str">
        <f aca="false">IF(N1036&lt;判定条件!$C$6,"判定不能",IF(O1036&gt;=判定条件!$C$7*N1036,"運転",IF(O1036&lt;=判定条件!$C$8*N1036,"停止","断続")))</f>
        <v>停止</v>
      </c>
      <c r="Q1036" s="30" t="n">
        <v>60</v>
      </c>
      <c r="R1036" s="30" t="n">
        <v>0</v>
      </c>
      <c r="S1036" s="30" t="str">
        <f aca="false">IF(Q1036&lt;判定条件!$C$6,"判定不能",IF(R1036&gt;=判定条件!$C$7*Q1036,"運転",IF(R1036&lt;=判定条件!$C$8*Q1036,"停止","断続")))</f>
        <v>停止</v>
      </c>
      <c r="T1036" s="30" t="n">
        <v>60</v>
      </c>
      <c r="U1036" s="30" t="n">
        <v>0</v>
      </c>
      <c r="V1036" s="30" t="str">
        <f aca="false">IF(T1036&lt;判定条件!$C$6,"判定不能",IF(U1036&gt;=判定条件!$C$7*T1036,"運転",IF(U1036&lt;=判定条件!$C$8*T1036,"停止","断続")))</f>
        <v>停止</v>
      </c>
      <c r="W1036" s="30" t="n">
        <v>60</v>
      </c>
      <c r="X1036" s="30" t="n">
        <v>0</v>
      </c>
      <c r="Y1036" s="30" t="str">
        <f aca="false">IF(W1036&lt;判定条件!$C$6,"判定不能",IF(X1036&gt;=判定条件!$C$7*W1036,"運転",IF(X1036&lt;=判定条件!$C$8*W1036,"停止","断続")))</f>
        <v>停止</v>
      </c>
      <c r="Z1036" s="30" t="n">
        <v>60</v>
      </c>
      <c r="AA1036" s="30" t="n">
        <v>0</v>
      </c>
      <c r="AB1036" s="30" t="str">
        <f aca="false">IF(Z1036&lt;判定条件!$C$6,"判定不能",IF(AA1036&gt;=判定条件!$C$7*Z1036,"運転",IF(AA1036&lt;=判定条件!$C$8*Z1036,"停止","断続")))</f>
        <v>停止</v>
      </c>
      <c r="AC1036" s="30" t="n">
        <v>60</v>
      </c>
      <c r="AD1036" s="30" t="n">
        <v>0</v>
      </c>
      <c r="AE1036" s="30" t="str">
        <f aca="false">IF(AC1036&lt;判定条件!$C$6,"判定不能",IF(AD1036&gt;=判定条件!$C$7*AC1036,"運転",IF(AD1036&lt;=判定条件!$C$8*AC1036,"停止","断続")))</f>
        <v>停止</v>
      </c>
      <c r="AF1036" s="30" t="n">
        <v>60</v>
      </c>
      <c r="AG1036" s="30" t="n">
        <v>0</v>
      </c>
      <c r="AH1036" s="30" t="str">
        <f aca="false">IF(OR(P1036="判定不能",G1036="判定不能"),"判定不能",IF(AG1036&gt;=判定条件!$C$9,"利用可",IF(AND(P1036="停止",G1036="停止"),"両方停止","運転がそろわない")))</f>
        <v>両方停止</v>
      </c>
      <c r="AI1036" s="30" t="n">
        <v>60</v>
      </c>
      <c r="AJ1036" s="30" t="n">
        <v>0</v>
      </c>
      <c r="AK1036" s="30" t="str">
        <f aca="false">IF(OR(S1036="判定不能",J1036="判定不能"),"判定不能",IF(AJ1036&gt;=判定条件!$C$9,"利用可",IF(AND(S1036="停止",J1036="停止"),"両方停止","運転がそろわない")))</f>
        <v>両方停止</v>
      </c>
      <c r="AL1036" s="30" t="n">
        <v>60</v>
      </c>
      <c r="AM1036" s="30" t="n">
        <v>0</v>
      </c>
      <c r="AN1036" s="30" t="str">
        <f aca="false">IF(OR(V1036="判定不能",M1036="判定不能"),"判定不能",IF(AM1036&gt;=判定条件!$C$9,"利用可",IF(AND(V1036="停止",M1036="停止"),"両方停止","運転がそろわない")))</f>
        <v>両方停止</v>
      </c>
      <c r="AO1036" s="30" t="n">
        <v>60</v>
      </c>
      <c r="AP1036" s="30" t="n">
        <v>0</v>
      </c>
      <c r="AQ1036" s="30" t="str">
        <f aca="false">IF(OR(Y1036="判定不能",G1036="判定不能"),"判定不能",IF(AP1036&gt;=判定条件!$C$9,"利用可",IF(AND(Y1036="停止",G1036="停止"),"両方停止","運転がそろわない")))</f>
        <v>両方停止</v>
      </c>
      <c r="AR1036" s="30" t="n">
        <v>60</v>
      </c>
      <c r="AS1036" s="30" t="n">
        <v>0</v>
      </c>
      <c r="AT1036" s="30" t="str">
        <f aca="false">IF(OR(AB1036="判定不能",J1036="判定不能"),"判定不能",IF(AS1036&gt;=判定条件!$C$9,"利用可",IF(AND(AB1036="停止",J1036="停止"),"両方停止","運転がそろわない")))</f>
        <v>両方停止</v>
      </c>
      <c r="AU1036" s="30" t="n">
        <v>60</v>
      </c>
      <c r="AV1036" s="30" t="n">
        <v>0</v>
      </c>
      <c r="AW1036" s="30" t="str">
        <f aca="false">IF(OR(AE1036="判定不能",M1036="判定不能"),"判定不能",IF(AV1036&gt;=判定条件!$C$9,"利用可",IF(AND(AE1036="停止",M1036="停止"),"両方停止","運転がそろわない")))</f>
        <v>両方停止</v>
      </c>
      <c r="AX1036" s="30" t="str">
        <f aca="false">IF(AND(AH1036="利用可",AK1036="利用可",AN1036="利用可"),"利用可","不可")</f>
        <v>不可</v>
      </c>
      <c r="AY1036" s="30" t="str">
        <f aca="false">IF(AND(AQ1036="利用可",AT1036="利用可",AW1036="利用可"),"利用可","不可")</f>
        <v>不可</v>
      </c>
    </row>
    <row r="1037" customFormat="false" ht="15" hidden="false" customHeight="false" outlineLevel="0" collapsed="false">
      <c r="A1037" s="29" t="n">
        <v>46275</v>
      </c>
      <c r="B1037" s="30" t="n">
        <v>2</v>
      </c>
      <c r="C1037" s="31" t="s">
        <v>61</v>
      </c>
      <c r="D1037" s="31" t="s">
        <v>59</v>
      </c>
      <c r="E1037" s="30" t="n">
        <v>60</v>
      </c>
      <c r="F1037" s="30" t="n">
        <v>0</v>
      </c>
      <c r="G1037" s="30" t="str">
        <f aca="false">IF(E1037&lt;判定条件!$C$6,"判定不能",IF(F1037&gt;=判定条件!$C$7*E1037,"運転",IF(F1037&lt;=判定条件!$C$8*E1037,"停止","断続")))</f>
        <v>停止</v>
      </c>
      <c r="H1037" s="30" t="n">
        <v>60</v>
      </c>
      <c r="I1037" s="30" t="n">
        <v>0</v>
      </c>
      <c r="J1037" s="30" t="str">
        <f aca="false">IF(H1037&lt;判定条件!$C$6,"判定不能",IF(I1037&gt;=判定条件!$C$7*H1037,"運転",IF(I1037&lt;=判定条件!$C$8*H1037,"停止","断続")))</f>
        <v>停止</v>
      </c>
      <c r="K1037" s="30" t="n">
        <v>60</v>
      </c>
      <c r="L1037" s="30" t="n">
        <v>0</v>
      </c>
      <c r="M1037" s="30" t="str">
        <f aca="false">IF(K1037&lt;判定条件!$C$6,"判定不能",IF(L1037&gt;=判定条件!$C$7*K1037,"運転",IF(L1037&lt;=判定条件!$C$8*K1037,"停止","断続")))</f>
        <v>停止</v>
      </c>
      <c r="N1037" s="30" t="n">
        <v>60</v>
      </c>
      <c r="O1037" s="30" t="n">
        <v>0</v>
      </c>
      <c r="P1037" s="30" t="str">
        <f aca="false">IF(N1037&lt;判定条件!$C$6,"判定不能",IF(O1037&gt;=判定条件!$C$7*N1037,"運転",IF(O1037&lt;=判定条件!$C$8*N1037,"停止","断続")))</f>
        <v>停止</v>
      </c>
      <c r="Q1037" s="30" t="n">
        <v>60</v>
      </c>
      <c r="R1037" s="30" t="n">
        <v>0</v>
      </c>
      <c r="S1037" s="30" t="str">
        <f aca="false">IF(Q1037&lt;判定条件!$C$6,"判定不能",IF(R1037&gt;=判定条件!$C$7*Q1037,"運転",IF(R1037&lt;=判定条件!$C$8*Q1037,"停止","断続")))</f>
        <v>停止</v>
      </c>
      <c r="T1037" s="30" t="n">
        <v>60</v>
      </c>
      <c r="U1037" s="30" t="n">
        <v>0</v>
      </c>
      <c r="V1037" s="30" t="str">
        <f aca="false">IF(T1037&lt;判定条件!$C$6,"判定不能",IF(U1037&gt;=判定条件!$C$7*T1037,"運転",IF(U1037&lt;=判定条件!$C$8*T1037,"停止","断続")))</f>
        <v>停止</v>
      </c>
      <c r="W1037" s="30" t="n">
        <v>60</v>
      </c>
      <c r="X1037" s="30" t="n">
        <v>0</v>
      </c>
      <c r="Y1037" s="30" t="str">
        <f aca="false">IF(W1037&lt;判定条件!$C$6,"判定不能",IF(X1037&gt;=判定条件!$C$7*W1037,"運転",IF(X1037&lt;=判定条件!$C$8*W1037,"停止","断続")))</f>
        <v>停止</v>
      </c>
      <c r="Z1037" s="30" t="n">
        <v>60</v>
      </c>
      <c r="AA1037" s="30" t="n">
        <v>0</v>
      </c>
      <c r="AB1037" s="30" t="str">
        <f aca="false">IF(Z1037&lt;判定条件!$C$6,"判定不能",IF(AA1037&gt;=判定条件!$C$7*Z1037,"運転",IF(AA1037&lt;=判定条件!$C$8*Z1037,"停止","断続")))</f>
        <v>停止</v>
      </c>
      <c r="AC1037" s="30" t="n">
        <v>60</v>
      </c>
      <c r="AD1037" s="30" t="n">
        <v>0</v>
      </c>
      <c r="AE1037" s="30" t="str">
        <f aca="false">IF(AC1037&lt;判定条件!$C$6,"判定不能",IF(AD1037&gt;=判定条件!$C$7*AC1037,"運転",IF(AD1037&lt;=判定条件!$C$8*AC1037,"停止","断続")))</f>
        <v>停止</v>
      </c>
      <c r="AF1037" s="30" t="n">
        <v>60</v>
      </c>
      <c r="AG1037" s="30" t="n">
        <v>0</v>
      </c>
      <c r="AH1037" s="30" t="str">
        <f aca="false">IF(OR(P1037="判定不能",G1037="判定不能"),"判定不能",IF(AG1037&gt;=判定条件!$C$9,"利用可",IF(AND(P1037="停止",G1037="停止"),"両方停止","運転がそろわない")))</f>
        <v>両方停止</v>
      </c>
      <c r="AI1037" s="30" t="n">
        <v>60</v>
      </c>
      <c r="AJ1037" s="30" t="n">
        <v>0</v>
      </c>
      <c r="AK1037" s="30" t="str">
        <f aca="false">IF(OR(S1037="判定不能",J1037="判定不能"),"判定不能",IF(AJ1037&gt;=判定条件!$C$9,"利用可",IF(AND(S1037="停止",J1037="停止"),"両方停止","運転がそろわない")))</f>
        <v>両方停止</v>
      </c>
      <c r="AL1037" s="30" t="n">
        <v>60</v>
      </c>
      <c r="AM1037" s="30" t="n">
        <v>0</v>
      </c>
      <c r="AN1037" s="30" t="str">
        <f aca="false">IF(OR(V1037="判定不能",M1037="判定不能"),"判定不能",IF(AM1037&gt;=判定条件!$C$9,"利用可",IF(AND(V1037="停止",M1037="停止"),"両方停止","運転がそろわない")))</f>
        <v>両方停止</v>
      </c>
      <c r="AO1037" s="30" t="n">
        <v>60</v>
      </c>
      <c r="AP1037" s="30" t="n">
        <v>0</v>
      </c>
      <c r="AQ1037" s="30" t="str">
        <f aca="false">IF(OR(Y1037="判定不能",G1037="判定不能"),"判定不能",IF(AP1037&gt;=判定条件!$C$9,"利用可",IF(AND(Y1037="停止",G1037="停止"),"両方停止","運転がそろわない")))</f>
        <v>両方停止</v>
      </c>
      <c r="AR1037" s="30" t="n">
        <v>60</v>
      </c>
      <c r="AS1037" s="30" t="n">
        <v>0</v>
      </c>
      <c r="AT1037" s="30" t="str">
        <f aca="false">IF(OR(AB1037="判定不能",J1037="判定不能"),"判定不能",IF(AS1037&gt;=判定条件!$C$9,"利用可",IF(AND(AB1037="停止",J1037="停止"),"両方停止","運転がそろわない")))</f>
        <v>両方停止</v>
      </c>
      <c r="AU1037" s="30" t="n">
        <v>60</v>
      </c>
      <c r="AV1037" s="30" t="n">
        <v>0</v>
      </c>
      <c r="AW1037" s="30" t="str">
        <f aca="false">IF(OR(AE1037="判定不能",M1037="判定不能"),"判定不能",IF(AV1037&gt;=判定条件!$C$9,"利用可",IF(AND(AE1037="停止",M1037="停止"),"両方停止","運転がそろわない")))</f>
        <v>両方停止</v>
      </c>
      <c r="AX1037" s="30" t="str">
        <f aca="false">IF(AND(AH1037="利用可",AK1037="利用可",AN1037="利用可"),"利用可","不可")</f>
        <v>不可</v>
      </c>
      <c r="AY1037" s="30" t="str">
        <f aca="false">IF(AND(AQ1037="利用可",AT1037="利用可",AW1037="利用可"),"利用可","不可")</f>
        <v>不可</v>
      </c>
    </row>
    <row r="1038" customFormat="false" ht="15" hidden="false" customHeight="false" outlineLevel="0" collapsed="false">
      <c r="A1038" s="29" t="n">
        <v>46275</v>
      </c>
      <c r="B1038" s="30" t="n">
        <v>3</v>
      </c>
      <c r="C1038" s="31" t="s">
        <v>61</v>
      </c>
      <c r="D1038" s="31" t="s">
        <v>59</v>
      </c>
      <c r="E1038" s="30" t="n">
        <v>60</v>
      </c>
      <c r="F1038" s="30" t="n">
        <v>0</v>
      </c>
      <c r="G1038" s="30" t="str">
        <f aca="false">IF(E1038&lt;判定条件!$C$6,"判定不能",IF(F1038&gt;=判定条件!$C$7*E1038,"運転",IF(F1038&lt;=判定条件!$C$8*E1038,"停止","断続")))</f>
        <v>停止</v>
      </c>
      <c r="H1038" s="30" t="n">
        <v>60</v>
      </c>
      <c r="I1038" s="30" t="n">
        <v>0</v>
      </c>
      <c r="J1038" s="30" t="str">
        <f aca="false">IF(H1038&lt;判定条件!$C$6,"判定不能",IF(I1038&gt;=判定条件!$C$7*H1038,"運転",IF(I1038&lt;=判定条件!$C$8*H1038,"停止","断続")))</f>
        <v>停止</v>
      </c>
      <c r="K1038" s="30" t="n">
        <v>60</v>
      </c>
      <c r="L1038" s="30" t="n">
        <v>0</v>
      </c>
      <c r="M1038" s="30" t="str">
        <f aca="false">IF(K1038&lt;判定条件!$C$6,"判定不能",IF(L1038&gt;=判定条件!$C$7*K1038,"運転",IF(L1038&lt;=判定条件!$C$8*K1038,"停止","断続")))</f>
        <v>停止</v>
      </c>
      <c r="N1038" s="30" t="n">
        <v>60</v>
      </c>
      <c r="O1038" s="30" t="n">
        <v>0</v>
      </c>
      <c r="P1038" s="30" t="str">
        <f aca="false">IF(N1038&lt;判定条件!$C$6,"判定不能",IF(O1038&gt;=判定条件!$C$7*N1038,"運転",IF(O1038&lt;=判定条件!$C$8*N1038,"停止","断続")))</f>
        <v>停止</v>
      </c>
      <c r="Q1038" s="30" t="n">
        <v>60</v>
      </c>
      <c r="R1038" s="30" t="n">
        <v>0</v>
      </c>
      <c r="S1038" s="30" t="str">
        <f aca="false">IF(Q1038&lt;判定条件!$C$6,"判定不能",IF(R1038&gt;=判定条件!$C$7*Q1038,"運転",IF(R1038&lt;=判定条件!$C$8*Q1038,"停止","断続")))</f>
        <v>停止</v>
      </c>
      <c r="T1038" s="30" t="n">
        <v>60</v>
      </c>
      <c r="U1038" s="30" t="n">
        <v>0</v>
      </c>
      <c r="V1038" s="30" t="str">
        <f aca="false">IF(T1038&lt;判定条件!$C$6,"判定不能",IF(U1038&gt;=判定条件!$C$7*T1038,"運転",IF(U1038&lt;=判定条件!$C$8*T1038,"停止","断続")))</f>
        <v>停止</v>
      </c>
      <c r="W1038" s="30" t="n">
        <v>60</v>
      </c>
      <c r="X1038" s="30" t="n">
        <v>3</v>
      </c>
      <c r="Y1038" s="30" t="str">
        <f aca="false">IF(W1038&lt;判定条件!$C$6,"判定不能",IF(X1038&gt;=判定条件!$C$7*W1038,"運転",IF(X1038&lt;=判定条件!$C$8*W1038,"停止","断続")))</f>
        <v>停止</v>
      </c>
      <c r="Z1038" s="30" t="n">
        <v>60</v>
      </c>
      <c r="AA1038" s="30" t="n">
        <v>0</v>
      </c>
      <c r="AB1038" s="30" t="str">
        <f aca="false">IF(Z1038&lt;判定条件!$C$6,"判定不能",IF(AA1038&gt;=判定条件!$C$7*Z1038,"運転",IF(AA1038&lt;=判定条件!$C$8*Z1038,"停止","断続")))</f>
        <v>停止</v>
      </c>
      <c r="AC1038" s="30" t="n">
        <v>60</v>
      </c>
      <c r="AD1038" s="30" t="n">
        <v>0</v>
      </c>
      <c r="AE1038" s="30" t="str">
        <f aca="false">IF(AC1038&lt;判定条件!$C$6,"判定不能",IF(AD1038&gt;=判定条件!$C$7*AC1038,"運転",IF(AD1038&lt;=判定条件!$C$8*AC1038,"停止","断続")))</f>
        <v>停止</v>
      </c>
      <c r="AF1038" s="30" t="n">
        <v>60</v>
      </c>
      <c r="AG1038" s="30" t="n">
        <v>0</v>
      </c>
      <c r="AH1038" s="30" t="str">
        <f aca="false">IF(OR(P1038="判定不能",G1038="判定不能"),"判定不能",IF(AG1038&gt;=判定条件!$C$9,"利用可",IF(AND(P1038="停止",G1038="停止"),"両方停止","運転がそろわない")))</f>
        <v>両方停止</v>
      </c>
      <c r="AI1038" s="30" t="n">
        <v>60</v>
      </c>
      <c r="AJ1038" s="30" t="n">
        <v>0</v>
      </c>
      <c r="AK1038" s="30" t="str">
        <f aca="false">IF(OR(S1038="判定不能",J1038="判定不能"),"判定不能",IF(AJ1038&gt;=判定条件!$C$9,"利用可",IF(AND(S1038="停止",J1038="停止"),"両方停止","運転がそろわない")))</f>
        <v>両方停止</v>
      </c>
      <c r="AL1038" s="30" t="n">
        <v>60</v>
      </c>
      <c r="AM1038" s="30" t="n">
        <v>0</v>
      </c>
      <c r="AN1038" s="30" t="str">
        <f aca="false">IF(OR(V1038="判定不能",M1038="判定不能"),"判定不能",IF(AM1038&gt;=判定条件!$C$9,"利用可",IF(AND(V1038="停止",M1038="停止"),"両方停止","運転がそろわない")))</f>
        <v>両方停止</v>
      </c>
      <c r="AO1038" s="30" t="n">
        <v>60</v>
      </c>
      <c r="AP1038" s="30" t="n">
        <v>0</v>
      </c>
      <c r="AQ1038" s="30" t="str">
        <f aca="false">IF(OR(Y1038="判定不能",G1038="判定不能"),"判定不能",IF(AP1038&gt;=判定条件!$C$9,"利用可",IF(AND(Y1038="停止",G1038="停止"),"両方停止","運転がそろわない")))</f>
        <v>両方停止</v>
      </c>
      <c r="AR1038" s="30" t="n">
        <v>60</v>
      </c>
      <c r="AS1038" s="30" t="n">
        <v>0</v>
      </c>
      <c r="AT1038" s="30" t="str">
        <f aca="false">IF(OR(AB1038="判定不能",J1038="判定不能"),"判定不能",IF(AS1038&gt;=判定条件!$C$9,"利用可",IF(AND(AB1038="停止",J1038="停止"),"両方停止","運転がそろわない")))</f>
        <v>両方停止</v>
      </c>
      <c r="AU1038" s="30" t="n">
        <v>60</v>
      </c>
      <c r="AV1038" s="30" t="n">
        <v>0</v>
      </c>
      <c r="AW1038" s="30" t="str">
        <f aca="false">IF(OR(AE1038="判定不能",M1038="判定不能"),"判定不能",IF(AV1038&gt;=判定条件!$C$9,"利用可",IF(AND(AE1038="停止",M1038="停止"),"両方停止","運転がそろわない")))</f>
        <v>両方停止</v>
      </c>
      <c r="AX1038" s="30" t="str">
        <f aca="false">IF(AND(AH1038="利用可",AK1038="利用可",AN1038="利用可"),"利用可","不可")</f>
        <v>不可</v>
      </c>
      <c r="AY1038" s="30" t="str">
        <f aca="false">IF(AND(AQ1038="利用可",AT1038="利用可",AW1038="利用可"),"利用可","不可")</f>
        <v>不可</v>
      </c>
    </row>
    <row r="1039" customFormat="false" ht="15" hidden="false" customHeight="false" outlineLevel="0" collapsed="false">
      <c r="A1039" s="29" t="n">
        <v>46275</v>
      </c>
      <c r="B1039" s="30" t="n">
        <v>4</v>
      </c>
      <c r="C1039" s="31" t="s">
        <v>61</v>
      </c>
      <c r="D1039" s="31" t="s">
        <v>59</v>
      </c>
      <c r="E1039" s="30" t="n">
        <v>60</v>
      </c>
      <c r="F1039" s="30" t="n">
        <v>0</v>
      </c>
      <c r="G1039" s="30" t="str">
        <f aca="false">IF(E1039&lt;判定条件!$C$6,"判定不能",IF(F1039&gt;=判定条件!$C$7*E1039,"運転",IF(F1039&lt;=判定条件!$C$8*E1039,"停止","断続")))</f>
        <v>停止</v>
      </c>
      <c r="H1039" s="30" t="n">
        <v>60</v>
      </c>
      <c r="I1039" s="30" t="n">
        <v>0</v>
      </c>
      <c r="J1039" s="30" t="str">
        <f aca="false">IF(H1039&lt;判定条件!$C$6,"判定不能",IF(I1039&gt;=判定条件!$C$7*H1039,"運転",IF(I1039&lt;=判定条件!$C$8*H1039,"停止","断続")))</f>
        <v>停止</v>
      </c>
      <c r="K1039" s="30" t="n">
        <v>60</v>
      </c>
      <c r="L1039" s="30" t="n">
        <v>0</v>
      </c>
      <c r="M1039" s="30" t="str">
        <f aca="false">IF(K1039&lt;判定条件!$C$6,"判定不能",IF(L1039&gt;=判定条件!$C$7*K1039,"運転",IF(L1039&lt;=判定条件!$C$8*K1039,"停止","断続")))</f>
        <v>停止</v>
      </c>
      <c r="N1039" s="30" t="n">
        <v>60</v>
      </c>
      <c r="O1039" s="30" t="n">
        <v>0</v>
      </c>
      <c r="P1039" s="30" t="str">
        <f aca="false">IF(N1039&lt;判定条件!$C$6,"判定不能",IF(O1039&gt;=判定条件!$C$7*N1039,"運転",IF(O1039&lt;=判定条件!$C$8*N1039,"停止","断続")))</f>
        <v>停止</v>
      </c>
      <c r="Q1039" s="30" t="n">
        <v>60</v>
      </c>
      <c r="R1039" s="30" t="n">
        <v>0</v>
      </c>
      <c r="S1039" s="30" t="str">
        <f aca="false">IF(Q1039&lt;判定条件!$C$6,"判定不能",IF(R1039&gt;=判定条件!$C$7*Q1039,"運転",IF(R1039&lt;=判定条件!$C$8*Q1039,"停止","断続")))</f>
        <v>停止</v>
      </c>
      <c r="T1039" s="30" t="n">
        <v>60</v>
      </c>
      <c r="U1039" s="30" t="n">
        <v>0</v>
      </c>
      <c r="V1039" s="30" t="str">
        <f aca="false">IF(T1039&lt;判定条件!$C$6,"判定不能",IF(U1039&gt;=判定条件!$C$7*T1039,"運転",IF(U1039&lt;=判定条件!$C$8*T1039,"停止","断続")))</f>
        <v>停止</v>
      </c>
      <c r="W1039" s="30" t="n">
        <v>60</v>
      </c>
      <c r="X1039" s="30" t="n">
        <v>26</v>
      </c>
      <c r="Y1039" s="30" t="str">
        <f aca="false">IF(W1039&lt;判定条件!$C$6,"判定不能",IF(X1039&gt;=判定条件!$C$7*W1039,"運転",IF(X1039&lt;=判定条件!$C$8*W1039,"停止","断続")))</f>
        <v>断続</v>
      </c>
      <c r="Z1039" s="30" t="n">
        <v>60</v>
      </c>
      <c r="AA1039" s="30" t="n">
        <v>0</v>
      </c>
      <c r="AB1039" s="30" t="str">
        <f aca="false">IF(Z1039&lt;判定条件!$C$6,"判定不能",IF(AA1039&gt;=判定条件!$C$7*Z1039,"運転",IF(AA1039&lt;=判定条件!$C$8*Z1039,"停止","断続")))</f>
        <v>停止</v>
      </c>
      <c r="AC1039" s="30" t="n">
        <v>60</v>
      </c>
      <c r="AD1039" s="30" t="n">
        <v>0</v>
      </c>
      <c r="AE1039" s="30" t="str">
        <f aca="false">IF(AC1039&lt;判定条件!$C$6,"判定不能",IF(AD1039&gt;=判定条件!$C$7*AC1039,"運転",IF(AD1039&lt;=判定条件!$C$8*AC1039,"停止","断続")))</f>
        <v>停止</v>
      </c>
      <c r="AF1039" s="30" t="n">
        <v>60</v>
      </c>
      <c r="AG1039" s="30" t="n">
        <v>0</v>
      </c>
      <c r="AH1039" s="30" t="str">
        <f aca="false">IF(OR(P1039="判定不能",G1039="判定不能"),"判定不能",IF(AG1039&gt;=判定条件!$C$9,"利用可",IF(AND(P1039="停止",G1039="停止"),"両方停止","運転がそろわない")))</f>
        <v>両方停止</v>
      </c>
      <c r="AI1039" s="30" t="n">
        <v>60</v>
      </c>
      <c r="AJ1039" s="30" t="n">
        <v>0</v>
      </c>
      <c r="AK1039" s="30" t="str">
        <f aca="false">IF(OR(S1039="判定不能",J1039="判定不能"),"判定不能",IF(AJ1039&gt;=判定条件!$C$9,"利用可",IF(AND(S1039="停止",J1039="停止"),"両方停止","運転がそろわない")))</f>
        <v>両方停止</v>
      </c>
      <c r="AL1039" s="30" t="n">
        <v>60</v>
      </c>
      <c r="AM1039" s="30" t="n">
        <v>0</v>
      </c>
      <c r="AN1039" s="30" t="str">
        <f aca="false">IF(OR(V1039="判定不能",M1039="判定不能"),"判定不能",IF(AM1039&gt;=判定条件!$C$9,"利用可",IF(AND(V1039="停止",M1039="停止"),"両方停止","運転がそろわない")))</f>
        <v>両方停止</v>
      </c>
      <c r="AO1039" s="30" t="n">
        <v>60</v>
      </c>
      <c r="AP1039" s="30" t="n">
        <v>0</v>
      </c>
      <c r="AQ1039" s="30" t="str">
        <f aca="false">IF(OR(Y1039="判定不能",G1039="判定不能"),"判定不能",IF(AP1039&gt;=判定条件!$C$9,"利用可",IF(AND(Y1039="停止",G1039="停止"),"両方停止","運転がそろわない")))</f>
        <v>運転がそろわない</v>
      </c>
      <c r="AR1039" s="30" t="n">
        <v>60</v>
      </c>
      <c r="AS1039" s="30" t="n">
        <v>0</v>
      </c>
      <c r="AT1039" s="30" t="str">
        <f aca="false">IF(OR(AB1039="判定不能",J1039="判定不能"),"判定不能",IF(AS1039&gt;=判定条件!$C$9,"利用可",IF(AND(AB1039="停止",J1039="停止"),"両方停止","運転がそろわない")))</f>
        <v>両方停止</v>
      </c>
      <c r="AU1039" s="30" t="n">
        <v>60</v>
      </c>
      <c r="AV1039" s="30" t="n">
        <v>0</v>
      </c>
      <c r="AW1039" s="30" t="str">
        <f aca="false">IF(OR(AE1039="判定不能",M1039="判定不能"),"判定不能",IF(AV1039&gt;=判定条件!$C$9,"利用可",IF(AND(AE1039="停止",M1039="停止"),"両方停止","運転がそろわない")))</f>
        <v>両方停止</v>
      </c>
      <c r="AX1039" s="30" t="str">
        <f aca="false">IF(AND(AH1039="利用可",AK1039="利用可",AN1039="利用可"),"利用可","不可")</f>
        <v>不可</v>
      </c>
      <c r="AY1039" s="30" t="str">
        <f aca="false">IF(AND(AQ1039="利用可",AT1039="利用可",AW1039="利用可"),"利用可","不可")</f>
        <v>不可</v>
      </c>
    </row>
    <row r="1040" customFormat="false" ht="15" hidden="false" customHeight="false" outlineLevel="0" collapsed="false">
      <c r="A1040" s="29" t="n">
        <v>46275</v>
      </c>
      <c r="B1040" s="30" t="n">
        <v>5</v>
      </c>
      <c r="C1040" s="31" t="s">
        <v>61</v>
      </c>
      <c r="D1040" s="31" t="s">
        <v>59</v>
      </c>
      <c r="E1040" s="30" t="n">
        <v>60</v>
      </c>
      <c r="F1040" s="30" t="n">
        <v>0</v>
      </c>
      <c r="G1040" s="30" t="str">
        <f aca="false">IF(E1040&lt;判定条件!$C$6,"判定不能",IF(F1040&gt;=判定条件!$C$7*E1040,"運転",IF(F1040&lt;=判定条件!$C$8*E1040,"停止","断続")))</f>
        <v>停止</v>
      </c>
      <c r="H1040" s="30" t="n">
        <v>60</v>
      </c>
      <c r="I1040" s="30" t="n">
        <v>0</v>
      </c>
      <c r="J1040" s="30" t="str">
        <f aca="false">IF(H1040&lt;判定条件!$C$6,"判定不能",IF(I1040&gt;=判定条件!$C$7*H1040,"運転",IF(I1040&lt;=判定条件!$C$8*H1040,"停止","断続")))</f>
        <v>停止</v>
      </c>
      <c r="K1040" s="30" t="n">
        <v>60</v>
      </c>
      <c r="L1040" s="30" t="n">
        <v>0</v>
      </c>
      <c r="M1040" s="30" t="str">
        <f aca="false">IF(K1040&lt;判定条件!$C$6,"判定不能",IF(L1040&gt;=判定条件!$C$7*K1040,"運転",IF(L1040&lt;=判定条件!$C$8*K1040,"停止","断続")))</f>
        <v>停止</v>
      </c>
      <c r="N1040" s="30" t="n">
        <v>60</v>
      </c>
      <c r="O1040" s="30" t="n">
        <v>0</v>
      </c>
      <c r="P1040" s="30" t="str">
        <f aca="false">IF(N1040&lt;判定条件!$C$6,"判定不能",IF(O1040&gt;=判定条件!$C$7*N1040,"運転",IF(O1040&lt;=判定条件!$C$8*N1040,"停止","断続")))</f>
        <v>停止</v>
      </c>
      <c r="Q1040" s="30" t="n">
        <v>60</v>
      </c>
      <c r="R1040" s="30" t="n">
        <v>0</v>
      </c>
      <c r="S1040" s="30" t="str">
        <f aca="false">IF(Q1040&lt;判定条件!$C$6,"判定不能",IF(R1040&gt;=判定条件!$C$7*Q1040,"運転",IF(R1040&lt;=判定条件!$C$8*Q1040,"停止","断続")))</f>
        <v>停止</v>
      </c>
      <c r="T1040" s="30" t="n">
        <v>60</v>
      </c>
      <c r="U1040" s="30" t="n">
        <v>0</v>
      </c>
      <c r="V1040" s="30" t="str">
        <f aca="false">IF(T1040&lt;判定条件!$C$6,"判定不能",IF(U1040&gt;=判定条件!$C$7*T1040,"運転",IF(U1040&lt;=判定条件!$C$8*T1040,"停止","断続")))</f>
        <v>停止</v>
      </c>
      <c r="W1040" s="30" t="n">
        <v>60</v>
      </c>
      <c r="X1040" s="30" t="n">
        <v>2</v>
      </c>
      <c r="Y1040" s="30" t="str">
        <f aca="false">IF(W1040&lt;判定条件!$C$6,"判定不能",IF(X1040&gt;=判定条件!$C$7*W1040,"運転",IF(X1040&lt;=判定条件!$C$8*W1040,"停止","断続")))</f>
        <v>停止</v>
      </c>
      <c r="Z1040" s="30" t="n">
        <v>60</v>
      </c>
      <c r="AA1040" s="30" t="n">
        <v>0</v>
      </c>
      <c r="AB1040" s="30" t="str">
        <f aca="false">IF(Z1040&lt;判定条件!$C$6,"判定不能",IF(AA1040&gt;=判定条件!$C$7*Z1040,"運転",IF(AA1040&lt;=判定条件!$C$8*Z1040,"停止","断続")))</f>
        <v>停止</v>
      </c>
      <c r="AC1040" s="30" t="n">
        <v>60</v>
      </c>
      <c r="AD1040" s="30" t="n">
        <v>0</v>
      </c>
      <c r="AE1040" s="30" t="str">
        <f aca="false">IF(AC1040&lt;判定条件!$C$6,"判定不能",IF(AD1040&gt;=判定条件!$C$7*AC1040,"運転",IF(AD1040&lt;=判定条件!$C$8*AC1040,"停止","断続")))</f>
        <v>停止</v>
      </c>
      <c r="AF1040" s="30" t="n">
        <v>60</v>
      </c>
      <c r="AG1040" s="30" t="n">
        <v>0</v>
      </c>
      <c r="AH1040" s="30" t="str">
        <f aca="false">IF(OR(P1040="判定不能",G1040="判定不能"),"判定不能",IF(AG1040&gt;=判定条件!$C$9,"利用可",IF(AND(P1040="停止",G1040="停止"),"両方停止","運転がそろわない")))</f>
        <v>両方停止</v>
      </c>
      <c r="AI1040" s="30" t="n">
        <v>60</v>
      </c>
      <c r="AJ1040" s="30" t="n">
        <v>0</v>
      </c>
      <c r="AK1040" s="30" t="str">
        <f aca="false">IF(OR(S1040="判定不能",J1040="判定不能"),"判定不能",IF(AJ1040&gt;=判定条件!$C$9,"利用可",IF(AND(S1040="停止",J1040="停止"),"両方停止","運転がそろわない")))</f>
        <v>両方停止</v>
      </c>
      <c r="AL1040" s="30" t="n">
        <v>60</v>
      </c>
      <c r="AM1040" s="30" t="n">
        <v>0</v>
      </c>
      <c r="AN1040" s="30" t="str">
        <f aca="false">IF(OR(V1040="判定不能",M1040="判定不能"),"判定不能",IF(AM1040&gt;=判定条件!$C$9,"利用可",IF(AND(V1040="停止",M1040="停止"),"両方停止","運転がそろわない")))</f>
        <v>両方停止</v>
      </c>
      <c r="AO1040" s="30" t="n">
        <v>60</v>
      </c>
      <c r="AP1040" s="30" t="n">
        <v>0</v>
      </c>
      <c r="AQ1040" s="30" t="str">
        <f aca="false">IF(OR(Y1040="判定不能",G1040="判定不能"),"判定不能",IF(AP1040&gt;=判定条件!$C$9,"利用可",IF(AND(Y1040="停止",G1040="停止"),"両方停止","運転がそろわない")))</f>
        <v>両方停止</v>
      </c>
      <c r="AR1040" s="30" t="n">
        <v>60</v>
      </c>
      <c r="AS1040" s="30" t="n">
        <v>0</v>
      </c>
      <c r="AT1040" s="30" t="str">
        <f aca="false">IF(OR(AB1040="判定不能",J1040="判定不能"),"判定不能",IF(AS1040&gt;=判定条件!$C$9,"利用可",IF(AND(AB1040="停止",J1040="停止"),"両方停止","運転がそろわない")))</f>
        <v>両方停止</v>
      </c>
      <c r="AU1040" s="30" t="n">
        <v>60</v>
      </c>
      <c r="AV1040" s="30" t="n">
        <v>0</v>
      </c>
      <c r="AW1040" s="30" t="str">
        <f aca="false">IF(OR(AE1040="判定不能",M1040="判定不能"),"判定不能",IF(AV1040&gt;=判定条件!$C$9,"利用可",IF(AND(AE1040="停止",M1040="停止"),"両方停止","運転がそろわない")))</f>
        <v>両方停止</v>
      </c>
      <c r="AX1040" s="30" t="str">
        <f aca="false">IF(AND(AH1040="利用可",AK1040="利用可",AN1040="利用可"),"利用可","不可")</f>
        <v>不可</v>
      </c>
      <c r="AY1040" s="30" t="str">
        <f aca="false">IF(AND(AQ1040="利用可",AT1040="利用可",AW1040="利用可"),"利用可","不可")</f>
        <v>不可</v>
      </c>
    </row>
    <row r="1041" customFormat="false" ht="15" hidden="false" customHeight="false" outlineLevel="0" collapsed="false">
      <c r="A1041" s="29" t="n">
        <v>46275</v>
      </c>
      <c r="B1041" s="30" t="n">
        <v>6</v>
      </c>
      <c r="C1041" s="31" t="s">
        <v>61</v>
      </c>
      <c r="D1041" s="31" t="s">
        <v>59</v>
      </c>
      <c r="E1041" s="30" t="n">
        <v>60</v>
      </c>
      <c r="F1041" s="30" t="n">
        <v>0</v>
      </c>
      <c r="G1041" s="30" t="str">
        <f aca="false">IF(E1041&lt;判定条件!$C$6,"判定不能",IF(F1041&gt;=判定条件!$C$7*E1041,"運転",IF(F1041&lt;=判定条件!$C$8*E1041,"停止","断続")))</f>
        <v>停止</v>
      </c>
      <c r="H1041" s="30" t="n">
        <v>60</v>
      </c>
      <c r="I1041" s="30" t="n">
        <v>0</v>
      </c>
      <c r="J1041" s="30" t="str">
        <f aca="false">IF(H1041&lt;判定条件!$C$6,"判定不能",IF(I1041&gt;=判定条件!$C$7*H1041,"運転",IF(I1041&lt;=判定条件!$C$8*H1041,"停止","断続")))</f>
        <v>停止</v>
      </c>
      <c r="K1041" s="30" t="n">
        <v>60</v>
      </c>
      <c r="L1041" s="30" t="n">
        <v>0</v>
      </c>
      <c r="M1041" s="30" t="str">
        <f aca="false">IF(K1041&lt;判定条件!$C$6,"判定不能",IF(L1041&gt;=判定条件!$C$7*K1041,"運転",IF(L1041&lt;=判定条件!$C$8*K1041,"停止","断続")))</f>
        <v>停止</v>
      </c>
      <c r="N1041" s="30" t="n">
        <v>60</v>
      </c>
      <c r="O1041" s="30" t="n">
        <v>0</v>
      </c>
      <c r="P1041" s="30" t="str">
        <f aca="false">IF(N1041&lt;判定条件!$C$6,"判定不能",IF(O1041&gt;=判定条件!$C$7*N1041,"運転",IF(O1041&lt;=判定条件!$C$8*N1041,"停止","断続")))</f>
        <v>停止</v>
      </c>
      <c r="Q1041" s="30" t="n">
        <v>60</v>
      </c>
      <c r="R1041" s="30" t="n">
        <v>0</v>
      </c>
      <c r="S1041" s="30" t="str">
        <f aca="false">IF(Q1041&lt;判定条件!$C$6,"判定不能",IF(R1041&gt;=判定条件!$C$7*Q1041,"運転",IF(R1041&lt;=判定条件!$C$8*Q1041,"停止","断続")))</f>
        <v>停止</v>
      </c>
      <c r="T1041" s="30" t="n">
        <v>60</v>
      </c>
      <c r="U1041" s="30" t="n">
        <v>0</v>
      </c>
      <c r="V1041" s="30" t="str">
        <f aca="false">IF(T1041&lt;判定条件!$C$6,"判定不能",IF(U1041&gt;=判定条件!$C$7*T1041,"運転",IF(U1041&lt;=判定条件!$C$8*T1041,"停止","断続")))</f>
        <v>停止</v>
      </c>
      <c r="W1041" s="30" t="n">
        <v>60</v>
      </c>
      <c r="X1041" s="30" t="n">
        <v>0</v>
      </c>
      <c r="Y1041" s="30" t="str">
        <f aca="false">IF(W1041&lt;判定条件!$C$6,"判定不能",IF(X1041&gt;=判定条件!$C$7*W1041,"運転",IF(X1041&lt;=判定条件!$C$8*W1041,"停止","断続")))</f>
        <v>停止</v>
      </c>
      <c r="Z1041" s="30" t="n">
        <v>60</v>
      </c>
      <c r="AA1041" s="30" t="n">
        <v>19</v>
      </c>
      <c r="AB1041" s="30" t="str">
        <f aca="false">IF(Z1041&lt;判定条件!$C$6,"判定不能",IF(AA1041&gt;=判定条件!$C$7*Z1041,"運転",IF(AA1041&lt;=判定条件!$C$8*Z1041,"停止","断続")))</f>
        <v>断続</v>
      </c>
      <c r="AC1041" s="30" t="n">
        <v>60</v>
      </c>
      <c r="AD1041" s="30" t="n">
        <v>34</v>
      </c>
      <c r="AE1041" s="30" t="str">
        <f aca="false">IF(AC1041&lt;判定条件!$C$6,"判定不能",IF(AD1041&gt;=判定条件!$C$7*AC1041,"運転",IF(AD1041&lt;=判定条件!$C$8*AC1041,"停止","断続")))</f>
        <v>断続</v>
      </c>
      <c r="AF1041" s="30" t="n">
        <v>60</v>
      </c>
      <c r="AG1041" s="30" t="n">
        <v>0</v>
      </c>
      <c r="AH1041" s="30" t="str">
        <f aca="false">IF(OR(P1041="判定不能",G1041="判定不能"),"判定不能",IF(AG1041&gt;=判定条件!$C$9,"利用可",IF(AND(P1041="停止",G1041="停止"),"両方停止","運転がそろわない")))</f>
        <v>両方停止</v>
      </c>
      <c r="AI1041" s="30" t="n">
        <v>60</v>
      </c>
      <c r="AJ1041" s="30" t="n">
        <v>0</v>
      </c>
      <c r="AK1041" s="30" t="str">
        <f aca="false">IF(OR(S1041="判定不能",J1041="判定不能"),"判定不能",IF(AJ1041&gt;=判定条件!$C$9,"利用可",IF(AND(S1041="停止",J1041="停止"),"両方停止","運転がそろわない")))</f>
        <v>両方停止</v>
      </c>
      <c r="AL1041" s="30" t="n">
        <v>60</v>
      </c>
      <c r="AM1041" s="30" t="n">
        <v>0</v>
      </c>
      <c r="AN1041" s="30" t="str">
        <f aca="false">IF(OR(V1041="判定不能",M1041="判定不能"),"判定不能",IF(AM1041&gt;=判定条件!$C$9,"利用可",IF(AND(V1041="停止",M1041="停止"),"両方停止","運転がそろわない")))</f>
        <v>両方停止</v>
      </c>
      <c r="AO1041" s="30" t="n">
        <v>60</v>
      </c>
      <c r="AP1041" s="30" t="n">
        <v>0</v>
      </c>
      <c r="AQ1041" s="30" t="str">
        <f aca="false">IF(OR(Y1041="判定不能",G1041="判定不能"),"判定不能",IF(AP1041&gt;=判定条件!$C$9,"利用可",IF(AND(Y1041="停止",G1041="停止"),"両方停止","運転がそろわない")))</f>
        <v>両方停止</v>
      </c>
      <c r="AR1041" s="30" t="n">
        <v>60</v>
      </c>
      <c r="AS1041" s="30" t="n">
        <v>0</v>
      </c>
      <c r="AT1041" s="30" t="str">
        <f aca="false">IF(OR(AB1041="判定不能",J1041="判定不能"),"判定不能",IF(AS1041&gt;=判定条件!$C$9,"利用可",IF(AND(AB1041="停止",J1041="停止"),"両方停止","運転がそろわない")))</f>
        <v>運転がそろわない</v>
      </c>
      <c r="AU1041" s="30" t="n">
        <v>60</v>
      </c>
      <c r="AV1041" s="30" t="n">
        <v>0</v>
      </c>
      <c r="AW1041" s="30" t="str">
        <f aca="false">IF(OR(AE1041="判定不能",M1041="判定不能"),"判定不能",IF(AV1041&gt;=判定条件!$C$9,"利用可",IF(AND(AE1041="停止",M1041="停止"),"両方停止","運転がそろわない")))</f>
        <v>運転がそろわない</v>
      </c>
      <c r="AX1041" s="30" t="str">
        <f aca="false">IF(AND(AH1041="利用可",AK1041="利用可",AN1041="利用可"),"利用可","不可")</f>
        <v>不可</v>
      </c>
      <c r="AY1041" s="30" t="str">
        <f aca="false">IF(AND(AQ1041="利用可",AT1041="利用可",AW1041="利用可"),"利用可","不可")</f>
        <v>不可</v>
      </c>
    </row>
    <row r="1042" customFormat="false" ht="15" hidden="false" customHeight="false" outlineLevel="0" collapsed="false">
      <c r="A1042" s="29" t="n">
        <v>46275</v>
      </c>
      <c r="B1042" s="30" t="n">
        <v>7</v>
      </c>
      <c r="C1042" s="31" t="s">
        <v>61</v>
      </c>
      <c r="D1042" s="31" t="s">
        <v>59</v>
      </c>
      <c r="E1042" s="30" t="n">
        <v>60</v>
      </c>
      <c r="F1042" s="30" t="n">
        <v>0</v>
      </c>
      <c r="G1042" s="30" t="str">
        <f aca="false">IF(E1042&lt;判定条件!$C$6,"判定不能",IF(F1042&gt;=判定条件!$C$7*E1042,"運転",IF(F1042&lt;=判定条件!$C$8*E1042,"停止","断続")))</f>
        <v>停止</v>
      </c>
      <c r="H1042" s="30" t="n">
        <v>60</v>
      </c>
      <c r="I1042" s="30" t="n">
        <v>0</v>
      </c>
      <c r="J1042" s="30" t="str">
        <f aca="false">IF(H1042&lt;判定条件!$C$6,"判定不能",IF(I1042&gt;=判定条件!$C$7*H1042,"運転",IF(I1042&lt;=判定条件!$C$8*H1042,"停止","断続")))</f>
        <v>停止</v>
      </c>
      <c r="K1042" s="30" t="n">
        <v>60</v>
      </c>
      <c r="L1042" s="30" t="n">
        <v>0</v>
      </c>
      <c r="M1042" s="30" t="str">
        <f aca="false">IF(K1042&lt;判定条件!$C$6,"判定不能",IF(L1042&gt;=判定条件!$C$7*K1042,"運転",IF(L1042&lt;=判定条件!$C$8*K1042,"停止","断続")))</f>
        <v>停止</v>
      </c>
      <c r="N1042" s="30" t="n">
        <v>60</v>
      </c>
      <c r="O1042" s="30" t="n">
        <v>0</v>
      </c>
      <c r="P1042" s="30" t="str">
        <f aca="false">IF(N1042&lt;判定条件!$C$6,"判定不能",IF(O1042&gt;=判定条件!$C$7*N1042,"運転",IF(O1042&lt;=判定条件!$C$8*N1042,"停止","断続")))</f>
        <v>停止</v>
      </c>
      <c r="Q1042" s="30" t="n">
        <v>60</v>
      </c>
      <c r="R1042" s="30" t="n">
        <v>12</v>
      </c>
      <c r="S1042" s="30" t="str">
        <f aca="false">IF(Q1042&lt;判定条件!$C$6,"判定不能",IF(R1042&gt;=判定条件!$C$7*Q1042,"運転",IF(R1042&lt;=判定条件!$C$8*Q1042,"停止","断続")))</f>
        <v>停止</v>
      </c>
      <c r="T1042" s="30" t="n">
        <v>60</v>
      </c>
      <c r="U1042" s="30" t="n">
        <v>0</v>
      </c>
      <c r="V1042" s="30" t="str">
        <f aca="false">IF(T1042&lt;判定条件!$C$6,"判定不能",IF(U1042&gt;=判定条件!$C$7*T1042,"運転",IF(U1042&lt;=判定条件!$C$8*T1042,"停止","断続")))</f>
        <v>停止</v>
      </c>
      <c r="W1042" s="30" t="n">
        <v>60</v>
      </c>
      <c r="X1042" s="30" t="n">
        <v>4</v>
      </c>
      <c r="Y1042" s="30" t="str">
        <f aca="false">IF(W1042&lt;判定条件!$C$6,"判定不能",IF(X1042&gt;=判定条件!$C$7*W1042,"運転",IF(X1042&lt;=判定条件!$C$8*W1042,"停止","断続")))</f>
        <v>停止</v>
      </c>
      <c r="Z1042" s="30" t="n">
        <v>60</v>
      </c>
      <c r="AA1042" s="30" t="n">
        <v>21</v>
      </c>
      <c r="AB1042" s="30" t="str">
        <f aca="false">IF(Z1042&lt;判定条件!$C$6,"判定不能",IF(AA1042&gt;=判定条件!$C$7*Z1042,"運転",IF(AA1042&lt;=判定条件!$C$8*Z1042,"停止","断続")))</f>
        <v>断続</v>
      </c>
      <c r="AC1042" s="30" t="n">
        <v>60</v>
      </c>
      <c r="AD1042" s="30" t="n">
        <v>60</v>
      </c>
      <c r="AE1042" s="30" t="str">
        <f aca="false">IF(AC1042&lt;判定条件!$C$6,"判定不能",IF(AD1042&gt;=判定条件!$C$7*AC1042,"運転",IF(AD1042&lt;=判定条件!$C$8*AC1042,"停止","断続")))</f>
        <v>運転</v>
      </c>
      <c r="AF1042" s="30" t="n">
        <v>60</v>
      </c>
      <c r="AG1042" s="30" t="n">
        <v>0</v>
      </c>
      <c r="AH1042" s="30" t="str">
        <f aca="false">IF(OR(P1042="判定不能",G1042="判定不能"),"判定不能",IF(AG1042&gt;=判定条件!$C$9,"利用可",IF(AND(P1042="停止",G1042="停止"),"両方停止","運転がそろわない")))</f>
        <v>両方停止</v>
      </c>
      <c r="AI1042" s="30" t="n">
        <v>60</v>
      </c>
      <c r="AJ1042" s="30" t="n">
        <v>0</v>
      </c>
      <c r="AK1042" s="30" t="str">
        <f aca="false">IF(OR(S1042="判定不能",J1042="判定不能"),"判定不能",IF(AJ1042&gt;=判定条件!$C$9,"利用可",IF(AND(S1042="停止",J1042="停止"),"両方停止","運転がそろわない")))</f>
        <v>両方停止</v>
      </c>
      <c r="AL1042" s="30" t="n">
        <v>60</v>
      </c>
      <c r="AM1042" s="30" t="n">
        <v>0</v>
      </c>
      <c r="AN1042" s="30" t="str">
        <f aca="false">IF(OR(V1042="判定不能",M1042="判定不能"),"判定不能",IF(AM1042&gt;=判定条件!$C$9,"利用可",IF(AND(V1042="停止",M1042="停止"),"両方停止","運転がそろわない")))</f>
        <v>両方停止</v>
      </c>
      <c r="AO1042" s="30" t="n">
        <v>60</v>
      </c>
      <c r="AP1042" s="30" t="n">
        <v>0</v>
      </c>
      <c r="AQ1042" s="30" t="str">
        <f aca="false">IF(OR(Y1042="判定不能",G1042="判定不能"),"判定不能",IF(AP1042&gt;=判定条件!$C$9,"利用可",IF(AND(Y1042="停止",G1042="停止"),"両方停止","運転がそろわない")))</f>
        <v>両方停止</v>
      </c>
      <c r="AR1042" s="30" t="n">
        <v>60</v>
      </c>
      <c r="AS1042" s="30" t="n">
        <v>0</v>
      </c>
      <c r="AT1042" s="30" t="str">
        <f aca="false">IF(OR(AB1042="判定不能",J1042="判定不能"),"判定不能",IF(AS1042&gt;=判定条件!$C$9,"利用可",IF(AND(AB1042="停止",J1042="停止"),"両方停止","運転がそろわない")))</f>
        <v>運転がそろわない</v>
      </c>
      <c r="AU1042" s="30" t="n">
        <v>60</v>
      </c>
      <c r="AV1042" s="30" t="n">
        <v>0</v>
      </c>
      <c r="AW1042" s="30" t="str">
        <f aca="false">IF(OR(AE1042="判定不能",M1042="判定不能"),"判定不能",IF(AV1042&gt;=判定条件!$C$9,"利用可",IF(AND(AE1042="停止",M1042="停止"),"両方停止","運転がそろわない")))</f>
        <v>運転がそろわない</v>
      </c>
      <c r="AX1042" s="30" t="str">
        <f aca="false">IF(AND(AH1042="利用可",AK1042="利用可",AN1042="利用可"),"利用可","不可")</f>
        <v>不可</v>
      </c>
      <c r="AY1042" s="30" t="str">
        <f aca="false">IF(AND(AQ1042="利用可",AT1042="利用可",AW1042="利用可"),"利用可","不可")</f>
        <v>不可</v>
      </c>
    </row>
    <row r="1043" customFormat="false" ht="15" hidden="false" customHeight="false" outlineLevel="0" collapsed="false">
      <c r="A1043" s="29" t="n">
        <v>46275</v>
      </c>
      <c r="B1043" s="30" t="n">
        <v>8</v>
      </c>
      <c r="C1043" s="31" t="s">
        <v>61</v>
      </c>
      <c r="D1043" s="31" t="s">
        <v>59</v>
      </c>
      <c r="E1043" s="30" t="n">
        <v>60</v>
      </c>
      <c r="F1043" s="30" t="n">
        <v>0</v>
      </c>
      <c r="G1043" s="30" t="str">
        <f aca="false">IF(E1043&lt;判定条件!$C$6,"判定不能",IF(F1043&gt;=判定条件!$C$7*E1043,"運転",IF(F1043&lt;=判定条件!$C$8*E1043,"停止","断続")))</f>
        <v>停止</v>
      </c>
      <c r="H1043" s="30" t="n">
        <v>60</v>
      </c>
      <c r="I1043" s="30" t="n">
        <v>0</v>
      </c>
      <c r="J1043" s="30" t="str">
        <f aca="false">IF(H1043&lt;判定条件!$C$6,"判定不能",IF(I1043&gt;=判定条件!$C$7*H1043,"運転",IF(I1043&lt;=判定条件!$C$8*H1043,"停止","断続")))</f>
        <v>停止</v>
      </c>
      <c r="K1043" s="30" t="n">
        <v>60</v>
      </c>
      <c r="L1043" s="30" t="n">
        <v>0</v>
      </c>
      <c r="M1043" s="30" t="str">
        <f aca="false">IF(K1043&lt;判定条件!$C$6,"判定不能",IF(L1043&gt;=判定条件!$C$7*K1043,"運転",IF(L1043&lt;=判定条件!$C$8*K1043,"停止","断続")))</f>
        <v>停止</v>
      </c>
      <c r="N1043" s="30" t="n">
        <v>60</v>
      </c>
      <c r="O1043" s="30" t="n">
        <v>16</v>
      </c>
      <c r="P1043" s="30" t="str">
        <f aca="false">IF(N1043&lt;判定条件!$C$6,"判定不能",IF(O1043&gt;=判定条件!$C$7*N1043,"運転",IF(O1043&lt;=判定条件!$C$8*N1043,"停止","断続")))</f>
        <v>断続</v>
      </c>
      <c r="Q1043" s="30" t="n">
        <v>60</v>
      </c>
      <c r="R1043" s="30" t="n">
        <v>58</v>
      </c>
      <c r="S1043" s="30" t="str">
        <f aca="false">IF(Q1043&lt;判定条件!$C$6,"判定不能",IF(R1043&gt;=判定条件!$C$7*Q1043,"運転",IF(R1043&lt;=判定条件!$C$8*Q1043,"停止","断続")))</f>
        <v>運転</v>
      </c>
      <c r="T1043" s="30" t="n">
        <v>60</v>
      </c>
      <c r="U1043" s="30" t="n">
        <v>33</v>
      </c>
      <c r="V1043" s="30" t="str">
        <f aca="false">IF(T1043&lt;判定条件!$C$6,"判定不能",IF(U1043&gt;=判定条件!$C$7*T1043,"運転",IF(U1043&lt;=判定条件!$C$8*T1043,"停止","断続")))</f>
        <v>断続</v>
      </c>
      <c r="W1043" s="30" t="n">
        <v>60</v>
      </c>
      <c r="X1043" s="30" t="n">
        <v>10</v>
      </c>
      <c r="Y1043" s="30" t="str">
        <f aca="false">IF(W1043&lt;判定条件!$C$6,"判定不能",IF(X1043&gt;=判定条件!$C$7*W1043,"運転",IF(X1043&lt;=判定条件!$C$8*W1043,"停止","断続")))</f>
        <v>停止</v>
      </c>
      <c r="Z1043" s="30" t="n">
        <v>60</v>
      </c>
      <c r="AA1043" s="30" t="n">
        <v>37</v>
      </c>
      <c r="AB1043" s="30" t="str">
        <f aca="false">IF(Z1043&lt;判定条件!$C$6,"判定不能",IF(AA1043&gt;=判定条件!$C$7*Z1043,"運転",IF(AA1043&lt;=判定条件!$C$8*Z1043,"停止","断続")))</f>
        <v>断続</v>
      </c>
      <c r="AC1043" s="30" t="n">
        <v>60</v>
      </c>
      <c r="AD1043" s="30" t="n">
        <v>60</v>
      </c>
      <c r="AE1043" s="30" t="str">
        <f aca="false">IF(AC1043&lt;判定条件!$C$6,"判定不能",IF(AD1043&gt;=判定条件!$C$7*AC1043,"運転",IF(AD1043&lt;=判定条件!$C$8*AC1043,"停止","断続")))</f>
        <v>運転</v>
      </c>
      <c r="AF1043" s="30" t="n">
        <v>60</v>
      </c>
      <c r="AG1043" s="30" t="n">
        <v>0</v>
      </c>
      <c r="AH1043" s="30" t="str">
        <f aca="false">IF(OR(P1043="判定不能",G1043="判定不能"),"判定不能",IF(AG1043&gt;=判定条件!$C$9,"利用可",IF(AND(P1043="停止",G1043="停止"),"両方停止","運転がそろわない")))</f>
        <v>運転がそろわない</v>
      </c>
      <c r="AI1043" s="30" t="n">
        <v>60</v>
      </c>
      <c r="AJ1043" s="30" t="n">
        <v>0</v>
      </c>
      <c r="AK1043" s="30" t="str">
        <f aca="false">IF(OR(S1043="判定不能",J1043="判定不能"),"判定不能",IF(AJ1043&gt;=判定条件!$C$9,"利用可",IF(AND(S1043="停止",J1043="停止"),"両方停止","運転がそろわない")))</f>
        <v>運転がそろわない</v>
      </c>
      <c r="AL1043" s="30" t="n">
        <v>60</v>
      </c>
      <c r="AM1043" s="30" t="n">
        <v>0</v>
      </c>
      <c r="AN1043" s="30" t="str">
        <f aca="false">IF(OR(V1043="判定不能",M1043="判定不能"),"判定不能",IF(AM1043&gt;=判定条件!$C$9,"利用可",IF(AND(V1043="停止",M1043="停止"),"両方停止","運転がそろわない")))</f>
        <v>運転がそろわない</v>
      </c>
      <c r="AO1043" s="30" t="n">
        <v>60</v>
      </c>
      <c r="AP1043" s="30" t="n">
        <v>0</v>
      </c>
      <c r="AQ1043" s="30" t="str">
        <f aca="false">IF(OR(Y1043="判定不能",G1043="判定不能"),"判定不能",IF(AP1043&gt;=判定条件!$C$9,"利用可",IF(AND(Y1043="停止",G1043="停止"),"両方停止","運転がそろわない")))</f>
        <v>両方停止</v>
      </c>
      <c r="AR1043" s="30" t="n">
        <v>60</v>
      </c>
      <c r="AS1043" s="30" t="n">
        <v>0</v>
      </c>
      <c r="AT1043" s="30" t="str">
        <f aca="false">IF(OR(AB1043="判定不能",J1043="判定不能"),"判定不能",IF(AS1043&gt;=判定条件!$C$9,"利用可",IF(AND(AB1043="停止",J1043="停止"),"両方停止","運転がそろわない")))</f>
        <v>運転がそろわない</v>
      </c>
      <c r="AU1043" s="30" t="n">
        <v>60</v>
      </c>
      <c r="AV1043" s="30" t="n">
        <v>0</v>
      </c>
      <c r="AW1043" s="30" t="str">
        <f aca="false">IF(OR(AE1043="判定不能",M1043="判定不能"),"判定不能",IF(AV1043&gt;=判定条件!$C$9,"利用可",IF(AND(AE1043="停止",M1043="停止"),"両方停止","運転がそろわない")))</f>
        <v>運転がそろわない</v>
      </c>
      <c r="AX1043" s="30" t="str">
        <f aca="false">IF(AND(AH1043="利用可",AK1043="利用可",AN1043="利用可"),"利用可","不可")</f>
        <v>不可</v>
      </c>
      <c r="AY1043" s="30" t="str">
        <f aca="false">IF(AND(AQ1043="利用可",AT1043="利用可",AW1043="利用可"),"利用可","不可")</f>
        <v>不可</v>
      </c>
    </row>
    <row r="1044" customFormat="false" ht="15" hidden="false" customHeight="false" outlineLevel="0" collapsed="false">
      <c r="A1044" s="29" t="n">
        <v>46275</v>
      </c>
      <c r="B1044" s="30" t="n">
        <v>9</v>
      </c>
      <c r="C1044" s="31" t="s">
        <v>61</v>
      </c>
      <c r="D1044" s="31" t="s">
        <v>59</v>
      </c>
      <c r="E1044" s="30" t="n">
        <v>60</v>
      </c>
      <c r="F1044" s="30" t="n">
        <v>7</v>
      </c>
      <c r="G1044" s="30" t="str">
        <f aca="false">IF(E1044&lt;判定条件!$C$6,"判定不能",IF(F1044&gt;=判定条件!$C$7*E1044,"運転",IF(F1044&lt;=判定条件!$C$8*E1044,"停止","断続")))</f>
        <v>停止</v>
      </c>
      <c r="H1044" s="30" t="n">
        <v>60</v>
      </c>
      <c r="I1044" s="30" t="n">
        <v>21</v>
      </c>
      <c r="J1044" s="30" t="str">
        <f aca="false">IF(H1044&lt;判定条件!$C$6,"判定不能",IF(I1044&gt;=判定条件!$C$7*H1044,"運転",IF(I1044&lt;=判定条件!$C$8*H1044,"停止","断続")))</f>
        <v>断続</v>
      </c>
      <c r="K1044" s="30" t="n">
        <v>60</v>
      </c>
      <c r="L1044" s="30" t="n">
        <v>24</v>
      </c>
      <c r="M1044" s="30" t="str">
        <f aca="false">IF(K1044&lt;判定条件!$C$6,"判定不能",IF(L1044&gt;=判定条件!$C$7*K1044,"運転",IF(L1044&lt;=判定条件!$C$8*K1044,"停止","断続")))</f>
        <v>断続</v>
      </c>
      <c r="N1044" s="30" t="n">
        <v>60</v>
      </c>
      <c r="O1044" s="30" t="n">
        <v>22</v>
      </c>
      <c r="P1044" s="30" t="str">
        <f aca="false">IF(N1044&lt;判定条件!$C$6,"判定不能",IF(O1044&gt;=判定条件!$C$7*N1044,"運転",IF(O1044&lt;=判定条件!$C$8*N1044,"停止","断続")))</f>
        <v>断続</v>
      </c>
      <c r="Q1044" s="30" t="n">
        <v>60</v>
      </c>
      <c r="R1044" s="30" t="n">
        <v>36</v>
      </c>
      <c r="S1044" s="30" t="str">
        <f aca="false">IF(Q1044&lt;判定条件!$C$6,"判定不能",IF(R1044&gt;=判定条件!$C$7*Q1044,"運転",IF(R1044&lt;=判定条件!$C$8*Q1044,"停止","断続")))</f>
        <v>断続</v>
      </c>
      <c r="T1044" s="30" t="n">
        <v>60</v>
      </c>
      <c r="U1044" s="30" t="n">
        <v>51</v>
      </c>
      <c r="V1044" s="30" t="str">
        <f aca="false">IF(T1044&lt;判定条件!$C$6,"判定不能",IF(U1044&gt;=判定条件!$C$7*T1044,"運転",IF(U1044&lt;=判定条件!$C$8*T1044,"停止","断続")))</f>
        <v>運転</v>
      </c>
      <c r="W1044" s="30" t="n">
        <v>60</v>
      </c>
      <c r="X1044" s="30" t="n">
        <v>46</v>
      </c>
      <c r="Y1044" s="30" t="str">
        <f aca="false">IF(W1044&lt;判定条件!$C$6,"判定不能",IF(X1044&gt;=判定条件!$C$7*W1044,"運転",IF(X1044&lt;=判定条件!$C$8*W1044,"停止","断続")))</f>
        <v>断続</v>
      </c>
      <c r="Z1044" s="30" t="n">
        <v>60</v>
      </c>
      <c r="AA1044" s="30" t="n">
        <v>50</v>
      </c>
      <c r="AB1044" s="30" t="str">
        <f aca="false">IF(Z1044&lt;判定条件!$C$6,"判定不能",IF(AA1044&gt;=判定条件!$C$7*Z1044,"運転",IF(AA1044&lt;=判定条件!$C$8*Z1044,"停止","断続")))</f>
        <v>運転</v>
      </c>
      <c r="AC1044" s="30" t="n">
        <v>60</v>
      </c>
      <c r="AD1044" s="30" t="n">
        <v>60</v>
      </c>
      <c r="AE1044" s="30" t="str">
        <f aca="false">IF(AC1044&lt;判定条件!$C$6,"判定不能",IF(AD1044&gt;=判定条件!$C$7*AC1044,"運転",IF(AD1044&lt;=判定条件!$C$8*AC1044,"停止","断続")))</f>
        <v>運転</v>
      </c>
      <c r="AF1044" s="30" t="n">
        <v>60</v>
      </c>
      <c r="AG1044" s="30" t="n">
        <v>0</v>
      </c>
      <c r="AH1044" s="30" t="str">
        <f aca="false">IF(OR(P1044="判定不能",G1044="判定不能"),"判定不能",IF(AG1044&gt;=判定条件!$C$9,"利用可",IF(AND(P1044="停止",G1044="停止"),"両方停止","運転がそろわない")))</f>
        <v>運転がそろわない</v>
      </c>
      <c r="AI1044" s="30" t="n">
        <v>60</v>
      </c>
      <c r="AJ1044" s="30" t="n">
        <v>13</v>
      </c>
      <c r="AK1044" s="30" t="str">
        <f aca="false">IF(OR(S1044="判定不能",J1044="判定不能"),"判定不能",IF(AJ1044&gt;=判定条件!$C$9,"利用可",IF(AND(S1044="停止",J1044="停止"),"両方停止","運転がそろわない")))</f>
        <v>運転がそろわない</v>
      </c>
      <c r="AL1044" s="30" t="n">
        <v>60</v>
      </c>
      <c r="AM1044" s="30" t="n">
        <v>22</v>
      </c>
      <c r="AN1044" s="30" t="str">
        <f aca="false">IF(OR(V1044="判定不能",M1044="判定不能"),"判定不能",IF(AM1044&gt;=判定条件!$C$9,"利用可",IF(AND(V1044="停止",M1044="停止"),"両方停止","運転がそろわない")))</f>
        <v>運転がそろわない</v>
      </c>
      <c r="AO1044" s="30" t="n">
        <v>60</v>
      </c>
      <c r="AP1044" s="30" t="n">
        <v>7</v>
      </c>
      <c r="AQ1044" s="30" t="str">
        <f aca="false">IF(OR(Y1044="判定不能",G1044="判定不能"),"判定不能",IF(AP1044&gt;=判定条件!$C$9,"利用可",IF(AND(Y1044="停止",G1044="停止"),"両方停止","運転がそろわない")))</f>
        <v>運転がそろわない</v>
      </c>
      <c r="AR1044" s="30" t="n">
        <v>60</v>
      </c>
      <c r="AS1044" s="30" t="n">
        <v>19</v>
      </c>
      <c r="AT1044" s="30" t="str">
        <f aca="false">IF(OR(AB1044="判定不能",J1044="判定不能"),"判定不能",IF(AS1044&gt;=判定条件!$C$9,"利用可",IF(AND(AB1044="停止",J1044="停止"),"両方停止","運転がそろわない")))</f>
        <v>運転がそろわない</v>
      </c>
      <c r="AU1044" s="30" t="n">
        <v>60</v>
      </c>
      <c r="AV1044" s="30" t="n">
        <v>24</v>
      </c>
      <c r="AW1044" s="30" t="str">
        <f aca="false">IF(OR(AE1044="判定不能",M1044="判定不能"),"判定不能",IF(AV1044&gt;=判定条件!$C$9,"利用可",IF(AND(AE1044="停止",M1044="停止"),"両方停止","運転がそろわない")))</f>
        <v>運転がそろわない</v>
      </c>
      <c r="AX1044" s="30" t="str">
        <f aca="false">IF(AND(AH1044="利用可",AK1044="利用可",AN1044="利用可"),"利用可","不可")</f>
        <v>不可</v>
      </c>
      <c r="AY1044" s="30" t="str">
        <f aca="false">IF(AND(AQ1044="利用可",AT1044="利用可",AW1044="利用可"),"利用可","不可")</f>
        <v>不可</v>
      </c>
    </row>
    <row r="1045" customFormat="false" ht="15" hidden="false" customHeight="false" outlineLevel="0" collapsed="false">
      <c r="A1045" s="29" t="n">
        <v>46275</v>
      </c>
      <c r="B1045" s="30" t="n">
        <v>10</v>
      </c>
      <c r="C1045" s="31" t="s">
        <v>61</v>
      </c>
      <c r="D1045" s="31" t="s">
        <v>59</v>
      </c>
      <c r="E1045" s="30" t="n">
        <v>60</v>
      </c>
      <c r="F1045" s="30" t="n">
        <v>6</v>
      </c>
      <c r="G1045" s="30" t="str">
        <f aca="false">IF(E1045&lt;判定条件!$C$6,"判定不能",IF(F1045&gt;=判定条件!$C$7*E1045,"運転",IF(F1045&lt;=判定条件!$C$8*E1045,"停止","断続")))</f>
        <v>停止</v>
      </c>
      <c r="H1045" s="30" t="n">
        <v>60</v>
      </c>
      <c r="I1045" s="30" t="n">
        <v>57</v>
      </c>
      <c r="J1045" s="30" t="str">
        <f aca="false">IF(H1045&lt;判定条件!$C$6,"判定不能",IF(I1045&gt;=判定条件!$C$7*H1045,"運転",IF(I1045&lt;=判定条件!$C$8*H1045,"停止","断続")))</f>
        <v>運転</v>
      </c>
      <c r="K1045" s="30" t="n">
        <v>60</v>
      </c>
      <c r="L1045" s="30" t="n">
        <v>60</v>
      </c>
      <c r="M1045" s="30" t="str">
        <f aca="false">IF(K1045&lt;判定条件!$C$6,"判定不能",IF(L1045&gt;=判定条件!$C$7*K1045,"運転",IF(L1045&lt;=判定条件!$C$8*K1045,"停止","断続")))</f>
        <v>運転</v>
      </c>
      <c r="N1045" s="30" t="n">
        <v>60</v>
      </c>
      <c r="O1045" s="30" t="n">
        <v>60</v>
      </c>
      <c r="P1045" s="30" t="str">
        <f aca="false">IF(N1045&lt;判定条件!$C$6,"判定不能",IF(O1045&gt;=判定条件!$C$7*N1045,"運転",IF(O1045&lt;=判定条件!$C$8*N1045,"停止","断続")))</f>
        <v>運転</v>
      </c>
      <c r="Q1045" s="30" t="n">
        <v>60</v>
      </c>
      <c r="R1045" s="30" t="n">
        <v>57</v>
      </c>
      <c r="S1045" s="30" t="str">
        <f aca="false">IF(Q1045&lt;判定条件!$C$6,"判定不能",IF(R1045&gt;=判定条件!$C$7*Q1045,"運転",IF(R1045&lt;=判定条件!$C$8*Q1045,"停止","断続")))</f>
        <v>運転</v>
      </c>
      <c r="T1045" s="30" t="n">
        <v>60</v>
      </c>
      <c r="U1045" s="30" t="n">
        <v>59</v>
      </c>
      <c r="V1045" s="30" t="str">
        <f aca="false">IF(T1045&lt;判定条件!$C$6,"判定不能",IF(U1045&gt;=判定条件!$C$7*T1045,"運転",IF(U1045&lt;=判定条件!$C$8*T1045,"停止","断続")))</f>
        <v>運転</v>
      </c>
      <c r="W1045" s="30" t="n">
        <v>60</v>
      </c>
      <c r="X1045" s="30" t="n">
        <v>60</v>
      </c>
      <c r="Y1045" s="30" t="str">
        <f aca="false">IF(W1045&lt;判定条件!$C$6,"判定不能",IF(X1045&gt;=判定条件!$C$7*W1045,"運転",IF(X1045&lt;=判定条件!$C$8*W1045,"停止","断続")))</f>
        <v>運転</v>
      </c>
      <c r="Z1045" s="30" t="n">
        <v>60</v>
      </c>
      <c r="AA1045" s="30" t="n">
        <v>60</v>
      </c>
      <c r="AB1045" s="30" t="str">
        <f aca="false">IF(Z1045&lt;判定条件!$C$6,"判定不能",IF(AA1045&gt;=判定条件!$C$7*Z1045,"運転",IF(AA1045&lt;=判定条件!$C$8*Z1045,"停止","断続")))</f>
        <v>運転</v>
      </c>
      <c r="AC1045" s="30" t="n">
        <v>60</v>
      </c>
      <c r="AD1045" s="30" t="n">
        <v>60</v>
      </c>
      <c r="AE1045" s="30" t="str">
        <f aca="false">IF(AC1045&lt;判定条件!$C$6,"判定不能",IF(AD1045&gt;=判定条件!$C$7*AC1045,"運転",IF(AD1045&lt;=判定条件!$C$8*AC1045,"停止","断続")))</f>
        <v>運転</v>
      </c>
      <c r="AF1045" s="30" t="n">
        <v>60</v>
      </c>
      <c r="AG1045" s="30" t="n">
        <v>6</v>
      </c>
      <c r="AH1045" s="30" t="str">
        <f aca="false">IF(OR(P1045="判定不能",G1045="判定不能"),"判定不能",IF(AG1045&gt;=判定条件!$C$9,"利用可",IF(AND(P1045="停止",G1045="停止"),"両方停止","運転がそろわない")))</f>
        <v>運転がそろわない</v>
      </c>
      <c r="AI1045" s="30" t="n">
        <v>60</v>
      </c>
      <c r="AJ1045" s="30" t="n">
        <v>54</v>
      </c>
      <c r="AK1045" s="30" t="str">
        <f aca="false">IF(OR(S1045="判定不能",J1045="判定不能"),"判定不能",IF(AJ1045&gt;=判定条件!$C$9,"利用可",IF(AND(S1045="停止",J1045="停止"),"両方停止","運転がそろわない")))</f>
        <v>利用可</v>
      </c>
      <c r="AL1045" s="30" t="n">
        <v>60</v>
      </c>
      <c r="AM1045" s="30" t="n">
        <v>59</v>
      </c>
      <c r="AN1045" s="30" t="str">
        <f aca="false">IF(OR(V1045="判定不能",M1045="判定不能"),"判定不能",IF(AM1045&gt;=判定条件!$C$9,"利用可",IF(AND(V1045="停止",M1045="停止"),"両方停止","運転がそろわない")))</f>
        <v>利用可</v>
      </c>
      <c r="AO1045" s="30" t="n">
        <v>60</v>
      </c>
      <c r="AP1045" s="30" t="n">
        <v>6</v>
      </c>
      <c r="AQ1045" s="30" t="str">
        <f aca="false">IF(OR(Y1045="判定不能",G1045="判定不能"),"判定不能",IF(AP1045&gt;=判定条件!$C$9,"利用可",IF(AND(Y1045="停止",G1045="停止"),"両方停止","運転がそろわない")))</f>
        <v>運転がそろわない</v>
      </c>
      <c r="AR1045" s="30" t="n">
        <v>60</v>
      </c>
      <c r="AS1045" s="30" t="n">
        <v>57</v>
      </c>
      <c r="AT1045" s="30" t="str">
        <f aca="false">IF(OR(AB1045="判定不能",J1045="判定不能"),"判定不能",IF(AS1045&gt;=判定条件!$C$9,"利用可",IF(AND(AB1045="停止",J1045="停止"),"両方停止","運転がそろわない")))</f>
        <v>利用可</v>
      </c>
      <c r="AU1045" s="30" t="n">
        <v>60</v>
      </c>
      <c r="AV1045" s="30" t="n">
        <v>60</v>
      </c>
      <c r="AW1045" s="30" t="str">
        <f aca="false">IF(OR(AE1045="判定不能",M1045="判定不能"),"判定不能",IF(AV1045&gt;=判定条件!$C$9,"利用可",IF(AND(AE1045="停止",M1045="停止"),"両方停止","運転がそろわない")))</f>
        <v>利用可</v>
      </c>
      <c r="AX1045" s="30" t="str">
        <f aca="false">IF(AND(AH1045="利用可",AK1045="利用可",AN1045="利用可"),"利用可","不可")</f>
        <v>不可</v>
      </c>
      <c r="AY1045" s="30" t="str">
        <f aca="false">IF(AND(AQ1045="利用可",AT1045="利用可",AW1045="利用可"),"利用可","不可")</f>
        <v>不可</v>
      </c>
    </row>
    <row r="1046" customFormat="false" ht="15" hidden="false" customHeight="false" outlineLevel="0" collapsed="false">
      <c r="A1046" s="29" t="n">
        <v>46275</v>
      </c>
      <c r="B1046" s="30" t="n">
        <v>11</v>
      </c>
      <c r="C1046" s="31" t="s">
        <v>61</v>
      </c>
      <c r="D1046" s="31" t="s">
        <v>59</v>
      </c>
      <c r="E1046" s="30" t="n">
        <v>60</v>
      </c>
      <c r="F1046" s="30" t="n">
        <v>1</v>
      </c>
      <c r="G1046" s="30" t="str">
        <f aca="false">IF(E1046&lt;判定条件!$C$6,"判定不能",IF(F1046&gt;=判定条件!$C$7*E1046,"運転",IF(F1046&lt;=判定条件!$C$8*E1046,"停止","断続")))</f>
        <v>停止</v>
      </c>
      <c r="H1046" s="30" t="n">
        <v>60</v>
      </c>
      <c r="I1046" s="30" t="n">
        <v>57</v>
      </c>
      <c r="J1046" s="30" t="str">
        <f aca="false">IF(H1046&lt;判定条件!$C$6,"判定不能",IF(I1046&gt;=判定条件!$C$7*H1046,"運転",IF(I1046&lt;=判定条件!$C$8*H1046,"停止","断続")))</f>
        <v>運転</v>
      </c>
      <c r="K1046" s="30" t="n">
        <v>60</v>
      </c>
      <c r="L1046" s="30" t="n">
        <v>60</v>
      </c>
      <c r="M1046" s="30" t="str">
        <f aca="false">IF(K1046&lt;判定条件!$C$6,"判定不能",IF(L1046&gt;=判定条件!$C$7*K1046,"運転",IF(L1046&lt;=判定条件!$C$8*K1046,"停止","断続")))</f>
        <v>運転</v>
      </c>
      <c r="N1046" s="30" t="n">
        <v>60</v>
      </c>
      <c r="O1046" s="30" t="n">
        <v>21</v>
      </c>
      <c r="P1046" s="30" t="str">
        <f aca="false">IF(N1046&lt;判定条件!$C$6,"判定不能",IF(O1046&gt;=判定条件!$C$7*N1046,"運転",IF(O1046&lt;=判定条件!$C$8*N1046,"停止","断続")))</f>
        <v>断続</v>
      </c>
      <c r="Q1046" s="30" t="n">
        <v>60</v>
      </c>
      <c r="R1046" s="30" t="n">
        <v>49</v>
      </c>
      <c r="S1046" s="30" t="str">
        <f aca="false">IF(Q1046&lt;判定条件!$C$6,"判定不能",IF(R1046&gt;=判定条件!$C$7*Q1046,"運転",IF(R1046&lt;=判定条件!$C$8*Q1046,"停止","断続")))</f>
        <v>運転</v>
      </c>
      <c r="T1046" s="30" t="n">
        <v>60</v>
      </c>
      <c r="U1046" s="30" t="n">
        <v>60</v>
      </c>
      <c r="V1046" s="30" t="str">
        <f aca="false">IF(T1046&lt;判定条件!$C$6,"判定不能",IF(U1046&gt;=判定条件!$C$7*T1046,"運転",IF(U1046&lt;=判定条件!$C$8*T1046,"停止","断続")))</f>
        <v>運転</v>
      </c>
      <c r="W1046" s="30" t="n">
        <v>60</v>
      </c>
      <c r="X1046" s="30" t="n">
        <v>40</v>
      </c>
      <c r="Y1046" s="30" t="str">
        <f aca="false">IF(W1046&lt;判定条件!$C$6,"判定不能",IF(X1046&gt;=判定条件!$C$7*W1046,"運転",IF(X1046&lt;=判定条件!$C$8*W1046,"停止","断続")))</f>
        <v>断続</v>
      </c>
      <c r="Z1046" s="30" t="n">
        <v>60</v>
      </c>
      <c r="AA1046" s="30" t="n">
        <v>59</v>
      </c>
      <c r="AB1046" s="30" t="str">
        <f aca="false">IF(Z1046&lt;判定条件!$C$6,"判定不能",IF(AA1046&gt;=判定条件!$C$7*Z1046,"運転",IF(AA1046&lt;=判定条件!$C$8*Z1046,"停止","断続")))</f>
        <v>運転</v>
      </c>
      <c r="AC1046" s="30" t="n">
        <v>60</v>
      </c>
      <c r="AD1046" s="30" t="n">
        <v>60</v>
      </c>
      <c r="AE1046" s="30" t="str">
        <f aca="false">IF(AC1046&lt;判定条件!$C$6,"判定不能",IF(AD1046&gt;=判定条件!$C$7*AC1046,"運転",IF(AD1046&lt;=判定条件!$C$8*AC1046,"停止","断続")))</f>
        <v>運転</v>
      </c>
      <c r="AF1046" s="30" t="n">
        <v>60</v>
      </c>
      <c r="AG1046" s="30" t="n">
        <v>0</v>
      </c>
      <c r="AH1046" s="30" t="str">
        <f aca="false">IF(OR(P1046="判定不能",G1046="判定不能"),"判定不能",IF(AG1046&gt;=判定条件!$C$9,"利用可",IF(AND(P1046="停止",G1046="停止"),"両方停止","運転がそろわない")))</f>
        <v>運転がそろわない</v>
      </c>
      <c r="AI1046" s="30" t="n">
        <v>60</v>
      </c>
      <c r="AJ1046" s="30" t="n">
        <v>46</v>
      </c>
      <c r="AK1046" s="30" t="str">
        <f aca="false">IF(OR(S1046="判定不能",J1046="判定不能"),"判定不能",IF(AJ1046&gt;=判定条件!$C$9,"利用可",IF(AND(S1046="停止",J1046="停止"),"両方停止","運転がそろわない")))</f>
        <v>利用可</v>
      </c>
      <c r="AL1046" s="30" t="n">
        <v>60</v>
      </c>
      <c r="AM1046" s="30" t="n">
        <v>60</v>
      </c>
      <c r="AN1046" s="30" t="str">
        <f aca="false">IF(OR(V1046="判定不能",M1046="判定不能"),"判定不能",IF(AM1046&gt;=判定条件!$C$9,"利用可",IF(AND(V1046="停止",M1046="停止"),"両方停止","運転がそろわない")))</f>
        <v>利用可</v>
      </c>
      <c r="AO1046" s="30" t="n">
        <v>60</v>
      </c>
      <c r="AP1046" s="30" t="n">
        <v>1</v>
      </c>
      <c r="AQ1046" s="30" t="str">
        <f aca="false">IF(OR(Y1046="判定不能",G1046="判定不能"),"判定不能",IF(AP1046&gt;=判定条件!$C$9,"利用可",IF(AND(Y1046="停止",G1046="停止"),"両方停止","運転がそろわない")))</f>
        <v>運転がそろわない</v>
      </c>
      <c r="AR1046" s="30" t="n">
        <v>60</v>
      </c>
      <c r="AS1046" s="30" t="n">
        <v>56</v>
      </c>
      <c r="AT1046" s="30" t="str">
        <f aca="false">IF(OR(AB1046="判定不能",J1046="判定不能"),"判定不能",IF(AS1046&gt;=判定条件!$C$9,"利用可",IF(AND(AB1046="停止",J1046="停止"),"両方停止","運転がそろわない")))</f>
        <v>利用可</v>
      </c>
      <c r="AU1046" s="30" t="n">
        <v>60</v>
      </c>
      <c r="AV1046" s="30" t="n">
        <v>60</v>
      </c>
      <c r="AW1046" s="30" t="str">
        <f aca="false">IF(OR(AE1046="判定不能",M1046="判定不能"),"判定不能",IF(AV1046&gt;=判定条件!$C$9,"利用可",IF(AND(AE1046="停止",M1046="停止"),"両方停止","運転がそろわない")))</f>
        <v>利用可</v>
      </c>
      <c r="AX1046" s="30" t="str">
        <f aca="false">IF(AND(AH1046="利用可",AK1046="利用可",AN1046="利用可"),"利用可","不可")</f>
        <v>不可</v>
      </c>
      <c r="AY1046" s="30" t="str">
        <f aca="false">IF(AND(AQ1046="利用可",AT1046="利用可",AW1046="利用可"),"利用可","不可")</f>
        <v>不可</v>
      </c>
    </row>
    <row r="1047" customFormat="false" ht="15" hidden="false" customHeight="false" outlineLevel="0" collapsed="false">
      <c r="A1047" s="29" t="n">
        <v>46275</v>
      </c>
      <c r="B1047" s="30" t="n">
        <v>12</v>
      </c>
      <c r="C1047" s="31" t="s">
        <v>61</v>
      </c>
      <c r="D1047" s="31" t="s">
        <v>59</v>
      </c>
      <c r="E1047" s="30" t="n">
        <v>60</v>
      </c>
      <c r="F1047" s="30" t="n">
        <v>0</v>
      </c>
      <c r="G1047" s="30" t="str">
        <f aca="false">IF(E1047&lt;判定条件!$C$6,"判定不能",IF(F1047&gt;=判定条件!$C$7*E1047,"運転",IF(F1047&lt;=判定条件!$C$8*E1047,"停止","断続")))</f>
        <v>停止</v>
      </c>
      <c r="H1047" s="30" t="n">
        <v>60</v>
      </c>
      <c r="I1047" s="30" t="n">
        <v>60</v>
      </c>
      <c r="J1047" s="30" t="str">
        <f aca="false">IF(H1047&lt;判定条件!$C$6,"判定不能",IF(I1047&gt;=判定条件!$C$7*H1047,"運転",IF(I1047&lt;=判定条件!$C$8*H1047,"停止","断続")))</f>
        <v>運転</v>
      </c>
      <c r="K1047" s="30" t="n">
        <v>60</v>
      </c>
      <c r="L1047" s="30" t="n">
        <v>60</v>
      </c>
      <c r="M1047" s="30" t="str">
        <f aca="false">IF(K1047&lt;判定条件!$C$6,"判定不能",IF(L1047&gt;=判定条件!$C$7*K1047,"運転",IF(L1047&lt;=判定条件!$C$8*K1047,"停止","断続")))</f>
        <v>運転</v>
      </c>
      <c r="N1047" s="30" t="n">
        <v>60</v>
      </c>
      <c r="O1047" s="30" t="n">
        <v>0</v>
      </c>
      <c r="P1047" s="30" t="str">
        <f aca="false">IF(N1047&lt;判定条件!$C$6,"判定不能",IF(O1047&gt;=判定条件!$C$7*N1047,"運転",IF(O1047&lt;=判定条件!$C$8*N1047,"停止","断続")))</f>
        <v>停止</v>
      </c>
      <c r="Q1047" s="30" t="n">
        <v>60</v>
      </c>
      <c r="R1047" s="30" t="n">
        <v>24</v>
      </c>
      <c r="S1047" s="30" t="str">
        <f aca="false">IF(Q1047&lt;判定条件!$C$6,"判定不能",IF(R1047&gt;=判定条件!$C$7*Q1047,"運転",IF(R1047&lt;=判定条件!$C$8*Q1047,"停止","断続")))</f>
        <v>断続</v>
      </c>
      <c r="T1047" s="30" t="n">
        <v>60</v>
      </c>
      <c r="U1047" s="30" t="n">
        <v>59</v>
      </c>
      <c r="V1047" s="30" t="str">
        <f aca="false">IF(T1047&lt;判定条件!$C$6,"判定不能",IF(U1047&gt;=判定条件!$C$7*T1047,"運転",IF(U1047&lt;=判定条件!$C$8*T1047,"停止","断続")))</f>
        <v>運転</v>
      </c>
      <c r="W1047" s="30" t="n">
        <v>60</v>
      </c>
      <c r="X1047" s="30" t="n">
        <v>53</v>
      </c>
      <c r="Y1047" s="30" t="str">
        <f aca="false">IF(W1047&lt;判定条件!$C$6,"判定不能",IF(X1047&gt;=判定条件!$C$7*W1047,"運転",IF(X1047&lt;=判定条件!$C$8*W1047,"停止","断続")))</f>
        <v>運転</v>
      </c>
      <c r="Z1047" s="30" t="n">
        <v>60</v>
      </c>
      <c r="AA1047" s="30" t="n">
        <v>60</v>
      </c>
      <c r="AB1047" s="30" t="str">
        <f aca="false">IF(Z1047&lt;判定条件!$C$6,"判定不能",IF(AA1047&gt;=判定条件!$C$7*Z1047,"運転",IF(AA1047&lt;=判定条件!$C$8*Z1047,"停止","断続")))</f>
        <v>運転</v>
      </c>
      <c r="AC1047" s="30" t="n">
        <v>60</v>
      </c>
      <c r="AD1047" s="30" t="n">
        <v>60</v>
      </c>
      <c r="AE1047" s="30" t="str">
        <f aca="false">IF(AC1047&lt;判定条件!$C$6,"判定不能",IF(AD1047&gt;=判定条件!$C$7*AC1047,"運転",IF(AD1047&lt;=判定条件!$C$8*AC1047,"停止","断続")))</f>
        <v>運転</v>
      </c>
      <c r="AF1047" s="30" t="n">
        <v>60</v>
      </c>
      <c r="AG1047" s="30" t="n">
        <v>0</v>
      </c>
      <c r="AH1047" s="30" t="str">
        <f aca="false">IF(OR(P1047="判定不能",G1047="判定不能"),"判定不能",IF(AG1047&gt;=判定条件!$C$9,"利用可",IF(AND(P1047="停止",G1047="停止"),"両方停止","運転がそろわない")))</f>
        <v>両方停止</v>
      </c>
      <c r="AI1047" s="30" t="n">
        <v>60</v>
      </c>
      <c r="AJ1047" s="30" t="n">
        <v>24</v>
      </c>
      <c r="AK1047" s="30" t="str">
        <f aca="false">IF(OR(S1047="判定不能",J1047="判定不能"),"判定不能",IF(AJ1047&gt;=判定条件!$C$9,"利用可",IF(AND(S1047="停止",J1047="停止"),"両方停止","運転がそろわない")))</f>
        <v>運転がそろわない</v>
      </c>
      <c r="AL1047" s="30" t="n">
        <v>60</v>
      </c>
      <c r="AM1047" s="30" t="n">
        <v>59</v>
      </c>
      <c r="AN1047" s="30" t="str">
        <f aca="false">IF(OR(V1047="判定不能",M1047="判定不能"),"判定不能",IF(AM1047&gt;=判定条件!$C$9,"利用可",IF(AND(V1047="停止",M1047="停止"),"両方停止","運転がそろわない")))</f>
        <v>利用可</v>
      </c>
      <c r="AO1047" s="30" t="n">
        <v>60</v>
      </c>
      <c r="AP1047" s="30" t="n">
        <v>0</v>
      </c>
      <c r="AQ1047" s="30" t="str">
        <f aca="false">IF(OR(Y1047="判定不能",G1047="判定不能"),"判定不能",IF(AP1047&gt;=判定条件!$C$9,"利用可",IF(AND(Y1047="停止",G1047="停止"),"両方停止","運転がそろわない")))</f>
        <v>運転がそろわない</v>
      </c>
      <c r="AR1047" s="30" t="n">
        <v>60</v>
      </c>
      <c r="AS1047" s="30" t="n">
        <v>60</v>
      </c>
      <c r="AT1047" s="30" t="str">
        <f aca="false">IF(OR(AB1047="判定不能",J1047="判定不能"),"判定不能",IF(AS1047&gt;=判定条件!$C$9,"利用可",IF(AND(AB1047="停止",J1047="停止"),"両方停止","運転がそろわない")))</f>
        <v>利用可</v>
      </c>
      <c r="AU1047" s="30" t="n">
        <v>60</v>
      </c>
      <c r="AV1047" s="30" t="n">
        <v>60</v>
      </c>
      <c r="AW1047" s="30" t="str">
        <f aca="false">IF(OR(AE1047="判定不能",M1047="判定不能"),"判定不能",IF(AV1047&gt;=判定条件!$C$9,"利用可",IF(AND(AE1047="停止",M1047="停止"),"両方停止","運転がそろわない")))</f>
        <v>利用可</v>
      </c>
      <c r="AX1047" s="30" t="str">
        <f aca="false">IF(AND(AH1047="利用可",AK1047="利用可",AN1047="利用可"),"利用可","不可")</f>
        <v>不可</v>
      </c>
      <c r="AY1047" s="30" t="str">
        <f aca="false">IF(AND(AQ1047="利用可",AT1047="利用可",AW1047="利用可"),"利用可","不可")</f>
        <v>不可</v>
      </c>
    </row>
    <row r="1048" customFormat="false" ht="15" hidden="false" customHeight="false" outlineLevel="0" collapsed="false">
      <c r="A1048" s="29" t="n">
        <v>46275</v>
      </c>
      <c r="B1048" s="30" t="n">
        <v>13</v>
      </c>
      <c r="C1048" s="31" t="s">
        <v>61</v>
      </c>
      <c r="D1048" s="31" t="s">
        <v>59</v>
      </c>
      <c r="E1048" s="30" t="n">
        <v>60</v>
      </c>
      <c r="F1048" s="30" t="n">
        <v>12</v>
      </c>
      <c r="G1048" s="30" t="str">
        <f aca="false">IF(E1048&lt;判定条件!$C$6,"判定不能",IF(F1048&gt;=判定条件!$C$7*E1048,"運転",IF(F1048&lt;=判定条件!$C$8*E1048,"停止","断続")))</f>
        <v>停止</v>
      </c>
      <c r="H1048" s="30" t="n">
        <v>60</v>
      </c>
      <c r="I1048" s="30" t="n">
        <v>31</v>
      </c>
      <c r="J1048" s="30" t="str">
        <f aca="false">IF(H1048&lt;判定条件!$C$6,"判定不能",IF(I1048&gt;=判定条件!$C$7*H1048,"運転",IF(I1048&lt;=判定条件!$C$8*H1048,"停止","断続")))</f>
        <v>断続</v>
      </c>
      <c r="K1048" s="30" t="n">
        <v>60</v>
      </c>
      <c r="L1048" s="30" t="n">
        <v>60</v>
      </c>
      <c r="M1048" s="30" t="str">
        <f aca="false">IF(K1048&lt;判定条件!$C$6,"判定不能",IF(L1048&gt;=判定条件!$C$7*K1048,"運転",IF(L1048&lt;=判定条件!$C$8*K1048,"停止","断続")))</f>
        <v>運転</v>
      </c>
      <c r="N1048" s="30" t="n">
        <v>60</v>
      </c>
      <c r="O1048" s="30" t="n">
        <v>9</v>
      </c>
      <c r="P1048" s="30" t="str">
        <f aca="false">IF(N1048&lt;判定条件!$C$6,"判定不能",IF(O1048&gt;=判定条件!$C$7*N1048,"運転",IF(O1048&lt;=判定条件!$C$8*N1048,"停止","断続")))</f>
        <v>停止</v>
      </c>
      <c r="Q1048" s="30" t="n">
        <v>60</v>
      </c>
      <c r="R1048" s="30" t="n">
        <v>60</v>
      </c>
      <c r="S1048" s="30" t="str">
        <f aca="false">IF(Q1048&lt;判定条件!$C$6,"判定不能",IF(R1048&gt;=判定条件!$C$7*Q1048,"運転",IF(R1048&lt;=判定条件!$C$8*Q1048,"停止","断続")))</f>
        <v>運転</v>
      </c>
      <c r="T1048" s="30" t="n">
        <v>60</v>
      </c>
      <c r="U1048" s="30" t="n">
        <v>60</v>
      </c>
      <c r="V1048" s="30" t="str">
        <f aca="false">IF(T1048&lt;判定条件!$C$6,"判定不能",IF(U1048&gt;=判定条件!$C$7*T1048,"運転",IF(U1048&lt;=判定条件!$C$8*T1048,"停止","断続")))</f>
        <v>運転</v>
      </c>
      <c r="W1048" s="30" t="n">
        <v>60</v>
      </c>
      <c r="X1048" s="30" t="n">
        <v>47</v>
      </c>
      <c r="Y1048" s="30" t="str">
        <f aca="false">IF(W1048&lt;判定条件!$C$6,"判定不能",IF(X1048&gt;=判定条件!$C$7*W1048,"運転",IF(X1048&lt;=判定条件!$C$8*W1048,"停止","断続")))</f>
        <v>断続</v>
      </c>
      <c r="Z1048" s="30" t="n">
        <v>60</v>
      </c>
      <c r="AA1048" s="30" t="n">
        <v>60</v>
      </c>
      <c r="AB1048" s="30" t="str">
        <f aca="false">IF(Z1048&lt;判定条件!$C$6,"判定不能",IF(AA1048&gt;=判定条件!$C$7*Z1048,"運転",IF(AA1048&lt;=判定条件!$C$8*Z1048,"停止","断続")))</f>
        <v>運転</v>
      </c>
      <c r="AC1048" s="30" t="n">
        <v>60</v>
      </c>
      <c r="AD1048" s="30" t="n">
        <v>60</v>
      </c>
      <c r="AE1048" s="30" t="str">
        <f aca="false">IF(AC1048&lt;判定条件!$C$6,"判定不能",IF(AD1048&gt;=判定条件!$C$7*AC1048,"運転",IF(AD1048&lt;=判定条件!$C$8*AC1048,"停止","断続")))</f>
        <v>運転</v>
      </c>
      <c r="AF1048" s="30" t="n">
        <v>60</v>
      </c>
      <c r="AG1048" s="30" t="n">
        <v>0</v>
      </c>
      <c r="AH1048" s="30" t="str">
        <f aca="false">IF(OR(P1048="判定不能",G1048="判定不能"),"判定不能",IF(AG1048&gt;=判定条件!$C$9,"利用可",IF(AND(P1048="停止",G1048="停止"),"両方停止","運転がそろわない")))</f>
        <v>両方停止</v>
      </c>
      <c r="AI1048" s="30" t="n">
        <v>60</v>
      </c>
      <c r="AJ1048" s="30" t="n">
        <v>31</v>
      </c>
      <c r="AK1048" s="30" t="str">
        <f aca="false">IF(OR(S1048="判定不能",J1048="判定不能"),"判定不能",IF(AJ1048&gt;=判定条件!$C$9,"利用可",IF(AND(S1048="停止",J1048="停止"),"両方停止","運転がそろわない")))</f>
        <v>利用可</v>
      </c>
      <c r="AL1048" s="30" t="n">
        <v>60</v>
      </c>
      <c r="AM1048" s="30" t="n">
        <v>60</v>
      </c>
      <c r="AN1048" s="30" t="str">
        <f aca="false">IF(OR(V1048="判定不能",M1048="判定不能"),"判定不能",IF(AM1048&gt;=判定条件!$C$9,"利用可",IF(AND(V1048="停止",M1048="停止"),"両方停止","運転がそろわない")))</f>
        <v>利用可</v>
      </c>
      <c r="AO1048" s="30" t="n">
        <v>60</v>
      </c>
      <c r="AP1048" s="30" t="n">
        <v>3</v>
      </c>
      <c r="AQ1048" s="30" t="str">
        <f aca="false">IF(OR(Y1048="判定不能",G1048="判定不能"),"判定不能",IF(AP1048&gt;=判定条件!$C$9,"利用可",IF(AND(Y1048="停止",G1048="停止"),"両方停止","運転がそろわない")))</f>
        <v>運転がそろわない</v>
      </c>
      <c r="AR1048" s="30" t="n">
        <v>60</v>
      </c>
      <c r="AS1048" s="30" t="n">
        <v>31</v>
      </c>
      <c r="AT1048" s="30" t="str">
        <f aca="false">IF(OR(AB1048="判定不能",J1048="判定不能"),"判定不能",IF(AS1048&gt;=判定条件!$C$9,"利用可",IF(AND(AB1048="停止",J1048="停止"),"両方停止","運転がそろわない")))</f>
        <v>利用可</v>
      </c>
      <c r="AU1048" s="30" t="n">
        <v>60</v>
      </c>
      <c r="AV1048" s="30" t="n">
        <v>60</v>
      </c>
      <c r="AW1048" s="30" t="str">
        <f aca="false">IF(OR(AE1048="判定不能",M1048="判定不能"),"判定不能",IF(AV1048&gt;=判定条件!$C$9,"利用可",IF(AND(AE1048="停止",M1048="停止"),"両方停止","運転がそろわない")))</f>
        <v>利用可</v>
      </c>
      <c r="AX1048" s="30" t="str">
        <f aca="false">IF(AND(AH1048="利用可",AK1048="利用可",AN1048="利用可"),"利用可","不可")</f>
        <v>不可</v>
      </c>
      <c r="AY1048" s="30" t="str">
        <f aca="false">IF(AND(AQ1048="利用可",AT1048="利用可",AW1048="利用可"),"利用可","不可")</f>
        <v>不可</v>
      </c>
    </row>
    <row r="1049" customFormat="false" ht="15" hidden="false" customHeight="false" outlineLevel="0" collapsed="false">
      <c r="A1049" s="29" t="n">
        <v>46275</v>
      </c>
      <c r="B1049" s="30" t="n">
        <v>14</v>
      </c>
      <c r="C1049" s="31" t="s">
        <v>61</v>
      </c>
      <c r="D1049" s="31" t="s">
        <v>59</v>
      </c>
      <c r="E1049" s="30" t="n">
        <v>60</v>
      </c>
      <c r="F1049" s="30" t="n">
        <v>13</v>
      </c>
      <c r="G1049" s="30" t="str">
        <f aca="false">IF(E1049&lt;判定条件!$C$6,"判定不能",IF(F1049&gt;=判定条件!$C$7*E1049,"運転",IF(F1049&lt;=判定条件!$C$8*E1049,"停止","断続")))</f>
        <v>断続</v>
      </c>
      <c r="H1049" s="30" t="n">
        <v>60</v>
      </c>
      <c r="I1049" s="30" t="n">
        <v>45</v>
      </c>
      <c r="J1049" s="30" t="str">
        <f aca="false">IF(H1049&lt;判定条件!$C$6,"判定不能",IF(I1049&gt;=判定条件!$C$7*H1049,"運転",IF(I1049&lt;=判定条件!$C$8*H1049,"停止","断続")))</f>
        <v>断続</v>
      </c>
      <c r="K1049" s="30" t="n">
        <v>60</v>
      </c>
      <c r="L1049" s="30" t="n">
        <v>46</v>
      </c>
      <c r="M1049" s="30" t="str">
        <f aca="false">IF(K1049&lt;判定条件!$C$6,"判定不能",IF(L1049&gt;=判定条件!$C$7*K1049,"運転",IF(L1049&lt;=判定条件!$C$8*K1049,"停止","断続")))</f>
        <v>断続</v>
      </c>
      <c r="N1049" s="30" t="n">
        <v>60</v>
      </c>
      <c r="O1049" s="30" t="n">
        <v>23</v>
      </c>
      <c r="P1049" s="30" t="str">
        <f aca="false">IF(N1049&lt;判定条件!$C$6,"判定不能",IF(O1049&gt;=判定条件!$C$7*N1049,"運転",IF(O1049&lt;=判定条件!$C$8*N1049,"停止","断続")))</f>
        <v>断続</v>
      </c>
      <c r="Q1049" s="30" t="n">
        <v>60</v>
      </c>
      <c r="R1049" s="30" t="n">
        <v>41</v>
      </c>
      <c r="S1049" s="30" t="str">
        <f aca="false">IF(Q1049&lt;判定条件!$C$6,"判定不能",IF(R1049&gt;=判定条件!$C$7*Q1049,"運転",IF(R1049&lt;=判定条件!$C$8*Q1049,"停止","断続")))</f>
        <v>断続</v>
      </c>
      <c r="T1049" s="30" t="n">
        <v>60</v>
      </c>
      <c r="U1049" s="30" t="n">
        <v>60</v>
      </c>
      <c r="V1049" s="30" t="str">
        <f aca="false">IF(T1049&lt;判定条件!$C$6,"判定不能",IF(U1049&gt;=判定条件!$C$7*T1049,"運転",IF(U1049&lt;=判定条件!$C$8*T1049,"停止","断続")))</f>
        <v>運転</v>
      </c>
      <c r="W1049" s="30" t="n">
        <v>60</v>
      </c>
      <c r="X1049" s="30" t="n">
        <v>24</v>
      </c>
      <c r="Y1049" s="30" t="str">
        <f aca="false">IF(W1049&lt;判定条件!$C$6,"判定不能",IF(X1049&gt;=判定条件!$C$7*W1049,"運転",IF(X1049&lt;=判定条件!$C$8*W1049,"停止","断続")))</f>
        <v>断続</v>
      </c>
      <c r="Z1049" s="30" t="n">
        <v>60</v>
      </c>
      <c r="AA1049" s="30" t="n">
        <v>58</v>
      </c>
      <c r="AB1049" s="30" t="str">
        <f aca="false">IF(Z1049&lt;判定条件!$C$6,"判定不能",IF(AA1049&gt;=判定条件!$C$7*Z1049,"運転",IF(AA1049&lt;=判定条件!$C$8*Z1049,"停止","断続")))</f>
        <v>運転</v>
      </c>
      <c r="AC1049" s="30" t="n">
        <v>60</v>
      </c>
      <c r="AD1049" s="30" t="n">
        <v>60</v>
      </c>
      <c r="AE1049" s="30" t="str">
        <f aca="false">IF(AC1049&lt;判定条件!$C$6,"判定不能",IF(AD1049&gt;=判定条件!$C$7*AC1049,"運転",IF(AD1049&lt;=判定条件!$C$8*AC1049,"停止","断続")))</f>
        <v>運転</v>
      </c>
      <c r="AF1049" s="30" t="n">
        <v>60</v>
      </c>
      <c r="AG1049" s="30" t="n">
        <v>7</v>
      </c>
      <c r="AH1049" s="30" t="str">
        <f aca="false">IF(OR(P1049="判定不能",G1049="判定不能"),"判定不能",IF(AG1049&gt;=判定条件!$C$9,"利用可",IF(AND(P1049="停止",G1049="停止"),"両方停止","運転がそろわない")))</f>
        <v>運転がそろわない</v>
      </c>
      <c r="AI1049" s="30" t="n">
        <v>60</v>
      </c>
      <c r="AJ1049" s="30" t="n">
        <v>28</v>
      </c>
      <c r="AK1049" s="30" t="str">
        <f aca="false">IF(OR(S1049="判定不能",J1049="判定不能"),"判定不能",IF(AJ1049&gt;=判定条件!$C$9,"利用可",IF(AND(S1049="停止",J1049="停止"),"両方停止","運転がそろわない")))</f>
        <v>運転がそろわない</v>
      </c>
      <c r="AL1049" s="30" t="n">
        <v>60</v>
      </c>
      <c r="AM1049" s="30" t="n">
        <v>46</v>
      </c>
      <c r="AN1049" s="30" t="str">
        <f aca="false">IF(OR(V1049="判定不能",M1049="判定不能"),"判定不能",IF(AM1049&gt;=判定条件!$C$9,"利用可",IF(AND(V1049="停止",M1049="停止"),"両方停止","運転がそろわない")))</f>
        <v>利用可</v>
      </c>
      <c r="AO1049" s="30" t="n">
        <v>60</v>
      </c>
      <c r="AP1049" s="30" t="n">
        <v>7</v>
      </c>
      <c r="AQ1049" s="30" t="str">
        <f aca="false">IF(OR(Y1049="判定不能",G1049="判定不能"),"判定不能",IF(AP1049&gt;=判定条件!$C$9,"利用可",IF(AND(Y1049="停止",G1049="停止"),"両方停止","運転がそろわない")))</f>
        <v>運転がそろわない</v>
      </c>
      <c r="AR1049" s="30" t="n">
        <v>60</v>
      </c>
      <c r="AS1049" s="30" t="n">
        <v>43</v>
      </c>
      <c r="AT1049" s="30" t="str">
        <f aca="false">IF(OR(AB1049="判定不能",J1049="判定不能"),"判定不能",IF(AS1049&gt;=判定条件!$C$9,"利用可",IF(AND(AB1049="停止",J1049="停止"),"両方停止","運転がそろわない")))</f>
        <v>利用可</v>
      </c>
      <c r="AU1049" s="30" t="n">
        <v>60</v>
      </c>
      <c r="AV1049" s="30" t="n">
        <v>46</v>
      </c>
      <c r="AW1049" s="30" t="str">
        <f aca="false">IF(OR(AE1049="判定不能",M1049="判定不能"),"判定不能",IF(AV1049&gt;=判定条件!$C$9,"利用可",IF(AND(AE1049="停止",M1049="停止"),"両方停止","運転がそろわない")))</f>
        <v>利用可</v>
      </c>
      <c r="AX1049" s="30" t="str">
        <f aca="false">IF(AND(AH1049="利用可",AK1049="利用可",AN1049="利用可"),"利用可","不可")</f>
        <v>不可</v>
      </c>
      <c r="AY1049" s="30" t="str">
        <f aca="false">IF(AND(AQ1049="利用可",AT1049="利用可",AW1049="利用可"),"利用可","不可")</f>
        <v>不可</v>
      </c>
    </row>
    <row r="1050" customFormat="false" ht="15" hidden="false" customHeight="false" outlineLevel="0" collapsed="false">
      <c r="A1050" s="29" t="n">
        <v>46275</v>
      </c>
      <c r="B1050" s="30" t="n">
        <v>15</v>
      </c>
      <c r="C1050" s="31" t="s">
        <v>61</v>
      </c>
      <c r="D1050" s="31" t="s">
        <v>59</v>
      </c>
      <c r="E1050" s="30" t="n">
        <v>60</v>
      </c>
      <c r="F1050" s="30" t="n">
        <v>6</v>
      </c>
      <c r="G1050" s="30" t="str">
        <f aca="false">IF(E1050&lt;判定条件!$C$6,"判定不能",IF(F1050&gt;=判定条件!$C$7*E1050,"運転",IF(F1050&lt;=判定条件!$C$8*E1050,"停止","断続")))</f>
        <v>停止</v>
      </c>
      <c r="H1050" s="30" t="n">
        <v>60</v>
      </c>
      <c r="I1050" s="30" t="n">
        <v>59</v>
      </c>
      <c r="J1050" s="30" t="str">
        <f aca="false">IF(H1050&lt;判定条件!$C$6,"判定不能",IF(I1050&gt;=判定条件!$C$7*H1050,"運転",IF(I1050&lt;=判定条件!$C$8*H1050,"停止","断続")))</f>
        <v>運転</v>
      </c>
      <c r="K1050" s="30" t="n">
        <v>60</v>
      </c>
      <c r="L1050" s="30" t="n">
        <v>40</v>
      </c>
      <c r="M1050" s="30" t="str">
        <f aca="false">IF(K1050&lt;判定条件!$C$6,"判定不能",IF(L1050&gt;=判定条件!$C$7*K1050,"運転",IF(L1050&lt;=判定条件!$C$8*K1050,"停止","断続")))</f>
        <v>断続</v>
      </c>
      <c r="N1050" s="30" t="n">
        <v>60</v>
      </c>
      <c r="O1050" s="30" t="n">
        <v>5</v>
      </c>
      <c r="P1050" s="30" t="str">
        <f aca="false">IF(N1050&lt;判定条件!$C$6,"判定不能",IF(O1050&gt;=判定条件!$C$7*N1050,"運転",IF(O1050&lt;=判定条件!$C$8*N1050,"停止","断続")))</f>
        <v>停止</v>
      </c>
      <c r="Q1050" s="30" t="n">
        <v>60</v>
      </c>
      <c r="R1050" s="30" t="n">
        <v>46</v>
      </c>
      <c r="S1050" s="30" t="str">
        <f aca="false">IF(Q1050&lt;判定条件!$C$6,"判定不能",IF(R1050&gt;=判定条件!$C$7*Q1050,"運転",IF(R1050&lt;=判定条件!$C$8*Q1050,"停止","断続")))</f>
        <v>断続</v>
      </c>
      <c r="T1050" s="30" t="n">
        <v>60</v>
      </c>
      <c r="U1050" s="30" t="n">
        <v>60</v>
      </c>
      <c r="V1050" s="30" t="str">
        <f aca="false">IF(T1050&lt;判定条件!$C$6,"判定不能",IF(U1050&gt;=判定条件!$C$7*T1050,"運転",IF(U1050&lt;=判定条件!$C$8*T1050,"停止","断続")))</f>
        <v>運転</v>
      </c>
      <c r="W1050" s="30" t="n">
        <v>60</v>
      </c>
      <c r="X1050" s="30" t="n">
        <v>50</v>
      </c>
      <c r="Y1050" s="30" t="str">
        <f aca="false">IF(W1050&lt;判定条件!$C$6,"判定不能",IF(X1050&gt;=判定条件!$C$7*W1050,"運転",IF(X1050&lt;=判定条件!$C$8*W1050,"停止","断続")))</f>
        <v>運転</v>
      </c>
      <c r="Z1050" s="30" t="n">
        <v>60</v>
      </c>
      <c r="AA1050" s="30" t="n">
        <v>57</v>
      </c>
      <c r="AB1050" s="30" t="str">
        <f aca="false">IF(Z1050&lt;判定条件!$C$6,"判定不能",IF(AA1050&gt;=判定条件!$C$7*Z1050,"運転",IF(AA1050&lt;=判定条件!$C$8*Z1050,"停止","断続")))</f>
        <v>運転</v>
      </c>
      <c r="AC1050" s="30" t="n">
        <v>60</v>
      </c>
      <c r="AD1050" s="30" t="n">
        <v>60</v>
      </c>
      <c r="AE1050" s="30" t="str">
        <f aca="false">IF(AC1050&lt;判定条件!$C$6,"判定不能",IF(AD1050&gt;=判定条件!$C$7*AC1050,"運転",IF(AD1050&lt;=判定条件!$C$8*AC1050,"停止","断続")))</f>
        <v>運転</v>
      </c>
      <c r="AF1050" s="30" t="n">
        <v>60</v>
      </c>
      <c r="AG1050" s="30" t="n">
        <v>0</v>
      </c>
      <c r="AH1050" s="30" t="str">
        <f aca="false">IF(OR(P1050="判定不能",G1050="判定不能"),"判定不能",IF(AG1050&gt;=判定条件!$C$9,"利用可",IF(AND(P1050="停止",G1050="停止"),"両方停止","運転がそろわない")))</f>
        <v>両方停止</v>
      </c>
      <c r="AI1050" s="30" t="n">
        <v>60</v>
      </c>
      <c r="AJ1050" s="30" t="n">
        <v>46</v>
      </c>
      <c r="AK1050" s="30" t="str">
        <f aca="false">IF(OR(S1050="判定不能",J1050="判定不能"),"判定不能",IF(AJ1050&gt;=判定条件!$C$9,"利用可",IF(AND(S1050="停止",J1050="停止"),"両方停止","運転がそろわない")))</f>
        <v>利用可</v>
      </c>
      <c r="AL1050" s="30" t="n">
        <v>60</v>
      </c>
      <c r="AM1050" s="30" t="n">
        <v>40</v>
      </c>
      <c r="AN1050" s="30" t="str">
        <f aca="false">IF(OR(V1050="判定不能",M1050="判定不能"),"判定不能",IF(AM1050&gt;=判定条件!$C$9,"利用可",IF(AND(V1050="停止",M1050="停止"),"両方停止","運転がそろわない")))</f>
        <v>利用可</v>
      </c>
      <c r="AO1050" s="30" t="n">
        <v>60</v>
      </c>
      <c r="AP1050" s="30" t="n">
        <v>6</v>
      </c>
      <c r="AQ1050" s="30" t="str">
        <f aca="false">IF(OR(Y1050="判定不能",G1050="判定不能"),"判定不能",IF(AP1050&gt;=判定条件!$C$9,"利用可",IF(AND(Y1050="停止",G1050="停止"),"両方停止","運転がそろわない")))</f>
        <v>運転がそろわない</v>
      </c>
      <c r="AR1050" s="30" t="n">
        <v>60</v>
      </c>
      <c r="AS1050" s="30" t="n">
        <v>56</v>
      </c>
      <c r="AT1050" s="30" t="str">
        <f aca="false">IF(OR(AB1050="判定不能",J1050="判定不能"),"判定不能",IF(AS1050&gt;=判定条件!$C$9,"利用可",IF(AND(AB1050="停止",J1050="停止"),"両方停止","運転がそろわない")))</f>
        <v>利用可</v>
      </c>
      <c r="AU1050" s="30" t="n">
        <v>60</v>
      </c>
      <c r="AV1050" s="30" t="n">
        <v>40</v>
      </c>
      <c r="AW1050" s="30" t="str">
        <f aca="false">IF(OR(AE1050="判定不能",M1050="判定不能"),"判定不能",IF(AV1050&gt;=判定条件!$C$9,"利用可",IF(AND(AE1050="停止",M1050="停止"),"両方停止","運転がそろわない")))</f>
        <v>利用可</v>
      </c>
      <c r="AX1050" s="30" t="str">
        <f aca="false">IF(AND(AH1050="利用可",AK1050="利用可",AN1050="利用可"),"利用可","不可")</f>
        <v>不可</v>
      </c>
      <c r="AY1050" s="30" t="str">
        <f aca="false">IF(AND(AQ1050="利用可",AT1050="利用可",AW1050="利用可"),"利用可","不可")</f>
        <v>不可</v>
      </c>
    </row>
    <row r="1051" customFormat="false" ht="15" hidden="false" customHeight="false" outlineLevel="0" collapsed="false">
      <c r="A1051" s="29" t="n">
        <v>46275</v>
      </c>
      <c r="B1051" s="30" t="n">
        <v>16</v>
      </c>
      <c r="C1051" s="31" t="s">
        <v>61</v>
      </c>
      <c r="D1051" s="31" t="s">
        <v>59</v>
      </c>
      <c r="E1051" s="30" t="n">
        <v>60</v>
      </c>
      <c r="F1051" s="30" t="n">
        <v>15</v>
      </c>
      <c r="G1051" s="30" t="str">
        <f aca="false">IF(E1051&lt;判定条件!$C$6,"判定不能",IF(F1051&gt;=判定条件!$C$7*E1051,"運転",IF(F1051&lt;=判定条件!$C$8*E1051,"停止","断続")))</f>
        <v>断続</v>
      </c>
      <c r="H1051" s="30" t="n">
        <v>60</v>
      </c>
      <c r="I1051" s="30" t="n">
        <v>60</v>
      </c>
      <c r="J1051" s="30" t="str">
        <f aca="false">IF(H1051&lt;判定条件!$C$6,"判定不能",IF(I1051&gt;=判定条件!$C$7*H1051,"運転",IF(I1051&lt;=判定条件!$C$8*H1051,"停止","断続")))</f>
        <v>運転</v>
      </c>
      <c r="K1051" s="30" t="n">
        <v>60</v>
      </c>
      <c r="L1051" s="30" t="n">
        <v>44</v>
      </c>
      <c r="M1051" s="30" t="str">
        <f aca="false">IF(K1051&lt;判定条件!$C$6,"判定不能",IF(L1051&gt;=判定条件!$C$7*K1051,"運転",IF(L1051&lt;=判定条件!$C$8*K1051,"停止","断続")))</f>
        <v>断続</v>
      </c>
      <c r="N1051" s="30" t="n">
        <v>60</v>
      </c>
      <c r="O1051" s="30" t="n">
        <v>28</v>
      </c>
      <c r="P1051" s="30" t="str">
        <f aca="false">IF(N1051&lt;判定条件!$C$6,"判定不能",IF(O1051&gt;=判定条件!$C$7*N1051,"運転",IF(O1051&lt;=判定条件!$C$8*N1051,"停止","断続")))</f>
        <v>断続</v>
      </c>
      <c r="Q1051" s="30" t="n">
        <v>60</v>
      </c>
      <c r="R1051" s="30" t="n">
        <v>37</v>
      </c>
      <c r="S1051" s="30" t="str">
        <f aca="false">IF(Q1051&lt;判定条件!$C$6,"判定不能",IF(R1051&gt;=判定条件!$C$7*Q1051,"運転",IF(R1051&lt;=判定条件!$C$8*Q1051,"停止","断続")))</f>
        <v>断続</v>
      </c>
      <c r="T1051" s="30" t="n">
        <v>60</v>
      </c>
      <c r="U1051" s="30" t="n">
        <v>60</v>
      </c>
      <c r="V1051" s="30" t="str">
        <f aca="false">IF(T1051&lt;判定条件!$C$6,"判定不能",IF(U1051&gt;=判定条件!$C$7*T1051,"運転",IF(U1051&lt;=判定条件!$C$8*T1051,"停止","断続")))</f>
        <v>運転</v>
      </c>
      <c r="W1051" s="30" t="n">
        <v>60</v>
      </c>
      <c r="X1051" s="30" t="n">
        <v>55</v>
      </c>
      <c r="Y1051" s="30" t="str">
        <f aca="false">IF(W1051&lt;判定条件!$C$6,"判定不能",IF(X1051&gt;=判定条件!$C$7*W1051,"運転",IF(X1051&lt;=判定条件!$C$8*W1051,"停止","断続")))</f>
        <v>運転</v>
      </c>
      <c r="Z1051" s="30" t="n">
        <v>60</v>
      </c>
      <c r="AA1051" s="30" t="n">
        <v>51</v>
      </c>
      <c r="AB1051" s="30" t="str">
        <f aca="false">IF(Z1051&lt;判定条件!$C$6,"判定不能",IF(AA1051&gt;=判定条件!$C$7*Z1051,"運転",IF(AA1051&lt;=判定条件!$C$8*Z1051,"停止","断続")))</f>
        <v>運転</v>
      </c>
      <c r="AC1051" s="30" t="n">
        <v>60</v>
      </c>
      <c r="AD1051" s="30" t="n">
        <v>57</v>
      </c>
      <c r="AE1051" s="30" t="str">
        <f aca="false">IF(AC1051&lt;判定条件!$C$6,"判定不能",IF(AD1051&gt;=判定条件!$C$7*AC1051,"運転",IF(AD1051&lt;=判定条件!$C$8*AC1051,"停止","断続")))</f>
        <v>運転</v>
      </c>
      <c r="AF1051" s="30" t="n">
        <v>60</v>
      </c>
      <c r="AG1051" s="30" t="n">
        <v>8</v>
      </c>
      <c r="AH1051" s="30" t="str">
        <f aca="false">IF(OR(P1051="判定不能",G1051="判定不能"),"判定不能",IF(AG1051&gt;=判定条件!$C$9,"利用可",IF(AND(P1051="停止",G1051="停止"),"両方停止","運転がそろわない")))</f>
        <v>運転がそろわない</v>
      </c>
      <c r="AI1051" s="30" t="n">
        <v>60</v>
      </c>
      <c r="AJ1051" s="30" t="n">
        <v>37</v>
      </c>
      <c r="AK1051" s="30" t="str">
        <f aca="false">IF(OR(S1051="判定不能",J1051="判定不能"),"判定不能",IF(AJ1051&gt;=判定条件!$C$9,"利用可",IF(AND(S1051="停止",J1051="停止"),"両方停止","運転がそろわない")))</f>
        <v>利用可</v>
      </c>
      <c r="AL1051" s="30" t="n">
        <v>60</v>
      </c>
      <c r="AM1051" s="30" t="n">
        <v>44</v>
      </c>
      <c r="AN1051" s="30" t="str">
        <f aca="false">IF(OR(V1051="判定不能",M1051="判定不能"),"判定不能",IF(AM1051&gt;=判定条件!$C$9,"利用可",IF(AND(V1051="停止",M1051="停止"),"両方停止","運転がそろわない")))</f>
        <v>利用可</v>
      </c>
      <c r="AO1051" s="30" t="n">
        <v>60</v>
      </c>
      <c r="AP1051" s="30" t="n">
        <v>15</v>
      </c>
      <c r="AQ1051" s="30" t="str">
        <f aca="false">IF(OR(Y1051="判定不能",G1051="判定不能"),"判定不能",IF(AP1051&gt;=判定条件!$C$9,"利用可",IF(AND(Y1051="停止",G1051="停止"),"両方停止","運転がそろわない")))</f>
        <v>運転がそろわない</v>
      </c>
      <c r="AR1051" s="30" t="n">
        <v>60</v>
      </c>
      <c r="AS1051" s="30" t="n">
        <v>51</v>
      </c>
      <c r="AT1051" s="30" t="str">
        <f aca="false">IF(OR(AB1051="判定不能",J1051="判定不能"),"判定不能",IF(AS1051&gt;=判定条件!$C$9,"利用可",IF(AND(AB1051="停止",J1051="停止"),"両方停止","運転がそろわない")))</f>
        <v>利用可</v>
      </c>
      <c r="AU1051" s="30" t="n">
        <v>60</v>
      </c>
      <c r="AV1051" s="30" t="n">
        <v>41</v>
      </c>
      <c r="AW1051" s="30" t="str">
        <f aca="false">IF(OR(AE1051="判定不能",M1051="判定不能"),"判定不能",IF(AV1051&gt;=判定条件!$C$9,"利用可",IF(AND(AE1051="停止",M1051="停止"),"両方停止","運転がそろわない")))</f>
        <v>利用可</v>
      </c>
      <c r="AX1051" s="30" t="str">
        <f aca="false">IF(AND(AH1051="利用可",AK1051="利用可",AN1051="利用可"),"利用可","不可")</f>
        <v>不可</v>
      </c>
      <c r="AY1051" s="30" t="str">
        <f aca="false">IF(AND(AQ1051="利用可",AT1051="利用可",AW1051="利用可"),"利用可","不可")</f>
        <v>不可</v>
      </c>
    </row>
    <row r="1052" customFormat="false" ht="15" hidden="false" customHeight="false" outlineLevel="0" collapsed="false">
      <c r="A1052" s="29" t="n">
        <v>46275</v>
      </c>
      <c r="B1052" s="30" t="n">
        <v>17</v>
      </c>
      <c r="C1052" s="31" t="s">
        <v>61</v>
      </c>
      <c r="D1052" s="31" t="s">
        <v>59</v>
      </c>
      <c r="E1052" s="30" t="n">
        <v>60</v>
      </c>
      <c r="F1052" s="30" t="n">
        <v>3</v>
      </c>
      <c r="G1052" s="30" t="str">
        <f aca="false">IF(E1052&lt;判定条件!$C$6,"判定不能",IF(F1052&gt;=判定条件!$C$7*E1052,"運転",IF(F1052&lt;=判定条件!$C$8*E1052,"停止","断続")))</f>
        <v>停止</v>
      </c>
      <c r="H1052" s="30" t="n">
        <v>60</v>
      </c>
      <c r="I1052" s="30" t="n">
        <v>41</v>
      </c>
      <c r="J1052" s="30" t="str">
        <f aca="false">IF(H1052&lt;判定条件!$C$6,"判定不能",IF(I1052&gt;=判定条件!$C$7*H1052,"運転",IF(I1052&lt;=判定条件!$C$8*H1052,"停止","断続")))</f>
        <v>断続</v>
      </c>
      <c r="K1052" s="30" t="n">
        <v>60</v>
      </c>
      <c r="L1052" s="30" t="n">
        <v>13</v>
      </c>
      <c r="M1052" s="30" t="str">
        <f aca="false">IF(K1052&lt;判定条件!$C$6,"判定不能",IF(L1052&gt;=判定条件!$C$7*K1052,"運転",IF(L1052&lt;=判定条件!$C$8*K1052,"停止","断続")))</f>
        <v>断続</v>
      </c>
      <c r="N1052" s="30" t="n">
        <v>60</v>
      </c>
      <c r="O1052" s="30" t="n">
        <v>12</v>
      </c>
      <c r="P1052" s="30" t="str">
        <f aca="false">IF(N1052&lt;判定条件!$C$6,"判定不能",IF(O1052&gt;=判定条件!$C$7*N1052,"運転",IF(O1052&lt;=判定条件!$C$8*N1052,"停止","断続")))</f>
        <v>停止</v>
      </c>
      <c r="Q1052" s="30" t="n">
        <v>60</v>
      </c>
      <c r="R1052" s="30" t="n">
        <v>0</v>
      </c>
      <c r="S1052" s="30" t="str">
        <f aca="false">IF(Q1052&lt;判定条件!$C$6,"判定不能",IF(R1052&gt;=判定条件!$C$7*Q1052,"運転",IF(R1052&lt;=判定条件!$C$8*Q1052,"停止","断続")))</f>
        <v>停止</v>
      </c>
      <c r="T1052" s="30" t="n">
        <v>60</v>
      </c>
      <c r="U1052" s="30" t="n">
        <v>52</v>
      </c>
      <c r="V1052" s="30" t="str">
        <f aca="false">IF(T1052&lt;判定条件!$C$6,"判定不能",IF(U1052&gt;=判定条件!$C$7*T1052,"運転",IF(U1052&lt;=判定条件!$C$8*T1052,"停止","断続")))</f>
        <v>運転</v>
      </c>
      <c r="W1052" s="30" t="n">
        <v>60</v>
      </c>
      <c r="X1052" s="30" t="n">
        <v>30</v>
      </c>
      <c r="Y1052" s="30" t="str">
        <f aca="false">IF(W1052&lt;判定条件!$C$6,"判定不能",IF(X1052&gt;=判定条件!$C$7*W1052,"運転",IF(X1052&lt;=判定条件!$C$8*W1052,"停止","断続")))</f>
        <v>断続</v>
      </c>
      <c r="Z1052" s="30" t="n">
        <v>60</v>
      </c>
      <c r="AA1052" s="30" t="n">
        <v>0</v>
      </c>
      <c r="AB1052" s="30" t="str">
        <f aca="false">IF(Z1052&lt;判定条件!$C$6,"判定不能",IF(AA1052&gt;=判定条件!$C$7*Z1052,"運転",IF(AA1052&lt;=判定条件!$C$8*Z1052,"停止","断続")))</f>
        <v>停止</v>
      </c>
      <c r="AC1052" s="30" t="n">
        <v>60</v>
      </c>
      <c r="AD1052" s="30" t="n">
        <v>60</v>
      </c>
      <c r="AE1052" s="30" t="str">
        <f aca="false">IF(AC1052&lt;判定条件!$C$6,"判定不能",IF(AD1052&gt;=判定条件!$C$7*AC1052,"運転",IF(AD1052&lt;=判定条件!$C$8*AC1052,"停止","断続")))</f>
        <v>運転</v>
      </c>
      <c r="AF1052" s="30" t="n">
        <v>60</v>
      </c>
      <c r="AG1052" s="30" t="n">
        <v>0</v>
      </c>
      <c r="AH1052" s="30" t="str">
        <f aca="false">IF(OR(P1052="判定不能",G1052="判定不能"),"判定不能",IF(AG1052&gt;=判定条件!$C$9,"利用可",IF(AND(P1052="停止",G1052="停止"),"両方停止","運転がそろわない")))</f>
        <v>両方停止</v>
      </c>
      <c r="AI1052" s="30" t="n">
        <v>60</v>
      </c>
      <c r="AJ1052" s="30" t="n">
        <v>0</v>
      </c>
      <c r="AK1052" s="30" t="str">
        <f aca="false">IF(OR(S1052="判定不能",J1052="判定不能"),"判定不能",IF(AJ1052&gt;=判定条件!$C$9,"利用可",IF(AND(S1052="停止",J1052="停止"),"両方停止","運転がそろわない")))</f>
        <v>運転がそろわない</v>
      </c>
      <c r="AL1052" s="30" t="n">
        <v>60</v>
      </c>
      <c r="AM1052" s="30" t="n">
        <v>13</v>
      </c>
      <c r="AN1052" s="30" t="str">
        <f aca="false">IF(OR(V1052="判定不能",M1052="判定不能"),"判定不能",IF(AM1052&gt;=判定条件!$C$9,"利用可",IF(AND(V1052="停止",M1052="停止"),"両方停止","運転がそろわない")))</f>
        <v>運転がそろわない</v>
      </c>
      <c r="AO1052" s="30" t="n">
        <v>60</v>
      </c>
      <c r="AP1052" s="30" t="n">
        <v>3</v>
      </c>
      <c r="AQ1052" s="30" t="str">
        <f aca="false">IF(OR(Y1052="判定不能",G1052="判定不能"),"判定不能",IF(AP1052&gt;=判定条件!$C$9,"利用可",IF(AND(Y1052="停止",G1052="停止"),"両方停止","運転がそろわない")))</f>
        <v>運転がそろわない</v>
      </c>
      <c r="AR1052" s="30" t="n">
        <v>60</v>
      </c>
      <c r="AS1052" s="30" t="n">
        <v>0</v>
      </c>
      <c r="AT1052" s="30" t="str">
        <f aca="false">IF(OR(AB1052="判定不能",J1052="判定不能"),"判定不能",IF(AS1052&gt;=判定条件!$C$9,"利用可",IF(AND(AB1052="停止",J1052="停止"),"両方停止","運転がそろわない")))</f>
        <v>運転がそろわない</v>
      </c>
      <c r="AU1052" s="30" t="n">
        <v>60</v>
      </c>
      <c r="AV1052" s="30" t="n">
        <v>13</v>
      </c>
      <c r="AW1052" s="30" t="str">
        <f aca="false">IF(OR(AE1052="判定不能",M1052="判定不能"),"判定不能",IF(AV1052&gt;=判定条件!$C$9,"利用可",IF(AND(AE1052="停止",M1052="停止"),"両方停止","運転がそろわない")))</f>
        <v>運転がそろわない</v>
      </c>
      <c r="AX1052" s="30" t="str">
        <f aca="false">IF(AND(AH1052="利用可",AK1052="利用可",AN1052="利用可"),"利用可","不可")</f>
        <v>不可</v>
      </c>
      <c r="AY1052" s="30" t="str">
        <f aca="false">IF(AND(AQ1052="利用可",AT1052="利用可",AW1052="利用可"),"利用可","不可")</f>
        <v>不可</v>
      </c>
    </row>
    <row r="1053" customFormat="false" ht="15" hidden="false" customHeight="false" outlineLevel="0" collapsed="false">
      <c r="A1053" s="29" t="n">
        <v>46275</v>
      </c>
      <c r="B1053" s="30" t="n">
        <v>18</v>
      </c>
      <c r="C1053" s="31" t="s">
        <v>61</v>
      </c>
      <c r="D1053" s="31" t="s">
        <v>59</v>
      </c>
      <c r="E1053" s="30" t="n">
        <v>60</v>
      </c>
      <c r="F1053" s="30" t="n">
        <v>0</v>
      </c>
      <c r="G1053" s="30" t="str">
        <f aca="false">IF(E1053&lt;判定条件!$C$6,"判定不能",IF(F1053&gt;=判定条件!$C$7*E1053,"運転",IF(F1053&lt;=判定条件!$C$8*E1053,"停止","断続")))</f>
        <v>停止</v>
      </c>
      <c r="H1053" s="30" t="n">
        <v>60</v>
      </c>
      <c r="I1053" s="30" t="n">
        <v>41</v>
      </c>
      <c r="J1053" s="30" t="str">
        <f aca="false">IF(H1053&lt;判定条件!$C$6,"判定不能",IF(I1053&gt;=判定条件!$C$7*H1053,"運転",IF(I1053&lt;=判定条件!$C$8*H1053,"停止","断続")))</f>
        <v>断続</v>
      </c>
      <c r="K1053" s="30" t="n">
        <v>60</v>
      </c>
      <c r="L1053" s="30" t="n">
        <v>5</v>
      </c>
      <c r="M1053" s="30" t="str">
        <f aca="false">IF(K1053&lt;判定条件!$C$6,"判定不能",IF(L1053&gt;=判定条件!$C$7*K1053,"運転",IF(L1053&lt;=判定条件!$C$8*K1053,"停止","断続")))</f>
        <v>停止</v>
      </c>
      <c r="N1053" s="30" t="n">
        <v>60</v>
      </c>
      <c r="O1053" s="30" t="n">
        <v>0</v>
      </c>
      <c r="P1053" s="30" t="str">
        <f aca="false">IF(N1053&lt;判定条件!$C$6,"判定不能",IF(O1053&gt;=判定条件!$C$7*N1053,"運転",IF(O1053&lt;=判定条件!$C$8*N1053,"停止","断続")))</f>
        <v>停止</v>
      </c>
      <c r="Q1053" s="30" t="n">
        <v>60</v>
      </c>
      <c r="R1053" s="30" t="n">
        <v>5</v>
      </c>
      <c r="S1053" s="30" t="str">
        <f aca="false">IF(Q1053&lt;判定条件!$C$6,"判定不能",IF(R1053&gt;=判定条件!$C$7*Q1053,"運転",IF(R1053&lt;=判定条件!$C$8*Q1053,"停止","断続")))</f>
        <v>停止</v>
      </c>
      <c r="T1053" s="30" t="n">
        <v>60</v>
      </c>
      <c r="U1053" s="30" t="n">
        <v>5</v>
      </c>
      <c r="V1053" s="30" t="str">
        <f aca="false">IF(T1053&lt;判定条件!$C$6,"判定不能",IF(U1053&gt;=判定条件!$C$7*T1053,"運転",IF(U1053&lt;=判定条件!$C$8*T1053,"停止","断続")))</f>
        <v>停止</v>
      </c>
      <c r="W1053" s="30" t="n">
        <v>60</v>
      </c>
      <c r="X1053" s="30" t="n">
        <v>9</v>
      </c>
      <c r="Y1053" s="30" t="str">
        <f aca="false">IF(W1053&lt;判定条件!$C$6,"判定不能",IF(X1053&gt;=判定条件!$C$7*W1053,"運転",IF(X1053&lt;=判定条件!$C$8*W1053,"停止","断続")))</f>
        <v>停止</v>
      </c>
      <c r="Z1053" s="30" t="n">
        <v>60</v>
      </c>
      <c r="AA1053" s="30" t="n">
        <v>44</v>
      </c>
      <c r="AB1053" s="30" t="str">
        <f aca="false">IF(Z1053&lt;判定条件!$C$6,"判定不能",IF(AA1053&gt;=判定条件!$C$7*Z1053,"運転",IF(AA1053&lt;=判定条件!$C$8*Z1053,"停止","断続")))</f>
        <v>断続</v>
      </c>
      <c r="AC1053" s="30" t="n">
        <v>60</v>
      </c>
      <c r="AD1053" s="30" t="n">
        <v>60</v>
      </c>
      <c r="AE1053" s="30" t="str">
        <f aca="false">IF(AC1053&lt;判定条件!$C$6,"判定不能",IF(AD1053&gt;=判定条件!$C$7*AC1053,"運転",IF(AD1053&lt;=判定条件!$C$8*AC1053,"停止","断続")))</f>
        <v>運転</v>
      </c>
      <c r="AF1053" s="30" t="n">
        <v>60</v>
      </c>
      <c r="AG1053" s="30" t="n">
        <v>0</v>
      </c>
      <c r="AH1053" s="30" t="str">
        <f aca="false">IF(OR(P1053="判定不能",G1053="判定不能"),"判定不能",IF(AG1053&gt;=判定条件!$C$9,"利用可",IF(AND(P1053="停止",G1053="停止"),"両方停止","運転がそろわない")))</f>
        <v>両方停止</v>
      </c>
      <c r="AI1053" s="30" t="n">
        <v>60</v>
      </c>
      <c r="AJ1053" s="30" t="n">
        <v>5</v>
      </c>
      <c r="AK1053" s="30" t="str">
        <f aca="false">IF(OR(S1053="判定不能",J1053="判定不能"),"判定不能",IF(AJ1053&gt;=判定条件!$C$9,"利用可",IF(AND(S1053="停止",J1053="停止"),"両方停止","運転がそろわない")))</f>
        <v>運転がそろわない</v>
      </c>
      <c r="AL1053" s="30" t="n">
        <v>60</v>
      </c>
      <c r="AM1053" s="30" t="n">
        <v>5</v>
      </c>
      <c r="AN1053" s="30" t="str">
        <f aca="false">IF(OR(V1053="判定不能",M1053="判定不能"),"判定不能",IF(AM1053&gt;=判定条件!$C$9,"利用可",IF(AND(V1053="停止",M1053="停止"),"両方停止","運転がそろわない")))</f>
        <v>両方停止</v>
      </c>
      <c r="AO1053" s="30" t="n">
        <v>60</v>
      </c>
      <c r="AP1053" s="30" t="n">
        <v>0</v>
      </c>
      <c r="AQ1053" s="30" t="str">
        <f aca="false">IF(OR(Y1053="判定不能",G1053="判定不能"),"判定不能",IF(AP1053&gt;=判定条件!$C$9,"利用可",IF(AND(Y1053="停止",G1053="停止"),"両方停止","運転がそろわない")))</f>
        <v>両方停止</v>
      </c>
      <c r="AR1053" s="30" t="n">
        <v>60</v>
      </c>
      <c r="AS1053" s="30" t="n">
        <v>31</v>
      </c>
      <c r="AT1053" s="30" t="str">
        <f aca="false">IF(OR(AB1053="判定不能",J1053="判定不能"),"判定不能",IF(AS1053&gt;=判定条件!$C$9,"利用可",IF(AND(AB1053="停止",J1053="停止"),"両方停止","運転がそろわない")))</f>
        <v>利用可</v>
      </c>
      <c r="AU1053" s="30" t="n">
        <v>60</v>
      </c>
      <c r="AV1053" s="30" t="n">
        <v>5</v>
      </c>
      <c r="AW1053" s="30" t="str">
        <f aca="false">IF(OR(AE1053="判定不能",M1053="判定不能"),"判定不能",IF(AV1053&gt;=判定条件!$C$9,"利用可",IF(AND(AE1053="停止",M1053="停止"),"両方停止","運転がそろわない")))</f>
        <v>運転がそろわない</v>
      </c>
      <c r="AX1053" s="30" t="str">
        <f aca="false">IF(AND(AH1053="利用可",AK1053="利用可",AN1053="利用可"),"利用可","不可")</f>
        <v>不可</v>
      </c>
      <c r="AY1053" s="30" t="str">
        <f aca="false">IF(AND(AQ1053="利用可",AT1053="利用可",AW1053="利用可"),"利用可","不可")</f>
        <v>不可</v>
      </c>
    </row>
    <row r="1054" customFormat="false" ht="15" hidden="false" customHeight="false" outlineLevel="0" collapsed="false">
      <c r="A1054" s="29" t="n">
        <v>46275</v>
      </c>
      <c r="B1054" s="30" t="n">
        <v>19</v>
      </c>
      <c r="C1054" s="31" t="s">
        <v>61</v>
      </c>
      <c r="D1054" s="31" t="s">
        <v>59</v>
      </c>
      <c r="E1054" s="30" t="n">
        <v>60</v>
      </c>
      <c r="F1054" s="30" t="n">
        <v>0</v>
      </c>
      <c r="G1054" s="30" t="str">
        <f aca="false">IF(E1054&lt;判定条件!$C$6,"判定不能",IF(F1054&gt;=判定条件!$C$7*E1054,"運転",IF(F1054&lt;=判定条件!$C$8*E1054,"停止","断続")))</f>
        <v>停止</v>
      </c>
      <c r="H1054" s="30" t="n">
        <v>60</v>
      </c>
      <c r="I1054" s="30" t="n">
        <v>36</v>
      </c>
      <c r="J1054" s="30" t="str">
        <f aca="false">IF(H1054&lt;判定条件!$C$6,"判定不能",IF(I1054&gt;=判定条件!$C$7*H1054,"運転",IF(I1054&lt;=判定条件!$C$8*H1054,"停止","断続")))</f>
        <v>断続</v>
      </c>
      <c r="K1054" s="30" t="n">
        <v>60</v>
      </c>
      <c r="L1054" s="30" t="n">
        <v>20</v>
      </c>
      <c r="M1054" s="30" t="str">
        <f aca="false">IF(K1054&lt;判定条件!$C$6,"判定不能",IF(L1054&gt;=判定条件!$C$7*K1054,"運転",IF(L1054&lt;=判定条件!$C$8*K1054,"停止","断続")))</f>
        <v>断続</v>
      </c>
      <c r="N1054" s="30" t="n">
        <v>60</v>
      </c>
      <c r="O1054" s="30" t="n">
        <v>15</v>
      </c>
      <c r="P1054" s="30" t="str">
        <f aca="false">IF(N1054&lt;判定条件!$C$6,"判定不能",IF(O1054&gt;=判定条件!$C$7*N1054,"運転",IF(O1054&lt;=判定条件!$C$8*N1054,"停止","断続")))</f>
        <v>断続</v>
      </c>
      <c r="Q1054" s="30" t="n">
        <v>60</v>
      </c>
      <c r="R1054" s="30" t="n">
        <v>14</v>
      </c>
      <c r="S1054" s="30" t="str">
        <f aca="false">IF(Q1054&lt;判定条件!$C$6,"判定不能",IF(R1054&gt;=判定条件!$C$7*Q1054,"運転",IF(R1054&lt;=判定条件!$C$8*Q1054,"停止","断続")))</f>
        <v>断続</v>
      </c>
      <c r="T1054" s="30" t="n">
        <v>60</v>
      </c>
      <c r="U1054" s="30" t="n">
        <v>23</v>
      </c>
      <c r="V1054" s="30" t="str">
        <f aca="false">IF(T1054&lt;判定条件!$C$6,"判定不能",IF(U1054&gt;=判定条件!$C$7*T1054,"運転",IF(U1054&lt;=判定条件!$C$8*T1054,"停止","断続")))</f>
        <v>断続</v>
      </c>
      <c r="W1054" s="30" t="n">
        <v>60</v>
      </c>
      <c r="X1054" s="30" t="n">
        <v>25</v>
      </c>
      <c r="Y1054" s="30" t="str">
        <f aca="false">IF(W1054&lt;判定条件!$C$6,"判定不能",IF(X1054&gt;=判定条件!$C$7*W1054,"運転",IF(X1054&lt;=判定条件!$C$8*W1054,"停止","断続")))</f>
        <v>断続</v>
      </c>
      <c r="Z1054" s="30" t="n">
        <v>60</v>
      </c>
      <c r="AA1054" s="30" t="n">
        <v>0</v>
      </c>
      <c r="AB1054" s="30" t="str">
        <f aca="false">IF(Z1054&lt;判定条件!$C$6,"判定不能",IF(AA1054&gt;=判定条件!$C$7*Z1054,"運転",IF(AA1054&lt;=判定条件!$C$8*Z1054,"停止","断続")))</f>
        <v>停止</v>
      </c>
      <c r="AC1054" s="30" t="n">
        <v>60</v>
      </c>
      <c r="AD1054" s="30" t="n">
        <v>25</v>
      </c>
      <c r="AE1054" s="30" t="str">
        <f aca="false">IF(AC1054&lt;判定条件!$C$6,"判定不能",IF(AD1054&gt;=判定条件!$C$7*AC1054,"運転",IF(AD1054&lt;=判定条件!$C$8*AC1054,"停止","断続")))</f>
        <v>断続</v>
      </c>
      <c r="AF1054" s="30" t="n">
        <v>60</v>
      </c>
      <c r="AG1054" s="30" t="n">
        <v>0</v>
      </c>
      <c r="AH1054" s="30" t="str">
        <f aca="false">IF(OR(P1054="判定不能",G1054="判定不能"),"判定不能",IF(AG1054&gt;=判定条件!$C$9,"利用可",IF(AND(P1054="停止",G1054="停止"),"両方停止","運転がそろわない")))</f>
        <v>運転がそろわない</v>
      </c>
      <c r="AI1054" s="30" t="n">
        <v>60</v>
      </c>
      <c r="AJ1054" s="30" t="n">
        <v>7</v>
      </c>
      <c r="AK1054" s="30" t="str">
        <f aca="false">IF(OR(S1054="判定不能",J1054="判定不能"),"判定不能",IF(AJ1054&gt;=判定条件!$C$9,"利用可",IF(AND(S1054="停止",J1054="停止"),"両方停止","運転がそろわない")))</f>
        <v>運転がそろわない</v>
      </c>
      <c r="AL1054" s="30" t="n">
        <v>60</v>
      </c>
      <c r="AM1054" s="30" t="n">
        <v>20</v>
      </c>
      <c r="AN1054" s="30" t="str">
        <f aca="false">IF(OR(V1054="判定不能",M1054="判定不能"),"判定不能",IF(AM1054&gt;=判定条件!$C$9,"利用可",IF(AND(V1054="停止",M1054="停止"),"両方停止","運転がそろわない")))</f>
        <v>運転がそろわない</v>
      </c>
      <c r="AO1054" s="30" t="n">
        <v>60</v>
      </c>
      <c r="AP1054" s="30" t="n">
        <v>0</v>
      </c>
      <c r="AQ1054" s="30" t="str">
        <f aca="false">IF(OR(Y1054="判定不能",G1054="判定不能"),"判定不能",IF(AP1054&gt;=判定条件!$C$9,"利用可",IF(AND(Y1054="停止",G1054="停止"),"両方停止","運転がそろわない")))</f>
        <v>運転がそろわない</v>
      </c>
      <c r="AR1054" s="30" t="n">
        <v>60</v>
      </c>
      <c r="AS1054" s="30" t="n">
        <v>0</v>
      </c>
      <c r="AT1054" s="30" t="str">
        <f aca="false">IF(OR(AB1054="判定不能",J1054="判定不能"),"判定不能",IF(AS1054&gt;=判定条件!$C$9,"利用可",IF(AND(AB1054="停止",J1054="停止"),"両方停止","運転がそろわない")))</f>
        <v>運転がそろわない</v>
      </c>
      <c r="AU1054" s="30" t="n">
        <v>60</v>
      </c>
      <c r="AV1054" s="30" t="n">
        <v>0</v>
      </c>
      <c r="AW1054" s="30" t="str">
        <f aca="false">IF(OR(AE1054="判定不能",M1054="判定不能"),"判定不能",IF(AV1054&gt;=判定条件!$C$9,"利用可",IF(AND(AE1054="停止",M1054="停止"),"両方停止","運転がそろわない")))</f>
        <v>運転がそろわない</v>
      </c>
      <c r="AX1054" s="30" t="str">
        <f aca="false">IF(AND(AH1054="利用可",AK1054="利用可",AN1054="利用可"),"利用可","不可")</f>
        <v>不可</v>
      </c>
      <c r="AY1054" s="30" t="str">
        <f aca="false">IF(AND(AQ1054="利用可",AT1054="利用可",AW1054="利用可"),"利用可","不可")</f>
        <v>不可</v>
      </c>
    </row>
    <row r="1055" customFormat="false" ht="15" hidden="false" customHeight="false" outlineLevel="0" collapsed="false">
      <c r="A1055" s="29" t="n">
        <v>46275</v>
      </c>
      <c r="B1055" s="30" t="n">
        <v>20</v>
      </c>
      <c r="C1055" s="31" t="s">
        <v>61</v>
      </c>
      <c r="D1055" s="31" t="s">
        <v>59</v>
      </c>
      <c r="E1055" s="30" t="n">
        <v>60</v>
      </c>
      <c r="F1055" s="30" t="n">
        <v>3</v>
      </c>
      <c r="G1055" s="30" t="str">
        <f aca="false">IF(E1055&lt;判定条件!$C$6,"判定不能",IF(F1055&gt;=判定条件!$C$7*E1055,"運転",IF(F1055&lt;=判定条件!$C$8*E1055,"停止","断続")))</f>
        <v>停止</v>
      </c>
      <c r="H1055" s="30" t="n">
        <v>60</v>
      </c>
      <c r="I1055" s="30" t="n">
        <v>9</v>
      </c>
      <c r="J1055" s="30" t="str">
        <f aca="false">IF(H1055&lt;判定条件!$C$6,"判定不能",IF(I1055&gt;=判定条件!$C$7*H1055,"運転",IF(I1055&lt;=判定条件!$C$8*H1055,"停止","断続")))</f>
        <v>停止</v>
      </c>
      <c r="K1055" s="30" t="n">
        <v>60</v>
      </c>
      <c r="L1055" s="30" t="n">
        <v>42</v>
      </c>
      <c r="M1055" s="30" t="str">
        <f aca="false">IF(K1055&lt;判定条件!$C$6,"判定不能",IF(L1055&gt;=判定条件!$C$7*K1055,"運転",IF(L1055&lt;=判定条件!$C$8*K1055,"停止","断続")))</f>
        <v>断続</v>
      </c>
      <c r="N1055" s="30" t="n">
        <v>60</v>
      </c>
      <c r="O1055" s="30" t="n">
        <v>23</v>
      </c>
      <c r="P1055" s="30" t="str">
        <f aca="false">IF(N1055&lt;判定条件!$C$6,"判定不能",IF(O1055&gt;=判定条件!$C$7*N1055,"運転",IF(O1055&lt;=判定条件!$C$8*N1055,"停止","断続")))</f>
        <v>断続</v>
      </c>
      <c r="Q1055" s="30" t="n">
        <v>60</v>
      </c>
      <c r="R1055" s="30" t="n">
        <v>0</v>
      </c>
      <c r="S1055" s="30" t="str">
        <f aca="false">IF(Q1055&lt;判定条件!$C$6,"判定不能",IF(R1055&gt;=判定条件!$C$7*Q1055,"運転",IF(R1055&lt;=判定条件!$C$8*Q1055,"停止","断続")))</f>
        <v>停止</v>
      </c>
      <c r="T1055" s="30" t="n">
        <v>60</v>
      </c>
      <c r="U1055" s="30" t="n">
        <v>10</v>
      </c>
      <c r="V1055" s="30" t="str">
        <f aca="false">IF(T1055&lt;判定条件!$C$6,"判定不能",IF(U1055&gt;=判定条件!$C$7*T1055,"運転",IF(U1055&lt;=判定条件!$C$8*T1055,"停止","断続")))</f>
        <v>停止</v>
      </c>
      <c r="W1055" s="30" t="n">
        <v>60</v>
      </c>
      <c r="X1055" s="30" t="n">
        <v>0</v>
      </c>
      <c r="Y1055" s="30" t="str">
        <f aca="false">IF(W1055&lt;判定条件!$C$6,"判定不能",IF(X1055&gt;=判定条件!$C$7*W1055,"運転",IF(X1055&lt;=判定条件!$C$8*W1055,"停止","断続")))</f>
        <v>停止</v>
      </c>
      <c r="Z1055" s="30" t="n">
        <v>60</v>
      </c>
      <c r="AA1055" s="30" t="n">
        <v>0</v>
      </c>
      <c r="AB1055" s="30" t="str">
        <f aca="false">IF(Z1055&lt;判定条件!$C$6,"判定不能",IF(AA1055&gt;=判定条件!$C$7*Z1055,"運転",IF(AA1055&lt;=判定条件!$C$8*Z1055,"停止","断続")))</f>
        <v>停止</v>
      </c>
      <c r="AC1055" s="30" t="n">
        <v>60</v>
      </c>
      <c r="AD1055" s="30" t="n">
        <v>0</v>
      </c>
      <c r="AE1055" s="30" t="str">
        <f aca="false">IF(AC1055&lt;判定条件!$C$6,"判定不能",IF(AD1055&gt;=判定条件!$C$7*AC1055,"運転",IF(AD1055&lt;=判定条件!$C$8*AC1055,"停止","断続")))</f>
        <v>停止</v>
      </c>
      <c r="AF1055" s="30" t="n">
        <v>60</v>
      </c>
      <c r="AG1055" s="30" t="n">
        <v>0</v>
      </c>
      <c r="AH1055" s="30" t="str">
        <f aca="false">IF(OR(P1055="判定不能",G1055="判定不能"),"判定不能",IF(AG1055&gt;=判定条件!$C$9,"利用可",IF(AND(P1055="停止",G1055="停止"),"両方停止","運転がそろわない")))</f>
        <v>運転がそろわない</v>
      </c>
      <c r="AI1055" s="30" t="n">
        <v>60</v>
      </c>
      <c r="AJ1055" s="30" t="n">
        <v>0</v>
      </c>
      <c r="AK1055" s="30" t="str">
        <f aca="false">IF(OR(S1055="判定不能",J1055="判定不能"),"判定不能",IF(AJ1055&gt;=判定条件!$C$9,"利用可",IF(AND(S1055="停止",J1055="停止"),"両方停止","運転がそろわない")))</f>
        <v>両方停止</v>
      </c>
      <c r="AL1055" s="30" t="n">
        <v>60</v>
      </c>
      <c r="AM1055" s="30" t="n">
        <v>10</v>
      </c>
      <c r="AN1055" s="30" t="str">
        <f aca="false">IF(OR(V1055="判定不能",M1055="判定不能"),"判定不能",IF(AM1055&gt;=判定条件!$C$9,"利用可",IF(AND(V1055="停止",M1055="停止"),"両方停止","運転がそろわない")))</f>
        <v>運転がそろわない</v>
      </c>
      <c r="AO1055" s="30" t="n">
        <v>60</v>
      </c>
      <c r="AP1055" s="30" t="n">
        <v>0</v>
      </c>
      <c r="AQ1055" s="30" t="str">
        <f aca="false">IF(OR(Y1055="判定不能",G1055="判定不能"),"判定不能",IF(AP1055&gt;=判定条件!$C$9,"利用可",IF(AND(Y1055="停止",G1055="停止"),"両方停止","運転がそろわない")))</f>
        <v>両方停止</v>
      </c>
      <c r="AR1055" s="30" t="n">
        <v>60</v>
      </c>
      <c r="AS1055" s="30" t="n">
        <v>0</v>
      </c>
      <c r="AT1055" s="30" t="str">
        <f aca="false">IF(OR(AB1055="判定不能",J1055="判定不能"),"判定不能",IF(AS1055&gt;=判定条件!$C$9,"利用可",IF(AND(AB1055="停止",J1055="停止"),"両方停止","運転がそろわない")))</f>
        <v>両方停止</v>
      </c>
      <c r="AU1055" s="30" t="n">
        <v>60</v>
      </c>
      <c r="AV1055" s="30" t="n">
        <v>0</v>
      </c>
      <c r="AW1055" s="30" t="str">
        <f aca="false">IF(OR(AE1055="判定不能",M1055="判定不能"),"判定不能",IF(AV1055&gt;=判定条件!$C$9,"利用可",IF(AND(AE1055="停止",M1055="停止"),"両方停止","運転がそろわない")))</f>
        <v>運転がそろわない</v>
      </c>
      <c r="AX1055" s="30" t="str">
        <f aca="false">IF(AND(AH1055="利用可",AK1055="利用可",AN1055="利用可"),"利用可","不可")</f>
        <v>不可</v>
      </c>
      <c r="AY1055" s="30" t="str">
        <f aca="false">IF(AND(AQ1055="利用可",AT1055="利用可",AW1055="利用可"),"利用可","不可")</f>
        <v>不可</v>
      </c>
    </row>
    <row r="1056" customFormat="false" ht="15" hidden="false" customHeight="false" outlineLevel="0" collapsed="false">
      <c r="A1056" s="29" t="n">
        <v>46275</v>
      </c>
      <c r="B1056" s="30" t="n">
        <v>21</v>
      </c>
      <c r="C1056" s="31" t="s">
        <v>61</v>
      </c>
      <c r="D1056" s="31" t="s">
        <v>59</v>
      </c>
      <c r="E1056" s="30" t="n">
        <v>60</v>
      </c>
      <c r="F1056" s="30" t="n">
        <v>0</v>
      </c>
      <c r="G1056" s="30" t="str">
        <f aca="false">IF(E1056&lt;判定条件!$C$6,"判定不能",IF(F1056&gt;=判定条件!$C$7*E1056,"運転",IF(F1056&lt;=判定条件!$C$8*E1056,"停止","断続")))</f>
        <v>停止</v>
      </c>
      <c r="H1056" s="30" t="n">
        <v>60</v>
      </c>
      <c r="I1056" s="30" t="n">
        <v>0</v>
      </c>
      <c r="J1056" s="30" t="str">
        <f aca="false">IF(H1056&lt;判定条件!$C$6,"判定不能",IF(I1056&gt;=判定条件!$C$7*H1056,"運転",IF(I1056&lt;=判定条件!$C$8*H1056,"停止","断続")))</f>
        <v>停止</v>
      </c>
      <c r="K1056" s="30" t="n">
        <v>60</v>
      </c>
      <c r="L1056" s="30" t="n">
        <v>14</v>
      </c>
      <c r="M1056" s="30" t="str">
        <f aca="false">IF(K1056&lt;判定条件!$C$6,"判定不能",IF(L1056&gt;=判定条件!$C$7*K1056,"運転",IF(L1056&lt;=判定条件!$C$8*K1056,"停止","断続")))</f>
        <v>断続</v>
      </c>
      <c r="N1056" s="30" t="n">
        <v>60</v>
      </c>
      <c r="O1056" s="30" t="n">
        <v>0</v>
      </c>
      <c r="P1056" s="30" t="str">
        <f aca="false">IF(N1056&lt;判定条件!$C$6,"判定不能",IF(O1056&gt;=判定条件!$C$7*N1056,"運転",IF(O1056&lt;=判定条件!$C$8*N1056,"停止","断続")))</f>
        <v>停止</v>
      </c>
      <c r="Q1056" s="30" t="n">
        <v>60</v>
      </c>
      <c r="R1056" s="30" t="n">
        <v>20</v>
      </c>
      <c r="S1056" s="30" t="str">
        <f aca="false">IF(Q1056&lt;判定条件!$C$6,"判定不能",IF(R1056&gt;=判定条件!$C$7*Q1056,"運転",IF(R1056&lt;=判定条件!$C$8*Q1056,"停止","断続")))</f>
        <v>断続</v>
      </c>
      <c r="T1056" s="30" t="n">
        <v>60</v>
      </c>
      <c r="U1056" s="30" t="n">
        <v>0</v>
      </c>
      <c r="V1056" s="30" t="str">
        <f aca="false">IF(T1056&lt;判定条件!$C$6,"判定不能",IF(U1056&gt;=判定条件!$C$7*T1056,"運転",IF(U1056&lt;=判定条件!$C$8*T1056,"停止","断続")))</f>
        <v>停止</v>
      </c>
      <c r="W1056" s="30" t="n">
        <v>60</v>
      </c>
      <c r="X1056" s="30" t="n">
        <v>0</v>
      </c>
      <c r="Y1056" s="30" t="str">
        <f aca="false">IF(W1056&lt;判定条件!$C$6,"判定不能",IF(X1056&gt;=判定条件!$C$7*W1056,"運転",IF(X1056&lt;=判定条件!$C$8*W1056,"停止","断続")))</f>
        <v>停止</v>
      </c>
      <c r="Z1056" s="30" t="n">
        <v>60</v>
      </c>
      <c r="AA1056" s="30" t="n">
        <v>0</v>
      </c>
      <c r="AB1056" s="30" t="str">
        <f aca="false">IF(Z1056&lt;判定条件!$C$6,"判定不能",IF(AA1056&gt;=判定条件!$C$7*Z1056,"運転",IF(AA1056&lt;=判定条件!$C$8*Z1056,"停止","断続")))</f>
        <v>停止</v>
      </c>
      <c r="AC1056" s="30" t="n">
        <v>60</v>
      </c>
      <c r="AD1056" s="30" t="n">
        <v>0</v>
      </c>
      <c r="AE1056" s="30" t="str">
        <f aca="false">IF(AC1056&lt;判定条件!$C$6,"判定不能",IF(AD1056&gt;=判定条件!$C$7*AC1056,"運転",IF(AD1056&lt;=判定条件!$C$8*AC1056,"停止","断続")))</f>
        <v>停止</v>
      </c>
      <c r="AF1056" s="30" t="n">
        <v>60</v>
      </c>
      <c r="AG1056" s="30" t="n">
        <v>0</v>
      </c>
      <c r="AH1056" s="30" t="str">
        <f aca="false">IF(OR(P1056="判定不能",G1056="判定不能"),"判定不能",IF(AG1056&gt;=判定条件!$C$9,"利用可",IF(AND(P1056="停止",G1056="停止"),"両方停止","運転がそろわない")))</f>
        <v>両方停止</v>
      </c>
      <c r="AI1056" s="30" t="n">
        <v>60</v>
      </c>
      <c r="AJ1056" s="30" t="n">
        <v>0</v>
      </c>
      <c r="AK1056" s="30" t="str">
        <f aca="false">IF(OR(S1056="判定不能",J1056="判定不能"),"判定不能",IF(AJ1056&gt;=判定条件!$C$9,"利用可",IF(AND(S1056="停止",J1056="停止"),"両方停止","運転がそろわない")))</f>
        <v>運転がそろわない</v>
      </c>
      <c r="AL1056" s="30" t="n">
        <v>60</v>
      </c>
      <c r="AM1056" s="30" t="n">
        <v>0</v>
      </c>
      <c r="AN1056" s="30" t="str">
        <f aca="false">IF(OR(V1056="判定不能",M1056="判定不能"),"判定不能",IF(AM1056&gt;=判定条件!$C$9,"利用可",IF(AND(V1056="停止",M1056="停止"),"両方停止","運転がそろわない")))</f>
        <v>運転がそろわない</v>
      </c>
      <c r="AO1056" s="30" t="n">
        <v>60</v>
      </c>
      <c r="AP1056" s="30" t="n">
        <v>0</v>
      </c>
      <c r="AQ1056" s="30" t="str">
        <f aca="false">IF(OR(Y1056="判定不能",G1056="判定不能"),"判定不能",IF(AP1056&gt;=判定条件!$C$9,"利用可",IF(AND(Y1056="停止",G1056="停止"),"両方停止","運転がそろわない")))</f>
        <v>両方停止</v>
      </c>
      <c r="AR1056" s="30" t="n">
        <v>60</v>
      </c>
      <c r="AS1056" s="30" t="n">
        <v>0</v>
      </c>
      <c r="AT1056" s="30" t="str">
        <f aca="false">IF(OR(AB1056="判定不能",J1056="判定不能"),"判定不能",IF(AS1056&gt;=判定条件!$C$9,"利用可",IF(AND(AB1056="停止",J1056="停止"),"両方停止","運転がそろわない")))</f>
        <v>両方停止</v>
      </c>
      <c r="AU1056" s="30" t="n">
        <v>60</v>
      </c>
      <c r="AV1056" s="30" t="n">
        <v>0</v>
      </c>
      <c r="AW1056" s="30" t="str">
        <f aca="false">IF(OR(AE1056="判定不能",M1056="判定不能"),"判定不能",IF(AV1056&gt;=判定条件!$C$9,"利用可",IF(AND(AE1056="停止",M1056="停止"),"両方停止","運転がそろわない")))</f>
        <v>運転がそろわない</v>
      </c>
      <c r="AX1056" s="30" t="str">
        <f aca="false">IF(AND(AH1056="利用可",AK1056="利用可",AN1056="利用可"),"利用可","不可")</f>
        <v>不可</v>
      </c>
      <c r="AY1056" s="30" t="str">
        <f aca="false">IF(AND(AQ1056="利用可",AT1056="利用可",AW1056="利用可"),"利用可","不可")</f>
        <v>不可</v>
      </c>
    </row>
    <row r="1057" customFormat="false" ht="15" hidden="false" customHeight="false" outlineLevel="0" collapsed="false">
      <c r="A1057" s="29" t="n">
        <v>46275</v>
      </c>
      <c r="B1057" s="30" t="n">
        <v>22</v>
      </c>
      <c r="C1057" s="31" t="s">
        <v>61</v>
      </c>
      <c r="D1057" s="31" t="s">
        <v>59</v>
      </c>
      <c r="E1057" s="30" t="n">
        <v>60</v>
      </c>
      <c r="F1057" s="30" t="n">
        <v>0</v>
      </c>
      <c r="G1057" s="30" t="str">
        <f aca="false">IF(E1057&lt;判定条件!$C$6,"判定不能",IF(F1057&gt;=判定条件!$C$7*E1057,"運転",IF(F1057&lt;=判定条件!$C$8*E1057,"停止","断続")))</f>
        <v>停止</v>
      </c>
      <c r="H1057" s="30" t="n">
        <v>60</v>
      </c>
      <c r="I1057" s="30" t="n">
        <v>0</v>
      </c>
      <c r="J1057" s="30" t="str">
        <f aca="false">IF(H1057&lt;判定条件!$C$6,"判定不能",IF(I1057&gt;=判定条件!$C$7*H1057,"運転",IF(I1057&lt;=判定条件!$C$8*H1057,"停止","断続")))</f>
        <v>停止</v>
      </c>
      <c r="K1057" s="30" t="n">
        <v>60</v>
      </c>
      <c r="L1057" s="30" t="n">
        <v>0</v>
      </c>
      <c r="M1057" s="30" t="str">
        <f aca="false">IF(K1057&lt;判定条件!$C$6,"判定不能",IF(L1057&gt;=判定条件!$C$7*K1057,"運転",IF(L1057&lt;=判定条件!$C$8*K1057,"停止","断続")))</f>
        <v>停止</v>
      </c>
      <c r="N1057" s="30" t="n">
        <v>60</v>
      </c>
      <c r="O1057" s="30" t="n">
        <v>0</v>
      </c>
      <c r="P1057" s="30" t="str">
        <f aca="false">IF(N1057&lt;判定条件!$C$6,"判定不能",IF(O1057&gt;=判定条件!$C$7*N1057,"運転",IF(O1057&lt;=判定条件!$C$8*N1057,"停止","断続")))</f>
        <v>停止</v>
      </c>
      <c r="Q1057" s="30" t="n">
        <v>60</v>
      </c>
      <c r="R1057" s="30" t="n">
        <v>12</v>
      </c>
      <c r="S1057" s="30" t="str">
        <f aca="false">IF(Q1057&lt;判定条件!$C$6,"判定不能",IF(R1057&gt;=判定条件!$C$7*Q1057,"運転",IF(R1057&lt;=判定条件!$C$8*Q1057,"停止","断続")))</f>
        <v>停止</v>
      </c>
      <c r="T1057" s="30" t="n">
        <v>60</v>
      </c>
      <c r="U1057" s="30" t="n">
        <v>0</v>
      </c>
      <c r="V1057" s="30" t="str">
        <f aca="false">IF(T1057&lt;判定条件!$C$6,"判定不能",IF(U1057&gt;=判定条件!$C$7*T1057,"運転",IF(U1057&lt;=判定条件!$C$8*T1057,"停止","断続")))</f>
        <v>停止</v>
      </c>
      <c r="W1057" s="30" t="n">
        <v>60</v>
      </c>
      <c r="X1057" s="30" t="n">
        <v>0</v>
      </c>
      <c r="Y1057" s="30" t="str">
        <f aca="false">IF(W1057&lt;判定条件!$C$6,"判定不能",IF(X1057&gt;=判定条件!$C$7*W1057,"運転",IF(X1057&lt;=判定条件!$C$8*W1057,"停止","断続")))</f>
        <v>停止</v>
      </c>
      <c r="Z1057" s="30" t="n">
        <v>60</v>
      </c>
      <c r="AA1057" s="30" t="n">
        <v>0</v>
      </c>
      <c r="AB1057" s="30" t="str">
        <f aca="false">IF(Z1057&lt;判定条件!$C$6,"判定不能",IF(AA1057&gt;=判定条件!$C$7*Z1057,"運転",IF(AA1057&lt;=判定条件!$C$8*Z1057,"停止","断続")))</f>
        <v>停止</v>
      </c>
      <c r="AC1057" s="30" t="n">
        <v>60</v>
      </c>
      <c r="AD1057" s="30" t="n">
        <v>0</v>
      </c>
      <c r="AE1057" s="30" t="str">
        <f aca="false">IF(AC1057&lt;判定条件!$C$6,"判定不能",IF(AD1057&gt;=判定条件!$C$7*AC1057,"運転",IF(AD1057&lt;=判定条件!$C$8*AC1057,"停止","断続")))</f>
        <v>停止</v>
      </c>
      <c r="AF1057" s="30" t="n">
        <v>60</v>
      </c>
      <c r="AG1057" s="30" t="n">
        <v>0</v>
      </c>
      <c r="AH1057" s="30" t="str">
        <f aca="false">IF(OR(P1057="判定不能",G1057="判定不能"),"判定不能",IF(AG1057&gt;=判定条件!$C$9,"利用可",IF(AND(P1057="停止",G1057="停止"),"両方停止","運転がそろわない")))</f>
        <v>両方停止</v>
      </c>
      <c r="AI1057" s="30" t="n">
        <v>60</v>
      </c>
      <c r="AJ1057" s="30" t="n">
        <v>0</v>
      </c>
      <c r="AK1057" s="30" t="str">
        <f aca="false">IF(OR(S1057="判定不能",J1057="判定不能"),"判定不能",IF(AJ1057&gt;=判定条件!$C$9,"利用可",IF(AND(S1057="停止",J1057="停止"),"両方停止","運転がそろわない")))</f>
        <v>両方停止</v>
      </c>
      <c r="AL1057" s="30" t="n">
        <v>60</v>
      </c>
      <c r="AM1057" s="30" t="n">
        <v>0</v>
      </c>
      <c r="AN1057" s="30" t="str">
        <f aca="false">IF(OR(V1057="判定不能",M1057="判定不能"),"判定不能",IF(AM1057&gt;=判定条件!$C$9,"利用可",IF(AND(V1057="停止",M1057="停止"),"両方停止","運転がそろわない")))</f>
        <v>両方停止</v>
      </c>
      <c r="AO1057" s="30" t="n">
        <v>60</v>
      </c>
      <c r="AP1057" s="30" t="n">
        <v>0</v>
      </c>
      <c r="AQ1057" s="30" t="str">
        <f aca="false">IF(OR(Y1057="判定不能",G1057="判定不能"),"判定不能",IF(AP1057&gt;=判定条件!$C$9,"利用可",IF(AND(Y1057="停止",G1057="停止"),"両方停止","運転がそろわない")))</f>
        <v>両方停止</v>
      </c>
      <c r="AR1057" s="30" t="n">
        <v>60</v>
      </c>
      <c r="AS1057" s="30" t="n">
        <v>0</v>
      </c>
      <c r="AT1057" s="30" t="str">
        <f aca="false">IF(OR(AB1057="判定不能",J1057="判定不能"),"判定不能",IF(AS1057&gt;=判定条件!$C$9,"利用可",IF(AND(AB1057="停止",J1057="停止"),"両方停止","運転がそろわない")))</f>
        <v>両方停止</v>
      </c>
      <c r="AU1057" s="30" t="n">
        <v>60</v>
      </c>
      <c r="AV1057" s="30" t="n">
        <v>0</v>
      </c>
      <c r="AW1057" s="30" t="str">
        <f aca="false">IF(OR(AE1057="判定不能",M1057="判定不能"),"判定不能",IF(AV1057&gt;=判定条件!$C$9,"利用可",IF(AND(AE1057="停止",M1057="停止"),"両方停止","運転がそろわない")))</f>
        <v>両方停止</v>
      </c>
      <c r="AX1057" s="30" t="str">
        <f aca="false">IF(AND(AH1057="利用可",AK1057="利用可",AN1057="利用可"),"利用可","不可")</f>
        <v>不可</v>
      </c>
      <c r="AY1057" s="30" t="str">
        <f aca="false">IF(AND(AQ1057="利用可",AT1057="利用可",AW1057="利用可"),"利用可","不可")</f>
        <v>不可</v>
      </c>
    </row>
    <row r="1058" customFormat="false" ht="15" hidden="false" customHeight="false" outlineLevel="0" collapsed="false">
      <c r="A1058" s="29" t="n">
        <v>46275</v>
      </c>
      <c r="B1058" s="30" t="n">
        <v>23</v>
      </c>
      <c r="C1058" s="31" t="s">
        <v>61</v>
      </c>
      <c r="D1058" s="31" t="s">
        <v>59</v>
      </c>
      <c r="E1058" s="30" t="n">
        <v>60</v>
      </c>
      <c r="F1058" s="30" t="n">
        <v>0</v>
      </c>
      <c r="G1058" s="30" t="str">
        <f aca="false">IF(E1058&lt;判定条件!$C$6,"判定不能",IF(F1058&gt;=判定条件!$C$7*E1058,"運転",IF(F1058&lt;=判定条件!$C$8*E1058,"停止","断続")))</f>
        <v>停止</v>
      </c>
      <c r="H1058" s="30" t="n">
        <v>60</v>
      </c>
      <c r="I1058" s="30" t="n">
        <v>0</v>
      </c>
      <c r="J1058" s="30" t="str">
        <f aca="false">IF(H1058&lt;判定条件!$C$6,"判定不能",IF(I1058&gt;=判定条件!$C$7*H1058,"運転",IF(I1058&lt;=判定条件!$C$8*H1058,"停止","断続")))</f>
        <v>停止</v>
      </c>
      <c r="K1058" s="30" t="n">
        <v>60</v>
      </c>
      <c r="L1058" s="30" t="n">
        <v>0</v>
      </c>
      <c r="M1058" s="30" t="str">
        <f aca="false">IF(K1058&lt;判定条件!$C$6,"判定不能",IF(L1058&gt;=判定条件!$C$7*K1058,"運転",IF(L1058&lt;=判定条件!$C$8*K1058,"停止","断続")))</f>
        <v>停止</v>
      </c>
      <c r="N1058" s="30" t="n">
        <v>60</v>
      </c>
      <c r="O1058" s="30" t="n">
        <v>0</v>
      </c>
      <c r="P1058" s="30" t="str">
        <f aca="false">IF(N1058&lt;判定条件!$C$6,"判定不能",IF(O1058&gt;=判定条件!$C$7*N1058,"運転",IF(O1058&lt;=判定条件!$C$8*N1058,"停止","断続")))</f>
        <v>停止</v>
      </c>
      <c r="Q1058" s="30" t="n">
        <v>60</v>
      </c>
      <c r="R1058" s="30" t="n">
        <v>0</v>
      </c>
      <c r="S1058" s="30" t="str">
        <f aca="false">IF(Q1058&lt;判定条件!$C$6,"判定不能",IF(R1058&gt;=判定条件!$C$7*Q1058,"運転",IF(R1058&lt;=判定条件!$C$8*Q1058,"停止","断続")))</f>
        <v>停止</v>
      </c>
      <c r="T1058" s="30" t="n">
        <v>60</v>
      </c>
      <c r="U1058" s="30" t="n">
        <v>0</v>
      </c>
      <c r="V1058" s="30" t="str">
        <f aca="false">IF(T1058&lt;判定条件!$C$6,"判定不能",IF(U1058&gt;=判定条件!$C$7*T1058,"運転",IF(U1058&lt;=判定条件!$C$8*T1058,"停止","断続")))</f>
        <v>停止</v>
      </c>
      <c r="W1058" s="30" t="n">
        <v>60</v>
      </c>
      <c r="X1058" s="30" t="n">
        <v>0</v>
      </c>
      <c r="Y1058" s="30" t="str">
        <f aca="false">IF(W1058&lt;判定条件!$C$6,"判定不能",IF(X1058&gt;=判定条件!$C$7*W1058,"運転",IF(X1058&lt;=判定条件!$C$8*W1058,"停止","断続")))</f>
        <v>停止</v>
      </c>
      <c r="Z1058" s="30" t="n">
        <v>60</v>
      </c>
      <c r="AA1058" s="30" t="n">
        <v>0</v>
      </c>
      <c r="AB1058" s="30" t="str">
        <f aca="false">IF(Z1058&lt;判定条件!$C$6,"判定不能",IF(AA1058&gt;=判定条件!$C$7*Z1058,"運転",IF(AA1058&lt;=判定条件!$C$8*Z1058,"停止","断続")))</f>
        <v>停止</v>
      </c>
      <c r="AC1058" s="30" t="n">
        <v>60</v>
      </c>
      <c r="AD1058" s="30" t="n">
        <v>0</v>
      </c>
      <c r="AE1058" s="30" t="str">
        <f aca="false">IF(AC1058&lt;判定条件!$C$6,"判定不能",IF(AD1058&gt;=判定条件!$C$7*AC1058,"運転",IF(AD1058&lt;=判定条件!$C$8*AC1058,"停止","断続")))</f>
        <v>停止</v>
      </c>
      <c r="AF1058" s="30" t="n">
        <v>60</v>
      </c>
      <c r="AG1058" s="30" t="n">
        <v>0</v>
      </c>
      <c r="AH1058" s="30" t="str">
        <f aca="false">IF(OR(P1058="判定不能",G1058="判定不能"),"判定不能",IF(AG1058&gt;=判定条件!$C$9,"利用可",IF(AND(P1058="停止",G1058="停止"),"両方停止","運転がそろわない")))</f>
        <v>両方停止</v>
      </c>
      <c r="AI1058" s="30" t="n">
        <v>60</v>
      </c>
      <c r="AJ1058" s="30" t="n">
        <v>0</v>
      </c>
      <c r="AK1058" s="30" t="str">
        <f aca="false">IF(OR(S1058="判定不能",J1058="判定不能"),"判定不能",IF(AJ1058&gt;=判定条件!$C$9,"利用可",IF(AND(S1058="停止",J1058="停止"),"両方停止","運転がそろわない")))</f>
        <v>両方停止</v>
      </c>
      <c r="AL1058" s="30" t="n">
        <v>60</v>
      </c>
      <c r="AM1058" s="30" t="n">
        <v>0</v>
      </c>
      <c r="AN1058" s="30" t="str">
        <f aca="false">IF(OR(V1058="判定不能",M1058="判定不能"),"判定不能",IF(AM1058&gt;=判定条件!$C$9,"利用可",IF(AND(V1058="停止",M1058="停止"),"両方停止","運転がそろわない")))</f>
        <v>両方停止</v>
      </c>
      <c r="AO1058" s="30" t="n">
        <v>60</v>
      </c>
      <c r="AP1058" s="30" t="n">
        <v>0</v>
      </c>
      <c r="AQ1058" s="30" t="str">
        <f aca="false">IF(OR(Y1058="判定不能",G1058="判定不能"),"判定不能",IF(AP1058&gt;=判定条件!$C$9,"利用可",IF(AND(Y1058="停止",G1058="停止"),"両方停止","運転がそろわない")))</f>
        <v>両方停止</v>
      </c>
      <c r="AR1058" s="30" t="n">
        <v>60</v>
      </c>
      <c r="AS1058" s="30" t="n">
        <v>0</v>
      </c>
      <c r="AT1058" s="30" t="str">
        <f aca="false">IF(OR(AB1058="判定不能",J1058="判定不能"),"判定不能",IF(AS1058&gt;=判定条件!$C$9,"利用可",IF(AND(AB1058="停止",J1058="停止"),"両方停止","運転がそろわない")))</f>
        <v>両方停止</v>
      </c>
      <c r="AU1058" s="30" t="n">
        <v>60</v>
      </c>
      <c r="AV1058" s="30" t="n">
        <v>0</v>
      </c>
      <c r="AW1058" s="30" t="str">
        <f aca="false">IF(OR(AE1058="判定不能",M1058="判定不能"),"判定不能",IF(AV1058&gt;=判定条件!$C$9,"利用可",IF(AND(AE1058="停止",M1058="停止"),"両方停止","運転がそろわない")))</f>
        <v>両方停止</v>
      </c>
      <c r="AX1058" s="30" t="str">
        <f aca="false">IF(AND(AH1058="利用可",AK1058="利用可",AN1058="利用可"),"利用可","不可")</f>
        <v>不可</v>
      </c>
      <c r="AY1058" s="30" t="str">
        <f aca="false">IF(AND(AQ1058="利用可",AT1058="利用可",AW1058="利用可"),"利用可","不可")</f>
        <v>不可</v>
      </c>
    </row>
    <row r="1059" customFormat="false" ht="15" hidden="false" customHeight="false" outlineLevel="0" collapsed="false">
      <c r="A1059" s="29" t="n">
        <v>46276</v>
      </c>
      <c r="B1059" s="30" t="n">
        <v>0</v>
      </c>
      <c r="C1059" s="31" t="s">
        <v>62</v>
      </c>
      <c r="D1059" s="31" t="s">
        <v>59</v>
      </c>
      <c r="E1059" s="30" t="n">
        <v>60</v>
      </c>
      <c r="F1059" s="30" t="n">
        <v>0</v>
      </c>
      <c r="G1059" s="30" t="str">
        <f aca="false">IF(E1059&lt;判定条件!$C$6,"判定不能",IF(F1059&gt;=判定条件!$C$7*E1059,"運転",IF(F1059&lt;=判定条件!$C$8*E1059,"停止","断続")))</f>
        <v>停止</v>
      </c>
      <c r="H1059" s="30" t="n">
        <v>60</v>
      </c>
      <c r="I1059" s="30" t="n">
        <v>0</v>
      </c>
      <c r="J1059" s="30" t="str">
        <f aca="false">IF(H1059&lt;判定条件!$C$6,"判定不能",IF(I1059&gt;=判定条件!$C$7*H1059,"運転",IF(I1059&lt;=判定条件!$C$8*H1059,"停止","断続")))</f>
        <v>停止</v>
      </c>
      <c r="K1059" s="30" t="n">
        <v>60</v>
      </c>
      <c r="L1059" s="30" t="n">
        <v>0</v>
      </c>
      <c r="M1059" s="30" t="str">
        <f aca="false">IF(K1059&lt;判定条件!$C$6,"判定不能",IF(L1059&gt;=判定条件!$C$7*K1059,"運転",IF(L1059&lt;=判定条件!$C$8*K1059,"停止","断続")))</f>
        <v>停止</v>
      </c>
      <c r="N1059" s="30" t="n">
        <v>60</v>
      </c>
      <c r="O1059" s="30" t="n">
        <v>0</v>
      </c>
      <c r="P1059" s="30" t="str">
        <f aca="false">IF(N1059&lt;判定条件!$C$6,"判定不能",IF(O1059&gt;=判定条件!$C$7*N1059,"運転",IF(O1059&lt;=判定条件!$C$8*N1059,"停止","断続")))</f>
        <v>停止</v>
      </c>
      <c r="Q1059" s="30" t="n">
        <v>60</v>
      </c>
      <c r="R1059" s="30" t="n">
        <v>0</v>
      </c>
      <c r="S1059" s="30" t="str">
        <f aca="false">IF(Q1059&lt;判定条件!$C$6,"判定不能",IF(R1059&gt;=判定条件!$C$7*Q1059,"運転",IF(R1059&lt;=判定条件!$C$8*Q1059,"停止","断続")))</f>
        <v>停止</v>
      </c>
      <c r="T1059" s="30" t="n">
        <v>60</v>
      </c>
      <c r="U1059" s="30" t="n">
        <v>0</v>
      </c>
      <c r="V1059" s="30" t="str">
        <f aca="false">IF(T1059&lt;判定条件!$C$6,"判定不能",IF(U1059&gt;=判定条件!$C$7*T1059,"運転",IF(U1059&lt;=判定条件!$C$8*T1059,"停止","断続")))</f>
        <v>停止</v>
      </c>
      <c r="W1059" s="30" t="n">
        <v>60</v>
      </c>
      <c r="X1059" s="30" t="n">
        <v>0</v>
      </c>
      <c r="Y1059" s="30" t="str">
        <f aca="false">IF(W1059&lt;判定条件!$C$6,"判定不能",IF(X1059&gt;=判定条件!$C$7*W1059,"運転",IF(X1059&lt;=判定条件!$C$8*W1059,"停止","断続")))</f>
        <v>停止</v>
      </c>
      <c r="Z1059" s="30" t="n">
        <v>60</v>
      </c>
      <c r="AA1059" s="30" t="n">
        <v>0</v>
      </c>
      <c r="AB1059" s="30" t="str">
        <f aca="false">IF(Z1059&lt;判定条件!$C$6,"判定不能",IF(AA1059&gt;=判定条件!$C$7*Z1059,"運転",IF(AA1059&lt;=判定条件!$C$8*Z1059,"停止","断続")))</f>
        <v>停止</v>
      </c>
      <c r="AC1059" s="30" t="n">
        <v>60</v>
      </c>
      <c r="AD1059" s="30" t="n">
        <v>0</v>
      </c>
      <c r="AE1059" s="30" t="str">
        <f aca="false">IF(AC1059&lt;判定条件!$C$6,"判定不能",IF(AD1059&gt;=判定条件!$C$7*AC1059,"運転",IF(AD1059&lt;=判定条件!$C$8*AC1059,"停止","断続")))</f>
        <v>停止</v>
      </c>
      <c r="AF1059" s="30" t="n">
        <v>60</v>
      </c>
      <c r="AG1059" s="30" t="n">
        <v>0</v>
      </c>
      <c r="AH1059" s="30" t="str">
        <f aca="false">IF(OR(P1059="判定不能",G1059="判定不能"),"判定不能",IF(AG1059&gt;=判定条件!$C$9,"利用可",IF(AND(P1059="停止",G1059="停止"),"両方停止","運転がそろわない")))</f>
        <v>両方停止</v>
      </c>
      <c r="AI1059" s="30" t="n">
        <v>60</v>
      </c>
      <c r="AJ1059" s="30" t="n">
        <v>0</v>
      </c>
      <c r="AK1059" s="30" t="str">
        <f aca="false">IF(OR(S1059="判定不能",J1059="判定不能"),"判定不能",IF(AJ1059&gt;=判定条件!$C$9,"利用可",IF(AND(S1059="停止",J1059="停止"),"両方停止","運転がそろわない")))</f>
        <v>両方停止</v>
      </c>
      <c r="AL1059" s="30" t="n">
        <v>60</v>
      </c>
      <c r="AM1059" s="30" t="n">
        <v>0</v>
      </c>
      <c r="AN1059" s="30" t="str">
        <f aca="false">IF(OR(V1059="判定不能",M1059="判定不能"),"判定不能",IF(AM1059&gt;=判定条件!$C$9,"利用可",IF(AND(V1059="停止",M1059="停止"),"両方停止","運転がそろわない")))</f>
        <v>両方停止</v>
      </c>
      <c r="AO1059" s="30" t="n">
        <v>60</v>
      </c>
      <c r="AP1059" s="30" t="n">
        <v>0</v>
      </c>
      <c r="AQ1059" s="30" t="str">
        <f aca="false">IF(OR(Y1059="判定不能",G1059="判定不能"),"判定不能",IF(AP1059&gt;=判定条件!$C$9,"利用可",IF(AND(Y1059="停止",G1059="停止"),"両方停止","運転がそろわない")))</f>
        <v>両方停止</v>
      </c>
      <c r="AR1059" s="30" t="n">
        <v>60</v>
      </c>
      <c r="AS1059" s="30" t="n">
        <v>0</v>
      </c>
      <c r="AT1059" s="30" t="str">
        <f aca="false">IF(OR(AB1059="判定不能",J1059="判定不能"),"判定不能",IF(AS1059&gt;=判定条件!$C$9,"利用可",IF(AND(AB1059="停止",J1059="停止"),"両方停止","運転がそろわない")))</f>
        <v>両方停止</v>
      </c>
      <c r="AU1059" s="30" t="n">
        <v>60</v>
      </c>
      <c r="AV1059" s="30" t="n">
        <v>0</v>
      </c>
      <c r="AW1059" s="30" t="str">
        <f aca="false">IF(OR(AE1059="判定不能",M1059="判定不能"),"判定不能",IF(AV1059&gt;=判定条件!$C$9,"利用可",IF(AND(AE1059="停止",M1059="停止"),"両方停止","運転がそろわない")))</f>
        <v>両方停止</v>
      </c>
      <c r="AX1059" s="30" t="str">
        <f aca="false">IF(AND(AH1059="利用可",AK1059="利用可",AN1059="利用可"),"利用可","不可")</f>
        <v>不可</v>
      </c>
      <c r="AY1059" s="30" t="str">
        <f aca="false">IF(AND(AQ1059="利用可",AT1059="利用可",AW1059="利用可"),"利用可","不可")</f>
        <v>不可</v>
      </c>
    </row>
    <row r="1060" customFormat="false" ht="15" hidden="false" customHeight="false" outlineLevel="0" collapsed="false">
      <c r="A1060" s="29" t="n">
        <v>46276</v>
      </c>
      <c r="B1060" s="30" t="n">
        <v>1</v>
      </c>
      <c r="C1060" s="31" t="s">
        <v>62</v>
      </c>
      <c r="D1060" s="31" t="s">
        <v>59</v>
      </c>
      <c r="E1060" s="30" t="n">
        <v>60</v>
      </c>
      <c r="F1060" s="30" t="n">
        <v>0</v>
      </c>
      <c r="G1060" s="30" t="str">
        <f aca="false">IF(E1060&lt;判定条件!$C$6,"判定不能",IF(F1060&gt;=判定条件!$C$7*E1060,"運転",IF(F1060&lt;=判定条件!$C$8*E1060,"停止","断続")))</f>
        <v>停止</v>
      </c>
      <c r="H1060" s="30" t="n">
        <v>60</v>
      </c>
      <c r="I1060" s="30" t="n">
        <v>0</v>
      </c>
      <c r="J1060" s="30" t="str">
        <f aca="false">IF(H1060&lt;判定条件!$C$6,"判定不能",IF(I1060&gt;=判定条件!$C$7*H1060,"運転",IF(I1060&lt;=判定条件!$C$8*H1060,"停止","断続")))</f>
        <v>停止</v>
      </c>
      <c r="K1060" s="30" t="n">
        <v>60</v>
      </c>
      <c r="L1060" s="30" t="n">
        <v>0</v>
      </c>
      <c r="M1060" s="30" t="str">
        <f aca="false">IF(K1060&lt;判定条件!$C$6,"判定不能",IF(L1060&gt;=判定条件!$C$7*K1060,"運転",IF(L1060&lt;=判定条件!$C$8*K1060,"停止","断続")))</f>
        <v>停止</v>
      </c>
      <c r="N1060" s="30" t="n">
        <v>60</v>
      </c>
      <c r="O1060" s="30" t="n">
        <v>0</v>
      </c>
      <c r="P1060" s="30" t="str">
        <f aca="false">IF(N1060&lt;判定条件!$C$6,"判定不能",IF(O1060&gt;=判定条件!$C$7*N1060,"運転",IF(O1060&lt;=判定条件!$C$8*N1060,"停止","断続")))</f>
        <v>停止</v>
      </c>
      <c r="Q1060" s="30" t="n">
        <v>60</v>
      </c>
      <c r="R1060" s="30" t="n">
        <v>0</v>
      </c>
      <c r="S1060" s="30" t="str">
        <f aca="false">IF(Q1060&lt;判定条件!$C$6,"判定不能",IF(R1060&gt;=判定条件!$C$7*Q1060,"運転",IF(R1060&lt;=判定条件!$C$8*Q1060,"停止","断続")))</f>
        <v>停止</v>
      </c>
      <c r="T1060" s="30" t="n">
        <v>60</v>
      </c>
      <c r="U1060" s="30" t="n">
        <v>0</v>
      </c>
      <c r="V1060" s="30" t="str">
        <f aca="false">IF(T1060&lt;判定条件!$C$6,"判定不能",IF(U1060&gt;=判定条件!$C$7*T1060,"運転",IF(U1060&lt;=判定条件!$C$8*T1060,"停止","断続")))</f>
        <v>停止</v>
      </c>
      <c r="W1060" s="30" t="n">
        <v>60</v>
      </c>
      <c r="X1060" s="30" t="n">
        <v>0</v>
      </c>
      <c r="Y1060" s="30" t="str">
        <f aca="false">IF(W1060&lt;判定条件!$C$6,"判定不能",IF(X1060&gt;=判定条件!$C$7*W1060,"運転",IF(X1060&lt;=判定条件!$C$8*W1060,"停止","断続")))</f>
        <v>停止</v>
      </c>
      <c r="Z1060" s="30" t="n">
        <v>60</v>
      </c>
      <c r="AA1060" s="30" t="n">
        <v>0</v>
      </c>
      <c r="AB1060" s="30" t="str">
        <f aca="false">IF(Z1060&lt;判定条件!$C$6,"判定不能",IF(AA1060&gt;=判定条件!$C$7*Z1060,"運転",IF(AA1060&lt;=判定条件!$C$8*Z1060,"停止","断続")))</f>
        <v>停止</v>
      </c>
      <c r="AC1060" s="30" t="n">
        <v>60</v>
      </c>
      <c r="AD1060" s="30" t="n">
        <v>0</v>
      </c>
      <c r="AE1060" s="30" t="str">
        <f aca="false">IF(AC1060&lt;判定条件!$C$6,"判定不能",IF(AD1060&gt;=判定条件!$C$7*AC1060,"運転",IF(AD1060&lt;=判定条件!$C$8*AC1060,"停止","断続")))</f>
        <v>停止</v>
      </c>
      <c r="AF1060" s="30" t="n">
        <v>60</v>
      </c>
      <c r="AG1060" s="30" t="n">
        <v>0</v>
      </c>
      <c r="AH1060" s="30" t="str">
        <f aca="false">IF(OR(P1060="判定不能",G1060="判定不能"),"判定不能",IF(AG1060&gt;=判定条件!$C$9,"利用可",IF(AND(P1060="停止",G1060="停止"),"両方停止","運転がそろわない")))</f>
        <v>両方停止</v>
      </c>
      <c r="AI1060" s="30" t="n">
        <v>60</v>
      </c>
      <c r="AJ1060" s="30" t="n">
        <v>0</v>
      </c>
      <c r="AK1060" s="30" t="str">
        <f aca="false">IF(OR(S1060="判定不能",J1060="判定不能"),"判定不能",IF(AJ1060&gt;=判定条件!$C$9,"利用可",IF(AND(S1060="停止",J1060="停止"),"両方停止","運転がそろわない")))</f>
        <v>両方停止</v>
      </c>
      <c r="AL1060" s="30" t="n">
        <v>60</v>
      </c>
      <c r="AM1060" s="30" t="n">
        <v>0</v>
      </c>
      <c r="AN1060" s="30" t="str">
        <f aca="false">IF(OR(V1060="判定不能",M1060="判定不能"),"判定不能",IF(AM1060&gt;=判定条件!$C$9,"利用可",IF(AND(V1060="停止",M1060="停止"),"両方停止","運転がそろわない")))</f>
        <v>両方停止</v>
      </c>
      <c r="AO1060" s="30" t="n">
        <v>60</v>
      </c>
      <c r="AP1060" s="30" t="n">
        <v>0</v>
      </c>
      <c r="AQ1060" s="30" t="str">
        <f aca="false">IF(OR(Y1060="判定不能",G1060="判定不能"),"判定不能",IF(AP1060&gt;=判定条件!$C$9,"利用可",IF(AND(Y1060="停止",G1060="停止"),"両方停止","運転がそろわない")))</f>
        <v>両方停止</v>
      </c>
      <c r="AR1060" s="30" t="n">
        <v>60</v>
      </c>
      <c r="AS1060" s="30" t="n">
        <v>0</v>
      </c>
      <c r="AT1060" s="30" t="str">
        <f aca="false">IF(OR(AB1060="判定不能",J1060="判定不能"),"判定不能",IF(AS1060&gt;=判定条件!$C$9,"利用可",IF(AND(AB1060="停止",J1060="停止"),"両方停止","運転がそろわない")))</f>
        <v>両方停止</v>
      </c>
      <c r="AU1060" s="30" t="n">
        <v>60</v>
      </c>
      <c r="AV1060" s="30" t="n">
        <v>0</v>
      </c>
      <c r="AW1060" s="30" t="str">
        <f aca="false">IF(OR(AE1060="判定不能",M1060="判定不能"),"判定不能",IF(AV1060&gt;=判定条件!$C$9,"利用可",IF(AND(AE1060="停止",M1060="停止"),"両方停止","運転がそろわない")))</f>
        <v>両方停止</v>
      </c>
      <c r="AX1060" s="30" t="str">
        <f aca="false">IF(AND(AH1060="利用可",AK1060="利用可",AN1060="利用可"),"利用可","不可")</f>
        <v>不可</v>
      </c>
      <c r="AY1060" s="30" t="str">
        <f aca="false">IF(AND(AQ1060="利用可",AT1060="利用可",AW1060="利用可"),"利用可","不可")</f>
        <v>不可</v>
      </c>
    </row>
    <row r="1061" customFormat="false" ht="15" hidden="false" customHeight="false" outlineLevel="0" collapsed="false">
      <c r="A1061" s="29" t="n">
        <v>46276</v>
      </c>
      <c r="B1061" s="30" t="n">
        <v>2</v>
      </c>
      <c r="C1061" s="31" t="s">
        <v>62</v>
      </c>
      <c r="D1061" s="31" t="s">
        <v>59</v>
      </c>
      <c r="E1061" s="30" t="n">
        <v>60</v>
      </c>
      <c r="F1061" s="30" t="n">
        <v>0</v>
      </c>
      <c r="G1061" s="30" t="str">
        <f aca="false">IF(E1061&lt;判定条件!$C$6,"判定不能",IF(F1061&gt;=判定条件!$C$7*E1061,"運転",IF(F1061&lt;=判定条件!$C$8*E1061,"停止","断続")))</f>
        <v>停止</v>
      </c>
      <c r="H1061" s="30" t="n">
        <v>60</v>
      </c>
      <c r="I1061" s="30" t="n">
        <v>0</v>
      </c>
      <c r="J1061" s="30" t="str">
        <f aca="false">IF(H1061&lt;判定条件!$C$6,"判定不能",IF(I1061&gt;=判定条件!$C$7*H1061,"運転",IF(I1061&lt;=判定条件!$C$8*H1061,"停止","断続")))</f>
        <v>停止</v>
      </c>
      <c r="K1061" s="30" t="n">
        <v>60</v>
      </c>
      <c r="L1061" s="30" t="n">
        <v>0</v>
      </c>
      <c r="M1061" s="30" t="str">
        <f aca="false">IF(K1061&lt;判定条件!$C$6,"判定不能",IF(L1061&gt;=判定条件!$C$7*K1061,"運転",IF(L1061&lt;=判定条件!$C$8*K1061,"停止","断続")))</f>
        <v>停止</v>
      </c>
      <c r="N1061" s="30" t="n">
        <v>60</v>
      </c>
      <c r="O1061" s="30" t="n">
        <v>0</v>
      </c>
      <c r="P1061" s="30" t="str">
        <f aca="false">IF(N1061&lt;判定条件!$C$6,"判定不能",IF(O1061&gt;=判定条件!$C$7*N1061,"運転",IF(O1061&lt;=判定条件!$C$8*N1061,"停止","断続")))</f>
        <v>停止</v>
      </c>
      <c r="Q1061" s="30" t="n">
        <v>60</v>
      </c>
      <c r="R1061" s="30" t="n">
        <v>0</v>
      </c>
      <c r="S1061" s="30" t="str">
        <f aca="false">IF(Q1061&lt;判定条件!$C$6,"判定不能",IF(R1061&gt;=判定条件!$C$7*Q1061,"運転",IF(R1061&lt;=判定条件!$C$8*Q1061,"停止","断続")))</f>
        <v>停止</v>
      </c>
      <c r="T1061" s="30" t="n">
        <v>60</v>
      </c>
      <c r="U1061" s="30" t="n">
        <v>0</v>
      </c>
      <c r="V1061" s="30" t="str">
        <f aca="false">IF(T1061&lt;判定条件!$C$6,"判定不能",IF(U1061&gt;=判定条件!$C$7*T1061,"運転",IF(U1061&lt;=判定条件!$C$8*T1061,"停止","断続")))</f>
        <v>停止</v>
      </c>
      <c r="W1061" s="30" t="n">
        <v>60</v>
      </c>
      <c r="X1061" s="30" t="n">
        <v>0</v>
      </c>
      <c r="Y1061" s="30" t="str">
        <f aca="false">IF(W1061&lt;判定条件!$C$6,"判定不能",IF(X1061&gt;=判定条件!$C$7*W1061,"運転",IF(X1061&lt;=判定条件!$C$8*W1061,"停止","断続")))</f>
        <v>停止</v>
      </c>
      <c r="Z1061" s="30" t="n">
        <v>60</v>
      </c>
      <c r="AA1061" s="30" t="n">
        <v>0</v>
      </c>
      <c r="AB1061" s="30" t="str">
        <f aca="false">IF(Z1061&lt;判定条件!$C$6,"判定不能",IF(AA1061&gt;=判定条件!$C$7*Z1061,"運転",IF(AA1061&lt;=判定条件!$C$8*Z1061,"停止","断続")))</f>
        <v>停止</v>
      </c>
      <c r="AC1061" s="30" t="n">
        <v>60</v>
      </c>
      <c r="AD1061" s="30" t="n">
        <v>0</v>
      </c>
      <c r="AE1061" s="30" t="str">
        <f aca="false">IF(AC1061&lt;判定条件!$C$6,"判定不能",IF(AD1061&gt;=判定条件!$C$7*AC1061,"運転",IF(AD1061&lt;=判定条件!$C$8*AC1061,"停止","断続")))</f>
        <v>停止</v>
      </c>
      <c r="AF1061" s="30" t="n">
        <v>60</v>
      </c>
      <c r="AG1061" s="30" t="n">
        <v>0</v>
      </c>
      <c r="AH1061" s="30" t="str">
        <f aca="false">IF(OR(P1061="判定不能",G1061="判定不能"),"判定不能",IF(AG1061&gt;=判定条件!$C$9,"利用可",IF(AND(P1061="停止",G1061="停止"),"両方停止","運転がそろわない")))</f>
        <v>両方停止</v>
      </c>
      <c r="AI1061" s="30" t="n">
        <v>60</v>
      </c>
      <c r="AJ1061" s="30" t="n">
        <v>0</v>
      </c>
      <c r="AK1061" s="30" t="str">
        <f aca="false">IF(OR(S1061="判定不能",J1061="判定不能"),"判定不能",IF(AJ1061&gt;=判定条件!$C$9,"利用可",IF(AND(S1061="停止",J1061="停止"),"両方停止","運転がそろわない")))</f>
        <v>両方停止</v>
      </c>
      <c r="AL1061" s="30" t="n">
        <v>60</v>
      </c>
      <c r="AM1061" s="30" t="n">
        <v>0</v>
      </c>
      <c r="AN1061" s="30" t="str">
        <f aca="false">IF(OR(V1061="判定不能",M1061="判定不能"),"判定不能",IF(AM1061&gt;=判定条件!$C$9,"利用可",IF(AND(V1061="停止",M1061="停止"),"両方停止","運転がそろわない")))</f>
        <v>両方停止</v>
      </c>
      <c r="AO1061" s="30" t="n">
        <v>60</v>
      </c>
      <c r="AP1061" s="30" t="n">
        <v>0</v>
      </c>
      <c r="AQ1061" s="30" t="str">
        <f aca="false">IF(OR(Y1061="判定不能",G1061="判定不能"),"判定不能",IF(AP1061&gt;=判定条件!$C$9,"利用可",IF(AND(Y1061="停止",G1061="停止"),"両方停止","運転がそろわない")))</f>
        <v>両方停止</v>
      </c>
      <c r="AR1061" s="30" t="n">
        <v>60</v>
      </c>
      <c r="AS1061" s="30" t="n">
        <v>0</v>
      </c>
      <c r="AT1061" s="30" t="str">
        <f aca="false">IF(OR(AB1061="判定不能",J1061="判定不能"),"判定不能",IF(AS1061&gt;=判定条件!$C$9,"利用可",IF(AND(AB1061="停止",J1061="停止"),"両方停止","運転がそろわない")))</f>
        <v>両方停止</v>
      </c>
      <c r="AU1061" s="30" t="n">
        <v>60</v>
      </c>
      <c r="AV1061" s="30" t="n">
        <v>0</v>
      </c>
      <c r="AW1061" s="30" t="str">
        <f aca="false">IF(OR(AE1061="判定不能",M1061="判定不能"),"判定不能",IF(AV1061&gt;=判定条件!$C$9,"利用可",IF(AND(AE1061="停止",M1061="停止"),"両方停止","運転がそろわない")))</f>
        <v>両方停止</v>
      </c>
      <c r="AX1061" s="30" t="str">
        <f aca="false">IF(AND(AH1061="利用可",AK1061="利用可",AN1061="利用可"),"利用可","不可")</f>
        <v>不可</v>
      </c>
      <c r="AY1061" s="30" t="str">
        <f aca="false">IF(AND(AQ1061="利用可",AT1061="利用可",AW1061="利用可"),"利用可","不可")</f>
        <v>不可</v>
      </c>
    </row>
    <row r="1062" customFormat="false" ht="15" hidden="false" customHeight="false" outlineLevel="0" collapsed="false">
      <c r="A1062" s="29" t="n">
        <v>46276</v>
      </c>
      <c r="B1062" s="30" t="n">
        <v>3</v>
      </c>
      <c r="C1062" s="31" t="s">
        <v>62</v>
      </c>
      <c r="D1062" s="31" t="s">
        <v>59</v>
      </c>
      <c r="E1062" s="30" t="n">
        <v>60</v>
      </c>
      <c r="F1062" s="30" t="n">
        <v>0</v>
      </c>
      <c r="G1062" s="30" t="str">
        <f aca="false">IF(E1062&lt;判定条件!$C$6,"判定不能",IF(F1062&gt;=判定条件!$C$7*E1062,"運転",IF(F1062&lt;=判定条件!$C$8*E1062,"停止","断続")))</f>
        <v>停止</v>
      </c>
      <c r="H1062" s="30" t="n">
        <v>60</v>
      </c>
      <c r="I1062" s="30" t="n">
        <v>0</v>
      </c>
      <c r="J1062" s="30" t="str">
        <f aca="false">IF(H1062&lt;判定条件!$C$6,"判定不能",IF(I1062&gt;=判定条件!$C$7*H1062,"運転",IF(I1062&lt;=判定条件!$C$8*H1062,"停止","断続")))</f>
        <v>停止</v>
      </c>
      <c r="K1062" s="30" t="n">
        <v>60</v>
      </c>
      <c r="L1062" s="30" t="n">
        <v>0</v>
      </c>
      <c r="M1062" s="30" t="str">
        <f aca="false">IF(K1062&lt;判定条件!$C$6,"判定不能",IF(L1062&gt;=判定条件!$C$7*K1062,"運転",IF(L1062&lt;=判定条件!$C$8*K1062,"停止","断続")))</f>
        <v>停止</v>
      </c>
      <c r="N1062" s="30" t="n">
        <v>60</v>
      </c>
      <c r="O1062" s="30" t="n">
        <v>0</v>
      </c>
      <c r="P1062" s="30" t="str">
        <f aca="false">IF(N1062&lt;判定条件!$C$6,"判定不能",IF(O1062&gt;=判定条件!$C$7*N1062,"運転",IF(O1062&lt;=判定条件!$C$8*N1062,"停止","断続")))</f>
        <v>停止</v>
      </c>
      <c r="Q1062" s="30" t="n">
        <v>60</v>
      </c>
      <c r="R1062" s="30" t="n">
        <v>0</v>
      </c>
      <c r="S1062" s="30" t="str">
        <f aca="false">IF(Q1062&lt;判定条件!$C$6,"判定不能",IF(R1062&gt;=判定条件!$C$7*Q1062,"運転",IF(R1062&lt;=判定条件!$C$8*Q1062,"停止","断続")))</f>
        <v>停止</v>
      </c>
      <c r="T1062" s="30" t="n">
        <v>60</v>
      </c>
      <c r="U1062" s="30" t="n">
        <v>0</v>
      </c>
      <c r="V1062" s="30" t="str">
        <f aca="false">IF(T1062&lt;判定条件!$C$6,"判定不能",IF(U1062&gt;=判定条件!$C$7*T1062,"運転",IF(U1062&lt;=判定条件!$C$8*T1062,"停止","断続")))</f>
        <v>停止</v>
      </c>
      <c r="W1062" s="30" t="n">
        <v>60</v>
      </c>
      <c r="X1062" s="30" t="n">
        <v>0</v>
      </c>
      <c r="Y1062" s="30" t="str">
        <f aca="false">IF(W1062&lt;判定条件!$C$6,"判定不能",IF(X1062&gt;=判定条件!$C$7*W1062,"運転",IF(X1062&lt;=判定条件!$C$8*W1062,"停止","断続")))</f>
        <v>停止</v>
      </c>
      <c r="Z1062" s="30" t="n">
        <v>60</v>
      </c>
      <c r="AA1062" s="30" t="n">
        <v>0</v>
      </c>
      <c r="AB1062" s="30" t="str">
        <f aca="false">IF(Z1062&lt;判定条件!$C$6,"判定不能",IF(AA1062&gt;=判定条件!$C$7*Z1062,"運転",IF(AA1062&lt;=判定条件!$C$8*Z1062,"停止","断続")))</f>
        <v>停止</v>
      </c>
      <c r="AC1062" s="30" t="n">
        <v>60</v>
      </c>
      <c r="AD1062" s="30" t="n">
        <v>0</v>
      </c>
      <c r="AE1062" s="30" t="str">
        <f aca="false">IF(AC1062&lt;判定条件!$C$6,"判定不能",IF(AD1062&gt;=判定条件!$C$7*AC1062,"運転",IF(AD1062&lt;=判定条件!$C$8*AC1062,"停止","断続")))</f>
        <v>停止</v>
      </c>
      <c r="AF1062" s="30" t="n">
        <v>60</v>
      </c>
      <c r="AG1062" s="30" t="n">
        <v>0</v>
      </c>
      <c r="AH1062" s="30" t="str">
        <f aca="false">IF(OR(P1062="判定不能",G1062="判定不能"),"判定不能",IF(AG1062&gt;=判定条件!$C$9,"利用可",IF(AND(P1062="停止",G1062="停止"),"両方停止","運転がそろわない")))</f>
        <v>両方停止</v>
      </c>
      <c r="AI1062" s="30" t="n">
        <v>60</v>
      </c>
      <c r="AJ1062" s="30" t="n">
        <v>0</v>
      </c>
      <c r="AK1062" s="30" t="str">
        <f aca="false">IF(OR(S1062="判定不能",J1062="判定不能"),"判定不能",IF(AJ1062&gt;=判定条件!$C$9,"利用可",IF(AND(S1062="停止",J1062="停止"),"両方停止","運転がそろわない")))</f>
        <v>両方停止</v>
      </c>
      <c r="AL1062" s="30" t="n">
        <v>60</v>
      </c>
      <c r="AM1062" s="30" t="n">
        <v>0</v>
      </c>
      <c r="AN1062" s="30" t="str">
        <f aca="false">IF(OR(V1062="判定不能",M1062="判定不能"),"判定不能",IF(AM1062&gt;=判定条件!$C$9,"利用可",IF(AND(V1062="停止",M1062="停止"),"両方停止","運転がそろわない")))</f>
        <v>両方停止</v>
      </c>
      <c r="AO1062" s="30" t="n">
        <v>60</v>
      </c>
      <c r="AP1062" s="30" t="n">
        <v>0</v>
      </c>
      <c r="AQ1062" s="30" t="str">
        <f aca="false">IF(OR(Y1062="判定不能",G1062="判定不能"),"判定不能",IF(AP1062&gt;=判定条件!$C$9,"利用可",IF(AND(Y1062="停止",G1062="停止"),"両方停止","運転がそろわない")))</f>
        <v>両方停止</v>
      </c>
      <c r="AR1062" s="30" t="n">
        <v>60</v>
      </c>
      <c r="AS1062" s="30" t="n">
        <v>0</v>
      </c>
      <c r="AT1062" s="30" t="str">
        <f aca="false">IF(OR(AB1062="判定不能",J1062="判定不能"),"判定不能",IF(AS1062&gt;=判定条件!$C$9,"利用可",IF(AND(AB1062="停止",J1062="停止"),"両方停止","運転がそろわない")))</f>
        <v>両方停止</v>
      </c>
      <c r="AU1062" s="30" t="n">
        <v>60</v>
      </c>
      <c r="AV1062" s="30" t="n">
        <v>0</v>
      </c>
      <c r="AW1062" s="30" t="str">
        <f aca="false">IF(OR(AE1062="判定不能",M1062="判定不能"),"判定不能",IF(AV1062&gt;=判定条件!$C$9,"利用可",IF(AND(AE1062="停止",M1062="停止"),"両方停止","運転がそろわない")))</f>
        <v>両方停止</v>
      </c>
      <c r="AX1062" s="30" t="str">
        <f aca="false">IF(AND(AH1062="利用可",AK1062="利用可",AN1062="利用可"),"利用可","不可")</f>
        <v>不可</v>
      </c>
      <c r="AY1062" s="30" t="str">
        <f aca="false">IF(AND(AQ1062="利用可",AT1062="利用可",AW1062="利用可"),"利用可","不可")</f>
        <v>不可</v>
      </c>
    </row>
    <row r="1063" customFormat="false" ht="15" hidden="false" customHeight="false" outlineLevel="0" collapsed="false">
      <c r="A1063" s="29" t="n">
        <v>46276</v>
      </c>
      <c r="B1063" s="30" t="n">
        <v>4</v>
      </c>
      <c r="C1063" s="31" t="s">
        <v>62</v>
      </c>
      <c r="D1063" s="31" t="s">
        <v>59</v>
      </c>
      <c r="E1063" s="30" t="n">
        <v>60</v>
      </c>
      <c r="F1063" s="30" t="n">
        <v>0</v>
      </c>
      <c r="G1063" s="30" t="str">
        <f aca="false">IF(E1063&lt;判定条件!$C$6,"判定不能",IF(F1063&gt;=判定条件!$C$7*E1063,"運転",IF(F1063&lt;=判定条件!$C$8*E1063,"停止","断続")))</f>
        <v>停止</v>
      </c>
      <c r="H1063" s="30" t="n">
        <v>60</v>
      </c>
      <c r="I1063" s="30" t="n">
        <v>0</v>
      </c>
      <c r="J1063" s="30" t="str">
        <f aca="false">IF(H1063&lt;判定条件!$C$6,"判定不能",IF(I1063&gt;=判定条件!$C$7*H1063,"運転",IF(I1063&lt;=判定条件!$C$8*H1063,"停止","断続")))</f>
        <v>停止</v>
      </c>
      <c r="K1063" s="30" t="n">
        <v>60</v>
      </c>
      <c r="L1063" s="30" t="n">
        <v>0</v>
      </c>
      <c r="M1063" s="30" t="str">
        <f aca="false">IF(K1063&lt;判定条件!$C$6,"判定不能",IF(L1063&gt;=判定条件!$C$7*K1063,"運転",IF(L1063&lt;=判定条件!$C$8*K1063,"停止","断続")))</f>
        <v>停止</v>
      </c>
      <c r="N1063" s="30" t="n">
        <v>60</v>
      </c>
      <c r="O1063" s="30" t="n">
        <v>0</v>
      </c>
      <c r="P1063" s="30" t="str">
        <f aca="false">IF(N1063&lt;判定条件!$C$6,"判定不能",IF(O1063&gt;=判定条件!$C$7*N1063,"運転",IF(O1063&lt;=判定条件!$C$8*N1063,"停止","断続")))</f>
        <v>停止</v>
      </c>
      <c r="Q1063" s="30" t="n">
        <v>60</v>
      </c>
      <c r="R1063" s="30" t="n">
        <v>0</v>
      </c>
      <c r="S1063" s="30" t="str">
        <f aca="false">IF(Q1063&lt;判定条件!$C$6,"判定不能",IF(R1063&gt;=判定条件!$C$7*Q1063,"運転",IF(R1063&lt;=判定条件!$C$8*Q1063,"停止","断続")))</f>
        <v>停止</v>
      </c>
      <c r="T1063" s="30" t="n">
        <v>60</v>
      </c>
      <c r="U1063" s="30" t="n">
        <v>0</v>
      </c>
      <c r="V1063" s="30" t="str">
        <f aca="false">IF(T1063&lt;判定条件!$C$6,"判定不能",IF(U1063&gt;=判定条件!$C$7*T1063,"運転",IF(U1063&lt;=判定条件!$C$8*T1063,"停止","断続")))</f>
        <v>停止</v>
      </c>
      <c r="W1063" s="30" t="n">
        <v>60</v>
      </c>
      <c r="X1063" s="30" t="n">
        <v>0</v>
      </c>
      <c r="Y1063" s="30" t="str">
        <f aca="false">IF(W1063&lt;判定条件!$C$6,"判定不能",IF(X1063&gt;=判定条件!$C$7*W1063,"運転",IF(X1063&lt;=判定条件!$C$8*W1063,"停止","断続")))</f>
        <v>停止</v>
      </c>
      <c r="Z1063" s="30" t="n">
        <v>60</v>
      </c>
      <c r="AA1063" s="30" t="n">
        <v>0</v>
      </c>
      <c r="AB1063" s="30" t="str">
        <f aca="false">IF(Z1063&lt;判定条件!$C$6,"判定不能",IF(AA1063&gt;=判定条件!$C$7*Z1063,"運転",IF(AA1063&lt;=判定条件!$C$8*Z1063,"停止","断続")))</f>
        <v>停止</v>
      </c>
      <c r="AC1063" s="30" t="n">
        <v>60</v>
      </c>
      <c r="AD1063" s="30" t="n">
        <v>0</v>
      </c>
      <c r="AE1063" s="30" t="str">
        <f aca="false">IF(AC1063&lt;判定条件!$C$6,"判定不能",IF(AD1063&gt;=判定条件!$C$7*AC1063,"運転",IF(AD1063&lt;=判定条件!$C$8*AC1063,"停止","断続")))</f>
        <v>停止</v>
      </c>
      <c r="AF1063" s="30" t="n">
        <v>60</v>
      </c>
      <c r="AG1063" s="30" t="n">
        <v>0</v>
      </c>
      <c r="AH1063" s="30" t="str">
        <f aca="false">IF(OR(P1063="判定不能",G1063="判定不能"),"判定不能",IF(AG1063&gt;=判定条件!$C$9,"利用可",IF(AND(P1063="停止",G1063="停止"),"両方停止","運転がそろわない")))</f>
        <v>両方停止</v>
      </c>
      <c r="AI1063" s="30" t="n">
        <v>60</v>
      </c>
      <c r="AJ1063" s="30" t="n">
        <v>0</v>
      </c>
      <c r="AK1063" s="30" t="str">
        <f aca="false">IF(OR(S1063="判定不能",J1063="判定不能"),"判定不能",IF(AJ1063&gt;=判定条件!$C$9,"利用可",IF(AND(S1063="停止",J1063="停止"),"両方停止","運転がそろわない")))</f>
        <v>両方停止</v>
      </c>
      <c r="AL1063" s="30" t="n">
        <v>60</v>
      </c>
      <c r="AM1063" s="30" t="n">
        <v>0</v>
      </c>
      <c r="AN1063" s="30" t="str">
        <f aca="false">IF(OR(V1063="判定不能",M1063="判定不能"),"判定不能",IF(AM1063&gt;=判定条件!$C$9,"利用可",IF(AND(V1063="停止",M1063="停止"),"両方停止","運転がそろわない")))</f>
        <v>両方停止</v>
      </c>
      <c r="AO1063" s="30" t="n">
        <v>60</v>
      </c>
      <c r="AP1063" s="30" t="n">
        <v>0</v>
      </c>
      <c r="AQ1063" s="30" t="str">
        <f aca="false">IF(OR(Y1063="判定不能",G1063="判定不能"),"判定不能",IF(AP1063&gt;=判定条件!$C$9,"利用可",IF(AND(Y1063="停止",G1063="停止"),"両方停止","運転がそろわない")))</f>
        <v>両方停止</v>
      </c>
      <c r="AR1063" s="30" t="n">
        <v>60</v>
      </c>
      <c r="AS1063" s="30" t="n">
        <v>0</v>
      </c>
      <c r="AT1063" s="30" t="str">
        <f aca="false">IF(OR(AB1063="判定不能",J1063="判定不能"),"判定不能",IF(AS1063&gt;=判定条件!$C$9,"利用可",IF(AND(AB1063="停止",J1063="停止"),"両方停止","運転がそろわない")))</f>
        <v>両方停止</v>
      </c>
      <c r="AU1063" s="30" t="n">
        <v>60</v>
      </c>
      <c r="AV1063" s="30" t="n">
        <v>0</v>
      </c>
      <c r="AW1063" s="30" t="str">
        <f aca="false">IF(OR(AE1063="判定不能",M1063="判定不能"),"判定不能",IF(AV1063&gt;=判定条件!$C$9,"利用可",IF(AND(AE1063="停止",M1063="停止"),"両方停止","運転がそろわない")))</f>
        <v>両方停止</v>
      </c>
      <c r="AX1063" s="30" t="str">
        <f aca="false">IF(AND(AH1063="利用可",AK1063="利用可",AN1063="利用可"),"利用可","不可")</f>
        <v>不可</v>
      </c>
      <c r="AY1063" s="30" t="str">
        <f aca="false">IF(AND(AQ1063="利用可",AT1063="利用可",AW1063="利用可"),"利用可","不可")</f>
        <v>不可</v>
      </c>
    </row>
    <row r="1064" customFormat="false" ht="15" hidden="false" customHeight="false" outlineLevel="0" collapsed="false">
      <c r="A1064" s="29" t="n">
        <v>46276</v>
      </c>
      <c r="B1064" s="30" t="n">
        <v>5</v>
      </c>
      <c r="C1064" s="31" t="s">
        <v>62</v>
      </c>
      <c r="D1064" s="31" t="s">
        <v>59</v>
      </c>
      <c r="E1064" s="30" t="n">
        <v>60</v>
      </c>
      <c r="F1064" s="30" t="n">
        <v>0</v>
      </c>
      <c r="G1064" s="30" t="str">
        <f aca="false">IF(E1064&lt;判定条件!$C$6,"判定不能",IF(F1064&gt;=判定条件!$C$7*E1064,"運転",IF(F1064&lt;=判定条件!$C$8*E1064,"停止","断続")))</f>
        <v>停止</v>
      </c>
      <c r="H1064" s="30" t="n">
        <v>60</v>
      </c>
      <c r="I1064" s="30" t="n">
        <v>0</v>
      </c>
      <c r="J1064" s="30" t="str">
        <f aca="false">IF(H1064&lt;判定条件!$C$6,"判定不能",IF(I1064&gt;=判定条件!$C$7*H1064,"運転",IF(I1064&lt;=判定条件!$C$8*H1064,"停止","断続")))</f>
        <v>停止</v>
      </c>
      <c r="K1064" s="30" t="n">
        <v>60</v>
      </c>
      <c r="L1064" s="30" t="n">
        <v>0</v>
      </c>
      <c r="M1064" s="30" t="str">
        <f aca="false">IF(K1064&lt;判定条件!$C$6,"判定不能",IF(L1064&gt;=判定条件!$C$7*K1064,"運転",IF(L1064&lt;=判定条件!$C$8*K1064,"停止","断続")))</f>
        <v>停止</v>
      </c>
      <c r="N1064" s="30" t="n">
        <v>60</v>
      </c>
      <c r="O1064" s="30" t="n">
        <v>0</v>
      </c>
      <c r="P1064" s="30" t="str">
        <f aca="false">IF(N1064&lt;判定条件!$C$6,"判定不能",IF(O1064&gt;=判定条件!$C$7*N1064,"運転",IF(O1064&lt;=判定条件!$C$8*N1064,"停止","断続")))</f>
        <v>停止</v>
      </c>
      <c r="Q1064" s="30" t="n">
        <v>60</v>
      </c>
      <c r="R1064" s="30" t="n">
        <v>0</v>
      </c>
      <c r="S1064" s="30" t="str">
        <f aca="false">IF(Q1064&lt;判定条件!$C$6,"判定不能",IF(R1064&gt;=判定条件!$C$7*Q1064,"運転",IF(R1064&lt;=判定条件!$C$8*Q1064,"停止","断続")))</f>
        <v>停止</v>
      </c>
      <c r="T1064" s="30" t="n">
        <v>60</v>
      </c>
      <c r="U1064" s="30" t="n">
        <v>0</v>
      </c>
      <c r="V1064" s="30" t="str">
        <f aca="false">IF(T1064&lt;判定条件!$C$6,"判定不能",IF(U1064&gt;=判定条件!$C$7*T1064,"運転",IF(U1064&lt;=判定条件!$C$8*T1064,"停止","断続")))</f>
        <v>停止</v>
      </c>
      <c r="W1064" s="30" t="n">
        <v>60</v>
      </c>
      <c r="X1064" s="30" t="n">
        <v>0</v>
      </c>
      <c r="Y1064" s="30" t="str">
        <f aca="false">IF(W1064&lt;判定条件!$C$6,"判定不能",IF(X1064&gt;=判定条件!$C$7*W1064,"運転",IF(X1064&lt;=判定条件!$C$8*W1064,"停止","断続")))</f>
        <v>停止</v>
      </c>
      <c r="Z1064" s="30" t="n">
        <v>60</v>
      </c>
      <c r="AA1064" s="30" t="n">
        <v>0</v>
      </c>
      <c r="AB1064" s="30" t="str">
        <f aca="false">IF(Z1064&lt;判定条件!$C$6,"判定不能",IF(AA1064&gt;=判定条件!$C$7*Z1064,"運転",IF(AA1064&lt;=判定条件!$C$8*Z1064,"停止","断続")))</f>
        <v>停止</v>
      </c>
      <c r="AC1064" s="30" t="n">
        <v>60</v>
      </c>
      <c r="AD1064" s="30" t="n">
        <v>0</v>
      </c>
      <c r="AE1064" s="30" t="str">
        <f aca="false">IF(AC1064&lt;判定条件!$C$6,"判定不能",IF(AD1064&gt;=判定条件!$C$7*AC1064,"運転",IF(AD1064&lt;=判定条件!$C$8*AC1064,"停止","断続")))</f>
        <v>停止</v>
      </c>
      <c r="AF1064" s="30" t="n">
        <v>60</v>
      </c>
      <c r="AG1064" s="30" t="n">
        <v>0</v>
      </c>
      <c r="AH1064" s="30" t="str">
        <f aca="false">IF(OR(P1064="判定不能",G1064="判定不能"),"判定不能",IF(AG1064&gt;=判定条件!$C$9,"利用可",IF(AND(P1064="停止",G1064="停止"),"両方停止","運転がそろわない")))</f>
        <v>両方停止</v>
      </c>
      <c r="AI1064" s="30" t="n">
        <v>60</v>
      </c>
      <c r="AJ1064" s="30" t="n">
        <v>0</v>
      </c>
      <c r="AK1064" s="30" t="str">
        <f aca="false">IF(OR(S1064="判定不能",J1064="判定不能"),"判定不能",IF(AJ1064&gt;=判定条件!$C$9,"利用可",IF(AND(S1064="停止",J1064="停止"),"両方停止","運転がそろわない")))</f>
        <v>両方停止</v>
      </c>
      <c r="AL1064" s="30" t="n">
        <v>60</v>
      </c>
      <c r="AM1064" s="30" t="n">
        <v>0</v>
      </c>
      <c r="AN1064" s="30" t="str">
        <f aca="false">IF(OR(V1064="判定不能",M1064="判定不能"),"判定不能",IF(AM1064&gt;=判定条件!$C$9,"利用可",IF(AND(V1064="停止",M1064="停止"),"両方停止","運転がそろわない")))</f>
        <v>両方停止</v>
      </c>
      <c r="AO1064" s="30" t="n">
        <v>60</v>
      </c>
      <c r="AP1064" s="30" t="n">
        <v>0</v>
      </c>
      <c r="AQ1064" s="30" t="str">
        <f aca="false">IF(OR(Y1064="判定不能",G1064="判定不能"),"判定不能",IF(AP1064&gt;=判定条件!$C$9,"利用可",IF(AND(Y1064="停止",G1064="停止"),"両方停止","運転がそろわない")))</f>
        <v>両方停止</v>
      </c>
      <c r="AR1064" s="30" t="n">
        <v>60</v>
      </c>
      <c r="AS1064" s="30" t="n">
        <v>0</v>
      </c>
      <c r="AT1064" s="30" t="str">
        <f aca="false">IF(OR(AB1064="判定不能",J1064="判定不能"),"判定不能",IF(AS1064&gt;=判定条件!$C$9,"利用可",IF(AND(AB1064="停止",J1064="停止"),"両方停止","運転がそろわない")))</f>
        <v>両方停止</v>
      </c>
      <c r="AU1064" s="30" t="n">
        <v>60</v>
      </c>
      <c r="AV1064" s="30" t="n">
        <v>0</v>
      </c>
      <c r="AW1064" s="30" t="str">
        <f aca="false">IF(OR(AE1064="判定不能",M1064="判定不能"),"判定不能",IF(AV1064&gt;=判定条件!$C$9,"利用可",IF(AND(AE1064="停止",M1064="停止"),"両方停止","運転がそろわない")))</f>
        <v>両方停止</v>
      </c>
      <c r="AX1064" s="30" t="str">
        <f aca="false">IF(AND(AH1064="利用可",AK1064="利用可",AN1064="利用可"),"利用可","不可")</f>
        <v>不可</v>
      </c>
      <c r="AY1064" s="30" t="str">
        <f aca="false">IF(AND(AQ1064="利用可",AT1064="利用可",AW1064="利用可"),"利用可","不可")</f>
        <v>不可</v>
      </c>
    </row>
    <row r="1065" customFormat="false" ht="15" hidden="false" customHeight="false" outlineLevel="0" collapsed="false">
      <c r="A1065" s="29" t="n">
        <v>46276</v>
      </c>
      <c r="B1065" s="30" t="n">
        <v>6</v>
      </c>
      <c r="C1065" s="31" t="s">
        <v>62</v>
      </c>
      <c r="D1065" s="31" t="s">
        <v>59</v>
      </c>
      <c r="E1065" s="30" t="n">
        <v>60</v>
      </c>
      <c r="F1065" s="30" t="n">
        <v>0</v>
      </c>
      <c r="G1065" s="30" t="str">
        <f aca="false">IF(E1065&lt;判定条件!$C$6,"判定不能",IF(F1065&gt;=判定条件!$C$7*E1065,"運転",IF(F1065&lt;=判定条件!$C$8*E1065,"停止","断続")))</f>
        <v>停止</v>
      </c>
      <c r="H1065" s="30" t="n">
        <v>60</v>
      </c>
      <c r="I1065" s="30" t="n">
        <v>0</v>
      </c>
      <c r="J1065" s="30" t="str">
        <f aca="false">IF(H1065&lt;判定条件!$C$6,"判定不能",IF(I1065&gt;=判定条件!$C$7*H1065,"運転",IF(I1065&lt;=判定条件!$C$8*H1065,"停止","断続")))</f>
        <v>停止</v>
      </c>
      <c r="K1065" s="30" t="n">
        <v>60</v>
      </c>
      <c r="L1065" s="30" t="n">
        <v>0</v>
      </c>
      <c r="M1065" s="30" t="str">
        <f aca="false">IF(K1065&lt;判定条件!$C$6,"判定不能",IF(L1065&gt;=判定条件!$C$7*K1065,"運転",IF(L1065&lt;=判定条件!$C$8*K1065,"停止","断続")))</f>
        <v>停止</v>
      </c>
      <c r="N1065" s="30" t="n">
        <v>60</v>
      </c>
      <c r="O1065" s="30" t="n">
        <v>0</v>
      </c>
      <c r="P1065" s="30" t="str">
        <f aca="false">IF(N1065&lt;判定条件!$C$6,"判定不能",IF(O1065&gt;=判定条件!$C$7*N1065,"運転",IF(O1065&lt;=判定条件!$C$8*N1065,"停止","断続")))</f>
        <v>停止</v>
      </c>
      <c r="Q1065" s="30" t="n">
        <v>60</v>
      </c>
      <c r="R1065" s="30" t="n">
        <v>0</v>
      </c>
      <c r="S1065" s="30" t="str">
        <f aca="false">IF(Q1065&lt;判定条件!$C$6,"判定不能",IF(R1065&gt;=判定条件!$C$7*Q1065,"運転",IF(R1065&lt;=判定条件!$C$8*Q1065,"停止","断続")))</f>
        <v>停止</v>
      </c>
      <c r="T1065" s="30" t="n">
        <v>60</v>
      </c>
      <c r="U1065" s="30" t="n">
        <v>0</v>
      </c>
      <c r="V1065" s="30" t="str">
        <f aca="false">IF(T1065&lt;判定条件!$C$6,"判定不能",IF(U1065&gt;=判定条件!$C$7*T1065,"運転",IF(U1065&lt;=判定条件!$C$8*T1065,"停止","断続")))</f>
        <v>停止</v>
      </c>
      <c r="W1065" s="30" t="n">
        <v>60</v>
      </c>
      <c r="X1065" s="30" t="n">
        <v>0</v>
      </c>
      <c r="Y1065" s="30" t="str">
        <f aca="false">IF(W1065&lt;判定条件!$C$6,"判定不能",IF(X1065&gt;=判定条件!$C$7*W1065,"運転",IF(X1065&lt;=判定条件!$C$8*W1065,"停止","断続")))</f>
        <v>停止</v>
      </c>
      <c r="Z1065" s="30" t="n">
        <v>60</v>
      </c>
      <c r="AA1065" s="30" t="n">
        <v>0</v>
      </c>
      <c r="AB1065" s="30" t="str">
        <f aca="false">IF(Z1065&lt;判定条件!$C$6,"判定不能",IF(AA1065&gt;=判定条件!$C$7*Z1065,"運転",IF(AA1065&lt;=判定条件!$C$8*Z1065,"停止","断続")))</f>
        <v>停止</v>
      </c>
      <c r="AC1065" s="30" t="n">
        <v>60</v>
      </c>
      <c r="AD1065" s="30" t="n">
        <v>25</v>
      </c>
      <c r="AE1065" s="30" t="str">
        <f aca="false">IF(AC1065&lt;判定条件!$C$6,"判定不能",IF(AD1065&gt;=判定条件!$C$7*AC1065,"運転",IF(AD1065&lt;=判定条件!$C$8*AC1065,"停止","断続")))</f>
        <v>断続</v>
      </c>
      <c r="AF1065" s="30" t="n">
        <v>60</v>
      </c>
      <c r="AG1065" s="30" t="n">
        <v>0</v>
      </c>
      <c r="AH1065" s="30" t="str">
        <f aca="false">IF(OR(P1065="判定不能",G1065="判定不能"),"判定不能",IF(AG1065&gt;=判定条件!$C$9,"利用可",IF(AND(P1065="停止",G1065="停止"),"両方停止","運転がそろわない")))</f>
        <v>両方停止</v>
      </c>
      <c r="AI1065" s="30" t="n">
        <v>60</v>
      </c>
      <c r="AJ1065" s="30" t="n">
        <v>0</v>
      </c>
      <c r="AK1065" s="30" t="str">
        <f aca="false">IF(OR(S1065="判定不能",J1065="判定不能"),"判定不能",IF(AJ1065&gt;=判定条件!$C$9,"利用可",IF(AND(S1065="停止",J1065="停止"),"両方停止","運転がそろわない")))</f>
        <v>両方停止</v>
      </c>
      <c r="AL1065" s="30" t="n">
        <v>60</v>
      </c>
      <c r="AM1065" s="30" t="n">
        <v>0</v>
      </c>
      <c r="AN1065" s="30" t="str">
        <f aca="false">IF(OR(V1065="判定不能",M1065="判定不能"),"判定不能",IF(AM1065&gt;=判定条件!$C$9,"利用可",IF(AND(V1065="停止",M1065="停止"),"両方停止","運転がそろわない")))</f>
        <v>両方停止</v>
      </c>
      <c r="AO1065" s="30" t="n">
        <v>60</v>
      </c>
      <c r="AP1065" s="30" t="n">
        <v>0</v>
      </c>
      <c r="AQ1065" s="30" t="str">
        <f aca="false">IF(OR(Y1065="判定不能",G1065="判定不能"),"判定不能",IF(AP1065&gt;=判定条件!$C$9,"利用可",IF(AND(Y1065="停止",G1065="停止"),"両方停止","運転がそろわない")))</f>
        <v>両方停止</v>
      </c>
      <c r="AR1065" s="30" t="n">
        <v>60</v>
      </c>
      <c r="AS1065" s="30" t="n">
        <v>0</v>
      </c>
      <c r="AT1065" s="30" t="str">
        <f aca="false">IF(OR(AB1065="判定不能",J1065="判定不能"),"判定不能",IF(AS1065&gt;=判定条件!$C$9,"利用可",IF(AND(AB1065="停止",J1065="停止"),"両方停止","運転がそろわない")))</f>
        <v>両方停止</v>
      </c>
      <c r="AU1065" s="30" t="n">
        <v>60</v>
      </c>
      <c r="AV1065" s="30" t="n">
        <v>0</v>
      </c>
      <c r="AW1065" s="30" t="str">
        <f aca="false">IF(OR(AE1065="判定不能",M1065="判定不能"),"判定不能",IF(AV1065&gt;=判定条件!$C$9,"利用可",IF(AND(AE1065="停止",M1065="停止"),"両方停止","運転がそろわない")))</f>
        <v>運転がそろわない</v>
      </c>
      <c r="AX1065" s="30" t="str">
        <f aca="false">IF(AND(AH1065="利用可",AK1065="利用可",AN1065="利用可"),"利用可","不可")</f>
        <v>不可</v>
      </c>
      <c r="AY1065" s="30" t="str">
        <f aca="false">IF(AND(AQ1065="利用可",AT1065="利用可",AW1065="利用可"),"利用可","不可")</f>
        <v>不可</v>
      </c>
    </row>
    <row r="1066" customFormat="false" ht="15" hidden="false" customHeight="false" outlineLevel="0" collapsed="false">
      <c r="A1066" s="29" t="n">
        <v>46276</v>
      </c>
      <c r="B1066" s="30" t="n">
        <v>7</v>
      </c>
      <c r="C1066" s="31" t="s">
        <v>62</v>
      </c>
      <c r="D1066" s="31" t="s">
        <v>59</v>
      </c>
      <c r="E1066" s="30" t="n">
        <v>60</v>
      </c>
      <c r="F1066" s="30" t="n">
        <v>0</v>
      </c>
      <c r="G1066" s="30" t="str">
        <f aca="false">IF(E1066&lt;判定条件!$C$6,"判定不能",IF(F1066&gt;=判定条件!$C$7*E1066,"運転",IF(F1066&lt;=判定条件!$C$8*E1066,"停止","断続")))</f>
        <v>停止</v>
      </c>
      <c r="H1066" s="30" t="n">
        <v>60</v>
      </c>
      <c r="I1066" s="30" t="n">
        <v>0</v>
      </c>
      <c r="J1066" s="30" t="str">
        <f aca="false">IF(H1066&lt;判定条件!$C$6,"判定不能",IF(I1066&gt;=判定条件!$C$7*H1066,"運転",IF(I1066&lt;=判定条件!$C$8*H1066,"停止","断続")))</f>
        <v>停止</v>
      </c>
      <c r="K1066" s="30" t="n">
        <v>60</v>
      </c>
      <c r="L1066" s="30" t="n">
        <v>0</v>
      </c>
      <c r="M1066" s="30" t="str">
        <f aca="false">IF(K1066&lt;判定条件!$C$6,"判定不能",IF(L1066&gt;=判定条件!$C$7*K1066,"運転",IF(L1066&lt;=判定条件!$C$8*K1066,"停止","断続")))</f>
        <v>停止</v>
      </c>
      <c r="N1066" s="30" t="n">
        <v>60</v>
      </c>
      <c r="O1066" s="30" t="n">
        <v>6</v>
      </c>
      <c r="P1066" s="30" t="str">
        <f aca="false">IF(N1066&lt;判定条件!$C$6,"判定不能",IF(O1066&gt;=判定条件!$C$7*N1066,"運転",IF(O1066&lt;=判定条件!$C$8*N1066,"停止","断続")))</f>
        <v>停止</v>
      </c>
      <c r="Q1066" s="30" t="n">
        <v>60</v>
      </c>
      <c r="R1066" s="30" t="n">
        <v>0</v>
      </c>
      <c r="S1066" s="30" t="str">
        <f aca="false">IF(Q1066&lt;判定条件!$C$6,"判定不能",IF(R1066&gt;=判定条件!$C$7*Q1066,"運転",IF(R1066&lt;=判定条件!$C$8*Q1066,"停止","断続")))</f>
        <v>停止</v>
      </c>
      <c r="T1066" s="30" t="n">
        <v>60</v>
      </c>
      <c r="U1066" s="30" t="n">
        <v>0</v>
      </c>
      <c r="V1066" s="30" t="str">
        <f aca="false">IF(T1066&lt;判定条件!$C$6,"判定不能",IF(U1066&gt;=判定条件!$C$7*T1066,"運転",IF(U1066&lt;=判定条件!$C$8*T1066,"停止","断続")))</f>
        <v>停止</v>
      </c>
      <c r="W1066" s="30" t="n">
        <v>60</v>
      </c>
      <c r="X1066" s="30" t="n">
        <v>0</v>
      </c>
      <c r="Y1066" s="30" t="str">
        <f aca="false">IF(W1066&lt;判定条件!$C$6,"判定不能",IF(X1066&gt;=判定条件!$C$7*W1066,"運転",IF(X1066&lt;=判定条件!$C$8*W1066,"停止","断続")))</f>
        <v>停止</v>
      </c>
      <c r="Z1066" s="30" t="n">
        <v>60</v>
      </c>
      <c r="AA1066" s="30" t="n">
        <v>0</v>
      </c>
      <c r="AB1066" s="30" t="str">
        <f aca="false">IF(Z1066&lt;判定条件!$C$6,"判定不能",IF(AA1066&gt;=判定条件!$C$7*Z1066,"運転",IF(AA1066&lt;=判定条件!$C$8*Z1066,"停止","断続")))</f>
        <v>停止</v>
      </c>
      <c r="AC1066" s="30" t="n">
        <v>60</v>
      </c>
      <c r="AD1066" s="30" t="n">
        <v>60</v>
      </c>
      <c r="AE1066" s="30" t="str">
        <f aca="false">IF(AC1066&lt;判定条件!$C$6,"判定不能",IF(AD1066&gt;=判定条件!$C$7*AC1066,"運転",IF(AD1066&lt;=判定条件!$C$8*AC1066,"停止","断続")))</f>
        <v>運転</v>
      </c>
      <c r="AF1066" s="30" t="n">
        <v>60</v>
      </c>
      <c r="AG1066" s="30" t="n">
        <v>0</v>
      </c>
      <c r="AH1066" s="30" t="str">
        <f aca="false">IF(OR(P1066="判定不能",G1066="判定不能"),"判定不能",IF(AG1066&gt;=判定条件!$C$9,"利用可",IF(AND(P1066="停止",G1066="停止"),"両方停止","運転がそろわない")))</f>
        <v>両方停止</v>
      </c>
      <c r="AI1066" s="30" t="n">
        <v>60</v>
      </c>
      <c r="AJ1066" s="30" t="n">
        <v>0</v>
      </c>
      <c r="AK1066" s="30" t="str">
        <f aca="false">IF(OR(S1066="判定不能",J1066="判定不能"),"判定不能",IF(AJ1066&gt;=判定条件!$C$9,"利用可",IF(AND(S1066="停止",J1066="停止"),"両方停止","運転がそろわない")))</f>
        <v>両方停止</v>
      </c>
      <c r="AL1066" s="30" t="n">
        <v>60</v>
      </c>
      <c r="AM1066" s="30" t="n">
        <v>0</v>
      </c>
      <c r="AN1066" s="30" t="str">
        <f aca="false">IF(OR(V1066="判定不能",M1066="判定不能"),"判定不能",IF(AM1066&gt;=判定条件!$C$9,"利用可",IF(AND(V1066="停止",M1066="停止"),"両方停止","運転がそろわない")))</f>
        <v>両方停止</v>
      </c>
      <c r="AO1066" s="30" t="n">
        <v>60</v>
      </c>
      <c r="AP1066" s="30" t="n">
        <v>0</v>
      </c>
      <c r="AQ1066" s="30" t="str">
        <f aca="false">IF(OR(Y1066="判定不能",G1066="判定不能"),"判定不能",IF(AP1066&gt;=判定条件!$C$9,"利用可",IF(AND(Y1066="停止",G1066="停止"),"両方停止","運転がそろわない")))</f>
        <v>両方停止</v>
      </c>
      <c r="AR1066" s="30" t="n">
        <v>60</v>
      </c>
      <c r="AS1066" s="30" t="n">
        <v>0</v>
      </c>
      <c r="AT1066" s="30" t="str">
        <f aca="false">IF(OR(AB1066="判定不能",J1066="判定不能"),"判定不能",IF(AS1066&gt;=判定条件!$C$9,"利用可",IF(AND(AB1066="停止",J1066="停止"),"両方停止","運転がそろわない")))</f>
        <v>両方停止</v>
      </c>
      <c r="AU1066" s="30" t="n">
        <v>60</v>
      </c>
      <c r="AV1066" s="30" t="n">
        <v>0</v>
      </c>
      <c r="AW1066" s="30" t="str">
        <f aca="false">IF(OR(AE1066="判定不能",M1066="判定不能"),"判定不能",IF(AV1066&gt;=判定条件!$C$9,"利用可",IF(AND(AE1066="停止",M1066="停止"),"両方停止","運転がそろわない")))</f>
        <v>運転がそろわない</v>
      </c>
      <c r="AX1066" s="30" t="str">
        <f aca="false">IF(AND(AH1066="利用可",AK1066="利用可",AN1066="利用可"),"利用可","不可")</f>
        <v>不可</v>
      </c>
      <c r="AY1066" s="30" t="str">
        <f aca="false">IF(AND(AQ1066="利用可",AT1066="利用可",AW1066="利用可"),"利用可","不可")</f>
        <v>不可</v>
      </c>
    </row>
    <row r="1067" customFormat="false" ht="15" hidden="false" customHeight="false" outlineLevel="0" collapsed="false">
      <c r="A1067" s="29" t="n">
        <v>46276</v>
      </c>
      <c r="B1067" s="30" t="n">
        <v>8</v>
      </c>
      <c r="C1067" s="31" t="s">
        <v>62</v>
      </c>
      <c r="D1067" s="31" t="s">
        <v>59</v>
      </c>
      <c r="E1067" s="30" t="n">
        <v>60</v>
      </c>
      <c r="F1067" s="30" t="n">
        <v>0</v>
      </c>
      <c r="G1067" s="30" t="str">
        <f aca="false">IF(E1067&lt;判定条件!$C$6,"判定不能",IF(F1067&gt;=判定条件!$C$7*E1067,"運転",IF(F1067&lt;=判定条件!$C$8*E1067,"停止","断続")))</f>
        <v>停止</v>
      </c>
      <c r="H1067" s="30" t="n">
        <v>60</v>
      </c>
      <c r="I1067" s="30" t="n">
        <v>0</v>
      </c>
      <c r="J1067" s="30" t="str">
        <f aca="false">IF(H1067&lt;判定条件!$C$6,"判定不能",IF(I1067&gt;=判定条件!$C$7*H1067,"運転",IF(I1067&lt;=判定条件!$C$8*H1067,"停止","断続")))</f>
        <v>停止</v>
      </c>
      <c r="K1067" s="30" t="n">
        <v>60</v>
      </c>
      <c r="L1067" s="30" t="n">
        <v>0</v>
      </c>
      <c r="M1067" s="30" t="str">
        <f aca="false">IF(K1067&lt;判定条件!$C$6,"判定不能",IF(L1067&gt;=判定条件!$C$7*K1067,"運転",IF(L1067&lt;=判定条件!$C$8*K1067,"停止","断続")))</f>
        <v>停止</v>
      </c>
      <c r="N1067" s="30" t="n">
        <v>60</v>
      </c>
      <c r="O1067" s="30" t="n">
        <v>0</v>
      </c>
      <c r="P1067" s="30" t="str">
        <f aca="false">IF(N1067&lt;判定条件!$C$6,"判定不能",IF(O1067&gt;=判定条件!$C$7*N1067,"運転",IF(O1067&lt;=判定条件!$C$8*N1067,"停止","断続")))</f>
        <v>停止</v>
      </c>
      <c r="Q1067" s="30" t="n">
        <v>60</v>
      </c>
      <c r="R1067" s="30" t="n">
        <v>0</v>
      </c>
      <c r="S1067" s="30" t="str">
        <f aca="false">IF(Q1067&lt;判定条件!$C$6,"判定不能",IF(R1067&gt;=判定条件!$C$7*Q1067,"運転",IF(R1067&lt;=判定条件!$C$8*Q1067,"停止","断続")))</f>
        <v>停止</v>
      </c>
      <c r="T1067" s="30" t="n">
        <v>60</v>
      </c>
      <c r="U1067" s="30" t="n">
        <v>2</v>
      </c>
      <c r="V1067" s="30" t="str">
        <f aca="false">IF(T1067&lt;判定条件!$C$6,"判定不能",IF(U1067&gt;=判定条件!$C$7*T1067,"運転",IF(U1067&lt;=判定条件!$C$8*T1067,"停止","断続")))</f>
        <v>停止</v>
      </c>
      <c r="W1067" s="30" t="n">
        <v>60</v>
      </c>
      <c r="X1067" s="30" t="n">
        <v>52</v>
      </c>
      <c r="Y1067" s="30" t="str">
        <f aca="false">IF(W1067&lt;判定条件!$C$6,"判定不能",IF(X1067&gt;=判定条件!$C$7*W1067,"運転",IF(X1067&lt;=判定条件!$C$8*W1067,"停止","断続")))</f>
        <v>運転</v>
      </c>
      <c r="Z1067" s="30" t="n">
        <v>60</v>
      </c>
      <c r="AA1067" s="30" t="n">
        <v>0</v>
      </c>
      <c r="AB1067" s="30" t="str">
        <f aca="false">IF(Z1067&lt;判定条件!$C$6,"判定不能",IF(AA1067&gt;=判定条件!$C$7*Z1067,"運転",IF(AA1067&lt;=判定条件!$C$8*Z1067,"停止","断続")))</f>
        <v>停止</v>
      </c>
      <c r="AC1067" s="30" t="n">
        <v>60</v>
      </c>
      <c r="AD1067" s="30" t="n">
        <v>60</v>
      </c>
      <c r="AE1067" s="30" t="str">
        <f aca="false">IF(AC1067&lt;判定条件!$C$6,"判定不能",IF(AD1067&gt;=判定条件!$C$7*AC1067,"運転",IF(AD1067&lt;=判定条件!$C$8*AC1067,"停止","断続")))</f>
        <v>運転</v>
      </c>
      <c r="AF1067" s="30" t="n">
        <v>60</v>
      </c>
      <c r="AG1067" s="30" t="n">
        <v>0</v>
      </c>
      <c r="AH1067" s="30" t="str">
        <f aca="false">IF(OR(P1067="判定不能",G1067="判定不能"),"判定不能",IF(AG1067&gt;=判定条件!$C$9,"利用可",IF(AND(P1067="停止",G1067="停止"),"両方停止","運転がそろわない")))</f>
        <v>両方停止</v>
      </c>
      <c r="AI1067" s="30" t="n">
        <v>60</v>
      </c>
      <c r="AJ1067" s="30" t="n">
        <v>0</v>
      </c>
      <c r="AK1067" s="30" t="str">
        <f aca="false">IF(OR(S1067="判定不能",J1067="判定不能"),"判定不能",IF(AJ1067&gt;=判定条件!$C$9,"利用可",IF(AND(S1067="停止",J1067="停止"),"両方停止","運転がそろわない")))</f>
        <v>両方停止</v>
      </c>
      <c r="AL1067" s="30" t="n">
        <v>60</v>
      </c>
      <c r="AM1067" s="30" t="n">
        <v>0</v>
      </c>
      <c r="AN1067" s="30" t="str">
        <f aca="false">IF(OR(V1067="判定不能",M1067="判定不能"),"判定不能",IF(AM1067&gt;=判定条件!$C$9,"利用可",IF(AND(V1067="停止",M1067="停止"),"両方停止","運転がそろわない")))</f>
        <v>両方停止</v>
      </c>
      <c r="AO1067" s="30" t="n">
        <v>60</v>
      </c>
      <c r="AP1067" s="30" t="n">
        <v>0</v>
      </c>
      <c r="AQ1067" s="30" t="str">
        <f aca="false">IF(OR(Y1067="判定不能",G1067="判定不能"),"判定不能",IF(AP1067&gt;=判定条件!$C$9,"利用可",IF(AND(Y1067="停止",G1067="停止"),"両方停止","運転がそろわない")))</f>
        <v>運転がそろわない</v>
      </c>
      <c r="AR1067" s="30" t="n">
        <v>60</v>
      </c>
      <c r="AS1067" s="30" t="n">
        <v>0</v>
      </c>
      <c r="AT1067" s="30" t="str">
        <f aca="false">IF(OR(AB1067="判定不能",J1067="判定不能"),"判定不能",IF(AS1067&gt;=判定条件!$C$9,"利用可",IF(AND(AB1067="停止",J1067="停止"),"両方停止","運転がそろわない")))</f>
        <v>両方停止</v>
      </c>
      <c r="AU1067" s="30" t="n">
        <v>60</v>
      </c>
      <c r="AV1067" s="30" t="n">
        <v>0</v>
      </c>
      <c r="AW1067" s="30" t="str">
        <f aca="false">IF(OR(AE1067="判定不能",M1067="判定不能"),"判定不能",IF(AV1067&gt;=判定条件!$C$9,"利用可",IF(AND(AE1067="停止",M1067="停止"),"両方停止","運転がそろわない")))</f>
        <v>運転がそろわない</v>
      </c>
      <c r="AX1067" s="30" t="str">
        <f aca="false">IF(AND(AH1067="利用可",AK1067="利用可",AN1067="利用可"),"利用可","不可")</f>
        <v>不可</v>
      </c>
      <c r="AY1067" s="30" t="str">
        <f aca="false">IF(AND(AQ1067="利用可",AT1067="利用可",AW1067="利用可"),"利用可","不可")</f>
        <v>不可</v>
      </c>
    </row>
    <row r="1068" customFormat="false" ht="15" hidden="false" customHeight="false" outlineLevel="0" collapsed="false">
      <c r="A1068" s="29" t="n">
        <v>46276</v>
      </c>
      <c r="B1068" s="30" t="n">
        <v>9</v>
      </c>
      <c r="C1068" s="31" t="s">
        <v>62</v>
      </c>
      <c r="D1068" s="31" t="s">
        <v>59</v>
      </c>
      <c r="E1068" s="30" t="n">
        <v>60</v>
      </c>
      <c r="F1068" s="30" t="n">
        <v>0</v>
      </c>
      <c r="G1068" s="30" t="str">
        <f aca="false">IF(E1068&lt;判定条件!$C$6,"判定不能",IF(F1068&gt;=判定条件!$C$7*E1068,"運転",IF(F1068&lt;=判定条件!$C$8*E1068,"停止","断続")))</f>
        <v>停止</v>
      </c>
      <c r="H1068" s="30" t="n">
        <v>60</v>
      </c>
      <c r="I1068" s="30" t="n">
        <v>0</v>
      </c>
      <c r="J1068" s="30" t="str">
        <f aca="false">IF(H1068&lt;判定条件!$C$6,"判定不能",IF(I1068&gt;=判定条件!$C$7*H1068,"運転",IF(I1068&lt;=判定条件!$C$8*H1068,"停止","断続")))</f>
        <v>停止</v>
      </c>
      <c r="K1068" s="30" t="n">
        <v>60</v>
      </c>
      <c r="L1068" s="30" t="n">
        <v>0</v>
      </c>
      <c r="M1068" s="30" t="str">
        <f aca="false">IF(K1068&lt;判定条件!$C$6,"判定不能",IF(L1068&gt;=判定条件!$C$7*K1068,"運転",IF(L1068&lt;=判定条件!$C$8*K1068,"停止","断続")))</f>
        <v>停止</v>
      </c>
      <c r="N1068" s="30" t="n">
        <v>60</v>
      </c>
      <c r="O1068" s="30" t="n">
        <v>21</v>
      </c>
      <c r="P1068" s="30" t="str">
        <f aca="false">IF(N1068&lt;判定条件!$C$6,"判定不能",IF(O1068&gt;=判定条件!$C$7*N1068,"運転",IF(O1068&lt;=判定条件!$C$8*N1068,"停止","断続")))</f>
        <v>断続</v>
      </c>
      <c r="Q1068" s="30" t="n">
        <v>60</v>
      </c>
      <c r="R1068" s="30" t="n">
        <v>25</v>
      </c>
      <c r="S1068" s="30" t="str">
        <f aca="false">IF(Q1068&lt;判定条件!$C$6,"判定不能",IF(R1068&gt;=判定条件!$C$7*Q1068,"運転",IF(R1068&lt;=判定条件!$C$8*Q1068,"停止","断続")))</f>
        <v>断続</v>
      </c>
      <c r="T1068" s="30" t="n">
        <v>60</v>
      </c>
      <c r="U1068" s="30" t="n">
        <v>60</v>
      </c>
      <c r="V1068" s="30" t="str">
        <f aca="false">IF(T1068&lt;判定条件!$C$6,"判定不能",IF(U1068&gt;=判定条件!$C$7*T1068,"運転",IF(U1068&lt;=判定条件!$C$8*T1068,"停止","断続")))</f>
        <v>運転</v>
      </c>
      <c r="W1068" s="30" t="n">
        <v>60</v>
      </c>
      <c r="X1068" s="30" t="n">
        <v>50</v>
      </c>
      <c r="Y1068" s="30" t="str">
        <f aca="false">IF(W1068&lt;判定条件!$C$6,"判定不能",IF(X1068&gt;=判定条件!$C$7*W1068,"運転",IF(X1068&lt;=判定条件!$C$8*W1068,"停止","断続")))</f>
        <v>運転</v>
      </c>
      <c r="Z1068" s="30" t="n">
        <v>60</v>
      </c>
      <c r="AA1068" s="30" t="n">
        <v>26</v>
      </c>
      <c r="AB1068" s="30" t="str">
        <f aca="false">IF(Z1068&lt;判定条件!$C$6,"判定不能",IF(AA1068&gt;=判定条件!$C$7*Z1068,"運転",IF(AA1068&lt;=判定条件!$C$8*Z1068,"停止","断続")))</f>
        <v>断続</v>
      </c>
      <c r="AC1068" s="30" t="n">
        <v>60</v>
      </c>
      <c r="AD1068" s="30" t="n">
        <v>60</v>
      </c>
      <c r="AE1068" s="30" t="str">
        <f aca="false">IF(AC1068&lt;判定条件!$C$6,"判定不能",IF(AD1068&gt;=判定条件!$C$7*AC1068,"運転",IF(AD1068&lt;=判定条件!$C$8*AC1068,"停止","断続")))</f>
        <v>運転</v>
      </c>
      <c r="AF1068" s="30" t="n">
        <v>60</v>
      </c>
      <c r="AG1068" s="30" t="n">
        <v>0</v>
      </c>
      <c r="AH1068" s="30" t="str">
        <f aca="false">IF(OR(P1068="判定不能",G1068="判定不能"),"判定不能",IF(AG1068&gt;=判定条件!$C$9,"利用可",IF(AND(P1068="停止",G1068="停止"),"両方停止","運転がそろわない")))</f>
        <v>運転がそろわない</v>
      </c>
      <c r="AI1068" s="30" t="n">
        <v>60</v>
      </c>
      <c r="AJ1068" s="30" t="n">
        <v>0</v>
      </c>
      <c r="AK1068" s="30" t="str">
        <f aca="false">IF(OR(S1068="判定不能",J1068="判定不能"),"判定不能",IF(AJ1068&gt;=判定条件!$C$9,"利用可",IF(AND(S1068="停止",J1068="停止"),"両方停止","運転がそろわない")))</f>
        <v>運転がそろわない</v>
      </c>
      <c r="AL1068" s="30" t="n">
        <v>60</v>
      </c>
      <c r="AM1068" s="30" t="n">
        <v>0</v>
      </c>
      <c r="AN1068" s="30" t="str">
        <f aca="false">IF(OR(V1068="判定不能",M1068="判定不能"),"判定不能",IF(AM1068&gt;=判定条件!$C$9,"利用可",IF(AND(V1068="停止",M1068="停止"),"両方停止","運転がそろわない")))</f>
        <v>運転がそろわない</v>
      </c>
      <c r="AO1068" s="30" t="n">
        <v>60</v>
      </c>
      <c r="AP1068" s="30" t="n">
        <v>0</v>
      </c>
      <c r="AQ1068" s="30" t="str">
        <f aca="false">IF(OR(Y1068="判定不能",G1068="判定不能"),"判定不能",IF(AP1068&gt;=判定条件!$C$9,"利用可",IF(AND(Y1068="停止",G1068="停止"),"両方停止","運転がそろわない")))</f>
        <v>運転がそろわない</v>
      </c>
      <c r="AR1068" s="30" t="n">
        <v>60</v>
      </c>
      <c r="AS1068" s="30" t="n">
        <v>0</v>
      </c>
      <c r="AT1068" s="30" t="str">
        <f aca="false">IF(OR(AB1068="判定不能",J1068="判定不能"),"判定不能",IF(AS1068&gt;=判定条件!$C$9,"利用可",IF(AND(AB1068="停止",J1068="停止"),"両方停止","運転がそろわない")))</f>
        <v>運転がそろわない</v>
      </c>
      <c r="AU1068" s="30" t="n">
        <v>60</v>
      </c>
      <c r="AV1068" s="30" t="n">
        <v>0</v>
      </c>
      <c r="AW1068" s="30" t="str">
        <f aca="false">IF(OR(AE1068="判定不能",M1068="判定不能"),"判定不能",IF(AV1068&gt;=判定条件!$C$9,"利用可",IF(AND(AE1068="停止",M1068="停止"),"両方停止","運転がそろわない")))</f>
        <v>運転がそろわない</v>
      </c>
      <c r="AX1068" s="30" t="str">
        <f aca="false">IF(AND(AH1068="利用可",AK1068="利用可",AN1068="利用可"),"利用可","不可")</f>
        <v>不可</v>
      </c>
      <c r="AY1068" s="30" t="str">
        <f aca="false">IF(AND(AQ1068="利用可",AT1068="利用可",AW1068="利用可"),"利用可","不可")</f>
        <v>不可</v>
      </c>
    </row>
    <row r="1069" customFormat="false" ht="15" hidden="false" customHeight="false" outlineLevel="0" collapsed="false">
      <c r="A1069" s="29" t="n">
        <v>46276</v>
      </c>
      <c r="B1069" s="30" t="n">
        <v>10</v>
      </c>
      <c r="C1069" s="31" t="s">
        <v>62</v>
      </c>
      <c r="D1069" s="31" t="s">
        <v>59</v>
      </c>
      <c r="E1069" s="30" t="n">
        <v>60</v>
      </c>
      <c r="F1069" s="30" t="n">
        <v>0</v>
      </c>
      <c r="G1069" s="30" t="str">
        <f aca="false">IF(E1069&lt;判定条件!$C$6,"判定不能",IF(F1069&gt;=判定条件!$C$7*E1069,"運転",IF(F1069&lt;=判定条件!$C$8*E1069,"停止","断続")))</f>
        <v>停止</v>
      </c>
      <c r="H1069" s="30" t="n">
        <v>60</v>
      </c>
      <c r="I1069" s="30" t="n">
        <v>0</v>
      </c>
      <c r="J1069" s="30" t="str">
        <f aca="false">IF(H1069&lt;判定条件!$C$6,"判定不能",IF(I1069&gt;=判定条件!$C$7*H1069,"運転",IF(I1069&lt;=判定条件!$C$8*H1069,"停止","断続")))</f>
        <v>停止</v>
      </c>
      <c r="K1069" s="30" t="n">
        <v>60</v>
      </c>
      <c r="L1069" s="30" t="n">
        <v>0</v>
      </c>
      <c r="M1069" s="30" t="str">
        <f aca="false">IF(K1069&lt;判定条件!$C$6,"判定不能",IF(L1069&gt;=判定条件!$C$7*K1069,"運転",IF(L1069&lt;=判定条件!$C$8*K1069,"停止","断続")))</f>
        <v>停止</v>
      </c>
      <c r="N1069" s="30" t="n">
        <v>60</v>
      </c>
      <c r="O1069" s="30" t="n">
        <v>14</v>
      </c>
      <c r="P1069" s="30" t="str">
        <f aca="false">IF(N1069&lt;判定条件!$C$6,"判定不能",IF(O1069&gt;=判定条件!$C$7*N1069,"運転",IF(O1069&lt;=判定条件!$C$8*N1069,"停止","断続")))</f>
        <v>断続</v>
      </c>
      <c r="Q1069" s="30" t="n">
        <v>60</v>
      </c>
      <c r="R1069" s="30" t="n">
        <v>37</v>
      </c>
      <c r="S1069" s="30" t="str">
        <f aca="false">IF(Q1069&lt;判定条件!$C$6,"判定不能",IF(R1069&gt;=判定条件!$C$7*Q1069,"運転",IF(R1069&lt;=判定条件!$C$8*Q1069,"停止","断続")))</f>
        <v>断続</v>
      </c>
      <c r="T1069" s="30" t="n">
        <v>60</v>
      </c>
      <c r="U1069" s="30" t="n">
        <v>60</v>
      </c>
      <c r="V1069" s="30" t="str">
        <f aca="false">IF(T1069&lt;判定条件!$C$6,"判定不能",IF(U1069&gt;=判定条件!$C$7*T1069,"運転",IF(U1069&lt;=判定条件!$C$8*T1069,"停止","断続")))</f>
        <v>運転</v>
      </c>
      <c r="W1069" s="30" t="n">
        <v>60</v>
      </c>
      <c r="X1069" s="30" t="n">
        <v>60</v>
      </c>
      <c r="Y1069" s="30" t="str">
        <f aca="false">IF(W1069&lt;判定条件!$C$6,"判定不能",IF(X1069&gt;=判定条件!$C$7*W1069,"運転",IF(X1069&lt;=判定条件!$C$8*W1069,"停止","断続")))</f>
        <v>運転</v>
      </c>
      <c r="Z1069" s="30" t="n">
        <v>60</v>
      </c>
      <c r="AA1069" s="30" t="n">
        <v>48</v>
      </c>
      <c r="AB1069" s="30" t="str">
        <f aca="false">IF(Z1069&lt;判定条件!$C$6,"判定不能",IF(AA1069&gt;=判定条件!$C$7*Z1069,"運転",IF(AA1069&lt;=判定条件!$C$8*Z1069,"停止","断続")))</f>
        <v>運転</v>
      </c>
      <c r="AC1069" s="30" t="n">
        <v>60</v>
      </c>
      <c r="AD1069" s="30" t="n">
        <v>60</v>
      </c>
      <c r="AE1069" s="30" t="str">
        <f aca="false">IF(AC1069&lt;判定条件!$C$6,"判定不能",IF(AD1069&gt;=判定条件!$C$7*AC1069,"運転",IF(AD1069&lt;=判定条件!$C$8*AC1069,"停止","断続")))</f>
        <v>運転</v>
      </c>
      <c r="AF1069" s="30" t="n">
        <v>60</v>
      </c>
      <c r="AG1069" s="30" t="n">
        <v>0</v>
      </c>
      <c r="AH1069" s="30" t="str">
        <f aca="false">IF(OR(P1069="判定不能",G1069="判定不能"),"判定不能",IF(AG1069&gt;=判定条件!$C$9,"利用可",IF(AND(P1069="停止",G1069="停止"),"両方停止","運転がそろわない")))</f>
        <v>運転がそろわない</v>
      </c>
      <c r="AI1069" s="30" t="n">
        <v>60</v>
      </c>
      <c r="AJ1069" s="30" t="n">
        <v>0</v>
      </c>
      <c r="AK1069" s="30" t="str">
        <f aca="false">IF(OR(S1069="判定不能",J1069="判定不能"),"判定不能",IF(AJ1069&gt;=判定条件!$C$9,"利用可",IF(AND(S1069="停止",J1069="停止"),"両方停止","運転がそろわない")))</f>
        <v>運転がそろわない</v>
      </c>
      <c r="AL1069" s="30" t="n">
        <v>60</v>
      </c>
      <c r="AM1069" s="30" t="n">
        <v>0</v>
      </c>
      <c r="AN1069" s="30" t="str">
        <f aca="false">IF(OR(V1069="判定不能",M1069="判定不能"),"判定不能",IF(AM1069&gt;=判定条件!$C$9,"利用可",IF(AND(V1069="停止",M1069="停止"),"両方停止","運転がそろわない")))</f>
        <v>運転がそろわない</v>
      </c>
      <c r="AO1069" s="30" t="n">
        <v>60</v>
      </c>
      <c r="AP1069" s="30" t="n">
        <v>0</v>
      </c>
      <c r="AQ1069" s="30" t="str">
        <f aca="false">IF(OR(Y1069="判定不能",G1069="判定不能"),"判定不能",IF(AP1069&gt;=判定条件!$C$9,"利用可",IF(AND(Y1069="停止",G1069="停止"),"両方停止","運転がそろわない")))</f>
        <v>運転がそろわない</v>
      </c>
      <c r="AR1069" s="30" t="n">
        <v>60</v>
      </c>
      <c r="AS1069" s="30" t="n">
        <v>0</v>
      </c>
      <c r="AT1069" s="30" t="str">
        <f aca="false">IF(OR(AB1069="判定不能",J1069="判定不能"),"判定不能",IF(AS1069&gt;=判定条件!$C$9,"利用可",IF(AND(AB1069="停止",J1069="停止"),"両方停止","運転がそろわない")))</f>
        <v>運転がそろわない</v>
      </c>
      <c r="AU1069" s="30" t="n">
        <v>60</v>
      </c>
      <c r="AV1069" s="30" t="n">
        <v>0</v>
      </c>
      <c r="AW1069" s="30" t="str">
        <f aca="false">IF(OR(AE1069="判定不能",M1069="判定不能"),"判定不能",IF(AV1069&gt;=判定条件!$C$9,"利用可",IF(AND(AE1069="停止",M1069="停止"),"両方停止","運転がそろわない")))</f>
        <v>運転がそろわない</v>
      </c>
      <c r="AX1069" s="30" t="str">
        <f aca="false">IF(AND(AH1069="利用可",AK1069="利用可",AN1069="利用可"),"利用可","不可")</f>
        <v>不可</v>
      </c>
      <c r="AY1069" s="30" t="str">
        <f aca="false">IF(AND(AQ1069="利用可",AT1069="利用可",AW1069="利用可"),"利用可","不可")</f>
        <v>不可</v>
      </c>
    </row>
    <row r="1070" customFormat="false" ht="15" hidden="false" customHeight="false" outlineLevel="0" collapsed="false">
      <c r="A1070" s="29" t="n">
        <v>46276</v>
      </c>
      <c r="B1070" s="30" t="n">
        <v>11</v>
      </c>
      <c r="C1070" s="31" t="s">
        <v>62</v>
      </c>
      <c r="D1070" s="31" t="s">
        <v>59</v>
      </c>
      <c r="E1070" s="30" t="n">
        <v>60</v>
      </c>
      <c r="F1070" s="30" t="n">
        <v>6</v>
      </c>
      <c r="G1070" s="30" t="str">
        <f aca="false">IF(E1070&lt;判定条件!$C$6,"判定不能",IF(F1070&gt;=判定条件!$C$7*E1070,"運転",IF(F1070&lt;=判定条件!$C$8*E1070,"停止","断続")))</f>
        <v>停止</v>
      </c>
      <c r="H1070" s="30" t="n">
        <v>60</v>
      </c>
      <c r="I1070" s="30" t="n">
        <v>12</v>
      </c>
      <c r="J1070" s="30" t="str">
        <f aca="false">IF(H1070&lt;判定条件!$C$6,"判定不能",IF(I1070&gt;=判定条件!$C$7*H1070,"運転",IF(I1070&lt;=判定条件!$C$8*H1070,"停止","断続")))</f>
        <v>停止</v>
      </c>
      <c r="K1070" s="30" t="n">
        <v>60</v>
      </c>
      <c r="L1070" s="30" t="n">
        <v>24</v>
      </c>
      <c r="M1070" s="30" t="str">
        <f aca="false">IF(K1070&lt;判定条件!$C$6,"判定不能",IF(L1070&gt;=判定条件!$C$7*K1070,"運転",IF(L1070&lt;=判定条件!$C$8*K1070,"停止","断続")))</f>
        <v>断続</v>
      </c>
      <c r="N1070" s="30" t="n">
        <v>60</v>
      </c>
      <c r="O1070" s="30" t="n">
        <v>29</v>
      </c>
      <c r="P1070" s="30" t="str">
        <f aca="false">IF(N1070&lt;判定条件!$C$6,"判定不能",IF(O1070&gt;=判定条件!$C$7*N1070,"運転",IF(O1070&lt;=判定条件!$C$8*N1070,"停止","断続")))</f>
        <v>断続</v>
      </c>
      <c r="Q1070" s="30" t="n">
        <v>60</v>
      </c>
      <c r="R1070" s="30" t="n">
        <v>18</v>
      </c>
      <c r="S1070" s="30" t="str">
        <f aca="false">IF(Q1070&lt;判定条件!$C$6,"判定不能",IF(R1070&gt;=判定条件!$C$7*Q1070,"運転",IF(R1070&lt;=判定条件!$C$8*Q1070,"停止","断続")))</f>
        <v>断続</v>
      </c>
      <c r="T1070" s="30" t="n">
        <v>60</v>
      </c>
      <c r="U1070" s="30" t="n">
        <v>58</v>
      </c>
      <c r="V1070" s="30" t="str">
        <f aca="false">IF(T1070&lt;判定条件!$C$6,"判定不能",IF(U1070&gt;=判定条件!$C$7*T1070,"運転",IF(U1070&lt;=判定条件!$C$8*T1070,"停止","断続")))</f>
        <v>運転</v>
      </c>
      <c r="W1070" s="30" t="n">
        <v>60</v>
      </c>
      <c r="X1070" s="30" t="n">
        <v>42</v>
      </c>
      <c r="Y1070" s="30" t="str">
        <f aca="false">IF(W1070&lt;判定条件!$C$6,"判定不能",IF(X1070&gt;=判定条件!$C$7*W1070,"運転",IF(X1070&lt;=判定条件!$C$8*W1070,"停止","断続")))</f>
        <v>断続</v>
      </c>
      <c r="Z1070" s="30" t="n">
        <v>60</v>
      </c>
      <c r="AA1070" s="30" t="n">
        <v>51</v>
      </c>
      <c r="AB1070" s="30" t="str">
        <f aca="false">IF(Z1070&lt;判定条件!$C$6,"判定不能",IF(AA1070&gt;=判定条件!$C$7*Z1070,"運転",IF(AA1070&lt;=判定条件!$C$8*Z1070,"停止","断続")))</f>
        <v>運転</v>
      </c>
      <c r="AC1070" s="30" t="n">
        <v>60</v>
      </c>
      <c r="AD1070" s="30" t="n">
        <v>60</v>
      </c>
      <c r="AE1070" s="30" t="str">
        <f aca="false">IF(AC1070&lt;判定条件!$C$6,"判定不能",IF(AD1070&gt;=判定条件!$C$7*AC1070,"運転",IF(AD1070&lt;=判定条件!$C$8*AC1070,"停止","断続")))</f>
        <v>運転</v>
      </c>
      <c r="AF1070" s="30" t="n">
        <v>60</v>
      </c>
      <c r="AG1070" s="30" t="n">
        <v>6</v>
      </c>
      <c r="AH1070" s="30" t="str">
        <f aca="false">IF(OR(P1070="判定不能",G1070="判定不能"),"判定不能",IF(AG1070&gt;=判定条件!$C$9,"利用可",IF(AND(P1070="停止",G1070="停止"),"両方停止","運転がそろわない")))</f>
        <v>運転がそろわない</v>
      </c>
      <c r="AI1070" s="30" t="n">
        <v>60</v>
      </c>
      <c r="AJ1070" s="30" t="n">
        <v>8</v>
      </c>
      <c r="AK1070" s="30" t="str">
        <f aca="false">IF(OR(S1070="判定不能",J1070="判定不能"),"判定不能",IF(AJ1070&gt;=判定条件!$C$9,"利用可",IF(AND(S1070="停止",J1070="停止"),"両方停止","運転がそろわない")))</f>
        <v>運転がそろわない</v>
      </c>
      <c r="AL1070" s="30" t="n">
        <v>60</v>
      </c>
      <c r="AM1070" s="30" t="n">
        <v>22</v>
      </c>
      <c r="AN1070" s="30" t="str">
        <f aca="false">IF(OR(V1070="判定不能",M1070="判定不能"),"判定不能",IF(AM1070&gt;=判定条件!$C$9,"利用可",IF(AND(V1070="停止",M1070="停止"),"両方停止","運転がそろわない")))</f>
        <v>運転がそろわない</v>
      </c>
      <c r="AO1070" s="30" t="n">
        <v>60</v>
      </c>
      <c r="AP1070" s="30" t="n">
        <v>2</v>
      </c>
      <c r="AQ1070" s="30" t="str">
        <f aca="false">IF(OR(Y1070="判定不能",G1070="判定不能"),"判定不能",IF(AP1070&gt;=判定条件!$C$9,"利用可",IF(AND(Y1070="停止",G1070="停止"),"両方停止","運転がそろわない")))</f>
        <v>運転がそろわない</v>
      </c>
      <c r="AR1070" s="30" t="n">
        <v>60</v>
      </c>
      <c r="AS1070" s="30" t="n">
        <v>8</v>
      </c>
      <c r="AT1070" s="30" t="str">
        <f aca="false">IF(OR(AB1070="判定不能",J1070="判定不能"),"判定不能",IF(AS1070&gt;=判定条件!$C$9,"利用可",IF(AND(AB1070="停止",J1070="停止"),"両方停止","運転がそろわない")))</f>
        <v>運転がそろわない</v>
      </c>
      <c r="AU1070" s="30" t="n">
        <v>60</v>
      </c>
      <c r="AV1070" s="30" t="n">
        <v>24</v>
      </c>
      <c r="AW1070" s="30" t="str">
        <f aca="false">IF(OR(AE1070="判定不能",M1070="判定不能"),"判定不能",IF(AV1070&gt;=判定条件!$C$9,"利用可",IF(AND(AE1070="停止",M1070="停止"),"両方停止","運転がそろわない")))</f>
        <v>運転がそろわない</v>
      </c>
      <c r="AX1070" s="30" t="str">
        <f aca="false">IF(AND(AH1070="利用可",AK1070="利用可",AN1070="利用可"),"利用可","不可")</f>
        <v>不可</v>
      </c>
      <c r="AY1070" s="30" t="str">
        <f aca="false">IF(AND(AQ1070="利用可",AT1070="利用可",AW1070="利用可"),"利用可","不可")</f>
        <v>不可</v>
      </c>
    </row>
    <row r="1071" customFormat="false" ht="15" hidden="false" customHeight="false" outlineLevel="0" collapsed="false">
      <c r="A1071" s="29" t="n">
        <v>46276</v>
      </c>
      <c r="B1071" s="30" t="n">
        <v>12</v>
      </c>
      <c r="C1071" s="31" t="s">
        <v>62</v>
      </c>
      <c r="D1071" s="31" t="s">
        <v>59</v>
      </c>
      <c r="E1071" s="30" t="n">
        <v>60</v>
      </c>
      <c r="F1071" s="30" t="n">
        <v>0</v>
      </c>
      <c r="G1071" s="30" t="str">
        <f aca="false">IF(E1071&lt;判定条件!$C$6,"判定不能",IF(F1071&gt;=判定条件!$C$7*E1071,"運転",IF(F1071&lt;=判定条件!$C$8*E1071,"停止","断続")))</f>
        <v>停止</v>
      </c>
      <c r="H1071" s="30" t="n">
        <v>60</v>
      </c>
      <c r="I1071" s="30" t="n">
        <v>14</v>
      </c>
      <c r="J1071" s="30" t="str">
        <f aca="false">IF(H1071&lt;判定条件!$C$6,"判定不能",IF(I1071&gt;=判定条件!$C$7*H1071,"運転",IF(I1071&lt;=判定条件!$C$8*H1071,"停止","断続")))</f>
        <v>断続</v>
      </c>
      <c r="K1071" s="30" t="n">
        <v>60</v>
      </c>
      <c r="L1071" s="30" t="n">
        <v>50</v>
      </c>
      <c r="M1071" s="30" t="str">
        <f aca="false">IF(K1071&lt;判定条件!$C$6,"判定不能",IF(L1071&gt;=判定条件!$C$7*K1071,"運転",IF(L1071&lt;=判定条件!$C$8*K1071,"停止","断続")))</f>
        <v>運転</v>
      </c>
      <c r="N1071" s="30" t="n">
        <v>60</v>
      </c>
      <c r="O1071" s="30" t="n">
        <v>26</v>
      </c>
      <c r="P1071" s="30" t="str">
        <f aca="false">IF(N1071&lt;判定条件!$C$6,"判定不能",IF(O1071&gt;=判定条件!$C$7*N1071,"運転",IF(O1071&lt;=判定条件!$C$8*N1071,"停止","断続")))</f>
        <v>断続</v>
      </c>
      <c r="Q1071" s="30" t="n">
        <v>60</v>
      </c>
      <c r="R1071" s="30" t="n">
        <v>28</v>
      </c>
      <c r="S1071" s="30" t="str">
        <f aca="false">IF(Q1071&lt;判定条件!$C$6,"判定不能",IF(R1071&gt;=判定条件!$C$7*Q1071,"運転",IF(R1071&lt;=判定条件!$C$8*Q1071,"停止","断続")))</f>
        <v>断続</v>
      </c>
      <c r="T1071" s="30" t="n">
        <v>60</v>
      </c>
      <c r="U1071" s="30" t="n">
        <v>56</v>
      </c>
      <c r="V1071" s="30" t="str">
        <f aca="false">IF(T1071&lt;判定条件!$C$6,"判定不能",IF(U1071&gt;=判定条件!$C$7*T1071,"運転",IF(U1071&lt;=判定条件!$C$8*T1071,"停止","断続")))</f>
        <v>運転</v>
      </c>
      <c r="W1071" s="30" t="n">
        <v>60</v>
      </c>
      <c r="X1071" s="30" t="n">
        <v>55</v>
      </c>
      <c r="Y1071" s="30" t="str">
        <f aca="false">IF(W1071&lt;判定条件!$C$6,"判定不能",IF(X1071&gt;=判定条件!$C$7*W1071,"運転",IF(X1071&lt;=判定条件!$C$8*W1071,"停止","断続")))</f>
        <v>運転</v>
      </c>
      <c r="Z1071" s="30" t="n">
        <v>60</v>
      </c>
      <c r="AA1071" s="30" t="n">
        <v>47</v>
      </c>
      <c r="AB1071" s="30" t="str">
        <f aca="false">IF(Z1071&lt;判定条件!$C$6,"判定不能",IF(AA1071&gt;=判定条件!$C$7*Z1071,"運転",IF(AA1071&lt;=判定条件!$C$8*Z1071,"停止","断続")))</f>
        <v>断続</v>
      </c>
      <c r="AC1071" s="30" t="n">
        <v>60</v>
      </c>
      <c r="AD1071" s="30" t="n">
        <v>60</v>
      </c>
      <c r="AE1071" s="30" t="str">
        <f aca="false">IF(AC1071&lt;判定条件!$C$6,"判定不能",IF(AD1071&gt;=判定条件!$C$7*AC1071,"運転",IF(AD1071&lt;=判定条件!$C$8*AC1071,"停止","断続")))</f>
        <v>運転</v>
      </c>
      <c r="AF1071" s="30" t="n">
        <v>60</v>
      </c>
      <c r="AG1071" s="30" t="n">
        <v>0</v>
      </c>
      <c r="AH1071" s="30" t="str">
        <f aca="false">IF(OR(P1071="判定不能",G1071="判定不能"),"判定不能",IF(AG1071&gt;=判定条件!$C$9,"利用可",IF(AND(P1071="停止",G1071="停止"),"両方停止","運転がそろわない")))</f>
        <v>運転がそろわない</v>
      </c>
      <c r="AI1071" s="30" t="n">
        <v>60</v>
      </c>
      <c r="AJ1071" s="30" t="n">
        <v>1</v>
      </c>
      <c r="AK1071" s="30" t="str">
        <f aca="false">IF(OR(S1071="判定不能",J1071="判定不能"),"判定不能",IF(AJ1071&gt;=判定条件!$C$9,"利用可",IF(AND(S1071="停止",J1071="停止"),"両方停止","運転がそろわない")))</f>
        <v>運転がそろわない</v>
      </c>
      <c r="AL1071" s="30" t="n">
        <v>60</v>
      </c>
      <c r="AM1071" s="30" t="n">
        <v>46</v>
      </c>
      <c r="AN1071" s="30" t="str">
        <f aca="false">IF(OR(V1071="判定不能",M1071="判定不能"),"判定不能",IF(AM1071&gt;=判定条件!$C$9,"利用可",IF(AND(V1071="停止",M1071="停止"),"両方停止","運転がそろわない")))</f>
        <v>利用可</v>
      </c>
      <c r="AO1071" s="30" t="n">
        <v>60</v>
      </c>
      <c r="AP1071" s="30" t="n">
        <v>0</v>
      </c>
      <c r="AQ1071" s="30" t="str">
        <f aca="false">IF(OR(Y1071="判定不能",G1071="判定不能"),"判定不能",IF(AP1071&gt;=判定条件!$C$9,"利用可",IF(AND(Y1071="停止",G1071="停止"),"両方停止","運転がそろわない")))</f>
        <v>運転がそろわない</v>
      </c>
      <c r="AR1071" s="30" t="n">
        <v>60</v>
      </c>
      <c r="AS1071" s="30" t="n">
        <v>14</v>
      </c>
      <c r="AT1071" s="30" t="str">
        <f aca="false">IF(OR(AB1071="判定不能",J1071="判定不能"),"判定不能",IF(AS1071&gt;=判定条件!$C$9,"利用可",IF(AND(AB1071="停止",J1071="停止"),"両方停止","運転がそろわない")))</f>
        <v>運転がそろわない</v>
      </c>
      <c r="AU1071" s="30" t="n">
        <v>60</v>
      </c>
      <c r="AV1071" s="30" t="n">
        <v>50</v>
      </c>
      <c r="AW1071" s="30" t="str">
        <f aca="false">IF(OR(AE1071="判定不能",M1071="判定不能"),"判定不能",IF(AV1071&gt;=判定条件!$C$9,"利用可",IF(AND(AE1071="停止",M1071="停止"),"両方停止","運転がそろわない")))</f>
        <v>利用可</v>
      </c>
      <c r="AX1071" s="30" t="str">
        <f aca="false">IF(AND(AH1071="利用可",AK1071="利用可",AN1071="利用可"),"利用可","不可")</f>
        <v>不可</v>
      </c>
      <c r="AY1071" s="30" t="str">
        <f aca="false">IF(AND(AQ1071="利用可",AT1071="利用可",AW1071="利用可"),"利用可","不可")</f>
        <v>不可</v>
      </c>
    </row>
    <row r="1072" customFormat="false" ht="15" hidden="false" customHeight="false" outlineLevel="0" collapsed="false">
      <c r="A1072" s="29" t="n">
        <v>46276</v>
      </c>
      <c r="B1072" s="30" t="n">
        <v>13</v>
      </c>
      <c r="C1072" s="31" t="s">
        <v>62</v>
      </c>
      <c r="D1072" s="31" t="s">
        <v>59</v>
      </c>
      <c r="E1072" s="30" t="n">
        <v>60</v>
      </c>
      <c r="F1072" s="30" t="n">
        <v>0</v>
      </c>
      <c r="G1072" s="30" t="str">
        <f aca="false">IF(E1072&lt;判定条件!$C$6,"判定不能",IF(F1072&gt;=判定条件!$C$7*E1072,"運転",IF(F1072&lt;=判定条件!$C$8*E1072,"停止","断続")))</f>
        <v>停止</v>
      </c>
      <c r="H1072" s="30" t="n">
        <v>60</v>
      </c>
      <c r="I1072" s="30" t="n">
        <v>22</v>
      </c>
      <c r="J1072" s="30" t="str">
        <f aca="false">IF(H1072&lt;判定条件!$C$6,"判定不能",IF(I1072&gt;=判定条件!$C$7*H1072,"運転",IF(I1072&lt;=判定条件!$C$8*H1072,"停止","断続")))</f>
        <v>断続</v>
      </c>
      <c r="K1072" s="30" t="n">
        <v>60</v>
      </c>
      <c r="L1072" s="30" t="n">
        <v>60</v>
      </c>
      <c r="M1072" s="30" t="str">
        <f aca="false">IF(K1072&lt;判定条件!$C$6,"判定不能",IF(L1072&gt;=判定条件!$C$7*K1072,"運転",IF(L1072&lt;=判定条件!$C$8*K1072,"停止","断続")))</f>
        <v>運転</v>
      </c>
      <c r="N1072" s="30" t="n">
        <v>60</v>
      </c>
      <c r="O1072" s="30" t="n">
        <v>28</v>
      </c>
      <c r="P1072" s="30" t="str">
        <f aca="false">IF(N1072&lt;判定条件!$C$6,"判定不能",IF(O1072&gt;=判定条件!$C$7*N1072,"運転",IF(O1072&lt;=判定条件!$C$8*N1072,"停止","断続")))</f>
        <v>断続</v>
      </c>
      <c r="Q1072" s="30" t="n">
        <v>60</v>
      </c>
      <c r="R1072" s="30" t="n">
        <v>27</v>
      </c>
      <c r="S1072" s="30" t="str">
        <f aca="false">IF(Q1072&lt;判定条件!$C$6,"判定不能",IF(R1072&gt;=判定条件!$C$7*Q1072,"運転",IF(R1072&lt;=判定条件!$C$8*Q1072,"停止","断続")))</f>
        <v>断続</v>
      </c>
      <c r="T1072" s="30" t="n">
        <v>60</v>
      </c>
      <c r="U1072" s="30" t="n">
        <v>60</v>
      </c>
      <c r="V1072" s="30" t="str">
        <f aca="false">IF(T1072&lt;判定条件!$C$6,"判定不能",IF(U1072&gt;=判定条件!$C$7*T1072,"運転",IF(U1072&lt;=判定条件!$C$8*T1072,"停止","断続")))</f>
        <v>運転</v>
      </c>
      <c r="W1072" s="30" t="n">
        <v>60</v>
      </c>
      <c r="X1072" s="30" t="n">
        <v>18</v>
      </c>
      <c r="Y1072" s="30" t="str">
        <f aca="false">IF(W1072&lt;判定条件!$C$6,"判定不能",IF(X1072&gt;=判定条件!$C$7*W1072,"運転",IF(X1072&lt;=判定条件!$C$8*W1072,"停止","断続")))</f>
        <v>断続</v>
      </c>
      <c r="Z1072" s="30" t="n">
        <v>60</v>
      </c>
      <c r="AA1072" s="30" t="n">
        <v>42</v>
      </c>
      <c r="AB1072" s="30" t="str">
        <f aca="false">IF(Z1072&lt;判定条件!$C$6,"判定不能",IF(AA1072&gt;=判定条件!$C$7*Z1072,"運転",IF(AA1072&lt;=判定条件!$C$8*Z1072,"停止","断続")))</f>
        <v>断続</v>
      </c>
      <c r="AC1072" s="30" t="n">
        <v>60</v>
      </c>
      <c r="AD1072" s="30" t="n">
        <v>60</v>
      </c>
      <c r="AE1072" s="30" t="str">
        <f aca="false">IF(AC1072&lt;判定条件!$C$6,"判定不能",IF(AD1072&gt;=判定条件!$C$7*AC1072,"運転",IF(AD1072&lt;=判定条件!$C$8*AC1072,"停止","断続")))</f>
        <v>運転</v>
      </c>
      <c r="AF1072" s="30" t="n">
        <v>60</v>
      </c>
      <c r="AG1072" s="30" t="n">
        <v>0</v>
      </c>
      <c r="AH1072" s="30" t="str">
        <f aca="false">IF(OR(P1072="判定不能",G1072="判定不能"),"判定不能",IF(AG1072&gt;=判定条件!$C$9,"利用可",IF(AND(P1072="停止",G1072="停止"),"両方停止","運転がそろわない")))</f>
        <v>運転がそろわない</v>
      </c>
      <c r="AI1072" s="30" t="n">
        <v>60</v>
      </c>
      <c r="AJ1072" s="30" t="n">
        <v>15</v>
      </c>
      <c r="AK1072" s="30" t="str">
        <f aca="false">IF(OR(S1072="判定不能",J1072="判定不能"),"判定不能",IF(AJ1072&gt;=判定条件!$C$9,"利用可",IF(AND(S1072="停止",J1072="停止"),"両方停止","運転がそろわない")))</f>
        <v>運転がそろわない</v>
      </c>
      <c r="AL1072" s="30" t="n">
        <v>60</v>
      </c>
      <c r="AM1072" s="30" t="n">
        <v>60</v>
      </c>
      <c r="AN1072" s="30" t="str">
        <f aca="false">IF(OR(V1072="判定不能",M1072="判定不能"),"判定不能",IF(AM1072&gt;=判定条件!$C$9,"利用可",IF(AND(V1072="停止",M1072="停止"),"両方停止","運転がそろわない")))</f>
        <v>利用可</v>
      </c>
      <c r="AO1072" s="30" t="n">
        <v>60</v>
      </c>
      <c r="AP1072" s="30" t="n">
        <v>0</v>
      </c>
      <c r="AQ1072" s="30" t="str">
        <f aca="false">IF(OR(Y1072="判定不能",G1072="判定不能"),"判定不能",IF(AP1072&gt;=判定条件!$C$9,"利用可",IF(AND(Y1072="停止",G1072="停止"),"両方停止","運転がそろわない")))</f>
        <v>運転がそろわない</v>
      </c>
      <c r="AR1072" s="30" t="n">
        <v>60</v>
      </c>
      <c r="AS1072" s="30" t="n">
        <v>22</v>
      </c>
      <c r="AT1072" s="30" t="str">
        <f aca="false">IF(OR(AB1072="判定不能",J1072="判定不能"),"判定不能",IF(AS1072&gt;=判定条件!$C$9,"利用可",IF(AND(AB1072="停止",J1072="停止"),"両方停止","運転がそろわない")))</f>
        <v>運転がそろわない</v>
      </c>
      <c r="AU1072" s="30" t="n">
        <v>60</v>
      </c>
      <c r="AV1072" s="30" t="n">
        <v>60</v>
      </c>
      <c r="AW1072" s="30" t="str">
        <f aca="false">IF(OR(AE1072="判定不能",M1072="判定不能"),"判定不能",IF(AV1072&gt;=判定条件!$C$9,"利用可",IF(AND(AE1072="停止",M1072="停止"),"両方停止","運転がそろわない")))</f>
        <v>利用可</v>
      </c>
      <c r="AX1072" s="30" t="str">
        <f aca="false">IF(AND(AH1072="利用可",AK1072="利用可",AN1072="利用可"),"利用可","不可")</f>
        <v>不可</v>
      </c>
      <c r="AY1072" s="30" t="str">
        <f aca="false">IF(AND(AQ1072="利用可",AT1072="利用可",AW1072="利用可"),"利用可","不可")</f>
        <v>不可</v>
      </c>
    </row>
    <row r="1073" customFormat="false" ht="15" hidden="false" customHeight="false" outlineLevel="0" collapsed="false">
      <c r="A1073" s="29" t="n">
        <v>46276</v>
      </c>
      <c r="B1073" s="30" t="n">
        <v>14</v>
      </c>
      <c r="C1073" s="31" t="s">
        <v>62</v>
      </c>
      <c r="D1073" s="31" t="s">
        <v>59</v>
      </c>
      <c r="E1073" s="30" t="n">
        <v>60</v>
      </c>
      <c r="F1073" s="30" t="n">
        <v>0</v>
      </c>
      <c r="G1073" s="30" t="str">
        <f aca="false">IF(E1073&lt;判定条件!$C$6,"判定不能",IF(F1073&gt;=判定条件!$C$7*E1073,"運転",IF(F1073&lt;=判定条件!$C$8*E1073,"停止","断続")))</f>
        <v>停止</v>
      </c>
      <c r="H1073" s="30" t="n">
        <v>60</v>
      </c>
      <c r="I1073" s="30" t="n">
        <v>49</v>
      </c>
      <c r="J1073" s="30" t="str">
        <f aca="false">IF(H1073&lt;判定条件!$C$6,"判定不能",IF(I1073&gt;=判定条件!$C$7*H1073,"運転",IF(I1073&lt;=判定条件!$C$8*H1073,"停止","断続")))</f>
        <v>運転</v>
      </c>
      <c r="K1073" s="30" t="n">
        <v>60</v>
      </c>
      <c r="L1073" s="30" t="n">
        <v>60</v>
      </c>
      <c r="M1073" s="30" t="str">
        <f aca="false">IF(K1073&lt;判定条件!$C$6,"判定不能",IF(L1073&gt;=判定条件!$C$7*K1073,"運転",IF(L1073&lt;=判定条件!$C$8*K1073,"停止","断続")))</f>
        <v>運転</v>
      </c>
      <c r="N1073" s="30" t="n">
        <v>60</v>
      </c>
      <c r="O1073" s="30" t="n">
        <v>11</v>
      </c>
      <c r="P1073" s="30" t="str">
        <f aca="false">IF(N1073&lt;判定条件!$C$6,"判定不能",IF(O1073&gt;=判定条件!$C$7*N1073,"運転",IF(O1073&lt;=判定条件!$C$8*N1073,"停止","断続")))</f>
        <v>停止</v>
      </c>
      <c r="Q1073" s="30" t="n">
        <v>60</v>
      </c>
      <c r="R1073" s="30" t="n">
        <v>47</v>
      </c>
      <c r="S1073" s="30" t="str">
        <f aca="false">IF(Q1073&lt;判定条件!$C$6,"判定不能",IF(R1073&gt;=判定条件!$C$7*Q1073,"運転",IF(R1073&lt;=判定条件!$C$8*Q1073,"停止","断続")))</f>
        <v>断続</v>
      </c>
      <c r="T1073" s="30" t="n">
        <v>60</v>
      </c>
      <c r="U1073" s="30" t="n">
        <v>60</v>
      </c>
      <c r="V1073" s="30" t="str">
        <f aca="false">IF(T1073&lt;判定条件!$C$6,"判定不能",IF(U1073&gt;=判定条件!$C$7*T1073,"運転",IF(U1073&lt;=判定条件!$C$8*T1073,"停止","断続")))</f>
        <v>運転</v>
      </c>
      <c r="W1073" s="30" t="n">
        <v>60</v>
      </c>
      <c r="X1073" s="30" t="n">
        <v>27</v>
      </c>
      <c r="Y1073" s="30" t="str">
        <f aca="false">IF(W1073&lt;判定条件!$C$6,"判定不能",IF(X1073&gt;=判定条件!$C$7*W1073,"運転",IF(X1073&lt;=判定条件!$C$8*W1073,"停止","断続")))</f>
        <v>断続</v>
      </c>
      <c r="Z1073" s="30" t="n">
        <v>60</v>
      </c>
      <c r="AA1073" s="30" t="n">
        <v>60</v>
      </c>
      <c r="AB1073" s="30" t="str">
        <f aca="false">IF(Z1073&lt;判定条件!$C$6,"判定不能",IF(AA1073&gt;=判定条件!$C$7*Z1073,"運転",IF(AA1073&lt;=判定条件!$C$8*Z1073,"停止","断続")))</f>
        <v>運転</v>
      </c>
      <c r="AC1073" s="30" t="n">
        <v>60</v>
      </c>
      <c r="AD1073" s="30" t="n">
        <v>60</v>
      </c>
      <c r="AE1073" s="30" t="str">
        <f aca="false">IF(AC1073&lt;判定条件!$C$6,"判定不能",IF(AD1073&gt;=判定条件!$C$7*AC1073,"運転",IF(AD1073&lt;=判定条件!$C$8*AC1073,"停止","断続")))</f>
        <v>運転</v>
      </c>
      <c r="AF1073" s="30" t="n">
        <v>60</v>
      </c>
      <c r="AG1073" s="30" t="n">
        <v>0</v>
      </c>
      <c r="AH1073" s="30" t="str">
        <f aca="false">IF(OR(P1073="判定不能",G1073="判定不能"),"判定不能",IF(AG1073&gt;=判定条件!$C$9,"利用可",IF(AND(P1073="停止",G1073="停止"),"両方停止","運転がそろわない")))</f>
        <v>両方停止</v>
      </c>
      <c r="AI1073" s="30" t="n">
        <v>60</v>
      </c>
      <c r="AJ1073" s="30" t="n">
        <v>44</v>
      </c>
      <c r="AK1073" s="30" t="str">
        <f aca="false">IF(OR(S1073="判定不能",J1073="判定不能"),"判定不能",IF(AJ1073&gt;=判定条件!$C$9,"利用可",IF(AND(S1073="停止",J1073="停止"),"両方停止","運転がそろわない")))</f>
        <v>利用可</v>
      </c>
      <c r="AL1073" s="30" t="n">
        <v>60</v>
      </c>
      <c r="AM1073" s="30" t="n">
        <v>60</v>
      </c>
      <c r="AN1073" s="30" t="str">
        <f aca="false">IF(OR(V1073="判定不能",M1073="判定不能"),"判定不能",IF(AM1073&gt;=判定条件!$C$9,"利用可",IF(AND(V1073="停止",M1073="停止"),"両方停止","運転がそろわない")))</f>
        <v>利用可</v>
      </c>
      <c r="AO1073" s="30" t="n">
        <v>60</v>
      </c>
      <c r="AP1073" s="30" t="n">
        <v>0</v>
      </c>
      <c r="AQ1073" s="30" t="str">
        <f aca="false">IF(OR(Y1073="判定不能",G1073="判定不能"),"判定不能",IF(AP1073&gt;=判定条件!$C$9,"利用可",IF(AND(Y1073="停止",G1073="停止"),"両方停止","運転がそろわない")))</f>
        <v>運転がそろわない</v>
      </c>
      <c r="AR1073" s="30" t="n">
        <v>60</v>
      </c>
      <c r="AS1073" s="30" t="n">
        <v>49</v>
      </c>
      <c r="AT1073" s="30" t="str">
        <f aca="false">IF(OR(AB1073="判定不能",J1073="判定不能"),"判定不能",IF(AS1073&gt;=判定条件!$C$9,"利用可",IF(AND(AB1073="停止",J1073="停止"),"両方停止","運転がそろわない")))</f>
        <v>利用可</v>
      </c>
      <c r="AU1073" s="30" t="n">
        <v>60</v>
      </c>
      <c r="AV1073" s="30" t="n">
        <v>60</v>
      </c>
      <c r="AW1073" s="30" t="str">
        <f aca="false">IF(OR(AE1073="判定不能",M1073="判定不能"),"判定不能",IF(AV1073&gt;=判定条件!$C$9,"利用可",IF(AND(AE1073="停止",M1073="停止"),"両方停止","運転がそろわない")))</f>
        <v>利用可</v>
      </c>
      <c r="AX1073" s="30" t="str">
        <f aca="false">IF(AND(AH1073="利用可",AK1073="利用可",AN1073="利用可"),"利用可","不可")</f>
        <v>不可</v>
      </c>
      <c r="AY1073" s="30" t="str">
        <f aca="false">IF(AND(AQ1073="利用可",AT1073="利用可",AW1073="利用可"),"利用可","不可")</f>
        <v>不可</v>
      </c>
    </row>
    <row r="1074" customFormat="false" ht="15" hidden="false" customHeight="false" outlineLevel="0" collapsed="false">
      <c r="A1074" s="29" t="n">
        <v>46276</v>
      </c>
      <c r="B1074" s="30" t="n">
        <v>15</v>
      </c>
      <c r="C1074" s="31" t="s">
        <v>62</v>
      </c>
      <c r="D1074" s="31" t="s">
        <v>59</v>
      </c>
      <c r="E1074" s="30" t="n">
        <v>60</v>
      </c>
      <c r="F1074" s="30" t="n">
        <v>6</v>
      </c>
      <c r="G1074" s="30" t="str">
        <f aca="false">IF(E1074&lt;判定条件!$C$6,"判定不能",IF(F1074&gt;=判定条件!$C$7*E1074,"運転",IF(F1074&lt;=判定条件!$C$8*E1074,"停止","断続")))</f>
        <v>停止</v>
      </c>
      <c r="H1074" s="30" t="n">
        <v>60</v>
      </c>
      <c r="I1074" s="30" t="n">
        <v>5</v>
      </c>
      <c r="J1074" s="30" t="str">
        <f aca="false">IF(H1074&lt;判定条件!$C$6,"判定不能",IF(I1074&gt;=判定条件!$C$7*H1074,"運転",IF(I1074&lt;=判定条件!$C$8*H1074,"停止","断続")))</f>
        <v>停止</v>
      </c>
      <c r="K1074" s="30" t="n">
        <v>60</v>
      </c>
      <c r="L1074" s="30" t="n">
        <v>49</v>
      </c>
      <c r="M1074" s="30" t="str">
        <f aca="false">IF(K1074&lt;判定条件!$C$6,"判定不能",IF(L1074&gt;=判定条件!$C$7*K1074,"運転",IF(L1074&lt;=判定条件!$C$8*K1074,"停止","断続")))</f>
        <v>運転</v>
      </c>
      <c r="N1074" s="30" t="n">
        <v>60</v>
      </c>
      <c r="O1074" s="30" t="n">
        <v>19</v>
      </c>
      <c r="P1074" s="30" t="str">
        <f aca="false">IF(N1074&lt;判定条件!$C$6,"判定不能",IF(O1074&gt;=判定条件!$C$7*N1074,"運転",IF(O1074&lt;=判定条件!$C$8*N1074,"停止","断続")))</f>
        <v>断続</v>
      </c>
      <c r="Q1074" s="30" t="n">
        <v>60</v>
      </c>
      <c r="R1074" s="30" t="n">
        <v>55</v>
      </c>
      <c r="S1074" s="30" t="str">
        <f aca="false">IF(Q1074&lt;判定条件!$C$6,"判定不能",IF(R1074&gt;=判定条件!$C$7*Q1074,"運転",IF(R1074&lt;=判定条件!$C$8*Q1074,"停止","断続")))</f>
        <v>運転</v>
      </c>
      <c r="T1074" s="30" t="n">
        <v>60</v>
      </c>
      <c r="U1074" s="30" t="n">
        <v>52</v>
      </c>
      <c r="V1074" s="30" t="str">
        <f aca="false">IF(T1074&lt;判定条件!$C$6,"判定不能",IF(U1074&gt;=判定条件!$C$7*T1074,"運転",IF(U1074&lt;=判定条件!$C$8*T1074,"停止","断続")))</f>
        <v>運転</v>
      </c>
      <c r="W1074" s="30" t="n">
        <v>60</v>
      </c>
      <c r="X1074" s="30" t="n">
        <v>46</v>
      </c>
      <c r="Y1074" s="30" t="str">
        <f aca="false">IF(W1074&lt;判定条件!$C$6,"判定不能",IF(X1074&gt;=判定条件!$C$7*W1074,"運転",IF(X1074&lt;=判定条件!$C$8*W1074,"停止","断続")))</f>
        <v>断続</v>
      </c>
      <c r="Z1074" s="30" t="n">
        <v>60</v>
      </c>
      <c r="AA1074" s="30" t="n">
        <v>50</v>
      </c>
      <c r="AB1074" s="30" t="str">
        <f aca="false">IF(Z1074&lt;判定条件!$C$6,"判定不能",IF(AA1074&gt;=判定条件!$C$7*Z1074,"運転",IF(AA1074&lt;=判定条件!$C$8*Z1074,"停止","断続")))</f>
        <v>運転</v>
      </c>
      <c r="AC1074" s="30" t="n">
        <v>60</v>
      </c>
      <c r="AD1074" s="30" t="n">
        <v>60</v>
      </c>
      <c r="AE1074" s="30" t="str">
        <f aca="false">IF(AC1074&lt;判定条件!$C$6,"判定不能",IF(AD1074&gt;=判定条件!$C$7*AC1074,"運転",IF(AD1074&lt;=判定条件!$C$8*AC1074,"停止","断続")))</f>
        <v>運転</v>
      </c>
      <c r="AF1074" s="30" t="n">
        <v>60</v>
      </c>
      <c r="AG1074" s="30" t="n">
        <v>0</v>
      </c>
      <c r="AH1074" s="30" t="str">
        <f aca="false">IF(OR(P1074="判定不能",G1074="判定不能"),"判定不能",IF(AG1074&gt;=判定条件!$C$9,"利用可",IF(AND(P1074="停止",G1074="停止"),"両方停止","運転がそろわない")))</f>
        <v>運転がそろわない</v>
      </c>
      <c r="AI1074" s="30" t="n">
        <v>60</v>
      </c>
      <c r="AJ1074" s="30" t="n">
        <v>2</v>
      </c>
      <c r="AK1074" s="30" t="str">
        <f aca="false">IF(OR(S1074="判定不能",J1074="判定不能"),"判定不能",IF(AJ1074&gt;=判定条件!$C$9,"利用可",IF(AND(S1074="停止",J1074="停止"),"両方停止","運転がそろわない")))</f>
        <v>運転がそろわない</v>
      </c>
      <c r="AL1074" s="30" t="n">
        <v>60</v>
      </c>
      <c r="AM1074" s="30" t="n">
        <v>45</v>
      </c>
      <c r="AN1074" s="30" t="str">
        <f aca="false">IF(OR(V1074="判定不能",M1074="判定不能"),"判定不能",IF(AM1074&gt;=判定条件!$C$9,"利用可",IF(AND(V1074="停止",M1074="停止"),"両方停止","運転がそろわない")))</f>
        <v>利用可</v>
      </c>
      <c r="AO1074" s="30" t="n">
        <v>60</v>
      </c>
      <c r="AP1074" s="30" t="n">
        <v>0</v>
      </c>
      <c r="AQ1074" s="30" t="str">
        <f aca="false">IF(OR(Y1074="判定不能",G1074="判定不能"),"判定不能",IF(AP1074&gt;=判定条件!$C$9,"利用可",IF(AND(Y1074="停止",G1074="停止"),"両方停止","運転がそろわない")))</f>
        <v>運転がそろわない</v>
      </c>
      <c r="AR1074" s="30" t="n">
        <v>60</v>
      </c>
      <c r="AS1074" s="30" t="n">
        <v>5</v>
      </c>
      <c r="AT1074" s="30" t="str">
        <f aca="false">IF(OR(AB1074="判定不能",J1074="判定不能"),"判定不能",IF(AS1074&gt;=判定条件!$C$9,"利用可",IF(AND(AB1074="停止",J1074="停止"),"両方停止","運転がそろわない")))</f>
        <v>運転がそろわない</v>
      </c>
      <c r="AU1074" s="30" t="n">
        <v>60</v>
      </c>
      <c r="AV1074" s="30" t="n">
        <v>49</v>
      </c>
      <c r="AW1074" s="30" t="str">
        <f aca="false">IF(OR(AE1074="判定不能",M1074="判定不能"),"判定不能",IF(AV1074&gt;=判定条件!$C$9,"利用可",IF(AND(AE1074="停止",M1074="停止"),"両方停止","運転がそろわない")))</f>
        <v>利用可</v>
      </c>
      <c r="AX1074" s="30" t="str">
        <f aca="false">IF(AND(AH1074="利用可",AK1074="利用可",AN1074="利用可"),"利用可","不可")</f>
        <v>不可</v>
      </c>
      <c r="AY1074" s="30" t="str">
        <f aca="false">IF(AND(AQ1074="利用可",AT1074="利用可",AW1074="利用可"),"利用可","不可")</f>
        <v>不可</v>
      </c>
    </row>
    <row r="1075" customFormat="false" ht="15" hidden="false" customHeight="false" outlineLevel="0" collapsed="false">
      <c r="A1075" s="29" t="n">
        <v>46276</v>
      </c>
      <c r="B1075" s="30" t="n">
        <v>16</v>
      </c>
      <c r="C1075" s="31" t="s">
        <v>62</v>
      </c>
      <c r="D1075" s="31" t="s">
        <v>59</v>
      </c>
      <c r="E1075" s="30" t="n">
        <v>60</v>
      </c>
      <c r="F1075" s="30" t="n">
        <v>12</v>
      </c>
      <c r="G1075" s="30" t="str">
        <f aca="false">IF(E1075&lt;判定条件!$C$6,"判定不能",IF(F1075&gt;=判定条件!$C$7*E1075,"運転",IF(F1075&lt;=判定条件!$C$8*E1075,"停止","断続")))</f>
        <v>停止</v>
      </c>
      <c r="H1075" s="30" t="n">
        <v>60</v>
      </c>
      <c r="I1075" s="30" t="n">
        <v>40</v>
      </c>
      <c r="J1075" s="30" t="str">
        <f aca="false">IF(H1075&lt;判定条件!$C$6,"判定不能",IF(I1075&gt;=判定条件!$C$7*H1075,"運転",IF(I1075&lt;=判定条件!$C$8*H1075,"停止","断続")))</f>
        <v>断続</v>
      </c>
      <c r="K1075" s="30" t="n">
        <v>60</v>
      </c>
      <c r="L1075" s="30" t="n">
        <v>60</v>
      </c>
      <c r="M1075" s="30" t="str">
        <f aca="false">IF(K1075&lt;判定条件!$C$6,"判定不能",IF(L1075&gt;=判定条件!$C$7*K1075,"運転",IF(L1075&lt;=判定条件!$C$8*K1075,"停止","断続")))</f>
        <v>運転</v>
      </c>
      <c r="N1075" s="30" t="n">
        <v>60</v>
      </c>
      <c r="O1075" s="30" t="n">
        <v>27</v>
      </c>
      <c r="P1075" s="30" t="str">
        <f aca="false">IF(N1075&lt;判定条件!$C$6,"判定不能",IF(O1075&gt;=判定条件!$C$7*N1075,"運転",IF(O1075&lt;=判定条件!$C$8*N1075,"停止","断続")))</f>
        <v>断続</v>
      </c>
      <c r="Q1075" s="30" t="n">
        <v>60</v>
      </c>
      <c r="R1075" s="30" t="n">
        <v>17</v>
      </c>
      <c r="S1075" s="30" t="str">
        <f aca="false">IF(Q1075&lt;判定条件!$C$6,"判定不能",IF(R1075&gt;=判定条件!$C$7*Q1075,"運転",IF(R1075&lt;=判定条件!$C$8*Q1075,"停止","断続")))</f>
        <v>断続</v>
      </c>
      <c r="T1075" s="30" t="n">
        <v>60</v>
      </c>
      <c r="U1075" s="30" t="n">
        <v>60</v>
      </c>
      <c r="V1075" s="30" t="str">
        <f aca="false">IF(T1075&lt;判定条件!$C$6,"判定不能",IF(U1075&gt;=判定条件!$C$7*T1075,"運転",IF(U1075&lt;=判定条件!$C$8*T1075,"停止","断続")))</f>
        <v>運転</v>
      </c>
      <c r="W1075" s="30" t="n">
        <v>60</v>
      </c>
      <c r="X1075" s="30" t="n">
        <v>30</v>
      </c>
      <c r="Y1075" s="30" t="str">
        <f aca="false">IF(W1075&lt;判定条件!$C$6,"判定不能",IF(X1075&gt;=判定条件!$C$7*W1075,"運転",IF(X1075&lt;=判定条件!$C$8*W1075,"停止","断続")))</f>
        <v>断続</v>
      </c>
      <c r="Z1075" s="30" t="n">
        <v>60</v>
      </c>
      <c r="AA1075" s="30" t="n">
        <v>30</v>
      </c>
      <c r="AB1075" s="30" t="str">
        <f aca="false">IF(Z1075&lt;判定条件!$C$6,"判定不能",IF(AA1075&gt;=判定条件!$C$7*Z1075,"運転",IF(AA1075&lt;=判定条件!$C$8*Z1075,"停止","断続")))</f>
        <v>断続</v>
      </c>
      <c r="AC1075" s="30" t="n">
        <v>60</v>
      </c>
      <c r="AD1075" s="30" t="n">
        <v>60</v>
      </c>
      <c r="AE1075" s="30" t="str">
        <f aca="false">IF(AC1075&lt;判定条件!$C$6,"判定不能",IF(AD1075&gt;=判定条件!$C$7*AC1075,"運転",IF(AD1075&lt;=判定条件!$C$8*AC1075,"停止","断続")))</f>
        <v>運転</v>
      </c>
      <c r="AF1075" s="30" t="n">
        <v>60</v>
      </c>
      <c r="AG1075" s="30" t="n">
        <v>5</v>
      </c>
      <c r="AH1075" s="30" t="str">
        <f aca="false">IF(OR(P1075="判定不能",G1075="判定不能"),"判定不能",IF(AG1075&gt;=判定条件!$C$9,"利用可",IF(AND(P1075="停止",G1075="停止"),"両方停止","運転がそろわない")))</f>
        <v>運転がそろわない</v>
      </c>
      <c r="AI1075" s="30" t="n">
        <v>60</v>
      </c>
      <c r="AJ1075" s="30" t="n">
        <v>5</v>
      </c>
      <c r="AK1075" s="30" t="str">
        <f aca="false">IF(OR(S1075="判定不能",J1075="判定不能"),"判定不能",IF(AJ1075&gt;=判定条件!$C$9,"利用可",IF(AND(S1075="停止",J1075="停止"),"両方停止","運転がそろわない")))</f>
        <v>運転がそろわない</v>
      </c>
      <c r="AL1075" s="30" t="n">
        <v>60</v>
      </c>
      <c r="AM1075" s="30" t="n">
        <v>60</v>
      </c>
      <c r="AN1075" s="30" t="str">
        <f aca="false">IF(OR(V1075="判定不能",M1075="判定不能"),"判定不能",IF(AM1075&gt;=判定条件!$C$9,"利用可",IF(AND(V1075="停止",M1075="停止"),"両方停止","運転がそろわない")))</f>
        <v>利用可</v>
      </c>
      <c r="AO1075" s="30" t="n">
        <v>60</v>
      </c>
      <c r="AP1075" s="30" t="n">
        <v>10</v>
      </c>
      <c r="AQ1075" s="30" t="str">
        <f aca="false">IF(OR(Y1075="判定不能",G1075="判定不能"),"判定不能",IF(AP1075&gt;=判定条件!$C$9,"利用可",IF(AND(Y1075="停止",G1075="停止"),"両方停止","運転がそろわない")))</f>
        <v>運転がそろわない</v>
      </c>
      <c r="AR1075" s="30" t="n">
        <v>60</v>
      </c>
      <c r="AS1075" s="30" t="n">
        <v>19</v>
      </c>
      <c r="AT1075" s="30" t="str">
        <f aca="false">IF(OR(AB1075="判定不能",J1075="判定不能"),"判定不能",IF(AS1075&gt;=判定条件!$C$9,"利用可",IF(AND(AB1075="停止",J1075="停止"),"両方停止","運転がそろわない")))</f>
        <v>運転がそろわない</v>
      </c>
      <c r="AU1075" s="30" t="n">
        <v>60</v>
      </c>
      <c r="AV1075" s="30" t="n">
        <v>60</v>
      </c>
      <c r="AW1075" s="30" t="str">
        <f aca="false">IF(OR(AE1075="判定不能",M1075="判定不能"),"判定不能",IF(AV1075&gt;=判定条件!$C$9,"利用可",IF(AND(AE1075="停止",M1075="停止"),"両方停止","運転がそろわない")))</f>
        <v>利用可</v>
      </c>
      <c r="AX1075" s="30" t="str">
        <f aca="false">IF(AND(AH1075="利用可",AK1075="利用可",AN1075="利用可"),"利用可","不可")</f>
        <v>不可</v>
      </c>
      <c r="AY1075" s="30" t="str">
        <f aca="false">IF(AND(AQ1075="利用可",AT1075="利用可",AW1075="利用可"),"利用可","不可")</f>
        <v>不可</v>
      </c>
    </row>
    <row r="1076" customFormat="false" ht="15" hidden="false" customHeight="false" outlineLevel="0" collapsed="false">
      <c r="A1076" s="29" t="n">
        <v>46276</v>
      </c>
      <c r="B1076" s="30" t="n">
        <v>17</v>
      </c>
      <c r="C1076" s="31" t="s">
        <v>62</v>
      </c>
      <c r="D1076" s="31" t="s">
        <v>59</v>
      </c>
      <c r="E1076" s="30" t="n">
        <v>60</v>
      </c>
      <c r="F1076" s="30" t="n">
        <v>1</v>
      </c>
      <c r="G1076" s="30" t="str">
        <f aca="false">IF(E1076&lt;判定条件!$C$6,"判定不能",IF(F1076&gt;=判定条件!$C$7*E1076,"運転",IF(F1076&lt;=判定条件!$C$8*E1076,"停止","断続")))</f>
        <v>停止</v>
      </c>
      <c r="H1076" s="30" t="n">
        <v>60</v>
      </c>
      <c r="I1076" s="30" t="n">
        <v>26</v>
      </c>
      <c r="J1076" s="30" t="str">
        <f aca="false">IF(H1076&lt;判定条件!$C$6,"判定不能",IF(I1076&gt;=判定条件!$C$7*H1076,"運転",IF(I1076&lt;=判定条件!$C$8*H1076,"停止","断続")))</f>
        <v>断続</v>
      </c>
      <c r="K1076" s="30" t="n">
        <v>60</v>
      </c>
      <c r="L1076" s="30" t="n">
        <v>34</v>
      </c>
      <c r="M1076" s="30" t="str">
        <f aca="false">IF(K1076&lt;判定条件!$C$6,"判定不能",IF(L1076&gt;=判定条件!$C$7*K1076,"運転",IF(L1076&lt;=判定条件!$C$8*K1076,"停止","断続")))</f>
        <v>断続</v>
      </c>
      <c r="N1076" s="30" t="n">
        <v>60</v>
      </c>
      <c r="O1076" s="30" t="n">
        <v>1</v>
      </c>
      <c r="P1076" s="30" t="str">
        <f aca="false">IF(N1076&lt;判定条件!$C$6,"判定不能",IF(O1076&gt;=判定条件!$C$7*N1076,"運転",IF(O1076&lt;=判定条件!$C$8*N1076,"停止","断続")))</f>
        <v>停止</v>
      </c>
      <c r="Q1076" s="30" t="n">
        <v>60</v>
      </c>
      <c r="R1076" s="30" t="n">
        <v>37</v>
      </c>
      <c r="S1076" s="30" t="str">
        <f aca="false">IF(Q1076&lt;判定条件!$C$6,"判定不能",IF(R1076&gt;=判定条件!$C$7*Q1076,"運転",IF(R1076&lt;=判定条件!$C$8*Q1076,"停止","断続")))</f>
        <v>断続</v>
      </c>
      <c r="T1076" s="30" t="n">
        <v>60</v>
      </c>
      <c r="U1076" s="30" t="n">
        <v>59</v>
      </c>
      <c r="V1076" s="30" t="str">
        <f aca="false">IF(T1076&lt;判定条件!$C$6,"判定不能",IF(U1076&gt;=判定条件!$C$7*T1076,"運転",IF(U1076&lt;=判定条件!$C$8*T1076,"停止","断続")))</f>
        <v>運転</v>
      </c>
      <c r="W1076" s="30" t="n">
        <v>60</v>
      </c>
      <c r="X1076" s="30" t="n">
        <v>25</v>
      </c>
      <c r="Y1076" s="30" t="str">
        <f aca="false">IF(W1076&lt;判定条件!$C$6,"判定不能",IF(X1076&gt;=判定条件!$C$7*W1076,"運転",IF(X1076&lt;=判定条件!$C$8*W1076,"停止","断続")))</f>
        <v>断続</v>
      </c>
      <c r="Z1076" s="30" t="n">
        <v>60</v>
      </c>
      <c r="AA1076" s="30" t="n">
        <v>22</v>
      </c>
      <c r="AB1076" s="30" t="str">
        <f aca="false">IF(Z1076&lt;判定条件!$C$6,"判定不能",IF(AA1076&gt;=判定条件!$C$7*Z1076,"運転",IF(AA1076&lt;=判定条件!$C$8*Z1076,"停止","断続")))</f>
        <v>断続</v>
      </c>
      <c r="AC1076" s="30" t="n">
        <v>60</v>
      </c>
      <c r="AD1076" s="30" t="n">
        <v>60</v>
      </c>
      <c r="AE1076" s="30" t="str">
        <f aca="false">IF(AC1076&lt;判定条件!$C$6,"判定不能",IF(AD1076&gt;=判定条件!$C$7*AC1076,"運転",IF(AD1076&lt;=判定条件!$C$8*AC1076,"停止","断続")))</f>
        <v>運転</v>
      </c>
      <c r="AF1076" s="30" t="n">
        <v>60</v>
      </c>
      <c r="AG1076" s="30" t="n">
        <v>1</v>
      </c>
      <c r="AH1076" s="30" t="str">
        <f aca="false">IF(OR(P1076="判定不能",G1076="判定不能"),"判定不能",IF(AG1076&gt;=判定条件!$C$9,"利用可",IF(AND(P1076="停止",G1076="停止"),"両方停止","運転がそろわない")))</f>
        <v>両方停止</v>
      </c>
      <c r="AI1076" s="30" t="n">
        <v>60</v>
      </c>
      <c r="AJ1076" s="30" t="n">
        <v>14</v>
      </c>
      <c r="AK1076" s="30" t="str">
        <f aca="false">IF(OR(S1076="判定不能",J1076="判定不能"),"判定不能",IF(AJ1076&gt;=判定条件!$C$9,"利用可",IF(AND(S1076="停止",J1076="停止"),"両方停止","運転がそろわない")))</f>
        <v>運転がそろわない</v>
      </c>
      <c r="AL1076" s="30" t="n">
        <v>60</v>
      </c>
      <c r="AM1076" s="30" t="n">
        <v>34</v>
      </c>
      <c r="AN1076" s="30" t="str">
        <f aca="false">IF(OR(V1076="判定不能",M1076="判定不能"),"判定不能",IF(AM1076&gt;=判定条件!$C$9,"利用可",IF(AND(V1076="停止",M1076="停止"),"両方停止","運転がそろわない")))</f>
        <v>利用可</v>
      </c>
      <c r="AO1076" s="30" t="n">
        <v>60</v>
      </c>
      <c r="AP1076" s="30" t="n">
        <v>0</v>
      </c>
      <c r="AQ1076" s="30" t="str">
        <f aca="false">IF(OR(Y1076="判定不能",G1076="判定不能"),"判定不能",IF(AP1076&gt;=判定条件!$C$9,"利用可",IF(AND(Y1076="停止",G1076="停止"),"両方停止","運転がそろわない")))</f>
        <v>運転がそろわない</v>
      </c>
      <c r="AR1076" s="30" t="n">
        <v>60</v>
      </c>
      <c r="AS1076" s="30" t="n">
        <v>5</v>
      </c>
      <c r="AT1076" s="30" t="str">
        <f aca="false">IF(OR(AB1076="判定不能",J1076="判定不能"),"判定不能",IF(AS1076&gt;=判定条件!$C$9,"利用可",IF(AND(AB1076="停止",J1076="停止"),"両方停止","運転がそろわない")))</f>
        <v>運転がそろわない</v>
      </c>
      <c r="AU1076" s="30" t="n">
        <v>60</v>
      </c>
      <c r="AV1076" s="30" t="n">
        <v>34</v>
      </c>
      <c r="AW1076" s="30" t="str">
        <f aca="false">IF(OR(AE1076="判定不能",M1076="判定不能"),"判定不能",IF(AV1076&gt;=判定条件!$C$9,"利用可",IF(AND(AE1076="停止",M1076="停止"),"両方停止","運転がそろわない")))</f>
        <v>利用可</v>
      </c>
      <c r="AX1076" s="30" t="str">
        <f aca="false">IF(AND(AH1076="利用可",AK1076="利用可",AN1076="利用可"),"利用可","不可")</f>
        <v>不可</v>
      </c>
      <c r="AY1076" s="30" t="str">
        <f aca="false">IF(AND(AQ1076="利用可",AT1076="利用可",AW1076="利用可"),"利用可","不可")</f>
        <v>不可</v>
      </c>
    </row>
    <row r="1077" customFormat="false" ht="15" hidden="false" customHeight="false" outlineLevel="0" collapsed="false">
      <c r="A1077" s="29" t="n">
        <v>46276</v>
      </c>
      <c r="B1077" s="30" t="n">
        <v>18</v>
      </c>
      <c r="C1077" s="31" t="s">
        <v>62</v>
      </c>
      <c r="D1077" s="31" t="s">
        <v>59</v>
      </c>
      <c r="E1077" s="30" t="n">
        <v>60</v>
      </c>
      <c r="F1077" s="30" t="n">
        <v>2</v>
      </c>
      <c r="G1077" s="30" t="str">
        <f aca="false">IF(E1077&lt;判定条件!$C$6,"判定不能",IF(F1077&gt;=判定条件!$C$7*E1077,"運転",IF(F1077&lt;=判定条件!$C$8*E1077,"停止","断続")))</f>
        <v>停止</v>
      </c>
      <c r="H1077" s="30" t="n">
        <v>60</v>
      </c>
      <c r="I1077" s="30" t="n">
        <v>43</v>
      </c>
      <c r="J1077" s="30" t="str">
        <f aca="false">IF(H1077&lt;判定条件!$C$6,"判定不能",IF(I1077&gt;=判定条件!$C$7*H1077,"運転",IF(I1077&lt;=判定条件!$C$8*H1077,"停止","断続")))</f>
        <v>断続</v>
      </c>
      <c r="K1077" s="30" t="n">
        <v>60</v>
      </c>
      <c r="L1077" s="30" t="n">
        <v>35</v>
      </c>
      <c r="M1077" s="30" t="str">
        <f aca="false">IF(K1077&lt;判定条件!$C$6,"判定不能",IF(L1077&gt;=判定条件!$C$7*K1077,"運転",IF(L1077&lt;=判定条件!$C$8*K1077,"停止","断続")))</f>
        <v>断続</v>
      </c>
      <c r="N1077" s="30" t="n">
        <v>60</v>
      </c>
      <c r="O1077" s="30" t="n">
        <v>17</v>
      </c>
      <c r="P1077" s="30" t="str">
        <f aca="false">IF(N1077&lt;判定条件!$C$6,"判定不能",IF(O1077&gt;=判定条件!$C$7*N1077,"運転",IF(O1077&lt;=判定条件!$C$8*N1077,"停止","断続")))</f>
        <v>断続</v>
      </c>
      <c r="Q1077" s="30" t="n">
        <v>60</v>
      </c>
      <c r="R1077" s="30" t="n">
        <v>5</v>
      </c>
      <c r="S1077" s="30" t="str">
        <f aca="false">IF(Q1077&lt;判定条件!$C$6,"判定不能",IF(R1077&gt;=判定条件!$C$7*Q1077,"運転",IF(R1077&lt;=判定条件!$C$8*Q1077,"停止","断続")))</f>
        <v>停止</v>
      </c>
      <c r="T1077" s="30" t="n">
        <v>60</v>
      </c>
      <c r="U1077" s="30" t="n">
        <v>38</v>
      </c>
      <c r="V1077" s="30" t="str">
        <f aca="false">IF(T1077&lt;判定条件!$C$6,"判定不能",IF(U1077&gt;=判定条件!$C$7*T1077,"運転",IF(U1077&lt;=判定条件!$C$8*T1077,"停止","断続")))</f>
        <v>断続</v>
      </c>
      <c r="W1077" s="30" t="n">
        <v>60</v>
      </c>
      <c r="X1077" s="30" t="n">
        <v>47</v>
      </c>
      <c r="Y1077" s="30" t="str">
        <f aca="false">IF(W1077&lt;判定条件!$C$6,"判定不能",IF(X1077&gt;=判定条件!$C$7*W1077,"運転",IF(X1077&lt;=判定条件!$C$8*W1077,"停止","断続")))</f>
        <v>断続</v>
      </c>
      <c r="Z1077" s="30" t="n">
        <v>60</v>
      </c>
      <c r="AA1077" s="30" t="n">
        <v>4</v>
      </c>
      <c r="AB1077" s="30" t="str">
        <f aca="false">IF(Z1077&lt;判定条件!$C$6,"判定不能",IF(AA1077&gt;=判定条件!$C$7*Z1077,"運転",IF(AA1077&lt;=判定条件!$C$8*Z1077,"停止","断続")))</f>
        <v>停止</v>
      </c>
      <c r="AC1077" s="30" t="n">
        <v>60</v>
      </c>
      <c r="AD1077" s="30" t="n">
        <v>60</v>
      </c>
      <c r="AE1077" s="30" t="str">
        <f aca="false">IF(AC1077&lt;判定条件!$C$6,"判定不能",IF(AD1077&gt;=判定条件!$C$7*AC1077,"運転",IF(AD1077&lt;=判定条件!$C$8*AC1077,"停止","断続")))</f>
        <v>運転</v>
      </c>
      <c r="AF1077" s="30" t="n">
        <v>60</v>
      </c>
      <c r="AG1077" s="30" t="n">
        <v>2</v>
      </c>
      <c r="AH1077" s="30" t="str">
        <f aca="false">IF(OR(P1077="判定不能",G1077="判定不能"),"判定不能",IF(AG1077&gt;=判定条件!$C$9,"利用可",IF(AND(P1077="停止",G1077="停止"),"両方停止","運転がそろわない")))</f>
        <v>運転がそろわない</v>
      </c>
      <c r="AI1077" s="30" t="n">
        <v>60</v>
      </c>
      <c r="AJ1077" s="30" t="n">
        <v>5</v>
      </c>
      <c r="AK1077" s="30" t="str">
        <f aca="false">IF(OR(S1077="判定不能",J1077="判定不能"),"判定不能",IF(AJ1077&gt;=判定条件!$C$9,"利用可",IF(AND(S1077="停止",J1077="停止"),"両方停止","運転がそろわない")))</f>
        <v>運転がそろわない</v>
      </c>
      <c r="AL1077" s="30" t="n">
        <v>60</v>
      </c>
      <c r="AM1077" s="30" t="n">
        <v>22</v>
      </c>
      <c r="AN1077" s="30" t="str">
        <f aca="false">IF(OR(V1077="判定不能",M1077="判定不能"),"判定不能",IF(AM1077&gt;=判定条件!$C$9,"利用可",IF(AND(V1077="停止",M1077="停止"),"両方停止","運転がそろわない")))</f>
        <v>運転がそろわない</v>
      </c>
      <c r="AO1077" s="30" t="n">
        <v>60</v>
      </c>
      <c r="AP1077" s="30" t="n">
        <v>0</v>
      </c>
      <c r="AQ1077" s="30" t="str">
        <f aca="false">IF(OR(Y1077="判定不能",G1077="判定不能"),"判定不能",IF(AP1077&gt;=判定条件!$C$9,"利用可",IF(AND(Y1077="停止",G1077="停止"),"両方停止","運転がそろわない")))</f>
        <v>運転がそろわない</v>
      </c>
      <c r="AR1077" s="30" t="n">
        <v>60</v>
      </c>
      <c r="AS1077" s="30" t="n">
        <v>2</v>
      </c>
      <c r="AT1077" s="30" t="str">
        <f aca="false">IF(OR(AB1077="判定不能",J1077="判定不能"),"判定不能",IF(AS1077&gt;=判定条件!$C$9,"利用可",IF(AND(AB1077="停止",J1077="停止"),"両方停止","運転がそろわない")))</f>
        <v>運転がそろわない</v>
      </c>
      <c r="AU1077" s="30" t="n">
        <v>60</v>
      </c>
      <c r="AV1077" s="30" t="n">
        <v>35</v>
      </c>
      <c r="AW1077" s="30" t="str">
        <f aca="false">IF(OR(AE1077="判定不能",M1077="判定不能"),"判定不能",IF(AV1077&gt;=判定条件!$C$9,"利用可",IF(AND(AE1077="停止",M1077="停止"),"両方停止","運転がそろわない")))</f>
        <v>利用可</v>
      </c>
      <c r="AX1077" s="30" t="str">
        <f aca="false">IF(AND(AH1077="利用可",AK1077="利用可",AN1077="利用可"),"利用可","不可")</f>
        <v>不可</v>
      </c>
      <c r="AY1077" s="30" t="str">
        <f aca="false">IF(AND(AQ1077="利用可",AT1077="利用可",AW1077="利用可"),"利用可","不可")</f>
        <v>不可</v>
      </c>
    </row>
    <row r="1078" customFormat="false" ht="15" hidden="false" customHeight="false" outlineLevel="0" collapsed="false">
      <c r="A1078" s="29" t="n">
        <v>46276</v>
      </c>
      <c r="B1078" s="30" t="n">
        <v>19</v>
      </c>
      <c r="C1078" s="31" t="s">
        <v>62</v>
      </c>
      <c r="D1078" s="31" t="s">
        <v>59</v>
      </c>
      <c r="E1078" s="30" t="n">
        <v>60</v>
      </c>
      <c r="F1078" s="30" t="n">
        <v>12</v>
      </c>
      <c r="G1078" s="30" t="str">
        <f aca="false">IF(E1078&lt;判定条件!$C$6,"判定不能",IF(F1078&gt;=判定条件!$C$7*E1078,"運転",IF(F1078&lt;=判定条件!$C$8*E1078,"停止","断続")))</f>
        <v>停止</v>
      </c>
      <c r="H1078" s="30" t="n">
        <v>60</v>
      </c>
      <c r="I1078" s="30" t="n">
        <v>51</v>
      </c>
      <c r="J1078" s="30" t="str">
        <f aca="false">IF(H1078&lt;判定条件!$C$6,"判定不能",IF(I1078&gt;=判定条件!$C$7*H1078,"運転",IF(I1078&lt;=判定条件!$C$8*H1078,"停止","断続")))</f>
        <v>運転</v>
      </c>
      <c r="K1078" s="30" t="n">
        <v>60</v>
      </c>
      <c r="L1078" s="30" t="n">
        <v>0</v>
      </c>
      <c r="M1078" s="30" t="str">
        <f aca="false">IF(K1078&lt;判定条件!$C$6,"判定不能",IF(L1078&gt;=判定条件!$C$7*K1078,"運転",IF(L1078&lt;=判定条件!$C$8*K1078,"停止","断続")))</f>
        <v>停止</v>
      </c>
      <c r="N1078" s="30" t="n">
        <v>60</v>
      </c>
      <c r="O1078" s="30" t="n">
        <v>0</v>
      </c>
      <c r="P1078" s="30" t="str">
        <f aca="false">IF(N1078&lt;判定条件!$C$6,"判定不能",IF(O1078&gt;=判定条件!$C$7*N1078,"運転",IF(O1078&lt;=判定条件!$C$8*N1078,"停止","断続")))</f>
        <v>停止</v>
      </c>
      <c r="Q1078" s="30" t="n">
        <v>60</v>
      </c>
      <c r="R1078" s="30" t="n">
        <v>10</v>
      </c>
      <c r="S1078" s="30" t="str">
        <f aca="false">IF(Q1078&lt;判定条件!$C$6,"判定不能",IF(R1078&gt;=判定条件!$C$7*Q1078,"運転",IF(R1078&lt;=判定条件!$C$8*Q1078,"停止","断続")))</f>
        <v>停止</v>
      </c>
      <c r="T1078" s="30" t="n">
        <v>60</v>
      </c>
      <c r="U1078" s="30" t="n">
        <v>14</v>
      </c>
      <c r="V1078" s="30" t="str">
        <f aca="false">IF(T1078&lt;判定条件!$C$6,"判定不能",IF(U1078&gt;=判定条件!$C$7*T1078,"運転",IF(U1078&lt;=判定条件!$C$8*T1078,"停止","断続")))</f>
        <v>断続</v>
      </c>
      <c r="W1078" s="30" t="n">
        <v>60</v>
      </c>
      <c r="X1078" s="30" t="n">
        <v>0</v>
      </c>
      <c r="Y1078" s="30" t="str">
        <f aca="false">IF(W1078&lt;判定条件!$C$6,"判定不能",IF(X1078&gt;=判定条件!$C$7*W1078,"運転",IF(X1078&lt;=判定条件!$C$8*W1078,"停止","断続")))</f>
        <v>停止</v>
      </c>
      <c r="Z1078" s="30" t="n">
        <v>60</v>
      </c>
      <c r="AA1078" s="30" t="n">
        <v>0</v>
      </c>
      <c r="AB1078" s="30" t="str">
        <f aca="false">IF(Z1078&lt;判定条件!$C$6,"判定不能",IF(AA1078&gt;=判定条件!$C$7*Z1078,"運転",IF(AA1078&lt;=判定条件!$C$8*Z1078,"停止","断続")))</f>
        <v>停止</v>
      </c>
      <c r="AC1078" s="30" t="n">
        <v>60</v>
      </c>
      <c r="AD1078" s="30" t="n">
        <v>17</v>
      </c>
      <c r="AE1078" s="30" t="str">
        <f aca="false">IF(AC1078&lt;判定条件!$C$6,"判定不能",IF(AD1078&gt;=判定条件!$C$7*AC1078,"運転",IF(AD1078&lt;=判定条件!$C$8*AC1078,"停止","断続")))</f>
        <v>断続</v>
      </c>
      <c r="AF1078" s="30" t="n">
        <v>60</v>
      </c>
      <c r="AG1078" s="30" t="n">
        <v>0</v>
      </c>
      <c r="AH1078" s="30" t="str">
        <f aca="false">IF(OR(P1078="判定不能",G1078="判定不能"),"判定不能",IF(AG1078&gt;=判定条件!$C$9,"利用可",IF(AND(P1078="停止",G1078="停止"),"両方停止","運転がそろわない")))</f>
        <v>両方停止</v>
      </c>
      <c r="AI1078" s="30" t="n">
        <v>60</v>
      </c>
      <c r="AJ1078" s="30" t="n">
        <v>10</v>
      </c>
      <c r="AK1078" s="30" t="str">
        <f aca="false">IF(OR(S1078="判定不能",J1078="判定不能"),"判定不能",IF(AJ1078&gt;=判定条件!$C$9,"利用可",IF(AND(S1078="停止",J1078="停止"),"両方停止","運転がそろわない")))</f>
        <v>運転がそろわない</v>
      </c>
      <c r="AL1078" s="30" t="n">
        <v>60</v>
      </c>
      <c r="AM1078" s="30" t="n">
        <v>0</v>
      </c>
      <c r="AN1078" s="30" t="str">
        <f aca="false">IF(OR(V1078="判定不能",M1078="判定不能"),"判定不能",IF(AM1078&gt;=判定条件!$C$9,"利用可",IF(AND(V1078="停止",M1078="停止"),"両方停止","運転がそろわない")))</f>
        <v>運転がそろわない</v>
      </c>
      <c r="AO1078" s="30" t="n">
        <v>60</v>
      </c>
      <c r="AP1078" s="30" t="n">
        <v>0</v>
      </c>
      <c r="AQ1078" s="30" t="str">
        <f aca="false">IF(OR(Y1078="判定不能",G1078="判定不能"),"判定不能",IF(AP1078&gt;=判定条件!$C$9,"利用可",IF(AND(Y1078="停止",G1078="停止"),"両方停止","運転がそろわない")))</f>
        <v>両方停止</v>
      </c>
      <c r="AR1078" s="30" t="n">
        <v>60</v>
      </c>
      <c r="AS1078" s="30" t="n">
        <v>0</v>
      </c>
      <c r="AT1078" s="30" t="str">
        <f aca="false">IF(OR(AB1078="判定不能",J1078="判定不能"),"判定不能",IF(AS1078&gt;=判定条件!$C$9,"利用可",IF(AND(AB1078="停止",J1078="停止"),"両方停止","運転がそろわない")))</f>
        <v>運転がそろわない</v>
      </c>
      <c r="AU1078" s="30" t="n">
        <v>60</v>
      </c>
      <c r="AV1078" s="30" t="n">
        <v>0</v>
      </c>
      <c r="AW1078" s="30" t="str">
        <f aca="false">IF(OR(AE1078="判定不能",M1078="判定不能"),"判定不能",IF(AV1078&gt;=判定条件!$C$9,"利用可",IF(AND(AE1078="停止",M1078="停止"),"両方停止","運転がそろわない")))</f>
        <v>運転がそろわない</v>
      </c>
      <c r="AX1078" s="30" t="str">
        <f aca="false">IF(AND(AH1078="利用可",AK1078="利用可",AN1078="利用可"),"利用可","不可")</f>
        <v>不可</v>
      </c>
      <c r="AY1078" s="30" t="str">
        <f aca="false">IF(AND(AQ1078="利用可",AT1078="利用可",AW1078="利用可"),"利用可","不可")</f>
        <v>不可</v>
      </c>
    </row>
    <row r="1079" customFormat="false" ht="15" hidden="false" customHeight="false" outlineLevel="0" collapsed="false">
      <c r="A1079" s="29" t="n">
        <v>46276</v>
      </c>
      <c r="B1079" s="30" t="n">
        <v>20</v>
      </c>
      <c r="C1079" s="31" t="s">
        <v>62</v>
      </c>
      <c r="D1079" s="31" t="s">
        <v>59</v>
      </c>
      <c r="E1079" s="30" t="n">
        <v>60</v>
      </c>
      <c r="F1079" s="30" t="n">
        <v>5</v>
      </c>
      <c r="G1079" s="30" t="str">
        <f aca="false">IF(E1079&lt;判定条件!$C$6,"判定不能",IF(F1079&gt;=判定条件!$C$7*E1079,"運転",IF(F1079&lt;=判定条件!$C$8*E1079,"停止","断続")))</f>
        <v>停止</v>
      </c>
      <c r="H1079" s="30" t="n">
        <v>60</v>
      </c>
      <c r="I1079" s="30" t="n">
        <v>9</v>
      </c>
      <c r="J1079" s="30" t="str">
        <f aca="false">IF(H1079&lt;判定条件!$C$6,"判定不能",IF(I1079&gt;=判定条件!$C$7*H1079,"運転",IF(I1079&lt;=判定条件!$C$8*H1079,"停止","断続")))</f>
        <v>停止</v>
      </c>
      <c r="K1079" s="30" t="n">
        <v>60</v>
      </c>
      <c r="L1079" s="30" t="n">
        <v>9</v>
      </c>
      <c r="M1079" s="30" t="str">
        <f aca="false">IF(K1079&lt;判定条件!$C$6,"判定不能",IF(L1079&gt;=判定条件!$C$7*K1079,"運転",IF(L1079&lt;=判定条件!$C$8*K1079,"停止","断続")))</f>
        <v>停止</v>
      </c>
      <c r="N1079" s="30" t="n">
        <v>60</v>
      </c>
      <c r="O1079" s="30" t="n">
        <v>0</v>
      </c>
      <c r="P1079" s="30" t="str">
        <f aca="false">IF(N1079&lt;判定条件!$C$6,"判定不能",IF(O1079&gt;=判定条件!$C$7*N1079,"運転",IF(O1079&lt;=判定条件!$C$8*N1079,"停止","断続")))</f>
        <v>停止</v>
      </c>
      <c r="Q1079" s="30" t="n">
        <v>60</v>
      </c>
      <c r="R1079" s="30" t="n">
        <v>9</v>
      </c>
      <c r="S1079" s="30" t="str">
        <f aca="false">IF(Q1079&lt;判定条件!$C$6,"判定不能",IF(R1079&gt;=判定条件!$C$7*Q1079,"運転",IF(R1079&lt;=判定条件!$C$8*Q1079,"停止","断続")))</f>
        <v>停止</v>
      </c>
      <c r="T1079" s="30" t="n">
        <v>60</v>
      </c>
      <c r="U1079" s="30" t="n">
        <v>0</v>
      </c>
      <c r="V1079" s="30" t="str">
        <f aca="false">IF(T1079&lt;判定条件!$C$6,"判定不能",IF(U1079&gt;=判定条件!$C$7*T1079,"運転",IF(U1079&lt;=判定条件!$C$8*T1079,"停止","断続")))</f>
        <v>停止</v>
      </c>
      <c r="W1079" s="30" t="n">
        <v>60</v>
      </c>
      <c r="X1079" s="30" t="n">
        <v>0</v>
      </c>
      <c r="Y1079" s="30" t="str">
        <f aca="false">IF(W1079&lt;判定条件!$C$6,"判定不能",IF(X1079&gt;=判定条件!$C$7*W1079,"運転",IF(X1079&lt;=判定条件!$C$8*W1079,"停止","断続")))</f>
        <v>停止</v>
      </c>
      <c r="Z1079" s="30" t="n">
        <v>60</v>
      </c>
      <c r="AA1079" s="30" t="n">
        <v>0</v>
      </c>
      <c r="AB1079" s="30" t="str">
        <f aca="false">IF(Z1079&lt;判定条件!$C$6,"判定不能",IF(AA1079&gt;=判定条件!$C$7*Z1079,"運転",IF(AA1079&lt;=判定条件!$C$8*Z1079,"停止","断続")))</f>
        <v>停止</v>
      </c>
      <c r="AC1079" s="30" t="n">
        <v>60</v>
      </c>
      <c r="AD1079" s="30" t="n">
        <v>0</v>
      </c>
      <c r="AE1079" s="30" t="str">
        <f aca="false">IF(AC1079&lt;判定条件!$C$6,"判定不能",IF(AD1079&gt;=判定条件!$C$7*AC1079,"運転",IF(AD1079&lt;=判定条件!$C$8*AC1079,"停止","断続")))</f>
        <v>停止</v>
      </c>
      <c r="AF1079" s="30" t="n">
        <v>60</v>
      </c>
      <c r="AG1079" s="30" t="n">
        <v>0</v>
      </c>
      <c r="AH1079" s="30" t="str">
        <f aca="false">IF(OR(P1079="判定不能",G1079="判定不能"),"判定不能",IF(AG1079&gt;=判定条件!$C$9,"利用可",IF(AND(P1079="停止",G1079="停止"),"両方停止","運転がそろわない")))</f>
        <v>両方停止</v>
      </c>
      <c r="AI1079" s="30" t="n">
        <v>60</v>
      </c>
      <c r="AJ1079" s="30" t="n">
        <v>0</v>
      </c>
      <c r="AK1079" s="30" t="str">
        <f aca="false">IF(OR(S1079="判定不能",J1079="判定不能"),"判定不能",IF(AJ1079&gt;=判定条件!$C$9,"利用可",IF(AND(S1079="停止",J1079="停止"),"両方停止","運転がそろわない")))</f>
        <v>両方停止</v>
      </c>
      <c r="AL1079" s="30" t="n">
        <v>60</v>
      </c>
      <c r="AM1079" s="30" t="n">
        <v>0</v>
      </c>
      <c r="AN1079" s="30" t="str">
        <f aca="false">IF(OR(V1079="判定不能",M1079="判定不能"),"判定不能",IF(AM1079&gt;=判定条件!$C$9,"利用可",IF(AND(V1079="停止",M1079="停止"),"両方停止","運転がそろわない")))</f>
        <v>両方停止</v>
      </c>
      <c r="AO1079" s="30" t="n">
        <v>60</v>
      </c>
      <c r="AP1079" s="30" t="n">
        <v>0</v>
      </c>
      <c r="AQ1079" s="30" t="str">
        <f aca="false">IF(OR(Y1079="判定不能",G1079="判定不能"),"判定不能",IF(AP1079&gt;=判定条件!$C$9,"利用可",IF(AND(Y1079="停止",G1079="停止"),"両方停止","運転がそろわない")))</f>
        <v>両方停止</v>
      </c>
      <c r="AR1079" s="30" t="n">
        <v>60</v>
      </c>
      <c r="AS1079" s="30" t="n">
        <v>0</v>
      </c>
      <c r="AT1079" s="30" t="str">
        <f aca="false">IF(OR(AB1079="判定不能",J1079="判定不能"),"判定不能",IF(AS1079&gt;=判定条件!$C$9,"利用可",IF(AND(AB1079="停止",J1079="停止"),"両方停止","運転がそろわない")))</f>
        <v>両方停止</v>
      </c>
      <c r="AU1079" s="30" t="n">
        <v>60</v>
      </c>
      <c r="AV1079" s="30" t="n">
        <v>0</v>
      </c>
      <c r="AW1079" s="30" t="str">
        <f aca="false">IF(OR(AE1079="判定不能",M1079="判定不能"),"判定不能",IF(AV1079&gt;=判定条件!$C$9,"利用可",IF(AND(AE1079="停止",M1079="停止"),"両方停止","運転がそろわない")))</f>
        <v>両方停止</v>
      </c>
      <c r="AX1079" s="30" t="str">
        <f aca="false">IF(AND(AH1079="利用可",AK1079="利用可",AN1079="利用可"),"利用可","不可")</f>
        <v>不可</v>
      </c>
      <c r="AY1079" s="30" t="str">
        <f aca="false">IF(AND(AQ1079="利用可",AT1079="利用可",AW1079="利用可"),"利用可","不可")</f>
        <v>不可</v>
      </c>
    </row>
    <row r="1080" customFormat="false" ht="15" hidden="false" customHeight="false" outlineLevel="0" collapsed="false">
      <c r="A1080" s="29" t="n">
        <v>46276</v>
      </c>
      <c r="B1080" s="30" t="n">
        <v>21</v>
      </c>
      <c r="C1080" s="31" t="s">
        <v>62</v>
      </c>
      <c r="D1080" s="31" t="s">
        <v>59</v>
      </c>
      <c r="E1080" s="30" t="n">
        <v>60</v>
      </c>
      <c r="F1080" s="30" t="n">
        <v>0</v>
      </c>
      <c r="G1080" s="30" t="str">
        <f aca="false">IF(E1080&lt;判定条件!$C$6,"判定不能",IF(F1080&gt;=判定条件!$C$7*E1080,"運転",IF(F1080&lt;=判定条件!$C$8*E1080,"停止","断続")))</f>
        <v>停止</v>
      </c>
      <c r="H1080" s="30" t="n">
        <v>60</v>
      </c>
      <c r="I1080" s="30" t="n">
        <v>0</v>
      </c>
      <c r="J1080" s="30" t="str">
        <f aca="false">IF(H1080&lt;判定条件!$C$6,"判定不能",IF(I1080&gt;=判定条件!$C$7*H1080,"運転",IF(I1080&lt;=判定条件!$C$8*H1080,"停止","断続")))</f>
        <v>停止</v>
      </c>
      <c r="K1080" s="30" t="n">
        <v>60</v>
      </c>
      <c r="L1080" s="30" t="n">
        <v>0</v>
      </c>
      <c r="M1080" s="30" t="str">
        <f aca="false">IF(K1080&lt;判定条件!$C$6,"判定不能",IF(L1080&gt;=判定条件!$C$7*K1080,"運転",IF(L1080&lt;=判定条件!$C$8*K1080,"停止","断続")))</f>
        <v>停止</v>
      </c>
      <c r="N1080" s="30" t="n">
        <v>60</v>
      </c>
      <c r="O1080" s="30" t="n">
        <v>0</v>
      </c>
      <c r="P1080" s="30" t="str">
        <f aca="false">IF(N1080&lt;判定条件!$C$6,"判定不能",IF(O1080&gt;=判定条件!$C$7*N1080,"運転",IF(O1080&lt;=判定条件!$C$8*N1080,"停止","断続")))</f>
        <v>停止</v>
      </c>
      <c r="Q1080" s="30" t="n">
        <v>60</v>
      </c>
      <c r="R1080" s="30" t="n">
        <v>18</v>
      </c>
      <c r="S1080" s="30" t="str">
        <f aca="false">IF(Q1080&lt;判定条件!$C$6,"判定不能",IF(R1080&gt;=判定条件!$C$7*Q1080,"運転",IF(R1080&lt;=判定条件!$C$8*Q1080,"停止","断続")))</f>
        <v>断続</v>
      </c>
      <c r="T1080" s="30" t="n">
        <v>60</v>
      </c>
      <c r="U1080" s="30" t="n">
        <v>0</v>
      </c>
      <c r="V1080" s="30" t="str">
        <f aca="false">IF(T1080&lt;判定条件!$C$6,"判定不能",IF(U1080&gt;=判定条件!$C$7*T1080,"運転",IF(U1080&lt;=判定条件!$C$8*T1080,"停止","断続")))</f>
        <v>停止</v>
      </c>
      <c r="W1080" s="30" t="n">
        <v>60</v>
      </c>
      <c r="X1080" s="30" t="n">
        <v>0</v>
      </c>
      <c r="Y1080" s="30" t="str">
        <f aca="false">IF(W1080&lt;判定条件!$C$6,"判定不能",IF(X1080&gt;=判定条件!$C$7*W1080,"運転",IF(X1080&lt;=判定条件!$C$8*W1080,"停止","断続")))</f>
        <v>停止</v>
      </c>
      <c r="Z1080" s="30" t="n">
        <v>60</v>
      </c>
      <c r="AA1080" s="30" t="n">
        <v>0</v>
      </c>
      <c r="AB1080" s="30" t="str">
        <f aca="false">IF(Z1080&lt;判定条件!$C$6,"判定不能",IF(AA1080&gt;=判定条件!$C$7*Z1080,"運転",IF(AA1080&lt;=判定条件!$C$8*Z1080,"停止","断続")))</f>
        <v>停止</v>
      </c>
      <c r="AC1080" s="30" t="n">
        <v>60</v>
      </c>
      <c r="AD1080" s="30" t="n">
        <v>0</v>
      </c>
      <c r="AE1080" s="30" t="str">
        <f aca="false">IF(AC1080&lt;判定条件!$C$6,"判定不能",IF(AD1080&gt;=判定条件!$C$7*AC1080,"運転",IF(AD1080&lt;=判定条件!$C$8*AC1080,"停止","断続")))</f>
        <v>停止</v>
      </c>
      <c r="AF1080" s="30" t="n">
        <v>60</v>
      </c>
      <c r="AG1080" s="30" t="n">
        <v>0</v>
      </c>
      <c r="AH1080" s="30" t="str">
        <f aca="false">IF(OR(P1080="判定不能",G1080="判定不能"),"判定不能",IF(AG1080&gt;=判定条件!$C$9,"利用可",IF(AND(P1080="停止",G1080="停止"),"両方停止","運転がそろわない")))</f>
        <v>両方停止</v>
      </c>
      <c r="AI1080" s="30" t="n">
        <v>60</v>
      </c>
      <c r="AJ1080" s="30" t="n">
        <v>0</v>
      </c>
      <c r="AK1080" s="30" t="str">
        <f aca="false">IF(OR(S1080="判定不能",J1080="判定不能"),"判定不能",IF(AJ1080&gt;=判定条件!$C$9,"利用可",IF(AND(S1080="停止",J1080="停止"),"両方停止","運転がそろわない")))</f>
        <v>運転がそろわない</v>
      </c>
      <c r="AL1080" s="30" t="n">
        <v>60</v>
      </c>
      <c r="AM1080" s="30" t="n">
        <v>0</v>
      </c>
      <c r="AN1080" s="30" t="str">
        <f aca="false">IF(OR(V1080="判定不能",M1080="判定不能"),"判定不能",IF(AM1080&gt;=判定条件!$C$9,"利用可",IF(AND(V1080="停止",M1080="停止"),"両方停止","運転がそろわない")))</f>
        <v>両方停止</v>
      </c>
      <c r="AO1080" s="30" t="n">
        <v>60</v>
      </c>
      <c r="AP1080" s="30" t="n">
        <v>0</v>
      </c>
      <c r="AQ1080" s="30" t="str">
        <f aca="false">IF(OR(Y1080="判定不能",G1080="判定不能"),"判定不能",IF(AP1080&gt;=判定条件!$C$9,"利用可",IF(AND(Y1080="停止",G1080="停止"),"両方停止","運転がそろわない")))</f>
        <v>両方停止</v>
      </c>
      <c r="AR1080" s="30" t="n">
        <v>60</v>
      </c>
      <c r="AS1080" s="30" t="n">
        <v>0</v>
      </c>
      <c r="AT1080" s="30" t="str">
        <f aca="false">IF(OR(AB1080="判定不能",J1080="判定不能"),"判定不能",IF(AS1080&gt;=判定条件!$C$9,"利用可",IF(AND(AB1080="停止",J1080="停止"),"両方停止","運転がそろわない")))</f>
        <v>両方停止</v>
      </c>
      <c r="AU1080" s="30" t="n">
        <v>60</v>
      </c>
      <c r="AV1080" s="30" t="n">
        <v>0</v>
      </c>
      <c r="AW1080" s="30" t="str">
        <f aca="false">IF(OR(AE1080="判定不能",M1080="判定不能"),"判定不能",IF(AV1080&gt;=判定条件!$C$9,"利用可",IF(AND(AE1080="停止",M1080="停止"),"両方停止","運転がそろわない")))</f>
        <v>両方停止</v>
      </c>
      <c r="AX1080" s="30" t="str">
        <f aca="false">IF(AND(AH1080="利用可",AK1080="利用可",AN1080="利用可"),"利用可","不可")</f>
        <v>不可</v>
      </c>
      <c r="AY1080" s="30" t="str">
        <f aca="false">IF(AND(AQ1080="利用可",AT1080="利用可",AW1080="利用可"),"利用可","不可")</f>
        <v>不可</v>
      </c>
    </row>
    <row r="1081" customFormat="false" ht="15" hidden="false" customHeight="false" outlineLevel="0" collapsed="false">
      <c r="A1081" s="29" t="n">
        <v>46276</v>
      </c>
      <c r="B1081" s="30" t="n">
        <v>22</v>
      </c>
      <c r="C1081" s="31" t="s">
        <v>62</v>
      </c>
      <c r="D1081" s="31" t="s">
        <v>59</v>
      </c>
      <c r="E1081" s="30" t="n">
        <v>60</v>
      </c>
      <c r="F1081" s="30" t="n">
        <v>0</v>
      </c>
      <c r="G1081" s="30" t="str">
        <f aca="false">IF(E1081&lt;判定条件!$C$6,"判定不能",IF(F1081&gt;=判定条件!$C$7*E1081,"運転",IF(F1081&lt;=判定条件!$C$8*E1081,"停止","断続")))</f>
        <v>停止</v>
      </c>
      <c r="H1081" s="30" t="n">
        <v>60</v>
      </c>
      <c r="I1081" s="30" t="n">
        <v>0</v>
      </c>
      <c r="J1081" s="30" t="str">
        <f aca="false">IF(H1081&lt;判定条件!$C$6,"判定不能",IF(I1081&gt;=判定条件!$C$7*H1081,"運転",IF(I1081&lt;=判定条件!$C$8*H1081,"停止","断続")))</f>
        <v>停止</v>
      </c>
      <c r="K1081" s="30" t="n">
        <v>60</v>
      </c>
      <c r="L1081" s="30" t="n">
        <v>0</v>
      </c>
      <c r="M1081" s="30" t="str">
        <f aca="false">IF(K1081&lt;判定条件!$C$6,"判定不能",IF(L1081&gt;=判定条件!$C$7*K1081,"運転",IF(L1081&lt;=判定条件!$C$8*K1081,"停止","断続")))</f>
        <v>停止</v>
      </c>
      <c r="N1081" s="30" t="n">
        <v>60</v>
      </c>
      <c r="O1081" s="30" t="n">
        <v>0</v>
      </c>
      <c r="P1081" s="30" t="str">
        <f aca="false">IF(N1081&lt;判定条件!$C$6,"判定不能",IF(O1081&gt;=判定条件!$C$7*N1081,"運転",IF(O1081&lt;=判定条件!$C$8*N1081,"停止","断続")))</f>
        <v>停止</v>
      </c>
      <c r="Q1081" s="30" t="n">
        <v>60</v>
      </c>
      <c r="R1081" s="30" t="n">
        <v>0</v>
      </c>
      <c r="S1081" s="30" t="str">
        <f aca="false">IF(Q1081&lt;判定条件!$C$6,"判定不能",IF(R1081&gt;=判定条件!$C$7*Q1081,"運転",IF(R1081&lt;=判定条件!$C$8*Q1081,"停止","断続")))</f>
        <v>停止</v>
      </c>
      <c r="T1081" s="30" t="n">
        <v>60</v>
      </c>
      <c r="U1081" s="30" t="n">
        <v>0</v>
      </c>
      <c r="V1081" s="30" t="str">
        <f aca="false">IF(T1081&lt;判定条件!$C$6,"判定不能",IF(U1081&gt;=判定条件!$C$7*T1081,"運転",IF(U1081&lt;=判定条件!$C$8*T1081,"停止","断続")))</f>
        <v>停止</v>
      </c>
      <c r="W1081" s="30" t="n">
        <v>60</v>
      </c>
      <c r="X1081" s="30" t="n">
        <v>0</v>
      </c>
      <c r="Y1081" s="30" t="str">
        <f aca="false">IF(W1081&lt;判定条件!$C$6,"判定不能",IF(X1081&gt;=判定条件!$C$7*W1081,"運転",IF(X1081&lt;=判定条件!$C$8*W1081,"停止","断続")))</f>
        <v>停止</v>
      </c>
      <c r="Z1081" s="30" t="n">
        <v>60</v>
      </c>
      <c r="AA1081" s="30" t="n">
        <v>0</v>
      </c>
      <c r="AB1081" s="30" t="str">
        <f aca="false">IF(Z1081&lt;判定条件!$C$6,"判定不能",IF(AA1081&gt;=判定条件!$C$7*Z1081,"運転",IF(AA1081&lt;=判定条件!$C$8*Z1081,"停止","断続")))</f>
        <v>停止</v>
      </c>
      <c r="AC1081" s="30" t="n">
        <v>60</v>
      </c>
      <c r="AD1081" s="30" t="n">
        <v>0</v>
      </c>
      <c r="AE1081" s="30" t="str">
        <f aca="false">IF(AC1081&lt;判定条件!$C$6,"判定不能",IF(AD1081&gt;=判定条件!$C$7*AC1081,"運転",IF(AD1081&lt;=判定条件!$C$8*AC1081,"停止","断続")))</f>
        <v>停止</v>
      </c>
      <c r="AF1081" s="30" t="n">
        <v>60</v>
      </c>
      <c r="AG1081" s="30" t="n">
        <v>0</v>
      </c>
      <c r="AH1081" s="30" t="str">
        <f aca="false">IF(OR(P1081="判定不能",G1081="判定不能"),"判定不能",IF(AG1081&gt;=判定条件!$C$9,"利用可",IF(AND(P1081="停止",G1081="停止"),"両方停止","運転がそろわない")))</f>
        <v>両方停止</v>
      </c>
      <c r="AI1081" s="30" t="n">
        <v>60</v>
      </c>
      <c r="AJ1081" s="30" t="n">
        <v>0</v>
      </c>
      <c r="AK1081" s="30" t="str">
        <f aca="false">IF(OR(S1081="判定不能",J1081="判定不能"),"判定不能",IF(AJ1081&gt;=判定条件!$C$9,"利用可",IF(AND(S1081="停止",J1081="停止"),"両方停止","運転がそろわない")))</f>
        <v>両方停止</v>
      </c>
      <c r="AL1081" s="30" t="n">
        <v>60</v>
      </c>
      <c r="AM1081" s="30" t="n">
        <v>0</v>
      </c>
      <c r="AN1081" s="30" t="str">
        <f aca="false">IF(OR(V1081="判定不能",M1081="判定不能"),"判定不能",IF(AM1081&gt;=判定条件!$C$9,"利用可",IF(AND(V1081="停止",M1081="停止"),"両方停止","運転がそろわない")))</f>
        <v>両方停止</v>
      </c>
      <c r="AO1081" s="30" t="n">
        <v>60</v>
      </c>
      <c r="AP1081" s="30" t="n">
        <v>0</v>
      </c>
      <c r="AQ1081" s="30" t="str">
        <f aca="false">IF(OR(Y1081="判定不能",G1081="判定不能"),"判定不能",IF(AP1081&gt;=判定条件!$C$9,"利用可",IF(AND(Y1081="停止",G1081="停止"),"両方停止","運転がそろわない")))</f>
        <v>両方停止</v>
      </c>
      <c r="AR1081" s="30" t="n">
        <v>60</v>
      </c>
      <c r="AS1081" s="30" t="n">
        <v>0</v>
      </c>
      <c r="AT1081" s="30" t="str">
        <f aca="false">IF(OR(AB1081="判定不能",J1081="判定不能"),"判定不能",IF(AS1081&gt;=判定条件!$C$9,"利用可",IF(AND(AB1081="停止",J1081="停止"),"両方停止","運転がそろわない")))</f>
        <v>両方停止</v>
      </c>
      <c r="AU1081" s="30" t="n">
        <v>60</v>
      </c>
      <c r="AV1081" s="30" t="n">
        <v>0</v>
      </c>
      <c r="AW1081" s="30" t="str">
        <f aca="false">IF(OR(AE1081="判定不能",M1081="判定不能"),"判定不能",IF(AV1081&gt;=判定条件!$C$9,"利用可",IF(AND(AE1081="停止",M1081="停止"),"両方停止","運転がそろわない")))</f>
        <v>両方停止</v>
      </c>
      <c r="AX1081" s="30" t="str">
        <f aca="false">IF(AND(AH1081="利用可",AK1081="利用可",AN1081="利用可"),"利用可","不可")</f>
        <v>不可</v>
      </c>
      <c r="AY1081" s="30" t="str">
        <f aca="false">IF(AND(AQ1081="利用可",AT1081="利用可",AW1081="利用可"),"利用可","不可")</f>
        <v>不可</v>
      </c>
    </row>
    <row r="1082" customFormat="false" ht="15" hidden="false" customHeight="false" outlineLevel="0" collapsed="false">
      <c r="A1082" s="29" t="n">
        <v>46276</v>
      </c>
      <c r="B1082" s="30" t="n">
        <v>23</v>
      </c>
      <c r="C1082" s="31" t="s">
        <v>62</v>
      </c>
      <c r="D1082" s="31" t="s">
        <v>59</v>
      </c>
      <c r="E1082" s="30" t="n">
        <v>60</v>
      </c>
      <c r="F1082" s="30" t="n">
        <v>0</v>
      </c>
      <c r="G1082" s="30" t="str">
        <f aca="false">IF(E1082&lt;判定条件!$C$6,"判定不能",IF(F1082&gt;=判定条件!$C$7*E1082,"運転",IF(F1082&lt;=判定条件!$C$8*E1082,"停止","断続")))</f>
        <v>停止</v>
      </c>
      <c r="H1082" s="30" t="n">
        <v>60</v>
      </c>
      <c r="I1082" s="30" t="n">
        <v>0</v>
      </c>
      <c r="J1082" s="30" t="str">
        <f aca="false">IF(H1082&lt;判定条件!$C$6,"判定不能",IF(I1082&gt;=判定条件!$C$7*H1082,"運転",IF(I1082&lt;=判定条件!$C$8*H1082,"停止","断続")))</f>
        <v>停止</v>
      </c>
      <c r="K1082" s="30" t="n">
        <v>60</v>
      </c>
      <c r="L1082" s="30" t="n">
        <v>0</v>
      </c>
      <c r="M1082" s="30" t="str">
        <f aca="false">IF(K1082&lt;判定条件!$C$6,"判定不能",IF(L1082&gt;=判定条件!$C$7*K1082,"運転",IF(L1082&lt;=判定条件!$C$8*K1082,"停止","断続")))</f>
        <v>停止</v>
      </c>
      <c r="N1082" s="30" t="n">
        <v>60</v>
      </c>
      <c r="O1082" s="30" t="n">
        <v>0</v>
      </c>
      <c r="P1082" s="30" t="str">
        <f aca="false">IF(N1082&lt;判定条件!$C$6,"判定不能",IF(O1082&gt;=判定条件!$C$7*N1082,"運転",IF(O1082&lt;=判定条件!$C$8*N1082,"停止","断続")))</f>
        <v>停止</v>
      </c>
      <c r="Q1082" s="30" t="n">
        <v>60</v>
      </c>
      <c r="R1082" s="30" t="n">
        <v>0</v>
      </c>
      <c r="S1082" s="30" t="str">
        <f aca="false">IF(Q1082&lt;判定条件!$C$6,"判定不能",IF(R1082&gt;=判定条件!$C$7*Q1082,"運転",IF(R1082&lt;=判定条件!$C$8*Q1082,"停止","断続")))</f>
        <v>停止</v>
      </c>
      <c r="T1082" s="30" t="n">
        <v>60</v>
      </c>
      <c r="U1082" s="30" t="n">
        <v>0</v>
      </c>
      <c r="V1082" s="30" t="str">
        <f aca="false">IF(T1082&lt;判定条件!$C$6,"判定不能",IF(U1082&gt;=判定条件!$C$7*T1082,"運転",IF(U1082&lt;=判定条件!$C$8*T1082,"停止","断続")))</f>
        <v>停止</v>
      </c>
      <c r="W1082" s="30" t="n">
        <v>60</v>
      </c>
      <c r="X1082" s="30" t="n">
        <v>0</v>
      </c>
      <c r="Y1082" s="30" t="str">
        <f aca="false">IF(W1082&lt;判定条件!$C$6,"判定不能",IF(X1082&gt;=判定条件!$C$7*W1082,"運転",IF(X1082&lt;=判定条件!$C$8*W1082,"停止","断続")))</f>
        <v>停止</v>
      </c>
      <c r="Z1082" s="30" t="n">
        <v>60</v>
      </c>
      <c r="AA1082" s="30" t="n">
        <v>0</v>
      </c>
      <c r="AB1082" s="30" t="str">
        <f aca="false">IF(Z1082&lt;判定条件!$C$6,"判定不能",IF(AA1082&gt;=判定条件!$C$7*Z1082,"運転",IF(AA1082&lt;=判定条件!$C$8*Z1082,"停止","断続")))</f>
        <v>停止</v>
      </c>
      <c r="AC1082" s="30" t="n">
        <v>60</v>
      </c>
      <c r="AD1082" s="30" t="n">
        <v>0</v>
      </c>
      <c r="AE1082" s="30" t="str">
        <f aca="false">IF(AC1082&lt;判定条件!$C$6,"判定不能",IF(AD1082&gt;=判定条件!$C$7*AC1082,"運転",IF(AD1082&lt;=判定条件!$C$8*AC1082,"停止","断続")))</f>
        <v>停止</v>
      </c>
      <c r="AF1082" s="30" t="n">
        <v>60</v>
      </c>
      <c r="AG1082" s="30" t="n">
        <v>0</v>
      </c>
      <c r="AH1082" s="30" t="str">
        <f aca="false">IF(OR(P1082="判定不能",G1082="判定不能"),"判定不能",IF(AG1082&gt;=判定条件!$C$9,"利用可",IF(AND(P1082="停止",G1082="停止"),"両方停止","運転がそろわない")))</f>
        <v>両方停止</v>
      </c>
      <c r="AI1082" s="30" t="n">
        <v>60</v>
      </c>
      <c r="AJ1082" s="30" t="n">
        <v>0</v>
      </c>
      <c r="AK1082" s="30" t="str">
        <f aca="false">IF(OR(S1082="判定不能",J1082="判定不能"),"判定不能",IF(AJ1082&gt;=判定条件!$C$9,"利用可",IF(AND(S1082="停止",J1082="停止"),"両方停止","運転がそろわない")))</f>
        <v>両方停止</v>
      </c>
      <c r="AL1082" s="30" t="n">
        <v>60</v>
      </c>
      <c r="AM1082" s="30" t="n">
        <v>0</v>
      </c>
      <c r="AN1082" s="30" t="str">
        <f aca="false">IF(OR(V1082="判定不能",M1082="判定不能"),"判定不能",IF(AM1082&gt;=判定条件!$C$9,"利用可",IF(AND(V1082="停止",M1082="停止"),"両方停止","運転がそろわない")))</f>
        <v>両方停止</v>
      </c>
      <c r="AO1082" s="30" t="n">
        <v>60</v>
      </c>
      <c r="AP1082" s="30" t="n">
        <v>0</v>
      </c>
      <c r="AQ1082" s="30" t="str">
        <f aca="false">IF(OR(Y1082="判定不能",G1082="判定不能"),"判定不能",IF(AP1082&gt;=判定条件!$C$9,"利用可",IF(AND(Y1082="停止",G1082="停止"),"両方停止","運転がそろわない")))</f>
        <v>両方停止</v>
      </c>
      <c r="AR1082" s="30" t="n">
        <v>60</v>
      </c>
      <c r="AS1082" s="30" t="n">
        <v>0</v>
      </c>
      <c r="AT1082" s="30" t="str">
        <f aca="false">IF(OR(AB1082="判定不能",J1082="判定不能"),"判定不能",IF(AS1082&gt;=判定条件!$C$9,"利用可",IF(AND(AB1082="停止",J1082="停止"),"両方停止","運転がそろわない")))</f>
        <v>両方停止</v>
      </c>
      <c r="AU1082" s="30" t="n">
        <v>60</v>
      </c>
      <c r="AV1082" s="30" t="n">
        <v>0</v>
      </c>
      <c r="AW1082" s="30" t="str">
        <f aca="false">IF(OR(AE1082="判定不能",M1082="判定不能"),"判定不能",IF(AV1082&gt;=判定条件!$C$9,"利用可",IF(AND(AE1082="停止",M1082="停止"),"両方停止","運転がそろわない")))</f>
        <v>両方停止</v>
      </c>
      <c r="AX1082" s="30" t="str">
        <f aca="false">IF(AND(AH1082="利用可",AK1082="利用可",AN1082="利用可"),"利用可","不可")</f>
        <v>不可</v>
      </c>
      <c r="AY1082" s="30" t="str">
        <f aca="false">IF(AND(AQ1082="利用可",AT1082="利用可",AW1082="利用可"),"利用可","不可")</f>
        <v>不可</v>
      </c>
    </row>
    <row r="1083" customFormat="false" ht="15" hidden="false" customHeight="false" outlineLevel="0" collapsed="false">
      <c r="A1083" s="29" t="n">
        <v>46277</v>
      </c>
      <c r="B1083" s="30" t="n">
        <v>0</v>
      </c>
      <c r="C1083" s="31" t="s">
        <v>63</v>
      </c>
      <c r="D1083" s="31" t="s">
        <v>64</v>
      </c>
      <c r="E1083" s="30" t="n">
        <v>60</v>
      </c>
      <c r="F1083" s="30" t="n">
        <v>0</v>
      </c>
      <c r="G1083" s="30" t="str">
        <f aca="false">IF(E1083&lt;判定条件!$C$6,"判定不能",IF(F1083&gt;=判定条件!$C$7*E1083,"運転",IF(F1083&lt;=判定条件!$C$8*E1083,"停止","断続")))</f>
        <v>停止</v>
      </c>
      <c r="H1083" s="30" t="n">
        <v>60</v>
      </c>
      <c r="I1083" s="30" t="n">
        <v>0</v>
      </c>
      <c r="J1083" s="30" t="str">
        <f aca="false">IF(H1083&lt;判定条件!$C$6,"判定不能",IF(I1083&gt;=判定条件!$C$7*H1083,"運転",IF(I1083&lt;=判定条件!$C$8*H1083,"停止","断続")))</f>
        <v>停止</v>
      </c>
      <c r="K1083" s="30" t="n">
        <v>60</v>
      </c>
      <c r="L1083" s="30" t="n">
        <v>0</v>
      </c>
      <c r="M1083" s="30" t="str">
        <f aca="false">IF(K1083&lt;判定条件!$C$6,"判定不能",IF(L1083&gt;=判定条件!$C$7*K1083,"運転",IF(L1083&lt;=判定条件!$C$8*K1083,"停止","断続")))</f>
        <v>停止</v>
      </c>
      <c r="N1083" s="30" t="n">
        <v>60</v>
      </c>
      <c r="O1083" s="30" t="n">
        <v>0</v>
      </c>
      <c r="P1083" s="30" t="str">
        <f aca="false">IF(N1083&lt;判定条件!$C$6,"判定不能",IF(O1083&gt;=判定条件!$C$7*N1083,"運転",IF(O1083&lt;=判定条件!$C$8*N1083,"停止","断続")))</f>
        <v>停止</v>
      </c>
      <c r="Q1083" s="30" t="n">
        <v>60</v>
      </c>
      <c r="R1083" s="30" t="n">
        <v>0</v>
      </c>
      <c r="S1083" s="30" t="str">
        <f aca="false">IF(Q1083&lt;判定条件!$C$6,"判定不能",IF(R1083&gt;=判定条件!$C$7*Q1083,"運転",IF(R1083&lt;=判定条件!$C$8*Q1083,"停止","断続")))</f>
        <v>停止</v>
      </c>
      <c r="T1083" s="30" t="n">
        <v>60</v>
      </c>
      <c r="U1083" s="30" t="n">
        <v>0</v>
      </c>
      <c r="V1083" s="30" t="str">
        <f aca="false">IF(T1083&lt;判定条件!$C$6,"判定不能",IF(U1083&gt;=判定条件!$C$7*T1083,"運転",IF(U1083&lt;=判定条件!$C$8*T1083,"停止","断続")))</f>
        <v>停止</v>
      </c>
      <c r="W1083" s="30" t="n">
        <v>60</v>
      </c>
      <c r="X1083" s="30" t="n">
        <v>0</v>
      </c>
      <c r="Y1083" s="30" t="str">
        <f aca="false">IF(W1083&lt;判定条件!$C$6,"判定不能",IF(X1083&gt;=判定条件!$C$7*W1083,"運転",IF(X1083&lt;=判定条件!$C$8*W1083,"停止","断続")))</f>
        <v>停止</v>
      </c>
      <c r="Z1083" s="30" t="n">
        <v>60</v>
      </c>
      <c r="AA1083" s="30" t="n">
        <v>0</v>
      </c>
      <c r="AB1083" s="30" t="str">
        <f aca="false">IF(Z1083&lt;判定条件!$C$6,"判定不能",IF(AA1083&gt;=判定条件!$C$7*Z1083,"運転",IF(AA1083&lt;=判定条件!$C$8*Z1083,"停止","断続")))</f>
        <v>停止</v>
      </c>
      <c r="AC1083" s="30" t="n">
        <v>60</v>
      </c>
      <c r="AD1083" s="30" t="n">
        <v>0</v>
      </c>
      <c r="AE1083" s="30" t="str">
        <f aca="false">IF(AC1083&lt;判定条件!$C$6,"判定不能",IF(AD1083&gt;=判定条件!$C$7*AC1083,"運転",IF(AD1083&lt;=判定条件!$C$8*AC1083,"停止","断続")))</f>
        <v>停止</v>
      </c>
      <c r="AF1083" s="30" t="n">
        <v>60</v>
      </c>
      <c r="AG1083" s="30" t="n">
        <v>0</v>
      </c>
      <c r="AH1083" s="30" t="str">
        <f aca="false">IF(OR(P1083="判定不能",G1083="判定不能"),"判定不能",IF(AG1083&gt;=判定条件!$C$9,"利用可",IF(AND(P1083="停止",G1083="停止"),"両方停止","運転がそろわない")))</f>
        <v>両方停止</v>
      </c>
      <c r="AI1083" s="30" t="n">
        <v>60</v>
      </c>
      <c r="AJ1083" s="30" t="n">
        <v>0</v>
      </c>
      <c r="AK1083" s="30" t="str">
        <f aca="false">IF(OR(S1083="判定不能",J1083="判定不能"),"判定不能",IF(AJ1083&gt;=判定条件!$C$9,"利用可",IF(AND(S1083="停止",J1083="停止"),"両方停止","運転がそろわない")))</f>
        <v>両方停止</v>
      </c>
      <c r="AL1083" s="30" t="n">
        <v>60</v>
      </c>
      <c r="AM1083" s="30" t="n">
        <v>0</v>
      </c>
      <c r="AN1083" s="30" t="str">
        <f aca="false">IF(OR(V1083="判定不能",M1083="判定不能"),"判定不能",IF(AM1083&gt;=判定条件!$C$9,"利用可",IF(AND(V1083="停止",M1083="停止"),"両方停止","運転がそろわない")))</f>
        <v>両方停止</v>
      </c>
      <c r="AO1083" s="30" t="n">
        <v>60</v>
      </c>
      <c r="AP1083" s="30" t="n">
        <v>0</v>
      </c>
      <c r="AQ1083" s="30" t="str">
        <f aca="false">IF(OR(Y1083="判定不能",G1083="判定不能"),"判定不能",IF(AP1083&gt;=判定条件!$C$9,"利用可",IF(AND(Y1083="停止",G1083="停止"),"両方停止","運転がそろわない")))</f>
        <v>両方停止</v>
      </c>
      <c r="AR1083" s="30" t="n">
        <v>60</v>
      </c>
      <c r="AS1083" s="30" t="n">
        <v>0</v>
      </c>
      <c r="AT1083" s="30" t="str">
        <f aca="false">IF(OR(AB1083="判定不能",J1083="判定不能"),"判定不能",IF(AS1083&gt;=判定条件!$C$9,"利用可",IF(AND(AB1083="停止",J1083="停止"),"両方停止","運転がそろわない")))</f>
        <v>両方停止</v>
      </c>
      <c r="AU1083" s="30" t="n">
        <v>60</v>
      </c>
      <c r="AV1083" s="30" t="n">
        <v>0</v>
      </c>
      <c r="AW1083" s="30" t="str">
        <f aca="false">IF(OR(AE1083="判定不能",M1083="判定不能"),"判定不能",IF(AV1083&gt;=判定条件!$C$9,"利用可",IF(AND(AE1083="停止",M1083="停止"),"両方停止","運転がそろわない")))</f>
        <v>両方停止</v>
      </c>
      <c r="AX1083" s="30" t="str">
        <f aca="false">IF(AND(AH1083="利用可",AK1083="利用可",AN1083="利用可"),"利用可","不可")</f>
        <v>不可</v>
      </c>
      <c r="AY1083" s="30" t="str">
        <f aca="false">IF(AND(AQ1083="利用可",AT1083="利用可",AW1083="利用可"),"利用可","不可")</f>
        <v>不可</v>
      </c>
    </row>
    <row r="1084" customFormat="false" ht="15" hidden="false" customHeight="false" outlineLevel="0" collapsed="false">
      <c r="A1084" s="29" t="n">
        <v>46277</v>
      </c>
      <c r="B1084" s="30" t="n">
        <v>1</v>
      </c>
      <c r="C1084" s="31" t="s">
        <v>63</v>
      </c>
      <c r="D1084" s="31" t="s">
        <v>64</v>
      </c>
      <c r="E1084" s="30" t="n">
        <v>60</v>
      </c>
      <c r="F1084" s="30" t="n">
        <v>0</v>
      </c>
      <c r="G1084" s="30" t="str">
        <f aca="false">IF(E1084&lt;判定条件!$C$6,"判定不能",IF(F1084&gt;=判定条件!$C$7*E1084,"運転",IF(F1084&lt;=判定条件!$C$8*E1084,"停止","断続")))</f>
        <v>停止</v>
      </c>
      <c r="H1084" s="30" t="n">
        <v>60</v>
      </c>
      <c r="I1084" s="30" t="n">
        <v>0</v>
      </c>
      <c r="J1084" s="30" t="str">
        <f aca="false">IF(H1084&lt;判定条件!$C$6,"判定不能",IF(I1084&gt;=判定条件!$C$7*H1084,"運転",IF(I1084&lt;=判定条件!$C$8*H1084,"停止","断続")))</f>
        <v>停止</v>
      </c>
      <c r="K1084" s="30" t="n">
        <v>60</v>
      </c>
      <c r="L1084" s="30" t="n">
        <v>0</v>
      </c>
      <c r="M1084" s="30" t="str">
        <f aca="false">IF(K1084&lt;判定条件!$C$6,"判定不能",IF(L1084&gt;=判定条件!$C$7*K1084,"運転",IF(L1084&lt;=判定条件!$C$8*K1084,"停止","断続")))</f>
        <v>停止</v>
      </c>
      <c r="N1084" s="30" t="n">
        <v>60</v>
      </c>
      <c r="O1084" s="30" t="n">
        <v>0</v>
      </c>
      <c r="P1084" s="30" t="str">
        <f aca="false">IF(N1084&lt;判定条件!$C$6,"判定不能",IF(O1084&gt;=判定条件!$C$7*N1084,"運転",IF(O1084&lt;=判定条件!$C$8*N1084,"停止","断続")))</f>
        <v>停止</v>
      </c>
      <c r="Q1084" s="30" t="n">
        <v>60</v>
      </c>
      <c r="R1084" s="30" t="n">
        <v>0</v>
      </c>
      <c r="S1084" s="30" t="str">
        <f aca="false">IF(Q1084&lt;判定条件!$C$6,"判定不能",IF(R1084&gt;=判定条件!$C$7*Q1084,"運転",IF(R1084&lt;=判定条件!$C$8*Q1084,"停止","断続")))</f>
        <v>停止</v>
      </c>
      <c r="T1084" s="30" t="n">
        <v>60</v>
      </c>
      <c r="U1084" s="30" t="n">
        <v>0</v>
      </c>
      <c r="V1084" s="30" t="str">
        <f aca="false">IF(T1084&lt;判定条件!$C$6,"判定不能",IF(U1084&gt;=判定条件!$C$7*T1084,"運転",IF(U1084&lt;=判定条件!$C$8*T1084,"停止","断続")))</f>
        <v>停止</v>
      </c>
      <c r="W1084" s="30" t="n">
        <v>60</v>
      </c>
      <c r="X1084" s="30" t="n">
        <v>0</v>
      </c>
      <c r="Y1084" s="30" t="str">
        <f aca="false">IF(W1084&lt;判定条件!$C$6,"判定不能",IF(X1084&gt;=判定条件!$C$7*W1084,"運転",IF(X1084&lt;=判定条件!$C$8*W1084,"停止","断続")))</f>
        <v>停止</v>
      </c>
      <c r="Z1084" s="30" t="n">
        <v>60</v>
      </c>
      <c r="AA1084" s="30" t="n">
        <v>0</v>
      </c>
      <c r="AB1084" s="30" t="str">
        <f aca="false">IF(Z1084&lt;判定条件!$C$6,"判定不能",IF(AA1084&gt;=判定条件!$C$7*Z1084,"運転",IF(AA1084&lt;=判定条件!$C$8*Z1084,"停止","断続")))</f>
        <v>停止</v>
      </c>
      <c r="AC1084" s="30" t="n">
        <v>60</v>
      </c>
      <c r="AD1084" s="30" t="n">
        <v>0</v>
      </c>
      <c r="AE1084" s="30" t="str">
        <f aca="false">IF(AC1084&lt;判定条件!$C$6,"判定不能",IF(AD1084&gt;=判定条件!$C$7*AC1084,"運転",IF(AD1084&lt;=判定条件!$C$8*AC1084,"停止","断続")))</f>
        <v>停止</v>
      </c>
      <c r="AF1084" s="30" t="n">
        <v>60</v>
      </c>
      <c r="AG1084" s="30" t="n">
        <v>0</v>
      </c>
      <c r="AH1084" s="30" t="str">
        <f aca="false">IF(OR(P1084="判定不能",G1084="判定不能"),"判定不能",IF(AG1084&gt;=判定条件!$C$9,"利用可",IF(AND(P1084="停止",G1084="停止"),"両方停止","運転がそろわない")))</f>
        <v>両方停止</v>
      </c>
      <c r="AI1084" s="30" t="n">
        <v>60</v>
      </c>
      <c r="AJ1084" s="30" t="n">
        <v>0</v>
      </c>
      <c r="AK1084" s="30" t="str">
        <f aca="false">IF(OR(S1084="判定不能",J1084="判定不能"),"判定不能",IF(AJ1084&gt;=判定条件!$C$9,"利用可",IF(AND(S1084="停止",J1084="停止"),"両方停止","運転がそろわない")))</f>
        <v>両方停止</v>
      </c>
      <c r="AL1084" s="30" t="n">
        <v>60</v>
      </c>
      <c r="AM1084" s="30" t="n">
        <v>0</v>
      </c>
      <c r="AN1084" s="30" t="str">
        <f aca="false">IF(OR(V1084="判定不能",M1084="判定不能"),"判定不能",IF(AM1084&gt;=判定条件!$C$9,"利用可",IF(AND(V1084="停止",M1084="停止"),"両方停止","運転がそろわない")))</f>
        <v>両方停止</v>
      </c>
      <c r="AO1084" s="30" t="n">
        <v>60</v>
      </c>
      <c r="AP1084" s="30" t="n">
        <v>0</v>
      </c>
      <c r="AQ1084" s="30" t="str">
        <f aca="false">IF(OR(Y1084="判定不能",G1084="判定不能"),"判定不能",IF(AP1084&gt;=判定条件!$C$9,"利用可",IF(AND(Y1084="停止",G1084="停止"),"両方停止","運転がそろわない")))</f>
        <v>両方停止</v>
      </c>
      <c r="AR1084" s="30" t="n">
        <v>60</v>
      </c>
      <c r="AS1084" s="30" t="n">
        <v>0</v>
      </c>
      <c r="AT1084" s="30" t="str">
        <f aca="false">IF(OR(AB1084="判定不能",J1084="判定不能"),"判定不能",IF(AS1084&gt;=判定条件!$C$9,"利用可",IF(AND(AB1084="停止",J1084="停止"),"両方停止","運転がそろわない")))</f>
        <v>両方停止</v>
      </c>
      <c r="AU1084" s="30" t="n">
        <v>60</v>
      </c>
      <c r="AV1084" s="30" t="n">
        <v>0</v>
      </c>
      <c r="AW1084" s="30" t="str">
        <f aca="false">IF(OR(AE1084="判定不能",M1084="判定不能"),"判定不能",IF(AV1084&gt;=判定条件!$C$9,"利用可",IF(AND(AE1084="停止",M1084="停止"),"両方停止","運転がそろわない")))</f>
        <v>両方停止</v>
      </c>
      <c r="AX1084" s="30" t="str">
        <f aca="false">IF(AND(AH1084="利用可",AK1084="利用可",AN1084="利用可"),"利用可","不可")</f>
        <v>不可</v>
      </c>
      <c r="AY1084" s="30" t="str">
        <f aca="false">IF(AND(AQ1084="利用可",AT1084="利用可",AW1084="利用可"),"利用可","不可")</f>
        <v>不可</v>
      </c>
    </row>
    <row r="1085" customFormat="false" ht="15" hidden="false" customHeight="false" outlineLevel="0" collapsed="false">
      <c r="A1085" s="29" t="n">
        <v>46277</v>
      </c>
      <c r="B1085" s="30" t="n">
        <v>2</v>
      </c>
      <c r="C1085" s="31" t="s">
        <v>63</v>
      </c>
      <c r="D1085" s="31" t="s">
        <v>64</v>
      </c>
      <c r="E1085" s="30" t="n">
        <v>60</v>
      </c>
      <c r="F1085" s="30" t="n">
        <v>0</v>
      </c>
      <c r="G1085" s="30" t="str">
        <f aca="false">IF(E1085&lt;判定条件!$C$6,"判定不能",IF(F1085&gt;=判定条件!$C$7*E1085,"運転",IF(F1085&lt;=判定条件!$C$8*E1085,"停止","断続")))</f>
        <v>停止</v>
      </c>
      <c r="H1085" s="30" t="n">
        <v>60</v>
      </c>
      <c r="I1085" s="30" t="n">
        <v>0</v>
      </c>
      <c r="J1085" s="30" t="str">
        <f aca="false">IF(H1085&lt;判定条件!$C$6,"判定不能",IF(I1085&gt;=判定条件!$C$7*H1085,"運転",IF(I1085&lt;=判定条件!$C$8*H1085,"停止","断続")))</f>
        <v>停止</v>
      </c>
      <c r="K1085" s="30" t="n">
        <v>60</v>
      </c>
      <c r="L1085" s="30" t="n">
        <v>0</v>
      </c>
      <c r="M1085" s="30" t="str">
        <f aca="false">IF(K1085&lt;判定条件!$C$6,"判定不能",IF(L1085&gt;=判定条件!$C$7*K1085,"運転",IF(L1085&lt;=判定条件!$C$8*K1085,"停止","断続")))</f>
        <v>停止</v>
      </c>
      <c r="N1085" s="30" t="n">
        <v>60</v>
      </c>
      <c r="O1085" s="30" t="n">
        <v>0</v>
      </c>
      <c r="P1085" s="30" t="str">
        <f aca="false">IF(N1085&lt;判定条件!$C$6,"判定不能",IF(O1085&gt;=判定条件!$C$7*N1085,"運転",IF(O1085&lt;=判定条件!$C$8*N1085,"停止","断続")))</f>
        <v>停止</v>
      </c>
      <c r="Q1085" s="30" t="n">
        <v>60</v>
      </c>
      <c r="R1085" s="30" t="n">
        <v>0</v>
      </c>
      <c r="S1085" s="30" t="str">
        <f aca="false">IF(Q1085&lt;判定条件!$C$6,"判定不能",IF(R1085&gt;=判定条件!$C$7*Q1085,"運転",IF(R1085&lt;=判定条件!$C$8*Q1085,"停止","断続")))</f>
        <v>停止</v>
      </c>
      <c r="T1085" s="30" t="n">
        <v>60</v>
      </c>
      <c r="U1085" s="30" t="n">
        <v>0</v>
      </c>
      <c r="V1085" s="30" t="str">
        <f aca="false">IF(T1085&lt;判定条件!$C$6,"判定不能",IF(U1085&gt;=判定条件!$C$7*T1085,"運転",IF(U1085&lt;=判定条件!$C$8*T1085,"停止","断続")))</f>
        <v>停止</v>
      </c>
      <c r="W1085" s="30" t="n">
        <v>60</v>
      </c>
      <c r="X1085" s="30" t="n">
        <v>0</v>
      </c>
      <c r="Y1085" s="30" t="str">
        <f aca="false">IF(W1085&lt;判定条件!$C$6,"判定不能",IF(X1085&gt;=判定条件!$C$7*W1085,"運転",IF(X1085&lt;=判定条件!$C$8*W1085,"停止","断続")))</f>
        <v>停止</v>
      </c>
      <c r="Z1085" s="30" t="n">
        <v>60</v>
      </c>
      <c r="AA1085" s="30" t="n">
        <v>0</v>
      </c>
      <c r="AB1085" s="30" t="str">
        <f aca="false">IF(Z1085&lt;判定条件!$C$6,"判定不能",IF(AA1085&gt;=判定条件!$C$7*Z1085,"運転",IF(AA1085&lt;=判定条件!$C$8*Z1085,"停止","断続")))</f>
        <v>停止</v>
      </c>
      <c r="AC1085" s="30" t="n">
        <v>60</v>
      </c>
      <c r="AD1085" s="30" t="n">
        <v>0</v>
      </c>
      <c r="AE1085" s="30" t="str">
        <f aca="false">IF(AC1085&lt;判定条件!$C$6,"判定不能",IF(AD1085&gt;=判定条件!$C$7*AC1085,"運転",IF(AD1085&lt;=判定条件!$C$8*AC1085,"停止","断続")))</f>
        <v>停止</v>
      </c>
      <c r="AF1085" s="30" t="n">
        <v>60</v>
      </c>
      <c r="AG1085" s="30" t="n">
        <v>0</v>
      </c>
      <c r="AH1085" s="30" t="str">
        <f aca="false">IF(OR(P1085="判定不能",G1085="判定不能"),"判定不能",IF(AG1085&gt;=判定条件!$C$9,"利用可",IF(AND(P1085="停止",G1085="停止"),"両方停止","運転がそろわない")))</f>
        <v>両方停止</v>
      </c>
      <c r="AI1085" s="30" t="n">
        <v>60</v>
      </c>
      <c r="AJ1085" s="30" t="n">
        <v>0</v>
      </c>
      <c r="AK1085" s="30" t="str">
        <f aca="false">IF(OR(S1085="判定不能",J1085="判定不能"),"判定不能",IF(AJ1085&gt;=判定条件!$C$9,"利用可",IF(AND(S1085="停止",J1085="停止"),"両方停止","運転がそろわない")))</f>
        <v>両方停止</v>
      </c>
      <c r="AL1085" s="30" t="n">
        <v>60</v>
      </c>
      <c r="AM1085" s="30" t="n">
        <v>0</v>
      </c>
      <c r="AN1085" s="30" t="str">
        <f aca="false">IF(OR(V1085="判定不能",M1085="判定不能"),"判定不能",IF(AM1085&gt;=判定条件!$C$9,"利用可",IF(AND(V1085="停止",M1085="停止"),"両方停止","運転がそろわない")))</f>
        <v>両方停止</v>
      </c>
      <c r="AO1085" s="30" t="n">
        <v>60</v>
      </c>
      <c r="AP1085" s="30" t="n">
        <v>0</v>
      </c>
      <c r="AQ1085" s="30" t="str">
        <f aca="false">IF(OR(Y1085="判定不能",G1085="判定不能"),"判定不能",IF(AP1085&gt;=判定条件!$C$9,"利用可",IF(AND(Y1085="停止",G1085="停止"),"両方停止","運転がそろわない")))</f>
        <v>両方停止</v>
      </c>
      <c r="AR1085" s="30" t="n">
        <v>60</v>
      </c>
      <c r="AS1085" s="30" t="n">
        <v>0</v>
      </c>
      <c r="AT1085" s="30" t="str">
        <f aca="false">IF(OR(AB1085="判定不能",J1085="判定不能"),"判定不能",IF(AS1085&gt;=判定条件!$C$9,"利用可",IF(AND(AB1085="停止",J1085="停止"),"両方停止","運転がそろわない")))</f>
        <v>両方停止</v>
      </c>
      <c r="AU1085" s="30" t="n">
        <v>60</v>
      </c>
      <c r="AV1085" s="30" t="n">
        <v>0</v>
      </c>
      <c r="AW1085" s="30" t="str">
        <f aca="false">IF(OR(AE1085="判定不能",M1085="判定不能"),"判定不能",IF(AV1085&gt;=判定条件!$C$9,"利用可",IF(AND(AE1085="停止",M1085="停止"),"両方停止","運転がそろわない")))</f>
        <v>両方停止</v>
      </c>
      <c r="AX1085" s="30" t="str">
        <f aca="false">IF(AND(AH1085="利用可",AK1085="利用可",AN1085="利用可"),"利用可","不可")</f>
        <v>不可</v>
      </c>
      <c r="AY1085" s="30" t="str">
        <f aca="false">IF(AND(AQ1085="利用可",AT1085="利用可",AW1085="利用可"),"利用可","不可")</f>
        <v>不可</v>
      </c>
    </row>
    <row r="1086" customFormat="false" ht="15" hidden="false" customHeight="false" outlineLevel="0" collapsed="false">
      <c r="A1086" s="29" t="n">
        <v>46277</v>
      </c>
      <c r="B1086" s="30" t="n">
        <v>3</v>
      </c>
      <c r="C1086" s="31" t="s">
        <v>63</v>
      </c>
      <c r="D1086" s="31" t="s">
        <v>64</v>
      </c>
      <c r="E1086" s="30" t="n">
        <v>60</v>
      </c>
      <c r="F1086" s="30" t="n">
        <v>0</v>
      </c>
      <c r="G1086" s="30" t="str">
        <f aca="false">IF(E1086&lt;判定条件!$C$6,"判定不能",IF(F1086&gt;=判定条件!$C$7*E1086,"運転",IF(F1086&lt;=判定条件!$C$8*E1086,"停止","断続")))</f>
        <v>停止</v>
      </c>
      <c r="H1086" s="30" t="n">
        <v>60</v>
      </c>
      <c r="I1086" s="30" t="n">
        <v>0</v>
      </c>
      <c r="J1086" s="30" t="str">
        <f aca="false">IF(H1086&lt;判定条件!$C$6,"判定不能",IF(I1086&gt;=判定条件!$C$7*H1086,"運転",IF(I1086&lt;=判定条件!$C$8*H1086,"停止","断続")))</f>
        <v>停止</v>
      </c>
      <c r="K1086" s="30" t="n">
        <v>60</v>
      </c>
      <c r="L1086" s="30" t="n">
        <v>0</v>
      </c>
      <c r="M1086" s="30" t="str">
        <f aca="false">IF(K1086&lt;判定条件!$C$6,"判定不能",IF(L1086&gt;=判定条件!$C$7*K1086,"運転",IF(L1086&lt;=判定条件!$C$8*K1086,"停止","断続")))</f>
        <v>停止</v>
      </c>
      <c r="N1086" s="30" t="n">
        <v>60</v>
      </c>
      <c r="O1086" s="30" t="n">
        <v>0</v>
      </c>
      <c r="P1086" s="30" t="str">
        <f aca="false">IF(N1086&lt;判定条件!$C$6,"判定不能",IF(O1086&gt;=判定条件!$C$7*N1086,"運転",IF(O1086&lt;=判定条件!$C$8*N1086,"停止","断続")))</f>
        <v>停止</v>
      </c>
      <c r="Q1086" s="30" t="n">
        <v>60</v>
      </c>
      <c r="R1086" s="30" t="n">
        <v>0</v>
      </c>
      <c r="S1086" s="30" t="str">
        <f aca="false">IF(Q1086&lt;判定条件!$C$6,"判定不能",IF(R1086&gt;=判定条件!$C$7*Q1086,"運転",IF(R1086&lt;=判定条件!$C$8*Q1086,"停止","断続")))</f>
        <v>停止</v>
      </c>
      <c r="T1086" s="30" t="n">
        <v>60</v>
      </c>
      <c r="U1086" s="30" t="n">
        <v>0</v>
      </c>
      <c r="V1086" s="30" t="str">
        <f aca="false">IF(T1086&lt;判定条件!$C$6,"判定不能",IF(U1086&gt;=判定条件!$C$7*T1086,"運転",IF(U1086&lt;=判定条件!$C$8*T1086,"停止","断続")))</f>
        <v>停止</v>
      </c>
      <c r="W1086" s="30" t="n">
        <v>60</v>
      </c>
      <c r="X1086" s="30" t="n">
        <v>0</v>
      </c>
      <c r="Y1086" s="30" t="str">
        <f aca="false">IF(W1086&lt;判定条件!$C$6,"判定不能",IF(X1086&gt;=判定条件!$C$7*W1086,"運転",IF(X1086&lt;=判定条件!$C$8*W1086,"停止","断続")))</f>
        <v>停止</v>
      </c>
      <c r="Z1086" s="30" t="n">
        <v>60</v>
      </c>
      <c r="AA1086" s="30" t="n">
        <v>0</v>
      </c>
      <c r="AB1086" s="30" t="str">
        <f aca="false">IF(Z1086&lt;判定条件!$C$6,"判定不能",IF(AA1086&gt;=判定条件!$C$7*Z1086,"運転",IF(AA1086&lt;=判定条件!$C$8*Z1086,"停止","断続")))</f>
        <v>停止</v>
      </c>
      <c r="AC1086" s="30" t="n">
        <v>60</v>
      </c>
      <c r="AD1086" s="30" t="n">
        <v>0</v>
      </c>
      <c r="AE1086" s="30" t="str">
        <f aca="false">IF(AC1086&lt;判定条件!$C$6,"判定不能",IF(AD1086&gt;=判定条件!$C$7*AC1086,"運転",IF(AD1086&lt;=判定条件!$C$8*AC1086,"停止","断続")))</f>
        <v>停止</v>
      </c>
      <c r="AF1086" s="30" t="n">
        <v>60</v>
      </c>
      <c r="AG1086" s="30" t="n">
        <v>0</v>
      </c>
      <c r="AH1086" s="30" t="str">
        <f aca="false">IF(OR(P1086="判定不能",G1086="判定不能"),"判定不能",IF(AG1086&gt;=判定条件!$C$9,"利用可",IF(AND(P1086="停止",G1086="停止"),"両方停止","運転がそろわない")))</f>
        <v>両方停止</v>
      </c>
      <c r="AI1086" s="30" t="n">
        <v>60</v>
      </c>
      <c r="AJ1086" s="30" t="n">
        <v>0</v>
      </c>
      <c r="AK1086" s="30" t="str">
        <f aca="false">IF(OR(S1086="判定不能",J1086="判定不能"),"判定不能",IF(AJ1086&gt;=判定条件!$C$9,"利用可",IF(AND(S1086="停止",J1086="停止"),"両方停止","運転がそろわない")))</f>
        <v>両方停止</v>
      </c>
      <c r="AL1086" s="30" t="n">
        <v>60</v>
      </c>
      <c r="AM1086" s="30" t="n">
        <v>0</v>
      </c>
      <c r="AN1086" s="30" t="str">
        <f aca="false">IF(OR(V1086="判定不能",M1086="判定不能"),"判定不能",IF(AM1086&gt;=判定条件!$C$9,"利用可",IF(AND(V1086="停止",M1086="停止"),"両方停止","運転がそろわない")))</f>
        <v>両方停止</v>
      </c>
      <c r="AO1086" s="30" t="n">
        <v>60</v>
      </c>
      <c r="AP1086" s="30" t="n">
        <v>0</v>
      </c>
      <c r="AQ1086" s="30" t="str">
        <f aca="false">IF(OR(Y1086="判定不能",G1086="判定不能"),"判定不能",IF(AP1086&gt;=判定条件!$C$9,"利用可",IF(AND(Y1086="停止",G1086="停止"),"両方停止","運転がそろわない")))</f>
        <v>両方停止</v>
      </c>
      <c r="AR1086" s="30" t="n">
        <v>60</v>
      </c>
      <c r="AS1086" s="30" t="n">
        <v>0</v>
      </c>
      <c r="AT1086" s="30" t="str">
        <f aca="false">IF(OR(AB1086="判定不能",J1086="判定不能"),"判定不能",IF(AS1086&gt;=判定条件!$C$9,"利用可",IF(AND(AB1086="停止",J1086="停止"),"両方停止","運転がそろわない")))</f>
        <v>両方停止</v>
      </c>
      <c r="AU1086" s="30" t="n">
        <v>60</v>
      </c>
      <c r="AV1086" s="30" t="n">
        <v>0</v>
      </c>
      <c r="AW1086" s="30" t="str">
        <f aca="false">IF(OR(AE1086="判定不能",M1086="判定不能"),"判定不能",IF(AV1086&gt;=判定条件!$C$9,"利用可",IF(AND(AE1086="停止",M1086="停止"),"両方停止","運転がそろわない")))</f>
        <v>両方停止</v>
      </c>
      <c r="AX1086" s="30" t="str">
        <f aca="false">IF(AND(AH1086="利用可",AK1086="利用可",AN1086="利用可"),"利用可","不可")</f>
        <v>不可</v>
      </c>
      <c r="AY1086" s="30" t="str">
        <f aca="false">IF(AND(AQ1086="利用可",AT1086="利用可",AW1086="利用可"),"利用可","不可")</f>
        <v>不可</v>
      </c>
    </row>
    <row r="1087" customFormat="false" ht="15" hidden="false" customHeight="false" outlineLevel="0" collapsed="false">
      <c r="A1087" s="29" t="n">
        <v>46277</v>
      </c>
      <c r="B1087" s="30" t="n">
        <v>4</v>
      </c>
      <c r="C1087" s="31" t="s">
        <v>63</v>
      </c>
      <c r="D1087" s="31" t="s">
        <v>64</v>
      </c>
      <c r="E1087" s="30" t="n">
        <v>60</v>
      </c>
      <c r="F1087" s="30" t="n">
        <v>0</v>
      </c>
      <c r="G1087" s="30" t="str">
        <f aca="false">IF(E1087&lt;判定条件!$C$6,"判定不能",IF(F1087&gt;=判定条件!$C$7*E1087,"運転",IF(F1087&lt;=判定条件!$C$8*E1087,"停止","断続")))</f>
        <v>停止</v>
      </c>
      <c r="H1087" s="30" t="n">
        <v>60</v>
      </c>
      <c r="I1087" s="30" t="n">
        <v>0</v>
      </c>
      <c r="J1087" s="30" t="str">
        <f aca="false">IF(H1087&lt;判定条件!$C$6,"判定不能",IF(I1087&gt;=判定条件!$C$7*H1087,"運転",IF(I1087&lt;=判定条件!$C$8*H1087,"停止","断続")))</f>
        <v>停止</v>
      </c>
      <c r="K1087" s="30" t="n">
        <v>60</v>
      </c>
      <c r="L1087" s="30" t="n">
        <v>0</v>
      </c>
      <c r="M1087" s="30" t="str">
        <f aca="false">IF(K1087&lt;判定条件!$C$6,"判定不能",IF(L1087&gt;=判定条件!$C$7*K1087,"運転",IF(L1087&lt;=判定条件!$C$8*K1087,"停止","断続")))</f>
        <v>停止</v>
      </c>
      <c r="N1087" s="30" t="n">
        <v>60</v>
      </c>
      <c r="O1087" s="30" t="n">
        <v>0</v>
      </c>
      <c r="P1087" s="30" t="str">
        <f aca="false">IF(N1087&lt;判定条件!$C$6,"判定不能",IF(O1087&gt;=判定条件!$C$7*N1087,"運転",IF(O1087&lt;=判定条件!$C$8*N1087,"停止","断続")))</f>
        <v>停止</v>
      </c>
      <c r="Q1087" s="30" t="n">
        <v>60</v>
      </c>
      <c r="R1087" s="30" t="n">
        <v>0</v>
      </c>
      <c r="S1087" s="30" t="str">
        <f aca="false">IF(Q1087&lt;判定条件!$C$6,"判定不能",IF(R1087&gt;=判定条件!$C$7*Q1087,"運転",IF(R1087&lt;=判定条件!$C$8*Q1087,"停止","断続")))</f>
        <v>停止</v>
      </c>
      <c r="T1087" s="30" t="n">
        <v>60</v>
      </c>
      <c r="U1087" s="30" t="n">
        <v>0</v>
      </c>
      <c r="V1087" s="30" t="str">
        <f aca="false">IF(T1087&lt;判定条件!$C$6,"判定不能",IF(U1087&gt;=判定条件!$C$7*T1087,"運転",IF(U1087&lt;=判定条件!$C$8*T1087,"停止","断続")))</f>
        <v>停止</v>
      </c>
      <c r="W1087" s="30" t="n">
        <v>60</v>
      </c>
      <c r="X1087" s="30" t="n">
        <v>0</v>
      </c>
      <c r="Y1087" s="30" t="str">
        <f aca="false">IF(W1087&lt;判定条件!$C$6,"判定不能",IF(X1087&gt;=判定条件!$C$7*W1087,"運転",IF(X1087&lt;=判定条件!$C$8*W1087,"停止","断続")))</f>
        <v>停止</v>
      </c>
      <c r="Z1087" s="30" t="n">
        <v>60</v>
      </c>
      <c r="AA1087" s="30" t="n">
        <v>0</v>
      </c>
      <c r="AB1087" s="30" t="str">
        <f aca="false">IF(Z1087&lt;判定条件!$C$6,"判定不能",IF(AA1087&gt;=判定条件!$C$7*Z1087,"運転",IF(AA1087&lt;=判定条件!$C$8*Z1087,"停止","断続")))</f>
        <v>停止</v>
      </c>
      <c r="AC1087" s="30" t="n">
        <v>60</v>
      </c>
      <c r="AD1087" s="30" t="n">
        <v>0</v>
      </c>
      <c r="AE1087" s="30" t="str">
        <f aca="false">IF(AC1087&lt;判定条件!$C$6,"判定不能",IF(AD1087&gt;=判定条件!$C$7*AC1087,"運転",IF(AD1087&lt;=判定条件!$C$8*AC1087,"停止","断続")))</f>
        <v>停止</v>
      </c>
      <c r="AF1087" s="30" t="n">
        <v>60</v>
      </c>
      <c r="AG1087" s="30" t="n">
        <v>0</v>
      </c>
      <c r="AH1087" s="30" t="str">
        <f aca="false">IF(OR(P1087="判定不能",G1087="判定不能"),"判定不能",IF(AG1087&gt;=判定条件!$C$9,"利用可",IF(AND(P1087="停止",G1087="停止"),"両方停止","運転がそろわない")))</f>
        <v>両方停止</v>
      </c>
      <c r="AI1087" s="30" t="n">
        <v>60</v>
      </c>
      <c r="AJ1087" s="30" t="n">
        <v>0</v>
      </c>
      <c r="AK1087" s="30" t="str">
        <f aca="false">IF(OR(S1087="判定不能",J1087="判定不能"),"判定不能",IF(AJ1087&gt;=判定条件!$C$9,"利用可",IF(AND(S1087="停止",J1087="停止"),"両方停止","運転がそろわない")))</f>
        <v>両方停止</v>
      </c>
      <c r="AL1087" s="30" t="n">
        <v>60</v>
      </c>
      <c r="AM1087" s="30" t="n">
        <v>0</v>
      </c>
      <c r="AN1087" s="30" t="str">
        <f aca="false">IF(OR(V1087="判定不能",M1087="判定不能"),"判定不能",IF(AM1087&gt;=判定条件!$C$9,"利用可",IF(AND(V1087="停止",M1087="停止"),"両方停止","運転がそろわない")))</f>
        <v>両方停止</v>
      </c>
      <c r="AO1087" s="30" t="n">
        <v>60</v>
      </c>
      <c r="AP1087" s="30" t="n">
        <v>0</v>
      </c>
      <c r="AQ1087" s="30" t="str">
        <f aca="false">IF(OR(Y1087="判定不能",G1087="判定不能"),"判定不能",IF(AP1087&gt;=判定条件!$C$9,"利用可",IF(AND(Y1087="停止",G1087="停止"),"両方停止","運転がそろわない")))</f>
        <v>両方停止</v>
      </c>
      <c r="AR1087" s="30" t="n">
        <v>60</v>
      </c>
      <c r="AS1087" s="30" t="n">
        <v>0</v>
      </c>
      <c r="AT1087" s="30" t="str">
        <f aca="false">IF(OR(AB1087="判定不能",J1087="判定不能"),"判定不能",IF(AS1087&gt;=判定条件!$C$9,"利用可",IF(AND(AB1087="停止",J1087="停止"),"両方停止","運転がそろわない")))</f>
        <v>両方停止</v>
      </c>
      <c r="AU1087" s="30" t="n">
        <v>60</v>
      </c>
      <c r="AV1087" s="30" t="n">
        <v>0</v>
      </c>
      <c r="AW1087" s="30" t="str">
        <f aca="false">IF(OR(AE1087="判定不能",M1087="判定不能"),"判定不能",IF(AV1087&gt;=判定条件!$C$9,"利用可",IF(AND(AE1087="停止",M1087="停止"),"両方停止","運転がそろわない")))</f>
        <v>両方停止</v>
      </c>
      <c r="AX1087" s="30" t="str">
        <f aca="false">IF(AND(AH1087="利用可",AK1087="利用可",AN1087="利用可"),"利用可","不可")</f>
        <v>不可</v>
      </c>
      <c r="AY1087" s="30" t="str">
        <f aca="false">IF(AND(AQ1087="利用可",AT1087="利用可",AW1087="利用可"),"利用可","不可")</f>
        <v>不可</v>
      </c>
    </row>
    <row r="1088" customFormat="false" ht="15" hidden="false" customHeight="false" outlineLevel="0" collapsed="false">
      <c r="A1088" s="29" t="n">
        <v>46277</v>
      </c>
      <c r="B1088" s="30" t="n">
        <v>5</v>
      </c>
      <c r="C1088" s="31" t="s">
        <v>63</v>
      </c>
      <c r="D1088" s="31" t="s">
        <v>64</v>
      </c>
      <c r="E1088" s="30" t="n">
        <v>60</v>
      </c>
      <c r="F1088" s="30" t="n">
        <v>0</v>
      </c>
      <c r="G1088" s="30" t="str">
        <f aca="false">IF(E1088&lt;判定条件!$C$6,"判定不能",IF(F1088&gt;=判定条件!$C$7*E1088,"運転",IF(F1088&lt;=判定条件!$C$8*E1088,"停止","断続")))</f>
        <v>停止</v>
      </c>
      <c r="H1088" s="30" t="n">
        <v>60</v>
      </c>
      <c r="I1088" s="30" t="n">
        <v>0</v>
      </c>
      <c r="J1088" s="30" t="str">
        <f aca="false">IF(H1088&lt;判定条件!$C$6,"判定不能",IF(I1088&gt;=判定条件!$C$7*H1088,"運転",IF(I1088&lt;=判定条件!$C$8*H1088,"停止","断続")))</f>
        <v>停止</v>
      </c>
      <c r="K1088" s="30" t="n">
        <v>60</v>
      </c>
      <c r="L1088" s="30" t="n">
        <v>0</v>
      </c>
      <c r="M1088" s="30" t="str">
        <f aca="false">IF(K1088&lt;判定条件!$C$6,"判定不能",IF(L1088&gt;=判定条件!$C$7*K1088,"運転",IF(L1088&lt;=判定条件!$C$8*K1088,"停止","断続")))</f>
        <v>停止</v>
      </c>
      <c r="N1088" s="30" t="n">
        <v>60</v>
      </c>
      <c r="O1088" s="30" t="n">
        <v>0</v>
      </c>
      <c r="P1088" s="30" t="str">
        <f aca="false">IF(N1088&lt;判定条件!$C$6,"判定不能",IF(O1088&gt;=判定条件!$C$7*N1088,"運転",IF(O1088&lt;=判定条件!$C$8*N1088,"停止","断続")))</f>
        <v>停止</v>
      </c>
      <c r="Q1088" s="30" t="n">
        <v>60</v>
      </c>
      <c r="R1088" s="30" t="n">
        <v>0</v>
      </c>
      <c r="S1088" s="30" t="str">
        <f aca="false">IF(Q1088&lt;判定条件!$C$6,"判定不能",IF(R1088&gt;=判定条件!$C$7*Q1088,"運転",IF(R1088&lt;=判定条件!$C$8*Q1088,"停止","断続")))</f>
        <v>停止</v>
      </c>
      <c r="T1088" s="30" t="n">
        <v>60</v>
      </c>
      <c r="U1088" s="30" t="n">
        <v>0</v>
      </c>
      <c r="V1088" s="30" t="str">
        <f aca="false">IF(T1088&lt;判定条件!$C$6,"判定不能",IF(U1088&gt;=判定条件!$C$7*T1088,"運転",IF(U1088&lt;=判定条件!$C$8*T1088,"停止","断続")))</f>
        <v>停止</v>
      </c>
      <c r="W1088" s="30" t="n">
        <v>60</v>
      </c>
      <c r="X1088" s="30" t="n">
        <v>0</v>
      </c>
      <c r="Y1088" s="30" t="str">
        <f aca="false">IF(W1088&lt;判定条件!$C$6,"判定不能",IF(X1088&gt;=判定条件!$C$7*W1088,"運転",IF(X1088&lt;=判定条件!$C$8*W1088,"停止","断続")))</f>
        <v>停止</v>
      </c>
      <c r="Z1088" s="30" t="n">
        <v>60</v>
      </c>
      <c r="AA1088" s="30" t="n">
        <v>0</v>
      </c>
      <c r="AB1088" s="30" t="str">
        <f aca="false">IF(Z1088&lt;判定条件!$C$6,"判定不能",IF(AA1088&gt;=判定条件!$C$7*Z1088,"運転",IF(AA1088&lt;=判定条件!$C$8*Z1088,"停止","断続")))</f>
        <v>停止</v>
      </c>
      <c r="AC1088" s="30" t="n">
        <v>60</v>
      </c>
      <c r="AD1088" s="30" t="n">
        <v>0</v>
      </c>
      <c r="AE1088" s="30" t="str">
        <f aca="false">IF(AC1088&lt;判定条件!$C$6,"判定不能",IF(AD1088&gt;=判定条件!$C$7*AC1088,"運転",IF(AD1088&lt;=判定条件!$C$8*AC1088,"停止","断続")))</f>
        <v>停止</v>
      </c>
      <c r="AF1088" s="30" t="n">
        <v>60</v>
      </c>
      <c r="AG1088" s="30" t="n">
        <v>0</v>
      </c>
      <c r="AH1088" s="30" t="str">
        <f aca="false">IF(OR(P1088="判定不能",G1088="判定不能"),"判定不能",IF(AG1088&gt;=判定条件!$C$9,"利用可",IF(AND(P1088="停止",G1088="停止"),"両方停止","運転がそろわない")))</f>
        <v>両方停止</v>
      </c>
      <c r="AI1088" s="30" t="n">
        <v>60</v>
      </c>
      <c r="AJ1088" s="30" t="n">
        <v>0</v>
      </c>
      <c r="AK1088" s="30" t="str">
        <f aca="false">IF(OR(S1088="判定不能",J1088="判定不能"),"判定不能",IF(AJ1088&gt;=判定条件!$C$9,"利用可",IF(AND(S1088="停止",J1088="停止"),"両方停止","運転がそろわない")))</f>
        <v>両方停止</v>
      </c>
      <c r="AL1088" s="30" t="n">
        <v>60</v>
      </c>
      <c r="AM1088" s="30" t="n">
        <v>0</v>
      </c>
      <c r="AN1088" s="30" t="str">
        <f aca="false">IF(OR(V1088="判定不能",M1088="判定不能"),"判定不能",IF(AM1088&gt;=判定条件!$C$9,"利用可",IF(AND(V1088="停止",M1088="停止"),"両方停止","運転がそろわない")))</f>
        <v>両方停止</v>
      </c>
      <c r="AO1088" s="30" t="n">
        <v>60</v>
      </c>
      <c r="AP1088" s="30" t="n">
        <v>0</v>
      </c>
      <c r="AQ1088" s="30" t="str">
        <f aca="false">IF(OR(Y1088="判定不能",G1088="判定不能"),"判定不能",IF(AP1088&gt;=判定条件!$C$9,"利用可",IF(AND(Y1088="停止",G1088="停止"),"両方停止","運転がそろわない")))</f>
        <v>両方停止</v>
      </c>
      <c r="AR1088" s="30" t="n">
        <v>60</v>
      </c>
      <c r="AS1088" s="30" t="n">
        <v>0</v>
      </c>
      <c r="AT1088" s="30" t="str">
        <f aca="false">IF(OR(AB1088="判定不能",J1088="判定不能"),"判定不能",IF(AS1088&gt;=判定条件!$C$9,"利用可",IF(AND(AB1088="停止",J1088="停止"),"両方停止","運転がそろわない")))</f>
        <v>両方停止</v>
      </c>
      <c r="AU1088" s="30" t="n">
        <v>60</v>
      </c>
      <c r="AV1088" s="30" t="n">
        <v>0</v>
      </c>
      <c r="AW1088" s="30" t="str">
        <f aca="false">IF(OR(AE1088="判定不能",M1088="判定不能"),"判定不能",IF(AV1088&gt;=判定条件!$C$9,"利用可",IF(AND(AE1088="停止",M1088="停止"),"両方停止","運転がそろわない")))</f>
        <v>両方停止</v>
      </c>
      <c r="AX1088" s="30" t="str">
        <f aca="false">IF(AND(AH1088="利用可",AK1088="利用可",AN1088="利用可"),"利用可","不可")</f>
        <v>不可</v>
      </c>
      <c r="AY1088" s="30" t="str">
        <f aca="false">IF(AND(AQ1088="利用可",AT1088="利用可",AW1088="利用可"),"利用可","不可")</f>
        <v>不可</v>
      </c>
    </row>
    <row r="1089" customFormat="false" ht="15" hidden="false" customHeight="false" outlineLevel="0" collapsed="false">
      <c r="A1089" s="29" t="n">
        <v>46277</v>
      </c>
      <c r="B1089" s="30" t="n">
        <v>6</v>
      </c>
      <c r="C1089" s="31" t="s">
        <v>63</v>
      </c>
      <c r="D1089" s="31" t="s">
        <v>64</v>
      </c>
      <c r="E1089" s="30" t="n">
        <v>60</v>
      </c>
      <c r="F1089" s="30" t="n">
        <v>0</v>
      </c>
      <c r="G1089" s="30" t="str">
        <f aca="false">IF(E1089&lt;判定条件!$C$6,"判定不能",IF(F1089&gt;=判定条件!$C$7*E1089,"運転",IF(F1089&lt;=判定条件!$C$8*E1089,"停止","断続")))</f>
        <v>停止</v>
      </c>
      <c r="H1089" s="30" t="n">
        <v>60</v>
      </c>
      <c r="I1089" s="30" t="n">
        <v>0</v>
      </c>
      <c r="J1089" s="30" t="str">
        <f aca="false">IF(H1089&lt;判定条件!$C$6,"判定不能",IF(I1089&gt;=判定条件!$C$7*H1089,"運転",IF(I1089&lt;=判定条件!$C$8*H1089,"停止","断続")))</f>
        <v>停止</v>
      </c>
      <c r="K1089" s="30" t="n">
        <v>60</v>
      </c>
      <c r="L1089" s="30" t="n">
        <v>0</v>
      </c>
      <c r="M1089" s="30" t="str">
        <f aca="false">IF(K1089&lt;判定条件!$C$6,"判定不能",IF(L1089&gt;=判定条件!$C$7*K1089,"運転",IF(L1089&lt;=判定条件!$C$8*K1089,"停止","断続")))</f>
        <v>停止</v>
      </c>
      <c r="N1089" s="30" t="n">
        <v>60</v>
      </c>
      <c r="O1089" s="30" t="n">
        <v>0</v>
      </c>
      <c r="P1089" s="30" t="str">
        <f aca="false">IF(N1089&lt;判定条件!$C$6,"判定不能",IF(O1089&gt;=判定条件!$C$7*N1089,"運転",IF(O1089&lt;=判定条件!$C$8*N1089,"停止","断続")))</f>
        <v>停止</v>
      </c>
      <c r="Q1089" s="30" t="n">
        <v>60</v>
      </c>
      <c r="R1089" s="30" t="n">
        <v>0</v>
      </c>
      <c r="S1089" s="30" t="str">
        <f aca="false">IF(Q1089&lt;判定条件!$C$6,"判定不能",IF(R1089&gt;=判定条件!$C$7*Q1089,"運転",IF(R1089&lt;=判定条件!$C$8*Q1089,"停止","断続")))</f>
        <v>停止</v>
      </c>
      <c r="T1089" s="30" t="n">
        <v>60</v>
      </c>
      <c r="U1089" s="30" t="n">
        <v>0</v>
      </c>
      <c r="V1089" s="30" t="str">
        <f aca="false">IF(T1089&lt;判定条件!$C$6,"判定不能",IF(U1089&gt;=判定条件!$C$7*T1089,"運転",IF(U1089&lt;=判定条件!$C$8*T1089,"停止","断続")))</f>
        <v>停止</v>
      </c>
      <c r="W1089" s="30" t="n">
        <v>60</v>
      </c>
      <c r="X1089" s="30" t="n">
        <v>0</v>
      </c>
      <c r="Y1089" s="30" t="str">
        <f aca="false">IF(W1089&lt;判定条件!$C$6,"判定不能",IF(X1089&gt;=判定条件!$C$7*W1089,"運転",IF(X1089&lt;=判定条件!$C$8*W1089,"停止","断続")))</f>
        <v>停止</v>
      </c>
      <c r="Z1089" s="30" t="n">
        <v>60</v>
      </c>
      <c r="AA1089" s="30" t="n">
        <v>0</v>
      </c>
      <c r="AB1089" s="30" t="str">
        <f aca="false">IF(Z1089&lt;判定条件!$C$6,"判定不能",IF(AA1089&gt;=判定条件!$C$7*Z1089,"運転",IF(AA1089&lt;=判定条件!$C$8*Z1089,"停止","断続")))</f>
        <v>停止</v>
      </c>
      <c r="AC1089" s="30" t="n">
        <v>60</v>
      </c>
      <c r="AD1089" s="30" t="n">
        <v>0</v>
      </c>
      <c r="AE1089" s="30" t="str">
        <f aca="false">IF(AC1089&lt;判定条件!$C$6,"判定不能",IF(AD1089&gt;=判定条件!$C$7*AC1089,"運転",IF(AD1089&lt;=判定条件!$C$8*AC1089,"停止","断続")))</f>
        <v>停止</v>
      </c>
      <c r="AF1089" s="30" t="n">
        <v>60</v>
      </c>
      <c r="AG1089" s="30" t="n">
        <v>0</v>
      </c>
      <c r="AH1089" s="30" t="str">
        <f aca="false">IF(OR(P1089="判定不能",G1089="判定不能"),"判定不能",IF(AG1089&gt;=判定条件!$C$9,"利用可",IF(AND(P1089="停止",G1089="停止"),"両方停止","運転がそろわない")))</f>
        <v>両方停止</v>
      </c>
      <c r="AI1089" s="30" t="n">
        <v>60</v>
      </c>
      <c r="AJ1089" s="30" t="n">
        <v>0</v>
      </c>
      <c r="AK1089" s="30" t="str">
        <f aca="false">IF(OR(S1089="判定不能",J1089="判定不能"),"判定不能",IF(AJ1089&gt;=判定条件!$C$9,"利用可",IF(AND(S1089="停止",J1089="停止"),"両方停止","運転がそろわない")))</f>
        <v>両方停止</v>
      </c>
      <c r="AL1089" s="30" t="n">
        <v>60</v>
      </c>
      <c r="AM1089" s="30" t="n">
        <v>0</v>
      </c>
      <c r="AN1089" s="30" t="str">
        <f aca="false">IF(OR(V1089="判定不能",M1089="判定不能"),"判定不能",IF(AM1089&gt;=判定条件!$C$9,"利用可",IF(AND(V1089="停止",M1089="停止"),"両方停止","運転がそろわない")))</f>
        <v>両方停止</v>
      </c>
      <c r="AO1089" s="30" t="n">
        <v>60</v>
      </c>
      <c r="AP1089" s="30" t="n">
        <v>0</v>
      </c>
      <c r="AQ1089" s="30" t="str">
        <f aca="false">IF(OR(Y1089="判定不能",G1089="判定不能"),"判定不能",IF(AP1089&gt;=判定条件!$C$9,"利用可",IF(AND(Y1089="停止",G1089="停止"),"両方停止","運転がそろわない")))</f>
        <v>両方停止</v>
      </c>
      <c r="AR1089" s="30" t="n">
        <v>60</v>
      </c>
      <c r="AS1089" s="30" t="n">
        <v>0</v>
      </c>
      <c r="AT1089" s="30" t="str">
        <f aca="false">IF(OR(AB1089="判定不能",J1089="判定不能"),"判定不能",IF(AS1089&gt;=判定条件!$C$9,"利用可",IF(AND(AB1089="停止",J1089="停止"),"両方停止","運転がそろわない")))</f>
        <v>両方停止</v>
      </c>
      <c r="AU1089" s="30" t="n">
        <v>60</v>
      </c>
      <c r="AV1089" s="30" t="n">
        <v>0</v>
      </c>
      <c r="AW1089" s="30" t="str">
        <f aca="false">IF(OR(AE1089="判定不能",M1089="判定不能"),"判定不能",IF(AV1089&gt;=判定条件!$C$9,"利用可",IF(AND(AE1089="停止",M1089="停止"),"両方停止","運転がそろわない")))</f>
        <v>両方停止</v>
      </c>
      <c r="AX1089" s="30" t="str">
        <f aca="false">IF(AND(AH1089="利用可",AK1089="利用可",AN1089="利用可"),"利用可","不可")</f>
        <v>不可</v>
      </c>
      <c r="AY1089" s="30" t="str">
        <f aca="false">IF(AND(AQ1089="利用可",AT1089="利用可",AW1089="利用可"),"利用可","不可")</f>
        <v>不可</v>
      </c>
    </row>
    <row r="1090" customFormat="false" ht="15" hidden="false" customHeight="false" outlineLevel="0" collapsed="false">
      <c r="A1090" s="29" t="n">
        <v>46277</v>
      </c>
      <c r="B1090" s="30" t="n">
        <v>7</v>
      </c>
      <c r="C1090" s="31" t="s">
        <v>63</v>
      </c>
      <c r="D1090" s="31" t="s">
        <v>64</v>
      </c>
      <c r="E1090" s="30" t="n">
        <v>60</v>
      </c>
      <c r="F1090" s="30" t="n">
        <v>0</v>
      </c>
      <c r="G1090" s="30" t="str">
        <f aca="false">IF(E1090&lt;判定条件!$C$6,"判定不能",IF(F1090&gt;=判定条件!$C$7*E1090,"運転",IF(F1090&lt;=判定条件!$C$8*E1090,"停止","断続")))</f>
        <v>停止</v>
      </c>
      <c r="H1090" s="30" t="n">
        <v>60</v>
      </c>
      <c r="I1090" s="30" t="n">
        <v>0</v>
      </c>
      <c r="J1090" s="30" t="str">
        <f aca="false">IF(H1090&lt;判定条件!$C$6,"判定不能",IF(I1090&gt;=判定条件!$C$7*H1090,"運転",IF(I1090&lt;=判定条件!$C$8*H1090,"停止","断続")))</f>
        <v>停止</v>
      </c>
      <c r="K1090" s="30" t="n">
        <v>60</v>
      </c>
      <c r="L1090" s="30" t="n">
        <v>0</v>
      </c>
      <c r="M1090" s="30" t="str">
        <f aca="false">IF(K1090&lt;判定条件!$C$6,"判定不能",IF(L1090&gt;=判定条件!$C$7*K1090,"運転",IF(L1090&lt;=判定条件!$C$8*K1090,"停止","断続")))</f>
        <v>停止</v>
      </c>
      <c r="N1090" s="30" t="n">
        <v>60</v>
      </c>
      <c r="O1090" s="30" t="n">
        <v>0</v>
      </c>
      <c r="P1090" s="30" t="str">
        <f aca="false">IF(N1090&lt;判定条件!$C$6,"判定不能",IF(O1090&gt;=判定条件!$C$7*N1090,"運転",IF(O1090&lt;=判定条件!$C$8*N1090,"停止","断続")))</f>
        <v>停止</v>
      </c>
      <c r="Q1090" s="30" t="n">
        <v>60</v>
      </c>
      <c r="R1090" s="30" t="n">
        <v>0</v>
      </c>
      <c r="S1090" s="30" t="str">
        <f aca="false">IF(Q1090&lt;判定条件!$C$6,"判定不能",IF(R1090&gt;=判定条件!$C$7*Q1090,"運転",IF(R1090&lt;=判定条件!$C$8*Q1090,"停止","断続")))</f>
        <v>停止</v>
      </c>
      <c r="T1090" s="30" t="n">
        <v>60</v>
      </c>
      <c r="U1090" s="30" t="n">
        <v>0</v>
      </c>
      <c r="V1090" s="30" t="str">
        <f aca="false">IF(T1090&lt;判定条件!$C$6,"判定不能",IF(U1090&gt;=判定条件!$C$7*T1090,"運転",IF(U1090&lt;=判定条件!$C$8*T1090,"停止","断続")))</f>
        <v>停止</v>
      </c>
      <c r="W1090" s="30" t="n">
        <v>60</v>
      </c>
      <c r="X1090" s="30" t="n">
        <v>0</v>
      </c>
      <c r="Y1090" s="30" t="str">
        <f aca="false">IF(W1090&lt;判定条件!$C$6,"判定不能",IF(X1090&gt;=判定条件!$C$7*W1090,"運転",IF(X1090&lt;=判定条件!$C$8*W1090,"停止","断続")))</f>
        <v>停止</v>
      </c>
      <c r="Z1090" s="30" t="n">
        <v>60</v>
      </c>
      <c r="AA1090" s="30" t="n">
        <v>0</v>
      </c>
      <c r="AB1090" s="30" t="str">
        <f aca="false">IF(Z1090&lt;判定条件!$C$6,"判定不能",IF(AA1090&gt;=判定条件!$C$7*Z1090,"運転",IF(AA1090&lt;=判定条件!$C$8*Z1090,"停止","断続")))</f>
        <v>停止</v>
      </c>
      <c r="AC1090" s="30" t="n">
        <v>60</v>
      </c>
      <c r="AD1090" s="30" t="n">
        <v>0</v>
      </c>
      <c r="AE1090" s="30" t="str">
        <f aca="false">IF(AC1090&lt;判定条件!$C$6,"判定不能",IF(AD1090&gt;=判定条件!$C$7*AC1090,"運転",IF(AD1090&lt;=判定条件!$C$8*AC1090,"停止","断続")))</f>
        <v>停止</v>
      </c>
      <c r="AF1090" s="30" t="n">
        <v>60</v>
      </c>
      <c r="AG1090" s="30" t="n">
        <v>0</v>
      </c>
      <c r="AH1090" s="30" t="str">
        <f aca="false">IF(OR(P1090="判定不能",G1090="判定不能"),"判定不能",IF(AG1090&gt;=判定条件!$C$9,"利用可",IF(AND(P1090="停止",G1090="停止"),"両方停止","運転がそろわない")))</f>
        <v>両方停止</v>
      </c>
      <c r="AI1090" s="30" t="n">
        <v>60</v>
      </c>
      <c r="AJ1090" s="30" t="n">
        <v>0</v>
      </c>
      <c r="AK1090" s="30" t="str">
        <f aca="false">IF(OR(S1090="判定不能",J1090="判定不能"),"判定不能",IF(AJ1090&gt;=判定条件!$C$9,"利用可",IF(AND(S1090="停止",J1090="停止"),"両方停止","運転がそろわない")))</f>
        <v>両方停止</v>
      </c>
      <c r="AL1090" s="30" t="n">
        <v>60</v>
      </c>
      <c r="AM1090" s="30" t="n">
        <v>0</v>
      </c>
      <c r="AN1090" s="30" t="str">
        <f aca="false">IF(OR(V1090="判定不能",M1090="判定不能"),"判定不能",IF(AM1090&gt;=判定条件!$C$9,"利用可",IF(AND(V1090="停止",M1090="停止"),"両方停止","運転がそろわない")))</f>
        <v>両方停止</v>
      </c>
      <c r="AO1090" s="30" t="n">
        <v>60</v>
      </c>
      <c r="AP1090" s="30" t="n">
        <v>0</v>
      </c>
      <c r="AQ1090" s="30" t="str">
        <f aca="false">IF(OR(Y1090="判定不能",G1090="判定不能"),"判定不能",IF(AP1090&gt;=判定条件!$C$9,"利用可",IF(AND(Y1090="停止",G1090="停止"),"両方停止","運転がそろわない")))</f>
        <v>両方停止</v>
      </c>
      <c r="AR1090" s="30" t="n">
        <v>60</v>
      </c>
      <c r="AS1090" s="30" t="n">
        <v>0</v>
      </c>
      <c r="AT1090" s="30" t="str">
        <f aca="false">IF(OR(AB1090="判定不能",J1090="判定不能"),"判定不能",IF(AS1090&gt;=判定条件!$C$9,"利用可",IF(AND(AB1090="停止",J1090="停止"),"両方停止","運転がそろわない")))</f>
        <v>両方停止</v>
      </c>
      <c r="AU1090" s="30" t="n">
        <v>60</v>
      </c>
      <c r="AV1090" s="30" t="n">
        <v>0</v>
      </c>
      <c r="AW1090" s="30" t="str">
        <f aca="false">IF(OR(AE1090="判定不能",M1090="判定不能"),"判定不能",IF(AV1090&gt;=判定条件!$C$9,"利用可",IF(AND(AE1090="停止",M1090="停止"),"両方停止","運転がそろわない")))</f>
        <v>両方停止</v>
      </c>
      <c r="AX1090" s="30" t="str">
        <f aca="false">IF(AND(AH1090="利用可",AK1090="利用可",AN1090="利用可"),"利用可","不可")</f>
        <v>不可</v>
      </c>
      <c r="AY1090" s="30" t="str">
        <f aca="false">IF(AND(AQ1090="利用可",AT1090="利用可",AW1090="利用可"),"利用可","不可")</f>
        <v>不可</v>
      </c>
    </row>
    <row r="1091" customFormat="false" ht="15" hidden="false" customHeight="false" outlineLevel="0" collapsed="false">
      <c r="A1091" s="29" t="n">
        <v>46277</v>
      </c>
      <c r="B1091" s="30" t="n">
        <v>8</v>
      </c>
      <c r="C1091" s="31" t="s">
        <v>63</v>
      </c>
      <c r="D1091" s="31" t="s">
        <v>64</v>
      </c>
      <c r="E1091" s="30" t="n">
        <v>60</v>
      </c>
      <c r="F1091" s="30" t="n">
        <v>0</v>
      </c>
      <c r="G1091" s="30" t="str">
        <f aca="false">IF(E1091&lt;判定条件!$C$6,"判定不能",IF(F1091&gt;=判定条件!$C$7*E1091,"運転",IF(F1091&lt;=判定条件!$C$8*E1091,"停止","断続")))</f>
        <v>停止</v>
      </c>
      <c r="H1091" s="30" t="n">
        <v>60</v>
      </c>
      <c r="I1091" s="30" t="n">
        <v>0</v>
      </c>
      <c r="J1091" s="30" t="str">
        <f aca="false">IF(H1091&lt;判定条件!$C$6,"判定不能",IF(I1091&gt;=判定条件!$C$7*H1091,"運転",IF(I1091&lt;=判定条件!$C$8*H1091,"停止","断続")))</f>
        <v>停止</v>
      </c>
      <c r="K1091" s="30" t="n">
        <v>60</v>
      </c>
      <c r="L1091" s="30" t="n">
        <v>0</v>
      </c>
      <c r="M1091" s="30" t="str">
        <f aca="false">IF(K1091&lt;判定条件!$C$6,"判定不能",IF(L1091&gt;=判定条件!$C$7*K1091,"運転",IF(L1091&lt;=判定条件!$C$8*K1091,"停止","断続")))</f>
        <v>停止</v>
      </c>
      <c r="N1091" s="30" t="n">
        <v>60</v>
      </c>
      <c r="O1091" s="30" t="n">
        <v>7</v>
      </c>
      <c r="P1091" s="30" t="str">
        <f aca="false">IF(N1091&lt;判定条件!$C$6,"判定不能",IF(O1091&gt;=判定条件!$C$7*N1091,"運転",IF(O1091&lt;=判定条件!$C$8*N1091,"停止","断続")))</f>
        <v>停止</v>
      </c>
      <c r="Q1091" s="30" t="n">
        <v>60</v>
      </c>
      <c r="R1091" s="30" t="n">
        <v>0</v>
      </c>
      <c r="S1091" s="30" t="str">
        <f aca="false">IF(Q1091&lt;判定条件!$C$6,"判定不能",IF(R1091&gt;=判定条件!$C$7*Q1091,"運転",IF(R1091&lt;=判定条件!$C$8*Q1091,"停止","断続")))</f>
        <v>停止</v>
      </c>
      <c r="T1091" s="30" t="n">
        <v>60</v>
      </c>
      <c r="U1091" s="30" t="n">
        <v>8</v>
      </c>
      <c r="V1091" s="30" t="str">
        <f aca="false">IF(T1091&lt;判定条件!$C$6,"判定不能",IF(U1091&gt;=判定条件!$C$7*T1091,"運転",IF(U1091&lt;=判定条件!$C$8*T1091,"停止","断続")))</f>
        <v>停止</v>
      </c>
      <c r="W1091" s="30" t="n">
        <v>60</v>
      </c>
      <c r="X1091" s="30" t="n">
        <v>24</v>
      </c>
      <c r="Y1091" s="30" t="str">
        <f aca="false">IF(W1091&lt;判定条件!$C$6,"判定不能",IF(X1091&gt;=判定条件!$C$7*W1091,"運転",IF(X1091&lt;=判定条件!$C$8*W1091,"停止","断続")))</f>
        <v>断続</v>
      </c>
      <c r="Z1091" s="30" t="n">
        <v>60</v>
      </c>
      <c r="AA1091" s="30" t="n">
        <v>6</v>
      </c>
      <c r="AB1091" s="30" t="str">
        <f aca="false">IF(Z1091&lt;判定条件!$C$6,"判定不能",IF(AA1091&gt;=判定条件!$C$7*Z1091,"運転",IF(AA1091&lt;=判定条件!$C$8*Z1091,"停止","断続")))</f>
        <v>停止</v>
      </c>
      <c r="AC1091" s="30" t="n">
        <v>60</v>
      </c>
      <c r="AD1091" s="30" t="n">
        <v>38</v>
      </c>
      <c r="AE1091" s="30" t="str">
        <f aca="false">IF(AC1091&lt;判定条件!$C$6,"判定不能",IF(AD1091&gt;=判定条件!$C$7*AC1091,"運転",IF(AD1091&lt;=判定条件!$C$8*AC1091,"停止","断続")))</f>
        <v>断続</v>
      </c>
      <c r="AF1091" s="30" t="n">
        <v>60</v>
      </c>
      <c r="AG1091" s="30" t="n">
        <v>0</v>
      </c>
      <c r="AH1091" s="30" t="str">
        <f aca="false">IF(OR(P1091="判定不能",G1091="判定不能"),"判定不能",IF(AG1091&gt;=判定条件!$C$9,"利用可",IF(AND(P1091="停止",G1091="停止"),"両方停止","運転がそろわない")))</f>
        <v>両方停止</v>
      </c>
      <c r="AI1091" s="30" t="n">
        <v>60</v>
      </c>
      <c r="AJ1091" s="30" t="n">
        <v>0</v>
      </c>
      <c r="AK1091" s="30" t="str">
        <f aca="false">IF(OR(S1091="判定不能",J1091="判定不能"),"判定不能",IF(AJ1091&gt;=判定条件!$C$9,"利用可",IF(AND(S1091="停止",J1091="停止"),"両方停止","運転がそろわない")))</f>
        <v>両方停止</v>
      </c>
      <c r="AL1091" s="30" t="n">
        <v>60</v>
      </c>
      <c r="AM1091" s="30" t="n">
        <v>0</v>
      </c>
      <c r="AN1091" s="30" t="str">
        <f aca="false">IF(OR(V1091="判定不能",M1091="判定不能"),"判定不能",IF(AM1091&gt;=判定条件!$C$9,"利用可",IF(AND(V1091="停止",M1091="停止"),"両方停止","運転がそろわない")))</f>
        <v>両方停止</v>
      </c>
      <c r="AO1091" s="30" t="n">
        <v>60</v>
      </c>
      <c r="AP1091" s="30" t="n">
        <v>0</v>
      </c>
      <c r="AQ1091" s="30" t="str">
        <f aca="false">IF(OR(Y1091="判定不能",G1091="判定不能"),"判定不能",IF(AP1091&gt;=判定条件!$C$9,"利用可",IF(AND(Y1091="停止",G1091="停止"),"両方停止","運転がそろわない")))</f>
        <v>運転がそろわない</v>
      </c>
      <c r="AR1091" s="30" t="n">
        <v>60</v>
      </c>
      <c r="AS1091" s="30" t="n">
        <v>0</v>
      </c>
      <c r="AT1091" s="30" t="str">
        <f aca="false">IF(OR(AB1091="判定不能",J1091="判定不能"),"判定不能",IF(AS1091&gt;=判定条件!$C$9,"利用可",IF(AND(AB1091="停止",J1091="停止"),"両方停止","運転がそろわない")))</f>
        <v>両方停止</v>
      </c>
      <c r="AU1091" s="30" t="n">
        <v>60</v>
      </c>
      <c r="AV1091" s="30" t="n">
        <v>0</v>
      </c>
      <c r="AW1091" s="30" t="str">
        <f aca="false">IF(OR(AE1091="判定不能",M1091="判定不能"),"判定不能",IF(AV1091&gt;=判定条件!$C$9,"利用可",IF(AND(AE1091="停止",M1091="停止"),"両方停止","運転がそろわない")))</f>
        <v>運転がそろわない</v>
      </c>
      <c r="AX1091" s="30" t="str">
        <f aca="false">IF(AND(AH1091="利用可",AK1091="利用可",AN1091="利用可"),"利用可","不可")</f>
        <v>不可</v>
      </c>
      <c r="AY1091" s="30" t="str">
        <f aca="false">IF(AND(AQ1091="利用可",AT1091="利用可",AW1091="利用可"),"利用可","不可")</f>
        <v>不可</v>
      </c>
    </row>
    <row r="1092" customFormat="false" ht="15" hidden="false" customHeight="false" outlineLevel="0" collapsed="false">
      <c r="A1092" s="29" t="n">
        <v>46277</v>
      </c>
      <c r="B1092" s="30" t="n">
        <v>9</v>
      </c>
      <c r="C1092" s="31" t="s">
        <v>63</v>
      </c>
      <c r="D1092" s="31" t="s">
        <v>64</v>
      </c>
      <c r="E1092" s="30" t="n">
        <v>60</v>
      </c>
      <c r="F1092" s="30" t="n">
        <v>6</v>
      </c>
      <c r="G1092" s="30" t="str">
        <f aca="false">IF(E1092&lt;判定条件!$C$6,"判定不能",IF(F1092&gt;=判定条件!$C$7*E1092,"運転",IF(F1092&lt;=判定条件!$C$8*E1092,"停止","断続")))</f>
        <v>停止</v>
      </c>
      <c r="H1092" s="30" t="n">
        <v>60</v>
      </c>
      <c r="I1092" s="30" t="n">
        <v>11</v>
      </c>
      <c r="J1092" s="30" t="str">
        <f aca="false">IF(H1092&lt;判定条件!$C$6,"判定不能",IF(I1092&gt;=判定条件!$C$7*H1092,"運転",IF(I1092&lt;=判定条件!$C$8*H1092,"停止","断続")))</f>
        <v>停止</v>
      </c>
      <c r="K1092" s="30" t="n">
        <v>60</v>
      </c>
      <c r="L1092" s="30" t="n">
        <v>25</v>
      </c>
      <c r="M1092" s="30" t="str">
        <f aca="false">IF(K1092&lt;判定条件!$C$6,"判定不能",IF(L1092&gt;=判定条件!$C$7*K1092,"運転",IF(L1092&lt;=判定条件!$C$8*K1092,"停止","断続")))</f>
        <v>断続</v>
      </c>
      <c r="N1092" s="30" t="n">
        <v>60</v>
      </c>
      <c r="O1092" s="30" t="n">
        <v>8</v>
      </c>
      <c r="P1092" s="30" t="str">
        <f aca="false">IF(N1092&lt;判定条件!$C$6,"判定不能",IF(O1092&gt;=判定条件!$C$7*N1092,"運転",IF(O1092&lt;=判定条件!$C$8*N1092,"停止","断続")))</f>
        <v>停止</v>
      </c>
      <c r="Q1092" s="30" t="n">
        <v>60</v>
      </c>
      <c r="R1092" s="30" t="n">
        <v>0</v>
      </c>
      <c r="S1092" s="30" t="str">
        <f aca="false">IF(Q1092&lt;判定条件!$C$6,"判定不能",IF(R1092&gt;=判定条件!$C$7*Q1092,"運転",IF(R1092&lt;=判定条件!$C$8*Q1092,"停止","断続")))</f>
        <v>停止</v>
      </c>
      <c r="T1092" s="30" t="n">
        <v>60</v>
      </c>
      <c r="U1092" s="30" t="n">
        <v>6</v>
      </c>
      <c r="V1092" s="30" t="str">
        <f aca="false">IF(T1092&lt;判定条件!$C$6,"判定不能",IF(U1092&gt;=判定条件!$C$7*T1092,"運転",IF(U1092&lt;=判定条件!$C$8*T1092,"停止","断続")))</f>
        <v>停止</v>
      </c>
      <c r="W1092" s="30" t="n">
        <v>60</v>
      </c>
      <c r="X1092" s="30" t="n">
        <v>54</v>
      </c>
      <c r="Y1092" s="30" t="str">
        <f aca="false">IF(W1092&lt;判定条件!$C$6,"判定不能",IF(X1092&gt;=判定条件!$C$7*W1092,"運転",IF(X1092&lt;=判定条件!$C$8*W1092,"停止","断続")))</f>
        <v>運転</v>
      </c>
      <c r="Z1092" s="30" t="n">
        <v>60</v>
      </c>
      <c r="AA1092" s="30" t="n">
        <v>23</v>
      </c>
      <c r="AB1092" s="30" t="str">
        <f aca="false">IF(Z1092&lt;判定条件!$C$6,"判定不能",IF(AA1092&gt;=判定条件!$C$7*Z1092,"運転",IF(AA1092&lt;=判定条件!$C$8*Z1092,"停止","断続")))</f>
        <v>断続</v>
      </c>
      <c r="AC1092" s="30" t="n">
        <v>60</v>
      </c>
      <c r="AD1092" s="30" t="n">
        <v>60</v>
      </c>
      <c r="AE1092" s="30" t="str">
        <f aca="false">IF(AC1092&lt;判定条件!$C$6,"判定不能",IF(AD1092&gt;=判定条件!$C$7*AC1092,"運転",IF(AD1092&lt;=判定条件!$C$8*AC1092,"停止","断続")))</f>
        <v>運転</v>
      </c>
      <c r="AF1092" s="30" t="n">
        <v>60</v>
      </c>
      <c r="AG1092" s="30" t="n">
        <v>0</v>
      </c>
      <c r="AH1092" s="30" t="str">
        <f aca="false">IF(OR(P1092="判定不能",G1092="判定不能"),"判定不能",IF(AG1092&gt;=判定条件!$C$9,"利用可",IF(AND(P1092="停止",G1092="停止"),"両方停止","運転がそろわない")))</f>
        <v>両方停止</v>
      </c>
      <c r="AI1092" s="30" t="n">
        <v>60</v>
      </c>
      <c r="AJ1092" s="30" t="n">
        <v>0</v>
      </c>
      <c r="AK1092" s="30" t="str">
        <f aca="false">IF(OR(S1092="判定不能",J1092="判定不能"),"判定不能",IF(AJ1092&gt;=判定条件!$C$9,"利用可",IF(AND(S1092="停止",J1092="停止"),"両方停止","運転がそろわない")))</f>
        <v>両方停止</v>
      </c>
      <c r="AL1092" s="30" t="n">
        <v>60</v>
      </c>
      <c r="AM1092" s="30" t="n">
        <v>1</v>
      </c>
      <c r="AN1092" s="30" t="str">
        <f aca="false">IF(OR(V1092="判定不能",M1092="判定不能"),"判定不能",IF(AM1092&gt;=判定条件!$C$9,"利用可",IF(AND(V1092="停止",M1092="停止"),"両方停止","運転がそろわない")))</f>
        <v>運転がそろわない</v>
      </c>
      <c r="AO1092" s="30" t="n">
        <v>60</v>
      </c>
      <c r="AP1092" s="30" t="n">
        <v>6</v>
      </c>
      <c r="AQ1092" s="30" t="str">
        <f aca="false">IF(OR(Y1092="判定不能",G1092="判定不能"),"判定不能",IF(AP1092&gt;=判定条件!$C$9,"利用可",IF(AND(Y1092="停止",G1092="停止"),"両方停止","運転がそろわない")))</f>
        <v>運転がそろわない</v>
      </c>
      <c r="AR1092" s="30" t="n">
        <v>60</v>
      </c>
      <c r="AS1092" s="30" t="n">
        <v>4</v>
      </c>
      <c r="AT1092" s="30" t="str">
        <f aca="false">IF(OR(AB1092="判定不能",J1092="判定不能"),"判定不能",IF(AS1092&gt;=判定条件!$C$9,"利用可",IF(AND(AB1092="停止",J1092="停止"),"両方停止","運転がそろわない")))</f>
        <v>運転がそろわない</v>
      </c>
      <c r="AU1092" s="30" t="n">
        <v>60</v>
      </c>
      <c r="AV1092" s="30" t="n">
        <v>25</v>
      </c>
      <c r="AW1092" s="30" t="str">
        <f aca="false">IF(OR(AE1092="判定不能",M1092="判定不能"),"判定不能",IF(AV1092&gt;=判定条件!$C$9,"利用可",IF(AND(AE1092="停止",M1092="停止"),"両方停止","運転がそろわない")))</f>
        <v>運転がそろわない</v>
      </c>
      <c r="AX1092" s="30" t="str">
        <f aca="false">IF(AND(AH1092="利用可",AK1092="利用可",AN1092="利用可"),"利用可","不可")</f>
        <v>不可</v>
      </c>
      <c r="AY1092" s="30" t="str">
        <f aca="false">IF(AND(AQ1092="利用可",AT1092="利用可",AW1092="利用可"),"利用可","不可")</f>
        <v>不可</v>
      </c>
    </row>
    <row r="1093" customFormat="false" ht="15" hidden="false" customHeight="false" outlineLevel="0" collapsed="false">
      <c r="A1093" s="29" t="n">
        <v>46277</v>
      </c>
      <c r="B1093" s="30" t="n">
        <v>10</v>
      </c>
      <c r="C1093" s="31" t="s">
        <v>63</v>
      </c>
      <c r="D1093" s="31" t="s">
        <v>64</v>
      </c>
      <c r="E1093" s="30" t="n">
        <v>60</v>
      </c>
      <c r="F1093" s="30" t="n">
        <v>14</v>
      </c>
      <c r="G1093" s="30" t="str">
        <f aca="false">IF(E1093&lt;判定条件!$C$6,"判定不能",IF(F1093&gt;=判定条件!$C$7*E1093,"運転",IF(F1093&lt;=判定条件!$C$8*E1093,"停止","断続")))</f>
        <v>断続</v>
      </c>
      <c r="H1093" s="30" t="n">
        <v>60</v>
      </c>
      <c r="I1093" s="30" t="n">
        <v>18</v>
      </c>
      <c r="J1093" s="30" t="str">
        <f aca="false">IF(H1093&lt;判定条件!$C$6,"判定不能",IF(I1093&gt;=判定条件!$C$7*H1093,"運転",IF(I1093&lt;=判定条件!$C$8*H1093,"停止","断続")))</f>
        <v>断続</v>
      </c>
      <c r="K1093" s="30" t="n">
        <v>60</v>
      </c>
      <c r="L1093" s="30" t="n">
        <v>49</v>
      </c>
      <c r="M1093" s="30" t="str">
        <f aca="false">IF(K1093&lt;判定条件!$C$6,"判定不能",IF(L1093&gt;=判定条件!$C$7*K1093,"運転",IF(L1093&lt;=判定条件!$C$8*K1093,"停止","断続")))</f>
        <v>運転</v>
      </c>
      <c r="N1093" s="30" t="n">
        <v>60</v>
      </c>
      <c r="O1093" s="30" t="n">
        <v>54</v>
      </c>
      <c r="P1093" s="30" t="str">
        <f aca="false">IF(N1093&lt;判定条件!$C$6,"判定不能",IF(O1093&gt;=判定条件!$C$7*N1093,"運転",IF(O1093&lt;=判定条件!$C$8*N1093,"停止","断続")))</f>
        <v>運転</v>
      </c>
      <c r="Q1093" s="30" t="n">
        <v>60</v>
      </c>
      <c r="R1093" s="30" t="n">
        <v>44</v>
      </c>
      <c r="S1093" s="30" t="str">
        <f aca="false">IF(Q1093&lt;判定条件!$C$6,"判定不能",IF(R1093&gt;=判定条件!$C$7*Q1093,"運転",IF(R1093&lt;=判定条件!$C$8*Q1093,"停止","断続")))</f>
        <v>断続</v>
      </c>
      <c r="T1093" s="30" t="n">
        <v>60</v>
      </c>
      <c r="U1093" s="30" t="n">
        <v>60</v>
      </c>
      <c r="V1093" s="30" t="str">
        <f aca="false">IF(T1093&lt;判定条件!$C$6,"判定不能",IF(U1093&gt;=判定条件!$C$7*T1093,"運転",IF(U1093&lt;=判定条件!$C$8*T1093,"停止","断続")))</f>
        <v>運転</v>
      </c>
      <c r="W1093" s="30" t="n">
        <v>60</v>
      </c>
      <c r="X1093" s="30" t="n">
        <v>60</v>
      </c>
      <c r="Y1093" s="30" t="str">
        <f aca="false">IF(W1093&lt;判定条件!$C$6,"判定不能",IF(X1093&gt;=判定条件!$C$7*W1093,"運転",IF(X1093&lt;=判定条件!$C$8*W1093,"停止","断続")))</f>
        <v>運転</v>
      </c>
      <c r="Z1093" s="30" t="n">
        <v>60</v>
      </c>
      <c r="AA1093" s="30" t="n">
        <v>60</v>
      </c>
      <c r="AB1093" s="30" t="str">
        <f aca="false">IF(Z1093&lt;判定条件!$C$6,"判定不能",IF(AA1093&gt;=判定条件!$C$7*Z1093,"運転",IF(AA1093&lt;=判定条件!$C$8*Z1093,"停止","断続")))</f>
        <v>運転</v>
      </c>
      <c r="AC1093" s="30" t="n">
        <v>60</v>
      </c>
      <c r="AD1093" s="30" t="n">
        <v>60</v>
      </c>
      <c r="AE1093" s="30" t="str">
        <f aca="false">IF(AC1093&lt;判定条件!$C$6,"判定不能",IF(AD1093&gt;=判定条件!$C$7*AC1093,"運転",IF(AD1093&lt;=判定条件!$C$8*AC1093,"停止","断続")))</f>
        <v>運転</v>
      </c>
      <c r="AF1093" s="30" t="n">
        <v>60</v>
      </c>
      <c r="AG1093" s="30" t="n">
        <v>14</v>
      </c>
      <c r="AH1093" s="30" t="str">
        <f aca="false">IF(OR(P1093="判定不能",G1093="判定不能"),"判定不能",IF(AG1093&gt;=判定条件!$C$9,"利用可",IF(AND(P1093="停止",G1093="停止"),"両方停止","運転がそろわない")))</f>
        <v>運転がそろわない</v>
      </c>
      <c r="AI1093" s="30" t="n">
        <v>60</v>
      </c>
      <c r="AJ1093" s="30" t="n">
        <v>11</v>
      </c>
      <c r="AK1093" s="30" t="str">
        <f aca="false">IF(OR(S1093="判定不能",J1093="判定不能"),"判定不能",IF(AJ1093&gt;=判定条件!$C$9,"利用可",IF(AND(S1093="停止",J1093="停止"),"両方停止","運転がそろわない")))</f>
        <v>運転がそろわない</v>
      </c>
      <c r="AL1093" s="30" t="n">
        <v>60</v>
      </c>
      <c r="AM1093" s="30" t="n">
        <v>49</v>
      </c>
      <c r="AN1093" s="30" t="str">
        <f aca="false">IF(OR(V1093="判定不能",M1093="判定不能"),"判定不能",IF(AM1093&gt;=判定条件!$C$9,"利用可",IF(AND(V1093="停止",M1093="停止"),"両方停止","運転がそろわない")))</f>
        <v>利用可</v>
      </c>
      <c r="AO1093" s="30" t="n">
        <v>60</v>
      </c>
      <c r="AP1093" s="30" t="n">
        <v>14</v>
      </c>
      <c r="AQ1093" s="30" t="str">
        <f aca="false">IF(OR(Y1093="判定不能",G1093="判定不能"),"判定不能",IF(AP1093&gt;=判定条件!$C$9,"利用可",IF(AND(Y1093="停止",G1093="停止"),"両方停止","運転がそろわない")))</f>
        <v>運転がそろわない</v>
      </c>
      <c r="AR1093" s="30" t="n">
        <v>60</v>
      </c>
      <c r="AS1093" s="30" t="n">
        <v>18</v>
      </c>
      <c r="AT1093" s="30" t="str">
        <f aca="false">IF(OR(AB1093="判定不能",J1093="判定不能"),"判定不能",IF(AS1093&gt;=判定条件!$C$9,"利用可",IF(AND(AB1093="停止",J1093="停止"),"両方停止","運転がそろわない")))</f>
        <v>運転がそろわない</v>
      </c>
      <c r="AU1093" s="30" t="n">
        <v>60</v>
      </c>
      <c r="AV1093" s="30" t="n">
        <v>49</v>
      </c>
      <c r="AW1093" s="30" t="str">
        <f aca="false">IF(OR(AE1093="判定不能",M1093="判定不能"),"判定不能",IF(AV1093&gt;=判定条件!$C$9,"利用可",IF(AND(AE1093="停止",M1093="停止"),"両方停止","運転がそろわない")))</f>
        <v>利用可</v>
      </c>
      <c r="AX1093" s="30" t="str">
        <f aca="false">IF(AND(AH1093="利用可",AK1093="利用可",AN1093="利用可"),"利用可","不可")</f>
        <v>不可</v>
      </c>
      <c r="AY1093" s="30" t="str">
        <f aca="false">IF(AND(AQ1093="利用可",AT1093="利用可",AW1093="利用可"),"利用可","不可")</f>
        <v>不可</v>
      </c>
    </row>
    <row r="1094" customFormat="false" ht="15" hidden="false" customHeight="false" outlineLevel="0" collapsed="false">
      <c r="A1094" s="29" t="n">
        <v>46277</v>
      </c>
      <c r="B1094" s="30" t="n">
        <v>11</v>
      </c>
      <c r="C1094" s="31" t="s">
        <v>63</v>
      </c>
      <c r="D1094" s="31" t="s">
        <v>64</v>
      </c>
      <c r="E1094" s="30" t="n">
        <v>60</v>
      </c>
      <c r="F1094" s="30" t="n">
        <v>6</v>
      </c>
      <c r="G1094" s="30" t="str">
        <f aca="false">IF(E1094&lt;判定条件!$C$6,"判定不能",IF(F1094&gt;=判定条件!$C$7*E1094,"運転",IF(F1094&lt;=判定条件!$C$8*E1094,"停止","断続")))</f>
        <v>停止</v>
      </c>
      <c r="H1094" s="30" t="n">
        <v>60</v>
      </c>
      <c r="I1094" s="30" t="n">
        <v>13</v>
      </c>
      <c r="J1094" s="30" t="str">
        <f aca="false">IF(H1094&lt;判定条件!$C$6,"判定不能",IF(I1094&gt;=判定条件!$C$7*H1094,"運転",IF(I1094&lt;=判定条件!$C$8*H1094,"停止","断続")))</f>
        <v>断続</v>
      </c>
      <c r="K1094" s="30" t="n">
        <v>60</v>
      </c>
      <c r="L1094" s="30" t="n">
        <v>53</v>
      </c>
      <c r="M1094" s="30" t="str">
        <f aca="false">IF(K1094&lt;判定条件!$C$6,"判定不能",IF(L1094&gt;=判定条件!$C$7*K1094,"運転",IF(L1094&lt;=判定条件!$C$8*K1094,"停止","断続")))</f>
        <v>運転</v>
      </c>
      <c r="N1094" s="30" t="n">
        <v>60</v>
      </c>
      <c r="O1094" s="30" t="n">
        <v>53</v>
      </c>
      <c r="P1094" s="30" t="str">
        <f aca="false">IF(N1094&lt;判定条件!$C$6,"判定不能",IF(O1094&gt;=判定条件!$C$7*N1094,"運転",IF(O1094&lt;=判定条件!$C$8*N1094,"停止","断続")))</f>
        <v>運転</v>
      </c>
      <c r="Q1094" s="30" t="n">
        <v>60</v>
      </c>
      <c r="R1094" s="30" t="n">
        <v>47</v>
      </c>
      <c r="S1094" s="30" t="str">
        <f aca="false">IF(Q1094&lt;判定条件!$C$6,"判定不能",IF(R1094&gt;=判定条件!$C$7*Q1094,"運転",IF(R1094&lt;=判定条件!$C$8*Q1094,"停止","断続")))</f>
        <v>断続</v>
      </c>
      <c r="T1094" s="30" t="n">
        <v>60</v>
      </c>
      <c r="U1094" s="30" t="n">
        <v>60</v>
      </c>
      <c r="V1094" s="30" t="str">
        <f aca="false">IF(T1094&lt;判定条件!$C$6,"判定不能",IF(U1094&gt;=判定条件!$C$7*T1094,"運転",IF(U1094&lt;=判定条件!$C$8*T1094,"停止","断続")))</f>
        <v>運転</v>
      </c>
      <c r="W1094" s="30" t="n">
        <v>60</v>
      </c>
      <c r="X1094" s="30" t="n">
        <v>60</v>
      </c>
      <c r="Y1094" s="30" t="str">
        <f aca="false">IF(W1094&lt;判定条件!$C$6,"判定不能",IF(X1094&gt;=判定条件!$C$7*W1094,"運転",IF(X1094&lt;=判定条件!$C$8*W1094,"停止","断続")))</f>
        <v>運転</v>
      </c>
      <c r="Z1094" s="30" t="n">
        <v>60</v>
      </c>
      <c r="AA1094" s="30" t="n">
        <v>59</v>
      </c>
      <c r="AB1094" s="30" t="str">
        <f aca="false">IF(Z1094&lt;判定条件!$C$6,"判定不能",IF(AA1094&gt;=判定条件!$C$7*Z1094,"運転",IF(AA1094&lt;=判定条件!$C$8*Z1094,"停止","断続")))</f>
        <v>運転</v>
      </c>
      <c r="AC1094" s="30" t="n">
        <v>60</v>
      </c>
      <c r="AD1094" s="30" t="n">
        <v>60</v>
      </c>
      <c r="AE1094" s="30" t="str">
        <f aca="false">IF(AC1094&lt;判定条件!$C$6,"判定不能",IF(AD1094&gt;=判定条件!$C$7*AC1094,"運転",IF(AD1094&lt;=判定条件!$C$8*AC1094,"停止","断続")))</f>
        <v>運転</v>
      </c>
      <c r="AF1094" s="30" t="n">
        <v>60</v>
      </c>
      <c r="AG1094" s="30" t="n">
        <v>6</v>
      </c>
      <c r="AH1094" s="30" t="str">
        <f aca="false">IF(OR(P1094="判定不能",G1094="判定不能"),"判定不能",IF(AG1094&gt;=判定条件!$C$9,"利用可",IF(AND(P1094="停止",G1094="停止"),"両方停止","運転がそろわない")))</f>
        <v>運転がそろわない</v>
      </c>
      <c r="AI1094" s="30" t="n">
        <v>60</v>
      </c>
      <c r="AJ1094" s="30" t="n">
        <v>13</v>
      </c>
      <c r="AK1094" s="30" t="str">
        <f aca="false">IF(OR(S1094="判定不能",J1094="判定不能"),"判定不能",IF(AJ1094&gt;=判定条件!$C$9,"利用可",IF(AND(S1094="停止",J1094="停止"),"両方停止","運転がそろわない")))</f>
        <v>運転がそろわない</v>
      </c>
      <c r="AL1094" s="30" t="n">
        <v>60</v>
      </c>
      <c r="AM1094" s="30" t="n">
        <v>53</v>
      </c>
      <c r="AN1094" s="30" t="str">
        <f aca="false">IF(OR(V1094="判定不能",M1094="判定不能"),"判定不能",IF(AM1094&gt;=判定条件!$C$9,"利用可",IF(AND(V1094="停止",M1094="停止"),"両方停止","運転がそろわない")))</f>
        <v>利用可</v>
      </c>
      <c r="AO1094" s="30" t="n">
        <v>60</v>
      </c>
      <c r="AP1094" s="30" t="n">
        <v>6</v>
      </c>
      <c r="AQ1094" s="30" t="str">
        <f aca="false">IF(OR(Y1094="判定不能",G1094="判定不能"),"判定不能",IF(AP1094&gt;=判定条件!$C$9,"利用可",IF(AND(Y1094="停止",G1094="停止"),"両方停止","運転がそろわない")))</f>
        <v>運転がそろわない</v>
      </c>
      <c r="AR1094" s="30" t="n">
        <v>60</v>
      </c>
      <c r="AS1094" s="30" t="n">
        <v>13</v>
      </c>
      <c r="AT1094" s="30" t="str">
        <f aca="false">IF(OR(AB1094="判定不能",J1094="判定不能"),"判定不能",IF(AS1094&gt;=判定条件!$C$9,"利用可",IF(AND(AB1094="停止",J1094="停止"),"両方停止","運転がそろわない")))</f>
        <v>運転がそろわない</v>
      </c>
      <c r="AU1094" s="30" t="n">
        <v>60</v>
      </c>
      <c r="AV1094" s="30" t="n">
        <v>53</v>
      </c>
      <c r="AW1094" s="30" t="str">
        <f aca="false">IF(OR(AE1094="判定不能",M1094="判定不能"),"判定不能",IF(AV1094&gt;=判定条件!$C$9,"利用可",IF(AND(AE1094="停止",M1094="停止"),"両方停止","運転がそろわない")))</f>
        <v>利用可</v>
      </c>
      <c r="AX1094" s="30" t="str">
        <f aca="false">IF(AND(AH1094="利用可",AK1094="利用可",AN1094="利用可"),"利用可","不可")</f>
        <v>不可</v>
      </c>
      <c r="AY1094" s="30" t="str">
        <f aca="false">IF(AND(AQ1094="利用可",AT1094="利用可",AW1094="利用可"),"利用可","不可")</f>
        <v>不可</v>
      </c>
    </row>
    <row r="1095" customFormat="false" ht="15" hidden="false" customHeight="false" outlineLevel="0" collapsed="false">
      <c r="A1095" s="29" t="n">
        <v>46277</v>
      </c>
      <c r="B1095" s="30" t="n">
        <v>12</v>
      </c>
      <c r="C1095" s="31" t="s">
        <v>63</v>
      </c>
      <c r="D1095" s="31" t="s">
        <v>64</v>
      </c>
      <c r="E1095" s="30" t="n">
        <v>60</v>
      </c>
      <c r="F1095" s="30" t="n">
        <v>9</v>
      </c>
      <c r="G1095" s="30" t="str">
        <f aca="false">IF(E1095&lt;判定条件!$C$6,"判定不能",IF(F1095&gt;=判定条件!$C$7*E1095,"運転",IF(F1095&lt;=判定条件!$C$8*E1095,"停止","断続")))</f>
        <v>停止</v>
      </c>
      <c r="H1095" s="30" t="n">
        <v>60</v>
      </c>
      <c r="I1095" s="30" t="n">
        <v>36</v>
      </c>
      <c r="J1095" s="30" t="str">
        <f aca="false">IF(H1095&lt;判定条件!$C$6,"判定不能",IF(I1095&gt;=判定条件!$C$7*H1095,"運転",IF(I1095&lt;=判定条件!$C$8*H1095,"停止","断続")))</f>
        <v>断続</v>
      </c>
      <c r="K1095" s="30" t="n">
        <v>60</v>
      </c>
      <c r="L1095" s="30" t="n">
        <v>36</v>
      </c>
      <c r="M1095" s="30" t="str">
        <f aca="false">IF(K1095&lt;判定条件!$C$6,"判定不能",IF(L1095&gt;=判定条件!$C$7*K1095,"運転",IF(L1095&lt;=判定条件!$C$8*K1095,"停止","断続")))</f>
        <v>断続</v>
      </c>
      <c r="N1095" s="30" t="n">
        <v>60</v>
      </c>
      <c r="O1095" s="30" t="n">
        <v>24</v>
      </c>
      <c r="P1095" s="30" t="str">
        <f aca="false">IF(N1095&lt;判定条件!$C$6,"判定不能",IF(O1095&gt;=判定条件!$C$7*N1095,"運転",IF(O1095&lt;=判定条件!$C$8*N1095,"停止","断続")))</f>
        <v>断続</v>
      </c>
      <c r="Q1095" s="30" t="n">
        <v>60</v>
      </c>
      <c r="R1095" s="30" t="n">
        <v>0</v>
      </c>
      <c r="S1095" s="30" t="str">
        <f aca="false">IF(Q1095&lt;判定条件!$C$6,"判定不能",IF(R1095&gt;=判定条件!$C$7*Q1095,"運転",IF(R1095&lt;=判定条件!$C$8*Q1095,"停止","断続")))</f>
        <v>停止</v>
      </c>
      <c r="T1095" s="30" t="n">
        <v>60</v>
      </c>
      <c r="U1095" s="30" t="n">
        <v>14</v>
      </c>
      <c r="V1095" s="30" t="str">
        <f aca="false">IF(T1095&lt;判定条件!$C$6,"判定不能",IF(U1095&gt;=判定条件!$C$7*T1095,"運転",IF(U1095&lt;=判定条件!$C$8*T1095,"停止","断続")))</f>
        <v>断続</v>
      </c>
      <c r="W1095" s="30" t="n">
        <v>60</v>
      </c>
      <c r="X1095" s="30" t="n">
        <v>60</v>
      </c>
      <c r="Y1095" s="30" t="str">
        <f aca="false">IF(W1095&lt;判定条件!$C$6,"判定不能",IF(X1095&gt;=判定条件!$C$7*W1095,"運転",IF(X1095&lt;=判定条件!$C$8*W1095,"停止","断続")))</f>
        <v>運転</v>
      </c>
      <c r="Z1095" s="30" t="n">
        <v>60</v>
      </c>
      <c r="AA1095" s="30" t="n">
        <v>39</v>
      </c>
      <c r="AB1095" s="30" t="str">
        <f aca="false">IF(Z1095&lt;判定条件!$C$6,"判定不能",IF(AA1095&gt;=判定条件!$C$7*Z1095,"運転",IF(AA1095&lt;=判定条件!$C$8*Z1095,"停止","断続")))</f>
        <v>断続</v>
      </c>
      <c r="AC1095" s="30" t="n">
        <v>60</v>
      </c>
      <c r="AD1095" s="30" t="n">
        <v>53</v>
      </c>
      <c r="AE1095" s="30" t="str">
        <f aca="false">IF(AC1095&lt;判定条件!$C$6,"判定不能",IF(AD1095&gt;=判定条件!$C$7*AC1095,"運転",IF(AD1095&lt;=判定条件!$C$8*AC1095,"停止","断続")))</f>
        <v>運転</v>
      </c>
      <c r="AF1095" s="30" t="n">
        <v>60</v>
      </c>
      <c r="AG1095" s="30" t="n">
        <v>5</v>
      </c>
      <c r="AH1095" s="30" t="str">
        <f aca="false">IF(OR(P1095="判定不能",G1095="判定不能"),"判定不能",IF(AG1095&gt;=判定条件!$C$9,"利用可",IF(AND(P1095="停止",G1095="停止"),"両方停止","運転がそろわない")))</f>
        <v>運転がそろわない</v>
      </c>
      <c r="AI1095" s="30" t="n">
        <v>60</v>
      </c>
      <c r="AJ1095" s="30" t="n">
        <v>0</v>
      </c>
      <c r="AK1095" s="30" t="str">
        <f aca="false">IF(OR(S1095="判定不能",J1095="判定不能"),"判定不能",IF(AJ1095&gt;=判定条件!$C$9,"利用可",IF(AND(S1095="停止",J1095="停止"),"両方停止","運転がそろわない")))</f>
        <v>運転がそろわない</v>
      </c>
      <c r="AL1095" s="30" t="n">
        <v>60</v>
      </c>
      <c r="AM1095" s="30" t="n">
        <v>14</v>
      </c>
      <c r="AN1095" s="30" t="str">
        <f aca="false">IF(OR(V1095="判定不能",M1095="判定不能"),"判定不能",IF(AM1095&gt;=判定条件!$C$9,"利用可",IF(AND(V1095="停止",M1095="停止"),"両方停止","運転がそろわない")))</f>
        <v>運転がそろわない</v>
      </c>
      <c r="AO1095" s="30" t="n">
        <v>60</v>
      </c>
      <c r="AP1095" s="30" t="n">
        <v>9</v>
      </c>
      <c r="AQ1095" s="30" t="str">
        <f aca="false">IF(OR(Y1095="判定不能",G1095="判定不能"),"判定不能",IF(AP1095&gt;=判定条件!$C$9,"利用可",IF(AND(Y1095="停止",G1095="停止"),"両方停止","運転がそろわない")))</f>
        <v>運転がそろわない</v>
      </c>
      <c r="AR1095" s="30" t="n">
        <v>60</v>
      </c>
      <c r="AS1095" s="30" t="n">
        <v>29</v>
      </c>
      <c r="AT1095" s="30" t="str">
        <f aca="false">IF(OR(AB1095="判定不能",J1095="判定不能"),"判定不能",IF(AS1095&gt;=判定条件!$C$9,"利用可",IF(AND(AB1095="停止",J1095="停止"),"両方停止","運転がそろわない")))</f>
        <v>運転がそろわない</v>
      </c>
      <c r="AU1095" s="30" t="n">
        <v>60</v>
      </c>
      <c r="AV1095" s="30" t="n">
        <v>36</v>
      </c>
      <c r="AW1095" s="30" t="str">
        <f aca="false">IF(OR(AE1095="判定不能",M1095="判定不能"),"判定不能",IF(AV1095&gt;=判定条件!$C$9,"利用可",IF(AND(AE1095="停止",M1095="停止"),"両方停止","運転がそろわない")))</f>
        <v>利用可</v>
      </c>
      <c r="AX1095" s="30" t="str">
        <f aca="false">IF(AND(AH1095="利用可",AK1095="利用可",AN1095="利用可"),"利用可","不可")</f>
        <v>不可</v>
      </c>
      <c r="AY1095" s="30" t="str">
        <f aca="false">IF(AND(AQ1095="利用可",AT1095="利用可",AW1095="利用可"),"利用可","不可")</f>
        <v>不可</v>
      </c>
    </row>
    <row r="1096" customFormat="false" ht="15" hidden="false" customHeight="false" outlineLevel="0" collapsed="false">
      <c r="A1096" s="29" t="n">
        <v>46277</v>
      </c>
      <c r="B1096" s="30" t="n">
        <v>13</v>
      </c>
      <c r="C1096" s="31" t="s">
        <v>63</v>
      </c>
      <c r="D1096" s="31" t="s">
        <v>64</v>
      </c>
      <c r="E1096" s="30" t="n">
        <v>60</v>
      </c>
      <c r="F1096" s="30" t="n">
        <v>35</v>
      </c>
      <c r="G1096" s="30" t="str">
        <f aca="false">IF(E1096&lt;判定条件!$C$6,"判定不能",IF(F1096&gt;=判定条件!$C$7*E1096,"運転",IF(F1096&lt;=判定条件!$C$8*E1096,"停止","断続")))</f>
        <v>断続</v>
      </c>
      <c r="H1096" s="30" t="n">
        <v>60</v>
      </c>
      <c r="I1096" s="30" t="n">
        <v>53</v>
      </c>
      <c r="J1096" s="30" t="str">
        <f aca="false">IF(H1096&lt;判定条件!$C$6,"判定不能",IF(I1096&gt;=判定条件!$C$7*H1096,"運転",IF(I1096&lt;=判定条件!$C$8*H1096,"停止","断続")))</f>
        <v>運転</v>
      </c>
      <c r="K1096" s="30" t="n">
        <v>60</v>
      </c>
      <c r="L1096" s="30" t="n">
        <v>39</v>
      </c>
      <c r="M1096" s="30" t="str">
        <f aca="false">IF(K1096&lt;判定条件!$C$6,"判定不能",IF(L1096&gt;=判定条件!$C$7*K1096,"運転",IF(L1096&lt;=判定条件!$C$8*K1096,"停止","断続")))</f>
        <v>断続</v>
      </c>
      <c r="N1096" s="30" t="n">
        <v>60</v>
      </c>
      <c r="O1096" s="30" t="n">
        <v>23</v>
      </c>
      <c r="P1096" s="30" t="str">
        <f aca="false">IF(N1096&lt;判定条件!$C$6,"判定不能",IF(O1096&gt;=判定条件!$C$7*N1096,"運転",IF(O1096&lt;=判定条件!$C$8*N1096,"停止","断続")))</f>
        <v>断続</v>
      </c>
      <c r="Q1096" s="30" t="n">
        <v>60</v>
      </c>
      <c r="R1096" s="30" t="n">
        <v>24</v>
      </c>
      <c r="S1096" s="30" t="str">
        <f aca="false">IF(Q1096&lt;判定条件!$C$6,"判定不能",IF(R1096&gt;=判定条件!$C$7*Q1096,"運転",IF(R1096&lt;=判定条件!$C$8*Q1096,"停止","断続")))</f>
        <v>断続</v>
      </c>
      <c r="T1096" s="30" t="n">
        <v>60</v>
      </c>
      <c r="U1096" s="30" t="n">
        <v>53</v>
      </c>
      <c r="V1096" s="30" t="str">
        <f aca="false">IF(T1096&lt;判定条件!$C$6,"判定不能",IF(U1096&gt;=判定条件!$C$7*T1096,"運転",IF(U1096&lt;=判定条件!$C$8*T1096,"停止","断続")))</f>
        <v>運転</v>
      </c>
      <c r="W1096" s="30" t="n">
        <v>60</v>
      </c>
      <c r="X1096" s="30" t="n">
        <v>36</v>
      </c>
      <c r="Y1096" s="30" t="str">
        <f aca="false">IF(W1096&lt;判定条件!$C$6,"判定不能",IF(X1096&gt;=判定条件!$C$7*W1096,"運転",IF(X1096&lt;=判定条件!$C$8*W1096,"停止","断続")))</f>
        <v>断続</v>
      </c>
      <c r="Z1096" s="30" t="n">
        <v>60</v>
      </c>
      <c r="AA1096" s="30" t="n">
        <v>60</v>
      </c>
      <c r="AB1096" s="30" t="str">
        <f aca="false">IF(Z1096&lt;判定条件!$C$6,"判定不能",IF(AA1096&gt;=判定条件!$C$7*Z1096,"運転",IF(AA1096&lt;=判定条件!$C$8*Z1096,"停止","断続")))</f>
        <v>運転</v>
      </c>
      <c r="AC1096" s="30" t="n">
        <v>60</v>
      </c>
      <c r="AD1096" s="30" t="n">
        <v>60</v>
      </c>
      <c r="AE1096" s="30" t="str">
        <f aca="false">IF(AC1096&lt;判定条件!$C$6,"判定不能",IF(AD1096&gt;=判定条件!$C$7*AC1096,"運転",IF(AD1096&lt;=判定条件!$C$8*AC1096,"停止","断続")))</f>
        <v>運転</v>
      </c>
      <c r="AF1096" s="30" t="n">
        <v>60</v>
      </c>
      <c r="AG1096" s="30" t="n">
        <v>14</v>
      </c>
      <c r="AH1096" s="30" t="str">
        <f aca="false">IF(OR(P1096="判定不能",G1096="判定不能"),"判定不能",IF(AG1096&gt;=判定条件!$C$9,"利用可",IF(AND(P1096="停止",G1096="停止"),"両方停止","運転がそろわない")))</f>
        <v>運転がそろわない</v>
      </c>
      <c r="AI1096" s="30" t="n">
        <v>60</v>
      </c>
      <c r="AJ1096" s="30" t="n">
        <v>24</v>
      </c>
      <c r="AK1096" s="30" t="str">
        <f aca="false">IF(OR(S1096="判定不能",J1096="判定不能"),"判定不能",IF(AJ1096&gt;=判定条件!$C$9,"利用可",IF(AND(S1096="停止",J1096="停止"),"両方停止","運転がそろわない")))</f>
        <v>運転がそろわない</v>
      </c>
      <c r="AL1096" s="30" t="n">
        <v>60</v>
      </c>
      <c r="AM1096" s="30" t="n">
        <v>36</v>
      </c>
      <c r="AN1096" s="30" t="str">
        <f aca="false">IF(OR(V1096="判定不能",M1096="判定不能"),"判定不能",IF(AM1096&gt;=判定条件!$C$9,"利用可",IF(AND(V1096="停止",M1096="停止"),"両方停止","運転がそろわない")))</f>
        <v>利用可</v>
      </c>
      <c r="AO1096" s="30" t="n">
        <v>60</v>
      </c>
      <c r="AP1096" s="30" t="n">
        <v>16</v>
      </c>
      <c r="AQ1096" s="30" t="str">
        <f aca="false">IF(OR(Y1096="判定不能",G1096="判定不能"),"判定不能",IF(AP1096&gt;=判定条件!$C$9,"利用可",IF(AND(Y1096="停止",G1096="停止"),"両方停止","運転がそろわない")))</f>
        <v>運転がそろわない</v>
      </c>
      <c r="AR1096" s="30" t="n">
        <v>60</v>
      </c>
      <c r="AS1096" s="30" t="n">
        <v>53</v>
      </c>
      <c r="AT1096" s="30" t="str">
        <f aca="false">IF(OR(AB1096="判定不能",J1096="判定不能"),"判定不能",IF(AS1096&gt;=判定条件!$C$9,"利用可",IF(AND(AB1096="停止",J1096="停止"),"両方停止","運転がそろわない")))</f>
        <v>利用可</v>
      </c>
      <c r="AU1096" s="30" t="n">
        <v>60</v>
      </c>
      <c r="AV1096" s="30" t="n">
        <v>39</v>
      </c>
      <c r="AW1096" s="30" t="str">
        <f aca="false">IF(OR(AE1096="判定不能",M1096="判定不能"),"判定不能",IF(AV1096&gt;=判定条件!$C$9,"利用可",IF(AND(AE1096="停止",M1096="停止"),"両方停止","運転がそろわない")))</f>
        <v>利用可</v>
      </c>
      <c r="AX1096" s="30" t="str">
        <f aca="false">IF(AND(AH1096="利用可",AK1096="利用可",AN1096="利用可"),"利用可","不可")</f>
        <v>不可</v>
      </c>
      <c r="AY1096" s="30" t="str">
        <f aca="false">IF(AND(AQ1096="利用可",AT1096="利用可",AW1096="利用可"),"利用可","不可")</f>
        <v>不可</v>
      </c>
    </row>
    <row r="1097" customFormat="false" ht="15" hidden="false" customHeight="false" outlineLevel="0" collapsed="false">
      <c r="A1097" s="29" t="n">
        <v>46277</v>
      </c>
      <c r="B1097" s="30" t="n">
        <v>14</v>
      </c>
      <c r="C1097" s="31" t="s">
        <v>63</v>
      </c>
      <c r="D1097" s="31" t="s">
        <v>64</v>
      </c>
      <c r="E1097" s="30" t="n">
        <v>60</v>
      </c>
      <c r="F1097" s="30" t="n">
        <v>49</v>
      </c>
      <c r="G1097" s="30" t="str">
        <f aca="false">IF(E1097&lt;判定条件!$C$6,"判定不能",IF(F1097&gt;=判定条件!$C$7*E1097,"運転",IF(F1097&lt;=判定条件!$C$8*E1097,"停止","断続")))</f>
        <v>運転</v>
      </c>
      <c r="H1097" s="30" t="n">
        <v>60</v>
      </c>
      <c r="I1097" s="30" t="n">
        <v>60</v>
      </c>
      <c r="J1097" s="30" t="str">
        <f aca="false">IF(H1097&lt;判定条件!$C$6,"判定不能",IF(I1097&gt;=判定条件!$C$7*H1097,"運転",IF(I1097&lt;=判定条件!$C$8*H1097,"停止","断続")))</f>
        <v>運転</v>
      </c>
      <c r="K1097" s="30" t="n">
        <v>60</v>
      </c>
      <c r="L1097" s="30" t="n">
        <v>60</v>
      </c>
      <c r="M1097" s="30" t="str">
        <f aca="false">IF(K1097&lt;判定条件!$C$6,"判定不能",IF(L1097&gt;=判定条件!$C$7*K1097,"運転",IF(L1097&lt;=判定条件!$C$8*K1097,"停止","断続")))</f>
        <v>運転</v>
      </c>
      <c r="N1097" s="30" t="n">
        <v>60</v>
      </c>
      <c r="O1097" s="30" t="n">
        <v>49</v>
      </c>
      <c r="P1097" s="30" t="str">
        <f aca="false">IF(N1097&lt;判定条件!$C$6,"判定不能",IF(O1097&gt;=判定条件!$C$7*N1097,"運転",IF(O1097&lt;=判定条件!$C$8*N1097,"停止","断続")))</f>
        <v>運転</v>
      </c>
      <c r="Q1097" s="30" t="n">
        <v>60</v>
      </c>
      <c r="R1097" s="30" t="n">
        <v>12</v>
      </c>
      <c r="S1097" s="30" t="str">
        <f aca="false">IF(Q1097&lt;判定条件!$C$6,"判定不能",IF(R1097&gt;=判定条件!$C$7*Q1097,"運転",IF(R1097&lt;=判定条件!$C$8*Q1097,"停止","断続")))</f>
        <v>停止</v>
      </c>
      <c r="T1097" s="30" t="n">
        <v>60</v>
      </c>
      <c r="U1097" s="30" t="n">
        <v>41</v>
      </c>
      <c r="V1097" s="30" t="str">
        <f aca="false">IF(T1097&lt;判定条件!$C$6,"判定不能",IF(U1097&gt;=判定条件!$C$7*T1097,"運転",IF(U1097&lt;=判定条件!$C$8*T1097,"停止","断続")))</f>
        <v>断続</v>
      </c>
      <c r="W1097" s="30" t="n">
        <v>60</v>
      </c>
      <c r="X1097" s="30" t="n">
        <v>60</v>
      </c>
      <c r="Y1097" s="30" t="str">
        <f aca="false">IF(W1097&lt;判定条件!$C$6,"判定不能",IF(X1097&gt;=判定条件!$C$7*W1097,"運転",IF(X1097&lt;=判定条件!$C$8*W1097,"停止","断続")))</f>
        <v>運転</v>
      </c>
      <c r="Z1097" s="30" t="n">
        <v>60</v>
      </c>
      <c r="AA1097" s="30" t="n">
        <v>42</v>
      </c>
      <c r="AB1097" s="30" t="str">
        <f aca="false">IF(Z1097&lt;判定条件!$C$6,"判定不能",IF(AA1097&gt;=判定条件!$C$7*Z1097,"運転",IF(AA1097&lt;=判定条件!$C$8*Z1097,"停止","断続")))</f>
        <v>断続</v>
      </c>
      <c r="AC1097" s="30" t="n">
        <v>60</v>
      </c>
      <c r="AD1097" s="30" t="n">
        <v>54</v>
      </c>
      <c r="AE1097" s="30" t="str">
        <f aca="false">IF(AC1097&lt;判定条件!$C$6,"判定不能",IF(AD1097&gt;=判定条件!$C$7*AC1097,"運転",IF(AD1097&lt;=判定条件!$C$8*AC1097,"停止","断続")))</f>
        <v>運転</v>
      </c>
      <c r="AF1097" s="30" t="n">
        <v>60</v>
      </c>
      <c r="AG1097" s="30" t="n">
        <v>38</v>
      </c>
      <c r="AH1097" s="30" t="str">
        <f aca="false">IF(OR(P1097="判定不能",G1097="判定不能"),"判定不能",IF(AG1097&gt;=判定条件!$C$9,"利用可",IF(AND(P1097="停止",G1097="停止"),"両方停止","運転がそろわない")))</f>
        <v>利用可</v>
      </c>
      <c r="AI1097" s="30" t="n">
        <v>60</v>
      </c>
      <c r="AJ1097" s="30" t="n">
        <v>12</v>
      </c>
      <c r="AK1097" s="30" t="str">
        <f aca="false">IF(OR(S1097="判定不能",J1097="判定不能"),"判定不能",IF(AJ1097&gt;=判定条件!$C$9,"利用可",IF(AND(S1097="停止",J1097="停止"),"両方停止","運転がそろわない")))</f>
        <v>運転がそろわない</v>
      </c>
      <c r="AL1097" s="30" t="n">
        <v>60</v>
      </c>
      <c r="AM1097" s="30" t="n">
        <v>41</v>
      </c>
      <c r="AN1097" s="30" t="str">
        <f aca="false">IF(OR(V1097="判定不能",M1097="判定不能"),"判定不能",IF(AM1097&gt;=判定条件!$C$9,"利用可",IF(AND(V1097="停止",M1097="停止"),"両方停止","運転がそろわない")))</f>
        <v>利用可</v>
      </c>
      <c r="AO1097" s="30" t="n">
        <v>60</v>
      </c>
      <c r="AP1097" s="30" t="n">
        <v>49</v>
      </c>
      <c r="AQ1097" s="30" t="str">
        <f aca="false">IF(OR(Y1097="判定不能",G1097="判定不能"),"判定不能",IF(AP1097&gt;=判定条件!$C$9,"利用可",IF(AND(Y1097="停止",G1097="停止"),"両方停止","運転がそろわない")))</f>
        <v>利用可</v>
      </c>
      <c r="AR1097" s="30" t="n">
        <v>60</v>
      </c>
      <c r="AS1097" s="30" t="n">
        <v>42</v>
      </c>
      <c r="AT1097" s="30" t="str">
        <f aca="false">IF(OR(AB1097="判定不能",J1097="判定不能"),"判定不能",IF(AS1097&gt;=判定条件!$C$9,"利用可",IF(AND(AB1097="停止",J1097="停止"),"両方停止","運転がそろわない")))</f>
        <v>利用可</v>
      </c>
      <c r="AU1097" s="30" t="n">
        <v>60</v>
      </c>
      <c r="AV1097" s="30" t="n">
        <v>54</v>
      </c>
      <c r="AW1097" s="30" t="str">
        <f aca="false">IF(OR(AE1097="判定不能",M1097="判定不能"),"判定不能",IF(AV1097&gt;=判定条件!$C$9,"利用可",IF(AND(AE1097="停止",M1097="停止"),"両方停止","運転がそろわない")))</f>
        <v>利用可</v>
      </c>
      <c r="AX1097" s="30" t="str">
        <f aca="false">IF(AND(AH1097="利用可",AK1097="利用可",AN1097="利用可"),"利用可","不可")</f>
        <v>不可</v>
      </c>
      <c r="AY1097" s="30" t="str">
        <f aca="false">IF(AND(AQ1097="利用可",AT1097="利用可",AW1097="利用可"),"利用可","不可")</f>
        <v>利用可</v>
      </c>
    </row>
    <row r="1098" customFormat="false" ht="15" hidden="false" customHeight="false" outlineLevel="0" collapsed="false">
      <c r="A1098" s="29" t="n">
        <v>46277</v>
      </c>
      <c r="B1098" s="30" t="n">
        <v>15</v>
      </c>
      <c r="C1098" s="31" t="s">
        <v>63</v>
      </c>
      <c r="D1098" s="31" t="s">
        <v>64</v>
      </c>
      <c r="E1098" s="30" t="n">
        <v>60</v>
      </c>
      <c r="F1098" s="30" t="n">
        <v>52</v>
      </c>
      <c r="G1098" s="30" t="str">
        <f aca="false">IF(E1098&lt;判定条件!$C$6,"判定不能",IF(F1098&gt;=判定条件!$C$7*E1098,"運転",IF(F1098&lt;=判定条件!$C$8*E1098,"停止","断続")))</f>
        <v>運転</v>
      </c>
      <c r="H1098" s="30" t="n">
        <v>60</v>
      </c>
      <c r="I1098" s="30" t="n">
        <v>14</v>
      </c>
      <c r="J1098" s="30" t="str">
        <f aca="false">IF(H1098&lt;判定条件!$C$6,"判定不能",IF(I1098&gt;=判定条件!$C$7*H1098,"運転",IF(I1098&lt;=判定条件!$C$8*H1098,"停止","断続")))</f>
        <v>断続</v>
      </c>
      <c r="K1098" s="30" t="n">
        <v>60</v>
      </c>
      <c r="L1098" s="30" t="n">
        <v>31</v>
      </c>
      <c r="M1098" s="30" t="str">
        <f aca="false">IF(K1098&lt;判定条件!$C$6,"判定不能",IF(L1098&gt;=判定条件!$C$7*K1098,"運転",IF(L1098&lt;=判定条件!$C$8*K1098,"停止","断続")))</f>
        <v>断続</v>
      </c>
      <c r="N1098" s="30" t="n">
        <v>60</v>
      </c>
      <c r="O1098" s="30" t="n">
        <v>36</v>
      </c>
      <c r="P1098" s="30" t="str">
        <f aca="false">IF(N1098&lt;判定条件!$C$6,"判定不能",IF(O1098&gt;=判定条件!$C$7*N1098,"運転",IF(O1098&lt;=判定条件!$C$8*N1098,"停止","断続")))</f>
        <v>断続</v>
      </c>
      <c r="Q1098" s="30" t="n">
        <v>60</v>
      </c>
      <c r="R1098" s="30" t="n">
        <v>0</v>
      </c>
      <c r="S1098" s="30" t="str">
        <f aca="false">IF(Q1098&lt;判定条件!$C$6,"判定不能",IF(R1098&gt;=判定条件!$C$7*Q1098,"運転",IF(R1098&lt;=判定条件!$C$8*Q1098,"停止","断続")))</f>
        <v>停止</v>
      </c>
      <c r="T1098" s="30" t="n">
        <v>60</v>
      </c>
      <c r="U1098" s="30" t="n">
        <v>0</v>
      </c>
      <c r="V1098" s="30" t="str">
        <f aca="false">IF(T1098&lt;判定条件!$C$6,"判定不能",IF(U1098&gt;=判定条件!$C$7*T1098,"運転",IF(U1098&lt;=判定条件!$C$8*T1098,"停止","断続")))</f>
        <v>停止</v>
      </c>
      <c r="W1098" s="30" t="n">
        <v>60</v>
      </c>
      <c r="X1098" s="30" t="n">
        <v>45</v>
      </c>
      <c r="Y1098" s="30" t="str">
        <f aca="false">IF(W1098&lt;判定条件!$C$6,"判定不能",IF(X1098&gt;=判定条件!$C$7*W1098,"運転",IF(X1098&lt;=判定条件!$C$8*W1098,"停止","断続")))</f>
        <v>断続</v>
      </c>
      <c r="Z1098" s="30" t="n">
        <v>60</v>
      </c>
      <c r="AA1098" s="30" t="n">
        <v>0</v>
      </c>
      <c r="AB1098" s="30" t="str">
        <f aca="false">IF(Z1098&lt;判定条件!$C$6,"判定不能",IF(AA1098&gt;=判定条件!$C$7*Z1098,"運転",IF(AA1098&lt;=判定条件!$C$8*Z1098,"停止","断続")))</f>
        <v>停止</v>
      </c>
      <c r="AC1098" s="30" t="n">
        <v>60</v>
      </c>
      <c r="AD1098" s="30" t="n">
        <v>60</v>
      </c>
      <c r="AE1098" s="30" t="str">
        <f aca="false">IF(AC1098&lt;判定条件!$C$6,"判定不能",IF(AD1098&gt;=判定条件!$C$7*AC1098,"運転",IF(AD1098&lt;=判定条件!$C$8*AC1098,"停止","断続")))</f>
        <v>運転</v>
      </c>
      <c r="AF1098" s="30" t="n">
        <v>60</v>
      </c>
      <c r="AG1098" s="30" t="n">
        <v>34</v>
      </c>
      <c r="AH1098" s="30" t="str">
        <f aca="false">IF(OR(P1098="判定不能",G1098="判定不能"),"判定不能",IF(AG1098&gt;=判定条件!$C$9,"利用可",IF(AND(P1098="停止",G1098="停止"),"両方停止","運転がそろわない")))</f>
        <v>利用可</v>
      </c>
      <c r="AI1098" s="30" t="n">
        <v>60</v>
      </c>
      <c r="AJ1098" s="30" t="n">
        <v>0</v>
      </c>
      <c r="AK1098" s="30" t="str">
        <f aca="false">IF(OR(S1098="判定不能",J1098="判定不能"),"判定不能",IF(AJ1098&gt;=判定条件!$C$9,"利用可",IF(AND(S1098="停止",J1098="停止"),"両方停止","運転がそろわない")))</f>
        <v>運転がそろわない</v>
      </c>
      <c r="AL1098" s="30" t="n">
        <v>60</v>
      </c>
      <c r="AM1098" s="30" t="n">
        <v>0</v>
      </c>
      <c r="AN1098" s="30" t="str">
        <f aca="false">IF(OR(V1098="判定不能",M1098="判定不能"),"判定不能",IF(AM1098&gt;=判定条件!$C$9,"利用可",IF(AND(V1098="停止",M1098="停止"),"両方停止","運転がそろわない")))</f>
        <v>運転がそろわない</v>
      </c>
      <c r="AO1098" s="30" t="n">
        <v>60</v>
      </c>
      <c r="AP1098" s="30" t="n">
        <v>37</v>
      </c>
      <c r="AQ1098" s="30" t="str">
        <f aca="false">IF(OR(Y1098="判定不能",G1098="判定不能"),"判定不能",IF(AP1098&gt;=判定条件!$C$9,"利用可",IF(AND(Y1098="停止",G1098="停止"),"両方停止","運転がそろわない")))</f>
        <v>利用可</v>
      </c>
      <c r="AR1098" s="30" t="n">
        <v>60</v>
      </c>
      <c r="AS1098" s="30" t="n">
        <v>0</v>
      </c>
      <c r="AT1098" s="30" t="str">
        <f aca="false">IF(OR(AB1098="判定不能",J1098="判定不能"),"判定不能",IF(AS1098&gt;=判定条件!$C$9,"利用可",IF(AND(AB1098="停止",J1098="停止"),"両方停止","運転がそろわない")))</f>
        <v>運転がそろわない</v>
      </c>
      <c r="AU1098" s="30" t="n">
        <v>60</v>
      </c>
      <c r="AV1098" s="30" t="n">
        <v>31</v>
      </c>
      <c r="AW1098" s="30" t="str">
        <f aca="false">IF(OR(AE1098="判定不能",M1098="判定不能"),"判定不能",IF(AV1098&gt;=判定条件!$C$9,"利用可",IF(AND(AE1098="停止",M1098="停止"),"両方停止","運転がそろわない")))</f>
        <v>利用可</v>
      </c>
      <c r="AX1098" s="30" t="str">
        <f aca="false">IF(AND(AH1098="利用可",AK1098="利用可",AN1098="利用可"),"利用可","不可")</f>
        <v>不可</v>
      </c>
      <c r="AY1098" s="30" t="str">
        <f aca="false">IF(AND(AQ1098="利用可",AT1098="利用可",AW1098="利用可"),"利用可","不可")</f>
        <v>不可</v>
      </c>
    </row>
    <row r="1099" customFormat="false" ht="15" hidden="false" customHeight="false" outlineLevel="0" collapsed="false">
      <c r="A1099" s="29" t="n">
        <v>46277</v>
      </c>
      <c r="B1099" s="30" t="n">
        <v>16</v>
      </c>
      <c r="C1099" s="31" t="s">
        <v>63</v>
      </c>
      <c r="D1099" s="31" t="s">
        <v>64</v>
      </c>
      <c r="E1099" s="30" t="n">
        <v>60</v>
      </c>
      <c r="F1099" s="30" t="n">
        <v>38</v>
      </c>
      <c r="G1099" s="30" t="str">
        <f aca="false">IF(E1099&lt;判定条件!$C$6,"判定不能",IF(F1099&gt;=判定条件!$C$7*E1099,"運転",IF(F1099&lt;=判定条件!$C$8*E1099,"停止","断続")))</f>
        <v>断続</v>
      </c>
      <c r="H1099" s="30" t="n">
        <v>60</v>
      </c>
      <c r="I1099" s="30" t="n">
        <v>14</v>
      </c>
      <c r="J1099" s="30" t="str">
        <f aca="false">IF(H1099&lt;判定条件!$C$6,"判定不能",IF(I1099&gt;=判定条件!$C$7*H1099,"運転",IF(I1099&lt;=判定条件!$C$8*H1099,"停止","断続")))</f>
        <v>断続</v>
      </c>
      <c r="K1099" s="30" t="n">
        <v>60</v>
      </c>
      <c r="L1099" s="30" t="n">
        <v>24</v>
      </c>
      <c r="M1099" s="30" t="str">
        <f aca="false">IF(K1099&lt;判定条件!$C$6,"判定不能",IF(L1099&gt;=判定条件!$C$7*K1099,"運転",IF(L1099&lt;=判定条件!$C$8*K1099,"停止","断続")))</f>
        <v>断続</v>
      </c>
      <c r="N1099" s="30" t="n">
        <v>60</v>
      </c>
      <c r="O1099" s="30" t="n">
        <v>26</v>
      </c>
      <c r="P1099" s="30" t="str">
        <f aca="false">IF(N1099&lt;判定条件!$C$6,"判定不能",IF(O1099&gt;=判定条件!$C$7*N1099,"運転",IF(O1099&lt;=判定条件!$C$8*N1099,"停止","断続")))</f>
        <v>断続</v>
      </c>
      <c r="Q1099" s="30" t="n">
        <v>60</v>
      </c>
      <c r="R1099" s="30" t="n">
        <v>33</v>
      </c>
      <c r="S1099" s="30" t="str">
        <f aca="false">IF(Q1099&lt;判定条件!$C$6,"判定不能",IF(R1099&gt;=判定条件!$C$7*Q1099,"運転",IF(R1099&lt;=判定条件!$C$8*Q1099,"停止","断続")))</f>
        <v>断続</v>
      </c>
      <c r="T1099" s="30" t="n">
        <v>60</v>
      </c>
      <c r="U1099" s="30" t="n">
        <v>36</v>
      </c>
      <c r="V1099" s="30" t="str">
        <f aca="false">IF(T1099&lt;判定条件!$C$6,"判定不能",IF(U1099&gt;=判定条件!$C$7*T1099,"運転",IF(U1099&lt;=判定条件!$C$8*T1099,"停止","断続")))</f>
        <v>断続</v>
      </c>
      <c r="W1099" s="30" t="n">
        <v>60</v>
      </c>
      <c r="X1099" s="30" t="n">
        <v>10</v>
      </c>
      <c r="Y1099" s="30" t="str">
        <f aca="false">IF(W1099&lt;判定条件!$C$6,"判定不能",IF(X1099&gt;=判定条件!$C$7*W1099,"運転",IF(X1099&lt;=判定条件!$C$8*W1099,"停止","断続")))</f>
        <v>停止</v>
      </c>
      <c r="Z1099" s="30" t="n">
        <v>60</v>
      </c>
      <c r="AA1099" s="30" t="n">
        <v>0</v>
      </c>
      <c r="AB1099" s="30" t="str">
        <f aca="false">IF(Z1099&lt;判定条件!$C$6,"判定不能",IF(AA1099&gt;=判定条件!$C$7*Z1099,"運転",IF(AA1099&lt;=判定条件!$C$8*Z1099,"停止","断続")))</f>
        <v>停止</v>
      </c>
      <c r="AC1099" s="30" t="n">
        <v>60</v>
      </c>
      <c r="AD1099" s="30" t="n">
        <v>60</v>
      </c>
      <c r="AE1099" s="30" t="str">
        <f aca="false">IF(AC1099&lt;判定条件!$C$6,"判定不能",IF(AD1099&gt;=判定条件!$C$7*AC1099,"運転",IF(AD1099&lt;=判定条件!$C$8*AC1099,"停止","断続")))</f>
        <v>運転</v>
      </c>
      <c r="AF1099" s="30" t="n">
        <v>60</v>
      </c>
      <c r="AG1099" s="30" t="n">
        <v>21</v>
      </c>
      <c r="AH1099" s="30" t="str">
        <f aca="false">IF(OR(P1099="判定不能",G1099="判定不能"),"判定不能",IF(AG1099&gt;=判定条件!$C$9,"利用可",IF(AND(P1099="停止",G1099="停止"),"両方停止","運転がそろわない")))</f>
        <v>運転がそろわない</v>
      </c>
      <c r="AI1099" s="30" t="n">
        <v>60</v>
      </c>
      <c r="AJ1099" s="30" t="n">
        <v>4</v>
      </c>
      <c r="AK1099" s="30" t="str">
        <f aca="false">IF(OR(S1099="判定不能",J1099="判定不能"),"判定不能",IF(AJ1099&gt;=判定条件!$C$9,"利用可",IF(AND(S1099="停止",J1099="停止"),"両方停止","運転がそろわない")))</f>
        <v>運転がそろわない</v>
      </c>
      <c r="AL1099" s="30" t="n">
        <v>60</v>
      </c>
      <c r="AM1099" s="30" t="n">
        <v>6</v>
      </c>
      <c r="AN1099" s="30" t="str">
        <f aca="false">IF(OR(V1099="判定不能",M1099="判定不能"),"判定不能",IF(AM1099&gt;=判定条件!$C$9,"利用可",IF(AND(V1099="停止",M1099="停止"),"両方停止","運転がそろわない")))</f>
        <v>運転がそろわない</v>
      </c>
      <c r="AO1099" s="30" t="n">
        <v>60</v>
      </c>
      <c r="AP1099" s="30" t="n">
        <v>10</v>
      </c>
      <c r="AQ1099" s="30" t="str">
        <f aca="false">IF(OR(Y1099="判定不能",G1099="判定不能"),"判定不能",IF(AP1099&gt;=判定条件!$C$9,"利用可",IF(AND(Y1099="停止",G1099="停止"),"両方停止","運転がそろわない")))</f>
        <v>運転がそろわない</v>
      </c>
      <c r="AR1099" s="30" t="n">
        <v>60</v>
      </c>
      <c r="AS1099" s="30" t="n">
        <v>0</v>
      </c>
      <c r="AT1099" s="30" t="str">
        <f aca="false">IF(OR(AB1099="判定不能",J1099="判定不能"),"判定不能",IF(AS1099&gt;=判定条件!$C$9,"利用可",IF(AND(AB1099="停止",J1099="停止"),"両方停止","運転がそろわない")))</f>
        <v>運転がそろわない</v>
      </c>
      <c r="AU1099" s="30" t="n">
        <v>60</v>
      </c>
      <c r="AV1099" s="30" t="n">
        <v>24</v>
      </c>
      <c r="AW1099" s="30" t="str">
        <f aca="false">IF(OR(AE1099="判定不能",M1099="判定不能"),"判定不能",IF(AV1099&gt;=判定条件!$C$9,"利用可",IF(AND(AE1099="停止",M1099="停止"),"両方停止","運転がそろわない")))</f>
        <v>運転がそろわない</v>
      </c>
      <c r="AX1099" s="30" t="str">
        <f aca="false">IF(AND(AH1099="利用可",AK1099="利用可",AN1099="利用可"),"利用可","不可")</f>
        <v>不可</v>
      </c>
      <c r="AY1099" s="30" t="str">
        <f aca="false">IF(AND(AQ1099="利用可",AT1099="利用可",AW1099="利用可"),"利用可","不可")</f>
        <v>不可</v>
      </c>
    </row>
    <row r="1100" customFormat="false" ht="15" hidden="false" customHeight="false" outlineLevel="0" collapsed="false">
      <c r="A1100" s="29" t="n">
        <v>46277</v>
      </c>
      <c r="B1100" s="30" t="n">
        <v>17</v>
      </c>
      <c r="C1100" s="31" t="s">
        <v>63</v>
      </c>
      <c r="D1100" s="31" t="s">
        <v>64</v>
      </c>
      <c r="E1100" s="30" t="n">
        <v>60</v>
      </c>
      <c r="F1100" s="30" t="n">
        <v>27</v>
      </c>
      <c r="G1100" s="30" t="str">
        <f aca="false">IF(E1100&lt;判定条件!$C$6,"判定不能",IF(F1100&gt;=判定条件!$C$7*E1100,"運転",IF(F1100&lt;=判定条件!$C$8*E1100,"停止","断続")))</f>
        <v>断続</v>
      </c>
      <c r="H1100" s="30" t="n">
        <v>60</v>
      </c>
      <c r="I1100" s="30" t="n">
        <v>42</v>
      </c>
      <c r="J1100" s="30" t="str">
        <f aca="false">IF(H1100&lt;判定条件!$C$6,"判定不能",IF(I1100&gt;=判定条件!$C$7*H1100,"運転",IF(I1100&lt;=判定条件!$C$8*H1100,"停止","断続")))</f>
        <v>断続</v>
      </c>
      <c r="K1100" s="30" t="n">
        <v>60</v>
      </c>
      <c r="L1100" s="30" t="n">
        <v>52</v>
      </c>
      <c r="M1100" s="30" t="str">
        <f aca="false">IF(K1100&lt;判定条件!$C$6,"判定不能",IF(L1100&gt;=判定条件!$C$7*K1100,"運転",IF(L1100&lt;=判定条件!$C$8*K1100,"停止","断続")))</f>
        <v>運転</v>
      </c>
      <c r="N1100" s="30" t="n">
        <v>60</v>
      </c>
      <c r="O1100" s="30" t="n">
        <v>24</v>
      </c>
      <c r="P1100" s="30" t="str">
        <f aca="false">IF(N1100&lt;判定条件!$C$6,"判定不能",IF(O1100&gt;=判定条件!$C$7*N1100,"運転",IF(O1100&lt;=判定条件!$C$8*N1100,"停止","断続")))</f>
        <v>断続</v>
      </c>
      <c r="Q1100" s="30" t="n">
        <v>60</v>
      </c>
      <c r="R1100" s="30" t="n">
        <v>15</v>
      </c>
      <c r="S1100" s="30" t="str">
        <f aca="false">IF(Q1100&lt;判定条件!$C$6,"判定不能",IF(R1100&gt;=判定条件!$C$7*Q1100,"運転",IF(R1100&lt;=判定条件!$C$8*Q1100,"停止","断続")))</f>
        <v>断続</v>
      </c>
      <c r="T1100" s="30" t="n">
        <v>60</v>
      </c>
      <c r="U1100" s="30" t="n">
        <v>18</v>
      </c>
      <c r="V1100" s="30" t="str">
        <f aca="false">IF(T1100&lt;判定条件!$C$6,"判定不能",IF(U1100&gt;=判定条件!$C$7*T1100,"運転",IF(U1100&lt;=判定条件!$C$8*T1100,"停止","断続")))</f>
        <v>断続</v>
      </c>
      <c r="W1100" s="30" t="n">
        <v>60</v>
      </c>
      <c r="X1100" s="30" t="n">
        <v>19</v>
      </c>
      <c r="Y1100" s="30" t="str">
        <f aca="false">IF(W1100&lt;判定条件!$C$6,"判定不能",IF(X1100&gt;=判定条件!$C$7*W1100,"運転",IF(X1100&lt;=判定条件!$C$8*W1100,"停止","断続")))</f>
        <v>断続</v>
      </c>
      <c r="Z1100" s="30" t="n">
        <v>60</v>
      </c>
      <c r="AA1100" s="30" t="n">
        <v>0</v>
      </c>
      <c r="AB1100" s="30" t="str">
        <f aca="false">IF(Z1100&lt;判定条件!$C$6,"判定不能",IF(AA1100&gt;=判定条件!$C$7*Z1100,"運転",IF(AA1100&lt;=判定条件!$C$8*Z1100,"停止","断続")))</f>
        <v>停止</v>
      </c>
      <c r="AC1100" s="30" t="n">
        <v>60</v>
      </c>
      <c r="AD1100" s="30" t="n">
        <v>60</v>
      </c>
      <c r="AE1100" s="30" t="str">
        <f aca="false">IF(AC1100&lt;判定条件!$C$6,"判定不能",IF(AD1100&gt;=判定条件!$C$7*AC1100,"運転",IF(AD1100&lt;=判定条件!$C$8*AC1100,"停止","断続")))</f>
        <v>運転</v>
      </c>
      <c r="AF1100" s="30" t="n">
        <v>60</v>
      </c>
      <c r="AG1100" s="30" t="n">
        <v>17</v>
      </c>
      <c r="AH1100" s="30" t="str">
        <f aca="false">IF(OR(P1100="判定不能",G1100="判定不能"),"判定不能",IF(AG1100&gt;=判定条件!$C$9,"利用可",IF(AND(P1100="停止",G1100="停止"),"両方停止","運転がそろわない")))</f>
        <v>運転がそろわない</v>
      </c>
      <c r="AI1100" s="30" t="n">
        <v>60</v>
      </c>
      <c r="AJ1100" s="30" t="n">
        <v>9</v>
      </c>
      <c r="AK1100" s="30" t="str">
        <f aca="false">IF(OR(S1100="判定不能",J1100="判定不能"),"判定不能",IF(AJ1100&gt;=判定条件!$C$9,"利用可",IF(AND(S1100="停止",J1100="停止"),"両方停止","運転がそろわない")))</f>
        <v>運転がそろわない</v>
      </c>
      <c r="AL1100" s="30" t="n">
        <v>60</v>
      </c>
      <c r="AM1100" s="30" t="n">
        <v>18</v>
      </c>
      <c r="AN1100" s="30" t="str">
        <f aca="false">IF(OR(V1100="判定不能",M1100="判定不能"),"判定不能",IF(AM1100&gt;=判定条件!$C$9,"利用可",IF(AND(V1100="停止",M1100="停止"),"両方停止","運転がそろわない")))</f>
        <v>運転がそろわない</v>
      </c>
      <c r="AO1100" s="30" t="n">
        <v>60</v>
      </c>
      <c r="AP1100" s="30" t="n">
        <v>12</v>
      </c>
      <c r="AQ1100" s="30" t="str">
        <f aca="false">IF(OR(Y1100="判定不能",G1100="判定不能"),"判定不能",IF(AP1100&gt;=判定条件!$C$9,"利用可",IF(AND(Y1100="停止",G1100="停止"),"両方停止","運転がそろわない")))</f>
        <v>運転がそろわない</v>
      </c>
      <c r="AR1100" s="30" t="n">
        <v>60</v>
      </c>
      <c r="AS1100" s="30" t="n">
        <v>0</v>
      </c>
      <c r="AT1100" s="30" t="str">
        <f aca="false">IF(OR(AB1100="判定不能",J1100="判定不能"),"判定不能",IF(AS1100&gt;=判定条件!$C$9,"利用可",IF(AND(AB1100="停止",J1100="停止"),"両方停止","運転がそろわない")))</f>
        <v>運転がそろわない</v>
      </c>
      <c r="AU1100" s="30" t="n">
        <v>60</v>
      </c>
      <c r="AV1100" s="30" t="n">
        <v>52</v>
      </c>
      <c r="AW1100" s="30" t="str">
        <f aca="false">IF(OR(AE1100="判定不能",M1100="判定不能"),"判定不能",IF(AV1100&gt;=判定条件!$C$9,"利用可",IF(AND(AE1100="停止",M1100="停止"),"両方停止","運転がそろわない")))</f>
        <v>利用可</v>
      </c>
      <c r="AX1100" s="30" t="str">
        <f aca="false">IF(AND(AH1100="利用可",AK1100="利用可",AN1100="利用可"),"利用可","不可")</f>
        <v>不可</v>
      </c>
      <c r="AY1100" s="30" t="str">
        <f aca="false">IF(AND(AQ1100="利用可",AT1100="利用可",AW1100="利用可"),"利用可","不可")</f>
        <v>不可</v>
      </c>
    </row>
    <row r="1101" customFormat="false" ht="15" hidden="false" customHeight="false" outlineLevel="0" collapsed="false">
      <c r="A1101" s="29" t="n">
        <v>46277</v>
      </c>
      <c r="B1101" s="30" t="n">
        <v>18</v>
      </c>
      <c r="C1101" s="31" t="s">
        <v>63</v>
      </c>
      <c r="D1101" s="31" t="s">
        <v>64</v>
      </c>
      <c r="E1101" s="30" t="n">
        <v>60</v>
      </c>
      <c r="F1101" s="30" t="n">
        <v>11</v>
      </c>
      <c r="G1101" s="30" t="str">
        <f aca="false">IF(E1101&lt;判定条件!$C$6,"判定不能",IF(F1101&gt;=判定条件!$C$7*E1101,"運転",IF(F1101&lt;=判定条件!$C$8*E1101,"停止","断続")))</f>
        <v>停止</v>
      </c>
      <c r="H1101" s="30" t="n">
        <v>60</v>
      </c>
      <c r="I1101" s="30" t="n">
        <v>4</v>
      </c>
      <c r="J1101" s="30" t="str">
        <f aca="false">IF(H1101&lt;判定条件!$C$6,"判定不能",IF(I1101&gt;=判定条件!$C$7*H1101,"運転",IF(I1101&lt;=判定条件!$C$8*H1101,"停止","断続")))</f>
        <v>停止</v>
      </c>
      <c r="K1101" s="30" t="n">
        <v>60</v>
      </c>
      <c r="L1101" s="30" t="n">
        <v>14</v>
      </c>
      <c r="M1101" s="30" t="str">
        <f aca="false">IF(K1101&lt;判定条件!$C$6,"判定不能",IF(L1101&gt;=判定条件!$C$7*K1101,"運転",IF(L1101&lt;=判定条件!$C$8*K1101,"停止","断続")))</f>
        <v>断続</v>
      </c>
      <c r="N1101" s="30" t="n">
        <v>60</v>
      </c>
      <c r="O1101" s="30" t="n">
        <v>8</v>
      </c>
      <c r="P1101" s="30" t="str">
        <f aca="false">IF(N1101&lt;判定条件!$C$6,"判定不能",IF(O1101&gt;=判定条件!$C$7*N1101,"運転",IF(O1101&lt;=判定条件!$C$8*N1101,"停止","断続")))</f>
        <v>停止</v>
      </c>
      <c r="Q1101" s="30" t="n">
        <v>60</v>
      </c>
      <c r="R1101" s="30" t="n">
        <v>12</v>
      </c>
      <c r="S1101" s="30" t="str">
        <f aca="false">IF(Q1101&lt;判定条件!$C$6,"判定不能",IF(R1101&gt;=判定条件!$C$7*Q1101,"運転",IF(R1101&lt;=判定条件!$C$8*Q1101,"停止","断続")))</f>
        <v>停止</v>
      </c>
      <c r="T1101" s="30" t="n">
        <v>60</v>
      </c>
      <c r="U1101" s="30" t="n">
        <v>0</v>
      </c>
      <c r="V1101" s="30" t="str">
        <f aca="false">IF(T1101&lt;判定条件!$C$6,"判定不能",IF(U1101&gt;=判定条件!$C$7*T1101,"運転",IF(U1101&lt;=判定条件!$C$8*T1101,"停止","断続")))</f>
        <v>停止</v>
      </c>
      <c r="W1101" s="30" t="n">
        <v>60</v>
      </c>
      <c r="X1101" s="30" t="n">
        <v>24</v>
      </c>
      <c r="Y1101" s="30" t="str">
        <f aca="false">IF(W1101&lt;判定条件!$C$6,"判定不能",IF(X1101&gt;=判定条件!$C$7*W1101,"運転",IF(X1101&lt;=判定条件!$C$8*W1101,"停止","断続")))</f>
        <v>断続</v>
      </c>
      <c r="Z1101" s="30" t="n">
        <v>60</v>
      </c>
      <c r="AA1101" s="30" t="n">
        <v>0</v>
      </c>
      <c r="AB1101" s="30" t="str">
        <f aca="false">IF(Z1101&lt;判定条件!$C$6,"判定不能",IF(AA1101&gt;=判定条件!$C$7*Z1101,"運転",IF(AA1101&lt;=判定条件!$C$8*Z1101,"停止","断続")))</f>
        <v>停止</v>
      </c>
      <c r="AC1101" s="30" t="n">
        <v>60</v>
      </c>
      <c r="AD1101" s="30" t="n">
        <v>25</v>
      </c>
      <c r="AE1101" s="30" t="str">
        <f aca="false">IF(AC1101&lt;判定条件!$C$6,"判定不能",IF(AD1101&gt;=判定条件!$C$7*AC1101,"運転",IF(AD1101&lt;=判定条件!$C$8*AC1101,"停止","断続")))</f>
        <v>断続</v>
      </c>
      <c r="AF1101" s="30" t="n">
        <v>60</v>
      </c>
      <c r="AG1101" s="30" t="n">
        <v>0</v>
      </c>
      <c r="AH1101" s="30" t="str">
        <f aca="false">IF(OR(P1101="判定不能",G1101="判定不能"),"判定不能",IF(AG1101&gt;=判定条件!$C$9,"利用可",IF(AND(P1101="停止",G1101="停止"),"両方停止","運転がそろわない")))</f>
        <v>両方停止</v>
      </c>
      <c r="AI1101" s="30" t="n">
        <v>60</v>
      </c>
      <c r="AJ1101" s="30" t="n">
        <v>2</v>
      </c>
      <c r="AK1101" s="30" t="str">
        <f aca="false">IF(OR(S1101="判定不能",J1101="判定不能"),"判定不能",IF(AJ1101&gt;=判定条件!$C$9,"利用可",IF(AND(S1101="停止",J1101="停止"),"両方停止","運転がそろわない")))</f>
        <v>両方停止</v>
      </c>
      <c r="AL1101" s="30" t="n">
        <v>60</v>
      </c>
      <c r="AM1101" s="30" t="n">
        <v>0</v>
      </c>
      <c r="AN1101" s="30" t="str">
        <f aca="false">IF(OR(V1101="判定不能",M1101="判定不能"),"判定不能",IF(AM1101&gt;=判定条件!$C$9,"利用可",IF(AND(V1101="停止",M1101="停止"),"両方停止","運転がそろわない")))</f>
        <v>運転がそろわない</v>
      </c>
      <c r="AO1101" s="30" t="n">
        <v>60</v>
      </c>
      <c r="AP1101" s="30" t="n">
        <v>0</v>
      </c>
      <c r="AQ1101" s="30" t="str">
        <f aca="false">IF(OR(Y1101="判定不能",G1101="判定不能"),"判定不能",IF(AP1101&gt;=判定条件!$C$9,"利用可",IF(AND(Y1101="停止",G1101="停止"),"両方停止","運転がそろわない")))</f>
        <v>運転がそろわない</v>
      </c>
      <c r="AR1101" s="30" t="n">
        <v>60</v>
      </c>
      <c r="AS1101" s="30" t="n">
        <v>0</v>
      </c>
      <c r="AT1101" s="30" t="str">
        <f aca="false">IF(OR(AB1101="判定不能",J1101="判定不能"),"判定不能",IF(AS1101&gt;=判定条件!$C$9,"利用可",IF(AND(AB1101="停止",J1101="停止"),"両方停止","運転がそろわない")))</f>
        <v>両方停止</v>
      </c>
      <c r="AU1101" s="30" t="n">
        <v>60</v>
      </c>
      <c r="AV1101" s="30" t="n">
        <v>7</v>
      </c>
      <c r="AW1101" s="30" t="str">
        <f aca="false">IF(OR(AE1101="判定不能",M1101="判定不能"),"判定不能",IF(AV1101&gt;=判定条件!$C$9,"利用可",IF(AND(AE1101="停止",M1101="停止"),"両方停止","運転がそろわない")))</f>
        <v>運転がそろわない</v>
      </c>
      <c r="AX1101" s="30" t="str">
        <f aca="false">IF(AND(AH1101="利用可",AK1101="利用可",AN1101="利用可"),"利用可","不可")</f>
        <v>不可</v>
      </c>
      <c r="AY1101" s="30" t="str">
        <f aca="false">IF(AND(AQ1101="利用可",AT1101="利用可",AW1101="利用可"),"利用可","不可")</f>
        <v>不可</v>
      </c>
    </row>
    <row r="1102" customFormat="false" ht="15" hidden="false" customHeight="false" outlineLevel="0" collapsed="false">
      <c r="A1102" s="29" t="n">
        <v>46277</v>
      </c>
      <c r="B1102" s="30" t="n">
        <v>19</v>
      </c>
      <c r="C1102" s="31" t="s">
        <v>63</v>
      </c>
      <c r="D1102" s="31" t="s">
        <v>64</v>
      </c>
      <c r="E1102" s="30" t="n">
        <v>60</v>
      </c>
      <c r="F1102" s="30" t="n">
        <v>30</v>
      </c>
      <c r="G1102" s="30" t="str">
        <f aca="false">IF(E1102&lt;判定条件!$C$6,"判定不能",IF(F1102&gt;=判定条件!$C$7*E1102,"運転",IF(F1102&lt;=判定条件!$C$8*E1102,"停止","断続")))</f>
        <v>断続</v>
      </c>
      <c r="H1102" s="30" t="n">
        <v>60</v>
      </c>
      <c r="I1102" s="30" t="n">
        <v>33</v>
      </c>
      <c r="J1102" s="30" t="str">
        <f aca="false">IF(H1102&lt;判定条件!$C$6,"判定不能",IF(I1102&gt;=判定条件!$C$7*H1102,"運転",IF(I1102&lt;=判定条件!$C$8*H1102,"停止","断続")))</f>
        <v>断続</v>
      </c>
      <c r="K1102" s="30" t="n">
        <v>60</v>
      </c>
      <c r="L1102" s="30" t="n">
        <v>7</v>
      </c>
      <c r="M1102" s="30" t="str">
        <f aca="false">IF(K1102&lt;判定条件!$C$6,"判定不能",IF(L1102&gt;=判定条件!$C$7*K1102,"運転",IF(L1102&lt;=判定条件!$C$8*K1102,"停止","断続")))</f>
        <v>停止</v>
      </c>
      <c r="N1102" s="30" t="n">
        <v>60</v>
      </c>
      <c r="O1102" s="30" t="n">
        <v>0</v>
      </c>
      <c r="P1102" s="30" t="str">
        <f aca="false">IF(N1102&lt;判定条件!$C$6,"判定不能",IF(O1102&gt;=判定条件!$C$7*N1102,"運転",IF(O1102&lt;=判定条件!$C$8*N1102,"停止","断続")))</f>
        <v>停止</v>
      </c>
      <c r="Q1102" s="30" t="n">
        <v>60</v>
      </c>
      <c r="R1102" s="30" t="n">
        <v>48</v>
      </c>
      <c r="S1102" s="30" t="str">
        <f aca="false">IF(Q1102&lt;判定条件!$C$6,"判定不能",IF(R1102&gt;=判定条件!$C$7*Q1102,"運転",IF(R1102&lt;=判定条件!$C$8*Q1102,"停止","断続")))</f>
        <v>運転</v>
      </c>
      <c r="T1102" s="30" t="n">
        <v>60</v>
      </c>
      <c r="U1102" s="30" t="n">
        <v>0</v>
      </c>
      <c r="V1102" s="30" t="str">
        <f aca="false">IF(T1102&lt;判定条件!$C$6,"判定不能",IF(U1102&gt;=判定条件!$C$7*T1102,"運転",IF(U1102&lt;=判定条件!$C$8*T1102,"停止","断続")))</f>
        <v>停止</v>
      </c>
      <c r="W1102" s="30" t="n">
        <v>60</v>
      </c>
      <c r="X1102" s="30" t="n">
        <v>0</v>
      </c>
      <c r="Y1102" s="30" t="str">
        <f aca="false">IF(W1102&lt;判定条件!$C$6,"判定不能",IF(X1102&gt;=判定条件!$C$7*W1102,"運転",IF(X1102&lt;=判定条件!$C$8*W1102,"停止","断続")))</f>
        <v>停止</v>
      </c>
      <c r="Z1102" s="30" t="n">
        <v>60</v>
      </c>
      <c r="AA1102" s="30" t="n">
        <v>0</v>
      </c>
      <c r="AB1102" s="30" t="str">
        <f aca="false">IF(Z1102&lt;判定条件!$C$6,"判定不能",IF(AA1102&gt;=判定条件!$C$7*Z1102,"運転",IF(AA1102&lt;=判定条件!$C$8*Z1102,"停止","断続")))</f>
        <v>停止</v>
      </c>
      <c r="AC1102" s="30" t="n">
        <v>60</v>
      </c>
      <c r="AD1102" s="30" t="n">
        <v>0</v>
      </c>
      <c r="AE1102" s="30" t="str">
        <f aca="false">IF(AC1102&lt;判定条件!$C$6,"判定不能",IF(AD1102&gt;=判定条件!$C$7*AC1102,"運転",IF(AD1102&lt;=判定条件!$C$8*AC1102,"停止","断続")))</f>
        <v>停止</v>
      </c>
      <c r="AF1102" s="30" t="n">
        <v>60</v>
      </c>
      <c r="AG1102" s="30" t="n">
        <v>0</v>
      </c>
      <c r="AH1102" s="30" t="str">
        <f aca="false">IF(OR(P1102="判定不能",G1102="判定不能"),"判定不能",IF(AG1102&gt;=判定条件!$C$9,"利用可",IF(AND(P1102="停止",G1102="停止"),"両方停止","運転がそろわない")))</f>
        <v>運転がそろわない</v>
      </c>
      <c r="AI1102" s="30" t="n">
        <v>60</v>
      </c>
      <c r="AJ1102" s="30" t="n">
        <v>23</v>
      </c>
      <c r="AK1102" s="30" t="str">
        <f aca="false">IF(OR(S1102="判定不能",J1102="判定不能"),"判定不能",IF(AJ1102&gt;=判定条件!$C$9,"利用可",IF(AND(S1102="停止",J1102="停止"),"両方停止","運転がそろわない")))</f>
        <v>運転がそろわない</v>
      </c>
      <c r="AL1102" s="30" t="n">
        <v>60</v>
      </c>
      <c r="AM1102" s="30" t="n">
        <v>0</v>
      </c>
      <c r="AN1102" s="30" t="str">
        <f aca="false">IF(OR(V1102="判定不能",M1102="判定不能"),"判定不能",IF(AM1102&gt;=判定条件!$C$9,"利用可",IF(AND(V1102="停止",M1102="停止"),"両方停止","運転がそろわない")))</f>
        <v>両方停止</v>
      </c>
      <c r="AO1102" s="30" t="n">
        <v>60</v>
      </c>
      <c r="AP1102" s="30" t="n">
        <v>0</v>
      </c>
      <c r="AQ1102" s="30" t="str">
        <f aca="false">IF(OR(Y1102="判定不能",G1102="判定不能"),"判定不能",IF(AP1102&gt;=判定条件!$C$9,"利用可",IF(AND(Y1102="停止",G1102="停止"),"両方停止","運転がそろわない")))</f>
        <v>運転がそろわない</v>
      </c>
      <c r="AR1102" s="30" t="n">
        <v>60</v>
      </c>
      <c r="AS1102" s="30" t="n">
        <v>0</v>
      </c>
      <c r="AT1102" s="30" t="str">
        <f aca="false">IF(OR(AB1102="判定不能",J1102="判定不能"),"判定不能",IF(AS1102&gt;=判定条件!$C$9,"利用可",IF(AND(AB1102="停止",J1102="停止"),"両方停止","運転がそろわない")))</f>
        <v>運転がそろわない</v>
      </c>
      <c r="AU1102" s="30" t="n">
        <v>60</v>
      </c>
      <c r="AV1102" s="30" t="n">
        <v>0</v>
      </c>
      <c r="AW1102" s="30" t="str">
        <f aca="false">IF(OR(AE1102="判定不能",M1102="判定不能"),"判定不能",IF(AV1102&gt;=判定条件!$C$9,"利用可",IF(AND(AE1102="停止",M1102="停止"),"両方停止","運転がそろわない")))</f>
        <v>両方停止</v>
      </c>
      <c r="AX1102" s="30" t="str">
        <f aca="false">IF(AND(AH1102="利用可",AK1102="利用可",AN1102="利用可"),"利用可","不可")</f>
        <v>不可</v>
      </c>
      <c r="AY1102" s="30" t="str">
        <f aca="false">IF(AND(AQ1102="利用可",AT1102="利用可",AW1102="利用可"),"利用可","不可")</f>
        <v>不可</v>
      </c>
    </row>
    <row r="1103" customFormat="false" ht="15" hidden="false" customHeight="false" outlineLevel="0" collapsed="false">
      <c r="A1103" s="29" t="n">
        <v>46277</v>
      </c>
      <c r="B1103" s="30" t="n">
        <v>20</v>
      </c>
      <c r="C1103" s="31" t="s">
        <v>63</v>
      </c>
      <c r="D1103" s="31" t="s">
        <v>64</v>
      </c>
      <c r="E1103" s="30" t="n">
        <v>60</v>
      </c>
      <c r="F1103" s="30" t="n">
        <v>30</v>
      </c>
      <c r="G1103" s="30" t="str">
        <f aca="false">IF(E1103&lt;判定条件!$C$6,"判定不能",IF(F1103&gt;=判定条件!$C$7*E1103,"運転",IF(F1103&lt;=判定条件!$C$8*E1103,"停止","断続")))</f>
        <v>断続</v>
      </c>
      <c r="H1103" s="30" t="n">
        <v>60</v>
      </c>
      <c r="I1103" s="30" t="n">
        <v>26</v>
      </c>
      <c r="J1103" s="30" t="str">
        <f aca="false">IF(H1103&lt;判定条件!$C$6,"判定不能",IF(I1103&gt;=判定条件!$C$7*H1103,"運転",IF(I1103&lt;=判定条件!$C$8*H1103,"停止","断続")))</f>
        <v>断続</v>
      </c>
      <c r="K1103" s="30" t="n">
        <v>60</v>
      </c>
      <c r="L1103" s="30" t="n">
        <v>17</v>
      </c>
      <c r="M1103" s="30" t="str">
        <f aca="false">IF(K1103&lt;判定条件!$C$6,"判定不能",IF(L1103&gt;=判定条件!$C$7*K1103,"運転",IF(L1103&lt;=判定条件!$C$8*K1103,"停止","断続")))</f>
        <v>断続</v>
      </c>
      <c r="N1103" s="30" t="n">
        <v>60</v>
      </c>
      <c r="O1103" s="30" t="n">
        <v>0</v>
      </c>
      <c r="P1103" s="30" t="str">
        <f aca="false">IF(N1103&lt;判定条件!$C$6,"判定不能",IF(O1103&gt;=判定条件!$C$7*N1103,"運転",IF(O1103&lt;=判定条件!$C$8*N1103,"停止","断続")))</f>
        <v>停止</v>
      </c>
      <c r="Q1103" s="30" t="n">
        <v>60</v>
      </c>
      <c r="R1103" s="30" t="n">
        <v>2</v>
      </c>
      <c r="S1103" s="30" t="str">
        <f aca="false">IF(Q1103&lt;判定条件!$C$6,"判定不能",IF(R1103&gt;=判定条件!$C$7*Q1103,"運転",IF(R1103&lt;=判定条件!$C$8*Q1103,"停止","断続")))</f>
        <v>停止</v>
      </c>
      <c r="T1103" s="30" t="n">
        <v>60</v>
      </c>
      <c r="U1103" s="30" t="n">
        <v>0</v>
      </c>
      <c r="V1103" s="30" t="str">
        <f aca="false">IF(T1103&lt;判定条件!$C$6,"判定不能",IF(U1103&gt;=判定条件!$C$7*T1103,"運転",IF(U1103&lt;=判定条件!$C$8*T1103,"停止","断続")))</f>
        <v>停止</v>
      </c>
      <c r="W1103" s="30" t="n">
        <v>60</v>
      </c>
      <c r="X1103" s="30" t="n">
        <v>0</v>
      </c>
      <c r="Y1103" s="30" t="str">
        <f aca="false">IF(W1103&lt;判定条件!$C$6,"判定不能",IF(X1103&gt;=判定条件!$C$7*W1103,"運転",IF(X1103&lt;=判定条件!$C$8*W1103,"停止","断続")))</f>
        <v>停止</v>
      </c>
      <c r="Z1103" s="30" t="n">
        <v>60</v>
      </c>
      <c r="AA1103" s="30" t="n">
        <v>0</v>
      </c>
      <c r="AB1103" s="30" t="str">
        <f aca="false">IF(Z1103&lt;判定条件!$C$6,"判定不能",IF(AA1103&gt;=判定条件!$C$7*Z1103,"運転",IF(AA1103&lt;=判定条件!$C$8*Z1103,"停止","断続")))</f>
        <v>停止</v>
      </c>
      <c r="AC1103" s="30" t="n">
        <v>60</v>
      </c>
      <c r="AD1103" s="30" t="n">
        <v>0</v>
      </c>
      <c r="AE1103" s="30" t="str">
        <f aca="false">IF(AC1103&lt;判定条件!$C$6,"判定不能",IF(AD1103&gt;=判定条件!$C$7*AC1103,"運転",IF(AD1103&lt;=判定条件!$C$8*AC1103,"停止","断続")))</f>
        <v>停止</v>
      </c>
      <c r="AF1103" s="30" t="n">
        <v>60</v>
      </c>
      <c r="AG1103" s="30" t="n">
        <v>0</v>
      </c>
      <c r="AH1103" s="30" t="str">
        <f aca="false">IF(OR(P1103="判定不能",G1103="判定不能"),"判定不能",IF(AG1103&gt;=判定条件!$C$9,"利用可",IF(AND(P1103="停止",G1103="停止"),"両方停止","運転がそろわない")))</f>
        <v>運転がそろわない</v>
      </c>
      <c r="AI1103" s="30" t="n">
        <v>60</v>
      </c>
      <c r="AJ1103" s="30" t="n">
        <v>2</v>
      </c>
      <c r="AK1103" s="30" t="str">
        <f aca="false">IF(OR(S1103="判定不能",J1103="判定不能"),"判定不能",IF(AJ1103&gt;=判定条件!$C$9,"利用可",IF(AND(S1103="停止",J1103="停止"),"両方停止","運転がそろわない")))</f>
        <v>運転がそろわない</v>
      </c>
      <c r="AL1103" s="30" t="n">
        <v>60</v>
      </c>
      <c r="AM1103" s="30" t="n">
        <v>0</v>
      </c>
      <c r="AN1103" s="30" t="str">
        <f aca="false">IF(OR(V1103="判定不能",M1103="判定不能"),"判定不能",IF(AM1103&gt;=判定条件!$C$9,"利用可",IF(AND(V1103="停止",M1103="停止"),"両方停止","運転がそろわない")))</f>
        <v>運転がそろわない</v>
      </c>
      <c r="AO1103" s="30" t="n">
        <v>60</v>
      </c>
      <c r="AP1103" s="30" t="n">
        <v>0</v>
      </c>
      <c r="AQ1103" s="30" t="str">
        <f aca="false">IF(OR(Y1103="判定不能",G1103="判定不能"),"判定不能",IF(AP1103&gt;=判定条件!$C$9,"利用可",IF(AND(Y1103="停止",G1103="停止"),"両方停止","運転がそろわない")))</f>
        <v>運転がそろわない</v>
      </c>
      <c r="AR1103" s="30" t="n">
        <v>60</v>
      </c>
      <c r="AS1103" s="30" t="n">
        <v>0</v>
      </c>
      <c r="AT1103" s="30" t="str">
        <f aca="false">IF(OR(AB1103="判定不能",J1103="判定不能"),"判定不能",IF(AS1103&gt;=判定条件!$C$9,"利用可",IF(AND(AB1103="停止",J1103="停止"),"両方停止","運転がそろわない")))</f>
        <v>運転がそろわない</v>
      </c>
      <c r="AU1103" s="30" t="n">
        <v>60</v>
      </c>
      <c r="AV1103" s="30" t="n">
        <v>0</v>
      </c>
      <c r="AW1103" s="30" t="str">
        <f aca="false">IF(OR(AE1103="判定不能",M1103="判定不能"),"判定不能",IF(AV1103&gt;=判定条件!$C$9,"利用可",IF(AND(AE1103="停止",M1103="停止"),"両方停止","運転がそろわない")))</f>
        <v>運転がそろわない</v>
      </c>
      <c r="AX1103" s="30" t="str">
        <f aca="false">IF(AND(AH1103="利用可",AK1103="利用可",AN1103="利用可"),"利用可","不可")</f>
        <v>不可</v>
      </c>
      <c r="AY1103" s="30" t="str">
        <f aca="false">IF(AND(AQ1103="利用可",AT1103="利用可",AW1103="利用可"),"利用可","不可")</f>
        <v>不可</v>
      </c>
    </row>
    <row r="1104" customFormat="false" ht="15" hidden="false" customHeight="false" outlineLevel="0" collapsed="false">
      <c r="A1104" s="29" t="n">
        <v>46277</v>
      </c>
      <c r="B1104" s="30" t="n">
        <v>21</v>
      </c>
      <c r="C1104" s="31" t="s">
        <v>63</v>
      </c>
      <c r="D1104" s="31" t="s">
        <v>64</v>
      </c>
      <c r="E1104" s="30" t="n">
        <v>60</v>
      </c>
      <c r="F1104" s="30" t="n">
        <v>0</v>
      </c>
      <c r="G1104" s="30" t="str">
        <f aca="false">IF(E1104&lt;判定条件!$C$6,"判定不能",IF(F1104&gt;=判定条件!$C$7*E1104,"運転",IF(F1104&lt;=判定条件!$C$8*E1104,"停止","断続")))</f>
        <v>停止</v>
      </c>
      <c r="H1104" s="30" t="n">
        <v>60</v>
      </c>
      <c r="I1104" s="30" t="n">
        <v>0</v>
      </c>
      <c r="J1104" s="30" t="str">
        <f aca="false">IF(H1104&lt;判定条件!$C$6,"判定不能",IF(I1104&gt;=判定条件!$C$7*H1104,"運転",IF(I1104&lt;=判定条件!$C$8*H1104,"停止","断続")))</f>
        <v>停止</v>
      </c>
      <c r="K1104" s="30" t="n">
        <v>60</v>
      </c>
      <c r="L1104" s="30" t="n">
        <v>32</v>
      </c>
      <c r="M1104" s="30" t="str">
        <f aca="false">IF(K1104&lt;判定条件!$C$6,"判定不能",IF(L1104&gt;=判定条件!$C$7*K1104,"運転",IF(L1104&lt;=判定条件!$C$8*K1104,"停止","断続")))</f>
        <v>断続</v>
      </c>
      <c r="N1104" s="30" t="n">
        <v>60</v>
      </c>
      <c r="O1104" s="30" t="n">
        <v>0</v>
      </c>
      <c r="P1104" s="30" t="str">
        <f aca="false">IF(N1104&lt;判定条件!$C$6,"判定不能",IF(O1104&gt;=判定条件!$C$7*N1104,"運転",IF(O1104&lt;=判定条件!$C$8*N1104,"停止","断続")))</f>
        <v>停止</v>
      </c>
      <c r="Q1104" s="30" t="n">
        <v>60</v>
      </c>
      <c r="R1104" s="30" t="n">
        <v>18</v>
      </c>
      <c r="S1104" s="30" t="str">
        <f aca="false">IF(Q1104&lt;判定条件!$C$6,"判定不能",IF(R1104&gt;=判定条件!$C$7*Q1104,"運転",IF(R1104&lt;=判定条件!$C$8*Q1104,"停止","断続")))</f>
        <v>断続</v>
      </c>
      <c r="T1104" s="30" t="n">
        <v>60</v>
      </c>
      <c r="U1104" s="30" t="n">
        <v>0</v>
      </c>
      <c r="V1104" s="30" t="str">
        <f aca="false">IF(T1104&lt;判定条件!$C$6,"判定不能",IF(U1104&gt;=判定条件!$C$7*T1104,"運転",IF(U1104&lt;=判定条件!$C$8*T1104,"停止","断続")))</f>
        <v>停止</v>
      </c>
      <c r="W1104" s="30" t="n">
        <v>60</v>
      </c>
      <c r="X1104" s="30" t="n">
        <v>0</v>
      </c>
      <c r="Y1104" s="30" t="str">
        <f aca="false">IF(W1104&lt;判定条件!$C$6,"判定不能",IF(X1104&gt;=判定条件!$C$7*W1104,"運転",IF(X1104&lt;=判定条件!$C$8*W1104,"停止","断続")))</f>
        <v>停止</v>
      </c>
      <c r="Z1104" s="30" t="n">
        <v>60</v>
      </c>
      <c r="AA1104" s="30" t="n">
        <v>0</v>
      </c>
      <c r="AB1104" s="30" t="str">
        <f aca="false">IF(Z1104&lt;判定条件!$C$6,"判定不能",IF(AA1104&gt;=判定条件!$C$7*Z1104,"運転",IF(AA1104&lt;=判定条件!$C$8*Z1104,"停止","断続")))</f>
        <v>停止</v>
      </c>
      <c r="AC1104" s="30" t="n">
        <v>60</v>
      </c>
      <c r="AD1104" s="30" t="n">
        <v>0</v>
      </c>
      <c r="AE1104" s="30" t="str">
        <f aca="false">IF(AC1104&lt;判定条件!$C$6,"判定不能",IF(AD1104&gt;=判定条件!$C$7*AC1104,"運転",IF(AD1104&lt;=判定条件!$C$8*AC1104,"停止","断続")))</f>
        <v>停止</v>
      </c>
      <c r="AF1104" s="30" t="n">
        <v>60</v>
      </c>
      <c r="AG1104" s="30" t="n">
        <v>0</v>
      </c>
      <c r="AH1104" s="30" t="str">
        <f aca="false">IF(OR(P1104="判定不能",G1104="判定不能"),"判定不能",IF(AG1104&gt;=判定条件!$C$9,"利用可",IF(AND(P1104="停止",G1104="停止"),"両方停止","運転がそろわない")))</f>
        <v>両方停止</v>
      </c>
      <c r="AI1104" s="30" t="n">
        <v>60</v>
      </c>
      <c r="AJ1104" s="30" t="n">
        <v>0</v>
      </c>
      <c r="AK1104" s="30" t="str">
        <f aca="false">IF(OR(S1104="判定不能",J1104="判定不能"),"判定不能",IF(AJ1104&gt;=判定条件!$C$9,"利用可",IF(AND(S1104="停止",J1104="停止"),"両方停止","運転がそろわない")))</f>
        <v>運転がそろわない</v>
      </c>
      <c r="AL1104" s="30" t="n">
        <v>60</v>
      </c>
      <c r="AM1104" s="30" t="n">
        <v>0</v>
      </c>
      <c r="AN1104" s="30" t="str">
        <f aca="false">IF(OR(V1104="判定不能",M1104="判定不能"),"判定不能",IF(AM1104&gt;=判定条件!$C$9,"利用可",IF(AND(V1104="停止",M1104="停止"),"両方停止","運転がそろわない")))</f>
        <v>運転がそろわない</v>
      </c>
      <c r="AO1104" s="30" t="n">
        <v>60</v>
      </c>
      <c r="AP1104" s="30" t="n">
        <v>0</v>
      </c>
      <c r="AQ1104" s="30" t="str">
        <f aca="false">IF(OR(Y1104="判定不能",G1104="判定不能"),"判定不能",IF(AP1104&gt;=判定条件!$C$9,"利用可",IF(AND(Y1104="停止",G1104="停止"),"両方停止","運転がそろわない")))</f>
        <v>両方停止</v>
      </c>
      <c r="AR1104" s="30" t="n">
        <v>60</v>
      </c>
      <c r="AS1104" s="30" t="n">
        <v>0</v>
      </c>
      <c r="AT1104" s="30" t="str">
        <f aca="false">IF(OR(AB1104="判定不能",J1104="判定不能"),"判定不能",IF(AS1104&gt;=判定条件!$C$9,"利用可",IF(AND(AB1104="停止",J1104="停止"),"両方停止","運転がそろわない")))</f>
        <v>両方停止</v>
      </c>
      <c r="AU1104" s="30" t="n">
        <v>60</v>
      </c>
      <c r="AV1104" s="30" t="n">
        <v>0</v>
      </c>
      <c r="AW1104" s="30" t="str">
        <f aca="false">IF(OR(AE1104="判定不能",M1104="判定不能"),"判定不能",IF(AV1104&gt;=判定条件!$C$9,"利用可",IF(AND(AE1104="停止",M1104="停止"),"両方停止","運転がそろわない")))</f>
        <v>運転がそろわない</v>
      </c>
      <c r="AX1104" s="30" t="str">
        <f aca="false">IF(AND(AH1104="利用可",AK1104="利用可",AN1104="利用可"),"利用可","不可")</f>
        <v>不可</v>
      </c>
      <c r="AY1104" s="30" t="str">
        <f aca="false">IF(AND(AQ1104="利用可",AT1104="利用可",AW1104="利用可"),"利用可","不可")</f>
        <v>不可</v>
      </c>
    </row>
    <row r="1105" customFormat="false" ht="15" hidden="false" customHeight="false" outlineLevel="0" collapsed="false">
      <c r="A1105" s="29" t="n">
        <v>46277</v>
      </c>
      <c r="B1105" s="30" t="n">
        <v>22</v>
      </c>
      <c r="C1105" s="31" t="s">
        <v>63</v>
      </c>
      <c r="D1105" s="31" t="s">
        <v>64</v>
      </c>
      <c r="E1105" s="30" t="n">
        <v>60</v>
      </c>
      <c r="F1105" s="30" t="n">
        <v>0</v>
      </c>
      <c r="G1105" s="30" t="str">
        <f aca="false">IF(E1105&lt;判定条件!$C$6,"判定不能",IF(F1105&gt;=判定条件!$C$7*E1105,"運転",IF(F1105&lt;=判定条件!$C$8*E1105,"停止","断続")))</f>
        <v>停止</v>
      </c>
      <c r="H1105" s="30" t="n">
        <v>60</v>
      </c>
      <c r="I1105" s="30" t="n">
        <v>0</v>
      </c>
      <c r="J1105" s="30" t="str">
        <f aca="false">IF(H1105&lt;判定条件!$C$6,"判定不能",IF(I1105&gt;=判定条件!$C$7*H1105,"運転",IF(I1105&lt;=判定条件!$C$8*H1105,"停止","断続")))</f>
        <v>停止</v>
      </c>
      <c r="K1105" s="30" t="n">
        <v>60</v>
      </c>
      <c r="L1105" s="30" t="n">
        <v>0</v>
      </c>
      <c r="M1105" s="30" t="str">
        <f aca="false">IF(K1105&lt;判定条件!$C$6,"判定不能",IF(L1105&gt;=判定条件!$C$7*K1105,"運転",IF(L1105&lt;=判定条件!$C$8*K1105,"停止","断続")))</f>
        <v>停止</v>
      </c>
      <c r="N1105" s="30" t="n">
        <v>60</v>
      </c>
      <c r="O1105" s="30" t="n">
        <v>0</v>
      </c>
      <c r="P1105" s="30" t="str">
        <f aca="false">IF(N1105&lt;判定条件!$C$6,"判定不能",IF(O1105&gt;=判定条件!$C$7*N1105,"運転",IF(O1105&lt;=判定条件!$C$8*N1105,"停止","断続")))</f>
        <v>停止</v>
      </c>
      <c r="Q1105" s="30" t="n">
        <v>60</v>
      </c>
      <c r="R1105" s="30" t="n">
        <v>5</v>
      </c>
      <c r="S1105" s="30" t="str">
        <f aca="false">IF(Q1105&lt;判定条件!$C$6,"判定不能",IF(R1105&gt;=判定条件!$C$7*Q1105,"運転",IF(R1105&lt;=判定条件!$C$8*Q1105,"停止","断続")))</f>
        <v>停止</v>
      </c>
      <c r="T1105" s="30" t="n">
        <v>60</v>
      </c>
      <c r="U1105" s="30" t="n">
        <v>0</v>
      </c>
      <c r="V1105" s="30" t="str">
        <f aca="false">IF(T1105&lt;判定条件!$C$6,"判定不能",IF(U1105&gt;=判定条件!$C$7*T1105,"運転",IF(U1105&lt;=判定条件!$C$8*T1105,"停止","断続")))</f>
        <v>停止</v>
      </c>
      <c r="W1105" s="30" t="n">
        <v>60</v>
      </c>
      <c r="X1105" s="30" t="n">
        <v>0</v>
      </c>
      <c r="Y1105" s="30" t="str">
        <f aca="false">IF(W1105&lt;判定条件!$C$6,"判定不能",IF(X1105&gt;=判定条件!$C$7*W1105,"運転",IF(X1105&lt;=判定条件!$C$8*W1105,"停止","断続")))</f>
        <v>停止</v>
      </c>
      <c r="Z1105" s="30" t="n">
        <v>60</v>
      </c>
      <c r="AA1105" s="30" t="n">
        <v>0</v>
      </c>
      <c r="AB1105" s="30" t="str">
        <f aca="false">IF(Z1105&lt;判定条件!$C$6,"判定不能",IF(AA1105&gt;=判定条件!$C$7*Z1105,"運転",IF(AA1105&lt;=判定条件!$C$8*Z1105,"停止","断続")))</f>
        <v>停止</v>
      </c>
      <c r="AC1105" s="30" t="n">
        <v>60</v>
      </c>
      <c r="AD1105" s="30" t="n">
        <v>0</v>
      </c>
      <c r="AE1105" s="30" t="str">
        <f aca="false">IF(AC1105&lt;判定条件!$C$6,"判定不能",IF(AD1105&gt;=判定条件!$C$7*AC1105,"運転",IF(AD1105&lt;=判定条件!$C$8*AC1105,"停止","断続")))</f>
        <v>停止</v>
      </c>
      <c r="AF1105" s="30" t="n">
        <v>60</v>
      </c>
      <c r="AG1105" s="30" t="n">
        <v>0</v>
      </c>
      <c r="AH1105" s="30" t="str">
        <f aca="false">IF(OR(P1105="判定不能",G1105="判定不能"),"判定不能",IF(AG1105&gt;=判定条件!$C$9,"利用可",IF(AND(P1105="停止",G1105="停止"),"両方停止","運転がそろわない")))</f>
        <v>両方停止</v>
      </c>
      <c r="AI1105" s="30" t="n">
        <v>60</v>
      </c>
      <c r="AJ1105" s="30" t="n">
        <v>0</v>
      </c>
      <c r="AK1105" s="30" t="str">
        <f aca="false">IF(OR(S1105="判定不能",J1105="判定不能"),"判定不能",IF(AJ1105&gt;=判定条件!$C$9,"利用可",IF(AND(S1105="停止",J1105="停止"),"両方停止","運転がそろわない")))</f>
        <v>両方停止</v>
      </c>
      <c r="AL1105" s="30" t="n">
        <v>60</v>
      </c>
      <c r="AM1105" s="30" t="n">
        <v>0</v>
      </c>
      <c r="AN1105" s="30" t="str">
        <f aca="false">IF(OR(V1105="判定不能",M1105="判定不能"),"判定不能",IF(AM1105&gt;=判定条件!$C$9,"利用可",IF(AND(V1105="停止",M1105="停止"),"両方停止","運転がそろわない")))</f>
        <v>両方停止</v>
      </c>
      <c r="AO1105" s="30" t="n">
        <v>60</v>
      </c>
      <c r="AP1105" s="30" t="n">
        <v>0</v>
      </c>
      <c r="AQ1105" s="30" t="str">
        <f aca="false">IF(OR(Y1105="判定不能",G1105="判定不能"),"判定不能",IF(AP1105&gt;=判定条件!$C$9,"利用可",IF(AND(Y1105="停止",G1105="停止"),"両方停止","運転がそろわない")))</f>
        <v>両方停止</v>
      </c>
      <c r="AR1105" s="30" t="n">
        <v>60</v>
      </c>
      <c r="AS1105" s="30" t="n">
        <v>0</v>
      </c>
      <c r="AT1105" s="30" t="str">
        <f aca="false">IF(OR(AB1105="判定不能",J1105="判定不能"),"判定不能",IF(AS1105&gt;=判定条件!$C$9,"利用可",IF(AND(AB1105="停止",J1105="停止"),"両方停止","運転がそろわない")))</f>
        <v>両方停止</v>
      </c>
      <c r="AU1105" s="30" t="n">
        <v>60</v>
      </c>
      <c r="AV1105" s="30" t="n">
        <v>0</v>
      </c>
      <c r="AW1105" s="30" t="str">
        <f aca="false">IF(OR(AE1105="判定不能",M1105="判定不能"),"判定不能",IF(AV1105&gt;=判定条件!$C$9,"利用可",IF(AND(AE1105="停止",M1105="停止"),"両方停止","運転がそろわない")))</f>
        <v>両方停止</v>
      </c>
      <c r="AX1105" s="30" t="str">
        <f aca="false">IF(AND(AH1105="利用可",AK1105="利用可",AN1105="利用可"),"利用可","不可")</f>
        <v>不可</v>
      </c>
      <c r="AY1105" s="30" t="str">
        <f aca="false">IF(AND(AQ1105="利用可",AT1105="利用可",AW1105="利用可"),"利用可","不可")</f>
        <v>不可</v>
      </c>
    </row>
    <row r="1106" customFormat="false" ht="15" hidden="false" customHeight="false" outlineLevel="0" collapsed="false">
      <c r="A1106" s="29" t="n">
        <v>46277</v>
      </c>
      <c r="B1106" s="30" t="n">
        <v>23</v>
      </c>
      <c r="C1106" s="31" t="s">
        <v>63</v>
      </c>
      <c r="D1106" s="31" t="s">
        <v>64</v>
      </c>
      <c r="E1106" s="30" t="n">
        <v>60</v>
      </c>
      <c r="F1106" s="30" t="n">
        <v>0</v>
      </c>
      <c r="G1106" s="30" t="str">
        <f aca="false">IF(E1106&lt;判定条件!$C$6,"判定不能",IF(F1106&gt;=判定条件!$C$7*E1106,"運転",IF(F1106&lt;=判定条件!$C$8*E1106,"停止","断続")))</f>
        <v>停止</v>
      </c>
      <c r="H1106" s="30" t="n">
        <v>60</v>
      </c>
      <c r="I1106" s="30" t="n">
        <v>0</v>
      </c>
      <c r="J1106" s="30" t="str">
        <f aca="false">IF(H1106&lt;判定条件!$C$6,"判定不能",IF(I1106&gt;=判定条件!$C$7*H1106,"運転",IF(I1106&lt;=判定条件!$C$8*H1106,"停止","断続")))</f>
        <v>停止</v>
      </c>
      <c r="K1106" s="30" t="n">
        <v>60</v>
      </c>
      <c r="L1106" s="30" t="n">
        <v>0</v>
      </c>
      <c r="M1106" s="30" t="str">
        <f aca="false">IF(K1106&lt;判定条件!$C$6,"判定不能",IF(L1106&gt;=判定条件!$C$7*K1106,"運転",IF(L1106&lt;=判定条件!$C$8*K1106,"停止","断続")))</f>
        <v>停止</v>
      </c>
      <c r="N1106" s="30" t="n">
        <v>60</v>
      </c>
      <c r="O1106" s="30" t="n">
        <v>0</v>
      </c>
      <c r="P1106" s="30" t="str">
        <f aca="false">IF(N1106&lt;判定条件!$C$6,"判定不能",IF(O1106&gt;=判定条件!$C$7*N1106,"運転",IF(O1106&lt;=判定条件!$C$8*N1106,"停止","断続")))</f>
        <v>停止</v>
      </c>
      <c r="Q1106" s="30" t="n">
        <v>60</v>
      </c>
      <c r="R1106" s="30" t="n">
        <v>0</v>
      </c>
      <c r="S1106" s="30" t="str">
        <f aca="false">IF(Q1106&lt;判定条件!$C$6,"判定不能",IF(R1106&gt;=判定条件!$C$7*Q1106,"運転",IF(R1106&lt;=判定条件!$C$8*Q1106,"停止","断続")))</f>
        <v>停止</v>
      </c>
      <c r="T1106" s="30" t="n">
        <v>60</v>
      </c>
      <c r="U1106" s="30" t="n">
        <v>0</v>
      </c>
      <c r="V1106" s="30" t="str">
        <f aca="false">IF(T1106&lt;判定条件!$C$6,"判定不能",IF(U1106&gt;=判定条件!$C$7*T1106,"運転",IF(U1106&lt;=判定条件!$C$8*T1106,"停止","断続")))</f>
        <v>停止</v>
      </c>
      <c r="W1106" s="30" t="n">
        <v>60</v>
      </c>
      <c r="X1106" s="30" t="n">
        <v>0</v>
      </c>
      <c r="Y1106" s="30" t="str">
        <f aca="false">IF(W1106&lt;判定条件!$C$6,"判定不能",IF(X1106&gt;=判定条件!$C$7*W1106,"運転",IF(X1106&lt;=判定条件!$C$8*W1106,"停止","断続")))</f>
        <v>停止</v>
      </c>
      <c r="Z1106" s="30" t="n">
        <v>60</v>
      </c>
      <c r="AA1106" s="30" t="n">
        <v>0</v>
      </c>
      <c r="AB1106" s="30" t="str">
        <f aca="false">IF(Z1106&lt;判定条件!$C$6,"判定不能",IF(AA1106&gt;=判定条件!$C$7*Z1106,"運転",IF(AA1106&lt;=判定条件!$C$8*Z1106,"停止","断続")))</f>
        <v>停止</v>
      </c>
      <c r="AC1106" s="30" t="n">
        <v>60</v>
      </c>
      <c r="AD1106" s="30" t="n">
        <v>0</v>
      </c>
      <c r="AE1106" s="30" t="str">
        <f aca="false">IF(AC1106&lt;判定条件!$C$6,"判定不能",IF(AD1106&gt;=判定条件!$C$7*AC1106,"運転",IF(AD1106&lt;=判定条件!$C$8*AC1106,"停止","断続")))</f>
        <v>停止</v>
      </c>
      <c r="AF1106" s="30" t="n">
        <v>60</v>
      </c>
      <c r="AG1106" s="30" t="n">
        <v>0</v>
      </c>
      <c r="AH1106" s="30" t="str">
        <f aca="false">IF(OR(P1106="判定不能",G1106="判定不能"),"判定不能",IF(AG1106&gt;=判定条件!$C$9,"利用可",IF(AND(P1106="停止",G1106="停止"),"両方停止","運転がそろわない")))</f>
        <v>両方停止</v>
      </c>
      <c r="AI1106" s="30" t="n">
        <v>60</v>
      </c>
      <c r="AJ1106" s="30" t="n">
        <v>0</v>
      </c>
      <c r="AK1106" s="30" t="str">
        <f aca="false">IF(OR(S1106="判定不能",J1106="判定不能"),"判定不能",IF(AJ1106&gt;=判定条件!$C$9,"利用可",IF(AND(S1106="停止",J1106="停止"),"両方停止","運転がそろわない")))</f>
        <v>両方停止</v>
      </c>
      <c r="AL1106" s="30" t="n">
        <v>60</v>
      </c>
      <c r="AM1106" s="30" t="n">
        <v>0</v>
      </c>
      <c r="AN1106" s="30" t="str">
        <f aca="false">IF(OR(V1106="判定不能",M1106="判定不能"),"判定不能",IF(AM1106&gt;=判定条件!$C$9,"利用可",IF(AND(V1106="停止",M1106="停止"),"両方停止","運転がそろわない")))</f>
        <v>両方停止</v>
      </c>
      <c r="AO1106" s="30" t="n">
        <v>60</v>
      </c>
      <c r="AP1106" s="30" t="n">
        <v>0</v>
      </c>
      <c r="AQ1106" s="30" t="str">
        <f aca="false">IF(OR(Y1106="判定不能",G1106="判定不能"),"判定不能",IF(AP1106&gt;=判定条件!$C$9,"利用可",IF(AND(Y1106="停止",G1106="停止"),"両方停止","運転がそろわない")))</f>
        <v>両方停止</v>
      </c>
      <c r="AR1106" s="30" t="n">
        <v>60</v>
      </c>
      <c r="AS1106" s="30" t="n">
        <v>0</v>
      </c>
      <c r="AT1106" s="30" t="str">
        <f aca="false">IF(OR(AB1106="判定不能",J1106="判定不能"),"判定不能",IF(AS1106&gt;=判定条件!$C$9,"利用可",IF(AND(AB1106="停止",J1106="停止"),"両方停止","運転がそろわない")))</f>
        <v>両方停止</v>
      </c>
      <c r="AU1106" s="30" t="n">
        <v>60</v>
      </c>
      <c r="AV1106" s="30" t="n">
        <v>0</v>
      </c>
      <c r="AW1106" s="30" t="str">
        <f aca="false">IF(OR(AE1106="判定不能",M1106="判定不能"),"判定不能",IF(AV1106&gt;=判定条件!$C$9,"利用可",IF(AND(AE1106="停止",M1106="停止"),"両方停止","運転がそろわない")))</f>
        <v>両方停止</v>
      </c>
      <c r="AX1106" s="30" t="str">
        <f aca="false">IF(AND(AH1106="利用可",AK1106="利用可",AN1106="利用可"),"利用可","不可")</f>
        <v>不可</v>
      </c>
      <c r="AY1106" s="30" t="str">
        <f aca="false">IF(AND(AQ1106="利用可",AT1106="利用可",AW1106="利用可"),"利用可","不可")</f>
        <v>不可</v>
      </c>
    </row>
    <row r="1107" customFormat="false" ht="15" hidden="false" customHeight="false" outlineLevel="0" collapsed="false">
      <c r="A1107" s="29" t="n">
        <v>46278</v>
      </c>
      <c r="B1107" s="30" t="n">
        <v>0</v>
      </c>
      <c r="C1107" s="31" t="s">
        <v>65</v>
      </c>
      <c r="D1107" s="31" t="s">
        <v>64</v>
      </c>
      <c r="E1107" s="30" t="n">
        <v>60</v>
      </c>
      <c r="F1107" s="30" t="n">
        <v>0</v>
      </c>
      <c r="G1107" s="30" t="str">
        <f aca="false">IF(E1107&lt;判定条件!$C$6,"判定不能",IF(F1107&gt;=判定条件!$C$7*E1107,"運転",IF(F1107&lt;=判定条件!$C$8*E1107,"停止","断続")))</f>
        <v>停止</v>
      </c>
      <c r="H1107" s="30" t="n">
        <v>60</v>
      </c>
      <c r="I1107" s="30" t="n">
        <v>0</v>
      </c>
      <c r="J1107" s="30" t="str">
        <f aca="false">IF(H1107&lt;判定条件!$C$6,"判定不能",IF(I1107&gt;=判定条件!$C$7*H1107,"運転",IF(I1107&lt;=判定条件!$C$8*H1107,"停止","断続")))</f>
        <v>停止</v>
      </c>
      <c r="K1107" s="30" t="n">
        <v>60</v>
      </c>
      <c r="L1107" s="30" t="n">
        <v>0</v>
      </c>
      <c r="M1107" s="30" t="str">
        <f aca="false">IF(K1107&lt;判定条件!$C$6,"判定不能",IF(L1107&gt;=判定条件!$C$7*K1107,"運転",IF(L1107&lt;=判定条件!$C$8*K1107,"停止","断続")))</f>
        <v>停止</v>
      </c>
      <c r="N1107" s="30" t="n">
        <v>60</v>
      </c>
      <c r="O1107" s="30" t="n">
        <v>0</v>
      </c>
      <c r="P1107" s="30" t="str">
        <f aca="false">IF(N1107&lt;判定条件!$C$6,"判定不能",IF(O1107&gt;=判定条件!$C$7*N1107,"運転",IF(O1107&lt;=判定条件!$C$8*N1107,"停止","断続")))</f>
        <v>停止</v>
      </c>
      <c r="Q1107" s="30" t="n">
        <v>60</v>
      </c>
      <c r="R1107" s="30" t="n">
        <v>0</v>
      </c>
      <c r="S1107" s="30" t="str">
        <f aca="false">IF(Q1107&lt;判定条件!$C$6,"判定不能",IF(R1107&gt;=判定条件!$C$7*Q1107,"運転",IF(R1107&lt;=判定条件!$C$8*Q1107,"停止","断続")))</f>
        <v>停止</v>
      </c>
      <c r="T1107" s="30" t="n">
        <v>60</v>
      </c>
      <c r="U1107" s="30" t="n">
        <v>0</v>
      </c>
      <c r="V1107" s="30" t="str">
        <f aca="false">IF(T1107&lt;判定条件!$C$6,"判定不能",IF(U1107&gt;=判定条件!$C$7*T1107,"運転",IF(U1107&lt;=判定条件!$C$8*T1107,"停止","断続")))</f>
        <v>停止</v>
      </c>
      <c r="W1107" s="30" t="n">
        <v>60</v>
      </c>
      <c r="X1107" s="30" t="n">
        <v>0</v>
      </c>
      <c r="Y1107" s="30" t="str">
        <f aca="false">IF(W1107&lt;判定条件!$C$6,"判定不能",IF(X1107&gt;=判定条件!$C$7*W1107,"運転",IF(X1107&lt;=判定条件!$C$8*W1107,"停止","断続")))</f>
        <v>停止</v>
      </c>
      <c r="Z1107" s="30" t="n">
        <v>60</v>
      </c>
      <c r="AA1107" s="30" t="n">
        <v>0</v>
      </c>
      <c r="AB1107" s="30" t="str">
        <f aca="false">IF(Z1107&lt;判定条件!$C$6,"判定不能",IF(AA1107&gt;=判定条件!$C$7*Z1107,"運転",IF(AA1107&lt;=判定条件!$C$8*Z1107,"停止","断続")))</f>
        <v>停止</v>
      </c>
      <c r="AC1107" s="30" t="n">
        <v>60</v>
      </c>
      <c r="AD1107" s="30" t="n">
        <v>0</v>
      </c>
      <c r="AE1107" s="30" t="str">
        <f aca="false">IF(AC1107&lt;判定条件!$C$6,"判定不能",IF(AD1107&gt;=判定条件!$C$7*AC1107,"運転",IF(AD1107&lt;=判定条件!$C$8*AC1107,"停止","断続")))</f>
        <v>停止</v>
      </c>
      <c r="AF1107" s="30" t="n">
        <v>60</v>
      </c>
      <c r="AG1107" s="30" t="n">
        <v>0</v>
      </c>
      <c r="AH1107" s="30" t="str">
        <f aca="false">IF(OR(P1107="判定不能",G1107="判定不能"),"判定不能",IF(AG1107&gt;=判定条件!$C$9,"利用可",IF(AND(P1107="停止",G1107="停止"),"両方停止","運転がそろわない")))</f>
        <v>両方停止</v>
      </c>
      <c r="AI1107" s="30" t="n">
        <v>60</v>
      </c>
      <c r="AJ1107" s="30" t="n">
        <v>0</v>
      </c>
      <c r="AK1107" s="30" t="str">
        <f aca="false">IF(OR(S1107="判定不能",J1107="判定不能"),"判定不能",IF(AJ1107&gt;=判定条件!$C$9,"利用可",IF(AND(S1107="停止",J1107="停止"),"両方停止","運転がそろわない")))</f>
        <v>両方停止</v>
      </c>
      <c r="AL1107" s="30" t="n">
        <v>60</v>
      </c>
      <c r="AM1107" s="30" t="n">
        <v>0</v>
      </c>
      <c r="AN1107" s="30" t="str">
        <f aca="false">IF(OR(V1107="判定不能",M1107="判定不能"),"判定不能",IF(AM1107&gt;=判定条件!$C$9,"利用可",IF(AND(V1107="停止",M1107="停止"),"両方停止","運転がそろわない")))</f>
        <v>両方停止</v>
      </c>
      <c r="AO1107" s="30" t="n">
        <v>60</v>
      </c>
      <c r="AP1107" s="30" t="n">
        <v>0</v>
      </c>
      <c r="AQ1107" s="30" t="str">
        <f aca="false">IF(OR(Y1107="判定不能",G1107="判定不能"),"判定不能",IF(AP1107&gt;=判定条件!$C$9,"利用可",IF(AND(Y1107="停止",G1107="停止"),"両方停止","運転がそろわない")))</f>
        <v>両方停止</v>
      </c>
      <c r="AR1107" s="30" t="n">
        <v>60</v>
      </c>
      <c r="AS1107" s="30" t="n">
        <v>0</v>
      </c>
      <c r="AT1107" s="30" t="str">
        <f aca="false">IF(OR(AB1107="判定不能",J1107="判定不能"),"判定不能",IF(AS1107&gt;=判定条件!$C$9,"利用可",IF(AND(AB1107="停止",J1107="停止"),"両方停止","運転がそろわない")))</f>
        <v>両方停止</v>
      </c>
      <c r="AU1107" s="30" t="n">
        <v>60</v>
      </c>
      <c r="AV1107" s="30" t="n">
        <v>0</v>
      </c>
      <c r="AW1107" s="30" t="str">
        <f aca="false">IF(OR(AE1107="判定不能",M1107="判定不能"),"判定不能",IF(AV1107&gt;=判定条件!$C$9,"利用可",IF(AND(AE1107="停止",M1107="停止"),"両方停止","運転がそろわない")))</f>
        <v>両方停止</v>
      </c>
      <c r="AX1107" s="30" t="str">
        <f aca="false">IF(AND(AH1107="利用可",AK1107="利用可",AN1107="利用可"),"利用可","不可")</f>
        <v>不可</v>
      </c>
      <c r="AY1107" s="30" t="str">
        <f aca="false">IF(AND(AQ1107="利用可",AT1107="利用可",AW1107="利用可"),"利用可","不可")</f>
        <v>不可</v>
      </c>
    </row>
    <row r="1108" customFormat="false" ht="15" hidden="false" customHeight="false" outlineLevel="0" collapsed="false">
      <c r="A1108" s="29" t="n">
        <v>46278</v>
      </c>
      <c r="B1108" s="30" t="n">
        <v>1</v>
      </c>
      <c r="C1108" s="31" t="s">
        <v>65</v>
      </c>
      <c r="D1108" s="31" t="s">
        <v>64</v>
      </c>
      <c r="E1108" s="30" t="n">
        <v>60</v>
      </c>
      <c r="F1108" s="30" t="n">
        <v>0</v>
      </c>
      <c r="G1108" s="30" t="str">
        <f aca="false">IF(E1108&lt;判定条件!$C$6,"判定不能",IF(F1108&gt;=判定条件!$C$7*E1108,"運転",IF(F1108&lt;=判定条件!$C$8*E1108,"停止","断続")))</f>
        <v>停止</v>
      </c>
      <c r="H1108" s="30" t="n">
        <v>60</v>
      </c>
      <c r="I1108" s="30" t="n">
        <v>0</v>
      </c>
      <c r="J1108" s="30" t="str">
        <f aca="false">IF(H1108&lt;判定条件!$C$6,"判定不能",IF(I1108&gt;=判定条件!$C$7*H1108,"運転",IF(I1108&lt;=判定条件!$C$8*H1108,"停止","断続")))</f>
        <v>停止</v>
      </c>
      <c r="K1108" s="30" t="n">
        <v>60</v>
      </c>
      <c r="L1108" s="30" t="n">
        <v>0</v>
      </c>
      <c r="M1108" s="30" t="str">
        <f aca="false">IF(K1108&lt;判定条件!$C$6,"判定不能",IF(L1108&gt;=判定条件!$C$7*K1108,"運転",IF(L1108&lt;=判定条件!$C$8*K1108,"停止","断続")))</f>
        <v>停止</v>
      </c>
      <c r="N1108" s="30" t="n">
        <v>60</v>
      </c>
      <c r="O1108" s="30" t="n">
        <v>0</v>
      </c>
      <c r="P1108" s="30" t="str">
        <f aca="false">IF(N1108&lt;判定条件!$C$6,"判定不能",IF(O1108&gt;=判定条件!$C$7*N1108,"運転",IF(O1108&lt;=判定条件!$C$8*N1108,"停止","断続")))</f>
        <v>停止</v>
      </c>
      <c r="Q1108" s="30" t="n">
        <v>60</v>
      </c>
      <c r="R1108" s="30" t="n">
        <v>0</v>
      </c>
      <c r="S1108" s="30" t="str">
        <f aca="false">IF(Q1108&lt;判定条件!$C$6,"判定不能",IF(R1108&gt;=判定条件!$C$7*Q1108,"運転",IF(R1108&lt;=判定条件!$C$8*Q1108,"停止","断続")))</f>
        <v>停止</v>
      </c>
      <c r="T1108" s="30" t="n">
        <v>60</v>
      </c>
      <c r="U1108" s="30" t="n">
        <v>0</v>
      </c>
      <c r="V1108" s="30" t="str">
        <f aca="false">IF(T1108&lt;判定条件!$C$6,"判定不能",IF(U1108&gt;=判定条件!$C$7*T1108,"運転",IF(U1108&lt;=判定条件!$C$8*T1108,"停止","断続")))</f>
        <v>停止</v>
      </c>
      <c r="W1108" s="30" t="n">
        <v>60</v>
      </c>
      <c r="X1108" s="30" t="n">
        <v>0</v>
      </c>
      <c r="Y1108" s="30" t="str">
        <f aca="false">IF(W1108&lt;判定条件!$C$6,"判定不能",IF(X1108&gt;=判定条件!$C$7*W1108,"運転",IF(X1108&lt;=判定条件!$C$8*W1108,"停止","断続")))</f>
        <v>停止</v>
      </c>
      <c r="Z1108" s="30" t="n">
        <v>60</v>
      </c>
      <c r="AA1108" s="30" t="n">
        <v>0</v>
      </c>
      <c r="AB1108" s="30" t="str">
        <f aca="false">IF(Z1108&lt;判定条件!$C$6,"判定不能",IF(AA1108&gt;=判定条件!$C$7*Z1108,"運転",IF(AA1108&lt;=判定条件!$C$8*Z1108,"停止","断続")))</f>
        <v>停止</v>
      </c>
      <c r="AC1108" s="30" t="n">
        <v>60</v>
      </c>
      <c r="AD1108" s="30" t="n">
        <v>0</v>
      </c>
      <c r="AE1108" s="30" t="str">
        <f aca="false">IF(AC1108&lt;判定条件!$C$6,"判定不能",IF(AD1108&gt;=判定条件!$C$7*AC1108,"運転",IF(AD1108&lt;=判定条件!$C$8*AC1108,"停止","断続")))</f>
        <v>停止</v>
      </c>
      <c r="AF1108" s="30" t="n">
        <v>60</v>
      </c>
      <c r="AG1108" s="30" t="n">
        <v>0</v>
      </c>
      <c r="AH1108" s="30" t="str">
        <f aca="false">IF(OR(P1108="判定不能",G1108="判定不能"),"判定不能",IF(AG1108&gt;=判定条件!$C$9,"利用可",IF(AND(P1108="停止",G1108="停止"),"両方停止","運転がそろわない")))</f>
        <v>両方停止</v>
      </c>
      <c r="AI1108" s="30" t="n">
        <v>60</v>
      </c>
      <c r="AJ1108" s="30" t="n">
        <v>0</v>
      </c>
      <c r="AK1108" s="30" t="str">
        <f aca="false">IF(OR(S1108="判定不能",J1108="判定不能"),"判定不能",IF(AJ1108&gt;=判定条件!$C$9,"利用可",IF(AND(S1108="停止",J1108="停止"),"両方停止","運転がそろわない")))</f>
        <v>両方停止</v>
      </c>
      <c r="AL1108" s="30" t="n">
        <v>60</v>
      </c>
      <c r="AM1108" s="30" t="n">
        <v>0</v>
      </c>
      <c r="AN1108" s="30" t="str">
        <f aca="false">IF(OR(V1108="判定不能",M1108="判定不能"),"判定不能",IF(AM1108&gt;=判定条件!$C$9,"利用可",IF(AND(V1108="停止",M1108="停止"),"両方停止","運転がそろわない")))</f>
        <v>両方停止</v>
      </c>
      <c r="AO1108" s="30" t="n">
        <v>60</v>
      </c>
      <c r="AP1108" s="30" t="n">
        <v>0</v>
      </c>
      <c r="AQ1108" s="30" t="str">
        <f aca="false">IF(OR(Y1108="判定不能",G1108="判定不能"),"判定不能",IF(AP1108&gt;=判定条件!$C$9,"利用可",IF(AND(Y1108="停止",G1108="停止"),"両方停止","運転がそろわない")))</f>
        <v>両方停止</v>
      </c>
      <c r="AR1108" s="30" t="n">
        <v>60</v>
      </c>
      <c r="AS1108" s="30" t="n">
        <v>0</v>
      </c>
      <c r="AT1108" s="30" t="str">
        <f aca="false">IF(OR(AB1108="判定不能",J1108="判定不能"),"判定不能",IF(AS1108&gt;=判定条件!$C$9,"利用可",IF(AND(AB1108="停止",J1108="停止"),"両方停止","運転がそろわない")))</f>
        <v>両方停止</v>
      </c>
      <c r="AU1108" s="30" t="n">
        <v>60</v>
      </c>
      <c r="AV1108" s="30" t="n">
        <v>0</v>
      </c>
      <c r="AW1108" s="30" t="str">
        <f aca="false">IF(OR(AE1108="判定不能",M1108="判定不能"),"判定不能",IF(AV1108&gt;=判定条件!$C$9,"利用可",IF(AND(AE1108="停止",M1108="停止"),"両方停止","運転がそろわない")))</f>
        <v>両方停止</v>
      </c>
      <c r="AX1108" s="30" t="str">
        <f aca="false">IF(AND(AH1108="利用可",AK1108="利用可",AN1108="利用可"),"利用可","不可")</f>
        <v>不可</v>
      </c>
      <c r="AY1108" s="30" t="str">
        <f aca="false">IF(AND(AQ1108="利用可",AT1108="利用可",AW1108="利用可"),"利用可","不可")</f>
        <v>不可</v>
      </c>
    </row>
    <row r="1109" customFormat="false" ht="15" hidden="false" customHeight="false" outlineLevel="0" collapsed="false">
      <c r="A1109" s="29" t="n">
        <v>46278</v>
      </c>
      <c r="B1109" s="30" t="n">
        <v>2</v>
      </c>
      <c r="C1109" s="31" t="s">
        <v>65</v>
      </c>
      <c r="D1109" s="31" t="s">
        <v>64</v>
      </c>
      <c r="E1109" s="30" t="n">
        <v>60</v>
      </c>
      <c r="F1109" s="30" t="n">
        <v>0</v>
      </c>
      <c r="G1109" s="30" t="str">
        <f aca="false">IF(E1109&lt;判定条件!$C$6,"判定不能",IF(F1109&gt;=判定条件!$C$7*E1109,"運転",IF(F1109&lt;=判定条件!$C$8*E1109,"停止","断続")))</f>
        <v>停止</v>
      </c>
      <c r="H1109" s="30" t="n">
        <v>60</v>
      </c>
      <c r="I1109" s="30" t="n">
        <v>0</v>
      </c>
      <c r="J1109" s="30" t="str">
        <f aca="false">IF(H1109&lt;判定条件!$C$6,"判定不能",IF(I1109&gt;=判定条件!$C$7*H1109,"運転",IF(I1109&lt;=判定条件!$C$8*H1109,"停止","断続")))</f>
        <v>停止</v>
      </c>
      <c r="K1109" s="30" t="n">
        <v>60</v>
      </c>
      <c r="L1109" s="30" t="n">
        <v>0</v>
      </c>
      <c r="M1109" s="30" t="str">
        <f aca="false">IF(K1109&lt;判定条件!$C$6,"判定不能",IF(L1109&gt;=判定条件!$C$7*K1109,"運転",IF(L1109&lt;=判定条件!$C$8*K1109,"停止","断続")))</f>
        <v>停止</v>
      </c>
      <c r="N1109" s="30" t="n">
        <v>60</v>
      </c>
      <c r="O1109" s="30" t="n">
        <v>20</v>
      </c>
      <c r="P1109" s="30" t="str">
        <f aca="false">IF(N1109&lt;判定条件!$C$6,"判定不能",IF(O1109&gt;=判定条件!$C$7*N1109,"運転",IF(O1109&lt;=判定条件!$C$8*N1109,"停止","断続")))</f>
        <v>断続</v>
      </c>
      <c r="Q1109" s="30" t="n">
        <v>60</v>
      </c>
      <c r="R1109" s="30" t="n">
        <v>0</v>
      </c>
      <c r="S1109" s="30" t="str">
        <f aca="false">IF(Q1109&lt;判定条件!$C$6,"判定不能",IF(R1109&gt;=判定条件!$C$7*Q1109,"運転",IF(R1109&lt;=判定条件!$C$8*Q1109,"停止","断続")))</f>
        <v>停止</v>
      </c>
      <c r="T1109" s="30" t="n">
        <v>60</v>
      </c>
      <c r="U1109" s="30" t="n">
        <v>0</v>
      </c>
      <c r="V1109" s="30" t="str">
        <f aca="false">IF(T1109&lt;判定条件!$C$6,"判定不能",IF(U1109&gt;=判定条件!$C$7*T1109,"運転",IF(U1109&lt;=判定条件!$C$8*T1109,"停止","断続")))</f>
        <v>停止</v>
      </c>
      <c r="W1109" s="30" t="n">
        <v>60</v>
      </c>
      <c r="X1109" s="30" t="n">
        <v>0</v>
      </c>
      <c r="Y1109" s="30" t="str">
        <f aca="false">IF(W1109&lt;判定条件!$C$6,"判定不能",IF(X1109&gt;=判定条件!$C$7*W1109,"運転",IF(X1109&lt;=判定条件!$C$8*W1109,"停止","断続")))</f>
        <v>停止</v>
      </c>
      <c r="Z1109" s="30" t="n">
        <v>60</v>
      </c>
      <c r="AA1109" s="30" t="n">
        <v>0</v>
      </c>
      <c r="AB1109" s="30" t="str">
        <f aca="false">IF(Z1109&lt;判定条件!$C$6,"判定不能",IF(AA1109&gt;=判定条件!$C$7*Z1109,"運転",IF(AA1109&lt;=判定条件!$C$8*Z1109,"停止","断続")))</f>
        <v>停止</v>
      </c>
      <c r="AC1109" s="30" t="n">
        <v>60</v>
      </c>
      <c r="AD1109" s="30" t="n">
        <v>0</v>
      </c>
      <c r="AE1109" s="30" t="str">
        <f aca="false">IF(AC1109&lt;判定条件!$C$6,"判定不能",IF(AD1109&gt;=判定条件!$C$7*AC1109,"運転",IF(AD1109&lt;=判定条件!$C$8*AC1109,"停止","断続")))</f>
        <v>停止</v>
      </c>
      <c r="AF1109" s="30" t="n">
        <v>60</v>
      </c>
      <c r="AG1109" s="30" t="n">
        <v>0</v>
      </c>
      <c r="AH1109" s="30" t="str">
        <f aca="false">IF(OR(P1109="判定不能",G1109="判定不能"),"判定不能",IF(AG1109&gt;=判定条件!$C$9,"利用可",IF(AND(P1109="停止",G1109="停止"),"両方停止","運転がそろわない")))</f>
        <v>運転がそろわない</v>
      </c>
      <c r="AI1109" s="30" t="n">
        <v>60</v>
      </c>
      <c r="AJ1109" s="30" t="n">
        <v>0</v>
      </c>
      <c r="AK1109" s="30" t="str">
        <f aca="false">IF(OR(S1109="判定不能",J1109="判定不能"),"判定不能",IF(AJ1109&gt;=判定条件!$C$9,"利用可",IF(AND(S1109="停止",J1109="停止"),"両方停止","運転がそろわない")))</f>
        <v>両方停止</v>
      </c>
      <c r="AL1109" s="30" t="n">
        <v>60</v>
      </c>
      <c r="AM1109" s="30" t="n">
        <v>0</v>
      </c>
      <c r="AN1109" s="30" t="str">
        <f aca="false">IF(OR(V1109="判定不能",M1109="判定不能"),"判定不能",IF(AM1109&gt;=判定条件!$C$9,"利用可",IF(AND(V1109="停止",M1109="停止"),"両方停止","運転がそろわない")))</f>
        <v>両方停止</v>
      </c>
      <c r="AO1109" s="30" t="n">
        <v>60</v>
      </c>
      <c r="AP1109" s="30" t="n">
        <v>0</v>
      </c>
      <c r="AQ1109" s="30" t="str">
        <f aca="false">IF(OR(Y1109="判定不能",G1109="判定不能"),"判定不能",IF(AP1109&gt;=判定条件!$C$9,"利用可",IF(AND(Y1109="停止",G1109="停止"),"両方停止","運転がそろわない")))</f>
        <v>両方停止</v>
      </c>
      <c r="AR1109" s="30" t="n">
        <v>60</v>
      </c>
      <c r="AS1109" s="30" t="n">
        <v>0</v>
      </c>
      <c r="AT1109" s="30" t="str">
        <f aca="false">IF(OR(AB1109="判定不能",J1109="判定不能"),"判定不能",IF(AS1109&gt;=判定条件!$C$9,"利用可",IF(AND(AB1109="停止",J1109="停止"),"両方停止","運転がそろわない")))</f>
        <v>両方停止</v>
      </c>
      <c r="AU1109" s="30" t="n">
        <v>60</v>
      </c>
      <c r="AV1109" s="30" t="n">
        <v>0</v>
      </c>
      <c r="AW1109" s="30" t="str">
        <f aca="false">IF(OR(AE1109="判定不能",M1109="判定不能"),"判定不能",IF(AV1109&gt;=判定条件!$C$9,"利用可",IF(AND(AE1109="停止",M1109="停止"),"両方停止","運転がそろわない")))</f>
        <v>両方停止</v>
      </c>
      <c r="AX1109" s="30" t="str">
        <f aca="false">IF(AND(AH1109="利用可",AK1109="利用可",AN1109="利用可"),"利用可","不可")</f>
        <v>不可</v>
      </c>
      <c r="AY1109" s="30" t="str">
        <f aca="false">IF(AND(AQ1109="利用可",AT1109="利用可",AW1109="利用可"),"利用可","不可")</f>
        <v>不可</v>
      </c>
    </row>
    <row r="1110" customFormat="false" ht="15" hidden="false" customHeight="false" outlineLevel="0" collapsed="false">
      <c r="A1110" s="29" t="n">
        <v>46278</v>
      </c>
      <c r="B1110" s="30" t="n">
        <v>3</v>
      </c>
      <c r="C1110" s="31" t="s">
        <v>65</v>
      </c>
      <c r="D1110" s="31" t="s">
        <v>64</v>
      </c>
      <c r="E1110" s="30" t="n">
        <v>60</v>
      </c>
      <c r="F1110" s="30" t="n">
        <v>0</v>
      </c>
      <c r="G1110" s="30" t="str">
        <f aca="false">IF(E1110&lt;判定条件!$C$6,"判定不能",IF(F1110&gt;=判定条件!$C$7*E1110,"運転",IF(F1110&lt;=判定条件!$C$8*E1110,"停止","断続")))</f>
        <v>停止</v>
      </c>
      <c r="H1110" s="30" t="n">
        <v>60</v>
      </c>
      <c r="I1110" s="30" t="n">
        <v>0</v>
      </c>
      <c r="J1110" s="30" t="str">
        <f aca="false">IF(H1110&lt;判定条件!$C$6,"判定不能",IF(I1110&gt;=判定条件!$C$7*H1110,"運転",IF(I1110&lt;=判定条件!$C$8*H1110,"停止","断続")))</f>
        <v>停止</v>
      </c>
      <c r="K1110" s="30" t="n">
        <v>60</v>
      </c>
      <c r="L1110" s="30" t="n">
        <v>0</v>
      </c>
      <c r="M1110" s="30" t="str">
        <f aca="false">IF(K1110&lt;判定条件!$C$6,"判定不能",IF(L1110&gt;=判定条件!$C$7*K1110,"運転",IF(L1110&lt;=判定条件!$C$8*K1110,"停止","断続")))</f>
        <v>停止</v>
      </c>
      <c r="N1110" s="30" t="n">
        <v>60</v>
      </c>
      <c r="O1110" s="30" t="n">
        <v>31</v>
      </c>
      <c r="P1110" s="30" t="str">
        <f aca="false">IF(N1110&lt;判定条件!$C$6,"判定不能",IF(O1110&gt;=判定条件!$C$7*N1110,"運転",IF(O1110&lt;=判定条件!$C$8*N1110,"停止","断続")))</f>
        <v>断続</v>
      </c>
      <c r="Q1110" s="30" t="n">
        <v>60</v>
      </c>
      <c r="R1110" s="30" t="n">
        <v>0</v>
      </c>
      <c r="S1110" s="30" t="str">
        <f aca="false">IF(Q1110&lt;判定条件!$C$6,"判定不能",IF(R1110&gt;=判定条件!$C$7*Q1110,"運転",IF(R1110&lt;=判定条件!$C$8*Q1110,"停止","断続")))</f>
        <v>停止</v>
      </c>
      <c r="T1110" s="30" t="n">
        <v>60</v>
      </c>
      <c r="U1110" s="30" t="n">
        <v>0</v>
      </c>
      <c r="V1110" s="30" t="str">
        <f aca="false">IF(T1110&lt;判定条件!$C$6,"判定不能",IF(U1110&gt;=判定条件!$C$7*T1110,"運転",IF(U1110&lt;=判定条件!$C$8*T1110,"停止","断続")))</f>
        <v>停止</v>
      </c>
      <c r="W1110" s="30" t="n">
        <v>60</v>
      </c>
      <c r="X1110" s="30" t="n">
        <v>0</v>
      </c>
      <c r="Y1110" s="30" t="str">
        <f aca="false">IF(W1110&lt;判定条件!$C$6,"判定不能",IF(X1110&gt;=判定条件!$C$7*W1110,"運転",IF(X1110&lt;=判定条件!$C$8*W1110,"停止","断続")))</f>
        <v>停止</v>
      </c>
      <c r="Z1110" s="30" t="n">
        <v>60</v>
      </c>
      <c r="AA1110" s="30" t="n">
        <v>0</v>
      </c>
      <c r="AB1110" s="30" t="str">
        <f aca="false">IF(Z1110&lt;判定条件!$C$6,"判定不能",IF(AA1110&gt;=判定条件!$C$7*Z1110,"運転",IF(AA1110&lt;=判定条件!$C$8*Z1110,"停止","断続")))</f>
        <v>停止</v>
      </c>
      <c r="AC1110" s="30" t="n">
        <v>60</v>
      </c>
      <c r="AD1110" s="30" t="n">
        <v>0</v>
      </c>
      <c r="AE1110" s="30" t="str">
        <f aca="false">IF(AC1110&lt;判定条件!$C$6,"判定不能",IF(AD1110&gt;=判定条件!$C$7*AC1110,"運転",IF(AD1110&lt;=判定条件!$C$8*AC1110,"停止","断続")))</f>
        <v>停止</v>
      </c>
      <c r="AF1110" s="30" t="n">
        <v>60</v>
      </c>
      <c r="AG1110" s="30" t="n">
        <v>0</v>
      </c>
      <c r="AH1110" s="30" t="str">
        <f aca="false">IF(OR(P1110="判定不能",G1110="判定不能"),"判定不能",IF(AG1110&gt;=判定条件!$C$9,"利用可",IF(AND(P1110="停止",G1110="停止"),"両方停止","運転がそろわない")))</f>
        <v>運転がそろわない</v>
      </c>
      <c r="AI1110" s="30" t="n">
        <v>60</v>
      </c>
      <c r="AJ1110" s="30" t="n">
        <v>0</v>
      </c>
      <c r="AK1110" s="30" t="str">
        <f aca="false">IF(OR(S1110="判定不能",J1110="判定不能"),"判定不能",IF(AJ1110&gt;=判定条件!$C$9,"利用可",IF(AND(S1110="停止",J1110="停止"),"両方停止","運転がそろわない")))</f>
        <v>両方停止</v>
      </c>
      <c r="AL1110" s="30" t="n">
        <v>60</v>
      </c>
      <c r="AM1110" s="30" t="n">
        <v>0</v>
      </c>
      <c r="AN1110" s="30" t="str">
        <f aca="false">IF(OR(V1110="判定不能",M1110="判定不能"),"判定不能",IF(AM1110&gt;=判定条件!$C$9,"利用可",IF(AND(V1110="停止",M1110="停止"),"両方停止","運転がそろわない")))</f>
        <v>両方停止</v>
      </c>
      <c r="AO1110" s="30" t="n">
        <v>60</v>
      </c>
      <c r="AP1110" s="30" t="n">
        <v>0</v>
      </c>
      <c r="AQ1110" s="30" t="str">
        <f aca="false">IF(OR(Y1110="判定不能",G1110="判定不能"),"判定不能",IF(AP1110&gt;=判定条件!$C$9,"利用可",IF(AND(Y1110="停止",G1110="停止"),"両方停止","運転がそろわない")))</f>
        <v>両方停止</v>
      </c>
      <c r="AR1110" s="30" t="n">
        <v>60</v>
      </c>
      <c r="AS1110" s="30" t="n">
        <v>0</v>
      </c>
      <c r="AT1110" s="30" t="str">
        <f aca="false">IF(OR(AB1110="判定不能",J1110="判定不能"),"判定不能",IF(AS1110&gt;=判定条件!$C$9,"利用可",IF(AND(AB1110="停止",J1110="停止"),"両方停止","運転がそろわない")))</f>
        <v>両方停止</v>
      </c>
      <c r="AU1110" s="30" t="n">
        <v>60</v>
      </c>
      <c r="AV1110" s="30" t="n">
        <v>0</v>
      </c>
      <c r="AW1110" s="30" t="str">
        <f aca="false">IF(OR(AE1110="判定不能",M1110="判定不能"),"判定不能",IF(AV1110&gt;=判定条件!$C$9,"利用可",IF(AND(AE1110="停止",M1110="停止"),"両方停止","運転がそろわない")))</f>
        <v>両方停止</v>
      </c>
      <c r="AX1110" s="30" t="str">
        <f aca="false">IF(AND(AH1110="利用可",AK1110="利用可",AN1110="利用可"),"利用可","不可")</f>
        <v>不可</v>
      </c>
      <c r="AY1110" s="30" t="str">
        <f aca="false">IF(AND(AQ1110="利用可",AT1110="利用可",AW1110="利用可"),"利用可","不可")</f>
        <v>不可</v>
      </c>
    </row>
    <row r="1111" customFormat="false" ht="15" hidden="false" customHeight="false" outlineLevel="0" collapsed="false">
      <c r="A1111" s="29" t="n">
        <v>46278</v>
      </c>
      <c r="B1111" s="30" t="n">
        <v>4</v>
      </c>
      <c r="C1111" s="31" t="s">
        <v>65</v>
      </c>
      <c r="D1111" s="31" t="s">
        <v>64</v>
      </c>
      <c r="E1111" s="30" t="n">
        <v>60</v>
      </c>
      <c r="F1111" s="30" t="n">
        <v>0</v>
      </c>
      <c r="G1111" s="30" t="str">
        <f aca="false">IF(E1111&lt;判定条件!$C$6,"判定不能",IF(F1111&gt;=判定条件!$C$7*E1111,"運転",IF(F1111&lt;=判定条件!$C$8*E1111,"停止","断続")))</f>
        <v>停止</v>
      </c>
      <c r="H1111" s="30" t="n">
        <v>60</v>
      </c>
      <c r="I1111" s="30" t="n">
        <v>0</v>
      </c>
      <c r="J1111" s="30" t="str">
        <f aca="false">IF(H1111&lt;判定条件!$C$6,"判定不能",IF(I1111&gt;=判定条件!$C$7*H1111,"運転",IF(I1111&lt;=判定条件!$C$8*H1111,"停止","断続")))</f>
        <v>停止</v>
      </c>
      <c r="K1111" s="30" t="n">
        <v>60</v>
      </c>
      <c r="L1111" s="30" t="n">
        <v>0</v>
      </c>
      <c r="M1111" s="30" t="str">
        <f aca="false">IF(K1111&lt;判定条件!$C$6,"判定不能",IF(L1111&gt;=判定条件!$C$7*K1111,"運転",IF(L1111&lt;=判定条件!$C$8*K1111,"停止","断続")))</f>
        <v>停止</v>
      </c>
      <c r="N1111" s="30" t="n">
        <v>60</v>
      </c>
      <c r="O1111" s="30" t="n">
        <v>25</v>
      </c>
      <c r="P1111" s="30" t="str">
        <f aca="false">IF(N1111&lt;判定条件!$C$6,"判定不能",IF(O1111&gt;=判定条件!$C$7*N1111,"運転",IF(O1111&lt;=判定条件!$C$8*N1111,"停止","断続")))</f>
        <v>断続</v>
      </c>
      <c r="Q1111" s="30" t="n">
        <v>60</v>
      </c>
      <c r="R1111" s="30" t="n">
        <v>0</v>
      </c>
      <c r="S1111" s="30" t="str">
        <f aca="false">IF(Q1111&lt;判定条件!$C$6,"判定不能",IF(R1111&gt;=判定条件!$C$7*Q1111,"運転",IF(R1111&lt;=判定条件!$C$8*Q1111,"停止","断続")))</f>
        <v>停止</v>
      </c>
      <c r="T1111" s="30" t="n">
        <v>60</v>
      </c>
      <c r="U1111" s="30" t="n">
        <v>0</v>
      </c>
      <c r="V1111" s="30" t="str">
        <f aca="false">IF(T1111&lt;判定条件!$C$6,"判定不能",IF(U1111&gt;=判定条件!$C$7*T1111,"運転",IF(U1111&lt;=判定条件!$C$8*T1111,"停止","断続")))</f>
        <v>停止</v>
      </c>
      <c r="W1111" s="30" t="n">
        <v>60</v>
      </c>
      <c r="X1111" s="30" t="n">
        <v>0</v>
      </c>
      <c r="Y1111" s="30" t="str">
        <f aca="false">IF(W1111&lt;判定条件!$C$6,"判定不能",IF(X1111&gt;=判定条件!$C$7*W1111,"運転",IF(X1111&lt;=判定条件!$C$8*W1111,"停止","断続")))</f>
        <v>停止</v>
      </c>
      <c r="Z1111" s="30" t="n">
        <v>60</v>
      </c>
      <c r="AA1111" s="30" t="n">
        <v>0</v>
      </c>
      <c r="AB1111" s="30" t="str">
        <f aca="false">IF(Z1111&lt;判定条件!$C$6,"判定不能",IF(AA1111&gt;=判定条件!$C$7*Z1111,"運転",IF(AA1111&lt;=判定条件!$C$8*Z1111,"停止","断続")))</f>
        <v>停止</v>
      </c>
      <c r="AC1111" s="30" t="n">
        <v>60</v>
      </c>
      <c r="AD1111" s="30" t="n">
        <v>0</v>
      </c>
      <c r="AE1111" s="30" t="str">
        <f aca="false">IF(AC1111&lt;判定条件!$C$6,"判定不能",IF(AD1111&gt;=判定条件!$C$7*AC1111,"運転",IF(AD1111&lt;=判定条件!$C$8*AC1111,"停止","断続")))</f>
        <v>停止</v>
      </c>
      <c r="AF1111" s="30" t="n">
        <v>60</v>
      </c>
      <c r="AG1111" s="30" t="n">
        <v>0</v>
      </c>
      <c r="AH1111" s="30" t="str">
        <f aca="false">IF(OR(P1111="判定不能",G1111="判定不能"),"判定不能",IF(AG1111&gt;=判定条件!$C$9,"利用可",IF(AND(P1111="停止",G1111="停止"),"両方停止","運転がそろわない")))</f>
        <v>運転がそろわない</v>
      </c>
      <c r="AI1111" s="30" t="n">
        <v>60</v>
      </c>
      <c r="AJ1111" s="30" t="n">
        <v>0</v>
      </c>
      <c r="AK1111" s="30" t="str">
        <f aca="false">IF(OR(S1111="判定不能",J1111="判定不能"),"判定不能",IF(AJ1111&gt;=判定条件!$C$9,"利用可",IF(AND(S1111="停止",J1111="停止"),"両方停止","運転がそろわない")))</f>
        <v>両方停止</v>
      </c>
      <c r="AL1111" s="30" t="n">
        <v>60</v>
      </c>
      <c r="AM1111" s="30" t="n">
        <v>0</v>
      </c>
      <c r="AN1111" s="30" t="str">
        <f aca="false">IF(OR(V1111="判定不能",M1111="判定不能"),"判定不能",IF(AM1111&gt;=判定条件!$C$9,"利用可",IF(AND(V1111="停止",M1111="停止"),"両方停止","運転がそろわない")))</f>
        <v>両方停止</v>
      </c>
      <c r="AO1111" s="30" t="n">
        <v>60</v>
      </c>
      <c r="AP1111" s="30" t="n">
        <v>0</v>
      </c>
      <c r="AQ1111" s="30" t="str">
        <f aca="false">IF(OR(Y1111="判定不能",G1111="判定不能"),"判定不能",IF(AP1111&gt;=判定条件!$C$9,"利用可",IF(AND(Y1111="停止",G1111="停止"),"両方停止","運転がそろわない")))</f>
        <v>両方停止</v>
      </c>
      <c r="AR1111" s="30" t="n">
        <v>60</v>
      </c>
      <c r="AS1111" s="30" t="n">
        <v>0</v>
      </c>
      <c r="AT1111" s="30" t="str">
        <f aca="false">IF(OR(AB1111="判定不能",J1111="判定不能"),"判定不能",IF(AS1111&gt;=判定条件!$C$9,"利用可",IF(AND(AB1111="停止",J1111="停止"),"両方停止","運転がそろわない")))</f>
        <v>両方停止</v>
      </c>
      <c r="AU1111" s="30" t="n">
        <v>60</v>
      </c>
      <c r="AV1111" s="30" t="n">
        <v>0</v>
      </c>
      <c r="AW1111" s="30" t="str">
        <f aca="false">IF(OR(AE1111="判定不能",M1111="判定不能"),"判定不能",IF(AV1111&gt;=判定条件!$C$9,"利用可",IF(AND(AE1111="停止",M1111="停止"),"両方停止","運転がそろわない")))</f>
        <v>両方停止</v>
      </c>
      <c r="AX1111" s="30" t="str">
        <f aca="false">IF(AND(AH1111="利用可",AK1111="利用可",AN1111="利用可"),"利用可","不可")</f>
        <v>不可</v>
      </c>
      <c r="AY1111" s="30" t="str">
        <f aca="false">IF(AND(AQ1111="利用可",AT1111="利用可",AW1111="利用可"),"利用可","不可")</f>
        <v>不可</v>
      </c>
    </row>
    <row r="1112" customFormat="false" ht="15" hidden="false" customHeight="false" outlineLevel="0" collapsed="false">
      <c r="A1112" s="29" t="n">
        <v>46278</v>
      </c>
      <c r="B1112" s="30" t="n">
        <v>5</v>
      </c>
      <c r="C1112" s="31" t="s">
        <v>65</v>
      </c>
      <c r="D1112" s="31" t="s">
        <v>64</v>
      </c>
      <c r="E1112" s="30" t="n">
        <v>60</v>
      </c>
      <c r="F1112" s="30" t="n">
        <v>0</v>
      </c>
      <c r="G1112" s="30" t="str">
        <f aca="false">IF(E1112&lt;判定条件!$C$6,"判定不能",IF(F1112&gt;=判定条件!$C$7*E1112,"運転",IF(F1112&lt;=判定条件!$C$8*E1112,"停止","断続")))</f>
        <v>停止</v>
      </c>
      <c r="H1112" s="30" t="n">
        <v>60</v>
      </c>
      <c r="I1112" s="30" t="n">
        <v>0</v>
      </c>
      <c r="J1112" s="30" t="str">
        <f aca="false">IF(H1112&lt;判定条件!$C$6,"判定不能",IF(I1112&gt;=判定条件!$C$7*H1112,"運転",IF(I1112&lt;=判定条件!$C$8*H1112,"停止","断続")))</f>
        <v>停止</v>
      </c>
      <c r="K1112" s="30" t="n">
        <v>60</v>
      </c>
      <c r="L1112" s="30" t="n">
        <v>0</v>
      </c>
      <c r="M1112" s="30" t="str">
        <f aca="false">IF(K1112&lt;判定条件!$C$6,"判定不能",IF(L1112&gt;=判定条件!$C$7*K1112,"運転",IF(L1112&lt;=判定条件!$C$8*K1112,"停止","断続")))</f>
        <v>停止</v>
      </c>
      <c r="N1112" s="30" t="n">
        <v>60</v>
      </c>
      <c r="O1112" s="30" t="n">
        <v>0</v>
      </c>
      <c r="P1112" s="30" t="str">
        <f aca="false">IF(N1112&lt;判定条件!$C$6,"判定不能",IF(O1112&gt;=判定条件!$C$7*N1112,"運転",IF(O1112&lt;=判定条件!$C$8*N1112,"停止","断続")))</f>
        <v>停止</v>
      </c>
      <c r="Q1112" s="30" t="n">
        <v>60</v>
      </c>
      <c r="R1112" s="30" t="n">
        <v>0</v>
      </c>
      <c r="S1112" s="30" t="str">
        <f aca="false">IF(Q1112&lt;判定条件!$C$6,"判定不能",IF(R1112&gt;=判定条件!$C$7*Q1112,"運転",IF(R1112&lt;=判定条件!$C$8*Q1112,"停止","断続")))</f>
        <v>停止</v>
      </c>
      <c r="T1112" s="30" t="n">
        <v>60</v>
      </c>
      <c r="U1112" s="30" t="n">
        <v>0</v>
      </c>
      <c r="V1112" s="30" t="str">
        <f aca="false">IF(T1112&lt;判定条件!$C$6,"判定不能",IF(U1112&gt;=判定条件!$C$7*T1112,"運転",IF(U1112&lt;=判定条件!$C$8*T1112,"停止","断続")))</f>
        <v>停止</v>
      </c>
      <c r="W1112" s="30" t="n">
        <v>60</v>
      </c>
      <c r="X1112" s="30" t="n">
        <v>0</v>
      </c>
      <c r="Y1112" s="30" t="str">
        <f aca="false">IF(W1112&lt;判定条件!$C$6,"判定不能",IF(X1112&gt;=判定条件!$C$7*W1112,"運転",IF(X1112&lt;=判定条件!$C$8*W1112,"停止","断続")))</f>
        <v>停止</v>
      </c>
      <c r="Z1112" s="30" t="n">
        <v>60</v>
      </c>
      <c r="AA1112" s="30" t="n">
        <v>0</v>
      </c>
      <c r="AB1112" s="30" t="str">
        <f aca="false">IF(Z1112&lt;判定条件!$C$6,"判定不能",IF(AA1112&gt;=判定条件!$C$7*Z1112,"運転",IF(AA1112&lt;=判定条件!$C$8*Z1112,"停止","断続")))</f>
        <v>停止</v>
      </c>
      <c r="AC1112" s="30" t="n">
        <v>60</v>
      </c>
      <c r="AD1112" s="30" t="n">
        <v>0</v>
      </c>
      <c r="AE1112" s="30" t="str">
        <f aca="false">IF(AC1112&lt;判定条件!$C$6,"判定不能",IF(AD1112&gt;=判定条件!$C$7*AC1112,"運転",IF(AD1112&lt;=判定条件!$C$8*AC1112,"停止","断続")))</f>
        <v>停止</v>
      </c>
      <c r="AF1112" s="30" t="n">
        <v>60</v>
      </c>
      <c r="AG1112" s="30" t="n">
        <v>0</v>
      </c>
      <c r="AH1112" s="30" t="str">
        <f aca="false">IF(OR(P1112="判定不能",G1112="判定不能"),"判定不能",IF(AG1112&gt;=判定条件!$C$9,"利用可",IF(AND(P1112="停止",G1112="停止"),"両方停止","運転がそろわない")))</f>
        <v>両方停止</v>
      </c>
      <c r="AI1112" s="30" t="n">
        <v>60</v>
      </c>
      <c r="AJ1112" s="30" t="n">
        <v>0</v>
      </c>
      <c r="AK1112" s="30" t="str">
        <f aca="false">IF(OR(S1112="判定不能",J1112="判定不能"),"判定不能",IF(AJ1112&gt;=判定条件!$C$9,"利用可",IF(AND(S1112="停止",J1112="停止"),"両方停止","運転がそろわない")))</f>
        <v>両方停止</v>
      </c>
      <c r="AL1112" s="30" t="n">
        <v>60</v>
      </c>
      <c r="AM1112" s="30" t="n">
        <v>0</v>
      </c>
      <c r="AN1112" s="30" t="str">
        <f aca="false">IF(OR(V1112="判定不能",M1112="判定不能"),"判定不能",IF(AM1112&gt;=判定条件!$C$9,"利用可",IF(AND(V1112="停止",M1112="停止"),"両方停止","運転がそろわない")))</f>
        <v>両方停止</v>
      </c>
      <c r="AO1112" s="30" t="n">
        <v>60</v>
      </c>
      <c r="AP1112" s="30" t="n">
        <v>0</v>
      </c>
      <c r="AQ1112" s="30" t="str">
        <f aca="false">IF(OR(Y1112="判定不能",G1112="判定不能"),"判定不能",IF(AP1112&gt;=判定条件!$C$9,"利用可",IF(AND(Y1112="停止",G1112="停止"),"両方停止","運転がそろわない")))</f>
        <v>両方停止</v>
      </c>
      <c r="AR1112" s="30" t="n">
        <v>60</v>
      </c>
      <c r="AS1112" s="30" t="n">
        <v>0</v>
      </c>
      <c r="AT1112" s="30" t="str">
        <f aca="false">IF(OR(AB1112="判定不能",J1112="判定不能"),"判定不能",IF(AS1112&gt;=判定条件!$C$9,"利用可",IF(AND(AB1112="停止",J1112="停止"),"両方停止","運転がそろわない")))</f>
        <v>両方停止</v>
      </c>
      <c r="AU1112" s="30" t="n">
        <v>60</v>
      </c>
      <c r="AV1112" s="30" t="n">
        <v>0</v>
      </c>
      <c r="AW1112" s="30" t="str">
        <f aca="false">IF(OR(AE1112="判定不能",M1112="判定不能"),"判定不能",IF(AV1112&gt;=判定条件!$C$9,"利用可",IF(AND(AE1112="停止",M1112="停止"),"両方停止","運転がそろわない")))</f>
        <v>両方停止</v>
      </c>
      <c r="AX1112" s="30" t="str">
        <f aca="false">IF(AND(AH1112="利用可",AK1112="利用可",AN1112="利用可"),"利用可","不可")</f>
        <v>不可</v>
      </c>
      <c r="AY1112" s="30" t="str">
        <f aca="false">IF(AND(AQ1112="利用可",AT1112="利用可",AW1112="利用可"),"利用可","不可")</f>
        <v>不可</v>
      </c>
    </row>
    <row r="1113" customFormat="false" ht="15" hidden="false" customHeight="false" outlineLevel="0" collapsed="false">
      <c r="A1113" s="29" t="n">
        <v>46278</v>
      </c>
      <c r="B1113" s="30" t="n">
        <v>6</v>
      </c>
      <c r="C1113" s="31" t="s">
        <v>65</v>
      </c>
      <c r="D1113" s="31" t="s">
        <v>64</v>
      </c>
      <c r="E1113" s="30" t="n">
        <v>60</v>
      </c>
      <c r="F1113" s="30" t="n">
        <v>0</v>
      </c>
      <c r="G1113" s="30" t="str">
        <f aca="false">IF(E1113&lt;判定条件!$C$6,"判定不能",IF(F1113&gt;=判定条件!$C$7*E1113,"運転",IF(F1113&lt;=判定条件!$C$8*E1113,"停止","断続")))</f>
        <v>停止</v>
      </c>
      <c r="H1113" s="30" t="n">
        <v>60</v>
      </c>
      <c r="I1113" s="30" t="n">
        <v>0</v>
      </c>
      <c r="J1113" s="30" t="str">
        <f aca="false">IF(H1113&lt;判定条件!$C$6,"判定不能",IF(I1113&gt;=判定条件!$C$7*H1113,"運転",IF(I1113&lt;=判定条件!$C$8*H1113,"停止","断続")))</f>
        <v>停止</v>
      </c>
      <c r="K1113" s="30" t="n">
        <v>60</v>
      </c>
      <c r="L1113" s="30" t="n">
        <v>0</v>
      </c>
      <c r="M1113" s="30" t="str">
        <f aca="false">IF(K1113&lt;判定条件!$C$6,"判定不能",IF(L1113&gt;=判定条件!$C$7*K1113,"運転",IF(L1113&lt;=判定条件!$C$8*K1113,"停止","断続")))</f>
        <v>停止</v>
      </c>
      <c r="N1113" s="30" t="n">
        <v>60</v>
      </c>
      <c r="O1113" s="30" t="n">
        <v>0</v>
      </c>
      <c r="P1113" s="30" t="str">
        <f aca="false">IF(N1113&lt;判定条件!$C$6,"判定不能",IF(O1113&gt;=判定条件!$C$7*N1113,"運転",IF(O1113&lt;=判定条件!$C$8*N1113,"停止","断続")))</f>
        <v>停止</v>
      </c>
      <c r="Q1113" s="30" t="n">
        <v>60</v>
      </c>
      <c r="R1113" s="30" t="n">
        <v>26</v>
      </c>
      <c r="S1113" s="30" t="str">
        <f aca="false">IF(Q1113&lt;判定条件!$C$6,"判定不能",IF(R1113&gt;=判定条件!$C$7*Q1113,"運転",IF(R1113&lt;=判定条件!$C$8*Q1113,"停止","断続")))</f>
        <v>断続</v>
      </c>
      <c r="T1113" s="30" t="n">
        <v>60</v>
      </c>
      <c r="U1113" s="30" t="n">
        <v>0</v>
      </c>
      <c r="V1113" s="30" t="str">
        <f aca="false">IF(T1113&lt;判定条件!$C$6,"判定不能",IF(U1113&gt;=判定条件!$C$7*T1113,"運転",IF(U1113&lt;=判定条件!$C$8*T1113,"停止","断続")))</f>
        <v>停止</v>
      </c>
      <c r="W1113" s="30" t="n">
        <v>60</v>
      </c>
      <c r="X1113" s="30" t="n">
        <v>0</v>
      </c>
      <c r="Y1113" s="30" t="str">
        <f aca="false">IF(W1113&lt;判定条件!$C$6,"判定不能",IF(X1113&gt;=判定条件!$C$7*W1113,"運転",IF(X1113&lt;=判定条件!$C$8*W1113,"停止","断続")))</f>
        <v>停止</v>
      </c>
      <c r="Z1113" s="30" t="n">
        <v>60</v>
      </c>
      <c r="AA1113" s="30" t="n">
        <v>0</v>
      </c>
      <c r="AB1113" s="30" t="str">
        <f aca="false">IF(Z1113&lt;判定条件!$C$6,"判定不能",IF(AA1113&gt;=判定条件!$C$7*Z1113,"運転",IF(AA1113&lt;=判定条件!$C$8*Z1113,"停止","断続")))</f>
        <v>停止</v>
      </c>
      <c r="AC1113" s="30" t="n">
        <v>60</v>
      </c>
      <c r="AD1113" s="30" t="n">
        <v>0</v>
      </c>
      <c r="AE1113" s="30" t="str">
        <f aca="false">IF(AC1113&lt;判定条件!$C$6,"判定不能",IF(AD1113&gt;=判定条件!$C$7*AC1113,"運転",IF(AD1113&lt;=判定条件!$C$8*AC1113,"停止","断続")))</f>
        <v>停止</v>
      </c>
      <c r="AF1113" s="30" t="n">
        <v>60</v>
      </c>
      <c r="AG1113" s="30" t="n">
        <v>0</v>
      </c>
      <c r="AH1113" s="30" t="str">
        <f aca="false">IF(OR(P1113="判定不能",G1113="判定不能"),"判定不能",IF(AG1113&gt;=判定条件!$C$9,"利用可",IF(AND(P1113="停止",G1113="停止"),"両方停止","運転がそろわない")))</f>
        <v>両方停止</v>
      </c>
      <c r="AI1113" s="30" t="n">
        <v>60</v>
      </c>
      <c r="AJ1113" s="30" t="n">
        <v>0</v>
      </c>
      <c r="AK1113" s="30" t="str">
        <f aca="false">IF(OR(S1113="判定不能",J1113="判定不能"),"判定不能",IF(AJ1113&gt;=判定条件!$C$9,"利用可",IF(AND(S1113="停止",J1113="停止"),"両方停止","運転がそろわない")))</f>
        <v>運転がそろわない</v>
      </c>
      <c r="AL1113" s="30" t="n">
        <v>60</v>
      </c>
      <c r="AM1113" s="30" t="n">
        <v>0</v>
      </c>
      <c r="AN1113" s="30" t="str">
        <f aca="false">IF(OR(V1113="判定不能",M1113="判定不能"),"判定不能",IF(AM1113&gt;=判定条件!$C$9,"利用可",IF(AND(V1113="停止",M1113="停止"),"両方停止","運転がそろわない")))</f>
        <v>両方停止</v>
      </c>
      <c r="AO1113" s="30" t="n">
        <v>60</v>
      </c>
      <c r="AP1113" s="30" t="n">
        <v>0</v>
      </c>
      <c r="AQ1113" s="30" t="str">
        <f aca="false">IF(OR(Y1113="判定不能",G1113="判定不能"),"判定不能",IF(AP1113&gt;=判定条件!$C$9,"利用可",IF(AND(Y1113="停止",G1113="停止"),"両方停止","運転がそろわない")))</f>
        <v>両方停止</v>
      </c>
      <c r="AR1113" s="30" t="n">
        <v>60</v>
      </c>
      <c r="AS1113" s="30" t="n">
        <v>0</v>
      </c>
      <c r="AT1113" s="30" t="str">
        <f aca="false">IF(OR(AB1113="判定不能",J1113="判定不能"),"判定不能",IF(AS1113&gt;=判定条件!$C$9,"利用可",IF(AND(AB1113="停止",J1113="停止"),"両方停止","運転がそろわない")))</f>
        <v>両方停止</v>
      </c>
      <c r="AU1113" s="30" t="n">
        <v>60</v>
      </c>
      <c r="AV1113" s="30" t="n">
        <v>0</v>
      </c>
      <c r="AW1113" s="30" t="str">
        <f aca="false">IF(OR(AE1113="判定不能",M1113="判定不能"),"判定不能",IF(AV1113&gt;=判定条件!$C$9,"利用可",IF(AND(AE1113="停止",M1113="停止"),"両方停止","運転がそろわない")))</f>
        <v>両方停止</v>
      </c>
      <c r="AX1113" s="30" t="str">
        <f aca="false">IF(AND(AH1113="利用可",AK1113="利用可",AN1113="利用可"),"利用可","不可")</f>
        <v>不可</v>
      </c>
      <c r="AY1113" s="30" t="str">
        <f aca="false">IF(AND(AQ1113="利用可",AT1113="利用可",AW1113="利用可"),"利用可","不可")</f>
        <v>不可</v>
      </c>
    </row>
    <row r="1114" customFormat="false" ht="15" hidden="false" customHeight="false" outlineLevel="0" collapsed="false">
      <c r="A1114" s="29" t="n">
        <v>46278</v>
      </c>
      <c r="B1114" s="30" t="n">
        <v>7</v>
      </c>
      <c r="C1114" s="31" t="s">
        <v>65</v>
      </c>
      <c r="D1114" s="31" t="s">
        <v>64</v>
      </c>
      <c r="E1114" s="30" t="n">
        <v>60</v>
      </c>
      <c r="F1114" s="30" t="n">
        <v>3</v>
      </c>
      <c r="G1114" s="30" t="str">
        <f aca="false">IF(E1114&lt;判定条件!$C$6,"判定不能",IF(F1114&gt;=判定条件!$C$7*E1114,"運転",IF(F1114&lt;=判定条件!$C$8*E1114,"停止","断続")))</f>
        <v>停止</v>
      </c>
      <c r="H1114" s="30" t="n">
        <v>60</v>
      </c>
      <c r="I1114" s="30" t="n">
        <v>0</v>
      </c>
      <c r="J1114" s="30" t="str">
        <f aca="false">IF(H1114&lt;判定条件!$C$6,"判定不能",IF(I1114&gt;=判定条件!$C$7*H1114,"運転",IF(I1114&lt;=判定条件!$C$8*H1114,"停止","断続")))</f>
        <v>停止</v>
      </c>
      <c r="K1114" s="30" t="n">
        <v>60</v>
      </c>
      <c r="L1114" s="30" t="n">
        <v>0</v>
      </c>
      <c r="M1114" s="30" t="str">
        <f aca="false">IF(K1114&lt;判定条件!$C$6,"判定不能",IF(L1114&gt;=判定条件!$C$7*K1114,"運転",IF(L1114&lt;=判定条件!$C$8*K1114,"停止","断続")))</f>
        <v>停止</v>
      </c>
      <c r="N1114" s="30" t="n">
        <v>60</v>
      </c>
      <c r="O1114" s="30" t="n">
        <v>25</v>
      </c>
      <c r="P1114" s="30" t="str">
        <f aca="false">IF(N1114&lt;判定条件!$C$6,"判定不能",IF(O1114&gt;=判定条件!$C$7*N1114,"運転",IF(O1114&lt;=判定条件!$C$8*N1114,"停止","断続")))</f>
        <v>断続</v>
      </c>
      <c r="Q1114" s="30" t="n">
        <v>60</v>
      </c>
      <c r="R1114" s="30" t="n">
        <v>60</v>
      </c>
      <c r="S1114" s="30" t="str">
        <f aca="false">IF(Q1114&lt;判定条件!$C$6,"判定不能",IF(R1114&gt;=判定条件!$C$7*Q1114,"運転",IF(R1114&lt;=判定条件!$C$8*Q1114,"停止","断続")))</f>
        <v>運転</v>
      </c>
      <c r="T1114" s="30" t="n">
        <v>60</v>
      </c>
      <c r="U1114" s="30" t="n">
        <v>12</v>
      </c>
      <c r="V1114" s="30" t="str">
        <f aca="false">IF(T1114&lt;判定条件!$C$6,"判定不能",IF(U1114&gt;=判定条件!$C$7*T1114,"運転",IF(U1114&lt;=判定条件!$C$8*T1114,"停止","断続")))</f>
        <v>停止</v>
      </c>
      <c r="W1114" s="30" t="n">
        <v>60</v>
      </c>
      <c r="X1114" s="30" t="n">
        <v>40</v>
      </c>
      <c r="Y1114" s="30" t="str">
        <f aca="false">IF(W1114&lt;判定条件!$C$6,"判定不能",IF(X1114&gt;=判定条件!$C$7*W1114,"運転",IF(X1114&lt;=判定条件!$C$8*W1114,"停止","断続")))</f>
        <v>断続</v>
      </c>
      <c r="Z1114" s="30" t="n">
        <v>60</v>
      </c>
      <c r="AA1114" s="30" t="n">
        <v>40</v>
      </c>
      <c r="AB1114" s="30" t="str">
        <f aca="false">IF(Z1114&lt;判定条件!$C$6,"判定不能",IF(AA1114&gt;=判定条件!$C$7*Z1114,"運転",IF(AA1114&lt;=判定条件!$C$8*Z1114,"停止","断続")))</f>
        <v>断続</v>
      </c>
      <c r="AC1114" s="30" t="n">
        <v>60</v>
      </c>
      <c r="AD1114" s="30" t="n">
        <v>13</v>
      </c>
      <c r="AE1114" s="30" t="str">
        <f aca="false">IF(AC1114&lt;判定条件!$C$6,"判定不能",IF(AD1114&gt;=判定条件!$C$7*AC1114,"運転",IF(AD1114&lt;=判定条件!$C$8*AC1114,"停止","断続")))</f>
        <v>断続</v>
      </c>
      <c r="AF1114" s="30" t="n">
        <v>60</v>
      </c>
      <c r="AG1114" s="30" t="n">
        <v>3</v>
      </c>
      <c r="AH1114" s="30" t="str">
        <f aca="false">IF(OR(P1114="判定不能",G1114="判定不能"),"判定不能",IF(AG1114&gt;=判定条件!$C$9,"利用可",IF(AND(P1114="停止",G1114="停止"),"両方停止","運転がそろわない")))</f>
        <v>運転がそろわない</v>
      </c>
      <c r="AI1114" s="30" t="n">
        <v>60</v>
      </c>
      <c r="AJ1114" s="30" t="n">
        <v>0</v>
      </c>
      <c r="AK1114" s="30" t="str">
        <f aca="false">IF(OR(S1114="判定不能",J1114="判定不能"),"判定不能",IF(AJ1114&gt;=判定条件!$C$9,"利用可",IF(AND(S1114="停止",J1114="停止"),"両方停止","運転がそろわない")))</f>
        <v>運転がそろわない</v>
      </c>
      <c r="AL1114" s="30" t="n">
        <v>60</v>
      </c>
      <c r="AM1114" s="30" t="n">
        <v>0</v>
      </c>
      <c r="AN1114" s="30" t="str">
        <f aca="false">IF(OR(V1114="判定不能",M1114="判定不能"),"判定不能",IF(AM1114&gt;=判定条件!$C$9,"利用可",IF(AND(V1114="停止",M1114="停止"),"両方停止","運転がそろわない")))</f>
        <v>両方停止</v>
      </c>
      <c r="AO1114" s="30" t="n">
        <v>60</v>
      </c>
      <c r="AP1114" s="30" t="n">
        <v>3</v>
      </c>
      <c r="AQ1114" s="30" t="str">
        <f aca="false">IF(OR(Y1114="判定不能",G1114="判定不能"),"判定不能",IF(AP1114&gt;=判定条件!$C$9,"利用可",IF(AND(Y1114="停止",G1114="停止"),"両方停止","運転がそろわない")))</f>
        <v>運転がそろわない</v>
      </c>
      <c r="AR1114" s="30" t="n">
        <v>60</v>
      </c>
      <c r="AS1114" s="30" t="n">
        <v>0</v>
      </c>
      <c r="AT1114" s="30" t="str">
        <f aca="false">IF(OR(AB1114="判定不能",J1114="判定不能"),"判定不能",IF(AS1114&gt;=判定条件!$C$9,"利用可",IF(AND(AB1114="停止",J1114="停止"),"両方停止","運転がそろわない")))</f>
        <v>運転がそろわない</v>
      </c>
      <c r="AU1114" s="30" t="n">
        <v>60</v>
      </c>
      <c r="AV1114" s="30" t="n">
        <v>0</v>
      </c>
      <c r="AW1114" s="30" t="str">
        <f aca="false">IF(OR(AE1114="判定不能",M1114="判定不能"),"判定不能",IF(AV1114&gt;=判定条件!$C$9,"利用可",IF(AND(AE1114="停止",M1114="停止"),"両方停止","運転がそろわない")))</f>
        <v>運転がそろわない</v>
      </c>
      <c r="AX1114" s="30" t="str">
        <f aca="false">IF(AND(AH1114="利用可",AK1114="利用可",AN1114="利用可"),"利用可","不可")</f>
        <v>不可</v>
      </c>
      <c r="AY1114" s="30" t="str">
        <f aca="false">IF(AND(AQ1114="利用可",AT1114="利用可",AW1114="利用可"),"利用可","不可")</f>
        <v>不可</v>
      </c>
    </row>
    <row r="1115" customFormat="false" ht="15" hidden="false" customHeight="false" outlineLevel="0" collapsed="false">
      <c r="A1115" s="29" t="n">
        <v>46278</v>
      </c>
      <c r="B1115" s="30" t="n">
        <v>8</v>
      </c>
      <c r="C1115" s="31" t="s">
        <v>65</v>
      </c>
      <c r="D1115" s="31" t="s">
        <v>64</v>
      </c>
      <c r="E1115" s="30" t="n">
        <v>60</v>
      </c>
      <c r="F1115" s="30" t="n">
        <v>6</v>
      </c>
      <c r="G1115" s="30" t="str">
        <f aca="false">IF(E1115&lt;判定条件!$C$6,"判定不能",IF(F1115&gt;=判定条件!$C$7*E1115,"運転",IF(F1115&lt;=判定条件!$C$8*E1115,"停止","断続")))</f>
        <v>停止</v>
      </c>
      <c r="H1115" s="30" t="n">
        <v>60</v>
      </c>
      <c r="I1115" s="30" t="n">
        <v>0</v>
      </c>
      <c r="J1115" s="30" t="str">
        <f aca="false">IF(H1115&lt;判定条件!$C$6,"判定不能",IF(I1115&gt;=判定条件!$C$7*H1115,"運転",IF(I1115&lt;=判定条件!$C$8*H1115,"停止","断続")))</f>
        <v>停止</v>
      </c>
      <c r="K1115" s="30" t="n">
        <v>60</v>
      </c>
      <c r="L1115" s="30" t="n">
        <v>0</v>
      </c>
      <c r="M1115" s="30" t="str">
        <f aca="false">IF(K1115&lt;判定条件!$C$6,"判定不能",IF(L1115&gt;=判定条件!$C$7*K1115,"運転",IF(L1115&lt;=判定条件!$C$8*K1115,"停止","断続")))</f>
        <v>停止</v>
      </c>
      <c r="N1115" s="30" t="n">
        <v>60</v>
      </c>
      <c r="O1115" s="30" t="n">
        <v>60</v>
      </c>
      <c r="P1115" s="30" t="str">
        <f aca="false">IF(N1115&lt;判定条件!$C$6,"判定不能",IF(O1115&gt;=判定条件!$C$7*N1115,"運転",IF(O1115&lt;=判定条件!$C$8*N1115,"停止","断続")))</f>
        <v>運転</v>
      </c>
      <c r="Q1115" s="30" t="n">
        <v>60</v>
      </c>
      <c r="R1115" s="30" t="n">
        <v>60</v>
      </c>
      <c r="S1115" s="30" t="str">
        <f aca="false">IF(Q1115&lt;判定条件!$C$6,"判定不能",IF(R1115&gt;=判定条件!$C$7*Q1115,"運転",IF(R1115&lt;=判定条件!$C$8*Q1115,"停止","断続")))</f>
        <v>運転</v>
      </c>
      <c r="T1115" s="30" t="n">
        <v>60</v>
      </c>
      <c r="U1115" s="30" t="n">
        <v>56</v>
      </c>
      <c r="V1115" s="30" t="str">
        <f aca="false">IF(T1115&lt;判定条件!$C$6,"判定不能",IF(U1115&gt;=判定条件!$C$7*T1115,"運転",IF(U1115&lt;=判定条件!$C$8*T1115,"停止","断続")))</f>
        <v>運転</v>
      </c>
      <c r="W1115" s="30" t="n">
        <v>60</v>
      </c>
      <c r="X1115" s="30" t="n">
        <v>60</v>
      </c>
      <c r="Y1115" s="30" t="str">
        <f aca="false">IF(W1115&lt;判定条件!$C$6,"判定不能",IF(X1115&gt;=判定条件!$C$7*W1115,"運転",IF(X1115&lt;=判定条件!$C$8*W1115,"停止","断続")))</f>
        <v>運転</v>
      </c>
      <c r="Z1115" s="30" t="n">
        <v>60</v>
      </c>
      <c r="AA1115" s="30" t="n">
        <v>60</v>
      </c>
      <c r="AB1115" s="30" t="str">
        <f aca="false">IF(Z1115&lt;判定条件!$C$6,"判定不能",IF(AA1115&gt;=判定条件!$C$7*Z1115,"運転",IF(AA1115&lt;=判定条件!$C$8*Z1115,"停止","断続")))</f>
        <v>運転</v>
      </c>
      <c r="AC1115" s="30" t="n">
        <v>60</v>
      </c>
      <c r="AD1115" s="30" t="n">
        <v>60</v>
      </c>
      <c r="AE1115" s="30" t="str">
        <f aca="false">IF(AC1115&lt;判定条件!$C$6,"判定不能",IF(AD1115&gt;=判定条件!$C$7*AC1115,"運転",IF(AD1115&lt;=判定条件!$C$8*AC1115,"停止","断続")))</f>
        <v>運転</v>
      </c>
      <c r="AF1115" s="30" t="n">
        <v>60</v>
      </c>
      <c r="AG1115" s="30" t="n">
        <v>6</v>
      </c>
      <c r="AH1115" s="30" t="str">
        <f aca="false">IF(OR(P1115="判定不能",G1115="判定不能"),"判定不能",IF(AG1115&gt;=判定条件!$C$9,"利用可",IF(AND(P1115="停止",G1115="停止"),"両方停止","運転がそろわない")))</f>
        <v>運転がそろわない</v>
      </c>
      <c r="AI1115" s="30" t="n">
        <v>60</v>
      </c>
      <c r="AJ1115" s="30" t="n">
        <v>0</v>
      </c>
      <c r="AK1115" s="30" t="str">
        <f aca="false">IF(OR(S1115="判定不能",J1115="判定不能"),"判定不能",IF(AJ1115&gt;=判定条件!$C$9,"利用可",IF(AND(S1115="停止",J1115="停止"),"両方停止","運転がそろわない")))</f>
        <v>運転がそろわない</v>
      </c>
      <c r="AL1115" s="30" t="n">
        <v>60</v>
      </c>
      <c r="AM1115" s="30" t="n">
        <v>0</v>
      </c>
      <c r="AN1115" s="30" t="str">
        <f aca="false">IF(OR(V1115="判定不能",M1115="判定不能"),"判定不能",IF(AM1115&gt;=判定条件!$C$9,"利用可",IF(AND(V1115="停止",M1115="停止"),"両方停止","運転がそろわない")))</f>
        <v>運転がそろわない</v>
      </c>
      <c r="AO1115" s="30" t="n">
        <v>60</v>
      </c>
      <c r="AP1115" s="30" t="n">
        <v>6</v>
      </c>
      <c r="AQ1115" s="30" t="str">
        <f aca="false">IF(OR(Y1115="判定不能",G1115="判定不能"),"判定不能",IF(AP1115&gt;=判定条件!$C$9,"利用可",IF(AND(Y1115="停止",G1115="停止"),"両方停止","運転がそろわない")))</f>
        <v>運転がそろわない</v>
      </c>
      <c r="AR1115" s="30" t="n">
        <v>60</v>
      </c>
      <c r="AS1115" s="30" t="n">
        <v>0</v>
      </c>
      <c r="AT1115" s="30" t="str">
        <f aca="false">IF(OR(AB1115="判定不能",J1115="判定不能"),"判定不能",IF(AS1115&gt;=判定条件!$C$9,"利用可",IF(AND(AB1115="停止",J1115="停止"),"両方停止","運転がそろわない")))</f>
        <v>運転がそろわない</v>
      </c>
      <c r="AU1115" s="30" t="n">
        <v>60</v>
      </c>
      <c r="AV1115" s="30" t="n">
        <v>0</v>
      </c>
      <c r="AW1115" s="30" t="str">
        <f aca="false">IF(OR(AE1115="判定不能",M1115="判定不能"),"判定不能",IF(AV1115&gt;=判定条件!$C$9,"利用可",IF(AND(AE1115="停止",M1115="停止"),"両方停止","運転がそろわない")))</f>
        <v>運転がそろわない</v>
      </c>
      <c r="AX1115" s="30" t="str">
        <f aca="false">IF(AND(AH1115="利用可",AK1115="利用可",AN1115="利用可"),"利用可","不可")</f>
        <v>不可</v>
      </c>
      <c r="AY1115" s="30" t="str">
        <f aca="false">IF(AND(AQ1115="利用可",AT1115="利用可",AW1115="利用可"),"利用可","不可")</f>
        <v>不可</v>
      </c>
    </row>
    <row r="1116" customFormat="false" ht="15" hidden="false" customHeight="false" outlineLevel="0" collapsed="false">
      <c r="A1116" s="29" t="n">
        <v>46278</v>
      </c>
      <c r="B1116" s="30" t="n">
        <v>9</v>
      </c>
      <c r="C1116" s="31" t="s">
        <v>65</v>
      </c>
      <c r="D1116" s="31" t="s">
        <v>64</v>
      </c>
      <c r="E1116" s="30" t="n">
        <v>60</v>
      </c>
      <c r="F1116" s="30" t="n">
        <v>0</v>
      </c>
      <c r="G1116" s="30" t="str">
        <f aca="false">IF(E1116&lt;判定条件!$C$6,"判定不能",IF(F1116&gt;=判定条件!$C$7*E1116,"運転",IF(F1116&lt;=判定条件!$C$8*E1116,"停止","断続")))</f>
        <v>停止</v>
      </c>
      <c r="H1116" s="30" t="n">
        <v>60</v>
      </c>
      <c r="I1116" s="30" t="n">
        <v>0</v>
      </c>
      <c r="J1116" s="30" t="str">
        <f aca="false">IF(H1116&lt;判定条件!$C$6,"判定不能",IF(I1116&gt;=判定条件!$C$7*H1116,"運転",IF(I1116&lt;=判定条件!$C$8*H1116,"停止","断続")))</f>
        <v>停止</v>
      </c>
      <c r="K1116" s="30" t="n">
        <v>60</v>
      </c>
      <c r="L1116" s="30" t="n">
        <v>0</v>
      </c>
      <c r="M1116" s="30" t="str">
        <f aca="false">IF(K1116&lt;判定条件!$C$6,"判定不能",IF(L1116&gt;=判定条件!$C$7*K1116,"運転",IF(L1116&lt;=判定条件!$C$8*K1116,"停止","断続")))</f>
        <v>停止</v>
      </c>
      <c r="N1116" s="30" t="n">
        <v>60</v>
      </c>
      <c r="O1116" s="30" t="n">
        <v>36</v>
      </c>
      <c r="P1116" s="30" t="str">
        <f aca="false">IF(N1116&lt;判定条件!$C$6,"判定不能",IF(O1116&gt;=判定条件!$C$7*N1116,"運転",IF(O1116&lt;=判定条件!$C$8*N1116,"停止","断続")))</f>
        <v>断続</v>
      </c>
      <c r="Q1116" s="30" t="n">
        <v>60</v>
      </c>
      <c r="R1116" s="30" t="n">
        <v>30</v>
      </c>
      <c r="S1116" s="30" t="str">
        <f aca="false">IF(Q1116&lt;判定条件!$C$6,"判定不能",IF(R1116&gt;=判定条件!$C$7*Q1116,"運転",IF(R1116&lt;=判定条件!$C$8*Q1116,"停止","断続")))</f>
        <v>断続</v>
      </c>
      <c r="T1116" s="30" t="n">
        <v>60</v>
      </c>
      <c r="U1116" s="30" t="n">
        <v>29</v>
      </c>
      <c r="V1116" s="30" t="str">
        <f aca="false">IF(T1116&lt;判定条件!$C$6,"判定不能",IF(U1116&gt;=判定条件!$C$7*T1116,"運転",IF(U1116&lt;=判定条件!$C$8*T1116,"停止","断続")))</f>
        <v>断続</v>
      </c>
      <c r="W1116" s="30" t="n">
        <v>60</v>
      </c>
      <c r="X1116" s="30" t="n">
        <v>50</v>
      </c>
      <c r="Y1116" s="30" t="str">
        <f aca="false">IF(W1116&lt;判定条件!$C$6,"判定不能",IF(X1116&gt;=判定条件!$C$7*W1116,"運転",IF(X1116&lt;=判定条件!$C$8*W1116,"停止","断続")))</f>
        <v>運転</v>
      </c>
      <c r="Z1116" s="30" t="n">
        <v>60</v>
      </c>
      <c r="AA1116" s="30" t="n">
        <v>60</v>
      </c>
      <c r="AB1116" s="30" t="str">
        <f aca="false">IF(Z1116&lt;判定条件!$C$6,"判定不能",IF(AA1116&gt;=判定条件!$C$7*Z1116,"運転",IF(AA1116&lt;=判定条件!$C$8*Z1116,"停止","断続")))</f>
        <v>運転</v>
      </c>
      <c r="AC1116" s="30" t="n">
        <v>60</v>
      </c>
      <c r="AD1116" s="30" t="n">
        <v>60</v>
      </c>
      <c r="AE1116" s="30" t="str">
        <f aca="false">IF(AC1116&lt;判定条件!$C$6,"判定不能",IF(AD1116&gt;=判定条件!$C$7*AC1116,"運転",IF(AD1116&lt;=判定条件!$C$8*AC1116,"停止","断続")))</f>
        <v>運転</v>
      </c>
      <c r="AF1116" s="30" t="n">
        <v>60</v>
      </c>
      <c r="AG1116" s="30" t="n">
        <v>0</v>
      </c>
      <c r="AH1116" s="30" t="str">
        <f aca="false">IF(OR(P1116="判定不能",G1116="判定不能"),"判定不能",IF(AG1116&gt;=判定条件!$C$9,"利用可",IF(AND(P1116="停止",G1116="停止"),"両方停止","運転がそろわない")))</f>
        <v>運転がそろわない</v>
      </c>
      <c r="AI1116" s="30" t="n">
        <v>60</v>
      </c>
      <c r="AJ1116" s="30" t="n">
        <v>0</v>
      </c>
      <c r="AK1116" s="30" t="str">
        <f aca="false">IF(OR(S1116="判定不能",J1116="判定不能"),"判定不能",IF(AJ1116&gt;=判定条件!$C$9,"利用可",IF(AND(S1116="停止",J1116="停止"),"両方停止","運転がそろわない")))</f>
        <v>運転がそろわない</v>
      </c>
      <c r="AL1116" s="30" t="n">
        <v>60</v>
      </c>
      <c r="AM1116" s="30" t="n">
        <v>0</v>
      </c>
      <c r="AN1116" s="30" t="str">
        <f aca="false">IF(OR(V1116="判定不能",M1116="判定不能"),"判定不能",IF(AM1116&gt;=判定条件!$C$9,"利用可",IF(AND(V1116="停止",M1116="停止"),"両方停止","運転がそろわない")))</f>
        <v>運転がそろわない</v>
      </c>
      <c r="AO1116" s="30" t="n">
        <v>60</v>
      </c>
      <c r="AP1116" s="30" t="n">
        <v>0</v>
      </c>
      <c r="AQ1116" s="30" t="str">
        <f aca="false">IF(OR(Y1116="判定不能",G1116="判定不能"),"判定不能",IF(AP1116&gt;=判定条件!$C$9,"利用可",IF(AND(Y1116="停止",G1116="停止"),"両方停止","運転がそろわない")))</f>
        <v>運転がそろわない</v>
      </c>
      <c r="AR1116" s="30" t="n">
        <v>60</v>
      </c>
      <c r="AS1116" s="30" t="n">
        <v>0</v>
      </c>
      <c r="AT1116" s="30" t="str">
        <f aca="false">IF(OR(AB1116="判定不能",J1116="判定不能"),"判定不能",IF(AS1116&gt;=判定条件!$C$9,"利用可",IF(AND(AB1116="停止",J1116="停止"),"両方停止","運転がそろわない")))</f>
        <v>運転がそろわない</v>
      </c>
      <c r="AU1116" s="30" t="n">
        <v>60</v>
      </c>
      <c r="AV1116" s="30" t="n">
        <v>0</v>
      </c>
      <c r="AW1116" s="30" t="str">
        <f aca="false">IF(OR(AE1116="判定不能",M1116="判定不能"),"判定不能",IF(AV1116&gt;=判定条件!$C$9,"利用可",IF(AND(AE1116="停止",M1116="停止"),"両方停止","運転がそろわない")))</f>
        <v>運転がそろわない</v>
      </c>
      <c r="AX1116" s="30" t="str">
        <f aca="false">IF(AND(AH1116="利用可",AK1116="利用可",AN1116="利用可"),"利用可","不可")</f>
        <v>不可</v>
      </c>
      <c r="AY1116" s="30" t="str">
        <f aca="false">IF(AND(AQ1116="利用可",AT1116="利用可",AW1116="利用可"),"利用可","不可")</f>
        <v>不可</v>
      </c>
    </row>
    <row r="1117" customFormat="false" ht="15" hidden="false" customHeight="false" outlineLevel="0" collapsed="false">
      <c r="A1117" s="29" t="n">
        <v>46278</v>
      </c>
      <c r="B1117" s="30" t="n">
        <v>10</v>
      </c>
      <c r="C1117" s="31" t="s">
        <v>65</v>
      </c>
      <c r="D1117" s="31" t="s">
        <v>64</v>
      </c>
      <c r="E1117" s="30" t="n">
        <v>60</v>
      </c>
      <c r="F1117" s="30" t="n">
        <v>0</v>
      </c>
      <c r="G1117" s="30" t="str">
        <f aca="false">IF(E1117&lt;判定条件!$C$6,"判定不能",IF(F1117&gt;=判定条件!$C$7*E1117,"運転",IF(F1117&lt;=判定条件!$C$8*E1117,"停止","断続")))</f>
        <v>停止</v>
      </c>
      <c r="H1117" s="30" t="n">
        <v>60</v>
      </c>
      <c r="I1117" s="30" t="n">
        <v>0</v>
      </c>
      <c r="J1117" s="30" t="str">
        <f aca="false">IF(H1117&lt;判定条件!$C$6,"判定不能",IF(I1117&gt;=判定条件!$C$7*H1117,"運転",IF(I1117&lt;=判定条件!$C$8*H1117,"停止","断続")))</f>
        <v>停止</v>
      </c>
      <c r="K1117" s="30" t="n">
        <v>60</v>
      </c>
      <c r="L1117" s="30" t="n">
        <v>0</v>
      </c>
      <c r="M1117" s="30" t="str">
        <f aca="false">IF(K1117&lt;判定条件!$C$6,"判定不能",IF(L1117&gt;=判定条件!$C$7*K1117,"運転",IF(L1117&lt;=判定条件!$C$8*K1117,"停止","断続")))</f>
        <v>停止</v>
      </c>
      <c r="N1117" s="30" t="n">
        <v>60</v>
      </c>
      <c r="O1117" s="30" t="n">
        <v>0</v>
      </c>
      <c r="P1117" s="30" t="str">
        <f aca="false">IF(N1117&lt;判定条件!$C$6,"判定不能",IF(O1117&gt;=判定条件!$C$7*N1117,"運転",IF(O1117&lt;=判定条件!$C$8*N1117,"停止","断続")))</f>
        <v>停止</v>
      </c>
      <c r="Q1117" s="30" t="n">
        <v>60</v>
      </c>
      <c r="R1117" s="30" t="n">
        <v>0</v>
      </c>
      <c r="S1117" s="30" t="str">
        <f aca="false">IF(Q1117&lt;判定条件!$C$6,"判定不能",IF(R1117&gt;=判定条件!$C$7*Q1117,"運転",IF(R1117&lt;=判定条件!$C$8*Q1117,"停止","断続")))</f>
        <v>停止</v>
      </c>
      <c r="T1117" s="30" t="n">
        <v>60</v>
      </c>
      <c r="U1117" s="30" t="n">
        <v>0</v>
      </c>
      <c r="V1117" s="30" t="str">
        <f aca="false">IF(T1117&lt;判定条件!$C$6,"判定不能",IF(U1117&gt;=判定条件!$C$7*T1117,"運転",IF(U1117&lt;=判定条件!$C$8*T1117,"停止","断続")))</f>
        <v>停止</v>
      </c>
      <c r="W1117" s="30" t="n">
        <v>60</v>
      </c>
      <c r="X1117" s="30" t="n">
        <v>60</v>
      </c>
      <c r="Y1117" s="30" t="str">
        <f aca="false">IF(W1117&lt;判定条件!$C$6,"判定不能",IF(X1117&gt;=判定条件!$C$7*W1117,"運転",IF(X1117&lt;=判定条件!$C$8*W1117,"停止","断続")))</f>
        <v>運転</v>
      </c>
      <c r="Z1117" s="30" t="n">
        <v>60</v>
      </c>
      <c r="AA1117" s="30" t="n">
        <v>32</v>
      </c>
      <c r="AB1117" s="30" t="str">
        <f aca="false">IF(Z1117&lt;判定条件!$C$6,"判定不能",IF(AA1117&gt;=判定条件!$C$7*Z1117,"運転",IF(AA1117&lt;=判定条件!$C$8*Z1117,"停止","断続")))</f>
        <v>断続</v>
      </c>
      <c r="AC1117" s="30" t="n">
        <v>60</v>
      </c>
      <c r="AD1117" s="30" t="n">
        <v>60</v>
      </c>
      <c r="AE1117" s="30" t="str">
        <f aca="false">IF(AC1117&lt;判定条件!$C$6,"判定不能",IF(AD1117&gt;=判定条件!$C$7*AC1117,"運転",IF(AD1117&lt;=判定条件!$C$8*AC1117,"停止","断続")))</f>
        <v>運転</v>
      </c>
      <c r="AF1117" s="30" t="n">
        <v>60</v>
      </c>
      <c r="AG1117" s="30" t="n">
        <v>0</v>
      </c>
      <c r="AH1117" s="30" t="str">
        <f aca="false">IF(OR(P1117="判定不能",G1117="判定不能"),"判定不能",IF(AG1117&gt;=判定条件!$C$9,"利用可",IF(AND(P1117="停止",G1117="停止"),"両方停止","運転がそろわない")))</f>
        <v>両方停止</v>
      </c>
      <c r="AI1117" s="30" t="n">
        <v>60</v>
      </c>
      <c r="AJ1117" s="30" t="n">
        <v>0</v>
      </c>
      <c r="AK1117" s="30" t="str">
        <f aca="false">IF(OR(S1117="判定不能",J1117="判定不能"),"判定不能",IF(AJ1117&gt;=判定条件!$C$9,"利用可",IF(AND(S1117="停止",J1117="停止"),"両方停止","運転がそろわない")))</f>
        <v>両方停止</v>
      </c>
      <c r="AL1117" s="30" t="n">
        <v>60</v>
      </c>
      <c r="AM1117" s="30" t="n">
        <v>0</v>
      </c>
      <c r="AN1117" s="30" t="str">
        <f aca="false">IF(OR(V1117="判定不能",M1117="判定不能"),"判定不能",IF(AM1117&gt;=判定条件!$C$9,"利用可",IF(AND(V1117="停止",M1117="停止"),"両方停止","運転がそろわない")))</f>
        <v>両方停止</v>
      </c>
      <c r="AO1117" s="30" t="n">
        <v>60</v>
      </c>
      <c r="AP1117" s="30" t="n">
        <v>0</v>
      </c>
      <c r="AQ1117" s="30" t="str">
        <f aca="false">IF(OR(Y1117="判定不能",G1117="判定不能"),"判定不能",IF(AP1117&gt;=判定条件!$C$9,"利用可",IF(AND(Y1117="停止",G1117="停止"),"両方停止","運転がそろわない")))</f>
        <v>運転がそろわない</v>
      </c>
      <c r="AR1117" s="30" t="n">
        <v>60</v>
      </c>
      <c r="AS1117" s="30" t="n">
        <v>0</v>
      </c>
      <c r="AT1117" s="30" t="str">
        <f aca="false">IF(OR(AB1117="判定不能",J1117="判定不能"),"判定不能",IF(AS1117&gt;=判定条件!$C$9,"利用可",IF(AND(AB1117="停止",J1117="停止"),"両方停止","運転がそろわない")))</f>
        <v>運転がそろわない</v>
      </c>
      <c r="AU1117" s="30" t="n">
        <v>60</v>
      </c>
      <c r="AV1117" s="30" t="n">
        <v>0</v>
      </c>
      <c r="AW1117" s="30" t="str">
        <f aca="false">IF(OR(AE1117="判定不能",M1117="判定不能"),"判定不能",IF(AV1117&gt;=判定条件!$C$9,"利用可",IF(AND(AE1117="停止",M1117="停止"),"両方停止","運転がそろわない")))</f>
        <v>運転がそろわない</v>
      </c>
      <c r="AX1117" s="30" t="str">
        <f aca="false">IF(AND(AH1117="利用可",AK1117="利用可",AN1117="利用可"),"利用可","不可")</f>
        <v>不可</v>
      </c>
      <c r="AY1117" s="30" t="str">
        <f aca="false">IF(AND(AQ1117="利用可",AT1117="利用可",AW1117="利用可"),"利用可","不可")</f>
        <v>不可</v>
      </c>
    </row>
    <row r="1118" customFormat="false" ht="15" hidden="false" customHeight="false" outlineLevel="0" collapsed="false">
      <c r="A1118" s="29" t="n">
        <v>46278</v>
      </c>
      <c r="B1118" s="30" t="n">
        <v>11</v>
      </c>
      <c r="C1118" s="31" t="s">
        <v>65</v>
      </c>
      <c r="D1118" s="31" t="s">
        <v>64</v>
      </c>
      <c r="E1118" s="30" t="n">
        <v>60</v>
      </c>
      <c r="F1118" s="30" t="n">
        <v>5</v>
      </c>
      <c r="G1118" s="30" t="str">
        <f aca="false">IF(E1118&lt;判定条件!$C$6,"判定不能",IF(F1118&gt;=判定条件!$C$7*E1118,"運転",IF(F1118&lt;=判定条件!$C$8*E1118,"停止","断続")))</f>
        <v>停止</v>
      </c>
      <c r="H1118" s="30" t="n">
        <v>60</v>
      </c>
      <c r="I1118" s="30" t="n">
        <v>11</v>
      </c>
      <c r="J1118" s="30" t="str">
        <f aca="false">IF(H1118&lt;判定条件!$C$6,"判定不能",IF(I1118&gt;=判定条件!$C$7*H1118,"運転",IF(I1118&lt;=判定条件!$C$8*H1118,"停止","断続")))</f>
        <v>停止</v>
      </c>
      <c r="K1118" s="30" t="n">
        <v>60</v>
      </c>
      <c r="L1118" s="30" t="n">
        <v>14</v>
      </c>
      <c r="M1118" s="30" t="str">
        <f aca="false">IF(K1118&lt;判定条件!$C$6,"判定不能",IF(L1118&gt;=判定条件!$C$7*K1118,"運転",IF(L1118&lt;=判定条件!$C$8*K1118,"停止","断続")))</f>
        <v>断続</v>
      </c>
      <c r="N1118" s="30" t="n">
        <v>60</v>
      </c>
      <c r="O1118" s="30" t="n">
        <v>39</v>
      </c>
      <c r="P1118" s="30" t="str">
        <f aca="false">IF(N1118&lt;判定条件!$C$6,"判定不能",IF(O1118&gt;=判定条件!$C$7*N1118,"運転",IF(O1118&lt;=判定条件!$C$8*N1118,"停止","断続")))</f>
        <v>断続</v>
      </c>
      <c r="Q1118" s="30" t="n">
        <v>60</v>
      </c>
      <c r="R1118" s="30" t="n">
        <v>37</v>
      </c>
      <c r="S1118" s="30" t="str">
        <f aca="false">IF(Q1118&lt;判定条件!$C$6,"判定不能",IF(R1118&gt;=判定条件!$C$7*Q1118,"運転",IF(R1118&lt;=判定条件!$C$8*Q1118,"停止","断続")))</f>
        <v>断続</v>
      </c>
      <c r="T1118" s="30" t="n">
        <v>60</v>
      </c>
      <c r="U1118" s="30" t="n">
        <v>0</v>
      </c>
      <c r="V1118" s="30" t="str">
        <f aca="false">IF(T1118&lt;判定条件!$C$6,"判定不能",IF(U1118&gt;=判定条件!$C$7*T1118,"運転",IF(U1118&lt;=判定条件!$C$8*T1118,"停止","断続")))</f>
        <v>停止</v>
      </c>
      <c r="W1118" s="30" t="n">
        <v>60</v>
      </c>
      <c r="X1118" s="30" t="n">
        <v>52</v>
      </c>
      <c r="Y1118" s="30" t="str">
        <f aca="false">IF(W1118&lt;判定条件!$C$6,"判定不能",IF(X1118&gt;=判定条件!$C$7*W1118,"運転",IF(X1118&lt;=判定条件!$C$8*W1118,"停止","断続")))</f>
        <v>運転</v>
      </c>
      <c r="Z1118" s="30" t="n">
        <v>60</v>
      </c>
      <c r="AA1118" s="30" t="n">
        <v>60</v>
      </c>
      <c r="AB1118" s="30" t="str">
        <f aca="false">IF(Z1118&lt;判定条件!$C$6,"判定不能",IF(AA1118&gt;=判定条件!$C$7*Z1118,"運転",IF(AA1118&lt;=判定条件!$C$8*Z1118,"停止","断続")))</f>
        <v>運転</v>
      </c>
      <c r="AC1118" s="30" t="n">
        <v>60</v>
      </c>
      <c r="AD1118" s="30" t="n">
        <v>60</v>
      </c>
      <c r="AE1118" s="30" t="str">
        <f aca="false">IF(AC1118&lt;判定条件!$C$6,"判定不能",IF(AD1118&gt;=判定条件!$C$7*AC1118,"運転",IF(AD1118&lt;=判定条件!$C$8*AC1118,"停止","断続")))</f>
        <v>運転</v>
      </c>
      <c r="AF1118" s="30" t="n">
        <v>60</v>
      </c>
      <c r="AG1118" s="30" t="n">
        <v>0</v>
      </c>
      <c r="AH1118" s="30" t="str">
        <f aca="false">IF(OR(P1118="判定不能",G1118="判定不能"),"判定不能",IF(AG1118&gt;=判定条件!$C$9,"利用可",IF(AND(P1118="停止",G1118="停止"),"両方停止","運転がそろわない")))</f>
        <v>運転がそろわない</v>
      </c>
      <c r="AI1118" s="30" t="n">
        <v>60</v>
      </c>
      <c r="AJ1118" s="30" t="n">
        <v>3</v>
      </c>
      <c r="AK1118" s="30" t="str">
        <f aca="false">IF(OR(S1118="判定不能",J1118="判定不能"),"判定不能",IF(AJ1118&gt;=判定条件!$C$9,"利用可",IF(AND(S1118="停止",J1118="停止"),"両方停止","運転がそろわない")))</f>
        <v>運転がそろわない</v>
      </c>
      <c r="AL1118" s="30" t="n">
        <v>60</v>
      </c>
      <c r="AM1118" s="30" t="n">
        <v>0</v>
      </c>
      <c r="AN1118" s="30" t="str">
        <f aca="false">IF(OR(V1118="判定不能",M1118="判定不能"),"判定不能",IF(AM1118&gt;=判定条件!$C$9,"利用可",IF(AND(V1118="停止",M1118="停止"),"両方停止","運転がそろわない")))</f>
        <v>運転がそろわない</v>
      </c>
      <c r="AO1118" s="30" t="n">
        <v>60</v>
      </c>
      <c r="AP1118" s="30" t="n">
        <v>0</v>
      </c>
      <c r="AQ1118" s="30" t="str">
        <f aca="false">IF(OR(Y1118="判定不能",G1118="判定不能"),"判定不能",IF(AP1118&gt;=判定条件!$C$9,"利用可",IF(AND(Y1118="停止",G1118="停止"),"両方停止","運転がそろわない")))</f>
        <v>運転がそろわない</v>
      </c>
      <c r="AR1118" s="30" t="n">
        <v>60</v>
      </c>
      <c r="AS1118" s="30" t="n">
        <v>11</v>
      </c>
      <c r="AT1118" s="30" t="str">
        <f aca="false">IF(OR(AB1118="判定不能",J1118="判定不能"),"判定不能",IF(AS1118&gt;=判定条件!$C$9,"利用可",IF(AND(AB1118="停止",J1118="停止"),"両方停止","運転がそろわない")))</f>
        <v>運転がそろわない</v>
      </c>
      <c r="AU1118" s="30" t="n">
        <v>60</v>
      </c>
      <c r="AV1118" s="30" t="n">
        <v>14</v>
      </c>
      <c r="AW1118" s="30" t="str">
        <f aca="false">IF(OR(AE1118="判定不能",M1118="判定不能"),"判定不能",IF(AV1118&gt;=判定条件!$C$9,"利用可",IF(AND(AE1118="停止",M1118="停止"),"両方停止","運転がそろわない")))</f>
        <v>運転がそろわない</v>
      </c>
      <c r="AX1118" s="30" t="str">
        <f aca="false">IF(AND(AH1118="利用可",AK1118="利用可",AN1118="利用可"),"利用可","不可")</f>
        <v>不可</v>
      </c>
      <c r="AY1118" s="30" t="str">
        <f aca="false">IF(AND(AQ1118="利用可",AT1118="利用可",AW1118="利用可"),"利用可","不可")</f>
        <v>不可</v>
      </c>
    </row>
    <row r="1119" customFormat="false" ht="15" hidden="false" customHeight="false" outlineLevel="0" collapsed="false">
      <c r="A1119" s="29" t="n">
        <v>46278</v>
      </c>
      <c r="B1119" s="30" t="n">
        <v>12</v>
      </c>
      <c r="C1119" s="31" t="s">
        <v>65</v>
      </c>
      <c r="D1119" s="31" t="s">
        <v>64</v>
      </c>
      <c r="E1119" s="30" t="n">
        <v>60</v>
      </c>
      <c r="F1119" s="30" t="n">
        <v>39</v>
      </c>
      <c r="G1119" s="30" t="str">
        <f aca="false">IF(E1119&lt;判定条件!$C$6,"判定不能",IF(F1119&gt;=判定条件!$C$7*E1119,"運転",IF(F1119&lt;=判定条件!$C$8*E1119,"停止","断続")))</f>
        <v>断続</v>
      </c>
      <c r="H1119" s="30" t="n">
        <v>60</v>
      </c>
      <c r="I1119" s="30" t="n">
        <v>52</v>
      </c>
      <c r="J1119" s="30" t="str">
        <f aca="false">IF(H1119&lt;判定条件!$C$6,"判定不能",IF(I1119&gt;=判定条件!$C$7*H1119,"運転",IF(I1119&lt;=判定条件!$C$8*H1119,"停止","断続")))</f>
        <v>運転</v>
      </c>
      <c r="K1119" s="30" t="n">
        <v>60</v>
      </c>
      <c r="L1119" s="30" t="n">
        <v>60</v>
      </c>
      <c r="M1119" s="30" t="str">
        <f aca="false">IF(K1119&lt;判定条件!$C$6,"判定不能",IF(L1119&gt;=判定条件!$C$7*K1119,"運転",IF(L1119&lt;=判定条件!$C$8*K1119,"停止","断続")))</f>
        <v>運転</v>
      </c>
      <c r="N1119" s="30" t="n">
        <v>60</v>
      </c>
      <c r="O1119" s="30" t="n">
        <v>52</v>
      </c>
      <c r="P1119" s="30" t="str">
        <f aca="false">IF(N1119&lt;判定条件!$C$6,"判定不能",IF(O1119&gt;=判定条件!$C$7*N1119,"運転",IF(O1119&lt;=判定条件!$C$8*N1119,"停止","断続")))</f>
        <v>運転</v>
      </c>
      <c r="Q1119" s="30" t="n">
        <v>60</v>
      </c>
      <c r="R1119" s="30" t="n">
        <v>52</v>
      </c>
      <c r="S1119" s="30" t="str">
        <f aca="false">IF(Q1119&lt;判定条件!$C$6,"判定不能",IF(R1119&gt;=判定条件!$C$7*Q1119,"運転",IF(R1119&lt;=判定条件!$C$8*Q1119,"停止","断続")))</f>
        <v>運転</v>
      </c>
      <c r="T1119" s="30" t="n">
        <v>60</v>
      </c>
      <c r="U1119" s="30" t="n">
        <v>31</v>
      </c>
      <c r="V1119" s="30" t="str">
        <f aca="false">IF(T1119&lt;判定条件!$C$6,"判定不能",IF(U1119&gt;=判定条件!$C$7*T1119,"運転",IF(U1119&lt;=判定条件!$C$8*T1119,"停止","断続")))</f>
        <v>断続</v>
      </c>
      <c r="W1119" s="30" t="n">
        <v>60</v>
      </c>
      <c r="X1119" s="30" t="n">
        <v>59</v>
      </c>
      <c r="Y1119" s="30" t="str">
        <f aca="false">IF(W1119&lt;判定条件!$C$6,"判定不能",IF(X1119&gt;=判定条件!$C$7*W1119,"運転",IF(X1119&lt;=判定条件!$C$8*W1119,"停止","断続")))</f>
        <v>運転</v>
      </c>
      <c r="Z1119" s="30" t="n">
        <v>60</v>
      </c>
      <c r="AA1119" s="30" t="n">
        <v>51</v>
      </c>
      <c r="AB1119" s="30" t="str">
        <f aca="false">IF(Z1119&lt;判定条件!$C$6,"判定不能",IF(AA1119&gt;=判定条件!$C$7*Z1119,"運転",IF(AA1119&lt;=判定条件!$C$8*Z1119,"停止","断続")))</f>
        <v>運転</v>
      </c>
      <c r="AC1119" s="30" t="n">
        <v>60</v>
      </c>
      <c r="AD1119" s="30" t="n">
        <v>60</v>
      </c>
      <c r="AE1119" s="30" t="str">
        <f aca="false">IF(AC1119&lt;判定条件!$C$6,"判定不能",IF(AD1119&gt;=判定条件!$C$7*AC1119,"運転",IF(AD1119&lt;=判定条件!$C$8*AC1119,"停止","断続")))</f>
        <v>運転</v>
      </c>
      <c r="AF1119" s="30" t="n">
        <v>60</v>
      </c>
      <c r="AG1119" s="30" t="n">
        <v>31</v>
      </c>
      <c r="AH1119" s="30" t="str">
        <f aca="false">IF(OR(P1119="判定不能",G1119="判定不能"),"判定不能",IF(AG1119&gt;=判定条件!$C$9,"利用可",IF(AND(P1119="停止",G1119="停止"),"両方停止","運転がそろわない")))</f>
        <v>利用可</v>
      </c>
      <c r="AI1119" s="30" t="n">
        <v>60</v>
      </c>
      <c r="AJ1119" s="30" t="n">
        <v>44</v>
      </c>
      <c r="AK1119" s="30" t="str">
        <f aca="false">IF(OR(S1119="判定不能",J1119="判定不能"),"判定不能",IF(AJ1119&gt;=判定条件!$C$9,"利用可",IF(AND(S1119="停止",J1119="停止"),"両方停止","運転がそろわない")))</f>
        <v>利用可</v>
      </c>
      <c r="AL1119" s="30" t="n">
        <v>60</v>
      </c>
      <c r="AM1119" s="30" t="n">
        <v>31</v>
      </c>
      <c r="AN1119" s="30" t="str">
        <f aca="false">IF(OR(V1119="判定不能",M1119="判定不能"),"判定不能",IF(AM1119&gt;=判定条件!$C$9,"利用可",IF(AND(V1119="停止",M1119="停止"),"両方停止","運転がそろわない")))</f>
        <v>利用可</v>
      </c>
      <c r="AO1119" s="30" t="n">
        <v>60</v>
      </c>
      <c r="AP1119" s="30" t="n">
        <v>38</v>
      </c>
      <c r="AQ1119" s="30" t="str">
        <f aca="false">IF(OR(Y1119="判定不能",G1119="判定不能"),"判定不能",IF(AP1119&gt;=判定条件!$C$9,"利用可",IF(AND(Y1119="停止",G1119="停止"),"両方停止","運転がそろわない")))</f>
        <v>利用可</v>
      </c>
      <c r="AR1119" s="30" t="n">
        <v>60</v>
      </c>
      <c r="AS1119" s="30" t="n">
        <v>43</v>
      </c>
      <c r="AT1119" s="30" t="str">
        <f aca="false">IF(OR(AB1119="判定不能",J1119="判定不能"),"判定不能",IF(AS1119&gt;=判定条件!$C$9,"利用可",IF(AND(AB1119="停止",J1119="停止"),"両方停止","運転がそろわない")))</f>
        <v>利用可</v>
      </c>
      <c r="AU1119" s="30" t="n">
        <v>60</v>
      </c>
      <c r="AV1119" s="30" t="n">
        <v>60</v>
      </c>
      <c r="AW1119" s="30" t="str">
        <f aca="false">IF(OR(AE1119="判定不能",M1119="判定不能"),"判定不能",IF(AV1119&gt;=判定条件!$C$9,"利用可",IF(AND(AE1119="停止",M1119="停止"),"両方停止","運転がそろわない")))</f>
        <v>利用可</v>
      </c>
      <c r="AX1119" s="30" t="str">
        <f aca="false">IF(AND(AH1119="利用可",AK1119="利用可",AN1119="利用可"),"利用可","不可")</f>
        <v>利用可</v>
      </c>
      <c r="AY1119" s="30" t="str">
        <f aca="false">IF(AND(AQ1119="利用可",AT1119="利用可",AW1119="利用可"),"利用可","不可")</f>
        <v>利用可</v>
      </c>
    </row>
    <row r="1120" customFormat="false" ht="15" hidden="false" customHeight="false" outlineLevel="0" collapsed="false">
      <c r="A1120" s="29" t="n">
        <v>46278</v>
      </c>
      <c r="B1120" s="30" t="n">
        <v>13</v>
      </c>
      <c r="C1120" s="31" t="s">
        <v>65</v>
      </c>
      <c r="D1120" s="31" t="s">
        <v>64</v>
      </c>
      <c r="E1120" s="30" t="n">
        <v>60</v>
      </c>
      <c r="F1120" s="30" t="n">
        <v>60</v>
      </c>
      <c r="G1120" s="30" t="str">
        <f aca="false">IF(E1120&lt;判定条件!$C$6,"判定不能",IF(F1120&gt;=判定条件!$C$7*E1120,"運転",IF(F1120&lt;=判定条件!$C$8*E1120,"停止","断続")))</f>
        <v>運転</v>
      </c>
      <c r="H1120" s="30" t="n">
        <v>60</v>
      </c>
      <c r="I1120" s="30" t="n">
        <v>60</v>
      </c>
      <c r="J1120" s="30" t="str">
        <f aca="false">IF(H1120&lt;判定条件!$C$6,"判定不能",IF(I1120&gt;=判定条件!$C$7*H1120,"運転",IF(I1120&lt;=判定条件!$C$8*H1120,"停止","断続")))</f>
        <v>運転</v>
      </c>
      <c r="K1120" s="30" t="n">
        <v>60</v>
      </c>
      <c r="L1120" s="30" t="n">
        <v>60</v>
      </c>
      <c r="M1120" s="30" t="str">
        <f aca="false">IF(K1120&lt;判定条件!$C$6,"判定不能",IF(L1120&gt;=判定条件!$C$7*K1120,"運転",IF(L1120&lt;=判定条件!$C$8*K1120,"停止","断続")))</f>
        <v>運転</v>
      </c>
      <c r="N1120" s="30" t="n">
        <v>60</v>
      </c>
      <c r="O1120" s="30" t="n">
        <v>33</v>
      </c>
      <c r="P1120" s="30" t="str">
        <f aca="false">IF(N1120&lt;判定条件!$C$6,"判定不能",IF(O1120&gt;=判定条件!$C$7*N1120,"運転",IF(O1120&lt;=判定条件!$C$8*N1120,"停止","断続")))</f>
        <v>断続</v>
      </c>
      <c r="Q1120" s="30" t="n">
        <v>60</v>
      </c>
      <c r="R1120" s="30" t="n">
        <v>54</v>
      </c>
      <c r="S1120" s="30" t="str">
        <f aca="false">IF(Q1120&lt;判定条件!$C$6,"判定不能",IF(R1120&gt;=判定条件!$C$7*Q1120,"運転",IF(R1120&lt;=判定条件!$C$8*Q1120,"停止","断続")))</f>
        <v>運転</v>
      </c>
      <c r="T1120" s="30" t="n">
        <v>60</v>
      </c>
      <c r="U1120" s="30" t="n">
        <v>6</v>
      </c>
      <c r="V1120" s="30" t="str">
        <f aca="false">IF(T1120&lt;判定条件!$C$6,"判定不能",IF(U1120&gt;=判定条件!$C$7*T1120,"運転",IF(U1120&lt;=判定条件!$C$8*T1120,"停止","断続")))</f>
        <v>停止</v>
      </c>
      <c r="W1120" s="30" t="n">
        <v>60</v>
      </c>
      <c r="X1120" s="30" t="n">
        <v>60</v>
      </c>
      <c r="Y1120" s="30" t="str">
        <f aca="false">IF(W1120&lt;判定条件!$C$6,"判定不能",IF(X1120&gt;=判定条件!$C$7*W1120,"運転",IF(X1120&lt;=判定条件!$C$8*W1120,"停止","断続")))</f>
        <v>運転</v>
      </c>
      <c r="Z1120" s="30" t="n">
        <v>60</v>
      </c>
      <c r="AA1120" s="30" t="n">
        <v>43</v>
      </c>
      <c r="AB1120" s="30" t="str">
        <f aca="false">IF(Z1120&lt;判定条件!$C$6,"判定不能",IF(AA1120&gt;=判定条件!$C$7*Z1120,"運転",IF(AA1120&lt;=判定条件!$C$8*Z1120,"停止","断続")))</f>
        <v>断続</v>
      </c>
      <c r="AC1120" s="30" t="n">
        <v>60</v>
      </c>
      <c r="AD1120" s="30" t="n">
        <v>47</v>
      </c>
      <c r="AE1120" s="30" t="str">
        <f aca="false">IF(AC1120&lt;判定条件!$C$6,"判定不能",IF(AD1120&gt;=判定条件!$C$7*AC1120,"運転",IF(AD1120&lt;=判定条件!$C$8*AC1120,"停止","断続")))</f>
        <v>断続</v>
      </c>
      <c r="AF1120" s="30" t="n">
        <v>60</v>
      </c>
      <c r="AG1120" s="30" t="n">
        <v>33</v>
      </c>
      <c r="AH1120" s="30" t="str">
        <f aca="false">IF(OR(P1120="判定不能",G1120="判定不能"),"判定不能",IF(AG1120&gt;=判定条件!$C$9,"利用可",IF(AND(P1120="停止",G1120="停止"),"両方停止","運転がそろわない")))</f>
        <v>利用可</v>
      </c>
      <c r="AI1120" s="30" t="n">
        <v>60</v>
      </c>
      <c r="AJ1120" s="30" t="n">
        <v>54</v>
      </c>
      <c r="AK1120" s="30" t="str">
        <f aca="false">IF(OR(S1120="判定不能",J1120="判定不能"),"判定不能",IF(AJ1120&gt;=判定条件!$C$9,"利用可",IF(AND(S1120="停止",J1120="停止"),"両方停止","運転がそろわない")))</f>
        <v>利用可</v>
      </c>
      <c r="AL1120" s="30" t="n">
        <v>60</v>
      </c>
      <c r="AM1120" s="30" t="n">
        <v>6</v>
      </c>
      <c r="AN1120" s="30" t="str">
        <f aca="false">IF(OR(V1120="判定不能",M1120="判定不能"),"判定不能",IF(AM1120&gt;=判定条件!$C$9,"利用可",IF(AND(V1120="停止",M1120="停止"),"両方停止","運転がそろわない")))</f>
        <v>運転がそろわない</v>
      </c>
      <c r="AO1120" s="30" t="n">
        <v>60</v>
      </c>
      <c r="AP1120" s="30" t="n">
        <v>60</v>
      </c>
      <c r="AQ1120" s="30" t="str">
        <f aca="false">IF(OR(Y1120="判定不能",G1120="判定不能"),"判定不能",IF(AP1120&gt;=判定条件!$C$9,"利用可",IF(AND(Y1120="停止",G1120="停止"),"両方停止","運転がそろわない")))</f>
        <v>利用可</v>
      </c>
      <c r="AR1120" s="30" t="n">
        <v>60</v>
      </c>
      <c r="AS1120" s="30" t="n">
        <v>43</v>
      </c>
      <c r="AT1120" s="30" t="str">
        <f aca="false">IF(OR(AB1120="判定不能",J1120="判定不能"),"判定不能",IF(AS1120&gt;=判定条件!$C$9,"利用可",IF(AND(AB1120="停止",J1120="停止"),"両方停止","運転がそろわない")))</f>
        <v>利用可</v>
      </c>
      <c r="AU1120" s="30" t="n">
        <v>60</v>
      </c>
      <c r="AV1120" s="30" t="n">
        <v>47</v>
      </c>
      <c r="AW1120" s="30" t="str">
        <f aca="false">IF(OR(AE1120="判定不能",M1120="判定不能"),"判定不能",IF(AV1120&gt;=判定条件!$C$9,"利用可",IF(AND(AE1120="停止",M1120="停止"),"両方停止","運転がそろわない")))</f>
        <v>利用可</v>
      </c>
      <c r="AX1120" s="30" t="str">
        <f aca="false">IF(AND(AH1120="利用可",AK1120="利用可",AN1120="利用可"),"利用可","不可")</f>
        <v>不可</v>
      </c>
      <c r="AY1120" s="30" t="str">
        <f aca="false">IF(AND(AQ1120="利用可",AT1120="利用可",AW1120="利用可"),"利用可","不可")</f>
        <v>利用可</v>
      </c>
    </row>
    <row r="1121" customFormat="false" ht="15" hidden="false" customHeight="false" outlineLevel="0" collapsed="false">
      <c r="A1121" s="29" t="n">
        <v>46278</v>
      </c>
      <c r="B1121" s="30" t="n">
        <v>14</v>
      </c>
      <c r="C1121" s="31" t="s">
        <v>65</v>
      </c>
      <c r="D1121" s="31" t="s">
        <v>64</v>
      </c>
      <c r="E1121" s="30" t="n">
        <v>60</v>
      </c>
      <c r="F1121" s="30" t="n">
        <v>60</v>
      </c>
      <c r="G1121" s="30" t="str">
        <f aca="false">IF(E1121&lt;判定条件!$C$6,"判定不能",IF(F1121&gt;=判定条件!$C$7*E1121,"運転",IF(F1121&lt;=判定条件!$C$8*E1121,"停止","断続")))</f>
        <v>運転</v>
      </c>
      <c r="H1121" s="30" t="n">
        <v>60</v>
      </c>
      <c r="I1121" s="30" t="n">
        <v>60</v>
      </c>
      <c r="J1121" s="30" t="str">
        <f aca="false">IF(H1121&lt;判定条件!$C$6,"判定不能",IF(I1121&gt;=判定条件!$C$7*H1121,"運転",IF(I1121&lt;=判定条件!$C$8*H1121,"停止","断続")))</f>
        <v>運転</v>
      </c>
      <c r="K1121" s="30" t="n">
        <v>60</v>
      </c>
      <c r="L1121" s="30" t="n">
        <v>60</v>
      </c>
      <c r="M1121" s="30" t="str">
        <f aca="false">IF(K1121&lt;判定条件!$C$6,"判定不能",IF(L1121&gt;=判定条件!$C$7*K1121,"運転",IF(L1121&lt;=判定条件!$C$8*K1121,"停止","断続")))</f>
        <v>運転</v>
      </c>
      <c r="N1121" s="30" t="n">
        <v>60</v>
      </c>
      <c r="O1121" s="30" t="n">
        <v>19</v>
      </c>
      <c r="P1121" s="30" t="str">
        <f aca="false">IF(N1121&lt;判定条件!$C$6,"判定不能",IF(O1121&gt;=判定条件!$C$7*N1121,"運転",IF(O1121&lt;=判定条件!$C$8*N1121,"停止","断続")))</f>
        <v>断続</v>
      </c>
      <c r="Q1121" s="30" t="n">
        <v>60</v>
      </c>
      <c r="R1121" s="30" t="n">
        <v>48</v>
      </c>
      <c r="S1121" s="30" t="str">
        <f aca="false">IF(Q1121&lt;判定条件!$C$6,"判定不能",IF(R1121&gt;=判定条件!$C$7*Q1121,"運転",IF(R1121&lt;=判定条件!$C$8*Q1121,"停止","断続")))</f>
        <v>運転</v>
      </c>
      <c r="T1121" s="30" t="n">
        <v>60</v>
      </c>
      <c r="U1121" s="30" t="n">
        <v>31</v>
      </c>
      <c r="V1121" s="30" t="str">
        <f aca="false">IF(T1121&lt;判定条件!$C$6,"判定不能",IF(U1121&gt;=判定条件!$C$7*T1121,"運転",IF(U1121&lt;=判定条件!$C$8*T1121,"停止","断続")))</f>
        <v>断続</v>
      </c>
      <c r="W1121" s="30" t="n">
        <v>60</v>
      </c>
      <c r="X1121" s="30" t="n">
        <v>56</v>
      </c>
      <c r="Y1121" s="30" t="str">
        <f aca="false">IF(W1121&lt;判定条件!$C$6,"判定不能",IF(X1121&gt;=判定条件!$C$7*W1121,"運転",IF(X1121&lt;=判定条件!$C$8*W1121,"停止","断続")))</f>
        <v>運転</v>
      </c>
      <c r="Z1121" s="30" t="n">
        <v>60</v>
      </c>
      <c r="AA1121" s="30" t="n">
        <v>46</v>
      </c>
      <c r="AB1121" s="30" t="str">
        <f aca="false">IF(Z1121&lt;判定条件!$C$6,"判定不能",IF(AA1121&gt;=判定条件!$C$7*Z1121,"運転",IF(AA1121&lt;=判定条件!$C$8*Z1121,"停止","断続")))</f>
        <v>断続</v>
      </c>
      <c r="AC1121" s="30" t="n">
        <v>60</v>
      </c>
      <c r="AD1121" s="30" t="n">
        <v>47</v>
      </c>
      <c r="AE1121" s="30" t="str">
        <f aca="false">IF(AC1121&lt;判定条件!$C$6,"判定不能",IF(AD1121&gt;=判定条件!$C$7*AC1121,"運転",IF(AD1121&lt;=判定条件!$C$8*AC1121,"停止","断続")))</f>
        <v>断続</v>
      </c>
      <c r="AF1121" s="30" t="n">
        <v>60</v>
      </c>
      <c r="AG1121" s="30" t="n">
        <v>19</v>
      </c>
      <c r="AH1121" s="30" t="str">
        <f aca="false">IF(OR(P1121="判定不能",G1121="判定不能"),"判定不能",IF(AG1121&gt;=判定条件!$C$9,"利用可",IF(AND(P1121="停止",G1121="停止"),"両方停止","運転がそろわない")))</f>
        <v>運転がそろわない</v>
      </c>
      <c r="AI1121" s="30" t="n">
        <v>60</v>
      </c>
      <c r="AJ1121" s="30" t="n">
        <v>48</v>
      </c>
      <c r="AK1121" s="30" t="str">
        <f aca="false">IF(OR(S1121="判定不能",J1121="判定不能"),"判定不能",IF(AJ1121&gt;=判定条件!$C$9,"利用可",IF(AND(S1121="停止",J1121="停止"),"両方停止","運転がそろわない")))</f>
        <v>利用可</v>
      </c>
      <c r="AL1121" s="30" t="n">
        <v>60</v>
      </c>
      <c r="AM1121" s="30" t="n">
        <v>31</v>
      </c>
      <c r="AN1121" s="30" t="str">
        <f aca="false">IF(OR(V1121="判定不能",M1121="判定不能"),"判定不能",IF(AM1121&gt;=判定条件!$C$9,"利用可",IF(AND(V1121="停止",M1121="停止"),"両方停止","運転がそろわない")))</f>
        <v>利用可</v>
      </c>
      <c r="AO1121" s="30" t="n">
        <v>60</v>
      </c>
      <c r="AP1121" s="30" t="n">
        <v>56</v>
      </c>
      <c r="AQ1121" s="30" t="str">
        <f aca="false">IF(OR(Y1121="判定不能",G1121="判定不能"),"判定不能",IF(AP1121&gt;=判定条件!$C$9,"利用可",IF(AND(Y1121="停止",G1121="停止"),"両方停止","運転がそろわない")))</f>
        <v>利用可</v>
      </c>
      <c r="AR1121" s="30" t="n">
        <v>60</v>
      </c>
      <c r="AS1121" s="30" t="n">
        <v>46</v>
      </c>
      <c r="AT1121" s="30" t="str">
        <f aca="false">IF(OR(AB1121="判定不能",J1121="判定不能"),"判定不能",IF(AS1121&gt;=判定条件!$C$9,"利用可",IF(AND(AB1121="停止",J1121="停止"),"両方停止","運転がそろわない")))</f>
        <v>利用可</v>
      </c>
      <c r="AU1121" s="30" t="n">
        <v>60</v>
      </c>
      <c r="AV1121" s="30" t="n">
        <v>47</v>
      </c>
      <c r="AW1121" s="30" t="str">
        <f aca="false">IF(OR(AE1121="判定不能",M1121="判定不能"),"判定不能",IF(AV1121&gt;=判定条件!$C$9,"利用可",IF(AND(AE1121="停止",M1121="停止"),"両方停止","運転がそろわない")))</f>
        <v>利用可</v>
      </c>
      <c r="AX1121" s="30" t="str">
        <f aca="false">IF(AND(AH1121="利用可",AK1121="利用可",AN1121="利用可"),"利用可","不可")</f>
        <v>不可</v>
      </c>
      <c r="AY1121" s="30" t="str">
        <f aca="false">IF(AND(AQ1121="利用可",AT1121="利用可",AW1121="利用可"),"利用可","不可")</f>
        <v>利用可</v>
      </c>
    </row>
    <row r="1122" customFormat="false" ht="15" hidden="false" customHeight="false" outlineLevel="0" collapsed="false">
      <c r="A1122" s="29" t="n">
        <v>46278</v>
      </c>
      <c r="B1122" s="30" t="n">
        <v>15</v>
      </c>
      <c r="C1122" s="31" t="s">
        <v>65</v>
      </c>
      <c r="D1122" s="31" t="s">
        <v>64</v>
      </c>
      <c r="E1122" s="30" t="n">
        <v>60</v>
      </c>
      <c r="F1122" s="30" t="n">
        <v>30</v>
      </c>
      <c r="G1122" s="30" t="str">
        <f aca="false">IF(E1122&lt;判定条件!$C$6,"判定不能",IF(F1122&gt;=判定条件!$C$7*E1122,"運転",IF(F1122&lt;=判定条件!$C$8*E1122,"停止","断続")))</f>
        <v>断続</v>
      </c>
      <c r="H1122" s="30" t="n">
        <v>60</v>
      </c>
      <c r="I1122" s="30" t="n">
        <v>60</v>
      </c>
      <c r="J1122" s="30" t="str">
        <f aca="false">IF(H1122&lt;判定条件!$C$6,"判定不能",IF(I1122&gt;=判定条件!$C$7*H1122,"運転",IF(I1122&lt;=判定条件!$C$8*H1122,"停止","断続")))</f>
        <v>運転</v>
      </c>
      <c r="K1122" s="30" t="n">
        <v>60</v>
      </c>
      <c r="L1122" s="30" t="n">
        <v>60</v>
      </c>
      <c r="M1122" s="30" t="str">
        <f aca="false">IF(K1122&lt;判定条件!$C$6,"判定不能",IF(L1122&gt;=判定条件!$C$7*K1122,"運転",IF(L1122&lt;=判定条件!$C$8*K1122,"停止","断続")))</f>
        <v>運転</v>
      </c>
      <c r="N1122" s="30" t="n">
        <v>60</v>
      </c>
      <c r="O1122" s="30" t="n">
        <v>44</v>
      </c>
      <c r="P1122" s="30" t="str">
        <f aca="false">IF(N1122&lt;判定条件!$C$6,"判定不能",IF(O1122&gt;=判定条件!$C$7*N1122,"運転",IF(O1122&lt;=判定条件!$C$8*N1122,"停止","断続")))</f>
        <v>断続</v>
      </c>
      <c r="Q1122" s="30" t="n">
        <v>60</v>
      </c>
      <c r="R1122" s="30" t="n">
        <v>44</v>
      </c>
      <c r="S1122" s="30" t="str">
        <f aca="false">IF(Q1122&lt;判定条件!$C$6,"判定不能",IF(R1122&gt;=判定条件!$C$7*Q1122,"運転",IF(R1122&lt;=判定条件!$C$8*Q1122,"停止","断続")))</f>
        <v>断続</v>
      </c>
      <c r="T1122" s="30" t="n">
        <v>60</v>
      </c>
      <c r="U1122" s="30" t="n">
        <v>0</v>
      </c>
      <c r="V1122" s="30" t="str">
        <f aca="false">IF(T1122&lt;判定条件!$C$6,"判定不能",IF(U1122&gt;=判定条件!$C$7*T1122,"運転",IF(U1122&lt;=判定条件!$C$8*T1122,"停止","断続")))</f>
        <v>停止</v>
      </c>
      <c r="W1122" s="30" t="n">
        <v>60</v>
      </c>
      <c r="X1122" s="30" t="n">
        <v>54</v>
      </c>
      <c r="Y1122" s="30" t="str">
        <f aca="false">IF(W1122&lt;判定条件!$C$6,"判定不能",IF(X1122&gt;=判定条件!$C$7*W1122,"運転",IF(X1122&lt;=判定条件!$C$8*W1122,"停止","断続")))</f>
        <v>運転</v>
      </c>
      <c r="Z1122" s="30" t="n">
        <v>60</v>
      </c>
      <c r="AA1122" s="30" t="n">
        <v>26</v>
      </c>
      <c r="AB1122" s="30" t="str">
        <f aca="false">IF(Z1122&lt;判定条件!$C$6,"判定不能",IF(AA1122&gt;=判定条件!$C$7*Z1122,"運転",IF(AA1122&lt;=判定条件!$C$8*Z1122,"停止","断続")))</f>
        <v>断続</v>
      </c>
      <c r="AC1122" s="30" t="n">
        <v>60</v>
      </c>
      <c r="AD1122" s="30" t="n">
        <v>27</v>
      </c>
      <c r="AE1122" s="30" t="str">
        <f aca="false">IF(AC1122&lt;判定条件!$C$6,"判定不能",IF(AD1122&gt;=判定条件!$C$7*AC1122,"運転",IF(AD1122&lt;=判定条件!$C$8*AC1122,"停止","断続")))</f>
        <v>断続</v>
      </c>
      <c r="AF1122" s="30" t="n">
        <v>60</v>
      </c>
      <c r="AG1122" s="30" t="n">
        <v>18</v>
      </c>
      <c r="AH1122" s="30" t="str">
        <f aca="false">IF(OR(P1122="判定不能",G1122="判定不能"),"判定不能",IF(AG1122&gt;=判定条件!$C$9,"利用可",IF(AND(P1122="停止",G1122="停止"),"両方停止","運転がそろわない")))</f>
        <v>運転がそろわない</v>
      </c>
      <c r="AI1122" s="30" t="n">
        <v>60</v>
      </c>
      <c r="AJ1122" s="30" t="n">
        <v>44</v>
      </c>
      <c r="AK1122" s="30" t="str">
        <f aca="false">IF(OR(S1122="判定不能",J1122="判定不能"),"判定不能",IF(AJ1122&gt;=判定条件!$C$9,"利用可",IF(AND(S1122="停止",J1122="停止"),"両方停止","運転がそろわない")))</f>
        <v>利用可</v>
      </c>
      <c r="AL1122" s="30" t="n">
        <v>60</v>
      </c>
      <c r="AM1122" s="30" t="n">
        <v>0</v>
      </c>
      <c r="AN1122" s="30" t="str">
        <f aca="false">IF(OR(V1122="判定不能",M1122="判定不能"),"判定不能",IF(AM1122&gt;=判定条件!$C$9,"利用可",IF(AND(V1122="停止",M1122="停止"),"両方停止","運転がそろわない")))</f>
        <v>運転がそろわない</v>
      </c>
      <c r="AO1122" s="30" t="n">
        <v>60</v>
      </c>
      <c r="AP1122" s="30" t="n">
        <v>30</v>
      </c>
      <c r="AQ1122" s="30" t="str">
        <f aca="false">IF(OR(Y1122="判定不能",G1122="判定不能"),"判定不能",IF(AP1122&gt;=判定条件!$C$9,"利用可",IF(AND(Y1122="停止",G1122="停止"),"両方停止","運転がそろわない")))</f>
        <v>利用可</v>
      </c>
      <c r="AR1122" s="30" t="n">
        <v>60</v>
      </c>
      <c r="AS1122" s="30" t="n">
        <v>26</v>
      </c>
      <c r="AT1122" s="30" t="str">
        <f aca="false">IF(OR(AB1122="判定不能",J1122="判定不能"),"判定不能",IF(AS1122&gt;=判定条件!$C$9,"利用可",IF(AND(AB1122="停止",J1122="停止"),"両方停止","運転がそろわない")))</f>
        <v>運転がそろわない</v>
      </c>
      <c r="AU1122" s="30" t="n">
        <v>60</v>
      </c>
      <c r="AV1122" s="30" t="n">
        <v>27</v>
      </c>
      <c r="AW1122" s="30" t="str">
        <f aca="false">IF(OR(AE1122="判定不能",M1122="判定不能"),"判定不能",IF(AV1122&gt;=判定条件!$C$9,"利用可",IF(AND(AE1122="停止",M1122="停止"),"両方停止","運転がそろわない")))</f>
        <v>運転がそろわない</v>
      </c>
      <c r="AX1122" s="30" t="str">
        <f aca="false">IF(AND(AH1122="利用可",AK1122="利用可",AN1122="利用可"),"利用可","不可")</f>
        <v>不可</v>
      </c>
      <c r="AY1122" s="30" t="str">
        <f aca="false">IF(AND(AQ1122="利用可",AT1122="利用可",AW1122="利用可"),"利用可","不可")</f>
        <v>不可</v>
      </c>
    </row>
    <row r="1123" customFormat="false" ht="15" hidden="false" customHeight="false" outlineLevel="0" collapsed="false">
      <c r="A1123" s="29" t="n">
        <v>46278</v>
      </c>
      <c r="B1123" s="30" t="n">
        <v>16</v>
      </c>
      <c r="C1123" s="31" t="s">
        <v>65</v>
      </c>
      <c r="D1123" s="31" t="s">
        <v>64</v>
      </c>
      <c r="E1123" s="30" t="n">
        <v>60</v>
      </c>
      <c r="F1123" s="30" t="n">
        <v>49</v>
      </c>
      <c r="G1123" s="30" t="str">
        <f aca="false">IF(E1123&lt;判定条件!$C$6,"判定不能",IF(F1123&gt;=判定条件!$C$7*E1123,"運転",IF(F1123&lt;=判定条件!$C$8*E1123,"停止","断続")))</f>
        <v>運転</v>
      </c>
      <c r="H1123" s="30" t="n">
        <v>60</v>
      </c>
      <c r="I1123" s="30" t="n">
        <v>33</v>
      </c>
      <c r="J1123" s="30" t="str">
        <f aca="false">IF(H1123&lt;判定条件!$C$6,"判定不能",IF(I1123&gt;=判定条件!$C$7*H1123,"運転",IF(I1123&lt;=判定条件!$C$8*H1123,"停止","断続")))</f>
        <v>断続</v>
      </c>
      <c r="K1123" s="30" t="n">
        <v>60</v>
      </c>
      <c r="L1123" s="30" t="n">
        <v>60</v>
      </c>
      <c r="M1123" s="30" t="str">
        <f aca="false">IF(K1123&lt;判定条件!$C$6,"判定不能",IF(L1123&gt;=判定条件!$C$7*K1123,"運転",IF(L1123&lt;=判定条件!$C$8*K1123,"停止","断続")))</f>
        <v>運転</v>
      </c>
      <c r="N1123" s="30" t="n">
        <v>60</v>
      </c>
      <c r="O1123" s="30" t="n">
        <v>0</v>
      </c>
      <c r="P1123" s="30" t="str">
        <f aca="false">IF(N1123&lt;判定条件!$C$6,"判定不能",IF(O1123&gt;=判定条件!$C$7*N1123,"運転",IF(O1123&lt;=判定条件!$C$8*N1123,"停止","断続")))</f>
        <v>停止</v>
      </c>
      <c r="Q1123" s="30" t="n">
        <v>60</v>
      </c>
      <c r="R1123" s="30" t="n">
        <v>27</v>
      </c>
      <c r="S1123" s="30" t="str">
        <f aca="false">IF(Q1123&lt;判定条件!$C$6,"判定不能",IF(R1123&gt;=判定条件!$C$7*Q1123,"運転",IF(R1123&lt;=判定条件!$C$8*Q1123,"停止","断続")))</f>
        <v>断続</v>
      </c>
      <c r="T1123" s="30" t="n">
        <v>60</v>
      </c>
      <c r="U1123" s="30" t="n">
        <v>55</v>
      </c>
      <c r="V1123" s="30" t="str">
        <f aca="false">IF(T1123&lt;判定条件!$C$6,"判定不能",IF(U1123&gt;=判定条件!$C$7*T1123,"運転",IF(U1123&lt;=判定条件!$C$8*T1123,"停止","断続")))</f>
        <v>運転</v>
      </c>
      <c r="W1123" s="30" t="n">
        <v>60</v>
      </c>
      <c r="X1123" s="30" t="n">
        <v>36</v>
      </c>
      <c r="Y1123" s="30" t="str">
        <f aca="false">IF(W1123&lt;判定条件!$C$6,"判定不能",IF(X1123&gt;=判定条件!$C$7*W1123,"運転",IF(X1123&lt;=判定条件!$C$8*W1123,"停止","断続")))</f>
        <v>断続</v>
      </c>
      <c r="Z1123" s="30" t="n">
        <v>60</v>
      </c>
      <c r="AA1123" s="30" t="n">
        <v>0</v>
      </c>
      <c r="AB1123" s="30" t="str">
        <f aca="false">IF(Z1123&lt;判定条件!$C$6,"判定不能",IF(AA1123&gt;=判定条件!$C$7*Z1123,"運転",IF(AA1123&lt;=判定条件!$C$8*Z1123,"停止","断続")))</f>
        <v>停止</v>
      </c>
      <c r="AC1123" s="30" t="n">
        <v>60</v>
      </c>
      <c r="AD1123" s="30" t="n">
        <v>36</v>
      </c>
      <c r="AE1123" s="30" t="str">
        <f aca="false">IF(AC1123&lt;判定条件!$C$6,"判定不能",IF(AD1123&gt;=判定条件!$C$7*AC1123,"運転",IF(AD1123&lt;=判定条件!$C$8*AC1123,"停止","断続")))</f>
        <v>断続</v>
      </c>
      <c r="AF1123" s="30" t="n">
        <v>60</v>
      </c>
      <c r="AG1123" s="30" t="n">
        <v>0</v>
      </c>
      <c r="AH1123" s="30" t="str">
        <f aca="false">IF(OR(P1123="判定不能",G1123="判定不能"),"判定不能",IF(AG1123&gt;=判定条件!$C$9,"利用可",IF(AND(P1123="停止",G1123="停止"),"両方停止","運転がそろわない")))</f>
        <v>運転がそろわない</v>
      </c>
      <c r="AI1123" s="30" t="n">
        <v>60</v>
      </c>
      <c r="AJ1123" s="30" t="n">
        <v>27</v>
      </c>
      <c r="AK1123" s="30" t="str">
        <f aca="false">IF(OR(S1123="判定不能",J1123="判定不能"),"判定不能",IF(AJ1123&gt;=判定条件!$C$9,"利用可",IF(AND(S1123="停止",J1123="停止"),"両方停止","運転がそろわない")))</f>
        <v>運転がそろわない</v>
      </c>
      <c r="AL1123" s="30" t="n">
        <v>60</v>
      </c>
      <c r="AM1123" s="30" t="n">
        <v>55</v>
      </c>
      <c r="AN1123" s="30" t="str">
        <f aca="false">IF(OR(V1123="判定不能",M1123="判定不能"),"判定不能",IF(AM1123&gt;=判定条件!$C$9,"利用可",IF(AND(V1123="停止",M1123="停止"),"両方停止","運転がそろわない")))</f>
        <v>利用可</v>
      </c>
      <c r="AO1123" s="30" t="n">
        <v>60</v>
      </c>
      <c r="AP1123" s="30" t="n">
        <v>28</v>
      </c>
      <c r="AQ1123" s="30" t="str">
        <f aca="false">IF(OR(Y1123="判定不能",G1123="判定不能"),"判定不能",IF(AP1123&gt;=判定条件!$C$9,"利用可",IF(AND(Y1123="停止",G1123="停止"),"両方停止","運転がそろわない")))</f>
        <v>運転がそろわない</v>
      </c>
      <c r="AR1123" s="30" t="n">
        <v>60</v>
      </c>
      <c r="AS1123" s="30" t="n">
        <v>0</v>
      </c>
      <c r="AT1123" s="30" t="str">
        <f aca="false">IF(OR(AB1123="判定不能",J1123="判定不能"),"判定不能",IF(AS1123&gt;=判定条件!$C$9,"利用可",IF(AND(AB1123="停止",J1123="停止"),"両方停止","運転がそろわない")))</f>
        <v>運転がそろわない</v>
      </c>
      <c r="AU1123" s="30" t="n">
        <v>60</v>
      </c>
      <c r="AV1123" s="30" t="n">
        <v>36</v>
      </c>
      <c r="AW1123" s="30" t="str">
        <f aca="false">IF(OR(AE1123="判定不能",M1123="判定不能"),"判定不能",IF(AV1123&gt;=判定条件!$C$9,"利用可",IF(AND(AE1123="停止",M1123="停止"),"両方停止","運転がそろわない")))</f>
        <v>利用可</v>
      </c>
      <c r="AX1123" s="30" t="str">
        <f aca="false">IF(AND(AH1123="利用可",AK1123="利用可",AN1123="利用可"),"利用可","不可")</f>
        <v>不可</v>
      </c>
      <c r="AY1123" s="30" t="str">
        <f aca="false">IF(AND(AQ1123="利用可",AT1123="利用可",AW1123="利用可"),"利用可","不可")</f>
        <v>不可</v>
      </c>
    </row>
    <row r="1124" customFormat="false" ht="15" hidden="false" customHeight="false" outlineLevel="0" collapsed="false">
      <c r="A1124" s="29" t="n">
        <v>46278</v>
      </c>
      <c r="B1124" s="30" t="n">
        <v>17</v>
      </c>
      <c r="C1124" s="31" t="s">
        <v>65</v>
      </c>
      <c r="D1124" s="31" t="s">
        <v>64</v>
      </c>
      <c r="E1124" s="30" t="n">
        <v>60</v>
      </c>
      <c r="F1124" s="30" t="n">
        <v>60</v>
      </c>
      <c r="G1124" s="30" t="str">
        <f aca="false">IF(E1124&lt;判定条件!$C$6,"判定不能",IF(F1124&gt;=判定条件!$C$7*E1124,"運転",IF(F1124&lt;=判定条件!$C$8*E1124,"停止","断続")))</f>
        <v>運転</v>
      </c>
      <c r="H1124" s="30" t="n">
        <v>60</v>
      </c>
      <c r="I1124" s="30" t="n">
        <v>45</v>
      </c>
      <c r="J1124" s="30" t="str">
        <f aca="false">IF(H1124&lt;判定条件!$C$6,"判定不能",IF(I1124&gt;=判定条件!$C$7*H1124,"運転",IF(I1124&lt;=判定条件!$C$8*H1124,"停止","断続")))</f>
        <v>断続</v>
      </c>
      <c r="K1124" s="30" t="n">
        <v>60</v>
      </c>
      <c r="L1124" s="30" t="n">
        <v>60</v>
      </c>
      <c r="M1124" s="30" t="str">
        <f aca="false">IF(K1124&lt;判定条件!$C$6,"判定不能",IF(L1124&gt;=判定条件!$C$7*K1124,"運転",IF(L1124&lt;=判定条件!$C$8*K1124,"停止","断続")))</f>
        <v>運転</v>
      </c>
      <c r="N1124" s="30" t="n">
        <v>60</v>
      </c>
      <c r="O1124" s="30" t="n">
        <v>0</v>
      </c>
      <c r="P1124" s="30" t="str">
        <f aca="false">IF(N1124&lt;判定条件!$C$6,"判定不能",IF(O1124&gt;=判定条件!$C$7*N1124,"運転",IF(O1124&lt;=判定条件!$C$8*N1124,"停止","断続")))</f>
        <v>停止</v>
      </c>
      <c r="Q1124" s="30" t="n">
        <v>60</v>
      </c>
      <c r="R1124" s="30" t="n">
        <v>12</v>
      </c>
      <c r="S1124" s="30" t="str">
        <f aca="false">IF(Q1124&lt;判定条件!$C$6,"判定不能",IF(R1124&gt;=判定条件!$C$7*Q1124,"運転",IF(R1124&lt;=判定条件!$C$8*Q1124,"停止","断続")))</f>
        <v>停止</v>
      </c>
      <c r="T1124" s="30" t="n">
        <v>60</v>
      </c>
      <c r="U1124" s="30" t="n">
        <v>0</v>
      </c>
      <c r="V1124" s="30" t="str">
        <f aca="false">IF(T1124&lt;判定条件!$C$6,"判定不能",IF(U1124&gt;=判定条件!$C$7*T1124,"運転",IF(U1124&lt;=判定条件!$C$8*T1124,"停止","断続")))</f>
        <v>停止</v>
      </c>
      <c r="W1124" s="30" t="n">
        <v>60</v>
      </c>
      <c r="X1124" s="30" t="n">
        <v>56</v>
      </c>
      <c r="Y1124" s="30" t="str">
        <f aca="false">IF(W1124&lt;判定条件!$C$6,"判定不能",IF(X1124&gt;=判定条件!$C$7*W1124,"運転",IF(X1124&lt;=判定条件!$C$8*W1124,"停止","断続")))</f>
        <v>運転</v>
      </c>
      <c r="Z1124" s="30" t="n">
        <v>60</v>
      </c>
      <c r="AA1124" s="30" t="n">
        <v>0</v>
      </c>
      <c r="AB1124" s="30" t="str">
        <f aca="false">IF(Z1124&lt;判定条件!$C$6,"判定不能",IF(AA1124&gt;=判定条件!$C$7*Z1124,"運転",IF(AA1124&lt;=判定条件!$C$8*Z1124,"停止","断続")))</f>
        <v>停止</v>
      </c>
      <c r="AC1124" s="30" t="n">
        <v>60</v>
      </c>
      <c r="AD1124" s="30" t="n">
        <v>42</v>
      </c>
      <c r="AE1124" s="30" t="str">
        <f aca="false">IF(AC1124&lt;判定条件!$C$6,"判定不能",IF(AD1124&gt;=判定条件!$C$7*AC1124,"運転",IF(AD1124&lt;=判定条件!$C$8*AC1124,"停止","断続")))</f>
        <v>断続</v>
      </c>
      <c r="AF1124" s="30" t="n">
        <v>60</v>
      </c>
      <c r="AG1124" s="30" t="n">
        <v>0</v>
      </c>
      <c r="AH1124" s="30" t="str">
        <f aca="false">IF(OR(P1124="判定不能",G1124="判定不能"),"判定不能",IF(AG1124&gt;=判定条件!$C$9,"利用可",IF(AND(P1124="停止",G1124="停止"),"両方停止","運転がそろわない")))</f>
        <v>運転がそろわない</v>
      </c>
      <c r="AI1124" s="30" t="n">
        <v>60</v>
      </c>
      <c r="AJ1124" s="30" t="n">
        <v>4</v>
      </c>
      <c r="AK1124" s="30" t="str">
        <f aca="false">IF(OR(S1124="判定不能",J1124="判定不能"),"判定不能",IF(AJ1124&gt;=判定条件!$C$9,"利用可",IF(AND(S1124="停止",J1124="停止"),"両方停止","運転がそろわない")))</f>
        <v>運転がそろわない</v>
      </c>
      <c r="AL1124" s="30" t="n">
        <v>60</v>
      </c>
      <c r="AM1124" s="30" t="n">
        <v>0</v>
      </c>
      <c r="AN1124" s="30" t="str">
        <f aca="false">IF(OR(V1124="判定不能",M1124="判定不能"),"判定不能",IF(AM1124&gt;=判定条件!$C$9,"利用可",IF(AND(V1124="停止",M1124="停止"),"両方停止","運転がそろわない")))</f>
        <v>運転がそろわない</v>
      </c>
      <c r="AO1124" s="30" t="n">
        <v>60</v>
      </c>
      <c r="AP1124" s="30" t="n">
        <v>56</v>
      </c>
      <c r="AQ1124" s="30" t="str">
        <f aca="false">IF(OR(Y1124="判定不能",G1124="判定不能"),"判定不能",IF(AP1124&gt;=判定条件!$C$9,"利用可",IF(AND(Y1124="停止",G1124="停止"),"両方停止","運転がそろわない")))</f>
        <v>利用可</v>
      </c>
      <c r="AR1124" s="30" t="n">
        <v>60</v>
      </c>
      <c r="AS1124" s="30" t="n">
        <v>0</v>
      </c>
      <c r="AT1124" s="30" t="str">
        <f aca="false">IF(OR(AB1124="判定不能",J1124="判定不能"),"判定不能",IF(AS1124&gt;=判定条件!$C$9,"利用可",IF(AND(AB1124="停止",J1124="停止"),"両方停止","運転がそろわない")))</f>
        <v>運転がそろわない</v>
      </c>
      <c r="AU1124" s="30" t="n">
        <v>60</v>
      </c>
      <c r="AV1124" s="30" t="n">
        <v>42</v>
      </c>
      <c r="AW1124" s="30" t="str">
        <f aca="false">IF(OR(AE1124="判定不能",M1124="判定不能"),"判定不能",IF(AV1124&gt;=判定条件!$C$9,"利用可",IF(AND(AE1124="停止",M1124="停止"),"両方停止","運転がそろわない")))</f>
        <v>利用可</v>
      </c>
      <c r="AX1124" s="30" t="str">
        <f aca="false">IF(AND(AH1124="利用可",AK1124="利用可",AN1124="利用可"),"利用可","不可")</f>
        <v>不可</v>
      </c>
      <c r="AY1124" s="30" t="str">
        <f aca="false">IF(AND(AQ1124="利用可",AT1124="利用可",AW1124="利用可"),"利用可","不可")</f>
        <v>不可</v>
      </c>
    </row>
    <row r="1125" customFormat="false" ht="15" hidden="false" customHeight="false" outlineLevel="0" collapsed="false">
      <c r="A1125" s="29" t="n">
        <v>46278</v>
      </c>
      <c r="B1125" s="30" t="n">
        <v>18</v>
      </c>
      <c r="C1125" s="31" t="s">
        <v>65</v>
      </c>
      <c r="D1125" s="31" t="s">
        <v>64</v>
      </c>
      <c r="E1125" s="30" t="n">
        <v>60</v>
      </c>
      <c r="F1125" s="30" t="n">
        <v>10</v>
      </c>
      <c r="G1125" s="30" t="str">
        <f aca="false">IF(E1125&lt;判定条件!$C$6,"判定不能",IF(F1125&gt;=判定条件!$C$7*E1125,"運転",IF(F1125&lt;=判定条件!$C$8*E1125,"停止","断続")))</f>
        <v>停止</v>
      </c>
      <c r="H1125" s="30" t="n">
        <v>60</v>
      </c>
      <c r="I1125" s="30" t="n">
        <v>7</v>
      </c>
      <c r="J1125" s="30" t="str">
        <f aca="false">IF(H1125&lt;判定条件!$C$6,"判定不能",IF(I1125&gt;=判定条件!$C$7*H1125,"運転",IF(I1125&lt;=判定条件!$C$8*H1125,"停止","断続")))</f>
        <v>停止</v>
      </c>
      <c r="K1125" s="30" t="n">
        <v>60</v>
      </c>
      <c r="L1125" s="30" t="n">
        <v>60</v>
      </c>
      <c r="M1125" s="30" t="str">
        <f aca="false">IF(K1125&lt;判定条件!$C$6,"判定不能",IF(L1125&gt;=判定条件!$C$7*K1125,"運転",IF(L1125&lt;=判定条件!$C$8*K1125,"停止","断続")))</f>
        <v>運転</v>
      </c>
      <c r="N1125" s="30" t="n">
        <v>60</v>
      </c>
      <c r="O1125" s="30" t="n">
        <v>0</v>
      </c>
      <c r="P1125" s="30" t="str">
        <f aca="false">IF(N1125&lt;判定条件!$C$6,"判定不能",IF(O1125&gt;=判定条件!$C$7*N1125,"運転",IF(O1125&lt;=判定条件!$C$8*N1125,"停止","断続")))</f>
        <v>停止</v>
      </c>
      <c r="Q1125" s="30" t="n">
        <v>60</v>
      </c>
      <c r="R1125" s="30" t="n">
        <v>5</v>
      </c>
      <c r="S1125" s="30" t="str">
        <f aca="false">IF(Q1125&lt;判定条件!$C$6,"判定不能",IF(R1125&gt;=判定条件!$C$7*Q1125,"運転",IF(R1125&lt;=判定条件!$C$8*Q1125,"停止","断続")))</f>
        <v>停止</v>
      </c>
      <c r="T1125" s="30" t="n">
        <v>60</v>
      </c>
      <c r="U1125" s="30" t="n">
        <v>0</v>
      </c>
      <c r="V1125" s="30" t="str">
        <f aca="false">IF(T1125&lt;判定条件!$C$6,"判定不能",IF(U1125&gt;=判定条件!$C$7*T1125,"運転",IF(U1125&lt;=判定条件!$C$8*T1125,"停止","断続")))</f>
        <v>停止</v>
      </c>
      <c r="W1125" s="30" t="n">
        <v>60</v>
      </c>
      <c r="X1125" s="30" t="n">
        <v>6</v>
      </c>
      <c r="Y1125" s="30" t="str">
        <f aca="false">IF(W1125&lt;判定条件!$C$6,"判定不能",IF(X1125&gt;=判定条件!$C$7*W1125,"運転",IF(X1125&lt;=判定条件!$C$8*W1125,"停止","断続")))</f>
        <v>停止</v>
      </c>
      <c r="Z1125" s="30" t="n">
        <v>60</v>
      </c>
      <c r="AA1125" s="30" t="n">
        <v>0</v>
      </c>
      <c r="AB1125" s="30" t="str">
        <f aca="false">IF(Z1125&lt;判定条件!$C$6,"判定不能",IF(AA1125&gt;=判定条件!$C$7*Z1125,"運転",IF(AA1125&lt;=判定条件!$C$8*Z1125,"停止","断続")))</f>
        <v>停止</v>
      </c>
      <c r="AC1125" s="30" t="n">
        <v>60</v>
      </c>
      <c r="AD1125" s="30" t="n">
        <v>37</v>
      </c>
      <c r="AE1125" s="30" t="str">
        <f aca="false">IF(AC1125&lt;判定条件!$C$6,"判定不能",IF(AD1125&gt;=判定条件!$C$7*AC1125,"運転",IF(AD1125&lt;=判定条件!$C$8*AC1125,"停止","断続")))</f>
        <v>断続</v>
      </c>
      <c r="AF1125" s="30" t="n">
        <v>60</v>
      </c>
      <c r="AG1125" s="30" t="n">
        <v>0</v>
      </c>
      <c r="AH1125" s="30" t="str">
        <f aca="false">IF(OR(P1125="判定不能",G1125="判定不能"),"判定不能",IF(AG1125&gt;=判定条件!$C$9,"利用可",IF(AND(P1125="停止",G1125="停止"),"両方停止","運転がそろわない")))</f>
        <v>両方停止</v>
      </c>
      <c r="AI1125" s="30" t="n">
        <v>60</v>
      </c>
      <c r="AJ1125" s="30" t="n">
        <v>0</v>
      </c>
      <c r="AK1125" s="30" t="str">
        <f aca="false">IF(OR(S1125="判定不能",J1125="判定不能"),"判定不能",IF(AJ1125&gt;=判定条件!$C$9,"利用可",IF(AND(S1125="停止",J1125="停止"),"両方停止","運転がそろわない")))</f>
        <v>両方停止</v>
      </c>
      <c r="AL1125" s="30" t="n">
        <v>60</v>
      </c>
      <c r="AM1125" s="30" t="n">
        <v>0</v>
      </c>
      <c r="AN1125" s="30" t="str">
        <f aca="false">IF(OR(V1125="判定不能",M1125="判定不能"),"判定不能",IF(AM1125&gt;=判定条件!$C$9,"利用可",IF(AND(V1125="停止",M1125="停止"),"両方停止","運転がそろわない")))</f>
        <v>運転がそろわない</v>
      </c>
      <c r="AO1125" s="30" t="n">
        <v>60</v>
      </c>
      <c r="AP1125" s="30" t="n">
        <v>0</v>
      </c>
      <c r="AQ1125" s="30" t="str">
        <f aca="false">IF(OR(Y1125="判定不能",G1125="判定不能"),"判定不能",IF(AP1125&gt;=判定条件!$C$9,"利用可",IF(AND(Y1125="停止",G1125="停止"),"両方停止","運転がそろわない")))</f>
        <v>両方停止</v>
      </c>
      <c r="AR1125" s="30" t="n">
        <v>60</v>
      </c>
      <c r="AS1125" s="30" t="n">
        <v>0</v>
      </c>
      <c r="AT1125" s="30" t="str">
        <f aca="false">IF(OR(AB1125="判定不能",J1125="判定不能"),"判定不能",IF(AS1125&gt;=判定条件!$C$9,"利用可",IF(AND(AB1125="停止",J1125="停止"),"両方停止","運転がそろわない")))</f>
        <v>両方停止</v>
      </c>
      <c r="AU1125" s="30" t="n">
        <v>60</v>
      </c>
      <c r="AV1125" s="30" t="n">
        <v>37</v>
      </c>
      <c r="AW1125" s="30" t="str">
        <f aca="false">IF(OR(AE1125="判定不能",M1125="判定不能"),"判定不能",IF(AV1125&gt;=判定条件!$C$9,"利用可",IF(AND(AE1125="停止",M1125="停止"),"両方停止","運転がそろわない")))</f>
        <v>利用可</v>
      </c>
      <c r="AX1125" s="30" t="str">
        <f aca="false">IF(AND(AH1125="利用可",AK1125="利用可",AN1125="利用可"),"利用可","不可")</f>
        <v>不可</v>
      </c>
      <c r="AY1125" s="30" t="str">
        <f aca="false">IF(AND(AQ1125="利用可",AT1125="利用可",AW1125="利用可"),"利用可","不可")</f>
        <v>不可</v>
      </c>
    </row>
    <row r="1126" customFormat="false" ht="15" hidden="false" customHeight="false" outlineLevel="0" collapsed="false">
      <c r="A1126" s="29" t="n">
        <v>46278</v>
      </c>
      <c r="B1126" s="30" t="n">
        <v>19</v>
      </c>
      <c r="C1126" s="31" t="s">
        <v>65</v>
      </c>
      <c r="D1126" s="31" t="s">
        <v>64</v>
      </c>
      <c r="E1126" s="30" t="n">
        <v>60</v>
      </c>
      <c r="F1126" s="30" t="n">
        <v>53</v>
      </c>
      <c r="G1126" s="30" t="str">
        <f aca="false">IF(E1126&lt;判定条件!$C$6,"判定不能",IF(F1126&gt;=判定条件!$C$7*E1126,"運転",IF(F1126&lt;=判定条件!$C$8*E1126,"停止","断続")))</f>
        <v>運転</v>
      </c>
      <c r="H1126" s="30" t="n">
        <v>60</v>
      </c>
      <c r="I1126" s="30" t="n">
        <v>55</v>
      </c>
      <c r="J1126" s="30" t="str">
        <f aca="false">IF(H1126&lt;判定条件!$C$6,"判定不能",IF(I1126&gt;=判定条件!$C$7*H1126,"運転",IF(I1126&lt;=判定条件!$C$8*H1126,"停止","断続")))</f>
        <v>運転</v>
      </c>
      <c r="K1126" s="30" t="n">
        <v>60</v>
      </c>
      <c r="L1126" s="30" t="n">
        <v>60</v>
      </c>
      <c r="M1126" s="30" t="str">
        <f aca="false">IF(K1126&lt;判定条件!$C$6,"判定不能",IF(L1126&gt;=判定条件!$C$7*K1126,"運転",IF(L1126&lt;=判定条件!$C$8*K1126,"停止","断続")))</f>
        <v>運転</v>
      </c>
      <c r="N1126" s="30" t="n">
        <v>60</v>
      </c>
      <c r="O1126" s="30" t="n">
        <v>0</v>
      </c>
      <c r="P1126" s="30" t="str">
        <f aca="false">IF(N1126&lt;判定条件!$C$6,"判定不能",IF(O1126&gt;=判定条件!$C$7*N1126,"運転",IF(O1126&lt;=判定条件!$C$8*N1126,"停止","断続")))</f>
        <v>停止</v>
      </c>
      <c r="Q1126" s="30" t="n">
        <v>60</v>
      </c>
      <c r="R1126" s="30" t="n">
        <v>0</v>
      </c>
      <c r="S1126" s="30" t="str">
        <f aca="false">IF(Q1126&lt;判定条件!$C$6,"判定不能",IF(R1126&gt;=判定条件!$C$7*Q1126,"運転",IF(R1126&lt;=判定条件!$C$8*Q1126,"停止","断続")))</f>
        <v>停止</v>
      </c>
      <c r="T1126" s="30" t="n">
        <v>60</v>
      </c>
      <c r="U1126" s="30" t="n">
        <v>0</v>
      </c>
      <c r="V1126" s="30" t="str">
        <f aca="false">IF(T1126&lt;判定条件!$C$6,"判定不能",IF(U1126&gt;=判定条件!$C$7*T1126,"運転",IF(U1126&lt;=判定条件!$C$8*T1126,"停止","断続")))</f>
        <v>停止</v>
      </c>
      <c r="W1126" s="30" t="n">
        <v>60</v>
      </c>
      <c r="X1126" s="30" t="n">
        <v>0</v>
      </c>
      <c r="Y1126" s="30" t="str">
        <f aca="false">IF(W1126&lt;判定条件!$C$6,"判定不能",IF(X1126&gt;=判定条件!$C$7*W1126,"運転",IF(X1126&lt;=判定条件!$C$8*W1126,"停止","断続")))</f>
        <v>停止</v>
      </c>
      <c r="Z1126" s="30" t="n">
        <v>60</v>
      </c>
      <c r="AA1126" s="30" t="n">
        <v>0</v>
      </c>
      <c r="AB1126" s="30" t="str">
        <f aca="false">IF(Z1126&lt;判定条件!$C$6,"判定不能",IF(AA1126&gt;=判定条件!$C$7*Z1126,"運転",IF(AA1126&lt;=判定条件!$C$8*Z1126,"停止","断続")))</f>
        <v>停止</v>
      </c>
      <c r="AC1126" s="30" t="n">
        <v>60</v>
      </c>
      <c r="AD1126" s="30" t="n">
        <v>0</v>
      </c>
      <c r="AE1126" s="30" t="str">
        <f aca="false">IF(AC1126&lt;判定条件!$C$6,"判定不能",IF(AD1126&gt;=判定条件!$C$7*AC1126,"運転",IF(AD1126&lt;=判定条件!$C$8*AC1126,"停止","断続")))</f>
        <v>停止</v>
      </c>
      <c r="AF1126" s="30" t="n">
        <v>60</v>
      </c>
      <c r="AG1126" s="30" t="n">
        <v>0</v>
      </c>
      <c r="AH1126" s="30" t="str">
        <f aca="false">IF(OR(P1126="判定不能",G1126="判定不能"),"判定不能",IF(AG1126&gt;=判定条件!$C$9,"利用可",IF(AND(P1126="停止",G1126="停止"),"両方停止","運転がそろわない")))</f>
        <v>運転がそろわない</v>
      </c>
      <c r="AI1126" s="30" t="n">
        <v>60</v>
      </c>
      <c r="AJ1126" s="30" t="n">
        <v>0</v>
      </c>
      <c r="AK1126" s="30" t="str">
        <f aca="false">IF(OR(S1126="判定不能",J1126="判定不能"),"判定不能",IF(AJ1126&gt;=判定条件!$C$9,"利用可",IF(AND(S1126="停止",J1126="停止"),"両方停止","運転がそろわない")))</f>
        <v>運転がそろわない</v>
      </c>
      <c r="AL1126" s="30" t="n">
        <v>60</v>
      </c>
      <c r="AM1126" s="30" t="n">
        <v>0</v>
      </c>
      <c r="AN1126" s="30" t="str">
        <f aca="false">IF(OR(V1126="判定不能",M1126="判定不能"),"判定不能",IF(AM1126&gt;=判定条件!$C$9,"利用可",IF(AND(V1126="停止",M1126="停止"),"両方停止","運転がそろわない")))</f>
        <v>運転がそろわない</v>
      </c>
      <c r="AO1126" s="30" t="n">
        <v>60</v>
      </c>
      <c r="AP1126" s="30" t="n">
        <v>0</v>
      </c>
      <c r="AQ1126" s="30" t="str">
        <f aca="false">IF(OR(Y1126="判定不能",G1126="判定不能"),"判定不能",IF(AP1126&gt;=判定条件!$C$9,"利用可",IF(AND(Y1126="停止",G1126="停止"),"両方停止","運転がそろわない")))</f>
        <v>運転がそろわない</v>
      </c>
      <c r="AR1126" s="30" t="n">
        <v>60</v>
      </c>
      <c r="AS1126" s="30" t="n">
        <v>0</v>
      </c>
      <c r="AT1126" s="30" t="str">
        <f aca="false">IF(OR(AB1126="判定不能",J1126="判定不能"),"判定不能",IF(AS1126&gt;=判定条件!$C$9,"利用可",IF(AND(AB1126="停止",J1126="停止"),"両方停止","運転がそろわない")))</f>
        <v>運転がそろわない</v>
      </c>
      <c r="AU1126" s="30" t="n">
        <v>60</v>
      </c>
      <c r="AV1126" s="30" t="n">
        <v>0</v>
      </c>
      <c r="AW1126" s="30" t="str">
        <f aca="false">IF(OR(AE1126="判定不能",M1126="判定不能"),"判定不能",IF(AV1126&gt;=判定条件!$C$9,"利用可",IF(AND(AE1126="停止",M1126="停止"),"両方停止","運転がそろわない")))</f>
        <v>運転がそろわない</v>
      </c>
      <c r="AX1126" s="30" t="str">
        <f aca="false">IF(AND(AH1126="利用可",AK1126="利用可",AN1126="利用可"),"利用可","不可")</f>
        <v>不可</v>
      </c>
      <c r="AY1126" s="30" t="str">
        <f aca="false">IF(AND(AQ1126="利用可",AT1126="利用可",AW1126="利用可"),"利用可","不可")</f>
        <v>不可</v>
      </c>
    </row>
    <row r="1127" customFormat="false" ht="15" hidden="false" customHeight="false" outlineLevel="0" collapsed="false">
      <c r="A1127" s="29" t="n">
        <v>46278</v>
      </c>
      <c r="B1127" s="30" t="n">
        <v>20</v>
      </c>
      <c r="C1127" s="31" t="s">
        <v>65</v>
      </c>
      <c r="D1127" s="31" t="s">
        <v>64</v>
      </c>
      <c r="E1127" s="30" t="n">
        <v>60</v>
      </c>
      <c r="F1127" s="30" t="n">
        <v>46</v>
      </c>
      <c r="G1127" s="30" t="str">
        <f aca="false">IF(E1127&lt;判定条件!$C$6,"判定不能",IF(F1127&gt;=判定条件!$C$7*E1127,"運転",IF(F1127&lt;=判定条件!$C$8*E1127,"停止","断続")))</f>
        <v>断続</v>
      </c>
      <c r="H1127" s="30" t="n">
        <v>60</v>
      </c>
      <c r="I1127" s="30" t="n">
        <v>35</v>
      </c>
      <c r="J1127" s="30" t="str">
        <f aca="false">IF(H1127&lt;判定条件!$C$6,"判定不能",IF(I1127&gt;=判定条件!$C$7*H1127,"運転",IF(I1127&lt;=判定条件!$C$8*H1127,"停止","断続")))</f>
        <v>断続</v>
      </c>
      <c r="K1127" s="30" t="n">
        <v>60</v>
      </c>
      <c r="L1127" s="30" t="n">
        <v>47</v>
      </c>
      <c r="M1127" s="30" t="str">
        <f aca="false">IF(K1127&lt;判定条件!$C$6,"判定不能",IF(L1127&gt;=判定条件!$C$7*K1127,"運転",IF(L1127&lt;=判定条件!$C$8*K1127,"停止","断続")))</f>
        <v>断続</v>
      </c>
      <c r="N1127" s="30" t="n">
        <v>60</v>
      </c>
      <c r="O1127" s="30" t="n">
        <v>0</v>
      </c>
      <c r="P1127" s="30" t="str">
        <f aca="false">IF(N1127&lt;判定条件!$C$6,"判定不能",IF(O1127&gt;=判定条件!$C$7*N1127,"運転",IF(O1127&lt;=判定条件!$C$8*N1127,"停止","断続")))</f>
        <v>停止</v>
      </c>
      <c r="Q1127" s="30" t="n">
        <v>60</v>
      </c>
      <c r="R1127" s="30" t="n">
        <v>0</v>
      </c>
      <c r="S1127" s="30" t="str">
        <f aca="false">IF(Q1127&lt;判定条件!$C$6,"判定不能",IF(R1127&gt;=判定条件!$C$7*Q1127,"運転",IF(R1127&lt;=判定条件!$C$8*Q1127,"停止","断続")))</f>
        <v>停止</v>
      </c>
      <c r="T1127" s="30" t="n">
        <v>60</v>
      </c>
      <c r="U1127" s="30" t="n">
        <v>0</v>
      </c>
      <c r="V1127" s="30" t="str">
        <f aca="false">IF(T1127&lt;判定条件!$C$6,"判定不能",IF(U1127&gt;=判定条件!$C$7*T1127,"運転",IF(U1127&lt;=判定条件!$C$8*T1127,"停止","断続")))</f>
        <v>停止</v>
      </c>
      <c r="W1127" s="30" t="n">
        <v>60</v>
      </c>
      <c r="X1127" s="30" t="n">
        <v>0</v>
      </c>
      <c r="Y1127" s="30" t="str">
        <f aca="false">IF(W1127&lt;判定条件!$C$6,"判定不能",IF(X1127&gt;=判定条件!$C$7*W1127,"運転",IF(X1127&lt;=判定条件!$C$8*W1127,"停止","断続")))</f>
        <v>停止</v>
      </c>
      <c r="Z1127" s="30" t="n">
        <v>60</v>
      </c>
      <c r="AA1127" s="30" t="n">
        <v>0</v>
      </c>
      <c r="AB1127" s="30" t="str">
        <f aca="false">IF(Z1127&lt;判定条件!$C$6,"判定不能",IF(AA1127&gt;=判定条件!$C$7*Z1127,"運転",IF(AA1127&lt;=判定条件!$C$8*Z1127,"停止","断続")))</f>
        <v>停止</v>
      </c>
      <c r="AC1127" s="30" t="n">
        <v>60</v>
      </c>
      <c r="AD1127" s="30" t="n">
        <v>0</v>
      </c>
      <c r="AE1127" s="30" t="str">
        <f aca="false">IF(AC1127&lt;判定条件!$C$6,"判定不能",IF(AD1127&gt;=判定条件!$C$7*AC1127,"運転",IF(AD1127&lt;=判定条件!$C$8*AC1127,"停止","断続")))</f>
        <v>停止</v>
      </c>
      <c r="AF1127" s="30" t="n">
        <v>60</v>
      </c>
      <c r="AG1127" s="30" t="n">
        <v>0</v>
      </c>
      <c r="AH1127" s="30" t="str">
        <f aca="false">IF(OR(P1127="判定不能",G1127="判定不能"),"判定不能",IF(AG1127&gt;=判定条件!$C$9,"利用可",IF(AND(P1127="停止",G1127="停止"),"両方停止","運転がそろわない")))</f>
        <v>運転がそろわない</v>
      </c>
      <c r="AI1127" s="30" t="n">
        <v>60</v>
      </c>
      <c r="AJ1127" s="30" t="n">
        <v>0</v>
      </c>
      <c r="AK1127" s="30" t="str">
        <f aca="false">IF(OR(S1127="判定不能",J1127="判定不能"),"判定不能",IF(AJ1127&gt;=判定条件!$C$9,"利用可",IF(AND(S1127="停止",J1127="停止"),"両方停止","運転がそろわない")))</f>
        <v>運転がそろわない</v>
      </c>
      <c r="AL1127" s="30" t="n">
        <v>60</v>
      </c>
      <c r="AM1127" s="30" t="n">
        <v>0</v>
      </c>
      <c r="AN1127" s="30" t="str">
        <f aca="false">IF(OR(V1127="判定不能",M1127="判定不能"),"判定不能",IF(AM1127&gt;=判定条件!$C$9,"利用可",IF(AND(V1127="停止",M1127="停止"),"両方停止","運転がそろわない")))</f>
        <v>運転がそろわない</v>
      </c>
      <c r="AO1127" s="30" t="n">
        <v>60</v>
      </c>
      <c r="AP1127" s="30" t="n">
        <v>0</v>
      </c>
      <c r="AQ1127" s="30" t="str">
        <f aca="false">IF(OR(Y1127="判定不能",G1127="判定不能"),"判定不能",IF(AP1127&gt;=判定条件!$C$9,"利用可",IF(AND(Y1127="停止",G1127="停止"),"両方停止","運転がそろわない")))</f>
        <v>運転がそろわない</v>
      </c>
      <c r="AR1127" s="30" t="n">
        <v>60</v>
      </c>
      <c r="AS1127" s="30" t="n">
        <v>0</v>
      </c>
      <c r="AT1127" s="30" t="str">
        <f aca="false">IF(OR(AB1127="判定不能",J1127="判定不能"),"判定不能",IF(AS1127&gt;=判定条件!$C$9,"利用可",IF(AND(AB1127="停止",J1127="停止"),"両方停止","運転がそろわない")))</f>
        <v>運転がそろわない</v>
      </c>
      <c r="AU1127" s="30" t="n">
        <v>60</v>
      </c>
      <c r="AV1127" s="30" t="n">
        <v>0</v>
      </c>
      <c r="AW1127" s="30" t="str">
        <f aca="false">IF(OR(AE1127="判定不能",M1127="判定不能"),"判定不能",IF(AV1127&gt;=判定条件!$C$9,"利用可",IF(AND(AE1127="停止",M1127="停止"),"両方停止","運転がそろわない")))</f>
        <v>運転がそろわない</v>
      </c>
      <c r="AX1127" s="30" t="str">
        <f aca="false">IF(AND(AH1127="利用可",AK1127="利用可",AN1127="利用可"),"利用可","不可")</f>
        <v>不可</v>
      </c>
      <c r="AY1127" s="30" t="str">
        <f aca="false">IF(AND(AQ1127="利用可",AT1127="利用可",AW1127="利用可"),"利用可","不可")</f>
        <v>不可</v>
      </c>
    </row>
    <row r="1128" customFormat="false" ht="15" hidden="false" customHeight="false" outlineLevel="0" collapsed="false">
      <c r="A1128" s="29" t="n">
        <v>46278</v>
      </c>
      <c r="B1128" s="30" t="n">
        <v>21</v>
      </c>
      <c r="C1128" s="31" t="s">
        <v>65</v>
      </c>
      <c r="D1128" s="31" t="s">
        <v>64</v>
      </c>
      <c r="E1128" s="30" t="n">
        <v>60</v>
      </c>
      <c r="F1128" s="30" t="n">
        <v>0</v>
      </c>
      <c r="G1128" s="30" t="str">
        <f aca="false">IF(E1128&lt;判定条件!$C$6,"判定不能",IF(F1128&gt;=判定条件!$C$7*E1128,"運転",IF(F1128&lt;=判定条件!$C$8*E1128,"停止","断続")))</f>
        <v>停止</v>
      </c>
      <c r="H1128" s="30" t="n">
        <v>60</v>
      </c>
      <c r="I1128" s="30" t="n">
        <v>0</v>
      </c>
      <c r="J1128" s="30" t="str">
        <f aca="false">IF(H1128&lt;判定条件!$C$6,"判定不能",IF(I1128&gt;=判定条件!$C$7*H1128,"運転",IF(I1128&lt;=判定条件!$C$8*H1128,"停止","断続")))</f>
        <v>停止</v>
      </c>
      <c r="K1128" s="30" t="n">
        <v>60</v>
      </c>
      <c r="L1128" s="30" t="n">
        <v>0</v>
      </c>
      <c r="M1128" s="30" t="str">
        <f aca="false">IF(K1128&lt;判定条件!$C$6,"判定不能",IF(L1128&gt;=判定条件!$C$7*K1128,"運転",IF(L1128&lt;=判定条件!$C$8*K1128,"停止","断続")))</f>
        <v>停止</v>
      </c>
      <c r="N1128" s="30" t="n">
        <v>60</v>
      </c>
      <c r="O1128" s="30" t="n">
        <v>0</v>
      </c>
      <c r="P1128" s="30" t="str">
        <f aca="false">IF(N1128&lt;判定条件!$C$6,"判定不能",IF(O1128&gt;=判定条件!$C$7*N1128,"運転",IF(O1128&lt;=判定条件!$C$8*N1128,"停止","断続")))</f>
        <v>停止</v>
      </c>
      <c r="Q1128" s="30" t="n">
        <v>60</v>
      </c>
      <c r="R1128" s="30" t="n">
        <v>0</v>
      </c>
      <c r="S1128" s="30" t="str">
        <f aca="false">IF(Q1128&lt;判定条件!$C$6,"判定不能",IF(R1128&gt;=判定条件!$C$7*Q1128,"運転",IF(R1128&lt;=判定条件!$C$8*Q1128,"停止","断続")))</f>
        <v>停止</v>
      </c>
      <c r="T1128" s="30" t="n">
        <v>60</v>
      </c>
      <c r="U1128" s="30" t="n">
        <v>0</v>
      </c>
      <c r="V1128" s="30" t="str">
        <f aca="false">IF(T1128&lt;判定条件!$C$6,"判定不能",IF(U1128&gt;=判定条件!$C$7*T1128,"運転",IF(U1128&lt;=判定条件!$C$8*T1128,"停止","断続")))</f>
        <v>停止</v>
      </c>
      <c r="W1128" s="30" t="n">
        <v>60</v>
      </c>
      <c r="X1128" s="30" t="n">
        <v>0</v>
      </c>
      <c r="Y1128" s="30" t="str">
        <f aca="false">IF(W1128&lt;判定条件!$C$6,"判定不能",IF(X1128&gt;=判定条件!$C$7*W1128,"運転",IF(X1128&lt;=判定条件!$C$8*W1128,"停止","断続")))</f>
        <v>停止</v>
      </c>
      <c r="Z1128" s="30" t="n">
        <v>60</v>
      </c>
      <c r="AA1128" s="30" t="n">
        <v>0</v>
      </c>
      <c r="AB1128" s="30" t="str">
        <f aca="false">IF(Z1128&lt;判定条件!$C$6,"判定不能",IF(AA1128&gt;=判定条件!$C$7*Z1128,"運転",IF(AA1128&lt;=判定条件!$C$8*Z1128,"停止","断続")))</f>
        <v>停止</v>
      </c>
      <c r="AC1128" s="30" t="n">
        <v>60</v>
      </c>
      <c r="AD1128" s="30" t="n">
        <v>0</v>
      </c>
      <c r="AE1128" s="30" t="str">
        <f aca="false">IF(AC1128&lt;判定条件!$C$6,"判定不能",IF(AD1128&gt;=判定条件!$C$7*AC1128,"運転",IF(AD1128&lt;=判定条件!$C$8*AC1128,"停止","断続")))</f>
        <v>停止</v>
      </c>
      <c r="AF1128" s="30" t="n">
        <v>60</v>
      </c>
      <c r="AG1128" s="30" t="n">
        <v>0</v>
      </c>
      <c r="AH1128" s="30" t="str">
        <f aca="false">IF(OR(P1128="判定不能",G1128="判定不能"),"判定不能",IF(AG1128&gt;=判定条件!$C$9,"利用可",IF(AND(P1128="停止",G1128="停止"),"両方停止","運転がそろわない")))</f>
        <v>両方停止</v>
      </c>
      <c r="AI1128" s="30" t="n">
        <v>60</v>
      </c>
      <c r="AJ1128" s="30" t="n">
        <v>0</v>
      </c>
      <c r="AK1128" s="30" t="str">
        <f aca="false">IF(OR(S1128="判定不能",J1128="判定不能"),"判定不能",IF(AJ1128&gt;=判定条件!$C$9,"利用可",IF(AND(S1128="停止",J1128="停止"),"両方停止","運転がそろわない")))</f>
        <v>両方停止</v>
      </c>
      <c r="AL1128" s="30" t="n">
        <v>60</v>
      </c>
      <c r="AM1128" s="30" t="n">
        <v>0</v>
      </c>
      <c r="AN1128" s="30" t="str">
        <f aca="false">IF(OR(V1128="判定不能",M1128="判定不能"),"判定不能",IF(AM1128&gt;=判定条件!$C$9,"利用可",IF(AND(V1128="停止",M1128="停止"),"両方停止","運転がそろわない")))</f>
        <v>両方停止</v>
      </c>
      <c r="AO1128" s="30" t="n">
        <v>60</v>
      </c>
      <c r="AP1128" s="30" t="n">
        <v>0</v>
      </c>
      <c r="AQ1128" s="30" t="str">
        <f aca="false">IF(OR(Y1128="判定不能",G1128="判定不能"),"判定不能",IF(AP1128&gt;=判定条件!$C$9,"利用可",IF(AND(Y1128="停止",G1128="停止"),"両方停止","運転がそろわない")))</f>
        <v>両方停止</v>
      </c>
      <c r="AR1128" s="30" t="n">
        <v>60</v>
      </c>
      <c r="AS1128" s="30" t="n">
        <v>0</v>
      </c>
      <c r="AT1128" s="30" t="str">
        <f aca="false">IF(OR(AB1128="判定不能",J1128="判定不能"),"判定不能",IF(AS1128&gt;=判定条件!$C$9,"利用可",IF(AND(AB1128="停止",J1128="停止"),"両方停止","運転がそろわない")))</f>
        <v>両方停止</v>
      </c>
      <c r="AU1128" s="30" t="n">
        <v>60</v>
      </c>
      <c r="AV1128" s="30" t="n">
        <v>0</v>
      </c>
      <c r="AW1128" s="30" t="str">
        <f aca="false">IF(OR(AE1128="判定不能",M1128="判定不能"),"判定不能",IF(AV1128&gt;=判定条件!$C$9,"利用可",IF(AND(AE1128="停止",M1128="停止"),"両方停止","運転がそろわない")))</f>
        <v>両方停止</v>
      </c>
      <c r="AX1128" s="30" t="str">
        <f aca="false">IF(AND(AH1128="利用可",AK1128="利用可",AN1128="利用可"),"利用可","不可")</f>
        <v>不可</v>
      </c>
      <c r="AY1128" s="30" t="str">
        <f aca="false">IF(AND(AQ1128="利用可",AT1128="利用可",AW1128="利用可"),"利用可","不可")</f>
        <v>不可</v>
      </c>
    </row>
    <row r="1129" customFormat="false" ht="15" hidden="false" customHeight="false" outlineLevel="0" collapsed="false">
      <c r="A1129" s="29" t="n">
        <v>46278</v>
      </c>
      <c r="B1129" s="30" t="n">
        <v>22</v>
      </c>
      <c r="C1129" s="31" t="s">
        <v>65</v>
      </c>
      <c r="D1129" s="31" t="s">
        <v>64</v>
      </c>
      <c r="E1129" s="30" t="n">
        <v>60</v>
      </c>
      <c r="F1129" s="30" t="n">
        <v>0</v>
      </c>
      <c r="G1129" s="30" t="str">
        <f aca="false">IF(E1129&lt;判定条件!$C$6,"判定不能",IF(F1129&gt;=判定条件!$C$7*E1129,"運転",IF(F1129&lt;=判定条件!$C$8*E1129,"停止","断続")))</f>
        <v>停止</v>
      </c>
      <c r="H1129" s="30" t="n">
        <v>60</v>
      </c>
      <c r="I1129" s="30" t="n">
        <v>0</v>
      </c>
      <c r="J1129" s="30" t="str">
        <f aca="false">IF(H1129&lt;判定条件!$C$6,"判定不能",IF(I1129&gt;=判定条件!$C$7*H1129,"運転",IF(I1129&lt;=判定条件!$C$8*H1129,"停止","断続")))</f>
        <v>停止</v>
      </c>
      <c r="K1129" s="30" t="n">
        <v>60</v>
      </c>
      <c r="L1129" s="30" t="n">
        <v>0</v>
      </c>
      <c r="M1129" s="30" t="str">
        <f aca="false">IF(K1129&lt;判定条件!$C$6,"判定不能",IF(L1129&gt;=判定条件!$C$7*K1129,"運転",IF(L1129&lt;=判定条件!$C$8*K1129,"停止","断続")))</f>
        <v>停止</v>
      </c>
      <c r="N1129" s="30" t="n">
        <v>60</v>
      </c>
      <c r="O1129" s="30" t="n">
        <v>0</v>
      </c>
      <c r="P1129" s="30" t="str">
        <f aca="false">IF(N1129&lt;判定条件!$C$6,"判定不能",IF(O1129&gt;=判定条件!$C$7*N1129,"運転",IF(O1129&lt;=判定条件!$C$8*N1129,"停止","断続")))</f>
        <v>停止</v>
      </c>
      <c r="Q1129" s="30" t="n">
        <v>60</v>
      </c>
      <c r="R1129" s="30" t="n">
        <v>0</v>
      </c>
      <c r="S1129" s="30" t="str">
        <f aca="false">IF(Q1129&lt;判定条件!$C$6,"判定不能",IF(R1129&gt;=判定条件!$C$7*Q1129,"運転",IF(R1129&lt;=判定条件!$C$8*Q1129,"停止","断続")))</f>
        <v>停止</v>
      </c>
      <c r="T1129" s="30" t="n">
        <v>60</v>
      </c>
      <c r="U1129" s="30" t="n">
        <v>0</v>
      </c>
      <c r="V1129" s="30" t="str">
        <f aca="false">IF(T1129&lt;判定条件!$C$6,"判定不能",IF(U1129&gt;=判定条件!$C$7*T1129,"運転",IF(U1129&lt;=判定条件!$C$8*T1129,"停止","断続")))</f>
        <v>停止</v>
      </c>
      <c r="W1129" s="30" t="n">
        <v>60</v>
      </c>
      <c r="X1129" s="30" t="n">
        <v>0</v>
      </c>
      <c r="Y1129" s="30" t="str">
        <f aca="false">IF(W1129&lt;判定条件!$C$6,"判定不能",IF(X1129&gt;=判定条件!$C$7*W1129,"運転",IF(X1129&lt;=判定条件!$C$8*W1129,"停止","断続")))</f>
        <v>停止</v>
      </c>
      <c r="Z1129" s="30" t="n">
        <v>60</v>
      </c>
      <c r="AA1129" s="30" t="n">
        <v>0</v>
      </c>
      <c r="AB1129" s="30" t="str">
        <f aca="false">IF(Z1129&lt;判定条件!$C$6,"判定不能",IF(AA1129&gt;=判定条件!$C$7*Z1129,"運転",IF(AA1129&lt;=判定条件!$C$8*Z1129,"停止","断続")))</f>
        <v>停止</v>
      </c>
      <c r="AC1129" s="30" t="n">
        <v>60</v>
      </c>
      <c r="AD1129" s="30" t="n">
        <v>0</v>
      </c>
      <c r="AE1129" s="30" t="str">
        <f aca="false">IF(AC1129&lt;判定条件!$C$6,"判定不能",IF(AD1129&gt;=判定条件!$C$7*AC1129,"運転",IF(AD1129&lt;=判定条件!$C$8*AC1129,"停止","断続")))</f>
        <v>停止</v>
      </c>
      <c r="AF1129" s="30" t="n">
        <v>60</v>
      </c>
      <c r="AG1129" s="30" t="n">
        <v>0</v>
      </c>
      <c r="AH1129" s="30" t="str">
        <f aca="false">IF(OR(P1129="判定不能",G1129="判定不能"),"判定不能",IF(AG1129&gt;=判定条件!$C$9,"利用可",IF(AND(P1129="停止",G1129="停止"),"両方停止","運転がそろわない")))</f>
        <v>両方停止</v>
      </c>
      <c r="AI1129" s="30" t="n">
        <v>60</v>
      </c>
      <c r="AJ1129" s="30" t="n">
        <v>0</v>
      </c>
      <c r="AK1129" s="30" t="str">
        <f aca="false">IF(OR(S1129="判定不能",J1129="判定不能"),"判定不能",IF(AJ1129&gt;=判定条件!$C$9,"利用可",IF(AND(S1129="停止",J1129="停止"),"両方停止","運転がそろわない")))</f>
        <v>両方停止</v>
      </c>
      <c r="AL1129" s="30" t="n">
        <v>60</v>
      </c>
      <c r="AM1129" s="30" t="n">
        <v>0</v>
      </c>
      <c r="AN1129" s="30" t="str">
        <f aca="false">IF(OR(V1129="判定不能",M1129="判定不能"),"判定不能",IF(AM1129&gt;=判定条件!$C$9,"利用可",IF(AND(V1129="停止",M1129="停止"),"両方停止","運転がそろわない")))</f>
        <v>両方停止</v>
      </c>
      <c r="AO1129" s="30" t="n">
        <v>60</v>
      </c>
      <c r="AP1129" s="30" t="n">
        <v>0</v>
      </c>
      <c r="AQ1129" s="30" t="str">
        <f aca="false">IF(OR(Y1129="判定不能",G1129="判定不能"),"判定不能",IF(AP1129&gt;=判定条件!$C$9,"利用可",IF(AND(Y1129="停止",G1129="停止"),"両方停止","運転がそろわない")))</f>
        <v>両方停止</v>
      </c>
      <c r="AR1129" s="30" t="n">
        <v>60</v>
      </c>
      <c r="AS1129" s="30" t="n">
        <v>0</v>
      </c>
      <c r="AT1129" s="30" t="str">
        <f aca="false">IF(OR(AB1129="判定不能",J1129="判定不能"),"判定不能",IF(AS1129&gt;=判定条件!$C$9,"利用可",IF(AND(AB1129="停止",J1129="停止"),"両方停止","運転がそろわない")))</f>
        <v>両方停止</v>
      </c>
      <c r="AU1129" s="30" t="n">
        <v>60</v>
      </c>
      <c r="AV1129" s="30" t="n">
        <v>0</v>
      </c>
      <c r="AW1129" s="30" t="str">
        <f aca="false">IF(OR(AE1129="判定不能",M1129="判定不能"),"判定不能",IF(AV1129&gt;=判定条件!$C$9,"利用可",IF(AND(AE1129="停止",M1129="停止"),"両方停止","運転がそろわない")))</f>
        <v>両方停止</v>
      </c>
      <c r="AX1129" s="30" t="str">
        <f aca="false">IF(AND(AH1129="利用可",AK1129="利用可",AN1129="利用可"),"利用可","不可")</f>
        <v>不可</v>
      </c>
      <c r="AY1129" s="30" t="str">
        <f aca="false">IF(AND(AQ1129="利用可",AT1129="利用可",AW1129="利用可"),"利用可","不可")</f>
        <v>不可</v>
      </c>
    </row>
    <row r="1130" customFormat="false" ht="15" hidden="false" customHeight="false" outlineLevel="0" collapsed="false">
      <c r="A1130" s="29" t="n">
        <v>46278</v>
      </c>
      <c r="B1130" s="30" t="n">
        <v>23</v>
      </c>
      <c r="C1130" s="31" t="s">
        <v>65</v>
      </c>
      <c r="D1130" s="31" t="s">
        <v>64</v>
      </c>
      <c r="E1130" s="30" t="n">
        <v>60</v>
      </c>
      <c r="F1130" s="30" t="n">
        <v>0</v>
      </c>
      <c r="G1130" s="30" t="str">
        <f aca="false">IF(E1130&lt;判定条件!$C$6,"判定不能",IF(F1130&gt;=判定条件!$C$7*E1130,"運転",IF(F1130&lt;=判定条件!$C$8*E1130,"停止","断続")))</f>
        <v>停止</v>
      </c>
      <c r="H1130" s="30" t="n">
        <v>60</v>
      </c>
      <c r="I1130" s="30" t="n">
        <v>0</v>
      </c>
      <c r="J1130" s="30" t="str">
        <f aca="false">IF(H1130&lt;判定条件!$C$6,"判定不能",IF(I1130&gt;=判定条件!$C$7*H1130,"運転",IF(I1130&lt;=判定条件!$C$8*H1130,"停止","断続")))</f>
        <v>停止</v>
      </c>
      <c r="K1130" s="30" t="n">
        <v>60</v>
      </c>
      <c r="L1130" s="30" t="n">
        <v>0</v>
      </c>
      <c r="M1130" s="30" t="str">
        <f aca="false">IF(K1130&lt;判定条件!$C$6,"判定不能",IF(L1130&gt;=判定条件!$C$7*K1130,"運転",IF(L1130&lt;=判定条件!$C$8*K1130,"停止","断続")))</f>
        <v>停止</v>
      </c>
      <c r="N1130" s="30" t="n">
        <v>60</v>
      </c>
      <c r="O1130" s="30" t="n">
        <v>0</v>
      </c>
      <c r="P1130" s="30" t="str">
        <f aca="false">IF(N1130&lt;判定条件!$C$6,"判定不能",IF(O1130&gt;=判定条件!$C$7*N1130,"運転",IF(O1130&lt;=判定条件!$C$8*N1130,"停止","断続")))</f>
        <v>停止</v>
      </c>
      <c r="Q1130" s="30" t="n">
        <v>60</v>
      </c>
      <c r="R1130" s="30" t="n">
        <v>0</v>
      </c>
      <c r="S1130" s="30" t="str">
        <f aca="false">IF(Q1130&lt;判定条件!$C$6,"判定不能",IF(R1130&gt;=判定条件!$C$7*Q1130,"運転",IF(R1130&lt;=判定条件!$C$8*Q1130,"停止","断続")))</f>
        <v>停止</v>
      </c>
      <c r="T1130" s="30" t="n">
        <v>60</v>
      </c>
      <c r="U1130" s="30" t="n">
        <v>0</v>
      </c>
      <c r="V1130" s="30" t="str">
        <f aca="false">IF(T1130&lt;判定条件!$C$6,"判定不能",IF(U1130&gt;=判定条件!$C$7*T1130,"運転",IF(U1130&lt;=判定条件!$C$8*T1130,"停止","断続")))</f>
        <v>停止</v>
      </c>
      <c r="W1130" s="30" t="n">
        <v>60</v>
      </c>
      <c r="X1130" s="30" t="n">
        <v>0</v>
      </c>
      <c r="Y1130" s="30" t="str">
        <f aca="false">IF(W1130&lt;判定条件!$C$6,"判定不能",IF(X1130&gt;=判定条件!$C$7*W1130,"運転",IF(X1130&lt;=判定条件!$C$8*W1130,"停止","断続")))</f>
        <v>停止</v>
      </c>
      <c r="Z1130" s="30" t="n">
        <v>60</v>
      </c>
      <c r="AA1130" s="30" t="n">
        <v>0</v>
      </c>
      <c r="AB1130" s="30" t="str">
        <f aca="false">IF(Z1130&lt;判定条件!$C$6,"判定不能",IF(AA1130&gt;=判定条件!$C$7*Z1130,"運転",IF(AA1130&lt;=判定条件!$C$8*Z1130,"停止","断続")))</f>
        <v>停止</v>
      </c>
      <c r="AC1130" s="30" t="n">
        <v>60</v>
      </c>
      <c r="AD1130" s="30" t="n">
        <v>0</v>
      </c>
      <c r="AE1130" s="30" t="str">
        <f aca="false">IF(AC1130&lt;判定条件!$C$6,"判定不能",IF(AD1130&gt;=判定条件!$C$7*AC1130,"運転",IF(AD1130&lt;=判定条件!$C$8*AC1130,"停止","断続")))</f>
        <v>停止</v>
      </c>
      <c r="AF1130" s="30" t="n">
        <v>60</v>
      </c>
      <c r="AG1130" s="30" t="n">
        <v>0</v>
      </c>
      <c r="AH1130" s="30" t="str">
        <f aca="false">IF(OR(P1130="判定不能",G1130="判定不能"),"判定不能",IF(AG1130&gt;=判定条件!$C$9,"利用可",IF(AND(P1130="停止",G1130="停止"),"両方停止","運転がそろわない")))</f>
        <v>両方停止</v>
      </c>
      <c r="AI1130" s="30" t="n">
        <v>60</v>
      </c>
      <c r="AJ1130" s="30" t="n">
        <v>0</v>
      </c>
      <c r="AK1130" s="30" t="str">
        <f aca="false">IF(OR(S1130="判定不能",J1130="判定不能"),"判定不能",IF(AJ1130&gt;=判定条件!$C$9,"利用可",IF(AND(S1130="停止",J1130="停止"),"両方停止","運転がそろわない")))</f>
        <v>両方停止</v>
      </c>
      <c r="AL1130" s="30" t="n">
        <v>60</v>
      </c>
      <c r="AM1130" s="30" t="n">
        <v>0</v>
      </c>
      <c r="AN1130" s="30" t="str">
        <f aca="false">IF(OR(V1130="判定不能",M1130="判定不能"),"判定不能",IF(AM1130&gt;=判定条件!$C$9,"利用可",IF(AND(V1130="停止",M1130="停止"),"両方停止","運転がそろわない")))</f>
        <v>両方停止</v>
      </c>
      <c r="AO1130" s="30" t="n">
        <v>60</v>
      </c>
      <c r="AP1130" s="30" t="n">
        <v>0</v>
      </c>
      <c r="AQ1130" s="30" t="str">
        <f aca="false">IF(OR(Y1130="判定不能",G1130="判定不能"),"判定不能",IF(AP1130&gt;=判定条件!$C$9,"利用可",IF(AND(Y1130="停止",G1130="停止"),"両方停止","運転がそろわない")))</f>
        <v>両方停止</v>
      </c>
      <c r="AR1130" s="30" t="n">
        <v>60</v>
      </c>
      <c r="AS1130" s="30" t="n">
        <v>0</v>
      </c>
      <c r="AT1130" s="30" t="str">
        <f aca="false">IF(OR(AB1130="判定不能",J1130="判定不能"),"判定不能",IF(AS1130&gt;=判定条件!$C$9,"利用可",IF(AND(AB1130="停止",J1130="停止"),"両方停止","運転がそろわない")))</f>
        <v>両方停止</v>
      </c>
      <c r="AU1130" s="30" t="n">
        <v>60</v>
      </c>
      <c r="AV1130" s="30" t="n">
        <v>0</v>
      </c>
      <c r="AW1130" s="30" t="str">
        <f aca="false">IF(OR(AE1130="判定不能",M1130="判定不能"),"判定不能",IF(AV1130&gt;=判定条件!$C$9,"利用可",IF(AND(AE1130="停止",M1130="停止"),"両方停止","運転がそろわない")))</f>
        <v>両方停止</v>
      </c>
      <c r="AX1130" s="30" t="str">
        <f aca="false">IF(AND(AH1130="利用可",AK1130="利用可",AN1130="利用可"),"利用可","不可")</f>
        <v>不可</v>
      </c>
      <c r="AY1130" s="30" t="str">
        <f aca="false">IF(AND(AQ1130="利用可",AT1130="利用可",AW1130="利用可"),"利用可","不可")</f>
        <v>不可</v>
      </c>
    </row>
    <row r="1131" customFormat="false" ht="15" hidden="false" customHeight="false" outlineLevel="0" collapsed="false">
      <c r="A1131" s="29" t="n">
        <v>46279</v>
      </c>
      <c r="B1131" s="30" t="n">
        <v>0</v>
      </c>
      <c r="C1131" s="31" t="s">
        <v>66</v>
      </c>
      <c r="D1131" s="31" t="s">
        <v>59</v>
      </c>
      <c r="E1131" s="30" t="n">
        <v>60</v>
      </c>
      <c r="F1131" s="30" t="n">
        <v>0</v>
      </c>
      <c r="G1131" s="30" t="str">
        <f aca="false">IF(E1131&lt;判定条件!$C$6,"判定不能",IF(F1131&gt;=判定条件!$C$7*E1131,"運転",IF(F1131&lt;=判定条件!$C$8*E1131,"停止","断続")))</f>
        <v>停止</v>
      </c>
      <c r="H1131" s="30" t="n">
        <v>60</v>
      </c>
      <c r="I1131" s="30" t="n">
        <v>0</v>
      </c>
      <c r="J1131" s="30" t="str">
        <f aca="false">IF(H1131&lt;判定条件!$C$6,"判定不能",IF(I1131&gt;=判定条件!$C$7*H1131,"運転",IF(I1131&lt;=判定条件!$C$8*H1131,"停止","断続")))</f>
        <v>停止</v>
      </c>
      <c r="K1131" s="30" t="n">
        <v>60</v>
      </c>
      <c r="L1131" s="30" t="n">
        <v>0</v>
      </c>
      <c r="M1131" s="30" t="str">
        <f aca="false">IF(K1131&lt;判定条件!$C$6,"判定不能",IF(L1131&gt;=判定条件!$C$7*K1131,"運転",IF(L1131&lt;=判定条件!$C$8*K1131,"停止","断続")))</f>
        <v>停止</v>
      </c>
      <c r="N1131" s="30" t="n">
        <v>60</v>
      </c>
      <c r="O1131" s="30" t="n">
        <v>0</v>
      </c>
      <c r="P1131" s="30" t="str">
        <f aca="false">IF(N1131&lt;判定条件!$C$6,"判定不能",IF(O1131&gt;=判定条件!$C$7*N1131,"運転",IF(O1131&lt;=判定条件!$C$8*N1131,"停止","断続")))</f>
        <v>停止</v>
      </c>
      <c r="Q1131" s="30" t="n">
        <v>60</v>
      </c>
      <c r="R1131" s="30" t="n">
        <v>0</v>
      </c>
      <c r="S1131" s="30" t="str">
        <f aca="false">IF(Q1131&lt;判定条件!$C$6,"判定不能",IF(R1131&gt;=判定条件!$C$7*Q1131,"運転",IF(R1131&lt;=判定条件!$C$8*Q1131,"停止","断続")))</f>
        <v>停止</v>
      </c>
      <c r="T1131" s="30" t="n">
        <v>60</v>
      </c>
      <c r="U1131" s="30" t="n">
        <v>0</v>
      </c>
      <c r="V1131" s="30" t="str">
        <f aca="false">IF(T1131&lt;判定条件!$C$6,"判定不能",IF(U1131&gt;=判定条件!$C$7*T1131,"運転",IF(U1131&lt;=判定条件!$C$8*T1131,"停止","断続")))</f>
        <v>停止</v>
      </c>
      <c r="W1131" s="30" t="n">
        <v>60</v>
      </c>
      <c r="X1131" s="30" t="n">
        <v>0</v>
      </c>
      <c r="Y1131" s="30" t="str">
        <f aca="false">IF(W1131&lt;判定条件!$C$6,"判定不能",IF(X1131&gt;=判定条件!$C$7*W1131,"運転",IF(X1131&lt;=判定条件!$C$8*W1131,"停止","断続")))</f>
        <v>停止</v>
      </c>
      <c r="Z1131" s="30" t="n">
        <v>60</v>
      </c>
      <c r="AA1131" s="30" t="n">
        <v>0</v>
      </c>
      <c r="AB1131" s="30" t="str">
        <f aca="false">IF(Z1131&lt;判定条件!$C$6,"判定不能",IF(AA1131&gt;=判定条件!$C$7*Z1131,"運転",IF(AA1131&lt;=判定条件!$C$8*Z1131,"停止","断続")))</f>
        <v>停止</v>
      </c>
      <c r="AC1131" s="30" t="n">
        <v>60</v>
      </c>
      <c r="AD1131" s="30" t="n">
        <v>0</v>
      </c>
      <c r="AE1131" s="30" t="str">
        <f aca="false">IF(AC1131&lt;判定条件!$C$6,"判定不能",IF(AD1131&gt;=判定条件!$C$7*AC1131,"運転",IF(AD1131&lt;=判定条件!$C$8*AC1131,"停止","断続")))</f>
        <v>停止</v>
      </c>
      <c r="AF1131" s="30" t="n">
        <v>60</v>
      </c>
      <c r="AG1131" s="30" t="n">
        <v>0</v>
      </c>
      <c r="AH1131" s="30" t="str">
        <f aca="false">IF(OR(P1131="判定不能",G1131="判定不能"),"判定不能",IF(AG1131&gt;=判定条件!$C$9,"利用可",IF(AND(P1131="停止",G1131="停止"),"両方停止","運転がそろわない")))</f>
        <v>両方停止</v>
      </c>
      <c r="AI1131" s="30" t="n">
        <v>60</v>
      </c>
      <c r="AJ1131" s="30" t="n">
        <v>0</v>
      </c>
      <c r="AK1131" s="30" t="str">
        <f aca="false">IF(OR(S1131="判定不能",J1131="判定不能"),"判定不能",IF(AJ1131&gt;=判定条件!$C$9,"利用可",IF(AND(S1131="停止",J1131="停止"),"両方停止","運転がそろわない")))</f>
        <v>両方停止</v>
      </c>
      <c r="AL1131" s="30" t="n">
        <v>60</v>
      </c>
      <c r="AM1131" s="30" t="n">
        <v>0</v>
      </c>
      <c r="AN1131" s="30" t="str">
        <f aca="false">IF(OR(V1131="判定不能",M1131="判定不能"),"判定不能",IF(AM1131&gt;=判定条件!$C$9,"利用可",IF(AND(V1131="停止",M1131="停止"),"両方停止","運転がそろわない")))</f>
        <v>両方停止</v>
      </c>
      <c r="AO1131" s="30" t="n">
        <v>60</v>
      </c>
      <c r="AP1131" s="30" t="n">
        <v>0</v>
      </c>
      <c r="AQ1131" s="30" t="str">
        <f aca="false">IF(OR(Y1131="判定不能",G1131="判定不能"),"判定不能",IF(AP1131&gt;=判定条件!$C$9,"利用可",IF(AND(Y1131="停止",G1131="停止"),"両方停止","運転がそろわない")))</f>
        <v>両方停止</v>
      </c>
      <c r="AR1131" s="30" t="n">
        <v>60</v>
      </c>
      <c r="AS1131" s="30" t="n">
        <v>0</v>
      </c>
      <c r="AT1131" s="30" t="str">
        <f aca="false">IF(OR(AB1131="判定不能",J1131="判定不能"),"判定不能",IF(AS1131&gt;=判定条件!$C$9,"利用可",IF(AND(AB1131="停止",J1131="停止"),"両方停止","運転がそろわない")))</f>
        <v>両方停止</v>
      </c>
      <c r="AU1131" s="30" t="n">
        <v>60</v>
      </c>
      <c r="AV1131" s="30" t="n">
        <v>0</v>
      </c>
      <c r="AW1131" s="30" t="str">
        <f aca="false">IF(OR(AE1131="判定不能",M1131="判定不能"),"判定不能",IF(AV1131&gt;=判定条件!$C$9,"利用可",IF(AND(AE1131="停止",M1131="停止"),"両方停止","運転がそろわない")))</f>
        <v>両方停止</v>
      </c>
      <c r="AX1131" s="30" t="str">
        <f aca="false">IF(AND(AH1131="利用可",AK1131="利用可",AN1131="利用可"),"利用可","不可")</f>
        <v>不可</v>
      </c>
      <c r="AY1131" s="30" t="str">
        <f aca="false">IF(AND(AQ1131="利用可",AT1131="利用可",AW1131="利用可"),"利用可","不可")</f>
        <v>不可</v>
      </c>
    </row>
    <row r="1132" customFormat="false" ht="15" hidden="false" customHeight="false" outlineLevel="0" collapsed="false">
      <c r="A1132" s="29" t="n">
        <v>46279</v>
      </c>
      <c r="B1132" s="30" t="n">
        <v>1</v>
      </c>
      <c r="C1132" s="31" t="s">
        <v>66</v>
      </c>
      <c r="D1132" s="31" t="s">
        <v>59</v>
      </c>
      <c r="E1132" s="30" t="n">
        <v>60</v>
      </c>
      <c r="F1132" s="30" t="n">
        <v>0</v>
      </c>
      <c r="G1132" s="30" t="str">
        <f aca="false">IF(E1132&lt;判定条件!$C$6,"判定不能",IF(F1132&gt;=判定条件!$C$7*E1132,"運転",IF(F1132&lt;=判定条件!$C$8*E1132,"停止","断続")))</f>
        <v>停止</v>
      </c>
      <c r="H1132" s="30" t="n">
        <v>60</v>
      </c>
      <c r="I1132" s="30" t="n">
        <v>0</v>
      </c>
      <c r="J1132" s="30" t="str">
        <f aca="false">IF(H1132&lt;判定条件!$C$6,"判定不能",IF(I1132&gt;=判定条件!$C$7*H1132,"運転",IF(I1132&lt;=判定条件!$C$8*H1132,"停止","断続")))</f>
        <v>停止</v>
      </c>
      <c r="K1132" s="30" t="n">
        <v>60</v>
      </c>
      <c r="L1132" s="30" t="n">
        <v>0</v>
      </c>
      <c r="M1132" s="30" t="str">
        <f aca="false">IF(K1132&lt;判定条件!$C$6,"判定不能",IF(L1132&gt;=判定条件!$C$7*K1132,"運転",IF(L1132&lt;=判定条件!$C$8*K1132,"停止","断続")))</f>
        <v>停止</v>
      </c>
      <c r="N1132" s="30" t="n">
        <v>60</v>
      </c>
      <c r="O1132" s="30" t="n">
        <v>0</v>
      </c>
      <c r="P1132" s="30" t="str">
        <f aca="false">IF(N1132&lt;判定条件!$C$6,"判定不能",IF(O1132&gt;=判定条件!$C$7*N1132,"運転",IF(O1132&lt;=判定条件!$C$8*N1132,"停止","断続")))</f>
        <v>停止</v>
      </c>
      <c r="Q1132" s="30" t="n">
        <v>60</v>
      </c>
      <c r="R1132" s="30" t="n">
        <v>0</v>
      </c>
      <c r="S1132" s="30" t="str">
        <f aca="false">IF(Q1132&lt;判定条件!$C$6,"判定不能",IF(R1132&gt;=判定条件!$C$7*Q1132,"運転",IF(R1132&lt;=判定条件!$C$8*Q1132,"停止","断続")))</f>
        <v>停止</v>
      </c>
      <c r="T1132" s="30" t="n">
        <v>60</v>
      </c>
      <c r="U1132" s="30" t="n">
        <v>0</v>
      </c>
      <c r="V1132" s="30" t="str">
        <f aca="false">IF(T1132&lt;判定条件!$C$6,"判定不能",IF(U1132&gt;=判定条件!$C$7*T1132,"運転",IF(U1132&lt;=判定条件!$C$8*T1132,"停止","断続")))</f>
        <v>停止</v>
      </c>
      <c r="W1132" s="30" t="n">
        <v>60</v>
      </c>
      <c r="X1132" s="30" t="n">
        <v>0</v>
      </c>
      <c r="Y1132" s="30" t="str">
        <f aca="false">IF(W1132&lt;判定条件!$C$6,"判定不能",IF(X1132&gt;=判定条件!$C$7*W1132,"運転",IF(X1132&lt;=判定条件!$C$8*W1132,"停止","断続")))</f>
        <v>停止</v>
      </c>
      <c r="Z1132" s="30" t="n">
        <v>60</v>
      </c>
      <c r="AA1132" s="30" t="n">
        <v>0</v>
      </c>
      <c r="AB1132" s="30" t="str">
        <f aca="false">IF(Z1132&lt;判定条件!$C$6,"判定不能",IF(AA1132&gt;=判定条件!$C$7*Z1132,"運転",IF(AA1132&lt;=判定条件!$C$8*Z1132,"停止","断続")))</f>
        <v>停止</v>
      </c>
      <c r="AC1132" s="30" t="n">
        <v>60</v>
      </c>
      <c r="AD1132" s="30" t="n">
        <v>0</v>
      </c>
      <c r="AE1132" s="30" t="str">
        <f aca="false">IF(AC1132&lt;判定条件!$C$6,"判定不能",IF(AD1132&gt;=判定条件!$C$7*AC1132,"運転",IF(AD1132&lt;=判定条件!$C$8*AC1132,"停止","断続")))</f>
        <v>停止</v>
      </c>
      <c r="AF1132" s="30" t="n">
        <v>60</v>
      </c>
      <c r="AG1132" s="30" t="n">
        <v>0</v>
      </c>
      <c r="AH1132" s="30" t="str">
        <f aca="false">IF(OR(P1132="判定不能",G1132="判定不能"),"判定不能",IF(AG1132&gt;=判定条件!$C$9,"利用可",IF(AND(P1132="停止",G1132="停止"),"両方停止","運転がそろわない")))</f>
        <v>両方停止</v>
      </c>
      <c r="AI1132" s="30" t="n">
        <v>60</v>
      </c>
      <c r="AJ1132" s="30" t="n">
        <v>0</v>
      </c>
      <c r="AK1132" s="30" t="str">
        <f aca="false">IF(OR(S1132="判定不能",J1132="判定不能"),"判定不能",IF(AJ1132&gt;=判定条件!$C$9,"利用可",IF(AND(S1132="停止",J1132="停止"),"両方停止","運転がそろわない")))</f>
        <v>両方停止</v>
      </c>
      <c r="AL1132" s="30" t="n">
        <v>60</v>
      </c>
      <c r="AM1132" s="30" t="n">
        <v>0</v>
      </c>
      <c r="AN1132" s="30" t="str">
        <f aca="false">IF(OR(V1132="判定不能",M1132="判定不能"),"判定不能",IF(AM1132&gt;=判定条件!$C$9,"利用可",IF(AND(V1132="停止",M1132="停止"),"両方停止","運転がそろわない")))</f>
        <v>両方停止</v>
      </c>
      <c r="AO1132" s="30" t="n">
        <v>60</v>
      </c>
      <c r="AP1132" s="30" t="n">
        <v>0</v>
      </c>
      <c r="AQ1132" s="30" t="str">
        <f aca="false">IF(OR(Y1132="判定不能",G1132="判定不能"),"判定不能",IF(AP1132&gt;=判定条件!$C$9,"利用可",IF(AND(Y1132="停止",G1132="停止"),"両方停止","運転がそろわない")))</f>
        <v>両方停止</v>
      </c>
      <c r="AR1132" s="30" t="n">
        <v>60</v>
      </c>
      <c r="AS1132" s="30" t="n">
        <v>0</v>
      </c>
      <c r="AT1132" s="30" t="str">
        <f aca="false">IF(OR(AB1132="判定不能",J1132="判定不能"),"判定不能",IF(AS1132&gt;=判定条件!$C$9,"利用可",IF(AND(AB1132="停止",J1132="停止"),"両方停止","運転がそろわない")))</f>
        <v>両方停止</v>
      </c>
      <c r="AU1132" s="30" t="n">
        <v>60</v>
      </c>
      <c r="AV1132" s="30" t="n">
        <v>0</v>
      </c>
      <c r="AW1132" s="30" t="str">
        <f aca="false">IF(OR(AE1132="判定不能",M1132="判定不能"),"判定不能",IF(AV1132&gt;=判定条件!$C$9,"利用可",IF(AND(AE1132="停止",M1132="停止"),"両方停止","運転がそろわない")))</f>
        <v>両方停止</v>
      </c>
      <c r="AX1132" s="30" t="str">
        <f aca="false">IF(AND(AH1132="利用可",AK1132="利用可",AN1132="利用可"),"利用可","不可")</f>
        <v>不可</v>
      </c>
      <c r="AY1132" s="30" t="str">
        <f aca="false">IF(AND(AQ1132="利用可",AT1132="利用可",AW1132="利用可"),"利用可","不可")</f>
        <v>不可</v>
      </c>
    </row>
    <row r="1133" customFormat="false" ht="15" hidden="false" customHeight="false" outlineLevel="0" collapsed="false">
      <c r="A1133" s="29" t="n">
        <v>46279</v>
      </c>
      <c r="B1133" s="30" t="n">
        <v>2</v>
      </c>
      <c r="C1133" s="31" t="s">
        <v>66</v>
      </c>
      <c r="D1133" s="31" t="s">
        <v>59</v>
      </c>
      <c r="E1133" s="30" t="n">
        <v>60</v>
      </c>
      <c r="F1133" s="30" t="n">
        <v>0</v>
      </c>
      <c r="G1133" s="30" t="str">
        <f aca="false">IF(E1133&lt;判定条件!$C$6,"判定不能",IF(F1133&gt;=判定条件!$C$7*E1133,"運転",IF(F1133&lt;=判定条件!$C$8*E1133,"停止","断続")))</f>
        <v>停止</v>
      </c>
      <c r="H1133" s="30" t="n">
        <v>60</v>
      </c>
      <c r="I1133" s="30" t="n">
        <v>0</v>
      </c>
      <c r="J1133" s="30" t="str">
        <f aca="false">IF(H1133&lt;判定条件!$C$6,"判定不能",IF(I1133&gt;=判定条件!$C$7*H1133,"運転",IF(I1133&lt;=判定条件!$C$8*H1133,"停止","断続")))</f>
        <v>停止</v>
      </c>
      <c r="K1133" s="30" t="n">
        <v>60</v>
      </c>
      <c r="L1133" s="30" t="n">
        <v>0</v>
      </c>
      <c r="M1133" s="30" t="str">
        <f aca="false">IF(K1133&lt;判定条件!$C$6,"判定不能",IF(L1133&gt;=判定条件!$C$7*K1133,"運転",IF(L1133&lt;=判定条件!$C$8*K1133,"停止","断続")))</f>
        <v>停止</v>
      </c>
      <c r="N1133" s="30" t="n">
        <v>60</v>
      </c>
      <c r="O1133" s="30" t="n">
        <v>0</v>
      </c>
      <c r="P1133" s="30" t="str">
        <f aca="false">IF(N1133&lt;判定条件!$C$6,"判定不能",IF(O1133&gt;=判定条件!$C$7*N1133,"運転",IF(O1133&lt;=判定条件!$C$8*N1133,"停止","断続")))</f>
        <v>停止</v>
      </c>
      <c r="Q1133" s="30" t="n">
        <v>60</v>
      </c>
      <c r="R1133" s="30" t="n">
        <v>0</v>
      </c>
      <c r="S1133" s="30" t="str">
        <f aca="false">IF(Q1133&lt;判定条件!$C$6,"判定不能",IF(R1133&gt;=判定条件!$C$7*Q1133,"運転",IF(R1133&lt;=判定条件!$C$8*Q1133,"停止","断続")))</f>
        <v>停止</v>
      </c>
      <c r="T1133" s="30" t="n">
        <v>60</v>
      </c>
      <c r="U1133" s="30" t="n">
        <v>0</v>
      </c>
      <c r="V1133" s="30" t="str">
        <f aca="false">IF(T1133&lt;判定条件!$C$6,"判定不能",IF(U1133&gt;=判定条件!$C$7*T1133,"運転",IF(U1133&lt;=判定条件!$C$8*T1133,"停止","断続")))</f>
        <v>停止</v>
      </c>
      <c r="W1133" s="30" t="n">
        <v>60</v>
      </c>
      <c r="X1133" s="30" t="n">
        <v>0</v>
      </c>
      <c r="Y1133" s="30" t="str">
        <f aca="false">IF(W1133&lt;判定条件!$C$6,"判定不能",IF(X1133&gt;=判定条件!$C$7*W1133,"運転",IF(X1133&lt;=判定条件!$C$8*W1133,"停止","断続")))</f>
        <v>停止</v>
      </c>
      <c r="Z1133" s="30" t="n">
        <v>60</v>
      </c>
      <c r="AA1133" s="30" t="n">
        <v>0</v>
      </c>
      <c r="AB1133" s="30" t="str">
        <f aca="false">IF(Z1133&lt;判定条件!$C$6,"判定不能",IF(AA1133&gt;=判定条件!$C$7*Z1133,"運転",IF(AA1133&lt;=判定条件!$C$8*Z1133,"停止","断続")))</f>
        <v>停止</v>
      </c>
      <c r="AC1133" s="30" t="n">
        <v>60</v>
      </c>
      <c r="AD1133" s="30" t="n">
        <v>0</v>
      </c>
      <c r="AE1133" s="30" t="str">
        <f aca="false">IF(AC1133&lt;判定条件!$C$6,"判定不能",IF(AD1133&gt;=判定条件!$C$7*AC1133,"運転",IF(AD1133&lt;=判定条件!$C$8*AC1133,"停止","断続")))</f>
        <v>停止</v>
      </c>
      <c r="AF1133" s="30" t="n">
        <v>60</v>
      </c>
      <c r="AG1133" s="30" t="n">
        <v>0</v>
      </c>
      <c r="AH1133" s="30" t="str">
        <f aca="false">IF(OR(P1133="判定不能",G1133="判定不能"),"判定不能",IF(AG1133&gt;=判定条件!$C$9,"利用可",IF(AND(P1133="停止",G1133="停止"),"両方停止","運転がそろわない")))</f>
        <v>両方停止</v>
      </c>
      <c r="AI1133" s="30" t="n">
        <v>60</v>
      </c>
      <c r="AJ1133" s="30" t="n">
        <v>0</v>
      </c>
      <c r="AK1133" s="30" t="str">
        <f aca="false">IF(OR(S1133="判定不能",J1133="判定不能"),"判定不能",IF(AJ1133&gt;=判定条件!$C$9,"利用可",IF(AND(S1133="停止",J1133="停止"),"両方停止","運転がそろわない")))</f>
        <v>両方停止</v>
      </c>
      <c r="AL1133" s="30" t="n">
        <v>60</v>
      </c>
      <c r="AM1133" s="30" t="n">
        <v>0</v>
      </c>
      <c r="AN1133" s="30" t="str">
        <f aca="false">IF(OR(V1133="判定不能",M1133="判定不能"),"判定不能",IF(AM1133&gt;=判定条件!$C$9,"利用可",IF(AND(V1133="停止",M1133="停止"),"両方停止","運転がそろわない")))</f>
        <v>両方停止</v>
      </c>
      <c r="AO1133" s="30" t="n">
        <v>60</v>
      </c>
      <c r="AP1133" s="30" t="n">
        <v>0</v>
      </c>
      <c r="AQ1133" s="30" t="str">
        <f aca="false">IF(OR(Y1133="判定不能",G1133="判定不能"),"判定不能",IF(AP1133&gt;=判定条件!$C$9,"利用可",IF(AND(Y1133="停止",G1133="停止"),"両方停止","運転がそろわない")))</f>
        <v>両方停止</v>
      </c>
      <c r="AR1133" s="30" t="n">
        <v>60</v>
      </c>
      <c r="AS1133" s="30" t="n">
        <v>0</v>
      </c>
      <c r="AT1133" s="30" t="str">
        <f aca="false">IF(OR(AB1133="判定不能",J1133="判定不能"),"判定不能",IF(AS1133&gt;=判定条件!$C$9,"利用可",IF(AND(AB1133="停止",J1133="停止"),"両方停止","運転がそろわない")))</f>
        <v>両方停止</v>
      </c>
      <c r="AU1133" s="30" t="n">
        <v>60</v>
      </c>
      <c r="AV1133" s="30" t="n">
        <v>0</v>
      </c>
      <c r="AW1133" s="30" t="str">
        <f aca="false">IF(OR(AE1133="判定不能",M1133="判定不能"),"判定不能",IF(AV1133&gt;=判定条件!$C$9,"利用可",IF(AND(AE1133="停止",M1133="停止"),"両方停止","運転がそろわない")))</f>
        <v>両方停止</v>
      </c>
      <c r="AX1133" s="30" t="str">
        <f aca="false">IF(AND(AH1133="利用可",AK1133="利用可",AN1133="利用可"),"利用可","不可")</f>
        <v>不可</v>
      </c>
      <c r="AY1133" s="30" t="str">
        <f aca="false">IF(AND(AQ1133="利用可",AT1133="利用可",AW1133="利用可"),"利用可","不可")</f>
        <v>不可</v>
      </c>
    </row>
    <row r="1134" customFormat="false" ht="15" hidden="false" customHeight="false" outlineLevel="0" collapsed="false">
      <c r="A1134" s="29" t="n">
        <v>46279</v>
      </c>
      <c r="B1134" s="30" t="n">
        <v>3</v>
      </c>
      <c r="C1134" s="31" t="s">
        <v>66</v>
      </c>
      <c r="D1134" s="31" t="s">
        <v>59</v>
      </c>
      <c r="E1134" s="30" t="n">
        <v>60</v>
      </c>
      <c r="F1134" s="30" t="n">
        <v>0</v>
      </c>
      <c r="G1134" s="30" t="str">
        <f aca="false">IF(E1134&lt;判定条件!$C$6,"判定不能",IF(F1134&gt;=判定条件!$C$7*E1134,"運転",IF(F1134&lt;=判定条件!$C$8*E1134,"停止","断続")))</f>
        <v>停止</v>
      </c>
      <c r="H1134" s="30" t="n">
        <v>60</v>
      </c>
      <c r="I1134" s="30" t="n">
        <v>0</v>
      </c>
      <c r="J1134" s="30" t="str">
        <f aca="false">IF(H1134&lt;判定条件!$C$6,"判定不能",IF(I1134&gt;=判定条件!$C$7*H1134,"運転",IF(I1134&lt;=判定条件!$C$8*H1134,"停止","断続")))</f>
        <v>停止</v>
      </c>
      <c r="K1134" s="30" t="n">
        <v>60</v>
      </c>
      <c r="L1134" s="30" t="n">
        <v>0</v>
      </c>
      <c r="M1134" s="30" t="str">
        <f aca="false">IF(K1134&lt;判定条件!$C$6,"判定不能",IF(L1134&gt;=判定条件!$C$7*K1134,"運転",IF(L1134&lt;=判定条件!$C$8*K1134,"停止","断続")))</f>
        <v>停止</v>
      </c>
      <c r="N1134" s="30" t="n">
        <v>60</v>
      </c>
      <c r="O1134" s="30" t="n">
        <v>0</v>
      </c>
      <c r="P1134" s="30" t="str">
        <f aca="false">IF(N1134&lt;判定条件!$C$6,"判定不能",IF(O1134&gt;=判定条件!$C$7*N1134,"運転",IF(O1134&lt;=判定条件!$C$8*N1134,"停止","断続")))</f>
        <v>停止</v>
      </c>
      <c r="Q1134" s="30" t="n">
        <v>60</v>
      </c>
      <c r="R1134" s="30" t="n">
        <v>0</v>
      </c>
      <c r="S1134" s="30" t="str">
        <f aca="false">IF(Q1134&lt;判定条件!$C$6,"判定不能",IF(R1134&gt;=判定条件!$C$7*Q1134,"運転",IF(R1134&lt;=判定条件!$C$8*Q1134,"停止","断続")))</f>
        <v>停止</v>
      </c>
      <c r="T1134" s="30" t="n">
        <v>60</v>
      </c>
      <c r="U1134" s="30" t="n">
        <v>0</v>
      </c>
      <c r="V1134" s="30" t="str">
        <f aca="false">IF(T1134&lt;判定条件!$C$6,"判定不能",IF(U1134&gt;=判定条件!$C$7*T1134,"運転",IF(U1134&lt;=判定条件!$C$8*T1134,"停止","断続")))</f>
        <v>停止</v>
      </c>
      <c r="W1134" s="30" t="n">
        <v>60</v>
      </c>
      <c r="X1134" s="30" t="n">
        <v>0</v>
      </c>
      <c r="Y1134" s="30" t="str">
        <f aca="false">IF(W1134&lt;判定条件!$C$6,"判定不能",IF(X1134&gt;=判定条件!$C$7*W1134,"運転",IF(X1134&lt;=判定条件!$C$8*W1134,"停止","断続")))</f>
        <v>停止</v>
      </c>
      <c r="Z1134" s="30" t="n">
        <v>60</v>
      </c>
      <c r="AA1134" s="30" t="n">
        <v>0</v>
      </c>
      <c r="AB1134" s="30" t="str">
        <f aca="false">IF(Z1134&lt;判定条件!$C$6,"判定不能",IF(AA1134&gt;=判定条件!$C$7*Z1134,"運転",IF(AA1134&lt;=判定条件!$C$8*Z1134,"停止","断続")))</f>
        <v>停止</v>
      </c>
      <c r="AC1134" s="30" t="n">
        <v>60</v>
      </c>
      <c r="AD1134" s="30" t="n">
        <v>0</v>
      </c>
      <c r="AE1134" s="30" t="str">
        <f aca="false">IF(AC1134&lt;判定条件!$C$6,"判定不能",IF(AD1134&gt;=判定条件!$C$7*AC1134,"運転",IF(AD1134&lt;=判定条件!$C$8*AC1134,"停止","断続")))</f>
        <v>停止</v>
      </c>
      <c r="AF1134" s="30" t="n">
        <v>60</v>
      </c>
      <c r="AG1134" s="30" t="n">
        <v>0</v>
      </c>
      <c r="AH1134" s="30" t="str">
        <f aca="false">IF(OR(P1134="判定不能",G1134="判定不能"),"判定不能",IF(AG1134&gt;=判定条件!$C$9,"利用可",IF(AND(P1134="停止",G1134="停止"),"両方停止","運転がそろわない")))</f>
        <v>両方停止</v>
      </c>
      <c r="AI1134" s="30" t="n">
        <v>60</v>
      </c>
      <c r="AJ1134" s="30" t="n">
        <v>0</v>
      </c>
      <c r="AK1134" s="30" t="str">
        <f aca="false">IF(OR(S1134="判定不能",J1134="判定不能"),"判定不能",IF(AJ1134&gt;=判定条件!$C$9,"利用可",IF(AND(S1134="停止",J1134="停止"),"両方停止","運転がそろわない")))</f>
        <v>両方停止</v>
      </c>
      <c r="AL1134" s="30" t="n">
        <v>60</v>
      </c>
      <c r="AM1134" s="30" t="n">
        <v>0</v>
      </c>
      <c r="AN1134" s="30" t="str">
        <f aca="false">IF(OR(V1134="判定不能",M1134="判定不能"),"判定不能",IF(AM1134&gt;=判定条件!$C$9,"利用可",IF(AND(V1134="停止",M1134="停止"),"両方停止","運転がそろわない")))</f>
        <v>両方停止</v>
      </c>
      <c r="AO1134" s="30" t="n">
        <v>60</v>
      </c>
      <c r="AP1134" s="30" t="n">
        <v>0</v>
      </c>
      <c r="AQ1134" s="30" t="str">
        <f aca="false">IF(OR(Y1134="判定不能",G1134="判定不能"),"判定不能",IF(AP1134&gt;=判定条件!$C$9,"利用可",IF(AND(Y1134="停止",G1134="停止"),"両方停止","運転がそろわない")))</f>
        <v>両方停止</v>
      </c>
      <c r="AR1134" s="30" t="n">
        <v>60</v>
      </c>
      <c r="AS1134" s="30" t="n">
        <v>0</v>
      </c>
      <c r="AT1134" s="30" t="str">
        <f aca="false">IF(OR(AB1134="判定不能",J1134="判定不能"),"判定不能",IF(AS1134&gt;=判定条件!$C$9,"利用可",IF(AND(AB1134="停止",J1134="停止"),"両方停止","運転がそろわない")))</f>
        <v>両方停止</v>
      </c>
      <c r="AU1134" s="30" t="n">
        <v>60</v>
      </c>
      <c r="AV1134" s="30" t="n">
        <v>0</v>
      </c>
      <c r="AW1134" s="30" t="str">
        <f aca="false">IF(OR(AE1134="判定不能",M1134="判定不能"),"判定不能",IF(AV1134&gt;=判定条件!$C$9,"利用可",IF(AND(AE1134="停止",M1134="停止"),"両方停止","運転がそろわない")))</f>
        <v>両方停止</v>
      </c>
      <c r="AX1134" s="30" t="str">
        <f aca="false">IF(AND(AH1134="利用可",AK1134="利用可",AN1134="利用可"),"利用可","不可")</f>
        <v>不可</v>
      </c>
      <c r="AY1134" s="30" t="str">
        <f aca="false">IF(AND(AQ1134="利用可",AT1134="利用可",AW1134="利用可"),"利用可","不可")</f>
        <v>不可</v>
      </c>
    </row>
    <row r="1135" customFormat="false" ht="15" hidden="false" customHeight="false" outlineLevel="0" collapsed="false">
      <c r="A1135" s="29" t="n">
        <v>46279</v>
      </c>
      <c r="B1135" s="30" t="n">
        <v>4</v>
      </c>
      <c r="C1135" s="31" t="s">
        <v>66</v>
      </c>
      <c r="D1135" s="31" t="s">
        <v>59</v>
      </c>
      <c r="E1135" s="30" t="n">
        <v>60</v>
      </c>
      <c r="F1135" s="30" t="n">
        <v>0</v>
      </c>
      <c r="G1135" s="30" t="str">
        <f aca="false">IF(E1135&lt;判定条件!$C$6,"判定不能",IF(F1135&gt;=判定条件!$C$7*E1135,"運転",IF(F1135&lt;=判定条件!$C$8*E1135,"停止","断続")))</f>
        <v>停止</v>
      </c>
      <c r="H1135" s="30" t="n">
        <v>60</v>
      </c>
      <c r="I1135" s="30" t="n">
        <v>0</v>
      </c>
      <c r="J1135" s="30" t="str">
        <f aca="false">IF(H1135&lt;判定条件!$C$6,"判定不能",IF(I1135&gt;=判定条件!$C$7*H1135,"運転",IF(I1135&lt;=判定条件!$C$8*H1135,"停止","断続")))</f>
        <v>停止</v>
      </c>
      <c r="K1135" s="30" t="n">
        <v>60</v>
      </c>
      <c r="L1135" s="30" t="n">
        <v>0</v>
      </c>
      <c r="M1135" s="30" t="str">
        <f aca="false">IF(K1135&lt;判定条件!$C$6,"判定不能",IF(L1135&gt;=判定条件!$C$7*K1135,"運転",IF(L1135&lt;=判定条件!$C$8*K1135,"停止","断続")))</f>
        <v>停止</v>
      </c>
      <c r="N1135" s="30" t="n">
        <v>60</v>
      </c>
      <c r="O1135" s="30" t="n">
        <v>0</v>
      </c>
      <c r="P1135" s="30" t="str">
        <f aca="false">IF(N1135&lt;判定条件!$C$6,"判定不能",IF(O1135&gt;=判定条件!$C$7*N1135,"運転",IF(O1135&lt;=判定条件!$C$8*N1135,"停止","断続")))</f>
        <v>停止</v>
      </c>
      <c r="Q1135" s="30" t="n">
        <v>60</v>
      </c>
      <c r="R1135" s="30" t="n">
        <v>0</v>
      </c>
      <c r="S1135" s="30" t="str">
        <f aca="false">IF(Q1135&lt;判定条件!$C$6,"判定不能",IF(R1135&gt;=判定条件!$C$7*Q1135,"運転",IF(R1135&lt;=判定条件!$C$8*Q1135,"停止","断続")))</f>
        <v>停止</v>
      </c>
      <c r="T1135" s="30" t="n">
        <v>60</v>
      </c>
      <c r="U1135" s="30" t="n">
        <v>0</v>
      </c>
      <c r="V1135" s="30" t="str">
        <f aca="false">IF(T1135&lt;判定条件!$C$6,"判定不能",IF(U1135&gt;=判定条件!$C$7*T1135,"運転",IF(U1135&lt;=判定条件!$C$8*T1135,"停止","断続")))</f>
        <v>停止</v>
      </c>
      <c r="W1135" s="30" t="n">
        <v>60</v>
      </c>
      <c r="X1135" s="30" t="n">
        <v>0</v>
      </c>
      <c r="Y1135" s="30" t="str">
        <f aca="false">IF(W1135&lt;判定条件!$C$6,"判定不能",IF(X1135&gt;=判定条件!$C$7*W1135,"運転",IF(X1135&lt;=判定条件!$C$8*W1135,"停止","断続")))</f>
        <v>停止</v>
      </c>
      <c r="Z1135" s="30" t="n">
        <v>60</v>
      </c>
      <c r="AA1135" s="30" t="n">
        <v>0</v>
      </c>
      <c r="AB1135" s="30" t="str">
        <f aca="false">IF(Z1135&lt;判定条件!$C$6,"判定不能",IF(AA1135&gt;=判定条件!$C$7*Z1135,"運転",IF(AA1135&lt;=判定条件!$C$8*Z1135,"停止","断続")))</f>
        <v>停止</v>
      </c>
      <c r="AC1135" s="30" t="n">
        <v>60</v>
      </c>
      <c r="AD1135" s="30" t="n">
        <v>0</v>
      </c>
      <c r="AE1135" s="30" t="str">
        <f aca="false">IF(AC1135&lt;判定条件!$C$6,"判定不能",IF(AD1135&gt;=判定条件!$C$7*AC1135,"運転",IF(AD1135&lt;=判定条件!$C$8*AC1135,"停止","断続")))</f>
        <v>停止</v>
      </c>
      <c r="AF1135" s="30" t="n">
        <v>60</v>
      </c>
      <c r="AG1135" s="30" t="n">
        <v>0</v>
      </c>
      <c r="AH1135" s="30" t="str">
        <f aca="false">IF(OR(P1135="判定不能",G1135="判定不能"),"判定不能",IF(AG1135&gt;=判定条件!$C$9,"利用可",IF(AND(P1135="停止",G1135="停止"),"両方停止","運転がそろわない")))</f>
        <v>両方停止</v>
      </c>
      <c r="AI1135" s="30" t="n">
        <v>60</v>
      </c>
      <c r="AJ1135" s="30" t="n">
        <v>0</v>
      </c>
      <c r="AK1135" s="30" t="str">
        <f aca="false">IF(OR(S1135="判定不能",J1135="判定不能"),"判定不能",IF(AJ1135&gt;=判定条件!$C$9,"利用可",IF(AND(S1135="停止",J1135="停止"),"両方停止","運転がそろわない")))</f>
        <v>両方停止</v>
      </c>
      <c r="AL1135" s="30" t="n">
        <v>60</v>
      </c>
      <c r="AM1135" s="30" t="n">
        <v>0</v>
      </c>
      <c r="AN1135" s="30" t="str">
        <f aca="false">IF(OR(V1135="判定不能",M1135="判定不能"),"判定不能",IF(AM1135&gt;=判定条件!$C$9,"利用可",IF(AND(V1135="停止",M1135="停止"),"両方停止","運転がそろわない")))</f>
        <v>両方停止</v>
      </c>
      <c r="AO1135" s="30" t="n">
        <v>60</v>
      </c>
      <c r="AP1135" s="30" t="n">
        <v>0</v>
      </c>
      <c r="AQ1135" s="30" t="str">
        <f aca="false">IF(OR(Y1135="判定不能",G1135="判定不能"),"判定不能",IF(AP1135&gt;=判定条件!$C$9,"利用可",IF(AND(Y1135="停止",G1135="停止"),"両方停止","運転がそろわない")))</f>
        <v>両方停止</v>
      </c>
      <c r="AR1135" s="30" t="n">
        <v>60</v>
      </c>
      <c r="AS1135" s="30" t="n">
        <v>0</v>
      </c>
      <c r="AT1135" s="30" t="str">
        <f aca="false">IF(OR(AB1135="判定不能",J1135="判定不能"),"判定不能",IF(AS1135&gt;=判定条件!$C$9,"利用可",IF(AND(AB1135="停止",J1135="停止"),"両方停止","運転がそろわない")))</f>
        <v>両方停止</v>
      </c>
      <c r="AU1135" s="30" t="n">
        <v>60</v>
      </c>
      <c r="AV1135" s="30" t="n">
        <v>0</v>
      </c>
      <c r="AW1135" s="30" t="str">
        <f aca="false">IF(OR(AE1135="判定不能",M1135="判定不能"),"判定不能",IF(AV1135&gt;=判定条件!$C$9,"利用可",IF(AND(AE1135="停止",M1135="停止"),"両方停止","運転がそろわない")))</f>
        <v>両方停止</v>
      </c>
      <c r="AX1135" s="30" t="str">
        <f aca="false">IF(AND(AH1135="利用可",AK1135="利用可",AN1135="利用可"),"利用可","不可")</f>
        <v>不可</v>
      </c>
      <c r="AY1135" s="30" t="str">
        <f aca="false">IF(AND(AQ1135="利用可",AT1135="利用可",AW1135="利用可"),"利用可","不可")</f>
        <v>不可</v>
      </c>
    </row>
    <row r="1136" customFormat="false" ht="15" hidden="false" customHeight="false" outlineLevel="0" collapsed="false">
      <c r="A1136" s="29" t="n">
        <v>46279</v>
      </c>
      <c r="B1136" s="30" t="n">
        <v>5</v>
      </c>
      <c r="C1136" s="31" t="s">
        <v>66</v>
      </c>
      <c r="D1136" s="31" t="s">
        <v>59</v>
      </c>
      <c r="E1136" s="30" t="n">
        <v>60</v>
      </c>
      <c r="F1136" s="30" t="n">
        <v>0</v>
      </c>
      <c r="G1136" s="30" t="str">
        <f aca="false">IF(E1136&lt;判定条件!$C$6,"判定不能",IF(F1136&gt;=判定条件!$C$7*E1136,"運転",IF(F1136&lt;=判定条件!$C$8*E1136,"停止","断続")))</f>
        <v>停止</v>
      </c>
      <c r="H1136" s="30" t="n">
        <v>60</v>
      </c>
      <c r="I1136" s="30" t="n">
        <v>0</v>
      </c>
      <c r="J1136" s="30" t="str">
        <f aca="false">IF(H1136&lt;判定条件!$C$6,"判定不能",IF(I1136&gt;=判定条件!$C$7*H1136,"運転",IF(I1136&lt;=判定条件!$C$8*H1136,"停止","断続")))</f>
        <v>停止</v>
      </c>
      <c r="K1136" s="30" t="n">
        <v>60</v>
      </c>
      <c r="L1136" s="30" t="n">
        <v>0</v>
      </c>
      <c r="M1136" s="30" t="str">
        <f aca="false">IF(K1136&lt;判定条件!$C$6,"判定不能",IF(L1136&gt;=判定条件!$C$7*K1136,"運転",IF(L1136&lt;=判定条件!$C$8*K1136,"停止","断続")))</f>
        <v>停止</v>
      </c>
      <c r="N1136" s="30" t="n">
        <v>60</v>
      </c>
      <c r="O1136" s="30" t="n">
        <v>0</v>
      </c>
      <c r="P1136" s="30" t="str">
        <f aca="false">IF(N1136&lt;判定条件!$C$6,"判定不能",IF(O1136&gt;=判定条件!$C$7*N1136,"運転",IF(O1136&lt;=判定条件!$C$8*N1136,"停止","断続")))</f>
        <v>停止</v>
      </c>
      <c r="Q1136" s="30" t="n">
        <v>60</v>
      </c>
      <c r="R1136" s="30" t="n">
        <v>0</v>
      </c>
      <c r="S1136" s="30" t="str">
        <f aca="false">IF(Q1136&lt;判定条件!$C$6,"判定不能",IF(R1136&gt;=判定条件!$C$7*Q1136,"運転",IF(R1136&lt;=判定条件!$C$8*Q1136,"停止","断続")))</f>
        <v>停止</v>
      </c>
      <c r="T1136" s="30" t="n">
        <v>60</v>
      </c>
      <c r="U1136" s="30" t="n">
        <v>0</v>
      </c>
      <c r="V1136" s="30" t="str">
        <f aca="false">IF(T1136&lt;判定条件!$C$6,"判定不能",IF(U1136&gt;=判定条件!$C$7*T1136,"運転",IF(U1136&lt;=判定条件!$C$8*T1136,"停止","断続")))</f>
        <v>停止</v>
      </c>
      <c r="W1136" s="30" t="n">
        <v>60</v>
      </c>
      <c r="X1136" s="30" t="n">
        <v>20</v>
      </c>
      <c r="Y1136" s="30" t="str">
        <f aca="false">IF(W1136&lt;判定条件!$C$6,"判定不能",IF(X1136&gt;=判定条件!$C$7*W1136,"運転",IF(X1136&lt;=判定条件!$C$8*W1136,"停止","断続")))</f>
        <v>断続</v>
      </c>
      <c r="Z1136" s="30" t="n">
        <v>60</v>
      </c>
      <c r="AA1136" s="30" t="n">
        <v>0</v>
      </c>
      <c r="AB1136" s="30" t="str">
        <f aca="false">IF(Z1136&lt;判定条件!$C$6,"判定不能",IF(AA1136&gt;=判定条件!$C$7*Z1136,"運転",IF(AA1136&lt;=判定条件!$C$8*Z1136,"停止","断続")))</f>
        <v>停止</v>
      </c>
      <c r="AC1136" s="30" t="n">
        <v>60</v>
      </c>
      <c r="AD1136" s="30" t="n">
        <v>0</v>
      </c>
      <c r="AE1136" s="30" t="str">
        <f aca="false">IF(AC1136&lt;判定条件!$C$6,"判定不能",IF(AD1136&gt;=判定条件!$C$7*AC1136,"運転",IF(AD1136&lt;=判定条件!$C$8*AC1136,"停止","断続")))</f>
        <v>停止</v>
      </c>
      <c r="AF1136" s="30" t="n">
        <v>60</v>
      </c>
      <c r="AG1136" s="30" t="n">
        <v>0</v>
      </c>
      <c r="AH1136" s="30" t="str">
        <f aca="false">IF(OR(P1136="判定不能",G1136="判定不能"),"判定不能",IF(AG1136&gt;=判定条件!$C$9,"利用可",IF(AND(P1136="停止",G1136="停止"),"両方停止","運転がそろわない")))</f>
        <v>両方停止</v>
      </c>
      <c r="AI1136" s="30" t="n">
        <v>60</v>
      </c>
      <c r="AJ1136" s="30" t="n">
        <v>0</v>
      </c>
      <c r="AK1136" s="30" t="str">
        <f aca="false">IF(OR(S1136="判定不能",J1136="判定不能"),"判定不能",IF(AJ1136&gt;=判定条件!$C$9,"利用可",IF(AND(S1136="停止",J1136="停止"),"両方停止","運転がそろわない")))</f>
        <v>両方停止</v>
      </c>
      <c r="AL1136" s="30" t="n">
        <v>60</v>
      </c>
      <c r="AM1136" s="30" t="n">
        <v>0</v>
      </c>
      <c r="AN1136" s="30" t="str">
        <f aca="false">IF(OR(V1136="判定不能",M1136="判定不能"),"判定不能",IF(AM1136&gt;=判定条件!$C$9,"利用可",IF(AND(V1136="停止",M1136="停止"),"両方停止","運転がそろわない")))</f>
        <v>両方停止</v>
      </c>
      <c r="AO1136" s="30" t="n">
        <v>60</v>
      </c>
      <c r="AP1136" s="30" t="n">
        <v>0</v>
      </c>
      <c r="AQ1136" s="30" t="str">
        <f aca="false">IF(OR(Y1136="判定不能",G1136="判定不能"),"判定不能",IF(AP1136&gt;=判定条件!$C$9,"利用可",IF(AND(Y1136="停止",G1136="停止"),"両方停止","運転がそろわない")))</f>
        <v>運転がそろわない</v>
      </c>
      <c r="AR1136" s="30" t="n">
        <v>60</v>
      </c>
      <c r="AS1136" s="30" t="n">
        <v>0</v>
      </c>
      <c r="AT1136" s="30" t="str">
        <f aca="false">IF(OR(AB1136="判定不能",J1136="判定不能"),"判定不能",IF(AS1136&gt;=判定条件!$C$9,"利用可",IF(AND(AB1136="停止",J1136="停止"),"両方停止","運転がそろわない")))</f>
        <v>両方停止</v>
      </c>
      <c r="AU1136" s="30" t="n">
        <v>60</v>
      </c>
      <c r="AV1136" s="30" t="n">
        <v>0</v>
      </c>
      <c r="AW1136" s="30" t="str">
        <f aca="false">IF(OR(AE1136="判定不能",M1136="判定不能"),"判定不能",IF(AV1136&gt;=判定条件!$C$9,"利用可",IF(AND(AE1136="停止",M1136="停止"),"両方停止","運転がそろわない")))</f>
        <v>両方停止</v>
      </c>
      <c r="AX1136" s="30" t="str">
        <f aca="false">IF(AND(AH1136="利用可",AK1136="利用可",AN1136="利用可"),"利用可","不可")</f>
        <v>不可</v>
      </c>
      <c r="AY1136" s="30" t="str">
        <f aca="false">IF(AND(AQ1136="利用可",AT1136="利用可",AW1136="利用可"),"利用可","不可")</f>
        <v>不可</v>
      </c>
    </row>
    <row r="1137" customFormat="false" ht="15" hidden="false" customHeight="false" outlineLevel="0" collapsed="false">
      <c r="A1137" s="29" t="n">
        <v>46279</v>
      </c>
      <c r="B1137" s="30" t="n">
        <v>6</v>
      </c>
      <c r="C1137" s="31" t="s">
        <v>66</v>
      </c>
      <c r="D1137" s="31" t="s">
        <v>59</v>
      </c>
      <c r="E1137" s="30" t="n">
        <v>60</v>
      </c>
      <c r="F1137" s="30" t="n">
        <v>0</v>
      </c>
      <c r="G1137" s="30" t="str">
        <f aca="false">IF(E1137&lt;判定条件!$C$6,"判定不能",IF(F1137&gt;=判定条件!$C$7*E1137,"運転",IF(F1137&lt;=判定条件!$C$8*E1137,"停止","断続")))</f>
        <v>停止</v>
      </c>
      <c r="H1137" s="30" t="n">
        <v>60</v>
      </c>
      <c r="I1137" s="30" t="n">
        <v>0</v>
      </c>
      <c r="J1137" s="30" t="str">
        <f aca="false">IF(H1137&lt;判定条件!$C$6,"判定不能",IF(I1137&gt;=判定条件!$C$7*H1137,"運転",IF(I1137&lt;=判定条件!$C$8*H1137,"停止","断続")))</f>
        <v>停止</v>
      </c>
      <c r="K1137" s="30" t="n">
        <v>60</v>
      </c>
      <c r="L1137" s="30" t="n">
        <v>9</v>
      </c>
      <c r="M1137" s="30" t="str">
        <f aca="false">IF(K1137&lt;判定条件!$C$6,"判定不能",IF(L1137&gt;=判定条件!$C$7*K1137,"運転",IF(L1137&lt;=判定条件!$C$8*K1137,"停止","断続")))</f>
        <v>停止</v>
      </c>
      <c r="N1137" s="30" t="n">
        <v>60</v>
      </c>
      <c r="O1137" s="30" t="n">
        <v>15</v>
      </c>
      <c r="P1137" s="30" t="str">
        <f aca="false">IF(N1137&lt;判定条件!$C$6,"判定不能",IF(O1137&gt;=判定条件!$C$7*N1137,"運転",IF(O1137&lt;=判定条件!$C$8*N1137,"停止","断続")))</f>
        <v>断続</v>
      </c>
      <c r="Q1137" s="30" t="n">
        <v>60</v>
      </c>
      <c r="R1137" s="30" t="n">
        <v>9</v>
      </c>
      <c r="S1137" s="30" t="str">
        <f aca="false">IF(Q1137&lt;判定条件!$C$6,"判定不能",IF(R1137&gt;=判定条件!$C$7*Q1137,"運転",IF(R1137&lt;=判定条件!$C$8*Q1137,"停止","断続")))</f>
        <v>停止</v>
      </c>
      <c r="T1137" s="30" t="n">
        <v>60</v>
      </c>
      <c r="U1137" s="30" t="n">
        <v>36</v>
      </c>
      <c r="V1137" s="30" t="str">
        <f aca="false">IF(T1137&lt;判定条件!$C$6,"判定不能",IF(U1137&gt;=判定条件!$C$7*T1137,"運転",IF(U1137&lt;=判定条件!$C$8*T1137,"停止","断続")))</f>
        <v>断続</v>
      </c>
      <c r="W1137" s="30" t="n">
        <v>60</v>
      </c>
      <c r="X1137" s="30" t="n">
        <v>24</v>
      </c>
      <c r="Y1137" s="30" t="str">
        <f aca="false">IF(W1137&lt;判定条件!$C$6,"判定不能",IF(X1137&gt;=判定条件!$C$7*W1137,"運転",IF(X1137&lt;=判定条件!$C$8*W1137,"停止","断続")))</f>
        <v>断続</v>
      </c>
      <c r="Z1137" s="30" t="n">
        <v>60</v>
      </c>
      <c r="AA1137" s="30" t="n">
        <v>13</v>
      </c>
      <c r="AB1137" s="30" t="str">
        <f aca="false">IF(Z1137&lt;判定条件!$C$6,"判定不能",IF(AA1137&gt;=判定条件!$C$7*Z1137,"運転",IF(AA1137&lt;=判定条件!$C$8*Z1137,"停止","断続")))</f>
        <v>断続</v>
      </c>
      <c r="AC1137" s="30" t="n">
        <v>60</v>
      </c>
      <c r="AD1137" s="30" t="n">
        <v>22</v>
      </c>
      <c r="AE1137" s="30" t="str">
        <f aca="false">IF(AC1137&lt;判定条件!$C$6,"判定不能",IF(AD1137&gt;=判定条件!$C$7*AC1137,"運転",IF(AD1137&lt;=判定条件!$C$8*AC1137,"停止","断続")))</f>
        <v>断続</v>
      </c>
      <c r="AF1137" s="30" t="n">
        <v>60</v>
      </c>
      <c r="AG1137" s="30" t="n">
        <v>0</v>
      </c>
      <c r="AH1137" s="30" t="str">
        <f aca="false">IF(OR(P1137="判定不能",G1137="判定不能"),"判定不能",IF(AG1137&gt;=判定条件!$C$9,"利用可",IF(AND(P1137="停止",G1137="停止"),"両方停止","運転がそろわない")))</f>
        <v>運転がそろわない</v>
      </c>
      <c r="AI1137" s="30" t="n">
        <v>60</v>
      </c>
      <c r="AJ1137" s="30" t="n">
        <v>0</v>
      </c>
      <c r="AK1137" s="30" t="str">
        <f aca="false">IF(OR(S1137="判定不能",J1137="判定不能"),"判定不能",IF(AJ1137&gt;=判定条件!$C$9,"利用可",IF(AND(S1137="停止",J1137="停止"),"両方停止","運転がそろわない")))</f>
        <v>両方停止</v>
      </c>
      <c r="AL1137" s="30" t="n">
        <v>60</v>
      </c>
      <c r="AM1137" s="30" t="n">
        <v>9</v>
      </c>
      <c r="AN1137" s="30" t="str">
        <f aca="false">IF(OR(V1137="判定不能",M1137="判定不能"),"判定不能",IF(AM1137&gt;=判定条件!$C$9,"利用可",IF(AND(V1137="停止",M1137="停止"),"両方停止","運転がそろわない")))</f>
        <v>運転がそろわない</v>
      </c>
      <c r="AO1137" s="30" t="n">
        <v>60</v>
      </c>
      <c r="AP1137" s="30" t="n">
        <v>0</v>
      </c>
      <c r="AQ1137" s="30" t="str">
        <f aca="false">IF(OR(Y1137="判定不能",G1137="判定不能"),"判定不能",IF(AP1137&gt;=判定条件!$C$9,"利用可",IF(AND(Y1137="停止",G1137="停止"),"両方停止","運転がそろわない")))</f>
        <v>運転がそろわない</v>
      </c>
      <c r="AR1137" s="30" t="n">
        <v>60</v>
      </c>
      <c r="AS1137" s="30" t="n">
        <v>0</v>
      </c>
      <c r="AT1137" s="30" t="str">
        <f aca="false">IF(OR(AB1137="判定不能",J1137="判定不能"),"判定不能",IF(AS1137&gt;=判定条件!$C$9,"利用可",IF(AND(AB1137="停止",J1137="停止"),"両方停止","運転がそろわない")))</f>
        <v>運転がそろわない</v>
      </c>
      <c r="AU1137" s="30" t="n">
        <v>60</v>
      </c>
      <c r="AV1137" s="30" t="n">
        <v>9</v>
      </c>
      <c r="AW1137" s="30" t="str">
        <f aca="false">IF(OR(AE1137="判定不能",M1137="判定不能"),"判定不能",IF(AV1137&gt;=判定条件!$C$9,"利用可",IF(AND(AE1137="停止",M1137="停止"),"両方停止","運転がそろわない")))</f>
        <v>運転がそろわない</v>
      </c>
      <c r="AX1137" s="30" t="str">
        <f aca="false">IF(AND(AH1137="利用可",AK1137="利用可",AN1137="利用可"),"利用可","不可")</f>
        <v>不可</v>
      </c>
      <c r="AY1137" s="30" t="str">
        <f aca="false">IF(AND(AQ1137="利用可",AT1137="利用可",AW1137="利用可"),"利用可","不可")</f>
        <v>不可</v>
      </c>
    </row>
    <row r="1138" customFormat="false" ht="15" hidden="false" customHeight="false" outlineLevel="0" collapsed="false">
      <c r="A1138" s="29" t="n">
        <v>46279</v>
      </c>
      <c r="B1138" s="30" t="n">
        <v>7</v>
      </c>
      <c r="C1138" s="31" t="s">
        <v>66</v>
      </c>
      <c r="D1138" s="31" t="s">
        <v>59</v>
      </c>
      <c r="E1138" s="30" t="n">
        <v>60</v>
      </c>
      <c r="F1138" s="30" t="n">
        <v>47</v>
      </c>
      <c r="G1138" s="30" t="str">
        <f aca="false">IF(E1138&lt;判定条件!$C$6,"判定不能",IF(F1138&gt;=判定条件!$C$7*E1138,"運転",IF(F1138&lt;=判定条件!$C$8*E1138,"停止","断続")))</f>
        <v>断続</v>
      </c>
      <c r="H1138" s="30" t="n">
        <v>60</v>
      </c>
      <c r="I1138" s="30" t="n">
        <v>56</v>
      </c>
      <c r="J1138" s="30" t="str">
        <f aca="false">IF(H1138&lt;判定条件!$C$6,"判定不能",IF(I1138&gt;=判定条件!$C$7*H1138,"運転",IF(I1138&lt;=判定条件!$C$8*H1138,"停止","断続")))</f>
        <v>運転</v>
      </c>
      <c r="K1138" s="30" t="n">
        <v>60</v>
      </c>
      <c r="L1138" s="30" t="n">
        <v>42</v>
      </c>
      <c r="M1138" s="30" t="str">
        <f aca="false">IF(K1138&lt;判定条件!$C$6,"判定不能",IF(L1138&gt;=判定条件!$C$7*K1138,"運転",IF(L1138&lt;=判定条件!$C$8*K1138,"停止","断続")))</f>
        <v>断続</v>
      </c>
      <c r="N1138" s="30" t="n">
        <v>60</v>
      </c>
      <c r="O1138" s="30" t="n">
        <v>60</v>
      </c>
      <c r="P1138" s="30" t="str">
        <f aca="false">IF(N1138&lt;判定条件!$C$6,"判定不能",IF(O1138&gt;=判定条件!$C$7*N1138,"運転",IF(O1138&lt;=判定条件!$C$8*N1138,"停止","断続")))</f>
        <v>運転</v>
      </c>
      <c r="Q1138" s="30" t="n">
        <v>60</v>
      </c>
      <c r="R1138" s="30" t="n">
        <v>50</v>
      </c>
      <c r="S1138" s="30" t="str">
        <f aca="false">IF(Q1138&lt;判定条件!$C$6,"判定不能",IF(R1138&gt;=判定条件!$C$7*Q1138,"運転",IF(R1138&lt;=判定条件!$C$8*Q1138,"停止","断続")))</f>
        <v>運転</v>
      </c>
      <c r="T1138" s="30" t="n">
        <v>60</v>
      </c>
      <c r="U1138" s="30" t="n">
        <v>35</v>
      </c>
      <c r="V1138" s="30" t="str">
        <f aca="false">IF(T1138&lt;判定条件!$C$6,"判定不能",IF(U1138&gt;=判定条件!$C$7*T1138,"運転",IF(U1138&lt;=判定条件!$C$8*T1138,"停止","断続")))</f>
        <v>断続</v>
      </c>
      <c r="W1138" s="30" t="n">
        <v>60</v>
      </c>
      <c r="X1138" s="30" t="n">
        <v>41</v>
      </c>
      <c r="Y1138" s="30" t="str">
        <f aca="false">IF(W1138&lt;判定条件!$C$6,"判定不能",IF(X1138&gt;=判定条件!$C$7*W1138,"運転",IF(X1138&lt;=判定条件!$C$8*W1138,"停止","断続")))</f>
        <v>断続</v>
      </c>
      <c r="Z1138" s="30" t="n">
        <v>60</v>
      </c>
      <c r="AA1138" s="30" t="n">
        <v>60</v>
      </c>
      <c r="AB1138" s="30" t="str">
        <f aca="false">IF(Z1138&lt;判定条件!$C$6,"判定不能",IF(AA1138&gt;=判定条件!$C$7*Z1138,"運転",IF(AA1138&lt;=判定条件!$C$8*Z1138,"停止","断続")))</f>
        <v>運転</v>
      </c>
      <c r="AC1138" s="30" t="n">
        <v>60</v>
      </c>
      <c r="AD1138" s="30" t="n">
        <v>60</v>
      </c>
      <c r="AE1138" s="30" t="str">
        <f aca="false">IF(AC1138&lt;判定条件!$C$6,"判定不能",IF(AD1138&gt;=判定条件!$C$7*AC1138,"運転",IF(AD1138&lt;=判定条件!$C$8*AC1138,"停止","断続")))</f>
        <v>運転</v>
      </c>
      <c r="AF1138" s="30" t="n">
        <v>60</v>
      </c>
      <c r="AG1138" s="30" t="n">
        <v>47</v>
      </c>
      <c r="AH1138" s="30" t="str">
        <f aca="false">IF(OR(P1138="判定不能",G1138="判定不能"),"判定不能",IF(AG1138&gt;=判定条件!$C$9,"利用可",IF(AND(P1138="停止",G1138="停止"),"両方停止","運転がそろわない")))</f>
        <v>利用可</v>
      </c>
      <c r="AI1138" s="30" t="n">
        <v>60</v>
      </c>
      <c r="AJ1138" s="30" t="n">
        <v>46</v>
      </c>
      <c r="AK1138" s="30" t="str">
        <f aca="false">IF(OR(S1138="判定不能",J1138="判定不能"),"判定不能",IF(AJ1138&gt;=判定条件!$C$9,"利用可",IF(AND(S1138="停止",J1138="停止"),"両方停止","運転がそろわない")))</f>
        <v>利用可</v>
      </c>
      <c r="AL1138" s="30" t="n">
        <v>60</v>
      </c>
      <c r="AM1138" s="30" t="n">
        <v>33</v>
      </c>
      <c r="AN1138" s="30" t="str">
        <f aca="false">IF(OR(V1138="判定不能",M1138="判定不能"),"判定不能",IF(AM1138&gt;=判定条件!$C$9,"利用可",IF(AND(V1138="停止",M1138="停止"),"両方停止","運転がそろわない")))</f>
        <v>利用可</v>
      </c>
      <c r="AO1138" s="30" t="n">
        <v>60</v>
      </c>
      <c r="AP1138" s="30" t="n">
        <v>33</v>
      </c>
      <c r="AQ1138" s="30" t="str">
        <f aca="false">IF(OR(Y1138="判定不能",G1138="判定不能"),"判定不能",IF(AP1138&gt;=判定条件!$C$9,"利用可",IF(AND(Y1138="停止",G1138="停止"),"両方停止","運転がそろわない")))</f>
        <v>利用可</v>
      </c>
      <c r="AR1138" s="30" t="n">
        <v>60</v>
      </c>
      <c r="AS1138" s="30" t="n">
        <v>56</v>
      </c>
      <c r="AT1138" s="30" t="str">
        <f aca="false">IF(OR(AB1138="判定不能",J1138="判定不能"),"判定不能",IF(AS1138&gt;=判定条件!$C$9,"利用可",IF(AND(AB1138="停止",J1138="停止"),"両方停止","運転がそろわない")))</f>
        <v>利用可</v>
      </c>
      <c r="AU1138" s="30" t="n">
        <v>60</v>
      </c>
      <c r="AV1138" s="30" t="n">
        <v>42</v>
      </c>
      <c r="AW1138" s="30" t="str">
        <f aca="false">IF(OR(AE1138="判定不能",M1138="判定不能"),"判定不能",IF(AV1138&gt;=判定条件!$C$9,"利用可",IF(AND(AE1138="停止",M1138="停止"),"両方停止","運転がそろわない")))</f>
        <v>利用可</v>
      </c>
      <c r="AX1138" s="30" t="str">
        <f aca="false">IF(AND(AH1138="利用可",AK1138="利用可",AN1138="利用可"),"利用可","不可")</f>
        <v>利用可</v>
      </c>
      <c r="AY1138" s="30" t="str">
        <f aca="false">IF(AND(AQ1138="利用可",AT1138="利用可",AW1138="利用可"),"利用可","不可")</f>
        <v>利用可</v>
      </c>
    </row>
    <row r="1139" customFormat="false" ht="15" hidden="false" customHeight="false" outlineLevel="0" collapsed="false">
      <c r="A1139" s="29" t="n">
        <v>46279</v>
      </c>
      <c r="B1139" s="30" t="n">
        <v>8</v>
      </c>
      <c r="C1139" s="31" t="s">
        <v>66</v>
      </c>
      <c r="D1139" s="31" t="s">
        <v>59</v>
      </c>
      <c r="E1139" s="30" t="n">
        <v>60</v>
      </c>
      <c r="F1139" s="30" t="n">
        <v>60</v>
      </c>
      <c r="G1139" s="30" t="str">
        <f aca="false">IF(E1139&lt;判定条件!$C$6,"判定不能",IF(F1139&gt;=判定条件!$C$7*E1139,"運転",IF(F1139&lt;=判定条件!$C$8*E1139,"停止","断続")))</f>
        <v>運転</v>
      </c>
      <c r="H1139" s="30" t="n">
        <v>60</v>
      </c>
      <c r="I1139" s="30" t="n">
        <v>39</v>
      </c>
      <c r="J1139" s="30" t="str">
        <f aca="false">IF(H1139&lt;判定条件!$C$6,"判定不能",IF(I1139&gt;=判定条件!$C$7*H1139,"運転",IF(I1139&lt;=判定条件!$C$8*H1139,"停止","断続")))</f>
        <v>断続</v>
      </c>
      <c r="K1139" s="30" t="n">
        <v>60</v>
      </c>
      <c r="L1139" s="30" t="n">
        <v>47</v>
      </c>
      <c r="M1139" s="30" t="str">
        <f aca="false">IF(K1139&lt;判定条件!$C$6,"判定不能",IF(L1139&gt;=判定条件!$C$7*K1139,"運転",IF(L1139&lt;=判定条件!$C$8*K1139,"停止","断続")))</f>
        <v>断続</v>
      </c>
      <c r="N1139" s="30" t="n">
        <v>60</v>
      </c>
      <c r="O1139" s="30" t="n">
        <v>60</v>
      </c>
      <c r="P1139" s="30" t="str">
        <f aca="false">IF(N1139&lt;判定条件!$C$6,"判定不能",IF(O1139&gt;=判定条件!$C$7*N1139,"運転",IF(O1139&lt;=判定条件!$C$8*N1139,"停止","断続")))</f>
        <v>運転</v>
      </c>
      <c r="Q1139" s="30" t="n">
        <v>60</v>
      </c>
      <c r="R1139" s="30" t="n">
        <v>57</v>
      </c>
      <c r="S1139" s="30" t="str">
        <f aca="false">IF(Q1139&lt;判定条件!$C$6,"判定不能",IF(R1139&gt;=判定条件!$C$7*Q1139,"運転",IF(R1139&lt;=判定条件!$C$8*Q1139,"停止","断続")))</f>
        <v>運転</v>
      </c>
      <c r="T1139" s="30" t="n">
        <v>60</v>
      </c>
      <c r="U1139" s="30" t="n">
        <v>50</v>
      </c>
      <c r="V1139" s="30" t="str">
        <f aca="false">IF(T1139&lt;判定条件!$C$6,"判定不能",IF(U1139&gt;=判定条件!$C$7*T1139,"運転",IF(U1139&lt;=判定条件!$C$8*T1139,"停止","断続")))</f>
        <v>運転</v>
      </c>
      <c r="W1139" s="30" t="n">
        <v>60</v>
      </c>
      <c r="X1139" s="30" t="n">
        <v>60</v>
      </c>
      <c r="Y1139" s="30" t="str">
        <f aca="false">IF(W1139&lt;判定条件!$C$6,"判定不能",IF(X1139&gt;=判定条件!$C$7*W1139,"運転",IF(X1139&lt;=判定条件!$C$8*W1139,"停止","断続")))</f>
        <v>運転</v>
      </c>
      <c r="Z1139" s="30" t="n">
        <v>60</v>
      </c>
      <c r="AA1139" s="30" t="n">
        <v>60</v>
      </c>
      <c r="AB1139" s="30" t="str">
        <f aca="false">IF(Z1139&lt;判定条件!$C$6,"判定不能",IF(AA1139&gt;=判定条件!$C$7*Z1139,"運転",IF(AA1139&lt;=判定条件!$C$8*Z1139,"停止","断続")))</f>
        <v>運転</v>
      </c>
      <c r="AC1139" s="30" t="n">
        <v>60</v>
      </c>
      <c r="AD1139" s="30" t="n">
        <v>55</v>
      </c>
      <c r="AE1139" s="30" t="str">
        <f aca="false">IF(AC1139&lt;判定条件!$C$6,"判定不能",IF(AD1139&gt;=判定条件!$C$7*AC1139,"運転",IF(AD1139&lt;=判定条件!$C$8*AC1139,"停止","断続")))</f>
        <v>運転</v>
      </c>
      <c r="AF1139" s="30" t="n">
        <v>60</v>
      </c>
      <c r="AG1139" s="30" t="n">
        <v>60</v>
      </c>
      <c r="AH1139" s="30" t="str">
        <f aca="false">IF(OR(P1139="判定不能",G1139="判定不能"),"判定不能",IF(AG1139&gt;=判定条件!$C$9,"利用可",IF(AND(P1139="停止",G1139="停止"),"両方停止","運転がそろわない")))</f>
        <v>利用可</v>
      </c>
      <c r="AI1139" s="30" t="n">
        <v>60</v>
      </c>
      <c r="AJ1139" s="30" t="n">
        <v>39</v>
      </c>
      <c r="AK1139" s="30" t="str">
        <f aca="false">IF(OR(S1139="判定不能",J1139="判定不能"),"判定不能",IF(AJ1139&gt;=判定条件!$C$9,"利用可",IF(AND(S1139="停止",J1139="停止"),"両方停止","運転がそろわない")))</f>
        <v>利用可</v>
      </c>
      <c r="AL1139" s="30" t="n">
        <v>60</v>
      </c>
      <c r="AM1139" s="30" t="n">
        <v>37</v>
      </c>
      <c r="AN1139" s="30" t="str">
        <f aca="false">IF(OR(V1139="判定不能",M1139="判定不能"),"判定不能",IF(AM1139&gt;=判定条件!$C$9,"利用可",IF(AND(V1139="停止",M1139="停止"),"両方停止","運転がそろわない")))</f>
        <v>利用可</v>
      </c>
      <c r="AO1139" s="30" t="n">
        <v>60</v>
      </c>
      <c r="AP1139" s="30" t="n">
        <v>60</v>
      </c>
      <c r="AQ1139" s="30" t="str">
        <f aca="false">IF(OR(Y1139="判定不能",G1139="判定不能"),"判定不能",IF(AP1139&gt;=判定条件!$C$9,"利用可",IF(AND(Y1139="停止",G1139="停止"),"両方停止","運転がそろわない")))</f>
        <v>利用可</v>
      </c>
      <c r="AR1139" s="30" t="n">
        <v>60</v>
      </c>
      <c r="AS1139" s="30" t="n">
        <v>39</v>
      </c>
      <c r="AT1139" s="30" t="str">
        <f aca="false">IF(OR(AB1139="判定不能",J1139="判定不能"),"判定不能",IF(AS1139&gt;=判定条件!$C$9,"利用可",IF(AND(AB1139="停止",J1139="停止"),"両方停止","運転がそろわない")))</f>
        <v>利用可</v>
      </c>
      <c r="AU1139" s="30" t="n">
        <v>60</v>
      </c>
      <c r="AV1139" s="30" t="n">
        <v>42</v>
      </c>
      <c r="AW1139" s="30" t="str">
        <f aca="false">IF(OR(AE1139="判定不能",M1139="判定不能"),"判定不能",IF(AV1139&gt;=判定条件!$C$9,"利用可",IF(AND(AE1139="停止",M1139="停止"),"両方停止","運転がそろわない")))</f>
        <v>利用可</v>
      </c>
      <c r="AX1139" s="30" t="str">
        <f aca="false">IF(AND(AH1139="利用可",AK1139="利用可",AN1139="利用可"),"利用可","不可")</f>
        <v>利用可</v>
      </c>
      <c r="AY1139" s="30" t="str">
        <f aca="false">IF(AND(AQ1139="利用可",AT1139="利用可",AW1139="利用可"),"利用可","不可")</f>
        <v>利用可</v>
      </c>
    </row>
    <row r="1140" customFormat="false" ht="15" hidden="false" customHeight="false" outlineLevel="0" collapsed="false">
      <c r="A1140" s="29" t="n">
        <v>46279</v>
      </c>
      <c r="B1140" s="30" t="n">
        <v>9</v>
      </c>
      <c r="C1140" s="31" t="s">
        <v>66</v>
      </c>
      <c r="D1140" s="31" t="s">
        <v>59</v>
      </c>
      <c r="E1140" s="30" t="n">
        <v>60</v>
      </c>
      <c r="F1140" s="30" t="n">
        <v>60</v>
      </c>
      <c r="G1140" s="30" t="str">
        <f aca="false">IF(E1140&lt;判定条件!$C$6,"判定不能",IF(F1140&gt;=判定条件!$C$7*E1140,"運転",IF(F1140&lt;=判定条件!$C$8*E1140,"停止","断続")))</f>
        <v>運転</v>
      </c>
      <c r="H1140" s="30" t="n">
        <v>60</v>
      </c>
      <c r="I1140" s="30" t="n">
        <v>60</v>
      </c>
      <c r="J1140" s="30" t="str">
        <f aca="false">IF(H1140&lt;判定条件!$C$6,"判定不能",IF(I1140&gt;=判定条件!$C$7*H1140,"運転",IF(I1140&lt;=判定条件!$C$8*H1140,"停止","断続")))</f>
        <v>運転</v>
      </c>
      <c r="K1140" s="30" t="n">
        <v>60</v>
      </c>
      <c r="L1140" s="30" t="n">
        <v>60</v>
      </c>
      <c r="M1140" s="30" t="str">
        <f aca="false">IF(K1140&lt;判定条件!$C$6,"判定不能",IF(L1140&gt;=判定条件!$C$7*K1140,"運転",IF(L1140&lt;=判定条件!$C$8*K1140,"停止","断続")))</f>
        <v>運転</v>
      </c>
      <c r="N1140" s="30" t="n">
        <v>60</v>
      </c>
      <c r="O1140" s="30" t="n">
        <v>60</v>
      </c>
      <c r="P1140" s="30" t="str">
        <f aca="false">IF(N1140&lt;判定条件!$C$6,"判定不能",IF(O1140&gt;=判定条件!$C$7*N1140,"運転",IF(O1140&lt;=判定条件!$C$8*N1140,"停止","断続")))</f>
        <v>運転</v>
      </c>
      <c r="Q1140" s="30" t="n">
        <v>60</v>
      </c>
      <c r="R1140" s="30" t="n">
        <v>60</v>
      </c>
      <c r="S1140" s="30" t="str">
        <f aca="false">IF(Q1140&lt;判定条件!$C$6,"判定不能",IF(R1140&gt;=判定条件!$C$7*Q1140,"運転",IF(R1140&lt;=判定条件!$C$8*Q1140,"停止","断続")))</f>
        <v>運転</v>
      </c>
      <c r="T1140" s="30" t="n">
        <v>60</v>
      </c>
      <c r="U1140" s="30" t="n">
        <v>52</v>
      </c>
      <c r="V1140" s="30" t="str">
        <f aca="false">IF(T1140&lt;判定条件!$C$6,"判定不能",IF(U1140&gt;=判定条件!$C$7*T1140,"運転",IF(U1140&lt;=判定条件!$C$8*T1140,"停止","断続")))</f>
        <v>運転</v>
      </c>
      <c r="W1140" s="30" t="n">
        <v>60</v>
      </c>
      <c r="X1140" s="30" t="n">
        <v>60</v>
      </c>
      <c r="Y1140" s="30" t="str">
        <f aca="false">IF(W1140&lt;判定条件!$C$6,"判定不能",IF(X1140&gt;=判定条件!$C$7*W1140,"運転",IF(X1140&lt;=判定条件!$C$8*W1140,"停止","断続")))</f>
        <v>運転</v>
      </c>
      <c r="Z1140" s="30" t="n">
        <v>60</v>
      </c>
      <c r="AA1140" s="30" t="n">
        <v>60</v>
      </c>
      <c r="AB1140" s="30" t="str">
        <f aca="false">IF(Z1140&lt;判定条件!$C$6,"判定不能",IF(AA1140&gt;=判定条件!$C$7*Z1140,"運転",IF(AA1140&lt;=判定条件!$C$8*Z1140,"停止","断続")))</f>
        <v>運転</v>
      </c>
      <c r="AC1140" s="30" t="n">
        <v>60</v>
      </c>
      <c r="AD1140" s="30" t="n">
        <v>60</v>
      </c>
      <c r="AE1140" s="30" t="str">
        <f aca="false">IF(AC1140&lt;判定条件!$C$6,"判定不能",IF(AD1140&gt;=判定条件!$C$7*AC1140,"運転",IF(AD1140&lt;=判定条件!$C$8*AC1140,"停止","断続")))</f>
        <v>運転</v>
      </c>
      <c r="AF1140" s="30" t="n">
        <v>60</v>
      </c>
      <c r="AG1140" s="30" t="n">
        <v>60</v>
      </c>
      <c r="AH1140" s="30" t="str">
        <f aca="false">IF(OR(P1140="判定不能",G1140="判定不能"),"判定不能",IF(AG1140&gt;=判定条件!$C$9,"利用可",IF(AND(P1140="停止",G1140="停止"),"両方停止","運転がそろわない")))</f>
        <v>利用可</v>
      </c>
      <c r="AI1140" s="30" t="n">
        <v>60</v>
      </c>
      <c r="AJ1140" s="30" t="n">
        <v>60</v>
      </c>
      <c r="AK1140" s="30" t="str">
        <f aca="false">IF(OR(S1140="判定不能",J1140="判定不能"),"判定不能",IF(AJ1140&gt;=判定条件!$C$9,"利用可",IF(AND(S1140="停止",J1140="停止"),"両方停止","運転がそろわない")))</f>
        <v>利用可</v>
      </c>
      <c r="AL1140" s="30" t="n">
        <v>60</v>
      </c>
      <c r="AM1140" s="30" t="n">
        <v>52</v>
      </c>
      <c r="AN1140" s="30" t="str">
        <f aca="false">IF(OR(V1140="判定不能",M1140="判定不能"),"判定不能",IF(AM1140&gt;=判定条件!$C$9,"利用可",IF(AND(V1140="停止",M1140="停止"),"両方停止","運転がそろわない")))</f>
        <v>利用可</v>
      </c>
      <c r="AO1140" s="30" t="n">
        <v>60</v>
      </c>
      <c r="AP1140" s="30" t="n">
        <v>60</v>
      </c>
      <c r="AQ1140" s="30" t="str">
        <f aca="false">IF(OR(Y1140="判定不能",G1140="判定不能"),"判定不能",IF(AP1140&gt;=判定条件!$C$9,"利用可",IF(AND(Y1140="停止",G1140="停止"),"両方停止","運転がそろわない")))</f>
        <v>利用可</v>
      </c>
      <c r="AR1140" s="30" t="n">
        <v>60</v>
      </c>
      <c r="AS1140" s="30" t="n">
        <v>60</v>
      </c>
      <c r="AT1140" s="30" t="str">
        <f aca="false">IF(OR(AB1140="判定不能",J1140="判定不能"),"判定不能",IF(AS1140&gt;=判定条件!$C$9,"利用可",IF(AND(AB1140="停止",J1140="停止"),"両方停止","運転がそろわない")))</f>
        <v>利用可</v>
      </c>
      <c r="AU1140" s="30" t="n">
        <v>60</v>
      </c>
      <c r="AV1140" s="30" t="n">
        <v>60</v>
      </c>
      <c r="AW1140" s="30" t="str">
        <f aca="false">IF(OR(AE1140="判定不能",M1140="判定不能"),"判定不能",IF(AV1140&gt;=判定条件!$C$9,"利用可",IF(AND(AE1140="停止",M1140="停止"),"両方停止","運転がそろわない")))</f>
        <v>利用可</v>
      </c>
      <c r="AX1140" s="30" t="str">
        <f aca="false">IF(AND(AH1140="利用可",AK1140="利用可",AN1140="利用可"),"利用可","不可")</f>
        <v>利用可</v>
      </c>
      <c r="AY1140" s="30" t="str">
        <f aca="false">IF(AND(AQ1140="利用可",AT1140="利用可",AW1140="利用可"),"利用可","不可")</f>
        <v>利用可</v>
      </c>
    </row>
    <row r="1141" customFormat="false" ht="15" hidden="false" customHeight="false" outlineLevel="0" collapsed="false">
      <c r="A1141" s="29" t="n">
        <v>46279</v>
      </c>
      <c r="B1141" s="30" t="n">
        <v>10</v>
      </c>
      <c r="C1141" s="31" t="s">
        <v>66</v>
      </c>
      <c r="D1141" s="31" t="s">
        <v>59</v>
      </c>
      <c r="E1141" s="30" t="n">
        <v>60</v>
      </c>
      <c r="F1141" s="30" t="n">
        <v>60</v>
      </c>
      <c r="G1141" s="30" t="str">
        <f aca="false">IF(E1141&lt;判定条件!$C$6,"判定不能",IF(F1141&gt;=判定条件!$C$7*E1141,"運転",IF(F1141&lt;=判定条件!$C$8*E1141,"停止","断続")))</f>
        <v>運転</v>
      </c>
      <c r="H1141" s="30" t="n">
        <v>60</v>
      </c>
      <c r="I1141" s="30" t="n">
        <v>60</v>
      </c>
      <c r="J1141" s="30" t="str">
        <f aca="false">IF(H1141&lt;判定条件!$C$6,"判定不能",IF(I1141&gt;=判定条件!$C$7*H1141,"運転",IF(I1141&lt;=判定条件!$C$8*H1141,"停止","断続")))</f>
        <v>運転</v>
      </c>
      <c r="K1141" s="30" t="n">
        <v>60</v>
      </c>
      <c r="L1141" s="30" t="n">
        <v>60</v>
      </c>
      <c r="M1141" s="30" t="str">
        <f aca="false">IF(K1141&lt;判定条件!$C$6,"判定不能",IF(L1141&gt;=判定条件!$C$7*K1141,"運転",IF(L1141&lt;=判定条件!$C$8*K1141,"停止","断続")))</f>
        <v>運転</v>
      </c>
      <c r="N1141" s="30" t="n">
        <v>60</v>
      </c>
      <c r="O1141" s="30" t="n">
        <v>60</v>
      </c>
      <c r="P1141" s="30" t="str">
        <f aca="false">IF(N1141&lt;判定条件!$C$6,"判定不能",IF(O1141&gt;=判定条件!$C$7*N1141,"運転",IF(O1141&lt;=判定条件!$C$8*N1141,"停止","断続")))</f>
        <v>運転</v>
      </c>
      <c r="Q1141" s="30" t="n">
        <v>60</v>
      </c>
      <c r="R1141" s="30" t="n">
        <v>60</v>
      </c>
      <c r="S1141" s="30" t="str">
        <f aca="false">IF(Q1141&lt;判定条件!$C$6,"判定不能",IF(R1141&gt;=判定条件!$C$7*Q1141,"運転",IF(R1141&lt;=判定条件!$C$8*Q1141,"停止","断続")))</f>
        <v>運転</v>
      </c>
      <c r="T1141" s="30" t="n">
        <v>60</v>
      </c>
      <c r="U1141" s="30" t="n">
        <v>41</v>
      </c>
      <c r="V1141" s="30" t="str">
        <f aca="false">IF(T1141&lt;判定条件!$C$6,"判定不能",IF(U1141&gt;=判定条件!$C$7*T1141,"運転",IF(U1141&lt;=判定条件!$C$8*T1141,"停止","断続")))</f>
        <v>断続</v>
      </c>
      <c r="W1141" s="30" t="n">
        <v>60</v>
      </c>
      <c r="X1141" s="30" t="n">
        <v>60</v>
      </c>
      <c r="Y1141" s="30" t="str">
        <f aca="false">IF(W1141&lt;判定条件!$C$6,"判定不能",IF(X1141&gt;=判定条件!$C$7*W1141,"運転",IF(X1141&lt;=判定条件!$C$8*W1141,"停止","断続")))</f>
        <v>運転</v>
      </c>
      <c r="Z1141" s="30" t="n">
        <v>60</v>
      </c>
      <c r="AA1141" s="30" t="n">
        <v>60</v>
      </c>
      <c r="AB1141" s="30" t="str">
        <f aca="false">IF(Z1141&lt;判定条件!$C$6,"判定不能",IF(AA1141&gt;=判定条件!$C$7*Z1141,"運転",IF(AA1141&lt;=判定条件!$C$8*Z1141,"停止","断続")))</f>
        <v>運転</v>
      </c>
      <c r="AC1141" s="30" t="n">
        <v>60</v>
      </c>
      <c r="AD1141" s="30" t="n">
        <v>58</v>
      </c>
      <c r="AE1141" s="30" t="str">
        <f aca="false">IF(AC1141&lt;判定条件!$C$6,"判定不能",IF(AD1141&gt;=判定条件!$C$7*AC1141,"運転",IF(AD1141&lt;=判定条件!$C$8*AC1141,"停止","断続")))</f>
        <v>運転</v>
      </c>
      <c r="AF1141" s="30" t="n">
        <v>60</v>
      </c>
      <c r="AG1141" s="30" t="n">
        <v>60</v>
      </c>
      <c r="AH1141" s="30" t="str">
        <f aca="false">IF(OR(P1141="判定不能",G1141="判定不能"),"判定不能",IF(AG1141&gt;=判定条件!$C$9,"利用可",IF(AND(P1141="停止",G1141="停止"),"両方停止","運転がそろわない")))</f>
        <v>利用可</v>
      </c>
      <c r="AI1141" s="30" t="n">
        <v>60</v>
      </c>
      <c r="AJ1141" s="30" t="n">
        <v>60</v>
      </c>
      <c r="AK1141" s="30" t="str">
        <f aca="false">IF(OR(S1141="判定不能",J1141="判定不能"),"判定不能",IF(AJ1141&gt;=判定条件!$C$9,"利用可",IF(AND(S1141="停止",J1141="停止"),"両方停止","運転がそろわない")))</f>
        <v>利用可</v>
      </c>
      <c r="AL1141" s="30" t="n">
        <v>60</v>
      </c>
      <c r="AM1141" s="30" t="n">
        <v>41</v>
      </c>
      <c r="AN1141" s="30" t="str">
        <f aca="false">IF(OR(V1141="判定不能",M1141="判定不能"),"判定不能",IF(AM1141&gt;=判定条件!$C$9,"利用可",IF(AND(V1141="停止",M1141="停止"),"両方停止","運転がそろわない")))</f>
        <v>利用可</v>
      </c>
      <c r="AO1141" s="30" t="n">
        <v>60</v>
      </c>
      <c r="AP1141" s="30" t="n">
        <v>60</v>
      </c>
      <c r="AQ1141" s="30" t="str">
        <f aca="false">IF(OR(Y1141="判定不能",G1141="判定不能"),"判定不能",IF(AP1141&gt;=判定条件!$C$9,"利用可",IF(AND(Y1141="停止",G1141="停止"),"両方停止","運転がそろわない")))</f>
        <v>利用可</v>
      </c>
      <c r="AR1141" s="30" t="n">
        <v>60</v>
      </c>
      <c r="AS1141" s="30" t="n">
        <v>60</v>
      </c>
      <c r="AT1141" s="30" t="str">
        <f aca="false">IF(OR(AB1141="判定不能",J1141="判定不能"),"判定不能",IF(AS1141&gt;=判定条件!$C$9,"利用可",IF(AND(AB1141="停止",J1141="停止"),"両方停止","運転がそろわない")))</f>
        <v>利用可</v>
      </c>
      <c r="AU1141" s="30" t="n">
        <v>60</v>
      </c>
      <c r="AV1141" s="30" t="n">
        <v>58</v>
      </c>
      <c r="AW1141" s="30" t="str">
        <f aca="false">IF(OR(AE1141="判定不能",M1141="判定不能"),"判定不能",IF(AV1141&gt;=判定条件!$C$9,"利用可",IF(AND(AE1141="停止",M1141="停止"),"両方停止","運転がそろわない")))</f>
        <v>利用可</v>
      </c>
      <c r="AX1141" s="30" t="str">
        <f aca="false">IF(AND(AH1141="利用可",AK1141="利用可",AN1141="利用可"),"利用可","不可")</f>
        <v>利用可</v>
      </c>
      <c r="AY1141" s="30" t="str">
        <f aca="false">IF(AND(AQ1141="利用可",AT1141="利用可",AW1141="利用可"),"利用可","不可")</f>
        <v>利用可</v>
      </c>
    </row>
    <row r="1142" customFormat="false" ht="15" hidden="false" customHeight="false" outlineLevel="0" collapsed="false">
      <c r="A1142" s="29" t="n">
        <v>46279</v>
      </c>
      <c r="B1142" s="30" t="n">
        <v>11</v>
      </c>
      <c r="C1142" s="31" t="s">
        <v>66</v>
      </c>
      <c r="D1142" s="31" t="s">
        <v>59</v>
      </c>
      <c r="E1142" s="30" t="n">
        <v>60</v>
      </c>
      <c r="F1142" s="30" t="n">
        <v>60</v>
      </c>
      <c r="G1142" s="30" t="str">
        <f aca="false">IF(E1142&lt;判定条件!$C$6,"判定不能",IF(F1142&gt;=判定条件!$C$7*E1142,"運転",IF(F1142&lt;=判定条件!$C$8*E1142,"停止","断続")))</f>
        <v>運転</v>
      </c>
      <c r="H1142" s="30" t="n">
        <v>60</v>
      </c>
      <c r="I1142" s="30" t="n">
        <v>60</v>
      </c>
      <c r="J1142" s="30" t="str">
        <f aca="false">IF(H1142&lt;判定条件!$C$6,"判定不能",IF(I1142&gt;=判定条件!$C$7*H1142,"運転",IF(I1142&lt;=判定条件!$C$8*H1142,"停止","断続")))</f>
        <v>運転</v>
      </c>
      <c r="K1142" s="30" t="n">
        <v>60</v>
      </c>
      <c r="L1142" s="30" t="n">
        <v>60</v>
      </c>
      <c r="M1142" s="30" t="str">
        <f aca="false">IF(K1142&lt;判定条件!$C$6,"判定不能",IF(L1142&gt;=判定条件!$C$7*K1142,"運転",IF(L1142&lt;=判定条件!$C$8*K1142,"停止","断続")))</f>
        <v>運転</v>
      </c>
      <c r="N1142" s="30" t="n">
        <v>60</v>
      </c>
      <c r="O1142" s="30" t="n">
        <v>60</v>
      </c>
      <c r="P1142" s="30" t="str">
        <f aca="false">IF(N1142&lt;判定条件!$C$6,"判定不能",IF(O1142&gt;=判定条件!$C$7*N1142,"運転",IF(O1142&lt;=判定条件!$C$8*N1142,"停止","断続")))</f>
        <v>運転</v>
      </c>
      <c r="Q1142" s="30" t="n">
        <v>60</v>
      </c>
      <c r="R1142" s="30" t="n">
        <v>60</v>
      </c>
      <c r="S1142" s="30" t="str">
        <f aca="false">IF(Q1142&lt;判定条件!$C$6,"判定不能",IF(R1142&gt;=判定条件!$C$7*Q1142,"運転",IF(R1142&lt;=判定条件!$C$8*Q1142,"停止","断続")))</f>
        <v>運転</v>
      </c>
      <c r="T1142" s="30" t="n">
        <v>60</v>
      </c>
      <c r="U1142" s="30" t="n">
        <v>60</v>
      </c>
      <c r="V1142" s="30" t="str">
        <f aca="false">IF(T1142&lt;判定条件!$C$6,"判定不能",IF(U1142&gt;=判定条件!$C$7*T1142,"運転",IF(U1142&lt;=判定条件!$C$8*T1142,"停止","断続")))</f>
        <v>運転</v>
      </c>
      <c r="W1142" s="30" t="n">
        <v>60</v>
      </c>
      <c r="X1142" s="30" t="n">
        <v>60</v>
      </c>
      <c r="Y1142" s="30" t="str">
        <f aca="false">IF(W1142&lt;判定条件!$C$6,"判定不能",IF(X1142&gt;=判定条件!$C$7*W1142,"運転",IF(X1142&lt;=判定条件!$C$8*W1142,"停止","断続")))</f>
        <v>運転</v>
      </c>
      <c r="Z1142" s="30" t="n">
        <v>60</v>
      </c>
      <c r="AA1142" s="30" t="n">
        <v>60</v>
      </c>
      <c r="AB1142" s="30" t="str">
        <f aca="false">IF(Z1142&lt;判定条件!$C$6,"判定不能",IF(AA1142&gt;=判定条件!$C$7*Z1142,"運転",IF(AA1142&lt;=判定条件!$C$8*Z1142,"停止","断続")))</f>
        <v>運転</v>
      </c>
      <c r="AC1142" s="30" t="n">
        <v>60</v>
      </c>
      <c r="AD1142" s="30" t="n">
        <v>47</v>
      </c>
      <c r="AE1142" s="30" t="str">
        <f aca="false">IF(AC1142&lt;判定条件!$C$6,"判定不能",IF(AD1142&gt;=判定条件!$C$7*AC1142,"運転",IF(AD1142&lt;=判定条件!$C$8*AC1142,"停止","断続")))</f>
        <v>断続</v>
      </c>
      <c r="AF1142" s="30" t="n">
        <v>60</v>
      </c>
      <c r="AG1142" s="30" t="n">
        <v>60</v>
      </c>
      <c r="AH1142" s="30" t="str">
        <f aca="false">IF(OR(P1142="判定不能",G1142="判定不能"),"判定不能",IF(AG1142&gt;=判定条件!$C$9,"利用可",IF(AND(P1142="停止",G1142="停止"),"両方停止","運転がそろわない")))</f>
        <v>利用可</v>
      </c>
      <c r="AI1142" s="30" t="n">
        <v>60</v>
      </c>
      <c r="AJ1142" s="30" t="n">
        <v>60</v>
      </c>
      <c r="AK1142" s="30" t="str">
        <f aca="false">IF(OR(S1142="判定不能",J1142="判定不能"),"判定不能",IF(AJ1142&gt;=判定条件!$C$9,"利用可",IF(AND(S1142="停止",J1142="停止"),"両方停止","運転がそろわない")))</f>
        <v>利用可</v>
      </c>
      <c r="AL1142" s="30" t="n">
        <v>60</v>
      </c>
      <c r="AM1142" s="30" t="n">
        <v>60</v>
      </c>
      <c r="AN1142" s="30" t="str">
        <f aca="false">IF(OR(V1142="判定不能",M1142="判定不能"),"判定不能",IF(AM1142&gt;=判定条件!$C$9,"利用可",IF(AND(V1142="停止",M1142="停止"),"両方停止","運転がそろわない")))</f>
        <v>利用可</v>
      </c>
      <c r="AO1142" s="30" t="n">
        <v>60</v>
      </c>
      <c r="AP1142" s="30" t="n">
        <v>60</v>
      </c>
      <c r="AQ1142" s="30" t="str">
        <f aca="false">IF(OR(Y1142="判定不能",G1142="判定不能"),"判定不能",IF(AP1142&gt;=判定条件!$C$9,"利用可",IF(AND(Y1142="停止",G1142="停止"),"両方停止","運転がそろわない")))</f>
        <v>利用可</v>
      </c>
      <c r="AR1142" s="30" t="n">
        <v>60</v>
      </c>
      <c r="AS1142" s="30" t="n">
        <v>60</v>
      </c>
      <c r="AT1142" s="30" t="str">
        <f aca="false">IF(OR(AB1142="判定不能",J1142="判定不能"),"判定不能",IF(AS1142&gt;=判定条件!$C$9,"利用可",IF(AND(AB1142="停止",J1142="停止"),"両方停止","運転がそろわない")))</f>
        <v>利用可</v>
      </c>
      <c r="AU1142" s="30" t="n">
        <v>60</v>
      </c>
      <c r="AV1142" s="30" t="n">
        <v>47</v>
      </c>
      <c r="AW1142" s="30" t="str">
        <f aca="false">IF(OR(AE1142="判定不能",M1142="判定不能"),"判定不能",IF(AV1142&gt;=判定条件!$C$9,"利用可",IF(AND(AE1142="停止",M1142="停止"),"両方停止","運転がそろわない")))</f>
        <v>利用可</v>
      </c>
      <c r="AX1142" s="30" t="str">
        <f aca="false">IF(AND(AH1142="利用可",AK1142="利用可",AN1142="利用可"),"利用可","不可")</f>
        <v>利用可</v>
      </c>
      <c r="AY1142" s="30" t="str">
        <f aca="false">IF(AND(AQ1142="利用可",AT1142="利用可",AW1142="利用可"),"利用可","不可")</f>
        <v>利用可</v>
      </c>
    </row>
    <row r="1143" customFormat="false" ht="15" hidden="false" customHeight="false" outlineLevel="0" collapsed="false">
      <c r="A1143" s="29" t="n">
        <v>46279</v>
      </c>
      <c r="B1143" s="30" t="n">
        <v>12</v>
      </c>
      <c r="C1143" s="31" t="s">
        <v>66</v>
      </c>
      <c r="D1143" s="31" t="s">
        <v>59</v>
      </c>
      <c r="E1143" s="30" t="n">
        <v>60</v>
      </c>
      <c r="F1143" s="30" t="n">
        <v>60</v>
      </c>
      <c r="G1143" s="30" t="str">
        <f aca="false">IF(E1143&lt;判定条件!$C$6,"判定不能",IF(F1143&gt;=判定条件!$C$7*E1143,"運転",IF(F1143&lt;=判定条件!$C$8*E1143,"停止","断続")))</f>
        <v>運転</v>
      </c>
      <c r="H1143" s="30" t="n">
        <v>60</v>
      </c>
      <c r="I1143" s="30" t="n">
        <v>60</v>
      </c>
      <c r="J1143" s="30" t="str">
        <f aca="false">IF(H1143&lt;判定条件!$C$6,"判定不能",IF(I1143&gt;=判定条件!$C$7*H1143,"運転",IF(I1143&lt;=判定条件!$C$8*H1143,"停止","断続")))</f>
        <v>運転</v>
      </c>
      <c r="K1143" s="30" t="n">
        <v>60</v>
      </c>
      <c r="L1143" s="30" t="n">
        <v>60</v>
      </c>
      <c r="M1143" s="30" t="str">
        <f aca="false">IF(K1143&lt;判定条件!$C$6,"判定不能",IF(L1143&gt;=判定条件!$C$7*K1143,"運転",IF(L1143&lt;=判定条件!$C$8*K1143,"停止","断続")))</f>
        <v>運転</v>
      </c>
      <c r="N1143" s="30" t="n">
        <v>60</v>
      </c>
      <c r="O1143" s="30" t="n">
        <v>60</v>
      </c>
      <c r="P1143" s="30" t="str">
        <f aca="false">IF(N1143&lt;判定条件!$C$6,"判定不能",IF(O1143&gt;=判定条件!$C$7*N1143,"運転",IF(O1143&lt;=判定条件!$C$8*N1143,"停止","断続")))</f>
        <v>運転</v>
      </c>
      <c r="Q1143" s="30" t="n">
        <v>60</v>
      </c>
      <c r="R1143" s="30" t="n">
        <v>60</v>
      </c>
      <c r="S1143" s="30" t="str">
        <f aca="false">IF(Q1143&lt;判定条件!$C$6,"判定不能",IF(R1143&gt;=判定条件!$C$7*Q1143,"運転",IF(R1143&lt;=判定条件!$C$8*Q1143,"停止","断続")))</f>
        <v>運転</v>
      </c>
      <c r="T1143" s="30" t="n">
        <v>60</v>
      </c>
      <c r="U1143" s="30" t="n">
        <v>60</v>
      </c>
      <c r="V1143" s="30" t="str">
        <f aca="false">IF(T1143&lt;判定条件!$C$6,"判定不能",IF(U1143&gt;=判定条件!$C$7*T1143,"運転",IF(U1143&lt;=判定条件!$C$8*T1143,"停止","断続")))</f>
        <v>運転</v>
      </c>
      <c r="W1143" s="30" t="n">
        <v>60</v>
      </c>
      <c r="X1143" s="30" t="n">
        <v>60</v>
      </c>
      <c r="Y1143" s="30" t="str">
        <f aca="false">IF(W1143&lt;判定条件!$C$6,"判定不能",IF(X1143&gt;=判定条件!$C$7*W1143,"運転",IF(X1143&lt;=判定条件!$C$8*W1143,"停止","断続")))</f>
        <v>運転</v>
      </c>
      <c r="Z1143" s="30" t="n">
        <v>60</v>
      </c>
      <c r="AA1143" s="30" t="n">
        <v>60</v>
      </c>
      <c r="AB1143" s="30" t="str">
        <f aca="false">IF(Z1143&lt;判定条件!$C$6,"判定不能",IF(AA1143&gt;=判定条件!$C$7*Z1143,"運転",IF(AA1143&lt;=判定条件!$C$8*Z1143,"停止","断続")))</f>
        <v>運転</v>
      </c>
      <c r="AC1143" s="30" t="n">
        <v>60</v>
      </c>
      <c r="AD1143" s="30" t="n">
        <v>48</v>
      </c>
      <c r="AE1143" s="30" t="str">
        <f aca="false">IF(AC1143&lt;判定条件!$C$6,"判定不能",IF(AD1143&gt;=判定条件!$C$7*AC1143,"運転",IF(AD1143&lt;=判定条件!$C$8*AC1143,"停止","断続")))</f>
        <v>運転</v>
      </c>
      <c r="AF1143" s="30" t="n">
        <v>60</v>
      </c>
      <c r="AG1143" s="30" t="n">
        <v>60</v>
      </c>
      <c r="AH1143" s="30" t="str">
        <f aca="false">IF(OR(P1143="判定不能",G1143="判定不能"),"判定不能",IF(AG1143&gt;=判定条件!$C$9,"利用可",IF(AND(P1143="停止",G1143="停止"),"両方停止","運転がそろわない")))</f>
        <v>利用可</v>
      </c>
      <c r="AI1143" s="30" t="n">
        <v>60</v>
      </c>
      <c r="AJ1143" s="30" t="n">
        <v>60</v>
      </c>
      <c r="AK1143" s="30" t="str">
        <f aca="false">IF(OR(S1143="判定不能",J1143="判定不能"),"判定不能",IF(AJ1143&gt;=判定条件!$C$9,"利用可",IF(AND(S1143="停止",J1143="停止"),"両方停止","運転がそろわない")))</f>
        <v>利用可</v>
      </c>
      <c r="AL1143" s="30" t="n">
        <v>60</v>
      </c>
      <c r="AM1143" s="30" t="n">
        <v>60</v>
      </c>
      <c r="AN1143" s="30" t="str">
        <f aca="false">IF(OR(V1143="判定不能",M1143="判定不能"),"判定不能",IF(AM1143&gt;=判定条件!$C$9,"利用可",IF(AND(V1143="停止",M1143="停止"),"両方停止","運転がそろわない")))</f>
        <v>利用可</v>
      </c>
      <c r="AO1143" s="30" t="n">
        <v>60</v>
      </c>
      <c r="AP1143" s="30" t="n">
        <v>60</v>
      </c>
      <c r="AQ1143" s="30" t="str">
        <f aca="false">IF(OR(Y1143="判定不能",G1143="判定不能"),"判定不能",IF(AP1143&gt;=判定条件!$C$9,"利用可",IF(AND(Y1143="停止",G1143="停止"),"両方停止","運転がそろわない")))</f>
        <v>利用可</v>
      </c>
      <c r="AR1143" s="30" t="n">
        <v>60</v>
      </c>
      <c r="AS1143" s="30" t="n">
        <v>60</v>
      </c>
      <c r="AT1143" s="30" t="str">
        <f aca="false">IF(OR(AB1143="判定不能",J1143="判定不能"),"判定不能",IF(AS1143&gt;=判定条件!$C$9,"利用可",IF(AND(AB1143="停止",J1143="停止"),"両方停止","運転がそろわない")))</f>
        <v>利用可</v>
      </c>
      <c r="AU1143" s="30" t="n">
        <v>60</v>
      </c>
      <c r="AV1143" s="30" t="n">
        <v>48</v>
      </c>
      <c r="AW1143" s="30" t="str">
        <f aca="false">IF(OR(AE1143="判定不能",M1143="判定不能"),"判定不能",IF(AV1143&gt;=判定条件!$C$9,"利用可",IF(AND(AE1143="停止",M1143="停止"),"両方停止","運転がそろわない")))</f>
        <v>利用可</v>
      </c>
      <c r="AX1143" s="30" t="str">
        <f aca="false">IF(AND(AH1143="利用可",AK1143="利用可",AN1143="利用可"),"利用可","不可")</f>
        <v>利用可</v>
      </c>
      <c r="AY1143" s="30" t="str">
        <f aca="false">IF(AND(AQ1143="利用可",AT1143="利用可",AW1143="利用可"),"利用可","不可")</f>
        <v>利用可</v>
      </c>
    </row>
    <row r="1144" customFormat="false" ht="15" hidden="false" customHeight="false" outlineLevel="0" collapsed="false">
      <c r="A1144" s="29" t="n">
        <v>46279</v>
      </c>
      <c r="B1144" s="30" t="n">
        <v>13</v>
      </c>
      <c r="C1144" s="31" t="s">
        <v>66</v>
      </c>
      <c r="D1144" s="31" t="s">
        <v>59</v>
      </c>
      <c r="E1144" s="30" t="n">
        <v>60</v>
      </c>
      <c r="F1144" s="30" t="n">
        <v>60</v>
      </c>
      <c r="G1144" s="30" t="str">
        <f aca="false">IF(E1144&lt;判定条件!$C$6,"判定不能",IF(F1144&gt;=判定条件!$C$7*E1144,"運転",IF(F1144&lt;=判定条件!$C$8*E1144,"停止","断続")))</f>
        <v>運転</v>
      </c>
      <c r="H1144" s="30" t="n">
        <v>60</v>
      </c>
      <c r="I1144" s="30" t="n">
        <v>60</v>
      </c>
      <c r="J1144" s="30" t="str">
        <f aca="false">IF(H1144&lt;判定条件!$C$6,"判定不能",IF(I1144&gt;=判定条件!$C$7*H1144,"運転",IF(I1144&lt;=判定条件!$C$8*H1144,"停止","断続")))</f>
        <v>運転</v>
      </c>
      <c r="K1144" s="30" t="n">
        <v>60</v>
      </c>
      <c r="L1144" s="30" t="n">
        <v>60</v>
      </c>
      <c r="M1144" s="30" t="str">
        <f aca="false">IF(K1144&lt;判定条件!$C$6,"判定不能",IF(L1144&gt;=判定条件!$C$7*K1144,"運転",IF(L1144&lt;=判定条件!$C$8*K1144,"停止","断続")))</f>
        <v>運転</v>
      </c>
      <c r="N1144" s="30" t="n">
        <v>60</v>
      </c>
      <c r="O1144" s="30" t="n">
        <v>60</v>
      </c>
      <c r="P1144" s="30" t="str">
        <f aca="false">IF(N1144&lt;判定条件!$C$6,"判定不能",IF(O1144&gt;=判定条件!$C$7*N1144,"運転",IF(O1144&lt;=判定条件!$C$8*N1144,"停止","断続")))</f>
        <v>運転</v>
      </c>
      <c r="Q1144" s="30" t="n">
        <v>60</v>
      </c>
      <c r="R1144" s="30" t="n">
        <v>60</v>
      </c>
      <c r="S1144" s="30" t="str">
        <f aca="false">IF(Q1144&lt;判定条件!$C$6,"判定不能",IF(R1144&gt;=判定条件!$C$7*Q1144,"運転",IF(R1144&lt;=判定条件!$C$8*Q1144,"停止","断続")))</f>
        <v>運転</v>
      </c>
      <c r="T1144" s="30" t="n">
        <v>60</v>
      </c>
      <c r="U1144" s="30" t="n">
        <v>60</v>
      </c>
      <c r="V1144" s="30" t="str">
        <f aca="false">IF(T1144&lt;判定条件!$C$6,"判定不能",IF(U1144&gt;=判定条件!$C$7*T1144,"運転",IF(U1144&lt;=判定条件!$C$8*T1144,"停止","断続")))</f>
        <v>運転</v>
      </c>
      <c r="W1144" s="30" t="n">
        <v>60</v>
      </c>
      <c r="X1144" s="30" t="n">
        <v>60</v>
      </c>
      <c r="Y1144" s="30" t="str">
        <f aca="false">IF(W1144&lt;判定条件!$C$6,"判定不能",IF(X1144&gt;=判定条件!$C$7*W1144,"運転",IF(X1144&lt;=判定条件!$C$8*W1144,"停止","断続")))</f>
        <v>運転</v>
      </c>
      <c r="Z1144" s="30" t="n">
        <v>60</v>
      </c>
      <c r="AA1144" s="30" t="n">
        <v>60</v>
      </c>
      <c r="AB1144" s="30" t="str">
        <f aca="false">IF(Z1144&lt;判定条件!$C$6,"判定不能",IF(AA1144&gt;=判定条件!$C$7*Z1144,"運転",IF(AA1144&lt;=判定条件!$C$8*Z1144,"停止","断続")))</f>
        <v>運転</v>
      </c>
      <c r="AC1144" s="30" t="n">
        <v>60</v>
      </c>
      <c r="AD1144" s="30" t="n">
        <v>60</v>
      </c>
      <c r="AE1144" s="30" t="str">
        <f aca="false">IF(AC1144&lt;判定条件!$C$6,"判定不能",IF(AD1144&gt;=判定条件!$C$7*AC1144,"運転",IF(AD1144&lt;=判定条件!$C$8*AC1144,"停止","断続")))</f>
        <v>運転</v>
      </c>
      <c r="AF1144" s="30" t="n">
        <v>60</v>
      </c>
      <c r="AG1144" s="30" t="n">
        <v>60</v>
      </c>
      <c r="AH1144" s="30" t="str">
        <f aca="false">IF(OR(P1144="判定不能",G1144="判定不能"),"判定不能",IF(AG1144&gt;=判定条件!$C$9,"利用可",IF(AND(P1144="停止",G1144="停止"),"両方停止","運転がそろわない")))</f>
        <v>利用可</v>
      </c>
      <c r="AI1144" s="30" t="n">
        <v>60</v>
      </c>
      <c r="AJ1144" s="30" t="n">
        <v>60</v>
      </c>
      <c r="AK1144" s="30" t="str">
        <f aca="false">IF(OR(S1144="判定不能",J1144="判定不能"),"判定不能",IF(AJ1144&gt;=判定条件!$C$9,"利用可",IF(AND(S1144="停止",J1144="停止"),"両方停止","運転がそろわない")))</f>
        <v>利用可</v>
      </c>
      <c r="AL1144" s="30" t="n">
        <v>60</v>
      </c>
      <c r="AM1144" s="30" t="n">
        <v>60</v>
      </c>
      <c r="AN1144" s="30" t="str">
        <f aca="false">IF(OR(V1144="判定不能",M1144="判定不能"),"判定不能",IF(AM1144&gt;=判定条件!$C$9,"利用可",IF(AND(V1144="停止",M1144="停止"),"両方停止","運転がそろわない")))</f>
        <v>利用可</v>
      </c>
      <c r="AO1144" s="30" t="n">
        <v>60</v>
      </c>
      <c r="AP1144" s="30" t="n">
        <v>60</v>
      </c>
      <c r="AQ1144" s="30" t="str">
        <f aca="false">IF(OR(Y1144="判定不能",G1144="判定不能"),"判定不能",IF(AP1144&gt;=判定条件!$C$9,"利用可",IF(AND(Y1144="停止",G1144="停止"),"両方停止","運転がそろわない")))</f>
        <v>利用可</v>
      </c>
      <c r="AR1144" s="30" t="n">
        <v>60</v>
      </c>
      <c r="AS1144" s="30" t="n">
        <v>60</v>
      </c>
      <c r="AT1144" s="30" t="str">
        <f aca="false">IF(OR(AB1144="判定不能",J1144="判定不能"),"判定不能",IF(AS1144&gt;=判定条件!$C$9,"利用可",IF(AND(AB1144="停止",J1144="停止"),"両方停止","運転がそろわない")))</f>
        <v>利用可</v>
      </c>
      <c r="AU1144" s="30" t="n">
        <v>60</v>
      </c>
      <c r="AV1144" s="30" t="n">
        <v>60</v>
      </c>
      <c r="AW1144" s="30" t="str">
        <f aca="false">IF(OR(AE1144="判定不能",M1144="判定不能"),"判定不能",IF(AV1144&gt;=判定条件!$C$9,"利用可",IF(AND(AE1144="停止",M1144="停止"),"両方停止","運転がそろわない")))</f>
        <v>利用可</v>
      </c>
      <c r="AX1144" s="30" t="str">
        <f aca="false">IF(AND(AH1144="利用可",AK1144="利用可",AN1144="利用可"),"利用可","不可")</f>
        <v>利用可</v>
      </c>
      <c r="AY1144" s="30" t="str">
        <f aca="false">IF(AND(AQ1144="利用可",AT1144="利用可",AW1144="利用可"),"利用可","不可")</f>
        <v>利用可</v>
      </c>
    </row>
    <row r="1145" customFormat="false" ht="15" hidden="false" customHeight="false" outlineLevel="0" collapsed="false">
      <c r="A1145" s="29" t="n">
        <v>46279</v>
      </c>
      <c r="B1145" s="30" t="n">
        <v>14</v>
      </c>
      <c r="C1145" s="31" t="s">
        <v>66</v>
      </c>
      <c r="D1145" s="31" t="s">
        <v>59</v>
      </c>
      <c r="E1145" s="30" t="n">
        <v>60</v>
      </c>
      <c r="F1145" s="30" t="n">
        <v>60</v>
      </c>
      <c r="G1145" s="30" t="str">
        <f aca="false">IF(E1145&lt;判定条件!$C$6,"判定不能",IF(F1145&gt;=判定条件!$C$7*E1145,"運転",IF(F1145&lt;=判定条件!$C$8*E1145,"停止","断続")))</f>
        <v>運転</v>
      </c>
      <c r="H1145" s="30" t="n">
        <v>60</v>
      </c>
      <c r="I1145" s="30" t="n">
        <v>60</v>
      </c>
      <c r="J1145" s="30" t="str">
        <f aca="false">IF(H1145&lt;判定条件!$C$6,"判定不能",IF(I1145&gt;=判定条件!$C$7*H1145,"運転",IF(I1145&lt;=判定条件!$C$8*H1145,"停止","断続")))</f>
        <v>運転</v>
      </c>
      <c r="K1145" s="30" t="n">
        <v>60</v>
      </c>
      <c r="L1145" s="30" t="n">
        <v>60</v>
      </c>
      <c r="M1145" s="30" t="str">
        <f aca="false">IF(K1145&lt;判定条件!$C$6,"判定不能",IF(L1145&gt;=判定条件!$C$7*K1145,"運転",IF(L1145&lt;=判定条件!$C$8*K1145,"停止","断続")))</f>
        <v>運転</v>
      </c>
      <c r="N1145" s="30" t="n">
        <v>60</v>
      </c>
      <c r="O1145" s="30" t="n">
        <v>60</v>
      </c>
      <c r="P1145" s="30" t="str">
        <f aca="false">IF(N1145&lt;判定条件!$C$6,"判定不能",IF(O1145&gt;=判定条件!$C$7*N1145,"運転",IF(O1145&lt;=判定条件!$C$8*N1145,"停止","断続")))</f>
        <v>運転</v>
      </c>
      <c r="Q1145" s="30" t="n">
        <v>60</v>
      </c>
      <c r="R1145" s="30" t="n">
        <v>60</v>
      </c>
      <c r="S1145" s="30" t="str">
        <f aca="false">IF(Q1145&lt;判定条件!$C$6,"判定不能",IF(R1145&gt;=判定条件!$C$7*Q1145,"運転",IF(R1145&lt;=判定条件!$C$8*Q1145,"停止","断続")))</f>
        <v>運転</v>
      </c>
      <c r="T1145" s="30" t="n">
        <v>60</v>
      </c>
      <c r="U1145" s="30" t="n">
        <v>52</v>
      </c>
      <c r="V1145" s="30" t="str">
        <f aca="false">IF(T1145&lt;判定条件!$C$6,"判定不能",IF(U1145&gt;=判定条件!$C$7*T1145,"運転",IF(U1145&lt;=判定条件!$C$8*T1145,"停止","断続")))</f>
        <v>運転</v>
      </c>
      <c r="W1145" s="30" t="n">
        <v>60</v>
      </c>
      <c r="X1145" s="30" t="n">
        <v>52</v>
      </c>
      <c r="Y1145" s="30" t="str">
        <f aca="false">IF(W1145&lt;判定条件!$C$6,"判定不能",IF(X1145&gt;=判定条件!$C$7*W1145,"運転",IF(X1145&lt;=判定条件!$C$8*W1145,"停止","断続")))</f>
        <v>運転</v>
      </c>
      <c r="Z1145" s="30" t="n">
        <v>60</v>
      </c>
      <c r="AA1145" s="30" t="n">
        <v>60</v>
      </c>
      <c r="AB1145" s="30" t="str">
        <f aca="false">IF(Z1145&lt;判定条件!$C$6,"判定不能",IF(AA1145&gt;=判定条件!$C$7*Z1145,"運転",IF(AA1145&lt;=判定条件!$C$8*Z1145,"停止","断続")))</f>
        <v>運転</v>
      </c>
      <c r="AC1145" s="30" t="n">
        <v>60</v>
      </c>
      <c r="AD1145" s="30" t="n">
        <v>42</v>
      </c>
      <c r="AE1145" s="30" t="str">
        <f aca="false">IF(AC1145&lt;判定条件!$C$6,"判定不能",IF(AD1145&gt;=判定条件!$C$7*AC1145,"運転",IF(AD1145&lt;=判定条件!$C$8*AC1145,"停止","断続")))</f>
        <v>断続</v>
      </c>
      <c r="AF1145" s="30" t="n">
        <v>60</v>
      </c>
      <c r="AG1145" s="30" t="n">
        <v>60</v>
      </c>
      <c r="AH1145" s="30" t="str">
        <f aca="false">IF(OR(P1145="判定不能",G1145="判定不能"),"判定不能",IF(AG1145&gt;=判定条件!$C$9,"利用可",IF(AND(P1145="停止",G1145="停止"),"両方停止","運転がそろわない")))</f>
        <v>利用可</v>
      </c>
      <c r="AI1145" s="30" t="n">
        <v>60</v>
      </c>
      <c r="AJ1145" s="30" t="n">
        <v>60</v>
      </c>
      <c r="AK1145" s="30" t="str">
        <f aca="false">IF(OR(S1145="判定不能",J1145="判定不能"),"判定不能",IF(AJ1145&gt;=判定条件!$C$9,"利用可",IF(AND(S1145="停止",J1145="停止"),"両方停止","運転がそろわない")))</f>
        <v>利用可</v>
      </c>
      <c r="AL1145" s="30" t="n">
        <v>60</v>
      </c>
      <c r="AM1145" s="30" t="n">
        <v>52</v>
      </c>
      <c r="AN1145" s="30" t="str">
        <f aca="false">IF(OR(V1145="判定不能",M1145="判定不能"),"判定不能",IF(AM1145&gt;=判定条件!$C$9,"利用可",IF(AND(V1145="停止",M1145="停止"),"両方停止","運転がそろわない")))</f>
        <v>利用可</v>
      </c>
      <c r="AO1145" s="30" t="n">
        <v>60</v>
      </c>
      <c r="AP1145" s="30" t="n">
        <v>52</v>
      </c>
      <c r="AQ1145" s="30" t="str">
        <f aca="false">IF(OR(Y1145="判定不能",G1145="判定不能"),"判定不能",IF(AP1145&gt;=判定条件!$C$9,"利用可",IF(AND(Y1145="停止",G1145="停止"),"両方停止","運転がそろわない")))</f>
        <v>利用可</v>
      </c>
      <c r="AR1145" s="30" t="n">
        <v>60</v>
      </c>
      <c r="AS1145" s="30" t="n">
        <v>60</v>
      </c>
      <c r="AT1145" s="30" t="str">
        <f aca="false">IF(OR(AB1145="判定不能",J1145="判定不能"),"判定不能",IF(AS1145&gt;=判定条件!$C$9,"利用可",IF(AND(AB1145="停止",J1145="停止"),"両方停止","運転がそろわない")))</f>
        <v>利用可</v>
      </c>
      <c r="AU1145" s="30" t="n">
        <v>60</v>
      </c>
      <c r="AV1145" s="30" t="n">
        <v>42</v>
      </c>
      <c r="AW1145" s="30" t="str">
        <f aca="false">IF(OR(AE1145="判定不能",M1145="判定不能"),"判定不能",IF(AV1145&gt;=判定条件!$C$9,"利用可",IF(AND(AE1145="停止",M1145="停止"),"両方停止","運転がそろわない")))</f>
        <v>利用可</v>
      </c>
      <c r="AX1145" s="30" t="str">
        <f aca="false">IF(AND(AH1145="利用可",AK1145="利用可",AN1145="利用可"),"利用可","不可")</f>
        <v>利用可</v>
      </c>
      <c r="AY1145" s="30" t="str">
        <f aca="false">IF(AND(AQ1145="利用可",AT1145="利用可",AW1145="利用可"),"利用可","不可")</f>
        <v>利用可</v>
      </c>
    </row>
    <row r="1146" customFormat="false" ht="15" hidden="false" customHeight="false" outlineLevel="0" collapsed="false">
      <c r="A1146" s="29" t="n">
        <v>46279</v>
      </c>
      <c r="B1146" s="30" t="n">
        <v>15</v>
      </c>
      <c r="C1146" s="31" t="s">
        <v>66</v>
      </c>
      <c r="D1146" s="31" t="s">
        <v>59</v>
      </c>
      <c r="E1146" s="30" t="n">
        <v>60</v>
      </c>
      <c r="F1146" s="30" t="n">
        <v>60</v>
      </c>
      <c r="G1146" s="30" t="str">
        <f aca="false">IF(E1146&lt;判定条件!$C$6,"判定不能",IF(F1146&gt;=判定条件!$C$7*E1146,"運転",IF(F1146&lt;=判定条件!$C$8*E1146,"停止","断続")))</f>
        <v>運転</v>
      </c>
      <c r="H1146" s="30" t="n">
        <v>60</v>
      </c>
      <c r="I1146" s="30" t="n">
        <v>60</v>
      </c>
      <c r="J1146" s="30" t="str">
        <f aca="false">IF(H1146&lt;判定条件!$C$6,"判定不能",IF(I1146&gt;=判定条件!$C$7*H1146,"運転",IF(I1146&lt;=判定条件!$C$8*H1146,"停止","断続")))</f>
        <v>運転</v>
      </c>
      <c r="K1146" s="30" t="n">
        <v>60</v>
      </c>
      <c r="L1146" s="30" t="n">
        <v>60</v>
      </c>
      <c r="M1146" s="30" t="str">
        <f aca="false">IF(K1146&lt;判定条件!$C$6,"判定不能",IF(L1146&gt;=判定条件!$C$7*K1146,"運転",IF(L1146&lt;=判定条件!$C$8*K1146,"停止","断続")))</f>
        <v>運転</v>
      </c>
      <c r="N1146" s="30" t="n">
        <v>60</v>
      </c>
      <c r="O1146" s="30" t="n">
        <v>48</v>
      </c>
      <c r="P1146" s="30" t="str">
        <f aca="false">IF(N1146&lt;判定条件!$C$6,"判定不能",IF(O1146&gt;=判定条件!$C$7*N1146,"運転",IF(O1146&lt;=判定条件!$C$8*N1146,"停止","断続")))</f>
        <v>運転</v>
      </c>
      <c r="Q1146" s="30" t="n">
        <v>60</v>
      </c>
      <c r="R1146" s="30" t="n">
        <v>60</v>
      </c>
      <c r="S1146" s="30" t="str">
        <f aca="false">IF(Q1146&lt;判定条件!$C$6,"判定不能",IF(R1146&gt;=判定条件!$C$7*Q1146,"運転",IF(R1146&lt;=判定条件!$C$8*Q1146,"停止","断続")))</f>
        <v>運転</v>
      </c>
      <c r="T1146" s="30" t="n">
        <v>60</v>
      </c>
      <c r="U1146" s="30" t="n">
        <v>42</v>
      </c>
      <c r="V1146" s="30" t="str">
        <f aca="false">IF(T1146&lt;判定条件!$C$6,"判定不能",IF(U1146&gt;=判定条件!$C$7*T1146,"運転",IF(U1146&lt;=判定条件!$C$8*T1146,"停止","断続")))</f>
        <v>断続</v>
      </c>
      <c r="W1146" s="30" t="n">
        <v>60</v>
      </c>
      <c r="X1146" s="30" t="n">
        <v>39</v>
      </c>
      <c r="Y1146" s="30" t="str">
        <f aca="false">IF(W1146&lt;判定条件!$C$6,"判定不能",IF(X1146&gt;=判定条件!$C$7*W1146,"運転",IF(X1146&lt;=判定条件!$C$8*W1146,"停止","断続")))</f>
        <v>断続</v>
      </c>
      <c r="Z1146" s="30" t="n">
        <v>60</v>
      </c>
      <c r="AA1146" s="30" t="n">
        <v>60</v>
      </c>
      <c r="AB1146" s="30" t="str">
        <f aca="false">IF(Z1146&lt;判定条件!$C$6,"判定不能",IF(AA1146&gt;=判定条件!$C$7*Z1146,"運転",IF(AA1146&lt;=判定条件!$C$8*Z1146,"停止","断続")))</f>
        <v>運転</v>
      </c>
      <c r="AC1146" s="30" t="n">
        <v>60</v>
      </c>
      <c r="AD1146" s="30" t="n">
        <v>58</v>
      </c>
      <c r="AE1146" s="30" t="str">
        <f aca="false">IF(AC1146&lt;判定条件!$C$6,"判定不能",IF(AD1146&gt;=判定条件!$C$7*AC1146,"運転",IF(AD1146&lt;=判定条件!$C$8*AC1146,"停止","断続")))</f>
        <v>運転</v>
      </c>
      <c r="AF1146" s="30" t="n">
        <v>60</v>
      </c>
      <c r="AG1146" s="30" t="n">
        <v>48</v>
      </c>
      <c r="AH1146" s="30" t="str">
        <f aca="false">IF(OR(P1146="判定不能",G1146="判定不能"),"判定不能",IF(AG1146&gt;=判定条件!$C$9,"利用可",IF(AND(P1146="停止",G1146="停止"),"両方停止","運転がそろわない")))</f>
        <v>利用可</v>
      </c>
      <c r="AI1146" s="30" t="n">
        <v>60</v>
      </c>
      <c r="AJ1146" s="30" t="n">
        <v>60</v>
      </c>
      <c r="AK1146" s="30" t="str">
        <f aca="false">IF(OR(S1146="判定不能",J1146="判定不能"),"判定不能",IF(AJ1146&gt;=判定条件!$C$9,"利用可",IF(AND(S1146="停止",J1146="停止"),"両方停止","運転がそろわない")))</f>
        <v>利用可</v>
      </c>
      <c r="AL1146" s="30" t="n">
        <v>60</v>
      </c>
      <c r="AM1146" s="30" t="n">
        <v>42</v>
      </c>
      <c r="AN1146" s="30" t="str">
        <f aca="false">IF(OR(V1146="判定不能",M1146="判定不能"),"判定不能",IF(AM1146&gt;=判定条件!$C$9,"利用可",IF(AND(V1146="停止",M1146="停止"),"両方停止","運転がそろわない")))</f>
        <v>利用可</v>
      </c>
      <c r="AO1146" s="30" t="n">
        <v>60</v>
      </c>
      <c r="AP1146" s="30" t="n">
        <v>39</v>
      </c>
      <c r="AQ1146" s="30" t="str">
        <f aca="false">IF(OR(Y1146="判定不能",G1146="判定不能"),"判定不能",IF(AP1146&gt;=判定条件!$C$9,"利用可",IF(AND(Y1146="停止",G1146="停止"),"両方停止","運転がそろわない")))</f>
        <v>利用可</v>
      </c>
      <c r="AR1146" s="30" t="n">
        <v>60</v>
      </c>
      <c r="AS1146" s="30" t="n">
        <v>60</v>
      </c>
      <c r="AT1146" s="30" t="str">
        <f aca="false">IF(OR(AB1146="判定不能",J1146="判定不能"),"判定不能",IF(AS1146&gt;=判定条件!$C$9,"利用可",IF(AND(AB1146="停止",J1146="停止"),"両方停止","運転がそろわない")))</f>
        <v>利用可</v>
      </c>
      <c r="AU1146" s="30" t="n">
        <v>60</v>
      </c>
      <c r="AV1146" s="30" t="n">
        <v>58</v>
      </c>
      <c r="AW1146" s="30" t="str">
        <f aca="false">IF(OR(AE1146="判定不能",M1146="判定不能"),"判定不能",IF(AV1146&gt;=判定条件!$C$9,"利用可",IF(AND(AE1146="停止",M1146="停止"),"両方停止","運転がそろわない")))</f>
        <v>利用可</v>
      </c>
      <c r="AX1146" s="30" t="str">
        <f aca="false">IF(AND(AH1146="利用可",AK1146="利用可",AN1146="利用可"),"利用可","不可")</f>
        <v>利用可</v>
      </c>
      <c r="AY1146" s="30" t="str">
        <f aca="false">IF(AND(AQ1146="利用可",AT1146="利用可",AW1146="利用可"),"利用可","不可")</f>
        <v>利用可</v>
      </c>
    </row>
    <row r="1147" customFormat="false" ht="15" hidden="false" customHeight="false" outlineLevel="0" collapsed="false">
      <c r="A1147" s="29" t="n">
        <v>46279</v>
      </c>
      <c r="B1147" s="30" t="n">
        <v>16</v>
      </c>
      <c r="C1147" s="31" t="s">
        <v>66</v>
      </c>
      <c r="D1147" s="31" t="s">
        <v>59</v>
      </c>
      <c r="E1147" s="30" t="n">
        <v>60</v>
      </c>
      <c r="F1147" s="30" t="n">
        <v>60</v>
      </c>
      <c r="G1147" s="30" t="str">
        <f aca="false">IF(E1147&lt;判定条件!$C$6,"判定不能",IF(F1147&gt;=判定条件!$C$7*E1147,"運転",IF(F1147&lt;=判定条件!$C$8*E1147,"停止","断続")))</f>
        <v>運転</v>
      </c>
      <c r="H1147" s="30" t="n">
        <v>60</v>
      </c>
      <c r="I1147" s="30" t="n">
        <v>60</v>
      </c>
      <c r="J1147" s="30" t="str">
        <f aca="false">IF(H1147&lt;判定条件!$C$6,"判定不能",IF(I1147&gt;=判定条件!$C$7*H1147,"運転",IF(I1147&lt;=判定条件!$C$8*H1147,"停止","断続")))</f>
        <v>運転</v>
      </c>
      <c r="K1147" s="30" t="n">
        <v>60</v>
      </c>
      <c r="L1147" s="30" t="n">
        <v>60</v>
      </c>
      <c r="M1147" s="30" t="str">
        <f aca="false">IF(K1147&lt;判定条件!$C$6,"判定不能",IF(L1147&gt;=判定条件!$C$7*K1147,"運転",IF(L1147&lt;=判定条件!$C$8*K1147,"停止","断続")))</f>
        <v>運転</v>
      </c>
      <c r="N1147" s="30" t="n">
        <v>52</v>
      </c>
      <c r="O1147" s="30" t="n">
        <v>40</v>
      </c>
      <c r="P1147" s="30" t="str">
        <f aca="false">IF(N1147&lt;判定条件!$C$6,"判定不能",IF(O1147&gt;=判定条件!$C$7*N1147,"運転",IF(O1147&lt;=判定条件!$C$8*N1147,"停止","断続")))</f>
        <v>断続</v>
      </c>
      <c r="Q1147" s="30" t="n">
        <v>52</v>
      </c>
      <c r="R1147" s="30" t="n">
        <v>39</v>
      </c>
      <c r="S1147" s="30" t="str">
        <f aca="false">IF(Q1147&lt;判定条件!$C$6,"判定不能",IF(R1147&gt;=判定条件!$C$7*Q1147,"運転",IF(R1147&lt;=判定条件!$C$8*Q1147,"停止","断続")))</f>
        <v>断続</v>
      </c>
      <c r="T1147" s="30" t="n">
        <v>52</v>
      </c>
      <c r="U1147" s="30" t="n">
        <v>37</v>
      </c>
      <c r="V1147" s="30" t="str">
        <f aca="false">IF(T1147&lt;判定条件!$C$6,"判定不能",IF(U1147&gt;=判定条件!$C$7*T1147,"運転",IF(U1147&lt;=判定条件!$C$8*T1147,"停止","断続")))</f>
        <v>断続</v>
      </c>
      <c r="W1147" s="30" t="n">
        <v>60</v>
      </c>
      <c r="X1147" s="30" t="n">
        <v>30</v>
      </c>
      <c r="Y1147" s="30" t="str">
        <f aca="false">IF(W1147&lt;判定条件!$C$6,"判定不能",IF(X1147&gt;=判定条件!$C$7*W1147,"運転",IF(X1147&lt;=判定条件!$C$8*W1147,"停止","断続")))</f>
        <v>断続</v>
      </c>
      <c r="Z1147" s="30" t="n">
        <v>60</v>
      </c>
      <c r="AA1147" s="30" t="n">
        <v>58</v>
      </c>
      <c r="AB1147" s="30" t="str">
        <f aca="false">IF(Z1147&lt;判定条件!$C$6,"判定不能",IF(AA1147&gt;=判定条件!$C$7*Z1147,"運転",IF(AA1147&lt;=判定条件!$C$8*Z1147,"停止","断続")))</f>
        <v>運転</v>
      </c>
      <c r="AC1147" s="30" t="n">
        <v>60</v>
      </c>
      <c r="AD1147" s="30" t="n">
        <v>40</v>
      </c>
      <c r="AE1147" s="30" t="str">
        <f aca="false">IF(AC1147&lt;判定条件!$C$6,"判定不能",IF(AD1147&gt;=判定条件!$C$7*AC1147,"運転",IF(AD1147&lt;=判定条件!$C$8*AC1147,"停止","断続")))</f>
        <v>断続</v>
      </c>
      <c r="AF1147" s="30" t="n">
        <v>52</v>
      </c>
      <c r="AG1147" s="30" t="n">
        <v>40</v>
      </c>
      <c r="AH1147" s="30" t="str">
        <f aca="false">IF(OR(P1147="判定不能",G1147="判定不能"),"判定不能",IF(AG1147&gt;=判定条件!$C$9,"利用可",IF(AND(P1147="停止",G1147="停止"),"両方停止","運転がそろわない")))</f>
        <v>利用可</v>
      </c>
      <c r="AI1147" s="30" t="n">
        <v>52</v>
      </c>
      <c r="AJ1147" s="30" t="n">
        <v>39</v>
      </c>
      <c r="AK1147" s="30" t="str">
        <f aca="false">IF(OR(S1147="判定不能",J1147="判定不能"),"判定不能",IF(AJ1147&gt;=判定条件!$C$9,"利用可",IF(AND(S1147="停止",J1147="停止"),"両方停止","運転がそろわない")))</f>
        <v>利用可</v>
      </c>
      <c r="AL1147" s="30" t="n">
        <v>52</v>
      </c>
      <c r="AM1147" s="30" t="n">
        <v>37</v>
      </c>
      <c r="AN1147" s="30" t="str">
        <f aca="false">IF(OR(V1147="判定不能",M1147="判定不能"),"判定不能",IF(AM1147&gt;=判定条件!$C$9,"利用可",IF(AND(V1147="停止",M1147="停止"),"両方停止","運転がそろわない")))</f>
        <v>利用可</v>
      </c>
      <c r="AO1147" s="30" t="n">
        <v>60</v>
      </c>
      <c r="AP1147" s="30" t="n">
        <v>30</v>
      </c>
      <c r="AQ1147" s="30" t="str">
        <f aca="false">IF(OR(Y1147="判定不能",G1147="判定不能"),"判定不能",IF(AP1147&gt;=判定条件!$C$9,"利用可",IF(AND(Y1147="停止",G1147="停止"),"両方停止","運転がそろわない")))</f>
        <v>利用可</v>
      </c>
      <c r="AR1147" s="30" t="n">
        <v>60</v>
      </c>
      <c r="AS1147" s="30" t="n">
        <v>58</v>
      </c>
      <c r="AT1147" s="30" t="str">
        <f aca="false">IF(OR(AB1147="判定不能",J1147="判定不能"),"判定不能",IF(AS1147&gt;=判定条件!$C$9,"利用可",IF(AND(AB1147="停止",J1147="停止"),"両方停止","運転がそろわない")))</f>
        <v>利用可</v>
      </c>
      <c r="AU1147" s="30" t="n">
        <v>60</v>
      </c>
      <c r="AV1147" s="30" t="n">
        <v>40</v>
      </c>
      <c r="AW1147" s="30" t="str">
        <f aca="false">IF(OR(AE1147="判定不能",M1147="判定不能"),"判定不能",IF(AV1147&gt;=判定条件!$C$9,"利用可",IF(AND(AE1147="停止",M1147="停止"),"両方停止","運転がそろわない")))</f>
        <v>利用可</v>
      </c>
      <c r="AX1147" s="30" t="str">
        <f aca="false">IF(AND(AH1147="利用可",AK1147="利用可",AN1147="利用可"),"利用可","不可")</f>
        <v>利用可</v>
      </c>
      <c r="AY1147" s="30" t="str">
        <f aca="false">IF(AND(AQ1147="利用可",AT1147="利用可",AW1147="利用可"),"利用可","不可")</f>
        <v>利用可</v>
      </c>
    </row>
    <row r="1148" customFormat="false" ht="15" hidden="false" customHeight="false" outlineLevel="0" collapsed="false">
      <c r="A1148" s="29" t="n">
        <v>46279</v>
      </c>
      <c r="B1148" s="30" t="n">
        <v>17</v>
      </c>
      <c r="C1148" s="31" t="s">
        <v>66</v>
      </c>
      <c r="D1148" s="31" t="s">
        <v>59</v>
      </c>
      <c r="E1148" s="30" t="n">
        <v>42</v>
      </c>
      <c r="F1148" s="30" t="n">
        <v>42</v>
      </c>
      <c r="G1148" s="30" t="str">
        <f aca="false">IF(E1148&lt;判定条件!$C$6,"判定不能",IF(F1148&gt;=判定条件!$C$7*E1148,"運転",IF(F1148&lt;=判定条件!$C$8*E1148,"停止","断続")))</f>
        <v>判定不能</v>
      </c>
      <c r="H1148" s="30" t="n">
        <v>42</v>
      </c>
      <c r="I1148" s="30" t="n">
        <v>42</v>
      </c>
      <c r="J1148" s="30" t="str">
        <f aca="false">IF(H1148&lt;判定条件!$C$6,"判定不能",IF(I1148&gt;=判定条件!$C$7*H1148,"運転",IF(I1148&lt;=判定条件!$C$8*H1148,"停止","断続")))</f>
        <v>判定不能</v>
      </c>
      <c r="K1148" s="30" t="n">
        <v>42</v>
      </c>
      <c r="L1148" s="30" t="n">
        <v>42</v>
      </c>
      <c r="M1148" s="30" t="str">
        <f aca="false">IF(K1148&lt;判定条件!$C$6,"判定不能",IF(L1148&gt;=判定条件!$C$7*K1148,"運転",IF(L1148&lt;=判定条件!$C$8*K1148,"停止","断続")))</f>
        <v>判定不能</v>
      </c>
      <c r="N1148" s="30" t="n">
        <v>55</v>
      </c>
      <c r="O1148" s="30" t="n">
        <v>38</v>
      </c>
      <c r="P1148" s="30" t="str">
        <f aca="false">IF(N1148&lt;判定条件!$C$6,"判定不能",IF(O1148&gt;=判定条件!$C$7*N1148,"運転",IF(O1148&lt;=判定条件!$C$8*N1148,"停止","断続")))</f>
        <v>断続</v>
      </c>
      <c r="Q1148" s="30" t="n">
        <v>55</v>
      </c>
      <c r="R1148" s="30" t="n">
        <v>47</v>
      </c>
      <c r="S1148" s="30" t="str">
        <f aca="false">IF(Q1148&lt;判定条件!$C$6,"判定不能",IF(R1148&gt;=判定条件!$C$7*Q1148,"運転",IF(R1148&lt;=判定条件!$C$8*Q1148,"停止","断続")))</f>
        <v>運転</v>
      </c>
      <c r="T1148" s="30" t="n">
        <v>55</v>
      </c>
      <c r="U1148" s="30" t="n">
        <v>35</v>
      </c>
      <c r="V1148" s="30" t="str">
        <f aca="false">IF(T1148&lt;判定条件!$C$6,"判定不能",IF(U1148&gt;=判定条件!$C$7*T1148,"運転",IF(U1148&lt;=判定条件!$C$8*T1148,"停止","断続")))</f>
        <v>断続</v>
      </c>
      <c r="W1148" s="30" t="n">
        <v>23</v>
      </c>
      <c r="X1148" s="30" t="n">
        <v>23</v>
      </c>
      <c r="Y1148" s="30" t="str">
        <f aca="false">IF(W1148&lt;判定条件!$C$6,"判定不能",IF(X1148&gt;=判定条件!$C$7*W1148,"運転",IF(X1148&lt;=判定条件!$C$8*W1148,"停止","断続")))</f>
        <v>判定不能</v>
      </c>
      <c r="Z1148" s="30" t="n">
        <v>23</v>
      </c>
      <c r="AA1148" s="30" t="n">
        <v>15</v>
      </c>
      <c r="AB1148" s="30" t="str">
        <f aca="false">IF(Z1148&lt;判定条件!$C$6,"判定不能",IF(AA1148&gt;=判定条件!$C$7*Z1148,"運転",IF(AA1148&lt;=判定条件!$C$8*Z1148,"停止","断続")))</f>
        <v>判定不能</v>
      </c>
      <c r="AC1148" s="30" t="n">
        <v>23</v>
      </c>
      <c r="AD1148" s="30" t="n">
        <v>23</v>
      </c>
      <c r="AE1148" s="30" t="str">
        <f aca="false">IF(AC1148&lt;判定条件!$C$6,"判定不能",IF(AD1148&gt;=判定条件!$C$7*AC1148,"運転",IF(AD1148&lt;=判定条件!$C$8*AC1148,"停止","断続")))</f>
        <v>判定不能</v>
      </c>
      <c r="AF1148" s="30" t="n">
        <v>37</v>
      </c>
      <c r="AG1148" s="30" t="n">
        <v>20</v>
      </c>
      <c r="AH1148" s="30" t="str">
        <f aca="false">IF(OR(P1148="判定不能",G1148="判定不能"),"判定不能",IF(AG1148&gt;=判定条件!$C$9,"利用可",IF(AND(P1148="停止",G1148="停止"),"両方停止","運転がそろわない")))</f>
        <v>判定不能</v>
      </c>
      <c r="AI1148" s="30" t="n">
        <v>37</v>
      </c>
      <c r="AJ1148" s="30" t="n">
        <v>29</v>
      </c>
      <c r="AK1148" s="30" t="str">
        <f aca="false">IF(OR(S1148="判定不能",J1148="判定不能"),"判定不能",IF(AJ1148&gt;=判定条件!$C$9,"利用可",IF(AND(S1148="停止",J1148="停止"),"両方停止","運転がそろわない")))</f>
        <v>判定不能</v>
      </c>
      <c r="AL1148" s="30" t="n">
        <v>37</v>
      </c>
      <c r="AM1148" s="30" t="n">
        <v>22</v>
      </c>
      <c r="AN1148" s="30" t="str">
        <f aca="false">IF(OR(V1148="判定不能",M1148="判定不能"),"判定不能",IF(AM1148&gt;=判定条件!$C$9,"利用可",IF(AND(V1148="停止",M1148="停止"),"両方停止","運転がそろわない")))</f>
        <v>判定不能</v>
      </c>
      <c r="AO1148" s="30" t="n">
        <v>23</v>
      </c>
      <c r="AP1148" s="30" t="n">
        <v>23</v>
      </c>
      <c r="AQ1148" s="30" t="str">
        <f aca="false">IF(OR(Y1148="判定不能",G1148="判定不能"),"判定不能",IF(AP1148&gt;=判定条件!$C$9,"利用可",IF(AND(Y1148="停止",G1148="停止"),"両方停止","運転がそろわない")))</f>
        <v>判定不能</v>
      </c>
      <c r="AR1148" s="30" t="n">
        <v>23</v>
      </c>
      <c r="AS1148" s="30" t="n">
        <v>15</v>
      </c>
      <c r="AT1148" s="30" t="str">
        <f aca="false">IF(OR(AB1148="判定不能",J1148="判定不能"),"判定不能",IF(AS1148&gt;=判定条件!$C$9,"利用可",IF(AND(AB1148="停止",J1148="停止"),"両方停止","運転がそろわない")))</f>
        <v>判定不能</v>
      </c>
      <c r="AU1148" s="30" t="n">
        <v>23</v>
      </c>
      <c r="AV1148" s="30" t="n">
        <v>23</v>
      </c>
      <c r="AW1148" s="30" t="str">
        <f aca="false">IF(OR(AE1148="判定不能",M1148="判定不能"),"判定不能",IF(AV1148&gt;=判定条件!$C$9,"利用可",IF(AND(AE1148="停止",M1148="停止"),"両方停止","運転がそろわない")))</f>
        <v>判定不能</v>
      </c>
      <c r="AX1148" s="30" t="str">
        <f aca="false">IF(AND(AH1148="利用可",AK1148="利用可",AN1148="利用可"),"利用可","不可")</f>
        <v>不可</v>
      </c>
      <c r="AY1148" s="30" t="str">
        <f aca="false">IF(AND(AQ1148="利用可",AT1148="利用可",AW1148="利用可"),"利用可","不可")</f>
        <v>不可</v>
      </c>
    </row>
    <row r="1149" customFormat="false" ht="15" hidden="false" customHeight="false" outlineLevel="0" collapsed="false">
      <c r="A1149" s="29" t="n">
        <v>46279</v>
      </c>
      <c r="B1149" s="30" t="n">
        <v>18</v>
      </c>
      <c r="C1149" s="31" t="s">
        <v>66</v>
      </c>
      <c r="D1149" s="31" t="s">
        <v>59</v>
      </c>
      <c r="E1149" s="30" t="n">
        <v>60</v>
      </c>
      <c r="F1149" s="30" t="n">
        <v>48</v>
      </c>
      <c r="G1149" s="30" t="str">
        <f aca="false">IF(E1149&lt;判定条件!$C$6,"判定不能",IF(F1149&gt;=判定条件!$C$7*E1149,"運転",IF(F1149&lt;=判定条件!$C$8*E1149,"停止","断続")))</f>
        <v>運転</v>
      </c>
      <c r="H1149" s="30" t="n">
        <v>60</v>
      </c>
      <c r="I1149" s="30" t="n">
        <v>46</v>
      </c>
      <c r="J1149" s="30" t="str">
        <f aca="false">IF(H1149&lt;判定条件!$C$6,"判定不能",IF(I1149&gt;=判定条件!$C$7*H1149,"運転",IF(I1149&lt;=判定条件!$C$8*H1149,"停止","断続")))</f>
        <v>断続</v>
      </c>
      <c r="K1149" s="30" t="n">
        <v>60</v>
      </c>
      <c r="L1149" s="30" t="n">
        <v>60</v>
      </c>
      <c r="M1149" s="30" t="str">
        <f aca="false">IF(K1149&lt;判定条件!$C$6,"判定不能",IF(L1149&gt;=判定条件!$C$7*K1149,"運転",IF(L1149&lt;=判定条件!$C$8*K1149,"停止","断続")))</f>
        <v>運転</v>
      </c>
      <c r="N1149" s="30" t="n">
        <v>60</v>
      </c>
      <c r="O1149" s="30" t="n">
        <v>6</v>
      </c>
      <c r="P1149" s="30" t="str">
        <f aca="false">IF(N1149&lt;判定条件!$C$6,"判定不能",IF(O1149&gt;=判定条件!$C$7*N1149,"運転",IF(O1149&lt;=判定条件!$C$8*N1149,"停止","断続")))</f>
        <v>停止</v>
      </c>
      <c r="Q1149" s="30" t="n">
        <v>60</v>
      </c>
      <c r="R1149" s="30" t="n">
        <v>3</v>
      </c>
      <c r="S1149" s="30" t="str">
        <f aca="false">IF(Q1149&lt;判定条件!$C$6,"判定不能",IF(R1149&gt;=判定条件!$C$7*Q1149,"運転",IF(R1149&lt;=判定条件!$C$8*Q1149,"停止","断続")))</f>
        <v>停止</v>
      </c>
      <c r="T1149" s="30" t="n">
        <v>60</v>
      </c>
      <c r="U1149" s="30" t="n">
        <v>3</v>
      </c>
      <c r="V1149" s="30" t="str">
        <f aca="false">IF(T1149&lt;判定条件!$C$6,"判定不能",IF(U1149&gt;=判定条件!$C$7*T1149,"運転",IF(U1149&lt;=判定条件!$C$8*T1149,"停止","断続")))</f>
        <v>停止</v>
      </c>
      <c r="W1149" s="30" t="n">
        <v>0</v>
      </c>
      <c r="X1149" s="30" t="n">
        <v>0</v>
      </c>
      <c r="Y1149" s="30" t="str">
        <f aca="false">IF(W1149&lt;判定条件!$C$6,"判定不能",IF(X1149&gt;=判定条件!$C$7*W1149,"運転",IF(X1149&lt;=判定条件!$C$8*W1149,"停止","断続")))</f>
        <v>判定不能</v>
      </c>
      <c r="Z1149" s="30" t="n">
        <v>0</v>
      </c>
      <c r="AA1149" s="30" t="n">
        <v>0</v>
      </c>
      <c r="AB1149" s="30" t="str">
        <f aca="false">IF(Z1149&lt;判定条件!$C$6,"判定不能",IF(AA1149&gt;=判定条件!$C$7*Z1149,"運転",IF(AA1149&lt;=判定条件!$C$8*Z1149,"停止","断続")))</f>
        <v>判定不能</v>
      </c>
      <c r="AC1149" s="30" t="n">
        <v>0</v>
      </c>
      <c r="AD1149" s="30" t="n">
        <v>0</v>
      </c>
      <c r="AE1149" s="30" t="str">
        <f aca="false">IF(AC1149&lt;判定条件!$C$6,"判定不能",IF(AD1149&gt;=判定条件!$C$7*AC1149,"運転",IF(AD1149&lt;=判定条件!$C$8*AC1149,"停止","断続")))</f>
        <v>判定不能</v>
      </c>
      <c r="AF1149" s="30" t="n">
        <v>60</v>
      </c>
      <c r="AG1149" s="30" t="n">
        <v>6</v>
      </c>
      <c r="AH1149" s="30" t="str">
        <f aca="false">IF(OR(P1149="判定不能",G1149="判定不能"),"判定不能",IF(AG1149&gt;=判定条件!$C$9,"利用可",IF(AND(P1149="停止",G1149="停止"),"両方停止","運転がそろわない")))</f>
        <v>運転がそろわない</v>
      </c>
      <c r="AI1149" s="30" t="n">
        <v>60</v>
      </c>
      <c r="AJ1149" s="30" t="n">
        <v>3</v>
      </c>
      <c r="AK1149" s="30" t="str">
        <f aca="false">IF(OR(S1149="判定不能",J1149="判定不能"),"判定不能",IF(AJ1149&gt;=判定条件!$C$9,"利用可",IF(AND(S1149="停止",J1149="停止"),"両方停止","運転がそろわない")))</f>
        <v>運転がそろわない</v>
      </c>
      <c r="AL1149" s="30" t="n">
        <v>60</v>
      </c>
      <c r="AM1149" s="30" t="n">
        <v>3</v>
      </c>
      <c r="AN1149" s="30" t="str">
        <f aca="false">IF(OR(V1149="判定不能",M1149="判定不能"),"判定不能",IF(AM1149&gt;=判定条件!$C$9,"利用可",IF(AND(V1149="停止",M1149="停止"),"両方停止","運転がそろわない")))</f>
        <v>運転がそろわない</v>
      </c>
      <c r="AO1149" s="30" t="n">
        <v>0</v>
      </c>
      <c r="AP1149" s="30" t="n">
        <v>0</v>
      </c>
      <c r="AQ1149" s="30" t="str">
        <f aca="false">IF(OR(Y1149="判定不能",G1149="判定不能"),"判定不能",IF(AP1149&gt;=判定条件!$C$9,"利用可",IF(AND(Y1149="停止",G1149="停止"),"両方停止","運転がそろわない")))</f>
        <v>判定不能</v>
      </c>
      <c r="AR1149" s="30" t="n">
        <v>0</v>
      </c>
      <c r="AS1149" s="30" t="n">
        <v>0</v>
      </c>
      <c r="AT1149" s="30" t="str">
        <f aca="false">IF(OR(AB1149="判定不能",J1149="判定不能"),"判定不能",IF(AS1149&gt;=判定条件!$C$9,"利用可",IF(AND(AB1149="停止",J1149="停止"),"両方停止","運転がそろわない")))</f>
        <v>判定不能</v>
      </c>
      <c r="AU1149" s="30" t="n">
        <v>0</v>
      </c>
      <c r="AV1149" s="30" t="n">
        <v>0</v>
      </c>
      <c r="AW1149" s="30" t="str">
        <f aca="false">IF(OR(AE1149="判定不能",M1149="判定不能"),"判定不能",IF(AV1149&gt;=判定条件!$C$9,"利用可",IF(AND(AE1149="停止",M1149="停止"),"両方停止","運転がそろわない")))</f>
        <v>判定不能</v>
      </c>
      <c r="AX1149" s="30" t="str">
        <f aca="false">IF(AND(AH1149="利用可",AK1149="利用可",AN1149="利用可"),"利用可","不可")</f>
        <v>不可</v>
      </c>
      <c r="AY1149" s="30" t="str">
        <f aca="false">IF(AND(AQ1149="利用可",AT1149="利用可",AW1149="利用可"),"利用可","不可")</f>
        <v>不可</v>
      </c>
    </row>
    <row r="1150" customFormat="false" ht="15" hidden="false" customHeight="false" outlineLevel="0" collapsed="false">
      <c r="A1150" s="29" t="n">
        <v>46279</v>
      </c>
      <c r="B1150" s="30" t="n">
        <v>19</v>
      </c>
      <c r="C1150" s="31" t="s">
        <v>66</v>
      </c>
      <c r="D1150" s="31" t="s">
        <v>59</v>
      </c>
      <c r="E1150" s="30" t="n">
        <v>60</v>
      </c>
      <c r="F1150" s="30" t="n">
        <v>55</v>
      </c>
      <c r="G1150" s="30" t="str">
        <f aca="false">IF(E1150&lt;判定条件!$C$6,"判定不能",IF(F1150&gt;=判定条件!$C$7*E1150,"運転",IF(F1150&lt;=判定条件!$C$8*E1150,"停止","断続")))</f>
        <v>運転</v>
      </c>
      <c r="H1150" s="30" t="n">
        <v>60</v>
      </c>
      <c r="I1150" s="30" t="n">
        <v>60</v>
      </c>
      <c r="J1150" s="30" t="str">
        <f aca="false">IF(H1150&lt;判定条件!$C$6,"判定不能",IF(I1150&gt;=判定条件!$C$7*H1150,"運転",IF(I1150&lt;=判定条件!$C$8*H1150,"停止","断続")))</f>
        <v>運転</v>
      </c>
      <c r="K1150" s="30" t="n">
        <v>60</v>
      </c>
      <c r="L1150" s="30" t="n">
        <v>60</v>
      </c>
      <c r="M1150" s="30" t="str">
        <f aca="false">IF(K1150&lt;判定条件!$C$6,"判定不能",IF(L1150&gt;=判定条件!$C$7*K1150,"運転",IF(L1150&lt;=判定条件!$C$8*K1150,"停止","断続")))</f>
        <v>運転</v>
      </c>
      <c r="N1150" s="30" t="n">
        <v>60</v>
      </c>
      <c r="O1150" s="30" t="n">
        <v>0</v>
      </c>
      <c r="P1150" s="30" t="str">
        <f aca="false">IF(N1150&lt;判定条件!$C$6,"判定不能",IF(O1150&gt;=判定条件!$C$7*N1150,"運転",IF(O1150&lt;=判定条件!$C$8*N1150,"停止","断続")))</f>
        <v>停止</v>
      </c>
      <c r="Q1150" s="30" t="n">
        <v>60</v>
      </c>
      <c r="R1150" s="30" t="n">
        <v>0</v>
      </c>
      <c r="S1150" s="30" t="str">
        <f aca="false">IF(Q1150&lt;判定条件!$C$6,"判定不能",IF(R1150&gt;=判定条件!$C$7*Q1150,"運転",IF(R1150&lt;=判定条件!$C$8*Q1150,"停止","断続")))</f>
        <v>停止</v>
      </c>
      <c r="T1150" s="30" t="n">
        <v>60</v>
      </c>
      <c r="U1150" s="30" t="n">
        <v>0</v>
      </c>
      <c r="V1150" s="30" t="str">
        <f aca="false">IF(T1150&lt;判定条件!$C$6,"判定不能",IF(U1150&gt;=判定条件!$C$7*T1150,"運転",IF(U1150&lt;=判定条件!$C$8*T1150,"停止","断続")))</f>
        <v>停止</v>
      </c>
      <c r="W1150" s="30" t="n">
        <v>0</v>
      </c>
      <c r="X1150" s="30" t="n">
        <v>0</v>
      </c>
      <c r="Y1150" s="30" t="str">
        <f aca="false">IF(W1150&lt;判定条件!$C$6,"判定不能",IF(X1150&gt;=判定条件!$C$7*W1150,"運転",IF(X1150&lt;=判定条件!$C$8*W1150,"停止","断続")))</f>
        <v>判定不能</v>
      </c>
      <c r="Z1150" s="30" t="n">
        <v>0</v>
      </c>
      <c r="AA1150" s="30" t="n">
        <v>0</v>
      </c>
      <c r="AB1150" s="30" t="str">
        <f aca="false">IF(Z1150&lt;判定条件!$C$6,"判定不能",IF(AA1150&gt;=判定条件!$C$7*Z1150,"運転",IF(AA1150&lt;=判定条件!$C$8*Z1150,"停止","断続")))</f>
        <v>判定不能</v>
      </c>
      <c r="AC1150" s="30" t="n">
        <v>0</v>
      </c>
      <c r="AD1150" s="30" t="n">
        <v>0</v>
      </c>
      <c r="AE1150" s="30" t="str">
        <f aca="false">IF(AC1150&lt;判定条件!$C$6,"判定不能",IF(AD1150&gt;=判定条件!$C$7*AC1150,"運転",IF(AD1150&lt;=判定条件!$C$8*AC1150,"停止","断続")))</f>
        <v>判定不能</v>
      </c>
      <c r="AF1150" s="30" t="n">
        <v>60</v>
      </c>
      <c r="AG1150" s="30" t="n">
        <v>0</v>
      </c>
      <c r="AH1150" s="30" t="str">
        <f aca="false">IF(OR(P1150="判定不能",G1150="判定不能"),"判定不能",IF(AG1150&gt;=判定条件!$C$9,"利用可",IF(AND(P1150="停止",G1150="停止"),"両方停止","運転がそろわない")))</f>
        <v>運転がそろわない</v>
      </c>
      <c r="AI1150" s="30" t="n">
        <v>60</v>
      </c>
      <c r="AJ1150" s="30" t="n">
        <v>0</v>
      </c>
      <c r="AK1150" s="30" t="str">
        <f aca="false">IF(OR(S1150="判定不能",J1150="判定不能"),"判定不能",IF(AJ1150&gt;=判定条件!$C$9,"利用可",IF(AND(S1150="停止",J1150="停止"),"両方停止","運転がそろわない")))</f>
        <v>運転がそろわない</v>
      </c>
      <c r="AL1150" s="30" t="n">
        <v>60</v>
      </c>
      <c r="AM1150" s="30" t="n">
        <v>0</v>
      </c>
      <c r="AN1150" s="30" t="str">
        <f aca="false">IF(OR(V1150="判定不能",M1150="判定不能"),"判定不能",IF(AM1150&gt;=判定条件!$C$9,"利用可",IF(AND(V1150="停止",M1150="停止"),"両方停止","運転がそろわない")))</f>
        <v>運転がそろわない</v>
      </c>
      <c r="AO1150" s="30" t="n">
        <v>0</v>
      </c>
      <c r="AP1150" s="30" t="n">
        <v>0</v>
      </c>
      <c r="AQ1150" s="30" t="str">
        <f aca="false">IF(OR(Y1150="判定不能",G1150="判定不能"),"判定不能",IF(AP1150&gt;=判定条件!$C$9,"利用可",IF(AND(Y1150="停止",G1150="停止"),"両方停止","運転がそろわない")))</f>
        <v>判定不能</v>
      </c>
      <c r="AR1150" s="30" t="n">
        <v>0</v>
      </c>
      <c r="AS1150" s="30" t="n">
        <v>0</v>
      </c>
      <c r="AT1150" s="30" t="str">
        <f aca="false">IF(OR(AB1150="判定不能",J1150="判定不能"),"判定不能",IF(AS1150&gt;=判定条件!$C$9,"利用可",IF(AND(AB1150="停止",J1150="停止"),"両方停止","運転がそろわない")))</f>
        <v>判定不能</v>
      </c>
      <c r="AU1150" s="30" t="n">
        <v>0</v>
      </c>
      <c r="AV1150" s="30" t="n">
        <v>0</v>
      </c>
      <c r="AW1150" s="30" t="str">
        <f aca="false">IF(OR(AE1150="判定不能",M1150="判定不能"),"判定不能",IF(AV1150&gt;=判定条件!$C$9,"利用可",IF(AND(AE1150="停止",M1150="停止"),"両方停止","運転がそろわない")))</f>
        <v>判定不能</v>
      </c>
      <c r="AX1150" s="30" t="str">
        <f aca="false">IF(AND(AH1150="利用可",AK1150="利用可",AN1150="利用可"),"利用可","不可")</f>
        <v>不可</v>
      </c>
      <c r="AY1150" s="30" t="str">
        <f aca="false">IF(AND(AQ1150="利用可",AT1150="利用可",AW1150="利用可"),"利用可","不可")</f>
        <v>不可</v>
      </c>
    </row>
    <row r="1151" customFormat="false" ht="15" hidden="false" customHeight="false" outlineLevel="0" collapsed="false">
      <c r="A1151" s="29" t="n">
        <v>46279</v>
      </c>
      <c r="B1151" s="30" t="n">
        <v>20</v>
      </c>
      <c r="C1151" s="31" t="s">
        <v>66</v>
      </c>
      <c r="D1151" s="31" t="s">
        <v>59</v>
      </c>
      <c r="E1151" s="30" t="n">
        <v>60</v>
      </c>
      <c r="F1151" s="30" t="n">
        <v>44</v>
      </c>
      <c r="G1151" s="30" t="str">
        <f aca="false">IF(E1151&lt;判定条件!$C$6,"判定不能",IF(F1151&gt;=判定条件!$C$7*E1151,"運転",IF(F1151&lt;=判定条件!$C$8*E1151,"停止","断続")))</f>
        <v>断続</v>
      </c>
      <c r="H1151" s="30" t="n">
        <v>59</v>
      </c>
      <c r="I1151" s="30" t="n">
        <v>46</v>
      </c>
      <c r="J1151" s="30" t="str">
        <f aca="false">IF(H1151&lt;判定条件!$C$6,"判定不能",IF(I1151&gt;=判定条件!$C$7*H1151,"運転",IF(I1151&lt;=判定条件!$C$8*H1151,"停止","断続")))</f>
        <v>断続</v>
      </c>
      <c r="K1151" s="30" t="n">
        <v>60</v>
      </c>
      <c r="L1151" s="30" t="n">
        <v>49</v>
      </c>
      <c r="M1151" s="30" t="str">
        <f aca="false">IF(K1151&lt;判定条件!$C$6,"判定不能",IF(L1151&gt;=判定条件!$C$7*K1151,"運転",IF(L1151&lt;=判定条件!$C$8*K1151,"停止","断続")))</f>
        <v>運転</v>
      </c>
      <c r="N1151" s="30" t="n">
        <v>60</v>
      </c>
      <c r="O1151" s="30" t="n">
        <v>0</v>
      </c>
      <c r="P1151" s="30" t="str">
        <f aca="false">IF(N1151&lt;判定条件!$C$6,"判定不能",IF(O1151&gt;=判定条件!$C$7*N1151,"運転",IF(O1151&lt;=判定条件!$C$8*N1151,"停止","断続")))</f>
        <v>停止</v>
      </c>
      <c r="Q1151" s="30" t="n">
        <v>60</v>
      </c>
      <c r="R1151" s="30" t="n">
        <v>0</v>
      </c>
      <c r="S1151" s="30" t="str">
        <f aca="false">IF(Q1151&lt;判定条件!$C$6,"判定不能",IF(R1151&gt;=判定条件!$C$7*Q1151,"運転",IF(R1151&lt;=判定条件!$C$8*Q1151,"停止","断続")))</f>
        <v>停止</v>
      </c>
      <c r="T1151" s="30" t="n">
        <v>60</v>
      </c>
      <c r="U1151" s="30" t="n">
        <v>0</v>
      </c>
      <c r="V1151" s="30" t="str">
        <f aca="false">IF(T1151&lt;判定条件!$C$6,"判定不能",IF(U1151&gt;=判定条件!$C$7*T1151,"運転",IF(U1151&lt;=判定条件!$C$8*T1151,"停止","断続")))</f>
        <v>停止</v>
      </c>
      <c r="W1151" s="30" t="n">
        <v>0</v>
      </c>
      <c r="X1151" s="30" t="n">
        <v>0</v>
      </c>
      <c r="Y1151" s="30" t="str">
        <f aca="false">IF(W1151&lt;判定条件!$C$6,"判定不能",IF(X1151&gt;=判定条件!$C$7*W1151,"運転",IF(X1151&lt;=判定条件!$C$8*W1151,"停止","断続")))</f>
        <v>判定不能</v>
      </c>
      <c r="Z1151" s="30" t="n">
        <v>0</v>
      </c>
      <c r="AA1151" s="30" t="n">
        <v>0</v>
      </c>
      <c r="AB1151" s="30" t="str">
        <f aca="false">IF(Z1151&lt;判定条件!$C$6,"判定不能",IF(AA1151&gt;=判定条件!$C$7*Z1151,"運転",IF(AA1151&lt;=判定条件!$C$8*Z1151,"停止","断続")))</f>
        <v>判定不能</v>
      </c>
      <c r="AC1151" s="30" t="n">
        <v>0</v>
      </c>
      <c r="AD1151" s="30" t="n">
        <v>0</v>
      </c>
      <c r="AE1151" s="30" t="str">
        <f aca="false">IF(AC1151&lt;判定条件!$C$6,"判定不能",IF(AD1151&gt;=判定条件!$C$7*AC1151,"運転",IF(AD1151&lt;=判定条件!$C$8*AC1151,"停止","断続")))</f>
        <v>判定不能</v>
      </c>
      <c r="AF1151" s="30" t="n">
        <v>60</v>
      </c>
      <c r="AG1151" s="30" t="n">
        <v>0</v>
      </c>
      <c r="AH1151" s="30" t="str">
        <f aca="false">IF(OR(P1151="判定不能",G1151="判定不能"),"判定不能",IF(AG1151&gt;=判定条件!$C$9,"利用可",IF(AND(P1151="停止",G1151="停止"),"両方停止","運転がそろわない")))</f>
        <v>運転がそろわない</v>
      </c>
      <c r="AI1151" s="30" t="n">
        <v>59</v>
      </c>
      <c r="AJ1151" s="30" t="n">
        <v>0</v>
      </c>
      <c r="AK1151" s="30" t="str">
        <f aca="false">IF(OR(S1151="判定不能",J1151="判定不能"),"判定不能",IF(AJ1151&gt;=判定条件!$C$9,"利用可",IF(AND(S1151="停止",J1151="停止"),"両方停止","運転がそろわない")))</f>
        <v>運転がそろわない</v>
      </c>
      <c r="AL1151" s="30" t="n">
        <v>60</v>
      </c>
      <c r="AM1151" s="30" t="n">
        <v>0</v>
      </c>
      <c r="AN1151" s="30" t="str">
        <f aca="false">IF(OR(V1151="判定不能",M1151="判定不能"),"判定不能",IF(AM1151&gt;=判定条件!$C$9,"利用可",IF(AND(V1151="停止",M1151="停止"),"両方停止","運転がそろわない")))</f>
        <v>運転がそろわない</v>
      </c>
      <c r="AO1151" s="30" t="n">
        <v>0</v>
      </c>
      <c r="AP1151" s="30" t="n">
        <v>0</v>
      </c>
      <c r="AQ1151" s="30" t="str">
        <f aca="false">IF(OR(Y1151="判定不能",G1151="判定不能"),"判定不能",IF(AP1151&gt;=判定条件!$C$9,"利用可",IF(AND(Y1151="停止",G1151="停止"),"両方停止","運転がそろわない")))</f>
        <v>判定不能</v>
      </c>
      <c r="AR1151" s="30" t="n">
        <v>0</v>
      </c>
      <c r="AS1151" s="30" t="n">
        <v>0</v>
      </c>
      <c r="AT1151" s="30" t="str">
        <f aca="false">IF(OR(AB1151="判定不能",J1151="判定不能"),"判定不能",IF(AS1151&gt;=判定条件!$C$9,"利用可",IF(AND(AB1151="停止",J1151="停止"),"両方停止","運転がそろわない")))</f>
        <v>判定不能</v>
      </c>
      <c r="AU1151" s="30" t="n">
        <v>0</v>
      </c>
      <c r="AV1151" s="30" t="n">
        <v>0</v>
      </c>
      <c r="AW1151" s="30" t="str">
        <f aca="false">IF(OR(AE1151="判定不能",M1151="判定不能"),"判定不能",IF(AV1151&gt;=判定条件!$C$9,"利用可",IF(AND(AE1151="停止",M1151="停止"),"両方停止","運転がそろわない")))</f>
        <v>判定不能</v>
      </c>
      <c r="AX1151" s="30" t="str">
        <f aca="false">IF(AND(AH1151="利用可",AK1151="利用可",AN1151="利用可"),"利用可","不可")</f>
        <v>不可</v>
      </c>
      <c r="AY1151" s="30" t="str">
        <f aca="false">IF(AND(AQ1151="利用可",AT1151="利用可",AW1151="利用可"),"利用可","不可")</f>
        <v>不可</v>
      </c>
    </row>
    <row r="1152" customFormat="false" ht="15" hidden="false" customHeight="false" outlineLevel="0" collapsed="false">
      <c r="A1152" s="29" t="n">
        <v>46279</v>
      </c>
      <c r="B1152" s="30" t="n">
        <v>21</v>
      </c>
      <c r="C1152" s="31" t="s">
        <v>66</v>
      </c>
      <c r="D1152" s="31" t="s">
        <v>59</v>
      </c>
      <c r="E1152" s="30" t="n">
        <v>60</v>
      </c>
      <c r="F1152" s="30" t="n">
        <v>0</v>
      </c>
      <c r="G1152" s="30" t="str">
        <f aca="false">IF(E1152&lt;判定条件!$C$6,"判定不能",IF(F1152&gt;=判定条件!$C$7*E1152,"運転",IF(F1152&lt;=判定条件!$C$8*E1152,"停止","断続")))</f>
        <v>停止</v>
      </c>
      <c r="H1152" s="30" t="n">
        <v>18</v>
      </c>
      <c r="I1152" s="30" t="n">
        <v>0</v>
      </c>
      <c r="J1152" s="30" t="str">
        <f aca="false">IF(H1152&lt;判定条件!$C$6,"判定不能",IF(I1152&gt;=判定条件!$C$7*H1152,"運転",IF(I1152&lt;=判定条件!$C$8*H1152,"停止","断続")))</f>
        <v>判定不能</v>
      </c>
      <c r="K1152" s="30" t="n">
        <v>60</v>
      </c>
      <c r="L1152" s="30" t="n">
        <v>0</v>
      </c>
      <c r="M1152" s="30" t="str">
        <f aca="false">IF(K1152&lt;判定条件!$C$6,"判定不能",IF(L1152&gt;=判定条件!$C$7*K1152,"運転",IF(L1152&lt;=判定条件!$C$8*K1152,"停止","断続")))</f>
        <v>停止</v>
      </c>
      <c r="N1152" s="30" t="n">
        <v>60</v>
      </c>
      <c r="O1152" s="30" t="n">
        <v>0</v>
      </c>
      <c r="P1152" s="30" t="str">
        <f aca="false">IF(N1152&lt;判定条件!$C$6,"判定不能",IF(O1152&gt;=判定条件!$C$7*N1152,"運転",IF(O1152&lt;=判定条件!$C$8*N1152,"停止","断続")))</f>
        <v>停止</v>
      </c>
      <c r="Q1152" s="30" t="n">
        <v>60</v>
      </c>
      <c r="R1152" s="30" t="n">
        <v>0</v>
      </c>
      <c r="S1152" s="30" t="str">
        <f aca="false">IF(Q1152&lt;判定条件!$C$6,"判定不能",IF(R1152&gt;=判定条件!$C$7*Q1152,"運転",IF(R1152&lt;=判定条件!$C$8*Q1152,"停止","断続")))</f>
        <v>停止</v>
      </c>
      <c r="T1152" s="30" t="n">
        <v>60</v>
      </c>
      <c r="U1152" s="30" t="n">
        <v>0</v>
      </c>
      <c r="V1152" s="30" t="str">
        <f aca="false">IF(T1152&lt;判定条件!$C$6,"判定不能",IF(U1152&gt;=判定条件!$C$7*T1152,"運転",IF(U1152&lt;=判定条件!$C$8*T1152,"停止","断続")))</f>
        <v>停止</v>
      </c>
      <c r="W1152" s="30" t="n">
        <v>0</v>
      </c>
      <c r="X1152" s="30" t="n">
        <v>0</v>
      </c>
      <c r="Y1152" s="30" t="str">
        <f aca="false">IF(W1152&lt;判定条件!$C$6,"判定不能",IF(X1152&gt;=判定条件!$C$7*W1152,"運転",IF(X1152&lt;=判定条件!$C$8*W1152,"停止","断続")))</f>
        <v>判定不能</v>
      </c>
      <c r="Z1152" s="30" t="n">
        <v>0</v>
      </c>
      <c r="AA1152" s="30" t="n">
        <v>0</v>
      </c>
      <c r="AB1152" s="30" t="str">
        <f aca="false">IF(Z1152&lt;判定条件!$C$6,"判定不能",IF(AA1152&gt;=判定条件!$C$7*Z1152,"運転",IF(AA1152&lt;=判定条件!$C$8*Z1152,"停止","断続")))</f>
        <v>判定不能</v>
      </c>
      <c r="AC1152" s="30" t="n">
        <v>0</v>
      </c>
      <c r="AD1152" s="30" t="n">
        <v>0</v>
      </c>
      <c r="AE1152" s="30" t="str">
        <f aca="false">IF(AC1152&lt;判定条件!$C$6,"判定不能",IF(AD1152&gt;=判定条件!$C$7*AC1152,"運転",IF(AD1152&lt;=判定条件!$C$8*AC1152,"停止","断続")))</f>
        <v>判定不能</v>
      </c>
      <c r="AF1152" s="30" t="n">
        <v>60</v>
      </c>
      <c r="AG1152" s="30" t="n">
        <v>0</v>
      </c>
      <c r="AH1152" s="30" t="str">
        <f aca="false">IF(OR(P1152="判定不能",G1152="判定不能"),"判定不能",IF(AG1152&gt;=判定条件!$C$9,"利用可",IF(AND(P1152="停止",G1152="停止"),"両方停止","運転がそろわない")))</f>
        <v>両方停止</v>
      </c>
      <c r="AI1152" s="30" t="n">
        <v>18</v>
      </c>
      <c r="AJ1152" s="30" t="n">
        <v>0</v>
      </c>
      <c r="AK1152" s="30" t="str">
        <f aca="false">IF(OR(S1152="判定不能",J1152="判定不能"),"判定不能",IF(AJ1152&gt;=判定条件!$C$9,"利用可",IF(AND(S1152="停止",J1152="停止"),"両方停止","運転がそろわない")))</f>
        <v>判定不能</v>
      </c>
      <c r="AL1152" s="30" t="n">
        <v>60</v>
      </c>
      <c r="AM1152" s="30" t="n">
        <v>0</v>
      </c>
      <c r="AN1152" s="30" t="str">
        <f aca="false">IF(OR(V1152="判定不能",M1152="判定不能"),"判定不能",IF(AM1152&gt;=判定条件!$C$9,"利用可",IF(AND(V1152="停止",M1152="停止"),"両方停止","運転がそろわない")))</f>
        <v>両方停止</v>
      </c>
      <c r="AO1152" s="30" t="n">
        <v>0</v>
      </c>
      <c r="AP1152" s="30" t="n">
        <v>0</v>
      </c>
      <c r="AQ1152" s="30" t="str">
        <f aca="false">IF(OR(Y1152="判定不能",G1152="判定不能"),"判定不能",IF(AP1152&gt;=判定条件!$C$9,"利用可",IF(AND(Y1152="停止",G1152="停止"),"両方停止","運転がそろわない")))</f>
        <v>判定不能</v>
      </c>
      <c r="AR1152" s="30" t="n">
        <v>0</v>
      </c>
      <c r="AS1152" s="30" t="n">
        <v>0</v>
      </c>
      <c r="AT1152" s="30" t="str">
        <f aca="false">IF(OR(AB1152="判定不能",J1152="判定不能"),"判定不能",IF(AS1152&gt;=判定条件!$C$9,"利用可",IF(AND(AB1152="停止",J1152="停止"),"両方停止","運転がそろわない")))</f>
        <v>判定不能</v>
      </c>
      <c r="AU1152" s="30" t="n">
        <v>0</v>
      </c>
      <c r="AV1152" s="30" t="n">
        <v>0</v>
      </c>
      <c r="AW1152" s="30" t="str">
        <f aca="false">IF(OR(AE1152="判定不能",M1152="判定不能"),"判定不能",IF(AV1152&gt;=判定条件!$C$9,"利用可",IF(AND(AE1152="停止",M1152="停止"),"両方停止","運転がそろわない")))</f>
        <v>判定不能</v>
      </c>
      <c r="AX1152" s="30" t="str">
        <f aca="false">IF(AND(AH1152="利用可",AK1152="利用可",AN1152="利用可"),"利用可","不可")</f>
        <v>不可</v>
      </c>
      <c r="AY1152" s="30" t="str">
        <f aca="false">IF(AND(AQ1152="利用可",AT1152="利用可",AW1152="利用可"),"利用可","不可")</f>
        <v>不可</v>
      </c>
    </row>
    <row r="1153" customFormat="false" ht="15" hidden="false" customHeight="false" outlineLevel="0" collapsed="false">
      <c r="A1153" s="29" t="n">
        <v>46279</v>
      </c>
      <c r="B1153" s="30" t="n">
        <v>22</v>
      </c>
      <c r="C1153" s="31" t="s">
        <v>66</v>
      </c>
      <c r="D1153" s="31" t="s">
        <v>59</v>
      </c>
      <c r="E1153" s="30" t="n">
        <v>60</v>
      </c>
      <c r="F1153" s="30" t="n">
        <v>0</v>
      </c>
      <c r="G1153" s="30" t="str">
        <f aca="false">IF(E1153&lt;判定条件!$C$6,"判定不能",IF(F1153&gt;=判定条件!$C$7*E1153,"運転",IF(F1153&lt;=判定条件!$C$8*E1153,"停止","断続")))</f>
        <v>停止</v>
      </c>
      <c r="H1153" s="30" t="n">
        <v>49</v>
      </c>
      <c r="I1153" s="30" t="n">
        <v>0</v>
      </c>
      <c r="J1153" s="30" t="str">
        <f aca="false">IF(H1153&lt;判定条件!$C$6,"判定不能",IF(I1153&gt;=判定条件!$C$7*H1153,"運転",IF(I1153&lt;=判定条件!$C$8*H1153,"停止","断続")))</f>
        <v>停止</v>
      </c>
      <c r="K1153" s="30" t="n">
        <v>60</v>
      </c>
      <c r="L1153" s="30" t="n">
        <v>0</v>
      </c>
      <c r="M1153" s="30" t="str">
        <f aca="false">IF(K1153&lt;判定条件!$C$6,"判定不能",IF(L1153&gt;=判定条件!$C$7*K1153,"運転",IF(L1153&lt;=判定条件!$C$8*K1153,"停止","断続")))</f>
        <v>停止</v>
      </c>
      <c r="N1153" s="30" t="n">
        <v>60</v>
      </c>
      <c r="O1153" s="30" t="n">
        <v>0</v>
      </c>
      <c r="P1153" s="30" t="str">
        <f aca="false">IF(N1153&lt;判定条件!$C$6,"判定不能",IF(O1153&gt;=判定条件!$C$7*N1153,"運転",IF(O1153&lt;=判定条件!$C$8*N1153,"停止","断続")))</f>
        <v>停止</v>
      </c>
      <c r="Q1153" s="30" t="n">
        <v>60</v>
      </c>
      <c r="R1153" s="30" t="n">
        <v>0</v>
      </c>
      <c r="S1153" s="30" t="str">
        <f aca="false">IF(Q1153&lt;判定条件!$C$6,"判定不能",IF(R1153&gt;=判定条件!$C$7*Q1153,"運転",IF(R1153&lt;=判定条件!$C$8*Q1153,"停止","断続")))</f>
        <v>停止</v>
      </c>
      <c r="T1153" s="30" t="n">
        <v>60</v>
      </c>
      <c r="U1153" s="30" t="n">
        <v>0</v>
      </c>
      <c r="V1153" s="30" t="str">
        <f aca="false">IF(T1153&lt;判定条件!$C$6,"判定不能",IF(U1153&gt;=判定条件!$C$7*T1153,"運転",IF(U1153&lt;=判定条件!$C$8*T1153,"停止","断続")))</f>
        <v>停止</v>
      </c>
      <c r="W1153" s="30" t="n">
        <v>0</v>
      </c>
      <c r="X1153" s="30" t="n">
        <v>0</v>
      </c>
      <c r="Y1153" s="30" t="str">
        <f aca="false">IF(W1153&lt;判定条件!$C$6,"判定不能",IF(X1153&gt;=判定条件!$C$7*W1153,"運転",IF(X1153&lt;=判定条件!$C$8*W1153,"停止","断続")))</f>
        <v>判定不能</v>
      </c>
      <c r="Z1153" s="30" t="n">
        <v>0</v>
      </c>
      <c r="AA1153" s="30" t="n">
        <v>0</v>
      </c>
      <c r="AB1153" s="30" t="str">
        <f aca="false">IF(Z1153&lt;判定条件!$C$6,"判定不能",IF(AA1153&gt;=判定条件!$C$7*Z1153,"運転",IF(AA1153&lt;=判定条件!$C$8*Z1153,"停止","断続")))</f>
        <v>判定不能</v>
      </c>
      <c r="AC1153" s="30" t="n">
        <v>0</v>
      </c>
      <c r="AD1153" s="30" t="n">
        <v>0</v>
      </c>
      <c r="AE1153" s="30" t="str">
        <f aca="false">IF(AC1153&lt;判定条件!$C$6,"判定不能",IF(AD1153&gt;=判定条件!$C$7*AC1153,"運転",IF(AD1153&lt;=判定条件!$C$8*AC1153,"停止","断続")))</f>
        <v>判定不能</v>
      </c>
      <c r="AF1153" s="30" t="n">
        <v>60</v>
      </c>
      <c r="AG1153" s="30" t="n">
        <v>0</v>
      </c>
      <c r="AH1153" s="30" t="str">
        <f aca="false">IF(OR(P1153="判定不能",G1153="判定不能"),"判定不能",IF(AG1153&gt;=判定条件!$C$9,"利用可",IF(AND(P1153="停止",G1153="停止"),"両方停止","運転がそろわない")))</f>
        <v>両方停止</v>
      </c>
      <c r="AI1153" s="30" t="n">
        <v>49</v>
      </c>
      <c r="AJ1153" s="30" t="n">
        <v>0</v>
      </c>
      <c r="AK1153" s="30" t="str">
        <f aca="false">IF(OR(S1153="判定不能",J1153="判定不能"),"判定不能",IF(AJ1153&gt;=判定条件!$C$9,"利用可",IF(AND(S1153="停止",J1153="停止"),"両方停止","運転がそろわない")))</f>
        <v>両方停止</v>
      </c>
      <c r="AL1153" s="30" t="n">
        <v>60</v>
      </c>
      <c r="AM1153" s="30" t="n">
        <v>0</v>
      </c>
      <c r="AN1153" s="30" t="str">
        <f aca="false">IF(OR(V1153="判定不能",M1153="判定不能"),"判定不能",IF(AM1153&gt;=判定条件!$C$9,"利用可",IF(AND(V1153="停止",M1153="停止"),"両方停止","運転がそろわない")))</f>
        <v>両方停止</v>
      </c>
      <c r="AO1153" s="30" t="n">
        <v>0</v>
      </c>
      <c r="AP1153" s="30" t="n">
        <v>0</v>
      </c>
      <c r="AQ1153" s="30" t="str">
        <f aca="false">IF(OR(Y1153="判定不能",G1153="判定不能"),"判定不能",IF(AP1153&gt;=判定条件!$C$9,"利用可",IF(AND(Y1153="停止",G1153="停止"),"両方停止","運転がそろわない")))</f>
        <v>判定不能</v>
      </c>
      <c r="AR1153" s="30" t="n">
        <v>0</v>
      </c>
      <c r="AS1153" s="30" t="n">
        <v>0</v>
      </c>
      <c r="AT1153" s="30" t="str">
        <f aca="false">IF(OR(AB1153="判定不能",J1153="判定不能"),"判定不能",IF(AS1153&gt;=判定条件!$C$9,"利用可",IF(AND(AB1153="停止",J1153="停止"),"両方停止","運転がそろわない")))</f>
        <v>判定不能</v>
      </c>
      <c r="AU1153" s="30" t="n">
        <v>0</v>
      </c>
      <c r="AV1153" s="30" t="n">
        <v>0</v>
      </c>
      <c r="AW1153" s="30" t="str">
        <f aca="false">IF(OR(AE1153="判定不能",M1153="判定不能"),"判定不能",IF(AV1153&gt;=判定条件!$C$9,"利用可",IF(AND(AE1153="停止",M1153="停止"),"両方停止","運転がそろわない")))</f>
        <v>判定不能</v>
      </c>
      <c r="AX1153" s="30" t="str">
        <f aca="false">IF(AND(AH1153="利用可",AK1153="利用可",AN1153="利用可"),"利用可","不可")</f>
        <v>不可</v>
      </c>
      <c r="AY1153" s="30" t="str">
        <f aca="false">IF(AND(AQ1153="利用可",AT1153="利用可",AW1153="利用可"),"利用可","不可")</f>
        <v>不可</v>
      </c>
    </row>
    <row r="1154" customFormat="false" ht="15" hidden="false" customHeight="false" outlineLevel="0" collapsed="false">
      <c r="A1154" s="29" t="n">
        <v>46279</v>
      </c>
      <c r="B1154" s="30" t="n">
        <v>23</v>
      </c>
      <c r="C1154" s="31" t="s">
        <v>66</v>
      </c>
      <c r="D1154" s="31" t="s">
        <v>59</v>
      </c>
      <c r="E1154" s="30" t="n">
        <v>60</v>
      </c>
      <c r="F1154" s="30" t="n">
        <v>0</v>
      </c>
      <c r="G1154" s="30" t="str">
        <f aca="false">IF(E1154&lt;判定条件!$C$6,"判定不能",IF(F1154&gt;=判定条件!$C$7*E1154,"運転",IF(F1154&lt;=判定条件!$C$8*E1154,"停止","断続")))</f>
        <v>停止</v>
      </c>
      <c r="H1154" s="30" t="n">
        <v>44</v>
      </c>
      <c r="I1154" s="30" t="n">
        <v>7</v>
      </c>
      <c r="J1154" s="30" t="str">
        <f aca="false">IF(H1154&lt;判定条件!$C$6,"判定不能",IF(I1154&gt;=判定条件!$C$7*H1154,"運転",IF(I1154&lt;=判定条件!$C$8*H1154,"停止","断続")))</f>
        <v>判定不能</v>
      </c>
      <c r="K1154" s="30" t="n">
        <v>60</v>
      </c>
      <c r="L1154" s="30" t="n">
        <v>0</v>
      </c>
      <c r="M1154" s="30" t="str">
        <f aca="false">IF(K1154&lt;判定条件!$C$6,"判定不能",IF(L1154&gt;=判定条件!$C$7*K1154,"運転",IF(L1154&lt;=判定条件!$C$8*K1154,"停止","断続")))</f>
        <v>停止</v>
      </c>
      <c r="N1154" s="30" t="n">
        <v>60</v>
      </c>
      <c r="O1154" s="30" t="n">
        <v>0</v>
      </c>
      <c r="P1154" s="30" t="str">
        <f aca="false">IF(N1154&lt;判定条件!$C$6,"判定不能",IF(O1154&gt;=判定条件!$C$7*N1154,"運転",IF(O1154&lt;=判定条件!$C$8*N1154,"停止","断続")))</f>
        <v>停止</v>
      </c>
      <c r="Q1154" s="30" t="n">
        <v>60</v>
      </c>
      <c r="R1154" s="30" t="n">
        <v>0</v>
      </c>
      <c r="S1154" s="30" t="str">
        <f aca="false">IF(Q1154&lt;判定条件!$C$6,"判定不能",IF(R1154&gt;=判定条件!$C$7*Q1154,"運転",IF(R1154&lt;=判定条件!$C$8*Q1154,"停止","断続")))</f>
        <v>停止</v>
      </c>
      <c r="T1154" s="30" t="n">
        <v>60</v>
      </c>
      <c r="U1154" s="30" t="n">
        <v>0</v>
      </c>
      <c r="V1154" s="30" t="str">
        <f aca="false">IF(T1154&lt;判定条件!$C$6,"判定不能",IF(U1154&gt;=判定条件!$C$7*T1154,"運転",IF(U1154&lt;=判定条件!$C$8*T1154,"停止","断続")))</f>
        <v>停止</v>
      </c>
      <c r="W1154" s="30" t="n">
        <v>0</v>
      </c>
      <c r="X1154" s="30" t="n">
        <v>0</v>
      </c>
      <c r="Y1154" s="30" t="str">
        <f aca="false">IF(W1154&lt;判定条件!$C$6,"判定不能",IF(X1154&gt;=判定条件!$C$7*W1154,"運転",IF(X1154&lt;=判定条件!$C$8*W1154,"停止","断続")))</f>
        <v>判定不能</v>
      </c>
      <c r="Z1154" s="30" t="n">
        <v>0</v>
      </c>
      <c r="AA1154" s="30" t="n">
        <v>0</v>
      </c>
      <c r="AB1154" s="30" t="str">
        <f aca="false">IF(Z1154&lt;判定条件!$C$6,"判定不能",IF(AA1154&gt;=判定条件!$C$7*Z1154,"運転",IF(AA1154&lt;=判定条件!$C$8*Z1154,"停止","断続")))</f>
        <v>判定不能</v>
      </c>
      <c r="AC1154" s="30" t="n">
        <v>0</v>
      </c>
      <c r="AD1154" s="30" t="n">
        <v>0</v>
      </c>
      <c r="AE1154" s="30" t="str">
        <f aca="false">IF(AC1154&lt;判定条件!$C$6,"判定不能",IF(AD1154&gt;=判定条件!$C$7*AC1154,"運転",IF(AD1154&lt;=判定条件!$C$8*AC1154,"停止","断続")))</f>
        <v>判定不能</v>
      </c>
      <c r="AF1154" s="30" t="n">
        <v>60</v>
      </c>
      <c r="AG1154" s="30" t="n">
        <v>0</v>
      </c>
      <c r="AH1154" s="30" t="str">
        <f aca="false">IF(OR(P1154="判定不能",G1154="判定不能"),"判定不能",IF(AG1154&gt;=判定条件!$C$9,"利用可",IF(AND(P1154="停止",G1154="停止"),"両方停止","運転がそろわない")))</f>
        <v>両方停止</v>
      </c>
      <c r="AI1154" s="30" t="n">
        <v>44</v>
      </c>
      <c r="AJ1154" s="30" t="n">
        <v>0</v>
      </c>
      <c r="AK1154" s="30" t="str">
        <f aca="false">IF(OR(S1154="判定不能",J1154="判定不能"),"判定不能",IF(AJ1154&gt;=判定条件!$C$9,"利用可",IF(AND(S1154="停止",J1154="停止"),"両方停止","運転がそろわない")))</f>
        <v>判定不能</v>
      </c>
      <c r="AL1154" s="30" t="n">
        <v>60</v>
      </c>
      <c r="AM1154" s="30" t="n">
        <v>0</v>
      </c>
      <c r="AN1154" s="30" t="str">
        <f aca="false">IF(OR(V1154="判定不能",M1154="判定不能"),"判定不能",IF(AM1154&gt;=判定条件!$C$9,"利用可",IF(AND(V1154="停止",M1154="停止"),"両方停止","運転がそろわない")))</f>
        <v>両方停止</v>
      </c>
      <c r="AO1154" s="30" t="n">
        <v>0</v>
      </c>
      <c r="AP1154" s="30" t="n">
        <v>0</v>
      </c>
      <c r="AQ1154" s="30" t="str">
        <f aca="false">IF(OR(Y1154="判定不能",G1154="判定不能"),"判定不能",IF(AP1154&gt;=判定条件!$C$9,"利用可",IF(AND(Y1154="停止",G1154="停止"),"両方停止","運転がそろわない")))</f>
        <v>判定不能</v>
      </c>
      <c r="AR1154" s="30" t="n">
        <v>0</v>
      </c>
      <c r="AS1154" s="30" t="n">
        <v>0</v>
      </c>
      <c r="AT1154" s="30" t="str">
        <f aca="false">IF(OR(AB1154="判定不能",J1154="判定不能"),"判定不能",IF(AS1154&gt;=判定条件!$C$9,"利用可",IF(AND(AB1154="停止",J1154="停止"),"両方停止","運転がそろわない")))</f>
        <v>判定不能</v>
      </c>
      <c r="AU1154" s="30" t="n">
        <v>0</v>
      </c>
      <c r="AV1154" s="30" t="n">
        <v>0</v>
      </c>
      <c r="AW1154" s="30" t="str">
        <f aca="false">IF(OR(AE1154="判定不能",M1154="判定不能"),"判定不能",IF(AV1154&gt;=判定条件!$C$9,"利用可",IF(AND(AE1154="停止",M1154="停止"),"両方停止","運転がそろわない")))</f>
        <v>判定不能</v>
      </c>
      <c r="AX1154" s="30" t="str">
        <f aca="false">IF(AND(AH1154="利用可",AK1154="利用可",AN1154="利用可"),"利用可","不可")</f>
        <v>不可</v>
      </c>
      <c r="AY1154" s="30" t="str">
        <f aca="false">IF(AND(AQ1154="利用可",AT1154="利用可",AW1154="利用可"),"利用可","不可")</f>
        <v>不可</v>
      </c>
    </row>
    <row r="1155" customFormat="false" ht="15" hidden="false" customHeight="false" outlineLevel="0" collapsed="false">
      <c r="A1155" s="29" t="n">
        <v>46280</v>
      </c>
      <c r="B1155" s="30" t="n">
        <v>0</v>
      </c>
      <c r="C1155" s="31" t="s">
        <v>67</v>
      </c>
      <c r="D1155" s="31" t="s">
        <v>59</v>
      </c>
      <c r="E1155" s="30" t="n">
        <v>60</v>
      </c>
      <c r="F1155" s="30" t="n">
        <v>0</v>
      </c>
      <c r="G1155" s="30" t="str">
        <f aca="false">IF(E1155&lt;判定条件!$C$6,"判定不能",IF(F1155&gt;=判定条件!$C$7*E1155,"運転",IF(F1155&lt;=判定条件!$C$8*E1155,"停止","断続")))</f>
        <v>停止</v>
      </c>
      <c r="H1155" s="30" t="n">
        <v>60</v>
      </c>
      <c r="I1155" s="30" t="n">
        <v>0</v>
      </c>
      <c r="J1155" s="30" t="str">
        <f aca="false">IF(H1155&lt;判定条件!$C$6,"判定不能",IF(I1155&gt;=判定条件!$C$7*H1155,"運転",IF(I1155&lt;=判定条件!$C$8*H1155,"停止","断続")))</f>
        <v>停止</v>
      </c>
      <c r="K1155" s="30" t="n">
        <v>60</v>
      </c>
      <c r="L1155" s="30" t="n">
        <v>0</v>
      </c>
      <c r="M1155" s="30" t="str">
        <f aca="false">IF(K1155&lt;判定条件!$C$6,"判定不能",IF(L1155&gt;=判定条件!$C$7*K1155,"運転",IF(L1155&lt;=判定条件!$C$8*K1155,"停止","断続")))</f>
        <v>停止</v>
      </c>
      <c r="N1155" s="30" t="n">
        <v>60</v>
      </c>
      <c r="O1155" s="30" t="n">
        <v>0</v>
      </c>
      <c r="P1155" s="30" t="str">
        <f aca="false">IF(N1155&lt;判定条件!$C$6,"判定不能",IF(O1155&gt;=判定条件!$C$7*N1155,"運転",IF(O1155&lt;=判定条件!$C$8*N1155,"停止","断続")))</f>
        <v>停止</v>
      </c>
      <c r="Q1155" s="30" t="n">
        <v>60</v>
      </c>
      <c r="R1155" s="30" t="n">
        <v>0</v>
      </c>
      <c r="S1155" s="30" t="str">
        <f aca="false">IF(Q1155&lt;判定条件!$C$6,"判定不能",IF(R1155&gt;=判定条件!$C$7*Q1155,"運転",IF(R1155&lt;=判定条件!$C$8*Q1155,"停止","断続")))</f>
        <v>停止</v>
      </c>
      <c r="T1155" s="30" t="n">
        <v>60</v>
      </c>
      <c r="U1155" s="30" t="n">
        <v>0</v>
      </c>
      <c r="V1155" s="30" t="str">
        <f aca="false">IF(T1155&lt;判定条件!$C$6,"判定不能",IF(U1155&gt;=判定条件!$C$7*T1155,"運転",IF(U1155&lt;=判定条件!$C$8*T1155,"停止","断続")))</f>
        <v>停止</v>
      </c>
      <c r="W1155" s="30" t="n">
        <v>0</v>
      </c>
      <c r="X1155" s="30" t="n">
        <v>0</v>
      </c>
      <c r="Y1155" s="30" t="str">
        <f aca="false">IF(W1155&lt;判定条件!$C$6,"判定不能",IF(X1155&gt;=判定条件!$C$7*W1155,"運転",IF(X1155&lt;=判定条件!$C$8*W1155,"停止","断続")))</f>
        <v>判定不能</v>
      </c>
      <c r="Z1155" s="30" t="n">
        <v>0</v>
      </c>
      <c r="AA1155" s="30" t="n">
        <v>0</v>
      </c>
      <c r="AB1155" s="30" t="str">
        <f aca="false">IF(Z1155&lt;判定条件!$C$6,"判定不能",IF(AA1155&gt;=判定条件!$C$7*Z1155,"運転",IF(AA1155&lt;=判定条件!$C$8*Z1155,"停止","断続")))</f>
        <v>判定不能</v>
      </c>
      <c r="AC1155" s="30" t="n">
        <v>0</v>
      </c>
      <c r="AD1155" s="30" t="n">
        <v>0</v>
      </c>
      <c r="AE1155" s="30" t="str">
        <f aca="false">IF(AC1155&lt;判定条件!$C$6,"判定不能",IF(AD1155&gt;=判定条件!$C$7*AC1155,"運転",IF(AD1155&lt;=判定条件!$C$8*AC1155,"停止","断続")))</f>
        <v>判定不能</v>
      </c>
      <c r="AF1155" s="30" t="n">
        <v>60</v>
      </c>
      <c r="AG1155" s="30" t="n">
        <v>0</v>
      </c>
      <c r="AH1155" s="30" t="str">
        <f aca="false">IF(OR(P1155="判定不能",G1155="判定不能"),"判定不能",IF(AG1155&gt;=判定条件!$C$9,"利用可",IF(AND(P1155="停止",G1155="停止"),"両方停止","運転がそろわない")))</f>
        <v>両方停止</v>
      </c>
      <c r="AI1155" s="30" t="n">
        <v>60</v>
      </c>
      <c r="AJ1155" s="30" t="n">
        <v>0</v>
      </c>
      <c r="AK1155" s="30" t="str">
        <f aca="false">IF(OR(S1155="判定不能",J1155="判定不能"),"判定不能",IF(AJ1155&gt;=判定条件!$C$9,"利用可",IF(AND(S1155="停止",J1155="停止"),"両方停止","運転がそろわない")))</f>
        <v>両方停止</v>
      </c>
      <c r="AL1155" s="30" t="n">
        <v>60</v>
      </c>
      <c r="AM1155" s="30" t="n">
        <v>0</v>
      </c>
      <c r="AN1155" s="30" t="str">
        <f aca="false">IF(OR(V1155="判定不能",M1155="判定不能"),"判定不能",IF(AM1155&gt;=判定条件!$C$9,"利用可",IF(AND(V1155="停止",M1155="停止"),"両方停止","運転がそろわない")))</f>
        <v>両方停止</v>
      </c>
      <c r="AO1155" s="30" t="n">
        <v>0</v>
      </c>
      <c r="AP1155" s="30" t="n">
        <v>0</v>
      </c>
      <c r="AQ1155" s="30" t="str">
        <f aca="false">IF(OR(Y1155="判定不能",G1155="判定不能"),"判定不能",IF(AP1155&gt;=判定条件!$C$9,"利用可",IF(AND(Y1155="停止",G1155="停止"),"両方停止","運転がそろわない")))</f>
        <v>判定不能</v>
      </c>
      <c r="AR1155" s="30" t="n">
        <v>0</v>
      </c>
      <c r="AS1155" s="30" t="n">
        <v>0</v>
      </c>
      <c r="AT1155" s="30" t="str">
        <f aca="false">IF(OR(AB1155="判定不能",J1155="判定不能"),"判定不能",IF(AS1155&gt;=判定条件!$C$9,"利用可",IF(AND(AB1155="停止",J1155="停止"),"両方停止","運転がそろわない")))</f>
        <v>判定不能</v>
      </c>
      <c r="AU1155" s="30" t="n">
        <v>0</v>
      </c>
      <c r="AV1155" s="30" t="n">
        <v>0</v>
      </c>
      <c r="AW1155" s="30" t="str">
        <f aca="false">IF(OR(AE1155="判定不能",M1155="判定不能"),"判定不能",IF(AV1155&gt;=判定条件!$C$9,"利用可",IF(AND(AE1155="停止",M1155="停止"),"両方停止","運転がそろわない")))</f>
        <v>判定不能</v>
      </c>
      <c r="AX1155" s="30" t="str">
        <f aca="false">IF(AND(AH1155="利用可",AK1155="利用可",AN1155="利用可"),"利用可","不可")</f>
        <v>不可</v>
      </c>
      <c r="AY1155" s="30" t="str">
        <f aca="false">IF(AND(AQ1155="利用可",AT1155="利用可",AW1155="利用可"),"利用可","不可")</f>
        <v>不可</v>
      </c>
    </row>
    <row r="1156" customFormat="false" ht="15" hidden="false" customHeight="false" outlineLevel="0" collapsed="false">
      <c r="A1156" s="29" t="n">
        <v>46280</v>
      </c>
      <c r="B1156" s="30" t="n">
        <v>1</v>
      </c>
      <c r="C1156" s="31" t="s">
        <v>67</v>
      </c>
      <c r="D1156" s="31" t="s">
        <v>59</v>
      </c>
      <c r="E1156" s="30" t="n">
        <v>60</v>
      </c>
      <c r="F1156" s="30" t="n">
        <v>0</v>
      </c>
      <c r="G1156" s="30" t="str">
        <f aca="false">IF(E1156&lt;判定条件!$C$6,"判定不能",IF(F1156&gt;=判定条件!$C$7*E1156,"運転",IF(F1156&lt;=判定条件!$C$8*E1156,"停止","断続")))</f>
        <v>停止</v>
      </c>
      <c r="H1156" s="30" t="n">
        <v>59</v>
      </c>
      <c r="I1156" s="30" t="n">
        <v>2</v>
      </c>
      <c r="J1156" s="30" t="str">
        <f aca="false">IF(H1156&lt;判定条件!$C$6,"判定不能",IF(I1156&gt;=判定条件!$C$7*H1156,"運転",IF(I1156&lt;=判定条件!$C$8*H1156,"停止","断続")))</f>
        <v>停止</v>
      </c>
      <c r="K1156" s="30" t="n">
        <v>60</v>
      </c>
      <c r="L1156" s="30" t="n">
        <v>0</v>
      </c>
      <c r="M1156" s="30" t="str">
        <f aca="false">IF(K1156&lt;判定条件!$C$6,"判定不能",IF(L1156&gt;=判定条件!$C$7*K1156,"運転",IF(L1156&lt;=判定条件!$C$8*K1156,"停止","断続")))</f>
        <v>停止</v>
      </c>
      <c r="N1156" s="30" t="n">
        <v>60</v>
      </c>
      <c r="O1156" s="30" t="n">
        <v>0</v>
      </c>
      <c r="P1156" s="30" t="str">
        <f aca="false">IF(N1156&lt;判定条件!$C$6,"判定不能",IF(O1156&gt;=判定条件!$C$7*N1156,"運転",IF(O1156&lt;=判定条件!$C$8*N1156,"停止","断続")))</f>
        <v>停止</v>
      </c>
      <c r="Q1156" s="30" t="n">
        <v>60</v>
      </c>
      <c r="R1156" s="30" t="n">
        <v>0</v>
      </c>
      <c r="S1156" s="30" t="str">
        <f aca="false">IF(Q1156&lt;判定条件!$C$6,"判定不能",IF(R1156&gt;=判定条件!$C$7*Q1156,"運転",IF(R1156&lt;=判定条件!$C$8*Q1156,"停止","断続")))</f>
        <v>停止</v>
      </c>
      <c r="T1156" s="30" t="n">
        <v>60</v>
      </c>
      <c r="U1156" s="30" t="n">
        <v>0</v>
      </c>
      <c r="V1156" s="30" t="str">
        <f aca="false">IF(T1156&lt;判定条件!$C$6,"判定不能",IF(U1156&gt;=判定条件!$C$7*T1156,"運転",IF(U1156&lt;=判定条件!$C$8*T1156,"停止","断続")))</f>
        <v>停止</v>
      </c>
      <c r="W1156" s="30" t="n">
        <v>0</v>
      </c>
      <c r="X1156" s="30" t="n">
        <v>0</v>
      </c>
      <c r="Y1156" s="30" t="str">
        <f aca="false">IF(W1156&lt;判定条件!$C$6,"判定不能",IF(X1156&gt;=判定条件!$C$7*W1156,"運転",IF(X1156&lt;=判定条件!$C$8*W1156,"停止","断続")))</f>
        <v>判定不能</v>
      </c>
      <c r="Z1156" s="30" t="n">
        <v>0</v>
      </c>
      <c r="AA1156" s="30" t="n">
        <v>0</v>
      </c>
      <c r="AB1156" s="30" t="str">
        <f aca="false">IF(Z1156&lt;判定条件!$C$6,"判定不能",IF(AA1156&gt;=判定条件!$C$7*Z1156,"運転",IF(AA1156&lt;=判定条件!$C$8*Z1156,"停止","断続")))</f>
        <v>判定不能</v>
      </c>
      <c r="AC1156" s="30" t="n">
        <v>0</v>
      </c>
      <c r="AD1156" s="30" t="n">
        <v>0</v>
      </c>
      <c r="AE1156" s="30" t="str">
        <f aca="false">IF(AC1156&lt;判定条件!$C$6,"判定不能",IF(AD1156&gt;=判定条件!$C$7*AC1156,"運転",IF(AD1156&lt;=判定条件!$C$8*AC1156,"停止","断続")))</f>
        <v>判定不能</v>
      </c>
      <c r="AF1156" s="30" t="n">
        <v>60</v>
      </c>
      <c r="AG1156" s="30" t="n">
        <v>0</v>
      </c>
      <c r="AH1156" s="30" t="str">
        <f aca="false">IF(OR(P1156="判定不能",G1156="判定不能"),"判定不能",IF(AG1156&gt;=判定条件!$C$9,"利用可",IF(AND(P1156="停止",G1156="停止"),"両方停止","運転がそろわない")))</f>
        <v>両方停止</v>
      </c>
      <c r="AI1156" s="30" t="n">
        <v>59</v>
      </c>
      <c r="AJ1156" s="30" t="n">
        <v>0</v>
      </c>
      <c r="AK1156" s="30" t="str">
        <f aca="false">IF(OR(S1156="判定不能",J1156="判定不能"),"判定不能",IF(AJ1156&gt;=判定条件!$C$9,"利用可",IF(AND(S1156="停止",J1156="停止"),"両方停止","運転がそろわない")))</f>
        <v>両方停止</v>
      </c>
      <c r="AL1156" s="30" t="n">
        <v>60</v>
      </c>
      <c r="AM1156" s="30" t="n">
        <v>0</v>
      </c>
      <c r="AN1156" s="30" t="str">
        <f aca="false">IF(OR(V1156="判定不能",M1156="判定不能"),"判定不能",IF(AM1156&gt;=判定条件!$C$9,"利用可",IF(AND(V1156="停止",M1156="停止"),"両方停止","運転がそろわない")))</f>
        <v>両方停止</v>
      </c>
      <c r="AO1156" s="30" t="n">
        <v>0</v>
      </c>
      <c r="AP1156" s="30" t="n">
        <v>0</v>
      </c>
      <c r="AQ1156" s="30" t="str">
        <f aca="false">IF(OR(Y1156="判定不能",G1156="判定不能"),"判定不能",IF(AP1156&gt;=判定条件!$C$9,"利用可",IF(AND(Y1156="停止",G1156="停止"),"両方停止","運転がそろわない")))</f>
        <v>判定不能</v>
      </c>
      <c r="AR1156" s="30" t="n">
        <v>0</v>
      </c>
      <c r="AS1156" s="30" t="n">
        <v>0</v>
      </c>
      <c r="AT1156" s="30" t="str">
        <f aca="false">IF(OR(AB1156="判定不能",J1156="判定不能"),"判定不能",IF(AS1156&gt;=判定条件!$C$9,"利用可",IF(AND(AB1156="停止",J1156="停止"),"両方停止","運転がそろわない")))</f>
        <v>判定不能</v>
      </c>
      <c r="AU1156" s="30" t="n">
        <v>0</v>
      </c>
      <c r="AV1156" s="30" t="n">
        <v>0</v>
      </c>
      <c r="AW1156" s="30" t="str">
        <f aca="false">IF(OR(AE1156="判定不能",M1156="判定不能"),"判定不能",IF(AV1156&gt;=判定条件!$C$9,"利用可",IF(AND(AE1156="停止",M1156="停止"),"両方停止","運転がそろわない")))</f>
        <v>判定不能</v>
      </c>
      <c r="AX1156" s="30" t="str">
        <f aca="false">IF(AND(AH1156="利用可",AK1156="利用可",AN1156="利用可"),"利用可","不可")</f>
        <v>不可</v>
      </c>
      <c r="AY1156" s="30" t="str">
        <f aca="false">IF(AND(AQ1156="利用可",AT1156="利用可",AW1156="利用可"),"利用可","不可")</f>
        <v>不可</v>
      </c>
    </row>
    <row r="1157" customFormat="false" ht="15" hidden="false" customHeight="false" outlineLevel="0" collapsed="false">
      <c r="A1157" s="29" t="n">
        <v>46280</v>
      </c>
      <c r="B1157" s="30" t="n">
        <v>2</v>
      </c>
      <c r="C1157" s="31" t="s">
        <v>67</v>
      </c>
      <c r="D1157" s="31" t="s">
        <v>59</v>
      </c>
      <c r="E1157" s="30" t="n">
        <v>60</v>
      </c>
      <c r="F1157" s="30" t="n">
        <v>0</v>
      </c>
      <c r="G1157" s="30" t="str">
        <f aca="false">IF(E1157&lt;判定条件!$C$6,"判定不能",IF(F1157&gt;=判定条件!$C$7*E1157,"運転",IF(F1157&lt;=判定条件!$C$8*E1157,"停止","断続")))</f>
        <v>停止</v>
      </c>
      <c r="H1157" s="30" t="n">
        <v>58</v>
      </c>
      <c r="I1157" s="30" t="n">
        <v>5</v>
      </c>
      <c r="J1157" s="30" t="str">
        <f aca="false">IF(H1157&lt;判定条件!$C$6,"判定不能",IF(I1157&gt;=判定条件!$C$7*H1157,"運転",IF(I1157&lt;=判定条件!$C$8*H1157,"停止","断続")))</f>
        <v>停止</v>
      </c>
      <c r="K1157" s="30" t="n">
        <v>60</v>
      </c>
      <c r="L1157" s="30" t="n">
        <v>0</v>
      </c>
      <c r="M1157" s="30" t="str">
        <f aca="false">IF(K1157&lt;判定条件!$C$6,"判定不能",IF(L1157&gt;=判定条件!$C$7*K1157,"運転",IF(L1157&lt;=判定条件!$C$8*K1157,"停止","断続")))</f>
        <v>停止</v>
      </c>
      <c r="N1157" s="30" t="n">
        <v>60</v>
      </c>
      <c r="O1157" s="30" t="n">
        <v>0</v>
      </c>
      <c r="P1157" s="30" t="str">
        <f aca="false">IF(N1157&lt;判定条件!$C$6,"判定不能",IF(O1157&gt;=判定条件!$C$7*N1157,"運転",IF(O1157&lt;=判定条件!$C$8*N1157,"停止","断続")))</f>
        <v>停止</v>
      </c>
      <c r="Q1157" s="30" t="n">
        <v>60</v>
      </c>
      <c r="R1157" s="30" t="n">
        <v>0</v>
      </c>
      <c r="S1157" s="30" t="str">
        <f aca="false">IF(Q1157&lt;判定条件!$C$6,"判定不能",IF(R1157&gt;=判定条件!$C$7*Q1157,"運転",IF(R1157&lt;=判定条件!$C$8*Q1157,"停止","断続")))</f>
        <v>停止</v>
      </c>
      <c r="T1157" s="30" t="n">
        <v>60</v>
      </c>
      <c r="U1157" s="30" t="n">
        <v>0</v>
      </c>
      <c r="V1157" s="30" t="str">
        <f aca="false">IF(T1157&lt;判定条件!$C$6,"判定不能",IF(U1157&gt;=判定条件!$C$7*T1157,"運転",IF(U1157&lt;=判定条件!$C$8*T1157,"停止","断続")))</f>
        <v>停止</v>
      </c>
      <c r="W1157" s="30" t="n">
        <v>0</v>
      </c>
      <c r="X1157" s="30" t="n">
        <v>0</v>
      </c>
      <c r="Y1157" s="30" t="str">
        <f aca="false">IF(W1157&lt;判定条件!$C$6,"判定不能",IF(X1157&gt;=判定条件!$C$7*W1157,"運転",IF(X1157&lt;=判定条件!$C$8*W1157,"停止","断続")))</f>
        <v>判定不能</v>
      </c>
      <c r="Z1157" s="30" t="n">
        <v>0</v>
      </c>
      <c r="AA1157" s="30" t="n">
        <v>0</v>
      </c>
      <c r="AB1157" s="30" t="str">
        <f aca="false">IF(Z1157&lt;判定条件!$C$6,"判定不能",IF(AA1157&gt;=判定条件!$C$7*Z1157,"運転",IF(AA1157&lt;=判定条件!$C$8*Z1157,"停止","断続")))</f>
        <v>判定不能</v>
      </c>
      <c r="AC1157" s="30" t="n">
        <v>0</v>
      </c>
      <c r="AD1157" s="30" t="n">
        <v>0</v>
      </c>
      <c r="AE1157" s="30" t="str">
        <f aca="false">IF(AC1157&lt;判定条件!$C$6,"判定不能",IF(AD1157&gt;=判定条件!$C$7*AC1157,"運転",IF(AD1157&lt;=判定条件!$C$8*AC1157,"停止","断続")))</f>
        <v>判定不能</v>
      </c>
      <c r="AF1157" s="30" t="n">
        <v>60</v>
      </c>
      <c r="AG1157" s="30" t="n">
        <v>0</v>
      </c>
      <c r="AH1157" s="30" t="str">
        <f aca="false">IF(OR(P1157="判定不能",G1157="判定不能"),"判定不能",IF(AG1157&gt;=判定条件!$C$9,"利用可",IF(AND(P1157="停止",G1157="停止"),"両方停止","運転がそろわない")))</f>
        <v>両方停止</v>
      </c>
      <c r="AI1157" s="30" t="n">
        <v>58</v>
      </c>
      <c r="AJ1157" s="30" t="n">
        <v>0</v>
      </c>
      <c r="AK1157" s="30" t="str">
        <f aca="false">IF(OR(S1157="判定不能",J1157="判定不能"),"判定不能",IF(AJ1157&gt;=判定条件!$C$9,"利用可",IF(AND(S1157="停止",J1157="停止"),"両方停止","運転がそろわない")))</f>
        <v>両方停止</v>
      </c>
      <c r="AL1157" s="30" t="n">
        <v>60</v>
      </c>
      <c r="AM1157" s="30" t="n">
        <v>0</v>
      </c>
      <c r="AN1157" s="30" t="str">
        <f aca="false">IF(OR(V1157="判定不能",M1157="判定不能"),"判定不能",IF(AM1157&gt;=判定条件!$C$9,"利用可",IF(AND(V1157="停止",M1157="停止"),"両方停止","運転がそろわない")))</f>
        <v>両方停止</v>
      </c>
      <c r="AO1157" s="30" t="n">
        <v>0</v>
      </c>
      <c r="AP1157" s="30" t="n">
        <v>0</v>
      </c>
      <c r="AQ1157" s="30" t="str">
        <f aca="false">IF(OR(Y1157="判定不能",G1157="判定不能"),"判定不能",IF(AP1157&gt;=判定条件!$C$9,"利用可",IF(AND(Y1157="停止",G1157="停止"),"両方停止","運転がそろわない")))</f>
        <v>判定不能</v>
      </c>
      <c r="AR1157" s="30" t="n">
        <v>0</v>
      </c>
      <c r="AS1157" s="30" t="n">
        <v>0</v>
      </c>
      <c r="AT1157" s="30" t="str">
        <f aca="false">IF(OR(AB1157="判定不能",J1157="判定不能"),"判定不能",IF(AS1157&gt;=判定条件!$C$9,"利用可",IF(AND(AB1157="停止",J1157="停止"),"両方停止","運転がそろわない")))</f>
        <v>判定不能</v>
      </c>
      <c r="AU1157" s="30" t="n">
        <v>0</v>
      </c>
      <c r="AV1157" s="30" t="n">
        <v>0</v>
      </c>
      <c r="AW1157" s="30" t="str">
        <f aca="false">IF(OR(AE1157="判定不能",M1157="判定不能"),"判定不能",IF(AV1157&gt;=判定条件!$C$9,"利用可",IF(AND(AE1157="停止",M1157="停止"),"両方停止","運転がそろわない")))</f>
        <v>判定不能</v>
      </c>
      <c r="AX1157" s="30" t="str">
        <f aca="false">IF(AND(AH1157="利用可",AK1157="利用可",AN1157="利用可"),"利用可","不可")</f>
        <v>不可</v>
      </c>
      <c r="AY1157" s="30" t="str">
        <f aca="false">IF(AND(AQ1157="利用可",AT1157="利用可",AW1157="利用可"),"利用可","不可")</f>
        <v>不可</v>
      </c>
    </row>
    <row r="1158" customFormat="false" ht="15" hidden="false" customHeight="false" outlineLevel="0" collapsed="false">
      <c r="A1158" s="29" t="n">
        <v>46280</v>
      </c>
      <c r="B1158" s="30" t="n">
        <v>3</v>
      </c>
      <c r="C1158" s="31" t="s">
        <v>67</v>
      </c>
      <c r="D1158" s="31" t="s">
        <v>59</v>
      </c>
      <c r="E1158" s="30" t="n">
        <v>60</v>
      </c>
      <c r="F1158" s="30" t="n">
        <v>0</v>
      </c>
      <c r="G1158" s="30" t="str">
        <f aca="false">IF(E1158&lt;判定条件!$C$6,"判定不能",IF(F1158&gt;=判定条件!$C$7*E1158,"運転",IF(F1158&lt;=判定条件!$C$8*E1158,"停止","断続")))</f>
        <v>停止</v>
      </c>
      <c r="H1158" s="30" t="n">
        <v>60</v>
      </c>
      <c r="I1158" s="30" t="n">
        <v>24</v>
      </c>
      <c r="J1158" s="30" t="str">
        <f aca="false">IF(H1158&lt;判定条件!$C$6,"判定不能",IF(I1158&gt;=判定条件!$C$7*H1158,"運転",IF(I1158&lt;=判定条件!$C$8*H1158,"停止","断続")))</f>
        <v>断続</v>
      </c>
      <c r="K1158" s="30" t="n">
        <v>60</v>
      </c>
      <c r="L1158" s="30" t="n">
        <v>0</v>
      </c>
      <c r="M1158" s="30" t="str">
        <f aca="false">IF(K1158&lt;判定条件!$C$6,"判定不能",IF(L1158&gt;=判定条件!$C$7*K1158,"運転",IF(L1158&lt;=判定条件!$C$8*K1158,"停止","断続")))</f>
        <v>停止</v>
      </c>
      <c r="N1158" s="30" t="n">
        <v>60</v>
      </c>
      <c r="O1158" s="30" t="n">
        <v>0</v>
      </c>
      <c r="P1158" s="30" t="str">
        <f aca="false">IF(N1158&lt;判定条件!$C$6,"判定不能",IF(O1158&gt;=判定条件!$C$7*N1158,"運転",IF(O1158&lt;=判定条件!$C$8*N1158,"停止","断続")))</f>
        <v>停止</v>
      </c>
      <c r="Q1158" s="30" t="n">
        <v>60</v>
      </c>
      <c r="R1158" s="30" t="n">
        <v>0</v>
      </c>
      <c r="S1158" s="30" t="str">
        <f aca="false">IF(Q1158&lt;判定条件!$C$6,"判定不能",IF(R1158&gt;=判定条件!$C$7*Q1158,"運転",IF(R1158&lt;=判定条件!$C$8*Q1158,"停止","断続")))</f>
        <v>停止</v>
      </c>
      <c r="T1158" s="30" t="n">
        <v>60</v>
      </c>
      <c r="U1158" s="30" t="n">
        <v>0</v>
      </c>
      <c r="V1158" s="30" t="str">
        <f aca="false">IF(T1158&lt;判定条件!$C$6,"判定不能",IF(U1158&gt;=判定条件!$C$7*T1158,"運転",IF(U1158&lt;=判定条件!$C$8*T1158,"停止","断続")))</f>
        <v>停止</v>
      </c>
      <c r="W1158" s="30" t="n">
        <v>0</v>
      </c>
      <c r="X1158" s="30" t="n">
        <v>0</v>
      </c>
      <c r="Y1158" s="30" t="str">
        <f aca="false">IF(W1158&lt;判定条件!$C$6,"判定不能",IF(X1158&gt;=判定条件!$C$7*W1158,"運転",IF(X1158&lt;=判定条件!$C$8*W1158,"停止","断続")))</f>
        <v>判定不能</v>
      </c>
      <c r="Z1158" s="30" t="n">
        <v>0</v>
      </c>
      <c r="AA1158" s="30" t="n">
        <v>0</v>
      </c>
      <c r="AB1158" s="30" t="str">
        <f aca="false">IF(Z1158&lt;判定条件!$C$6,"判定不能",IF(AA1158&gt;=判定条件!$C$7*Z1158,"運転",IF(AA1158&lt;=判定条件!$C$8*Z1158,"停止","断続")))</f>
        <v>判定不能</v>
      </c>
      <c r="AC1158" s="30" t="n">
        <v>0</v>
      </c>
      <c r="AD1158" s="30" t="n">
        <v>0</v>
      </c>
      <c r="AE1158" s="30" t="str">
        <f aca="false">IF(AC1158&lt;判定条件!$C$6,"判定不能",IF(AD1158&gt;=判定条件!$C$7*AC1158,"運転",IF(AD1158&lt;=判定条件!$C$8*AC1158,"停止","断続")))</f>
        <v>判定不能</v>
      </c>
      <c r="AF1158" s="30" t="n">
        <v>60</v>
      </c>
      <c r="AG1158" s="30" t="n">
        <v>0</v>
      </c>
      <c r="AH1158" s="30" t="str">
        <f aca="false">IF(OR(P1158="判定不能",G1158="判定不能"),"判定不能",IF(AG1158&gt;=判定条件!$C$9,"利用可",IF(AND(P1158="停止",G1158="停止"),"両方停止","運転がそろわない")))</f>
        <v>両方停止</v>
      </c>
      <c r="AI1158" s="30" t="n">
        <v>60</v>
      </c>
      <c r="AJ1158" s="30" t="n">
        <v>0</v>
      </c>
      <c r="AK1158" s="30" t="str">
        <f aca="false">IF(OR(S1158="判定不能",J1158="判定不能"),"判定不能",IF(AJ1158&gt;=判定条件!$C$9,"利用可",IF(AND(S1158="停止",J1158="停止"),"両方停止","運転がそろわない")))</f>
        <v>運転がそろわない</v>
      </c>
      <c r="AL1158" s="30" t="n">
        <v>60</v>
      </c>
      <c r="AM1158" s="30" t="n">
        <v>0</v>
      </c>
      <c r="AN1158" s="30" t="str">
        <f aca="false">IF(OR(V1158="判定不能",M1158="判定不能"),"判定不能",IF(AM1158&gt;=判定条件!$C$9,"利用可",IF(AND(V1158="停止",M1158="停止"),"両方停止","運転がそろわない")))</f>
        <v>両方停止</v>
      </c>
      <c r="AO1158" s="30" t="n">
        <v>0</v>
      </c>
      <c r="AP1158" s="30" t="n">
        <v>0</v>
      </c>
      <c r="AQ1158" s="30" t="str">
        <f aca="false">IF(OR(Y1158="判定不能",G1158="判定不能"),"判定不能",IF(AP1158&gt;=判定条件!$C$9,"利用可",IF(AND(Y1158="停止",G1158="停止"),"両方停止","運転がそろわない")))</f>
        <v>判定不能</v>
      </c>
      <c r="AR1158" s="30" t="n">
        <v>0</v>
      </c>
      <c r="AS1158" s="30" t="n">
        <v>0</v>
      </c>
      <c r="AT1158" s="30" t="str">
        <f aca="false">IF(OR(AB1158="判定不能",J1158="判定不能"),"判定不能",IF(AS1158&gt;=判定条件!$C$9,"利用可",IF(AND(AB1158="停止",J1158="停止"),"両方停止","運転がそろわない")))</f>
        <v>判定不能</v>
      </c>
      <c r="AU1158" s="30" t="n">
        <v>0</v>
      </c>
      <c r="AV1158" s="30" t="n">
        <v>0</v>
      </c>
      <c r="AW1158" s="30" t="str">
        <f aca="false">IF(OR(AE1158="判定不能",M1158="判定不能"),"判定不能",IF(AV1158&gt;=判定条件!$C$9,"利用可",IF(AND(AE1158="停止",M1158="停止"),"両方停止","運転がそろわない")))</f>
        <v>判定不能</v>
      </c>
      <c r="AX1158" s="30" t="str">
        <f aca="false">IF(AND(AH1158="利用可",AK1158="利用可",AN1158="利用可"),"利用可","不可")</f>
        <v>不可</v>
      </c>
      <c r="AY1158" s="30" t="str">
        <f aca="false">IF(AND(AQ1158="利用可",AT1158="利用可",AW1158="利用可"),"利用可","不可")</f>
        <v>不可</v>
      </c>
    </row>
    <row r="1159" customFormat="false" ht="15" hidden="false" customHeight="false" outlineLevel="0" collapsed="false">
      <c r="A1159" s="29" t="n">
        <v>46280</v>
      </c>
      <c r="B1159" s="30" t="n">
        <v>4</v>
      </c>
      <c r="C1159" s="31" t="s">
        <v>67</v>
      </c>
      <c r="D1159" s="31" t="s">
        <v>59</v>
      </c>
      <c r="E1159" s="30" t="n">
        <v>60</v>
      </c>
      <c r="F1159" s="30" t="n">
        <v>0</v>
      </c>
      <c r="G1159" s="30" t="str">
        <f aca="false">IF(E1159&lt;判定条件!$C$6,"判定不能",IF(F1159&gt;=判定条件!$C$7*E1159,"運転",IF(F1159&lt;=判定条件!$C$8*E1159,"停止","断続")))</f>
        <v>停止</v>
      </c>
      <c r="H1159" s="30" t="n">
        <v>60</v>
      </c>
      <c r="I1159" s="30" t="n">
        <v>10</v>
      </c>
      <c r="J1159" s="30" t="str">
        <f aca="false">IF(H1159&lt;判定条件!$C$6,"判定不能",IF(I1159&gt;=判定条件!$C$7*H1159,"運転",IF(I1159&lt;=判定条件!$C$8*H1159,"停止","断続")))</f>
        <v>停止</v>
      </c>
      <c r="K1159" s="30" t="n">
        <v>60</v>
      </c>
      <c r="L1159" s="30" t="n">
        <v>0</v>
      </c>
      <c r="M1159" s="30" t="str">
        <f aca="false">IF(K1159&lt;判定条件!$C$6,"判定不能",IF(L1159&gt;=判定条件!$C$7*K1159,"運転",IF(L1159&lt;=判定条件!$C$8*K1159,"停止","断続")))</f>
        <v>停止</v>
      </c>
      <c r="N1159" s="30" t="n">
        <v>60</v>
      </c>
      <c r="O1159" s="30" t="n">
        <v>0</v>
      </c>
      <c r="P1159" s="30" t="str">
        <f aca="false">IF(N1159&lt;判定条件!$C$6,"判定不能",IF(O1159&gt;=判定条件!$C$7*N1159,"運転",IF(O1159&lt;=判定条件!$C$8*N1159,"停止","断続")))</f>
        <v>停止</v>
      </c>
      <c r="Q1159" s="30" t="n">
        <v>60</v>
      </c>
      <c r="R1159" s="30" t="n">
        <v>0</v>
      </c>
      <c r="S1159" s="30" t="str">
        <f aca="false">IF(Q1159&lt;判定条件!$C$6,"判定不能",IF(R1159&gt;=判定条件!$C$7*Q1159,"運転",IF(R1159&lt;=判定条件!$C$8*Q1159,"停止","断続")))</f>
        <v>停止</v>
      </c>
      <c r="T1159" s="30" t="n">
        <v>60</v>
      </c>
      <c r="U1159" s="30" t="n">
        <v>0</v>
      </c>
      <c r="V1159" s="30" t="str">
        <f aca="false">IF(T1159&lt;判定条件!$C$6,"判定不能",IF(U1159&gt;=判定条件!$C$7*T1159,"運転",IF(U1159&lt;=判定条件!$C$8*T1159,"停止","断続")))</f>
        <v>停止</v>
      </c>
      <c r="W1159" s="30" t="n">
        <v>0</v>
      </c>
      <c r="X1159" s="30" t="n">
        <v>0</v>
      </c>
      <c r="Y1159" s="30" t="str">
        <f aca="false">IF(W1159&lt;判定条件!$C$6,"判定不能",IF(X1159&gt;=判定条件!$C$7*W1159,"運転",IF(X1159&lt;=判定条件!$C$8*W1159,"停止","断続")))</f>
        <v>判定不能</v>
      </c>
      <c r="Z1159" s="30" t="n">
        <v>0</v>
      </c>
      <c r="AA1159" s="30" t="n">
        <v>0</v>
      </c>
      <c r="AB1159" s="30" t="str">
        <f aca="false">IF(Z1159&lt;判定条件!$C$6,"判定不能",IF(AA1159&gt;=判定条件!$C$7*Z1159,"運転",IF(AA1159&lt;=判定条件!$C$8*Z1159,"停止","断続")))</f>
        <v>判定不能</v>
      </c>
      <c r="AC1159" s="30" t="n">
        <v>0</v>
      </c>
      <c r="AD1159" s="30" t="n">
        <v>0</v>
      </c>
      <c r="AE1159" s="30" t="str">
        <f aca="false">IF(AC1159&lt;判定条件!$C$6,"判定不能",IF(AD1159&gt;=判定条件!$C$7*AC1159,"運転",IF(AD1159&lt;=判定条件!$C$8*AC1159,"停止","断続")))</f>
        <v>判定不能</v>
      </c>
      <c r="AF1159" s="30" t="n">
        <v>60</v>
      </c>
      <c r="AG1159" s="30" t="n">
        <v>0</v>
      </c>
      <c r="AH1159" s="30" t="str">
        <f aca="false">IF(OR(P1159="判定不能",G1159="判定不能"),"判定不能",IF(AG1159&gt;=判定条件!$C$9,"利用可",IF(AND(P1159="停止",G1159="停止"),"両方停止","運転がそろわない")))</f>
        <v>両方停止</v>
      </c>
      <c r="AI1159" s="30" t="n">
        <v>60</v>
      </c>
      <c r="AJ1159" s="30" t="n">
        <v>0</v>
      </c>
      <c r="AK1159" s="30" t="str">
        <f aca="false">IF(OR(S1159="判定不能",J1159="判定不能"),"判定不能",IF(AJ1159&gt;=判定条件!$C$9,"利用可",IF(AND(S1159="停止",J1159="停止"),"両方停止","運転がそろわない")))</f>
        <v>両方停止</v>
      </c>
      <c r="AL1159" s="30" t="n">
        <v>60</v>
      </c>
      <c r="AM1159" s="30" t="n">
        <v>0</v>
      </c>
      <c r="AN1159" s="30" t="str">
        <f aca="false">IF(OR(V1159="判定不能",M1159="判定不能"),"判定不能",IF(AM1159&gt;=判定条件!$C$9,"利用可",IF(AND(V1159="停止",M1159="停止"),"両方停止","運転がそろわない")))</f>
        <v>両方停止</v>
      </c>
      <c r="AO1159" s="30" t="n">
        <v>0</v>
      </c>
      <c r="AP1159" s="30" t="n">
        <v>0</v>
      </c>
      <c r="AQ1159" s="30" t="str">
        <f aca="false">IF(OR(Y1159="判定不能",G1159="判定不能"),"判定不能",IF(AP1159&gt;=判定条件!$C$9,"利用可",IF(AND(Y1159="停止",G1159="停止"),"両方停止","運転がそろわない")))</f>
        <v>判定不能</v>
      </c>
      <c r="AR1159" s="30" t="n">
        <v>0</v>
      </c>
      <c r="AS1159" s="30" t="n">
        <v>0</v>
      </c>
      <c r="AT1159" s="30" t="str">
        <f aca="false">IF(OR(AB1159="判定不能",J1159="判定不能"),"判定不能",IF(AS1159&gt;=判定条件!$C$9,"利用可",IF(AND(AB1159="停止",J1159="停止"),"両方停止","運転がそろわない")))</f>
        <v>判定不能</v>
      </c>
      <c r="AU1159" s="30" t="n">
        <v>0</v>
      </c>
      <c r="AV1159" s="30" t="n">
        <v>0</v>
      </c>
      <c r="AW1159" s="30" t="str">
        <f aca="false">IF(OR(AE1159="判定不能",M1159="判定不能"),"判定不能",IF(AV1159&gt;=判定条件!$C$9,"利用可",IF(AND(AE1159="停止",M1159="停止"),"両方停止","運転がそろわない")))</f>
        <v>判定不能</v>
      </c>
      <c r="AX1159" s="30" t="str">
        <f aca="false">IF(AND(AH1159="利用可",AK1159="利用可",AN1159="利用可"),"利用可","不可")</f>
        <v>不可</v>
      </c>
      <c r="AY1159" s="30" t="str">
        <f aca="false">IF(AND(AQ1159="利用可",AT1159="利用可",AW1159="利用可"),"利用可","不可")</f>
        <v>不可</v>
      </c>
    </row>
    <row r="1160" customFormat="false" ht="15" hidden="false" customHeight="false" outlineLevel="0" collapsed="false">
      <c r="A1160" s="29" t="n">
        <v>46280</v>
      </c>
      <c r="B1160" s="30" t="n">
        <v>5</v>
      </c>
      <c r="C1160" s="31" t="s">
        <v>67</v>
      </c>
      <c r="D1160" s="31" t="s">
        <v>59</v>
      </c>
      <c r="E1160" s="30" t="n">
        <v>60</v>
      </c>
      <c r="F1160" s="30" t="n">
        <v>0</v>
      </c>
      <c r="G1160" s="30" t="str">
        <f aca="false">IF(E1160&lt;判定条件!$C$6,"判定不能",IF(F1160&gt;=判定条件!$C$7*E1160,"運転",IF(F1160&lt;=判定条件!$C$8*E1160,"停止","断続")))</f>
        <v>停止</v>
      </c>
      <c r="H1160" s="30" t="n">
        <v>45</v>
      </c>
      <c r="I1160" s="30" t="n">
        <v>0</v>
      </c>
      <c r="J1160" s="30" t="str">
        <f aca="false">IF(H1160&lt;判定条件!$C$6,"判定不能",IF(I1160&gt;=判定条件!$C$7*H1160,"運転",IF(I1160&lt;=判定条件!$C$8*H1160,"停止","断続")))</f>
        <v>判定不能</v>
      </c>
      <c r="K1160" s="30" t="n">
        <v>60</v>
      </c>
      <c r="L1160" s="30" t="n">
        <v>0</v>
      </c>
      <c r="M1160" s="30" t="str">
        <f aca="false">IF(K1160&lt;判定条件!$C$6,"判定不能",IF(L1160&gt;=判定条件!$C$7*K1160,"運転",IF(L1160&lt;=判定条件!$C$8*K1160,"停止","断続")))</f>
        <v>停止</v>
      </c>
      <c r="N1160" s="30" t="n">
        <v>60</v>
      </c>
      <c r="O1160" s="30" t="n">
        <v>0</v>
      </c>
      <c r="P1160" s="30" t="str">
        <f aca="false">IF(N1160&lt;判定条件!$C$6,"判定不能",IF(O1160&gt;=判定条件!$C$7*N1160,"運転",IF(O1160&lt;=判定条件!$C$8*N1160,"停止","断続")))</f>
        <v>停止</v>
      </c>
      <c r="Q1160" s="30" t="n">
        <v>60</v>
      </c>
      <c r="R1160" s="30" t="n">
        <v>0</v>
      </c>
      <c r="S1160" s="30" t="str">
        <f aca="false">IF(Q1160&lt;判定条件!$C$6,"判定不能",IF(R1160&gt;=判定条件!$C$7*Q1160,"運転",IF(R1160&lt;=判定条件!$C$8*Q1160,"停止","断続")))</f>
        <v>停止</v>
      </c>
      <c r="T1160" s="30" t="n">
        <v>60</v>
      </c>
      <c r="U1160" s="30" t="n">
        <v>0</v>
      </c>
      <c r="V1160" s="30" t="str">
        <f aca="false">IF(T1160&lt;判定条件!$C$6,"判定不能",IF(U1160&gt;=判定条件!$C$7*T1160,"運転",IF(U1160&lt;=判定条件!$C$8*T1160,"停止","断続")))</f>
        <v>停止</v>
      </c>
      <c r="W1160" s="30" t="n">
        <v>0</v>
      </c>
      <c r="X1160" s="30" t="n">
        <v>0</v>
      </c>
      <c r="Y1160" s="30" t="str">
        <f aca="false">IF(W1160&lt;判定条件!$C$6,"判定不能",IF(X1160&gt;=判定条件!$C$7*W1160,"運転",IF(X1160&lt;=判定条件!$C$8*W1160,"停止","断続")))</f>
        <v>判定不能</v>
      </c>
      <c r="Z1160" s="30" t="n">
        <v>0</v>
      </c>
      <c r="AA1160" s="30" t="n">
        <v>0</v>
      </c>
      <c r="AB1160" s="30" t="str">
        <f aca="false">IF(Z1160&lt;判定条件!$C$6,"判定不能",IF(AA1160&gt;=判定条件!$C$7*Z1160,"運転",IF(AA1160&lt;=判定条件!$C$8*Z1160,"停止","断続")))</f>
        <v>判定不能</v>
      </c>
      <c r="AC1160" s="30" t="n">
        <v>0</v>
      </c>
      <c r="AD1160" s="30" t="n">
        <v>0</v>
      </c>
      <c r="AE1160" s="30" t="str">
        <f aca="false">IF(AC1160&lt;判定条件!$C$6,"判定不能",IF(AD1160&gt;=判定条件!$C$7*AC1160,"運転",IF(AD1160&lt;=判定条件!$C$8*AC1160,"停止","断続")))</f>
        <v>判定不能</v>
      </c>
      <c r="AF1160" s="30" t="n">
        <v>60</v>
      </c>
      <c r="AG1160" s="30" t="n">
        <v>0</v>
      </c>
      <c r="AH1160" s="30" t="str">
        <f aca="false">IF(OR(P1160="判定不能",G1160="判定不能"),"判定不能",IF(AG1160&gt;=判定条件!$C$9,"利用可",IF(AND(P1160="停止",G1160="停止"),"両方停止","運転がそろわない")))</f>
        <v>両方停止</v>
      </c>
      <c r="AI1160" s="30" t="n">
        <v>45</v>
      </c>
      <c r="AJ1160" s="30" t="n">
        <v>0</v>
      </c>
      <c r="AK1160" s="30" t="str">
        <f aca="false">IF(OR(S1160="判定不能",J1160="判定不能"),"判定不能",IF(AJ1160&gt;=判定条件!$C$9,"利用可",IF(AND(S1160="停止",J1160="停止"),"両方停止","運転がそろわない")))</f>
        <v>判定不能</v>
      </c>
      <c r="AL1160" s="30" t="n">
        <v>60</v>
      </c>
      <c r="AM1160" s="30" t="n">
        <v>0</v>
      </c>
      <c r="AN1160" s="30" t="str">
        <f aca="false">IF(OR(V1160="判定不能",M1160="判定不能"),"判定不能",IF(AM1160&gt;=判定条件!$C$9,"利用可",IF(AND(V1160="停止",M1160="停止"),"両方停止","運転がそろわない")))</f>
        <v>両方停止</v>
      </c>
      <c r="AO1160" s="30" t="n">
        <v>0</v>
      </c>
      <c r="AP1160" s="30" t="n">
        <v>0</v>
      </c>
      <c r="AQ1160" s="30" t="str">
        <f aca="false">IF(OR(Y1160="判定不能",G1160="判定不能"),"判定不能",IF(AP1160&gt;=判定条件!$C$9,"利用可",IF(AND(Y1160="停止",G1160="停止"),"両方停止","運転がそろわない")))</f>
        <v>判定不能</v>
      </c>
      <c r="AR1160" s="30" t="n">
        <v>0</v>
      </c>
      <c r="AS1160" s="30" t="n">
        <v>0</v>
      </c>
      <c r="AT1160" s="30" t="str">
        <f aca="false">IF(OR(AB1160="判定不能",J1160="判定不能"),"判定不能",IF(AS1160&gt;=判定条件!$C$9,"利用可",IF(AND(AB1160="停止",J1160="停止"),"両方停止","運転がそろわない")))</f>
        <v>判定不能</v>
      </c>
      <c r="AU1160" s="30" t="n">
        <v>0</v>
      </c>
      <c r="AV1160" s="30" t="n">
        <v>0</v>
      </c>
      <c r="AW1160" s="30" t="str">
        <f aca="false">IF(OR(AE1160="判定不能",M1160="判定不能"),"判定不能",IF(AV1160&gt;=判定条件!$C$9,"利用可",IF(AND(AE1160="停止",M1160="停止"),"両方停止","運転がそろわない")))</f>
        <v>判定不能</v>
      </c>
      <c r="AX1160" s="30" t="str">
        <f aca="false">IF(AND(AH1160="利用可",AK1160="利用可",AN1160="利用可"),"利用可","不可")</f>
        <v>不可</v>
      </c>
      <c r="AY1160" s="30" t="str">
        <f aca="false">IF(AND(AQ1160="利用可",AT1160="利用可",AW1160="利用可"),"利用可","不可")</f>
        <v>不可</v>
      </c>
    </row>
    <row r="1161" customFormat="false" ht="15" hidden="false" customHeight="false" outlineLevel="0" collapsed="false">
      <c r="A1161" s="29" t="n">
        <v>46280</v>
      </c>
      <c r="B1161" s="30" t="n">
        <v>6</v>
      </c>
      <c r="C1161" s="31" t="s">
        <v>67</v>
      </c>
      <c r="D1161" s="31" t="s">
        <v>59</v>
      </c>
      <c r="E1161" s="30" t="n">
        <v>60</v>
      </c>
      <c r="F1161" s="30" t="n">
        <v>0</v>
      </c>
      <c r="G1161" s="30" t="str">
        <f aca="false">IF(E1161&lt;判定条件!$C$6,"判定不能",IF(F1161&gt;=判定条件!$C$7*E1161,"運転",IF(F1161&lt;=判定条件!$C$8*E1161,"停止","断続")))</f>
        <v>停止</v>
      </c>
      <c r="H1161" s="30" t="n">
        <v>0</v>
      </c>
      <c r="I1161" s="30" t="n">
        <v>0</v>
      </c>
      <c r="J1161" s="30" t="str">
        <f aca="false">IF(H1161&lt;判定条件!$C$6,"判定不能",IF(I1161&gt;=判定条件!$C$7*H1161,"運転",IF(I1161&lt;=判定条件!$C$8*H1161,"停止","断続")))</f>
        <v>判定不能</v>
      </c>
      <c r="K1161" s="30" t="n">
        <v>60</v>
      </c>
      <c r="L1161" s="30" t="n">
        <v>0</v>
      </c>
      <c r="M1161" s="30" t="str">
        <f aca="false">IF(K1161&lt;判定条件!$C$6,"判定不能",IF(L1161&gt;=判定条件!$C$7*K1161,"運転",IF(L1161&lt;=判定条件!$C$8*K1161,"停止","断続")))</f>
        <v>停止</v>
      </c>
      <c r="N1161" s="30" t="n">
        <v>60</v>
      </c>
      <c r="O1161" s="30" t="n">
        <v>0</v>
      </c>
      <c r="P1161" s="30" t="str">
        <f aca="false">IF(N1161&lt;判定条件!$C$6,"判定不能",IF(O1161&gt;=判定条件!$C$7*N1161,"運転",IF(O1161&lt;=判定条件!$C$8*N1161,"停止","断続")))</f>
        <v>停止</v>
      </c>
      <c r="Q1161" s="30" t="n">
        <v>60</v>
      </c>
      <c r="R1161" s="30" t="n">
        <v>0</v>
      </c>
      <c r="S1161" s="30" t="str">
        <f aca="false">IF(Q1161&lt;判定条件!$C$6,"判定不能",IF(R1161&gt;=判定条件!$C$7*Q1161,"運転",IF(R1161&lt;=判定条件!$C$8*Q1161,"停止","断続")))</f>
        <v>停止</v>
      </c>
      <c r="T1161" s="30" t="n">
        <v>60</v>
      </c>
      <c r="U1161" s="30" t="n">
        <v>2</v>
      </c>
      <c r="V1161" s="30" t="str">
        <f aca="false">IF(T1161&lt;判定条件!$C$6,"判定不能",IF(U1161&gt;=判定条件!$C$7*T1161,"運転",IF(U1161&lt;=判定条件!$C$8*T1161,"停止","断続")))</f>
        <v>停止</v>
      </c>
      <c r="W1161" s="30" t="n">
        <v>0</v>
      </c>
      <c r="X1161" s="30" t="n">
        <v>0</v>
      </c>
      <c r="Y1161" s="30" t="str">
        <f aca="false">IF(W1161&lt;判定条件!$C$6,"判定不能",IF(X1161&gt;=判定条件!$C$7*W1161,"運転",IF(X1161&lt;=判定条件!$C$8*W1161,"停止","断続")))</f>
        <v>判定不能</v>
      </c>
      <c r="Z1161" s="30" t="n">
        <v>0</v>
      </c>
      <c r="AA1161" s="30" t="n">
        <v>0</v>
      </c>
      <c r="AB1161" s="30" t="str">
        <f aca="false">IF(Z1161&lt;判定条件!$C$6,"判定不能",IF(AA1161&gt;=判定条件!$C$7*Z1161,"運転",IF(AA1161&lt;=判定条件!$C$8*Z1161,"停止","断続")))</f>
        <v>判定不能</v>
      </c>
      <c r="AC1161" s="30" t="n">
        <v>0</v>
      </c>
      <c r="AD1161" s="30" t="n">
        <v>0</v>
      </c>
      <c r="AE1161" s="30" t="str">
        <f aca="false">IF(AC1161&lt;判定条件!$C$6,"判定不能",IF(AD1161&gt;=判定条件!$C$7*AC1161,"運転",IF(AD1161&lt;=判定条件!$C$8*AC1161,"停止","断続")))</f>
        <v>判定不能</v>
      </c>
      <c r="AF1161" s="30" t="n">
        <v>60</v>
      </c>
      <c r="AG1161" s="30" t="n">
        <v>0</v>
      </c>
      <c r="AH1161" s="30" t="str">
        <f aca="false">IF(OR(P1161="判定不能",G1161="判定不能"),"判定不能",IF(AG1161&gt;=判定条件!$C$9,"利用可",IF(AND(P1161="停止",G1161="停止"),"両方停止","運転がそろわない")))</f>
        <v>両方停止</v>
      </c>
      <c r="AI1161" s="30" t="n">
        <v>0</v>
      </c>
      <c r="AJ1161" s="30" t="n">
        <v>0</v>
      </c>
      <c r="AK1161" s="30" t="str">
        <f aca="false">IF(OR(S1161="判定不能",J1161="判定不能"),"判定不能",IF(AJ1161&gt;=判定条件!$C$9,"利用可",IF(AND(S1161="停止",J1161="停止"),"両方停止","運転がそろわない")))</f>
        <v>判定不能</v>
      </c>
      <c r="AL1161" s="30" t="n">
        <v>60</v>
      </c>
      <c r="AM1161" s="30" t="n">
        <v>0</v>
      </c>
      <c r="AN1161" s="30" t="str">
        <f aca="false">IF(OR(V1161="判定不能",M1161="判定不能"),"判定不能",IF(AM1161&gt;=判定条件!$C$9,"利用可",IF(AND(V1161="停止",M1161="停止"),"両方停止","運転がそろわない")))</f>
        <v>両方停止</v>
      </c>
      <c r="AO1161" s="30" t="n">
        <v>0</v>
      </c>
      <c r="AP1161" s="30" t="n">
        <v>0</v>
      </c>
      <c r="AQ1161" s="30" t="str">
        <f aca="false">IF(OR(Y1161="判定不能",G1161="判定不能"),"判定不能",IF(AP1161&gt;=判定条件!$C$9,"利用可",IF(AND(Y1161="停止",G1161="停止"),"両方停止","運転がそろわない")))</f>
        <v>判定不能</v>
      </c>
      <c r="AR1161" s="30" t="n">
        <v>0</v>
      </c>
      <c r="AS1161" s="30" t="n">
        <v>0</v>
      </c>
      <c r="AT1161" s="30" t="str">
        <f aca="false">IF(OR(AB1161="判定不能",J1161="判定不能"),"判定不能",IF(AS1161&gt;=判定条件!$C$9,"利用可",IF(AND(AB1161="停止",J1161="停止"),"両方停止","運転がそろわない")))</f>
        <v>判定不能</v>
      </c>
      <c r="AU1161" s="30" t="n">
        <v>0</v>
      </c>
      <c r="AV1161" s="30" t="n">
        <v>0</v>
      </c>
      <c r="AW1161" s="30" t="str">
        <f aca="false">IF(OR(AE1161="判定不能",M1161="判定不能"),"判定不能",IF(AV1161&gt;=判定条件!$C$9,"利用可",IF(AND(AE1161="停止",M1161="停止"),"両方停止","運転がそろわない")))</f>
        <v>判定不能</v>
      </c>
      <c r="AX1161" s="30" t="str">
        <f aca="false">IF(AND(AH1161="利用可",AK1161="利用可",AN1161="利用可"),"利用可","不可")</f>
        <v>不可</v>
      </c>
      <c r="AY1161" s="30" t="str">
        <f aca="false">IF(AND(AQ1161="利用可",AT1161="利用可",AW1161="利用可"),"利用可","不可")</f>
        <v>不可</v>
      </c>
    </row>
    <row r="1162" customFormat="false" ht="15" hidden="false" customHeight="false" outlineLevel="0" collapsed="false">
      <c r="A1162" s="29" t="n">
        <v>46280</v>
      </c>
      <c r="B1162" s="30" t="n">
        <v>7</v>
      </c>
      <c r="C1162" s="31" t="s">
        <v>67</v>
      </c>
      <c r="D1162" s="31" t="s">
        <v>59</v>
      </c>
      <c r="E1162" s="30" t="n">
        <v>60</v>
      </c>
      <c r="F1162" s="30" t="n">
        <v>0</v>
      </c>
      <c r="G1162" s="30" t="str">
        <f aca="false">IF(E1162&lt;判定条件!$C$6,"判定不能",IF(F1162&gt;=判定条件!$C$7*E1162,"運転",IF(F1162&lt;=判定条件!$C$8*E1162,"停止","断続")))</f>
        <v>停止</v>
      </c>
      <c r="H1162" s="30" t="n">
        <v>0</v>
      </c>
      <c r="I1162" s="30" t="n">
        <v>0</v>
      </c>
      <c r="J1162" s="30" t="str">
        <f aca="false">IF(H1162&lt;判定条件!$C$6,"判定不能",IF(I1162&gt;=判定条件!$C$7*H1162,"運転",IF(I1162&lt;=判定条件!$C$8*H1162,"停止","断続")))</f>
        <v>判定不能</v>
      </c>
      <c r="K1162" s="30" t="n">
        <v>60</v>
      </c>
      <c r="L1162" s="30" t="n">
        <v>0</v>
      </c>
      <c r="M1162" s="30" t="str">
        <f aca="false">IF(K1162&lt;判定条件!$C$6,"判定不能",IF(L1162&gt;=判定条件!$C$7*K1162,"運転",IF(L1162&lt;=判定条件!$C$8*K1162,"停止","断続")))</f>
        <v>停止</v>
      </c>
      <c r="N1162" s="30" t="n">
        <v>60</v>
      </c>
      <c r="O1162" s="30" t="n">
        <v>14</v>
      </c>
      <c r="P1162" s="30" t="str">
        <f aca="false">IF(N1162&lt;判定条件!$C$6,"判定不能",IF(O1162&gt;=判定条件!$C$7*N1162,"運転",IF(O1162&lt;=判定条件!$C$8*N1162,"停止","断続")))</f>
        <v>断続</v>
      </c>
      <c r="Q1162" s="30" t="n">
        <v>60</v>
      </c>
      <c r="R1162" s="30" t="n">
        <v>47</v>
      </c>
      <c r="S1162" s="30" t="str">
        <f aca="false">IF(Q1162&lt;判定条件!$C$6,"判定不能",IF(R1162&gt;=判定条件!$C$7*Q1162,"運転",IF(R1162&lt;=判定条件!$C$8*Q1162,"停止","断続")))</f>
        <v>断続</v>
      </c>
      <c r="T1162" s="30" t="n">
        <v>60</v>
      </c>
      <c r="U1162" s="30" t="n">
        <v>58</v>
      </c>
      <c r="V1162" s="30" t="str">
        <f aca="false">IF(T1162&lt;判定条件!$C$6,"判定不能",IF(U1162&gt;=判定条件!$C$7*T1162,"運転",IF(U1162&lt;=判定条件!$C$8*T1162,"停止","断続")))</f>
        <v>運転</v>
      </c>
      <c r="W1162" s="30" t="n">
        <v>0</v>
      </c>
      <c r="X1162" s="30" t="n">
        <v>0</v>
      </c>
      <c r="Y1162" s="30" t="str">
        <f aca="false">IF(W1162&lt;判定条件!$C$6,"判定不能",IF(X1162&gt;=判定条件!$C$7*W1162,"運転",IF(X1162&lt;=判定条件!$C$8*W1162,"停止","断続")))</f>
        <v>判定不能</v>
      </c>
      <c r="Z1162" s="30" t="n">
        <v>0</v>
      </c>
      <c r="AA1162" s="30" t="n">
        <v>0</v>
      </c>
      <c r="AB1162" s="30" t="str">
        <f aca="false">IF(Z1162&lt;判定条件!$C$6,"判定不能",IF(AA1162&gt;=判定条件!$C$7*Z1162,"運転",IF(AA1162&lt;=判定条件!$C$8*Z1162,"停止","断続")))</f>
        <v>判定不能</v>
      </c>
      <c r="AC1162" s="30" t="n">
        <v>0</v>
      </c>
      <c r="AD1162" s="30" t="n">
        <v>0</v>
      </c>
      <c r="AE1162" s="30" t="str">
        <f aca="false">IF(AC1162&lt;判定条件!$C$6,"判定不能",IF(AD1162&gt;=判定条件!$C$7*AC1162,"運転",IF(AD1162&lt;=判定条件!$C$8*AC1162,"停止","断続")))</f>
        <v>判定不能</v>
      </c>
      <c r="AF1162" s="30" t="n">
        <v>60</v>
      </c>
      <c r="AG1162" s="30" t="n">
        <v>0</v>
      </c>
      <c r="AH1162" s="30" t="str">
        <f aca="false">IF(OR(P1162="判定不能",G1162="判定不能"),"判定不能",IF(AG1162&gt;=判定条件!$C$9,"利用可",IF(AND(P1162="停止",G1162="停止"),"両方停止","運転がそろわない")))</f>
        <v>運転がそろわない</v>
      </c>
      <c r="AI1162" s="30" t="n">
        <v>0</v>
      </c>
      <c r="AJ1162" s="30" t="n">
        <v>0</v>
      </c>
      <c r="AK1162" s="30" t="str">
        <f aca="false">IF(OR(S1162="判定不能",J1162="判定不能"),"判定不能",IF(AJ1162&gt;=判定条件!$C$9,"利用可",IF(AND(S1162="停止",J1162="停止"),"両方停止","運転がそろわない")))</f>
        <v>判定不能</v>
      </c>
      <c r="AL1162" s="30" t="n">
        <v>60</v>
      </c>
      <c r="AM1162" s="30" t="n">
        <v>0</v>
      </c>
      <c r="AN1162" s="30" t="str">
        <f aca="false">IF(OR(V1162="判定不能",M1162="判定不能"),"判定不能",IF(AM1162&gt;=判定条件!$C$9,"利用可",IF(AND(V1162="停止",M1162="停止"),"両方停止","運転がそろわない")))</f>
        <v>運転がそろわない</v>
      </c>
      <c r="AO1162" s="30" t="n">
        <v>0</v>
      </c>
      <c r="AP1162" s="30" t="n">
        <v>0</v>
      </c>
      <c r="AQ1162" s="30" t="str">
        <f aca="false">IF(OR(Y1162="判定不能",G1162="判定不能"),"判定不能",IF(AP1162&gt;=判定条件!$C$9,"利用可",IF(AND(Y1162="停止",G1162="停止"),"両方停止","運転がそろわない")))</f>
        <v>判定不能</v>
      </c>
      <c r="AR1162" s="30" t="n">
        <v>0</v>
      </c>
      <c r="AS1162" s="30" t="n">
        <v>0</v>
      </c>
      <c r="AT1162" s="30" t="str">
        <f aca="false">IF(OR(AB1162="判定不能",J1162="判定不能"),"判定不能",IF(AS1162&gt;=判定条件!$C$9,"利用可",IF(AND(AB1162="停止",J1162="停止"),"両方停止","運転がそろわない")))</f>
        <v>判定不能</v>
      </c>
      <c r="AU1162" s="30" t="n">
        <v>0</v>
      </c>
      <c r="AV1162" s="30" t="n">
        <v>0</v>
      </c>
      <c r="AW1162" s="30" t="str">
        <f aca="false">IF(OR(AE1162="判定不能",M1162="判定不能"),"判定不能",IF(AV1162&gt;=判定条件!$C$9,"利用可",IF(AND(AE1162="停止",M1162="停止"),"両方停止","運転がそろわない")))</f>
        <v>判定不能</v>
      </c>
      <c r="AX1162" s="30" t="str">
        <f aca="false">IF(AND(AH1162="利用可",AK1162="利用可",AN1162="利用可"),"利用可","不可")</f>
        <v>不可</v>
      </c>
      <c r="AY1162" s="30" t="str">
        <f aca="false">IF(AND(AQ1162="利用可",AT1162="利用可",AW1162="利用可"),"利用可","不可")</f>
        <v>不可</v>
      </c>
    </row>
    <row r="1163" customFormat="false" ht="15" hidden="false" customHeight="false" outlineLevel="0" collapsed="false">
      <c r="A1163" s="29" t="n">
        <v>46280</v>
      </c>
      <c r="B1163" s="30" t="n">
        <v>8</v>
      </c>
      <c r="C1163" s="31" t="s">
        <v>67</v>
      </c>
      <c r="D1163" s="31" t="s">
        <v>59</v>
      </c>
      <c r="E1163" s="30" t="n">
        <v>60</v>
      </c>
      <c r="F1163" s="30" t="n">
        <v>0</v>
      </c>
      <c r="G1163" s="30" t="str">
        <f aca="false">IF(E1163&lt;判定条件!$C$6,"判定不能",IF(F1163&gt;=判定条件!$C$7*E1163,"運転",IF(F1163&lt;=判定条件!$C$8*E1163,"停止","断続")))</f>
        <v>停止</v>
      </c>
      <c r="H1163" s="30" t="n">
        <v>0</v>
      </c>
      <c r="I1163" s="30" t="n">
        <v>0</v>
      </c>
      <c r="J1163" s="30" t="str">
        <f aca="false">IF(H1163&lt;判定条件!$C$6,"判定不能",IF(I1163&gt;=判定条件!$C$7*H1163,"運転",IF(I1163&lt;=判定条件!$C$8*H1163,"停止","断続")))</f>
        <v>判定不能</v>
      </c>
      <c r="K1163" s="30" t="n">
        <v>60</v>
      </c>
      <c r="L1163" s="30" t="n">
        <v>0</v>
      </c>
      <c r="M1163" s="30" t="str">
        <f aca="false">IF(K1163&lt;判定条件!$C$6,"判定不能",IF(L1163&gt;=判定条件!$C$7*K1163,"運転",IF(L1163&lt;=判定条件!$C$8*K1163,"停止","断続")))</f>
        <v>停止</v>
      </c>
      <c r="N1163" s="30" t="n">
        <v>60</v>
      </c>
      <c r="O1163" s="30" t="n">
        <v>28</v>
      </c>
      <c r="P1163" s="30" t="str">
        <f aca="false">IF(N1163&lt;判定条件!$C$6,"判定不能",IF(O1163&gt;=判定条件!$C$7*N1163,"運転",IF(O1163&lt;=判定条件!$C$8*N1163,"停止","断続")))</f>
        <v>断続</v>
      </c>
      <c r="Q1163" s="30" t="n">
        <v>60</v>
      </c>
      <c r="R1163" s="30" t="n">
        <v>56</v>
      </c>
      <c r="S1163" s="30" t="str">
        <f aca="false">IF(Q1163&lt;判定条件!$C$6,"判定不能",IF(R1163&gt;=判定条件!$C$7*Q1163,"運転",IF(R1163&lt;=判定条件!$C$8*Q1163,"停止","断続")))</f>
        <v>運転</v>
      </c>
      <c r="T1163" s="30" t="n">
        <v>60</v>
      </c>
      <c r="U1163" s="30" t="n">
        <v>39</v>
      </c>
      <c r="V1163" s="30" t="str">
        <f aca="false">IF(T1163&lt;判定条件!$C$6,"判定不能",IF(U1163&gt;=判定条件!$C$7*T1163,"運転",IF(U1163&lt;=判定条件!$C$8*T1163,"停止","断続")))</f>
        <v>断続</v>
      </c>
      <c r="W1163" s="30" t="n">
        <v>0</v>
      </c>
      <c r="X1163" s="30" t="n">
        <v>0</v>
      </c>
      <c r="Y1163" s="30" t="str">
        <f aca="false">IF(W1163&lt;判定条件!$C$6,"判定不能",IF(X1163&gt;=判定条件!$C$7*W1163,"運転",IF(X1163&lt;=判定条件!$C$8*W1163,"停止","断続")))</f>
        <v>判定不能</v>
      </c>
      <c r="Z1163" s="30" t="n">
        <v>0</v>
      </c>
      <c r="AA1163" s="30" t="n">
        <v>0</v>
      </c>
      <c r="AB1163" s="30" t="str">
        <f aca="false">IF(Z1163&lt;判定条件!$C$6,"判定不能",IF(AA1163&gt;=判定条件!$C$7*Z1163,"運転",IF(AA1163&lt;=判定条件!$C$8*Z1163,"停止","断続")))</f>
        <v>判定不能</v>
      </c>
      <c r="AC1163" s="30" t="n">
        <v>0</v>
      </c>
      <c r="AD1163" s="30" t="n">
        <v>0</v>
      </c>
      <c r="AE1163" s="30" t="str">
        <f aca="false">IF(AC1163&lt;判定条件!$C$6,"判定不能",IF(AD1163&gt;=判定条件!$C$7*AC1163,"運転",IF(AD1163&lt;=判定条件!$C$8*AC1163,"停止","断続")))</f>
        <v>判定不能</v>
      </c>
      <c r="AF1163" s="30" t="n">
        <v>60</v>
      </c>
      <c r="AG1163" s="30" t="n">
        <v>0</v>
      </c>
      <c r="AH1163" s="30" t="str">
        <f aca="false">IF(OR(P1163="判定不能",G1163="判定不能"),"判定不能",IF(AG1163&gt;=判定条件!$C$9,"利用可",IF(AND(P1163="停止",G1163="停止"),"両方停止","運転がそろわない")))</f>
        <v>運転がそろわない</v>
      </c>
      <c r="AI1163" s="30" t="n">
        <v>0</v>
      </c>
      <c r="AJ1163" s="30" t="n">
        <v>0</v>
      </c>
      <c r="AK1163" s="30" t="str">
        <f aca="false">IF(OR(S1163="判定不能",J1163="判定不能"),"判定不能",IF(AJ1163&gt;=判定条件!$C$9,"利用可",IF(AND(S1163="停止",J1163="停止"),"両方停止","運転がそろわない")))</f>
        <v>判定不能</v>
      </c>
      <c r="AL1163" s="30" t="n">
        <v>60</v>
      </c>
      <c r="AM1163" s="30" t="n">
        <v>0</v>
      </c>
      <c r="AN1163" s="30" t="str">
        <f aca="false">IF(OR(V1163="判定不能",M1163="判定不能"),"判定不能",IF(AM1163&gt;=判定条件!$C$9,"利用可",IF(AND(V1163="停止",M1163="停止"),"両方停止","運転がそろわない")))</f>
        <v>運転がそろわない</v>
      </c>
      <c r="AO1163" s="30" t="n">
        <v>0</v>
      </c>
      <c r="AP1163" s="30" t="n">
        <v>0</v>
      </c>
      <c r="AQ1163" s="30" t="str">
        <f aca="false">IF(OR(Y1163="判定不能",G1163="判定不能"),"判定不能",IF(AP1163&gt;=判定条件!$C$9,"利用可",IF(AND(Y1163="停止",G1163="停止"),"両方停止","運転がそろわない")))</f>
        <v>判定不能</v>
      </c>
      <c r="AR1163" s="30" t="n">
        <v>0</v>
      </c>
      <c r="AS1163" s="30" t="n">
        <v>0</v>
      </c>
      <c r="AT1163" s="30" t="str">
        <f aca="false">IF(OR(AB1163="判定不能",J1163="判定不能"),"判定不能",IF(AS1163&gt;=判定条件!$C$9,"利用可",IF(AND(AB1163="停止",J1163="停止"),"両方停止","運転がそろわない")))</f>
        <v>判定不能</v>
      </c>
      <c r="AU1163" s="30" t="n">
        <v>0</v>
      </c>
      <c r="AV1163" s="30" t="n">
        <v>0</v>
      </c>
      <c r="AW1163" s="30" t="str">
        <f aca="false">IF(OR(AE1163="判定不能",M1163="判定不能"),"判定不能",IF(AV1163&gt;=判定条件!$C$9,"利用可",IF(AND(AE1163="停止",M1163="停止"),"両方停止","運転がそろわない")))</f>
        <v>判定不能</v>
      </c>
      <c r="AX1163" s="30" t="str">
        <f aca="false">IF(AND(AH1163="利用可",AK1163="利用可",AN1163="利用可"),"利用可","不可")</f>
        <v>不可</v>
      </c>
      <c r="AY1163" s="30" t="str">
        <f aca="false">IF(AND(AQ1163="利用可",AT1163="利用可",AW1163="利用可"),"利用可","不可")</f>
        <v>不可</v>
      </c>
    </row>
    <row r="1164" customFormat="false" ht="15" hidden="false" customHeight="false" outlineLevel="0" collapsed="false">
      <c r="A1164" s="29" t="n">
        <v>46280</v>
      </c>
      <c r="B1164" s="30" t="n">
        <v>9</v>
      </c>
      <c r="C1164" s="31" t="s">
        <v>67</v>
      </c>
      <c r="D1164" s="31" t="s">
        <v>59</v>
      </c>
      <c r="E1164" s="30" t="n">
        <v>60</v>
      </c>
      <c r="F1164" s="30" t="n">
        <v>41</v>
      </c>
      <c r="G1164" s="30" t="str">
        <f aca="false">IF(E1164&lt;判定条件!$C$6,"判定不能",IF(F1164&gt;=判定条件!$C$7*E1164,"運転",IF(F1164&lt;=判定条件!$C$8*E1164,"停止","断続")))</f>
        <v>断続</v>
      </c>
      <c r="H1164" s="30" t="n">
        <v>0</v>
      </c>
      <c r="I1164" s="30" t="n">
        <v>0</v>
      </c>
      <c r="J1164" s="30" t="str">
        <f aca="false">IF(H1164&lt;判定条件!$C$6,"判定不能",IF(I1164&gt;=判定条件!$C$7*H1164,"運転",IF(I1164&lt;=判定条件!$C$8*H1164,"停止","断続")))</f>
        <v>判定不能</v>
      </c>
      <c r="K1164" s="30" t="n">
        <v>60</v>
      </c>
      <c r="L1164" s="30" t="n">
        <v>9</v>
      </c>
      <c r="M1164" s="30" t="str">
        <f aca="false">IF(K1164&lt;判定条件!$C$6,"判定不能",IF(L1164&gt;=判定条件!$C$7*K1164,"運転",IF(L1164&lt;=判定条件!$C$8*K1164,"停止","断続")))</f>
        <v>停止</v>
      </c>
      <c r="N1164" s="30" t="n">
        <v>60</v>
      </c>
      <c r="O1164" s="30" t="n">
        <v>57</v>
      </c>
      <c r="P1164" s="30" t="str">
        <f aca="false">IF(N1164&lt;判定条件!$C$6,"判定不能",IF(O1164&gt;=判定条件!$C$7*N1164,"運転",IF(O1164&lt;=判定条件!$C$8*N1164,"停止","断続")))</f>
        <v>運転</v>
      </c>
      <c r="Q1164" s="30" t="n">
        <v>60</v>
      </c>
      <c r="R1164" s="30" t="n">
        <v>60</v>
      </c>
      <c r="S1164" s="30" t="str">
        <f aca="false">IF(Q1164&lt;判定条件!$C$6,"判定不能",IF(R1164&gt;=判定条件!$C$7*Q1164,"運転",IF(R1164&lt;=判定条件!$C$8*Q1164,"停止","断続")))</f>
        <v>運転</v>
      </c>
      <c r="T1164" s="30" t="n">
        <v>60</v>
      </c>
      <c r="U1164" s="30" t="n">
        <v>43</v>
      </c>
      <c r="V1164" s="30" t="str">
        <f aca="false">IF(T1164&lt;判定条件!$C$6,"判定不能",IF(U1164&gt;=判定条件!$C$7*T1164,"運転",IF(U1164&lt;=判定条件!$C$8*T1164,"停止","断続")))</f>
        <v>断続</v>
      </c>
      <c r="W1164" s="30" t="n">
        <v>0</v>
      </c>
      <c r="X1164" s="30" t="n">
        <v>0</v>
      </c>
      <c r="Y1164" s="30" t="str">
        <f aca="false">IF(W1164&lt;判定条件!$C$6,"判定不能",IF(X1164&gt;=判定条件!$C$7*W1164,"運転",IF(X1164&lt;=判定条件!$C$8*W1164,"停止","断続")))</f>
        <v>判定不能</v>
      </c>
      <c r="Z1164" s="30" t="n">
        <v>0</v>
      </c>
      <c r="AA1164" s="30" t="n">
        <v>0</v>
      </c>
      <c r="AB1164" s="30" t="str">
        <f aca="false">IF(Z1164&lt;判定条件!$C$6,"判定不能",IF(AA1164&gt;=判定条件!$C$7*Z1164,"運転",IF(AA1164&lt;=判定条件!$C$8*Z1164,"停止","断続")))</f>
        <v>判定不能</v>
      </c>
      <c r="AC1164" s="30" t="n">
        <v>0</v>
      </c>
      <c r="AD1164" s="30" t="n">
        <v>0</v>
      </c>
      <c r="AE1164" s="30" t="str">
        <f aca="false">IF(AC1164&lt;判定条件!$C$6,"判定不能",IF(AD1164&gt;=判定条件!$C$7*AC1164,"運転",IF(AD1164&lt;=判定条件!$C$8*AC1164,"停止","断続")))</f>
        <v>判定不能</v>
      </c>
      <c r="AF1164" s="30" t="n">
        <v>60</v>
      </c>
      <c r="AG1164" s="30" t="n">
        <v>41</v>
      </c>
      <c r="AH1164" s="30" t="str">
        <f aca="false">IF(OR(P1164="判定不能",G1164="判定不能"),"判定不能",IF(AG1164&gt;=判定条件!$C$9,"利用可",IF(AND(P1164="停止",G1164="停止"),"両方停止","運転がそろわない")))</f>
        <v>利用可</v>
      </c>
      <c r="AI1164" s="30" t="n">
        <v>0</v>
      </c>
      <c r="AJ1164" s="30" t="n">
        <v>0</v>
      </c>
      <c r="AK1164" s="30" t="str">
        <f aca="false">IF(OR(S1164="判定不能",J1164="判定不能"),"判定不能",IF(AJ1164&gt;=判定条件!$C$9,"利用可",IF(AND(S1164="停止",J1164="停止"),"両方停止","運転がそろわない")))</f>
        <v>判定不能</v>
      </c>
      <c r="AL1164" s="30" t="n">
        <v>60</v>
      </c>
      <c r="AM1164" s="30" t="n">
        <v>9</v>
      </c>
      <c r="AN1164" s="30" t="str">
        <f aca="false">IF(OR(V1164="判定不能",M1164="判定不能"),"判定不能",IF(AM1164&gt;=判定条件!$C$9,"利用可",IF(AND(V1164="停止",M1164="停止"),"両方停止","運転がそろわない")))</f>
        <v>運転がそろわない</v>
      </c>
      <c r="AO1164" s="30" t="n">
        <v>0</v>
      </c>
      <c r="AP1164" s="30" t="n">
        <v>0</v>
      </c>
      <c r="AQ1164" s="30" t="str">
        <f aca="false">IF(OR(Y1164="判定不能",G1164="判定不能"),"判定不能",IF(AP1164&gt;=判定条件!$C$9,"利用可",IF(AND(Y1164="停止",G1164="停止"),"両方停止","運転がそろわない")))</f>
        <v>判定不能</v>
      </c>
      <c r="AR1164" s="30" t="n">
        <v>0</v>
      </c>
      <c r="AS1164" s="30" t="n">
        <v>0</v>
      </c>
      <c r="AT1164" s="30" t="str">
        <f aca="false">IF(OR(AB1164="判定不能",J1164="判定不能"),"判定不能",IF(AS1164&gt;=判定条件!$C$9,"利用可",IF(AND(AB1164="停止",J1164="停止"),"両方停止","運転がそろわない")))</f>
        <v>判定不能</v>
      </c>
      <c r="AU1164" s="30" t="n">
        <v>0</v>
      </c>
      <c r="AV1164" s="30" t="n">
        <v>0</v>
      </c>
      <c r="AW1164" s="30" t="str">
        <f aca="false">IF(OR(AE1164="判定不能",M1164="判定不能"),"判定不能",IF(AV1164&gt;=判定条件!$C$9,"利用可",IF(AND(AE1164="停止",M1164="停止"),"両方停止","運転がそろわない")))</f>
        <v>判定不能</v>
      </c>
      <c r="AX1164" s="30" t="str">
        <f aca="false">IF(AND(AH1164="利用可",AK1164="利用可",AN1164="利用可"),"利用可","不可")</f>
        <v>不可</v>
      </c>
      <c r="AY1164" s="30" t="str">
        <f aca="false">IF(AND(AQ1164="利用可",AT1164="利用可",AW1164="利用可"),"利用可","不可")</f>
        <v>不可</v>
      </c>
    </row>
    <row r="1165" customFormat="false" ht="15" hidden="false" customHeight="false" outlineLevel="0" collapsed="false">
      <c r="A1165" s="29" t="n">
        <v>46280</v>
      </c>
      <c r="B1165" s="30" t="n">
        <v>10</v>
      </c>
      <c r="C1165" s="31" t="s">
        <v>67</v>
      </c>
      <c r="D1165" s="31" t="s">
        <v>59</v>
      </c>
      <c r="E1165" s="30" t="n">
        <v>60</v>
      </c>
      <c r="F1165" s="30" t="n">
        <v>60</v>
      </c>
      <c r="G1165" s="30" t="str">
        <f aca="false">IF(E1165&lt;判定条件!$C$6,"判定不能",IF(F1165&gt;=判定条件!$C$7*E1165,"運転",IF(F1165&lt;=判定条件!$C$8*E1165,"停止","断続")))</f>
        <v>運転</v>
      </c>
      <c r="H1165" s="30" t="n">
        <v>0</v>
      </c>
      <c r="I1165" s="30" t="n">
        <v>0</v>
      </c>
      <c r="J1165" s="30" t="str">
        <f aca="false">IF(H1165&lt;判定条件!$C$6,"判定不能",IF(I1165&gt;=判定条件!$C$7*H1165,"運転",IF(I1165&lt;=判定条件!$C$8*H1165,"停止","断続")))</f>
        <v>判定不能</v>
      </c>
      <c r="K1165" s="30" t="n">
        <v>60</v>
      </c>
      <c r="L1165" s="30" t="n">
        <v>60</v>
      </c>
      <c r="M1165" s="30" t="str">
        <f aca="false">IF(K1165&lt;判定条件!$C$6,"判定不能",IF(L1165&gt;=判定条件!$C$7*K1165,"運転",IF(L1165&lt;=判定条件!$C$8*K1165,"停止","断続")))</f>
        <v>運転</v>
      </c>
      <c r="N1165" s="30" t="n">
        <v>60</v>
      </c>
      <c r="O1165" s="30" t="n">
        <v>60</v>
      </c>
      <c r="P1165" s="30" t="str">
        <f aca="false">IF(N1165&lt;判定条件!$C$6,"判定不能",IF(O1165&gt;=判定条件!$C$7*N1165,"運転",IF(O1165&lt;=判定条件!$C$8*N1165,"停止","断続")))</f>
        <v>運転</v>
      </c>
      <c r="Q1165" s="30" t="n">
        <v>60</v>
      </c>
      <c r="R1165" s="30" t="n">
        <v>60</v>
      </c>
      <c r="S1165" s="30" t="str">
        <f aca="false">IF(Q1165&lt;判定条件!$C$6,"判定不能",IF(R1165&gt;=判定条件!$C$7*Q1165,"運転",IF(R1165&lt;=判定条件!$C$8*Q1165,"停止","断続")))</f>
        <v>運転</v>
      </c>
      <c r="T1165" s="30" t="n">
        <v>60</v>
      </c>
      <c r="U1165" s="30" t="n">
        <v>51</v>
      </c>
      <c r="V1165" s="30" t="str">
        <f aca="false">IF(T1165&lt;判定条件!$C$6,"判定不能",IF(U1165&gt;=判定条件!$C$7*T1165,"運転",IF(U1165&lt;=判定条件!$C$8*T1165,"停止","断続")))</f>
        <v>運転</v>
      </c>
      <c r="W1165" s="30" t="n">
        <v>0</v>
      </c>
      <c r="X1165" s="30" t="n">
        <v>0</v>
      </c>
      <c r="Y1165" s="30" t="str">
        <f aca="false">IF(W1165&lt;判定条件!$C$6,"判定不能",IF(X1165&gt;=判定条件!$C$7*W1165,"運転",IF(X1165&lt;=判定条件!$C$8*W1165,"停止","断続")))</f>
        <v>判定不能</v>
      </c>
      <c r="Z1165" s="30" t="n">
        <v>0</v>
      </c>
      <c r="AA1165" s="30" t="n">
        <v>0</v>
      </c>
      <c r="AB1165" s="30" t="str">
        <f aca="false">IF(Z1165&lt;判定条件!$C$6,"判定不能",IF(AA1165&gt;=判定条件!$C$7*Z1165,"運転",IF(AA1165&lt;=判定条件!$C$8*Z1165,"停止","断続")))</f>
        <v>判定不能</v>
      </c>
      <c r="AC1165" s="30" t="n">
        <v>0</v>
      </c>
      <c r="AD1165" s="30" t="n">
        <v>0</v>
      </c>
      <c r="AE1165" s="30" t="str">
        <f aca="false">IF(AC1165&lt;判定条件!$C$6,"判定不能",IF(AD1165&gt;=判定条件!$C$7*AC1165,"運転",IF(AD1165&lt;=判定条件!$C$8*AC1165,"停止","断続")))</f>
        <v>判定不能</v>
      </c>
      <c r="AF1165" s="30" t="n">
        <v>60</v>
      </c>
      <c r="AG1165" s="30" t="n">
        <v>60</v>
      </c>
      <c r="AH1165" s="30" t="str">
        <f aca="false">IF(OR(P1165="判定不能",G1165="判定不能"),"判定不能",IF(AG1165&gt;=判定条件!$C$9,"利用可",IF(AND(P1165="停止",G1165="停止"),"両方停止","運転がそろわない")))</f>
        <v>利用可</v>
      </c>
      <c r="AI1165" s="30" t="n">
        <v>0</v>
      </c>
      <c r="AJ1165" s="30" t="n">
        <v>0</v>
      </c>
      <c r="AK1165" s="30" t="str">
        <f aca="false">IF(OR(S1165="判定不能",J1165="判定不能"),"判定不能",IF(AJ1165&gt;=判定条件!$C$9,"利用可",IF(AND(S1165="停止",J1165="停止"),"両方停止","運転がそろわない")))</f>
        <v>判定不能</v>
      </c>
      <c r="AL1165" s="30" t="n">
        <v>60</v>
      </c>
      <c r="AM1165" s="30" t="n">
        <v>51</v>
      </c>
      <c r="AN1165" s="30" t="str">
        <f aca="false">IF(OR(V1165="判定不能",M1165="判定不能"),"判定不能",IF(AM1165&gt;=判定条件!$C$9,"利用可",IF(AND(V1165="停止",M1165="停止"),"両方停止","運転がそろわない")))</f>
        <v>利用可</v>
      </c>
      <c r="AO1165" s="30" t="n">
        <v>0</v>
      </c>
      <c r="AP1165" s="30" t="n">
        <v>0</v>
      </c>
      <c r="AQ1165" s="30" t="str">
        <f aca="false">IF(OR(Y1165="判定不能",G1165="判定不能"),"判定不能",IF(AP1165&gt;=判定条件!$C$9,"利用可",IF(AND(Y1165="停止",G1165="停止"),"両方停止","運転がそろわない")))</f>
        <v>判定不能</v>
      </c>
      <c r="AR1165" s="30" t="n">
        <v>0</v>
      </c>
      <c r="AS1165" s="30" t="n">
        <v>0</v>
      </c>
      <c r="AT1165" s="30" t="str">
        <f aca="false">IF(OR(AB1165="判定不能",J1165="判定不能"),"判定不能",IF(AS1165&gt;=判定条件!$C$9,"利用可",IF(AND(AB1165="停止",J1165="停止"),"両方停止","運転がそろわない")))</f>
        <v>判定不能</v>
      </c>
      <c r="AU1165" s="30" t="n">
        <v>0</v>
      </c>
      <c r="AV1165" s="30" t="n">
        <v>0</v>
      </c>
      <c r="AW1165" s="30" t="str">
        <f aca="false">IF(OR(AE1165="判定不能",M1165="判定不能"),"判定不能",IF(AV1165&gt;=判定条件!$C$9,"利用可",IF(AND(AE1165="停止",M1165="停止"),"両方停止","運転がそろわない")))</f>
        <v>判定不能</v>
      </c>
      <c r="AX1165" s="30" t="str">
        <f aca="false">IF(AND(AH1165="利用可",AK1165="利用可",AN1165="利用可"),"利用可","不可")</f>
        <v>不可</v>
      </c>
      <c r="AY1165" s="30" t="str">
        <f aca="false">IF(AND(AQ1165="利用可",AT1165="利用可",AW1165="利用可"),"利用可","不可")</f>
        <v>不可</v>
      </c>
    </row>
    <row r="1166" customFormat="false" ht="15" hidden="false" customHeight="false" outlineLevel="0" collapsed="false">
      <c r="A1166" s="29" t="n">
        <v>46280</v>
      </c>
      <c r="B1166" s="30" t="n">
        <v>11</v>
      </c>
      <c r="C1166" s="31" t="s">
        <v>67</v>
      </c>
      <c r="D1166" s="31" t="s">
        <v>59</v>
      </c>
      <c r="E1166" s="30" t="n">
        <v>60</v>
      </c>
      <c r="F1166" s="30" t="n">
        <v>60</v>
      </c>
      <c r="G1166" s="30" t="str">
        <f aca="false">IF(E1166&lt;判定条件!$C$6,"判定不能",IF(F1166&gt;=判定条件!$C$7*E1166,"運転",IF(F1166&lt;=判定条件!$C$8*E1166,"停止","断続")))</f>
        <v>運転</v>
      </c>
      <c r="H1166" s="30" t="n">
        <v>0</v>
      </c>
      <c r="I1166" s="30" t="n">
        <v>0</v>
      </c>
      <c r="J1166" s="30" t="str">
        <f aca="false">IF(H1166&lt;判定条件!$C$6,"判定不能",IF(I1166&gt;=判定条件!$C$7*H1166,"運転",IF(I1166&lt;=判定条件!$C$8*H1166,"停止","断続")))</f>
        <v>判定不能</v>
      </c>
      <c r="K1166" s="30" t="n">
        <v>60</v>
      </c>
      <c r="L1166" s="30" t="n">
        <v>60</v>
      </c>
      <c r="M1166" s="30" t="str">
        <f aca="false">IF(K1166&lt;判定条件!$C$6,"判定不能",IF(L1166&gt;=判定条件!$C$7*K1166,"運転",IF(L1166&lt;=判定条件!$C$8*K1166,"停止","断続")))</f>
        <v>運転</v>
      </c>
      <c r="N1166" s="30" t="n">
        <v>60</v>
      </c>
      <c r="O1166" s="30" t="n">
        <v>60</v>
      </c>
      <c r="P1166" s="30" t="str">
        <f aca="false">IF(N1166&lt;判定条件!$C$6,"判定不能",IF(O1166&gt;=判定条件!$C$7*N1166,"運転",IF(O1166&lt;=判定条件!$C$8*N1166,"停止","断続")))</f>
        <v>運転</v>
      </c>
      <c r="Q1166" s="30" t="n">
        <v>60</v>
      </c>
      <c r="R1166" s="30" t="n">
        <v>60</v>
      </c>
      <c r="S1166" s="30" t="str">
        <f aca="false">IF(Q1166&lt;判定条件!$C$6,"判定不能",IF(R1166&gt;=判定条件!$C$7*Q1166,"運転",IF(R1166&lt;=判定条件!$C$8*Q1166,"停止","断続")))</f>
        <v>運転</v>
      </c>
      <c r="T1166" s="30" t="n">
        <v>60</v>
      </c>
      <c r="U1166" s="30" t="n">
        <v>60</v>
      </c>
      <c r="V1166" s="30" t="str">
        <f aca="false">IF(T1166&lt;判定条件!$C$6,"判定不能",IF(U1166&gt;=判定条件!$C$7*T1166,"運転",IF(U1166&lt;=判定条件!$C$8*T1166,"停止","断続")))</f>
        <v>運転</v>
      </c>
      <c r="W1166" s="30" t="n">
        <v>0</v>
      </c>
      <c r="X1166" s="30" t="n">
        <v>0</v>
      </c>
      <c r="Y1166" s="30" t="str">
        <f aca="false">IF(W1166&lt;判定条件!$C$6,"判定不能",IF(X1166&gt;=判定条件!$C$7*W1166,"運転",IF(X1166&lt;=判定条件!$C$8*W1166,"停止","断続")))</f>
        <v>判定不能</v>
      </c>
      <c r="Z1166" s="30" t="n">
        <v>0</v>
      </c>
      <c r="AA1166" s="30" t="n">
        <v>0</v>
      </c>
      <c r="AB1166" s="30" t="str">
        <f aca="false">IF(Z1166&lt;判定条件!$C$6,"判定不能",IF(AA1166&gt;=判定条件!$C$7*Z1166,"運転",IF(AA1166&lt;=判定条件!$C$8*Z1166,"停止","断続")))</f>
        <v>判定不能</v>
      </c>
      <c r="AC1166" s="30" t="n">
        <v>0</v>
      </c>
      <c r="AD1166" s="30" t="n">
        <v>0</v>
      </c>
      <c r="AE1166" s="30" t="str">
        <f aca="false">IF(AC1166&lt;判定条件!$C$6,"判定不能",IF(AD1166&gt;=判定条件!$C$7*AC1166,"運転",IF(AD1166&lt;=判定条件!$C$8*AC1166,"停止","断続")))</f>
        <v>判定不能</v>
      </c>
      <c r="AF1166" s="30" t="n">
        <v>60</v>
      </c>
      <c r="AG1166" s="30" t="n">
        <v>60</v>
      </c>
      <c r="AH1166" s="30" t="str">
        <f aca="false">IF(OR(P1166="判定不能",G1166="判定不能"),"判定不能",IF(AG1166&gt;=判定条件!$C$9,"利用可",IF(AND(P1166="停止",G1166="停止"),"両方停止","運転がそろわない")))</f>
        <v>利用可</v>
      </c>
      <c r="AI1166" s="30" t="n">
        <v>0</v>
      </c>
      <c r="AJ1166" s="30" t="n">
        <v>0</v>
      </c>
      <c r="AK1166" s="30" t="str">
        <f aca="false">IF(OR(S1166="判定不能",J1166="判定不能"),"判定不能",IF(AJ1166&gt;=判定条件!$C$9,"利用可",IF(AND(S1166="停止",J1166="停止"),"両方停止","運転がそろわない")))</f>
        <v>判定不能</v>
      </c>
      <c r="AL1166" s="30" t="n">
        <v>60</v>
      </c>
      <c r="AM1166" s="30" t="n">
        <v>60</v>
      </c>
      <c r="AN1166" s="30" t="str">
        <f aca="false">IF(OR(V1166="判定不能",M1166="判定不能"),"判定不能",IF(AM1166&gt;=判定条件!$C$9,"利用可",IF(AND(V1166="停止",M1166="停止"),"両方停止","運転がそろわない")))</f>
        <v>利用可</v>
      </c>
      <c r="AO1166" s="30" t="n">
        <v>0</v>
      </c>
      <c r="AP1166" s="30" t="n">
        <v>0</v>
      </c>
      <c r="AQ1166" s="30" t="str">
        <f aca="false">IF(OR(Y1166="判定不能",G1166="判定不能"),"判定不能",IF(AP1166&gt;=判定条件!$C$9,"利用可",IF(AND(Y1166="停止",G1166="停止"),"両方停止","運転がそろわない")))</f>
        <v>判定不能</v>
      </c>
      <c r="AR1166" s="30" t="n">
        <v>0</v>
      </c>
      <c r="AS1166" s="30" t="n">
        <v>0</v>
      </c>
      <c r="AT1166" s="30" t="str">
        <f aca="false">IF(OR(AB1166="判定不能",J1166="判定不能"),"判定不能",IF(AS1166&gt;=判定条件!$C$9,"利用可",IF(AND(AB1166="停止",J1166="停止"),"両方停止","運転がそろわない")))</f>
        <v>判定不能</v>
      </c>
      <c r="AU1166" s="30" t="n">
        <v>0</v>
      </c>
      <c r="AV1166" s="30" t="n">
        <v>0</v>
      </c>
      <c r="AW1166" s="30" t="str">
        <f aca="false">IF(OR(AE1166="判定不能",M1166="判定不能"),"判定不能",IF(AV1166&gt;=判定条件!$C$9,"利用可",IF(AND(AE1166="停止",M1166="停止"),"両方停止","運転がそろわない")))</f>
        <v>判定不能</v>
      </c>
      <c r="AX1166" s="30" t="str">
        <f aca="false">IF(AND(AH1166="利用可",AK1166="利用可",AN1166="利用可"),"利用可","不可")</f>
        <v>不可</v>
      </c>
      <c r="AY1166" s="30" t="str">
        <f aca="false">IF(AND(AQ1166="利用可",AT1166="利用可",AW1166="利用可"),"利用可","不可")</f>
        <v>不可</v>
      </c>
    </row>
    <row r="1167" customFormat="false" ht="15" hidden="false" customHeight="false" outlineLevel="0" collapsed="false">
      <c r="A1167" s="29" t="n">
        <v>46280</v>
      </c>
      <c r="B1167" s="30" t="n">
        <v>12</v>
      </c>
      <c r="C1167" s="31" t="s">
        <v>67</v>
      </c>
      <c r="D1167" s="31" t="s">
        <v>59</v>
      </c>
      <c r="E1167" s="30" t="n">
        <v>60</v>
      </c>
      <c r="F1167" s="30" t="n">
        <v>60</v>
      </c>
      <c r="G1167" s="30" t="str">
        <f aca="false">IF(E1167&lt;判定条件!$C$6,"判定不能",IF(F1167&gt;=判定条件!$C$7*E1167,"運転",IF(F1167&lt;=判定条件!$C$8*E1167,"停止","断続")))</f>
        <v>運転</v>
      </c>
      <c r="H1167" s="30" t="n">
        <v>0</v>
      </c>
      <c r="I1167" s="30" t="n">
        <v>0</v>
      </c>
      <c r="J1167" s="30" t="str">
        <f aca="false">IF(H1167&lt;判定条件!$C$6,"判定不能",IF(I1167&gt;=判定条件!$C$7*H1167,"運転",IF(I1167&lt;=判定条件!$C$8*H1167,"停止","断続")))</f>
        <v>判定不能</v>
      </c>
      <c r="K1167" s="30" t="n">
        <v>60</v>
      </c>
      <c r="L1167" s="30" t="n">
        <v>60</v>
      </c>
      <c r="M1167" s="30" t="str">
        <f aca="false">IF(K1167&lt;判定条件!$C$6,"判定不能",IF(L1167&gt;=判定条件!$C$7*K1167,"運転",IF(L1167&lt;=判定条件!$C$8*K1167,"停止","断続")))</f>
        <v>運転</v>
      </c>
      <c r="N1167" s="30" t="n">
        <v>60</v>
      </c>
      <c r="O1167" s="30" t="n">
        <v>60</v>
      </c>
      <c r="P1167" s="30" t="str">
        <f aca="false">IF(N1167&lt;判定条件!$C$6,"判定不能",IF(O1167&gt;=判定条件!$C$7*N1167,"運転",IF(O1167&lt;=判定条件!$C$8*N1167,"停止","断続")))</f>
        <v>運転</v>
      </c>
      <c r="Q1167" s="30" t="n">
        <v>60</v>
      </c>
      <c r="R1167" s="30" t="n">
        <v>60</v>
      </c>
      <c r="S1167" s="30" t="str">
        <f aca="false">IF(Q1167&lt;判定条件!$C$6,"判定不能",IF(R1167&gt;=判定条件!$C$7*Q1167,"運転",IF(R1167&lt;=判定条件!$C$8*Q1167,"停止","断続")))</f>
        <v>運転</v>
      </c>
      <c r="T1167" s="30" t="n">
        <v>60</v>
      </c>
      <c r="U1167" s="30" t="n">
        <v>60</v>
      </c>
      <c r="V1167" s="30" t="str">
        <f aca="false">IF(T1167&lt;判定条件!$C$6,"判定不能",IF(U1167&gt;=判定条件!$C$7*T1167,"運転",IF(U1167&lt;=判定条件!$C$8*T1167,"停止","断続")))</f>
        <v>運転</v>
      </c>
      <c r="W1167" s="30" t="n">
        <v>0</v>
      </c>
      <c r="X1167" s="30" t="n">
        <v>0</v>
      </c>
      <c r="Y1167" s="30" t="str">
        <f aca="false">IF(W1167&lt;判定条件!$C$6,"判定不能",IF(X1167&gt;=判定条件!$C$7*W1167,"運転",IF(X1167&lt;=判定条件!$C$8*W1167,"停止","断続")))</f>
        <v>判定不能</v>
      </c>
      <c r="Z1167" s="30" t="n">
        <v>0</v>
      </c>
      <c r="AA1167" s="30" t="n">
        <v>0</v>
      </c>
      <c r="AB1167" s="30" t="str">
        <f aca="false">IF(Z1167&lt;判定条件!$C$6,"判定不能",IF(AA1167&gt;=判定条件!$C$7*Z1167,"運転",IF(AA1167&lt;=判定条件!$C$8*Z1167,"停止","断続")))</f>
        <v>判定不能</v>
      </c>
      <c r="AC1167" s="30" t="n">
        <v>0</v>
      </c>
      <c r="AD1167" s="30" t="n">
        <v>0</v>
      </c>
      <c r="AE1167" s="30" t="str">
        <f aca="false">IF(AC1167&lt;判定条件!$C$6,"判定不能",IF(AD1167&gt;=判定条件!$C$7*AC1167,"運転",IF(AD1167&lt;=判定条件!$C$8*AC1167,"停止","断続")))</f>
        <v>判定不能</v>
      </c>
      <c r="AF1167" s="30" t="n">
        <v>60</v>
      </c>
      <c r="AG1167" s="30" t="n">
        <v>60</v>
      </c>
      <c r="AH1167" s="30" t="str">
        <f aca="false">IF(OR(P1167="判定不能",G1167="判定不能"),"判定不能",IF(AG1167&gt;=判定条件!$C$9,"利用可",IF(AND(P1167="停止",G1167="停止"),"両方停止","運転がそろわない")))</f>
        <v>利用可</v>
      </c>
      <c r="AI1167" s="30" t="n">
        <v>0</v>
      </c>
      <c r="AJ1167" s="30" t="n">
        <v>0</v>
      </c>
      <c r="AK1167" s="30" t="str">
        <f aca="false">IF(OR(S1167="判定不能",J1167="判定不能"),"判定不能",IF(AJ1167&gt;=判定条件!$C$9,"利用可",IF(AND(S1167="停止",J1167="停止"),"両方停止","運転がそろわない")))</f>
        <v>判定不能</v>
      </c>
      <c r="AL1167" s="30" t="n">
        <v>60</v>
      </c>
      <c r="AM1167" s="30" t="n">
        <v>60</v>
      </c>
      <c r="AN1167" s="30" t="str">
        <f aca="false">IF(OR(V1167="判定不能",M1167="判定不能"),"判定不能",IF(AM1167&gt;=判定条件!$C$9,"利用可",IF(AND(V1167="停止",M1167="停止"),"両方停止","運転がそろわない")))</f>
        <v>利用可</v>
      </c>
      <c r="AO1167" s="30" t="n">
        <v>0</v>
      </c>
      <c r="AP1167" s="30" t="n">
        <v>0</v>
      </c>
      <c r="AQ1167" s="30" t="str">
        <f aca="false">IF(OR(Y1167="判定不能",G1167="判定不能"),"判定不能",IF(AP1167&gt;=判定条件!$C$9,"利用可",IF(AND(Y1167="停止",G1167="停止"),"両方停止","運転がそろわない")))</f>
        <v>判定不能</v>
      </c>
      <c r="AR1167" s="30" t="n">
        <v>0</v>
      </c>
      <c r="AS1167" s="30" t="n">
        <v>0</v>
      </c>
      <c r="AT1167" s="30" t="str">
        <f aca="false">IF(OR(AB1167="判定不能",J1167="判定不能"),"判定不能",IF(AS1167&gt;=判定条件!$C$9,"利用可",IF(AND(AB1167="停止",J1167="停止"),"両方停止","運転がそろわない")))</f>
        <v>判定不能</v>
      </c>
      <c r="AU1167" s="30" t="n">
        <v>0</v>
      </c>
      <c r="AV1167" s="30" t="n">
        <v>0</v>
      </c>
      <c r="AW1167" s="30" t="str">
        <f aca="false">IF(OR(AE1167="判定不能",M1167="判定不能"),"判定不能",IF(AV1167&gt;=判定条件!$C$9,"利用可",IF(AND(AE1167="停止",M1167="停止"),"両方停止","運転がそろわない")))</f>
        <v>判定不能</v>
      </c>
      <c r="AX1167" s="30" t="str">
        <f aca="false">IF(AND(AH1167="利用可",AK1167="利用可",AN1167="利用可"),"利用可","不可")</f>
        <v>不可</v>
      </c>
      <c r="AY1167" s="30" t="str">
        <f aca="false">IF(AND(AQ1167="利用可",AT1167="利用可",AW1167="利用可"),"利用可","不可")</f>
        <v>不可</v>
      </c>
    </row>
    <row r="1168" customFormat="false" ht="15" hidden="false" customHeight="false" outlineLevel="0" collapsed="false">
      <c r="A1168" s="29" t="n">
        <v>46280</v>
      </c>
      <c r="B1168" s="30" t="n">
        <v>13</v>
      </c>
      <c r="C1168" s="31" t="s">
        <v>67</v>
      </c>
      <c r="D1168" s="31" t="s">
        <v>59</v>
      </c>
      <c r="E1168" s="30" t="n">
        <v>60</v>
      </c>
      <c r="F1168" s="30" t="n">
        <v>60</v>
      </c>
      <c r="G1168" s="30" t="str">
        <f aca="false">IF(E1168&lt;判定条件!$C$6,"判定不能",IF(F1168&gt;=判定条件!$C$7*E1168,"運転",IF(F1168&lt;=判定条件!$C$8*E1168,"停止","断続")))</f>
        <v>運転</v>
      </c>
      <c r="H1168" s="30" t="n">
        <v>0</v>
      </c>
      <c r="I1168" s="30" t="n">
        <v>0</v>
      </c>
      <c r="J1168" s="30" t="str">
        <f aca="false">IF(H1168&lt;判定条件!$C$6,"判定不能",IF(I1168&gt;=判定条件!$C$7*H1168,"運転",IF(I1168&lt;=判定条件!$C$8*H1168,"停止","断続")))</f>
        <v>判定不能</v>
      </c>
      <c r="K1168" s="30" t="n">
        <v>60</v>
      </c>
      <c r="L1168" s="30" t="n">
        <v>60</v>
      </c>
      <c r="M1168" s="30" t="str">
        <f aca="false">IF(K1168&lt;判定条件!$C$6,"判定不能",IF(L1168&gt;=判定条件!$C$7*K1168,"運転",IF(L1168&lt;=判定条件!$C$8*K1168,"停止","断続")))</f>
        <v>運転</v>
      </c>
      <c r="N1168" s="30" t="n">
        <v>60</v>
      </c>
      <c r="O1168" s="30" t="n">
        <v>59</v>
      </c>
      <c r="P1168" s="30" t="str">
        <f aca="false">IF(N1168&lt;判定条件!$C$6,"判定不能",IF(O1168&gt;=判定条件!$C$7*N1168,"運転",IF(O1168&lt;=判定条件!$C$8*N1168,"停止","断続")))</f>
        <v>運転</v>
      </c>
      <c r="Q1168" s="30" t="n">
        <v>60</v>
      </c>
      <c r="R1168" s="30" t="n">
        <v>48</v>
      </c>
      <c r="S1168" s="30" t="str">
        <f aca="false">IF(Q1168&lt;判定条件!$C$6,"判定不能",IF(R1168&gt;=判定条件!$C$7*Q1168,"運転",IF(R1168&lt;=判定条件!$C$8*Q1168,"停止","断続")))</f>
        <v>運転</v>
      </c>
      <c r="T1168" s="30" t="n">
        <v>60</v>
      </c>
      <c r="U1168" s="30" t="n">
        <v>32</v>
      </c>
      <c r="V1168" s="30" t="str">
        <f aca="false">IF(T1168&lt;判定条件!$C$6,"判定不能",IF(U1168&gt;=判定条件!$C$7*T1168,"運転",IF(U1168&lt;=判定条件!$C$8*T1168,"停止","断続")))</f>
        <v>断続</v>
      </c>
      <c r="W1168" s="30" t="n">
        <v>0</v>
      </c>
      <c r="X1168" s="30" t="n">
        <v>0</v>
      </c>
      <c r="Y1168" s="30" t="str">
        <f aca="false">IF(W1168&lt;判定条件!$C$6,"判定不能",IF(X1168&gt;=判定条件!$C$7*W1168,"運転",IF(X1168&lt;=判定条件!$C$8*W1168,"停止","断続")))</f>
        <v>判定不能</v>
      </c>
      <c r="Z1168" s="30" t="n">
        <v>0</v>
      </c>
      <c r="AA1168" s="30" t="n">
        <v>0</v>
      </c>
      <c r="AB1168" s="30" t="str">
        <f aca="false">IF(Z1168&lt;判定条件!$C$6,"判定不能",IF(AA1168&gt;=判定条件!$C$7*Z1168,"運転",IF(AA1168&lt;=判定条件!$C$8*Z1168,"停止","断続")))</f>
        <v>判定不能</v>
      </c>
      <c r="AC1168" s="30" t="n">
        <v>0</v>
      </c>
      <c r="AD1168" s="30" t="n">
        <v>0</v>
      </c>
      <c r="AE1168" s="30" t="str">
        <f aca="false">IF(AC1168&lt;判定条件!$C$6,"判定不能",IF(AD1168&gt;=判定条件!$C$7*AC1168,"運転",IF(AD1168&lt;=判定条件!$C$8*AC1168,"停止","断続")))</f>
        <v>判定不能</v>
      </c>
      <c r="AF1168" s="30" t="n">
        <v>60</v>
      </c>
      <c r="AG1168" s="30" t="n">
        <v>59</v>
      </c>
      <c r="AH1168" s="30" t="str">
        <f aca="false">IF(OR(P1168="判定不能",G1168="判定不能"),"判定不能",IF(AG1168&gt;=判定条件!$C$9,"利用可",IF(AND(P1168="停止",G1168="停止"),"両方停止","運転がそろわない")))</f>
        <v>利用可</v>
      </c>
      <c r="AI1168" s="30" t="n">
        <v>0</v>
      </c>
      <c r="AJ1168" s="30" t="n">
        <v>0</v>
      </c>
      <c r="AK1168" s="30" t="str">
        <f aca="false">IF(OR(S1168="判定不能",J1168="判定不能"),"判定不能",IF(AJ1168&gt;=判定条件!$C$9,"利用可",IF(AND(S1168="停止",J1168="停止"),"両方停止","運転がそろわない")))</f>
        <v>判定不能</v>
      </c>
      <c r="AL1168" s="30" t="n">
        <v>60</v>
      </c>
      <c r="AM1168" s="30" t="n">
        <v>32</v>
      </c>
      <c r="AN1168" s="30" t="str">
        <f aca="false">IF(OR(V1168="判定不能",M1168="判定不能"),"判定不能",IF(AM1168&gt;=判定条件!$C$9,"利用可",IF(AND(V1168="停止",M1168="停止"),"両方停止","運転がそろわない")))</f>
        <v>利用可</v>
      </c>
      <c r="AO1168" s="30" t="n">
        <v>0</v>
      </c>
      <c r="AP1168" s="30" t="n">
        <v>0</v>
      </c>
      <c r="AQ1168" s="30" t="str">
        <f aca="false">IF(OR(Y1168="判定不能",G1168="判定不能"),"判定不能",IF(AP1168&gt;=判定条件!$C$9,"利用可",IF(AND(Y1168="停止",G1168="停止"),"両方停止","運転がそろわない")))</f>
        <v>判定不能</v>
      </c>
      <c r="AR1168" s="30" t="n">
        <v>0</v>
      </c>
      <c r="AS1168" s="30" t="n">
        <v>0</v>
      </c>
      <c r="AT1168" s="30" t="str">
        <f aca="false">IF(OR(AB1168="判定不能",J1168="判定不能"),"判定不能",IF(AS1168&gt;=判定条件!$C$9,"利用可",IF(AND(AB1168="停止",J1168="停止"),"両方停止","運転がそろわない")))</f>
        <v>判定不能</v>
      </c>
      <c r="AU1168" s="30" t="n">
        <v>0</v>
      </c>
      <c r="AV1168" s="30" t="n">
        <v>0</v>
      </c>
      <c r="AW1168" s="30" t="str">
        <f aca="false">IF(OR(AE1168="判定不能",M1168="判定不能"),"判定不能",IF(AV1168&gt;=判定条件!$C$9,"利用可",IF(AND(AE1168="停止",M1168="停止"),"両方停止","運転がそろわない")))</f>
        <v>判定不能</v>
      </c>
      <c r="AX1168" s="30" t="str">
        <f aca="false">IF(AND(AH1168="利用可",AK1168="利用可",AN1168="利用可"),"利用可","不可")</f>
        <v>不可</v>
      </c>
      <c r="AY1168" s="30" t="str">
        <f aca="false">IF(AND(AQ1168="利用可",AT1168="利用可",AW1168="利用可"),"利用可","不可")</f>
        <v>不可</v>
      </c>
    </row>
    <row r="1169" customFormat="false" ht="15" hidden="false" customHeight="false" outlineLevel="0" collapsed="false">
      <c r="A1169" s="29" t="n">
        <v>46280</v>
      </c>
      <c r="B1169" s="30" t="n">
        <v>14</v>
      </c>
      <c r="C1169" s="31" t="s">
        <v>67</v>
      </c>
      <c r="D1169" s="31" t="s">
        <v>59</v>
      </c>
      <c r="E1169" s="30" t="n">
        <v>60</v>
      </c>
      <c r="F1169" s="30" t="n">
        <v>60</v>
      </c>
      <c r="G1169" s="30" t="str">
        <f aca="false">IF(E1169&lt;判定条件!$C$6,"判定不能",IF(F1169&gt;=判定条件!$C$7*E1169,"運転",IF(F1169&lt;=判定条件!$C$8*E1169,"停止","断続")))</f>
        <v>運転</v>
      </c>
      <c r="H1169" s="30" t="n">
        <v>0</v>
      </c>
      <c r="I1169" s="30" t="n">
        <v>0</v>
      </c>
      <c r="J1169" s="30" t="str">
        <f aca="false">IF(H1169&lt;判定条件!$C$6,"判定不能",IF(I1169&gt;=判定条件!$C$7*H1169,"運転",IF(I1169&lt;=判定条件!$C$8*H1169,"停止","断続")))</f>
        <v>判定不能</v>
      </c>
      <c r="K1169" s="30" t="n">
        <v>60</v>
      </c>
      <c r="L1169" s="30" t="n">
        <v>60</v>
      </c>
      <c r="M1169" s="30" t="str">
        <f aca="false">IF(K1169&lt;判定条件!$C$6,"判定不能",IF(L1169&gt;=判定条件!$C$7*K1169,"運転",IF(L1169&lt;=判定条件!$C$8*K1169,"停止","断続")))</f>
        <v>運転</v>
      </c>
      <c r="N1169" s="30" t="n">
        <v>60</v>
      </c>
      <c r="O1169" s="30" t="n">
        <v>47</v>
      </c>
      <c r="P1169" s="30" t="str">
        <f aca="false">IF(N1169&lt;判定条件!$C$6,"判定不能",IF(O1169&gt;=判定条件!$C$7*N1169,"運転",IF(O1169&lt;=判定条件!$C$8*N1169,"停止","断続")))</f>
        <v>断続</v>
      </c>
      <c r="Q1169" s="30" t="n">
        <v>60</v>
      </c>
      <c r="R1169" s="30" t="n">
        <v>60</v>
      </c>
      <c r="S1169" s="30" t="str">
        <f aca="false">IF(Q1169&lt;判定条件!$C$6,"判定不能",IF(R1169&gt;=判定条件!$C$7*Q1169,"運転",IF(R1169&lt;=判定条件!$C$8*Q1169,"停止","断続")))</f>
        <v>運転</v>
      </c>
      <c r="T1169" s="30" t="n">
        <v>60</v>
      </c>
      <c r="U1169" s="30" t="n">
        <v>14</v>
      </c>
      <c r="V1169" s="30" t="str">
        <f aca="false">IF(T1169&lt;判定条件!$C$6,"判定不能",IF(U1169&gt;=判定条件!$C$7*T1169,"運転",IF(U1169&lt;=判定条件!$C$8*T1169,"停止","断続")))</f>
        <v>断続</v>
      </c>
      <c r="W1169" s="30" t="n">
        <v>0</v>
      </c>
      <c r="X1169" s="30" t="n">
        <v>0</v>
      </c>
      <c r="Y1169" s="30" t="str">
        <f aca="false">IF(W1169&lt;判定条件!$C$6,"判定不能",IF(X1169&gt;=判定条件!$C$7*W1169,"運転",IF(X1169&lt;=判定条件!$C$8*W1169,"停止","断続")))</f>
        <v>判定不能</v>
      </c>
      <c r="Z1169" s="30" t="n">
        <v>0</v>
      </c>
      <c r="AA1169" s="30" t="n">
        <v>0</v>
      </c>
      <c r="AB1169" s="30" t="str">
        <f aca="false">IF(Z1169&lt;判定条件!$C$6,"判定不能",IF(AA1169&gt;=判定条件!$C$7*Z1169,"運転",IF(AA1169&lt;=判定条件!$C$8*Z1169,"停止","断続")))</f>
        <v>判定不能</v>
      </c>
      <c r="AC1169" s="30" t="n">
        <v>0</v>
      </c>
      <c r="AD1169" s="30" t="n">
        <v>0</v>
      </c>
      <c r="AE1169" s="30" t="str">
        <f aca="false">IF(AC1169&lt;判定条件!$C$6,"判定不能",IF(AD1169&gt;=判定条件!$C$7*AC1169,"運転",IF(AD1169&lt;=判定条件!$C$8*AC1169,"停止","断続")))</f>
        <v>判定不能</v>
      </c>
      <c r="AF1169" s="30" t="n">
        <v>60</v>
      </c>
      <c r="AG1169" s="30" t="n">
        <v>47</v>
      </c>
      <c r="AH1169" s="30" t="str">
        <f aca="false">IF(OR(P1169="判定不能",G1169="判定不能"),"判定不能",IF(AG1169&gt;=判定条件!$C$9,"利用可",IF(AND(P1169="停止",G1169="停止"),"両方停止","運転がそろわない")))</f>
        <v>利用可</v>
      </c>
      <c r="AI1169" s="30" t="n">
        <v>0</v>
      </c>
      <c r="AJ1169" s="30" t="n">
        <v>0</v>
      </c>
      <c r="AK1169" s="30" t="str">
        <f aca="false">IF(OR(S1169="判定不能",J1169="判定不能"),"判定不能",IF(AJ1169&gt;=判定条件!$C$9,"利用可",IF(AND(S1169="停止",J1169="停止"),"両方停止","運転がそろわない")))</f>
        <v>判定不能</v>
      </c>
      <c r="AL1169" s="30" t="n">
        <v>60</v>
      </c>
      <c r="AM1169" s="30" t="n">
        <v>14</v>
      </c>
      <c r="AN1169" s="30" t="str">
        <f aca="false">IF(OR(V1169="判定不能",M1169="判定不能"),"判定不能",IF(AM1169&gt;=判定条件!$C$9,"利用可",IF(AND(V1169="停止",M1169="停止"),"両方停止","運転がそろわない")))</f>
        <v>運転がそろわない</v>
      </c>
      <c r="AO1169" s="30" t="n">
        <v>0</v>
      </c>
      <c r="AP1169" s="30" t="n">
        <v>0</v>
      </c>
      <c r="AQ1169" s="30" t="str">
        <f aca="false">IF(OR(Y1169="判定不能",G1169="判定不能"),"判定不能",IF(AP1169&gt;=判定条件!$C$9,"利用可",IF(AND(Y1169="停止",G1169="停止"),"両方停止","運転がそろわない")))</f>
        <v>判定不能</v>
      </c>
      <c r="AR1169" s="30" t="n">
        <v>0</v>
      </c>
      <c r="AS1169" s="30" t="n">
        <v>0</v>
      </c>
      <c r="AT1169" s="30" t="str">
        <f aca="false">IF(OR(AB1169="判定不能",J1169="判定不能"),"判定不能",IF(AS1169&gt;=判定条件!$C$9,"利用可",IF(AND(AB1169="停止",J1169="停止"),"両方停止","運転がそろわない")))</f>
        <v>判定不能</v>
      </c>
      <c r="AU1169" s="30" t="n">
        <v>0</v>
      </c>
      <c r="AV1169" s="30" t="n">
        <v>0</v>
      </c>
      <c r="AW1169" s="30" t="str">
        <f aca="false">IF(OR(AE1169="判定不能",M1169="判定不能"),"判定不能",IF(AV1169&gt;=判定条件!$C$9,"利用可",IF(AND(AE1169="停止",M1169="停止"),"両方停止","運転がそろわない")))</f>
        <v>判定不能</v>
      </c>
      <c r="AX1169" s="30" t="str">
        <f aca="false">IF(AND(AH1169="利用可",AK1169="利用可",AN1169="利用可"),"利用可","不可")</f>
        <v>不可</v>
      </c>
      <c r="AY1169" s="30" t="str">
        <f aca="false">IF(AND(AQ1169="利用可",AT1169="利用可",AW1169="利用可"),"利用可","不可")</f>
        <v>不可</v>
      </c>
    </row>
    <row r="1170" customFormat="false" ht="15" hidden="false" customHeight="false" outlineLevel="0" collapsed="false">
      <c r="A1170" s="29" t="n">
        <v>46280</v>
      </c>
      <c r="B1170" s="30" t="n">
        <v>15</v>
      </c>
      <c r="C1170" s="31" t="s">
        <v>67</v>
      </c>
      <c r="D1170" s="31" t="s">
        <v>59</v>
      </c>
      <c r="E1170" s="30" t="n">
        <v>60</v>
      </c>
      <c r="F1170" s="30" t="n">
        <v>60</v>
      </c>
      <c r="G1170" s="30" t="str">
        <f aca="false">IF(E1170&lt;判定条件!$C$6,"判定不能",IF(F1170&gt;=判定条件!$C$7*E1170,"運転",IF(F1170&lt;=判定条件!$C$8*E1170,"停止","断続")))</f>
        <v>運転</v>
      </c>
      <c r="H1170" s="30" t="n">
        <v>0</v>
      </c>
      <c r="I1170" s="30" t="n">
        <v>0</v>
      </c>
      <c r="J1170" s="30" t="str">
        <f aca="false">IF(H1170&lt;判定条件!$C$6,"判定不能",IF(I1170&gt;=判定条件!$C$7*H1170,"運転",IF(I1170&lt;=判定条件!$C$8*H1170,"停止","断続")))</f>
        <v>判定不能</v>
      </c>
      <c r="K1170" s="30" t="n">
        <v>60</v>
      </c>
      <c r="L1170" s="30" t="n">
        <v>60</v>
      </c>
      <c r="M1170" s="30" t="str">
        <f aca="false">IF(K1170&lt;判定条件!$C$6,"判定不能",IF(L1170&gt;=判定条件!$C$7*K1170,"運転",IF(L1170&lt;=判定条件!$C$8*K1170,"停止","断続")))</f>
        <v>運転</v>
      </c>
      <c r="N1170" s="30" t="n">
        <v>60</v>
      </c>
      <c r="O1170" s="30" t="n">
        <v>48</v>
      </c>
      <c r="P1170" s="30" t="str">
        <f aca="false">IF(N1170&lt;判定条件!$C$6,"判定不能",IF(O1170&gt;=判定条件!$C$7*N1170,"運転",IF(O1170&lt;=判定条件!$C$8*N1170,"停止","断続")))</f>
        <v>運転</v>
      </c>
      <c r="Q1170" s="30" t="n">
        <v>60</v>
      </c>
      <c r="R1170" s="30" t="n">
        <v>60</v>
      </c>
      <c r="S1170" s="30" t="str">
        <f aca="false">IF(Q1170&lt;判定条件!$C$6,"判定不能",IF(R1170&gt;=判定条件!$C$7*Q1170,"運転",IF(R1170&lt;=判定条件!$C$8*Q1170,"停止","断続")))</f>
        <v>運転</v>
      </c>
      <c r="T1170" s="30" t="n">
        <v>60</v>
      </c>
      <c r="U1170" s="30" t="n">
        <v>58</v>
      </c>
      <c r="V1170" s="30" t="str">
        <f aca="false">IF(T1170&lt;判定条件!$C$6,"判定不能",IF(U1170&gt;=判定条件!$C$7*T1170,"運転",IF(U1170&lt;=判定条件!$C$8*T1170,"停止","断続")))</f>
        <v>運転</v>
      </c>
      <c r="W1170" s="30" t="n">
        <v>0</v>
      </c>
      <c r="X1170" s="30" t="n">
        <v>0</v>
      </c>
      <c r="Y1170" s="30" t="str">
        <f aca="false">IF(W1170&lt;判定条件!$C$6,"判定不能",IF(X1170&gt;=判定条件!$C$7*W1170,"運転",IF(X1170&lt;=判定条件!$C$8*W1170,"停止","断続")))</f>
        <v>判定不能</v>
      </c>
      <c r="Z1170" s="30" t="n">
        <v>0</v>
      </c>
      <c r="AA1170" s="30" t="n">
        <v>0</v>
      </c>
      <c r="AB1170" s="30" t="str">
        <f aca="false">IF(Z1170&lt;判定条件!$C$6,"判定不能",IF(AA1170&gt;=判定条件!$C$7*Z1170,"運転",IF(AA1170&lt;=判定条件!$C$8*Z1170,"停止","断続")))</f>
        <v>判定不能</v>
      </c>
      <c r="AC1170" s="30" t="n">
        <v>0</v>
      </c>
      <c r="AD1170" s="30" t="n">
        <v>0</v>
      </c>
      <c r="AE1170" s="30" t="str">
        <f aca="false">IF(AC1170&lt;判定条件!$C$6,"判定不能",IF(AD1170&gt;=判定条件!$C$7*AC1170,"運転",IF(AD1170&lt;=判定条件!$C$8*AC1170,"停止","断続")))</f>
        <v>判定不能</v>
      </c>
      <c r="AF1170" s="30" t="n">
        <v>60</v>
      </c>
      <c r="AG1170" s="30" t="n">
        <v>48</v>
      </c>
      <c r="AH1170" s="30" t="str">
        <f aca="false">IF(OR(P1170="判定不能",G1170="判定不能"),"判定不能",IF(AG1170&gt;=判定条件!$C$9,"利用可",IF(AND(P1170="停止",G1170="停止"),"両方停止","運転がそろわない")))</f>
        <v>利用可</v>
      </c>
      <c r="AI1170" s="30" t="n">
        <v>0</v>
      </c>
      <c r="AJ1170" s="30" t="n">
        <v>0</v>
      </c>
      <c r="AK1170" s="30" t="str">
        <f aca="false">IF(OR(S1170="判定不能",J1170="判定不能"),"判定不能",IF(AJ1170&gt;=判定条件!$C$9,"利用可",IF(AND(S1170="停止",J1170="停止"),"両方停止","運転がそろわない")))</f>
        <v>判定不能</v>
      </c>
      <c r="AL1170" s="30" t="n">
        <v>60</v>
      </c>
      <c r="AM1170" s="30" t="n">
        <v>58</v>
      </c>
      <c r="AN1170" s="30" t="str">
        <f aca="false">IF(OR(V1170="判定不能",M1170="判定不能"),"判定不能",IF(AM1170&gt;=判定条件!$C$9,"利用可",IF(AND(V1170="停止",M1170="停止"),"両方停止","運転がそろわない")))</f>
        <v>利用可</v>
      </c>
      <c r="AO1170" s="30" t="n">
        <v>0</v>
      </c>
      <c r="AP1170" s="30" t="n">
        <v>0</v>
      </c>
      <c r="AQ1170" s="30" t="str">
        <f aca="false">IF(OR(Y1170="判定不能",G1170="判定不能"),"判定不能",IF(AP1170&gt;=判定条件!$C$9,"利用可",IF(AND(Y1170="停止",G1170="停止"),"両方停止","運転がそろわない")))</f>
        <v>判定不能</v>
      </c>
      <c r="AR1170" s="30" t="n">
        <v>0</v>
      </c>
      <c r="AS1170" s="30" t="n">
        <v>0</v>
      </c>
      <c r="AT1170" s="30" t="str">
        <f aca="false">IF(OR(AB1170="判定不能",J1170="判定不能"),"判定不能",IF(AS1170&gt;=判定条件!$C$9,"利用可",IF(AND(AB1170="停止",J1170="停止"),"両方停止","運転がそろわない")))</f>
        <v>判定不能</v>
      </c>
      <c r="AU1170" s="30" t="n">
        <v>0</v>
      </c>
      <c r="AV1170" s="30" t="n">
        <v>0</v>
      </c>
      <c r="AW1170" s="30" t="str">
        <f aca="false">IF(OR(AE1170="判定不能",M1170="判定不能"),"判定不能",IF(AV1170&gt;=判定条件!$C$9,"利用可",IF(AND(AE1170="停止",M1170="停止"),"両方停止","運転がそろわない")))</f>
        <v>判定不能</v>
      </c>
      <c r="AX1170" s="30" t="str">
        <f aca="false">IF(AND(AH1170="利用可",AK1170="利用可",AN1170="利用可"),"利用可","不可")</f>
        <v>不可</v>
      </c>
      <c r="AY1170" s="30" t="str">
        <f aca="false">IF(AND(AQ1170="利用可",AT1170="利用可",AW1170="利用可"),"利用可","不可")</f>
        <v>不可</v>
      </c>
    </row>
    <row r="1171" customFormat="false" ht="15" hidden="false" customHeight="false" outlineLevel="0" collapsed="false">
      <c r="A1171" s="29" t="n">
        <v>46280</v>
      </c>
      <c r="B1171" s="30" t="n">
        <v>16</v>
      </c>
      <c r="C1171" s="31" t="s">
        <v>67</v>
      </c>
      <c r="D1171" s="31" t="s">
        <v>59</v>
      </c>
      <c r="E1171" s="30" t="n">
        <v>60</v>
      </c>
      <c r="F1171" s="30" t="n">
        <v>60</v>
      </c>
      <c r="G1171" s="30" t="str">
        <f aca="false">IF(E1171&lt;判定条件!$C$6,"判定不能",IF(F1171&gt;=判定条件!$C$7*E1171,"運転",IF(F1171&lt;=判定条件!$C$8*E1171,"停止","断続")))</f>
        <v>運転</v>
      </c>
      <c r="H1171" s="30" t="n">
        <v>0</v>
      </c>
      <c r="I1171" s="30" t="n">
        <v>0</v>
      </c>
      <c r="J1171" s="30" t="str">
        <f aca="false">IF(H1171&lt;判定条件!$C$6,"判定不能",IF(I1171&gt;=判定条件!$C$7*H1171,"運転",IF(I1171&lt;=判定条件!$C$8*H1171,"停止","断続")))</f>
        <v>判定不能</v>
      </c>
      <c r="K1171" s="30" t="n">
        <v>60</v>
      </c>
      <c r="L1171" s="30" t="n">
        <v>60</v>
      </c>
      <c r="M1171" s="30" t="str">
        <f aca="false">IF(K1171&lt;判定条件!$C$6,"判定不能",IF(L1171&gt;=判定条件!$C$7*K1171,"運転",IF(L1171&lt;=判定条件!$C$8*K1171,"停止","断続")))</f>
        <v>運転</v>
      </c>
      <c r="N1171" s="30" t="n">
        <v>60</v>
      </c>
      <c r="O1171" s="30" t="n">
        <v>19</v>
      </c>
      <c r="P1171" s="30" t="str">
        <f aca="false">IF(N1171&lt;判定条件!$C$6,"判定不能",IF(O1171&gt;=判定条件!$C$7*N1171,"運転",IF(O1171&lt;=判定条件!$C$8*N1171,"停止","断続")))</f>
        <v>断続</v>
      </c>
      <c r="Q1171" s="30" t="n">
        <v>60</v>
      </c>
      <c r="R1171" s="30" t="n">
        <v>49</v>
      </c>
      <c r="S1171" s="30" t="str">
        <f aca="false">IF(Q1171&lt;判定条件!$C$6,"判定不能",IF(R1171&gt;=判定条件!$C$7*Q1171,"運転",IF(R1171&lt;=判定条件!$C$8*Q1171,"停止","断続")))</f>
        <v>運転</v>
      </c>
      <c r="T1171" s="30" t="n">
        <v>60</v>
      </c>
      <c r="U1171" s="30" t="n">
        <v>60</v>
      </c>
      <c r="V1171" s="30" t="str">
        <f aca="false">IF(T1171&lt;判定条件!$C$6,"判定不能",IF(U1171&gt;=判定条件!$C$7*T1171,"運転",IF(U1171&lt;=判定条件!$C$8*T1171,"停止","断続")))</f>
        <v>運転</v>
      </c>
      <c r="W1171" s="30" t="n">
        <v>0</v>
      </c>
      <c r="X1171" s="30" t="n">
        <v>0</v>
      </c>
      <c r="Y1171" s="30" t="str">
        <f aca="false">IF(W1171&lt;判定条件!$C$6,"判定不能",IF(X1171&gt;=判定条件!$C$7*W1171,"運転",IF(X1171&lt;=判定条件!$C$8*W1171,"停止","断続")))</f>
        <v>判定不能</v>
      </c>
      <c r="Z1171" s="30" t="n">
        <v>0</v>
      </c>
      <c r="AA1171" s="30" t="n">
        <v>0</v>
      </c>
      <c r="AB1171" s="30" t="str">
        <f aca="false">IF(Z1171&lt;判定条件!$C$6,"判定不能",IF(AA1171&gt;=判定条件!$C$7*Z1171,"運転",IF(AA1171&lt;=判定条件!$C$8*Z1171,"停止","断続")))</f>
        <v>判定不能</v>
      </c>
      <c r="AC1171" s="30" t="n">
        <v>0</v>
      </c>
      <c r="AD1171" s="30" t="n">
        <v>0</v>
      </c>
      <c r="AE1171" s="30" t="str">
        <f aca="false">IF(AC1171&lt;判定条件!$C$6,"判定不能",IF(AD1171&gt;=判定条件!$C$7*AC1171,"運転",IF(AD1171&lt;=判定条件!$C$8*AC1171,"停止","断続")))</f>
        <v>判定不能</v>
      </c>
      <c r="AF1171" s="30" t="n">
        <v>60</v>
      </c>
      <c r="AG1171" s="30" t="n">
        <v>19</v>
      </c>
      <c r="AH1171" s="30" t="str">
        <f aca="false">IF(OR(P1171="判定不能",G1171="判定不能"),"判定不能",IF(AG1171&gt;=判定条件!$C$9,"利用可",IF(AND(P1171="停止",G1171="停止"),"両方停止","運転がそろわない")))</f>
        <v>運転がそろわない</v>
      </c>
      <c r="AI1171" s="30" t="n">
        <v>0</v>
      </c>
      <c r="AJ1171" s="30" t="n">
        <v>0</v>
      </c>
      <c r="AK1171" s="30" t="str">
        <f aca="false">IF(OR(S1171="判定不能",J1171="判定不能"),"判定不能",IF(AJ1171&gt;=判定条件!$C$9,"利用可",IF(AND(S1171="停止",J1171="停止"),"両方停止","運転がそろわない")))</f>
        <v>判定不能</v>
      </c>
      <c r="AL1171" s="30" t="n">
        <v>60</v>
      </c>
      <c r="AM1171" s="30" t="n">
        <v>60</v>
      </c>
      <c r="AN1171" s="30" t="str">
        <f aca="false">IF(OR(V1171="判定不能",M1171="判定不能"),"判定不能",IF(AM1171&gt;=判定条件!$C$9,"利用可",IF(AND(V1171="停止",M1171="停止"),"両方停止","運転がそろわない")))</f>
        <v>利用可</v>
      </c>
      <c r="AO1171" s="30" t="n">
        <v>0</v>
      </c>
      <c r="AP1171" s="30" t="n">
        <v>0</v>
      </c>
      <c r="AQ1171" s="30" t="str">
        <f aca="false">IF(OR(Y1171="判定不能",G1171="判定不能"),"判定不能",IF(AP1171&gt;=判定条件!$C$9,"利用可",IF(AND(Y1171="停止",G1171="停止"),"両方停止","運転がそろわない")))</f>
        <v>判定不能</v>
      </c>
      <c r="AR1171" s="30" t="n">
        <v>0</v>
      </c>
      <c r="AS1171" s="30" t="n">
        <v>0</v>
      </c>
      <c r="AT1171" s="30" t="str">
        <f aca="false">IF(OR(AB1171="判定不能",J1171="判定不能"),"判定不能",IF(AS1171&gt;=判定条件!$C$9,"利用可",IF(AND(AB1171="停止",J1171="停止"),"両方停止","運転がそろわない")))</f>
        <v>判定不能</v>
      </c>
      <c r="AU1171" s="30" t="n">
        <v>0</v>
      </c>
      <c r="AV1171" s="30" t="n">
        <v>0</v>
      </c>
      <c r="AW1171" s="30" t="str">
        <f aca="false">IF(OR(AE1171="判定不能",M1171="判定不能"),"判定不能",IF(AV1171&gt;=判定条件!$C$9,"利用可",IF(AND(AE1171="停止",M1171="停止"),"両方停止","運転がそろわない")))</f>
        <v>判定不能</v>
      </c>
      <c r="AX1171" s="30" t="str">
        <f aca="false">IF(AND(AH1171="利用可",AK1171="利用可",AN1171="利用可"),"利用可","不可")</f>
        <v>不可</v>
      </c>
      <c r="AY1171" s="30" t="str">
        <f aca="false">IF(AND(AQ1171="利用可",AT1171="利用可",AW1171="利用可"),"利用可","不可")</f>
        <v>不可</v>
      </c>
    </row>
    <row r="1172" customFormat="false" ht="15" hidden="false" customHeight="false" outlineLevel="0" collapsed="false">
      <c r="A1172" s="29" t="n">
        <v>46280</v>
      </c>
      <c r="B1172" s="30" t="n">
        <v>17</v>
      </c>
      <c r="C1172" s="31" t="s">
        <v>67</v>
      </c>
      <c r="D1172" s="31" t="s">
        <v>59</v>
      </c>
      <c r="E1172" s="30" t="n">
        <v>60</v>
      </c>
      <c r="F1172" s="30" t="n">
        <v>60</v>
      </c>
      <c r="G1172" s="30" t="str">
        <f aca="false">IF(E1172&lt;判定条件!$C$6,"判定不能",IF(F1172&gt;=判定条件!$C$7*E1172,"運転",IF(F1172&lt;=判定条件!$C$8*E1172,"停止","断続")))</f>
        <v>運転</v>
      </c>
      <c r="H1172" s="30" t="n">
        <v>0</v>
      </c>
      <c r="I1172" s="30" t="n">
        <v>0</v>
      </c>
      <c r="J1172" s="30" t="str">
        <f aca="false">IF(H1172&lt;判定条件!$C$6,"判定不能",IF(I1172&gt;=判定条件!$C$7*H1172,"運転",IF(I1172&lt;=判定条件!$C$8*H1172,"停止","断続")))</f>
        <v>判定不能</v>
      </c>
      <c r="K1172" s="30" t="n">
        <v>60</v>
      </c>
      <c r="L1172" s="30" t="n">
        <v>55</v>
      </c>
      <c r="M1172" s="30" t="str">
        <f aca="false">IF(K1172&lt;判定条件!$C$6,"判定不能",IF(L1172&gt;=判定条件!$C$7*K1172,"運転",IF(L1172&lt;=判定条件!$C$8*K1172,"停止","断続")))</f>
        <v>運転</v>
      </c>
      <c r="N1172" s="30" t="n">
        <v>60</v>
      </c>
      <c r="O1172" s="30" t="n">
        <v>50</v>
      </c>
      <c r="P1172" s="30" t="str">
        <f aca="false">IF(N1172&lt;判定条件!$C$6,"判定不能",IF(O1172&gt;=判定条件!$C$7*N1172,"運転",IF(O1172&lt;=判定条件!$C$8*N1172,"停止","断続")))</f>
        <v>運転</v>
      </c>
      <c r="Q1172" s="30" t="n">
        <v>60</v>
      </c>
      <c r="R1172" s="30" t="n">
        <v>52</v>
      </c>
      <c r="S1172" s="30" t="str">
        <f aca="false">IF(Q1172&lt;判定条件!$C$6,"判定不能",IF(R1172&gt;=判定条件!$C$7*Q1172,"運転",IF(R1172&lt;=判定条件!$C$8*Q1172,"停止","断続")))</f>
        <v>運転</v>
      </c>
      <c r="T1172" s="30" t="n">
        <v>60</v>
      </c>
      <c r="U1172" s="30" t="n">
        <v>59</v>
      </c>
      <c r="V1172" s="30" t="str">
        <f aca="false">IF(T1172&lt;判定条件!$C$6,"判定不能",IF(U1172&gt;=判定条件!$C$7*T1172,"運転",IF(U1172&lt;=判定条件!$C$8*T1172,"停止","断続")))</f>
        <v>運転</v>
      </c>
      <c r="W1172" s="30" t="n">
        <v>0</v>
      </c>
      <c r="X1172" s="30" t="n">
        <v>0</v>
      </c>
      <c r="Y1172" s="30" t="str">
        <f aca="false">IF(W1172&lt;判定条件!$C$6,"判定不能",IF(X1172&gt;=判定条件!$C$7*W1172,"運転",IF(X1172&lt;=判定条件!$C$8*W1172,"停止","断続")))</f>
        <v>判定不能</v>
      </c>
      <c r="Z1172" s="30" t="n">
        <v>0</v>
      </c>
      <c r="AA1172" s="30" t="n">
        <v>0</v>
      </c>
      <c r="AB1172" s="30" t="str">
        <f aca="false">IF(Z1172&lt;判定条件!$C$6,"判定不能",IF(AA1172&gt;=判定条件!$C$7*Z1172,"運転",IF(AA1172&lt;=判定条件!$C$8*Z1172,"停止","断続")))</f>
        <v>判定不能</v>
      </c>
      <c r="AC1172" s="30" t="n">
        <v>0</v>
      </c>
      <c r="AD1172" s="30" t="n">
        <v>0</v>
      </c>
      <c r="AE1172" s="30" t="str">
        <f aca="false">IF(AC1172&lt;判定条件!$C$6,"判定不能",IF(AD1172&gt;=判定条件!$C$7*AC1172,"運転",IF(AD1172&lt;=判定条件!$C$8*AC1172,"停止","断続")))</f>
        <v>判定不能</v>
      </c>
      <c r="AF1172" s="30" t="n">
        <v>60</v>
      </c>
      <c r="AG1172" s="30" t="n">
        <v>50</v>
      </c>
      <c r="AH1172" s="30" t="str">
        <f aca="false">IF(OR(P1172="判定不能",G1172="判定不能"),"判定不能",IF(AG1172&gt;=判定条件!$C$9,"利用可",IF(AND(P1172="停止",G1172="停止"),"両方停止","運転がそろわない")))</f>
        <v>利用可</v>
      </c>
      <c r="AI1172" s="30" t="n">
        <v>0</v>
      </c>
      <c r="AJ1172" s="30" t="n">
        <v>0</v>
      </c>
      <c r="AK1172" s="30" t="str">
        <f aca="false">IF(OR(S1172="判定不能",J1172="判定不能"),"判定不能",IF(AJ1172&gt;=判定条件!$C$9,"利用可",IF(AND(S1172="停止",J1172="停止"),"両方停止","運転がそろわない")))</f>
        <v>判定不能</v>
      </c>
      <c r="AL1172" s="30" t="n">
        <v>60</v>
      </c>
      <c r="AM1172" s="30" t="n">
        <v>54</v>
      </c>
      <c r="AN1172" s="30" t="str">
        <f aca="false">IF(OR(V1172="判定不能",M1172="判定不能"),"判定不能",IF(AM1172&gt;=判定条件!$C$9,"利用可",IF(AND(V1172="停止",M1172="停止"),"両方停止","運転がそろわない")))</f>
        <v>利用可</v>
      </c>
      <c r="AO1172" s="30" t="n">
        <v>0</v>
      </c>
      <c r="AP1172" s="30" t="n">
        <v>0</v>
      </c>
      <c r="AQ1172" s="30" t="str">
        <f aca="false">IF(OR(Y1172="判定不能",G1172="判定不能"),"判定不能",IF(AP1172&gt;=判定条件!$C$9,"利用可",IF(AND(Y1172="停止",G1172="停止"),"両方停止","運転がそろわない")))</f>
        <v>判定不能</v>
      </c>
      <c r="AR1172" s="30" t="n">
        <v>0</v>
      </c>
      <c r="AS1172" s="30" t="n">
        <v>0</v>
      </c>
      <c r="AT1172" s="30" t="str">
        <f aca="false">IF(OR(AB1172="判定不能",J1172="判定不能"),"判定不能",IF(AS1172&gt;=判定条件!$C$9,"利用可",IF(AND(AB1172="停止",J1172="停止"),"両方停止","運転がそろわない")))</f>
        <v>判定不能</v>
      </c>
      <c r="AU1172" s="30" t="n">
        <v>0</v>
      </c>
      <c r="AV1172" s="30" t="n">
        <v>0</v>
      </c>
      <c r="AW1172" s="30" t="str">
        <f aca="false">IF(OR(AE1172="判定不能",M1172="判定不能"),"判定不能",IF(AV1172&gt;=判定条件!$C$9,"利用可",IF(AND(AE1172="停止",M1172="停止"),"両方停止","運転がそろわない")))</f>
        <v>判定不能</v>
      </c>
      <c r="AX1172" s="30" t="str">
        <f aca="false">IF(AND(AH1172="利用可",AK1172="利用可",AN1172="利用可"),"利用可","不可")</f>
        <v>不可</v>
      </c>
      <c r="AY1172" s="30" t="str">
        <f aca="false">IF(AND(AQ1172="利用可",AT1172="利用可",AW1172="利用可"),"利用可","不可")</f>
        <v>不可</v>
      </c>
    </row>
    <row r="1173" customFormat="false" ht="15" hidden="false" customHeight="false" outlineLevel="0" collapsed="false">
      <c r="A1173" s="29" t="n">
        <v>46280</v>
      </c>
      <c r="B1173" s="30" t="n">
        <v>18</v>
      </c>
      <c r="C1173" s="31" t="s">
        <v>67</v>
      </c>
      <c r="D1173" s="31" t="s">
        <v>59</v>
      </c>
      <c r="E1173" s="30" t="n">
        <v>60</v>
      </c>
      <c r="F1173" s="30" t="n">
        <v>60</v>
      </c>
      <c r="G1173" s="30" t="str">
        <f aca="false">IF(E1173&lt;判定条件!$C$6,"判定不能",IF(F1173&gt;=判定条件!$C$7*E1173,"運転",IF(F1173&lt;=判定条件!$C$8*E1173,"停止","断続")))</f>
        <v>運転</v>
      </c>
      <c r="H1173" s="30" t="n">
        <v>0</v>
      </c>
      <c r="I1173" s="30" t="n">
        <v>0</v>
      </c>
      <c r="J1173" s="30" t="str">
        <f aca="false">IF(H1173&lt;判定条件!$C$6,"判定不能",IF(I1173&gt;=判定条件!$C$7*H1173,"運転",IF(I1173&lt;=判定条件!$C$8*H1173,"停止","断続")))</f>
        <v>判定不能</v>
      </c>
      <c r="K1173" s="30" t="n">
        <v>60</v>
      </c>
      <c r="L1173" s="30" t="n">
        <v>60</v>
      </c>
      <c r="M1173" s="30" t="str">
        <f aca="false">IF(K1173&lt;判定条件!$C$6,"判定不能",IF(L1173&gt;=判定条件!$C$7*K1173,"運転",IF(L1173&lt;=判定条件!$C$8*K1173,"停止","断続")))</f>
        <v>運転</v>
      </c>
      <c r="N1173" s="30" t="n">
        <v>60</v>
      </c>
      <c r="O1173" s="30" t="n">
        <v>38</v>
      </c>
      <c r="P1173" s="30" t="str">
        <f aca="false">IF(N1173&lt;判定条件!$C$6,"判定不能",IF(O1173&gt;=判定条件!$C$7*N1173,"運転",IF(O1173&lt;=判定条件!$C$8*N1173,"停止","断続")))</f>
        <v>断続</v>
      </c>
      <c r="Q1173" s="30" t="n">
        <v>60</v>
      </c>
      <c r="R1173" s="30" t="n">
        <v>60</v>
      </c>
      <c r="S1173" s="30" t="str">
        <f aca="false">IF(Q1173&lt;判定条件!$C$6,"判定不能",IF(R1173&gt;=判定条件!$C$7*Q1173,"運転",IF(R1173&lt;=判定条件!$C$8*Q1173,"停止","断続")))</f>
        <v>運転</v>
      </c>
      <c r="T1173" s="30" t="n">
        <v>60</v>
      </c>
      <c r="U1173" s="30" t="n">
        <v>21</v>
      </c>
      <c r="V1173" s="30" t="str">
        <f aca="false">IF(T1173&lt;判定条件!$C$6,"判定不能",IF(U1173&gt;=判定条件!$C$7*T1173,"運転",IF(U1173&lt;=判定条件!$C$8*T1173,"停止","断続")))</f>
        <v>断続</v>
      </c>
      <c r="W1173" s="30" t="n">
        <v>0</v>
      </c>
      <c r="X1173" s="30" t="n">
        <v>0</v>
      </c>
      <c r="Y1173" s="30" t="str">
        <f aca="false">IF(W1173&lt;判定条件!$C$6,"判定不能",IF(X1173&gt;=判定条件!$C$7*W1173,"運転",IF(X1173&lt;=判定条件!$C$8*W1173,"停止","断続")))</f>
        <v>判定不能</v>
      </c>
      <c r="Z1173" s="30" t="n">
        <v>0</v>
      </c>
      <c r="AA1173" s="30" t="n">
        <v>0</v>
      </c>
      <c r="AB1173" s="30" t="str">
        <f aca="false">IF(Z1173&lt;判定条件!$C$6,"判定不能",IF(AA1173&gt;=判定条件!$C$7*Z1173,"運転",IF(AA1173&lt;=判定条件!$C$8*Z1173,"停止","断続")))</f>
        <v>判定不能</v>
      </c>
      <c r="AC1173" s="30" t="n">
        <v>0</v>
      </c>
      <c r="AD1173" s="30" t="n">
        <v>0</v>
      </c>
      <c r="AE1173" s="30" t="str">
        <f aca="false">IF(AC1173&lt;判定条件!$C$6,"判定不能",IF(AD1173&gt;=判定条件!$C$7*AC1173,"運転",IF(AD1173&lt;=判定条件!$C$8*AC1173,"停止","断続")))</f>
        <v>判定不能</v>
      </c>
      <c r="AF1173" s="30" t="n">
        <v>60</v>
      </c>
      <c r="AG1173" s="30" t="n">
        <v>38</v>
      </c>
      <c r="AH1173" s="30" t="str">
        <f aca="false">IF(OR(P1173="判定不能",G1173="判定不能"),"判定不能",IF(AG1173&gt;=判定条件!$C$9,"利用可",IF(AND(P1173="停止",G1173="停止"),"両方停止","運転がそろわない")))</f>
        <v>利用可</v>
      </c>
      <c r="AI1173" s="30" t="n">
        <v>0</v>
      </c>
      <c r="AJ1173" s="30" t="n">
        <v>0</v>
      </c>
      <c r="AK1173" s="30" t="str">
        <f aca="false">IF(OR(S1173="判定不能",J1173="判定不能"),"判定不能",IF(AJ1173&gt;=判定条件!$C$9,"利用可",IF(AND(S1173="停止",J1173="停止"),"両方停止","運転がそろわない")))</f>
        <v>判定不能</v>
      </c>
      <c r="AL1173" s="30" t="n">
        <v>60</v>
      </c>
      <c r="AM1173" s="30" t="n">
        <v>21</v>
      </c>
      <c r="AN1173" s="30" t="str">
        <f aca="false">IF(OR(V1173="判定不能",M1173="判定不能"),"判定不能",IF(AM1173&gt;=判定条件!$C$9,"利用可",IF(AND(V1173="停止",M1173="停止"),"両方停止","運転がそろわない")))</f>
        <v>運転がそろわない</v>
      </c>
      <c r="AO1173" s="30" t="n">
        <v>0</v>
      </c>
      <c r="AP1173" s="30" t="n">
        <v>0</v>
      </c>
      <c r="AQ1173" s="30" t="str">
        <f aca="false">IF(OR(Y1173="判定不能",G1173="判定不能"),"判定不能",IF(AP1173&gt;=判定条件!$C$9,"利用可",IF(AND(Y1173="停止",G1173="停止"),"両方停止","運転がそろわない")))</f>
        <v>判定不能</v>
      </c>
      <c r="AR1173" s="30" t="n">
        <v>0</v>
      </c>
      <c r="AS1173" s="30" t="n">
        <v>0</v>
      </c>
      <c r="AT1173" s="30" t="str">
        <f aca="false">IF(OR(AB1173="判定不能",J1173="判定不能"),"判定不能",IF(AS1173&gt;=判定条件!$C$9,"利用可",IF(AND(AB1173="停止",J1173="停止"),"両方停止","運転がそろわない")))</f>
        <v>判定不能</v>
      </c>
      <c r="AU1173" s="30" t="n">
        <v>0</v>
      </c>
      <c r="AV1173" s="30" t="n">
        <v>0</v>
      </c>
      <c r="AW1173" s="30" t="str">
        <f aca="false">IF(OR(AE1173="判定不能",M1173="判定不能"),"判定不能",IF(AV1173&gt;=判定条件!$C$9,"利用可",IF(AND(AE1173="停止",M1173="停止"),"両方停止","運転がそろわない")))</f>
        <v>判定不能</v>
      </c>
      <c r="AX1173" s="30" t="str">
        <f aca="false">IF(AND(AH1173="利用可",AK1173="利用可",AN1173="利用可"),"利用可","不可")</f>
        <v>不可</v>
      </c>
      <c r="AY1173" s="30" t="str">
        <f aca="false">IF(AND(AQ1173="利用可",AT1173="利用可",AW1173="利用可"),"利用可","不可")</f>
        <v>不可</v>
      </c>
    </row>
    <row r="1174" customFormat="false" ht="15" hidden="false" customHeight="false" outlineLevel="0" collapsed="false">
      <c r="A1174" s="29" t="n">
        <v>46280</v>
      </c>
      <c r="B1174" s="30" t="n">
        <v>19</v>
      </c>
      <c r="C1174" s="31" t="s">
        <v>67</v>
      </c>
      <c r="D1174" s="31" t="s">
        <v>59</v>
      </c>
      <c r="E1174" s="30" t="n">
        <v>60</v>
      </c>
      <c r="F1174" s="30" t="n">
        <v>60</v>
      </c>
      <c r="G1174" s="30" t="str">
        <f aca="false">IF(E1174&lt;判定条件!$C$6,"判定不能",IF(F1174&gt;=判定条件!$C$7*E1174,"運転",IF(F1174&lt;=判定条件!$C$8*E1174,"停止","断続")))</f>
        <v>運転</v>
      </c>
      <c r="H1174" s="30" t="n">
        <v>0</v>
      </c>
      <c r="I1174" s="30" t="n">
        <v>0</v>
      </c>
      <c r="J1174" s="30" t="str">
        <f aca="false">IF(H1174&lt;判定条件!$C$6,"判定不能",IF(I1174&gt;=判定条件!$C$7*H1174,"運転",IF(I1174&lt;=判定条件!$C$8*H1174,"停止","断続")))</f>
        <v>判定不能</v>
      </c>
      <c r="K1174" s="30" t="n">
        <v>60</v>
      </c>
      <c r="L1174" s="30" t="n">
        <v>60</v>
      </c>
      <c r="M1174" s="30" t="str">
        <f aca="false">IF(K1174&lt;判定条件!$C$6,"判定不能",IF(L1174&gt;=判定条件!$C$7*K1174,"運転",IF(L1174&lt;=判定条件!$C$8*K1174,"停止","断続")))</f>
        <v>運転</v>
      </c>
      <c r="N1174" s="30" t="n">
        <v>60</v>
      </c>
      <c r="O1174" s="30" t="n">
        <v>35</v>
      </c>
      <c r="P1174" s="30" t="str">
        <f aca="false">IF(N1174&lt;判定条件!$C$6,"判定不能",IF(O1174&gt;=判定条件!$C$7*N1174,"運転",IF(O1174&lt;=判定条件!$C$8*N1174,"停止","断続")))</f>
        <v>断続</v>
      </c>
      <c r="Q1174" s="30" t="n">
        <v>60</v>
      </c>
      <c r="R1174" s="30" t="n">
        <v>15</v>
      </c>
      <c r="S1174" s="30" t="str">
        <f aca="false">IF(Q1174&lt;判定条件!$C$6,"判定不能",IF(R1174&gt;=判定条件!$C$7*Q1174,"運転",IF(R1174&lt;=判定条件!$C$8*Q1174,"停止","断続")))</f>
        <v>断続</v>
      </c>
      <c r="T1174" s="30" t="n">
        <v>60</v>
      </c>
      <c r="U1174" s="30" t="n">
        <v>50</v>
      </c>
      <c r="V1174" s="30" t="str">
        <f aca="false">IF(T1174&lt;判定条件!$C$6,"判定不能",IF(U1174&gt;=判定条件!$C$7*T1174,"運転",IF(U1174&lt;=判定条件!$C$8*T1174,"停止","断続")))</f>
        <v>運転</v>
      </c>
      <c r="W1174" s="30" t="n">
        <v>0</v>
      </c>
      <c r="X1174" s="30" t="n">
        <v>0</v>
      </c>
      <c r="Y1174" s="30" t="str">
        <f aca="false">IF(W1174&lt;判定条件!$C$6,"判定不能",IF(X1174&gt;=判定条件!$C$7*W1174,"運転",IF(X1174&lt;=判定条件!$C$8*W1174,"停止","断続")))</f>
        <v>判定不能</v>
      </c>
      <c r="Z1174" s="30" t="n">
        <v>0</v>
      </c>
      <c r="AA1174" s="30" t="n">
        <v>0</v>
      </c>
      <c r="AB1174" s="30" t="str">
        <f aca="false">IF(Z1174&lt;判定条件!$C$6,"判定不能",IF(AA1174&gt;=判定条件!$C$7*Z1174,"運転",IF(AA1174&lt;=判定条件!$C$8*Z1174,"停止","断続")))</f>
        <v>判定不能</v>
      </c>
      <c r="AC1174" s="30" t="n">
        <v>0</v>
      </c>
      <c r="AD1174" s="30" t="n">
        <v>0</v>
      </c>
      <c r="AE1174" s="30" t="str">
        <f aca="false">IF(AC1174&lt;判定条件!$C$6,"判定不能",IF(AD1174&gt;=判定条件!$C$7*AC1174,"運転",IF(AD1174&lt;=判定条件!$C$8*AC1174,"停止","断続")))</f>
        <v>判定不能</v>
      </c>
      <c r="AF1174" s="30" t="n">
        <v>60</v>
      </c>
      <c r="AG1174" s="30" t="n">
        <v>35</v>
      </c>
      <c r="AH1174" s="30" t="str">
        <f aca="false">IF(OR(P1174="判定不能",G1174="判定不能"),"判定不能",IF(AG1174&gt;=判定条件!$C$9,"利用可",IF(AND(P1174="停止",G1174="停止"),"両方停止","運転がそろわない")))</f>
        <v>利用可</v>
      </c>
      <c r="AI1174" s="30" t="n">
        <v>0</v>
      </c>
      <c r="AJ1174" s="30" t="n">
        <v>0</v>
      </c>
      <c r="AK1174" s="30" t="str">
        <f aca="false">IF(OR(S1174="判定不能",J1174="判定不能"),"判定不能",IF(AJ1174&gt;=判定条件!$C$9,"利用可",IF(AND(S1174="停止",J1174="停止"),"両方停止","運転がそろわない")))</f>
        <v>判定不能</v>
      </c>
      <c r="AL1174" s="30" t="n">
        <v>60</v>
      </c>
      <c r="AM1174" s="30" t="n">
        <v>50</v>
      </c>
      <c r="AN1174" s="30" t="str">
        <f aca="false">IF(OR(V1174="判定不能",M1174="判定不能"),"判定不能",IF(AM1174&gt;=判定条件!$C$9,"利用可",IF(AND(V1174="停止",M1174="停止"),"両方停止","運転がそろわない")))</f>
        <v>利用可</v>
      </c>
      <c r="AO1174" s="30" t="n">
        <v>0</v>
      </c>
      <c r="AP1174" s="30" t="n">
        <v>0</v>
      </c>
      <c r="AQ1174" s="30" t="str">
        <f aca="false">IF(OR(Y1174="判定不能",G1174="判定不能"),"判定不能",IF(AP1174&gt;=判定条件!$C$9,"利用可",IF(AND(Y1174="停止",G1174="停止"),"両方停止","運転がそろわない")))</f>
        <v>判定不能</v>
      </c>
      <c r="AR1174" s="30" t="n">
        <v>0</v>
      </c>
      <c r="AS1174" s="30" t="n">
        <v>0</v>
      </c>
      <c r="AT1174" s="30" t="str">
        <f aca="false">IF(OR(AB1174="判定不能",J1174="判定不能"),"判定不能",IF(AS1174&gt;=判定条件!$C$9,"利用可",IF(AND(AB1174="停止",J1174="停止"),"両方停止","運転がそろわない")))</f>
        <v>判定不能</v>
      </c>
      <c r="AU1174" s="30" t="n">
        <v>0</v>
      </c>
      <c r="AV1174" s="30" t="n">
        <v>0</v>
      </c>
      <c r="AW1174" s="30" t="str">
        <f aca="false">IF(OR(AE1174="判定不能",M1174="判定不能"),"判定不能",IF(AV1174&gt;=判定条件!$C$9,"利用可",IF(AND(AE1174="停止",M1174="停止"),"両方停止","運転がそろわない")))</f>
        <v>判定不能</v>
      </c>
      <c r="AX1174" s="30" t="str">
        <f aca="false">IF(AND(AH1174="利用可",AK1174="利用可",AN1174="利用可"),"利用可","不可")</f>
        <v>不可</v>
      </c>
      <c r="AY1174" s="30" t="str">
        <f aca="false">IF(AND(AQ1174="利用可",AT1174="利用可",AW1174="利用可"),"利用可","不可")</f>
        <v>不可</v>
      </c>
    </row>
    <row r="1175" customFormat="false" ht="15" hidden="false" customHeight="false" outlineLevel="0" collapsed="false">
      <c r="A1175" s="29" t="n">
        <v>46280</v>
      </c>
      <c r="B1175" s="30" t="n">
        <v>20</v>
      </c>
      <c r="C1175" s="31" t="s">
        <v>67</v>
      </c>
      <c r="D1175" s="31" t="s">
        <v>59</v>
      </c>
      <c r="E1175" s="30" t="n">
        <v>60</v>
      </c>
      <c r="F1175" s="30" t="n">
        <v>55</v>
      </c>
      <c r="G1175" s="30" t="str">
        <f aca="false">IF(E1175&lt;判定条件!$C$6,"判定不能",IF(F1175&gt;=判定条件!$C$7*E1175,"運転",IF(F1175&lt;=判定条件!$C$8*E1175,"停止","断続")))</f>
        <v>運転</v>
      </c>
      <c r="H1175" s="30" t="n">
        <v>0</v>
      </c>
      <c r="I1175" s="30" t="n">
        <v>0</v>
      </c>
      <c r="J1175" s="30" t="str">
        <f aca="false">IF(H1175&lt;判定条件!$C$6,"判定不能",IF(I1175&gt;=判定条件!$C$7*H1175,"運転",IF(I1175&lt;=判定条件!$C$8*H1175,"停止","断続")))</f>
        <v>判定不能</v>
      </c>
      <c r="K1175" s="30" t="n">
        <v>60</v>
      </c>
      <c r="L1175" s="30" t="n">
        <v>60</v>
      </c>
      <c r="M1175" s="30" t="str">
        <f aca="false">IF(K1175&lt;判定条件!$C$6,"判定不能",IF(L1175&gt;=判定条件!$C$7*K1175,"運転",IF(L1175&lt;=判定条件!$C$8*K1175,"停止","断続")))</f>
        <v>運転</v>
      </c>
      <c r="N1175" s="30" t="n">
        <v>60</v>
      </c>
      <c r="O1175" s="30" t="n">
        <v>0</v>
      </c>
      <c r="P1175" s="30" t="str">
        <f aca="false">IF(N1175&lt;判定条件!$C$6,"判定不能",IF(O1175&gt;=判定条件!$C$7*N1175,"運転",IF(O1175&lt;=判定条件!$C$8*N1175,"停止","断続")))</f>
        <v>停止</v>
      </c>
      <c r="Q1175" s="30" t="n">
        <v>60</v>
      </c>
      <c r="R1175" s="30" t="n">
        <v>0</v>
      </c>
      <c r="S1175" s="30" t="str">
        <f aca="false">IF(Q1175&lt;判定条件!$C$6,"判定不能",IF(R1175&gt;=判定条件!$C$7*Q1175,"運転",IF(R1175&lt;=判定条件!$C$8*Q1175,"停止","断続")))</f>
        <v>停止</v>
      </c>
      <c r="T1175" s="30" t="n">
        <v>60</v>
      </c>
      <c r="U1175" s="30" t="n">
        <v>50</v>
      </c>
      <c r="V1175" s="30" t="str">
        <f aca="false">IF(T1175&lt;判定条件!$C$6,"判定不能",IF(U1175&gt;=判定条件!$C$7*T1175,"運転",IF(U1175&lt;=判定条件!$C$8*T1175,"停止","断続")))</f>
        <v>運転</v>
      </c>
      <c r="W1175" s="30" t="n">
        <v>0</v>
      </c>
      <c r="X1175" s="30" t="n">
        <v>0</v>
      </c>
      <c r="Y1175" s="30" t="str">
        <f aca="false">IF(W1175&lt;判定条件!$C$6,"判定不能",IF(X1175&gt;=判定条件!$C$7*W1175,"運転",IF(X1175&lt;=判定条件!$C$8*W1175,"停止","断続")))</f>
        <v>判定不能</v>
      </c>
      <c r="Z1175" s="30" t="n">
        <v>0</v>
      </c>
      <c r="AA1175" s="30" t="n">
        <v>0</v>
      </c>
      <c r="AB1175" s="30" t="str">
        <f aca="false">IF(Z1175&lt;判定条件!$C$6,"判定不能",IF(AA1175&gt;=判定条件!$C$7*Z1175,"運転",IF(AA1175&lt;=判定条件!$C$8*Z1175,"停止","断続")))</f>
        <v>判定不能</v>
      </c>
      <c r="AC1175" s="30" t="n">
        <v>0</v>
      </c>
      <c r="AD1175" s="30" t="n">
        <v>0</v>
      </c>
      <c r="AE1175" s="30" t="str">
        <f aca="false">IF(AC1175&lt;判定条件!$C$6,"判定不能",IF(AD1175&gt;=判定条件!$C$7*AC1175,"運転",IF(AD1175&lt;=判定条件!$C$8*AC1175,"停止","断続")))</f>
        <v>判定不能</v>
      </c>
      <c r="AF1175" s="30" t="n">
        <v>60</v>
      </c>
      <c r="AG1175" s="30" t="n">
        <v>0</v>
      </c>
      <c r="AH1175" s="30" t="str">
        <f aca="false">IF(OR(P1175="判定不能",G1175="判定不能"),"判定不能",IF(AG1175&gt;=判定条件!$C$9,"利用可",IF(AND(P1175="停止",G1175="停止"),"両方停止","運転がそろわない")))</f>
        <v>運転がそろわない</v>
      </c>
      <c r="AI1175" s="30" t="n">
        <v>0</v>
      </c>
      <c r="AJ1175" s="30" t="n">
        <v>0</v>
      </c>
      <c r="AK1175" s="30" t="str">
        <f aca="false">IF(OR(S1175="判定不能",J1175="判定不能"),"判定不能",IF(AJ1175&gt;=判定条件!$C$9,"利用可",IF(AND(S1175="停止",J1175="停止"),"両方停止","運転がそろわない")))</f>
        <v>判定不能</v>
      </c>
      <c r="AL1175" s="30" t="n">
        <v>60</v>
      </c>
      <c r="AM1175" s="30" t="n">
        <v>50</v>
      </c>
      <c r="AN1175" s="30" t="str">
        <f aca="false">IF(OR(V1175="判定不能",M1175="判定不能"),"判定不能",IF(AM1175&gt;=判定条件!$C$9,"利用可",IF(AND(V1175="停止",M1175="停止"),"両方停止","運転がそろわない")))</f>
        <v>利用可</v>
      </c>
      <c r="AO1175" s="30" t="n">
        <v>0</v>
      </c>
      <c r="AP1175" s="30" t="n">
        <v>0</v>
      </c>
      <c r="AQ1175" s="30" t="str">
        <f aca="false">IF(OR(Y1175="判定不能",G1175="判定不能"),"判定不能",IF(AP1175&gt;=判定条件!$C$9,"利用可",IF(AND(Y1175="停止",G1175="停止"),"両方停止","運転がそろわない")))</f>
        <v>判定不能</v>
      </c>
      <c r="AR1175" s="30" t="n">
        <v>0</v>
      </c>
      <c r="AS1175" s="30" t="n">
        <v>0</v>
      </c>
      <c r="AT1175" s="30" t="str">
        <f aca="false">IF(OR(AB1175="判定不能",J1175="判定不能"),"判定不能",IF(AS1175&gt;=判定条件!$C$9,"利用可",IF(AND(AB1175="停止",J1175="停止"),"両方停止","運転がそろわない")))</f>
        <v>判定不能</v>
      </c>
      <c r="AU1175" s="30" t="n">
        <v>0</v>
      </c>
      <c r="AV1175" s="30" t="n">
        <v>0</v>
      </c>
      <c r="AW1175" s="30" t="str">
        <f aca="false">IF(OR(AE1175="判定不能",M1175="判定不能"),"判定不能",IF(AV1175&gt;=判定条件!$C$9,"利用可",IF(AND(AE1175="停止",M1175="停止"),"両方停止","運転がそろわない")))</f>
        <v>判定不能</v>
      </c>
      <c r="AX1175" s="30" t="str">
        <f aca="false">IF(AND(AH1175="利用可",AK1175="利用可",AN1175="利用可"),"利用可","不可")</f>
        <v>不可</v>
      </c>
      <c r="AY1175" s="30" t="str">
        <f aca="false">IF(AND(AQ1175="利用可",AT1175="利用可",AW1175="利用可"),"利用可","不可")</f>
        <v>不可</v>
      </c>
    </row>
    <row r="1176" customFormat="false" ht="15" hidden="false" customHeight="false" outlineLevel="0" collapsed="false">
      <c r="A1176" s="29" t="n">
        <v>46280</v>
      </c>
      <c r="B1176" s="30" t="n">
        <v>21</v>
      </c>
      <c r="C1176" s="31" t="s">
        <v>67</v>
      </c>
      <c r="D1176" s="31" t="s">
        <v>59</v>
      </c>
      <c r="E1176" s="30" t="n">
        <v>60</v>
      </c>
      <c r="F1176" s="30" t="n">
        <v>24</v>
      </c>
      <c r="G1176" s="30" t="str">
        <f aca="false">IF(E1176&lt;判定条件!$C$6,"判定不能",IF(F1176&gt;=判定条件!$C$7*E1176,"運転",IF(F1176&lt;=判定条件!$C$8*E1176,"停止","断続")))</f>
        <v>断続</v>
      </c>
      <c r="H1176" s="30" t="n">
        <v>0</v>
      </c>
      <c r="I1176" s="30" t="n">
        <v>0</v>
      </c>
      <c r="J1176" s="30" t="str">
        <f aca="false">IF(H1176&lt;判定条件!$C$6,"判定不能",IF(I1176&gt;=判定条件!$C$7*H1176,"運転",IF(I1176&lt;=判定条件!$C$8*H1176,"停止","断続")))</f>
        <v>判定不能</v>
      </c>
      <c r="K1176" s="30" t="n">
        <v>60</v>
      </c>
      <c r="L1176" s="30" t="n">
        <v>10</v>
      </c>
      <c r="M1176" s="30" t="str">
        <f aca="false">IF(K1176&lt;判定条件!$C$6,"判定不能",IF(L1176&gt;=判定条件!$C$7*K1176,"運転",IF(L1176&lt;=判定条件!$C$8*K1176,"停止","断続")))</f>
        <v>停止</v>
      </c>
      <c r="N1176" s="30" t="n">
        <v>60</v>
      </c>
      <c r="O1176" s="30" t="n">
        <v>11</v>
      </c>
      <c r="P1176" s="30" t="str">
        <f aca="false">IF(N1176&lt;判定条件!$C$6,"判定不能",IF(O1176&gt;=判定条件!$C$7*N1176,"運転",IF(O1176&lt;=判定条件!$C$8*N1176,"停止","断続")))</f>
        <v>停止</v>
      </c>
      <c r="Q1176" s="30" t="n">
        <v>60</v>
      </c>
      <c r="R1176" s="30" t="n">
        <v>0</v>
      </c>
      <c r="S1176" s="30" t="str">
        <f aca="false">IF(Q1176&lt;判定条件!$C$6,"判定不能",IF(R1176&gt;=判定条件!$C$7*Q1176,"運転",IF(R1176&lt;=判定条件!$C$8*Q1176,"停止","断続")))</f>
        <v>停止</v>
      </c>
      <c r="T1176" s="30" t="n">
        <v>60</v>
      </c>
      <c r="U1176" s="30" t="n">
        <v>0</v>
      </c>
      <c r="V1176" s="30" t="str">
        <f aca="false">IF(T1176&lt;判定条件!$C$6,"判定不能",IF(U1176&gt;=判定条件!$C$7*T1176,"運転",IF(U1176&lt;=判定条件!$C$8*T1176,"停止","断続")))</f>
        <v>停止</v>
      </c>
      <c r="W1176" s="30" t="n">
        <v>0</v>
      </c>
      <c r="X1176" s="30" t="n">
        <v>0</v>
      </c>
      <c r="Y1176" s="30" t="str">
        <f aca="false">IF(W1176&lt;判定条件!$C$6,"判定不能",IF(X1176&gt;=判定条件!$C$7*W1176,"運転",IF(X1176&lt;=判定条件!$C$8*W1176,"停止","断続")))</f>
        <v>判定不能</v>
      </c>
      <c r="Z1176" s="30" t="n">
        <v>0</v>
      </c>
      <c r="AA1176" s="30" t="n">
        <v>0</v>
      </c>
      <c r="AB1176" s="30" t="str">
        <f aca="false">IF(Z1176&lt;判定条件!$C$6,"判定不能",IF(AA1176&gt;=判定条件!$C$7*Z1176,"運転",IF(AA1176&lt;=判定条件!$C$8*Z1176,"停止","断続")))</f>
        <v>判定不能</v>
      </c>
      <c r="AC1176" s="30" t="n">
        <v>0</v>
      </c>
      <c r="AD1176" s="30" t="n">
        <v>0</v>
      </c>
      <c r="AE1176" s="30" t="str">
        <f aca="false">IF(AC1176&lt;判定条件!$C$6,"判定不能",IF(AD1176&gt;=判定条件!$C$7*AC1176,"運転",IF(AD1176&lt;=判定条件!$C$8*AC1176,"停止","断続")))</f>
        <v>判定不能</v>
      </c>
      <c r="AF1176" s="30" t="n">
        <v>60</v>
      </c>
      <c r="AG1176" s="30" t="n">
        <v>0</v>
      </c>
      <c r="AH1176" s="30" t="str">
        <f aca="false">IF(OR(P1176="判定不能",G1176="判定不能"),"判定不能",IF(AG1176&gt;=判定条件!$C$9,"利用可",IF(AND(P1176="停止",G1176="停止"),"両方停止","運転がそろわない")))</f>
        <v>運転がそろわない</v>
      </c>
      <c r="AI1176" s="30" t="n">
        <v>0</v>
      </c>
      <c r="AJ1176" s="30" t="n">
        <v>0</v>
      </c>
      <c r="AK1176" s="30" t="str">
        <f aca="false">IF(OR(S1176="判定不能",J1176="判定不能"),"判定不能",IF(AJ1176&gt;=判定条件!$C$9,"利用可",IF(AND(S1176="停止",J1176="停止"),"両方停止","運転がそろわない")))</f>
        <v>判定不能</v>
      </c>
      <c r="AL1176" s="30" t="n">
        <v>60</v>
      </c>
      <c r="AM1176" s="30" t="n">
        <v>0</v>
      </c>
      <c r="AN1176" s="30" t="str">
        <f aca="false">IF(OR(V1176="判定不能",M1176="判定不能"),"判定不能",IF(AM1176&gt;=判定条件!$C$9,"利用可",IF(AND(V1176="停止",M1176="停止"),"両方停止","運転がそろわない")))</f>
        <v>両方停止</v>
      </c>
      <c r="AO1176" s="30" t="n">
        <v>0</v>
      </c>
      <c r="AP1176" s="30" t="n">
        <v>0</v>
      </c>
      <c r="AQ1176" s="30" t="str">
        <f aca="false">IF(OR(Y1176="判定不能",G1176="判定不能"),"判定不能",IF(AP1176&gt;=判定条件!$C$9,"利用可",IF(AND(Y1176="停止",G1176="停止"),"両方停止","運転がそろわない")))</f>
        <v>判定不能</v>
      </c>
      <c r="AR1176" s="30" t="n">
        <v>0</v>
      </c>
      <c r="AS1176" s="30" t="n">
        <v>0</v>
      </c>
      <c r="AT1176" s="30" t="str">
        <f aca="false">IF(OR(AB1176="判定不能",J1176="判定不能"),"判定不能",IF(AS1176&gt;=判定条件!$C$9,"利用可",IF(AND(AB1176="停止",J1176="停止"),"両方停止","運転がそろわない")))</f>
        <v>判定不能</v>
      </c>
      <c r="AU1176" s="30" t="n">
        <v>0</v>
      </c>
      <c r="AV1176" s="30" t="n">
        <v>0</v>
      </c>
      <c r="AW1176" s="30" t="str">
        <f aca="false">IF(OR(AE1176="判定不能",M1176="判定不能"),"判定不能",IF(AV1176&gt;=判定条件!$C$9,"利用可",IF(AND(AE1176="停止",M1176="停止"),"両方停止","運転がそろわない")))</f>
        <v>判定不能</v>
      </c>
      <c r="AX1176" s="30" t="str">
        <f aca="false">IF(AND(AH1176="利用可",AK1176="利用可",AN1176="利用可"),"利用可","不可")</f>
        <v>不可</v>
      </c>
      <c r="AY1176" s="30" t="str">
        <f aca="false">IF(AND(AQ1176="利用可",AT1176="利用可",AW1176="利用可"),"利用可","不可")</f>
        <v>不可</v>
      </c>
    </row>
    <row r="1177" customFormat="false" ht="15" hidden="false" customHeight="false" outlineLevel="0" collapsed="false">
      <c r="A1177" s="29" t="n">
        <v>46280</v>
      </c>
      <c r="B1177" s="30" t="n">
        <v>22</v>
      </c>
      <c r="C1177" s="31" t="s">
        <v>67</v>
      </c>
      <c r="D1177" s="31" t="s">
        <v>59</v>
      </c>
      <c r="E1177" s="30" t="n">
        <v>60</v>
      </c>
      <c r="F1177" s="30" t="n">
        <v>0</v>
      </c>
      <c r="G1177" s="30" t="str">
        <f aca="false">IF(E1177&lt;判定条件!$C$6,"判定不能",IF(F1177&gt;=判定条件!$C$7*E1177,"運転",IF(F1177&lt;=判定条件!$C$8*E1177,"停止","断続")))</f>
        <v>停止</v>
      </c>
      <c r="H1177" s="30" t="n">
        <v>0</v>
      </c>
      <c r="I1177" s="30" t="n">
        <v>0</v>
      </c>
      <c r="J1177" s="30" t="str">
        <f aca="false">IF(H1177&lt;判定条件!$C$6,"判定不能",IF(I1177&gt;=判定条件!$C$7*H1177,"運転",IF(I1177&lt;=判定条件!$C$8*H1177,"停止","断続")))</f>
        <v>判定不能</v>
      </c>
      <c r="K1177" s="30" t="n">
        <v>60</v>
      </c>
      <c r="L1177" s="30" t="n">
        <v>0</v>
      </c>
      <c r="M1177" s="30" t="str">
        <f aca="false">IF(K1177&lt;判定条件!$C$6,"判定不能",IF(L1177&gt;=判定条件!$C$7*K1177,"運転",IF(L1177&lt;=判定条件!$C$8*K1177,"停止","断続")))</f>
        <v>停止</v>
      </c>
      <c r="N1177" s="30" t="n">
        <v>60</v>
      </c>
      <c r="O1177" s="30" t="n">
        <v>20</v>
      </c>
      <c r="P1177" s="30" t="str">
        <f aca="false">IF(N1177&lt;判定条件!$C$6,"判定不能",IF(O1177&gt;=判定条件!$C$7*N1177,"運転",IF(O1177&lt;=判定条件!$C$8*N1177,"停止","断続")))</f>
        <v>断続</v>
      </c>
      <c r="Q1177" s="30" t="n">
        <v>60</v>
      </c>
      <c r="R1177" s="30" t="n">
        <v>0</v>
      </c>
      <c r="S1177" s="30" t="str">
        <f aca="false">IF(Q1177&lt;判定条件!$C$6,"判定不能",IF(R1177&gt;=判定条件!$C$7*Q1177,"運転",IF(R1177&lt;=判定条件!$C$8*Q1177,"停止","断続")))</f>
        <v>停止</v>
      </c>
      <c r="T1177" s="30" t="n">
        <v>60</v>
      </c>
      <c r="U1177" s="30" t="n">
        <v>0</v>
      </c>
      <c r="V1177" s="30" t="str">
        <f aca="false">IF(T1177&lt;判定条件!$C$6,"判定不能",IF(U1177&gt;=判定条件!$C$7*T1177,"運転",IF(U1177&lt;=判定条件!$C$8*T1177,"停止","断続")))</f>
        <v>停止</v>
      </c>
      <c r="W1177" s="30" t="n">
        <v>0</v>
      </c>
      <c r="X1177" s="30" t="n">
        <v>0</v>
      </c>
      <c r="Y1177" s="30" t="str">
        <f aca="false">IF(W1177&lt;判定条件!$C$6,"判定不能",IF(X1177&gt;=判定条件!$C$7*W1177,"運転",IF(X1177&lt;=判定条件!$C$8*W1177,"停止","断続")))</f>
        <v>判定不能</v>
      </c>
      <c r="Z1177" s="30" t="n">
        <v>0</v>
      </c>
      <c r="AA1177" s="30" t="n">
        <v>0</v>
      </c>
      <c r="AB1177" s="30" t="str">
        <f aca="false">IF(Z1177&lt;判定条件!$C$6,"判定不能",IF(AA1177&gt;=判定条件!$C$7*Z1177,"運転",IF(AA1177&lt;=判定条件!$C$8*Z1177,"停止","断続")))</f>
        <v>判定不能</v>
      </c>
      <c r="AC1177" s="30" t="n">
        <v>0</v>
      </c>
      <c r="AD1177" s="30" t="n">
        <v>0</v>
      </c>
      <c r="AE1177" s="30" t="str">
        <f aca="false">IF(AC1177&lt;判定条件!$C$6,"判定不能",IF(AD1177&gt;=判定条件!$C$7*AC1177,"運転",IF(AD1177&lt;=判定条件!$C$8*AC1177,"停止","断続")))</f>
        <v>判定不能</v>
      </c>
      <c r="AF1177" s="30" t="n">
        <v>60</v>
      </c>
      <c r="AG1177" s="30" t="n">
        <v>0</v>
      </c>
      <c r="AH1177" s="30" t="str">
        <f aca="false">IF(OR(P1177="判定不能",G1177="判定不能"),"判定不能",IF(AG1177&gt;=判定条件!$C$9,"利用可",IF(AND(P1177="停止",G1177="停止"),"両方停止","運転がそろわない")))</f>
        <v>運転がそろわない</v>
      </c>
      <c r="AI1177" s="30" t="n">
        <v>0</v>
      </c>
      <c r="AJ1177" s="30" t="n">
        <v>0</v>
      </c>
      <c r="AK1177" s="30" t="str">
        <f aca="false">IF(OR(S1177="判定不能",J1177="判定不能"),"判定不能",IF(AJ1177&gt;=判定条件!$C$9,"利用可",IF(AND(S1177="停止",J1177="停止"),"両方停止","運転がそろわない")))</f>
        <v>判定不能</v>
      </c>
      <c r="AL1177" s="30" t="n">
        <v>60</v>
      </c>
      <c r="AM1177" s="30" t="n">
        <v>0</v>
      </c>
      <c r="AN1177" s="30" t="str">
        <f aca="false">IF(OR(V1177="判定不能",M1177="判定不能"),"判定不能",IF(AM1177&gt;=判定条件!$C$9,"利用可",IF(AND(V1177="停止",M1177="停止"),"両方停止","運転がそろわない")))</f>
        <v>両方停止</v>
      </c>
      <c r="AO1177" s="30" t="n">
        <v>0</v>
      </c>
      <c r="AP1177" s="30" t="n">
        <v>0</v>
      </c>
      <c r="AQ1177" s="30" t="str">
        <f aca="false">IF(OR(Y1177="判定不能",G1177="判定不能"),"判定不能",IF(AP1177&gt;=判定条件!$C$9,"利用可",IF(AND(Y1177="停止",G1177="停止"),"両方停止","運転がそろわない")))</f>
        <v>判定不能</v>
      </c>
      <c r="AR1177" s="30" t="n">
        <v>0</v>
      </c>
      <c r="AS1177" s="30" t="n">
        <v>0</v>
      </c>
      <c r="AT1177" s="30" t="str">
        <f aca="false">IF(OR(AB1177="判定不能",J1177="判定不能"),"判定不能",IF(AS1177&gt;=判定条件!$C$9,"利用可",IF(AND(AB1177="停止",J1177="停止"),"両方停止","運転がそろわない")))</f>
        <v>判定不能</v>
      </c>
      <c r="AU1177" s="30" t="n">
        <v>0</v>
      </c>
      <c r="AV1177" s="30" t="n">
        <v>0</v>
      </c>
      <c r="AW1177" s="30" t="str">
        <f aca="false">IF(OR(AE1177="判定不能",M1177="判定不能"),"判定不能",IF(AV1177&gt;=判定条件!$C$9,"利用可",IF(AND(AE1177="停止",M1177="停止"),"両方停止","運転がそろわない")))</f>
        <v>判定不能</v>
      </c>
      <c r="AX1177" s="30" t="str">
        <f aca="false">IF(AND(AH1177="利用可",AK1177="利用可",AN1177="利用可"),"利用可","不可")</f>
        <v>不可</v>
      </c>
      <c r="AY1177" s="30" t="str">
        <f aca="false">IF(AND(AQ1177="利用可",AT1177="利用可",AW1177="利用可"),"利用可","不可")</f>
        <v>不可</v>
      </c>
    </row>
    <row r="1178" customFormat="false" ht="15" hidden="false" customHeight="false" outlineLevel="0" collapsed="false">
      <c r="A1178" s="29" t="n">
        <v>46280</v>
      </c>
      <c r="B1178" s="30" t="n">
        <v>23</v>
      </c>
      <c r="C1178" s="31" t="s">
        <v>67</v>
      </c>
      <c r="D1178" s="31" t="s">
        <v>59</v>
      </c>
      <c r="E1178" s="30" t="n">
        <v>60</v>
      </c>
      <c r="F1178" s="30" t="n">
        <v>0</v>
      </c>
      <c r="G1178" s="30" t="str">
        <f aca="false">IF(E1178&lt;判定条件!$C$6,"判定不能",IF(F1178&gt;=判定条件!$C$7*E1178,"運転",IF(F1178&lt;=判定条件!$C$8*E1178,"停止","断続")))</f>
        <v>停止</v>
      </c>
      <c r="H1178" s="30" t="n">
        <v>0</v>
      </c>
      <c r="I1178" s="30" t="n">
        <v>0</v>
      </c>
      <c r="J1178" s="30" t="str">
        <f aca="false">IF(H1178&lt;判定条件!$C$6,"判定不能",IF(I1178&gt;=判定条件!$C$7*H1178,"運転",IF(I1178&lt;=判定条件!$C$8*H1178,"停止","断続")))</f>
        <v>判定不能</v>
      </c>
      <c r="K1178" s="30" t="n">
        <v>60</v>
      </c>
      <c r="L1178" s="30" t="n">
        <v>0</v>
      </c>
      <c r="M1178" s="30" t="str">
        <f aca="false">IF(K1178&lt;判定条件!$C$6,"判定不能",IF(L1178&gt;=判定条件!$C$7*K1178,"運転",IF(L1178&lt;=判定条件!$C$8*K1178,"停止","断続")))</f>
        <v>停止</v>
      </c>
      <c r="N1178" s="30" t="n">
        <v>60</v>
      </c>
      <c r="O1178" s="30" t="n">
        <v>0</v>
      </c>
      <c r="P1178" s="30" t="str">
        <f aca="false">IF(N1178&lt;判定条件!$C$6,"判定不能",IF(O1178&gt;=判定条件!$C$7*N1178,"運転",IF(O1178&lt;=判定条件!$C$8*N1178,"停止","断続")))</f>
        <v>停止</v>
      </c>
      <c r="Q1178" s="30" t="n">
        <v>60</v>
      </c>
      <c r="R1178" s="30" t="n">
        <v>0</v>
      </c>
      <c r="S1178" s="30" t="str">
        <f aca="false">IF(Q1178&lt;判定条件!$C$6,"判定不能",IF(R1178&gt;=判定条件!$C$7*Q1178,"運転",IF(R1178&lt;=判定条件!$C$8*Q1178,"停止","断続")))</f>
        <v>停止</v>
      </c>
      <c r="T1178" s="30" t="n">
        <v>60</v>
      </c>
      <c r="U1178" s="30" t="n">
        <v>0</v>
      </c>
      <c r="V1178" s="30" t="str">
        <f aca="false">IF(T1178&lt;判定条件!$C$6,"判定不能",IF(U1178&gt;=判定条件!$C$7*T1178,"運転",IF(U1178&lt;=判定条件!$C$8*T1178,"停止","断続")))</f>
        <v>停止</v>
      </c>
      <c r="W1178" s="30" t="n">
        <v>0</v>
      </c>
      <c r="X1178" s="30" t="n">
        <v>0</v>
      </c>
      <c r="Y1178" s="30" t="str">
        <f aca="false">IF(W1178&lt;判定条件!$C$6,"判定不能",IF(X1178&gt;=判定条件!$C$7*W1178,"運転",IF(X1178&lt;=判定条件!$C$8*W1178,"停止","断続")))</f>
        <v>判定不能</v>
      </c>
      <c r="Z1178" s="30" t="n">
        <v>0</v>
      </c>
      <c r="AA1178" s="30" t="n">
        <v>0</v>
      </c>
      <c r="AB1178" s="30" t="str">
        <f aca="false">IF(Z1178&lt;判定条件!$C$6,"判定不能",IF(AA1178&gt;=判定条件!$C$7*Z1178,"運転",IF(AA1178&lt;=判定条件!$C$8*Z1178,"停止","断続")))</f>
        <v>判定不能</v>
      </c>
      <c r="AC1178" s="30" t="n">
        <v>0</v>
      </c>
      <c r="AD1178" s="30" t="n">
        <v>0</v>
      </c>
      <c r="AE1178" s="30" t="str">
        <f aca="false">IF(AC1178&lt;判定条件!$C$6,"判定不能",IF(AD1178&gt;=判定条件!$C$7*AC1178,"運転",IF(AD1178&lt;=判定条件!$C$8*AC1178,"停止","断続")))</f>
        <v>判定不能</v>
      </c>
      <c r="AF1178" s="30" t="n">
        <v>60</v>
      </c>
      <c r="AG1178" s="30" t="n">
        <v>0</v>
      </c>
      <c r="AH1178" s="30" t="str">
        <f aca="false">IF(OR(P1178="判定不能",G1178="判定不能"),"判定不能",IF(AG1178&gt;=判定条件!$C$9,"利用可",IF(AND(P1178="停止",G1178="停止"),"両方停止","運転がそろわない")))</f>
        <v>両方停止</v>
      </c>
      <c r="AI1178" s="30" t="n">
        <v>0</v>
      </c>
      <c r="AJ1178" s="30" t="n">
        <v>0</v>
      </c>
      <c r="AK1178" s="30" t="str">
        <f aca="false">IF(OR(S1178="判定不能",J1178="判定不能"),"判定不能",IF(AJ1178&gt;=判定条件!$C$9,"利用可",IF(AND(S1178="停止",J1178="停止"),"両方停止","運転がそろわない")))</f>
        <v>判定不能</v>
      </c>
      <c r="AL1178" s="30" t="n">
        <v>60</v>
      </c>
      <c r="AM1178" s="30" t="n">
        <v>0</v>
      </c>
      <c r="AN1178" s="30" t="str">
        <f aca="false">IF(OR(V1178="判定不能",M1178="判定不能"),"判定不能",IF(AM1178&gt;=判定条件!$C$9,"利用可",IF(AND(V1178="停止",M1178="停止"),"両方停止","運転がそろわない")))</f>
        <v>両方停止</v>
      </c>
      <c r="AO1178" s="30" t="n">
        <v>0</v>
      </c>
      <c r="AP1178" s="30" t="n">
        <v>0</v>
      </c>
      <c r="AQ1178" s="30" t="str">
        <f aca="false">IF(OR(Y1178="判定不能",G1178="判定不能"),"判定不能",IF(AP1178&gt;=判定条件!$C$9,"利用可",IF(AND(Y1178="停止",G1178="停止"),"両方停止","運転がそろわない")))</f>
        <v>判定不能</v>
      </c>
      <c r="AR1178" s="30" t="n">
        <v>0</v>
      </c>
      <c r="AS1178" s="30" t="n">
        <v>0</v>
      </c>
      <c r="AT1178" s="30" t="str">
        <f aca="false">IF(OR(AB1178="判定不能",J1178="判定不能"),"判定不能",IF(AS1178&gt;=判定条件!$C$9,"利用可",IF(AND(AB1178="停止",J1178="停止"),"両方停止","運転がそろわない")))</f>
        <v>判定不能</v>
      </c>
      <c r="AU1178" s="30" t="n">
        <v>0</v>
      </c>
      <c r="AV1178" s="30" t="n">
        <v>0</v>
      </c>
      <c r="AW1178" s="30" t="str">
        <f aca="false">IF(OR(AE1178="判定不能",M1178="判定不能"),"判定不能",IF(AV1178&gt;=判定条件!$C$9,"利用可",IF(AND(AE1178="停止",M1178="停止"),"両方停止","運転がそろわない")))</f>
        <v>判定不能</v>
      </c>
      <c r="AX1178" s="30" t="str">
        <f aca="false">IF(AND(AH1178="利用可",AK1178="利用可",AN1178="利用可"),"利用可","不可")</f>
        <v>不可</v>
      </c>
      <c r="AY1178" s="30" t="str">
        <f aca="false">IF(AND(AQ1178="利用可",AT1178="利用可",AW1178="利用可"),"利用可","不可")</f>
        <v>不可</v>
      </c>
    </row>
    <row r="1179" customFormat="false" ht="15" hidden="false" customHeight="false" outlineLevel="0" collapsed="false">
      <c r="A1179" s="29" t="n">
        <v>46281</v>
      </c>
      <c r="B1179" s="30" t="n">
        <v>0</v>
      </c>
      <c r="C1179" s="31" t="s">
        <v>58</v>
      </c>
      <c r="D1179" s="31" t="s">
        <v>59</v>
      </c>
      <c r="E1179" s="30" t="n">
        <v>60</v>
      </c>
      <c r="F1179" s="30" t="n">
        <v>0</v>
      </c>
      <c r="G1179" s="30" t="str">
        <f aca="false">IF(E1179&lt;判定条件!$C$6,"判定不能",IF(F1179&gt;=判定条件!$C$7*E1179,"運転",IF(F1179&lt;=判定条件!$C$8*E1179,"停止","断続")))</f>
        <v>停止</v>
      </c>
      <c r="H1179" s="30" t="n">
        <v>0</v>
      </c>
      <c r="I1179" s="30" t="n">
        <v>0</v>
      </c>
      <c r="J1179" s="30" t="str">
        <f aca="false">IF(H1179&lt;判定条件!$C$6,"判定不能",IF(I1179&gt;=判定条件!$C$7*H1179,"運転",IF(I1179&lt;=判定条件!$C$8*H1179,"停止","断続")))</f>
        <v>判定不能</v>
      </c>
      <c r="K1179" s="30" t="n">
        <v>60</v>
      </c>
      <c r="L1179" s="30" t="n">
        <v>0</v>
      </c>
      <c r="M1179" s="30" t="str">
        <f aca="false">IF(K1179&lt;判定条件!$C$6,"判定不能",IF(L1179&gt;=判定条件!$C$7*K1179,"運転",IF(L1179&lt;=判定条件!$C$8*K1179,"停止","断続")))</f>
        <v>停止</v>
      </c>
      <c r="N1179" s="30" t="n">
        <v>60</v>
      </c>
      <c r="O1179" s="30" t="n">
        <v>0</v>
      </c>
      <c r="P1179" s="30" t="str">
        <f aca="false">IF(N1179&lt;判定条件!$C$6,"判定不能",IF(O1179&gt;=判定条件!$C$7*N1179,"運転",IF(O1179&lt;=判定条件!$C$8*N1179,"停止","断続")))</f>
        <v>停止</v>
      </c>
      <c r="Q1179" s="30" t="n">
        <v>60</v>
      </c>
      <c r="R1179" s="30" t="n">
        <v>0</v>
      </c>
      <c r="S1179" s="30" t="str">
        <f aca="false">IF(Q1179&lt;判定条件!$C$6,"判定不能",IF(R1179&gt;=判定条件!$C$7*Q1179,"運転",IF(R1179&lt;=判定条件!$C$8*Q1179,"停止","断続")))</f>
        <v>停止</v>
      </c>
      <c r="T1179" s="30" t="n">
        <v>60</v>
      </c>
      <c r="U1179" s="30" t="n">
        <v>0</v>
      </c>
      <c r="V1179" s="30" t="str">
        <f aca="false">IF(T1179&lt;判定条件!$C$6,"判定不能",IF(U1179&gt;=判定条件!$C$7*T1179,"運転",IF(U1179&lt;=判定条件!$C$8*T1179,"停止","断続")))</f>
        <v>停止</v>
      </c>
      <c r="W1179" s="30" t="n">
        <v>0</v>
      </c>
      <c r="X1179" s="30" t="n">
        <v>0</v>
      </c>
      <c r="Y1179" s="30" t="str">
        <f aca="false">IF(W1179&lt;判定条件!$C$6,"判定不能",IF(X1179&gt;=判定条件!$C$7*W1179,"運転",IF(X1179&lt;=判定条件!$C$8*W1179,"停止","断続")))</f>
        <v>判定不能</v>
      </c>
      <c r="Z1179" s="30" t="n">
        <v>0</v>
      </c>
      <c r="AA1179" s="30" t="n">
        <v>0</v>
      </c>
      <c r="AB1179" s="30" t="str">
        <f aca="false">IF(Z1179&lt;判定条件!$C$6,"判定不能",IF(AA1179&gt;=判定条件!$C$7*Z1179,"運転",IF(AA1179&lt;=判定条件!$C$8*Z1179,"停止","断続")))</f>
        <v>判定不能</v>
      </c>
      <c r="AC1179" s="30" t="n">
        <v>0</v>
      </c>
      <c r="AD1179" s="30" t="n">
        <v>0</v>
      </c>
      <c r="AE1179" s="30" t="str">
        <f aca="false">IF(AC1179&lt;判定条件!$C$6,"判定不能",IF(AD1179&gt;=判定条件!$C$7*AC1179,"運転",IF(AD1179&lt;=判定条件!$C$8*AC1179,"停止","断続")))</f>
        <v>判定不能</v>
      </c>
      <c r="AF1179" s="30" t="n">
        <v>60</v>
      </c>
      <c r="AG1179" s="30" t="n">
        <v>0</v>
      </c>
      <c r="AH1179" s="30" t="str">
        <f aca="false">IF(OR(P1179="判定不能",G1179="判定不能"),"判定不能",IF(AG1179&gt;=判定条件!$C$9,"利用可",IF(AND(P1179="停止",G1179="停止"),"両方停止","運転がそろわない")))</f>
        <v>両方停止</v>
      </c>
      <c r="AI1179" s="30" t="n">
        <v>0</v>
      </c>
      <c r="AJ1179" s="30" t="n">
        <v>0</v>
      </c>
      <c r="AK1179" s="30" t="str">
        <f aca="false">IF(OR(S1179="判定不能",J1179="判定不能"),"判定不能",IF(AJ1179&gt;=判定条件!$C$9,"利用可",IF(AND(S1179="停止",J1179="停止"),"両方停止","運転がそろわない")))</f>
        <v>判定不能</v>
      </c>
      <c r="AL1179" s="30" t="n">
        <v>60</v>
      </c>
      <c r="AM1179" s="30" t="n">
        <v>0</v>
      </c>
      <c r="AN1179" s="30" t="str">
        <f aca="false">IF(OR(V1179="判定不能",M1179="判定不能"),"判定不能",IF(AM1179&gt;=判定条件!$C$9,"利用可",IF(AND(V1179="停止",M1179="停止"),"両方停止","運転がそろわない")))</f>
        <v>両方停止</v>
      </c>
      <c r="AO1179" s="30" t="n">
        <v>0</v>
      </c>
      <c r="AP1179" s="30" t="n">
        <v>0</v>
      </c>
      <c r="AQ1179" s="30" t="str">
        <f aca="false">IF(OR(Y1179="判定不能",G1179="判定不能"),"判定不能",IF(AP1179&gt;=判定条件!$C$9,"利用可",IF(AND(Y1179="停止",G1179="停止"),"両方停止","運転がそろわない")))</f>
        <v>判定不能</v>
      </c>
      <c r="AR1179" s="30" t="n">
        <v>0</v>
      </c>
      <c r="AS1179" s="30" t="n">
        <v>0</v>
      </c>
      <c r="AT1179" s="30" t="str">
        <f aca="false">IF(OR(AB1179="判定不能",J1179="判定不能"),"判定不能",IF(AS1179&gt;=判定条件!$C$9,"利用可",IF(AND(AB1179="停止",J1179="停止"),"両方停止","運転がそろわない")))</f>
        <v>判定不能</v>
      </c>
      <c r="AU1179" s="30" t="n">
        <v>0</v>
      </c>
      <c r="AV1179" s="30" t="n">
        <v>0</v>
      </c>
      <c r="AW1179" s="30" t="str">
        <f aca="false">IF(OR(AE1179="判定不能",M1179="判定不能"),"判定不能",IF(AV1179&gt;=判定条件!$C$9,"利用可",IF(AND(AE1179="停止",M1179="停止"),"両方停止","運転がそろわない")))</f>
        <v>判定不能</v>
      </c>
      <c r="AX1179" s="30" t="str">
        <f aca="false">IF(AND(AH1179="利用可",AK1179="利用可",AN1179="利用可"),"利用可","不可")</f>
        <v>不可</v>
      </c>
      <c r="AY1179" s="30" t="str">
        <f aca="false">IF(AND(AQ1179="利用可",AT1179="利用可",AW1179="利用可"),"利用可","不可")</f>
        <v>不可</v>
      </c>
    </row>
    <row r="1180" customFormat="false" ht="15" hidden="false" customHeight="false" outlineLevel="0" collapsed="false">
      <c r="A1180" s="29" t="n">
        <v>46281</v>
      </c>
      <c r="B1180" s="30" t="n">
        <v>1</v>
      </c>
      <c r="C1180" s="31" t="s">
        <v>58</v>
      </c>
      <c r="D1180" s="31" t="s">
        <v>59</v>
      </c>
      <c r="E1180" s="30" t="n">
        <v>60</v>
      </c>
      <c r="F1180" s="30" t="n">
        <v>0</v>
      </c>
      <c r="G1180" s="30" t="str">
        <f aca="false">IF(E1180&lt;判定条件!$C$6,"判定不能",IF(F1180&gt;=判定条件!$C$7*E1180,"運転",IF(F1180&lt;=判定条件!$C$8*E1180,"停止","断続")))</f>
        <v>停止</v>
      </c>
      <c r="H1180" s="30" t="n">
        <v>0</v>
      </c>
      <c r="I1180" s="30" t="n">
        <v>0</v>
      </c>
      <c r="J1180" s="30" t="str">
        <f aca="false">IF(H1180&lt;判定条件!$C$6,"判定不能",IF(I1180&gt;=判定条件!$C$7*H1180,"運転",IF(I1180&lt;=判定条件!$C$8*H1180,"停止","断続")))</f>
        <v>判定不能</v>
      </c>
      <c r="K1180" s="30" t="n">
        <v>60</v>
      </c>
      <c r="L1180" s="30" t="n">
        <v>0</v>
      </c>
      <c r="M1180" s="30" t="str">
        <f aca="false">IF(K1180&lt;判定条件!$C$6,"判定不能",IF(L1180&gt;=判定条件!$C$7*K1180,"運転",IF(L1180&lt;=判定条件!$C$8*K1180,"停止","断続")))</f>
        <v>停止</v>
      </c>
      <c r="N1180" s="30" t="n">
        <v>60</v>
      </c>
      <c r="O1180" s="30" t="n">
        <v>0</v>
      </c>
      <c r="P1180" s="30" t="str">
        <f aca="false">IF(N1180&lt;判定条件!$C$6,"判定不能",IF(O1180&gt;=判定条件!$C$7*N1180,"運転",IF(O1180&lt;=判定条件!$C$8*N1180,"停止","断続")))</f>
        <v>停止</v>
      </c>
      <c r="Q1180" s="30" t="n">
        <v>60</v>
      </c>
      <c r="R1180" s="30" t="n">
        <v>0</v>
      </c>
      <c r="S1180" s="30" t="str">
        <f aca="false">IF(Q1180&lt;判定条件!$C$6,"判定不能",IF(R1180&gt;=判定条件!$C$7*Q1180,"運転",IF(R1180&lt;=判定条件!$C$8*Q1180,"停止","断続")))</f>
        <v>停止</v>
      </c>
      <c r="T1180" s="30" t="n">
        <v>60</v>
      </c>
      <c r="U1180" s="30" t="n">
        <v>0</v>
      </c>
      <c r="V1180" s="30" t="str">
        <f aca="false">IF(T1180&lt;判定条件!$C$6,"判定不能",IF(U1180&gt;=判定条件!$C$7*T1180,"運転",IF(U1180&lt;=判定条件!$C$8*T1180,"停止","断続")))</f>
        <v>停止</v>
      </c>
      <c r="W1180" s="30" t="n">
        <v>0</v>
      </c>
      <c r="X1180" s="30" t="n">
        <v>0</v>
      </c>
      <c r="Y1180" s="30" t="str">
        <f aca="false">IF(W1180&lt;判定条件!$C$6,"判定不能",IF(X1180&gt;=判定条件!$C$7*W1180,"運転",IF(X1180&lt;=判定条件!$C$8*W1180,"停止","断続")))</f>
        <v>判定不能</v>
      </c>
      <c r="Z1180" s="30" t="n">
        <v>0</v>
      </c>
      <c r="AA1180" s="30" t="n">
        <v>0</v>
      </c>
      <c r="AB1180" s="30" t="str">
        <f aca="false">IF(Z1180&lt;判定条件!$C$6,"判定不能",IF(AA1180&gt;=判定条件!$C$7*Z1180,"運転",IF(AA1180&lt;=判定条件!$C$8*Z1180,"停止","断続")))</f>
        <v>判定不能</v>
      </c>
      <c r="AC1180" s="30" t="n">
        <v>0</v>
      </c>
      <c r="AD1180" s="30" t="n">
        <v>0</v>
      </c>
      <c r="AE1180" s="30" t="str">
        <f aca="false">IF(AC1180&lt;判定条件!$C$6,"判定不能",IF(AD1180&gt;=判定条件!$C$7*AC1180,"運転",IF(AD1180&lt;=判定条件!$C$8*AC1180,"停止","断続")))</f>
        <v>判定不能</v>
      </c>
      <c r="AF1180" s="30" t="n">
        <v>60</v>
      </c>
      <c r="AG1180" s="30" t="n">
        <v>0</v>
      </c>
      <c r="AH1180" s="30" t="str">
        <f aca="false">IF(OR(P1180="判定不能",G1180="判定不能"),"判定不能",IF(AG1180&gt;=判定条件!$C$9,"利用可",IF(AND(P1180="停止",G1180="停止"),"両方停止","運転がそろわない")))</f>
        <v>両方停止</v>
      </c>
      <c r="AI1180" s="30" t="n">
        <v>0</v>
      </c>
      <c r="AJ1180" s="30" t="n">
        <v>0</v>
      </c>
      <c r="AK1180" s="30" t="str">
        <f aca="false">IF(OR(S1180="判定不能",J1180="判定不能"),"判定不能",IF(AJ1180&gt;=判定条件!$C$9,"利用可",IF(AND(S1180="停止",J1180="停止"),"両方停止","運転がそろわない")))</f>
        <v>判定不能</v>
      </c>
      <c r="AL1180" s="30" t="n">
        <v>60</v>
      </c>
      <c r="AM1180" s="30" t="n">
        <v>0</v>
      </c>
      <c r="AN1180" s="30" t="str">
        <f aca="false">IF(OR(V1180="判定不能",M1180="判定不能"),"判定不能",IF(AM1180&gt;=判定条件!$C$9,"利用可",IF(AND(V1180="停止",M1180="停止"),"両方停止","運転がそろわない")))</f>
        <v>両方停止</v>
      </c>
      <c r="AO1180" s="30" t="n">
        <v>0</v>
      </c>
      <c r="AP1180" s="30" t="n">
        <v>0</v>
      </c>
      <c r="AQ1180" s="30" t="str">
        <f aca="false">IF(OR(Y1180="判定不能",G1180="判定不能"),"判定不能",IF(AP1180&gt;=判定条件!$C$9,"利用可",IF(AND(Y1180="停止",G1180="停止"),"両方停止","運転がそろわない")))</f>
        <v>判定不能</v>
      </c>
      <c r="AR1180" s="30" t="n">
        <v>0</v>
      </c>
      <c r="AS1180" s="30" t="n">
        <v>0</v>
      </c>
      <c r="AT1180" s="30" t="str">
        <f aca="false">IF(OR(AB1180="判定不能",J1180="判定不能"),"判定不能",IF(AS1180&gt;=判定条件!$C$9,"利用可",IF(AND(AB1180="停止",J1180="停止"),"両方停止","運転がそろわない")))</f>
        <v>判定不能</v>
      </c>
      <c r="AU1180" s="30" t="n">
        <v>0</v>
      </c>
      <c r="AV1180" s="30" t="n">
        <v>0</v>
      </c>
      <c r="AW1180" s="30" t="str">
        <f aca="false">IF(OR(AE1180="判定不能",M1180="判定不能"),"判定不能",IF(AV1180&gt;=判定条件!$C$9,"利用可",IF(AND(AE1180="停止",M1180="停止"),"両方停止","運転がそろわない")))</f>
        <v>判定不能</v>
      </c>
      <c r="AX1180" s="30" t="str">
        <f aca="false">IF(AND(AH1180="利用可",AK1180="利用可",AN1180="利用可"),"利用可","不可")</f>
        <v>不可</v>
      </c>
      <c r="AY1180" s="30" t="str">
        <f aca="false">IF(AND(AQ1180="利用可",AT1180="利用可",AW1180="利用可"),"利用可","不可")</f>
        <v>不可</v>
      </c>
    </row>
    <row r="1181" customFormat="false" ht="15" hidden="false" customHeight="false" outlineLevel="0" collapsed="false">
      <c r="A1181" s="29" t="n">
        <v>46281</v>
      </c>
      <c r="B1181" s="30" t="n">
        <v>2</v>
      </c>
      <c r="C1181" s="31" t="s">
        <v>58</v>
      </c>
      <c r="D1181" s="31" t="s">
        <v>59</v>
      </c>
      <c r="E1181" s="30" t="n">
        <v>60</v>
      </c>
      <c r="F1181" s="30" t="n">
        <v>0</v>
      </c>
      <c r="G1181" s="30" t="str">
        <f aca="false">IF(E1181&lt;判定条件!$C$6,"判定不能",IF(F1181&gt;=判定条件!$C$7*E1181,"運転",IF(F1181&lt;=判定条件!$C$8*E1181,"停止","断続")))</f>
        <v>停止</v>
      </c>
      <c r="H1181" s="30" t="n">
        <v>0</v>
      </c>
      <c r="I1181" s="30" t="n">
        <v>0</v>
      </c>
      <c r="J1181" s="30" t="str">
        <f aca="false">IF(H1181&lt;判定条件!$C$6,"判定不能",IF(I1181&gt;=判定条件!$C$7*H1181,"運転",IF(I1181&lt;=判定条件!$C$8*H1181,"停止","断続")))</f>
        <v>判定不能</v>
      </c>
      <c r="K1181" s="30" t="n">
        <v>60</v>
      </c>
      <c r="L1181" s="30" t="n">
        <v>0</v>
      </c>
      <c r="M1181" s="30" t="str">
        <f aca="false">IF(K1181&lt;判定条件!$C$6,"判定不能",IF(L1181&gt;=判定条件!$C$7*K1181,"運転",IF(L1181&lt;=判定条件!$C$8*K1181,"停止","断続")))</f>
        <v>停止</v>
      </c>
      <c r="N1181" s="30" t="n">
        <v>60</v>
      </c>
      <c r="O1181" s="30" t="n">
        <v>0</v>
      </c>
      <c r="P1181" s="30" t="str">
        <f aca="false">IF(N1181&lt;判定条件!$C$6,"判定不能",IF(O1181&gt;=判定条件!$C$7*N1181,"運転",IF(O1181&lt;=判定条件!$C$8*N1181,"停止","断続")))</f>
        <v>停止</v>
      </c>
      <c r="Q1181" s="30" t="n">
        <v>60</v>
      </c>
      <c r="R1181" s="30" t="n">
        <v>0</v>
      </c>
      <c r="S1181" s="30" t="str">
        <f aca="false">IF(Q1181&lt;判定条件!$C$6,"判定不能",IF(R1181&gt;=判定条件!$C$7*Q1181,"運転",IF(R1181&lt;=判定条件!$C$8*Q1181,"停止","断続")))</f>
        <v>停止</v>
      </c>
      <c r="T1181" s="30" t="n">
        <v>60</v>
      </c>
      <c r="U1181" s="30" t="n">
        <v>0</v>
      </c>
      <c r="V1181" s="30" t="str">
        <f aca="false">IF(T1181&lt;判定条件!$C$6,"判定不能",IF(U1181&gt;=判定条件!$C$7*T1181,"運転",IF(U1181&lt;=判定条件!$C$8*T1181,"停止","断続")))</f>
        <v>停止</v>
      </c>
      <c r="W1181" s="30" t="n">
        <v>0</v>
      </c>
      <c r="X1181" s="30" t="n">
        <v>0</v>
      </c>
      <c r="Y1181" s="30" t="str">
        <f aca="false">IF(W1181&lt;判定条件!$C$6,"判定不能",IF(X1181&gt;=判定条件!$C$7*W1181,"運転",IF(X1181&lt;=判定条件!$C$8*W1181,"停止","断続")))</f>
        <v>判定不能</v>
      </c>
      <c r="Z1181" s="30" t="n">
        <v>0</v>
      </c>
      <c r="AA1181" s="30" t="n">
        <v>0</v>
      </c>
      <c r="AB1181" s="30" t="str">
        <f aca="false">IF(Z1181&lt;判定条件!$C$6,"判定不能",IF(AA1181&gt;=判定条件!$C$7*Z1181,"運転",IF(AA1181&lt;=判定条件!$C$8*Z1181,"停止","断続")))</f>
        <v>判定不能</v>
      </c>
      <c r="AC1181" s="30" t="n">
        <v>0</v>
      </c>
      <c r="AD1181" s="30" t="n">
        <v>0</v>
      </c>
      <c r="AE1181" s="30" t="str">
        <f aca="false">IF(AC1181&lt;判定条件!$C$6,"判定不能",IF(AD1181&gt;=判定条件!$C$7*AC1181,"運転",IF(AD1181&lt;=判定条件!$C$8*AC1181,"停止","断続")))</f>
        <v>判定不能</v>
      </c>
      <c r="AF1181" s="30" t="n">
        <v>60</v>
      </c>
      <c r="AG1181" s="30" t="n">
        <v>0</v>
      </c>
      <c r="AH1181" s="30" t="str">
        <f aca="false">IF(OR(P1181="判定不能",G1181="判定不能"),"判定不能",IF(AG1181&gt;=判定条件!$C$9,"利用可",IF(AND(P1181="停止",G1181="停止"),"両方停止","運転がそろわない")))</f>
        <v>両方停止</v>
      </c>
      <c r="AI1181" s="30" t="n">
        <v>0</v>
      </c>
      <c r="AJ1181" s="30" t="n">
        <v>0</v>
      </c>
      <c r="AK1181" s="30" t="str">
        <f aca="false">IF(OR(S1181="判定不能",J1181="判定不能"),"判定不能",IF(AJ1181&gt;=判定条件!$C$9,"利用可",IF(AND(S1181="停止",J1181="停止"),"両方停止","運転がそろわない")))</f>
        <v>判定不能</v>
      </c>
      <c r="AL1181" s="30" t="n">
        <v>60</v>
      </c>
      <c r="AM1181" s="30" t="n">
        <v>0</v>
      </c>
      <c r="AN1181" s="30" t="str">
        <f aca="false">IF(OR(V1181="判定不能",M1181="判定不能"),"判定不能",IF(AM1181&gt;=判定条件!$C$9,"利用可",IF(AND(V1181="停止",M1181="停止"),"両方停止","運転がそろわない")))</f>
        <v>両方停止</v>
      </c>
      <c r="AO1181" s="30" t="n">
        <v>0</v>
      </c>
      <c r="AP1181" s="30" t="n">
        <v>0</v>
      </c>
      <c r="AQ1181" s="30" t="str">
        <f aca="false">IF(OR(Y1181="判定不能",G1181="判定不能"),"判定不能",IF(AP1181&gt;=判定条件!$C$9,"利用可",IF(AND(Y1181="停止",G1181="停止"),"両方停止","運転がそろわない")))</f>
        <v>判定不能</v>
      </c>
      <c r="AR1181" s="30" t="n">
        <v>0</v>
      </c>
      <c r="AS1181" s="30" t="n">
        <v>0</v>
      </c>
      <c r="AT1181" s="30" t="str">
        <f aca="false">IF(OR(AB1181="判定不能",J1181="判定不能"),"判定不能",IF(AS1181&gt;=判定条件!$C$9,"利用可",IF(AND(AB1181="停止",J1181="停止"),"両方停止","運転がそろわない")))</f>
        <v>判定不能</v>
      </c>
      <c r="AU1181" s="30" t="n">
        <v>0</v>
      </c>
      <c r="AV1181" s="30" t="n">
        <v>0</v>
      </c>
      <c r="AW1181" s="30" t="str">
        <f aca="false">IF(OR(AE1181="判定不能",M1181="判定不能"),"判定不能",IF(AV1181&gt;=判定条件!$C$9,"利用可",IF(AND(AE1181="停止",M1181="停止"),"両方停止","運転がそろわない")))</f>
        <v>判定不能</v>
      </c>
      <c r="AX1181" s="30" t="str">
        <f aca="false">IF(AND(AH1181="利用可",AK1181="利用可",AN1181="利用可"),"利用可","不可")</f>
        <v>不可</v>
      </c>
      <c r="AY1181" s="30" t="str">
        <f aca="false">IF(AND(AQ1181="利用可",AT1181="利用可",AW1181="利用可"),"利用可","不可")</f>
        <v>不可</v>
      </c>
    </row>
    <row r="1182" customFormat="false" ht="15" hidden="false" customHeight="false" outlineLevel="0" collapsed="false">
      <c r="A1182" s="29" t="n">
        <v>46281</v>
      </c>
      <c r="B1182" s="30" t="n">
        <v>3</v>
      </c>
      <c r="C1182" s="31" t="s">
        <v>58</v>
      </c>
      <c r="D1182" s="31" t="s">
        <v>59</v>
      </c>
      <c r="E1182" s="30" t="n">
        <v>60</v>
      </c>
      <c r="F1182" s="30" t="n">
        <v>0</v>
      </c>
      <c r="G1182" s="30" t="str">
        <f aca="false">IF(E1182&lt;判定条件!$C$6,"判定不能",IF(F1182&gt;=判定条件!$C$7*E1182,"運転",IF(F1182&lt;=判定条件!$C$8*E1182,"停止","断続")))</f>
        <v>停止</v>
      </c>
      <c r="H1182" s="30" t="n">
        <v>0</v>
      </c>
      <c r="I1182" s="30" t="n">
        <v>0</v>
      </c>
      <c r="J1182" s="30" t="str">
        <f aca="false">IF(H1182&lt;判定条件!$C$6,"判定不能",IF(I1182&gt;=判定条件!$C$7*H1182,"運転",IF(I1182&lt;=判定条件!$C$8*H1182,"停止","断続")))</f>
        <v>判定不能</v>
      </c>
      <c r="K1182" s="30" t="n">
        <v>60</v>
      </c>
      <c r="L1182" s="30" t="n">
        <v>0</v>
      </c>
      <c r="M1182" s="30" t="str">
        <f aca="false">IF(K1182&lt;判定条件!$C$6,"判定不能",IF(L1182&gt;=判定条件!$C$7*K1182,"運転",IF(L1182&lt;=判定条件!$C$8*K1182,"停止","断続")))</f>
        <v>停止</v>
      </c>
      <c r="N1182" s="30" t="n">
        <v>60</v>
      </c>
      <c r="O1182" s="30" t="n">
        <v>0</v>
      </c>
      <c r="P1182" s="30" t="str">
        <f aca="false">IF(N1182&lt;判定条件!$C$6,"判定不能",IF(O1182&gt;=判定条件!$C$7*N1182,"運転",IF(O1182&lt;=判定条件!$C$8*N1182,"停止","断続")))</f>
        <v>停止</v>
      </c>
      <c r="Q1182" s="30" t="n">
        <v>60</v>
      </c>
      <c r="R1182" s="30" t="n">
        <v>0</v>
      </c>
      <c r="S1182" s="30" t="str">
        <f aca="false">IF(Q1182&lt;判定条件!$C$6,"判定不能",IF(R1182&gt;=判定条件!$C$7*Q1182,"運転",IF(R1182&lt;=判定条件!$C$8*Q1182,"停止","断続")))</f>
        <v>停止</v>
      </c>
      <c r="T1182" s="30" t="n">
        <v>60</v>
      </c>
      <c r="U1182" s="30" t="n">
        <v>0</v>
      </c>
      <c r="V1182" s="30" t="str">
        <f aca="false">IF(T1182&lt;判定条件!$C$6,"判定不能",IF(U1182&gt;=判定条件!$C$7*T1182,"運転",IF(U1182&lt;=判定条件!$C$8*T1182,"停止","断続")))</f>
        <v>停止</v>
      </c>
      <c r="W1182" s="30" t="n">
        <v>0</v>
      </c>
      <c r="X1182" s="30" t="n">
        <v>0</v>
      </c>
      <c r="Y1182" s="30" t="str">
        <f aca="false">IF(W1182&lt;判定条件!$C$6,"判定不能",IF(X1182&gt;=判定条件!$C$7*W1182,"運転",IF(X1182&lt;=判定条件!$C$8*W1182,"停止","断続")))</f>
        <v>判定不能</v>
      </c>
      <c r="Z1182" s="30" t="n">
        <v>0</v>
      </c>
      <c r="AA1182" s="30" t="n">
        <v>0</v>
      </c>
      <c r="AB1182" s="30" t="str">
        <f aca="false">IF(Z1182&lt;判定条件!$C$6,"判定不能",IF(AA1182&gt;=判定条件!$C$7*Z1182,"運転",IF(AA1182&lt;=判定条件!$C$8*Z1182,"停止","断続")))</f>
        <v>判定不能</v>
      </c>
      <c r="AC1182" s="30" t="n">
        <v>0</v>
      </c>
      <c r="AD1182" s="30" t="n">
        <v>0</v>
      </c>
      <c r="AE1182" s="30" t="str">
        <f aca="false">IF(AC1182&lt;判定条件!$C$6,"判定不能",IF(AD1182&gt;=判定条件!$C$7*AC1182,"運転",IF(AD1182&lt;=判定条件!$C$8*AC1182,"停止","断続")))</f>
        <v>判定不能</v>
      </c>
      <c r="AF1182" s="30" t="n">
        <v>60</v>
      </c>
      <c r="AG1182" s="30" t="n">
        <v>0</v>
      </c>
      <c r="AH1182" s="30" t="str">
        <f aca="false">IF(OR(P1182="判定不能",G1182="判定不能"),"判定不能",IF(AG1182&gt;=判定条件!$C$9,"利用可",IF(AND(P1182="停止",G1182="停止"),"両方停止","運転がそろわない")))</f>
        <v>両方停止</v>
      </c>
      <c r="AI1182" s="30" t="n">
        <v>0</v>
      </c>
      <c r="AJ1182" s="30" t="n">
        <v>0</v>
      </c>
      <c r="AK1182" s="30" t="str">
        <f aca="false">IF(OR(S1182="判定不能",J1182="判定不能"),"判定不能",IF(AJ1182&gt;=判定条件!$C$9,"利用可",IF(AND(S1182="停止",J1182="停止"),"両方停止","運転がそろわない")))</f>
        <v>判定不能</v>
      </c>
      <c r="AL1182" s="30" t="n">
        <v>60</v>
      </c>
      <c r="AM1182" s="30" t="n">
        <v>0</v>
      </c>
      <c r="AN1182" s="30" t="str">
        <f aca="false">IF(OR(V1182="判定不能",M1182="判定不能"),"判定不能",IF(AM1182&gt;=判定条件!$C$9,"利用可",IF(AND(V1182="停止",M1182="停止"),"両方停止","運転がそろわない")))</f>
        <v>両方停止</v>
      </c>
      <c r="AO1182" s="30" t="n">
        <v>0</v>
      </c>
      <c r="AP1182" s="30" t="n">
        <v>0</v>
      </c>
      <c r="AQ1182" s="30" t="str">
        <f aca="false">IF(OR(Y1182="判定不能",G1182="判定不能"),"判定不能",IF(AP1182&gt;=判定条件!$C$9,"利用可",IF(AND(Y1182="停止",G1182="停止"),"両方停止","運転がそろわない")))</f>
        <v>判定不能</v>
      </c>
      <c r="AR1182" s="30" t="n">
        <v>0</v>
      </c>
      <c r="AS1182" s="30" t="n">
        <v>0</v>
      </c>
      <c r="AT1182" s="30" t="str">
        <f aca="false">IF(OR(AB1182="判定不能",J1182="判定不能"),"判定不能",IF(AS1182&gt;=判定条件!$C$9,"利用可",IF(AND(AB1182="停止",J1182="停止"),"両方停止","運転がそろわない")))</f>
        <v>判定不能</v>
      </c>
      <c r="AU1182" s="30" t="n">
        <v>0</v>
      </c>
      <c r="AV1182" s="30" t="n">
        <v>0</v>
      </c>
      <c r="AW1182" s="30" t="str">
        <f aca="false">IF(OR(AE1182="判定不能",M1182="判定不能"),"判定不能",IF(AV1182&gt;=判定条件!$C$9,"利用可",IF(AND(AE1182="停止",M1182="停止"),"両方停止","運転がそろわない")))</f>
        <v>判定不能</v>
      </c>
      <c r="AX1182" s="30" t="str">
        <f aca="false">IF(AND(AH1182="利用可",AK1182="利用可",AN1182="利用可"),"利用可","不可")</f>
        <v>不可</v>
      </c>
      <c r="AY1182" s="30" t="str">
        <f aca="false">IF(AND(AQ1182="利用可",AT1182="利用可",AW1182="利用可"),"利用可","不可")</f>
        <v>不可</v>
      </c>
    </row>
    <row r="1183" customFormat="false" ht="15" hidden="false" customHeight="false" outlineLevel="0" collapsed="false">
      <c r="A1183" s="29" t="n">
        <v>46281</v>
      </c>
      <c r="B1183" s="30" t="n">
        <v>4</v>
      </c>
      <c r="C1183" s="31" t="s">
        <v>58</v>
      </c>
      <c r="D1183" s="31" t="s">
        <v>59</v>
      </c>
      <c r="E1183" s="30" t="n">
        <v>60</v>
      </c>
      <c r="F1183" s="30" t="n">
        <v>0</v>
      </c>
      <c r="G1183" s="30" t="str">
        <f aca="false">IF(E1183&lt;判定条件!$C$6,"判定不能",IF(F1183&gt;=判定条件!$C$7*E1183,"運転",IF(F1183&lt;=判定条件!$C$8*E1183,"停止","断続")))</f>
        <v>停止</v>
      </c>
      <c r="H1183" s="30" t="n">
        <v>0</v>
      </c>
      <c r="I1183" s="30" t="n">
        <v>0</v>
      </c>
      <c r="J1183" s="30" t="str">
        <f aca="false">IF(H1183&lt;判定条件!$C$6,"判定不能",IF(I1183&gt;=判定条件!$C$7*H1183,"運転",IF(I1183&lt;=判定条件!$C$8*H1183,"停止","断続")))</f>
        <v>判定不能</v>
      </c>
      <c r="K1183" s="30" t="n">
        <v>60</v>
      </c>
      <c r="L1183" s="30" t="n">
        <v>0</v>
      </c>
      <c r="M1183" s="30" t="str">
        <f aca="false">IF(K1183&lt;判定条件!$C$6,"判定不能",IF(L1183&gt;=判定条件!$C$7*K1183,"運転",IF(L1183&lt;=判定条件!$C$8*K1183,"停止","断続")))</f>
        <v>停止</v>
      </c>
      <c r="N1183" s="30" t="n">
        <v>60</v>
      </c>
      <c r="O1183" s="30" t="n">
        <v>0</v>
      </c>
      <c r="P1183" s="30" t="str">
        <f aca="false">IF(N1183&lt;判定条件!$C$6,"判定不能",IF(O1183&gt;=判定条件!$C$7*N1183,"運転",IF(O1183&lt;=判定条件!$C$8*N1183,"停止","断続")))</f>
        <v>停止</v>
      </c>
      <c r="Q1183" s="30" t="n">
        <v>60</v>
      </c>
      <c r="R1183" s="30" t="n">
        <v>0</v>
      </c>
      <c r="S1183" s="30" t="str">
        <f aca="false">IF(Q1183&lt;判定条件!$C$6,"判定不能",IF(R1183&gt;=判定条件!$C$7*Q1183,"運転",IF(R1183&lt;=判定条件!$C$8*Q1183,"停止","断続")))</f>
        <v>停止</v>
      </c>
      <c r="T1183" s="30" t="n">
        <v>60</v>
      </c>
      <c r="U1183" s="30" t="n">
        <v>0</v>
      </c>
      <c r="V1183" s="30" t="str">
        <f aca="false">IF(T1183&lt;判定条件!$C$6,"判定不能",IF(U1183&gt;=判定条件!$C$7*T1183,"運転",IF(U1183&lt;=判定条件!$C$8*T1183,"停止","断続")))</f>
        <v>停止</v>
      </c>
      <c r="W1183" s="30" t="n">
        <v>0</v>
      </c>
      <c r="X1183" s="30" t="n">
        <v>0</v>
      </c>
      <c r="Y1183" s="30" t="str">
        <f aca="false">IF(W1183&lt;判定条件!$C$6,"判定不能",IF(X1183&gt;=判定条件!$C$7*W1183,"運転",IF(X1183&lt;=判定条件!$C$8*W1183,"停止","断続")))</f>
        <v>判定不能</v>
      </c>
      <c r="Z1183" s="30" t="n">
        <v>0</v>
      </c>
      <c r="AA1183" s="30" t="n">
        <v>0</v>
      </c>
      <c r="AB1183" s="30" t="str">
        <f aca="false">IF(Z1183&lt;判定条件!$C$6,"判定不能",IF(AA1183&gt;=判定条件!$C$7*Z1183,"運転",IF(AA1183&lt;=判定条件!$C$8*Z1183,"停止","断続")))</f>
        <v>判定不能</v>
      </c>
      <c r="AC1183" s="30" t="n">
        <v>0</v>
      </c>
      <c r="AD1183" s="30" t="n">
        <v>0</v>
      </c>
      <c r="AE1183" s="30" t="str">
        <f aca="false">IF(AC1183&lt;判定条件!$C$6,"判定不能",IF(AD1183&gt;=判定条件!$C$7*AC1183,"運転",IF(AD1183&lt;=判定条件!$C$8*AC1183,"停止","断続")))</f>
        <v>判定不能</v>
      </c>
      <c r="AF1183" s="30" t="n">
        <v>60</v>
      </c>
      <c r="AG1183" s="30" t="n">
        <v>0</v>
      </c>
      <c r="AH1183" s="30" t="str">
        <f aca="false">IF(OR(P1183="判定不能",G1183="判定不能"),"判定不能",IF(AG1183&gt;=判定条件!$C$9,"利用可",IF(AND(P1183="停止",G1183="停止"),"両方停止","運転がそろわない")))</f>
        <v>両方停止</v>
      </c>
      <c r="AI1183" s="30" t="n">
        <v>0</v>
      </c>
      <c r="AJ1183" s="30" t="n">
        <v>0</v>
      </c>
      <c r="AK1183" s="30" t="str">
        <f aca="false">IF(OR(S1183="判定不能",J1183="判定不能"),"判定不能",IF(AJ1183&gt;=判定条件!$C$9,"利用可",IF(AND(S1183="停止",J1183="停止"),"両方停止","運転がそろわない")))</f>
        <v>判定不能</v>
      </c>
      <c r="AL1183" s="30" t="n">
        <v>60</v>
      </c>
      <c r="AM1183" s="30" t="n">
        <v>0</v>
      </c>
      <c r="AN1183" s="30" t="str">
        <f aca="false">IF(OR(V1183="判定不能",M1183="判定不能"),"判定不能",IF(AM1183&gt;=判定条件!$C$9,"利用可",IF(AND(V1183="停止",M1183="停止"),"両方停止","運転がそろわない")))</f>
        <v>両方停止</v>
      </c>
      <c r="AO1183" s="30" t="n">
        <v>0</v>
      </c>
      <c r="AP1183" s="30" t="n">
        <v>0</v>
      </c>
      <c r="AQ1183" s="30" t="str">
        <f aca="false">IF(OR(Y1183="判定不能",G1183="判定不能"),"判定不能",IF(AP1183&gt;=判定条件!$C$9,"利用可",IF(AND(Y1183="停止",G1183="停止"),"両方停止","運転がそろわない")))</f>
        <v>判定不能</v>
      </c>
      <c r="AR1183" s="30" t="n">
        <v>0</v>
      </c>
      <c r="AS1183" s="30" t="n">
        <v>0</v>
      </c>
      <c r="AT1183" s="30" t="str">
        <f aca="false">IF(OR(AB1183="判定不能",J1183="判定不能"),"判定不能",IF(AS1183&gt;=判定条件!$C$9,"利用可",IF(AND(AB1183="停止",J1183="停止"),"両方停止","運転がそろわない")))</f>
        <v>判定不能</v>
      </c>
      <c r="AU1183" s="30" t="n">
        <v>0</v>
      </c>
      <c r="AV1183" s="30" t="n">
        <v>0</v>
      </c>
      <c r="AW1183" s="30" t="str">
        <f aca="false">IF(OR(AE1183="判定不能",M1183="判定不能"),"判定不能",IF(AV1183&gt;=判定条件!$C$9,"利用可",IF(AND(AE1183="停止",M1183="停止"),"両方停止","運転がそろわない")))</f>
        <v>判定不能</v>
      </c>
      <c r="AX1183" s="30" t="str">
        <f aca="false">IF(AND(AH1183="利用可",AK1183="利用可",AN1183="利用可"),"利用可","不可")</f>
        <v>不可</v>
      </c>
      <c r="AY1183" s="30" t="str">
        <f aca="false">IF(AND(AQ1183="利用可",AT1183="利用可",AW1183="利用可"),"利用可","不可")</f>
        <v>不可</v>
      </c>
    </row>
    <row r="1184" customFormat="false" ht="15" hidden="false" customHeight="false" outlineLevel="0" collapsed="false">
      <c r="A1184" s="29" t="n">
        <v>46281</v>
      </c>
      <c r="B1184" s="30" t="n">
        <v>5</v>
      </c>
      <c r="C1184" s="31" t="s">
        <v>58</v>
      </c>
      <c r="D1184" s="31" t="s">
        <v>59</v>
      </c>
      <c r="E1184" s="30" t="n">
        <v>60</v>
      </c>
      <c r="F1184" s="30" t="n">
        <v>0</v>
      </c>
      <c r="G1184" s="30" t="str">
        <f aca="false">IF(E1184&lt;判定条件!$C$6,"判定不能",IF(F1184&gt;=判定条件!$C$7*E1184,"運転",IF(F1184&lt;=判定条件!$C$8*E1184,"停止","断続")))</f>
        <v>停止</v>
      </c>
      <c r="H1184" s="30" t="n">
        <v>0</v>
      </c>
      <c r="I1184" s="30" t="n">
        <v>0</v>
      </c>
      <c r="J1184" s="30" t="str">
        <f aca="false">IF(H1184&lt;判定条件!$C$6,"判定不能",IF(I1184&gt;=判定条件!$C$7*H1184,"運転",IF(I1184&lt;=判定条件!$C$8*H1184,"停止","断続")))</f>
        <v>判定不能</v>
      </c>
      <c r="K1184" s="30" t="n">
        <v>60</v>
      </c>
      <c r="L1184" s="30" t="n">
        <v>0</v>
      </c>
      <c r="M1184" s="30" t="str">
        <f aca="false">IF(K1184&lt;判定条件!$C$6,"判定不能",IF(L1184&gt;=判定条件!$C$7*K1184,"運転",IF(L1184&lt;=判定条件!$C$8*K1184,"停止","断続")))</f>
        <v>停止</v>
      </c>
      <c r="N1184" s="30" t="n">
        <v>60</v>
      </c>
      <c r="O1184" s="30" t="n">
        <v>0</v>
      </c>
      <c r="P1184" s="30" t="str">
        <f aca="false">IF(N1184&lt;判定条件!$C$6,"判定不能",IF(O1184&gt;=判定条件!$C$7*N1184,"運転",IF(O1184&lt;=判定条件!$C$8*N1184,"停止","断続")))</f>
        <v>停止</v>
      </c>
      <c r="Q1184" s="30" t="n">
        <v>60</v>
      </c>
      <c r="R1184" s="30" t="n">
        <v>0</v>
      </c>
      <c r="S1184" s="30" t="str">
        <f aca="false">IF(Q1184&lt;判定条件!$C$6,"判定不能",IF(R1184&gt;=判定条件!$C$7*Q1184,"運転",IF(R1184&lt;=判定条件!$C$8*Q1184,"停止","断続")))</f>
        <v>停止</v>
      </c>
      <c r="T1184" s="30" t="n">
        <v>60</v>
      </c>
      <c r="U1184" s="30" t="n">
        <v>0</v>
      </c>
      <c r="V1184" s="30" t="str">
        <f aca="false">IF(T1184&lt;判定条件!$C$6,"判定不能",IF(U1184&gt;=判定条件!$C$7*T1184,"運転",IF(U1184&lt;=判定条件!$C$8*T1184,"停止","断続")))</f>
        <v>停止</v>
      </c>
      <c r="W1184" s="30" t="n">
        <v>0</v>
      </c>
      <c r="X1184" s="30" t="n">
        <v>0</v>
      </c>
      <c r="Y1184" s="30" t="str">
        <f aca="false">IF(W1184&lt;判定条件!$C$6,"判定不能",IF(X1184&gt;=判定条件!$C$7*W1184,"運転",IF(X1184&lt;=判定条件!$C$8*W1184,"停止","断続")))</f>
        <v>判定不能</v>
      </c>
      <c r="Z1184" s="30" t="n">
        <v>0</v>
      </c>
      <c r="AA1184" s="30" t="n">
        <v>0</v>
      </c>
      <c r="AB1184" s="30" t="str">
        <f aca="false">IF(Z1184&lt;判定条件!$C$6,"判定不能",IF(AA1184&gt;=判定条件!$C$7*Z1184,"運転",IF(AA1184&lt;=判定条件!$C$8*Z1184,"停止","断続")))</f>
        <v>判定不能</v>
      </c>
      <c r="AC1184" s="30" t="n">
        <v>0</v>
      </c>
      <c r="AD1184" s="30" t="n">
        <v>0</v>
      </c>
      <c r="AE1184" s="30" t="str">
        <f aca="false">IF(AC1184&lt;判定条件!$C$6,"判定不能",IF(AD1184&gt;=判定条件!$C$7*AC1184,"運転",IF(AD1184&lt;=判定条件!$C$8*AC1184,"停止","断続")))</f>
        <v>判定不能</v>
      </c>
      <c r="AF1184" s="30" t="n">
        <v>60</v>
      </c>
      <c r="AG1184" s="30" t="n">
        <v>0</v>
      </c>
      <c r="AH1184" s="30" t="str">
        <f aca="false">IF(OR(P1184="判定不能",G1184="判定不能"),"判定不能",IF(AG1184&gt;=判定条件!$C$9,"利用可",IF(AND(P1184="停止",G1184="停止"),"両方停止","運転がそろわない")))</f>
        <v>両方停止</v>
      </c>
      <c r="AI1184" s="30" t="n">
        <v>0</v>
      </c>
      <c r="AJ1184" s="30" t="n">
        <v>0</v>
      </c>
      <c r="AK1184" s="30" t="str">
        <f aca="false">IF(OR(S1184="判定不能",J1184="判定不能"),"判定不能",IF(AJ1184&gt;=判定条件!$C$9,"利用可",IF(AND(S1184="停止",J1184="停止"),"両方停止","運転がそろわない")))</f>
        <v>判定不能</v>
      </c>
      <c r="AL1184" s="30" t="n">
        <v>60</v>
      </c>
      <c r="AM1184" s="30" t="n">
        <v>0</v>
      </c>
      <c r="AN1184" s="30" t="str">
        <f aca="false">IF(OR(V1184="判定不能",M1184="判定不能"),"判定不能",IF(AM1184&gt;=判定条件!$C$9,"利用可",IF(AND(V1184="停止",M1184="停止"),"両方停止","運転がそろわない")))</f>
        <v>両方停止</v>
      </c>
      <c r="AO1184" s="30" t="n">
        <v>0</v>
      </c>
      <c r="AP1184" s="30" t="n">
        <v>0</v>
      </c>
      <c r="AQ1184" s="30" t="str">
        <f aca="false">IF(OR(Y1184="判定不能",G1184="判定不能"),"判定不能",IF(AP1184&gt;=判定条件!$C$9,"利用可",IF(AND(Y1184="停止",G1184="停止"),"両方停止","運転がそろわない")))</f>
        <v>判定不能</v>
      </c>
      <c r="AR1184" s="30" t="n">
        <v>0</v>
      </c>
      <c r="AS1184" s="30" t="n">
        <v>0</v>
      </c>
      <c r="AT1184" s="30" t="str">
        <f aca="false">IF(OR(AB1184="判定不能",J1184="判定不能"),"判定不能",IF(AS1184&gt;=判定条件!$C$9,"利用可",IF(AND(AB1184="停止",J1184="停止"),"両方停止","運転がそろわない")))</f>
        <v>判定不能</v>
      </c>
      <c r="AU1184" s="30" t="n">
        <v>0</v>
      </c>
      <c r="AV1184" s="30" t="n">
        <v>0</v>
      </c>
      <c r="AW1184" s="30" t="str">
        <f aca="false">IF(OR(AE1184="判定不能",M1184="判定不能"),"判定不能",IF(AV1184&gt;=判定条件!$C$9,"利用可",IF(AND(AE1184="停止",M1184="停止"),"両方停止","運転がそろわない")))</f>
        <v>判定不能</v>
      </c>
      <c r="AX1184" s="30" t="str">
        <f aca="false">IF(AND(AH1184="利用可",AK1184="利用可",AN1184="利用可"),"利用可","不可")</f>
        <v>不可</v>
      </c>
      <c r="AY1184" s="30" t="str">
        <f aca="false">IF(AND(AQ1184="利用可",AT1184="利用可",AW1184="利用可"),"利用可","不可")</f>
        <v>不可</v>
      </c>
    </row>
    <row r="1185" customFormat="false" ht="15" hidden="false" customHeight="false" outlineLevel="0" collapsed="false">
      <c r="A1185" s="29" t="n">
        <v>46281</v>
      </c>
      <c r="B1185" s="30" t="n">
        <v>6</v>
      </c>
      <c r="C1185" s="31" t="s">
        <v>58</v>
      </c>
      <c r="D1185" s="31" t="s">
        <v>59</v>
      </c>
      <c r="E1185" s="30" t="n">
        <v>60</v>
      </c>
      <c r="F1185" s="30" t="n">
        <v>0</v>
      </c>
      <c r="G1185" s="30" t="str">
        <f aca="false">IF(E1185&lt;判定条件!$C$6,"判定不能",IF(F1185&gt;=判定条件!$C$7*E1185,"運転",IF(F1185&lt;=判定条件!$C$8*E1185,"停止","断続")))</f>
        <v>停止</v>
      </c>
      <c r="H1185" s="30" t="n">
        <v>0</v>
      </c>
      <c r="I1185" s="30" t="n">
        <v>0</v>
      </c>
      <c r="J1185" s="30" t="str">
        <f aca="false">IF(H1185&lt;判定条件!$C$6,"判定不能",IF(I1185&gt;=判定条件!$C$7*H1185,"運転",IF(I1185&lt;=判定条件!$C$8*H1185,"停止","断続")))</f>
        <v>判定不能</v>
      </c>
      <c r="K1185" s="30" t="n">
        <v>60</v>
      </c>
      <c r="L1185" s="30" t="n">
        <v>0</v>
      </c>
      <c r="M1185" s="30" t="str">
        <f aca="false">IF(K1185&lt;判定条件!$C$6,"判定不能",IF(L1185&gt;=判定条件!$C$7*K1185,"運転",IF(L1185&lt;=判定条件!$C$8*K1185,"停止","断続")))</f>
        <v>停止</v>
      </c>
      <c r="N1185" s="30" t="n">
        <v>60</v>
      </c>
      <c r="O1185" s="30" t="n">
        <v>0</v>
      </c>
      <c r="P1185" s="30" t="str">
        <f aca="false">IF(N1185&lt;判定条件!$C$6,"判定不能",IF(O1185&gt;=判定条件!$C$7*N1185,"運転",IF(O1185&lt;=判定条件!$C$8*N1185,"停止","断続")))</f>
        <v>停止</v>
      </c>
      <c r="Q1185" s="30" t="n">
        <v>60</v>
      </c>
      <c r="R1185" s="30" t="n">
        <v>0</v>
      </c>
      <c r="S1185" s="30" t="str">
        <f aca="false">IF(Q1185&lt;判定条件!$C$6,"判定不能",IF(R1185&gt;=判定条件!$C$7*Q1185,"運転",IF(R1185&lt;=判定条件!$C$8*Q1185,"停止","断続")))</f>
        <v>停止</v>
      </c>
      <c r="T1185" s="30" t="n">
        <v>60</v>
      </c>
      <c r="U1185" s="30" t="n">
        <v>0</v>
      </c>
      <c r="V1185" s="30" t="str">
        <f aca="false">IF(T1185&lt;判定条件!$C$6,"判定不能",IF(U1185&gt;=判定条件!$C$7*T1185,"運転",IF(U1185&lt;=判定条件!$C$8*T1185,"停止","断続")))</f>
        <v>停止</v>
      </c>
      <c r="W1185" s="30" t="n">
        <v>0</v>
      </c>
      <c r="X1185" s="30" t="n">
        <v>0</v>
      </c>
      <c r="Y1185" s="30" t="str">
        <f aca="false">IF(W1185&lt;判定条件!$C$6,"判定不能",IF(X1185&gt;=判定条件!$C$7*W1185,"運転",IF(X1185&lt;=判定条件!$C$8*W1185,"停止","断続")))</f>
        <v>判定不能</v>
      </c>
      <c r="Z1185" s="30" t="n">
        <v>0</v>
      </c>
      <c r="AA1185" s="30" t="n">
        <v>0</v>
      </c>
      <c r="AB1185" s="30" t="str">
        <f aca="false">IF(Z1185&lt;判定条件!$C$6,"判定不能",IF(AA1185&gt;=判定条件!$C$7*Z1185,"運転",IF(AA1185&lt;=判定条件!$C$8*Z1185,"停止","断続")))</f>
        <v>判定不能</v>
      </c>
      <c r="AC1185" s="30" t="n">
        <v>0</v>
      </c>
      <c r="AD1185" s="30" t="n">
        <v>0</v>
      </c>
      <c r="AE1185" s="30" t="str">
        <f aca="false">IF(AC1185&lt;判定条件!$C$6,"判定不能",IF(AD1185&gt;=判定条件!$C$7*AC1185,"運転",IF(AD1185&lt;=判定条件!$C$8*AC1185,"停止","断続")))</f>
        <v>判定不能</v>
      </c>
      <c r="AF1185" s="30" t="n">
        <v>60</v>
      </c>
      <c r="AG1185" s="30" t="n">
        <v>0</v>
      </c>
      <c r="AH1185" s="30" t="str">
        <f aca="false">IF(OR(P1185="判定不能",G1185="判定不能"),"判定不能",IF(AG1185&gt;=判定条件!$C$9,"利用可",IF(AND(P1185="停止",G1185="停止"),"両方停止","運転がそろわない")))</f>
        <v>両方停止</v>
      </c>
      <c r="AI1185" s="30" t="n">
        <v>0</v>
      </c>
      <c r="AJ1185" s="30" t="n">
        <v>0</v>
      </c>
      <c r="AK1185" s="30" t="str">
        <f aca="false">IF(OR(S1185="判定不能",J1185="判定不能"),"判定不能",IF(AJ1185&gt;=判定条件!$C$9,"利用可",IF(AND(S1185="停止",J1185="停止"),"両方停止","運転がそろわない")))</f>
        <v>判定不能</v>
      </c>
      <c r="AL1185" s="30" t="n">
        <v>60</v>
      </c>
      <c r="AM1185" s="30" t="n">
        <v>0</v>
      </c>
      <c r="AN1185" s="30" t="str">
        <f aca="false">IF(OR(V1185="判定不能",M1185="判定不能"),"判定不能",IF(AM1185&gt;=判定条件!$C$9,"利用可",IF(AND(V1185="停止",M1185="停止"),"両方停止","運転がそろわない")))</f>
        <v>両方停止</v>
      </c>
      <c r="AO1185" s="30" t="n">
        <v>0</v>
      </c>
      <c r="AP1185" s="30" t="n">
        <v>0</v>
      </c>
      <c r="AQ1185" s="30" t="str">
        <f aca="false">IF(OR(Y1185="判定不能",G1185="判定不能"),"判定不能",IF(AP1185&gt;=判定条件!$C$9,"利用可",IF(AND(Y1185="停止",G1185="停止"),"両方停止","運転がそろわない")))</f>
        <v>判定不能</v>
      </c>
      <c r="AR1185" s="30" t="n">
        <v>0</v>
      </c>
      <c r="AS1185" s="30" t="n">
        <v>0</v>
      </c>
      <c r="AT1185" s="30" t="str">
        <f aca="false">IF(OR(AB1185="判定不能",J1185="判定不能"),"判定不能",IF(AS1185&gt;=判定条件!$C$9,"利用可",IF(AND(AB1185="停止",J1185="停止"),"両方停止","運転がそろわない")))</f>
        <v>判定不能</v>
      </c>
      <c r="AU1185" s="30" t="n">
        <v>0</v>
      </c>
      <c r="AV1185" s="30" t="n">
        <v>0</v>
      </c>
      <c r="AW1185" s="30" t="str">
        <f aca="false">IF(OR(AE1185="判定不能",M1185="判定不能"),"判定不能",IF(AV1185&gt;=判定条件!$C$9,"利用可",IF(AND(AE1185="停止",M1185="停止"),"両方停止","運転がそろわない")))</f>
        <v>判定不能</v>
      </c>
      <c r="AX1185" s="30" t="str">
        <f aca="false">IF(AND(AH1185="利用可",AK1185="利用可",AN1185="利用可"),"利用可","不可")</f>
        <v>不可</v>
      </c>
      <c r="AY1185" s="30" t="str">
        <f aca="false">IF(AND(AQ1185="利用可",AT1185="利用可",AW1185="利用可"),"利用可","不可")</f>
        <v>不可</v>
      </c>
    </row>
    <row r="1186" customFormat="false" ht="15" hidden="false" customHeight="false" outlineLevel="0" collapsed="false">
      <c r="A1186" s="29" t="n">
        <v>46281</v>
      </c>
      <c r="B1186" s="30" t="n">
        <v>7</v>
      </c>
      <c r="C1186" s="31" t="s">
        <v>58</v>
      </c>
      <c r="D1186" s="31" t="s">
        <v>59</v>
      </c>
      <c r="E1186" s="30" t="n">
        <v>60</v>
      </c>
      <c r="F1186" s="30" t="n">
        <v>0</v>
      </c>
      <c r="G1186" s="30" t="str">
        <f aca="false">IF(E1186&lt;判定条件!$C$6,"判定不能",IF(F1186&gt;=判定条件!$C$7*E1186,"運転",IF(F1186&lt;=判定条件!$C$8*E1186,"停止","断続")))</f>
        <v>停止</v>
      </c>
      <c r="H1186" s="30" t="n">
        <v>0</v>
      </c>
      <c r="I1186" s="30" t="n">
        <v>0</v>
      </c>
      <c r="J1186" s="30" t="str">
        <f aca="false">IF(H1186&lt;判定条件!$C$6,"判定不能",IF(I1186&gt;=判定条件!$C$7*H1186,"運転",IF(I1186&lt;=判定条件!$C$8*H1186,"停止","断続")))</f>
        <v>判定不能</v>
      </c>
      <c r="K1186" s="30" t="n">
        <v>60</v>
      </c>
      <c r="L1186" s="30" t="n">
        <v>0</v>
      </c>
      <c r="M1186" s="30" t="str">
        <f aca="false">IF(K1186&lt;判定条件!$C$6,"判定不能",IF(L1186&gt;=判定条件!$C$7*K1186,"運転",IF(L1186&lt;=判定条件!$C$8*K1186,"停止","断続")))</f>
        <v>停止</v>
      </c>
      <c r="N1186" s="30" t="n">
        <v>60</v>
      </c>
      <c r="O1186" s="30" t="n">
        <v>4</v>
      </c>
      <c r="P1186" s="30" t="str">
        <f aca="false">IF(N1186&lt;判定条件!$C$6,"判定不能",IF(O1186&gt;=判定条件!$C$7*N1186,"運転",IF(O1186&lt;=判定条件!$C$8*N1186,"停止","断続")))</f>
        <v>停止</v>
      </c>
      <c r="Q1186" s="30" t="n">
        <v>60</v>
      </c>
      <c r="R1186" s="30" t="n">
        <v>0</v>
      </c>
      <c r="S1186" s="30" t="str">
        <f aca="false">IF(Q1186&lt;判定条件!$C$6,"判定不能",IF(R1186&gt;=判定条件!$C$7*Q1186,"運転",IF(R1186&lt;=判定条件!$C$8*Q1186,"停止","断続")))</f>
        <v>停止</v>
      </c>
      <c r="T1186" s="30" t="n">
        <v>60</v>
      </c>
      <c r="U1186" s="30" t="n">
        <v>0</v>
      </c>
      <c r="V1186" s="30" t="str">
        <f aca="false">IF(T1186&lt;判定条件!$C$6,"判定不能",IF(U1186&gt;=判定条件!$C$7*T1186,"運転",IF(U1186&lt;=判定条件!$C$8*T1186,"停止","断続")))</f>
        <v>停止</v>
      </c>
      <c r="W1186" s="30" t="n">
        <v>0</v>
      </c>
      <c r="X1186" s="30" t="n">
        <v>0</v>
      </c>
      <c r="Y1186" s="30" t="str">
        <f aca="false">IF(W1186&lt;判定条件!$C$6,"判定不能",IF(X1186&gt;=判定条件!$C$7*W1186,"運転",IF(X1186&lt;=判定条件!$C$8*W1186,"停止","断続")))</f>
        <v>判定不能</v>
      </c>
      <c r="Z1186" s="30" t="n">
        <v>0</v>
      </c>
      <c r="AA1186" s="30" t="n">
        <v>0</v>
      </c>
      <c r="AB1186" s="30" t="str">
        <f aca="false">IF(Z1186&lt;判定条件!$C$6,"判定不能",IF(AA1186&gt;=判定条件!$C$7*Z1186,"運転",IF(AA1186&lt;=判定条件!$C$8*Z1186,"停止","断続")))</f>
        <v>判定不能</v>
      </c>
      <c r="AC1186" s="30" t="n">
        <v>0</v>
      </c>
      <c r="AD1186" s="30" t="n">
        <v>0</v>
      </c>
      <c r="AE1186" s="30" t="str">
        <f aca="false">IF(AC1186&lt;判定条件!$C$6,"判定不能",IF(AD1186&gt;=判定条件!$C$7*AC1186,"運転",IF(AD1186&lt;=判定条件!$C$8*AC1186,"停止","断続")))</f>
        <v>判定不能</v>
      </c>
      <c r="AF1186" s="30" t="n">
        <v>60</v>
      </c>
      <c r="AG1186" s="30" t="n">
        <v>0</v>
      </c>
      <c r="AH1186" s="30" t="str">
        <f aca="false">IF(OR(P1186="判定不能",G1186="判定不能"),"判定不能",IF(AG1186&gt;=判定条件!$C$9,"利用可",IF(AND(P1186="停止",G1186="停止"),"両方停止","運転がそろわない")))</f>
        <v>両方停止</v>
      </c>
      <c r="AI1186" s="30" t="n">
        <v>0</v>
      </c>
      <c r="AJ1186" s="30" t="n">
        <v>0</v>
      </c>
      <c r="AK1186" s="30" t="str">
        <f aca="false">IF(OR(S1186="判定不能",J1186="判定不能"),"判定不能",IF(AJ1186&gt;=判定条件!$C$9,"利用可",IF(AND(S1186="停止",J1186="停止"),"両方停止","運転がそろわない")))</f>
        <v>判定不能</v>
      </c>
      <c r="AL1186" s="30" t="n">
        <v>60</v>
      </c>
      <c r="AM1186" s="30" t="n">
        <v>0</v>
      </c>
      <c r="AN1186" s="30" t="str">
        <f aca="false">IF(OR(V1186="判定不能",M1186="判定不能"),"判定不能",IF(AM1186&gt;=判定条件!$C$9,"利用可",IF(AND(V1186="停止",M1186="停止"),"両方停止","運転がそろわない")))</f>
        <v>両方停止</v>
      </c>
      <c r="AO1186" s="30" t="n">
        <v>0</v>
      </c>
      <c r="AP1186" s="30" t="n">
        <v>0</v>
      </c>
      <c r="AQ1186" s="30" t="str">
        <f aca="false">IF(OR(Y1186="判定不能",G1186="判定不能"),"判定不能",IF(AP1186&gt;=判定条件!$C$9,"利用可",IF(AND(Y1186="停止",G1186="停止"),"両方停止","運転がそろわない")))</f>
        <v>判定不能</v>
      </c>
      <c r="AR1186" s="30" t="n">
        <v>0</v>
      </c>
      <c r="AS1186" s="30" t="n">
        <v>0</v>
      </c>
      <c r="AT1186" s="30" t="str">
        <f aca="false">IF(OR(AB1186="判定不能",J1186="判定不能"),"判定不能",IF(AS1186&gt;=判定条件!$C$9,"利用可",IF(AND(AB1186="停止",J1186="停止"),"両方停止","運転がそろわない")))</f>
        <v>判定不能</v>
      </c>
      <c r="AU1186" s="30" t="n">
        <v>0</v>
      </c>
      <c r="AV1186" s="30" t="n">
        <v>0</v>
      </c>
      <c r="AW1186" s="30" t="str">
        <f aca="false">IF(OR(AE1186="判定不能",M1186="判定不能"),"判定不能",IF(AV1186&gt;=判定条件!$C$9,"利用可",IF(AND(AE1186="停止",M1186="停止"),"両方停止","運転がそろわない")))</f>
        <v>判定不能</v>
      </c>
      <c r="AX1186" s="30" t="str">
        <f aca="false">IF(AND(AH1186="利用可",AK1186="利用可",AN1186="利用可"),"利用可","不可")</f>
        <v>不可</v>
      </c>
      <c r="AY1186" s="30" t="str">
        <f aca="false">IF(AND(AQ1186="利用可",AT1186="利用可",AW1186="利用可"),"利用可","不可")</f>
        <v>不可</v>
      </c>
    </row>
    <row r="1187" customFormat="false" ht="15" hidden="false" customHeight="false" outlineLevel="0" collapsed="false">
      <c r="A1187" s="29" t="n">
        <v>46281</v>
      </c>
      <c r="B1187" s="30" t="n">
        <v>8</v>
      </c>
      <c r="C1187" s="31" t="s">
        <v>58</v>
      </c>
      <c r="D1187" s="31" t="s">
        <v>59</v>
      </c>
      <c r="E1187" s="30" t="n">
        <v>60</v>
      </c>
      <c r="F1187" s="30" t="n">
        <v>6</v>
      </c>
      <c r="G1187" s="30" t="str">
        <f aca="false">IF(E1187&lt;判定条件!$C$6,"判定不能",IF(F1187&gt;=判定条件!$C$7*E1187,"運転",IF(F1187&lt;=判定条件!$C$8*E1187,"停止","断続")))</f>
        <v>停止</v>
      </c>
      <c r="H1187" s="30" t="n">
        <v>0</v>
      </c>
      <c r="I1187" s="30" t="n">
        <v>0</v>
      </c>
      <c r="J1187" s="30" t="str">
        <f aca="false">IF(H1187&lt;判定条件!$C$6,"判定不能",IF(I1187&gt;=判定条件!$C$7*H1187,"運転",IF(I1187&lt;=判定条件!$C$8*H1187,"停止","断続")))</f>
        <v>判定不能</v>
      </c>
      <c r="K1187" s="30" t="n">
        <v>60</v>
      </c>
      <c r="L1187" s="30" t="n">
        <v>0</v>
      </c>
      <c r="M1187" s="30" t="str">
        <f aca="false">IF(K1187&lt;判定条件!$C$6,"判定不能",IF(L1187&gt;=判定条件!$C$7*K1187,"運転",IF(L1187&lt;=判定条件!$C$8*K1187,"停止","断続")))</f>
        <v>停止</v>
      </c>
      <c r="N1187" s="30" t="n">
        <v>60</v>
      </c>
      <c r="O1187" s="30" t="n">
        <v>15</v>
      </c>
      <c r="P1187" s="30" t="str">
        <f aca="false">IF(N1187&lt;判定条件!$C$6,"判定不能",IF(O1187&gt;=判定条件!$C$7*N1187,"運転",IF(O1187&lt;=判定条件!$C$8*N1187,"停止","断続")))</f>
        <v>断続</v>
      </c>
      <c r="Q1187" s="30" t="n">
        <v>60</v>
      </c>
      <c r="R1187" s="30" t="n">
        <v>25</v>
      </c>
      <c r="S1187" s="30" t="str">
        <f aca="false">IF(Q1187&lt;判定条件!$C$6,"判定不能",IF(R1187&gt;=判定条件!$C$7*Q1187,"運転",IF(R1187&lt;=判定条件!$C$8*Q1187,"停止","断続")))</f>
        <v>断続</v>
      </c>
      <c r="T1187" s="30" t="n">
        <v>60</v>
      </c>
      <c r="U1187" s="30" t="n">
        <v>30</v>
      </c>
      <c r="V1187" s="30" t="str">
        <f aca="false">IF(T1187&lt;判定条件!$C$6,"判定不能",IF(U1187&gt;=判定条件!$C$7*T1187,"運転",IF(U1187&lt;=判定条件!$C$8*T1187,"停止","断続")))</f>
        <v>断続</v>
      </c>
      <c r="W1187" s="30" t="n">
        <v>0</v>
      </c>
      <c r="X1187" s="30" t="n">
        <v>0</v>
      </c>
      <c r="Y1187" s="30" t="str">
        <f aca="false">IF(W1187&lt;判定条件!$C$6,"判定不能",IF(X1187&gt;=判定条件!$C$7*W1187,"運転",IF(X1187&lt;=判定条件!$C$8*W1187,"停止","断続")))</f>
        <v>判定不能</v>
      </c>
      <c r="Z1187" s="30" t="n">
        <v>0</v>
      </c>
      <c r="AA1187" s="30" t="n">
        <v>0</v>
      </c>
      <c r="AB1187" s="30" t="str">
        <f aca="false">IF(Z1187&lt;判定条件!$C$6,"判定不能",IF(AA1187&gt;=判定条件!$C$7*Z1187,"運転",IF(AA1187&lt;=判定条件!$C$8*Z1187,"停止","断続")))</f>
        <v>判定不能</v>
      </c>
      <c r="AC1187" s="30" t="n">
        <v>0</v>
      </c>
      <c r="AD1187" s="30" t="n">
        <v>0</v>
      </c>
      <c r="AE1187" s="30" t="str">
        <f aca="false">IF(AC1187&lt;判定条件!$C$6,"判定不能",IF(AD1187&gt;=判定条件!$C$7*AC1187,"運転",IF(AD1187&lt;=判定条件!$C$8*AC1187,"停止","断続")))</f>
        <v>判定不能</v>
      </c>
      <c r="AF1187" s="30" t="n">
        <v>60</v>
      </c>
      <c r="AG1187" s="30" t="n">
        <v>0</v>
      </c>
      <c r="AH1187" s="30" t="str">
        <f aca="false">IF(OR(P1187="判定不能",G1187="判定不能"),"判定不能",IF(AG1187&gt;=判定条件!$C$9,"利用可",IF(AND(P1187="停止",G1187="停止"),"両方停止","運転がそろわない")))</f>
        <v>運転がそろわない</v>
      </c>
      <c r="AI1187" s="30" t="n">
        <v>0</v>
      </c>
      <c r="AJ1187" s="30" t="n">
        <v>0</v>
      </c>
      <c r="AK1187" s="30" t="str">
        <f aca="false">IF(OR(S1187="判定不能",J1187="判定不能"),"判定不能",IF(AJ1187&gt;=判定条件!$C$9,"利用可",IF(AND(S1187="停止",J1187="停止"),"両方停止","運転がそろわない")))</f>
        <v>判定不能</v>
      </c>
      <c r="AL1187" s="30" t="n">
        <v>60</v>
      </c>
      <c r="AM1187" s="30" t="n">
        <v>0</v>
      </c>
      <c r="AN1187" s="30" t="str">
        <f aca="false">IF(OR(V1187="判定不能",M1187="判定不能"),"判定不能",IF(AM1187&gt;=判定条件!$C$9,"利用可",IF(AND(V1187="停止",M1187="停止"),"両方停止","運転がそろわない")))</f>
        <v>運転がそろわない</v>
      </c>
      <c r="AO1187" s="30" t="n">
        <v>0</v>
      </c>
      <c r="AP1187" s="30" t="n">
        <v>0</v>
      </c>
      <c r="AQ1187" s="30" t="str">
        <f aca="false">IF(OR(Y1187="判定不能",G1187="判定不能"),"判定不能",IF(AP1187&gt;=判定条件!$C$9,"利用可",IF(AND(Y1187="停止",G1187="停止"),"両方停止","運転がそろわない")))</f>
        <v>判定不能</v>
      </c>
      <c r="AR1187" s="30" t="n">
        <v>0</v>
      </c>
      <c r="AS1187" s="30" t="n">
        <v>0</v>
      </c>
      <c r="AT1187" s="30" t="str">
        <f aca="false">IF(OR(AB1187="判定不能",J1187="判定不能"),"判定不能",IF(AS1187&gt;=判定条件!$C$9,"利用可",IF(AND(AB1187="停止",J1187="停止"),"両方停止","運転がそろわない")))</f>
        <v>判定不能</v>
      </c>
      <c r="AU1187" s="30" t="n">
        <v>0</v>
      </c>
      <c r="AV1187" s="30" t="n">
        <v>0</v>
      </c>
      <c r="AW1187" s="30" t="str">
        <f aca="false">IF(OR(AE1187="判定不能",M1187="判定不能"),"判定不能",IF(AV1187&gt;=判定条件!$C$9,"利用可",IF(AND(AE1187="停止",M1187="停止"),"両方停止","運転がそろわない")))</f>
        <v>判定不能</v>
      </c>
      <c r="AX1187" s="30" t="str">
        <f aca="false">IF(AND(AH1187="利用可",AK1187="利用可",AN1187="利用可"),"利用可","不可")</f>
        <v>不可</v>
      </c>
      <c r="AY1187" s="30" t="str">
        <f aca="false">IF(AND(AQ1187="利用可",AT1187="利用可",AW1187="利用可"),"利用可","不可")</f>
        <v>不可</v>
      </c>
    </row>
    <row r="1188" customFormat="false" ht="15" hidden="false" customHeight="false" outlineLevel="0" collapsed="false">
      <c r="A1188" s="29" t="n">
        <v>46281</v>
      </c>
      <c r="B1188" s="30" t="n">
        <v>9</v>
      </c>
      <c r="C1188" s="31" t="s">
        <v>58</v>
      </c>
      <c r="D1188" s="31" t="s">
        <v>59</v>
      </c>
      <c r="E1188" s="30" t="n">
        <v>60</v>
      </c>
      <c r="F1188" s="30" t="n">
        <v>7</v>
      </c>
      <c r="G1188" s="30" t="str">
        <f aca="false">IF(E1188&lt;判定条件!$C$6,"判定不能",IF(F1188&gt;=判定条件!$C$7*E1188,"運転",IF(F1188&lt;=判定条件!$C$8*E1188,"停止","断続")))</f>
        <v>停止</v>
      </c>
      <c r="H1188" s="30" t="n">
        <v>0</v>
      </c>
      <c r="I1188" s="30" t="n">
        <v>0</v>
      </c>
      <c r="J1188" s="30" t="str">
        <f aca="false">IF(H1188&lt;判定条件!$C$6,"判定不能",IF(I1188&gt;=判定条件!$C$7*H1188,"運転",IF(I1188&lt;=判定条件!$C$8*H1188,"停止","断続")))</f>
        <v>判定不能</v>
      </c>
      <c r="K1188" s="30" t="n">
        <v>60</v>
      </c>
      <c r="L1188" s="30" t="n">
        <v>0</v>
      </c>
      <c r="M1188" s="30" t="str">
        <f aca="false">IF(K1188&lt;判定条件!$C$6,"判定不能",IF(L1188&gt;=判定条件!$C$7*K1188,"運転",IF(L1188&lt;=判定条件!$C$8*K1188,"停止","断続")))</f>
        <v>停止</v>
      </c>
      <c r="N1188" s="30" t="n">
        <v>60</v>
      </c>
      <c r="O1188" s="30" t="n">
        <v>31</v>
      </c>
      <c r="P1188" s="30" t="str">
        <f aca="false">IF(N1188&lt;判定条件!$C$6,"判定不能",IF(O1188&gt;=判定条件!$C$7*N1188,"運転",IF(O1188&lt;=判定条件!$C$8*N1188,"停止","断続")))</f>
        <v>断続</v>
      </c>
      <c r="Q1188" s="30" t="n">
        <v>60</v>
      </c>
      <c r="R1188" s="30" t="n">
        <v>39</v>
      </c>
      <c r="S1188" s="30" t="str">
        <f aca="false">IF(Q1188&lt;判定条件!$C$6,"判定不能",IF(R1188&gt;=判定条件!$C$7*Q1188,"運転",IF(R1188&lt;=判定条件!$C$8*Q1188,"停止","断続")))</f>
        <v>断続</v>
      </c>
      <c r="T1188" s="30" t="n">
        <v>60</v>
      </c>
      <c r="U1188" s="30" t="n">
        <v>49</v>
      </c>
      <c r="V1188" s="30" t="str">
        <f aca="false">IF(T1188&lt;判定条件!$C$6,"判定不能",IF(U1188&gt;=判定条件!$C$7*T1188,"運転",IF(U1188&lt;=判定条件!$C$8*T1188,"停止","断続")))</f>
        <v>運転</v>
      </c>
      <c r="W1188" s="30" t="n">
        <v>0</v>
      </c>
      <c r="X1188" s="30" t="n">
        <v>0</v>
      </c>
      <c r="Y1188" s="30" t="str">
        <f aca="false">IF(W1188&lt;判定条件!$C$6,"判定不能",IF(X1188&gt;=判定条件!$C$7*W1188,"運転",IF(X1188&lt;=判定条件!$C$8*W1188,"停止","断続")))</f>
        <v>判定不能</v>
      </c>
      <c r="Z1188" s="30" t="n">
        <v>0</v>
      </c>
      <c r="AA1188" s="30" t="n">
        <v>0</v>
      </c>
      <c r="AB1188" s="30" t="str">
        <f aca="false">IF(Z1188&lt;判定条件!$C$6,"判定不能",IF(AA1188&gt;=判定条件!$C$7*Z1188,"運転",IF(AA1188&lt;=判定条件!$C$8*Z1188,"停止","断続")))</f>
        <v>判定不能</v>
      </c>
      <c r="AC1188" s="30" t="n">
        <v>0</v>
      </c>
      <c r="AD1188" s="30" t="n">
        <v>0</v>
      </c>
      <c r="AE1188" s="30" t="str">
        <f aca="false">IF(AC1188&lt;判定条件!$C$6,"判定不能",IF(AD1188&gt;=判定条件!$C$7*AC1188,"運転",IF(AD1188&lt;=判定条件!$C$8*AC1188,"停止","断続")))</f>
        <v>判定不能</v>
      </c>
      <c r="AF1188" s="30" t="n">
        <v>60</v>
      </c>
      <c r="AG1188" s="30" t="n">
        <v>0</v>
      </c>
      <c r="AH1188" s="30" t="str">
        <f aca="false">IF(OR(P1188="判定不能",G1188="判定不能"),"判定不能",IF(AG1188&gt;=判定条件!$C$9,"利用可",IF(AND(P1188="停止",G1188="停止"),"両方停止","運転がそろわない")))</f>
        <v>運転がそろわない</v>
      </c>
      <c r="AI1188" s="30" t="n">
        <v>0</v>
      </c>
      <c r="AJ1188" s="30" t="n">
        <v>0</v>
      </c>
      <c r="AK1188" s="30" t="str">
        <f aca="false">IF(OR(S1188="判定不能",J1188="判定不能"),"判定不能",IF(AJ1188&gt;=判定条件!$C$9,"利用可",IF(AND(S1188="停止",J1188="停止"),"両方停止","運転がそろわない")))</f>
        <v>判定不能</v>
      </c>
      <c r="AL1188" s="30" t="n">
        <v>60</v>
      </c>
      <c r="AM1188" s="30" t="n">
        <v>0</v>
      </c>
      <c r="AN1188" s="30" t="str">
        <f aca="false">IF(OR(V1188="判定不能",M1188="判定不能"),"判定不能",IF(AM1188&gt;=判定条件!$C$9,"利用可",IF(AND(V1188="停止",M1188="停止"),"両方停止","運転がそろわない")))</f>
        <v>運転がそろわない</v>
      </c>
      <c r="AO1188" s="30" t="n">
        <v>0</v>
      </c>
      <c r="AP1188" s="30" t="n">
        <v>0</v>
      </c>
      <c r="AQ1188" s="30" t="str">
        <f aca="false">IF(OR(Y1188="判定不能",G1188="判定不能"),"判定不能",IF(AP1188&gt;=判定条件!$C$9,"利用可",IF(AND(Y1188="停止",G1188="停止"),"両方停止","運転がそろわない")))</f>
        <v>判定不能</v>
      </c>
      <c r="AR1188" s="30" t="n">
        <v>0</v>
      </c>
      <c r="AS1188" s="30" t="n">
        <v>0</v>
      </c>
      <c r="AT1188" s="30" t="str">
        <f aca="false">IF(OR(AB1188="判定不能",J1188="判定不能"),"判定不能",IF(AS1188&gt;=判定条件!$C$9,"利用可",IF(AND(AB1188="停止",J1188="停止"),"両方停止","運転がそろわない")))</f>
        <v>判定不能</v>
      </c>
      <c r="AU1188" s="30" t="n">
        <v>0</v>
      </c>
      <c r="AV1188" s="30" t="n">
        <v>0</v>
      </c>
      <c r="AW1188" s="30" t="str">
        <f aca="false">IF(OR(AE1188="判定不能",M1188="判定不能"),"判定不能",IF(AV1188&gt;=判定条件!$C$9,"利用可",IF(AND(AE1188="停止",M1188="停止"),"両方停止","運転がそろわない")))</f>
        <v>判定不能</v>
      </c>
      <c r="AX1188" s="30" t="str">
        <f aca="false">IF(AND(AH1188="利用可",AK1188="利用可",AN1188="利用可"),"利用可","不可")</f>
        <v>不可</v>
      </c>
      <c r="AY1188" s="30" t="str">
        <f aca="false">IF(AND(AQ1188="利用可",AT1188="利用可",AW1188="利用可"),"利用可","不可")</f>
        <v>不可</v>
      </c>
    </row>
    <row r="1189" customFormat="false" ht="15" hidden="false" customHeight="false" outlineLevel="0" collapsed="false">
      <c r="A1189" s="29" t="n">
        <v>46281</v>
      </c>
      <c r="B1189" s="30" t="n">
        <v>10</v>
      </c>
      <c r="C1189" s="31" t="s">
        <v>58</v>
      </c>
      <c r="D1189" s="31" t="s">
        <v>59</v>
      </c>
      <c r="E1189" s="30" t="n">
        <v>60</v>
      </c>
      <c r="F1189" s="30" t="n">
        <v>0</v>
      </c>
      <c r="G1189" s="30" t="str">
        <f aca="false">IF(E1189&lt;判定条件!$C$6,"判定不能",IF(F1189&gt;=判定条件!$C$7*E1189,"運転",IF(F1189&lt;=判定条件!$C$8*E1189,"停止","断続")))</f>
        <v>停止</v>
      </c>
      <c r="H1189" s="30" t="n">
        <v>0</v>
      </c>
      <c r="I1189" s="30" t="n">
        <v>0</v>
      </c>
      <c r="J1189" s="30" t="str">
        <f aca="false">IF(H1189&lt;判定条件!$C$6,"判定不能",IF(I1189&gt;=判定条件!$C$7*H1189,"運転",IF(I1189&lt;=判定条件!$C$8*H1189,"停止","断続")))</f>
        <v>判定不能</v>
      </c>
      <c r="K1189" s="30" t="n">
        <v>60</v>
      </c>
      <c r="L1189" s="30" t="n">
        <v>13</v>
      </c>
      <c r="M1189" s="30" t="str">
        <f aca="false">IF(K1189&lt;判定条件!$C$6,"判定不能",IF(L1189&gt;=判定条件!$C$7*K1189,"運転",IF(L1189&lt;=判定条件!$C$8*K1189,"停止","断続")))</f>
        <v>断続</v>
      </c>
      <c r="N1189" s="30" t="n">
        <v>60</v>
      </c>
      <c r="O1189" s="30" t="n">
        <v>0</v>
      </c>
      <c r="P1189" s="30" t="str">
        <f aca="false">IF(N1189&lt;判定条件!$C$6,"判定不能",IF(O1189&gt;=判定条件!$C$7*N1189,"運転",IF(O1189&lt;=判定条件!$C$8*N1189,"停止","断続")))</f>
        <v>停止</v>
      </c>
      <c r="Q1189" s="30" t="n">
        <v>60</v>
      </c>
      <c r="R1189" s="30" t="n">
        <v>24</v>
      </c>
      <c r="S1189" s="30" t="str">
        <f aca="false">IF(Q1189&lt;判定条件!$C$6,"判定不能",IF(R1189&gt;=判定条件!$C$7*Q1189,"運転",IF(R1189&lt;=判定条件!$C$8*Q1189,"停止","断続")))</f>
        <v>断続</v>
      </c>
      <c r="T1189" s="30" t="n">
        <v>60</v>
      </c>
      <c r="U1189" s="30" t="n">
        <v>48</v>
      </c>
      <c r="V1189" s="30" t="str">
        <f aca="false">IF(T1189&lt;判定条件!$C$6,"判定不能",IF(U1189&gt;=判定条件!$C$7*T1189,"運転",IF(U1189&lt;=判定条件!$C$8*T1189,"停止","断続")))</f>
        <v>運転</v>
      </c>
      <c r="W1189" s="30" t="n">
        <v>0</v>
      </c>
      <c r="X1189" s="30" t="n">
        <v>0</v>
      </c>
      <c r="Y1189" s="30" t="str">
        <f aca="false">IF(W1189&lt;判定条件!$C$6,"判定不能",IF(X1189&gt;=判定条件!$C$7*W1189,"運転",IF(X1189&lt;=判定条件!$C$8*W1189,"停止","断続")))</f>
        <v>判定不能</v>
      </c>
      <c r="Z1189" s="30" t="n">
        <v>0</v>
      </c>
      <c r="AA1189" s="30" t="n">
        <v>0</v>
      </c>
      <c r="AB1189" s="30" t="str">
        <f aca="false">IF(Z1189&lt;判定条件!$C$6,"判定不能",IF(AA1189&gt;=判定条件!$C$7*Z1189,"運転",IF(AA1189&lt;=判定条件!$C$8*Z1189,"停止","断続")))</f>
        <v>判定不能</v>
      </c>
      <c r="AC1189" s="30" t="n">
        <v>0</v>
      </c>
      <c r="AD1189" s="30" t="n">
        <v>0</v>
      </c>
      <c r="AE1189" s="30" t="str">
        <f aca="false">IF(AC1189&lt;判定条件!$C$6,"判定不能",IF(AD1189&gt;=判定条件!$C$7*AC1189,"運転",IF(AD1189&lt;=判定条件!$C$8*AC1189,"停止","断続")))</f>
        <v>判定不能</v>
      </c>
      <c r="AF1189" s="30" t="n">
        <v>60</v>
      </c>
      <c r="AG1189" s="30" t="n">
        <v>0</v>
      </c>
      <c r="AH1189" s="30" t="str">
        <f aca="false">IF(OR(P1189="判定不能",G1189="判定不能"),"判定不能",IF(AG1189&gt;=判定条件!$C$9,"利用可",IF(AND(P1189="停止",G1189="停止"),"両方停止","運転がそろわない")))</f>
        <v>両方停止</v>
      </c>
      <c r="AI1189" s="30" t="n">
        <v>0</v>
      </c>
      <c r="AJ1189" s="30" t="n">
        <v>0</v>
      </c>
      <c r="AK1189" s="30" t="str">
        <f aca="false">IF(OR(S1189="判定不能",J1189="判定不能"),"判定不能",IF(AJ1189&gt;=判定条件!$C$9,"利用可",IF(AND(S1189="停止",J1189="停止"),"両方停止","運転がそろわない")))</f>
        <v>判定不能</v>
      </c>
      <c r="AL1189" s="30" t="n">
        <v>60</v>
      </c>
      <c r="AM1189" s="30" t="n">
        <v>13</v>
      </c>
      <c r="AN1189" s="30" t="str">
        <f aca="false">IF(OR(V1189="判定不能",M1189="判定不能"),"判定不能",IF(AM1189&gt;=判定条件!$C$9,"利用可",IF(AND(V1189="停止",M1189="停止"),"両方停止","運転がそろわない")))</f>
        <v>運転がそろわない</v>
      </c>
      <c r="AO1189" s="30" t="n">
        <v>0</v>
      </c>
      <c r="AP1189" s="30" t="n">
        <v>0</v>
      </c>
      <c r="AQ1189" s="30" t="str">
        <f aca="false">IF(OR(Y1189="判定不能",G1189="判定不能"),"判定不能",IF(AP1189&gt;=判定条件!$C$9,"利用可",IF(AND(Y1189="停止",G1189="停止"),"両方停止","運転がそろわない")))</f>
        <v>判定不能</v>
      </c>
      <c r="AR1189" s="30" t="n">
        <v>0</v>
      </c>
      <c r="AS1189" s="30" t="n">
        <v>0</v>
      </c>
      <c r="AT1189" s="30" t="str">
        <f aca="false">IF(OR(AB1189="判定不能",J1189="判定不能"),"判定不能",IF(AS1189&gt;=判定条件!$C$9,"利用可",IF(AND(AB1189="停止",J1189="停止"),"両方停止","運転がそろわない")))</f>
        <v>判定不能</v>
      </c>
      <c r="AU1189" s="30" t="n">
        <v>0</v>
      </c>
      <c r="AV1189" s="30" t="n">
        <v>0</v>
      </c>
      <c r="AW1189" s="30" t="str">
        <f aca="false">IF(OR(AE1189="判定不能",M1189="判定不能"),"判定不能",IF(AV1189&gt;=判定条件!$C$9,"利用可",IF(AND(AE1189="停止",M1189="停止"),"両方停止","運転がそろわない")))</f>
        <v>判定不能</v>
      </c>
      <c r="AX1189" s="30" t="str">
        <f aca="false">IF(AND(AH1189="利用可",AK1189="利用可",AN1189="利用可"),"利用可","不可")</f>
        <v>不可</v>
      </c>
      <c r="AY1189" s="30" t="str">
        <f aca="false">IF(AND(AQ1189="利用可",AT1189="利用可",AW1189="利用可"),"利用可","不可")</f>
        <v>不可</v>
      </c>
    </row>
    <row r="1190" customFormat="false" ht="15" hidden="false" customHeight="false" outlineLevel="0" collapsed="false">
      <c r="A1190" s="29" t="n">
        <v>46281</v>
      </c>
      <c r="B1190" s="30" t="n">
        <v>11</v>
      </c>
      <c r="C1190" s="31" t="s">
        <v>58</v>
      </c>
      <c r="D1190" s="31" t="s">
        <v>59</v>
      </c>
      <c r="E1190" s="30" t="n">
        <v>60</v>
      </c>
      <c r="F1190" s="30" t="n">
        <v>0</v>
      </c>
      <c r="G1190" s="30" t="str">
        <f aca="false">IF(E1190&lt;判定条件!$C$6,"判定不能",IF(F1190&gt;=判定条件!$C$7*E1190,"運転",IF(F1190&lt;=判定条件!$C$8*E1190,"停止","断続")))</f>
        <v>停止</v>
      </c>
      <c r="H1190" s="30" t="n">
        <v>0</v>
      </c>
      <c r="I1190" s="30" t="n">
        <v>0</v>
      </c>
      <c r="J1190" s="30" t="str">
        <f aca="false">IF(H1190&lt;判定条件!$C$6,"判定不能",IF(I1190&gt;=判定条件!$C$7*H1190,"運転",IF(I1190&lt;=判定条件!$C$8*H1190,"停止","断続")))</f>
        <v>判定不能</v>
      </c>
      <c r="K1190" s="30" t="n">
        <v>60</v>
      </c>
      <c r="L1190" s="30" t="n">
        <v>10</v>
      </c>
      <c r="M1190" s="30" t="str">
        <f aca="false">IF(K1190&lt;判定条件!$C$6,"判定不能",IF(L1190&gt;=判定条件!$C$7*K1190,"運転",IF(L1190&lt;=判定条件!$C$8*K1190,"停止","断続")))</f>
        <v>停止</v>
      </c>
      <c r="N1190" s="30" t="n">
        <v>60</v>
      </c>
      <c r="O1190" s="30" t="n">
        <v>5</v>
      </c>
      <c r="P1190" s="30" t="str">
        <f aca="false">IF(N1190&lt;判定条件!$C$6,"判定不能",IF(O1190&gt;=判定条件!$C$7*N1190,"運転",IF(O1190&lt;=判定条件!$C$8*N1190,"停止","断続")))</f>
        <v>停止</v>
      </c>
      <c r="Q1190" s="30" t="n">
        <v>60</v>
      </c>
      <c r="R1190" s="30" t="n">
        <v>24</v>
      </c>
      <c r="S1190" s="30" t="str">
        <f aca="false">IF(Q1190&lt;判定条件!$C$6,"判定不能",IF(R1190&gt;=判定条件!$C$7*Q1190,"運転",IF(R1190&lt;=判定条件!$C$8*Q1190,"停止","断続")))</f>
        <v>断続</v>
      </c>
      <c r="T1190" s="30" t="n">
        <v>60</v>
      </c>
      <c r="U1190" s="30" t="n">
        <v>60</v>
      </c>
      <c r="V1190" s="30" t="str">
        <f aca="false">IF(T1190&lt;判定条件!$C$6,"判定不能",IF(U1190&gt;=判定条件!$C$7*T1190,"運転",IF(U1190&lt;=判定条件!$C$8*T1190,"停止","断続")))</f>
        <v>運転</v>
      </c>
      <c r="W1190" s="30" t="n">
        <v>0</v>
      </c>
      <c r="X1190" s="30" t="n">
        <v>0</v>
      </c>
      <c r="Y1190" s="30" t="str">
        <f aca="false">IF(W1190&lt;判定条件!$C$6,"判定不能",IF(X1190&gt;=判定条件!$C$7*W1190,"運転",IF(X1190&lt;=判定条件!$C$8*W1190,"停止","断続")))</f>
        <v>判定不能</v>
      </c>
      <c r="Z1190" s="30" t="n">
        <v>0</v>
      </c>
      <c r="AA1190" s="30" t="n">
        <v>0</v>
      </c>
      <c r="AB1190" s="30" t="str">
        <f aca="false">IF(Z1190&lt;判定条件!$C$6,"判定不能",IF(AA1190&gt;=判定条件!$C$7*Z1190,"運転",IF(AA1190&lt;=判定条件!$C$8*Z1190,"停止","断続")))</f>
        <v>判定不能</v>
      </c>
      <c r="AC1190" s="30" t="n">
        <v>0</v>
      </c>
      <c r="AD1190" s="30" t="n">
        <v>0</v>
      </c>
      <c r="AE1190" s="30" t="str">
        <f aca="false">IF(AC1190&lt;判定条件!$C$6,"判定不能",IF(AD1190&gt;=判定条件!$C$7*AC1190,"運転",IF(AD1190&lt;=判定条件!$C$8*AC1190,"停止","断続")))</f>
        <v>判定不能</v>
      </c>
      <c r="AF1190" s="30" t="n">
        <v>60</v>
      </c>
      <c r="AG1190" s="30" t="n">
        <v>0</v>
      </c>
      <c r="AH1190" s="30" t="str">
        <f aca="false">IF(OR(P1190="判定不能",G1190="判定不能"),"判定不能",IF(AG1190&gt;=判定条件!$C$9,"利用可",IF(AND(P1190="停止",G1190="停止"),"両方停止","運転がそろわない")))</f>
        <v>両方停止</v>
      </c>
      <c r="AI1190" s="30" t="n">
        <v>0</v>
      </c>
      <c r="AJ1190" s="30" t="n">
        <v>0</v>
      </c>
      <c r="AK1190" s="30" t="str">
        <f aca="false">IF(OR(S1190="判定不能",J1190="判定不能"),"判定不能",IF(AJ1190&gt;=判定条件!$C$9,"利用可",IF(AND(S1190="停止",J1190="停止"),"両方停止","運転がそろわない")))</f>
        <v>判定不能</v>
      </c>
      <c r="AL1190" s="30" t="n">
        <v>60</v>
      </c>
      <c r="AM1190" s="30" t="n">
        <v>10</v>
      </c>
      <c r="AN1190" s="30" t="str">
        <f aca="false">IF(OR(V1190="判定不能",M1190="判定不能"),"判定不能",IF(AM1190&gt;=判定条件!$C$9,"利用可",IF(AND(V1190="停止",M1190="停止"),"両方停止","運転がそろわない")))</f>
        <v>運転がそろわない</v>
      </c>
      <c r="AO1190" s="30" t="n">
        <v>0</v>
      </c>
      <c r="AP1190" s="30" t="n">
        <v>0</v>
      </c>
      <c r="AQ1190" s="30" t="str">
        <f aca="false">IF(OR(Y1190="判定不能",G1190="判定不能"),"判定不能",IF(AP1190&gt;=判定条件!$C$9,"利用可",IF(AND(Y1190="停止",G1190="停止"),"両方停止","運転がそろわない")))</f>
        <v>判定不能</v>
      </c>
      <c r="AR1190" s="30" t="n">
        <v>0</v>
      </c>
      <c r="AS1190" s="30" t="n">
        <v>0</v>
      </c>
      <c r="AT1190" s="30" t="str">
        <f aca="false">IF(OR(AB1190="判定不能",J1190="判定不能"),"判定不能",IF(AS1190&gt;=判定条件!$C$9,"利用可",IF(AND(AB1190="停止",J1190="停止"),"両方停止","運転がそろわない")))</f>
        <v>判定不能</v>
      </c>
      <c r="AU1190" s="30" t="n">
        <v>0</v>
      </c>
      <c r="AV1190" s="30" t="n">
        <v>0</v>
      </c>
      <c r="AW1190" s="30" t="str">
        <f aca="false">IF(OR(AE1190="判定不能",M1190="判定不能"),"判定不能",IF(AV1190&gt;=判定条件!$C$9,"利用可",IF(AND(AE1190="停止",M1190="停止"),"両方停止","運転がそろわない")))</f>
        <v>判定不能</v>
      </c>
      <c r="AX1190" s="30" t="str">
        <f aca="false">IF(AND(AH1190="利用可",AK1190="利用可",AN1190="利用可"),"利用可","不可")</f>
        <v>不可</v>
      </c>
      <c r="AY1190" s="30" t="str">
        <f aca="false">IF(AND(AQ1190="利用可",AT1190="利用可",AW1190="利用可"),"利用可","不可")</f>
        <v>不可</v>
      </c>
    </row>
    <row r="1191" customFormat="false" ht="15" hidden="false" customHeight="false" outlineLevel="0" collapsed="false">
      <c r="A1191" s="29" t="n">
        <v>46281</v>
      </c>
      <c r="B1191" s="30" t="n">
        <v>12</v>
      </c>
      <c r="C1191" s="31" t="s">
        <v>58</v>
      </c>
      <c r="D1191" s="31" t="s">
        <v>59</v>
      </c>
      <c r="E1191" s="30" t="n">
        <v>60</v>
      </c>
      <c r="F1191" s="30" t="n">
        <v>0</v>
      </c>
      <c r="G1191" s="30" t="str">
        <f aca="false">IF(E1191&lt;判定条件!$C$6,"判定不能",IF(F1191&gt;=判定条件!$C$7*E1191,"運転",IF(F1191&lt;=判定条件!$C$8*E1191,"停止","断続")))</f>
        <v>停止</v>
      </c>
      <c r="H1191" s="30" t="n">
        <v>0</v>
      </c>
      <c r="I1191" s="30" t="n">
        <v>0</v>
      </c>
      <c r="J1191" s="30" t="str">
        <f aca="false">IF(H1191&lt;判定条件!$C$6,"判定不能",IF(I1191&gt;=判定条件!$C$7*H1191,"運転",IF(I1191&lt;=判定条件!$C$8*H1191,"停止","断続")))</f>
        <v>判定不能</v>
      </c>
      <c r="K1191" s="30" t="n">
        <v>60</v>
      </c>
      <c r="L1191" s="30" t="n">
        <v>0</v>
      </c>
      <c r="M1191" s="30" t="str">
        <f aca="false">IF(K1191&lt;判定条件!$C$6,"判定不能",IF(L1191&gt;=判定条件!$C$7*K1191,"運転",IF(L1191&lt;=判定条件!$C$8*K1191,"停止","断続")))</f>
        <v>停止</v>
      </c>
      <c r="N1191" s="30" t="n">
        <v>60</v>
      </c>
      <c r="O1191" s="30" t="n">
        <v>4</v>
      </c>
      <c r="P1191" s="30" t="str">
        <f aca="false">IF(N1191&lt;判定条件!$C$6,"判定不能",IF(O1191&gt;=判定条件!$C$7*N1191,"運転",IF(O1191&lt;=判定条件!$C$8*N1191,"停止","断続")))</f>
        <v>停止</v>
      </c>
      <c r="Q1191" s="30" t="n">
        <v>60</v>
      </c>
      <c r="R1191" s="30" t="n">
        <v>40</v>
      </c>
      <c r="S1191" s="30" t="str">
        <f aca="false">IF(Q1191&lt;判定条件!$C$6,"判定不能",IF(R1191&gt;=判定条件!$C$7*Q1191,"運転",IF(R1191&lt;=判定条件!$C$8*Q1191,"停止","断続")))</f>
        <v>断続</v>
      </c>
      <c r="T1191" s="30" t="n">
        <v>60</v>
      </c>
      <c r="U1191" s="30" t="n">
        <v>60</v>
      </c>
      <c r="V1191" s="30" t="str">
        <f aca="false">IF(T1191&lt;判定条件!$C$6,"判定不能",IF(U1191&gt;=判定条件!$C$7*T1191,"運転",IF(U1191&lt;=判定条件!$C$8*T1191,"停止","断続")))</f>
        <v>運転</v>
      </c>
      <c r="W1191" s="30" t="n">
        <v>0</v>
      </c>
      <c r="X1191" s="30" t="n">
        <v>0</v>
      </c>
      <c r="Y1191" s="30" t="str">
        <f aca="false">IF(W1191&lt;判定条件!$C$6,"判定不能",IF(X1191&gt;=判定条件!$C$7*W1191,"運転",IF(X1191&lt;=判定条件!$C$8*W1191,"停止","断続")))</f>
        <v>判定不能</v>
      </c>
      <c r="Z1191" s="30" t="n">
        <v>0</v>
      </c>
      <c r="AA1191" s="30" t="n">
        <v>0</v>
      </c>
      <c r="AB1191" s="30" t="str">
        <f aca="false">IF(Z1191&lt;判定条件!$C$6,"判定不能",IF(AA1191&gt;=判定条件!$C$7*Z1191,"運転",IF(AA1191&lt;=判定条件!$C$8*Z1191,"停止","断続")))</f>
        <v>判定不能</v>
      </c>
      <c r="AC1191" s="30" t="n">
        <v>0</v>
      </c>
      <c r="AD1191" s="30" t="n">
        <v>0</v>
      </c>
      <c r="AE1191" s="30" t="str">
        <f aca="false">IF(AC1191&lt;判定条件!$C$6,"判定不能",IF(AD1191&gt;=判定条件!$C$7*AC1191,"運転",IF(AD1191&lt;=判定条件!$C$8*AC1191,"停止","断続")))</f>
        <v>判定不能</v>
      </c>
      <c r="AF1191" s="30" t="n">
        <v>60</v>
      </c>
      <c r="AG1191" s="30" t="n">
        <v>0</v>
      </c>
      <c r="AH1191" s="30" t="str">
        <f aca="false">IF(OR(P1191="判定不能",G1191="判定不能"),"判定不能",IF(AG1191&gt;=判定条件!$C$9,"利用可",IF(AND(P1191="停止",G1191="停止"),"両方停止","運転がそろわない")))</f>
        <v>両方停止</v>
      </c>
      <c r="AI1191" s="30" t="n">
        <v>0</v>
      </c>
      <c r="AJ1191" s="30" t="n">
        <v>0</v>
      </c>
      <c r="AK1191" s="30" t="str">
        <f aca="false">IF(OR(S1191="判定不能",J1191="判定不能"),"判定不能",IF(AJ1191&gt;=判定条件!$C$9,"利用可",IF(AND(S1191="停止",J1191="停止"),"両方停止","運転がそろわない")))</f>
        <v>判定不能</v>
      </c>
      <c r="AL1191" s="30" t="n">
        <v>60</v>
      </c>
      <c r="AM1191" s="30" t="n">
        <v>0</v>
      </c>
      <c r="AN1191" s="30" t="str">
        <f aca="false">IF(OR(V1191="判定不能",M1191="判定不能"),"判定不能",IF(AM1191&gt;=判定条件!$C$9,"利用可",IF(AND(V1191="停止",M1191="停止"),"両方停止","運転がそろわない")))</f>
        <v>運転がそろわない</v>
      </c>
      <c r="AO1191" s="30" t="n">
        <v>0</v>
      </c>
      <c r="AP1191" s="30" t="n">
        <v>0</v>
      </c>
      <c r="AQ1191" s="30" t="str">
        <f aca="false">IF(OR(Y1191="判定不能",G1191="判定不能"),"判定不能",IF(AP1191&gt;=判定条件!$C$9,"利用可",IF(AND(Y1191="停止",G1191="停止"),"両方停止","運転がそろわない")))</f>
        <v>判定不能</v>
      </c>
      <c r="AR1191" s="30" t="n">
        <v>0</v>
      </c>
      <c r="AS1191" s="30" t="n">
        <v>0</v>
      </c>
      <c r="AT1191" s="30" t="str">
        <f aca="false">IF(OR(AB1191="判定不能",J1191="判定不能"),"判定不能",IF(AS1191&gt;=判定条件!$C$9,"利用可",IF(AND(AB1191="停止",J1191="停止"),"両方停止","運転がそろわない")))</f>
        <v>判定不能</v>
      </c>
      <c r="AU1191" s="30" t="n">
        <v>0</v>
      </c>
      <c r="AV1191" s="30" t="n">
        <v>0</v>
      </c>
      <c r="AW1191" s="30" t="str">
        <f aca="false">IF(OR(AE1191="判定不能",M1191="判定不能"),"判定不能",IF(AV1191&gt;=判定条件!$C$9,"利用可",IF(AND(AE1191="停止",M1191="停止"),"両方停止","運転がそろわない")))</f>
        <v>判定不能</v>
      </c>
      <c r="AX1191" s="30" t="str">
        <f aca="false">IF(AND(AH1191="利用可",AK1191="利用可",AN1191="利用可"),"利用可","不可")</f>
        <v>不可</v>
      </c>
      <c r="AY1191" s="30" t="str">
        <f aca="false">IF(AND(AQ1191="利用可",AT1191="利用可",AW1191="利用可"),"利用可","不可")</f>
        <v>不可</v>
      </c>
    </row>
    <row r="1192" customFormat="false" ht="15" hidden="false" customHeight="false" outlineLevel="0" collapsed="false">
      <c r="A1192" s="29" t="n">
        <v>46281</v>
      </c>
      <c r="B1192" s="30" t="n">
        <v>13</v>
      </c>
      <c r="C1192" s="31" t="s">
        <v>58</v>
      </c>
      <c r="D1192" s="31" t="s">
        <v>59</v>
      </c>
      <c r="E1192" s="30" t="n">
        <v>60</v>
      </c>
      <c r="F1192" s="30" t="n">
        <v>0</v>
      </c>
      <c r="G1192" s="30" t="str">
        <f aca="false">IF(E1192&lt;判定条件!$C$6,"判定不能",IF(F1192&gt;=判定条件!$C$7*E1192,"運転",IF(F1192&lt;=判定条件!$C$8*E1192,"停止","断続")))</f>
        <v>停止</v>
      </c>
      <c r="H1192" s="30" t="n">
        <v>0</v>
      </c>
      <c r="I1192" s="30" t="n">
        <v>0</v>
      </c>
      <c r="J1192" s="30" t="str">
        <f aca="false">IF(H1192&lt;判定条件!$C$6,"判定不能",IF(I1192&gt;=判定条件!$C$7*H1192,"運転",IF(I1192&lt;=判定条件!$C$8*H1192,"停止","断続")))</f>
        <v>判定不能</v>
      </c>
      <c r="K1192" s="30" t="n">
        <v>60</v>
      </c>
      <c r="L1192" s="30" t="n">
        <v>0</v>
      </c>
      <c r="M1192" s="30" t="str">
        <f aca="false">IF(K1192&lt;判定条件!$C$6,"判定不能",IF(L1192&gt;=判定条件!$C$7*K1192,"運転",IF(L1192&lt;=判定条件!$C$8*K1192,"停止","断続")))</f>
        <v>停止</v>
      </c>
      <c r="N1192" s="30" t="n">
        <v>60</v>
      </c>
      <c r="O1192" s="30" t="n">
        <v>14</v>
      </c>
      <c r="P1192" s="30" t="str">
        <f aca="false">IF(N1192&lt;判定条件!$C$6,"判定不能",IF(O1192&gt;=判定条件!$C$7*N1192,"運転",IF(O1192&lt;=判定条件!$C$8*N1192,"停止","断続")))</f>
        <v>断続</v>
      </c>
      <c r="Q1192" s="30" t="n">
        <v>60</v>
      </c>
      <c r="R1192" s="30" t="n">
        <v>35</v>
      </c>
      <c r="S1192" s="30" t="str">
        <f aca="false">IF(Q1192&lt;判定条件!$C$6,"判定不能",IF(R1192&gt;=判定条件!$C$7*Q1192,"運転",IF(R1192&lt;=判定条件!$C$8*Q1192,"停止","断続")))</f>
        <v>断続</v>
      </c>
      <c r="T1192" s="30" t="n">
        <v>60</v>
      </c>
      <c r="U1192" s="30" t="n">
        <v>60</v>
      </c>
      <c r="V1192" s="30" t="str">
        <f aca="false">IF(T1192&lt;判定条件!$C$6,"判定不能",IF(U1192&gt;=判定条件!$C$7*T1192,"運転",IF(U1192&lt;=判定条件!$C$8*T1192,"停止","断続")))</f>
        <v>運転</v>
      </c>
      <c r="W1192" s="30" t="n">
        <v>0</v>
      </c>
      <c r="X1192" s="30" t="n">
        <v>0</v>
      </c>
      <c r="Y1192" s="30" t="str">
        <f aca="false">IF(W1192&lt;判定条件!$C$6,"判定不能",IF(X1192&gt;=判定条件!$C$7*W1192,"運転",IF(X1192&lt;=判定条件!$C$8*W1192,"停止","断続")))</f>
        <v>判定不能</v>
      </c>
      <c r="Z1192" s="30" t="n">
        <v>0</v>
      </c>
      <c r="AA1192" s="30" t="n">
        <v>0</v>
      </c>
      <c r="AB1192" s="30" t="str">
        <f aca="false">IF(Z1192&lt;判定条件!$C$6,"判定不能",IF(AA1192&gt;=判定条件!$C$7*Z1192,"運転",IF(AA1192&lt;=判定条件!$C$8*Z1192,"停止","断続")))</f>
        <v>判定不能</v>
      </c>
      <c r="AC1192" s="30" t="n">
        <v>0</v>
      </c>
      <c r="AD1192" s="30" t="n">
        <v>0</v>
      </c>
      <c r="AE1192" s="30" t="str">
        <f aca="false">IF(AC1192&lt;判定条件!$C$6,"判定不能",IF(AD1192&gt;=判定条件!$C$7*AC1192,"運転",IF(AD1192&lt;=判定条件!$C$8*AC1192,"停止","断続")))</f>
        <v>判定不能</v>
      </c>
      <c r="AF1192" s="30" t="n">
        <v>60</v>
      </c>
      <c r="AG1192" s="30" t="n">
        <v>0</v>
      </c>
      <c r="AH1192" s="30" t="str">
        <f aca="false">IF(OR(P1192="判定不能",G1192="判定不能"),"判定不能",IF(AG1192&gt;=判定条件!$C$9,"利用可",IF(AND(P1192="停止",G1192="停止"),"両方停止","運転がそろわない")))</f>
        <v>運転がそろわない</v>
      </c>
      <c r="AI1192" s="30" t="n">
        <v>0</v>
      </c>
      <c r="AJ1192" s="30" t="n">
        <v>0</v>
      </c>
      <c r="AK1192" s="30" t="str">
        <f aca="false">IF(OR(S1192="判定不能",J1192="判定不能"),"判定不能",IF(AJ1192&gt;=判定条件!$C$9,"利用可",IF(AND(S1192="停止",J1192="停止"),"両方停止","運転がそろわない")))</f>
        <v>判定不能</v>
      </c>
      <c r="AL1192" s="30" t="n">
        <v>60</v>
      </c>
      <c r="AM1192" s="30" t="n">
        <v>0</v>
      </c>
      <c r="AN1192" s="30" t="str">
        <f aca="false">IF(OR(V1192="判定不能",M1192="判定不能"),"判定不能",IF(AM1192&gt;=判定条件!$C$9,"利用可",IF(AND(V1192="停止",M1192="停止"),"両方停止","運転がそろわない")))</f>
        <v>運転がそろわない</v>
      </c>
      <c r="AO1192" s="30" t="n">
        <v>0</v>
      </c>
      <c r="AP1192" s="30" t="n">
        <v>0</v>
      </c>
      <c r="AQ1192" s="30" t="str">
        <f aca="false">IF(OR(Y1192="判定不能",G1192="判定不能"),"判定不能",IF(AP1192&gt;=判定条件!$C$9,"利用可",IF(AND(Y1192="停止",G1192="停止"),"両方停止","運転がそろわない")))</f>
        <v>判定不能</v>
      </c>
      <c r="AR1192" s="30" t="n">
        <v>0</v>
      </c>
      <c r="AS1192" s="30" t="n">
        <v>0</v>
      </c>
      <c r="AT1192" s="30" t="str">
        <f aca="false">IF(OR(AB1192="判定不能",J1192="判定不能"),"判定不能",IF(AS1192&gt;=判定条件!$C$9,"利用可",IF(AND(AB1192="停止",J1192="停止"),"両方停止","運転がそろわない")))</f>
        <v>判定不能</v>
      </c>
      <c r="AU1192" s="30" t="n">
        <v>0</v>
      </c>
      <c r="AV1192" s="30" t="n">
        <v>0</v>
      </c>
      <c r="AW1192" s="30" t="str">
        <f aca="false">IF(OR(AE1192="判定不能",M1192="判定不能"),"判定不能",IF(AV1192&gt;=判定条件!$C$9,"利用可",IF(AND(AE1192="停止",M1192="停止"),"両方停止","運転がそろわない")))</f>
        <v>判定不能</v>
      </c>
      <c r="AX1192" s="30" t="str">
        <f aca="false">IF(AND(AH1192="利用可",AK1192="利用可",AN1192="利用可"),"利用可","不可")</f>
        <v>不可</v>
      </c>
      <c r="AY1192" s="30" t="str">
        <f aca="false">IF(AND(AQ1192="利用可",AT1192="利用可",AW1192="利用可"),"利用可","不可")</f>
        <v>不可</v>
      </c>
    </row>
    <row r="1193" customFormat="false" ht="15" hidden="false" customHeight="false" outlineLevel="0" collapsed="false">
      <c r="A1193" s="29" t="n">
        <v>46281</v>
      </c>
      <c r="B1193" s="30" t="n">
        <v>14</v>
      </c>
      <c r="C1193" s="31" t="s">
        <v>58</v>
      </c>
      <c r="D1193" s="31" t="s">
        <v>59</v>
      </c>
      <c r="E1193" s="30" t="n">
        <v>60</v>
      </c>
      <c r="F1193" s="30" t="n">
        <v>9</v>
      </c>
      <c r="G1193" s="30" t="str">
        <f aca="false">IF(E1193&lt;判定条件!$C$6,"判定不能",IF(F1193&gt;=判定条件!$C$7*E1193,"運転",IF(F1193&lt;=判定条件!$C$8*E1193,"停止","断続")))</f>
        <v>停止</v>
      </c>
      <c r="H1193" s="30" t="n">
        <v>0</v>
      </c>
      <c r="I1193" s="30" t="n">
        <v>0</v>
      </c>
      <c r="J1193" s="30" t="str">
        <f aca="false">IF(H1193&lt;判定条件!$C$6,"判定不能",IF(I1193&gt;=判定条件!$C$7*H1193,"運転",IF(I1193&lt;=判定条件!$C$8*H1193,"停止","断続")))</f>
        <v>判定不能</v>
      </c>
      <c r="K1193" s="30" t="n">
        <v>60</v>
      </c>
      <c r="L1193" s="30" t="n">
        <v>0</v>
      </c>
      <c r="M1193" s="30" t="str">
        <f aca="false">IF(K1193&lt;判定条件!$C$6,"判定不能",IF(L1193&gt;=判定条件!$C$7*K1193,"運転",IF(L1193&lt;=判定条件!$C$8*K1193,"停止","断続")))</f>
        <v>停止</v>
      </c>
      <c r="N1193" s="30" t="n">
        <v>60</v>
      </c>
      <c r="O1193" s="30" t="n">
        <v>6</v>
      </c>
      <c r="P1193" s="30" t="str">
        <f aca="false">IF(N1193&lt;判定条件!$C$6,"判定不能",IF(O1193&gt;=判定条件!$C$7*N1193,"運転",IF(O1193&lt;=判定条件!$C$8*N1193,"停止","断続")))</f>
        <v>停止</v>
      </c>
      <c r="Q1193" s="30" t="n">
        <v>60</v>
      </c>
      <c r="R1193" s="30" t="n">
        <v>35</v>
      </c>
      <c r="S1193" s="30" t="str">
        <f aca="false">IF(Q1193&lt;判定条件!$C$6,"判定不能",IF(R1193&gt;=判定条件!$C$7*Q1193,"運転",IF(R1193&lt;=判定条件!$C$8*Q1193,"停止","断続")))</f>
        <v>断続</v>
      </c>
      <c r="T1193" s="30" t="n">
        <v>60</v>
      </c>
      <c r="U1193" s="30" t="n">
        <v>60</v>
      </c>
      <c r="V1193" s="30" t="str">
        <f aca="false">IF(T1193&lt;判定条件!$C$6,"判定不能",IF(U1193&gt;=判定条件!$C$7*T1193,"運転",IF(U1193&lt;=判定条件!$C$8*T1193,"停止","断続")))</f>
        <v>運転</v>
      </c>
      <c r="W1193" s="30" t="n">
        <v>0</v>
      </c>
      <c r="X1193" s="30" t="n">
        <v>0</v>
      </c>
      <c r="Y1193" s="30" t="str">
        <f aca="false">IF(W1193&lt;判定条件!$C$6,"判定不能",IF(X1193&gt;=判定条件!$C$7*W1193,"運転",IF(X1193&lt;=判定条件!$C$8*W1193,"停止","断続")))</f>
        <v>判定不能</v>
      </c>
      <c r="Z1193" s="30" t="n">
        <v>0</v>
      </c>
      <c r="AA1193" s="30" t="n">
        <v>0</v>
      </c>
      <c r="AB1193" s="30" t="str">
        <f aca="false">IF(Z1193&lt;判定条件!$C$6,"判定不能",IF(AA1193&gt;=判定条件!$C$7*Z1193,"運転",IF(AA1193&lt;=判定条件!$C$8*Z1193,"停止","断続")))</f>
        <v>判定不能</v>
      </c>
      <c r="AC1193" s="30" t="n">
        <v>0</v>
      </c>
      <c r="AD1193" s="30" t="n">
        <v>0</v>
      </c>
      <c r="AE1193" s="30" t="str">
        <f aca="false">IF(AC1193&lt;判定条件!$C$6,"判定不能",IF(AD1193&gt;=判定条件!$C$7*AC1193,"運転",IF(AD1193&lt;=判定条件!$C$8*AC1193,"停止","断続")))</f>
        <v>判定不能</v>
      </c>
      <c r="AF1193" s="30" t="n">
        <v>60</v>
      </c>
      <c r="AG1193" s="30" t="n">
        <v>0</v>
      </c>
      <c r="AH1193" s="30" t="str">
        <f aca="false">IF(OR(P1193="判定不能",G1193="判定不能"),"判定不能",IF(AG1193&gt;=判定条件!$C$9,"利用可",IF(AND(P1193="停止",G1193="停止"),"両方停止","運転がそろわない")))</f>
        <v>両方停止</v>
      </c>
      <c r="AI1193" s="30" t="n">
        <v>0</v>
      </c>
      <c r="AJ1193" s="30" t="n">
        <v>0</v>
      </c>
      <c r="AK1193" s="30" t="str">
        <f aca="false">IF(OR(S1193="判定不能",J1193="判定不能"),"判定不能",IF(AJ1193&gt;=判定条件!$C$9,"利用可",IF(AND(S1193="停止",J1193="停止"),"両方停止","運転がそろわない")))</f>
        <v>判定不能</v>
      </c>
      <c r="AL1193" s="30" t="n">
        <v>60</v>
      </c>
      <c r="AM1193" s="30" t="n">
        <v>0</v>
      </c>
      <c r="AN1193" s="30" t="str">
        <f aca="false">IF(OR(V1193="判定不能",M1193="判定不能"),"判定不能",IF(AM1193&gt;=判定条件!$C$9,"利用可",IF(AND(V1193="停止",M1193="停止"),"両方停止","運転がそろわない")))</f>
        <v>運転がそろわない</v>
      </c>
      <c r="AO1193" s="30" t="n">
        <v>0</v>
      </c>
      <c r="AP1193" s="30" t="n">
        <v>0</v>
      </c>
      <c r="AQ1193" s="30" t="str">
        <f aca="false">IF(OR(Y1193="判定不能",G1193="判定不能"),"判定不能",IF(AP1193&gt;=判定条件!$C$9,"利用可",IF(AND(Y1193="停止",G1193="停止"),"両方停止","運転がそろわない")))</f>
        <v>判定不能</v>
      </c>
      <c r="AR1193" s="30" t="n">
        <v>0</v>
      </c>
      <c r="AS1193" s="30" t="n">
        <v>0</v>
      </c>
      <c r="AT1193" s="30" t="str">
        <f aca="false">IF(OR(AB1193="判定不能",J1193="判定不能"),"判定不能",IF(AS1193&gt;=判定条件!$C$9,"利用可",IF(AND(AB1193="停止",J1193="停止"),"両方停止","運転がそろわない")))</f>
        <v>判定不能</v>
      </c>
      <c r="AU1193" s="30" t="n">
        <v>0</v>
      </c>
      <c r="AV1193" s="30" t="n">
        <v>0</v>
      </c>
      <c r="AW1193" s="30" t="str">
        <f aca="false">IF(OR(AE1193="判定不能",M1193="判定不能"),"判定不能",IF(AV1193&gt;=判定条件!$C$9,"利用可",IF(AND(AE1193="停止",M1193="停止"),"両方停止","運転がそろわない")))</f>
        <v>判定不能</v>
      </c>
      <c r="AX1193" s="30" t="str">
        <f aca="false">IF(AND(AH1193="利用可",AK1193="利用可",AN1193="利用可"),"利用可","不可")</f>
        <v>不可</v>
      </c>
      <c r="AY1193" s="30" t="str">
        <f aca="false">IF(AND(AQ1193="利用可",AT1193="利用可",AW1193="利用可"),"利用可","不可")</f>
        <v>不可</v>
      </c>
    </row>
    <row r="1194" customFormat="false" ht="15" hidden="false" customHeight="false" outlineLevel="0" collapsed="false">
      <c r="A1194" s="29" t="n">
        <v>46281</v>
      </c>
      <c r="B1194" s="30" t="n">
        <v>15</v>
      </c>
      <c r="C1194" s="31" t="s">
        <v>58</v>
      </c>
      <c r="D1194" s="31" t="s">
        <v>59</v>
      </c>
      <c r="E1194" s="30" t="n">
        <v>60</v>
      </c>
      <c r="F1194" s="30" t="n">
        <v>0</v>
      </c>
      <c r="G1194" s="30" t="str">
        <f aca="false">IF(E1194&lt;判定条件!$C$6,"判定不能",IF(F1194&gt;=判定条件!$C$7*E1194,"運転",IF(F1194&lt;=判定条件!$C$8*E1194,"停止","断続")))</f>
        <v>停止</v>
      </c>
      <c r="H1194" s="30" t="n">
        <v>0</v>
      </c>
      <c r="I1194" s="30" t="n">
        <v>0</v>
      </c>
      <c r="J1194" s="30" t="str">
        <f aca="false">IF(H1194&lt;判定条件!$C$6,"判定不能",IF(I1194&gt;=判定条件!$C$7*H1194,"運転",IF(I1194&lt;=判定条件!$C$8*H1194,"停止","断続")))</f>
        <v>判定不能</v>
      </c>
      <c r="K1194" s="30" t="n">
        <v>60</v>
      </c>
      <c r="L1194" s="30" t="n">
        <v>0</v>
      </c>
      <c r="M1194" s="30" t="str">
        <f aca="false">IF(K1194&lt;判定条件!$C$6,"判定不能",IF(L1194&gt;=判定条件!$C$7*K1194,"運転",IF(L1194&lt;=判定条件!$C$8*K1194,"停止","断続")))</f>
        <v>停止</v>
      </c>
      <c r="N1194" s="30" t="n">
        <v>60</v>
      </c>
      <c r="O1194" s="30" t="n">
        <v>17</v>
      </c>
      <c r="P1194" s="30" t="str">
        <f aca="false">IF(N1194&lt;判定条件!$C$6,"判定不能",IF(O1194&gt;=判定条件!$C$7*N1194,"運転",IF(O1194&lt;=判定条件!$C$8*N1194,"停止","断続")))</f>
        <v>断続</v>
      </c>
      <c r="Q1194" s="30" t="n">
        <v>60</v>
      </c>
      <c r="R1194" s="30" t="n">
        <v>32</v>
      </c>
      <c r="S1194" s="30" t="str">
        <f aca="false">IF(Q1194&lt;判定条件!$C$6,"判定不能",IF(R1194&gt;=判定条件!$C$7*Q1194,"運転",IF(R1194&lt;=判定条件!$C$8*Q1194,"停止","断続")))</f>
        <v>断続</v>
      </c>
      <c r="T1194" s="30" t="n">
        <v>60</v>
      </c>
      <c r="U1194" s="30" t="n">
        <v>60</v>
      </c>
      <c r="V1194" s="30" t="str">
        <f aca="false">IF(T1194&lt;判定条件!$C$6,"判定不能",IF(U1194&gt;=判定条件!$C$7*T1194,"運転",IF(U1194&lt;=判定条件!$C$8*T1194,"停止","断続")))</f>
        <v>運転</v>
      </c>
      <c r="W1194" s="30" t="n">
        <v>0</v>
      </c>
      <c r="X1194" s="30" t="n">
        <v>0</v>
      </c>
      <c r="Y1194" s="30" t="str">
        <f aca="false">IF(W1194&lt;判定条件!$C$6,"判定不能",IF(X1194&gt;=判定条件!$C$7*W1194,"運転",IF(X1194&lt;=判定条件!$C$8*W1194,"停止","断続")))</f>
        <v>判定不能</v>
      </c>
      <c r="Z1194" s="30" t="n">
        <v>0</v>
      </c>
      <c r="AA1194" s="30" t="n">
        <v>0</v>
      </c>
      <c r="AB1194" s="30" t="str">
        <f aca="false">IF(Z1194&lt;判定条件!$C$6,"判定不能",IF(AA1194&gt;=判定条件!$C$7*Z1194,"運転",IF(AA1194&lt;=判定条件!$C$8*Z1194,"停止","断続")))</f>
        <v>判定不能</v>
      </c>
      <c r="AC1194" s="30" t="n">
        <v>0</v>
      </c>
      <c r="AD1194" s="30" t="n">
        <v>0</v>
      </c>
      <c r="AE1194" s="30" t="str">
        <f aca="false">IF(AC1194&lt;判定条件!$C$6,"判定不能",IF(AD1194&gt;=判定条件!$C$7*AC1194,"運転",IF(AD1194&lt;=判定条件!$C$8*AC1194,"停止","断続")))</f>
        <v>判定不能</v>
      </c>
      <c r="AF1194" s="30" t="n">
        <v>60</v>
      </c>
      <c r="AG1194" s="30" t="n">
        <v>0</v>
      </c>
      <c r="AH1194" s="30" t="str">
        <f aca="false">IF(OR(P1194="判定不能",G1194="判定不能"),"判定不能",IF(AG1194&gt;=判定条件!$C$9,"利用可",IF(AND(P1194="停止",G1194="停止"),"両方停止","運転がそろわない")))</f>
        <v>運転がそろわない</v>
      </c>
      <c r="AI1194" s="30" t="n">
        <v>0</v>
      </c>
      <c r="AJ1194" s="30" t="n">
        <v>0</v>
      </c>
      <c r="AK1194" s="30" t="str">
        <f aca="false">IF(OR(S1194="判定不能",J1194="判定不能"),"判定不能",IF(AJ1194&gt;=判定条件!$C$9,"利用可",IF(AND(S1194="停止",J1194="停止"),"両方停止","運転がそろわない")))</f>
        <v>判定不能</v>
      </c>
      <c r="AL1194" s="30" t="n">
        <v>60</v>
      </c>
      <c r="AM1194" s="30" t="n">
        <v>0</v>
      </c>
      <c r="AN1194" s="30" t="str">
        <f aca="false">IF(OR(V1194="判定不能",M1194="判定不能"),"判定不能",IF(AM1194&gt;=判定条件!$C$9,"利用可",IF(AND(V1194="停止",M1194="停止"),"両方停止","運転がそろわない")))</f>
        <v>運転がそろわない</v>
      </c>
      <c r="AO1194" s="30" t="n">
        <v>0</v>
      </c>
      <c r="AP1194" s="30" t="n">
        <v>0</v>
      </c>
      <c r="AQ1194" s="30" t="str">
        <f aca="false">IF(OR(Y1194="判定不能",G1194="判定不能"),"判定不能",IF(AP1194&gt;=判定条件!$C$9,"利用可",IF(AND(Y1194="停止",G1194="停止"),"両方停止","運転がそろわない")))</f>
        <v>判定不能</v>
      </c>
      <c r="AR1194" s="30" t="n">
        <v>0</v>
      </c>
      <c r="AS1194" s="30" t="n">
        <v>0</v>
      </c>
      <c r="AT1194" s="30" t="str">
        <f aca="false">IF(OR(AB1194="判定不能",J1194="判定不能"),"判定不能",IF(AS1194&gt;=判定条件!$C$9,"利用可",IF(AND(AB1194="停止",J1194="停止"),"両方停止","運転がそろわない")))</f>
        <v>判定不能</v>
      </c>
      <c r="AU1194" s="30" t="n">
        <v>0</v>
      </c>
      <c r="AV1194" s="30" t="n">
        <v>0</v>
      </c>
      <c r="AW1194" s="30" t="str">
        <f aca="false">IF(OR(AE1194="判定不能",M1194="判定不能"),"判定不能",IF(AV1194&gt;=判定条件!$C$9,"利用可",IF(AND(AE1194="停止",M1194="停止"),"両方停止","運転がそろわない")))</f>
        <v>判定不能</v>
      </c>
      <c r="AX1194" s="30" t="str">
        <f aca="false">IF(AND(AH1194="利用可",AK1194="利用可",AN1194="利用可"),"利用可","不可")</f>
        <v>不可</v>
      </c>
      <c r="AY1194" s="30" t="str">
        <f aca="false">IF(AND(AQ1194="利用可",AT1194="利用可",AW1194="利用可"),"利用可","不可")</f>
        <v>不可</v>
      </c>
    </row>
    <row r="1195" customFormat="false" ht="15" hidden="false" customHeight="false" outlineLevel="0" collapsed="false">
      <c r="A1195" s="29" t="n">
        <v>46281</v>
      </c>
      <c r="B1195" s="30" t="n">
        <v>16</v>
      </c>
      <c r="C1195" s="31" t="s">
        <v>58</v>
      </c>
      <c r="D1195" s="31" t="s">
        <v>59</v>
      </c>
      <c r="E1195" s="30" t="n">
        <v>60</v>
      </c>
      <c r="F1195" s="30" t="n">
        <v>0</v>
      </c>
      <c r="G1195" s="30" t="str">
        <f aca="false">IF(E1195&lt;判定条件!$C$6,"判定不能",IF(F1195&gt;=判定条件!$C$7*E1195,"運転",IF(F1195&lt;=判定条件!$C$8*E1195,"停止","断続")))</f>
        <v>停止</v>
      </c>
      <c r="H1195" s="30" t="n">
        <v>0</v>
      </c>
      <c r="I1195" s="30" t="n">
        <v>0</v>
      </c>
      <c r="J1195" s="30" t="str">
        <f aca="false">IF(H1195&lt;判定条件!$C$6,"判定不能",IF(I1195&gt;=判定条件!$C$7*H1195,"運転",IF(I1195&lt;=判定条件!$C$8*H1195,"停止","断続")))</f>
        <v>判定不能</v>
      </c>
      <c r="K1195" s="30" t="n">
        <v>60</v>
      </c>
      <c r="L1195" s="30" t="n">
        <v>0</v>
      </c>
      <c r="M1195" s="30" t="str">
        <f aca="false">IF(K1195&lt;判定条件!$C$6,"判定不能",IF(L1195&gt;=判定条件!$C$7*K1195,"運転",IF(L1195&lt;=判定条件!$C$8*K1195,"停止","断続")))</f>
        <v>停止</v>
      </c>
      <c r="N1195" s="30" t="n">
        <v>60</v>
      </c>
      <c r="O1195" s="30" t="n">
        <v>0</v>
      </c>
      <c r="P1195" s="30" t="str">
        <f aca="false">IF(N1195&lt;判定条件!$C$6,"判定不能",IF(O1195&gt;=判定条件!$C$7*N1195,"運転",IF(O1195&lt;=判定条件!$C$8*N1195,"停止","断続")))</f>
        <v>停止</v>
      </c>
      <c r="Q1195" s="30" t="n">
        <v>60</v>
      </c>
      <c r="R1195" s="30" t="n">
        <v>34</v>
      </c>
      <c r="S1195" s="30" t="str">
        <f aca="false">IF(Q1195&lt;判定条件!$C$6,"判定不能",IF(R1195&gt;=判定条件!$C$7*Q1195,"運転",IF(R1195&lt;=判定条件!$C$8*Q1195,"停止","断続")))</f>
        <v>断続</v>
      </c>
      <c r="T1195" s="30" t="n">
        <v>60</v>
      </c>
      <c r="U1195" s="30" t="n">
        <v>31</v>
      </c>
      <c r="V1195" s="30" t="str">
        <f aca="false">IF(T1195&lt;判定条件!$C$6,"判定不能",IF(U1195&gt;=判定条件!$C$7*T1195,"運転",IF(U1195&lt;=判定条件!$C$8*T1195,"停止","断続")))</f>
        <v>断続</v>
      </c>
      <c r="W1195" s="30" t="n">
        <v>0</v>
      </c>
      <c r="X1195" s="30" t="n">
        <v>0</v>
      </c>
      <c r="Y1195" s="30" t="str">
        <f aca="false">IF(W1195&lt;判定条件!$C$6,"判定不能",IF(X1195&gt;=判定条件!$C$7*W1195,"運転",IF(X1195&lt;=判定条件!$C$8*W1195,"停止","断続")))</f>
        <v>判定不能</v>
      </c>
      <c r="Z1195" s="30" t="n">
        <v>0</v>
      </c>
      <c r="AA1195" s="30" t="n">
        <v>0</v>
      </c>
      <c r="AB1195" s="30" t="str">
        <f aca="false">IF(Z1195&lt;判定条件!$C$6,"判定不能",IF(AA1195&gt;=判定条件!$C$7*Z1195,"運転",IF(AA1195&lt;=判定条件!$C$8*Z1195,"停止","断続")))</f>
        <v>判定不能</v>
      </c>
      <c r="AC1195" s="30" t="n">
        <v>0</v>
      </c>
      <c r="AD1195" s="30" t="n">
        <v>0</v>
      </c>
      <c r="AE1195" s="30" t="str">
        <f aca="false">IF(AC1195&lt;判定条件!$C$6,"判定不能",IF(AD1195&gt;=判定条件!$C$7*AC1195,"運転",IF(AD1195&lt;=判定条件!$C$8*AC1195,"停止","断続")))</f>
        <v>判定不能</v>
      </c>
      <c r="AF1195" s="30" t="n">
        <v>60</v>
      </c>
      <c r="AG1195" s="30" t="n">
        <v>0</v>
      </c>
      <c r="AH1195" s="30" t="str">
        <f aca="false">IF(OR(P1195="判定不能",G1195="判定不能"),"判定不能",IF(AG1195&gt;=判定条件!$C$9,"利用可",IF(AND(P1195="停止",G1195="停止"),"両方停止","運転がそろわない")))</f>
        <v>両方停止</v>
      </c>
      <c r="AI1195" s="30" t="n">
        <v>0</v>
      </c>
      <c r="AJ1195" s="30" t="n">
        <v>0</v>
      </c>
      <c r="AK1195" s="30" t="str">
        <f aca="false">IF(OR(S1195="判定不能",J1195="判定不能"),"判定不能",IF(AJ1195&gt;=判定条件!$C$9,"利用可",IF(AND(S1195="停止",J1195="停止"),"両方停止","運転がそろわない")))</f>
        <v>判定不能</v>
      </c>
      <c r="AL1195" s="30" t="n">
        <v>60</v>
      </c>
      <c r="AM1195" s="30" t="n">
        <v>0</v>
      </c>
      <c r="AN1195" s="30" t="str">
        <f aca="false">IF(OR(V1195="判定不能",M1195="判定不能"),"判定不能",IF(AM1195&gt;=判定条件!$C$9,"利用可",IF(AND(V1195="停止",M1195="停止"),"両方停止","運転がそろわない")))</f>
        <v>運転がそろわない</v>
      </c>
      <c r="AO1195" s="30" t="n">
        <v>0</v>
      </c>
      <c r="AP1195" s="30" t="n">
        <v>0</v>
      </c>
      <c r="AQ1195" s="30" t="str">
        <f aca="false">IF(OR(Y1195="判定不能",G1195="判定不能"),"判定不能",IF(AP1195&gt;=判定条件!$C$9,"利用可",IF(AND(Y1195="停止",G1195="停止"),"両方停止","運転がそろわない")))</f>
        <v>判定不能</v>
      </c>
      <c r="AR1195" s="30" t="n">
        <v>0</v>
      </c>
      <c r="AS1195" s="30" t="n">
        <v>0</v>
      </c>
      <c r="AT1195" s="30" t="str">
        <f aca="false">IF(OR(AB1195="判定不能",J1195="判定不能"),"判定不能",IF(AS1195&gt;=判定条件!$C$9,"利用可",IF(AND(AB1195="停止",J1195="停止"),"両方停止","運転がそろわない")))</f>
        <v>判定不能</v>
      </c>
      <c r="AU1195" s="30" t="n">
        <v>0</v>
      </c>
      <c r="AV1195" s="30" t="n">
        <v>0</v>
      </c>
      <c r="AW1195" s="30" t="str">
        <f aca="false">IF(OR(AE1195="判定不能",M1195="判定不能"),"判定不能",IF(AV1195&gt;=判定条件!$C$9,"利用可",IF(AND(AE1195="停止",M1195="停止"),"両方停止","運転がそろわない")))</f>
        <v>判定不能</v>
      </c>
      <c r="AX1195" s="30" t="str">
        <f aca="false">IF(AND(AH1195="利用可",AK1195="利用可",AN1195="利用可"),"利用可","不可")</f>
        <v>不可</v>
      </c>
      <c r="AY1195" s="30" t="str">
        <f aca="false">IF(AND(AQ1195="利用可",AT1195="利用可",AW1195="利用可"),"利用可","不可")</f>
        <v>不可</v>
      </c>
    </row>
    <row r="1196" customFormat="false" ht="15" hidden="false" customHeight="false" outlineLevel="0" collapsed="false">
      <c r="A1196" s="29" t="n">
        <v>46281</v>
      </c>
      <c r="B1196" s="30" t="n">
        <v>17</v>
      </c>
      <c r="C1196" s="31" t="s">
        <v>58</v>
      </c>
      <c r="D1196" s="31" t="s">
        <v>59</v>
      </c>
      <c r="E1196" s="30" t="n">
        <v>60</v>
      </c>
      <c r="F1196" s="30" t="n">
        <v>14</v>
      </c>
      <c r="G1196" s="30" t="str">
        <f aca="false">IF(E1196&lt;判定条件!$C$6,"判定不能",IF(F1196&gt;=判定条件!$C$7*E1196,"運転",IF(F1196&lt;=判定条件!$C$8*E1196,"停止","断続")))</f>
        <v>断続</v>
      </c>
      <c r="H1196" s="30" t="n">
        <v>0</v>
      </c>
      <c r="I1196" s="30" t="n">
        <v>0</v>
      </c>
      <c r="J1196" s="30" t="str">
        <f aca="false">IF(H1196&lt;判定条件!$C$6,"判定不能",IF(I1196&gt;=判定条件!$C$7*H1196,"運転",IF(I1196&lt;=判定条件!$C$8*H1196,"停止","断続")))</f>
        <v>判定不能</v>
      </c>
      <c r="K1196" s="30" t="n">
        <v>60</v>
      </c>
      <c r="L1196" s="30" t="n">
        <v>20</v>
      </c>
      <c r="M1196" s="30" t="str">
        <f aca="false">IF(K1196&lt;判定条件!$C$6,"判定不能",IF(L1196&gt;=判定条件!$C$7*K1196,"運転",IF(L1196&lt;=判定条件!$C$8*K1196,"停止","断続")))</f>
        <v>断続</v>
      </c>
      <c r="N1196" s="30" t="n">
        <v>60</v>
      </c>
      <c r="O1196" s="30" t="n">
        <v>9</v>
      </c>
      <c r="P1196" s="30" t="str">
        <f aca="false">IF(N1196&lt;判定条件!$C$6,"判定不能",IF(O1196&gt;=判定条件!$C$7*N1196,"運転",IF(O1196&lt;=判定条件!$C$8*N1196,"停止","断続")))</f>
        <v>停止</v>
      </c>
      <c r="Q1196" s="30" t="n">
        <v>60</v>
      </c>
      <c r="R1196" s="30" t="n">
        <v>5</v>
      </c>
      <c r="S1196" s="30" t="str">
        <f aca="false">IF(Q1196&lt;判定条件!$C$6,"判定不能",IF(R1196&gt;=判定条件!$C$7*Q1196,"運転",IF(R1196&lt;=判定条件!$C$8*Q1196,"停止","断続")))</f>
        <v>停止</v>
      </c>
      <c r="T1196" s="30" t="n">
        <v>60</v>
      </c>
      <c r="U1196" s="30" t="n">
        <v>23</v>
      </c>
      <c r="V1196" s="30" t="str">
        <f aca="false">IF(T1196&lt;判定条件!$C$6,"判定不能",IF(U1196&gt;=判定条件!$C$7*T1196,"運転",IF(U1196&lt;=判定条件!$C$8*T1196,"停止","断続")))</f>
        <v>断続</v>
      </c>
      <c r="W1196" s="30" t="n">
        <v>0</v>
      </c>
      <c r="X1196" s="30" t="n">
        <v>0</v>
      </c>
      <c r="Y1196" s="30" t="str">
        <f aca="false">IF(W1196&lt;判定条件!$C$6,"判定不能",IF(X1196&gt;=判定条件!$C$7*W1196,"運転",IF(X1196&lt;=判定条件!$C$8*W1196,"停止","断続")))</f>
        <v>判定不能</v>
      </c>
      <c r="Z1196" s="30" t="n">
        <v>0</v>
      </c>
      <c r="AA1196" s="30" t="n">
        <v>0</v>
      </c>
      <c r="AB1196" s="30" t="str">
        <f aca="false">IF(Z1196&lt;判定条件!$C$6,"判定不能",IF(AA1196&gt;=判定条件!$C$7*Z1196,"運転",IF(AA1196&lt;=判定条件!$C$8*Z1196,"停止","断続")))</f>
        <v>判定不能</v>
      </c>
      <c r="AC1196" s="30" t="n">
        <v>0</v>
      </c>
      <c r="AD1196" s="30" t="n">
        <v>0</v>
      </c>
      <c r="AE1196" s="30" t="str">
        <f aca="false">IF(AC1196&lt;判定条件!$C$6,"判定不能",IF(AD1196&gt;=判定条件!$C$7*AC1196,"運転",IF(AD1196&lt;=判定条件!$C$8*AC1196,"停止","断続")))</f>
        <v>判定不能</v>
      </c>
      <c r="AF1196" s="30" t="n">
        <v>60</v>
      </c>
      <c r="AG1196" s="30" t="n">
        <v>0</v>
      </c>
      <c r="AH1196" s="30" t="str">
        <f aca="false">IF(OR(P1196="判定不能",G1196="判定不能"),"判定不能",IF(AG1196&gt;=判定条件!$C$9,"利用可",IF(AND(P1196="停止",G1196="停止"),"両方停止","運転がそろわない")))</f>
        <v>運転がそろわない</v>
      </c>
      <c r="AI1196" s="30" t="n">
        <v>0</v>
      </c>
      <c r="AJ1196" s="30" t="n">
        <v>0</v>
      </c>
      <c r="AK1196" s="30" t="str">
        <f aca="false">IF(OR(S1196="判定不能",J1196="判定不能"),"判定不能",IF(AJ1196&gt;=判定条件!$C$9,"利用可",IF(AND(S1196="停止",J1196="停止"),"両方停止","運転がそろわない")))</f>
        <v>判定不能</v>
      </c>
      <c r="AL1196" s="30" t="n">
        <v>60</v>
      </c>
      <c r="AM1196" s="30" t="n">
        <v>4</v>
      </c>
      <c r="AN1196" s="30" t="str">
        <f aca="false">IF(OR(V1196="判定不能",M1196="判定不能"),"判定不能",IF(AM1196&gt;=判定条件!$C$9,"利用可",IF(AND(V1196="停止",M1196="停止"),"両方停止","運転がそろわない")))</f>
        <v>運転がそろわない</v>
      </c>
      <c r="AO1196" s="30" t="n">
        <v>0</v>
      </c>
      <c r="AP1196" s="30" t="n">
        <v>0</v>
      </c>
      <c r="AQ1196" s="30" t="str">
        <f aca="false">IF(OR(Y1196="判定不能",G1196="判定不能"),"判定不能",IF(AP1196&gt;=判定条件!$C$9,"利用可",IF(AND(Y1196="停止",G1196="停止"),"両方停止","運転がそろわない")))</f>
        <v>判定不能</v>
      </c>
      <c r="AR1196" s="30" t="n">
        <v>0</v>
      </c>
      <c r="AS1196" s="30" t="n">
        <v>0</v>
      </c>
      <c r="AT1196" s="30" t="str">
        <f aca="false">IF(OR(AB1196="判定不能",J1196="判定不能"),"判定不能",IF(AS1196&gt;=判定条件!$C$9,"利用可",IF(AND(AB1196="停止",J1196="停止"),"両方停止","運転がそろわない")))</f>
        <v>判定不能</v>
      </c>
      <c r="AU1196" s="30" t="n">
        <v>0</v>
      </c>
      <c r="AV1196" s="30" t="n">
        <v>0</v>
      </c>
      <c r="AW1196" s="30" t="str">
        <f aca="false">IF(OR(AE1196="判定不能",M1196="判定不能"),"判定不能",IF(AV1196&gt;=判定条件!$C$9,"利用可",IF(AND(AE1196="停止",M1196="停止"),"両方停止","運転がそろわない")))</f>
        <v>判定不能</v>
      </c>
      <c r="AX1196" s="30" t="str">
        <f aca="false">IF(AND(AH1196="利用可",AK1196="利用可",AN1196="利用可"),"利用可","不可")</f>
        <v>不可</v>
      </c>
      <c r="AY1196" s="30" t="str">
        <f aca="false">IF(AND(AQ1196="利用可",AT1196="利用可",AW1196="利用可"),"利用可","不可")</f>
        <v>不可</v>
      </c>
    </row>
    <row r="1197" customFormat="false" ht="15" hidden="false" customHeight="false" outlineLevel="0" collapsed="false">
      <c r="A1197" s="29" t="n">
        <v>46281</v>
      </c>
      <c r="B1197" s="30" t="n">
        <v>18</v>
      </c>
      <c r="C1197" s="31" t="s">
        <v>58</v>
      </c>
      <c r="D1197" s="31" t="s">
        <v>59</v>
      </c>
      <c r="E1197" s="30" t="n">
        <v>60</v>
      </c>
      <c r="F1197" s="30" t="n">
        <v>15</v>
      </c>
      <c r="G1197" s="30" t="str">
        <f aca="false">IF(E1197&lt;判定条件!$C$6,"判定不能",IF(F1197&gt;=判定条件!$C$7*E1197,"運転",IF(F1197&lt;=判定条件!$C$8*E1197,"停止","断続")))</f>
        <v>断続</v>
      </c>
      <c r="H1197" s="30" t="n">
        <v>0</v>
      </c>
      <c r="I1197" s="30" t="n">
        <v>0</v>
      </c>
      <c r="J1197" s="30" t="str">
        <f aca="false">IF(H1197&lt;判定条件!$C$6,"判定不能",IF(I1197&gt;=判定条件!$C$7*H1197,"運転",IF(I1197&lt;=判定条件!$C$8*H1197,"停止","断続")))</f>
        <v>判定不能</v>
      </c>
      <c r="K1197" s="30" t="n">
        <v>60</v>
      </c>
      <c r="L1197" s="30" t="n">
        <v>3</v>
      </c>
      <c r="M1197" s="30" t="str">
        <f aca="false">IF(K1197&lt;判定条件!$C$6,"判定不能",IF(L1197&gt;=判定条件!$C$7*K1197,"運転",IF(L1197&lt;=判定条件!$C$8*K1197,"停止","断続")))</f>
        <v>停止</v>
      </c>
      <c r="N1197" s="30" t="n">
        <v>60</v>
      </c>
      <c r="O1197" s="30" t="n">
        <v>0</v>
      </c>
      <c r="P1197" s="30" t="str">
        <f aca="false">IF(N1197&lt;判定条件!$C$6,"判定不能",IF(O1197&gt;=判定条件!$C$7*N1197,"運転",IF(O1197&lt;=判定条件!$C$8*N1197,"停止","断続")))</f>
        <v>停止</v>
      </c>
      <c r="Q1197" s="30" t="n">
        <v>60</v>
      </c>
      <c r="R1197" s="30" t="n">
        <v>0</v>
      </c>
      <c r="S1197" s="30" t="str">
        <f aca="false">IF(Q1197&lt;判定条件!$C$6,"判定不能",IF(R1197&gt;=判定条件!$C$7*Q1197,"運転",IF(R1197&lt;=判定条件!$C$8*Q1197,"停止","断続")))</f>
        <v>停止</v>
      </c>
      <c r="T1197" s="30" t="n">
        <v>60</v>
      </c>
      <c r="U1197" s="30" t="n">
        <v>3</v>
      </c>
      <c r="V1197" s="30" t="str">
        <f aca="false">IF(T1197&lt;判定条件!$C$6,"判定不能",IF(U1197&gt;=判定条件!$C$7*T1197,"運転",IF(U1197&lt;=判定条件!$C$8*T1197,"停止","断続")))</f>
        <v>停止</v>
      </c>
      <c r="W1197" s="30" t="n">
        <v>0</v>
      </c>
      <c r="X1197" s="30" t="n">
        <v>0</v>
      </c>
      <c r="Y1197" s="30" t="str">
        <f aca="false">IF(W1197&lt;判定条件!$C$6,"判定不能",IF(X1197&gt;=判定条件!$C$7*W1197,"運転",IF(X1197&lt;=判定条件!$C$8*W1197,"停止","断続")))</f>
        <v>判定不能</v>
      </c>
      <c r="Z1197" s="30" t="n">
        <v>0</v>
      </c>
      <c r="AA1197" s="30" t="n">
        <v>0</v>
      </c>
      <c r="AB1197" s="30" t="str">
        <f aca="false">IF(Z1197&lt;判定条件!$C$6,"判定不能",IF(AA1197&gt;=判定条件!$C$7*Z1197,"運転",IF(AA1197&lt;=判定条件!$C$8*Z1197,"停止","断続")))</f>
        <v>判定不能</v>
      </c>
      <c r="AC1197" s="30" t="n">
        <v>0</v>
      </c>
      <c r="AD1197" s="30" t="n">
        <v>0</v>
      </c>
      <c r="AE1197" s="30" t="str">
        <f aca="false">IF(AC1197&lt;判定条件!$C$6,"判定不能",IF(AD1197&gt;=判定条件!$C$7*AC1197,"運転",IF(AD1197&lt;=判定条件!$C$8*AC1197,"停止","断続")))</f>
        <v>判定不能</v>
      </c>
      <c r="AF1197" s="30" t="n">
        <v>60</v>
      </c>
      <c r="AG1197" s="30" t="n">
        <v>0</v>
      </c>
      <c r="AH1197" s="30" t="str">
        <f aca="false">IF(OR(P1197="判定不能",G1197="判定不能"),"判定不能",IF(AG1197&gt;=判定条件!$C$9,"利用可",IF(AND(P1197="停止",G1197="停止"),"両方停止","運転がそろわない")))</f>
        <v>運転がそろわない</v>
      </c>
      <c r="AI1197" s="30" t="n">
        <v>0</v>
      </c>
      <c r="AJ1197" s="30" t="n">
        <v>0</v>
      </c>
      <c r="AK1197" s="30" t="str">
        <f aca="false">IF(OR(S1197="判定不能",J1197="判定不能"),"判定不能",IF(AJ1197&gt;=判定条件!$C$9,"利用可",IF(AND(S1197="停止",J1197="停止"),"両方停止","運転がそろわない")))</f>
        <v>判定不能</v>
      </c>
      <c r="AL1197" s="30" t="n">
        <v>60</v>
      </c>
      <c r="AM1197" s="30" t="n">
        <v>0</v>
      </c>
      <c r="AN1197" s="30" t="str">
        <f aca="false">IF(OR(V1197="判定不能",M1197="判定不能"),"判定不能",IF(AM1197&gt;=判定条件!$C$9,"利用可",IF(AND(V1197="停止",M1197="停止"),"両方停止","運転がそろわない")))</f>
        <v>両方停止</v>
      </c>
      <c r="AO1197" s="30" t="n">
        <v>0</v>
      </c>
      <c r="AP1197" s="30" t="n">
        <v>0</v>
      </c>
      <c r="AQ1197" s="30" t="str">
        <f aca="false">IF(OR(Y1197="判定不能",G1197="判定不能"),"判定不能",IF(AP1197&gt;=判定条件!$C$9,"利用可",IF(AND(Y1197="停止",G1197="停止"),"両方停止","運転がそろわない")))</f>
        <v>判定不能</v>
      </c>
      <c r="AR1197" s="30" t="n">
        <v>0</v>
      </c>
      <c r="AS1197" s="30" t="n">
        <v>0</v>
      </c>
      <c r="AT1197" s="30" t="str">
        <f aca="false">IF(OR(AB1197="判定不能",J1197="判定不能"),"判定不能",IF(AS1197&gt;=判定条件!$C$9,"利用可",IF(AND(AB1197="停止",J1197="停止"),"両方停止","運転がそろわない")))</f>
        <v>判定不能</v>
      </c>
      <c r="AU1197" s="30" t="n">
        <v>0</v>
      </c>
      <c r="AV1197" s="30" t="n">
        <v>0</v>
      </c>
      <c r="AW1197" s="30" t="str">
        <f aca="false">IF(OR(AE1197="判定不能",M1197="判定不能"),"判定不能",IF(AV1197&gt;=判定条件!$C$9,"利用可",IF(AND(AE1197="停止",M1197="停止"),"両方停止","運転がそろわない")))</f>
        <v>判定不能</v>
      </c>
      <c r="AX1197" s="30" t="str">
        <f aca="false">IF(AND(AH1197="利用可",AK1197="利用可",AN1197="利用可"),"利用可","不可")</f>
        <v>不可</v>
      </c>
      <c r="AY1197" s="30" t="str">
        <f aca="false">IF(AND(AQ1197="利用可",AT1197="利用可",AW1197="利用可"),"利用可","不可")</f>
        <v>不可</v>
      </c>
    </row>
    <row r="1198" customFormat="false" ht="15" hidden="false" customHeight="false" outlineLevel="0" collapsed="false">
      <c r="A1198" s="29" t="n">
        <v>46281</v>
      </c>
      <c r="B1198" s="30" t="n">
        <v>19</v>
      </c>
      <c r="C1198" s="31" t="s">
        <v>58</v>
      </c>
      <c r="D1198" s="31" t="s">
        <v>59</v>
      </c>
      <c r="E1198" s="30" t="n">
        <v>60</v>
      </c>
      <c r="F1198" s="30" t="n">
        <v>0</v>
      </c>
      <c r="G1198" s="30" t="str">
        <f aca="false">IF(E1198&lt;判定条件!$C$6,"判定不能",IF(F1198&gt;=判定条件!$C$7*E1198,"運転",IF(F1198&lt;=判定条件!$C$8*E1198,"停止","断続")))</f>
        <v>停止</v>
      </c>
      <c r="H1198" s="30" t="n">
        <v>0</v>
      </c>
      <c r="I1198" s="30" t="n">
        <v>0</v>
      </c>
      <c r="J1198" s="30" t="str">
        <f aca="false">IF(H1198&lt;判定条件!$C$6,"判定不能",IF(I1198&gt;=判定条件!$C$7*H1198,"運転",IF(I1198&lt;=判定条件!$C$8*H1198,"停止","断続")))</f>
        <v>判定不能</v>
      </c>
      <c r="K1198" s="30" t="n">
        <v>60</v>
      </c>
      <c r="L1198" s="30" t="n">
        <v>0</v>
      </c>
      <c r="M1198" s="30" t="str">
        <f aca="false">IF(K1198&lt;判定条件!$C$6,"判定不能",IF(L1198&gt;=判定条件!$C$7*K1198,"運転",IF(L1198&lt;=判定条件!$C$8*K1198,"停止","断続")))</f>
        <v>停止</v>
      </c>
      <c r="N1198" s="30" t="n">
        <v>60</v>
      </c>
      <c r="O1198" s="30" t="n">
        <v>0</v>
      </c>
      <c r="P1198" s="30" t="str">
        <f aca="false">IF(N1198&lt;判定条件!$C$6,"判定不能",IF(O1198&gt;=判定条件!$C$7*N1198,"運転",IF(O1198&lt;=判定条件!$C$8*N1198,"停止","断続")))</f>
        <v>停止</v>
      </c>
      <c r="Q1198" s="30" t="n">
        <v>60</v>
      </c>
      <c r="R1198" s="30" t="n">
        <v>0</v>
      </c>
      <c r="S1198" s="30" t="str">
        <f aca="false">IF(Q1198&lt;判定条件!$C$6,"判定不能",IF(R1198&gt;=判定条件!$C$7*Q1198,"運転",IF(R1198&lt;=判定条件!$C$8*Q1198,"停止","断続")))</f>
        <v>停止</v>
      </c>
      <c r="T1198" s="30" t="n">
        <v>60</v>
      </c>
      <c r="U1198" s="30" t="n">
        <v>0</v>
      </c>
      <c r="V1198" s="30" t="str">
        <f aca="false">IF(T1198&lt;判定条件!$C$6,"判定不能",IF(U1198&gt;=判定条件!$C$7*T1198,"運転",IF(U1198&lt;=判定条件!$C$8*T1198,"停止","断続")))</f>
        <v>停止</v>
      </c>
      <c r="W1198" s="30" t="n">
        <v>0</v>
      </c>
      <c r="X1198" s="30" t="n">
        <v>0</v>
      </c>
      <c r="Y1198" s="30" t="str">
        <f aca="false">IF(W1198&lt;判定条件!$C$6,"判定不能",IF(X1198&gt;=判定条件!$C$7*W1198,"運転",IF(X1198&lt;=判定条件!$C$8*W1198,"停止","断続")))</f>
        <v>判定不能</v>
      </c>
      <c r="Z1198" s="30" t="n">
        <v>0</v>
      </c>
      <c r="AA1198" s="30" t="n">
        <v>0</v>
      </c>
      <c r="AB1198" s="30" t="str">
        <f aca="false">IF(Z1198&lt;判定条件!$C$6,"判定不能",IF(AA1198&gt;=判定条件!$C$7*Z1198,"運転",IF(AA1198&lt;=判定条件!$C$8*Z1198,"停止","断続")))</f>
        <v>判定不能</v>
      </c>
      <c r="AC1198" s="30" t="n">
        <v>0</v>
      </c>
      <c r="AD1198" s="30" t="n">
        <v>0</v>
      </c>
      <c r="AE1198" s="30" t="str">
        <f aca="false">IF(AC1198&lt;判定条件!$C$6,"判定不能",IF(AD1198&gt;=判定条件!$C$7*AC1198,"運転",IF(AD1198&lt;=判定条件!$C$8*AC1198,"停止","断続")))</f>
        <v>判定不能</v>
      </c>
      <c r="AF1198" s="30" t="n">
        <v>60</v>
      </c>
      <c r="AG1198" s="30" t="n">
        <v>0</v>
      </c>
      <c r="AH1198" s="30" t="str">
        <f aca="false">IF(OR(P1198="判定不能",G1198="判定不能"),"判定不能",IF(AG1198&gt;=判定条件!$C$9,"利用可",IF(AND(P1198="停止",G1198="停止"),"両方停止","運転がそろわない")))</f>
        <v>両方停止</v>
      </c>
      <c r="AI1198" s="30" t="n">
        <v>0</v>
      </c>
      <c r="AJ1198" s="30" t="n">
        <v>0</v>
      </c>
      <c r="AK1198" s="30" t="str">
        <f aca="false">IF(OR(S1198="判定不能",J1198="判定不能"),"判定不能",IF(AJ1198&gt;=判定条件!$C$9,"利用可",IF(AND(S1198="停止",J1198="停止"),"両方停止","運転がそろわない")))</f>
        <v>判定不能</v>
      </c>
      <c r="AL1198" s="30" t="n">
        <v>60</v>
      </c>
      <c r="AM1198" s="30" t="n">
        <v>0</v>
      </c>
      <c r="AN1198" s="30" t="str">
        <f aca="false">IF(OR(V1198="判定不能",M1198="判定不能"),"判定不能",IF(AM1198&gt;=判定条件!$C$9,"利用可",IF(AND(V1198="停止",M1198="停止"),"両方停止","運転がそろわない")))</f>
        <v>両方停止</v>
      </c>
      <c r="AO1198" s="30" t="n">
        <v>0</v>
      </c>
      <c r="AP1198" s="30" t="n">
        <v>0</v>
      </c>
      <c r="AQ1198" s="30" t="str">
        <f aca="false">IF(OR(Y1198="判定不能",G1198="判定不能"),"判定不能",IF(AP1198&gt;=判定条件!$C$9,"利用可",IF(AND(Y1198="停止",G1198="停止"),"両方停止","運転がそろわない")))</f>
        <v>判定不能</v>
      </c>
      <c r="AR1198" s="30" t="n">
        <v>0</v>
      </c>
      <c r="AS1198" s="30" t="n">
        <v>0</v>
      </c>
      <c r="AT1198" s="30" t="str">
        <f aca="false">IF(OR(AB1198="判定不能",J1198="判定不能"),"判定不能",IF(AS1198&gt;=判定条件!$C$9,"利用可",IF(AND(AB1198="停止",J1198="停止"),"両方停止","運転がそろわない")))</f>
        <v>判定不能</v>
      </c>
      <c r="AU1198" s="30" t="n">
        <v>0</v>
      </c>
      <c r="AV1198" s="30" t="n">
        <v>0</v>
      </c>
      <c r="AW1198" s="30" t="str">
        <f aca="false">IF(OR(AE1198="判定不能",M1198="判定不能"),"判定不能",IF(AV1198&gt;=判定条件!$C$9,"利用可",IF(AND(AE1198="停止",M1198="停止"),"両方停止","運転がそろわない")))</f>
        <v>判定不能</v>
      </c>
      <c r="AX1198" s="30" t="str">
        <f aca="false">IF(AND(AH1198="利用可",AK1198="利用可",AN1198="利用可"),"利用可","不可")</f>
        <v>不可</v>
      </c>
      <c r="AY1198" s="30" t="str">
        <f aca="false">IF(AND(AQ1198="利用可",AT1198="利用可",AW1198="利用可"),"利用可","不可")</f>
        <v>不可</v>
      </c>
    </row>
    <row r="1199" customFormat="false" ht="15" hidden="false" customHeight="false" outlineLevel="0" collapsed="false">
      <c r="A1199" s="29" t="n">
        <v>46281</v>
      </c>
      <c r="B1199" s="30" t="n">
        <v>20</v>
      </c>
      <c r="C1199" s="31" t="s">
        <v>58</v>
      </c>
      <c r="D1199" s="31" t="s">
        <v>59</v>
      </c>
      <c r="E1199" s="30" t="n">
        <v>60</v>
      </c>
      <c r="F1199" s="30" t="n">
        <v>0</v>
      </c>
      <c r="G1199" s="30" t="str">
        <f aca="false">IF(E1199&lt;判定条件!$C$6,"判定不能",IF(F1199&gt;=判定条件!$C$7*E1199,"運転",IF(F1199&lt;=判定条件!$C$8*E1199,"停止","断続")))</f>
        <v>停止</v>
      </c>
      <c r="H1199" s="30" t="n">
        <v>0</v>
      </c>
      <c r="I1199" s="30" t="n">
        <v>0</v>
      </c>
      <c r="J1199" s="30" t="str">
        <f aca="false">IF(H1199&lt;判定条件!$C$6,"判定不能",IF(I1199&gt;=判定条件!$C$7*H1199,"運転",IF(I1199&lt;=判定条件!$C$8*H1199,"停止","断続")))</f>
        <v>判定不能</v>
      </c>
      <c r="K1199" s="30" t="n">
        <v>60</v>
      </c>
      <c r="L1199" s="30" t="n">
        <v>0</v>
      </c>
      <c r="M1199" s="30" t="str">
        <f aca="false">IF(K1199&lt;判定条件!$C$6,"判定不能",IF(L1199&gt;=判定条件!$C$7*K1199,"運転",IF(L1199&lt;=判定条件!$C$8*K1199,"停止","断続")))</f>
        <v>停止</v>
      </c>
      <c r="N1199" s="30" t="n">
        <v>60</v>
      </c>
      <c r="O1199" s="30" t="n">
        <v>0</v>
      </c>
      <c r="P1199" s="30" t="str">
        <f aca="false">IF(N1199&lt;判定条件!$C$6,"判定不能",IF(O1199&gt;=判定条件!$C$7*N1199,"運転",IF(O1199&lt;=判定条件!$C$8*N1199,"停止","断続")))</f>
        <v>停止</v>
      </c>
      <c r="Q1199" s="30" t="n">
        <v>60</v>
      </c>
      <c r="R1199" s="30" t="n">
        <v>0</v>
      </c>
      <c r="S1199" s="30" t="str">
        <f aca="false">IF(Q1199&lt;判定条件!$C$6,"判定不能",IF(R1199&gt;=判定条件!$C$7*Q1199,"運転",IF(R1199&lt;=判定条件!$C$8*Q1199,"停止","断続")))</f>
        <v>停止</v>
      </c>
      <c r="T1199" s="30" t="n">
        <v>60</v>
      </c>
      <c r="U1199" s="30" t="n">
        <v>0</v>
      </c>
      <c r="V1199" s="30" t="str">
        <f aca="false">IF(T1199&lt;判定条件!$C$6,"判定不能",IF(U1199&gt;=判定条件!$C$7*T1199,"運転",IF(U1199&lt;=判定条件!$C$8*T1199,"停止","断続")))</f>
        <v>停止</v>
      </c>
      <c r="W1199" s="30" t="n">
        <v>0</v>
      </c>
      <c r="X1199" s="30" t="n">
        <v>0</v>
      </c>
      <c r="Y1199" s="30" t="str">
        <f aca="false">IF(W1199&lt;判定条件!$C$6,"判定不能",IF(X1199&gt;=判定条件!$C$7*W1199,"運転",IF(X1199&lt;=判定条件!$C$8*W1199,"停止","断続")))</f>
        <v>判定不能</v>
      </c>
      <c r="Z1199" s="30" t="n">
        <v>0</v>
      </c>
      <c r="AA1199" s="30" t="n">
        <v>0</v>
      </c>
      <c r="AB1199" s="30" t="str">
        <f aca="false">IF(Z1199&lt;判定条件!$C$6,"判定不能",IF(AA1199&gt;=判定条件!$C$7*Z1199,"運転",IF(AA1199&lt;=判定条件!$C$8*Z1199,"停止","断続")))</f>
        <v>判定不能</v>
      </c>
      <c r="AC1199" s="30" t="n">
        <v>0</v>
      </c>
      <c r="AD1199" s="30" t="n">
        <v>0</v>
      </c>
      <c r="AE1199" s="30" t="str">
        <f aca="false">IF(AC1199&lt;判定条件!$C$6,"判定不能",IF(AD1199&gt;=判定条件!$C$7*AC1199,"運転",IF(AD1199&lt;=判定条件!$C$8*AC1199,"停止","断続")))</f>
        <v>判定不能</v>
      </c>
      <c r="AF1199" s="30" t="n">
        <v>60</v>
      </c>
      <c r="AG1199" s="30" t="n">
        <v>0</v>
      </c>
      <c r="AH1199" s="30" t="str">
        <f aca="false">IF(OR(P1199="判定不能",G1199="判定不能"),"判定不能",IF(AG1199&gt;=判定条件!$C$9,"利用可",IF(AND(P1199="停止",G1199="停止"),"両方停止","運転がそろわない")))</f>
        <v>両方停止</v>
      </c>
      <c r="AI1199" s="30" t="n">
        <v>0</v>
      </c>
      <c r="AJ1199" s="30" t="n">
        <v>0</v>
      </c>
      <c r="AK1199" s="30" t="str">
        <f aca="false">IF(OR(S1199="判定不能",J1199="判定不能"),"判定不能",IF(AJ1199&gt;=判定条件!$C$9,"利用可",IF(AND(S1199="停止",J1199="停止"),"両方停止","運転がそろわない")))</f>
        <v>判定不能</v>
      </c>
      <c r="AL1199" s="30" t="n">
        <v>60</v>
      </c>
      <c r="AM1199" s="30" t="n">
        <v>0</v>
      </c>
      <c r="AN1199" s="30" t="str">
        <f aca="false">IF(OR(V1199="判定不能",M1199="判定不能"),"判定不能",IF(AM1199&gt;=判定条件!$C$9,"利用可",IF(AND(V1199="停止",M1199="停止"),"両方停止","運転がそろわない")))</f>
        <v>両方停止</v>
      </c>
      <c r="AO1199" s="30" t="n">
        <v>0</v>
      </c>
      <c r="AP1199" s="30" t="n">
        <v>0</v>
      </c>
      <c r="AQ1199" s="30" t="str">
        <f aca="false">IF(OR(Y1199="判定不能",G1199="判定不能"),"判定不能",IF(AP1199&gt;=判定条件!$C$9,"利用可",IF(AND(Y1199="停止",G1199="停止"),"両方停止","運転がそろわない")))</f>
        <v>判定不能</v>
      </c>
      <c r="AR1199" s="30" t="n">
        <v>0</v>
      </c>
      <c r="AS1199" s="30" t="n">
        <v>0</v>
      </c>
      <c r="AT1199" s="30" t="str">
        <f aca="false">IF(OR(AB1199="判定不能",J1199="判定不能"),"判定不能",IF(AS1199&gt;=判定条件!$C$9,"利用可",IF(AND(AB1199="停止",J1199="停止"),"両方停止","運転がそろわない")))</f>
        <v>判定不能</v>
      </c>
      <c r="AU1199" s="30" t="n">
        <v>0</v>
      </c>
      <c r="AV1199" s="30" t="n">
        <v>0</v>
      </c>
      <c r="AW1199" s="30" t="str">
        <f aca="false">IF(OR(AE1199="判定不能",M1199="判定不能"),"判定不能",IF(AV1199&gt;=判定条件!$C$9,"利用可",IF(AND(AE1199="停止",M1199="停止"),"両方停止","運転がそろわない")))</f>
        <v>判定不能</v>
      </c>
      <c r="AX1199" s="30" t="str">
        <f aca="false">IF(AND(AH1199="利用可",AK1199="利用可",AN1199="利用可"),"利用可","不可")</f>
        <v>不可</v>
      </c>
      <c r="AY1199" s="30" t="str">
        <f aca="false">IF(AND(AQ1199="利用可",AT1199="利用可",AW1199="利用可"),"利用可","不可")</f>
        <v>不可</v>
      </c>
    </row>
    <row r="1200" customFormat="false" ht="15" hidden="false" customHeight="false" outlineLevel="0" collapsed="false">
      <c r="A1200" s="29" t="n">
        <v>46281</v>
      </c>
      <c r="B1200" s="30" t="n">
        <v>21</v>
      </c>
      <c r="C1200" s="31" t="s">
        <v>58</v>
      </c>
      <c r="D1200" s="31" t="s">
        <v>59</v>
      </c>
      <c r="E1200" s="30" t="n">
        <v>60</v>
      </c>
      <c r="F1200" s="30" t="n">
        <v>0</v>
      </c>
      <c r="G1200" s="30" t="str">
        <f aca="false">IF(E1200&lt;判定条件!$C$6,"判定不能",IF(F1200&gt;=判定条件!$C$7*E1200,"運転",IF(F1200&lt;=判定条件!$C$8*E1200,"停止","断続")))</f>
        <v>停止</v>
      </c>
      <c r="H1200" s="30" t="n">
        <v>0</v>
      </c>
      <c r="I1200" s="30" t="n">
        <v>0</v>
      </c>
      <c r="J1200" s="30" t="str">
        <f aca="false">IF(H1200&lt;判定条件!$C$6,"判定不能",IF(I1200&gt;=判定条件!$C$7*H1200,"運転",IF(I1200&lt;=判定条件!$C$8*H1200,"停止","断続")))</f>
        <v>判定不能</v>
      </c>
      <c r="K1200" s="30" t="n">
        <v>60</v>
      </c>
      <c r="L1200" s="30" t="n">
        <v>0</v>
      </c>
      <c r="M1200" s="30" t="str">
        <f aca="false">IF(K1200&lt;判定条件!$C$6,"判定不能",IF(L1200&gt;=判定条件!$C$7*K1200,"運転",IF(L1200&lt;=判定条件!$C$8*K1200,"停止","断続")))</f>
        <v>停止</v>
      </c>
      <c r="N1200" s="30" t="n">
        <v>60</v>
      </c>
      <c r="O1200" s="30" t="n">
        <v>0</v>
      </c>
      <c r="P1200" s="30" t="str">
        <f aca="false">IF(N1200&lt;判定条件!$C$6,"判定不能",IF(O1200&gt;=判定条件!$C$7*N1200,"運転",IF(O1200&lt;=判定条件!$C$8*N1200,"停止","断続")))</f>
        <v>停止</v>
      </c>
      <c r="Q1200" s="30" t="n">
        <v>60</v>
      </c>
      <c r="R1200" s="30" t="n">
        <v>0</v>
      </c>
      <c r="S1200" s="30" t="str">
        <f aca="false">IF(Q1200&lt;判定条件!$C$6,"判定不能",IF(R1200&gt;=判定条件!$C$7*Q1200,"運転",IF(R1200&lt;=判定条件!$C$8*Q1200,"停止","断続")))</f>
        <v>停止</v>
      </c>
      <c r="T1200" s="30" t="n">
        <v>60</v>
      </c>
      <c r="U1200" s="30" t="n">
        <v>0</v>
      </c>
      <c r="V1200" s="30" t="str">
        <f aca="false">IF(T1200&lt;判定条件!$C$6,"判定不能",IF(U1200&gt;=判定条件!$C$7*T1200,"運転",IF(U1200&lt;=判定条件!$C$8*T1200,"停止","断続")))</f>
        <v>停止</v>
      </c>
      <c r="W1200" s="30" t="n">
        <v>0</v>
      </c>
      <c r="X1200" s="30" t="n">
        <v>0</v>
      </c>
      <c r="Y1200" s="30" t="str">
        <f aca="false">IF(W1200&lt;判定条件!$C$6,"判定不能",IF(X1200&gt;=判定条件!$C$7*W1200,"運転",IF(X1200&lt;=判定条件!$C$8*W1200,"停止","断続")))</f>
        <v>判定不能</v>
      </c>
      <c r="Z1200" s="30" t="n">
        <v>0</v>
      </c>
      <c r="AA1200" s="30" t="n">
        <v>0</v>
      </c>
      <c r="AB1200" s="30" t="str">
        <f aca="false">IF(Z1200&lt;判定条件!$C$6,"判定不能",IF(AA1200&gt;=判定条件!$C$7*Z1200,"運転",IF(AA1200&lt;=判定条件!$C$8*Z1200,"停止","断続")))</f>
        <v>判定不能</v>
      </c>
      <c r="AC1200" s="30" t="n">
        <v>0</v>
      </c>
      <c r="AD1200" s="30" t="n">
        <v>0</v>
      </c>
      <c r="AE1200" s="30" t="str">
        <f aca="false">IF(AC1200&lt;判定条件!$C$6,"判定不能",IF(AD1200&gt;=判定条件!$C$7*AC1200,"運転",IF(AD1200&lt;=判定条件!$C$8*AC1200,"停止","断続")))</f>
        <v>判定不能</v>
      </c>
      <c r="AF1200" s="30" t="n">
        <v>60</v>
      </c>
      <c r="AG1200" s="30" t="n">
        <v>0</v>
      </c>
      <c r="AH1200" s="30" t="str">
        <f aca="false">IF(OR(P1200="判定不能",G1200="判定不能"),"判定不能",IF(AG1200&gt;=判定条件!$C$9,"利用可",IF(AND(P1200="停止",G1200="停止"),"両方停止","運転がそろわない")))</f>
        <v>両方停止</v>
      </c>
      <c r="AI1200" s="30" t="n">
        <v>0</v>
      </c>
      <c r="AJ1200" s="30" t="n">
        <v>0</v>
      </c>
      <c r="AK1200" s="30" t="str">
        <f aca="false">IF(OR(S1200="判定不能",J1200="判定不能"),"判定不能",IF(AJ1200&gt;=判定条件!$C$9,"利用可",IF(AND(S1200="停止",J1200="停止"),"両方停止","運転がそろわない")))</f>
        <v>判定不能</v>
      </c>
      <c r="AL1200" s="30" t="n">
        <v>60</v>
      </c>
      <c r="AM1200" s="30" t="n">
        <v>0</v>
      </c>
      <c r="AN1200" s="30" t="str">
        <f aca="false">IF(OR(V1200="判定不能",M1200="判定不能"),"判定不能",IF(AM1200&gt;=判定条件!$C$9,"利用可",IF(AND(V1200="停止",M1200="停止"),"両方停止","運転がそろわない")))</f>
        <v>両方停止</v>
      </c>
      <c r="AO1200" s="30" t="n">
        <v>0</v>
      </c>
      <c r="AP1200" s="30" t="n">
        <v>0</v>
      </c>
      <c r="AQ1200" s="30" t="str">
        <f aca="false">IF(OR(Y1200="判定不能",G1200="判定不能"),"判定不能",IF(AP1200&gt;=判定条件!$C$9,"利用可",IF(AND(Y1200="停止",G1200="停止"),"両方停止","運転がそろわない")))</f>
        <v>判定不能</v>
      </c>
      <c r="AR1200" s="30" t="n">
        <v>0</v>
      </c>
      <c r="AS1200" s="30" t="n">
        <v>0</v>
      </c>
      <c r="AT1200" s="30" t="str">
        <f aca="false">IF(OR(AB1200="判定不能",J1200="判定不能"),"判定不能",IF(AS1200&gt;=判定条件!$C$9,"利用可",IF(AND(AB1200="停止",J1200="停止"),"両方停止","運転がそろわない")))</f>
        <v>判定不能</v>
      </c>
      <c r="AU1200" s="30" t="n">
        <v>0</v>
      </c>
      <c r="AV1200" s="30" t="n">
        <v>0</v>
      </c>
      <c r="AW1200" s="30" t="str">
        <f aca="false">IF(OR(AE1200="判定不能",M1200="判定不能"),"判定不能",IF(AV1200&gt;=判定条件!$C$9,"利用可",IF(AND(AE1200="停止",M1200="停止"),"両方停止","運転がそろわない")))</f>
        <v>判定不能</v>
      </c>
      <c r="AX1200" s="30" t="str">
        <f aca="false">IF(AND(AH1200="利用可",AK1200="利用可",AN1200="利用可"),"利用可","不可")</f>
        <v>不可</v>
      </c>
      <c r="AY1200" s="30" t="str">
        <f aca="false">IF(AND(AQ1200="利用可",AT1200="利用可",AW1200="利用可"),"利用可","不可")</f>
        <v>不可</v>
      </c>
    </row>
    <row r="1201" customFormat="false" ht="15" hidden="false" customHeight="false" outlineLevel="0" collapsed="false">
      <c r="A1201" s="29" t="n">
        <v>46281</v>
      </c>
      <c r="B1201" s="30" t="n">
        <v>22</v>
      </c>
      <c r="C1201" s="31" t="s">
        <v>58</v>
      </c>
      <c r="D1201" s="31" t="s">
        <v>59</v>
      </c>
      <c r="E1201" s="30" t="n">
        <v>60</v>
      </c>
      <c r="F1201" s="30" t="n">
        <v>0</v>
      </c>
      <c r="G1201" s="30" t="str">
        <f aca="false">IF(E1201&lt;判定条件!$C$6,"判定不能",IF(F1201&gt;=判定条件!$C$7*E1201,"運転",IF(F1201&lt;=判定条件!$C$8*E1201,"停止","断続")))</f>
        <v>停止</v>
      </c>
      <c r="H1201" s="30" t="n">
        <v>0</v>
      </c>
      <c r="I1201" s="30" t="n">
        <v>0</v>
      </c>
      <c r="J1201" s="30" t="str">
        <f aca="false">IF(H1201&lt;判定条件!$C$6,"判定不能",IF(I1201&gt;=判定条件!$C$7*H1201,"運転",IF(I1201&lt;=判定条件!$C$8*H1201,"停止","断続")))</f>
        <v>判定不能</v>
      </c>
      <c r="K1201" s="30" t="n">
        <v>60</v>
      </c>
      <c r="L1201" s="30" t="n">
        <v>0</v>
      </c>
      <c r="M1201" s="30" t="str">
        <f aca="false">IF(K1201&lt;判定条件!$C$6,"判定不能",IF(L1201&gt;=判定条件!$C$7*K1201,"運転",IF(L1201&lt;=判定条件!$C$8*K1201,"停止","断続")))</f>
        <v>停止</v>
      </c>
      <c r="N1201" s="30" t="n">
        <v>60</v>
      </c>
      <c r="O1201" s="30" t="n">
        <v>0</v>
      </c>
      <c r="P1201" s="30" t="str">
        <f aca="false">IF(N1201&lt;判定条件!$C$6,"判定不能",IF(O1201&gt;=判定条件!$C$7*N1201,"運転",IF(O1201&lt;=判定条件!$C$8*N1201,"停止","断続")))</f>
        <v>停止</v>
      </c>
      <c r="Q1201" s="30" t="n">
        <v>60</v>
      </c>
      <c r="R1201" s="30" t="n">
        <v>0</v>
      </c>
      <c r="S1201" s="30" t="str">
        <f aca="false">IF(Q1201&lt;判定条件!$C$6,"判定不能",IF(R1201&gt;=判定条件!$C$7*Q1201,"運転",IF(R1201&lt;=判定条件!$C$8*Q1201,"停止","断続")))</f>
        <v>停止</v>
      </c>
      <c r="T1201" s="30" t="n">
        <v>60</v>
      </c>
      <c r="U1201" s="30" t="n">
        <v>0</v>
      </c>
      <c r="V1201" s="30" t="str">
        <f aca="false">IF(T1201&lt;判定条件!$C$6,"判定不能",IF(U1201&gt;=判定条件!$C$7*T1201,"運転",IF(U1201&lt;=判定条件!$C$8*T1201,"停止","断続")))</f>
        <v>停止</v>
      </c>
      <c r="W1201" s="30" t="n">
        <v>0</v>
      </c>
      <c r="X1201" s="30" t="n">
        <v>0</v>
      </c>
      <c r="Y1201" s="30" t="str">
        <f aca="false">IF(W1201&lt;判定条件!$C$6,"判定不能",IF(X1201&gt;=判定条件!$C$7*W1201,"運転",IF(X1201&lt;=判定条件!$C$8*W1201,"停止","断続")))</f>
        <v>判定不能</v>
      </c>
      <c r="Z1201" s="30" t="n">
        <v>0</v>
      </c>
      <c r="AA1201" s="30" t="n">
        <v>0</v>
      </c>
      <c r="AB1201" s="30" t="str">
        <f aca="false">IF(Z1201&lt;判定条件!$C$6,"判定不能",IF(AA1201&gt;=判定条件!$C$7*Z1201,"運転",IF(AA1201&lt;=判定条件!$C$8*Z1201,"停止","断続")))</f>
        <v>判定不能</v>
      </c>
      <c r="AC1201" s="30" t="n">
        <v>0</v>
      </c>
      <c r="AD1201" s="30" t="n">
        <v>0</v>
      </c>
      <c r="AE1201" s="30" t="str">
        <f aca="false">IF(AC1201&lt;判定条件!$C$6,"判定不能",IF(AD1201&gt;=判定条件!$C$7*AC1201,"運転",IF(AD1201&lt;=判定条件!$C$8*AC1201,"停止","断続")))</f>
        <v>判定不能</v>
      </c>
      <c r="AF1201" s="30" t="n">
        <v>60</v>
      </c>
      <c r="AG1201" s="30" t="n">
        <v>0</v>
      </c>
      <c r="AH1201" s="30" t="str">
        <f aca="false">IF(OR(P1201="判定不能",G1201="判定不能"),"判定不能",IF(AG1201&gt;=判定条件!$C$9,"利用可",IF(AND(P1201="停止",G1201="停止"),"両方停止","運転がそろわない")))</f>
        <v>両方停止</v>
      </c>
      <c r="AI1201" s="30" t="n">
        <v>0</v>
      </c>
      <c r="AJ1201" s="30" t="n">
        <v>0</v>
      </c>
      <c r="AK1201" s="30" t="str">
        <f aca="false">IF(OR(S1201="判定不能",J1201="判定不能"),"判定不能",IF(AJ1201&gt;=判定条件!$C$9,"利用可",IF(AND(S1201="停止",J1201="停止"),"両方停止","運転がそろわない")))</f>
        <v>判定不能</v>
      </c>
      <c r="AL1201" s="30" t="n">
        <v>60</v>
      </c>
      <c r="AM1201" s="30" t="n">
        <v>0</v>
      </c>
      <c r="AN1201" s="30" t="str">
        <f aca="false">IF(OR(V1201="判定不能",M1201="判定不能"),"判定不能",IF(AM1201&gt;=判定条件!$C$9,"利用可",IF(AND(V1201="停止",M1201="停止"),"両方停止","運転がそろわない")))</f>
        <v>両方停止</v>
      </c>
      <c r="AO1201" s="30" t="n">
        <v>0</v>
      </c>
      <c r="AP1201" s="30" t="n">
        <v>0</v>
      </c>
      <c r="AQ1201" s="30" t="str">
        <f aca="false">IF(OR(Y1201="判定不能",G1201="判定不能"),"判定不能",IF(AP1201&gt;=判定条件!$C$9,"利用可",IF(AND(Y1201="停止",G1201="停止"),"両方停止","運転がそろわない")))</f>
        <v>判定不能</v>
      </c>
      <c r="AR1201" s="30" t="n">
        <v>0</v>
      </c>
      <c r="AS1201" s="30" t="n">
        <v>0</v>
      </c>
      <c r="AT1201" s="30" t="str">
        <f aca="false">IF(OR(AB1201="判定不能",J1201="判定不能"),"判定不能",IF(AS1201&gt;=判定条件!$C$9,"利用可",IF(AND(AB1201="停止",J1201="停止"),"両方停止","運転がそろわない")))</f>
        <v>判定不能</v>
      </c>
      <c r="AU1201" s="30" t="n">
        <v>0</v>
      </c>
      <c r="AV1201" s="30" t="n">
        <v>0</v>
      </c>
      <c r="AW1201" s="30" t="str">
        <f aca="false">IF(OR(AE1201="判定不能",M1201="判定不能"),"判定不能",IF(AV1201&gt;=判定条件!$C$9,"利用可",IF(AND(AE1201="停止",M1201="停止"),"両方停止","運転がそろわない")))</f>
        <v>判定不能</v>
      </c>
      <c r="AX1201" s="30" t="str">
        <f aca="false">IF(AND(AH1201="利用可",AK1201="利用可",AN1201="利用可"),"利用可","不可")</f>
        <v>不可</v>
      </c>
      <c r="AY1201" s="30" t="str">
        <f aca="false">IF(AND(AQ1201="利用可",AT1201="利用可",AW1201="利用可"),"利用可","不可")</f>
        <v>不可</v>
      </c>
    </row>
    <row r="1202" customFormat="false" ht="15" hidden="false" customHeight="false" outlineLevel="0" collapsed="false">
      <c r="A1202" s="29" t="n">
        <v>46281</v>
      </c>
      <c r="B1202" s="30" t="n">
        <v>23</v>
      </c>
      <c r="C1202" s="31" t="s">
        <v>58</v>
      </c>
      <c r="D1202" s="31" t="s">
        <v>59</v>
      </c>
      <c r="E1202" s="30" t="n">
        <v>60</v>
      </c>
      <c r="F1202" s="30" t="n">
        <v>0</v>
      </c>
      <c r="G1202" s="30" t="str">
        <f aca="false">IF(E1202&lt;判定条件!$C$6,"判定不能",IF(F1202&gt;=判定条件!$C$7*E1202,"運転",IF(F1202&lt;=判定条件!$C$8*E1202,"停止","断続")))</f>
        <v>停止</v>
      </c>
      <c r="H1202" s="30" t="n">
        <v>0</v>
      </c>
      <c r="I1202" s="30" t="n">
        <v>0</v>
      </c>
      <c r="J1202" s="30" t="str">
        <f aca="false">IF(H1202&lt;判定条件!$C$6,"判定不能",IF(I1202&gt;=判定条件!$C$7*H1202,"運転",IF(I1202&lt;=判定条件!$C$8*H1202,"停止","断続")))</f>
        <v>判定不能</v>
      </c>
      <c r="K1202" s="30" t="n">
        <v>60</v>
      </c>
      <c r="L1202" s="30" t="n">
        <v>0</v>
      </c>
      <c r="M1202" s="30" t="str">
        <f aca="false">IF(K1202&lt;判定条件!$C$6,"判定不能",IF(L1202&gt;=判定条件!$C$7*K1202,"運転",IF(L1202&lt;=判定条件!$C$8*K1202,"停止","断続")))</f>
        <v>停止</v>
      </c>
      <c r="N1202" s="30" t="n">
        <v>60</v>
      </c>
      <c r="O1202" s="30" t="n">
        <v>0</v>
      </c>
      <c r="P1202" s="30" t="str">
        <f aca="false">IF(N1202&lt;判定条件!$C$6,"判定不能",IF(O1202&gt;=判定条件!$C$7*N1202,"運転",IF(O1202&lt;=判定条件!$C$8*N1202,"停止","断続")))</f>
        <v>停止</v>
      </c>
      <c r="Q1202" s="30" t="n">
        <v>60</v>
      </c>
      <c r="R1202" s="30" t="n">
        <v>0</v>
      </c>
      <c r="S1202" s="30" t="str">
        <f aca="false">IF(Q1202&lt;判定条件!$C$6,"判定不能",IF(R1202&gt;=判定条件!$C$7*Q1202,"運転",IF(R1202&lt;=判定条件!$C$8*Q1202,"停止","断続")))</f>
        <v>停止</v>
      </c>
      <c r="T1202" s="30" t="n">
        <v>60</v>
      </c>
      <c r="U1202" s="30" t="n">
        <v>0</v>
      </c>
      <c r="V1202" s="30" t="str">
        <f aca="false">IF(T1202&lt;判定条件!$C$6,"判定不能",IF(U1202&gt;=判定条件!$C$7*T1202,"運転",IF(U1202&lt;=判定条件!$C$8*T1202,"停止","断続")))</f>
        <v>停止</v>
      </c>
      <c r="W1202" s="30" t="n">
        <v>0</v>
      </c>
      <c r="X1202" s="30" t="n">
        <v>0</v>
      </c>
      <c r="Y1202" s="30" t="str">
        <f aca="false">IF(W1202&lt;判定条件!$C$6,"判定不能",IF(X1202&gt;=判定条件!$C$7*W1202,"運転",IF(X1202&lt;=判定条件!$C$8*W1202,"停止","断続")))</f>
        <v>判定不能</v>
      </c>
      <c r="Z1202" s="30" t="n">
        <v>0</v>
      </c>
      <c r="AA1202" s="30" t="n">
        <v>0</v>
      </c>
      <c r="AB1202" s="30" t="str">
        <f aca="false">IF(Z1202&lt;判定条件!$C$6,"判定不能",IF(AA1202&gt;=判定条件!$C$7*Z1202,"運転",IF(AA1202&lt;=判定条件!$C$8*Z1202,"停止","断続")))</f>
        <v>判定不能</v>
      </c>
      <c r="AC1202" s="30" t="n">
        <v>0</v>
      </c>
      <c r="AD1202" s="30" t="n">
        <v>0</v>
      </c>
      <c r="AE1202" s="30" t="str">
        <f aca="false">IF(AC1202&lt;判定条件!$C$6,"判定不能",IF(AD1202&gt;=判定条件!$C$7*AC1202,"運転",IF(AD1202&lt;=判定条件!$C$8*AC1202,"停止","断続")))</f>
        <v>判定不能</v>
      </c>
      <c r="AF1202" s="30" t="n">
        <v>60</v>
      </c>
      <c r="AG1202" s="30" t="n">
        <v>0</v>
      </c>
      <c r="AH1202" s="30" t="str">
        <f aca="false">IF(OR(P1202="判定不能",G1202="判定不能"),"判定不能",IF(AG1202&gt;=判定条件!$C$9,"利用可",IF(AND(P1202="停止",G1202="停止"),"両方停止","運転がそろわない")))</f>
        <v>両方停止</v>
      </c>
      <c r="AI1202" s="30" t="n">
        <v>0</v>
      </c>
      <c r="AJ1202" s="30" t="n">
        <v>0</v>
      </c>
      <c r="AK1202" s="30" t="str">
        <f aca="false">IF(OR(S1202="判定不能",J1202="判定不能"),"判定不能",IF(AJ1202&gt;=判定条件!$C$9,"利用可",IF(AND(S1202="停止",J1202="停止"),"両方停止","運転がそろわない")))</f>
        <v>判定不能</v>
      </c>
      <c r="AL1202" s="30" t="n">
        <v>60</v>
      </c>
      <c r="AM1202" s="30" t="n">
        <v>0</v>
      </c>
      <c r="AN1202" s="30" t="str">
        <f aca="false">IF(OR(V1202="判定不能",M1202="判定不能"),"判定不能",IF(AM1202&gt;=判定条件!$C$9,"利用可",IF(AND(V1202="停止",M1202="停止"),"両方停止","運転がそろわない")))</f>
        <v>両方停止</v>
      </c>
      <c r="AO1202" s="30" t="n">
        <v>0</v>
      </c>
      <c r="AP1202" s="30" t="n">
        <v>0</v>
      </c>
      <c r="AQ1202" s="30" t="str">
        <f aca="false">IF(OR(Y1202="判定不能",G1202="判定不能"),"判定不能",IF(AP1202&gt;=判定条件!$C$9,"利用可",IF(AND(Y1202="停止",G1202="停止"),"両方停止","運転がそろわない")))</f>
        <v>判定不能</v>
      </c>
      <c r="AR1202" s="30" t="n">
        <v>0</v>
      </c>
      <c r="AS1202" s="30" t="n">
        <v>0</v>
      </c>
      <c r="AT1202" s="30" t="str">
        <f aca="false">IF(OR(AB1202="判定不能",J1202="判定不能"),"判定不能",IF(AS1202&gt;=判定条件!$C$9,"利用可",IF(AND(AB1202="停止",J1202="停止"),"両方停止","運転がそろわない")))</f>
        <v>判定不能</v>
      </c>
      <c r="AU1202" s="30" t="n">
        <v>0</v>
      </c>
      <c r="AV1202" s="30" t="n">
        <v>0</v>
      </c>
      <c r="AW1202" s="30" t="str">
        <f aca="false">IF(OR(AE1202="判定不能",M1202="判定不能"),"判定不能",IF(AV1202&gt;=判定条件!$C$9,"利用可",IF(AND(AE1202="停止",M1202="停止"),"両方停止","運転がそろわない")))</f>
        <v>判定不能</v>
      </c>
      <c r="AX1202" s="30" t="str">
        <f aca="false">IF(AND(AH1202="利用可",AK1202="利用可",AN1202="利用可"),"利用可","不可")</f>
        <v>不可</v>
      </c>
      <c r="AY1202" s="30" t="str">
        <f aca="false">IF(AND(AQ1202="利用可",AT1202="利用可",AW1202="利用可"),"利用可","不可")</f>
        <v>不可</v>
      </c>
    </row>
    <row r="1203" customFormat="false" ht="15" hidden="false" customHeight="false" outlineLevel="0" collapsed="false">
      <c r="A1203" s="29" t="n">
        <v>46282</v>
      </c>
      <c r="B1203" s="30" t="n">
        <v>0</v>
      </c>
      <c r="C1203" s="31" t="s">
        <v>61</v>
      </c>
      <c r="D1203" s="31" t="s">
        <v>59</v>
      </c>
      <c r="E1203" s="30" t="n">
        <v>60</v>
      </c>
      <c r="F1203" s="30" t="n">
        <v>0</v>
      </c>
      <c r="G1203" s="30" t="str">
        <f aca="false">IF(E1203&lt;判定条件!$C$6,"判定不能",IF(F1203&gt;=判定条件!$C$7*E1203,"運転",IF(F1203&lt;=判定条件!$C$8*E1203,"停止","断続")))</f>
        <v>停止</v>
      </c>
      <c r="H1203" s="30" t="n">
        <v>0</v>
      </c>
      <c r="I1203" s="30" t="n">
        <v>0</v>
      </c>
      <c r="J1203" s="30" t="str">
        <f aca="false">IF(H1203&lt;判定条件!$C$6,"判定不能",IF(I1203&gt;=判定条件!$C$7*H1203,"運転",IF(I1203&lt;=判定条件!$C$8*H1203,"停止","断続")))</f>
        <v>判定不能</v>
      </c>
      <c r="K1203" s="30" t="n">
        <v>60</v>
      </c>
      <c r="L1203" s="30" t="n">
        <v>0</v>
      </c>
      <c r="M1203" s="30" t="str">
        <f aca="false">IF(K1203&lt;判定条件!$C$6,"判定不能",IF(L1203&gt;=判定条件!$C$7*K1203,"運転",IF(L1203&lt;=判定条件!$C$8*K1203,"停止","断続")))</f>
        <v>停止</v>
      </c>
      <c r="N1203" s="30" t="n">
        <v>60</v>
      </c>
      <c r="O1203" s="30" t="n">
        <v>0</v>
      </c>
      <c r="P1203" s="30" t="str">
        <f aca="false">IF(N1203&lt;判定条件!$C$6,"判定不能",IF(O1203&gt;=判定条件!$C$7*N1203,"運転",IF(O1203&lt;=判定条件!$C$8*N1203,"停止","断続")))</f>
        <v>停止</v>
      </c>
      <c r="Q1203" s="30" t="n">
        <v>60</v>
      </c>
      <c r="R1203" s="30" t="n">
        <v>0</v>
      </c>
      <c r="S1203" s="30" t="str">
        <f aca="false">IF(Q1203&lt;判定条件!$C$6,"判定不能",IF(R1203&gt;=判定条件!$C$7*Q1203,"運転",IF(R1203&lt;=判定条件!$C$8*Q1203,"停止","断続")))</f>
        <v>停止</v>
      </c>
      <c r="T1203" s="30" t="n">
        <v>60</v>
      </c>
      <c r="U1203" s="30" t="n">
        <v>0</v>
      </c>
      <c r="V1203" s="30" t="str">
        <f aca="false">IF(T1203&lt;判定条件!$C$6,"判定不能",IF(U1203&gt;=判定条件!$C$7*T1203,"運転",IF(U1203&lt;=判定条件!$C$8*T1203,"停止","断続")))</f>
        <v>停止</v>
      </c>
      <c r="W1203" s="30" t="n">
        <v>0</v>
      </c>
      <c r="X1203" s="30" t="n">
        <v>0</v>
      </c>
      <c r="Y1203" s="30" t="str">
        <f aca="false">IF(W1203&lt;判定条件!$C$6,"判定不能",IF(X1203&gt;=判定条件!$C$7*W1203,"運転",IF(X1203&lt;=判定条件!$C$8*W1203,"停止","断続")))</f>
        <v>判定不能</v>
      </c>
      <c r="Z1203" s="30" t="n">
        <v>0</v>
      </c>
      <c r="AA1203" s="30" t="n">
        <v>0</v>
      </c>
      <c r="AB1203" s="30" t="str">
        <f aca="false">IF(Z1203&lt;判定条件!$C$6,"判定不能",IF(AA1203&gt;=判定条件!$C$7*Z1203,"運転",IF(AA1203&lt;=判定条件!$C$8*Z1203,"停止","断続")))</f>
        <v>判定不能</v>
      </c>
      <c r="AC1203" s="30" t="n">
        <v>0</v>
      </c>
      <c r="AD1203" s="30" t="n">
        <v>0</v>
      </c>
      <c r="AE1203" s="30" t="str">
        <f aca="false">IF(AC1203&lt;判定条件!$C$6,"判定不能",IF(AD1203&gt;=判定条件!$C$7*AC1203,"運転",IF(AD1203&lt;=判定条件!$C$8*AC1203,"停止","断続")))</f>
        <v>判定不能</v>
      </c>
      <c r="AF1203" s="30" t="n">
        <v>60</v>
      </c>
      <c r="AG1203" s="30" t="n">
        <v>0</v>
      </c>
      <c r="AH1203" s="30" t="str">
        <f aca="false">IF(OR(P1203="判定不能",G1203="判定不能"),"判定不能",IF(AG1203&gt;=判定条件!$C$9,"利用可",IF(AND(P1203="停止",G1203="停止"),"両方停止","運転がそろわない")))</f>
        <v>両方停止</v>
      </c>
      <c r="AI1203" s="30" t="n">
        <v>0</v>
      </c>
      <c r="AJ1203" s="30" t="n">
        <v>0</v>
      </c>
      <c r="AK1203" s="30" t="str">
        <f aca="false">IF(OR(S1203="判定不能",J1203="判定不能"),"判定不能",IF(AJ1203&gt;=判定条件!$C$9,"利用可",IF(AND(S1203="停止",J1203="停止"),"両方停止","運転がそろわない")))</f>
        <v>判定不能</v>
      </c>
      <c r="AL1203" s="30" t="n">
        <v>60</v>
      </c>
      <c r="AM1203" s="30" t="n">
        <v>0</v>
      </c>
      <c r="AN1203" s="30" t="str">
        <f aca="false">IF(OR(V1203="判定不能",M1203="判定不能"),"判定不能",IF(AM1203&gt;=判定条件!$C$9,"利用可",IF(AND(V1203="停止",M1203="停止"),"両方停止","運転がそろわない")))</f>
        <v>両方停止</v>
      </c>
      <c r="AO1203" s="30" t="n">
        <v>0</v>
      </c>
      <c r="AP1203" s="30" t="n">
        <v>0</v>
      </c>
      <c r="AQ1203" s="30" t="str">
        <f aca="false">IF(OR(Y1203="判定不能",G1203="判定不能"),"判定不能",IF(AP1203&gt;=判定条件!$C$9,"利用可",IF(AND(Y1203="停止",G1203="停止"),"両方停止","運転がそろわない")))</f>
        <v>判定不能</v>
      </c>
      <c r="AR1203" s="30" t="n">
        <v>0</v>
      </c>
      <c r="AS1203" s="30" t="n">
        <v>0</v>
      </c>
      <c r="AT1203" s="30" t="str">
        <f aca="false">IF(OR(AB1203="判定不能",J1203="判定不能"),"判定不能",IF(AS1203&gt;=判定条件!$C$9,"利用可",IF(AND(AB1203="停止",J1203="停止"),"両方停止","運転がそろわない")))</f>
        <v>判定不能</v>
      </c>
      <c r="AU1203" s="30" t="n">
        <v>0</v>
      </c>
      <c r="AV1203" s="30" t="n">
        <v>0</v>
      </c>
      <c r="AW1203" s="30" t="str">
        <f aca="false">IF(OR(AE1203="判定不能",M1203="判定不能"),"判定不能",IF(AV1203&gt;=判定条件!$C$9,"利用可",IF(AND(AE1203="停止",M1203="停止"),"両方停止","運転がそろわない")))</f>
        <v>判定不能</v>
      </c>
      <c r="AX1203" s="30" t="str">
        <f aca="false">IF(AND(AH1203="利用可",AK1203="利用可",AN1203="利用可"),"利用可","不可")</f>
        <v>不可</v>
      </c>
      <c r="AY1203" s="30" t="str">
        <f aca="false">IF(AND(AQ1203="利用可",AT1203="利用可",AW1203="利用可"),"利用可","不可")</f>
        <v>不可</v>
      </c>
    </row>
    <row r="1204" customFormat="false" ht="15" hidden="false" customHeight="false" outlineLevel="0" collapsed="false">
      <c r="A1204" s="29" t="n">
        <v>46282</v>
      </c>
      <c r="B1204" s="30" t="n">
        <v>1</v>
      </c>
      <c r="C1204" s="31" t="s">
        <v>61</v>
      </c>
      <c r="D1204" s="31" t="s">
        <v>59</v>
      </c>
      <c r="E1204" s="30" t="n">
        <v>60</v>
      </c>
      <c r="F1204" s="30" t="n">
        <v>0</v>
      </c>
      <c r="G1204" s="30" t="str">
        <f aca="false">IF(E1204&lt;判定条件!$C$6,"判定不能",IF(F1204&gt;=判定条件!$C$7*E1204,"運転",IF(F1204&lt;=判定条件!$C$8*E1204,"停止","断続")))</f>
        <v>停止</v>
      </c>
      <c r="H1204" s="30" t="n">
        <v>0</v>
      </c>
      <c r="I1204" s="30" t="n">
        <v>0</v>
      </c>
      <c r="J1204" s="30" t="str">
        <f aca="false">IF(H1204&lt;判定条件!$C$6,"判定不能",IF(I1204&gt;=判定条件!$C$7*H1204,"運転",IF(I1204&lt;=判定条件!$C$8*H1204,"停止","断続")))</f>
        <v>判定不能</v>
      </c>
      <c r="K1204" s="30" t="n">
        <v>60</v>
      </c>
      <c r="L1204" s="30" t="n">
        <v>0</v>
      </c>
      <c r="M1204" s="30" t="str">
        <f aca="false">IF(K1204&lt;判定条件!$C$6,"判定不能",IF(L1204&gt;=判定条件!$C$7*K1204,"運転",IF(L1204&lt;=判定条件!$C$8*K1204,"停止","断続")))</f>
        <v>停止</v>
      </c>
      <c r="N1204" s="30" t="n">
        <v>60</v>
      </c>
      <c r="O1204" s="30" t="n">
        <v>0</v>
      </c>
      <c r="P1204" s="30" t="str">
        <f aca="false">IF(N1204&lt;判定条件!$C$6,"判定不能",IF(O1204&gt;=判定条件!$C$7*N1204,"運転",IF(O1204&lt;=判定条件!$C$8*N1204,"停止","断続")))</f>
        <v>停止</v>
      </c>
      <c r="Q1204" s="30" t="n">
        <v>60</v>
      </c>
      <c r="R1204" s="30" t="n">
        <v>0</v>
      </c>
      <c r="S1204" s="30" t="str">
        <f aca="false">IF(Q1204&lt;判定条件!$C$6,"判定不能",IF(R1204&gt;=判定条件!$C$7*Q1204,"運転",IF(R1204&lt;=判定条件!$C$8*Q1204,"停止","断続")))</f>
        <v>停止</v>
      </c>
      <c r="T1204" s="30" t="n">
        <v>60</v>
      </c>
      <c r="U1204" s="30" t="n">
        <v>0</v>
      </c>
      <c r="V1204" s="30" t="str">
        <f aca="false">IF(T1204&lt;判定条件!$C$6,"判定不能",IF(U1204&gt;=判定条件!$C$7*T1204,"運転",IF(U1204&lt;=判定条件!$C$8*T1204,"停止","断続")))</f>
        <v>停止</v>
      </c>
      <c r="W1204" s="30" t="n">
        <v>0</v>
      </c>
      <c r="X1204" s="30" t="n">
        <v>0</v>
      </c>
      <c r="Y1204" s="30" t="str">
        <f aca="false">IF(W1204&lt;判定条件!$C$6,"判定不能",IF(X1204&gt;=判定条件!$C$7*W1204,"運転",IF(X1204&lt;=判定条件!$C$8*W1204,"停止","断続")))</f>
        <v>判定不能</v>
      </c>
      <c r="Z1204" s="30" t="n">
        <v>0</v>
      </c>
      <c r="AA1204" s="30" t="n">
        <v>0</v>
      </c>
      <c r="AB1204" s="30" t="str">
        <f aca="false">IF(Z1204&lt;判定条件!$C$6,"判定不能",IF(AA1204&gt;=判定条件!$C$7*Z1204,"運転",IF(AA1204&lt;=判定条件!$C$8*Z1204,"停止","断続")))</f>
        <v>判定不能</v>
      </c>
      <c r="AC1204" s="30" t="n">
        <v>0</v>
      </c>
      <c r="AD1204" s="30" t="n">
        <v>0</v>
      </c>
      <c r="AE1204" s="30" t="str">
        <f aca="false">IF(AC1204&lt;判定条件!$C$6,"判定不能",IF(AD1204&gt;=判定条件!$C$7*AC1204,"運転",IF(AD1204&lt;=判定条件!$C$8*AC1204,"停止","断続")))</f>
        <v>判定不能</v>
      </c>
      <c r="AF1204" s="30" t="n">
        <v>60</v>
      </c>
      <c r="AG1204" s="30" t="n">
        <v>0</v>
      </c>
      <c r="AH1204" s="30" t="str">
        <f aca="false">IF(OR(P1204="判定不能",G1204="判定不能"),"判定不能",IF(AG1204&gt;=判定条件!$C$9,"利用可",IF(AND(P1204="停止",G1204="停止"),"両方停止","運転がそろわない")))</f>
        <v>両方停止</v>
      </c>
      <c r="AI1204" s="30" t="n">
        <v>0</v>
      </c>
      <c r="AJ1204" s="30" t="n">
        <v>0</v>
      </c>
      <c r="AK1204" s="30" t="str">
        <f aca="false">IF(OR(S1204="判定不能",J1204="判定不能"),"判定不能",IF(AJ1204&gt;=判定条件!$C$9,"利用可",IF(AND(S1204="停止",J1204="停止"),"両方停止","運転がそろわない")))</f>
        <v>判定不能</v>
      </c>
      <c r="AL1204" s="30" t="n">
        <v>60</v>
      </c>
      <c r="AM1204" s="30" t="n">
        <v>0</v>
      </c>
      <c r="AN1204" s="30" t="str">
        <f aca="false">IF(OR(V1204="判定不能",M1204="判定不能"),"判定不能",IF(AM1204&gt;=判定条件!$C$9,"利用可",IF(AND(V1204="停止",M1204="停止"),"両方停止","運転がそろわない")))</f>
        <v>両方停止</v>
      </c>
      <c r="AO1204" s="30" t="n">
        <v>0</v>
      </c>
      <c r="AP1204" s="30" t="n">
        <v>0</v>
      </c>
      <c r="AQ1204" s="30" t="str">
        <f aca="false">IF(OR(Y1204="判定不能",G1204="判定不能"),"判定不能",IF(AP1204&gt;=判定条件!$C$9,"利用可",IF(AND(Y1204="停止",G1204="停止"),"両方停止","運転がそろわない")))</f>
        <v>判定不能</v>
      </c>
      <c r="AR1204" s="30" t="n">
        <v>0</v>
      </c>
      <c r="AS1204" s="30" t="n">
        <v>0</v>
      </c>
      <c r="AT1204" s="30" t="str">
        <f aca="false">IF(OR(AB1204="判定不能",J1204="判定不能"),"判定不能",IF(AS1204&gt;=判定条件!$C$9,"利用可",IF(AND(AB1204="停止",J1204="停止"),"両方停止","運転がそろわない")))</f>
        <v>判定不能</v>
      </c>
      <c r="AU1204" s="30" t="n">
        <v>0</v>
      </c>
      <c r="AV1204" s="30" t="n">
        <v>0</v>
      </c>
      <c r="AW1204" s="30" t="str">
        <f aca="false">IF(OR(AE1204="判定不能",M1204="判定不能"),"判定不能",IF(AV1204&gt;=判定条件!$C$9,"利用可",IF(AND(AE1204="停止",M1204="停止"),"両方停止","運転がそろわない")))</f>
        <v>判定不能</v>
      </c>
      <c r="AX1204" s="30" t="str">
        <f aca="false">IF(AND(AH1204="利用可",AK1204="利用可",AN1204="利用可"),"利用可","不可")</f>
        <v>不可</v>
      </c>
      <c r="AY1204" s="30" t="str">
        <f aca="false">IF(AND(AQ1204="利用可",AT1204="利用可",AW1204="利用可"),"利用可","不可")</f>
        <v>不可</v>
      </c>
    </row>
    <row r="1205" customFormat="false" ht="15" hidden="false" customHeight="false" outlineLevel="0" collapsed="false">
      <c r="A1205" s="29" t="n">
        <v>46282</v>
      </c>
      <c r="B1205" s="30" t="n">
        <v>2</v>
      </c>
      <c r="C1205" s="31" t="s">
        <v>61</v>
      </c>
      <c r="D1205" s="31" t="s">
        <v>59</v>
      </c>
      <c r="E1205" s="30" t="n">
        <v>60</v>
      </c>
      <c r="F1205" s="30" t="n">
        <v>0</v>
      </c>
      <c r="G1205" s="30" t="str">
        <f aca="false">IF(E1205&lt;判定条件!$C$6,"判定不能",IF(F1205&gt;=判定条件!$C$7*E1205,"運転",IF(F1205&lt;=判定条件!$C$8*E1205,"停止","断続")))</f>
        <v>停止</v>
      </c>
      <c r="H1205" s="30" t="n">
        <v>0</v>
      </c>
      <c r="I1205" s="30" t="n">
        <v>0</v>
      </c>
      <c r="J1205" s="30" t="str">
        <f aca="false">IF(H1205&lt;判定条件!$C$6,"判定不能",IF(I1205&gt;=判定条件!$C$7*H1205,"運転",IF(I1205&lt;=判定条件!$C$8*H1205,"停止","断続")))</f>
        <v>判定不能</v>
      </c>
      <c r="K1205" s="30" t="n">
        <v>60</v>
      </c>
      <c r="L1205" s="30" t="n">
        <v>0</v>
      </c>
      <c r="M1205" s="30" t="str">
        <f aca="false">IF(K1205&lt;判定条件!$C$6,"判定不能",IF(L1205&gt;=判定条件!$C$7*K1205,"運転",IF(L1205&lt;=判定条件!$C$8*K1205,"停止","断続")))</f>
        <v>停止</v>
      </c>
      <c r="N1205" s="30" t="n">
        <v>60</v>
      </c>
      <c r="O1205" s="30" t="n">
        <v>0</v>
      </c>
      <c r="P1205" s="30" t="str">
        <f aca="false">IF(N1205&lt;判定条件!$C$6,"判定不能",IF(O1205&gt;=判定条件!$C$7*N1205,"運転",IF(O1205&lt;=判定条件!$C$8*N1205,"停止","断続")))</f>
        <v>停止</v>
      </c>
      <c r="Q1205" s="30" t="n">
        <v>60</v>
      </c>
      <c r="R1205" s="30" t="n">
        <v>0</v>
      </c>
      <c r="S1205" s="30" t="str">
        <f aca="false">IF(Q1205&lt;判定条件!$C$6,"判定不能",IF(R1205&gt;=判定条件!$C$7*Q1205,"運転",IF(R1205&lt;=判定条件!$C$8*Q1205,"停止","断続")))</f>
        <v>停止</v>
      </c>
      <c r="T1205" s="30" t="n">
        <v>60</v>
      </c>
      <c r="U1205" s="30" t="n">
        <v>0</v>
      </c>
      <c r="V1205" s="30" t="str">
        <f aca="false">IF(T1205&lt;判定条件!$C$6,"判定不能",IF(U1205&gt;=判定条件!$C$7*T1205,"運転",IF(U1205&lt;=判定条件!$C$8*T1205,"停止","断続")))</f>
        <v>停止</v>
      </c>
      <c r="W1205" s="30" t="n">
        <v>0</v>
      </c>
      <c r="X1205" s="30" t="n">
        <v>0</v>
      </c>
      <c r="Y1205" s="30" t="str">
        <f aca="false">IF(W1205&lt;判定条件!$C$6,"判定不能",IF(X1205&gt;=判定条件!$C$7*W1205,"運転",IF(X1205&lt;=判定条件!$C$8*W1205,"停止","断続")))</f>
        <v>判定不能</v>
      </c>
      <c r="Z1205" s="30" t="n">
        <v>0</v>
      </c>
      <c r="AA1205" s="30" t="n">
        <v>0</v>
      </c>
      <c r="AB1205" s="30" t="str">
        <f aca="false">IF(Z1205&lt;判定条件!$C$6,"判定不能",IF(AA1205&gt;=判定条件!$C$7*Z1205,"運転",IF(AA1205&lt;=判定条件!$C$8*Z1205,"停止","断続")))</f>
        <v>判定不能</v>
      </c>
      <c r="AC1205" s="30" t="n">
        <v>0</v>
      </c>
      <c r="AD1205" s="30" t="n">
        <v>0</v>
      </c>
      <c r="AE1205" s="30" t="str">
        <f aca="false">IF(AC1205&lt;判定条件!$C$6,"判定不能",IF(AD1205&gt;=判定条件!$C$7*AC1205,"運転",IF(AD1205&lt;=判定条件!$C$8*AC1205,"停止","断続")))</f>
        <v>判定不能</v>
      </c>
      <c r="AF1205" s="30" t="n">
        <v>60</v>
      </c>
      <c r="AG1205" s="30" t="n">
        <v>0</v>
      </c>
      <c r="AH1205" s="30" t="str">
        <f aca="false">IF(OR(P1205="判定不能",G1205="判定不能"),"判定不能",IF(AG1205&gt;=判定条件!$C$9,"利用可",IF(AND(P1205="停止",G1205="停止"),"両方停止","運転がそろわない")))</f>
        <v>両方停止</v>
      </c>
      <c r="AI1205" s="30" t="n">
        <v>0</v>
      </c>
      <c r="AJ1205" s="30" t="n">
        <v>0</v>
      </c>
      <c r="AK1205" s="30" t="str">
        <f aca="false">IF(OR(S1205="判定不能",J1205="判定不能"),"判定不能",IF(AJ1205&gt;=判定条件!$C$9,"利用可",IF(AND(S1205="停止",J1205="停止"),"両方停止","運転がそろわない")))</f>
        <v>判定不能</v>
      </c>
      <c r="AL1205" s="30" t="n">
        <v>60</v>
      </c>
      <c r="AM1205" s="30" t="n">
        <v>0</v>
      </c>
      <c r="AN1205" s="30" t="str">
        <f aca="false">IF(OR(V1205="判定不能",M1205="判定不能"),"判定不能",IF(AM1205&gt;=判定条件!$C$9,"利用可",IF(AND(V1205="停止",M1205="停止"),"両方停止","運転がそろわない")))</f>
        <v>両方停止</v>
      </c>
      <c r="AO1205" s="30" t="n">
        <v>0</v>
      </c>
      <c r="AP1205" s="30" t="n">
        <v>0</v>
      </c>
      <c r="AQ1205" s="30" t="str">
        <f aca="false">IF(OR(Y1205="判定不能",G1205="判定不能"),"判定不能",IF(AP1205&gt;=判定条件!$C$9,"利用可",IF(AND(Y1205="停止",G1205="停止"),"両方停止","運転がそろわない")))</f>
        <v>判定不能</v>
      </c>
      <c r="AR1205" s="30" t="n">
        <v>0</v>
      </c>
      <c r="AS1205" s="30" t="n">
        <v>0</v>
      </c>
      <c r="AT1205" s="30" t="str">
        <f aca="false">IF(OR(AB1205="判定不能",J1205="判定不能"),"判定不能",IF(AS1205&gt;=判定条件!$C$9,"利用可",IF(AND(AB1205="停止",J1205="停止"),"両方停止","運転がそろわない")))</f>
        <v>判定不能</v>
      </c>
      <c r="AU1205" s="30" t="n">
        <v>0</v>
      </c>
      <c r="AV1205" s="30" t="n">
        <v>0</v>
      </c>
      <c r="AW1205" s="30" t="str">
        <f aca="false">IF(OR(AE1205="判定不能",M1205="判定不能"),"判定不能",IF(AV1205&gt;=判定条件!$C$9,"利用可",IF(AND(AE1205="停止",M1205="停止"),"両方停止","運転がそろわない")))</f>
        <v>判定不能</v>
      </c>
      <c r="AX1205" s="30" t="str">
        <f aca="false">IF(AND(AH1205="利用可",AK1205="利用可",AN1205="利用可"),"利用可","不可")</f>
        <v>不可</v>
      </c>
      <c r="AY1205" s="30" t="str">
        <f aca="false">IF(AND(AQ1205="利用可",AT1205="利用可",AW1205="利用可"),"利用可","不可")</f>
        <v>不可</v>
      </c>
    </row>
    <row r="1206" customFormat="false" ht="15" hidden="false" customHeight="false" outlineLevel="0" collapsed="false">
      <c r="A1206" s="29" t="n">
        <v>46282</v>
      </c>
      <c r="B1206" s="30" t="n">
        <v>3</v>
      </c>
      <c r="C1206" s="31" t="s">
        <v>61</v>
      </c>
      <c r="D1206" s="31" t="s">
        <v>59</v>
      </c>
      <c r="E1206" s="30" t="n">
        <v>60</v>
      </c>
      <c r="F1206" s="30" t="n">
        <v>0</v>
      </c>
      <c r="G1206" s="30" t="str">
        <f aca="false">IF(E1206&lt;判定条件!$C$6,"判定不能",IF(F1206&gt;=判定条件!$C$7*E1206,"運転",IF(F1206&lt;=判定条件!$C$8*E1206,"停止","断続")))</f>
        <v>停止</v>
      </c>
      <c r="H1206" s="30" t="n">
        <v>0</v>
      </c>
      <c r="I1206" s="30" t="n">
        <v>0</v>
      </c>
      <c r="J1206" s="30" t="str">
        <f aca="false">IF(H1206&lt;判定条件!$C$6,"判定不能",IF(I1206&gt;=判定条件!$C$7*H1206,"運転",IF(I1206&lt;=判定条件!$C$8*H1206,"停止","断続")))</f>
        <v>判定不能</v>
      </c>
      <c r="K1206" s="30" t="n">
        <v>60</v>
      </c>
      <c r="L1206" s="30" t="n">
        <v>0</v>
      </c>
      <c r="M1206" s="30" t="str">
        <f aca="false">IF(K1206&lt;判定条件!$C$6,"判定不能",IF(L1206&gt;=判定条件!$C$7*K1206,"運転",IF(L1206&lt;=判定条件!$C$8*K1206,"停止","断続")))</f>
        <v>停止</v>
      </c>
      <c r="N1206" s="30" t="n">
        <v>60</v>
      </c>
      <c r="O1206" s="30" t="n">
        <v>0</v>
      </c>
      <c r="P1206" s="30" t="str">
        <f aca="false">IF(N1206&lt;判定条件!$C$6,"判定不能",IF(O1206&gt;=判定条件!$C$7*N1206,"運転",IF(O1206&lt;=判定条件!$C$8*N1206,"停止","断続")))</f>
        <v>停止</v>
      </c>
      <c r="Q1206" s="30" t="n">
        <v>60</v>
      </c>
      <c r="R1206" s="30" t="n">
        <v>0</v>
      </c>
      <c r="S1206" s="30" t="str">
        <f aca="false">IF(Q1206&lt;判定条件!$C$6,"判定不能",IF(R1206&gt;=判定条件!$C$7*Q1206,"運転",IF(R1206&lt;=判定条件!$C$8*Q1206,"停止","断続")))</f>
        <v>停止</v>
      </c>
      <c r="T1206" s="30" t="n">
        <v>60</v>
      </c>
      <c r="U1206" s="30" t="n">
        <v>0</v>
      </c>
      <c r="V1206" s="30" t="str">
        <f aca="false">IF(T1206&lt;判定条件!$C$6,"判定不能",IF(U1206&gt;=判定条件!$C$7*T1206,"運転",IF(U1206&lt;=判定条件!$C$8*T1206,"停止","断続")))</f>
        <v>停止</v>
      </c>
      <c r="W1206" s="30" t="n">
        <v>0</v>
      </c>
      <c r="X1206" s="30" t="n">
        <v>0</v>
      </c>
      <c r="Y1206" s="30" t="str">
        <f aca="false">IF(W1206&lt;判定条件!$C$6,"判定不能",IF(X1206&gt;=判定条件!$C$7*W1206,"運転",IF(X1206&lt;=判定条件!$C$8*W1206,"停止","断続")))</f>
        <v>判定不能</v>
      </c>
      <c r="Z1206" s="30" t="n">
        <v>0</v>
      </c>
      <c r="AA1206" s="30" t="n">
        <v>0</v>
      </c>
      <c r="AB1206" s="30" t="str">
        <f aca="false">IF(Z1206&lt;判定条件!$C$6,"判定不能",IF(AA1206&gt;=判定条件!$C$7*Z1206,"運転",IF(AA1206&lt;=判定条件!$C$8*Z1206,"停止","断続")))</f>
        <v>判定不能</v>
      </c>
      <c r="AC1206" s="30" t="n">
        <v>0</v>
      </c>
      <c r="AD1206" s="30" t="n">
        <v>0</v>
      </c>
      <c r="AE1206" s="30" t="str">
        <f aca="false">IF(AC1206&lt;判定条件!$C$6,"判定不能",IF(AD1206&gt;=判定条件!$C$7*AC1206,"運転",IF(AD1206&lt;=判定条件!$C$8*AC1206,"停止","断続")))</f>
        <v>判定不能</v>
      </c>
      <c r="AF1206" s="30" t="n">
        <v>60</v>
      </c>
      <c r="AG1206" s="30" t="n">
        <v>0</v>
      </c>
      <c r="AH1206" s="30" t="str">
        <f aca="false">IF(OR(P1206="判定不能",G1206="判定不能"),"判定不能",IF(AG1206&gt;=判定条件!$C$9,"利用可",IF(AND(P1206="停止",G1206="停止"),"両方停止","運転がそろわない")))</f>
        <v>両方停止</v>
      </c>
      <c r="AI1206" s="30" t="n">
        <v>0</v>
      </c>
      <c r="AJ1206" s="30" t="n">
        <v>0</v>
      </c>
      <c r="AK1206" s="30" t="str">
        <f aca="false">IF(OR(S1206="判定不能",J1206="判定不能"),"判定不能",IF(AJ1206&gt;=判定条件!$C$9,"利用可",IF(AND(S1206="停止",J1206="停止"),"両方停止","運転がそろわない")))</f>
        <v>判定不能</v>
      </c>
      <c r="AL1206" s="30" t="n">
        <v>60</v>
      </c>
      <c r="AM1206" s="30" t="n">
        <v>0</v>
      </c>
      <c r="AN1206" s="30" t="str">
        <f aca="false">IF(OR(V1206="判定不能",M1206="判定不能"),"判定不能",IF(AM1206&gt;=判定条件!$C$9,"利用可",IF(AND(V1206="停止",M1206="停止"),"両方停止","運転がそろわない")))</f>
        <v>両方停止</v>
      </c>
      <c r="AO1206" s="30" t="n">
        <v>0</v>
      </c>
      <c r="AP1206" s="30" t="n">
        <v>0</v>
      </c>
      <c r="AQ1206" s="30" t="str">
        <f aca="false">IF(OR(Y1206="判定不能",G1206="判定不能"),"判定不能",IF(AP1206&gt;=判定条件!$C$9,"利用可",IF(AND(Y1206="停止",G1206="停止"),"両方停止","運転がそろわない")))</f>
        <v>判定不能</v>
      </c>
      <c r="AR1206" s="30" t="n">
        <v>0</v>
      </c>
      <c r="AS1206" s="30" t="n">
        <v>0</v>
      </c>
      <c r="AT1206" s="30" t="str">
        <f aca="false">IF(OR(AB1206="判定不能",J1206="判定不能"),"判定不能",IF(AS1206&gt;=判定条件!$C$9,"利用可",IF(AND(AB1206="停止",J1206="停止"),"両方停止","運転がそろわない")))</f>
        <v>判定不能</v>
      </c>
      <c r="AU1206" s="30" t="n">
        <v>0</v>
      </c>
      <c r="AV1206" s="30" t="n">
        <v>0</v>
      </c>
      <c r="AW1206" s="30" t="str">
        <f aca="false">IF(OR(AE1206="判定不能",M1206="判定不能"),"判定不能",IF(AV1206&gt;=判定条件!$C$9,"利用可",IF(AND(AE1206="停止",M1206="停止"),"両方停止","運転がそろわない")))</f>
        <v>判定不能</v>
      </c>
      <c r="AX1206" s="30" t="str">
        <f aca="false">IF(AND(AH1206="利用可",AK1206="利用可",AN1206="利用可"),"利用可","不可")</f>
        <v>不可</v>
      </c>
      <c r="AY1206" s="30" t="str">
        <f aca="false">IF(AND(AQ1206="利用可",AT1206="利用可",AW1206="利用可"),"利用可","不可")</f>
        <v>不可</v>
      </c>
    </row>
    <row r="1207" customFormat="false" ht="15" hidden="false" customHeight="false" outlineLevel="0" collapsed="false">
      <c r="A1207" s="29" t="n">
        <v>46282</v>
      </c>
      <c r="B1207" s="30" t="n">
        <v>4</v>
      </c>
      <c r="C1207" s="31" t="s">
        <v>61</v>
      </c>
      <c r="D1207" s="31" t="s">
        <v>59</v>
      </c>
      <c r="E1207" s="30" t="n">
        <v>60</v>
      </c>
      <c r="F1207" s="30" t="n">
        <v>0</v>
      </c>
      <c r="G1207" s="30" t="str">
        <f aca="false">IF(E1207&lt;判定条件!$C$6,"判定不能",IF(F1207&gt;=判定条件!$C$7*E1207,"運転",IF(F1207&lt;=判定条件!$C$8*E1207,"停止","断続")))</f>
        <v>停止</v>
      </c>
      <c r="H1207" s="30" t="n">
        <v>0</v>
      </c>
      <c r="I1207" s="30" t="n">
        <v>0</v>
      </c>
      <c r="J1207" s="30" t="str">
        <f aca="false">IF(H1207&lt;判定条件!$C$6,"判定不能",IF(I1207&gt;=判定条件!$C$7*H1207,"運転",IF(I1207&lt;=判定条件!$C$8*H1207,"停止","断続")))</f>
        <v>判定不能</v>
      </c>
      <c r="K1207" s="30" t="n">
        <v>60</v>
      </c>
      <c r="L1207" s="30" t="n">
        <v>0</v>
      </c>
      <c r="M1207" s="30" t="str">
        <f aca="false">IF(K1207&lt;判定条件!$C$6,"判定不能",IF(L1207&gt;=判定条件!$C$7*K1207,"運転",IF(L1207&lt;=判定条件!$C$8*K1207,"停止","断続")))</f>
        <v>停止</v>
      </c>
      <c r="N1207" s="30" t="n">
        <v>60</v>
      </c>
      <c r="O1207" s="30" t="n">
        <v>0</v>
      </c>
      <c r="P1207" s="30" t="str">
        <f aca="false">IF(N1207&lt;判定条件!$C$6,"判定不能",IF(O1207&gt;=判定条件!$C$7*N1207,"運転",IF(O1207&lt;=判定条件!$C$8*N1207,"停止","断続")))</f>
        <v>停止</v>
      </c>
      <c r="Q1207" s="30" t="n">
        <v>60</v>
      </c>
      <c r="R1207" s="30" t="n">
        <v>0</v>
      </c>
      <c r="S1207" s="30" t="str">
        <f aca="false">IF(Q1207&lt;判定条件!$C$6,"判定不能",IF(R1207&gt;=判定条件!$C$7*Q1207,"運転",IF(R1207&lt;=判定条件!$C$8*Q1207,"停止","断続")))</f>
        <v>停止</v>
      </c>
      <c r="T1207" s="30" t="n">
        <v>60</v>
      </c>
      <c r="U1207" s="30" t="n">
        <v>0</v>
      </c>
      <c r="V1207" s="30" t="str">
        <f aca="false">IF(T1207&lt;判定条件!$C$6,"判定不能",IF(U1207&gt;=判定条件!$C$7*T1207,"運転",IF(U1207&lt;=判定条件!$C$8*T1207,"停止","断続")))</f>
        <v>停止</v>
      </c>
      <c r="W1207" s="30" t="n">
        <v>0</v>
      </c>
      <c r="X1207" s="30" t="n">
        <v>0</v>
      </c>
      <c r="Y1207" s="30" t="str">
        <f aca="false">IF(W1207&lt;判定条件!$C$6,"判定不能",IF(X1207&gt;=判定条件!$C$7*W1207,"運転",IF(X1207&lt;=判定条件!$C$8*W1207,"停止","断続")))</f>
        <v>判定不能</v>
      </c>
      <c r="Z1207" s="30" t="n">
        <v>0</v>
      </c>
      <c r="AA1207" s="30" t="n">
        <v>0</v>
      </c>
      <c r="AB1207" s="30" t="str">
        <f aca="false">IF(Z1207&lt;判定条件!$C$6,"判定不能",IF(AA1207&gt;=判定条件!$C$7*Z1207,"運転",IF(AA1207&lt;=判定条件!$C$8*Z1207,"停止","断続")))</f>
        <v>判定不能</v>
      </c>
      <c r="AC1207" s="30" t="n">
        <v>0</v>
      </c>
      <c r="AD1207" s="30" t="n">
        <v>0</v>
      </c>
      <c r="AE1207" s="30" t="str">
        <f aca="false">IF(AC1207&lt;判定条件!$C$6,"判定不能",IF(AD1207&gt;=判定条件!$C$7*AC1207,"運転",IF(AD1207&lt;=判定条件!$C$8*AC1207,"停止","断続")))</f>
        <v>判定不能</v>
      </c>
      <c r="AF1207" s="30" t="n">
        <v>60</v>
      </c>
      <c r="AG1207" s="30" t="n">
        <v>0</v>
      </c>
      <c r="AH1207" s="30" t="str">
        <f aca="false">IF(OR(P1207="判定不能",G1207="判定不能"),"判定不能",IF(AG1207&gt;=判定条件!$C$9,"利用可",IF(AND(P1207="停止",G1207="停止"),"両方停止","運転がそろわない")))</f>
        <v>両方停止</v>
      </c>
      <c r="AI1207" s="30" t="n">
        <v>0</v>
      </c>
      <c r="AJ1207" s="30" t="n">
        <v>0</v>
      </c>
      <c r="AK1207" s="30" t="str">
        <f aca="false">IF(OR(S1207="判定不能",J1207="判定不能"),"判定不能",IF(AJ1207&gt;=判定条件!$C$9,"利用可",IF(AND(S1207="停止",J1207="停止"),"両方停止","運転がそろわない")))</f>
        <v>判定不能</v>
      </c>
      <c r="AL1207" s="30" t="n">
        <v>60</v>
      </c>
      <c r="AM1207" s="30" t="n">
        <v>0</v>
      </c>
      <c r="AN1207" s="30" t="str">
        <f aca="false">IF(OR(V1207="判定不能",M1207="判定不能"),"判定不能",IF(AM1207&gt;=判定条件!$C$9,"利用可",IF(AND(V1207="停止",M1207="停止"),"両方停止","運転がそろわない")))</f>
        <v>両方停止</v>
      </c>
      <c r="AO1207" s="30" t="n">
        <v>0</v>
      </c>
      <c r="AP1207" s="30" t="n">
        <v>0</v>
      </c>
      <c r="AQ1207" s="30" t="str">
        <f aca="false">IF(OR(Y1207="判定不能",G1207="判定不能"),"判定不能",IF(AP1207&gt;=判定条件!$C$9,"利用可",IF(AND(Y1207="停止",G1207="停止"),"両方停止","運転がそろわない")))</f>
        <v>判定不能</v>
      </c>
      <c r="AR1207" s="30" t="n">
        <v>0</v>
      </c>
      <c r="AS1207" s="30" t="n">
        <v>0</v>
      </c>
      <c r="AT1207" s="30" t="str">
        <f aca="false">IF(OR(AB1207="判定不能",J1207="判定不能"),"判定不能",IF(AS1207&gt;=判定条件!$C$9,"利用可",IF(AND(AB1207="停止",J1207="停止"),"両方停止","運転がそろわない")))</f>
        <v>判定不能</v>
      </c>
      <c r="AU1207" s="30" t="n">
        <v>0</v>
      </c>
      <c r="AV1207" s="30" t="n">
        <v>0</v>
      </c>
      <c r="AW1207" s="30" t="str">
        <f aca="false">IF(OR(AE1207="判定不能",M1207="判定不能"),"判定不能",IF(AV1207&gt;=判定条件!$C$9,"利用可",IF(AND(AE1207="停止",M1207="停止"),"両方停止","運転がそろわない")))</f>
        <v>判定不能</v>
      </c>
      <c r="AX1207" s="30" t="str">
        <f aca="false">IF(AND(AH1207="利用可",AK1207="利用可",AN1207="利用可"),"利用可","不可")</f>
        <v>不可</v>
      </c>
      <c r="AY1207" s="30" t="str">
        <f aca="false">IF(AND(AQ1207="利用可",AT1207="利用可",AW1207="利用可"),"利用可","不可")</f>
        <v>不可</v>
      </c>
    </row>
    <row r="1208" customFormat="false" ht="15" hidden="false" customHeight="false" outlineLevel="0" collapsed="false">
      <c r="A1208" s="29" t="n">
        <v>46282</v>
      </c>
      <c r="B1208" s="30" t="n">
        <v>5</v>
      </c>
      <c r="C1208" s="31" t="s">
        <v>61</v>
      </c>
      <c r="D1208" s="31" t="s">
        <v>59</v>
      </c>
      <c r="E1208" s="30" t="n">
        <v>60</v>
      </c>
      <c r="F1208" s="30" t="n">
        <v>0</v>
      </c>
      <c r="G1208" s="30" t="str">
        <f aca="false">IF(E1208&lt;判定条件!$C$6,"判定不能",IF(F1208&gt;=判定条件!$C$7*E1208,"運転",IF(F1208&lt;=判定条件!$C$8*E1208,"停止","断続")))</f>
        <v>停止</v>
      </c>
      <c r="H1208" s="30" t="n">
        <v>0</v>
      </c>
      <c r="I1208" s="30" t="n">
        <v>0</v>
      </c>
      <c r="J1208" s="30" t="str">
        <f aca="false">IF(H1208&lt;判定条件!$C$6,"判定不能",IF(I1208&gt;=判定条件!$C$7*H1208,"運転",IF(I1208&lt;=判定条件!$C$8*H1208,"停止","断続")))</f>
        <v>判定不能</v>
      </c>
      <c r="K1208" s="30" t="n">
        <v>60</v>
      </c>
      <c r="L1208" s="30" t="n">
        <v>0</v>
      </c>
      <c r="M1208" s="30" t="str">
        <f aca="false">IF(K1208&lt;判定条件!$C$6,"判定不能",IF(L1208&gt;=判定条件!$C$7*K1208,"運転",IF(L1208&lt;=判定条件!$C$8*K1208,"停止","断続")))</f>
        <v>停止</v>
      </c>
      <c r="N1208" s="30" t="n">
        <v>60</v>
      </c>
      <c r="O1208" s="30" t="n">
        <v>0</v>
      </c>
      <c r="P1208" s="30" t="str">
        <f aca="false">IF(N1208&lt;判定条件!$C$6,"判定不能",IF(O1208&gt;=判定条件!$C$7*N1208,"運転",IF(O1208&lt;=判定条件!$C$8*N1208,"停止","断続")))</f>
        <v>停止</v>
      </c>
      <c r="Q1208" s="30" t="n">
        <v>60</v>
      </c>
      <c r="R1208" s="30" t="n">
        <v>0</v>
      </c>
      <c r="S1208" s="30" t="str">
        <f aca="false">IF(Q1208&lt;判定条件!$C$6,"判定不能",IF(R1208&gt;=判定条件!$C$7*Q1208,"運転",IF(R1208&lt;=判定条件!$C$8*Q1208,"停止","断続")))</f>
        <v>停止</v>
      </c>
      <c r="T1208" s="30" t="n">
        <v>60</v>
      </c>
      <c r="U1208" s="30" t="n">
        <v>0</v>
      </c>
      <c r="V1208" s="30" t="str">
        <f aca="false">IF(T1208&lt;判定条件!$C$6,"判定不能",IF(U1208&gt;=判定条件!$C$7*T1208,"運転",IF(U1208&lt;=判定条件!$C$8*T1208,"停止","断続")))</f>
        <v>停止</v>
      </c>
      <c r="W1208" s="30" t="n">
        <v>0</v>
      </c>
      <c r="X1208" s="30" t="n">
        <v>0</v>
      </c>
      <c r="Y1208" s="30" t="str">
        <f aca="false">IF(W1208&lt;判定条件!$C$6,"判定不能",IF(X1208&gt;=判定条件!$C$7*W1208,"運転",IF(X1208&lt;=判定条件!$C$8*W1208,"停止","断続")))</f>
        <v>判定不能</v>
      </c>
      <c r="Z1208" s="30" t="n">
        <v>0</v>
      </c>
      <c r="AA1208" s="30" t="n">
        <v>0</v>
      </c>
      <c r="AB1208" s="30" t="str">
        <f aca="false">IF(Z1208&lt;判定条件!$C$6,"判定不能",IF(AA1208&gt;=判定条件!$C$7*Z1208,"運転",IF(AA1208&lt;=判定条件!$C$8*Z1208,"停止","断続")))</f>
        <v>判定不能</v>
      </c>
      <c r="AC1208" s="30" t="n">
        <v>0</v>
      </c>
      <c r="AD1208" s="30" t="n">
        <v>0</v>
      </c>
      <c r="AE1208" s="30" t="str">
        <f aca="false">IF(AC1208&lt;判定条件!$C$6,"判定不能",IF(AD1208&gt;=判定条件!$C$7*AC1208,"運転",IF(AD1208&lt;=判定条件!$C$8*AC1208,"停止","断続")))</f>
        <v>判定不能</v>
      </c>
      <c r="AF1208" s="30" t="n">
        <v>60</v>
      </c>
      <c r="AG1208" s="30" t="n">
        <v>0</v>
      </c>
      <c r="AH1208" s="30" t="str">
        <f aca="false">IF(OR(P1208="判定不能",G1208="判定不能"),"判定不能",IF(AG1208&gt;=判定条件!$C$9,"利用可",IF(AND(P1208="停止",G1208="停止"),"両方停止","運転がそろわない")))</f>
        <v>両方停止</v>
      </c>
      <c r="AI1208" s="30" t="n">
        <v>0</v>
      </c>
      <c r="AJ1208" s="30" t="n">
        <v>0</v>
      </c>
      <c r="AK1208" s="30" t="str">
        <f aca="false">IF(OR(S1208="判定不能",J1208="判定不能"),"判定不能",IF(AJ1208&gt;=判定条件!$C$9,"利用可",IF(AND(S1208="停止",J1208="停止"),"両方停止","運転がそろわない")))</f>
        <v>判定不能</v>
      </c>
      <c r="AL1208" s="30" t="n">
        <v>60</v>
      </c>
      <c r="AM1208" s="30" t="n">
        <v>0</v>
      </c>
      <c r="AN1208" s="30" t="str">
        <f aca="false">IF(OR(V1208="判定不能",M1208="判定不能"),"判定不能",IF(AM1208&gt;=判定条件!$C$9,"利用可",IF(AND(V1208="停止",M1208="停止"),"両方停止","運転がそろわない")))</f>
        <v>両方停止</v>
      </c>
      <c r="AO1208" s="30" t="n">
        <v>0</v>
      </c>
      <c r="AP1208" s="30" t="n">
        <v>0</v>
      </c>
      <c r="AQ1208" s="30" t="str">
        <f aca="false">IF(OR(Y1208="判定不能",G1208="判定不能"),"判定不能",IF(AP1208&gt;=判定条件!$C$9,"利用可",IF(AND(Y1208="停止",G1208="停止"),"両方停止","運転がそろわない")))</f>
        <v>判定不能</v>
      </c>
      <c r="AR1208" s="30" t="n">
        <v>0</v>
      </c>
      <c r="AS1208" s="30" t="n">
        <v>0</v>
      </c>
      <c r="AT1208" s="30" t="str">
        <f aca="false">IF(OR(AB1208="判定不能",J1208="判定不能"),"判定不能",IF(AS1208&gt;=判定条件!$C$9,"利用可",IF(AND(AB1208="停止",J1208="停止"),"両方停止","運転がそろわない")))</f>
        <v>判定不能</v>
      </c>
      <c r="AU1208" s="30" t="n">
        <v>0</v>
      </c>
      <c r="AV1208" s="30" t="n">
        <v>0</v>
      </c>
      <c r="AW1208" s="30" t="str">
        <f aca="false">IF(OR(AE1208="判定不能",M1208="判定不能"),"判定不能",IF(AV1208&gt;=判定条件!$C$9,"利用可",IF(AND(AE1208="停止",M1208="停止"),"両方停止","運転がそろわない")))</f>
        <v>判定不能</v>
      </c>
      <c r="AX1208" s="30" t="str">
        <f aca="false">IF(AND(AH1208="利用可",AK1208="利用可",AN1208="利用可"),"利用可","不可")</f>
        <v>不可</v>
      </c>
      <c r="AY1208" s="30" t="str">
        <f aca="false">IF(AND(AQ1208="利用可",AT1208="利用可",AW1208="利用可"),"利用可","不可")</f>
        <v>不可</v>
      </c>
    </row>
    <row r="1209" customFormat="false" ht="15" hidden="false" customHeight="false" outlineLevel="0" collapsed="false">
      <c r="A1209" s="29" t="n">
        <v>46282</v>
      </c>
      <c r="B1209" s="30" t="n">
        <v>6</v>
      </c>
      <c r="C1209" s="31" t="s">
        <v>61</v>
      </c>
      <c r="D1209" s="31" t="s">
        <v>59</v>
      </c>
      <c r="E1209" s="30" t="n">
        <v>60</v>
      </c>
      <c r="F1209" s="30" t="n">
        <v>0</v>
      </c>
      <c r="G1209" s="30" t="str">
        <f aca="false">IF(E1209&lt;判定条件!$C$6,"判定不能",IF(F1209&gt;=判定条件!$C$7*E1209,"運転",IF(F1209&lt;=判定条件!$C$8*E1209,"停止","断続")))</f>
        <v>停止</v>
      </c>
      <c r="H1209" s="30" t="n">
        <v>0</v>
      </c>
      <c r="I1209" s="30" t="n">
        <v>0</v>
      </c>
      <c r="J1209" s="30" t="str">
        <f aca="false">IF(H1209&lt;判定条件!$C$6,"判定不能",IF(I1209&gt;=判定条件!$C$7*H1209,"運転",IF(I1209&lt;=判定条件!$C$8*H1209,"停止","断続")))</f>
        <v>判定不能</v>
      </c>
      <c r="K1209" s="30" t="n">
        <v>60</v>
      </c>
      <c r="L1209" s="30" t="n">
        <v>0</v>
      </c>
      <c r="M1209" s="30" t="str">
        <f aca="false">IF(K1209&lt;判定条件!$C$6,"判定不能",IF(L1209&gt;=判定条件!$C$7*K1209,"運転",IF(L1209&lt;=判定条件!$C$8*K1209,"停止","断続")))</f>
        <v>停止</v>
      </c>
      <c r="N1209" s="30" t="n">
        <v>60</v>
      </c>
      <c r="O1209" s="30" t="n">
        <v>0</v>
      </c>
      <c r="P1209" s="30" t="str">
        <f aca="false">IF(N1209&lt;判定条件!$C$6,"判定不能",IF(O1209&gt;=判定条件!$C$7*N1209,"運転",IF(O1209&lt;=判定条件!$C$8*N1209,"停止","断続")))</f>
        <v>停止</v>
      </c>
      <c r="Q1209" s="30" t="n">
        <v>60</v>
      </c>
      <c r="R1209" s="30" t="n">
        <v>0</v>
      </c>
      <c r="S1209" s="30" t="str">
        <f aca="false">IF(Q1209&lt;判定条件!$C$6,"判定不能",IF(R1209&gt;=判定条件!$C$7*Q1209,"運転",IF(R1209&lt;=判定条件!$C$8*Q1209,"停止","断続")))</f>
        <v>停止</v>
      </c>
      <c r="T1209" s="30" t="n">
        <v>60</v>
      </c>
      <c r="U1209" s="30" t="n">
        <v>0</v>
      </c>
      <c r="V1209" s="30" t="str">
        <f aca="false">IF(T1209&lt;判定条件!$C$6,"判定不能",IF(U1209&gt;=判定条件!$C$7*T1209,"運転",IF(U1209&lt;=判定条件!$C$8*T1209,"停止","断続")))</f>
        <v>停止</v>
      </c>
      <c r="W1209" s="30" t="n">
        <v>0</v>
      </c>
      <c r="X1209" s="30" t="n">
        <v>0</v>
      </c>
      <c r="Y1209" s="30" t="str">
        <f aca="false">IF(W1209&lt;判定条件!$C$6,"判定不能",IF(X1209&gt;=判定条件!$C$7*W1209,"運転",IF(X1209&lt;=判定条件!$C$8*W1209,"停止","断続")))</f>
        <v>判定不能</v>
      </c>
      <c r="Z1209" s="30" t="n">
        <v>0</v>
      </c>
      <c r="AA1209" s="30" t="n">
        <v>0</v>
      </c>
      <c r="AB1209" s="30" t="str">
        <f aca="false">IF(Z1209&lt;判定条件!$C$6,"判定不能",IF(AA1209&gt;=判定条件!$C$7*Z1209,"運転",IF(AA1209&lt;=判定条件!$C$8*Z1209,"停止","断続")))</f>
        <v>判定不能</v>
      </c>
      <c r="AC1209" s="30" t="n">
        <v>0</v>
      </c>
      <c r="AD1209" s="30" t="n">
        <v>0</v>
      </c>
      <c r="AE1209" s="30" t="str">
        <f aca="false">IF(AC1209&lt;判定条件!$C$6,"判定不能",IF(AD1209&gt;=判定条件!$C$7*AC1209,"運転",IF(AD1209&lt;=判定条件!$C$8*AC1209,"停止","断続")))</f>
        <v>判定不能</v>
      </c>
      <c r="AF1209" s="30" t="n">
        <v>60</v>
      </c>
      <c r="AG1209" s="30" t="n">
        <v>0</v>
      </c>
      <c r="AH1209" s="30" t="str">
        <f aca="false">IF(OR(P1209="判定不能",G1209="判定不能"),"判定不能",IF(AG1209&gt;=判定条件!$C$9,"利用可",IF(AND(P1209="停止",G1209="停止"),"両方停止","運転がそろわない")))</f>
        <v>両方停止</v>
      </c>
      <c r="AI1209" s="30" t="n">
        <v>0</v>
      </c>
      <c r="AJ1209" s="30" t="n">
        <v>0</v>
      </c>
      <c r="AK1209" s="30" t="str">
        <f aca="false">IF(OR(S1209="判定不能",J1209="判定不能"),"判定不能",IF(AJ1209&gt;=判定条件!$C$9,"利用可",IF(AND(S1209="停止",J1209="停止"),"両方停止","運転がそろわない")))</f>
        <v>判定不能</v>
      </c>
      <c r="AL1209" s="30" t="n">
        <v>60</v>
      </c>
      <c r="AM1209" s="30" t="n">
        <v>0</v>
      </c>
      <c r="AN1209" s="30" t="str">
        <f aca="false">IF(OR(V1209="判定不能",M1209="判定不能"),"判定不能",IF(AM1209&gt;=判定条件!$C$9,"利用可",IF(AND(V1209="停止",M1209="停止"),"両方停止","運転がそろわない")))</f>
        <v>両方停止</v>
      </c>
      <c r="AO1209" s="30" t="n">
        <v>0</v>
      </c>
      <c r="AP1209" s="30" t="n">
        <v>0</v>
      </c>
      <c r="AQ1209" s="30" t="str">
        <f aca="false">IF(OR(Y1209="判定不能",G1209="判定不能"),"判定不能",IF(AP1209&gt;=判定条件!$C$9,"利用可",IF(AND(Y1209="停止",G1209="停止"),"両方停止","運転がそろわない")))</f>
        <v>判定不能</v>
      </c>
      <c r="AR1209" s="30" t="n">
        <v>0</v>
      </c>
      <c r="AS1209" s="30" t="n">
        <v>0</v>
      </c>
      <c r="AT1209" s="30" t="str">
        <f aca="false">IF(OR(AB1209="判定不能",J1209="判定不能"),"判定不能",IF(AS1209&gt;=判定条件!$C$9,"利用可",IF(AND(AB1209="停止",J1209="停止"),"両方停止","運転がそろわない")))</f>
        <v>判定不能</v>
      </c>
      <c r="AU1209" s="30" t="n">
        <v>0</v>
      </c>
      <c r="AV1209" s="30" t="n">
        <v>0</v>
      </c>
      <c r="AW1209" s="30" t="str">
        <f aca="false">IF(OR(AE1209="判定不能",M1209="判定不能"),"判定不能",IF(AV1209&gt;=判定条件!$C$9,"利用可",IF(AND(AE1209="停止",M1209="停止"),"両方停止","運転がそろわない")))</f>
        <v>判定不能</v>
      </c>
      <c r="AX1209" s="30" t="str">
        <f aca="false">IF(AND(AH1209="利用可",AK1209="利用可",AN1209="利用可"),"利用可","不可")</f>
        <v>不可</v>
      </c>
      <c r="AY1209" s="30" t="str">
        <f aca="false">IF(AND(AQ1209="利用可",AT1209="利用可",AW1209="利用可"),"利用可","不可")</f>
        <v>不可</v>
      </c>
    </row>
    <row r="1210" customFormat="false" ht="15" hidden="false" customHeight="false" outlineLevel="0" collapsed="false">
      <c r="A1210" s="29" t="n">
        <v>46282</v>
      </c>
      <c r="B1210" s="30" t="n">
        <v>7</v>
      </c>
      <c r="C1210" s="31" t="s">
        <v>61</v>
      </c>
      <c r="D1210" s="31" t="s">
        <v>59</v>
      </c>
      <c r="E1210" s="30" t="n">
        <v>60</v>
      </c>
      <c r="F1210" s="30" t="n">
        <v>0</v>
      </c>
      <c r="G1210" s="30" t="str">
        <f aca="false">IF(E1210&lt;判定条件!$C$6,"判定不能",IF(F1210&gt;=判定条件!$C$7*E1210,"運転",IF(F1210&lt;=判定条件!$C$8*E1210,"停止","断続")))</f>
        <v>停止</v>
      </c>
      <c r="H1210" s="30" t="n">
        <v>0</v>
      </c>
      <c r="I1210" s="30" t="n">
        <v>0</v>
      </c>
      <c r="J1210" s="30" t="str">
        <f aca="false">IF(H1210&lt;判定条件!$C$6,"判定不能",IF(I1210&gt;=判定条件!$C$7*H1210,"運転",IF(I1210&lt;=判定条件!$C$8*H1210,"停止","断続")))</f>
        <v>判定不能</v>
      </c>
      <c r="K1210" s="30" t="n">
        <v>60</v>
      </c>
      <c r="L1210" s="30" t="n">
        <v>0</v>
      </c>
      <c r="M1210" s="30" t="str">
        <f aca="false">IF(K1210&lt;判定条件!$C$6,"判定不能",IF(L1210&gt;=判定条件!$C$7*K1210,"運転",IF(L1210&lt;=判定条件!$C$8*K1210,"停止","断続")))</f>
        <v>停止</v>
      </c>
      <c r="N1210" s="30" t="n">
        <v>60</v>
      </c>
      <c r="O1210" s="30" t="n">
        <v>0</v>
      </c>
      <c r="P1210" s="30" t="str">
        <f aca="false">IF(N1210&lt;判定条件!$C$6,"判定不能",IF(O1210&gt;=判定条件!$C$7*N1210,"運転",IF(O1210&lt;=判定条件!$C$8*N1210,"停止","断続")))</f>
        <v>停止</v>
      </c>
      <c r="Q1210" s="30" t="n">
        <v>60</v>
      </c>
      <c r="R1210" s="30" t="n">
        <v>16</v>
      </c>
      <c r="S1210" s="30" t="str">
        <f aca="false">IF(Q1210&lt;判定条件!$C$6,"判定不能",IF(R1210&gt;=判定条件!$C$7*Q1210,"運転",IF(R1210&lt;=判定条件!$C$8*Q1210,"停止","断続")))</f>
        <v>断続</v>
      </c>
      <c r="T1210" s="30" t="n">
        <v>60</v>
      </c>
      <c r="U1210" s="30" t="n">
        <v>0</v>
      </c>
      <c r="V1210" s="30" t="str">
        <f aca="false">IF(T1210&lt;判定条件!$C$6,"判定不能",IF(U1210&gt;=判定条件!$C$7*T1210,"運転",IF(U1210&lt;=判定条件!$C$8*T1210,"停止","断続")))</f>
        <v>停止</v>
      </c>
      <c r="W1210" s="30" t="n">
        <v>0</v>
      </c>
      <c r="X1210" s="30" t="n">
        <v>0</v>
      </c>
      <c r="Y1210" s="30" t="str">
        <f aca="false">IF(W1210&lt;判定条件!$C$6,"判定不能",IF(X1210&gt;=判定条件!$C$7*W1210,"運転",IF(X1210&lt;=判定条件!$C$8*W1210,"停止","断続")))</f>
        <v>判定不能</v>
      </c>
      <c r="Z1210" s="30" t="n">
        <v>0</v>
      </c>
      <c r="AA1210" s="30" t="n">
        <v>0</v>
      </c>
      <c r="AB1210" s="30" t="str">
        <f aca="false">IF(Z1210&lt;判定条件!$C$6,"判定不能",IF(AA1210&gt;=判定条件!$C$7*Z1210,"運転",IF(AA1210&lt;=判定条件!$C$8*Z1210,"停止","断続")))</f>
        <v>判定不能</v>
      </c>
      <c r="AC1210" s="30" t="n">
        <v>0</v>
      </c>
      <c r="AD1210" s="30" t="n">
        <v>0</v>
      </c>
      <c r="AE1210" s="30" t="str">
        <f aca="false">IF(AC1210&lt;判定条件!$C$6,"判定不能",IF(AD1210&gt;=判定条件!$C$7*AC1210,"運転",IF(AD1210&lt;=判定条件!$C$8*AC1210,"停止","断続")))</f>
        <v>判定不能</v>
      </c>
      <c r="AF1210" s="30" t="n">
        <v>60</v>
      </c>
      <c r="AG1210" s="30" t="n">
        <v>0</v>
      </c>
      <c r="AH1210" s="30" t="str">
        <f aca="false">IF(OR(P1210="判定不能",G1210="判定不能"),"判定不能",IF(AG1210&gt;=判定条件!$C$9,"利用可",IF(AND(P1210="停止",G1210="停止"),"両方停止","運転がそろわない")))</f>
        <v>両方停止</v>
      </c>
      <c r="AI1210" s="30" t="n">
        <v>0</v>
      </c>
      <c r="AJ1210" s="30" t="n">
        <v>0</v>
      </c>
      <c r="AK1210" s="30" t="str">
        <f aca="false">IF(OR(S1210="判定不能",J1210="判定不能"),"判定不能",IF(AJ1210&gt;=判定条件!$C$9,"利用可",IF(AND(S1210="停止",J1210="停止"),"両方停止","運転がそろわない")))</f>
        <v>判定不能</v>
      </c>
      <c r="AL1210" s="30" t="n">
        <v>60</v>
      </c>
      <c r="AM1210" s="30" t="n">
        <v>0</v>
      </c>
      <c r="AN1210" s="30" t="str">
        <f aca="false">IF(OR(V1210="判定不能",M1210="判定不能"),"判定不能",IF(AM1210&gt;=判定条件!$C$9,"利用可",IF(AND(V1210="停止",M1210="停止"),"両方停止","運転がそろわない")))</f>
        <v>両方停止</v>
      </c>
      <c r="AO1210" s="30" t="n">
        <v>0</v>
      </c>
      <c r="AP1210" s="30" t="n">
        <v>0</v>
      </c>
      <c r="AQ1210" s="30" t="str">
        <f aca="false">IF(OR(Y1210="判定不能",G1210="判定不能"),"判定不能",IF(AP1210&gt;=判定条件!$C$9,"利用可",IF(AND(Y1210="停止",G1210="停止"),"両方停止","運転がそろわない")))</f>
        <v>判定不能</v>
      </c>
      <c r="AR1210" s="30" t="n">
        <v>0</v>
      </c>
      <c r="AS1210" s="30" t="n">
        <v>0</v>
      </c>
      <c r="AT1210" s="30" t="str">
        <f aca="false">IF(OR(AB1210="判定不能",J1210="判定不能"),"判定不能",IF(AS1210&gt;=判定条件!$C$9,"利用可",IF(AND(AB1210="停止",J1210="停止"),"両方停止","運転がそろわない")))</f>
        <v>判定不能</v>
      </c>
      <c r="AU1210" s="30" t="n">
        <v>0</v>
      </c>
      <c r="AV1210" s="30" t="n">
        <v>0</v>
      </c>
      <c r="AW1210" s="30" t="str">
        <f aca="false">IF(OR(AE1210="判定不能",M1210="判定不能"),"判定不能",IF(AV1210&gt;=判定条件!$C$9,"利用可",IF(AND(AE1210="停止",M1210="停止"),"両方停止","運転がそろわない")))</f>
        <v>判定不能</v>
      </c>
      <c r="AX1210" s="30" t="str">
        <f aca="false">IF(AND(AH1210="利用可",AK1210="利用可",AN1210="利用可"),"利用可","不可")</f>
        <v>不可</v>
      </c>
      <c r="AY1210" s="30" t="str">
        <f aca="false">IF(AND(AQ1210="利用可",AT1210="利用可",AW1210="利用可"),"利用可","不可")</f>
        <v>不可</v>
      </c>
    </row>
    <row r="1211" customFormat="false" ht="15" hidden="false" customHeight="false" outlineLevel="0" collapsed="false">
      <c r="A1211" s="29" t="n">
        <v>46282</v>
      </c>
      <c r="B1211" s="30" t="n">
        <v>8</v>
      </c>
      <c r="C1211" s="31" t="s">
        <v>61</v>
      </c>
      <c r="D1211" s="31" t="s">
        <v>59</v>
      </c>
      <c r="E1211" s="30" t="n">
        <v>60</v>
      </c>
      <c r="F1211" s="30" t="n">
        <v>0</v>
      </c>
      <c r="G1211" s="30" t="str">
        <f aca="false">IF(E1211&lt;判定条件!$C$6,"判定不能",IF(F1211&gt;=判定条件!$C$7*E1211,"運転",IF(F1211&lt;=判定条件!$C$8*E1211,"停止","断続")))</f>
        <v>停止</v>
      </c>
      <c r="H1211" s="30" t="n">
        <v>0</v>
      </c>
      <c r="I1211" s="30" t="n">
        <v>0</v>
      </c>
      <c r="J1211" s="30" t="str">
        <f aca="false">IF(H1211&lt;判定条件!$C$6,"判定不能",IF(I1211&gt;=判定条件!$C$7*H1211,"運転",IF(I1211&lt;=判定条件!$C$8*H1211,"停止","断続")))</f>
        <v>判定不能</v>
      </c>
      <c r="K1211" s="30" t="n">
        <v>60</v>
      </c>
      <c r="L1211" s="30" t="n">
        <v>0</v>
      </c>
      <c r="M1211" s="30" t="str">
        <f aca="false">IF(K1211&lt;判定条件!$C$6,"判定不能",IF(L1211&gt;=判定条件!$C$7*K1211,"運転",IF(L1211&lt;=判定条件!$C$8*K1211,"停止","断続")))</f>
        <v>停止</v>
      </c>
      <c r="N1211" s="30" t="n">
        <v>60</v>
      </c>
      <c r="O1211" s="30" t="n">
        <v>0</v>
      </c>
      <c r="P1211" s="30" t="str">
        <f aca="false">IF(N1211&lt;判定条件!$C$6,"判定不能",IF(O1211&gt;=判定条件!$C$7*N1211,"運転",IF(O1211&lt;=判定条件!$C$8*N1211,"停止","断続")))</f>
        <v>停止</v>
      </c>
      <c r="Q1211" s="30" t="n">
        <v>60</v>
      </c>
      <c r="R1211" s="30" t="n">
        <v>50</v>
      </c>
      <c r="S1211" s="30" t="str">
        <f aca="false">IF(Q1211&lt;判定条件!$C$6,"判定不能",IF(R1211&gt;=判定条件!$C$7*Q1211,"運転",IF(R1211&lt;=判定条件!$C$8*Q1211,"停止","断続")))</f>
        <v>運転</v>
      </c>
      <c r="T1211" s="30" t="n">
        <v>60</v>
      </c>
      <c r="U1211" s="30" t="n">
        <v>34</v>
      </c>
      <c r="V1211" s="30" t="str">
        <f aca="false">IF(T1211&lt;判定条件!$C$6,"判定不能",IF(U1211&gt;=判定条件!$C$7*T1211,"運転",IF(U1211&lt;=判定条件!$C$8*T1211,"停止","断続")))</f>
        <v>断続</v>
      </c>
      <c r="W1211" s="30" t="n">
        <v>0</v>
      </c>
      <c r="X1211" s="30" t="n">
        <v>0</v>
      </c>
      <c r="Y1211" s="30" t="str">
        <f aca="false">IF(W1211&lt;判定条件!$C$6,"判定不能",IF(X1211&gt;=判定条件!$C$7*W1211,"運転",IF(X1211&lt;=判定条件!$C$8*W1211,"停止","断続")))</f>
        <v>判定不能</v>
      </c>
      <c r="Z1211" s="30" t="n">
        <v>0</v>
      </c>
      <c r="AA1211" s="30" t="n">
        <v>0</v>
      </c>
      <c r="AB1211" s="30" t="str">
        <f aca="false">IF(Z1211&lt;判定条件!$C$6,"判定不能",IF(AA1211&gt;=判定条件!$C$7*Z1211,"運転",IF(AA1211&lt;=判定条件!$C$8*Z1211,"停止","断続")))</f>
        <v>判定不能</v>
      </c>
      <c r="AC1211" s="30" t="n">
        <v>0</v>
      </c>
      <c r="AD1211" s="30" t="n">
        <v>0</v>
      </c>
      <c r="AE1211" s="30" t="str">
        <f aca="false">IF(AC1211&lt;判定条件!$C$6,"判定不能",IF(AD1211&gt;=判定条件!$C$7*AC1211,"運転",IF(AD1211&lt;=判定条件!$C$8*AC1211,"停止","断続")))</f>
        <v>判定不能</v>
      </c>
      <c r="AF1211" s="30" t="n">
        <v>60</v>
      </c>
      <c r="AG1211" s="30" t="n">
        <v>0</v>
      </c>
      <c r="AH1211" s="30" t="str">
        <f aca="false">IF(OR(P1211="判定不能",G1211="判定不能"),"判定不能",IF(AG1211&gt;=判定条件!$C$9,"利用可",IF(AND(P1211="停止",G1211="停止"),"両方停止","運転がそろわない")))</f>
        <v>両方停止</v>
      </c>
      <c r="AI1211" s="30" t="n">
        <v>0</v>
      </c>
      <c r="AJ1211" s="30" t="n">
        <v>0</v>
      </c>
      <c r="AK1211" s="30" t="str">
        <f aca="false">IF(OR(S1211="判定不能",J1211="判定不能"),"判定不能",IF(AJ1211&gt;=判定条件!$C$9,"利用可",IF(AND(S1211="停止",J1211="停止"),"両方停止","運転がそろわない")))</f>
        <v>判定不能</v>
      </c>
      <c r="AL1211" s="30" t="n">
        <v>60</v>
      </c>
      <c r="AM1211" s="30" t="n">
        <v>0</v>
      </c>
      <c r="AN1211" s="30" t="str">
        <f aca="false">IF(OR(V1211="判定不能",M1211="判定不能"),"判定不能",IF(AM1211&gt;=判定条件!$C$9,"利用可",IF(AND(V1211="停止",M1211="停止"),"両方停止","運転がそろわない")))</f>
        <v>運転がそろわない</v>
      </c>
      <c r="AO1211" s="30" t="n">
        <v>0</v>
      </c>
      <c r="AP1211" s="30" t="n">
        <v>0</v>
      </c>
      <c r="AQ1211" s="30" t="str">
        <f aca="false">IF(OR(Y1211="判定不能",G1211="判定不能"),"判定不能",IF(AP1211&gt;=判定条件!$C$9,"利用可",IF(AND(Y1211="停止",G1211="停止"),"両方停止","運転がそろわない")))</f>
        <v>判定不能</v>
      </c>
      <c r="AR1211" s="30" t="n">
        <v>0</v>
      </c>
      <c r="AS1211" s="30" t="n">
        <v>0</v>
      </c>
      <c r="AT1211" s="30" t="str">
        <f aca="false">IF(OR(AB1211="判定不能",J1211="判定不能"),"判定不能",IF(AS1211&gt;=判定条件!$C$9,"利用可",IF(AND(AB1211="停止",J1211="停止"),"両方停止","運転がそろわない")))</f>
        <v>判定不能</v>
      </c>
      <c r="AU1211" s="30" t="n">
        <v>0</v>
      </c>
      <c r="AV1211" s="30" t="n">
        <v>0</v>
      </c>
      <c r="AW1211" s="30" t="str">
        <f aca="false">IF(OR(AE1211="判定不能",M1211="判定不能"),"判定不能",IF(AV1211&gt;=判定条件!$C$9,"利用可",IF(AND(AE1211="停止",M1211="停止"),"両方停止","運転がそろわない")))</f>
        <v>判定不能</v>
      </c>
      <c r="AX1211" s="30" t="str">
        <f aca="false">IF(AND(AH1211="利用可",AK1211="利用可",AN1211="利用可"),"利用可","不可")</f>
        <v>不可</v>
      </c>
      <c r="AY1211" s="30" t="str">
        <f aca="false">IF(AND(AQ1211="利用可",AT1211="利用可",AW1211="利用可"),"利用可","不可")</f>
        <v>不可</v>
      </c>
    </row>
    <row r="1212" customFormat="false" ht="15" hidden="false" customHeight="false" outlineLevel="0" collapsed="false">
      <c r="A1212" s="29" t="n">
        <v>46282</v>
      </c>
      <c r="B1212" s="30" t="n">
        <v>9</v>
      </c>
      <c r="C1212" s="31" t="s">
        <v>61</v>
      </c>
      <c r="D1212" s="31" t="s">
        <v>59</v>
      </c>
      <c r="E1212" s="30" t="n">
        <v>60</v>
      </c>
      <c r="F1212" s="30" t="n">
        <v>7</v>
      </c>
      <c r="G1212" s="30" t="str">
        <f aca="false">IF(E1212&lt;判定条件!$C$6,"判定不能",IF(F1212&gt;=判定条件!$C$7*E1212,"運転",IF(F1212&lt;=判定条件!$C$8*E1212,"停止","断続")))</f>
        <v>停止</v>
      </c>
      <c r="H1212" s="30" t="n">
        <v>0</v>
      </c>
      <c r="I1212" s="30" t="n">
        <v>0</v>
      </c>
      <c r="J1212" s="30" t="str">
        <f aca="false">IF(H1212&lt;判定条件!$C$6,"判定不能",IF(I1212&gt;=判定条件!$C$7*H1212,"運転",IF(I1212&lt;=判定条件!$C$8*H1212,"停止","断続")))</f>
        <v>判定不能</v>
      </c>
      <c r="K1212" s="30" t="n">
        <v>60</v>
      </c>
      <c r="L1212" s="30" t="n">
        <v>14</v>
      </c>
      <c r="M1212" s="30" t="str">
        <f aca="false">IF(K1212&lt;判定条件!$C$6,"判定不能",IF(L1212&gt;=判定条件!$C$7*K1212,"運転",IF(L1212&lt;=判定条件!$C$8*K1212,"停止","断続")))</f>
        <v>断続</v>
      </c>
      <c r="N1212" s="30" t="n">
        <v>60</v>
      </c>
      <c r="O1212" s="30" t="n">
        <v>39</v>
      </c>
      <c r="P1212" s="30" t="str">
        <f aca="false">IF(N1212&lt;判定条件!$C$6,"判定不能",IF(O1212&gt;=判定条件!$C$7*N1212,"運転",IF(O1212&lt;=判定条件!$C$8*N1212,"停止","断続")))</f>
        <v>断続</v>
      </c>
      <c r="Q1212" s="30" t="n">
        <v>60</v>
      </c>
      <c r="R1212" s="30" t="n">
        <v>60</v>
      </c>
      <c r="S1212" s="30" t="str">
        <f aca="false">IF(Q1212&lt;判定条件!$C$6,"判定不能",IF(R1212&gt;=判定条件!$C$7*Q1212,"運転",IF(R1212&lt;=判定条件!$C$8*Q1212,"停止","断続")))</f>
        <v>運転</v>
      </c>
      <c r="T1212" s="30" t="n">
        <v>60</v>
      </c>
      <c r="U1212" s="30" t="n">
        <v>60</v>
      </c>
      <c r="V1212" s="30" t="str">
        <f aca="false">IF(T1212&lt;判定条件!$C$6,"判定不能",IF(U1212&gt;=判定条件!$C$7*T1212,"運転",IF(U1212&lt;=判定条件!$C$8*T1212,"停止","断続")))</f>
        <v>運転</v>
      </c>
      <c r="W1212" s="30" t="n">
        <v>0</v>
      </c>
      <c r="X1212" s="30" t="n">
        <v>0</v>
      </c>
      <c r="Y1212" s="30" t="str">
        <f aca="false">IF(W1212&lt;判定条件!$C$6,"判定不能",IF(X1212&gt;=判定条件!$C$7*W1212,"運転",IF(X1212&lt;=判定条件!$C$8*W1212,"停止","断続")))</f>
        <v>判定不能</v>
      </c>
      <c r="Z1212" s="30" t="n">
        <v>0</v>
      </c>
      <c r="AA1212" s="30" t="n">
        <v>0</v>
      </c>
      <c r="AB1212" s="30" t="str">
        <f aca="false">IF(Z1212&lt;判定条件!$C$6,"判定不能",IF(AA1212&gt;=判定条件!$C$7*Z1212,"運転",IF(AA1212&lt;=判定条件!$C$8*Z1212,"停止","断続")))</f>
        <v>判定不能</v>
      </c>
      <c r="AC1212" s="30" t="n">
        <v>0</v>
      </c>
      <c r="AD1212" s="30" t="n">
        <v>0</v>
      </c>
      <c r="AE1212" s="30" t="str">
        <f aca="false">IF(AC1212&lt;判定条件!$C$6,"判定不能",IF(AD1212&gt;=判定条件!$C$7*AC1212,"運転",IF(AD1212&lt;=判定条件!$C$8*AC1212,"停止","断続")))</f>
        <v>判定不能</v>
      </c>
      <c r="AF1212" s="30" t="n">
        <v>60</v>
      </c>
      <c r="AG1212" s="30" t="n">
        <v>3</v>
      </c>
      <c r="AH1212" s="30" t="str">
        <f aca="false">IF(OR(P1212="判定不能",G1212="判定不能"),"判定不能",IF(AG1212&gt;=判定条件!$C$9,"利用可",IF(AND(P1212="停止",G1212="停止"),"両方停止","運転がそろわない")))</f>
        <v>運転がそろわない</v>
      </c>
      <c r="AI1212" s="30" t="n">
        <v>0</v>
      </c>
      <c r="AJ1212" s="30" t="n">
        <v>0</v>
      </c>
      <c r="AK1212" s="30" t="str">
        <f aca="false">IF(OR(S1212="判定不能",J1212="判定不能"),"判定不能",IF(AJ1212&gt;=判定条件!$C$9,"利用可",IF(AND(S1212="停止",J1212="停止"),"両方停止","運転がそろわない")))</f>
        <v>判定不能</v>
      </c>
      <c r="AL1212" s="30" t="n">
        <v>60</v>
      </c>
      <c r="AM1212" s="30" t="n">
        <v>14</v>
      </c>
      <c r="AN1212" s="30" t="str">
        <f aca="false">IF(OR(V1212="判定不能",M1212="判定不能"),"判定不能",IF(AM1212&gt;=判定条件!$C$9,"利用可",IF(AND(V1212="停止",M1212="停止"),"両方停止","運転がそろわない")))</f>
        <v>運転がそろわない</v>
      </c>
      <c r="AO1212" s="30" t="n">
        <v>0</v>
      </c>
      <c r="AP1212" s="30" t="n">
        <v>0</v>
      </c>
      <c r="AQ1212" s="30" t="str">
        <f aca="false">IF(OR(Y1212="判定不能",G1212="判定不能"),"判定不能",IF(AP1212&gt;=判定条件!$C$9,"利用可",IF(AND(Y1212="停止",G1212="停止"),"両方停止","運転がそろわない")))</f>
        <v>判定不能</v>
      </c>
      <c r="AR1212" s="30" t="n">
        <v>0</v>
      </c>
      <c r="AS1212" s="30" t="n">
        <v>0</v>
      </c>
      <c r="AT1212" s="30" t="str">
        <f aca="false">IF(OR(AB1212="判定不能",J1212="判定不能"),"判定不能",IF(AS1212&gt;=判定条件!$C$9,"利用可",IF(AND(AB1212="停止",J1212="停止"),"両方停止","運転がそろわない")))</f>
        <v>判定不能</v>
      </c>
      <c r="AU1212" s="30" t="n">
        <v>0</v>
      </c>
      <c r="AV1212" s="30" t="n">
        <v>0</v>
      </c>
      <c r="AW1212" s="30" t="str">
        <f aca="false">IF(OR(AE1212="判定不能",M1212="判定不能"),"判定不能",IF(AV1212&gt;=判定条件!$C$9,"利用可",IF(AND(AE1212="停止",M1212="停止"),"両方停止","運転がそろわない")))</f>
        <v>判定不能</v>
      </c>
      <c r="AX1212" s="30" t="str">
        <f aca="false">IF(AND(AH1212="利用可",AK1212="利用可",AN1212="利用可"),"利用可","不可")</f>
        <v>不可</v>
      </c>
      <c r="AY1212" s="30" t="str">
        <f aca="false">IF(AND(AQ1212="利用可",AT1212="利用可",AW1212="利用可"),"利用可","不可")</f>
        <v>不可</v>
      </c>
    </row>
    <row r="1213" customFormat="false" ht="15" hidden="false" customHeight="false" outlineLevel="0" collapsed="false">
      <c r="A1213" s="29" t="n">
        <v>46282</v>
      </c>
      <c r="B1213" s="30" t="n">
        <v>10</v>
      </c>
      <c r="C1213" s="31" t="s">
        <v>61</v>
      </c>
      <c r="D1213" s="31" t="s">
        <v>59</v>
      </c>
      <c r="E1213" s="30" t="n">
        <v>60</v>
      </c>
      <c r="F1213" s="30" t="n">
        <v>0</v>
      </c>
      <c r="G1213" s="30" t="str">
        <f aca="false">IF(E1213&lt;判定条件!$C$6,"判定不能",IF(F1213&gt;=判定条件!$C$7*E1213,"運転",IF(F1213&lt;=判定条件!$C$8*E1213,"停止","断続")))</f>
        <v>停止</v>
      </c>
      <c r="H1213" s="30" t="n">
        <v>0</v>
      </c>
      <c r="I1213" s="30" t="n">
        <v>0</v>
      </c>
      <c r="J1213" s="30" t="str">
        <f aca="false">IF(H1213&lt;判定条件!$C$6,"判定不能",IF(I1213&gt;=判定条件!$C$7*H1213,"運転",IF(I1213&lt;=判定条件!$C$8*H1213,"停止","断続")))</f>
        <v>判定不能</v>
      </c>
      <c r="K1213" s="30" t="n">
        <v>60</v>
      </c>
      <c r="L1213" s="30" t="n">
        <v>5</v>
      </c>
      <c r="M1213" s="30" t="str">
        <f aca="false">IF(K1213&lt;判定条件!$C$6,"判定不能",IF(L1213&gt;=判定条件!$C$7*K1213,"運転",IF(L1213&lt;=判定条件!$C$8*K1213,"停止","断続")))</f>
        <v>停止</v>
      </c>
      <c r="N1213" s="30" t="n">
        <v>60</v>
      </c>
      <c r="O1213" s="30" t="n">
        <v>50</v>
      </c>
      <c r="P1213" s="30" t="str">
        <f aca="false">IF(N1213&lt;判定条件!$C$6,"判定不能",IF(O1213&gt;=判定条件!$C$7*N1213,"運転",IF(O1213&lt;=判定条件!$C$8*N1213,"停止","断続")))</f>
        <v>運転</v>
      </c>
      <c r="Q1213" s="30" t="n">
        <v>60</v>
      </c>
      <c r="R1213" s="30" t="n">
        <v>60</v>
      </c>
      <c r="S1213" s="30" t="str">
        <f aca="false">IF(Q1213&lt;判定条件!$C$6,"判定不能",IF(R1213&gt;=判定条件!$C$7*Q1213,"運転",IF(R1213&lt;=判定条件!$C$8*Q1213,"停止","断続")))</f>
        <v>運転</v>
      </c>
      <c r="T1213" s="30" t="n">
        <v>60</v>
      </c>
      <c r="U1213" s="30" t="n">
        <v>60</v>
      </c>
      <c r="V1213" s="30" t="str">
        <f aca="false">IF(T1213&lt;判定条件!$C$6,"判定不能",IF(U1213&gt;=判定条件!$C$7*T1213,"運転",IF(U1213&lt;=判定条件!$C$8*T1213,"停止","断続")))</f>
        <v>運転</v>
      </c>
      <c r="W1213" s="30" t="n">
        <v>0</v>
      </c>
      <c r="X1213" s="30" t="n">
        <v>0</v>
      </c>
      <c r="Y1213" s="30" t="str">
        <f aca="false">IF(W1213&lt;判定条件!$C$6,"判定不能",IF(X1213&gt;=判定条件!$C$7*W1213,"運転",IF(X1213&lt;=判定条件!$C$8*W1213,"停止","断続")))</f>
        <v>判定不能</v>
      </c>
      <c r="Z1213" s="30" t="n">
        <v>0</v>
      </c>
      <c r="AA1213" s="30" t="n">
        <v>0</v>
      </c>
      <c r="AB1213" s="30" t="str">
        <f aca="false">IF(Z1213&lt;判定条件!$C$6,"判定不能",IF(AA1213&gt;=判定条件!$C$7*Z1213,"運転",IF(AA1213&lt;=判定条件!$C$8*Z1213,"停止","断続")))</f>
        <v>判定不能</v>
      </c>
      <c r="AC1213" s="30" t="n">
        <v>0</v>
      </c>
      <c r="AD1213" s="30" t="n">
        <v>0</v>
      </c>
      <c r="AE1213" s="30" t="str">
        <f aca="false">IF(AC1213&lt;判定条件!$C$6,"判定不能",IF(AD1213&gt;=判定条件!$C$7*AC1213,"運転",IF(AD1213&lt;=判定条件!$C$8*AC1213,"停止","断続")))</f>
        <v>判定不能</v>
      </c>
      <c r="AF1213" s="30" t="n">
        <v>60</v>
      </c>
      <c r="AG1213" s="30" t="n">
        <v>0</v>
      </c>
      <c r="AH1213" s="30" t="str">
        <f aca="false">IF(OR(P1213="判定不能",G1213="判定不能"),"判定不能",IF(AG1213&gt;=判定条件!$C$9,"利用可",IF(AND(P1213="停止",G1213="停止"),"両方停止","運転がそろわない")))</f>
        <v>運転がそろわない</v>
      </c>
      <c r="AI1213" s="30" t="n">
        <v>0</v>
      </c>
      <c r="AJ1213" s="30" t="n">
        <v>0</v>
      </c>
      <c r="AK1213" s="30" t="str">
        <f aca="false">IF(OR(S1213="判定不能",J1213="判定不能"),"判定不能",IF(AJ1213&gt;=判定条件!$C$9,"利用可",IF(AND(S1213="停止",J1213="停止"),"両方停止","運転がそろわない")))</f>
        <v>判定不能</v>
      </c>
      <c r="AL1213" s="30" t="n">
        <v>60</v>
      </c>
      <c r="AM1213" s="30" t="n">
        <v>5</v>
      </c>
      <c r="AN1213" s="30" t="str">
        <f aca="false">IF(OR(V1213="判定不能",M1213="判定不能"),"判定不能",IF(AM1213&gt;=判定条件!$C$9,"利用可",IF(AND(V1213="停止",M1213="停止"),"両方停止","運転がそろわない")))</f>
        <v>運転がそろわない</v>
      </c>
      <c r="AO1213" s="30" t="n">
        <v>0</v>
      </c>
      <c r="AP1213" s="30" t="n">
        <v>0</v>
      </c>
      <c r="AQ1213" s="30" t="str">
        <f aca="false">IF(OR(Y1213="判定不能",G1213="判定不能"),"判定不能",IF(AP1213&gt;=判定条件!$C$9,"利用可",IF(AND(Y1213="停止",G1213="停止"),"両方停止","運転がそろわない")))</f>
        <v>判定不能</v>
      </c>
      <c r="AR1213" s="30" t="n">
        <v>0</v>
      </c>
      <c r="AS1213" s="30" t="n">
        <v>0</v>
      </c>
      <c r="AT1213" s="30" t="str">
        <f aca="false">IF(OR(AB1213="判定不能",J1213="判定不能"),"判定不能",IF(AS1213&gt;=判定条件!$C$9,"利用可",IF(AND(AB1213="停止",J1213="停止"),"両方停止","運転がそろわない")))</f>
        <v>判定不能</v>
      </c>
      <c r="AU1213" s="30" t="n">
        <v>0</v>
      </c>
      <c r="AV1213" s="30" t="n">
        <v>0</v>
      </c>
      <c r="AW1213" s="30" t="str">
        <f aca="false">IF(OR(AE1213="判定不能",M1213="判定不能"),"判定不能",IF(AV1213&gt;=判定条件!$C$9,"利用可",IF(AND(AE1213="停止",M1213="停止"),"両方停止","運転がそろわない")))</f>
        <v>判定不能</v>
      </c>
      <c r="AX1213" s="30" t="str">
        <f aca="false">IF(AND(AH1213="利用可",AK1213="利用可",AN1213="利用可"),"利用可","不可")</f>
        <v>不可</v>
      </c>
      <c r="AY1213" s="30" t="str">
        <f aca="false">IF(AND(AQ1213="利用可",AT1213="利用可",AW1213="利用可"),"利用可","不可")</f>
        <v>不可</v>
      </c>
    </row>
    <row r="1214" customFormat="false" ht="15" hidden="false" customHeight="false" outlineLevel="0" collapsed="false">
      <c r="A1214" s="29" t="n">
        <v>46282</v>
      </c>
      <c r="B1214" s="30" t="n">
        <v>11</v>
      </c>
      <c r="C1214" s="31" t="s">
        <v>61</v>
      </c>
      <c r="D1214" s="31" t="s">
        <v>59</v>
      </c>
      <c r="E1214" s="30" t="n">
        <v>60</v>
      </c>
      <c r="F1214" s="30" t="n">
        <v>55</v>
      </c>
      <c r="G1214" s="30" t="str">
        <f aca="false">IF(E1214&lt;判定条件!$C$6,"判定不能",IF(F1214&gt;=判定条件!$C$7*E1214,"運転",IF(F1214&lt;=判定条件!$C$8*E1214,"停止","断続")))</f>
        <v>運転</v>
      </c>
      <c r="H1214" s="30" t="n">
        <v>0</v>
      </c>
      <c r="I1214" s="30" t="n">
        <v>0</v>
      </c>
      <c r="J1214" s="30" t="str">
        <f aca="false">IF(H1214&lt;判定条件!$C$6,"判定不能",IF(I1214&gt;=判定条件!$C$7*H1214,"運転",IF(I1214&lt;=判定条件!$C$8*H1214,"停止","断続")))</f>
        <v>判定不能</v>
      </c>
      <c r="K1214" s="30" t="n">
        <v>60</v>
      </c>
      <c r="L1214" s="30" t="n">
        <v>57</v>
      </c>
      <c r="M1214" s="30" t="str">
        <f aca="false">IF(K1214&lt;判定条件!$C$6,"判定不能",IF(L1214&gt;=判定条件!$C$7*K1214,"運転",IF(L1214&lt;=判定条件!$C$8*K1214,"停止","断続")))</f>
        <v>運転</v>
      </c>
      <c r="N1214" s="30" t="n">
        <v>60</v>
      </c>
      <c r="O1214" s="30" t="n">
        <v>55</v>
      </c>
      <c r="P1214" s="30" t="str">
        <f aca="false">IF(N1214&lt;判定条件!$C$6,"判定不能",IF(O1214&gt;=判定条件!$C$7*N1214,"運転",IF(O1214&lt;=判定条件!$C$8*N1214,"停止","断続")))</f>
        <v>運転</v>
      </c>
      <c r="Q1214" s="30" t="n">
        <v>60</v>
      </c>
      <c r="R1214" s="30" t="n">
        <v>60</v>
      </c>
      <c r="S1214" s="30" t="str">
        <f aca="false">IF(Q1214&lt;判定条件!$C$6,"判定不能",IF(R1214&gt;=判定条件!$C$7*Q1214,"運転",IF(R1214&lt;=判定条件!$C$8*Q1214,"停止","断続")))</f>
        <v>運転</v>
      </c>
      <c r="T1214" s="30" t="n">
        <v>60</v>
      </c>
      <c r="U1214" s="30" t="n">
        <v>60</v>
      </c>
      <c r="V1214" s="30" t="str">
        <f aca="false">IF(T1214&lt;判定条件!$C$6,"判定不能",IF(U1214&gt;=判定条件!$C$7*T1214,"運転",IF(U1214&lt;=判定条件!$C$8*T1214,"停止","断続")))</f>
        <v>運転</v>
      </c>
      <c r="W1214" s="30" t="n">
        <v>0</v>
      </c>
      <c r="X1214" s="30" t="n">
        <v>0</v>
      </c>
      <c r="Y1214" s="30" t="str">
        <f aca="false">IF(W1214&lt;判定条件!$C$6,"判定不能",IF(X1214&gt;=判定条件!$C$7*W1214,"運転",IF(X1214&lt;=判定条件!$C$8*W1214,"停止","断続")))</f>
        <v>判定不能</v>
      </c>
      <c r="Z1214" s="30" t="n">
        <v>0</v>
      </c>
      <c r="AA1214" s="30" t="n">
        <v>0</v>
      </c>
      <c r="AB1214" s="30" t="str">
        <f aca="false">IF(Z1214&lt;判定条件!$C$6,"判定不能",IF(AA1214&gt;=判定条件!$C$7*Z1214,"運転",IF(AA1214&lt;=判定条件!$C$8*Z1214,"停止","断続")))</f>
        <v>判定不能</v>
      </c>
      <c r="AC1214" s="30" t="n">
        <v>0</v>
      </c>
      <c r="AD1214" s="30" t="n">
        <v>0</v>
      </c>
      <c r="AE1214" s="30" t="str">
        <f aca="false">IF(AC1214&lt;判定条件!$C$6,"判定不能",IF(AD1214&gt;=判定条件!$C$7*AC1214,"運転",IF(AD1214&lt;=判定条件!$C$8*AC1214,"停止","断続")))</f>
        <v>判定不能</v>
      </c>
      <c r="AF1214" s="30" t="n">
        <v>60</v>
      </c>
      <c r="AG1214" s="30" t="n">
        <v>50</v>
      </c>
      <c r="AH1214" s="30" t="str">
        <f aca="false">IF(OR(P1214="判定不能",G1214="判定不能"),"判定不能",IF(AG1214&gt;=判定条件!$C$9,"利用可",IF(AND(P1214="停止",G1214="停止"),"両方停止","運転がそろわない")))</f>
        <v>利用可</v>
      </c>
      <c r="AI1214" s="30" t="n">
        <v>0</v>
      </c>
      <c r="AJ1214" s="30" t="n">
        <v>0</v>
      </c>
      <c r="AK1214" s="30" t="str">
        <f aca="false">IF(OR(S1214="判定不能",J1214="判定不能"),"判定不能",IF(AJ1214&gt;=判定条件!$C$9,"利用可",IF(AND(S1214="停止",J1214="停止"),"両方停止","運転がそろわない")))</f>
        <v>判定不能</v>
      </c>
      <c r="AL1214" s="30" t="n">
        <v>60</v>
      </c>
      <c r="AM1214" s="30" t="n">
        <v>57</v>
      </c>
      <c r="AN1214" s="30" t="str">
        <f aca="false">IF(OR(V1214="判定不能",M1214="判定不能"),"判定不能",IF(AM1214&gt;=判定条件!$C$9,"利用可",IF(AND(V1214="停止",M1214="停止"),"両方停止","運転がそろわない")))</f>
        <v>利用可</v>
      </c>
      <c r="AO1214" s="30" t="n">
        <v>0</v>
      </c>
      <c r="AP1214" s="30" t="n">
        <v>0</v>
      </c>
      <c r="AQ1214" s="30" t="str">
        <f aca="false">IF(OR(Y1214="判定不能",G1214="判定不能"),"判定不能",IF(AP1214&gt;=判定条件!$C$9,"利用可",IF(AND(Y1214="停止",G1214="停止"),"両方停止","運転がそろわない")))</f>
        <v>判定不能</v>
      </c>
      <c r="AR1214" s="30" t="n">
        <v>0</v>
      </c>
      <c r="AS1214" s="30" t="n">
        <v>0</v>
      </c>
      <c r="AT1214" s="30" t="str">
        <f aca="false">IF(OR(AB1214="判定不能",J1214="判定不能"),"判定不能",IF(AS1214&gt;=判定条件!$C$9,"利用可",IF(AND(AB1214="停止",J1214="停止"),"両方停止","運転がそろわない")))</f>
        <v>判定不能</v>
      </c>
      <c r="AU1214" s="30" t="n">
        <v>0</v>
      </c>
      <c r="AV1214" s="30" t="n">
        <v>0</v>
      </c>
      <c r="AW1214" s="30" t="str">
        <f aca="false">IF(OR(AE1214="判定不能",M1214="判定不能"),"判定不能",IF(AV1214&gt;=判定条件!$C$9,"利用可",IF(AND(AE1214="停止",M1214="停止"),"両方停止","運転がそろわない")))</f>
        <v>判定不能</v>
      </c>
      <c r="AX1214" s="30" t="str">
        <f aca="false">IF(AND(AH1214="利用可",AK1214="利用可",AN1214="利用可"),"利用可","不可")</f>
        <v>不可</v>
      </c>
      <c r="AY1214" s="30" t="str">
        <f aca="false">IF(AND(AQ1214="利用可",AT1214="利用可",AW1214="利用可"),"利用可","不可")</f>
        <v>不可</v>
      </c>
    </row>
    <row r="1215" customFormat="false" ht="15" hidden="false" customHeight="false" outlineLevel="0" collapsed="false">
      <c r="A1215" s="29" t="n">
        <v>46282</v>
      </c>
      <c r="B1215" s="30" t="n">
        <v>12</v>
      </c>
      <c r="C1215" s="31" t="s">
        <v>61</v>
      </c>
      <c r="D1215" s="31" t="s">
        <v>59</v>
      </c>
      <c r="E1215" s="30" t="n">
        <v>60</v>
      </c>
      <c r="F1215" s="30" t="n">
        <v>60</v>
      </c>
      <c r="G1215" s="30" t="str">
        <f aca="false">IF(E1215&lt;判定条件!$C$6,"判定不能",IF(F1215&gt;=判定条件!$C$7*E1215,"運転",IF(F1215&lt;=判定条件!$C$8*E1215,"停止","断続")))</f>
        <v>運転</v>
      </c>
      <c r="H1215" s="30" t="n">
        <v>0</v>
      </c>
      <c r="I1215" s="30" t="n">
        <v>0</v>
      </c>
      <c r="J1215" s="30" t="str">
        <f aca="false">IF(H1215&lt;判定条件!$C$6,"判定不能",IF(I1215&gt;=判定条件!$C$7*H1215,"運転",IF(I1215&lt;=判定条件!$C$8*H1215,"停止","断続")))</f>
        <v>判定不能</v>
      </c>
      <c r="K1215" s="30" t="n">
        <v>60</v>
      </c>
      <c r="L1215" s="30" t="n">
        <v>44</v>
      </c>
      <c r="M1215" s="30" t="str">
        <f aca="false">IF(K1215&lt;判定条件!$C$6,"判定不能",IF(L1215&gt;=判定条件!$C$7*K1215,"運転",IF(L1215&lt;=判定条件!$C$8*K1215,"停止","断続")))</f>
        <v>断続</v>
      </c>
      <c r="N1215" s="30" t="n">
        <v>60</v>
      </c>
      <c r="O1215" s="30" t="n">
        <v>40</v>
      </c>
      <c r="P1215" s="30" t="str">
        <f aca="false">IF(N1215&lt;判定条件!$C$6,"判定不能",IF(O1215&gt;=判定条件!$C$7*N1215,"運転",IF(O1215&lt;=判定条件!$C$8*N1215,"停止","断続")))</f>
        <v>断続</v>
      </c>
      <c r="Q1215" s="30" t="n">
        <v>60</v>
      </c>
      <c r="R1215" s="30" t="n">
        <v>60</v>
      </c>
      <c r="S1215" s="30" t="str">
        <f aca="false">IF(Q1215&lt;判定条件!$C$6,"判定不能",IF(R1215&gt;=判定条件!$C$7*Q1215,"運転",IF(R1215&lt;=判定条件!$C$8*Q1215,"停止","断続")))</f>
        <v>運転</v>
      </c>
      <c r="T1215" s="30" t="n">
        <v>60</v>
      </c>
      <c r="U1215" s="30" t="n">
        <v>60</v>
      </c>
      <c r="V1215" s="30" t="str">
        <f aca="false">IF(T1215&lt;判定条件!$C$6,"判定不能",IF(U1215&gt;=判定条件!$C$7*T1215,"運転",IF(U1215&lt;=判定条件!$C$8*T1215,"停止","断続")))</f>
        <v>運転</v>
      </c>
      <c r="W1215" s="30" t="n">
        <v>0</v>
      </c>
      <c r="X1215" s="30" t="n">
        <v>0</v>
      </c>
      <c r="Y1215" s="30" t="str">
        <f aca="false">IF(W1215&lt;判定条件!$C$6,"判定不能",IF(X1215&gt;=判定条件!$C$7*W1215,"運転",IF(X1215&lt;=判定条件!$C$8*W1215,"停止","断続")))</f>
        <v>判定不能</v>
      </c>
      <c r="Z1215" s="30" t="n">
        <v>0</v>
      </c>
      <c r="AA1215" s="30" t="n">
        <v>0</v>
      </c>
      <c r="AB1215" s="30" t="str">
        <f aca="false">IF(Z1215&lt;判定条件!$C$6,"判定不能",IF(AA1215&gt;=判定条件!$C$7*Z1215,"運転",IF(AA1215&lt;=判定条件!$C$8*Z1215,"停止","断続")))</f>
        <v>判定不能</v>
      </c>
      <c r="AC1215" s="30" t="n">
        <v>0</v>
      </c>
      <c r="AD1215" s="30" t="n">
        <v>0</v>
      </c>
      <c r="AE1215" s="30" t="str">
        <f aca="false">IF(AC1215&lt;判定条件!$C$6,"判定不能",IF(AD1215&gt;=判定条件!$C$7*AC1215,"運転",IF(AD1215&lt;=判定条件!$C$8*AC1215,"停止","断続")))</f>
        <v>判定不能</v>
      </c>
      <c r="AF1215" s="30" t="n">
        <v>60</v>
      </c>
      <c r="AG1215" s="30" t="n">
        <v>40</v>
      </c>
      <c r="AH1215" s="30" t="str">
        <f aca="false">IF(OR(P1215="判定不能",G1215="判定不能"),"判定不能",IF(AG1215&gt;=判定条件!$C$9,"利用可",IF(AND(P1215="停止",G1215="停止"),"両方停止","運転がそろわない")))</f>
        <v>利用可</v>
      </c>
      <c r="AI1215" s="30" t="n">
        <v>0</v>
      </c>
      <c r="AJ1215" s="30" t="n">
        <v>0</v>
      </c>
      <c r="AK1215" s="30" t="str">
        <f aca="false">IF(OR(S1215="判定不能",J1215="判定不能"),"判定不能",IF(AJ1215&gt;=判定条件!$C$9,"利用可",IF(AND(S1215="停止",J1215="停止"),"両方停止","運転がそろわない")))</f>
        <v>判定不能</v>
      </c>
      <c r="AL1215" s="30" t="n">
        <v>60</v>
      </c>
      <c r="AM1215" s="30" t="n">
        <v>44</v>
      </c>
      <c r="AN1215" s="30" t="str">
        <f aca="false">IF(OR(V1215="判定不能",M1215="判定不能"),"判定不能",IF(AM1215&gt;=判定条件!$C$9,"利用可",IF(AND(V1215="停止",M1215="停止"),"両方停止","運転がそろわない")))</f>
        <v>利用可</v>
      </c>
      <c r="AO1215" s="30" t="n">
        <v>0</v>
      </c>
      <c r="AP1215" s="30" t="n">
        <v>0</v>
      </c>
      <c r="AQ1215" s="30" t="str">
        <f aca="false">IF(OR(Y1215="判定不能",G1215="判定不能"),"判定不能",IF(AP1215&gt;=判定条件!$C$9,"利用可",IF(AND(Y1215="停止",G1215="停止"),"両方停止","運転がそろわない")))</f>
        <v>判定不能</v>
      </c>
      <c r="AR1215" s="30" t="n">
        <v>0</v>
      </c>
      <c r="AS1215" s="30" t="n">
        <v>0</v>
      </c>
      <c r="AT1215" s="30" t="str">
        <f aca="false">IF(OR(AB1215="判定不能",J1215="判定不能"),"判定不能",IF(AS1215&gt;=判定条件!$C$9,"利用可",IF(AND(AB1215="停止",J1215="停止"),"両方停止","運転がそろわない")))</f>
        <v>判定不能</v>
      </c>
      <c r="AU1215" s="30" t="n">
        <v>0</v>
      </c>
      <c r="AV1215" s="30" t="n">
        <v>0</v>
      </c>
      <c r="AW1215" s="30" t="str">
        <f aca="false">IF(OR(AE1215="判定不能",M1215="判定不能"),"判定不能",IF(AV1215&gt;=判定条件!$C$9,"利用可",IF(AND(AE1215="停止",M1215="停止"),"両方停止","運転がそろわない")))</f>
        <v>判定不能</v>
      </c>
      <c r="AX1215" s="30" t="str">
        <f aca="false">IF(AND(AH1215="利用可",AK1215="利用可",AN1215="利用可"),"利用可","不可")</f>
        <v>不可</v>
      </c>
      <c r="AY1215" s="30" t="str">
        <f aca="false">IF(AND(AQ1215="利用可",AT1215="利用可",AW1215="利用可"),"利用可","不可")</f>
        <v>不可</v>
      </c>
    </row>
    <row r="1216" customFormat="false" ht="15" hidden="false" customHeight="false" outlineLevel="0" collapsed="false">
      <c r="A1216" s="29" t="n">
        <v>46282</v>
      </c>
      <c r="B1216" s="30" t="n">
        <v>13</v>
      </c>
      <c r="C1216" s="31" t="s">
        <v>61</v>
      </c>
      <c r="D1216" s="31" t="s">
        <v>59</v>
      </c>
      <c r="E1216" s="30" t="n">
        <v>60</v>
      </c>
      <c r="F1216" s="30" t="n">
        <v>60</v>
      </c>
      <c r="G1216" s="30" t="str">
        <f aca="false">IF(E1216&lt;判定条件!$C$6,"判定不能",IF(F1216&gt;=判定条件!$C$7*E1216,"運転",IF(F1216&lt;=判定条件!$C$8*E1216,"停止","断続")))</f>
        <v>運転</v>
      </c>
      <c r="H1216" s="30" t="n">
        <v>0</v>
      </c>
      <c r="I1216" s="30" t="n">
        <v>0</v>
      </c>
      <c r="J1216" s="30" t="str">
        <f aca="false">IF(H1216&lt;判定条件!$C$6,"判定不能",IF(I1216&gt;=判定条件!$C$7*H1216,"運転",IF(I1216&lt;=判定条件!$C$8*H1216,"停止","断続")))</f>
        <v>判定不能</v>
      </c>
      <c r="K1216" s="30" t="n">
        <v>60</v>
      </c>
      <c r="L1216" s="30" t="n">
        <v>60</v>
      </c>
      <c r="M1216" s="30" t="str">
        <f aca="false">IF(K1216&lt;判定条件!$C$6,"判定不能",IF(L1216&gt;=判定条件!$C$7*K1216,"運転",IF(L1216&lt;=判定条件!$C$8*K1216,"停止","断続")))</f>
        <v>運転</v>
      </c>
      <c r="N1216" s="30" t="n">
        <v>60</v>
      </c>
      <c r="O1216" s="30" t="n">
        <v>54</v>
      </c>
      <c r="P1216" s="30" t="str">
        <f aca="false">IF(N1216&lt;判定条件!$C$6,"判定不能",IF(O1216&gt;=判定条件!$C$7*N1216,"運転",IF(O1216&lt;=判定条件!$C$8*N1216,"停止","断続")))</f>
        <v>運転</v>
      </c>
      <c r="Q1216" s="30" t="n">
        <v>60</v>
      </c>
      <c r="R1216" s="30" t="n">
        <v>60</v>
      </c>
      <c r="S1216" s="30" t="str">
        <f aca="false">IF(Q1216&lt;判定条件!$C$6,"判定不能",IF(R1216&gt;=判定条件!$C$7*Q1216,"運転",IF(R1216&lt;=判定条件!$C$8*Q1216,"停止","断続")))</f>
        <v>運転</v>
      </c>
      <c r="T1216" s="30" t="n">
        <v>60</v>
      </c>
      <c r="U1216" s="30" t="n">
        <v>60</v>
      </c>
      <c r="V1216" s="30" t="str">
        <f aca="false">IF(T1216&lt;判定条件!$C$6,"判定不能",IF(U1216&gt;=判定条件!$C$7*T1216,"運転",IF(U1216&lt;=判定条件!$C$8*T1216,"停止","断続")))</f>
        <v>運転</v>
      </c>
      <c r="W1216" s="30" t="n">
        <v>0</v>
      </c>
      <c r="X1216" s="30" t="n">
        <v>0</v>
      </c>
      <c r="Y1216" s="30" t="str">
        <f aca="false">IF(W1216&lt;判定条件!$C$6,"判定不能",IF(X1216&gt;=判定条件!$C$7*W1216,"運転",IF(X1216&lt;=判定条件!$C$8*W1216,"停止","断続")))</f>
        <v>判定不能</v>
      </c>
      <c r="Z1216" s="30" t="n">
        <v>0</v>
      </c>
      <c r="AA1216" s="30" t="n">
        <v>0</v>
      </c>
      <c r="AB1216" s="30" t="str">
        <f aca="false">IF(Z1216&lt;判定条件!$C$6,"判定不能",IF(AA1216&gt;=判定条件!$C$7*Z1216,"運転",IF(AA1216&lt;=判定条件!$C$8*Z1216,"停止","断続")))</f>
        <v>判定不能</v>
      </c>
      <c r="AC1216" s="30" t="n">
        <v>0</v>
      </c>
      <c r="AD1216" s="30" t="n">
        <v>0</v>
      </c>
      <c r="AE1216" s="30" t="str">
        <f aca="false">IF(AC1216&lt;判定条件!$C$6,"判定不能",IF(AD1216&gt;=判定条件!$C$7*AC1216,"運転",IF(AD1216&lt;=判定条件!$C$8*AC1216,"停止","断続")))</f>
        <v>判定不能</v>
      </c>
      <c r="AF1216" s="30" t="n">
        <v>60</v>
      </c>
      <c r="AG1216" s="30" t="n">
        <v>54</v>
      </c>
      <c r="AH1216" s="30" t="str">
        <f aca="false">IF(OR(P1216="判定不能",G1216="判定不能"),"判定不能",IF(AG1216&gt;=判定条件!$C$9,"利用可",IF(AND(P1216="停止",G1216="停止"),"両方停止","運転がそろわない")))</f>
        <v>利用可</v>
      </c>
      <c r="AI1216" s="30" t="n">
        <v>0</v>
      </c>
      <c r="AJ1216" s="30" t="n">
        <v>0</v>
      </c>
      <c r="AK1216" s="30" t="str">
        <f aca="false">IF(OR(S1216="判定不能",J1216="判定不能"),"判定不能",IF(AJ1216&gt;=判定条件!$C$9,"利用可",IF(AND(S1216="停止",J1216="停止"),"両方停止","運転がそろわない")))</f>
        <v>判定不能</v>
      </c>
      <c r="AL1216" s="30" t="n">
        <v>60</v>
      </c>
      <c r="AM1216" s="30" t="n">
        <v>60</v>
      </c>
      <c r="AN1216" s="30" t="str">
        <f aca="false">IF(OR(V1216="判定不能",M1216="判定不能"),"判定不能",IF(AM1216&gt;=判定条件!$C$9,"利用可",IF(AND(V1216="停止",M1216="停止"),"両方停止","運転がそろわない")))</f>
        <v>利用可</v>
      </c>
      <c r="AO1216" s="30" t="n">
        <v>0</v>
      </c>
      <c r="AP1216" s="30" t="n">
        <v>0</v>
      </c>
      <c r="AQ1216" s="30" t="str">
        <f aca="false">IF(OR(Y1216="判定不能",G1216="判定不能"),"判定不能",IF(AP1216&gt;=判定条件!$C$9,"利用可",IF(AND(Y1216="停止",G1216="停止"),"両方停止","運転がそろわない")))</f>
        <v>判定不能</v>
      </c>
      <c r="AR1216" s="30" t="n">
        <v>0</v>
      </c>
      <c r="AS1216" s="30" t="n">
        <v>0</v>
      </c>
      <c r="AT1216" s="30" t="str">
        <f aca="false">IF(OR(AB1216="判定不能",J1216="判定不能"),"判定不能",IF(AS1216&gt;=判定条件!$C$9,"利用可",IF(AND(AB1216="停止",J1216="停止"),"両方停止","運転がそろわない")))</f>
        <v>判定不能</v>
      </c>
      <c r="AU1216" s="30" t="n">
        <v>0</v>
      </c>
      <c r="AV1216" s="30" t="n">
        <v>0</v>
      </c>
      <c r="AW1216" s="30" t="str">
        <f aca="false">IF(OR(AE1216="判定不能",M1216="判定不能"),"判定不能",IF(AV1216&gt;=判定条件!$C$9,"利用可",IF(AND(AE1216="停止",M1216="停止"),"両方停止","運転がそろわない")))</f>
        <v>判定不能</v>
      </c>
      <c r="AX1216" s="30" t="str">
        <f aca="false">IF(AND(AH1216="利用可",AK1216="利用可",AN1216="利用可"),"利用可","不可")</f>
        <v>不可</v>
      </c>
      <c r="AY1216" s="30" t="str">
        <f aca="false">IF(AND(AQ1216="利用可",AT1216="利用可",AW1216="利用可"),"利用可","不可")</f>
        <v>不可</v>
      </c>
    </row>
    <row r="1217" customFormat="false" ht="15" hidden="false" customHeight="false" outlineLevel="0" collapsed="false">
      <c r="A1217" s="29" t="n">
        <v>46282</v>
      </c>
      <c r="B1217" s="30" t="n">
        <v>14</v>
      </c>
      <c r="C1217" s="31" t="s">
        <v>61</v>
      </c>
      <c r="D1217" s="31" t="s">
        <v>59</v>
      </c>
      <c r="E1217" s="30" t="n">
        <v>60</v>
      </c>
      <c r="F1217" s="30" t="n">
        <v>60</v>
      </c>
      <c r="G1217" s="30" t="str">
        <f aca="false">IF(E1217&lt;判定条件!$C$6,"判定不能",IF(F1217&gt;=判定条件!$C$7*E1217,"運転",IF(F1217&lt;=判定条件!$C$8*E1217,"停止","断続")))</f>
        <v>運転</v>
      </c>
      <c r="H1217" s="30" t="n">
        <v>0</v>
      </c>
      <c r="I1217" s="30" t="n">
        <v>0</v>
      </c>
      <c r="J1217" s="30" t="str">
        <f aca="false">IF(H1217&lt;判定条件!$C$6,"判定不能",IF(I1217&gt;=判定条件!$C$7*H1217,"運転",IF(I1217&lt;=判定条件!$C$8*H1217,"停止","断続")))</f>
        <v>判定不能</v>
      </c>
      <c r="K1217" s="30" t="n">
        <v>60</v>
      </c>
      <c r="L1217" s="30" t="n">
        <v>60</v>
      </c>
      <c r="M1217" s="30" t="str">
        <f aca="false">IF(K1217&lt;判定条件!$C$6,"判定不能",IF(L1217&gt;=判定条件!$C$7*K1217,"運転",IF(L1217&lt;=判定条件!$C$8*K1217,"停止","断続")))</f>
        <v>運転</v>
      </c>
      <c r="N1217" s="30" t="n">
        <v>60</v>
      </c>
      <c r="O1217" s="30" t="n">
        <v>60</v>
      </c>
      <c r="P1217" s="30" t="str">
        <f aca="false">IF(N1217&lt;判定条件!$C$6,"判定不能",IF(O1217&gt;=判定条件!$C$7*N1217,"運転",IF(O1217&lt;=判定条件!$C$8*N1217,"停止","断続")))</f>
        <v>運転</v>
      </c>
      <c r="Q1217" s="30" t="n">
        <v>60</v>
      </c>
      <c r="R1217" s="30" t="n">
        <v>60</v>
      </c>
      <c r="S1217" s="30" t="str">
        <f aca="false">IF(Q1217&lt;判定条件!$C$6,"判定不能",IF(R1217&gt;=判定条件!$C$7*Q1217,"運転",IF(R1217&lt;=判定条件!$C$8*Q1217,"停止","断続")))</f>
        <v>運転</v>
      </c>
      <c r="T1217" s="30" t="n">
        <v>60</v>
      </c>
      <c r="U1217" s="30" t="n">
        <v>60</v>
      </c>
      <c r="V1217" s="30" t="str">
        <f aca="false">IF(T1217&lt;判定条件!$C$6,"判定不能",IF(U1217&gt;=判定条件!$C$7*T1217,"運転",IF(U1217&lt;=判定条件!$C$8*T1217,"停止","断続")))</f>
        <v>運転</v>
      </c>
      <c r="W1217" s="30" t="n">
        <v>0</v>
      </c>
      <c r="X1217" s="30" t="n">
        <v>0</v>
      </c>
      <c r="Y1217" s="30" t="str">
        <f aca="false">IF(W1217&lt;判定条件!$C$6,"判定不能",IF(X1217&gt;=判定条件!$C$7*W1217,"運転",IF(X1217&lt;=判定条件!$C$8*W1217,"停止","断続")))</f>
        <v>判定不能</v>
      </c>
      <c r="Z1217" s="30" t="n">
        <v>0</v>
      </c>
      <c r="AA1217" s="30" t="n">
        <v>0</v>
      </c>
      <c r="AB1217" s="30" t="str">
        <f aca="false">IF(Z1217&lt;判定条件!$C$6,"判定不能",IF(AA1217&gt;=判定条件!$C$7*Z1217,"運転",IF(AA1217&lt;=判定条件!$C$8*Z1217,"停止","断続")))</f>
        <v>判定不能</v>
      </c>
      <c r="AC1217" s="30" t="n">
        <v>0</v>
      </c>
      <c r="AD1217" s="30" t="n">
        <v>0</v>
      </c>
      <c r="AE1217" s="30" t="str">
        <f aca="false">IF(AC1217&lt;判定条件!$C$6,"判定不能",IF(AD1217&gt;=判定条件!$C$7*AC1217,"運転",IF(AD1217&lt;=判定条件!$C$8*AC1217,"停止","断続")))</f>
        <v>判定不能</v>
      </c>
      <c r="AF1217" s="30" t="n">
        <v>60</v>
      </c>
      <c r="AG1217" s="30" t="n">
        <v>60</v>
      </c>
      <c r="AH1217" s="30" t="str">
        <f aca="false">IF(OR(P1217="判定不能",G1217="判定不能"),"判定不能",IF(AG1217&gt;=判定条件!$C$9,"利用可",IF(AND(P1217="停止",G1217="停止"),"両方停止","運転がそろわない")))</f>
        <v>利用可</v>
      </c>
      <c r="AI1217" s="30" t="n">
        <v>0</v>
      </c>
      <c r="AJ1217" s="30" t="n">
        <v>0</v>
      </c>
      <c r="AK1217" s="30" t="str">
        <f aca="false">IF(OR(S1217="判定不能",J1217="判定不能"),"判定不能",IF(AJ1217&gt;=判定条件!$C$9,"利用可",IF(AND(S1217="停止",J1217="停止"),"両方停止","運転がそろわない")))</f>
        <v>判定不能</v>
      </c>
      <c r="AL1217" s="30" t="n">
        <v>60</v>
      </c>
      <c r="AM1217" s="30" t="n">
        <v>60</v>
      </c>
      <c r="AN1217" s="30" t="str">
        <f aca="false">IF(OR(V1217="判定不能",M1217="判定不能"),"判定不能",IF(AM1217&gt;=判定条件!$C$9,"利用可",IF(AND(V1217="停止",M1217="停止"),"両方停止","運転がそろわない")))</f>
        <v>利用可</v>
      </c>
      <c r="AO1217" s="30" t="n">
        <v>0</v>
      </c>
      <c r="AP1217" s="30" t="n">
        <v>0</v>
      </c>
      <c r="AQ1217" s="30" t="str">
        <f aca="false">IF(OR(Y1217="判定不能",G1217="判定不能"),"判定不能",IF(AP1217&gt;=判定条件!$C$9,"利用可",IF(AND(Y1217="停止",G1217="停止"),"両方停止","運転がそろわない")))</f>
        <v>判定不能</v>
      </c>
      <c r="AR1217" s="30" t="n">
        <v>0</v>
      </c>
      <c r="AS1217" s="30" t="n">
        <v>0</v>
      </c>
      <c r="AT1217" s="30" t="str">
        <f aca="false">IF(OR(AB1217="判定不能",J1217="判定不能"),"判定不能",IF(AS1217&gt;=判定条件!$C$9,"利用可",IF(AND(AB1217="停止",J1217="停止"),"両方停止","運転がそろわない")))</f>
        <v>判定不能</v>
      </c>
      <c r="AU1217" s="30" t="n">
        <v>0</v>
      </c>
      <c r="AV1217" s="30" t="n">
        <v>0</v>
      </c>
      <c r="AW1217" s="30" t="str">
        <f aca="false">IF(OR(AE1217="判定不能",M1217="判定不能"),"判定不能",IF(AV1217&gt;=判定条件!$C$9,"利用可",IF(AND(AE1217="停止",M1217="停止"),"両方停止","運転がそろわない")))</f>
        <v>判定不能</v>
      </c>
      <c r="AX1217" s="30" t="str">
        <f aca="false">IF(AND(AH1217="利用可",AK1217="利用可",AN1217="利用可"),"利用可","不可")</f>
        <v>不可</v>
      </c>
      <c r="AY1217" s="30" t="str">
        <f aca="false">IF(AND(AQ1217="利用可",AT1217="利用可",AW1217="利用可"),"利用可","不可")</f>
        <v>不可</v>
      </c>
    </row>
    <row r="1218" customFormat="false" ht="15" hidden="false" customHeight="false" outlineLevel="0" collapsed="false">
      <c r="A1218" s="29" t="n">
        <v>46282</v>
      </c>
      <c r="B1218" s="30" t="n">
        <v>15</v>
      </c>
      <c r="C1218" s="31" t="s">
        <v>61</v>
      </c>
      <c r="D1218" s="31" t="s">
        <v>59</v>
      </c>
      <c r="E1218" s="30" t="n">
        <v>60</v>
      </c>
      <c r="F1218" s="30" t="n">
        <v>60</v>
      </c>
      <c r="G1218" s="30" t="str">
        <f aca="false">IF(E1218&lt;判定条件!$C$6,"判定不能",IF(F1218&gt;=判定条件!$C$7*E1218,"運転",IF(F1218&lt;=判定条件!$C$8*E1218,"停止","断続")))</f>
        <v>運転</v>
      </c>
      <c r="H1218" s="30" t="n">
        <v>0</v>
      </c>
      <c r="I1218" s="30" t="n">
        <v>0</v>
      </c>
      <c r="J1218" s="30" t="str">
        <f aca="false">IF(H1218&lt;判定条件!$C$6,"判定不能",IF(I1218&gt;=判定条件!$C$7*H1218,"運転",IF(I1218&lt;=判定条件!$C$8*H1218,"停止","断続")))</f>
        <v>判定不能</v>
      </c>
      <c r="K1218" s="30" t="n">
        <v>60</v>
      </c>
      <c r="L1218" s="30" t="n">
        <v>60</v>
      </c>
      <c r="M1218" s="30" t="str">
        <f aca="false">IF(K1218&lt;判定条件!$C$6,"判定不能",IF(L1218&gt;=判定条件!$C$7*K1218,"運転",IF(L1218&lt;=判定条件!$C$8*K1218,"停止","断続")))</f>
        <v>運転</v>
      </c>
      <c r="N1218" s="30" t="n">
        <v>60</v>
      </c>
      <c r="O1218" s="30" t="n">
        <v>31</v>
      </c>
      <c r="P1218" s="30" t="str">
        <f aca="false">IF(N1218&lt;判定条件!$C$6,"判定不能",IF(O1218&gt;=判定条件!$C$7*N1218,"運転",IF(O1218&lt;=判定条件!$C$8*N1218,"停止","断続")))</f>
        <v>断続</v>
      </c>
      <c r="Q1218" s="30" t="n">
        <v>60</v>
      </c>
      <c r="R1218" s="30" t="n">
        <v>60</v>
      </c>
      <c r="S1218" s="30" t="str">
        <f aca="false">IF(Q1218&lt;判定条件!$C$6,"判定不能",IF(R1218&gt;=判定条件!$C$7*Q1218,"運転",IF(R1218&lt;=判定条件!$C$8*Q1218,"停止","断続")))</f>
        <v>運転</v>
      </c>
      <c r="T1218" s="30" t="n">
        <v>60</v>
      </c>
      <c r="U1218" s="30" t="n">
        <v>60</v>
      </c>
      <c r="V1218" s="30" t="str">
        <f aca="false">IF(T1218&lt;判定条件!$C$6,"判定不能",IF(U1218&gt;=判定条件!$C$7*T1218,"運転",IF(U1218&lt;=判定条件!$C$8*T1218,"停止","断続")))</f>
        <v>運転</v>
      </c>
      <c r="W1218" s="30" t="n">
        <v>0</v>
      </c>
      <c r="X1218" s="30" t="n">
        <v>0</v>
      </c>
      <c r="Y1218" s="30" t="str">
        <f aca="false">IF(W1218&lt;判定条件!$C$6,"判定不能",IF(X1218&gt;=判定条件!$C$7*W1218,"運転",IF(X1218&lt;=判定条件!$C$8*W1218,"停止","断続")))</f>
        <v>判定不能</v>
      </c>
      <c r="Z1218" s="30" t="n">
        <v>0</v>
      </c>
      <c r="AA1218" s="30" t="n">
        <v>0</v>
      </c>
      <c r="AB1218" s="30" t="str">
        <f aca="false">IF(Z1218&lt;判定条件!$C$6,"判定不能",IF(AA1218&gt;=判定条件!$C$7*Z1218,"運転",IF(AA1218&lt;=判定条件!$C$8*Z1218,"停止","断続")))</f>
        <v>判定不能</v>
      </c>
      <c r="AC1218" s="30" t="n">
        <v>0</v>
      </c>
      <c r="AD1218" s="30" t="n">
        <v>0</v>
      </c>
      <c r="AE1218" s="30" t="str">
        <f aca="false">IF(AC1218&lt;判定条件!$C$6,"判定不能",IF(AD1218&gt;=判定条件!$C$7*AC1218,"運転",IF(AD1218&lt;=判定条件!$C$8*AC1218,"停止","断続")))</f>
        <v>判定不能</v>
      </c>
      <c r="AF1218" s="30" t="n">
        <v>60</v>
      </c>
      <c r="AG1218" s="30" t="n">
        <v>31</v>
      </c>
      <c r="AH1218" s="30" t="str">
        <f aca="false">IF(OR(P1218="判定不能",G1218="判定不能"),"判定不能",IF(AG1218&gt;=判定条件!$C$9,"利用可",IF(AND(P1218="停止",G1218="停止"),"両方停止","運転がそろわない")))</f>
        <v>利用可</v>
      </c>
      <c r="AI1218" s="30" t="n">
        <v>0</v>
      </c>
      <c r="AJ1218" s="30" t="n">
        <v>0</v>
      </c>
      <c r="AK1218" s="30" t="str">
        <f aca="false">IF(OR(S1218="判定不能",J1218="判定不能"),"判定不能",IF(AJ1218&gt;=判定条件!$C$9,"利用可",IF(AND(S1218="停止",J1218="停止"),"両方停止","運転がそろわない")))</f>
        <v>判定不能</v>
      </c>
      <c r="AL1218" s="30" t="n">
        <v>60</v>
      </c>
      <c r="AM1218" s="30" t="n">
        <v>60</v>
      </c>
      <c r="AN1218" s="30" t="str">
        <f aca="false">IF(OR(V1218="判定不能",M1218="判定不能"),"判定不能",IF(AM1218&gt;=判定条件!$C$9,"利用可",IF(AND(V1218="停止",M1218="停止"),"両方停止","運転がそろわない")))</f>
        <v>利用可</v>
      </c>
      <c r="AO1218" s="30" t="n">
        <v>0</v>
      </c>
      <c r="AP1218" s="30" t="n">
        <v>0</v>
      </c>
      <c r="AQ1218" s="30" t="str">
        <f aca="false">IF(OR(Y1218="判定不能",G1218="判定不能"),"判定不能",IF(AP1218&gt;=判定条件!$C$9,"利用可",IF(AND(Y1218="停止",G1218="停止"),"両方停止","運転がそろわない")))</f>
        <v>判定不能</v>
      </c>
      <c r="AR1218" s="30" t="n">
        <v>0</v>
      </c>
      <c r="AS1218" s="30" t="n">
        <v>0</v>
      </c>
      <c r="AT1218" s="30" t="str">
        <f aca="false">IF(OR(AB1218="判定不能",J1218="判定不能"),"判定不能",IF(AS1218&gt;=判定条件!$C$9,"利用可",IF(AND(AB1218="停止",J1218="停止"),"両方停止","運転がそろわない")))</f>
        <v>判定不能</v>
      </c>
      <c r="AU1218" s="30" t="n">
        <v>0</v>
      </c>
      <c r="AV1218" s="30" t="n">
        <v>0</v>
      </c>
      <c r="AW1218" s="30" t="str">
        <f aca="false">IF(OR(AE1218="判定不能",M1218="判定不能"),"判定不能",IF(AV1218&gt;=判定条件!$C$9,"利用可",IF(AND(AE1218="停止",M1218="停止"),"両方停止","運転がそろわない")))</f>
        <v>判定不能</v>
      </c>
      <c r="AX1218" s="30" t="str">
        <f aca="false">IF(AND(AH1218="利用可",AK1218="利用可",AN1218="利用可"),"利用可","不可")</f>
        <v>不可</v>
      </c>
      <c r="AY1218" s="30" t="str">
        <f aca="false">IF(AND(AQ1218="利用可",AT1218="利用可",AW1218="利用可"),"利用可","不可")</f>
        <v>不可</v>
      </c>
    </row>
    <row r="1219" customFormat="false" ht="15" hidden="false" customHeight="false" outlineLevel="0" collapsed="false">
      <c r="A1219" s="29" t="n">
        <v>46282</v>
      </c>
      <c r="B1219" s="30" t="n">
        <v>16</v>
      </c>
      <c r="C1219" s="31" t="s">
        <v>61</v>
      </c>
      <c r="D1219" s="31" t="s">
        <v>59</v>
      </c>
      <c r="E1219" s="30" t="n">
        <v>60</v>
      </c>
      <c r="F1219" s="30" t="n">
        <v>33</v>
      </c>
      <c r="G1219" s="30" t="str">
        <f aca="false">IF(E1219&lt;判定条件!$C$6,"判定不能",IF(F1219&gt;=判定条件!$C$7*E1219,"運転",IF(F1219&lt;=判定条件!$C$8*E1219,"停止","断続")))</f>
        <v>断続</v>
      </c>
      <c r="H1219" s="30" t="n">
        <v>0</v>
      </c>
      <c r="I1219" s="30" t="n">
        <v>0</v>
      </c>
      <c r="J1219" s="30" t="str">
        <f aca="false">IF(H1219&lt;判定条件!$C$6,"判定不能",IF(I1219&gt;=判定条件!$C$7*H1219,"運転",IF(I1219&lt;=判定条件!$C$8*H1219,"停止","断続")))</f>
        <v>判定不能</v>
      </c>
      <c r="K1219" s="30" t="n">
        <v>60</v>
      </c>
      <c r="L1219" s="30" t="n">
        <v>60</v>
      </c>
      <c r="M1219" s="30" t="str">
        <f aca="false">IF(K1219&lt;判定条件!$C$6,"判定不能",IF(L1219&gt;=判定条件!$C$7*K1219,"運転",IF(L1219&lt;=判定条件!$C$8*K1219,"停止","断続")))</f>
        <v>運転</v>
      </c>
      <c r="N1219" s="30" t="n">
        <v>60</v>
      </c>
      <c r="O1219" s="30" t="n">
        <v>17</v>
      </c>
      <c r="P1219" s="30" t="str">
        <f aca="false">IF(N1219&lt;判定条件!$C$6,"判定不能",IF(O1219&gt;=判定条件!$C$7*N1219,"運転",IF(O1219&lt;=判定条件!$C$8*N1219,"停止","断続")))</f>
        <v>断続</v>
      </c>
      <c r="Q1219" s="30" t="n">
        <v>60</v>
      </c>
      <c r="R1219" s="30" t="n">
        <v>57</v>
      </c>
      <c r="S1219" s="30" t="str">
        <f aca="false">IF(Q1219&lt;判定条件!$C$6,"判定不能",IF(R1219&gt;=判定条件!$C$7*Q1219,"運転",IF(R1219&lt;=判定条件!$C$8*Q1219,"停止","断続")))</f>
        <v>運転</v>
      </c>
      <c r="T1219" s="30" t="n">
        <v>60</v>
      </c>
      <c r="U1219" s="30" t="n">
        <v>45</v>
      </c>
      <c r="V1219" s="30" t="str">
        <f aca="false">IF(T1219&lt;判定条件!$C$6,"判定不能",IF(U1219&gt;=判定条件!$C$7*T1219,"運転",IF(U1219&lt;=判定条件!$C$8*T1219,"停止","断続")))</f>
        <v>断続</v>
      </c>
      <c r="W1219" s="30" t="n">
        <v>0</v>
      </c>
      <c r="X1219" s="30" t="n">
        <v>0</v>
      </c>
      <c r="Y1219" s="30" t="str">
        <f aca="false">IF(W1219&lt;判定条件!$C$6,"判定不能",IF(X1219&gt;=判定条件!$C$7*W1219,"運転",IF(X1219&lt;=判定条件!$C$8*W1219,"停止","断続")))</f>
        <v>判定不能</v>
      </c>
      <c r="Z1219" s="30" t="n">
        <v>0</v>
      </c>
      <c r="AA1219" s="30" t="n">
        <v>0</v>
      </c>
      <c r="AB1219" s="30" t="str">
        <f aca="false">IF(Z1219&lt;判定条件!$C$6,"判定不能",IF(AA1219&gt;=判定条件!$C$7*Z1219,"運転",IF(AA1219&lt;=判定条件!$C$8*Z1219,"停止","断続")))</f>
        <v>判定不能</v>
      </c>
      <c r="AC1219" s="30" t="n">
        <v>0</v>
      </c>
      <c r="AD1219" s="30" t="n">
        <v>0</v>
      </c>
      <c r="AE1219" s="30" t="str">
        <f aca="false">IF(AC1219&lt;判定条件!$C$6,"判定不能",IF(AD1219&gt;=判定条件!$C$7*AC1219,"運転",IF(AD1219&lt;=判定条件!$C$8*AC1219,"停止","断続")))</f>
        <v>判定不能</v>
      </c>
      <c r="AF1219" s="30" t="n">
        <v>60</v>
      </c>
      <c r="AG1219" s="30" t="n">
        <v>0</v>
      </c>
      <c r="AH1219" s="30" t="str">
        <f aca="false">IF(OR(P1219="判定不能",G1219="判定不能"),"判定不能",IF(AG1219&gt;=判定条件!$C$9,"利用可",IF(AND(P1219="停止",G1219="停止"),"両方停止","運転がそろわない")))</f>
        <v>運転がそろわない</v>
      </c>
      <c r="AI1219" s="30" t="n">
        <v>0</v>
      </c>
      <c r="AJ1219" s="30" t="n">
        <v>0</v>
      </c>
      <c r="AK1219" s="30" t="str">
        <f aca="false">IF(OR(S1219="判定不能",J1219="判定不能"),"判定不能",IF(AJ1219&gt;=判定条件!$C$9,"利用可",IF(AND(S1219="停止",J1219="停止"),"両方停止","運転がそろわない")))</f>
        <v>判定不能</v>
      </c>
      <c r="AL1219" s="30" t="n">
        <v>60</v>
      </c>
      <c r="AM1219" s="30" t="n">
        <v>45</v>
      </c>
      <c r="AN1219" s="30" t="str">
        <f aca="false">IF(OR(V1219="判定不能",M1219="判定不能"),"判定不能",IF(AM1219&gt;=判定条件!$C$9,"利用可",IF(AND(V1219="停止",M1219="停止"),"両方停止","運転がそろわない")))</f>
        <v>利用可</v>
      </c>
      <c r="AO1219" s="30" t="n">
        <v>0</v>
      </c>
      <c r="AP1219" s="30" t="n">
        <v>0</v>
      </c>
      <c r="AQ1219" s="30" t="str">
        <f aca="false">IF(OR(Y1219="判定不能",G1219="判定不能"),"判定不能",IF(AP1219&gt;=判定条件!$C$9,"利用可",IF(AND(Y1219="停止",G1219="停止"),"両方停止","運転がそろわない")))</f>
        <v>判定不能</v>
      </c>
      <c r="AR1219" s="30" t="n">
        <v>0</v>
      </c>
      <c r="AS1219" s="30" t="n">
        <v>0</v>
      </c>
      <c r="AT1219" s="30" t="str">
        <f aca="false">IF(OR(AB1219="判定不能",J1219="判定不能"),"判定不能",IF(AS1219&gt;=判定条件!$C$9,"利用可",IF(AND(AB1219="停止",J1219="停止"),"両方停止","運転がそろわない")))</f>
        <v>判定不能</v>
      </c>
      <c r="AU1219" s="30" t="n">
        <v>0</v>
      </c>
      <c r="AV1219" s="30" t="n">
        <v>0</v>
      </c>
      <c r="AW1219" s="30" t="str">
        <f aca="false">IF(OR(AE1219="判定不能",M1219="判定不能"),"判定不能",IF(AV1219&gt;=判定条件!$C$9,"利用可",IF(AND(AE1219="停止",M1219="停止"),"両方停止","運転がそろわない")))</f>
        <v>判定不能</v>
      </c>
      <c r="AX1219" s="30" t="str">
        <f aca="false">IF(AND(AH1219="利用可",AK1219="利用可",AN1219="利用可"),"利用可","不可")</f>
        <v>不可</v>
      </c>
      <c r="AY1219" s="30" t="str">
        <f aca="false">IF(AND(AQ1219="利用可",AT1219="利用可",AW1219="利用可"),"利用可","不可")</f>
        <v>不可</v>
      </c>
    </row>
    <row r="1220" customFormat="false" ht="15" hidden="false" customHeight="false" outlineLevel="0" collapsed="false">
      <c r="A1220" s="29" t="n">
        <v>46282</v>
      </c>
      <c r="B1220" s="30" t="n">
        <v>17</v>
      </c>
      <c r="C1220" s="31" t="s">
        <v>61</v>
      </c>
      <c r="D1220" s="31" t="s">
        <v>59</v>
      </c>
      <c r="E1220" s="30" t="n">
        <v>60</v>
      </c>
      <c r="F1220" s="30" t="n">
        <v>42</v>
      </c>
      <c r="G1220" s="30" t="str">
        <f aca="false">IF(E1220&lt;判定条件!$C$6,"判定不能",IF(F1220&gt;=判定条件!$C$7*E1220,"運転",IF(F1220&lt;=判定条件!$C$8*E1220,"停止","断続")))</f>
        <v>断続</v>
      </c>
      <c r="H1220" s="30" t="n">
        <v>0</v>
      </c>
      <c r="I1220" s="30" t="n">
        <v>0</v>
      </c>
      <c r="J1220" s="30" t="str">
        <f aca="false">IF(H1220&lt;判定条件!$C$6,"判定不能",IF(I1220&gt;=判定条件!$C$7*H1220,"運転",IF(I1220&lt;=判定条件!$C$8*H1220,"停止","断続")))</f>
        <v>判定不能</v>
      </c>
      <c r="K1220" s="30" t="n">
        <v>60</v>
      </c>
      <c r="L1220" s="30" t="n">
        <v>60</v>
      </c>
      <c r="M1220" s="30" t="str">
        <f aca="false">IF(K1220&lt;判定条件!$C$6,"判定不能",IF(L1220&gt;=判定条件!$C$7*K1220,"運転",IF(L1220&lt;=判定条件!$C$8*K1220,"停止","断続")))</f>
        <v>運転</v>
      </c>
      <c r="N1220" s="30" t="n">
        <v>60</v>
      </c>
      <c r="O1220" s="30" t="n">
        <v>46</v>
      </c>
      <c r="P1220" s="30" t="str">
        <f aca="false">IF(N1220&lt;判定条件!$C$6,"判定不能",IF(O1220&gt;=判定条件!$C$7*N1220,"運転",IF(O1220&lt;=判定条件!$C$8*N1220,"停止","断続")))</f>
        <v>断続</v>
      </c>
      <c r="Q1220" s="30" t="n">
        <v>60</v>
      </c>
      <c r="R1220" s="30" t="n">
        <v>47</v>
      </c>
      <c r="S1220" s="30" t="str">
        <f aca="false">IF(Q1220&lt;判定条件!$C$6,"判定不能",IF(R1220&gt;=判定条件!$C$7*Q1220,"運転",IF(R1220&lt;=判定条件!$C$8*Q1220,"停止","断続")))</f>
        <v>断続</v>
      </c>
      <c r="T1220" s="30" t="n">
        <v>60</v>
      </c>
      <c r="U1220" s="30" t="n">
        <v>41</v>
      </c>
      <c r="V1220" s="30" t="str">
        <f aca="false">IF(T1220&lt;判定条件!$C$6,"判定不能",IF(U1220&gt;=判定条件!$C$7*T1220,"運転",IF(U1220&lt;=判定条件!$C$8*T1220,"停止","断続")))</f>
        <v>断続</v>
      </c>
      <c r="W1220" s="30" t="n">
        <v>0</v>
      </c>
      <c r="X1220" s="30" t="n">
        <v>0</v>
      </c>
      <c r="Y1220" s="30" t="str">
        <f aca="false">IF(W1220&lt;判定条件!$C$6,"判定不能",IF(X1220&gt;=判定条件!$C$7*W1220,"運転",IF(X1220&lt;=判定条件!$C$8*W1220,"停止","断続")))</f>
        <v>判定不能</v>
      </c>
      <c r="Z1220" s="30" t="n">
        <v>0</v>
      </c>
      <c r="AA1220" s="30" t="n">
        <v>0</v>
      </c>
      <c r="AB1220" s="30" t="str">
        <f aca="false">IF(Z1220&lt;判定条件!$C$6,"判定不能",IF(AA1220&gt;=判定条件!$C$7*Z1220,"運転",IF(AA1220&lt;=判定条件!$C$8*Z1220,"停止","断続")))</f>
        <v>判定不能</v>
      </c>
      <c r="AC1220" s="30" t="n">
        <v>0</v>
      </c>
      <c r="AD1220" s="30" t="n">
        <v>0</v>
      </c>
      <c r="AE1220" s="30" t="str">
        <f aca="false">IF(AC1220&lt;判定条件!$C$6,"判定不能",IF(AD1220&gt;=判定条件!$C$7*AC1220,"運転",IF(AD1220&lt;=判定条件!$C$8*AC1220,"停止","断続")))</f>
        <v>判定不能</v>
      </c>
      <c r="AF1220" s="30" t="n">
        <v>60</v>
      </c>
      <c r="AG1220" s="30" t="n">
        <v>33</v>
      </c>
      <c r="AH1220" s="30" t="str">
        <f aca="false">IF(OR(P1220="判定不能",G1220="判定不能"),"判定不能",IF(AG1220&gt;=判定条件!$C$9,"利用可",IF(AND(P1220="停止",G1220="停止"),"両方停止","運転がそろわない")))</f>
        <v>利用可</v>
      </c>
      <c r="AI1220" s="30" t="n">
        <v>0</v>
      </c>
      <c r="AJ1220" s="30" t="n">
        <v>0</v>
      </c>
      <c r="AK1220" s="30" t="str">
        <f aca="false">IF(OR(S1220="判定不能",J1220="判定不能"),"判定不能",IF(AJ1220&gt;=判定条件!$C$9,"利用可",IF(AND(S1220="停止",J1220="停止"),"両方停止","運転がそろわない")))</f>
        <v>判定不能</v>
      </c>
      <c r="AL1220" s="30" t="n">
        <v>60</v>
      </c>
      <c r="AM1220" s="30" t="n">
        <v>41</v>
      </c>
      <c r="AN1220" s="30" t="str">
        <f aca="false">IF(OR(V1220="判定不能",M1220="判定不能"),"判定不能",IF(AM1220&gt;=判定条件!$C$9,"利用可",IF(AND(V1220="停止",M1220="停止"),"両方停止","運転がそろわない")))</f>
        <v>利用可</v>
      </c>
      <c r="AO1220" s="30" t="n">
        <v>0</v>
      </c>
      <c r="AP1220" s="30" t="n">
        <v>0</v>
      </c>
      <c r="AQ1220" s="30" t="str">
        <f aca="false">IF(OR(Y1220="判定不能",G1220="判定不能"),"判定不能",IF(AP1220&gt;=判定条件!$C$9,"利用可",IF(AND(Y1220="停止",G1220="停止"),"両方停止","運転がそろわない")))</f>
        <v>判定不能</v>
      </c>
      <c r="AR1220" s="30" t="n">
        <v>0</v>
      </c>
      <c r="AS1220" s="30" t="n">
        <v>0</v>
      </c>
      <c r="AT1220" s="30" t="str">
        <f aca="false">IF(OR(AB1220="判定不能",J1220="判定不能"),"判定不能",IF(AS1220&gt;=判定条件!$C$9,"利用可",IF(AND(AB1220="停止",J1220="停止"),"両方停止","運転がそろわない")))</f>
        <v>判定不能</v>
      </c>
      <c r="AU1220" s="30" t="n">
        <v>0</v>
      </c>
      <c r="AV1220" s="30" t="n">
        <v>0</v>
      </c>
      <c r="AW1220" s="30" t="str">
        <f aca="false">IF(OR(AE1220="判定不能",M1220="判定不能"),"判定不能",IF(AV1220&gt;=判定条件!$C$9,"利用可",IF(AND(AE1220="停止",M1220="停止"),"両方停止","運転がそろわない")))</f>
        <v>判定不能</v>
      </c>
      <c r="AX1220" s="30" t="str">
        <f aca="false">IF(AND(AH1220="利用可",AK1220="利用可",AN1220="利用可"),"利用可","不可")</f>
        <v>不可</v>
      </c>
      <c r="AY1220" s="30" t="str">
        <f aca="false">IF(AND(AQ1220="利用可",AT1220="利用可",AW1220="利用可"),"利用可","不可")</f>
        <v>不可</v>
      </c>
    </row>
    <row r="1221" customFormat="false" ht="15" hidden="false" customHeight="false" outlineLevel="0" collapsed="false">
      <c r="A1221" s="29" t="n">
        <v>46282</v>
      </c>
      <c r="B1221" s="30" t="n">
        <v>18</v>
      </c>
      <c r="C1221" s="31" t="s">
        <v>61</v>
      </c>
      <c r="D1221" s="31" t="s">
        <v>59</v>
      </c>
      <c r="E1221" s="30" t="n">
        <v>60</v>
      </c>
      <c r="F1221" s="30" t="n">
        <v>7</v>
      </c>
      <c r="G1221" s="30" t="str">
        <f aca="false">IF(E1221&lt;判定条件!$C$6,"判定不能",IF(F1221&gt;=判定条件!$C$7*E1221,"運転",IF(F1221&lt;=判定条件!$C$8*E1221,"停止","断続")))</f>
        <v>停止</v>
      </c>
      <c r="H1221" s="30" t="n">
        <v>0</v>
      </c>
      <c r="I1221" s="30" t="n">
        <v>0</v>
      </c>
      <c r="J1221" s="30" t="str">
        <f aca="false">IF(H1221&lt;判定条件!$C$6,"判定不能",IF(I1221&gt;=判定条件!$C$7*H1221,"運転",IF(I1221&lt;=判定条件!$C$8*H1221,"停止","断続")))</f>
        <v>判定不能</v>
      </c>
      <c r="K1221" s="30" t="n">
        <v>60</v>
      </c>
      <c r="L1221" s="30" t="n">
        <v>23</v>
      </c>
      <c r="M1221" s="30" t="str">
        <f aca="false">IF(K1221&lt;判定条件!$C$6,"判定不能",IF(L1221&gt;=判定条件!$C$7*K1221,"運転",IF(L1221&lt;=判定条件!$C$8*K1221,"停止","断続")))</f>
        <v>断続</v>
      </c>
      <c r="N1221" s="30" t="n">
        <v>60</v>
      </c>
      <c r="O1221" s="30" t="n">
        <v>0</v>
      </c>
      <c r="P1221" s="30" t="str">
        <f aca="false">IF(N1221&lt;判定条件!$C$6,"判定不能",IF(O1221&gt;=判定条件!$C$7*N1221,"運転",IF(O1221&lt;=判定条件!$C$8*N1221,"停止","断続")))</f>
        <v>停止</v>
      </c>
      <c r="Q1221" s="30" t="n">
        <v>60</v>
      </c>
      <c r="R1221" s="30" t="n">
        <v>13</v>
      </c>
      <c r="S1221" s="30" t="str">
        <f aca="false">IF(Q1221&lt;判定条件!$C$6,"判定不能",IF(R1221&gt;=判定条件!$C$7*Q1221,"運転",IF(R1221&lt;=判定条件!$C$8*Q1221,"停止","断続")))</f>
        <v>断続</v>
      </c>
      <c r="T1221" s="30" t="n">
        <v>60</v>
      </c>
      <c r="U1221" s="30" t="n">
        <v>5</v>
      </c>
      <c r="V1221" s="30" t="str">
        <f aca="false">IF(T1221&lt;判定条件!$C$6,"判定不能",IF(U1221&gt;=判定条件!$C$7*T1221,"運転",IF(U1221&lt;=判定条件!$C$8*T1221,"停止","断続")))</f>
        <v>停止</v>
      </c>
      <c r="W1221" s="30" t="n">
        <v>0</v>
      </c>
      <c r="X1221" s="30" t="n">
        <v>0</v>
      </c>
      <c r="Y1221" s="30" t="str">
        <f aca="false">IF(W1221&lt;判定条件!$C$6,"判定不能",IF(X1221&gt;=判定条件!$C$7*W1221,"運転",IF(X1221&lt;=判定条件!$C$8*W1221,"停止","断続")))</f>
        <v>判定不能</v>
      </c>
      <c r="Z1221" s="30" t="n">
        <v>0</v>
      </c>
      <c r="AA1221" s="30" t="n">
        <v>0</v>
      </c>
      <c r="AB1221" s="30" t="str">
        <f aca="false">IF(Z1221&lt;判定条件!$C$6,"判定不能",IF(AA1221&gt;=判定条件!$C$7*Z1221,"運転",IF(AA1221&lt;=判定条件!$C$8*Z1221,"停止","断続")))</f>
        <v>判定不能</v>
      </c>
      <c r="AC1221" s="30" t="n">
        <v>0</v>
      </c>
      <c r="AD1221" s="30" t="n">
        <v>0</v>
      </c>
      <c r="AE1221" s="30" t="str">
        <f aca="false">IF(AC1221&lt;判定条件!$C$6,"判定不能",IF(AD1221&gt;=判定条件!$C$7*AC1221,"運転",IF(AD1221&lt;=判定条件!$C$8*AC1221,"停止","断続")))</f>
        <v>判定不能</v>
      </c>
      <c r="AF1221" s="30" t="n">
        <v>60</v>
      </c>
      <c r="AG1221" s="30" t="n">
        <v>0</v>
      </c>
      <c r="AH1221" s="30" t="str">
        <f aca="false">IF(OR(P1221="判定不能",G1221="判定不能"),"判定不能",IF(AG1221&gt;=判定条件!$C$9,"利用可",IF(AND(P1221="停止",G1221="停止"),"両方停止","運転がそろわない")))</f>
        <v>両方停止</v>
      </c>
      <c r="AI1221" s="30" t="n">
        <v>0</v>
      </c>
      <c r="AJ1221" s="30" t="n">
        <v>0</v>
      </c>
      <c r="AK1221" s="30" t="str">
        <f aca="false">IF(OR(S1221="判定不能",J1221="判定不能"),"判定不能",IF(AJ1221&gt;=判定条件!$C$9,"利用可",IF(AND(S1221="停止",J1221="停止"),"両方停止","運転がそろわない")))</f>
        <v>判定不能</v>
      </c>
      <c r="AL1221" s="30" t="n">
        <v>60</v>
      </c>
      <c r="AM1221" s="30" t="n">
        <v>4</v>
      </c>
      <c r="AN1221" s="30" t="str">
        <f aca="false">IF(OR(V1221="判定不能",M1221="判定不能"),"判定不能",IF(AM1221&gt;=判定条件!$C$9,"利用可",IF(AND(V1221="停止",M1221="停止"),"両方停止","運転がそろわない")))</f>
        <v>運転がそろわない</v>
      </c>
      <c r="AO1221" s="30" t="n">
        <v>0</v>
      </c>
      <c r="AP1221" s="30" t="n">
        <v>0</v>
      </c>
      <c r="AQ1221" s="30" t="str">
        <f aca="false">IF(OR(Y1221="判定不能",G1221="判定不能"),"判定不能",IF(AP1221&gt;=判定条件!$C$9,"利用可",IF(AND(Y1221="停止",G1221="停止"),"両方停止","運転がそろわない")))</f>
        <v>判定不能</v>
      </c>
      <c r="AR1221" s="30" t="n">
        <v>0</v>
      </c>
      <c r="AS1221" s="30" t="n">
        <v>0</v>
      </c>
      <c r="AT1221" s="30" t="str">
        <f aca="false">IF(OR(AB1221="判定不能",J1221="判定不能"),"判定不能",IF(AS1221&gt;=判定条件!$C$9,"利用可",IF(AND(AB1221="停止",J1221="停止"),"両方停止","運転がそろわない")))</f>
        <v>判定不能</v>
      </c>
      <c r="AU1221" s="30" t="n">
        <v>0</v>
      </c>
      <c r="AV1221" s="30" t="n">
        <v>0</v>
      </c>
      <c r="AW1221" s="30" t="str">
        <f aca="false">IF(OR(AE1221="判定不能",M1221="判定不能"),"判定不能",IF(AV1221&gt;=判定条件!$C$9,"利用可",IF(AND(AE1221="停止",M1221="停止"),"両方停止","運転がそろわない")))</f>
        <v>判定不能</v>
      </c>
      <c r="AX1221" s="30" t="str">
        <f aca="false">IF(AND(AH1221="利用可",AK1221="利用可",AN1221="利用可"),"利用可","不可")</f>
        <v>不可</v>
      </c>
      <c r="AY1221" s="30" t="str">
        <f aca="false">IF(AND(AQ1221="利用可",AT1221="利用可",AW1221="利用可"),"利用可","不可")</f>
        <v>不可</v>
      </c>
    </row>
    <row r="1222" customFormat="false" ht="15" hidden="false" customHeight="false" outlineLevel="0" collapsed="false">
      <c r="A1222" s="29" t="n">
        <v>46282</v>
      </c>
      <c r="B1222" s="30" t="n">
        <v>19</v>
      </c>
      <c r="C1222" s="31" t="s">
        <v>61</v>
      </c>
      <c r="D1222" s="31" t="s">
        <v>59</v>
      </c>
      <c r="E1222" s="30" t="n">
        <v>60</v>
      </c>
      <c r="F1222" s="30" t="n">
        <v>0</v>
      </c>
      <c r="G1222" s="30" t="str">
        <f aca="false">IF(E1222&lt;判定条件!$C$6,"判定不能",IF(F1222&gt;=判定条件!$C$7*E1222,"運転",IF(F1222&lt;=判定条件!$C$8*E1222,"停止","断続")))</f>
        <v>停止</v>
      </c>
      <c r="H1222" s="30" t="n">
        <v>0</v>
      </c>
      <c r="I1222" s="30" t="n">
        <v>0</v>
      </c>
      <c r="J1222" s="30" t="str">
        <f aca="false">IF(H1222&lt;判定条件!$C$6,"判定不能",IF(I1222&gt;=判定条件!$C$7*H1222,"運転",IF(I1222&lt;=判定条件!$C$8*H1222,"停止","断続")))</f>
        <v>判定不能</v>
      </c>
      <c r="K1222" s="30" t="n">
        <v>60</v>
      </c>
      <c r="L1222" s="30" t="n">
        <v>10</v>
      </c>
      <c r="M1222" s="30" t="str">
        <f aca="false">IF(K1222&lt;判定条件!$C$6,"判定不能",IF(L1222&gt;=判定条件!$C$7*K1222,"運転",IF(L1222&lt;=判定条件!$C$8*K1222,"停止","断続")))</f>
        <v>停止</v>
      </c>
      <c r="N1222" s="30" t="n">
        <v>60</v>
      </c>
      <c r="O1222" s="30" t="n">
        <v>0</v>
      </c>
      <c r="P1222" s="30" t="str">
        <f aca="false">IF(N1222&lt;判定条件!$C$6,"判定不能",IF(O1222&gt;=判定条件!$C$7*N1222,"運転",IF(O1222&lt;=判定条件!$C$8*N1222,"停止","断続")))</f>
        <v>停止</v>
      </c>
      <c r="Q1222" s="30" t="n">
        <v>60</v>
      </c>
      <c r="R1222" s="30" t="n">
        <v>0</v>
      </c>
      <c r="S1222" s="30" t="str">
        <f aca="false">IF(Q1222&lt;判定条件!$C$6,"判定不能",IF(R1222&gt;=判定条件!$C$7*Q1222,"運転",IF(R1222&lt;=判定条件!$C$8*Q1222,"停止","断続")))</f>
        <v>停止</v>
      </c>
      <c r="T1222" s="30" t="n">
        <v>60</v>
      </c>
      <c r="U1222" s="30" t="n">
        <v>45</v>
      </c>
      <c r="V1222" s="30" t="str">
        <f aca="false">IF(T1222&lt;判定条件!$C$6,"判定不能",IF(U1222&gt;=判定条件!$C$7*T1222,"運転",IF(U1222&lt;=判定条件!$C$8*T1222,"停止","断続")))</f>
        <v>断続</v>
      </c>
      <c r="W1222" s="30" t="n">
        <v>0</v>
      </c>
      <c r="X1222" s="30" t="n">
        <v>0</v>
      </c>
      <c r="Y1222" s="30" t="str">
        <f aca="false">IF(W1222&lt;判定条件!$C$6,"判定不能",IF(X1222&gt;=判定条件!$C$7*W1222,"運転",IF(X1222&lt;=判定条件!$C$8*W1222,"停止","断続")))</f>
        <v>判定不能</v>
      </c>
      <c r="Z1222" s="30" t="n">
        <v>0</v>
      </c>
      <c r="AA1222" s="30" t="n">
        <v>0</v>
      </c>
      <c r="AB1222" s="30" t="str">
        <f aca="false">IF(Z1222&lt;判定条件!$C$6,"判定不能",IF(AA1222&gt;=判定条件!$C$7*Z1222,"運転",IF(AA1222&lt;=判定条件!$C$8*Z1222,"停止","断続")))</f>
        <v>判定不能</v>
      </c>
      <c r="AC1222" s="30" t="n">
        <v>0</v>
      </c>
      <c r="AD1222" s="30" t="n">
        <v>0</v>
      </c>
      <c r="AE1222" s="30" t="str">
        <f aca="false">IF(AC1222&lt;判定条件!$C$6,"判定不能",IF(AD1222&gt;=判定条件!$C$7*AC1222,"運転",IF(AD1222&lt;=判定条件!$C$8*AC1222,"停止","断続")))</f>
        <v>判定不能</v>
      </c>
      <c r="AF1222" s="30" t="n">
        <v>60</v>
      </c>
      <c r="AG1222" s="30" t="n">
        <v>0</v>
      </c>
      <c r="AH1222" s="30" t="str">
        <f aca="false">IF(OR(P1222="判定不能",G1222="判定不能"),"判定不能",IF(AG1222&gt;=判定条件!$C$9,"利用可",IF(AND(P1222="停止",G1222="停止"),"両方停止","運転がそろわない")))</f>
        <v>両方停止</v>
      </c>
      <c r="AI1222" s="30" t="n">
        <v>0</v>
      </c>
      <c r="AJ1222" s="30" t="n">
        <v>0</v>
      </c>
      <c r="AK1222" s="30" t="str">
        <f aca="false">IF(OR(S1222="判定不能",J1222="判定不能"),"判定不能",IF(AJ1222&gt;=判定条件!$C$9,"利用可",IF(AND(S1222="停止",J1222="停止"),"両方停止","運転がそろわない")))</f>
        <v>判定不能</v>
      </c>
      <c r="AL1222" s="30" t="n">
        <v>60</v>
      </c>
      <c r="AM1222" s="30" t="n">
        <v>7</v>
      </c>
      <c r="AN1222" s="30" t="str">
        <f aca="false">IF(OR(V1222="判定不能",M1222="判定不能"),"判定不能",IF(AM1222&gt;=判定条件!$C$9,"利用可",IF(AND(V1222="停止",M1222="停止"),"両方停止","運転がそろわない")))</f>
        <v>運転がそろわない</v>
      </c>
      <c r="AO1222" s="30" t="n">
        <v>0</v>
      </c>
      <c r="AP1222" s="30" t="n">
        <v>0</v>
      </c>
      <c r="AQ1222" s="30" t="str">
        <f aca="false">IF(OR(Y1222="判定不能",G1222="判定不能"),"判定不能",IF(AP1222&gt;=判定条件!$C$9,"利用可",IF(AND(Y1222="停止",G1222="停止"),"両方停止","運転がそろわない")))</f>
        <v>判定不能</v>
      </c>
      <c r="AR1222" s="30" t="n">
        <v>0</v>
      </c>
      <c r="AS1222" s="30" t="n">
        <v>0</v>
      </c>
      <c r="AT1222" s="30" t="str">
        <f aca="false">IF(OR(AB1222="判定不能",J1222="判定不能"),"判定不能",IF(AS1222&gt;=判定条件!$C$9,"利用可",IF(AND(AB1222="停止",J1222="停止"),"両方停止","運転がそろわない")))</f>
        <v>判定不能</v>
      </c>
      <c r="AU1222" s="30" t="n">
        <v>0</v>
      </c>
      <c r="AV1222" s="30" t="n">
        <v>0</v>
      </c>
      <c r="AW1222" s="30" t="str">
        <f aca="false">IF(OR(AE1222="判定不能",M1222="判定不能"),"判定不能",IF(AV1222&gt;=判定条件!$C$9,"利用可",IF(AND(AE1222="停止",M1222="停止"),"両方停止","運転がそろわない")))</f>
        <v>判定不能</v>
      </c>
      <c r="AX1222" s="30" t="str">
        <f aca="false">IF(AND(AH1222="利用可",AK1222="利用可",AN1222="利用可"),"利用可","不可")</f>
        <v>不可</v>
      </c>
      <c r="AY1222" s="30" t="str">
        <f aca="false">IF(AND(AQ1222="利用可",AT1222="利用可",AW1222="利用可"),"利用可","不可")</f>
        <v>不可</v>
      </c>
    </row>
    <row r="1223" customFormat="false" ht="15" hidden="false" customHeight="false" outlineLevel="0" collapsed="false">
      <c r="A1223" s="29" t="n">
        <v>46282</v>
      </c>
      <c r="B1223" s="30" t="n">
        <v>20</v>
      </c>
      <c r="C1223" s="31" t="s">
        <v>61</v>
      </c>
      <c r="D1223" s="31" t="s">
        <v>59</v>
      </c>
      <c r="E1223" s="30" t="n">
        <v>60</v>
      </c>
      <c r="F1223" s="30" t="n">
        <v>0</v>
      </c>
      <c r="G1223" s="30" t="str">
        <f aca="false">IF(E1223&lt;判定条件!$C$6,"判定不能",IF(F1223&gt;=判定条件!$C$7*E1223,"運転",IF(F1223&lt;=判定条件!$C$8*E1223,"停止","断続")))</f>
        <v>停止</v>
      </c>
      <c r="H1223" s="30" t="n">
        <v>0</v>
      </c>
      <c r="I1223" s="30" t="n">
        <v>0</v>
      </c>
      <c r="J1223" s="30" t="str">
        <f aca="false">IF(H1223&lt;判定条件!$C$6,"判定不能",IF(I1223&gt;=判定条件!$C$7*H1223,"運転",IF(I1223&lt;=判定条件!$C$8*H1223,"停止","断続")))</f>
        <v>判定不能</v>
      </c>
      <c r="K1223" s="30" t="n">
        <v>60</v>
      </c>
      <c r="L1223" s="30" t="n">
        <v>0</v>
      </c>
      <c r="M1223" s="30" t="str">
        <f aca="false">IF(K1223&lt;判定条件!$C$6,"判定不能",IF(L1223&gt;=判定条件!$C$7*K1223,"運転",IF(L1223&lt;=判定条件!$C$8*K1223,"停止","断続")))</f>
        <v>停止</v>
      </c>
      <c r="N1223" s="30" t="n">
        <v>60</v>
      </c>
      <c r="O1223" s="30" t="n">
        <v>0</v>
      </c>
      <c r="P1223" s="30" t="str">
        <f aca="false">IF(N1223&lt;判定条件!$C$6,"判定不能",IF(O1223&gt;=判定条件!$C$7*N1223,"運転",IF(O1223&lt;=判定条件!$C$8*N1223,"停止","断続")))</f>
        <v>停止</v>
      </c>
      <c r="Q1223" s="30" t="n">
        <v>60</v>
      </c>
      <c r="R1223" s="30" t="n">
        <v>18</v>
      </c>
      <c r="S1223" s="30" t="str">
        <f aca="false">IF(Q1223&lt;判定条件!$C$6,"判定不能",IF(R1223&gt;=判定条件!$C$7*Q1223,"運転",IF(R1223&lt;=判定条件!$C$8*Q1223,"停止","断続")))</f>
        <v>断続</v>
      </c>
      <c r="T1223" s="30" t="n">
        <v>60</v>
      </c>
      <c r="U1223" s="30" t="n">
        <v>8</v>
      </c>
      <c r="V1223" s="30" t="str">
        <f aca="false">IF(T1223&lt;判定条件!$C$6,"判定不能",IF(U1223&gt;=判定条件!$C$7*T1223,"運転",IF(U1223&lt;=判定条件!$C$8*T1223,"停止","断続")))</f>
        <v>停止</v>
      </c>
      <c r="W1223" s="30" t="n">
        <v>0</v>
      </c>
      <c r="X1223" s="30" t="n">
        <v>0</v>
      </c>
      <c r="Y1223" s="30" t="str">
        <f aca="false">IF(W1223&lt;判定条件!$C$6,"判定不能",IF(X1223&gt;=判定条件!$C$7*W1223,"運転",IF(X1223&lt;=判定条件!$C$8*W1223,"停止","断続")))</f>
        <v>判定不能</v>
      </c>
      <c r="Z1223" s="30" t="n">
        <v>0</v>
      </c>
      <c r="AA1223" s="30" t="n">
        <v>0</v>
      </c>
      <c r="AB1223" s="30" t="str">
        <f aca="false">IF(Z1223&lt;判定条件!$C$6,"判定不能",IF(AA1223&gt;=判定条件!$C$7*Z1223,"運転",IF(AA1223&lt;=判定条件!$C$8*Z1223,"停止","断続")))</f>
        <v>判定不能</v>
      </c>
      <c r="AC1223" s="30" t="n">
        <v>0</v>
      </c>
      <c r="AD1223" s="30" t="n">
        <v>0</v>
      </c>
      <c r="AE1223" s="30" t="str">
        <f aca="false">IF(AC1223&lt;判定条件!$C$6,"判定不能",IF(AD1223&gt;=判定条件!$C$7*AC1223,"運転",IF(AD1223&lt;=判定条件!$C$8*AC1223,"停止","断続")))</f>
        <v>判定不能</v>
      </c>
      <c r="AF1223" s="30" t="n">
        <v>60</v>
      </c>
      <c r="AG1223" s="30" t="n">
        <v>0</v>
      </c>
      <c r="AH1223" s="30" t="str">
        <f aca="false">IF(OR(P1223="判定不能",G1223="判定不能"),"判定不能",IF(AG1223&gt;=判定条件!$C$9,"利用可",IF(AND(P1223="停止",G1223="停止"),"両方停止","運転がそろわない")))</f>
        <v>両方停止</v>
      </c>
      <c r="AI1223" s="30" t="n">
        <v>0</v>
      </c>
      <c r="AJ1223" s="30" t="n">
        <v>0</v>
      </c>
      <c r="AK1223" s="30" t="str">
        <f aca="false">IF(OR(S1223="判定不能",J1223="判定不能"),"判定不能",IF(AJ1223&gt;=判定条件!$C$9,"利用可",IF(AND(S1223="停止",J1223="停止"),"両方停止","運転がそろわない")))</f>
        <v>判定不能</v>
      </c>
      <c r="AL1223" s="30" t="n">
        <v>60</v>
      </c>
      <c r="AM1223" s="30" t="n">
        <v>0</v>
      </c>
      <c r="AN1223" s="30" t="str">
        <f aca="false">IF(OR(V1223="判定不能",M1223="判定不能"),"判定不能",IF(AM1223&gt;=判定条件!$C$9,"利用可",IF(AND(V1223="停止",M1223="停止"),"両方停止","運転がそろわない")))</f>
        <v>両方停止</v>
      </c>
      <c r="AO1223" s="30" t="n">
        <v>0</v>
      </c>
      <c r="AP1223" s="30" t="n">
        <v>0</v>
      </c>
      <c r="AQ1223" s="30" t="str">
        <f aca="false">IF(OR(Y1223="判定不能",G1223="判定不能"),"判定不能",IF(AP1223&gt;=判定条件!$C$9,"利用可",IF(AND(Y1223="停止",G1223="停止"),"両方停止","運転がそろわない")))</f>
        <v>判定不能</v>
      </c>
      <c r="AR1223" s="30" t="n">
        <v>0</v>
      </c>
      <c r="AS1223" s="30" t="n">
        <v>0</v>
      </c>
      <c r="AT1223" s="30" t="str">
        <f aca="false">IF(OR(AB1223="判定不能",J1223="判定不能"),"判定不能",IF(AS1223&gt;=判定条件!$C$9,"利用可",IF(AND(AB1223="停止",J1223="停止"),"両方停止","運転がそろわない")))</f>
        <v>判定不能</v>
      </c>
      <c r="AU1223" s="30" t="n">
        <v>0</v>
      </c>
      <c r="AV1223" s="30" t="n">
        <v>0</v>
      </c>
      <c r="AW1223" s="30" t="str">
        <f aca="false">IF(OR(AE1223="判定不能",M1223="判定不能"),"判定不能",IF(AV1223&gt;=判定条件!$C$9,"利用可",IF(AND(AE1223="停止",M1223="停止"),"両方停止","運転がそろわない")))</f>
        <v>判定不能</v>
      </c>
      <c r="AX1223" s="30" t="str">
        <f aca="false">IF(AND(AH1223="利用可",AK1223="利用可",AN1223="利用可"),"利用可","不可")</f>
        <v>不可</v>
      </c>
      <c r="AY1223" s="30" t="str">
        <f aca="false">IF(AND(AQ1223="利用可",AT1223="利用可",AW1223="利用可"),"利用可","不可")</f>
        <v>不可</v>
      </c>
    </row>
    <row r="1224" customFormat="false" ht="15" hidden="false" customHeight="false" outlineLevel="0" collapsed="false">
      <c r="A1224" s="29" t="n">
        <v>46282</v>
      </c>
      <c r="B1224" s="30" t="n">
        <v>21</v>
      </c>
      <c r="C1224" s="31" t="s">
        <v>61</v>
      </c>
      <c r="D1224" s="31" t="s">
        <v>59</v>
      </c>
      <c r="E1224" s="30" t="n">
        <v>60</v>
      </c>
      <c r="F1224" s="30" t="n">
        <v>0</v>
      </c>
      <c r="G1224" s="30" t="str">
        <f aca="false">IF(E1224&lt;判定条件!$C$6,"判定不能",IF(F1224&gt;=判定条件!$C$7*E1224,"運転",IF(F1224&lt;=判定条件!$C$8*E1224,"停止","断続")))</f>
        <v>停止</v>
      </c>
      <c r="H1224" s="30" t="n">
        <v>0</v>
      </c>
      <c r="I1224" s="30" t="n">
        <v>0</v>
      </c>
      <c r="J1224" s="30" t="str">
        <f aca="false">IF(H1224&lt;判定条件!$C$6,"判定不能",IF(I1224&gt;=判定条件!$C$7*H1224,"運転",IF(I1224&lt;=判定条件!$C$8*H1224,"停止","断続")))</f>
        <v>判定不能</v>
      </c>
      <c r="K1224" s="30" t="n">
        <v>60</v>
      </c>
      <c r="L1224" s="30" t="n">
        <v>0</v>
      </c>
      <c r="M1224" s="30" t="str">
        <f aca="false">IF(K1224&lt;判定条件!$C$6,"判定不能",IF(L1224&gt;=判定条件!$C$7*K1224,"運転",IF(L1224&lt;=判定条件!$C$8*K1224,"停止","断続")))</f>
        <v>停止</v>
      </c>
      <c r="N1224" s="30" t="n">
        <v>60</v>
      </c>
      <c r="O1224" s="30" t="n">
        <v>0</v>
      </c>
      <c r="P1224" s="30" t="str">
        <f aca="false">IF(N1224&lt;判定条件!$C$6,"判定不能",IF(O1224&gt;=判定条件!$C$7*N1224,"運転",IF(O1224&lt;=判定条件!$C$8*N1224,"停止","断続")))</f>
        <v>停止</v>
      </c>
      <c r="Q1224" s="30" t="n">
        <v>60</v>
      </c>
      <c r="R1224" s="30" t="n">
        <v>0</v>
      </c>
      <c r="S1224" s="30" t="str">
        <f aca="false">IF(Q1224&lt;判定条件!$C$6,"判定不能",IF(R1224&gt;=判定条件!$C$7*Q1224,"運転",IF(R1224&lt;=判定条件!$C$8*Q1224,"停止","断続")))</f>
        <v>停止</v>
      </c>
      <c r="T1224" s="30" t="n">
        <v>60</v>
      </c>
      <c r="U1224" s="30" t="n">
        <v>0</v>
      </c>
      <c r="V1224" s="30" t="str">
        <f aca="false">IF(T1224&lt;判定条件!$C$6,"判定不能",IF(U1224&gt;=判定条件!$C$7*T1224,"運転",IF(U1224&lt;=判定条件!$C$8*T1224,"停止","断続")))</f>
        <v>停止</v>
      </c>
      <c r="W1224" s="30" t="n">
        <v>0</v>
      </c>
      <c r="X1224" s="30" t="n">
        <v>0</v>
      </c>
      <c r="Y1224" s="30" t="str">
        <f aca="false">IF(W1224&lt;判定条件!$C$6,"判定不能",IF(X1224&gt;=判定条件!$C$7*W1224,"運転",IF(X1224&lt;=判定条件!$C$8*W1224,"停止","断続")))</f>
        <v>判定不能</v>
      </c>
      <c r="Z1224" s="30" t="n">
        <v>0</v>
      </c>
      <c r="AA1224" s="30" t="n">
        <v>0</v>
      </c>
      <c r="AB1224" s="30" t="str">
        <f aca="false">IF(Z1224&lt;判定条件!$C$6,"判定不能",IF(AA1224&gt;=判定条件!$C$7*Z1224,"運転",IF(AA1224&lt;=判定条件!$C$8*Z1224,"停止","断続")))</f>
        <v>判定不能</v>
      </c>
      <c r="AC1224" s="30" t="n">
        <v>0</v>
      </c>
      <c r="AD1224" s="30" t="n">
        <v>0</v>
      </c>
      <c r="AE1224" s="30" t="str">
        <f aca="false">IF(AC1224&lt;判定条件!$C$6,"判定不能",IF(AD1224&gt;=判定条件!$C$7*AC1224,"運転",IF(AD1224&lt;=判定条件!$C$8*AC1224,"停止","断続")))</f>
        <v>判定不能</v>
      </c>
      <c r="AF1224" s="30" t="n">
        <v>60</v>
      </c>
      <c r="AG1224" s="30" t="n">
        <v>0</v>
      </c>
      <c r="AH1224" s="30" t="str">
        <f aca="false">IF(OR(P1224="判定不能",G1224="判定不能"),"判定不能",IF(AG1224&gt;=判定条件!$C$9,"利用可",IF(AND(P1224="停止",G1224="停止"),"両方停止","運転がそろわない")))</f>
        <v>両方停止</v>
      </c>
      <c r="AI1224" s="30" t="n">
        <v>0</v>
      </c>
      <c r="AJ1224" s="30" t="n">
        <v>0</v>
      </c>
      <c r="AK1224" s="30" t="str">
        <f aca="false">IF(OR(S1224="判定不能",J1224="判定不能"),"判定不能",IF(AJ1224&gt;=判定条件!$C$9,"利用可",IF(AND(S1224="停止",J1224="停止"),"両方停止","運転がそろわない")))</f>
        <v>判定不能</v>
      </c>
      <c r="AL1224" s="30" t="n">
        <v>60</v>
      </c>
      <c r="AM1224" s="30" t="n">
        <v>0</v>
      </c>
      <c r="AN1224" s="30" t="str">
        <f aca="false">IF(OR(V1224="判定不能",M1224="判定不能"),"判定不能",IF(AM1224&gt;=判定条件!$C$9,"利用可",IF(AND(V1224="停止",M1224="停止"),"両方停止","運転がそろわない")))</f>
        <v>両方停止</v>
      </c>
      <c r="AO1224" s="30" t="n">
        <v>0</v>
      </c>
      <c r="AP1224" s="30" t="n">
        <v>0</v>
      </c>
      <c r="AQ1224" s="30" t="str">
        <f aca="false">IF(OR(Y1224="判定不能",G1224="判定不能"),"判定不能",IF(AP1224&gt;=判定条件!$C$9,"利用可",IF(AND(Y1224="停止",G1224="停止"),"両方停止","運転がそろわない")))</f>
        <v>判定不能</v>
      </c>
      <c r="AR1224" s="30" t="n">
        <v>0</v>
      </c>
      <c r="AS1224" s="30" t="n">
        <v>0</v>
      </c>
      <c r="AT1224" s="30" t="str">
        <f aca="false">IF(OR(AB1224="判定不能",J1224="判定不能"),"判定不能",IF(AS1224&gt;=判定条件!$C$9,"利用可",IF(AND(AB1224="停止",J1224="停止"),"両方停止","運転がそろわない")))</f>
        <v>判定不能</v>
      </c>
      <c r="AU1224" s="30" t="n">
        <v>0</v>
      </c>
      <c r="AV1224" s="30" t="n">
        <v>0</v>
      </c>
      <c r="AW1224" s="30" t="str">
        <f aca="false">IF(OR(AE1224="判定不能",M1224="判定不能"),"判定不能",IF(AV1224&gt;=判定条件!$C$9,"利用可",IF(AND(AE1224="停止",M1224="停止"),"両方停止","運転がそろわない")))</f>
        <v>判定不能</v>
      </c>
      <c r="AX1224" s="30" t="str">
        <f aca="false">IF(AND(AH1224="利用可",AK1224="利用可",AN1224="利用可"),"利用可","不可")</f>
        <v>不可</v>
      </c>
      <c r="AY1224" s="30" t="str">
        <f aca="false">IF(AND(AQ1224="利用可",AT1224="利用可",AW1224="利用可"),"利用可","不可")</f>
        <v>不可</v>
      </c>
    </row>
    <row r="1225" customFormat="false" ht="15" hidden="false" customHeight="false" outlineLevel="0" collapsed="false">
      <c r="A1225" s="29" t="n">
        <v>46282</v>
      </c>
      <c r="B1225" s="30" t="n">
        <v>22</v>
      </c>
      <c r="C1225" s="31" t="s">
        <v>61</v>
      </c>
      <c r="D1225" s="31" t="s">
        <v>59</v>
      </c>
      <c r="E1225" s="30" t="n">
        <v>60</v>
      </c>
      <c r="F1225" s="30" t="n">
        <v>0</v>
      </c>
      <c r="G1225" s="30" t="str">
        <f aca="false">IF(E1225&lt;判定条件!$C$6,"判定不能",IF(F1225&gt;=判定条件!$C$7*E1225,"運転",IF(F1225&lt;=判定条件!$C$8*E1225,"停止","断続")))</f>
        <v>停止</v>
      </c>
      <c r="H1225" s="30" t="n">
        <v>0</v>
      </c>
      <c r="I1225" s="30" t="n">
        <v>0</v>
      </c>
      <c r="J1225" s="30" t="str">
        <f aca="false">IF(H1225&lt;判定条件!$C$6,"判定不能",IF(I1225&gt;=判定条件!$C$7*H1225,"運転",IF(I1225&lt;=判定条件!$C$8*H1225,"停止","断続")))</f>
        <v>判定不能</v>
      </c>
      <c r="K1225" s="30" t="n">
        <v>60</v>
      </c>
      <c r="L1225" s="30" t="n">
        <v>0</v>
      </c>
      <c r="M1225" s="30" t="str">
        <f aca="false">IF(K1225&lt;判定条件!$C$6,"判定不能",IF(L1225&gt;=判定条件!$C$7*K1225,"運転",IF(L1225&lt;=判定条件!$C$8*K1225,"停止","断続")))</f>
        <v>停止</v>
      </c>
      <c r="N1225" s="30" t="n">
        <v>60</v>
      </c>
      <c r="O1225" s="30" t="n">
        <v>0</v>
      </c>
      <c r="P1225" s="30" t="str">
        <f aca="false">IF(N1225&lt;判定条件!$C$6,"判定不能",IF(O1225&gt;=判定条件!$C$7*N1225,"運転",IF(O1225&lt;=判定条件!$C$8*N1225,"停止","断続")))</f>
        <v>停止</v>
      </c>
      <c r="Q1225" s="30" t="n">
        <v>60</v>
      </c>
      <c r="R1225" s="30" t="n">
        <v>0</v>
      </c>
      <c r="S1225" s="30" t="str">
        <f aca="false">IF(Q1225&lt;判定条件!$C$6,"判定不能",IF(R1225&gt;=判定条件!$C$7*Q1225,"運転",IF(R1225&lt;=判定条件!$C$8*Q1225,"停止","断続")))</f>
        <v>停止</v>
      </c>
      <c r="T1225" s="30" t="n">
        <v>60</v>
      </c>
      <c r="U1225" s="30" t="n">
        <v>0</v>
      </c>
      <c r="V1225" s="30" t="str">
        <f aca="false">IF(T1225&lt;判定条件!$C$6,"判定不能",IF(U1225&gt;=判定条件!$C$7*T1225,"運転",IF(U1225&lt;=判定条件!$C$8*T1225,"停止","断続")))</f>
        <v>停止</v>
      </c>
      <c r="W1225" s="30" t="n">
        <v>0</v>
      </c>
      <c r="X1225" s="30" t="n">
        <v>0</v>
      </c>
      <c r="Y1225" s="30" t="str">
        <f aca="false">IF(W1225&lt;判定条件!$C$6,"判定不能",IF(X1225&gt;=判定条件!$C$7*W1225,"運転",IF(X1225&lt;=判定条件!$C$8*W1225,"停止","断続")))</f>
        <v>判定不能</v>
      </c>
      <c r="Z1225" s="30" t="n">
        <v>0</v>
      </c>
      <c r="AA1225" s="30" t="n">
        <v>0</v>
      </c>
      <c r="AB1225" s="30" t="str">
        <f aca="false">IF(Z1225&lt;判定条件!$C$6,"判定不能",IF(AA1225&gt;=判定条件!$C$7*Z1225,"運転",IF(AA1225&lt;=判定条件!$C$8*Z1225,"停止","断続")))</f>
        <v>判定不能</v>
      </c>
      <c r="AC1225" s="30" t="n">
        <v>0</v>
      </c>
      <c r="AD1225" s="30" t="n">
        <v>0</v>
      </c>
      <c r="AE1225" s="30" t="str">
        <f aca="false">IF(AC1225&lt;判定条件!$C$6,"判定不能",IF(AD1225&gt;=判定条件!$C$7*AC1225,"運転",IF(AD1225&lt;=判定条件!$C$8*AC1225,"停止","断続")))</f>
        <v>判定不能</v>
      </c>
      <c r="AF1225" s="30" t="n">
        <v>60</v>
      </c>
      <c r="AG1225" s="30" t="n">
        <v>0</v>
      </c>
      <c r="AH1225" s="30" t="str">
        <f aca="false">IF(OR(P1225="判定不能",G1225="判定不能"),"判定不能",IF(AG1225&gt;=判定条件!$C$9,"利用可",IF(AND(P1225="停止",G1225="停止"),"両方停止","運転がそろわない")))</f>
        <v>両方停止</v>
      </c>
      <c r="AI1225" s="30" t="n">
        <v>0</v>
      </c>
      <c r="AJ1225" s="30" t="n">
        <v>0</v>
      </c>
      <c r="AK1225" s="30" t="str">
        <f aca="false">IF(OR(S1225="判定不能",J1225="判定不能"),"判定不能",IF(AJ1225&gt;=判定条件!$C$9,"利用可",IF(AND(S1225="停止",J1225="停止"),"両方停止","運転がそろわない")))</f>
        <v>判定不能</v>
      </c>
      <c r="AL1225" s="30" t="n">
        <v>60</v>
      </c>
      <c r="AM1225" s="30" t="n">
        <v>0</v>
      </c>
      <c r="AN1225" s="30" t="str">
        <f aca="false">IF(OR(V1225="判定不能",M1225="判定不能"),"判定不能",IF(AM1225&gt;=判定条件!$C$9,"利用可",IF(AND(V1225="停止",M1225="停止"),"両方停止","運転がそろわない")))</f>
        <v>両方停止</v>
      </c>
      <c r="AO1225" s="30" t="n">
        <v>0</v>
      </c>
      <c r="AP1225" s="30" t="n">
        <v>0</v>
      </c>
      <c r="AQ1225" s="30" t="str">
        <f aca="false">IF(OR(Y1225="判定不能",G1225="判定不能"),"判定不能",IF(AP1225&gt;=判定条件!$C$9,"利用可",IF(AND(Y1225="停止",G1225="停止"),"両方停止","運転がそろわない")))</f>
        <v>判定不能</v>
      </c>
      <c r="AR1225" s="30" t="n">
        <v>0</v>
      </c>
      <c r="AS1225" s="30" t="n">
        <v>0</v>
      </c>
      <c r="AT1225" s="30" t="str">
        <f aca="false">IF(OR(AB1225="判定不能",J1225="判定不能"),"判定不能",IF(AS1225&gt;=判定条件!$C$9,"利用可",IF(AND(AB1225="停止",J1225="停止"),"両方停止","運転がそろわない")))</f>
        <v>判定不能</v>
      </c>
      <c r="AU1225" s="30" t="n">
        <v>0</v>
      </c>
      <c r="AV1225" s="30" t="n">
        <v>0</v>
      </c>
      <c r="AW1225" s="30" t="str">
        <f aca="false">IF(OR(AE1225="判定不能",M1225="判定不能"),"判定不能",IF(AV1225&gt;=判定条件!$C$9,"利用可",IF(AND(AE1225="停止",M1225="停止"),"両方停止","運転がそろわない")))</f>
        <v>判定不能</v>
      </c>
      <c r="AX1225" s="30" t="str">
        <f aca="false">IF(AND(AH1225="利用可",AK1225="利用可",AN1225="利用可"),"利用可","不可")</f>
        <v>不可</v>
      </c>
      <c r="AY1225" s="30" t="str">
        <f aca="false">IF(AND(AQ1225="利用可",AT1225="利用可",AW1225="利用可"),"利用可","不可")</f>
        <v>不可</v>
      </c>
    </row>
    <row r="1226" customFormat="false" ht="15" hidden="false" customHeight="false" outlineLevel="0" collapsed="false">
      <c r="A1226" s="29" t="n">
        <v>46282</v>
      </c>
      <c r="B1226" s="30" t="n">
        <v>23</v>
      </c>
      <c r="C1226" s="31" t="s">
        <v>61</v>
      </c>
      <c r="D1226" s="31" t="s">
        <v>59</v>
      </c>
      <c r="E1226" s="30" t="n">
        <v>60</v>
      </c>
      <c r="F1226" s="30" t="n">
        <v>0</v>
      </c>
      <c r="G1226" s="30" t="str">
        <f aca="false">IF(E1226&lt;判定条件!$C$6,"判定不能",IF(F1226&gt;=判定条件!$C$7*E1226,"運転",IF(F1226&lt;=判定条件!$C$8*E1226,"停止","断続")))</f>
        <v>停止</v>
      </c>
      <c r="H1226" s="30" t="n">
        <v>0</v>
      </c>
      <c r="I1226" s="30" t="n">
        <v>0</v>
      </c>
      <c r="J1226" s="30" t="str">
        <f aca="false">IF(H1226&lt;判定条件!$C$6,"判定不能",IF(I1226&gt;=判定条件!$C$7*H1226,"運転",IF(I1226&lt;=判定条件!$C$8*H1226,"停止","断続")))</f>
        <v>判定不能</v>
      </c>
      <c r="K1226" s="30" t="n">
        <v>60</v>
      </c>
      <c r="L1226" s="30" t="n">
        <v>0</v>
      </c>
      <c r="M1226" s="30" t="str">
        <f aca="false">IF(K1226&lt;判定条件!$C$6,"判定不能",IF(L1226&gt;=判定条件!$C$7*K1226,"運転",IF(L1226&lt;=判定条件!$C$8*K1226,"停止","断続")))</f>
        <v>停止</v>
      </c>
      <c r="N1226" s="30" t="n">
        <v>60</v>
      </c>
      <c r="O1226" s="30" t="n">
        <v>0</v>
      </c>
      <c r="P1226" s="30" t="str">
        <f aca="false">IF(N1226&lt;判定条件!$C$6,"判定不能",IF(O1226&gt;=判定条件!$C$7*N1226,"運転",IF(O1226&lt;=判定条件!$C$8*N1226,"停止","断続")))</f>
        <v>停止</v>
      </c>
      <c r="Q1226" s="30" t="n">
        <v>60</v>
      </c>
      <c r="R1226" s="30" t="n">
        <v>0</v>
      </c>
      <c r="S1226" s="30" t="str">
        <f aca="false">IF(Q1226&lt;判定条件!$C$6,"判定不能",IF(R1226&gt;=判定条件!$C$7*Q1226,"運転",IF(R1226&lt;=判定条件!$C$8*Q1226,"停止","断続")))</f>
        <v>停止</v>
      </c>
      <c r="T1226" s="30" t="n">
        <v>60</v>
      </c>
      <c r="U1226" s="30" t="n">
        <v>0</v>
      </c>
      <c r="V1226" s="30" t="str">
        <f aca="false">IF(T1226&lt;判定条件!$C$6,"判定不能",IF(U1226&gt;=判定条件!$C$7*T1226,"運転",IF(U1226&lt;=判定条件!$C$8*T1226,"停止","断続")))</f>
        <v>停止</v>
      </c>
      <c r="W1226" s="30" t="n">
        <v>0</v>
      </c>
      <c r="X1226" s="30" t="n">
        <v>0</v>
      </c>
      <c r="Y1226" s="30" t="str">
        <f aca="false">IF(W1226&lt;判定条件!$C$6,"判定不能",IF(X1226&gt;=判定条件!$C$7*W1226,"運転",IF(X1226&lt;=判定条件!$C$8*W1226,"停止","断続")))</f>
        <v>判定不能</v>
      </c>
      <c r="Z1226" s="30" t="n">
        <v>0</v>
      </c>
      <c r="AA1226" s="30" t="n">
        <v>0</v>
      </c>
      <c r="AB1226" s="30" t="str">
        <f aca="false">IF(Z1226&lt;判定条件!$C$6,"判定不能",IF(AA1226&gt;=判定条件!$C$7*Z1226,"運転",IF(AA1226&lt;=判定条件!$C$8*Z1226,"停止","断続")))</f>
        <v>判定不能</v>
      </c>
      <c r="AC1226" s="30" t="n">
        <v>0</v>
      </c>
      <c r="AD1226" s="30" t="n">
        <v>0</v>
      </c>
      <c r="AE1226" s="30" t="str">
        <f aca="false">IF(AC1226&lt;判定条件!$C$6,"判定不能",IF(AD1226&gt;=判定条件!$C$7*AC1226,"運転",IF(AD1226&lt;=判定条件!$C$8*AC1226,"停止","断続")))</f>
        <v>判定不能</v>
      </c>
      <c r="AF1226" s="30" t="n">
        <v>60</v>
      </c>
      <c r="AG1226" s="30" t="n">
        <v>0</v>
      </c>
      <c r="AH1226" s="30" t="str">
        <f aca="false">IF(OR(P1226="判定不能",G1226="判定不能"),"判定不能",IF(AG1226&gt;=判定条件!$C$9,"利用可",IF(AND(P1226="停止",G1226="停止"),"両方停止","運転がそろわない")))</f>
        <v>両方停止</v>
      </c>
      <c r="AI1226" s="30" t="n">
        <v>0</v>
      </c>
      <c r="AJ1226" s="30" t="n">
        <v>0</v>
      </c>
      <c r="AK1226" s="30" t="str">
        <f aca="false">IF(OR(S1226="判定不能",J1226="判定不能"),"判定不能",IF(AJ1226&gt;=判定条件!$C$9,"利用可",IF(AND(S1226="停止",J1226="停止"),"両方停止","運転がそろわない")))</f>
        <v>判定不能</v>
      </c>
      <c r="AL1226" s="30" t="n">
        <v>60</v>
      </c>
      <c r="AM1226" s="30" t="n">
        <v>0</v>
      </c>
      <c r="AN1226" s="30" t="str">
        <f aca="false">IF(OR(V1226="判定不能",M1226="判定不能"),"判定不能",IF(AM1226&gt;=判定条件!$C$9,"利用可",IF(AND(V1226="停止",M1226="停止"),"両方停止","運転がそろわない")))</f>
        <v>両方停止</v>
      </c>
      <c r="AO1226" s="30" t="n">
        <v>0</v>
      </c>
      <c r="AP1226" s="30" t="n">
        <v>0</v>
      </c>
      <c r="AQ1226" s="30" t="str">
        <f aca="false">IF(OR(Y1226="判定不能",G1226="判定不能"),"判定不能",IF(AP1226&gt;=判定条件!$C$9,"利用可",IF(AND(Y1226="停止",G1226="停止"),"両方停止","運転がそろわない")))</f>
        <v>判定不能</v>
      </c>
      <c r="AR1226" s="30" t="n">
        <v>0</v>
      </c>
      <c r="AS1226" s="30" t="n">
        <v>0</v>
      </c>
      <c r="AT1226" s="30" t="str">
        <f aca="false">IF(OR(AB1226="判定不能",J1226="判定不能"),"判定不能",IF(AS1226&gt;=判定条件!$C$9,"利用可",IF(AND(AB1226="停止",J1226="停止"),"両方停止","運転がそろわない")))</f>
        <v>判定不能</v>
      </c>
      <c r="AU1226" s="30" t="n">
        <v>0</v>
      </c>
      <c r="AV1226" s="30" t="n">
        <v>0</v>
      </c>
      <c r="AW1226" s="30" t="str">
        <f aca="false">IF(OR(AE1226="判定不能",M1226="判定不能"),"判定不能",IF(AV1226&gt;=判定条件!$C$9,"利用可",IF(AND(AE1226="停止",M1226="停止"),"両方停止","運転がそろわない")))</f>
        <v>判定不能</v>
      </c>
      <c r="AX1226" s="30" t="str">
        <f aca="false">IF(AND(AH1226="利用可",AK1226="利用可",AN1226="利用可"),"利用可","不可")</f>
        <v>不可</v>
      </c>
      <c r="AY1226" s="30" t="str">
        <f aca="false">IF(AND(AQ1226="利用可",AT1226="利用可",AW1226="利用可"),"利用可","不可")</f>
        <v>不可</v>
      </c>
    </row>
    <row r="1227" customFormat="false" ht="15" hidden="false" customHeight="false" outlineLevel="0" collapsed="false">
      <c r="A1227" s="29" t="n">
        <v>46283</v>
      </c>
      <c r="B1227" s="30" t="n">
        <v>0</v>
      </c>
      <c r="C1227" s="31" t="s">
        <v>62</v>
      </c>
      <c r="D1227" s="31" t="s">
        <v>59</v>
      </c>
      <c r="E1227" s="30" t="n">
        <v>60</v>
      </c>
      <c r="F1227" s="30" t="n">
        <v>0</v>
      </c>
      <c r="G1227" s="30" t="str">
        <f aca="false">IF(E1227&lt;判定条件!$C$6,"判定不能",IF(F1227&gt;=判定条件!$C$7*E1227,"運転",IF(F1227&lt;=判定条件!$C$8*E1227,"停止","断続")))</f>
        <v>停止</v>
      </c>
      <c r="H1227" s="30" t="n">
        <v>0</v>
      </c>
      <c r="I1227" s="30" t="n">
        <v>0</v>
      </c>
      <c r="J1227" s="30" t="str">
        <f aca="false">IF(H1227&lt;判定条件!$C$6,"判定不能",IF(I1227&gt;=判定条件!$C$7*H1227,"運転",IF(I1227&lt;=判定条件!$C$8*H1227,"停止","断続")))</f>
        <v>判定不能</v>
      </c>
      <c r="K1227" s="30" t="n">
        <v>60</v>
      </c>
      <c r="L1227" s="30" t="n">
        <v>0</v>
      </c>
      <c r="M1227" s="30" t="str">
        <f aca="false">IF(K1227&lt;判定条件!$C$6,"判定不能",IF(L1227&gt;=判定条件!$C$7*K1227,"運転",IF(L1227&lt;=判定条件!$C$8*K1227,"停止","断続")))</f>
        <v>停止</v>
      </c>
      <c r="N1227" s="30" t="n">
        <v>60</v>
      </c>
      <c r="O1227" s="30" t="n">
        <v>0</v>
      </c>
      <c r="P1227" s="30" t="str">
        <f aca="false">IF(N1227&lt;判定条件!$C$6,"判定不能",IF(O1227&gt;=判定条件!$C$7*N1227,"運転",IF(O1227&lt;=判定条件!$C$8*N1227,"停止","断続")))</f>
        <v>停止</v>
      </c>
      <c r="Q1227" s="30" t="n">
        <v>60</v>
      </c>
      <c r="R1227" s="30" t="n">
        <v>0</v>
      </c>
      <c r="S1227" s="30" t="str">
        <f aca="false">IF(Q1227&lt;判定条件!$C$6,"判定不能",IF(R1227&gt;=判定条件!$C$7*Q1227,"運転",IF(R1227&lt;=判定条件!$C$8*Q1227,"停止","断続")))</f>
        <v>停止</v>
      </c>
      <c r="T1227" s="30" t="n">
        <v>60</v>
      </c>
      <c r="U1227" s="30" t="n">
        <v>0</v>
      </c>
      <c r="V1227" s="30" t="str">
        <f aca="false">IF(T1227&lt;判定条件!$C$6,"判定不能",IF(U1227&gt;=判定条件!$C$7*T1227,"運転",IF(U1227&lt;=判定条件!$C$8*T1227,"停止","断続")))</f>
        <v>停止</v>
      </c>
      <c r="W1227" s="30" t="n">
        <v>0</v>
      </c>
      <c r="X1227" s="30" t="n">
        <v>0</v>
      </c>
      <c r="Y1227" s="30" t="str">
        <f aca="false">IF(W1227&lt;判定条件!$C$6,"判定不能",IF(X1227&gt;=判定条件!$C$7*W1227,"運転",IF(X1227&lt;=判定条件!$C$8*W1227,"停止","断続")))</f>
        <v>判定不能</v>
      </c>
      <c r="Z1227" s="30" t="n">
        <v>0</v>
      </c>
      <c r="AA1227" s="30" t="n">
        <v>0</v>
      </c>
      <c r="AB1227" s="30" t="str">
        <f aca="false">IF(Z1227&lt;判定条件!$C$6,"判定不能",IF(AA1227&gt;=判定条件!$C$7*Z1227,"運転",IF(AA1227&lt;=判定条件!$C$8*Z1227,"停止","断続")))</f>
        <v>判定不能</v>
      </c>
      <c r="AC1227" s="30" t="n">
        <v>0</v>
      </c>
      <c r="AD1227" s="30" t="n">
        <v>0</v>
      </c>
      <c r="AE1227" s="30" t="str">
        <f aca="false">IF(AC1227&lt;判定条件!$C$6,"判定不能",IF(AD1227&gt;=判定条件!$C$7*AC1227,"運転",IF(AD1227&lt;=判定条件!$C$8*AC1227,"停止","断続")))</f>
        <v>判定不能</v>
      </c>
      <c r="AF1227" s="30" t="n">
        <v>60</v>
      </c>
      <c r="AG1227" s="30" t="n">
        <v>0</v>
      </c>
      <c r="AH1227" s="30" t="str">
        <f aca="false">IF(OR(P1227="判定不能",G1227="判定不能"),"判定不能",IF(AG1227&gt;=判定条件!$C$9,"利用可",IF(AND(P1227="停止",G1227="停止"),"両方停止","運転がそろわない")))</f>
        <v>両方停止</v>
      </c>
      <c r="AI1227" s="30" t="n">
        <v>0</v>
      </c>
      <c r="AJ1227" s="30" t="n">
        <v>0</v>
      </c>
      <c r="AK1227" s="30" t="str">
        <f aca="false">IF(OR(S1227="判定不能",J1227="判定不能"),"判定不能",IF(AJ1227&gt;=判定条件!$C$9,"利用可",IF(AND(S1227="停止",J1227="停止"),"両方停止","運転がそろわない")))</f>
        <v>判定不能</v>
      </c>
      <c r="AL1227" s="30" t="n">
        <v>60</v>
      </c>
      <c r="AM1227" s="30" t="n">
        <v>0</v>
      </c>
      <c r="AN1227" s="30" t="str">
        <f aca="false">IF(OR(V1227="判定不能",M1227="判定不能"),"判定不能",IF(AM1227&gt;=判定条件!$C$9,"利用可",IF(AND(V1227="停止",M1227="停止"),"両方停止","運転がそろわない")))</f>
        <v>両方停止</v>
      </c>
      <c r="AO1227" s="30" t="n">
        <v>0</v>
      </c>
      <c r="AP1227" s="30" t="n">
        <v>0</v>
      </c>
      <c r="AQ1227" s="30" t="str">
        <f aca="false">IF(OR(Y1227="判定不能",G1227="判定不能"),"判定不能",IF(AP1227&gt;=判定条件!$C$9,"利用可",IF(AND(Y1227="停止",G1227="停止"),"両方停止","運転がそろわない")))</f>
        <v>判定不能</v>
      </c>
      <c r="AR1227" s="30" t="n">
        <v>0</v>
      </c>
      <c r="AS1227" s="30" t="n">
        <v>0</v>
      </c>
      <c r="AT1227" s="30" t="str">
        <f aca="false">IF(OR(AB1227="判定不能",J1227="判定不能"),"判定不能",IF(AS1227&gt;=判定条件!$C$9,"利用可",IF(AND(AB1227="停止",J1227="停止"),"両方停止","運転がそろわない")))</f>
        <v>判定不能</v>
      </c>
      <c r="AU1227" s="30" t="n">
        <v>0</v>
      </c>
      <c r="AV1227" s="30" t="n">
        <v>0</v>
      </c>
      <c r="AW1227" s="30" t="str">
        <f aca="false">IF(OR(AE1227="判定不能",M1227="判定不能"),"判定不能",IF(AV1227&gt;=判定条件!$C$9,"利用可",IF(AND(AE1227="停止",M1227="停止"),"両方停止","運転がそろわない")))</f>
        <v>判定不能</v>
      </c>
      <c r="AX1227" s="30" t="str">
        <f aca="false">IF(AND(AH1227="利用可",AK1227="利用可",AN1227="利用可"),"利用可","不可")</f>
        <v>不可</v>
      </c>
      <c r="AY1227" s="30" t="str">
        <f aca="false">IF(AND(AQ1227="利用可",AT1227="利用可",AW1227="利用可"),"利用可","不可")</f>
        <v>不可</v>
      </c>
    </row>
    <row r="1228" customFormat="false" ht="15" hidden="false" customHeight="false" outlineLevel="0" collapsed="false">
      <c r="A1228" s="29" t="n">
        <v>46283</v>
      </c>
      <c r="B1228" s="30" t="n">
        <v>1</v>
      </c>
      <c r="C1228" s="31" t="s">
        <v>62</v>
      </c>
      <c r="D1228" s="31" t="s">
        <v>59</v>
      </c>
      <c r="E1228" s="30" t="n">
        <v>60</v>
      </c>
      <c r="F1228" s="30" t="n">
        <v>0</v>
      </c>
      <c r="G1228" s="30" t="str">
        <f aca="false">IF(E1228&lt;判定条件!$C$6,"判定不能",IF(F1228&gt;=判定条件!$C$7*E1228,"運転",IF(F1228&lt;=判定条件!$C$8*E1228,"停止","断続")))</f>
        <v>停止</v>
      </c>
      <c r="H1228" s="30" t="n">
        <v>0</v>
      </c>
      <c r="I1228" s="30" t="n">
        <v>0</v>
      </c>
      <c r="J1228" s="30" t="str">
        <f aca="false">IF(H1228&lt;判定条件!$C$6,"判定不能",IF(I1228&gt;=判定条件!$C$7*H1228,"運転",IF(I1228&lt;=判定条件!$C$8*H1228,"停止","断続")))</f>
        <v>判定不能</v>
      </c>
      <c r="K1228" s="30" t="n">
        <v>60</v>
      </c>
      <c r="L1228" s="30" t="n">
        <v>0</v>
      </c>
      <c r="M1228" s="30" t="str">
        <f aca="false">IF(K1228&lt;判定条件!$C$6,"判定不能",IF(L1228&gt;=判定条件!$C$7*K1228,"運転",IF(L1228&lt;=判定条件!$C$8*K1228,"停止","断続")))</f>
        <v>停止</v>
      </c>
      <c r="N1228" s="30" t="n">
        <v>60</v>
      </c>
      <c r="O1228" s="30" t="n">
        <v>0</v>
      </c>
      <c r="P1228" s="30" t="str">
        <f aca="false">IF(N1228&lt;判定条件!$C$6,"判定不能",IF(O1228&gt;=判定条件!$C$7*N1228,"運転",IF(O1228&lt;=判定条件!$C$8*N1228,"停止","断続")))</f>
        <v>停止</v>
      </c>
      <c r="Q1228" s="30" t="n">
        <v>60</v>
      </c>
      <c r="R1228" s="30" t="n">
        <v>0</v>
      </c>
      <c r="S1228" s="30" t="str">
        <f aca="false">IF(Q1228&lt;判定条件!$C$6,"判定不能",IF(R1228&gt;=判定条件!$C$7*Q1228,"運転",IF(R1228&lt;=判定条件!$C$8*Q1228,"停止","断続")))</f>
        <v>停止</v>
      </c>
      <c r="T1228" s="30" t="n">
        <v>60</v>
      </c>
      <c r="U1228" s="30" t="n">
        <v>0</v>
      </c>
      <c r="V1228" s="30" t="str">
        <f aca="false">IF(T1228&lt;判定条件!$C$6,"判定不能",IF(U1228&gt;=判定条件!$C$7*T1228,"運転",IF(U1228&lt;=判定条件!$C$8*T1228,"停止","断続")))</f>
        <v>停止</v>
      </c>
      <c r="W1228" s="30" t="n">
        <v>0</v>
      </c>
      <c r="X1228" s="30" t="n">
        <v>0</v>
      </c>
      <c r="Y1228" s="30" t="str">
        <f aca="false">IF(W1228&lt;判定条件!$C$6,"判定不能",IF(X1228&gt;=判定条件!$C$7*W1228,"運転",IF(X1228&lt;=判定条件!$C$8*W1228,"停止","断続")))</f>
        <v>判定不能</v>
      </c>
      <c r="Z1228" s="30" t="n">
        <v>0</v>
      </c>
      <c r="AA1228" s="30" t="n">
        <v>0</v>
      </c>
      <c r="AB1228" s="30" t="str">
        <f aca="false">IF(Z1228&lt;判定条件!$C$6,"判定不能",IF(AA1228&gt;=判定条件!$C$7*Z1228,"運転",IF(AA1228&lt;=判定条件!$C$8*Z1228,"停止","断続")))</f>
        <v>判定不能</v>
      </c>
      <c r="AC1228" s="30" t="n">
        <v>0</v>
      </c>
      <c r="AD1228" s="30" t="n">
        <v>0</v>
      </c>
      <c r="AE1228" s="30" t="str">
        <f aca="false">IF(AC1228&lt;判定条件!$C$6,"判定不能",IF(AD1228&gt;=判定条件!$C$7*AC1228,"運転",IF(AD1228&lt;=判定条件!$C$8*AC1228,"停止","断続")))</f>
        <v>判定不能</v>
      </c>
      <c r="AF1228" s="30" t="n">
        <v>60</v>
      </c>
      <c r="AG1228" s="30" t="n">
        <v>0</v>
      </c>
      <c r="AH1228" s="30" t="str">
        <f aca="false">IF(OR(P1228="判定不能",G1228="判定不能"),"判定不能",IF(AG1228&gt;=判定条件!$C$9,"利用可",IF(AND(P1228="停止",G1228="停止"),"両方停止","運転がそろわない")))</f>
        <v>両方停止</v>
      </c>
      <c r="AI1228" s="30" t="n">
        <v>0</v>
      </c>
      <c r="AJ1228" s="30" t="n">
        <v>0</v>
      </c>
      <c r="AK1228" s="30" t="str">
        <f aca="false">IF(OR(S1228="判定不能",J1228="判定不能"),"判定不能",IF(AJ1228&gt;=判定条件!$C$9,"利用可",IF(AND(S1228="停止",J1228="停止"),"両方停止","運転がそろわない")))</f>
        <v>判定不能</v>
      </c>
      <c r="AL1228" s="30" t="n">
        <v>60</v>
      </c>
      <c r="AM1228" s="30" t="n">
        <v>0</v>
      </c>
      <c r="AN1228" s="30" t="str">
        <f aca="false">IF(OR(V1228="判定不能",M1228="判定不能"),"判定不能",IF(AM1228&gt;=判定条件!$C$9,"利用可",IF(AND(V1228="停止",M1228="停止"),"両方停止","運転がそろわない")))</f>
        <v>両方停止</v>
      </c>
      <c r="AO1228" s="30" t="n">
        <v>0</v>
      </c>
      <c r="AP1228" s="30" t="n">
        <v>0</v>
      </c>
      <c r="AQ1228" s="30" t="str">
        <f aca="false">IF(OR(Y1228="判定不能",G1228="判定不能"),"判定不能",IF(AP1228&gt;=判定条件!$C$9,"利用可",IF(AND(Y1228="停止",G1228="停止"),"両方停止","運転がそろわない")))</f>
        <v>判定不能</v>
      </c>
      <c r="AR1228" s="30" t="n">
        <v>0</v>
      </c>
      <c r="AS1228" s="30" t="n">
        <v>0</v>
      </c>
      <c r="AT1228" s="30" t="str">
        <f aca="false">IF(OR(AB1228="判定不能",J1228="判定不能"),"判定不能",IF(AS1228&gt;=判定条件!$C$9,"利用可",IF(AND(AB1228="停止",J1228="停止"),"両方停止","運転がそろわない")))</f>
        <v>判定不能</v>
      </c>
      <c r="AU1228" s="30" t="n">
        <v>0</v>
      </c>
      <c r="AV1228" s="30" t="n">
        <v>0</v>
      </c>
      <c r="AW1228" s="30" t="str">
        <f aca="false">IF(OR(AE1228="判定不能",M1228="判定不能"),"判定不能",IF(AV1228&gt;=判定条件!$C$9,"利用可",IF(AND(AE1228="停止",M1228="停止"),"両方停止","運転がそろわない")))</f>
        <v>判定不能</v>
      </c>
      <c r="AX1228" s="30" t="str">
        <f aca="false">IF(AND(AH1228="利用可",AK1228="利用可",AN1228="利用可"),"利用可","不可")</f>
        <v>不可</v>
      </c>
      <c r="AY1228" s="30" t="str">
        <f aca="false">IF(AND(AQ1228="利用可",AT1228="利用可",AW1228="利用可"),"利用可","不可")</f>
        <v>不可</v>
      </c>
    </row>
    <row r="1229" customFormat="false" ht="15" hidden="false" customHeight="false" outlineLevel="0" collapsed="false">
      <c r="A1229" s="29" t="n">
        <v>46283</v>
      </c>
      <c r="B1229" s="30" t="n">
        <v>2</v>
      </c>
      <c r="C1229" s="31" t="s">
        <v>62</v>
      </c>
      <c r="D1229" s="31" t="s">
        <v>59</v>
      </c>
      <c r="E1229" s="30" t="n">
        <v>60</v>
      </c>
      <c r="F1229" s="30" t="n">
        <v>0</v>
      </c>
      <c r="G1229" s="30" t="str">
        <f aca="false">IF(E1229&lt;判定条件!$C$6,"判定不能",IF(F1229&gt;=判定条件!$C$7*E1229,"運転",IF(F1229&lt;=判定条件!$C$8*E1229,"停止","断続")))</f>
        <v>停止</v>
      </c>
      <c r="H1229" s="30" t="n">
        <v>0</v>
      </c>
      <c r="I1229" s="30" t="n">
        <v>0</v>
      </c>
      <c r="J1229" s="30" t="str">
        <f aca="false">IF(H1229&lt;判定条件!$C$6,"判定不能",IF(I1229&gt;=判定条件!$C$7*H1229,"運転",IF(I1229&lt;=判定条件!$C$8*H1229,"停止","断続")))</f>
        <v>判定不能</v>
      </c>
      <c r="K1229" s="30" t="n">
        <v>60</v>
      </c>
      <c r="L1229" s="30" t="n">
        <v>0</v>
      </c>
      <c r="M1229" s="30" t="str">
        <f aca="false">IF(K1229&lt;判定条件!$C$6,"判定不能",IF(L1229&gt;=判定条件!$C$7*K1229,"運転",IF(L1229&lt;=判定条件!$C$8*K1229,"停止","断続")))</f>
        <v>停止</v>
      </c>
      <c r="N1229" s="30" t="n">
        <v>60</v>
      </c>
      <c r="O1229" s="30" t="n">
        <v>0</v>
      </c>
      <c r="P1229" s="30" t="str">
        <f aca="false">IF(N1229&lt;判定条件!$C$6,"判定不能",IF(O1229&gt;=判定条件!$C$7*N1229,"運転",IF(O1229&lt;=判定条件!$C$8*N1229,"停止","断続")))</f>
        <v>停止</v>
      </c>
      <c r="Q1229" s="30" t="n">
        <v>60</v>
      </c>
      <c r="R1229" s="30" t="n">
        <v>0</v>
      </c>
      <c r="S1229" s="30" t="str">
        <f aca="false">IF(Q1229&lt;判定条件!$C$6,"判定不能",IF(R1229&gt;=判定条件!$C$7*Q1229,"運転",IF(R1229&lt;=判定条件!$C$8*Q1229,"停止","断続")))</f>
        <v>停止</v>
      </c>
      <c r="T1229" s="30" t="n">
        <v>60</v>
      </c>
      <c r="U1229" s="30" t="n">
        <v>0</v>
      </c>
      <c r="V1229" s="30" t="str">
        <f aca="false">IF(T1229&lt;判定条件!$C$6,"判定不能",IF(U1229&gt;=判定条件!$C$7*T1229,"運転",IF(U1229&lt;=判定条件!$C$8*T1229,"停止","断続")))</f>
        <v>停止</v>
      </c>
      <c r="W1229" s="30" t="n">
        <v>0</v>
      </c>
      <c r="X1229" s="30" t="n">
        <v>0</v>
      </c>
      <c r="Y1229" s="30" t="str">
        <f aca="false">IF(W1229&lt;判定条件!$C$6,"判定不能",IF(X1229&gt;=判定条件!$C$7*W1229,"運転",IF(X1229&lt;=判定条件!$C$8*W1229,"停止","断続")))</f>
        <v>判定不能</v>
      </c>
      <c r="Z1229" s="30" t="n">
        <v>0</v>
      </c>
      <c r="AA1229" s="30" t="n">
        <v>0</v>
      </c>
      <c r="AB1229" s="30" t="str">
        <f aca="false">IF(Z1229&lt;判定条件!$C$6,"判定不能",IF(AA1229&gt;=判定条件!$C$7*Z1229,"運転",IF(AA1229&lt;=判定条件!$C$8*Z1229,"停止","断続")))</f>
        <v>判定不能</v>
      </c>
      <c r="AC1229" s="30" t="n">
        <v>0</v>
      </c>
      <c r="AD1229" s="30" t="n">
        <v>0</v>
      </c>
      <c r="AE1229" s="30" t="str">
        <f aca="false">IF(AC1229&lt;判定条件!$C$6,"判定不能",IF(AD1229&gt;=判定条件!$C$7*AC1229,"運転",IF(AD1229&lt;=判定条件!$C$8*AC1229,"停止","断続")))</f>
        <v>判定不能</v>
      </c>
      <c r="AF1229" s="30" t="n">
        <v>60</v>
      </c>
      <c r="AG1229" s="30" t="n">
        <v>0</v>
      </c>
      <c r="AH1229" s="30" t="str">
        <f aca="false">IF(OR(P1229="判定不能",G1229="判定不能"),"判定不能",IF(AG1229&gt;=判定条件!$C$9,"利用可",IF(AND(P1229="停止",G1229="停止"),"両方停止","運転がそろわない")))</f>
        <v>両方停止</v>
      </c>
      <c r="AI1229" s="30" t="n">
        <v>0</v>
      </c>
      <c r="AJ1229" s="30" t="n">
        <v>0</v>
      </c>
      <c r="AK1229" s="30" t="str">
        <f aca="false">IF(OR(S1229="判定不能",J1229="判定不能"),"判定不能",IF(AJ1229&gt;=判定条件!$C$9,"利用可",IF(AND(S1229="停止",J1229="停止"),"両方停止","運転がそろわない")))</f>
        <v>判定不能</v>
      </c>
      <c r="AL1229" s="30" t="n">
        <v>60</v>
      </c>
      <c r="AM1229" s="30" t="n">
        <v>0</v>
      </c>
      <c r="AN1229" s="30" t="str">
        <f aca="false">IF(OR(V1229="判定不能",M1229="判定不能"),"判定不能",IF(AM1229&gt;=判定条件!$C$9,"利用可",IF(AND(V1229="停止",M1229="停止"),"両方停止","運転がそろわない")))</f>
        <v>両方停止</v>
      </c>
      <c r="AO1229" s="30" t="n">
        <v>0</v>
      </c>
      <c r="AP1229" s="30" t="n">
        <v>0</v>
      </c>
      <c r="AQ1229" s="30" t="str">
        <f aca="false">IF(OR(Y1229="判定不能",G1229="判定不能"),"判定不能",IF(AP1229&gt;=判定条件!$C$9,"利用可",IF(AND(Y1229="停止",G1229="停止"),"両方停止","運転がそろわない")))</f>
        <v>判定不能</v>
      </c>
      <c r="AR1229" s="30" t="n">
        <v>0</v>
      </c>
      <c r="AS1229" s="30" t="n">
        <v>0</v>
      </c>
      <c r="AT1229" s="30" t="str">
        <f aca="false">IF(OR(AB1229="判定不能",J1229="判定不能"),"判定不能",IF(AS1229&gt;=判定条件!$C$9,"利用可",IF(AND(AB1229="停止",J1229="停止"),"両方停止","運転がそろわない")))</f>
        <v>判定不能</v>
      </c>
      <c r="AU1229" s="30" t="n">
        <v>0</v>
      </c>
      <c r="AV1229" s="30" t="n">
        <v>0</v>
      </c>
      <c r="AW1229" s="30" t="str">
        <f aca="false">IF(OR(AE1229="判定不能",M1229="判定不能"),"判定不能",IF(AV1229&gt;=判定条件!$C$9,"利用可",IF(AND(AE1229="停止",M1229="停止"),"両方停止","運転がそろわない")))</f>
        <v>判定不能</v>
      </c>
      <c r="AX1229" s="30" t="str">
        <f aca="false">IF(AND(AH1229="利用可",AK1229="利用可",AN1229="利用可"),"利用可","不可")</f>
        <v>不可</v>
      </c>
      <c r="AY1229" s="30" t="str">
        <f aca="false">IF(AND(AQ1229="利用可",AT1229="利用可",AW1229="利用可"),"利用可","不可")</f>
        <v>不可</v>
      </c>
    </row>
    <row r="1230" customFormat="false" ht="15" hidden="false" customHeight="false" outlineLevel="0" collapsed="false">
      <c r="A1230" s="29" t="n">
        <v>46283</v>
      </c>
      <c r="B1230" s="30" t="n">
        <v>3</v>
      </c>
      <c r="C1230" s="31" t="s">
        <v>62</v>
      </c>
      <c r="D1230" s="31" t="s">
        <v>59</v>
      </c>
      <c r="E1230" s="30" t="n">
        <v>60</v>
      </c>
      <c r="F1230" s="30" t="n">
        <v>0</v>
      </c>
      <c r="G1230" s="30" t="str">
        <f aca="false">IF(E1230&lt;判定条件!$C$6,"判定不能",IF(F1230&gt;=判定条件!$C$7*E1230,"運転",IF(F1230&lt;=判定条件!$C$8*E1230,"停止","断続")))</f>
        <v>停止</v>
      </c>
      <c r="H1230" s="30" t="n">
        <v>0</v>
      </c>
      <c r="I1230" s="30" t="n">
        <v>0</v>
      </c>
      <c r="J1230" s="30" t="str">
        <f aca="false">IF(H1230&lt;判定条件!$C$6,"判定不能",IF(I1230&gt;=判定条件!$C$7*H1230,"運転",IF(I1230&lt;=判定条件!$C$8*H1230,"停止","断続")))</f>
        <v>判定不能</v>
      </c>
      <c r="K1230" s="30" t="n">
        <v>60</v>
      </c>
      <c r="L1230" s="30" t="n">
        <v>0</v>
      </c>
      <c r="M1230" s="30" t="str">
        <f aca="false">IF(K1230&lt;判定条件!$C$6,"判定不能",IF(L1230&gt;=判定条件!$C$7*K1230,"運転",IF(L1230&lt;=判定条件!$C$8*K1230,"停止","断続")))</f>
        <v>停止</v>
      </c>
      <c r="N1230" s="30" t="n">
        <v>60</v>
      </c>
      <c r="O1230" s="30" t="n">
        <v>0</v>
      </c>
      <c r="P1230" s="30" t="str">
        <f aca="false">IF(N1230&lt;判定条件!$C$6,"判定不能",IF(O1230&gt;=判定条件!$C$7*N1230,"運転",IF(O1230&lt;=判定条件!$C$8*N1230,"停止","断続")))</f>
        <v>停止</v>
      </c>
      <c r="Q1230" s="30" t="n">
        <v>60</v>
      </c>
      <c r="R1230" s="30" t="n">
        <v>0</v>
      </c>
      <c r="S1230" s="30" t="str">
        <f aca="false">IF(Q1230&lt;判定条件!$C$6,"判定不能",IF(R1230&gt;=判定条件!$C$7*Q1230,"運転",IF(R1230&lt;=判定条件!$C$8*Q1230,"停止","断続")))</f>
        <v>停止</v>
      </c>
      <c r="T1230" s="30" t="n">
        <v>60</v>
      </c>
      <c r="U1230" s="30" t="n">
        <v>0</v>
      </c>
      <c r="V1230" s="30" t="str">
        <f aca="false">IF(T1230&lt;判定条件!$C$6,"判定不能",IF(U1230&gt;=判定条件!$C$7*T1230,"運転",IF(U1230&lt;=判定条件!$C$8*T1230,"停止","断続")))</f>
        <v>停止</v>
      </c>
      <c r="W1230" s="30" t="n">
        <v>0</v>
      </c>
      <c r="X1230" s="30" t="n">
        <v>0</v>
      </c>
      <c r="Y1230" s="30" t="str">
        <f aca="false">IF(W1230&lt;判定条件!$C$6,"判定不能",IF(X1230&gt;=判定条件!$C$7*W1230,"運転",IF(X1230&lt;=判定条件!$C$8*W1230,"停止","断続")))</f>
        <v>判定不能</v>
      </c>
      <c r="Z1230" s="30" t="n">
        <v>0</v>
      </c>
      <c r="AA1230" s="30" t="n">
        <v>0</v>
      </c>
      <c r="AB1230" s="30" t="str">
        <f aca="false">IF(Z1230&lt;判定条件!$C$6,"判定不能",IF(AA1230&gt;=判定条件!$C$7*Z1230,"運転",IF(AA1230&lt;=判定条件!$C$8*Z1230,"停止","断続")))</f>
        <v>判定不能</v>
      </c>
      <c r="AC1230" s="30" t="n">
        <v>0</v>
      </c>
      <c r="AD1230" s="30" t="n">
        <v>0</v>
      </c>
      <c r="AE1230" s="30" t="str">
        <f aca="false">IF(AC1230&lt;判定条件!$C$6,"判定不能",IF(AD1230&gt;=判定条件!$C$7*AC1230,"運転",IF(AD1230&lt;=判定条件!$C$8*AC1230,"停止","断続")))</f>
        <v>判定不能</v>
      </c>
      <c r="AF1230" s="30" t="n">
        <v>60</v>
      </c>
      <c r="AG1230" s="30" t="n">
        <v>0</v>
      </c>
      <c r="AH1230" s="30" t="str">
        <f aca="false">IF(OR(P1230="判定不能",G1230="判定不能"),"判定不能",IF(AG1230&gt;=判定条件!$C$9,"利用可",IF(AND(P1230="停止",G1230="停止"),"両方停止","運転がそろわない")))</f>
        <v>両方停止</v>
      </c>
      <c r="AI1230" s="30" t="n">
        <v>0</v>
      </c>
      <c r="AJ1230" s="30" t="n">
        <v>0</v>
      </c>
      <c r="AK1230" s="30" t="str">
        <f aca="false">IF(OR(S1230="判定不能",J1230="判定不能"),"判定不能",IF(AJ1230&gt;=判定条件!$C$9,"利用可",IF(AND(S1230="停止",J1230="停止"),"両方停止","運転がそろわない")))</f>
        <v>判定不能</v>
      </c>
      <c r="AL1230" s="30" t="n">
        <v>60</v>
      </c>
      <c r="AM1230" s="30" t="n">
        <v>0</v>
      </c>
      <c r="AN1230" s="30" t="str">
        <f aca="false">IF(OR(V1230="判定不能",M1230="判定不能"),"判定不能",IF(AM1230&gt;=判定条件!$C$9,"利用可",IF(AND(V1230="停止",M1230="停止"),"両方停止","運転がそろわない")))</f>
        <v>両方停止</v>
      </c>
      <c r="AO1230" s="30" t="n">
        <v>0</v>
      </c>
      <c r="AP1230" s="30" t="n">
        <v>0</v>
      </c>
      <c r="AQ1230" s="30" t="str">
        <f aca="false">IF(OR(Y1230="判定不能",G1230="判定不能"),"判定不能",IF(AP1230&gt;=判定条件!$C$9,"利用可",IF(AND(Y1230="停止",G1230="停止"),"両方停止","運転がそろわない")))</f>
        <v>判定不能</v>
      </c>
      <c r="AR1230" s="30" t="n">
        <v>0</v>
      </c>
      <c r="AS1230" s="30" t="n">
        <v>0</v>
      </c>
      <c r="AT1230" s="30" t="str">
        <f aca="false">IF(OR(AB1230="判定不能",J1230="判定不能"),"判定不能",IF(AS1230&gt;=判定条件!$C$9,"利用可",IF(AND(AB1230="停止",J1230="停止"),"両方停止","運転がそろわない")))</f>
        <v>判定不能</v>
      </c>
      <c r="AU1230" s="30" t="n">
        <v>0</v>
      </c>
      <c r="AV1230" s="30" t="n">
        <v>0</v>
      </c>
      <c r="AW1230" s="30" t="str">
        <f aca="false">IF(OR(AE1230="判定不能",M1230="判定不能"),"判定不能",IF(AV1230&gt;=判定条件!$C$9,"利用可",IF(AND(AE1230="停止",M1230="停止"),"両方停止","運転がそろわない")))</f>
        <v>判定不能</v>
      </c>
      <c r="AX1230" s="30" t="str">
        <f aca="false">IF(AND(AH1230="利用可",AK1230="利用可",AN1230="利用可"),"利用可","不可")</f>
        <v>不可</v>
      </c>
      <c r="AY1230" s="30" t="str">
        <f aca="false">IF(AND(AQ1230="利用可",AT1230="利用可",AW1230="利用可"),"利用可","不可")</f>
        <v>不可</v>
      </c>
    </row>
    <row r="1231" customFormat="false" ht="15" hidden="false" customHeight="false" outlineLevel="0" collapsed="false">
      <c r="A1231" s="29" t="n">
        <v>46283</v>
      </c>
      <c r="B1231" s="30" t="n">
        <v>4</v>
      </c>
      <c r="C1231" s="31" t="s">
        <v>62</v>
      </c>
      <c r="D1231" s="31" t="s">
        <v>59</v>
      </c>
      <c r="E1231" s="30" t="n">
        <v>60</v>
      </c>
      <c r="F1231" s="30" t="n">
        <v>0</v>
      </c>
      <c r="G1231" s="30" t="str">
        <f aca="false">IF(E1231&lt;判定条件!$C$6,"判定不能",IF(F1231&gt;=判定条件!$C$7*E1231,"運転",IF(F1231&lt;=判定条件!$C$8*E1231,"停止","断続")))</f>
        <v>停止</v>
      </c>
      <c r="H1231" s="30" t="n">
        <v>0</v>
      </c>
      <c r="I1231" s="30" t="n">
        <v>0</v>
      </c>
      <c r="J1231" s="30" t="str">
        <f aca="false">IF(H1231&lt;判定条件!$C$6,"判定不能",IF(I1231&gt;=判定条件!$C$7*H1231,"運転",IF(I1231&lt;=判定条件!$C$8*H1231,"停止","断続")))</f>
        <v>判定不能</v>
      </c>
      <c r="K1231" s="30" t="n">
        <v>60</v>
      </c>
      <c r="L1231" s="30" t="n">
        <v>0</v>
      </c>
      <c r="M1231" s="30" t="str">
        <f aca="false">IF(K1231&lt;判定条件!$C$6,"判定不能",IF(L1231&gt;=判定条件!$C$7*K1231,"運転",IF(L1231&lt;=判定条件!$C$8*K1231,"停止","断続")))</f>
        <v>停止</v>
      </c>
      <c r="N1231" s="30" t="n">
        <v>60</v>
      </c>
      <c r="O1231" s="30" t="n">
        <v>0</v>
      </c>
      <c r="P1231" s="30" t="str">
        <f aca="false">IF(N1231&lt;判定条件!$C$6,"判定不能",IF(O1231&gt;=判定条件!$C$7*N1231,"運転",IF(O1231&lt;=判定条件!$C$8*N1231,"停止","断続")))</f>
        <v>停止</v>
      </c>
      <c r="Q1231" s="30" t="n">
        <v>60</v>
      </c>
      <c r="R1231" s="30" t="n">
        <v>0</v>
      </c>
      <c r="S1231" s="30" t="str">
        <f aca="false">IF(Q1231&lt;判定条件!$C$6,"判定不能",IF(R1231&gt;=判定条件!$C$7*Q1231,"運転",IF(R1231&lt;=判定条件!$C$8*Q1231,"停止","断続")))</f>
        <v>停止</v>
      </c>
      <c r="T1231" s="30" t="n">
        <v>60</v>
      </c>
      <c r="U1231" s="30" t="n">
        <v>0</v>
      </c>
      <c r="V1231" s="30" t="str">
        <f aca="false">IF(T1231&lt;判定条件!$C$6,"判定不能",IF(U1231&gt;=判定条件!$C$7*T1231,"運転",IF(U1231&lt;=判定条件!$C$8*T1231,"停止","断続")))</f>
        <v>停止</v>
      </c>
      <c r="W1231" s="30" t="n">
        <v>0</v>
      </c>
      <c r="X1231" s="30" t="n">
        <v>0</v>
      </c>
      <c r="Y1231" s="30" t="str">
        <f aca="false">IF(W1231&lt;判定条件!$C$6,"判定不能",IF(X1231&gt;=判定条件!$C$7*W1231,"運転",IF(X1231&lt;=判定条件!$C$8*W1231,"停止","断続")))</f>
        <v>判定不能</v>
      </c>
      <c r="Z1231" s="30" t="n">
        <v>0</v>
      </c>
      <c r="AA1231" s="30" t="n">
        <v>0</v>
      </c>
      <c r="AB1231" s="30" t="str">
        <f aca="false">IF(Z1231&lt;判定条件!$C$6,"判定不能",IF(AA1231&gt;=判定条件!$C$7*Z1231,"運転",IF(AA1231&lt;=判定条件!$C$8*Z1231,"停止","断続")))</f>
        <v>判定不能</v>
      </c>
      <c r="AC1231" s="30" t="n">
        <v>0</v>
      </c>
      <c r="AD1231" s="30" t="n">
        <v>0</v>
      </c>
      <c r="AE1231" s="30" t="str">
        <f aca="false">IF(AC1231&lt;判定条件!$C$6,"判定不能",IF(AD1231&gt;=判定条件!$C$7*AC1231,"運転",IF(AD1231&lt;=判定条件!$C$8*AC1231,"停止","断続")))</f>
        <v>判定不能</v>
      </c>
      <c r="AF1231" s="30" t="n">
        <v>60</v>
      </c>
      <c r="AG1231" s="30" t="n">
        <v>0</v>
      </c>
      <c r="AH1231" s="30" t="str">
        <f aca="false">IF(OR(P1231="判定不能",G1231="判定不能"),"判定不能",IF(AG1231&gt;=判定条件!$C$9,"利用可",IF(AND(P1231="停止",G1231="停止"),"両方停止","運転がそろわない")))</f>
        <v>両方停止</v>
      </c>
      <c r="AI1231" s="30" t="n">
        <v>0</v>
      </c>
      <c r="AJ1231" s="30" t="n">
        <v>0</v>
      </c>
      <c r="AK1231" s="30" t="str">
        <f aca="false">IF(OR(S1231="判定不能",J1231="判定不能"),"判定不能",IF(AJ1231&gt;=判定条件!$C$9,"利用可",IF(AND(S1231="停止",J1231="停止"),"両方停止","運転がそろわない")))</f>
        <v>判定不能</v>
      </c>
      <c r="AL1231" s="30" t="n">
        <v>60</v>
      </c>
      <c r="AM1231" s="30" t="n">
        <v>0</v>
      </c>
      <c r="AN1231" s="30" t="str">
        <f aca="false">IF(OR(V1231="判定不能",M1231="判定不能"),"判定不能",IF(AM1231&gt;=判定条件!$C$9,"利用可",IF(AND(V1231="停止",M1231="停止"),"両方停止","運転がそろわない")))</f>
        <v>両方停止</v>
      </c>
      <c r="AO1231" s="30" t="n">
        <v>0</v>
      </c>
      <c r="AP1231" s="30" t="n">
        <v>0</v>
      </c>
      <c r="AQ1231" s="30" t="str">
        <f aca="false">IF(OR(Y1231="判定不能",G1231="判定不能"),"判定不能",IF(AP1231&gt;=判定条件!$C$9,"利用可",IF(AND(Y1231="停止",G1231="停止"),"両方停止","運転がそろわない")))</f>
        <v>判定不能</v>
      </c>
      <c r="AR1231" s="30" t="n">
        <v>0</v>
      </c>
      <c r="AS1231" s="30" t="n">
        <v>0</v>
      </c>
      <c r="AT1231" s="30" t="str">
        <f aca="false">IF(OR(AB1231="判定不能",J1231="判定不能"),"判定不能",IF(AS1231&gt;=判定条件!$C$9,"利用可",IF(AND(AB1231="停止",J1231="停止"),"両方停止","運転がそろわない")))</f>
        <v>判定不能</v>
      </c>
      <c r="AU1231" s="30" t="n">
        <v>0</v>
      </c>
      <c r="AV1231" s="30" t="n">
        <v>0</v>
      </c>
      <c r="AW1231" s="30" t="str">
        <f aca="false">IF(OR(AE1231="判定不能",M1231="判定不能"),"判定不能",IF(AV1231&gt;=判定条件!$C$9,"利用可",IF(AND(AE1231="停止",M1231="停止"),"両方停止","運転がそろわない")))</f>
        <v>判定不能</v>
      </c>
      <c r="AX1231" s="30" t="str">
        <f aca="false">IF(AND(AH1231="利用可",AK1231="利用可",AN1231="利用可"),"利用可","不可")</f>
        <v>不可</v>
      </c>
      <c r="AY1231" s="30" t="str">
        <f aca="false">IF(AND(AQ1231="利用可",AT1231="利用可",AW1231="利用可"),"利用可","不可")</f>
        <v>不可</v>
      </c>
    </row>
    <row r="1232" customFormat="false" ht="15" hidden="false" customHeight="false" outlineLevel="0" collapsed="false">
      <c r="A1232" s="29" t="n">
        <v>46283</v>
      </c>
      <c r="B1232" s="30" t="n">
        <v>5</v>
      </c>
      <c r="C1232" s="31" t="s">
        <v>62</v>
      </c>
      <c r="D1232" s="31" t="s">
        <v>59</v>
      </c>
      <c r="E1232" s="30" t="n">
        <v>60</v>
      </c>
      <c r="F1232" s="30" t="n">
        <v>0</v>
      </c>
      <c r="G1232" s="30" t="str">
        <f aca="false">IF(E1232&lt;判定条件!$C$6,"判定不能",IF(F1232&gt;=判定条件!$C$7*E1232,"運転",IF(F1232&lt;=判定条件!$C$8*E1232,"停止","断続")))</f>
        <v>停止</v>
      </c>
      <c r="H1232" s="30" t="n">
        <v>0</v>
      </c>
      <c r="I1232" s="30" t="n">
        <v>0</v>
      </c>
      <c r="J1232" s="30" t="str">
        <f aca="false">IF(H1232&lt;判定条件!$C$6,"判定不能",IF(I1232&gt;=判定条件!$C$7*H1232,"運転",IF(I1232&lt;=判定条件!$C$8*H1232,"停止","断続")))</f>
        <v>判定不能</v>
      </c>
      <c r="K1232" s="30" t="n">
        <v>60</v>
      </c>
      <c r="L1232" s="30" t="n">
        <v>0</v>
      </c>
      <c r="M1232" s="30" t="str">
        <f aca="false">IF(K1232&lt;判定条件!$C$6,"判定不能",IF(L1232&gt;=判定条件!$C$7*K1232,"運転",IF(L1232&lt;=判定条件!$C$8*K1232,"停止","断続")))</f>
        <v>停止</v>
      </c>
      <c r="N1232" s="30" t="n">
        <v>60</v>
      </c>
      <c r="O1232" s="30" t="n">
        <v>0</v>
      </c>
      <c r="P1232" s="30" t="str">
        <f aca="false">IF(N1232&lt;判定条件!$C$6,"判定不能",IF(O1232&gt;=判定条件!$C$7*N1232,"運転",IF(O1232&lt;=判定条件!$C$8*N1232,"停止","断続")))</f>
        <v>停止</v>
      </c>
      <c r="Q1232" s="30" t="n">
        <v>60</v>
      </c>
      <c r="R1232" s="30" t="n">
        <v>0</v>
      </c>
      <c r="S1232" s="30" t="str">
        <f aca="false">IF(Q1232&lt;判定条件!$C$6,"判定不能",IF(R1232&gt;=判定条件!$C$7*Q1232,"運転",IF(R1232&lt;=判定条件!$C$8*Q1232,"停止","断続")))</f>
        <v>停止</v>
      </c>
      <c r="T1232" s="30" t="n">
        <v>60</v>
      </c>
      <c r="U1232" s="30" t="n">
        <v>0</v>
      </c>
      <c r="V1232" s="30" t="str">
        <f aca="false">IF(T1232&lt;判定条件!$C$6,"判定不能",IF(U1232&gt;=判定条件!$C$7*T1232,"運転",IF(U1232&lt;=判定条件!$C$8*T1232,"停止","断続")))</f>
        <v>停止</v>
      </c>
      <c r="W1232" s="30" t="n">
        <v>0</v>
      </c>
      <c r="X1232" s="30" t="n">
        <v>0</v>
      </c>
      <c r="Y1232" s="30" t="str">
        <f aca="false">IF(W1232&lt;判定条件!$C$6,"判定不能",IF(X1232&gt;=判定条件!$C$7*W1232,"運転",IF(X1232&lt;=判定条件!$C$8*W1232,"停止","断続")))</f>
        <v>判定不能</v>
      </c>
      <c r="Z1232" s="30" t="n">
        <v>0</v>
      </c>
      <c r="AA1232" s="30" t="n">
        <v>0</v>
      </c>
      <c r="AB1232" s="30" t="str">
        <f aca="false">IF(Z1232&lt;判定条件!$C$6,"判定不能",IF(AA1232&gt;=判定条件!$C$7*Z1232,"運転",IF(AA1232&lt;=判定条件!$C$8*Z1232,"停止","断続")))</f>
        <v>判定不能</v>
      </c>
      <c r="AC1232" s="30" t="n">
        <v>0</v>
      </c>
      <c r="AD1232" s="30" t="n">
        <v>0</v>
      </c>
      <c r="AE1232" s="30" t="str">
        <f aca="false">IF(AC1232&lt;判定条件!$C$6,"判定不能",IF(AD1232&gt;=判定条件!$C$7*AC1232,"運転",IF(AD1232&lt;=判定条件!$C$8*AC1232,"停止","断続")))</f>
        <v>判定不能</v>
      </c>
      <c r="AF1232" s="30" t="n">
        <v>60</v>
      </c>
      <c r="AG1232" s="30" t="n">
        <v>0</v>
      </c>
      <c r="AH1232" s="30" t="str">
        <f aca="false">IF(OR(P1232="判定不能",G1232="判定不能"),"判定不能",IF(AG1232&gt;=判定条件!$C$9,"利用可",IF(AND(P1232="停止",G1232="停止"),"両方停止","運転がそろわない")))</f>
        <v>両方停止</v>
      </c>
      <c r="AI1232" s="30" t="n">
        <v>0</v>
      </c>
      <c r="AJ1232" s="30" t="n">
        <v>0</v>
      </c>
      <c r="AK1232" s="30" t="str">
        <f aca="false">IF(OR(S1232="判定不能",J1232="判定不能"),"判定不能",IF(AJ1232&gt;=判定条件!$C$9,"利用可",IF(AND(S1232="停止",J1232="停止"),"両方停止","運転がそろわない")))</f>
        <v>判定不能</v>
      </c>
      <c r="AL1232" s="30" t="n">
        <v>60</v>
      </c>
      <c r="AM1232" s="30" t="n">
        <v>0</v>
      </c>
      <c r="AN1232" s="30" t="str">
        <f aca="false">IF(OR(V1232="判定不能",M1232="判定不能"),"判定不能",IF(AM1232&gt;=判定条件!$C$9,"利用可",IF(AND(V1232="停止",M1232="停止"),"両方停止","運転がそろわない")))</f>
        <v>両方停止</v>
      </c>
      <c r="AO1232" s="30" t="n">
        <v>0</v>
      </c>
      <c r="AP1232" s="30" t="n">
        <v>0</v>
      </c>
      <c r="AQ1232" s="30" t="str">
        <f aca="false">IF(OR(Y1232="判定不能",G1232="判定不能"),"判定不能",IF(AP1232&gt;=判定条件!$C$9,"利用可",IF(AND(Y1232="停止",G1232="停止"),"両方停止","運転がそろわない")))</f>
        <v>判定不能</v>
      </c>
      <c r="AR1232" s="30" t="n">
        <v>0</v>
      </c>
      <c r="AS1232" s="30" t="n">
        <v>0</v>
      </c>
      <c r="AT1232" s="30" t="str">
        <f aca="false">IF(OR(AB1232="判定不能",J1232="判定不能"),"判定不能",IF(AS1232&gt;=判定条件!$C$9,"利用可",IF(AND(AB1232="停止",J1232="停止"),"両方停止","運転がそろわない")))</f>
        <v>判定不能</v>
      </c>
      <c r="AU1232" s="30" t="n">
        <v>0</v>
      </c>
      <c r="AV1232" s="30" t="n">
        <v>0</v>
      </c>
      <c r="AW1232" s="30" t="str">
        <f aca="false">IF(OR(AE1232="判定不能",M1232="判定不能"),"判定不能",IF(AV1232&gt;=判定条件!$C$9,"利用可",IF(AND(AE1232="停止",M1232="停止"),"両方停止","運転がそろわない")))</f>
        <v>判定不能</v>
      </c>
      <c r="AX1232" s="30" t="str">
        <f aca="false">IF(AND(AH1232="利用可",AK1232="利用可",AN1232="利用可"),"利用可","不可")</f>
        <v>不可</v>
      </c>
      <c r="AY1232" s="30" t="str">
        <f aca="false">IF(AND(AQ1232="利用可",AT1232="利用可",AW1232="利用可"),"利用可","不可")</f>
        <v>不可</v>
      </c>
    </row>
    <row r="1233" customFormat="false" ht="15" hidden="false" customHeight="false" outlineLevel="0" collapsed="false">
      <c r="A1233" s="29" t="n">
        <v>46283</v>
      </c>
      <c r="B1233" s="30" t="n">
        <v>6</v>
      </c>
      <c r="C1233" s="31" t="s">
        <v>62</v>
      </c>
      <c r="D1233" s="31" t="s">
        <v>59</v>
      </c>
      <c r="E1233" s="30" t="n">
        <v>60</v>
      </c>
      <c r="F1233" s="30" t="n">
        <v>0</v>
      </c>
      <c r="G1233" s="30" t="str">
        <f aca="false">IF(E1233&lt;判定条件!$C$6,"判定不能",IF(F1233&gt;=判定条件!$C$7*E1233,"運転",IF(F1233&lt;=判定条件!$C$8*E1233,"停止","断続")))</f>
        <v>停止</v>
      </c>
      <c r="H1233" s="30" t="n">
        <v>0</v>
      </c>
      <c r="I1233" s="30" t="n">
        <v>0</v>
      </c>
      <c r="J1233" s="30" t="str">
        <f aca="false">IF(H1233&lt;判定条件!$C$6,"判定不能",IF(I1233&gt;=判定条件!$C$7*H1233,"運転",IF(I1233&lt;=判定条件!$C$8*H1233,"停止","断続")))</f>
        <v>判定不能</v>
      </c>
      <c r="K1233" s="30" t="n">
        <v>60</v>
      </c>
      <c r="L1233" s="30" t="n">
        <v>8</v>
      </c>
      <c r="M1233" s="30" t="str">
        <f aca="false">IF(K1233&lt;判定条件!$C$6,"判定不能",IF(L1233&gt;=判定条件!$C$7*K1233,"運転",IF(L1233&lt;=判定条件!$C$8*K1233,"停止","断続")))</f>
        <v>停止</v>
      </c>
      <c r="N1233" s="30" t="n">
        <v>60</v>
      </c>
      <c r="O1233" s="30" t="n">
        <v>7</v>
      </c>
      <c r="P1233" s="30" t="str">
        <f aca="false">IF(N1233&lt;判定条件!$C$6,"判定不能",IF(O1233&gt;=判定条件!$C$7*N1233,"運転",IF(O1233&lt;=判定条件!$C$8*N1233,"停止","断続")))</f>
        <v>停止</v>
      </c>
      <c r="Q1233" s="30" t="n">
        <v>60</v>
      </c>
      <c r="R1233" s="30" t="n">
        <v>6</v>
      </c>
      <c r="S1233" s="30" t="str">
        <f aca="false">IF(Q1233&lt;判定条件!$C$6,"判定不能",IF(R1233&gt;=判定条件!$C$7*Q1233,"運転",IF(R1233&lt;=判定条件!$C$8*Q1233,"停止","断続")))</f>
        <v>停止</v>
      </c>
      <c r="T1233" s="30" t="n">
        <v>60</v>
      </c>
      <c r="U1233" s="30" t="n">
        <v>23</v>
      </c>
      <c r="V1233" s="30" t="str">
        <f aca="false">IF(T1233&lt;判定条件!$C$6,"判定不能",IF(U1233&gt;=判定条件!$C$7*T1233,"運転",IF(U1233&lt;=判定条件!$C$8*T1233,"停止","断続")))</f>
        <v>断続</v>
      </c>
      <c r="W1233" s="30" t="n">
        <v>0</v>
      </c>
      <c r="X1233" s="30" t="n">
        <v>0</v>
      </c>
      <c r="Y1233" s="30" t="str">
        <f aca="false">IF(W1233&lt;判定条件!$C$6,"判定不能",IF(X1233&gt;=判定条件!$C$7*W1233,"運転",IF(X1233&lt;=判定条件!$C$8*W1233,"停止","断続")))</f>
        <v>判定不能</v>
      </c>
      <c r="Z1233" s="30" t="n">
        <v>0</v>
      </c>
      <c r="AA1233" s="30" t="n">
        <v>0</v>
      </c>
      <c r="AB1233" s="30" t="str">
        <f aca="false">IF(Z1233&lt;判定条件!$C$6,"判定不能",IF(AA1233&gt;=判定条件!$C$7*Z1233,"運転",IF(AA1233&lt;=判定条件!$C$8*Z1233,"停止","断続")))</f>
        <v>判定不能</v>
      </c>
      <c r="AC1233" s="30" t="n">
        <v>0</v>
      </c>
      <c r="AD1233" s="30" t="n">
        <v>0</v>
      </c>
      <c r="AE1233" s="30" t="str">
        <f aca="false">IF(AC1233&lt;判定条件!$C$6,"判定不能",IF(AD1233&gt;=判定条件!$C$7*AC1233,"運転",IF(AD1233&lt;=判定条件!$C$8*AC1233,"停止","断続")))</f>
        <v>判定不能</v>
      </c>
      <c r="AF1233" s="30" t="n">
        <v>60</v>
      </c>
      <c r="AG1233" s="30" t="n">
        <v>0</v>
      </c>
      <c r="AH1233" s="30" t="str">
        <f aca="false">IF(OR(P1233="判定不能",G1233="判定不能"),"判定不能",IF(AG1233&gt;=判定条件!$C$9,"利用可",IF(AND(P1233="停止",G1233="停止"),"両方停止","運転がそろわない")))</f>
        <v>両方停止</v>
      </c>
      <c r="AI1233" s="30" t="n">
        <v>0</v>
      </c>
      <c r="AJ1233" s="30" t="n">
        <v>0</v>
      </c>
      <c r="AK1233" s="30" t="str">
        <f aca="false">IF(OR(S1233="判定不能",J1233="判定不能"),"判定不能",IF(AJ1233&gt;=判定条件!$C$9,"利用可",IF(AND(S1233="停止",J1233="停止"),"両方停止","運転がそろわない")))</f>
        <v>判定不能</v>
      </c>
      <c r="AL1233" s="30" t="n">
        <v>60</v>
      </c>
      <c r="AM1233" s="30" t="n">
        <v>8</v>
      </c>
      <c r="AN1233" s="30" t="str">
        <f aca="false">IF(OR(V1233="判定不能",M1233="判定不能"),"判定不能",IF(AM1233&gt;=判定条件!$C$9,"利用可",IF(AND(V1233="停止",M1233="停止"),"両方停止","運転がそろわない")))</f>
        <v>運転がそろわない</v>
      </c>
      <c r="AO1233" s="30" t="n">
        <v>0</v>
      </c>
      <c r="AP1233" s="30" t="n">
        <v>0</v>
      </c>
      <c r="AQ1233" s="30" t="str">
        <f aca="false">IF(OR(Y1233="判定不能",G1233="判定不能"),"判定不能",IF(AP1233&gt;=判定条件!$C$9,"利用可",IF(AND(Y1233="停止",G1233="停止"),"両方停止","運転がそろわない")))</f>
        <v>判定不能</v>
      </c>
      <c r="AR1233" s="30" t="n">
        <v>0</v>
      </c>
      <c r="AS1233" s="30" t="n">
        <v>0</v>
      </c>
      <c r="AT1233" s="30" t="str">
        <f aca="false">IF(OR(AB1233="判定不能",J1233="判定不能"),"判定不能",IF(AS1233&gt;=判定条件!$C$9,"利用可",IF(AND(AB1233="停止",J1233="停止"),"両方停止","運転がそろわない")))</f>
        <v>判定不能</v>
      </c>
      <c r="AU1233" s="30" t="n">
        <v>0</v>
      </c>
      <c r="AV1233" s="30" t="n">
        <v>0</v>
      </c>
      <c r="AW1233" s="30" t="str">
        <f aca="false">IF(OR(AE1233="判定不能",M1233="判定不能"),"判定不能",IF(AV1233&gt;=判定条件!$C$9,"利用可",IF(AND(AE1233="停止",M1233="停止"),"両方停止","運転がそろわない")))</f>
        <v>判定不能</v>
      </c>
      <c r="AX1233" s="30" t="str">
        <f aca="false">IF(AND(AH1233="利用可",AK1233="利用可",AN1233="利用可"),"利用可","不可")</f>
        <v>不可</v>
      </c>
      <c r="AY1233" s="30" t="str">
        <f aca="false">IF(AND(AQ1233="利用可",AT1233="利用可",AW1233="利用可"),"利用可","不可")</f>
        <v>不可</v>
      </c>
    </row>
    <row r="1234" customFormat="false" ht="15" hidden="false" customHeight="false" outlineLevel="0" collapsed="false">
      <c r="A1234" s="29" t="n">
        <v>46283</v>
      </c>
      <c r="B1234" s="30" t="n">
        <v>7</v>
      </c>
      <c r="C1234" s="31" t="s">
        <v>62</v>
      </c>
      <c r="D1234" s="31" t="s">
        <v>59</v>
      </c>
      <c r="E1234" s="30" t="n">
        <v>60</v>
      </c>
      <c r="F1234" s="30" t="n">
        <v>0</v>
      </c>
      <c r="G1234" s="30" t="str">
        <f aca="false">IF(E1234&lt;判定条件!$C$6,"判定不能",IF(F1234&gt;=判定条件!$C$7*E1234,"運転",IF(F1234&lt;=判定条件!$C$8*E1234,"停止","断続")))</f>
        <v>停止</v>
      </c>
      <c r="H1234" s="30" t="n">
        <v>0</v>
      </c>
      <c r="I1234" s="30" t="n">
        <v>0</v>
      </c>
      <c r="J1234" s="30" t="str">
        <f aca="false">IF(H1234&lt;判定条件!$C$6,"判定不能",IF(I1234&gt;=判定条件!$C$7*H1234,"運転",IF(I1234&lt;=判定条件!$C$8*H1234,"停止","断続")))</f>
        <v>判定不能</v>
      </c>
      <c r="K1234" s="30" t="n">
        <v>60</v>
      </c>
      <c r="L1234" s="30" t="n">
        <v>0</v>
      </c>
      <c r="M1234" s="30" t="str">
        <f aca="false">IF(K1234&lt;判定条件!$C$6,"判定不能",IF(L1234&gt;=判定条件!$C$7*K1234,"運転",IF(L1234&lt;=判定条件!$C$8*K1234,"停止","断続")))</f>
        <v>停止</v>
      </c>
      <c r="N1234" s="30" t="n">
        <v>60</v>
      </c>
      <c r="O1234" s="30" t="n">
        <v>47</v>
      </c>
      <c r="P1234" s="30" t="str">
        <f aca="false">IF(N1234&lt;判定条件!$C$6,"判定不能",IF(O1234&gt;=判定条件!$C$7*N1234,"運転",IF(O1234&lt;=判定条件!$C$8*N1234,"停止","断続")))</f>
        <v>断続</v>
      </c>
      <c r="Q1234" s="30" t="n">
        <v>60</v>
      </c>
      <c r="R1234" s="30" t="n">
        <v>59</v>
      </c>
      <c r="S1234" s="30" t="str">
        <f aca="false">IF(Q1234&lt;判定条件!$C$6,"判定不能",IF(R1234&gt;=判定条件!$C$7*Q1234,"運転",IF(R1234&lt;=判定条件!$C$8*Q1234,"停止","断続")))</f>
        <v>運転</v>
      </c>
      <c r="T1234" s="30" t="n">
        <v>60</v>
      </c>
      <c r="U1234" s="30" t="n">
        <v>22</v>
      </c>
      <c r="V1234" s="30" t="str">
        <f aca="false">IF(T1234&lt;判定条件!$C$6,"判定不能",IF(U1234&gt;=判定条件!$C$7*T1234,"運転",IF(U1234&lt;=判定条件!$C$8*T1234,"停止","断続")))</f>
        <v>断続</v>
      </c>
      <c r="W1234" s="30" t="n">
        <v>0</v>
      </c>
      <c r="X1234" s="30" t="n">
        <v>0</v>
      </c>
      <c r="Y1234" s="30" t="str">
        <f aca="false">IF(W1234&lt;判定条件!$C$6,"判定不能",IF(X1234&gt;=判定条件!$C$7*W1234,"運転",IF(X1234&lt;=判定条件!$C$8*W1234,"停止","断続")))</f>
        <v>判定不能</v>
      </c>
      <c r="Z1234" s="30" t="n">
        <v>0</v>
      </c>
      <c r="AA1234" s="30" t="n">
        <v>0</v>
      </c>
      <c r="AB1234" s="30" t="str">
        <f aca="false">IF(Z1234&lt;判定条件!$C$6,"判定不能",IF(AA1234&gt;=判定条件!$C$7*Z1234,"運転",IF(AA1234&lt;=判定条件!$C$8*Z1234,"停止","断続")))</f>
        <v>判定不能</v>
      </c>
      <c r="AC1234" s="30" t="n">
        <v>0</v>
      </c>
      <c r="AD1234" s="30" t="n">
        <v>0</v>
      </c>
      <c r="AE1234" s="30" t="str">
        <f aca="false">IF(AC1234&lt;判定条件!$C$6,"判定不能",IF(AD1234&gt;=判定条件!$C$7*AC1234,"運転",IF(AD1234&lt;=判定条件!$C$8*AC1234,"停止","断続")))</f>
        <v>判定不能</v>
      </c>
      <c r="AF1234" s="30" t="n">
        <v>60</v>
      </c>
      <c r="AG1234" s="30" t="n">
        <v>0</v>
      </c>
      <c r="AH1234" s="30" t="str">
        <f aca="false">IF(OR(P1234="判定不能",G1234="判定不能"),"判定不能",IF(AG1234&gt;=判定条件!$C$9,"利用可",IF(AND(P1234="停止",G1234="停止"),"両方停止","運転がそろわない")))</f>
        <v>運転がそろわない</v>
      </c>
      <c r="AI1234" s="30" t="n">
        <v>0</v>
      </c>
      <c r="AJ1234" s="30" t="n">
        <v>0</v>
      </c>
      <c r="AK1234" s="30" t="str">
        <f aca="false">IF(OR(S1234="判定不能",J1234="判定不能"),"判定不能",IF(AJ1234&gt;=判定条件!$C$9,"利用可",IF(AND(S1234="停止",J1234="停止"),"両方停止","運転がそろわない")))</f>
        <v>判定不能</v>
      </c>
      <c r="AL1234" s="30" t="n">
        <v>60</v>
      </c>
      <c r="AM1234" s="30" t="n">
        <v>0</v>
      </c>
      <c r="AN1234" s="30" t="str">
        <f aca="false">IF(OR(V1234="判定不能",M1234="判定不能"),"判定不能",IF(AM1234&gt;=判定条件!$C$9,"利用可",IF(AND(V1234="停止",M1234="停止"),"両方停止","運転がそろわない")))</f>
        <v>運転がそろわない</v>
      </c>
      <c r="AO1234" s="30" t="n">
        <v>0</v>
      </c>
      <c r="AP1234" s="30" t="n">
        <v>0</v>
      </c>
      <c r="AQ1234" s="30" t="str">
        <f aca="false">IF(OR(Y1234="判定不能",G1234="判定不能"),"判定不能",IF(AP1234&gt;=判定条件!$C$9,"利用可",IF(AND(Y1234="停止",G1234="停止"),"両方停止","運転がそろわない")))</f>
        <v>判定不能</v>
      </c>
      <c r="AR1234" s="30" t="n">
        <v>0</v>
      </c>
      <c r="AS1234" s="30" t="n">
        <v>0</v>
      </c>
      <c r="AT1234" s="30" t="str">
        <f aca="false">IF(OR(AB1234="判定不能",J1234="判定不能"),"判定不能",IF(AS1234&gt;=判定条件!$C$9,"利用可",IF(AND(AB1234="停止",J1234="停止"),"両方停止","運転がそろわない")))</f>
        <v>判定不能</v>
      </c>
      <c r="AU1234" s="30" t="n">
        <v>0</v>
      </c>
      <c r="AV1234" s="30" t="n">
        <v>0</v>
      </c>
      <c r="AW1234" s="30" t="str">
        <f aca="false">IF(OR(AE1234="判定不能",M1234="判定不能"),"判定不能",IF(AV1234&gt;=判定条件!$C$9,"利用可",IF(AND(AE1234="停止",M1234="停止"),"両方停止","運転がそろわない")))</f>
        <v>判定不能</v>
      </c>
      <c r="AX1234" s="30" t="str">
        <f aca="false">IF(AND(AH1234="利用可",AK1234="利用可",AN1234="利用可"),"利用可","不可")</f>
        <v>不可</v>
      </c>
      <c r="AY1234" s="30" t="str">
        <f aca="false">IF(AND(AQ1234="利用可",AT1234="利用可",AW1234="利用可"),"利用可","不可")</f>
        <v>不可</v>
      </c>
    </row>
    <row r="1235" customFormat="false" ht="15" hidden="false" customHeight="false" outlineLevel="0" collapsed="false">
      <c r="A1235" s="29" t="n">
        <v>46283</v>
      </c>
      <c r="B1235" s="30" t="n">
        <v>8</v>
      </c>
      <c r="C1235" s="31" t="s">
        <v>62</v>
      </c>
      <c r="D1235" s="31" t="s">
        <v>59</v>
      </c>
      <c r="E1235" s="30" t="n">
        <v>60</v>
      </c>
      <c r="F1235" s="30" t="n">
        <v>0</v>
      </c>
      <c r="G1235" s="30" t="str">
        <f aca="false">IF(E1235&lt;判定条件!$C$6,"判定不能",IF(F1235&gt;=判定条件!$C$7*E1235,"運転",IF(F1235&lt;=判定条件!$C$8*E1235,"停止","断続")))</f>
        <v>停止</v>
      </c>
      <c r="H1235" s="30" t="n">
        <v>0</v>
      </c>
      <c r="I1235" s="30" t="n">
        <v>0</v>
      </c>
      <c r="J1235" s="30" t="str">
        <f aca="false">IF(H1235&lt;判定条件!$C$6,"判定不能",IF(I1235&gt;=判定条件!$C$7*H1235,"運転",IF(I1235&lt;=判定条件!$C$8*H1235,"停止","断続")))</f>
        <v>判定不能</v>
      </c>
      <c r="K1235" s="30" t="n">
        <v>60</v>
      </c>
      <c r="L1235" s="30" t="n">
        <v>0</v>
      </c>
      <c r="M1235" s="30" t="str">
        <f aca="false">IF(K1235&lt;判定条件!$C$6,"判定不能",IF(L1235&gt;=判定条件!$C$7*K1235,"運転",IF(L1235&lt;=判定条件!$C$8*K1235,"停止","断続")))</f>
        <v>停止</v>
      </c>
      <c r="N1235" s="30" t="n">
        <v>60</v>
      </c>
      <c r="O1235" s="30" t="n">
        <v>37</v>
      </c>
      <c r="P1235" s="30" t="str">
        <f aca="false">IF(N1235&lt;判定条件!$C$6,"判定不能",IF(O1235&gt;=判定条件!$C$7*N1235,"運転",IF(O1235&lt;=判定条件!$C$8*N1235,"停止","断続")))</f>
        <v>断続</v>
      </c>
      <c r="Q1235" s="30" t="n">
        <v>60</v>
      </c>
      <c r="R1235" s="30" t="n">
        <v>40</v>
      </c>
      <c r="S1235" s="30" t="str">
        <f aca="false">IF(Q1235&lt;判定条件!$C$6,"判定不能",IF(R1235&gt;=判定条件!$C$7*Q1235,"運転",IF(R1235&lt;=判定条件!$C$8*Q1235,"停止","断続")))</f>
        <v>断続</v>
      </c>
      <c r="T1235" s="30" t="n">
        <v>60</v>
      </c>
      <c r="U1235" s="30" t="n">
        <v>60</v>
      </c>
      <c r="V1235" s="30" t="str">
        <f aca="false">IF(T1235&lt;判定条件!$C$6,"判定不能",IF(U1235&gt;=判定条件!$C$7*T1235,"運転",IF(U1235&lt;=判定条件!$C$8*T1235,"停止","断続")))</f>
        <v>運転</v>
      </c>
      <c r="W1235" s="30" t="n">
        <v>0</v>
      </c>
      <c r="X1235" s="30" t="n">
        <v>0</v>
      </c>
      <c r="Y1235" s="30" t="str">
        <f aca="false">IF(W1235&lt;判定条件!$C$6,"判定不能",IF(X1235&gt;=判定条件!$C$7*W1235,"運転",IF(X1235&lt;=判定条件!$C$8*W1235,"停止","断続")))</f>
        <v>判定不能</v>
      </c>
      <c r="Z1235" s="30" t="n">
        <v>0</v>
      </c>
      <c r="AA1235" s="30" t="n">
        <v>0</v>
      </c>
      <c r="AB1235" s="30" t="str">
        <f aca="false">IF(Z1235&lt;判定条件!$C$6,"判定不能",IF(AA1235&gt;=判定条件!$C$7*Z1235,"運転",IF(AA1235&lt;=判定条件!$C$8*Z1235,"停止","断続")))</f>
        <v>判定不能</v>
      </c>
      <c r="AC1235" s="30" t="n">
        <v>0</v>
      </c>
      <c r="AD1235" s="30" t="n">
        <v>0</v>
      </c>
      <c r="AE1235" s="30" t="str">
        <f aca="false">IF(AC1235&lt;判定条件!$C$6,"判定不能",IF(AD1235&gt;=判定条件!$C$7*AC1235,"運転",IF(AD1235&lt;=判定条件!$C$8*AC1235,"停止","断続")))</f>
        <v>判定不能</v>
      </c>
      <c r="AF1235" s="30" t="n">
        <v>60</v>
      </c>
      <c r="AG1235" s="30" t="n">
        <v>0</v>
      </c>
      <c r="AH1235" s="30" t="str">
        <f aca="false">IF(OR(P1235="判定不能",G1235="判定不能"),"判定不能",IF(AG1235&gt;=判定条件!$C$9,"利用可",IF(AND(P1235="停止",G1235="停止"),"両方停止","運転がそろわない")))</f>
        <v>運転がそろわない</v>
      </c>
      <c r="AI1235" s="30" t="n">
        <v>0</v>
      </c>
      <c r="AJ1235" s="30" t="n">
        <v>0</v>
      </c>
      <c r="AK1235" s="30" t="str">
        <f aca="false">IF(OR(S1235="判定不能",J1235="判定不能"),"判定不能",IF(AJ1235&gt;=判定条件!$C$9,"利用可",IF(AND(S1235="停止",J1235="停止"),"両方停止","運転がそろわない")))</f>
        <v>判定不能</v>
      </c>
      <c r="AL1235" s="30" t="n">
        <v>60</v>
      </c>
      <c r="AM1235" s="30" t="n">
        <v>0</v>
      </c>
      <c r="AN1235" s="30" t="str">
        <f aca="false">IF(OR(V1235="判定不能",M1235="判定不能"),"判定不能",IF(AM1235&gt;=判定条件!$C$9,"利用可",IF(AND(V1235="停止",M1235="停止"),"両方停止","運転がそろわない")))</f>
        <v>運転がそろわない</v>
      </c>
      <c r="AO1235" s="30" t="n">
        <v>0</v>
      </c>
      <c r="AP1235" s="30" t="n">
        <v>0</v>
      </c>
      <c r="AQ1235" s="30" t="str">
        <f aca="false">IF(OR(Y1235="判定不能",G1235="判定不能"),"判定不能",IF(AP1235&gt;=判定条件!$C$9,"利用可",IF(AND(Y1235="停止",G1235="停止"),"両方停止","運転がそろわない")))</f>
        <v>判定不能</v>
      </c>
      <c r="AR1235" s="30" t="n">
        <v>0</v>
      </c>
      <c r="AS1235" s="30" t="n">
        <v>0</v>
      </c>
      <c r="AT1235" s="30" t="str">
        <f aca="false">IF(OR(AB1235="判定不能",J1235="判定不能"),"判定不能",IF(AS1235&gt;=判定条件!$C$9,"利用可",IF(AND(AB1235="停止",J1235="停止"),"両方停止","運転がそろわない")))</f>
        <v>判定不能</v>
      </c>
      <c r="AU1235" s="30" t="n">
        <v>0</v>
      </c>
      <c r="AV1235" s="30" t="n">
        <v>0</v>
      </c>
      <c r="AW1235" s="30" t="str">
        <f aca="false">IF(OR(AE1235="判定不能",M1235="判定不能"),"判定不能",IF(AV1235&gt;=判定条件!$C$9,"利用可",IF(AND(AE1235="停止",M1235="停止"),"両方停止","運転がそろわない")))</f>
        <v>判定不能</v>
      </c>
      <c r="AX1235" s="30" t="str">
        <f aca="false">IF(AND(AH1235="利用可",AK1235="利用可",AN1235="利用可"),"利用可","不可")</f>
        <v>不可</v>
      </c>
      <c r="AY1235" s="30" t="str">
        <f aca="false">IF(AND(AQ1235="利用可",AT1235="利用可",AW1235="利用可"),"利用可","不可")</f>
        <v>不可</v>
      </c>
    </row>
    <row r="1236" customFormat="false" ht="15" hidden="false" customHeight="false" outlineLevel="0" collapsed="false">
      <c r="A1236" s="29" t="n">
        <v>46283</v>
      </c>
      <c r="B1236" s="30" t="n">
        <v>9</v>
      </c>
      <c r="C1236" s="31" t="s">
        <v>62</v>
      </c>
      <c r="D1236" s="31" t="s">
        <v>59</v>
      </c>
      <c r="E1236" s="30" t="n">
        <v>60</v>
      </c>
      <c r="F1236" s="30" t="n">
        <v>25</v>
      </c>
      <c r="G1236" s="30" t="str">
        <f aca="false">IF(E1236&lt;判定条件!$C$6,"判定不能",IF(F1236&gt;=判定条件!$C$7*E1236,"運転",IF(F1236&lt;=判定条件!$C$8*E1236,"停止","断続")))</f>
        <v>断続</v>
      </c>
      <c r="H1236" s="30" t="n">
        <v>0</v>
      </c>
      <c r="I1236" s="30" t="n">
        <v>0</v>
      </c>
      <c r="J1236" s="30" t="str">
        <f aca="false">IF(H1236&lt;判定条件!$C$6,"判定不能",IF(I1236&gt;=判定条件!$C$7*H1236,"運転",IF(I1236&lt;=判定条件!$C$8*H1236,"停止","断続")))</f>
        <v>判定不能</v>
      </c>
      <c r="K1236" s="30" t="n">
        <v>60</v>
      </c>
      <c r="L1236" s="30" t="n">
        <v>47</v>
      </c>
      <c r="M1236" s="30" t="str">
        <f aca="false">IF(K1236&lt;判定条件!$C$6,"判定不能",IF(L1236&gt;=判定条件!$C$7*K1236,"運転",IF(L1236&lt;=判定条件!$C$8*K1236,"停止","断続")))</f>
        <v>断続</v>
      </c>
      <c r="N1236" s="30" t="n">
        <v>60</v>
      </c>
      <c r="O1236" s="30" t="n">
        <v>60</v>
      </c>
      <c r="P1236" s="30" t="str">
        <f aca="false">IF(N1236&lt;判定条件!$C$6,"判定不能",IF(O1236&gt;=判定条件!$C$7*N1236,"運転",IF(O1236&lt;=判定条件!$C$8*N1236,"停止","断続")))</f>
        <v>運転</v>
      </c>
      <c r="Q1236" s="30" t="n">
        <v>60</v>
      </c>
      <c r="R1236" s="30" t="n">
        <v>53</v>
      </c>
      <c r="S1236" s="30" t="str">
        <f aca="false">IF(Q1236&lt;判定条件!$C$6,"判定不能",IF(R1236&gt;=判定条件!$C$7*Q1236,"運転",IF(R1236&lt;=判定条件!$C$8*Q1236,"停止","断続")))</f>
        <v>運転</v>
      </c>
      <c r="T1236" s="30" t="n">
        <v>60</v>
      </c>
      <c r="U1236" s="30" t="n">
        <v>60</v>
      </c>
      <c r="V1236" s="30" t="str">
        <f aca="false">IF(T1236&lt;判定条件!$C$6,"判定不能",IF(U1236&gt;=判定条件!$C$7*T1236,"運転",IF(U1236&lt;=判定条件!$C$8*T1236,"停止","断続")))</f>
        <v>運転</v>
      </c>
      <c r="W1236" s="30" t="n">
        <v>0</v>
      </c>
      <c r="X1236" s="30" t="n">
        <v>0</v>
      </c>
      <c r="Y1236" s="30" t="str">
        <f aca="false">IF(W1236&lt;判定条件!$C$6,"判定不能",IF(X1236&gt;=判定条件!$C$7*W1236,"運転",IF(X1236&lt;=判定条件!$C$8*W1236,"停止","断続")))</f>
        <v>判定不能</v>
      </c>
      <c r="Z1236" s="30" t="n">
        <v>0</v>
      </c>
      <c r="AA1236" s="30" t="n">
        <v>0</v>
      </c>
      <c r="AB1236" s="30" t="str">
        <f aca="false">IF(Z1236&lt;判定条件!$C$6,"判定不能",IF(AA1236&gt;=判定条件!$C$7*Z1236,"運転",IF(AA1236&lt;=判定条件!$C$8*Z1236,"停止","断続")))</f>
        <v>判定不能</v>
      </c>
      <c r="AC1236" s="30" t="n">
        <v>0</v>
      </c>
      <c r="AD1236" s="30" t="n">
        <v>0</v>
      </c>
      <c r="AE1236" s="30" t="str">
        <f aca="false">IF(AC1236&lt;判定条件!$C$6,"判定不能",IF(AD1236&gt;=判定条件!$C$7*AC1236,"運転",IF(AD1236&lt;=判定条件!$C$8*AC1236,"停止","断続")))</f>
        <v>判定不能</v>
      </c>
      <c r="AF1236" s="30" t="n">
        <v>60</v>
      </c>
      <c r="AG1236" s="30" t="n">
        <v>25</v>
      </c>
      <c r="AH1236" s="30" t="str">
        <f aca="false">IF(OR(P1236="判定不能",G1236="判定不能"),"判定不能",IF(AG1236&gt;=判定条件!$C$9,"利用可",IF(AND(P1236="停止",G1236="停止"),"両方停止","運転がそろわない")))</f>
        <v>運転がそろわない</v>
      </c>
      <c r="AI1236" s="30" t="n">
        <v>0</v>
      </c>
      <c r="AJ1236" s="30" t="n">
        <v>0</v>
      </c>
      <c r="AK1236" s="30" t="str">
        <f aca="false">IF(OR(S1236="判定不能",J1236="判定不能"),"判定不能",IF(AJ1236&gt;=判定条件!$C$9,"利用可",IF(AND(S1236="停止",J1236="停止"),"両方停止","運転がそろわない")))</f>
        <v>判定不能</v>
      </c>
      <c r="AL1236" s="30" t="n">
        <v>60</v>
      </c>
      <c r="AM1236" s="30" t="n">
        <v>47</v>
      </c>
      <c r="AN1236" s="30" t="str">
        <f aca="false">IF(OR(V1236="判定不能",M1236="判定不能"),"判定不能",IF(AM1236&gt;=判定条件!$C$9,"利用可",IF(AND(V1236="停止",M1236="停止"),"両方停止","運転がそろわない")))</f>
        <v>利用可</v>
      </c>
      <c r="AO1236" s="30" t="n">
        <v>0</v>
      </c>
      <c r="AP1236" s="30" t="n">
        <v>0</v>
      </c>
      <c r="AQ1236" s="30" t="str">
        <f aca="false">IF(OR(Y1236="判定不能",G1236="判定不能"),"判定不能",IF(AP1236&gt;=判定条件!$C$9,"利用可",IF(AND(Y1236="停止",G1236="停止"),"両方停止","運転がそろわない")))</f>
        <v>判定不能</v>
      </c>
      <c r="AR1236" s="30" t="n">
        <v>0</v>
      </c>
      <c r="AS1236" s="30" t="n">
        <v>0</v>
      </c>
      <c r="AT1236" s="30" t="str">
        <f aca="false">IF(OR(AB1236="判定不能",J1236="判定不能"),"判定不能",IF(AS1236&gt;=判定条件!$C$9,"利用可",IF(AND(AB1236="停止",J1236="停止"),"両方停止","運転がそろわない")))</f>
        <v>判定不能</v>
      </c>
      <c r="AU1236" s="30" t="n">
        <v>0</v>
      </c>
      <c r="AV1236" s="30" t="n">
        <v>0</v>
      </c>
      <c r="AW1236" s="30" t="str">
        <f aca="false">IF(OR(AE1236="判定不能",M1236="判定不能"),"判定不能",IF(AV1236&gt;=判定条件!$C$9,"利用可",IF(AND(AE1236="停止",M1236="停止"),"両方停止","運転がそろわない")))</f>
        <v>判定不能</v>
      </c>
      <c r="AX1236" s="30" t="str">
        <f aca="false">IF(AND(AH1236="利用可",AK1236="利用可",AN1236="利用可"),"利用可","不可")</f>
        <v>不可</v>
      </c>
      <c r="AY1236" s="30" t="str">
        <f aca="false">IF(AND(AQ1236="利用可",AT1236="利用可",AW1236="利用可"),"利用可","不可")</f>
        <v>不可</v>
      </c>
    </row>
    <row r="1237" customFormat="false" ht="15" hidden="false" customHeight="false" outlineLevel="0" collapsed="false">
      <c r="A1237" s="29" t="n">
        <v>46283</v>
      </c>
      <c r="B1237" s="30" t="n">
        <v>10</v>
      </c>
      <c r="C1237" s="31" t="s">
        <v>62</v>
      </c>
      <c r="D1237" s="31" t="s">
        <v>59</v>
      </c>
      <c r="E1237" s="30" t="n">
        <v>60</v>
      </c>
      <c r="F1237" s="30" t="n">
        <v>0</v>
      </c>
      <c r="G1237" s="30" t="str">
        <f aca="false">IF(E1237&lt;判定条件!$C$6,"判定不能",IF(F1237&gt;=判定条件!$C$7*E1237,"運転",IF(F1237&lt;=判定条件!$C$8*E1237,"停止","断続")))</f>
        <v>停止</v>
      </c>
      <c r="H1237" s="30" t="n">
        <v>0</v>
      </c>
      <c r="I1237" s="30" t="n">
        <v>0</v>
      </c>
      <c r="J1237" s="30" t="str">
        <f aca="false">IF(H1237&lt;判定条件!$C$6,"判定不能",IF(I1237&gt;=判定条件!$C$7*H1237,"運転",IF(I1237&lt;=判定条件!$C$8*H1237,"停止","断続")))</f>
        <v>判定不能</v>
      </c>
      <c r="K1237" s="30" t="n">
        <v>60</v>
      </c>
      <c r="L1237" s="30" t="n">
        <v>60</v>
      </c>
      <c r="M1237" s="30" t="str">
        <f aca="false">IF(K1237&lt;判定条件!$C$6,"判定不能",IF(L1237&gt;=判定条件!$C$7*K1237,"運転",IF(L1237&lt;=判定条件!$C$8*K1237,"停止","断続")))</f>
        <v>運転</v>
      </c>
      <c r="N1237" s="30" t="n">
        <v>60</v>
      </c>
      <c r="O1237" s="30" t="n">
        <v>26</v>
      </c>
      <c r="P1237" s="30" t="str">
        <f aca="false">IF(N1237&lt;判定条件!$C$6,"判定不能",IF(O1237&gt;=判定条件!$C$7*N1237,"運転",IF(O1237&lt;=判定条件!$C$8*N1237,"停止","断続")))</f>
        <v>断続</v>
      </c>
      <c r="Q1237" s="30" t="n">
        <v>60</v>
      </c>
      <c r="R1237" s="30" t="n">
        <v>51</v>
      </c>
      <c r="S1237" s="30" t="str">
        <f aca="false">IF(Q1237&lt;判定条件!$C$6,"判定不能",IF(R1237&gt;=判定条件!$C$7*Q1237,"運転",IF(R1237&lt;=判定条件!$C$8*Q1237,"停止","断続")))</f>
        <v>運転</v>
      </c>
      <c r="T1237" s="30" t="n">
        <v>60</v>
      </c>
      <c r="U1237" s="30" t="n">
        <v>60</v>
      </c>
      <c r="V1237" s="30" t="str">
        <f aca="false">IF(T1237&lt;判定条件!$C$6,"判定不能",IF(U1237&gt;=判定条件!$C$7*T1237,"運転",IF(U1237&lt;=判定条件!$C$8*T1237,"停止","断続")))</f>
        <v>運転</v>
      </c>
      <c r="W1237" s="30" t="n">
        <v>0</v>
      </c>
      <c r="X1237" s="30" t="n">
        <v>0</v>
      </c>
      <c r="Y1237" s="30" t="str">
        <f aca="false">IF(W1237&lt;判定条件!$C$6,"判定不能",IF(X1237&gt;=判定条件!$C$7*W1237,"運転",IF(X1237&lt;=判定条件!$C$8*W1237,"停止","断続")))</f>
        <v>判定不能</v>
      </c>
      <c r="Z1237" s="30" t="n">
        <v>0</v>
      </c>
      <c r="AA1237" s="30" t="n">
        <v>0</v>
      </c>
      <c r="AB1237" s="30" t="str">
        <f aca="false">IF(Z1237&lt;判定条件!$C$6,"判定不能",IF(AA1237&gt;=判定条件!$C$7*Z1237,"運転",IF(AA1237&lt;=判定条件!$C$8*Z1237,"停止","断続")))</f>
        <v>判定不能</v>
      </c>
      <c r="AC1237" s="30" t="n">
        <v>0</v>
      </c>
      <c r="AD1237" s="30" t="n">
        <v>0</v>
      </c>
      <c r="AE1237" s="30" t="str">
        <f aca="false">IF(AC1237&lt;判定条件!$C$6,"判定不能",IF(AD1237&gt;=判定条件!$C$7*AC1237,"運転",IF(AD1237&lt;=判定条件!$C$8*AC1237,"停止","断続")))</f>
        <v>判定不能</v>
      </c>
      <c r="AF1237" s="30" t="n">
        <v>60</v>
      </c>
      <c r="AG1237" s="30" t="n">
        <v>0</v>
      </c>
      <c r="AH1237" s="30" t="str">
        <f aca="false">IF(OR(P1237="判定不能",G1237="判定不能"),"判定不能",IF(AG1237&gt;=判定条件!$C$9,"利用可",IF(AND(P1237="停止",G1237="停止"),"両方停止","運転がそろわない")))</f>
        <v>運転がそろわない</v>
      </c>
      <c r="AI1237" s="30" t="n">
        <v>0</v>
      </c>
      <c r="AJ1237" s="30" t="n">
        <v>0</v>
      </c>
      <c r="AK1237" s="30" t="str">
        <f aca="false">IF(OR(S1237="判定不能",J1237="判定不能"),"判定不能",IF(AJ1237&gt;=判定条件!$C$9,"利用可",IF(AND(S1237="停止",J1237="停止"),"両方停止","運転がそろわない")))</f>
        <v>判定不能</v>
      </c>
      <c r="AL1237" s="30" t="n">
        <v>60</v>
      </c>
      <c r="AM1237" s="30" t="n">
        <v>60</v>
      </c>
      <c r="AN1237" s="30" t="str">
        <f aca="false">IF(OR(V1237="判定不能",M1237="判定不能"),"判定不能",IF(AM1237&gt;=判定条件!$C$9,"利用可",IF(AND(V1237="停止",M1237="停止"),"両方停止","運転がそろわない")))</f>
        <v>利用可</v>
      </c>
      <c r="AO1237" s="30" t="n">
        <v>0</v>
      </c>
      <c r="AP1237" s="30" t="n">
        <v>0</v>
      </c>
      <c r="AQ1237" s="30" t="str">
        <f aca="false">IF(OR(Y1237="判定不能",G1237="判定不能"),"判定不能",IF(AP1237&gt;=判定条件!$C$9,"利用可",IF(AND(Y1237="停止",G1237="停止"),"両方停止","運転がそろわない")))</f>
        <v>判定不能</v>
      </c>
      <c r="AR1237" s="30" t="n">
        <v>0</v>
      </c>
      <c r="AS1237" s="30" t="n">
        <v>0</v>
      </c>
      <c r="AT1237" s="30" t="str">
        <f aca="false">IF(OR(AB1237="判定不能",J1237="判定不能"),"判定不能",IF(AS1237&gt;=判定条件!$C$9,"利用可",IF(AND(AB1237="停止",J1237="停止"),"両方停止","運転がそろわない")))</f>
        <v>判定不能</v>
      </c>
      <c r="AU1237" s="30" t="n">
        <v>0</v>
      </c>
      <c r="AV1237" s="30" t="n">
        <v>0</v>
      </c>
      <c r="AW1237" s="30" t="str">
        <f aca="false">IF(OR(AE1237="判定不能",M1237="判定不能"),"判定不能",IF(AV1237&gt;=判定条件!$C$9,"利用可",IF(AND(AE1237="停止",M1237="停止"),"両方停止","運転がそろわない")))</f>
        <v>判定不能</v>
      </c>
      <c r="AX1237" s="30" t="str">
        <f aca="false">IF(AND(AH1237="利用可",AK1237="利用可",AN1237="利用可"),"利用可","不可")</f>
        <v>不可</v>
      </c>
      <c r="AY1237" s="30" t="str">
        <f aca="false">IF(AND(AQ1237="利用可",AT1237="利用可",AW1237="利用可"),"利用可","不可")</f>
        <v>不可</v>
      </c>
    </row>
    <row r="1238" customFormat="false" ht="15" hidden="false" customHeight="false" outlineLevel="0" collapsed="false">
      <c r="A1238" s="29" t="n">
        <v>46283</v>
      </c>
      <c r="B1238" s="30" t="n">
        <v>11</v>
      </c>
      <c r="C1238" s="31" t="s">
        <v>62</v>
      </c>
      <c r="D1238" s="31" t="s">
        <v>59</v>
      </c>
      <c r="E1238" s="30" t="n">
        <v>60</v>
      </c>
      <c r="F1238" s="30" t="n">
        <v>10</v>
      </c>
      <c r="G1238" s="30" t="str">
        <f aca="false">IF(E1238&lt;判定条件!$C$6,"判定不能",IF(F1238&gt;=判定条件!$C$7*E1238,"運転",IF(F1238&lt;=判定条件!$C$8*E1238,"停止","断続")))</f>
        <v>停止</v>
      </c>
      <c r="H1238" s="30" t="n">
        <v>0</v>
      </c>
      <c r="I1238" s="30" t="n">
        <v>0</v>
      </c>
      <c r="J1238" s="30" t="str">
        <f aca="false">IF(H1238&lt;判定条件!$C$6,"判定不能",IF(I1238&gt;=判定条件!$C$7*H1238,"運転",IF(I1238&lt;=判定条件!$C$8*H1238,"停止","断続")))</f>
        <v>判定不能</v>
      </c>
      <c r="K1238" s="30" t="n">
        <v>60</v>
      </c>
      <c r="L1238" s="30" t="n">
        <v>60</v>
      </c>
      <c r="M1238" s="30" t="str">
        <f aca="false">IF(K1238&lt;判定条件!$C$6,"判定不能",IF(L1238&gt;=判定条件!$C$7*K1238,"運転",IF(L1238&lt;=判定条件!$C$8*K1238,"停止","断続")))</f>
        <v>運転</v>
      </c>
      <c r="N1238" s="30" t="n">
        <v>60</v>
      </c>
      <c r="O1238" s="30" t="n">
        <v>35</v>
      </c>
      <c r="P1238" s="30" t="str">
        <f aca="false">IF(N1238&lt;判定条件!$C$6,"判定不能",IF(O1238&gt;=判定条件!$C$7*N1238,"運転",IF(O1238&lt;=判定条件!$C$8*N1238,"停止","断続")))</f>
        <v>断続</v>
      </c>
      <c r="Q1238" s="30" t="n">
        <v>60</v>
      </c>
      <c r="R1238" s="30" t="n">
        <v>60</v>
      </c>
      <c r="S1238" s="30" t="str">
        <f aca="false">IF(Q1238&lt;判定条件!$C$6,"判定不能",IF(R1238&gt;=判定条件!$C$7*Q1238,"運転",IF(R1238&lt;=判定条件!$C$8*Q1238,"停止","断続")))</f>
        <v>運転</v>
      </c>
      <c r="T1238" s="30" t="n">
        <v>60</v>
      </c>
      <c r="U1238" s="30" t="n">
        <v>60</v>
      </c>
      <c r="V1238" s="30" t="str">
        <f aca="false">IF(T1238&lt;判定条件!$C$6,"判定不能",IF(U1238&gt;=判定条件!$C$7*T1238,"運転",IF(U1238&lt;=判定条件!$C$8*T1238,"停止","断続")))</f>
        <v>運転</v>
      </c>
      <c r="W1238" s="30" t="n">
        <v>0</v>
      </c>
      <c r="X1238" s="30" t="n">
        <v>0</v>
      </c>
      <c r="Y1238" s="30" t="str">
        <f aca="false">IF(W1238&lt;判定条件!$C$6,"判定不能",IF(X1238&gt;=判定条件!$C$7*W1238,"運転",IF(X1238&lt;=判定条件!$C$8*W1238,"停止","断続")))</f>
        <v>判定不能</v>
      </c>
      <c r="Z1238" s="30" t="n">
        <v>0</v>
      </c>
      <c r="AA1238" s="30" t="n">
        <v>0</v>
      </c>
      <c r="AB1238" s="30" t="str">
        <f aca="false">IF(Z1238&lt;判定条件!$C$6,"判定不能",IF(AA1238&gt;=判定条件!$C$7*Z1238,"運転",IF(AA1238&lt;=判定条件!$C$8*Z1238,"停止","断続")))</f>
        <v>判定不能</v>
      </c>
      <c r="AC1238" s="30" t="n">
        <v>0</v>
      </c>
      <c r="AD1238" s="30" t="n">
        <v>0</v>
      </c>
      <c r="AE1238" s="30" t="str">
        <f aca="false">IF(AC1238&lt;判定条件!$C$6,"判定不能",IF(AD1238&gt;=判定条件!$C$7*AC1238,"運転",IF(AD1238&lt;=判定条件!$C$8*AC1238,"停止","断続")))</f>
        <v>判定不能</v>
      </c>
      <c r="AF1238" s="30" t="n">
        <v>60</v>
      </c>
      <c r="AG1238" s="30" t="n">
        <v>10</v>
      </c>
      <c r="AH1238" s="30" t="str">
        <f aca="false">IF(OR(P1238="判定不能",G1238="判定不能"),"判定不能",IF(AG1238&gt;=判定条件!$C$9,"利用可",IF(AND(P1238="停止",G1238="停止"),"両方停止","運転がそろわない")))</f>
        <v>運転がそろわない</v>
      </c>
      <c r="AI1238" s="30" t="n">
        <v>0</v>
      </c>
      <c r="AJ1238" s="30" t="n">
        <v>0</v>
      </c>
      <c r="AK1238" s="30" t="str">
        <f aca="false">IF(OR(S1238="判定不能",J1238="判定不能"),"判定不能",IF(AJ1238&gt;=判定条件!$C$9,"利用可",IF(AND(S1238="停止",J1238="停止"),"両方停止","運転がそろわない")))</f>
        <v>判定不能</v>
      </c>
      <c r="AL1238" s="30" t="n">
        <v>60</v>
      </c>
      <c r="AM1238" s="30" t="n">
        <v>60</v>
      </c>
      <c r="AN1238" s="30" t="str">
        <f aca="false">IF(OR(V1238="判定不能",M1238="判定不能"),"判定不能",IF(AM1238&gt;=判定条件!$C$9,"利用可",IF(AND(V1238="停止",M1238="停止"),"両方停止","運転がそろわない")))</f>
        <v>利用可</v>
      </c>
      <c r="AO1238" s="30" t="n">
        <v>0</v>
      </c>
      <c r="AP1238" s="30" t="n">
        <v>0</v>
      </c>
      <c r="AQ1238" s="30" t="str">
        <f aca="false">IF(OR(Y1238="判定不能",G1238="判定不能"),"判定不能",IF(AP1238&gt;=判定条件!$C$9,"利用可",IF(AND(Y1238="停止",G1238="停止"),"両方停止","運転がそろわない")))</f>
        <v>判定不能</v>
      </c>
      <c r="AR1238" s="30" t="n">
        <v>0</v>
      </c>
      <c r="AS1238" s="30" t="n">
        <v>0</v>
      </c>
      <c r="AT1238" s="30" t="str">
        <f aca="false">IF(OR(AB1238="判定不能",J1238="判定不能"),"判定不能",IF(AS1238&gt;=判定条件!$C$9,"利用可",IF(AND(AB1238="停止",J1238="停止"),"両方停止","運転がそろわない")))</f>
        <v>判定不能</v>
      </c>
      <c r="AU1238" s="30" t="n">
        <v>0</v>
      </c>
      <c r="AV1238" s="30" t="n">
        <v>0</v>
      </c>
      <c r="AW1238" s="30" t="str">
        <f aca="false">IF(OR(AE1238="判定不能",M1238="判定不能"),"判定不能",IF(AV1238&gt;=判定条件!$C$9,"利用可",IF(AND(AE1238="停止",M1238="停止"),"両方停止","運転がそろわない")))</f>
        <v>判定不能</v>
      </c>
      <c r="AX1238" s="30" t="str">
        <f aca="false">IF(AND(AH1238="利用可",AK1238="利用可",AN1238="利用可"),"利用可","不可")</f>
        <v>不可</v>
      </c>
      <c r="AY1238" s="30" t="str">
        <f aca="false">IF(AND(AQ1238="利用可",AT1238="利用可",AW1238="利用可"),"利用可","不可")</f>
        <v>不可</v>
      </c>
    </row>
    <row r="1239" customFormat="false" ht="15" hidden="false" customHeight="false" outlineLevel="0" collapsed="false">
      <c r="A1239" s="29" t="n">
        <v>46283</v>
      </c>
      <c r="B1239" s="30" t="n">
        <v>12</v>
      </c>
      <c r="C1239" s="31" t="s">
        <v>62</v>
      </c>
      <c r="D1239" s="31" t="s">
        <v>59</v>
      </c>
      <c r="E1239" s="30" t="n">
        <v>60</v>
      </c>
      <c r="F1239" s="30" t="n">
        <v>27</v>
      </c>
      <c r="G1239" s="30" t="str">
        <f aca="false">IF(E1239&lt;判定条件!$C$6,"判定不能",IF(F1239&gt;=判定条件!$C$7*E1239,"運転",IF(F1239&lt;=判定条件!$C$8*E1239,"停止","断続")))</f>
        <v>断続</v>
      </c>
      <c r="H1239" s="30" t="n">
        <v>0</v>
      </c>
      <c r="I1239" s="30" t="n">
        <v>0</v>
      </c>
      <c r="J1239" s="30" t="str">
        <f aca="false">IF(H1239&lt;判定条件!$C$6,"判定不能",IF(I1239&gt;=判定条件!$C$7*H1239,"運転",IF(I1239&lt;=判定条件!$C$8*H1239,"停止","断続")))</f>
        <v>判定不能</v>
      </c>
      <c r="K1239" s="30" t="n">
        <v>60</v>
      </c>
      <c r="L1239" s="30" t="n">
        <v>56</v>
      </c>
      <c r="M1239" s="30" t="str">
        <f aca="false">IF(K1239&lt;判定条件!$C$6,"判定不能",IF(L1239&gt;=判定条件!$C$7*K1239,"運転",IF(L1239&lt;=判定条件!$C$8*K1239,"停止","断続")))</f>
        <v>運転</v>
      </c>
      <c r="N1239" s="30" t="n">
        <v>60</v>
      </c>
      <c r="O1239" s="30" t="n">
        <v>36</v>
      </c>
      <c r="P1239" s="30" t="str">
        <f aca="false">IF(N1239&lt;判定条件!$C$6,"判定不能",IF(O1239&gt;=判定条件!$C$7*N1239,"運転",IF(O1239&lt;=判定条件!$C$8*N1239,"停止","断続")))</f>
        <v>断続</v>
      </c>
      <c r="Q1239" s="30" t="n">
        <v>60</v>
      </c>
      <c r="R1239" s="30" t="n">
        <v>53</v>
      </c>
      <c r="S1239" s="30" t="str">
        <f aca="false">IF(Q1239&lt;判定条件!$C$6,"判定不能",IF(R1239&gt;=判定条件!$C$7*Q1239,"運転",IF(R1239&lt;=判定条件!$C$8*Q1239,"停止","断続")))</f>
        <v>運転</v>
      </c>
      <c r="T1239" s="30" t="n">
        <v>60</v>
      </c>
      <c r="U1239" s="30" t="n">
        <v>60</v>
      </c>
      <c r="V1239" s="30" t="str">
        <f aca="false">IF(T1239&lt;判定条件!$C$6,"判定不能",IF(U1239&gt;=判定条件!$C$7*T1239,"運転",IF(U1239&lt;=判定条件!$C$8*T1239,"停止","断続")))</f>
        <v>運転</v>
      </c>
      <c r="W1239" s="30" t="n">
        <v>0</v>
      </c>
      <c r="X1239" s="30" t="n">
        <v>0</v>
      </c>
      <c r="Y1239" s="30" t="str">
        <f aca="false">IF(W1239&lt;判定条件!$C$6,"判定不能",IF(X1239&gt;=判定条件!$C$7*W1239,"運転",IF(X1239&lt;=判定条件!$C$8*W1239,"停止","断続")))</f>
        <v>判定不能</v>
      </c>
      <c r="Z1239" s="30" t="n">
        <v>0</v>
      </c>
      <c r="AA1239" s="30" t="n">
        <v>0</v>
      </c>
      <c r="AB1239" s="30" t="str">
        <f aca="false">IF(Z1239&lt;判定条件!$C$6,"判定不能",IF(AA1239&gt;=判定条件!$C$7*Z1239,"運転",IF(AA1239&lt;=判定条件!$C$8*Z1239,"停止","断続")))</f>
        <v>判定不能</v>
      </c>
      <c r="AC1239" s="30" t="n">
        <v>0</v>
      </c>
      <c r="AD1239" s="30" t="n">
        <v>0</v>
      </c>
      <c r="AE1239" s="30" t="str">
        <f aca="false">IF(AC1239&lt;判定条件!$C$6,"判定不能",IF(AD1239&gt;=判定条件!$C$7*AC1239,"運転",IF(AD1239&lt;=判定条件!$C$8*AC1239,"停止","断続")))</f>
        <v>判定不能</v>
      </c>
      <c r="AF1239" s="30" t="n">
        <v>60</v>
      </c>
      <c r="AG1239" s="30" t="n">
        <v>18</v>
      </c>
      <c r="AH1239" s="30" t="str">
        <f aca="false">IF(OR(P1239="判定不能",G1239="判定不能"),"判定不能",IF(AG1239&gt;=判定条件!$C$9,"利用可",IF(AND(P1239="停止",G1239="停止"),"両方停止","運転がそろわない")))</f>
        <v>運転がそろわない</v>
      </c>
      <c r="AI1239" s="30" t="n">
        <v>0</v>
      </c>
      <c r="AJ1239" s="30" t="n">
        <v>0</v>
      </c>
      <c r="AK1239" s="30" t="str">
        <f aca="false">IF(OR(S1239="判定不能",J1239="判定不能"),"判定不能",IF(AJ1239&gt;=判定条件!$C$9,"利用可",IF(AND(S1239="停止",J1239="停止"),"両方停止","運転がそろわない")))</f>
        <v>判定不能</v>
      </c>
      <c r="AL1239" s="30" t="n">
        <v>60</v>
      </c>
      <c r="AM1239" s="30" t="n">
        <v>56</v>
      </c>
      <c r="AN1239" s="30" t="str">
        <f aca="false">IF(OR(V1239="判定不能",M1239="判定不能"),"判定不能",IF(AM1239&gt;=判定条件!$C$9,"利用可",IF(AND(V1239="停止",M1239="停止"),"両方停止","運転がそろわない")))</f>
        <v>利用可</v>
      </c>
      <c r="AO1239" s="30" t="n">
        <v>0</v>
      </c>
      <c r="AP1239" s="30" t="n">
        <v>0</v>
      </c>
      <c r="AQ1239" s="30" t="str">
        <f aca="false">IF(OR(Y1239="判定不能",G1239="判定不能"),"判定不能",IF(AP1239&gt;=判定条件!$C$9,"利用可",IF(AND(Y1239="停止",G1239="停止"),"両方停止","運転がそろわない")))</f>
        <v>判定不能</v>
      </c>
      <c r="AR1239" s="30" t="n">
        <v>0</v>
      </c>
      <c r="AS1239" s="30" t="n">
        <v>0</v>
      </c>
      <c r="AT1239" s="30" t="str">
        <f aca="false">IF(OR(AB1239="判定不能",J1239="判定不能"),"判定不能",IF(AS1239&gt;=判定条件!$C$9,"利用可",IF(AND(AB1239="停止",J1239="停止"),"両方停止","運転がそろわない")))</f>
        <v>判定不能</v>
      </c>
      <c r="AU1239" s="30" t="n">
        <v>0</v>
      </c>
      <c r="AV1239" s="30" t="n">
        <v>0</v>
      </c>
      <c r="AW1239" s="30" t="str">
        <f aca="false">IF(OR(AE1239="判定不能",M1239="判定不能"),"判定不能",IF(AV1239&gt;=判定条件!$C$9,"利用可",IF(AND(AE1239="停止",M1239="停止"),"両方停止","運転がそろわない")))</f>
        <v>判定不能</v>
      </c>
      <c r="AX1239" s="30" t="str">
        <f aca="false">IF(AND(AH1239="利用可",AK1239="利用可",AN1239="利用可"),"利用可","不可")</f>
        <v>不可</v>
      </c>
      <c r="AY1239" s="30" t="str">
        <f aca="false">IF(AND(AQ1239="利用可",AT1239="利用可",AW1239="利用可"),"利用可","不可")</f>
        <v>不可</v>
      </c>
    </row>
    <row r="1240" customFormat="false" ht="15" hidden="false" customHeight="false" outlineLevel="0" collapsed="false">
      <c r="A1240" s="29" t="n">
        <v>46283</v>
      </c>
      <c r="B1240" s="30" t="n">
        <v>13</v>
      </c>
      <c r="C1240" s="31" t="s">
        <v>62</v>
      </c>
      <c r="D1240" s="31" t="s">
        <v>59</v>
      </c>
      <c r="E1240" s="30" t="n">
        <v>60</v>
      </c>
      <c r="F1240" s="30" t="n">
        <v>37</v>
      </c>
      <c r="G1240" s="30" t="str">
        <f aca="false">IF(E1240&lt;判定条件!$C$6,"判定不能",IF(F1240&gt;=判定条件!$C$7*E1240,"運転",IF(F1240&lt;=判定条件!$C$8*E1240,"停止","断続")))</f>
        <v>断続</v>
      </c>
      <c r="H1240" s="30" t="n">
        <v>0</v>
      </c>
      <c r="I1240" s="30" t="n">
        <v>0</v>
      </c>
      <c r="J1240" s="30" t="str">
        <f aca="false">IF(H1240&lt;判定条件!$C$6,"判定不能",IF(I1240&gt;=判定条件!$C$7*H1240,"運転",IF(I1240&lt;=判定条件!$C$8*H1240,"停止","断続")))</f>
        <v>判定不能</v>
      </c>
      <c r="K1240" s="30" t="n">
        <v>60</v>
      </c>
      <c r="L1240" s="30" t="n">
        <v>60</v>
      </c>
      <c r="M1240" s="30" t="str">
        <f aca="false">IF(K1240&lt;判定条件!$C$6,"判定不能",IF(L1240&gt;=判定条件!$C$7*K1240,"運転",IF(L1240&lt;=判定条件!$C$8*K1240,"停止","断続")))</f>
        <v>運転</v>
      </c>
      <c r="N1240" s="30" t="n">
        <v>60</v>
      </c>
      <c r="O1240" s="30" t="n">
        <v>55</v>
      </c>
      <c r="P1240" s="30" t="str">
        <f aca="false">IF(N1240&lt;判定条件!$C$6,"判定不能",IF(O1240&gt;=判定条件!$C$7*N1240,"運転",IF(O1240&lt;=判定条件!$C$8*N1240,"停止","断続")))</f>
        <v>運転</v>
      </c>
      <c r="Q1240" s="30" t="n">
        <v>60</v>
      </c>
      <c r="R1240" s="30" t="n">
        <v>60</v>
      </c>
      <c r="S1240" s="30" t="str">
        <f aca="false">IF(Q1240&lt;判定条件!$C$6,"判定不能",IF(R1240&gt;=判定条件!$C$7*Q1240,"運転",IF(R1240&lt;=判定条件!$C$8*Q1240,"停止","断続")))</f>
        <v>運転</v>
      </c>
      <c r="T1240" s="30" t="n">
        <v>60</v>
      </c>
      <c r="U1240" s="30" t="n">
        <v>60</v>
      </c>
      <c r="V1240" s="30" t="str">
        <f aca="false">IF(T1240&lt;判定条件!$C$6,"判定不能",IF(U1240&gt;=判定条件!$C$7*T1240,"運転",IF(U1240&lt;=判定条件!$C$8*T1240,"停止","断続")))</f>
        <v>運転</v>
      </c>
      <c r="W1240" s="30" t="n">
        <v>0</v>
      </c>
      <c r="X1240" s="30" t="n">
        <v>0</v>
      </c>
      <c r="Y1240" s="30" t="str">
        <f aca="false">IF(W1240&lt;判定条件!$C$6,"判定不能",IF(X1240&gt;=判定条件!$C$7*W1240,"運転",IF(X1240&lt;=判定条件!$C$8*W1240,"停止","断続")))</f>
        <v>判定不能</v>
      </c>
      <c r="Z1240" s="30" t="n">
        <v>0</v>
      </c>
      <c r="AA1240" s="30" t="n">
        <v>0</v>
      </c>
      <c r="AB1240" s="30" t="str">
        <f aca="false">IF(Z1240&lt;判定条件!$C$6,"判定不能",IF(AA1240&gt;=判定条件!$C$7*Z1240,"運転",IF(AA1240&lt;=判定条件!$C$8*Z1240,"停止","断続")))</f>
        <v>判定不能</v>
      </c>
      <c r="AC1240" s="30" t="n">
        <v>0</v>
      </c>
      <c r="AD1240" s="30" t="n">
        <v>0</v>
      </c>
      <c r="AE1240" s="30" t="str">
        <f aca="false">IF(AC1240&lt;判定条件!$C$6,"判定不能",IF(AD1240&gt;=判定条件!$C$7*AC1240,"運転",IF(AD1240&lt;=判定条件!$C$8*AC1240,"停止","断続")))</f>
        <v>判定不能</v>
      </c>
      <c r="AF1240" s="30" t="n">
        <v>60</v>
      </c>
      <c r="AG1240" s="30" t="n">
        <v>37</v>
      </c>
      <c r="AH1240" s="30" t="str">
        <f aca="false">IF(OR(P1240="判定不能",G1240="判定不能"),"判定不能",IF(AG1240&gt;=判定条件!$C$9,"利用可",IF(AND(P1240="停止",G1240="停止"),"両方停止","運転がそろわない")))</f>
        <v>利用可</v>
      </c>
      <c r="AI1240" s="30" t="n">
        <v>0</v>
      </c>
      <c r="AJ1240" s="30" t="n">
        <v>0</v>
      </c>
      <c r="AK1240" s="30" t="str">
        <f aca="false">IF(OR(S1240="判定不能",J1240="判定不能"),"判定不能",IF(AJ1240&gt;=判定条件!$C$9,"利用可",IF(AND(S1240="停止",J1240="停止"),"両方停止","運転がそろわない")))</f>
        <v>判定不能</v>
      </c>
      <c r="AL1240" s="30" t="n">
        <v>60</v>
      </c>
      <c r="AM1240" s="30" t="n">
        <v>60</v>
      </c>
      <c r="AN1240" s="30" t="str">
        <f aca="false">IF(OR(V1240="判定不能",M1240="判定不能"),"判定不能",IF(AM1240&gt;=判定条件!$C$9,"利用可",IF(AND(V1240="停止",M1240="停止"),"両方停止","運転がそろわない")))</f>
        <v>利用可</v>
      </c>
      <c r="AO1240" s="30" t="n">
        <v>0</v>
      </c>
      <c r="AP1240" s="30" t="n">
        <v>0</v>
      </c>
      <c r="AQ1240" s="30" t="str">
        <f aca="false">IF(OR(Y1240="判定不能",G1240="判定不能"),"判定不能",IF(AP1240&gt;=判定条件!$C$9,"利用可",IF(AND(Y1240="停止",G1240="停止"),"両方停止","運転がそろわない")))</f>
        <v>判定不能</v>
      </c>
      <c r="AR1240" s="30" t="n">
        <v>0</v>
      </c>
      <c r="AS1240" s="30" t="n">
        <v>0</v>
      </c>
      <c r="AT1240" s="30" t="str">
        <f aca="false">IF(OR(AB1240="判定不能",J1240="判定不能"),"判定不能",IF(AS1240&gt;=判定条件!$C$9,"利用可",IF(AND(AB1240="停止",J1240="停止"),"両方停止","運転がそろわない")))</f>
        <v>判定不能</v>
      </c>
      <c r="AU1240" s="30" t="n">
        <v>0</v>
      </c>
      <c r="AV1240" s="30" t="n">
        <v>0</v>
      </c>
      <c r="AW1240" s="30" t="str">
        <f aca="false">IF(OR(AE1240="判定不能",M1240="判定不能"),"判定不能",IF(AV1240&gt;=判定条件!$C$9,"利用可",IF(AND(AE1240="停止",M1240="停止"),"両方停止","運転がそろわない")))</f>
        <v>判定不能</v>
      </c>
      <c r="AX1240" s="30" t="str">
        <f aca="false">IF(AND(AH1240="利用可",AK1240="利用可",AN1240="利用可"),"利用可","不可")</f>
        <v>不可</v>
      </c>
      <c r="AY1240" s="30" t="str">
        <f aca="false">IF(AND(AQ1240="利用可",AT1240="利用可",AW1240="利用可"),"利用可","不可")</f>
        <v>不可</v>
      </c>
    </row>
    <row r="1241" customFormat="false" ht="15" hidden="false" customHeight="false" outlineLevel="0" collapsed="false">
      <c r="A1241" s="29" t="n">
        <v>46283</v>
      </c>
      <c r="B1241" s="30" t="n">
        <v>14</v>
      </c>
      <c r="C1241" s="31" t="s">
        <v>62</v>
      </c>
      <c r="D1241" s="31" t="s">
        <v>59</v>
      </c>
      <c r="E1241" s="30" t="n">
        <v>60</v>
      </c>
      <c r="F1241" s="30" t="n">
        <v>29</v>
      </c>
      <c r="G1241" s="30" t="str">
        <f aca="false">IF(E1241&lt;判定条件!$C$6,"判定不能",IF(F1241&gt;=判定条件!$C$7*E1241,"運転",IF(F1241&lt;=判定条件!$C$8*E1241,"停止","断続")))</f>
        <v>断続</v>
      </c>
      <c r="H1241" s="30" t="n">
        <v>0</v>
      </c>
      <c r="I1241" s="30" t="n">
        <v>0</v>
      </c>
      <c r="J1241" s="30" t="str">
        <f aca="false">IF(H1241&lt;判定条件!$C$6,"判定不能",IF(I1241&gt;=判定条件!$C$7*H1241,"運転",IF(I1241&lt;=判定条件!$C$8*H1241,"停止","断続")))</f>
        <v>判定不能</v>
      </c>
      <c r="K1241" s="30" t="n">
        <v>60</v>
      </c>
      <c r="L1241" s="30" t="n">
        <v>60</v>
      </c>
      <c r="M1241" s="30" t="str">
        <f aca="false">IF(K1241&lt;判定条件!$C$6,"判定不能",IF(L1241&gt;=判定条件!$C$7*K1241,"運転",IF(L1241&lt;=判定条件!$C$8*K1241,"停止","断続")))</f>
        <v>運転</v>
      </c>
      <c r="N1241" s="30" t="n">
        <v>60</v>
      </c>
      <c r="O1241" s="30" t="n">
        <v>51</v>
      </c>
      <c r="P1241" s="30" t="str">
        <f aca="false">IF(N1241&lt;判定条件!$C$6,"判定不能",IF(O1241&gt;=判定条件!$C$7*N1241,"運転",IF(O1241&lt;=判定条件!$C$8*N1241,"停止","断続")))</f>
        <v>運転</v>
      </c>
      <c r="Q1241" s="30" t="n">
        <v>60</v>
      </c>
      <c r="R1241" s="30" t="n">
        <v>60</v>
      </c>
      <c r="S1241" s="30" t="str">
        <f aca="false">IF(Q1241&lt;判定条件!$C$6,"判定不能",IF(R1241&gt;=判定条件!$C$7*Q1241,"運転",IF(R1241&lt;=判定条件!$C$8*Q1241,"停止","断続")))</f>
        <v>運転</v>
      </c>
      <c r="T1241" s="30" t="n">
        <v>60</v>
      </c>
      <c r="U1241" s="30" t="n">
        <v>51</v>
      </c>
      <c r="V1241" s="30" t="str">
        <f aca="false">IF(T1241&lt;判定条件!$C$6,"判定不能",IF(U1241&gt;=判定条件!$C$7*T1241,"運転",IF(U1241&lt;=判定条件!$C$8*T1241,"停止","断続")))</f>
        <v>運転</v>
      </c>
      <c r="W1241" s="30" t="n">
        <v>0</v>
      </c>
      <c r="X1241" s="30" t="n">
        <v>0</v>
      </c>
      <c r="Y1241" s="30" t="str">
        <f aca="false">IF(W1241&lt;判定条件!$C$6,"判定不能",IF(X1241&gt;=判定条件!$C$7*W1241,"運転",IF(X1241&lt;=判定条件!$C$8*W1241,"停止","断続")))</f>
        <v>判定不能</v>
      </c>
      <c r="Z1241" s="30" t="n">
        <v>0</v>
      </c>
      <c r="AA1241" s="30" t="n">
        <v>0</v>
      </c>
      <c r="AB1241" s="30" t="str">
        <f aca="false">IF(Z1241&lt;判定条件!$C$6,"判定不能",IF(AA1241&gt;=判定条件!$C$7*Z1241,"運転",IF(AA1241&lt;=判定条件!$C$8*Z1241,"停止","断続")))</f>
        <v>判定不能</v>
      </c>
      <c r="AC1241" s="30" t="n">
        <v>0</v>
      </c>
      <c r="AD1241" s="30" t="n">
        <v>0</v>
      </c>
      <c r="AE1241" s="30" t="str">
        <f aca="false">IF(AC1241&lt;判定条件!$C$6,"判定不能",IF(AD1241&gt;=判定条件!$C$7*AC1241,"運転",IF(AD1241&lt;=判定条件!$C$8*AC1241,"停止","断続")))</f>
        <v>判定不能</v>
      </c>
      <c r="AF1241" s="30" t="n">
        <v>60</v>
      </c>
      <c r="AG1241" s="30" t="n">
        <v>23</v>
      </c>
      <c r="AH1241" s="30" t="str">
        <f aca="false">IF(OR(P1241="判定不能",G1241="判定不能"),"判定不能",IF(AG1241&gt;=判定条件!$C$9,"利用可",IF(AND(P1241="停止",G1241="停止"),"両方停止","運転がそろわない")))</f>
        <v>運転がそろわない</v>
      </c>
      <c r="AI1241" s="30" t="n">
        <v>0</v>
      </c>
      <c r="AJ1241" s="30" t="n">
        <v>0</v>
      </c>
      <c r="AK1241" s="30" t="str">
        <f aca="false">IF(OR(S1241="判定不能",J1241="判定不能"),"判定不能",IF(AJ1241&gt;=判定条件!$C$9,"利用可",IF(AND(S1241="停止",J1241="停止"),"両方停止","運転がそろわない")))</f>
        <v>判定不能</v>
      </c>
      <c r="AL1241" s="30" t="n">
        <v>60</v>
      </c>
      <c r="AM1241" s="30" t="n">
        <v>51</v>
      </c>
      <c r="AN1241" s="30" t="str">
        <f aca="false">IF(OR(V1241="判定不能",M1241="判定不能"),"判定不能",IF(AM1241&gt;=判定条件!$C$9,"利用可",IF(AND(V1241="停止",M1241="停止"),"両方停止","運転がそろわない")))</f>
        <v>利用可</v>
      </c>
      <c r="AO1241" s="30" t="n">
        <v>0</v>
      </c>
      <c r="AP1241" s="30" t="n">
        <v>0</v>
      </c>
      <c r="AQ1241" s="30" t="str">
        <f aca="false">IF(OR(Y1241="判定不能",G1241="判定不能"),"判定不能",IF(AP1241&gt;=判定条件!$C$9,"利用可",IF(AND(Y1241="停止",G1241="停止"),"両方停止","運転がそろわない")))</f>
        <v>判定不能</v>
      </c>
      <c r="AR1241" s="30" t="n">
        <v>0</v>
      </c>
      <c r="AS1241" s="30" t="n">
        <v>0</v>
      </c>
      <c r="AT1241" s="30" t="str">
        <f aca="false">IF(OR(AB1241="判定不能",J1241="判定不能"),"判定不能",IF(AS1241&gt;=判定条件!$C$9,"利用可",IF(AND(AB1241="停止",J1241="停止"),"両方停止","運転がそろわない")))</f>
        <v>判定不能</v>
      </c>
      <c r="AU1241" s="30" t="n">
        <v>0</v>
      </c>
      <c r="AV1241" s="30" t="n">
        <v>0</v>
      </c>
      <c r="AW1241" s="30" t="str">
        <f aca="false">IF(OR(AE1241="判定不能",M1241="判定不能"),"判定不能",IF(AV1241&gt;=判定条件!$C$9,"利用可",IF(AND(AE1241="停止",M1241="停止"),"両方停止","運転がそろわない")))</f>
        <v>判定不能</v>
      </c>
      <c r="AX1241" s="30" t="str">
        <f aca="false">IF(AND(AH1241="利用可",AK1241="利用可",AN1241="利用可"),"利用可","不可")</f>
        <v>不可</v>
      </c>
      <c r="AY1241" s="30" t="str">
        <f aca="false">IF(AND(AQ1241="利用可",AT1241="利用可",AW1241="利用可"),"利用可","不可")</f>
        <v>不可</v>
      </c>
    </row>
    <row r="1242" customFormat="false" ht="15" hidden="false" customHeight="false" outlineLevel="0" collapsed="false">
      <c r="A1242" s="29" t="n">
        <v>46283</v>
      </c>
      <c r="B1242" s="30" t="n">
        <v>15</v>
      </c>
      <c r="C1242" s="31" t="s">
        <v>62</v>
      </c>
      <c r="D1242" s="31" t="s">
        <v>59</v>
      </c>
      <c r="E1242" s="30" t="n">
        <v>60</v>
      </c>
      <c r="F1242" s="30" t="n">
        <v>49</v>
      </c>
      <c r="G1242" s="30" t="str">
        <f aca="false">IF(E1242&lt;判定条件!$C$6,"判定不能",IF(F1242&gt;=判定条件!$C$7*E1242,"運転",IF(F1242&lt;=判定条件!$C$8*E1242,"停止","断続")))</f>
        <v>運転</v>
      </c>
      <c r="H1242" s="30" t="n">
        <v>0</v>
      </c>
      <c r="I1242" s="30" t="n">
        <v>0</v>
      </c>
      <c r="J1242" s="30" t="str">
        <f aca="false">IF(H1242&lt;判定条件!$C$6,"判定不能",IF(I1242&gt;=判定条件!$C$7*H1242,"運転",IF(I1242&lt;=判定条件!$C$8*H1242,"停止","断続")))</f>
        <v>判定不能</v>
      </c>
      <c r="K1242" s="30" t="n">
        <v>60</v>
      </c>
      <c r="L1242" s="30" t="n">
        <v>60</v>
      </c>
      <c r="M1242" s="30" t="str">
        <f aca="false">IF(K1242&lt;判定条件!$C$6,"判定不能",IF(L1242&gt;=判定条件!$C$7*K1242,"運転",IF(L1242&lt;=判定条件!$C$8*K1242,"停止","断続")))</f>
        <v>運転</v>
      </c>
      <c r="N1242" s="30" t="n">
        <v>60</v>
      </c>
      <c r="O1242" s="30" t="n">
        <v>11</v>
      </c>
      <c r="P1242" s="30" t="str">
        <f aca="false">IF(N1242&lt;判定条件!$C$6,"判定不能",IF(O1242&gt;=判定条件!$C$7*N1242,"運転",IF(O1242&lt;=判定条件!$C$8*N1242,"停止","断続")))</f>
        <v>停止</v>
      </c>
      <c r="Q1242" s="30" t="n">
        <v>60</v>
      </c>
      <c r="R1242" s="30" t="n">
        <v>56</v>
      </c>
      <c r="S1242" s="30" t="str">
        <f aca="false">IF(Q1242&lt;判定条件!$C$6,"判定不能",IF(R1242&gt;=判定条件!$C$7*Q1242,"運転",IF(R1242&lt;=判定条件!$C$8*Q1242,"停止","断続")))</f>
        <v>運転</v>
      </c>
      <c r="T1242" s="30" t="n">
        <v>60</v>
      </c>
      <c r="U1242" s="30" t="n">
        <v>60</v>
      </c>
      <c r="V1242" s="30" t="str">
        <f aca="false">IF(T1242&lt;判定条件!$C$6,"判定不能",IF(U1242&gt;=判定条件!$C$7*T1242,"運転",IF(U1242&lt;=判定条件!$C$8*T1242,"停止","断続")))</f>
        <v>運転</v>
      </c>
      <c r="W1242" s="30" t="n">
        <v>0</v>
      </c>
      <c r="X1242" s="30" t="n">
        <v>0</v>
      </c>
      <c r="Y1242" s="30" t="str">
        <f aca="false">IF(W1242&lt;判定条件!$C$6,"判定不能",IF(X1242&gt;=判定条件!$C$7*W1242,"運転",IF(X1242&lt;=判定条件!$C$8*W1242,"停止","断続")))</f>
        <v>判定不能</v>
      </c>
      <c r="Z1242" s="30" t="n">
        <v>0</v>
      </c>
      <c r="AA1242" s="30" t="n">
        <v>0</v>
      </c>
      <c r="AB1242" s="30" t="str">
        <f aca="false">IF(Z1242&lt;判定条件!$C$6,"判定不能",IF(AA1242&gt;=判定条件!$C$7*Z1242,"運転",IF(AA1242&lt;=判定条件!$C$8*Z1242,"停止","断続")))</f>
        <v>判定不能</v>
      </c>
      <c r="AC1242" s="30" t="n">
        <v>0</v>
      </c>
      <c r="AD1242" s="30" t="n">
        <v>0</v>
      </c>
      <c r="AE1242" s="30" t="str">
        <f aca="false">IF(AC1242&lt;判定条件!$C$6,"判定不能",IF(AD1242&gt;=判定条件!$C$7*AC1242,"運転",IF(AD1242&lt;=判定条件!$C$8*AC1242,"停止","断続")))</f>
        <v>判定不能</v>
      </c>
      <c r="AF1242" s="30" t="n">
        <v>60</v>
      </c>
      <c r="AG1242" s="30" t="n">
        <v>11</v>
      </c>
      <c r="AH1242" s="30" t="str">
        <f aca="false">IF(OR(P1242="判定不能",G1242="判定不能"),"判定不能",IF(AG1242&gt;=判定条件!$C$9,"利用可",IF(AND(P1242="停止",G1242="停止"),"両方停止","運転がそろわない")))</f>
        <v>運転がそろわない</v>
      </c>
      <c r="AI1242" s="30" t="n">
        <v>0</v>
      </c>
      <c r="AJ1242" s="30" t="n">
        <v>0</v>
      </c>
      <c r="AK1242" s="30" t="str">
        <f aca="false">IF(OR(S1242="判定不能",J1242="判定不能"),"判定不能",IF(AJ1242&gt;=判定条件!$C$9,"利用可",IF(AND(S1242="停止",J1242="停止"),"両方停止","運転がそろわない")))</f>
        <v>判定不能</v>
      </c>
      <c r="AL1242" s="30" t="n">
        <v>60</v>
      </c>
      <c r="AM1242" s="30" t="n">
        <v>60</v>
      </c>
      <c r="AN1242" s="30" t="str">
        <f aca="false">IF(OR(V1242="判定不能",M1242="判定不能"),"判定不能",IF(AM1242&gt;=判定条件!$C$9,"利用可",IF(AND(V1242="停止",M1242="停止"),"両方停止","運転がそろわない")))</f>
        <v>利用可</v>
      </c>
      <c r="AO1242" s="30" t="n">
        <v>0</v>
      </c>
      <c r="AP1242" s="30" t="n">
        <v>0</v>
      </c>
      <c r="AQ1242" s="30" t="str">
        <f aca="false">IF(OR(Y1242="判定不能",G1242="判定不能"),"判定不能",IF(AP1242&gt;=判定条件!$C$9,"利用可",IF(AND(Y1242="停止",G1242="停止"),"両方停止","運転がそろわない")))</f>
        <v>判定不能</v>
      </c>
      <c r="AR1242" s="30" t="n">
        <v>0</v>
      </c>
      <c r="AS1242" s="30" t="n">
        <v>0</v>
      </c>
      <c r="AT1242" s="30" t="str">
        <f aca="false">IF(OR(AB1242="判定不能",J1242="判定不能"),"判定不能",IF(AS1242&gt;=判定条件!$C$9,"利用可",IF(AND(AB1242="停止",J1242="停止"),"両方停止","運転がそろわない")))</f>
        <v>判定不能</v>
      </c>
      <c r="AU1242" s="30" t="n">
        <v>0</v>
      </c>
      <c r="AV1242" s="30" t="n">
        <v>0</v>
      </c>
      <c r="AW1242" s="30" t="str">
        <f aca="false">IF(OR(AE1242="判定不能",M1242="判定不能"),"判定不能",IF(AV1242&gt;=判定条件!$C$9,"利用可",IF(AND(AE1242="停止",M1242="停止"),"両方停止","運転がそろわない")))</f>
        <v>判定不能</v>
      </c>
      <c r="AX1242" s="30" t="str">
        <f aca="false">IF(AND(AH1242="利用可",AK1242="利用可",AN1242="利用可"),"利用可","不可")</f>
        <v>不可</v>
      </c>
      <c r="AY1242" s="30" t="str">
        <f aca="false">IF(AND(AQ1242="利用可",AT1242="利用可",AW1242="利用可"),"利用可","不可")</f>
        <v>不可</v>
      </c>
    </row>
    <row r="1243" customFormat="false" ht="15" hidden="false" customHeight="false" outlineLevel="0" collapsed="false">
      <c r="A1243" s="29" t="n">
        <v>46283</v>
      </c>
      <c r="B1243" s="30" t="n">
        <v>16</v>
      </c>
      <c r="C1243" s="31" t="s">
        <v>62</v>
      </c>
      <c r="D1243" s="31" t="s">
        <v>59</v>
      </c>
      <c r="E1243" s="30" t="n">
        <v>60</v>
      </c>
      <c r="F1243" s="30" t="n">
        <v>32</v>
      </c>
      <c r="G1243" s="30" t="str">
        <f aca="false">IF(E1243&lt;判定条件!$C$6,"判定不能",IF(F1243&gt;=判定条件!$C$7*E1243,"運転",IF(F1243&lt;=判定条件!$C$8*E1243,"停止","断続")))</f>
        <v>断続</v>
      </c>
      <c r="H1243" s="30" t="n">
        <v>0</v>
      </c>
      <c r="I1243" s="30" t="n">
        <v>0</v>
      </c>
      <c r="J1243" s="30" t="str">
        <f aca="false">IF(H1243&lt;判定条件!$C$6,"判定不能",IF(I1243&gt;=判定条件!$C$7*H1243,"運転",IF(I1243&lt;=判定条件!$C$8*H1243,"停止","断続")))</f>
        <v>判定不能</v>
      </c>
      <c r="K1243" s="30" t="n">
        <v>60</v>
      </c>
      <c r="L1243" s="30" t="n">
        <v>60</v>
      </c>
      <c r="M1243" s="30" t="str">
        <f aca="false">IF(K1243&lt;判定条件!$C$6,"判定不能",IF(L1243&gt;=判定条件!$C$7*K1243,"運転",IF(L1243&lt;=判定条件!$C$8*K1243,"停止","断続")))</f>
        <v>運転</v>
      </c>
      <c r="N1243" s="30" t="n">
        <v>60</v>
      </c>
      <c r="O1243" s="30" t="n">
        <v>38</v>
      </c>
      <c r="P1243" s="30" t="str">
        <f aca="false">IF(N1243&lt;判定条件!$C$6,"判定不能",IF(O1243&gt;=判定条件!$C$7*N1243,"運転",IF(O1243&lt;=判定条件!$C$8*N1243,"停止","断続")))</f>
        <v>断続</v>
      </c>
      <c r="Q1243" s="30" t="n">
        <v>60</v>
      </c>
      <c r="R1243" s="30" t="n">
        <v>60</v>
      </c>
      <c r="S1243" s="30" t="str">
        <f aca="false">IF(Q1243&lt;判定条件!$C$6,"判定不能",IF(R1243&gt;=判定条件!$C$7*Q1243,"運転",IF(R1243&lt;=判定条件!$C$8*Q1243,"停止","断続")))</f>
        <v>運転</v>
      </c>
      <c r="T1243" s="30" t="n">
        <v>60</v>
      </c>
      <c r="U1243" s="30" t="n">
        <v>51</v>
      </c>
      <c r="V1243" s="30" t="str">
        <f aca="false">IF(T1243&lt;判定条件!$C$6,"判定不能",IF(U1243&gt;=判定条件!$C$7*T1243,"運転",IF(U1243&lt;=判定条件!$C$8*T1243,"停止","断続")))</f>
        <v>運転</v>
      </c>
      <c r="W1243" s="30" t="n">
        <v>0</v>
      </c>
      <c r="X1243" s="30" t="n">
        <v>0</v>
      </c>
      <c r="Y1243" s="30" t="str">
        <f aca="false">IF(W1243&lt;判定条件!$C$6,"判定不能",IF(X1243&gt;=判定条件!$C$7*W1243,"運転",IF(X1243&lt;=判定条件!$C$8*W1243,"停止","断続")))</f>
        <v>判定不能</v>
      </c>
      <c r="Z1243" s="30" t="n">
        <v>0</v>
      </c>
      <c r="AA1243" s="30" t="n">
        <v>0</v>
      </c>
      <c r="AB1243" s="30" t="str">
        <f aca="false">IF(Z1243&lt;判定条件!$C$6,"判定不能",IF(AA1243&gt;=判定条件!$C$7*Z1243,"運転",IF(AA1243&lt;=判定条件!$C$8*Z1243,"停止","断続")))</f>
        <v>判定不能</v>
      </c>
      <c r="AC1243" s="30" t="n">
        <v>0</v>
      </c>
      <c r="AD1243" s="30" t="n">
        <v>0</v>
      </c>
      <c r="AE1243" s="30" t="str">
        <f aca="false">IF(AC1243&lt;判定条件!$C$6,"判定不能",IF(AD1243&gt;=判定条件!$C$7*AC1243,"運転",IF(AD1243&lt;=判定条件!$C$8*AC1243,"停止","断続")))</f>
        <v>判定不能</v>
      </c>
      <c r="AF1243" s="30" t="n">
        <v>60</v>
      </c>
      <c r="AG1243" s="30" t="n">
        <v>32</v>
      </c>
      <c r="AH1243" s="30" t="str">
        <f aca="false">IF(OR(P1243="判定不能",G1243="判定不能"),"判定不能",IF(AG1243&gt;=判定条件!$C$9,"利用可",IF(AND(P1243="停止",G1243="停止"),"両方停止","運転がそろわない")))</f>
        <v>利用可</v>
      </c>
      <c r="AI1243" s="30" t="n">
        <v>0</v>
      </c>
      <c r="AJ1243" s="30" t="n">
        <v>0</v>
      </c>
      <c r="AK1243" s="30" t="str">
        <f aca="false">IF(OR(S1243="判定不能",J1243="判定不能"),"判定不能",IF(AJ1243&gt;=判定条件!$C$9,"利用可",IF(AND(S1243="停止",J1243="停止"),"両方停止","運転がそろわない")))</f>
        <v>判定不能</v>
      </c>
      <c r="AL1243" s="30" t="n">
        <v>60</v>
      </c>
      <c r="AM1243" s="30" t="n">
        <v>51</v>
      </c>
      <c r="AN1243" s="30" t="str">
        <f aca="false">IF(OR(V1243="判定不能",M1243="判定不能"),"判定不能",IF(AM1243&gt;=判定条件!$C$9,"利用可",IF(AND(V1243="停止",M1243="停止"),"両方停止","運転がそろわない")))</f>
        <v>利用可</v>
      </c>
      <c r="AO1243" s="30" t="n">
        <v>0</v>
      </c>
      <c r="AP1243" s="30" t="n">
        <v>0</v>
      </c>
      <c r="AQ1243" s="30" t="str">
        <f aca="false">IF(OR(Y1243="判定不能",G1243="判定不能"),"判定不能",IF(AP1243&gt;=判定条件!$C$9,"利用可",IF(AND(Y1243="停止",G1243="停止"),"両方停止","運転がそろわない")))</f>
        <v>判定不能</v>
      </c>
      <c r="AR1243" s="30" t="n">
        <v>0</v>
      </c>
      <c r="AS1243" s="30" t="n">
        <v>0</v>
      </c>
      <c r="AT1243" s="30" t="str">
        <f aca="false">IF(OR(AB1243="判定不能",J1243="判定不能"),"判定不能",IF(AS1243&gt;=判定条件!$C$9,"利用可",IF(AND(AB1243="停止",J1243="停止"),"両方停止","運転がそろわない")))</f>
        <v>判定不能</v>
      </c>
      <c r="AU1243" s="30" t="n">
        <v>0</v>
      </c>
      <c r="AV1243" s="30" t="n">
        <v>0</v>
      </c>
      <c r="AW1243" s="30" t="str">
        <f aca="false">IF(OR(AE1243="判定不能",M1243="判定不能"),"判定不能",IF(AV1243&gt;=判定条件!$C$9,"利用可",IF(AND(AE1243="停止",M1243="停止"),"両方停止","運転がそろわない")))</f>
        <v>判定不能</v>
      </c>
      <c r="AX1243" s="30" t="str">
        <f aca="false">IF(AND(AH1243="利用可",AK1243="利用可",AN1243="利用可"),"利用可","不可")</f>
        <v>不可</v>
      </c>
      <c r="AY1243" s="30" t="str">
        <f aca="false">IF(AND(AQ1243="利用可",AT1243="利用可",AW1243="利用可"),"利用可","不可")</f>
        <v>不可</v>
      </c>
    </row>
    <row r="1244" customFormat="false" ht="15" hidden="false" customHeight="false" outlineLevel="0" collapsed="false">
      <c r="A1244" s="29" t="n">
        <v>46283</v>
      </c>
      <c r="B1244" s="30" t="n">
        <v>17</v>
      </c>
      <c r="C1244" s="31" t="s">
        <v>62</v>
      </c>
      <c r="D1244" s="31" t="s">
        <v>59</v>
      </c>
      <c r="E1244" s="30" t="n">
        <v>60</v>
      </c>
      <c r="F1244" s="30" t="n">
        <v>28</v>
      </c>
      <c r="G1244" s="30" t="str">
        <f aca="false">IF(E1244&lt;判定条件!$C$6,"判定不能",IF(F1244&gt;=判定条件!$C$7*E1244,"運転",IF(F1244&lt;=判定条件!$C$8*E1244,"停止","断続")))</f>
        <v>断続</v>
      </c>
      <c r="H1244" s="30" t="n">
        <v>0</v>
      </c>
      <c r="I1244" s="30" t="n">
        <v>0</v>
      </c>
      <c r="J1244" s="30" t="str">
        <f aca="false">IF(H1244&lt;判定条件!$C$6,"判定不能",IF(I1244&gt;=判定条件!$C$7*H1244,"運転",IF(I1244&lt;=判定条件!$C$8*H1244,"停止","断続")))</f>
        <v>判定不能</v>
      </c>
      <c r="K1244" s="30" t="n">
        <v>60</v>
      </c>
      <c r="L1244" s="30" t="n">
        <v>60</v>
      </c>
      <c r="M1244" s="30" t="str">
        <f aca="false">IF(K1244&lt;判定条件!$C$6,"判定不能",IF(L1244&gt;=判定条件!$C$7*K1244,"運転",IF(L1244&lt;=判定条件!$C$8*K1244,"停止","断続")))</f>
        <v>運転</v>
      </c>
      <c r="N1244" s="30" t="n">
        <v>60</v>
      </c>
      <c r="O1244" s="30" t="n">
        <v>23</v>
      </c>
      <c r="P1244" s="30" t="str">
        <f aca="false">IF(N1244&lt;判定条件!$C$6,"判定不能",IF(O1244&gt;=判定条件!$C$7*N1244,"運転",IF(O1244&lt;=判定条件!$C$8*N1244,"停止","断続")))</f>
        <v>断続</v>
      </c>
      <c r="Q1244" s="30" t="n">
        <v>60</v>
      </c>
      <c r="R1244" s="30" t="n">
        <v>60</v>
      </c>
      <c r="S1244" s="30" t="str">
        <f aca="false">IF(Q1244&lt;判定条件!$C$6,"判定不能",IF(R1244&gt;=判定条件!$C$7*Q1244,"運転",IF(R1244&lt;=判定条件!$C$8*Q1244,"停止","断続")))</f>
        <v>運転</v>
      </c>
      <c r="T1244" s="30" t="n">
        <v>60</v>
      </c>
      <c r="U1244" s="30" t="n">
        <v>47</v>
      </c>
      <c r="V1244" s="30" t="str">
        <f aca="false">IF(T1244&lt;判定条件!$C$6,"判定不能",IF(U1244&gt;=判定条件!$C$7*T1244,"運転",IF(U1244&lt;=判定条件!$C$8*T1244,"停止","断続")))</f>
        <v>断続</v>
      </c>
      <c r="W1244" s="30" t="n">
        <v>0</v>
      </c>
      <c r="X1244" s="30" t="n">
        <v>0</v>
      </c>
      <c r="Y1244" s="30" t="str">
        <f aca="false">IF(W1244&lt;判定条件!$C$6,"判定不能",IF(X1244&gt;=判定条件!$C$7*W1244,"運転",IF(X1244&lt;=判定条件!$C$8*W1244,"停止","断続")))</f>
        <v>判定不能</v>
      </c>
      <c r="Z1244" s="30" t="n">
        <v>0</v>
      </c>
      <c r="AA1244" s="30" t="n">
        <v>0</v>
      </c>
      <c r="AB1244" s="30" t="str">
        <f aca="false">IF(Z1244&lt;判定条件!$C$6,"判定不能",IF(AA1244&gt;=判定条件!$C$7*Z1244,"運転",IF(AA1244&lt;=判定条件!$C$8*Z1244,"停止","断続")))</f>
        <v>判定不能</v>
      </c>
      <c r="AC1244" s="30" t="n">
        <v>0</v>
      </c>
      <c r="AD1244" s="30" t="n">
        <v>0</v>
      </c>
      <c r="AE1244" s="30" t="str">
        <f aca="false">IF(AC1244&lt;判定条件!$C$6,"判定不能",IF(AD1244&gt;=判定条件!$C$7*AC1244,"運転",IF(AD1244&lt;=判定条件!$C$8*AC1244,"停止","断続")))</f>
        <v>判定不能</v>
      </c>
      <c r="AF1244" s="30" t="n">
        <v>60</v>
      </c>
      <c r="AG1244" s="30" t="n">
        <v>14</v>
      </c>
      <c r="AH1244" s="30" t="str">
        <f aca="false">IF(OR(P1244="判定不能",G1244="判定不能"),"判定不能",IF(AG1244&gt;=判定条件!$C$9,"利用可",IF(AND(P1244="停止",G1244="停止"),"両方停止","運転がそろわない")))</f>
        <v>運転がそろわない</v>
      </c>
      <c r="AI1244" s="30" t="n">
        <v>0</v>
      </c>
      <c r="AJ1244" s="30" t="n">
        <v>0</v>
      </c>
      <c r="AK1244" s="30" t="str">
        <f aca="false">IF(OR(S1244="判定不能",J1244="判定不能"),"判定不能",IF(AJ1244&gt;=判定条件!$C$9,"利用可",IF(AND(S1244="停止",J1244="停止"),"両方停止","運転がそろわない")))</f>
        <v>判定不能</v>
      </c>
      <c r="AL1244" s="30" t="n">
        <v>60</v>
      </c>
      <c r="AM1244" s="30" t="n">
        <v>47</v>
      </c>
      <c r="AN1244" s="30" t="str">
        <f aca="false">IF(OR(V1244="判定不能",M1244="判定不能"),"判定不能",IF(AM1244&gt;=判定条件!$C$9,"利用可",IF(AND(V1244="停止",M1244="停止"),"両方停止","運転がそろわない")))</f>
        <v>利用可</v>
      </c>
      <c r="AO1244" s="30" t="n">
        <v>0</v>
      </c>
      <c r="AP1244" s="30" t="n">
        <v>0</v>
      </c>
      <c r="AQ1244" s="30" t="str">
        <f aca="false">IF(OR(Y1244="判定不能",G1244="判定不能"),"判定不能",IF(AP1244&gt;=判定条件!$C$9,"利用可",IF(AND(Y1244="停止",G1244="停止"),"両方停止","運転がそろわない")))</f>
        <v>判定不能</v>
      </c>
      <c r="AR1244" s="30" t="n">
        <v>0</v>
      </c>
      <c r="AS1244" s="30" t="n">
        <v>0</v>
      </c>
      <c r="AT1244" s="30" t="str">
        <f aca="false">IF(OR(AB1244="判定不能",J1244="判定不能"),"判定不能",IF(AS1244&gt;=判定条件!$C$9,"利用可",IF(AND(AB1244="停止",J1244="停止"),"両方停止","運転がそろわない")))</f>
        <v>判定不能</v>
      </c>
      <c r="AU1244" s="30" t="n">
        <v>0</v>
      </c>
      <c r="AV1244" s="30" t="n">
        <v>0</v>
      </c>
      <c r="AW1244" s="30" t="str">
        <f aca="false">IF(OR(AE1244="判定不能",M1244="判定不能"),"判定不能",IF(AV1244&gt;=判定条件!$C$9,"利用可",IF(AND(AE1244="停止",M1244="停止"),"両方停止","運転がそろわない")))</f>
        <v>判定不能</v>
      </c>
      <c r="AX1244" s="30" t="str">
        <f aca="false">IF(AND(AH1244="利用可",AK1244="利用可",AN1244="利用可"),"利用可","不可")</f>
        <v>不可</v>
      </c>
      <c r="AY1244" s="30" t="str">
        <f aca="false">IF(AND(AQ1244="利用可",AT1244="利用可",AW1244="利用可"),"利用可","不可")</f>
        <v>不可</v>
      </c>
    </row>
    <row r="1245" customFormat="false" ht="15" hidden="false" customHeight="false" outlineLevel="0" collapsed="false">
      <c r="A1245" s="29" t="n">
        <v>46283</v>
      </c>
      <c r="B1245" s="30" t="n">
        <v>18</v>
      </c>
      <c r="C1245" s="31" t="s">
        <v>62</v>
      </c>
      <c r="D1245" s="31" t="s">
        <v>59</v>
      </c>
      <c r="E1245" s="30" t="n">
        <v>60</v>
      </c>
      <c r="F1245" s="30" t="n">
        <v>47</v>
      </c>
      <c r="G1245" s="30" t="str">
        <f aca="false">IF(E1245&lt;判定条件!$C$6,"判定不能",IF(F1245&gt;=判定条件!$C$7*E1245,"運転",IF(F1245&lt;=判定条件!$C$8*E1245,"停止","断続")))</f>
        <v>断続</v>
      </c>
      <c r="H1245" s="30" t="n">
        <v>0</v>
      </c>
      <c r="I1245" s="30" t="n">
        <v>0</v>
      </c>
      <c r="J1245" s="30" t="str">
        <f aca="false">IF(H1245&lt;判定条件!$C$6,"判定不能",IF(I1245&gt;=判定条件!$C$7*H1245,"運転",IF(I1245&lt;=判定条件!$C$8*H1245,"停止","断続")))</f>
        <v>判定不能</v>
      </c>
      <c r="K1245" s="30" t="n">
        <v>60</v>
      </c>
      <c r="L1245" s="30" t="n">
        <v>60</v>
      </c>
      <c r="M1245" s="30" t="str">
        <f aca="false">IF(K1245&lt;判定条件!$C$6,"判定不能",IF(L1245&gt;=判定条件!$C$7*K1245,"運転",IF(L1245&lt;=判定条件!$C$8*K1245,"停止","断続")))</f>
        <v>運転</v>
      </c>
      <c r="N1245" s="30" t="n">
        <v>60</v>
      </c>
      <c r="O1245" s="30" t="n">
        <v>0</v>
      </c>
      <c r="P1245" s="30" t="str">
        <f aca="false">IF(N1245&lt;判定条件!$C$6,"判定不能",IF(O1245&gt;=判定条件!$C$7*N1245,"運転",IF(O1245&lt;=判定条件!$C$8*N1245,"停止","断続")))</f>
        <v>停止</v>
      </c>
      <c r="Q1245" s="30" t="n">
        <v>60</v>
      </c>
      <c r="R1245" s="30" t="n">
        <v>17</v>
      </c>
      <c r="S1245" s="30" t="str">
        <f aca="false">IF(Q1245&lt;判定条件!$C$6,"判定不能",IF(R1245&gt;=判定条件!$C$7*Q1245,"運転",IF(R1245&lt;=判定条件!$C$8*Q1245,"停止","断続")))</f>
        <v>断続</v>
      </c>
      <c r="T1245" s="30" t="n">
        <v>60</v>
      </c>
      <c r="U1245" s="30" t="n">
        <v>9</v>
      </c>
      <c r="V1245" s="30" t="str">
        <f aca="false">IF(T1245&lt;判定条件!$C$6,"判定不能",IF(U1245&gt;=判定条件!$C$7*T1245,"運転",IF(U1245&lt;=判定条件!$C$8*T1245,"停止","断続")))</f>
        <v>停止</v>
      </c>
      <c r="W1245" s="30" t="n">
        <v>0</v>
      </c>
      <c r="X1245" s="30" t="n">
        <v>0</v>
      </c>
      <c r="Y1245" s="30" t="str">
        <f aca="false">IF(W1245&lt;判定条件!$C$6,"判定不能",IF(X1245&gt;=判定条件!$C$7*W1245,"運転",IF(X1245&lt;=判定条件!$C$8*W1245,"停止","断続")))</f>
        <v>判定不能</v>
      </c>
      <c r="Z1245" s="30" t="n">
        <v>0</v>
      </c>
      <c r="AA1245" s="30" t="n">
        <v>0</v>
      </c>
      <c r="AB1245" s="30" t="str">
        <f aca="false">IF(Z1245&lt;判定条件!$C$6,"判定不能",IF(AA1245&gt;=判定条件!$C$7*Z1245,"運転",IF(AA1245&lt;=判定条件!$C$8*Z1245,"停止","断続")))</f>
        <v>判定不能</v>
      </c>
      <c r="AC1245" s="30" t="n">
        <v>0</v>
      </c>
      <c r="AD1245" s="30" t="n">
        <v>0</v>
      </c>
      <c r="AE1245" s="30" t="str">
        <f aca="false">IF(AC1245&lt;判定条件!$C$6,"判定不能",IF(AD1245&gt;=判定条件!$C$7*AC1245,"運転",IF(AD1245&lt;=判定条件!$C$8*AC1245,"停止","断続")))</f>
        <v>判定不能</v>
      </c>
      <c r="AF1245" s="30" t="n">
        <v>60</v>
      </c>
      <c r="AG1245" s="30" t="n">
        <v>0</v>
      </c>
      <c r="AH1245" s="30" t="str">
        <f aca="false">IF(OR(P1245="判定不能",G1245="判定不能"),"判定不能",IF(AG1245&gt;=判定条件!$C$9,"利用可",IF(AND(P1245="停止",G1245="停止"),"両方停止","運転がそろわない")))</f>
        <v>運転がそろわない</v>
      </c>
      <c r="AI1245" s="30" t="n">
        <v>0</v>
      </c>
      <c r="AJ1245" s="30" t="n">
        <v>0</v>
      </c>
      <c r="AK1245" s="30" t="str">
        <f aca="false">IF(OR(S1245="判定不能",J1245="判定不能"),"判定不能",IF(AJ1245&gt;=判定条件!$C$9,"利用可",IF(AND(S1245="停止",J1245="停止"),"両方停止","運転がそろわない")))</f>
        <v>判定不能</v>
      </c>
      <c r="AL1245" s="30" t="n">
        <v>60</v>
      </c>
      <c r="AM1245" s="30" t="n">
        <v>9</v>
      </c>
      <c r="AN1245" s="30" t="str">
        <f aca="false">IF(OR(V1245="判定不能",M1245="判定不能"),"判定不能",IF(AM1245&gt;=判定条件!$C$9,"利用可",IF(AND(V1245="停止",M1245="停止"),"両方停止","運転がそろわない")))</f>
        <v>運転がそろわない</v>
      </c>
      <c r="AO1245" s="30" t="n">
        <v>0</v>
      </c>
      <c r="AP1245" s="30" t="n">
        <v>0</v>
      </c>
      <c r="AQ1245" s="30" t="str">
        <f aca="false">IF(OR(Y1245="判定不能",G1245="判定不能"),"判定不能",IF(AP1245&gt;=判定条件!$C$9,"利用可",IF(AND(Y1245="停止",G1245="停止"),"両方停止","運転がそろわない")))</f>
        <v>判定不能</v>
      </c>
      <c r="AR1245" s="30" t="n">
        <v>0</v>
      </c>
      <c r="AS1245" s="30" t="n">
        <v>0</v>
      </c>
      <c r="AT1245" s="30" t="str">
        <f aca="false">IF(OR(AB1245="判定不能",J1245="判定不能"),"判定不能",IF(AS1245&gt;=判定条件!$C$9,"利用可",IF(AND(AB1245="停止",J1245="停止"),"両方停止","運転がそろわない")))</f>
        <v>判定不能</v>
      </c>
      <c r="AU1245" s="30" t="n">
        <v>0</v>
      </c>
      <c r="AV1245" s="30" t="n">
        <v>0</v>
      </c>
      <c r="AW1245" s="30" t="str">
        <f aca="false">IF(OR(AE1245="判定不能",M1245="判定不能"),"判定不能",IF(AV1245&gt;=判定条件!$C$9,"利用可",IF(AND(AE1245="停止",M1245="停止"),"両方停止","運転がそろわない")))</f>
        <v>判定不能</v>
      </c>
      <c r="AX1245" s="30" t="str">
        <f aca="false">IF(AND(AH1245="利用可",AK1245="利用可",AN1245="利用可"),"利用可","不可")</f>
        <v>不可</v>
      </c>
      <c r="AY1245" s="30" t="str">
        <f aca="false">IF(AND(AQ1245="利用可",AT1245="利用可",AW1245="利用可"),"利用可","不可")</f>
        <v>不可</v>
      </c>
    </row>
    <row r="1246" customFormat="false" ht="15" hidden="false" customHeight="false" outlineLevel="0" collapsed="false">
      <c r="A1246" s="29" t="n">
        <v>46283</v>
      </c>
      <c r="B1246" s="30" t="n">
        <v>19</v>
      </c>
      <c r="C1246" s="31" t="s">
        <v>62</v>
      </c>
      <c r="D1246" s="31" t="s">
        <v>59</v>
      </c>
      <c r="E1246" s="30" t="n">
        <v>60</v>
      </c>
      <c r="F1246" s="30" t="n">
        <v>22</v>
      </c>
      <c r="G1246" s="30" t="str">
        <f aca="false">IF(E1246&lt;判定条件!$C$6,"判定不能",IF(F1246&gt;=判定条件!$C$7*E1246,"運転",IF(F1246&lt;=判定条件!$C$8*E1246,"停止","断続")))</f>
        <v>断続</v>
      </c>
      <c r="H1246" s="30" t="n">
        <v>0</v>
      </c>
      <c r="I1246" s="30" t="n">
        <v>0</v>
      </c>
      <c r="J1246" s="30" t="str">
        <f aca="false">IF(H1246&lt;判定条件!$C$6,"判定不能",IF(I1246&gt;=判定条件!$C$7*H1246,"運転",IF(I1246&lt;=判定条件!$C$8*H1246,"停止","断続")))</f>
        <v>判定不能</v>
      </c>
      <c r="K1246" s="30" t="n">
        <v>60</v>
      </c>
      <c r="L1246" s="30" t="n">
        <v>60</v>
      </c>
      <c r="M1246" s="30" t="str">
        <f aca="false">IF(K1246&lt;判定条件!$C$6,"判定不能",IF(L1246&gt;=判定条件!$C$7*K1246,"運転",IF(L1246&lt;=判定条件!$C$8*K1246,"停止","断続")))</f>
        <v>運転</v>
      </c>
      <c r="N1246" s="30" t="n">
        <v>60</v>
      </c>
      <c r="O1246" s="30" t="n">
        <v>24</v>
      </c>
      <c r="P1246" s="30" t="str">
        <f aca="false">IF(N1246&lt;判定条件!$C$6,"判定不能",IF(O1246&gt;=判定条件!$C$7*N1246,"運転",IF(O1246&lt;=判定条件!$C$8*N1246,"停止","断続")))</f>
        <v>断続</v>
      </c>
      <c r="Q1246" s="30" t="n">
        <v>60</v>
      </c>
      <c r="R1246" s="30" t="n">
        <v>60</v>
      </c>
      <c r="S1246" s="30" t="str">
        <f aca="false">IF(Q1246&lt;判定条件!$C$6,"判定不能",IF(R1246&gt;=判定条件!$C$7*Q1246,"運転",IF(R1246&lt;=判定条件!$C$8*Q1246,"停止","断続")))</f>
        <v>運転</v>
      </c>
      <c r="T1246" s="30" t="n">
        <v>60</v>
      </c>
      <c r="U1246" s="30" t="n">
        <v>30</v>
      </c>
      <c r="V1246" s="30" t="str">
        <f aca="false">IF(T1246&lt;判定条件!$C$6,"判定不能",IF(U1246&gt;=判定条件!$C$7*T1246,"運転",IF(U1246&lt;=判定条件!$C$8*T1246,"停止","断続")))</f>
        <v>断続</v>
      </c>
      <c r="W1246" s="30" t="n">
        <v>0</v>
      </c>
      <c r="X1246" s="30" t="n">
        <v>0</v>
      </c>
      <c r="Y1246" s="30" t="str">
        <f aca="false">IF(W1246&lt;判定条件!$C$6,"判定不能",IF(X1246&gt;=判定条件!$C$7*W1246,"運転",IF(X1246&lt;=判定条件!$C$8*W1246,"停止","断続")))</f>
        <v>判定不能</v>
      </c>
      <c r="Z1246" s="30" t="n">
        <v>0</v>
      </c>
      <c r="AA1246" s="30" t="n">
        <v>0</v>
      </c>
      <c r="AB1246" s="30" t="str">
        <f aca="false">IF(Z1246&lt;判定条件!$C$6,"判定不能",IF(AA1246&gt;=判定条件!$C$7*Z1246,"運転",IF(AA1246&lt;=判定条件!$C$8*Z1246,"停止","断続")))</f>
        <v>判定不能</v>
      </c>
      <c r="AC1246" s="30" t="n">
        <v>0</v>
      </c>
      <c r="AD1246" s="30" t="n">
        <v>0</v>
      </c>
      <c r="AE1246" s="30" t="str">
        <f aca="false">IF(AC1246&lt;判定条件!$C$6,"判定不能",IF(AD1246&gt;=判定条件!$C$7*AC1246,"運転",IF(AD1246&lt;=判定条件!$C$8*AC1246,"停止","断続")))</f>
        <v>判定不能</v>
      </c>
      <c r="AF1246" s="30" t="n">
        <v>60</v>
      </c>
      <c r="AG1246" s="30" t="n">
        <v>15</v>
      </c>
      <c r="AH1246" s="30" t="str">
        <f aca="false">IF(OR(P1246="判定不能",G1246="判定不能"),"判定不能",IF(AG1246&gt;=判定条件!$C$9,"利用可",IF(AND(P1246="停止",G1246="停止"),"両方停止","運転がそろわない")))</f>
        <v>運転がそろわない</v>
      </c>
      <c r="AI1246" s="30" t="n">
        <v>0</v>
      </c>
      <c r="AJ1246" s="30" t="n">
        <v>0</v>
      </c>
      <c r="AK1246" s="30" t="str">
        <f aca="false">IF(OR(S1246="判定不能",J1246="判定不能"),"判定不能",IF(AJ1246&gt;=判定条件!$C$9,"利用可",IF(AND(S1246="停止",J1246="停止"),"両方停止","運転がそろわない")))</f>
        <v>判定不能</v>
      </c>
      <c r="AL1246" s="30" t="n">
        <v>60</v>
      </c>
      <c r="AM1246" s="30" t="n">
        <v>30</v>
      </c>
      <c r="AN1246" s="30" t="str">
        <f aca="false">IF(OR(V1246="判定不能",M1246="判定不能"),"判定不能",IF(AM1246&gt;=判定条件!$C$9,"利用可",IF(AND(V1246="停止",M1246="停止"),"両方停止","運転がそろわない")))</f>
        <v>利用可</v>
      </c>
      <c r="AO1246" s="30" t="n">
        <v>0</v>
      </c>
      <c r="AP1246" s="30" t="n">
        <v>0</v>
      </c>
      <c r="AQ1246" s="30" t="str">
        <f aca="false">IF(OR(Y1246="判定不能",G1246="判定不能"),"判定不能",IF(AP1246&gt;=判定条件!$C$9,"利用可",IF(AND(Y1246="停止",G1246="停止"),"両方停止","運転がそろわない")))</f>
        <v>判定不能</v>
      </c>
      <c r="AR1246" s="30" t="n">
        <v>0</v>
      </c>
      <c r="AS1246" s="30" t="n">
        <v>0</v>
      </c>
      <c r="AT1246" s="30" t="str">
        <f aca="false">IF(OR(AB1246="判定不能",J1246="判定不能"),"判定不能",IF(AS1246&gt;=判定条件!$C$9,"利用可",IF(AND(AB1246="停止",J1246="停止"),"両方停止","運転がそろわない")))</f>
        <v>判定不能</v>
      </c>
      <c r="AU1246" s="30" t="n">
        <v>0</v>
      </c>
      <c r="AV1246" s="30" t="n">
        <v>0</v>
      </c>
      <c r="AW1246" s="30" t="str">
        <f aca="false">IF(OR(AE1246="判定不能",M1246="判定不能"),"判定不能",IF(AV1246&gt;=判定条件!$C$9,"利用可",IF(AND(AE1246="停止",M1246="停止"),"両方停止","運転がそろわない")))</f>
        <v>判定不能</v>
      </c>
      <c r="AX1246" s="30" t="str">
        <f aca="false">IF(AND(AH1246="利用可",AK1246="利用可",AN1246="利用可"),"利用可","不可")</f>
        <v>不可</v>
      </c>
      <c r="AY1246" s="30" t="str">
        <f aca="false">IF(AND(AQ1246="利用可",AT1246="利用可",AW1246="利用可"),"利用可","不可")</f>
        <v>不可</v>
      </c>
    </row>
    <row r="1247" customFormat="false" ht="15" hidden="false" customHeight="false" outlineLevel="0" collapsed="false">
      <c r="A1247" s="29" t="n">
        <v>46283</v>
      </c>
      <c r="B1247" s="30" t="n">
        <v>20</v>
      </c>
      <c r="C1247" s="31" t="s">
        <v>62</v>
      </c>
      <c r="D1247" s="31" t="s">
        <v>59</v>
      </c>
      <c r="E1247" s="30" t="n">
        <v>60</v>
      </c>
      <c r="F1247" s="30" t="n">
        <v>0</v>
      </c>
      <c r="G1247" s="30" t="str">
        <f aca="false">IF(E1247&lt;判定条件!$C$6,"判定不能",IF(F1247&gt;=判定条件!$C$7*E1247,"運転",IF(F1247&lt;=判定条件!$C$8*E1247,"停止","断続")))</f>
        <v>停止</v>
      </c>
      <c r="H1247" s="30" t="n">
        <v>0</v>
      </c>
      <c r="I1247" s="30" t="n">
        <v>0</v>
      </c>
      <c r="J1247" s="30" t="str">
        <f aca="false">IF(H1247&lt;判定条件!$C$6,"判定不能",IF(I1247&gt;=判定条件!$C$7*H1247,"運転",IF(I1247&lt;=判定条件!$C$8*H1247,"停止","断続")))</f>
        <v>判定不能</v>
      </c>
      <c r="K1247" s="30" t="n">
        <v>60</v>
      </c>
      <c r="L1247" s="30" t="n">
        <v>60</v>
      </c>
      <c r="M1247" s="30" t="str">
        <f aca="false">IF(K1247&lt;判定条件!$C$6,"判定不能",IF(L1247&gt;=判定条件!$C$7*K1247,"運転",IF(L1247&lt;=判定条件!$C$8*K1247,"停止","断続")))</f>
        <v>運転</v>
      </c>
      <c r="N1247" s="30" t="n">
        <v>60</v>
      </c>
      <c r="O1247" s="30" t="n">
        <v>0</v>
      </c>
      <c r="P1247" s="30" t="str">
        <f aca="false">IF(N1247&lt;判定条件!$C$6,"判定不能",IF(O1247&gt;=判定条件!$C$7*N1247,"運転",IF(O1247&lt;=判定条件!$C$8*N1247,"停止","断続")))</f>
        <v>停止</v>
      </c>
      <c r="Q1247" s="30" t="n">
        <v>60</v>
      </c>
      <c r="R1247" s="30" t="n">
        <v>19</v>
      </c>
      <c r="S1247" s="30" t="str">
        <f aca="false">IF(Q1247&lt;判定条件!$C$6,"判定不能",IF(R1247&gt;=判定条件!$C$7*Q1247,"運転",IF(R1247&lt;=判定条件!$C$8*Q1247,"停止","断続")))</f>
        <v>断続</v>
      </c>
      <c r="T1247" s="30" t="n">
        <v>60</v>
      </c>
      <c r="U1247" s="30" t="n">
        <v>0</v>
      </c>
      <c r="V1247" s="30" t="str">
        <f aca="false">IF(T1247&lt;判定条件!$C$6,"判定不能",IF(U1247&gt;=判定条件!$C$7*T1247,"運転",IF(U1247&lt;=判定条件!$C$8*T1247,"停止","断続")))</f>
        <v>停止</v>
      </c>
      <c r="W1247" s="30" t="n">
        <v>0</v>
      </c>
      <c r="X1247" s="30" t="n">
        <v>0</v>
      </c>
      <c r="Y1247" s="30" t="str">
        <f aca="false">IF(W1247&lt;判定条件!$C$6,"判定不能",IF(X1247&gt;=判定条件!$C$7*W1247,"運転",IF(X1247&lt;=判定条件!$C$8*W1247,"停止","断続")))</f>
        <v>判定不能</v>
      </c>
      <c r="Z1247" s="30" t="n">
        <v>0</v>
      </c>
      <c r="AA1247" s="30" t="n">
        <v>0</v>
      </c>
      <c r="AB1247" s="30" t="str">
        <f aca="false">IF(Z1247&lt;判定条件!$C$6,"判定不能",IF(AA1247&gt;=判定条件!$C$7*Z1247,"運転",IF(AA1247&lt;=判定条件!$C$8*Z1247,"停止","断続")))</f>
        <v>判定不能</v>
      </c>
      <c r="AC1247" s="30" t="n">
        <v>0</v>
      </c>
      <c r="AD1247" s="30" t="n">
        <v>0</v>
      </c>
      <c r="AE1247" s="30" t="str">
        <f aca="false">IF(AC1247&lt;判定条件!$C$6,"判定不能",IF(AD1247&gt;=判定条件!$C$7*AC1247,"運転",IF(AD1247&lt;=判定条件!$C$8*AC1247,"停止","断続")))</f>
        <v>判定不能</v>
      </c>
      <c r="AF1247" s="30" t="n">
        <v>60</v>
      </c>
      <c r="AG1247" s="30" t="n">
        <v>0</v>
      </c>
      <c r="AH1247" s="30" t="str">
        <f aca="false">IF(OR(P1247="判定不能",G1247="判定不能"),"判定不能",IF(AG1247&gt;=判定条件!$C$9,"利用可",IF(AND(P1247="停止",G1247="停止"),"両方停止","運転がそろわない")))</f>
        <v>両方停止</v>
      </c>
      <c r="AI1247" s="30" t="n">
        <v>0</v>
      </c>
      <c r="AJ1247" s="30" t="n">
        <v>0</v>
      </c>
      <c r="AK1247" s="30" t="str">
        <f aca="false">IF(OR(S1247="判定不能",J1247="判定不能"),"判定不能",IF(AJ1247&gt;=判定条件!$C$9,"利用可",IF(AND(S1247="停止",J1247="停止"),"両方停止","運転がそろわない")))</f>
        <v>判定不能</v>
      </c>
      <c r="AL1247" s="30" t="n">
        <v>60</v>
      </c>
      <c r="AM1247" s="30" t="n">
        <v>0</v>
      </c>
      <c r="AN1247" s="30" t="str">
        <f aca="false">IF(OR(V1247="判定不能",M1247="判定不能"),"判定不能",IF(AM1247&gt;=判定条件!$C$9,"利用可",IF(AND(V1247="停止",M1247="停止"),"両方停止","運転がそろわない")))</f>
        <v>運転がそろわない</v>
      </c>
      <c r="AO1247" s="30" t="n">
        <v>0</v>
      </c>
      <c r="AP1247" s="30" t="n">
        <v>0</v>
      </c>
      <c r="AQ1247" s="30" t="str">
        <f aca="false">IF(OR(Y1247="判定不能",G1247="判定不能"),"判定不能",IF(AP1247&gt;=判定条件!$C$9,"利用可",IF(AND(Y1247="停止",G1247="停止"),"両方停止","運転がそろわない")))</f>
        <v>判定不能</v>
      </c>
      <c r="AR1247" s="30" t="n">
        <v>0</v>
      </c>
      <c r="AS1247" s="30" t="n">
        <v>0</v>
      </c>
      <c r="AT1247" s="30" t="str">
        <f aca="false">IF(OR(AB1247="判定不能",J1247="判定不能"),"判定不能",IF(AS1247&gt;=判定条件!$C$9,"利用可",IF(AND(AB1247="停止",J1247="停止"),"両方停止","運転がそろわない")))</f>
        <v>判定不能</v>
      </c>
      <c r="AU1247" s="30" t="n">
        <v>0</v>
      </c>
      <c r="AV1247" s="30" t="n">
        <v>0</v>
      </c>
      <c r="AW1247" s="30" t="str">
        <f aca="false">IF(OR(AE1247="判定不能",M1247="判定不能"),"判定不能",IF(AV1247&gt;=判定条件!$C$9,"利用可",IF(AND(AE1247="停止",M1247="停止"),"両方停止","運転がそろわない")))</f>
        <v>判定不能</v>
      </c>
      <c r="AX1247" s="30" t="str">
        <f aca="false">IF(AND(AH1247="利用可",AK1247="利用可",AN1247="利用可"),"利用可","不可")</f>
        <v>不可</v>
      </c>
      <c r="AY1247" s="30" t="str">
        <f aca="false">IF(AND(AQ1247="利用可",AT1247="利用可",AW1247="利用可"),"利用可","不可")</f>
        <v>不可</v>
      </c>
    </row>
    <row r="1248" customFormat="false" ht="15" hidden="false" customHeight="false" outlineLevel="0" collapsed="false">
      <c r="A1248" s="29" t="n">
        <v>46283</v>
      </c>
      <c r="B1248" s="30" t="n">
        <v>21</v>
      </c>
      <c r="C1248" s="31" t="s">
        <v>62</v>
      </c>
      <c r="D1248" s="31" t="s">
        <v>59</v>
      </c>
      <c r="E1248" s="30" t="n">
        <v>60</v>
      </c>
      <c r="F1248" s="30" t="n">
        <v>0</v>
      </c>
      <c r="G1248" s="30" t="str">
        <f aca="false">IF(E1248&lt;判定条件!$C$6,"判定不能",IF(F1248&gt;=判定条件!$C$7*E1248,"運転",IF(F1248&lt;=判定条件!$C$8*E1248,"停止","断続")))</f>
        <v>停止</v>
      </c>
      <c r="H1248" s="30" t="n">
        <v>0</v>
      </c>
      <c r="I1248" s="30" t="n">
        <v>0</v>
      </c>
      <c r="J1248" s="30" t="str">
        <f aca="false">IF(H1248&lt;判定条件!$C$6,"判定不能",IF(I1248&gt;=判定条件!$C$7*H1248,"運転",IF(I1248&lt;=判定条件!$C$8*H1248,"停止","断続")))</f>
        <v>判定不能</v>
      </c>
      <c r="K1248" s="30" t="n">
        <v>60</v>
      </c>
      <c r="L1248" s="30" t="n">
        <v>2</v>
      </c>
      <c r="M1248" s="30" t="str">
        <f aca="false">IF(K1248&lt;判定条件!$C$6,"判定不能",IF(L1248&gt;=判定条件!$C$7*K1248,"運転",IF(L1248&lt;=判定条件!$C$8*K1248,"停止","断続")))</f>
        <v>停止</v>
      </c>
      <c r="N1248" s="30" t="n">
        <v>60</v>
      </c>
      <c r="O1248" s="30" t="n">
        <v>0</v>
      </c>
      <c r="P1248" s="30" t="str">
        <f aca="false">IF(N1248&lt;判定条件!$C$6,"判定不能",IF(O1248&gt;=判定条件!$C$7*N1248,"運転",IF(O1248&lt;=判定条件!$C$8*N1248,"停止","断続")))</f>
        <v>停止</v>
      </c>
      <c r="Q1248" s="30" t="n">
        <v>60</v>
      </c>
      <c r="R1248" s="30" t="n">
        <v>0</v>
      </c>
      <c r="S1248" s="30" t="str">
        <f aca="false">IF(Q1248&lt;判定条件!$C$6,"判定不能",IF(R1248&gt;=判定条件!$C$7*Q1248,"運転",IF(R1248&lt;=判定条件!$C$8*Q1248,"停止","断続")))</f>
        <v>停止</v>
      </c>
      <c r="T1248" s="30" t="n">
        <v>60</v>
      </c>
      <c r="U1248" s="30" t="n">
        <v>0</v>
      </c>
      <c r="V1248" s="30" t="str">
        <f aca="false">IF(T1248&lt;判定条件!$C$6,"判定不能",IF(U1248&gt;=判定条件!$C$7*T1248,"運転",IF(U1248&lt;=判定条件!$C$8*T1248,"停止","断続")))</f>
        <v>停止</v>
      </c>
      <c r="W1248" s="30" t="n">
        <v>0</v>
      </c>
      <c r="X1248" s="30" t="n">
        <v>0</v>
      </c>
      <c r="Y1248" s="30" t="str">
        <f aca="false">IF(W1248&lt;判定条件!$C$6,"判定不能",IF(X1248&gt;=判定条件!$C$7*W1248,"運転",IF(X1248&lt;=判定条件!$C$8*W1248,"停止","断続")))</f>
        <v>判定不能</v>
      </c>
      <c r="Z1248" s="30" t="n">
        <v>0</v>
      </c>
      <c r="AA1248" s="30" t="n">
        <v>0</v>
      </c>
      <c r="AB1248" s="30" t="str">
        <f aca="false">IF(Z1248&lt;判定条件!$C$6,"判定不能",IF(AA1248&gt;=判定条件!$C$7*Z1248,"運転",IF(AA1248&lt;=判定条件!$C$8*Z1248,"停止","断続")))</f>
        <v>判定不能</v>
      </c>
      <c r="AC1248" s="30" t="n">
        <v>0</v>
      </c>
      <c r="AD1248" s="30" t="n">
        <v>0</v>
      </c>
      <c r="AE1248" s="30" t="str">
        <f aca="false">IF(AC1248&lt;判定条件!$C$6,"判定不能",IF(AD1248&gt;=判定条件!$C$7*AC1248,"運転",IF(AD1248&lt;=判定条件!$C$8*AC1248,"停止","断続")))</f>
        <v>判定不能</v>
      </c>
      <c r="AF1248" s="30" t="n">
        <v>60</v>
      </c>
      <c r="AG1248" s="30" t="n">
        <v>0</v>
      </c>
      <c r="AH1248" s="30" t="str">
        <f aca="false">IF(OR(P1248="判定不能",G1248="判定不能"),"判定不能",IF(AG1248&gt;=判定条件!$C$9,"利用可",IF(AND(P1248="停止",G1248="停止"),"両方停止","運転がそろわない")))</f>
        <v>両方停止</v>
      </c>
      <c r="AI1248" s="30" t="n">
        <v>0</v>
      </c>
      <c r="AJ1248" s="30" t="n">
        <v>0</v>
      </c>
      <c r="AK1248" s="30" t="str">
        <f aca="false">IF(OR(S1248="判定不能",J1248="判定不能"),"判定不能",IF(AJ1248&gt;=判定条件!$C$9,"利用可",IF(AND(S1248="停止",J1248="停止"),"両方停止","運転がそろわない")))</f>
        <v>判定不能</v>
      </c>
      <c r="AL1248" s="30" t="n">
        <v>60</v>
      </c>
      <c r="AM1248" s="30" t="n">
        <v>0</v>
      </c>
      <c r="AN1248" s="30" t="str">
        <f aca="false">IF(OR(V1248="判定不能",M1248="判定不能"),"判定不能",IF(AM1248&gt;=判定条件!$C$9,"利用可",IF(AND(V1248="停止",M1248="停止"),"両方停止","運転がそろわない")))</f>
        <v>両方停止</v>
      </c>
      <c r="AO1248" s="30" t="n">
        <v>0</v>
      </c>
      <c r="AP1248" s="30" t="n">
        <v>0</v>
      </c>
      <c r="AQ1248" s="30" t="str">
        <f aca="false">IF(OR(Y1248="判定不能",G1248="判定不能"),"判定不能",IF(AP1248&gt;=判定条件!$C$9,"利用可",IF(AND(Y1248="停止",G1248="停止"),"両方停止","運転がそろわない")))</f>
        <v>判定不能</v>
      </c>
      <c r="AR1248" s="30" t="n">
        <v>0</v>
      </c>
      <c r="AS1248" s="30" t="n">
        <v>0</v>
      </c>
      <c r="AT1248" s="30" t="str">
        <f aca="false">IF(OR(AB1248="判定不能",J1248="判定不能"),"判定不能",IF(AS1248&gt;=判定条件!$C$9,"利用可",IF(AND(AB1248="停止",J1248="停止"),"両方停止","運転がそろわない")))</f>
        <v>判定不能</v>
      </c>
      <c r="AU1248" s="30" t="n">
        <v>0</v>
      </c>
      <c r="AV1248" s="30" t="n">
        <v>0</v>
      </c>
      <c r="AW1248" s="30" t="str">
        <f aca="false">IF(OR(AE1248="判定不能",M1248="判定不能"),"判定不能",IF(AV1248&gt;=判定条件!$C$9,"利用可",IF(AND(AE1248="停止",M1248="停止"),"両方停止","運転がそろわない")))</f>
        <v>判定不能</v>
      </c>
      <c r="AX1248" s="30" t="str">
        <f aca="false">IF(AND(AH1248="利用可",AK1248="利用可",AN1248="利用可"),"利用可","不可")</f>
        <v>不可</v>
      </c>
      <c r="AY1248" s="30" t="str">
        <f aca="false">IF(AND(AQ1248="利用可",AT1248="利用可",AW1248="利用可"),"利用可","不可")</f>
        <v>不可</v>
      </c>
    </row>
    <row r="1249" customFormat="false" ht="15" hidden="false" customHeight="false" outlineLevel="0" collapsed="false">
      <c r="A1249" s="29" t="n">
        <v>46283</v>
      </c>
      <c r="B1249" s="30" t="n">
        <v>22</v>
      </c>
      <c r="C1249" s="31" t="s">
        <v>62</v>
      </c>
      <c r="D1249" s="31" t="s">
        <v>59</v>
      </c>
      <c r="E1249" s="30" t="n">
        <v>60</v>
      </c>
      <c r="F1249" s="30" t="n">
        <v>0</v>
      </c>
      <c r="G1249" s="30" t="str">
        <f aca="false">IF(E1249&lt;判定条件!$C$6,"判定不能",IF(F1249&gt;=判定条件!$C$7*E1249,"運転",IF(F1249&lt;=判定条件!$C$8*E1249,"停止","断続")))</f>
        <v>停止</v>
      </c>
      <c r="H1249" s="30" t="n">
        <v>0</v>
      </c>
      <c r="I1249" s="30" t="n">
        <v>0</v>
      </c>
      <c r="J1249" s="30" t="str">
        <f aca="false">IF(H1249&lt;判定条件!$C$6,"判定不能",IF(I1249&gt;=判定条件!$C$7*H1249,"運転",IF(I1249&lt;=判定条件!$C$8*H1249,"停止","断続")))</f>
        <v>判定不能</v>
      </c>
      <c r="K1249" s="30" t="n">
        <v>60</v>
      </c>
      <c r="L1249" s="30" t="n">
        <v>0</v>
      </c>
      <c r="M1249" s="30" t="str">
        <f aca="false">IF(K1249&lt;判定条件!$C$6,"判定不能",IF(L1249&gt;=判定条件!$C$7*K1249,"運転",IF(L1249&lt;=判定条件!$C$8*K1249,"停止","断続")))</f>
        <v>停止</v>
      </c>
      <c r="N1249" s="30" t="n">
        <v>60</v>
      </c>
      <c r="O1249" s="30" t="n">
        <v>0</v>
      </c>
      <c r="P1249" s="30" t="str">
        <f aca="false">IF(N1249&lt;判定条件!$C$6,"判定不能",IF(O1249&gt;=判定条件!$C$7*N1249,"運転",IF(O1249&lt;=判定条件!$C$8*N1249,"停止","断続")))</f>
        <v>停止</v>
      </c>
      <c r="Q1249" s="30" t="n">
        <v>60</v>
      </c>
      <c r="R1249" s="30" t="n">
        <v>0</v>
      </c>
      <c r="S1249" s="30" t="str">
        <f aca="false">IF(Q1249&lt;判定条件!$C$6,"判定不能",IF(R1249&gt;=判定条件!$C$7*Q1249,"運転",IF(R1249&lt;=判定条件!$C$8*Q1249,"停止","断続")))</f>
        <v>停止</v>
      </c>
      <c r="T1249" s="30" t="n">
        <v>60</v>
      </c>
      <c r="U1249" s="30" t="n">
        <v>0</v>
      </c>
      <c r="V1249" s="30" t="str">
        <f aca="false">IF(T1249&lt;判定条件!$C$6,"判定不能",IF(U1249&gt;=判定条件!$C$7*T1249,"運転",IF(U1249&lt;=判定条件!$C$8*T1249,"停止","断続")))</f>
        <v>停止</v>
      </c>
      <c r="W1249" s="30" t="n">
        <v>0</v>
      </c>
      <c r="X1249" s="30" t="n">
        <v>0</v>
      </c>
      <c r="Y1249" s="30" t="str">
        <f aca="false">IF(W1249&lt;判定条件!$C$6,"判定不能",IF(X1249&gt;=判定条件!$C$7*W1249,"運転",IF(X1249&lt;=判定条件!$C$8*W1249,"停止","断続")))</f>
        <v>判定不能</v>
      </c>
      <c r="Z1249" s="30" t="n">
        <v>0</v>
      </c>
      <c r="AA1249" s="30" t="n">
        <v>0</v>
      </c>
      <c r="AB1249" s="30" t="str">
        <f aca="false">IF(Z1249&lt;判定条件!$C$6,"判定不能",IF(AA1249&gt;=判定条件!$C$7*Z1249,"運転",IF(AA1249&lt;=判定条件!$C$8*Z1249,"停止","断続")))</f>
        <v>判定不能</v>
      </c>
      <c r="AC1249" s="30" t="n">
        <v>0</v>
      </c>
      <c r="AD1249" s="30" t="n">
        <v>0</v>
      </c>
      <c r="AE1249" s="30" t="str">
        <f aca="false">IF(AC1249&lt;判定条件!$C$6,"判定不能",IF(AD1249&gt;=判定条件!$C$7*AC1249,"運転",IF(AD1249&lt;=判定条件!$C$8*AC1249,"停止","断続")))</f>
        <v>判定不能</v>
      </c>
      <c r="AF1249" s="30" t="n">
        <v>60</v>
      </c>
      <c r="AG1249" s="30" t="n">
        <v>0</v>
      </c>
      <c r="AH1249" s="30" t="str">
        <f aca="false">IF(OR(P1249="判定不能",G1249="判定不能"),"判定不能",IF(AG1249&gt;=判定条件!$C$9,"利用可",IF(AND(P1249="停止",G1249="停止"),"両方停止","運転がそろわない")))</f>
        <v>両方停止</v>
      </c>
      <c r="AI1249" s="30" t="n">
        <v>0</v>
      </c>
      <c r="AJ1249" s="30" t="n">
        <v>0</v>
      </c>
      <c r="AK1249" s="30" t="str">
        <f aca="false">IF(OR(S1249="判定不能",J1249="判定不能"),"判定不能",IF(AJ1249&gt;=判定条件!$C$9,"利用可",IF(AND(S1249="停止",J1249="停止"),"両方停止","運転がそろわない")))</f>
        <v>判定不能</v>
      </c>
      <c r="AL1249" s="30" t="n">
        <v>60</v>
      </c>
      <c r="AM1249" s="30" t="n">
        <v>0</v>
      </c>
      <c r="AN1249" s="30" t="str">
        <f aca="false">IF(OR(V1249="判定不能",M1249="判定不能"),"判定不能",IF(AM1249&gt;=判定条件!$C$9,"利用可",IF(AND(V1249="停止",M1249="停止"),"両方停止","運転がそろわない")))</f>
        <v>両方停止</v>
      </c>
      <c r="AO1249" s="30" t="n">
        <v>0</v>
      </c>
      <c r="AP1249" s="30" t="n">
        <v>0</v>
      </c>
      <c r="AQ1249" s="30" t="str">
        <f aca="false">IF(OR(Y1249="判定不能",G1249="判定不能"),"判定不能",IF(AP1249&gt;=判定条件!$C$9,"利用可",IF(AND(Y1249="停止",G1249="停止"),"両方停止","運転がそろわない")))</f>
        <v>判定不能</v>
      </c>
      <c r="AR1249" s="30" t="n">
        <v>0</v>
      </c>
      <c r="AS1249" s="30" t="n">
        <v>0</v>
      </c>
      <c r="AT1249" s="30" t="str">
        <f aca="false">IF(OR(AB1249="判定不能",J1249="判定不能"),"判定不能",IF(AS1249&gt;=判定条件!$C$9,"利用可",IF(AND(AB1249="停止",J1249="停止"),"両方停止","運転がそろわない")))</f>
        <v>判定不能</v>
      </c>
      <c r="AU1249" s="30" t="n">
        <v>0</v>
      </c>
      <c r="AV1249" s="30" t="n">
        <v>0</v>
      </c>
      <c r="AW1249" s="30" t="str">
        <f aca="false">IF(OR(AE1249="判定不能",M1249="判定不能"),"判定不能",IF(AV1249&gt;=判定条件!$C$9,"利用可",IF(AND(AE1249="停止",M1249="停止"),"両方停止","運転がそろわない")))</f>
        <v>判定不能</v>
      </c>
      <c r="AX1249" s="30" t="str">
        <f aca="false">IF(AND(AH1249="利用可",AK1249="利用可",AN1249="利用可"),"利用可","不可")</f>
        <v>不可</v>
      </c>
      <c r="AY1249" s="30" t="str">
        <f aca="false">IF(AND(AQ1249="利用可",AT1249="利用可",AW1249="利用可"),"利用可","不可")</f>
        <v>不可</v>
      </c>
    </row>
    <row r="1250" customFormat="false" ht="15" hidden="false" customHeight="false" outlineLevel="0" collapsed="false">
      <c r="A1250" s="29" t="n">
        <v>46283</v>
      </c>
      <c r="B1250" s="30" t="n">
        <v>23</v>
      </c>
      <c r="C1250" s="31" t="s">
        <v>62</v>
      </c>
      <c r="D1250" s="31" t="s">
        <v>59</v>
      </c>
      <c r="E1250" s="30" t="n">
        <v>60</v>
      </c>
      <c r="F1250" s="30" t="n">
        <v>0</v>
      </c>
      <c r="G1250" s="30" t="str">
        <f aca="false">IF(E1250&lt;判定条件!$C$6,"判定不能",IF(F1250&gt;=判定条件!$C$7*E1250,"運転",IF(F1250&lt;=判定条件!$C$8*E1250,"停止","断続")))</f>
        <v>停止</v>
      </c>
      <c r="H1250" s="30" t="n">
        <v>0</v>
      </c>
      <c r="I1250" s="30" t="n">
        <v>0</v>
      </c>
      <c r="J1250" s="30" t="str">
        <f aca="false">IF(H1250&lt;判定条件!$C$6,"判定不能",IF(I1250&gt;=判定条件!$C$7*H1250,"運転",IF(I1250&lt;=判定条件!$C$8*H1250,"停止","断続")))</f>
        <v>判定不能</v>
      </c>
      <c r="K1250" s="30" t="n">
        <v>60</v>
      </c>
      <c r="L1250" s="30" t="n">
        <v>0</v>
      </c>
      <c r="M1250" s="30" t="str">
        <f aca="false">IF(K1250&lt;判定条件!$C$6,"判定不能",IF(L1250&gt;=判定条件!$C$7*K1250,"運転",IF(L1250&lt;=判定条件!$C$8*K1250,"停止","断続")))</f>
        <v>停止</v>
      </c>
      <c r="N1250" s="30" t="n">
        <v>60</v>
      </c>
      <c r="O1250" s="30" t="n">
        <v>0</v>
      </c>
      <c r="P1250" s="30" t="str">
        <f aca="false">IF(N1250&lt;判定条件!$C$6,"判定不能",IF(O1250&gt;=判定条件!$C$7*N1250,"運転",IF(O1250&lt;=判定条件!$C$8*N1250,"停止","断続")))</f>
        <v>停止</v>
      </c>
      <c r="Q1250" s="30" t="n">
        <v>60</v>
      </c>
      <c r="R1250" s="30" t="n">
        <v>0</v>
      </c>
      <c r="S1250" s="30" t="str">
        <f aca="false">IF(Q1250&lt;判定条件!$C$6,"判定不能",IF(R1250&gt;=判定条件!$C$7*Q1250,"運転",IF(R1250&lt;=判定条件!$C$8*Q1250,"停止","断続")))</f>
        <v>停止</v>
      </c>
      <c r="T1250" s="30" t="n">
        <v>60</v>
      </c>
      <c r="U1250" s="30" t="n">
        <v>0</v>
      </c>
      <c r="V1250" s="30" t="str">
        <f aca="false">IF(T1250&lt;判定条件!$C$6,"判定不能",IF(U1250&gt;=判定条件!$C$7*T1250,"運転",IF(U1250&lt;=判定条件!$C$8*T1250,"停止","断続")))</f>
        <v>停止</v>
      </c>
      <c r="W1250" s="30" t="n">
        <v>0</v>
      </c>
      <c r="X1250" s="30" t="n">
        <v>0</v>
      </c>
      <c r="Y1250" s="30" t="str">
        <f aca="false">IF(W1250&lt;判定条件!$C$6,"判定不能",IF(X1250&gt;=判定条件!$C$7*W1250,"運転",IF(X1250&lt;=判定条件!$C$8*W1250,"停止","断続")))</f>
        <v>判定不能</v>
      </c>
      <c r="Z1250" s="30" t="n">
        <v>0</v>
      </c>
      <c r="AA1250" s="30" t="n">
        <v>0</v>
      </c>
      <c r="AB1250" s="30" t="str">
        <f aca="false">IF(Z1250&lt;判定条件!$C$6,"判定不能",IF(AA1250&gt;=判定条件!$C$7*Z1250,"運転",IF(AA1250&lt;=判定条件!$C$8*Z1250,"停止","断続")))</f>
        <v>判定不能</v>
      </c>
      <c r="AC1250" s="30" t="n">
        <v>0</v>
      </c>
      <c r="AD1250" s="30" t="n">
        <v>0</v>
      </c>
      <c r="AE1250" s="30" t="str">
        <f aca="false">IF(AC1250&lt;判定条件!$C$6,"判定不能",IF(AD1250&gt;=判定条件!$C$7*AC1250,"運転",IF(AD1250&lt;=判定条件!$C$8*AC1250,"停止","断続")))</f>
        <v>判定不能</v>
      </c>
      <c r="AF1250" s="30" t="n">
        <v>60</v>
      </c>
      <c r="AG1250" s="30" t="n">
        <v>0</v>
      </c>
      <c r="AH1250" s="30" t="str">
        <f aca="false">IF(OR(P1250="判定不能",G1250="判定不能"),"判定不能",IF(AG1250&gt;=判定条件!$C$9,"利用可",IF(AND(P1250="停止",G1250="停止"),"両方停止","運転がそろわない")))</f>
        <v>両方停止</v>
      </c>
      <c r="AI1250" s="30" t="n">
        <v>0</v>
      </c>
      <c r="AJ1250" s="30" t="n">
        <v>0</v>
      </c>
      <c r="AK1250" s="30" t="str">
        <f aca="false">IF(OR(S1250="判定不能",J1250="判定不能"),"判定不能",IF(AJ1250&gt;=判定条件!$C$9,"利用可",IF(AND(S1250="停止",J1250="停止"),"両方停止","運転がそろわない")))</f>
        <v>判定不能</v>
      </c>
      <c r="AL1250" s="30" t="n">
        <v>60</v>
      </c>
      <c r="AM1250" s="30" t="n">
        <v>0</v>
      </c>
      <c r="AN1250" s="30" t="str">
        <f aca="false">IF(OR(V1250="判定不能",M1250="判定不能"),"判定不能",IF(AM1250&gt;=判定条件!$C$9,"利用可",IF(AND(V1250="停止",M1250="停止"),"両方停止","運転がそろわない")))</f>
        <v>両方停止</v>
      </c>
      <c r="AO1250" s="30" t="n">
        <v>0</v>
      </c>
      <c r="AP1250" s="30" t="n">
        <v>0</v>
      </c>
      <c r="AQ1250" s="30" t="str">
        <f aca="false">IF(OR(Y1250="判定不能",G1250="判定不能"),"判定不能",IF(AP1250&gt;=判定条件!$C$9,"利用可",IF(AND(Y1250="停止",G1250="停止"),"両方停止","運転がそろわない")))</f>
        <v>判定不能</v>
      </c>
      <c r="AR1250" s="30" t="n">
        <v>0</v>
      </c>
      <c r="AS1250" s="30" t="n">
        <v>0</v>
      </c>
      <c r="AT1250" s="30" t="str">
        <f aca="false">IF(OR(AB1250="判定不能",J1250="判定不能"),"判定不能",IF(AS1250&gt;=判定条件!$C$9,"利用可",IF(AND(AB1250="停止",J1250="停止"),"両方停止","運転がそろわない")))</f>
        <v>判定不能</v>
      </c>
      <c r="AU1250" s="30" t="n">
        <v>0</v>
      </c>
      <c r="AV1250" s="30" t="n">
        <v>0</v>
      </c>
      <c r="AW1250" s="30" t="str">
        <f aca="false">IF(OR(AE1250="判定不能",M1250="判定不能"),"判定不能",IF(AV1250&gt;=判定条件!$C$9,"利用可",IF(AND(AE1250="停止",M1250="停止"),"両方停止","運転がそろわない")))</f>
        <v>判定不能</v>
      </c>
      <c r="AX1250" s="30" t="str">
        <f aca="false">IF(AND(AH1250="利用可",AK1250="利用可",AN1250="利用可"),"利用可","不可")</f>
        <v>不可</v>
      </c>
      <c r="AY1250" s="30" t="str">
        <f aca="false">IF(AND(AQ1250="利用可",AT1250="利用可",AW1250="利用可"),"利用可","不可")</f>
        <v>不可</v>
      </c>
    </row>
    <row r="1251" customFormat="false" ht="15" hidden="false" customHeight="false" outlineLevel="0" collapsed="false">
      <c r="A1251" s="29" t="n">
        <v>46284</v>
      </c>
      <c r="B1251" s="30" t="n">
        <v>0</v>
      </c>
      <c r="C1251" s="31" t="s">
        <v>63</v>
      </c>
      <c r="D1251" s="31" t="s">
        <v>64</v>
      </c>
      <c r="E1251" s="30" t="n">
        <v>60</v>
      </c>
      <c r="F1251" s="30" t="n">
        <v>0</v>
      </c>
      <c r="G1251" s="30" t="str">
        <f aca="false">IF(E1251&lt;判定条件!$C$6,"判定不能",IF(F1251&gt;=判定条件!$C$7*E1251,"運転",IF(F1251&lt;=判定条件!$C$8*E1251,"停止","断続")))</f>
        <v>停止</v>
      </c>
      <c r="H1251" s="30" t="n">
        <v>0</v>
      </c>
      <c r="I1251" s="30" t="n">
        <v>0</v>
      </c>
      <c r="J1251" s="30" t="str">
        <f aca="false">IF(H1251&lt;判定条件!$C$6,"判定不能",IF(I1251&gt;=判定条件!$C$7*H1251,"運転",IF(I1251&lt;=判定条件!$C$8*H1251,"停止","断続")))</f>
        <v>判定不能</v>
      </c>
      <c r="K1251" s="30" t="n">
        <v>60</v>
      </c>
      <c r="L1251" s="30" t="n">
        <v>0</v>
      </c>
      <c r="M1251" s="30" t="str">
        <f aca="false">IF(K1251&lt;判定条件!$C$6,"判定不能",IF(L1251&gt;=判定条件!$C$7*K1251,"運転",IF(L1251&lt;=判定条件!$C$8*K1251,"停止","断続")))</f>
        <v>停止</v>
      </c>
      <c r="N1251" s="30" t="n">
        <v>60</v>
      </c>
      <c r="O1251" s="30" t="n">
        <v>0</v>
      </c>
      <c r="P1251" s="30" t="str">
        <f aca="false">IF(N1251&lt;判定条件!$C$6,"判定不能",IF(O1251&gt;=判定条件!$C$7*N1251,"運転",IF(O1251&lt;=判定条件!$C$8*N1251,"停止","断続")))</f>
        <v>停止</v>
      </c>
      <c r="Q1251" s="30" t="n">
        <v>60</v>
      </c>
      <c r="R1251" s="30" t="n">
        <v>0</v>
      </c>
      <c r="S1251" s="30" t="str">
        <f aca="false">IF(Q1251&lt;判定条件!$C$6,"判定不能",IF(R1251&gt;=判定条件!$C$7*Q1251,"運転",IF(R1251&lt;=判定条件!$C$8*Q1251,"停止","断続")))</f>
        <v>停止</v>
      </c>
      <c r="T1251" s="30" t="n">
        <v>60</v>
      </c>
      <c r="U1251" s="30" t="n">
        <v>0</v>
      </c>
      <c r="V1251" s="30" t="str">
        <f aca="false">IF(T1251&lt;判定条件!$C$6,"判定不能",IF(U1251&gt;=判定条件!$C$7*T1251,"運転",IF(U1251&lt;=判定条件!$C$8*T1251,"停止","断続")))</f>
        <v>停止</v>
      </c>
      <c r="W1251" s="30" t="n">
        <v>0</v>
      </c>
      <c r="X1251" s="30" t="n">
        <v>0</v>
      </c>
      <c r="Y1251" s="30" t="str">
        <f aca="false">IF(W1251&lt;判定条件!$C$6,"判定不能",IF(X1251&gt;=判定条件!$C$7*W1251,"運転",IF(X1251&lt;=判定条件!$C$8*W1251,"停止","断続")))</f>
        <v>判定不能</v>
      </c>
      <c r="Z1251" s="30" t="n">
        <v>0</v>
      </c>
      <c r="AA1251" s="30" t="n">
        <v>0</v>
      </c>
      <c r="AB1251" s="30" t="str">
        <f aca="false">IF(Z1251&lt;判定条件!$C$6,"判定不能",IF(AA1251&gt;=判定条件!$C$7*Z1251,"運転",IF(AA1251&lt;=判定条件!$C$8*Z1251,"停止","断続")))</f>
        <v>判定不能</v>
      </c>
      <c r="AC1251" s="30" t="n">
        <v>0</v>
      </c>
      <c r="AD1251" s="30" t="n">
        <v>0</v>
      </c>
      <c r="AE1251" s="30" t="str">
        <f aca="false">IF(AC1251&lt;判定条件!$C$6,"判定不能",IF(AD1251&gt;=判定条件!$C$7*AC1251,"運転",IF(AD1251&lt;=判定条件!$C$8*AC1251,"停止","断続")))</f>
        <v>判定不能</v>
      </c>
      <c r="AF1251" s="30" t="n">
        <v>60</v>
      </c>
      <c r="AG1251" s="30" t="n">
        <v>0</v>
      </c>
      <c r="AH1251" s="30" t="str">
        <f aca="false">IF(OR(P1251="判定不能",G1251="判定不能"),"判定不能",IF(AG1251&gt;=判定条件!$C$9,"利用可",IF(AND(P1251="停止",G1251="停止"),"両方停止","運転がそろわない")))</f>
        <v>両方停止</v>
      </c>
      <c r="AI1251" s="30" t="n">
        <v>0</v>
      </c>
      <c r="AJ1251" s="30" t="n">
        <v>0</v>
      </c>
      <c r="AK1251" s="30" t="str">
        <f aca="false">IF(OR(S1251="判定不能",J1251="判定不能"),"判定不能",IF(AJ1251&gt;=判定条件!$C$9,"利用可",IF(AND(S1251="停止",J1251="停止"),"両方停止","運転がそろわない")))</f>
        <v>判定不能</v>
      </c>
      <c r="AL1251" s="30" t="n">
        <v>60</v>
      </c>
      <c r="AM1251" s="30" t="n">
        <v>0</v>
      </c>
      <c r="AN1251" s="30" t="str">
        <f aca="false">IF(OR(V1251="判定不能",M1251="判定不能"),"判定不能",IF(AM1251&gt;=判定条件!$C$9,"利用可",IF(AND(V1251="停止",M1251="停止"),"両方停止","運転がそろわない")))</f>
        <v>両方停止</v>
      </c>
      <c r="AO1251" s="30" t="n">
        <v>0</v>
      </c>
      <c r="AP1251" s="30" t="n">
        <v>0</v>
      </c>
      <c r="AQ1251" s="30" t="str">
        <f aca="false">IF(OR(Y1251="判定不能",G1251="判定不能"),"判定不能",IF(AP1251&gt;=判定条件!$C$9,"利用可",IF(AND(Y1251="停止",G1251="停止"),"両方停止","運転がそろわない")))</f>
        <v>判定不能</v>
      </c>
      <c r="AR1251" s="30" t="n">
        <v>0</v>
      </c>
      <c r="AS1251" s="30" t="n">
        <v>0</v>
      </c>
      <c r="AT1251" s="30" t="str">
        <f aca="false">IF(OR(AB1251="判定不能",J1251="判定不能"),"判定不能",IF(AS1251&gt;=判定条件!$C$9,"利用可",IF(AND(AB1251="停止",J1251="停止"),"両方停止","運転がそろわない")))</f>
        <v>判定不能</v>
      </c>
      <c r="AU1251" s="30" t="n">
        <v>0</v>
      </c>
      <c r="AV1251" s="30" t="n">
        <v>0</v>
      </c>
      <c r="AW1251" s="30" t="str">
        <f aca="false">IF(OR(AE1251="判定不能",M1251="判定不能"),"判定不能",IF(AV1251&gt;=判定条件!$C$9,"利用可",IF(AND(AE1251="停止",M1251="停止"),"両方停止","運転がそろわない")))</f>
        <v>判定不能</v>
      </c>
      <c r="AX1251" s="30" t="str">
        <f aca="false">IF(AND(AH1251="利用可",AK1251="利用可",AN1251="利用可"),"利用可","不可")</f>
        <v>不可</v>
      </c>
      <c r="AY1251" s="30" t="str">
        <f aca="false">IF(AND(AQ1251="利用可",AT1251="利用可",AW1251="利用可"),"利用可","不可")</f>
        <v>不可</v>
      </c>
    </row>
    <row r="1252" customFormat="false" ht="15" hidden="false" customHeight="false" outlineLevel="0" collapsed="false">
      <c r="A1252" s="29" t="n">
        <v>46284</v>
      </c>
      <c r="B1252" s="30" t="n">
        <v>1</v>
      </c>
      <c r="C1252" s="31" t="s">
        <v>63</v>
      </c>
      <c r="D1252" s="31" t="s">
        <v>64</v>
      </c>
      <c r="E1252" s="30" t="n">
        <v>60</v>
      </c>
      <c r="F1252" s="30" t="n">
        <v>0</v>
      </c>
      <c r="G1252" s="30" t="str">
        <f aca="false">IF(E1252&lt;判定条件!$C$6,"判定不能",IF(F1252&gt;=判定条件!$C$7*E1252,"運転",IF(F1252&lt;=判定条件!$C$8*E1252,"停止","断続")))</f>
        <v>停止</v>
      </c>
      <c r="H1252" s="30" t="n">
        <v>0</v>
      </c>
      <c r="I1252" s="30" t="n">
        <v>0</v>
      </c>
      <c r="J1252" s="30" t="str">
        <f aca="false">IF(H1252&lt;判定条件!$C$6,"判定不能",IF(I1252&gt;=判定条件!$C$7*H1252,"運転",IF(I1252&lt;=判定条件!$C$8*H1252,"停止","断続")))</f>
        <v>判定不能</v>
      </c>
      <c r="K1252" s="30" t="n">
        <v>60</v>
      </c>
      <c r="L1252" s="30" t="n">
        <v>0</v>
      </c>
      <c r="M1252" s="30" t="str">
        <f aca="false">IF(K1252&lt;判定条件!$C$6,"判定不能",IF(L1252&gt;=判定条件!$C$7*K1252,"運転",IF(L1252&lt;=判定条件!$C$8*K1252,"停止","断続")))</f>
        <v>停止</v>
      </c>
      <c r="N1252" s="30" t="n">
        <v>60</v>
      </c>
      <c r="O1252" s="30" t="n">
        <v>0</v>
      </c>
      <c r="P1252" s="30" t="str">
        <f aca="false">IF(N1252&lt;判定条件!$C$6,"判定不能",IF(O1252&gt;=判定条件!$C$7*N1252,"運転",IF(O1252&lt;=判定条件!$C$8*N1252,"停止","断続")))</f>
        <v>停止</v>
      </c>
      <c r="Q1252" s="30" t="n">
        <v>60</v>
      </c>
      <c r="R1252" s="30" t="n">
        <v>0</v>
      </c>
      <c r="S1252" s="30" t="str">
        <f aca="false">IF(Q1252&lt;判定条件!$C$6,"判定不能",IF(R1252&gt;=判定条件!$C$7*Q1252,"運転",IF(R1252&lt;=判定条件!$C$8*Q1252,"停止","断続")))</f>
        <v>停止</v>
      </c>
      <c r="T1252" s="30" t="n">
        <v>60</v>
      </c>
      <c r="U1252" s="30" t="n">
        <v>0</v>
      </c>
      <c r="V1252" s="30" t="str">
        <f aca="false">IF(T1252&lt;判定条件!$C$6,"判定不能",IF(U1252&gt;=判定条件!$C$7*T1252,"運転",IF(U1252&lt;=判定条件!$C$8*T1252,"停止","断続")))</f>
        <v>停止</v>
      </c>
      <c r="W1252" s="30" t="n">
        <v>0</v>
      </c>
      <c r="X1252" s="30" t="n">
        <v>0</v>
      </c>
      <c r="Y1252" s="30" t="str">
        <f aca="false">IF(W1252&lt;判定条件!$C$6,"判定不能",IF(X1252&gt;=判定条件!$C$7*W1252,"運転",IF(X1252&lt;=判定条件!$C$8*W1252,"停止","断続")))</f>
        <v>判定不能</v>
      </c>
      <c r="Z1252" s="30" t="n">
        <v>0</v>
      </c>
      <c r="AA1252" s="30" t="n">
        <v>0</v>
      </c>
      <c r="AB1252" s="30" t="str">
        <f aca="false">IF(Z1252&lt;判定条件!$C$6,"判定不能",IF(AA1252&gt;=判定条件!$C$7*Z1252,"運転",IF(AA1252&lt;=判定条件!$C$8*Z1252,"停止","断続")))</f>
        <v>判定不能</v>
      </c>
      <c r="AC1252" s="30" t="n">
        <v>0</v>
      </c>
      <c r="AD1252" s="30" t="n">
        <v>0</v>
      </c>
      <c r="AE1252" s="30" t="str">
        <f aca="false">IF(AC1252&lt;判定条件!$C$6,"判定不能",IF(AD1252&gt;=判定条件!$C$7*AC1252,"運転",IF(AD1252&lt;=判定条件!$C$8*AC1252,"停止","断続")))</f>
        <v>判定不能</v>
      </c>
      <c r="AF1252" s="30" t="n">
        <v>60</v>
      </c>
      <c r="AG1252" s="30" t="n">
        <v>0</v>
      </c>
      <c r="AH1252" s="30" t="str">
        <f aca="false">IF(OR(P1252="判定不能",G1252="判定不能"),"判定不能",IF(AG1252&gt;=判定条件!$C$9,"利用可",IF(AND(P1252="停止",G1252="停止"),"両方停止","運転がそろわない")))</f>
        <v>両方停止</v>
      </c>
      <c r="AI1252" s="30" t="n">
        <v>0</v>
      </c>
      <c r="AJ1252" s="30" t="n">
        <v>0</v>
      </c>
      <c r="AK1252" s="30" t="str">
        <f aca="false">IF(OR(S1252="判定不能",J1252="判定不能"),"判定不能",IF(AJ1252&gt;=判定条件!$C$9,"利用可",IF(AND(S1252="停止",J1252="停止"),"両方停止","運転がそろわない")))</f>
        <v>判定不能</v>
      </c>
      <c r="AL1252" s="30" t="n">
        <v>60</v>
      </c>
      <c r="AM1252" s="30" t="n">
        <v>0</v>
      </c>
      <c r="AN1252" s="30" t="str">
        <f aca="false">IF(OR(V1252="判定不能",M1252="判定不能"),"判定不能",IF(AM1252&gt;=判定条件!$C$9,"利用可",IF(AND(V1252="停止",M1252="停止"),"両方停止","運転がそろわない")))</f>
        <v>両方停止</v>
      </c>
      <c r="AO1252" s="30" t="n">
        <v>0</v>
      </c>
      <c r="AP1252" s="30" t="n">
        <v>0</v>
      </c>
      <c r="AQ1252" s="30" t="str">
        <f aca="false">IF(OR(Y1252="判定不能",G1252="判定不能"),"判定不能",IF(AP1252&gt;=判定条件!$C$9,"利用可",IF(AND(Y1252="停止",G1252="停止"),"両方停止","運転がそろわない")))</f>
        <v>判定不能</v>
      </c>
      <c r="AR1252" s="30" t="n">
        <v>0</v>
      </c>
      <c r="AS1252" s="30" t="n">
        <v>0</v>
      </c>
      <c r="AT1252" s="30" t="str">
        <f aca="false">IF(OR(AB1252="判定不能",J1252="判定不能"),"判定不能",IF(AS1252&gt;=判定条件!$C$9,"利用可",IF(AND(AB1252="停止",J1252="停止"),"両方停止","運転がそろわない")))</f>
        <v>判定不能</v>
      </c>
      <c r="AU1252" s="30" t="n">
        <v>0</v>
      </c>
      <c r="AV1252" s="30" t="n">
        <v>0</v>
      </c>
      <c r="AW1252" s="30" t="str">
        <f aca="false">IF(OR(AE1252="判定不能",M1252="判定不能"),"判定不能",IF(AV1252&gt;=判定条件!$C$9,"利用可",IF(AND(AE1252="停止",M1252="停止"),"両方停止","運転がそろわない")))</f>
        <v>判定不能</v>
      </c>
      <c r="AX1252" s="30" t="str">
        <f aca="false">IF(AND(AH1252="利用可",AK1252="利用可",AN1252="利用可"),"利用可","不可")</f>
        <v>不可</v>
      </c>
      <c r="AY1252" s="30" t="str">
        <f aca="false">IF(AND(AQ1252="利用可",AT1252="利用可",AW1252="利用可"),"利用可","不可")</f>
        <v>不可</v>
      </c>
    </row>
    <row r="1253" customFormat="false" ht="15" hidden="false" customHeight="false" outlineLevel="0" collapsed="false">
      <c r="A1253" s="29" t="n">
        <v>46284</v>
      </c>
      <c r="B1253" s="30" t="n">
        <v>2</v>
      </c>
      <c r="C1253" s="31" t="s">
        <v>63</v>
      </c>
      <c r="D1253" s="31" t="s">
        <v>64</v>
      </c>
      <c r="E1253" s="30" t="n">
        <v>60</v>
      </c>
      <c r="F1253" s="30" t="n">
        <v>0</v>
      </c>
      <c r="G1253" s="30" t="str">
        <f aca="false">IF(E1253&lt;判定条件!$C$6,"判定不能",IF(F1253&gt;=判定条件!$C$7*E1253,"運転",IF(F1253&lt;=判定条件!$C$8*E1253,"停止","断続")))</f>
        <v>停止</v>
      </c>
      <c r="H1253" s="30" t="n">
        <v>0</v>
      </c>
      <c r="I1253" s="30" t="n">
        <v>0</v>
      </c>
      <c r="J1253" s="30" t="str">
        <f aca="false">IF(H1253&lt;判定条件!$C$6,"判定不能",IF(I1253&gt;=判定条件!$C$7*H1253,"運転",IF(I1253&lt;=判定条件!$C$8*H1253,"停止","断続")))</f>
        <v>判定不能</v>
      </c>
      <c r="K1253" s="30" t="n">
        <v>60</v>
      </c>
      <c r="L1253" s="30" t="n">
        <v>0</v>
      </c>
      <c r="M1253" s="30" t="str">
        <f aca="false">IF(K1253&lt;判定条件!$C$6,"判定不能",IF(L1253&gt;=判定条件!$C$7*K1253,"運転",IF(L1253&lt;=判定条件!$C$8*K1253,"停止","断続")))</f>
        <v>停止</v>
      </c>
      <c r="N1253" s="30" t="n">
        <v>60</v>
      </c>
      <c r="O1253" s="30" t="n">
        <v>0</v>
      </c>
      <c r="P1253" s="30" t="str">
        <f aca="false">IF(N1253&lt;判定条件!$C$6,"判定不能",IF(O1253&gt;=判定条件!$C$7*N1253,"運転",IF(O1253&lt;=判定条件!$C$8*N1253,"停止","断続")))</f>
        <v>停止</v>
      </c>
      <c r="Q1253" s="30" t="n">
        <v>60</v>
      </c>
      <c r="R1253" s="30" t="n">
        <v>0</v>
      </c>
      <c r="S1253" s="30" t="str">
        <f aca="false">IF(Q1253&lt;判定条件!$C$6,"判定不能",IF(R1253&gt;=判定条件!$C$7*Q1253,"運転",IF(R1253&lt;=判定条件!$C$8*Q1253,"停止","断続")))</f>
        <v>停止</v>
      </c>
      <c r="T1253" s="30" t="n">
        <v>60</v>
      </c>
      <c r="U1253" s="30" t="n">
        <v>0</v>
      </c>
      <c r="V1253" s="30" t="str">
        <f aca="false">IF(T1253&lt;判定条件!$C$6,"判定不能",IF(U1253&gt;=判定条件!$C$7*T1253,"運転",IF(U1253&lt;=判定条件!$C$8*T1253,"停止","断続")))</f>
        <v>停止</v>
      </c>
      <c r="W1253" s="30" t="n">
        <v>0</v>
      </c>
      <c r="X1253" s="30" t="n">
        <v>0</v>
      </c>
      <c r="Y1253" s="30" t="str">
        <f aca="false">IF(W1253&lt;判定条件!$C$6,"判定不能",IF(X1253&gt;=判定条件!$C$7*W1253,"運転",IF(X1253&lt;=判定条件!$C$8*W1253,"停止","断続")))</f>
        <v>判定不能</v>
      </c>
      <c r="Z1253" s="30" t="n">
        <v>0</v>
      </c>
      <c r="AA1253" s="30" t="n">
        <v>0</v>
      </c>
      <c r="AB1253" s="30" t="str">
        <f aca="false">IF(Z1253&lt;判定条件!$C$6,"判定不能",IF(AA1253&gt;=判定条件!$C$7*Z1253,"運転",IF(AA1253&lt;=判定条件!$C$8*Z1253,"停止","断続")))</f>
        <v>判定不能</v>
      </c>
      <c r="AC1253" s="30" t="n">
        <v>0</v>
      </c>
      <c r="AD1253" s="30" t="n">
        <v>0</v>
      </c>
      <c r="AE1253" s="30" t="str">
        <f aca="false">IF(AC1253&lt;判定条件!$C$6,"判定不能",IF(AD1253&gt;=判定条件!$C$7*AC1253,"運転",IF(AD1253&lt;=判定条件!$C$8*AC1253,"停止","断続")))</f>
        <v>判定不能</v>
      </c>
      <c r="AF1253" s="30" t="n">
        <v>60</v>
      </c>
      <c r="AG1253" s="30" t="n">
        <v>0</v>
      </c>
      <c r="AH1253" s="30" t="str">
        <f aca="false">IF(OR(P1253="判定不能",G1253="判定不能"),"判定不能",IF(AG1253&gt;=判定条件!$C$9,"利用可",IF(AND(P1253="停止",G1253="停止"),"両方停止","運転がそろわない")))</f>
        <v>両方停止</v>
      </c>
      <c r="AI1253" s="30" t="n">
        <v>0</v>
      </c>
      <c r="AJ1253" s="30" t="n">
        <v>0</v>
      </c>
      <c r="AK1253" s="30" t="str">
        <f aca="false">IF(OR(S1253="判定不能",J1253="判定不能"),"判定不能",IF(AJ1253&gt;=判定条件!$C$9,"利用可",IF(AND(S1253="停止",J1253="停止"),"両方停止","運転がそろわない")))</f>
        <v>判定不能</v>
      </c>
      <c r="AL1253" s="30" t="n">
        <v>60</v>
      </c>
      <c r="AM1253" s="30" t="n">
        <v>0</v>
      </c>
      <c r="AN1253" s="30" t="str">
        <f aca="false">IF(OR(V1253="判定不能",M1253="判定不能"),"判定不能",IF(AM1253&gt;=判定条件!$C$9,"利用可",IF(AND(V1253="停止",M1253="停止"),"両方停止","運転がそろわない")))</f>
        <v>両方停止</v>
      </c>
      <c r="AO1253" s="30" t="n">
        <v>0</v>
      </c>
      <c r="AP1253" s="30" t="n">
        <v>0</v>
      </c>
      <c r="AQ1253" s="30" t="str">
        <f aca="false">IF(OR(Y1253="判定不能",G1253="判定不能"),"判定不能",IF(AP1253&gt;=判定条件!$C$9,"利用可",IF(AND(Y1253="停止",G1253="停止"),"両方停止","運転がそろわない")))</f>
        <v>判定不能</v>
      </c>
      <c r="AR1253" s="30" t="n">
        <v>0</v>
      </c>
      <c r="AS1253" s="30" t="n">
        <v>0</v>
      </c>
      <c r="AT1253" s="30" t="str">
        <f aca="false">IF(OR(AB1253="判定不能",J1253="判定不能"),"判定不能",IF(AS1253&gt;=判定条件!$C$9,"利用可",IF(AND(AB1253="停止",J1253="停止"),"両方停止","運転がそろわない")))</f>
        <v>判定不能</v>
      </c>
      <c r="AU1253" s="30" t="n">
        <v>0</v>
      </c>
      <c r="AV1253" s="30" t="n">
        <v>0</v>
      </c>
      <c r="AW1253" s="30" t="str">
        <f aca="false">IF(OR(AE1253="判定不能",M1253="判定不能"),"判定不能",IF(AV1253&gt;=判定条件!$C$9,"利用可",IF(AND(AE1253="停止",M1253="停止"),"両方停止","運転がそろわない")))</f>
        <v>判定不能</v>
      </c>
      <c r="AX1253" s="30" t="str">
        <f aca="false">IF(AND(AH1253="利用可",AK1253="利用可",AN1253="利用可"),"利用可","不可")</f>
        <v>不可</v>
      </c>
      <c r="AY1253" s="30" t="str">
        <f aca="false">IF(AND(AQ1253="利用可",AT1253="利用可",AW1253="利用可"),"利用可","不可")</f>
        <v>不可</v>
      </c>
    </row>
    <row r="1254" customFormat="false" ht="15" hidden="false" customHeight="false" outlineLevel="0" collapsed="false">
      <c r="A1254" s="29" t="n">
        <v>46284</v>
      </c>
      <c r="B1254" s="30" t="n">
        <v>3</v>
      </c>
      <c r="C1254" s="31" t="s">
        <v>63</v>
      </c>
      <c r="D1254" s="31" t="s">
        <v>64</v>
      </c>
      <c r="E1254" s="30" t="n">
        <v>60</v>
      </c>
      <c r="F1254" s="30" t="n">
        <v>0</v>
      </c>
      <c r="G1254" s="30" t="str">
        <f aca="false">IF(E1254&lt;判定条件!$C$6,"判定不能",IF(F1254&gt;=判定条件!$C$7*E1254,"運転",IF(F1254&lt;=判定条件!$C$8*E1254,"停止","断続")))</f>
        <v>停止</v>
      </c>
      <c r="H1254" s="30" t="n">
        <v>0</v>
      </c>
      <c r="I1254" s="30" t="n">
        <v>0</v>
      </c>
      <c r="J1254" s="30" t="str">
        <f aca="false">IF(H1254&lt;判定条件!$C$6,"判定不能",IF(I1254&gt;=判定条件!$C$7*H1254,"運転",IF(I1254&lt;=判定条件!$C$8*H1254,"停止","断続")))</f>
        <v>判定不能</v>
      </c>
      <c r="K1254" s="30" t="n">
        <v>60</v>
      </c>
      <c r="L1254" s="30" t="n">
        <v>0</v>
      </c>
      <c r="M1254" s="30" t="str">
        <f aca="false">IF(K1254&lt;判定条件!$C$6,"判定不能",IF(L1254&gt;=判定条件!$C$7*K1254,"運転",IF(L1254&lt;=判定条件!$C$8*K1254,"停止","断続")))</f>
        <v>停止</v>
      </c>
      <c r="N1254" s="30" t="n">
        <v>60</v>
      </c>
      <c r="O1254" s="30" t="n">
        <v>0</v>
      </c>
      <c r="P1254" s="30" t="str">
        <f aca="false">IF(N1254&lt;判定条件!$C$6,"判定不能",IF(O1254&gt;=判定条件!$C$7*N1254,"運転",IF(O1254&lt;=判定条件!$C$8*N1254,"停止","断続")))</f>
        <v>停止</v>
      </c>
      <c r="Q1254" s="30" t="n">
        <v>60</v>
      </c>
      <c r="R1254" s="30" t="n">
        <v>0</v>
      </c>
      <c r="S1254" s="30" t="str">
        <f aca="false">IF(Q1254&lt;判定条件!$C$6,"判定不能",IF(R1254&gt;=判定条件!$C$7*Q1254,"運転",IF(R1254&lt;=判定条件!$C$8*Q1254,"停止","断続")))</f>
        <v>停止</v>
      </c>
      <c r="T1254" s="30" t="n">
        <v>60</v>
      </c>
      <c r="U1254" s="30" t="n">
        <v>0</v>
      </c>
      <c r="V1254" s="30" t="str">
        <f aca="false">IF(T1254&lt;判定条件!$C$6,"判定不能",IF(U1254&gt;=判定条件!$C$7*T1254,"運転",IF(U1254&lt;=判定条件!$C$8*T1254,"停止","断続")))</f>
        <v>停止</v>
      </c>
      <c r="W1254" s="30" t="n">
        <v>0</v>
      </c>
      <c r="X1254" s="30" t="n">
        <v>0</v>
      </c>
      <c r="Y1254" s="30" t="str">
        <f aca="false">IF(W1254&lt;判定条件!$C$6,"判定不能",IF(X1254&gt;=判定条件!$C$7*W1254,"運転",IF(X1254&lt;=判定条件!$C$8*W1254,"停止","断続")))</f>
        <v>判定不能</v>
      </c>
      <c r="Z1254" s="30" t="n">
        <v>0</v>
      </c>
      <c r="AA1254" s="30" t="n">
        <v>0</v>
      </c>
      <c r="AB1254" s="30" t="str">
        <f aca="false">IF(Z1254&lt;判定条件!$C$6,"判定不能",IF(AA1254&gt;=判定条件!$C$7*Z1254,"運転",IF(AA1254&lt;=判定条件!$C$8*Z1254,"停止","断続")))</f>
        <v>判定不能</v>
      </c>
      <c r="AC1254" s="30" t="n">
        <v>0</v>
      </c>
      <c r="AD1254" s="30" t="n">
        <v>0</v>
      </c>
      <c r="AE1254" s="30" t="str">
        <f aca="false">IF(AC1254&lt;判定条件!$C$6,"判定不能",IF(AD1254&gt;=判定条件!$C$7*AC1254,"運転",IF(AD1254&lt;=判定条件!$C$8*AC1254,"停止","断続")))</f>
        <v>判定不能</v>
      </c>
      <c r="AF1254" s="30" t="n">
        <v>60</v>
      </c>
      <c r="AG1254" s="30" t="n">
        <v>0</v>
      </c>
      <c r="AH1254" s="30" t="str">
        <f aca="false">IF(OR(P1254="判定不能",G1254="判定不能"),"判定不能",IF(AG1254&gt;=判定条件!$C$9,"利用可",IF(AND(P1254="停止",G1254="停止"),"両方停止","運転がそろわない")))</f>
        <v>両方停止</v>
      </c>
      <c r="AI1254" s="30" t="n">
        <v>0</v>
      </c>
      <c r="AJ1254" s="30" t="n">
        <v>0</v>
      </c>
      <c r="AK1254" s="30" t="str">
        <f aca="false">IF(OR(S1254="判定不能",J1254="判定不能"),"判定不能",IF(AJ1254&gt;=判定条件!$C$9,"利用可",IF(AND(S1254="停止",J1254="停止"),"両方停止","運転がそろわない")))</f>
        <v>判定不能</v>
      </c>
      <c r="AL1254" s="30" t="n">
        <v>60</v>
      </c>
      <c r="AM1254" s="30" t="n">
        <v>0</v>
      </c>
      <c r="AN1254" s="30" t="str">
        <f aca="false">IF(OR(V1254="判定不能",M1254="判定不能"),"判定不能",IF(AM1254&gt;=判定条件!$C$9,"利用可",IF(AND(V1254="停止",M1254="停止"),"両方停止","運転がそろわない")))</f>
        <v>両方停止</v>
      </c>
      <c r="AO1254" s="30" t="n">
        <v>0</v>
      </c>
      <c r="AP1254" s="30" t="n">
        <v>0</v>
      </c>
      <c r="AQ1254" s="30" t="str">
        <f aca="false">IF(OR(Y1254="判定不能",G1254="判定不能"),"判定不能",IF(AP1254&gt;=判定条件!$C$9,"利用可",IF(AND(Y1254="停止",G1254="停止"),"両方停止","運転がそろわない")))</f>
        <v>判定不能</v>
      </c>
      <c r="AR1254" s="30" t="n">
        <v>0</v>
      </c>
      <c r="AS1254" s="30" t="n">
        <v>0</v>
      </c>
      <c r="AT1254" s="30" t="str">
        <f aca="false">IF(OR(AB1254="判定不能",J1254="判定不能"),"判定不能",IF(AS1254&gt;=判定条件!$C$9,"利用可",IF(AND(AB1254="停止",J1254="停止"),"両方停止","運転がそろわない")))</f>
        <v>判定不能</v>
      </c>
      <c r="AU1254" s="30" t="n">
        <v>0</v>
      </c>
      <c r="AV1254" s="30" t="n">
        <v>0</v>
      </c>
      <c r="AW1254" s="30" t="str">
        <f aca="false">IF(OR(AE1254="判定不能",M1254="判定不能"),"判定不能",IF(AV1254&gt;=判定条件!$C$9,"利用可",IF(AND(AE1254="停止",M1254="停止"),"両方停止","運転がそろわない")))</f>
        <v>判定不能</v>
      </c>
      <c r="AX1254" s="30" t="str">
        <f aca="false">IF(AND(AH1254="利用可",AK1254="利用可",AN1254="利用可"),"利用可","不可")</f>
        <v>不可</v>
      </c>
      <c r="AY1254" s="30" t="str">
        <f aca="false">IF(AND(AQ1254="利用可",AT1254="利用可",AW1254="利用可"),"利用可","不可")</f>
        <v>不可</v>
      </c>
    </row>
    <row r="1255" customFormat="false" ht="15" hidden="false" customHeight="false" outlineLevel="0" collapsed="false">
      <c r="A1255" s="29" t="n">
        <v>46284</v>
      </c>
      <c r="B1255" s="30" t="n">
        <v>4</v>
      </c>
      <c r="C1255" s="31" t="s">
        <v>63</v>
      </c>
      <c r="D1255" s="31" t="s">
        <v>64</v>
      </c>
      <c r="E1255" s="30" t="n">
        <v>60</v>
      </c>
      <c r="F1255" s="30" t="n">
        <v>0</v>
      </c>
      <c r="G1255" s="30" t="str">
        <f aca="false">IF(E1255&lt;判定条件!$C$6,"判定不能",IF(F1255&gt;=判定条件!$C$7*E1255,"運転",IF(F1255&lt;=判定条件!$C$8*E1255,"停止","断続")))</f>
        <v>停止</v>
      </c>
      <c r="H1255" s="30" t="n">
        <v>0</v>
      </c>
      <c r="I1255" s="30" t="n">
        <v>0</v>
      </c>
      <c r="J1255" s="30" t="str">
        <f aca="false">IF(H1255&lt;判定条件!$C$6,"判定不能",IF(I1255&gt;=判定条件!$C$7*H1255,"運転",IF(I1255&lt;=判定条件!$C$8*H1255,"停止","断続")))</f>
        <v>判定不能</v>
      </c>
      <c r="K1255" s="30" t="n">
        <v>60</v>
      </c>
      <c r="L1255" s="30" t="n">
        <v>0</v>
      </c>
      <c r="M1255" s="30" t="str">
        <f aca="false">IF(K1255&lt;判定条件!$C$6,"判定不能",IF(L1255&gt;=判定条件!$C$7*K1255,"運転",IF(L1255&lt;=判定条件!$C$8*K1255,"停止","断続")))</f>
        <v>停止</v>
      </c>
      <c r="N1255" s="30" t="n">
        <v>60</v>
      </c>
      <c r="O1255" s="30" t="n">
        <v>0</v>
      </c>
      <c r="P1255" s="30" t="str">
        <f aca="false">IF(N1255&lt;判定条件!$C$6,"判定不能",IF(O1255&gt;=判定条件!$C$7*N1255,"運転",IF(O1255&lt;=判定条件!$C$8*N1255,"停止","断続")))</f>
        <v>停止</v>
      </c>
      <c r="Q1255" s="30" t="n">
        <v>60</v>
      </c>
      <c r="R1255" s="30" t="n">
        <v>0</v>
      </c>
      <c r="S1255" s="30" t="str">
        <f aca="false">IF(Q1255&lt;判定条件!$C$6,"判定不能",IF(R1255&gt;=判定条件!$C$7*Q1255,"運転",IF(R1255&lt;=判定条件!$C$8*Q1255,"停止","断続")))</f>
        <v>停止</v>
      </c>
      <c r="T1255" s="30" t="n">
        <v>60</v>
      </c>
      <c r="U1255" s="30" t="n">
        <v>0</v>
      </c>
      <c r="V1255" s="30" t="str">
        <f aca="false">IF(T1255&lt;判定条件!$C$6,"判定不能",IF(U1255&gt;=判定条件!$C$7*T1255,"運転",IF(U1255&lt;=判定条件!$C$8*T1255,"停止","断続")))</f>
        <v>停止</v>
      </c>
      <c r="W1255" s="30" t="n">
        <v>0</v>
      </c>
      <c r="X1255" s="30" t="n">
        <v>0</v>
      </c>
      <c r="Y1255" s="30" t="str">
        <f aca="false">IF(W1255&lt;判定条件!$C$6,"判定不能",IF(X1255&gt;=判定条件!$C$7*W1255,"運転",IF(X1255&lt;=判定条件!$C$8*W1255,"停止","断続")))</f>
        <v>判定不能</v>
      </c>
      <c r="Z1255" s="30" t="n">
        <v>0</v>
      </c>
      <c r="AA1255" s="30" t="n">
        <v>0</v>
      </c>
      <c r="AB1255" s="30" t="str">
        <f aca="false">IF(Z1255&lt;判定条件!$C$6,"判定不能",IF(AA1255&gt;=判定条件!$C$7*Z1255,"運転",IF(AA1255&lt;=判定条件!$C$8*Z1255,"停止","断続")))</f>
        <v>判定不能</v>
      </c>
      <c r="AC1255" s="30" t="n">
        <v>0</v>
      </c>
      <c r="AD1255" s="30" t="n">
        <v>0</v>
      </c>
      <c r="AE1255" s="30" t="str">
        <f aca="false">IF(AC1255&lt;判定条件!$C$6,"判定不能",IF(AD1255&gt;=判定条件!$C$7*AC1255,"運転",IF(AD1255&lt;=判定条件!$C$8*AC1255,"停止","断続")))</f>
        <v>判定不能</v>
      </c>
      <c r="AF1255" s="30" t="n">
        <v>60</v>
      </c>
      <c r="AG1255" s="30" t="n">
        <v>0</v>
      </c>
      <c r="AH1255" s="30" t="str">
        <f aca="false">IF(OR(P1255="判定不能",G1255="判定不能"),"判定不能",IF(AG1255&gt;=判定条件!$C$9,"利用可",IF(AND(P1255="停止",G1255="停止"),"両方停止","運転がそろわない")))</f>
        <v>両方停止</v>
      </c>
      <c r="AI1255" s="30" t="n">
        <v>0</v>
      </c>
      <c r="AJ1255" s="30" t="n">
        <v>0</v>
      </c>
      <c r="AK1255" s="30" t="str">
        <f aca="false">IF(OR(S1255="判定不能",J1255="判定不能"),"判定不能",IF(AJ1255&gt;=判定条件!$C$9,"利用可",IF(AND(S1255="停止",J1255="停止"),"両方停止","運転がそろわない")))</f>
        <v>判定不能</v>
      </c>
      <c r="AL1255" s="30" t="n">
        <v>60</v>
      </c>
      <c r="AM1255" s="30" t="n">
        <v>0</v>
      </c>
      <c r="AN1255" s="30" t="str">
        <f aca="false">IF(OR(V1255="判定不能",M1255="判定不能"),"判定不能",IF(AM1255&gt;=判定条件!$C$9,"利用可",IF(AND(V1255="停止",M1255="停止"),"両方停止","運転がそろわない")))</f>
        <v>両方停止</v>
      </c>
      <c r="AO1255" s="30" t="n">
        <v>0</v>
      </c>
      <c r="AP1255" s="30" t="n">
        <v>0</v>
      </c>
      <c r="AQ1255" s="30" t="str">
        <f aca="false">IF(OR(Y1255="判定不能",G1255="判定不能"),"判定不能",IF(AP1255&gt;=判定条件!$C$9,"利用可",IF(AND(Y1255="停止",G1255="停止"),"両方停止","運転がそろわない")))</f>
        <v>判定不能</v>
      </c>
      <c r="AR1255" s="30" t="n">
        <v>0</v>
      </c>
      <c r="AS1255" s="30" t="n">
        <v>0</v>
      </c>
      <c r="AT1255" s="30" t="str">
        <f aca="false">IF(OR(AB1255="判定不能",J1255="判定不能"),"判定不能",IF(AS1255&gt;=判定条件!$C$9,"利用可",IF(AND(AB1255="停止",J1255="停止"),"両方停止","運転がそろわない")))</f>
        <v>判定不能</v>
      </c>
      <c r="AU1255" s="30" t="n">
        <v>0</v>
      </c>
      <c r="AV1255" s="30" t="n">
        <v>0</v>
      </c>
      <c r="AW1255" s="30" t="str">
        <f aca="false">IF(OR(AE1255="判定不能",M1255="判定不能"),"判定不能",IF(AV1255&gt;=判定条件!$C$9,"利用可",IF(AND(AE1255="停止",M1255="停止"),"両方停止","運転がそろわない")))</f>
        <v>判定不能</v>
      </c>
      <c r="AX1255" s="30" t="str">
        <f aca="false">IF(AND(AH1255="利用可",AK1255="利用可",AN1255="利用可"),"利用可","不可")</f>
        <v>不可</v>
      </c>
      <c r="AY1255" s="30" t="str">
        <f aca="false">IF(AND(AQ1255="利用可",AT1255="利用可",AW1255="利用可"),"利用可","不可")</f>
        <v>不可</v>
      </c>
    </row>
    <row r="1256" customFormat="false" ht="15" hidden="false" customHeight="false" outlineLevel="0" collapsed="false">
      <c r="A1256" s="29" t="n">
        <v>46284</v>
      </c>
      <c r="B1256" s="30" t="n">
        <v>5</v>
      </c>
      <c r="C1256" s="31" t="s">
        <v>63</v>
      </c>
      <c r="D1256" s="31" t="s">
        <v>64</v>
      </c>
      <c r="E1256" s="30" t="n">
        <v>60</v>
      </c>
      <c r="F1256" s="30" t="n">
        <v>0</v>
      </c>
      <c r="G1256" s="30" t="str">
        <f aca="false">IF(E1256&lt;判定条件!$C$6,"判定不能",IF(F1256&gt;=判定条件!$C$7*E1256,"運転",IF(F1256&lt;=判定条件!$C$8*E1256,"停止","断続")))</f>
        <v>停止</v>
      </c>
      <c r="H1256" s="30" t="n">
        <v>0</v>
      </c>
      <c r="I1256" s="30" t="n">
        <v>0</v>
      </c>
      <c r="J1256" s="30" t="str">
        <f aca="false">IF(H1256&lt;判定条件!$C$6,"判定不能",IF(I1256&gt;=判定条件!$C$7*H1256,"運転",IF(I1256&lt;=判定条件!$C$8*H1256,"停止","断続")))</f>
        <v>判定不能</v>
      </c>
      <c r="K1256" s="30" t="n">
        <v>60</v>
      </c>
      <c r="L1256" s="30" t="n">
        <v>0</v>
      </c>
      <c r="M1256" s="30" t="str">
        <f aca="false">IF(K1256&lt;判定条件!$C$6,"判定不能",IF(L1256&gt;=判定条件!$C$7*K1256,"運転",IF(L1256&lt;=判定条件!$C$8*K1256,"停止","断続")))</f>
        <v>停止</v>
      </c>
      <c r="N1256" s="30" t="n">
        <v>60</v>
      </c>
      <c r="O1256" s="30" t="n">
        <v>0</v>
      </c>
      <c r="P1256" s="30" t="str">
        <f aca="false">IF(N1256&lt;判定条件!$C$6,"判定不能",IF(O1256&gt;=判定条件!$C$7*N1256,"運転",IF(O1256&lt;=判定条件!$C$8*N1256,"停止","断続")))</f>
        <v>停止</v>
      </c>
      <c r="Q1256" s="30" t="n">
        <v>60</v>
      </c>
      <c r="R1256" s="30" t="n">
        <v>0</v>
      </c>
      <c r="S1256" s="30" t="str">
        <f aca="false">IF(Q1256&lt;判定条件!$C$6,"判定不能",IF(R1256&gt;=判定条件!$C$7*Q1256,"運転",IF(R1256&lt;=判定条件!$C$8*Q1256,"停止","断続")))</f>
        <v>停止</v>
      </c>
      <c r="T1256" s="30" t="n">
        <v>60</v>
      </c>
      <c r="U1256" s="30" t="n">
        <v>0</v>
      </c>
      <c r="V1256" s="30" t="str">
        <f aca="false">IF(T1256&lt;判定条件!$C$6,"判定不能",IF(U1256&gt;=判定条件!$C$7*T1256,"運転",IF(U1256&lt;=判定条件!$C$8*T1256,"停止","断続")))</f>
        <v>停止</v>
      </c>
      <c r="W1256" s="30" t="n">
        <v>0</v>
      </c>
      <c r="X1256" s="30" t="n">
        <v>0</v>
      </c>
      <c r="Y1256" s="30" t="str">
        <f aca="false">IF(W1256&lt;判定条件!$C$6,"判定不能",IF(X1256&gt;=判定条件!$C$7*W1256,"運転",IF(X1256&lt;=判定条件!$C$8*W1256,"停止","断続")))</f>
        <v>判定不能</v>
      </c>
      <c r="Z1256" s="30" t="n">
        <v>0</v>
      </c>
      <c r="AA1256" s="30" t="n">
        <v>0</v>
      </c>
      <c r="AB1256" s="30" t="str">
        <f aca="false">IF(Z1256&lt;判定条件!$C$6,"判定不能",IF(AA1256&gt;=判定条件!$C$7*Z1256,"運転",IF(AA1256&lt;=判定条件!$C$8*Z1256,"停止","断続")))</f>
        <v>判定不能</v>
      </c>
      <c r="AC1256" s="30" t="n">
        <v>0</v>
      </c>
      <c r="AD1256" s="30" t="n">
        <v>0</v>
      </c>
      <c r="AE1256" s="30" t="str">
        <f aca="false">IF(AC1256&lt;判定条件!$C$6,"判定不能",IF(AD1256&gt;=判定条件!$C$7*AC1256,"運転",IF(AD1256&lt;=判定条件!$C$8*AC1256,"停止","断続")))</f>
        <v>判定不能</v>
      </c>
      <c r="AF1256" s="30" t="n">
        <v>60</v>
      </c>
      <c r="AG1256" s="30" t="n">
        <v>0</v>
      </c>
      <c r="AH1256" s="30" t="str">
        <f aca="false">IF(OR(P1256="判定不能",G1256="判定不能"),"判定不能",IF(AG1256&gt;=判定条件!$C$9,"利用可",IF(AND(P1256="停止",G1256="停止"),"両方停止","運転がそろわない")))</f>
        <v>両方停止</v>
      </c>
      <c r="AI1256" s="30" t="n">
        <v>0</v>
      </c>
      <c r="AJ1256" s="30" t="n">
        <v>0</v>
      </c>
      <c r="AK1256" s="30" t="str">
        <f aca="false">IF(OR(S1256="判定不能",J1256="判定不能"),"判定不能",IF(AJ1256&gt;=判定条件!$C$9,"利用可",IF(AND(S1256="停止",J1256="停止"),"両方停止","運転がそろわない")))</f>
        <v>判定不能</v>
      </c>
      <c r="AL1256" s="30" t="n">
        <v>60</v>
      </c>
      <c r="AM1256" s="30" t="n">
        <v>0</v>
      </c>
      <c r="AN1256" s="30" t="str">
        <f aca="false">IF(OR(V1256="判定不能",M1256="判定不能"),"判定不能",IF(AM1256&gt;=判定条件!$C$9,"利用可",IF(AND(V1256="停止",M1256="停止"),"両方停止","運転がそろわない")))</f>
        <v>両方停止</v>
      </c>
      <c r="AO1256" s="30" t="n">
        <v>0</v>
      </c>
      <c r="AP1256" s="30" t="n">
        <v>0</v>
      </c>
      <c r="AQ1256" s="30" t="str">
        <f aca="false">IF(OR(Y1256="判定不能",G1256="判定不能"),"判定不能",IF(AP1256&gt;=判定条件!$C$9,"利用可",IF(AND(Y1256="停止",G1256="停止"),"両方停止","運転がそろわない")))</f>
        <v>判定不能</v>
      </c>
      <c r="AR1256" s="30" t="n">
        <v>0</v>
      </c>
      <c r="AS1256" s="30" t="n">
        <v>0</v>
      </c>
      <c r="AT1256" s="30" t="str">
        <f aca="false">IF(OR(AB1256="判定不能",J1256="判定不能"),"判定不能",IF(AS1256&gt;=判定条件!$C$9,"利用可",IF(AND(AB1256="停止",J1256="停止"),"両方停止","運転がそろわない")))</f>
        <v>判定不能</v>
      </c>
      <c r="AU1256" s="30" t="n">
        <v>0</v>
      </c>
      <c r="AV1256" s="30" t="n">
        <v>0</v>
      </c>
      <c r="AW1256" s="30" t="str">
        <f aca="false">IF(OR(AE1256="判定不能",M1256="判定不能"),"判定不能",IF(AV1256&gt;=判定条件!$C$9,"利用可",IF(AND(AE1256="停止",M1256="停止"),"両方停止","運転がそろわない")))</f>
        <v>判定不能</v>
      </c>
      <c r="AX1256" s="30" t="str">
        <f aca="false">IF(AND(AH1256="利用可",AK1256="利用可",AN1256="利用可"),"利用可","不可")</f>
        <v>不可</v>
      </c>
      <c r="AY1256" s="30" t="str">
        <f aca="false">IF(AND(AQ1256="利用可",AT1256="利用可",AW1256="利用可"),"利用可","不可")</f>
        <v>不可</v>
      </c>
    </row>
    <row r="1257" customFormat="false" ht="15" hidden="false" customHeight="false" outlineLevel="0" collapsed="false">
      <c r="A1257" s="29" t="n">
        <v>46284</v>
      </c>
      <c r="B1257" s="30" t="n">
        <v>6</v>
      </c>
      <c r="C1257" s="31" t="s">
        <v>63</v>
      </c>
      <c r="D1257" s="31" t="s">
        <v>64</v>
      </c>
      <c r="E1257" s="30" t="n">
        <v>60</v>
      </c>
      <c r="F1257" s="30" t="n">
        <v>0</v>
      </c>
      <c r="G1257" s="30" t="str">
        <f aca="false">IF(E1257&lt;判定条件!$C$6,"判定不能",IF(F1257&gt;=判定条件!$C$7*E1257,"運転",IF(F1257&lt;=判定条件!$C$8*E1257,"停止","断続")))</f>
        <v>停止</v>
      </c>
      <c r="H1257" s="30" t="n">
        <v>0</v>
      </c>
      <c r="I1257" s="30" t="n">
        <v>0</v>
      </c>
      <c r="J1257" s="30" t="str">
        <f aca="false">IF(H1257&lt;判定条件!$C$6,"判定不能",IF(I1257&gt;=判定条件!$C$7*H1257,"運転",IF(I1257&lt;=判定条件!$C$8*H1257,"停止","断続")))</f>
        <v>判定不能</v>
      </c>
      <c r="K1257" s="30" t="n">
        <v>60</v>
      </c>
      <c r="L1257" s="30" t="n">
        <v>0</v>
      </c>
      <c r="M1257" s="30" t="str">
        <f aca="false">IF(K1257&lt;判定条件!$C$6,"判定不能",IF(L1257&gt;=判定条件!$C$7*K1257,"運転",IF(L1257&lt;=判定条件!$C$8*K1257,"停止","断続")))</f>
        <v>停止</v>
      </c>
      <c r="N1257" s="30" t="n">
        <v>60</v>
      </c>
      <c r="O1257" s="30" t="n">
        <v>0</v>
      </c>
      <c r="P1257" s="30" t="str">
        <f aca="false">IF(N1257&lt;判定条件!$C$6,"判定不能",IF(O1257&gt;=判定条件!$C$7*N1257,"運転",IF(O1257&lt;=判定条件!$C$8*N1257,"停止","断続")))</f>
        <v>停止</v>
      </c>
      <c r="Q1257" s="30" t="n">
        <v>60</v>
      </c>
      <c r="R1257" s="30" t="n">
        <v>0</v>
      </c>
      <c r="S1257" s="30" t="str">
        <f aca="false">IF(Q1257&lt;判定条件!$C$6,"判定不能",IF(R1257&gt;=判定条件!$C$7*Q1257,"運転",IF(R1257&lt;=判定条件!$C$8*Q1257,"停止","断続")))</f>
        <v>停止</v>
      </c>
      <c r="T1257" s="30" t="n">
        <v>60</v>
      </c>
      <c r="U1257" s="30" t="n">
        <v>0</v>
      </c>
      <c r="V1257" s="30" t="str">
        <f aca="false">IF(T1257&lt;判定条件!$C$6,"判定不能",IF(U1257&gt;=判定条件!$C$7*T1257,"運転",IF(U1257&lt;=判定条件!$C$8*T1257,"停止","断続")))</f>
        <v>停止</v>
      </c>
      <c r="W1257" s="30" t="n">
        <v>0</v>
      </c>
      <c r="X1257" s="30" t="n">
        <v>0</v>
      </c>
      <c r="Y1257" s="30" t="str">
        <f aca="false">IF(W1257&lt;判定条件!$C$6,"判定不能",IF(X1257&gt;=判定条件!$C$7*W1257,"運転",IF(X1257&lt;=判定条件!$C$8*W1257,"停止","断続")))</f>
        <v>判定不能</v>
      </c>
      <c r="Z1257" s="30" t="n">
        <v>0</v>
      </c>
      <c r="AA1257" s="30" t="n">
        <v>0</v>
      </c>
      <c r="AB1257" s="30" t="str">
        <f aca="false">IF(Z1257&lt;判定条件!$C$6,"判定不能",IF(AA1257&gt;=判定条件!$C$7*Z1257,"運転",IF(AA1257&lt;=判定条件!$C$8*Z1257,"停止","断続")))</f>
        <v>判定不能</v>
      </c>
      <c r="AC1257" s="30" t="n">
        <v>0</v>
      </c>
      <c r="AD1257" s="30" t="n">
        <v>0</v>
      </c>
      <c r="AE1257" s="30" t="str">
        <f aca="false">IF(AC1257&lt;判定条件!$C$6,"判定不能",IF(AD1257&gt;=判定条件!$C$7*AC1257,"運転",IF(AD1257&lt;=判定条件!$C$8*AC1257,"停止","断続")))</f>
        <v>判定不能</v>
      </c>
      <c r="AF1257" s="30" t="n">
        <v>60</v>
      </c>
      <c r="AG1257" s="30" t="n">
        <v>0</v>
      </c>
      <c r="AH1257" s="30" t="str">
        <f aca="false">IF(OR(P1257="判定不能",G1257="判定不能"),"判定不能",IF(AG1257&gt;=判定条件!$C$9,"利用可",IF(AND(P1257="停止",G1257="停止"),"両方停止","運転がそろわない")))</f>
        <v>両方停止</v>
      </c>
      <c r="AI1257" s="30" t="n">
        <v>0</v>
      </c>
      <c r="AJ1257" s="30" t="n">
        <v>0</v>
      </c>
      <c r="AK1257" s="30" t="str">
        <f aca="false">IF(OR(S1257="判定不能",J1257="判定不能"),"判定不能",IF(AJ1257&gt;=判定条件!$C$9,"利用可",IF(AND(S1257="停止",J1257="停止"),"両方停止","運転がそろわない")))</f>
        <v>判定不能</v>
      </c>
      <c r="AL1257" s="30" t="n">
        <v>60</v>
      </c>
      <c r="AM1257" s="30" t="n">
        <v>0</v>
      </c>
      <c r="AN1257" s="30" t="str">
        <f aca="false">IF(OR(V1257="判定不能",M1257="判定不能"),"判定不能",IF(AM1257&gt;=判定条件!$C$9,"利用可",IF(AND(V1257="停止",M1257="停止"),"両方停止","運転がそろわない")))</f>
        <v>両方停止</v>
      </c>
      <c r="AO1257" s="30" t="n">
        <v>0</v>
      </c>
      <c r="AP1257" s="30" t="n">
        <v>0</v>
      </c>
      <c r="AQ1257" s="30" t="str">
        <f aca="false">IF(OR(Y1257="判定不能",G1257="判定不能"),"判定不能",IF(AP1257&gt;=判定条件!$C$9,"利用可",IF(AND(Y1257="停止",G1257="停止"),"両方停止","運転がそろわない")))</f>
        <v>判定不能</v>
      </c>
      <c r="AR1257" s="30" t="n">
        <v>0</v>
      </c>
      <c r="AS1257" s="30" t="n">
        <v>0</v>
      </c>
      <c r="AT1257" s="30" t="str">
        <f aca="false">IF(OR(AB1257="判定不能",J1257="判定不能"),"判定不能",IF(AS1257&gt;=判定条件!$C$9,"利用可",IF(AND(AB1257="停止",J1257="停止"),"両方停止","運転がそろわない")))</f>
        <v>判定不能</v>
      </c>
      <c r="AU1257" s="30" t="n">
        <v>0</v>
      </c>
      <c r="AV1257" s="30" t="n">
        <v>0</v>
      </c>
      <c r="AW1257" s="30" t="str">
        <f aca="false">IF(OR(AE1257="判定不能",M1257="判定不能"),"判定不能",IF(AV1257&gt;=判定条件!$C$9,"利用可",IF(AND(AE1257="停止",M1257="停止"),"両方停止","運転がそろわない")))</f>
        <v>判定不能</v>
      </c>
      <c r="AX1257" s="30" t="str">
        <f aca="false">IF(AND(AH1257="利用可",AK1257="利用可",AN1257="利用可"),"利用可","不可")</f>
        <v>不可</v>
      </c>
      <c r="AY1257" s="30" t="str">
        <f aca="false">IF(AND(AQ1257="利用可",AT1257="利用可",AW1257="利用可"),"利用可","不可")</f>
        <v>不可</v>
      </c>
    </row>
    <row r="1258" customFormat="false" ht="15" hidden="false" customHeight="false" outlineLevel="0" collapsed="false">
      <c r="A1258" s="29" t="n">
        <v>46284</v>
      </c>
      <c r="B1258" s="30" t="n">
        <v>7</v>
      </c>
      <c r="C1258" s="31" t="s">
        <v>63</v>
      </c>
      <c r="D1258" s="31" t="s">
        <v>64</v>
      </c>
      <c r="E1258" s="30" t="n">
        <v>60</v>
      </c>
      <c r="F1258" s="30" t="n">
        <v>0</v>
      </c>
      <c r="G1258" s="30" t="str">
        <f aca="false">IF(E1258&lt;判定条件!$C$6,"判定不能",IF(F1258&gt;=判定条件!$C$7*E1258,"運転",IF(F1258&lt;=判定条件!$C$8*E1258,"停止","断続")))</f>
        <v>停止</v>
      </c>
      <c r="H1258" s="30" t="n">
        <v>0</v>
      </c>
      <c r="I1258" s="30" t="n">
        <v>0</v>
      </c>
      <c r="J1258" s="30" t="str">
        <f aca="false">IF(H1258&lt;判定条件!$C$6,"判定不能",IF(I1258&gt;=判定条件!$C$7*H1258,"運転",IF(I1258&lt;=判定条件!$C$8*H1258,"停止","断続")))</f>
        <v>判定不能</v>
      </c>
      <c r="K1258" s="30" t="n">
        <v>60</v>
      </c>
      <c r="L1258" s="30" t="n">
        <v>0</v>
      </c>
      <c r="M1258" s="30" t="str">
        <f aca="false">IF(K1258&lt;判定条件!$C$6,"判定不能",IF(L1258&gt;=判定条件!$C$7*K1258,"運転",IF(L1258&lt;=判定条件!$C$8*K1258,"停止","断続")))</f>
        <v>停止</v>
      </c>
      <c r="N1258" s="30" t="n">
        <v>60</v>
      </c>
      <c r="O1258" s="30" t="n">
        <v>0</v>
      </c>
      <c r="P1258" s="30" t="str">
        <f aca="false">IF(N1258&lt;判定条件!$C$6,"判定不能",IF(O1258&gt;=判定条件!$C$7*N1258,"運転",IF(O1258&lt;=判定条件!$C$8*N1258,"停止","断続")))</f>
        <v>停止</v>
      </c>
      <c r="Q1258" s="30" t="n">
        <v>60</v>
      </c>
      <c r="R1258" s="30" t="n">
        <v>0</v>
      </c>
      <c r="S1258" s="30" t="str">
        <f aca="false">IF(Q1258&lt;判定条件!$C$6,"判定不能",IF(R1258&gt;=判定条件!$C$7*Q1258,"運転",IF(R1258&lt;=判定条件!$C$8*Q1258,"停止","断続")))</f>
        <v>停止</v>
      </c>
      <c r="T1258" s="30" t="n">
        <v>60</v>
      </c>
      <c r="U1258" s="30" t="n">
        <v>0</v>
      </c>
      <c r="V1258" s="30" t="str">
        <f aca="false">IF(T1258&lt;判定条件!$C$6,"判定不能",IF(U1258&gt;=判定条件!$C$7*T1258,"運転",IF(U1258&lt;=判定条件!$C$8*T1258,"停止","断続")))</f>
        <v>停止</v>
      </c>
      <c r="W1258" s="30" t="n">
        <v>0</v>
      </c>
      <c r="X1258" s="30" t="n">
        <v>0</v>
      </c>
      <c r="Y1258" s="30" t="str">
        <f aca="false">IF(W1258&lt;判定条件!$C$6,"判定不能",IF(X1258&gt;=判定条件!$C$7*W1258,"運転",IF(X1258&lt;=判定条件!$C$8*W1258,"停止","断続")))</f>
        <v>判定不能</v>
      </c>
      <c r="Z1258" s="30" t="n">
        <v>0</v>
      </c>
      <c r="AA1258" s="30" t="n">
        <v>0</v>
      </c>
      <c r="AB1258" s="30" t="str">
        <f aca="false">IF(Z1258&lt;判定条件!$C$6,"判定不能",IF(AA1258&gt;=判定条件!$C$7*Z1258,"運転",IF(AA1258&lt;=判定条件!$C$8*Z1258,"停止","断続")))</f>
        <v>判定不能</v>
      </c>
      <c r="AC1258" s="30" t="n">
        <v>0</v>
      </c>
      <c r="AD1258" s="30" t="n">
        <v>0</v>
      </c>
      <c r="AE1258" s="30" t="str">
        <f aca="false">IF(AC1258&lt;判定条件!$C$6,"判定不能",IF(AD1258&gt;=判定条件!$C$7*AC1258,"運転",IF(AD1258&lt;=判定条件!$C$8*AC1258,"停止","断続")))</f>
        <v>判定不能</v>
      </c>
      <c r="AF1258" s="30" t="n">
        <v>60</v>
      </c>
      <c r="AG1258" s="30" t="n">
        <v>0</v>
      </c>
      <c r="AH1258" s="30" t="str">
        <f aca="false">IF(OR(P1258="判定不能",G1258="判定不能"),"判定不能",IF(AG1258&gt;=判定条件!$C$9,"利用可",IF(AND(P1258="停止",G1258="停止"),"両方停止","運転がそろわない")))</f>
        <v>両方停止</v>
      </c>
      <c r="AI1258" s="30" t="n">
        <v>0</v>
      </c>
      <c r="AJ1258" s="30" t="n">
        <v>0</v>
      </c>
      <c r="AK1258" s="30" t="str">
        <f aca="false">IF(OR(S1258="判定不能",J1258="判定不能"),"判定不能",IF(AJ1258&gt;=判定条件!$C$9,"利用可",IF(AND(S1258="停止",J1258="停止"),"両方停止","運転がそろわない")))</f>
        <v>判定不能</v>
      </c>
      <c r="AL1258" s="30" t="n">
        <v>60</v>
      </c>
      <c r="AM1258" s="30" t="n">
        <v>0</v>
      </c>
      <c r="AN1258" s="30" t="str">
        <f aca="false">IF(OR(V1258="判定不能",M1258="判定不能"),"判定不能",IF(AM1258&gt;=判定条件!$C$9,"利用可",IF(AND(V1258="停止",M1258="停止"),"両方停止","運転がそろわない")))</f>
        <v>両方停止</v>
      </c>
      <c r="AO1258" s="30" t="n">
        <v>0</v>
      </c>
      <c r="AP1258" s="30" t="n">
        <v>0</v>
      </c>
      <c r="AQ1258" s="30" t="str">
        <f aca="false">IF(OR(Y1258="判定不能",G1258="判定不能"),"判定不能",IF(AP1258&gt;=判定条件!$C$9,"利用可",IF(AND(Y1258="停止",G1258="停止"),"両方停止","運転がそろわない")))</f>
        <v>判定不能</v>
      </c>
      <c r="AR1258" s="30" t="n">
        <v>0</v>
      </c>
      <c r="AS1258" s="30" t="n">
        <v>0</v>
      </c>
      <c r="AT1258" s="30" t="str">
        <f aca="false">IF(OR(AB1258="判定不能",J1258="判定不能"),"判定不能",IF(AS1258&gt;=判定条件!$C$9,"利用可",IF(AND(AB1258="停止",J1258="停止"),"両方停止","運転がそろわない")))</f>
        <v>判定不能</v>
      </c>
      <c r="AU1258" s="30" t="n">
        <v>0</v>
      </c>
      <c r="AV1258" s="30" t="n">
        <v>0</v>
      </c>
      <c r="AW1258" s="30" t="str">
        <f aca="false">IF(OR(AE1258="判定不能",M1258="判定不能"),"判定不能",IF(AV1258&gt;=判定条件!$C$9,"利用可",IF(AND(AE1258="停止",M1258="停止"),"両方停止","運転がそろわない")))</f>
        <v>判定不能</v>
      </c>
      <c r="AX1258" s="30" t="str">
        <f aca="false">IF(AND(AH1258="利用可",AK1258="利用可",AN1258="利用可"),"利用可","不可")</f>
        <v>不可</v>
      </c>
      <c r="AY1258" s="30" t="str">
        <f aca="false">IF(AND(AQ1258="利用可",AT1258="利用可",AW1258="利用可"),"利用可","不可")</f>
        <v>不可</v>
      </c>
    </row>
    <row r="1259" customFormat="false" ht="15" hidden="false" customHeight="false" outlineLevel="0" collapsed="false">
      <c r="A1259" s="29" t="n">
        <v>46284</v>
      </c>
      <c r="B1259" s="30" t="n">
        <v>8</v>
      </c>
      <c r="C1259" s="31" t="s">
        <v>63</v>
      </c>
      <c r="D1259" s="31" t="s">
        <v>64</v>
      </c>
      <c r="E1259" s="30" t="n">
        <v>60</v>
      </c>
      <c r="F1259" s="30" t="n">
        <v>0</v>
      </c>
      <c r="G1259" s="30" t="str">
        <f aca="false">IF(E1259&lt;判定条件!$C$6,"判定不能",IF(F1259&gt;=判定条件!$C$7*E1259,"運転",IF(F1259&lt;=判定条件!$C$8*E1259,"停止","断続")))</f>
        <v>停止</v>
      </c>
      <c r="H1259" s="30" t="n">
        <v>0</v>
      </c>
      <c r="I1259" s="30" t="n">
        <v>0</v>
      </c>
      <c r="J1259" s="30" t="str">
        <f aca="false">IF(H1259&lt;判定条件!$C$6,"判定不能",IF(I1259&gt;=判定条件!$C$7*H1259,"運転",IF(I1259&lt;=判定条件!$C$8*H1259,"停止","断続")))</f>
        <v>判定不能</v>
      </c>
      <c r="K1259" s="30" t="n">
        <v>60</v>
      </c>
      <c r="L1259" s="30" t="n">
        <v>0</v>
      </c>
      <c r="M1259" s="30" t="str">
        <f aca="false">IF(K1259&lt;判定条件!$C$6,"判定不能",IF(L1259&gt;=判定条件!$C$7*K1259,"運転",IF(L1259&lt;=判定条件!$C$8*K1259,"停止","断続")))</f>
        <v>停止</v>
      </c>
      <c r="N1259" s="30" t="n">
        <v>60</v>
      </c>
      <c r="O1259" s="30" t="n">
        <v>0</v>
      </c>
      <c r="P1259" s="30" t="str">
        <f aca="false">IF(N1259&lt;判定条件!$C$6,"判定不能",IF(O1259&gt;=判定条件!$C$7*N1259,"運転",IF(O1259&lt;=判定条件!$C$8*N1259,"停止","断続")))</f>
        <v>停止</v>
      </c>
      <c r="Q1259" s="30" t="n">
        <v>60</v>
      </c>
      <c r="R1259" s="30" t="n">
        <v>0</v>
      </c>
      <c r="S1259" s="30" t="str">
        <f aca="false">IF(Q1259&lt;判定条件!$C$6,"判定不能",IF(R1259&gt;=判定条件!$C$7*Q1259,"運転",IF(R1259&lt;=判定条件!$C$8*Q1259,"停止","断続")))</f>
        <v>停止</v>
      </c>
      <c r="T1259" s="30" t="n">
        <v>60</v>
      </c>
      <c r="U1259" s="30" t="n">
        <v>0</v>
      </c>
      <c r="V1259" s="30" t="str">
        <f aca="false">IF(T1259&lt;判定条件!$C$6,"判定不能",IF(U1259&gt;=判定条件!$C$7*T1259,"運転",IF(U1259&lt;=判定条件!$C$8*T1259,"停止","断続")))</f>
        <v>停止</v>
      </c>
      <c r="W1259" s="30" t="n">
        <v>0</v>
      </c>
      <c r="X1259" s="30" t="n">
        <v>0</v>
      </c>
      <c r="Y1259" s="30" t="str">
        <f aca="false">IF(W1259&lt;判定条件!$C$6,"判定不能",IF(X1259&gt;=判定条件!$C$7*W1259,"運転",IF(X1259&lt;=判定条件!$C$8*W1259,"停止","断続")))</f>
        <v>判定不能</v>
      </c>
      <c r="Z1259" s="30" t="n">
        <v>0</v>
      </c>
      <c r="AA1259" s="30" t="n">
        <v>0</v>
      </c>
      <c r="AB1259" s="30" t="str">
        <f aca="false">IF(Z1259&lt;判定条件!$C$6,"判定不能",IF(AA1259&gt;=判定条件!$C$7*Z1259,"運転",IF(AA1259&lt;=判定条件!$C$8*Z1259,"停止","断続")))</f>
        <v>判定不能</v>
      </c>
      <c r="AC1259" s="30" t="n">
        <v>0</v>
      </c>
      <c r="AD1259" s="30" t="n">
        <v>0</v>
      </c>
      <c r="AE1259" s="30" t="str">
        <f aca="false">IF(AC1259&lt;判定条件!$C$6,"判定不能",IF(AD1259&gt;=判定条件!$C$7*AC1259,"運転",IF(AD1259&lt;=判定条件!$C$8*AC1259,"停止","断続")))</f>
        <v>判定不能</v>
      </c>
      <c r="AF1259" s="30" t="n">
        <v>60</v>
      </c>
      <c r="AG1259" s="30" t="n">
        <v>0</v>
      </c>
      <c r="AH1259" s="30" t="str">
        <f aca="false">IF(OR(P1259="判定不能",G1259="判定不能"),"判定不能",IF(AG1259&gt;=判定条件!$C$9,"利用可",IF(AND(P1259="停止",G1259="停止"),"両方停止","運転がそろわない")))</f>
        <v>両方停止</v>
      </c>
      <c r="AI1259" s="30" t="n">
        <v>0</v>
      </c>
      <c r="AJ1259" s="30" t="n">
        <v>0</v>
      </c>
      <c r="AK1259" s="30" t="str">
        <f aca="false">IF(OR(S1259="判定不能",J1259="判定不能"),"判定不能",IF(AJ1259&gt;=判定条件!$C$9,"利用可",IF(AND(S1259="停止",J1259="停止"),"両方停止","運転がそろわない")))</f>
        <v>判定不能</v>
      </c>
      <c r="AL1259" s="30" t="n">
        <v>60</v>
      </c>
      <c r="AM1259" s="30" t="n">
        <v>0</v>
      </c>
      <c r="AN1259" s="30" t="str">
        <f aca="false">IF(OR(V1259="判定不能",M1259="判定不能"),"判定不能",IF(AM1259&gt;=判定条件!$C$9,"利用可",IF(AND(V1259="停止",M1259="停止"),"両方停止","運転がそろわない")))</f>
        <v>両方停止</v>
      </c>
      <c r="AO1259" s="30" t="n">
        <v>0</v>
      </c>
      <c r="AP1259" s="30" t="n">
        <v>0</v>
      </c>
      <c r="AQ1259" s="30" t="str">
        <f aca="false">IF(OR(Y1259="判定不能",G1259="判定不能"),"判定不能",IF(AP1259&gt;=判定条件!$C$9,"利用可",IF(AND(Y1259="停止",G1259="停止"),"両方停止","運転がそろわない")))</f>
        <v>判定不能</v>
      </c>
      <c r="AR1259" s="30" t="n">
        <v>0</v>
      </c>
      <c r="AS1259" s="30" t="n">
        <v>0</v>
      </c>
      <c r="AT1259" s="30" t="str">
        <f aca="false">IF(OR(AB1259="判定不能",J1259="判定不能"),"判定不能",IF(AS1259&gt;=判定条件!$C$9,"利用可",IF(AND(AB1259="停止",J1259="停止"),"両方停止","運転がそろわない")))</f>
        <v>判定不能</v>
      </c>
      <c r="AU1259" s="30" t="n">
        <v>0</v>
      </c>
      <c r="AV1259" s="30" t="n">
        <v>0</v>
      </c>
      <c r="AW1259" s="30" t="str">
        <f aca="false">IF(OR(AE1259="判定不能",M1259="判定不能"),"判定不能",IF(AV1259&gt;=判定条件!$C$9,"利用可",IF(AND(AE1259="停止",M1259="停止"),"両方停止","運転がそろわない")))</f>
        <v>判定不能</v>
      </c>
      <c r="AX1259" s="30" t="str">
        <f aca="false">IF(AND(AH1259="利用可",AK1259="利用可",AN1259="利用可"),"利用可","不可")</f>
        <v>不可</v>
      </c>
      <c r="AY1259" s="30" t="str">
        <f aca="false">IF(AND(AQ1259="利用可",AT1259="利用可",AW1259="利用可"),"利用可","不可")</f>
        <v>不可</v>
      </c>
    </row>
    <row r="1260" customFormat="false" ht="15" hidden="false" customHeight="false" outlineLevel="0" collapsed="false">
      <c r="A1260" s="29" t="n">
        <v>46284</v>
      </c>
      <c r="B1260" s="30" t="n">
        <v>9</v>
      </c>
      <c r="C1260" s="31" t="s">
        <v>63</v>
      </c>
      <c r="D1260" s="31" t="s">
        <v>64</v>
      </c>
      <c r="E1260" s="30" t="n">
        <v>60</v>
      </c>
      <c r="F1260" s="30" t="n">
        <v>14</v>
      </c>
      <c r="G1260" s="30" t="str">
        <f aca="false">IF(E1260&lt;判定条件!$C$6,"判定不能",IF(F1260&gt;=判定条件!$C$7*E1260,"運転",IF(F1260&lt;=判定条件!$C$8*E1260,"停止","断続")))</f>
        <v>断続</v>
      </c>
      <c r="H1260" s="30" t="n">
        <v>0</v>
      </c>
      <c r="I1260" s="30" t="n">
        <v>0</v>
      </c>
      <c r="J1260" s="30" t="str">
        <f aca="false">IF(H1260&lt;判定条件!$C$6,"判定不能",IF(I1260&gt;=判定条件!$C$7*H1260,"運転",IF(I1260&lt;=判定条件!$C$8*H1260,"停止","断続")))</f>
        <v>判定不能</v>
      </c>
      <c r="K1260" s="30" t="n">
        <v>60</v>
      </c>
      <c r="L1260" s="30" t="n">
        <v>27</v>
      </c>
      <c r="M1260" s="30" t="str">
        <f aca="false">IF(K1260&lt;判定条件!$C$6,"判定不能",IF(L1260&gt;=判定条件!$C$7*K1260,"運転",IF(L1260&lt;=判定条件!$C$8*K1260,"停止","断続")))</f>
        <v>断続</v>
      </c>
      <c r="N1260" s="30" t="n">
        <v>60</v>
      </c>
      <c r="O1260" s="30" t="n">
        <v>0</v>
      </c>
      <c r="P1260" s="30" t="str">
        <f aca="false">IF(N1260&lt;判定条件!$C$6,"判定不能",IF(O1260&gt;=判定条件!$C$7*N1260,"運転",IF(O1260&lt;=判定条件!$C$8*N1260,"停止","断続")))</f>
        <v>停止</v>
      </c>
      <c r="Q1260" s="30" t="n">
        <v>60</v>
      </c>
      <c r="R1260" s="30" t="n">
        <v>0</v>
      </c>
      <c r="S1260" s="30" t="str">
        <f aca="false">IF(Q1260&lt;判定条件!$C$6,"判定不能",IF(R1260&gt;=判定条件!$C$7*Q1260,"運転",IF(R1260&lt;=判定条件!$C$8*Q1260,"停止","断続")))</f>
        <v>停止</v>
      </c>
      <c r="T1260" s="30" t="n">
        <v>60</v>
      </c>
      <c r="U1260" s="30" t="n">
        <v>13</v>
      </c>
      <c r="V1260" s="30" t="str">
        <f aca="false">IF(T1260&lt;判定条件!$C$6,"判定不能",IF(U1260&gt;=判定条件!$C$7*T1260,"運転",IF(U1260&lt;=判定条件!$C$8*T1260,"停止","断続")))</f>
        <v>断続</v>
      </c>
      <c r="W1260" s="30" t="n">
        <v>0</v>
      </c>
      <c r="X1260" s="30" t="n">
        <v>0</v>
      </c>
      <c r="Y1260" s="30" t="str">
        <f aca="false">IF(W1260&lt;判定条件!$C$6,"判定不能",IF(X1260&gt;=判定条件!$C$7*W1260,"運転",IF(X1260&lt;=判定条件!$C$8*W1260,"停止","断続")))</f>
        <v>判定不能</v>
      </c>
      <c r="Z1260" s="30" t="n">
        <v>0</v>
      </c>
      <c r="AA1260" s="30" t="n">
        <v>0</v>
      </c>
      <c r="AB1260" s="30" t="str">
        <f aca="false">IF(Z1260&lt;判定条件!$C$6,"判定不能",IF(AA1260&gt;=判定条件!$C$7*Z1260,"運転",IF(AA1260&lt;=判定条件!$C$8*Z1260,"停止","断続")))</f>
        <v>判定不能</v>
      </c>
      <c r="AC1260" s="30" t="n">
        <v>0</v>
      </c>
      <c r="AD1260" s="30" t="n">
        <v>0</v>
      </c>
      <c r="AE1260" s="30" t="str">
        <f aca="false">IF(AC1260&lt;判定条件!$C$6,"判定不能",IF(AD1260&gt;=判定条件!$C$7*AC1260,"運転",IF(AD1260&lt;=判定条件!$C$8*AC1260,"停止","断続")))</f>
        <v>判定不能</v>
      </c>
      <c r="AF1260" s="30" t="n">
        <v>60</v>
      </c>
      <c r="AG1260" s="30" t="n">
        <v>0</v>
      </c>
      <c r="AH1260" s="30" t="str">
        <f aca="false">IF(OR(P1260="判定不能",G1260="判定不能"),"判定不能",IF(AG1260&gt;=判定条件!$C$9,"利用可",IF(AND(P1260="停止",G1260="停止"),"両方停止","運転がそろわない")))</f>
        <v>運転がそろわない</v>
      </c>
      <c r="AI1260" s="30" t="n">
        <v>0</v>
      </c>
      <c r="AJ1260" s="30" t="n">
        <v>0</v>
      </c>
      <c r="AK1260" s="30" t="str">
        <f aca="false">IF(OR(S1260="判定不能",J1260="判定不能"),"判定不能",IF(AJ1260&gt;=判定条件!$C$9,"利用可",IF(AND(S1260="停止",J1260="停止"),"両方停止","運転がそろわない")))</f>
        <v>判定不能</v>
      </c>
      <c r="AL1260" s="30" t="n">
        <v>60</v>
      </c>
      <c r="AM1260" s="30" t="n">
        <v>13</v>
      </c>
      <c r="AN1260" s="30" t="str">
        <f aca="false">IF(OR(V1260="判定不能",M1260="判定不能"),"判定不能",IF(AM1260&gt;=判定条件!$C$9,"利用可",IF(AND(V1260="停止",M1260="停止"),"両方停止","運転がそろわない")))</f>
        <v>運転がそろわない</v>
      </c>
      <c r="AO1260" s="30" t="n">
        <v>0</v>
      </c>
      <c r="AP1260" s="30" t="n">
        <v>0</v>
      </c>
      <c r="AQ1260" s="30" t="str">
        <f aca="false">IF(OR(Y1260="判定不能",G1260="判定不能"),"判定不能",IF(AP1260&gt;=判定条件!$C$9,"利用可",IF(AND(Y1260="停止",G1260="停止"),"両方停止","運転がそろわない")))</f>
        <v>判定不能</v>
      </c>
      <c r="AR1260" s="30" t="n">
        <v>0</v>
      </c>
      <c r="AS1260" s="30" t="n">
        <v>0</v>
      </c>
      <c r="AT1260" s="30" t="str">
        <f aca="false">IF(OR(AB1260="判定不能",J1260="判定不能"),"判定不能",IF(AS1260&gt;=判定条件!$C$9,"利用可",IF(AND(AB1260="停止",J1260="停止"),"両方停止","運転がそろわない")))</f>
        <v>判定不能</v>
      </c>
      <c r="AU1260" s="30" t="n">
        <v>0</v>
      </c>
      <c r="AV1260" s="30" t="n">
        <v>0</v>
      </c>
      <c r="AW1260" s="30" t="str">
        <f aca="false">IF(OR(AE1260="判定不能",M1260="判定不能"),"判定不能",IF(AV1260&gt;=判定条件!$C$9,"利用可",IF(AND(AE1260="停止",M1260="停止"),"両方停止","運転がそろわない")))</f>
        <v>判定不能</v>
      </c>
      <c r="AX1260" s="30" t="str">
        <f aca="false">IF(AND(AH1260="利用可",AK1260="利用可",AN1260="利用可"),"利用可","不可")</f>
        <v>不可</v>
      </c>
      <c r="AY1260" s="30" t="str">
        <f aca="false">IF(AND(AQ1260="利用可",AT1260="利用可",AW1260="利用可"),"利用可","不可")</f>
        <v>不可</v>
      </c>
    </row>
    <row r="1261" customFormat="false" ht="15" hidden="false" customHeight="false" outlineLevel="0" collapsed="false">
      <c r="A1261" s="29" t="n">
        <v>46284</v>
      </c>
      <c r="B1261" s="30" t="n">
        <v>10</v>
      </c>
      <c r="C1261" s="31" t="s">
        <v>63</v>
      </c>
      <c r="D1261" s="31" t="s">
        <v>64</v>
      </c>
      <c r="E1261" s="30" t="n">
        <v>60</v>
      </c>
      <c r="F1261" s="30" t="n">
        <v>10</v>
      </c>
      <c r="G1261" s="30" t="str">
        <f aca="false">IF(E1261&lt;判定条件!$C$6,"判定不能",IF(F1261&gt;=判定条件!$C$7*E1261,"運転",IF(F1261&lt;=判定条件!$C$8*E1261,"停止","断続")))</f>
        <v>停止</v>
      </c>
      <c r="H1261" s="30" t="n">
        <v>0</v>
      </c>
      <c r="I1261" s="30" t="n">
        <v>0</v>
      </c>
      <c r="J1261" s="30" t="str">
        <f aca="false">IF(H1261&lt;判定条件!$C$6,"判定不能",IF(I1261&gt;=判定条件!$C$7*H1261,"運転",IF(I1261&lt;=判定条件!$C$8*H1261,"停止","断続")))</f>
        <v>判定不能</v>
      </c>
      <c r="K1261" s="30" t="n">
        <v>60</v>
      </c>
      <c r="L1261" s="30" t="n">
        <v>60</v>
      </c>
      <c r="M1261" s="30" t="str">
        <f aca="false">IF(K1261&lt;判定条件!$C$6,"判定不能",IF(L1261&gt;=判定条件!$C$7*K1261,"運転",IF(L1261&lt;=判定条件!$C$8*K1261,"停止","断続")))</f>
        <v>運転</v>
      </c>
      <c r="N1261" s="30" t="n">
        <v>60</v>
      </c>
      <c r="O1261" s="30" t="n">
        <v>20</v>
      </c>
      <c r="P1261" s="30" t="str">
        <f aca="false">IF(N1261&lt;判定条件!$C$6,"判定不能",IF(O1261&gt;=判定条件!$C$7*N1261,"運転",IF(O1261&lt;=判定条件!$C$8*N1261,"停止","断続")))</f>
        <v>断続</v>
      </c>
      <c r="Q1261" s="30" t="n">
        <v>60</v>
      </c>
      <c r="R1261" s="30" t="n">
        <v>21</v>
      </c>
      <c r="S1261" s="30" t="str">
        <f aca="false">IF(Q1261&lt;判定条件!$C$6,"判定不能",IF(R1261&gt;=判定条件!$C$7*Q1261,"運転",IF(R1261&lt;=判定条件!$C$8*Q1261,"停止","断続")))</f>
        <v>断続</v>
      </c>
      <c r="T1261" s="30" t="n">
        <v>60</v>
      </c>
      <c r="U1261" s="30" t="n">
        <v>60</v>
      </c>
      <c r="V1261" s="30" t="str">
        <f aca="false">IF(T1261&lt;判定条件!$C$6,"判定不能",IF(U1261&gt;=判定条件!$C$7*T1261,"運転",IF(U1261&lt;=判定条件!$C$8*T1261,"停止","断続")))</f>
        <v>運転</v>
      </c>
      <c r="W1261" s="30" t="n">
        <v>0</v>
      </c>
      <c r="X1261" s="30" t="n">
        <v>0</v>
      </c>
      <c r="Y1261" s="30" t="str">
        <f aca="false">IF(W1261&lt;判定条件!$C$6,"判定不能",IF(X1261&gt;=判定条件!$C$7*W1261,"運転",IF(X1261&lt;=判定条件!$C$8*W1261,"停止","断続")))</f>
        <v>判定不能</v>
      </c>
      <c r="Z1261" s="30" t="n">
        <v>0</v>
      </c>
      <c r="AA1261" s="30" t="n">
        <v>0</v>
      </c>
      <c r="AB1261" s="30" t="str">
        <f aca="false">IF(Z1261&lt;判定条件!$C$6,"判定不能",IF(AA1261&gt;=判定条件!$C$7*Z1261,"運転",IF(AA1261&lt;=判定条件!$C$8*Z1261,"停止","断続")))</f>
        <v>判定不能</v>
      </c>
      <c r="AC1261" s="30" t="n">
        <v>0</v>
      </c>
      <c r="AD1261" s="30" t="n">
        <v>0</v>
      </c>
      <c r="AE1261" s="30" t="str">
        <f aca="false">IF(AC1261&lt;判定条件!$C$6,"判定不能",IF(AD1261&gt;=判定条件!$C$7*AC1261,"運転",IF(AD1261&lt;=判定条件!$C$8*AC1261,"停止","断続")))</f>
        <v>判定不能</v>
      </c>
      <c r="AF1261" s="30" t="n">
        <v>60</v>
      </c>
      <c r="AG1261" s="30" t="n">
        <v>0</v>
      </c>
      <c r="AH1261" s="30" t="str">
        <f aca="false">IF(OR(P1261="判定不能",G1261="判定不能"),"判定不能",IF(AG1261&gt;=判定条件!$C$9,"利用可",IF(AND(P1261="停止",G1261="停止"),"両方停止","運転がそろわない")))</f>
        <v>運転がそろわない</v>
      </c>
      <c r="AI1261" s="30" t="n">
        <v>0</v>
      </c>
      <c r="AJ1261" s="30" t="n">
        <v>0</v>
      </c>
      <c r="AK1261" s="30" t="str">
        <f aca="false">IF(OR(S1261="判定不能",J1261="判定不能"),"判定不能",IF(AJ1261&gt;=判定条件!$C$9,"利用可",IF(AND(S1261="停止",J1261="停止"),"両方停止","運転がそろわない")))</f>
        <v>判定不能</v>
      </c>
      <c r="AL1261" s="30" t="n">
        <v>60</v>
      </c>
      <c r="AM1261" s="30" t="n">
        <v>60</v>
      </c>
      <c r="AN1261" s="30" t="str">
        <f aca="false">IF(OR(V1261="判定不能",M1261="判定不能"),"判定不能",IF(AM1261&gt;=判定条件!$C$9,"利用可",IF(AND(V1261="停止",M1261="停止"),"両方停止","運転がそろわない")))</f>
        <v>利用可</v>
      </c>
      <c r="AO1261" s="30" t="n">
        <v>0</v>
      </c>
      <c r="AP1261" s="30" t="n">
        <v>0</v>
      </c>
      <c r="AQ1261" s="30" t="str">
        <f aca="false">IF(OR(Y1261="判定不能",G1261="判定不能"),"判定不能",IF(AP1261&gt;=判定条件!$C$9,"利用可",IF(AND(Y1261="停止",G1261="停止"),"両方停止","運転がそろわない")))</f>
        <v>判定不能</v>
      </c>
      <c r="AR1261" s="30" t="n">
        <v>0</v>
      </c>
      <c r="AS1261" s="30" t="n">
        <v>0</v>
      </c>
      <c r="AT1261" s="30" t="str">
        <f aca="false">IF(OR(AB1261="判定不能",J1261="判定不能"),"判定不能",IF(AS1261&gt;=判定条件!$C$9,"利用可",IF(AND(AB1261="停止",J1261="停止"),"両方停止","運転がそろわない")))</f>
        <v>判定不能</v>
      </c>
      <c r="AU1261" s="30" t="n">
        <v>0</v>
      </c>
      <c r="AV1261" s="30" t="n">
        <v>0</v>
      </c>
      <c r="AW1261" s="30" t="str">
        <f aca="false">IF(OR(AE1261="判定不能",M1261="判定不能"),"判定不能",IF(AV1261&gt;=判定条件!$C$9,"利用可",IF(AND(AE1261="停止",M1261="停止"),"両方停止","運転がそろわない")))</f>
        <v>判定不能</v>
      </c>
      <c r="AX1261" s="30" t="str">
        <f aca="false">IF(AND(AH1261="利用可",AK1261="利用可",AN1261="利用可"),"利用可","不可")</f>
        <v>不可</v>
      </c>
      <c r="AY1261" s="30" t="str">
        <f aca="false">IF(AND(AQ1261="利用可",AT1261="利用可",AW1261="利用可"),"利用可","不可")</f>
        <v>不可</v>
      </c>
    </row>
    <row r="1262" customFormat="false" ht="15" hidden="false" customHeight="false" outlineLevel="0" collapsed="false">
      <c r="A1262" s="29" t="n">
        <v>46284</v>
      </c>
      <c r="B1262" s="30" t="n">
        <v>11</v>
      </c>
      <c r="C1262" s="31" t="s">
        <v>63</v>
      </c>
      <c r="D1262" s="31" t="s">
        <v>64</v>
      </c>
      <c r="E1262" s="30" t="n">
        <v>60</v>
      </c>
      <c r="F1262" s="30" t="n">
        <v>0</v>
      </c>
      <c r="G1262" s="30" t="str">
        <f aca="false">IF(E1262&lt;判定条件!$C$6,"判定不能",IF(F1262&gt;=判定条件!$C$7*E1262,"運転",IF(F1262&lt;=判定条件!$C$8*E1262,"停止","断続")))</f>
        <v>停止</v>
      </c>
      <c r="H1262" s="30" t="n">
        <v>0</v>
      </c>
      <c r="I1262" s="30" t="n">
        <v>0</v>
      </c>
      <c r="J1262" s="30" t="str">
        <f aca="false">IF(H1262&lt;判定条件!$C$6,"判定不能",IF(I1262&gt;=判定条件!$C$7*H1262,"運転",IF(I1262&lt;=判定条件!$C$8*H1262,"停止","断続")))</f>
        <v>判定不能</v>
      </c>
      <c r="K1262" s="30" t="n">
        <v>60</v>
      </c>
      <c r="L1262" s="30" t="n">
        <v>60</v>
      </c>
      <c r="M1262" s="30" t="str">
        <f aca="false">IF(K1262&lt;判定条件!$C$6,"判定不能",IF(L1262&gt;=判定条件!$C$7*K1262,"運転",IF(L1262&lt;=判定条件!$C$8*K1262,"停止","断続")))</f>
        <v>運転</v>
      </c>
      <c r="N1262" s="30" t="n">
        <v>60</v>
      </c>
      <c r="O1262" s="30" t="n">
        <v>0</v>
      </c>
      <c r="P1262" s="30" t="str">
        <f aca="false">IF(N1262&lt;判定条件!$C$6,"判定不能",IF(O1262&gt;=判定条件!$C$7*N1262,"運転",IF(O1262&lt;=判定条件!$C$8*N1262,"停止","断続")))</f>
        <v>停止</v>
      </c>
      <c r="Q1262" s="30" t="n">
        <v>60</v>
      </c>
      <c r="R1262" s="30" t="n">
        <v>0</v>
      </c>
      <c r="S1262" s="30" t="str">
        <f aca="false">IF(Q1262&lt;判定条件!$C$6,"判定不能",IF(R1262&gt;=判定条件!$C$7*Q1262,"運転",IF(R1262&lt;=判定条件!$C$8*Q1262,"停止","断続")))</f>
        <v>停止</v>
      </c>
      <c r="T1262" s="30" t="n">
        <v>60</v>
      </c>
      <c r="U1262" s="30" t="n">
        <v>54</v>
      </c>
      <c r="V1262" s="30" t="str">
        <f aca="false">IF(T1262&lt;判定条件!$C$6,"判定不能",IF(U1262&gt;=判定条件!$C$7*T1262,"運転",IF(U1262&lt;=判定条件!$C$8*T1262,"停止","断続")))</f>
        <v>運転</v>
      </c>
      <c r="W1262" s="30" t="n">
        <v>0</v>
      </c>
      <c r="X1262" s="30" t="n">
        <v>0</v>
      </c>
      <c r="Y1262" s="30" t="str">
        <f aca="false">IF(W1262&lt;判定条件!$C$6,"判定不能",IF(X1262&gt;=判定条件!$C$7*W1262,"運転",IF(X1262&lt;=判定条件!$C$8*W1262,"停止","断続")))</f>
        <v>判定不能</v>
      </c>
      <c r="Z1262" s="30" t="n">
        <v>0</v>
      </c>
      <c r="AA1262" s="30" t="n">
        <v>0</v>
      </c>
      <c r="AB1262" s="30" t="str">
        <f aca="false">IF(Z1262&lt;判定条件!$C$6,"判定不能",IF(AA1262&gt;=判定条件!$C$7*Z1262,"運転",IF(AA1262&lt;=判定条件!$C$8*Z1262,"停止","断続")))</f>
        <v>判定不能</v>
      </c>
      <c r="AC1262" s="30" t="n">
        <v>0</v>
      </c>
      <c r="AD1262" s="30" t="n">
        <v>0</v>
      </c>
      <c r="AE1262" s="30" t="str">
        <f aca="false">IF(AC1262&lt;判定条件!$C$6,"判定不能",IF(AD1262&gt;=判定条件!$C$7*AC1262,"運転",IF(AD1262&lt;=判定条件!$C$8*AC1262,"停止","断続")))</f>
        <v>判定不能</v>
      </c>
      <c r="AF1262" s="30" t="n">
        <v>60</v>
      </c>
      <c r="AG1262" s="30" t="n">
        <v>0</v>
      </c>
      <c r="AH1262" s="30" t="str">
        <f aca="false">IF(OR(P1262="判定不能",G1262="判定不能"),"判定不能",IF(AG1262&gt;=判定条件!$C$9,"利用可",IF(AND(P1262="停止",G1262="停止"),"両方停止","運転がそろわない")))</f>
        <v>両方停止</v>
      </c>
      <c r="AI1262" s="30" t="n">
        <v>0</v>
      </c>
      <c r="AJ1262" s="30" t="n">
        <v>0</v>
      </c>
      <c r="AK1262" s="30" t="str">
        <f aca="false">IF(OR(S1262="判定不能",J1262="判定不能"),"判定不能",IF(AJ1262&gt;=判定条件!$C$9,"利用可",IF(AND(S1262="停止",J1262="停止"),"両方停止","運転がそろわない")))</f>
        <v>判定不能</v>
      </c>
      <c r="AL1262" s="30" t="n">
        <v>60</v>
      </c>
      <c r="AM1262" s="30" t="n">
        <v>54</v>
      </c>
      <c r="AN1262" s="30" t="str">
        <f aca="false">IF(OR(V1262="判定不能",M1262="判定不能"),"判定不能",IF(AM1262&gt;=判定条件!$C$9,"利用可",IF(AND(V1262="停止",M1262="停止"),"両方停止","運転がそろわない")))</f>
        <v>利用可</v>
      </c>
      <c r="AO1262" s="30" t="n">
        <v>0</v>
      </c>
      <c r="AP1262" s="30" t="n">
        <v>0</v>
      </c>
      <c r="AQ1262" s="30" t="str">
        <f aca="false">IF(OR(Y1262="判定不能",G1262="判定不能"),"判定不能",IF(AP1262&gt;=判定条件!$C$9,"利用可",IF(AND(Y1262="停止",G1262="停止"),"両方停止","運転がそろわない")))</f>
        <v>判定不能</v>
      </c>
      <c r="AR1262" s="30" t="n">
        <v>0</v>
      </c>
      <c r="AS1262" s="30" t="n">
        <v>0</v>
      </c>
      <c r="AT1262" s="30" t="str">
        <f aca="false">IF(OR(AB1262="判定不能",J1262="判定不能"),"判定不能",IF(AS1262&gt;=判定条件!$C$9,"利用可",IF(AND(AB1262="停止",J1262="停止"),"両方停止","運転がそろわない")))</f>
        <v>判定不能</v>
      </c>
      <c r="AU1262" s="30" t="n">
        <v>0</v>
      </c>
      <c r="AV1262" s="30" t="n">
        <v>0</v>
      </c>
      <c r="AW1262" s="30" t="str">
        <f aca="false">IF(OR(AE1262="判定不能",M1262="判定不能"),"判定不能",IF(AV1262&gt;=判定条件!$C$9,"利用可",IF(AND(AE1262="停止",M1262="停止"),"両方停止","運転がそろわない")))</f>
        <v>判定不能</v>
      </c>
      <c r="AX1262" s="30" t="str">
        <f aca="false">IF(AND(AH1262="利用可",AK1262="利用可",AN1262="利用可"),"利用可","不可")</f>
        <v>不可</v>
      </c>
      <c r="AY1262" s="30" t="str">
        <f aca="false">IF(AND(AQ1262="利用可",AT1262="利用可",AW1262="利用可"),"利用可","不可")</f>
        <v>不可</v>
      </c>
    </row>
    <row r="1263" customFormat="false" ht="15" hidden="false" customHeight="false" outlineLevel="0" collapsed="false">
      <c r="A1263" s="29" t="n">
        <v>46284</v>
      </c>
      <c r="B1263" s="30" t="n">
        <v>12</v>
      </c>
      <c r="C1263" s="31" t="s">
        <v>63</v>
      </c>
      <c r="D1263" s="31" t="s">
        <v>64</v>
      </c>
      <c r="E1263" s="30" t="n">
        <v>60</v>
      </c>
      <c r="F1263" s="30" t="n">
        <v>0</v>
      </c>
      <c r="G1263" s="30" t="str">
        <f aca="false">IF(E1263&lt;判定条件!$C$6,"判定不能",IF(F1263&gt;=判定条件!$C$7*E1263,"運転",IF(F1263&lt;=判定条件!$C$8*E1263,"停止","断続")))</f>
        <v>停止</v>
      </c>
      <c r="H1263" s="30" t="n">
        <v>0</v>
      </c>
      <c r="I1263" s="30" t="n">
        <v>0</v>
      </c>
      <c r="J1263" s="30" t="str">
        <f aca="false">IF(H1263&lt;判定条件!$C$6,"判定不能",IF(I1263&gt;=判定条件!$C$7*H1263,"運転",IF(I1263&lt;=判定条件!$C$8*H1263,"停止","断続")))</f>
        <v>判定不能</v>
      </c>
      <c r="K1263" s="30" t="n">
        <v>60</v>
      </c>
      <c r="L1263" s="30" t="n">
        <v>60</v>
      </c>
      <c r="M1263" s="30" t="str">
        <f aca="false">IF(K1263&lt;判定条件!$C$6,"判定不能",IF(L1263&gt;=判定条件!$C$7*K1263,"運転",IF(L1263&lt;=判定条件!$C$8*K1263,"停止","断続")))</f>
        <v>運転</v>
      </c>
      <c r="N1263" s="30" t="n">
        <v>60</v>
      </c>
      <c r="O1263" s="30" t="n">
        <v>0</v>
      </c>
      <c r="P1263" s="30" t="str">
        <f aca="false">IF(N1263&lt;判定条件!$C$6,"判定不能",IF(O1263&gt;=判定条件!$C$7*N1263,"運転",IF(O1263&lt;=判定条件!$C$8*N1263,"停止","断続")))</f>
        <v>停止</v>
      </c>
      <c r="Q1263" s="30" t="n">
        <v>60</v>
      </c>
      <c r="R1263" s="30" t="n">
        <v>27</v>
      </c>
      <c r="S1263" s="30" t="str">
        <f aca="false">IF(Q1263&lt;判定条件!$C$6,"判定不能",IF(R1263&gt;=判定条件!$C$7*Q1263,"運転",IF(R1263&lt;=判定条件!$C$8*Q1263,"停止","断続")))</f>
        <v>断続</v>
      </c>
      <c r="T1263" s="30" t="n">
        <v>60</v>
      </c>
      <c r="U1263" s="30" t="n">
        <v>53</v>
      </c>
      <c r="V1263" s="30" t="str">
        <f aca="false">IF(T1263&lt;判定条件!$C$6,"判定不能",IF(U1263&gt;=判定条件!$C$7*T1263,"運転",IF(U1263&lt;=判定条件!$C$8*T1263,"停止","断続")))</f>
        <v>運転</v>
      </c>
      <c r="W1263" s="30" t="n">
        <v>0</v>
      </c>
      <c r="X1263" s="30" t="n">
        <v>0</v>
      </c>
      <c r="Y1263" s="30" t="str">
        <f aca="false">IF(W1263&lt;判定条件!$C$6,"判定不能",IF(X1263&gt;=判定条件!$C$7*W1263,"運転",IF(X1263&lt;=判定条件!$C$8*W1263,"停止","断続")))</f>
        <v>判定不能</v>
      </c>
      <c r="Z1263" s="30" t="n">
        <v>0</v>
      </c>
      <c r="AA1263" s="30" t="n">
        <v>0</v>
      </c>
      <c r="AB1263" s="30" t="str">
        <f aca="false">IF(Z1263&lt;判定条件!$C$6,"判定不能",IF(AA1263&gt;=判定条件!$C$7*Z1263,"運転",IF(AA1263&lt;=判定条件!$C$8*Z1263,"停止","断続")))</f>
        <v>判定不能</v>
      </c>
      <c r="AC1263" s="30" t="n">
        <v>0</v>
      </c>
      <c r="AD1263" s="30" t="n">
        <v>0</v>
      </c>
      <c r="AE1263" s="30" t="str">
        <f aca="false">IF(AC1263&lt;判定条件!$C$6,"判定不能",IF(AD1263&gt;=判定条件!$C$7*AC1263,"運転",IF(AD1263&lt;=判定条件!$C$8*AC1263,"停止","断続")))</f>
        <v>判定不能</v>
      </c>
      <c r="AF1263" s="30" t="n">
        <v>60</v>
      </c>
      <c r="AG1263" s="30" t="n">
        <v>0</v>
      </c>
      <c r="AH1263" s="30" t="str">
        <f aca="false">IF(OR(P1263="判定不能",G1263="判定不能"),"判定不能",IF(AG1263&gt;=判定条件!$C$9,"利用可",IF(AND(P1263="停止",G1263="停止"),"両方停止","運転がそろわない")))</f>
        <v>両方停止</v>
      </c>
      <c r="AI1263" s="30" t="n">
        <v>0</v>
      </c>
      <c r="AJ1263" s="30" t="n">
        <v>0</v>
      </c>
      <c r="AK1263" s="30" t="str">
        <f aca="false">IF(OR(S1263="判定不能",J1263="判定不能"),"判定不能",IF(AJ1263&gt;=判定条件!$C$9,"利用可",IF(AND(S1263="停止",J1263="停止"),"両方停止","運転がそろわない")))</f>
        <v>判定不能</v>
      </c>
      <c r="AL1263" s="30" t="n">
        <v>60</v>
      </c>
      <c r="AM1263" s="30" t="n">
        <v>53</v>
      </c>
      <c r="AN1263" s="30" t="str">
        <f aca="false">IF(OR(V1263="判定不能",M1263="判定不能"),"判定不能",IF(AM1263&gt;=判定条件!$C$9,"利用可",IF(AND(V1263="停止",M1263="停止"),"両方停止","運転がそろわない")))</f>
        <v>利用可</v>
      </c>
      <c r="AO1263" s="30" t="n">
        <v>0</v>
      </c>
      <c r="AP1263" s="30" t="n">
        <v>0</v>
      </c>
      <c r="AQ1263" s="30" t="str">
        <f aca="false">IF(OR(Y1263="判定不能",G1263="判定不能"),"判定不能",IF(AP1263&gt;=判定条件!$C$9,"利用可",IF(AND(Y1263="停止",G1263="停止"),"両方停止","運転がそろわない")))</f>
        <v>判定不能</v>
      </c>
      <c r="AR1263" s="30" t="n">
        <v>0</v>
      </c>
      <c r="AS1263" s="30" t="n">
        <v>0</v>
      </c>
      <c r="AT1263" s="30" t="str">
        <f aca="false">IF(OR(AB1263="判定不能",J1263="判定不能"),"判定不能",IF(AS1263&gt;=判定条件!$C$9,"利用可",IF(AND(AB1263="停止",J1263="停止"),"両方停止","運転がそろわない")))</f>
        <v>判定不能</v>
      </c>
      <c r="AU1263" s="30" t="n">
        <v>0</v>
      </c>
      <c r="AV1263" s="30" t="n">
        <v>0</v>
      </c>
      <c r="AW1263" s="30" t="str">
        <f aca="false">IF(OR(AE1263="判定不能",M1263="判定不能"),"判定不能",IF(AV1263&gt;=判定条件!$C$9,"利用可",IF(AND(AE1263="停止",M1263="停止"),"両方停止","運転がそろわない")))</f>
        <v>判定不能</v>
      </c>
      <c r="AX1263" s="30" t="str">
        <f aca="false">IF(AND(AH1263="利用可",AK1263="利用可",AN1263="利用可"),"利用可","不可")</f>
        <v>不可</v>
      </c>
      <c r="AY1263" s="30" t="str">
        <f aca="false">IF(AND(AQ1263="利用可",AT1263="利用可",AW1263="利用可"),"利用可","不可")</f>
        <v>不可</v>
      </c>
    </row>
    <row r="1264" customFormat="false" ht="15" hidden="false" customHeight="false" outlineLevel="0" collapsed="false">
      <c r="A1264" s="29" t="n">
        <v>46284</v>
      </c>
      <c r="B1264" s="30" t="n">
        <v>13</v>
      </c>
      <c r="C1264" s="31" t="s">
        <v>63</v>
      </c>
      <c r="D1264" s="31" t="s">
        <v>64</v>
      </c>
      <c r="E1264" s="30" t="n">
        <v>60</v>
      </c>
      <c r="F1264" s="30" t="n">
        <v>33</v>
      </c>
      <c r="G1264" s="30" t="str">
        <f aca="false">IF(E1264&lt;判定条件!$C$6,"判定不能",IF(F1264&gt;=判定条件!$C$7*E1264,"運転",IF(F1264&lt;=判定条件!$C$8*E1264,"停止","断続")))</f>
        <v>断続</v>
      </c>
      <c r="H1264" s="30" t="n">
        <v>0</v>
      </c>
      <c r="I1264" s="30" t="n">
        <v>0</v>
      </c>
      <c r="J1264" s="30" t="str">
        <f aca="false">IF(H1264&lt;判定条件!$C$6,"判定不能",IF(I1264&gt;=判定条件!$C$7*H1264,"運転",IF(I1264&lt;=判定条件!$C$8*H1264,"停止","断続")))</f>
        <v>判定不能</v>
      </c>
      <c r="K1264" s="30" t="n">
        <v>60</v>
      </c>
      <c r="L1264" s="30" t="n">
        <v>50</v>
      </c>
      <c r="M1264" s="30" t="str">
        <f aca="false">IF(K1264&lt;判定条件!$C$6,"判定不能",IF(L1264&gt;=判定条件!$C$7*K1264,"運転",IF(L1264&lt;=判定条件!$C$8*K1264,"停止","断続")))</f>
        <v>運転</v>
      </c>
      <c r="N1264" s="30" t="n">
        <v>60</v>
      </c>
      <c r="O1264" s="30" t="n">
        <v>0</v>
      </c>
      <c r="P1264" s="30" t="str">
        <f aca="false">IF(N1264&lt;判定条件!$C$6,"判定不能",IF(O1264&gt;=判定条件!$C$7*N1264,"運転",IF(O1264&lt;=判定条件!$C$8*N1264,"停止","断続")))</f>
        <v>停止</v>
      </c>
      <c r="Q1264" s="30" t="n">
        <v>60</v>
      </c>
      <c r="R1264" s="30" t="n">
        <v>60</v>
      </c>
      <c r="S1264" s="30" t="str">
        <f aca="false">IF(Q1264&lt;判定条件!$C$6,"判定不能",IF(R1264&gt;=判定条件!$C$7*Q1264,"運転",IF(R1264&lt;=判定条件!$C$8*Q1264,"停止","断続")))</f>
        <v>運転</v>
      </c>
      <c r="T1264" s="30" t="n">
        <v>60</v>
      </c>
      <c r="U1264" s="30" t="n">
        <v>50</v>
      </c>
      <c r="V1264" s="30" t="str">
        <f aca="false">IF(T1264&lt;判定条件!$C$6,"判定不能",IF(U1264&gt;=判定条件!$C$7*T1264,"運転",IF(U1264&lt;=判定条件!$C$8*T1264,"停止","断続")))</f>
        <v>運転</v>
      </c>
      <c r="W1264" s="30" t="n">
        <v>0</v>
      </c>
      <c r="X1264" s="30" t="n">
        <v>0</v>
      </c>
      <c r="Y1264" s="30" t="str">
        <f aca="false">IF(W1264&lt;判定条件!$C$6,"判定不能",IF(X1264&gt;=判定条件!$C$7*W1264,"運転",IF(X1264&lt;=判定条件!$C$8*W1264,"停止","断続")))</f>
        <v>判定不能</v>
      </c>
      <c r="Z1264" s="30" t="n">
        <v>0</v>
      </c>
      <c r="AA1264" s="30" t="n">
        <v>0</v>
      </c>
      <c r="AB1264" s="30" t="str">
        <f aca="false">IF(Z1264&lt;判定条件!$C$6,"判定不能",IF(AA1264&gt;=判定条件!$C$7*Z1264,"運転",IF(AA1264&lt;=判定条件!$C$8*Z1264,"停止","断続")))</f>
        <v>判定不能</v>
      </c>
      <c r="AC1264" s="30" t="n">
        <v>0</v>
      </c>
      <c r="AD1264" s="30" t="n">
        <v>0</v>
      </c>
      <c r="AE1264" s="30" t="str">
        <f aca="false">IF(AC1264&lt;判定条件!$C$6,"判定不能",IF(AD1264&gt;=判定条件!$C$7*AC1264,"運転",IF(AD1264&lt;=判定条件!$C$8*AC1264,"停止","断続")))</f>
        <v>判定不能</v>
      </c>
      <c r="AF1264" s="30" t="n">
        <v>60</v>
      </c>
      <c r="AG1264" s="30" t="n">
        <v>0</v>
      </c>
      <c r="AH1264" s="30" t="str">
        <f aca="false">IF(OR(P1264="判定不能",G1264="判定不能"),"判定不能",IF(AG1264&gt;=判定条件!$C$9,"利用可",IF(AND(P1264="停止",G1264="停止"),"両方停止","運転がそろわない")))</f>
        <v>運転がそろわない</v>
      </c>
      <c r="AI1264" s="30" t="n">
        <v>0</v>
      </c>
      <c r="AJ1264" s="30" t="n">
        <v>0</v>
      </c>
      <c r="AK1264" s="30" t="str">
        <f aca="false">IF(OR(S1264="判定不能",J1264="判定不能"),"判定不能",IF(AJ1264&gt;=判定条件!$C$9,"利用可",IF(AND(S1264="停止",J1264="停止"),"両方停止","運転がそろわない")))</f>
        <v>判定不能</v>
      </c>
      <c r="AL1264" s="30" t="n">
        <v>60</v>
      </c>
      <c r="AM1264" s="30" t="n">
        <v>47</v>
      </c>
      <c r="AN1264" s="30" t="str">
        <f aca="false">IF(OR(V1264="判定不能",M1264="判定不能"),"判定不能",IF(AM1264&gt;=判定条件!$C$9,"利用可",IF(AND(V1264="停止",M1264="停止"),"両方停止","運転がそろわない")))</f>
        <v>利用可</v>
      </c>
      <c r="AO1264" s="30" t="n">
        <v>0</v>
      </c>
      <c r="AP1264" s="30" t="n">
        <v>0</v>
      </c>
      <c r="AQ1264" s="30" t="str">
        <f aca="false">IF(OR(Y1264="判定不能",G1264="判定不能"),"判定不能",IF(AP1264&gt;=判定条件!$C$9,"利用可",IF(AND(Y1264="停止",G1264="停止"),"両方停止","運転がそろわない")))</f>
        <v>判定不能</v>
      </c>
      <c r="AR1264" s="30" t="n">
        <v>0</v>
      </c>
      <c r="AS1264" s="30" t="n">
        <v>0</v>
      </c>
      <c r="AT1264" s="30" t="str">
        <f aca="false">IF(OR(AB1264="判定不能",J1264="判定不能"),"判定不能",IF(AS1264&gt;=判定条件!$C$9,"利用可",IF(AND(AB1264="停止",J1264="停止"),"両方停止","運転がそろわない")))</f>
        <v>判定不能</v>
      </c>
      <c r="AU1264" s="30" t="n">
        <v>0</v>
      </c>
      <c r="AV1264" s="30" t="n">
        <v>0</v>
      </c>
      <c r="AW1264" s="30" t="str">
        <f aca="false">IF(OR(AE1264="判定不能",M1264="判定不能"),"判定不能",IF(AV1264&gt;=判定条件!$C$9,"利用可",IF(AND(AE1264="停止",M1264="停止"),"両方停止","運転がそろわない")))</f>
        <v>判定不能</v>
      </c>
      <c r="AX1264" s="30" t="str">
        <f aca="false">IF(AND(AH1264="利用可",AK1264="利用可",AN1264="利用可"),"利用可","不可")</f>
        <v>不可</v>
      </c>
      <c r="AY1264" s="30" t="str">
        <f aca="false">IF(AND(AQ1264="利用可",AT1264="利用可",AW1264="利用可"),"利用可","不可")</f>
        <v>不可</v>
      </c>
    </row>
    <row r="1265" customFormat="false" ht="15" hidden="false" customHeight="false" outlineLevel="0" collapsed="false">
      <c r="A1265" s="29" t="n">
        <v>46284</v>
      </c>
      <c r="B1265" s="30" t="n">
        <v>14</v>
      </c>
      <c r="C1265" s="31" t="s">
        <v>63</v>
      </c>
      <c r="D1265" s="31" t="s">
        <v>64</v>
      </c>
      <c r="E1265" s="30" t="n">
        <v>60</v>
      </c>
      <c r="F1265" s="30" t="n">
        <v>20</v>
      </c>
      <c r="G1265" s="30" t="str">
        <f aca="false">IF(E1265&lt;判定条件!$C$6,"判定不能",IF(F1265&gt;=判定条件!$C$7*E1265,"運転",IF(F1265&lt;=判定条件!$C$8*E1265,"停止","断続")))</f>
        <v>断続</v>
      </c>
      <c r="H1265" s="30" t="n">
        <v>0</v>
      </c>
      <c r="I1265" s="30" t="n">
        <v>0</v>
      </c>
      <c r="J1265" s="30" t="str">
        <f aca="false">IF(H1265&lt;判定条件!$C$6,"判定不能",IF(I1265&gt;=判定条件!$C$7*H1265,"運転",IF(I1265&lt;=判定条件!$C$8*H1265,"停止","断続")))</f>
        <v>判定不能</v>
      </c>
      <c r="K1265" s="30" t="n">
        <v>60</v>
      </c>
      <c r="L1265" s="30" t="n">
        <v>60</v>
      </c>
      <c r="M1265" s="30" t="str">
        <f aca="false">IF(K1265&lt;判定条件!$C$6,"判定不能",IF(L1265&gt;=判定条件!$C$7*K1265,"運転",IF(L1265&lt;=判定条件!$C$8*K1265,"停止","断続")))</f>
        <v>運転</v>
      </c>
      <c r="N1265" s="30" t="n">
        <v>60</v>
      </c>
      <c r="O1265" s="30" t="n">
        <v>0</v>
      </c>
      <c r="P1265" s="30" t="str">
        <f aca="false">IF(N1265&lt;判定条件!$C$6,"判定不能",IF(O1265&gt;=判定条件!$C$7*N1265,"運転",IF(O1265&lt;=判定条件!$C$8*N1265,"停止","断続")))</f>
        <v>停止</v>
      </c>
      <c r="Q1265" s="30" t="n">
        <v>60</v>
      </c>
      <c r="R1265" s="30" t="n">
        <v>60</v>
      </c>
      <c r="S1265" s="30" t="str">
        <f aca="false">IF(Q1265&lt;判定条件!$C$6,"判定不能",IF(R1265&gt;=判定条件!$C$7*Q1265,"運転",IF(R1265&lt;=判定条件!$C$8*Q1265,"停止","断続")))</f>
        <v>運転</v>
      </c>
      <c r="T1265" s="30" t="n">
        <v>60</v>
      </c>
      <c r="U1265" s="30" t="n">
        <v>3</v>
      </c>
      <c r="V1265" s="30" t="str">
        <f aca="false">IF(T1265&lt;判定条件!$C$6,"判定不能",IF(U1265&gt;=判定条件!$C$7*T1265,"運転",IF(U1265&lt;=判定条件!$C$8*T1265,"停止","断続")))</f>
        <v>停止</v>
      </c>
      <c r="W1265" s="30" t="n">
        <v>0</v>
      </c>
      <c r="X1265" s="30" t="n">
        <v>0</v>
      </c>
      <c r="Y1265" s="30" t="str">
        <f aca="false">IF(W1265&lt;判定条件!$C$6,"判定不能",IF(X1265&gt;=判定条件!$C$7*W1265,"運転",IF(X1265&lt;=判定条件!$C$8*W1265,"停止","断続")))</f>
        <v>判定不能</v>
      </c>
      <c r="Z1265" s="30" t="n">
        <v>0</v>
      </c>
      <c r="AA1265" s="30" t="n">
        <v>0</v>
      </c>
      <c r="AB1265" s="30" t="str">
        <f aca="false">IF(Z1265&lt;判定条件!$C$6,"判定不能",IF(AA1265&gt;=判定条件!$C$7*Z1265,"運転",IF(AA1265&lt;=判定条件!$C$8*Z1265,"停止","断続")))</f>
        <v>判定不能</v>
      </c>
      <c r="AC1265" s="30" t="n">
        <v>0</v>
      </c>
      <c r="AD1265" s="30" t="n">
        <v>0</v>
      </c>
      <c r="AE1265" s="30" t="str">
        <f aca="false">IF(AC1265&lt;判定条件!$C$6,"判定不能",IF(AD1265&gt;=判定条件!$C$7*AC1265,"運転",IF(AD1265&lt;=判定条件!$C$8*AC1265,"停止","断続")))</f>
        <v>判定不能</v>
      </c>
      <c r="AF1265" s="30" t="n">
        <v>60</v>
      </c>
      <c r="AG1265" s="30" t="n">
        <v>0</v>
      </c>
      <c r="AH1265" s="30" t="str">
        <f aca="false">IF(OR(P1265="判定不能",G1265="判定不能"),"判定不能",IF(AG1265&gt;=判定条件!$C$9,"利用可",IF(AND(P1265="停止",G1265="停止"),"両方停止","運転がそろわない")))</f>
        <v>運転がそろわない</v>
      </c>
      <c r="AI1265" s="30" t="n">
        <v>0</v>
      </c>
      <c r="AJ1265" s="30" t="n">
        <v>0</v>
      </c>
      <c r="AK1265" s="30" t="str">
        <f aca="false">IF(OR(S1265="判定不能",J1265="判定不能"),"判定不能",IF(AJ1265&gt;=判定条件!$C$9,"利用可",IF(AND(S1265="停止",J1265="停止"),"両方停止","運転がそろわない")))</f>
        <v>判定不能</v>
      </c>
      <c r="AL1265" s="30" t="n">
        <v>60</v>
      </c>
      <c r="AM1265" s="30" t="n">
        <v>3</v>
      </c>
      <c r="AN1265" s="30" t="str">
        <f aca="false">IF(OR(V1265="判定不能",M1265="判定不能"),"判定不能",IF(AM1265&gt;=判定条件!$C$9,"利用可",IF(AND(V1265="停止",M1265="停止"),"両方停止","運転がそろわない")))</f>
        <v>運転がそろわない</v>
      </c>
      <c r="AO1265" s="30" t="n">
        <v>0</v>
      </c>
      <c r="AP1265" s="30" t="n">
        <v>0</v>
      </c>
      <c r="AQ1265" s="30" t="str">
        <f aca="false">IF(OR(Y1265="判定不能",G1265="判定不能"),"判定不能",IF(AP1265&gt;=判定条件!$C$9,"利用可",IF(AND(Y1265="停止",G1265="停止"),"両方停止","運転がそろわない")))</f>
        <v>判定不能</v>
      </c>
      <c r="AR1265" s="30" t="n">
        <v>0</v>
      </c>
      <c r="AS1265" s="30" t="n">
        <v>0</v>
      </c>
      <c r="AT1265" s="30" t="str">
        <f aca="false">IF(OR(AB1265="判定不能",J1265="判定不能"),"判定不能",IF(AS1265&gt;=判定条件!$C$9,"利用可",IF(AND(AB1265="停止",J1265="停止"),"両方停止","運転がそろわない")))</f>
        <v>判定不能</v>
      </c>
      <c r="AU1265" s="30" t="n">
        <v>0</v>
      </c>
      <c r="AV1265" s="30" t="n">
        <v>0</v>
      </c>
      <c r="AW1265" s="30" t="str">
        <f aca="false">IF(OR(AE1265="判定不能",M1265="判定不能"),"判定不能",IF(AV1265&gt;=判定条件!$C$9,"利用可",IF(AND(AE1265="停止",M1265="停止"),"両方停止","運転がそろわない")))</f>
        <v>判定不能</v>
      </c>
      <c r="AX1265" s="30" t="str">
        <f aca="false">IF(AND(AH1265="利用可",AK1265="利用可",AN1265="利用可"),"利用可","不可")</f>
        <v>不可</v>
      </c>
      <c r="AY1265" s="30" t="str">
        <f aca="false">IF(AND(AQ1265="利用可",AT1265="利用可",AW1265="利用可"),"利用可","不可")</f>
        <v>不可</v>
      </c>
    </row>
    <row r="1266" customFormat="false" ht="15" hidden="false" customHeight="false" outlineLevel="0" collapsed="false">
      <c r="A1266" s="29" t="n">
        <v>46284</v>
      </c>
      <c r="B1266" s="30" t="n">
        <v>15</v>
      </c>
      <c r="C1266" s="31" t="s">
        <v>63</v>
      </c>
      <c r="D1266" s="31" t="s">
        <v>64</v>
      </c>
      <c r="E1266" s="30" t="n">
        <v>60</v>
      </c>
      <c r="F1266" s="30" t="n">
        <v>42</v>
      </c>
      <c r="G1266" s="30" t="str">
        <f aca="false">IF(E1266&lt;判定条件!$C$6,"判定不能",IF(F1266&gt;=判定条件!$C$7*E1266,"運転",IF(F1266&lt;=判定条件!$C$8*E1266,"停止","断続")))</f>
        <v>断続</v>
      </c>
      <c r="H1266" s="30" t="n">
        <v>0</v>
      </c>
      <c r="I1266" s="30" t="n">
        <v>0</v>
      </c>
      <c r="J1266" s="30" t="str">
        <f aca="false">IF(H1266&lt;判定条件!$C$6,"判定不能",IF(I1266&gt;=判定条件!$C$7*H1266,"運転",IF(I1266&lt;=判定条件!$C$8*H1266,"停止","断続")))</f>
        <v>判定不能</v>
      </c>
      <c r="K1266" s="30" t="n">
        <v>60</v>
      </c>
      <c r="L1266" s="30" t="n">
        <v>60</v>
      </c>
      <c r="M1266" s="30" t="str">
        <f aca="false">IF(K1266&lt;判定条件!$C$6,"判定不能",IF(L1266&gt;=判定条件!$C$7*K1266,"運転",IF(L1266&lt;=判定条件!$C$8*K1266,"停止","断続")))</f>
        <v>運転</v>
      </c>
      <c r="N1266" s="30" t="n">
        <v>60</v>
      </c>
      <c r="O1266" s="30" t="n">
        <v>0</v>
      </c>
      <c r="P1266" s="30" t="str">
        <f aca="false">IF(N1266&lt;判定条件!$C$6,"判定不能",IF(O1266&gt;=判定条件!$C$7*N1266,"運転",IF(O1266&lt;=判定条件!$C$8*N1266,"停止","断続")))</f>
        <v>停止</v>
      </c>
      <c r="Q1266" s="30" t="n">
        <v>60</v>
      </c>
      <c r="R1266" s="30" t="n">
        <v>27</v>
      </c>
      <c r="S1266" s="30" t="str">
        <f aca="false">IF(Q1266&lt;判定条件!$C$6,"判定不能",IF(R1266&gt;=判定条件!$C$7*Q1266,"運転",IF(R1266&lt;=判定条件!$C$8*Q1266,"停止","断続")))</f>
        <v>断続</v>
      </c>
      <c r="T1266" s="30" t="n">
        <v>60</v>
      </c>
      <c r="U1266" s="30" t="n">
        <v>0</v>
      </c>
      <c r="V1266" s="30" t="str">
        <f aca="false">IF(T1266&lt;判定条件!$C$6,"判定不能",IF(U1266&gt;=判定条件!$C$7*T1266,"運転",IF(U1266&lt;=判定条件!$C$8*T1266,"停止","断続")))</f>
        <v>停止</v>
      </c>
      <c r="W1266" s="30" t="n">
        <v>0</v>
      </c>
      <c r="X1266" s="30" t="n">
        <v>0</v>
      </c>
      <c r="Y1266" s="30" t="str">
        <f aca="false">IF(W1266&lt;判定条件!$C$6,"判定不能",IF(X1266&gt;=判定条件!$C$7*W1266,"運転",IF(X1266&lt;=判定条件!$C$8*W1266,"停止","断続")))</f>
        <v>判定不能</v>
      </c>
      <c r="Z1266" s="30" t="n">
        <v>0</v>
      </c>
      <c r="AA1266" s="30" t="n">
        <v>0</v>
      </c>
      <c r="AB1266" s="30" t="str">
        <f aca="false">IF(Z1266&lt;判定条件!$C$6,"判定不能",IF(AA1266&gt;=判定条件!$C$7*Z1266,"運転",IF(AA1266&lt;=判定条件!$C$8*Z1266,"停止","断続")))</f>
        <v>判定不能</v>
      </c>
      <c r="AC1266" s="30" t="n">
        <v>0</v>
      </c>
      <c r="AD1266" s="30" t="n">
        <v>0</v>
      </c>
      <c r="AE1266" s="30" t="str">
        <f aca="false">IF(AC1266&lt;判定条件!$C$6,"判定不能",IF(AD1266&gt;=判定条件!$C$7*AC1266,"運転",IF(AD1266&lt;=判定条件!$C$8*AC1266,"停止","断続")))</f>
        <v>判定不能</v>
      </c>
      <c r="AF1266" s="30" t="n">
        <v>60</v>
      </c>
      <c r="AG1266" s="30" t="n">
        <v>0</v>
      </c>
      <c r="AH1266" s="30" t="str">
        <f aca="false">IF(OR(P1266="判定不能",G1266="判定不能"),"判定不能",IF(AG1266&gt;=判定条件!$C$9,"利用可",IF(AND(P1266="停止",G1266="停止"),"両方停止","運転がそろわない")))</f>
        <v>運転がそろわない</v>
      </c>
      <c r="AI1266" s="30" t="n">
        <v>0</v>
      </c>
      <c r="AJ1266" s="30" t="n">
        <v>0</v>
      </c>
      <c r="AK1266" s="30" t="str">
        <f aca="false">IF(OR(S1266="判定不能",J1266="判定不能"),"判定不能",IF(AJ1266&gt;=判定条件!$C$9,"利用可",IF(AND(S1266="停止",J1266="停止"),"両方停止","運転がそろわない")))</f>
        <v>判定不能</v>
      </c>
      <c r="AL1266" s="30" t="n">
        <v>60</v>
      </c>
      <c r="AM1266" s="30" t="n">
        <v>0</v>
      </c>
      <c r="AN1266" s="30" t="str">
        <f aca="false">IF(OR(V1266="判定不能",M1266="判定不能"),"判定不能",IF(AM1266&gt;=判定条件!$C$9,"利用可",IF(AND(V1266="停止",M1266="停止"),"両方停止","運転がそろわない")))</f>
        <v>運転がそろわない</v>
      </c>
      <c r="AO1266" s="30" t="n">
        <v>0</v>
      </c>
      <c r="AP1266" s="30" t="n">
        <v>0</v>
      </c>
      <c r="AQ1266" s="30" t="str">
        <f aca="false">IF(OR(Y1266="判定不能",G1266="判定不能"),"判定不能",IF(AP1266&gt;=判定条件!$C$9,"利用可",IF(AND(Y1266="停止",G1266="停止"),"両方停止","運転がそろわない")))</f>
        <v>判定不能</v>
      </c>
      <c r="AR1266" s="30" t="n">
        <v>0</v>
      </c>
      <c r="AS1266" s="30" t="n">
        <v>0</v>
      </c>
      <c r="AT1266" s="30" t="str">
        <f aca="false">IF(OR(AB1266="判定不能",J1266="判定不能"),"判定不能",IF(AS1266&gt;=判定条件!$C$9,"利用可",IF(AND(AB1266="停止",J1266="停止"),"両方停止","運転がそろわない")))</f>
        <v>判定不能</v>
      </c>
      <c r="AU1266" s="30" t="n">
        <v>0</v>
      </c>
      <c r="AV1266" s="30" t="n">
        <v>0</v>
      </c>
      <c r="AW1266" s="30" t="str">
        <f aca="false">IF(OR(AE1266="判定不能",M1266="判定不能"),"判定不能",IF(AV1266&gt;=判定条件!$C$9,"利用可",IF(AND(AE1266="停止",M1266="停止"),"両方停止","運転がそろわない")))</f>
        <v>判定不能</v>
      </c>
      <c r="AX1266" s="30" t="str">
        <f aca="false">IF(AND(AH1266="利用可",AK1266="利用可",AN1266="利用可"),"利用可","不可")</f>
        <v>不可</v>
      </c>
      <c r="AY1266" s="30" t="str">
        <f aca="false">IF(AND(AQ1266="利用可",AT1266="利用可",AW1266="利用可"),"利用可","不可")</f>
        <v>不可</v>
      </c>
    </row>
    <row r="1267" customFormat="false" ht="15" hidden="false" customHeight="false" outlineLevel="0" collapsed="false">
      <c r="A1267" s="29" t="n">
        <v>46284</v>
      </c>
      <c r="B1267" s="30" t="n">
        <v>16</v>
      </c>
      <c r="C1267" s="31" t="s">
        <v>63</v>
      </c>
      <c r="D1267" s="31" t="s">
        <v>64</v>
      </c>
      <c r="E1267" s="30" t="n">
        <v>60</v>
      </c>
      <c r="F1267" s="30" t="n">
        <v>34</v>
      </c>
      <c r="G1267" s="30" t="str">
        <f aca="false">IF(E1267&lt;判定条件!$C$6,"判定不能",IF(F1267&gt;=判定条件!$C$7*E1267,"運転",IF(F1267&lt;=判定条件!$C$8*E1267,"停止","断続")))</f>
        <v>断続</v>
      </c>
      <c r="H1267" s="30" t="n">
        <v>0</v>
      </c>
      <c r="I1267" s="30" t="n">
        <v>0</v>
      </c>
      <c r="J1267" s="30" t="str">
        <f aca="false">IF(H1267&lt;判定条件!$C$6,"判定不能",IF(I1267&gt;=判定条件!$C$7*H1267,"運転",IF(I1267&lt;=判定条件!$C$8*H1267,"停止","断続")))</f>
        <v>判定不能</v>
      </c>
      <c r="K1267" s="30" t="n">
        <v>60</v>
      </c>
      <c r="L1267" s="30" t="n">
        <v>60</v>
      </c>
      <c r="M1267" s="30" t="str">
        <f aca="false">IF(K1267&lt;判定条件!$C$6,"判定不能",IF(L1267&gt;=判定条件!$C$7*K1267,"運転",IF(L1267&lt;=判定条件!$C$8*K1267,"停止","断続")))</f>
        <v>運転</v>
      </c>
      <c r="N1267" s="30" t="n">
        <v>60</v>
      </c>
      <c r="O1267" s="30" t="n">
        <v>0</v>
      </c>
      <c r="P1267" s="30" t="str">
        <f aca="false">IF(N1267&lt;判定条件!$C$6,"判定不能",IF(O1267&gt;=判定条件!$C$7*N1267,"運転",IF(O1267&lt;=判定条件!$C$8*N1267,"停止","断続")))</f>
        <v>停止</v>
      </c>
      <c r="Q1267" s="30" t="n">
        <v>60</v>
      </c>
      <c r="R1267" s="30" t="n">
        <v>0</v>
      </c>
      <c r="S1267" s="30" t="str">
        <f aca="false">IF(Q1267&lt;判定条件!$C$6,"判定不能",IF(R1267&gt;=判定条件!$C$7*Q1267,"運転",IF(R1267&lt;=判定条件!$C$8*Q1267,"停止","断続")))</f>
        <v>停止</v>
      </c>
      <c r="T1267" s="30" t="n">
        <v>60</v>
      </c>
      <c r="U1267" s="30" t="n">
        <v>0</v>
      </c>
      <c r="V1267" s="30" t="str">
        <f aca="false">IF(T1267&lt;判定条件!$C$6,"判定不能",IF(U1267&gt;=判定条件!$C$7*T1267,"運転",IF(U1267&lt;=判定条件!$C$8*T1267,"停止","断続")))</f>
        <v>停止</v>
      </c>
      <c r="W1267" s="30" t="n">
        <v>0</v>
      </c>
      <c r="X1267" s="30" t="n">
        <v>0</v>
      </c>
      <c r="Y1267" s="30" t="str">
        <f aca="false">IF(W1267&lt;判定条件!$C$6,"判定不能",IF(X1267&gt;=判定条件!$C$7*W1267,"運転",IF(X1267&lt;=判定条件!$C$8*W1267,"停止","断続")))</f>
        <v>判定不能</v>
      </c>
      <c r="Z1267" s="30" t="n">
        <v>0</v>
      </c>
      <c r="AA1267" s="30" t="n">
        <v>0</v>
      </c>
      <c r="AB1267" s="30" t="str">
        <f aca="false">IF(Z1267&lt;判定条件!$C$6,"判定不能",IF(AA1267&gt;=判定条件!$C$7*Z1267,"運転",IF(AA1267&lt;=判定条件!$C$8*Z1267,"停止","断続")))</f>
        <v>判定不能</v>
      </c>
      <c r="AC1267" s="30" t="n">
        <v>0</v>
      </c>
      <c r="AD1267" s="30" t="n">
        <v>0</v>
      </c>
      <c r="AE1267" s="30" t="str">
        <f aca="false">IF(AC1267&lt;判定条件!$C$6,"判定不能",IF(AD1267&gt;=判定条件!$C$7*AC1267,"運転",IF(AD1267&lt;=判定条件!$C$8*AC1267,"停止","断続")))</f>
        <v>判定不能</v>
      </c>
      <c r="AF1267" s="30" t="n">
        <v>60</v>
      </c>
      <c r="AG1267" s="30" t="n">
        <v>0</v>
      </c>
      <c r="AH1267" s="30" t="str">
        <f aca="false">IF(OR(P1267="判定不能",G1267="判定不能"),"判定不能",IF(AG1267&gt;=判定条件!$C$9,"利用可",IF(AND(P1267="停止",G1267="停止"),"両方停止","運転がそろわない")))</f>
        <v>運転がそろわない</v>
      </c>
      <c r="AI1267" s="30" t="n">
        <v>0</v>
      </c>
      <c r="AJ1267" s="30" t="n">
        <v>0</v>
      </c>
      <c r="AK1267" s="30" t="str">
        <f aca="false">IF(OR(S1267="判定不能",J1267="判定不能"),"判定不能",IF(AJ1267&gt;=判定条件!$C$9,"利用可",IF(AND(S1267="停止",J1267="停止"),"両方停止","運転がそろわない")))</f>
        <v>判定不能</v>
      </c>
      <c r="AL1267" s="30" t="n">
        <v>60</v>
      </c>
      <c r="AM1267" s="30" t="n">
        <v>0</v>
      </c>
      <c r="AN1267" s="30" t="str">
        <f aca="false">IF(OR(V1267="判定不能",M1267="判定不能"),"判定不能",IF(AM1267&gt;=判定条件!$C$9,"利用可",IF(AND(V1267="停止",M1267="停止"),"両方停止","運転がそろわない")))</f>
        <v>運転がそろわない</v>
      </c>
      <c r="AO1267" s="30" t="n">
        <v>0</v>
      </c>
      <c r="AP1267" s="30" t="n">
        <v>0</v>
      </c>
      <c r="AQ1267" s="30" t="str">
        <f aca="false">IF(OR(Y1267="判定不能",G1267="判定不能"),"判定不能",IF(AP1267&gt;=判定条件!$C$9,"利用可",IF(AND(Y1267="停止",G1267="停止"),"両方停止","運転がそろわない")))</f>
        <v>判定不能</v>
      </c>
      <c r="AR1267" s="30" t="n">
        <v>0</v>
      </c>
      <c r="AS1267" s="30" t="n">
        <v>0</v>
      </c>
      <c r="AT1267" s="30" t="str">
        <f aca="false">IF(OR(AB1267="判定不能",J1267="判定不能"),"判定不能",IF(AS1267&gt;=判定条件!$C$9,"利用可",IF(AND(AB1267="停止",J1267="停止"),"両方停止","運転がそろわない")))</f>
        <v>判定不能</v>
      </c>
      <c r="AU1267" s="30" t="n">
        <v>0</v>
      </c>
      <c r="AV1267" s="30" t="n">
        <v>0</v>
      </c>
      <c r="AW1267" s="30" t="str">
        <f aca="false">IF(OR(AE1267="判定不能",M1267="判定不能"),"判定不能",IF(AV1267&gt;=判定条件!$C$9,"利用可",IF(AND(AE1267="停止",M1267="停止"),"両方停止","運転がそろわない")))</f>
        <v>判定不能</v>
      </c>
      <c r="AX1267" s="30" t="str">
        <f aca="false">IF(AND(AH1267="利用可",AK1267="利用可",AN1267="利用可"),"利用可","不可")</f>
        <v>不可</v>
      </c>
      <c r="AY1267" s="30" t="str">
        <f aca="false">IF(AND(AQ1267="利用可",AT1267="利用可",AW1267="利用可"),"利用可","不可")</f>
        <v>不可</v>
      </c>
    </row>
    <row r="1268" customFormat="false" ht="15" hidden="false" customHeight="false" outlineLevel="0" collapsed="false">
      <c r="A1268" s="29" t="n">
        <v>46284</v>
      </c>
      <c r="B1268" s="30" t="n">
        <v>17</v>
      </c>
      <c r="C1268" s="31" t="s">
        <v>63</v>
      </c>
      <c r="D1268" s="31" t="s">
        <v>64</v>
      </c>
      <c r="E1268" s="30" t="n">
        <v>60</v>
      </c>
      <c r="F1268" s="30" t="n">
        <v>38</v>
      </c>
      <c r="G1268" s="30" t="str">
        <f aca="false">IF(E1268&lt;判定条件!$C$6,"判定不能",IF(F1268&gt;=判定条件!$C$7*E1268,"運転",IF(F1268&lt;=判定条件!$C$8*E1268,"停止","断続")))</f>
        <v>断続</v>
      </c>
      <c r="H1268" s="30" t="n">
        <v>0</v>
      </c>
      <c r="I1268" s="30" t="n">
        <v>0</v>
      </c>
      <c r="J1268" s="30" t="str">
        <f aca="false">IF(H1268&lt;判定条件!$C$6,"判定不能",IF(I1268&gt;=判定条件!$C$7*H1268,"運転",IF(I1268&lt;=判定条件!$C$8*H1268,"停止","断続")))</f>
        <v>判定不能</v>
      </c>
      <c r="K1268" s="30" t="n">
        <v>60</v>
      </c>
      <c r="L1268" s="30" t="n">
        <v>60</v>
      </c>
      <c r="M1268" s="30" t="str">
        <f aca="false">IF(K1268&lt;判定条件!$C$6,"判定不能",IF(L1268&gt;=判定条件!$C$7*K1268,"運転",IF(L1268&lt;=判定条件!$C$8*K1268,"停止","断続")))</f>
        <v>運転</v>
      </c>
      <c r="N1268" s="30" t="n">
        <v>60</v>
      </c>
      <c r="O1268" s="30" t="n">
        <v>0</v>
      </c>
      <c r="P1268" s="30" t="str">
        <f aca="false">IF(N1268&lt;判定条件!$C$6,"判定不能",IF(O1268&gt;=判定条件!$C$7*N1268,"運転",IF(O1268&lt;=判定条件!$C$8*N1268,"停止","断続")))</f>
        <v>停止</v>
      </c>
      <c r="Q1268" s="30" t="n">
        <v>60</v>
      </c>
      <c r="R1268" s="30" t="n">
        <v>0</v>
      </c>
      <c r="S1268" s="30" t="str">
        <f aca="false">IF(Q1268&lt;判定条件!$C$6,"判定不能",IF(R1268&gt;=判定条件!$C$7*Q1268,"運転",IF(R1268&lt;=判定条件!$C$8*Q1268,"停止","断続")))</f>
        <v>停止</v>
      </c>
      <c r="T1268" s="30" t="n">
        <v>60</v>
      </c>
      <c r="U1268" s="30" t="n">
        <v>0</v>
      </c>
      <c r="V1268" s="30" t="str">
        <f aca="false">IF(T1268&lt;判定条件!$C$6,"判定不能",IF(U1268&gt;=判定条件!$C$7*T1268,"運転",IF(U1268&lt;=判定条件!$C$8*T1268,"停止","断続")))</f>
        <v>停止</v>
      </c>
      <c r="W1268" s="30" t="n">
        <v>0</v>
      </c>
      <c r="X1268" s="30" t="n">
        <v>0</v>
      </c>
      <c r="Y1268" s="30" t="str">
        <f aca="false">IF(W1268&lt;判定条件!$C$6,"判定不能",IF(X1268&gt;=判定条件!$C$7*W1268,"運転",IF(X1268&lt;=判定条件!$C$8*W1268,"停止","断続")))</f>
        <v>判定不能</v>
      </c>
      <c r="Z1268" s="30" t="n">
        <v>0</v>
      </c>
      <c r="AA1268" s="30" t="n">
        <v>0</v>
      </c>
      <c r="AB1268" s="30" t="str">
        <f aca="false">IF(Z1268&lt;判定条件!$C$6,"判定不能",IF(AA1268&gt;=判定条件!$C$7*Z1268,"運転",IF(AA1268&lt;=判定条件!$C$8*Z1268,"停止","断続")))</f>
        <v>判定不能</v>
      </c>
      <c r="AC1268" s="30" t="n">
        <v>0</v>
      </c>
      <c r="AD1268" s="30" t="n">
        <v>0</v>
      </c>
      <c r="AE1268" s="30" t="str">
        <f aca="false">IF(AC1268&lt;判定条件!$C$6,"判定不能",IF(AD1268&gt;=判定条件!$C$7*AC1268,"運転",IF(AD1268&lt;=判定条件!$C$8*AC1268,"停止","断続")))</f>
        <v>判定不能</v>
      </c>
      <c r="AF1268" s="30" t="n">
        <v>60</v>
      </c>
      <c r="AG1268" s="30" t="n">
        <v>0</v>
      </c>
      <c r="AH1268" s="30" t="str">
        <f aca="false">IF(OR(P1268="判定不能",G1268="判定不能"),"判定不能",IF(AG1268&gt;=判定条件!$C$9,"利用可",IF(AND(P1268="停止",G1268="停止"),"両方停止","運転がそろわない")))</f>
        <v>運転がそろわない</v>
      </c>
      <c r="AI1268" s="30" t="n">
        <v>0</v>
      </c>
      <c r="AJ1268" s="30" t="n">
        <v>0</v>
      </c>
      <c r="AK1268" s="30" t="str">
        <f aca="false">IF(OR(S1268="判定不能",J1268="判定不能"),"判定不能",IF(AJ1268&gt;=判定条件!$C$9,"利用可",IF(AND(S1268="停止",J1268="停止"),"両方停止","運転がそろわない")))</f>
        <v>判定不能</v>
      </c>
      <c r="AL1268" s="30" t="n">
        <v>60</v>
      </c>
      <c r="AM1268" s="30" t="n">
        <v>0</v>
      </c>
      <c r="AN1268" s="30" t="str">
        <f aca="false">IF(OR(V1268="判定不能",M1268="判定不能"),"判定不能",IF(AM1268&gt;=判定条件!$C$9,"利用可",IF(AND(V1268="停止",M1268="停止"),"両方停止","運転がそろわない")))</f>
        <v>運転がそろわない</v>
      </c>
      <c r="AO1268" s="30" t="n">
        <v>0</v>
      </c>
      <c r="AP1268" s="30" t="n">
        <v>0</v>
      </c>
      <c r="AQ1268" s="30" t="str">
        <f aca="false">IF(OR(Y1268="判定不能",G1268="判定不能"),"判定不能",IF(AP1268&gt;=判定条件!$C$9,"利用可",IF(AND(Y1268="停止",G1268="停止"),"両方停止","運転がそろわない")))</f>
        <v>判定不能</v>
      </c>
      <c r="AR1268" s="30" t="n">
        <v>0</v>
      </c>
      <c r="AS1268" s="30" t="n">
        <v>0</v>
      </c>
      <c r="AT1268" s="30" t="str">
        <f aca="false">IF(OR(AB1268="判定不能",J1268="判定不能"),"判定不能",IF(AS1268&gt;=判定条件!$C$9,"利用可",IF(AND(AB1268="停止",J1268="停止"),"両方停止","運転がそろわない")))</f>
        <v>判定不能</v>
      </c>
      <c r="AU1268" s="30" t="n">
        <v>0</v>
      </c>
      <c r="AV1268" s="30" t="n">
        <v>0</v>
      </c>
      <c r="AW1268" s="30" t="str">
        <f aca="false">IF(OR(AE1268="判定不能",M1268="判定不能"),"判定不能",IF(AV1268&gt;=判定条件!$C$9,"利用可",IF(AND(AE1268="停止",M1268="停止"),"両方停止","運転がそろわない")))</f>
        <v>判定不能</v>
      </c>
      <c r="AX1268" s="30" t="str">
        <f aca="false">IF(AND(AH1268="利用可",AK1268="利用可",AN1268="利用可"),"利用可","不可")</f>
        <v>不可</v>
      </c>
      <c r="AY1268" s="30" t="str">
        <f aca="false">IF(AND(AQ1268="利用可",AT1268="利用可",AW1268="利用可"),"利用可","不可")</f>
        <v>不可</v>
      </c>
    </row>
    <row r="1269" customFormat="false" ht="15" hidden="false" customHeight="false" outlineLevel="0" collapsed="false">
      <c r="A1269" s="29" t="n">
        <v>46284</v>
      </c>
      <c r="B1269" s="30" t="n">
        <v>18</v>
      </c>
      <c r="C1269" s="31" t="s">
        <v>63</v>
      </c>
      <c r="D1269" s="31" t="s">
        <v>64</v>
      </c>
      <c r="E1269" s="30" t="n">
        <v>60</v>
      </c>
      <c r="F1269" s="30" t="n">
        <v>9</v>
      </c>
      <c r="G1269" s="30" t="str">
        <f aca="false">IF(E1269&lt;判定条件!$C$6,"判定不能",IF(F1269&gt;=判定条件!$C$7*E1269,"運転",IF(F1269&lt;=判定条件!$C$8*E1269,"停止","断続")))</f>
        <v>停止</v>
      </c>
      <c r="H1269" s="30" t="n">
        <v>0</v>
      </c>
      <c r="I1269" s="30" t="n">
        <v>0</v>
      </c>
      <c r="J1269" s="30" t="str">
        <f aca="false">IF(H1269&lt;判定条件!$C$6,"判定不能",IF(I1269&gt;=判定条件!$C$7*H1269,"運転",IF(I1269&lt;=判定条件!$C$8*H1269,"停止","断続")))</f>
        <v>判定不能</v>
      </c>
      <c r="K1269" s="30" t="n">
        <v>60</v>
      </c>
      <c r="L1269" s="30" t="n">
        <v>50</v>
      </c>
      <c r="M1269" s="30" t="str">
        <f aca="false">IF(K1269&lt;判定条件!$C$6,"判定不能",IF(L1269&gt;=判定条件!$C$7*K1269,"運転",IF(L1269&lt;=判定条件!$C$8*K1269,"停止","断続")))</f>
        <v>運転</v>
      </c>
      <c r="N1269" s="30" t="n">
        <v>60</v>
      </c>
      <c r="O1269" s="30" t="n">
        <v>0</v>
      </c>
      <c r="P1269" s="30" t="str">
        <f aca="false">IF(N1269&lt;判定条件!$C$6,"判定不能",IF(O1269&gt;=判定条件!$C$7*N1269,"運転",IF(O1269&lt;=判定条件!$C$8*N1269,"停止","断続")))</f>
        <v>停止</v>
      </c>
      <c r="Q1269" s="30" t="n">
        <v>60</v>
      </c>
      <c r="R1269" s="30" t="n">
        <v>0</v>
      </c>
      <c r="S1269" s="30" t="str">
        <f aca="false">IF(Q1269&lt;判定条件!$C$6,"判定不能",IF(R1269&gt;=判定条件!$C$7*Q1269,"運転",IF(R1269&lt;=判定条件!$C$8*Q1269,"停止","断続")))</f>
        <v>停止</v>
      </c>
      <c r="T1269" s="30" t="n">
        <v>60</v>
      </c>
      <c r="U1269" s="30" t="n">
        <v>0</v>
      </c>
      <c r="V1269" s="30" t="str">
        <f aca="false">IF(T1269&lt;判定条件!$C$6,"判定不能",IF(U1269&gt;=判定条件!$C$7*T1269,"運転",IF(U1269&lt;=判定条件!$C$8*T1269,"停止","断続")))</f>
        <v>停止</v>
      </c>
      <c r="W1269" s="30" t="n">
        <v>0</v>
      </c>
      <c r="X1269" s="30" t="n">
        <v>0</v>
      </c>
      <c r="Y1269" s="30" t="str">
        <f aca="false">IF(W1269&lt;判定条件!$C$6,"判定不能",IF(X1269&gt;=判定条件!$C$7*W1269,"運転",IF(X1269&lt;=判定条件!$C$8*W1269,"停止","断続")))</f>
        <v>判定不能</v>
      </c>
      <c r="Z1269" s="30" t="n">
        <v>0</v>
      </c>
      <c r="AA1269" s="30" t="n">
        <v>0</v>
      </c>
      <c r="AB1269" s="30" t="str">
        <f aca="false">IF(Z1269&lt;判定条件!$C$6,"判定不能",IF(AA1269&gt;=判定条件!$C$7*Z1269,"運転",IF(AA1269&lt;=判定条件!$C$8*Z1269,"停止","断続")))</f>
        <v>判定不能</v>
      </c>
      <c r="AC1269" s="30" t="n">
        <v>0</v>
      </c>
      <c r="AD1269" s="30" t="n">
        <v>0</v>
      </c>
      <c r="AE1269" s="30" t="str">
        <f aca="false">IF(AC1269&lt;判定条件!$C$6,"判定不能",IF(AD1269&gt;=判定条件!$C$7*AC1269,"運転",IF(AD1269&lt;=判定条件!$C$8*AC1269,"停止","断続")))</f>
        <v>判定不能</v>
      </c>
      <c r="AF1269" s="30" t="n">
        <v>60</v>
      </c>
      <c r="AG1269" s="30" t="n">
        <v>0</v>
      </c>
      <c r="AH1269" s="30" t="str">
        <f aca="false">IF(OR(P1269="判定不能",G1269="判定不能"),"判定不能",IF(AG1269&gt;=判定条件!$C$9,"利用可",IF(AND(P1269="停止",G1269="停止"),"両方停止","運転がそろわない")))</f>
        <v>両方停止</v>
      </c>
      <c r="AI1269" s="30" t="n">
        <v>0</v>
      </c>
      <c r="AJ1269" s="30" t="n">
        <v>0</v>
      </c>
      <c r="AK1269" s="30" t="str">
        <f aca="false">IF(OR(S1269="判定不能",J1269="判定不能"),"判定不能",IF(AJ1269&gt;=判定条件!$C$9,"利用可",IF(AND(S1269="停止",J1269="停止"),"両方停止","運転がそろわない")))</f>
        <v>判定不能</v>
      </c>
      <c r="AL1269" s="30" t="n">
        <v>60</v>
      </c>
      <c r="AM1269" s="30" t="n">
        <v>0</v>
      </c>
      <c r="AN1269" s="30" t="str">
        <f aca="false">IF(OR(V1269="判定不能",M1269="判定不能"),"判定不能",IF(AM1269&gt;=判定条件!$C$9,"利用可",IF(AND(V1269="停止",M1269="停止"),"両方停止","運転がそろわない")))</f>
        <v>運転がそろわない</v>
      </c>
      <c r="AO1269" s="30" t="n">
        <v>0</v>
      </c>
      <c r="AP1269" s="30" t="n">
        <v>0</v>
      </c>
      <c r="AQ1269" s="30" t="str">
        <f aca="false">IF(OR(Y1269="判定不能",G1269="判定不能"),"判定不能",IF(AP1269&gt;=判定条件!$C$9,"利用可",IF(AND(Y1269="停止",G1269="停止"),"両方停止","運転がそろわない")))</f>
        <v>判定不能</v>
      </c>
      <c r="AR1269" s="30" t="n">
        <v>0</v>
      </c>
      <c r="AS1269" s="30" t="n">
        <v>0</v>
      </c>
      <c r="AT1269" s="30" t="str">
        <f aca="false">IF(OR(AB1269="判定不能",J1269="判定不能"),"判定不能",IF(AS1269&gt;=判定条件!$C$9,"利用可",IF(AND(AB1269="停止",J1269="停止"),"両方停止","運転がそろわない")))</f>
        <v>判定不能</v>
      </c>
      <c r="AU1269" s="30" t="n">
        <v>0</v>
      </c>
      <c r="AV1269" s="30" t="n">
        <v>0</v>
      </c>
      <c r="AW1269" s="30" t="str">
        <f aca="false">IF(OR(AE1269="判定不能",M1269="判定不能"),"判定不能",IF(AV1269&gt;=判定条件!$C$9,"利用可",IF(AND(AE1269="停止",M1269="停止"),"両方停止","運転がそろわない")))</f>
        <v>判定不能</v>
      </c>
      <c r="AX1269" s="30" t="str">
        <f aca="false">IF(AND(AH1269="利用可",AK1269="利用可",AN1269="利用可"),"利用可","不可")</f>
        <v>不可</v>
      </c>
      <c r="AY1269" s="30" t="str">
        <f aca="false">IF(AND(AQ1269="利用可",AT1269="利用可",AW1269="利用可"),"利用可","不可")</f>
        <v>不可</v>
      </c>
    </row>
    <row r="1270" customFormat="false" ht="15" hidden="false" customHeight="false" outlineLevel="0" collapsed="false">
      <c r="A1270" s="29" t="n">
        <v>46284</v>
      </c>
      <c r="B1270" s="30" t="n">
        <v>19</v>
      </c>
      <c r="C1270" s="31" t="s">
        <v>63</v>
      </c>
      <c r="D1270" s="31" t="s">
        <v>64</v>
      </c>
      <c r="E1270" s="30" t="n">
        <v>60</v>
      </c>
      <c r="F1270" s="30" t="n">
        <v>22</v>
      </c>
      <c r="G1270" s="30" t="str">
        <f aca="false">IF(E1270&lt;判定条件!$C$6,"判定不能",IF(F1270&gt;=判定条件!$C$7*E1270,"運転",IF(F1270&lt;=判定条件!$C$8*E1270,"停止","断続")))</f>
        <v>断続</v>
      </c>
      <c r="H1270" s="30" t="n">
        <v>0</v>
      </c>
      <c r="I1270" s="30" t="n">
        <v>0</v>
      </c>
      <c r="J1270" s="30" t="str">
        <f aca="false">IF(H1270&lt;判定条件!$C$6,"判定不能",IF(I1270&gt;=判定条件!$C$7*H1270,"運転",IF(I1270&lt;=判定条件!$C$8*H1270,"停止","断続")))</f>
        <v>判定不能</v>
      </c>
      <c r="K1270" s="30" t="n">
        <v>60</v>
      </c>
      <c r="L1270" s="30" t="n">
        <v>60</v>
      </c>
      <c r="M1270" s="30" t="str">
        <f aca="false">IF(K1270&lt;判定条件!$C$6,"判定不能",IF(L1270&gt;=判定条件!$C$7*K1270,"運転",IF(L1270&lt;=判定条件!$C$8*K1270,"停止","断続")))</f>
        <v>運転</v>
      </c>
      <c r="N1270" s="30" t="n">
        <v>60</v>
      </c>
      <c r="O1270" s="30" t="n">
        <v>0</v>
      </c>
      <c r="P1270" s="30" t="str">
        <f aca="false">IF(N1270&lt;判定条件!$C$6,"判定不能",IF(O1270&gt;=判定条件!$C$7*N1270,"運転",IF(O1270&lt;=判定条件!$C$8*N1270,"停止","断続")))</f>
        <v>停止</v>
      </c>
      <c r="Q1270" s="30" t="n">
        <v>60</v>
      </c>
      <c r="R1270" s="30" t="n">
        <v>0</v>
      </c>
      <c r="S1270" s="30" t="str">
        <f aca="false">IF(Q1270&lt;判定条件!$C$6,"判定不能",IF(R1270&gt;=判定条件!$C$7*Q1270,"運転",IF(R1270&lt;=判定条件!$C$8*Q1270,"停止","断続")))</f>
        <v>停止</v>
      </c>
      <c r="T1270" s="30" t="n">
        <v>60</v>
      </c>
      <c r="U1270" s="30" t="n">
        <v>0</v>
      </c>
      <c r="V1270" s="30" t="str">
        <f aca="false">IF(T1270&lt;判定条件!$C$6,"判定不能",IF(U1270&gt;=判定条件!$C$7*T1270,"運転",IF(U1270&lt;=判定条件!$C$8*T1270,"停止","断続")))</f>
        <v>停止</v>
      </c>
      <c r="W1270" s="30" t="n">
        <v>0</v>
      </c>
      <c r="X1270" s="30" t="n">
        <v>0</v>
      </c>
      <c r="Y1270" s="30" t="str">
        <f aca="false">IF(W1270&lt;判定条件!$C$6,"判定不能",IF(X1270&gt;=判定条件!$C$7*W1270,"運転",IF(X1270&lt;=判定条件!$C$8*W1270,"停止","断続")))</f>
        <v>判定不能</v>
      </c>
      <c r="Z1270" s="30" t="n">
        <v>0</v>
      </c>
      <c r="AA1270" s="30" t="n">
        <v>0</v>
      </c>
      <c r="AB1270" s="30" t="str">
        <f aca="false">IF(Z1270&lt;判定条件!$C$6,"判定不能",IF(AA1270&gt;=判定条件!$C$7*Z1270,"運転",IF(AA1270&lt;=判定条件!$C$8*Z1270,"停止","断続")))</f>
        <v>判定不能</v>
      </c>
      <c r="AC1270" s="30" t="n">
        <v>0</v>
      </c>
      <c r="AD1270" s="30" t="n">
        <v>0</v>
      </c>
      <c r="AE1270" s="30" t="str">
        <f aca="false">IF(AC1270&lt;判定条件!$C$6,"判定不能",IF(AD1270&gt;=判定条件!$C$7*AC1270,"運転",IF(AD1270&lt;=判定条件!$C$8*AC1270,"停止","断続")))</f>
        <v>判定不能</v>
      </c>
      <c r="AF1270" s="30" t="n">
        <v>60</v>
      </c>
      <c r="AG1270" s="30" t="n">
        <v>0</v>
      </c>
      <c r="AH1270" s="30" t="str">
        <f aca="false">IF(OR(P1270="判定不能",G1270="判定不能"),"判定不能",IF(AG1270&gt;=判定条件!$C$9,"利用可",IF(AND(P1270="停止",G1270="停止"),"両方停止","運転がそろわない")))</f>
        <v>運転がそろわない</v>
      </c>
      <c r="AI1270" s="30" t="n">
        <v>0</v>
      </c>
      <c r="AJ1270" s="30" t="n">
        <v>0</v>
      </c>
      <c r="AK1270" s="30" t="str">
        <f aca="false">IF(OR(S1270="判定不能",J1270="判定不能"),"判定不能",IF(AJ1270&gt;=判定条件!$C$9,"利用可",IF(AND(S1270="停止",J1270="停止"),"両方停止","運転がそろわない")))</f>
        <v>判定不能</v>
      </c>
      <c r="AL1270" s="30" t="n">
        <v>60</v>
      </c>
      <c r="AM1270" s="30" t="n">
        <v>0</v>
      </c>
      <c r="AN1270" s="30" t="str">
        <f aca="false">IF(OR(V1270="判定不能",M1270="判定不能"),"判定不能",IF(AM1270&gt;=判定条件!$C$9,"利用可",IF(AND(V1270="停止",M1270="停止"),"両方停止","運転がそろわない")))</f>
        <v>運転がそろわない</v>
      </c>
      <c r="AO1270" s="30" t="n">
        <v>0</v>
      </c>
      <c r="AP1270" s="30" t="n">
        <v>0</v>
      </c>
      <c r="AQ1270" s="30" t="str">
        <f aca="false">IF(OR(Y1270="判定不能",G1270="判定不能"),"判定不能",IF(AP1270&gt;=判定条件!$C$9,"利用可",IF(AND(Y1270="停止",G1270="停止"),"両方停止","運転がそろわない")))</f>
        <v>判定不能</v>
      </c>
      <c r="AR1270" s="30" t="n">
        <v>0</v>
      </c>
      <c r="AS1270" s="30" t="n">
        <v>0</v>
      </c>
      <c r="AT1270" s="30" t="str">
        <f aca="false">IF(OR(AB1270="判定不能",J1270="判定不能"),"判定不能",IF(AS1270&gt;=判定条件!$C$9,"利用可",IF(AND(AB1270="停止",J1270="停止"),"両方停止","運転がそろわない")))</f>
        <v>判定不能</v>
      </c>
      <c r="AU1270" s="30" t="n">
        <v>0</v>
      </c>
      <c r="AV1270" s="30" t="n">
        <v>0</v>
      </c>
      <c r="AW1270" s="30" t="str">
        <f aca="false">IF(OR(AE1270="判定不能",M1270="判定不能"),"判定不能",IF(AV1270&gt;=判定条件!$C$9,"利用可",IF(AND(AE1270="停止",M1270="停止"),"両方停止","運転がそろわない")))</f>
        <v>判定不能</v>
      </c>
      <c r="AX1270" s="30" t="str">
        <f aca="false">IF(AND(AH1270="利用可",AK1270="利用可",AN1270="利用可"),"利用可","不可")</f>
        <v>不可</v>
      </c>
      <c r="AY1270" s="30" t="str">
        <f aca="false">IF(AND(AQ1270="利用可",AT1270="利用可",AW1270="利用可"),"利用可","不可")</f>
        <v>不可</v>
      </c>
    </row>
    <row r="1271" customFormat="false" ht="15" hidden="false" customHeight="false" outlineLevel="0" collapsed="false">
      <c r="A1271" s="29" t="n">
        <v>46284</v>
      </c>
      <c r="B1271" s="30" t="n">
        <v>20</v>
      </c>
      <c r="C1271" s="31" t="s">
        <v>63</v>
      </c>
      <c r="D1271" s="31" t="s">
        <v>64</v>
      </c>
      <c r="E1271" s="30" t="n">
        <v>60</v>
      </c>
      <c r="F1271" s="30" t="n">
        <v>26</v>
      </c>
      <c r="G1271" s="30" t="str">
        <f aca="false">IF(E1271&lt;判定条件!$C$6,"判定不能",IF(F1271&gt;=判定条件!$C$7*E1271,"運転",IF(F1271&lt;=判定条件!$C$8*E1271,"停止","断続")))</f>
        <v>断続</v>
      </c>
      <c r="H1271" s="30" t="n">
        <v>0</v>
      </c>
      <c r="I1271" s="30" t="n">
        <v>0</v>
      </c>
      <c r="J1271" s="30" t="str">
        <f aca="false">IF(H1271&lt;判定条件!$C$6,"判定不能",IF(I1271&gt;=判定条件!$C$7*H1271,"運転",IF(I1271&lt;=判定条件!$C$8*H1271,"停止","断続")))</f>
        <v>判定不能</v>
      </c>
      <c r="K1271" s="30" t="n">
        <v>60</v>
      </c>
      <c r="L1271" s="30" t="n">
        <v>60</v>
      </c>
      <c r="M1271" s="30" t="str">
        <f aca="false">IF(K1271&lt;判定条件!$C$6,"判定不能",IF(L1271&gt;=判定条件!$C$7*K1271,"運転",IF(L1271&lt;=判定条件!$C$8*K1271,"停止","断続")))</f>
        <v>運転</v>
      </c>
      <c r="N1271" s="30" t="n">
        <v>60</v>
      </c>
      <c r="O1271" s="30" t="n">
        <v>0</v>
      </c>
      <c r="P1271" s="30" t="str">
        <f aca="false">IF(N1271&lt;判定条件!$C$6,"判定不能",IF(O1271&gt;=判定条件!$C$7*N1271,"運転",IF(O1271&lt;=判定条件!$C$8*N1271,"停止","断続")))</f>
        <v>停止</v>
      </c>
      <c r="Q1271" s="30" t="n">
        <v>60</v>
      </c>
      <c r="R1271" s="30" t="n">
        <v>0</v>
      </c>
      <c r="S1271" s="30" t="str">
        <f aca="false">IF(Q1271&lt;判定条件!$C$6,"判定不能",IF(R1271&gt;=判定条件!$C$7*Q1271,"運転",IF(R1271&lt;=判定条件!$C$8*Q1271,"停止","断続")))</f>
        <v>停止</v>
      </c>
      <c r="T1271" s="30" t="n">
        <v>60</v>
      </c>
      <c r="U1271" s="30" t="n">
        <v>0</v>
      </c>
      <c r="V1271" s="30" t="str">
        <f aca="false">IF(T1271&lt;判定条件!$C$6,"判定不能",IF(U1271&gt;=判定条件!$C$7*T1271,"運転",IF(U1271&lt;=判定条件!$C$8*T1271,"停止","断続")))</f>
        <v>停止</v>
      </c>
      <c r="W1271" s="30" t="n">
        <v>0</v>
      </c>
      <c r="X1271" s="30" t="n">
        <v>0</v>
      </c>
      <c r="Y1271" s="30" t="str">
        <f aca="false">IF(W1271&lt;判定条件!$C$6,"判定不能",IF(X1271&gt;=判定条件!$C$7*W1271,"運転",IF(X1271&lt;=判定条件!$C$8*W1271,"停止","断続")))</f>
        <v>判定不能</v>
      </c>
      <c r="Z1271" s="30" t="n">
        <v>0</v>
      </c>
      <c r="AA1271" s="30" t="n">
        <v>0</v>
      </c>
      <c r="AB1271" s="30" t="str">
        <f aca="false">IF(Z1271&lt;判定条件!$C$6,"判定不能",IF(AA1271&gt;=判定条件!$C$7*Z1271,"運転",IF(AA1271&lt;=判定条件!$C$8*Z1271,"停止","断続")))</f>
        <v>判定不能</v>
      </c>
      <c r="AC1271" s="30" t="n">
        <v>0</v>
      </c>
      <c r="AD1271" s="30" t="n">
        <v>0</v>
      </c>
      <c r="AE1271" s="30" t="str">
        <f aca="false">IF(AC1271&lt;判定条件!$C$6,"判定不能",IF(AD1271&gt;=判定条件!$C$7*AC1271,"運転",IF(AD1271&lt;=判定条件!$C$8*AC1271,"停止","断続")))</f>
        <v>判定不能</v>
      </c>
      <c r="AF1271" s="30" t="n">
        <v>60</v>
      </c>
      <c r="AG1271" s="30" t="n">
        <v>0</v>
      </c>
      <c r="AH1271" s="30" t="str">
        <f aca="false">IF(OR(P1271="判定不能",G1271="判定不能"),"判定不能",IF(AG1271&gt;=判定条件!$C$9,"利用可",IF(AND(P1271="停止",G1271="停止"),"両方停止","運転がそろわない")))</f>
        <v>運転がそろわない</v>
      </c>
      <c r="AI1271" s="30" t="n">
        <v>0</v>
      </c>
      <c r="AJ1271" s="30" t="n">
        <v>0</v>
      </c>
      <c r="AK1271" s="30" t="str">
        <f aca="false">IF(OR(S1271="判定不能",J1271="判定不能"),"判定不能",IF(AJ1271&gt;=判定条件!$C$9,"利用可",IF(AND(S1271="停止",J1271="停止"),"両方停止","運転がそろわない")))</f>
        <v>判定不能</v>
      </c>
      <c r="AL1271" s="30" t="n">
        <v>60</v>
      </c>
      <c r="AM1271" s="30" t="n">
        <v>0</v>
      </c>
      <c r="AN1271" s="30" t="str">
        <f aca="false">IF(OR(V1271="判定不能",M1271="判定不能"),"判定不能",IF(AM1271&gt;=判定条件!$C$9,"利用可",IF(AND(V1271="停止",M1271="停止"),"両方停止","運転がそろわない")))</f>
        <v>運転がそろわない</v>
      </c>
      <c r="AO1271" s="30" t="n">
        <v>0</v>
      </c>
      <c r="AP1271" s="30" t="n">
        <v>0</v>
      </c>
      <c r="AQ1271" s="30" t="str">
        <f aca="false">IF(OR(Y1271="判定不能",G1271="判定不能"),"判定不能",IF(AP1271&gt;=判定条件!$C$9,"利用可",IF(AND(Y1271="停止",G1271="停止"),"両方停止","運転がそろわない")))</f>
        <v>判定不能</v>
      </c>
      <c r="AR1271" s="30" t="n">
        <v>0</v>
      </c>
      <c r="AS1271" s="30" t="n">
        <v>0</v>
      </c>
      <c r="AT1271" s="30" t="str">
        <f aca="false">IF(OR(AB1271="判定不能",J1271="判定不能"),"判定不能",IF(AS1271&gt;=判定条件!$C$9,"利用可",IF(AND(AB1271="停止",J1271="停止"),"両方停止","運転がそろわない")))</f>
        <v>判定不能</v>
      </c>
      <c r="AU1271" s="30" t="n">
        <v>0</v>
      </c>
      <c r="AV1271" s="30" t="n">
        <v>0</v>
      </c>
      <c r="AW1271" s="30" t="str">
        <f aca="false">IF(OR(AE1271="判定不能",M1271="判定不能"),"判定不能",IF(AV1271&gt;=判定条件!$C$9,"利用可",IF(AND(AE1271="停止",M1271="停止"),"両方停止","運転がそろわない")))</f>
        <v>判定不能</v>
      </c>
      <c r="AX1271" s="30" t="str">
        <f aca="false">IF(AND(AH1271="利用可",AK1271="利用可",AN1271="利用可"),"利用可","不可")</f>
        <v>不可</v>
      </c>
      <c r="AY1271" s="30" t="str">
        <f aca="false">IF(AND(AQ1271="利用可",AT1271="利用可",AW1271="利用可"),"利用可","不可")</f>
        <v>不可</v>
      </c>
    </row>
    <row r="1272" customFormat="false" ht="15" hidden="false" customHeight="false" outlineLevel="0" collapsed="false">
      <c r="A1272" s="29" t="n">
        <v>46284</v>
      </c>
      <c r="B1272" s="30" t="n">
        <v>21</v>
      </c>
      <c r="C1272" s="31" t="s">
        <v>63</v>
      </c>
      <c r="D1272" s="31" t="s">
        <v>64</v>
      </c>
      <c r="E1272" s="30" t="n">
        <v>60</v>
      </c>
      <c r="F1272" s="30" t="n">
        <v>0</v>
      </c>
      <c r="G1272" s="30" t="str">
        <f aca="false">IF(E1272&lt;判定条件!$C$6,"判定不能",IF(F1272&gt;=判定条件!$C$7*E1272,"運転",IF(F1272&lt;=判定条件!$C$8*E1272,"停止","断続")))</f>
        <v>停止</v>
      </c>
      <c r="H1272" s="30" t="n">
        <v>0</v>
      </c>
      <c r="I1272" s="30" t="n">
        <v>0</v>
      </c>
      <c r="J1272" s="30" t="str">
        <f aca="false">IF(H1272&lt;判定条件!$C$6,"判定不能",IF(I1272&gt;=判定条件!$C$7*H1272,"運転",IF(I1272&lt;=判定条件!$C$8*H1272,"停止","断続")))</f>
        <v>判定不能</v>
      </c>
      <c r="K1272" s="30" t="n">
        <v>60</v>
      </c>
      <c r="L1272" s="30" t="n">
        <v>0</v>
      </c>
      <c r="M1272" s="30" t="str">
        <f aca="false">IF(K1272&lt;判定条件!$C$6,"判定不能",IF(L1272&gt;=判定条件!$C$7*K1272,"運転",IF(L1272&lt;=判定条件!$C$8*K1272,"停止","断続")))</f>
        <v>停止</v>
      </c>
      <c r="N1272" s="30" t="n">
        <v>60</v>
      </c>
      <c r="O1272" s="30" t="n">
        <v>0</v>
      </c>
      <c r="P1272" s="30" t="str">
        <f aca="false">IF(N1272&lt;判定条件!$C$6,"判定不能",IF(O1272&gt;=判定条件!$C$7*N1272,"運転",IF(O1272&lt;=判定条件!$C$8*N1272,"停止","断続")))</f>
        <v>停止</v>
      </c>
      <c r="Q1272" s="30" t="n">
        <v>60</v>
      </c>
      <c r="R1272" s="30" t="n">
        <v>0</v>
      </c>
      <c r="S1272" s="30" t="str">
        <f aca="false">IF(Q1272&lt;判定条件!$C$6,"判定不能",IF(R1272&gt;=判定条件!$C$7*Q1272,"運転",IF(R1272&lt;=判定条件!$C$8*Q1272,"停止","断続")))</f>
        <v>停止</v>
      </c>
      <c r="T1272" s="30" t="n">
        <v>60</v>
      </c>
      <c r="U1272" s="30" t="n">
        <v>0</v>
      </c>
      <c r="V1272" s="30" t="str">
        <f aca="false">IF(T1272&lt;判定条件!$C$6,"判定不能",IF(U1272&gt;=判定条件!$C$7*T1272,"運転",IF(U1272&lt;=判定条件!$C$8*T1272,"停止","断続")))</f>
        <v>停止</v>
      </c>
      <c r="W1272" s="30" t="n">
        <v>0</v>
      </c>
      <c r="X1272" s="30" t="n">
        <v>0</v>
      </c>
      <c r="Y1272" s="30" t="str">
        <f aca="false">IF(W1272&lt;判定条件!$C$6,"判定不能",IF(X1272&gt;=判定条件!$C$7*W1272,"運転",IF(X1272&lt;=判定条件!$C$8*W1272,"停止","断続")))</f>
        <v>判定不能</v>
      </c>
      <c r="Z1272" s="30" t="n">
        <v>0</v>
      </c>
      <c r="AA1272" s="30" t="n">
        <v>0</v>
      </c>
      <c r="AB1272" s="30" t="str">
        <f aca="false">IF(Z1272&lt;判定条件!$C$6,"判定不能",IF(AA1272&gt;=判定条件!$C$7*Z1272,"運転",IF(AA1272&lt;=判定条件!$C$8*Z1272,"停止","断続")))</f>
        <v>判定不能</v>
      </c>
      <c r="AC1272" s="30" t="n">
        <v>0</v>
      </c>
      <c r="AD1272" s="30" t="n">
        <v>0</v>
      </c>
      <c r="AE1272" s="30" t="str">
        <f aca="false">IF(AC1272&lt;判定条件!$C$6,"判定不能",IF(AD1272&gt;=判定条件!$C$7*AC1272,"運転",IF(AD1272&lt;=判定条件!$C$8*AC1272,"停止","断続")))</f>
        <v>判定不能</v>
      </c>
      <c r="AF1272" s="30" t="n">
        <v>60</v>
      </c>
      <c r="AG1272" s="30" t="n">
        <v>0</v>
      </c>
      <c r="AH1272" s="30" t="str">
        <f aca="false">IF(OR(P1272="判定不能",G1272="判定不能"),"判定不能",IF(AG1272&gt;=判定条件!$C$9,"利用可",IF(AND(P1272="停止",G1272="停止"),"両方停止","運転がそろわない")))</f>
        <v>両方停止</v>
      </c>
      <c r="AI1272" s="30" t="n">
        <v>0</v>
      </c>
      <c r="AJ1272" s="30" t="n">
        <v>0</v>
      </c>
      <c r="AK1272" s="30" t="str">
        <f aca="false">IF(OR(S1272="判定不能",J1272="判定不能"),"判定不能",IF(AJ1272&gt;=判定条件!$C$9,"利用可",IF(AND(S1272="停止",J1272="停止"),"両方停止","運転がそろわない")))</f>
        <v>判定不能</v>
      </c>
      <c r="AL1272" s="30" t="n">
        <v>60</v>
      </c>
      <c r="AM1272" s="30" t="n">
        <v>0</v>
      </c>
      <c r="AN1272" s="30" t="str">
        <f aca="false">IF(OR(V1272="判定不能",M1272="判定不能"),"判定不能",IF(AM1272&gt;=判定条件!$C$9,"利用可",IF(AND(V1272="停止",M1272="停止"),"両方停止","運転がそろわない")))</f>
        <v>両方停止</v>
      </c>
      <c r="AO1272" s="30" t="n">
        <v>0</v>
      </c>
      <c r="AP1272" s="30" t="n">
        <v>0</v>
      </c>
      <c r="AQ1272" s="30" t="str">
        <f aca="false">IF(OR(Y1272="判定不能",G1272="判定不能"),"判定不能",IF(AP1272&gt;=判定条件!$C$9,"利用可",IF(AND(Y1272="停止",G1272="停止"),"両方停止","運転がそろわない")))</f>
        <v>判定不能</v>
      </c>
      <c r="AR1272" s="30" t="n">
        <v>0</v>
      </c>
      <c r="AS1272" s="30" t="n">
        <v>0</v>
      </c>
      <c r="AT1272" s="30" t="str">
        <f aca="false">IF(OR(AB1272="判定不能",J1272="判定不能"),"判定不能",IF(AS1272&gt;=判定条件!$C$9,"利用可",IF(AND(AB1272="停止",J1272="停止"),"両方停止","運転がそろわない")))</f>
        <v>判定不能</v>
      </c>
      <c r="AU1272" s="30" t="n">
        <v>0</v>
      </c>
      <c r="AV1272" s="30" t="n">
        <v>0</v>
      </c>
      <c r="AW1272" s="30" t="str">
        <f aca="false">IF(OR(AE1272="判定不能",M1272="判定不能"),"判定不能",IF(AV1272&gt;=判定条件!$C$9,"利用可",IF(AND(AE1272="停止",M1272="停止"),"両方停止","運転がそろわない")))</f>
        <v>判定不能</v>
      </c>
      <c r="AX1272" s="30" t="str">
        <f aca="false">IF(AND(AH1272="利用可",AK1272="利用可",AN1272="利用可"),"利用可","不可")</f>
        <v>不可</v>
      </c>
      <c r="AY1272" s="30" t="str">
        <f aca="false">IF(AND(AQ1272="利用可",AT1272="利用可",AW1272="利用可"),"利用可","不可")</f>
        <v>不可</v>
      </c>
    </row>
    <row r="1273" customFormat="false" ht="15" hidden="false" customHeight="false" outlineLevel="0" collapsed="false">
      <c r="A1273" s="29" t="n">
        <v>46284</v>
      </c>
      <c r="B1273" s="30" t="n">
        <v>22</v>
      </c>
      <c r="C1273" s="31" t="s">
        <v>63</v>
      </c>
      <c r="D1273" s="31" t="s">
        <v>64</v>
      </c>
      <c r="E1273" s="30" t="n">
        <v>60</v>
      </c>
      <c r="F1273" s="30" t="n">
        <v>0</v>
      </c>
      <c r="G1273" s="30" t="str">
        <f aca="false">IF(E1273&lt;判定条件!$C$6,"判定不能",IF(F1273&gt;=判定条件!$C$7*E1273,"運転",IF(F1273&lt;=判定条件!$C$8*E1273,"停止","断続")))</f>
        <v>停止</v>
      </c>
      <c r="H1273" s="30" t="n">
        <v>0</v>
      </c>
      <c r="I1273" s="30" t="n">
        <v>0</v>
      </c>
      <c r="J1273" s="30" t="str">
        <f aca="false">IF(H1273&lt;判定条件!$C$6,"判定不能",IF(I1273&gt;=判定条件!$C$7*H1273,"運転",IF(I1273&lt;=判定条件!$C$8*H1273,"停止","断続")))</f>
        <v>判定不能</v>
      </c>
      <c r="K1273" s="30" t="n">
        <v>60</v>
      </c>
      <c r="L1273" s="30" t="n">
        <v>0</v>
      </c>
      <c r="M1273" s="30" t="str">
        <f aca="false">IF(K1273&lt;判定条件!$C$6,"判定不能",IF(L1273&gt;=判定条件!$C$7*K1273,"運転",IF(L1273&lt;=判定条件!$C$8*K1273,"停止","断続")))</f>
        <v>停止</v>
      </c>
      <c r="N1273" s="30" t="n">
        <v>60</v>
      </c>
      <c r="O1273" s="30" t="n">
        <v>0</v>
      </c>
      <c r="P1273" s="30" t="str">
        <f aca="false">IF(N1273&lt;判定条件!$C$6,"判定不能",IF(O1273&gt;=判定条件!$C$7*N1273,"運転",IF(O1273&lt;=判定条件!$C$8*N1273,"停止","断続")))</f>
        <v>停止</v>
      </c>
      <c r="Q1273" s="30" t="n">
        <v>60</v>
      </c>
      <c r="R1273" s="30" t="n">
        <v>0</v>
      </c>
      <c r="S1273" s="30" t="str">
        <f aca="false">IF(Q1273&lt;判定条件!$C$6,"判定不能",IF(R1273&gt;=判定条件!$C$7*Q1273,"運転",IF(R1273&lt;=判定条件!$C$8*Q1273,"停止","断続")))</f>
        <v>停止</v>
      </c>
      <c r="T1273" s="30" t="n">
        <v>60</v>
      </c>
      <c r="U1273" s="30" t="n">
        <v>0</v>
      </c>
      <c r="V1273" s="30" t="str">
        <f aca="false">IF(T1273&lt;判定条件!$C$6,"判定不能",IF(U1273&gt;=判定条件!$C$7*T1273,"運転",IF(U1273&lt;=判定条件!$C$8*T1273,"停止","断続")))</f>
        <v>停止</v>
      </c>
      <c r="W1273" s="30" t="n">
        <v>0</v>
      </c>
      <c r="X1273" s="30" t="n">
        <v>0</v>
      </c>
      <c r="Y1273" s="30" t="str">
        <f aca="false">IF(W1273&lt;判定条件!$C$6,"判定不能",IF(X1273&gt;=判定条件!$C$7*W1273,"運転",IF(X1273&lt;=判定条件!$C$8*W1273,"停止","断続")))</f>
        <v>判定不能</v>
      </c>
      <c r="Z1273" s="30" t="n">
        <v>0</v>
      </c>
      <c r="AA1273" s="30" t="n">
        <v>0</v>
      </c>
      <c r="AB1273" s="30" t="str">
        <f aca="false">IF(Z1273&lt;判定条件!$C$6,"判定不能",IF(AA1273&gt;=判定条件!$C$7*Z1273,"運転",IF(AA1273&lt;=判定条件!$C$8*Z1273,"停止","断続")))</f>
        <v>判定不能</v>
      </c>
      <c r="AC1273" s="30" t="n">
        <v>0</v>
      </c>
      <c r="AD1273" s="30" t="n">
        <v>0</v>
      </c>
      <c r="AE1273" s="30" t="str">
        <f aca="false">IF(AC1273&lt;判定条件!$C$6,"判定不能",IF(AD1273&gt;=判定条件!$C$7*AC1273,"運転",IF(AD1273&lt;=判定条件!$C$8*AC1273,"停止","断続")))</f>
        <v>判定不能</v>
      </c>
      <c r="AF1273" s="30" t="n">
        <v>60</v>
      </c>
      <c r="AG1273" s="30" t="n">
        <v>0</v>
      </c>
      <c r="AH1273" s="30" t="str">
        <f aca="false">IF(OR(P1273="判定不能",G1273="判定不能"),"判定不能",IF(AG1273&gt;=判定条件!$C$9,"利用可",IF(AND(P1273="停止",G1273="停止"),"両方停止","運転がそろわない")))</f>
        <v>両方停止</v>
      </c>
      <c r="AI1273" s="30" t="n">
        <v>0</v>
      </c>
      <c r="AJ1273" s="30" t="n">
        <v>0</v>
      </c>
      <c r="AK1273" s="30" t="str">
        <f aca="false">IF(OR(S1273="判定不能",J1273="判定不能"),"判定不能",IF(AJ1273&gt;=判定条件!$C$9,"利用可",IF(AND(S1273="停止",J1273="停止"),"両方停止","運転がそろわない")))</f>
        <v>判定不能</v>
      </c>
      <c r="AL1273" s="30" t="n">
        <v>60</v>
      </c>
      <c r="AM1273" s="30" t="n">
        <v>0</v>
      </c>
      <c r="AN1273" s="30" t="str">
        <f aca="false">IF(OR(V1273="判定不能",M1273="判定不能"),"判定不能",IF(AM1273&gt;=判定条件!$C$9,"利用可",IF(AND(V1273="停止",M1273="停止"),"両方停止","運転がそろわない")))</f>
        <v>両方停止</v>
      </c>
      <c r="AO1273" s="30" t="n">
        <v>0</v>
      </c>
      <c r="AP1273" s="30" t="n">
        <v>0</v>
      </c>
      <c r="AQ1273" s="30" t="str">
        <f aca="false">IF(OR(Y1273="判定不能",G1273="判定不能"),"判定不能",IF(AP1273&gt;=判定条件!$C$9,"利用可",IF(AND(Y1273="停止",G1273="停止"),"両方停止","運転がそろわない")))</f>
        <v>判定不能</v>
      </c>
      <c r="AR1273" s="30" t="n">
        <v>0</v>
      </c>
      <c r="AS1273" s="30" t="n">
        <v>0</v>
      </c>
      <c r="AT1273" s="30" t="str">
        <f aca="false">IF(OR(AB1273="判定不能",J1273="判定不能"),"判定不能",IF(AS1273&gt;=判定条件!$C$9,"利用可",IF(AND(AB1273="停止",J1273="停止"),"両方停止","運転がそろわない")))</f>
        <v>判定不能</v>
      </c>
      <c r="AU1273" s="30" t="n">
        <v>0</v>
      </c>
      <c r="AV1273" s="30" t="n">
        <v>0</v>
      </c>
      <c r="AW1273" s="30" t="str">
        <f aca="false">IF(OR(AE1273="判定不能",M1273="判定不能"),"判定不能",IF(AV1273&gt;=判定条件!$C$9,"利用可",IF(AND(AE1273="停止",M1273="停止"),"両方停止","運転がそろわない")))</f>
        <v>判定不能</v>
      </c>
      <c r="AX1273" s="30" t="str">
        <f aca="false">IF(AND(AH1273="利用可",AK1273="利用可",AN1273="利用可"),"利用可","不可")</f>
        <v>不可</v>
      </c>
      <c r="AY1273" s="30" t="str">
        <f aca="false">IF(AND(AQ1273="利用可",AT1273="利用可",AW1273="利用可"),"利用可","不可")</f>
        <v>不可</v>
      </c>
    </row>
    <row r="1274" customFormat="false" ht="15" hidden="false" customHeight="false" outlineLevel="0" collapsed="false">
      <c r="A1274" s="29" t="n">
        <v>46284</v>
      </c>
      <c r="B1274" s="30" t="n">
        <v>23</v>
      </c>
      <c r="C1274" s="31" t="s">
        <v>63</v>
      </c>
      <c r="D1274" s="31" t="s">
        <v>64</v>
      </c>
      <c r="E1274" s="30" t="n">
        <v>60</v>
      </c>
      <c r="F1274" s="30" t="n">
        <v>0</v>
      </c>
      <c r="G1274" s="30" t="str">
        <f aca="false">IF(E1274&lt;判定条件!$C$6,"判定不能",IF(F1274&gt;=判定条件!$C$7*E1274,"運転",IF(F1274&lt;=判定条件!$C$8*E1274,"停止","断続")))</f>
        <v>停止</v>
      </c>
      <c r="H1274" s="30" t="n">
        <v>0</v>
      </c>
      <c r="I1274" s="30" t="n">
        <v>0</v>
      </c>
      <c r="J1274" s="30" t="str">
        <f aca="false">IF(H1274&lt;判定条件!$C$6,"判定不能",IF(I1274&gt;=判定条件!$C$7*H1274,"運転",IF(I1274&lt;=判定条件!$C$8*H1274,"停止","断続")))</f>
        <v>判定不能</v>
      </c>
      <c r="K1274" s="30" t="n">
        <v>60</v>
      </c>
      <c r="L1274" s="30" t="n">
        <v>0</v>
      </c>
      <c r="M1274" s="30" t="str">
        <f aca="false">IF(K1274&lt;判定条件!$C$6,"判定不能",IF(L1274&gt;=判定条件!$C$7*K1274,"運転",IF(L1274&lt;=判定条件!$C$8*K1274,"停止","断続")))</f>
        <v>停止</v>
      </c>
      <c r="N1274" s="30" t="n">
        <v>60</v>
      </c>
      <c r="O1274" s="30" t="n">
        <v>0</v>
      </c>
      <c r="P1274" s="30" t="str">
        <f aca="false">IF(N1274&lt;判定条件!$C$6,"判定不能",IF(O1274&gt;=判定条件!$C$7*N1274,"運転",IF(O1274&lt;=判定条件!$C$8*N1274,"停止","断続")))</f>
        <v>停止</v>
      </c>
      <c r="Q1274" s="30" t="n">
        <v>60</v>
      </c>
      <c r="R1274" s="30" t="n">
        <v>0</v>
      </c>
      <c r="S1274" s="30" t="str">
        <f aca="false">IF(Q1274&lt;判定条件!$C$6,"判定不能",IF(R1274&gt;=判定条件!$C$7*Q1274,"運転",IF(R1274&lt;=判定条件!$C$8*Q1274,"停止","断続")))</f>
        <v>停止</v>
      </c>
      <c r="T1274" s="30" t="n">
        <v>60</v>
      </c>
      <c r="U1274" s="30" t="n">
        <v>0</v>
      </c>
      <c r="V1274" s="30" t="str">
        <f aca="false">IF(T1274&lt;判定条件!$C$6,"判定不能",IF(U1274&gt;=判定条件!$C$7*T1274,"運転",IF(U1274&lt;=判定条件!$C$8*T1274,"停止","断続")))</f>
        <v>停止</v>
      </c>
      <c r="W1274" s="30" t="n">
        <v>0</v>
      </c>
      <c r="X1274" s="30" t="n">
        <v>0</v>
      </c>
      <c r="Y1274" s="30" t="str">
        <f aca="false">IF(W1274&lt;判定条件!$C$6,"判定不能",IF(X1274&gt;=判定条件!$C$7*W1274,"運転",IF(X1274&lt;=判定条件!$C$8*W1274,"停止","断続")))</f>
        <v>判定不能</v>
      </c>
      <c r="Z1274" s="30" t="n">
        <v>0</v>
      </c>
      <c r="AA1274" s="30" t="n">
        <v>0</v>
      </c>
      <c r="AB1274" s="30" t="str">
        <f aca="false">IF(Z1274&lt;判定条件!$C$6,"判定不能",IF(AA1274&gt;=判定条件!$C$7*Z1274,"運転",IF(AA1274&lt;=判定条件!$C$8*Z1274,"停止","断続")))</f>
        <v>判定不能</v>
      </c>
      <c r="AC1274" s="30" t="n">
        <v>0</v>
      </c>
      <c r="AD1274" s="30" t="n">
        <v>0</v>
      </c>
      <c r="AE1274" s="30" t="str">
        <f aca="false">IF(AC1274&lt;判定条件!$C$6,"判定不能",IF(AD1274&gt;=判定条件!$C$7*AC1274,"運転",IF(AD1274&lt;=判定条件!$C$8*AC1274,"停止","断続")))</f>
        <v>判定不能</v>
      </c>
      <c r="AF1274" s="30" t="n">
        <v>60</v>
      </c>
      <c r="AG1274" s="30" t="n">
        <v>0</v>
      </c>
      <c r="AH1274" s="30" t="str">
        <f aca="false">IF(OR(P1274="判定不能",G1274="判定不能"),"判定不能",IF(AG1274&gt;=判定条件!$C$9,"利用可",IF(AND(P1274="停止",G1274="停止"),"両方停止","運転がそろわない")))</f>
        <v>両方停止</v>
      </c>
      <c r="AI1274" s="30" t="n">
        <v>0</v>
      </c>
      <c r="AJ1274" s="30" t="n">
        <v>0</v>
      </c>
      <c r="AK1274" s="30" t="str">
        <f aca="false">IF(OR(S1274="判定不能",J1274="判定不能"),"判定不能",IF(AJ1274&gt;=判定条件!$C$9,"利用可",IF(AND(S1274="停止",J1274="停止"),"両方停止","運転がそろわない")))</f>
        <v>判定不能</v>
      </c>
      <c r="AL1274" s="30" t="n">
        <v>60</v>
      </c>
      <c r="AM1274" s="30" t="n">
        <v>0</v>
      </c>
      <c r="AN1274" s="30" t="str">
        <f aca="false">IF(OR(V1274="判定不能",M1274="判定不能"),"判定不能",IF(AM1274&gt;=判定条件!$C$9,"利用可",IF(AND(V1274="停止",M1274="停止"),"両方停止","運転がそろわない")))</f>
        <v>両方停止</v>
      </c>
      <c r="AO1274" s="30" t="n">
        <v>0</v>
      </c>
      <c r="AP1274" s="30" t="n">
        <v>0</v>
      </c>
      <c r="AQ1274" s="30" t="str">
        <f aca="false">IF(OR(Y1274="判定不能",G1274="判定不能"),"判定不能",IF(AP1274&gt;=判定条件!$C$9,"利用可",IF(AND(Y1274="停止",G1274="停止"),"両方停止","運転がそろわない")))</f>
        <v>判定不能</v>
      </c>
      <c r="AR1274" s="30" t="n">
        <v>0</v>
      </c>
      <c r="AS1274" s="30" t="n">
        <v>0</v>
      </c>
      <c r="AT1274" s="30" t="str">
        <f aca="false">IF(OR(AB1274="判定不能",J1274="判定不能"),"判定不能",IF(AS1274&gt;=判定条件!$C$9,"利用可",IF(AND(AB1274="停止",J1274="停止"),"両方停止","運転がそろわない")))</f>
        <v>判定不能</v>
      </c>
      <c r="AU1274" s="30" t="n">
        <v>0</v>
      </c>
      <c r="AV1274" s="30" t="n">
        <v>0</v>
      </c>
      <c r="AW1274" s="30" t="str">
        <f aca="false">IF(OR(AE1274="判定不能",M1274="判定不能"),"判定不能",IF(AV1274&gt;=判定条件!$C$9,"利用可",IF(AND(AE1274="停止",M1274="停止"),"両方停止","運転がそろわない")))</f>
        <v>判定不能</v>
      </c>
      <c r="AX1274" s="30" t="str">
        <f aca="false">IF(AND(AH1274="利用可",AK1274="利用可",AN1274="利用可"),"利用可","不可")</f>
        <v>不可</v>
      </c>
      <c r="AY1274" s="30" t="str">
        <f aca="false">IF(AND(AQ1274="利用可",AT1274="利用可",AW1274="利用可"),"利用可","不可")</f>
        <v>不可</v>
      </c>
    </row>
    <row r="1275" customFormat="false" ht="15" hidden="false" customHeight="false" outlineLevel="0" collapsed="false">
      <c r="A1275" s="29" t="n">
        <v>46285</v>
      </c>
      <c r="B1275" s="30" t="n">
        <v>0</v>
      </c>
      <c r="C1275" s="31" t="s">
        <v>65</v>
      </c>
      <c r="D1275" s="31" t="s">
        <v>64</v>
      </c>
      <c r="E1275" s="30" t="n">
        <v>60</v>
      </c>
      <c r="F1275" s="30" t="n">
        <v>0</v>
      </c>
      <c r="G1275" s="30" t="str">
        <f aca="false">IF(E1275&lt;判定条件!$C$6,"判定不能",IF(F1275&gt;=判定条件!$C$7*E1275,"運転",IF(F1275&lt;=判定条件!$C$8*E1275,"停止","断続")))</f>
        <v>停止</v>
      </c>
      <c r="H1275" s="30" t="n">
        <v>0</v>
      </c>
      <c r="I1275" s="30" t="n">
        <v>0</v>
      </c>
      <c r="J1275" s="30" t="str">
        <f aca="false">IF(H1275&lt;判定条件!$C$6,"判定不能",IF(I1275&gt;=判定条件!$C$7*H1275,"運転",IF(I1275&lt;=判定条件!$C$8*H1275,"停止","断続")))</f>
        <v>判定不能</v>
      </c>
      <c r="K1275" s="30" t="n">
        <v>60</v>
      </c>
      <c r="L1275" s="30" t="n">
        <v>0</v>
      </c>
      <c r="M1275" s="30" t="str">
        <f aca="false">IF(K1275&lt;判定条件!$C$6,"判定不能",IF(L1275&gt;=判定条件!$C$7*K1275,"運転",IF(L1275&lt;=判定条件!$C$8*K1275,"停止","断続")))</f>
        <v>停止</v>
      </c>
      <c r="N1275" s="30" t="n">
        <v>60</v>
      </c>
      <c r="O1275" s="30" t="n">
        <v>0</v>
      </c>
      <c r="P1275" s="30" t="str">
        <f aca="false">IF(N1275&lt;判定条件!$C$6,"判定不能",IF(O1275&gt;=判定条件!$C$7*N1275,"運転",IF(O1275&lt;=判定条件!$C$8*N1275,"停止","断続")))</f>
        <v>停止</v>
      </c>
      <c r="Q1275" s="30" t="n">
        <v>60</v>
      </c>
      <c r="R1275" s="30" t="n">
        <v>0</v>
      </c>
      <c r="S1275" s="30" t="str">
        <f aca="false">IF(Q1275&lt;判定条件!$C$6,"判定不能",IF(R1275&gt;=判定条件!$C$7*Q1275,"運転",IF(R1275&lt;=判定条件!$C$8*Q1275,"停止","断続")))</f>
        <v>停止</v>
      </c>
      <c r="T1275" s="30" t="n">
        <v>60</v>
      </c>
      <c r="U1275" s="30" t="n">
        <v>0</v>
      </c>
      <c r="V1275" s="30" t="str">
        <f aca="false">IF(T1275&lt;判定条件!$C$6,"判定不能",IF(U1275&gt;=判定条件!$C$7*T1275,"運転",IF(U1275&lt;=判定条件!$C$8*T1275,"停止","断続")))</f>
        <v>停止</v>
      </c>
      <c r="W1275" s="30" t="n">
        <v>0</v>
      </c>
      <c r="X1275" s="30" t="n">
        <v>0</v>
      </c>
      <c r="Y1275" s="30" t="str">
        <f aca="false">IF(W1275&lt;判定条件!$C$6,"判定不能",IF(X1275&gt;=判定条件!$C$7*W1275,"運転",IF(X1275&lt;=判定条件!$C$8*W1275,"停止","断続")))</f>
        <v>判定不能</v>
      </c>
      <c r="Z1275" s="30" t="n">
        <v>0</v>
      </c>
      <c r="AA1275" s="30" t="n">
        <v>0</v>
      </c>
      <c r="AB1275" s="30" t="str">
        <f aca="false">IF(Z1275&lt;判定条件!$C$6,"判定不能",IF(AA1275&gt;=判定条件!$C$7*Z1275,"運転",IF(AA1275&lt;=判定条件!$C$8*Z1275,"停止","断続")))</f>
        <v>判定不能</v>
      </c>
      <c r="AC1275" s="30" t="n">
        <v>0</v>
      </c>
      <c r="AD1275" s="30" t="n">
        <v>0</v>
      </c>
      <c r="AE1275" s="30" t="str">
        <f aca="false">IF(AC1275&lt;判定条件!$C$6,"判定不能",IF(AD1275&gt;=判定条件!$C$7*AC1275,"運転",IF(AD1275&lt;=判定条件!$C$8*AC1275,"停止","断続")))</f>
        <v>判定不能</v>
      </c>
      <c r="AF1275" s="30" t="n">
        <v>60</v>
      </c>
      <c r="AG1275" s="30" t="n">
        <v>0</v>
      </c>
      <c r="AH1275" s="30" t="str">
        <f aca="false">IF(OR(P1275="判定不能",G1275="判定不能"),"判定不能",IF(AG1275&gt;=判定条件!$C$9,"利用可",IF(AND(P1275="停止",G1275="停止"),"両方停止","運転がそろわない")))</f>
        <v>両方停止</v>
      </c>
      <c r="AI1275" s="30" t="n">
        <v>0</v>
      </c>
      <c r="AJ1275" s="30" t="n">
        <v>0</v>
      </c>
      <c r="AK1275" s="30" t="str">
        <f aca="false">IF(OR(S1275="判定不能",J1275="判定不能"),"判定不能",IF(AJ1275&gt;=判定条件!$C$9,"利用可",IF(AND(S1275="停止",J1275="停止"),"両方停止","運転がそろわない")))</f>
        <v>判定不能</v>
      </c>
      <c r="AL1275" s="30" t="n">
        <v>60</v>
      </c>
      <c r="AM1275" s="30" t="n">
        <v>0</v>
      </c>
      <c r="AN1275" s="30" t="str">
        <f aca="false">IF(OR(V1275="判定不能",M1275="判定不能"),"判定不能",IF(AM1275&gt;=判定条件!$C$9,"利用可",IF(AND(V1275="停止",M1275="停止"),"両方停止","運転がそろわない")))</f>
        <v>両方停止</v>
      </c>
      <c r="AO1275" s="30" t="n">
        <v>0</v>
      </c>
      <c r="AP1275" s="30" t="n">
        <v>0</v>
      </c>
      <c r="AQ1275" s="30" t="str">
        <f aca="false">IF(OR(Y1275="判定不能",G1275="判定不能"),"判定不能",IF(AP1275&gt;=判定条件!$C$9,"利用可",IF(AND(Y1275="停止",G1275="停止"),"両方停止","運転がそろわない")))</f>
        <v>判定不能</v>
      </c>
      <c r="AR1275" s="30" t="n">
        <v>0</v>
      </c>
      <c r="AS1275" s="30" t="n">
        <v>0</v>
      </c>
      <c r="AT1275" s="30" t="str">
        <f aca="false">IF(OR(AB1275="判定不能",J1275="判定不能"),"判定不能",IF(AS1275&gt;=判定条件!$C$9,"利用可",IF(AND(AB1275="停止",J1275="停止"),"両方停止","運転がそろわない")))</f>
        <v>判定不能</v>
      </c>
      <c r="AU1275" s="30" t="n">
        <v>0</v>
      </c>
      <c r="AV1275" s="30" t="n">
        <v>0</v>
      </c>
      <c r="AW1275" s="30" t="str">
        <f aca="false">IF(OR(AE1275="判定不能",M1275="判定不能"),"判定不能",IF(AV1275&gt;=判定条件!$C$9,"利用可",IF(AND(AE1275="停止",M1275="停止"),"両方停止","運転がそろわない")))</f>
        <v>判定不能</v>
      </c>
      <c r="AX1275" s="30" t="str">
        <f aca="false">IF(AND(AH1275="利用可",AK1275="利用可",AN1275="利用可"),"利用可","不可")</f>
        <v>不可</v>
      </c>
      <c r="AY1275" s="30" t="str">
        <f aca="false">IF(AND(AQ1275="利用可",AT1275="利用可",AW1275="利用可"),"利用可","不可")</f>
        <v>不可</v>
      </c>
    </row>
    <row r="1276" customFormat="false" ht="15" hidden="false" customHeight="false" outlineLevel="0" collapsed="false">
      <c r="A1276" s="29" t="n">
        <v>46285</v>
      </c>
      <c r="B1276" s="30" t="n">
        <v>1</v>
      </c>
      <c r="C1276" s="31" t="s">
        <v>65</v>
      </c>
      <c r="D1276" s="31" t="s">
        <v>64</v>
      </c>
      <c r="E1276" s="30" t="n">
        <v>60</v>
      </c>
      <c r="F1276" s="30" t="n">
        <v>0</v>
      </c>
      <c r="G1276" s="30" t="str">
        <f aca="false">IF(E1276&lt;判定条件!$C$6,"判定不能",IF(F1276&gt;=判定条件!$C$7*E1276,"運転",IF(F1276&lt;=判定条件!$C$8*E1276,"停止","断続")))</f>
        <v>停止</v>
      </c>
      <c r="H1276" s="30" t="n">
        <v>0</v>
      </c>
      <c r="I1276" s="30" t="n">
        <v>0</v>
      </c>
      <c r="J1276" s="30" t="str">
        <f aca="false">IF(H1276&lt;判定条件!$C$6,"判定不能",IF(I1276&gt;=判定条件!$C$7*H1276,"運転",IF(I1276&lt;=判定条件!$C$8*H1276,"停止","断続")))</f>
        <v>判定不能</v>
      </c>
      <c r="K1276" s="30" t="n">
        <v>60</v>
      </c>
      <c r="L1276" s="30" t="n">
        <v>0</v>
      </c>
      <c r="M1276" s="30" t="str">
        <f aca="false">IF(K1276&lt;判定条件!$C$6,"判定不能",IF(L1276&gt;=判定条件!$C$7*K1276,"運転",IF(L1276&lt;=判定条件!$C$8*K1276,"停止","断続")))</f>
        <v>停止</v>
      </c>
      <c r="N1276" s="30" t="n">
        <v>60</v>
      </c>
      <c r="O1276" s="30" t="n">
        <v>0</v>
      </c>
      <c r="P1276" s="30" t="str">
        <f aca="false">IF(N1276&lt;判定条件!$C$6,"判定不能",IF(O1276&gt;=判定条件!$C$7*N1276,"運転",IF(O1276&lt;=判定条件!$C$8*N1276,"停止","断続")))</f>
        <v>停止</v>
      </c>
      <c r="Q1276" s="30" t="n">
        <v>60</v>
      </c>
      <c r="R1276" s="30" t="n">
        <v>0</v>
      </c>
      <c r="S1276" s="30" t="str">
        <f aca="false">IF(Q1276&lt;判定条件!$C$6,"判定不能",IF(R1276&gt;=判定条件!$C$7*Q1276,"運転",IF(R1276&lt;=判定条件!$C$8*Q1276,"停止","断続")))</f>
        <v>停止</v>
      </c>
      <c r="T1276" s="30" t="n">
        <v>60</v>
      </c>
      <c r="U1276" s="30" t="n">
        <v>0</v>
      </c>
      <c r="V1276" s="30" t="str">
        <f aca="false">IF(T1276&lt;判定条件!$C$6,"判定不能",IF(U1276&gt;=判定条件!$C$7*T1276,"運転",IF(U1276&lt;=判定条件!$C$8*T1276,"停止","断続")))</f>
        <v>停止</v>
      </c>
      <c r="W1276" s="30" t="n">
        <v>0</v>
      </c>
      <c r="X1276" s="30" t="n">
        <v>0</v>
      </c>
      <c r="Y1276" s="30" t="str">
        <f aca="false">IF(W1276&lt;判定条件!$C$6,"判定不能",IF(X1276&gt;=判定条件!$C$7*W1276,"運転",IF(X1276&lt;=判定条件!$C$8*W1276,"停止","断続")))</f>
        <v>判定不能</v>
      </c>
      <c r="Z1276" s="30" t="n">
        <v>0</v>
      </c>
      <c r="AA1276" s="30" t="n">
        <v>0</v>
      </c>
      <c r="AB1276" s="30" t="str">
        <f aca="false">IF(Z1276&lt;判定条件!$C$6,"判定不能",IF(AA1276&gt;=判定条件!$C$7*Z1276,"運転",IF(AA1276&lt;=判定条件!$C$8*Z1276,"停止","断続")))</f>
        <v>判定不能</v>
      </c>
      <c r="AC1276" s="30" t="n">
        <v>0</v>
      </c>
      <c r="AD1276" s="30" t="n">
        <v>0</v>
      </c>
      <c r="AE1276" s="30" t="str">
        <f aca="false">IF(AC1276&lt;判定条件!$C$6,"判定不能",IF(AD1276&gt;=判定条件!$C$7*AC1276,"運転",IF(AD1276&lt;=判定条件!$C$8*AC1276,"停止","断続")))</f>
        <v>判定不能</v>
      </c>
      <c r="AF1276" s="30" t="n">
        <v>60</v>
      </c>
      <c r="AG1276" s="30" t="n">
        <v>0</v>
      </c>
      <c r="AH1276" s="30" t="str">
        <f aca="false">IF(OR(P1276="判定不能",G1276="判定不能"),"判定不能",IF(AG1276&gt;=判定条件!$C$9,"利用可",IF(AND(P1276="停止",G1276="停止"),"両方停止","運転がそろわない")))</f>
        <v>両方停止</v>
      </c>
      <c r="AI1276" s="30" t="n">
        <v>0</v>
      </c>
      <c r="AJ1276" s="30" t="n">
        <v>0</v>
      </c>
      <c r="AK1276" s="30" t="str">
        <f aca="false">IF(OR(S1276="判定不能",J1276="判定不能"),"判定不能",IF(AJ1276&gt;=判定条件!$C$9,"利用可",IF(AND(S1276="停止",J1276="停止"),"両方停止","運転がそろわない")))</f>
        <v>判定不能</v>
      </c>
      <c r="AL1276" s="30" t="n">
        <v>60</v>
      </c>
      <c r="AM1276" s="30" t="n">
        <v>0</v>
      </c>
      <c r="AN1276" s="30" t="str">
        <f aca="false">IF(OR(V1276="判定不能",M1276="判定不能"),"判定不能",IF(AM1276&gt;=判定条件!$C$9,"利用可",IF(AND(V1276="停止",M1276="停止"),"両方停止","運転がそろわない")))</f>
        <v>両方停止</v>
      </c>
      <c r="AO1276" s="30" t="n">
        <v>0</v>
      </c>
      <c r="AP1276" s="30" t="n">
        <v>0</v>
      </c>
      <c r="AQ1276" s="30" t="str">
        <f aca="false">IF(OR(Y1276="判定不能",G1276="判定不能"),"判定不能",IF(AP1276&gt;=判定条件!$C$9,"利用可",IF(AND(Y1276="停止",G1276="停止"),"両方停止","運転がそろわない")))</f>
        <v>判定不能</v>
      </c>
      <c r="AR1276" s="30" t="n">
        <v>0</v>
      </c>
      <c r="AS1276" s="30" t="n">
        <v>0</v>
      </c>
      <c r="AT1276" s="30" t="str">
        <f aca="false">IF(OR(AB1276="判定不能",J1276="判定不能"),"判定不能",IF(AS1276&gt;=判定条件!$C$9,"利用可",IF(AND(AB1276="停止",J1276="停止"),"両方停止","運転がそろわない")))</f>
        <v>判定不能</v>
      </c>
      <c r="AU1276" s="30" t="n">
        <v>0</v>
      </c>
      <c r="AV1276" s="30" t="n">
        <v>0</v>
      </c>
      <c r="AW1276" s="30" t="str">
        <f aca="false">IF(OR(AE1276="判定不能",M1276="判定不能"),"判定不能",IF(AV1276&gt;=判定条件!$C$9,"利用可",IF(AND(AE1276="停止",M1276="停止"),"両方停止","運転がそろわない")))</f>
        <v>判定不能</v>
      </c>
      <c r="AX1276" s="30" t="str">
        <f aca="false">IF(AND(AH1276="利用可",AK1276="利用可",AN1276="利用可"),"利用可","不可")</f>
        <v>不可</v>
      </c>
      <c r="AY1276" s="30" t="str">
        <f aca="false">IF(AND(AQ1276="利用可",AT1276="利用可",AW1276="利用可"),"利用可","不可")</f>
        <v>不可</v>
      </c>
    </row>
    <row r="1277" customFormat="false" ht="15" hidden="false" customHeight="false" outlineLevel="0" collapsed="false">
      <c r="A1277" s="29" t="n">
        <v>46285</v>
      </c>
      <c r="B1277" s="30" t="n">
        <v>2</v>
      </c>
      <c r="C1277" s="31" t="s">
        <v>65</v>
      </c>
      <c r="D1277" s="31" t="s">
        <v>64</v>
      </c>
      <c r="E1277" s="30" t="n">
        <v>60</v>
      </c>
      <c r="F1277" s="30" t="n">
        <v>0</v>
      </c>
      <c r="G1277" s="30" t="str">
        <f aca="false">IF(E1277&lt;判定条件!$C$6,"判定不能",IF(F1277&gt;=判定条件!$C$7*E1277,"運転",IF(F1277&lt;=判定条件!$C$8*E1277,"停止","断続")))</f>
        <v>停止</v>
      </c>
      <c r="H1277" s="30" t="n">
        <v>0</v>
      </c>
      <c r="I1277" s="30" t="n">
        <v>0</v>
      </c>
      <c r="J1277" s="30" t="str">
        <f aca="false">IF(H1277&lt;判定条件!$C$6,"判定不能",IF(I1277&gt;=判定条件!$C$7*H1277,"運転",IF(I1277&lt;=判定条件!$C$8*H1277,"停止","断続")))</f>
        <v>判定不能</v>
      </c>
      <c r="K1277" s="30" t="n">
        <v>60</v>
      </c>
      <c r="L1277" s="30" t="n">
        <v>0</v>
      </c>
      <c r="M1277" s="30" t="str">
        <f aca="false">IF(K1277&lt;判定条件!$C$6,"判定不能",IF(L1277&gt;=判定条件!$C$7*K1277,"運転",IF(L1277&lt;=判定条件!$C$8*K1277,"停止","断続")))</f>
        <v>停止</v>
      </c>
      <c r="N1277" s="30" t="n">
        <v>60</v>
      </c>
      <c r="O1277" s="30" t="n">
        <v>0</v>
      </c>
      <c r="P1277" s="30" t="str">
        <f aca="false">IF(N1277&lt;判定条件!$C$6,"判定不能",IF(O1277&gt;=判定条件!$C$7*N1277,"運転",IF(O1277&lt;=判定条件!$C$8*N1277,"停止","断続")))</f>
        <v>停止</v>
      </c>
      <c r="Q1277" s="30" t="n">
        <v>60</v>
      </c>
      <c r="R1277" s="30" t="n">
        <v>0</v>
      </c>
      <c r="S1277" s="30" t="str">
        <f aca="false">IF(Q1277&lt;判定条件!$C$6,"判定不能",IF(R1277&gt;=判定条件!$C$7*Q1277,"運転",IF(R1277&lt;=判定条件!$C$8*Q1277,"停止","断続")))</f>
        <v>停止</v>
      </c>
      <c r="T1277" s="30" t="n">
        <v>60</v>
      </c>
      <c r="U1277" s="30" t="n">
        <v>0</v>
      </c>
      <c r="V1277" s="30" t="str">
        <f aca="false">IF(T1277&lt;判定条件!$C$6,"判定不能",IF(U1277&gt;=判定条件!$C$7*T1277,"運転",IF(U1277&lt;=判定条件!$C$8*T1277,"停止","断続")))</f>
        <v>停止</v>
      </c>
      <c r="W1277" s="30" t="n">
        <v>0</v>
      </c>
      <c r="X1277" s="30" t="n">
        <v>0</v>
      </c>
      <c r="Y1277" s="30" t="str">
        <f aca="false">IF(W1277&lt;判定条件!$C$6,"判定不能",IF(X1277&gt;=判定条件!$C$7*W1277,"運転",IF(X1277&lt;=判定条件!$C$8*W1277,"停止","断続")))</f>
        <v>判定不能</v>
      </c>
      <c r="Z1277" s="30" t="n">
        <v>0</v>
      </c>
      <c r="AA1277" s="30" t="n">
        <v>0</v>
      </c>
      <c r="AB1277" s="30" t="str">
        <f aca="false">IF(Z1277&lt;判定条件!$C$6,"判定不能",IF(AA1277&gt;=判定条件!$C$7*Z1277,"運転",IF(AA1277&lt;=判定条件!$C$8*Z1277,"停止","断続")))</f>
        <v>判定不能</v>
      </c>
      <c r="AC1277" s="30" t="n">
        <v>0</v>
      </c>
      <c r="AD1277" s="30" t="n">
        <v>0</v>
      </c>
      <c r="AE1277" s="30" t="str">
        <f aca="false">IF(AC1277&lt;判定条件!$C$6,"判定不能",IF(AD1277&gt;=判定条件!$C$7*AC1277,"運転",IF(AD1277&lt;=判定条件!$C$8*AC1277,"停止","断続")))</f>
        <v>判定不能</v>
      </c>
      <c r="AF1277" s="30" t="n">
        <v>60</v>
      </c>
      <c r="AG1277" s="30" t="n">
        <v>0</v>
      </c>
      <c r="AH1277" s="30" t="str">
        <f aca="false">IF(OR(P1277="判定不能",G1277="判定不能"),"判定不能",IF(AG1277&gt;=判定条件!$C$9,"利用可",IF(AND(P1277="停止",G1277="停止"),"両方停止","運転がそろわない")))</f>
        <v>両方停止</v>
      </c>
      <c r="AI1277" s="30" t="n">
        <v>0</v>
      </c>
      <c r="AJ1277" s="30" t="n">
        <v>0</v>
      </c>
      <c r="AK1277" s="30" t="str">
        <f aca="false">IF(OR(S1277="判定不能",J1277="判定不能"),"判定不能",IF(AJ1277&gt;=判定条件!$C$9,"利用可",IF(AND(S1277="停止",J1277="停止"),"両方停止","運転がそろわない")))</f>
        <v>判定不能</v>
      </c>
      <c r="AL1277" s="30" t="n">
        <v>60</v>
      </c>
      <c r="AM1277" s="30" t="n">
        <v>0</v>
      </c>
      <c r="AN1277" s="30" t="str">
        <f aca="false">IF(OR(V1277="判定不能",M1277="判定不能"),"判定不能",IF(AM1277&gt;=判定条件!$C$9,"利用可",IF(AND(V1277="停止",M1277="停止"),"両方停止","運転がそろわない")))</f>
        <v>両方停止</v>
      </c>
      <c r="AO1277" s="30" t="n">
        <v>0</v>
      </c>
      <c r="AP1277" s="30" t="n">
        <v>0</v>
      </c>
      <c r="AQ1277" s="30" t="str">
        <f aca="false">IF(OR(Y1277="判定不能",G1277="判定不能"),"判定不能",IF(AP1277&gt;=判定条件!$C$9,"利用可",IF(AND(Y1277="停止",G1277="停止"),"両方停止","運転がそろわない")))</f>
        <v>判定不能</v>
      </c>
      <c r="AR1277" s="30" t="n">
        <v>0</v>
      </c>
      <c r="AS1277" s="30" t="n">
        <v>0</v>
      </c>
      <c r="AT1277" s="30" t="str">
        <f aca="false">IF(OR(AB1277="判定不能",J1277="判定不能"),"判定不能",IF(AS1277&gt;=判定条件!$C$9,"利用可",IF(AND(AB1277="停止",J1277="停止"),"両方停止","運転がそろわない")))</f>
        <v>判定不能</v>
      </c>
      <c r="AU1277" s="30" t="n">
        <v>0</v>
      </c>
      <c r="AV1277" s="30" t="n">
        <v>0</v>
      </c>
      <c r="AW1277" s="30" t="str">
        <f aca="false">IF(OR(AE1277="判定不能",M1277="判定不能"),"判定不能",IF(AV1277&gt;=判定条件!$C$9,"利用可",IF(AND(AE1277="停止",M1277="停止"),"両方停止","運転がそろわない")))</f>
        <v>判定不能</v>
      </c>
      <c r="AX1277" s="30" t="str">
        <f aca="false">IF(AND(AH1277="利用可",AK1277="利用可",AN1277="利用可"),"利用可","不可")</f>
        <v>不可</v>
      </c>
      <c r="AY1277" s="30" t="str">
        <f aca="false">IF(AND(AQ1277="利用可",AT1277="利用可",AW1277="利用可"),"利用可","不可")</f>
        <v>不可</v>
      </c>
    </row>
    <row r="1278" customFormat="false" ht="15" hidden="false" customHeight="false" outlineLevel="0" collapsed="false">
      <c r="A1278" s="29" t="n">
        <v>46285</v>
      </c>
      <c r="B1278" s="30" t="n">
        <v>3</v>
      </c>
      <c r="C1278" s="31" t="s">
        <v>65</v>
      </c>
      <c r="D1278" s="31" t="s">
        <v>64</v>
      </c>
      <c r="E1278" s="30" t="n">
        <v>60</v>
      </c>
      <c r="F1278" s="30" t="n">
        <v>0</v>
      </c>
      <c r="G1278" s="30" t="str">
        <f aca="false">IF(E1278&lt;判定条件!$C$6,"判定不能",IF(F1278&gt;=判定条件!$C$7*E1278,"運転",IF(F1278&lt;=判定条件!$C$8*E1278,"停止","断続")))</f>
        <v>停止</v>
      </c>
      <c r="H1278" s="30" t="n">
        <v>0</v>
      </c>
      <c r="I1278" s="30" t="n">
        <v>0</v>
      </c>
      <c r="J1278" s="30" t="str">
        <f aca="false">IF(H1278&lt;判定条件!$C$6,"判定不能",IF(I1278&gt;=判定条件!$C$7*H1278,"運転",IF(I1278&lt;=判定条件!$C$8*H1278,"停止","断続")))</f>
        <v>判定不能</v>
      </c>
      <c r="K1278" s="30" t="n">
        <v>60</v>
      </c>
      <c r="L1278" s="30" t="n">
        <v>0</v>
      </c>
      <c r="M1278" s="30" t="str">
        <f aca="false">IF(K1278&lt;判定条件!$C$6,"判定不能",IF(L1278&gt;=判定条件!$C$7*K1278,"運転",IF(L1278&lt;=判定条件!$C$8*K1278,"停止","断続")))</f>
        <v>停止</v>
      </c>
      <c r="N1278" s="30" t="n">
        <v>60</v>
      </c>
      <c r="O1278" s="30" t="n">
        <v>0</v>
      </c>
      <c r="P1278" s="30" t="str">
        <f aca="false">IF(N1278&lt;判定条件!$C$6,"判定不能",IF(O1278&gt;=判定条件!$C$7*N1278,"運転",IF(O1278&lt;=判定条件!$C$8*N1278,"停止","断続")))</f>
        <v>停止</v>
      </c>
      <c r="Q1278" s="30" t="n">
        <v>60</v>
      </c>
      <c r="R1278" s="30" t="n">
        <v>0</v>
      </c>
      <c r="S1278" s="30" t="str">
        <f aca="false">IF(Q1278&lt;判定条件!$C$6,"判定不能",IF(R1278&gt;=判定条件!$C$7*Q1278,"運転",IF(R1278&lt;=判定条件!$C$8*Q1278,"停止","断続")))</f>
        <v>停止</v>
      </c>
      <c r="T1278" s="30" t="n">
        <v>60</v>
      </c>
      <c r="U1278" s="30" t="n">
        <v>0</v>
      </c>
      <c r="V1278" s="30" t="str">
        <f aca="false">IF(T1278&lt;判定条件!$C$6,"判定不能",IF(U1278&gt;=判定条件!$C$7*T1278,"運転",IF(U1278&lt;=判定条件!$C$8*T1278,"停止","断続")))</f>
        <v>停止</v>
      </c>
      <c r="W1278" s="30" t="n">
        <v>0</v>
      </c>
      <c r="X1278" s="30" t="n">
        <v>0</v>
      </c>
      <c r="Y1278" s="30" t="str">
        <f aca="false">IF(W1278&lt;判定条件!$C$6,"判定不能",IF(X1278&gt;=判定条件!$C$7*W1278,"運転",IF(X1278&lt;=判定条件!$C$8*W1278,"停止","断続")))</f>
        <v>判定不能</v>
      </c>
      <c r="Z1278" s="30" t="n">
        <v>0</v>
      </c>
      <c r="AA1278" s="30" t="n">
        <v>0</v>
      </c>
      <c r="AB1278" s="30" t="str">
        <f aca="false">IF(Z1278&lt;判定条件!$C$6,"判定不能",IF(AA1278&gt;=判定条件!$C$7*Z1278,"運転",IF(AA1278&lt;=判定条件!$C$8*Z1278,"停止","断続")))</f>
        <v>判定不能</v>
      </c>
      <c r="AC1278" s="30" t="n">
        <v>0</v>
      </c>
      <c r="AD1278" s="30" t="n">
        <v>0</v>
      </c>
      <c r="AE1278" s="30" t="str">
        <f aca="false">IF(AC1278&lt;判定条件!$C$6,"判定不能",IF(AD1278&gt;=判定条件!$C$7*AC1278,"運転",IF(AD1278&lt;=判定条件!$C$8*AC1278,"停止","断続")))</f>
        <v>判定不能</v>
      </c>
      <c r="AF1278" s="30" t="n">
        <v>60</v>
      </c>
      <c r="AG1278" s="30" t="n">
        <v>0</v>
      </c>
      <c r="AH1278" s="30" t="str">
        <f aca="false">IF(OR(P1278="判定不能",G1278="判定不能"),"判定不能",IF(AG1278&gt;=判定条件!$C$9,"利用可",IF(AND(P1278="停止",G1278="停止"),"両方停止","運転がそろわない")))</f>
        <v>両方停止</v>
      </c>
      <c r="AI1278" s="30" t="n">
        <v>0</v>
      </c>
      <c r="AJ1278" s="30" t="n">
        <v>0</v>
      </c>
      <c r="AK1278" s="30" t="str">
        <f aca="false">IF(OR(S1278="判定不能",J1278="判定不能"),"判定不能",IF(AJ1278&gt;=判定条件!$C$9,"利用可",IF(AND(S1278="停止",J1278="停止"),"両方停止","運転がそろわない")))</f>
        <v>判定不能</v>
      </c>
      <c r="AL1278" s="30" t="n">
        <v>60</v>
      </c>
      <c r="AM1278" s="30" t="n">
        <v>0</v>
      </c>
      <c r="AN1278" s="30" t="str">
        <f aca="false">IF(OR(V1278="判定不能",M1278="判定不能"),"判定不能",IF(AM1278&gt;=判定条件!$C$9,"利用可",IF(AND(V1278="停止",M1278="停止"),"両方停止","運転がそろわない")))</f>
        <v>両方停止</v>
      </c>
      <c r="AO1278" s="30" t="n">
        <v>0</v>
      </c>
      <c r="AP1278" s="30" t="n">
        <v>0</v>
      </c>
      <c r="AQ1278" s="30" t="str">
        <f aca="false">IF(OR(Y1278="判定不能",G1278="判定不能"),"判定不能",IF(AP1278&gt;=判定条件!$C$9,"利用可",IF(AND(Y1278="停止",G1278="停止"),"両方停止","運転がそろわない")))</f>
        <v>判定不能</v>
      </c>
      <c r="AR1278" s="30" t="n">
        <v>0</v>
      </c>
      <c r="AS1278" s="30" t="n">
        <v>0</v>
      </c>
      <c r="AT1278" s="30" t="str">
        <f aca="false">IF(OR(AB1278="判定不能",J1278="判定不能"),"判定不能",IF(AS1278&gt;=判定条件!$C$9,"利用可",IF(AND(AB1278="停止",J1278="停止"),"両方停止","運転がそろわない")))</f>
        <v>判定不能</v>
      </c>
      <c r="AU1278" s="30" t="n">
        <v>0</v>
      </c>
      <c r="AV1278" s="30" t="n">
        <v>0</v>
      </c>
      <c r="AW1278" s="30" t="str">
        <f aca="false">IF(OR(AE1278="判定不能",M1278="判定不能"),"判定不能",IF(AV1278&gt;=判定条件!$C$9,"利用可",IF(AND(AE1278="停止",M1278="停止"),"両方停止","運転がそろわない")))</f>
        <v>判定不能</v>
      </c>
      <c r="AX1278" s="30" t="str">
        <f aca="false">IF(AND(AH1278="利用可",AK1278="利用可",AN1278="利用可"),"利用可","不可")</f>
        <v>不可</v>
      </c>
      <c r="AY1278" s="30" t="str">
        <f aca="false">IF(AND(AQ1278="利用可",AT1278="利用可",AW1278="利用可"),"利用可","不可")</f>
        <v>不可</v>
      </c>
    </row>
    <row r="1279" customFormat="false" ht="15" hidden="false" customHeight="false" outlineLevel="0" collapsed="false">
      <c r="A1279" s="29" t="n">
        <v>46285</v>
      </c>
      <c r="B1279" s="30" t="n">
        <v>4</v>
      </c>
      <c r="C1279" s="31" t="s">
        <v>65</v>
      </c>
      <c r="D1279" s="31" t="s">
        <v>64</v>
      </c>
      <c r="E1279" s="30" t="n">
        <v>60</v>
      </c>
      <c r="F1279" s="30" t="n">
        <v>0</v>
      </c>
      <c r="G1279" s="30" t="str">
        <f aca="false">IF(E1279&lt;判定条件!$C$6,"判定不能",IF(F1279&gt;=判定条件!$C$7*E1279,"運転",IF(F1279&lt;=判定条件!$C$8*E1279,"停止","断続")))</f>
        <v>停止</v>
      </c>
      <c r="H1279" s="30" t="n">
        <v>0</v>
      </c>
      <c r="I1279" s="30" t="n">
        <v>0</v>
      </c>
      <c r="J1279" s="30" t="str">
        <f aca="false">IF(H1279&lt;判定条件!$C$6,"判定不能",IF(I1279&gt;=判定条件!$C$7*H1279,"運転",IF(I1279&lt;=判定条件!$C$8*H1279,"停止","断続")))</f>
        <v>判定不能</v>
      </c>
      <c r="K1279" s="30" t="n">
        <v>60</v>
      </c>
      <c r="L1279" s="30" t="n">
        <v>0</v>
      </c>
      <c r="M1279" s="30" t="str">
        <f aca="false">IF(K1279&lt;判定条件!$C$6,"判定不能",IF(L1279&gt;=判定条件!$C$7*K1279,"運転",IF(L1279&lt;=判定条件!$C$8*K1279,"停止","断続")))</f>
        <v>停止</v>
      </c>
      <c r="N1279" s="30" t="n">
        <v>60</v>
      </c>
      <c r="O1279" s="30" t="n">
        <v>0</v>
      </c>
      <c r="P1279" s="30" t="str">
        <f aca="false">IF(N1279&lt;判定条件!$C$6,"判定不能",IF(O1279&gt;=判定条件!$C$7*N1279,"運転",IF(O1279&lt;=判定条件!$C$8*N1279,"停止","断続")))</f>
        <v>停止</v>
      </c>
      <c r="Q1279" s="30" t="n">
        <v>60</v>
      </c>
      <c r="R1279" s="30" t="n">
        <v>0</v>
      </c>
      <c r="S1279" s="30" t="str">
        <f aca="false">IF(Q1279&lt;判定条件!$C$6,"判定不能",IF(R1279&gt;=判定条件!$C$7*Q1279,"運転",IF(R1279&lt;=判定条件!$C$8*Q1279,"停止","断続")))</f>
        <v>停止</v>
      </c>
      <c r="T1279" s="30" t="n">
        <v>60</v>
      </c>
      <c r="U1279" s="30" t="n">
        <v>0</v>
      </c>
      <c r="V1279" s="30" t="str">
        <f aca="false">IF(T1279&lt;判定条件!$C$6,"判定不能",IF(U1279&gt;=判定条件!$C$7*T1279,"運転",IF(U1279&lt;=判定条件!$C$8*T1279,"停止","断続")))</f>
        <v>停止</v>
      </c>
      <c r="W1279" s="30" t="n">
        <v>0</v>
      </c>
      <c r="X1279" s="30" t="n">
        <v>0</v>
      </c>
      <c r="Y1279" s="30" t="str">
        <f aca="false">IF(W1279&lt;判定条件!$C$6,"判定不能",IF(X1279&gt;=判定条件!$C$7*W1279,"運転",IF(X1279&lt;=判定条件!$C$8*W1279,"停止","断続")))</f>
        <v>判定不能</v>
      </c>
      <c r="Z1279" s="30" t="n">
        <v>0</v>
      </c>
      <c r="AA1279" s="30" t="n">
        <v>0</v>
      </c>
      <c r="AB1279" s="30" t="str">
        <f aca="false">IF(Z1279&lt;判定条件!$C$6,"判定不能",IF(AA1279&gt;=判定条件!$C$7*Z1279,"運転",IF(AA1279&lt;=判定条件!$C$8*Z1279,"停止","断続")))</f>
        <v>判定不能</v>
      </c>
      <c r="AC1279" s="30" t="n">
        <v>0</v>
      </c>
      <c r="AD1279" s="30" t="n">
        <v>0</v>
      </c>
      <c r="AE1279" s="30" t="str">
        <f aca="false">IF(AC1279&lt;判定条件!$C$6,"判定不能",IF(AD1279&gt;=判定条件!$C$7*AC1279,"運転",IF(AD1279&lt;=判定条件!$C$8*AC1279,"停止","断続")))</f>
        <v>判定不能</v>
      </c>
      <c r="AF1279" s="30" t="n">
        <v>60</v>
      </c>
      <c r="AG1279" s="30" t="n">
        <v>0</v>
      </c>
      <c r="AH1279" s="30" t="str">
        <f aca="false">IF(OR(P1279="判定不能",G1279="判定不能"),"判定不能",IF(AG1279&gt;=判定条件!$C$9,"利用可",IF(AND(P1279="停止",G1279="停止"),"両方停止","運転がそろわない")))</f>
        <v>両方停止</v>
      </c>
      <c r="AI1279" s="30" t="n">
        <v>0</v>
      </c>
      <c r="AJ1279" s="30" t="n">
        <v>0</v>
      </c>
      <c r="AK1279" s="30" t="str">
        <f aca="false">IF(OR(S1279="判定不能",J1279="判定不能"),"判定不能",IF(AJ1279&gt;=判定条件!$C$9,"利用可",IF(AND(S1279="停止",J1279="停止"),"両方停止","運転がそろわない")))</f>
        <v>判定不能</v>
      </c>
      <c r="AL1279" s="30" t="n">
        <v>60</v>
      </c>
      <c r="AM1279" s="30" t="n">
        <v>0</v>
      </c>
      <c r="AN1279" s="30" t="str">
        <f aca="false">IF(OR(V1279="判定不能",M1279="判定不能"),"判定不能",IF(AM1279&gt;=判定条件!$C$9,"利用可",IF(AND(V1279="停止",M1279="停止"),"両方停止","運転がそろわない")))</f>
        <v>両方停止</v>
      </c>
      <c r="AO1279" s="30" t="n">
        <v>0</v>
      </c>
      <c r="AP1279" s="30" t="n">
        <v>0</v>
      </c>
      <c r="AQ1279" s="30" t="str">
        <f aca="false">IF(OR(Y1279="判定不能",G1279="判定不能"),"判定不能",IF(AP1279&gt;=判定条件!$C$9,"利用可",IF(AND(Y1279="停止",G1279="停止"),"両方停止","運転がそろわない")))</f>
        <v>判定不能</v>
      </c>
      <c r="AR1279" s="30" t="n">
        <v>0</v>
      </c>
      <c r="AS1279" s="30" t="n">
        <v>0</v>
      </c>
      <c r="AT1279" s="30" t="str">
        <f aca="false">IF(OR(AB1279="判定不能",J1279="判定不能"),"判定不能",IF(AS1279&gt;=判定条件!$C$9,"利用可",IF(AND(AB1279="停止",J1279="停止"),"両方停止","運転がそろわない")))</f>
        <v>判定不能</v>
      </c>
      <c r="AU1279" s="30" t="n">
        <v>0</v>
      </c>
      <c r="AV1279" s="30" t="n">
        <v>0</v>
      </c>
      <c r="AW1279" s="30" t="str">
        <f aca="false">IF(OR(AE1279="判定不能",M1279="判定不能"),"判定不能",IF(AV1279&gt;=判定条件!$C$9,"利用可",IF(AND(AE1279="停止",M1279="停止"),"両方停止","運転がそろわない")))</f>
        <v>判定不能</v>
      </c>
      <c r="AX1279" s="30" t="str">
        <f aca="false">IF(AND(AH1279="利用可",AK1279="利用可",AN1279="利用可"),"利用可","不可")</f>
        <v>不可</v>
      </c>
      <c r="AY1279" s="30" t="str">
        <f aca="false">IF(AND(AQ1279="利用可",AT1279="利用可",AW1279="利用可"),"利用可","不可")</f>
        <v>不可</v>
      </c>
    </row>
    <row r="1280" customFormat="false" ht="15" hidden="false" customHeight="false" outlineLevel="0" collapsed="false">
      <c r="A1280" s="29" t="n">
        <v>46285</v>
      </c>
      <c r="B1280" s="30" t="n">
        <v>5</v>
      </c>
      <c r="C1280" s="31" t="s">
        <v>65</v>
      </c>
      <c r="D1280" s="31" t="s">
        <v>64</v>
      </c>
      <c r="E1280" s="30" t="n">
        <v>60</v>
      </c>
      <c r="F1280" s="30" t="n">
        <v>0</v>
      </c>
      <c r="G1280" s="30" t="str">
        <f aca="false">IF(E1280&lt;判定条件!$C$6,"判定不能",IF(F1280&gt;=判定条件!$C$7*E1280,"運転",IF(F1280&lt;=判定条件!$C$8*E1280,"停止","断続")))</f>
        <v>停止</v>
      </c>
      <c r="H1280" s="30" t="n">
        <v>0</v>
      </c>
      <c r="I1280" s="30" t="n">
        <v>0</v>
      </c>
      <c r="J1280" s="30" t="str">
        <f aca="false">IF(H1280&lt;判定条件!$C$6,"判定不能",IF(I1280&gt;=判定条件!$C$7*H1280,"運転",IF(I1280&lt;=判定条件!$C$8*H1280,"停止","断続")))</f>
        <v>判定不能</v>
      </c>
      <c r="K1280" s="30" t="n">
        <v>60</v>
      </c>
      <c r="L1280" s="30" t="n">
        <v>0</v>
      </c>
      <c r="M1280" s="30" t="str">
        <f aca="false">IF(K1280&lt;判定条件!$C$6,"判定不能",IF(L1280&gt;=判定条件!$C$7*K1280,"運転",IF(L1280&lt;=判定条件!$C$8*K1280,"停止","断続")))</f>
        <v>停止</v>
      </c>
      <c r="N1280" s="30" t="n">
        <v>60</v>
      </c>
      <c r="O1280" s="30" t="n">
        <v>0</v>
      </c>
      <c r="P1280" s="30" t="str">
        <f aca="false">IF(N1280&lt;判定条件!$C$6,"判定不能",IF(O1280&gt;=判定条件!$C$7*N1280,"運転",IF(O1280&lt;=判定条件!$C$8*N1280,"停止","断続")))</f>
        <v>停止</v>
      </c>
      <c r="Q1280" s="30" t="n">
        <v>60</v>
      </c>
      <c r="R1280" s="30" t="n">
        <v>0</v>
      </c>
      <c r="S1280" s="30" t="str">
        <f aca="false">IF(Q1280&lt;判定条件!$C$6,"判定不能",IF(R1280&gt;=判定条件!$C$7*Q1280,"運転",IF(R1280&lt;=判定条件!$C$8*Q1280,"停止","断続")))</f>
        <v>停止</v>
      </c>
      <c r="T1280" s="30" t="n">
        <v>60</v>
      </c>
      <c r="U1280" s="30" t="n">
        <v>0</v>
      </c>
      <c r="V1280" s="30" t="str">
        <f aca="false">IF(T1280&lt;判定条件!$C$6,"判定不能",IF(U1280&gt;=判定条件!$C$7*T1280,"運転",IF(U1280&lt;=判定条件!$C$8*T1280,"停止","断続")))</f>
        <v>停止</v>
      </c>
      <c r="W1280" s="30" t="n">
        <v>0</v>
      </c>
      <c r="X1280" s="30" t="n">
        <v>0</v>
      </c>
      <c r="Y1280" s="30" t="str">
        <f aca="false">IF(W1280&lt;判定条件!$C$6,"判定不能",IF(X1280&gt;=判定条件!$C$7*W1280,"運転",IF(X1280&lt;=判定条件!$C$8*W1280,"停止","断続")))</f>
        <v>判定不能</v>
      </c>
      <c r="Z1280" s="30" t="n">
        <v>0</v>
      </c>
      <c r="AA1280" s="30" t="n">
        <v>0</v>
      </c>
      <c r="AB1280" s="30" t="str">
        <f aca="false">IF(Z1280&lt;判定条件!$C$6,"判定不能",IF(AA1280&gt;=判定条件!$C$7*Z1280,"運転",IF(AA1280&lt;=判定条件!$C$8*Z1280,"停止","断続")))</f>
        <v>判定不能</v>
      </c>
      <c r="AC1280" s="30" t="n">
        <v>0</v>
      </c>
      <c r="AD1280" s="30" t="n">
        <v>0</v>
      </c>
      <c r="AE1280" s="30" t="str">
        <f aca="false">IF(AC1280&lt;判定条件!$C$6,"判定不能",IF(AD1280&gt;=判定条件!$C$7*AC1280,"運転",IF(AD1280&lt;=判定条件!$C$8*AC1280,"停止","断続")))</f>
        <v>判定不能</v>
      </c>
      <c r="AF1280" s="30" t="n">
        <v>60</v>
      </c>
      <c r="AG1280" s="30" t="n">
        <v>0</v>
      </c>
      <c r="AH1280" s="30" t="str">
        <f aca="false">IF(OR(P1280="判定不能",G1280="判定不能"),"判定不能",IF(AG1280&gt;=判定条件!$C$9,"利用可",IF(AND(P1280="停止",G1280="停止"),"両方停止","運転がそろわない")))</f>
        <v>両方停止</v>
      </c>
      <c r="AI1280" s="30" t="n">
        <v>0</v>
      </c>
      <c r="AJ1280" s="30" t="n">
        <v>0</v>
      </c>
      <c r="AK1280" s="30" t="str">
        <f aca="false">IF(OR(S1280="判定不能",J1280="判定不能"),"判定不能",IF(AJ1280&gt;=判定条件!$C$9,"利用可",IF(AND(S1280="停止",J1280="停止"),"両方停止","運転がそろわない")))</f>
        <v>判定不能</v>
      </c>
      <c r="AL1280" s="30" t="n">
        <v>60</v>
      </c>
      <c r="AM1280" s="30" t="n">
        <v>0</v>
      </c>
      <c r="AN1280" s="30" t="str">
        <f aca="false">IF(OR(V1280="判定不能",M1280="判定不能"),"判定不能",IF(AM1280&gt;=判定条件!$C$9,"利用可",IF(AND(V1280="停止",M1280="停止"),"両方停止","運転がそろわない")))</f>
        <v>両方停止</v>
      </c>
      <c r="AO1280" s="30" t="n">
        <v>0</v>
      </c>
      <c r="AP1280" s="30" t="n">
        <v>0</v>
      </c>
      <c r="AQ1280" s="30" t="str">
        <f aca="false">IF(OR(Y1280="判定不能",G1280="判定不能"),"判定不能",IF(AP1280&gt;=判定条件!$C$9,"利用可",IF(AND(Y1280="停止",G1280="停止"),"両方停止","運転がそろわない")))</f>
        <v>判定不能</v>
      </c>
      <c r="AR1280" s="30" t="n">
        <v>0</v>
      </c>
      <c r="AS1280" s="30" t="n">
        <v>0</v>
      </c>
      <c r="AT1280" s="30" t="str">
        <f aca="false">IF(OR(AB1280="判定不能",J1280="判定不能"),"判定不能",IF(AS1280&gt;=判定条件!$C$9,"利用可",IF(AND(AB1280="停止",J1280="停止"),"両方停止","運転がそろわない")))</f>
        <v>判定不能</v>
      </c>
      <c r="AU1280" s="30" t="n">
        <v>0</v>
      </c>
      <c r="AV1280" s="30" t="n">
        <v>0</v>
      </c>
      <c r="AW1280" s="30" t="str">
        <f aca="false">IF(OR(AE1280="判定不能",M1280="判定不能"),"判定不能",IF(AV1280&gt;=判定条件!$C$9,"利用可",IF(AND(AE1280="停止",M1280="停止"),"両方停止","運転がそろわない")))</f>
        <v>判定不能</v>
      </c>
      <c r="AX1280" s="30" t="str">
        <f aca="false">IF(AND(AH1280="利用可",AK1280="利用可",AN1280="利用可"),"利用可","不可")</f>
        <v>不可</v>
      </c>
      <c r="AY1280" s="30" t="str">
        <f aca="false">IF(AND(AQ1280="利用可",AT1280="利用可",AW1280="利用可"),"利用可","不可")</f>
        <v>不可</v>
      </c>
    </row>
    <row r="1281" customFormat="false" ht="15" hidden="false" customHeight="false" outlineLevel="0" collapsed="false">
      <c r="A1281" s="29" t="n">
        <v>46285</v>
      </c>
      <c r="B1281" s="30" t="n">
        <v>6</v>
      </c>
      <c r="C1281" s="31" t="s">
        <v>65</v>
      </c>
      <c r="D1281" s="31" t="s">
        <v>64</v>
      </c>
      <c r="E1281" s="30" t="n">
        <v>60</v>
      </c>
      <c r="F1281" s="30" t="n">
        <v>0</v>
      </c>
      <c r="G1281" s="30" t="str">
        <f aca="false">IF(E1281&lt;判定条件!$C$6,"判定不能",IF(F1281&gt;=判定条件!$C$7*E1281,"運転",IF(F1281&lt;=判定条件!$C$8*E1281,"停止","断続")))</f>
        <v>停止</v>
      </c>
      <c r="H1281" s="30" t="n">
        <v>0</v>
      </c>
      <c r="I1281" s="30" t="n">
        <v>0</v>
      </c>
      <c r="J1281" s="30" t="str">
        <f aca="false">IF(H1281&lt;判定条件!$C$6,"判定不能",IF(I1281&gt;=判定条件!$C$7*H1281,"運転",IF(I1281&lt;=判定条件!$C$8*H1281,"停止","断続")))</f>
        <v>判定不能</v>
      </c>
      <c r="K1281" s="30" t="n">
        <v>60</v>
      </c>
      <c r="L1281" s="30" t="n">
        <v>0</v>
      </c>
      <c r="M1281" s="30" t="str">
        <f aca="false">IF(K1281&lt;判定条件!$C$6,"判定不能",IF(L1281&gt;=判定条件!$C$7*K1281,"運転",IF(L1281&lt;=判定条件!$C$8*K1281,"停止","断続")))</f>
        <v>停止</v>
      </c>
      <c r="N1281" s="30" t="n">
        <v>60</v>
      </c>
      <c r="O1281" s="30" t="n">
        <v>0</v>
      </c>
      <c r="P1281" s="30" t="str">
        <f aca="false">IF(N1281&lt;判定条件!$C$6,"判定不能",IF(O1281&gt;=判定条件!$C$7*N1281,"運転",IF(O1281&lt;=判定条件!$C$8*N1281,"停止","断続")))</f>
        <v>停止</v>
      </c>
      <c r="Q1281" s="30" t="n">
        <v>60</v>
      </c>
      <c r="R1281" s="30" t="n">
        <v>0</v>
      </c>
      <c r="S1281" s="30" t="str">
        <f aca="false">IF(Q1281&lt;判定条件!$C$6,"判定不能",IF(R1281&gt;=判定条件!$C$7*Q1281,"運転",IF(R1281&lt;=判定条件!$C$8*Q1281,"停止","断続")))</f>
        <v>停止</v>
      </c>
      <c r="T1281" s="30" t="n">
        <v>60</v>
      </c>
      <c r="U1281" s="30" t="n">
        <v>0</v>
      </c>
      <c r="V1281" s="30" t="str">
        <f aca="false">IF(T1281&lt;判定条件!$C$6,"判定不能",IF(U1281&gt;=判定条件!$C$7*T1281,"運転",IF(U1281&lt;=判定条件!$C$8*T1281,"停止","断続")))</f>
        <v>停止</v>
      </c>
      <c r="W1281" s="30" t="n">
        <v>0</v>
      </c>
      <c r="X1281" s="30" t="n">
        <v>0</v>
      </c>
      <c r="Y1281" s="30" t="str">
        <f aca="false">IF(W1281&lt;判定条件!$C$6,"判定不能",IF(X1281&gt;=判定条件!$C$7*W1281,"運転",IF(X1281&lt;=判定条件!$C$8*W1281,"停止","断続")))</f>
        <v>判定不能</v>
      </c>
      <c r="Z1281" s="30" t="n">
        <v>0</v>
      </c>
      <c r="AA1281" s="30" t="n">
        <v>0</v>
      </c>
      <c r="AB1281" s="30" t="str">
        <f aca="false">IF(Z1281&lt;判定条件!$C$6,"判定不能",IF(AA1281&gt;=判定条件!$C$7*Z1281,"運転",IF(AA1281&lt;=判定条件!$C$8*Z1281,"停止","断続")))</f>
        <v>判定不能</v>
      </c>
      <c r="AC1281" s="30" t="n">
        <v>0</v>
      </c>
      <c r="AD1281" s="30" t="n">
        <v>0</v>
      </c>
      <c r="AE1281" s="30" t="str">
        <f aca="false">IF(AC1281&lt;判定条件!$C$6,"判定不能",IF(AD1281&gt;=判定条件!$C$7*AC1281,"運転",IF(AD1281&lt;=判定条件!$C$8*AC1281,"停止","断続")))</f>
        <v>判定不能</v>
      </c>
      <c r="AF1281" s="30" t="n">
        <v>60</v>
      </c>
      <c r="AG1281" s="30" t="n">
        <v>0</v>
      </c>
      <c r="AH1281" s="30" t="str">
        <f aca="false">IF(OR(P1281="判定不能",G1281="判定不能"),"判定不能",IF(AG1281&gt;=判定条件!$C$9,"利用可",IF(AND(P1281="停止",G1281="停止"),"両方停止","運転がそろわない")))</f>
        <v>両方停止</v>
      </c>
      <c r="AI1281" s="30" t="n">
        <v>0</v>
      </c>
      <c r="AJ1281" s="30" t="n">
        <v>0</v>
      </c>
      <c r="AK1281" s="30" t="str">
        <f aca="false">IF(OR(S1281="判定不能",J1281="判定不能"),"判定不能",IF(AJ1281&gt;=判定条件!$C$9,"利用可",IF(AND(S1281="停止",J1281="停止"),"両方停止","運転がそろわない")))</f>
        <v>判定不能</v>
      </c>
      <c r="AL1281" s="30" t="n">
        <v>60</v>
      </c>
      <c r="AM1281" s="30" t="n">
        <v>0</v>
      </c>
      <c r="AN1281" s="30" t="str">
        <f aca="false">IF(OR(V1281="判定不能",M1281="判定不能"),"判定不能",IF(AM1281&gt;=判定条件!$C$9,"利用可",IF(AND(V1281="停止",M1281="停止"),"両方停止","運転がそろわない")))</f>
        <v>両方停止</v>
      </c>
      <c r="AO1281" s="30" t="n">
        <v>0</v>
      </c>
      <c r="AP1281" s="30" t="n">
        <v>0</v>
      </c>
      <c r="AQ1281" s="30" t="str">
        <f aca="false">IF(OR(Y1281="判定不能",G1281="判定不能"),"判定不能",IF(AP1281&gt;=判定条件!$C$9,"利用可",IF(AND(Y1281="停止",G1281="停止"),"両方停止","運転がそろわない")))</f>
        <v>判定不能</v>
      </c>
      <c r="AR1281" s="30" t="n">
        <v>0</v>
      </c>
      <c r="AS1281" s="30" t="n">
        <v>0</v>
      </c>
      <c r="AT1281" s="30" t="str">
        <f aca="false">IF(OR(AB1281="判定不能",J1281="判定不能"),"判定不能",IF(AS1281&gt;=判定条件!$C$9,"利用可",IF(AND(AB1281="停止",J1281="停止"),"両方停止","運転がそろわない")))</f>
        <v>判定不能</v>
      </c>
      <c r="AU1281" s="30" t="n">
        <v>0</v>
      </c>
      <c r="AV1281" s="30" t="n">
        <v>0</v>
      </c>
      <c r="AW1281" s="30" t="str">
        <f aca="false">IF(OR(AE1281="判定不能",M1281="判定不能"),"判定不能",IF(AV1281&gt;=判定条件!$C$9,"利用可",IF(AND(AE1281="停止",M1281="停止"),"両方停止","運転がそろわない")))</f>
        <v>判定不能</v>
      </c>
      <c r="AX1281" s="30" t="str">
        <f aca="false">IF(AND(AH1281="利用可",AK1281="利用可",AN1281="利用可"),"利用可","不可")</f>
        <v>不可</v>
      </c>
      <c r="AY1281" s="30" t="str">
        <f aca="false">IF(AND(AQ1281="利用可",AT1281="利用可",AW1281="利用可"),"利用可","不可")</f>
        <v>不可</v>
      </c>
    </row>
    <row r="1282" customFormat="false" ht="15" hidden="false" customHeight="false" outlineLevel="0" collapsed="false">
      <c r="A1282" s="29" t="n">
        <v>46285</v>
      </c>
      <c r="B1282" s="30" t="n">
        <v>7</v>
      </c>
      <c r="C1282" s="31" t="s">
        <v>65</v>
      </c>
      <c r="D1282" s="31" t="s">
        <v>64</v>
      </c>
      <c r="E1282" s="30" t="n">
        <v>60</v>
      </c>
      <c r="F1282" s="30" t="n">
        <v>0</v>
      </c>
      <c r="G1282" s="30" t="str">
        <f aca="false">IF(E1282&lt;判定条件!$C$6,"判定不能",IF(F1282&gt;=判定条件!$C$7*E1282,"運転",IF(F1282&lt;=判定条件!$C$8*E1282,"停止","断続")))</f>
        <v>停止</v>
      </c>
      <c r="H1282" s="30" t="n">
        <v>0</v>
      </c>
      <c r="I1282" s="30" t="n">
        <v>0</v>
      </c>
      <c r="J1282" s="30" t="str">
        <f aca="false">IF(H1282&lt;判定条件!$C$6,"判定不能",IF(I1282&gt;=判定条件!$C$7*H1282,"運転",IF(I1282&lt;=判定条件!$C$8*H1282,"停止","断続")))</f>
        <v>判定不能</v>
      </c>
      <c r="K1282" s="30" t="n">
        <v>60</v>
      </c>
      <c r="L1282" s="30" t="n">
        <v>0</v>
      </c>
      <c r="M1282" s="30" t="str">
        <f aca="false">IF(K1282&lt;判定条件!$C$6,"判定不能",IF(L1282&gt;=判定条件!$C$7*K1282,"運転",IF(L1282&lt;=判定条件!$C$8*K1282,"停止","断続")))</f>
        <v>停止</v>
      </c>
      <c r="N1282" s="30" t="n">
        <v>60</v>
      </c>
      <c r="O1282" s="30" t="n">
        <v>0</v>
      </c>
      <c r="P1282" s="30" t="str">
        <f aca="false">IF(N1282&lt;判定条件!$C$6,"判定不能",IF(O1282&gt;=判定条件!$C$7*N1282,"運転",IF(O1282&lt;=判定条件!$C$8*N1282,"停止","断続")))</f>
        <v>停止</v>
      </c>
      <c r="Q1282" s="30" t="n">
        <v>60</v>
      </c>
      <c r="R1282" s="30" t="n">
        <v>0</v>
      </c>
      <c r="S1282" s="30" t="str">
        <f aca="false">IF(Q1282&lt;判定条件!$C$6,"判定不能",IF(R1282&gt;=判定条件!$C$7*Q1282,"運転",IF(R1282&lt;=判定条件!$C$8*Q1282,"停止","断続")))</f>
        <v>停止</v>
      </c>
      <c r="T1282" s="30" t="n">
        <v>60</v>
      </c>
      <c r="U1282" s="30" t="n">
        <v>0</v>
      </c>
      <c r="V1282" s="30" t="str">
        <f aca="false">IF(T1282&lt;判定条件!$C$6,"判定不能",IF(U1282&gt;=判定条件!$C$7*T1282,"運転",IF(U1282&lt;=判定条件!$C$8*T1282,"停止","断続")))</f>
        <v>停止</v>
      </c>
      <c r="W1282" s="30" t="n">
        <v>0</v>
      </c>
      <c r="X1282" s="30" t="n">
        <v>0</v>
      </c>
      <c r="Y1282" s="30" t="str">
        <f aca="false">IF(W1282&lt;判定条件!$C$6,"判定不能",IF(X1282&gt;=判定条件!$C$7*W1282,"運転",IF(X1282&lt;=判定条件!$C$8*W1282,"停止","断続")))</f>
        <v>判定不能</v>
      </c>
      <c r="Z1282" s="30" t="n">
        <v>0</v>
      </c>
      <c r="AA1282" s="30" t="n">
        <v>0</v>
      </c>
      <c r="AB1282" s="30" t="str">
        <f aca="false">IF(Z1282&lt;判定条件!$C$6,"判定不能",IF(AA1282&gt;=判定条件!$C$7*Z1282,"運転",IF(AA1282&lt;=判定条件!$C$8*Z1282,"停止","断続")))</f>
        <v>判定不能</v>
      </c>
      <c r="AC1282" s="30" t="n">
        <v>0</v>
      </c>
      <c r="AD1282" s="30" t="n">
        <v>0</v>
      </c>
      <c r="AE1282" s="30" t="str">
        <f aca="false">IF(AC1282&lt;判定条件!$C$6,"判定不能",IF(AD1282&gt;=判定条件!$C$7*AC1282,"運転",IF(AD1282&lt;=判定条件!$C$8*AC1282,"停止","断続")))</f>
        <v>判定不能</v>
      </c>
      <c r="AF1282" s="30" t="n">
        <v>60</v>
      </c>
      <c r="AG1282" s="30" t="n">
        <v>0</v>
      </c>
      <c r="AH1282" s="30" t="str">
        <f aca="false">IF(OR(P1282="判定不能",G1282="判定不能"),"判定不能",IF(AG1282&gt;=判定条件!$C$9,"利用可",IF(AND(P1282="停止",G1282="停止"),"両方停止","運転がそろわない")))</f>
        <v>両方停止</v>
      </c>
      <c r="AI1282" s="30" t="n">
        <v>0</v>
      </c>
      <c r="AJ1282" s="30" t="n">
        <v>0</v>
      </c>
      <c r="AK1282" s="30" t="str">
        <f aca="false">IF(OR(S1282="判定不能",J1282="判定不能"),"判定不能",IF(AJ1282&gt;=判定条件!$C$9,"利用可",IF(AND(S1282="停止",J1282="停止"),"両方停止","運転がそろわない")))</f>
        <v>判定不能</v>
      </c>
      <c r="AL1282" s="30" t="n">
        <v>60</v>
      </c>
      <c r="AM1282" s="30" t="n">
        <v>0</v>
      </c>
      <c r="AN1282" s="30" t="str">
        <f aca="false">IF(OR(V1282="判定不能",M1282="判定不能"),"判定不能",IF(AM1282&gt;=判定条件!$C$9,"利用可",IF(AND(V1282="停止",M1282="停止"),"両方停止","運転がそろわない")))</f>
        <v>両方停止</v>
      </c>
      <c r="AO1282" s="30" t="n">
        <v>0</v>
      </c>
      <c r="AP1282" s="30" t="n">
        <v>0</v>
      </c>
      <c r="AQ1282" s="30" t="str">
        <f aca="false">IF(OR(Y1282="判定不能",G1282="判定不能"),"判定不能",IF(AP1282&gt;=判定条件!$C$9,"利用可",IF(AND(Y1282="停止",G1282="停止"),"両方停止","運転がそろわない")))</f>
        <v>判定不能</v>
      </c>
      <c r="AR1282" s="30" t="n">
        <v>0</v>
      </c>
      <c r="AS1282" s="30" t="n">
        <v>0</v>
      </c>
      <c r="AT1282" s="30" t="str">
        <f aca="false">IF(OR(AB1282="判定不能",J1282="判定不能"),"判定不能",IF(AS1282&gt;=判定条件!$C$9,"利用可",IF(AND(AB1282="停止",J1282="停止"),"両方停止","運転がそろわない")))</f>
        <v>判定不能</v>
      </c>
      <c r="AU1282" s="30" t="n">
        <v>0</v>
      </c>
      <c r="AV1282" s="30" t="n">
        <v>0</v>
      </c>
      <c r="AW1282" s="30" t="str">
        <f aca="false">IF(OR(AE1282="判定不能",M1282="判定不能"),"判定不能",IF(AV1282&gt;=判定条件!$C$9,"利用可",IF(AND(AE1282="停止",M1282="停止"),"両方停止","運転がそろわない")))</f>
        <v>判定不能</v>
      </c>
      <c r="AX1282" s="30" t="str">
        <f aca="false">IF(AND(AH1282="利用可",AK1282="利用可",AN1282="利用可"),"利用可","不可")</f>
        <v>不可</v>
      </c>
      <c r="AY1282" s="30" t="str">
        <f aca="false">IF(AND(AQ1282="利用可",AT1282="利用可",AW1282="利用可"),"利用可","不可")</f>
        <v>不可</v>
      </c>
    </row>
    <row r="1283" customFormat="false" ht="15" hidden="false" customHeight="false" outlineLevel="0" collapsed="false">
      <c r="A1283" s="29" t="n">
        <v>46285</v>
      </c>
      <c r="B1283" s="30" t="n">
        <v>8</v>
      </c>
      <c r="C1283" s="31" t="s">
        <v>65</v>
      </c>
      <c r="D1283" s="31" t="s">
        <v>64</v>
      </c>
      <c r="E1283" s="30" t="n">
        <v>60</v>
      </c>
      <c r="F1283" s="30" t="n">
        <v>0</v>
      </c>
      <c r="G1283" s="30" t="str">
        <f aca="false">IF(E1283&lt;判定条件!$C$6,"判定不能",IF(F1283&gt;=判定条件!$C$7*E1283,"運転",IF(F1283&lt;=判定条件!$C$8*E1283,"停止","断続")))</f>
        <v>停止</v>
      </c>
      <c r="H1283" s="30" t="n">
        <v>0</v>
      </c>
      <c r="I1283" s="30" t="n">
        <v>0</v>
      </c>
      <c r="J1283" s="30" t="str">
        <f aca="false">IF(H1283&lt;判定条件!$C$6,"判定不能",IF(I1283&gt;=判定条件!$C$7*H1283,"運転",IF(I1283&lt;=判定条件!$C$8*H1283,"停止","断続")))</f>
        <v>判定不能</v>
      </c>
      <c r="K1283" s="30" t="n">
        <v>60</v>
      </c>
      <c r="L1283" s="30" t="n">
        <v>0</v>
      </c>
      <c r="M1283" s="30" t="str">
        <f aca="false">IF(K1283&lt;判定条件!$C$6,"判定不能",IF(L1283&gt;=判定条件!$C$7*K1283,"運転",IF(L1283&lt;=判定条件!$C$8*K1283,"停止","断続")))</f>
        <v>停止</v>
      </c>
      <c r="N1283" s="30" t="n">
        <v>60</v>
      </c>
      <c r="O1283" s="30" t="n">
        <v>0</v>
      </c>
      <c r="P1283" s="30" t="str">
        <f aca="false">IF(N1283&lt;判定条件!$C$6,"判定不能",IF(O1283&gt;=判定条件!$C$7*N1283,"運転",IF(O1283&lt;=判定条件!$C$8*N1283,"停止","断続")))</f>
        <v>停止</v>
      </c>
      <c r="Q1283" s="30" t="n">
        <v>60</v>
      </c>
      <c r="R1283" s="30" t="n">
        <v>0</v>
      </c>
      <c r="S1283" s="30" t="str">
        <f aca="false">IF(Q1283&lt;判定条件!$C$6,"判定不能",IF(R1283&gt;=判定条件!$C$7*Q1283,"運転",IF(R1283&lt;=判定条件!$C$8*Q1283,"停止","断続")))</f>
        <v>停止</v>
      </c>
      <c r="T1283" s="30" t="n">
        <v>60</v>
      </c>
      <c r="U1283" s="30" t="n">
        <v>0</v>
      </c>
      <c r="V1283" s="30" t="str">
        <f aca="false">IF(T1283&lt;判定条件!$C$6,"判定不能",IF(U1283&gt;=判定条件!$C$7*T1283,"運転",IF(U1283&lt;=判定条件!$C$8*T1283,"停止","断続")))</f>
        <v>停止</v>
      </c>
      <c r="W1283" s="30" t="n">
        <v>0</v>
      </c>
      <c r="X1283" s="30" t="n">
        <v>0</v>
      </c>
      <c r="Y1283" s="30" t="str">
        <f aca="false">IF(W1283&lt;判定条件!$C$6,"判定不能",IF(X1283&gt;=判定条件!$C$7*W1283,"運転",IF(X1283&lt;=判定条件!$C$8*W1283,"停止","断続")))</f>
        <v>判定不能</v>
      </c>
      <c r="Z1283" s="30" t="n">
        <v>0</v>
      </c>
      <c r="AA1283" s="30" t="n">
        <v>0</v>
      </c>
      <c r="AB1283" s="30" t="str">
        <f aca="false">IF(Z1283&lt;判定条件!$C$6,"判定不能",IF(AA1283&gt;=判定条件!$C$7*Z1283,"運転",IF(AA1283&lt;=判定条件!$C$8*Z1283,"停止","断続")))</f>
        <v>判定不能</v>
      </c>
      <c r="AC1283" s="30" t="n">
        <v>0</v>
      </c>
      <c r="AD1283" s="30" t="n">
        <v>0</v>
      </c>
      <c r="AE1283" s="30" t="str">
        <f aca="false">IF(AC1283&lt;判定条件!$C$6,"判定不能",IF(AD1283&gt;=判定条件!$C$7*AC1283,"運転",IF(AD1283&lt;=判定条件!$C$8*AC1283,"停止","断続")))</f>
        <v>判定不能</v>
      </c>
      <c r="AF1283" s="30" t="n">
        <v>60</v>
      </c>
      <c r="AG1283" s="30" t="n">
        <v>0</v>
      </c>
      <c r="AH1283" s="30" t="str">
        <f aca="false">IF(OR(P1283="判定不能",G1283="判定不能"),"判定不能",IF(AG1283&gt;=判定条件!$C$9,"利用可",IF(AND(P1283="停止",G1283="停止"),"両方停止","運転がそろわない")))</f>
        <v>両方停止</v>
      </c>
      <c r="AI1283" s="30" t="n">
        <v>0</v>
      </c>
      <c r="AJ1283" s="30" t="n">
        <v>0</v>
      </c>
      <c r="AK1283" s="30" t="str">
        <f aca="false">IF(OR(S1283="判定不能",J1283="判定不能"),"判定不能",IF(AJ1283&gt;=判定条件!$C$9,"利用可",IF(AND(S1283="停止",J1283="停止"),"両方停止","運転がそろわない")))</f>
        <v>判定不能</v>
      </c>
      <c r="AL1283" s="30" t="n">
        <v>60</v>
      </c>
      <c r="AM1283" s="30" t="n">
        <v>0</v>
      </c>
      <c r="AN1283" s="30" t="str">
        <f aca="false">IF(OR(V1283="判定不能",M1283="判定不能"),"判定不能",IF(AM1283&gt;=判定条件!$C$9,"利用可",IF(AND(V1283="停止",M1283="停止"),"両方停止","運転がそろわない")))</f>
        <v>両方停止</v>
      </c>
      <c r="AO1283" s="30" t="n">
        <v>0</v>
      </c>
      <c r="AP1283" s="30" t="n">
        <v>0</v>
      </c>
      <c r="AQ1283" s="30" t="str">
        <f aca="false">IF(OR(Y1283="判定不能",G1283="判定不能"),"判定不能",IF(AP1283&gt;=判定条件!$C$9,"利用可",IF(AND(Y1283="停止",G1283="停止"),"両方停止","運転がそろわない")))</f>
        <v>判定不能</v>
      </c>
      <c r="AR1283" s="30" t="n">
        <v>0</v>
      </c>
      <c r="AS1283" s="30" t="n">
        <v>0</v>
      </c>
      <c r="AT1283" s="30" t="str">
        <f aca="false">IF(OR(AB1283="判定不能",J1283="判定不能"),"判定不能",IF(AS1283&gt;=判定条件!$C$9,"利用可",IF(AND(AB1283="停止",J1283="停止"),"両方停止","運転がそろわない")))</f>
        <v>判定不能</v>
      </c>
      <c r="AU1283" s="30" t="n">
        <v>0</v>
      </c>
      <c r="AV1283" s="30" t="n">
        <v>0</v>
      </c>
      <c r="AW1283" s="30" t="str">
        <f aca="false">IF(OR(AE1283="判定不能",M1283="判定不能"),"判定不能",IF(AV1283&gt;=判定条件!$C$9,"利用可",IF(AND(AE1283="停止",M1283="停止"),"両方停止","運転がそろわない")))</f>
        <v>判定不能</v>
      </c>
      <c r="AX1283" s="30" t="str">
        <f aca="false">IF(AND(AH1283="利用可",AK1283="利用可",AN1283="利用可"),"利用可","不可")</f>
        <v>不可</v>
      </c>
      <c r="AY1283" s="30" t="str">
        <f aca="false">IF(AND(AQ1283="利用可",AT1283="利用可",AW1283="利用可"),"利用可","不可")</f>
        <v>不可</v>
      </c>
    </row>
    <row r="1284" customFormat="false" ht="15" hidden="false" customHeight="false" outlineLevel="0" collapsed="false">
      <c r="A1284" s="29" t="n">
        <v>46285</v>
      </c>
      <c r="B1284" s="30" t="n">
        <v>9</v>
      </c>
      <c r="C1284" s="31" t="s">
        <v>65</v>
      </c>
      <c r="D1284" s="31" t="s">
        <v>64</v>
      </c>
      <c r="E1284" s="30" t="n">
        <v>60</v>
      </c>
      <c r="F1284" s="30" t="n">
        <v>7</v>
      </c>
      <c r="G1284" s="30" t="str">
        <f aca="false">IF(E1284&lt;判定条件!$C$6,"判定不能",IF(F1284&gt;=判定条件!$C$7*E1284,"運転",IF(F1284&lt;=判定条件!$C$8*E1284,"停止","断続")))</f>
        <v>停止</v>
      </c>
      <c r="H1284" s="30" t="n">
        <v>0</v>
      </c>
      <c r="I1284" s="30" t="n">
        <v>0</v>
      </c>
      <c r="J1284" s="30" t="str">
        <f aca="false">IF(H1284&lt;判定条件!$C$6,"判定不能",IF(I1284&gt;=判定条件!$C$7*H1284,"運転",IF(I1284&lt;=判定条件!$C$8*H1284,"停止","断続")))</f>
        <v>判定不能</v>
      </c>
      <c r="K1284" s="30" t="n">
        <v>60</v>
      </c>
      <c r="L1284" s="30" t="n">
        <v>7</v>
      </c>
      <c r="M1284" s="30" t="str">
        <f aca="false">IF(K1284&lt;判定条件!$C$6,"判定不能",IF(L1284&gt;=判定条件!$C$7*K1284,"運転",IF(L1284&lt;=判定条件!$C$8*K1284,"停止","断続")))</f>
        <v>停止</v>
      </c>
      <c r="N1284" s="30" t="n">
        <v>60</v>
      </c>
      <c r="O1284" s="30" t="n">
        <v>0</v>
      </c>
      <c r="P1284" s="30" t="str">
        <f aca="false">IF(N1284&lt;判定条件!$C$6,"判定不能",IF(O1284&gt;=判定条件!$C$7*N1284,"運転",IF(O1284&lt;=判定条件!$C$8*N1284,"停止","断続")))</f>
        <v>停止</v>
      </c>
      <c r="Q1284" s="30" t="n">
        <v>60</v>
      </c>
      <c r="R1284" s="30" t="n">
        <v>0</v>
      </c>
      <c r="S1284" s="30" t="str">
        <f aca="false">IF(Q1284&lt;判定条件!$C$6,"判定不能",IF(R1284&gt;=判定条件!$C$7*Q1284,"運転",IF(R1284&lt;=判定条件!$C$8*Q1284,"停止","断続")))</f>
        <v>停止</v>
      </c>
      <c r="T1284" s="30" t="n">
        <v>60</v>
      </c>
      <c r="U1284" s="30" t="n">
        <v>0</v>
      </c>
      <c r="V1284" s="30" t="str">
        <f aca="false">IF(T1284&lt;判定条件!$C$6,"判定不能",IF(U1284&gt;=判定条件!$C$7*T1284,"運転",IF(U1284&lt;=判定条件!$C$8*T1284,"停止","断続")))</f>
        <v>停止</v>
      </c>
      <c r="W1284" s="30" t="n">
        <v>0</v>
      </c>
      <c r="X1284" s="30" t="n">
        <v>0</v>
      </c>
      <c r="Y1284" s="30" t="str">
        <f aca="false">IF(W1284&lt;判定条件!$C$6,"判定不能",IF(X1284&gt;=判定条件!$C$7*W1284,"運転",IF(X1284&lt;=判定条件!$C$8*W1284,"停止","断続")))</f>
        <v>判定不能</v>
      </c>
      <c r="Z1284" s="30" t="n">
        <v>0</v>
      </c>
      <c r="AA1284" s="30" t="n">
        <v>0</v>
      </c>
      <c r="AB1284" s="30" t="str">
        <f aca="false">IF(Z1284&lt;判定条件!$C$6,"判定不能",IF(AA1284&gt;=判定条件!$C$7*Z1284,"運転",IF(AA1284&lt;=判定条件!$C$8*Z1284,"停止","断続")))</f>
        <v>判定不能</v>
      </c>
      <c r="AC1284" s="30" t="n">
        <v>0</v>
      </c>
      <c r="AD1284" s="30" t="n">
        <v>0</v>
      </c>
      <c r="AE1284" s="30" t="str">
        <f aca="false">IF(AC1284&lt;判定条件!$C$6,"判定不能",IF(AD1284&gt;=判定条件!$C$7*AC1284,"運転",IF(AD1284&lt;=判定条件!$C$8*AC1284,"停止","断続")))</f>
        <v>判定不能</v>
      </c>
      <c r="AF1284" s="30" t="n">
        <v>60</v>
      </c>
      <c r="AG1284" s="30" t="n">
        <v>0</v>
      </c>
      <c r="AH1284" s="30" t="str">
        <f aca="false">IF(OR(P1284="判定不能",G1284="判定不能"),"判定不能",IF(AG1284&gt;=判定条件!$C$9,"利用可",IF(AND(P1284="停止",G1284="停止"),"両方停止","運転がそろわない")))</f>
        <v>両方停止</v>
      </c>
      <c r="AI1284" s="30" t="n">
        <v>0</v>
      </c>
      <c r="AJ1284" s="30" t="n">
        <v>0</v>
      </c>
      <c r="AK1284" s="30" t="str">
        <f aca="false">IF(OR(S1284="判定不能",J1284="判定不能"),"判定不能",IF(AJ1284&gt;=判定条件!$C$9,"利用可",IF(AND(S1284="停止",J1284="停止"),"両方停止","運転がそろわない")))</f>
        <v>判定不能</v>
      </c>
      <c r="AL1284" s="30" t="n">
        <v>60</v>
      </c>
      <c r="AM1284" s="30" t="n">
        <v>0</v>
      </c>
      <c r="AN1284" s="30" t="str">
        <f aca="false">IF(OR(V1284="判定不能",M1284="判定不能"),"判定不能",IF(AM1284&gt;=判定条件!$C$9,"利用可",IF(AND(V1284="停止",M1284="停止"),"両方停止","運転がそろわない")))</f>
        <v>両方停止</v>
      </c>
      <c r="AO1284" s="30" t="n">
        <v>0</v>
      </c>
      <c r="AP1284" s="30" t="n">
        <v>0</v>
      </c>
      <c r="AQ1284" s="30" t="str">
        <f aca="false">IF(OR(Y1284="判定不能",G1284="判定不能"),"判定不能",IF(AP1284&gt;=判定条件!$C$9,"利用可",IF(AND(Y1284="停止",G1284="停止"),"両方停止","運転がそろわない")))</f>
        <v>判定不能</v>
      </c>
      <c r="AR1284" s="30" t="n">
        <v>0</v>
      </c>
      <c r="AS1284" s="30" t="n">
        <v>0</v>
      </c>
      <c r="AT1284" s="30" t="str">
        <f aca="false">IF(OR(AB1284="判定不能",J1284="判定不能"),"判定不能",IF(AS1284&gt;=判定条件!$C$9,"利用可",IF(AND(AB1284="停止",J1284="停止"),"両方停止","運転がそろわない")))</f>
        <v>判定不能</v>
      </c>
      <c r="AU1284" s="30" t="n">
        <v>0</v>
      </c>
      <c r="AV1284" s="30" t="n">
        <v>0</v>
      </c>
      <c r="AW1284" s="30" t="str">
        <f aca="false">IF(OR(AE1284="判定不能",M1284="判定不能"),"判定不能",IF(AV1284&gt;=判定条件!$C$9,"利用可",IF(AND(AE1284="停止",M1284="停止"),"両方停止","運転がそろわない")))</f>
        <v>判定不能</v>
      </c>
      <c r="AX1284" s="30" t="str">
        <f aca="false">IF(AND(AH1284="利用可",AK1284="利用可",AN1284="利用可"),"利用可","不可")</f>
        <v>不可</v>
      </c>
      <c r="AY1284" s="30" t="str">
        <f aca="false">IF(AND(AQ1284="利用可",AT1284="利用可",AW1284="利用可"),"利用可","不可")</f>
        <v>不可</v>
      </c>
    </row>
    <row r="1285" customFormat="false" ht="15" hidden="false" customHeight="false" outlineLevel="0" collapsed="false">
      <c r="A1285" s="29" t="n">
        <v>46285</v>
      </c>
      <c r="B1285" s="30" t="n">
        <v>10</v>
      </c>
      <c r="C1285" s="31" t="s">
        <v>65</v>
      </c>
      <c r="D1285" s="31" t="s">
        <v>64</v>
      </c>
      <c r="E1285" s="30" t="n">
        <v>60</v>
      </c>
      <c r="F1285" s="30" t="n">
        <v>16</v>
      </c>
      <c r="G1285" s="30" t="str">
        <f aca="false">IF(E1285&lt;判定条件!$C$6,"判定不能",IF(F1285&gt;=判定条件!$C$7*E1285,"運転",IF(F1285&lt;=判定条件!$C$8*E1285,"停止","断続")))</f>
        <v>断続</v>
      </c>
      <c r="H1285" s="30" t="n">
        <v>0</v>
      </c>
      <c r="I1285" s="30" t="n">
        <v>0</v>
      </c>
      <c r="J1285" s="30" t="str">
        <f aca="false">IF(H1285&lt;判定条件!$C$6,"判定不能",IF(I1285&gt;=判定条件!$C$7*H1285,"運転",IF(I1285&lt;=判定条件!$C$8*H1285,"停止","断続")))</f>
        <v>判定不能</v>
      </c>
      <c r="K1285" s="30" t="n">
        <v>60</v>
      </c>
      <c r="L1285" s="30" t="n">
        <v>43</v>
      </c>
      <c r="M1285" s="30" t="str">
        <f aca="false">IF(K1285&lt;判定条件!$C$6,"判定不能",IF(L1285&gt;=判定条件!$C$7*K1285,"運転",IF(L1285&lt;=判定条件!$C$8*K1285,"停止","断続")))</f>
        <v>断続</v>
      </c>
      <c r="N1285" s="30" t="n">
        <v>60</v>
      </c>
      <c r="O1285" s="30" t="n">
        <v>0</v>
      </c>
      <c r="P1285" s="30" t="str">
        <f aca="false">IF(N1285&lt;判定条件!$C$6,"判定不能",IF(O1285&gt;=判定条件!$C$7*N1285,"運転",IF(O1285&lt;=判定条件!$C$8*N1285,"停止","断続")))</f>
        <v>停止</v>
      </c>
      <c r="Q1285" s="30" t="n">
        <v>60</v>
      </c>
      <c r="R1285" s="30" t="n">
        <v>0</v>
      </c>
      <c r="S1285" s="30" t="str">
        <f aca="false">IF(Q1285&lt;判定条件!$C$6,"判定不能",IF(R1285&gt;=判定条件!$C$7*Q1285,"運転",IF(R1285&lt;=判定条件!$C$8*Q1285,"停止","断続")))</f>
        <v>停止</v>
      </c>
      <c r="T1285" s="30" t="n">
        <v>60</v>
      </c>
      <c r="U1285" s="30" t="n">
        <v>0</v>
      </c>
      <c r="V1285" s="30" t="str">
        <f aca="false">IF(T1285&lt;判定条件!$C$6,"判定不能",IF(U1285&gt;=判定条件!$C$7*T1285,"運転",IF(U1285&lt;=判定条件!$C$8*T1285,"停止","断続")))</f>
        <v>停止</v>
      </c>
      <c r="W1285" s="30" t="n">
        <v>0</v>
      </c>
      <c r="X1285" s="30" t="n">
        <v>0</v>
      </c>
      <c r="Y1285" s="30" t="str">
        <f aca="false">IF(W1285&lt;判定条件!$C$6,"判定不能",IF(X1285&gt;=判定条件!$C$7*W1285,"運転",IF(X1285&lt;=判定条件!$C$8*W1285,"停止","断続")))</f>
        <v>判定不能</v>
      </c>
      <c r="Z1285" s="30" t="n">
        <v>0</v>
      </c>
      <c r="AA1285" s="30" t="n">
        <v>0</v>
      </c>
      <c r="AB1285" s="30" t="str">
        <f aca="false">IF(Z1285&lt;判定条件!$C$6,"判定不能",IF(AA1285&gt;=判定条件!$C$7*Z1285,"運転",IF(AA1285&lt;=判定条件!$C$8*Z1285,"停止","断続")))</f>
        <v>判定不能</v>
      </c>
      <c r="AC1285" s="30" t="n">
        <v>0</v>
      </c>
      <c r="AD1285" s="30" t="n">
        <v>0</v>
      </c>
      <c r="AE1285" s="30" t="str">
        <f aca="false">IF(AC1285&lt;判定条件!$C$6,"判定不能",IF(AD1285&gt;=判定条件!$C$7*AC1285,"運転",IF(AD1285&lt;=判定条件!$C$8*AC1285,"停止","断続")))</f>
        <v>判定不能</v>
      </c>
      <c r="AF1285" s="30" t="n">
        <v>60</v>
      </c>
      <c r="AG1285" s="30" t="n">
        <v>0</v>
      </c>
      <c r="AH1285" s="30" t="str">
        <f aca="false">IF(OR(P1285="判定不能",G1285="判定不能"),"判定不能",IF(AG1285&gt;=判定条件!$C$9,"利用可",IF(AND(P1285="停止",G1285="停止"),"両方停止","運転がそろわない")))</f>
        <v>運転がそろわない</v>
      </c>
      <c r="AI1285" s="30" t="n">
        <v>0</v>
      </c>
      <c r="AJ1285" s="30" t="n">
        <v>0</v>
      </c>
      <c r="AK1285" s="30" t="str">
        <f aca="false">IF(OR(S1285="判定不能",J1285="判定不能"),"判定不能",IF(AJ1285&gt;=判定条件!$C$9,"利用可",IF(AND(S1285="停止",J1285="停止"),"両方停止","運転がそろわない")))</f>
        <v>判定不能</v>
      </c>
      <c r="AL1285" s="30" t="n">
        <v>60</v>
      </c>
      <c r="AM1285" s="30" t="n">
        <v>0</v>
      </c>
      <c r="AN1285" s="30" t="str">
        <f aca="false">IF(OR(V1285="判定不能",M1285="判定不能"),"判定不能",IF(AM1285&gt;=判定条件!$C$9,"利用可",IF(AND(V1285="停止",M1285="停止"),"両方停止","運転がそろわない")))</f>
        <v>運転がそろわない</v>
      </c>
      <c r="AO1285" s="30" t="n">
        <v>0</v>
      </c>
      <c r="AP1285" s="30" t="n">
        <v>0</v>
      </c>
      <c r="AQ1285" s="30" t="str">
        <f aca="false">IF(OR(Y1285="判定不能",G1285="判定不能"),"判定不能",IF(AP1285&gt;=判定条件!$C$9,"利用可",IF(AND(Y1285="停止",G1285="停止"),"両方停止","運転がそろわない")))</f>
        <v>判定不能</v>
      </c>
      <c r="AR1285" s="30" t="n">
        <v>0</v>
      </c>
      <c r="AS1285" s="30" t="n">
        <v>0</v>
      </c>
      <c r="AT1285" s="30" t="str">
        <f aca="false">IF(OR(AB1285="判定不能",J1285="判定不能"),"判定不能",IF(AS1285&gt;=判定条件!$C$9,"利用可",IF(AND(AB1285="停止",J1285="停止"),"両方停止","運転がそろわない")))</f>
        <v>判定不能</v>
      </c>
      <c r="AU1285" s="30" t="n">
        <v>0</v>
      </c>
      <c r="AV1285" s="30" t="n">
        <v>0</v>
      </c>
      <c r="AW1285" s="30" t="str">
        <f aca="false">IF(OR(AE1285="判定不能",M1285="判定不能"),"判定不能",IF(AV1285&gt;=判定条件!$C$9,"利用可",IF(AND(AE1285="停止",M1285="停止"),"両方停止","運転がそろわない")))</f>
        <v>判定不能</v>
      </c>
      <c r="AX1285" s="30" t="str">
        <f aca="false">IF(AND(AH1285="利用可",AK1285="利用可",AN1285="利用可"),"利用可","不可")</f>
        <v>不可</v>
      </c>
      <c r="AY1285" s="30" t="str">
        <f aca="false">IF(AND(AQ1285="利用可",AT1285="利用可",AW1285="利用可"),"利用可","不可")</f>
        <v>不可</v>
      </c>
    </row>
    <row r="1286" customFormat="false" ht="15" hidden="false" customHeight="false" outlineLevel="0" collapsed="false">
      <c r="A1286" s="29" t="n">
        <v>46285</v>
      </c>
      <c r="B1286" s="30" t="n">
        <v>11</v>
      </c>
      <c r="C1286" s="31" t="s">
        <v>65</v>
      </c>
      <c r="D1286" s="31" t="s">
        <v>64</v>
      </c>
      <c r="E1286" s="30" t="n">
        <v>60</v>
      </c>
      <c r="F1286" s="30" t="n">
        <v>8</v>
      </c>
      <c r="G1286" s="30" t="str">
        <f aca="false">IF(E1286&lt;判定条件!$C$6,"判定不能",IF(F1286&gt;=判定条件!$C$7*E1286,"運転",IF(F1286&lt;=判定条件!$C$8*E1286,"停止","断続")))</f>
        <v>停止</v>
      </c>
      <c r="H1286" s="30" t="n">
        <v>0</v>
      </c>
      <c r="I1286" s="30" t="n">
        <v>0</v>
      </c>
      <c r="J1286" s="30" t="str">
        <f aca="false">IF(H1286&lt;判定条件!$C$6,"判定不能",IF(I1286&gt;=判定条件!$C$7*H1286,"運転",IF(I1286&lt;=判定条件!$C$8*H1286,"停止","断続")))</f>
        <v>判定不能</v>
      </c>
      <c r="K1286" s="30" t="n">
        <v>60</v>
      </c>
      <c r="L1286" s="30" t="n">
        <v>60</v>
      </c>
      <c r="M1286" s="30" t="str">
        <f aca="false">IF(K1286&lt;判定条件!$C$6,"判定不能",IF(L1286&gt;=判定条件!$C$7*K1286,"運転",IF(L1286&lt;=判定条件!$C$8*K1286,"停止","断続")))</f>
        <v>運転</v>
      </c>
      <c r="N1286" s="30" t="n">
        <v>60</v>
      </c>
      <c r="O1286" s="30" t="n">
        <v>0</v>
      </c>
      <c r="P1286" s="30" t="str">
        <f aca="false">IF(N1286&lt;判定条件!$C$6,"判定不能",IF(O1286&gt;=判定条件!$C$7*N1286,"運転",IF(O1286&lt;=判定条件!$C$8*N1286,"停止","断続")))</f>
        <v>停止</v>
      </c>
      <c r="Q1286" s="30" t="n">
        <v>60</v>
      </c>
      <c r="R1286" s="30" t="n">
        <v>0</v>
      </c>
      <c r="S1286" s="30" t="str">
        <f aca="false">IF(Q1286&lt;判定条件!$C$6,"判定不能",IF(R1286&gt;=判定条件!$C$7*Q1286,"運転",IF(R1286&lt;=判定条件!$C$8*Q1286,"停止","断続")))</f>
        <v>停止</v>
      </c>
      <c r="T1286" s="30" t="n">
        <v>60</v>
      </c>
      <c r="U1286" s="30" t="n">
        <v>0</v>
      </c>
      <c r="V1286" s="30" t="str">
        <f aca="false">IF(T1286&lt;判定条件!$C$6,"判定不能",IF(U1286&gt;=判定条件!$C$7*T1286,"運転",IF(U1286&lt;=判定条件!$C$8*T1286,"停止","断続")))</f>
        <v>停止</v>
      </c>
      <c r="W1286" s="30" t="n">
        <v>0</v>
      </c>
      <c r="X1286" s="30" t="n">
        <v>0</v>
      </c>
      <c r="Y1286" s="30" t="str">
        <f aca="false">IF(W1286&lt;判定条件!$C$6,"判定不能",IF(X1286&gt;=判定条件!$C$7*W1286,"運転",IF(X1286&lt;=判定条件!$C$8*W1286,"停止","断続")))</f>
        <v>判定不能</v>
      </c>
      <c r="Z1286" s="30" t="n">
        <v>0</v>
      </c>
      <c r="AA1286" s="30" t="n">
        <v>0</v>
      </c>
      <c r="AB1286" s="30" t="str">
        <f aca="false">IF(Z1286&lt;判定条件!$C$6,"判定不能",IF(AA1286&gt;=判定条件!$C$7*Z1286,"運転",IF(AA1286&lt;=判定条件!$C$8*Z1286,"停止","断続")))</f>
        <v>判定不能</v>
      </c>
      <c r="AC1286" s="30" t="n">
        <v>0</v>
      </c>
      <c r="AD1286" s="30" t="n">
        <v>0</v>
      </c>
      <c r="AE1286" s="30" t="str">
        <f aca="false">IF(AC1286&lt;判定条件!$C$6,"判定不能",IF(AD1286&gt;=判定条件!$C$7*AC1286,"運転",IF(AD1286&lt;=判定条件!$C$8*AC1286,"停止","断続")))</f>
        <v>判定不能</v>
      </c>
      <c r="AF1286" s="30" t="n">
        <v>60</v>
      </c>
      <c r="AG1286" s="30" t="n">
        <v>0</v>
      </c>
      <c r="AH1286" s="30" t="str">
        <f aca="false">IF(OR(P1286="判定不能",G1286="判定不能"),"判定不能",IF(AG1286&gt;=判定条件!$C$9,"利用可",IF(AND(P1286="停止",G1286="停止"),"両方停止","運転がそろわない")))</f>
        <v>両方停止</v>
      </c>
      <c r="AI1286" s="30" t="n">
        <v>0</v>
      </c>
      <c r="AJ1286" s="30" t="n">
        <v>0</v>
      </c>
      <c r="AK1286" s="30" t="str">
        <f aca="false">IF(OR(S1286="判定不能",J1286="判定不能"),"判定不能",IF(AJ1286&gt;=判定条件!$C$9,"利用可",IF(AND(S1286="停止",J1286="停止"),"両方停止","運転がそろわない")))</f>
        <v>判定不能</v>
      </c>
      <c r="AL1286" s="30" t="n">
        <v>60</v>
      </c>
      <c r="AM1286" s="30" t="n">
        <v>0</v>
      </c>
      <c r="AN1286" s="30" t="str">
        <f aca="false">IF(OR(V1286="判定不能",M1286="判定不能"),"判定不能",IF(AM1286&gt;=判定条件!$C$9,"利用可",IF(AND(V1286="停止",M1286="停止"),"両方停止","運転がそろわない")))</f>
        <v>運転がそろわない</v>
      </c>
      <c r="AO1286" s="30" t="n">
        <v>0</v>
      </c>
      <c r="AP1286" s="30" t="n">
        <v>0</v>
      </c>
      <c r="AQ1286" s="30" t="str">
        <f aca="false">IF(OR(Y1286="判定不能",G1286="判定不能"),"判定不能",IF(AP1286&gt;=判定条件!$C$9,"利用可",IF(AND(Y1286="停止",G1286="停止"),"両方停止","運転がそろわない")))</f>
        <v>判定不能</v>
      </c>
      <c r="AR1286" s="30" t="n">
        <v>0</v>
      </c>
      <c r="AS1286" s="30" t="n">
        <v>0</v>
      </c>
      <c r="AT1286" s="30" t="str">
        <f aca="false">IF(OR(AB1286="判定不能",J1286="判定不能"),"判定不能",IF(AS1286&gt;=判定条件!$C$9,"利用可",IF(AND(AB1286="停止",J1286="停止"),"両方停止","運転がそろわない")))</f>
        <v>判定不能</v>
      </c>
      <c r="AU1286" s="30" t="n">
        <v>0</v>
      </c>
      <c r="AV1286" s="30" t="n">
        <v>0</v>
      </c>
      <c r="AW1286" s="30" t="str">
        <f aca="false">IF(OR(AE1286="判定不能",M1286="判定不能"),"判定不能",IF(AV1286&gt;=判定条件!$C$9,"利用可",IF(AND(AE1286="停止",M1286="停止"),"両方停止","運転がそろわない")))</f>
        <v>判定不能</v>
      </c>
      <c r="AX1286" s="30" t="str">
        <f aca="false">IF(AND(AH1286="利用可",AK1286="利用可",AN1286="利用可"),"利用可","不可")</f>
        <v>不可</v>
      </c>
      <c r="AY1286" s="30" t="str">
        <f aca="false">IF(AND(AQ1286="利用可",AT1286="利用可",AW1286="利用可"),"利用可","不可")</f>
        <v>不可</v>
      </c>
    </row>
    <row r="1287" customFormat="false" ht="15" hidden="false" customHeight="false" outlineLevel="0" collapsed="false">
      <c r="A1287" s="29" t="n">
        <v>46285</v>
      </c>
      <c r="B1287" s="30" t="n">
        <v>12</v>
      </c>
      <c r="C1287" s="31" t="s">
        <v>65</v>
      </c>
      <c r="D1287" s="31" t="s">
        <v>64</v>
      </c>
      <c r="E1287" s="30" t="n">
        <v>60</v>
      </c>
      <c r="F1287" s="30" t="n">
        <v>13</v>
      </c>
      <c r="G1287" s="30" t="str">
        <f aca="false">IF(E1287&lt;判定条件!$C$6,"判定不能",IF(F1287&gt;=判定条件!$C$7*E1287,"運転",IF(F1287&lt;=判定条件!$C$8*E1287,"停止","断続")))</f>
        <v>断続</v>
      </c>
      <c r="H1287" s="30" t="n">
        <v>0</v>
      </c>
      <c r="I1287" s="30" t="n">
        <v>0</v>
      </c>
      <c r="J1287" s="30" t="str">
        <f aca="false">IF(H1287&lt;判定条件!$C$6,"判定不能",IF(I1287&gt;=判定条件!$C$7*H1287,"運転",IF(I1287&lt;=判定条件!$C$8*H1287,"停止","断続")))</f>
        <v>判定不能</v>
      </c>
      <c r="K1287" s="30" t="n">
        <v>60</v>
      </c>
      <c r="L1287" s="30" t="n">
        <v>47</v>
      </c>
      <c r="M1287" s="30" t="str">
        <f aca="false">IF(K1287&lt;判定条件!$C$6,"判定不能",IF(L1287&gt;=判定条件!$C$7*K1287,"運転",IF(L1287&lt;=判定条件!$C$8*K1287,"停止","断続")))</f>
        <v>断続</v>
      </c>
      <c r="N1287" s="30" t="n">
        <v>60</v>
      </c>
      <c r="O1287" s="30" t="n">
        <v>0</v>
      </c>
      <c r="P1287" s="30" t="str">
        <f aca="false">IF(N1287&lt;判定条件!$C$6,"判定不能",IF(O1287&gt;=判定条件!$C$7*N1287,"運転",IF(O1287&lt;=判定条件!$C$8*N1287,"停止","断続")))</f>
        <v>停止</v>
      </c>
      <c r="Q1287" s="30" t="n">
        <v>60</v>
      </c>
      <c r="R1287" s="30" t="n">
        <v>0</v>
      </c>
      <c r="S1287" s="30" t="str">
        <f aca="false">IF(Q1287&lt;判定条件!$C$6,"判定不能",IF(R1287&gt;=判定条件!$C$7*Q1287,"運転",IF(R1287&lt;=判定条件!$C$8*Q1287,"停止","断続")))</f>
        <v>停止</v>
      </c>
      <c r="T1287" s="30" t="n">
        <v>60</v>
      </c>
      <c r="U1287" s="30" t="n">
        <v>0</v>
      </c>
      <c r="V1287" s="30" t="str">
        <f aca="false">IF(T1287&lt;判定条件!$C$6,"判定不能",IF(U1287&gt;=判定条件!$C$7*T1287,"運転",IF(U1287&lt;=判定条件!$C$8*T1287,"停止","断続")))</f>
        <v>停止</v>
      </c>
      <c r="W1287" s="30" t="n">
        <v>0</v>
      </c>
      <c r="X1287" s="30" t="n">
        <v>0</v>
      </c>
      <c r="Y1287" s="30" t="str">
        <f aca="false">IF(W1287&lt;判定条件!$C$6,"判定不能",IF(X1287&gt;=判定条件!$C$7*W1287,"運転",IF(X1287&lt;=判定条件!$C$8*W1287,"停止","断続")))</f>
        <v>判定不能</v>
      </c>
      <c r="Z1287" s="30" t="n">
        <v>0</v>
      </c>
      <c r="AA1287" s="30" t="n">
        <v>0</v>
      </c>
      <c r="AB1287" s="30" t="str">
        <f aca="false">IF(Z1287&lt;判定条件!$C$6,"判定不能",IF(AA1287&gt;=判定条件!$C$7*Z1287,"運転",IF(AA1287&lt;=判定条件!$C$8*Z1287,"停止","断続")))</f>
        <v>判定不能</v>
      </c>
      <c r="AC1287" s="30" t="n">
        <v>0</v>
      </c>
      <c r="AD1287" s="30" t="n">
        <v>0</v>
      </c>
      <c r="AE1287" s="30" t="str">
        <f aca="false">IF(AC1287&lt;判定条件!$C$6,"判定不能",IF(AD1287&gt;=判定条件!$C$7*AC1287,"運転",IF(AD1287&lt;=判定条件!$C$8*AC1287,"停止","断続")))</f>
        <v>判定不能</v>
      </c>
      <c r="AF1287" s="30" t="n">
        <v>60</v>
      </c>
      <c r="AG1287" s="30" t="n">
        <v>0</v>
      </c>
      <c r="AH1287" s="30" t="str">
        <f aca="false">IF(OR(P1287="判定不能",G1287="判定不能"),"判定不能",IF(AG1287&gt;=判定条件!$C$9,"利用可",IF(AND(P1287="停止",G1287="停止"),"両方停止","運転がそろわない")))</f>
        <v>運転がそろわない</v>
      </c>
      <c r="AI1287" s="30" t="n">
        <v>0</v>
      </c>
      <c r="AJ1287" s="30" t="n">
        <v>0</v>
      </c>
      <c r="AK1287" s="30" t="str">
        <f aca="false">IF(OR(S1287="判定不能",J1287="判定不能"),"判定不能",IF(AJ1287&gt;=判定条件!$C$9,"利用可",IF(AND(S1287="停止",J1287="停止"),"両方停止","運転がそろわない")))</f>
        <v>判定不能</v>
      </c>
      <c r="AL1287" s="30" t="n">
        <v>60</v>
      </c>
      <c r="AM1287" s="30" t="n">
        <v>0</v>
      </c>
      <c r="AN1287" s="30" t="str">
        <f aca="false">IF(OR(V1287="判定不能",M1287="判定不能"),"判定不能",IF(AM1287&gt;=判定条件!$C$9,"利用可",IF(AND(V1287="停止",M1287="停止"),"両方停止","運転がそろわない")))</f>
        <v>運転がそろわない</v>
      </c>
      <c r="AO1287" s="30" t="n">
        <v>0</v>
      </c>
      <c r="AP1287" s="30" t="n">
        <v>0</v>
      </c>
      <c r="AQ1287" s="30" t="str">
        <f aca="false">IF(OR(Y1287="判定不能",G1287="判定不能"),"判定不能",IF(AP1287&gt;=判定条件!$C$9,"利用可",IF(AND(Y1287="停止",G1287="停止"),"両方停止","運転がそろわない")))</f>
        <v>判定不能</v>
      </c>
      <c r="AR1287" s="30" t="n">
        <v>0</v>
      </c>
      <c r="AS1287" s="30" t="n">
        <v>0</v>
      </c>
      <c r="AT1287" s="30" t="str">
        <f aca="false">IF(OR(AB1287="判定不能",J1287="判定不能"),"判定不能",IF(AS1287&gt;=判定条件!$C$9,"利用可",IF(AND(AB1287="停止",J1287="停止"),"両方停止","運転がそろわない")))</f>
        <v>判定不能</v>
      </c>
      <c r="AU1287" s="30" t="n">
        <v>0</v>
      </c>
      <c r="AV1287" s="30" t="n">
        <v>0</v>
      </c>
      <c r="AW1287" s="30" t="str">
        <f aca="false">IF(OR(AE1287="判定不能",M1287="判定不能"),"判定不能",IF(AV1287&gt;=判定条件!$C$9,"利用可",IF(AND(AE1287="停止",M1287="停止"),"両方停止","運転がそろわない")))</f>
        <v>判定不能</v>
      </c>
      <c r="AX1287" s="30" t="str">
        <f aca="false">IF(AND(AH1287="利用可",AK1287="利用可",AN1287="利用可"),"利用可","不可")</f>
        <v>不可</v>
      </c>
      <c r="AY1287" s="30" t="str">
        <f aca="false">IF(AND(AQ1287="利用可",AT1287="利用可",AW1287="利用可"),"利用可","不可")</f>
        <v>不可</v>
      </c>
    </row>
    <row r="1288" customFormat="false" ht="15" hidden="false" customHeight="false" outlineLevel="0" collapsed="false">
      <c r="A1288" s="29" t="n">
        <v>46285</v>
      </c>
      <c r="B1288" s="30" t="n">
        <v>13</v>
      </c>
      <c r="C1288" s="31" t="s">
        <v>65</v>
      </c>
      <c r="D1288" s="31" t="s">
        <v>64</v>
      </c>
      <c r="E1288" s="30" t="n">
        <v>60</v>
      </c>
      <c r="F1288" s="30" t="n">
        <v>22</v>
      </c>
      <c r="G1288" s="30" t="str">
        <f aca="false">IF(E1288&lt;判定条件!$C$6,"判定不能",IF(F1288&gt;=判定条件!$C$7*E1288,"運転",IF(F1288&lt;=判定条件!$C$8*E1288,"停止","断続")))</f>
        <v>断続</v>
      </c>
      <c r="H1288" s="30" t="n">
        <v>0</v>
      </c>
      <c r="I1288" s="30" t="n">
        <v>0</v>
      </c>
      <c r="J1288" s="30" t="str">
        <f aca="false">IF(H1288&lt;判定条件!$C$6,"判定不能",IF(I1288&gt;=判定条件!$C$7*H1288,"運転",IF(I1288&lt;=判定条件!$C$8*H1288,"停止","断続")))</f>
        <v>判定不能</v>
      </c>
      <c r="K1288" s="30" t="n">
        <v>60</v>
      </c>
      <c r="L1288" s="30" t="n">
        <v>49</v>
      </c>
      <c r="M1288" s="30" t="str">
        <f aca="false">IF(K1288&lt;判定条件!$C$6,"判定不能",IF(L1288&gt;=判定条件!$C$7*K1288,"運転",IF(L1288&lt;=判定条件!$C$8*K1288,"停止","断続")))</f>
        <v>運転</v>
      </c>
      <c r="N1288" s="30" t="n">
        <v>60</v>
      </c>
      <c r="O1288" s="30" t="n">
        <v>0</v>
      </c>
      <c r="P1288" s="30" t="str">
        <f aca="false">IF(N1288&lt;判定条件!$C$6,"判定不能",IF(O1288&gt;=判定条件!$C$7*N1288,"運転",IF(O1288&lt;=判定条件!$C$8*N1288,"停止","断続")))</f>
        <v>停止</v>
      </c>
      <c r="Q1288" s="30" t="n">
        <v>60</v>
      </c>
      <c r="R1288" s="30" t="n">
        <v>0</v>
      </c>
      <c r="S1288" s="30" t="str">
        <f aca="false">IF(Q1288&lt;判定条件!$C$6,"判定不能",IF(R1288&gt;=判定条件!$C$7*Q1288,"運転",IF(R1288&lt;=判定条件!$C$8*Q1288,"停止","断続")))</f>
        <v>停止</v>
      </c>
      <c r="T1288" s="30" t="n">
        <v>60</v>
      </c>
      <c r="U1288" s="30" t="n">
        <v>0</v>
      </c>
      <c r="V1288" s="30" t="str">
        <f aca="false">IF(T1288&lt;判定条件!$C$6,"判定不能",IF(U1288&gt;=判定条件!$C$7*T1288,"運転",IF(U1288&lt;=判定条件!$C$8*T1288,"停止","断続")))</f>
        <v>停止</v>
      </c>
      <c r="W1288" s="30" t="n">
        <v>0</v>
      </c>
      <c r="X1288" s="30" t="n">
        <v>0</v>
      </c>
      <c r="Y1288" s="30" t="str">
        <f aca="false">IF(W1288&lt;判定条件!$C$6,"判定不能",IF(X1288&gt;=判定条件!$C$7*W1288,"運転",IF(X1288&lt;=判定条件!$C$8*W1288,"停止","断続")))</f>
        <v>判定不能</v>
      </c>
      <c r="Z1288" s="30" t="n">
        <v>0</v>
      </c>
      <c r="AA1288" s="30" t="n">
        <v>0</v>
      </c>
      <c r="AB1288" s="30" t="str">
        <f aca="false">IF(Z1288&lt;判定条件!$C$6,"判定不能",IF(AA1288&gt;=判定条件!$C$7*Z1288,"運転",IF(AA1288&lt;=判定条件!$C$8*Z1288,"停止","断続")))</f>
        <v>判定不能</v>
      </c>
      <c r="AC1288" s="30" t="n">
        <v>0</v>
      </c>
      <c r="AD1288" s="30" t="n">
        <v>0</v>
      </c>
      <c r="AE1288" s="30" t="str">
        <f aca="false">IF(AC1288&lt;判定条件!$C$6,"判定不能",IF(AD1288&gt;=判定条件!$C$7*AC1288,"運転",IF(AD1288&lt;=判定条件!$C$8*AC1288,"停止","断続")))</f>
        <v>判定不能</v>
      </c>
      <c r="AF1288" s="30" t="n">
        <v>60</v>
      </c>
      <c r="AG1288" s="30" t="n">
        <v>0</v>
      </c>
      <c r="AH1288" s="30" t="str">
        <f aca="false">IF(OR(P1288="判定不能",G1288="判定不能"),"判定不能",IF(AG1288&gt;=判定条件!$C$9,"利用可",IF(AND(P1288="停止",G1288="停止"),"両方停止","運転がそろわない")))</f>
        <v>運転がそろわない</v>
      </c>
      <c r="AI1288" s="30" t="n">
        <v>0</v>
      </c>
      <c r="AJ1288" s="30" t="n">
        <v>0</v>
      </c>
      <c r="AK1288" s="30" t="str">
        <f aca="false">IF(OR(S1288="判定不能",J1288="判定不能"),"判定不能",IF(AJ1288&gt;=判定条件!$C$9,"利用可",IF(AND(S1288="停止",J1288="停止"),"両方停止","運転がそろわない")))</f>
        <v>判定不能</v>
      </c>
      <c r="AL1288" s="30" t="n">
        <v>60</v>
      </c>
      <c r="AM1288" s="30" t="n">
        <v>0</v>
      </c>
      <c r="AN1288" s="30" t="str">
        <f aca="false">IF(OR(V1288="判定不能",M1288="判定不能"),"判定不能",IF(AM1288&gt;=判定条件!$C$9,"利用可",IF(AND(V1288="停止",M1288="停止"),"両方停止","運転がそろわない")))</f>
        <v>運転がそろわない</v>
      </c>
      <c r="AO1288" s="30" t="n">
        <v>0</v>
      </c>
      <c r="AP1288" s="30" t="n">
        <v>0</v>
      </c>
      <c r="AQ1288" s="30" t="str">
        <f aca="false">IF(OR(Y1288="判定不能",G1288="判定不能"),"判定不能",IF(AP1288&gt;=判定条件!$C$9,"利用可",IF(AND(Y1288="停止",G1288="停止"),"両方停止","運転がそろわない")))</f>
        <v>判定不能</v>
      </c>
      <c r="AR1288" s="30" t="n">
        <v>0</v>
      </c>
      <c r="AS1288" s="30" t="n">
        <v>0</v>
      </c>
      <c r="AT1288" s="30" t="str">
        <f aca="false">IF(OR(AB1288="判定不能",J1288="判定不能"),"判定不能",IF(AS1288&gt;=判定条件!$C$9,"利用可",IF(AND(AB1288="停止",J1288="停止"),"両方停止","運転がそろわない")))</f>
        <v>判定不能</v>
      </c>
      <c r="AU1288" s="30" t="n">
        <v>0</v>
      </c>
      <c r="AV1288" s="30" t="n">
        <v>0</v>
      </c>
      <c r="AW1288" s="30" t="str">
        <f aca="false">IF(OR(AE1288="判定不能",M1288="判定不能"),"判定不能",IF(AV1288&gt;=判定条件!$C$9,"利用可",IF(AND(AE1288="停止",M1288="停止"),"両方停止","運転がそろわない")))</f>
        <v>判定不能</v>
      </c>
      <c r="AX1288" s="30" t="str">
        <f aca="false">IF(AND(AH1288="利用可",AK1288="利用可",AN1288="利用可"),"利用可","不可")</f>
        <v>不可</v>
      </c>
      <c r="AY1288" s="30" t="str">
        <f aca="false">IF(AND(AQ1288="利用可",AT1288="利用可",AW1288="利用可"),"利用可","不可")</f>
        <v>不可</v>
      </c>
    </row>
    <row r="1289" customFormat="false" ht="15" hidden="false" customHeight="false" outlineLevel="0" collapsed="false">
      <c r="A1289" s="29" t="n">
        <v>46285</v>
      </c>
      <c r="B1289" s="30" t="n">
        <v>14</v>
      </c>
      <c r="C1289" s="31" t="s">
        <v>65</v>
      </c>
      <c r="D1289" s="31" t="s">
        <v>64</v>
      </c>
      <c r="E1289" s="30" t="n">
        <v>60</v>
      </c>
      <c r="F1289" s="30" t="n">
        <v>10</v>
      </c>
      <c r="G1289" s="30" t="str">
        <f aca="false">IF(E1289&lt;判定条件!$C$6,"判定不能",IF(F1289&gt;=判定条件!$C$7*E1289,"運転",IF(F1289&lt;=判定条件!$C$8*E1289,"停止","断続")))</f>
        <v>停止</v>
      </c>
      <c r="H1289" s="30" t="n">
        <v>0</v>
      </c>
      <c r="I1289" s="30" t="n">
        <v>0</v>
      </c>
      <c r="J1289" s="30" t="str">
        <f aca="false">IF(H1289&lt;判定条件!$C$6,"判定不能",IF(I1289&gt;=判定条件!$C$7*H1289,"運転",IF(I1289&lt;=判定条件!$C$8*H1289,"停止","断続")))</f>
        <v>判定不能</v>
      </c>
      <c r="K1289" s="30" t="n">
        <v>60</v>
      </c>
      <c r="L1289" s="30" t="n">
        <v>60</v>
      </c>
      <c r="M1289" s="30" t="str">
        <f aca="false">IF(K1289&lt;判定条件!$C$6,"判定不能",IF(L1289&gt;=判定条件!$C$7*K1289,"運転",IF(L1289&lt;=判定条件!$C$8*K1289,"停止","断続")))</f>
        <v>運転</v>
      </c>
      <c r="N1289" s="30" t="n">
        <v>60</v>
      </c>
      <c r="O1289" s="30" t="n">
        <v>0</v>
      </c>
      <c r="P1289" s="30" t="str">
        <f aca="false">IF(N1289&lt;判定条件!$C$6,"判定不能",IF(O1289&gt;=判定条件!$C$7*N1289,"運転",IF(O1289&lt;=判定条件!$C$8*N1289,"停止","断続")))</f>
        <v>停止</v>
      </c>
      <c r="Q1289" s="30" t="n">
        <v>60</v>
      </c>
      <c r="R1289" s="30" t="n">
        <v>0</v>
      </c>
      <c r="S1289" s="30" t="str">
        <f aca="false">IF(Q1289&lt;判定条件!$C$6,"判定不能",IF(R1289&gt;=判定条件!$C$7*Q1289,"運転",IF(R1289&lt;=判定条件!$C$8*Q1289,"停止","断続")))</f>
        <v>停止</v>
      </c>
      <c r="T1289" s="30" t="n">
        <v>60</v>
      </c>
      <c r="U1289" s="30" t="n">
        <v>0</v>
      </c>
      <c r="V1289" s="30" t="str">
        <f aca="false">IF(T1289&lt;判定条件!$C$6,"判定不能",IF(U1289&gt;=判定条件!$C$7*T1289,"運転",IF(U1289&lt;=判定条件!$C$8*T1289,"停止","断続")))</f>
        <v>停止</v>
      </c>
      <c r="W1289" s="30" t="n">
        <v>0</v>
      </c>
      <c r="X1289" s="30" t="n">
        <v>0</v>
      </c>
      <c r="Y1289" s="30" t="str">
        <f aca="false">IF(W1289&lt;判定条件!$C$6,"判定不能",IF(X1289&gt;=判定条件!$C$7*W1289,"運転",IF(X1289&lt;=判定条件!$C$8*W1289,"停止","断続")))</f>
        <v>判定不能</v>
      </c>
      <c r="Z1289" s="30" t="n">
        <v>0</v>
      </c>
      <c r="AA1289" s="30" t="n">
        <v>0</v>
      </c>
      <c r="AB1289" s="30" t="str">
        <f aca="false">IF(Z1289&lt;判定条件!$C$6,"判定不能",IF(AA1289&gt;=判定条件!$C$7*Z1289,"運転",IF(AA1289&lt;=判定条件!$C$8*Z1289,"停止","断続")))</f>
        <v>判定不能</v>
      </c>
      <c r="AC1289" s="30" t="n">
        <v>0</v>
      </c>
      <c r="AD1289" s="30" t="n">
        <v>0</v>
      </c>
      <c r="AE1289" s="30" t="str">
        <f aca="false">IF(AC1289&lt;判定条件!$C$6,"判定不能",IF(AD1289&gt;=判定条件!$C$7*AC1289,"運転",IF(AD1289&lt;=判定条件!$C$8*AC1289,"停止","断続")))</f>
        <v>判定不能</v>
      </c>
      <c r="AF1289" s="30" t="n">
        <v>60</v>
      </c>
      <c r="AG1289" s="30" t="n">
        <v>0</v>
      </c>
      <c r="AH1289" s="30" t="str">
        <f aca="false">IF(OR(P1289="判定不能",G1289="判定不能"),"判定不能",IF(AG1289&gt;=判定条件!$C$9,"利用可",IF(AND(P1289="停止",G1289="停止"),"両方停止","運転がそろわない")))</f>
        <v>両方停止</v>
      </c>
      <c r="AI1289" s="30" t="n">
        <v>0</v>
      </c>
      <c r="AJ1289" s="30" t="n">
        <v>0</v>
      </c>
      <c r="AK1289" s="30" t="str">
        <f aca="false">IF(OR(S1289="判定不能",J1289="判定不能"),"判定不能",IF(AJ1289&gt;=判定条件!$C$9,"利用可",IF(AND(S1289="停止",J1289="停止"),"両方停止","運転がそろわない")))</f>
        <v>判定不能</v>
      </c>
      <c r="AL1289" s="30" t="n">
        <v>60</v>
      </c>
      <c r="AM1289" s="30" t="n">
        <v>0</v>
      </c>
      <c r="AN1289" s="30" t="str">
        <f aca="false">IF(OR(V1289="判定不能",M1289="判定不能"),"判定不能",IF(AM1289&gt;=判定条件!$C$9,"利用可",IF(AND(V1289="停止",M1289="停止"),"両方停止","運転がそろわない")))</f>
        <v>運転がそろわない</v>
      </c>
      <c r="AO1289" s="30" t="n">
        <v>0</v>
      </c>
      <c r="AP1289" s="30" t="n">
        <v>0</v>
      </c>
      <c r="AQ1289" s="30" t="str">
        <f aca="false">IF(OR(Y1289="判定不能",G1289="判定不能"),"判定不能",IF(AP1289&gt;=判定条件!$C$9,"利用可",IF(AND(Y1289="停止",G1289="停止"),"両方停止","運転がそろわない")))</f>
        <v>判定不能</v>
      </c>
      <c r="AR1289" s="30" t="n">
        <v>0</v>
      </c>
      <c r="AS1289" s="30" t="n">
        <v>0</v>
      </c>
      <c r="AT1289" s="30" t="str">
        <f aca="false">IF(OR(AB1289="判定不能",J1289="判定不能"),"判定不能",IF(AS1289&gt;=判定条件!$C$9,"利用可",IF(AND(AB1289="停止",J1289="停止"),"両方停止","運転がそろわない")))</f>
        <v>判定不能</v>
      </c>
      <c r="AU1289" s="30" t="n">
        <v>0</v>
      </c>
      <c r="AV1289" s="30" t="n">
        <v>0</v>
      </c>
      <c r="AW1289" s="30" t="str">
        <f aca="false">IF(OR(AE1289="判定不能",M1289="判定不能"),"判定不能",IF(AV1289&gt;=判定条件!$C$9,"利用可",IF(AND(AE1289="停止",M1289="停止"),"両方停止","運転がそろわない")))</f>
        <v>判定不能</v>
      </c>
      <c r="AX1289" s="30" t="str">
        <f aca="false">IF(AND(AH1289="利用可",AK1289="利用可",AN1289="利用可"),"利用可","不可")</f>
        <v>不可</v>
      </c>
      <c r="AY1289" s="30" t="str">
        <f aca="false">IF(AND(AQ1289="利用可",AT1289="利用可",AW1289="利用可"),"利用可","不可")</f>
        <v>不可</v>
      </c>
    </row>
    <row r="1290" customFormat="false" ht="15" hidden="false" customHeight="false" outlineLevel="0" collapsed="false">
      <c r="A1290" s="29" t="n">
        <v>46285</v>
      </c>
      <c r="B1290" s="30" t="n">
        <v>15</v>
      </c>
      <c r="C1290" s="31" t="s">
        <v>65</v>
      </c>
      <c r="D1290" s="31" t="s">
        <v>64</v>
      </c>
      <c r="E1290" s="30" t="n">
        <v>60</v>
      </c>
      <c r="F1290" s="30" t="n">
        <v>0</v>
      </c>
      <c r="G1290" s="30" t="str">
        <f aca="false">IF(E1290&lt;判定条件!$C$6,"判定不能",IF(F1290&gt;=判定条件!$C$7*E1290,"運転",IF(F1290&lt;=判定条件!$C$8*E1290,"停止","断続")))</f>
        <v>停止</v>
      </c>
      <c r="H1290" s="30" t="n">
        <v>0</v>
      </c>
      <c r="I1290" s="30" t="n">
        <v>0</v>
      </c>
      <c r="J1290" s="30" t="str">
        <f aca="false">IF(H1290&lt;判定条件!$C$6,"判定不能",IF(I1290&gt;=判定条件!$C$7*H1290,"運転",IF(I1290&lt;=判定条件!$C$8*H1290,"停止","断続")))</f>
        <v>判定不能</v>
      </c>
      <c r="K1290" s="30" t="n">
        <v>60</v>
      </c>
      <c r="L1290" s="30" t="n">
        <v>51</v>
      </c>
      <c r="M1290" s="30" t="str">
        <f aca="false">IF(K1290&lt;判定条件!$C$6,"判定不能",IF(L1290&gt;=判定条件!$C$7*K1290,"運転",IF(L1290&lt;=判定条件!$C$8*K1290,"停止","断続")))</f>
        <v>運転</v>
      </c>
      <c r="N1290" s="30" t="n">
        <v>60</v>
      </c>
      <c r="O1290" s="30" t="n">
        <v>0</v>
      </c>
      <c r="P1290" s="30" t="str">
        <f aca="false">IF(N1290&lt;判定条件!$C$6,"判定不能",IF(O1290&gt;=判定条件!$C$7*N1290,"運転",IF(O1290&lt;=判定条件!$C$8*N1290,"停止","断続")))</f>
        <v>停止</v>
      </c>
      <c r="Q1290" s="30" t="n">
        <v>60</v>
      </c>
      <c r="R1290" s="30" t="n">
        <v>0</v>
      </c>
      <c r="S1290" s="30" t="str">
        <f aca="false">IF(Q1290&lt;判定条件!$C$6,"判定不能",IF(R1290&gt;=判定条件!$C$7*Q1290,"運転",IF(R1290&lt;=判定条件!$C$8*Q1290,"停止","断続")))</f>
        <v>停止</v>
      </c>
      <c r="T1290" s="30" t="n">
        <v>60</v>
      </c>
      <c r="U1290" s="30" t="n">
        <v>0</v>
      </c>
      <c r="V1290" s="30" t="str">
        <f aca="false">IF(T1290&lt;判定条件!$C$6,"判定不能",IF(U1290&gt;=判定条件!$C$7*T1290,"運転",IF(U1290&lt;=判定条件!$C$8*T1290,"停止","断続")))</f>
        <v>停止</v>
      </c>
      <c r="W1290" s="30" t="n">
        <v>0</v>
      </c>
      <c r="X1290" s="30" t="n">
        <v>0</v>
      </c>
      <c r="Y1290" s="30" t="str">
        <f aca="false">IF(W1290&lt;判定条件!$C$6,"判定不能",IF(X1290&gt;=判定条件!$C$7*W1290,"運転",IF(X1290&lt;=判定条件!$C$8*W1290,"停止","断続")))</f>
        <v>判定不能</v>
      </c>
      <c r="Z1290" s="30" t="n">
        <v>0</v>
      </c>
      <c r="AA1290" s="30" t="n">
        <v>0</v>
      </c>
      <c r="AB1290" s="30" t="str">
        <f aca="false">IF(Z1290&lt;判定条件!$C$6,"判定不能",IF(AA1290&gt;=判定条件!$C$7*Z1290,"運転",IF(AA1290&lt;=判定条件!$C$8*Z1290,"停止","断続")))</f>
        <v>判定不能</v>
      </c>
      <c r="AC1290" s="30" t="n">
        <v>0</v>
      </c>
      <c r="AD1290" s="30" t="n">
        <v>0</v>
      </c>
      <c r="AE1290" s="30" t="str">
        <f aca="false">IF(AC1290&lt;判定条件!$C$6,"判定不能",IF(AD1290&gt;=判定条件!$C$7*AC1290,"運転",IF(AD1290&lt;=判定条件!$C$8*AC1290,"停止","断続")))</f>
        <v>判定不能</v>
      </c>
      <c r="AF1290" s="30" t="n">
        <v>60</v>
      </c>
      <c r="AG1290" s="30" t="n">
        <v>0</v>
      </c>
      <c r="AH1290" s="30" t="str">
        <f aca="false">IF(OR(P1290="判定不能",G1290="判定不能"),"判定不能",IF(AG1290&gt;=判定条件!$C$9,"利用可",IF(AND(P1290="停止",G1290="停止"),"両方停止","運転がそろわない")))</f>
        <v>両方停止</v>
      </c>
      <c r="AI1290" s="30" t="n">
        <v>0</v>
      </c>
      <c r="AJ1290" s="30" t="n">
        <v>0</v>
      </c>
      <c r="AK1290" s="30" t="str">
        <f aca="false">IF(OR(S1290="判定不能",J1290="判定不能"),"判定不能",IF(AJ1290&gt;=判定条件!$C$9,"利用可",IF(AND(S1290="停止",J1290="停止"),"両方停止","運転がそろわない")))</f>
        <v>判定不能</v>
      </c>
      <c r="AL1290" s="30" t="n">
        <v>60</v>
      </c>
      <c r="AM1290" s="30" t="n">
        <v>0</v>
      </c>
      <c r="AN1290" s="30" t="str">
        <f aca="false">IF(OR(V1290="判定不能",M1290="判定不能"),"判定不能",IF(AM1290&gt;=判定条件!$C$9,"利用可",IF(AND(V1290="停止",M1290="停止"),"両方停止","運転がそろわない")))</f>
        <v>運転がそろわない</v>
      </c>
      <c r="AO1290" s="30" t="n">
        <v>0</v>
      </c>
      <c r="AP1290" s="30" t="n">
        <v>0</v>
      </c>
      <c r="AQ1290" s="30" t="str">
        <f aca="false">IF(OR(Y1290="判定不能",G1290="判定不能"),"判定不能",IF(AP1290&gt;=判定条件!$C$9,"利用可",IF(AND(Y1290="停止",G1290="停止"),"両方停止","運転がそろわない")))</f>
        <v>判定不能</v>
      </c>
      <c r="AR1290" s="30" t="n">
        <v>0</v>
      </c>
      <c r="AS1290" s="30" t="n">
        <v>0</v>
      </c>
      <c r="AT1290" s="30" t="str">
        <f aca="false">IF(OR(AB1290="判定不能",J1290="判定不能"),"判定不能",IF(AS1290&gt;=判定条件!$C$9,"利用可",IF(AND(AB1290="停止",J1290="停止"),"両方停止","運転がそろわない")))</f>
        <v>判定不能</v>
      </c>
      <c r="AU1290" s="30" t="n">
        <v>0</v>
      </c>
      <c r="AV1290" s="30" t="n">
        <v>0</v>
      </c>
      <c r="AW1290" s="30" t="str">
        <f aca="false">IF(OR(AE1290="判定不能",M1290="判定不能"),"判定不能",IF(AV1290&gt;=判定条件!$C$9,"利用可",IF(AND(AE1290="停止",M1290="停止"),"両方停止","運転がそろわない")))</f>
        <v>判定不能</v>
      </c>
      <c r="AX1290" s="30" t="str">
        <f aca="false">IF(AND(AH1290="利用可",AK1290="利用可",AN1290="利用可"),"利用可","不可")</f>
        <v>不可</v>
      </c>
      <c r="AY1290" s="30" t="str">
        <f aca="false">IF(AND(AQ1290="利用可",AT1290="利用可",AW1290="利用可"),"利用可","不可")</f>
        <v>不可</v>
      </c>
    </row>
    <row r="1291" customFormat="false" ht="15" hidden="false" customHeight="false" outlineLevel="0" collapsed="false">
      <c r="A1291" s="29" t="n">
        <v>46285</v>
      </c>
      <c r="B1291" s="30" t="n">
        <v>16</v>
      </c>
      <c r="C1291" s="31" t="s">
        <v>65</v>
      </c>
      <c r="D1291" s="31" t="s">
        <v>64</v>
      </c>
      <c r="E1291" s="30" t="n">
        <v>60</v>
      </c>
      <c r="F1291" s="30" t="n">
        <v>6</v>
      </c>
      <c r="G1291" s="30" t="str">
        <f aca="false">IF(E1291&lt;判定条件!$C$6,"判定不能",IF(F1291&gt;=判定条件!$C$7*E1291,"運転",IF(F1291&lt;=判定条件!$C$8*E1291,"停止","断続")))</f>
        <v>停止</v>
      </c>
      <c r="H1291" s="30" t="n">
        <v>0</v>
      </c>
      <c r="I1291" s="30" t="n">
        <v>0</v>
      </c>
      <c r="J1291" s="30" t="str">
        <f aca="false">IF(H1291&lt;判定条件!$C$6,"判定不能",IF(I1291&gt;=判定条件!$C$7*H1291,"運転",IF(I1291&lt;=判定条件!$C$8*H1291,"停止","断続")))</f>
        <v>判定不能</v>
      </c>
      <c r="K1291" s="30" t="n">
        <v>60</v>
      </c>
      <c r="L1291" s="30" t="n">
        <v>51</v>
      </c>
      <c r="M1291" s="30" t="str">
        <f aca="false">IF(K1291&lt;判定条件!$C$6,"判定不能",IF(L1291&gt;=判定条件!$C$7*K1291,"運転",IF(L1291&lt;=判定条件!$C$8*K1291,"停止","断続")))</f>
        <v>運転</v>
      </c>
      <c r="N1291" s="30" t="n">
        <v>60</v>
      </c>
      <c r="O1291" s="30" t="n">
        <v>0</v>
      </c>
      <c r="P1291" s="30" t="str">
        <f aca="false">IF(N1291&lt;判定条件!$C$6,"判定不能",IF(O1291&gt;=判定条件!$C$7*N1291,"運転",IF(O1291&lt;=判定条件!$C$8*N1291,"停止","断続")))</f>
        <v>停止</v>
      </c>
      <c r="Q1291" s="30" t="n">
        <v>60</v>
      </c>
      <c r="R1291" s="30" t="n">
        <v>0</v>
      </c>
      <c r="S1291" s="30" t="str">
        <f aca="false">IF(Q1291&lt;判定条件!$C$6,"判定不能",IF(R1291&gt;=判定条件!$C$7*Q1291,"運転",IF(R1291&lt;=判定条件!$C$8*Q1291,"停止","断続")))</f>
        <v>停止</v>
      </c>
      <c r="T1291" s="30" t="n">
        <v>60</v>
      </c>
      <c r="U1291" s="30" t="n">
        <v>0</v>
      </c>
      <c r="V1291" s="30" t="str">
        <f aca="false">IF(T1291&lt;判定条件!$C$6,"判定不能",IF(U1291&gt;=判定条件!$C$7*T1291,"運転",IF(U1291&lt;=判定条件!$C$8*T1291,"停止","断続")))</f>
        <v>停止</v>
      </c>
      <c r="W1291" s="30" t="n">
        <v>0</v>
      </c>
      <c r="X1291" s="30" t="n">
        <v>0</v>
      </c>
      <c r="Y1291" s="30" t="str">
        <f aca="false">IF(W1291&lt;判定条件!$C$6,"判定不能",IF(X1291&gt;=判定条件!$C$7*W1291,"運転",IF(X1291&lt;=判定条件!$C$8*W1291,"停止","断続")))</f>
        <v>判定不能</v>
      </c>
      <c r="Z1291" s="30" t="n">
        <v>0</v>
      </c>
      <c r="AA1291" s="30" t="n">
        <v>0</v>
      </c>
      <c r="AB1291" s="30" t="str">
        <f aca="false">IF(Z1291&lt;判定条件!$C$6,"判定不能",IF(AA1291&gt;=判定条件!$C$7*Z1291,"運転",IF(AA1291&lt;=判定条件!$C$8*Z1291,"停止","断続")))</f>
        <v>判定不能</v>
      </c>
      <c r="AC1291" s="30" t="n">
        <v>0</v>
      </c>
      <c r="AD1291" s="30" t="n">
        <v>0</v>
      </c>
      <c r="AE1291" s="30" t="str">
        <f aca="false">IF(AC1291&lt;判定条件!$C$6,"判定不能",IF(AD1291&gt;=判定条件!$C$7*AC1291,"運転",IF(AD1291&lt;=判定条件!$C$8*AC1291,"停止","断続")))</f>
        <v>判定不能</v>
      </c>
      <c r="AF1291" s="30" t="n">
        <v>60</v>
      </c>
      <c r="AG1291" s="30" t="n">
        <v>0</v>
      </c>
      <c r="AH1291" s="30" t="str">
        <f aca="false">IF(OR(P1291="判定不能",G1291="判定不能"),"判定不能",IF(AG1291&gt;=判定条件!$C$9,"利用可",IF(AND(P1291="停止",G1291="停止"),"両方停止","運転がそろわない")))</f>
        <v>両方停止</v>
      </c>
      <c r="AI1291" s="30" t="n">
        <v>0</v>
      </c>
      <c r="AJ1291" s="30" t="n">
        <v>0</v>
      </c>
      <c r="AK1291" s="30" t="str">
        <f aca="false">IF(OR(S1291="判定不能",J1291="判定不能"),"判定不能",IF(AJ1291&gt;=判定条件!$C$9,"利用可",IF(AND(S1291="停止",J1291="停止"),"両方停止","運転がそろわない")))</f>
        <v>判定不能</v>
      </c>
      <c r="AL1291" s="30" t="n">
        <v>60</v>
      </c>
      <c r="AM1291" s="30" t="n">
        <v>0</v>
      </c>
      <c r="AN1291" s="30" t="str">
        <f aca="false">IF(OR(V1291="判定不能",M1291="判定不能"),"判定不能",IF(AM1291&gt;=判定条件!$C$9,"利用可",IF(AND(V1291="停止",M1291="停止"),"両方停止","運転がそろわない")))</f>
        <v>運転がそろわない</v>
      </c>
      <c r="AO1291" s="30" t="n">
        <v>0</v>
      </c>
      <c r="AP1291" s="30" t="n">
        <v>0</v>
      </c>
      <c r="AQ1291" s="30" t="str">
        <f aca="false">IF(OR(Y1291="判定不能",G1291="判定不能"),"判定不能",IF(AP1291&gt;=判定条件!$C$9,"利用可",IF(AND(Y1291="停止",G1291="停止"),"両方停止","運転がそろわない")))</f>
        <v>判定不能</v>
      </c>
      <c r="AR1291" s="30" t="n">
        <v>0</v>
      </c>
      <c r="AS1291" s="30" t="n">
        <v>0</v>
      </c>
      <c r="AT1291" s="30" t="str">
        <f aca="false">IF(OR(AB1291="判定不能",J1291="判定不能"),"判定不能",IF(AS1291&gt;=判定条件!$C$9,"利用可",IF(AND(AB1291="停止",J1291="停止"),"両方停止","運転がそろわない")))</f>
        <v>判定不能</v>
      </c>
      <c r="AU1291" s="30" t="n">
        <v>0</v>
      </c>
      <c r="AV1291" s="30" t="n">
        <v>0</v>
      </c>
      <c r="AW1291" s="30" t="str">
        <f aca="false">IF(OR(AE1291="判定不能",M1291="判定不能"),"判定不能",IF(AV1291&gt;=判定条件!$C$9,"利用可",IF(AND(AE1291="停止",M1291="停止"),"両方停止","運転がそろわない")))</f>
        <v>判定不能</v>
      </c>
      <c r="AX1291" s="30" t="str">
        <f aca="false">IF(AND(AH1291="利用可",AK1291="利用可",AN1291="利用可"),"利用可","不可")</f>
        <v>不可</v>
      </c>
      <c r="AY1291" s="30" t="str">
        <f aca="false">IF(AND(AQ1291="利用可",AT1291="利用可",AW1291="利用可"),"利用可","不可")</f>
        <v>不可</v>
      </c>
    </row>
    <row r="1292" customFormat="false" ht="15" hidden="false" customHeight="false" outlineLevel="0" collapsed="false">
      <c r="A1292" s="29" t="n">
        <v>46285</v>
      </c>
      <c r="B1292" s="30" t="n">
        <v>17</v>
      </c>
      <c r="C1292" s="31" t="s">
        <v>65</v>
      </c>
      <c r="D1292" s="31" t="s">
        <v>64</v>
      </c>
      <c r="E1292" s="30" t="n">
        <v>60</v>
      </c>
      <c r="F1292" s="30" t="n">
        <v>0</v>
      </c>
      <c r="G1292" s="30" t="str">
        <f aca="false">IF(E1292&lt;判定条件!$C$6,"判定不能",IF(F1292&gt;=判定条件!$C$7*E1292,"運転",IF(F1292&lt;=判定条件!$C$8*E1292,"停止","断続")))</f>
        <v>停止</v>
      </c>
      <c r="H1292" s="30" t="n">
        <v>0</v>
      </c>
      <c r="I1292" s="30" t="n">
        <v>0</v>
      </c>
      <c r="J1292" s="30" t="str">
        <f aca="false">IF(H1292&lt;判定条件!$C$6,"判定不能",IF(I1292&gt;=判定条件!$C$7*H1292,"運転",IF(I1292&lt;=判定条件!$C$8*H1292,"停止","断続")))</f>
        <v>判定不能</v>
      </c>
      <c r="K1292" s="30" t="n">
        <v>60</v>
      </c>
      <c r="L1292" s="30" t="n">
        <v>39</v>
      </c>
      <c r="M1292" s="30" t="str">
        <f aca="false">IF(K1292&lt;判定条件!$C$6,"判定不能",IF(L1292&gt;=判定条件!$C$7*K1292,"運転",IF(L1292&lt;=判定条件!$C$8*K1292,"停止","断続")))</f>
        <v>断続</v>
      </c>
      <c r="N1292" s="30" t="n">
        <v>60</v>
      </c>
      <c r="O1292" s="30" t="n">
        <v>0</v>
      </c>
      <c r="P1292" s="30" t="str">
        <f aca="false">IF(N1292&lt;判定条件!$C$6,"判定不能",IF(O1292&gt;=判定条件!$C$7*N1292,"運転",IF(O1292&lt;=判定条件!$C$8*N1292,"停止","断続")))</f>
        <v>停止</v>
      </c>
      <c r="Q1292" s="30" t="n">
        <v>60</v>
      </c>
      <c r="R1292" s="30" t="n">
        <v>0</v>
      </c>
      <c r="S1292" s="30" t="str">
        <f aca="false">IF(Q1292&lt;判定条件!$C$6,"判定不能",IF(R1292&gt;=判定条件!$C$7*Q1292,"運転",IF(R1292&lt;=判定条件!$C$8*Q1292,"停止","断続")))</f>
        <v>停止</v>
      </c>
      <c r="T1292" s="30" t="n">
        <v>60</v>
      </c>
      <c r="U1292" s="30" t="n">
        <v>0</v>
      </c>
      <c r="V1292" s="30" t="str">
        <f aca="false">IF(T1292&lt;判定条件!$C$6,"判定不能",IF(U1292&gt;=判定条件!$C$7*T1292,"運転",IF(U1292&lt;=判定条件!$C$8*T1292,"停止","断続")))</f>
        <v>停止</v>
      </c>
      <c r="W1292" s="30" t="n">
        <v>0</v>
      </c>
      <c r="X1292" s="30" t="n">
        <v>0</v>
      </c>
      <c r="Y1292" s="30" t="str">
        <f aca="false">IF(W1292&lt;判定条件!$C$6,"判定不能",IF(X1292&gt;=判定条件!$C$7*W1292,"運転",IF(X1292&lt;=判定条件!$C$8*W1292,"停止","断続")))</f>
        <v>判定不能</v>
      </c>
      <c r="Z1292" s="30" t="n">
        <v>0</v>
      </c>
      <c r="AA1292" s="30" t="n">
        <v>0</v>
      </c>
      <c r="AB1292" s="30" t="str">
        <f aca="false">IF(Z1292&lt;判定条件!$C$6,"判定不能",IF(AA1292&gt;=判定条件!$C$7*Z1292,"運転",IF(AA1292&lt;=判定条件!$C$8*Z1292,"停止","断続")))</f>
        <v>判定不能</v>
      </c>
      <c r="AC1292" s="30" t="n">
        <v>0</v>
      </c>
      <c r="AD1292" s="30" t="n">
        <v>0</v>
      </c>
      <c r="AE1292" s="30" t="str">
        <f aca="false">IF(AC1292&lt;判定条件!$C$6,"判定不能",IF(AD1292&gt;=判定条件!$C$7*AC1292,"運転",IF(AD1292&lt;=判定条件!$C$8*AC1292,"停止","断続")))</f>
        <v>判定不能</v>
      </c>
      <c r="AF1292" s="30" t="n">
        <v>60</v>
      </c>
      <c r="AG1292" s="30" t="n">
        <v>0</v>
      </c>
      <c r="AH1292" s="30" t="str">
        <f aca="false">IF(OR(P1292="判定不能",G1292="判定不能"),"判定不能",IF(AG1292&gt;=判定条件!$C$9,"利用可",IF(AND(P1292="停止",G1292="停止"),"両方停止","運転がそろわない")))</f>
        <v>両方停止</v>
      </c>
      <c r="AI1292" s="30" t="n">
        <v>0</v>
      </c>
      <c r="AJ1292" s="30" t="n">
        <v>0</v>
      </c>
      <c r="AK1292" s="30" t="str">
        <f aca="false">IF(OR(S1292="判定不能",J1292="判定不能"),"判定不能",IF(AJ1292&gt;=判定条件!$C$9,"利用可",IF(AND(S1292="停止",J1292="停止"),"両方停止","運転がそろわない")))</f>
        <v>判定不能</v>
      </c>
      <c r="AL1292" s="30" t="n">
        <v>60</v>
      </c>
      <c r="AM1292" s="30" t="n">
        <v>0</v>
      </c>
      <c r="AN1292" s="30" t="str">
        <f aca="false">IF(OR(V1292="判定不能",M1292="判定不能"),"判定不能",IF(AM1292&gt;=判定条件!$C$9,"利用可",IF(AND(V1292="停止",M1292="停止"),"両方停止","運転がそろわない")))</f>
        <v>運転がそろわない</v>
      </c>
      <c r="AO1292" s="30" t="n">
        <v>0</v>
      </c>
      <c r="AP1292" s="30" t="n">
        <v>0</v>
      </c>
      <c r="AQ1292" s="30" t="str">
        <f aca="false">IF(OR(Y1292="判定不能",G1292="判定不能"),"判定不能",IF(AP1292&gt;=判定条件!$C$9,"利用可",IF(AND(Y1292="停止",G1292="停止"),"両方停止","運転がそろわない")))</f>
        <v>判定不能</v>
      </c>
      <c r="AR1292" s="30" t="n">
        <v>0</v>
      </c>
      <c r="AS1292" s="30" t="n">
        <v>0</v>
      </c>
      <c r="AT1292" s="30" t="str">
        <f aca="false">IF(OR(AB1292="判定不能",J1292="判定不能"),"判定不能",IF(AS1292&gt;=判定条件!$C$9,"利用可",IF(AND(AB1292="停止",J1292="停止"),"両方停止","運転がそろわない")))</f>
        <v>判定不能</v>
      </c>
      <c r="AU1292" s="30" t="n">
        <v>0</v>
      </c>
      <c r="AV1292" s="30" t="n">
        <v>0</v>
      </c>
      <c r="AW1292" s="30" t="str">
        <f aca="false">IF(OR(AE1292="判定不能",M1292="判定不能"),"判定不能",IF(AV1292&gt;=判定条件!$C$9,"利用可",IF(AND(AE1292="停止",M1292="停止"),"両方停止","運転がそろわない")))</f>
        <v>判定不能</v>
      </c>
      <c r="AX1292" s="30" t="str">
        <f aca="false">IF(AND(AH1292="利用可",AK1292="利用可",AN1292="利用可"),"利用可","不可")</f>
        <v>不可</v>
      </c>
      <c r="AY1292" s="30" t="str">
        <f aca="false">IF(AND(AQ1292="利用可",AT1292="利用可",AW1292="利用可"),"利用可","不可")</f>
        <v>不可</v>
      </c>
    </row>
    <row r="1293" customFormat="false" ht="15" hidden="false" customHeight="false" outlineLevel="0" collapsed="false">
      <c r="A1293" s="29" t="n">
        <v>46285</v>
      </c>
      <c r="B1293" s="30" t="n">
        <v>18</v>
      </c>
      <c r="C1293" s="31" t="s">
        <v>65</v>
      </c>
      <c r="D1293" s="31" t="s">
        <v>64</v>
      </c>
      <c r="E1293" s="30" t="n">
        <v>60</v>
      </c>
      <c r="F1293" s="30" t="n">
        <v>8</v>
      </c>
      <c r="G1293" s="30" t="str">
        <f aca="false">IF(E1293&lt;判定条件!$C$6,"判定不能",IF(F1293&gt;=判定条件!$C$7*E1293,"運転",IF(F1293&lt;=判定条件!$C$8*E1293,"停止","断続")))</f>
        <v>停止</v>
      </c>
      <c r="H1293" s="30" t="n">
        <v>0</v>
      </c>
      <c r="I1293" s="30" t="n">
        <v>0</v>
      </c>
      <c r="J1293" s="30" t="str">
        <f aca="false">IF(H1293&lt;判定条件!$C$6,"判定不能",IF(I1293&gt;=判定条件!$C$7*H1293,"運転",IF(I1293&lt;=判定条件!$C$8*H1293,"停止","断続")))</f>
        <v>判定不能</v>
      </c>
      <c r="K1293" s="30" t="n">
        <v>60</v>
      </c>
      <c r="L1293" s="30" t="n">
        <v>60</v>
      </c>
      <c r="M1293" s="30" t="str">
        <f aca="false">IF(K1293&lt;判定条件!$C$6,"判定不能",IF(L1293&gt;=判定条件!$C$7*K1293,"運転",IF(L1293&lt;=判定条件!$C$8*K1293,"停止","断続")))</f>
        <v>運転</v>
      </c>
      <c r="N1293" s="30" t="n">
        <v>60</v>
      </c>
      <c r="O1293" s="30" t="n">
        <v>0</v>
      </c>
      <c r="P1293" s="30" t="str">
        <f aca="false">IF(N1293&lt;判定条件!$C$6,"判定不能",IF(O1293&gt;=判定条件!$C$7*N1293,"運転",IF(O1293&lt;=判定条件!$C$8*N1293,"停止","断続")))</f>
        <v>停止</v>
      </c>
      <c r="Q1293" s="30" t="n">
        <v>60</v>
      </c>
      <c r="R1293" s="30" t="n">
        <v>0</v>
      </c>
      <c r="S1293" s="30" t="str">
        <f aca="false">IF(Q1293&lt;判定条件!$C$6,"判定不能",IF(R1293&gt;=判定条件!$C$7*Q1293,"運転",IF(R1293&lt;=判定条件!$C$8*Q1293,"停止","断続")))</f>
        <v>停止</v>
      </c>
      <c r="T1293" s="30" t="n">
        <v>60</v>
      </c>
      <c r="U1293" s="30" t="n">
        <v>0</v>
      </c>
      <c r="V1293" s="30" t="str">
        <f aca="false">IF(T1293&lt;判定条件!$C$6,"判定不能",IF(U1293&gt;=判定条件!$C$7*T1293,"運転",IF(U1293&lt;=判定条件!$C$8*T1293,"停止","断続")))</f>
        <v>停止</v>
      </c>
      <c r="W1293" s="30" t="n">
        <v>0</v>
      </c>
      <c r="X1293" s="30" t="n">
        <v>0</v>
      </c>
      <c r="Y1293" s="30" t="str">
        <f aca="false">IF(W1293&lt;判定条件!$C$6,"判定不能",IF(X1293&gt;=判定条件!$C$7*W1293,"運転",IF(X1293&lt;=判定条件!$C$8*W1293,"停止","断続")))</f>
        <v>判定不能</v>
      </c>
      <c r="Z1293" s="30" t="n">
        <v>0</v>
      </c>
      <c r="AA1293" s="30" t="n">
        <v>0</v>
      </c>
      <c r="AB1293" s="30" t="str">
        <f aca="false">IF(Z1293&lt;判定条件!$C$6,"判定不能",IF(AA1293&gt;=判定条件!$C$7*Z1293,"運転",IF(AA1293&lt;=判定条件!$C$8*Z1293,"停止","断続")))</f>
        <v>判定不能</v>
      </c>
      <c r="AC1293" s="30" t="n">
        <v>0</v>
      </c>
      <c r="AD1293" s="30" t="n">
        <v>0</v>
      </c>
      <c r="AE1293" s="30" t="str">
        <f aca="false">IF(AC1293&lt;判定条件!$C$6,"判定不能",IF(AD1293&gt;=判定条件!$C$7*AC1293,"運転",IF(AD1293&lt;=判定条件!$C$8*AC1293,"停止","断続")))</f>
        <v>判定不能</v>
      </c>
      <c r="AF1293" s="30" t="n">
        <v>60</v>
      </c>
      <c r="AG1293" s="30" t="n">
        <v>0</v>
      </c>
      <c r="AH1293" s="30" t="str">
        <f aca="false">IF(OR(P1293="判定不能",G1293="判定不能"),"判定不能",IF(AG1293&gt;=判定条件!$C$9,"利用可",IF(AND(P1293="停止",G1293="停止"),"両方停止","運転がそろわない")))</f>
        <v>両方停止</v>
      </c>
      <c r="AI1293" s="30" t="n">
        <v>0</v>
      </c>
      <c r="AJ1293" s="30" t="n">
        <v>0</v>
      </c>
      <c r="AK1293" s="30" t="str">
        <f aca="false">IF(OR(S1293="判定不能",J1293="判定不能"),"判定不能",IF(AJ1293&gt;=判定条件!$C$9,"利用可",IF(AND(S1293="停止",J1293="停止"),"両方停止","運転がそろわない")))</f>
        <v>判定不能</v>
      </c>
      <c r="AL1293" s="30" t="n">
        <v>60</v>
      </c>
      <c r="AM1293" s="30" t="n">
        <v>0</v>
      </c>
      <c r="AN1293" s="30" t="str">
        <f aca="false">IF(OR(V1293="判定不能",M1293="判定不能"),"判定不能",IF(AM1293&gt;=判定条件!$C$9,"利用可",IF(AND(V1293="停止",M1293="停止"),"両方停止","運転がそろわない")))</f>
        <v>運転がそろわない</v>
      </c>
      <c r="AO1293" s="30" t="n">
        <v>0</v>
      </c>
      <c r="AP1293" s="30" t="n">
        <v>0</v>
      </c>
      <c r="AQ1293" s="30" t="str">
        <f aca="false">IF(OR(Y1293="判定不能",G1293="判定不能"),"判定不能",IF(AP1293&gt;=判定条件!$C$9,"利用可",IF(AND(Y1293="停止",G1293="停止"),"両方停止","運転がそろわない")))</f>
        <v>判定不能</v>
      </c>
      <c r="AR1293" s="30" t="n">
        <v>0</v>
      </c>
      <c r="AS1293" s="30" t="n">
        <v>0</v>
      </c>
      <c r="AT1293" s="30" t="str">
        <f aca="false">IF(OR(AB1293="判定不能",J1293="判定不能"),"判定不能",IF(AS1293&gt;=判定条件!$C$9,"利用可",IF(AND(AB1293="停止",J1293="停止"),"両方停止","運転がそろわない")))</f>
        <v>判定不能</v>
      </c>
      <c r="AU1293" s="30" t="n">
        <v>0</v>
      </c>
      <c r="AV1293" s="30" t="n">
        <v>0</v>
      </c>
      <c r="AW1293" s="30" t="str">
        <f aca="false">IF(OR(AE1293="判定不能",M1293="判定不能"),"判定不能",IF(AV1293&gt;=判定条件!$C$9,"利用可",IF(AND(AE1293="停止",M1293="停止"),"両方停止","運転がそろわない")))</f>
        <v>判定不能</v>
      </c>
      <c r="AX1293" s="30" t="str">
        <f aca="false">IF(AND(AH1293="利用可",AK1293="利用可",AN1293="利用可"),"利用可","不可")</f>
        <v>不可</v>
      </c>
      <c r="AY1293" s="30" t="str">
        <f aca="false">IF(AND(AQ1293="利用可",AT1293="利用可",AW1293="利用可"),"利用可","不可")</f>
        <v>不可</v>
      </c>
    </row>
    <row r="1294" customFormat="false" ht="15" hidden="false" customHeight="false" outlineLevel="0" collapsed="false">
      <c r="A1294" s="29" t="n">
        <v>46285</v>
      </c>
      <c r="B1294" s="30" t="n">
        <v>19</v>
      </c>
      <c r="C1294" s="31" t="s">
        <v>65</v>
      </c>
      <c r="D1294" s="31" t="s">
        <v>64</v>
      </c>
      <c r="E1294" s="30" t="n">
        <v>60</v>
      </c>
      <c r="F1294" s="30" t="n">
        <v>0</v>
      </c>
      <c r="G1294" s="30" t="str">
        <f aca="false">IF(E1294&lt;判定条件!$C$6,"判定不能",IF(F1294&gt;=判定条件!$C$7*E1294,"運転",IF(F1294&lt;=判定条件!$C$8*E1294,"停止","断続")))</f>
        <v>停止</v>
      </c>
      <c r="H1294" s="30" t="n">
        <v>0</v>
      </c>
      <c r="I1294" s="30" t="n">
        <v>0</v>
      </c>
      <c r="J1294" s="30" t="str">
        <f aca="false">IF(H1294&lt;判定条件!$C$6,"判定不能",IF(I1294&gt;=判定条件!$C$7*H1294,"運転",IF(I1294&lt;=判定条件!$C$8*H1294,"停止","断続")))</f>
        <v>判定不能</v>
      </c>
      <c r="K1294" s="30" t="n">
        <v>60</v>
      </c>
      <c r="L1294" s="30" t="n">
        <v>10</v>
      </c>
      <c r="M1294" s="30" t="str">
        <f aca="false">IF(K1294&lt;判定条件!$C$6,"判定不能",IF(L1294&gt;=判定条件!$C$7*K1294,"運転",IF(L1294&lt;=判定条件!$C$8*K1294,"停止","断続")))</f>
        <v>停止</v>
      </c>
      <c r="N1294" s="30" t="n">
        <v>60</v>
      </c>
      <c r="O1294" s="30" t="n">
        <v>0</v>
      </c>
      <c r="P1294" s="30" t="str">
        <f aca="false">IF(N1294&lt;判定条件!$C$6,"判定不能",IF(O1294&gt;=判定条件!$C$7*N1294,"運転",IF(O1294&lt;=判定条件!$C$8*N1294,"停止","断続")))</f>
        <v>停止</v>
      </c>
      <c r="Q1294" s="30" t="n">
        <v>60</v>
      </c>
      <c r="R1294" s="30" t="n">
        <v>0</v>
      </c>
      <c r="S1294" s="30" t="str">
        <f aca="false">IF(Q1294&lt;判定条件!$C$6,"判定不能",IF(R1294&gt;=判定条件!$C$7*Q1294,"運転",IF(R1294&lt;=判定条件!$C$8*Q1294,"停止","断続")))</f>
        <v>停止</v>
      </c>
      <c r="T1294" s="30" t="n">
        <v>60</v>
      </c>
      <c r="U1294" s="30" t="n">
        <v>0</v>
      </c>
      <c r="V1294" s="30" t="str">
        <f aca="false">IF(T1294&lt;判定条件!$C$6,"判定不能",IF(U1294&gt;=判定条件!$C$7*T1294,"運転",IF(U1294&lt;=判定条件!$C$8*T1294,"停止","断続")))</f>
        <v>停止</v>
      </c>
      <c r="W1294" s="30" t="n">
        <v>0</v>
      </c>
      <c r="X1294" s="30" t="n">
        <v>0</v>
      </c>
      <c r="Y1294" s="30" t="str">
        <f aca="false">IF(W1294&lt;判定条件!$C$6,"判定不能",IF(X1294&gt;=判定条件!$C$7*W1294,"運転",IF(X1294&lt;=判定条件!$C$8*W1294,"停止","断続")))</f>
        <v>判定不能</v>
      </c>
      <c r="Z1294" s="30" t="n">
        <v>0</v>
      </c>
      <c r="AA1294" s="30" t="n">
        <v>0</v>
      </c>
      <c r="AB1294" s="30" t="str">
        <f aca="false">IF(Z1294&lt;判定条件!$C$6,"判定不能",IF(AA1294&gt;=判定条件!$C$7*Z1294,"運転",IF(AA1294&lt;=判定条件!$C$8*Z1294,"停止","断続")))</f>
        <v>判定不能</v>
      </c>
      <c r="AC1294" s="30" t="n">
        <v>0</v>
      </c>
      <c r="AD1294" s="30" t="n">
        <v>0</v>
      </c>
      <c r="AE1294" s="30" t="str">
        <f aca="false">IF(AC1294&lt;判定条件!$C$6,"判定不能",IF(AD1294&gt;=判定条件!$C$7*AC1294,"運転",IF(AD1294&lt;=判定条件!$C$8*AC1294,"停止","断続")))</f>
        <v>判定不能</v>
      </c>
      <c r="AF1294" s="30" t="n">
        <v>60</v>
      </c>
      <c r="AG1294" s="30" t="n">
        <v>0</v>
      </c>
      <c r="AH1294" s="30" t="str">
        <f aca="false">IF(OR(P1294="判定不能",G1294="判定不能"),"判定不能",IF(AG1294&gt;=判定条件!$C$9,"利用可",IF(AND(P1294="停止",G1294="停止"),"両方停止","運転がそろわない")))</f>
        <v>両方停止</v>
      </c>
      <c r="AI1294" s="30" t="n">
        <v>0</v>
      </c>
      <c r="AJ1294" s="30" t="n">
        <v>0</v>
      </c>
      <c r="AK1294" s="30" t="str">
        <f aca="false">IF(OR(S1294="判定不能",J1294="判定不能"),"判定不能",IF(AJ1294&gt;=判定条件!$C$9,"利用可",IF(AND(S1294="停止",J1294="停止"),"両方停止","運転がそろわない")))</f>
        <v>判定不能</v>
      </c>
      <c r="AL1294" s="30" t="n">
        <v>60</v>
      </c>
      <c r="AM1294" s="30" t="n">
        <v>0</v>
      </c>
      <c r="AN1294" s="30" t="str">
        <f aca="false">IF(OR(V1294="判定不能",M1294="判定不能"),"判定不能",IF(AM1294&gt;=判定条件!$C$9,"利用可",IF(AND(V1294="停止",M1294="停止"),"両方停止","運転がそろわない")))</f>
        <v>両方停止</v>
      </c>
      <c r="AO1294" s="30" t="n">
        <v>0</v>
      </c>
      <c r="AP1294" s="30" t="n">
        <v>0</v>
      </c>
      <c r="AQ1294" s="30" t="str">
        <f aca="false">IF(OR(Y1294="判定不能",G1294="判定不能"),"判定不能",IF(AP1294&gt;=判定条件!$C$9,"利用可",IF(AND(Y1294="停止",G1294="停止"),"両方停止","運転がそろわない")))</f>
        <v>判定不能</v>
      </c>
      <c r="AR1294" s="30" t="n">
        <v>0</v>
      </c>
      <c r="AS1294" s="30" t="n">
        <v>0</v>
      </c>
      <c r="AT1294" s="30" t="str">
        <f aca="false">IF(OR(AB1294="判定不能",J1294="判定不能"),"判定不能",IF(AS1294&gt;=判定条件!$C$9,"利用可",IF(AND(AB1294="停止",J1294="停止"),"両方停止","運転がそろわない")))</f>
        <v>判定不能</v>
      </c>
      <c r="AU1294" s="30" t="n">
        <v>0</v>
      </c>
      <c r="AV1294" s="30" t="n">
        <v>0</v>
      </c>
      <c r="AW1294" s="30" t="str">
        <f aca="false">IF(OR(AE1294="判定不能",M1294="判定不能"),"判定不能",IF(AV1294&gt;=判定条件!$C$9,"利用可",IF(AND(AE1294="停止",M1294="停止"),"両方停止","運転がそろわない")))</f>
        <v>判定不能</v>
      </c>
      <c r="AX1294" s="30" t="str">
        <f aca="false">IF(AND(AH1294="利用可",AK1294="利用可",AN1294="利用可"),"利用可","不可")</f>
        <v>不可</v>
      </c>
      <c r="AY1294" s="30" t="str">
        <f aca="false">IF(AND(AQ1294="利用可",AT1294="利用可",AW1294="利用可"),"利用可","不可")</f>
        <v>不可</v>
      </c>
    </row>
    <row r="1295" customFormat="false" ht="15" hidden="false" customHeight="false" outlineLevel="0" collapsed="false">
      <c r="A1295" s="29" t="n">
        <v>46285</v>
      </c>
      <c r="B1295" s="30" t="n">
        <v>20</v>
      </c>
      <c r="C1295" s="31" t="s">
        <v>65</v>
      </c>
      <c r="D1295" s="31" t="s">
        <v>64</v>
      </c>
      <c r="E1295" s="30" t="n">
        <v>60</v>
      </c>
      <c r="F1295" s="30" t="n">
        <v>0</v>
      </c>
      <c r="G1295" s="30" t="str">
        <f aca="false">IF(E1295&lt;判定条件!$C$6,"判定不能",IF(F1295&gt;=判定条件!$C$7*E1295,"運転",IF(F1295&lt;=判定条件!$C$8*E1295,"停止","断続")))</f>
        <v>停止</v>
      </c>
      <c r="H1295" s="30" t="n">
        <v>0</v>
      </c>
      <c r="I1295" s="30" t="n">
        <v>0</v>
      </c>
      <c r="J1295" s="30" t="str">
        <f aca="false">IF(H1295&lt;判定条件!$C$6,"判定不能",IF(I1295&gt;=判定条件!$C$7*H1295,"運転",IF(I1295&lt;=判定条件!$C$8*H1295,"停止","断続")))</f>
        <v>判定不能</v>
      </c>
      <c r="K1295" s="30" t="n">
        <v>60</v>
      </c>
      <c r="L1295" s="30" t="n">
        <v>0</v>
      </c>
      <c r="M1295" s="30" t="str">
        <f aca="false">IF(K1295&lt;判定条件!$C$6,"判定不能",IF(L1295&gt;=判定条件!$C$7*K1295,"運転",IF(L1295&lt;=判定条件!$C$8*K1295,"停止","断続")))</f>
        <v>停止</v>
      </c>
      <c r="N1295" s="30" t="n">
        <v>60</v>
      </c>
      <c r="O1295" s="30" t="n">
        <v>0</v>
      </c>
      <c r="P1295" s="30" t="str">
        <f aca="false">IF(N1295&lt;判定条件!$C$6,"判定不能",IF(O1295&gt;=判定条件!$C$7*N1295,"運転",IF(O1295&lt;=判定条件!$C$8*N1295,"停止","断続")))</f>
        <v>停止</v>
      </c>
      <c r="Q1295" s="30" t="n">
        <v>60</v>
      </c>
      <c r="R1295" s="30" t="n">
        <v>0</v>
      </c>
      <c r="S1295" s="30" t="str">
        <f aca="false">IF(Q1295&lt;判定条件!$C$6,"判定不能",IF(R1295&gt;=判定条件!$C$7*Q1295,"運転",IF(R1295&lt;=判定条件!$C$8*Q1295,"停止","断続")))</f>
        <v>停止</v>
      </c>
      <c r="T1295" s="30" t="n">
        <v>60</v>
      </c>
      <c r="U1295" s="30" t="n">
        <v>0</v>
      </c>
      <c r="V1295" s="30" t="str">
        <f aca="false">IF(T1295&lt;判定条件!$C$6,"判定不能",IF(U1295&gt;=判定条件!$C$7*T1295,"運転",IF(U1295&lt;=判定条件!$C$8*T1295,"停止","断続")))</f>
        <v>停止</v>
      </c>
      <c r="W1295" s="30" t="n">
        <v>0</v>
      </c>
      <c r="X1295" s="30" t="n">
        <v>0</v>
      </c>
      <c r="Y1295" s="30" t="str">
        <f aca="false">IF(W1295&lt;判定条件!$C$6,"判定不能",IF(X1295&gt;=判定条件!$C$7*W1295,"運転",IF(X1295&lt;=判定条件!$C$8*W1295,"停止","断続")))</f>
        <v>判定不能</v>
      </c>
      <c r="Z1295" s="30" t="n">
        <v>0</v>
      </c>
      <c r="AA1295" s="30" t="n">
        <v>0</v>
      </c>
      <c r="AB1295" s="30" t="str">
        <f aca="false">IF(Z1295&lt;判定条件!$C$6,"判定不能",IF(AA1295&gt;=判定条件!$C$7*Z1295,"運転",IF(AA1295&lt;=判定条件!$C$8*Z1295,"停止","断続")))</f>
        <v>判定不能</v>
      </c>
      <c r="AC1295" s="30" t="n">
        <v>0</v>
      </c>
      <c r="AD1295" s="30" t="n">
        <v>0</v>
      </c>
      <c r="AE1295" s="30" t="str">
        <f aca="false">IF(AC1295&lt;判定条件!$C$6,"判定不能",IF(AD1295&gt;=判定条件!$C$7*AC1295,"運転",IF(AD1295&lt;=判定条件!$C$8*AC1295,"停止","断続")))</f>
        <v>判定不能</v>
      </c>
      <c r="AF1295" s="30" t="n">
        <v>60</v>
      </c>
      <c r="AG1295" s="30" t="n">
        <v>0</v>
      </c>
      <c r="AH1295" s="30" t="str">
        <f aca="false">IF(OR(P1295="判定不能",G1295="判定不能"),"判定不能",IF(AG1295&gt;=判定条件!$C$9,"利用可",IF(AND(P1295="停止",G1295="停止"),"両方停止","運転がそろわない")))</f>
        <v>両方停止</v>
      </c>
      <c r="AI1295" s="30" t="n">
        <v>0</v>
      </c>
      <c r="AJ1295" s="30" t="n">
        <v>0</v>
      </c>
      <c r="AK1295" s="30" t="str">
        <f aca="false">IF(OR(S1295="判定不能",J1295="判定不能"),"判定不能",IF(AJ1295&gt;=判定条件!$C$9,"利用可",IF(AND(S1295="停止",J1295="停止"),"両方停止","運転がそろわない")))</f>
        <v>判定不能</v>
      </c>
      <c r="AL1295" s="30" t="n">
        <v>60</v>
      </c>
      <c r="AM1295" s="30" t="n">
        <v>0</v>
      </c>
      <c r="AN1295" s="30" t="str">
        <f aca="false">IF(OR(V1295="判定不能",M1295="判定不能"),"判定不能",IF(AM1295&gt;=判定条件!$C$9,"利用可",IF(AND(V1295="停止",M1295="停止"),"両方停止","運転がそろわない")))</f>
        <v>両方停止</v>
      </c>
      <c r="AO1295" s="30" t="n">
        <v>0</v>
      </c>
      <c r="AP1295" s="30" t="n">
        <v>0</v>
      </c>
      <c r="AQ1295" s="30" t="str">
        <f aca="false">IF(OR(Y1295="判定不能",G1295="判定不能"),"判定不能",IF(AP1295&gt;=判定条件!$C$9,"利用可",IF(AND(Y1295="停止",G1295="停止"),"両方停止","運転がそろわない")))</f>
        <v>判定不能</v>
      </c>
      <c r="AR1295" s="30" t="n">
        <v>0</v>
      </c>
      <c r="AS1295" s="30" t="n">
        <v>0</v>
      </c>
      <c r="AT1295" s="30" t="str">
        <f aca="false">IF(OR(AB1295="判定不能",J1295="判定不能"),"判定不能",IF(AS1295&gt;=判定条件!$C$9,"利用可",IF(AND(AB1295="停止",J1295="停止"),"両方停止","運転がそろわない")))</f>
        <v>判定不能</v>
      </c>
      <c r="AU1295" s="30" t="n">
        <v>0</v>
      </c>
      <c r="AV1295" s="30" t="n">
        <v>0</v>
      </c>
      <c r="AW1295" s="30" t="str">
        <f aca="false">IF(OR(AE1295="判定不能",M1295="判定不能"),"判定不能",IF(AV1295&gt;=判定条件!$C$9,"利用可",IF(AND(AE1295="停止",M1295="停止"),"両方停止","運転がそろわない")))</f>
        <v>判定不能</v>
      </c>
      <c r="AX1295" s="30" t="str">
        <f aca="false">IF(AND(AH1295="利用可",AK1295="利用可",AN1295="利用可"),"利用可","不可")</f>
        <v>不可</v>
      </c>
      <c r="AY1295" s="30" t="str">
        <f aca="false">IF(AND(AQ1295="利用可",AT1295="利用可",AW1295="利用可"),"利用可","不可")</f>
        <v>不可</v>
      </c>
    </row>
    <row r="1296" customFormat="false" ht="15" hidden="false" customHeight="false" outlineLevel="0" collapsed="false">
      <c r="A1296" s="29" t="n">
        <v>46285</v>
      </c>
      <c r="B1296" s="30" t="n">
        <v>21</v>
      </c>
      <c r="C1296" s="31" t="s">
        <v>65</v>
      </c>
      <c r="D1296" s="31" t="s">
        <v>64</v>
      </c>
      <c r="E1296" s="30" t="n">
        <v>60</v>
      </c>
      <c r="F1296" s="30" t="n">
        <v>0</v>
      </c>
      <c r="G1296" s="30" t="str">
        <f aca="false">IF(E1296&lt;判定条件!$C$6,"判定不能",IF(F1296&gt;=判定条件!$C$7*E1296,"運転",IF(F1296&lt;=判定条件!$C$8*E1296,"停止","断続")))</f>
        <v>停止</v>
      </c>
      <c r="H1296" s="30" t="n">
        <v>0</v>
      </c>
      <c r="I1296" s="30" t="n">
        <v>0</v>
      </c>
      <c r="J1296" s="30" t="str">
        <f aca="false">IF(H1296&lt;判定条件!$C$6,"判定不能",IF(I1296&gt;=判定条件!$C$7*H1296,"運転",IF(I1296&lt;=判定条件!$C$8*H1296,"停止","断続")))</f>
        <v>判定不能</v>
      </c>
      <c r="K1296" s="30" t="n">
        <v>60</v>
      </c>
      <c r="L1296" s="30" t="n">
        <v>0</v>
      </c>
      <c r="M1296" s="30" t="str">
        <f aca="false">IF(K1296&lt;判定条件!$C$6,"判定不能",IF(L1296&gt;=判定条件!$C$7*K1296,"運転",IF(L1296&lt;=判定条件!$C$8*K1296,"停止","断続")))</f>
        <v>停止</v>
      </c>
      <c r="N1296" s="30" t="n">
        <v>60</v>
      </c>
      <c r="O1296" s="30" t="n">
        <v>0</v>
      </c>
      <c r="P1296" s="30" t="str">
        <f aca="false">IF(N1296&lt;判定条件!$C$6,"判定不能",IF(O1296&gt;=判定条件!$C$7*N1296,"運転",IF(O1296&lt;=判定条件!$C$8*N1296,"停止","断続")))</f>
        <v>停止</v>
      </c>
      <c r="Q1296" s="30" t="n">
        <v>60</v>
      </c>
      <c r="R1296" s="30" t="n">
        <v>0</v>
      </c>
      <c r="S1296" s="30" t="str">
        <f aca="false">IF(Q1296&lt;判定条件!$C$6,"判定不能",IF(R1296&gt;=判定条件!$C$7*Q1296,"運転",IF(R1296&lt;=判定条件!$C$8*Q1296,"停止","断続")))</f>
        <v>停止</v>
      </c>
      <c r="T1296" s="30" t="n">
        <v>60</v>
      </c>
      <c r="U1296" s="30" t="n">
        <v>0</v>
      </c>
      <c r="V1296" s="30" t="str">
        <f aca="false">IF(T1296&lt;判定条件!$C$6,"判定不能",IF(U1296&gt;=判定条件!$C$7*T1296,"運転",IF(U1296&lt;=判定条件!$C$8*T1296,"停止","断続")))</f>
        <v>停止</v>
      </c>
      <c r="W1296" s="30" t="n">
        <v>0</v>
      </c>
      <c r="X1296" s="30" t="n">
        <v>0</v>
      </c>
      <c r="Y1296" s="30" t="str">
        <f aca="false">IF(W1296&lt;判定条件!$C$6,"判定不能",IF(X1296&gt;=判定条件!$C$7*W1296,"運転",IF(X1296&lt;=判定条件!$C$8*W1296,"停止","断続")))</f>
        <v>判定不能</v>
      </c>
      <c r="Z1296" s="30" t="n">
        <v>0</v>
      </c>
      <c r="AA1296" s="30" t="n">
        <v>0</v>
      </c>
      <c r="AB1296" s="30" t="str">
        <f aca="false">IF(Z1296&lt;判定条件!$C$6,"判定不能",IF(AA1296&gt;=判定条件!$C$7*Z1296,"運転",IF(AA1296&lt;=判定条件!$C$8*Z1296,"停止","断続")))</f>
        <v>判定不能</v>
      </c>
      <c r="AC1296" s="30" t="n">
        <v>0</v>
      </c>
      <c r="AD1296" s="30" t="n">
        <v>0</v>
      </c>
      <c r="AE1296" s="30" t="str">
        <f aca="false">IF(AC1296&lt;判定条件!$C$6,"判定不能",IF(AD1296&gt;=判定条件!$C$7*AC1296,"運転",IF(AD1296&lt;=判定条件!$C$8*AC1296,"停止","断続")))</f>
        <v>判定不能</v>
      </c>
      <c r="AF1296" s="30" t="n">
        <v>60</v>
      </c>
      <c r="AG1296" s="30" t="n">
        <v>0</v>
      </c>
      <c r="AH1296" s="30" t="str">
        <f aca="false">IF(OR(P1296="判定不能",G1296="判定不能"),"判定不能",IF(AG1296&gt;=判定条件!$C$9,"利用可",IF(AND(P1296="停止",G1296="停止"),"両方停止","運転がそろわない")))</f>
        <v>両方停止</v>
      </c>
      <c r="AI1296" s="30" t="n">
        <v>0</v>
      </c>
      <c r="AJ1296" s="30" t="n">
        <v>0</v>
      </c>
      <c r="AK1296" s="30" t="str">
        <f aca="false">IF(OR(S1296="判定不能",J1296="判定不能"),"判定不能",IF(AJ1296&gt;=判定条件!$C$9,"利用可",IF(AND(S1296="停止",J1296="停止"),"両方停止","運転がそろわない")))</f>
        <v>判定不能</v>
      </c>
      <c r="AL1296" s="30" t="n">
        <v>60</v>
      </c>
      <c r="AM1296" s="30" t="n">
        <v>0</v>
      </c>
      <c r="AN1296" s="30" t="str">
        <f aca="false">IF(OR(V1296="判定不能",M1296="判定不能"),"判定不能",IF(AM1296&gt;=判定条件!$C$9,"利用可",IF(AND(V1296="停止",M1296="停止"),"両方停止","運転がそろわない")))</f>
        <v>両方停止</v>
      </c>
      <c r="AO1296" s="30" t="n">
        <v>0</v>
      </c>
      <c r="AP1296" s="30" t="n">
        <v>0</v>
      </c>
      <c r="AQ1296" s="30" t="str">
        <f aca="false">IF(OR(Y1296="判定不能",G1296="判定不能"),"判定不能",IF(AP1296&gt;=判定条件!$C$9,"利用可",IF(AND(Y1296="停止",G1296="停止"),"両方停止","運転がそろわない")))</f>
        <v>判定不能</v>
      </c>
      <c r="AR1296" s="30" t="n">
        <v>0</v>
      </c>
      <c r="AS1296" s="30" t="n">
        <v>0</v>
      </c>
      <c r="AT1296" s="30" t="str">
        <f aca="false">IF(OR(AB1296="判定不能",J1296="判定不能"),"判定不能",IF(AS1296&gt;=判定条件!$C$9,"利用可",IF(AND(AB1296="停止",J1296="停止"),"両方停止","運転がそろわない")))</f>
        <v>判定不能</v>
      </c>
      <c r="AU1296" s="30" t="n">
        <v>0</v>
      </c>
      <c r="AV1296" s="30" t="n">
        <v>0</v>
      </c>
      <c r="AW1296" s="30" t="str">
        <f aca="false">IF(OR(AE1296="判定不能",M1296="判定不能"),"判定不能",IF(AV1296&gt;=判定条件!$C$9,"利用可",IF(AND(AE1296="停止",M1296="停止"),"両方停止","運転がそろわない")))</f>
        <v>判定不能</v>
      </c>
      <c r="AX1296" s="30" t="str">
        <f aca="false">IF(AND(AH1296="利用可",AK1296="利用可",AN1296="利用可"),"利用可","不可")</f>
        <v>不可</v>
      </c>
      <c r="AY1296" s="30" t="str">
        <f aca="false">IF(AND(AQ1296="利用可",AT1296="利用可",AW1296="利用可"),"利用可","不可")</f>
        <v>不可</v>
      </c>
    </row>
    <row r="1297" customFormat="false" ht="15" hidden="false" customHeight="false" outlineLevel="0" collapsed="false">
      <c r="A1297" s="29" t="n">
        <v>46285</v>
      </c>
      <c r="B1297" s="30" t="n">
        <v>22</v>
      </c>
      <c r="C1297" s="31" t="s">
        <v>65</v>
      </c>
      <c r="D1297" s="31" t="s">
        <v>64</v>
      </c>
      <c r="E1297" s="30" t="n">
        <v>60</v>
      </c>
      <c r="F1297" s="30" t="n">
        <v>0</v>
      </c>
      <c r="G1297" s="30" t="str">
        <f aca="false">IF(E1297&lt;判定条件!$C$6,"判定不能",IF(F1297&gt;=判定条件!$C$7*E1297,"運転",IF(F1297&lt;=判定条件!$C$8*E1297,"停止","断続")))</f>
        <v>停止</v>
      </c>
      <c r="H1297" s="30" t="n">
        <v>0</v>
      </c>
      <c r="I1297" s="30" t="n">
        <v>0</v>
      </c>
      <c r="J1297" s="30" t="str">
        <f aca="false">IF(H1297&lt;判定条件!$C$6,"判定不能",IF(I1297&gt;=判定条件!$C$7*H1297,"運転",IF(I1297&lt;=判定条件!$C$8*H1297,"停止","断続")))</f>
        <v>判定不能</v>
      </c>
      <c r="K1297" s="30" t="n">
        <v>60</v>
      </c>
      <c r="L1297" s="30" t="n">
        <v>0</v>
      </c>
      <c r="M1297" s="30" t="str">
        <f aca="false">IF(K1297&lt;判定条件!$C$6,"判定不能",IF(L1297&gt;=判定条件!$C$7*K1297,"運転",IF(L1297&lt;=判定条件!$C$8*K1297,"停止","断続")))</f>
        <v>停止</v>
      </c>
      <c r="N1297" s="30" t="n">
        <v>60</v>
      </c>
      <c r="O1297" s="30" t="n">
        <v>0</v>
      </c>
      <c r="P1297" s="30" t="str">
        <f aca="false">IF(N1297&lt;判定条件!$C$6,"判定不能",IF(O1297&gt;=判定条件!$C$7*N1297,"運転",IF(O1297&lt;=判定条件!$C$8*N1297,"停止","断続")))</f>
        <v>停止</v>
      </c>
      <c r="Q1297" s="30" t="n">
        <v>60</v>
      </c>
      <c r="R1297" s="30" t="n">
        <v>0</v>
      </c>
      <c r="S1297" s="30" t="str">
        <f aca="false">IF(Q1297&lt;判定条件!$C$6,"判定不能",IF(R1297&gt;=判定条件!$C$7*Q1297,"運転",IF(R1297&lt;=判定条件!$C$8*Q1297,"停止","断続")))</f>
        <v>停止</v>
      </c>
      <c r="T1297" s="30" t="n">
        <v>60</v>
      </c>
      <c r="U1297" s="30" t="n">
        <v>0</v>
      </c>
      <c r="V1297" s="30" t="str">
        <f aca="false">IF(T1297&lt;判定条件!$C$6,"判定不能",IF(U1297&gt;=判定条件!$C$7*T1297,"運転",IF(U1297&lt;=判定条件!$C$8*T1297,"停止","断続")))</f>
        <v>停止</v>
      </c>
      <c r="W1297" s="30" t="n">
        <v>0</v>
      </c>
      <c r="X1297" s="30" t="n">
        <v>0</v>
      </c>
      <c r="Y1297" s="30" t="str">
        <f aca="false">IF(W1297&lt;判定条件!$C$6,"判定不能",IF(X1297&gt;=判定条件!$C$7*W1297,"運転",IF(X1297&lt;=判定条件!$C$8*W1297,"停止","断続")))</f>
        <v>判定不能</v>
      </c>
      <c r="Z1297" s="30" t="n">
        <v>0</v>
      </c>
      <c r="AA1297" s="30" t="n">
        <v>0</v>
      </c>
      <c r="AB1297" s="30" t="str">
        <f aca="false">IF(Z1297&lt;判定条件!$C$6,"判定不能",IF(AA1297&gt;=判定条件!$C$7*Z1297,"運転",IF(AA1297&lt;=判定条件!$C$8*Z1297,"停止","断続")))</f>
        <v>判定不能</v>
      </c>
      <c r="AC1297" s="30" t="n">
        <v>0</v>
      </c>
      <c r="AD1297" s="30" t="n">
        <v>0</v>
      </c>
      <c r="AE1297" s="30" t="str">
        <f aca="false">IF(AC1297&lt;判定条件!$C$6,"判定不能",IF(AD1297&gt;=判定条件!$C$7*AC1297,"運転",IF(AD1297&lt;=判定条件!$C$8*AC1297,"停止","断続")))</f>
        <v>判定不能</v>
      </c>
      <c r="AF1297" s="30" t="n">
        <v>60</v>
      </c>
      <c r="AG1297" s="30" t="n">
        <v>0</v>
      </c>
      <c r="AH1297" s="30" t="str">
        <f aca="false">IF(OR(P1297="判定不能",G1297="判定不能"),"判定不能",IF(AG1297&gt;=判定条件!$C$9,"利用可",IF(AND(P1297="停止",G1297="停止"),"両方停止","運転がそろわない")))</f>
        <v>両方停止</v>
      </c>
      <c r="AI1297" s="30" t="n">
        <v>0</v>
      </c>
      <c r="AJ1297" s="30" t="n">
        <v>0</v>
      </c>
      <c r="AK1297" s="30" t="str">
        <f aca="false">IF(OR(S1297="判定不能",J1297="判定不能"),"判定不能",IF(AJ1297&gt;=判定条件!$C$9,"利用可",IF(AND(S1297="停止",J1297="停止"),"両方停止","運転がそろわない")))</f>
        <v>判定不能</v>
      </c>
      <c r="AL1297" s="30" t="n">
        <v>60</v>
      </c>
      <c r="AM1297" s="30" t="n">
        <v>0</v>
      </c>
      <c r="AN1297" s="30" t="str">
        <f aca="false">IF(OR(V1297="判定不能",M1297="判定不能"),"判定不能",IF(AM1297&gt;=判定条件!$C$9,"利用可",IF(AND(V1297="停止",M1297="停止"),"両方停止","運転がそろわない")))</f>
        <v>両方停止</v>
      </c>
      <c r="AO1297" s="30" t="n">
        <v>0</v>
      </c>
      <c r="AP1297" s="30" t="n">
        <v>0</v>
      </c>
      <c r="AQ1297" s="30" t="str">
        <f aca="false">IF(OR(Y1297="判定不能",G1297="判定不能"),"判定不能",IF(AP1297&gt;=判定条件!$C$9,"利用可",IF(AND(Y1297="停止",G1297="停止"),"両方停止","運転がそろわない")))</f>
        <v>判定不能</v>
      </c>
      <c r="AR1297" s="30" t="n">
        <v>0</v>
      </c>
      <c r="AS1297" s="30" t="n">
        <v>0</v>
      </c>
      <c r="AT1297" s="30" t="str">
        <f aca="false">IF(OR(AB1297="判定不能",J1297="判定不能"),"判定不能",IF(AS1297&gt;=判定条件!$C$9,"利用可",IF(AND(AB1297="停止",J1297="停止"),"両方停止","運転がそろわない")))</f>
        <v>判定不能</v>
      </c>
      <c r="AU1297" s="30" t="n">
        <v>0</v>
      </c>
      <c r="AV1297" s="30" t="n">
        <v>0</v>
      </c>
      <c r="AW1297" s="30" t="str">
        <f aca="false">IF(OR(AE1297="判定不能",M1297="判定不能"),"判定不能",IF(AV1297&gt;=判定条件!$C$9,"利用可",IF(AND(AE1297="停止",M1297="停止"),"両方停止","運転がそろわない")))</f>
        <v>判定不能</v>
      </c>
      <c r="AX1297" s="30" t="str">
        <f aca="false">IF(AND(AH1297="利用可",AK1297="利用可",AN1297="利用可"),"利用可","不可")</f>
        <v>不可</v>
      </c>
      <c r="AY1297" s="30" t="str">
        <f aca="false">IF(AND(AQ1297="利用可",AT1297="利用可",AW1297="利用可"),"利用可","不可")</f>
        <v>不可</v>
      </c>
    </row>
    <row r="1298" customFormat="false" ht="15" hidden="false" customHeight="false" outlineLevel="0" collapsed="false">
      <c r="A1298" s="29" t="n">
        <v>46285</v>
      </c>
      <c r="B1298" s="30" t="n">
        <v>23</v>
      </c>
      <c r="C1298" s="31" t="s">
        <v>65</v>
      </c>
      <c r="D1298" s="31" t="s">
        <v>64</v>
      </c>
      <c r="E1298" s="30" t="n">
        <v>60</v>
      </c>
      <c r="F1298" s="30" t="n">
        <v>0</v>
      </c>
      <c r="G1298" s="30" t="str">
        <f aca="false">IF(E1298&lt;判定条件!$C$6,"判定不能",IF(F1298&gt;=判定条件!$C$7*E1298,"運転",IF(F1298&lt;=判定条件!$C$8*E1298,"停止","断続")))</f>
        <v>停止</v>
      </c>
      <c r="H1298" s="30" t="n">
        <v>0</v>
      </c>
      <c r="I1298" s="30" t="n">
        <v>0</v>
      </c>
      <c r="J1298" s="30" t="str">
        <f aca="false">IF(H1298&lt;判定条件!$C$6,"判定不能",IF(I1298&gt;=判定条件!$C$7*H1298,"運転",IF(I1298&lt;=判定条件!$C$8*H1298,"停止","断続")))</f>
        <v>判定不能</v>
      </c>
      <c r="K1298" s="30" t="n">
        <v>60</v>
      </c>
      <c r="L1298" s="30" t="n">
        <v>0</v>
      </c>
      <c r="M1298" s="30" t="str">
        <f aca="false">IF(K1298&lt;判定条件!$C$6,"判定不能",IF(L1298&gt;=判定条件!$C$7*K1298,"運転",IF(L1298&lt;=判定条件!$C$8*K1298,"停止","断続")))</f>
        <v>停止</v>
      </c>
      <c r="N1298" s="30" t="n">
        <v>60</v>
      </c>
      <c r="O1298" s="30" t="n">
        <v>0</v>
      </c>
      <c r="P1298" s="30" t="str">
        <f aca="false">IF(N1298&lt;判定条件!$C$6,"判定不能",IF(O1298&gt;=判定条件!$C$7*N1298,"運転",IF(O1298&lt;=判定条件!$C$8*N1298,"停止","断続")))</f>
        <v>停止</v>
      </c>
      <c r="Q1298" s="30" t="n">
        <v>60</v>
      </c>
      <c r="R1298" s="30" t="n">
        <v>0</v>
      </c>
      <c r="S1298" s="30" t="str">
        <f aca="false">IF(Q1298&lt;判定条件!$C$6,"判定不能",IF(R1298&gt;=判定条件!$C$7*Q1298,"運転",IF(R1298&lt;=判定条件!$C$8*Q1298,"停止","断続")))</f>
        <v>停止</v>
      </c>
      <c r="T1298" s="30" t="n">
        <v>60</v>
      </c>
      <c r="U1298" s="30" t="n">
        <v>0</v>
      </c>
      <c r="V1298" s="30" t="str">
        <f aca="false">IF(T1298&lt;判定条件!$C$6,"判定不能",IF(U1298&gt;=判定条件!$C$7*T1298,"運転",IF(U1298&lt;=判定条件!$C$8*T1298,"停止","断続")))</f>
        <v>停止</v>
      </c>
      <c r="W1298" s="30" t="n">
        <v>0</v>
      </c>
      <c r="X1298" s="30" t="n">
        <v>0</v>
      </c>
      <c r="Y1298" s="30" t="str">
        <f aca="false">IF(W1298&lt;判定条件!$C$6,"判定不能",IF(X1298&gt;=判定条件!$C$7*W1298,"運転",IF(X1298&lt;=判定条件!$C$8*W1298,"停止","断続")))</f>
        <v>判定不能</v>
      </c>
      <c r="Z1298" s="30" t="n">
        <v>0</v>
      </c>
      <c r="AA1298" s="30" t="n">
        <v>0</v>
      </c>
      <c r="AB1298" s="30" t="str">
        <f aca="false">IF(Z1298&lt;判定条件!$C$6,"判定不能",IF(AA1298&gt;=判定条件!$C$7*Z1298,"運転",IF(AA1298&lt;=判定条件!$C$8*Z1298,"停止","断続")))</f>
        <v>判定不能</v>
      </c>
      <c r="AC1298" s="30" t="n">
        <v>0</v>
      </c>
      <c r="AD1298" s="30" t="n">
        <v>0</v>
      </c>
      <c r="AE1298" s="30" t="str">
        <f aca="false">IF(AC1298&lt;判定条件!$C$6,"判定不能",IF(AD1298&gt;=判定条件!$C$7*AC1298,"運転",IF(AD1298&lt;=判定条件!$C$8*AC1298,"停止","断続")))</f>
        <v>判定不能</v>
      </c>
      <c r="AF1298" s="30" t="n">
        <v>60</v>
      </c>
      <c r="AG1298" s="30" t="n">
        <v>0</v>
      </c>
      <c r="AH1298" s="30" t="str">
        <f aca="false">IF(OR(P1298="判定不能",G1298="判定不能"),"判定不能",IF(AG1298&gt;=判定条件!$C$9,"利用可",IF(AND(P1298="停止",G1298="停止"),"両方停止","運転がそろわない")))</f>
        <v>両方停止</v>
      </c>
      <c r="AI1298" s="30" t="n">
        <v>0</v>
      </c>
      <c r="AJ1298" s="30" t="n">
        <v>0</v>
      </c>
      <c r="AK1298" s="30" t="str">
        <f aca="false">IF(OR(S1298="判定不能",J1298="判定不能"),"判定不能",IF(AJ1298&gt;=判定条件!$C$9,"利用可",IF(AND(S1298="停止",J1298="停止"),"両方停止","運転がそろわない")))</f>
        <v>判定不能</v>
      </c>
      <c r="AL1298" s="30" t="n">
        <v>60</v>
      </c>
      <c r="AM1298" s="30" t="n">
        <v>0</v>
      </c>
      <c r="AN1298" s="30" t="str">
        <f aca="false">IF(OR(V1298="判定不能",M1298="判定不能"),"判定不能",IF(AM1298&gt;=判定条件!$C$9,"利用可",IF(AND(V1298="停止",M1298="停止"),"両方停止","運転がそろわない")))</f>
        <v>両方停止</v>
      </c>
      <c r="AO1298" s="30" t="n">
        <v>0</v>
      </c>
      <c r="AP1298" s="30" t="n">
        <v>0</v>
      </c>
      <c r="AQ1298" s="30" t="str">
        <f aca="false">IF(OR(Y1298="判定不能",G1298="判定不能"),"判定不能",IF(AP1298&gt;=判定条件!$C$9,"利用可",IF(AND(Y1298="停止",G1298="停止"),"両方停止","運転がそろわない")))</f>
        <v>判定不能</v>
      </c>
      <c r="AR1298" s="30" t="n">
        <v>0</v>
      </c>
      <c r="AS1298" s="30" t="n">
        <v>0</v>
      </c>
      <c r="AT1298" s="30" t="str">
        <f aca="false">IF(OR(AB1298="判定不能",J1298="判定不能"),"判定不能",IF(AS1298&gt;=判定条件!$C$9,"利用可",IF(AND(AB1298="停止",J1298="停止"),"両方停止","運転がそろわない")))</f>
        <v>判定不能</v>
      </c>
      <c r="AU1298" s="30" t="n">
        <v>0</v>
      </c>
      <c r="AV1298" s="30" t="n">
        <v>0</v>
      </c>
      <c r="AW1298" s="30" t="str">
        <f aca="false">IF(OR(AE1298="判定不能",M1298="判定不能"),"判定不能",IF(AV1298&gt;=判定条件!$C$9,"利用可",IF(AND(AE1298="停止",M1298="停止"),"両方停止","運転がそろわない")))</f>
        <v>判定不能</v>
      </c>
      <c r="AX1298" s="30" t="str">
        <f aca="false">IF(AND(AH1298="利用可",AK1298="利用可",AN1298="利用可"),"利用可","不可")</f>
        <v>不可</v>
      </c>
      <c r="AY1298" s="30" t="str">
        <f aca="false">IF(AND(AQ1298="利用可",AT1298="利用可",AW1298="利用可"),"利用可","不可")</f>
        <v>不可</v>
      </c>
    </row>
    <row r="1299" customFormat="false" ht="15" hidden="false" customHeight="false" outlineLevel="0" collapsed="false">
      <c r="A1299" s="29" t="n">
        <v>46286</v>
      </c>
      <c r="B1299" s="30" t="n">
        <v>0</v>
      </c>
      <c r="C1299" s="31" t="s">
        <v>66</v>
      </c>
      <c r="D1299" s="31" t="s">
        <v>101</v>
      </c>
      <c r="E1299" s="30" t="n">
        <v>60</v>
      </c>
      <c r="F1299" s="30" t="n">
        <v>0</v>
      </c>
      <c r="G1299" s="30" t="str">
        <f aca="false">IF(E1299&lt;判定条件!$C$6,"判定不能",IF(F1299&gt;=判定条件!$C$7*E1299,"運転",IF(F1299&lt;=判定条件!$C$8*E1299,"停止","断続")))</f>
        <v>停止</v>
      </c>
      <c r="H1299" s="30" t="n">
        <v>0</v>
      </c>
      <c r="I1299" s="30" t="n">
        <v>0</v>
      </c>
      <c r="J1299" s="30" t="str">
        <f aca="false">IF(H1299&lt;判定条件!$C$6,"判定不能",IF(I1299&gt;=判定条件!$C$7*H1299,"運転",IF(I1299&lt;=判定条件!$C$8*H1299,"停止","断続")))</f>
        <v>判定不能</v>
      </c>
      <c r="K1299" s="30" t="n">
        <v>60</v>
      </c>
      <c r="L1299" s="30" t="n">
        <v>0</v>
      </c>
      <c r="M1299" s="30" t="str">
        <f aca="false">IF(K1299&lt;判定条件!$C$6,"判定不能",IF(L1299&gt;=判定条件!$C$7*K1299,"運転",IF(L1299&lt;=判定条件!$C$8*K1299,"停止","断続")))</f>
        <v>停止</v>
      </c>
      <c r="N1299" s="30" t="n">
        <v>60</v>
      </c>
      <c r="O1299" s="30" t="n">
        <v>0</v>
      </c>
      <c r="P1299" s="30" t="str">
        <f aca="false">IF(N1299&lt;判定条件!$C$6,"判定不能",IF(O1299&gt;=判定条件!$C$7*N1299,"運転",IF(O1299&lt;=判定条件!$C$8*N1299,"停止","断続")))</f>
        <v>停止</v>
      </c>
      <c r="Q1299" s="30" t="n">
        <v>60</v>
      </c>
      <c r="R1299" s="30" t="n">
        <v>0</v>
      </c>
      <c r="S1299" s="30" t="str">
        <f aca="false">IF(Q1299&lt;判定条件!$C$6,"判定不能",IF(R1299&gt;=判定条件!$C$7*Q1299,"運転",IF(R1299&lt;=判定条件!$C$8*Q1299,"停止","断続")))</f>
        <v>停止</v>
      </c>
      <c r="T1299" s="30" t="n">
        <v>60</v>
      </c>
      <c r="U1299" s="30" t="n">
        <v>0</v>
      </c>
      <c r="V1299" s="30" t="str">
        <f aca="false">IF(T1299&lt;判定条件!$C$6,"判定不能",IF(U1299&gt;=判定条件!$C$7*T1299,"運転",IF(U1299&lt;=判定条件!$C$8*T1299,"停止","断続")))</f>
        <v>停止</v>
      </c>
      <c r="W1299" s="30" t="n">
        <v>0</v>
      </c>
      <c r="X1299" s="30" t="n">
        <v>0</v>
      </c>
      <c r="Y1299" s="30" t="str">
        <f aca="false">IF(W1299&lt;判定条件!$C$6,"判定不能",IF(X1299&gt;=判定条件!$C$7*W1299,"運転",IF(X1299&lt;=判定条件!$C$8*W1299,"停止","断続")))</f>
        <v>判定不能</v>
      </c>
      <c r="Z1299" s="30" t="n">
        <v>0</v>
      </c>
      <c r="AA1299" s="30" t="n">
        <v>0</v>
      </c>
      <c r="AB1299" s="30" t="str">
        <f aca="false">IF(Z1299&lt;判定条件!$C$6,"判定不能",IF(AA1299&gt;=判定条件!$C$7*Z1299,"運転",IF(AA1299&lt;=判定条件!$C$8*Z1299,"停止","断続")))</f>
        <v>判定不能</v>
      </c>
      <c r="AC1299" s="30" t="n">
        <v>0</v>
      </c>
      <c r="AD1299" s="30" t="n">
        <v>0</v>
      </c>
      <c r="AE1299" s="30" t="str">
        <f aca="false">IF(AC1299&lt;判定条件!$C$6,"判定不能",IF(AD1299&gt;=判定条件!$C$7*AC1299,"運転",IF(AD1299&lt;=判定条件!$C$8*AC1299,"停止","断続")))</f>
        <v>判定不能</v>
      </c>
      <c r="AF1299" s="30" t="n">
        <v>60</v>
      </c>
      <c r="AG1299" s="30" t="n">
        <v>0</v>
      </c>
      <c r="AH1299" s="30" t="str">
        <f aca="false">IF(OR(P1299="判定不能",G1299="判定不能"),"判定不能",IF(AG1299&gt;=判定条件!$C$9,"利用可",IF(AND(P1299="停止",G1299="停止"),"両方停止","運転がそろわない")))</f>
        <v>両方停止</v>
      </c>
      <c r="AI1299" s="30" t="n">
        <v>0</v>
      </c>
      <c r="AJ1299" s="30" t="n">
        <v>0</v>
      </c>
      <c r="AK1299" s="30" t="str">
        <f aca="false">IF(OR(S1299="判定不能",J1299="判定不能"),"判定不能",IF(AJ1299&gt;=判定条件!$C$9,"利用可",IF(AND(S1299="停止",J1299="停止"),"両方停止","運転がそろわない")))</f>
        <v>判定不能</v>
      </c>
      <c r="AL1299" s="30" t="n">
        <v>60</v>
      </c>
      <c r="AM1299" s="30" t="n">
        <v>0</v>
      </c>
      <c r="AN1299" s="30" t="str">
        <f aca="false">IF(OR(V1299="判定不能",M1299="判定不能"),"判定不能",IF(AM1299&gt;=判定条件!$C$9,"利用可",IF(AND(V1299="停止",M1299="停止"),"両方停止","運転がそろわない")))</f>
        <v>両方停止</v>
      </c>
      <c r="AO1299" s="30" t="n">
        <v>0</v>
      </c>
      <c r="AP1299" s="30" t="n">
        <v>0</v>
      </c>
      <c r="AQ1299" s="30" t="str">
        <f aca="false">IF(OR(Y1299="判定不能",G1299="判定不能"),"判定不能",IF(AP1299&gt;=判定条件!$C$9,"利用可",IF(AND(Y1299="停止",G1299="停止"),"両方停止","運転がそろわない")))</f>
        <v>判定不能</v>
      </c>
      <c r="AR1299" s="30" t="n">
        <v>0</v>
      </c>
      <c r="AS1299" s="30" t="n">
        <v>0</v>
      </c>
      <c r="AT1299" s="30" t="str">
        <f aca="false">IF(OR(AB1299="判定不能",J1299="判定不能"),"判定不能",IF(AS1299&gt;=判定条件!$C$9,"利用可",IF(AND(AB1299="停止",J1299="停止"),"両方停止","運転がそろわない")))</f>
        <v>判定不能</v>
      </c>
      <c r="AU1299" s="30" t="n">
        <v>0</v>
      </c>
      <c r="AV1299" s="30" t="n">
        <v>0</v>
      </c>
      <c r="AW1299" s="30" t="str">
        <f aca="false">IF(OR(AE1299="判定不能",M1299="判定不能"),"判定不能",IF(AV1299&gt;=判定条件!$C$9,"利用可",IF(AND(AE1299="停止",M1299="停止"),"両方停止","運転がそろわない")))</f>
        <v>判定不能</v>
      </c>
      <c r="AX1299" s="30" t="str">
        <f aca="false">IF(AND(AH1299="利用可",AK1299="利用可",AN1299="利用可"),"利用可","不可")</f>
        <v>不可</v>
      </c>
      <c r="AY1299" s="30" t="str">
        <f aca="false">IF(AND(AQ1299="利用可",AT1299="利用可",AW1299="利用可"),"利用可","不可")</f>
        <v>不可</v>
      </c>
    </row>
    <row r="1300" customFormat="false" ht="15" hidden="false" customHeight="false" outlineLevel="0" collapsed="false">
      <c r="A1300" s="29" t="n">
        <v>46286</v>
      </c>
      <c r="B1300" s="30" t="n">
        <v>1</v>
      </c>
      <c r="C1300" s="31" t="s">
        <v>66</v>
      </c>
      <c r="D1300" s="31" t="s">
        <v>101</v>
      </c>
      <c r="E1300" s="30" t="n">
        <v>60</v>
      </c>
      <c r="F1300" s="30" t="n">
        <v>0</v>
      </c>
      <c r="G1300" s="30" t="str">
        <f aca="false">IF(E1300&lt;判定条件!$C$6,"判定不能",IF(F1300&gt;=判定条件!$C$7*E1300,"運転",IF(F1300&lt;=判定条件!$C$8*E1300,"停止","断続")))</f>
        <v>停止</v>
      </c>
      <c r="H1300" s="30" t="n">
        <v>0</v>
      </c>
      <c r="I1300" s="30" t="n">
        <v>0</v>
      </c>
      <c r="J1300" s="30" t="str">
        <f aca="false">IF(H1300&lt;判定条件!$C$6,"判定不能",IF(I1300&gt;=判定条件!$C$7*H1300,"運転",IF(I1300&lt;=判定条件!$C$8*H1300,"停止","断続")))</f>
        <v>判定不能</v>
      </c>
      <c r="K1300" s="30" t="n">
        <v>60</v>
      </c>
      <c r="L1300" s="30" t="n">
        <v>0</v>
      </c>
      <c r="M1300" s="30" t="str">
        <f aca="false">IF(K1300&lt;判定条件!$C$6,"判定不能",IF(L1300&gt;=判定条件!$C$7*K1300,"運転",IF(L1300&lt;=判定条件!$C$8*K1300,"停止","断続")))</f>
        <v>停止</v>
      </c>
      <c r="N1300" s="30" t="n">
        <v>60</v>
      </c>
      <c r="O1300" s="30" t="n">
        <v>0</v>
      </c>
      <c r="P1300" s="30" t="str">
        <f aca="false">IF(N1300&lt;判定条件!$C$6,"判定不能",IF(O1300&gt;=判定条件!$C$7*N1300,"運転",IF(O1300&lt;=判定条件!$C$8*N1300,"停止","断続")))</f>
        <v>停止</v>
      </c>
      <c r="Q1300" s="30" t="n">
        <v>60</v>
      </c>
      <c r="R1300" s="30" t="n">
        <v>0</v>
      </c>
      <c r="S1300" s="30" t="str">
        <f aca="false">IF(Q1300&lt;判定条件!$C$6,"判定不能",IF(R1300&gt;=判定条件!$C$7*Q1300,"運転",IF(R1300&lt;=判定条件!$C$8*Q1300,"停止","断続")))</f>
        <v>停止</v>
      </c>
      <c r="T1300" s="30" t="n">
        <v>60</v>
      </c>
      <c r="U1300" s="30" t="n">
        <v>0</v>
      </c>
      <c r="V1300" s="30" t="str">
        <f aca="false">IF(T1300&lt;判定条件!$C$6,"判定不能",IF(U1300&gt;=判定条件!$C$7*T1300,"運転",IF(U1300&lt;=判定条件!$C$8*T1300,"停止","断続")))</f>
        <v>停止</v>
      </c>
      <c r="W1300" s="30" t="n">
        <v>0</v>
      </c>
      <c r="X1300" s="30" t="n">
        <v>0</v>
      </c>
      <c r="Y1300" s="30" t="str">
        <f aca="false">IF(W1300&lt;判定条件!$C$6,"判定不能",IF(X1300&gt;=判定条件!$C$7*W1300,"運転",IF(X1300&lt;=判定条件!$C$8*W1300,"停止","断続")))</f>
        <v>判定不能</v>
      </c>
      <c r="Z1300" s="30" t="n">
        <v>0</v>
      </c>
      <c r="AA1300" s="30" t="n">
        <v>0</v>
      </c>
      <c r="AB1300" s="30" t="str">
        <f aca="false">IF(Z1300&lt;判定条件!$C$6,"判定不能",IF(AA1300&gt;=判定条件!$C$7*Z1300,"運転",IF(AA1300&lt;=判定条件!$C$8*Z1300,"停止","断続")))</f>
        <v>判定不能</v>
      </c>
      <c r="AC1300" s="30" t="n">
        <v>0</v>
      </c>
      <c r="AD1300" s="30" t="n">
        <v>0</v>
      </c>
      <c r="AE1300" s="30" t="str">
        <f aca="false">IF(AC1300&lt;判定条件!$C$6,"判定不能",IF(AD1300&gt;=判定条件!$C$7*AC1300,"運転",IF(AD1300&lt;=判定条件!$C$8*AC1300,"停止","断続")))</f>
        <v>判定不能</v>
      </c>
      <c r="AF1300" s="30" t="n">
        <v>60</v>
      </c>
      <c r="AG1300" s="30" t="n">
        <v>0</v>
      </c>
      <c r="AH1300" s="30" t="str">
        <f aca="false">IF(OR(P1300="判定不能",G1300="判定不能"),"判定不能",IF(AG1300&gt;=判定条件!$C$9,"利用可",IF(AND(P1300="停止",G1300="停止"),"両方停止","運転がそろわない")))</f>
        <v>両方停止</v>
      </c>
      <c r="AI1300" s="30" t="n">
        <v>0</v>
      </c>
      <c r="AJ1300" s="30" t="n">
        <v>0</v>
      </c>
      <c r="AK1300" s="30" t="str">
        <f aca="false">IF(OR(S1300="判定不能",J1300="判定不能"),"判定不能",IF(AJ1300&gt;=判定条件!$C$9,"利用可",IF(AND(S1300="停止",J1300="停止"),"両方停止","運転がそろわない")))</f>
        <v>判定不能</v>
      </c>
      <c r="AL1300" s="30" t="n">
        <v>60</v>
      </c>
      <c r="AM1300" s="30" t="n">
        <v>0</v>
      </c>
      <c r="AN1300" s="30" t="str">
        <f aca="false">IF(OR(V1300="判定不能",M1300="判定不能"),"判定不能",IF(AM1300&gt;=判定条件!$C$9,"利用可",IF(AND(V1300="停止",M1300="停止"),"両方停止","運転がそろわない")))</f>
        <v>両方停止</v>
      </c>
      <c r="AO1300" s="30" t="n">
        <v>0</v>
      </c>
      <c r="AP1300" s="30" t="n">
        <v>0</v>
      </c>
      <c r="AQ1300" s="30" t="str">
        <f aca="false">IF(OR(Y1300="判定不能",G1300="判定不能"),"判定不能",IF(AP1300&gt;=判定条件!$C$9,"利用可",IF(AND(Y1300="停止",G1300="停止"),"両方停止","運転がそろわない")))</f>
        <v>判定不能</v>
      </c>
      <c r="AR1300" s="30" t="n">
        <v>0</v>
      </c>
      <c r="AS1300" s="30" t="n">
        <v>0</v>
      </c>
      <c r="AT1300" s="30" t="str">
        <f aca="false">IF(OR(AB1300="判定不能",J1300="判定不能"),"判定不能",IF(AS1300&gt;=判定条件!$C$9,"利用可",IF(AND(AB1300="停止",J1300="停止"),"両方停止","運転がそろわない")))</f>
        <v>判定不能</v>
      </c>
      <c r="AU1300" s="30" t="n">
        <v>0</v>
      </c>
      <c r="AV1300" s="30" t="n">
        <v>0</v>
      </c>
      <c r="AW1300" s="30" t="str">
        <f aca="false">IF(OR(AE1300="判定不能",M1300="判定不能"),"判定不能",IF(AV1300&gt;=判定条件!$C$9,"利用可",IF(AND(AE1300="停止",M1300="停止"),"両方停止","運転がそろわない")))</f>
        <v>判定不能</v>
      </c>
      <c r="AX1300" s="30" t="str">
        <f aca="false">IF(AND(AH1300="利用可",AK1300="利用可",AN1300="利用可"),"利用可","不可")</f>
        <v>不可</v>
      </c>
      <c r="AY1300" s="30" t="str">
        <f aca="false">IF(AND(AQ1300="利用可",AT1300="利用可",AW1300="利用可"),"利用可","不可")</f>
        <v>不可</v>
      </c>
    </row>
    <row r="1301" customFormat="false" ht="15" hidden="false" customHeight="false" outlineLevel="0" collapsed="false">
      <c r="A1301" s="29" t="n">
        <v>46286</v>
      </c>
      <c r="B1301" s="30" t="n">
        <v>2</v>
      </c>
      <c r="C1301" s="31" t="s">
        <v>66</v>
      </c>
      <c r="D1301" s="31" t="s">
        <v>101</v>
      </c>
      <c r="E1301" s="30" t="n">
        <v>60</v>
      </c>
      <c r="F1301" s="30" t="n">
        <v>0</v>
      </c>
      <c r="G1301" s="30" t="str">
        <f aca="false">IF(E1301&lt;判定条件!$C$6,"判定不能",IF(F1301&gt;=判定条件!$C$7*E1301,"運転",IF(F1301&lt;=判定条件!$C$8*E1301,"停止","断続")))</f>
        <v>停止</v>
      </c>
      <c r="H1301" s="30" t="n">
        <v>0</v>
      </c>
      <c r="I1301" s="30" t="n">
        <v>0</v>
      </c>
      <c r="J1301" s="30" t="str">
        <f aca="false">IF(H1301&lt;判定条件!$C$6,"判定不能",IF(I1301&gt;=判定条件!$C$7*H1301,"運転",IF(I1301&lt;=判定条件!$C$8*H1301,"停止","断続")))</f>
        <v>判定不能</v>
      </c>
      <c r="K1301" s="30" t="n">
        <v>60</v>
      </c>
      <c r="L1301" s="30" t="n">
        <v>0</v>
      </c>
      <c r="M1301" s="30" t="str">
        <f aca="false">IF(K1301&lt;判定条件!$C$6,"判定不能",IF(L1301&gt;=判定条件!$C$7*K1301,"運転",IF(L1301&lt;=判定条件!$C$8*K1301,"停止","断続")))</f>
        <v>停止</v>
      </c>
      <c r="N1301" s="30" t="n">
        <v>60</v>
      </c>
      <c r="O1301" s="30" t="n">
        <v>0</v>
      </c>
      <c r="P1301" s="30" t="str">
        <f aca="false">IF(N1301&lt;判定条件!$C$6,"判定不能",IF(O1301&gt;=判定条件!$C$7*N1301,"運転",IF(O1301&lt;=判定条件!$C$8*N1301,"停止","断続")))</f>
        <v>停止</v>
      </c>
      <c r="Q1301" s="30" t="n">
        <v>60</v>
      </c>
      <c r="R1301" s="30" t="n">
        <v>0</v>
      </c>
      <c r="S1301" s="30" t="str">
        <f aca="false">IF(Q1301&lt;判定条件!$C$6,"判定不能",IF(R1301&gt;=判定条件!$C$7*Q1301,"運転",IF(R1301&lt;=判定条件!$C$8*Q1301,"停止","断続")))</f>
        <v>停止</v>
      </c>
      <c r="T1301" s="30" t="n">
        <v>60</v>
      </c>
      <c r="U1301" s="30" t="n">
        <v>0</v>
      </c>
      <c r="V1301" s="30" t="str">
        <f aca="false">IF(T1301&lt;判定条件!$C$6,"判定不能",IF(U1301&gt;=判定条件!$C$7*T1301,"運転",IF(U1301&lt;=判定条件!$C$8*T1301,"停止","断続")))</f>
        <v>停止</v>
      </c>
      <c r="W1301" s="30" t="n">
        <v>0</v>
      </c>
      <c r="X1301" s="30" t="n">
        <v>0</v>
      </c>
      <c r="Y1301" s="30" t="str">
        <f aca="false">IF(W1301&lt;判定条件!$C$6,"判定不能",IF(X1301&gt;=判定条件!$C$7*W1301,"運転",IF(X1301&lt;=判定条件!$C$8*W1301,"停止","断続")))</f>
        <v>判定不能</v>
      </c>
      <c r="Z1301" s="30" t="n">
        <v>0</v>
      </c>
      <c r="AA1301" s="30" t="n">
        <v>0</v>
      </c>
      <c r="AB1301" s="30" t="str">
        <f aca="false">IF(Z1301&lt;判定条件!$C$6,"判定不能",IF(AA1301&gt;=判定条件!$C$7*Z1301,"運転",IF(AA1301&lt;=判定条件!$C$8*Z1301,"停止","断続")))</f>
        <v>判定不能</v>
      </c>
      <c r="AC1301" s="30" t="n">
        <v>0</v>
      </c>
      <c r="AD1301" s="30" t="n">
        <v>0</v>
      </c>
      <c r="AE1301" s="30" t="str">
        <f aca="false">IF(AC1301&lt;判定条件!$C$6,"判定不能",IF(AD1301&gt;=判定条件!$C$7*AC1301,"運転",IF(AD1301&lt;=判定条件!$C$8*AC1301,"停止","断続")))</f>
        <v>判定不能</v>
      </c>
      <c r="AF1301" s="30" t="n">
        <v>60</v>
      </c>
      <c r="AG1301" s="30" t="n">
        <v>0</v>
      </c>
      <c r="AH1301" s="30" t="str">
        <f aca="false">IF(OR(P1301="判定不能",G1301="判定不能"),"判定不能",IF(AG1301&gt;=判定条件!$C$9,"利用可",IF(AND(P1301="停止",G1301="停止"),"両方停止","運転がそろわない")))</f>
        <v>両方停止</v>
      </c>
      <c r="AI1301" s="30" t="n">
        <v>0</v>
      </c>
      <c r="AJ1301" s="30" t="n">
        <v>0</v>
      </c>
      <c r="AK1301" s="30" t="str">
        <f aca="false">IF(OR(S1301="判定不能",J1301="判定不能"),"判定不能",IF(AJ1301&gt;=判定条件!$C$9,"利用可",IF(AND(S1301="停止",J1301="停止"),"両方停止","運転がそろわない")))</f>
        <v>判定不能</v>
      </c>
      <c r="AL1301" s="30" t="n">
        <v>60</v>
      </c>
      <c r="AM1301" s="30" t="n">
        <v>0</v>
      </c>
      <c r="AN1301" s="30" t="str">
        <f aca="false">IF(OR(V1301="判定不能",M1301="判定不能"),"判定不能",IF(AM1301&gt;=判定条件!$C$9,"利用可",IF(AND(V1301="停止",M1301="停止"),"両方停止","運転がそろわない")))</f>
        <v>両方停止</v>
      </c>
      <c r="AO1301" s="30" t="n">
        <v>0</v>
      </c>
      <c r="AP1301" s="30" t="n">
        <v>0</v>
      </c>
      <c r="AQ1301" s="30" t="str">
        <f aca="false">IF(OR(Y1301="判定不能",G1301="判定不能"),"判定不能",IF(AP1301&gt;=判定条件!$C$9,"利用可",IF(AND(Y1301="停止",G1301="停止"),"両方停止","運転がそろわない")))</f>
        <v>判定不能</v>
      </c>
      <c r="AR1301" s="30" t="n">
        <v>0</v>
      </c>
      <c r="AS1301" s="30" t="n">
        <v>0</v>
      </c>
      <c r="AT1301" s="30" t="str">
        <f aca="false">IF(OR(AB1301="判定不能",J1301="判定不能"),"判定不能",IF(AS1301&gt;=判定条件!$C$9,"利用可",IF(AND(AB1301="停止",J1301="停止"),"両方停止","運転がそろわない")))</f>
        <v>判定不能</v>
      </c>
      <c r="AU1301" s="30" t="n">
        <v>0</v>
      </c>
      <c r="AV1301" s="30" t="n">
        <v>0</v>
      </c>
      <c r="AW1301" s="30" t="str">
        <f aca="false">IF(OR(AE1301="判定不能",M1301="判定不能"),"判定不能",IF(AV1301&gt;=判定条件!$C$9,"利用可",IF(AND(AE1301="停止",M1301="停止"),"両方停止","運転がそろわない")))</f>
        <v>判定不能</v>
      </c>
      <c r="AX1301" s="30" t="str">
        <f aca="false">IF(AND(AH1301="利用可",AK1301="利用可",AN1301="利用可"),"利用可","不可")</f>
        <v>不可</v>
      </c>
      <c r="AY1301" s="30" t="str">
        <f aca="false">IF(AND(AQ1301="利用可",AT1301="利用可",AW1301="利用可"),"利用可","不可")</f>
        <v>不可</v>
      </c>
    </row>
    <row r="1302" customFormat="false" ht="15" hidden="false" customHeight="false" outlineLevel="0" collapsed="false">
      <c r="A1302" s="29" t="n">
        <v>46286</v>
      </c>
      <c r="B1302" s="30" t="n">
        <v>3</v>
      </c>
      <c r="C1302" s="31" t="s">
        <v>66</v>
      </c>
      <c r="D1302" s="31" t="s">
        <v>101</v>
      </c>
      <c r="E1302" s="30" t="n">
        <v>60</v>
      </c>
      <c r="F1302" s="30" t="n">
        <v>0</v>
      </c>
      <c r="G1302" s="30" t="str">
        <f aca="false">IF(E1302&lt;判定条件!$C$6,"判定不能",IF(F1302&gt;=判定条件!$C$7*E1302,"運転",IF(F1302&lt;=判定条件!$C$8*E1302,"停止","断続")))</f>
        <v>停止</v>
      </c>
      <c r="H1302" s="30" t="n">
        <v>0</v>
      </c>
      <c r="I1302" s="30" t="n">
        <v>0</v>
      </c>
      <c r="J1302" s="30" t="str">
        <f aca="false">IF(H1302&lt;判定条件!$C$6,"判定不能",IF(I1302&gt;=判定条件!$C$7*H1302,"運転",IF(I1302&lt;=判定条件!$C$8*H1302,"停止","断続")))</f>
        <v>判定不能</v>
      </c>
      <c r="K1302" s="30" t="n">
        <v>60</v>
      </c>
      <c r="L1302" s="30" t="n">
        <v>0</v>
      </c>
      <c r="M1302" s="30" t="str">
        <f aca="false">IF(K1302&lt;判定条件!$C$6,"判定不能",IF(L1302&gt;=判定条件!$C$7*K1302,"運転",IF(L1302&lt;=判定条件!$C$8*K1302,"停止","断続")))</f>
        <v>停止</v>
      </c>
      <c r="N1302" s="30" t="n">
        <v>60</v>
      </c>
      <c r="O1302" s="30" t="n">
        <v>0</v>
      </c>
      <c r="P1302" s="30" t="str">
        <f aca="false">IF(N1302&lt;判定条件!$C$6,"判定不能",IF(O1302&gt;=判定条件!$C$7*N1302,"運転",IF(O1302&lt;=判定条件!$C$8*N1302,"停止","断続")))</f>
        <v>停止</v>
      </c>
      <c r="Q1302" s="30" t="n">
        <v>60</v>
      </c>
      <c r="R1302" s="30" t="n">
        <v>0</v>
      </c>
      <c r="S1302" s="30" t="str">
        <f aca="false">IF(Q1302&lt;判定条件!$C$6,"判定不能",IF(R1302&gt;=判定条件!$C$7*Q1302,"運転",IF(R1302&lt;=判定条件!$C$8*Q1302,"停止","断続")))</f>
        <v>停止</v>
      </c>
      <c r="T1302" s="30" t="n">
        <v>60</v>
      </c>
      <c r="U1302" s="30" t="n">
        <v>0</v>
      </c>
      <c r="V1302" s="30" t="str">
        <f aca="false">IF(T1302&lt;判定条件!$C$6,"判定不能",IF(U1302&gt;=判定条件!$C$7*T1302,"運転",IF(U1302&lt;=判定条件!$C$8*T1302,"停止","断続")))</f>
        <v>停止</v>
      </c>
      <c r="W1302" s="30" t="n">
        <v>0</v>
      </c>
      <c r="X1302" s="30" t="n">
        <v>0</v>
      </c>
      <c r="Y1302" s="30" t="str">
        <f aca="false">IF(W1302&lt;判定条件!$C$6,"判定不能",IF(X1302&gt;=判定条件!$C$7*W1302,"運転",IF(X1302&lt;=判定条件!$C$8*W1302,"停止","断続")))</f>
        <v>判定不能</v>
      </c>
      <c r="Z1302" s="30" t="n">
        <v>0</v>
      </c>
      <c r="AA1302" s="30" t="n">
        <v>0</v>
      </c>
      <c r="AB1302" s="30" t="str">
        <f aca="false">IF(Z1302&lt;判定条件!$C$6,"判定不能",IF(AA1302&gt;=判定条件!$C$7*Z1302,"運転",IF(AA1302&lt;=判定条件!$C$8*Z1302,"停止","断続")))</f>
        <v>判定不能</v>
      </c>
      <c r="AC1302" s="30" t="n">
        <v>0</v>
      </c>
      <c r="AD1302" s="30" t="n">
        <v>0</v>
      </c>
      <c r="AE1302" s="30" t="str">
        <f aca="false">IF(AC1302&lt;判定条件!$C$6,"判定不能",IF(AD1302&gt;=判定条件!$C$7*AC1302,"運転",IF(AD1302&lt;=判定条件!$C$8*AC1302,"停止","断続")))</f>
        <v>判定不能</v>
      </c>
      <c r="AF1302" s="30" t="n">
        <v>60</v>
      </c>
      <c r="AG1302" s="30" t="n">
        <v>0</v>
      </c>
      <c r="AH1302" s="30" t="str">
        <f aca="false">IF(OR(P1302="判定不能",G1302="判定不能"),"判定不能",IF(AG1302&gt;=判定条件!$C$9,"利用可",IF(AND(P1302="停止",G1302="停止"),"両方停止","運転がそろわない")))</f>
        <v>両方停止</v>
      </c>
      <c r="AI1302" s="30" t="n">
        <v>0</v>
      </c>
      <c r="AJ1302" s="30" t="n">
        <v>0</v>
      </c>
      <c r="AK1302" s="30" t="str">
        <f aca="false">IF(OR(S1302="判定不能",J1302="判定不能"),"判定不能",IF(AJ1302&gt;=判定条件!$C$9,"利用可",IF(AND(S1302="停止",J1302="停止"),"両方停止","運転がそろわない")))</f>
        <v>判定不能</v>
      </c>
      <c r="AL1302" s="30" t="n">
        <v>60</v>
      </c>
      <c r="AM1302" s="30" t="n">
        <v>0</v>
      </c>
      <c r="AN1302" s="30" t="str">
        <f aca="false">IF(OR(V1302="判定不能",M1302="判定不能"),"判定不能",IF(AM1302&gt;=判定条件!$C$9,"利用可",IF(AND(V1302="停止",M1302="停止"),"両方停止","運転がそろわない")))</f>
        <v>両方停止</v>
      </c>
      <c r="AO1302" s="30" t="n">
        <v>0</v>
      </c>
      <c r="AP1302" s="30" t="n">
        <v>0</v>
      </c>
      <c r="AQ1302" s="30" t="str">
        <f aca="false">IF(OR(Y1302="判定不能",G1302="判定不能"),"判定不能",IF(AP1302&gt;=判定条件!$C$9,"利用可",IF(AND(Y1302="停止",G1302="停止"),"両方停止","運転がそろわない")))</f>
        <v>判定不能</v>
      </c>
      <c r="AR1302" s="30" t="n">
        <v>0</v>
      </c>
      <c r="AS1302" s="30" t="n">
        <v>0</v>
      </c>
      <c r="AT1302" s="30" t="str">
        <f aca="false">IF(OR(AB1302="判定不能",J1302="判定不能"),"判定不能",IF(AS1302&gt;=判定条件!$C$9,"利用可",IF(AND(AB1302="停止",J1302="停止"),"両方停止","運転がそろわない")))</f>
        <v>判定不能</v>
      </c>
      <c r="AU1302" s="30" t="n">
        <v>0</v>
      </c>
      <c r="AV1302" s="30" t="n">
        <v>0</v>
      </c>
      <c r="AW1302" s="30" t="str">
        <f aca="false">IF(OR(AE1302="判定不能",M1302="判定不能"),"判定不能",IF(AV1302&gt;=判定条件!$C$9,"利用可",IF(AND(AE1302="停止",M1302="停止"),"両方停止","運転がそろわない")))</f>
        <v>判定不能</v>
      </c>
      <c r="AX1302" s="30" t="str">
        <f aca="false">IF(AND(AH1302="利用可",AK1302="利用可",AN1302="利用可"),"利用可","不可")</f>
        <v>不可</v>
      </c>
      <c r="AY1302" s="30" t="str">
        <f aca="false">IF(AND(AQ1302="利用可",AT1302="利用可",AW1302="利用可"),"利用可","不可")</f>
        <v>不可</v>
      </c>
    </row>
    <row r="1303" customFormat="false" ht="15" hidden="false" customHeight="false" outlineLevel="0" collapsed="false">
      <c r="A1303" s="29" t="n">
        <v>46286</v>
      </c>
      <c r="B1303" s="30" t="n">
        <v>4</v>
      </c>
      <c r="C1303" s="31" t="s">
        <v>66</v>
      </c>
      <c r="D1303" s="31" t="s">
        <v>101</v>
      </c>
      <c r="E1303" s="30" t="n">
        <v>60</v>
      </c>
      <c r="F1303" s="30" t="n">
        <v>0</v>
      </c>
      <c r="G1303" s="30" t="str">
        <f aca="false">IF(E1303&lt;判定条件!$C$6,"判定不能",IF(F1303&gt;=判定条件!$C$7*E1303,"運転",IF(F1303&lt;=判定条件!$C$8*E1303,"停止","断続")))</f>
        <v>停止</v>
      </c>
      <c r="H1303" s="30" t="n">
        <v>0</v>
      </c>
      <c r="I1303" s="30" t="n">
        <v>0</v>
      </c>
      <c r="J1303" s="30" t="str">
        <f aca="false">IF(H1303&lt;判定条件!$C$6,"判定不能",IF(I1303&gt;=判定条件!$C$7*H1303,"運転",IF(I1303&lt;=判定条件!$C$8*H1303,"停止","断続")))</f>
        <v>判定不能</v>
      </c>
      <c r="K1303" s="30" t="n">
        <v>60</v>
      </c>
      <c r="L1303" s="30" t="n">
        <v>0</v>
      </c>
      <c r="M1303" s="30" t="str">
        <f aca="false">IF(K1303&lt;判定条件!$C$6,"判定不能",IF(L1303&gt;=判定条件!$C$7*K1303,"運転",IF(L1303&lt;=判定条件!$C$8*K1303,"停止","断続")))</f>
        <v>停止</v>
      </c>
      <c r="N1303" s="30" t="n">
        <v>60</v>
      </c>
      <c r="O1303" s="30" t="n">
        <v>0</v>
      </c>
      <c r="P1303" s="30" t="str">
        <f aca="false">IF(N1303&lt;判定条件!$C$6,"判定不能",IF(O1303&gt;=判定条件!$C$7*N1303,"運転",IF(O1303&lt;=判定条件!$C$8*N1303,"停止","断続")))</f>
        <v>停止</v>
      </c>
      <c r="Q1303" s="30" t="n">
        <v>60</v>
      </c>
      <c r="R1303" s="30" t="n">
        <v>0</v>
      </c>
      <c r="S1303" s="30" t="str">
        <f aca="false">IF(Q1303&lt;判定条件!$C$6,"判定不能",IF(R1303&gt;=判定条件!$C$7*Q1303,"運転",IF(R1303&lt;=判定条件!$C$8*Q1303,"停止","断続")))</f>
        <v>停止</v>
      </c>
      <c r="T1303" s="30" t="n">
        <v>60</v>
      </c>
      <c r="U1303" s="30" t="n">
        <v>0</v>
      </c>
      <c r="V1303" s="30" t="str">
        <f aca="false">IF(T1303&lt;判定条件!$C$6,"判定不能",IF(U1303&gt;=判定条件!$C$7*T1303,"運転",IF(U1303&lt;=判定条件!$C$8*T1303,"停止","断続")))</f>
        <v>停止</v>
      </c>
      <c r="W1303" s="30" t="n">
        <v>0</v>
      </c>
      <c r="X1303" s="30" t="n">
        <v>0</v>
      </c>
      <c r="Y1303" s="30" t="str">
        <f aca="false">IF(W1303&lt;判定条件!$C$6,"判定不能",IF(X1303&gt;=判定条件!$C$7*W1303,"運転",IF(X1303&lt;=判定条件!$C$8*W1303,"停止","断続")))</f>
        <v>判定不能</v>
      </c>
      <c r="Z1303" s="30" t="n">
        <v>0</v>
      </c>
      <c r="AA1303" s="30" t="n">
        <v>0</v>
      </c>
      <c r="AB1303" s="30" t="str">
        <f aca="false">IF(Z1303&lt;判定条件!$C$6,"判定不能",IF(AA1303&gt;=判定条件!$C$7*Z1303,"運転",IF(AA1303&lt;=判定条件!$C$8*Z1303,"停止","断続")))</f>
        <v>判定不能</v>
      </c>
      <c r="AC1303" s="30" t="n">
        <v>0</v>
      </c>
      <c r="AD1303" s="30" t="n">
        <v>0</v>
      </c>
      <c r="AE1303" s="30" t="str">
        <f aca="false">IF(AC1303&lt;判定条件!$C$6,"判定不能",IF(AD1303&gt;=判定条件!$C$7*AC1303,"運転",IF(AD1303&lt;=判定条件!$C$8*AC1303,"停止","断続")))</f>
        <v>判定不能</v>
      </c>
      <c r="AF1303" s="30" t="n">
        <v>60</v>
      </c>
      <c r="AG1303" s="30" t="n">
        <v>0</v>
      </c>
      <c r="AH1303" s="30" t="str">
        <f aca="false">IF(OR(P1303="判定不能",G1303="判定不能"),"判定不能",IF(AG1303&gt;=判定条件!$C$9,"利用可",IF(AND(P1303="停止",G1303="停止"),"両方停止","運転がそろわない")))</f>
        <v>両方停止</v>
      </c>
      <c r="AI1303" s="30" t="n">
        <v>0</v>
      </c>
      <c r="AJ1303" s="30" t="n">
        <v>0</v>
      </c>
      <c r="AK1303" s="30" t="str">
        <f aca="false">IF(OR(S1303="判定不能",J1303="判定不能"),"判定不能",IF(AJ1303&gt;=判定条件!$C$9,"利用可",IF(AND(S1303="停止",J1303="停止"),"両方停止","運転がそろわない")))</f>
        <v>判定不能</v>
      </c>
      <c r="AL1303" s="30" t="n">
        <v>60</v>
      </c>
      <c r="AM1303" s="30" t="n">
        <v>0</v>
      </c>
      <c r="AN1303" s="30" t="str">
        <f aca="false">IF(OR(V1303="判定不能",M1303="判定不能"),"判定不能",IF(AM1303&gt;=判定条件!$C$9,"利用可",IF(AND(V1303="停止",M1303="停止"),"両方停止","運転がそろわない")))</f>
        <v>両方停止</v>
      </c>
      <c r="AO1303" s="30" t="n">
        <v>0</v>
      </c>
      <c r="AP1303" s="30" t="n">
        <v>0</v>
      </c>
      <c r="AQ1303" s="30" t="str">
        <f aca="false">IF(OR(Y1303="判定不能",G1303="判定不能"),"判定不能",IF(AP1303&gt;=判定条件!$C$9,"利用可",IF(AND(Y1303="停止",G1303="停止"),"両方停止","運転がそろわない")))</f>
        <v>判定不能</v>
      </c>
      <c r="AR1303" s="30" t="n">
        <v>0</v>
      </c>
      <c r="AS1303" s="30" t="n">
        <v>0</v>
      </c>
      <c r="AT1303" s="30" t="str">
        <f aca="false">IF(OR(AB1303="判定不能",J1303="判定不能"),"判定不能",IF(AS1303&gt;=判定条件!$C$9,"利用可",IF(AND(AB1303="停止",J1303="停止"),"両方停止","運転がそろわない")))</f>
        <v>判定不能</v>
      </c>
      <c r="AU1303" s="30" t="n">
        <v>0</v>
      </c>
      <c r="AV1303" s="30" t="n">
        <v>0</v>
      </c>
      <c r="AW1303" s="30" t="str">
        <f aca="false">IF(OR(AE1303="判定不能",M1303="判定不能"),"判定不能",IF(AV1303&gt;=判定条件!$C$9,"利用可",IF(AND(AE1303="停止",M1303="停止"),"両方停止","運転がそろわない")))</f>
        <v>判定不能</v>
      </c>
      <c r="AX1303" s="30" t="str">
        <f aca="false">IF(AND(AH1303="利用可",AK1303="利用可",AN1303="利用可"),"利用可","不可")</f>
        <v>不可</v>
      </c>
      <c r="AY1303" s="30" t="str">
        <f aca="false">IF(AND(AQ1303="利用可",AT1303="利用可",AW1303="利用可"),"利用可","不可")</f>
        <v>不可</v>
      </c>
    </row>
    <row r="1304" customFormat="false" ht="15" hidden="false" customHeight="false" outlineLevel="0" collapsed="false">
      <c r="A1304" s="29" t="n">
        <v>46286</v>
      </c>
      <c r="B1304" s="30" t="n">
        <v>5</v>
      </c>
      <c r="C1304" s="31" t="s">
        <v>66</v>
      </c>
      <c r="D1304" s="31" t="s">
        <v>101</v>
      </c>
      <c r="E1304" s="30" t="n">
        <v>60</v>
      </c>
      <c r="F1304" s="30" t="n">
        <v>0</v>
      </c>
      <c r="G1304" s="30" t="str">
        <f aca="false">IF(E1304&lt;判定条件!$C$6,"判定不能",IF(F1304&gt;=判定条件!$C$7*E1304,"運転",IF(F1304&lt;=判定条件!$C$8*E1304,"停止","断続")))</f>
        <v>停止</v>
      </c>
      <c r="H1304" s="30" t="n">
        <v>0</v>
      </c>
      <c r="I1304" s="30" t="n">
        <v>0</v>
      </c>
      <c r="J1304" s="30" t="str">
        <f aca="false">IF(H1304&lt;判定条件!$C$6,"判定不能",IF(I1304&gt;=判定条件!$C$7*H1304,"運転",IF(I1304&lt;=判定条件!$C$8*H1304,"停止","断続")))</f>
        <v>判定不能</v>
      </c>
      <c r="K1304" s="30" t="n">
        <v>60</v>
      </c>
      <c r="L1304" s="30" t="n">
        <v>0</v>
      </c>
      <c r="M1304" s="30" t="str">
        <f aca="false">IF(K1304&lt;判定条件!$C$6,"判定不能",IF(L1304&gt;=判定条件!$C$7*K1304,"運転",IF(L1304&lt;=判定条件!$C$8*K1304,"停止","断続")))</f>
        <v>停止</v>
      </c>
      <c r="N1304" s="30" t="n">
        <v>60</v>
      </c>
      <c r="O1304" s="30" t="n">
        <v>0</v>
      </c>
      <c r="P1304" s="30" t="str">
        <f aca="false">IF(N1304&lt;判定条件!$C$6,"判定不能",IF(O1304&gt;=判定条件!$C$7*N1304,"運転",IF(O1304&lt;=判定条件!$C$8*N1304,"停止","断続")))</f>
        <v>停止</v>
      </c>
      <c r="Q1304" s="30" t="n">
        <v>60</v>
      </c>
      <c r="R1304" s="30" t="n">
        <v>0</v>
      </c>
      <c r="S1304" s="30" t="str">
        <f aca="false">IF(Q1304&lt;判定条件!$C$6,"判定不能",IF(R1304&gt;=判定条件!$C$7*Q1304,"運転",IF(R1304&lt;=判定条件!$C$8*Q1304,"停止","断続")))</f>
        <v>停止</v>
      </c>
      <c r="T1304" s="30" t="n">
        <v>60</v>
      </c>
      <c r="U1304" s="30" t="n">
        <v>0</v>
      </c>
      <c r="V1304" s="30" t="str">
        <f aca="false">IF(T1304&lt;判定条件!$C$6,"判定不能",IF(U1304&gt;=判定条件!$C$7*T1304,"運転",IF(U1304&lt;=判定条件!$C$8*T1304,"停止","断続")))</f>
        <v>停止</v>
      </c>
      <c r="W1304" s="30" t="n">
        <v>0</v>
      </c>
      <c r="X1304" s="30" t="n">
        <v>0</v>
      </c>
      <c r="Y1304" s="30" t="str">
        <f aca="false">IF(W1304&lt;判定条件!$C$6,"判定不能",IF(X1304&gt;=判定条件!$C$7*W1304,"運転",IF(X1304&lt;=判定条件!$C$8*W1304,"停止","断続")))</f>
        <v>判定不能</v>
      </c>
      <c r="Z1304" s="30" t="n">
        <v>0</v>
      </c>
      <c r="AA1304" s="30" t="n">
        <v>0</v>
      </c>
      <c r="AB1304" s="30" t="str">
        <f aca="false">IF(Z1304&lt;判定条件!$C$6,"判定不能",IF(AA1304&gt;=判定条件!$C$7*Z1304,"運転",IF(AA1304&lt;=判定条件!$C$8*Z1304,"停止","断続")))</f>
        <v>判定不能</v>
      </c>
      <c r="AC1304" s="30" t="n">
        <v>0</v>
      </c>
      <c r="AD1304" s="30" t="n">
        <v>0</v>
      </c>
      <c r="AE1304" s="30" t="str">
        <f aca="false">IF(AC1304&lt;判定条件!$C$6,"判定不能",IF(AD1304&gt;=判定条件!$C$7*AC1304,"運転",IF(AD1304&lt;=判定条件!$C$8*AC1304,"停止","断続")))</f>
        <v>判定不能</v>
      </c>
      <c r="AF1304" s="30" t="n">
        <v>60</v>
      </c>
      <c r="AG1304" s="30" t="n">
        <v>0</v>
      </c>
      <c r="AH1304" s="30" t="str">
        <f aca="false">IF(OR(P1304="判定不能",G1304="判定不能"),"判定不能",IF(AG1304&gt;=判定条件!$C$9,"利用可",IF(AND(P1304="停止",G1304="停止"),"両方停止","運転がそろわない")))</f>
        <v>両方停止</v>
      </c>
      <c r="AI1304" s="30" t="n">
        <v>0</v>
      </c>
      <c r="AJ1304" s="30" t="n">
        <v>0</v>
      </c>
      <c r="AK1304" s="30" t="str">
        <f aca="false">IF(OR(S1304="判定不能",J1304="判定不能"),"判定不能",IF(AJ1304&gt;=判定条件!$C$9,"利用可",IF(AND(S1304="停止",J1304="停止"),"両方停止","運転がそろわない")))</f>
        <v>判定不能</v>
      </c>
      <c r="AL1304" s="30" t="n">
        <v>60</v>
      </c>
      <c r="AM1304" s="30" t="n">
        <v>0</v>
      </c>
      <c r="AN1304" s="30" t="str">
        <f aca="false">IF(OR(V1304="判定不能",M1304="判定不能"),"判定不能",IF(AM1304&gt;=判定条件!$C$9,"利用可",IF(AND(V1304="停止",M1304="停止"),"両方停止","運転がそろわない")))</f>
        <v>両方停止</v>
      </c>
      <c r="AO1304" s="30" t="n">
        <v>0</v>
      </c>
      <c r="AP1304" s="30" t="n">
        <v>0</v>
      </c>
      <c r="AQ1304" s="30" t="str">
        <f aca="false">IF(OR(Y1304="判定不能",G1304="判定不能"),"判定不能",IF(AP1304&gt;=判定条件!$C$9,"利用可",IF(AND(Y1304="停止",G1304="停止"),"両方停止","運転がそろわない")))</f>
        <v>判定不能</v>
      </c>
      <c r="AR1304" s="30" t="n">
        <v>0</v>
      </c>
      <c r="AS1304" s="30" t="n">
        <v>0</v>
      </c>
      <c r="AT1304" s="30" t="str">
        <f aca="false">IF(OR(AB1304="判定不能",J1304="判定不能"),"判定不能",IF(AS1304&gt;=判定条件!$C$9,"利用可",IF(AND(AB1304="停止",J1304="停止"),"両方停止","運転がそろわない")))</f>
        <v>判定不能</v>
      </c>
      <c r="AU1304" s="30" t="n">
        <v>0</v>
      </c>
      <c r="AV1304" s="30" t="n">
        <v>0</v>
      </c>
      <c r="AW1304" s="30" t="str">
        <f aca="false">IF(OR(AE1304="判定不能",M1304="判定不能"),"判定不能",IF(AV1304&gt;=判定条件!$C$9,"利用可",IF(AND(AE1304="停止",M1304="停止"),"両方停止","運転がそろわない")))</f>
        <v>判定不能</v>
      </c>
      <c r="AX1304" s="30" t="str">
        <f aca="false">IF(AND(AH1304="利用可",AK1304="利用可",AN1304="利用可"),"利用可","不可")</f>
        <v>不可</v>
      </c>
      <c r="AY1304" s="30" t="str">
        <f aca="false">IF(AND(AQ1304="利用可",AT1304="利用可",AW1304="利用可"),"利用可","不可")</f>
        <v>不可</v>
      </c>
    </row>
    <row r="1305" customFormat="false" ht="15" hidden="false" customHeight="false" outlineLevel="0" collapsed="false">
      <c r="A1305" s="29" t="n">
        <v>46286</v>
      </c>
      <c r="B1305" s="30" t="n">
        <v>6</v>
      </c>
      <c r="C1305" s="31" t="s">
        <v>66</v>
      </c>
      <c r="D1305" s="31" t="s">
        <v>101</v>
      </c>
      <c r="E1305" s="30" t="n">
        <v>60</v>
      </c>
      <c r="F1305" s="30" t="n">
        <v>0</v>
      </c>
      <c r="G1305" s="30" t="str">
        <f aca="false">IF(E1305&lt;判定条件!$C$6,"判定不能",IF(F1305&gt;=判定条件!$C$7*E1305,"運転",IF(F1305&lt;=判定条件!$C$8*E1305,"停止","断続")))</f>
        <v>停止</v>
      </c>
      <c r="H1305" s="30" t="n">
        <v>0</v>
      </c>
      <c r="I1305" s="30" t="n">
        <v>0</v>
      </c>
      <c r="J1305" s="30" t="str">
        <f aca="false">IF(H1305&lt;判定条件!$C$6,"判定不能",IF(I1305&gt;=判定条件!$C$7*H1305,"運転",IF(I1305&lt;=判定条件!$C$8*H1305,"停止","断続")))</f>
        <v>判定不能</v>
      </c>
      <c r="K1305" s="30" t="n">
        <v>60</v>
      </c>
      <c r="L1305" s="30" t="n">
        <v>0</v>
      </c>
      <c r="M1305" s="30" t="str">
        <f aca="false">IF(K1305&lt;判定条件!$C$6,"判定不能",IF(L1305&gt;=判定条件!$C$7*K1305,"運転",IF(L1305&lt;=判定条件!$C$8*K1305,"停止","断続")))</f>
        <v>停止</v>
      </c>
      <c r="N1305" s="30" t="n">
        <v>60</v>
      </c>
      <c r="O1305" s="30" t="n">
        <v>0</v>
      </c>
      <c r="P1305" s="30" t="str">
        <f aca="false">IF(N1305&lt;判定条件!$C$6,"判定不能",IF(O1305&gt;=判定条件!$C$7*N1305,"運転",IF(O1305&lt;=判定条件!$C$8*N1305,"停止","断続")))</f>
        <v>停止</v>
      </c>
      <c r="Q1305" s="30" t="n">
        <v>60</v>
      </c>
      <c r="R1305" s="30" t="n">
        <v>0</v>
      </c>
      <c r="S1305" s="30" t="str">
        <f aca="false">IF(Q1305&lt;判定条件!$C$6,"判定不能",IF(R1305&gt;=判定条件!$C$7*Q1305,"運転",IF(R1305&lt;=判定条件!$C$8*Q1305,"停止","断続")))</f>
        <v>停止</v>
      </c>
      <c r="T1305" s="30" t="n">
        <v>60</v>
      </c>
      <c r="U1305" s="30" t="n">
        <v>0</v>
      </c>
      <c r="V1305" s="30" t="str">
        <f aca="false">IF(T1305&lt;判定条件!$C$6,"判定不能",IF(U1305&gt;=判定条件!$C$7*T1305,"運転",IF(U1305&lt;=判定条件!$C$8*T1305,"停止","断続")))</f>
        <v>停止</v>
      </c>
      <c r="W1305" s="30" t="n">
        <v>0</v>
      </c>
      <c r="X1305" s="30" t="n">
        <v>0</v>
      </c>
      <c r="Y1305" s="30" t="str">
        <f aca="false">IF(W1305&lt;判定条件!$C$6,"判定不能",IF(X1305&gt;=判定条件!$C$7*W1305,"運転",IF(X1305&lt;=判定条件!$C$8*W1305,"停止","断続")))</f>
        <v>判定不能</v>
      </c>
      <c r="Z1305" s="30" t="n">
        <v>0</v>
      </c>
      <c r="AA1305" s="30" t="n">
        <v>0</v>
      </c>
      <c r="AB1305" s="30" t="str">
        <f aca="false">IF(Z1305&lt;判定条件!$C$6,"判定不能",IF(AA1305&gt;=判定条件!$C$7*Z1305,"運転",IF(AA1305&lt;=判定条件!$C$8*Z1305,"停止","断続")))</f>
        <v>判定不能</v>
      </c>
      <c r="AC1305" s="30" t="n">
        <v>0</v>
      </c>
      <c r="AD1305" s="30" t="n">
        <v>0</v>
      </c>
      <c r="AE1305" s="30" t="str">
        <f aca="false">IF(AC1305&lt;判定条件!$C$6,"判定不能",IF(AD1305&gt;=判定条件!$C$7*AC1305,"運転",IF(AD1305&lt;=判定条件!$C$8*AC1305,"停止","断続")))</f>
        <v>判定不能</v>
      </c>
      <c r="AF1305" s="30" t="n">
        <v>60</v>
      </c>
      <c r="AG1305" s="30" t="n">
        <v>0</v>
      </c>
      <c r="AH1305" s="30" t="str">
        <f aca="false">IF(OR(P1305="判定不能",G1305="判定不能"),"判定不能",IF(AG1305&gt;=判定条件!$C$9,"利用可",IF(AND(P1305="停止",G1305="停止"),"両方停止","運転がそろわない")))</f>
        <v>両方停止</v>
      </c>
      <c r="AI1305" s="30" t="n">
        <v>0</v>
      </c>
      <c r="AJ1305" s="30" t="n">
        <v>0</v>
      </c>
      <c r="AK1305" s="30" t="str">
        <f aca="false">IF(OR(S1305="判定不能",J1305="判定不能"),"判定不能",IF(AJ1305&gt;=判定条件!$C$9,"利用可",IF(AND(S1305="停止",J1305="停止"),"両方停止","運転がそろわない")))</f>
        <v>判定不能</v>
      </c>
      <c r="AL1305" s="30" t="n">
        <v>60</v>
      </c>
      <c r="AM1305" s="30" t="n">
        <v>0</v>
      </c>
      <c r="AN1305" s="30" t="str">
        <f aca="false">IF(OR(V1305="判定不能",M1305="判定不能"),"判定不能",IF(AM1305&gt;=判定条件!$C$9,"利用可",IF(AND(V1305="停止",M1305="停止"),"両方停止","運転がそろわない")))</f>
        <v>両方停止</v>
      </c>
      <c r="AO1305" s="30" t="n">
        <v>0</v>
      </c>
      <c r="AP1305" s="30" t="n">
        <v>0</v>
      </c>
      <c r="AQ1305" s="30" t="str">
        <f aca="false">IF(OR(Y1305="判定不能",G1305="判定不能"),"判定不能",IF(AP1305&gt;=判定条件!$C$9,"利用可",IF(AND(Y1305="停止",G1305="停止"),"両方停止","運転がそろわない")))</f>
        <v>判定不能</v>
      </c>
      <c r="AR1305" s="30" t="n">
        <v>0</v>
      </c>
      <c r="AS1305" s="30" t="n">
        <v>0</v>
      </c>
      <c r="AT1305" s="30" t="str">
        <f aca="false">IF(OR(AB1305="判定不能",J1305="判定不能"),"判定不能",IF(AS1305&gt;=判定条件!$C$9,"利用可",IF(AND(AB1305="停止",J1305="停止"),"両方停止","運転がそろわない")))</f>
        <v>判定不能</v>
      </c>
      <c r="AU1305" s="30" t="n">
        <v>0</v>
      </c>
      <c r="AV1305" s="30" t="n">
        <v>0</v>
      </c>
      <c r="AW1305" s="30" t="str">
        <f aca="false">IF(OR(AE1305="判定不能",M1305="判定不能"),"判定不能",IF(AV1305&gt;=判定条件!$C$9,"利用可",IF(AND(AE1305="停止",M1305="停止"),"両方停止","運転がそろわない")))</f>
        <v>判定不能</v>
      </c>
      <c r="AX1305" s="30" t="str">
        <f aca="false">IF(AND(AH1305="利用可",AK1305="利用可",AN1305="利用可"),"利用可","不可")</f>
        <v>不可</v>
      </c>
      <c r="AY1305" s="30" t="str">
        <f aca="false">IF(AND(AQ1305="利用可",AT1305="利用可",AW1305="利用可"),"利用可","不可")</f>
        <v>不可</v>
      </c>
    </row>
    <row r="1306" customFormat="false" ht="15" hidden="false" customHeight="false" outlineLevel="0" collapsed="false">
      <c r="A1306" s="29" t="n">
        <v>46286</v>
      </c>
      <c r="B1306" s="30" t="n">
        <v>7</v>
      </c>
      <c r="C1306" s="31" t="s">
        <v>66</v>
      </c>
      <c r="D1306" s="31" t="s">
        <v>101</v>
      </c>
      <c r="E1306" s="30" t="n">
        <v>60</v>
      </c>
      <c r="F1306" s="30" t="n">
        <v>0</v>
      </c>
      <c r="G1306" s="30" t="str">
        <f aca="false">IF(E1306&lt;判定条件!$C$6,"判定不能",IF(F1306&gt;=判定条件!$C$7*E1306,"運転",IF(F1306&lt;=判定条件!$C$8*E1306,"停止","断続")))</f>
        <v>停止</v>
      </c>
      <c r="H1306" s="30" t="n">
        <v>0</v>
      </c>
      <c r="I1306" s="30" t="n">
        <v>0</v>
      </c>
      <c r="J1306" s="30" t="str">
        <f aca="false">IF(H1306&lt;判定条件!$C$6,"判定不能",IF(I1306&gt;=判定条件!$C$7*H1306,"運転",IF(I1306&lt;=判定条件!$C$8*H1306,"停止","断続")))</f>
        <v>判定不能</v>
      </c>
      <c r="K1306" s="30" t="n">
        <v>60</v>
      </c>
      <c r="L1306" s="30" t="n">
        <v>0</v>
      </c>
      <c r="M1306" s="30" t="str">
        <f aca="false">IF(K1306&lt;判定条件!$C$6,"判定不能",IF(L1306&gt;=判定条件!$C$7*K1306,"運転",IF(L1306&lt;=判定条件!$C$8*K1306,"停止","断続")))</f>
        <v>停止</v>
      </c>
      <c r="N1306" s="30" t="n">
        <v>60</v>
      </c>
      <c r="O1306" s="30" t="n">
        <v>0</v>
      </c>
      <c r="P1306" s="30" t="str">
        <f aca="false">IF(N1306&lt;判定条件!$C$6,"判定不能",IF(O1306&gt;=判定条件!$C$7*N1306,"運転",IF(O1306&lt;=判定条件!$C$8*N1306,"停止","断続")))</f>
        <v>停止</v>
      </c>
      <c r="Q1306" s="30" t="n">
        <v>60</v>
      </c>
      <c r="R1306" s="30" t="n">
        <v>0</v>
      </c>
      <c r="S1306" s="30" t="str">
        <f aca="false">IF(Q1306&lt;判定条件!$C$6,"判定不能",IF(R1306&gt;=判定条件!$C$7*Q1306,"運転",IF(R1306&lt;=判定条件!$C$8*Q1306,"停止","断続")))</f>
        <v>停止</v>
      </c>
      <c r="T1306" s="30" t="n">
        <v>60</v>
      </c>
      <c r="U1306" s="30" t="n">
        <v>0</v>
      </c>
      <c r="V1306" s="30" t="str">
        <f aca="false">IF(T1306&lt;判定条件!$C$6,"判定不能",IF(U1306&gt;=判定条件!$C$7*T1306,"運転",IF(U1306&lt;=判定条件!$C$8*T1306,"停止","断続")))</f>
        <v>停止</v>
      </c>
      <c r="W1306" s="30" t="n">
        <v>0</v>
      </c>
      <c r="X1306" s="30" t="n">
        <v>0</v>
      </c>
      <c r="Y1306" s="30" t="str">
        <f aca="false">IF(W1306&lt;判定条件!$C$6,"判定不能",IF(X1306&gt;=判定条件!$C$7*W1306,"運転",IF(X1306&lt;=判定条件!$C$8*W1306,"停止","断続")))</f>
        <v>判定不能</v>
      </c>
      <c r="Z1306" s="30" t="n">
        <v>0</v>
      </c>
      <c r="AA1306" s="30" t="n">
        <v>0</v>
      </c>
      <c r="AB1306" s="30" t="str">
        <f aca="false">IF(Z1306&lt;判定条件!$C$6,"判定不能",IF(AA1306&gt;=判定条件!$C$7*Z1306,"運転",IF(AA1306&lt;=判定条件!$C$8*Z1306,"停止","断続")))</f>
        <v>判定不能</v>
      </c>
      <c r="AC1306" s="30" t="n">
        <v>0</v>
      </c>
      <c r="AD1306" s="30" t="n">
        <v>0</v>
      </c>
      <c r="AE1306" s="30" t="str">
        <f aca="false">IF(AC1306&lt;判定条件!$C$6,"判定不能",IF(AD1306&gt;=判定条件!$C$7*AC1306,"運転",IF(AD1306&lt;=判定条件!$C$8*AC1306,"停止","断続")))</f>
        <v>判定不能</v>
      </c>
      <c r="AF1306" s="30" t="n">
        <v>60</v>
      </c>
      <c r="AG1306" s="30" t="n">
        <v>0</v>
      </c>
      <c r="AH1306" s="30" t="str">
        <f aca="false">IF(OR(P1306="判定不能",G1306="判定不能"),"判定不能",IF(AG1306&gt;=判定条件!$C$9,"利用可",IF(AND(P1306="停止",G1306="停止"),"両方停止","運転がそろわない")))</f>
        <v>両方停止</v>
      </c>
      <c r="AI1306" s="30" t="n">
        <v>0</v>
      </c>
      <c r="AJ1306" s="30" t="n">
        <v>0</v>
      </c>
      <c r="AK1306" s="30" t="str">
        <f aca="false">IF(OR(S1306="判定不能",J1306="判定不能"),"判定不能",IF(AJ1306&gt;=判定条件!$C$9,"利用可",IF(AND(S1306="停止",J1306="停止"),"両方停止","運転がそろわない")))</f>
        <v>判定不能</v>
      </c>
      <c r="AL1306" s="30" t="n">
        <v>60</v>
      </c>
      <c r="AM1306" s="30" t="n">
        <v>0</v>
      </c>
      <c r="AN1306" s="30" t="str">
        <f aca="false">IF(OR(V1306="判定不能",M1306="判定不能"),"判定不能",IF(AM1306&gt;=判定条件!$C$9,"利用可",IF(AND(V1306="停止",M1306="停止"),"両方停止","運転がそろわない")))</f>
        <v>両方停止</v>
      </c>
      <c r="AO1306" s="30" t="n">
        <v>0</v>
      </c>
      <c r="AP1306" s="30" t="n">
        <v>0</v>
      </c>
      <c r="AQ1306" s="30" t="str">
        <f aca="false">IF(OR(Y1306="判定不能",G1306="判定不能"),"判定不能",IF(AP1306&gt;=判定条件!$C$9,"利用可",IF(AND(Y1306="停止",G1306="停止"),"両方停止","運転がそろわない")))</f>
        <v>判定不能</v>
      </c>
      <c r="AR1306" s="30" t="n">
        <v>0</v>
      </c>
      <c r="AS1306" s="30" t="n">
        <v>0</v>
      </c>
      <c r="AT1306" s="30" t="str">
        <f aca="false">IF(OR(AB1306="判定不能",J1306="判定不能"),"判定不能",IF(AS1306&gt;=判定条件!$C$9,"利用可",IF(AND(AB1306="停止",J1306="停止"),"両方停止","運転がそろわない")))</f>
        <v>判定不能</v>
      </c>
      <c r="AU1306" s="30" t="n">
        <v>0</v>
      </c>
      <c r="AV1306" s="30" t="n">
        <v>0</v>
      </c>
      <c r="AW1306" s="30" t="str">
        <f aca="false">IF(OR(AE1306="判定不能",M1306="判定不能"),"判定不能",IF(AV1306&gt;=判定条件!$C$9,"利用可",IF(AND(AE1306="停止",M1306="停止"),"両方停止","運転がそろわない")))</f>
        <v>判定不能</v>
      </c>
      <c r="AX1306" s="30" t="str">
        <f aca="false">IF(AND(AH1306="利用可",AK1306="利用可",AN1306="利用可"),"利用可","不可")</f>
        <v>不可</v>
      </c>
      <c r="AY1306" s="30" t="str">
        <f aca="false">IF(AND(AQ1306="利用可",AT1306="利用可",AW1306="利用可"),"利用可","不可")</f>
        <v>不可</v>
      </c>
    </row>
    <row r="1307" customFormat="false" ht="15" hidden="false" customHeight="false" outlineLevel="0" collapsed="false">
      <c r="A1307" s="29" t="n">
        <v>46286</v>
      </c>
      <c r="B1307" s="30" t="n">
        <v>8</v>
      </c>
      <c r="C1307" s="31" t="s">
        <v>66</v>
      </c>
      <c r="D1307" s="31" t="s">
        <v>101</v>
      </c>
      <c r="E1307" s="30" t="n">
        <v>60</v>
      </c>
      <c r="F1307" s="30" t="n">
        <v>0</v>
      </c>
      <c r="G1307" s="30" t="str">
        <f aca="false">IF(E1307&lt;判定条件!$C$6,"判定不能",IF(F1307&gt;=判定条件!$C$7*E1307,"運転",IF(F1307&lt;=判定条件!$C$8*E1307,"停止","断続")))</f>
        <v>停止</v>
      </c>
      <c r="H1307" s="30" t="n">
        <v>0</v>
      </c>
      <c r="I1307" s="30" t="n">
        <v>0</v>
      </c>
      <c r="J1307" s="30" t="str">
        <f aca="false">IF(H1307&lt;判定条件!$C$6,"判定不能",IF(I1307&gt;=判定条件!$C$7*H1307,"運転",IF(I1307&lt;=判定条件!$C$8*H1307,"停止","断続")))</f>
        <v>判定不能</v>
      </c>
      <c r="K1307" s="30" t="n">
        <v>60</v>
      </c>
      <c r="L1307" s="30" t="n">
        <v>0</v>
      </c>
      <c r="M1307" s="30" t="str">
        <f aca="false">IF(K1307&lt;判定条件!$C$6,"判定不能",IF(L1307&gt;=判定条件!$C$7*K1307,"運転",IF(L1307&lt;=判定条件!$C$8*K1307,"停止","断続")))</f>
        <v>停止</v>
      </c>
      <c r="N1307" s="30" t="n">
        <v>60</v>
      </c>
      <c r="O1307" s="30" t="n">
        <v>0</v>
      </c>
      <c r="P1307" s="30" t="str">
        <f aca="false">IF(N1307&lt;判定条件!$C$6,"判定不能",IF(O1307&gt;=判定条件!$C$7*N1307,"運転",IF(O1307&lt;=判定条件!$C$8*N1307,"停止","断続")))</f>
        <v>停止</v>
      </c>
      <c r="Q1307" s="30" t="n">
        <v>60</v>
      </c>
      <c r="R1307" s="30" t="n">
        <v>0</v>
      </c>
      <c r="S1307" s="30" t="str">
        <f aca="false">IF(Q1307&lt;判定条件!$C$6,"判定不能",IF(R1307&gt;=判定条件!$C$7*Q1307,"運転",IF(R1307&lt;=判定条件!$C$8*Q1307,"停止","断続")))</f>
        <v>停止</v>
      </c>
      <c r="T1307" s="30" t="n">
        <v>60</v>
      </c>
      <c r="U1307" s="30" t="n">
        <v>0</v>
      </c>
      <c r="V1307" s="30" t="str">
        <f aca="false">IF(T1307&lt;判定条件!$C$6,"判定不能",IF(U1307&gt;=判定条件!$C$7*T1307,"運転",IF(U1307&lt;=判定条件!$C$8*T1307,"停止","断続")))</f>
        <v>停止</v>
      </c>
      <c r="W1307" s="30" t="n">
        <v>0</v>
      </c>
      <c r="X1307" s="30" t="n">
        <v>0</v>
      </c>
      <c r="Y1307" s="30" t="str">
        <f aca="false">IF(W1307&lt;判定条件!$C$6,"判定不能",IF(X1307&gt;=判定条件!$C$7*W1307,"運転",IF(X1307&lt;=判定条件!$C$8*W1307,"停止","断続")))</f>
        <v>判定不能</v>
      </c>
      <c r="Z1307" s="30" t="n">
        <v>0</v>
      </c>
      <c r="AA1307" s="30" t="n">
        <v>0</v>
      </c>
      <c r="AB1307" s="30" t="str">
        <f aca="false">IF(Z1307&lt;判定条件!$C$6,"判定不能",IF(AA1307&gt;=判定条件!$C$7*Z1307,"運転",IF(AA1307&lt;=判定条件!$C$8*Z1307,"停止","断続")))</f>
        <v>判定不能</v>
      </c>
      <c r="AC1307" s="30" t="n">
        <v>0</v>
      </c>
      <c r="AD1307" s="30" t="n">
        <v>0</v>
      </c>
      <c r="AE1307" s="30" t="str">
        <f aca="false">IF(AC1307&lt;判定条件!$C$6,"判定不能",IF(AD1307&gt;=判定条件!$C$7*AC1307,"運転",IF(AD1307&lt;=判定条件!$C$8*AC1307,"停止","断続")))</f>
        <v>判定不能</v>
      </c>
      <c r="AF1307" s="30" t="n">
        <v>60</v>
      </c>
      <c r="AG1307" s="30" t="n">
        <v>0</v>
      </c>
      <c r="AH1307" s="30" t="str">
        <f aca="false">IF(OR(P1307="判定不能",G1307="判定不能"),"判定不能",IF(AG1307&gt;=判定条件!$C$9,"利用可",IF(AND(P1307="停止",G1307="停止"),"両方停止","運転がそろわない")))</f>
        <v>両方停止</v>
      </c>
      <c r="AI1307" s="30" t="n">
        <v>0</v>
      </c>
      <c r="AJ1307" s="30" t="n">
        <v>0</v>
      </c>
      <c r="AK1307" s="30" t="str">
        <f aca="false">IF(OR(S1307="判定不能",J1307="判定不能"),"判定不能",IF(AJ1307&gt;=判定条件!$C$9,"利用可",IF(AND(S1307="停止",J1307="停止"),"両方停止","運転がそろわない")))</f>
        <v>判定不能</v>
      </c>
      <c r="AL1307" s="30" t="n">
        <v>60</v>
      </c>
      <c r="AM1307" s="30" t="n">
        <v>0</v>
      </c>
      <c r="AN1307" s="30" t="str">
        <f aca="false">IF(OR(V1307="判定不能",M1307="判定不能"),"判定不能",IF(AM1307&gt;=判定条件!$C$9,"利用可",IF(AND(V1307="停止",M1307="停止"),"両方停止","運転がそろわない")))</f>
        <v>両方停止</v>
      </c>
      <c r="AO1307" s="30" t="n">
        <v>0</v>
      </c>
      <c r="AP1307" s="30" t="n">
        <v>0</v>
      </c>
      <c r="AQ1307" s="30" t="str">
        <f aca="false">IF(OR(Y1307="判定不能",G1307="判定不能"),"判定不能",IF(AP1307&gt;=判定条件!$C$9,"利用可",IF(AND(Y1307="停止",G1307="停止"),"両方停止","運転がそろわない")))</f>
        <v>判定不能</v>
      </c>
      <c r="AR1307" s="30" t="n">
        <v>0</v>
      </c>
      <c r="AS1307" s="30" t="n">
        <v>0</v>
      </c>
      <c r="AT1307" s="30" t="str">
        <f aca="false">IF(OR(AB1307="判定不能",J1307="判定不能"),"判定不能",IF(AS1307&gt;=判定条件!$C$9,"利用可",IF(AND(AB1307="停止",J1307="停止"),"両方停止","運転がそろわない")))</f>
        <v>判定不能</v>
      </c>
      <c r="AU1307" s="30" t="n">
        <v>0</v>
      </c>
      <c r="AV1307" s="30" t="n">
        <v>0</v>
      </c>
      <c r="AW1307" s="30" t="str">
        <f aca="false">IF(OR(AE1307="判定不能",M1307="判定不能"),"判定不能",IF(AV1307&gt;=判定条件!$C$9,"利用可",IF(AND(AE1307="停止",M1307="停止"),"両方停止","運転がそろわない")))</f>
        <v>判定不能</v>
      </c>
      <c r="AX1307" s="30" t="str">
        <f aca="false">IF(AND(AH1307="利用可",AK1307="利用可",AN1307="利用可"),"利用可","不可")</f>
        <v>不可</v>
      </c>
      <c r="AY1307" s="30" t="str">
        <f aca="false">IF(AND(AQ1307="利用可",AT1307="利用可",AW1307="利用可"),"利用可","不可")</f>
        <v>不可</v>
      </c>
    </row>
    <row r="1308" customFormat="false" ht="15" hidden="false" customHeight="false" outlineLevel="0" collapsed="false">
      <c r="A1308" s="29" t="n">
        <v>46286</v>
      </c>
      <c r="B1308" s="30" t="n">
        <v>9</v>
      </c>
      <c r="C1308" s="31" t="s">
        <v>66</v>
      </c>
      <c r="D1308" s="31" t="s">
        <v>101</v>
      </c>
      <c r="E1308" s="30" t="n">
        <v>60</v>
      </c>
      <c r="F1308" s="30" t="n">
        <v>0</v>
      </c>
      <c r="G1308" s="30" t="str">
        <f aca="false">IF(E1308&lt;判定条件!$C$6,"判定不能",IF(F1308&gt;=判定条件!$C$7*E1308,"運転",IF(F1308&lt;=判定条件!$C$8*E1308,"停止","断続")))</f>
        <v>停止</v>
      </c>
      <c r="H1308" s="30" t="n">
        <v>0</v>
      </c>
      <c r="I1308" s="30" t="n">
        <v>0</v>
      </c>
      <c r="J1308" s="30" t="str">
        <f aca="false">IF(H1308&lt;判定条件!$C$6,"判定不能",IF(I1308&gt;=判定条件!$C$7*H1308,"運転",IF(I1308&lt;=判定条件!$C$8*H1308,"停止","断続")))</f>
        <v>判定不能</v>
      </c>
      <c r="K1308" s="30" t="n">
        <v>60</v>
      </c>
      <c r="L1308" s="30" t="n">
        <v>6</v>
      </c>
      <c r="M1308" s="30" t="str">
        <f aca="false">IF(K1308&lt;判定条件!$C$6,"判定不能",IF(L1308&gt;=判定条件!$C$7*K1308,"運転",IF(L1308&lt;=判定条件!$C$8*K1308,"停止","断続")))</f>
        <v>停止</v>
      </c>
      <c r="N1308" s="30" t="n">
        <v>60</v>
      </c>
      <c r="O1308" s="30" t="n">
        <v>24</v>
      </c>
      <c r="P1308" s="30" t="str">
        <f aca="false">IF(N1308&lt;判定条件!$C$6,"判定不能",IF(O1308&gt;=判定条件!$C$7*N1308,"運転",IF(O1308&lt;=判定条件!$C$8*N1308,"停止","断続")))</f>
        <v>断続</v>
      </c>
      <c r="Q1308" s="30" t="n">
        <v>60</v>
      </c>
      <c r="R1308" s="30" t="n">
        <v>0</v>
      </c>
      <c r="S1308" s="30" t="str">
        <f aca="false">IF(Q1308&lt;判定条件!$C$6,"判定不能",IF(R1308&gt;=判定条件!$C$7*Q1308,"運転",IF(R1308&lt;=判定条件!$C$8*Q1308,"停止","断続")))</f>
        <v>停止</v>
      </c>
      <c r="T1308" s="30" t="n">
        <v>60</v>
      </c>
      <c r="U1308" s="30" t="n">
        <v>0</v>
      </c>
      <c r="V1308" s="30" t="str">
        <f aca="false">IF(T1308&lt;判定条件!$C$6,"判定不能",IF(U1308&gt;=判定条件!$C$7*T1308,"運転",IF(U1308&lt;=判定条件!$C$8*T1308,"停止","断続")))</f>
        <v>停止</v>
      </c>
      <c r="W1308" s="30" t="n">
        <v>0</v>
      </c>
      <c r="X1308" s="30" t="n">
        <v>0</v>
      </c>
      <c r="Y1308" s="30" t="str">
        <f aca="false">IF(W1308&lt;判定条件!$C$6,"判定不能",IF(X1308&gt;=判定条件!$C$7*W1308,"運転",IF(X1308&lt;=判定条件!$C$8*W1308,"停止","断続")))</f>
        <v>判定不能</v>
      </c>
      <c r="Z1308" s="30" t="n">
        <v>0</v>
      </c>
      <c r="AA1308" s="30" t="n">
        <v>0</v>
      </c>
      <c r="AB1308" s="30" t="str">
        <f aca="false">IF(Z1308&lt;判定条件!$C$6,"判定不能",IF(AA1308&gt;=判定条件!$C$7*Z1308,"運転",IF(AA1308&lt;=判定条件!$C$8*Z1308,"停止","断続")))</f>
        <v>判定不能</v>
      </c>
      <c r="AC1308" s="30" t="n">
        <v>0</v>
      </c>
      <c r="AD1308" s="30" t="n">
        <v>0</v>
      </c>
      <c r="AE1308" s="30" t="str">
        <f aca="false">IF(AC1308&lt;判定条件!$C$6,"判定不能",IF(AD1308&gt;=判定条件!$C$7*AC1308,"運転",IF(AD1308&lt;=判定条件!$C$8*AC1308,"停止","断続")))</f>
        <v>判定不能</v>
      </c>
      <c r="AF1308" s="30" t="n">
        <v>60</v>
      </c>
      <c r="AG1308" s="30" t="n">
        <v>0</v>
      </c>
      <c r="AH1308" s="30" t="str">
        <f aca="false">IF(OR(P1308="判定不能",G1308="判定不能"),"判定不能",IF(AG1308&gt;=判定条件!$C$9,"利用可",IF(AND(P1308="停止",G1308="停止"),"両方停止","運転がそろわない")))</f>
        <v>運転がそろわない</v>
      </c>
      <c r="AI1308" s="30" t="n">
        <v>0</v>
      </c>
      <c r="AJ1308" s="30" t="n">
        <v>0</v>
      </c>
      <c r="AK1308" s="30" t="str">
        <f aca="false">IF(OR(S1308="判定不能",J1308="判定不能"),"判定不能",IF(AJ1308&gt;=判定条件!$C$9,"利用可",IF(AND(S1308="停止",J1308="停止"),"両方停止","運転がそろわない")))</f>
        <v>判定不能</v>
      </c>
      <c r="AL1308" s="30" t="n">
        <v>60</v>
      </c>
      <c r="AM1308" s="30" t="n">
        <v>0</v>
      </c>
      <c r="AN1308" s="30" t="str">
        <f aca="false">IF(OR(V1308="判定不能",M1308="判定不能"),"判定不能",IF(AM1308&gt;=判定条件!$C$9,"利用可",IF(AND(V1308="停止",M1308="停止"),"両方停止","運転がそろわない")))</f>
        <v>両方停止</v>
      </c>
      <c r="AO1308" s="30" t="n">
        <v>0</v>
      </c>
      <c r="AP1308" s="30" t="n">
        <v>0</v>
      </c>
      <c r="AQ1308" s="30" t="str">
        <f aca="false">IF(OR(Y1308="判定不能",G1308="判定不能"),"判定不能",IF(AP1308&gt;=判定条件!$C$9,"利用可",IF(AND(Y1308="停止",G1308="停止"),"両方停止","運転がそろわない")))</f>
        <v>判定不能</v>
      </c>
      <c r="AR1308" s="30" t="n">
        <v>0</v>
      </c>
      <c r="AS1308" s="30" t="n">
        <v>0</v>
      </c>
      <c r="AT1308" s="30" t="str">
        <f aca="false">IF(OR(AB1308="判定不能",J1308="判定不能"),"判定不能",IF(AS1308&gt;=判定条件!$C$9,"利用可",IF(AND(AB1308="停止",J1308="停止"),"両方停止","運転がそろわない")))</f>
        <v>判定不能</v>
      </c>
      <c r="AU1308" s="30" t="n">
        <v>0</v>
      </c>
      <c r="AV1308" s="30" t="n">
        <v>0</v>
      </c>
      <c r="AW1308" s="30" t="str">
        <f aca="false">IF(OR(AE1308="判定不能",M1308="判定不能"),"判定不能",IF(AV1308&gt;=判定条件!$C$9,"利用可",IF(AND(AE1308="停止",M1308="停止"),"両方停止","運転がそろわない")))</f>
        <v>判定不能</v>
      </c>
      <c r="AX1308" s="30" t="str">
        <f aca="false">IF(AND(AH1308="利用可",AK1308="利用可",AN1308="利用可"),"利用可","不可")</f>
        <v>不可</v>
      </c>
      <c r="AY1308" s="30" t="str">
        <f aca="false">IF(AND(AQ1308="利用可",AT1308="利用可",AW1308="利用可"),"利用可","不可")</f>
        <v>不可</v>
      </c>
    </row>
    <row r="1309" customFormat="false" ht="15" hidden="false" customHeight="false" outlineLevel="0" collapsed="false">
      <c r="A1309" s="29" t="n">
        <v>46286</v>
      </c>
      <c r="B1309" s="30" t="n">
        <v>10</v>
      </c>
      <c r="C1309" s="31" t="s">
        <v>66</v>
      </c>
      <c r="D1309" s="31" t="s">
        <v>101</v>
      </c>
      <c r="E1309" s="30" t="n">
        <v>60</v>
      </c>
      <c r="F1309" s="30" t="n">
        <v>0</v>
      </c>
      <c r="G1309" s="30" t="str">
        <f aca="false">IF(E1309&lt;判定条件!$C$6,"判定不能",IF(F1309&gt;=判定条件!$C$7*E1309,"運転",IF(F1309&lt;=判定条件!$C$8*E1309,"停止","断続")))</f>
        <v>停止</v>
      </c>
      <c r="H1309" s="30" t="n">
        <v>0</v>
      </c>
      <c r="I1309" s="30" t="n">
        <v>0</v>
      </c>
      <c r="J1309" s="30" t="str">
        <f aca="false">IF(H1309&lt;判定条件!$C$6,"判定不能",IF(I1309&gt;=判定条件!$C$7*H1309,"運転",IF(I1309&lt;=判定条件!$C$8*H1309,"停止","断続")))</f>
        <v>判定不能</v>
      </c>
      <c r="K1309" s="30" t="n">
        <v>60</v>
      </c>
      <c r="L1309" s="30" t="n">
        <v>0</v>
      </c>
      <c r="M1309" s="30" t="str">
        <f aca="false">IF(K1309&lt;判定条件!$C$6,"判定不能",IF(L1309&gt;=判定条件!$C$7*K1309,"運転",IF(L1309&lt;=判定条件!$C$8*K1309,"停止","断続")))</f>
        <v>停止</v>
      </c>
      <c r="N1309" s="30" t="n">
        <v>60</v>
      </c>
      <c r="O1309" s="30" t="n">
        <v>12</v>
      </c>
      <c r="P1309" s="30" t="str">
        <f aca="false">IF(N1309&lt;判定条件!$C$6,"判定不能",IF(O1309&gt;=判定条件!$C$7*N1309,"運転",IF(O1309&lt;=判定条件!$C$8*N1309,"停止","断続")))</f>
        <v>停止</v>
      </c>
      <c r="Q1309" s="30" t="n">
        <v>60</v>
      </c>
      <c r="R1309" s="30" t="n">
        <v>0</v>
      </c>
      <c r="S1309" s="30" t="str">
        <f aca="false">IF(Q1309&lt;判定条件!$C$6,"判定不能",IF(R1309&gt;=判定条件!$C$7*Q1309,"運転",IF(R1309&lt;=判定条件!$C$8*Q1309,"停止","断続")))</f>
        <v>停止</v>
      </c>
      <c r="T1309" s="30" t="n">
        <v>60</v>
      </c>
      <c r="U1309" s="30" t="n">
        <v>11</v>
      </c>
      <c r="V1309" s="30" t="str">
        <f aca="false">IF(T1309&lt;判定条件!$C$6,"判定不能",IF(U1309&gt;=判定条件!$C$7*T1309,"運転",IF(U1309&lt;=判定条件!$C$8*T1309,"停止","断続")))</f>
        <v>停止</v>
      </c>
      <c r="W1309" s="30" t="n">
        <v>0</v>
      </c>
      <c r="X1309" s="30" t="n">
        <v>0</v>
      </c>
      <c r="Y1309" s="30" t="str">
        <f aca="false">IF(W1309&lt;判定条件!$C$6,"判定不能",IF(X1309&gt;=判定条件!$C$7*W1309,"運転",IF(X1309&lt;=判定条件!$C$8*W1309,"停止","断続")))</f>
        <v>判定不能</v>
      </c>
      <c r="Z1309" s="30" t="n">
        <v>0</v>
      </c>
      <c r="AA1309" s="30" t="n">
        <v>0</v>
      </c>
      <c r="AB1309" s="30" t="str">
        <f aca="false">IF(Z1309&lt;判定条件!$C$6,"判定不能",IF(AA1309&gt;=判定条件!$C$7*Z1309,"運転",IF(AA1309&lt;=判定条件!$C$8*Z1309,"停止","断続")))</f>
        <v>判定不能</v>
      </c>
      <c r="AC1309" s="30" t="n">
        <v>0</v>
      </c>
      <c r="AD1309" s="30" t="n">
        <v>0</v>
      </c>
      <c r="AE1309" s="30" t="str">
        <f aca="false">IF(AC1309&lt;判定条件!$C$6,"判定不能",IF(AD1309&gt;=判定条件!$C$7*AC1309,"運転",IF(AD1309&lt;=判定条件!$C$8*AC1309,"停止","断続")))</f>
        <v>判定不能</v>
      </c>
      <c r="AF1309" s="30" t="n">
        <v>60</v>
      </c>
      <c r="AG1309" s="30" t="n">
        <v>0</v>
      </c>
      <c r="AH1309" s="30" t="str">
        <f aca="false">IF(OR(P1309="判定不能",G1309="判定不能"),"判定不能",IF(AG1309&gt;=判定条件!$C$9,"利用可",IF(AND(P1309="停止",G1309="停止"),"両方停止","運転がそろわない")))</f>
        <v>両方停止</v>
      </c>
      <c r="AI1309" s="30" t="n">
        <v>0</v>
      </c>
      <c r="AJ1309" s="30" t="n">
        <v>0</v>
      </c>
      <c r="AK1309" s="30" t="str">
        <f aca="false">IF(OR(S1309="判定不能",J1309="判定不能"),"判定不能",IF(AJ1309&gt;=判定条件!$C$9,"利用可",IF(AND(S1309="停止",J1309="停止"),"両方停止","運転がそろわない")))</f>
        <v>判定不能</v>
      </c>
      <c r="AL1309" s="30" t="n">
        <v>60</v>
      </c>
      <c r="AM1309" s="30" t="n">
        <v>0</v>
      </c>
      <c r="AN1309" s="30" t="str">
        <f aca="false">IF(OR(V1309="判定不能",M1309="判定不能"),"判定不能",IF(AM1309&gt;=判定条件!$C$9,"利用可",IF(AND(V1309="停止",M1309="停止"),"両方停止","運転がそろわない")))</f>
        <v>両方停止</v>
      </c>
      <c r="AO1309" s="30" t="n">
        <v>0</v>
      </c>
      <c r="AP1309" s="30" t="n">
        <v>0</v>
      </c>
      <c r="AQ1309" s="30" t="str">
        <f aca="false">IF(OR(Y1309="判定不能",G1309="判定不能"),"判定不能",IF(AP1309&gt;=判定条件!$C$9,"利用可",IF(AND(Y1309="停止",G1309="停止"),"両方停止","運転がそろわない")))</f>
        <v>判定不能</v>
      </c>
      <c r="AR1309" s="30" t="n">
        <v>0</v>
      </c>
      <c r="AS1309" s="30" t="n">
        <v>0</v>
      </c>
      <c r="AT1309" s="30" t="str">
        <f aca="false">IF(OR(AB1309="判定不能",J1309="判定不能"),"判定不能",IF(AS1309&gt;=判定条件!$C$9,"利用可",IF(AND(AB1309="停止",J1309="停止"),"両方停止","運転がそろわない")))</f>
        <v>判定不能</v>
      </c>
      <c r="AU1309" s="30" t="n">
        <v>0</v>
      </c>
      <c r="AV1309" s="30" t="n">
        <v>0</v>
      </c>
      <c r="AW1309" s="30" t="str">
        <f aca="false">IF(OR(AE1309="判定不能",M1309="判定不能"),"判定不能",IF(AV1309&gt;=判定条件!$C$9,"利用可",IF(AND(AE1309="停止",M1309="停止"),"両方停止","運転がそろわない")))</f>
        <v>判定不能</v>
      </c>
      <c r="AX1309" s="30" t="str">
        <f aca="false">IF(AND(AH1309="利用可",AK1309="利用可",AN1309="利用可"),"利用可","不可")</f>
        <v>不可</v>
      </c>
      <c r="AY1309" s="30" t="str">
        <f aca="false">IF(AND(AQ1309="利用可",AT1309="利用可",AW1309="利用可"),"利用可","不可")</f>
        <v>不可</v>
      </c>
    </row>
    <row r="1310" customFormat="false" ht="15" hidden="false" customHeight="false" outlineLevel="0" collapsed="false">
      <c r="A1310" s="29" t="n">
        <v>46286</v>
      </c>
      <c r="B1310" s="30" t="n">
        <v>11</v>
      </c>
      <c r="C1310" s="31" t="s">
        <v>66</v>
      </c>
      <c r="D1310" s="31" t="s">
        <v>101</v>
      </c>
      <c r="E1310" s="30" t="n">
        <v>60</v>
      </c>
      <c r="F1310" s="30" t="n">
        <v>0</v>
      </c>
      <c r="G1310" s="30" t="str">
        <f aca="false">IF(E1310&lt;判定条件!$C$6,"判定不能",IF(F1310&gt;=判定条件!$C$7*E1310,"運転",IF(F1310&lt;=判定条件!$C$8*E1310,"停止","断続")))</f>
        <v>停止</v>
      </c>
      <c r="H1310" s="30" t="n">
        <v>0</v>
      </c>
      <c r="I1310" s="30" t="n">
        <v>0</v>
      </c>
      <c r="J1310" s="30" t="str">
        <f aca="false">IF(H1310&lt;判定条件!$C$6,"判定不能",IF(I1310&gt;=判定条件!$C$7*H1310,"運転",IF(I1310&lt;=判定条件!$C$8*H1310,"停止","断続")))</f>
        <v>判定不能</v>
      </c>
      <c r="K1310" s="30" t="n">
        <v>60</v>
      </c>
      <c r="L1310" s="30" t="n">
        <v>40</v>
      </c>
      <c r="M1310" s="30" t="str">
        <f aca="false">IF(K1310&lt;判定条件!$C$6,"判定不能",IF(L1310&gt;=判定条件!$C$7*K1310,"運転",IF(L1310&lt;=判定条件!$C$8*K1310,"停止","断続")))</f>
        <v>断続</v>
      </c>
      <c r="N1310" s="30" t="n">
        <v>60</v>
      </c>
      <c r="O1310" s="30" t="n">
        <v>8</v>
      </c>
      <c r="P1310" s="30" t="str">
        <f aca="false">IF(N1310&lt;判定条件!$C$6,"判定不能",IF(O1310&gt;=判定条件!$C$7*N1310,"運転",IF(O1310&lt;=判定条件!$C$8*N1310,"停止","断続")))</f>
        <v>停止</v>
      </c>
      <c r="Q1310" s="30" t="n">
        <v>60</v>
      </c>
      <c r="R1310" s="30" t="n">
        <v>0</v>
      </c>
      <c r="S1310" s="30" t="str">
        <f aca="false">IF(Q1310&lt;判定条件!$C$6,"判定不能",IF(R1310&gt;=判定条件!$C$7*Q1310,"運転",IF(R1310&lt;=判定条件!$C$8*Q1310,"停止","断続")))</f>
        <v>停止</v>
      </c>
      <c r="T1310" s="30" t="n">
        <v>60</v>
      </c>
      <c r="U1310" s="30" t="n">
        <v>0</v>
      </c>
      <c r="V1310" s="30" t="str">
        <f aca="false">IF(T1310&lt;判定条件!$C$6,"判定不能",IF(U1310&gt;=判定条件!$C$7*T1310,"運転",IF(U1310&lt;=判定条件!$C$8*T1310,"停止","断続")))</f>
        <v>停止</v>
      </c>
      <c r="W1310" s="30" t="n">
        <v>0</v>
      </c>
      <c r="X1310" s="30" t="n">
        <v>0</v>
      </c>
      <c r="Y1310" s="30" t="str">
        <f aca="false">IF(W1310&lt;判定条件!$C$6,"判定不能",IF(X1310&gt;=判定条件!$C$7*W1310,"運転",IF(X1310&lt;=判定条件!$C$8*W1310,"停止","断続")))</f>
        <v>判定不能</v>
      </c>
      <c r="Z1310" s="30" t="n">
        <v>0</v>
      </c>
      <c r="AA1310" s="30" t="n">
        <v>0</v>
      </c>
      <c r="AB1310" s="30" t="str">
        <f aca="false">IF(Z1310&lt;判定条件!$C$6,"判定不能",IF(AA1310&gt;=判定条件!$C$7*Z1310,"運転",IF(AA1310&lt;=判定条件!$C$8*Z1310,"停止","断続")))</f>
        <v>判定不能</v>
      </c>
      <c r="AC1310" s="30" t="n">
        <v>0</v>
      </c>
      <c r="AD1310" s="30" t="n">
        <v>0</v>
      </c>
      <c r="AE1310" s="30" t="str">
        <f aca="false">IF(AC1310&lt;判定条件!$C$6,"判定不能",IF(AD1310&gt;=判定条件!$C$7*AC1310,"運転",IF(AD1310&lt;=判定条件!$C$8*AC1310,"停止","断続")))</f>
        <v>判定不能</v>
      </c>
      <c r="AF1310" s="30" t="n">
        <v>60</v>
      </c>
      <c r="AG1310" s="30" t="n">
        <v>0</v>
      </c>
      <c r="AH1310" s="30" t="str">
        <f aca="false">IF(OR(P1310="判定不能",G1310="判定不能"),"判定不能",IF(AG1310&gt;=判定条件!$C$9,"利用可",IF(AND(P1310="停止",G1310="停止"),"両方停止","運転がそろわない")))</f>
        <v>両方停止</v>
      </c>
      <c r="AI1310" s="30" t="n">
        <v>0</v>
      </c>
      <c r="AJ1310" s="30" t="n">
        <v>0</v>
      </c>
      <c r="AK1310" s="30" t="str">
        <f aca="false">IF(OR(S1310="判定不能",J1310="判定不能"),"判定不能",IF(AJ1310&gt;=判定条件!$C$9,"利用可",IF(AND(S1310="停止",J1310="停止"),"両方停止","運転がそろわない")))</f>
        <v>判定不能</v>
      </c>
      <c r="AL1310" s="30" t="n">
        <v>60</v>
      </c>
      <c r="AM1310" s="30" t="n">
        <v>0</v>
      </c>
      <c r="AN1310" s="30" t="str">
        <f aca="false">IF(OR(V1310="判定不能",M1310="判定不能"),"判定不能",IF(AM1310&gt;=判定条件!$C$9,"利用可",IF(AND(V1310="停止",M1310="停止"),"両方停止","運転がそろわない")))</f>
        <v>運転がそろわない</v>
      </c>
      <c r="AO1310" s="30" t="n">
        <v>0</v>
      </c>
      <c r="AP1310" s="30" t="n">
        <v>0</v>
      </c>
      <c r="AQ1310" s="30" t="str">
        <f aca="false">IF(OR(Y1310="判定不能",G1310="判定不能"),"判定不能",IF(AP1310&gt;=判定条件!$C$9,"利用可",IF(AND(Y1310="停止",G1310="停止"),"両方停止","運転がそろわない")))</f>
        <v>判定不能</v>
      </c>
      <c r="AR1310" s="30" t="n">
        <v>0</v>
      </c>
      <c r="AS1310" s="30" t="n">
        <v>0</v>
      </c>
      <c r="AT1310" s="30" t="str">
        <f aca="false">IF(OR(AB1310="判定不能",J1310="判定不能"),"判定不能",IF(AS1310&gt;=判定条件!$C$9,"利用可",IF(AND(AB1310="停止",J1310="停止"),"両方停止","運転がそろわない")))</f>
        <v>判定不能</v>
      </c>
      <c r="AU1310" s="30" t="n">
        <v>0</v>
      </c>
      <c r="AV1310" s="30" t="n">
        <v>0</v>
      </c>
      <c r="AW1310" s="30" t="str">
        <f aca="false">IF(OR(AE1310="判定不能",M1310="判定不能"),"判定不能",IF(AV1310&gt;=判定条件!$C$9,"利用可",IF(AND(AE1310="停止",M1310="停止"),"両方停止","運転がそろわない")))</f>
        <v>判定不能</v>
      </c>
      <c r="AX1310" s="30" t="str">
        <f aca="false">IF(AND(AH1310="利用可",AK1310="利用可",AN1310="利用可"),"利用可","不可")</f>
        <v>不可</v>
      </c>
      <c r="AY1310" s="30" t="str">
        <f aca="false">IF(AND(AQ1310="利用可",AT1310="利用可",AW1310="利用可"),"利用可","不可")</f>
        <v>不可</v>
      </c>
    </row>
    <row r="1311" customFormat="false" ht="15" hidden="false" customHeight="false" outlineLevel="0" collapsed="false">
      <c r="A1311" s="29" t="n">
        <v>46286</v>
      </c>
      <c r="B1311" s="30" t="n">
        <v>12</v>
      </c>
      <c r="C1311" s="31" t="s">
        <v>66</v>
      </c>
      <c r="D1311" s="31" t="s">
        <v>101</v>
      </c>
      <c r="E1311" s="30" t="n">
        <v>60</v>
      </c>
      <c r="F1311" s="30" t="n">
        <v>0</v>
      </c>
      <c r="G1311" s="30" t="str">
        <f aca="false">IF(E1311&lt;判定条件!$C$6,"判定不能",IF(F1311&gt;=判定条件!$C$7*E1311,"運転",IF(F1311&lt;=判定条件!$C$8*E1311,"停止","断続")))</f>
        <v>停止</v>
      </c>
      <c r="H1311" s="30" t="n">
        <v>0</v>
      </c>
      <c r="I1311" s="30" t="n">
        <v>0</v>
      </c>
      <c r="J1311" s="30" t="str">
        <f aca="false">IF(H1311&lt;判定条件!$C$6,"判定不能",IF(I1311&gt;=判定条件!$C$7*H1311,"運転",IF(I1311&lt;=判定条件!$C$8*H1311,"停止","断続")))</f>
        <v>判定不能</v>
      </c>
      <c r="K1311" s="30" t="n">
        <v>60</v>
      </c>
      <c r="L1311" s="30" t="n">
        <v>25</v>
      </c>
      <c r="M1311" s="30" t="str">
        <f aca="false">IF(K1311&lt;判定条件!$C$6,"判定不能",IF(L1311&gt;=判定条件!$C$7*K1311,"運転",IF(L1311&lt;=判定条件!$C$8*K1311,"停止","断続")))</f>
        <v>断続</v>
      </c>
      <c r="N1311" s="30" t="n">
        <v>60</v>
      </c>
      <c r="O1311" s="30" t="n">
        <v>0</v>
      </c>
      <c r="P1311" s="30" t="str">
        <f aca="false">IF(N1311&lt;判定条件!$C$6,"判定不能",IF(O1311&gt;=判定条件!$C$7*N1311,"運転",IF(O1311&lt;=判定条件!$C$8*N1311,"停止","断続")))</f>
        <v>停止</v>
      </c>
      <c r="Q1311" s="30" t="n">
        <v>60</v>
      </c>
      <c r="R1311" s="30" t="n">
        <v>0</v>
      </c>
      <c r="S1311" s="30" t="str">
        <f aca="false">IF(Q1311&lt;判定条件!$C$6,"判定不能",IF(R1311&gt;=判定条件!$C$7*Q1311,"運転",IF(R1311&lt;=判定条件!$C$8*Q1311,"停止","断続")))</f>
        <v>停止</v>
      </c>
      <c r="T1311" s="30" t="n">
        <v>60</v>
      </c>
      <c r="U1311" s="30" t="n">
        <v>0</v>
      </c>
      <c r="V1311" s="30" t="str">
        <f aca="false">IF(T1311&lt;判定条件!$C$6,"判定不能",IF(U1311&gt;=判定条件!$C$7*T1311,"運転",IF(U1311&lt;=判定条件!$C$8*T1311,"停止","断続")))</f>
        <v>停止</v>
      </c>
      <c r="W1311" s="30" t="n">
        <v>0</v>
      </c>
      <c r="X1311" s="30" t="n">
        <v>0</v>
      </c>
      <c r="Y1311" s="30" t="str">
        <f aca="false">IF(W1311&lt;判定条件!$C$6,"判定不能",IF(X1311&gt;=判定条件!$C$7*W1311,"運転",IF(X1311&lt;=判定条件!$C$8*W1311,"停止","断続")))</f>
        <v>判定不能</v>
      </c>
      <c r="Z1311" s="30" t="n">
        <v>0</v>
      </c>
      <c r="AA1311" s="30" t="n">
        <v>0</v>
      </c>
      <c r="AB1311" s="30" t="str">
        <f aca="false">IF(Z1311&lt;判定条件!$C$6,"判定不能",IF(AA1311&gt;=判定条件!$C$7*Z1311,"運転",IF(AA1311&lt;=判定条件!$C$8*Z1311,"停止","断続")))</f>
        <v>判定不能</v>
      </c>
      <c r="AC1311" s="30" t="n">
        <v>0</v>
      </c>
      <c r="AD1311" s="30" t="n">
        <v>0</v>
      </c>
      <c r="AE1311" s="30" t="str">
        <f aca="false">IF(AC1311&lt;判定条件!$C$6,"判定不能",IF(AD1311&gt;=判定条件!$C$7*AC1311,"運転",IF(AD1311&lt;=判定条件!$C$8*AC1311,"停止","断続")))</f>
        <v>判定不能</v>
      </c>
      <c r="AF1311" s="30" t="n">
        <v>60</v>
      </c>
      <c r="AG1311" s="30" t="n">
        <v>0</v>
      </c>
      <c r="AH1311" s="30" t="str">
        <f aca="false">IF(OR(P1311="判定不能",G1311="判定不能"),"判定不能",IF(AG1311&gt;=判定条件!$C$9,"利用可",IF(AND(P1311="停止",G1311="停止"),"両方停止","運転がそろわない")))</f>
        <v>両方停止</v>
      </c>
      <c r="AI1311" s="30" t="n">
        <v>0</v>
      </c>
      <c r="AJ1311" s="30" t="n">
        <v>0</v>
      </c>
      <c r="AK1311" s="30" t="str">
        <f aca="false">IF(OR(S1311="判定不能",J1311="判定不能"),"判定不能",IF(AJ1311&gt;=判定条件!$C$9,"利用可",IF(AND(S1311="停止",J1311="停止"),"両方停止","運転がそろわない")))</f>
        <v>判定不能</v>
      </c>
      <c r="AL1311" s="30" t="n">
        <v>60</v>
      </c>
      <c r="AM1311" s="30" t="n">
        <v>0</v>
      </c>
      <c r="AN1311" s="30" t="str">
        <f aca="false">IF(OR(V1311="判定不能",M1311="判定不能"),"判定不能",IF(AM1311&gt;=判定条件!$C$9,"利用可",IF(AND(V1311="停止",M1311="停止"),"両方停止","運転がそろわない")))</f>
        <v>運転がそろわない</v>
      </c>
      <c r="AO1311" s="30" t="n">
        <v>0</v>
      </c>
      <c r="AP1311" s="30" t="n">
        <v>0</v>
      </c>
      <c r="AQ1311" s="30" t="str">
        <f aca="false">IF(OR(Y1311="判定不能",G1311="判定不能"),"判定不能",IF(AP1311&gt;=判定条件!$C$9,"利用可",IF(AND(Y1311="停止",G1311="停止"),"両方停止","運転がそろわない")))</f>
        <v>判定不能</v>
      </c>
      <c r="AR1311" s="30" t="n">
        <v>0</v>
      </c>
      <c r="AS1311" s="30" t="n">
        <v>0</v>
      </c>
      <c r="AT1311" s="30" t="str">
        <f aca="false">IF(OR(AB1311="判定不能",J1311="判定不能"),"判定不能",IF(AS1311&gt;=判定条件!$C$9,"利用可",IF(AND(AB1311="停止",J1311="停止"),"両方停止","運転がそろわない")))</f>
        <v>判定不能</v>
      </c>
      <c r="AU1311" s="30" t="n">
        <v>0</v>
      </c>
      <c r="AV1311" s="30" t="n">
        <v>0</v>
      </c>
      <c r="AW1311" s="30" t="str">
        <f aca="false">IF(OR(AE1311="判定不能",M1311="判定不能"),"判定不能",IF(AV1311&gt;=判定条件!$C$9,"利用可",IF(AND(AE1311="停止",M1311="停止"),"両方停止","運転がそろわない")))</f>
        <v>判定不能</v>
      </c>
      <c r="AX1311" s="30" t="str">
        <f aca="false">IF(AND(AH1311="利用可",AK1311="利用可",AN1311="利用可"),"利用可","不可")</f>
        <v>不可</v>
      </c>
      <c r="AY1311" s="30" t="str">
        <f aca="false">IF(AND(AQ1311="利用可",AT1311="利用可",AW1311="利用可"),"利用可","不可")</f>
        <v>不可</v>
      </c>
    </row>
    <row r="1312" customFormat="false" ht="15" hidden="false" customHeight="false" outlineLevel="0" collapsed="false">
      <c r="A1312" s="29" t="n">
        <v>46286</v>
      </c>
      <c r="B1312" s="30" t="n">
        <v>13</v>
      </c>
      <c r="C1312" s="31" t="s">
        <v>66</v>
      </c>
      <c r="D1312" s="31" t="s">
        <v>101</v>
      </c>
      <c r="E1312" s="30" t="n">
        <v>60</v>
      </c>
      <c r="F1312" s="30" t="n">
        <v>0</v>
      </c>
      <c r="G1312" s="30" t="str">
        <f aca="false">IF(E1312&lt;判定条件!$C$6,"判定不能",IF(F1312&gt;=判定条件!$C$7*E1312,"運転",IF(F1312&lt;=判定条件!$C$8*E1312,"停止","断続")))</f>
        <v>停止</v>
      </c>
      <c r="H1312" s="30" t="n">
        <v>0</v>
      </c>
      <c r="I1312" s="30" t="n">
        <v>0</v>
      </c>
      <c r="J1312" s="30" t="str">
        <f aca="false">IF(H1312&lt;判定条件!$C$6,"判定不能",IF(I1312&gt;=判定条件!$C$7*H1312,"運転",IF(I1312&lt;=判定条件!$C$8*H1312,"停止","断続")))</f>
        <v>判定不能</v>
      </c>
      <c r="K1312" s="30" t="n">
        <v>60</v>
      </c>
      <c r="L1312" s="30" t="n">
        <v>20</v>
      </c>
      <c r="M1312" s="30" t="str">
        <f aca="false">IF(K1312&lt;判定条件!$C$6,"判定不能",IF(L1312&gt;=判定条件!$C$7*K1312,"運転",IF(L1312&lt;=判定条件!$C$8*K1312,"停止","断続")))</f>
        <v>断続</v>
      </c>
      <c r="N1312" s="30" t="n">
        <v>60</v>
      </c>
      <c r="O1312" s="30" t="n">
        <v>0</v>
      </c>
      <c r="P1312" s="30" t="str">
        <f aca="false">IF(N1312&lt;判定条件!$C$6,"判定不能",IF(O1312&gt;=判定条件!$C$7*N1312,"運転",IF(O1312&lt;=判定条件!$C$8*N1312,"停止","断続")))</f>
        <v>停止</v>
      </c>
      <c r="Q1312" s="30" t="n">
        <v>60</v>
      </c>
      <c r="R1312" s="30" t="n">
        <v>0</v>
      </c>
      <c r="S1312" s="30" t="str">
        <f aca="false">IF(Q1312&lt;判定条件!$C$6,"判定不能",IF(R1312&gt;=判定条件!$C$7*Q1312,"運転",IF(R1312&lt;=判定条件!$C$8*Q1312,"停止","断続")))</f>
        <v>停止</v>
      </c>
      <c r="T1312" s="30" t="n">
        <v>60</v>
      </c>
      <c r="U1312" s="30" t="n">
        <v>0</v>
      </c>
      <c r="V1312" s="30" t="str">
        <f aca="false">IF(T1312&lt;判定条件!$C$6,"判定不能",IF(U1312&gt;=判定条件!$C$7*T1312,"運転",IF(U1312&lt;=判定条件!$C$8*T1312,"停止","断続")))</f>
        <v>停止</v>
      </c>
      <c r="W1312" s="30" t="n">
        <v>0</v>
      </c>
      <c r="X1312" s="30" t="n">
        <v>0</v>
      </c>
      <c r="Y1312" s="30" t="str">
        <f aca="false">IF(W1312&lt;判定条件!$C$6,"判定不能",IF(X1312&gt;=判定条件!$C$7*W1312,"運転",IF(X1312&lt;=判定条件!$C$8*W1312,"停止","断続")))</f>
        <v>判定不能</v>
      </c>
      <c r="Z1312" s="30" t="n">
        <v>0</v>
      </c>
      <c r="AA1312" s="30" t="n">
        <v>0</v>
      </c>
      <c r="AB1312" s="30" t="str">
        <f aca="false">IF(Z1312&lt;判定条件!$C$6,"判定不能",IF(AA1312&gt;=判定条件!$C$7*Z1312,"運転",IF(AA1312&lt;=判定条件!$C$8*Z1312,"停止","断続")))</f>
        <v>判定不能</v>
      </c>
      <c r="AC1312" s="30" t="n">
        <v>0</v>
      </c>
      <c r="AD1312" s="30" t="n">
        <v>0</v>
      </c>
      <c r="AE1312" s="30" t="str">
        <f aca="false">IF(AC1312&lt;判定条件!$C$6,"判定不能",IF(AD1312&gt;=判定条件!$C$7*AC1312,"運転",IF(AD1312&lt;=判定条件!$C$8*AC1312,"停止","断続")))</f>
        <v>判定不能</v>
      </c>
      <c r="AF1312" s="30" t="n">
        <v>60</v>
      </c>
      <c r="AG1312" s="30" t="n">
        <v>0</v>
      </c>
      <c r="AH1312" s="30" t="str">
        <f aca="false">IF(OR(P1312="判定不能",G1312="判定不能"),"判定不能",IF(AG1312&gt;=判定条件!$C$9,"利用可",IF(AND(P1312="停止",G1312="停止"),"両方停止","運転がそろわない")))</f>
        <v>両方停止</v>
      </c>
      <c r="AI1312" s="30" t="n">
        <v>0</v>
      </c>
      <c r="AJ1312" s="30" t="n">
        <v>0</v>
      </c>
      <c r="AK1312" s="30" t="str">
        <f aca="false">IF(OR(S1312="判定不能",J1312="判定不能"),"判定不能",IF(AJ1312&gt;=判定条件!$C$9,"利用可",IF(AND(S1312="停止",J1312="停止"),"両方停止","運転がそろわない")))</f>
        <v>判定不能</v>
      </c>
      <c r="AL1312" s="30" t="n">
        <v>60</v>
      </c>
      <c r="AM1312" s="30" t="n">
        <v>0</v>
      </c>
      <c r="AN1312" s="30" t="str">
        <f aca="false">IF(OR(V1312="判定不能",M1312="判定不能"),"判定不能",IF(AM1312&gt;=判定条件!$C$9,"利用可",IF(AND(V1312="停止",M1312="停止"),"両方停止","運転がそろわない")))</f>
        <v>運転がそろわない</v>
      </c>
      <c r="AO1312" s="30" t="n">
        <v>0</v>
      </c>
      <c r="AP1312" s="30" t="n">
        <v>0</v>
      </c>
      <c r="AQ1312" s="30" t="str">
        <f aca="false">IF(OR(Y1312="判定不能",G1312="判定不能"),"判定不能",IF(AP1312&gt;=判定条件!$C$9,"利用可",IF(AND(Y1312="停止",G1312="停止"),"両方停止","運転がそろわない")))</f>
        <v>判定不能</v>
      </c>
      <c r="AR1312" s="30" t="n">
        <v>0</v>
      </c>
      <c r="AS1312" s="30" t="n">
        <v>0</v>
      </c>
      <c r="AT1312" s="30" t="str">
        <f aca="false">IF(OR(AB1312="判定不能",J1312="判定不能"),"判定不能",IF(AS1312&gt;=判定条件!$C$9,"利用可",IF(AND(AB1312="停止",J1312="停止"),"両方停止","運転がそろわない")))</f>
        <v>判定不能</v>
      </c>
      <c r="AU1312" s="30" t="n">
        <v>0</v>
      </c>
      <c r="AV1312" s="30" t="n">
        <v>0</v>
      </c>
      <c r="AW1312" s="30" t="str">
        <f aca="false">IF(OR(AE1312="判定不能",M1312="判定不能"),"判定不能",IF(AV1312&gt;=判定条件!$C$9,"利用可",IF(AND(AE1312="停止",M1312="停止"),"両方停止","運転がそろわない")))</f>
        <v>判定不能</v>
      </c>
      <c r="AX1312" s="30" t="str">
        <f aca="false">IF(AND(AH1312="利用可",AK1312="利用可",AN1312="利用可"),"利用可","不可")</f>
        <v>不可</v>
      </c>
      <c r="AY1312" s="30" t="str">
        <f aca="false">IF(AND(AQ1312="利用可",AT1312="利用可",AW1312="利用可"),"利用可","不可")</f>
        <v>不可</v>
      </c>
    </row>
    <row r="1313" customFormat="false" ht="15" hidden="false" customHeight="false" outlineLevel="0" collapsed="false">
      <c r="A1313" s="29" t="n">
        <v>46286</v>
      </c>
      <c r="B1313" s="30" t="n">
        <v>14</v>
      </c>
      <c r="C1313" s="31" t="s">
        <v>66</v>
      </c>
      <c r="D1313" s="31" t="s">
        <v>101</v>
      </c>
      <c r="E1313" s="30" t="n">
        <v>60</v>
      </c>
      <c r="F1313" s="30" t="n">
        <v>0</v>
      </c>
      <c r="G1313" s="30" t="str">
        <f aca="false">IF(E1313&lt;判定条件!$C$6,"判定不能",IF(F1313&gt;=判定条件!$C$7*E1313,"運転",IF(F1313&lt;=判定条件!$C$8*E1313,"停止","断続")))</f>
        <v>停止</v>
      </c>
      <c r="H1313" s="30" t="n">
        <v>0</v>
      </c>
      <c r="I1313" s="30" t="n">
        <v>0</v>
      </c>
      <c r="J1313" s="30" t="str">
        <f aca="false">IF(H1313&lt;判定条件!$C$6,"判定不能",IF(I1313&gt;=判定条件!$C$7*H1313,"運転",IF(I1313&lt;=判定条件!$C$8*H1313,"停止","断続")))</f>
        <v>判定不能</v>
      </c>
      <c r="K1313" s="30" t="n">
        <v>60</v>
      </c>
      <c r="L1313" s="30" t="n">
        <v>60</v>
      </c>
      <c r="M1313" s="30" t="str">
        <f aca="false">IF(K1313&lt;判定条件!$C$6,"判定不能",IF(L1313&gt;=判定条件!$C$7*K1313,"運転",IF(L1313&lt;=判定条件!$C$8*K1313,"停止","断続")))</f>
        <v>運転</v>
      </c>
      <c r="N1313" s="30" t="n">
        <v>60</v>
      </c>
      <c r="O1313" s="30" t="n">
        <v>0</v>
      </c>
      <c r="P1313" s="30" t="str">
        <f aca="false">IF(N1313&lt;判定条件!$C$6,"判定不能",IF(O1313&gt;=判定条件!$C$7*N1313,"運転",IF(O1313&lt;=判定条件!$C$8*N1313,"停止","断続")))</f>
        <v>停止</v>
      </c>
      <c r="Q1313" s="30" t="n">
        <v>60</v>
      </c>
      <c r="R1313" s="30" t="n">
        <v>0</v>
      </c>
      <c r="S1313" s="30" t="str">
        <f aca="false">IF(Q1313&lt;判定条件!$C$6,"判定不能",IF(R1313&gt;=判定条件!$C$7*Q1313,"運転",IF(R1313&lt;=判定条件!$C$8*Q1313,"停止","断続")))</f>
        <v>停止</v>
      </c>
      <c r="T1313" s="30" t="n">
        <v>60</v>
      </c>
      <c r="U1313" s="30" t="n">
        <v>0</v>
      </c>
      <c r="V1313" s="30" t="str">
        <f aca="false">IF(T1313&lt;判定条件!$C$6,"判定不能",IF(U1313&gt;=判定条件!$C$7*T1313,"運転",IF(U1313&lt;=判定条件!$C$8*T1313,"停止","断続")))</f>
        <v>停止</v>
      </c>
      <c r="W1313" s="30" t="n">
        <v>0</v>
      </c>
      <c r="X1313" s="30" t="n">
        <v>0</v>
      </c>
      <c r="Y1313" s="30" t="str">
        <f aca="false">IF(W1313&lt;判定条件!$C$6,"判定不能",IF(X1313&gt;=判定条件!$C$7*W1313,"運転",IF(X1313&lt;=判定条件!$C$8*W1313,"停止","断続")))</f>
        <v>判定不能</v>
      </c>
      <c r="Z1313" s="30" t="n">
        <v>0</v>
      </c>
      <c r="AA1313" s="30" t="n">
        <v>0</v>
      </c>
      <c r="AB1313" s="30" t="str">
        <f aca="false">IF(Z1313&lt;判定条件!$C$6,"判定不能",IF(AA1313&gt;=判定条件!$C$7*Z1313,"運転",IF(AA1313&lt;=判定条件!$C$8*Z1313,"停止","断続")))</f>
        <v>判定不能</v>
      </c>
      <c r="AC1313" s="30" t="n">
        <v>0</v>
      </c>
      <c r="AD1313" s="30" t="n">
        <v>0</v>
      </c>
      <c r="AE1313" s="30" t="str">
        <f aca="false">IF(AC1313&lt;判定条件!$C$6,"判定不能",IF(AD1313&gt;=判定条件!$C$7*AC1313,"運転",IF(AD1313&lt;=判定条件!$C$8*AC1313,"停止","断続")))</f>
        <v>判定不能</v>
      </c>
      <c r="AF1313" s="30" t="n">
        <v>60</v>
      </c>
      <c r="AG1313" s="30" t="n">
        <v>0</v>
      </c>
      <c r="AH1313" s="30" t="str">
        <f aca="false">IF(OR(P1313="判定不能",G1313="判定不能"),"判定不能",IF(AG1313&gt;=判定条件!$C$9,"利用可",IF(AND(P1313="停止",G1313="停止"),"両方停止","運転がそろわない")))</f>
        <v>両方停止</v>
      </c>
      <c r="AI1313" s="30" t="n">
        <v>0</v>
      </c>
      <c r="AJ1313" s="30" t="n">
        <v>0</v>
      </c>
      <c r="AK1313" s="30" t="str">
        <f aca="false">IF(OR(S1313="判定不能",J1313="判定不能"),"判定不能",IF(AJ1313&gt;=判定条件!$C$9,"利用可",IF(AND(S1313="停止",J1313="停止"),"両方停止","運転がそろわない")))</f>
        <v>判定不能</v>
      </c>
      <c r="AL1313" s="30" t="n">
        <v>60</v>
      </c>
      <c r="AM1313" s="30" t="n">
        <v>0</v>
      </c>
      <c r="AN1313" s="30" t="str">
        <f aca="false">IF(OR(V1313="判定不能",M1313="判定不能"),"判定不能",IF(AM1313&gt;=判定条件!$C$9,"利用可",IF(AND(V1313="停止",M1313="停止"),"両方停止","運転がそろわない")))</f>
        <v>運転がそろわない</v>
      </c>
      <c r="AO1313" s="30" t="n">
        <v>0</v>
      </c>
      <c r="AP1313" s="30" t="n">
        <v>0</v>
      </c>
      <c r="AQ1313" s="30" t="str">
        <f aca="false">IF(OR(Y1313="判定不能",G1313="判定不能"),"判定不能",IF(AP1313&gt;=判定条件!$C$9,"利用可",IF(AND(Y1313="停止",G1313="停止"),"両方停止","運転がそろわない")))</f>
        <v>判定不能</v>
      </c>
      <c r="AR1313" s="30" t="n">
        <v>0</v>
      </c>
      <c r="AS1313" s="30" t="n">
        <v>0</v>
      </c>
      <c r="AT1313" s="30" t="str">
        <f aca="false">IF(OR(AB1313="判定不能",J1313="判定不能"),"判定不能",IF(AS1313&gt;=判定条件!$C$9,"利用可",IF(AND(AB1313="停止",J1313="停止"),"両方停止","運転がそろわない")))</f>
        <v>判定不能</v>
      </c>
      <c r="AU1313" s="30" t="n">
        <v>0</v>
      </c>
      <c r="AV1313" s="30" t="n">
        <v>0</v>
      </c>
      <c r="AW1313" s="30" t="str">
        <f aca="false">IF(OR(AE1313="判定不能",M1313="判定不能"),"判定不能",IF(AV1313&gt;=判定条件!$C$9,"利用可",IF(AND(AE1313="停止",M1313="停止"),"両方停止","運転がそろわない")))</f>
        <v>判定不能</v>
      </c>
      <c r="AX1313" s="30" t="str">
        <f aca="false">IF(AND(AH1313="利用可",AK1313="利用可",AN1313="利用可"),"利用可","不可")</f>
        <v>不可</v>
      </c>
      <c r="AY1313" s="30" t="str">
        <f aca="false">IF(AND(AQ1313="利用可",AT1313="利用可",AW1313="利用可"),"利用可","不可")</f>
        <v>不可</v>
      </c>
    </row>
    <row r="1314" customFormat="false" ht="15" hidden="false" customHeight="false" outlineLevel="0" collapsed="false">
      <c r="A1314" s="29" t="n">
        <v>46286</v>
      </c>
      <c r="B1314" s="30" t="n">
        <v>15</v>
      </c>
      <c r="C1314" s="31" t="s">
        <v>66</v>
      </c>
      <c r="D1314" s="31" t="s">
        <v>101</v>
      </c>
      <c r="E1314" s="30" t="n">
        <v>60</v>
      </c>
      <c r="F1314" s="30" t="n">
        <v>0</v>
      </c>
      <c r="G1314" s="30" t="str">
        <f aca="false">IF(E1314&lt;判定条件!$C$6,"判定不能",IF(F1314&gt;=判定条件!$C$7*E1314,"運転",IF(F1314&lt;=判定条件!$C$8*E1314,"停止","断続")))</f>
        <v>停止</v>
      </c>
      <c r="H1314" s="30" t="n">
        <v>0</v>
      </c>
      <c r="I1314" s="30" t="n">
        <v>0</v>
      </c>
      <c r="J1314" s="30" t="str">
        <f aca="false">IF(H1314&lt;判定条件!$C$6,"判定不能",IF(I1314&gt;=判定条件!$C$7*H1314,"運転",IF(I1314&lt;=判定条件!$C$8*H1314,"停止","断続")))</f>
        <v>判定不能</v>
      </c>
      <c r="K1314" s="30" t="n">
        <v>60</v>
      </c>
      <c r="L1314" s="30" t="n">
        <v>31</v>
      </c>
      <c r="M1314" s="30" t="str">
        <f aca="false">IF(K1314&lt;判定条件!$C$6,"判定不能",IF(L1314&gt;=判定条件!$C$7*K1314,"運転",IF(L1314&lt;=判定条件!$C$8*K1314,"停止","断続")))</f>
        <v>断続</v>
      </c>
      <c r="N1314" s="30" t="n">
        <v>60</v>
      </c>
      <c r="O1314" s="30" t="n">
        <v>0</v>
      </c>
      <c r="P1314" s="30" t="str">
        <f aca="false">IF(N1314&lt;判定条件!$C$6,"判定不能",IF(O1314&gt;=判定条件!$C$7*N1314,"運転",IF(O1314&lt;=判定条件!$C$8*N1314,"停止","断続")))</f>
        <v>停止</v>
      </c>
      <c r="Q1314" s="30" t="n">
        <v>60</v>
      </c>
      <c r="R1314" s="30" t="n">
        <v>0</v>
      </c>
      <c r="S1314" s="30" t="str">
        <f aca="false">IF(Q1314&lt;判定条件!$C$6,"判定不能",IF(R1314&gt;=判定条件!$C$7*Q1314,"運転",IF(R1314&lt;=判定条件!$C$8*Q1314,"停止","断続")))</f>
        <v>停止</v>
      </c>
      <c r="T1314" s="30" t="n">
        <v>60</v>
      </c>
      <c r="U1314" s="30" t="n">
        <v>0</v>
      </c>
      <c r="V1314" s="30" t="str">
        <f aca="false">IF(T1314&lt;判定条件!$C$6,"判定不能",IF(U1314&gt;=判定条件!$C$7*T1314,"運転",IF(U1314&lt;=判定条件!$C$8*T1314,"停止","断続")))</f>
        <v>停止</v>
      </c>
      <c r="W1314" s="30" t="n">
        <v>0</v>
      </c>
      <c r="X1314" s="30" t="n">
        <v>0</v>
      </c>
      <c r="Y1314" s="30" t="str">
        <f aca="false">IF(W1314&lt;判定条件!$C$6,"判定不能",IF(X1314&gt;=判定条件!$C$7*W1314,"運転",IF(X1314&lt;=判定条件!$C$8*W1314,"停止","断続")))</f>
        <v>判定不能</v>
      </c>
      <c r="Z1314" s="30" t="n">
        <v>0</v>
      </c>
      <c r="AA1314" s="30" t="n">
        <v>0</v>
      </c>
      <c r="AB1314" s="30" t="str">
        <f aca="false">IF(Z1314&lt;判定条件!$C$6,"判定不能",IF(AA1314&gt;=判定条件!$C$7*Z1314,"運転",IF(AA1314&lt;=判定条件!$C$8*Z1314,"停止","断続")))</f>
        <v>判定不能</v>
      </c>
      <c r="AC1314" s="30" t="n">
        <v>0</v>
      </c>
      <c r="AD1314" s="30" t="n">
        <v>0</v>
      </c>
      <c r="AE1314" s="30" t="str">
        <f aca="false">IF(AC1314&lt;判定条件!$C$6,"判定不能",IF(AD1314&gt;=判定条件!$C$7*AC1314,"運転",IF(AD1314&lt;=判定条件!$C$8*AC1314,"停止","断続")))</f>
        <v>判定不能</v>
      </c>
      <c r="AF1314" s="30" t="n">
        <v>60</v>
      </c>
      <c r="AG1314" s="30" t="n">
        <v>0</v>
      </c>
      <c r="AH1314" s="30" t="str">
        <f aca="false">IF(OR(P1314="判定不能",G1314="判定不能"),"判定不能",IF(AG1314&gt;=判定条件!$C$9,"利用可",IF(AND(P1314="停止",G1314="停止"),"両方停止","運転がそろわない")))</f>
        <v>両方停止</v>
      </c>
      <c r="AI1314" s="30" t="n">
        <v>0</v>
      </c>
      <c r="AJ1314" s="30" t="n">
        <v>0</v>
      </c>
      <c r="AK1314" s="30" t="str">
        <f aca="false">IF(OR(S1314="判定不能",J1314="判定不能"),"判定不能",IF(AJ1314&gt;=判定条件!$C$9,"利用可",IF(AND(S1314="停止",J1314="停止"),"両方停止","運転がそろわない")))</f>
        <v>判定不能</v>
      </c>
      <c r="AL1314" s="30" t="n">
        <v>60</v>
      </c>
      <c r="AM1314" s="30" t="n">
        <v>0</v>
      </c>
      <c r="AN1314" s="30" t="str">
        <f aca="false">IF(OR(V1314="判定不能",M1314="判定不能"),"判定不能",IF(AM1314&gt;=判定条件!$C$9,"利用可",IF(AND(V1314="停止",M1314="停止"),"両方停止","運転がそろわない")))</f>
        <v>運転がそろわない</v>
      </c>
      <c r="AO1314" s="30" t="n">
        <v>0</v>
      </c>
      <c r="AP1314" s="30" t="n">
        <v>0</v>
      </c>
      <c r="AQ1314" s="30" t="str">
        <f aca="false">IF(OR(Y1314="判定不能",G1314="判定不能"),"判定不能",IF(AP1314&gt;=判定条件!$C$9,"利用可",IF(AND(Y1314="停止",G1314="停止"),"両方停止","運転がそろわない")))</f>
        <v>判定不能</v>
      </c>
      <c r="AR1314" s="30" t="n">
        <v>0</v>
      </c>
      <c r="AS1314" s="30" t="n">
        <v>0</v>
      </c>
      <c r="AT1314" s="30" t="str">
        <f aca="false">IF(OR(AB1314="判定不能",J1314="判定不能"),"判定不能",IF(AS1314&gt;=判定条件!$C$9,"利用可",IF(AND(AB1314="停止",J1314="停止"),"両方停止","運転がそろわない")))</f>
        <v>判定不能</v>
      </c>
      <c r="AU1314" s="30" t="n">
        <v>0</v>
      </c>
      <c r="AV1314" s="30" t="n">
        <v>0</v>
      </c>
      <c r="AW1314" s="30" t="str">
        <f aca="false">IF(OR(AE1314="判定不能",M1314="判定不能"),"判定不能",IF(AV1314&gt;=判定条件!$C$9,"利用可",IF(AND(AE1314="停止",M1314="停止"),"両方停止","運転がそろわない")))</f>
        <v>判定不能</v>
      </c>
      <c r="AX1314" s="30" t="str">
        <f aca="false">IF(AND(AH1314="利用可",AK1314="利用可",AN1314="利用可"),"利用可","不可")</f>
        <v>不可</v>
      </c>
      <c r="AY1314" s="30" t="str">
        <f aca="false">IF(AND(AQ1314="利用可",AT1314="利用可",AW1314="利用可"),"利用可","不可")</f>
        <v>不可</v>
      </c>
    </row>
    <row r="1315" customFormat="false" ht="15" hidden="false" customHeight="false" outlineLevel="0" collapsed="false">
      <c r="A1315" s="29" t="n">
        <v>46286</v>
      </c>
      <c r="B1315" s="30" t="n">
        <v>16</v>
      </c>
      <c r="C1315" s="31" t="s">
        <v>66</v>
      </c>
      <c r="D1315" s="31" t="s">
        <v>101</v>
      </c>
      <c r="E1315" s="30" t="n">
        <v>60</v>
      </c>
      <c r="F1315" s="30" t="n">
        <v>0</v>
      </c>
      <c r="G1315" s="30" t="str">
        <f aca="false">IF(E1315&lt;判定条件!$C$6,"判定不能",IF(F1315&gt;=判定条件!$C$7*E1315,"運転",IF(F1315&lt;=判定条件!$C$8*E1315,"停止","断続")))</f>
        <v>停止</v>
      </c>
      <c r="H1315" s="30" t="n">
        <v>0</v>
      </c>
      <c r="I1315" s="30" t="n">
        <v>0</v>
      </c>
      <c r="J1315" s="30" t="str">
        <f aca="false">IF(H1315&lt;判定条件!$C$6,"判定不能",IF(I1315&gt;=判定条件!$C$7*H1315,"運転",IF(I1315&lt;=判定条件!$C$8*H1315,"停止","断続")))</f>
        <v>判定不能</v>
      </c>
      <c r="K1315" s="30" t="n">
        <v>60</v>
      </c>
      <c r="L1315" s="30" t="n">
        <v>0</v>
      </c>
      <c r="M1315" s="30" t="str">
        <f aca="false">IF(K1315&lt;判定条件!$C$6,"判定不能",IF(L1315&gt;=判定条件!$C$7*K1315,"運転",IF(L1315&lt;=判定条件!$C$8*K1315,"停止","断続")))</f>
        <v>停止</v>
      </c>
      <c r="N1315" s="30" t="n">
        <v>60</v>
      </c>
      <c r="O1315" s="30" t="n">
        <v>0</v>
      </c>
      <c r="P1315" s="30" t="str">
        <f aca="false">IF(N1315&lt;判定条件!$C$6,"判定不能",IF(O1315&gt;=判定条件!$C$7*N1315,"運転",IF(O1315&lt;=判定条件!$C$8*N1315,"停止","断続")))</f>
        <v>停止</v>
      </c>
      <c r="Q1315" s="30" t="n">
        <v>60</v>
      </c>
      <c r="R1315" s="30" t="n">
        <v>0</v>
      </c>
      <c r="S1315" s="30" t="str">
        <f aca="false">IF(Q1315&lt;判定条件!$C$6,"判定不能",IF(R1315&gt;=判定条件!$C$7*Q1315,"運転",IF(R1315&lt;=判定条件!$C$8*Q1315,"停止","断続")))</f>
        <v>停止</v>
      </c>
      <c r="T1315" s="30" t="n">
        <v>60</v>
      </c>
      <c r="U1315" s="30" t="n">
        <v>0</v>
      </c>
      <c r="V1315" s="30" t="str">
        <f aca="false">IF(T1315&lt;判定条件!$C$6,"判定不能",IF(U1315&gt;=判定条件!$C$7*T1315,"運転",IF(U1315&lt;=判定条件!$C$8*T1315,"停止","断続")))</f>
        <v>停止</v>
      </c>
      <c r="W1315" s="30" t="n">
        <v>0</v>
      </c>
      <c r="X1315" s="30" t="n">
        <v>0</v>
      </c>
      <c r="Y1315" s="30" t="str">
        <f aca="false">IF(W1315&lt;判定条件!$C$6,"判定不能",IF(X1315&gt;=判定条件!$C$7*W1315,"運転",IF(X1315&lt;=判定条件!$C$8*W1315,"停止","断続")))</f>
        <v>判定不能</v>
      </c>
      <c r="Z1315" s="30" t="n">
        <v>0</v>
      </c>
      <c r="AA1315" s="30" t="n">
        <v>0</v>
      </c>
      <c r="AB1315" s="30" t="str">
        <f aca="false">IF(Z1315&lt;判定条件!$C$6,"判定不能",IF(AA1315&gt;=判定条件!$C$7*Z1315,"運転",IF(AA1315&lt;=判定条件!$C$8*Z1315,"停止","断続")))</f>
        <v>判定不能</v>
      </c>
      <c r="AC1315" s="30" t="n">
        <v>0</v>
      </c>
      <c r="AD1315" s="30" t="n">
        <v>0</v>
      </c>
      <c r="AE1315" s="30" t="str">
        <f aca="false">IF(AC1315&lt;判定条件!$C$6,"判定不能",IF(AD1315&gt;=判定条件!$C$7*AC1315,"運転",IF(AD1315&lt;=判定条件!$C$8*AC1315,"停止","断続")))</f>
        <v>判定不能</v>
      </c>
      <c r="AF1315" s="30" t="n">
        <v>60</v>
      </c>
      <c r="AG1315" s="30" t="n">
        <v>0</v>
      </c>
      <c r="AH1315" s="30" t="str">
        <f aca="false">IF(OR(P1315="判定不能",G1315="判定不能"),"判定不能",IF(AG1315&gt;=判定条件!$C$9,"利用可",IF(AND(P1315="停止",G1315="停止"),"両方停止","運転がそろわない")))</f>
        <v>両方停止</v>
      </c>
      <c r="AI1315" s="30" t="n">
        <v>0</v>
      </c>
      <c r="AJ1315" s="30" t="n">
        <v>0</v>
      </c>
      <c r="AK1315" s="30" t="str">
        <f aca="false">IF(OR(S1315="判定不能",J1315="判定不能"),"判定不能",IF(AJ1315&gt;=判定条件!$C$9,"利用可",IF(AND(S1315="停止",J1315="停止"),"両方停止","運転がそろわない")))</f>
        <v>判定不能</v>
      </c>
      <c r="AL1315" s="30" t="n">
        <v>60</v>
      </c>
      <c r="AM1315" s="30" t="n">
        <v>0</v>
      </c>
      <c r="AN1315" s="30" t="str">
        <f aca="false">IF(OR(V1315="判定不能",M1315="判定不能"),"判定不能",IF(AM1315&gt;=判定条件!$C$9,"利用可",IF(AND(V1315="停止",M1315="停止"),"両方停止","運転がそろわない")))</f>
        <v>両方停止</v>
      </c>
      <c r="AO1315" s="30" t="n">
        <v>0</v>
      </c>
      <c r="AP1315" s="30" t="n">
        <v>0</v>
      </c>
      <c r="AQ1315" s="30" t="str">
        <f aca="false">IF(OR(Y1315="判定不能",G1315="判定不能"),"判定不能",IF(AP1315&gt;=判定条件!$C$9,"利用可",IF(AND(Y1315="停止",G1315="停止"),"両方停止","運転がそろわない")))</f>
        <v>判定不能</v>
      </c>
      <c r="AR1315" s="30" t="n">
        <v>0</v>
      </c>
      <c r="AS1315" s="30" t="n">
        <v>0</v>
      </c>
      <c r="AT1315" s="30" t="str">
        <f aca="false">IF(OR(AB1315="判定不能",J1315="判定不能"),"判定不能",IF(AS1315&gt;=判定条件!$C$9,"利用可",IF(AND(AB1315="停止",J1315="停止"),"両方停止","運転がそろわない")))</f>
        <v>判定不能</v>
      </c>
      <c r="AU1315" s="30" t="n">
        <v>0</v>
      </c>
      <c r="AV1315" s="30" t="n">
        <v>0</v>
      </c>
      <c r="AW1315" s="30" t="str">
        <f aca="false">IF(OR(AE1315="判定不能",M1315="判定不能"),"判定不能",IF(AV1315&gt;=判定条件!$C$9,"利用可",IF(AND(AE1315="停止",M1315="停止"),"両方停止","運転がそろわない")))</f>
        <v>判定不能</v>
      </c>
      <c r="AX1315" s="30" t="str">
        <f aca="false">IF(AND(AH1315="利用可",AK1315="利用可",AN1315="利用可"),"利用可","不可")</f>
        <v>不可</v>
      </c>
      <c r="AY1315" s="30" t="str">
        <f aca="false">IF(AND(AQ1315="利用可",AT1315="利用可",AW1315="利用可"),"利用可","不可")</f>
        <v>不可</v>
      </c>
    </row>
    <row r="1316" customFormat="false" ht="15" hidden="false" customHeight="false" outlineLevel="0" collapsed="false">
      <c r="A1316" s="29" t="n">
        <v>46286</v>
      </c>
      <c r="B1316" s="30" t="n">
        <v>17</v>
      </c>
      <c r="C1316" s="31" t="s">
        <v>66</v>
      </c>
      <c r="D1316" s="31" t="s">
        <v>101</v>
      </c>
      <c r="E1316" s="30" t="n">
        <v>60</v>
      </c>
      <c r="F1316" s="30" t="n">
        <v>0</v>
      </c>
      <c r="G1316" s="30" t="str">
        <f aca="false">IF(E1316&lt;判定条件!$C$6,"判定不能",IF(F1316&gt;=判定条件!$C$7*E1316,"運転",IF(F1316&lt;=判定条件!$C$8*E1316,"停止","断続")))</f>
        <v>停止</v>
      </c>
      <c r="H1316" s="30" t="n">
        <v>0</v>
      </c>
      <c r="I1316" s="30" t="n">
        <v>0</v>
      </c>
      <c r="J1316" s="30" t="str">
        <f aca="false">IF(H1316&lt;判定条件!$C$6,"判定不能",IF(I1316&gt;=判定条件!$C$7*H1316,"運転",IF(I1316&lt;=判定条件!$C$8*H1316,"停止","断続")))</f>
        <v>判定不能</v>
      </c>
      <c r="K1316" s="30" t="n">
        <v>60</v>
      </c>
      <c r="L1316" s="30" t="n">
        <v>6</v>
      </c>
      <c r="M1316" s="30" t="str">
        <f aca="false">IF(K1316&lt;判定条件!$C$6,"判定不能",IF(L1316&gt;=判定条件!$C$7*K1316,"運転",IF(L1316&lt;=判定条件!$C$8*K1316,"停止","断続")))</f>
        <v>停止</v>
      </c>
      <c r="N1316" s="30" t="n">
        <v>60</v>
      </c>
      <c r="O1316" s="30" t="n">
        <v>0</v>
      </c>
      <c r="P1316" s="30" t="str">
        <f aca="false">IF(N1316&lt;判定条件!$C$6,"判定不能",IF(O1316&gt;=判定条件!$C$7*N1316,"運転",IF(O1316&lt;=判定条件!$C$8*N1316,"停止","断続")))</f>
        <v>停止</v>
      </c>
      <c r="Q1316" s="30" t="n">
        <v>60</v>
      </c>
      <c r="R1316" s="30" t="n">
        <v>0</v>
      </c>
      <c r="S1316" s="30" t="str">
        <f aca="false">IF(Q1316&lt;判定条件!$C$6,"判定不能",IF(R1316&gt;=判定条件!$C$7*Q1316,"運転",IF(R1316&lt;=判定条件!$C$8*Q1316,"停止","断続")))</f>
        <v>停止</v>
      </c>
      <c r="T1316" s="30" t="n">
        <v>60</v>
      </c>
      <c r="U1316" s="30" t="n">
        <v>0</v>
      </c>
      <c r="V1316" s="30" t="str">
        <f aca="false">IF(T1316&lt;判定条件!$C$6,"判定不能",IF(U1316&gt;=判定条件!$C$7*T1316,"運転",IF(U1316&lt;=判定条件!$C$8*T1316,"停止","断続")))</f>
        <v>停止</v>
      </c>
      <c r="W1316" s="30" t="n">
        <v>0</v>
      </c>
      <c r="X1316" s="30" t="n">
        <v>0</v>
      </c>
      <c r="Y1316" s="30" t="str">
        <f aca="false">IF(W1316&lt;判定条件!$C$6,"判定不能",IF(X1316&gt;=判定条件!$C$7*W1316,"運転",IF(X1316&lt;=判定条件!$C$8*W1316,"停止","断続")))</f>
        <v>判定不能</v>
      </c>
      <c r="Z1316" s="30" t="n">
        <v>0</v>
      </c>
      <c r="AA1316" s="30" t="n">
        <v>0</v>
      </c>
      <c r="AB1316" s="30" t="str">
        <f aca="false">IF(Z1316&lt;判定条件!$C$6,"判定不能",IF(AA1316&gt;=判定条件!$C$7*Z1316,"運転",IF(AA1316&lt;=判定条件!$C$8*Z1316,"停止","断続")))</f>
        <v>判定不能</v>
      </c>
      <c r="AC1316" s="30" t="n">
        <v>0</v>
      </c>
      <c r="AD1316" s="30" t="n">
        <v>0</v>
      </c>
      <c r="AE1316" s="30" t="str">
        <f aca="false">IF(AC1316&lt;判定条件!$C$6,"判定不能",IF(AD1316&gt;=判定条件!$C$7*AC1316,"運転",IF(AD1316&lt;=判定条件!$C$8*AC1316,"停止","断続")))</f>
        <v>判定不能</v>
      </c>
      <c r="AF1316" s="30" t="n">
        <v>60</v>
      </c>
      <c r="AG1316" s="30" t="n">
        <v>0</v>
      </c>
      <c r="AH1316" s="30" t="str">
        <f aca="false">IF(OR(P1316="判定不能",G1316="判定不能"),"判定不能",IF(AG1316&gt;=判定条件!$C$9,"利用可",IF(AND(P1316="停止",G1316="停止"),"両方停止","運転がそろわない")))</f>
        <v>両方停止</v>
      </c>
      <c r="AI1316" s="30" t="n">
        <v>0</v>
      </c>
      <c r="AJ1316" s="30" t="n">
        <v>0</v>
      </c>
      <c r="AK1316" s="30" t="str">
        <f aca="false">IF(OR(S1316="判定不能",J1316="判定不能"),"判定不能",IF(AJ1316&gt;=判定条件!$C$9,"利用可",IF(AND(S1316="停止",J1316="停止"),"両方停止","運転がそろわない")))</f>
        <v>判定不能</v>
      </c>
      <c r="AL1316" s="30" t="n">
        <v>60</v>
      </c>
      <c r="AM1316" s="30" t="n">
        <v>0</v>
      </c>
      <c r="AN1316" s="30" t="str">
        <f aca="false">IF(OR(V1316="判定不能",M1316="判定不能"),"判定不能",IF(AM1316&gt;=判定条件!$C$9,"利用可",IF(AND(V1316="停止",M1316="停止"),"両方停止","運転がそろわない")))</f>
        <v>両方停止</v>
      </c>
      <c r="AO1316" s="30" t="n">
        <v>0</v>
      </c>
      <c r="AP1316" s="30" t="n">
        <v>0</v>
      </c>
      <c r="AQ1316" s="30" t="str">
        <f aca="false">IF(OR(Y1316="判定不能",G1316="判定不能"),"判定不能",IF(AP1316&gt;=判定条件!$C$9,"利用可",IF(AND(Y1316="停止",G1316="停止"),"両方停止","運転がそろわない")))</f>
        <v>判定不能</v>
      </c>
      <c r="AR1316" s="30" t="n">
        <v>0</v>
      </c>
      <c r="AS1316" s="30" t="n">
        <v>0</v>
      </c>
      <c r="AT1316" s="30" t="str">
        <f aca="false">IF(OR(AB1316="判定不能",J1316="判定不能"),"判定不能",IF(AS1316&gt;=判定条件!$C$9,"利用可",IF(AND(AB1316="停止",J1316="停止"),"両方停止","運転がそろわない")))</f>
        <v>判定不能</v>
      </c>
      <c r="AU1316" s="30" t="n">
        <v>0</v>
      </c>
      <c r="AV1316" s="30" t="n">
        <v>0</v>
      </c>
      <c r="AW1316" s="30" t="str">
        <f aca="false">IF(OR(AE1316="判定不能",M1316="判定不能"),"判定不能",IF(AV1316&gt;=判定条件!$C$9,"利用可",IF(AND(AE1316="停止",M1316="停止"),"両方停止","運転がそろわない")))</f>
        <v>判定不能</v>
      </c>
      <c r="AX1316" s="30" t="str">
        <f aca="false">IF(AND(AH1316="利用可",AK1316="利用可",AN1316="利用可"),"利用可","不可")</f>
        <v>不可</v>
      </c>
      <c r="AY1316" s="30" t="str">
        <f aca="false">IF(AND(AQ1316="利用可",AT1316="利用可",AW1316="利用可"),"利用可","不可")</f>
        <v>不可</v>
      </c>
    </row>
    <row r="1317" customFormat="false" ht="15" hidden="false" customHeight="false" outlineLevel="0" collapsed="false">
      <c r="A1317" s="29" t="n">
        <v>46286</v>
      </c>
      <c r="B1317" s="30" t="n">
        <v>18</v>
      </c>
      <c r="C1317" s="31" t="s">
        <v>66</v>
      </c>
      <c r="D1317" s="31" t="s">
        <v>101</v>
      </c>
      <c r="E1317" s="30" t="n">
        <v>60</v>
      </c>
      <c r="F1317" s="30" t="n">
        <v>0</v>
      </c>
      <c r="G1317" s="30" t="str">
        <f aca="false">IF(E1317&lt;判定条件!$C$6,"判定不能",IF(F1317&gt;=判定条件!$C$7*E1317,"運転",IF(F1317&lt;=判定条件!$C$8*E1317,"停止","断続")))</f>
        <v>停止</v>
      </c>
      <c r="H1317" s="30" t="n">
        <v>0</v>
      </c>
      <c r="I1317" s="30" t="n">
        <v>0</v>
      </c>
      <c r="J1317" s="30" t="str">
        <f aca="false">IF(H1317&lt;判定条件!$C$6,"判定不能",IF(I1317&gt;=判定条件!$C$7*H1317,"運転",IF(I1317&lt;=判定条件!$C$8*H1317,"停止","断続")))</f>
        <v>判定不能</v>
      </c>
      <c r="K1317" s="30" t="n">
        <v>60</v>
      </c>
      <c r="L1317" s="30" t="n">
        <v>0</v>
      </c>
      <c r="M1317" s="30" t="str">
        <f aca="false">IF(K1317&lt;判定条件!$C$6,"判定不能",IF(L1317&gt;=判定条件!$C$7*K1317,"運転",IF(L1317&lt;=判定条件!$C$8*K1317,"停止","断続")))</f>
        <v>停止</v>
      </c>
      <c r="N1317" s="30" t="n">
        <v>60</v>
      </c>
      <c r="O1317" s="30" t="n">
        <v>0</v>
      </c>
      <c r="P1317" s="30" t="str">
        <f aca="false">IF(N1317&lt;判定条件!$C$6,"判定不能",IF(O1317&gt;=判定条件!$C$7*N1317,"運転",IF(O1317&lt;=判定条件!$C$8*N1317,"停止","断続")))</f>
        <v>停止</v>
      </c>
      <c r="Q1317" s="30" t="n">
        <v>60</v>
      </c>
      <c r="R1317" s="30" t="n">
        <v>0</v>
      </c>
      <c r="S1317" s="30" t="str">
        <f aca="false">IF(Q1317&lt;判定条件!$C$6,"判定不能",IF(R1317&gt;=判定条件!$C$7*Q1317,"運転",IF(R1317&lt;=判定条件!$C$8*Q1317,"停止","断続")))</f>
        <v>停止</v>
      </c>
      <c r="T1317" s="30" t="n">
        <v>60</v>
      </c>
      <c r="U1317" s="30" t="n">
        <v>0</v>
      </c>
      <c r="V1317" s="30" t="str">
        <f aca="false">IF(T1317&lt;判定条件!$C$6,"判定不能",IF(U1317&gt;=判定条件!$C$7*T1317,"運転",IF(U1317&lt;=判定条件!$C$8*T1317,"停止","断続")))</f>
        <v>停止</v>
      </c>
      <c r="W1317" s="30" t="n">
        <v>0</v>
      </c>
      <c r="X1317" s="30" t="n">
        <v>0</v>
      </c>
      <c r="Y1317" s="30" t="str">
        <f aca="false">IF(W1317&lt;判定条件!$C$6,"判定不能",IF(X1317&gt;=判定条件!$C$7*W1317,"運転",IF(X1317&lt;=判定条件!$C$8*W1317,"停止","断続")))</f>
        <v>判定不能</v>
      </c>
      <c r="Z1317" s="30" t="n">
        <v>0</v>
      </c>
      <c r="AA1317" s="30" t="n">
        <v>0</v>
      </c>
      <c r="AB1317" s="30" t="str">
        <f aca="false">IF(Z1317&lt;判定条件!$C$6,"判定不能",IF(AA1317&gt;=判定条件!$C$7*Z1317,"運転",IF(AA1317&lt;=判定条件!$C$8*Z1317,"停止","断続")))</f>
        <v>判定不能</v>
      </c>
      <c r="AC1317" s="30" t="n">
        <v>0</v>
      </c>
      <c r="AD1317" s="30" t="n">
        <v>0</v>
      </c>
      <c r="AE1317" s="30" t="str">
        <f aca="false">IF(AC1317&lt;判定条件!$C$6,"判定不能",IF(AD1317&gt;=判定条件!$C$7*AC1317,"運転",IF(AD1317&lt;=判定条件!$C$8*AC1317,"停止","断続")))</f>
        <v>判定不能</v>
      </c>
      <c r="AF1317" s="30" t="n">
        <v>60</v>
      </c>
      <c r="AG1317" s="30" t="n">
        <v>0</v>
      </c>
      <c r="AH1317" s="30" t="str">
        <f aca="false">IF(OR(P1317="判定不能",G1317="判定不能"),"判定不能",IF(AG1317&gt;=判定条件!$C$9,"利用可",IF(AND(P1317="停止",G1317="停止"),"両方停止","運転がそろわない")))</f>
        <v>両方停止</v>
      </c>
      <c r="AI1317" s="30" t="n">
        <v>0</v>
      </c>
      <c r="AJ1317" s="30" t="n">
        <v>0</v>
      </c>
      <c r="AK1317" s="30" t="str">
        <f aca="false">IF(OR(S1317="判定不能",J1317="判定不能"),"判定不能",IF(AJ1317&gt;=判定条件!$C$9,"利用可",IF(AND(S1317="停止",J1317="停止"),"両方停止","運転がそろわない")))</f>
        <v>判定不能</v>
      </c>
      <c r="AL1317" s="30" t="n">
        <v>60</v>
      </c>
      <c r="AM1317" s="30" t="n">
        <v>0</v>
      </c>
      <c r="AN1317" s="30" t="str">
        <f aca="false">IF(OR(V1317="判定不能",M1317="判定不能"),"判定不能",IF(AM1317&gt;=判定条件!$C$9,"利用可",IF(AND(V1317="停止",M1317="停止"),"両方停止","運転がそろわない")))</f>
        <v>両方停止</v>
      </c>
      <c r="AO1317" s="30" t="n">
        <v>0</v>
      </c>
      <c r="AP1317" s="30" t="n">
        <v>0</v>
      </c>
      <c r="AQ1317" s="30" t="str">
        <f aca="false">IF(OR(Y1317="判定不能",G1317="判定不能"),"判定不能",IF(AP1317&gt;=判定条件!$C$9,"利用可",IF(AND(Y1317="停止",G1317="停止"),"両方停止","運転がそろわない")))</f>
        <v>判定不能</v>
      </c>
      <c r="AR1317" s="30" t="n">
        <v>0</v>
      </c>
      <c r="AS1317" s="30" t="n">
        <v>0</v>
      </c>
      <c r="AT1317" s="30" t="str">
        <f aca="false">IF(OR(AB1317="判定不能",J1317="判定不能"),"判定不能",IF(AS1317&gt;=判定条件!$C$9,"利用可",IF(AND(AB1317="停止",J1317="停止"),"両方停止","運転がそろわない")))</f>
        <v>判定不能</v>
      </c>
      <c r="AU1317" s="30" t="n">
        <v>0</v>
      </c>
      <c r="AV1317" s="30" t="n">
        <v>0</v>
      </c>
      <c r="AW1317" s="30" t="str">
        <f aca="false">IF(OR(AE1317="判定不能",M1317="判定不能"),"判定不能",IF(AV1317&gt;=判定条件!$C$9,"利用可",IF(AND(AE1317="停止",M1317="停止"),"両方停止","運転がそろわない")))</f>
        <v>判定不能</v>
      </c>
      <c r="AX1317" s="30" t="str">
        <f aca="false">IF(AND(AH1317="利用可",AK1317="利用可",AN1317="利用可"),"利用可","不可")</f>
        <v>不可</v>
      </c>
      <c r="AY1317" s="30" t="str">
        <f aca="false">IF(AND(AQ1317="利用可",AT1317="利用可",AW1317="利用可"),"利用可","不可")</f>
        <v>不可</v>
      </c>
    </row>
    <row r="1318" customFormat="false" ht="15" hidden="false" customHeight="false" outlineLevel="0" collapsed="false">
      <c r="A1318" s="29" t="n">
        <v>46286</v>
      </c>
      <c r="B1318" s="30" t="n">
        <v>19</v>
      </c>
      <c r="C1318" s="31" t="s">
        <v>66</v>
      </c>
      <c r="D1318" s="31" t="s">
        <v>101</v>
      </c>
      <c r="E1318" s="30" t="n">
        <v>60</v>
      </c>
      <c r="F1318" s="30" t="n">
        <v>0</v>
      </c>
      <c r="G1318" s="30" t="str">
        <f aca="false">IF(E1318&lt;判定条件!$C$6,"判定不能",IF(F1318&gt;=判定条件!$C$7*E1318,"運転",IF(F1318&lt;=判定条件!$C$8*E1318,"停止","断続")))</f>
        <v>停止</v>
      </c>
      <c r="H1318" s="30" t="n">
        <v>0</v>
      </c>
      <c r="I1318" s="30" t="n">
        <v>0</v>
      </c>
      <c r="J1318" s="30" t="str">
        <f aca="false">IF(H1318&lt;判定条件!$C$6,"判定不能",IF(I1318&gt;=判定条件!$C$7*H1318,"運転",IF(I1318&lt;=判定条件!$C$8*H1318,"停止","断続")))</f>
        <v>判定不能</v>
      </c>
      <c r="K1318" s="30" t="n">
        <v>60</v>
      </c>
      <c r="L1318" s="30" t="n">
        <v>11</v>
      </c>
      <c r="M1318" s="30" t="str">
        <f aca="false">IF(K1318&lt;判定条件!$C$6,"判定不能",IF(L1318&gt;=判定条件!$C$7*K1318,"運転",IF(L1318&lt;=判定条件!$C$8*K1318,"停止","断続")))</f>
        <v>停止</v>
      </c>
      <c r="N1318" s="30" t="n">
        <v>60</v>
      </c>
      <c r="O1318" s="30" t="n">
        <v>0</v>
      </c>
      <c r="P1318" s="30" t="str">
        <f aca="false">IF(N1318&lt;判定条件!$C$6,"判定不能",IF(O1318&gt;=判定条件!$C$7*N1318,"運転",IF(O1318&lt;=判定条件!$C$8*N1318,"停止","断続")))</f>
        <v>停止</v>
      </c>
      <c r="Q1318" s="30" t="n">
        <v>60</v>
      </c>
      <c r="R1318" s="30" t="n">
        <v>0</v>
      </c>
      <c r="S1318" s="30" t="str">
        <f aca="false">IF(Q1318&lt;判定条件!$C$6,"判定不能",IF(R1318&gt;=判定条件!$C$7*Q1318,"運転",IF(R1318&lt;=判定条件!$C$8*Q1318,"停止","断続")))</f>
        <v>停止</v>
      </c>
      <c r="T1318" s="30" t="n">
        <v>60</v>
      </c>
      <c r="U1318" s="30" t="n">
        <v>0</v>
      </c>
      <c r="V1318" s="30" t="str">
        <f aca="false">IF(T1318&lt;判定条件!$C$6,"判定不能",IF(U1318&gt;=判定条件!$C$7*T1318,"運転",IF(U1318&lt;=判定条件!$C$8*T1318,"停止","断続")))</f>
        <v>停止</v>
      </c>
      <c r="W1318" s="30" t="n">
        <v>0</v>
      </c>
      <c r="X1318" s="30" t="n">
        <v>0</v>
      </c>
      <c r="Y1318" s="30" t="str">
        <f aca="false">IF(W1318&lt;判定条件!$C$6,"判定不能",IF(X1318&gt;=判定条件!$C$7*W1318,"運転",IF(X1318&lt;=判定条件!$C$8*W1318,"停止","断続")))</f>
        <v>判定不能</v>
      </c>
      <c r="Z1318" s="30" t="n">
        <v>0</v>
      </c>
      <c r="AA1318" s="30" t="n">
        <v>0</v>
      </c>
      <c r="AB1318" s="30" t="str">
        <f aca="false">IF(Z1318&lt;判定条件!$C$6,"判定不能",IF(AA1318&gt;=判定条件!$C$7*Z1318,"運転",IF(AA1318&lt;=判定条件!$C$8*Z1318,"停止","断続")))</f>
        <v>判定不能</v>
      </c>
      <c r="AC1318" s="30" t="n">
        <v>0</v>
      </c>
      <c r="AD1318" s="30" t="n">
        <v>0</v>
      </c>
      <c r="AE1318" s="30" t="str">
        <f aca="false">IF(AC1318&lt;判定条件!$C$6,"判定不能",IF(AD1318&gt;=判定条件!$C$7*AC1318,"運転",IF(AD1318&lt;=判定条件!$C$8*AC1318,"停止","断続")))</f>
        <v>判定不能</v>
      </c>
      <c r="AF1318" s="30" t="n">
        <v>60</v>
      </c>
      <c r="AG1318" s="30" t="n">
        <v>0</v>
      </c>
      <c r="AH1318" s="30" t="str">
        <f aca="false">IF(OR(P1318="判定不能",G1318="判定不能"),"判定不能",IF(AG1318&gt;=判定条件!$C$9,"利用可",IF(AND(P1318="停止",G1318="停止"),"両方停止","運転がそろわない")))</f>
        <v>両方停止</v>
      </c>
      <c r="AI1318" s="30" t="n">
        <v>0</v>
      </c>
      <c r="AJ1318" s="30" t="n">
        <v>0</v>
      </c>
      <c r="AK1318" s="30" t="str">
        <f aca="false">IF(OR(S1318="判定不能",J1318="判定不能"),"判定不能",IF(AJ1318&gt;=判定条件!$C$9,"利用可",IF(AND(S1318="停止",J1318="停止"),"両方停止","運転がそろわない")))</f>
        <v>判定不能</v>
      </c>
      <c r="AL1318" s="30" t="n">
        <v>60</v>
      </c>
      <c r="AM1318" s="30" t="n">
        <v>0</v>
      </c>
      <c r="AN1318" s="30" t="str">
        <f aca="false">IF(OR(V1318="判定不能",M1318="判定不能"),"判定不能",IF(AM1318&gt;=判定条件!$C$9,"利用可",IF(AND(V1318="停止",M1318="停止"),"両方停止","運転がそろわない")))</f>
        <v>両方停止</v>
      </c>
      <c r="AO1318" s="30" t="n">
        <v>0</v>
      </c>
      <c r="AP1318" s="30" t="n">
        <v>0</v>
      </c>
      <c r="AQ1318" s="30" t="str">
        <f aca="false">IF(OR(Y1318="判定不能",G1318="判定不能"),"判定不能",IF(AP1318&gt;=判定条件!$C$9,"利用可",IF(AND(Y1318="停止",G1318="停止"),"両方停止","運転がそろわない")))</f>
        <v>判定不能</v>
      </c>
      <c r="AR1318" s="30" t="n">
        <v>0</v>
      </c>
      <c r="AS1318" s="30" t="n">
        <v>0</v>
      </c>
      <c r="AT1318" s="30" t="str">
        <f aca="false">IF(OR(AB1318="判定不能",J1318="判定不能"),"判定不能",IF(AS1318&gt;=判定条件!$C$9,"利用可",IF(AND(AB1318="停止",J1318="停止"),"両方停止","運転がそろわない")))</f>
        <v>判定不能</v>
      </c>
      <c r="AU1318" s="30" t="n">
        <v>0</v>
      </c>
      <c r="AV1318" s="30" t="n">
        <v>0</v>
      </c>
      <c r="AW1318" s="30" t="str">
        <f aca="false">IF(OR(AE1318="判定不能",M1318="判定不能"),"判定不能",IF(AV1318&gt;=判定条件!$C$9,"利用可",IF(AND(AE1318="停止",M1318="停止"),"両方停止","運転がそろわない")))</f>
        <v>判定不能</v>
      </c>
      <c r="AX1318" s="30" t="str">
        <f aca="false">IF(AND(AH1318="利用可",AK1318="利用可",AN1318="利用可"),"利用可","不可")</f>
        <v>不可</v>
      </c>
      <c r="AY1318" s="30" t="str">
        <f aca="false">IF(AND(AQ1318="利用可",AT1318="利用可",AW1318="利用可"),"利用可","不可")</f>
        <v>不可</v>
      </c>
    </row>
    <row r="1319" customFormat="false" ht="15" hidden="false" customHeight="false" outlineLevel="0" collapsed="false">
      <c r="A1319" s="29" t="n">
        <v>46286</v>
      </c>
      <c r="B1319" s="30" t="n">
        <v>20</v>
      </c>
      <c r="C1319" s="31" t="s">
        <v>66</v>
      </c>
      <c r="D1319" s="31" t="s">
        <v>101</v>
      </c>
      <c r="E1319" s="30" t="n">
        <v>60</v>
      </c>
      <c r="F1319" s="30" t="n">
        <v>0</v>
      </c>
      <c r="G1319" s="30" t="str">
        <f aca="false">IF(E1319&lt;判定条件!$C$6,"判定不能",IF(F1319&gt;=判定条件!$C$7*E1319,"運転",IF(F1319&lt;=判定条件!$C$8*E1319,"停止","断続")))</f>
        <v>停止</v>
      </c>
      <c r="H1319" s="30" t="n">
        <v>0</v>
      </c>
      <c r="I1319" s="30" t="n">
        <v>0</v>
      </c>
      <c r="J1319" s="30" t="str">
        <f aca="false">IF(H1319&lt;判定条件!$C$6,"判定不能",IF(I1319&gt;=判定条件!$C$7*H1319,"運転",IF(I1319&lt;=判定条件!$C$8*H1319,"停止","断続")))</f>
        <v>判定不能</v>
      </c>
      <c r="K1319" s="30" t="n">
        <v>60</v>
      </c>
      <c r="L1319" s="30" t="n">
        <v>9</v>
      </c>
      <c r="M1319" s="30" t="str">
        <f aca="false">IF(K1319&lt;判定条件!$C$6,"判定不能",IF(L1319&gt;=判定条件!$C$7*K1319,"運転",IF(L1319&lt;=判定条件!$C$8*K1319,"停止","断続")))</f>
        <v>停止</v>
      </c>
      <c r="N1319" s="30" t="n">
        <v>60</v>
      </c>
      <c r="O1319" s="30" t="n">
        <v>0</v>
      </c>
      <c r="P1319" s="30" t="str">
        <f aca="false">IF(N1319&lt;判定条件!$C$6,"判定不能",IF(O1319&gt;=判定条件!$C$7*N1319,"運転",IF(O1319&lt;=判定条件!$C$8*N1319,"停止","断続")))</f>
        <v>停止</v>
      </c>
      <c r="Q1319" s="30" t="n">
        <v>60</v>
      </c>
      <c r="R1319" s="30" t="n">
        <v>0</v>
      </c>
      <c r="S1319" s="30" t="str">
        <f aca="false">IF(Q1319&lt;判定条件!$C$6,"判定不能",IF(R1319&gt;=判定条件!$C$7*Q1319,"運転",IF(R1319&lt;=判定条件!$C$8*Q1319,"停止","断続")))</f>
        <v>停止</v>
      </c>
      <c r="T1319" s="30" t="n">
        <v>60</v>
      </c>
      <c r="U1319" s="30" t="n">
        <v>0</v>
      </c>
      <c r="V1319" s="30" t="str">
        <f aca="false">IF(T1319&lt;判定条件!$C$6,"判定不能",IF(U1319&gt;=判定条件!$C$7*T1319,"運転",IF(U1319&lt;=判定条件!$C$8*T1319,"停止","断続")))</f>
        <v>停止</v>
      </c>
      <c r="W1319" s="30" t="n">
        <v>0</v>
      </c>
      <c r="X1319" s="30" t="n">
        <v>0</v>
      </c>
      <c r="Y1319" s="30" t="str">
        <f aca="false">IF(W1319&lt;判定条件!$C$6,"判定不能",IF(X1319&gt;=判定条件!$C$7*W1319,"運転",IF(X1319&lt;=判定条件!$C$8*W1319,"停止","断続")))</f>
        <v>判定不能</v>
      </c>
      <c r="Z1319" s="30" t="n">
        <v>0</v>
      </c>
      <c r="AA1319" s="30" t="n">
        <v>0</v>
      </c>
      <c r="AB1319" s="30" t="str">
        <f aca="false">IF(Z1319&lt;判定条件!$C$6,"判定不能",IF(AA1319&gt;=判定条件!$C$7*Z1319,"運転",IF(AA1319&lt;=判定条件!$C$8*Z1319,"停止","断続")))</f>
        <v>判定不能</v>
      </c>
      <c r="AC1319" s="30" t="n">
        <v>0</v>
      </c>
      <c r="AD1319" s="30" t="n">
        <v>0</v>
      </c>
      <c r="AE1319" s="30" t="str">
        <f aca="false">IF(AC1319&lt;判定条件!$C$6,"判定不能",IF(AD1319&gt;=判定条件!$C$7*AC1319,"運転",IF(AD1319&lt;=判定条件!$C$8*AC1319,"停止","断続")))</f>
        <v>判定不能</v>
      </c>
      <c r="AF1319" s="30" t="n">
        <v>60</v>
      </c>
      <c r="AG1319" s="30" t="n">
        <v>0</v>
      </c>
      <c r="AH1319" s="30" t="str">
        <f aca="false">IF(OR(P1319="判定不能",G1319="判定不能"),"判定不能",IF(AG1319&gt;=判定条件!$C$9,"利用可",IF(AND(P1319="停止",G1319="停止"),"両方停止","運転がそろわない")))</f>
        <v>両方停止</v>
      </c>
      <c r="AI1319" s="30" t="n">
        <v>0</v>
      </c>
      <c r="AJ1319" s="30" t="n">
        <v>0</v>
      </c>
      <c r="AK1319" s="30" t="str">
        <f aca="false">IF(OR(S1319="判定不能",J1319="判定不能"),"判定不能",IF(AJ1319&gt;=判定条件!$C$9,"利用可",IF(AND(S1319="停止",J1319="停止"),"両方停止","運転がそろわない")))</f>
        <v>判定不能</v>
      </c>
      <c r="AL1319" s="30" t="n">
        <v>60</v>
      </c>
      <c r="AM1319" s="30" t="n">
        <v>0</v>
      </c>
      <c r="AN1319" s="30" t="str">
        <f aca="false">IF(OR(V1319="判定不能",M1319="判定不能"),"判定不能",IF(AM1319&gt;=判定条件!$C$9,"利用可",IF(AND(V1319="停止",M1319="停止"),"両方停止","運転がそろわない")))</f>
        <v>両方停止</v>
      </c>
      <c r="AO1319" s="30" t="n">
        <v>0</v>
      </c>
      <c r="AP1319" s="30" t="n">
        <v>0</v>
      </c>
      <c r="AQ1319" s="30" t="str">
        <f aca="false">IF(OR(Y1319="判定不能",G1319="判定不能"),"判定不能",IF(AP1319&gt;=判定条件!$C$9,"利用可",IF(AND(Y1319="停止",G1319="停止"),"両方停止","運転がそろわない")))</f>
        <v>判定不能</v>
      </c>
      <c r="AR1319" s="30" t="n">
        <v>0</v>
      </c>
      <c r="AS1319" s="30" t="n">
        <v>0</v>
      </c>
      <c r="AT1319" s="30" t="str">
        <f aca="false">IF(OR(AB1319="判定不能",J1319="判定不能"),"判定不能",IF(AS1319&gt;=判定条件!$C$9,"利用可",IF(AND(AB1319="停止",J1319="停止"),"両方停止","運転がそろわない")))</f>
        <v>判定不能</v>
      </c>
      <c r="AU1319" s="30" t="n">
        <v>0</v>
      </c>
      <c r="AV1319" s="30" t="n">
        <v>0</v>
      </c>
      <c r="AW1319" s="30" t="str">
        <f aca="false">IF(OR(AE1319="判定不能",M1319="判定不能"),"判定不能",IF(AV1319&gt;=判定条件!$C$9,"利用可",IF(AND(AE1319="停止",M1319="停止"),"両方停止","運転がそろわない")))</f>
        <v>判定不能</v>
      </c>
      <c r="AX1319" s="30" t="str">
        <f aca="false">IF(AND(AH1319="利用可",AK1319="利用可",AN1319="利用可"),"利用可","不可")</f>
        <v>不可</v>
      </c>
      <c r="AY1319" s="30" t="str">
        <f aca="false">IF(AND(AQ1319="利用可",AT1319="利用可",AW1319="利用可"),"利用可","不可")</f>
        <v>不可</v>
      </c>
    </row>
    <row r="1320" customFormat="false" ht="15" hidden="false" customHeight="false" outlineLevel="0" collapsed="false">
      <c r="A1320" s="29" t="n">
        <v>46286</v>
      </c>
      <c r="B1320" s="30" t="n">
        <v>21</v>
      </c>
      <c r="C1320" s="31" t="s">
        <v>66</v>
      </c>
      <c r="D1320" s="31" t="s">
        <v>101</v>
      </c>
      <c r="E1320" s="30" t="n">
        <v>60</v>
      </c>
      <c r="F1320" s="30" t="n">
        <v>0</v>
      </c>
      <c r="G1320" s="30" t="str">
        <f aca="false">IF(E1320&lt;判定条件!$C$6,"判定不能",IF(F1320&gt;=判定条件!$C$7*E1320,"運転",IF(F1320&lt;=判定条件!$C$8*E1320,"停止","断続")))</f>
        <v>停止</v>
      </c>
      <c r="H1320" s="30" t="n">
        <v>0</v>
      </c>
      <c r="I1320" s="30" t="n">
        <v>0</v>
      </c>
      <c r="J1320" s="30" t="str">
        <f aca="false">IF(H1320&lt;判定条件!$C$6,"判定不能",IF(I1320&gt;=判定条件!$C$7*H1320,"運転",IF(I1320&lt;=判定条件!$C$8*H1320,"停止","断続")))</f>
        <v>判定不能</v>
      </c>
      <c r="K1320" s="30" t="n">
        <v>60</v>
      </c>
      <c r="L1320" s="30" t="n">
        <v>0</v>
      </c>
      <c r="M1320" s="30" t="str">
        <f aca="false">IF(K1320&lt;判定条件!$C$6,"判定不能",IF(L1320&gt;=判定条件!$C$7*K1320,"運転",IF(L1320&lt;=判定条件!$C$8*K1320,"停止","断続")))</f>
        <v>停止</v>
      </c>
      <c r="N1320" s="30" t="n">
        <v>60</v>
      </c>
      <c r="O1320" s="30" t="n">
        <v>0</v>
      </c>
      <c r="P1320" s="30" t="str">
        <f aca="false">IF(N1320&lt;判定条件!$C$6,"判定不能",IF(O1320&gt;=判定条件!$C$7*N1320,"運転",IF(O1320&lt;=判定条件!$C$8*N1320,"停止","断続")))</f>
        <v>停止</v>
      </c>
      <c r="Q1320" s="30" t="n">
        <v>60</v>
      </c>
      <c r="R1320" s="30" t="n">
        <v>0</v>
      </c>
      <c r="S1320" s="30" t="str">
        <f aca="false">IF(Q1320&lt;判定条件!$C$6,"判定不能",IF(R1320&gt;=判定条件!$C$7*Q1320,"運転",IF(R1320&lt;=判定条件!$C$8*Q1320,"停止","断続")))</f>
        <v>停止</v>
      </c>
      <c r="T1320" s="30" t="n">
        <v>60</v>
      </c>
      <c r="U1320" s="30" t="n">
        <v>0</v>
      </c>
      <c r="V1320" s="30" t="str">
        <f aca="false">IF(T1320&lt;判定条件!$C$6,"判定不能",IF(U1320&gt;=判定条件!$C$7*T1320,"運転",IF(U1320&lt;=判定条件!$C$8*T1320,"停止","断続")))</f>
        <v>停止</v>
      </c>
      <c r="W1320" s="30" t="n">
        <v>0</v>
      </c>
      <c r="X1320" s="30" t="n">
        <v>0</v>
      </c>
      <c r="Y1320" s="30" t="str">
        <f aca="false">IF(W1320&lt;判定条件!$C$6,"判定不能",IF(X1320&gt;=判定条件!$C$7*W1320,"運転",IF(X1320&lt;=判定条件!$C$8*W1320,"停止","断続")))</f>
        <v>判定不能</v>
      </c>
      <c r="Z1320" s="30" t="n">
        <v>0</v>
      </c>
      <c r="AA1320" s="30" t="n">
        <v>0</v>
      </c>
      <c r="AB1320" s="30" t="str">
        <f aca="false">IF(Z1320&lt;判定条件!$C$6,"判定不能",IF(AA1320&gt;=判定条件!$C$7*Z1320,"運転",IF(AA1320&lt;=判定条件!$C$8*Z1320,"停止","断続")))</f>
        <v>判定不能</v>
      </c>
      <c r="AC1320" s="30" t="n">
        <v>0</v>
      </c>
      <c r="AD1320" s="30" t="n">
        <v>0</v>
      </c>
      <c r="AE1320" s="30" t="str">
        <f aca="false">IF(AC1320&lt;判定条件!$C$6,"判定不能",IF(AD1320&gt;=判定条件!$C$7*AC1320,"運転",IF(AD1320&lt;=判定条件!$C$8*AC1320,"停止","断続")))</f>
        <v>判定不能</v>
      </c>
      <c r="AF1320" s="30" t="n">
        <v>60</v>
      </c>
      <c r="AG1320" s="30" t="n">
        <v>0</v>
      </c>
      <c r="AH1320" s="30" t="str">
        <f aca="false">IF(OR(P1320="判定不能",G1320="判定不能"),"判定不能",IF(AG1320&gt;=判定条件!$C$9,"利用可",IF(AND(P1320="停止",G1320="停止"),"両方停止","運転がそろわない")))</f>
        <v>両方停止</v>
      </c>
      <c r="AI1320" s="30" t="n">
        <v>0</v>
      </c>
      <c r="AJ1320" s="30" t="n">
        <v>0</v>
      </c>
      <c r="AK1320" s="30" t="str">
        <f aca="false">IF(OR(S1320="判定不能",J1320="判定不能"),"判定不能",IF(AJ1320&gt;=判定条件!$C$9,"利用可",IF(AND(S1320="停止",J1320="停止"),"両方停止","運転がそろわない")))</f>
        <v>判定不能</v>
      </c>
      <c r="AL1320" s="30" t="n">
        <v>60</v>
      </c>
      <c r="AM1320" s="30" t="n">
        <v>0</v>
      </c>
      <c r="AN1320" s="30" t="str">
        <f aca="false">IF(OR(V1320="判定不能",M1320="判定不能"),"判定不能",IF(AM1320&gt;=判定条件!$C$9,"利用可",IF(AND(V1320="停止",M1320="停止"),"両方停止","運転がそろわない")))</f>
        <v>両方停止</v>
      </c>
      <c r="AO1320" s="30" t="n">
        <v>0</v>
      </c>
      <c r="AP1320" s="30" t="n">
        <v>0</v>
      </c>
      <c r="AQ1320" s="30" t="str">
        <f aca="false">IF(OR(Y1320="判定不能",G1320="判定不能"),"判定不能",IF(AP1320&gt;=判定条件!$C$9,"利用可",IF(AND(Y1320="停止",G1320="停止"),"両方停止","運転がそろわない")))</f>
        <v>判定不能</v>
      </c>
      <c r="AR1320" s="30" t="n">
        <v>0</v>
      </c>
      <c r="AS1320" s="30" t="n">
        <v>0</v>
      </c>
      <c r="AT1320" s="30" t="str">
        <f aca="false">IF(OR(AB1320="判定不能",J1320="判定不能"),"判定不能",IF(AS1320&gt;=判定条件!$C$9,"利用可",IF(AND(AB1320="停止",J1320="停止"),"両方停止","運転がそろわない")))</f>
        <v>判定不能</v>
      </c>
      <c r="AU1320" s="30" t="n">
        <v>0</v>
      </c>
      <c r="AV1320" s="30" t="n">
        <v>0</v>
      </c>
      <c r="AW1320" s="30" t="str">
        <f aca="false">IF(OR(AE1320="判定不能",M1320="判定不能"),"判定不能",IF(AV1320&gt;=判定条件!$C$9,"利用可",IF(AND(AE1320="停止",M1320="停止"),"両方停止","運転がそろわない")))</f>
        <v>判定不能</v>
      </c>
      <c r="AX1320" s="30" t="str">
        <f aca="false">IF(AND(AH1320="利用可",AK1320="利用可",AN1320="利用可"),"利用可","不可")</f>
        <v>不可</v>
      </c>
      <c r="AY1320" s="30" t="str">
        <f aca="false">IF(AND(AQ1320="利用可",AT1320="利用可",AW1320="利用可"),"利用可","不可")</f>
        <v>不可</v>
      </c>
    </row>
    <row r="1321" customFormat="false" ht="15" hidden="false" customHeight="false" outlineLevel="0" collapsed="false">
      <c r="A1321" s="29" t="n">
        <v>46286</v>
      </c>
      <c r="B1321" s="30" t="n">
        <v>22</v>
      </c>
      <c r="C1321" s="31" t="s">
        <v>66</v>
      </c>
      <c r="D1321" s="31" t="s">
        <v>101</v>
      </c>
      <c r="E1321" s="30" t="n">
        <v>60</v>
      </c>
      <c r="F1321" s="30" t="n">
        <v>0</v>
      </c>
      <c r="G1321" s="30" t="str">
        <f aca="false">IF(E1321&lt;判定条件!$C$6,"判定不能",IF(F1321&gt;=判定条件!$C$7*E1321,"運転",IF(F1321&lt;=判定条件!$C$8*E1321,"停止","断続")))</f>
        <v>停止</v>
      </c>
      <c r="H1321" s="30" t="n">
        <v>0</v>
      </c>
      <c r="I1321" s="30" t="n">
        <v>0</v>
      </c>
      <c r="J1321" s="30" t="str">
        <f aca="false">IF(H1321&lt;判定条件!$C$6,"判定不能",IF(I1321&gt;=判定条件!$C$7*H1321,"運転",IF(I1321&lt;=判定条件!$C$8*H1321,"停止","断続")))</f>
        <v>判定不能</v>
      </c>
      <c r="K1321" s="30" t="n">
        <v>60</v>
      </c>
      <c r="L1321" s="30" t="n">
        <v>0</v>
      </c>
      <c r="M1321" s="30" t="str">
        <f aca="false">IF(K1321&lt;判定条件!$C$6,"判定不能",IF(L1321&gt;=判定条件!$C$7*K1321,"運転",IF(L1321&lt;=判定条件!$C$8*K1321,"停止","断続")))</f>
        <v>停止</v>
      </c>
      <c r="N1321" s="30" t="n">
        <v>60</v>
      </c>
      <c r="O1321" s="30" t="n">
        <v>0</v>
      </c>
      <c r="P1321" s="30" t="str">
        <f aca="false">IF(N1321&lt;判定条件!$C$6,"判定不能",IF(O1321&gt;=判定条件!$C$7*N1321,"運転",IF(O1321&lt;=判定条件!$C$8*N1321,"停止","断続")))</f>
        <v>停止</v>
      </c>
      <c r="Q1321" s="30" t="n">
        <v>60</v>
      </c>
      <c r="R1321" s="30" t="n">
        <v>0</v>
      </c>
      <c r="S1321" s="30" t="str">
        <f aca="false">IF(Q1321&lt;判定条件!$C$6,"判定不能",IF(R1321&gt;=判定条件!$C$7*Q1321,"運転",IF(R1321&lt;=判定条件!$C$8*Q1321,"停止","断続")))</f>
        <v>停止</v>
      </c>
      <c r="T1321" s="30" t="n">
        <v>60</v>
      </c>
      <c r="U1321" s="30" t="n">
        <v>0</v>
      </c>
      <c r="V1321" s="30" t="str">
        <f aca="false">IF(T1321&lt;判定条件!$C$6,"判定不能",IF(U1321&gt;=判定条件!$C$7*T1321,"運転",IF(U1321&lt;=判定条件!$C$8*T1321,"停止","断続")))</f>
        <v>停止</v>
      </c>
      <c r="W1321" s="30" t="n">
        <v>0</v>
      </c>
      <c r="X1321" s="30" t="n">
        <v>0</v>
      </c>
      <c r="Y1321" s="30" t="str">
        <f aca="false">IF(W1321&lt;判定条件!$C$6,"判定不能",IF(X1321&gt;=判定条件!$C$7*W1321,"運転",IF(X1321&lt;=判定条件!$C$8*W1321,"停止","断続")))</f>
        <v>判定不能</v>
      </c>
      <c r="Z1321" s="30" t="n">
        <v>0</v>
      </c>
      <c r="AA1321" s="30" t="n">
        <v>0</v>
      </c>
      <c r="AB1321" s="30" t="str">
        <f aca="false">IF(Z1321&lt;判定条件!$C$6,"判定不能",IF(AA1321&gt;=判定条件!$C$7*Z1321,"運転",IF(AA1321&lt;=判定条件!$C$8*Z1321,"停止","断続")))</f>
        <v>判定不能</v>
      </c>
      <c r="AC1321" s="30" t="n">
        <v>0</v>
      </c>
      <c r="AD1321" s="30" t="n">
        <v>0</v>
      </c>
      <c r="AE1321" s="30" t="str">
        <f aca="false">IF(AC1321&lt;判定条件!$C$6,"判定不能",IF(AD1321&gt;=判定条件!$C$7*AC1321,"運転",IF(AD1321&lt;=判定条件!$C$8*AC1321,"停止","断続")))</f>
        <v>判定不能</v>
      </c>
      <c r="AF1321" s="30" t="n">
        <v>60</v>
      </c>
      <c r="AG1321" s="30" t="n">
        <v>0</v>
      </c>
      <c r="AH1321" s="30" t="str">
        <f aca="false">IF(OR(P1321="判定不能",G1321="判定不能"),"判定不能",IF(AG1321&gt;=判定条件!$C$9,"利用可",IF(AND(P1321="停止",G1321="停止"),"両方停止","運転がそろわない")))</f>
        <v>両方停止</v>
      </c>
      <c r="AI1321" s="30" t="n">
        <v>0</v>
      </c>
      <c r="AJ1321" s="30" t="n">
        <v>0</v>
      </c>
      <c r="AK1321" s="30" t="str">
        <f aca="false">IF(OR(S1321="判定不能",J1321="判定不能"),"判定不能",IF(AJ1321&gt;=判定条件!$C$9,"利用可",IF(AND(S1321="停止",J1321="停止"),"両方停止","運転がそろわない")))</f>
        <v>判定不能</v>
      </c>
      <c r="AL1321" s="30" t="n">
        <v>60</v>
      </c>
      <c r="AM1321" s="30" t="n">
        <v>0</v>
      </c>
      <c r="AN1321" s="30" t="str">
        <f aca="false">IF(OR(V1321="判定不能",M1321="判定不能"),"判定不能",IF(AM1321&gt;=判定条件!$C$9,"利用可",IF(AND(V1321="停止",M1321="停止"),"両方停止","運転がそろわない")))</f>
        <v>両方停止</v>
      </c>
      <c r="AO1321" s="30" t="n">
        <v>0</v>
      </c>
      <c r="AP1321" s="30" t="n">
        <v>0</v>
      </c>
      <c r="AQ1321" s="30" t="str">
        <f aca="false">IF(OR(Y1321="判定不能",G1321="判定不能"),"判定不能",IF(AP1321&gt;=判定条件!$C$9,"利用可",IF(AND(Y1321="停止",G1321="停止"),"両方停止","運転がそろわない")))</f>
        <v>判定不能</v>
      </c>
      <c r="AR1321" s="30" t="n">
        <v>0</v>
      </c>
      <c r="AS1321" s="30" t="n">
        <v>0</v>
      </c>
      <c r="AT1321" s="30" t="str">
        <f aca="false">IF(OR(AB1321="判定不能",J1321="判定不能"),"判定不能",IF(AS1321&gt;=判定条件!$C$9,"利用可",IF(AND(AB1321="停止",J1321="停止"),"両方停止","運転がそろわない")))</f>
        <v>判定不能</v>
      </c>
      <c r="AU1321" s="30" t="n">
        <v>0</v>
      </c>
      <c r="AV1321" s="30" t="n">
        <v>0</v>
      </c>
      <c r="AW1321" s="30" t="str">
        <f aca="false">IF(OR(AE1321="判定不能",M1321="判定不能"),"判定不能",IF(AV1321&gt;=判定条件!$C$9,"利用可",IF(AND(AE1321="停止",M1321="停止"),"両方停止","運転がそろわない")))</f>
        <v>判定不能</v>
      </c>
      <c r="AX1321" s="30" t="str">
        <f aca="false">IF(AND(AH1321="利用可",AK1321="利用可",AN1321="利用可"),"利用可","不可")</f>
        <v>不可</v>
      </c>
      <c r="AY1321" s="30" t="str">
        <f aca="false">IF(AND(AQ1321="利用可",AT1321="利用可",AW1321="利用可"),"利用可","不可")</f>
        <v>不可</v>
      </c>
    </row>
    <row r="1322" customFormat="false" ht="15" hidden="false" customHeight="false" outlineLevel="0" collapsed="false">
      <c r="A1322" s="29" t="n">
        <v>46286</v>
      </c>
      <c r="B1322" s="30" t="n">
        <v>23</v>
      </c>
      <c r="C1322" s="31" t="s">
        <v>66</v>
      </c>
      <c r="D1322" s="31" t="s">
        <v>101</v>
      </c>
      <c r="E1322" s="30" t="n">
        <v>60</v>
      </c>
      <c r="F1322" s="30" t="n">
        <v>0</v>
      </c>
      <c r="G1322" s="30" t="str">
        <f aca="false">IF(E1322&lt;判定条件!$C$6,"判定不能",IF(F1322&gt;=判定条件!$C$7*E1322,"運転",IF(F1322&lt;=判定条件!$C$8*E1322,"停止","断続")))</f>
        <v>停止</v>
      </c>
      <c r="H1322" s="30" t="n">
        <v>0</v>
      </c>
      <c r="I1322" s="30" t="n">
        <v>0</v>
      </c>
      <c r="J1322" s="30" t="str">
        <f aca="false">IF(H1322&lt;判定条件!$C$6,"判定不能",IF(I1322&gt;=判定条件!$C$7*H1322,"運転",IF(I1322&lt;=判定条件!$C$8*H1322,"停止","断続")))</f>
        <v>判定不能</v>
      </c>
      <c r="K1322" s="30" t="n">
        <v>60</v>
      </c>
      <c r="L1322" s="30" t="n">
        <v>0</v>
      </c>
      <c r="M1322" s="30" t="str">
        <f aca="false">IF(K1322&lt;判定条件!$C$6,"判定不能",IF(L1322&gt;=判定条件!$C$7*K1322,"運転",IF(L1322&lt;=判定条件!$C$8*K1322,"停止","断続")))</f>
        <v>停止</v>
      </c>
      <c r="N1322" s="30" t="n">
        <v>60</v>
      </c>
      <c r="O1322" s="30" t="n">
        <v>0</v>
      </c>
      <c r="P1322" s="30" t="str">
        <f aca="false">IF(N1322&lt;判定条件!$C$6,"判定不能",IF(O1322&gt;=判定条件!$C$7*N1322,"運転",IF(O1322&lt;=判定条件!$C$8*N1322,"停止","断続")))</f>
        <v>停止</v>
      </c>
      <c r="Q1322" s="30" t="n">
        <v>60</v>
      </c>
      <c r="R1322" s="30" t="n">
        <v>0</v>
      </c>
      <c r="S1322" s="30" t="str">
        <f aca="false">IF(Q1322&lt;判定条件!$C$6,"判定不能",IF(R1322&gt;=判定条件!$C$7*Q1322,"運転",IF(R1322&lt;=判定条件!$C$8*Q1322,"停止","断続")))</f>
        <v>停止</v>
      </c>
      <c r="T1322" s="30" t="n">
        <v>60</v>
      </c>
      <c r="U1322" s="30" t="n">
        <v>0</v>
      </c>
      <c r="V1322" s="30" t="str">
        <f aca="false">IF(T1322&lt;判定条件!$C$6,"判定不能",IF(U1322&gt;=判定条件!$C$7*T1322,"運転",IF(U1322&lt;=判定条件!$C$8*T1322,"停止","断続")))</f>
        <v>停止</v>
      </c>
      <c r="W1322" s="30" t="n">
        <v>0</v>
      </c>
      <c r="X1322" s="30" t="n">
        <v>0</v>
      </c>
      <c r="Y1322" s="30" t="str">
        <f aca="false">IF(W1322&lt;判定条件!$C$6,"判定不能",IF(X1322&gt;=判定条件!$C$7*W1322,"運転",IF(X1322&lt;=判定条件!$C$8*W1322,"停止","断続")))</f>
        <v>判定不能</v>
      </c>
      <c r="Z1322" s="30" t="n">
        <v>0</v>
      </c>
      <c r="AA1322" s="30" t="n">
        <v>0</v>
      </c>
      <c r="AB1322" s="30" t="str">
        <f aca="false">IF(Z1322&lt;判定条件!$C$6,"判定不能",IF(AA1322&gt;=判定条件!$C$7*Z1322,"運転",IF(AA1322&lt;=判定条件!$C$8*Z1322,"停止","断続")))</f>
        <v>判定不能</v>
      </c>
      <c r="AC1322" s="30" t="n">
        <v>0</v>
      </c>
      <c r="AD1322" s="30" t="n">
        <v>0</v>
      </c>
      <c r="AE1322" s="30" t="str">
        <f aca="false">IF(AC1322&lt;判定条件!$C$6,"判定不能",IF(AD1322&gt;=判定条件!$C$7*AC1322,"運転",IF(AD1322&lt;=判定条件!$C$8*AC1322,"停止","断続")))</f>
        <v>判定不能</v>
      </c>
      <c r="AF1322" s="30" t="n">
        <v>60</v>
      </c>
      <c r="AG1322" s="30" t="n">
        <v>0</v>
      </c>
      <c r="AH1322" s="30" t="str">
        <f aca="false">IF(OR(P1322="判定不能",G1322="判定不能"),"判定不能",IF(AG1322&gt;=判定条件!$C$9,"利用可",IF(AND(P1322="停止",G1322="停止"),"両方停止","運転がそろわない")))</f>
        <v>両方停止</v>
      </c>
      <c r="AI1322" s="30" t="n">
        <v>0</v>
      </c>
      <c r="AJ1322" s="30" t="n">
        <v>0</v>
      </c>
      <c r="AK1322" s="30" t="str">
        <f aca="false">IF(OR(S1322="判定不能",J1322="判定不能"),"判定不能",IF(AJ1322&gt;=判定条件!$C$9,"利用可",IF(AND(S1322="停止",J1322="停止"),"両方停止","運転がそろわない")))</f>
        <v>判定不能</v>
      </c>
      <c r="AL1322" s="30" t="n">
        <v>60</v>
      </c>
      <c r="AM1322" s="30" t="n">
        <v>0</v>
      </c>
      <c r="AN1322" s="30" t="str">
        <f aca="false">IF(OR(V1322="判定不能",M1322="判定不能"),"判定不能",IF(AM1322&gt;=判定条件!$C$9,"利用可",IF(AND(V1322="停止",M1322="停止"),"両方停止","運転がそろわない")))</f>
        <v>両方停止</v>
      </c>
      <c r="AO1322" s="30" t="n">
        <v>0</v>
      </c>
      <c r="AP1322" s="30" t="n">
        <v>0</v>
      </c>
      <c r="AQ1322" s="30" t="str">
        <f aca="false">IF(OR(Y1322="判定不能",G1322="判定不能"),"判定不能",IF(AP1322&gt;=判定条件!$C$9,"利用可",IF(AND(Y1322="停止",G1322="停止"),"両方停止","運転がそろわない")))</f>
        <v>判定不能</v>
      </c>
      <c r="AR1322" s="30" t="n">
        <v>0</v>
      </c>
      <c r="AS1322" s="30" t="n">
        <v>0</v>
      </c>
      <c r="AT1322" s="30" t="str">
        <f aca="false">IF(OR(AB1322="判定不能",J1322="判定不能"),"判定不能",IF(AS1322&gt;=判定条件!$C$9,"利用可",IF(AND(AB1322="停止",J1322="停止"),"両方停止","運転がそろわない")))</f>
        <v>判定不能</v>
      </c>
      <c r="AU1322" s="30" t="n">
        <v>0</v>
      </c>
      <c r="AV1322" s="30" t="n">
        <v>0</v>
      </c>
      <c r="AW1322" s="30" t="str">
        <f aca="false">IF(OR(AE1322="判定不能",M1322="判定不能"),"判定不能",IF(AV1322&gt;=判定条件!$C$9,"利用可",IF(AND(AE1322="停止",M1322="停止"),"両方停止","運転がそろわない")))</f>
        <v>判定不能</v>
      </c>
      <c r="AX1322" s="30" t="str">
        <f aca="false">IF(AND(AH1322="利用可",AK1322="利用可",AN1322="利用可"),"利用可","不可")</f>
        <v>不可</v>
      </c>
      <c r="AY1322" s="30" t="str">
        <f aca="false">IF(AND(AQ1322="利用可",AT1322="利用可",AW1322="利用可"),"利用可","不可")</f>
        <v>不可</v>
      </c>
    </row>
    <row r="1323" customFormat="false" ht="15" hidden="false" customHeight="false" outlineLevel="0" collapsed="false">
      <c r="A1323" s="29" t="n">
        <v>46287</v>
      </c>
      <c r="B1323" s="30" t="n">
        <v>0</v>
      </c>
      <c r="C1323" s="31" t="s">
        <v>67</v>
      </c>
      <c r="D1323" s="31" t="s">
        <v>101</v>
      </c>
      <c r="E1323" s="30" t="n">
        <v>60</v>
      </c>
      <c r="F1323" s="30" t="n">
        <v>0</v>
      </c>
      <c r="G1323" s="30" t="str">
        <f aca="false">IF(E1323&lt;判定条件!$C$6,"判定不能",IF(F1323&gt;=判定条件!$C$7*E1323,"運転",IF(F1323&lt;=判定条件!$C$8*E1323,"停止","断続")))</f>
        <v>停止</v>
      </c>
      <c r="H1323" s="30" t="n">
        <v>0</v>
      </c>
      <c r="I1323" s="30" t="n">
        <v>0</v>
      </c>
      <c r="J1323" s="30" t="str">
        <f aca="false">IF(H1323&lt;判定条件!$C$6,"判定不能",IF(I1323&gt;=判定条件!$C$7*H1323,"運転",IF(I1323&lt;=判定条件!$C$8*H1323,"停止","断続")))</f>
        <v>判定不能</v>
      </c>
      <c r="K1323" s="30" t="n">
        <v>60</v>
      </c>
      <c r="L1323" s="30" t="n">
        <v>0</v>
      </c>
      <c r="M1323" s="30" t="str">
        <f aca="false">IF(K1323&lt;判定条件!$C$6,"判定不能",IF(L1323&gt;=判定条件!$C$7*K1323,"運転",IF(L1323&lt;=判定条件!$C$8*K1323,"停止","断続")))</f>
        <v>停止</v>
      </c>
      <c r="N1323" s="30" t="n">
        <v>60</v>
      </c>
      <c r="O1323" s="30" t="n">
        <v>0</v>
      </c>
      <c r="P1323" s="30" t="str">
        <f aca="false">IF(N1323&lt;判定条件!$C$6,"判定不能",IF(O1323&gt;=判定条件!$C$7*N1323,"運転",IF(O1323&lt;=判定条件!$C$8*N1323,"停止","断続")))</f>
        <v>停止</v>
      </c>
      <c r="Q1323" s="30" t="n">
        <v>60</v>
      </c>
      <c r="R1323" s="30" t="n">
        <v>0</v>
      </c>
      <c r="S1323" s="30" t="str">
        <f aca="false">IF(Q1323&lt;判定条件!$C$6,"判定不能",IF(R1323&gt;=判定条件!$C$7*Q1323,"運転",IF(R1323&lt;=判定条件!$C$8*Q1323,"停止","断続")))</f>
        <v>停止</v>
      </c>
      <c r="T1323" s="30" t="n">
        <v>60</v>
      </c>
      <c r="U1323" s="30" t="n">
        <v>0</v>
      </c>
      <c r="V1323" s="30" t="str">
        <f aca="false">IF(T1323&lt;判定条件!$C$6,"判定不能",IF(U1323&gt;=判定条件!$C$7*T1323,"運転",IF(U1323&lt;=判定条件!$C$8*T1323,"停止","断続")))</f>
        <v>停止</v>
      </c>
      <c r="W1323" s="30" t="n">
        <v>0</v>
      </c>
      <c r="X1323" s="30" t="n">
        <v>0</v>
      </c>
      <c r="Y1323" s="30" t="str">
        <f aca="false">IF(W1323&lt;判定条件!$C$6,"判定不能",IF(X1323&gt;=判定条件!$C$7*W1323,"運転",IF(X1323&lt;=判定条件!$C$8*W1323,"停止","断続")))</f>
        <v>判定不能</v>
      </c>
      <c r="Z1323" s="30" t="n">
        <v>0</v>
      </c>
      <c r="AA1323" s="30" t="n">
        <v>0</v>
      </c>
      <c r="AB1323" s="30" t="str">
        <f aca="false">IF(Z1323&lt;判定条件!$C$6,"判定不能",IF(AA1323&gt;=判定条件!$C$7*Z1323,"運転",IF(AA1323&lt;=判定条件!$C$8*Z1323,"停止","断続")))</f>
        <v>判定不能</v>
      </c>
      <c r="AC1323" s="30" t="n">
        <v>0</v>
      </c>
      <c r="AD1323" s="30" t="n">
        <v>0</v>
      </c>
      <c r="AE1323" s="30" t="str">
        <f aca="false">IF(AC1323&lt;判定条件!$C$6,"判定不能",IF(AD1323&gt;=判定条件!$C$7*AC1323,"運転",IF(AD1323&lt;=判定条件!$C$8*AC1323,"停止","断続")))</f>
        <v>判定不能</v>
      </c>
      <c r="AF1323" s="30" t="n">
        <v>60</v>
      </c>
      <c r="AG1323" s="30" t="n">
        <v>0</v>
      </c>
      <c r="AH1323" s="30" t="str">
        <f aca="false">IF(OR(P1323="判定不能",G1323="判定不能"),"判定不能",IF(AG1323&gt;=判定条件!$C$9,"利用可",IF(AND(P1323="停止",G1323="停止"),"両方停止","運転がそろわない")))</f>
        <v>両方停止</v>
      </c>
      <c r="AI1323" s="30" t="n">
        <v>0</v>
      </c>
      <c r="AJ1323" s="30" t="n">
        <v>0</v>
      </c>
      <c r="AK1323" s="30" t="str">
        <f aca="false">IF(OR(S1323="判定不能",J1323="判定不能"),"判定不能",IF(AJ1323&gt;=判定条件!$C$9,"利用可",IF(AND(S1323="停止",J1323="停止"),"両方停止","運転がそろわない")))</f>
        <v>判定不能</v>
      </c>
      <c r="AL1323" s="30" t="n">
        <v>60</v>
      </c>
      <c r="AM1323" s="30" t="n">
        <v>0</v>
      </c>
      <c r="AN1323" s="30" t="str">
        <f aca="false">IF(OR(V1323="判定不能",M1323="判定不能"),"判定不能",IF(AM1323&gt;=判定条件!$C$9,"利用可",IF(AND(V1323="停止",M1323="停止"),"両方停止","運転がそろわない")))</f>
        <v>両方停止</v>
      </c>
      <c r="AO1323" s="30" t="n">
        <v>0</v>
      </c>
      <c r="AP1323" s="30" t="n">
        <v>0</v>
      </c>
      <c r="AQ1323" s="30" t="str">
        <f aca="false">IF(OR(Y1323="判定不能",G1323="判定不能"),"判定不能",IF(AP1323&gt;=判定条件!$C$9,"利用可",IF(AND(Y1323="停止",G1323="停止"),"両方停止","運転がそろわない")))</f>
        <v>判定不能</v>
      </c>
      <c r="AR1323" s="30" t="n">
        <v>0</v>
      </c>
      <c r="AS1323" s="30" t="n">
        <v>0</v>
      </c>
      <c r="AT1323" s="30" t="str">
        <f aca="false">IF(OR(AB1323="判定不能",J1323="判定不能"),"判定不能",IF(AS1323&gt;=判定条件!$C$9,"利用可",IF(AND(AB1323="停止",J1323="停止"),"両方停止","運転がそろわない")))</f>
        <v>判定不能</v>
      </c>
      <c r="AU1323" s="30" t="n">
        <v>0</v>
      </c>
      <c r="AV1323" s="30" t="n">
        <v>0</v>
      </c>
      <c r="AW1323" s="30" t="str">
        <f aca="false">IF(OR(AE1323="判定不能",M1323="判定不能"),"判定不能",IF(AV1323&gt;=判定条件!$C$9,"利用可",IF(AND(AE1323="停止",M1323="停止"),"両方停止","運転がそろわない")))</f>
        <v>判定不能</v>
      </c>
      <c r="AX1323" s="30" t="str">
        <f aca="false">IF(AND(AH1323="利用可",AK1323="利用可",AN1323="利用可"),"利用可","不可")</f>
        <v>不可</v>
      </c>
      <c r="AY1323" s="30" t="str">
        <f aca="false">IF(AND(AQ1323="利用可",AT1323="利用可",AW1323="利用可"),"利用可","不可")</f>
        <v>不可</v>
      </c>
    </row>
    <row r="1324" customFormat="false" ht="15" hidden="false" customHeight="false" outlineLevel="0" collapsed="false">
      <c r="A1324" s="29" t="n">
        <v>46287</v>
      </c>
      <c r="B1324" s="30" t="n">
        <v>1</v>
      </c>
      <c r="C1324" s="31" t="s">
        <v>67</v>
      </c>
      <c r="D1324" s="31" t="s">
        <v>101</v>
      </c>
      <c r="E1324" s="30" t="n">
        <v>60</v>
      </c>
      <c r="F1324" s="30" t="n">
        <v>0</v>
      </c>
      <c r="G1324" s="30" t="str">
        <f aca="false">IF(E1324&lt;判定条件!$C$6,"判定不能",IF(F1324&gt;=判定条件!$C$7*E1324,"運転",IF(F1324&lt;=判定条件!$C$8*E1324,"停止","断続")))</f>
        <v>停止</v>
      </c>
      <c r="H1324" s="30" t="n">
        <v>0</v>
      </c>
      <c r="I1324" s="30" t="n">
        <v>0</v>
      </c>
      <c r="J1324" s="30" t="str">
        <f aca="false">IF(H1324&lt;判定条件!$C$6,"判定不能",IF(I1324&gt;=判定条件!$C$7*H1324,"運転",IF(I1324&lt;=判定条件!$C$8*H1324,"停止","断続")))</f>
        <v>判定不能</v>
      </c>
      <c r="K1324" s="30" t="n">
        <v>60</v>
      </c>
      <c r="L1324" s="30" t="n">
        <v>0</v>
      </c>
      <c r="M1324" s="30" t="str">
        <f aca="false">IF(K1324&lt;判定条件!$C$6,"判定不能",IF(L1324&gt;=判定条件!$C$7*K1324,"運転",IF(L1324&lt;=判定条件!$C$8*K1324,"停止","断続")))</f>
        <v>停止</v>
      </c>
      <c r="N1324" s="30" t="n">
        <v>60</v>
      </c>
      <c r="O1324" s="30" t="n">
        <v>0</v>
      </c>
      <c r="P1324" s="30" t="str">
        <f aca="false">IF(N1324&lt;判定条件!$C$6,"判定不能",IF(O1324&gt;=判定条件!$C$7*N1324,"運転",IF(O1324&lt;=判定条件!$C$8*N1324,"停止","断続")))</f>
        <v>停止</v>
      </c>
      <c r="Q1324" s="30" t="n">
        <v>60</v>
      </c>
      <c r="R1324" s="30" t="n">
        <v>0</v>
      </c>
      <c r="S1324" s="30" t="str">
        <f aca="false">IF(Q1324&lt;判定条件!$C$6,"判定不能",IF(R1324&gt;=判定条件!$C$7*Q1324,"運転",IF(R1324&lt;=判定条件!$C$8*Q1324,"停止","断続")))</f>
        <v>停止</v>
      </c>
      <c r="T1324" s="30" t="n">
        <v>60</v>
      </c>
      <c r="U1324" s="30" t="n">
        <v>0</v>
      </c>
      <c r="V1324" s="30" t="str">
        <f aca="false">IF(T1324&lt;判定条件!$C$6,"判定不能",IF(U1324&gt;=判定条件!$C$7*T1324,"運転",IF(U1324&lt;=判定条件!$C$8*T1324,"停止","断続")))</f>
        <v>停止</v>
      </c>
      <c r="W1324" s="30" t="n">
        <v>0</v>
      </c>
      <c r="X1324" s="30" t="n">
        <v>0</v>
      </c>
      <c r="Y1324" s="30" t="str">
        <f aca="false">IF(W1324&lt;判定条件!$C$6,"判定不能",IF(X1324&gt;=判定条件!$C$7*W1324,"運転",IF(X1324&lt;=判定条件!$C$8*W1324,"停止","断続")))</f>
        <v>判定不能</v>
      </c>
      <c r="Z1324" s="30" t="n">
        <v>0</v>
      </c>
      <c r="AA1324" s="30" t="n">
        <v>0</v>
      </c>
      <c r="AB1324" s="30" t="str">
        <f aca="false">IF(Z1324&lt;判定条件!$C$6,"判定不能",IF(AA1324&gt;=判定条件!$C$7*Z1324,"運転",IF(AA1324&lt;=判定条件!$C$8*Z1324,"停止","断続")))</f>
        <v>判定不能</v>
      </c>
      <c r="AC1324" s="30" t="n">
        <v>0</v>
      </c>
      <c r="AD1324" s="30" t="n">
        <v>0</v>
      </c>
      <c r="AE1324" s="30" t="str">
        <f aca="false">IF(AC1324&lt;判定条件!$C$6,"判定不能",IF(AD1324&gt;=判定条件!$C$7*AC1324,"運転",IF(AD1324&lt;=判定条件!$C$8*AC1324,"停止","断続")))</f>
        <v>判定不能</v>
      </c>
      <c r="AF1324" s="30" t="n">
        <v>60</v>
      </c>
      <c r="AG1324" s="30" t="n">
        <v>0</v>
      </c>
      <c r="AH1324" s="30" t="str">
        <f aca="false">IF(OR(P1324="判定不能",G1324="判定不能"),"判定不能",IF(AG1324&gt;=判定条件!$C$9,"利用可",IF(AND(P1324="停止",G1324="停止"),"両方停止","運転がそろわない")))</f>
        <v>両方停止</v>
      </c>
      <c r="AI1324" s="30" t="n">
        <v>0</v>
      </c>
      <c r="AJ1324" s="30" t="n">
        <v>0</v>
      </c>
      <c r="AK1324" s="30" t="str">
        <f aca="false">IF(OR(S1324="判定不能",J1324="判定不能"),"判定不能",IF(AJ1324&gt;=判定条件!$C$9,"利用可",IF(AND(S1324="停止",J1324="停止"),"両方停止","運転がそろわない")))</f>
        <v>判定不能</v>
      </c>
      <c r="AL1324" s="30" t="n">
        <v>60</v>
      </c>
      <c r="AM1324" s="30" t="n">
        <v>0</v>
      </c>
      <c r="AN1324" s="30" t="str">
        <f aca="false">IF(OR(V1324="判定不能",M1324="判定不能"),"判定不能",IF(AM1324&gt;=判定条件!$C$9,"利用可",IF(AND(V1324="停止",M1324="停止"),"両方停止","運転がそろわない")))</f>
        <v>両方停止</v>
      </c>
      <c r="AO1324" s="30" t="n">
        <v>0</v>
      </c>
      <c r="AP1324" s="30" t="n">
        <v>0</v>
      </c>
      <c r="AQ1324" s="30" t="str">
        <f aca="false">IF(OR(Y1324="判定不能",G1324="判定不能"),"判定不能",IF(AP1324&gt;=判定条件!$C$9,"利用可",IF(AND(Y1324="停止",G1324="停止"),"両方停止","運転がそろわない")))</f>
        <v>判定不能</v>
      </c>
      <c r="AR1324" s="30" t="n">
        <v>0</v>
      </c>
      <c r="AS1324" s="30" t="n">
        <v>0</v>
      </c>
      <c r="AT1324" s="30" t="str">
        <f aca="false">IF(OR(AB1324="判定不能",J1324="判定不能"),"判定不能",IF(AS1324&gt;=判定条件!$C$9,"利用可",IF(AND(AB1324="停止",J1324="停止"),"両方停止","運転がそろわない")))</f>
        <v>判定不能</v>
      </c>
      <c r="AU1324" s="30" t="n">
        <v>0</v>
      </c>
      <c r="AV1324" s="30" t="n">
        <v>0</v>
      </c>
      <c r="AW1324" s="30" t="str">
        <f aca="false">IF(OR(AE1324="判定不能",M1324="判定不能"),"判定不能",IF(AV1324&gt;=判定条件!$C$9,"利用可",IF(AND(AE1324="停止",M1324="停止"),"両方停止","運転がそろわない")))</f>
        <v>判定不能</v>
      </c>
      <c r="AX1324" s="30" t="str">
        <f aca="false">IF(AND(AH1324="利用可",AK1324="利用可",AN1324="利用可"),"利用可","不可")</f>
        <v>不可</v>
      </c>
      <c r="AY1324" s="30" t="str">
        <f aca="false">IF(AND(AQ1324="利用可",AT1324="利用可",AW1324="利用可"),"利用可","不可")</f>
        <v>不可</v>
      </c>
    </row>
    <row r="1325" customFormat="false" ht="15" hidden="false" customHeight="false" outlineLevel="0" collapsed="false">
      <c r="A1325" s="29" t="n">
        <v>46287</v>
      </c>
      <c r="B1325" s="30" t="n">
        <v>2</v>
      </c>
      <c r="C1325" s="31" t="s">
        <v>67</v>
      </c>
      <c r="D1325" s="31" t="s">
        <v>101</v>
      </c>
      <c r="E1325" s="30" t="n">
        <v>60</v>
      </c>
      <c r="F1325" s="30" t="n">
        <v>0</v>
      </c>
      <c r="G1325" s="30" t="str">
        <f aca="false">IF(E1325&lt;判定条件!$C$6,"判定不能",IF(F1325&gt;=判定条件!$C$7*E1325,"運転",IF(F1325&lt;=判定条件!$C$8*E1325,"停止","断続")))</f>
        <v>停止</v>
      </c>
      <c r="H1325" s="30" t="n">
        <v>0</v>
      </c>
      <c r="I1325" s="30" t="n">
        <v>0</v>
      </c>
      <c r="J1325" s="30" t="str">
        <f aca="false">IF(H1325&lt;判定条件!$C$6,"判定不能",IF(I1325&gt;=判定条件!$C$7*H1325,"運転",IF(I1325&lt;=判定条件!$C$8*H1325,"停止","断続")))</f>
        <v>判定不能</v>
      </c>
      <c r="K1325" s="30" t="n">
        <v>60</v>
      </c>
      <c r="L1325" s="30" t="n">
        <v>0</v>
      </c>
      <c r="M1325" s="30" t="str">
        <f aca="false">IF(K1325&lt;判定条件!$C$6,"判定不能",IF(L1325&gt;=判定条件!$C$7*K1325,"運転",IF(L1325&lt;=判定条件!$C$8*K1325,"停止","断続")))</f>
        <v>停止</v>
      </c>
      <c r="N1325" s="30" t="n">
        <v>60</v>
      </c>
      <c r="O1325" s="30" t="n">
        <v>19</v>
      </c>
      <c r="P1325" s="30" t="str">
        <f aca="false">IF(N1325&lt;判定条件!$C$6,"判定不能",IF(O1325&gt;=判定条件!$C$7*N1325,"運転",IF(O1325&lt;=判定条件!$C$8*N1325,"停止","断続")))</f>
        <v>断続</v>
      </c>
      <c r="Q1325" s="30" t="n">
        <v>60</v>
      </c>
      <c r="R1325" s="30" t="n">
        <v>5</v>
      </c>
      <c r="S1325" s="30" t="str">
        <f aca="false">IF(Q1325&lt;判定条件!$C$6,"判定不能",IF(R1325&gt;=判定条件!$C$7*Q1325,"運転",IF(R1325&lt;=判定条件!$C$8*Q1325,"停止","断続")))</f>
        <v>停止</v>
      </c>
      <c r="T1325" s="30" t="n">
        <v>60</v>
      </c>
      <c r="U1325" s="30" t="n">
        <v>0</v>
      </c>
      <c r="V1325" s="30" t="str">
        <f aca="false">IF(T1325&lt;判定条件!$C$6,"判定不能",IF(U1325&gt;=判定条件!$C$7*T1325,"運転",IF(U1325&lt;=判定条件!$C$8*T1325,"停止","断続")))</f>
        <v>停止</v>
      </c>
      <c r="W1325" s="30" t="n">
        <v>0</v>
      </c>
      <c r="X1325" s="30" t="n">
        <v>0</v>
      </c>
      <c r="Y1325" s="30" t="str">
        <f aca="false">IF(W1325&lt;判定条件!$C$6,"判定不能",IF(X1325&gt;=判定条件!$C$7*W1325,"運転",IF(X1325&lt;=判定条件!$C$8*W1325,"停止","断続")))</f>
        <v>判定不能</v>
      </c>
      <c r="Z1325" s="30" t="n">
        <v>0</v>
      </c>
      <c r="AA1325" s="30" t="n">
        <v>0</v>
      </c>
      <c r="AB1325" s="30" t="str">
        <f aca="false">IF(Z1325&lt;判定条件!$C$6,"判定不能",IF(AA1325&gt;=判定条件!$C$7*Z1325,"運転",IF(AA1325&lt;=判定条件!$C$8*Z1325,"停止","断続")))</f>
        <v>判定不能</v>
      </c>
      <c r="AC1325" s="30" t="n">
        <v>0</v>
      </c>
      <c r="AD1325" s="30" t="n">
        <v>0</v>
      </c>
      <c r="AE1325" s="30" t="str">
        <f aca="false">IF(AC1325&lt;判定条件!$C$6,"判定不能",IF(AD1325&gt;=判定条件!$C$7*AC1325,"運転",IF(AD1325&lt;=判定条件!$C$8*AC1325,"停止","断続")))</f>
        <v>判定不能</v>
      </c>
      <c r="AF1325" s="30" t="n">
        <v>60</v>
      </c>
      <c r="AG1325" s="30" t="n">
        <v>0</v>
      </c>
      <c r="AH1325" s="30" t="str">
        <f aca="false">IF(OR(P1325="判定不能",G1325="判定不能"),"判定不能",IF(AG1325&gt;=判定条件!$C$9,"利用可",IF(AND(P1325="停止",G1325="停止"),"両方停止","運転がそろわない")))</f>
        <v>運転がそろわない</v>
      </c>
      <c r="AI1325" s="30" t="n">
        <v>0</v>
      </c>
      <c r="AJ1325" s="30" t="n">
        <v>0</v>
      </c>
      <c r="AK1325" s="30" t="str">
        <f aca="false">IF(OR(S1325="判定不能",J1325="判定不能"),"判定不能",IF(AJ1325&gt;=判定条件!$C$9,"利用可",IF(AND(S1325="停止",J1325="停止"),"両方停止","運転がそろわない")))</f>
        <v>判定不能</v>
      </c>
      <c r="AL1325" s="30" t="n">
        <v>60</v>
      </c>
      <c r="AM1325" s="30" t="n">
        <v>0</v>
      </c>
      <c r="AN1325" s="30" t="str">
        <f aca="false">IF(OR(V1325="判定不能",M1325="判定不能"),"判定不能",IF(AM1325&gt;=判定条件!$C$9,"利用可",IF(AND(V1325="停止",M1325="停止"),"両方停止","運転がそろわない")))</f>
        <v>両方停止</v>
      </c>
      <c r="AO1325" s="30" t="n">
        <v>0</v>
      </c>
      <c r="AP1325" s="30" t="n">
        <v>0</v>
      </c>
      <c r="AQ1325" s="30" t="str">
        <f aca="false">IF(OR(Y1325="判定不能",G1325="判定不能"),"判定不能",IF(AP1325&gt;=判定条件!$C$9,"利用可",IF(AND(Y1325="停止",G1325="停止"),"両方停止","運転がそろわない")))</f>
        <v>判定不能</v>
      </c>
      <c r="AR1325" s="30" t="n">
        <v>0</v>
      </c>
      <c r="AS1325" s="30" t="n">
        <v>0</v>
      </c>
      <c r="AT1325" s="30" t="str">
        <f aca="false">IF(OR(AB1325="判定不能",J1325="判定不能"),"判定不能",IF(AS1325&gt;=判定条件!$C$9,"利用可",IF(AND(AB1325="停止",J1325="停止"),"両方停止","運転がそろわない")))</f>
        <v>判定不能</v>
      </c>
      <c r="AU1325" s="30" t="n">
        <v>0</v>
      </c>
      <c r="AV1325" s="30" t="n">
        <v>0</v>
      </c>
      <c r="AW1325" s="30" t="str">
        <f aca="false">IF(OR(AE1325="判定不能",M1325="判定不能"),"判定不能",IF(AV1325&gt;=判定条件!$C$9,"利用可",IF(AND(AE1325="停止",M1325="停止"),"両方停止","運転がそろわない")))</f>
        <v>判定不能</v>
      </c>
      <c r="AX1325" s="30" t="str">
        <f aca="false">IF(AND(AH1325="利用可",AK1325="利用可",AN1325="利用可"),"利用可","不可")</f>
        <v>不可</v>
      </c>
      <c r="AY1325" s="30" t="str">
        <f aca="false">IF(AND(AQ1325="利用可",AT1325="利用可",AW1325="利用可"),"利用可","不可")</f>
        <v>不可</v>
      </c>
    </row>
    <row r="1326" customFormat="false" ht="15" hidden="false" customHeight="false" outlineLevel="0" collapsed="false">
      <c r="A1326" s="29" t="n">
        <v>46287</v>
      </c>
      <c r="B1326" s="30" t="n">
        <v>3</v>
      </c>
      <c r="C1326" s="31" t="s">
        <v>67</v>
      </c>
      <c r="D1326" s="31" t="s">
        <v>101</v>
      </c>
      <c r="E1326" s="30" t="n">
        <v>60</v>
      </c>
      <c r="F1326" s="30" t="n">
        <v>0</v>
      </c>
      <c r="G1326" s="30" t="str">
        <f aca="false">IF(E1326&lt;判定条件!$C$6,"判定不能",IF(F1326&gt;=判定条件!$C$7*E1326,"運転",IF(F1326&lt;=判定条件!$C$8*E1326,"停止","断続")))</f>
        <v>停止</v>
      </c>
      <c r="H1326" s="30" t="n">
        <v>0</v>
      </c>
      <c r="I1326" s="30" t="n">
        <v>0</v>
      </c>
      <c r="J1326" s="30" t="str">
        <f aca="false">IF(H1326&lt;判定条件!$C$6,"判定不能",IF(I1326&gt;=判定条件!$C$7*H1326,"運転",IF(I1326&lt;=判定条件!$C$8*H1326,"停止","断続")))</f>
        <v>判定不能</v>
      </c>
      <c r="K1326" s="30" t="n">
        <v>60</v>
      </c>
      <c r="L1326" s="30" t="n">
        <v>0</v>
      </c>
      <c r="M1326" s="30" t="str">
        <f aca="false">IF(K1326&lt;判定条件!$C$6,"判定不能",IF(L1326&gt;=判定条件!$C$7*K1326,"運転",IF(L1326&lt;=判定条件!$C$8*K1326,"停止","断続")))</f>
        <v>停止</v>
      </c>
      <c r="N1326" s="30" t="n">
        <v>60</v>
      </c>
      <c r="O1326" s="30" t="n">
        <v>9</v>
      </c>
      <c r="P1326" s="30" t="str">
        <f aca="false">IF(N1326&lt;判定条件!$C$6,"判定不能",IF(O1326&gt;=判定条件!$C$7*N1326,"運転",IF(O1326&lt;=判定条件!$C$8*N1326,"停止","断続")))</f>
        <v>停止</v>
      </c>
      <c r="Q1326" s="30" t="n">
        <v>60</v>
      </c>
      <c r="R1326" s="30" t="n">
        <v>2</v>
      </c>
      <c r="S1326" s="30" t="str">
        <f aca="false">IF(Q1326&lt;判定条件!$C$6,"判定不能",IF(R1326&gt;=判定条件!$C$7*Q1326,"運転",IF(R1326&lt;=判定条件!$C$8*Q1326,"停止","断続")))</f>
        <v>停止</v>
      </c>
      <c r="T1326" s="30" t="n">
        <v>60</v>
      </c>
      <c r="U1326" s="30" t="n">
        <v>16</v>
      </c>
      <c r="V1326" s="30" t="str">
        <f aca="false">IF(T1326&lt;判定条件!$C$6,"判定不能",IF(U1326&gt;=判定条件!$C$7*T1326,"運転",IF(U1326&lt;=判定条件!$C$8*T1326,"停止","断続")))</f>
        <v>断続</v>
      </c>
      <c r="W1326" s="30" t="n">
        <v>0</v>
      </c>
      <c r="X1326" s="30" t="n">
        <v>0</v>
      </c>
      <c r="Y1326" s="30" t="str">
        <f aca="false">IF(W1326&lt;判定条件!$C$6,"判定不能",IF(X1326&gt;=判定条件!$C$7*W1326,"運転",IF(X1326&lt;=判定条件!$C$8*W1326,"停止","断続")))</f>
        <v>判定不能</v>
      </c>
      <c r="Z1326" s="30" t="n">
        <v>0</v>
      </c>
      <c r="AA1326" s="30" t="n">
        <v>0</v>
      </c>
      <c r="AB1326" s="30" t="str">
        <f aca="false">IF(Z1326&lt;判定条件!$C$6,"判定不能",IF(AA1326&gt;=判定条件!$C$7*Z1326,"運転",IF(AA1326&lt;=判定条件!$C$8*Z1326,"停止","断続")))</f>
        <v>判定不能</v>
      </c>
      <c r="AC1326" s="30" t="n">
        <v>0</v>
      </c>
      <c r="AD1326" s="30" t="n">
        <v>0</v>
      </c>
      <c r="AE1326" s="30" t="str">
        <f aca="false">IF(AC1326&lt;判定条件!$C$6,"判定不能",IF(AD1326&gt;=判定条件!$C$7*AC1326,"運転",IF(AD1326&lt;=判定条件!$C$8*AC1326,"停止","断続")))</f>
        <v>判定不能</v>
      </c>
      <c r="AF1326" s="30" t="n">
        <v>60</v>
      </c>
      <c r="AG1326" s="30" t="n">
        <v>0</v>
      </c>
      <c r="AH1326" s="30" t="str">
        <f aca="false">IF(OR(P1326="判定不能",G1326="判定不能"),"判定不能",IF(AG1326&gt;=判定条件!$C$9,"利用可",IF(AND(P1326="停止",G1326="停止"),"両方停止","運転がそろわない")))</f>
        <v>両方停止</v>
      </c>
      <c r="AI1326" s="30" t="n">
        <v>0</v>
      </c>
      <c r="AJ1326" s="30" t="n">
        <v>0</v>
      </c>
      <c r="AK1326" s="30" t="str">
        <f aca="false">IF(OR(S1326="判定不能",J1326="判定不能"),"判定不能",IF(AJ1326&gt;=判定条件!$C$9,"利用可",IF(AND(S1326="停止",J1326="停止"),"両方停止","運転がそろわない")))</f>
        <v>判定不能</v>
      </c>
      <c r="AL1326" s="30" t="n">
        <v>60</v>
      </c>
      <c r="AM1326" s="30" t="n">
        <v>0</v>
      </c>
      <c r="AN1326" s="30" t="str">
        <f aca="false">IF(OR(V1326="判定不能",M1326="判定不能"),"判定不能",IF(AM1326&gt;=判定条件!$C$9,"利用可",IF(AND(V1326="停止",M1326="停止"),"両方停止","運転がそろわない")))</f>
        <v>運転がそろわない</v>
      </c>
      <c r="AO1326" s="30" t="n">
        <v>0</v>
      </c>
      <c r="AP1326" s="30" t="n">
        <v>0</v>
      </c>
      <c r="AQ1326" s="30" t="str">
        <f aca="false">IF(OR(Y1326="判定不能",G1326="判定不能"),"判定不能",IF(AP1326&gt;=判定条件!$C$9,"利用可",IF(AND(Y1326="停止",G1326="停止"),"両方停止","運転がそろわない")))</f>
        <v>判定不能</v>
      </c>
      <c r="AR1326" s="30" t="n">
        <v>0</v>
      </c>
      <c r="AS1326" s="30" t="n">
        <v>0</v>
      </c>
      <c r="AT1326" s="30" t="str">
        <f aca="false">IF(OR(AB1326="判定不能",J1326="判定不能"),"判定不能",IF(AS1326&gt;=判定条件!$C$9,"利用可",IF(AND(AB1326="停止",J1326="停止"),"両方停止","運転がそろわない")))</f>
        <v>判定不能</v>
      </c>
      <c r="AU1326" s="30" t="n">
        <v>0</v>
      </c>
      <c r="AV1326" s="30" t="n">
        <v>0</v>
      </c>
      <c r="AW1326" s="30" t="str">
        <f aca="false">IF(OR(AE1326="判定不能",M1326="判定不能"),"判定不能",IF(AV1326&gt;=判定条件!$C$9,"利用可",IF(AND(AE1326="停止",M1326="停止"),"両方停止","運転がそろわない")))</f>
        <v>判定不能</v>
      </c>
      <c r="AX1326" s="30" t="str">
        <f aca="false">IF(AND(AH1326="利用可",AK1326="利用可",AN1326="利用可"),"利用可","不可")</f>
        <v>不可</v>
      </c>
      <c r="AY1326" s="30" t="str">
        <f aca="false">IF(AND(AQ1326="利用可",AT1326="利用可",AW1326="利用可"),"利用可","不可")</f>
        <v>不可</v>
      </c>
    </row>
    <row r="1327" customFormat="false" ht="15" hidden="false" customHeight="false" outlineLevel="0" collapsed="false">
      <c r="A1327" s="29" t="n">
        <v>46287</v>
      </c>
      <c r="B1327" s="30" t="n">
        <v>4</v>
      </c>
      <c r="C1327" s="31" t="s">
        <v>67</v>
      </c>
      <c r="D1327" s="31" t="s">
        <v>101</v>
      </c>
      <c r="E1327" s="30" t="n">
        <v>60</v>
      </c>
      <c r="F1327" s="30" t="n">
        <v>0</v>
      </c>
      <c r="G1327" s="30" t="str">
        <f aca="false">IF(E1327&lt;判定条件!$C$6,"判定不能",IF(F1327&gt;=判定条件!$C$7*E1327,"運転",IF(F1327&lt;=判定条件!$C$8*E1327,"停止","断続")))</f>
        <v>停止</v>
      </c>
      <c r="H1327" s="30" t="n">
        <v>0</v>
      </c>
      <c r="I1327" s="30" t="n">
        <v>0</v>
      </c>
      <c r="J1327" s="30" t="str">
        <f aca="false">IF(H1327&lt;判定条件!$C$6,"判定不能",IF(I1327&gt;=判定条件!$C$7*H1327,"運転",IF(I1327&lt;=判定条件!$C$8*H1327,"停止","断続")))</f>
        <v>判定不能</v>
      </c>
      <c r="K1327" s="30" t="n">
        <v>60</v>
      </c>
      <c r="L1327" s="30" t="n">
        <v>0</v>
      </c>
      <c r="M1327" s="30" t="str">
        <f aca="false">IF(K1327&lt;判定条件!$C$6,"判定不能",IF(L1327&gt;=判定条件!$C$7*K1327,"運転",IF(L1327&lt;=判定条件!$C$8*K1327,"停止","断続")))</f>
        <v>停止</v>
      </c>
      <c r="N1327" s="30" t="n">
        <v>60</v>
      </c>
      <c r="O1327" s="30" t="n">
        <v>0</v>
      </c>
      <c r="P1327" s="30" t="str">
        <f aca="false">IF(N1327&lt;判定条件!$C$6,"判定不能",IF(O1327&gt;=判定条件!$C$7*N1327,"運転",IF(O1327&lt;=判定条件!$C$8*N1327,"停止","断続")))</f>
        <v>停止</v>
      </c>
      <c r="Q1327" s="30" t="n">
        <v>60</v>
      </c>
      <c r="R1327" s="30" t="n">
        <v>0</v>
      </c>
      <c r="S1327" s="30" t="str">
        <f aca="false">IF(Q1327&lt;判定条件!$C$6,"判定不能",IF(R1327&gt;=判定条件!$C$7*Q1327,"運転",IF(R1327&lt;=判定条件!$C$8*Q1327,"停止","断続")))</f>
        <v>停止</v>
      </c>
      <c r="T1327" s="30" t="n">
        <v>60</v>
      </c>
      <c r="U1327" s="30" t="n">
        <v>10</v>
      </c>
      <c r="V1327" s="30" t="str">
        <f aca="false">IF(T1327&lt;判定条件!$C$6,"判定不能",IF(U1327&gt;=判定条件!$C$7*T1327,"運転",IF(U1327&lt;=判定条件!$C$8*T1327,"停止","断続")))</f>
        <v>停止</v>
      </c>
      <c r="W1327" s="30" t="n">
        <v>0</v>
      </c>
      <c r="X1327" s="30" t="n">
        <v>0</v>
      </c>
      <c r="Y1327" s="30" t="str">
        <f aca="false">IF(W1327&lt;判定条件!$C$6,"判定不能",IF(X1327&gt;=判定条件!$C$7*W1327,"運転",IF(X1327&lt;=判定条件!$C$8*W1327,"停止","断続")))</f>
        <v>判定不能</v>
      </c>
      <c r="Z1327" s="30" t="n">
        <v>0</v>
      </c>
      <c r="AA1327" s="30" t="n">
        <v>0</v>
      </c>
      <c r="AB1327" s="30" t="str">
        <f aca="false">IF(Z1327&lt;判定条件!$C$6,"判定不能",IF(AA1327&gt;=判定条件!$C$7*Z1327,"運転",IF(AA1327&lt;=判定条件!$C$8*Z1327,"停止","断続")))</f>
        <v>判定不能</v>
      </c>
      <c r="AC1327" s="30" t="n">
        <v>0</v>
      </c>
      <c r="AD1327" s="30" t="n">
        <v>0</v>
      </c>
      <c r="AE1327" s="30" t="str">
        <f aca="false">IF(AC1327&lt;判定条件!$C$6,"判定不能",IF(AD1327&gt;=判定条件!$C$7*AC1327,"運転",IF(AD1327&lt;=判定条件!$C$8*AC1327,"停止","断続")))</f>
        <v>判定不能</v>
      </c>
      <c r="AF1327" s="30" t="n">
        <v>60</v>
      </c>
      <c r="AG1327" s="30" t="n">
        <v>0</v>
      </c>
      <c r="AH1327" s="30" t="str">
        <f aca="false">IF(OR(P1327="判定不能",G1327="判定不能"),"判定不能",IF(AG1327&gt;=判定条件!$C$9,"利用可",IF(AND(P1327="停止",G1327="停止"),"両方停止","運転がそろわない")))</f>
        <v>両方停止</v>
      </c>
      <c r="AI1327" s="30" t="n">
        <v>0</v>
      </c>
      <c r="AJ1327" s="30" t="n">
        <v>0</v>
      </c>
      <c r="AK1327" s="30" t="str">
        <f aca="false">IF(OR(S1327="判定不能",J1327="判定不能"),"判定不能",IF(AJ1327&gt;=判定条件!$C$9,"利用可",IF(AND(S1327="停止",J1327="停止"),"両方停止","運転がそろわない")))</f>
        <v>判定不能</v>
      </c>
      <c r="AL1327" s="30" t="n">
        <v>60</v>
      </c>
      <c r="AM1327" s="30" t="n">
        <v>0</v>
      </c>
      <c r="AN1327" s="30" t="str">
        <f aca="false">IF(OR(V1327="判定不能",M1327="判定不能"),"判定不能",IF(AM1327&gt;=判定条件!$C$9,"利用可",IF(AND(V1327="停止",M1327="停止"),"両方停止","運転がそろわない")))</f>
        <v>両方停止</v>
      </c>
      <c r="AO1327" s="30" t="n">
        <v>0</v>
      </c>
      <c r="AP1327" s="30" t="n">
        <v>0</v>
      </c>
      <c r="AQ1327" s="30" t="str">
        <f aca="false">IF(OR(Y1327="判定不能",G1327="判定不能"),"判定不能",IF(AP1327&gt;=判定条件!$C$9,"利用可",IF(AND(Y1327="停止",G1327="停止"),"両方停止","運転がそろわない")))</f>
        <v>判定不能</v>
      </c>
      <c r="AR1327" s="30" t="n">
        <v>0</v>
      </c>
      <c r="AS1327" s="30" t="n">
        <v>0</v>
      </c>
      <c r="AT1327" s="30" t="str">
        <f aca="false">IF(OR(AB1327="判定不能",J1327="判定不能"),"判定不能",IF(AS1327&gt;=判定条件!$C$9,"利用可",IF(AND(AB1327="停止",J1327="停止"),"両方停止","運転がそろわない")))</f>
        <v>判定不能</v>
      </c>
      <c r="AU1327" s="30" t="n">
        <v>0</v>
      </c>
      <c r="AV1327" s="30" t="n">
        <v>0</v>
      </c>
      <c r="AW1327" s="30" t="str">
        <f aca="false">IF(OR(AE1327="判定不能",M1327="判定不能"),"判定不能",IF(AV1327&gt;=判定条件!$C$9,"利用可",IF(AND(AE1327="停止",M1327="停止"),"両方停止","運転がそろわない")))</f>
        <v>判定不能</v>
      </c>
      <c r="AX1327" s="30" t="str">
        <f aca="false">IF(AND(AH1327="利用可",AK1327="利用可",AN1327="利用可"),"利用可","不可")</f>
        <v>不可</v>
      </c>
      <c r="AY1327" s="30" t="str">
        <f aca="false">IF(AND(AQ1327="利用可",AT1327="利用可",AW1327="利用可"),"利用可","不可")</f>
        <v>不可</v>
      </c>
    </row>
    <row r="1328" customFormat="false" ht="15" hidden="false" customHeight="false" outlineLevel="0" collapsed="false">
      <c r="A1328" s="29" t="n">
        <v>46287</v>
      </c>
      <c r="B1328" s="30" t="n">
        <v>5</v>
      </c>
      <c r="C1328" s="31" t="s">
        <v>67</v>
      </c>
      <c r="D1328" s="31" t="s">
        <v>101</v>
      </c>
      <c r="E1328" s="30" t="n">
        <v>60</v>
      </c>
      <c r="F1328" s="30" t="n">
        <v>0</v>
      </c>
      <c r="G1328" s="30" t="str">
        <f aca="false">IF(E1328&lt;判定条件!$C$6,"判定不能",IF(F1328&gt;=判定条件!$C$7*E1328,"運転",IF(F1328&lt;=判定条件!$C$8*E1328,"停止","断続")))</f>
        <v>停止</v>
      </c>
      <c r="H1328" s="30" t="n">
        <v>0</v>
      </c>
      <c r="I1328" s="30" t="n">
        <v>0</v>
      </c>
      <c r="J1328" s="30" t="str">
        <f aca="false">IF(H1328&lt;判定条件!$C$6,"判定不能",IF(I1328&gt;=判定条件!$C$7*H1328,"運転",IF(I1328&lt;=判定条件!$C$8*H1328,"停止","断続")))</f>
        <v>判定不能</v>
      </c>
      <c r="K1328" s="30" t="n">
        <v>60</v>
      </c>
      <c r="L1328" s="30" t="n">
        <v>0</v>
      </c>
      <c r="M1328" s="30" t="str">
        <f aca="false">IF(K1328&lt;判定条件!$C$6,"判定不能",IF(L1328&gt;=判定条件!$C$7*K1328,"運転",IF(L1328&lt;=判定条件!$C$8*K1328,"停止","断続")))</f>
        <v>停止</v>
      </c>
      <c r="N1328" s="30" t="n">
        <v>60</v>
      </c>
      <c r="O1328" s="30" t="n">
        <v>0</v>
      </c>
      <c r="P1328" s="30" t="str">
        <f aca="false">IF(N1328&lt;判定条件!$C$6,"判定不能",IF(O1328&gt;=判定条件!$C$7*N1328,"運転",IF(O1328&lt;=判定条件!$C$8*N1328,"停止","断続")))</f>
        <v>停止</v>
      </c>
      <c r="Q1328" s="30" t="n">
        <v>60</v>
      </c>
      <c r="R1328" s="30" t="n">
        <v>0</v>
      </c>
      <c r="S1328" s="30" t="str">
        <f aca="false">IF(Q1328&lt;判定条件!$C$6,"判定不能",IF(R1328&gt;=判定条件!$C$7*Q1328,"運転",IF(R1328&lt;=判定条件!$C$8*Q1328,"停止","断続")))</f>
        <v>停止</v>
      </c>
      <c r="T1328" s="30" t="n">
        <v>60</v>
      </c>
      <c r="U1328" s="30" t="n">
        <v>0</v>
      </c>
      <c r="V1328" s="30" t="str">
        <f aca="false">IF(T1328&lt;判定条件!$C$6,"判定不能",IF(U1328&gt;=判定条件!$C$7*T1328,"運転",IF(U1328&lt;=判定条件!$C$8*T1328,"停止","断続")))</f>
        <v>停止</v>
      </c>
      <c r="W1328" s="30" t="n">
        <v>0</v>
      </c>
      <c r="X1328" s="30" t="n">
        <v>0</v>
      </c>
      <c r="Y1328" s="30" t="str">
        <f aca="false">IF(W1328&lt;判定条件!$C$6,"判定不能",IF(X1328&gt;=判定条件!$C$7*W1328,"運転",IF(X1328&lt;=判定条件!$C$8*W1328,"停止","断続")))</f>
        <v>判定不能</v>
      </c>
      <c r="Z1328" s="30" t="n">
        <v>0</v>
      </c>
      <c r="AA1328" s="30" t="n">
        <v>0</v>
      </c>
      <c r="AB1328" s="30" t="str">
        <f aca="false">IF(Z1328&lt;判定条件!$C$6,"判定不能",IF(AA1328&gt;=判定条件!$C$7*Z1328,"運転",IF(AA1328&lt;=判定条件!$C$8*Z1328,"停止","断続")))</f>
        <v>判定不能</v>
      </c>
      <c r="AC1328" s="30" t="n">
        <v>0</v>
      </c>
      <c r="AD1328" s="30" t="n">
        <v>0</v>
      </c>
      <c r="AE1328" s="30" t="str">
        <f aca="false">IF(AC1328&lt;判定条件!$C$6,"判定不能",IF(AD1328&gt;=判定条件!$C$7*AC1328,"運転",IF(AD1328&lt;=判定条件!$C$8*AC1328,"停止","断続")))</f>
        <v>判定不能</v>
      </c>
      <c r="AF1328" s="30" t="n">
        <v>60</v>
      </c>
      <c r="AG1328" s="30" t="n">
        <v>0</v>
      </c>
      <c r="AH1328" s="30" t="str">
        <f aca="false">IF(OR(P1328="判定不能",G1328="判定不能"),"判定不能",IF(AG1328&gt;=判定条件!$C$9,"利用可",IF(AND(P1328="停止",G1328="停止"),"両方停止","運転がそろわない")))</f>
        <v>両方停止</v>
      </c>
      <c r="AI1328" s="30" t="n">
        <v>0</v>
      </c>
      <c r="AJ1328" s="30" t="n">
        <v>0</v>
      </c>
      <c r="AK1328" s="30" t="str">
        <f aca="false">IF(OR(S1328="判定不能",J1328="判定不能"),"判定不能",IF(AJ1328&gt;=判定条件!$C$9,"利用可",IF(AND(S1328="停止",J1328="停止"),"両方停止","運転がそろわない")))</f>
        <v>判定不能</v>
      </c>
      <c r="AL1328" s="30" t="n">
        <v>60</v>
      </c>
      <c r="AM1328" s="30" t="n">
        <v>0</v>
      </c>
      <c r="AN1328" s="30" t="str">
        <f aca="false">IF(OR(V1328="判定不能",M1328="判定不能"),"判定不能",IF(AM1328&gt;=判定条件!$C$9,"利用可",IF(AND(V1328="停止",M1328="停止"),"両方停止","運転がそろわない")))</f>
        <v>両方停止</v>
      </c>
      <c r="AO1328" s="30" t="n">
        <v>0</v>
      </c>
      <c r="AP1328" s="30" t="n">
        <v>0</v>
      </c>
      <c r="AQ1328" s="30" t="str">
        <f aca="false">IF(OR(Y1328="判定不能",G1328="判定不能"),"判定不能",IF(AP1328&gt;=判定条件!$C$9,"利用可",IF(AND(Y1328="停止",G1328="停止"),"両方停止","運転がそろわない")))</f>
        <v>判定不能</v>
      </c>
      <c r="AR1328" s="30" t="n">
        <v>0</v>
      </c>
      <c r="AS1328" s="30" t="n">
        <v>0</v>
      </c>
      <c r="AT1328" s="30" t="str">
        <f aca="false">IF(OR(AB1328="判定不能",J1328="判定不能"),"判定不能",IF(AS1328&gt;=判定条件!$C$9,"利用可",IF(AND(AB1328="停止",J1328="停止"),"両方停止","運転がそろわない")))</f>
        <v>判定不能</v>
      </c>
      <c r="AU1328" s="30" t="n">
        <v>0</v>
      </c>
      <c r="AV1328" s="30" t="n">
        <v>0</v>
      </c>
      <c r="AW1328" s="30" t="str">
        <f aca="false">IF(OR(AE1328="判定不能",M1328="判定不能"),"判定不能",IF(AV1328&gt;=判定条件!$C$9,"利用可",IF(AND(AE1328="停止",M1328="停止"),"両方停止","運転がそろわない")))</f>
        <v>判定不能</v>
      </c>
      <c r="AX1328" s="30" t="str">
        <f aca="false">IF(AND(AH1328="利用可",AK1328="利用可",AN1328="利用可"),"利用可","不可")</f>
        <v>不可</v>
      </c>
      <c r="AY1328" s="30" t="str">
        <f aca="false">IF(AND(AQ1328="利用可",AT1328="利用可",AW1328="利用可"),"利用可","不可")</f>
        <v>不可</v>
      </c>
    </row>
    <row r="1329" customFormat="false" ht="15" hidden="false" customHeight="false" outlineLevel="0" collapsed="false">
      <c r="A1329" s="29" t="n">
        <v>46287</v>
      </c>
      <c r="B1329" s="30" t="n">
        <v>6</v>
      </c>
      <c r="C1329" s="31" t="s">
        <v>67</v>
      </c>
      <c r="D1329" s="31" t="s">
        <v>101</v>
      </c>
      <c r="E1329" s="30" t="n">
        <v>60</v>
      </c>
      <c r="F1329" s="30" t="n">
        <v>11</v>
      </c>
      <c r="G1329" s="30" t="str">
        <f aca="false">IF(E1329&lt;判定条件!$C$6,"判定不能",IF(F1329&gt;=判定条件!$C$7*E1329,"運転",IF(F1329&lt;=判定条件!$C$8*E1329,"停止","断続")))</f>
        <v>停止</v>
      </c>
      <c r="H1329" s="30" t="n">
        <v>0</v>
      </c>
      <c r="I1329" s="30" t="n">
        <v>0</v>
      </c>
      <c r="J1329" s="30" t="str">
        <f aca="false">IF(H1329&lt;判定条件!$C$6,"判定不能",IF(I1329&gt;=判定条件!$C$7*H1329,"運転",IF(I1329&lt;=判定条件!$C$8*H1329,"停止","断続")))</f>
        <v>判定不能</v>
      </c>
      <c r="K1329" s="30" t="n">
        <v>60</v>
      </c>
      <c r="L1329" s="30" t="n">
        <v>28</v>
      </c>
      <c r="M1329" s="30" t="str">
        <f aca="false">IF(K1329&lt;判定条件!$C$6,"判定不能",IF(L1329&gt;=判定条件!$C$7*K1329,"運転",IF(L1329&lt;=判定条件!$C$8*K1329,"停止","断続")))</f>
        <v>断続</v>
      </c>
      <c r="N1329" s="30" t="n">
        <v>60</v>
      </c>
      <c r="O1329" s="30" t="n">
        <v>29</v>
      </c>
      <c r="P1329" s="30" t="str">
        <f aca="false">IF(N1329&lt;判定条件!$C$6,"判定不能",IF(O1329&gt;=判定条件!$C$7*N1329,"運転",IF(O1329&lt;=判定条件!$C$8*N1329,"停止","断続")))</f>
        <v>断続</v>
      </c>
      <c r="Q1329" s="30" t="n">
        <v>60</v>
      </c>
      <c r="R1329" s="30" t="n">
        <v>34</v>
      </c>
      <c r="S1329" s="30" t="str">
        <f aca="false">IF(Q1329&lt;判定条件!$C$6,"判定不能",IF(R1329&gt;=判定条件!$C$7*Q1329,"運転",IF(R1329&lt;=判定条件!$C$8*Q1329,"停止","断続")))</f>
        <v>断続</v>
      </c>
      <c r="T1329" s="30" t="n">
        <v>60</v>
      </c>
      <c r="U1329" s="30" t="n">
        <v>41</v>
      </c>
      <c r="V1329" s="30" t="str">
        <f aca="false">IF(T1329&lt;判定条件!$C$6,"判定不能",IF(U1329&gt;=判定条件!$C$7*T1329,"運転",IF(U1329&lt;=判定条件!$C$8*T1329,"停止","断続")))</f>
        <v>断続</v>
      </c>
      <c r="W1329" s="30" t="n">
        <v>0</v>
      </c>
      <c r="X1329" s="30" t="n">
        <v>0</v>
      </c>
      <c r="Y1329" s="30" t="str">
        <f aca="false">IF(W1329&lt;判定条件!$C$6,"判定不能",IF(X1329&gt;=判定条件!$C$7*W1329,"運転",IF(X1329&lt;=判定条件!$C$8*W1329,"停止","断続")))</f>
        <v>判定不能</v>
      </c>
      <c r="Z1329" s="30" t="n">
        <v>0</v>
      </c>
      <c r="AA1329" s="30" t="n">
        <v>0</v>
      </c>
      <c r="AB1329" s="30" t="str">
        <f aca="false">IF(Z1329&lt;判定条件!$C$6,"判定不能",IF(AA1329&gt;=判定条件!$C$7*Z1329,"運転",IF(AA1329&lt;=判定条件!$C$8*Z1329,"停止","断続")))</f>
        <v>判定不能</v>
      </c>
      <c r="AC1329" s="30" t="n">
        <v>0</v>
      </c>
      <c r="AD1329" s="30" t="n">
        <v>0</v>
      </c>
      <c r="AE1329" s="30" t="str">
        <f aca="false">IF(AC1329&lt;判定条件!$C$6,"判定不能",IF(AD1329&gt;=判定条件!$C$7*AC1329,"運転",IF(AD1329&lt;=判定条件!$C$8*AC1329,"停止","断続")))</f>
        <v>判定不能</v>
      </c>
      <c r="AF1329" s="30" t="n">
        <v>60</v>
      </c>
      <c r="AG1329" s="30" t="n">
        <v>11</v>
      </c>
      <c r="AH1329" s="30" t="str">
        <f aca="false">IF(OR(P1329="判定不能",G1329="判定不能"),"判定不能",IF(AG1329&gt;=判定条件!$C$9,"利用可",IF(AND(P1329="停止",G1329="停止"),"両方停止","運転がそろわない")))</f>
        <v>運転がそろわない</v>
      </c>
      <c r="AI1329" s="30" t="n">
        <v>0</v>
      </c>
      <c r="AJ1329" s="30" t="n">
        <v>0</v>
      </c>
      <c r="AK1329" s="30" t="str">
        <f aca="false">IF(OR(S1329="判定不能",J1329="判定不能"),"判定不能",IF(AJ1329&gt;=判定条件!$C$9,"利用可",IF(AND(S1329="停止",J1329="停止"),"両方停止","運転がそろわない")))</f>
        <v>判定不能</v>
      </c>
      <c r="AL1329" s="30" t="n">
        <v>60</v>
      </c>
      <c r="AM1329" s="30" t="n">
        <v>24</v>
      </c>
      <c r="AN1329" s="30" t="str">
        <f aca="false">IF(OR(V1329="判定不能",M1329="判定不能"),"判定不能",IF(AM1329&gt;=判定条件!$C$9,"利用可",IF(AND(V1329="停止",M1329="停止"),"両方停止","運転がそろわない")))</f>
        <v>運転がそろわない</v>
      </c>
      <c r="AO1329" s="30" t="n">
        <v>0</v>
      </c>
      <c r="AP1329" s="30" t="n">
        <v>0</v>
      </c>
      <c r="AQ1329" s="30" t="str">
        <f aca="false">IF(OR(Y1329="判定不能",G1329="判定不能"),"判定不能",IF(AP1329&gt;=判定条件!$C$9,"利用可",IF(AND(Y1329="停止",G1329="停止"),"両方停止","運転がそろわない")))</f>
        <v>判定不能</v>
      </c>
      <c r="AR1329" s="30" t="n">
        <v>0</v>
      </c>
      <c r="AS1329" s="30" t="n">
        <v>0</v>
      </c>
      <c r="AT1329" s="30" t="str">
        <f aca="false">IF(OR(AB1329="判定不能",J1329="判定不能"),"判定不能",IF(AS1329&gt;=判定条件!$C$9,"利用可",IF(AND(AB1329="停止",J1329="停止"),"両方停止","運転がそろわない")))</f>
        <v>判定不能</v>
      </c>
      <c r="AU1329" s="30" t="n">
        <v>0</v>
      </c>
      <c r="AV1329" s="30" t="n">
        <v>0</v>
      </c>
      <c r="AW1329" s="30" t="str">
        <f aca="false">IF(OR(AE1329="判定不能",M1329="判定不能"),"判定不能",IF(AV1329&gt;=判定条件!$C$9,"利用可",IF(AND(AE1329="停止",M1329="停止"),"両方停止","運転がそろわない")))</f>
        <v>判定不能</v>
      </c>
      <c r="AX1329" s="30" t="str">
        <f aca="false">IF(AND(AH1329="利用可",AK1329="利用可",AN1329="利用可"),"利用可","不可")</f>
        <v>不可</v>
      </c>
      <c r="AY1329" s="30" t="str">
        <f aca="false">IF(AND(AQ1329="利用可",AT1329="利用可",AW1329="利用可"),"利用可","不可")</f>
        <v>不可</v>
      </c>
    </row>
    <row r="1330" customFormat="false" ht="15" hidden="false" customHeight="false" outlineLevel="0" collapsed="false">
      <c r="A1330" s="29" t="n">
        <v>46287</v>
      </c>
      <c r="B1330" s="30" t="n">
        <v>7</v>
      </c>
      <c r="C1330" s="31" t="s">
        <v>67</v>
      </c>
      <c r="D1330" s="31" t="s">
        <v>101</v>
      </c>
      <c r="E1330" s="30" t="n">
        <v>60</v>
      </c>
      <c r="F1330" s="30" t="n">
        <v>35</v>
      </c>
      <c r="G1330" s="30" t="str">
        <f aca="false">IF(E1330&lt;判定条件!$C$6,"判定不能",IF(F1330&gt;=判定条件!$C$7*E1330,"運転",IF(F1330&lt;=判定条件!$C$8*E1330,"停止","断続")))</f>
        <v>断続</v>
      </c>
      <c r="H1330" s="30" t="n">
        <v>0</v>
      </c>
      <c r="I1330" s="30" t="n">
        <v>0</v>
      </c>
      <c r="J1330" s="30" t="str">
        <f aca="false">IF(H1330&lt;判定条件!$C$6,"判定不能",IF(I1330&gt;=判定条件!$C$7*H1330,"運転",IF(I1330&lt;=判定条件!$C$8*H1330,"停止","断続")))</f>
        <v>判定不能</v>
      </c>
      <c r="K1330" s="30" t="n">
        <v>60</v>
      </c>
      <c r="L1330" s="30" t="n">
        <v>0</v>
      </c>
      <c r="M1330" s="30" t="str">
        <f aca="false">IF(K1330&lt;判定条件!$C$6,"判定不能",IF(L1330&gt;=判定条件!$C$7*K1330,"運転",IF(L1330&lt;=判定条件!$C$8*K1330,"停止","断続")))</f>
        <v>停止</v>
      </c>
      <c r="N1330" s="30" t="n">
        <v>60</v>
      </c>
      <c r="O1330" s="30" t="n">
        <v>25</v>
      </c>
      <c r="P1330" s="30" t="str">
        <f aca="false">IF(N1330&lt;判定条件!$C$6,"判定不能",IF(O1330&gt;=判定条件!$C$7*N1330,"運転",IF(O1330&lt;=判定条件!$C$8*N1330,"停止","断続")))</f>
        <v>断続</v>
      </c>
      <c r="Q1330" s="30" t="n">
        <v>60</v>
      </c>
      <c r="R1330" s="30" t="n">
        <v>19</v>
      </c>
      <c r="S1330" s="30" t="str">
        <f aca="false">IF(Q1330&lt;判定条件!$C$6,"判定不能",IF(R1330&gt;=判定条件!$C$7*Q1330,"運転",IF(R1330&lt;=判定条件!$C$8*Q1330,"停止","断続")))</f>
        <v>断続</v>
      </c>
      <c r="T1330" s="30" t="n">
        <v>60</v>
      </c>
      <c r="U1330" s="30" t="n">
        <v>20</v>
      </c>
      <c r="V1330" s="30" t="str">
        <f aca="false">IF(T1330&lt;判定条件!$C$6,"判定不能",IF(U1330&gt;=判定条件!$C$7*T1330,"運転",IF(U1330&lt;=判定条件!$C$8*T1330,"停止","断続")))</f>
        <v>断続</v>
      </c>
      <c r="W1330" s="30" t="n">
        <v>0</v>
      </c>
      <c r="X1330" s="30" t="n">
        <v>0</v>
      </c>
      <c r="Y1330" s="30" t="str">
        <f aca="false">IF(W1330&lt;判定条件!$C$6,"判定不能",IF(X1330&gt;=判定条件!$C$7*W1330,"運転",IF(X1330&lt;=判定条件!$C$8*W1330,"停止","断続")))</f>
        <v>判定不能</v>
      </c>
      <c r="Z1330" s="30" t="n">
        <v>0</v>
      </c>
      <c r="AA1330" s="30" t="n">
        <v>0</v>
      </c>
      <c r="AB1330" s="30" t="str">
        <f aca="false">IF(Z1330&lt;判定条件!$C$6,"判定不能",IF(AA1330&gt;=判定条件!$C$7*Z1330,"運転",IF(AA1330&lt;=判定条件!$C$8*Z1330,"停止","断続")))</f>
        <v>判定不能</v>
      </c>
      <c r="AC1330" s="30" t="n">
        <v>0</v>
      </c>
      <c r="AD1330" s="30" t="n">
        <v>0</v>
      </c>
      <c r="AE1330" s="30" t="str">
        <f aca="false">IF(AC1330&lt;判定条件!$C$6,"判定不能",IF(AD1330&gt;=判定条件!$C$7*AC1330,"運転",IF(AD1330&lt;=判定条件!$C$8*AC1330,"停止","断続")))</f>
        <v>判定不能</v>
      </c>
      <c r="AF1330" s="30" t="n">
        <v>60</v>
      </c>
      <c r="AG1330" s="30" t="n">
        <v>18</v>
      </c>
      <c r="AH1330" s="30" t="str">
        <f aca="false">IF(OR(P1330="判定不能",G1330="判定不能"),"判定不能",IF(AG1330&gt;=判定条件!$C$9,"利用可",IF(AND(P1330="停止",G1330="停止"),"両方停止","運転がそろわない")))</f>
        <v>運転がそろわない</v>
      </c>
      <c r="AI1330" s="30" t="n">
        <v>0</v>
      </c>
      <c r="AJ1330" s="30" t="n">
        <v>0</v>
      </c>
      <c r="AK1330" s="30" t="str">
        <f aca="false">IF(OR(S1330="判定不能",J1330="判定不能"),"判定不能",IF(AJ1330&gt;=判定条件!$C$9,"利用可",IF(AND(S1330="停止",J1330="停止"),"両方停止","運転がそろわない")))</f>
        <v>判定不能</v>
      </c>
      <c r="AL1330" s="30" t="n">
        <v>60</v>
      </c>
      <c r="AM1330" s="30" t="n">
        <v>0</v>
      </c>
      <c r="AN1330" s="30" t="str">
        <f aca="false">IF(OR(V1330="判定不能",M1330="判定不能"),"判定不能",IF(AM1330&gt;=判定条件!$C$9,"利用可",IF(AND(V1330="停止",M1330="停止"),"両方停止","運転がそろわない")))</f>
        <v>運転がそろわない</v>
      </c>
      <c r="AO1330" s="30" t="n">
        <v>0</v>
      </c>
      <c r="AP1330" s="30" t="n">
        <v>0</v>
      </c>
      <c r="AQ1330" s="30" t="str">
        <f aca="false">IF(OR(Y1330="判定不能",G1330="判定不能"),"判定不能",IF(AP1330&gt;=判定条件!$C$9,"利用可",IF(AND(Y1330="停止",G1330="停止"),"両方停止","運転がそろわない")))</f>
        <v>判定不能</v>
      </c>
      <c r="AR1330" s="30" t="n">
        <v>0</v>
      </c>
      <c r="AS1330" s="30" t="n">
        <v>0</v>
      </c>
      <c r="AT1330" s="30" t="str">
        <f aca="false">IF(OR(AB1330="判定不能",J1330="判定不能"),"判定不能",IF(AS1330&gt;=判定条件!$C$9,"利用可",IF(AND(AB1330="停止",J1330="停止"),"両方停止","運転がそろわない")))</f>
        <v>判定不能</v>
      </c>
      <c r="AU1330" s="30" t="n">
        <v>0</v>
      </c>
      <c r="AV1330" s="30" t="n">
        <v>0</v>
      </c>
      <c r="AW1330" s="30" t="str">
        <f aca="false">IF(OR(AE1330="判定不能",M1330="判定不能"),"判定不能",IF(AV1330&gt;=判定条件!$C$9,"利用可",IF(AND(AE1330="停止",M1330="停止"),"両方停止","運転がそろわない")))</f>
        <v>判定不能</v>
      </c>
      <c r="AX1330" s="30" t="str">
        <f aca="false">IF(AND(AH1330="利用可",AK1330="利用可",AN1330="利用可"),"利用可","不可")</f>
        <v>不可</v>
      </c>
      <c r="AY1330" s="30" t="str">
        <f aca="false">IF(AND(AQ1330="利用可",AT1330="利用可",AW1330="利用可"),"利用可","不可")</f>
        <v>不可</v>
      </c>
    </row>
    <row r="1331" customFormat="false" ht="15" hidden="false" customHeight="false" outlineLevel="0" collapsed="false">
      <c r="A1331" s="29" t="n">
        <v>46287</v>
      </c>
      <c r="B1331" s="30" t="n">
        <v>8</v>
      </c>
      <c r="C1331" s="31" t="s">
        <v>67</v>
      </c>
      <c r="D1331" s="31" t="s">
        <v>101</v>
      </c>
      <c r="E1331" s="30" t="n">
        <v>60</v>
      </c>
      <c r="F1331" s="30" t="n">
        <v>41</v>
      </c>
      <c r="G1331" s="30" t="str">
        <f aca="false">IF(E1331&lt;判定条件!$C$6,"判定不能",IF(F1331&gt;=判定条件!$C$7*E1331,"運転",IF(F1331&lt;=判定条件!$C$8*E1331,"停止","断続")))</f>
        <v>断続</v>
      </c>
      <c r="H1331" s="30" t="n">
        <v>0</v>
      </c>
      <c r="I1331" s="30" t="n">
        <v>0</v>
      </c>
      <c r="J1331" s="30" t="str">
        <f aca="false">IF(H1331&lt;判定条件!$C$6,"判定不能",IF(I1331&gt;=判定条件!$C$7*H1331,"運転",IF(I1331&lt;=判定条件!$C$8*H1331,"停止","断続")))</f>
        <v>判定不能</v>
      </c>
      <c r="K1331" s="30" t="n">
        <v>60</v>
      </c>
      <c r="L1331" s="30" t="n">
        <v>36</v>
      </c>
      <c r="M1331" s="30" t="str">
        <f aca="false">IF(K1331&lt;判定条件!$C$6,"判定不能",IF(L1331&gt;=判定条件!$C$7*K1331,"運転",IF(L1331&lt;=判定条件!$C$8*K1331,"停止","断続")))</f>
        <v>断続</v>
      </c>
      <c r="N1331" s="30" t="n">
        <v>60</v>
      </c>
      <c r="O1331" s="30" t="n">
        <v>60</v>
      </c>
      <c r="P1331" s="30" t="str">
        <f aca="false">IF(N1331&lt;判定条件!$C$6,"判定不能",IF(O1331&gt;=判定条件!$C$7*N1331,"運転",IF(O1331&lt;=判定条件!$C$8*N1331,"停止","断続")))</f>
        <v>運転</v>
      </c>
      <c r="Q1331" s="30" t="n">
        <v>60</v>
      </c>
      <c r="R1331" s="30" t="n">
        <v>60</v>
      </c>
      <c r="S1331" s="30" t="str">
        <f aca="false">IF(Q1331&lt;判定条件!$C$6,"判定不能",IF(R1331&gt;=判定条件!$C$7*Q1331,"運転",IF(R1331&lt;=判定条件!$C$8*Q1331,"停止","断続")))</f>
        <v>運転</v>
      </c>
      <c r="T1331" s="30" t="n">
        <v>60</v>
      </c>
      <c r="U1331" s="30" t="n">
        <v>60</v>
      </c>
      <c r="V1331" s="30" t="str">
        <f aca="false">IF(T1331&lt;判定条件!$C$6,"判定不能",IF(U1331&gt;=判定条件!$C$7*T1331,"運転",IF(U1331&lt;=判定条件!$C$8*T1331,"停止","断続")))</f>
        <v>運転</v>
      </c>
      <c r="W1331" s="30" t="n">
        <v>0</v>
      </c>
      <c r="X1331" s="30" t="n">
        <v>0</v>
      </c>
      <c r="Y1331" s="30" t="str">
        <f aca="false">IF(W1331&lt;判定条件!$C$6,"判定不能",IF(X1331&gt;=判定条件!$C$7*W1331,"運転",IF(X1331&lt;=判定条件!$C$8*W1331,"停止","断続")))</f>
        <v>判定不能</v>
      </c>
      <c r="Z1331" s="30" t="n">
        <v>0</v>
      </c>
      <c r="AA1331" s="30" t="n">
        <v>0</v>
      </c>
      <c r="AB1331" s="30" t="str">
        <f aca="false">IF(Z1331&lt;判定条件!$C$6,"判定不能",IF(AA1331&gt;=判定条件!$C$7*Z1331,"運転",IF(AA1331&lt;=判定条件!$C$8*Z1331,"停止","断続")))</f>
        <v>判定不能</v>
      </c>
      <c r="AC1331" s="30" t="n">
        <v>0</v>
      </c>
      <c r="AD1331" s="30" t="n">
        <v>0</v>
      </c>
      <c r="AE1331" s="30" t="str">
        <f aca="false">IF(AC1331&lt;判定条件!$C$6,"判定不能",IF(AD1331&gt;=判定条件!$C$7*AC1331,"運転",IF(AD1331&lt;=判定条件!$C$8*AC1331,"停止","断続")))</f>
        <v>判定不能</v>
      </c>
      <c r="AF1331" s="30" t="n">
        <v>60</v>
      </c>
      <c r="AG1331" s="30" t="n">
        <v>41</v>
      </c>
      <c r="AH1331" s="30" t="str">
        <f aca="false">IF(OR(P1331="判定不能",G1331="判定不能"),"判定不能",IF(AG1331&gt;=判定条件!$C$9,"利用可",IF(AND(P1331="停止",G1331="停止"),"両方停止","運転がそろわない")))</f>
        <v>利用可</v>
      </c>
      <c r="AI1331" s="30" t="n">
        <v>0</v>
      </c>
      <c r="AJ1331" s="30" t="n">
        <v>0</v>
      </c>
      <c r="AK1331" s="30" t="str">
        <f aca="false">IF(OR(S1331="判定不能",J1331="判定不能"),"判定不能",IF(AJ1331&gt;=判定条件!$C$9,"利用可",IF(AND(S1331="停止",J1331="停止"),"両方停止","運転がそろわない")))</f>
        <v>判定不能</v>
      </c>
      <c r="AL1331" s="30" t="n">
        <v>60</v>
      </c>
      <c r="AM1331" s="30" t="n">
        <v>36</v>
      </c>
      <c r="AN1331" s="30" t="str">
        <f aca="false">IF(OR(V1331="判定不能",M1331="判定不能"),"判定不能",IF(AM1331&gt;=判定条件!$C$9,"利用可",IF(AND(V1331="停止",M1331="停止"),"両方停止","運転がそろわない")))</f>
        <v>利用可</v>
      </c>
      <c r="AO1331" s="30" t="n">
        <v>0</v>
      </c>
      <c r="AP1331" s="30" t="n">
        <v>0</v>
      </c>
      <c r="AQ1331" s="30" t="str">
        <f aca="false">IF(OR(Y1331="判定不能",G1331="判定不能"),"判定不能",IF(AP1331&gt;=判定条件!$C$9,"利用可",IF(AND(Y1331="停止",G1331="停止"),"両方停止","運転がそろわない")))</f>
        <v>判定不能</v>
      </c>
      <c r="AR1331" s="30" t="n">
        <v>0</v>
      </c>
      <c r="AS1331" s="30" t="n">
        <v>0</v>
      </c>
      <c r="AT1331" s="30" t="str">
        <f aca="false">IF(OR(AB1331="判定不能",J1331="判定不能"),"判定不能",IF(AS1331&gt;=判定条件!$C$9,"利用可",IF(AND(AB1331="停止",J1331="停止"),"両方停止","運転がそろわない")))</f>
        <v>判定不能</v>
      </c>
      <c r="AU1331" s="30" t="n">
        <v>0</v>
      </c>
      <c r="AV1331" s="30" t="n">
        <v>0</v>
      </c>
      <c r="AW1331" s="30" t="str">
        <f aca="false">IF(OR(AE1331="判定不能",M1331="判定不能"),"判定不能",IF(AV1331&gt;=判定条件!$C$9,"利用可",IF(AND(AE1331="停止",M1331="停止"),"両方停止","運転がそろわない")))</f>
        <v>判定不能</v>
      </c>
      <c r="AX1331" s="30" t="str">
        <f aca="false">IF(AND(AH1331="利用可",AK1331="利用可",AN1331="利用可"),"利用可","不可")</f>
        <v>不可</v>
      </c>
      <c r="AY1331" s="30" t="str">
        <f aca="false">IF(AND(AQ1331="利用可",AT1331="利用可",AW1331="利用可"),"利用可","不可")</f>
        <v>不可</v>
      </c>
    </row>
    <row r="1332" customFormat="false" ht="15" hidden="false" customHeight="false" outlineLevel="0" collapsed="false">
      <c r="A1332" s="29" t="n">
        <v>46287</v>
      </c>
      <c r="B1332" s="30" t="n">
        <v>9</v>
      </c>
      <c r="C1332" s="31" t="s">
        <v>67</v>
      </c>
      <c r="D1332" s="31" t="s">
        <v>101</v>
      </c>
      <c r="E1332" s="30" t="n">
        <v>60</v>
      </c>
      <c r="F1332" s="30" t="n">
        <v>54</v>
      </c>
      <c r="G1332" s="30" t="str">
        <f aca="false">IF(E1332&lt;判定条件!$C$6,"判定不能",IF(F1332&gt;=判定条件!$C$7*E1332,"運転",IF(F1332&lt;=判定条件!$C$8*E1332,"停止","断続")))</f>
        <v>運転</v>
      </c>
      <c r="H1332" s="30" t="n">
        <v>0</v>
      </c>
      <c r="I1332" s="30" t="n">
        <v>0</v>
      </c>
      <c r="J1332" s="30" t="str">
        <f aca="false">IF(H1332&lt;判定条件!$C$6,"判定不能",IF(I1332&gt;=判定条件!$C$7*H1332,"運転",IF(I1332&lt;=判定条件!$C$8*H1332,"停止","断続")))</f>
        <v>判定不能</v>
      </c>
      <c r="K1332" s="30" t="n">
        <v>60</v>
      </c>
      <c r="L1332" s="30" t="n">
        <v>60</v>
      </c>
      <c r="M1332" s="30" t="str">
        <f aca="false">IF(K1332&lt;判定条件!$C$6,"判定不能",IF(L1332&gt;=判定条件!$C$7*K1332,"運転",IF(L1332&lt;=判定条件!$C$8*K1332,"停止","断続")))</f>
        <v>運転</v>
      </c>
      <c r="N1332" s="30" t="n">
        <v>60</v>
      </c>
      <c r="O1332" s="30" t="n">
        <v>60</v>
      </c>
      <c r="P1332" s="30" t="str">
        <f aca="false">IF(N1332&lt;判定条件!$C$6,"判定不能",IF(O1332&gt;=判定条件!$C$7*N1332,"運転",IF(O1332&lt;=判定条件!$C$8*N1332,"停止","断続")))</f>
        <v>運転</v>
      </c>
      <c r="Q1332" s="30" t="n">
        <v>60</v>
      </c>
      <c r="R1332" s="30" t="n">
        <v>60</v>
      </c>
      <c r="S1332" s="30" t="str">
        <f aca="false">IF(Q1332&lt;判定条件!$C$6,"判定不能",IF(R1332&gt;=判定条件!$C$7*Q1332,"運転",IF(R1332&lt;=判定条件!$C$8*Q1332,"停止","断続")))</f>
        <v>運転</v>
      </c>
      <c r="T1332" s="30" t="n">
        <v>60</v>
      </c>
      <c r="U1332" s="30" t="n">
        <v>60</v>
      </c>
      <c r="V1332" s="30" t="str">
        <f aca="false">IF(T1332&lt;判定条件!$C$6,"判定不能",IF(U1332&gt;=判定条件!$C$7*T1332,"運転",IF(U1332&lt;=判定条件!$C$8*T1332,"停止","断続")))</f>
        <v>運転</v>
      </c>
      <c r="W1332" s="30" t="n">
        <v>0</v>
      </c>
      <c r="X1332" s="30" t="n">
        <v>0</v>
      </c>
      <c r="Y1332" s="30" t="str">
        <f aca="false">IF(W1332&lt;判定条件!$C$6,"判定不能",IF(X1332&gt;=判定条件!$C$7*W1332,"運転",IF(X1332&lt;=判定条件!$C$8*W1332,"停止","断続")))</f>
        <v>判定不能</v>
      </c>
      <c r="Z1332" s="30" t="n">
        <v>0</v>
      </c>
      <c r="AA1332" s="30" t="n">
        <v>0</v>
      </c>
      <c r="AB1332" s="30" t="str">
        <f aca="false">IF(Z1332&lt;判定条件!$C$6,"判定不能",IF(AA1332&gt;=判定条件!$C$7*Z1332,"運転",IF(AA1332&lt;=判定条件!$C$8*Z1332,"停止","断続")))</f>
        <v>判定不能</v>
      </c>
      <c r="AC1332" s="30" t="n">
        <v>0</v>
      </c>
      <c r="AD1332" s="30" t="n">
        <v>0</v>
      </c>
      <c r="AE1332" s="30" t="str">
        <f aca="false">IF(AC1332&lt;判定条件!$C$6,"判定不能",IF(AD1332&gt;=判定条件!$C$7*AC1332,"運転",IF(AD1332&lt;=判定条件!$C$8*AC1332,"停止","断続")))</f>
        <v>判定不能</v>
      </c>
      <c r="AF1332" s="30" t="n">
        <v>60</v>
      </c>
      <c r="AG1332" s="30" t="n">
        <v>54</v>
      </c>
      <c r="AH1332" s="30" t="str">
        <f aca="false">IF(OR(P1332="判定不能",G1332="判定不能"),"判定不能",IF(AG1332&gt;=判定条件!$C$9,"利用可",IF(AND(P1332="停止",G1332="停止"),"両方停止","運転がそろわない")))</f>
        <v>利用可</v>
      </c>
      <c r="AI1332" s="30" t="n">
        <v>0</v>
      </c>
      <c r="AJ1332" s="30" t="n">
        <v>0</v>
      </c>
      <c r="AK1332" s="30" t="str">
        <f aca="false">IF(OR(S1332="判定不能",J1332="判定不能"),"判定不能",IF(AJ1332&gt;=判定条件!$C$9,"利用可",IF(AND(S1332="停止",J1332="停止"),"両方停止","運転がそろわない")))</f>
        <v>判定不能</v>
      </c>
      <c r="AL1332" s="30" t="n">
        <v>60</v>
      </c>
      <c r="AM1332" s="30" t="n">
        <v>60</v>
      </c>
      <c r="AN1332" s="30" t="str">
        <f aca="false">IF(OR(V1332="判定不能",M1332="判定不能"),"判定不能",IF(AM1332&gt;=判定条件!$C$9,"利用可",IF(AND(V1332="停止",M1332="停止"),"両方停止","運転がそろわない")))</f>
        <v>利用可</v>
      </c>
      <c r="AO1332" s="30" t="n">
        <v>0</v>
      </c>
      <c r="AP1332" s="30" t="n">
        <v>0</v>
      </c>
      <c r="AQ1332" s="30" t="str">
        <f aca="false">IF(OR(Y1332="判定不能",G1332="判定不能"),"判定不能",IF(AP1332&gt;=判定条件!$C$9,"利用可",IF(AND(Y1332="停止",G1332="停止"),"両方停止","運転がそろわない")))</f>
        <v>判定不能</v>
      </c>
      <c r="AR1332" s="30" t="n">
        <v>0</v>
      </c>
      <c r="AS1332" s="30" t="n">
        <v>0</v>
      </c>
      <c r="AT1332" s="30" t="str">
        <f aca="false">IF(OR(AB1332="判定不能",J1332="判定不能"),"判定不能",IF(AS1332&gt;=判定条件!$C$9,"利用可",IF(AND(AB1332="停止",J1332="停止"),"両方停止","運転がそろわない")))</f>
        <v>判定不能</v>
      </c>
      <c r="AU1332" s="30" t="n">
        <v>0</v>
      </c>
      <c r="AV1332" s="30" t="n">
        <v>0</v>
      </c>
      <c r="AW1332" s="30" t="str">
        <f aca="false">IF(OR(AE1332="判定不能",M1332="判定不能"),"判定不能",IF(AV1332&gt;=判定条件!$C$9,"利用可",IF(AND(AE1332="停止",M1332="停止"),"両方停止","運転がそろわない")))</f>
        <v>判定不能</v>
      </c>
      <c r="AX1332" s="30" t="str">
        <f aca="false">IF(AND(AH1332="利用可",AK1332="利用可",AN1332="利用可"),"利用可","不可")</f>
        <v>不可</v>
      </c>
      <c r="AY1332" s="30" t="str">
        <f aca="false">IF(AND(AQ1332="利用可",AT1332="利用可",AW1332="利用可"),"利用可","不可")</f>
        <v>不可</v>
      </c>
    </row>
    <row r="1333" customFormat="false" ht="15" hidden="false" customHeight="false" outlineLevel="0" collapsed="false">
      <c r="A1333" s="29" t="n">
        <v>46287</v>
      </c>
      <c r="B1333" s="30" t="n">
        <v>10</v>
      </c>
      <c r="C1333" s="31" t="s">
        <v>67</v>
      </c>
      <c r="D1333" s="31" t="s">
        <v>101</v>
      </c>
      <c r="E1333" s="30" t="n">
        <v>60</v>
      </c>
      <c r="F1333" s="30" t="n">
        <v>55</v>
      </c>
      <c r="G1333" s="30" t="str">
        <f aca="false">IF(E1333&lt;判定条件!$C$6,"判定不能",IF(F1333&gt;=判定条件!$C$7*E1333,"運転",IF(F1333&lt;=判定条件!$C$8*E1333,"停止","断続")))</f>
        <v>運転</v>
      </c>
      <c r="H1333" s="30" t="n">
        <v>0</v>
      </c>
      <c r="I1333" s="30" t="n">
        <v>0</v>
      </c>
      <c r="J1333" s="30" t="str">
        <f aca="false">IF(H1333&lt;判定条件!$C$6,"判定不能",IF(I1333&gt;=判定条件!$C$7*H1333,"運転",IF(I1333&lt;=判定条件!$C$8*H1333,"停止","断続")))</f>
        <v>判定不能</v>
      </c>
      <c r="K1333" s="30" t="n">
        <v>60</v>
      </c>
      <c r="L1333" s="30" t="n">
        <v>60</v>
      </c>
      <c r="M1333" s="30" t="str">
        <f aca="false">IF(K1333&lt;判定条件!$C$6,"判定不能",IF(L1333&gt;=判定条件!$C$7*K1333,"運転",IF(L1333&lt;=判定条件!$C$8*K1333,"停止","断続")))</f>
        <v>運転</v>
      </c>
      <c r="N1333" s="30" t="n">
        <v>60</v>
      </c>
      <c r="O1333" s="30" t="n">
        <v>60</v>
      </c>
      <c r="P1333" s="30" t="str">
        <f aca="false">IF(N1333&lt;判定条件!$C$6,"判定不能",IF(O1333&gt;=判定条件!$C$7*N1333,"運転",IF(O1333&lt;=判定条件!$C$8*N1333,"停止","断続")))</f>
        <v>運転</v>
      </c>
      <c r="Q1333" s="30" t="n">
        <v>60</v>
      </c>
      <c r="R1333" s="30" t="n">
        <v>60</v>
      </c>
      <c r="S1333" s="30" t="str">
        <f aca="false">IF(Q1333&lt;判定条件!$C$6,"判定不能",IF(R1333&gt;=判定条件!$C$7*Q1333,"運転",IF(R1333&lt;=判定条件!$C$8*Q1333,"停止","断続")))</f>
        <v>運転</v>
      </c>
      <c r="T1333" s="30" t="n">
        <v>60</v>
      </c>
      <c r="U1333" s="30" t="n">
        <v>50</v>
      </c>
      <c r="V1333" s="30" t="str">
        <f aca="false">IF(T1333&lt;判定条件!$C$6,"判定不能",IF(U1333&gt;=判定条件!$C$7*T1333,"運転",IF(U1333&lt;=判定条件!$C$8*T1333,"停止","断続")))</f>
        <v>運転</v>
      </c>
      <c r="W1333" s="30" t="n">
        <v>0</v>
      </c>
      <c r="X1333" s="30" t="n">
        <v>0</v>
      </c>
      <c r="Y1333" s="30" t="str">
        <f aca="false">IF(W1333&lt;判定条件!$C$6,"判定不能",IF(X1333&gt;=判定条件!$C$7*W1333,"運転",IF(X1333&lt;=判定条件!$C$8*W1333,"停止","断続")))</f>
        <v>判定不能</v>
      </c>
      <c r="Z1333" s="30" t="n">
        <v>0</v>
      </c>
      <c r="AA1333" s="30" t="n">
        <v>0</v>
      </c>
      <c r="AB1333" s="30" t="str">
        <f aca="false">IF(Z1333&lt;判定条件!$C$6,"判定不能",IF(AA1333&gt;=判定条件!$C$7*Z1333,"運転",IF(AA1333&lt;=判定条件!$C$8*Z1333,"停止","断続")))</f>
        <v>判定不能</v>
      </c>
      <c r="AC1333" s="30" t="n">
        <v>0</v>
      </c>
      <c r="AD1333" s="30" t="n">
        <v>0</v>
      </c>
      <c r="AE1333" s="30" t="str">
        <f aca="false">IF(AC1333&lt;判定条件!$C$6,"判定不能",IF(AD1333&gt;=判定条件!$C$7*AC1333,"運転",IF(AD1333&lt;=判定条件!$C$8*AC1333,"停止","断続")))</f>
        <v>判定不能</v>
      </c>
      <c r="AF1333" s="30" t="n">
        <v>60</v>
      </c>
      <c r="AG1333" s="30" t="n">
        <v>55</v>
      </c>
      <c r="AH1333" s="30" t="str">
        <f aca="false">IF(OR(P1333="判定不能",G1333="判定不能"),"判定不能",IF(AG1333&gt;=判定条件!$C$9,"利用可",IF(AND(P1333="停止",G1333="停止"),"両方停止","運転がそろわない")))</f>
        <v>利用可</v>
      </c>
      <c r="AI1333" s="30" t="n">
        <v>0</v>
      </c>
      <c r="AJ1333" s="30" t="n">
        <v>0</v>
      </c>
      <c r="AK1333" s="30" t="str">
        <f aca="false">IF(OR(S1333="判定不能",J1333="判定不能"),"判定不能",IF(AJ1333&gt;=判定条件!$C$9,"利用可",IF(AND(S1333="停止",J1333="停止"),"両方停止","運転がそろわない")))</f>
        <v>判定不能</v>
      </c>
      <c r="AL1333" s="30" t="n">
        <v>60</v>
      </c>
      <c r="AM1333" s="30" t="n">
        <v>50</v>
      </c>
      <c r="AN1333" s="30" t="str">
        <f aca="false">IF(OR(V1333="判定不能",M1333="判定不能"),"判定不能",IF(AM1333&gt;=判定条件!$C$9,"利用可",IF(AND(V1333="停止",M1333="停止"),"両方停止","運転がそろわない")))</f>
        <v>利用可</v>
      </c>
      <c r="AO1333" s="30" t="n">
        <v>0</v>
      </c>
      <c r="AP1333" s="30" t="n">
        <v>0</v>
      </c>
      <c r="AQ1333" s="30" t="str">
        <f aca="false">IF(OR(Y1333="判定不能",G1333="判定不能"),"判定不能",IF(AP1333&gt;=判定条件!$C$9,"利用可",IF(AND(Y1333="停止",G1333="停止"),"両方停止","運転がそろわない")))</f>
        <v>判定不能</v>
      </c>
      <c r="AR1333" s="30" t="n">
        <v>0</v>
      </c>
      <c r="AS1333" s="30" t="n">
        <v>0</v>
      </c>
      <c r="AT1333" s="30" t="str">
        <f aca="false">IF(OR(AB1333="判定不能",J1333="判定不能"),"判定不能",IF(AS1333&gt;=判定条件!$C$9,"利用可",IF(AND(AB1333="停止",J1333="停止"),"両方停止","運転がそろわない")))</f>
        <v>判定不能</v>
      </c>
      <c r="AU1333" s="30" t="n">
        <v>0</v>
      </c>
      <c r="AV1333" s="30" t="n">
        <v>0</v>
      </c>
      <c r="AW1333" s="30" t="str">
        <f aca="false">IF(OR(AE1333="判定不能",M1333="判定不能"),"判定不能",IF(AV1333&gt;=判定条件!$C$9,"利用可",IF(AND(AE1333="停止",M1333="停止"),"両方停止","運転がそろわない")))</f>
        <v>判定不能</v>
      </c>
      <c r="AX1333" s="30" t="str">
        <f aca="false">IF(AND(AH1333="利用可",AK1333="利用可",AN1333="利用可"),"利用可","不可")</f>
        <v>不可</v>
      </c>
      <c r="AY1333" s="30" t="str">
        <f aca="false">IF(AND(AQ1333="利用可",AT1333="利用可",AW1333="利用可"),"利用可","不可")</f>
        <v>不可</v>
      </c>
    </row>
    <row r="1334" customFormat="false" ht="15" hidden="false" customHeight="false" outlineLevel="0" collapsed="false">
      <c r="A1334" s="29" t="n">
        <v>46287</v>
      </c>
      <c r="B1334" s="30" t="n">
        <v>11</v>
      </c>
      <c r="C1334" s="31" t="s">
        <v>67</v>
      </c>
      <c r="D1334" s="31" t="s">
        <v>101</v>
      </c>
      <c r="E1334" s="30" t="n">
        <v>60</v>
      </c>
      <c r="F1334" s="30" t="n">
        <v>60</v>
      </c>
      <c r="G1334" s="30" t="str">
        <f aca="false">IF(E1334&lt;判定条件!$C$6,"判定不能",IF(F1334&gt;=判定条件!$C$7*E1334,"運転",IF(F1334&lt;=判定条件!$C$8*E1334,"停止","断続")))</f>
        <v>運転</v>
      </c>
      <c r="H1334" s="30" t="n">
        <v>0</v>
      </c>
      <c r="I1334" s="30" t="n">
        <v>0</v>
      </c>
      <c r="J1334" s="30" t="str">
        <f aca="false">IF(H1334&lt;判定条件!$C$6,"判定不能",IF(I1334&gt;=判定条件!$C$7*H1334,"運転",IF(I1334&lt;=判定条件!$C$8*H1334,"停止","断続")))</f>
        <v>判定不能</v>
      </c>
      <c r="K1334" s="30" t="n">
        <v>60</v>
      </c>
      <c r="L1334" s="30" t="n">
        <v>60</v>
      </c>
      <c r="M1334" s="30" t="str">
        <f aca="false">IF(K1334&lt;判定条件!$C$6,"判定不能",IF(L1334&gt;=判定条件!$C$7*K1334,"運転",IF(L1334&lt;=判定条件!$C$8*K1334,"停止","断続")))</f>
        <v>運転</v>
      </c>
      <c r="N1334" s="30" t="n">
        <v>60</v>
      </c>
      <c r="O1334" s="30" t="n">
        <v>60</v>
      </c>
      <c r="P1334" s="30" t="str">
        <f aca="false">IF(N1334&lt;判定条件!$C$6,"判定不能",IF(O1334&gt;=判定条件!$C$7*N1334,"運転",IF(O1334&lt;=判定条件!$C$8*N1334,"停止","断続")))</f>
        <v>運転</v>
      </c>
      <c r="Q1334" s="30" t="n">
        <v>60</v>
      </c>
      <c r="R1334" s="30" t="n">
        <v>60</v>
      </c>
      <c r="S1334" s="30" t="str">
        <f aca="false">IF(Q1334&lt;判定条件!$C$6,"判定不能",IF(R1334&gt;=判定条件!$C$7*Q1334,"運転",IF(R1334&lt;=判定条件!$C$8*Q1334,"停止","断続")))</f>
        <v>運転</v>
      </c>
      <c r="T1334" s="30" t="n">
        <v>60</v>
      </c>
      <c r="U1334" s="30" t="n">
        <v>49</v>
      </c>
      <c r="V1334" s="30" t="str">
        <f aca="false">IF(T1334&lt;判定条件!$C$6,"判定不能",IF(U1334&gt;=判定条件!$C$7*T1334,"運転",IF(U1334&lt;=判定条件!$C$8*T1334,"停止","断続")))</f>
        <v>運転</v>
      </c>
      <c r="W1334" s="30" t="n">
        <v>0</v>
      </c>
      <c r="X1334" s="30" t="n">
        <v>0</v>
      </c>
      <c r="Y1334" s="30" t="str">
        <f aca="false">IF(W1334&lt;判定条件!$C$6,"判定不能",IF(X1334&gt;=判定条件!$C$7*W1334,"運転",IF(X1334&lt;=判定条件!$C$8*W1334,"停止","断続")))</f>
        <v>判定不能</v>
      </c>
      <c r="Z1334" s="30" t="n">
        <v>0</v>
      </c>
      <c r="AA1334" s="30" t="n">
        <v>0</v>
      </c>
      <c r="AB1334" s="30" t="str">
        <f aca="false">IF(Z1334&lt;判定条件!$C$6,"判定不能",IF(AA1334&gt;=判定条件!$C$7*Z1334,"運転",IF(AA1334&lt;=判定条件!$C$8*Z1334,"停止","断続")))</f>
        <v>判定不能</v>
      </c>
      <c r="AC1334" s="30" t="n">
        <v>0</v>
      </c>
      <c r="AD1334" s="30" t="n">
        <v>0</v>
      </c>
      <c r="AE1334" s="30" t="str">
        <f aca="false">IF(AC1334&lt;判定条件!$C$6,"判定不能",IF(AD1334&gt;=判定条件!$C$7*AC1334,"運転",IF(AD1334&lt;=判定条件!$C$8*AC1334,"停止","断続")))</f>
        <v>判定不能</v>
      </c>
      <c r="AF1334" s="30" t="n">
        <v>60</v>
      </c>
      <c r="AG1334" s="30" t="n">
        <v>60</v>
      </c>
      <c r="AH1334" s="30" t="str">
        <f aca="false">IF(OR(P1334="判定不能",G1334="判定不能"),"判定不能",IF(AG1334&gt;=判定条件!$C$9,"利用可",IF(AND(P1334="停止",G1334="停止"),"両方停止","運転がそろわない")))</f>
        <v>利用可</v>
      </c>
      <c r="AI1334" s="30" t="n">
        <v>0</v>
      </c>
      <c r="AJ1334" s="30" t="n">
        <v>0</v>
      </c>
      <c r="AK1334" s="30" t="str">
        <f aca="false">IF(OR(S1334="判定不能",J1334="判定不能"),"判定不能",IF(AJ1334&gt;=判定条件!$C$9,"利用可",IF(AND(S1334="停止",J1334="停止"),"両方停止","運転がそろわない")))</f>
        <v>判定不能</v>
      </c>
      <c r="AL1334" s="30" t="n">
        <v>60</v>
      </c>
      <c r="AM1334" s="30" t="n">
        <v>49</v>
      </c>
      <c r="AN1334" s="30" t="str">
        <f aca="false">IF(OR(V1334="判定不能",M1334="判定不能"),"判定不能",IF(AM1334&gt;=判定条件!$C$9,"利用可",IF(AND(V1334="停止",M1334="停止"),"両方停止","運転がそろわない")))</f>
        <v>利用可</v>
      </c>
      <c r="AO1334" s="30" t="n">
        <v>0</v>
      </c>
      <c r="AP1334" s="30" t="n">
        <v>0</v>
      </c>
      <c r="AQ1334" s="30" t="str">
        <f aca="false">IF(OR(Y1334="判定不能",G1334="判定不能"),"判定不能",IF(AP1334&gt;=判定条件!$C$9,"利用可",IF(AND(Y1334="停止",G1334="停止"),"両方停止","運転がそろわない")))</f>
        <v>判定不能</v>
      </c>
      <c r="AR1334" s="30" t="n">
        <v>0</v>
      </c>
      <c r="AS1334" s="30" t="n">
        <v>0</v>
      </c>
      <c r="AT1334" s="30" t="str">
        <f aca="false">IF(OR(AB1334="判定不能",J1334="判定不能"),"判定不能",IF(AS1334&gt;=判定条件!$C$9,"利用可",IF(AND(AB1334="停止",J1334="停止"),"両方停止","運転がそろわない")))</f>
        <v>判定不能</v>
      </c>
      <c r="AU1334" s="30" t="n">
        <v>0</v>
      </c>
      <c r="AV1334" s="30" t="n">
        <v>0</v>
      </c>
      <c r="AW1334" s="30" t="str">
        <f aca="false">IF(OR(AE1334="判定不能",M1334="判定不能"),"判定不能",IF(AV1334&gt;=判定条件!$C$9,"利用可",IF(AND(AE1334="停止",M1334="停止"),"両方停止","運転がそろわない")))</f>
        <v>判定不能</v>
      </c>
      <c r="AX1334" s="30" t="str">
        <f aca="false">IF(AND(AH1334="利用可",AK1334="利用可",AN1334="利用可"),"利用可","不可")</f>
        <v>不可</v>
      </c>
      <c r="AY1334" s="30" t="str">
        <f aca="false">IF(AND(AQ1334="利用可",AT1334="利用可",AW1334="利用可"),"利用可","不可")</f>
        <v>不可</v>
      </c>
    </row>
    <row r="1335" customFormat="false" ht="15" hidden="false" customHeight="false" outlineLevel="0" collapsed="false">
      <c r="A1335" s="29" t="n">
        <v>46287</v>
      </c>
      <c r="B1335" s="30" t="n">
        <v>12</v>
      </c>
      <c r="C1335" s="31" t="s">
        <v>67</v>
      </c>
      <c r="D1335" s="31" t="s">
        <v>101</v>
      </c>
      <c r="E1335" s="30" t="n">
        <v>60</v>
      </c>
      <c r="F1335" s="30" t="n">
        <v>60</v>
      </c>
      <c r="G1335" s="30" t="str">
        <f aca="false">IF(E1335&lt;判定条件!$C$6,"判定不能",IF(F1335&gt;=判定条件!$C$7*E1335,"運転",IF(F1335&lt;=判定条件!$C$8*E1335,"停止","断続")))</f>
        <v>運転</v>
      </c>
      <c r="H1335" s="30" t="n">
        <v>44</v>
      </c>
      <c r="I1335" s="30" t="n">
        <v>41</v>
      </c>
      <c r="J1335" s="30" t="str">
        <f aca="false">IF(H1335&lt;判定条件!$C$6,"判定不能",IF(I1335&gt;=判定条件!$C$7*H1335,"運転",IF(I1335&lt;=判定条件!$C$8*H1335,"停止","断続")))</f>
        <v>判定不能</v>
      </c>
      <c r="K1335" s="30" t="n">
        <v>60</v>
      </c>
      <c r="L1335" s="30" t="n">
        <v>60</v>
      </c>
      <c r="M1335" s="30" t="str">
        <f aca="false">IF(K1335&lt;判定条件!$C$6,"判定不能",IF(L1335&gt;=判定条件!$C$7*K1335,"運転",IF(L1335&lt;=判定条件!$C$8*K1335,"停止","断続")))</f>
        <v>運転</v>
      </c>
      <c r="N1335" s="30" t="n">
        <v>60</v>
      </c>
      <c r="O1335" s="30" t="n">
        <v>60</v>
      </c>
      <c r="P1335" s="30" t="str">
        <f aca="false">IF(N1335&lt;判定条件!$C$6,"判定不能",IF(O1335&gt;=判定条件!$C$7*N1335,"運転",IF(O1335&lt;=判定条件!$C$8*N1335,"停止","断続")))</f>
        <v>運転</v>
      </c>
      <c r="Q1335" s="30" t="n">
        <v>60</v>
      </c>
      <c r="R1335" s="30" t="n">
        <v>40</v>
      </c>
      <c r="S1335" s="30" t="str">
        <f aca="false">IF(Q1335&lt;判定条件!$C$6,"判定不能",IF(R1335&gt;=判定条件!$C$7*Q1335,"運転",IF(R1335&lt;=判定条件!$C$8*Q1335,"停止","断続")))</f>
        <v>断続</v>
      </c>
      <c r="T1335" s="30" t="n">
        <v>60</v>
      </c>
      <c r="U1335" s="30" t="n">
        <v>31</v>
      </c>
      <c r="V1335" s="30" t="str">
        <f aca="false">IF(T1335&lt;判定条件!$C$6,"判定不能",IF(U1335&gt;=判定条件!$C$7*T1335,"運転",IF(U1335&lt;=判定条件!$C$8*T1335,"停止","断続")))</f>
        <v>断続</v>
      </c>
      <c r="W1335" s="30" t="n">
        <v>0</v>
      </c>
      <c r="X1335" s="30" t="n">
        <v>0</v>
      </c>
      <c r="Y1335" s="30" t="str">
        <f aca="false">IF(W1335&lt;判定条件!$C$6,"判定不能",IF(X1335&gt;=判定条件!$C$7*W1335,"運転",IF(X1335&lt;=判定条件!$C$8*W1335,"停止","断続")))</f>
        <v>判定不能</v>
      </c>
      <c r="Z1335" s="30" t="n">
        <v>0</v>
      </c>
      <c r="AA1335" s="30" t="n">
        <v>0</v>
      </c>
      <c r="AB1335" s="30" t="str">
        <f aca="false">IF(Z1335&lt;判定条件!$C$6,"判定不能",IF(AA1335&gt;=判定条件!$C$7*Z1335,"運転",IF(AA1335&lt;=判定条件!$C$8*Z1335,"停止","断続")))</f>
        <v>判定不能</v>
      </c>
      <c r="AC1335" s="30" t="n">
        <v>0</v>
      </c>
      <c r="AD1335" s="30" t="n">
        <v>0</v>
      </c>
      <c r="AE1335" s="30" t="str">
        <f aca="false">IF(AC1335&lt;判定条件!$C$6,"判定不能",IF(AD1335&gt;=判定条件!$C$7*AC1335,"運転",IF(AD1335&lt;=判定条件!$C$8*AC1335,"停止","断続")))</f>
        <v>判定不能</v>
      </c>
      <c r="AF1335" s="30" t="n">
        <v>60</v>
      </c>
      <c r="AG1335" s="30" t="n">
        <v>60</v>
      </c>
      <c r="AH1335" s="30" t="str">
        <f aca="false">IF(OR(P1335="判定不能",G1335="判定不能"),"判定不能",IF(AG1335&gt;=判定条件!$C$9,"利用可",IF(AND(P1335="停止",G1335="停止"),"両方停止","運転がそろわない")))</f>
        <v>利用可</v>
      </c>
      <c r="AI1335" s="30" t="n">
        <v>44</v>
      </c>
      <c r="AJ1335" s="30" t="n">
        <v>23</v>
      </c>
      <c r="AK1335" s="30" t="str">
        <f aca="false">IF(OR(S1335="判定不能",J1335="判定不能"),"判定不能",IF(AJ1335&gt;=判定条件!$C$9,"利用可",IF(AND(S1335="停止",J1335="停止"),"両方停止","運転がそろわない")))</f>
        <v>判定不能</v>
      </c>
      <c r="AL1335" s="30" t="n">
        <v>60</v>
      </c>
      <c r="AM1335" s="30" t="n">
        <v>31</v>
      </c>
      <c r="AN1335" s="30" t="str">
        <f aca="false">IF(OR(V1335="判定不能",M1335="判定不能"),"判定不能",IF(AM1335&gt;=判定条件!$C$9,"利用可",IF(AND(V1335="停止",M1335="停止"),"両方停止","運転がそろわない")))</f>
        <v>利用可</v>
      </c>
      <c r="AO1335" s="30" t="n">
        <v>0</v>
      </c>
      <c r="AP1335" s="30" t="n">
        <v>0</v>
      </c>
      <c r="AQ1335" s="30" t="str">
        <f aca="false">IF(OR(Y1335="判定不能",G1335="判定不能"),"判定不能",IF(AP1335&gt;=判定条件!$C$9,"利用可",IF(AND(Y1335="停止",G1335="停止"),"両方停止","運転がそろわない")))</f>
        <v>判定不能</v>
      </c>
      <c r="AR1335" s="30" t="n">
        <v>0</v>
      </c>
      <c r="AS1335" s="30" t="n">
        <v>0</v>
      </c>
      <c r="AT1335" s="30" t="str">
        <f aca="false">IF(OR(AB1335="判定不能",J1335="判定不能"),"判定不能",IF(AS1335&gt;=判定条件!$C$9,"利用可",IF(AND(AB1335="停止",J1335="停止"),"両方停止","運転がそろわない")))</f>
        <v>判定不能</v>
      </c>
      <c r="AU1335" s="30" t="n">
        <v>0</v>
      </c>
      <c r="AV1335" s="30" t="n">
        <v>0</v>
      </c>
      <c r="AW1335" s="30" t="str">
        <f aca="false">IF(OR(AE1335="判定不能",M1335="判定不能"),"判定不能",IF(AV1335&gt;=判定条件!$C$9,"利用可",IF(AND(AE1335="停止",M1335="停止"),"両方停止","運転がそろわない")))</f>
        <v>判定不能</v>
      </c>
      <c r="AX1335" s="30" t="str">
        <f aca="false">IF(AND(AH1335="利用可",AK1335="利用可",AN1335="利用可"),"利用可","不可")</f>
        <v>不可</v>
      </c>
      <c r="AY1335" s="30" t="str">
        <f aca="false">IF(AND(AQ1335="利用可",AT1335="利用可",AW1335="利用可"),"利用可","不可")</f>
        <v>不可</v>
      </c>
    </row>
    <row r="1336" customFormat="false" ht="15" hidden="false" customHeight="false" outlineLevel="0" collapsed="false">
      <c r="A1336" s="29" t="n">
        <v>46287</v>
      </c>
      <c r="B1336" s="30" t="n">
        <v>13</v>
      </c>
      <c r="C1336" s="31" t="s">
        <v>67</v>
      </c>
      <c r="D1336" s="31" t="s">
        <v>101</v>
      </c>
      <c r="E1336" s="30" t="n">
        <v>60</v>
      </c>
      <c r="F1336" s="30" t="n">
        <v>44</v>
      </c>
      <c r="G1336" s="30" t="str">
        <f aca="false">IF(E1336&lt;判定条件!$C$6,"判定不能",IF(F1336&gt;=判定条件!$C$7*E1336,"運転",IF(F1336&lt;=判定条件!$C$8*E1336,"停止","断続")))</f>
        <v>断続</v>
      </c>
      <c r="H1336" s="30" t="n">
        <v>60</v>
      </c>
      <c r="I1336" s="30" t="n">
        <v>60</v>
      </c>
      <c r="J1336" s="30" t="str">
        <f aca="false">IF(H1336&lt;判定条件!$C$6,"判定不能",IF(I1336&gt;=判定条件!$C$7*H1336,"運転",IF(I1336&lt;=判定条件!$C$8*H1336,"停止","断続")))</f>
        <v>運転</v>
      </c>
      <c r="K1336" s="30" t="n">
        <v>60</v>
      </c>
      <c r="L1336" s="30" t="n">
        <v>60</v>
      </c>
      <c r="M1336" s="30" t="str">
        <f aca="false">IF(K1336&lt;判定条件!$C$6,"判定不能",IF(L1336&gt;=判定条件!$C$7*K1336,"運転",IF(L1336&lt;=判定条件!$C$8*K1336,"停止","断続")))</f>
        <v>運転</v>
      </c>
      <c r="N1336" s="30" t="n">
        <v>60</v>
      </c>
      <c r="O1336" s="30" t="n">
        <v>43</v>
      </c>
      <c r="P1336" s="30" t="str">
        <f aca="false">IF(N1336&lt;判定条件!$C$6,"判定不能",IF(O1336&gt;=判定条件!$C$7*N1336,"運転",IF(O1336&lt;=判定条件!$C$8*N1336,"停止","断続")))</f>
        <v>断続</v>
      </c>
      <c r="Q1336" s="30" t="n">
        <v>60</v>
      </c>
      <c r="R1336" s="30" t="n">
        <v>60</v>
      </c>
      <c r="S1336" s="30" t="str">
        <f aca="false">IF(Q1336&lt;判定条件!$C$6,"判定不能",IF(R1336&gt;=判定条件!$C$7*Q1336,"運転",IF(R1336&lt;=判定条件!$C$8*Q1336,"停止","断続")))</f>
        <v>運転</v>
      </c>
      <c r="T1336" s="30" t="n">
        <v>60</v>
      </c>
      <c r="U1336" s="30" t="n">
        <v>60</v>
      </c>
      <c r="V1336" s="30" t="str">
        <f aca="false">IF(T1336&lt;判定条件!$C$6,"判定不能",IF(U1336&gt;=判定条件!$C$7*T1336,"運転",IF(U1336&lt;=判定条件!$C$8*T1336,"停止","断続")))</f>
        <v>運転</v>
      </c>
      <c r="W1336" s="30" t="n">
        <v>0</v>
      </c>
      <c r="X1336" s="30" t="n">
        <v>0</v>
      </c>
      <c r="Y1336" s="30" t="str">
        <f aca="false">IF(W1336&lt;判定条件!$C$6,"判定不能",IF(X1336&gt;=判定条件!$C$7*W1336,"運転",IF(X1336&lt;=判定条件!$C$8*W1336,"停止","断続")))</f>
        <v>判定不能</v>
      </c>
      <c r="Z1336" s="30" t="n">
        <v>0</v>
      </c>
      <c r="AA1336" s="30" t="n">
        <v>0</v>
      </c>
      <c r="AB1336" s="30" t="str">
        <f aca="false">IF(Z1336&lt;判定条件!$C$6,"判定不能",IF(AA1336&gt;=判定条件!$C$7*Z1336,"運転",IF(AA1336&lt;=判定条件!$C$8*Z1336,"停止","断続")))</f>
        <v>判定不能</v>
      </c>
      <c r="AC1336" s="30" t="n">
        <v>0</v>
      </c>
      <c r="AD1336" s="30" t="n">
        <v>0</v>
      </c>
      <c r="AE1336" s="30" t="str">
        <f aca="false">IF(AC1336&lt;判定条件!$C$6,"判定不能",IF(AD1336&gt;=判定条件!$C$7*AC1336,"運転",IF(AD1336&lt;=判定条件!$C$8*AC1336,"停止","断続")))</f>
        <v>判定不能</v>
      </c>
      <c r="AF1336" s="30" t="n">
        <v>60</v>
      </c>
      <c r="AG1336" s="30" t="n">
        <v>34</v>
      </c>
      <c r="AH1336" s="30" t="str">
        <f aca="false">IF(OR(P1336="判定不能",G1336="判定不能"),"判定不能",IF(AG1336&gt;=判定条件!$C$9,"利用可",IF(AND(P1336="停止",G1336="停止"),"両方停止","運転がそろわない")))</f>
        <v>利用可</v>
      </c>
      <c r="AI1336" s="30" t="n">
        <v>60</v>
      </c>
      <c r="AJ1336" s="30" t="n">
        <v>60</v>
      </c>
      <c r="AK1336" s="30" t="str">
        <f aca="false">IF(OR(S1336="判定不能",J1336="判定不能"),"判定不能",IF(AJ1336&gt;=判定条件!$C$9,"利用可",IF(AND(S1336="停止",J1336="停止"),"両方停止","運転がそろわない")))</f>
        <v>利用可</v>
      </c>
      <c r="AL1336" s="30" t="n">
        <v>60</v>
      </c>
      <c r="AM1336" s="30" t="n">
        <v>60</v>
      </c>
      <c r="AN1336" s="30" t="str">
        <f aca="false">IF(OR(V1336="判定不能",M1336="判定不能"),"判定不能",IF(AM1336&gt;=判定条件!$C$9,"利用可",IF(AND(V1336="停止",M1336="停止"),"両方停止","運転がそろわない")))</f>
        <v>利用可</v>
      </c>
      <c r="AO1336" s="30" t="n">
        <v>0</v>
      </c>
      <c r="AP1336" s="30" t="n">
        <v>0</v>
      </c>
      <c r="AQ1336" s="30" t="str">
        <f aca="false">IF(OR(Y1336="判定不能",G1336="判定不能"),"判定不能",IF(AP1336&gt;=判定条件!$C$9,"利用可",IF(AND(Y1336="停止",G1336="停止"),"両方停止","運転がそろわない")))</f>
        <v>判定不能</v>
      </c>
      <c r="AR1336" s="30" t="n">
        <v>0</v>
      </c>
      <c r="AS1336" s="30" t="n">
        <v>0</v>
      </c>
      <c r="AT1336" s="30" t="str">
        <f aca="false">IF(OR(AB1336="判定不能",J1336="判定不能"),"判定不能",IF(AS1336&gt;=判定条件!$C$9,"利用可",IF(AND(AB1336="停止",J1336="停止"),"両方停止","運転がそろわない")))</f>
        <v>判定不能</v>
      </c>
      <c r="AU1336" s="30" t="n">
        <v>0</v>
      </c>
      <c r="AV1336" s="30" t="n">
        <v>0</v>
      </c>
      <c r="AW1336" s="30" t="str">
        <f aca="false">IF(OR(AE1336="判定不能",M1336="判定不能"),"判定不能",IF(AV1336&gt;=判定条件!$C$9,"利用可",IF(AND(AE1336="停止",M1336="停止"),"両方停止","運転がそろわない")))</f>
        <v>判定不能</v>
      </c>
      <c r="AX1336" s="30" t="str">
        <f aca="false">IF(AND(AH1336="利用可",AK1336="利用可",AN1336="利用可"),"利用可","不可")</f>
        <v>利用可</v>
      </c>
      <c r="AY1336" s="30" t="str">
        <f aca="false">IF(AND(AQ1336="利用可",AT1336="利用可",AW1336="利用可"),"利用可","不可")</f>
        <v>不可</v>
      </c>
    </row>
    <row r="1337" customFormat="false" ht="15" hidden="false" customHeight="false" outlineLevel="0" collapsed="false">
      <c r="A1337" s="29" t="n">
        <v>46287</v>
      </c>
      <c r="B1337" s="30" t="n">
        <v>14</v>
      </c>
      <c r="C1337" s="31" t="s">
        <v>67</v>
      </c>
      <c r="D1337" s="31" t="s">
        <v>101</v>
      </c>
      <c r="E1337" s="30" t="n">
        <v>60</v>
      </c>
      <c r="F1337" s="30" t="n">
        <v>60</v>
      </c>
      <c r="G1337" s="30" t="str">
        <f aca="false">IF(E1337&lt;判定条件!$C$6,"判定不能",IF(F1337&gt;=判定条件!$C$7*E1337,"運転",IF(F1337&lt;=判定条件!$C$8*E1337,"停止","断続")))</f>
        <v>運転</v>
      </c>
      <c r="H1337" s="30" t="n">
        <v>60</v>
      </c>
      <c r="I1337" s="30" t="n">
        <v>60</v>
      </c>
      <c r="J1337" s="30" t="str">
        <f aca="false">IF(H1337&lt;判定条件!$C$6,"判定不能",IF(I1337&gt;=判定条件!$C$7*H1337,"運転",IF(I1337&lt;=判定条件!$C$8*H1337,"停止","断続")))</f>
        <v>運転</v>
      </c>
      <c r="K1337" s="30" t="n">
        <v>60</v>
      </c>
      <c r="L1337" s="30" t="n">
        <v>60</v>
      </c>
      <c r="M1337" s="30" t="str">
        <f aca="false">IF(K1337&lt;判定条件!$C$6,"判定不能",IF(L1337&gt;=判定条件!$C$7*K1337,"運転",IF(L1337&lt;=判定条件!$C$8*K1337,"停止","断続")))</f>
        <v>運転</v>
      </c>
      <c r="N1337" s="30" t="n">
        <v>60</v>
      </c>
      <c r="O1337" s="30" t="n">
        <v>60</v>
      </c>
      <c r="P1337" s="30" t="str">
        <f aca="false">IF(N1337&lt;判定条件!$C$6,"判定不能",IF(O1337&gt;=判定条件!$C$7*N1337,"運転",IF(O1337&lt;=判定条件!$C$8*N1337,"停止","断続")))</f>
        <v>運転</v>
      </c>
      <c r="Q1337" s="30" t="n">
        <v>60</v>
      </c>
      <c r="R1337" s="30" t="n">
        <v>60</v>
      </c>
      <c r="S1337" s="30" t="str">
        <f aca="false">IF(Q1337&lt;判定条件!$C$6,"判定不能",IF(R1337&gt;=判定条件!$C$7*Q1337,"運転",IF(R1337&lt;=判定条件!$C$8*Q1337,"停止","断続")))</f>
        <v>運転</v>
      </c>
      <c r="T1337" s="30" t="n">
        <v>60</v>
      </c>
      <c r="U1337" s="30" t="n">
        <v>9</v>
      </c>
      <c r="V1337" s="30" t="str">
        <f aca="false">IF(T1337&lt;判定条件!$C$6,"判定不能",IF(U1337&gt;=判定条件!$C$7*T1337,"運転",IF(U1337&lt;=判定条件!$C$8*T1337,"停止","断続")))</f>
        <v>停止</v>
      </c>
      <c r="W1337" s="30" t="n">
        <v>0</v>
      </c>
      <c r="X1337" s="30" t="n">
        <v>0</v>
      </c>
      <c r="Y1337" s="30" t="str">
        <f aca="false">IF(W1337&lt;判定条件!$C$6,"判定不能",IF(X1337&gt;=判定条件!$C$7*W1337,"運転",IF(X1337&lt;=判定条件!$C$8*W1337,"停止","断続")))</f>
        <v>判定不能</v>
      </c>
      <c r="Z1337" s="30" t="n">
        <v>0</v>
      </c>
      <c r="AA1337" s="30" t="n">
        <v>0</v>
      </c>
      <c r="AB1337" s="30" t="str">
        <f aca="false">IF(Z1337&lt;判定条件!$C$6,"判定不能",IF(AA1337&gt;=判定条件!$C$7*Z1337,"運転",IF(AA1337&lt;=判定条件!$C$8*Z1337,"停止","断続")))</f>
        <v>判定不能</v>
      </c>
      <c r="AC1337" s="30" t="n">
        <v>0</v>
      </c>
      <c r="AD1337" s="30" t="n">
        <v>0</v>
      </c>
      <c r="AE1337" s="30" t="str">
        <f aca="false">IF(AC1337&lt;判定条件!$C$6,"判定不能",IF(AD1337&gt;=判定条件!$C$7*AC1337,"運転",IF(AD1337&lt;=判定条件!$C$8*AC1337,"停止","断続")))</f>
        <v>判定不能</v>
      </c>
      <c r="AF1337" s="30" t="n">
        <v>60</v>
      </c>
      <c r="AG1337" s="30" t="n">
        <v>60</v>
      </c>
      <c r="AH1337" s="30" t="str">
        <f aca="false">IF(OR(P1337="判定不能",G1337="判定不能"),"判定不能",IF(AG1337&gt;=判定条件!$C$9,"利用可",IF(AND(P1337="停止",G1337="停止"),"両方停止","運転がそろわない")))</f>
        <v>利用可</v>
      </c>
      <c r="AI1337" s="30" t="n">
        <v>60</v>
      </c>
      <c r="AJ1337" s="30" t="n">
        <v>60</v>
      </c>
      <c r="AK1337" s="30" t="str">
        <f aca="false">IF(OR(S1337="判定不能",J1337="判定不能"),"判定不能",IF(AJ1337&gt;=判定条件!$C$9,"利用可",IF(AND(S1337="停止",J1337="停止"),"両方停止","運転がそろわない")))</f>
        <v>利用可</v>
      </c>
      <c r="AL1337" s="30" t="n">
        <v>60</v>
      </c>
      <c r="AM1337" s="30" t="n">
        <v>9</v>
      </c>
      <c r="AN1337" s="30" t="str">
        <f aca="false">IF(OR(V1337="判定不能",M1337="判定不能"),"判定不能",IF(AM1337&gt;=判定条件!$C$9,"利用可",IF(AND(V1337="停止",M1337="停止"),"両方停止","運転がそろわない")))</f>
        <v>運転がそろわない</v>
      </c>
      <c r="AO1337" s="30" t="n">
        <v>0</v>
      </c>
      <c r="AP1337" s="30" t="n">
        <v>0</v>
      </c>
      <c r="AQ1337" s="30" t="str">
        <f aca="false">IF(OR(Y1337="判定不能",G1337="判定不能"),"判定不能",IF(AP1337&gt;=判定条件!$C$9,"利用可",IF(AND(Y1337="停止",G1337="停止"),"両方停止","運転がそろわない")))</f>
        <v>判定不能</v>
      </c>
      <c r="AR1337" s="30" t="n">
        <v>0</v>
      </c>
      <c r="AS1337" s="30" t="n">
        <v>0</v>
      </c>
      <c r="AT1337" s="30" t="str">
        <f aca="false">IF(OR(AB1337="判定不能",J1337="判定不能"),"判定不能",IF(AS1337&gt;=判定条件!$C$9,"利用可",IF(AND(AB1337="停止",J1337="停止"),"両方停止","運転がそろわない")))</f>
        <v>判定不能</v>
      </c>
      <c r="AU1337" s="30" t="n">
        <v>0</v>
      </c>
      <c r="AV1337" s="30" t="n">
        <v>0</v>
      </c>
      <c r="AW1337" s="30" t="str">
        <f aca="false">IF(OR(AE1337="判定不能",M1337="判定不能"),"判定不能",IF(AV1337&gt;=判定条件!$C$9,"利用可",IF(AND(AE1337="停止",M1337="停止"),"両方停止","運転がそろわない")))</f>
        <v>判定不能</v>
      </c>
      <c r="AX1337" s="30" t="str">
        <f aca="false">IF(AND(AH1337="利用可",AK1337="利用可",AN1337="利用可"),"利用可","不可")</f>
        <v>不可</v>
      </c>
      <c r="AY1337" s="30" t="str">
        <f aca="false">IF(AND(AQ1337="利用可",AT1337="利用可",AW1337="利用可"),"利用可","不可")</f>
        <v>不可</v>
      </c>
    </row>
    <row r="1338" customFormat="false" ht="15" hidden="false" customHeight="false" outlineLevel="0" collapsed="false">
      <c r="A1338" s="29" t="n">
        <v>46287</v>
      </c>
      <c r="B1338" s="30" t="n">
        <v>15</v>
      </c>
      <c r="C1338" s="31" t="s">
        <v>67</v>
      </c>
      <c r="D1338" s="31" t="s">
        <v>101</v>
      </c>
      <c r="E1338" s="30" t="n">
        <v>60</v>
      </c>
      <c r="F1338" s="30" t="n">
        <v>60</v>
      </c>
      <c r="G1338" s="30" t="str">
        <f aca="false">IF(E1338&lt;判定条件!$C$6,"判定不能",IF(F1338&gt;=判定条件!$C$7*E1338,"運転",IF(F1338&lt;=判定条件!$C$8*E1338,"停止","断続")))</f>
        <v>運転</v>
      </c>
      <c r="H1338" s="30" t="n">
        <v>60</v>
      </c>
      <c r="I1338" s="30" t="n">
        <v>60</v>
      </c>
      <c r="J1338" s="30" t="str">
        <f aca="false">IF(H1338&lt;判定条件!$C$6,"判定不能",IF(I1338&gt;=判定条件!$C$7*H1338,"運転",IF(I1338&lt;=判定条件!$C$8*H1338,"停止","断続")))</f>
        <v>運転</v>
      </c>
      <c r="K1338" s="30" t="n">
        <v>60</v>
      </c>
      <c r="L1338" s="30" t="n">
        <v>60</v>
      </c>
      <c r="M1338" s="30" t="str">
        <f aca="false">IF(K1338&lt;判定条件!$C$6,"判定不能",IF(L1338&gt;=判定条件!$C$7*K1338,"運転",IF(L1338&lt;=判定条件!$C$8*K1338,"停止","断続")))</f>
        <v>運転</v>
      </c>
      <c r="N1338" s="30" t="n">
        <v>60</v>
      </c>
      <c r="O1338" s="30" t="n">
        <v>21</v>
      </c>
      <c r="P1338" s="30" t="str">
        <f aca="false">IF(N1338&lt;判定条件!$C$6,"判定不能",IF(O1338&gt;=判定条件!$C$7*N1338,"運転",IF(O1338&lt;=判定条件!$C$8*N1338,"停止","断続")))</f>
        <v>断続</v>
      </c>
      <c r="Q1338" s="30" t="n">
        <v>60</v>
      </c>
      <c r="R1338" s="30" t="n">
        <v>14</v>
      </c>
      <c r="S1338" s="30" t="str">
        <f aca="false">IF(Q1338&lt;判定条件!$C$6,"判定不能",IF(R1338&gt;=判定条件!$C$7*Q1338,"運転",IF(R1338&lt;=判定条件!$C$8*Q1338,"停止","断続")))</f>
        <v>断続</v>
      </c>
      <c r="T1338" s="30" t="n">
        <v>60</v>
      </c>
      <c r="U1338" s="30" t="n">
        <v>9</v>
      </c>
      <c r="V1338" s="30" t="str">
        <f aca="false">IF(T1338&lt;判定条件!$C$6,"判定不能",IF(U1338&gt;=判定条件!$C$7*T1338,"運転",IF(U1338&lt;=判定条件!$C$8*T1338,"停止","断続")))</f>
        <v>停止</v>
      </c>
      <c r="W1338" s="30" t="n">
        <v>0</v>
      </c>
      <c r="X1338" s="30" t="n">
        <v>0</v>
      </c>
      <c r="Y1338" s="30" t="str">
        <f aca="false">IF(W1338&lt;判定条件!$C$6,"判定不能",IF(X1338&gt;=判定条件!$C$7*W1338,"運転",IF(X1338&lt;=判定条件!$C$8*W1338,"停止","断続")))</f>
        <v>判定不能</v>
      </c>
      <c r="Z1338" s="30" t="n">
        <v>0</v>
      </c>
      <c r="AA1338" s="30" t="n">
        <v>0</v>
      </c>
      <c r="AB1338" s="30" t="str">
        <f aca="false">IF(Z1338&lt;判定条件!$C$6,"判定不能",IF(AA1338&gt;=判定条件!$C$7*Z1338,"運転",IF(AA1338&lt;=判定条件!$C$8*Z1338,"停止","断続")))</f>
        <v>判定不能</v>
      </c>
      <c r="AC1338" s="30" t="n">
        <v>0</v>
      </c>
      <c r="AD1338" s="30" t="n">
        <v>0</v>
      </c>
      <c r="AE1338" s="30" t="str">
        <f aca="false">IF(AC1338&lt;判定条件!$C$6,"判定不能",IF(AD1338&gt;=判定条件!$C$7*AC1338,"運転",IF(AD1338&lt;=判定条件!$C$8*AC1338,"停止","断続")))</f>
        <v>判定不能</v>
      </c>
      <c r="AF1338" s="30" t="n">
        <v>60</v>
      </c>
      <c r="AG1338" s="30" t="n">
        <v>21</v>
      </c>
      <c r="AH1338" s="30" t="str">
        <f aca="false">IF(OR(P1338="判定不能",G1338="判定不能"),"判定不能",IF(AG1338&gt;=判定条件!$C$9,"利用可",IF(AND(P1338="停止",G1338="停止"),"両方停止","運転がそろわない")))</f>
        <v>運転がそろわない</v>
      </c>
      <c r="AI1338" s="30" t="n">
        <v>60</v>
      </c>
      <c r="AJ1338" s="30" t="n">
        <v>14</v>
      </c>
      <c r="AK1338" s="30" t="str">
        <f aca="false">IF(OR(S1338="判定不能",J1338="判定不能"),"判定不能",IF(AJ1338&gt;=判定条件!$C$9,"利用可",IF(AND(S1338="停止",J1338="停止"),"両方停止","運転がそろわない")))</f>
        <v>運転がそろわない</v>
      </c>
      <c r="AL1338" s="30" t="n">
        <v>60</v>
      </c>
      <c r="AM1338" s="30" t="n">
        <v>9</v>
      </c>
      <c r="AN1338" s="30" t="str">
        <f aca="false">IF(OR(V1338="判定不能",M1338="判定不能"),"判定不能",IF(AM1338&gt;=判定条件!$C$9,"利用可",IF(AND(V1338="停止",M1338="停止"),"両方停止","運転がそろわない")))</f>
        <v>運転がそろわない</v>
      </c>
      <c r="AO1338" s="30" t="n">
        <v>0</v>
      </c>
      <c r="AP1338" s="30" t="n">
        <v>0</v>
      </c>
      <c r="AQ1338" s="30" t="str">
        <f aca="false">IF(OR(Y1338="判定不能",G1338="判定不能"),"判定不能",IF(AP1338&gt;=判定条件!$C$9,"利用可",IF(AND(Y1338="停止",G1338="停止"),"両方停止","運転がそろわない")))</f>
        <v>判定不能</v>
      </c>
      <c r="AR1338" s="30" t="n">
        <v>0</v>
      </c>
      <c r="AS1338" s="30" t="n">
        <v>0</v>
      </c>
      <c r="AT1338" s="30" t="str">
        <f aca="false">IF(OR(AB1338="判定不能",J1338="判定不能"),"判定不能",IF(AS1338&gt;=判定条件!$C$9,"利用可",IF(AND(AB1338="停止",J1338="停止"),"両方停止","運転がそろわない")))</f>
        <v>判定不能</v>
      </c>
      <c r="AU1338" s="30" t="n">
        <v>0</v>
      </c>
      <c r="AV1338" s="30" t="n">
        <v>0</v>
      </c>
      <c r="AW1338" s="30" t="str">
        <f aca="false">IF(OR(AE1338="判定不能",M1338="判定不能"),"判定不能",IF(AV1338&gt;=判定条件!$C$9,"利用可",IF(AND(AE1338="停止",M1338="停止"),"両方停止","運転がそろわない")))</f>
        <v>判定不能</v>
      </c>
      <c r="AX1338" s="30" t="str">
        <f aca="false">IF(AND(AH1338="利用可",AK1338="利用可",AN1338="利用可"),"利用可","不可")</f>
        <v>不可</v>
      </c>
      <c r="AY1338" s="30" t="str">
        <f aca="false">IF(AND(AQ1338="利用可",AT1338="利用可",AW1338="利用可"),"利用可","不可")</f>
        <v>不可</v>
      </c>
    </row>
    <row r="1339" customFormat="false" ht="15" hidden="false" customHeight="false" outlineLevel="0" collapsed="false">
      <c r="A1339" s="29" t="n">
        <v>46287</v>
      </c>
      <c r="B1339" s="30" t="n">
        <v>16</v>
      </c>
      <c r="C1339" s="31" t="s">
        <v>67</v>
      </c>
      <c r="D1339" s="31" t="s">
        <v>101</v>
      </c>
      <c r="E1339" s="30" t="n">
        <v>60</v>
      </c>
      <c r="F1339" s="30" t="n">
        <v>60</v>
      </c>
      <c r="G1339" s="30" t="str">
        <f aca="false">IF(E1339&lt;判定条件!$C$6,"判定不能",IF(F1339&gt;=判定条件!$C$7*E1339,"運転",IF(F1339&lt;=判定条件!$C$8*E1339,"停止","断続")))</f>
        <v>運転</v>
      </c>
      <c r="H1339" s="30" t="n">
        <v>60</v>
      </c>
      <c r="I1339" s="30" t="n">
        <v>60</v>
      </c>
      <c r="J1339" s="30" t="str">
        <f aca="false">IF(H1339&lt;判定条件!$C$6,"判定不能",IF(I1339&gt;=判定条件!$C$7*H1339,"運転",IF(I1339&lt;=判定条件!$C$8*H1339,"停止","断続")))</f>
        <v>運転</v>
      </c>
      <c r="K1339" s="30" t="n">
        <v>60</v>
      </c>
      <c r="L1339" s="30" t="n">
        <v>60</v>
      </c>
      <c r="M1339" s="30" t="str">
        <f aca="false">IF(K1339&lt;判定条件!$C$6,"判定不能",IF(L1339&gt;=判定条件!$C$7*K1339,"運転",IF(L1339&lt;=判定条件!$C$8*K1339,"停止","断続")))</f>
        <v>運転</v>
      </c>
      <c r="N1339" s="30" t="n">
        <v>60</v>
      </c>
      <c r="O1339" s="30" t="n">
        <v>28</v>
      </c>
      <c r="P1339" s="30" t="str">
        <f aca="false">IF(N1339&lt;判定条件!$C$6,"判定不能",IF(O1339&gt;=判定条件!$C$7*N1339,"運転",IF(O1339&lt;=判定条件!$C$8*N1339,"停止","断続")))</f>
        <v>断続</v>
      </c>
      <c r="Q1339" s="30" t="n">
        <v>60</v>
      </c>
      <c r="R1339" s="30" t="n">
        <v>0</v>
      </c>
      <c r="S1339" s="30" t="str">
        <f aca="false">IF(Q1339&lt;判定条件!$C$6,"判定不能",IF(R1339&gt;=判定条件!$C$7*Q1339,"運転",IF(R1339&lt;=判定条件!$C$8*Q1339,"停止","断続")))</f>
        <v>停止</v>
      </c>
      <c r="T1339" s="30" t="n">
        <v>60</v>
      </c>
      <c r="U1339" s="30" t="n">
        <v>0</v>
      </c>
      <c r="V1339" s="30" t="str">
        <f aca="false">IF(T1339&lt;判定条件!$C$6,"判定不能",IF(U1339&gt;=判定条件!$C$7*T1339,"運転",IF(U1339&lt;=判定条件!$C$8*T1339,"停止","断続")))</f>
        <v>停止</v>
      </c>
      <c r="W1339" s="30" t="n">
        <v>0</v>
      </c>
      <c r="X1339" s="30" t="n">
        <v>0</v>
      </c>
      <c r="Y1339" s="30" t="str">
        <f aca="false">IF(W1339&lt;判定条件!$C$6,"判定不能",IF(X1339&gt;=判定条件!$C$7*W1339,"運転",IF(X1339&lt;=判定条件!$C$8*W1339,"停止","断続")))</f>
        <v>判定不能</v>
      </c>
      <c r="Z1339" s="30" t="n">
        <v>0</v>
      </c>
      <c r="AA1339" s="30" t="n">
        <v>0</v>
      </c>
      <c r="AB1339" s="30" t="str">
        <f aca="false">IF(Z1339&lt;判定条件!$C$6,"判定不能",IF(AA1339&gt;=判定条件!$C$7*Z1339,"運転",IF(AA1339&lt;=判定条件!$C$8*Z1339,"停止","断続")))</f>
        <v>判定不能</v>
      </c>
      <c r="AC1339" s="30" t="n">
        <v>0</v>
      </c>
      <c r="AD1339" s="30" t="n">
        <v>0</v>
      </c>
      <c r="AE1339" s="30" t="str">
        <f aca="false">IF(AC1339&lt;判定条件!$C$6,"判定不能",IF(AD1339&gt;=判定条件!$C$7*AC1339,"運転",IF(AD1339&lt;=判定条件!$C$8*AC1339,"停止","断続")))</f>
        <v>判定不能</v>
      </c>
      <c r="AF1339" s="30" t="n">
        <v>60</v>
      </c>
      <c r="AG1339" s="30" t="n">
        <v>28</v>
      </c>
      <c r="AH1339" s="30" t="str">
        <f aca="false">IF(OR(P1339="判定不能",G1339="判定不能"),"判定不能",IF(AG1339&gt;=判定条件!$C$9,"利用可",IF(AND(P1339="停止",G1339="停止"),"両方停止","運転がそろわない")))</f>
        <v>運転がそろわない</v>
      </c>
      <c r="AI1339" s="30" t="n">
        <v>60</v>
      </c>
      <c r="AJ1339" s="30" t="n">
        <v>0</v>
      </c>
      <c r="AK1339" s="30" t="str">
        <f aca="false">IF(OR(S1339="判定不能",J1339="判定不能"),"判定不能",IF(AJ1339&gt;=判定条件!$C$9,"利用可",IF(AND(S1339="停止",J1339="停止"),"両方停止","運転がそろわない")))</f>
        <v>運転がそろわない</v>
      </c>
      <c r="AL1339" s="30" t="n">
        <v>60</v>
      </c>
      <c r="AM1339" s="30" t="n">
        <v>0</v>
      </c>
      <c r="AN1339" s="30" t="str">
        <f aca="false">IF(OR(V1339="判定不能",M1339="判定不能"),"判定不能",IF(AM1339&gt;=判定条件!$C$9,"利用可",IF(AND(V1339="停止",M1339="停止"),"両方停止","運転がそろわない")))</f>
        <v>運転がそろわない</v>
      </c>
      <c r="AO1339" s="30" t="n">
        <v>0</v>
      </c>
      <c r="AP1339" s="30" t="n">
        <v>0</v>
      </c>
      <c r="AQ1339" s="30" t="str">
        <f aca="false">IF(OR(Y1339="判定不能",G1339="判定不能"),"判定不能",IF(AP1339&gt;=判定条件!$C$9,"利用可",IF(AND(Y1339="停止",G1339="停止"),"両方停止","運転がそろわない")))</f>
        <v>判定不能</v>
      </c>
      <c r="AR1339" s="30" t="n">
        <v>0</v>
      </c>
      <c r="AS1339" s="30" t="n">
        <v>0</v>
      </c>
      <c r="AT1339" s="30" t="str">
        <f aca="false">IF(OR(AB1339="判定不能",J1339="判定不能"),"判定不能",IF(AS1339&gt;=判定条件!$C$9,"利用可",IF(AND(AB1339="停止",J1339="停止"),"両方停止","運転がそろわない")))</f>
        <v>判定不能</v>
      </c>
      <c r="AU1339" s="30" t="n">
        <v>0</v>
      </c>
      <c r="AV1339" s="30" t="n">
        <v>0</v>
      </c>
      <c r="AW1339" s="30" t="str">
        <f aca="false">IF(OR(AE1339="判定不能",M1339="判定不能"),"判定不能",IF(AV1339&gt;=判定条件!$C$9,"利用可",IF(AND(AE1339="停止",M1339="停止"),"両方停止","運転がそろわない")))</f>
        <v>判定不能</v>
      </c>
      <c r="AX1339" s="30" t="str">
        <f aca="false">IF(AND(AH1339="利用可",AK1339="利用可",AN1339="利用可"),"利用可","不可")</f>
        <v>不可</v>
      </c>
      <c r="AY1339" s="30" t="str">
        <f aca="false">IF(AND(AQ1339="利用可",AT1339="利用可",AW1339="利用可"),"利用可","不可")</f>
        <v>不可</v>
      </c>
    </row>
    <row r="1340" customFormat="false" ht="15" hidden="false" customHeight="false" outlineLevel="0" collapsed="false">
      <c r="A1340" s="29" t="n">
        <v>46287</v>
      </c>
      <c r="B1340" s="30" t="n">
        <v>17</v>
      </c>
      <c r="C1340" s="31" t="s">
        <v>67</v>
      </c>
      <c r="D1340" s="31" t="s">
        <v>101</v>
      </c>
      <c r="E1340" s="30" t="n">
        <v>60</v>
      </c>
      <c r="F1340" s="30" t="n">
        <v>60</v>
      </c>
      <c r="G1340" s="30" t="str">
        <f aca="false">IF(E1340&lt;判定条件!$C$6,"判定不能",IF(F1340&gt;=判定条件!$C$7*E1340,"運転",IF(F1340&lt;=判定条件!$C$8*E1340,"停止","断続")))</f>
        <v>運転</v>
      </c>
      <c r="H1340" s="30" t="n">
        <v>60</v>
      </c>
      <c r="I1340" s="30" t="n">
        <v>60</v>
      </c>
      <c r="J1340" s="30" t="str">
        <f aca="false">IF(H1340&lt;判定条件!$C$6,"判定不能",IF(I1340&gt;=判定条件!$C$7*H1340,"運転",IF(I1340&lt;=判定条件!$C$8*H1340,"停止","断続")))</f>
        <v>運転</v>
      </c>
      <c r="K1340" s="30" t="n">
        <v>60</v>
      </c>
      <c r="L1340" s="30" t="n">
        <v>60</v>
      </c>
      <c r="M1340" s="30" t="str">
        <f aca="false">IF(K1340&lt;判定条件!$C$6,"判定不能",IF(L1340&gt;=判定条件!$C$7*K1340,"運転",IF(L1340&lt;=判定条件!$C$8*K1340,"停止","断続")))</f>
        <v>運転</v>
      </c>
      <c r="N1340" s="30" t="n">
        <v>60</v>
      </c>
      <c r="O1340" s="30" t="n">
        <v>46</v>
      </c>
      <c r="P1340" s="30" t="str">
        <f aca="false">IF(N1340&lt;判定条件!$C$6,"判定不能",IF(O1340&gt;=判定条件!$C$7*N1340,"運転",IF(O1340&lt;=判定条件!$C$8*N1340,"停止","断続")))</f>
        <v>断続</v>
      </c>
      <c r="Q1340" s="30" t="n">
        <v>60</v>
      </c>
      <c r="R1340" s="30" t="n">
        <v>0</v>
      </c>
      <c r="S1340" s="30" t="str">
        <f aca="false">IF(Q1340&lt;判定条件!$C$6,"判定不能",IF(R1340&gt;=判定条件!$C$7*Q1340,"運転",IF(R1340&lt;=判定条件!$C$8*Q1340,"停止","断続")))</f>
        <v>停止</v>
      </c>
      <c r="T1340" s="30" t="n">
        <v>60</v>
      </c>
      <c r="U1340" s="30" t="n">
        <v>0</v>
      </c>
      <c r="V1340" s="30" t="str">
        <f aca="false">IF(T1340&lt;判定条件!$C$6,"判定不能",IF(U1340&gt;=判定条件!$C$7*T1340,"運転",IF(U1340&lt;=判定条件!$C$8*T1340,"停止","断続")))</f>
        <v>停止</v>
      </c>
      <c r="W1340" s="30" t="n">
        <v>0</v>
      </c>
      <c r="X1340" s="30" t="n">
        <v>0</v>
      </c>
      <c r="Y1340" s="30" t="str">
        <f aca="false">IF(W1340&lt;判定条件!$C$6,"判定不能",IF(X1340&gt;=判定条件!$C$7*W1340,"運転",IF(X1340&lt;=判定条件!$C$8*W1340,"停止","断続")))</f>
        <v>判定不能</v>
      </c>
      <c r="Z1340" s="30" t="n">
        <v>0</v>
      </c>
      <c r="AA1340" s="30" t="n">
        <v>0</v>
      </c>
      <c r="AB1340" s="30" t="str">
        <f aca="false">IF(Z1340&lt;判定条件!$C$6,"判定不能",IF(AA1340&gt;=判定条件!$C$7*Z1340,"運転",IF(AA1340&lt;=判定条件!$C$8*Z1340,"停止","断続")))</f>
        <v>判定不能</v>
      </c>
      <c r="AC1340" s="30" t="n">
        <v>0</v>
      </c>
      <c r="AD1340" s="30" t="n">
        <v>0</v>
      </c>
      <c r="AE1340" s="30" t="str">
        <f aca="false">IF(AC1340&lt;判定条件!$C$6,"判定不能",IF(AD1340&gt;=判定条件!$C$7*AC1340,"運転",IF(AD1340&lt;=判定条件!$C$8*AC1340,"停止","断続")))</f>
        <v>判定不能</v>
      </c>
      <c r="AF1340" s="30" t="n">
        <v>60</v>
      </c>
      <c r="AG1340" s="30" t="n">
        <v>46</v>
      </c>
      <c r="AH1340" s="30" t="str">
        <f aca="false">IF(OR(P1340="判定不能",G1340="判定不能"),"判定不能",IF(AG1340&gt;=判定条件!$C$9,"利用可",IF(AND(P1340="停止",G1340="停止"),"両方停止","運転がそろわない")))</f>
        <v>利用可</v>
      </c>
      <c r="AI1340" s="30" t="n">
        <v>60</v>
      </c>
      <c r="AJ1340" s="30" t="n">
        <v>0</v>
      </c>
      <c r="AK1340" s="30" t="str">
        <f aca="false">IF(OR(S1340="判定不能",J1340="判定不能"),"判定不能",IF(AJ1340&gt;=判定条件!$C$9,"利用可",IF(AND(S1340="停止",J1340="停止"),"両方停止","運転がそろわない")))</f>
        <v>運転がそろわない</v>
      </c>
      <c r="AL1340" s="30" t="n">
        <v>60</v>
      </c>
      <c r="AM1340" s="30" t="n">
        <v>0</v>
      </c>
      <c r="AN1340" s="30" t="str">
        <f aca="false">IF(OR(V1340="判定不能",M1340="判定不能"),"判定不能",IF(AM1340&gt;=判定条件!$C$9,"利用可",IF(AND(V1340="停止",M1340="停止"),"両方停止","運転がそろわない")))</f>
        <v>運転がそろわない</v>
      </c>
      <c r="AO1340" s="30" t="n">
        <v>0</v>
      </c>
      <c r="AP1340" s="30" t="n">
        <v>0</v>
      </c>
      <c r="AQ1340" s="30" t="str">
        <f aca="false">IF(OR(Y1340="判定不能",G1340="判定不能"),"判定不能",IF(AP1340&gt;=判定条件!$C$9,"利用可",IF(AND(Y1340="停止",G1340="停止"),"両方停止","運転がそろわない")))</f>
        <v>判定不能</v>
      </c>
      <c r="AR1340" s="30" t="n">
        <v>0</v>
      </c>
      <c r="AS1340" s="30" t="n">
        <v>0</v>
      </c>
      <c r="AT1340" s="30" t="str">
        <f aca="false">IF(OR(AB1340="判定不能",J1340="判定不能"),"判定不能",IF(AS1340&gt;=判定条件!$C$9,"利用可",IF(AND(AB1340="停止",J1340="停止"),"両方停止","運転がそろわない")))</f>
        <v>判定不能</v>
      </c>
      <c r="AU1340" s="30" t="n">
        <v>0</v>
      </c>
      <c r="AV1340" s="30" t="n">
        <v>0</v>
      </c>
      <c r="AW1340" s="30" t="str">
        <f aca="false">IF(OR(AE1340="判定不能",M1340="判定不能"),"判定不能",IF(AV1340&gt;=判定条件!$C$9,"利用可",IF(AND(AE1340="停止",M1340="停止"),"両方停止","運転がそろわない")))</f>
        <v>判定不能</v>
      </c>
      <c r="AX1340" s="30" t="str">
        <f aca="false">IF(AND(AH1340="利用可",AK1340="利用可",AN1340="利用可"),"利用可","不可")</f>
        <v>不可</v>
      </c>
      <c r="AY1340" s="30" t="str">
        <f aca="false">IF(AND(AQ1340="利用可",AT1340="利用可",AW1340="利用可"),"利用可","不可")</f>
        <v>不可</v>
      </c>
    </row>
    <row r="1341" customFormat="false" ht="15" hidden="false" customHeight="false" outlineLevel="0" collapsed="false">
      <c r="A1341" s="29" t="n">
        <v>46287</v>
      </c>
      <c r="B1341" s="30" t="n">
        <v>18</v>
      </c>
      <c r="C1341" s="31" t="s">
        <v>67</v>
      </c>
      <c r="D1341" s="31" t="s">
        <v>101</v>
      </c>
      <c r="E1341" s="30" t="n">
        <v>60</v>
      </c>
      <c r="F1341" s="30" t="n">
        <v>60</v>
      </c>
      <c r="G1341" s="30" t="str">
        <f aca="false">IF(E1341&lt;判定条件!$C$6,"判定不能",IF(F1341&gt;=判定条件!$C$7*E1341,"運転",IF(F1341&lt;=判定条件!$C$8*E1341,"停止","断続")))</f>
        <v>運転</v>
      </c>
      <c r="H1341" s="30" t="n">
        <v>60</v>
      </c>
      <c r="I1341" s="30" t="n">
        <v>60</v>
      </c>
      <c r="J1341" s="30" t="str">
        <f aca="false">IF(H1341&lt;判定条件!$C$6,"判定不能",IF(I1341&gt;=判定条件!$C$7*H1341,"運転",IF(I1341&lt;=判定条件!$C$8*H1341,"停止","断続")))</f>
        <v>運転</v>
      </c>
      <c r="K1341" s="30" t="n">
        <v>60</v>
      </c>
      <c r="L1341" s="30" t="n">
        <v>60</v>
      </c>
      <c r="M1341" s="30" t="str">
        <f aca="false">IF(K1341&lt;判定条件!$C$6,"判定不能",IF(L1341&gt;=判定条件!$C$7*K1341,"運転",IF(L1341&lt;=判定条件!$C$8*K1341,"停止","断続")))</f>
        <v>運転</v>
      </c>
      <c r="N1341" s="30" t="n">
        <v>60</v>
      </c>
      <c r="O1341" s="30" t="n">
        <v>1</v>
      </c>
      <c r="P1341" s="30" t="str">
        <f aca="false">IF(N1341&lt;判定条件!$C$6,"判定不能",IF(O1341&gt;=判定条件!$C$7*N1341,"運転",IF(O1341&lt;=判定条件!$C$8*N1341,"停止","断続")))</f>
        <v>停止</v>
      </c>
      <c r="Q1341" s="30" t="n">
        <v>60</v>
      </c>
      <c r="R1341" s="30" t="n">
        <v>0</v>
      </c>
      <c r="S1341" s="30" t="str">
        <f aca="false">IF(Q1341&lt;判定条件!$C$6,"判定不能",IF(R1341&gt;=判定条件!$C$7*Q1341,"運転",IF(R1341&lt;=判定条件!$C$8*Q1341,"停止","断続")))</f>
        <v>停止</v>
      </c>
      <c r="T1341" s="30" t="n">
        <v>60</v>
      </c>
      <c r="U1341" s="30" t="n">
        <v>0</v>
      </c>
      <c r="V1341" s="30" t="str">
        <f aca="false">IF(T1341&lt;判定条件!$C$6,"判定不能",IF(U1341&gt;=判定条件!$C$7*T1341,"運転",IF(U1341&lt;=判定条件!$C$8*T1341,"停止","断続")))</f>
        <v>停止</v>
      </c>
      <c r="W1341" s="30" t="n">
        <v>0</v>
      </c>
      <c r="X1341" s="30" t="n">
        <v>0</v>
      </c>
      <c r="Y1341" s="30" t="str">
        <f aca="false">IF(W1341&lt;判定条件!$C$6,"判定不能",IF(X1341&gt;=判定条件!$C$7*W1341,"運転",IF(X1341&lt;=判定条件!$C$8*W1341,"停止","断続")))</f>
        <v>判定不能</v>
      </c>
      <c r="Z1341" s="30" t="n">
        <v>0</v>
      </c>
      <c r="AA1341" s="30" t="n">
        <v>0</v>
      </c>
      <c r="AB1341" s="30" t="str">
        <f aca="false">IF(Z1341&lt;判定条件!$C$6,"判定不能",IF(AA1341&gt;=判定条件!$C$7*Z1341,"運転",IF(AA1341&lt;=判定条件!$C$8*Z1341,"停止","断続")))</f>
        <v>判定不能</v>
      </c>
      <c r="AC1341" s="30" t="n">
        <v>0</v>
      </c>
      <c r="AD1341" s="30" t="n">
        <v>0</v>
      </c>
      <c r="AE1341" s="30" t="str">
        <f aca="false">IF(AC1341&lt;判定条件!$C$6,"判定不能",IF(AD1341&gt;=判定条件!$C$7*AC1341,"運転",IF(AD1341&lt;=判定条件!$C$8*AC1341,"停止","断続")))</f>
        <v>判定不能</v>
      </c>
      <c r="AF1341" s="30" t="n">
        <v>60</v>
      </c>
      <c r="AG1341" s="30" t="n">
        <v>1</v>
      </c>
      <c r="AH1341" s="30" t="str">
        <f aca="false">IF(OR(P1341="判定不能",G1341="判定不能"),"判定不能",IF(AG1341&gt;=判定条件!$C$9,"利用可",IF(AND(P1341="停止",G1341="停止"),"両方停止","運転がそろわない")))</f>
        <v>運転がそろわない</v>
      </c>
      <c r="AI1341" s="30" t="n">
        <v>60</v>
      </c>
      <c r="AJ1341" s="30" t="n">
        <v>0</v>
      </c>
      <c r="AK1341" s="30" t="str">
        <f aca="false">IF(OR(S1341="判定不能",J1341="判定不能"),"判定不能",IF(AJ1341&gt;=判定条件!$C$9,"利用可",IF(AND(S1341="停止",J1341="停止"),"両方停止","運転がそろわない")))</f>
        <v>運転がそろわない</v>
      </c>
      <c r="AL1341" s="30" t="n">
        <v>60</v>
      </c>
      <c r="AM1341" s="30" t="n">
        <v>0</v>
      </c>
      <c r="AN1341" s="30" t="str">
        <f aca="false">IF(OR(V1341="判定不能",M1341="判定不能"),"判定不能",IF(AM1341&gt;=判定条件!$C$9,"利用可",IF(AND(V1341="停止",M1341="停止"),"両方停止","運転がそろわない")))</f>
        <v>運転がそろわない</v>
      </c>
      <c r="AO1341" s="30" t="n">
        <v>0</v>
      </c>
      <c r="AP1341" s="30" t="n">
        <v>0</v>
      </c>
      <c r="AQ1341" s="30" t="str">
        <f aca="false">IF(OR(Y1341="判定不能",G1341="判定不能"),"判定不能",IF(AP1341&gt;=判定条件!$C$9,"利用可",IF(AND(Y1341="停止",G1341="停止"),"両方停止","運転がそろわない")))</f>
        <v>判定不能</v>
      </c>
      <c r="AR1341" s="30" t="n">
        <v>0</v>
      </c>
      <c r="AS1341" s="30" t="n">
        <v>0</v>
      </c>
      <c r="AT1341" s="30" t="str">
        <f aca="false">IF(OR(AB1341="判定不能",J1341="判定不能"),"判定不能",IF(AS1341&gt;=判定条件!$C$9,"利用可",IF(AND(AB1341="停止",J1341="停止"),"両方停止","運転がそろわない")))</f>
        <v>判定不能</v>
      </c>
      <c r="AU1341" s="30" t="n">
        <v>0</v>
      </c>
      <c r="AV1341" s="30" t="n">
        <v>0</v>
      </c>
      <c r="AW1341" s="30" t="str">
        <f aca="false">IF(OR(AE1341="判定不能",M1341="判定不能"),"判定不能",IF(AV1341&gt;=判定条件!$C$9,"利用可",IF(AND(AE1341="停止",M1341="停止"),"両方停止","運転がそろわない")))</f>
        <v>判定不能</v>
      </c>
      <c r="AX1341" s="30" t="str">
        <f aca="false">IF(AND(AH1341="利用可",AK1341="利用可",AN1341="利用可"),"利用可","不可")</f>
        <v>不可</v>
      </c>
      <c r="AY1341" s="30" t="str">
        <f aca="false">IF(AND(AQ1341="利用可",AT1341="利用可",AW1341="利用可"),"利用可","不可")</f>
        <v>不可</v>
      </c>
    </row>
    <row r="1342" customFormat="false" ht="15" hidden="false" customHeight="false" outlineLevel="0" collapsed="false">
      <c r="A1342" s="29" t="n">
        <v>46287</v>
      </c>
      <c r="B1342" s="30" t="n">
        <v>19</v>
      </c>
      <c r="C1342" s="31" t="s">
        <v>67</v>
      </c>
      <c r="D1342" s="31" t="s">
        <v>101</v>
      </c>
      <c r="E1342" s="30" t="n">
        <v>60</v>
      </c>
      <c r="F1342" s="30" t="n">
        <v>60</v>
      </c>
      <c r="G1342" s="30" t="str">
        <f aca="false">IF(E1342&lt;判定条件!$C$6,"判定不能",IF(F1342&gt;=判定条件!$C$7*E1342,"運転",IF(F1342&lt;=判定条件!$C$8*E1342,"停止","断続")))</f>
        <v>運転</v>
      </c>
      <c r="H1342" s="30" t="n">
        <v>60</v>
      </c>
      <c r="I1342" s="30" t="n">
        <v>60</v>
      </c>
      <c r="J1342" s="30" t="str">
        <f aca="false">IF(H1342&lt;判定条件!$C$6,"判定不能",IF(I1342&gt;=判定条件!$C$7*H1342,"運転",IF(I1342&lt;=判定条件!$C$8*H1342,"停止","断続")))</f>
        <v>運転</v>
      </c>
      <c r="K1342" s="30" t="n">
        <v>60</v>
      </c>
      <c r="L1342" s="30" t="n">
        <v>55</v>
      </c>
      <c r="M1342" s="30" t="str">
        <f aca="false">IF(K1342&lt;判定条件!$C$6,"判定不能",IF(L1342&gt;=判定条件!$C$7*K1342,"運転",IF(L1342&lt;=判定条件!$C$8*K1342,"停止","断続")))</f>
        <v>運転</v>
      </c>
      <c r="N1342" s="30" t="n">
        <v>60</v>
      </c>
      <c r="O1342" s="30" t="n">
        <v>0</v>
      </c>
      <c r="P1342" s="30" t="str">
        <f aca="false">IF(N1342&lt;判定条件!$C$6,"判定不能",IF(O1342&gt;=判定条件!$C$7*N1342,"運転",IF(O1342&lt;=判定条件!$C$8*N1342,"停止","断続")))</f>
        <v>停止</v>
      </c>
      <c r="Q1342" s="30" t="n">
        <v>60</v>
      </c>
      <c r="R1342" s="30" t="n">
        <v>0</v>
      </c>
      <c r="S1342" s="30" t="str">
        <f aca="false">IF(Q1342&lt;判定条件!$C$6,"判定不能",IF(R1342&gt;=判定条件!$C$7*Q1342,"運転",IF(R1342&lt;=判定条件!$C$8*Q1342,"停止","断続")))</f>
        <v>停止</v>
      </c>
      <c r="T1342" s="30" t="n">
        <v>60</v>
      </c>
      <c r="U1342" s="30" t="n">
        <v>0</v>
      </c>
      <c r="V1342" s="30" t="str">
        <f aca="false">IF(T1342&lt;判定条件!$C$6,"判定不能",IF(U1342&gt;=判定条件!$C$7*T1342,"運転",IF(U1342&lt;=判定条件!$C$8*T1342,"停止","断続")))</f>
        <v>停止</v>
      </c>
      <c r="W1342" s="30" t="n">
        <v>0</v>
      </c>
      <c r="X1342" s="30" t="n">
        <v>0</v>
      </c>
      <c r="Y1342" s="30" t="str">
        <f aca="false">IF(W1342&lt;判定条件!$C$6,"判定不能",IF(X1342&gt;=判定条件!$C$7*W1342,"運転",IF(X1342&lt;=判定条件!$C$8*W1342,"停止","断続")))</f>
        <v>判定不能</v>
      </c>
      <c r="Z1342" s="30" t="n">
        <v>0</v>
      </c>
      <c r="AA1342" s="30" t="n">
        <v>0</v>
      </c>
      <c r="AB1342" s="30" t="str">
        <f aca="false">IF(Z1342&lt;判定条件!$C$6,"判定不能",IF(AA1342&gt;=判定条件!$C$7*Z1342,"運転",IF(AA1342&lt;=判定条件!$C$8*Z1342,"停止","断続")))</f>
        <v>判定不能</v>
      </c>
      <c r="AC1342" s="30" t="n">
        <v>0</v>
      </c>
      <c r="AD1342" s="30" t="n">
        <v>0</v>
      </c>
      <c r="AE1342" s="30" t="str">
        <f aca="false">IF(AC1342&lt;判定条件!$C$6,"判定不能",IF(AD1342&gt;=判定条件!$C$7*AC1342,"運転",IF(AD1342&lt;=判定条件!$C$8*AC1342,"停止","断続")))</f>
        <v>判定不能</v>
      </c>
      <c r="AF1342" s="30" t="n">
        <v>60</v>
      </c>
      <c r="AG1342" s="30" t="n">
        <v>0</v>
      </c>
      <c r="AH1342" s="30" t="str">
        <f aca="false">IF(OR(P1342="判定不能",G1342="判定不能"),"判定不能",IF(AG1342&gt;=判定条件!$C$9,"利用可",IF(AND(P1342="停止",G1342="停止"),"両方停止","運転がそろわない")))</f>
        <v>運転がそろわない</v>
      </c>
      <c r="AI1342" s="30" t="n">
        <v>60</v>
      </c>
      <c r="AJ1342" s="30" t="n">
        <v>0</v>
      </c>
      <c r="AK1342" s="30" t="str">
        <f aca="false">IF(OR(S1342="判定不能",J1342="判定不能"),"判定不能",IF(AJ1342&gt;=判定条件!$C$9,"利用可",IF(AND(S1342="停止",J1342="停止"),"両方停止","運転がそろわない")))</f>
        <v>運転がそろわない</v>
      </c>
      <c r="AL1342" s="30" t="n">
        <v>60</v>
      </c>
      <c r="AM1342" s="30" t="n">
        <v>0</v>
      </c>
      <c r="AN1342" s="30" t="str">
        <f aca="false">IF(OR(V1342="判定不能",M1342="判定不能"),"判定不能",IF(AM1342&gt;=判定条件!$C$9,"利用可",IF(AND(V1342="停止",M1342="停止"),"両方停止","運転がそろわない")))</f>
        <v>運転がそろわない</v>
      </c>
      <c r="AO1342" s="30" t="n">
        <v>0</v>
      </c>
      <c r="AP1342" s="30" t="n">
        <v>0</v>
      </c>
      <c r="AQ1342" s="30" t="str">
        <f aca="false">IF(OR(Y1342="判定不能",G1342="判定不能"),"判定不能",IF(AP1342&gt;=判定条件!$C$9,"利用可",IF(AND(Y1342="停止",G1342="停止"),"両方停止","運転がそろわない")))</f>
        <v>判定不能</v>
      </c>
      <c r="AR1342" s="30" t="n">
        <v>0</v>
      </c>
      <c r="AS1342" s="30" t="n">
        <v>0</v>
      </c>
      <c r="AT1342" s="30" t="str">
        <f aca="false">IF(OR(AB1342="判定不能",J1342="判定不能"),"判定不能",IF(AS1342&gt;=判定条件!$C$9,"利用可",IF(AND(AB1342="停止",J1342="停止"),"両方停止","運転がそろわない")))</f>
        <v>判定不能</v>
      </c>
      <c r="AU1342" s="30" t="n">
        <v>0</v>
      </c>
      <c r="AV1342" s="30" t="n">
        <v>0</v>
      </c>
      <c r="AW1342" s="30" t="str">
        <f aca="false">IF(OR(AE1342="判定不能",M1342="判定不能"),"判定不能",IF(AV1342&gt;=判定条件!$C$9,"利用可",IF(AND(AE1342="停止",M1342="停止"),"両方停止","運転がそろわない")))</f>
        <v>判定不能</v>
      </c>
      <c r="AX1342" s="30" t="str">
        <f aca="false">IF(AND(AH1342="利用可",AK1342="利用可",AN1342="利用可"),"利用可","不可")</f>
        <v>不可</v>
      </c>
      <c r="AY1342" s="30" t="str">
        <f aca="false">IF(AND(AQ1342="利用可",AT1342="利用可",AW1342="利用可"),"利用可","不可")</f>
        <v>不可</v>
      </c>
    </row>
    <row r="1343" customFormat="false" ht="15" hidden="false" customHeight="false" outlineLevel="0" collapsed="false">
      <c r="A1343" s="29" t="n">
        <v>46287</v>
      </c>
      <c r="B1343" s="30" t="n">
        <v>20</v>
      </c>
      <c r="C1343" s="31" t="s">
        <v>67</v>
      </c>
      <c r="D1343" s="31" t="s">
        <v>101</v>
      </c>
      <c r="E1343" s="30" t="n">
        <v>60</v>
      </c>
      <c r="F1343" s="30" t="n">
        <v>56</v>
      </c>
      <c r="G1343" s="30" t="str">
        <f aca="false">IF(E1343&lt;判定条件!$C$6,"判定不能",IF(F1343&gt;=判定条件!$C$7*E1343,"運転",IF(F1343&lt;=判定条件!$C$8*E1343,"停止","断続")))</f>
        <v>運転</v>
      </c>
      <c r="H1343" s="30" t="n">
        <v>60</v>
      </c>
      <c r="I1343" s="30" t="n">
        <v>60</v>
      </c>
      <c r="J1343" s="30" t="str">
        <f aca="false">IF(H1343&lt;判定条件!$C$6,"判定不能",IF(I1343&gt;=判定条件!$C$7*H1343,"運転",IF(I1343&lt;=判定条件!$C$8*H1343,"停止","断続")))</f>
        <v>運転</v>
      </c>
      <c r="K1343" s="30" t="n">
        <v>60</v>
      </c>
      <c r="L1343" s="30" t="n">
        <v>55</v>
      </c>
      <c r="M1343" s="30" t="str">
        <f aca="false">IF(K1343&lt;判定条件!$C$6,"判定不能",IF(L1343&gt;=判定条件!$C$7*K1343,"運転",IF(L1343&lt;=判定条件!$C$8*K1343,"停止","断続")))</f>
        <v>運転</v>
      </c>
      <c r="N1343" s="30" t="n">
        <v>60</v>
      </c>
      <c r="O1343" s="30" t="n">
        <v>0</v>
      </c>
      <c r="P1343" s="30" t="str">
        <f aca="false">IF(N1343&lt;判定条件!$C$6,"判定不能",IF(O1343&gt;=判定条件!$C$7*N1343,"運転",IF(O1343&lt;=判定条件!$C$8*N1343,"停止","断続")))</f>
        <v>停止</v>
      </c>
      <c r="Q1343" s="30" t="n">
        <v>60</v>
      </c>
      <c r="R1343" s="30" t="n">
        <v>0</v>
      </c>
      <c r="S1343" s="30" t="str">
        <f aca="false">IF(Q1343&lt;判定条件!$C$6,"判定不能",IF(R1343&gt;=判定条件!$C$7*Q1343,"運転",IF(R1343&lt;=判定条件!$C$8*Q1343,"停止","断続")))</f>
        <v>停止</v>
      </c>
      <c r="T1343" s="30" t="n">
        <v>60</v>
      </c>
      <c r="U1343" s="30" t="n">
        <v>0</v>
      </c>
      <c r="V1343" s="30" t="str">
        <f aca="false">IF(T1343&lt;判定条件!$C$6,"判定不能",IF(U1343&gt;=判定条件!$C$7*T1343,"運転",IF(U1343&lt;=判定条件!$C$8*T1343,"停止","断続")))</f>
        <v>停止</v>
      </c>
      <c r="W1343" s="30" t="n">
        <v>0</v>
      </c>
      <c r="X1343" s="30" t="n">
        <v>0</v>
      </c>
      <c r="Y1343" s="30" t="str">
        <f aca="false">IF(W1343&lt;判定条件!$C$6,"判定不能",IF(X1343&gt;=判定条件!$C$7*W1343,"運転",IF(X1343&lt;=判定条件!$C$8*W1343,"停止","断続")))</f>
        <v>判定不能</v>
      </c>
      <c r="Z1343" s="30" t="n">
        <v>0</v>
      </c>
      <c r="AA1343" s="30" t="n">
        <v>0</v>
      </c>
      <c r="AB1343" s="30" t="str">
        <f aca="false">IF(Z1343&lt;判定条件!$C$6,"判定不能",IF(AA1343&gt;=判定条件!$C$7*Z1343,"運転",IF(AA1343&lt;=判定条件!$C$8*Z1343,"停止","断続")))</f>
        <v>判定不能</v>
      </c>
      <c r="AC1343" s="30" t="n">
        <v>0</v>
      </c>
      <c r="AD1343" s="30" t="n">
        <v>0</v>
      </c>
      <c r="AE1343" s="30" t="str">
        <f aca="false">IF(AC1343&lt;判定条件!$C$6,"判定不能",IF(AD1343&gt;=判定条件!$C$7*AC1343,"運転",IF(AD1343&lt;=判定条件!$C$8*AC1343,"停止","断続")))</f>
        <v>判定不能</v>
      </c>
      <c r="AF1343" s="30" t="n">
        <v>60</v>
      </c>
      <c r="AG1343" s="30" t="n">
        <v>0</v>
      </c>
      <c r="AH1343" s="30" t="str">
        <f aca="false">IF(OR(P1343="判定不能",G1343="判定不能"),"判定不能",IF(AG1343&gt;=判定条件!$C$9,"利用可",IF(AND(P1343="停止",G1343="停止"),"両方停止","運転がそろわない")))</f>
        <v>運転がそろわない</v>
      </c>
      <c r="AI1343" s="30" t="n">
        <v>60</v>
      </c>
      <c r="AJ1343" s="30" t="n">
        <v>0</v>
      </c>
      <c r="AK1343" s="30" t="str">
        <f aca="false">IF(OR(S1343="判定不能",J1343="判定不能"),"判定不能",IF(AJ1343&gt;=判定条件!$C$9,"利用可",IF(AND(S1343="停止",J1343="停止"),"両方停止","運転がそろわない")))</f>
        <v>運転がそろわない</v>
      </c>
      <c r="AL1343" s="30" t="n">
        <v>60</v>
      </c>
      <c r="AM1343" s="30" t="n">
        <v>0</v>
      </c>
      <c r="AN1343" s="30" t="str">
        <f aca="false">IF(OR(V1343="判定不能",M1343="判定不能"),"判定不能",IF(AM1343&gt;=判定条件!$C$9,"利用可",IF(AND(V1343="停止",M1343="停止"),"両方停止","運転がそろわない")))</f>
        <v>運転がそろわない</v>
      </c>
      <c r="AO1343" s="30" t="n">
        <v>0</v>
      </c>
      <c r="AP1343" s="30" t="n">
        <v>0</v>
      </c>
      <c r="AQ1343" s="30" t="str">
        <f aca="false">IF(OR(Y1343="判定不能",G1343="判定不能"),"判定不能",IF(AP1343&gt;=判定条件!$C$9,"利用可",IF(AND(Y1343="停止",G1343="停止"),"両方停止","運転がそろわない")))</f>
        <v>判定不能</v>
      </c>
      <c r="AR1343" s="30" t="n">
        <v>0</v>
      </c>
      <c r="AS1343" s="30" t="n">
        <v>0</v>
      </c>
      <c r="AT1343" s="30" t="str">
        <f aca="false">IF(OR(AB1343="判定不能",J1343="判定不能"),"判定不能",IF(AS1343&gt;=判定条件!$C$9,"利用可",IF(AND(AB1343="停止",J1343="停止"),"両方停止","運転がそろわない")))</f>
        <v>判定不能</v>
      </c>
      <c r="AU1343" s="30" t="n">
        <v>0</v>
      </c>
      <c r="AV1343" s="30" t="n">
        <v>0</v>
      </c>
      <c r="AW1343" s="30" t="str">
        <f aca="false">IF(OR(AE1343="判定不能",M1343="判定不能"),"判定不能",IF(AV1343&gt;=判定条件!$C$9,"利用可",IF(AND(AE1343="停止",M1343="停止"),"両方停止","運転がそろわない")))</f>
        <v>判定不能</v>
      </c>
      <c r="AX1343" s="30" t="str">
        <f aca="false">IF(AND(AH1343="利用可",AK1343="利用可",AN1343="利用可"),"利用可","不可")</f>
        <v>不可</v>
      </c>
      <c r="AY1343" s="30" t="str">
        <f aca="false">IF(AND(AQ1343="利用可",AT1343="利用可",AW1343="利用可"),"利用可","不可")</f>
        <v>不可</v>
      </c>
    </row>
    <row r="1344" customFormat="false" ht="15" hidden="false" customHeight="false" outlineLevel="0" collapsed="false">
      <c r="A1344" s="29" t="n">
        <v>46287</v>
      </c>
      <c r="B1344" s="30" t="n">
        <v>21</v>
      </c>
      <c r="C1344" s="31" t="s">
        <v>67</v>
      </c>
      <c r="D1344" s="31" t="s">
        <v>101</v>
      </c>
      <c r="E1344" s="30" t="n">
        <v>60</v>
      </c>
      <c r="F1344" s="30" t="n">
        <v>0</v>
      </c>
      <c r="G1344" s="30" t="str">
        <f aca="false">IF(E1344&lt;判定条件!$C$6,"判定不能",IF(F1344&gt;=判定条件!$C$7*E1344,"運転",IF(F1344&lt;=判定条件!$C$8*E1344,"停止","断続")))</f>
        <v>停止</v>
      </c>
      <c r="H1344" s="30" t="n">
        <v>60</v>
      </c>
      <c r="I1344" s="30" t="n">
        <v>1</v>
      </c>
      <c r="J1344" s="30" t="str">
        <f aca="false">IF(H1344&lt;判定条件!$C$6,"判定不能",IF(I1344&gt;=判定条件!$C$7*H1344,"運転",IF(I1344&lt;=判定条件!$C$8*H1344,"停止","断続")))</f>
        <v>停止</v>
      </c>
      <c r="K1344" s="30" t="n">
        <v>60</v>
      </c>
      <c r="L1344" s="30" t="n">
        <v>0</v>
      </c>
      <c r="M1344" s="30" t="str">
        <f aca="false">IF(K1344&lt;判定条件!$C$6,"判定不能",IF(L1344&gt;=判定条件!$C$7*K1344,"運転",IF(L1344&lt;=判定条件!$C$8*K1344,"停止","断続")))</f>
        <v>停止</v>
      </c>
      <c r="N1344" s="30" t="n">
        <v>60</v>
      </c>
      <c r="O1344" s="30" t="n">
        <v>0</v>
      </c>
      <c r="P1344" s="30" t="str">
        <f aca="false">IF(N1344&lt;判定条件!$C$6,"判定不能",IF(O1344&gt;=判定条件!$C$7*N1344,"運転",IF(O1344&lt;=判定条件!$C$8*N1344,"停止","断続")))</f>
        <v>停止</v>
      </c>
      <c r="Q1344" s="30" t="n">
        <v>60</v>
      </c>
      <c r="R1344" s="30" t="n">
        <v>0</v>
      </c>
      <c r="S1344" s="30" t="str">
        <f aca="false">IF(Q1344&lt;判定条件!$C$6,"判定不能",IF(R1344&gt;=判定条件!$C$7*Q1344,"運転",IF(R1344&lt;=判定条件!$C$8*Q1344,"停止","断続")))</f>
        <v>停止</v>
      </c>
      <c r="T1344" s="30" t="n">
        <v>60</v>
      </c>
      <c r="U1344" s="30" t="n">
        <v>0</v>
      </c>
      <c r="V1344" s="30" t="str">
        <f aca="false">IF(T1344&lt;判定条件!$C$6,"判定不能",IF(U1344&gt;=判定条件!$C$7*T1344,"運転",IF(U1344&lt;=判定条件!$C$8*T1344,"停止","断続")))</f>
        <v>停止</v>
      </c>
      <c r="W1344" s="30" t="n">
        <v>0</v>
      </c>
      <c r="X1344" s="30" t="n">
        <v>0</v>
      </c>
      <c r="Y1344" s="30" t="str">
        <f aca="false">IF(W1344&lt;判定条件!$C$6,"判定不能",IF(X1344&gt;=判定条件!$C$7*W1344,"運転",IF(X1344&lt;=判定条件!$C$8*W1344,"停止","断続")))</f>
        <v>判定不能</v>
      </c>
      <c r="Z1344" s="30" t="n">
        <v>0</v>
      </c>
      <c r="AA1344" s="30" t="n">
        <v>0</v>
      </c>
      <c r="AB1344" s="30" t="str">
        <f aca="false">IF(Z1344&lt;判定条件!$C$6,"判定不能",IF(AA1344&gt;=判定条件!$C$7*Z1344,"運転",IF(AA1344&lt;=判定条件!$C$8*Z1344,"停止","断続")))</f>
        <v>判定不能</v>
      </c>
      <c r="AC1344" s="30" t="n">
        <v>0</v>
      </c>
      <c r="AD1344" s="30" t="n">
        <v>0</v>
      </c>
      <c r="AE1344" s="30" t="str">
        <f aca="false">IF(AC1344&lt;判定条件!$C$6,"判定不能",IF(AD1344&gt;=判定条件!$C$7*AC1344,"運転",IF(AD1344&lt;=判定条件!$C$8*AC1344,"停止","断続")))</f>
        <v>判定不能</v>
      </c>
      <c r="AF1344" s="30" t="n">
        <v>60</v>
      </c>
      <c r="AG1344" s="30" t="n">
        <v>0</v>
      </c>
      <c r="AH1344" s="30" t="str">
        <f aca="false">IF(OR(P1344="判定不能",G1344="判定不能"),"判定不能",IF(AG1344&gt;=判定条件!$C$9,"利用可",IF(AND(P1344="停止",G1344="停止"),"両方停止","運転がそろわない")))</f>
        <v>両方停止</v>
      </c>
      <c r="AI1344" s="30" t="n">
        <v>60</v>
      </c>
      <c r="AJ1344" s="30" t="n">
        <v>0</v>
      </c>
      <c r="AK1344" s="30" t="str">
        <f aca="false">IF(OR(S1344="判定不能",J1344="判定不能"),"判定不能",IF(AJ1344&gt;=判定条件!$C$9,"利用可",IF(AND(S1344="停止",J1344="停止"),"両方停止","運転がそろわない")))</f>
        <v>両方停止</v>
      </c>
      <c r="AL1344" s="30" t="n">
        <v>60</v>
      </c>
      <c r="AM1344" s="30" t="n">
        <v>0</v>
      </c>
      <c r="AN1344" s="30" t="str">
        <f aca="false">IF(OR(V1344="判定不能",M1344="判定不能"),"判定不能",IF(AM1344&gt;=判定条件!$C$9,"利用可",IF(AND(V1344="停止",M1344="停止"),"両方停止","運転がそろわない")))</f>
        <v>両方停止</v>
      </c>
      <c r="AO1344" s="30" t="n">
        <v>0</v>
      </c>
      <c r="AP1344" s="30" t="n">
        <v>0</v>
      </c>
      <c r="AQ1344" s="30" t="str">
        <f aca="false">IF(OR(Y1344="判定不能",G1344="判定不能"),"判定不能",IF(AP1344&gt;=判定条件!$C$9,"利用可",IF(AND(Y1344="停止",G1344="停止"),"両方停止","運転がそろわない")))</f>
        <v>判定不能</v>
      </c>
      <c r="AR1344" s="30" t="n">
        <v>0</v>
      </c>
      <c r="AS1344" s="30" t="n">
        <v>0</v>
      </c>
      <c r="AT1344" s="30" t="str">
        <f aca="false">IF(OR(AB1344="判定不能",J1344="判定不能"),"判定不能",IF(AS1344&gt;=判定条件!$C$9,"利用可",IF(AND(AB1344="停止",J1344="停止"),"両方停止","運転がそろわない")))</f>
        <v>判定不能</v>
      </c>
      <c r="AU1344" s="30" t="n">
        <v>0</v>
      </c>
      <c r="AV1344" s="30" t="n">
        <v>0</v>
      </c>
      <c r="AW1344" s="30" t="str">
        <f aca="false">IF(OR(AE1344="判定不能",M1344="判定不能"),"判定不能",IF(AV1344&gt;=判定条件!$C$9,"利用可",IF(AND(AE1344="停止",M1344="停止"),"両方停止","運転がそろわない")))</f>
        <v>判定不能</v>
      </c>
      <c r="AX1344" s="30" t="str">
        <f aca="false">IF(AND(AH1344="利用可",AK1344="利用可",AN1344="利用可"),"利用可","不可")</f>
        <v>不可</v>
      </c>
      <c r="AY1344" s="30" t="str">
        <f aca="false">IF(AND(AQ1344="利用可",AT1344="利用可",AW1344="利用可"),"利用可","不可")</f>
        <v>不可</v>
      </c>
    </row>
    <row r="1345" customFormat="false" ht="15" hidden="false" customHeight="false" outlineLevel="0" collapsed="false">
      <c r="A1345" s="29" t="n">
        <v>46287</v>
      </c>
      <c r="B1345" s="30" t="n">
        <v>22</v>
      </c>
      <c r="C1345" s="31" t="s">
        <v>67</v>
      </c>
      <c r="D1345" s="31" t="s">
        <v>101</v>
      </c>
      <c r="E1345" s="30" t="n">
        <v>60</v>
      </c>
      <c r="F1345" s="30" t="n">
        <v>0</v>
      </c>
      <c r="G1345" s="30" t="str">
        <f aca="false">IF(E1345&lt;判定条件!$C$6,"判定不能",IF(F1345&gt;=判定条件!$C$7*E1345,"運転",IF(F1345&lt;=判定条件!$C$8*E1345,"停止","断続")))</f>
        <v>停止</v>
      </c>
      <c r="H1345" s="30" t="n">
        <v>60</v>
      </c>
      <c r="I1345" s="30" t="n">
        <v>0</v>
      </c>
      <c r="J1345" s="30" t="str">
        <f aca="false">IF(H1345&lt;判定条件!$C$6,"判定不能",IF(I1345&gt;=判定条件!$C$7*H1345,"運転",IF(I1345&lt;=判定条件!$C$8*H1345,"停止","断続")))</f>
        <v>停止</v>
      </c>
      <c r="K1345" s="30" t="n">
        <v>60</v>
      </c>
      <c r="L1345" s="30" t="n">
        <v>0</v>
      </c>
      <c r="M1345" s="30" t="str">
        <f aca="false">IF(K1345&lt;判定条件!$C$6,"判定不能",IF(L1345&gt;=判定条件!$C$7*K1345,"運転",IF(L1345&lt;=判定条件!$C$8*K1345,"停止","断続")))</f>
        <v>停止</v>
      </c>
      <c r="N1345" s="30" t="n">
        <v>60</v>
      </c>
      <c r="O1345" s="30" t="n">
        <v>0</v>
      </c>
      <c r="P1345" s="30" t="str">
        <f aca="false">IF(N1345&lt;判定条件!$C$6,"判定不能",IF(O1345&gt;=判定条件!$C$7*N1345,"運転",IF(O1345&lt;=判定条件!$C$8*N1345,"停止","断続")))</f>
        <v>停止</v>
      </c>
      <c r="Q1345" s="30" t="n">
        <v>60</v>
      </c>
      <c r="R1345" s="30" t="n">
        <v>0</v>
      </c>
      <c r="S1345" s="30" t="str">
        <f aca="false">IF(Q1345&lt;判定条件!$C$6,"判定不能",IF(R1345&gt;=判定条件!$C$7*Q1345,"運転",IF(R1345&lt;=判定条件!$C$8*Q1345,"停止","断続")))</f>
        <v>停止</v>
      </c>
      <c r="T1345" s="30" t="n">
        <v>60</v>
      </c>
      <c r="U1345" s="30" t="n">
        <v>0</v>
      </c>
      <c r="V1345" s="30" t="str">
        <f aca="false">IF(T1345&lt;判定条件!$C$6,"判定不能",IF(U1345&gt;=判定条件!$C$7*T1345,"運転",IF(U1345&lt;=判定条件!$C$8*T1345,"停止","断続")))</f>
        <v>停止</v>
      </c>
      <c r="W1345" s="30" t="n">
        <v>0</v>
      </c>
      <c r="X1345" s="30" t="n">
        <v>0</v>
      </c>
      <c r="Y1345" s="30" t="str">
        <f aca="false">IF(W1345&lt;判定条件!$C$6,"判定不能",IF(X1345&gt;=判定条件!$C$7*W1345,"運転",IF(X1345&lt;=判定条件!$C$8*W1345,"停止","断続")))</f>
        <v>判定不能</v>
      </c>
      <c r="Z1345" s="30" t="n">
        <v>0</v>
      </c>
      <c r="AA1345" s="30" t="n">
        <v>0</v>
      </c>
      <c r="AB1345" s="30" t="str">
        <f aca="false">IF(Z1345&lt;判定条件!$C$6,"判定不能",IF(AA1345&gt;=判定条件!$C$7*Z1345,"運転",IF(AA1345&lt;=判定条件!$C$8*Z1345,"停止","断続")))</f>
        <v>判定不能</v>
      </c>
      <c r="AC1345" s="30" t="n">
        <v>0</v>
      </c>
      <c r="AD1345" s="30" t="n">
        <v>0</v>
      </c>
      <c r="AE1345" s="30" t="str">
        <f aca="false">IF(AC1345&lt;判定条件!$C$6,"判定不能",IF(AD1345&gt;=判定条件!$C$7*AC1345,"運転",IF(AD1345&lt;=判定条件!$C$8*AC1345,"停止","断続")))</f>
        <v>判定不能</v>
      </c>
      <c r="AF1345" s="30" t="n">
        <v>60</v>
      </c>
      <c r="AG1345" s="30" t="n">
        <v>0</v>
      </c>
      <c r="AH1345" s="30" t="str">
        <f aca="false">IF(OR(P1345="判定不能",G1345="判定不能"),"判定不能",IF(AG1345&gt;=判定条件!$C$9,"利用可",IF(AND(P1345="停止",G1345="停止"),"両方停止","運転がそろわない")))</f>
        <v>両方停止</v>
      </c>
      <c r="AI1345" s="30" t="n">
        <v>60</v>
      </c>
      <c r="AJ1345" s="30" t="n">
        <v>0</v>
      </c>
      <c r="AK1345" s="30" t="str">
        <f aca="false">IF(OR(S1345="判定不能",J1345="判定不能"),"判定不能",IF(AJ1345&gt;=判定条件!$C$9,"利用可",IF(AND(S1345="停止",J1345="停止"),"両方停止","運転がそろわない")))</f>
        <v>両方停止</v>
      </c>
      <c r="AL1345" s="30" t="n">
        <v>60</v>
      </c>
      <c r="AM1345" s="30" t="n">
        <v>0</v>
      </c>
      <c r="AN1345" s="30" t="str">
        <f aca="false">IF(OR(V1345="判定不能",M1345="判定不能"),"判定不能",IF(AM1345&gt;=判定条件!$C$9,"利用可",IF(AND(V1345="停止",M1345="停止"),"両方停止","運転がそろわない")))</f>
        <v>両方停止</v>
      </c>
      <c r="AO1345" s="30" t="n">
        <v>0</v>
      </c>
      <c r="AP1345" s="30" t="n">
        <v>0</v>
      </c>
      <c r="AQ1345" s="30" t="str">
        <f aca="false">IF(OR(Y1345="判定不能",G1345="判定不能"),"判定不能",IF(AP1345&gt;=判定条件!$C$9,"利用可",IF(AND(Y1345="停止",G1345="停止"),"両方停止","運転がそろわない")))</f>
        <v>判定不能</v>
      </c>
      <c r="AR1345" s="30" t="n">
        <v>0</v>
      </c>
      <c r="AS1345" s="30" t="n">
        <v>0</v>
      </c>
      <c r="AT1345" s="30" t="str">
        <f aca="false">IF(OR(AB1345="判定不能",J1345="判定不能"),"判定不能",IF(AS1345&gt;=判定条件!$C$9,"利用可",IF(AND(AB1345="停止",J1345="停止"),"両方停止","運転がそろわない")))</f>
        <v>判定不能</v>
      </c>
      <c r="AU1345" s="30" t="n">
        <v>0</v>
      </c>
      <c r="AV1345" s="30" t="n">
        <v>0</v>
      </c>
      <c r="AW1345" s="30" t="str">
        <f aca="false">IF(OR(AE1345="判定不能",M1345="判定不能"),"判定不能",IF(AV1345&gt;=判定条件!$C$9,"利用可",IF(AND(AE1345="停止",M1345="停止"),"両方停止","運転がそろわない")))</f>
        <v>判定不能</v>
      </c>
      <c r="AX1345" s="30" t="str">
        <f aca="false">IF(AND(AH1345="利用可",AK1345="利用可",AN1345="利用可"),"利用可","不可")</f>
        <v>不可</v>
      </c>
      <c r="AY1345" s="30" t="str">
        <f aca="false">IF(AND(AQ1345="利用可",AT1345="利用可",AW1345="利用可"),"利用可","不可")</f>
        <v>不可</v>
      </c>
    </row>
    <row r="1346" customFormat="false" ht="15" hidden="false" customHeight="false" outlineLevel="0" collapsed="false">
      <c r="A1346" s="29" t="n">
        <v>46287</v>
      </c>
      <c r="B1346" s="30" t="n">
        <v>23</v>
      </c>
      <c r="C1346" s="31" t="s">
        <v>67</v>
      </c>
      <c r="D1346" s="31" t="s">
        <v>101</v>
      </c>
      <c r="E1346" s="30" t="n">
        <v>60</v>
      </c>
      <c r="F1346" s="30" t="n">
        <v>0</v>
      </c>
      <c r="G1346" s="30" t="str">
        <f aca="false">IF(E1346&lt;判定条件!$C$6,"判定不能",IF(F1346&gt;=判定条件!$C$7*E1346,"運転",IF(F1346&lt;=判定条件!$C$8*E1346,"停止","断続")))</f>
        <v>停止</v>
      </c>
      <c r="H1346" s="30" t="n">
        <v>60</v>
      </c>
      <c r="I1346" s="30" t="n">
        <v>0</v>
      </c>
      <c r="J1346" s="30" t="str">
        <f aca="false">IF(H1346&lt;判定条件!$C$6,"判定不能",IF(I1346&gt;=判定条件!$C$7*H1346,"運転",IF(I1346&lt;=判定条件!$C$8*H1346,"停止","断続")))</f>
        <v>停止</v>
      </c>
      <c r="K1346" s="30" t="n">
        <v>60</v>
      </c>
      <c r="L1346" s="30" t="n">
        <v>0</v>
      </c>
      <c r="M1346" s="30" t="str">
        <f aca="false">IF(K1346&lt;判定条件!$C$6,"判定不能",IF(L1346&gt;=判定条件!$C$7*K1346,"運転",IF(L1346&lt;=判定条件!$C$8*K1346,"停止","断続")))</f>
        <v>停止</v>
      </c>
      <c r="N1346" s="30" t="n">
        <v>60</v>
      </c>
      <c r="O1346" s="30" t="n">
        <v>0</v>
      </c>
      <c r="P1346" s="30" t="str">
        <f aca="false">IF(N1346&lt;判定条件!$C$6,"判定不能",IF(O1346&gt;=判定条件!$C$7*N1346,"運転",IF(O1346&lt;=判定条件!$C$8*N1346,"停止","断続")))</f>
        <v>停止</v>
      </c>
      <c r="Q1346" s="30" t="n">
        <v>60</v>
      </c>
      <c r="R1346" s="30" t="n">
        <v>0</v>
      </c>
      <c r="S1346" s="30" t="str">
        <f aca="false">IF(Q1346&lt;判定条件!$C$6,"判定不能",IF(R1346&gt;=判定条件!$C$7*Q1346,"運転",IF(R1346&lt;=判定条件!$C$8*Q1346,"停止","断続")))</f>
        <v>停止</v>
      </c>
      <c r="T1346" s="30" t="n">
        <v>60</v>
      </c>
      <c r="U1346" s="30" t="n">
        <v>0</v>
      </c>
      <c r="V1346" s="30" t="str">
        <f aca="false">IF(T1346&lt;判定条件!$C$6,"判定不能",IF(U1346&gt;=判定条件!$C$7*T1346,"運転",IF(U1346&lt;=判定条件!$C$8*T1346,"停止","断続")))</f>
        <v>停止</v>
      </c>
      <c r="W1346" s="30" t="n">
        <v>0</v>
      </c>
      <c r="X1346" s="30" t="n">
        <v>0</v>
      </c>
      <c r="Y1346" s="30" t="str">
        <f aca="false">IF(W1346&lt;判定条件!$C$6,"判定不能",IF(X1346&gt;=判定条件!$C$7*W1346,"運転",IF(X1346&lt;=判定条件!$C$8*W1346,"停止","断続")))</f>
        <v>判定不能</v>
      </c>
      <c r="Z1346" s="30" t="n">
        <v>0</v>
      </c>
      <c r="AA1346" s="30" t="n">
        <v>0</v>
      </c>
      <c r="AB1346" s="30" t="str">
        <f aca="false">IF(Z1346&lt;判定条件!$C$6,"判定不能",IF(AA1346&gt;=判定条件!$C$7*Z1346,"運転",IF(AA1346&lt;=判定条件!$C$8*Z1346,"停止","断続")))</f>
        <v>判定不能</v>
      </c>
      <c r="AC1346" s="30" t="n">
        <v>0</v>
      </c>
      <c r="AD1346" s="30" t="n">
        <v>0</v>
      </c>
      <c r="AE1346" s="30" t="str">
        <f aca="false">IF(AC1346&lt;判定条件!$C$6,"判定不能",IF(AD1346&gt;=判定条件!$C$7*AC1346,"運転",IF(AD1346&lt;=判定条件!$C$8*AC1346,"停止","断続")))</f>
        <v>判定不能</v>
      </c>
      <c r="AF1346" s="30" t="n">
        <v>60</v>
      </c>
      <c r="AG1346" s="30" t="n">
        <v>0</v>
      </c>
      <c r="AH1346" s="30" t="str">
        <f aca="false">IF(OR(P1346="判定不能",G1346="判定不能"),"判定不能",IF(AG1346&gt;=判定条件!$C$9,"利用可",IF(AND(P1346="停止",G1346="停止"),"両方停止","運転がそろわない")))</f>
        <v>両方停止</v>
      </c>
      <c r="AI1346" s="30" t="n">
        <v>60</v>
      </c>
      <c r="AJ1346" s="30" t="n">
        <v>0</v>
      </c>
      <c r="AK1346" s="30" t="str">
        <f aca="false">IF(OR(S1346="判定不能",J1346="判定不能"),"判定不能",IF(AJ1346&gt;=判定条件!$C$9,"利用可",IF(AND(S1346="停止",J1346="停止"),"両方停止","運転がそろわない")))</f>
        <v>両方停止</v>
      </c>
      <c r="AL1346" s="30" t="n">
        <v>60</v>
      </c>
      <c r="AM1346" s="30" t="n">
        <v>0</v>
      </c>
      <c r="AN1346" s="30" t="str">
        <f aca="false">IF(OR(V1346="判定不能",M1346="判定不能"),"判定不能",IF(AM1346&gt;=判定条件!$C$9,"利用可",IF(AND(V1346="停止",M1346="停止"),"両方停止","運転がそろわない")))</f>
        <v>両方停止</v>
      </c>
      <c r="AO1346" s="30" t="n">
        <v>0</v>
      </c>
      <c r="AP1346" s="30" t="n">
        <v>0</v>
      </c>
      <c r="AQ1346" s="30" t="str">
        <f aca="false">IF(OR(Y1346="判定不能",G1346="判定不能"),"判定不能",IF(AP1346&gt;=判定条件!$C$9,"利用可",IF(AND(Y1346="停止",G1346="停止"),"両方停止","運転がそろわない")))</f>
        <v>判定不能</v>
      </c>
      <c r="AR1346" s="30" t="n">
        <v>0</v>
      </c>
      <c r="AS1346" s="30" t="n">
        <v>0</v>
      </c>
      <c r="AT1346" s="30" t="str">
        <f aca="false">IF(OR(AB1346="判定不能",J1346="判定不能"),"判定不能",IF(AS1346&gt;=判定条件!$C$9,"利用可",IF(AND(AB1346="停止",J1346="停止"),"両方停止","運転がそろわない")))</f>
        <v>判定不能</v>
      </c>
      <c r="AU1346" s="30" t="n">
        <v>0</v>
      </c>
      <c r="AV1346" s="30" t="n">
        <v>0</v>
      </c>
      <c r="AW1346" s="30" t="str">
        <f aca="false">IF(OR(AE1346="判定不能",M1346="判定不能"),"判定不能",IF(AV1346&gt;=判定条件!$C$9,"利用可",IF(AND(AE1346="停止",M1346="停止"),"両方停止","運転がそろわない")))</f>
        <v>判定不能</v>
      </c>
      <c r="AX1346" s="30" t="str">
        <f aca="false">IF(AND(AH1346="利用可",AK1346="利用可",AN1346="利用可"),"利用可","不可")</f>
        <v>不可</v>
      </c>
      <c r="AY1346" s="30" t="str">
        <f aca="false">IF(AND(AQ1346="利用可",AT1346="利用可",AW1346="利用可"),"利用可","不可")</f>
        <v>不可</v>
      </c>
    </row>
    <row r="1347" customFormat="false" ht="15" hidden="false" customHeight="false" outlineLevel="0" collapsed="false">
      <c r="A1347" s="29" t="n">
        <v>46288</v>
      </c>
      <c r="B1347" s="30" t="n">
        <v>0</v>
      </c>
      <c r="C1347" s="31" t="s">
        <v>58</v>
      </c>
      <c r="D1347" s="31" t="s">
        <v>101</v>
      </c>
      <c r="E1347" s="30" t="n">
        <v>60</v>
      </c>
      <c r="F1347" s="30" t="n">
        <v>0</v>
      </c>
      <c r="G1347" s="30" t="str">
        <f aca="false">IF(E1347&lt;判定条件!$C$6,"判定不能",IF(F1347&gt;=判定条件!$C$7*E1347,"運転",IF(F1347&lt;=判定条件!$C$8*E1347,"停止","断続")))</f>
        <v>停止</v>
      </c>
      <c r="H1347" s="30" t="n">
        <v>60</v>
      </c>
      <c r="I1347" s="30" t="n">
        <v>0</v>
      </c>
      <c r="J1347" s="30" t="str">
        <f aca="false">IF(H1347&lt;判定条件!$C$6,"判定不能",IF(I1347&gt;=判定条件!$C$7*H1347,"運転",IF(I1347&lt;=判定条件!$C$8*H1347,"停止","断続")))</f>
        <v>停止</v>
      </c>
      <c r="K1347" s="30" t="n">
        <v>60</v>
      </c>
      <c r="L1347" s="30" t="n">
        <v>0</v>
      </c>
      <c r="M1347" s="30" t="str">
        <f aca="false">IF(K1347&lt;判定条件!$C$6,"判定不能",IF(L1347&gt;=判定条件!$C$7*K1347,"運転",IF(L1347&lt;=判定条件!$C$8*K1347,"停止","断続")))</f>
        <v>停止</v>
      </c>
      <c r="N1347" s="30" t="n">
        <v>60</v>
      </c>
      <c r="O1347" s="30" t="n">
        <v>0</v>
      </c>
      <c r="P1347" s="30" t="str">
        <f aca="false">IF(N1347&lt;判定条件!$C$6,"判定不能",IF(O1347&gt;=判定条件!$C$7*N1347,"運転",IF(O1347&lt;=判定条件!$C$8*N1347,"停止","断続")))</f>
        <v>停止</v>
      </c>
      <c r="Q1347" s="30" t="n">
        <v>60</v>
      </c>
      <c r="R1347" s="30" t="n">
        <v>0</v>
      </c>
      <c r="S1347" s="30" t="str">
        <f aca="false">IF(Q1347&lt;判定条件!$C$6,"判定不能",IF(R1347&gt;=判定条件!$C$7*Q1347,"運転",IF(R1347&lt;=判定条件!$C$8*Q1347,"停止","断続")))</f>
        <v>停止</v>
      </c>
      <c r="T1347" s="30" t="n">
        <v>60</v>
      </c>
      <c r="U1347" s="30" t="n">
        <v>0</v>
      </c>
      <c r="V1347" s="30" t="str">
        <f aca="false">IF(T1347&lt;判定条件!$C$6,"判定不能",IF(U1347&gt;=判定条件!$C$7*T1347,"運転",IF(U1347&lt;=判定条件!$C$8*T1347,"停止","断続")))</f>
        <v>停止</v>
      </c>
      <c r="W1347" s="30" t="n">
        <v>0</v>
      </c>
      <c r="X1347" s="30" t="n">
        <v>0</v>
      </c>
      <c r="Y1347" s="30" t="str">
        <f aca="false">IF(W1347&lt;判定条件!$C$6,"判定不能",IF(X1347&gt;=判定条件!$C$7*W1347,"運転",IF(X1347&lt;=判定条件!$C$8*W1347,"停止","断続")))</f>
        <v>判定不能</v>
      </c>
      <c r="Z1347" s="30" t="n">
        <v>0</v>
      </c>
      <c r="AA1347" s="30" t="n">
        <v>0</v>
      </c>
      <c r="AB1347" s="30" t="str">
        <f aca="false">IF(Z1347&lt;判定条件!$C$6,"判定不能",IF(AA1347&gt;=判定条件!$C$7*Z1347,"運転",IF(AA1347&lt;=判定条件!$C$8*Z1347,"停止","断続")))</f>
        <v>判定不能</v>
      </c>
      <c r="AC1347" s="30" t="n">
        <v>0</v>
      </c>
      <c r="AD1347" s="30" t="n">
        <v>0</v>
      </c>
      <c r="AE1347" s="30" t="str">
        <f aca="false">IF(AC1347&lt;判定条件!$C$6,"判定不能",IF(AD1347&gt;=判定条件!$C$7*AC1347,"運転",IF(AD1347&lt;=判定条件!$C$8*AC1347,"停止","断続")))</f>
        <v>判定不能</v>
      </c>
      <c r="AF1347" s="30" t="n">
        <v>60</v>
      </c>
      <c r="AG1347" s="30" t="n">
        <v>0</v>
      </c>
      <c r="AH1347" s="30" t="str">
        <f aca="false">IF(OR(P1347="判定不能",G1347="判定不能"),"判定不能",IF(AG1347&gt;=判定条件!$C$9,"利用可",IF(AND(P1347="停止",G1347="停止"),"両方停止","運転がそろわない")))</f>
        <v>両方停止</v>
      </c>
      <c r="AI1347" s="30" t="n">
        <v>60</v>
      </c>
      <c r="AJ1347" s="30" t="n">
        <v>0</v>
      </c>
      <c r="AK1347" s="30" t="str">
        <f aca="false">IF(OR(S1347="判定不能",J1347="判定不能"),"判定不能",IF(AJ1347&gt;=判定条件!$C$9,"利用可",IF(AND(S1347="停止",J1347="停止"),"両方停止","運転がそろわない")))</f>
        <v>両方停止</v>
      </c>
      <c r="AL1347" s="30" t="n">
        <v>60</v>
      </c>
      <c r="AM1347" s="30" t="n">
        <v>0</v>
      </c>
      <c r="AN1347" s="30" t="str">
        <f aca="false">IF(OR(V1347="判定不能",M1347="判定不能"),"判定不能",IF(AM1347&gt;=判定条件!$C$9,"利用可",IF(AND(V1347="停止",M1347="停止"),"両方停止","運転がそろわない")))</f>
        <v>両方停止</v>
      </c>
      <c r="AO1347" s="30" t="n">
        <v>0</v>
      </c>
      <c r="AP1347" s="30" t="n">
        <v>0</v>
      </c>
      <c r="AQ1347" s="30" t="str">
        <f aca="false">IF(OR(Y1347="判定不能",G1347="判定不能"),"判定不能",IF(AP1347&gt;=判定条件!$C$9,"利用可",IF(AND(Y1347="停止",G1347="停止"),"両方停止","運転がそろわない")))</f>
        <v>判定不能</v>
      </c>
      <c r="AR1347" s="30" t="n">
        <v>0</v>
      </c>
      <c r="AS1347" s="30" t="n">
        <v>0</v>
      </c>
      <c r="AT1347" s="30" t="str">
        <f aca="false">IF(OR(AB1347="判定不能",J1347="判定不能"),"判定不能",IF(AS1347&gt;=判定条件!$C$9,"利用可",IF(AND(AB1347="停止",J1347="停止"),"両方停止","運転がそろわない")))</f>
        <v>判定不能</v>
      </c>
      <c r="AU1347" s="30" t="n">
        <v>0</v>
      </c>
      <c r="AV1347" s="30" t="n">
        <v>0</v>
      </c>
      <c r="AW1347" s="30" t="str">
        <f aca="false">IF(OR(AE1347="判定不能",M1347="判定不能"),"判定不能",IF(AV1347&gt;=判定条件!$C$9,"利用可",IF(AND(AE1347="停止",M1347="停止"),"両方停止","運転がそろわない")))</f>
        <v>判定不能</v>
      </c>
      <c r="AX1347" s="30" t="str">
        <f aca="false">IF(AND(AH1347="利用可",AK1347="利用可",AN1347="利用可"),"利用可","不可")</f>
        <v>不可</v>
      </c>
      <c r="AY1347" s="30" t="str">
        <f aca="false">IF(AND(AQ1347="利用可",AT1347="利用可",AW1347="利用可"),"利用可","不可")</f>
        <v>不可</v>
      </c>
    </row>
    <row r="1348" customFormat="false" ht="15" hidden="false" customHeight="false" outlineLevel="0" collapsed="false">
      <c r="A1348" s="29" t="n">
        <v>46288</v>
      </c>
      <c r="B1348" s="30" t="n">
        <v>1</v>
      </c>
      <c r="C1348" s="31" t="s">
        <v>58</v>
      </c>
      <c r="D1348" s="31" t="s">
        <v>101</v>
      </c>
      <c r="E1348" s="30" t="n">
        <v>60</v>
      </c>
      <c r="F1348" s="30" t="n">
        <v>0</v>
      </c>
      <c r="G1348" s="30" t="str">
        <f aca="false">IF(E1348&lt;判定条件!$C$6,"判定不能",IF(F1348&gt;=判定条件!$C$7*E1348,"運転",IF(F1348&lt;=判定条件!$C$8*E1348,"停止","断続")))</f>
        <v>停止</v>
      </c>
      <c r="H1348" s="30" t="n">
        <v>60</v>
      </c>
      <c r="I1348" s="30" t="n">
        <v>0</v>
      </c>
      <c r="J1348" s="30" t="str">
        <f aca="false">IF(H1348&lt;判定条件!$C$6,"判定不能",IF(I1348&gt;=判定条件!$C$7*H1348,"運転",IF(I1348&lt;=判定条件!$C$8*H1348,"停止","断続")))</f>
        <v>停止</v>
      </c>
      <c r="K1348" s="30" t="n">
        <v>60</v>
      </c>
      <c r="L1348" s="30" t="n">
        <v>0</v>
      </c>
      <c r="M1348" s="30" t="str">
        <f aca="false">IF(K1348&lt;判定条件!$C$6,"判定不能",IF(L1348&gt;=判定条件!$C$7*K1348,"運転",IF(L1348&lt;=判定条件!$C$8*K1348,"停止","断続")))</f>
        <v>停止</v>
      </c>
      <c r="N1348" s="30" t="n">
        <v>60</v>
      </c>
      <c r="O1348" s="30" t="n">
        <v>0</v>
      </c>
      <c r="P1348" s="30" t="str">
        <f aca="false">IF(N1348&lt;判定条件!$C$6,"判定不能",IF(O1348&gt;=判定条件!$C$7*N1348,"運転",IF(O1348&lt;=判定条件!$C$8*N1348,"停止","断続")))</f>
        <v>停止</v>
      </c>
      <c r="Q1348" s="30" t="n">
        <v>60</v>
      </c>
      <c r="R1348" s="30" t="n">
        <v>0</v>
      </c>
      <c r="S1348" s="30" t="str">
        <f aca="false">IF(Q1348&lt;判定条件!$C$6,"判定不能",IF(R1348&gt;=判定条件!$C$7*Q1348,"運転",IF(R1348&lt;=判定条件!$C$8*Q1348,"停止","断続")))</f>
        <v>停止</v>
      </c>
      <c r="T1348" s="30" t="n">
        <v>60</v>
      </c>
      <c r="U1348" s="30" t="n">
        <v>0</v>
      </c>
      <c r="V1348" s="30" t="str">
        <f aca="false">IF(T1348&lt;判定条件!$C$6,"判定不能",IF(U1348&gt;=判定条件!$C$7*T1348,"運転",IF(U1348&lt;=判定条件!$C$8*T1348,"停止","断続")))</f>
        <v>停止</v>
      </c>
      <c r="W1348" s="30" t="n">
        <v>0</v>
      </c>
      <c r="X1348" s="30" t="n">
        <v>0</v>
      </c>
      <c r="Y1348" s="30" t="str">
        <f aca="false">IF(W1348&lt;判定条件!$C$6,"判定不能",IF(X1348&gt;=判定条件!$C$7*W1348,"運転",IF(X1348&lt;=判定条件!$C$8*W1348,"停止","断続")))</f>
        <v>判定不能</v>
      </c>
      <c r="Z1348" s="30" t="n">
        <v>0</v>
      </c>
      <c r="AA1348" s="30" t="n">
        <v>0</v>
      </c>
      <c r="AB1348" s="30" t="str">
        <f aca="false">IF(Z1348&lt;判定条件!$C$6,"判定不能",IF(AA1348&gt;=判定条件!$C$7*Z1348,"運転",IF(AA1348&lt;=判定条件!$C$8*Z1348,"停止","断続")))</f>
        <v>判定不能</v>
      </c>
      <c r="AC1348" s="30" t="n">
        <v>0</v>
      </c>
      <c r="AD1348" s="30" t="n">
        <v>0</v>
      </c>
      <c r="AE1348" s="30" t="str">
        <f aca="false">IF(AC1348&lt;判定条件!$C$6,"判定不能",IF(AD1348&gt;=判定条件!$C$7*AC1348,"運転",IF(AD1348&lt;=判定条件!$C$8*AC1348,"停止","断続")))</f>
        <v>判定不能</v>
      </c>
      <c r="AF1348" s="30" t="n">
        <v>60</v>
      </c>
      <c r="AG1348" s="30" t="n">
        <v>0</v>
      </c>
      <c r="AH1348" s="30" t="str">
        <f aca="false">IF(OR(P1348="判定不能",G1348="判定不能"),"判定不能",IF(AG1348&gt;=判定条件!$C$9,"利用可",IF(AND(P1348="停止",G1348="停止"),"両方停止","運転がそろわない")))</f>
        <v>両方停止</v>
      </c>
      <c r="AI1348" s="30" t="n">
        <v>60</v>
      </c>
      <c r="AJ1348" s="30" t="n">
        <v>0</v>
      </c>
      <c r="AK1348" s="30" t="str">
        <f aca="false">IF(OR(S1348="判定不能",J1348="判定不能"),"判定不能",IF(AJ1348&gt;=判定条件!$C$9,"利用可",IF(AND(S1348="停止",J1348="停止"),"両方停止","運転がそろわない")))</f>
        <v>両方停止</v>
      </c>
      <c r="AL1348" s="30" t="n">
        <v>60</v>
      </c>
      <c r="AM1348" s="30" t="n">
        <v>0</v>
      </c>
      <c r="AN1348" s="30" t="str">
        <f aca="false">IF(OR(V1348="判定不能",M1348="判定不能"),"判定不能",IF(AM1348&gt;=判定条件!$C$9,"利用可",IF(AND(V1348="停止",M1348="停止"),"両方停止","運転がそろわない")))</f>
        <v>両方停止</v>
      </c>
      <c r="AO1348" s="30" t="n">
        <v>0</v>
      </c>
      <c r="AP1348" s="30" t="n">
        <v>0</v>
      </c>
      <c r="AQ1348" s="30" t="str">
        <f aca="false">IF(OR(Y1348="判定不能",G1348="判定不能"),"判定不能",IF(AP1348&gt;=判定条件!$C$9,"利用可",IF(AND(Y1348="停止",G1348="停止"),"両方停止","運転がそろわない")))</f>
        <v>判定不能</v>
      </c>
      <c r="AR1348" s="30" t="n">
        <v>0</v>
      </c>
      <c r="AS1348" s="30" t="n">
        <v>0</v>
      </c>
      <c r="AT1348" s="30" t="str">
        <f aca="false">IF(OR(AB1348="判定不能",J1348="判定不能"),"判定不能",IF(AS1348&gt;=判定条件!$C$9,"利用可",IF(AND(AB1348="停止",J1348="停止"),"両方停止","運転がそろわない")))</f>
        <v>判定不能</v>
      </c>
      <c r="AU1348" s="30" t="n">
        <v>0</v>
      </c>
      <c r="AV1348" s="30" t="n">
        <v>0</v>
      </c>
      <c r="AW1348" s="30" t="str">
        <f aca="false">IF(OR(AE1348="判定不能",M1348="判定不能"),"判定不能",IF(AV1348&gt;=判定条件!$C$9,"利用可",IF(AND(AE1348="停止",M1348="停止"),"両方停止","運転がそろわない")))</f>
        <v>判定不能</v>
      </c>
      <c r="AX1348" s="30" t="str">
        <f aca="false">IF(AND(AH1348="利用可",AK1348="利用可",AN1348="利用可"),"利用可","不可")</f>
        <v>不可</v>
      </c>
      <c r="AY1348" s="30" t="str">
        <f aca="false">IF(AND(AQ1348="利用可",AT1348="利用可",AW1348="利用可"),"利用可","不可")</f>
        <v>不可</v>
      </c>
    </row>
    <row r="1349" customFormat="false" ht="15" hidden="false" customHeight="false" outlineLevel="0" collapsed="false">
      <c r="A1349" s="29" t="n">
        <v>46288</v>
      </c>
      <c r="B1349" s="30" t="n">
        <v>2</v>
      </c>
      <c r="C1349" s="31" t="s">
        <v>58</v>
      </c>
      <c r="D1349" s="31" t="s">
        <v>101</v>
      </c>
      <c r="E1349" s="30" t="n">
        <v>60</v>
      </c>
      <c r="F1349" s="30" t="n">
        <v>0</v>
      </c>
      <c r="G1349" s="30" t="str">
        <f aca="false">IF(E1349&lt;判定条件!$C$6,"判定不能",IF(F1349&gt;=判定条件!$C$7*E1349,"運転",IF(F1349&lt;=判定条件!$C$8*E1349,"停止","断続")))</f>
        <v>停止</v>
      </c>
      <c r="H1349" s="30" t="n">
        <v>60</v>
      </c>
      <c r="I1349" s="30" t="n">
        <v>0</v>
      </c>
      <c r="J1349" s="30" t="str">
        <f aca="false">IF(H1349&lt;判定条件!$C$6,"判定不能",IF(I1349&gt;=判定条件!$C$7*H1349,"運転",IF(I1349&lt;=判定条件!$C$8*H1349,"停止","断続")))</f>
        <v>停止</v>
      </c>
      <c r="K1349" s="30" t="n">
        <v>60</v>
      </c>
      <c r="L1349" s="30" t="n">
        <v>0</v>
      </c>
      <c r="M1349" s="30" t="str">
        <f aca="false">IF(K1349&lt;判定条件!$C$6,"判定不能",IF(L1349&gt;=判定条件!$C$7*K1349,"運転",IF(L1349&lt;=判定条件!$C$8*K1349,"停止","断続")))</f>
        <v>停止</v>
      </c>
      <c r="N1349" s="30" t="n">
        <v>60</v>
      </c>
      <c r="O1349" s="30" t="n">
        <v>0</v>
      </c>
      <c r="P1349" s="30" t="str">
        <f aca="false">IF(N1349&lt;判定条件!$C$6,"判定不能",IF(O1349&gt;=判定条件!$C$7*N1349,"運転",IF(O1349&lt;=判定条件!$C$8*N1349,"停止","断続")))</f>
        <v>停止</v>
      </c>
      <c r="Q1349" s="30" t="n">
        <v>60</v>
      </c>
      <c r="R1349" s="30" t="n">
        <v>0</v>
      </c>
      <c r="S1349" s="30" t="str">
        <f aca="false">IF(Q1349&lt;判定条件!$C$6,"判定不能",IF(R1349&gt;=判定条件!$C$7*Q1349,"運転",IF(R1349&lt;=判定条件!$C$8*Q1349,"停止","断続")))</f>
        <v>停止</v>
      </c>
      <c r="T1349" s="30" t="n">
        <v>60</v>
      </c>
      <c r="U1349" s="30" t="n">
        <v>0</v>
      </c>
      <c r="V1349" s="30" t="str">
        <f aca="false">IF(T1349&lt;判定条件!$C$6,"判定不能",IF(U1349&gt;=判定条件!$C$7*T1349,"運転",IF(U1349&lt;=判定条件!$C$8*T1349,"停止","断続")))</f>
        <v>停止</v>
      </c>
      <c r="W1349" s="30" t="n">
        <v>0</v>
      </c>
      <c r="X1349" s="30" t="n">
        <v>0</v>
      </c>
      <c r="Y1349" s="30" t="str">
        <f aca="false">IF(W1349&lt;判定条件!$C$6,"判定不能",IF(X1349&gt;=判定条件!$C$7*W1349,"運転",IF(X1349&lt;=判定条件!$C$8*W1349,"停止","断続")))</f>
        <v>判定不能</v>
      </c>
      <c r="Z1349" s="30" t="n">
        <v>0</v>
      </c>
      <c r="AA1349" s="30" t="n">
        <v>0</v>
      </c>
      <c r="AB1349" s="30" t="str">
        <f aca="false">IF(Z1349&lt;判定条件!$C$6,"判定不能",IF(AA1349&gt;=判定条件!$C$7*Z1349,"運転",IF(AA1349&lt;=判定条件!$C$8*Z1349,"停止","断続")))</f>
        <v>判定不能</v>
      </c>
      <c r="AC1349" s="30" t="n">
        <v>0</v>
      </c>
      <c r="AD1349" s="30" t="n">
        <v>0</v>
      </c>
      <c r="AE1349" s="30" t="str">
        <f aca="false">IF(AC1349&lt;判定条件!$C$6,"判定不能",IF(AD1349&gt;=判定条件!$C$7*AC1349,"運転",IF(AD1349&lt;=判定条件!$C$8*AC1349,"停止","断続")))</f>
        <v>判定不能</v>
      </c>
      <c r="AF1349" s="30" t="n">
        <v>60</v>
      </c>
      <c r="AG1349" s="30" t="n">
        <v>0</v>
      </c>
      <c r="AH1349" s="30" t="str">
        <f aca="false">IF(OR(P1349="判定不能",G1349="判定不能"),"判定不能",IF(AG1349&gt;=判定条件!$C$9,"利用可",IF(AND(P1349="停止",G1349="停止"),"両方停止","運転がそろわない")))</f>
        <v>両方停止</v>
      </c>
      <c r="AI1349" s="30" t="n">
        <v>60</v>
      </c>
      <c r="AJ1349" s="30" t="n">
        <v>0</v>
      </c>
      <c r="AK1349" s="30" t="str">
        <f aca="false">IF(OR(S1349="判定不能",J1349="判定不能"),"判定不能",IF(AJ1349&gt;=判定条件!$C$9,"利用可",IF(AND(S1349="停止",J1349="停止"),"両方停止","運転がそろわない")))</f>
        <v>両方停止</v>
      </c>
      <c r="AL1349" s="30" t="n">
        <v>60</v>
      </c>
      <c r="AM1349" s="30" t="n">
        <v>0</v>
      </c>
      <c r="AN1349" s="30" t="str">
        <f aca="false">IF(OR(V1349="判定不能",M1349="判定不能"),"判定不能",IF(AM1349&gt;=判定条件!$C$9,"利用可",IF(AND(V1349="停止",M1349="停止"),"両方停止","運転がそろわない")))</f>
        <v>両方停止</v>
      </c>
      <c r="AO1349" s="30" t="n">
        <v>0</v>
      </c>
      <c r="AP1349" s="30" t="n">
        <v>0</v>
      </c>
      <c r="AQ1349" s="30" t="str">
        <f aca="false">IF(OR(Y1349="判定不能",G1349="判定不能"),"判定不能",IF(AP1349&gt;=判定条件!$C$9,"利用可",IF(AND(Y1349="停止",G1349="停止"),"両方停止","運転がそろわない")))</f>
        <v>判定不能</v>
      </c>
      <c r="AR1349" s="30" t="n">
        <v>0</v>
      </c>
      <c r="AS1349" s="30" t="n">
        <v>0</v>
      </c>
      <c r="AT1349" s="30" t="str">
        <f aca="false">IF(OR(AB1349="判定不能",J1349="判定不能"),"判定不能",IF(AS1349&gt;=判定条件!$C$9,"利用可",IF(AND(AB1349="停止",J1349="停止"),"両方停止","運転がそろわない")))</f>
        <v>判定不能</v>
      </c>
      <c r="AU1349" s="30" t="n">
        <v>0</v>
      </c>
      <c r="AV1349" s="30" t="n">
        <v>0</v>
      </c>
      <c r="AW1349" s="30" t="str">
        <f aca="false">IF(OR(AE1349="判定不能",M1349="判定不能"),"判定不能",IF(AV1349&gt;=判定条件!$C$9,"利用可",IF(AND(AE1349="停止",M1349="停止"),"両方停止","運転がそろわない")))</f>
        <v>判定不能</v>
      </c>
      <c r="AX1349" s="30" t="str">
        <f aca="false">IF(AND(AH1349="利用可",AK1349="利用可",AN1349="利用可"),"利用可","不可")</f>
        <v>不可</v>
      </c>
      <c r="AY1349" s="30" t="str">
        <f aca="false">IF(AND(AQ1349="利用可",AT1349="利用可",AW1349="利用可"),"利用可","不可")</f>
        <v>不可</v>
      </c>
    </row>
    <row r="1350" customFormat="false" ht="15" hidden="false" customHeight="false" outlineLevel="0" collapsed="false">
      <c r="A1350" s="29" t="n">
        <v>46288</v>
      </c>
      <c r="B1350" s="30" t="n">
        <v>3</v>
      </c>
      <c r="C1350" s="31" t="s">
        <v>58</v>
      </c>
      <c r="D1350" s="31" t="s">
        <v>101</v>
      </c>
      <c r="E1350" s="30" t="n">
        <v>60</v>
      </c>
      <c r="F1350" s="30" t="n">
        <v>0</v>
      </c>
      <c r="G1350" s="30" t="str">
        <f aca="false">IF(E1350&lt;判定条件!$C$6,"判定不能",IF(F1350&gt;=判定条件!$C$7*E1350,"運転",IF(F1350&lt;=判定条件!$C$8*E1350,"停止","断続")))</f>
        <v>停止</v>
      </c>
      <c r="H1350" s="30" t="n">
        <v>60</v>
      </c>
      <c r="I1350" s="30" t="n">
        <v>0</v>
      </c>
      <c r="J1350" s="30" t="str">
        <f aca="false">IF(H1350&lt;判定条件!$C$6,"判定不能",IF(I1350&gt;=判定条件!$C$7*H1350,"運転",IF(I1350&lt;=判定条件!$C$8*H1350,"停止","断続")))</f>
        <v>停止</v>
      </c>
      <c r="K1350" s="30" t="n">
        <v>60</v>
      </c>
      <c r="L1350" s="30" t="n">
        <v>0</v>
      </c>
      <c r="M1350" s="30" t="str">
        <f aca="false">IF(K1350&lt;判定条件!$C$6,"判定不能",IF(L1350&gt;=判定条件!$C$7*K1350,"運転",IF(L1350&lt;=判定条件!$C$8*K1350,"停止","断続")))</f>
        <v>停止</v>
      </c>
      <c r="N1350" s="30" t="n">
        <v>60</v>
      </c>
      <c r="O1350" s="30" t="n">
        <v>0</v>
      </c>
      <c r="P1350" s="30" t="str">
        <f aca="false">IF(N1350&lt;判定条件!$C$6,"判定不能",IF(O1350&gt;=判定条件!$C$7*N1350,"運転",IF(O1350&lt;=判定条件!$C$8*N1350,"停止","断続")))</f>
        <v>停止</v>
      </c>
      <c r="Q1350" s="30" t="n">
        <v>60</v>
      </c>
      <c r="R1350" s="30" t="n">
        <v>0</v>
      </c>
      <c r="S1350" s="30" t="str">
        <f aca="false">IF(Q1350&lt;判定条件!$C$6,"判定不能",IF(R1350&gt;=判定条件!$C$7*Q1350,"運転",IF(R1350&lt;=判定条件!$C$8*Q1350,"停止","断続")))</f>
        <v>停止</v>
      </c>
      <c r="T1350" s="30" t="n">
        <v>60</v>
      </c>
      <c r="U1350" s="30" t="n">
        <v>0</v>
      </c>
      <c r="V1350" s="30" t="str">
        <f aca="false">IF(T1350&lt;判定条件!$C$6,"判定不能",IF(U1350&gt;=判定条件!$C$7*T1350,"運転",IF(U1350&lt;=判定条件!$C$8*T1350,"停止","断続")))</f>
        <v>停止</v>
      </c>
      <c r="W1350" s="30" t="n">
        <v>0</v>
      </c>
      <c r="X1350" s="30" t="n">
        <v>0</v>
      </c>
      <c r="Y1350" s="30" t="str">
        <f aca="false">IF(W1350&lt;判定条件!$C$6,"判定不能",IF(X1350&gt;=判定条件!$C$7*W1350,"運転",IF(X1350&lt;=判定条件!$C$8*W1350,"停止","断続")))</f>
        <v>判定不能</v>
      </c>
      <c r="Z1350" s="30" t="n">
        <v>0</v>
      </c>
      <c r="AA1350" s="30" t="n">
        <v>0</v>
      </c>
      <c r="AB1350" s="30" t="str">
        <f aca="false">IF(Z1350&lt;判定条件!$C$6,"判定不能",IF(AA1350&gt;=判定条件!$C$7*Z1350,"運転",IF(AA1350&lt;=判定条件!$C$8*Z1350,"停止","断続")))</f>
        <v>判定不能</v>
      </c>
      <c r="AC1350" s="30" t="n">
        <v>0</v>
      </c>
      <c r="AD1350" s="30" t="n">
        <v>0</v>
      </c>
      <c r="AE1350" s="30" t="str">
        <f aca="false">IF(AC1350&lt;判定条件!$C$6,"判定不能",IF(AD1350&gt;=判定条件!$C$7*AC1350,"運転",IF(AD1350&lt;=判定条件!$C$8*AC1350,"停止","断続")))</f>
        <v>判定不能</v>
      </c>
      <c r="AF1350" s="30" t="n">
        <v>60</v>
      </c>
      <c r="AG1350" s="30" t="n">
        <v>0</v>
      </c>
      <c r="AH1350" s="30" t="str">
        <f aca="false">IF(OR(P1350="判定不能",G1350="判定不能"),"判定不能",IF(AG1350&gt;=判定条件!$C$9,"利用可",IF(AND(P1350="停止",G1350="停止"),"両方停止","運転がそろわない")))</f>
        <v>両方停止</v>
      </c>
      <c r="AI1350" s="30" t="n">
        <v>60</v>
      </c>
      <c r="AJ1350" s="30" t="n">
        <v>0</v>
      </c>
      <c r="AK1350" s="30" t="str">
        <f aca="false">IF(OR(S1350="判定不能",J1350="判定不能"),"判定不能",IF(AJ1350&gt;=判定条件!$C$9,"利用可",IF(AND(S1350="停止",J1350="停止"),"両方停止","運転がそろわない")))</f>
        <v>両方停止</v>
      </c>
      <c r="AL1350" s="30" t="n">
        <v>60</v>
      </c>
      <c r="AM1350" s="30" t="n">
        <v>0</v>
      </c>
      <c r="AN1350" s="30" t="str">
        <f aca="false">IF(OR(V1350="判定不能",M1350="判定不能"),"判定不能",IF(AM1350&gt;=判定条件!$C$9,"利用可",IF(AND(V1350="停止",M1350="停止"),"両方停止","運転がそろわない")))</f>
        <v>両方停止</v>
      </c>
      <c r="AO1350" s="30" t="n">
        <v>0</v>
      </c>
      <c r="AP1350" s="30" t="n">
        <v>0</v>
      </c>
      <c r="AQ1350" s="30" t="str">
        <f aca="false">IF(OR(Y1350="判定不能",G1350="判定不能"),"判定不能",IF(AP1350&gt;=判定条件!$C$9,"利用可",IF(AND(Y1350="停止",G1350="停止"),"両方停止","運転がそろわない")))</f>
        <v>判定不能</v>
      </c>
      <c r="AR1350" s="30" t="n">
        <v>0</v>
      </c>
      <c r="AS1350" s="30" t="n">
        <v>0</v>
      </c>
      <c r="AT1350" s="30" t="str">
        <f aca="false">IF(OR(AB1350="判定不能",J1350="判定不能"),"判定不能",IF(AS1350&gt;=判定条件!$C$9,"利用可",IF(AND(AB1350="停止",J1350="停止"),"両方停止","運転がそろわない")))</f>
        <v>判定不能</v>
      </c>
      <c r="AU1350" s="30" t="n">
        <v>0</v>
      </c>
      <c r="AV1350" s="30" t="n">
        <v>0</v>
      </c>
      <c r="AW1350" s="30" t="str">
        <f aca="false">IF(OR(AE1350="判定不能",M1350="判定不能"),"判定不能",IF(AV1350&gt;=判定条件!$C$9,"利用可",IF(AND(AE1350="停止",M1350="停止"),"両方停止","運転がそろわない")))</f>
        <v>判定不能</v>
      </c>
      <c r="AX1350" s="30" t="str">
        <f aca="false">IF(AND(AH1350="利用可",AK1350="利用可",AN1350="利用可"),"利用可","不可")</f>
        <v>不可</v>
      </c>
      <c r="AY1350" s="30" t="str">
        <f aca="false">IF(AND(AQ1350="利用可",AT1350="利用可",AW1350="利用可"),"利用可","不可")</f>
        <v>不可</v>
      </c>
    </row>
    <row r="1351" customFormat="false" ht="15" hidden="false" customHeight="false" outlineLevel="0" collapsed="false">
      <c r="A1351" s="29" t="n">
        <v>46288</v>
      </c>
      <c r="B1351" s="30" t="n">
        <v>4</v>
      </c>
      <c r="C1351" s="31" t="s">
        <v>58</v>
      </c>
      <c r="D1351" s="31" t="s">
        <v>101</v>
      </c>
      <c r="E1351" s="30" t="n">
        <v>60</v>
      </c>
      <c r="F1351" s="30" t="n">
        <v>0</v>
      </c>
      <c r="G1351" s="30" t="str">
        <f aca="false">IF(E1351&lt;判定条件!$C$6,"判定不能",IF(F1351&gt;=判定条件!$C$7*E1351,"運転",IF(F1351&lt;=判定条件!$C$8*E1351,"停止","断続")))</f>
        <v>停止</v>
      </c>
      <c r="H1351" s="30" t="n">
        <v>60</v>
      </c>
      <c r="I1351" s="30" t="n">
        <v>0</v>
      </c>
      <c r="J1351" s="30" t="str">
        <f aca="false">IF(H1351&lt;判定条件!$C$6,"判定不能",IF(I1351&gt;=判定条件!$C$7*H1351,"運転",IF(I1351&lt;=判定条件!$C$8*H1351,"停止","断続")))</f>
        <v>停止</v>
      </c>
      <c r="K1351" s="30" t="n">
        <v>60</v>
      </c>
      <c r="L1351" s="30" t="n">
        <v>0</v>
      </c>
      <c r="M1351" s="30" t="str">
        <f aca="false">IF(K1351&lt;判定条件!$C$6,"判定不能",IF(L1351&gt;=判定条件!$C$7*K1351,"運転",IF(L1351&lt;=判定条件!$C$8*K1351,"停止","断続")))</f>
        <v>停止</v>
      </c>
      <c r="N1351" s="30" t="n">
        <v>60</v>
      </c>
      <c r="O1351" s="30" t="n">
        <v>0</v>
      </c>
      <c r="P1351" s="30" t="str">
        <f aca="false">IF(N1351&lt;判定条件!$C$6,"判定不能",IF(O1351&gt;=判定条件!$C$7*N1351,"運転",IF(O1351&lt;=判定条件!$C$8*N1351,"停止","断続")))</f>
        <v>停止</v>
      </c>
      <c r="Q1351" s="30" t="n">
        <v>60</v>
      </c>
      <c r="R1351" s="30" t="n">
        <v>0</v>
      </c>
      <c r="S1351" s="30" t="str">
        <f aca="false">IF(Q1351&lt;判定条件!$C$6,"判定不能",IF(R1351&gt;=判定条件!$C$7*Q1351,"運転",IF(R1351&lt;=判定条件!$C$8*Q1351,"停止","断続")))</f>
        <v>停止</v>
      </c>
      <c r="T1351" s="30" t="n">
        <v>60</v>
      </c>
      <c r="U1351" s="30" t="n">
        <v>0</v>
      </c>
      <c r="V1351" s="30" t="str">
        <f aca="false">IF(T1351&lt;判定条件!$C$6,"判定不能",IF(U1351&gt;=判定条件!$C$7*T1351,"運転",IF(U1351&lt;=判定条件!$C$8*T1351,"停止","断続")))</f>
        <v>停止</v>
      </c>
      <c r="W1351" s="30" t="n">
        <v>0</v>
      </c>
      <c r="X1351" s="30" t="n">
        <v>0</v>
      </c>
      <c r="Y1351" s="30" t="str">
        <f aca="false">IF(W1351&lt;判定条件!$C$6,"判定不能",IF(X1351&gt;=判定条件!$C$7*W1351,"運転",IF(X1351&lt;=判定条件!$C$8*W1351,"停止","断続")))</f>
        <v>判定不能</v>
      </c>
      <c r="Z1351" s="30" t="n">
        <v>0</v>
      </c>
      <c r="AA1351" s="30" t="n">
        <v>0</v>
      </c>
      <c r="AB1351" s="30" t="str">
        <f aca="false">IF(Z1351&lt;判定条件!$C$6,"判定不能",IF(AA1351&gt;=判定条件!$C$7*Z1351,"運転",IF(AA1351&lt;=判定条件!$C$8*Z1351,"停止","断続")))</f>
        <v>判定不能</v>
      </c>
      <c r="AC1351" s="30" t="n">
        <v>0</v>
      </c>
      <c r="AD1351" s="30" t="n">
        <v>0</v>
      </c>
      <c r="AE1351" s="30" t="str">
        <f aca="false">IF(AC1351&lt;判定条件!$C$6,"判定不能",IF(AD1351&gt;=判定条件!$C$7*AC1351,"運転",IF(AD1351&lt;=判定条件!$C$8*AC1351,"停止","断続")))</f>
        <v>判定不能</v>
      </c>
      <c r="AF1351" s="30" t="n">
        <v>60</v>
      </c>
      <c r="AG1351" s="30" t="n">
        <v>0</v>
      </c>
      <c r="AH1351" s="30" t="str">
        <f aca="false">IF(OR(P1351="判定不能",G1351="判定不能"),"判定不能",IF(AG1351&gt;=判定条件!$C$9,"利用可",IF(AND(P1351="停止",G1351="停止"),"両方停止","運転がそろわない")))</f>
        <v>両方停止</v>
      </c>
      <c r="AI1351" s="30" t="n">
        <v>60</v>
      </c>
      <c r="AJ1351" s="30" t="n">
        <v>0</v>
      </c>
      <c r="AK1351" s="30" t="str">
        <f aca="false">IF(OR(S1351="判定不能",J1351="判定不能"),"判定不能",IF(AJ1351&gt;=判定条件!$C$9,"利用可",IF(AND(S1351="停止",J1351="停止"),"両方停止","運転がそろわない")))</f>
        <v>両方停止</v>
      </c>
      <c r="AL1351" s="30" t="n">
        <v>60</v>
      </c>
      <c r="AM1351" s="30" t="n">
        <v>0</v>
      </c>
      <c r="AN1351" s="30" t="str">
        <f aca="false">IF(OR(V1351="判定不能",M1351="判定不能"),"判定不能",IF(AM1351&gt;=判定条件!$C$9,"利用可",IF(AND(V1351="停止",M1351="停止"),"両方停止","運転がそろわない")))</f>
        <v>両方停止</v>
      </c>
      <c r="AO1351" s="30" t="n">
        <v>0</v>
      </c>
      <c r="AP1351" s="30" t="n">
        <v>0</v>
      </c>
      <c r="AQ1351" s="30" t="str">
        <f aca="false">IF(OR(Y1351="判定不能",G1351="判定不能"),"判定不能",IF(AP1351&gt;=判定条件!$C$9,"利用可",IF(AND(Y1351="停止",G1351="停止"),"両方停止","運転がそろわない")))</f>
        <v>判定不能</v>
      </c>
      <c r="AR1351" s="30" t="n">
        <v>0</v>
      </c>
      <c r="AS1351" s="30" t="n">
        <v>0</v>
      </c>
      <c r="AT1351" s="30" t="str">
        <f aca="false">IF(OR(AB1351="判定不能",J1351="判定不能"),"判定不能",IF(AS1351&gt;=判定条件!$C$9,"利用可",IF(AND(AB1351="停止",J1351="停止"),"両方停止","運転がそろわない")))</f>
        <v>判定不能</v>
      </c>
      <c r="AU1351" s="30" t="n">
        <v>0</v>
      </c>
      <c r="AV1351" s="30" t="n">
        <v>0</v>
      </c>
      <c r="AW1351" s="30" t="str">
        <f aca="false">IF(OR(AE1351="判定不能",M1351="判定不能"),"判定不能",IF(AV1351&gt;=判定条件!$C$9,"利用可",IF(AND(AE1351="停止",M1351="停止"),"両方停止","運転がそろわない")))</f>
        <v>判定不能</v>
      </c>
      <c r="AX1351" s="30" t="str">
        <f aca="false">IF(AND(AH1351="利用可",AK1351="利用可",AN1351="利用可"),"利用可","不可")</f>
        <v>不可</v>
      </c>
      <c r="AY1351" s="30" t="str">
        <f aca="false">IF(AND(AQ1351="利用可",AT1351="利用可",AW1351="利用可"),"利用可","不可")</f>
        <v>不可</v>
      </c>
    </row>
    <row r="1352" customFormat="false" ht="15" hidden="false" customHeight="false" outlineLevel="0" collapsed="false">
      <c r="A1352" s="29" t="n">
        <v>46288</v>
      </c>
      <c r="B1352" s="30" t="n">
        <v>5</v>
      </c>
      <c r="C1352" s="31" t="s">
        <v>58</v>
      </c>
      <c r="D1352" s="31" t="s">
        <v>101</v>
      </c>
      <c r="E1352" s="30" t="n">
        <v>60</v>
      </c>
      <c r="F1352" s="30" t="n">
        <v>0</v>
      </c>
      <c r="G1352" s="30" t="str">
        <f aca="false">IF(E1352&lt;判定条件!$C$6,"判定不能",IF(F1352&gt;=判定条件!$C$7*E1352,"運転",IF(F1352&lt;=判定条件!$C$8*E1352,"停止","断続")))</f>
        <v>停止</v>
      </c>
      <c r="H1352" s="30" t="n">
        <v>60</v>
      </c>
      <c r="I1352" s="30" t="n">
        <v>0</v>
      </c>
      <c r="J1352" s="30" t="str">
        <f aca="false">IF(H1352&lt;判定条件!$C$6,"判定不能",IF(I1352&gt;=判定条件!$C$7*H1352,"運転",IF(I1352&lt;=判定条件!$C$8*H1352,"停止","断続")))</f>
        <v>停止</v>
      </c>
      <c r="K1352" s="30" t="n">
        <v>60</v>
      </c>
      <c r="L1352" s="30" t="n">
        <v>0</v>
      </c>
      <c r="M1352" s="30" t="str">
        <f aca="false">IF(K1352&lt;判定条件!$C$6,"判定不能",IF(L1352&gt;=判定条件!$C$7*K1352,"運転",IF(L1352&lt;=判定条件!$C$8*K1352,"停止","断続")))</f>
        <v>停止</v>
      </c>
      <c r="N1352" s="30" t="n">
        <v>60</v>
      </c>
      <c r="O1352" s="30" t="n">
        <v>0</v>
      </c>
      <c r="P1352" s="30" t="str">
        <f aca="false">IF(N1352&lt;判定条件!$C$6,"判定不能",IF(O1352&gt;=判定条件!$C$7*N1352,"運転",IF(O1352&lt;=判定条件!$C$8*N1352,"停止","断続")))</f>
        <v>停止</v>
      </c>
      <c r="Q1352" s="30" t="n">
        <v>60</v>
      </c>
      <c r="R1352" s="30" t="n">
        <v>0</v>
      </c>
      <c r="S1352" s="30" t="str">
        <f aca="false">IF(Q1352&lt;判定条件!$C$6,"判定不能",IF(R1352&gt;=判定条件!$C$7*Q1352,"運転",IF(R1352&lt;=判定条件!$C$8*Q1352,"停止","断続")))</f>
        <v>停止</v>
      </c>
      <c r="T1352" s="30" t="n">
        <v>60</v>
      </c>
      <c r="U1352" s="30" t="n">
        <v>0</v>
      </c>
      <c r="V1352" s="30" t="str">
        <f aca="false">IF(T1352&lt;判定条件!$C$6,"判定不能",IF(U1352&gt;=判定条件!$C$7*T1352,"運転",IF(U1352&lt;=判定条件!$C$8*T1352,"停止","断続")))</f>
        <v>停止</v>
      </c>
      <c r="W1352" s="30" t="n">
        <v>0</v>
      </c>
      <c r="X1352" s="30" t="n">
        <v>0</v>
      </c>
      <c r="Y1352" s="30" t="str">
        <f aca="false">IF(W1352&lt;判定条件!$C$6,"判定不能",IF(X1352&gt;=判定条件!$C$7*W1352,"運転",IF(X1352&lt;=判定条件!$C$8*W1352,"停止","断続")))</f>
        <v>判定不能</v>
      </c>
      <c r="Z1352" s="30" t="n">
        <v>0</v>
      </c>
      <c r="AA1352" s="30" t="n">
        <v>0</v>
      </c>
      <c r="AB1352" s="30" t="str">
        <f aca="false">IF(Z1352&lt;判定条件!$C$6,"判定不能",IF(AA1352&gt;=判定条件!$C$7*Z1352,"運転",IF(AA1352&lt;=判定条件!$C$8*Z1352,"停止","断続")))</f>
        <v>判定不能</v>
      </c>
      <c r="AC1352" s="30" t="n">
        <v>0</v>
      </c>
      <c r="AD1352" s="30" t="n">
        <v>0</v>
      </c>
      <c r="AE1352" s="30" t="str">
        <f aca="false">IF(AC1352&lt;判定条件!$C$6,"判定不能",IF(AD1352&gt;=判定条件!$C$7*AC1352,"運転",IF(AD1352&lt;=判定条件!$C$8*AC1352,"停止","断続")))</f>
        <v>判定不能</v>
      </c>
      <c r="AF1352" s="30" t="n">
        <v>60</v>
      </c>
      <c r="AG1352" s="30" t="n">
        <v>0</v>
      </c>
      <c r="AH1352" s="30" t="str">
        <f aca="false">IF(OR(P1352="判定不能",G1352="判定不能"),"判定不能",IF(AG1352&gt;=判定条件!$C$9,"利用可",IF(AND(P1352="停止",G1352="停止"),"両方停止","運転がそろわない")))</f>
        <v>両方停止</v>
      </c>
      <c r="AI1352" s="30" t="n">
        <v>60</v>
      </c>
      <c r="AJ1352" s="30" t="n">
        <v>0</v>
      </c>
      <c r="AK1352" s="30" t="str">
        <f aca="false">IF(OR(S1352="判定不能",J1352="判定不能"),"判定不能",IF(AJ1352&gt;=判定条件!$C$9,"利用可",IF(AND(S1352="停止",J1352="停止"),"両方停止","運転がそろわない")))</f>
        <v>両方停止</v>
      </c>
      <c r="AL1352" s="30" t="n">
        <v>60</v>
      </c>
      <c r="AM1352" s="30" t="n">
        <v>0</v>
      </c>
      <c r="AN1352" s="30" t="str">
        <f aca="false">IF(OR(V1352="判定不能",M1352="判定不能"),"判定不能",IF(AM1352&gt;=判定条件!$C$9,"利用可",IF(AND(V1352="停止",M1352="停止"),"両方停止","運転がそろわない")))</f>
        <v>両方停止</v>
      </c>
      <c r="AO1352" s="30" t="n">
        <v>0</v>
      </c>
      <c r="AP1352" s="30" t="n">
        <v>0</v>
      </c>
      <c r="AQ1352" s="30" t="str">
        <f aca="false">IF(OR(Y1352="判定不能",G1352="判定不能"),"判定不能",IF(AP1352&gt;=判定条件!$C$9,"利用可",IF(AND(Y1352="停止",G1352="停止"),"両方停止","運転がそろわない")))</f>
        <v>判定不能</v>
      </c>
      <c r="AR1352" s="30" t="n">
        <v>0</v>
      </c>
      <c r="AS1352" s="30" t="n">
        <v>0</v>
      </c>
      <c r="AT1352" s="30" t="str">
        <f aca="false">IF(OR(AB1352="判定不能",J1352="判定不能"),"判定不能",IF(AS1352&gt;=判定条件!$C$9,"利用可",IF(AND(AB1352="停止",J1352="停止"),"両方停止","運転がそろわない")))</f>
        <v>判定不能</v>
      </c>
      <c r="AU1352" s="30" t="n">
        <v>0</v>
      </c>
      <c r="AV1352" s="30" t="n">
        <v>0</v>
      </c>
      <c r="AW1352" s="30" t="str">
        <f aca="false">IF(OR(AE1352="判定不能",M1352="判定不能"),"判定不能",IF(AV1352&gt;=判定条件!$C$9,"利用可",IF(AND(AE1352="停止",M1352="停止"),"両方停止","運転がそろわない")))</f>
        <v>判定不能</v>
      </c>
      <c r="AX1352" s="30" t="str">
        <f aca="false">IF(AND(AH1352="利用可",AK1352="利用可",AN1352="利用可"),"利用可","不可")</f>
        <v>不可</v>
      </c>
      <c r="AY1352" s="30" t="str">
        <f aca="false">IF(AND(AQ1352="利用可",AT1352="利用可",AW1352="利用可"),"利用可","不可")</f>
        <v>不可</v>
      </c>
    </row>
    <row r="1353" customFormat="false" ht="15" hidden="false" customHeight="false" outlineLevel="0" collapsed="false">
      <c r="A1353" s="29" t="n">
        <v>46288</v>
      </c>
      <c r="B1353" s="30" t="n">
        <v>6</v>
      </c>
      <c r="C1353" s="31" t="s">
        <v>58</v>
      </c>
      <c r="D1353" s="31" t="s">
        <v>101</v>
      </c>
      <c r="E1353" s="30" t="n">
        <v>60</v>
      </c>
      <c r="F1353" s="30" t="n">
        <v>0</v>
      </c>
      <c r="G1353" s="30" t="str">
        <f aca="false">IF(E1353&lt;判定条件!$C$6,"判定不能",IF(F1353&gt;=判定条件!$C$7*E1353,"運転",IF(F1353&lt;=判定条件!$C$8*E1353,"停止","断続")))</f>
        <v>停止</v>
      </c>
      <c r="H1353" s="30" t="n">
        <v>60</v>
      </c>
      <c r="I1353" s="30" t="n">
        <v>0</v>
      </c>
      <c r="J1353" s="30" t="str">
        <f aca="false">IF(H1353&lt;判定条件!$C$6,"判定不能",IF(I1353&gt;=判定条件!$C$7*H1353,"運転",IF(I1353&lt;=判定条件!$C$8*H1353,"停止","断続")))</f>
        <v>停止</v>
      </c>
      <c r="K1353" s="30" t="n">
        <v>60</v>
      </c>
      <c r="L1353" s="30" t="n">
        <v>0</v>
      </c>
      <c r="M1353" s="30" t="str">
        <f aca="false">IF(K1353&lt;判定条件!$C$6,"判定不能",IF(L1353&gt;=判定条件!$C$7*K1353,"運転",IF(L1353&lt;=判定条件!$C$8*K1353,"停止","断続")))</f>
        <v>停止</v>
      </c>
      <c r="N1353" s="30" t="n">
        <v>60</v>
      </c>
      <c r="O1353" s="30" t="n">
        <v>0</v>
      </c>
      <c r="P1353" s="30" t="str">
        <f aca="false">IF(N1353&lt;判定条件!$C$6,"判定不能",IF(O1353&gt;=判定条件!$C$7*N1353,"運転",IF(O1353&lt;=判定条件!$C$8*N1353,"停止","断続")))</f>
        <v>停止</v>
      </c>
      <c r="Q1353" s="30" t="n">
        <v>60</v>
      </c>
      <c r="R1353" s="30" t="n">
        <v>0</v>
      </c>
      <c r="S1353" s="30" t="str">
        <f aca="false">IF(Q1353&lt;判定条件!$C$6,"判定不能",IF(R1353&gt;=判定条件!$C$7*Q1353,"運転",IF(R1353&lt;=判定条件!$C$8*Q1353,"停止","断続")))</f>
        <v>停止</v>
      </c>
      <c r="T1353" s="30" t="n">
        <v>60</v>
      </c>
      <c r="U1353" s="30" t="n">
        <v>0</v>
      </c>
      <c r="V1353" s="30" t="str">
        <f aca="false">IF(T1353&lt;判定条件!$C$6,"判定不能",IF(U1353&gt;=判定条件!$C$7*T1353,"運転",IF(U1353&lt;=判定条件!$C$8*T1353,"停止","断続")))</f>
        <v>停止</v>
      </c>
      <c r="W1353" s="30" t="n">
        <v>0</v>
      </c>
      <c r="X1353" s="30" t="n">
        <v>0</v>
      </c>
      <c r="Y1353" s="30" t="str">
        <f aca="false">IF(W1353&lt;判定条件!$C$6,"判定不能",IF(X1353&gt;=判定条件!$C$7*W1353,"運転",IF(X1353&lt;=判定条件!$C$8*W1353,"停止","断続")))</f>
        <v>判定不能</v>
      </c>
      <c r="Z1353" s="30" t="n">
        <v>0</v>
      </c>
      <c r="AA1353" s="30" t="n">
        <v>0</v>
      </c>
      <c r="AB1353" s="30" t="str">
        <f aca="false">IF(Z1353&lt;判定条件!$C$6,"判定不能",IF(AA1353&gt;=判定条件!$C$7*Z1353,"運転",IF(AA1353&lt;=判定条件!$C$8*Z1353,"停止","断続")))</f>
        <v>判定不能</v>
      </c>
      <c r="AC1353" s="30" t="n">
        <v>0</v>
      </c>
      <c r="AD1353" s="30" t="n">
        <v>0</v>
      </c>
      <c r="AE1353" s="30" t="str">
        <f aca="false">IF(AC1353&lt;判定条件!$C$6,"判定不能",IF(AD1353&gt;=判定条件!$C$7*AC1353,"運転",IF(AD1353&lt;=判定条件!$C$8*AC1353,"停止","断続")))</f>
        <v>判定不能</v>
      </c>
      <c r="AF1353" s="30" t="n">
        <v>60</v>
      </c>
      <c r="AG1353" s="30" t="n">
        <v>0</v>
      </c>
      <c r="AH1353" s="30" t="str">
        <f aca="false">IF(OR(P1353="判定不能",G1353="判定不能"),"判定不能",IF(AG1353&gt;=判定条件!$C$9,"利用可",IF(AND(P1353="停止",G1353="停止"),"両方停止","運転がそろわない")))</f>
        <v>両方停止</v>
      </c>
      <c r="AI1353" s="30" t="n">
        <v>60</v>
      </c>
      <c r="AJ1353" s="30" t="n">
        <v>0</v>
      </c>
      <c r="AK1353" s="30" t="str">
        <f aca="false">IF(OR(S1353="判定不能",J1353="判定不能"),"判定不能",IF(AJ1353&gt;=判定条件!$C$9,"利用可",IF(AND(S1353="停止",J1353="停止"),"両方停止","運転がそろわない")))</f>
        <v>両方停止</v>
      </c>
      <c r="AL1353" s="30" t="n">
        <v>60</v>
      </c>
      <c r="AM1353" s="30" t="n">
        <v>0</v>
      </c>
      <c r="AN1353" s="30" t="str">
        <f aca="false">IF(OR(V1353="判定不能",M1353="判定不能"),"判定不能",IF(AM1353&gt;=判定条件!$C$9,"利用可",IF(AND(V1353="停止",M1353="停止"),"両方停止","運転がそろわない")))</f>
        <v>両方停止</v>
      </c>
      <c r="AO1353" s="30" t="n">
        <v>0</v>
      </c>
      <c r="AP1353" s="30" t="n">
        <v>0</v>
      </c>
      <c r="AQ1353" s="30" t="str">
        <f aca="false">IF(OR(Y1353="判定不能",G1353="判定不能"),"判定不能",IF(AP1353&gt;=判定条件!$C$9,"利用可",IF(AND(Y1353="停止",G1353="停止"),"両方停止","運転がそろわない")))</f>
        <v>判定不能</v>
      </c>
      <c r="AR1353" s="30" t="n">
        <v>0</v>
      </c>
      <c r="AS1353" s="30" t="n">
        <v>0</v>
      </c>
      <c r="AT1353" s="30" t="str">
        <f aca="false">IF(OR(AB1353="判定不能",J1353="判定不能"),"判定不能",IF(AS1353&gt;=判定条件!$C$9,"利用可",IF(AND(AB1353="停止",J1353="停止"),"両方停止","運転がそろわない")))</f>
        <v>判定不能</v>
      </c>
      <c r="AU1353" s="30" t="n">
        <v>0</v>
      </c>
      <c r="AV1353" s="30" t="n">
        <v>0</v>
      </c>
      <c r="AW1353" s="30" t="str">
        <f aca="false">IF(OR(AE1353="判定不能",M1353="判定不能"),"判定不能",IF(AV1353&gt;=判定条件!$C$9,"利用可",IF(AND(AE1353="停止",M1353="停止"),"両方停止","運転がそろわない")))</f>
        <v>判定不能</v>
      </c>
      <c r="AX1353" s="30" t="str">
        <f aca="false">IF(AND(AH1353="利用可",AK1353="利用可",AN1353="利用可"),"利用可","不可")</f>
        <v>不可</v>
      </c>
      <c r="AY1353" s="30" t="str">
        <f aca="false">IF(AND(AQ1353="利用可",AT1353="利用可",AW1353="利用可"),"利用可","不可")</f>
        <v>不可</v>
      </c>
    </row>
    <row r="1354" customFormat="false" ht="15" hidden="false" customHeight="false" outlineLevel="0" collapsed="false">
      <c r="A1354" s="29" t="n">
        <v>46288</v>
      </c>
      <c r="B1354" s="30" t="n">
        <v>7</v>
      </c>
      <c r="C1354" s="31" t="s">
        <v>58</v>
      </c>
      <c r="D1354" s="31" t="s">
        <v>101</v>
      </c>
      <c r="E1354" s="30" t="n">
        <v>60</v>
      </c>
      <c r="F1354" s="30" t="n">
        <v>0</v>
      </c>
      <c r="G1354" s="30" t="str">
        <f aca="false">IF(E1354&lt;判定条件!$C$6,"判定不能",IF(F1354&gt;=判定条件!$C$7*E1354,"運転",IF(F1354&lt;=判定条件!$C$8*E1354,"停止","断続")))</f>
        <v>停止</v>
      </c>
      <c r="H1354" s="30" t="n">
        <v>60</v>
      </c>
      <c r="I1354" s="30" t="n">
        <v>0</v>
      </c>
      <c r="J1354" s="30" t="str">
        <f aca="false">IF(H1354&lt;判定条件!$C$6,"判定不能",IF(I1354&gt;=判定条件!$C$7*H1354,"運転",IF(I1354&lt;=判定条件!$C$8*H1354,"停止","断続")))</f>
        <v>停止</v>
      </c>
      <c r="K1354" s="30" t="n">
        <v>60</v>
      </c>
      <c r="L1354" s="30" t="n">
        <v>0</v>
      </c>
      <c r="M1354" s="30" t="str">
        <f aca="false">IF(K1354&lt;判定条件!$C$6,"判定不能",IF(L1354&gt;=判定条件!$C$7*K1354,"運転",IF(L1354&lt;=判定条件!$C$8*K1354,"停止","断続")))</f>
        <v>停止</v>
      </c>
      <c r="N1354" s="30" t="n">
        <v>60</v>
      </c>
      <c r="O1354" s="30" t="n">
        <v>0</v>
      </c>
      <c r="P1354" s="30" t="str">
        <f aca="false">IF(N1354&lt;判定条件!$C$6,"判定不能",IF(O1354&gt;=判定条件!$C$7*N1354,"運転",IF(O1354&lt;=判定条件!$C$8*N1354,"停止","断続")))</f>
        <v>停止</v>
      </c>
      <c r="Q1354" s="30" t="n">
        <v>60</v>
      </c>
      <c r="R1354" s="30" t="n">
        <v>0</v>
      </c>
      <c r="S1354" s="30" t="str">
        <f aca="false">IF(Q1354&lt;判定条件!$C$6,"判定不能",IF(R1354&gt;=判定条件!$C$7*Q1354,"運転",IF(R1354&lt;=判定条件!$C$8*Q1354,"停止","断続")))</f>
        <v>停止</v>
      </c>
      <c r="T1354" s="30" t="n">
        <v>60</v>
      </c>
      <c r="U1354" s="30" t="n">
        <v>0</v>
      </c>
      <c r="V1354" s="30" t="str">
        <f aca="false">IF(T1354&lt;判定条件!$C$6,"判定不能",IF(U1354&gt;=判定条件!$C$7*T1354,"運転",IF(U1354&lt;=判定条件!$C$8*T1354,"停止","断続")))</f>
        <v>停止</v>
      </c>
      <c r="W1354" s="30" t="n">
        <v>0</v>
      </c>
      <c r="X1354" s="30" t="n">
        <v>0</v>
      </c>
      <c r="Y1354" s="30" t="str">
        <f aca="false">IF(W1354&lt;判定条件!$C$6,"判定不能",IF(X1354&gt;=判定条件!$C$7*W1354,"運転",IF(X1354&lt;=判定条件!$C$8*W1354,"停止","断続")))</f>
        <v>判定不能</v>
      </c>
      <c r="Z1354" s="30" t="n">
        <v>0</v>
      </c>
      <c r="AA1354" s="30" t="n">
        <v>0</v>
      </c>
      <c r="AB1354" s="30" t="str">
        <f aca="false">IF(Z1354&lt;判定条件!$C$6,"判定不能",IF(AA1354&gt;=判定条件!$C$7*Z1354,"運転",IF(AA1354&lt;=判定条件!$C$8*Z1354,"停止","断続")))</f>
        <v>判定不能</v>
      </c>
      <c r="AC1354" s="30" t="n">
        <v>0</v>
      </c>
      <c r="AD1354" s="30" t="n">
        <v>0</v>
      </c>
      <c r="AE1354" s="30" t="str">
        <f aca="false">IF(AC1354&lt;判定条件!$C$6,"判定不能",IF(AD1354&gt;=判定条件!$C$7*AC1354,"運転",IF(AD1354&lt;=判定条件!$C$8*AC1354,"停止","断続")))</f>
        <v>判定不能</v>
      </c>
      <c r="AF1354" s="30" t="n">
        <v>60</v>
      </c>
      <c r="AG1354" s="30" t="n">
        <v>0</v>
      </c>
      <c r="AH1354" s="30" t="str">
        <f aca="false">IF(OR(P1354="判定不能",G1354="判定不能"),"判定不能",IF(AG1354&gt;=判定条件!$C$9,"利用可",IF(AND(P1354="停止",G1354="停止"),"両方停止","運転がそろわない")))</f>
        <v>両方停止</v>
      </c>
      <c r="AI1354" s="30" t="n">
        <v>60</v>
      </c>
      <c r="AJ1354" s="30" t="n">
        <v>0</v>
      </c>
      <c r="AK1354" s="30" t="str">
        <f aca="false">IF(OR(S1354="判定不能",J1354="判定不能"),"判定不能",IF(AJ1354&gt;=判定条件!$C$9,"利用可",IF(AND(S1354="停止",J1354="停止"),"両方停止","運転がそろわない")))</f>
        <v>両方停止</v>
      </c>
      <c r="AL1354" s="30" t="n">
        <v>60</v>
      </c>
      <c r="AM1354" s="30" t="n">
        <v>0</v>
      </c>
      <c r="AN1354" s="30" t="str">
        <f aca="false">IF(OR(V1354="判定不能",M1354="判定不能"),"判定不能",IF(AM1354&gt;=判定条件!$C$9,"利用可",IF(AND(V1354="停止",M1354="停止"),"両方停止","運転がそろわない")))</f>
        <v>両方停止</v>
      </c>
      <c r="AO1354" s="30" t="n">
        <v>0</v>
      </c>
      <c r="AP1354" s="30" t="n">
        <v>0</v>
      </c>
      <c r="AQ1354" s="30" t="str">
        <f aca="false">IF(OR(Y1354="判定不能",G1354="判定不能"),"判定不能",IF(AP1354&gt;=判定条件!$C$9,"利用可",IF(AND(Y1354="停止",G1354="停止"),"両方停止","運転がそろわない")))</f>
        <v>判定不能</v>
      </c>
      <c r="AR1354" s="30" t="n">
        <v>0</v>
      </c>
      <c r="AS1354" s="30" t="n">
        <v>0</v>
      </c>
      <c r="AT1354" s="30" t="str">
        <f aca="false">IF(OR(AB1354="判定不能",J1354="判定不能"),"判定不能",IF(AS1354&gt;=判定条件!$C$9,"利用可",IF(AND(AB1354="停止",J1354="停止"),"両方停止","運転がそろわない")))</f>
        <v>判定不能</v>
      </c>
      <c r="AU1354" s="30" t="n">
        <v>0</v>
      </c>
      <c r="AV1354" s="30" t="n">
        <v>0</v>
      </c>
      <c r="AW1354" s="30" t="str">
        <f aca="false">IF(OR(AE1354="判定不能",M1354="判定不能"),"判定不能",IF(AV1354&gt;=判定条件!$C$9,"利用可",IF(AND(AE1354="停止",M1354="停止"),"両方停止","運転がそろわない")))</f>
        <v>判定不能</v>
      </c>
      <c r="AX1354" s="30" t="str">
        <f aca="false">IF(AND(AH1354="利用可",AK1354="利用可",AN1354="利用可"),"利用可","不可")</f>
        <v>不可</v>
      </c>
      <c r="AY1354" s="30" t="str">
        <f aca="false">IF(AND(AQ1354="利用可",AT1354="利用可",AW1354="利用可"),"利用可","不可")</f>
        <v>不可</v>
      </c>
    </row>
    <row r="1355" customFormat="false" ht="15" hidden="false" customHeight="false" outlineLevel="0" collapsed="false">
      <c r="A1355" s="29" t="n">
        <v>46288</v>
      </c>
      <c r="B1355" s="30" t="n">
        <v>8</v>
      </c>
      <c r="C1355" s="31" t="s">
        <v>58</v>
      </c>
      <c r="D1355" s="31" t="s">
        <v>101</v>
      </c>
      <c r="E1355" s="30" t="n">
        <v>60</v>
      </c>
      <c r="F1355" s="30" t="n">
        <v>0</v>
      </c>
      <c r="G1355" s="30" t="str">
        <f aca="false">IF(E1355&lt;判定条件!$C$6,"判定不能",IF(F1355&gt;=判定条件!$C$7*E1355,"運転",IF(F1355&lt;=判定条件!$C$8*E1355,"停止","断続")))</f>
        <v>停止</v>
      </c>
      <c r="H1355" s="30" t="n">
        <v>60</v>
      </c>
      <c r="I1355" s="30" t="n">
        <v>23</v>
      </c>
      <c r="J1355" s="30" t="str">
        <f aca="false">IF(H1355&lt;判定条件!$C$6,"判定不能",IF(I1355&gt;=判定条件!$C$7*H1355,"運転",IF(I1355&lt;=判定条件!$C$8*H1355,"停止","断続")))</f>
        <v>断続</v>
      </c>
      <c r="K1355" s="30" t="n">
        <v>60</v>
      </c>
      <c r="L1355" s="30" t="n">
        <v>27</v>
      </c>
      <c r="M1355" s="30" t="str">
        <f aca="false">IF(K1355&lt;判定条件!$C$6,"判定不能",IF(L1355&gt;=判定条件!$C$7*K1355,"運転",IF(L1355&lt;=判定条件!$C$8*K1355,"停止","断続")))</f>
        <v>断続</v>
      </c>
      <c r="N1355" s="30" t="n">
        <v>60</v>
      </c>
      <c r="O1355" s="30" t="n">
        <v>9</v>
      </c>
      <c r="P1355" s="30" t="str">
        <f aca="false">IF(N1355&lt;判定条件!$C$6,"判定不能",IF(O1355&gt;=判定条件!$C$7*N1355,"運転",IF(O1355&lt;=判定条件!$C$8*N1355,"停止","断続")))</f>
        <v>停止</v>
      </c>
      <c r="Q1355" s="30" t="n">
        <v>60</v>
      </c>
      <c r="R1355" s="30" t="n">
        <v>23</v>
      </c>
      <c r="S1355" s="30" t="str">
        <f aca="false">IF(Q1355&lt;判定条件!$C$6,"判定不能",IF(R1355&gt;=判定条件!$C$7*Q1355,"運転",IF(R1355&lt;=判定条件!$C$8*Q1355,"停止","断続")))</f>
        <v>断続</v>
      </c>
      <c r="T1355" s="30" t="n">
        <v>60</v>
      </c>
      <c r="U1355" s="30" t="n">
        <v>12</v>
      </c>
      <c r="V1355" s="30" t="str">
        <f aca="false">IF(T1355&lt;判定条件!$C$6,"判定不能",IF(U1355&gt;=判定条件!$C$7*T1355,"運転",IF(U1355&lt;=判定条件!$C$8*T1355,"停止","断続")))</f>
        <v>停止</v>
      </c>
      <c r="W1355" s="30" t="n">
        <v>0</v>
      </c>
      <c r="X1355" s="30" t="n">
        <v>0</v>
      </c>
      <c r="Y1355" s="30" t="str">
        <f aca="false">IF(W1355&lt;判定条件!$C$6,"判定不能",IF(X1355&gt;=判定条件!$C$7*W1355,"運転",IF(X1355&lt;=判定条件!$C$8*W1355,"停止","断続")))</f>
        <v>判定不能</v>
      </c>
      <c r="Z1355" s="30" t="n">
        <v>0</v>
      </c>
      <c r="AA1355" s="30" t="n">
        <v>0</v>
      </c>
      <c r="AB1355" s="30" t="str">
        <f aca="false">IF(Z1355&lt;判定条件!$C$6,"判定不能",IF(AA1355&gt;=判定条件!$C$7*Z1355,"運転",IF(AA1355&lt;=判定条件!$C$8*Z1355,"停止","断続")))</f>
        <v>判定不能</v>
      </c>
      <c r="AC1355" s="30" t="n">
        <v>0</v>
      </c>
      <c r="AD1355" s="30" t="n">
        <v>0</v>
      </c>
      <c r="AE1355" s="30" t="str">
        <f aca="false">IF(AC1355&lt;判定条件!$C$6,"判定不能",IF(AD1355&gt;=判定条件!$C$7*AC1355,"運転",IF(AD1355&lt;=判定条件!$C$8*AC1355,"停止","断続")))</f>
        <v>判定不能</v>
      </c>
      <c r="AF1355" s="30" t="n">
        <v>60</v>
      </c>
      <c r="AG1355" s="30" t="n">
        <v>0</v>
      </c>
      <c r="AH1355" s="30" t="str">
        <f aca="false">IF(OR(P1355="判定不能",G1355="判定不能"),"判定不能",IF(AG1355&gt;=判定条件!$C$9,"利用可",IF(AND(P1355="停止",G1355="停止"),"両方停止","運転がそろわない")))</f>
        <v>両方停止</v>
      </c>
      <c r="AI1355" s="30" t="n">
        <v>60</v>
      </c>
      <c r="AJ1355" s="30" t="n">
        <v>9</v>
      </c>
      <c r="AK1355" s="30" t="str">
        <f aca="false">IF(OR(S1355="判定不能",J1355="判定不能"),"判定不能",IF(AJ1355&gt;=判定条件!$C$9,"利用可",IF(AND(S1355="停止",J1355="停止"),"両方停止","運転がそろわない")))</f>
        <v>運転がそろわない</v>
      </c>
      <c r="AL1355" s="30" t="n">
        <v>60</v>
      </c>
      <c r="AM1355" s="30" t="n">
        <v>0</v>
      </c>
      <c r="AN1355" s="30" t="str">
        <f aca="false">IF(OR(V1355="判定不能",M1355="判定不能"),"判定不能",IF(AM1355&gt;=判定条件!$C$9,"利用可",IF(AND(V1355="停止",M1355="停止"),"両方停止","運転がそろわない")))</f>
        <v>運転がそろわない</v>
      </c>
      <c r="AO1355" s="30" t="n">
        <v>0</v>
      </c>
      <c r="AP1355" s="30" t="n">
        <v>0</v>
      </c>
      <c r="AQ1355" s="30" t="str">
        <f aca="false">IF(OR(Y1355="判定不能",G1355="判定不能"),"判定不能",IF(AP1355&gt;=判定条件!$C$9,"利用可",IF(AND(Y1355="停止",G1355="停止"),"両方停止","運転がそろわない")))</f>
        <v>判定不能</v>
      </c>
      <c r="AR1355" s="30" t="n">
        <v>0</v>
      </c>
      <c r="AS1355" s="30" t="n">
        <v>0</v>
      </c>
      <c r="AT1355" s="30" t="str">
        <f aca="false">IF(OR(AB1355="判定不能",J1355="判定不能"),"判定不能",IF(AS1355&gt;=判定条件!$C$9,"利用可",IF(AND(AB1355="停止",J1355="停止"),"両方停止","運転がそろわない")))</f>
        <v>判定不能</v>
      </c>
      <c r="AU1355" s="30" t="n">
        <v>0</v>
      </c>
      <c r="AV1355" s="30" t="n">
        <v>0</v>
      </c>
      <c r="AW1355" s="30" t="str">
        <f aca="false">IF(OR(AE1355="判定不能",M1355="判定不能"),"判定不能",IF(AV1355&gt;=判定条件!$C$9,"利用可",IF(AND(AE1355="停止",M1355="停止"),"両方停止","運転がそろわない")))</f>
        <v>判定不能</v>
      </c>
      <c r="AX1355" s="30" t="str">
        <f aca="false">IF(AND(AH1355="利用可",AK1355="利用可",AN1355="利用可"),"利用可","不可")</f>
        <v>不可</v>
      </c>
      <c r="AY1355" s="30" t="str">
        <f aca="false">IF(AND(AQ1355="利用可",AT1355="利用可",AW1355="利用可"),"利用可","不可")</f>
        <v>不可</v>
      </c>
    </row>
    <row r="1356" customFormat="false" ht="15" hidden="false" customHeight="false" outlineLevel="0" collapsed="false">
      <c r="A1356" s="29" t="n">
        <v>46288</v>
      </c>
      <c r="B1356" s="30" t="n">
        <v>9</v>
      </c>
      <c r="C1356" s="31" t="s">
        <v>58</v>
      </c>
      <c r="D1356" s="31" t="s">
        <v>101</v>
      </c>
      <c r="E1356" s="30" t="n">
        <v>60</v>
      </c>
      <c r="F1356" s="30" t="n">
        <v>7</v>
      </c>
      <c r="G1356" s="30" t="str">
        <f aca="false">IF(E1356&lt;判定条件!$C$6,"判定不能",IF(F1356&gt;=判定条件!$C$7*E1356,"運転",IF(F1356&lt;=判定条件!$C$8*E1356,"停止","断続")))</f>
        <v>停止</v>
      </c>
      <c r="H1356" s="30" t="n">
        <v>60</v>
      </c>
      <c r="I1356" s="30" t="n">
        <v>11</v>
      </c>
      <c r="J1356" s="30" t="str">
        <f aca="false">IF(H1356&lt;判定条件!$C$6,"判定不能",IF(I1356&gt;=判定条件!$C$7*H1356,"運転",IF(I1356&lt;=判定条件!$C$8*H1356,"停止","断続")))</f>
        <v>停止</v>
      </c>
      <c r="K1356" s="30" t="n">
        <v>60</v>
      </c>
      <c r="L1356" s="30" t="n">
        <v>14</v>
      </c>
      <c r="M1356" s="30" t="str">
        <f aca="false">IF(K1356&lt;判定条件!$C$6,"判定不能",IF(L1356&gt;=判定条件!$C$7*K1356,"運転",IF(L1356&lt;=判定条件!$C$8*K1356,"停止","断続")))</f>
        <v>断続</v>
      </c>
      <c r="N1356" s="30" t="n">
        <v>60</v>
      </c>
      <c r="O1356" s="30" t="n">
        <v>0</v>
      </c>
      <c r="P1356" s="30" t="str">
        <f aca="false">IF(N1356&lt;判定条件!$C$6,"判定不能",IF(O1356&gt;=判定条件!$C$7*N1356,"運転",IF(O1356&lt;=判定条件!$C$8*N1356,"停止","断続")))</f>
        <v>停止</v>
      </c>
      <c r="Q1356" s="30" t="n">
        <v>60</v>
      </c>
      <c r="R1356" s="30" t="n">
        <v>0</v>
      </c>
      <c r="S1356" s="30" t="str">
        <f aca="false">IF(Q1356&lt;判定条件!$C$6,"判定不能",IF(R1356&gt;=判定条件!$C$7*Q1356,"運転",IF(R1356&lt;=判定条件!$C$8*Q1356,"停止","断続")))</f>
        <v>停止</v>
      </c>
      <c r="T1356" s="30" t="n">
        <v>60</v>
      </c>
      <c r="U1356" s="30" t="n">
        <v>0</v>
      </c>
      <c r="V1356" s="30" t="str">
        <f aca="false">IF(T1356&lt;判定条件!$C$6,"判定不能",IF(U1356&gt;=判定条件!$C$7*T1356,"運転",IF(U1356&lt;=判定条件!$C$8*T1356,"停止","断続")))</f>
        <v>停止</v>
      </c>
      <c r="W1356" s="30" t="n">
        <v>0</v>
      </c>
      <c r="X1356" s="30" t="n">
        <v>0</v>
      </c>
      <c r="Y1356" s="30" t="str">
        <f aca="false">IF(W1356&lt;判定条件!$C$6,"判定不能",IF(X1356&gt;=判定条件!$C$7*W1356,"運転",IF(X1356&lt;=判定条件!$C$8*W1356,"停止","断続")))</f>
        <v>判定不能</v>
      </c>
      <c r="Z1356" s="30" t="n">
        <v>0</v>
      </c>
      <c r="AA1356" s="30" t="n">
        <v>0</v>
      </c>
      <c r="AB1356" s="30" t="str">
        <f aca="false">IF(Z1356&lt;判定条件!$C$6,"判定不能",IF(AA1356&gt;=判定条件!$C$7*Z1356,"運転",IF(AA1356&lt;=判定条件!$C$8*Z1356,"停止","断続")))</f>
        <v>判定不能</v>
      </c>
      <c r="AC1356" s="30" t="n">
        <v>0</v>
      </c>
      <c r="AD1356" s="30" t="n">
        <v>0</v>
      </c>
      <c r="AE1356" s="30" t="str">
        <f aca="false">IF(AC1356&lt;判定条件!$C$6,"判定不能",IF(AD1356&gt;=判定条件!$C$7*AC1356,"運転",IF(AD1356&lt;=判定条件!$C$8*AC1356,"停止","断続")))</f>
        <v>判定不能</v>
      </c>
      <c r="AF1356" s="30" t="n">
        <v>60</v>
      </c>
      <c r="AG1356" s="30" t="n">
        <v>0</v>
      </c>
      <c r="AH1356" s="30" t="str">
        <f aca="false">IF(OR(P1356="判定不能",G1356="判定不能"),"判定不能",IF(AG1356&gt;=判定条件!$C$9,"利用可",IF(AND(P1356="停止",G1356="停止"),"両方停止","運転がそろわない")))</f>
        <v>両方停止</v>
      </c>
      <c r="AI1356" s="30" t="n">
        <v>60</v>
      </c>
      <c r="AJ1356" s="30" t="n">
        <v>0</v>
      </c>
      <c r="AK1356" s="30" t="str">
        <f aca="false">IF(OR(S1356="判定不能",J1356="判定不能"),"判定不能",IF(AJ1356&gt;=判定条件!$C$9,"利用可",IF(AND(S1356="停止",J1356="停止"),"両方停止","運転がそろわない")))</f>
        <v>両方停止</v>
      </c>
      <c r="AL1356" s="30" t="n">
        <v>60</v>
      </c>
      <c r="AM1356" s="30" t="n">
        <v>0</v>
      </c>
      <c r="AN1356" s="30" t="str">
        <f aca="false">IF(OR(V1356="判定不能",M1356="判定不能"),"判定不能",IF(AM1356&gt;=判定条件!$C$9,"利用可",IF(AND(V1356="停止",M1356="停止"),"両方停止","運転がそろわない")))</f>
        <v>運転がそろわない</v>
      </c>
      <c r="AO1356" s="30" t="n">
        <v>0</v>
      </c>
      <c r="AP1356" s="30" t="n">
        <v>0</v>
      </c>
      <c r="AQ1356" s="30" t="str">
        <f aca="false">IF(OR(Y1356="判定不能",G1356="判定不能"),"判定不能",IF(AP1356&gt;=判定条件!$C$9,"利用可",IF(AND(Y1356="停止",G1356="停止"),"両方停止","運転がそろわない")))</f>
        <v>判定不能</v>
      </c>
      <c r="AR1356" s="30" t="n">
        <v>0</v>
      </c>
      <c r="AS1356" s="30" t="n">
        <v>0</v>
      </c>
      <c r="AT1356" s="30" t="str">
        <f aca="false">IF(OR(AB1356="判定不能",J1356="判定不能"),"判定不能",IF(AS1356&gt;=判定条件!$C$9,"利用可",IF(AND(AB1356="停止",J1356="停止"),"両方停止","運転がそろわない")))</f>
        <v>判定不能</v>
      </c>
      <c r="AU1356" s="30" t="n">
        <v>0</v>
      </c>
      <c r="AV1356" s="30" t="n">
        <v>0</v>
      </c>
      <c r="AW1356" s="30" t="str">
        <f aca="false">IF(OR(AE1356="判定不能",M1356="判定不能"),"判定不能",IF(AV1356&gt;=判定条件!$C$9,"利用可",IF(AND(AE1356="停止",M1356="停止"),"両方停止","運転がそろわない")))</f>
        <v>判定不能</v>
      </c>
      <c r="AX1356" s="30" t="str">
        <f aca="false">IF(AND(AH1356="利用可",AK1356="利用可",AN1356="利用可"),"利用可","不可")</f>
        <v>不可</v>
      </c>
      <c r="AY1356" s="30" t="str">
        <f aca="false">IF(AND(AQ1356="利用可",AT1356="利用可",AW1356="利用可"),"利用可","不可")</f>
        <v>不可</v>
      </c>
    </row>
    <row r="1357" customFormat="false" ht="15" hidden="false" customHeight="false" outlineLevel="0" collapsed="false">
      <c r="A1357" s="29" t="n">
        <v>46288</v>
      </c>
      <c r="B1357" s="30" t="n">
        <v>10</v>
      </c>
      <c r="C1357" s="31" t="s">
        <v>58</v>
      </c>
      <c r="D1357" s="31" t="s">
        <v>101</v>
      </c>
      <c r="E1357" s="30" t="n">
        <v>60</v>
      </c>
      <c r="F1357" s="30" t="n">
        <v>0</v>
      </c>
      <c r="G1357" s="30" t="str">
        <f aca="false">IF(E1357&lt;判定条件!$C$6,"判定不能",IF(F1357&gt;=判定条件!$C$7*E1357,"運転",IF(F1357&lt;=判定条件!$C$8*E1357,"停止","断続")))</f>
        <v>停止</v>
      </c>
      <c r="H1357" s="30" t="n">
        <v>60</v>
      </c>
      <c r="I1357" s="30" t="n">
        <v>18</v>
      </c>
      <c r="J1357" s="30" t="str">
        <f aca="false">IF(H1357&lt;判定条件!$C$6,"判定不能",IF(I1357&gt;=判定条件!$C$7*H1357,"運転",IF(I1357&lt;=判定条件!$C$8*H1357,"停止","断続")))</f>
        <v>断続</v>
      </c>
      <c r="K1357" s="30" t="n">
        <v>60</v>
      </c>
      <c r="L1357" s="30" t="n">
        <v>27</v>
      </c>
      <c r="M1357" s="30" t="str">
        <f aca="false">IF(K1357&lt;判定条件!$C$6,"判定不能",IF(L1357&gt;=判定条件!$C$7*K1357,"運転",IF(L1357&lt;=判定条件!$C$8*K1357,"停止","断続")))</f>
        <v>断続</v>
      </c>
      <c r="N1357" s="30" t="n">
        <v>60</v>
      </c>
      <c r="O1357" s="30" t="n">
        <v>0</v>
      </c>
      <c r="P1357" s="30" t="str">
        <f aca="false">IF(N1357&lt;判定条件!$C$6,"判定不能",IF(O1357&gt;=判定条件!$C$7*N1357,"運転",IF(O1357&lt;=判定条件!$C$8*N1357,"停止","断続")))</f>
        <v>停止</v>
      </c>
      <c r="Q1357" s="30" t="n">
        <v>60</v>
      </c>
      <c r="R1357" s="30" t="n">
        <v>0</v>
      </c>
      <c r="S1357" s="30" t="str">
        <f aca="false">IF(Q1357&lt;判定条件!$C$6,"判定不能",IF(R1357&gt;=判定条件!$C$7*Q1357,"運転",IF(R1357&lt;=判定条件!$C$8*Q1357,"停止","断続")))</f>
        <v>停止</v>
      </c>
      <c r="T1357" s="30" t="n">
        <v>60</v>
      </c>
      <c r="U1357" s="30" t="n">
        <v>19</v>
      </c>
      <c r="V1357" s="30" t="str">
        <f aca="false">IF(T1357&lt;判定条件!$C$6,"判定不能",IF(U1357&gt;=判定条件!$C$7*T1357,"運転",IF(U1357&lt;=判定条件!$C$8*T1357,"停止","断続")))</f>
        <v>断続</v>
      </c>
      <c r="W1357" s="30" t="n">
        <v>0</v>
      </c>
      <c r="X1357" s="30" t="n">
        <v>0</v>
      </c>
      <c r="Y1357" s="30" t="str">
        <f aca="false">IF(W1357&lt;判定条件!$C$6,"判定不能",IF(X1357&gt;=判定条件!$C$7*W1357,"運転",IF(X1357&lt;=判定条件!$C$8*W1357,"停止","断続")))</f>
        <v>判定不能</v>
      </c>
      <c r="Z1357" s="30" t="n">
        <v>0</v>
      </c>
      <c r="AA1357" s="30" t="n">
        <v>0</v>
      </c>
      <c r="AB1357" s="30" t="str">
        <f aca="false">IF(Z1357&lt;判定条件!$C$6,"判定不能",IF(AA1357&gt;=判定条件!$C$7*Z1357,"運転",IF(AA1357&lt;=判定条件!$C$8*Z1357,"停止","断続")))</f>
        <v>判定不能</v>
      </c>
      <c r="AC1357" s="30" t="n">
        <v>0</v>
      </c>
      <c r="AD1357" s="30" t="n">
        <v>0</v>
      </c>
      <c r="AE1357" s="30" t="str">
        <f aca="false">IF(AC1357&lt;判定条件!$C$6,"判定不能",IF(AD1357&gt;=判定条件!$C$7*AC1357,"運転",IF(AD1357&lt;=判定条件!$C$8*AC1357,"停止","断続")))</f>
        <v>判定不能</v>
      </c>
      <c r="AF1357" s="30" t="n">
        <v>60</v>
      </c>
      <c r="AG1357" s="30" t="n">
        <v>0</v>
      </c>
      <c r="AH1357" s="30" t="str">
        <f aca="false">IF(OR(P1357="判定不能",G1357="判定不能"),"判定不能",IF(AG1357&gt;=判定条件!$C$9,"利用可",IF(AND(P1357="停止",G1357="停止"),"両方停止","運転がそろわない")))</f>
        <v>両方停止</v>
      </c>
      <c r="AI1357" s="30" t="n">
        <v>60</v>
      </c>
      <c r="AJ1357" s="30" t="n">
        <v>0</v>
      </c>
      <c r="AK1357" s="30" t="str">
        <f aca="false">IF(OR(S1357="判定不能",J1357="判定不能"),"判定不能",IF(AJ1357&gt;=判定条件!$C$9,"利用可",IF(AND(S1357="停止",J1357="停止"),"両方停止","運転がそろわない")))</f>
        <v>運転がそろわない</v>
      </c>
      <c r="AL1357" s="30" t="n">
        <v>60</v>
      </c>
      <c r="AM1357" s="30" t="n">
        <v>19</v>
      </c>
      <c r="AN1357" s="30" t="str">
        <f aca="false">IF(OR(V1357="判定不能",M1357="判定不能"),"判定不能",IF(AM1357&gt;=判定条件!$C$9,"利用可",IF(AND(V1357="停止",M1357="停止"),"両方停止","運転がそろわない")))</f>
        <v>運転がそろわない</v>
      </c>
      <c r="AO1357" s="30" t="n">
        <v>0</v>
      </c>
      <c r="AP1357" s="30" t="n">
        <v>0</v>
      </c>
      <c r="AQ1357" s="30" t="str">
        <f aca="false">IF(OR(Y1357="判定不能",G1357="判定不能"),"判定不能",IF(AP1357&gt;=判定条件!$C$9,"利用可",IF(AND(Y1357="停止",G1357="停止"),"両方停止","運転がそろわない")))</f>
        <v>判定不能</v>
      </c>
      <c r="AR1357" s="30" t="n">
        <v>0</v>
      </c>
      <c r="AS1357" s="30" t="n">
        <v>0</v>
      </c>
      <c r="AT1357" s="30" t="str">
        <f aca="false">IF(OR(AB1357="判定不能",J1357="判定不能"),"判定不能",IF(AS1357&gt;=判定条件!$C$9,"利用可",IF(AND(AB1357="停止",J1357="停止"),"両方停止","運転がそろわない")))</f>
        <v>判定不能</v>
      </c>
      <c r="AU1357" s="30" t="n">
        <v>0</v>
      </c>
      <c r="AV1357" s="30" t="n">
        <v>0</v>
      </c>
      <c r="AW1357" s="30" t="str">
        <f aca="false">IF(OR(AE1357="判定不能",M1357="判定不能"),"判定不能",IF(AV1357&gt;=判定条件!$C$9,"利用可",IF(AND(AE1357="停止",M1357="停止"),"両方停止","運転がそろわない")))</f>
        <v>判定不能</v>
      </c>
      <c r="AX1357" s="30" t="str">
        <f aca="false">IF(AND(AH1357="利用可",AK1357="利用可",AN1357="利用可"),"利用可","不可")</f>
        <v>不可</v>
      </c>
      <c r="AY1357" s="30" t="str">
        <f aca="false">IF(AND(AQ1357="利用可",AT1357="利用可",AW1357="利用可"),"利用可","不可")</f>
        <v>不可</v>
      </c>
    </row>
    <row r="1358" customFormat="false" ht="15" hidden="false" customHeight="false" outlineLevel="0" collapsed="false">
      <c r="A1358" s="29" t="n">
        <v>46288</v>
      </c>
      <c r="B1358" s="30" t="n">
        <v>11</v>
      </c>
      <c r="C1358" s="31" t="s">
        <v>58</v>
      </c>
      <c r="D1358" s="31" t="s">
        <v>101</v>
      </c>
      <c r="E1358" s="30" t="n">
        <v>60</v>
      </c>
      <c r="F1358" s="30" t="n">
        <v>14</v>
      </c>
      <c r="G1358" s="30" t="str">
        <f aca="false">IF(E1358&lt;判定条件!$C$6,"判定不能",IF(F1358&gt;=判定条件!$C$7*E1358,"運転",IF(F1358&lt;=判定条件!$C$8*E1358,"停止","断続")))</f>
        <v>断続</v>
      </c>
      <c r="H1358" s="30" t="n">
        <v>60</v>
      </c>
      <c r="I1358" s="30" t="n">
        <v>57</v>
      </c>
      <c r="J1358" s="30" t="str">
        <f aca="false">IF(H1358&lt;判定条件!$C$6,"判定不能",IF(I1358&gt;=判定条件!$C$7*H1358,"運転",IF(I1358&lt;=判定条件!$C$8*H1358,"停止","断続")))</f>
        <v>運転</v>
      </c>
      <c r="K1358" s="30" t="n">
        <v>60</v>
      </c>
      <c r="L1358" s="30" t="n">
        <v>52</v>
      </c>
      <c r="M1358" s="30" t="str">
        <f aca="false">IF(K1358&lt;判定条件!$C$6,"判定不能",IF(L1358&gt;=判定条件!$C$7*K1358,"運転",IF(L1358&lt;=判定条件!$C$8*K1358,"停止","断続")))</f>
        <v>運転</v>
      </c>
      <c r="N1358" s="30" t="n">
        <v>60</v>
      </c>
      <c r="O1358" s="30" t="n">
        <v>2</v>
      </c>
      <c r="P1358" s="30" t="str">
        <f aca="false">IF(N1358&lt;判定条件!$C$6,"判定不能",IF(O1358&gt;=判定条件!$C$7*N1358,"運転",IF(O1358&lt;=判定条件!$C$8*N1358,"停止","断続")))</f>
        <v>停止</v>
      </c>
      <c r="Q1358" s="30" t="n">
        <v>60</v>
      </c>
      <c r="R1358" s="30" t="n">
        <v>15</v>
      </c>
      <c r="S1358" s="30" t="str">
        <f aca="false">IF(Q1358&lt;判定条件!$C$6,"判定不能",IF(R1358&gt;=判定条件!$C$7*Q1358,"運転",IF(R1358&lt;=判定条件!$C$8*Q1358,"停止","断続")))</f>
        <v>断続</v>
      </c>
      <c r="T1358" s="30" t="n">
        <v>60</v>
      </c>
      <c r="U1358" s="30" t="n">
        <v>60</v>
      </c>
      <c r="V1358" s="30" t="str">
        <f aca="false">IF(T1358&lt;判定条件!$C$6,"判定不能",IF(U1358&gt;=判定条件!$C$7*T1358,"運転",IF(U1358&lt;=判定条件!$C$8*T1358,"停止","断続")))</f>
        <v>運転</v>
      </c>
      <c r="W1358" s="30" t="n">
        <v>0</v>
      </c>
      <c r="X1358" s="30" t="n">
        <v>0</v>
      </c>
      <c r="Y1358" s="30" t="str">
        <f aca="false">IF(W1358&lt;判定条件!$C$6,"判定不能",IF(X1358&gt;=判定条件!$C$7*W1358,"運転",IF(X1358&lt;=判定条件!$C$8*W1358,"停止","断続")))</f>
        <v>判定不能</v>
      </c>
      <c r="Z1358" s="30" t="n">
        <v>0</v>
      </c>
      <c r="AA1358" s="30" t="n">
        <v>0</v>
      </c>
      <c r="AB1358" s="30" t="str">
        <f aca="false">IF(Z1358&lt;判定条件!$C$6,"判定不能",IF(AA1358&gt;=判定条件!$C$7*Z1358,"運転",IF(AA1358&lt;=判定条件!$C$8*Z1358,"停止","断続")))</f>
        <v>判定不能</v>
      </c>
      <c r="AC1358" s="30" t="n">
        <v>0</v>
      </c>
      <c r="AD1358" s="30" t="n">
        <v>0</v>
      </c>
      <c r="AE1358" s="30" t="str">
        <f aca="false">IF(AC1358&lt;判定条件!$C$6,"判定不能",IF(AD1358&gt;=判定条件!$C$7*AC1358,"運転",IF(AD1358&lt;=判定条件!$C$8*AC1358,"停止","断続")))</f>
        <v>判定不能</v>
      </c>
      <c r="AF1358" s="30" t="n">
        <v>60</v>
      </c>
      <c r="AG1358" s="30" t="n">
        <v>0</v>
      </c>
      <c r="AH1358" s="30" t="str">
        <f aca="false">IF(OR(P1358="判定不能",G1358="判定不能"),"判定不能",IF(AG1358&gt;=判定条件!$C$9,"利用可",IF(AND(P1358="停止",G1358="停止"),"両方停止","運転がそろわない")))</f>
        <v>運転がそろわない</v>
      </c>
      <c r="AI1358" s="30" t="n">
        <v>60</v>
      </c>
      <c r="AJ1358" s="30" t="n">
        <v>12</v>
      </c>
      <c r="AK1358" s="30" t="str">
        <f aca="false">IF(OR(S1358="判定不能",J1358="判定不能"),"判定不能",IF(AJ1358&gt;=判定条件!$C$9,"利用可",IF(AND(S1358="停止",J1358="停止"),"両方停止","運転がそろわない")))</f>
        <v>運転がそろわない</v>
      </c>
      <c r="AL1358" s="30" t="n">
        <v>60</v>
      </c>
      <c r="AM1358" s="30" t="n">
        <v>52</v>
      </c>
      <c r="AN1358" s="30" t="str">
        <f aca="false">IF(OR(V1358="判定不能",M1358="判定不能"),"判定不能",IF(AM1358&gt;=判定条件!$C$9,"利用可",IF(AND(V1358="停止",M1358="停止"),"両方停止","運転がそろわない")))</f>
        <v>利用可</v>
      </c>
      <c r="AO1358" s="30" t="n">
        <v>0</v>
      </c>
      <c r="AP1358" s="30" t="n">
        <v>0</v>
      </c>
      <c r="AQ1358" s="30" t="str">
        <f aca="false">IF(OR(Y1358="判定不能",G1358="判定不能"),"判定不能",IF(AP1358&gt;=判定条件!$C$9,"利用可",IF(AND(Y1358="停止",G1358="停止"),"両方停止","運転がそろわない")))</f>
        <v>判定不能</v>
      </c>
      <c r="AR1358" s="30" t="n">
        <v>0</v>
      </c>
      <c r="AS1358" s="30" t="n">
        <v>0</v>
      </c>
      <c r="AT1358" s="30" t="str">
        <f aca="false">IF(OR(AB1358="判定不能",J1358="判定不能"),"判定不能",IF(AS1358&gt;=判定条件!$C$9,"利用可",IF(AND(AB1358="停止",J1358="停止"),"両方停止","運転がそろわない")))</f>
        <v>判定不能</v>
      </c>
      <c r="AU1358" s="30" t="n">
        <v>0</v>
      </c>
      <c r="AV1358" s="30" t="n">
        <v>0</v>
      </c>
      <c r="AW1358" s="30" t="str">
        <f aca="false">IF(OR(AE1358="判定不能",M1358="判定不能"),"判定不能",IF(AV1358&gt;=判定条件!$C$9,"利用可",IF(AND(AE1358="停止",M1358="停止"),"両方停止","運転がそろわない")))</f>
        <v>判定不能</v>
      </c>
      <c r="AX1358" s="30" t="str">
        <f aca="false">IF(AND(AH1358="利用可",AK1358="利用可",AN1358="利用可"),"利用可","不可")</f>
        <v>不可</v>
      </c>
      <c r="AY1358" s="30" t="str">
        <f aca="false">IF(AND(AQ1358="利用可",AT1358="利用可",AW1358="利用可"),"利用可","不可")</f>
        <v>不可</v>
      </c>
    </row>
    <row r="1359" customFormat="false" ht="15" hidden="false" customHeight="false" outlineLevel="0" collapsed="false">
      <c r="A1359" s="29" t="n">
        <v>46288</v>
      </c>
      <c r="B1359" s="30" t="n">
        <v>12</v>
      </c>
      <c r="C1359" s="31" t="s">
        <v>58</v>
      </c>
      <c r="D1359" s="31" t="s">
        <v>101</v>
      </c>
      <c r="E1359" s="30" t="n">
        <v>60</v>
      </c>
      <c r="F1359" s="30" t="n">
        <v>0</v>
      </c>
      <c r="G1359" s="30" t="str">
        <f aca="false">IF(E1359&lt;判定条件!$C$6,"判定不能",IF(F1359&gt;=判定条件!$C$7*E1359,"運転",IF(F1359&lt;=判定条件!$C$8*E1359,"停止","断続")))</f>
        <v>停止</v>
      </c>
      <c r="H1359" s="30" t="n">
        <v>60</v>
      </c>
      <c r="I1359" s="30" t="n">
        <v>0</v>
      </c>
      <c r="J1359" s="30" t="str">
        <f aca="false">IF(H1359&lt;判定条件!$C$6,"判定不能",IF(I1359&gt;=判定条件!$C$7*H1359,"運転",IF(I1359&lt;=判定条件!$C$8*H1359,"停止","断続")))</f>
        <v>停止</v>
      </c>
      <c r="K1359" s="30" t="n">
        <v>60</v>
      </c>
      <c r="L1359" s="30" t="n">
        <v>45</v>
      </c>
      <c r="M1359" s="30" t="str">
        <f aca="false">IF(K1359&lt;判定条件!$C$6,"判定不能",IF(L1359&gt;=判定条件!$C$7*K1359,"運転",IF(L1359&lt;=判定条件!$C$8*K1359,"停止","断続")))</f>
        <v>断続</v>
      </c>
      <c r="N1359" s="30" t="n">
        <v>60</v>
      </c>
      <c r="O1359" s="30" t="n">
        <v>15</v>
      </c>
      <c r="P1359" s="30" t="str">
        <f aca="false">IF(N1359&lt;判定条件!$C$6,"判定不能",IF(O1359&gt;=判定条件!$C$7*N1359,"運転",IF(O1359&lt;=判定条件!$C$8*N1359,"停止","断続")))</f>
        <v>断続</v>
      </c>
      <c r="Q1359" s="30" t="n">
        <v>60</v>
      </c>
      <c r="R1359" s="30" t="n">
        <v>22</v>
      </c>
      <c r="S1359" s="30" t="str">
        <f aca="false">IF(Q1359&lt;判定条件!$C$6,"判定不能",IF(R1359&gt;=判定条件!$C$7*Q1359,"運転",IF(R1359&lt;=判定条件!$C$8*Q1359,"停止","断続")))</f>
        <v>断続</v>
      </c>
      <c r="T1359" s="30" t="n">
        <v>60</v>
      </c>
      <c r="U1359" s="30" t="n">
        <v>22</v>
      </c>
      <c r="V1359" s="30" t="str">
        <f aca="false">IF(T1359&lt;判定条件!$C$6,"判定不能",IF(U1359&gt;=判定条件!$C$7*T1359,"運転",IF(U1359&lt;=判定条件!$C$8*T1359,"停止","断続")))</f>
        <v>断続</v>
      </c>
      <c r="W1359" s="30" t="n">
        <v>0</v>
      </c>
      <c r="X1359" s="30" t="n">
        <v>0</v>
      </c>
      <c r="Y1359" s="30" t="str">
        <f aca="false">IF(W1359&lt;判定条件!$C$6,"判定不能",IF(X1359&gt;=判定条件!$C$7*W1359,"運転",IF(X1359&lt;=判定条件!$C$8*W1359,"停止","断続")))</f>
        <v>判定不能</v>
      </c>
      <c r="Z1359" s="30" t="n">
        <v>0</v>
      </c>
      <c r="AA1359" s="30" t="n">
        <v>0</v>
      </c>
      <c r="AB1359" s="30" t="str">
        <f aca="false">IF(Z1359&lt;判定条件!$C$6,"判定不能",IF(AA1359&gt;=判定条件!$C$7*Z1359,"運転",IF(AA1359&lt;=判定条件!$C$8*Z1359,"停止","断続")))</f>
        <v>判定不能</v>
      </c>
      <c r="AC1359" s="30" t="n">
        <v>0</v>
      </c>
      <c r="AD1359" s="30" t="n">
        <v>0</v>
      </c>
      <c r="AE1359" s="30" t="str">
        <f aca="false">IF(AC1359&lt;判定条件!$C$6,"判定不能",IF(AD1359&gt;=判定条件!$C$7*AC1359,"運転",IF(AD1359&lt;=判定条件!$C$8*AC1359,"停止","断続")))</f>
        <v>判定不能</v>
      </c>
      <c r="AF1359" s="30" t="n">
        <v>60</v>
      </c>
      <c r="AG1359" s="30" t="n">
        <v>0</v>
      </c>
      <c r="AH1359" s="30" t="str">
        <f aca="false">IF(OR(P1359="判定不能",G1359="判定不能"),"判定不能",IF(AG1359&gt;=判定条件!$C$9,"利用可",IF(AND(P1359="停止",G1359="停止"),"両方停止","運転がそろわない")))</f>
        <v>運転がそろわない</v>
      </c>
      <c r="AI1359" s="30" t="n">
        <v>60</v>
      </c>
      <c r="AJ1359" s="30" t="n">
        <v>0</v>
      </c>
      <c r="AK1359" s="30" t="str">
        <f aca="false">IF(OR(S1359="判定不能",J1359="判定不能"),"判定不能",IF(AJ1359&gt;=判定条件!$C$9,"利用可",IF(AND(S1359="停止",J1359="停止"),"両方停止","運転がそろわない")))</f>
        <v>運転がそろわない</v>
      </c>
      <c r="AL1359" s="30" t="n">
        <v>60</v>
      </c>
      <c r="AM1359" s="30" t="n">
        <v>12</v>
      </c>
      <c r="AN1359" s="30" t="str">
        <f aca="false">IF(OR(V1359="判定不能",M1359="判定不能"),"判定不能",IF(AM1359&gt;=判定条件!$C$9,"利用可",IF(AND(V1359="停止",M1359="停止"),"両方停止","運転がそろわない")))</f>
        <v>運転がそろわない</v>
      </c>
      <c r="AO1359" s="30" t="n">
        <v>0</v>
      </c>
      <c r="AP1359" s="30" t="n">
        <v>0</v>
      </c>
      <c r="AQ1359" s="30" t="str">
        <f aca="false">IF(OR(Y1359="判定不能",G1359="判定不能"),"判定不能",IF(AP1359&gt;=判定条件!$C$9,"利用可",IF(AND(Y1359="停止",G1359="停止"),"両方停止","運転がそろわない")))</f>
        <v>判定不能</v>
      </c>
      <c r="AR1359" s="30" t="n">
        <v>0</v>
      </c>
      <c r="AS1359" s="30" t="n">
        <v>0</v>
      </c>
      <c r="AT1359" s="30" t="str">
        <f aca="false">IF(OR(AB1359="判定不能",J1359="判定不能"),"判定不能",IF(AS1359&gt;=判定条件!$C$9,"利用可",IF(AND(AB1359="停止",J1359="停止"),"両方停止","運転がそろわない")))</f>
        <v>判定不能</v>
      </c>
      <c r="AU1359" s="30" t="n">
        <v>0</v>
      </c>
      <c r="AV1359" s="30" t="n">
        <v>0</v>
      </c>
      <c r="AW1359" s="30" t="str">
        <f aca="false">IF(OR(AE1359="判定不能",M1359="判定不能"),"判定不能",IF(AV1359&gt;=判定条件!$C$9,"利用可",IF(AND(AE1359="停止",M1359="停止"),"両方停止","運転がそろわない")))</f>
        <v>判定不能</v>
      </c>
      <c r="AX1359" s="30" t="str">
        <f aca="false">IF(AND(AH1359="利用可",AK1359="利用可",AN1359="利用可"),"利用可","不可")</f>
        <v>不可</v>
      </c>
      <c r="AY1359" s="30" t="str">
        <f aca="false">IF(AND(AQ1359="利用可",AT1359="利用可",AW1359="利用可"),"利用可","不可")</f>
        <v>不可</v>
      </c>
    </row>
    <row r="1360" customFormat="false" ht="15" hidden="false" customHeight="false" outlineLevel="0" collapsed="false">
      <c r="A1360" s="29" t="n">
        <v>46288</v>
      </c>
      <c r="B1360" s="30" t="n">
        <v>13</v>
      </c>
      <c r="C1360" s="31" t="s">
        <v>58</v>
      </c>
      <c r="D1360" s="31" t="s">
        <v>101</v>
      </c>
      <c r="E1360" s="30" t="n">
        <v>60</v>
      </c>
      <c r="F1360" s="30" t="n">
        <v>0</v>
      </c>
      <c r="G1360" s="30" t="str">
        <f aca="false">IF(E1360&lt;判定条件!$C$6,"判定不能",IF(F1360&gt;=判定条件!$C$7*E1360,"運転",IF(F1360&lt;=判定条件!$C$8*E1360,"停止","断続")))</f>
        <v>停止</v>
      </c>
      <c r="H1360" s="30" t="n">
        <v>60</v>
      </c>
      <c r="I1360" s="30" t="n">
        <v>43</v>
      </c>
      <c r="J1360" s="30" t="str">
        <f aca="false">IF(H1360&lt;判定条件!$C$6,"判定不能",IF(I1360&gt;=判定条件!$C$7*H1360,"運転",IF(I1360&lt;=判定条件!$C$8*H1360,"停止","断続")))</f>
        <v>断続</v>
      </c>
      <c r="K1360" s="30" t="n">
        <v>60</v>
      </c>
      <c r="L1360" s="30" t="n">
        <v>59</v>
      </c>
      <c r="M1360" s="30" t="str">
        <f aca="false">IF(K1360&lt;判定条件!$C$6,"判定不能",IF(L1360&gt;=判定条件!$C$7*K1360,"運転",IF(L1360&lt;=判定条件!$C$8*K1360,"停止","断続")))</f>
        <v>運転</v>
      </c>
      <c r="N1360" s="30" t="n">
        <v>60</v>
      </c>
      <c r="O1360" s="30" t="n">
        <v>0</v>
      </c>
      <c r="P1360" s="30" t="str">
        <f aca="false">IF(N1360&lt;判定条件!$C$6,"判定不能",IF(O1360&gt;=判定条件!$C$7*N1360,"運転",IF(O1360&lt;=判定条件!$C$8*N1360,"停止","断続")))</f>
        <v>停止</v>
      </c>
      <c r="Q1360" s="30" t="n">
        <v>60</v>
      </c>
      <c r="R1360" s="30" t="n">
        <v>0</v>
      </c>
      <c r="S1360" s="30" t="str">
        <f aca="false">IF(Q1360&lt;判定条件!$C$6,"判定不能",IF(R1360&gt;=判定条件!$C$7*Q1360,"運転",IF(R1360&lt;=判定条件!$C$8*Q1360,"停止","断続")))</f>
        <v>停止</v>
      </c>
      <c r="T1360" s="30" t="n">
        <v>60</v>
      </c>
      <c r="U1360" s="30" t="n">
        <v>0</v>
      </c>
      <c r="V1360" s="30" t="str">
        <f aca="false">IF(T1360&lt;判定条件!$C$6,"判定不能",IF(U1360&gt;=判定条件!$C$7*T1360,"運転",IF(U1360&lt;=判定条件!$C$8*T1360,"停止","断続")))</f>
        <v>停止</v>
      </c>
      <c r="W1360" s="30" t="n">
        <v>0</v>
      </c>
      <c r="X1360" s="30" t="n">
        <v>0</v>
      </c>
      <c r="Y1360" s="30" t="str">
        <f aca="false">IF(W1360&lt;判定条件!$C$6,"判定不能",IF(X1360&gt;=判定条件!$C$7*W1360,"運転",IF(X1360&lt;=判定条件!$C$8*W1360,"停止","断続")))</f>
        <v>判定不能</v>
      </c>
      <c r="Z1360" s="30" t="n">
        <v>0</v>
      </c>
      <c r="AA1360" s="30" t="n">
        <v>0</v>
      </c>
      <c r="AB1360" s="30" t="str">
        <f aca="false">IF(Z1360&lt;判定条件!$C$6,"判定不能",IF(AA1360&gt;=判定条件!$C$7*Z1360,"運転",IF(AA1360&lt;=判定条件!$C$8*Z1360,"停止","断続")))</f>
        <v>判定不能</v>
      </c>
      <c r="AC1360" s="30" t="n">
        <v>0</v>
      </c>
      <c r="AD1360" s="30" t="n">
        <v>0</v>
      </c>
      <c r="AE1360" s="30" t="str">
        <f aca="false">IF(AC1360&lt;判定条件!$C$6,"判定不能",IF(AD1360&gt;=判定条件!$C$7*AC1360,"運転",IF(AD1360&lt;=判定条件!$C$8*AC1360,"停止","断続")))</f>
        <v>判定不能</v>
      </c>
      <c r="AF1360" s="30" t="n">
        <v>60</v>
      </c>
      <c r="AG1360" s="30" t="n">
        <v>0</v>
      </c>
      <c r="AH1360" s="30" t="str">
        <f aca="false">IF(OR(P1360="判定不能",G1360="判定不能"),"判定不能",IF(AG1360&gt;=判定条件!$C$9,"利用可",IF(AND(P1360="停止",G1360="停止"),"両方停止","運転がそろわない")))</f>
        <v>両方停止</v>
      </c>
      <c r="AI1360" s="30" t="n">
        <v>60</v>
      </c>
      <c r="AJ1360" s="30" t="n">
        <v>0</v>
      </c>
      <c r="AK1360" s="30" t="str">
        <f aca="false">IF(OR(S1360="判定不能",J1360="判定不能"),"判定不能",IF(AJ1360&gt;=判定条件!$C$9,"利用可",IF(AND(S1360="停止",J1360="停止"),"両方停止","運転がそろわない")))</f>
        <v>運転がそろわない</v>
      </c>
      <c r="AL1360" s="30" t="n">
        <v>60</v>
      </c>
      <c r="AM1360" s="30" t="n">
        <v>0</v>
      </c>
      <c r="AN1360" s="30" t="str">
        <f aca="false">IF(OR(V1360="判定不能",M1360="判定不能"),"判定不能",IF(AM1360&gt;=判定条件!$C$9,"利用可",IF(AND(V1360="停止",M1360="停止"),"両方停止","運転がそろわない")))</f>
        <v>運転がそろわない</v>
      </c>
      <c r="AO1360" s="30" t="n">
        <v>0</v>
      </c>
      <c r="AP1360" s="30" t="n">
        <v>0</v>
      </c>
      <c r="AQ1360" s="30" t="str">
        <f aca="false">IF(OR(Y1360="判定不能",G1360="判定不能"),"判定不能",IF(AP1360&gt;=判定条件!$C$9,"利用可",IF(AND(Y1360="停止",G1360="停止"),"両方停止","運転がそろわない")))</f>
        <v>判定不能</v>
      </c>
      <c r="AR1360" s="30" t="n">
        <v>0</v>
      </c>
      <c r="AS1360" s="30" t="n">
        <v>0</v>
      </c>
      <c r="AT1360" s="30" t="str">
        <f aca="false">IF(OR(AB1360="判定不能",J1360="判定不能"),"判定不能",IF(AS1360&gt;=判定条件!$C$9,"利用可",IF(AND(AB1360="停止",J1360="停止"),"両方停止","運転がそろわない")))</f>
        <v>判定不能</v>
      </c>
      <c r="AU1360" s="30" t="n">
        <v>0</v>
      </c>
      <c r="AV1360" s="30" t="n">
        <v>0</v>
      </c>
      <c r="AW1360" s="30" t="str">
        <f aca="false">IF(OR(AE1360="判定不能",M1360="判定不能"),"判定不能",IF(AV1360&gt;=判定条件!$C$9,"利用可",IF(AND(AE1360="停止",M1360="停止"),"両方停止","運転がそろわない")))</f>
        <v>判定不能</v>
      </c>
      <c r="AX1360" s="30" t="str">
        <f aca="false">IF(AND(AH1360="利用可",AK1360="利用可",AN1360="利用可"),"利用可","不可")</f>
        <v>不可</v>
      </c>
      <c r="AY1360" s="30" t="str">
        <f aca="false">IF(AND(AQ1360="利用可",AT1360="利用可",AW1360="利用可"),"利用可","不可")</f>
        <v>不可</v>
      </c>
    </row>
    <row r="1361" customFormat="false" ht="15" hidden="false" customHeight="false" outlineLevel="0" collapsed="false">
      <c r="A1361" s="29" t="n">
        <v>46288</v>
      </c>
      <c r="B1361" s="30" t="n">
        <v>14</v>
      </c>
      <c r="C1361" s="31" t="s">
        <v>58</v>
      </c>
      <c r="D1361" s="31" t="s">
        <v>101</v>
      </c>
      <c r="E1361" s="30" t="n">
        <v>60</v>
      </c>
      <c r="F1361" s="30" t="n">
        <v>0</v>
      </c>
      <c r="G1361" s="30" t="str">
        <f aca="false">IF(E1361&lt;判定条件!$C$6,"判定不能",IF(F1361&gt;=判定条件!$C$7*E1361,"運転",IF(F1361&lt;=判定条件!$C$8*E1361,"停止","断続")))</f>
        <v>停止</v>
      </c>
      <c r="H1361" s="30" t="n">
        <v>60</v>
      </c>
      <c r="I1361" s="30" t="n">
        <v>29</v>
      </c>
      <c r="J1361" s="30" t="str">
        <f aca="false">IF(H1361&lt;判定条件!$C$6,"判定不能",IF(I1361&gt;=判定条件!$C$7*H1361,"運転",IF(I1361&lt;=判定条件!$C$8*H1361,"停止","断続")))</f>
        <v>断続</v>
      </c>
      <c r="K1361" s="30" t="n">
        <v>60</v>
      </c>
      <c r="L1361" s="30" t="n">
        <v>46</v>
      </c>
      <c r="M1361" s="30" t="str">
        <f aca="false">IF(K1361&lt;判定条件!$C$6,"判定不能",IF(L1361&gt;=判定条件!$C$7*K1361,"運転",IF(L1361&lt;=判定条件!$C$8*K1361,"停止","断続")))</f>
        <v>断続</v>
      </c>
      <c r="N1361" s="30" t="n">
        <v>60</v>
      </c>
      <c r="O1361" s="30" t="n">
        <v>0</v>
      </c>
      <c r="P1361" s="30" t="str">
        <f aca="false">IF(N1361&lt;判定条件!$C$6,"判定不能",IF(O1361&gt;=判定条件!$C$7*N1361,"運転",IF(O1361&lt;=判定条件!$C$8*N1361,"停止","断続")))</f>
        <v>停止</v>
      </c>
      <c r="Q1361" s="30" t="n">
        <v>60</v>
      </c>
      <c r="R1361" s="30" t="n">
        <v>0</v>
      </c>
      <c r="S1361" s="30" t="str">
        <f aca="false">IF(Q1361&lt;判定条件!$C$6,"判定不能",IF(R1361&gt;=判定条件!$C$7*Q1361,"運転",IF(R1361&lt;=判定条件!$C$8*Q1361,"停止","断続")))</f>
        <v>停止</v>
      </c>
      <c r="T1361" s="30" t="n">
        <v>60</v>
      </c>
      <c r="U1361" s="30" t="n">
        <v>0</v>
      </c>
      <c r="V1361" s="30" t="str">
        <f aca="false">IF(T1361&lt;判定条件!$C$6,"判定不能",IF(U1361&gt;=判定条件!$C$7*T1361,"運転",IF(U1361&lt;=判定条件!$C$8*T1361,"停止","断続")))</f>
        <v>停止</v>
      </c>
      <c r="W1361" s="30" t="n">
        <v>0</v>
      </c>
      <c r="X1361" s="30" t="n">
        <v>0</v>
      </c>
      <c r="Y1361" s="30" t="str">
        <f aca="false">IF(W1361&lt;判定条件!$C$6,"判定不能",IF(X1361&gt;=判定条件!$C$7*W1361,"運転",IF(X1361&lt;=判定条件!$C$8*W1361,"停止","断続")))</f>
        <v>判定不能</v>
      </c>
      <c r="Z1361" s="30" t="n">
        <v>0</v>
      </c>
      <c r="AA1361" s="30" t="n">
        <v>0</v>
      </c>
      <c r="AB1361" s="30" t="str">
        <f aca="false">IF(Z1361&lt;判定条件!$C$6,"判定不能",IF(AA1361&gt;=判定条件!$C$7*Z1361,"運転",IF(AA1361&lt;=判定条件!$C$8*Z1361,"停止","断続")))</f>
        <v>判定不能</v>
      </c>
      <c r="AC1361" s="30" t="n">
        <v>0</v>
      </c>
      <c r="AD1361" s="30" t="n">
        <v>0</v>
      </c>
      <c r="AE1361" s="30" t="str">
        <f aca="false">IF(AC1361&lt;判定条件!$C$6,"判定不能",IF(AD1361&gt;=判定条件!$C$7*AC1361,"運転",IF(AD1361&lt;=判定条件!$C$8*AC1361,"停止","断続")))</f>
        <v>判定不能</v>
      </c>
      <c r="AF1361" s="30" t="n">
        <v>60</v>
      </c>
      <c r="AG1361" s="30" t="n">
        <v>0</v>
      </c>
      <c r="AH1361" s="30" t="str">
        <f aca="false">IF(OR(P1361="判定不能",G1361="判定不能"),"判定不能",IF(AG1361&gt;=判定条件!$C$9,"利用可",IF(AND(P1361="停止",G1361="停止"),"両方停止","運転がそろわない")))</f>
        <v>両方停止</v>
      </c>
      <c r="AI1361" s="30" t="n">
        <v>60</v>
      </c>
      <c r="AJ1361" s="30" t="n">
        <v>0</v>
      </c>
      <c r="AK1361" s="30" t="str">
        <f aca="false">IF(OR(S1361="判定不能",J1361="判定不能"),"判定不能",IF(AJ1361&gt;=判定条件!$C$9,"利用可",IF(AND(S1361="停止",J1361="停止"),"両方停止","運転がそろわない")))</f>
        <v>運転がそろわない</v>
      </c>
      <c r="AL1361" s="30" t="n">
        <v>60</v>
      </c>
      <c r="AM1361" s="30" t="n">
        <v>0</v>
      </c>
      <c r="AN1361" s="30" t="str">
        <f aca="false">IF(OR(V1361="判定不能",M1361="判定不能"),"判定不能",IF(AM1361&gt;=判定条件!$C$9,"利用可",IF(AND(V1361="停止",M1361="停止"),"両方停止","運転がそろわない")))</f>
        <v>運転がそろわない</v>
      </c>
      <c r="AO1361" s="30" t="n">
        <v>0</v>
      </c>
      <c r="AP1361" s="30" t="n">
        <v>0</v>
      </c>
      <c r="AQ1361" s="30" t="str">
        <f aca="false">IF(OR(Y1361="判定不能",G1361="判定不能"),"判定不能",IF(AP1361&gt;=判定条件!$C$9,"利用可",IF(AND(Y1361="停止",G1361="停止"),"両方停止","運転がそろわない")))</f>
        <v>判定不能</v>
      </c>
      <c r="AR1361" s="30" t="n">
        <v>0</v>
      </c>
      <c r="AS1361" s="30" t="n">
        <v>0</v>
      </c>
      <c r="AT1361" s="30" t="str">
        <f aca="false">IF(OR(AB1361="判定不能",J1361="判定不能"),"判定不能",IF(AS1361&gt;=判定条件!$C$9,"利用可",IF(AND(AB1361="停止",J1361="停止"),"両方停止","運転がそろわない")))</f>
        <v>判定不能</v>
      </c>
      <c r="AU1361" s="30" t="n">
        <v>0</v>
      </c>
      <c r="AV1361" s="30" t="n">
        <v>0</v>
      </c>
      <c r="AW1361" s="30" t="str">
        <f aca="false">IF(OR(AE1361="判定不能",M1361="判定不能"),"判定不能",IF(AV1361&gt;=判定条件!$C$9,"利用可",IF(AND(AE1361="停止",M1361="停止"),"両方停止","運転がそろわない")))</f>
        <v>判定不能</v>
      </c>
      <c r="AX1361" s="30" t="str">
        <f aca="false">IF(AND(AH1361="利用可",AK1361="利用可",AN1361="利用可"),"利用可","不可")</f>
        <v>不可</v>
      </c>
      <c r="AY1361" s="30" t="str">
        <f aca="false">IF(AND(AQ1361="利用可",AT1361="利用可",AW1361="利用可"),"利用可","不可")</f>
        <v>不可</v>
      </c>
    </row>
    <row r="1362" customFormat="false" ht="15" hidden="false" customHeight="false" outlineLevel="0" collapsed="false">
      <c r="A1362" s="29" t="n">
        <v>46288</v>
      </c>
      <c r="B1362" s="30" t="n">
        <v>15</v>
      </c>
      <c r="C1362" s="31" t="s">
        <v>58</v>
      </c>
      <c r="D1362" s="31" t="s">
        <v>101</v>
      </c>
      <c r="E1362" s="30" t="n">
        <v>60</v>
      </c>
      <c r="F1362" s="30" t="n">
        <v>0</v>
      </c>
      <c r="G1362" s="30" t="str">
        <f aca="false">IF(E1362&lt;判定条件!$C$6,"判定不能",IF(F1362&gt;=判定条件!$C$7*E1362,"運転",IF(F1362&lt;=判定条件!$C$8*E1362,"停止","断続")))</f>
        <v>停止</v>
      </c>
      <c r="H1362" s="30" t="n">
        <v>60</v>
      </c>
      <c r="I1362" s="30" t="n">
        <v>47</v>
      </c>
      <c r="J1362" s="30" t="str">
        <f aca="false">IF(H1362&lt;判定条件!$C$6,"判定不能",IF(I1362&gt;=判定条件!$C$7*H1362,"運転",IF(I1362&lt;=判定条件!$C$8*H1362,"停止","断続")))</f>
        <v>断続</v>
      </c>
      <c r="K1362" s="30" t="n">
        <v>60</v>
      </c>
      <c r="L1362" s="30" t="n">
        <v>56</v>
      </c>
      <c r="M1362" s="30" t="str">
        <f aca="false">IF(K1362&lt;判定条件!$C$6,"判定不能",IF(L1362&gt;=判定条件!$C$7*K1362,"運転",IF(L1362&lt;=判定条件!$C$8*K1362,"停止","断続")))</f>
        <v>運転</v>
      </c>
      <c r="N1362" s="30" t="n">
        <v>60</v>
      </c>
      <c r="O1362" s="30" t="n">
        <v>0</v>
      </c>
      <c r="P1362" s="30" t="str">
        <f aca="false">IF(N1362&lt;判定条件!$C$6,"判定不能",IF(O1362&gt;=判定条件!$C$7*N1362,"運転",IF(O1362&lt;=判定条件!$C$8*N1362,"停止","断続")))</f>
        <v>停止</v>
      </c>
      <c r="Q1362" s="30" t="n">
        <v>60</v>
      </c>
      <c r="R1362" s="30" t="n">
        <v>16</v>
      </c>
      <c r="S1362" s="30" t="str">
        <f aca="false">IF(Q1362&lt;判定条件!$C$6,"判定不能",IF(R1362&gt;=判定条件!$C$7*Q1362,"運転",IF(R1362&lt;=判定条件!$C$8*Q1362,"停止","断続")))</f>
        <v>断続</v>
      </c>
      <c r="T1362" s="30" t="n">
        <v>60</v>
      </c>
      <c r="U1362" s="30" t="n">
        <v>4</v>
      </c>
      <c r="V1362" s="30" t="str">
        <f aca="false">IF(T1362&lt;判定条件!$C$6,"判定不能",IF(U1362&gt;=判定条件!$C$7*T1362,"運転",IF(U1362&lt;=判定条件!$C$8*T1362,"停止","断続")))</f>
        <v>停止</v>
      </c>
      <c r="W1362" s="30" t="n">
        <v>0</v>
      </c>
      <c r="X1362" s="30" t="n">
        <v>0</v>
      </c>
      <c r="Y1362" s="30" t="str">
        <f aca="false">IF(W1362&lt;判定条件!$C$6,"判定不能",IF(X1362&gt;=判定条件!$C$7*W1362,"運転",IF(X1362&lt;=判定条件!$C$8*W1362,"停止","断続")))</f>
        <v>判定不能</v>
      </c>
      <c r="Z1362" s="30" t="n">
        <v>0</v>
      </c>
      <c r="AA1362" s="30" t="n">
        <v>0</v>
      </c>
      <c r="AB1362" s="30" t="str">
        <f aca="false">IF(Z1362&lt;判定条件!$C$6,"判定不能",IF(AA1362&gt;=判定条件!$C$7*Z1362,"運転",IF(AA1362&lt;=判定条件!$C$8*Z1362,"停止","断続")))</f>
        <v>判定不能</v>
      </c>
      <c r="AC1362" s="30" t="n">
        <v>0</v>
      </c>
      <c r="AD1362" s="30" t="n">
        <v>0</v>
      </c>
      <c r="AE1362" s="30" t="str">
        <f aca="false">IF(AC1362&lt;判定条件!$C$6,"判定不能",IF(AD1362&gt;=判定条件!$C$7*AC1362,"運転",IF(AD1362&lt;=判定条件!$C$8*AC1362,"停止","断続")))</f>
        <v>判定不能</v>
      </c>
      <c r="AF1362" s="30" t="n">
        <v>60</v>
      </c>
      <c r="AG1362" s="30" t="n">
        <v>0</v>
      </c>
      <c r="AH1362" s="30" t="str">
        <f aca="false">IF(OR(P1362="判定不能",G1362="判定不能"),"判定不能",IF(AG1362&gt;=判定条件!$C$9,"利用可",IF(AND(P1362="停止",G1362="停止"),"両方停止","運転がそろわない")))</f>
        <v>両方停止</v>
      </c>
      <c r="AI1362" s="30" t="n">
        <v>60</v>
      </c>
      <c r="AJ1362" s="30" t="n">
        <v>3</v>
      </c>
      <c r="AK1362" s="30" t="str">
        <f aca="false">IF(OR(S1362="判定不能",J1362="判定不能"),"判定不能",IF(AJ1362&gt;=判定条件!$C$9,"利用可",IF(AND(S1362="停止",J1362="停止"),"両方停止","運転がそろわない")))</f>
        <v>運転がそろわない</v>
      </c>
      <c r="AL1362" s="30" t="n">
        <v>60</v>
      </c>
      <c r="AM1362" s="30" t="n">
        <v>4</v>
      </c>
      <c r="AN1362" s="30" t="str">
        <f aca="false">IF(OR(V1362="判定不能",M1362="判定不能"),"判定不能",IF(AM1362&gt;=判定条件!$C$9,"利用可",IF(AND(V1362="停止",M1362="停止"),"両方停止","運転がそろわない")))</f>
        <v>運転がそろわない</v>
      </c>
      <c r="AO1362" s="30" t="n">
        <v>0</v>
      </c>
      <c r="AP1362" s="30" t="n">
        <v>0</v>
      </c>
      <c r="AQ1362" s="30" t="str">
        <f aca="false">IF(OR(Y1362="判定不能",G1362="判定不能"),"判定不能",IF(AP1362&gt;=判定条件!$C$9,"利用可",IF(AND(Y1362="停止",G1362="停止"),"両方停止","運転がそろわない")))</f>
        <v>判定不能</v>
      </c>
      <c r="AR1362" s="30" t="n">
        <v>0</v>
      </c>
      <c r="AS1362" s="30" t="n">
        <v>0</v>
      </c>
      <c r="AT1362" s="30" t="str">
        <f aca="false">IF(OR(AB1362="判定不能",J1362="判定不能"),"判定不能",IF(AS1362&gt;=判定条件!$C$9,"利用可",IF(AND(AB1362="停止",J1362="停止"),"両方停止","運転がそろわない")))</f>
        <v>判定不能</v>
      </c>
      <c r="AU1362" s="30" t="n">
        <v>0</v>
      </c>
      <c r="AV1362" s="30" t="n">
        <v>0</v>
      </c>
      <c r="AW1362" s="30" t="str">
        <f aca="false">IF(OR(AE1362="判定不能",M1362="判定不能"),"判定不能",IF(AV1362&gt;=判定条件!$C$9,"利用可",IF(AND(AE1362="停止",M1362="停止"),"両方停止","運転がそろわない")))</f>
        <v>判定不能</v>
      </c>
      <c r="AX1362" s="30" t="str">
        <f aca="false">IF(AND(AH1362="利用可",AK1362="利用可",AN1362="利用可"),"利用可","不可")</f>
        <v>不可</v>
      </c>
      <c r="AY1362" s="30" t="str">
        <f aca="false">IF(AND(AQ1362="利用可",AT1362="利用可",AW1362="利用可"),"利用可","不可")</f>
        <v>不可</v>
      </c>
    </row>
    <row r="1363" customFormat="false" ht="15" hidden="false" customHeight="false" outlineLevel="0" collapsed="false">
      <c r="A1363" s="29" t="n">
        <v>46288</v>
      </c>
      <c r="B1363" s="30" t="n">
        <v>16</v>
      </c>
      <c r="C1363" s="31" t="s">
        <v>58</v>
      </c>
      <c r="D1363" s="31" t="s">
        <v>101</v>
      </c>
      <c r="E1363" s="30" t="n">
        <v>60</v>
      </c>
      <c r="F1363" s="30" t="n">
        <v>9</v>
      </c>
      <c r="G1363" s="30" t="str">
        <f aca="false">IF(E1363&lt;判定条件!$C$6,"判定不能",IF(F1363&gt;=判定条件!$C$7*E1363,"運転",IF(F1363&lt;=判定条件!$C$8*E1363,"停止","断続")))</f>
        <v>停止</v>
      </c>
      <c r="H1363" s="30" t="n">
        <v>60</v>
      </c>
      <c r="I1363" s="30" t="n">
        <v>47</v>
      </c>
      <c r="J1363" s="30" t="str">
        <f aca="false">IF(H1363&lt;判定条件!$C$6,"判定不能",IF(I1363&gt;=判定条件!$C$7*H1363,"運転",IF(I1363&lt;=判定条件!$C$8*H1363,"停止","断続")))</f>
        <v>断続</v>
      </c>
      <c r="K1363" s="30" t="n">
        <v>60</v>
      </c>
      <c r="L1363" s="30" t="n">
        <v>60</v>
      </c>
      <c r="M1363" s="30" t="str">
        <f aca="false">IF(K1363&lt;判定条件!$C$6,"判定不能",IF(L1363&gt;=判定条件!$C$7*K1363,"運転",IF(L1363&lt;=判定条件!$C$8*K1363,"停止","断続")))</f>
        <v>運転</v>
      </c>
      <c r="N1363" s="30" t="n">
        <v>60</v>
      </c>
      <c r="O1363" s="30" t="n">
        <v>0</v>
      </c>
      <c r="P1363" s="30" t="str">
        <f aca="false">IF(N1363&lt;判定条件!$C$6,"判定不能",IF(O1363&gt;=判定条件!$C$7*N1363,"運転",IF(O1363&lt;=判定条件!$C$8*N1363,"停止","断続")))</f>
        <v>停止</v>
      </c>
      <c r="Q1363" s="30" t="n">
        <v>60</v>
      </c>
      <c r="R1363" s="30" t="n">
        <v>0</v>
      </c>
      <c r="S1363" s="30" t="str">
        <f aca="false">IF(Q1363&lt;判定条件!$C$6,"判定不能",IF(R1363&gt;=判定条件!$C$7*Q1363,"運転",IF(R1363&lt;=判定条件!$C$8*Q1363,"停止","断続")))</f>
        <v>停止</v>
      </c>
      <c r="T1363" s="30" t="n">
        <v>60</v>
      </c>
      <c r="U1363" s="30" t="n">
        <v>0</v>
      </c>
      <c r="V1363" s="30" t="str">
        <f aca="false">IF(T1363&lt;判定条件!$C$6,"判定不能",IF(U1363&gt;=判定条件!$C$7*T1363,"運転",IF(U1363&lt;=判定条件!$C$8*T1363,"停止","断続")))</f>
        <v>停止</v>
      </c>
      <c r="W1363" s="30" t="n">
        <v>0</v>
      </c>
      <c r="X1363" s="30" t="n">
        <v>0</v>
      </c>
      <c r="Y1363" s="30" t="str">
        <f aca="false">IF(W1363&lt;判定条件!$C$6,"判定不能",IF(X1363&gt;=判定条件!$C$7*W1363,"運転",IF(X1363&lt;=判定条件!$C$8*W1363,"停止","断続")))</f>
        <v>判定不能</v>
      </c>
      <c r="Z1363" s="30" t="n">
        <v>0</v>
      </c>
      <c r="AA1363" s="30" t="n">
        <v>0</v>
      </c>
      <c r="AB1363" s="30" t="str">
        <f aca="false">IF(Z1363&lt;判定条件!$C$6,"判定不能",IF(AA1363&gt;=判定条件!$C$7*Z1363,"運転",IF(AA1363&lt;=判定条件!$C$8*Z1363,"停止","断続")))</f>
        <v>判定不能</v>
      </c>
      <c r="AC1363" s="30" t="n">
        <v>0</v>
      </c>
      <c r="AD1363" s="30" t="n">
        <v>0</v>
      </c>
      <c r="AE1363" s="30" t="str">
        <f aca="false">IF(AC1363&lt;判定条件!$C$6,"判定不能",IF(AD1363&gt;=判定条件!$C$7*AC1363,"運転",IF(AD1363&lt;=判定条件!$C$8*AC1363,"停止","断続")))</f>
        <v>判定不能</v>
      </c>
      <c r="AF1363" s="30" t="n">
        <v>60</v>
      </c>
      <c r="AG1363" s="30" t="n">
        <v>0</v>
      </c>
      <c r="AH1363" s="30" t="str">
        <f aca="false">IF(OR(P1363="判定不能",G1363="判定不能"),"判定不能",IF(AG1363&gt;=判定条件!$C$9,"利用可",IF(AND(P1363="停止",G1363="停止"),"両方停止","運転がそろわない")))</f>
        <v>両方停止</v>
      </c>
      <c r="AI1363" s="30" t="n">
        <v>60</v>
      </c>
      <c r="AJ1363" s="30" t="n">
        <v>0</v>
      </c>
      <c r="AK1363" s="30" t="str">
        <f aca="false">IF(OR(S1363="判定不能",J1363="判定不能"),"判定不能",IF(AJ1363&gt;=判定条件!$C$9,"利用可",IF(AND(S1363="停止",J1363="停止"),"両方停止","運転がそろわない")))</f>
        <v>運転がそろわない</v>
      </c>
      <c r="AL1363" s="30" t="n">
        <v>60</v>
      </c>
      <c r="AM1363" s="30" t="n">
        <v>0</v>
      </c>
      <c r="AN1363" s="30" t="str">
        <f aca="false">IF(OR(V1363="判定不能",M1363="判定不能"),"判定不能",IF(AM1363&gt;=判定条件!$C$9,"利用可",IF(AND(V1363="停止",M1363="停止"),"両方停止","運転がそろわない")))</f>
        <v>運転がそろわない</v>
      </c>
      <c r="AO1363" s="30" t="n">
        <v>0</v>
      </c>
      <c r="AP1363" s="30" t="n">
        <v>0</v>
      </c>
      <c r="AQ1363" s="30" t="str">
        <f aca="false">IF(OR(Y1363="判定不能",G1363="判定不能"),"判定不能",IF(AP1363&gt;=判定条件!$C$9,"利用可",IF(AND(Y1363="停止",G1363="停止"),"両方停止","運転がそろわない")))</f>
        <v>判定不能</v>
      </c>
      <c r="AR1363" s="30" t="n">
        <v>0</v>
      </c>
      <c r="AS1363" s="30" t="n">
        <v>0</v>
      </c>
      <c r="AT1363" s="30" t="str">
        <f aca="false">IF(OR(AB1363="判定不能",J1363="判定不能"),"判定不能",IF(AS1363&gt;=判定条件!$C$9,"利用可",IF(AND(AB1363="停止",J1363="停止"),"両方停止","運転がそろわない")))</f>
        <v>判定不能</v>
      </c>
      <c r="AU1363" s="30" t="n">
        <v>0</v>
      </c>
      <c r="AV1363" s="30" t="n">
        <v>0</v>
      </c>
      <c r="AW1363" s="30" t="str">
        <f aca="false">IF(OR(AE1363="判定不能",M1363="判定不能"),"判定不能",IF(AV1363&gt;=判定条件!$C$9,"利用可",IF(AND(AE1363="停止",M1363="停止"),"両方停止","運転がそろわない")))</f>
        <v>判定不能</v>
      </c>
      <c r="AX1363" s="30" t="str">
        <f aca="false">IF(AND(AH1363="利用可",AK1363="利用可",AN1363="利用可"),"利用可","不可")</f>
        <v>不可</v>
      </c>
      <c r="AY1363" s="30" t="str">
        <f aca="false">IF(AND(AQ1363="利用可",AT1363="利用可",AW1363="利用可"),"利用可","不可")</f>
        <v>不可</v>
      </c>
    </row>
    <row r="1364" customFormat="false" ht="15" hidden="false" customHeight="false" outlineLevel="0" collapsed="false">
      <c r="A1364" s="29" t="n">
        <v>46288</v>
      </c>
      <c r="B1364" s="30" t="n">
        <v>17</v>
      </c>
      <c r="C1364" s="31" t="s">
        <v>58</v>
      </c>
      <c r="D1364" s="31" t="s">
        <v>101</v>
      </c>
      <c r="E1364" s="30" t="n">
        <v>60</v>
      </c>
      <c r="F1364" s="30" t="n">
        <v>0</v>
      </c>
      <c r="G1364" s="30" t="str">
        <f aca="false">IF(E1364&lt;判定条件!$C$6,"判定不能",IF(F1364&gt;=判定条件!$C$7*E1364,"運転",IF(F1364&lt;=判定条件!$C$8*E1364,"停止","断続")))</f>
        <v>停止</v>
      </c>
      <c r="H1364" s="30" t="n">
        <v>60</v>
      </c>
      <c r="I1364" s="30" t="n">
        <v>42</v>
      </c>
      <c r="J1364" s="30" t="str">
        <f aca="false">IF(H1364&lt;判定条件!$C$6,"判定不能",IF(I1364&gt;=判定条件!$C$7*H1364,"運転",IF(I1364&lt;=判定条件!$C$8*H1364,"停止","断続")))</f>
        <v>断続</v>
      </c>
      <c r="K1364" s="30" t="n">
        <v>60</v>
      </c>
      <c r="L1364" s="30" t="n">
        <v>40</v>
      </c>
      <c r="M1364" s="30" t="str">
        <f aca="false">IF(K1364&lt;判定条件!$C$6,"判定不能",IF(L1364&gt;=判定条件!$C$7*K1364,"運転",IF(L1364&lt;=判定条件!$C$8*K1364,"停止","断続")))</f>
        <v>断続</v>
      </c>
      <c r="N1364" s="30" t="n">
        <v>60</v>
      </c>
      <c r="O1364" s="30" t="n">
        <v>0</v>
      </c>
      <c r="P1364" s="30" t="str">
        <f aca="false">IF(N1364&lt;判定条件!$C$6,"判定不能",IF(O1364&gt;=判定条件!$C$7*N1364,"運転",IF(O1364&lt;=判定条件!$C$8*N1364,"停止","断続")))</f>
        <v>停止</v>
      </c>
      <c r="Q1364" s="30" t="n">
        <v>60</v>
      </c>
      <c r="R1364" s="30" t="n">
        <v>0</v>
      </c>
      <c r="S1364" s="30" t="str">
        <f aca="false">IF(Q1364&lt;判定条件!$C$6,"判定不能",IF(R1364&gt;=判定条件!$C$7*Q1364,"運転",IF(R1364&lt;=判定条件!$C$8*Q1364,"停止","断続")))</f>
        <v>停止</v>
      </c>
      <c r="T1364" s="30" t="n">
        <v>60</v>
      </c>
      <c r="U1364" s="30" t="n">
        <v>0</v>
      </c>
      <c r="V1364" s="30" t="str">
        <f aca="false">IF(T1364&lt;判定条件!$C$6,"判定不能",IF(U1364&gt;=判定条件!$C$7*T1364,"運転",IF(U1364&lt;=判定条件!$C$8*T1364,"停止","断続")))</f>
        <v>停止</v>
      </c>
      <c r="W1364" s="30" t="n">
        <v>0</v>
      </c>
      <c r="X1364" s="30" t="n">
        <v>0</v>
      </c>
      <c r="Y1364" s="30" t="str">
        <f aca="false">IF(W1364&lt;判定条件!$C$6,"判定不能",IF(X1364&gt;=判定条件!$C$7*W1364,"運転",IF(X1364&lt;=判定条件!$C$8*W1364,"停止","断続")))</f>
        <v>判定不能</v>
      </c>
      <c r="Z1364" s="30" t="n">
        <v>0</v>
      </c>
      <c r="AA1364" s="30" t="n">
        <v>0</v>
      </c>
      <c r="AB1364" s="30" t="str">
        <f aca="false">IF(Z1364&lt;判定条件!$C$6,"判定不能",IF(AA1364&gt;=判定条件!$C$7*Z1364,"運転",IF(AA1364&lt;=判定条件!$C$8*Z1364,"停止","断続")))</f>
        <v>判定不能</v>
      </c>
      <c r="AC1364" s="30" t="n">
        <v>0</v>
      </c>
      <c r="AD1364" s="30" t="n">
        <v>0</v>
      </c>
      <c r="AE1364" s="30" t="str">
        <f aca="false">IF(AC1364&lt;判定条件!$C$6,"判定不能",IF(AD1364&gt;=判定条件!$C$7*AC1364,"運転",IF(AD1364&lt;=判定条件!$C$8*AC1364,"停止","断続")))</f>
        <v>判定不能</v>
      </c>
      <c r="AF1364" s="30" t="n">
        <v>60</v>
      </c>
      <c r="AG1364" s="30" t="n">
        <v>0</v>
      </c>
      <c r="AH1364" s="30" t="str">
        <f aca="false">IF(OR(P1364="判定不能",G1364="判定不能"),"判定不能",IF(AG1364&gt;=判定条件!$C$9,"利用可",IF(AND(P1364="停止",G1364="停止"),"両方停止","運転がそろわない")))</f>
        <v>両方停止</v>
      </c>
      <c r="AI1364" s="30" t="n">
        <v>60</v>
      </c>
      <c r="AJ1364" s="30" t="n">
        <v>0</v>
      </c>
      <c r="AK1364" s="30" t="str">
        <f aca="false">IF(OR(S1364="判定不能",J1364="判定不能"),"判定不能",IF(AJ1364&gt;=判定条件!$C$9,"利用可",IF(AND(S1364="停止",J1364="停止"),"両方停止","運転がそろわない")))</f>
        <v>運転がそろわない</v>
      </c>
      <c r="AL1364" s="30" t="n">
        <v>60</v>
      </c>
      <c r="AM1364" s="30" t="n">
        <v>0</v>
      </c>
      <c r="AN1364" s="30" t="str">
        <f aca="false">IF(OR(V1364="判定不能",M1364="判定不能"),"判定不能",IF(AM1364&gt;=判定条件!$C$9,"利用可",IF(AND(V1364="停止",M1364="停止"),"両方停止","運転がそろわない")))</f>
        <v>運転がそろわない</v>
      </c>
      <c r="AO1364" s="30" t="n">
        <v>0</v>
      </c>
      <c r="AP1364" s="30" t="n">
        <v>0</v>
      </c>
      <c r="AQ1364" s="30" t="str">
        <f aca="false">IF(OR(Y1364="判定不能",G1364="判定不能"),"判定不能",IF(AP1364&gt;=判定条件!$C$9,"利用可",IF(AND(Y1364="停止",G1364="停止"),"両方停止","運転がそろわない")))</f>
        <v>判定不能</v>
      </c>
      <c r="AR1364" s="30" t="n">
        <v>0</v>
      </c>
      <c r="AS1364" s="30" t="n">
        <v>0</v>
      </c>
      <c r="AT1364" s="30" t="str">
        <f aca="false">IF(OR(AB1364="判定不能",J1364="判定不能"),"判定不能",IF(AS1364&gt;=判定条件!$C$9,"利用可",IF(AND(AB1364="停止",J1364="停止"),"両方停止","運転がそろわない")))</f>
        <v>判定不能</v>
      </c>
      <c r="AU1364" s="30" t="n">
        <v>0</v>
      </c>
      <c r="AV1364" s="30" t="n">
        <v>0</v>
      </c>
      <c r="AW1364" s="30" t="str">
        <f aca="false">IF(OR(AE1364="判定不能",M1364="判定不能"),"判定不能",IF(AV1364&gt;=判定条件!$C$9,"利用可",IF(AND(AE1364="停止",M1364="停止"),"両方停止","運転がそろわない")))</f>
        <v>判定不能</v>
      </c>
      <c r="AX1364" s="30" t="str">
        <f aca="false">IF(AND(AH1364="利用可",AK1364="利用可",AN1364="利用可"),"利用可","不可")</f>
        <v>不可</v>
      </c>
      <c r="AY1364" s="30" t="str">
        <f aca="false">IF(AND(AQ1364="利用可",AT1364="利用可",AW1364="利用可"),"利用可","不可")</f>
        <v>不可</v>
      </c>
    </row>
    <row r="1365" customFormat="false" ht="15" hidden="false" customHeight="false" outlineLevel="0" collapsed="false">
      <c r="A1365" s="29" t="n">
        <v>46288</v>
      </c>
      <c r="B1365" s="30" t="n">
        <v>18</v>
      </c>
      <c r="C1365" s="31" t="s">
        <v>58</v>
      </c>
      <c r="D1365" s="31" t="s">
        <v>101</v>
      </c>
      <c r="E1365" s="30" t="n">
        <v>60</v>
      </c>
      <c r="F1365" s="30" t="n">
        <v>0</v>
      </c>
      <c r="G1365" s="30" t="str">
        <f aca="false">IF(E1365&lt;判定条件!$C$6,"判定不能",IF(F1365&gt;=判定条件!$C$7*E1365,"運転",IF(F1365&lt;=判定条件!$C$8*E1365,"停止","断続")))</f>
        <v>停止</v>
      </c>
      <c r="H1365" s="30" t="n">
        <v>60</v>
      </c>
      <c r="I1365" s="30" t="n">
        <v>37</v>
      </c>
      <c r="J1365" s="30" t="str">
        <f aca="false">IF(H1365&lt;判定条件!$C$6,"判定不能",IF(I1365&gt;=判定条件!$C$7*H1365,"運転",IF(I1365&lt;=判定条件!$C$8*H1365,"停止","断続")))</f>
        <v>断続</v>
      </c>
      <c r="K1365" s="30" t="n">
        <v>60</v>
      </c>
      <c r="L1365" s="30" t="n">
        <v>27</v>
      </c>
      <c r="M1365" s="30" t="str">
        <f aca="false">IF(K1365&lt;判定条件!$C$6,"判定不能",IF(L1365&gt;=判定条件!$C$7*K1365,"運転",IF(L1365&lt;=判定条件!$C$8*K1365,"停止","断続")))</f>
        <v>断続</v>
      </c>
      <c r="N1365" s="30" t="n">
        <v>60</v>
      </c>
      <c r="O1365" s="30" t="n">
        <v>0</v>
      </c>
      <c r="P1365" s="30" t="str">
        <f aca="false">IF(N1365&lt;判定条件!$C$6,"判定不能",IF(O1365&gt;=判定条件!$C$7*N1365,"運転",IF(O1365&lt;=判定条件!$C$8*N1365,"停止","断続")))</f>
        <v>停止</v>
      </c>
      <c r="Q1365" s="30" t="n">
        <v>60</v>
      </c>
      <c r="R1365" s="30" t="n">
        <v>0</v>
      </c>
      <c r="S1365" s="30" t="str">
        <f aca="false">IF(Q1365&lt;判定条件!$C$6,"判定不能",IF(R1365&gt;=判定条件!$C$7*Q1365,"運転",IF(R1365&lt;=判定条件!$C$8*Q1365,"停止","断続")))</f>
        <v>停止</v>
      </c>
      <c r="T1365" s="30" t="n">
        <v>60</v>
      </c>
      <c r="U1365" s="30" t="n">
        <v>0</v>
      </c>
      <c r="V1365" s="30" t="str">
        <f aca="false">IF(T1365&lt;判定条件!$C$6,"判定不能",IF(U1365&gt;=判定条件!$C$7*T1365,"運転",IF(U1365&lt;=判定条件!$C$8*T1365,"停止","断続")))</f>
        <v>停止</v>
      </c>
      <c r="W1365" s="30" t="n">
        <v>0</v>
      </c>
      <c r="X1365" s="30" t="n">
        <v>0</v>
      </c>
      <c r="Y1365" s="30" t="str">
        <f aca="false">IF(W1365&lt;判定条件!$C$6,"判定不能",IF(X1365&gt;=判定条件!$C$7*W1365,"運転",IF(X1365&lt;=判定条件!$C$8*W1365,"停止","断続")))</f>
        <v>判定不能</v>
      </c>
      <c r="Z1365" s="30" t="n">
        <v>0</v>
      </c>
      <c r="AA1365" s="30" t="n">
        <v>0</v>
      </c>
      <c r="AB1365" s="30" t="str">
        <f aca="false">IF(Z1365&lt;判定条件!$C$6,"判定不能",IF(AA1365&gt;=判定条件!$C$7*Z1365,"運転",IF(AA1365&lt;=判定条件!$C$8*Z1365,"停止","断続")))</f>
        <v>判定不能</v>
      </c>
      <c r="AC1365" s="30" t="n">
        <v>0</v>
      </c>
      <c r="AD1365" s="30" t="n">
        <v>0</v>
      </c>
      <c r="AE1365" s="30" t="str">
        <f aca="false">IF(AC1365&lt;判定条件!$C$6,"判定不能",IF(AD1365&gt;=判定条件!$C$7*AC1365,"運転",IF(AD1365&lt;=判定条件!$C$8*AC1365,"停止","断続")))</f>
        <v>判定不能</v>
      </c>
      <c r="AF1365" s="30" t="n">
        <v>60</v>
      </c>
      <c r="AG1365" s="30" t="n">
        <v>0</v>
      </c>
      <c r="AH1365" s="30" t="str">
        <f aca="false">IF(OR(P1365="判定不能",G1365="判定不能"),"判定不能",IF(AG1365&gt;=判定条件!$C$9,"利用可",IF(AND(P1365="停止",G1365="停止"),"両方停止","運転がそろわない")))</f>
        <v>両方停止</v>
      </c>
      <c r="AI1365" s="30" t="n">
        <v>60</v>
      </c>
      <c r="AJ1365" s="30" t="n">
        <v>0</v>
      </c>
      <c r="AK1365" s="30" t="str">
        <f aca="false">IF(OR(S1365="判定不能",J1365="判定不能"),"判定不能",IF(AJ1365&gt;=判定条件!$C$9,"利用可",IF(AND(S1365="停止",J1365="停止"),"両方停止","運転がそろわない")))</f>
        <v>運転がそろわない</v>
      </c>
      <c r="AL1365" s="30" t="n">
        <v>60</v>
      </c>
      <c r="AM1365" s="30" t="n">
        <v>0</v>
      </c>
      <c r="AN1365" s="30" t="str">
        <f aca="false">IF(OR(V1365="判定不能",M1365="判定不能"),"判定不能",IF(AM1365&gt;=判定条件!$C$9,"利用可",IF(AND(V1365="停止",M1365="停止"),"両方停止","運転がそろわない")))</f>
        <v>運転がそろわない</v>
      </c>
      <c r="AO1365" s="30" t="n">
        <v>0</v>
      </c>
      <c r="AP1365" s="30" t="n">
        <v>0</v>
      </c>
      <c r="AQ1365" s="30" t="str">
        <f aca="false">IF(OR(Y1365="判定不能",G1365="判定不能"),"判定不能",IF(AP1365&gt;=判定条件!$C$9,"利用可",IF(AND(Y1365="停止",G1365="停止"),"両方停止","運転がそろわない")))</f>
        <v>判定不能</v>
      </c>
      <c r="AR1365" s="30" t="n">
        <v>0</v>
      </c>
      <c r="AS1365" s="30" t="n">
        <v>0</v>
      </c>
      <c r="AT1365" s="30" t="str">
        <f aca="false">IF(OR(AB1365="判定不能",J1365="判定不能"),"判定不能",IF(AS1365&gt;=判定条件!$C$9,"利用可",IF(AND(AB1365="停止",J1365="停止"),"両方停止","運転がそろわない")))</f>
        <v>判定不能</v>
      </c>
      <c r="AU1365" s="30" t="n">
        <v>0</v>
      </c>
      <c r="AV1365" s="30" t="n">
        <v>0</v>
      </c>
      <c r="AW1365" s="30" t="str">
        <f aca="false">IF(OR(AE1365="判定不能",M1365="判定不能"),"判定不能",IF(AV1365&gt;=判定条件!$C$9,"利用可",IF(AND(AE1365="停止",M1365="停止"),"両方停止","運転がそろわない")))</f>
        <v>判定不能</v>
      </c>
      <c r="AX1365" s="30" t="str">
        <f aca="false">IF(AND(AH1365="利用可",AK1365="利用可",AN1365="利用可"),"利用可","不可")</f>
        <v>不可</v>
      </c>
      <c r="AY1365" s="30" t="str">
        <f aca="false">IF(AND(AQ1365="利用可",AT1365="利用可",AW1365="利用可"),"利用可","不可")</f>
        <v>不可</v>
      </c>
    </row>
    <row r="1366" customFormat="false" ht="15" hidden="false" customHeight="false" outlineLevel="0" collapsed="false">
      <c r="A1366" s="29" t="n">
        <v>46288</v>
      </c>
      <c r="B1366" s="30" t="n">
        <v>19</v>
      </c>
      <c r="C1366" s="31" t="s">
        <v>58</v>
      </c>
      <c r="D1366" s="31" t="s">
        <v>101</v>
      </c>
      <c r="E1366" s="30" t="n">
        <v>60</v>
      </c>
      <c r="F1366" s="30" t="n">
        <v>0</v>
      </c>
      <c r="G1366" s="30" t="str">
        <f aca="false">IF(E1366&lt;判定条件!$C$6,"判定不能",IF(F1366&gt;=判定条件!$C$7*E1366,"運転",IF(F1366&lt;=判定条件!$C$8*E1366,"停止","断続")))</f>
        <v>停止</v>
      </c>
      <c r="H1366" s="30" t="n">
        <v>60</v>
      </c>
      <c r="I1366" s="30" t="n">
        <v>21</v>
      </c>
      <c r="J1366" s="30" t="str">
        <f aca="false">IF(H1366&lt;判定条件!$C$6,"判定不能",IF(I1366&gt;=判定条件!$C$7*H1366,"運転",IF(I1366&lt;=判定条件!$C$8*H1366,"停止","断続")))</f>
        <v>断続</v>
      </c>
      <c r="K1366" s="30" t="n">
        <v>60</v>
      </c>
      <c r="L1366" s="30" t="n">
        <v>35</v>
      </c>
      <c r="M1366" s="30" t="str">
        <f aca="false">IF(K1366&lt;判定条件!$C$6,"判定不能",IF(L1366&gt;=判定条件!$C$7*K1366,"運転",IF(L1366&lt;=判定条件!$C$8*K1366,"停止","断続")))</f>
        <v>断続</v>
      </c>
      <c r="N1366" s="30" t="n">
        <v>60</v>
      </c>
      <c r="O1366" s="30" t="n">
        <v>0</v>
      </c>
      <c r="P1366" s="30" t="str">
        <f aca="false">IF(N1366&lt;判定条件!$C$6,"判定不能",IF(O1366&gt;=判定条件!$C$7*N1366,"運転",IF(O1366&lt;=判定条件!$C$8*N1366,"停止","断続")))</f>
        <v>停止</v>
      </c>
      <c r="Q1366" s="30" t="n">
        <v>60</v>
      </c>
      <c r="R1366" s="30" t="n">
        <v>0</v>
      </c>
      <c r="S1366" s="30" t="str">
        <f aca="false">IF(Q1366&lt;判定条件!$C$6,"判定不能",IF(R1366&gt;=判定条件!$C$7*Q1366,"運転",IF(R1366&lt;=判定条件!$C$8*Q1366,"停止","断続")))</f>
        <v>停止</v>
      </c>
      <c r="T1366" s="30" t="n">
        <v>60</v>
      </c>
      <c r="U1366" s="30" t="n">
        <v>0</v>
      </c>
      <c r="V1366" s="30" t="str">
        <f aca="false">IF(T1366&lt;判定条件!$C$6,"判定不能",IF(U1366&gt;=判定条件!$C$7*T1366,"運転",IF(U1366&lt;=判定条件!$C$8*T1366,"停止","断続")))</f>
        <v>停止</v>
      </c>
      <c r="W1366" s="30" t="n">
        <v>0</v>
      </c>
      <c r="X1366" s="30" t="n">
        <v>0</v>
      </c>
      <c r="Y1366" s="30" t="str">
        <f aca="false">IF(W1366&lt;判定条件!$C$6,"判定不能",IF(X1366&gt;=判定条件!$C$7*W1366,"運転",IF(X1366&lt;=判定条件!$C$8*W1366,"停止","断続")))</f>
        <v>判定不能</v>
      </c>
      <c r="Z1366" s="30" t="n">
        <v>0</v>
      </c>
      <c r="AA1366" s="30" t="n">
        <v>0</v>
      </c>
      <c r="AB1366" s="30" t="str">
        <f aca="false">IF(Z1366&lt;判定条件!$C$6,"判定不能",IF(AA1366&gt;=判定条件!$C$7*Z1366,"運転",IF(AA1366&lt;=判定条件!$C$8*Z1366,"停止","断続")))</f>
        <v>判定不能</v>
      </c>
      <c r="AC1366" s="30" t="n">
        <v>0</v>
      </c>
      <c r="AD1366" s="30" t="n">
        <v>0</v>
      </c>
      <c r="AE1366" s="30" t="str">
        <f aca="false">IF(AC1366&lt;判定条件!$C$6,"判定不能",IF(AD1366&gt;=判定条件!$C$7*AC1366,"運転",IF(AD1366&lt;=判定条件!$C$8*AC1366,"停止","断続")))</f>
        <v>判定不能</v>
      </c>
      <c r="AF1366" s="30" t="n">
        <v>60</v>
      </c>
      <c r="AG1366" s="30" t="n">
        <v>0</v>
      </c>
      <c r="AH1366" s="30" t="str">
        <f aca="false">IF(OR(P1366="判定不能",G1366="判定不能"),"判定不能",IF(AG1366&gt;=判定条件!$C$9,"利用可",IF(AND(P1366="停止",G1366="停止"),"両方停止","運転がそろわない")))</f>
        <v>両方停止</v>
      </c>
      <c r="AI1366" s="30" t="n">
        <v>60</v>
      </c>
      <c r="AJ1366" s="30" t="n">
        <v>0</v>
      </c>
      <c r="AK1366" s="30" t="str">
        <f aca="false">IF(OR(S1366="判定不能",J1366="判定不能"),"判定不能",IF(AJ1366&gt;=判定条件!$C$9,"利用可",IF(AND(S1366="停止",J1366="停止"),"両方停止","運転がそろわない")))</f>
        <v>運転がそろわない</v>
      </c>
      <c r="AL1366" s="30" t="n">
        <v>60</v>
      </c>
      <c r="AM1366" s="30" t="n">
        <v>0</v>
      </c>
      <c r="AN1366" s="30" t="str">
        <f aca="false">IF(OR(V1366="判定不能",M1366="判定不能"),"判定不能",IF(AM1366&gt;=判定条件!$C$9,"利用可",IF(AND(V1366="停止",M1366="停止"),"両方停止","運転がそろわない")))</f>
        <v>運転がそろわない</v>
      </c>
      <c r="AO1366" s="30" t="n">
        <v>0</v>
      </c>
      <c r="AP1366" s="30" t="n">
        <v>0</v>
      </c>
      <c r="AQ1366" s="30" t="str">
        <f aca="false">IF(OR(Y1366="判定不能",G1366="判定不能"),"判定不能",IF(AP1366&gt;=判定条件!$C$9,"利用可",IF(AND(Y1366="停止",G1366="停止"),"両方停止","運転がそろわない")))</f>
        <v>判定不能</v>
      </c>
      <c r="AR1366" s="30" t="n">
        <v>0</v>
      </c>
      <c r="AS1366" s="30" t="n">
        <v>0</v>
      </c>
      <c r="AT1366" s="30" t="str">
        <f aca="false">IF(OR(AB1366="判定不能",J1366="判定不能"),"判定不能",IF(AS1366&gt;=判定条件!$C$9,"利用可",IF(AND(AB1366="停止",J1366="停止"),"両方停止","運転がそろわない")))</f>
        <v>判定不能</v>
      </c>
      <c r="AU1366" s="30" t="n">
        <v>0</v>
      </c>
      <c r="AV1366" s="30" t="n">
        <v>0</v>
      </c>
      <c r="AW1366" s="30" t="str">
        <f aca="false">IF(OR(AE1366="判定不能",M1366="判定不能"),"判定不能",IF(AV1366&gt;=判定条件!$C$9,"利用可",IF(AND(AE1366="停止",M1366="停止"),"両方停止","運転がそろわない")))</f>
        <v>判定不能</v>
      </c>
      <c r="AX1366" s="30" t="str">
        <f aca="false">IF(AND(AH1366="利用可",AK1366="利用可",AN1366="利用可"),"利用可","不可")</f>
        <v>不可</v>
      </c>
      <c r="AY1366" s="30" t="str">
        <f aca="false">IF(AND(AQ1366="利用可",AT1366="利用可",AW1366="利用可"),"利用可","不可")</f>
        <v>不可</v>
      </c>
    </row>
    <row r="1367" customFormat="false" ht="15" hidden="false" customHeight="false" outlineLevel="0" collapsed="false">
      <c r="A1367" s="29" t="n">
        <v>46288</v>
      </c>
      <c r="B1367" s="30" t="n">
        <v>20</v>
      </c>
      <c r="C1367" s="31" t="s">
        <v>58</v>
      </c>
      <c r="D1367" s="31" t="s">
        <v>101</v>
      </c>
      <c r="E1367" s="30" t="n">
        <v>60</v>
      </c>
      <c r="F1367" s="30" t="n">
        <v>0</v>
      </c>
      <c r="G1367" s="30" t="str">
        <f aca="false">IF(E1367&lt;判定条件!$C$6,"判定不能",IF(F1367&gt;=判定条件!$C$7*E1367,"運転",IF(F1367&lt;=判定条件!$C$8*E1367,"停止","断続")))</f>
        <v>停止</v>
      </c>
      <c r="H1367" s="30" t="n">
        <v>60</v>
      </c>
      <c r="I1367" s="30" t="n">
        <v>0</v>
      </c>
      <c r="J1367" s="30" t="str">
        <f aca="false">IF(H1367&lt;判定条件!$C$6,"判定不能",IF(I1367&gt;=判定条件!$C$7*H1367,"運転",IF(I1367&lt;=判定条件!$C$8*H1367,"停止","断続")))</f>
        <v>停止</v>
      </c>
      <c r="K1367" s="30" t="n">
        <v>60</v>
      </c>
      <c r="L1367" s="30" t="n">
        <v>52</v>
      </c>
      <c r="M1367" s="30" t="str">
        <f aca="false">IF(K1367&lt;判定条件!$C$6,"判定不能",IF(L1367&gt;=判定条件!$C$7*K1367,"運転",IF(L1367&lt;=判定条件!$C$8*K1367,"停止","断続")))</f>
        <v>運転</v>
      </c>
      <c r="N1367" s="30" t="n">
        <v>60</v>
      </c>
      <c r="O1367" s="30" t="n">
        <v>0</v>
      </c>
      <c r="P1367" s="30" t="str">
        <f aca="false">IF(N1367&lt;判定条件!$C$6,"判定不能",IF(O1367&gt;=判定条件!$C$7*N1367,"運転",IF(O1367&lt;=判定条件!$C$8*N1367,"停止","断続")))</f>
        <v>停止</v>
      </c>
      <c r="Q1367" s="30" t="n">
        <v>60</v>
      </c>
      <c r="R1367" s="30" t="n">
        <v>0</v>
      </c>
      <c r="S1367" s="30" t="str">
        <f aca="false">IF(Q1367&lt;判定条件!$C$6,"判定不能",IF(R1367&gt;=判定条件!$C$7*Q1367,"運転",IF(R1367&lt;=判定条件!$C$8*Q1367,"停止","断続")))</f>
        <v>停止</v>
      </c>
      <c r="T1367" s="30" t="n">
        <v>60</v>
      </c>
      <c r="U1367" s="30" t="n">
        <v>0</v>
      </c>
      <c r="V1367" s="30" t="str">
        <f aca="false">IF(T1367&lt;判定条件!$C$6,"判定不能",IF(U1367&gt;=判定条件!$C$7*T1367,"運転",IF(U1367&lt;=判定条件!$C$8*T1367,"停止","断続")))</f>
        <v>停止</v>
      </c>
      <c r="W1367" s="30" t="n">
        <v>0</v>
      </c>
      <c r="X1367" s="30" t="n">
        <v>0</v>
      </c>
      <c r="Y1367" s="30" t="str">
        <f aca="false">IF(W1367&lt;判定条件!$C$6,"判定不能",IF(X1367&gt;=判定条件!$C$7*W1367,"運転",IF(X1367&lt;=判定条件!$C$8*W1367,"停止","断続")))</f>
        <v>判定不能</v>
      </c>
      <c r="Z1367" s="30" t="n">
        <v>0</v>
      </c>
      <c r="AA1367" s="30" t="n">
        <v>0</v>
      </c>
      <c r="AB1367" s="30" t="str">
        <f aca="false">IF(Z1367&lt;判定条件!$C$6,"判定不能",IF(AA1367&gt;=判定条件!$C$7*Z1367,"運転",IF(AA1367&lt;=判定条件!$C$8*Z1367,"停止","断続")))</f>
        <v>判定不能</v>
      </c>
      <c r="AC1367" s="30" t="n">
        <v>0</v>
      </c>
      <c r="AD1367" s="30" t="n">
        <v>0</v>
      </c>
      <c r="AE1367" s="30" t="str">
        <f aca="false">IF(AC1367&lt;判定条件!$C$6,"判定不能",IF(AD1367&gt;=判定条件!$C$7*AC1367,"運転",IF(AD1367&lt;=判定条件!$C$8*AC1367,"停止","断続")))</f>
        <v>判定不能</v>
      </c>
      <c r="AF1367" s="30" t="n">
        <v>60</v>
      </c>
      <c r="AG1367" s="30" t="n">
        <v>0</v>
      </c>
      <c r="AH1367" s="30" t="str">
        <f aca="false">IF(OR(P1367="判定不能",G1367="判定不能"),"判定不能",IF(AG1367&gt;=判定条件!$C$9,"利用可",IF(AND(P1367="停止",G1367="停止"),"両方停止","運転がそろわない")))</f>
        <v>両方停止</v>
      </c>
      <c r="AI1367" s="30" t="n">
        <v>60</v>
      </c>
      <c r="AJ1367" s="30" t="n">
        <v>0</v>
      </c>
      <c r="AK1367" s="30" t="str">
        <f aca="false">IF(OR(S1367="判定不能",J1367="判定不能"),"判定不能",IF(AJ1367&gt;=判定条件!$C$9,"利用可",IF(AND(S1367="停止",J1367="停止"),"両方停止","運転がそろわない")))</f>
        <v>両方停止</v>
      </c>
      <c r="AL1367" s="30" t="n">
        <v>60</v>
      </c>
      <c r="AM1367" s="30" t="n">
        <v>0</v>
      </c>
      <c r="AN1367" s="30" t="str">
        <f aca="false">IF(OR(V1367="判定不能",M1367="判定不能"),"判定不能",IF(AM1367&gt;=判定条件!$C$9,"利用可",IF(AND(V1367="停止",M1367="停止"),"両方停止","運転がそろわない")))</f>
        <v>運転がそろわない</v>
      </c>
      <c r="AO1367" s="30" t="n">
        <v>0</v>
      </c>
      <c r="AP1367" s="30" t="n">
        <v>0</v>
      </c>
      <c r="AQ1367" s="30" t="str">
        <f aca="false">IF(OR(Y1367="判定不能",G1367="判定不能"),"判定不能",IF(AP1367&gt;=判定条件!$C$9,"利用可",IF(AND(Y1367="停止",G1367="停止"),"両方停止","運転がそろわない")))</f>
        <v>判定不能</v>
      </c>
      <c r="AR1367" s="30" t="n">
        <v>0</v>
      </c>
      <c r="AS1367" s="30" t="n">
        <v>0</v>
      </c>
      <c r="AT1367" s="30" t="str">
        <f aca="false">IF(OR(AB1367="判定不能",J1367="判定不能"),"判定不能",IF(AS1367&gt;=判定条件!$C$9,"利用可",IF(AND(AB1367="停止",J1367="停止"),"両方停止","運転がそろわない")))</f>
        <v>判定不能</v>
      </c>
      <c r="AU1367" s="30" t="n">
        <v>0</v>
      </c>
      <c r="AV1367" s="30" t="n">
        <v>0</v>
      </c>
      <c r="AW1367" s="30" t="str">
        <f aca="false">IF(OR(AE1367="判定不能",M1367="判定不能"),"判定不能",IF(AV1367&gt;=判定条件!$C$9,"利用可",IF(AND(AE1367="停止",M1367="停止"),"両方停止","運転がそろわない")))</f>
        <v>判定不能</v>
      </c>
      <c r="AX1367" s="30" t="str">
        <f aca="false">IF(AND(AH1367="利用可",AK1367="利用可",AN1367="利用可"),"利用可","不可")</f>
        <v>不可</v>
      </c>
      <c r="AY1367" s="30" t="str">
        <f aca="false">IF(AND(AQ1367="利用可",AT1367="利用可",AW1367="利用可"),"利用可","不可")</f>
        <v>不可</v>
      </c>
    </row>
    <row r="1368" customFormat="false" ht="15" hidden="false" customHeight="false" outlineLevel="0" collapsed="false">
      <c r="A1368" s="29" t="n">
        <v>46288</v>
      </c>
      <c r="B1368" s="30" t="n">
        <v>21</v>
      </c>
      <c r="C1368" s="31" t="s">
        <v>58</v>
      </c>
      <c r="D1368" s="31" t="s">
        <v>101</v>
      </c>
      <c r="E1368" s="30" t="n">
        <v>60</v>
      </c>
      <c r="F1368" s="30" t="n">
        <v>0</v>
      </c>
      <c r="G1368" s="30" t="str">
        <f aca="false">IF(E1368&lt;判定条件!$C$6,"判定不能",IF(F1368&gt;=判定条件!$C$7*E1368,"運転",IF(F1368&lt;=判定条件!$C$8*E1368,"停止","断続")))</f>
        <v>停止</v>
      </c>
      <c r="H1368" s="30" t="n">
        <v>60</v>
      </c>
      <c r="I1368" s="30" t="n">
        <v>0</v>
      </c>
      <c r="J1368" s="30" t="str">
        <f aca="false">IF(H1368&lt;判定条件!$C$6,"判定不能",IF(I1368&gt;=判定条件!$C$7*H1368,"運転",IF(I1368&lt;=判定条件!$C$8*H1368,"停止","断続")))</f>
        <v>停止</v>
      </c>
      <c r="K1368" s="30" t="n">
        <v>60</v>
      </c>
      <c r="L1368" s="30" t="n">
        <v>2</v>
      </c>
      <c r="M1368" s="30" t="str">
        <f aca="false">IF(K1368&lt;判定条件!$C$6,"判定不能",IF(L1368&gt;=判定条件!$C$7*K1368,"運転",IF(L1368&lt;=判定条件!$C$8*K1368,"停止","断続")))</f>
        <v>停止</v>
      </c>
      <c r="N1368" s="30" t="n">
        <v>60</v>
      </c>
      <c r="O1368" s="30" t="n">
        <v>0</v>
      </c>
      <c r="P1368" s="30" t="str">
        <f aca="false">IF(N1368&lt;判定条件!$C$6,"判定不能",IF(O1368&gt;=判定条件!$C$7*N1368,"運転",IF(O1368&lt;=判定条件!$C$8*N1368,"停止","断続")))</f>
        <v>停止</v>
      </c>
      <c r="Q1368" s="30" t="n">
        <v>60</v>
      </c>
      <c r="R1368" s="30" t="n">
        <v>0</v>
      </c>
      <c r="S1368" s="30" t="str">
        <f aca="false">IF(Q1368&lt;判定条件!$C$6,"判定不能",IF(R1368&gt;=判定条件!$C$7*Q1368,"運転",IF(R1368&lt;=判定条件!$C$8*Q1368,"停止","断続")))</f>
        <v>停止</v>
      </c>
      <c r="T1368" s="30" t="n">
        <v>60</v>
      </c>
      <c r="U1368" s="30" t="n">
        <v>0</v>
      </c>
      <c r="V1368" s="30" t="str">
        <f aca="false">IF(T1368&lt;判定条件!$C$6,"判定不能",IF(U1368&gt;=判定条件!$C$7*T1368,"運転",IF(U1368&lt;=判定条件!$C$8*T1368,"停止","断続")))</f>
        <v>停止</v>
      </c>
      <c r="W1368" s="30" t="n">
        <v>0</v>
      </c>
      <c r="X1368" s="30" t="n">
        <v>0</v>
      </c>
      <c r="Y1368" s="30" t="str">
        <f aca="false">IF(W1368&lt;判定条件!$C$6,"判定不能",IF(X1368&gt;=判定条件!$C$7*W1368,"運転",IF(X1368&lt;=判定条件!$C$8*W1368,"停止","断続")))</f>
        <v>判定不能</v>
      </c>
      <c r="Z1368" s="30" t="n">
        <v>0</v>
      </c>
      <c r="AA1368" s="30" t="n">
        <v>0</v>
      </c>
      <c r="AB1368" s="30" t="str">
        <f aca="false">IF(Z1368&lt;判定条件!$C$6,"判定不能",IF(AA1368&gt;=判定条件!$C$7*Z1368,"運転",IF(AA1368&lt;=判定条件!$C$8*Z1368,"停止","断続")))</f>
        <v>判定不能</v>
      </c>
      <c r="AC1368" s="30" t="n">
        <v>0</v>
      </c>
      <c r="AD1368" s="30" t="n">
        <v>0</v>
      </c>
      <c r="AE1368" s="30" t="str">
        <f aca="false">IF(AC1368&lt;判定条件!$C$6,"判定不能",IF(AD1368&gt;=判定条件!$C$7*AC1368,"運転",IF(AD1368&lt;=判定条件!$C$8*AC1368,"停止","断続")))</f>
        <v>判定不能</v>
      </c>
      <c r="AF1368" s="30" t="n">
        <v>60</v>
      </c>
      <c r="AG1368" s="30" t="n">
        <v>0</v>
      </c>
      <c r="AH1368" s="30" t="str">
        <f aca="false">IF(OR(P1368="判定不能",G1368="判定不能"),"判定不能",IF(AG1368&gt;=判定条件!$C$9,"利用可",IF(AND(P1368="停止",G1368="停止"),"両方停止","運転がそろわない")))</f>
        <v>両方停止</v>
      </c>
      <c r="AI1368" s="30" t="n">
        <v>60</v>
      </c>
      <c r="AJ1368" s="30" t="n">
        <v>0</v>
      </c>
      <c r="AK1368" s="30" t="str">
        <f aca="false">IF(OR(S1368="判定不能",J1368="判定不能"),"判定不能",IF(AJ1368&gt;=判定条件!$C$9,"利用可",IF(AND(S1368="停止",J1368="停止"),"両方停止","運転がそろわない")))</f>
        <v>両方停止</v>
      </c>
      <c r="AL1368" s="30" t="n">
        <v>60</v>
      </c>
      <c r="AM1368" s="30" t="n">
        <v>0</v>
      </c>
      <c r="AN1368" s="30" t="str">
        <f aca="false">IF(OR(V1368="判定不能",M1368="判定不能"),"判定不能",IF(AM1368&gt;=判定条件!$C$9,"利用可",IF(AND(V1368="停止",M1368="停止"),"両方停止","運転がそろわない")))</f>
        <v>両方停止</v>
      </c>
      <c r="AO1368" s="30" t="n">
        <v>0</v>
      </c>
      <c r="AP1368" s="30" t="n">
        <v>0</v>
      </c>
      <c r="AQ1368" s="30" t="str">
        <f aca="false">IF(OR(Y1368="判定不能",G1368="判定不能"),"判定不能",IF(AP1368&gt;=判定条件!$C$9,"利用可",IF(AND(Y1368="停止",G1368="停止"),"両方停止","運転がそろわない")))</f>
        <v>判定不能</v>
      </c>
      <c r="AR1368" s="30" t="n">
        <v>0</v>
      </c>
      <c r="AS1368" s="30" t="n">
        <v>0</v>
      </c>
      <c r="AT1368" s="30" t="str">
        <f aca="false">IF(OR(AB1368="判定不能",J1368="判定不能"),"判定不能",IF(AS1368&gt;=判定条件!$C$9,"利用可",IF(AND(AB1368="停止",J1368="停止"),"両方停止","運転がそろわない")))</f>
        <v>判定不能</v>
      </c>
      <c r="AU1368" s="30" t="n">
        <v>0</v>
      </c>
      <c r="AV1368" s="30" t="n">
        <v>0</v>
      </c>
      <c r="AW1368" s="30" t="str">
        <f aca="false">IF(OR(AE1368="判定不能",M1368="判定不能"),"判定不能",IF(AV1368&gt;=判定条件!$C$9,"利用可",IF(AND(AE1368="停止",M1368="停止"),"両方停止","運転がそろわない")))</f>
        <v>判定不能</v>
      </c>
      <c r="AX1368" s="30" t="str">
        <f aca="false">IF(AND(AH1368="利用可",AK1368="利用可",AN1368="利用可"),"利用可","不可")</f>
        <v>不可</v>
      </c>
      <c r="AY1368" s="30" t="str">
        <f aca="false">IF(AND(AQ1368="利用可",AT1368="利用可",AW1368="利用可"),"利用可","不可")</f>
        <v>不可</v>
      </c>
    </row>
    <row r="1369" customFormat="false" ht="15" hidden="false" customHeight="false" outlineLevel="0" collapsed="false">
      <c r="A1369" s="29" t="n">
        <v>46288</v>
      </c>
      <c r="B1369" s="30" t="n">
        <v>22</v>
      </c>
      <c r="C1369" s="31" t="s">
        <v>58</v>
      </c>
      <c r="D1369" s="31" t="s">
        <v>101</v>
      </c>
      <c r="E1369" s="30" t="n">
        <v>60</v>
      </c>
      <c r="F1369" s="30" t="n">
        <v>0</v>
      </c>
      <c r="G1369" s="30" t="str">
        <f aca="false">IF(E1369&lt;判定条件!$C$6,"判定不能",IF(F1369&gt;=判定条件!$C$7*E1369,"運転",IF(F1369&lt;=判定条件!$C$8*E1369,"停止","断続")))</f>
        <v>停止</v>
      </c>
      <c r="H1369" s="30" t="n">
        <v>60</v>
      </c>
      <c r="I1369" s="30" t="n">
        <v>0</v>
      </c>
      <c r="J1369" s="30" t="str">
        <f aca="false">IF(H1369&lt;判定条件!$C$6,"判定不能",IF(I1369&gt;=判定条件!$C$7*H1369,"運転",IF(I1369&lt;=判定条件!$C$8*H1369,"停止","断続")))</f>
        <v>停止</v>
      </c>
      <c r="K1369" s="30" t="n">
        <v>60</v>
      </c>
      <c r="L1369" s="30" t="n">
        <v>0</v>
      </c>
      <c r="M1369" s="30" t="str">
        <f aca="false">IF(K1369&lt;判定条件!$C$6,"判定不能",IF(L1369&gt;=判定条件!$C$7*K1369,"運転",IF(L1369&lt;=判定条件!$C$8*K1369,"停止","断続")))</f>
        <v>停止</v>
      </c>
      <c r="N1369" s="30" t="n">
        <v>60</v>
      </c>
      <c r="O1369" s="30" t="n">
        <v>0</v>
      </c>
      <c r="P1369" s="30" t="str">
        <f aca="false">IF(N1369&lt;判定条件!$C$6,"判定不能",IF(O1369&gt;=判定条件!$C$7*N1369,"運転",IF(O1369&lt;=判定条件!$C$8*N1369,"停止","断続")))</f>
        <v>停止</v>
      </c>
      <c r="Q1369" s="30" t="n">
        <v>60</v>
      </c>
      <c r="R1369" s="30" t="n">
        <v>0</v>
      </c>
      <c r="S1369" s="30" t="str">
        <f aca="false">IF(Q1369&lt;判定条件!$C$6,"判定不能",IF(R1369&gt;=判定条件!$C$7*Q1369,"運転",IF(R1369&lt;=判定条件!$C$8*Q1369,"停止","断続")))</f>
        <v>停止</v>
      </c>
      <c r="T1369" s="30" t="n">
        <v>60</v>
      </c>
      <c r="U1369" s="30" t="n">
        <v>0</v>
      </c>
      <c r="V1369" s="30" t="str">
        <f aca="false">IF(T1369&lt;判定条件!$C$6,"判定不能",IF(U1369&gt;=判定条件!$C$7*T1369,"運転",IF(U1369&lt;=判定条件!$C$8*T1369,"停止","断続")))</f>
        <v>停止</v>
      </c>
      <c r="W1369" s="30" t="n">
        <v>0</v>
      </c>
      <c r="X1369" s="30" t="n">
        <v>0</v>
      </c>
      <c r="Y1369" s="30" t="str">
        <f aca="false">IF(W1369&lt;判定条件!$C$6,"判定不能",IF(X1369&gt;=判定条件!$C$7*W1369,"運転",IF(X1369&lt;=判定条件!$C$8*W1369,"停止","断続")))</f>
        <v>判定不能</v>
      </c>
      <c r="Z1369" s="30" t="n">
        <v>0</v>
      </c>
      <c r="AA1369" s="30" t="n">
        <v>0</v>
      </c>
      <c r="AB1369" s="30" t="str">
        <f aca="false">IF(Z1369&lt;判定条件!$C$6,"判定不能",IF(AA1369&gt;=判定条件!$C$7*Z1369,"運転",IF(AA1369&lt;=判定条件!$C$8*Z1369,"停止","断続")))</f>
        <v>判定不能</v>
      </c>
      <c r="AC1369" s="30" t="n">
        <v>0</v>
      </c>
      <c r="AD1369" s="30" t="n">
        <v>0</v>
      </c>
      <c r="AE1369" s="30" t="str">
        <f aca="false">IF(AC1369&lt;判定条件!$C$6,"判定不能",IF(AD1369&gt;=判定条件!$C$7*AC1369,"運転",IF(AD1369&lt;=判定条件!$C$8*AC1369,"停止","断続")))</f>
        <v>判定不能</v>
      </c>
      <c r="AF1369" s="30" t="n">
        <v>60</v>
      </c>
      <c r="AG1369" s="30" t="n">
        <v>0</v>
      </c>
      <c r="AH1369" s="30" t="str">
        <f aca="false">IF(OR(P1369="判定不能",G1369="判定不能"),"判定不能",IF(AG1369&gt;=判定条件!$C$9,"利用可",IF(AND(P1369="停止",G1369="停止"),"両方停止","運転がそろわない")))</f>
        <v>両方停止</v>
      </c>
      <c r="AI1369" s="30" t="n">
        <v>60</v>
      </c>
      <c r="AJ1369" s="30" t="n">
        <v>0</v>
      </c>
      <c r="AK1369" s="30" t="str">
        <f aca="false">IF(OR(S1369="判定不能",J1369="判定不能"),"判定不能",IF(AJ1369&gt;=判定条件!$C$9,"利用可",IF(AND(S1369="停止",J1369="停止"),"両方停止","運転がそろわない")))</f>
        <v>両方停止</v>
      </c>
      <c r="AL1369" s="30" t="n">
        <v>60</v>
      </c>
      <c r="AM1369" s="30" t="n">
        <v>0</v>
      </c>
      <c r="AN1369" s="30" t="str">
        <f aca="false">IF(OR(V1369="判定不能",M1369="判定不能"),"判定不能",IF(AM1369&gt;=判定条件!$C$9,"利用可",IF(AND(V1369="停止",M1369="停止"),"両方停止","運転がそろわない")))</f>
        <v>両方停止</v>
      </c>
      <c r="AO1369" s="30" t="n">
        <v>0</v>
      </c>
      <c r="AP1369" s="30" t="n">
        <v>0</v>
      </c>
      <c r="AQ1369" s="30" t="str">
        <f aca="false">IF(OR(Y1369="判定不能",G1369="判定不能"),"判定不能",IF(AP1369&gt;=判定条件!$C$9,"利用可",IF(AND(Y1369="停止",G1369="停止"),"両方停止","運転がそろわない")))</f>
        <v>判定不能</v>
      </c>
      <c r="AR1369" s="30" t="n">
        <v>0</v>
      </c>
      <c r="AS1369" s="30" t="n">
        <v>0</v>
      </c>
      <c r="AT1369" s="30" t="str">
        <f aca="false">IF(OR(AB1369="判定不能",J1369="判定不能"),"判定不能",IF(AS1369&gt;=判定条件!$C$9,"利用可",IF(AND(AB1369="停止",J1369="停止"),"両方停止","運転がそろわない")))</f>
        <v>判定不能</v>
      </c>
      <c r="AU1369" s="30" t="n">
        <v>0</v>
      </c>
      <c r="AV1369" s="30" t="n">
        <v>0</v>
      </c>
      <c r="AW1369" s="30" t="str">
        <f aca="false">IF(OR(AE1369="判定不能",M1369="判定不能"),"判定不能",IF(AV1369&gt;=判定条件!$C$9,"利用可",IF(AND(AE1369="停止",M1369="停止"),"両方停止","運転がそろわない")))</f>
        <v>判定不能</v>
      </c>
      <c r="AX1369" s="30" t="str">
        <f aca="false">IF(AND(AH1369="利用可",AK1369="利用可",AN1369="利用可"),"利用可","不可")</f>
        <v>不可</v>
      </c>
      <c r="AY1369" s="30" t="str">
        <f aca="false">IF(AND(AQ1369="利用可",AT1369="利用可",AW1369="利用可"),"利用可","不可")</f>
        <v>不可</v>
      </c>
    </row>
    <row r="1370" customFormat="false" ht="15" hidden="false" customHeight="false" outlineLevel="0" collapsed="false">
      <c r="A1370" s="29" t="n">
        <v>46288</v>
      </c>
      <c r="B1370" s="30" t="n">
        <v>23</v>
      </c>
      <c r="C1370" s="31" t="s">
        <v>58</v>
      </c>
      <c r="D1370" s="31" t="s">
        <v>101</v>
      </c>
      <c r="E1370" s="30" t="n">
        <v>60</v>
      </c>
      <c r="F1370" s="30" t="n">
        <v>0</v>
      </c>
      <c r="G1370" s="30" t="str">
        <f aca="false">IF(E1370&lt;判定条件!$C$6,"判定不能",IF(F1370&gt;=判定条件!$C$7*E1370,"運転",IF(F1370&lt;=判定条件!$C$8*E1370,"停止","断続")))</f>
        <v>停止</v>
      </c>
      <c r="H1370" s="30" t="n">
        <v>60</v>
      </c>
      <c r="I1370" s="30" t="n">
        <v>0</v>
      </c>
      <c r="J1370" s="30" t="str">
        <f aca="false">IF(H1370&lt;判定条件!$C$6,"判定不能",IF(I1370&gt;=判定条件!$C$7*H1370,"運転",IF(I1370&lt;=判定条件!$C$8*H1370,"停止","断続")))</f>
        <v>停止</v>
      </c>
      <c r="K1370" s="30" t="n">
        <v>60</v>
      </c>
      <c r="L1370" s="30" t="n">
        <v>0</v>
      </c>
      <c r="M1370" s="30" t="str">
        <f aca="false">IF(K1370&lt;判定条件!$C$6,"判定不能",IF(L1370&gt;=判定条件!$C$7*K1370,"運転",IF(L1370&lt;=判定条件!$C$8*K1370,"停止","断続")))</f>
        <v>停止</v>
      </c>
      <c r="N1370" s="30" t="n">
        <v>60</v>
      </c>
      <c r="O1370" s="30" t="n">
        <v>0</v>
      </c>
      <c r="P1370" s="30" t="str">
        <f aca="false">IF(N1370&lt;判定条件!$C$6,"判定不能",IF(O1370&gt;=判定条件!$C$7*N1370,"運転",IF(O1370&lt;=判定条件!$C$8*N1370,"停止","断続")))</f>
        <v>停止</v>
      </c>
      <c r="Q1370" s="30" t="n">
        <v>60</v>
      </c>
      <c r="R1370" s="30" t="n">
        <v>0</v>
      </c>
      <c r="S1370" s="30" t="str">
        <f aca="false">IF(Q1370&lt;判定条件!$C$6,"判定不能",IF(R1370&gt;=判定条件!$C$7*Q1370,"運転",IF(R1370&lt;=判定条件!$C$8*Q1370,"停止","断続")))</f>
        <v>停止</v>
      </c>
      <c r="T1370" s="30" t="n">
        <v>60</v>
      </c>
      <c r="U1370" s="30" t="n">
        <v>0</v>
      </c>
      <c r="V1370" s="30" t="str">
        <f aca="false">IF(T1370&lt;判定条件!$C$6,"判定不能",IF(U1370&gt;=判定条件!$C$7*T1370,"運転",IF(U1370&lt;=判定条件!$C$8*T1370,"停止","断続")))</f>
        <v>停止</v>
      </c>
      <c r="W1370" s="30" t="n">
        <v>0</v>
      </c>
      <c r="X1370" s="30" t="n">
        <v>0</v>
      </c>
      <c r="Y1370" s="30" t="str">
        <f aca="false">IF(W1370&lt;判定条件!$C$6,"判定不能",IF(X1370&gt;=判定条件!$C$7*W1370,"運転",IF(X1370&lt;=判定条件!$C$8*W1370,"停止","断続")))</f>
        <v>判定不能</v>
      </c>
      <c r="Z1370" s="30" t="n">
        <v>0</v>
      </c>
      <c r="AA1370" s="30" t="n">
        <v>0</v>
      </c>
      <c r="AB1370" s="30" t="str">
        <f aca="false">IF(Z1370&lt;判定条件!$C$6,"判定不能",IF(AA1370&gt;=判定条件!$C$7*Z1370,"運転",IF(AA1370&lt;=判定条件!$C$8*Z1370,"停止","断続")))</f>
        <v>判定不能</v>
      </c>
      <c r="AC1370" s="30" t="n">
        <v>0</v>
      </c>
      <c r="AD1370" s="30" t="n">
        <v>0</v>
      </c>
      <c r="AE1370" s="30" t="str">
        <f aca="false">IF(AC1370&lt;判定条件!$C$6,"判定不能",IF(AD1370&gt;=判定条件!$C$7*AC1370,"運転",IF(AD1370&lt;=判定条件!$C$8*AC1370,"停止","断続")))</f>
        <v>判定不能</v>
      </c>
      <c r="AF1370" s="30" t="n">
        <v>60</v>
      </c>
      <c r="AG1370" s="30" t="n">
        <v>0</v>
      </c>
      <c r="AH1370" s="30" t="str">
        <f aca="false">IF(OR(P1370="判定不能",G1370="判定不能"),"判定不能",IF(AG1370&gt;=判定条件!$C$9,"利用可",IF(AND(P1370="停止",G1370="停止"),"両方停止","運転がそろわない")))</f>
        <v>両方停止</v>
      </c>
      <c r="AI1370" s="30" t="n">
        <v>60</v>
      </c>
      <c r="AJ1370" s="30" t="n">
        <v>0</v>
      </c>
      <c r="AK1370" s="30" t="str">
        <f aca="false">IF(OR(S1370="判定不能",J1370="判定不能"),"判定不能",IF(AJ1370&gt;=判定条件!$C$9,"利用可",IF(AND(S1370="停止",J1370="停止"),"両方停止","運転がそろわない")))</f>
        <v>両方停止</v>
      </c>
      <c r="AL1370" s="30" t="n">
        <v>60</v>
      </c>
      <c r="AM1370" s="30" t="n">
        <v>0</v>
      </c>
      <c r="AN1370" s="30" t="str">
        <f aca="false">IF(OR(V1370="判定不能",M1370="判定不能"),"判定不能",IF(AM1370&gt;=判定条件!$C$9,"利用可",IF(AND(V1370="停止",M1370="停止"),"両方停止","運転がそろわない")))</f>
        <v>両方停止</v>
      </c>
      <c r="AO1370" s="30" t="n">
        <v>0</v>
      </c>
      <c r="AP1370" s="30" t="n">
        <v>0</v>
      </c>
      <c r="AQ1370" s="30" t="str">
        <f aca="false">IF(OR(Y1370="判定不能",G1370="判定不能"),"判定不能",IF(AP1370&gt;=判定条件!$C$9,"利用可",IF(AND(Y1370="停止",G1370="停止"),"両方停止","運転がそろわない")))</f>
        <v>判定不能</v>
      </c>
      <c r="AR1370" s="30" t="n">
        <v>0</v>
      </c>
      <c r="AS1370" s="30" t="n">
        <v>0</v>
      </c>
      <c r="AT1370" s="30" t="str">
        <f aca="false">IF(OR(AB1370="判定不能",J1370="判定不能"),"判定不能",IF(AS1370&gt;=判定条件!$C$9,"利用可",IF(AND(AB1370="停止",J1370="停止"),"両方停止","運転がそろわない")))</f>
        <v>判定不能</v>
      </c>
      <c r="AU1370" s="30" t="n">
        <v>0</v>
      </c>
      <c r="AV1370" s="30" t="n">
        <v>0</v>
      </c>
      <c r="AW1370" s="30" t="str">
        <f aca="false">IF(OR(AE1370="判定不能",M1370="判定不能"),"判定不能",IF(AV1370&gt;=判定条件!$C$9,"利用可",IF(AND(AE1370="停止",M1370="停止"),"両方停止","運転がそろわない")))</f>
        <v>判定不能</v>
      </c>
      <c r="AX1370" s="30" t="str">
        <f aca="false">IF(AND(AH1370="利用可",AK1370="利用可",AN1370="利用可"),"利用可","不可")</f>
        <v>不可</v>
      </c>
      <c r="AY1370" s="30" t="str">
        <f aca="false">IF(AND(AQ1370="利用可",AT1370="利用可",AW1370="利用可"),"利用可","不可")</f>
        <v>不可</v>
      </c>
    </row>
    <row r="1371" customFormat="false" ht="15" hidden="false" customHeight="false" outlineLevel="0" collapsed="false">
      <c r="A1371" s="29" t="n">
        <v>46289</v>
      </c>
      <c r="B1371" s="30" t="n">
        <v>0</v>
      </c>
      <c r="C1371" s="31" t="s">
        <v>61</v>
      </c>
      <c r="D1371" s="31" t="s">
        <v>59</v>
      </c>
      <c r="E1371" s="30" t="n">
        <v>60</v>
      </c>
      <c r="F1371" s="30" t="n">
        <v>0</v>
      </c>
      <c r="G1371" s="30" t="str">
        <f aca="false">IF(E1371&lt;判定条件!$C$6,"判定不能",IF(F1371&gt;=判定条件!$C$7*E1371,"運転",IF(F1371&lt;=判定条件!$C$8*E1371,"停止","断続")))</f>
        <v>停止</v>
      </c>
      <c r="H1371" s="30" t="n">
        <v>60</v>
      </c>
      <c r="I1371" s="30" t="n">
        <v>0</v>
      </c>
      <c r="J1371" s="30" t="str">
        <f aca="false">IF(H1371&lt;判定条件!$C$6,"判定不能",IF(I1371&gt;=判定条件!$C$7*H1371,"運転",IF(I1371&lt;=判定条件!$C$8*H1371,"停止","断続")))</f>
        <v>停止</v>
      </c>
      <c r="K1371" s="30" t="n">
        <v>60</v>
      </c>
      <c r="L1371" s="30" t="n">
        <v>0</v>
      </c>
      <c r="M1371" s="30" t="str">
        <f aca="false">IF(K1371&lt;判定条件!$C$6,"判定不能",IF(L1371&gt;=判定条件!$C$7*K1371,"運転",IF(L1371&lt;=判定条件!$C$8*K1371,"停止","断続")))</f>
        <v>停止</v>
      </c>
      <c r="N1371" s="30" t="n">
        <v>60</v>
      </c>
      <c r="O1371" s="30" t="n">
        <v>0</v>
      </c>
      <c r="P1371" s="30" t="str">
        <f aca="false">IF(N1371&lt;判定条件!$C$6,"判定不能",IF(O1371&gt;=判定条件!$C$7*N1371,"運転",IF(O1371&lt;=判定条件!$C$8*N1371,"停止","断続")))</f>
        <v>停止</v>
      </c>
      <c r="Q1371" s="30" t="n">
        <v>60</v>
      </c>
      <c r="R1371" s="30" t="n">
        <v>0</v>
      </c>
      <c r="S1371" s="30" t="str">
        <f aca="false">IF(Q1371&lt;判定条件!$C$6,"判定不能",IF(R1371&gt;=判定条件!$C$7*Q1371,"運転",IF(R1371&lt;=判定条件!$C$8*Q1371,"停止","断続")))</f>
        <v>停止</v>
      </c>
      <c r="T1371" s="30" t="n">
        <v>60</v>
      </c>
      <c r="U1371" s="30" t="n">
        <v>0</v>
      </c>
      <c r="V1371" s="30" t="str">
        <f aca="false">IF(T1371&lt;判定条件!$C$6,"判定不能",IF(U1371&gt;=判定条件!$C$7*T1371,"運転",IF(U1371&lt;=判定条件!$C$8*T1371,"停止","断続")))</f>
        <v>停止</v>
      </c>
      <c r="W1371" s="30" t="n">
        <v>0</v>
      </c>
      <c r="X1371" s="30" t="n">
        <v>0</v>
      </c>
      <c r="Y1371" s="30" t="str">
        <f aca="false">IF(W1371&lt;判定条件!$C$6,"判定不能",IF(X1371&gt;=判定条件!$C$7*W1371,"運転",IF(X1371&lt;=判定条件!$C$8*W1371,"停止","断続")))</f>
        <v>判定不能</v>
      </c>
      <c r="Z1371" s="30" t="n">
        <v>0</v>
      </c>
      <c r="AA1371" s="30" t="n">
        <v>0</v>
      </c>
      <c r="AB1371" s="30" t="str">
        <f aca="false">IF(Z1371&lt;判定条件!$C$6,"判定不能",IF(AA1371&gt;=判定条件!$C$7*Z1371,"運転",IF(AA1371&lt;=判定条件!$C$8*Z1371,"停止","断続")))</f>
        <v>判定不能</v>
      </c>
      <c r="AC1371" s="30" t="n">
        <v>0</v>
      </c>
      <c r="AD1371" s="30" t="n">
        <v>0</v>
      </c>
      <c r="AE1371" s="30" t="str">
        <f aca="false">IF(AC1371&lt;判定条件!$C$6,"判定不能",IF(AD1371&gt;=判定条件!$C$7*AC1371,"運転",IF(AD1371&lt;=判定条件!$C$8*AC1371,"停止","断続")))</f>
        <v>判定不能</v>
      </c>
      <c r="AF1371" s="30" t="n">
        <v>60</v>
      </c>
      <c r="AG1371" s="30" t="n">
        <v>0</v>
      </c>
      <c r="AH1371" s="30" t="str">
        <f aca="false">IF(OR(P1371="判定不能",G1371="判定不能"),"判定不能",IF(AG1371&gt;=判定条件!$C$9,"利用可",IF(AND(P1371="停止",G1371="停止"),"両方停止","運転がそろわない")))</f>
        <v>両方停止</v>
      </c>
      <c r="AI1371" s="30" t="n">
        <v>60</v>
      </c>
      <c r="AJ1371" s="30" t="n">
        <v>0</v>
      </c>
      <c r="AK1371" s="30" t="str">
        <f aca="false">IF(OR(S1371="判定不能",J1371="判定不能"),"判定不能",IF(AJ1371&gt;=判定条件!$C$9,"利用可",IF(AND(S1371="停止",J1371="停止"),"両方停止","運転がそろわない")))</f>
        <v>両方停止</v>
      </c>
      <c r="AL1371" s="30" t="n">
        <v>60</v>
      </c>
      <c r="AM1371" s="30" t="n">
        <v>0</v>
      </c>
      <c r="AN1371" s="30" t="str">
        <f aca="false">IF(OR(V1371="判定不能",M1371="判定不能"),"判定不能",IF(AM1371&gt;=判定条件!$C$9,"利用可",IF(AND(V1371="停止",M1371="停止"),"両方停止","運転がそろわない")))</f>
        <v>両方停止</v>
      </c>
      <c r="AO1371" s="30" t="n">
        <v>0</v>
      </c>
      <c r="AP1371" s="30" t="n">
        <v>0</v>
      </c>
      <c r="AQ1371" s="30" t="str">
        <f aca="false">IF(OR(Y1371="判定不能",G1371="判定不能"),"判定不能",IF(AP1371&gt;=判定条件!$C$9,"利用可",IF(AND(Y1371="停止",G1371="停止"),"両方停止","運転がそろわない")))</f>
        <v>判定不能</v>
      </c>
      <c r="AR1371" s="30" t="n">
        <v>0</v>
      </c>
      <c r="AS1371" s="30" t="n">
        <v>0</v>
      </c>
      <c r="AT1371" s="30" t="str">
        <f aca="false">IF(OR(AB1371="判定不能",J1371="判定不能"),"判定不能",IF(AS1371&gt;=判定条件!$C$9,"利用可",IF(AND(AB1371="停止",J1371="停止"),"両方停止","運転がそろわない")))</f>
        <v>判定不能</v>
      </c>
      <c r="AU1371" s="30" t="n">
        <v>0</v>
      </c>
      <c r="AV1371" s="30" t="n">
        <v>0</v>
      </c>
      <c r="AW1371" s="30" t="str">
        <f aca="false">IF(OR(AE1371="判定不能",M1371="判定不能"),"判定不能",IF(AV1371&gt;=判定条件!$C$9,"利用可",IF(AND(AE1371="停止",M1371="停止"),"両方停止","運転がそろわない")))</f>
        <v>判定不能</v>
      </c>
      <c r="AX1371" s="30" t="str">
        <f aca="false">IF(AND(AH1371="利用可",AK1371="利用可",AN1371="利用可"),"利用可","不可")</f>
        <v>不可</v>
      </c>
      <c r="AY1371" s="30" t="str">
        <f aca="false">IF(AND(AQ1371="利用可",AT1371="利用可",AW1371="利用可"),"利用可","不可")</f>
        <v>不可</v>
      </c>
    </row>
    <row r="1372" customFormat="false" ht="15" hidden="false" customHeight="false" outlineLevel="0" collapsed="false">
      <c r="A1372" s="29" t="n">
        <v>46289</v>
      </c>
      <c r="B1372" s="30" t="n">
        <v>1</v>
      </c>
      <c r="C1372" s="31" t="s">
        <v>61</v>
      </c>
      <c r="D1372" s="31" t="s">
        <v>59</v>
      </c>
      <c r="E1372" s="30" t="n">
        <v>60</v>
      </c>
      <c r="F1372" s="30" t="n">
        <v>0</v>
      </c>
      <c r="G1372" s="30" t="str">
        <f aca="false">IF(E1372&lt;判定条件!$C$6,"判定不能",IF(F1372&gt;=判定条件!$C$7*E1372,"運転",IF(F1372&lt;=判定条件!$C$8*E1372,"停止","断続")))</f>
        <v>停止</v>
      </c>
      <c r="H1372" s="30" t="n">
        <v>60</v>
      </c>
      <c r="I1372" s="30" t="n">
        <v>0</v>
      </c>
      <c r="J1372" s="30" t="str">
        <f aca="false">IF(H1372&lt;判定条件!$C$6,"判定不能",IF(I1372&gt;=判定条件!$C$7*H1372,"運転",IF(I1372&lt;=判定条件!$C$8*H1372,"停止","断続")))</f>
        <v>停止</v>
      </c>
      <c r="K1372" s="30" t="n">
        <v>60</v>
      </c>
      <c r="L1372" s="30" t="n">
        <v>0</v>
      </c>
      <c r="M1372" s="30" t="str">
        <f aca="false">IF(K1372&lt;判定条件!$C$6,"判定不能",IF(L1372&gt;=判定条件!$C$7*K1372,"運転",IF(L1372&lt;=判定条件!$C$8*K1372,"停止","断続")))</f>
        <v>停止</v>
      </c>
      <c r="N1372" s="30" t="n">
        <v>60</v>
      </c>
      <c r="O1372" s="30" t="n">
        <v>0</v>
      </c>
      <c r="P1372" s="30" t="str">
        <f aca="false">IF(N1372&lt;判定条件!$C$6,"判定不能",IF(O1372&gt;=判定条件!$C$7*N1372,"運転",IF(O1372&lt;=判定条件!$C$8*N1372,"停止","断続")))</f>
        <v>停止</v>
      </c>
      <c r="Q1372" s="30" t="n">
        <v>60</v>
      </c>
      <c r="R1372" s="30" t="n">
        <v>0</v>
      </c>
      <c r="S1372" s="30" t="str">
        <f aca="false">IF(Q1372&lt;判定条件!$C$6,"判定不能",IF(R1372&gt;=判定条件!$C$7*Q1372,"運転",IF(R1372&lt;=判定条件!$C$8*Q1372,"停止","断続")))</f>
        <v>停止</v>
      </c>
      <c r="T1372" s="30" t="n">
        <v>60</v>
      </c>
      <c r="U1372" s="30" t="n">
        <v>0</v>
      </c>
      <c r="V1372" s="30" t="str">
        <f aca="false">IF(T1372&lt;判定条件!$C$6,"判定不能",IF(U1372&gt;=判定条件!$C$7*T1372,"運転",IF(U1372&lt;=判定条件!$C$8*T1372,"停止","断続")))</f>
        <v>停止</v>
      </c>
      <c r="W1372" s="30" t="n">
        <v>0</v>
      </c>
      <c r="X1372" s="30" t="n">
        <v>0</v>
      </c>
      <c r="Y1372" s="30" t="str">
        <f aca="false">IF(W1372&lt;判定条件!$C$6,"判定不能",IF(X1372&gt;=判定条件!$C$7*W1372,"運転",IF(X1372&lt;=判定条件!$C$8*W1372,"停止","断続")))</f>
        <v>判定不能</v>
      </c>
      <c r="Z1372" s="30" t="n">
        <v>0</v>
      </c>
      <c r="AA1372" s="30" t="n">
        <v>0</v>
      </c>
      <c r="AB1372" s="30" t="str">
        <f aca="false">IF(Z1372&lt;判定条件!$C$6,"判定不能",IF(AA1372&gt;=判定条件!$C$7*Z1372,"運転",IF(AA1372&lt;=判定条件!$C$8*Z1372,"停止","断続")))</f>
        <v>判定不能</v>
      </c>
      <c r="AC1372" s="30" t="n">
        <v>0</v>
      </c>
      <c r="AD1372" s="30" t="n">
        <v>0</v>
      </c>
      <c r="AE1372" s="30" t="str">
        <f aca="false">IF(AC1372&lt;判定条件!$C$6,"判定不能",IF(AD1372&gt;=判定条件!$C$7*AC1372,"運転",IF(AD1372&lt;=判定条件!$C$8*AC1372,"停止","断続")))</f>
        <v>判定不能</v>
      </c>
      <c r="AF1372" s="30" t="n">
        <v>60</v>
      </c>
      <c r="AG1372" s="30" t="n">
        <v>0</v>
      </c>
      <c r="AH1372" s="30" t="str">
        <f aca="false">IF(OR(P1372="判定不能",G1372="判定不能"),"判定不能",IF(AG1372&gt;=判定条件!$C$9,"利用可",IF(AND(P1372="停止",G1372="停止"),"両方停止","運転がそろわない")))</f>
        <v>両方停止</v>
      </c>
      <c r="AI1372" s="30" t="n">
        <v>60</v>
      </c>
      <c r="AJ1372" s="30" t="n">
        <v>0</v>
      </c>
      <c r="AK1372" s="30" t="str">
        <f aca="false">IF(OR(S1372="判定不能",J1372="判定不能"),"判定不能",IF(AJ1372&gt;=判定条件!$C$9,"利用可",IF(AND(S1372="停止",J1372="停止"),"両方停止","運転がそろわない")))</f>
        <v>両方停止</v>
      </c>
      <c r="AL1372" s="30" t="n">
        <v>60</v>
      </c>
      <c r="AM1372" s="30" t="n">
        <v>0</v>
      </c>
      <c r="AN1372" s="30" t="str">
        <f aca="false">IF(OR(V1372="判定不能",M1372="判定不能"),"判定不能",IF(AM1372&gt;=判定条件!$C$9,"利用可",IF(AND(V1372="停止",M1372="停止"),"両方停止","運転がそろわない")))</f>
        <v>両方停止</v>
      </c>
      <c r="AO1372" s="30" t="n">
        <v>0</v>
      </c>
      <c r="AP1372" s="30" t="n">
        <v>0</v>
      </c>
      <c r="AQ1372" s="30" t="str">
        <f aca="false">IF(OR(Y1372="判定不能",G1372="判定不能"),"判定不能",IF(AP1372&gt;=判定条件!$C$9,"利用可",IF(AND(Y1372="停止",G1372="停止"),"両方停止","運転がそろわない")))</f>
        <v>判定不能</v>
      </c>
      <c r="AR1372" s="30" t="n">
        <v>0</v>
      </c>
      <c r="AS1372" s="30" t="n">
        <v>0</v>
      </c>
      <c r="AT1372" s="30" t="str">
        <f aca="false">IF(OR(AB1372="判定不能",J1372="判定不能"),"判定不能",IF(AS1372&gt;=判定条件!$C$9,"利用可",IF(AND(AB1372="停止",J1372="停止"),"両方停止","運転がそろわない")))</f>
        <v>判定不能</v>
      </c>
      <c r="AU1372" s="30" t="n">
        <v>0</v>
      </c>
      <c r="AV1372" s="30" t="n">
        <v>0</v>
      </c>
      <c r="AW1372" s="30" t="str">
        <f aca="false">IF(OR(AE1372="判定不能",M1372="判定不能"),"判定不能",IF(AV1372&gt;=判定条件!$C$9,"利用可",IF(AND(AE1372="停止",M1372="停止"),"両方停止","運転がそろわない")))</f>
        <v>判定不能</v>
      </c>
      <c r="AX1372" s="30" t="str">
        <f aca="false">IF(AND(AH1372="利用可",AK1372="利用可",AN1372="利用可"),"利用可","不可")</f>
        <v>不可</v>
      </c>
      <c r="AY1372" s="30" t="str">
        <f aca="false">IF(AND(AQ1372="利用可",AT1372="利用可",AW1372="利用可"),"利用可","不可")</f>
        <v>不可</v>
      </c>
    </row>
    <row r="1373" customFormat="false" ht="15" hidden="false" customHeight="false" outlineLevel="0" collapsed="false">
      <c r="A1373" s="29" t="n">
        <v>46289</v>
      </c>
      <c r="B1373" s="30" t="n">
        <v>2</v>
      </c>
      <c r="C1373" s="31" t="s">
        <v>61</v>
      </c>
      <c r="D1373" s="31" t="s">
        <v>59</v>
      </c>
      <c r="E1373" s="30" t="n">
        <v>60</v>
      </c>
      <c r="F1373" s="30" t="n">
        <v>0</v>
      </c>
      <c r="G1373" s="30" t="str">
        <f aca="false">IF(E1373&lt;判定条件!$C$6,"判定不能",IF(F1373&gt;=判定条件!$C$7*E1373,"運転",IF(F1373&lt;=判定条件!$C$8*E1373,"停止","断続")))</f>
        <v>停止</v>
      </c>
      <c r="H1373" s="30" t="n">
        <v>60</v>
      </c>
      <c r="I1373" s="30" t="n">
        <v>0</v>
      </c>
      <c r="J1373" s="30" t="str">
        <f aca="false">IF(H1373&lt;判定条件!$C$6,"判定不能",IF(I1373&gt;=判定条件!$C$7*H1373,"運転",IF(I1373&lt;=判定条件!$C$8*H1373,"停止","断続")))</f>
        <v>停止</v>
      </c>
      <c r="K1373" s="30" t="n">
        <v>60</v>
      </c>
      <c r="L1373" s="30" t="n">
        <v>0</v>
      </c>
      <c r="M1373" s="30" t="str">
        <f aca="false">IF(K1373&lt;判定条件!$C$6,"判定不能",IF(L1373&gt;=判定条件!$C$7*K1373,"運転",IF(L1373&lt;=判定条件!$C$8*K1373,"停止","断続")))</f>
        <v>停止</v>
      </c>
      <c r="N1373" s="30" t="n">
        <v>60</v>
      </c>
      <c r="O1373" s="30" t="n">
        <v>0</v>
      </c>
      <c r="P1373" s="30" t="str">
        <f aca="false">IF(N1373&lt;判定条件!$C$6,"判定不能",IF(O1373&gt;=判定条件!$C$7*N1373,"運転",IF(O1373&lt;=判定条件!$C$8*N1373,"停止","断続")))</f>
        <v>停止</v>
      </c>
      <c r="Q1373" s="30" t="n">
        <v>60</v>
      </c>
      <c r="R1373" s="30" t="n">
        <v>0</v>
      </c>
      <c r="S1373" s="30" t="str">
        <f aca="false">IF(Q1373&lt;判定条件!$C$6,"判定不能",IF(R1373&gt;=判定条件!$C$7*Q1373,"運転",IF(R1373&lt;=判定条件!$C$8*Q1373,"停止","断続")))</f>
        <v>停止</v>
      </c>
      <c r="T1373" s="30" t="n">
        <v>60</v>
      </c>
      <c r="U1373" s="30" t="n">
        <v>0</v>
      </c>
      <c r="V1373" s="30" t="str">
        <f aca="false">IF(T1373&lt;判定条件!$C$6,"判定不能",IF(U1373&gt;=判定条件!$C$7*T1373,"運転",IF(U1373&lt;=判定条件!$C$8*T1373,"停止","断続")))</f>
        <v>停止</v>
      </c>
      <c r="W1373" s="30" t="n">
        <v>0</v>
      </c>
      <c r="X1373" s="30" t="n">
        <v>0</v>
      </c>
      <c r="Y1373" s="30" t="str">
        <f aca="false">IF(W1373&lt;判定条件!$C$6,"判定不能",IF(X1373&gt;=判定条件!$C$7*W1373,"運転",IF(X1373&lt;=判定条件!$C$8*W1373,"停止","断続")))</f>
        <v>判定不能</v>
      </c>
      <c r="Z1373" s="30" t="n">
        <v>0</v>
      </c>
      <c r="AA1373" s="30" t="n">
        <v>0</v>
      </c>
      <c r="AB1373" s="30" t="str">
        <f aca="false">IF(Z1373&lt;判定条件!$C$6,"判定不能",IF(AA1373&gt;=判定条件!$C$7*Z1373,"運転",IF(AA1373&lt;=判定条件!$C$8*Z1373,"停止","断続")))</f>
        <v>判定不能</v>
      </c>
      <c r="AC1373" s="30" t="n">
        <v>0</v>
      </c>
      <c r="AD1373" s="30" t="n">
        <v>0</v>
      </c>
      <c r="AE1373" s="30" t="str">
        <f aca="false">IF(AC1373&lt;判定条件!$C$6,"判定不能",IF(AD1373&gt;=判定条件!$C$7*AC1373,"運転",IF(AD1373&lt;=判定条件!$C$8*AC1373,"停止","断続")))</f>
        <v>判定不能</v>
      </c>
      <c r="AF1373" s="30" t="n">
        <v>60</v>
      </c>
      <c r="AG1373" s="30" t="n">
        <v>0</v>
      </c>
      <c r="AH1373" s="30" t="str">
        <f aca="false">IF(OR(P1373="判定不能",G1373="判定不能"),"判定不能",IF(AG1373&gt;=判定条件!$C$9,"利用可",IF(AND(P1373="停止",G1373="停止"),"両方停止","運転がそろわない")))</f>
        <v>両方停止</v>
      </c>
      <c r="AI1373" s="30" t="n">
        <v>60</v>
      </c>
      <c r="AJ1373" s="30" t="n">
        <v>0</v>
      </c>
      <c r="AK1373" s="30" t="str">
        <f aca="false">IF(OR(S1373="判定不能",J1373="判定不能"),"判定不能",IF(AJ1373&gt;=判定条件!$C$9,"利用可",IF(AND(S1373="停止",J1373="停止"),"両方停止","運転がそろわない")))</f>
        <v>両方停止</v>
      </c>
      <c r="AL1373" s="30" t="n">
        <v>60</v>
      </c>
      <c r="AM1373" s="30" t="n">
        <v>0</v>
      </c>
      <c r="AN1373" s="30" t="str">
        <f aca="false">IF(OR(V1373="判定不能",M1373="判定不能"),"判定不能",IF(AM1373&gt;=判定条件!$C$9,"利用可",IF(AND(V1373="停止",M1373="停止"),"両方停止","運転がそろわない")))</f>
        <v>両方停止</v>
      </c>
      <c r="AO1373" s="30" t="n">
        <v>0</v>
      </c>
      <c r="AP1373" s="30" t="n">
        <v>0</v>
      </c>
      <c r="AQ1373" s="30" t="str">
        <f aca="false">IF(OR(Y1373="判定不能",G1373="判定不能"),"判定不能",IF(AP1373&gt;=判定条件!$C$9,"利用可",IF(AND(Y1373="停止",G1373="停止"),"両方停止","運転がそろわない")))</f>
        <v>判定不能</v>
      </c>
      <c r="AR1373" s="30" t="n">
        <v>0</v>
      </c>
      <c r="AS1373" s="30" t="n">
        <v>0</v>
      </c>
      <c r="AT1373" s="30" t="str">
        <f aca="false">IF(OR(AB1373="判定不能",J1373="判定不能"),"判定不能",IF(AS1373&gt;=判定条件!$C$9,"利用可",IF(AND(AB1373="停止",J1373="停止"),"両方停止","運転がそろわない")))</f>
        <v>判定不能</v>
      </c>
      <c r="AU1373" s="30" t="n">
        <v>0</v>
      </c>
      <c r="AV1373" s="30" t="n">
        <v>0</v>
      </c>
      <c r="AW1373" s="30" t="str">
        <f aca="false">IF(OR(AE1373="判定不能",M1373="判定不能"),"判定不能",IF(AV1373&gt;=判定条件!$C$9,"利用可",IF(AND(AE1373="停止",M1373="停止"),"両方停止","運転がそろわない")))</f>
        <v>判定不能</v>
      </c>
      <c r="AX1373" s="30" t="str">
        <f aca="false">IF(AND(AH1373="利用可",AK1373="利用可",AN1373="利用可"),"利用可","不可")</f>
        <v>不可</v>
      </c>
      <c r="AY1373" s="30" t="str">
        <f aca="false">IF(AND(AQ1373="利用可",AT1373="利用可",AW1373="利用可"),"利用可","不可")</f>
        <v>不可</v>
      </c>
    </row>
    <row r="1374" customFormat="false" ht="15" hidden="false" customHeight="false" outlineLevel="0" collapsed="false">
      <c r="A1374" s="29" t="n">
        <v>46289</v>
      </c>
      <c r="B1374" s="30" t="n">
        <v>3</v>
      </c>
      <c r="C1374" s="31" t="s">
        <v>61</v>
      </c>
      <c r="D1374" s="31" t="s">
        <v>59</v>
      </c>
      <c r="E1374" s="30" t="n">
        <v>60</v>
      </c>
      <c r="F1374" s="30" t="n">
        <v>0</v>
      </c>
      <c r="G1374" s="30" t="str">
        <f aca="false">IF(E1374&lt;判定条件!$C$6,"判定不能",IF(F1374&gt;=判定条件!$C$7*E1374,"運転",IF(F1374&lt;=判定条件!$C$8*E1374,"停止","断続")))</f>
        <v>停止</v>
      </c>
      <c r="H1374" s="30" t="n">
        <v>60</v>
      </c>
      <c r="I1374" s="30" t="n">
        <v>0</v>
      </c>
      <c r="J1374" s="30" t="str">
        <f aca="false">IF(H1374&lt;判定条件!$C$6,"判定不能",IF(I1374&gt;=判定条件!$C$7*H1374,"運転",IF(I1374&lt;=判定条件!$C$8*H1374,"停止","断続")))</f>
        <v>停止</v>
      </c>
      <c r="K1374" s="30" t="n">
        <v>60</v>
      </c>
      <c r="L1374" s="30" t="n">
        <v>0</v>
      </c>
      <c r="M1374" s="30" t="str">
        <f aca="false">IF(K1374&lt;判定条件!$C$6,"判定不能",IF(L1374&gt;=判定条件!$C$7*K1374,"運転",IF(L1374&lt;=判定条件!$C$8*K1374,"停止","断続")))</f>
        <v>停止</v>
      </c>
      <c r="N1374" s="30" t="n">
        <v>60</v>
      </c>
      <c r="O1374" s="30" t="n">
        <v>0</v>
      </c>
      <c r="P1374" s="30" t="str">
        <f aca="false">IF(N1374&lt;判定条件!$C$6,"判定不能",IF(O1374&gt;=判定条件!$C$7*N1374,"運転",IF(O1374&lt;=判定条件!$C$8*N1374,"停止","断続")))</f>
        <v>停止</v>
      </c>
      <c r="Q1374" s="30" t="n">
        <v>60</v>
      </c>
      <c r="R1374" s="30" t="n">
        <v>0</v>
      </c>
      <c r="S1374" s="30" t="str">
        <f aca="false">IF(Q1374&lt;判定条件!$C$6,"判定不能",IF(R1374&gt;=判定条件!$C$7*Q1374,"運転",IF(R1374&lt;=判定条件!$C$8*Q1374,"停止","断続")))</f>
        <v>停止</v>
      </c>
      <c r="T1374" s="30" t="n">
        <v>60</v>
      </c>
      <c r="U1374" s="30" t="n">
        <v>0</v>
      </c>
      <c r="V1374" s="30" t="str">
        <f aca="false">IF(T1374&lt;判定条件!$C$6,"判定不能",IF(U1374&gt;=判定条件!$C$7*T1374,"運転",IF(U1374&lt;=判定条件!$C$8*T1374,"停止","断続")))</f>
        <v>停止</v>
      </c>
      <c r="W1374" s="30" t="n">
        <v>0</v>
      </c>
      <c r="X1374" s="30" t="n">
        <v>0</v>
      </c>
      <c r="Y1374" s="30" t="str">
        <f aca="false">IF(W1374&lt;判定条件!$C$6,"判定不能",IF(X1374&gt;=判定条件!$C$7*W1374,"運転",IF(X1374&lt;=判定条件!$C$8*W1374,"停止","断続")))</f>
        <v>判定不能</v>
      </c>
      <c r="Z1374" s="30" t="n">
        <v>0</v>
      </c>
      <c r="AA1374" s="30" t="n">
        <v>0</v>
      </c>
      <c r="AB1374" s="30" t="str">
        <f aca="false">IF(Z1374&lt;判定条件!$C$6,"判定不能",IF(AA1374&gt;=判定条件!$C$7*Z1374,"運転",IF(AA1374&lt;=判定条件!$C$8*Z1374,"停止","断続")))</f>
        <v>判定不能</v>
      </c>
      <c r="AC1374" s="30" t="n">
        <v>0</v>
      </c>
      <c r="AD1374" s="30" t="n">
        <v>0</v>
      </c>
      <c r="AE1374" s="30" t="str">
        <f aca="false">IF(AC1374&lt;判定条件!$C$6,"判定不能",IF(AD1374&gt;=判定条件!$C$7*AC1374,"運転",IF(AD1374&lt;=判定条件!$C$8*AC1374,"停止","断続")))</f>
        <v>判定不能</v>
      </c>
      <c r="AF1374" s="30" t="n">
        <v>60</v>
      </c>
      <c r="AG1374" s="30" t="n">
        <v>0</v>
      </c>
      <c r="AH1374" s="30" t="str">
        <f aca="false">IF(OR(P1374="判定不能",G1374="判定不能"),"判定不能",IF(AG1374&gt;=判定条件!$C$9,"利用可",IF(AND(P1374="停止",G1374="停止"),"両方停止","運転がそろわない")))</f>
        <v>両方停止</v>
      </c>
      <c r="AI1374" s="30" t="n">
        <v>60</v>
      </c>
      <c r="AJ1374" s="30" t="n">
        <v>0</v>
      </c>
      <c r="AK1374" s="30" t="str">
        <f aca="false">IF(OR(S1374="判定不能",J1374="判定不能"),"判定不能",IF(AJ1374&gt;=判定条件!$C$9,"利用可",IF(AND(S1374="停止",J1374="停止"),"両方停止","運転がそろわない")))</f>
        <v>両方停止</v>
      </c>
      <c r="AL1374" s="30" t="n">
        <v>60</v>
      </c>
      <c r="AM1374" s="30" t="n">
        <v>0</v>
      </c>
      <c r="AN1374" s="30" t="str">
        <f aca="false">IF(OR(V1374="判定不能",M1374="判定不能"),"判定不能",IF(AM1374&gt;=判定条件!$C$9,"利用可",IF(AND(V1374="停止",M1374="停止"),"両方停止","運転がそろわない")))</f>
        <v>両方停止</v>
      </c>
      <c r="AO1374" s="30" t="n">
        <v>0</v>
      </c>
      <c r="AP1374" s="30" t="n">
        <v>0</v>
      </c>
      <c r="AQ1374" s="30" t="str">
        <f aca="false">IF(OR(Y1374="判定不能",G1374="判定不能"),"判定不能",IF(AP1374&gt;=判定条件!$C$9,"利用可",IF(AND(Y1374="停止",G1374="停止"),"両方停止","運転がそろわない")))</f>
        <v>判定不能</v>
      </c>
      <c r="AR1374" s="30" t="n">
        <v>0</v>
      </c>
      <c r="AS1374" s="30" t="n">
        <v>0</v>
      </c>
      <c r="AT1374" s="30" t="str">
        <f aca="false">IF(OR(AB1374="判定不能",J1374="判定不能"),"判定不能",IF(AS1374&gt;=判定条件!$C$9,"利用可",IF(AND(AB1374="停止",J1374="停止"),"両方停止","運転がそろわない")))</f>
        <v>判定不能</v>
      </c>
      <c r="AU1374" s="30" t="n">
        <v>0</v>
      </c>
      <c r="AV1374" s="30" t="n">
        <v>0</v>
      </c>
      <c r="AW1374" s="30" t="str">
        <f aca="false">IF(OR(AE1374="判定不能",M1374="判定不能"),"判定不能",IF(AV1374&gt;=判定条件!$C$9,"利用可",IF(AND(AE1374="停止",M1374="停止"),"両方停止","運転がそろわない")))</f>
        <v>判定不能</v>
      </c>
      <c r="AX1374" s="30" t="str">
        <f aca="false">IF(AND(AH1374="利用可",AK1374="利用可",AN1374="利用可"),"利用可","不可")</f>
        <v>不可</v>
      </c>
      <c r="AY1374" s="30" t="str">
        <f aca="false">IF(AND(AQ1374="利用可",AT1374="利用可",AW1374="利用可"),"利用可","不可")</f>
        <v>不可</v>
      </c>
    </row>
    <row r="1375" customFormat="false" ht="15" hidden="false" customHeight="false" outlineLevel="0" collapsed="false">
      <c r="A1375" s="29" t="n">
        <v>46289</v>
      </c>
      <c r="B1375" s="30" t="n">
        <v>4</v>
      </c>
      <c r="C1375" s="31" t="s">
        <v>61</v>
      </c>
      <c r="D1375" s="31" t="s">
        <v>59</v>
      </c>
      <c r="E1375" s="30" t="n">
        <v>60</v>
      </c>
      <c r="F1375" s="30" t="n">
        <v>0</v>
      </c>
      <c r="G1375" s="30" t="str">
        <f aca="false">IF(E1375&lt;判定条件!$C$6,"判定不能",IF(F1375&gt;=判定条件!$C$7*E1375,"運転",IF(F1375&lt;=判定条件!$C$8*E1375,"停止","断続")))</f>
        <v>停止</v>
      </c>
      <c r="H1375" s="30" t="n">
        <v>60</v>
      </c>
      <c r="I1375" s="30" t="n">
        <v>0</v>
      </c>
      <c r="J1375" s="30" t="str">
        <f aca="false">IF(H1375&lt;判定条件!$C$6,"判定不能",IF(I1375&gt;=判定条件!$C$7*H1375,"運転",IF(I1375&lt;=判定条件!$C$8*H1375,"停止","断続")))</f>
        <v>停止</v>
      </c>
      <c r="K1375" s="30" t="n">
        <v>60</v>
      </c>
      <c r="L1375" s="30" t="n">
        <v>0</v>
      </c>
      <c r="M1375" s="30" t="str">
        <f aca="false">IF(K1375&lt;判定条件!$C$6,"判定不能",IF(L1375&gt;=判定条件!$C$7*K1375,"運転",IF(L1375&lt;=判定条件!$C$8*K1375,"停止","断続")))</f>
        <v>停止</v>
      </c>
      <c r="N1375" s="30" t="n">
        <v>60</v>
      </c>
      <c r="O1375" s="30" t="n">
        <v>0</v>
      </c>
      <c r="P1375" s="30" t="str">
        <f aca="false">IF(N1375&lt;判定条件!$C$6,"判定不能",IF(O1375&gt;=判定条件!$C$7*N1375,"運転",IF(O1375&lt;=判定条件!$C$8*N1375,"停止","断続")))</f>
        <v>停止</v>
      </c>
      <c r="Q1375" s="30" t="n">
        <v>60</v>
      </c>
      <c r="R1375" s="30" t="n">
        <v>0</v>
      </c>
      <c r="S1375" s="30" t="str">
        <f aca="false">IF(Q1375&lt;判定条件!$C$6,"判定不能",IF(R1375&gt;=判定条件!$C$7*Q1375,"運転",IF(R1375&lt;=判定条件!$C$8*Q1375,"停止","断続")))</f>
        <v>停止</v>
      </c>
      <c r="T1375" s="30" t="n">
        <v>60</v>
      </c>
      <c r="U1375" s="30" t="n">
        <v>0</v>
      </c>
      <c r="V1375" s="30" t="str">
        <f aca="false">IF(T1375&lt;判定条件!$C$6,"判定不能",IF(U1375&gt;=判定条件!$C$7*T1375,"運転",IF(U1375&lt;=判定条件!$C$8*T1375,"停止","断続")))</f>
        <v>停止</v>
      </c>
      <c r="W1375" s="30" t="n">
        <v>0</v>
      </c>
      <c r="X1375" s="30" t="n">
        <v>0</v>
      </c>
      <c r="Y1375" s="30" t="str">
        <f aca="false">IF(W1375&lt;判定条件!$C$6,"判定不能",IF(X1375&gt;=判定条件!$C$7*W1375,"運転",IF(X1375&lt;=判定条件!$C$8*W1375,"停止","断続")))</f>
        <v>判定不能</v>
      </c>
      <c r="Z1375" s="30" t="n">
        <v>0</v>
      </c>
      <c r="AA1375" s="30" t="n">
        <v>0</v>
      </c>
      <c r="AB1375" s="30" t="str">
        <f aca="false">IF(Z1375&lt;判定条件!$C$6,"判定不能",IF(AA1375&gt;=判定条件!$C$7*Z1375,"運転",IF(AA1375&lt;=判定条件!$C$8*Z1375,"停止","断続")))</f>
        <v>判定不能</v>
      </c>
      <c r="AC1375" s="30" t="n">
        <v>0</v>
      </c>
      <c r="AD1375" s="30" t="n">
        <v>0</v>
      </c>
      <c r="AE1375" s="30" t="str">
        <f aca="false">IF(AC1375&lt;判定条件!$C$6,"判定不能",IF(AD1375&gt;=判定条件!$C$7*AC1375,"運転",IF(AD1375&lt;=判定条件!$C$8*AC1375,"停止","断続")))</f>
        <v>判定不能</v>
      </c>
      <c r="AF1375" s="30" t="n">
        <v>60</v>
      </c>
      <c r="AG1375" s="30" t="n">
        <v>0</v>
      </c>
      <c r="AH1375" s="30" t="str">
        <f aca="false">IF(OR(P1375="判定不能",G1375="判定不能"),"判定不能",IF(AG1375&gt;=判定条件!$C$9,"利用可",IF(AND(P1375="停止",G1375="停止"),"両方停止","運転がそろわない")))</f>
        <v>両方停止</v>
      </c>
      <c r="AI1375" s="30" t="n">
        <v>60</v>
      </c>
      <c r="AJ1375" s="30" t="n">
        <v>0</v>
      </c>
      <c r="AK1375" s="30" t="str">
        <f aca="false">IF(OR(S1375="判定不能",J1375="判定不能"),"判定不能",IF(AJ1375&gt;=判定条件!$C$9,"利用可",IF(AND(S1375="停止",J1375="停止"),"両方停止","運転がそろわない")))</f>
        <v>両方停止</v>
      </c>
      <c r="AL1375" s="30" t="n">
        <v>60</v>
      </c>
      <c r="AM1375" s="30" t="n">
        <v>0</v>
      </c>
      <c r="AN1375" s="30" t="str">
        <f aca="false">IF(OR(V1375="判定不能",M1375="判定不能"),"判定不能",IF(AM1375&gt;=判定条件!$C$9,"利用可",IF(AND(V1375="停止",M1375="停止"),"両方停止","運転がそろわない")))</f>
        <v>両方停止</v>
      </c>
      <c r="AO1375" s="30" t="n">
        <v>0</v>
      </c>
      <c r="AP1375" s="30" t="n">
        <v>0</v>
      </c>
      <c r="AQ1375" s="30" t="str">
        <f aca="false">IF(OR(Y1375="判定不能",G1375="判定不能"),"判定不能",IF(AP1375&gt;=判定条件!$C$9,"利用可",IF(AND(Y1375="停止",G1375="停止"),"両方停止","運転がそろわない")))</f>
        <v>判定不能</v>
      </c>
      <c r="AR1375" s="30" t="n">
        <v>0</v>
      </c>
      <c r="AS1375" s="30" t="n">
        <v>0</v>
      </c>
      <c r="AT1375" s="30" t="str">
        <f aca="false">IF(OR(AB1375="判定不能",J1375="判定不能"),"判定不能",IF(AS1375&gt;=判定条件!$C$9,"利用可",IF(AND(AB1375="停止",J1375="停止"),"両方停止","運転がそろわない")))</f>
        <v>判定不能</v>
      </c>
      <c r="AU1375" s="30" t="n">
        <v>0</v>
      </c>
      <c r="AV1375" s="30" t="n">
        <v>0</v>
      </c>
      <c r="AW1375" s="30" t="str">
        <f aca="false">IF(OR(AE1375="判定不能",M1375="判定不能"),"判定不能",IF(AV1375&gt;=判定条件!$C$9,"利用可",IF(AND(AE1375="停止",M1375="停止"),"両方停止","運転がそろわない")))</f>
        <v>判定不能</v>
      </c>
      <c r="AX1375" s="30" t="str">
        <f aca="false">IF(AND(AH1375="利用可",AK1375="利用可",AN1375="利用可"),"利用可","不可")</f>
        <v>不可</v>
      </c>
      <c r="AY1375" s="30" t="str">
        <f aca="false">IF(AND(AQ1375="利用可",AT1375="利用可",AW1375="利用可"),"利用可","不可")</f>
        <v>不可</v>
      </c>
    </row>
    <row r="1376" customFormat="false" ht="15" hidden="false" customHeight="false" outlineLevel="0" collapsed="false">
      <c r="A1376" s="29" t="n">
        <v>46289</v>
      </c>
      <c r="B1376" s="30" t="n">
        <v>5</v>
      </c>
      <c r="C1376" s="31" t="s">
        <v>61</v>
      </c>
      <c r="D1376" s="31" t="s">
        <v>59</v>
      </c>
      <c r="E1376" s="30" t="n">
        <v>60</v>
      </c>
      <c r="F1376" s="30" t="n">
        <v>0</v>
      </c>
      <c r="G1376" s="30" t="str">
        <f aca="false">IF(E1376&lt;判定条件!$C$6,"判定不能",IF(F1376&gt;=判定条件!$C$7*E1376,"運転",IF(F1376&lt;=判定条件!$C$8*E1376,"停止","断続")))</f>
        <v>停止</v>
      </c>
      <c r="H1376" s="30" t="n">
        <v>60</v>
      </c>
      <c r="I1376" s="30" t="n">
        <v>0</v>
      </c>
      <c r="J1376" s="30" t="str">
        <f aca="false">IF(H1376&lt;判定条件!$C$6,"判定不能",IF(I1376&gt;=判定条件!$C$7*H1376,"運転",IF(I1376&lt;=判定条件!$C$8*H1376,"停止","断続")))</f>
        <v>停止</v>
      </c>
      <c r="K1376" s="30" t="n">
        <v>60</v>
      </c>
      <c r="L1376" s="30" t="n">
        <v>0</v>
      </c>
      <c r="M1376" s="30" t="str">
        <f aca="false">IF(K1376&lt;判定条件!$C$6,"判定不能",IF(L1376&gt;=判定条件!$C$7*K1376,"運転",IF(L1376&lt;=判定条件!$C$8*K1376,"停止","断続")))</f>
        <v>停止</v>
      </c>
      <c r="N1376" s="30" t="n">
        <v>60</v>
      </c>
      <c r="O1376" s="30" t="n">
        <v>0</v>
      </c>
      <c r="P1376" s="30" t="str">
        <f aca="false">IF(N1376&lt;判定条件!$C$6,"判定不能",IF(O1376&gt;=判定条件!$C$7*N1376,"運転",IF(O1376&lt;=判定条件!$C$8*N1376,"停止","断続")))</f>
        <v>停止</v>
      </c>
      <c r="Q1376" s="30" t="n">
        <v>60</v>
      </c>
      <c r="R1376" s="30" t="n">
        <v>0</v>
      </c>
      <c r="S1376" s="30" t="str">
        <f aca="false">IF(Q1376&lt;判定条件!$C$6,"判定不能",IF(R1376&gt;=判定条件!$C$7*Q1376,"運転",IF(R1376&lt;=判定条件!$C$8*Q1376,"停止","断続")))</f>
        <v>停止</v>
      </c>
      <c r="T1376" s="30" t="n">
        <v>60</v>
      </c>
      <c r="U1376" s="30" t="n">
        <v>0</v>
      </c>
      <c r="V1376" s="30" t="str">
        <f aca="false">IF(T1376&lt;判定条件!$C$6,"判定不能",IF(U1376&gt;=判定条件!$C$7*T1376,"運転",IF(U1376&lt;=判定条件!$C$8*T1376,"停止","断続")))</f>
        <v>停止</v>
      </c>
      <c r="W1376" s="30" t="n">
        <v>0</v>
      </c>
      <c r="X1376" s="30" t="n">
        <v>0</v>
      </c>
      <c r="Y1376" s="30" t="str">
        <f aca="false">IF(W1376&lt;判定条件!$C$6,"判定不能",IF(X1376&gt;=判定条件!$C$7*W1376,"運転",IF(X1376&lt;=判定条件!$C$8*W1376,"停止","断続")))</f>
        <v>判定不能</v>
      </c>
      <c r="Z1376" s="30" t="n">
        <v>0</v>
      </c>
      <c r="AA1376" s="30" t="n">
        <v>0</v>
      </c>
      <c r="AB1376" s="30" t="str">
        <f aca="false">IF(Z1376&lt;判定条件!$C$6,"判定不能",IF(AA1376&gt;=判定条件!$C$7*Z1376,"運転",IF(AA1376&lt;=判定条件!$C$8*Z1376,"停止","断続")))</f>
        <v>判定不能</v>
      </c>
      <c r="AC1376" s="30" t="n">
        <v>0</v>
      </c>
      <c r="AD1376" s="30" t="n">
        <v>0</v>
      </c>
      <c r="AE1376" s="30" t="str">
        <f aca="false">IF(AC1376&lt;判定条件!$C$6,"判定不能",IF(AD1376&gt;=判定条件!$C$7*AC1376,"運転",IF(AD1376&lt;=判定条件!$C$8*AC1376,"停止","断続")))</f>
        <v>判定不能</v>
      </c>
      <c r="AF1376" s="30" t="n">
        <v>60</v>
      </c>
      <c r="AG1376" s="30" t="n">
        <v>0</v>
      </c>
      <c r="AH1376" s="30" t="str">
        <f aca="false">IF(OR(P1376="判定不能",G1376="判定不能"),"判定不能",IF(AG1376&gt;=判定条件!$C$9,"利用可",IF(AND(P1376="停止",G1376="停止"),"両方停止","運転がそろわない")))</f>
        <v>両方停止</v>
      </c>
      <c r="AI1376" s="30" t="n">
        <v>60</v>
      </c>
      <c r="AJ1376" s="30" t="n">
        <v>0</v>
      </c>
      <c r="AK1376" s="30" t="str">
        <f aca="false">IF(OR(S1376="判定不能",J1376="判定不能"),"判定不能",IF(AJ1376&gt;=判定条件!$C$9,"利用可",IF(AND(S1376="停止",J1376="停止"),"両方停止","運転がそろわない")))</f>
        <v>両方停止</v>
      </c>
      <c r="AL1376" s="30" t="n">
        <v>60</v>
      </c>
      <c r="AM1376" s="30" t="n">
        <v>0</v>
      </c>
      <c r="AN1376" s="30" t="str">
        <f aca="false">IF(OR(V1376="判定不能",M1376="判定不能"),"判定不能",IF(AM1376&gt;=判定条件!$C$9,"利用可",IF(AND(V1376="停止",M1376="停止"),"両方停止","運転がそろわない")))</f>
        <v>両方停止</v>
      </c>
      <c r="AO1376" s="30" t="n">
        <v>0</v>
      </c>
      <c r="AP1376" s="30" t="n">
        <v>0</v>
      </c>
      <c r="AQ1376" s="30" t="str">
        <f aca="false">IF(OR(Y1376="判定不能",G1376="判定不能"),"判定不能",IF(AP1376&gt;=判定条件!$C$9,"利用可",IF(AND(Y1376="停止",G1376="停止"),"両方停止","運転がそろわない")))</f>
        <v>判定不能</v>
      </c>
      <c r="AR1376" s="30" t="n">
        <v>0</v>
      </c>
      <c r="AS1376" s="30" t="n">
        <v>0</v>
      </c>
      <c r="AT1376" s="30" t="str">
        <f aca="false">IF(OR(AB1376="判定不能",J1376="判定不能"),"判定不能",IF(AS1376&gt;=判定条件!$C$9,"利用可",IF(AND(AB1376="停止",J1376="停止"),"両方停止","運転がそろわない")))</f>
        <v>判定不能</v>
      </c>
      <c r="AU1376" s="30" t="n">
        <v>0</v>
      </c>
      <c r="AV1376" s="30" t="n">
        <v>0</v>
      </c>
      <c r="AW1376" s="30" t="str">
        <f aca="false">IF(OR(AE1376="判定不能",M1376="判定不能"),"判定不能",IF(AV1376&gt;=判定条件!$C$9,"利用可",IF(AND(AE1376="停止",M1376="停止"),"両方停止","運転がそろわない")))</f>
        <v>判定不能</v>
      </c>
      <c r="AX1376" s="30" t="str">
        <f aca="false">IF(AND(AH1376="利用可",AK1376="利用可",AN1376="利用可"),"利用可","不可")</f>
        <v>不可</v>
      </c>
      <c r="AY1376" s="30" t="str">
        <f aca="false">IF(AND(AQ1376="利用可",AT1376="利用可",AW1376="利用可"),"利用可","不可")</f>
        <v>不可</v>
      </c>
    </row>
    <row r="1377" customFormat="false" ht="15" hidden="false" customHeight="false" outlineLevel="0" collapsed="false">
      <c r="A1377" s="29" t="n">
        <v>46289</v>
      </c>
      <c r="B1377" s="30" t="n">
        <v>6</v>
      </c>
      <c r="C1377" s="31" t="s">
        <v>61</v>
      </c>
      <c r="D1377" s="31" t="s">
        <v>59</v>
      </c>
      <c r="E1377" s="30" t="n">
        <v>60</v>
      </c>
      <c r="F1377" s="30" t="n">
        <v>0</v>
      </c>
      <c r="G1377" s="30" t="str">
        <f aca="false">IF(E1377&lt;判定条件!$C$6,"判定不能",IF(F1377&gt;=判定条件!$C$7*E1377,"運転",IF(F1377&lt;=判定条件!$C$8*E1377,"停止","断続")))</f>
        <v>停止</v>
      </c>
      <c r="H1377" s="30" t="n">
        <v>60</v>
      </c>
      <c r="I1377" s="30" t="n">
        <v>0</v>
      </c>
      <c r="J1377" s="30" t="str">
        <f aca="false">IF(H1377&lt;判定条件!$C$6,"判定不能",IF(I1377&gt;=判定条件!$C$7*H1377,"運転",IF(I1377&lt;=判定条件!$C$8*H1377,"停止","断続")))</f>
        <v>停止</v>
      </c>
      <c r="K1377" s="30" t="n">
        <v>60</v>
      </c>
      <c r="L1377" s="30" t="n">
        <v>0</v>
      </c>
      <c r="M1377" s="30" t="str">
        <f aca="false">IF(K1377&lt;判定条件!$C$6,"判定不能",IF(L1377&gt;=判定条件!$C$7*K1377,"運転",IF(L1377&lt;=判定条件!$C$8*K1377,"停止","断続")))</f>
        <v>停止</v>
      </c>
      <c r="N1377" s="30" t="n">
        <v>60</v>
      </c>
      <c r="O1377" s="30" t="n">
        <v>0</v>
      </c>
      <c r="P1377" s="30" t="str">
        <f aca="false">IF(N1377&lt;判定条件!$C$6,"判定不能",IF(O1377&gt;=判定条件!$C$7*N1377,"運転",IF(O1377&lt;=判定条件!$C$8*N1377,"停止","断続")))</f>
        <v>停止</v>
      </c>
      <c r="Q1377" s="30" t="n">
        <v>60</v>
      </c>
      <c r="R1377" s="30" t="n">
        <v>3</v>
      </c>
      <c r="S1377" s="30" t="str">
        <f aca="false">IF(Q1377&lt;判定条件!$C$6,"判定不能",IF(R1377&gt;=判定条件!$C$7*Q1377,"運転",IF(R1377&lt;=判定条件!$C$8*Q1377,"停止","断続")))</f>
        <v>停止</v>
      </c>
      <c r="T1377" s="30" t="n">
        <v>60</v>
      </c>
      <c r="U1377" s="30" t="n">
        <v>4</v>
      </c>
      <c r="V1377" s="30" t="str">
        <f aca="false">IF(T1377&lt;判定条件!$C$6,"判定不能",IF(U1377&gt;=判定条件!$C$7*T1377,"運転",IF(U1377&lt;=判定条件!$C$8*T1377,"停止","断続")))</f>
        <v>停止</v>
      </c>
      <c r="W1377" s="30" t="n">
        <v>0</v>
      </c>
      <c r="X1377" s="30" t="n">
        <v>0</v>
      </c>
      <c r="Y1377" s="30" t="str">
        <f aca="false">IF(W1377&lt;判定条件!$C$6,"判定不能",IF(X1377&gt;=判定条件!$C$7*W1377,"運転",IF(X1377&lt;=判定条件!$C$8*W1377,"停止","断続")))</f>
        <v>判定不能</v>
      </c>
      <c r="Z1377" s="30" t="n">
        <v>0</v>
      </c>
      <c r="AA1377" s="30" t="n">
        <v>0</v>
      </c>
      <c r="AB1377" s="30" t="str">
        <f aca="false">IF(Z1377&lt;判定条件!$C$6,"判定不能",IF(AA1377&gt;=判定条件!$C$7*Z1377,"運転",IF(AA1377&lt;=判定条件!$C$8*Z1377,"停止","断続")))</f>
        <v>判定不能</v>
      </c>
      <c r="AC1377" s="30" t="n">
        <v>0</v>
      </c>
      <c r="AD1377" s="30" t="n">
        <v>0</v>
      </c>
      <c r="AE1377" s="30" t="str">
        <f aca="false">IF(AC1377&lt;判定条件!$C$6,"判定不能",IF(AD1377&gt;=判定条件!$C$7*AC1377,"運転",IF(AD1377&lt;=判定条件!$C$8*AC1377,"停止","断続")))</f>
        <v>判定不能</v>
      </c>
      <c r="AF1377" s="30" t="n">
        <v>60</v>
      </c>
      <c r="AG1377" s="30" t="n">
        <v>0</v>
      </c>
      <c r="AH1377" s="30" t="str">
        <f aca="false">IF(OR(P1377="判定不能",G1377="判定不能"),"判定不能",IF(AG1377&gt;=判定条件!$C$9,"利用可",IF(AND(P1377="停止",G1377="停止"),"両方停止","運転がそろわない")))</f>
        <v>両方停止</v>
      </c>
      <c r="AI1377" s="30" t="n">
        <v>60</v>
      </c>
      <c r="AJ1377" s="30" t="n">
        <v>0</v>
      </c>
      <c r="AK1377" s="30" t="str">
        <f aca="false">IF(OR(S1377="判定不能",J1377="判定不能"),"判定不能",IF(AJ1377&gt;=判定条件!$C$9,"利用可",IF(AND(S1377="停止",J1377="停止"),"両方停止","運転がそろわない")))</f>
        <v>両方停止</v>
      </c>
      <c r="AL1377" s="30" t="n">
        <v>60</v>
      </c>
      <c r="AM1377" s="30" t="n">
        <v>0</v>
      </c>
      <c r="AN1377" s="30" t="str">
        <f aca="false">IF(OR(V1377="判定不能",M1377="判定不能"),"判定不能",IF(AM1377&gt;=判定条件!$C$9,"利用可",IF(AND(V1377="停止",M1377="停止"),"両方停止","運転がそろわない")))</f>
        <v>両方停止</v>
      </c>
      <c r="AO1377" s="30" t="n">
        <v>0</v>
      </c>
      <c r="AP1377" s="30" t="n">
        <v>0</v>
      </c>
      <c r="AQ1377" s="30" t="str">
        <f aca="false">IF(OR(Y1377="判定不能",G1377="判定不能"),"判定不能",IF(AP1377&gt;=判定条件!$C$9,"利用可",IF(AND(Y1377="停止",G1377="停止"),"両方停止","運転がそろわない")))</f>
        <v>判定不能</v>
      </c>
      <c r="AR1377" s="30" t="n">
        <v>0</v>
      </c>
      <c r="AS1377" s="30" t="n">
        <v>0</v>
      </c>
      <c r="AT1377" s="30" t="str">
        <f aca="false">IF(OR(AB1377="判定不能",J1377="判定不能"),"判定不能",IF(AS1377&gt;=判定条件!$C$9,"利用可",IF(AND(AB1377="停止",J1377="停止"),"両方停止","運転がそろわない")))</f>
        <v>判定不能</v>
      </c>
      <c r="AU1377" s="30" t="n">
        <v>0</v>
      </c>
      <c r="AV1377" s="30" t="n">
        <v>0</v>
      </c>
      <c r="AW1377" s="30" t="str">
        <f aca="false">IF(OR(AE1377="判定不能",M1377="判定不能"),"判定不能",IF(AV1377&gt;=判定条件!$C$9,"利用可",IF(AND(AE1377="停止",M1377="停止"),"両方停止","運転がそろわない")))</f>
        <v>判定不能</v>
      </c>
      <c r="AX1377" s="30" t="str">
        <f aca="false">IF(AND(AH1377="利用可",AK1377="利用可",AN1377="利用可"),"利用可","不可")</f>
        <v>不可</v>
      </c>
      <c r="AY1377" s="30" t="str">
        <f aca="false">IF(AND(AQ1377="利用可",AT1377="利用可",AW1377="利用可"),"利用可","不可")</f>
        <v>不可</v>
      </c>
    </row>
    <row r="1378" customFormat="false" ht="15" hidden="false" customHeight="false" outlineLevel="0" collapsed="false">
      <c r="A1378" s="29" t="n">
        <v>46289</v>
      </c>
      <c r="B1378" s="30" t="n">
        <v>7</v>
      </c>
      <c r="C1378" s="31" t="s">
        <v>61</v>
      </c>
      <c r="D1378" s="31" t="s">
        <v>59</v>
      </c>
      <c r="E1378" s="30" t="n">
        <v>60</v>
      </c>
      <c r="F1378" s="30" t="n">
        <v>0</v>
      </c>
      <c r="G1378" s="30" t="str">
        <f aca="false">IF(E1378&lt;判定条件!$C$6,"判定不能",IF(F1378&gt;=判定条件!$C$7*E1378,"運転",IF(F1378&lt;=判定条件!$C$8*E1378,"停止","断続")))</f>
        <v>停止</v>
      </c>
      <c r="H1378" s="30" t="n">
        <v>60</v>
      </c>
      <c r="I1378" s="30" t="n">
        <v>0</v>
      </c>
      <c r="J1378" s="30" t="str">
        <f aca="false">IF(H1378&lt;判定条件!$C$6,"判定不能",IF(I1378&gt;=判定条件!$C$7*H1378,"運転",IF(I1378&lt;=判定条件!$C$8*H1378,"停止","断続")))</f>
        <v>停止</v>
      </c>
      <c r="K1378" s="30" t="n">
        <v>60</v>
      </c>
      <c r="L1378" s="30" t="n">
        <v>0</v>
      </c>
      <c r="M1378" s="30" t="str">
        <f aca="false">IF(K1378&lt;判定条件!$C$6,"判定不能",IF(L1378&gt;=判定条件!$C$7*K1378,"運転",IF(L1378&lt;=判定条件!$C$8*K1378,"停止","断続")))</f>
        <v>停止</v>
      </c>
      <c r="N1378" s="30" t="n">
        <v>60</v>
      </c>
      <c r="O1378" s="30" t="n">
        <v>23</v>
      </c>
      <c r="P1378" s="30" t="str">
        <f aca="false">IF(N1378&lt;判定条件!$C$6,"判定不能",IF(O1378&gt;=判定条件!$C$7*N1378,"運転",IF(O1378&lt;=判定条件!$C$8*N1378,"停止","断続")))</f>
        <v>断続</v>
      </c>
      <c r="Q1378" s="30" t="n">
        <v>60</v>
      </c>
      <c r="R1378" s="30" t="n">
        <v>35</v>
      </c>
      <c r="S1378" s="30" t="str">
        <f aca="false">IF(Q1378&lt;判定条件!$C$6,"判定不能",IF(R1378&gt;=判定条件!$C$7*Q1378,"運転",IF(R1378&lt;=判定条件!$C$8*Q1378,"停止","断続")))</f>
        <v>断続</v>
      </c>
      <c r="T1378" s="30" t="n">
        <v>60</v>
      </c>
      <c r="U1378" s="30" t="n">
        <v>60</v>
      </c>
      <c r="V1378" s="30" t="str">
        <f aca="false">IF(T1378&lt;判定条件!$C$6,"判定不能",IF(U1378&gt;=判定条件!$C$7*T1378,"運転",IF(U1378&lt;=判定条件!$C$8*T1378,"停止","断続")))</f>
        <v>運転</v>
      </c>
      <c r="W1378" s="30" t="n">
        <v>0</v>
      </c>
      <c r="X1378" s="30" t="n">
        <v>0</v>
      </c>
      <c r="Y1378" s="30" t="str">
        <f aca="false">IF(W1378&lt;判定条件!$C$6,"判定不能",IF(X1378&gt;=判定条件!$C$7*W1378,"運転",IF(X1378&lt;=判定条件!$C$8*W1378,"停止","断続")))</f>
        <v>判定不能</v>
      </c>
      <c r="Z1378" s="30" t="n">
        <v>0</v>
      </c>
      <c r="AA1378" s="30" t="n">
        <v>0</v>
      </c>
      <c r="AB1378" s="30" t="str">
        <f aca="false">IF(Z1378&lt;判定条件!$C$6,"判定不能",IF(AA1378&gt;=判定条件!$C$7*Z1378,"運転",IF(AA1378&lt;=判定条件!$C$8*Z1378,"停止","断続")))</f>
        <v>判定不能</v>
      </c>
      <c r="AC1378" s="30" t="n">
        <v>0</v>
      </c>
      <c r="AD1378" s="30" t="n">
        <v>0</v>
      </c>
      <c r="AE1378" s="30" t="str">
        <f aca="false">IF(AC1378&lt;判定条件!$C$6,"判定不能",IF(AD1378&gt;=判定条件!$C$7*AC1378,"運転",IF(AD1378&lt;=判定条件!$C$8*AC1378,"停止","断続")))</f>
        <v>判定不能</v>
      </c>
      <c r="AF1378" s="30" t="n">
        <v>60</v>
      </c>
      <c r="AG1378" s="30" t="n">
        <v>0</v>
      </c>
      <c r="AH1378" s="30" t="str">
        <f aca="false">IF(OR(P1378="判定不能",G1378="判定不能"),"判定不能",IF(AG1378&gt;=判定条件!$C$9,"利用可",IF(AND(P1378="停止",G1378="停止"),"両方停止","運転がそろわない")))</f>
        <v>運転がそろわない</v>
      </c>
      <c r="AI1378" s="30" t="n">
        <v>60</v>
      </c>
      <c r="AJ1378" s="30" t="n">
        <v>0</v>
      </c>
      <c r="AK1378" s="30" t="str">
        <f aca="false">IF(OR(S1378="判定不能",J1378="判定不能"),"判定不能",IF(AJ1378&gt;=判定条件!$C$9,"利用可",IF(AND(S1378="停止",J1378="停止"),"両方停止","運転がそろわない")))</f>
        <v>運転がそろわない</v>
      </c>
      <c r="AL1378" s="30" t="n">
        <v>60</v>
      </c>
      <c r="AM1378" s="30" t="n">
        <v>0</v>
      </c>
      <c r="AN1378" s="30" t="str">
        <f aca="false">IF(OR(V1378="判定不能",M1378="判定不能"),"判定不能",IF(AM1378&gt;=判定条件!$C$9,"利用可",IF(AND(V1378="停止",M1378="停止"),"両方停止","運転がそろわない")))</f>
        <v>運転がそろわない</v>
      </c>
      <c r="AO1378" s="30" t="n">
        <v>0</v>
      </c>
      <c r="AP1378" s="30" t="n">
        <v>0</v>
      </c>
      <c r="AQ1378" s="30" t="str">
        <f aca="false">IF(OR(Y1378="判定不能",G1378="判定不能"),"判定不能",IF(AP1378&gt;=判定条件!$C$9,"利用可",IF(AND(Y1378="停止",G1378="停止"),"両方停止","運転がそろわない")))</f>
        <v>判定不能</v>
      </c>
      <c r="AR1378" s="30" t="n">
        <v>0</v>
      </c>
      <c r="AS1378" s="30" t="n">
        <v>0</v>
      </c>
      <c r="AT1378" s="30" t="str">
        <f aca="false">IF(OR(AB1378="判定不能",J1378="判定不能"),"判定不能",IF(AS1378&gt;=判定条件!$C$9,"利用可",IF(AND(AB1378="停止",J1378="停止"),"両方停止","運転がそろわない")))</f>
        <v>判定不能</v>
      </c>
      <c r="AU1378" s="30" t="n">
        <v>0</v>
      </c>
      <c r="AV1378" s="30" t="n">
        <v>0</v>
      </c>
      <c r="AW1378" s="30" t="str">
        <f aca="false">IF(OR(AE1378="判定不能",M1378="判定不能"),"判定不能",IF(AV1378&gt;=判定条件!$C$9,"利用可",IF(AND(AE1378="停止",M1378="停止"),"両方停止","運転がそろわない")))</f>
        <v>判定不能</v>
      </c>
      <c r="AX1378" s="30" t="str">
        <f aca="false">IF(AND(AH1378="利用可",AK1378="利用可",AN1378="利用可"),"利用可","不可")</f>
        <v>不可</v>
      </c>
      <c r="AY1378" s="30" t="str">
        <f aca="false">IF(AND(AQ1378="利用可",AT1378="利用可",AW1378="利用可"),"利用可","不可")</f>
        <v>不可</v>
      </c>
    </row>
    <row r="1379" customFormat="false" ht="15" hidden="false" customHeight="false" outlineLevel="0" collapsed="false">
      <c r="A1379" s="29" t="n">
        <v>46289</v>
      </c>
      <c r="B1379" s="30" t="n">
        <v>8</v>
      </c>
      <c r="C1379" s="31" t="s">
        <v>61</v>
      </c>
      <c r="D1379" s="31" t="s">
        <v>59</v>
      </c>
      <c r="E1379" s="30" t="n">
        <v>60</v>
      </c>
      <c r="F1379" s="30" t="n">
        <v>5</v>
      </c>
      <c r="G1379" s="30" t="str">
        <f aca="false">IF(E1379&lt;判定条件!$C$6,"判定不能",IF(F1379&gt;=判定条件!$C$7*E1379,"運転",IF(F1379&lt;=判定条件!$C$8*E1379,"停止","断続")))</f>
        <v>停止</v>
      </c>
      <c r="H1379" s="30" t="n">
        <v>60</v>
      </c>
      <c r="I1379" s="30" t="n">
        <v>0</v>
      </c>
      <c r="J1379" s="30" t="str">
        <f aca="false">IF(H1379&lt;判定条件!$C$6,"判定不能",IF(I1379&gt;=判定条件!$C$7*H1379,"運転",IF(I1379&lt;=判定条件!$C$8*H1379,"停止","断続")))</f>
        <v>停止</v>
      </c>
      <c r="K1379" s="30" t="n">
        <v>60</v>
      </c>
      <c r="L1379" s="30" t="n">
        <v>0</v>
      </c>
      <c r="M1379" s="30" t="str">
        <f aca="false">IF(K1379&lt;判定条件!$C$6,"判定不能",IF(L1379&gt;=判定条件!$C$7*K1379,"運転",IF(L1379&lt;=判定条件!$C$8*K1379,"停止","断続")))</f>
        <v>停止</v>
      </c>
      <c r="N1379" s="30" t="n">
        <v>60</v>
      </c>
      <c r="O1379" s="30" t="n">
        <v>12</v>
      </c>
      <c r="P1379" s="30" t="str">
        <f aca="false">IF(N1379&lt;判定条件!$C$6,"判定不能",IF(O1379&gt;=判定条件!$C$7*N1379,"運転",IF(O1379&lt;=判定条件!$C$8*N1379,"停止","断続")))</f>
        <v>停止</v>
      </c>
      <c r="Q1379" s="30" t="n">
        <v>60</v>
      </c>
      <c r="R1379" s="30" t="n">
        <v>59</v>
      </c>
      <c r="S1379" s="30" t="str">
        <f aca="false">IF(Q1379&lt;判定条件!$C$6,"判定不能",IF(R1379&gt;=判定条件!$C$7*Q1379,"運転",IF(R1379&lt;=判定条件!$C$8*Q1379,"停止","断続")))</f>
        <v>運転</v>
      </c>
      <c r="T1379" s="30" t="n">
        <v>60</v>
      </c>
      <c r="U1379" s="30" t="n">
        <v>60</v>
      </c>
      <c r="V1379" s="30" t="str">
        <f aca="false">IF(T1379&lt;判定条件!$C$6,"判定不能",IF(U1379&gt;=判定条件!$C$7*T1379,"運転",IF(U1379&lt;=判定条件!$C$8*T1379,"停止","断続")))</f>
        <v>運転</v>
      </c>
      <c r="W1379" s="30" t="n">
        <v>0</v>
      </c>
      <c r="X1379" s="30" t="n">
        <v>0</v>
      </c>
      <c r="Y1379" s="30" t="str">
        <f aca="false">IF(W1379&lt;判定条件!$C$6,"判定不能",IF(X1379&gt;=判定条件!$C$7*W1379,"運転",IF(X1379&lt;=判定条件!$C$8*W1379,"停止","断続")))</f>
        <v>判定不能</v>
      </c>
      <c r="Z1379" s="30" t="n">
        <v>0</v>
      </c>
      <c r="AA1379" s="30" t="n">
        <v>0</v>
      </c>
      <c r="AB1379" s="30" t="str">
        <f aca="false">IF(Z1379&lt;判定条件!$C$6,"判定不能",IF(AA1379&gt;=判定条件!$C$7*Z1379,"運転",IF(AA1379&lt;=判定条件!$C$8*Z1379,"停止","断続")))</f>
        <v>判定不能</v>
      </c>
      <c r="AC1379" s="30" t="n">
        <v>0</v>
      </c>
      <c r="AD1379" s="30" t="n">
        <v>0</v>
      </c>
      <c r="AE1379" s="30" t="str">
        <f aca="false">IF(AC1379&lt;判定条件!$C$6,"判定不能",IF(AD1379&gt;=判定条件!$C$7*AC1379,"運転",IF(AD1379&lt;=判定条件!$C$8*AC1379,"停止","断続")))</f>
        <v>判定不能</v>
      </c>
      <c r="AF1379" s="30" t="n">
        <v>60</v>
      </c>
      <c r="AG1379" s="30" t="n">
        <v>0</v>
      </c>
      <c r="AH1379" s="30" t="str">
        <f aca="false">IF(OR(P1379="判定不能",G1379="判定不能"),"判定不能",IF(AG1379&gt;=判定条件!$C$9,"利用可",IF(AND(P1379="停止",G1379="停止"),"両方停止","運転がそろわない")))</f>
        <v>両方停止</v>
      </c>
      <c r="AI1379" s="30" t="n">
        <v>60</v>
      </c>
      <c r="AJ1379" s="30" t="n">
        <v>0</v>
      </c>
      <c r="AK1379" s="30" t="str">
        <f aca="false">IF(OR(S1379="判定不能",J1379="判定不能"),"判定不能",IF(AJ1379&gt;=判定条件!$C$9,"利用可",IF(AND(S1379="停止",J1379="停止"),"両方停止","運転がそろわない")))</f>
        <v>運転がそろわない</v>
      </c>
      <c r="AL1379" s="30" t="n">
        <v>60</v>
      </c>
      <c r="AM1379" s="30" t="n">
        <v>0</v>
      </c>
      <c r="AN1379" s="30" t="str">
        <f aca="false">IF(OR(V1379="判定不能",M1379="判定不能"),"判定不能",IF(AM1379&gt;=判定条件!$C$9,"利用可",IF(AND(V1379="停止",M1379="停止"),"両方停止","運転がそろわない")))</f>
        <v>運転がそろわない</v>
      </c>
      <c r="AO1379" s="30" t="n">
        <v>0</v>
      </c>
      <c r="AP1379" s="30" t="n">
        <v>0</v>
      </c>
      <c r="AQ1379" s="30" t="str">
        <f aca="false">IF(OR(Y1379="判定不能",G1379="判定不能"),"判定不能",IF(AP1379&gt;=判定条件!$C$9,"利用可",IF(AND(Y1379="停止",G1379="停止"),"両方停止","運転がそろわない")))</f>
        <v>判定不能</v>
      </c>
      <c r="AR1379" s="30" t="n">
        <v>0</v>
      </c>
      <c r="AS1379" s="30" t="n">
        <v>0</v>
      </c>
      <c r="AT1379" s="30" t="str">
        <f aca="false">IF(OR(AB1379="判定不能",J1379="判定不能"),"判定不能",IF(AS1379&gt;=判定条件!$C$9,"利用可",IF(AND(AB1379="停止",J1379="停止"),"両方停止","運転がそろわない")))</f>
        <v>判定不能</v>
      </c>
      <c r="AU1379" s="30" t="n">
        <v>0</v>
      </c>
      <c r="AV1379" s="30" t="n">
        <v>0</v>
      </c>
      <c r="AW1379" s="30" t="str">
        <f aca="false">IF(OR(AE1379="判定不能",M1379="判定不能"),"判定不能",IF(AV1379&gt;=判定条件!$C$9,"利用可",IF(AND(AE1379="停止",M1379="停止"),"両方停止","運転がそろわない")))</f>
        <v>判定不能</v>
      </c>
      <c r="AX1379" s="30" t="str">
        <f aca="false">IF(AND(AH1379="利用可",AK1379="利用可",AN1379="利用可"),"利用可","不可")</f>
        <v>不可</v>
      </c>
      <c r="AY1379" s="30" t="str">
        <f aca="false">IF(AND(AQ1379="利用可",AT1379="利用可",AW1379="利用可"),"利用可","不可")</f>
        <v>不可</v>
      </c>
    </row>
    <row r="1380" customFormat="false" ht="15" hidden="false" customHeight="false" outlineLevel="0" collapsed="false">
      <c r="A1380" s="29" t="n">
        <v>46289</v>
      </c>
      <c r="B1380" s="30" t="n">
        <v>9</v>
      </c>
      <c r="C1380" s="31" t="s">
        <v>61</v>
      </c>
      <c r="D1380" s="31" t="s">
        <v>59</v>
      </c>
      <c r="E1380" s="30" t="n">
        <v>60</v>
      </c>
      <c r="F1380" s="30" t="n">
        <v>60</v>
      </c>
      <c r="G1380" s="30" t="str">
        <f aca="false">IF(E1380&lt;判定条件!$C$6,"判定不能",IF(F1380&gt;=判定条件!$C$7*E1380,"運転",IF(F1380&lt;=判定条件!$C$8*E1380,"停止","断続")))</f>
        <v>運転</v>
      </c>
      <c r="H1380" s="30" t="n">
        <v>60</v>
      </c>
      <c r="I1380" s="30" t="n">
        <v>45</v>
      </c>
      <c r="J1380" s="30" t="str">
        <f aca="false">IF(H1380&lt;判定条件!$C$6,"判定不能",IF(I1380&gt;=判定条件!$C$7*H1380,"運転",IF(I1380&lt;=判定条件!$C$8*H1380,"停止","断続")))</f>
        <v>断続</v>
      </c>
      <c r="K1380" s="30" t="n">
        <v>60</v>
      </c>
      <c r="L1380" s="30" t="n">
        <v>57</v>
      </c>
      <c r="M1380" s="30" t="str">
        <f aca="false">IF(K1380&lt;判定条件!$C$6,"判定不能",IF(L1380&gt;=判定条件!$C$7*K1380,"運転",IF(L1380&lt;=判定条件!$C$8*K1380,"停止","断続")))</f>
        <v>運転</v>
      </c>
      <c r="N1380" s="30" t="n">
        <v>60</v>
      </c>
      <c r="O1380" s="30" t="n">
        <v>47</v>
      </c>
      <c r="P1380" s="30" t="str">
        <f aca="false">IF(N1380&lt;判定条件!$C$6,"判定不能",IF(O1380&gt;=判定条件!$C$7*N1380,"運転",IF(O1380&lt;=判定条件!$C$8*N1380,"停止","断続")))</f>
        <v>断続</v>
      </c>
      <c r="Q1380" s="30" t="n">
        <v>60</v>
      </c>
      <c r="R1380" s="30" t="n">
        <v>60</v>
      </c>
      <c r="S1380" s="30" t="str">
        <f aca="false">IF(Q1380&lt;判定条件!$C$6,"判定不能",IF(R1380&gt;=判定条件!$C$7*Q1380,"運転",IF(R1380&lt;=判定条件!$C$8*Q1380,"停止","断続")))</f>
        <v>運転</v>
      </c>
      <c r="T1380" s="30" t="n">
        <v>60</v>
      </c>
      <c r="U1380" s="30" t="n">
        <v>54</v>
      </c>
      <c r="V1380" s="30" t="str">
        <f aca="false">IF(T1380&lt;判定条件!$C$6,"判定不能",IF(U1380&gt;=判定条件!$C$7*T1380,"運転",IF(U1380&lt;=判定条件!$C$8*T1380,"停止","断続")))</f>
        <v>運転</v>
      </c>
      <c r="W1380" s="30" t="n">
        <v>0</v>
      </c>
      <c r="X1380" s="30" t="n">
        <v>0</v>
      </c>
      <c r="Y1380" s="30" t="str">
        <f aca="false">IF(W1380&lt;判定条件!$C$6,"判定不能",IF(X1380&gt;=判定条件!$C$7*W1380,"運転",IF(X1380&lt;=判定条件!$C$8*W1380,"停止","断続")))</f>
        <v>判定不能</v>
      </c>
      <c r="Z1380" s="30" t="n">
        <v>0</v>
      </c>
      <c r="AA1380" s="30" t="n">
        <v>0</v>
      </c>
      <c r="AB1380" s="30" t="str">
        <f aca="false">IF(Z1380&lt;判定条件!$C$6,"判定不能",IF(AA1380&gt;=判定条件!$C$7*Z1380,"運転",IF(AA1380&lt;=判定条件!$C$8*Z1380,"停止","断続")))</f>
        <v>判定不能</v>
      </c>
      <c r="AC1380" s="30" t="n">
        <v>0</v>
      </c>
      <c r="AD1380" s="30" t="n">
        <v>0</v>
      </c>
      <c r="AE1380" s="30" t="str">
        <f aca="false">IF(AC1380&lt;判定条件!$C$6,"判定不能",IF(AD1380&gt;=判定条件!$C$7*AC1380,"運転",IF(AD1380&lt;=判定条件!$C$8*AC1380,"停止","断続")))</f>
        <v>判定不能</v>
      </c>
      <c r="AF1380" s="30" t="n">
        <v>60</v>
      </c>
      <c r="AG1380" s="30" t="n">
        <v>47</v>
      </c>
      <c r="AH1380" s="30" t="str">
        <f aca="false">IF(OR(P1380="判定不能",G1380="判定不能"),"判定不能",IF(AG1380&gt;=判定条件!$C$9,"利用可",IF(AND(P1380="停止",G1380="停止"),"両方停止","運転がそろわない")))</f>
        <v>利用可</v>
      </c>
      <c r="AI1380" s="30" t="n">
        <v>60</v>
      </c>
      <c r="AJ1380" s="30" t="n">
        <v>45</v>
      </c>
      <c r="AK1380" s="30" t="str">
        <f aca="false">IF(OR(S1380="判定不能",J1380="判定不能"),"判定不能",IF(AJ1380&gt;=判定条件!$C$9,"利用可",IF(AND(S1380="停止",J1380="停止"),"両方停止","運転がそろわない")))</f>
        <v>利用可</v>
      </c>
      <c r="AL1380" s="30" t="n">
        <v>60</v>
      </c>
      <c r="AM1380" s="30" t="n">
        <v>51</v>
      </c>
      <c r="AN1380" s="30" t="str">
        <f aca="false">IF(OR(V1380="判定不能",M1380="判定不能"),"判定不能",IF(AM1380&gt;=判定条件!$C$9,"利用可",IF(AND(V1380="停止",M1380="停止"),"両方停止","運転がそろわない")))</f>
        <v>利用可</v>
      </c>
      <c r="AO1380" s="30" t="n">
        <v>0</v>
      </c>
      <c r="AP1380" s="30" t="n">
        <v>0</v>
      </c>
      <c r="AQ1380" s="30" t="str">
        <f aca="false">IF(OR(Y1380="判定不能",G1380="判定不能"),"判定不能",IF(AP1380&gt;=判定条件!$C$9,"利用可",IF(AND(Y1380="停止",G1380="停止"),"両方停止","運転がそろわない")))</f>
        <v>判定不能</v>
      </c>
      <c r="AR1380" s="30" t="n">
        <v>0</v>
      </c>
      <c r="AS1380" s="30" t="n">
        <v>0</v>
      </c>
      <c r="AT1380" s="30" t="str">
        <f aca="false">IF(OR(AB1380="判定不能",J1380="判定不能"),"判定不能",IF(AS1380&gt;=判定条件!$C$9,"利用可",IF(AND(AB1380="停止",J1380="停止"),"両方停止","運転がそろわない")))</f>
        <v>判定不能</v>
      </c>
      <c r="AU1380" s="30" t="n">
        <v>0</v>
      </c>
      <c r="AV1380" s="30" t="n">
        <v>0</v>
      </c>
      <c r="AW1380" s="30" t="str">
        <f aca="false">IF(OR(AE1380="判定不能",M1380="判定不能"),"判定不能",IF(AV1380&gt;=判定条件!$C$9,"利用可",IF(AND(AE1380="停止",M1380="停止"),"両方停止","運転がそろわない")))</f>
        <v>判定不能</v>
      </c>
      <c r="AX1380" s="30" t="str">
        <f aca="false">IF(AND(AH1380="利用可",AK1380="利用可",AN1380="利用可"),"利用可","不可")</f>
        <v>利用可</v>
      </c>
      <c r="AY1380" s="30" t="str">
        <f aca="false">IF(AND(AQ1380="利用可",AT1380="利用可",AW1380="利用可"),"利用可","不可")</f>
        <v>不可</v>
      </c>
    </row>
    <row r="1381" customFormat="false" ht="15" hidden="false" customHeight="false" outlineLevel="0" collapsed="false">
      <c r="A1381" s="29" t="n">
        <v>46289</v>
      </c>
      <c r="B1381" s="30" t="n">
        <v>10</v>
      </c>
      <c r="C1381" s="31" t="s">
        <v>61</v>
      </c>
      <c r="D1381" s="31" t="s">
        <v>59</v>
      </c>
      <c r="E1381" s="30" t="n">
        <v>60</v>
      </c>
      <c r="F1381" s="30" t="n">
        <v>60</v>
      </c>
      <c r="G1381" s="30" t="str">
        <f aca="false">IF(E1381&lt;判定条件!$C$6,"判定不能",IF(F1381&gt;=判定条件!$C$7*E1381,"運転",IF(F1381&lt;=判定条件!$C$8*E1381,"停止","断続")))</f>
        <v>運転</v>
      </c>
      <c r="H1381" s="30" t="n">
        <v>60</v>
      </c>
      <c r="I1381" s="30" t="n">
        <v>58</v>
      </c>
      <c r="J1381" s="30" t="str">
        <f aca="false">IF(H1381&lt;判定条件!$C$6,"判定不能",IF(I1381&gt;=判定条件!$C$7*H1381,"運転",IF(I1381&lt;=判定条件!$C$8*H1381,"停止","断続")))</f>
        <v>運転</v>
      </c>
      <c r="K1381" s="30" t="n">
        <v>60</v>
      </c>
      <c r="L1381" s="30" t="n">
        <v>60</v>
      </c>
      <c r="M1381" s="30" t="str">
        <f aca="false">IF(K1381&lt;判定条件!$C$6,"判定不能",IF(L1381&gt;=判定条件!$C$7*K1381,"運転",IF(L1381&lt;=判定条件!$C$8*K1381,"停止","断続")))</f>
        <v>運転</v>
      </c>
      <c r="N1381" s="30" t="n">
        <v>60</v>
      </c>
      <c r="O1381" s="30" t="n">
        <v>60</v>
      </c>
      <c r="P1381" s="30" t="str">
        <f aca="false">IF(N1381&lt;判定条件!$C$6,"判定不能",IF(O1381&gt;=判定条件!$C$7*N1381,"運転",IF(O1381&lt;=判定条件!$C$8*N1381,"停止","断続")))</f>
        <v>運転</v>
      </c>
      <c r="Q1381" s="30" t="n">
        <v>60</v>
      </c>
      <c r="R1381" s="30" t="n">
        <v>60</v>
      </c>
      <c r="S1381" s="30" t="str">
        <f aca="false">IF(Q1381&lt;判定条件!$C$6,"判定不能",IF(R1381&gt;=判定条件!$C$7*Q1381,"運転",IF(R1381&lt;=判定条件!$C$8*Q1381,"停止","断続")))</f>
        <v>運転</v>
      </c>
      <c r="T1381" s="30" t="n">
        <v>60</v>
      </c>
      <c r="U1381" s="30" t="n">
        <v>60</v>
      </c>
      <c r="V1381" s="30" t="str">
        <f aca="false">IF(T1381&lt;判定条件!$C$6,"判定不能",IF(U1381&gt;=判定条件!$C$7*T1381,"運転",IF(U1381&lt;=判定条件!$C$8*T1381,"停止","断続")))</f>
        <v>運転</v>
      </c>
      <c r="W1381" s="30" t="n">
        <v>0</v>
      </c>
      <c r="X1381" s="30" t="n">
        <v>0</v>
      </c>
      <c r="Y1381" s="30" t="str">
        <f aca="false">IF(W1381&lt;判定条件!$C$6,"判定不能",IF(X1381&gt;=判定条件!$C$7*W1381,"運転",IF(X1381&lt;=判定条件!$C$8*W1381,"停止","断続")))</f>
        <v>判定不能</v>
      </c>
      <c r="Z1381" s="30" t="n">
        <v>0</v>
      </c>
      <c r="AA1381" s="30" t="n">
        <v>0</v>
      </c>
      <c r="AB1381" s="30" t="str">
        <f aca="false">IF(Z1381&lt;判定条件!$C$6,"判定不能",IF(AA1381&gt;=判定条件!$C$7*Z1381,"運転",IF(AA1381&lt;=判定条件!$C$8*Z1381,"停止","断続")))</f>
        <v>判定不能</v>
      </c>
      <c r="AC1381" s="30" t="n">
        <v>0</v>
      </c>
      <c r="AD1381" s="30" t="n">
        <v>0</v>
      </c>
      <c r="AE1381" s="30" t="str">
        <f aca="false">IF(AC1381&lt;判定条件!$C$6,"判定不能",IF(AD1381&gt;=判定条件!$C$7*AC1381,"運転",IF(AD1381&lt;=判定条件!$C$8*AC1381,"停止","断続")))</f>
        <v>判定不能</v>
      </c>
      <c r="AF1381" s="30" t="n">
        <v>60</v>
      </c>
      <c r="AG1381" s="30" t="n">
        <v>60</v>
      </c>
      <c r="AH1381" s="30" t="str">
        <f aca="false">IF(OR(P1381="判定不能",G1381="判定不能"),"判定不能",IF(AG1381&gt;=判定条件!$C$9,"利用可",IF(AND(P1381="停止",G1381="停止"),"両方停止","運転がそろわない")))</f>
        <v>利用可</v>
      </c>
      <c r="AI1381" s="30" t="n">
        <v>60</v>
      </c>
      <c r="AJ1381" s="30" t="n">
        <v>58</v>
      </c>
      <c r="AK1381" s="30" t="str">
        <f aca="false">IF(OR(S1381="判定不能",J1381="判定不能"),"判定不能",IF(AJ1381&gt;=判定条件!$C$9,"利用可",IF(AND(S1381="停止",J1381="停止"),"両方停止","運転がそろわない")))</f>
        <v>利用可</v>
      </c>
      <c r="AL1381" s="30" t="n">
        <v>60</v>
      </c>
      <c r="AM1381" s="30" t="n">
        <v>60</v>
      </c>
      <c r="AN1381" s="30" t="str">
        <f aca="false">IF(OR(V1381="判定不能",M1381="判定不能"),"判定不能",IF(AM1381&gt;=判定条件!$C$9,"利用可",IF(AND(V1381="停止",M1381="停止"),"両方停止","運転がそろわない")))</f>
        <v>利用可</v>
      </c>
      <c r="AO1381" s="30" t="n">
        <v>0</v>
      </c>
      <c r="AP1381" s="30" t="n">
        <v>0</v>
      </c>
      <c r="AQ1381" s="30" t="str">
        <f aca="false">IF(OR(Y1381="判定不能",G1381="判定不能"),"判定不能",IF(AP1381&gt;=判定条件!$C$9,"利用可",IF(AND(Y1381="停止",G1381="停止"),"両方停止","運転がそろわない")))</f>
        <v>判定不能</v>
      </c>
      <c r="AR1381" s="30" t="n">
        <v>0</v>
      </c>
      <c r="AS1381" s="30" t="n">
        <v>0</v>
      </c>
      <c r="AT1381" s="30" t="str">
        <f aca="false">IF(OR(AB1381="判定不能",J1381="判定不能"),"判定不能",IF(AS1381&gt;=判定条件!$C$9,"利用可",IF(AND(AB1381="停止",J1381="停止"),"両方停止","運転がそろわない")))</f>
        <v>判定不能</v>
      </c>
      <c r="AU1381" s="30" t="n">
        <v>0</v>
      </c>
      <c r="AV1381" s="30" t="n">
        <v>0</v>
      </c>
      <c r="AW1381" s="30" t="str">
        <f aca="false">IF(OR(AE1381="判定不能",M1381="判定不能"),"判定不能",IF(AV1381&gt;=判定条件!$C$9,"利用可",IF(AND(AE1381="停止",M1381="停止"),"両方停止","運転がそろわない")))</f>
        <v>判定不能</v>
      </c>
      <c r="AX1381" s="30" t="str">
        <f aca="false">IF(AND(AH1381="利用可",AK1381="利用可",AN1381="利用可"),"利用可","不可")</f>
        <v>利用可</v>
      </c>
      <c r="AY1381" s="30" t="str">
        <f aca="false">IF(AND(AQ1381="利用可",AT1381="利用可",AW1381="利用可"),"利用可","不可")</f>
        <v>不可</v>
      </c>
    </row>
    <row r="1382" customFormat="false" ht="15" hidden="false" customHeight="false" outlineLevel="0" collapsed="false">
      <c r="A1382" s="29" t="n">
        <v>46289</v>
      </c>
      <c r="B1382" s="30" t="n">
        <v>11</v>
      </c>
      <c r="C1382" s="31" t="s">
        <v>61</v>
      </c>
      <c r="D1382" s="31" t="s">
        <v>59</v>
      </c>
      <c r="E1382" s="30" t="n">
        <v>60</v>
      </c>
      <c r="F1382" s="30" t="n">
        <v>54</v>
      </c>
      <c r="G1382" s="30" t="str">
        <f aca="false">IF(E1382&lt;判定条件!$C$6,"判定不能",IF(F1382&gt;=判定条件!$C$7*E1382,"運転",IF(F1382&lt;=判定条件!$C$8*E1382,"停止","断続")))</f>
        <v>運転</v>
      </c>
      <c r="H1382" s="30" t="n">
        <v>60</v>
      </c>
      <c r="I1382" s="30" t="n">
        <v>51</v>
      </c>
      <c r="J1382" s="30" t="str">
        <f aca="false">IF(H1382&lt;判定条件!$C$6,"判定不能",IF(I1382&gt;=判定条件!$C$7*H1382,"運転",IF(I1382&lt;=判定条件!$C$8*H1382,"停止","断続")))</f>
        <v>運転</v>
      </c>
      <c r="K1382" s="30" t="n">
        <v>60</v>
      </c>
      <c r="L1382" s="30" t="n">
        <v>60</v>
      </c>
      <c r="M1382" s="30" t="str">
        <f aca="false">IF(K1382&lt;判定条件!$C$6,"判定不能",IF(L1382&gt;=判定条件!$C$7*K1382,"運転",IF(L1382&lt;=判定条件!$C$8*K1382,"停止","断続")))</f>
        <v>運転</v>
      </c>
      <c r="N1382" s="30" t="n">
        <v>60</v>
      </c>
      <c r="O1382" s="30" t="n">
        <v>53</v>
      </c>
      <c r="P1382" s="30" t="str">
        <f aca="false">IF(N1382&lt;判定条件!$C$6,"判定不能",IF(O1382&gt;=判定条件!$C$7*N1382,"運転",IF(O1382&lt;=判定条件!$C$8*N1382,"停止","断続")))</f>
        <v>運転</v>
      </c>
      <c r="Q1382" s="30" t="n">
        <v>60</v>
      </c>
      <c r="R1382" s="30" t="n">
        <v>60</v>
      </c>
      <c r="S1382" s="30" t="str">
        <f aca="false">IF(Q1382&lt;判定条件!$C$6,"判定不能",IF(R1382&gt;=判定条件!$C$7*Q1382,"運転",IF(R1382&lt;=判定条件!$C$8*Q1382,"停止","断続")))</f>
        <v>運転</v>
      </c>
      <c r="T1382" s="30" t="n">
        <v>60</v>
      </c>
      <c r="U1382" s="30" t="n">
        <v>60</v>
      </c>
      <c r="V1382" s="30" t="str">
        <f aca="false">IF(T1382&lt;判定条件!$C$6,"判定不能",IF(U1382&gt;=判定条件!$C$7*T1382,"運転",IF(U1382&lt;=判定条件!$C$8*T1382,"停止","断続")))</f>
        <v>運転</v>
      </c>
      <c r="W1382" s="30" t="n">
        <v>0</v>
      </c>
      <c r="X1382" s="30" t="n">
        <v>0</v>
      </c>
      <c r="Y1382" s="30" t="str">
        <f aca="false">IF(W1382&lt;判定条件!$C$6,"判定不能",IF(X1382&gt;=判定条件!$C$7*W1382,"運転",IF(X1382&lt;=判定条件!$C$8*W1382,"停止","断続")))</f>
        <v>判定不能</v>
      </c>
      <c r="Z1382" s="30" t="n">
        <v>0</v>
      </c>
      <c r="AA1382" s="30" t="n">
        <v>0</v>
      </c>
      <c r="AB1382" s="30" t="str">
        <f aca="false">IF(Z1382&lt;判定条件!$C$6,"判定不能",IF(AA1382&gt;=判定条件!$C$7*Z1382,"運転",IF(AA1382&lt;=判定条件!$C$8*Z1382,"停止","断続")))</f>
        <v>判定不能</v>
      </c>
      <c r="AC1382" s="30" t="n">
        <v>0</v>
      </c>
      <c r="AD1382" s="30" t="n">
        <v>0</v>
      </c>
      <c r="AE1382" s="30" t="str">
        <f aca="false">IF(AC1382&lt;判定条件!$C$6,"判定不能",IF(AD1382&gt;=判定条件!$C$7*AC1382,"運転",IF(AD1382&lt;=判定条件!$C$8*AC1382,"停止","断続")))</f>
        <v>判定不能</v>
      </c>
      <c r="AF1382" s="30" t="n">
        <v>60</v>
      </c>
      <c r="AG1382" s="30" t="n">
        <v>47</v>
      </c>
      <c r="AH1382" s="30" t="str">
        <f aca="false">IF(OR(P1382="判定不能",G1382="判定不能"),"判定不能",IF(AG1382&gt;=判定条件!$C$9,"利用可",IF(AND(P1382="停止",G1382="停止"),"両方停止","運転がそろわない")))</f>
        <v>利用可</v>
      </c>
      <c r="AI1382" s="30" t="n">
        <v>60</v>
      </c>
      <c r="AJ1382" s="30" t="n">
        <v>51</v>
      </c>
      <c r="AK1382" s="30" t="str">
        <f aca="false">IF(OR(S1382="判定不能",J1382="判定不能"),"判定不能",IF(AJ1382&gt;=判定条件!$C$9,"利用可",IF(AND(S1382="停止",J1382="停止"),"両方停止","運転がそろわない")))</f>
        <v>利用可</v>
      </c>
      <c r="AL1382" s="30" t="n">
        <v>60</v>
      </c>
      <c r="AM1382" s="30" t="n">
        <v>60</v>
      </c>
      <c r="AN1382" s="30" t="str">
        <f aca="false">IF(OR(V1382="判定不能",M1382="判定不能"),"判定不能",IF(AM1382&gt;=判定条件!$C$9,"利用可",IF(AND(V1382="停止",M1382="停止"),"両方停止","運転がそろわない")))</f>
        <v>利用可</v>
      </c>
      <c r="AO1382" s="30" t="n">
        <v>0</v>
      </c>
      <c r="AP1382" s="30" t="n">
        <v>0</v>
      </c>
      <c r="AQ1382" s="30" t="str">
        <f aca="false">IF(OR(Y1382="判定不能",G1382="判定不能"),"判定不能",IF(AP1382&gt;=判定条件!$C$9,"利用可",IF(AND(Y1382="停止",G1382="停止"),"両方停止","運転がそろわない")))</f>
        <v>判定不能</v>
      </c>
      <c r="AR1382" s="30" t="n">
        <v>0</v>
      </c>
      <c r="AS1382" s="30" t="n">
        <v>0</v>
      </c>
      <c r="AT1382" s="30" t="str">
        <f aca="false">IF(OR(AB1382="判定不能",J1382="判定不能"),"判定不能",IF(AS1382&gt;=判定条件!$C$9,"利用可",IF(AND(AB1382="停止",J1382="停止"),"両方停止","運転がそろわない")))</f>
        <v>判定不能</v>
      </c>
      <c r="AU1382" s="30" t="n">
        <v>0</v>
      </c>
      <c r="AV1382" s="30" t="n">
        <v>0</v>
      </c>
      <c r="AW1382" s="30" t="str">
        <f aca="false">IF(OR(AE1382="判定不能",M1382="判定不能"),"判定不能",IF(AV1382&gt;=判定条件!$C$9,"利用可",IF(AND(AE1382="停止",M1382="停止"),"両方停止","運転がそろわない")))</f>
        <v>判定不能</v>
      </c>
      <c r="AX1382" s="30" t="str">
        <f aca="false">IF(AND(AH1382="利用可",AK1382="利用可",AN1382="利用可"),"利用可","不可")</f>
        <v>利用可</v>
      </c>
      <c r="AY1382" s="30" t="str">
        <f aca="false">IF(AND(AQ1382="利用可",AT1382="利用可",AW1382="利用可"),"利用可","不可")</f>
        <v>不可</v>
      </c>
    </row>
    <row r="1383" customFormat="false" ht="15" hidden="false" customHeight="false" outlineLevel="0" collapsed="false">
      <c r="A1383" s="29" t="n">
        <v>46289</v>
      </c>
      <c r="B1383" s="30" t="n">
        <v>12</v>
      </c>
      <c r="C1383" s="31" t="s">
        <v>61</v>
      </c>
      <c r="D1383" s="31" t="s">
        <v>59</v>
      </c>
      <c r="E1383" s="30" t="n">
        <v>60</v>
      </c>
      <c r="F1383" s="30" t="n">
        <v>60</v>
      </c>
      <c r="G1383" s="30" t="str">
        <f aca="false">IF(E1383&lt;判定条件!$C$6,"判定不能",IF(F1383&gt;=判定条件!$C$7*E1383,"運転",IF(F1383&lt;=判定条件!$C$8*E1383,"停止","断続")))</f>
        <v>運転</v>
      </c>
      <c r="H1383" s="30" t="n">
        <v>60</v>
      </c>
      <c r="I1383" s="30" t="n">
        <v>60</v>
      </c>
      <c r="J1383" s="30" t="str">
        <f aca="false">IF(H1383&lt;判定条件!$C$6,"判定不能",IF(I1383&gt;=判定条件!$C$7*H1383,"運転",IF(I1383&lt;=判定条件!$C$8*H1383,"停止","断続")))</f>
        <v>運転</v>
      </c>
      <c r="K1383" s="30" t="n">
        <v>60</v>
      </c>
      <c r="L1383" s="30" t="n">
        <v>60</v>
      </c>
      <c r="M1383" s="30" t="str">
        <f aca="false">IF(K1383&lt;判定条件!$C$6,"判定不能",IF(L1383&gt;=判定条件!$C$7*K1383,"運転",IF(L1383&lt;=判定条件!$C$8*K1383,"停止","断続")))</f>
        <v>運転</v>
      </c>
      <c r="N1383" s="30" t="n">
        <v>60</v>
      </c>
      <c r="O1383" s="30" t="n">
        <v>59</v>
      </c>
      <c r="P1383" s="30" t="str">
        <f aca="false">IF(N1383&lt;判定条件!$C$6,"判定不能",IF(O1383&gt;=判定条件!$C$7*N1383,"運転",IF(O1383&lt;=判定条件!$C$8*N1383,"停止","断続")))</f>
        <v>運転</v>
      </c>
      <c r="Q1383" s="30" t="n">
        <v>60</v>
      </c>
      <c r="R1383" s="30" t="n">
        <v>60</v>
      </c>
      <c r="S1383" s="30" t="str">
        <f aca="false">IF(Q1383&lt;判定条件!$C$6,"判定不能",IF(R1383&gt;=判定条件!$C$7*Q1383,"運転",IF(R1383&lt;=判定条件!$C$8*Q1383,"停止","断続")))</f>
        <v>運転</v>
      </c>
      <c r="T1383" s="30" t="n">
        <v>60</v>
      </c>
      <c r="U1383" s="30" t="n">
        <v>60</v>
      </c>
      <c r="V1383" s="30" t="str">
        <f aca="false">IF(T1383&lt;判定条件!$C$6,"判定不能",IF(U1383&gt;=判定条件!$C$7*T1383,"運転",IF(U1383&lt;=判定条件!$C$8*T1383,"停止","断続")))</f>
        <v>運転</v>
      </c>
      <c r="W1383" s="30" t="n">
        <v>0</v>
      </c>
      <c r="X1383" s="30" t="n">
        <v>0</v>
      </c>
      <c r="Y1383" s="30" t="str">
        <f aca="false">IF(W1383&lt;判定条件!$C$6,"判定不能",IF(X1383&gt;=判定条件!$C$7*W1383,"運転",IF(X1383&lt;=判定条件!$C$8*W1383,"停止","断続")))</f>
        <v>判定不能</v>
      </c>
      <c r="Z1383" s="30" t="n">
        <v>0</v>
      </c>
      <c r="AA1383" s="30" t="n">
        <v>0</v>
      </c>
      <c r="AB1383" s="30" t="str">
        <f aca="false">IF(Z1383&lt;判定条件!$C$6,"判定不能",IF(AA1383&gt;=判定条件!$C$7*Z1383,"運転",IF(AA1383&lt;=判定条件!$C$8*Z1383,"停止","断続")))</f>
        <v>判定不能</v>
      </c>
      <c r="AC1383" s="30" t="n">
        <v>0</v>
      </c>
      <c r="AD1383" s="30" t="n">
        <v>0</v>
      </c>
      <c r="AE1383" s="30" t="str">
        <f aca="false">IF(AC1383&lt;判定条件!$C$6,"判定不能",IF(AD1383&gt;=判定条件!$C$7*AC1383,"運転",IF(AD1383&lt;=判定条件!$C$8*AC1383,"停止","断続")))</f>
        <v>判定不能</v>
      </c>
      <c r="AF1383" s="30" t="n">
        <v>60</v>
      </c>
      <c r="AG1383" s="30" t="n">
        <v>59</v>
      </c>
      <c r="AH1383" s="30" t="str">
        <f aca="false">IF(OR(P1383="判定不能",G1383="判定不能"),"判定不能",IF(AG1383&gt;=判定条件!$C$9,"利用可",IF(AND(P1383="停止",G1383="停止"),"両方停止","運転がそろわない")))</f>
        <v>利用可</v>
      </c>
      <c r="AI1383" s="30" t="n">
        <v>60</v>
      </c>
      <c r="AJ1383" s="30" t="n">
        <v>60</v>
      </c>
      <c r="AK1383" s="30" t="str">
        <f aca="false">IF(OR(S1383="判定不能",J1383="判定不能"),"判定不能",IF(AJ1383&gt;=判定条件!$C$9,"利用可",IF(AND(S1383="停止",J1383="停止"),"両方停止","運転がそろわない")))</f>
        <v>利用可</v>
      </c>
      <c r="AL1383" s="30" t="n">
        <v>60</v>
      </c>
      <c r="AM1383" s="30" t="n">
        <v>60</v>
      </c>
      <c r="AN1383" s="30" t="str">
        <f aca="false">IF(OR(V1383="判定不能",M1383="判定不能"),"判定不能",IF(AM1383&gt;=判定条件!$C$9,"利用可",IF(AND(V1383="停止",M1383="停止"),"両方停止","運転がそろわない")))</f>
        <v>利用可</v>
      </c>
      <c r="AO1383" s="30" t="n">
        <v>0</v>
      </c>
      <c r="AP1383" s="30" t="n">
        <v>0</v>
      </c>
      <c r="AQ1383" s="30" t="str">
        <f aca="false">IF(OR(Y1383="判定不能",G1383="判定不能"),"判定不能",IF(AP1383&gt;=判定条件!$C$9,"利用可",IF(AND(Y1383="停止",G1383="停止"),"両方停止","運転がそろわない")))</f>
        <v>判定不能</v>
      </c>
      <c r="AR1383" s="30" t="n">
        <v>0</v>
      </c>
      <c r="AS1383" s="30" t="n">
        <v>0</v>
      </c>
      <c r="AT1383" s="30" t="str">
        <f aca="false">IF(OR(AB1383="判定不能",J1383="判定不能"),"判定不能",IF(AS1383&gt;=判定条件!$C$9,"利用可",IF(AND(AB1383="停止",J1383="停止"),"両方停止","運転がそろわない")))</f>
        <v>判定不能</v>
      </c>
      <c r="AU1383" s="30" t="n">
        <v>0</v>
      </c>
      <c r="AV1383" s="30" t="n">
        <v>0</v>
      </c>
      <c r="AW1383" s="30" t="str">
        <f aca="false">IF(OR(AE1383="判定不能",M1383="判定不能"),"判定不能",IF(AV1383&gt;=判定条件!$C$9,"利用可",IF(AND(AE1383="停止",M1383="停止"),"両方停止","運転がそろわない")))</f>
        <v>判定不能</v>
      </c>
      <c r="AX1383" s="30" t="str">
        <f aca="false">IF(AND(AH1383="利用可",AK1383="利用可",AN1383="利用可"),"利用可","不可")</f>
        <v>利用可</v>
      </c>
      <c r="AY1383" s="30" t="str">
        <f aca="false">IF(AND(AQ1383="利用可",AT1383="利用可",AW1383="利用可"),"利用可","不可")</f>
        <v>不可</v>
      </c>
    </row>
    <row r="1384" customFormat="false" ht="15" hidden="false" customHeight="false" outlineLevel="0" collapsed="false">
      <c r="A1384" s="29" t="n">
        <v>46289</v>
      </c>
      <c r="B1384" s="30" t="n">
        <v>13</v>
      </c>
      <c r="C1384" s="31" t="s">
        <v>61</v>
      </c>
      <c r="D1384" s="31" t="s">
        <v>59</v>
      </c>
      <c r="E1384" s="30" t="n">
        <v>60</v>
      </c>
      <c r="F1384" s="30" t="n">
        <v>60</v>
      </c>
      <c r="G1384" s="30" t="str">
        <f aca="false">IF(E1384&lt;判定条件!$C$6,"判定不能",IF(F1384&gt;=判定条件!$C$7*E1384,"運転",IF(F1384&lt;=判定条件!$C$8*E1384,"停止","断続")))</f>
        <v>運転</v>
      </c>
      <c r="H1384" s="30" t="n">
        <v>60</v>
      </c>
      <c r="I1384" s="30" t="n">
        <v>60</v>
      </c>
      <c r="J1384" s="30" t="str">
        <f aca="false">IF(H1384&lt;判定条件!$C$6,"判定不能",IF(I1384&gt;=判定条件!$C$7*H1384,"運転",IF(I1384&lt;=判定条件!$C$8*H1384,"停止","断続")))</f>
        <v>運転</v>
      </c>
      <c r="K1384" s="30" t="n">
        <v>60</v>
      </c>
      <c r="L1384" s="30" t="n">
        <v>60</v>
      </c>
      <c r="M1384" s="30" t="str">
        <f aca="false">IF(K1384&lt;判定条件!$C$6,"判定不能",IF(L1384&gt;=判定条件!$C$7*K1384,"運転",IF(L1384&lt;=判定条件!$C$8*K1384,"停止","断続")))</f>
        <v>運転</v>
      </c>
      <c r="N1384" s="30" t="n">
        <v>60</v>
      </c>
      <c r="O1384" s="30" t="n">
        <v>60</v>
      </c>
      <c r="P1384" s="30" t="str">
        <f aca="false">IF(N1384&lt;判定条件!$C$6,"判定不能",IF(O1384&gt;=判定条件!$C$7*N1384,"運転",IF(O1384&lt;=判定条件!$C$8*N1384,"停止","断続")))</f>
        <v>運転</v>
      </c>
      <c r="Q1384" s="30" t="n">
        <v>60</v>
      </c>
      <c r="R1384" s="30" t="n">
        <v>60</v>
      </c>
      <c r="S1384" s="30" t="str">
        <f aca="false">IF(Q1384&lt;判定条件!$C$6,"判定不能",IF(R1384&gt;=判定条件!$C$7*Q1384,"運転",IF(R1384&lt;=判定条件!$C$8*Q1384,"停止","断続")))</f>
        <v>運転</v>
      </c>
      <c r="T1384" s="30" t="n">
        <v>60</v>
      </c>
      <c r="U1384" s="30" t="n">
        <v>60</v>
      </c>
      <c r="V1384" s="30" t="str">
        <f aca="false">IF(T1384&lt;判定条件!$C$6,"判定不能",IF(U1384&gt;=判定条件!$C$7*T1384,"運転",IF(U1384&lt;=判定条件!$C$8*T1384,"停止","断続")))</f>
        <v>運転</v>
      </c>
      <c r="W1384" s="30" t="n">
        <v>0</v>
      </c>
      <c r="X1384" s="30" t="n">
        <v>0</v>
      </c>
      <c r="Y1384" s="30" t="str">
        <f aca="false">IF(W1384&lt;判定条件!$C$6,"判定不能",IF(X1384&gt;=判定条件!$C$7*W1384,"運転",IF(X1384&lt;=判定条件!$C$8*W1384,"停止","断続")))</f>
        <v>判定不能</v>
      </c>
      <c r="Z1384" s="30" t="n">
        <v>0</v>
      </c>
      <c r="AA1384" s="30" t="n">
        <v>0</v>
      </c>
      <c r="AB1384" s="30" t="str">
        <f aca="false">IF(Z1384&lt;判定条件!$C$6,"判定不能",IF(AA1384&gt;=判定条件!$C$7*Z1384,"運転",IF(AA1384&lt;=判定条件!$C$8*Z1384,"停止","断続")))</f>
        <v>判定不能</v>
      </c>
      <c r="AC1384" s="30" t="n">
        <v>0</v>
      </c>
      <c r="AD1384" s="30" t="n">
        <v>0</v>
      </c>
      <c r="AE1384" s="30" t="str">
        <f aca="false">IF(AC1384&lt;判定条件!$C$6,"判定不能",IF(AD1384&gt;=判定条件!$C$7*AC1384,"運転",IF(AD1384&lt;=判定条件!$C$8*AC1384,"停止","断続")))</f>
        <v>判定不能</v>
      </c>
      <c r="AF1384" s="30" t="n">
        <v>60</v>
      </c>
      <c r="AG1384" s="30" t="n">
        <v>60</v>
      </c>
      <c r="AH1384" s="30" t="str">
        <f aca="false">IF(OR(P1384="判定不能",G1384="判定不能"),"判定不能",IF(AG1384&gt;=判定条件!$C$9,"利用可",IF(AND(P1384="停止",G1384="停止"),"両方停止","運転がそろわない")))</f>
        <v>利用可</v>
      </c>
      <c r="AI1384" s="30" t="n">
        <v>60</v>
      </c>
      <c r="AJ1384" s="30" t="n">
        <v>60</v>
      </c>
      <c r="AK1384" s="30" t="str">
        <f aca="false">IF(OR(S1384="判定不能",J1384="判定不能"),"判定不能",IF(AJ1384&gt;=判定条件!$C$9,"利用可",IF(AND(S1384="停止",J1384="停止"),"両方停止","運転がそろわない")))</f>
        <v>利用可</v>
      </c>
      <c r="AL1384" s="30" t="n">
        <v>60</v>
      </c>
      <c r="AM1384" s="30" t="n">
        <v>60</v>
      </c>
      <c r="AN1384" s="30" t="str">
        <f aca="false">IF(OR(V1384="判定不能",M1384="判定不能"),"判定不能",IF(AM1384&gt;=判定条件!$C$9,"利用可",IF(AND(V1384="停止",M1384="停止"),"両方停止","運転がそろわない")))</f>
        <v>利用可</v>
      </c>
      <c r="AO1384" s="30" t="n">
        <v>0</v>
      </c>
      <c r="AP1384" s="30" t="n">
        <v>0</v>
      </c>
      <c r="AQ1384" s="30" t="str">
        <f aca="false">IF(OR(Y1384="判定不能",G1384="判定不能"),"判定不能",IF(AP1384&gt;=判定条件!$C$9,"利用可",IF(AND(Y1384="停止",G1384="停止"),"両方停止","運転がそろわない")))</f>
        <v>判定不能</v>
      </c>
      <c r="AR1384" s="30" t="n">
        <v>0</v>
      </c>
      <c r="AS1384" s="30" t="n">
        <v>0</v>
      </c>
      <c r="AT1384" s="30" t="str">
        <f aca="false">IF(OR(AB1384="判定不能",J1384="判定不能"),"判定不能",IF(AS1384&gt;=判定条件!$C$9,"利用可",IF(AND(AB1384="停止",J1384="停止"),"両方停止","運転がそろわない")))</f>
        <v>判定不能</v>
      </c>
      <c r="AU1384" s="30" t="n">
        <v>0</v>
      </c>
      <c r="AV1384" s="30" t="n">
        <v>0</v>
      </c>
      <c r="AW1384" s="30" t="str">
        <f aca="false">IF(OR(AE1384="判定不能",M1384="判定不能"),"判定不能",IF(AV1384&gt;=判定条件!$C$9,"利用可",IF(AND(AE1384="停止",M1384="停止"),"両方停止","運転がそろわない")))</f>
        <v>判定不能</v>
      </c>
      <c r="AX1384" s="30" t="str">
        <f aca="false">IF(AND(AH1384="利用可",AK1384="利用可",AN1384="利用可"),"利用可","不可")</f>
        <v>利用可</v>
      </c>
      <c r="AY1384" s="30" t="str">
        <f aca="false">IF(AND(AQ1384="利用可",AT1384="利用可",AW1384="利用可"),"利用可","不可")</f>
        <v>不可</v>
      </c>
    </row>
    <row r="1385" customFormat="false" ht="15" hidden="false" customHeight="false" outlineLevel="0" collapsed="false">
      <c r="A1385" s="29" t="n">
        <v>46289</v>
      </c>
      <c r="B1385" s="30" t="n">
        <v>14</v>
      </c>
      <c r="C1385" s="31" t="s">
        <v>61</v>
      </c>
      <c r="D1385" s="31" t="s">
        <v>59</v>
      </c>
      <c r="E1385" s="30" t="n">
        <v>60</v>
      </c>
      <c r="F1385" s="30" t="n">
        <v>60</v>
      </c>
      <c r="G1385" s="30" t="str">
        <f aca="false">IF(E1385&lt;判定条件!$C$6,"判定不能",IF(F1385&gt;=判定条件!$C$7*E1385,"運転",IF(F1385&lt;=判定条件!$C$8*E1385,"停止","断続")))</f>
        <v>運転</v>
      </c>
      <c r="H1385" s="30" t="n">
        <v>60</v>
      </c>
      <c r="I1385" s="30" t="n">
        <v>60</v>
      </c>
      <c r="J1385" s="30" t="str">
        <f aca="false">IF(H1385&lt;判定条件!$C$6,"判定不能",IF(I1385&gt;=判定条件!$C$7*H1385,"運転",IF(I1385&lt;=判定条件!$C$8*H1385,"停止","断続")))</f>
        <v>運転</v>
      </c>
      <c r="K1385" s="30" t="n">
        <v>60</v>
      </c>
      <c r="L1385" s="30" t="n">
        <v>60</v>
      </c>
      <c r="M1385" s="30" t="str">
        <f aca="false">IF(K1385&lt;判定条件!$C$6,"判定不能",IF(L1385&gt;=判定条件!$C$7*K1385,"運転",IF(L1385&lt;=判定条件!$C$8*K1385,"停止","断続")))</f>
        <v>運転</v>
      </c>
      <c r="N1385" s="30" t="n">
        <v>60</v>
      </c>
      <c r="O1385" s="30" t="n">
        <v>60</v>
      </c>
      <c r="P1385" s="30" t="str">
        <f aca="false">IF(N1385&lt;判定条件!$C$6,"判定不能",IF(O1385&gt;=判定条件!$C$7*N1385,"運転",IF(O1385&lt;=判定条件!$C$8*N1385,"停止","断続")))</f>
        <v>運転</v>
      </c>
      <c r="Q1385" s="30" t="n">
        <v>60</v>
      </c>
      <c r="R1385" s="30" t="n">
        <v>60</v>
      </c>
      <c r="S1385" s="30" t="str">
        <f aca="false">IF(Q1385&lt;判定条件!$C$6,"判定不能",IF(R1385&gt;=判定条件!$C$7*Q1385,"運転",IF(R1385&lt;=判定条件!$C$8*Q1385,"停止","断続")))</f>
        <v>運転</v>
      </c>
      <c r="T1385" s="30" t="n">
        <v>60</v>
      </c>
      <c r="U1385" s="30" t="n">
        <v>60</v>
      </c>
      <c r="V1385" s="30" t="str">
        <f aca="false">IF(T1385&lt;判定条件!$C$6,"判定不能",IF(U1385&gt;=判定条件!$C$7*T1385,"運転",IF(U1385&lt;=判定条件!$C$8*T1385,"停止","断続")))</f>
        <v>運転</v>
      </c>
      <c r="W1385" s="30" t="n">
        <v>0</v>
      </c>
      <c r="X1385" s="30" t="n">
        <v>0</v>
      </c>
      <c r="Y1385" s="30" t="str">
        <f aca="false">IF(W1385&lt;判定条件!$C$6,"判定不能",IF(X1385&gt;=判定条件!$C$7*W1385,"運転",IF(X1385&lt;=判定条件!$C$8*W1385,"停止","断続")))</f>
        <v>判定不能</v>
      </c>
      <c r="Z1385" s="30" t="n">
        <v>0</v>
      </c>
      <c r="AA1385" s="30" t="n">
        <v>0</v>
      </c>
      <c r="AB1385" s="30" t="str">
        <f aca="false">IF(Z1385&lt;判定条件!$C$6,"判定不能",IF(AA1385&gt;=判定条件!$C$7*Z1385,"運転",IF(AA1385&lt;=判定条件!$C$8*Z1385,"停止","断続")))</f>
        <v>判定不能</v>
      </c>
      <c r="AC1385" s="30" t="n">
        <v>0</v>
      </c>
      <c r="AD1385" s="30" t="n">
        <v>0</v>
      </c>
      <c r="AE1385" s="30" t="str">
        <f aca="false">IF(AC1385&lt;判定条件!$C$6,"判定不能",IF(AD1385&gt;=判定条件!$C$7*AC1385,"運転",IF(AD1385&lt;=判定条件!$C$8*AC1385,"停止","断続")))</f>
        <v>判定不能</v>
      </c>
      <c r="AF1385" s="30" t="n">
        <v>60</v>
      </c>
      <c r="AG1385" s="30" t="n">
        <v>60</v>
      </c>
      <c r="AH1385" s="30" t="str">
        <f aca="false">IF(OR(P1385="判定不能",G1385="判定不能"),"判定不能",IF(AG1385&gt;=判定条件!$C$9,"利用可",IF(AND(P1385="停止",G1385="停止"),"両方停止","運転がそろわない")))</f>
        <v>利用可</v>
      </c>
      <c r="AI1385" s="30" t="n">
        <v>60</v>
      </c>
      <c r="AJ1385" s="30" t="n">
        <v>60</v>
      </c>
      <c r="AK1385" s="30" t="str">
        <f aca="false">IF(OR(S1385="判定不能",J1385="判定不能"),"判定不能",IF(AJ1385&gt;=判定条件!$C$9,"利用可",IF(AND(S1385="停止",J1385="停止"),"両方停止","運転がそろわない")))</f>
        <v>利用可</v>
      </c>
      <c r="AL1385" s="30" t="n">
        <v>60</v>
      </c>
      <c r="AM1385" s="30" t="n">
        <v>60</v>
      </c>
      <c r="AN1385" s="30" t="str">
        <f aca="false">IF(OR(V1385="判定不能",M1385="判定不能"),"判定不能",IF(AM1385&gt;=判定条件!$C$9,"利用可",IF(AND(V1385="停止",M1385="停止"),"両方停止","運転がそろわない")))</f>
        <v>利用可</v>
      </c>
      <c r="AO1385" s="30" t="n">
        <v>0</v>
      </c>
      <c r="AP1385" s="30" t="n">
        <v>0</v>
      </c>
      <c r="AQ1385" s="30" t="str">
        <f aca="false">IF(OR(Y1385="判定不能",G1385="判定不能"),"判定不能",IF(AP1385&gt;=判定条件!$C$9,"利用可",IF(AND(Y1385="停止",G1385="停止"),"両方停止","運転がそろわない")))</f>
        <v>判定不能</v>
      </c>
      <c r="AR1385" s="30" t="n">
        <v>0</v>
      </c>
      <c r="AS1385" s="30" t="n">
        <v>0</v>
      </c>
      <c r="AT1385" s="30" t="str">
        <f aca="false">IF(OR(AB1385="判定不能",J1385="判定不能"),"判定不能",IF(AS1385&gt;=判定条件!$C$9,"利用可",IF(AND(AB1385="停止",J1385="停止"),"両方停止","運転がそろわない")))</f>
        <v>判定不能</v>
      </c>
      <c r="AU1385" s="30" t="n">
        <v>0</v>
      </c>
      <c r="AV1385" s="30" t="n">
        <v>0</v>
      </c>
      <c r="AW1385" s="30" t="str">
        <f aca="false">IF(OR(AE1385="判定不能",M1385="判定不能"),"判定不能",IF(AV1385&gt;=判定条件!$C$9,"利用可",IF(AND(AE1385="停止",M1385="停止"),"両方停止","運転がそろわない")))</f>
        <v>判定不能</v>
      </c>
      <c r="AX1385" s="30" t="str">
        <f aca="false">IF(AND(AH1385="利用可",AK1385="利用可",AN1385="利用可"),"利用可","不可")</f>
        <v>利用可</v>
      </c>
      <c r="AY1385" s="30" t="str">
        <f aca="false">IF(AND(AQ1385="利用可",AT1385="利用可",AW1385="利用可"),"利用可","不可")</f>
        <v>不可</v>
      </c>
    </row>
    <row r="1386" customFormat="false" ht="15" hidden="false" customHeight="false" outlineLevel="0" collapsed="false">
      <c r="A1386" s="29" t="n">
        <v>46289</v>
      </c>
      <c r="B1386" s="30" t="n">
        <v>15</v>
      </c>
      <c r="C1386" s="31" t="s">
        <v>61</v>
      </c>
      <c r="D1386" s="31" t="s">
        <v>59</v>
      </c>
      <c r="E1386" s="30" t="n">
        <v>60</v>
      </c>
      <c r="F1386" s="30" t="n">
        <v>60</v>
      </c>
      <c r="G1386" s="30" t="str">
        <f aca="false">IF(E1386&lt;判定条件!$C$6,"判定不能",IF(F1386&gt;=判定条件!$C$7*E1386,"運転",IF(F1386&lt;=判定条件!$C$8*E1386,"停止","断続")))</f>
        <v>運転</v>
      </c>
      <c r="H1386" s="30" t="n">
        <v>60</v>
      </c>
      <c r="I1386" s="30" t="n">
        <v>55</v>
      </c>
      <c r="J1386" s="30" t="str">
        <f aca="false">IF(H1386&lt;判定条件!$C$6,"判定不能",IF(I1386&gt;=判定条件!$C$7*H1386,"運転",IF(I1386&lt;=判定条件!$C$8*H1386,"停止","断続")))</f>
        <v>運転</v>
      </c>
      <c r="K1386" s="30" t="n">
        <v>60</v>
      </c>
      <c r="L1386" s="30" t="n">
        <v>60</v>
      </c>
      <c r="M1386" s="30" t="str">
        <f aca="false">IF(K1386&lt;判定条件!$C$6,"判定不能",IF(L1386&gt;=判定条件!$C$7*K1386,"運転",IF(L1386&lt;=判定条件!$C$8*K1386,"停止","断続")))</f>
        <v>運転</v>
      </c>
      <c r="N1386" s="30" t="n">
        <v>60</v>
      </c>
      <c r="O1386" s="30" t="n">
        <v>60</v>
      </c>
      <c r="P1386" s="30" t="str">
        <f aca="false">IF(N1386&lt;判定条件!$C$6,"判定不能",IF(O1386&gt;=判定条件!$C$7*N1386,"運転",IF(O1386&lt;=判定条件!$C$8*N1386,"停止","断続")))</f>
        <v>運転</v>
      </c>
      <c r="Q1386" s="30" t="n">
        <v>60</v>
      </c>
      <c r="R1386" s="30" t="n">
        <v>60</v>
      </c>
      <c r="S1386" s="30" t="str">
        <f aca="false">IF(Q1386&lt;判定条件!$C$6,"判定不能",IF(R1386&gt;=判定条件!$C$7*Q1386,"運転",IF(R1386&lt;=判定条件!$C$8*Q1386,"停止","断続")))</f>
        <v>運転</v>
      </c>
      <c r="T1386" s="30" t="n">
        <v>60</v>
      </c>
      <c r="U1386" s="30" t="n">
        <v>60</v>
      </c>
      <c r="V1386" s="30" t="str">
        <f aca="false">IF(T1386&lt;判定条件!$C$6,"判定不能",IF(U1386&gt;=判定条件!$C$7*T1386,"運転",IF(U1386&lt;=判定条件!$C$8*T1386,"停止","断続")))</f>
        <v>運転</v>
      </c>
      <c r="W1386" s="30" t="n">
        <v>0</v>
      </c>
      <c r="X1386" s="30" t="n">
        <v>0</v>
      </c>
      <c r="Y1386" s="30" t="str">
        <f aca="false">IF(W1386&lt;判定条件!$C$6,"判定不能",IF(X1386&gt;=判定条件!$C$7*W1386,"運転",IF(X1386&lt;=判定条件!$C$8*W1386,"停止","断続")))</f>
        <v>判定不能</v>
      </c>
      <c r="Z1386" s="30" t="n">
        <v>0</v>
      </c>
      <c r="AA1386" s="30" t="n">
        <v>0</v>
      </c>
      <c r="AB1386" s="30" t="str">
        <f aca="false">IF(Z1386&lt;判定条件!$C$6,"判定不能",IF(AA1386&gt;=判定条件!$C$7*Z1386,"運転",IF(AA1386&lt;=判定条件!$C$8*Z1386,"停止","断続")))</f>
        <v>判定不能</v>
      </c>
      <c r="AC1386" s="30" t="n">
        <v>0</v>
      </c>
      <c r="AD1386" s="30" t="n">
        <v>0</v>
      </c>
      <c r="AE1386" s="30" t="str">
        <f aca="false">IF(AC1386&lt;判定条件!$C$6,"判定不能",IF(AD1386&gt;=判定条件!$C$7*AC1386,"運転",IF(AD1386&lt;=判定条件!$C$8*AC1386,"停止","断続")))</f>
        <v>判定不能</v>
      </c>
      <c r="AF1386" s="30" t="n">
        <v>60</v>
      </c>
      <c r="AG1386" s="30" t="n">
        <v>60</v>
      </c>
      <c r="AH1386" s="30" t="str">
        <f aca="false">IF(OR(P1386="判定不能",G1386="判定不能"),"判定不能",IF(AG1386&gt;=判定条件!$C$9,"利用可",IF(AND(P1386="停止",G1386="停止"),"両方停止","運転がそろわない")))</f>
        <v>利用可</v>
      </c>
      <c r="AI1386" s="30" t="n">
        <v>60</v>
      </c>
      <c r="AJ1386" s="30" t="n">
        <v>55</v>
      </c>
      <c r="AK1386" s="30" t="str">
        <f aca="false">IF(OR(S1386="判定不能",J1386="判定不能"),"判定不能",IF(AJ1386&gt;=判定条件!$C$9,"利用可",IF(AND(S1386="停止",J1386="停止"),"両方停止","運転がそろわない")))</f>
        <v>利用可</v>
      </c>
      <c r="AL1386" s="30" t="n">
        <v>60</v>
      </c>
      <c r="AM1386" s="30" t="n">
        <v>60</v>
      </c>
      <c r="AN1386" s="30" t="str">
        <f aca="false">IF(OR(V1386="判定不能",M1386="判定不能"),"判定不能",IF(AM1386&gt;=判定条件!$C$9,"利用可",IF(AND(V1386="停止",M1386="停止"),"両方停止","運転がそろわない")))</f>
        <v>利用可</v>
      </c>
      <c r="AO1386" s="30" t="n">
        <v>0</v>
      </c>
      <c r="AP1386" s="30" t="n">
        <v>0</v>
      </c>
      <c r="AQ1386" s="30" t="str">
        <f aca="false">IF(OR(Y1386="判定不能",G1386="判定不能"),"判定不能",IF(AP1386&gt;=判定条件!$C$9,"利用可",IF(AND(Y1386="停止",G1386="停止"),"両方停止","運転がそろわない")))</f>
        <v>判定不能</v>
      </c>
      <c r="AR1386" s="30" t="n">
        <v>0</v>
      </c>
      <c r="AS1386" s="30" t="n">
        <v>0</v>
      </c>
      <c r="AT1386" s="30" t="str">
        <f aca="false">IF(OR(AB1386="判定不能",J1386="判定不能"),"判定不能",IF(AS1386&gt;=判定条件!$C$9,"利用可",IF(AND(AB1386="停止",J1386="停止"),"両方停止","運転がそろわない")))</f>
        <v>判定不能</v>
      </c>
      <c r="AU1386" s="30" t="n">
        <v>0</v>
      </c>
      <c r="AV1386" s="30" t="n">
        <v>0</v>
      </c>
      <c r="AW1386" s="30" t="str">
        <f aca="false">IF(OR(AE1386="判定不能",M1386="判定不能"),"判定不能",IF(AV1386&gt;=判定条件!$C$9,"利用可",IF(AND(AE1386="停止",M1386="停止"),"両方停止","運転がそろわない")))</f>
        <v>判定不能</v>
      </c>
      <c r="AX1386" s="30" t="str">
        <f aca="false">IF(AND(AH1386="利用可",AK1386="利用可",AN1386="利用可"),"利用可","不可")</f>
        <v>利用可</v>
      </c>
      <c r="AY1386" s="30" t="str">
        <f aca="false">IF(AND(AQ1386="利用可",AT1386="利用可",AW1386="利用可"),"利用可","不可")</f>
        <v>不可</v>
      </c>
    </row>
    <row r="1387" customFormat="false" ht="15" hidden="false" customHeight="false" outlineLevel="0" collapsed="false">
      <c r="A1387" s="29" t="n">
        <v>46289</v>
      </c>
      <c r="B1387" s="30" t="n">
        <v>16</v>
      </c>
      <c r="C1387" s="31" t="s">
        <v>61</v>
      </c>
      <c r="D1387" s="31" t="s">
        <v>59</v>
      </c>
      <c r="E1387" s="30" t="n">
        <v>60</v>
      </c>
      <c r="F1387" s="30" t="n">
        <v>60</v>
      </c>
      <c r="G1387" s="30" t="str">
        <f aca="false">IF(E1387&lt;判定条件!$C$6,"判定不能",IF(F1387&gt;=判定条件!$C$7*E1387,"運転",IF(F1387&lt;=判定条件!$C$8*E1387,"停止","断続")))</f>
        <v>運転</v>
      </c>
      <c r="H1387" s="30" t="n">
        <v>60</v>
      </c>
      <c r="I1387" s="30" t="n">
        <v>45</v>
      </c>
      <c r="J1387" s="30" t="str">
        <f aca="false">IF(H1387&lt;判定条件!$C$6,"判定不能",IF(I1387&gt;=判定条件!$C$7*H1387,"運転",IF(I1387&lt;=判定条件!$C$8*H1387,"停止","断続")))</f>
        <v>断続</v>
      </c>
      <c r="K1387" s="30" t="n">
        <v>60</v>
      </c>
      <c r="L1387" s="30" t="n">
        <v>60</v>
      </c>
      <c r="M1387" s="30" t="str">
        <f aca="false">IF(K1387&lt;判定条件!$C$6,"判定不能",IF(L1387&gt;=判定条件!$C$7*K1387,"運転",IF(L1387&lt;=判定条件!$C$8*K1387,"停止","断続")))</f>
        <v>運転</v>
      </c>
      <c r="N1387" s="30" t="n">
        <v>60</v>
      </c>
      <c r="O1387" s="30" t="n">
        <v>43</v>
      </c>
      <c r="P1387" s="30" t="str">
        <f aca="false">IF(N1387&lt;判定条件!$C$6,"判定不能",IF(O1387&gt;=判定条件!$C$7*N1387,"運転",IF(O1387&lt;=判定条件!$C$8*N1387,"停止","断続")))</f>
        <v>断続</v>
      </c>
      <c r="Q1387" s="30" t="n">
        <v>60</v>
      </c>
      <c r="R1387" s="30" t="n">
        <v>60</v>
      </c>
      <c r="S1387" s="30" t="str">
        <f aca="false">IF(Q1387&lt;判定条件!$C$6,"判定不能",IF(R1387&gt;=判定条件!$C$7*Q1387,"運転",IF(R1387&lt;=判定条件!$C$8*Q1387,"停止","断続")))</f>
        <v>運転</v>
      </c>
      <c r="T1387" s="30" t="n">
        <v>60</v>
      </c>
      <c r="U1387" s="30" t="n">
        <v>60</v>
      </c>
      <c r="V1387" s="30" t="str">
        <f aca="false">IF(T1387&lt;判定条件!$C$6,"判定不能",IF(U1387&gt;=判定条件!$C$7*T1387,"運転",IF(U1387&lt;=判定条件!$C$8*T1387,"停止","断続")))</f>
        <v>運転</v>
      </c>
      <c r="W1387" s="30" t="n">
        <v>0</v>
      </c>
      <c r="X1387" s="30" t="n">
        <v>0</v>
      </c>
      <c r="Y1387" s="30" t="str">
        <f aca="false">IF(W1387&lt;判定条件!$C$6,"判定不能",IF(X1387&gt;=判定条件!$C$7*W1387,"運転",IF(X1387&lt;=判定条件!$C$8*W1387,"停止","断続")))</f>
        <v>判定不能</v>
      </c>
      <c r="Z1387" s="30" t="n">
        <v>0</v>
      </c>
      <c r="AA1387" s="30" t="n">
        <v>0</v>
      </c>
      <c r="AB1387" s="30" t="str">
        <f aca="false">IF(Z1387&lt;判定条件!$C$6,"判定不能",IF(AA1387&gt;=判定条件!$C$7*Z1387,"運転",IF(AA1387&lt;=判定条件!$C$8*Z1387,"停止","断続")))</f>
        <v>判定不能</v>
      </c>
      <c r="AC1387" s="30" t="n">
        <v>0</v>
      </c>
      <c r="AD1387" s="30" t="n">
        <v>0</v>
      </c>
      <c r="AE1387" s="30" t="str">
        <f aca="false">IF(AC1387&lt;判定条件!$C$6,"判定不能",IF(AD1387&gt;=判定条件!$C$7*AC1387,"運転",IF(AD1387&lt;=判定条件!$C$8*AC1387,"停止","断続")))</f>
        <v>判定不能</v>
      </c>
      <c r="AF1387" s="30" t="n">
        <v>60</v>
      </c>
      <c r="AG1387" s="30" t="n">
        <v>43</v>
      </c>
      <c r="AH1387" s="30" t="str">
        <f aca="false">IF(OR(P1387="判定不能",G1387="判定不能"),"判定不能",IF(AG1387&gt;=判定条件!$C$9,"利用可",IF(AND(P1387="停止",G1387="停止"),"両方停止","運転がそろわない")))</f>
        <v>利用可</v>
      </c>
      <c r="AI1387" s="30" t="n">
        <v>60</v>
      </c>
      <c r="AJ1387" s="30" t="n">
        <v>45</v>
      </c>
      <c r="AK1387" s="30" t="str">
        <f aca="false">IF(OR(S1387="判定不能",J1387="判定不能"),"判定不能",IF(AJ1387&gt;=判定条件!$C$9,"利用可",IF(AND(S1387="停止",J1387="停止"),"両方停止","運転がそろわない")))</f>
        <v>利用可</v>
      </c>
      <c r="AL1387" s="30" t="n">
        <v>60</v>
      </c>
      <c r="AM1387" s="30" t="n">
        <v>60</v>
      </c>
      <c r="AN1387" s="30" t="str">
        <f aca="false">IF(OR(V1387="判定不能",M1387="判定不能"),"判定不能",IF(AM1387&gt;=判定条件!$C$9,"利用可",IF(AND(V1387="停止",M1387="停止"),"両方停止","運転がそろわない")))</f>
        <v>利用可</v>
      </c>
      <c r="AO1387" s="30" t="n">
        <v>0</v>
      </c>
      <c r="AP1387" s="30" t="n">
        <v>0</v>
      </c>
      <c r="AQ1387" s="30" t="str">
        <f aca="false">IF(OR(Y1387="判定不能",G1387="判定不能"),"判定不能",IF(AP1387&gt;=判定条件!$C$9,"利用可",IF(AND(Y1387="停止",G1387="停止"),"両方停止","運転がそろわない")))</f>
        <v>判定不能</v>
      </c>
      <c r="AR1387" s="30" t="n">
        <v>0</v>
      </c>
      <c r="AS1387" s="30" t="n">
        <v>0</v>
      </c>
      <c r="AT1387" s="30" t="str">
        <f aca="false">IF(OR(AB1387="判定不能",J1387="判定不能"),"判定不能",IF(AS1387&gt;=判定条件!$C$9,"利用可",IF(AND(AB1387="停止",J1387="停止"),"両方停止","運転がそろわない")))</f>
        <v>判定不能</v>
      </c>
      <c r="AU1387" s="30" t="n">
        <v>0</v>
      </c>
      <c r="AV1387" s="30" t="n">
        <v>0</v>
      </c>
      <c r="AW1387" s="30" t="str">
        <f aca="false">IF(OR(AE1387="判定不能",M1387="判定不能"),"判定不能",IF(AV1387&gt;=判定条件!$C$9,"利用可",IF(AND(AE1387="停止",M1387="停止"),"両方停止","運転がそろわない")))</f>
        <v>判定不能</v>
      </c>
      <c r="AX1387" s="30" t="str">
        <f aca="false">IF(AND(AH1387="利用可",AK1387="利用可",AN1387="利用可"),"利用可","不可")</f>
        <v>利用可</v>
      </c>
      <c r="AY1387" s="30" t="str">
        <f aca="false">IF(AND(AQ1387="利用可",AT1387="利用可",AW1387="利用可"),"利用可","不可")</f>
        <v>不可</v>
      </c>
    </row>
    <row r="1388" customFormat="false" ht="15" hidden="false" customHeight="false" outlineLevel="0" collapsed="false">
      <c r="A1388" s="29" t="n">
        <v>46289</v>
      </c>
      <c r="B1388" s="30" t="n">
        <v>17</v>
      </c>
      <c r="C1388" s="31" t="s">
        <v>61</v>
      </c>
      <c r="D1388" s="31" t="s">
        <v>59</v>
      </c>
      <c r="E1388" s="30" t="n">
        <v>60</v>
      </c>
      <c r="F1388" s="30" t="n">
        <v>60</v>
      </c>
      <c r="G1388" s="30" t="str">
        <f aca="false">IF(E1388&lt;判定条件!$C$6,"判定不能",IF(F1388&gt;=判定条件!$C$7*E1388,"運転",IF(F1388&lt;=判定条件!$C$8*E1388,"停止","断続")))</f>
        <v>運転</v>
      </c>
      <c r="H1388" s="30" t="n">
        <v>60</v>
      </c>
      <c r="I1388" s="30" t="n">
        <v>59</v>
      </c>
      <c r="J1388" s="30" t="str">
        <f aca="false">IF(H1388&lt;判定条件!$C$6,"判定不能",IF(I1388&gt;=判定条件!$C$7*H1388,"運転",IF(I1388&lt;=判定条件!$C$8*H1388,"停止","断続")))</f>
        <v>運転</v>
      </c>
      <c r="K1388" s="30" t="n">
        <v>60</v>
      </c>
      <c r="L1388" s="30" t="n">
        <v>60</v>
      </c>
      <c r="M1388" s="30" t="str">
        <f aca="false">IF(K1388&lt;判定条件!$C$6,"判定不能",IF(L1388&gt;=判定条件!$C$7*K1388,"運転",IF(L1388&lt;=判定条件!$C$8*K1388,"停止","断続")))</f>
        <v>運転</v>
      </c>
      <c r="N1388" s="30" t="n">
        <v>60</v>
      </c>
      <c r="O1388" s="30" t="n">
        <v>60</v>
      </c>
      <c r="P1388" s="30" t="str">
        <f aca="false">IF(N1388&lt;判定条件!$C$6,"判定不能",IF(O1388&gt;=判定条件!$C$7*N1388,"運転",IF(O1388&lt;=判定条件!$C$8*N1388,"停止","断続")))</f>
        <v>運転</v>
      </c>
      <c r="Q1388" s="30" t="n">
        <v>60</v>
      </c>
      <c r="R1388" s="30" t="n">
        <v>60</v>
      </c>
      <c r="S1388" s="30" t="str">
        <f aca="false">IF(Q1388&lt;判定条件!$C$6,"判定不能",IF(R1388&gt;=判定条件!$C$7*Q1388,"運転",IF(R1388&lt;=判定条件!$C$8*Q1388,"停止","断続")))</f>
        <v>運転</v>
      </c>
      <c r="T1388" s="30" t="n">
        <v>60</v>
      </c>
      <c r="U1388" s="30" t="n">
        <v>54</v>
      </c>
      <c r="V1388" s="30" t="str">
        <f aca="false">IF(T1388&lt;判定条件!$C$6,"判定不能",IF(U1388&gt;=判定条件!$C$7*T1388,"運転",IF(U1388&lt;=判定条件!$C$8*T1388,"停止","断続")))</f>
        <v>運転</v>
      </c>
      <c r="W1388" s="30" t="n">
        <v>0</v>
      </c>
      <c r="X1388" s="30" t="n">
        <v>0</v>
      </c>
      <c r="Y1388" s="30" t="str">
        <f aca="false">IF(W1388&lt;判定条件!$C$6,"判定不能",IF(X1388&gt;=判定条件!$C$7*W1388,"運転",IF(X1388&lt;=判定条件!$C$8*W1388,"停止","断続")))</f>
        <v>判定不能</v>
      </c>
      <c r="Z1388" s="30" t="n">
        <v>0</v>
      </c>
      <c r="AA1388" s="30" t="n">
        <v>0</v>
      </c>
      <c r="AB1388" s="30" t="str">
        <f aca="false">IF(Z1388&lt;判定条件!$C$6,"判定不能",IF(AA1388&gt;=判定条件!$C$7*Z1388,"運転",IF(AA1388&lt;=判定条件!$C$8*Z1388,"停止","断続")))</f>
        <v>判定不能</v>
      </c>
      <c r="AC1388" s="30" t="n">
        <v>0</v>
      </c>
      <c r="AD1388" s="30" t="n">
        <v>0</v>
      </c>
      <c r="AE1388" s="30" t="str">
        <f aca="false">IF(AC1388&lt;判定条件!$C$6,"判定不能",IF(AD1388&gt;=判定条件!$C$7*AC1388,"運転",IF(AD1388&lt;=判定条件!$C$8*AC1388,"停止","断続")))</f>
        <v>判定不能</v>
      </c>
      <c r="AF1388" s="30" t="n">
        <v>60</v>
      </c>
      <c r="AG1388" s="30" t="n">
        <v>60</v>
      </c>
      <c r="AH1388" s="30" t="str">
        <f aca="false">IF(OR(P1388="判定不能",G1388="判定不能"),"判定不能",IF(AG1388&gt;=判定条件!$C$9,"利用可",IF(AND(P1388="停止",G1388="停止"),"両方停止","運転がそろわない")))</f>
        <v>利用可</v>
      </c>
      <c r="AI1388" s="30" t="n">
        <v>60</v>
      </c>
      <c r="AJ1388" s="30" t="n">
        <v>59</v>
      </c>
      <c r="AK1388" s="30" t="str">
        <f aca="false">IF(OR(S1388="判定不能",J1388="判定不能"),"判定不能",IF(AJ1388&gt;=判定条件!$C$9,"利用可",IF(AND(S1388="停止",J1388="停止"),"両方停止","運転がそろわない")))</f>
        <v>利用可</v>
      </c>
      <c r="AL1388" s="30" t="n">
        <v>60</v>
      </c>
      <c r="AM1388" s="30" t="n">
        <v>54</v>
      </c>
      <c r="AN1388" s="30" t="str">
        <f aca="false">IF(OR(V1388="判定不能",M1388="判定不能"),"判定不能",IF(AM1388&gt;=判定条件!$C$9,"利用可",IF(AND(V1388="停止",M1388="停止"),"両方停止","運転がそろわない")))</f>
        <v>利用可</v>
      </c>
      <c r="AO1388" s="30" t="n">
        <v>0</v>
      </c>
      <c r="AP1388" s="30" t="n">
        <v>0</v>
      </c>
      <c r="AQ1388" s="30" t="str">
        <f aca="false">IF(OR(Y1388="判定不能",G1388="判定不能"),"判定不能",IF(AP1388&gt;=判定条件!$C$9,"利用可",IF(AND(Y1388="停止",G1388="停止"),"両方停止","運転がそろわない")))</f>
        <v>判定不能</v>
      </c>
      <c r="AR1388" s="30" t="n">
        <v>0</v>
      </c>
      <c r="AS1388" s="30" t="n">
        <v>0</v>
      </c>
      <c r="AT1388" s="30" t="str">
        <f aca="false">IF(OR(AB1388="判定不能",J1388="判定不能"),"判定不能",IF(AS1388&gt;=判定条件!$C$9,"利用可",IF(AND(AB1388="停止",J1388="停止"),"両方停止","運転がそろわない")))</f>
        <v>判定不能</v>
      </c>
      <c r="AU1388" s="30" t="n">
        <v>0</v>
      </c>
      <c r="AV1388" s="30" t="n">
        <v>0</v>
      </c>
      <c r="AW1388" s="30" t="str">
        <f aca="false">IF(OR(AE1388="判定不能",M1388="判定不能"),"判定不能",IF(AV1388&gt;=判定条件!$C$9,"利用可",IF(AND(AE1388="停止",M1388="停止"),"両方停止","運転がそろわない")))</f>
        <v>判定不能</v>
      </c>
      <c r="AX1388" s="30" t="str">
        <f aca="false">IF(AND(AH1388="利用可",AK1388="利用可",AN1388="利用可"),"利用可","不可")</f>
        <v>利用可</v>
      </c>
      <c r="AY1388" s="30" t="str">
        <f aca="false">IF(AND(AQ1388="利用可",AT1388="利用可",AW1388="利用可"),"利用可","不可")</f>
        <v>不可</v>
      </c>
    </row>
    <row r="1389" customFormat="false" ht="15" hidden="false" customHeight="false" outlineLevel="0" collapsed="false">
      <c r="A1389" s="29" t="n">
        <v>46289</v>
      </c>
      <c r="B1389" s="30" t="n">
        <v>18</v>
      </c>
      <c r="C1389" s="31" t="s">
        <v>61</v>
      </c>
      <c r="D1389" s="31" t="s">
        <v>59</v>
      </c>
      <c r="E1389" s="30" t="n">
        <v>60</v>
      </c>
      <c r="F1389" s="30" t="n">
        <v>54</v>
      </c>
      <c r="G1389" s="30" t="str">
        <f aca="false">IF(E1389&lt;判定条件!$C$6,"判定不能",IF(F1389&gt;=判定条件!$C$7*E1389,"運転",IF(F1389&lt;=判定条件!$C$8*E1389,"停止","断続")))</f>
        <v>運転</v>
      </c>
      <c r="H1389" s="30" t="n">
        <v>60</v>
      </c>
      <c r="I1389" s="30" t="n">
        <v>50</v>
      </c>
      <c r="J1389" s="30" t="str">
        <f aca="false">IF(H1389&lt;判定条件!$C$6,"判定不能",IF(I1389&gt;=判定条件!$C$7*H1389,"運転",IF(I1389&lt;=判定条件!$C$8*H1389,"停止","断続")))</f>
        <v>運転</v>
      </c>
      <c r="K1389" s="30" t="n">
        <v>60</v>
      </c>
      <c r="L1389" s="30" t="n">
        <v>38</v>
      </c>
      <c r="M1389" s="30" t="str">
        <f aca="false">IF(K1389&lt;判定条件!$C$6,"判定不能",IF(L1389&gt;=判定条件!$C$7*K1389,"運転",IF(L1389&lt;=判定条件!$C$8*K1389,"停止","断続")))</f>
        <v>断続</v>
      </c>
      <c r="N1389" s="30" t="n">
        <v>60</v>
      </c>
      <c r="O1389" s="30" t="n">
        <v>12</v>
      </c>
      <c r="P1389" s="30" t="str">
        <f aca="false">IF(N1389&lt;判定条件!$C$6,"判定不能",IF(O1389&gt;=判定条件!$C$7*N1389,"運転",IF(O1389&lt;=判定条件!$C$8*N1389,"停止","断続")))</f>
        <v>停止</v>
      </c>
      <c r="Q1389" s="30" t="n">
        <v>60</v>
      </c>
      <c r="R1389" s="30" t="n">
        <v>40</v>
      </c>
      <c r="S1389" s="30" t="str">
        <f aca="false">IF(Q1389&lt;判定条件!$C$6,"判定不能",IF(R1389&gt;=判定条件!$C$7*Q1389,"運転",IF(R1389&lt;=判定条件!$C$8*Q1389,"停止","断続")))</f>
        <v>断続</v>
      </c>
      <c r="T1389" s="30" t="n">
        <v>60</v>
      </c>
      <c r="U1389" s="30" t="n">
        <v>9</v>
      </c>
      <c r="V1389" s="30" t="str">
        <f aca="false">IF(T1389&lt;判定条件!$C$6,"判定不能",IF(U1389&gt;=判定条件!$C$7*T1389,"運転",IF(U1389&lt;=判定条件!$C$8*T1389,"停止","断続")))</f>
        <v>停止</v>
      </c>
      <c r="W1389" s="30" t="n">
        <v>0</v>
      </c>
      <c r="X1389" s="30" t="n">
        <v>0</v>
      </c>
      <c r="Y1389" s="30" t="str">
        <f aca="false">IF(W1389&lt;判定条件!$C$6,"判定不能",IF(X1389&gt;=判定条件!$C$7*W1389,"運転",IF(X1389&lt;=判定条件!$C$8*W1389,"停止","断続")))</f>
        <v>判定不能</v>
      </c>
      <c r="Z1389" s="30" t="n">
        <v>0</v>
      </c>
      <c r="AA1389" s="30" t="n">
        <v>0</v>
      </c>
      <c r="AB1389" s="30" t="str">
        <f aca="false">IF(Z1389&lt;判定条件!$C$6,"判定不能",IF(AA1389&gt;=判定条件!$C$7*Z1389,"運転",IF(AA1389&lt;=判定条件!$C$8*Z1389,"停止","断続")))</f>
        <v>判定不能</v>
      </c>
      <c r="AC1389" s="30" t="n">
        <v>0</v>
      </c>
      <c r="AD1389" s="30" t="n">
        <v>0</v>
      </c>
      <c r="AE1389" s="30" t="str">
        <f aca="false">IF(AC1389&lt;判定条件!$C$6,"判定不能",IF(AD1389&gt;=判定条件!$C$7*AC1389,"運転",IF(AD1389&lt;=判定条件!$C$8*AC1389,"停止","断続")))</f>
        <v>判定不能</v>
      </c>
      <c r="AF1389" s="30" t="n">
        <v>60</v>
      </c>
      <c r="AG1389" s="30" t="n">
        <v>6</v>
      </c>
      <c r="AH1389" s="30" t="str">
        <f aca="false">IF(OR(P1389="判定不能",G1389="判定不能"),"判定不能",IF(AG1389&gt;=判定条件!$C$9,"利用可",IF(AND(P1389="停止",G1389="停止"),"両方停止","運転がそろわない")))</f>
        <v>運転がそろわない</v>
      </c>
      <c r="AI1389" s="30" t="n">
        <v>60</v>
      </c>
      <c r="AJ1389" s="30" t="n">
        <v>30</v>
      </c>
      <c r="AK1389" s="30" t="str">
        <f aca="false">IF(OR(S1389="判定不能",J1389="判定不能"),"判定不能",IF(AJ1389&gt;=判定条件!$C$9,"利用可",IF(AND(S1389="停止",J1389="停止"),"両方停止","運転がそろわない")))</f>
        <v>利用可</v>
      </c>
      <c r="AL1389" s="30" t="n">
        <v>60</v>
      </c>
      <c r="AM1389" s="30" t="n">
        <v>9</v>
      </c>
      <c r="AN1389" s="30" t="str">
        <f aca="false">IF(OR(V1389="判定不能",M1389="判定不能"),"判定不能",IF(AM1389&gt;=判定条件!$C$9,"利用可",IF(AND(V1389="停止",M1389="停止"),"両方停止","運転がそろわない")))</f>
        <v>運転がそろわない</v>
      </c>
      <c r="AO1389" s="30" t="n">
        <v>0</v>
      </c>
      <c r="AP1389" s="30" t="n">
        <v>0</v>
      </c>
      <c r="AQ1389" s="30" t="str">
        <f aca="false">IF(OR(Y1389="判定不能",G1389="判定不能"),"判定不能",IF(AP1389&gt;=判定条件!$C$9,"利用可",IF(AND(Y1389="停止",G1389="停止"),"両方停止","運転がそろわない")))</f>
        <v>判定不能</v>
      </c>
      <c r="AR1389" s="30" t="n">
        <v>0</v>
      </c>
      <c r="AS1389" s="30" t="n">
        <v>0</v>
      </c>
      <c r="AT1389" s="30" t="str">
        <f aca="false">IF(OR(AB1389="判定不能",J1389="判定不能"),"判定不能",IF(AS1389&gt;=判定条件!$C$9,"利用可",IF(AND(AB1389="停止",J1389="停止"),"両方停止","運転がそろわない")))</f>
        <v>判定不能</v>
      </c>
      <c r="AU1389" s="30" t="n">
        <v>0</v>
      </c>
      <c r="AV1389" s="30" t="n">
        <v>0</v>
      </c>
      <c r="AW1389" s="30" t="str">
        <f aca="false">IF(OR(AE1389="判定不能",M1389="判定不能"),"判定不能",IF(AV1389&gt;=判定条件!$C$9,"利用可",IF(AND(AE1389="停止",M1389="停止"),"両方停止","運転がそろわない")))</f>
        <v>判定不能</v>
      </c>
      <c r="AX1389" s="30" t="str">
        <f aca="false">IF(AND(AH1389="利用可",AK1389="利用可",AN1389="利用可"),"利用可","不可")</f>
        <v>不可</v>
      </c>
      <c r="AY1389" s="30" t="str">
        <f aca="false">IF(AND(AQ1389="利用可",AT1389="利用可",AW1389="利用可"),"利用可","不可")</f>
        <v>不可</v>
      </c>
    </row>
    <row r="1390" customFormat="false" ht="15" hidden="false" customHeight="false" outlineLevel="0" collapsed="false">
      <c r="A1390" s="29" t="n">
        <v>46289</v>
      </c>
      <c r="B1390" s="30" t="n">
        <v>19</v>
      </c>
      <c r="C1390" s="31" t="s">
        <v>61</v>
      </c>
      <c r="D1390" s="31" t="s">
        <v>59</v>
      </c>
      <c r="E1390" s="30" t="n">
        <v>60</v>
      </c>
      <c r="F1390" s="30" t="n">
        <v>60</v>
      </c>
      <c r="G1390" s="30" t="str">
        <f aca="false">IF(E1390&lt;判定条件!$C$6,"判定不能",IF(F1390&gt;=判定条件!$C$7*E1390,"運転",IF(F1390&lt;=判定条件!$C$8*E1390,"停止","断続")))</f>
        <v>運転</v>
      </c>
      <c r="H1390" s="30" t="n">
        <v>60</v>
      </c>
      <c r="I1390" s="30" t="n">
        <v>60</v>
      </c>
      <c r="J1390" s="30" t="str">
        <f aca="false">IF(H1390&lt;判定条件!$C$6,"判定不能",IF(I1390&gt;=判定条件!$C$7*H1390,"運転",IF(I1390&lt;=判定条件!$C$8*H1390,"停止","断続")))</f>
        <v>運転</v>
      </c>
      <c r="K1390" s="30" t="n">
        <v>60</v>
      </c>
      <c r="L1390" s="30" t="n">
        <v>60</v>
      </c>
      <c r="M1390" s="30" t="str">
        <f aca="false">IF(K1390&lt;判定条件!$C$6,"判定不能",IF(L1390&gt;=判定条件!$C$7*K1390,"運転",IF(L1390&lt;=判定条件!$C$8*K1390,"停止","断続")))</f>
        <v>運転</v>
      </c>
      <c r="N1390" s="30" t="n">
        <v>60</v>
      </c>
      <c r="O1390" s="30" t="n">
        <v>0</v>
      </c>
      <c r="P1390" s="30" t="str">
        <f aca="false">IF(N1390&lt;判定条件!$C$6,"判定不能",IF(O1390&gt;=判定条件!$C$7*N1390,"運転",IF(O1390&lt;=判定条件!$C$8*N1390,"停止","断続")))</f>
        <v>停止</v>
      </c>
      <c r="Q1390" s="30" t="n">
        <v>60</v>
      </c>
      <c r="R1390" s="30" t="n">
        <v>48</v>
      </c>
      <c r="S1390" s="30" t="str">
        <f aca="false">IF(Q1390&lt;判定条件!$C$6,"判定不能",IF(R1390&gt;=判定条件!$C$7*Q1390,"運転",IF(R1390&lt;=判定条件!$C$8*Q1390,"停止","断続")))</f>
        <v>運転</v>
      </c>
      <c r="T1390" s="30" t="n">
        <v>60</v>
      </c>
      <c r="U1390" s="30" t="n">
        <v>41</v>
      </c>
      <c r="V1390" s="30" t="str">
        <f aca="false">IF(T1390&lt;判定条件!$C$6,"判定不能",IF(U1390&gt;=判定条件!$C$7*T1390,"運転",IF(U1390&lt;=判定条件!$C$8*T1390,"停止","断続")))</f>
        <v>断続</v>
      </c>
      <c r="W1390" s="30" t="n">
        <v>0</v>
      </c>
      <c r="X1390" s="30" t="n">
        <v>0</v>
      </c>
      <c r="Y1390" s="30" t="str">
        <f aca="false">IF(W1390&lt;判定条件!$C$6,"判定不能",IF(X1390&gt;=判定条件!$C$7*W1390,"運転",IF(X1390&lt;=判定条件!$C$8*W1390,"停止","断続")))</f>
        <v>判定不能</v>
      </c>
      <c r="Z1390" s="30" t="n">
        <v>0</v>
      </c>
      <c r="AA1390" s="30" t="n">
        <v>0</v>
      </c>
      <c r="AB1390" s="30" t="str">
        <f aca="false">IF(Z1390&lt;判定条件!$C$6,"判定不能",IF(AA1390&gt;=判定条件!$C$7*Z1390,"運転",IF(AA1390&lt;=判定条件!$C$8*Z1390,"停止","断続")))</f>
        <v>判定不能</v>
      </c>
      <c r="AC1390" s="30" t="n">
        <v>0</v>
      </c>
      <c r="AD1390" s="30" t="n">
        <v>0</v>
      </c>
      <c r="AE1390" s="30" t="str">
        <f aca="false">IF(AC1390&lt;判定条件!$C$6,"判定不能",IF(AD1390&gt;=判定条件!$C$7*AC1390,"運転",IF(AD1390&lt;=判定条件!$C$8*AC1390,"停止","断続")))</f>
        <v>判定不能</v>
      </c>
      <c r="AF1390" s="30" t="n">
        <v>60</v>
      </c>
      <c r="AG1390" s="30" t="n">
        <v>0</v>
      </c>
      <c r="AH1390" s="30" t="str">
        <f aca="false">IF(OR(P1390="判定不能",G1390="判定不能"),"判定不能",IF(AG1390&gt;=判定条件!$C$9,"利用可",IF(AND(P1390="停止",G1390="停止"),"両方停止","運転がそろわない")))</f>
        <v>運転がそろわない</v>
      </c>
      <c r="AI1390" s="30" t="n">
        <v>60</v>
      </c>
      <c r="AJ1390" s="30" t="n">
        <v>48</v>
      </c>
      <c r="AK1390" s="30" t="str">
        <f aca="false">IF(OR(S1390="判定不能",J1390="判定不能"),"判定不能",IF(AJ1390&gt;=判定条件!$C$9,"利用可",IF(AND(S1390="停止",J1390="停止"),"両方停止","運転がそろわない")))</f>
        <v>利用可</v>
      </c>
      <c r="AL1390" s="30" t="n">
        <v>60</v>
      </c>
      <c r="AM1390" s="30" t="n">
        <v>41</v>
      </c>
      <c r="AN1390" s="30" t="str">
        <f aca="false">IF(OR(V1390="判定不能",M1390="判定不能"),"判定不能",IF(AM1390&gt;=判定条件!$C$9,"利用可",IF(AND(V1390="停止",M1390="停止"),"両方停止","運転がそろわない")))</f>
        <v>利用可</v>
      </c>
      <c r="AO1390" s="30" t="n">
        <v>0</v>
      </c>
      <c r="AP1390" s="30" t="n">
        <v>0</v>
      </c>
      <c r="AQ1390" s="30" t="str">
        <f aca="false">IF(OR(Y1390="判定不能",G1390="判定不能"),"判定不能",IF(AP1390&gt;=判定条件!$C$9,"利用可",IF(AND(Y1390="停止",G1390="停止"),"両方停止","運転がそろわない")))</f>
        <v>判定不能</v>
      </c>
      <c r="AR1390" s="30" t="n">
        <v>0</v>
      </c>
      <c r="AS1390" s="30" t="n">
        <v>0</v>
      </c>
      <c r="AT1390" s="30" t="str">
        <f aca="false">IF(OR(AB1390="判定不能",J1390="判定不能"),"判定不能",IF(AS1390&gt;=判定条件!$C$9,"利用可",IF(AND(AB1390="停止",J1390="停止"),"両方停止","運転がそろわない")))</f>
        <v>判定不能</v>
      </c>
      <c r="AU1390" s="30" t="n">
        <v>0</v>
      </c>
      <c r="AV1390" s="30" t="n">
        <v>0</v>
      </c>
      <c r="AW1390" s="30" t="str">
        <f aca="false">IF(OR(AE1390="判定不能",M1390="判定不能"),"判定不能",IF(AV1390&gt;=判定条件!$C$9,"利用可",IF(AND(AE1390="停止",M1390="停止"),"両方停止","運転がそろわない")))</f>
        <v>判定不能</v>
      </c>
      <c r="AX1390" s="30" t="str">
        <f aca="false">IF(AND(AH1390="利用可",AK1390="利用可",AN1390="利用可"),"利用可","不可")</f>
        <v>不可</v>
      </c>
      <c r="AY1390" s="30" t="str">
        <f aca="false">IF(AND(AQ1390="利用可",AT1390="利用可",AW1390="利用可"),"利用可","不可")</f>
        <v>不可</v>
      </c>
    </row>
    <row r="1391" customFormat="false" ht="15" hidden="false" customHeight="false" outlineLevel="0" collapsed="false">
      <c r="A1391" s="29" t="n">
        <v>46289</v>
      </c>
      <c r="B1391" s="30" t="n">
        <v>20</v>
      </c>
      <c r="C1391" s="31" t="s">
        <v>61</v>
      </c>
      <c r="D1391" s="31" t="s">
        <v>59</v>
      </c>
      <c r="E1391" s="30" t="n">
        <v>60</v>
      </c>
      <c r="F1391" s="30" t="n">
        <v>37</v>
      </c>
      <c r="G1391" s="30" t="str">
        <f aca="false">IF(E1391&lt;判定条件!$C$6,"判定不能",IF(F1391&gt;=判定条件!$C$7*E1391,"運転",IF(F1391&lt;=判定条件!$C$8*E1391,"停止","断続")))</f>
        <v>断続</v>
      </c>
      <c r="H1391" s="30" t="n">
        <v>60</v>
      </c>
      <c r="I1391" s="30" t="n">
        <v>53</v>
      </c>
      <c r="J1391" s="30" t="str">
        <f aca="false">IF(H1391&lt;判定条件!$C$6,"判定不能",IF(I1391&gt;=判定条件!$C$7*H1391,"運転",IF(I1391&lt;=判定条件!$C$8*H1391,"停止","断続")))</f>
        <v>運転</v>
      </c>
      <c r="K1391" s="30" t="n">
        <v>60</v>
      </c>
      <c r="L1391" s="30" t="n">
        <v>60</v>
      </c>
      <c r="M1391" s="30" t="str">
        <f aca="false">IF(K1391&lt;判定条件!$C$6,"判定不能",IF(L1391&gt;=判定条件!$C$7*K1391,"運転",IF(L1391&lt;=判定条件!$C$8*K1391,"停止","断続")))</f>
        <v>運転</v>
      </c>
      <c r="N1391" s="30" t="n">
        <v>60</v>
      </c>
      <c r="O1391" s="30" t="n">
        <v>0</v>
      </c>
      <c r="P1391" s="30" t="str">
        <f aca="false">IF(N1391&lt;判定条件!$C$6,"判定不能",IF(O1391&gt;=判定条件!$C$7*N1391,"運転",IF(O1391&lt;=判定条件!$C$8*N1391,"停止","断続")))</f>
        <v>停止</v>
      </c>
      <c r="Q1391" s="30" t="n">
        <v>60</v>
      </c>
      <c r="R1391" s="30" t="n">
        <v>0</v>
      </c>
      <c r="S1391" s="30" t="str">
        <f aca="false">IF(Q1391&lt;判定条件!$C$6,"判定不能",IF(R1391&gt;=判定条件!$C$7*Q1391,"運転",IF(R1391&lt;=判定条件!$C$8*Q1391,"停止","断続")))</f>
        <v>停止</v>
      </c>
      <c r="T1391" s="30" t="n">
        <v>60</v>
      </c>
      <c r="U1391" s="30" t="n">
        <v>0</v>
      </c>
      <c r="V1391" s="30" t="str">
        <f aca="false">IF(T1391&lt;判定条件!$C$6,"判定不能",IF(U1391&gt;=判定条件!$C$7*T1391,"運転",IF(U1391&lt;=判定条件!$C$8*T1391,"停止","断続")))</f>
        <v>停止</v>
      </c>
      <c r="W1391" s="30" t="n">
        <v>0</v>
      </c>
      <c r="X1391" s="30" t="n">
        <v>0</v>
      </c>
      <c r="Y1391" s="30" t="str">
        <f aca="false">IF(W1391&lt;判定条件!$C$6,"判定不能",IF(X1391&gt;=判定条件!$C$7*W1391,"運転",IF(X1391&lt;=判定条件!$C$8*W1391,"停止","断続")))</f>
        <v>判定不能</v>
      </c>
      <c r="Z1391" s="30" t="n">
        <v>0</v>
      </c>
      <c r="AA1391" s="30" t="n">
        <v>0</v>
      </c>
      <c r="AB1391" s="30" t="str">
        <f aca="false">IF(Z1391&lt;判定条件!$C$6,"判定不能",IF(AA1391&gt;=判定条件!$C$7*Z1391,"運転",IF(AA1391&lt;=判定条件!$C$8*Z1391,"停止","断続")))</f>
        <v>判定不能</v>
      </c>
      <c r="AC1391" s="30" t="n">
        <v>0</v>
      </c>
      <c r="AD1391" s="30" t="n">
        <v>0</v>
      </c>
      <c r="AE1391" s="30" t="str">
        <f aca="false">IF(AC1391&lt;判定条件!$C$6,"判定不能",IF(AD1391&gt;=判定条件!$C$7*AC1391,"運転",IF(AD1391&lt;=判定条件!$C$8*AC1391,"停止","断続")))</f>
        <v>判定不能</v>
      </c>
      <c r="AF1391" s="30" t="n">
        <v>60</v>
      </c>
      <c r="AG1391" s="30" t="n">
        <v>0</v>
      </c>
      <c r="AH1391" s="30" t="str">
        <f aca="false">IF(OR(P1391="判定不能",G1391="判定不能"),"判定不能",IF(AG1391&gt;=判定条件!$C$9,"利用可",IF(AND(P1391="停止",G1391="停止"),"両方停止","運転がそろわない")))</f>
        <v>運転がそろわない</v>
      </c>
      <c r="AI1391" s="30" t="n">
        <v>60</v>
      </c>
      <c r="AJ1391" s="30" t="n">
        <v>0</v>
      </c>
      <c r="AK1391" s="30" t="str">
        <f aca="false">IF(OR(S1391="判定不能",J1391="判定不能"),"判定不能",IF(AJ1391&gt;=判定条件!$C$9,"利用可",IF(AND(S1391="停止",J1391="停止"),"両方停止","運転がそろわない")))</f>
        <v>運転がそろわない</v>
      </c>
      <c r="AL1391" s="30" t="n">
        <v>60</v>
      </c>
      <c r="AM1391" s="30" t="n">
        <v>0</v>
      </c>
      <c r="AN1391" s="30" t="str">
        <f aca="false">IF(OR(V1391="判定不能",M1391="判定不能"),"判定不能",IF(AM1391&gt;=判定条件!$C$9,"利用可",IF(AND(V1391="停止",M1391="停止"),"両方停止","運転がそろわない")))</f>
        <v>運転がそろわない</v>
      </c>
      <c r="AO1391" s="30" t="n">
        <v>0</v>
      </c>
      <c r="AP1391" s="30" t="n">
        <v>0</v>
      </c>
      <c r="AQ1391" s="30" t="str">
        <f aca="false">IF(OR(Y1391="判定不能",G1391="判定不能"),"判定不能",IF(AP1391&gt;=判定条件!$C$9,"利用可",IF(AND(Y1391="停止",G1391="停止"),"両方停止","運転がそろわない")))</f>
        <v>判定不能</v>
      </c>
      <c r="AR1391" s="30" t="n">
        <v>0</v>
      </c>
      <c r="AS1391" s="30" t="n">
        <v>0</v>
      </c>
      <c r="AT1391" s="30" t="str">
        <f aca="false">IF(OR(AB1391="判定不能",J1391="判定不能"),"判定不能",IF(AS1391&gt;=判定条件!$C$9,"利用可",IF(AND(AB1391="停止",J1391="停止"),"両方停止","運転がそろわない")))</f>
        <v>判定不能</v>
      </c>
      <c r="AU1391" s="30" t="n">
        <v>0</v>
      </c>
      <c r="AV1391" s="30" t="n">
        <v>0</v>
      </c>
      <c r="AW1391" s="30" t="str">
        <f aca="false">IF(OR(AE1391="判定不能",M1391="判定不能"),"判定不能",IF(AV1391&gt;=判定条件!$C$9,"利用可",IF(AND(AE1391="停止",M1391="停止"),"両方停止","運転がそろわない")))</f>
        <v>判定不能</v>
      </c>
      <c r="AX1391" s="30" t="str">
        <f aca="false">IF(AND(AH1391="利用可",AK1391="利用可",AN1391="利用可"),"利用可","不可")</f>
        <v>不可</v>
      </c>
      <c r="AY1391" s="30" t="str">
        <f aca="false">IF(AND(AQ1391="利用可",AT1391="利用可",AW1391="利用可"),"利用可","不可")</f>
        <v>不可</v>
      </c>
    </row>
    <row r="1392" customFormat="false" ht="15" hidden="false" customHeight="false" outlineLevel="0" collapsed="false">
      <c r="A1392" s="29" t="n">
        <v>46289</v>
      </c>
      <c r="B1392" s="30" t="n">
        <v>21</v>
      </c>
      <c r="C1392" s="31" t="s">
        <v>61</v>
      </c>
      <c r="D1392" s="31" t="s">
        <v>59</v>
      </c>
      <c r="E1392" s="30" t="n">
        <v>60</v>
      </c>
      <c r="F1392" s="30" t="n">
        <v>0</v>
      </c>
      <c r="G1392" s="30" t="str">
        <f aca="false">IF(E1392&lt;判定条件!$C$6,"判定不能",IF(F1392&gt;=判定条件!$C$7*E1392,"運転",IF(F1392&lt;=判定条件!$C$8*E1392,"停止","断続")))</f>
        <v>停止</v>
      </c>
      <c r="H1392" s="30" t="n">
        <v>60</v>
      </c>
      <c r="I1392" s="30" t="n">
        <v>0</v>
      </c>
      <c r="J1392" s="30" t="str">
        <f aca="false">IF(H1392&lt;判定条件!$C$6,"判定不能",IF(I1392&gt;=判定条件!$C$7*H1392,"運転",IF(I1392&lt;=判定条件!$C$8*H1392,"停止","断続")))</f>
        <v>停止</v>
      </c>
      <c r="K1392" s="30" t="n">
        <v>60</v>
      </c>
      <c r="L1392" s="30" t="n">
        <v>0</v>
      </c>
      <c r="M1392" s="30" t="str">
        <f aca="false">IF(K1392&lt;判定条件!$C$6,"判定不能",IF(L1392&gt;=判定条件!$C$7*K1392,"運転",IF(L1392&lt;=判定条件!$C$8*K1392,"停止","断続")))</f>
        <v>停止</v>
      </c>
      <c r="N1392" s="30" t="n">
        <v>60</v>
      </c>
      <c r="O1392" s="30" t="n">
        <v>14</v>
      </c>
      <c r="P1392" s="30" t="str">
        <f aca="false">IF(N1392&lt;判定条件!$C$6,"判定不能",IF(O1392&gt;=判定条件!$C$7*N1392,"運転",IF(O1392&lt;=判定条件!$C$8*N1392,"停止","断続")))</f>
        <v>断続</v>
      </c>
      <c r="Q1392" s="30" t="n">
        <v>60</v>
      </c>
      <c r="R1392" s="30" t="n">
        <v>0</v>
      </c>
      <c r="S1392" s="30" t="str">
        <f aca="false">IF(Q1392&lt;判定条件!$C$6,"判定不能",IF(R1392&gt;=判定条件!$C$7*Q1392,"運転",IF(R1392&lt;=判定条件!$C$8*Q1392,"停止","断続")))</f>
        <v>停止</v>
      </c>
      <c r="T1392" s="30" t="n">
        <v>60</v>
      </c>
      <c r="U1392" s="30" t="n">
        <v>0</v>
      </c>
      <c r="V1392" s="30" t="str">
        <f aca="false">IF(T1392&lt;判定条件!$C$6,"判定不能",IF(U1392&gt;=判定条件!$C$7*T1392,"運転",IF(U1392&lt;=判定条件!$C$8*T1392,"停止","断続")))</f>
        <v>停止</v>
      </c>
      <c r="W1392" s="30" t="n">
        <v>0</v>
      </c>
      <c r="X1392" s="30" t="n">
        <v>0</v>
      </c>
      <c r="Y1392" s="30" t="str">
        <f aca="false">IF(W1392&lt;判定条件!$C$6,"判定不能",IF(X1392&gt;=判定条件!$C$7*W1392,"運転",IF(X1392&lt;=判定条件!$C$8*W1392,"停止","断続")))</f>
        <v>判定不能</v>
      </c>
      <c r="Z1392" s="30" t="n">
        <v>0</v>
      </c>
      <c r="AA1392" s="30" t="n">
        <v>0</v>
      </c>
      <c r="AB1392" s="30" t="str">
        <f aca="false">IF(Z1392&lt;判定条件!$C$6,"判定不能",IF(AA1392&gt;=判定条件!$C$7*Z1392,"運転",IF(AA1392&lt;=判定条件!$C$8*Z1392,"停止","断続")))</f>
        <v>判定不能</v>
      </c>
      <c r="AC1392" s="30" t="n">
        <v>0</v>
      </c>
      <c r="AD1392" s="30" t="n">
        <v>0</v>
      </c>
      <c r="AE1392" s="30" t="str">
        <f aca="false">IF(AC1392&lt;判定条件!$C$6,"判定不能",IF(AD1392&gt;=判定条件!$C$7*AC1392,"運転",IF(AD1392&lt;=判定条件!$C$8*AC1392,"停止","断続")))</f>
        <v>判定不能</v>
      </c>
      <c r="AF1392" s="30" t="n">
        <v>60</v>
      </c>
      <c r="AG1392" s="30" t="n">
        <v>0</v>
      </c>
      <c r="AH1392" s="30" t="str">
        <f aca="false">IF(OR(P1392="判定不能",G1392="判定不能"),"判定不能",IF(AG1392&gt;=判定条件!$C$9,"利用可",IF(AND(P1392="停止",G1392="停止"),"両方停止","運転がそろわない")))</f>
        <v>運転がそろわない</v>
      </c>
      <c r="AI1392" s="30" t="n">
        <v>60</v>
      </c>
      <c r="AJ1392" s="30" t="n">
        <v>0</v>
      </c>
      <c r="AK1392" s="30" t="str">
        <f aca="false">IF(OR(S1392="判定不能",J1392="判定不能"),"判定不能",IF(AJ1392&gt;=判定条件!$C$9,"利用可",IF(AND(S1392="停止",J1392="停止"),"両方停止","運転がそろわない")))</f>
        <v>両方停止</v>
      </c>
      <c r="AL1392" s="30" t="n">
        <v>60</v>
      </c>
      <c r="AM1392" s="30" t="n">
        <v>0</v>
      </c>
      <c r="AN1392" s="30" t="str">
        <f aca="false">IF(OR(V1392="判定不能",M1392="判定不能"),"判定不能",IF(AM1392&gt;=判定条件!$C$9,"利用可",IF(AND(V1392="停止",M1392="停止"),"両方停止","運転がそろわない")))</f>
        <v>両方停止</v>
      </c>
      <c r="AO1392" s="30" t="n">
        <v>0</v>
      </c>
      <c r="AP1392" s="30" t="n">
        <v>0</v>
      </c>
      <c r="AQ1392" s="30" t="str">
        <f aca="false">IF(OR(Y1392="判定不能",G1392="判定不能"),"判定不能",IF(AP1392&gt;=判定条件!$C$9,"利用可",IF(AND(Y1392="停止",G1392="停止"),"両方停止","運転がそろわない")))</f>
        <v>判定不能</v>
      </c>
      <c r="AR1392" s="30" t="n">
        <v>0</v>
      </c>
      <c r="AS1392" s="30" t="n">
        <v>0</v>
      </c>
      <c r="AT1392" s="30" t="str">
        <f aca="false">IF(OR(AB1392="判定不能",J1392="判定不能"),"判定不能",IF(AS1392&gt;=判定条件!$C$9,"利用可",IF(AND(AB1392="停止",J1392="停止"),"両方停止","運転がそろわない")))</f>
        <v>判定不能</v>
      </c>
      <c r="AU1392" s="30" t="n">
        <v>0</v>
      </c>
      <c r="AV1392" s="30" t="n">
        <v>0</v>
      </c>
      <c r="AW1392" s="30" t="str">
        <f aca="false">IF(OR(AE1392="判定不能",M1392="判定不能"),"判定不能",IF(AV1392&gt;=判定条件!$C$9,"利用可",IF(AND(AE1392="停止",M1392="停止"),"両方停止","運転がそろわない")))</f>
        <v>判定不能</v>
      </c>
      <c r="AX1392" s="30" t="str">
        <f aca="false">IF(AND(AH1392="利用可",AK1392="利用可",AN1392="利用可"),"利用可","不可")</f>
        <v>不可</v>
      </c>
      <c r="AY1392" s="30" t="str">
        <f aca="false">IF(AND(AQ1392="利用可",AT1392="利用可",AW1392="利用可"),"利用可","不可")</f>
        <v>不可</v>
      </c>
    </row>
    <row r="1393" customFormat="false" ht="15" hidden="false" customHeight="false" outlineLevel="0" collapsed="false">
      <c r="A1393" s="29" t="n">
        <v>46289</v>
      </c>
      <c r="B1393" s="30" t="n">
        <v>22</v>
      </c>
      <c r="C1393" s="31" t="s">
        <v>61</v>
      </c>
      <c r="D1393" s="31" t="s">
        <v>59</v>
      </c>
      <c r="E1393" s="30" t="n">
        <v>60</v>
      </c>
      <c r="F1393" s="30" t="n">
        <v>0</v>
      </c>
      <c r="G1393" s="30" t="str">
        <f aca="false">IF(E1393&lt;判定条件!$C$6,"判定不能",IF(F1393&gt;=判定条件!$C$7*E1393,"運転",IF(F1393&lt;=判定条件!$C$8*E1393,"停止","断続")))</f>
        <v>停止</v>
      </c>
      <c r="H1393" s="30" t="n">
        <v>60</v>
      </c>
      <c r="I1393" s="30" t="n">
        <v>0</v>
      </c>
      <c r="J1393" s="30" t="str">
        <f aca="false">IF(H1393&lt;判定条件!$C$6,"判定不能",IF(I1393&gt;=判定条件!$C$7*H1393,"運転",IF(I1393&lt;=判定条件!$C$8*H1393,"停止","断続")))</f>
        <v>停止</v>
      </c>
      <c r="K1393" s="30" t="n">
        <v>60</v>
      </c>
      <c r="L1393" s="30" t="n">
        <v>0</v>
      </c>
      <c r="M1393" s="30" t="str">
        <f aca="false">IF(K1393&lt;判定条件!$C$6,"判定不能",IF(L1393&gt;=判定条件!$C$7*K1393,"運転",IF(L1393&lt;=判定条件!$C$8*K1393,"停止","断続")))</f>
        <v>停止</v>
      </c>
      <c r="N1393" s="30" t="n">
        <v>60</v>
      </c>
      <c r="O1393" s="30" t="n">
        <v>21</v>
      </c>
      <c r="P1393" s="30" t="str">
        <f aca="false">IF(N1393&lt;判定条件!$C$6,"判定不能",IF(O1393&gt;=判定条件!$C$7*N1393,"運転",IF(O1393&lt;=判定条件!$C$8*N1393,"停止","断続")))</f>
        <v>断続</v>
      </c>
      <c r="Q1393" s="30" t="n">
        <v>60</v>
      </c>
      <c r="R1393" s="30" t="n">
        <v>0</v>
      </c>
      <c r="S1393" s="30" t="str">
        <f aca="false">IF(Q1393&lt;判定条件!$C$6,"判定不能",IF(R1393&gt;=判定条件!$C$7*Q1393,"運転",IF(R1393&lt;=判定条件!$C$8*Q1393,"停止","断続")))</f>
        <v>停止</v>
      </c>
      <c r="T1393" s="30" t="n">
        <v>60</v>
      </c>
      <c r="U1393" s="30" t="n">
        <v>0</v>
      </c>
      <c r="V1393" s="30" t="str">
        <f aca="false">IF(T1393&lt;判定条件!$C$6,"判定不能",IF(U1393&gt;=判定条件!$C$7*T1393,"運転",IF(U1393&lt;=判定条件!$C$8*T1393,"停止","断続")))</f>
        <v>停止</v>
      </c>
      <c r="W1393" s="30" t="n">
        <v>0</v>
      </c>
      <c r="X1393" s="30" t="n">
        <v>0</v>
      </c>
      <c r="Y1393" s="30" t="str">
        <f aca="false">IF(W1393&lt;判定条件!$C$6,"判定不能",IF(X1393&gt;=判定条件!$C$7*W1393,"運転",IF(X1393&lt;=判定条件!$C$8*W1393,"停止","断続")))</f>
        <v>判定不能</v>
      </c>
      <c r="Z1393" s="30" t="n">
        <v>0</v>
      </c>
      <c r="AA1393" s="30" t="n">
        <v>0</v>
      </c>
      <c r="AB1393" s="30" t="str">
        <f aca="false">IF(Z1393&lt;判定条件!$C$6,"判定不能",IF(AA1393&gt;=判定条件!$C$7*Z1393,"運転",IF(AA1393&lt;=判定条件!$C$8*Z1393,"停止","断続")))</f>
        <v>判定不能</v>
      </c>
      <c r="AC1393" s="30" t="n">
        <v>0</v>
      </c>
      <c r="AD1393" s="30" t="n">
        <v>0</v>
      </c>
      <c r="AE1393" s="30" t="str">
        <f aca="false">IF(AC1393&lt;判定条件!$C$6,"判定不能",IF(AD1393&gt;=判定条件!$C$7*AC1393,"運転",IF(AD1393&lt;=判定条件!$C$8*AC1393,"停止","断続")))</f>
        <v>判定不能</v>
      </c>
      <c r="AF1393" s="30" t="n">
        <v>60</v>
      </c>
      <c r="AG1393" s="30" t="n">
        <v>0</v>
      </c>
      <c r="AH1393" s="30" t="str">
        <f aca="false">IF(OR(P1393="判定不能",G1393="判定不能"),"判定不能",IF(AG1393&gt;=判定条件!$C$9,"利用可",IF(AND(P1393="停止",G1393="停止"),"両方停止","運転がそろわない")))</f>
        <v>運転がそろわない</v>
      </c>
      <c r="AI1393" s="30" t="n">
        <v>60</v>
      </c>
      <c r="AJ1393" s="30" t="n">
        <v>0</v>
      </c>
      <c r="AK1393" s="30" t="str">
        <f aca="false">IF(OR(S1393="判定不能",J1393="判定不能"),"判定不能",IF(AJ1393&gt;=判定条件!$C$9,"利用可",IF(AND(S1393="停止",J1393="停止"),"両方停止","運転がそろわない")))</f>
        <v>両方停止</v>
      </c>
      <c r="AL1393" s="30" t="n">
        <v>60</v>
      </c>
      <c r="AM1393" s="30" t="n">
        <v>0</v>
      </c>
      <c r="AN1393" s="30" t="str">
        <f aca="false">IF(OR(V1393="判定不能",M1393="判定不能"),"判定不能",IF(AM1393&gt;=判定条件!$C$9,"利用可",IF(AND(V1393="停止",M1393="停止"),"両方停止","運転がそろわない")))</f>
        <v>両方停止</v>
      </c>
      <c r="AO1393" s="30" t="n">
        <v>0</v>
      </c>
      <c r="AP1393" s="30" t="n">
        <v>0</v>
      </c>
      <c r="AQ1393" s="30" t="str">
        <f aca="false">IF(OR(Y1393="判定不能",G1393="判定不能"),"判定不能",IF(AP1393&gt;=判定条件!$C$9,"利用可",IF(AND(Y1393="停止",G1393="停止"),"両方停止","運転がそろわない")))</f>
        <v>判定不能</v>
      </c>
      <c r="AR1393" s="30" t="n">
        <v>0</v>
      </c>
      <c r="AS1393" s="30" t="n">
        <v>0</v>
      </c>
      <c r="AT1393" s="30" t="str">
        <f aca="false">IF(OR(AB1393="判定不能",J1393="判定不能"),"判定不能",IF(AS1393&gt;=判定条件!$C$9,"利用可",IF(AND(AB1393="停止",J1393="停止"),"両方停止","運転がそろわない")))</f>
        <v>判定不能</v>
      </c>
      <c r="AU1393" s="30" t="n">
        <v>0</v>
      </c>
      <c r="AV1393" s="30" t="n">
        <v>0</v>
      </c>
      <c r="AW1393" s="30" t="str">
        <f aca="false">IF(OR(AE1393="判定不能",M1393="判定不能"),"判定不能",IF(AV1393&gt;=判定条件!$C$9,"利用可",IF(AND(AE1393="停止",M1393="停止"),"両方停止","運転がそろわない")))</f>
        <v>判定不能</v>
      </c>
      <c r="AX1393" s="30" t="str">
        <f aca="false">IF(AND(AH1393="利用可",AK1393="利用可",AN1393="利用可"),"利用可","不可")</f>
        <v>不可</v>
      </c>
      <c r="AY1393" s="30" t="str">
        <f aca="false">IF(AND(AQ1393="利用可",AT1393="利用可",AW1393="利用可"),"利用可","不可")</f>
        <v>不可</v>
      </c>
    </row>
    <row r="1394" customFormat="false" ht="15" hidden="false" customHeight="false" outlineLevel="0" collapsed="false">
      <c r="A1394" s="29" t="n">
        <v>46289</v>
      </c>
      <c r="B1394" s="30" t="n">
        <v>23</v>
      </c>
      <c r="C1394" s="31" t="s">
        <v>61</v>
      </c>
      <c r="D1394" s="31" t="s">
        <v>59</v>
      </c>
      <c r="E1394" s="30" t="n">
        <v>60</v>
      </c>
      <c r="F1394" s="30" t="n">
        <v>0</v>
      </c>
      <c r="G1394" s="30" t="str">
        <f aca="false">IF(E1394&lt;判定条件!$C$6,"判定不能",IF(F1394&gt;=判定条件!$C$7*E1394,"運転",IF(F1394&lt;=判定条件!$C$8*E1394,"停止","断続")))</f>
        <v>停止</v>
      </c>
      <c r="H1394" s="30" t="n">
        <v>60</v>
      </c>
      <c r="I1394" s="30" t="n">
        <v>0</v>
      </c>
      <c r="J1394" s="30" t="str">
        <f aca="false">IF(H1394&lt;判定条件!$C$6,"判定不能",IF(I1394&gt;=判定条件!$C$7*H1394,"運転",IF(I1394&lt;=判定条件!$C$8*H1394,"停止","断続")))</f>
        <v>停止</v>
      </c>
      <c r="K1394" s="30" t="n">
        <v>60</v>
      </c>
      <c r="L1394" s="30" t="n">
        <v>0</v>
      </c>
      <c r="M1394" s="30" t="str">
        <f aca="false">IF(K1394&lt;判定条件!$C$6,"判定不能",IF(L1394&gt;=判定条件!$C$7*K1394,"運転",IF(L1394&lt;=判定条件!$C$8*K1394,"停止","断続")))</f>
        <v>停止</v>
      </c>
      <c r="N1394" s="30" t="n">
        <v>60</v>
      </c>
      <c r="O1394" s="30" t="n">
        <v>0</v>
      </c>
      <c r="P1394" s="30" t="str">
        <f aca="false">IF(N1394&lt;判定条件!$C$6,"判定不能",IF(O1394&gt;=判定条件!$C$7*N1394,"運転",IF(O1394&lt;=判定条件!$C$8*N1394,"停止","断続")))</f>
        <v>停止</v>
      </c>
      <c r="Q1394" s="30" t="n">
        <v>60</v>
      </c>
      <c r="R1394" s="30" t="n">
        <v>0</v>
      </c>
      <c r="S1394" s="30" t="str">
        <f aca="false">IF(Q1394&lt;判定条件!$C$6,"判定不能",IF(R1394&gt;=判定条件!$C$7*Q1394,"運転",IF(R1394&lt;=判定条件!$C$8*Q1394,"停止","断続")))</f>
        <v>停止</v>
      </c>
      <c r="T1394" s="30" t="n">
        <v>60</v>
      </c>
      <c r="U1394" s="30" t="n">
        <v>0</v>
      </c>
      <c r="V1394" s="30" t="str">
        <f aca="false">IF(T1394&lt;判定条件!$C$6,"判定不能",IF(U1394&gt;=判定条件!$C$7*T1394,"運転",IF(U1394&lt;=判定条件!$C$8*T1394,"停止","断続")))</f>
        <v>停止</v>
      </c>
      <c r="W1394" s="30" t="n">
        <v>0</v>
      </c>
      <c r="X1394" s="30" t="n">
        <v>0</v>
      </c>
      <c r="Y1394" s="30" t="str">
        <f aca="false">IF(W1394&lt;判定条件!$C$6,"判定不能",IF(X1394&gt;=判定条件!$C$7*W1394,"運転",IF(X1394&lt;=判定条件!$C$8*W1394,"停止","断続")))</f>
        <v>判定不能</v>
      </c>
      <c r="Z1394" s="30" t="n">
        <v>0</v>
      </c>
      <c r="AA1394" s="30" t="n">
        <v>0</v>
      </c>
      <c r="AB1394" s="30" t="str">
        <f aca="false">IF(Z1394&lt;判定条件!$C$6,"判定不能",IF(AA1394&gt;=判定条件!$C$7*Z1394,"運転",IF(AA1394&lt;=判定条件!$C$8*Z1394,"停止","断続")))</f>
        <v>判定不能</v>
      </c>
      <c r="AC1394" s="30" t="n">
        <v>0</v>
      </c>
      <c r="AD1394" s="30" t="n">
        <v>0</v>
      </c>
      <c r="AE1394" s="30" t="str">
        <f aca="false">IF(AC1394&lt;判定条件!$C$6,"判定不能",IF(AD1394&gt;=判定条件!$C$7*AC1394,"運転",IF(AD1394&lt;=判定条件!$C$8*AC1394,"停止","断続")))</f>
        <v>判定不能</v>
      </c>
      <c r="AF1394" s="30" t="n">
        <v>60</v>
      </c>
      <c r="AG1394" s="30" t="n">
        <v>0</v>
      </c>
      <c r="AH1394" s="30" t="str">
        <f aca="false">IF(OR(P1394="判定不能",G1394="判定不能"),"判定不能",IF(AG1394&gt;=判定条件!$C$9,"利用可",IF(AND(P1394="停止",G1394="停止"),"両方停止","運転がそろわない")))</f>
        <v>両方停止</v>
      </c>
      <c r="AI1394" s="30" t="n">
        <v>60</v>
      </c>
      <c r="AJ1394" s="30" t="n">
        <v>0</v>
      </c>
      <c r="AK1394" s="30" t="str">
        <f aca="false">IF(OR(S1394="判定不能",J1394="判定不能"),"判定不能",IF(AJ1394&gt;=判定条件!$C$9,"利用可",IF(AND(S1394="停止",J1394="停止"),"両方停止","運転がそろわない")))</f>
        <v>両方停止</v>
      </c>
      <c r="AL1394" s="30" t="n">
        <v>60</v>
      </c>
      <c r="AM1394" s="30" t="n">
        <v>0</v>
      </c>
      <c r="AN1394" s="30" t="str">
        <f aca="false">IF(OR(V1394="判定不能",M1394="判定不能"),"判定不能",IF(AM1394&gt;=判定条件!$C$9,"利用可",IF(AND(V1394="停止",M1394="停止"),"両方停止","運転がそろわない")))</f>
        <v>両方停止</v>
      </c>
      <c r="AO1394" s="30" t="n">
        <v>0</v>
      </c>
      <c r="AP1394" s="30" t="n">
        <v>0</v>
      </c>
      <c r="AQ1394" s="30" t="str">
        <f aca="false">IF(OR(Y1394="判定不能",G1394="判定不能"),"判定不能",IF(AP1394&gt;=判定条件!$C$9,"利用可",IF(AND(Y1394="停止",G1394="停止"),"両方停止","運転がそろわない")))</f>
        <v>判定不能</v>
      </c>
      <c r="AR1394" s="30" t="n">
        <v>0</v>
      </c>
      <c r="AS1394" s="30" t="n">
        <v>0</v>
      </c>
      <c r="AT1394" s="30" t="str">
        <f aca="false">IF(OR(AB1394="判定不能",J1394="判定不能"),"判定不能",IF(AS1394&gt;=判定条件!$C$9,"利用可",IF(AND(AB1394="停止",J1394="停止"),"両方停止","運転がそろわない")))</f>
        <v>判定不能</v>
      </c>
      <c r="AU1394" s="30" t="n">
        <v>0</v>
      </c>
      <c r="AV1394" s="30" t="n">
        <v>0</v>
      </c>
      <c r="AW1394" s="30" t="str">
        <f aca="false">IF(OR(AE1394="判定不能",M1394="判定不能"),"判定不能",IF(AV1394&gt;=判定条件!$C$9,"利用可",IF(AND(AE1394="停止",M1394="停止"),"両方停止","運転がそろわない")))</f>
        <v>判定不能</v>
      </c>
      <c r="AX1394" s="30" t="str">
        <f aca="false">IF(AND(AH1394="利用可",AK1394="利用可",AN1394="利用可"),"利用可","不可")</f>
        <v>不可</v>
      </c>
      <c r="AY1394" s="30" t="str">
        <f aca="false">IF(AND(AQ1394="利用可",AT1394="利用可",AW1394="利用可"),"利用可","不可")</f>
        <v>不可</v>
      </c>
    </row>
    <row r="1395" customFormat="false" ht="15" hidden="false" customHeight="false" outlineLevel="0" collapsed="false">
      <c r="A1395" s="29" t="n">
        <v>46290</v>
      </c>
      <c r="B1395" s="30" t="n">
        <v>0</v>
      </c>
      <c r="C1395" s="31" t="s">
        <v>62</v>
      </c>
      <c r="D1395" s="31" t="s">
        <v>59</v>
      </c>
      <c r="E1395" s="30" t="n">
        <v>60</v>
      </c>
      <c r="F1395" s="30" t="n">
        <v>0</v>
      </c>
      <c r="G1395" s="30" t="str">
        <f aca="false">IF(E1395&lt;判定条件!$C$6,"判定不能",IF(F1395&gt;=判定条件!$C$7*E1395,"運転",IF(F1395&lt;=判定条件!$C$8*E1395,"停止","断続")))</f>
        <v>停止</v>
      </c>
      <c r="H1395" s="30" t="n">
        <v>60</v>
      </c>
      <c r="I1395" s="30" t="n">
        <v>0</v>
      </c>
      <c r="J1395" s="30" t="str">
        <f aca="false">IF(H1395&lt;判定条件!$C$6,"判定不能",IF(I1395&gt;=判定条件!$C$7*H1395,"運転",IF(I1395&lt;=判定条件!$C$8*H1395,"停止","断続")))</f>
        <v>停止</v>
      </c>
      <c r="K1395" s="30" t="n">
        <v>60</v>
      </c>
      <c r="L1395" s="30" t="n">
        <v>0</v>
      </c>
      <c r="M1395" s="30" t="str">
        <f aca="false">IF(K1395&lt;判定条件!$C$6,"判定不能",IF(L1395&gt;=判定条件!$C$7*K1395,"運転",IF(L1395&lt;=判定条件!$C$8*K1395,"停止","断続")))</f>
        <v>停止</v>
      </c>
      <c r="N1395" s="30" t="n">
        <v>60</v>
      </c>
      <c r="O1395" s="30" t="n">
        <v>0</v>
      </c>
      <c r="P1395" s="30" t="str">
        <f aca="false">IF(N1395&lt;判定条件!$C$6,"判定不能",IF(O1395&gt;=判定条件!$C$7*N1395,"運転",IF(O1395&lt;=判定条件!$C$8*N1395,"停止","断続")))</f>
        <v>停止</v>
      </c>
      <c r="Q1395" s="30" t="n">
        <v>60</v>
      </c>
      <c r="R1395" s="30" t="n">
        <v>0</v>
      </c>
      <c r="S1395" s="30" t="str">
        <f aca="false">IF(Q1395&lt;判定条件!$C$6,"判定不能",IF(R1395&gt;=判定条件!$C$7*Q1395,"運転",IF(R1395&lt;=判定条件!$C$8*Q1395,"停止","断続")))</f>
        <v>停止</v>
      </c>
      <c r="T1395" s="30" t="n">
        <v>60</v>
      </c>
      <c r="U1395" s="30" t="n">
        <v>0</v>
      </c>
      <c r="V1395" s="30" t="str">
        <f aca="false">IF(T1395&lt;判定条件!$C$6,"判定不能",IF(U1395&gt;=判定条件!$C$7*T1395,"運転",IF(U1395&lt;=判定条件!$C$8*T1395,"停止","断続")))</f>
        <v>停止</v>
      </c>
      <c r="W1395" s="30" t="n">
        <v>0</v>
      </c>
      <c r="X1395" s="30" t="n">
        <v>0</v>
      </c>
      <c r="Y1395" s="30" t="str">
        <f aca="false">IF(W1395&lt;判定条件!$C$6,"判定不能",IF(X1395&gt;=判定条件!$C$7*W1395,"運転",IF(X1395&lt;=判定条件!$C$8*W1395,"停止","断続")))</f>
        <v>判定不能</v>
      </c>
      <c r="Z1395" s="30" t="n">
        <v>0</v>
      </c>
      <c r="AA1395" s="30" t="n">
        <v>0</v>
      </c>
      <c r="AB1395" s="30" t="str">
        <f aca="false">IF(Z1395&lt;判定条件!$C$6,"判定不能",IF(AA1395&gt;=判定条件!$C$7*Z1395,"運転",IF(AA1395&lt;=判定条件!$C$8*Z1395,"停止","断続")))</f>
        <v>判定不能</v>
      </c>
      <c r="AC1395" s="30" t="n">
        <v>0</v>
      </c>
      <c r="AD1395" s="30" t="n">
        <v>0</v>
      </c>
      <c r="AE1395" s="30" t="str">
        <f aca="false">IF(AC1395&lt;判定条件!$C$6,"判定不能",IF(AD1395&gt;=判定条件!$C$7*AC1395,"運転",IF(AD1395&lt;=判定条件!$C$8*AC1395,"停止","断続")))</f>
        <v>判定不能</v>
      </c>
      <c r="AF1395" s="30" t="n">
        <v>60</v>
      </c>
      <c r="AG1395" s="30" t="n">
        <v>0</v>
      </c>
      <c r="AH1395" s="30" t="str">
        <f aca="false">IF(OR(P1395="判定不能",G1395="判定不能"),"判定不能",IF(AG1395&gt;=判定条件!$C$9,"利用可",IF(AND(P1395="停止",G1395="停止"),"両方停止","運転がそろわない")))</f>
        <v>両方停止</v>
      </c>
      <c r="AI1395" s="30" t="n">
        <v>60</v>
      </c>
      <c r="AJ1395" s="30" t="n">
        <v>0</v>
      </c>
      <c r="AK1395" s="30" t="str">
        <f aca="false">IF(OR(S1395="判定不能",J1395="判定不能"),"判定不能",IF(AJ1395&gt;=判定条件!$C$9,"利用可",IF(AND(S1395="停止",J1395="停止"),"両方停止","運転がそろわない")))</f>
        <v>両方停止</v>
      </c>
      <c r="AL1395" s="30" t="n">
        <v>60</v>
      </c>
      <c r="AM1395" s="30" t="n">
        <v>0</v>
      </c>
      <c r="AN1395" s="30" t="str">
        <f aca="false">IF(OR(V1395="判定不能",M1395="判定不能"),"判定不能",IF(AM1395&gt;=判定条件!$C$9,"利用可",IF(AND(V1395="停止",M1395="停止"),"両方停止","運転がそろわない")))</f>
        <v>両方停止</v>
      </c>
      <c r="AO1395" s="30" t="n">
        <v>0</v>
      </c>
      <c r="AP1395" s="30" t="n">
        <v>0</v>
      </c>
      <c r="AQ1395" s="30" t="str">
        <f aca="false">IF(OR(Y1395="判定不能",G1395="判定不能"),"判定不能",IF(AP1395&gt;=判定条件!$C$9,"利用可",IF(AND(Y1395="停止",G1395="停止"),"両方停止","運転がそろわない")))</f>
        <v>判定不能</v>
      </c>
      <c r="AR1395" s="30" t="n">
        <v>0</v>
      </c>
      <c r="AS1395" s="30" t="n">
        <v>0</v>
      </c>
      <c r="AT1395" s="30" t="str">
        <f aca="false">IF(OR(AB1395="判定不能",J1395="判定不能"),"判定不能",IF(AS1395&gt;=判定条件!$C$9,"利用可",IF(AND(AB1395="停止",J1395="停止"),"両方停止","運転がそろわない")))</f>
        <v>判定不能</v>
      </c>
      <c r="AU1395" s="30" t="n">
        <v>0</v>
      </c>
      <c r="AV1395" s="30" t="n">
        <v>0</v>
      </c>
      <c r="AW1395" s="30" t="str">
        <f aca="false">IF(OR(AE1395="判定不能",M1395="判定不能"),"判定不能",IF(AV1395&gt;=判定条件!$C$9,"利用可",IF(AND(AE1395="停止",M1395="停止"),"両方停止","運転がそろわない")))</f>
        <v>判定不能</v>
      </c>
      <c r="AX1395" s="30" t="str">
        <f aca="false">IF(AND(AH1395="利用可",AK1395="利用可",AN1395="利用可"),"利用可","不可")</f>
        <v>不可</v>
      </c>
      <c r="AY1395" s="30" t="str">
        <f aca="false">IF(AND(AQ1395="利用可",AT1395="利用可",AW1395="利用可"),"利用可","不可")</f>
        <v>不可</v>
      </c>
    </row>
    <row r="1396" customFormat="false" ht="15" hidden="false" customHeight="false" outlineLevel="0" collapsed="false">
      <c r="A1396" s="29" t="n">
        <v>46290</v>
      </c>
      <c r="B1396" s="30" t="n">
        <v>1</v>
      </c>
      <c r="C1396" s="31" t="s">
        <v>62</v>
      </c>
      <c r="D1396" s="31" t="s">
        <v>59</v>
      </c>
      <c r="E1396" s="30" t="n">
        <v>60</v>
      </c>
      <c r="F1396" s="30" t="n">
        <v>0</v>
      </c>
      <c r="G1396" s="30" t="str">
        <f aca="false">IF(E1396&lt;判定条件!$C$6,"判定不能",IF(F1396&gt;=判定条件!$C$7*E1396,"運転",IF(F1396&lt;=判定条件!$C$8*E1396,"停止","断続")))</f>
        <v>停止</v>
      </c>
      <c r="H1396" s="30" t="n">
        <v>60</v>
      </c>
      <c r="I1396" s="30" t="n">
        <v>0</v>
      </c>
      <c r="J1396" s="30" t="str">
        <f aca="false">IF(H1396&lt;判定条件!$C$6,"判定不能",IF(I1396&gt;=判定条件!$C$7*H1396,"運転",IF(I1396&lt;=判定条件!$C$8*H1396,"停止","断続")))</f>
        <v>停止</v>
      </c>
      <c r="K1396" s="30" t="n">
        <v>60</v>
      </c>
      <c r="L1396" s="30" t="n">
        <v>0</v>
      </c>
      <c r="M1396" s="30" t="str">
        <f aca="false">IF(K1396&lt;判定条件!$C$6,"判定不能",IF(L1396&gt;=判定条件!$C$7*K1396,"運転",IF(L1396&lt;=判定条件!$C$8*K1396,"停止","断続")))</f>
        <v>停止</v>
      </c>
      <c r="N1396" s="30" t="n">
        <v>60</v>
      </c>
      <c r="O1396" s="30" t="n">
        <v>0</v>
      </c>
      <c r="P1396" s="30" t="str">
        <f aca="false">IF(N1396&lt;判定条件!$C$6,"判定不能",IF(O1396&gt;=判定条件!$C$7*N1396,"運転",IF(O1396&lt;=判定条件!$C$8*N1396,"停止","断続")))</f>
        <v>停止</v>
      </c>
      <c r="Q1396" s="30" t="n">
        <v>60</v>
      </c>
      <c r="R1396" s="30" t="n">
        <v>0</v>
      </c>
      <c r="S1396" s="30" t="str">
        <f aca="false">IF(Q1396&lt;判定条件!$C$6,"判定不能",IF(R1396&gt;=判定条件!$C$7*Q1396,"運転",IF(R1396&lt;=判定条件!$C$8*Q1396,"停止","断続")))</f>
        <v>停止</v>
      </c>
      <c r="T1396" s="30" t="n">
        <v>60</v>
      </c>
      <c r="U1396" s="30" t="n">
        <v>0</v>
      </c>
      <c r="V1396" s="30" t="str">
        <f aca="false">IF(T1396&lt;判定条件!$C$6,"判定不能",IF(U1396&gt;=判定条件!$C$7*T1396,"運転",IF(U1396&lt;=判定条件!$C$8*T1396,"停止","断続")))</f>
        <v>停止</v>
      </c>
      <c r="W1396" s="30" t="n">
        <v>0</v>
      </c>
      <c r="X1396" s="30" t="n">
        <v>0</v>
      </c>
      <c r="Y1396" s="30" t="str">
        <f aca="false">IF(W1396&lt;判定条件!$C$6,"判定不能",IF(X1396&gt;=判定条件!$C$7*W1396,"運転",IF(X1396&lt;=判定条件!$C$8*W1396,"停止","断続")))</f>
        <v>判定不能</v>
      </c>
      <c r="Z1396" s="30" t="n">
        <v>0</v>
      </c>
      <c r="AA1396" s="30" t="n">
        <v>0</v>
      </c>
      <c r="AB1396" s="30" t="str">
        <f aca="false">IF(Z1396&lt;判定条件!$C$6,"判定不能",IF(AA1396&gt;=判定条件!$C$7*Z1396,"運転",IF(AA1396&lt;=判定条件!$C$8*Z1396,"停止","断続")))</f>
        <v>判定不能</v>
      </c>
      <c r="AC1396" s="30" t="n">
        <v>0</v>
      </c>
      <c r="AD1396" s="30" t="n">
        <v>0</v>
      </c>
      <c r="AE1396" s="30" t="str">
        <f aca="false">IF(AC1396&lt;判定条件!$C$6,"判定不能",IF(AD1396&gt;=判定条件!$C$7*AC1396,"運転",IF(AD1396&lt;=判定条件!$C$8*AC1396,"停止","断続")))</f>
        <v>判定不能</v>
      </c>
      <c r="AF1396" s="30" t="n">
        <v>60</v>
      </c>
      <c r="AG1396" s="30" t="n">
        <v>0</v>
      </c>
      <c r="AH1396" s="30" t="str">
        <f aca="false">IF(OR(P1396="判定不能",G1396="判定不能"),"判定不能",IF(AG1396&gt;=判定条件!$C$9,"利用可",IF(AND(P1396="停止",G1396="停止"),"両方停止","運転がそろわない")))</f>
        <v>両方停止</v>
      </c>
      <c r="AI1396" s="30" t="n">
        <v>60</v>
      </c>
      <c r="AJ1396" s="30" t="n">
        <v>0</v>
      </c>
      <c r="AK1396" s="30" t="str">
        <f aca="false">IF(OR(S1396="判定不能",J1396="判定不能"),"判定不能",IF(AJ1396&gt;=判定条件!$C$9,"利用可",IF(AND(S1396="停止",J1396="停止"),"両方停止","運転がそろわない")))</f>
        <v>両方停止</v>
      </c>
      <c r="AL1396" s="30" t="n">
        <v>60</v>
      </c>
      <c r="AM1396" s="30" t="n">
        <v>0</v>
      </c>
      <c r="AN1396" s="30" t="str">
        <f aca="false">IF(OR(V1396="判定不能",M1396="判定不能"),"判定不能",IF(AM1396&gt;=判定条件!$C$9,"利用可",IF(AND(V1396="停止",M1396="停止"),"両方停止","運転がそろわない")))</f>
        <v>両方停止</v>
      </c>
      <c r="AO1396" s="30" t="n">
        <v>0</v>
      </c>
      <c r="AP1396" s="30" t="n">
        <v>0</v>
      </c>
      <c r="AQ1396" s="30" t="str">
        <f aca="false">IF(OR(Y1396="判定不能",G1396="判定不能"),"判定不能",IF(AP1396&gt;=判定条件!$C$9,"利用可",IF(AND(Y1396="停止",G1396="停止"),"両方停止","運転がそろわない")))</f>
        <v>判定不能</v>
      </c>
      <c r="AR1396" s="30" t="n">
        <v>0</v>
      </c>
      <c r="AS1396" s="30" t="n">
        <v>0</v>
      </c>
      <c r="AT1396" s="30" t="str">
        <f aca="false">IF(OR(AB1396="判定不能",J1396="判定不能"),"判定不能",IF(AS1396&gt;=判定条件!$C$9,"利用可",IF(AND(AB1396="停止",J1396="停止"),"両方停止","運転がそろわない")))</f>
        <v>判定不能</v>
      </c>
      <c r="AU1396" s="30" t="n">
        <v>0</v>
      </c>
      <c r="AV1396" s="30" t="n">
        <v>0</v>
      </c>
      <c r="AW1396" s="30" t="str">
        <f aca="false">IF(OR(AE1396="判定不能",M1396="判定不能"),"判定不能",IF(AV1396&gt;=判定条件!$C$9,"利用可",IF(AND(AE1396="停止",M1396="停止"),"両方停止","運転がそろわない")))</f>
        <v>判定不能</v>
      </c>
      <c r="AX1396" s="30" t="str">
        <f aca="false">IF(AND(AH1396="利用可",AK1396="利用可",AN1396="利用可"),"利用可","不可")</f>
        <v>不可</v>
      </c>
      <c r="AY1396" s="30" t="str">
        <f aca="false">IF(AND(AQ1396="利用可",AT1396="利用可",AW1396="利用可"),"利用可","不可")</f>
        <v>不可</v>
      </c>
    </row>
    <row r="1397" customFormat="false" ht="15" hidden="false" customHeight="false" outlineLevel="0" collapsed="false">
      <c r="A1397" s="29" t="n">
        <v>46290</v>
      </c>
      <c r="B1397" s="30" t="n">
        <v>2</v>
      </c>
      <c r="C1397" s="31" t="s">
        <v>62</v>
      </c>
      <c r="D1397" s="31" t="s">
        <v>59</v>
      </c>
      <c r="E1397" s="30" t="n">
        <v>60</v>
      </c>
      <c r="F1397" s="30" t="n">
        <v>0</v>
      </c>
      <c r="G1397" s="30" t="str">
        <f aca="false">IF(E1397&lt;判定条件!$C$6,"判定不能",IF(F1397&gt;=判定条件!$C$7*E1397,"運転",IF(F1397&lt;=判定条件!$C$8*E1397,"停止","断続")))</f>
        <v>停止</v>
      </c>
      <c r="H1397" s="30" t="n">
        <v>60</v>
      </c>
      <c r="I1397" s="30" t="n">
        <v>0</v>
      </c>
      <c r="J1397" s="30" t="str">
        <f aca="false">IF(H1397&lt;判定条件!$C$6,"判定不能",IF(I1397&gt;=判定条件!$C$7*H1397,"運転",IF(I1397&lt;=判定条件!$C$8*H1397,"停止","断続")))</f>
        <v>停止</v>
      </c>
      <c r="K1397" s="30" t="n">
        <v>60</v>
      </c>
      <c r="L1397" s="30" t="n">
        <v>0</v>
      </c>
      <c r="M1397" s="30" t="str">
        <f aca="false">IF(K1397&lt;判定条件!$C$6,"判定不能",IF(L1397&gt;=判定条件!$C$7*K1397,"運転",IF(L1397&lt;=判定条件!$C$8*K1397,"停止","断続")))</f>
        <v>停止</v>
      </c>
      <c r="N1397" s="30" t="n">
        <v>60</v>
      </c>
      <c r="O1397" s="30" t="n">
        <v>0</v>
      </c>
      <c r="P1397" s="30" t="str">
        <f aca="false">IF(N1397&lt;判定条件!$C$6,"判定不能",IF(O1397&gt;=判定条件!$C$7*N1397,"運転",IF(O1397&lt;=判定条件!$C$8*N1397,"停止","断続")))</f>
        <v>停止</v>
      </c>
      <c r="Q1397" s="30" t="n">
        <v>60</v>
      </c>
      <c r="R1397" s="30" t="n">
        <v>0</v>
      </c>
      <c r="S1397" s="30" t="str">
        <f aca="false">IF(Q1397&lt;判定条件!$C$6,"判定不能",IF(R1397&gt;=判定条件!$C$7*Q1397,"運転",IF(R1397&lt;=判定条件!$C$8*Q1397,"停止","断続")))</f>
        <v>停止</v>
      </c>
      <c r="T1397" s="30" t="n">
        <v>60</v>
      </c>
      <c r="U1397" s="30" t="n">
        <v>0</v>
      </c>
      <c r="V1397" s="30" t="str">
        <f aca="false">IF(T1397&lt;判定条件!$C$6,"判定不能",IF(U1397&gt;=判定条件!$C$7*T1397,"運転",IF(U1397&lt;=判定条件!$C$8*T1397,"停止","断続")))</f>
        <v>停止</v>
      </c>
      <c r="W1397" s="30" t="n">
        <v>0</v>
      </c>
      <c r="X1397" s="30" t="n">
        <v>0</v>
      </c>
      <c r="Y1397" s="30" t="str">
        <f aca="false">IF(W1397&lt;判定条件!$C$6,"判定不能",IF(X1397&gt;=判定条件!$C$7*W1397,"運転",IF(X1397&lt;=判定条件!$C$8*W1397,"停止","断続")))</f>
        <v>判定不能</v>
      </c>
      <c r="Z1397" s="30" t="n">
        <v>0</v>
      </c>
      <c r="AA1397" s="30" t="n">
        <v>0</v>
      </c>
      <c r="AB1397" s="30" t="str">
        <f aca="false">IF(Z1397&lt;判定条件!$C$6,"判定不能",IF(AA1397&gt;=判定条件!$C$7*Z1397,"運転",IF(AA1397&lt;=判定条件!$C$8*Z1397,"停止","断続")))</f>
        <v>判定不能</v>
      </c>
      <c r="AC1397" s="30" t="n">
        <v>0</v>
      </c>
      <c r="AD1397" s="30" t="n">
        <v>0</v>
      </c>
      <c r="AE1397" s="30" t="str">
        <f aca="false">IF(AC1397&lt;判定条件!$C$6,"判定不能",IF(AD1397&gt;=判定条件!$C$7*AC1397,"運転",IF(AD1397&lt;=判定条件!$C$8*AC1397,"停止","断続")))</f>
        <v>判定不能</v>
      </c>
      <c r="AF1397" s="30" t="n">
        <v>60</v>
      </c>
      <c r="AG1397" s="30" t="n">
        <v>0</v>
      </c>
      <c r="AH1397" s="30" t="str">
        <f aca="false">IF(OR(P1397="判定不能",G1397="判定不能"),"判定不能",IF(AG1397&gt;=判定条件!$C$9,"利用可",IF(AND(P1397="停止",G1397="停止"),"両方停止","運転がそろわない")))</f>
        <v>両方停止</v>
      </c>
      <c r="AI1397" s="30" t="n">
        <v>60</v>
      </c>
      <c r="AJ1397" s="30" t="n">
        <v>0</v>
      </c>
      <c r="AK1397" s="30" t="str">
        <f aca="false">IF(OR(S1397="判定不能",J1397="判定不能"),"判定不能",IF(AJ1397&gt;=判定条件!$C$9,"利用可",IF(AND(S1397="停止",J1397="停止"),"両方停止","運転がそろわない")))</f>
        <v>両方停止</v>
      </c>
      <c r="AL1397" s="30" t="n">
        <v>60</v>
      </c>
      <c r="AM1397" s="30" t="n">
        <v>0</v>
      </c>
      <c r="AN1397" s="30" t="str">
        <f aca="false">IF(OR(V1397="判定不能",M1397="判定不能"),"判定不能",IF(AM1397&gt;=判定条件!$C$9,"利用可",IF(AND(V1397="停止",M1397="停止"),"両方停止","運転がそろわない")))</f>
        <v>両方停止</v>
      </c>
      <c r="AO1397" s="30" t="n">
        <v>0</v>
      </c>
      <c r="AP1397" s="30" t="n">
        <v>0</v>
      </c>
      <c r="AQ1397" s="30" t="str">
        <f aca="false">IF(OR(Y1397="判定不能",G1397="判定不能"),"判定不能",IF(AP1397&gt;=判定条件!$C$9,"利用可",IF(AND(Y1397="停止",G1397="停止"),"両方停止","運転がそろわない")))</f>
        <v>判定不能</v>
      </c>
      <c r="AR1397" s="30" t="n">
        <v>0</v>
      </c>
      <c r="AS1397" s="30" t="n">
        <v>0</v>
      </c>
      <c r="AT1397" s="30" t="str">
        <f aca="false">IF(OR(AB1397="判定不能",J1397="判定不能"),"判定不能",IF(AS1397&gt;=判定条件!$C$9,"利用可",IF(AND(AB1397="停止",J1397="停止"),"両方停止","運転がそろわない")))</f>
        <v>判定不能</v>
      </c>
      <c r="AU1397" s="30" t="n">
        <v>0</v>
      </c>
      <c r="AV1397" s="30" t="n">
        <v>0</v>
      </c>
      <c r="AW1397" s="30" t="str">
        <f aca="false">IF(OR(AE1397="判定不能",M1397="判定不能"),"判定不能",IF(AV1397&gt;=判定条件!$C$9,"利用可",IF(AND(AE1397="停止",M1397="停止"),"両方停止","運転がそろわない")))</f>
        <v>判定不能</v>
      </c>
      <c r="AX1397" s="30" t="str">
        <f aca="false">IF(AND(AH1397="利用可",AK1397="利用可",AN1397="利用可"),"利用可","不可")</f>
        <v>不可</v>
      </c>
      <c r="AY1397" s="30" t="str">
        <f aca="false">IF(AND(AQ1397="利用可",AT1397="利用可",AW1397="利用可"),"利用可","不可")</f>
        <v>不可</v>
      </c>
    </row>
    <row r="1398" customFormat="false" ht="15" hidden="false" customHeight="false" outlineLevel="0" collapsed="false">
      <c r="A1398" s="29" t="n">
        <v>46290</v>
      </c>
      <c r="B1398" s="30" t="n">
        <v>3</v>
      </c>
      <c r="C1398" s="31" t="s">
        <v>62</v>
      </c>
      <c r="D1398" s="31" t="s">
        <v>59</v>
      </c>
      <c r="E1398" s="30" t="n">
        <v>60</v>
      </c>
      <c r="F1398" s="30" t="n">
        <v>0</v>
      </c>
      <c r="G1398" s="30" t="str">
        <f aca="false">IF(E1398&lt;判定条件!$C$6,"判定不能",IF(F1398&gt;=判定条件!$C$7*E1398,"運転",IF(F1398&lt;=判定条件!$C$8*E1398,"停止","断続")))</f>
        <v>停止</v>
      </c>
      <c r="H1398" s="30" t="n">
        <v>60</v>
      </c>
      <c r="I1398" s="30" t="n">
        <v>0</v>
      </c>
      <c r="J1398" s="30" t="str">
        <f aca="false">IF(H1398&lt;判定条件!$C$6,"判定不能",IF(I1398&gt;=判定条件!$C$7*H1398,"運転",IF(I1398&lt;=判定条件!$C$8*H1398,"停止","断続")))</f>
        <v>停止</v>
      </c>
      <c r="K1398" s="30" t="n">
        <v>60</v>
      </c>
      <c r="L1398" s="30" t="n">
        <v>0</v>
      </c>
      <c r="M1398" s="30" t="str">
        <f aca="false">IF(K1398&lt;判定条件!$C$6,"判定不能",IF(L1398&gt;=判定条件!$C$7*K1398,"運転",IF(L1398&lt;=判定条件!$C$8*K1398,"停止","断続")))</f>
        <v>停止</v>
      </c>
      <c r="N1398" s="30" t="n">
        <v>60</v>
      </c>
      <c r="O1398" s="30" t="n">
        <v>0</v>
      </c>
      <c r="P1398" s="30" t="str">
        <f aca="false">IF(N1398&lt;判定条件!$C$6,"判定不能",IF(O1398&gt;=判定条件!$C$7*N1398,"運転",IF(O1398&lt;=判定条件!$C$8*N1398,"停止","断続")))</f>
        <v>停止</v>
      </c>
      <c r="Q1398" s="30" t="n">
        <v>60</v>
      </c>
      <c r="R1398" s="30" t="n">
        <v>0</v>
      </c>
      <c r="S1398" s="30" t="str">
        <f aca="false">IF(Q1398&lt;判定条件!$C$6,"判定不能",IF(R1398&gt;=判定条件!$C$7*Q1398,"運転",IF(R1398&lt;=判定条件!$C$8*Q1398,"停止","断続")))</f>
        <v>停止</v>
      </c>
      <c r="T1398" s="30" t="n">
        <v>60</v>
      </c>
      <c r="U1398" s="30" t="n">
        <v>0</v>
      </c>
      <c r="V1398" s="30" t="str">
        <f aca="false">IF(T1398&lt;判定条件!$C$6,"判定不能",IF(U1398&gt;=判定条件!$C$7*T1398,"運転",IF(U1398&lt;=判定条件!$C$8*T1398,"停止","断続")))</f>
        <v>停止</v>
      </c>
      <c r="W1398" s="30" t="n">
        <v>0</v>
      </c>
      <c r="X1398" s="30" t="n">
        <v>0</v>
      </c>
      <c r="Y1398" s="30" t="str">
        <f aca="false">IF(W1398&lt;判定条件!$C$6,"判定不能",IF(X1398&gt;=判定条件!$C$7*W1398,"運転",IF(X1398&lt;=判定条件!$C$8*W1398,"停止","断続")))</f>
        <v>判定不能</v>
      </c>
      <c r="Z1398" s="30" t="n">
        <v>0</v>
      </c>
      <c r="AA1398" s="30" t="n">
        <v>0</v>
      </c>
      <c r="AB1398" s="30" t="str">
        <f aca="false">IF(Z1398&lt;判定条件!$C$6,"判定不能",IF(AA1398&gt;=判定条件!$C$7*Z1398,"運転",IF(AA1398&lt;=判定条件!$C$8*Z1398,"停止","断続")))</f>
        <v>判定不能</v>
      </c>
      <c r="AC1398" s="30" t="n">
        <v>0</v>
      </c>
      <c r="AD1398" s="30" t="n">
        <v>0</v>
      </c>
      <c r="AE1398" s="30" t="str">
        <f aca="false">IF(AC1398&lt;判定条件!$C$6,"判定不能",IF(AD1398&gt;=判定条件!$C$7*AC1398,"運転",IF(AD1398&lt;=判定条件!$C$8*AC1398,"停止","断続")))</f>
        <v>判定不能</v>
      </c>
      <c r="AF1398" s="30" t="n">
        <v>60</v>
      </c>
      <c r="AG1398" s="30" t="n">
        <v>0</v>
      </c>
      <c r="AH1398" s="30" t="str">
        <f aca="false">IF(OR(P1398="判定不能",G1398="判定不能"),"判定不能",IF(AG1398&gt;=判定条件!$C$9,"利用可",IF(AND(P1398="停止",G1398="停止"),"両方停止","運転がそろわない")))</f>
        <v>両方停止</v>
      </c>
      <c r="AI1398" s="30" t="n">
        <v>60</v>
      </c>
      <c r="AJ1398" s="30" t="n">
        <v>0</v>
      </c>
      <c r="AK1398" s="30" t="str">
        <f aca="false">IF(OR(S1398="判定不能",J1398="判定不能"),"判定不能",IF(AJ1398&gt;=判定条件!$C$9,"利用可",IF(AND(S1398="停止",J1398="停止"),"両方停止","運転がそろわない")))</f>
        <v>両方停止</v>
      </c>
      <c r="AL1398" s="30" t="n">
        <v>60</v>
      </c>
      <c r="AM1398" s="30" t="n">
        <v>0</v>
      </c>
      <c r="AN1398" s="30" t="str">
        <f aca="false">IF(OR(V1398="判定不能",M1398="判定不能"),"判定不能",IF(AM1398&gt;=判定条件!$C$9,"利用可",IF(AND(V1398="停止",M1398="停止"),"両方停止","運転がそろわない")))</f>
        <v>両方停止</v>
      </c>
      <c r="AO1398" s="30" t="n">
        <v>0</v>
      </c>
      <c r="AP1398" s="30" t="n">
        <v>0</v>
      </c>
      <c r="AQ1398" s="30" t="str">
        <f aca="false">IF(OR(Y1398="判定不能",G1398="判定不能"),"判定不能",IF(AP1398&gt;=判定条件!$C$9,"利用可",IF(AND(Y1398="停止",G1398="停止"),"両方停止","運転がそろわない")))</f>
        <v>判定不能</v>
      </c>
      <c r="AR1398" s="30" t="n">
        <v>0</v>
      </c>
      <c r="AS1398" s="30" t="n">
        <v>0</v>
      </c>
      <c r="AT1398" s="30" t="str">
        <f aca="false">IF(OR(AB1398="判定不能",J1398="判定不能"),"判定不能",IF(AS1398&gt;=判定条件!$C$9,"利用可",IF(AND(AB1398="停止",J1398="停止"),"両方停止","運転がそろわない")))</f>
        <v>判定不能</v>
      </c>
      <c r="AU1398" s="30" t="n">
        <v>0</v>
      </c>
      <c r="AV1398" s="30" t="n">
        <v>0</v>
      </c>
      <c r="AW1398" s="30" t="str">
        <f aca="false">IF(OR(AE1398="判定不能",M1398="判定不能"),"判定不能",IF(AV1398&gt;=判定条件!$C$9,"利用可",IF(AND(AE1398="停止",M1398="停止"),"両方停止","運転がそろわない")))</f>
        <v>判定不能</v>
      </c>
      <c r="AX1398" s="30" t="str">
        <f aca="false">IF(AND(AH1398="利用可",AK1398="利用可",AN1398="利用可"),"利用可","不可")</f>
        <v>不可</v>
      </c>
      <c r="AY1398" s="30" t="str">
        <f aca="false">IF(AND(AQ1398="利用可",AT1398="利用可",AW1398="利用可"),"利用可","不可")</f>
        <v>不可</v>
      </c>
    </row>
    <row r="1399" customFormat="false" ht="15" hidden="false" customHeight="false" outlineLevel="0" collapsed="false">
      <c r="A1399" s="29" t="n">
        <v>46290</v>
      </c>
      <c r="B1399" s="30" t="n">
        <v>4</v>
      </c>
      <c r="C1399" s="31" t="s">
        <v>62</v>
      </c>
      <c r="D1399" s="31" t="s">
        <v>59</v>
      </c>
      <c r="E1399" s="30" t="n">
        <v>60</v>
      </c>
      <c r="F1399" s="30" t="n">
        <v>0</v>
      </c>
      <c r="G1399" s="30" t="str">
        <f aca="false">IF(E1399&lt;判定条件!$C$6,"判定不能",IF(F1399&gt;=判定条件!$C$7*E1399,"運転",IF(F1399&lt;=判定条件!$C$8*E1399,"停止","断続")))</f>
        <v>停止</v>
      </c>
      <c r="H1399" s="30" t="n">
        <v>60</v>
      </c>
      <c r="I1399" s="30" t="n">
        <v>0</v>
      </c>
      <c r="J1399" s="30" t="str">
        <f aca="false">IF(H1399&lt;判定条件!$C$6,"判定不能",IF(I1399&gt;=判定条件!$C$7*H1399,"運転",IF(I1399&lt;=判定条件!$C$8*H1399,"停止","断続")))</f>
        <v>停止</v>
      </c>
      <c r="K1399" s="30" t="n">
        <v>60</v>
      </c>
      <c r="L1399" s="30" t="n">
        <v>0</v>
      </c>
      <c r="M1399" s="30" t="str">
        <f aca="false">IF(K1399&lt;判定条件!$C$6,"判定不能",IF(L1399&gt;=判定条件!$C$7*K1399,"運転",IF(L1399&lt;=判定条件!$C$8*K1399,"停止","断続")))</f>
        <v>停止</v>
      </c>
      <c r="N1399" s="30" t="n">
        <v>60</v>
      </c>
      <c r="O1399" s="30" t="n">
        <v>0</v>
      </c>
      <c r="P1399" s="30" t="str">
        <f aca="false">IF(N1399&lt;判定条件!$C$6,"判定不能",IF(O1399&gt;=判定条件!$C$7*N1399,"運転",IF(O1399&lt;=判定条件!$C$8*N1399,"停止","断続")))</f>
        <v>停止</v>
      </c>
      <c r="Q1399" s="30" t="n">
        <v>60</v>
      </c>
      <c r="R1399" s="30" t="n">
        <v>0</v>
      </c>
      <c r="S1399" s="30" t="str">
        <f aca="false">IF(Q1399&lt;判定条件!$C$6,"判定不能",IF(R1399&gt;=判定条件!$C$7*Q1399,"運転",IF(R1399&lt;=判定条件!$C$8*Q1399,"停止","断続")))</f>
        <v>停止</v>
      </c>
      <c r="T1399" s="30" t="n">
        <v>60</v>
      </c>
      <c r="U1399" s="30" t="n">
        <v>0</v>
      </c>
      <c r="V1399" s="30" t="str">
        <f aca="false">IF(T1399&lt;判定条件!$C$6,"判定不能",IF(U1399&gt;=判定条件!$C$7*T1399,"運転",IF(U1399&lt;=判定条件!$C$8*T1399,"停止","断続")))</f>
        <v>停止</v>
      </c>
      <c r="W1399" s="30" t="n">
        <v>0</v>
      </c>
      <c r="X1399" s="30" t="n">
        <v>0</v>
      </c>
      <c r="Y1399" s="30" t="str">
        <f aca="false">IF(W1399&lt;判定条件!$C$6,"判定不能",IF(X1399&gt;=判定条件!$C$7*W1399,"運転",IF(X1399&lt;=判定条件!$C$8*W1399,"停止","断続")))</f>
        <v>判定不能</v>
      </c>
      <c r="Z1399" s="30" t="n">
        <v>0</v>
      </c>
      <c r="AA1399" s="30" t="n">
        <v>0</v>
      </c>
      <c r="AB1399" s="30" t="str">
        <f aca="false">IF(Z1399&lt;判定条件!$C$6,"判定不能",IF(AA1399&gt;=判定条件!$C$7*Z1399,"運転",IF(AA1399&lt;=判定条件!$C$8*Z1399,"停止","断続")))</f>
        <v>判定不能</v>
      </c>
      <c r="AC1399" s="30" t="n">
        <v>0</v>
      </c>
      <c r="AD1399" s="30" t="n">
        <v>0</v>
      </c>
      <c r="AE1399" s="30" t="str">
        <f aca="false">IF(AC1399&lt;判定条件!$C$6,"判定不能",IF(AD1399&gt;=判定条件!$C$7*AC1399,"運転",IF(AD1399&lt;=判定条件!$C$8*AC1399,"停止","断続")))</f>
        <v>判定不能</v>
      </c>
      <c r="AF1399" s="30" t="n">
        <v>60</v>
      </c>
      <c r="AG1399" s="30" t="n">
        <v>0</v>
      </c>
      <c r="AH1399" s="30" t="str">
        <f aca="false">IF(OR(P1399="判定不能",G1399="判定不能"),"判定不能",IF(AG1399&gt;=判定条件!$C$9,"利用可",IF(AND(P1399="停止",G1399="停止"),"両方停止","運転がそろわない")))</f>
        <v>両方停止</v>
      </c>
      <c r="AI1399" s="30" t="n">
        <v>60</v>
      </c>
      <c r="AJ1399" s="30" t="n">
        <v>0</v>
      </c>
      <c r="AK1399" s="30" t="str">
        <f aca="false">IF(OR(S1399="判定不能",J1399="判定不能"),"判定不能",IF(AJ1399&gt;=判定条件!$C$9,"利用可",IF(AND(S1399="停止",J1399="停止"),"両方停止","運転がそろわない")))</f>
        <v>両方停止</v>
      </c>
      <c r="AL1399" s="30" t="n">
        <v>60</v>
      </c>
      <c r="AM1399" s="30" t="n">
        <v>0</v>
      </c>
      <c r="AN1399" s="30" t="str">
        <f aca="false">IF(OR(V1399="判定不能",M1399="判定不能"),"判定不能",IF(AM1399&gt;=判定条件!$C$9,"利用可",IF(AND(V1399="停止",M1399="停止"),"両方停止","運転がそろわない")))</f>
        <v>両方停止</v>
      </c>
      <c r="AO1399" s="30" t="n">
        <v>0</v>
      </c>
      <c r="AP1399" s="30" t="n">
        <v>0</v>
      </c>
      <c r="AQ1399" s="30" t="str">
        <f aca="false">IF(OR(Y1399="判定不能",G1399="判定不能"),"判定不能",IF(AP1399&gt;=判定条件!$C$9,"利用可",IF(AND(Y1399="停止",G1399="停止"),"両方停止","運転がそろわない")))</f>
        <v>判定不能</v>
      </c>
      <c r="AR1399" s="30" t="n">
        <v>0</v>
      </c>
      <c r="AS1399" s="30" t="n">
        <v>0</v>
      </c>
      <c r="AT1399" s="30" t="str">
        <f aca="false">IF(OR(AB1399="判定不能",J1399="判定不能"),"判定不能",IF(AS1399&gt;=判定条件!$C$9,"利用可",IF(AND(AB1399="停止",J1399="停止"),"両方停止","運転がそろわない")))</f>
        <v>判定不能</v>
      </c>
      <c r="AU1399" s="30" t="n">
        <v>0</v>
      </c>
      <c r="AV1399" s="30" t="n">
        <v>0</v>
      </c>
      <c r="AW1399" s="30" t="str">
        <f aca="false">IF(OR(AE1399="判定不能",M1399="判定不能"),"判定不能",IF(AV1399&gt;=判定条件!$C$9,"利用可",IF(AND(AE1399="停止",M1399="停止"),"両方停止","運転がそろわない")))</f>
        <v>判定不能</v>
      </c>
      <c r="AX1399" s="30" t="str">
        <f aca="false">IF(AND(AH1399="利用可",AK1399="利用可",AN1399="利用可"),"利用可","不可")</f>
        <v>不可</v>
      </c>
      <c r="AY1399" s="30" t="str">
        <f aca="false">IF(AND(AQ1399="利用可",AT1399="利用可",AW1399="利用可"),"利用可","不可")</f>
        <v>不可</v>
      </c>
    </row>
    <row r="1400" customFormat="false" ht="15" hidden="false" customHeight="false" outlineLevel="0" collapsed="false">
      <c r="A1400" s="29" t="n">
        <v>46290</v>
      </c>
      <c r="B1400" s="30" t="n">
        <v>5</v>
      </c>
      <c r="C1400" s="31" t="s">
        <v>62</v>
      </c>
      <c r="D1400" s="31" t="s">
        <v>59</v>
      </c>
      <c r="E1400" s="30" t="n">
        <v>60</v>
      </c>
      <c r="F1400" s="30" t="n">
        <v>0</v>
      </c>
      <c r="G1400" s="30" t="str">
        <f aca="false">IF(E1400&lt;判定条件!$C$6,"判定不能",IF(F1400&gt;=判定条件!$C$7*E1400,"運転",IF(F1400&lt;=判定条件!$C$8*E1400,"停止","断続")))</f>
        <v>停止</v>
      </c>
      <c r="H1400" s="30" t="n">
        <v>60</v>
      </c>
      <c r="I1400" s="30" t="n">
        <v>0</v>
      </c>
      <c r="J1400" s="30" t="str">
        <f aca="false">IF(H1400&lt;判定条件!$C$6,"判定不能",IF(I1400&gt;=判定条件!$C$7*H1400,"運転",IF(I1400&lt;=判定条件!$C$8*H1400,"停止","断続")))</f>
        <v>停止</v>
      </c>
      <c r="K1400" s="30" t="n">
        <v>60</v>
      </c>
      <c r="L1400" s="30" t="n">
        <v>0</v>
      </c>
      <c r="M1400" s="30" t="str">
        <f aca="false">IF(K1400&lt;判定条件!$C$6,"判定不能",IF(L1400&gt;=判定条件!$C$7*K1400,"運転",IF(L1400&lt;=判定条件!$C$8*K1400,"停止","断続")))</f>
        <v>停止</v>
      </c>
      <c r="N1400" s="30" t="n">
        <v>60</v>
      </c>
      <c r="O1400" s="30" t="n">
        <v>0</v>
      </c>
      <c r="P1400" s="30" t="str">
        <f aca="false">IF(N1400&lt;判定条件!$C$6,"判定不能",IF(O1400&gt;=判定条件!$C$7*N1400,"運転",IF(O1400&lt;=判定条件!$C$8*N1400,"停止","断続")))</f>
        <v>停止</v>
      </c>
      <c r="Q1400" s="30" t="n">
        <v>60</v>
      </c>
      <c r="R1400" s="30" t="n">
        <v>0</v>
      </c>
      <c r="S1400" s="30" t="str">
        <f aca="false">IF(Q1400&lt;判定条件!$C$6,"判定不能",IF(R1400&gt;=判定条件!$C$7*Q1400,"運転",IF(R1400&lt;=判定条件!$C$8*Q1400,"停止","断続")))</f>
        <v>停止</v>
      </c>
      <c r="T1400" s="30" t="n">
        <v>60</v>
      </c>
      <c r="U1400" s="30" t="n">
        <v>0</v>
      </c>
      <c r="V1400" s="30" t="str">
        <f aca="false">IF(T1400&lt;判定条件!$C$6,"判定不能",IF(U1400&gt;=判定条件!$C$7*T1400,"運転",IF(U1400&lt;=判定条件!$C$8*T1400,"停止","断続")))</f>
        <v>停止</v>
      </c>
      <c r="W1400" s="30" t="n">
        <v>0</v>
      </c>
      <c r="X1400" s="30" t="n">
        <v>0</v>
      </c>
      <c r="Y1400" s="30" t="str">
        <f aca="false">IF(W1400&lt;判定条件!$C$6,"判定不能",IF(X1400&gt;=判定条件!$C$7*W1400,"運転",IF(X1400&lt;=判定条件!$C$8*W1400,"停止","断続")))</f>
        <v>判定不能</v>
      </c>
      <c r="Z1400" s="30" t="n">
        <v>0</v>
      </c>
      <c r="AA1400" s="30" t="n">
        <v>0</v>
      </c>
      <c r="AB1400" s="30" t="str">
        <f aca="false">IF(Z1400&lt;判定条件!$C$6,"判定不能",IF(AA1400&gt;=判定条件!$C$7*Z1400,"運転",IF(AA1400&lt;=判定条件!$C$8*Z1400,"停止","断続")))</f>
        <v>判定不能</v>
      </c>
      <c r="AC1400" s="30" t="n">
        <v>0</v>
      </c>
      <c r="AD1400" s="30" t="n">
        <v>0</v>
      </c>
      <c r="AE1400" s="30" t="str">
        <f aca="false">IF(AC1400&lt;判定条件!$C$6,"判定不能",IF(AD1400&gt;=判定条件!$C$7*AC1400,"運転",IF(AD1400&lt;=判定条件!$C$8*AC1400,"停止","断続")))</f>
        <v>判定不能</v>
      </c>
      <c r="AF1400" s="30" t="n">
        <v>60</v>
      </c>
      <c r="AG1400" s="30" t="n">
        <v>0</v>
      </c>
      <c r="AH1400" s="30" t="str">
        <f aca="false">IF(OR(P1400="判定不能",G1400="判定不能"),"判定不能",IF(AG1400&gt;=判定条件!$C$9,"利用可",IF(AND(P1400="停止",G1400="停止"),"両方停止","運転がそろわない")))</f>
        <v>両方停止</v>
      </c>
      <c r="AI1400" s="30" t="n">
        <v>60</v>
      </c>
      <c r="AJ1400" s="30" t="n">
        <v>0</v>
      </c>
      <c r="AK1400" s="30" t="str">
        <f aca="false">IF(OR(S1400="判定不能",J1400="判定不能"),"判定不能",IF(AJ1400&gt;=判定条件!$C$9,"利用可",IF(AND(S1400="停止",J1400="停止"),"両方停止","運転がそろわない")))</f>
        <v>両方停止</v>
      </c>
      <c r="AL1400" s="30" t="n">
        <v>60</v>
      </c>
      <c r="AM1400" s="30" t="n">
        <v>0</v>
      </c>
      <c r="AN1400" s="30" t="str">
        <f aca="false">IF(OR(V1400="判定不能",M1400="判定不能"),"判定不能",IF(AM1400&gt;=判定条件!$C$9,"利用可",IF(AND(V1400="停止",M1400="停止"),"両方停止","運転がそろわない")))</f>
        <v>両方停止</v>
      </c>
      <c r="AO1400" s="30" t="n">
        <v>0</v>
      </c>
      <c r="AP1400" s="30" t="n">
        <v>0</v>
      </c>
      <c r="AQ1400" s="30" t="str">
        <f aca="false">IF(OR(Y1400="判定不能",G1400="判定不能"),"判定不能",IF(AP1400&gt;=判定条件!$C$9,"利用可",IF(AND(Y1400="停止",G1400="停止"),"両方停止","運転がそろわない")))</f>
        <v>判定不能</v>
      </c>
      <c r="AR1400" s="30" t="n">
        <v>0</v>
      </c>
      <c r="AS1400" s="30" t="n">
        <v>0</v>
      </c>
      <c r="AT1400" s="30" t="str">
        <f aca="false">IF(OR(AB1400="判定不能",J1400="判定不能"),"判定不能",IF(AS1400&gt;=判定条件!$C$9,"利用可",IF(AND(AB1400="停止",J1400="停止"),"両方停止","運転がそろわない")))</f>
        <v>判定不能</v>
      </c>
      <c r="AU1400" s="30" t="n">
        <v>0</v>
      </c>
      <c r="AV1400" s="30" t="n">
        <v>0</v>
      </c>
      <c r="AW1400" s="30" t="str">
        <f aca="false">IF(OR(AE1400="判定不能",M1400="判定不能"),"判定不能",IF(AV1400&gt;=判定条件!$C$9,"利用可",IF(AND(AE1400="停止",M1400="停止"),"両方停止","運転がそろわない")))</f>
        <v>判定不能</v>
      </c>
      <c r="AX1400" s="30" t="str">
        <f aca="false">IF(AND(AH1400="利用可",AK1400="利用可",AN1400="利用可"),"利用可","不可")</f>
        <v>不可</v>
      </c>
      <c r="AY1400" s="30" t="str">
        <f aca="false">IF(AND(AQ1400="利用可",AT1400="利用可",AW1400="利用可"),"利用可","不可")</f>
        <v>不可</v>
      </c>
    </row>
    <row r="1401" customFormat="false" ht="15" hidden="false" customHeight="false" outlineLevel="0" collapsed="false">
      <c r="A1401" s="29" t="n">
        <v>46290</v>
      </c>
      <c r="B1401" s="30" t="n">
        <v>6</v>
      </c>
      <c r="C1401" s="31" t="s">
        <v>62</v>
      </c>
      <c r="D1401" s="31" t="s">
        <v>59</v>
      </c>
      <c r="E1401" s="30" t="n">
        <v>60</v>
      </c>
      <c r="F1401" s="30" t="n">
        <v>0</v>
      </c>
      <c r="G1401" s="30" t="str">
        <f aca="false">IF(E1401&lt;判定条件!$C$6,"判定不能",IF(F1401&gt;=判定条件!$C$7*E1401,"運転",IF(F1401&lt;=判定条件!$C$8*E1401,"停止","断続")))</f>
        <v>停止</v>
      </c>
      <c r="H1401" s="30" t="n">
        <v>60</v>
      </c>
      <c r="I1401" s="30" t="n">
        <v>0</v>
      </c>
      <c r="J1401" s="30" t="str">
        <f aca="false">IF(H1401&lt;判定条件!$C$6,"判定不能",IF(I1401&gt;=判定条件!$C$7*H1401,"運転",IF(I1401&lt;=判定条件!$C$8*H1401,"停止","断続")))</f>
        <v>停止</v>
      </c>
      <c r="K1401" s="30" t="n">
        <v>60</v>
      </c>
      <c r="L1401" s="30" t="n">
        <v>0</v>
      </c>
      <c r="M1401" s="30" t="str">
        <f aca="false">IF(K1401&lt;判定条件!$C$6,"判定不能",IF(L1401&gt;=判定条件!$C$7*K1401,"運転",IF(L1401&lt;=判定条件!$C$8*K1401,"停止","断続")))</f>
        <v>停止</v>
      </c>
      <c r="N1401" s="30" t="n">
        <v>60</v>
      </c>
      <c r="O1401" s="30" t="n">
        <v>8</v>
      </c>
      <c r="P1401" s="30" t="str">
        <f aca="false">IF(N1401&lt;判定条件!$C$6,"判定不能",IF(O1401&gt;=判定条件!$C$7*N1401,"運転",IF(O1401&lt;=判定条件!$C$8*N1401,"停止","断続")))</f>
        <v>停止</v>
      </c>
      <c r="Q1401" s="30" t="n">
        <v>60</v>
      </c>
      <c r="R1401" s="30" t="n">
        <v>10</v>
      </c>
      <c r="S1401" s="30" t="str">
        <f aca="false">IF(Q1401&lt;判定条件!$C$6,"判定不能",IF(R1401&gt;=判定条件!$C$7*Q1401,"運転",IF(R1401&lt;=判定条件!$C$8*Q1401,"停止","断続")))</f>
        <v>停止</v>
      </c>
      <c r="T1401" s="30" t="n">
        <v>60</v>
      </c>
      <c r="U1401" s="30" t="n">
        <v>6</v>
      </c>
      <c r="V1401" s="30" t="str">
        <f aca="false">IF(T1401&lt;判定条件!$C$6,"判定不能",IF(U1401&gt;=判定条件!$C$7*T1401,"運転",IF(U1401&lt;=判定条件!$C$8*T1401,"停止","断続")))</f>
        <v>停止</v>
      </c>
      <c r="W1401" s="30" t="n">
        <v>0</v>
      </c>
      <c r="X1401" s="30" t="n">
        <v>0</v>
      </c>
      <c r="Y1401" s="30" t="str">
        <f aca="false">IF(W1401&lt;判定条件!$C$6,"判定不能",IF(X1401&gt;=判定条件!$C$7*W1401,"運転",IF(X1401&lt;=判定条件!$C$8*W1401,"停止","断続")))</f>
        <v>判定不能</v>
      </c>
      <c r="Z1401" s="30" t="n">
        <v>0</v>
      </c>
      <c r="AA1401" s="30" t="n">
        <v>0</v>
      </c>
      <c r="AB1401" s="30" t="str">
        <f aca="false">IF(Z1401&lt;判定条件!$C$6,"判定不能",IF(AA1401&gt;=判定条件!$C$7*Z1401,"運転",IF(AA1401&lt;=判定条件!$C$8*Z1401,"停止","断続")))</f>
        <v>判定不能</v>
      </c>
      <c r="AC1401" s="30" t="n">
        <v>0</v>
      </c>
      <c r="AD1401" s="30" t="n">
        <v>0</v>
      </c>
      <c r="AE1401" s="30" t="str">
        <f aca="false">IF(AC1401&lt;判定条件!$C$6,"判定不能",IF(AD1401&gt;=判定条件!$C$7*AC1401,"運転",IF(AD1401&lt;=判定条件!$C$8*AC1401,"停止","断続")))</f>
        <v>判定不能</v>
      </c>
      <c r="AF1401" s="30" t="n">
        <v>60</v>
      </c>
      <c r="AG1401" s="30" t="n">
        <v>0</v>
      </c>
      <c r="AH1401" s="30" t="str">
        <f aca="false">IF(OR(P1401="判定不能",G1401="判定不能"),"判定不能",IF(AG1401&gt;=判定条件!$C$9,"利用可",IF(AND(P1401="停止",G1401="停止"),"両方停止","運転がそろわない")))</f>
        <v>両方停止</v>
      </c>
      <c r="AI1401" s="30" t="n">
        <v>60</v>
      </c>
      <c r="AJ1401" s="30" t="n">
        <v>0</v>
      </c>
      <c r="AK1401" s="30" t="str">
        <f aca="false">IF(OR(S1401="判定不能",J1401="判定不能"),"判定不能",IF(AJ1401&gt;=判定条件!$C$9,"利用可",IF(AND(S1401="停止",J1401="停止"),"両方停止","運転がそろわない")))</f>
        <v>両方停止</v>
      </c>
      <c r="AL1401" s="30" t="n">
        <v>60</v>
      </c>
      <c r="AM1401" s="30" t="n">
        <v>0</v>
      </c>
      <c r="AN1401" s="30" t="str">
        <f aca="false">IF(OR(V1401="判定不能",M1401="判定不能"),"判定不能",IF(AM1401&gt;=判定条件!$C$9,"利用可",IF(AND(V1401="停止",M1401="停止"),"両方停止","運転がそろわない")))</f>
        <v>両方停止</v>
      </c>
      <c r="AO1401" s="30" t="n">
        <v>0</v>
      </c>
      <c r="AP1401" s="30" t="n">
        <v>0</v>
      </c>
      <c r="AQ1401" s="30" t="str">
        <f aca="false">IF(OR(Y1401="判定不能",G1401="判定不能"),"判定不能",IF(AP1401&gt;=判定条件!$C$9,"利用可",IF(AND(Y1401="停止",G1401="停止"),"両方停止","運転がそろわない")))</f>
        <v>判定不能</v>
      </c>
      <c r="AR1401" s="30" t="n">
        <v>0</v>
      </c>
      <c r="AS1401" s="30" t="n">
        <v>0</v>
      </c>
      <c r="AT1401" s="30" t="str">
        <f aca="false">IF(OR(AB1401="判定不能",J1401="判定不能"),"判定不能",IF(AS1401&gt;=判定条件!$C$9,"利用可",IF(AND(AB1401="停止",J1401="停止"),"両方停止","運転がそろわない")))</f>
        <v>判定不能</v>
      </c>
      <c r="AU1401" s="30" t="n">
        <v>0</v>
      </c>
      <c r="AV1401" s="30" t="n">
        <v>0</v>
      </c>
      <c r="AW1401" s="30" t="str">
        <f aca="false">IF(OR(AE1401="判定不能",M1401="判定不能"),"判定不能",IF(AV1401&gt;=判定条件!$C$9,"利用可",IF(AND(AE1401="停止",M1401="停止"),"両方停止","運転がそろわない")))</f>
        <v>判定不能</v>
      </c>
      <c r="AX1401" s="30" t="str">
        <f aca="false">IF(AND(AH1401="利用可",AK1401="利用可",AN1401="利用可"),"利用可","不可")</f>
        <v>不可</v>
      </c>
      <c r="AY1401" s="30" t="str">
        <f aca="false">IF(AND(AQ1401="利用可",AT1401="利用可",AW1401="利用可"),"利用可","不可")</f>
        <v>不可</v>
      </c>
    </row>
    <row r="1402" customFormat="false" ht="15" hidden="false" customHeight="false" outlineLevel="0" collapsed="false">
      <c r="A1402" s="29" t="n">
        <v>46290</v>
      </c>
      <c r="B1402" s="30" t="n">
        <v>7</v>
      </c>
      <c r="C1402" s="31" t="s">
        <v>62</v>
      </c>
      <c r="D1402" s="31" t="s">
        <v>59</v>
      </c>
      <c r="E1402" s="30" t="n">
        <v>60</v>
      </c>
      <c r="F1402" s="30" t="n">
        <v>6</v>
      </c>
      <c r="G1402" s="30" t="str">
        <f aca="false">IF(E1402&lt;判定条件!$C$6,"判定不能",IF(F1402&gt;=判定条件!$C$7*E1402,"運転",IF(F1402&lt;=判定条件!$C$8*E1402,"停止","断続")))</f>
        <v>停止</v>
      </c>
      <c r="H1402" s="30" t="n">
        <v>60</v>
      </c>
      <c r="I1402" s="30" t="n">
        <v>0</v>
      </c>
      <c r="J1402" s="30" t="str">
        <f aca="false">IF(H1402&lt;判定条件!$C$6,"判定不能",IF(I1402&gt;=判定条件!$C$7*H1402,"運転",IF(I1402&lt;=判定条件!$C$8*H1402,"停止","断続")))</f>
        <v>停止</v>
      </c>
      <c r="K1402" s="30" t="n">
        <v>60</v>
      </c>
      <c r="L1402" s="30" t="n">
        <v>0</v>
      </c>
      <c r="M1402" s="30" t="str">
        <f aca="false">IF(K1402&lt;判定条件!$C$6,"判定不能",IF(L1402&gt;=判定条件!$C$7*K1402,"運転",IF(L1402&lt;=判定条件!$C$8*K1402,"停止","断続")))</f>
        <v>停止</v>
      </c>
      <c r="N1402" s="30" t="n">
        <v>60</v>
      </c>
      <c r="O1402" s="30" t="n">
        <v>60</v>
      </c>
      <c r="P1402" s="30" t="str">
        <f aca="false">IF(N1402&lt;判定条件!$C$6,"判定不能",IF(O1402&gt;=判定条件!$C$7*N1402,"運転",IF(O1402&lt;=判定条件!$C$8*N1402,"停止","断続")))</f>
        <v>運転</v>
      </c>
      <c r="Q1402" s="30" t="n">
        <v>60</v>
      </c>
      <c r="R1402" s="30" t="n">
        <v>53</v>
      </c>
      <c r="S1402" s="30" t="str">
        <f aca="false">IF(Q1402&lt;判定条件!$C$6,"判定不能",IF(R1402&gt;=判定条件!$C$7*Q1402,"運転",IF(R1402&lt;=判定条件!$C$8*Q1402,"停止","断続")))</f>
        <v>運転</v>
      </c>
      <c r="T1402" s="30" t="n">
        <v>60</v>
      </c>
      <c r="U1402" s="30" t="n">
        <v>60</v>
      </c>
      <c r="V1402" s="30" t="str">
        <f aca="false">IF(T1402&lt;判定条件!$C$6,"判定不能",IF(U1402&gt;=判定条件!$C$7*T1402,"運転",IF(U1402&lt;=判定条件!$C$8*T1402,"停止","断続")))</f>
        <v>運転</v>
      </c>
      <c r="W1402" s="30" t="n">
        <v>0</v>
      </c>
      <c r="X1402" s="30" t="n">
        <v>0</v>
      </c>
      <c r="Y1402" s="30" t="str">
        <f aca="false">IF(W1402&lt;判定条件!$C$6,"判定不能",IF(X1402&gt;=判定条件!$C$7*W1402,"運転",IF(X1402&lt;=判定条件!$C$8*W1402,"停止","断続")))</f>
        <v>判定不能</v>
      </c>
      <c r="Z1402" s="30" t="n">
        <v>0</v>
      </c>
      <c r="AA1402" s="30" t="n">
        <v>0</v>
      </c>
      <c r="AB1402" s="30" t="str">
        <f aca="false">IF(Z1402&lt;判定条件!$C$6,"判定不能",IF(AA1402&gt;=判定条件!$C$7*Z1402,"運転",IF(AA1402&lt;=判定条件!$C$8*Z1402,"停止","断続")))</f>
        <v>判定不能</v>
      </c>
      <c r="AC1402" s="30" t="n">
        <v>0</v>
      </c>
      <c r="AD1402" s="30" t="n">
        <v>0</v>
      </c>
      <c r="AE1402" s="30" t="str">
        <f aca="false">IF(AC1402&lt;判定条件!$C$6,"判定不能",IF(AD1402&gt;=判定条件!$C$7*AC1402,"運転",IF(AD1402&lt;=判定条件!$C$8*AC1402,"停止","断続")))</f>
        <v>判定不能</v>
      </c>
      <c r="AF1402" s="30" t="n">
        <v>60</v>
      </c>
      <c r="AG1402" s="30" t="n">
        <v>6</v>
      </c>
      <c r="AH1402" s="30" t="str">
        <f aca="false">IF(OR(P1402="判定不能",G1402="判定不能"),"判定不能",IF(AG1402&gt;=判定条件!$C$9,"利用可",IF(AND(P1402="停止",G1402="停止"),"両方停止","運転がそろわない")))</f>
        <v>運転がそろわない</v>
      </c>
      <c r="AI1402" s="30" t="n">
        <v>60</v>
      </c>
      <c r="AJ1402" s="30" t="n">
        <v>0</v>
      </c>
      <c r="AK1402" s="30" t="str">
        <f aca="false">IF(OR(S1402="判定不能",J1402="判定不能"),"判定不能",IF(AJ1402&gt;=判定条件!$C$9,"利用可",IF(AND(S1402="停止",J1402="停止"),"両方停止","運転がそろわない")))</f>
        <v>運転がそろわない</v>
      </c>
      <c r="AL1402" s="30" t="n">
        <v>60</v>
      </c>
      <c r="AM1402" s="30" t="n">
        <v>0</v>
      </c>
      <c r="AN1402" s="30" t="str">
        <f aca="false">IF(OR(V1402="判定不能",M1402="判定不能"),"判定不能",IF(AM1402&gt;=判定条件!$C$9,"利用可",IF(AND(V1402="停止",M1402="停止"),"両方停止","運転がそろわない")))</f>
        <v>運転がそろわない</v>
      </c>
      <c r="AO1402" s="30" t="n">
        <v>0</v>
      </c>
      <c r="AP1402" s="30" t="n">
        <v>0</v>
      </c>
      <c r="AQ1402" s="30" t="str">
        <f aca="false">IF(OR(Y1402="判定不能",G1402="判定不能"),"判定不能",IF(AP1402&gt;=判定条件!$C$9,"利用可",IF(AND(Y1402="停止",G1402="停止"),"両方停止","運転がそろわない")))</f>
        <v>判定不能</v>
      </c>
      <c r="AR1402" s="30" t="n">
        <v>0</v>
      </c>
      <c r="AS1402" s="30" t="n">
        <v>0</v>
      </c>
      <c r="AT1402" s="30" t="str">
        <f aca="false">IF(OR(AB1402="判定不能",J1402="判定不能"),"判定不能",IF(AS1402&gt;=判定条件!$C$9,"利用可",IF(AND(AB1402="停止",J1402="停止"),"両方停止","運転がそろわない")))</f>
        <v>判定不能</v>
      </c>
      <c r="AU1402" s="30" t="n">
        <v>0</v>
      </c>
      <c r="AV1402" s="30" t="n">
        <v>0</v>
      </c>
      <c r="AW1402" s="30" t="str">
        <f aca="false">IF(OR(AE1402="判定不能",M1402="判定不能"),"判定不能",IF(AV1402&gt;=判定条件!$C$9,"利用可",IF(AND(AE1402="停止",M1402="停止"),"両方停止","運転がそろわない")))</f>
        <v>判定不能</v>
      </c>
      <c r="AX1402" s="30" t="str">
        <f aca="false">IF(AND(AH1402="利用可",AK1402="利用可",AN1402="利用可"),"利用可","不可")</f>
        <v>不可</v>
      </c>
      <c r="AY1402" s="30" t="str">
        <f aca="false">IF(AND(AQ1402="利用可",AT1402="利用可",AW1402="利用可"),"利用可","不可")</f>
        <v>不可</v>
      </c>
    </row>
    <row r="1403" customFormat="false" ht="15" hidden="false" customHeight="false" outlineLevel="0" collapsed="false">
      <c r="A1403" s="29" t="n">
        <v>46290</v>
      </c>
      <c r="B1403" s="30" t="n">
        <v>8</v>
      </c>
      <c r="C1403" s="31" t="s">
        <v>62</v>
      </c>
      <c r="D1403" s="31" t="s">
        <v>59</v>
      </c>
      <c r="E1403" s="30" t="n">
        <v>60</v>
      </c>
      <c r="F1403" s="30" t="n">
        <v>35</v>
      </c>
      <c r="G1403" s="30" t="str">
        <f aca="false">IF(E1403&lt;判定条件!$C$6,"判定不能",IF(F1403&gt;=判定条件!$C$7*E1403,"運転",IF(F1403&lt;=判定条件!$C$8*E1403,"停止","断続")))</f>
        <v>断続</v>
      </c>
      <c r="H1403" s="30" t="n">
        <v>60</v>
      </c>
      <c r="I1403" s="30" t="n">
        <v>5</v>
      </c>
      <c r="J1403" s="30" t="str">
        <f aca="false">IF(H1403&lt;判定条件!$C$6,"判定不能",IF(I1403&gt;=判定条件!$C$7*H1403,"運転",IF(I1403&lt;=判定条件!$C$8*H1403,"停止","断続")))</f>
        <v>停止</v>
      </c>
      <c r="K1403" s="30" t="n">
        <v>60</v>
      </c>
      <c r="L1403" s="30" t="n">
        <v>0</v>
      </c>
      <c r="M1403" s="30" t="str">
        <f aca="false">IF(K1403&lt;判定条件!$C$6,"判定不能",IF(L1403&gt;=判定条件!$C$7*K1403,"運転",IF(L1403&lt;=判定条件!$C$8*K1403,"停止","断続")))</f>
        <v>停止</v>
      </c>
      <c r="N1403" s="30" t="n">
        <v>60</v>
      </c>
      <c r="O1403" s="30" t="n">
        <v>60</v>
      </c>
      <c r="P1403" s="30" t="str">
        <f aca="false">IF(N1403&lt;判定条件!$C$6,"判定不能",IF(O1403&gt;=判定条件!$C$7*N1403,"運転",IF(O1403&lt;=判定条件!$C$8*N1403,"停止","断続")))</f>
        <v>運転</v>
      </c>
      <c r="Q1403" s="30" t="n">
        <v>60</v>
      </c>
      <c r="R1403" s="30" t="n">
        <v>60</v>
      </c>
      <c r="S1403" s="30" t="str">
        <f aca="false">IF(Q1403&lt;判定条件!$C$6,"判定不能",IF(R1403&gt;=判定条件!$C$7*Q1403,"運転",IF(R1403&lt;=判定条件!$C$8*Q1403,"停止","断続")))</f>
        <v>運転</v>
      </c>
      <c r="T1403" s="30" t="n">
        <v>60</v>
      </c>
      <c r="U1403" s="30" t="n">
        <v>56</v>
      </c>
      <c r="V1403" s="30" t="str">
        <f aca="false">IF(T1403&lt;判定条件!$C$6,"判定不能",IF(U1403&gt;=判定条件!$C$7*T1403,"運転",IF(U1403&lt;=判定条件!$C$8*T1403,"停止","断続")))</f>
        <v>運転</v>
      </c>
      <c r="W1403" s="30" t="n">
        <v>0</v>
      </c>
      <c r="X1403" s="30" t="n">
        <v>0</v>
      </c>
      <c r="Y1403" s="30" t="str">
        <f aca="false">IF(W1403&lt;判定条件!$C$6,"判定不能",IF(X1403&gt;=判定条件!$C$7*W1403,"運転",IF(X1403&lt;=判定条件!$C$8*W1403,"停止","断続")))</f>
        <v>判定不能</v>
      </c>
      <c r="Z1403" s="30" t="n">
        <v>0</v>
      </c>
      <c r="AA1403" s="30" t="n">
        <v>0</v>
      </c>
      <c r="AB1403" s="30" t="str">
        <f aca="false">IF(Z1403&lt;判定条件!$C$6,"判定不能",IF(AA1403&gt;=判定条件!$C$7*Z1403,"運転",IF(AA1403&lt;=判定条件!$C$8*Z1403,"停止","断続")))</f>
        <v>判定不能</v>
      </c>
      <c r="AC1403" s="30" t="n">
        <v>0</v>
      </c>
      <c r="AD1403" s="30" t="n">
        <v>0</v>
      </c>
      <c r="AE1403" s="30" t="str">
        <f aca="false">IF(AC1403&lt;判定条件!$C$6,"判定不能",IF(AD1403&gt;=判定条件!$C$7*AC1403,"運転",IF(AD1403&lt;=判定条件!$C$8*AC1403,"停止","断続")))</f>
        <v>判定不能</v>
      </c>
      <c r="AF1403" s="30" t="n">
        <v>60</v>
      </c>
      <c r="AG1403" s="30" t="n">
        <v>35</v>
      </c>
      <c r="AH1403" s="30" t="str">
        <f aca="false">IF(OR(P1403="判定不能",G1403="判定不能"),"判定不能",IF(AG1403&gt;=判定条件!$C$9,"利用可",IF(AND(P1403="停止",G1403="停止"),"両方停止","運転がそろわない")))</f>
        <v>利用可</v>
      </c>
      <c r="AI1403" s="30" t="n">
        <v>60</v>
      </c>
      <c r="AJ1403" s="30" t="n">
        <v>5</v>
      </c>
      <c r="AK1403" s="30" t="str">
        <f aca="false">IF(OR(S1403="判定不能",J1403="判定不能"),"判定不能",IF(AJ1403&gt;=判定条件!$C$9,"利用可",IF(AND(S1403="停止",J1403="停止"),"両方停止","運転がそろわない")))</f>
        <v>運転がそろわない</v>
      </c>
      <c r="AL1403" s="30" t="n">
        <v>60</v>
      </c>
      <c r="AM1403" s="30" t="n">
        <v>0</v>
      </c>
      <c r="AN1403" s="30" t="str">
        <f aca="false">IF(OR(V1403="判定不能",M1403="判定不能"),"判定不能",IF(AM1403&gt;=判定条件!$C$9,"利用可",IF(AND(V1403="停止",M1403="停止"),"両方停止","運転がそろわない")))</f>
        <v>運転がそろわない</v>
      </c>
      <c r="AO1403" s="30" t="n">
        <v>0</v>
      </c>
      <c r="AP1403" s="30" t="n">
        <v>0</v>
      </c>
      <c r="AQ1403" s="30" t="str">
        <f aca="false">IF(OR(Y1403="判定不能",G1403="判定不能"),"判定不能",IF(AP1403&gt;=判定条件!$C$9,"利用可",IF(AND(Y1403="停止",G1403="停止"),"両方停止","運転がそろわない")))</f>
        <v>判定不能</v>
      </c>
      <c r="AR1403" s="30" t="n">
        <v>0</v>
      </c>
      <c r="AS1403" s="30" t="n">
        <v>0</v>
      </c>
      <c r="AT1403" s="30" t="str">
        <f aca="false">IF(OR(AB1403="判定不能",J1403="判定不能"),"判定不能",IF(AS1403&gt;=判定条件!$C$9,"利用可",IF(AND(AB1403="停止",J1403="停止"),"両方停止","運転がそろわない")))</f>
        <v>判定不能</v>
      </c>
      <c r="AU1403" s="30" t="n">
        <v>0</v>
      </c>
      <c r="AV1403" s="30" t="n">
        <v>0</v>
      </c>
      <c r="AW1403" s="30" t="str">
        <f aca="false">IF(OR(AE1403="判定不能",M1403="判定不能"),"判定不能",IF(AV1403&gt;=判定条件!$C$9,"利用可",IF(AND(AE1403="停止",M1403="停止"),"両方停止","運転がそろわない")))</f>
        <v>判定不能</v>
      </c>
      <c r="AX1403" s="30" t="str">
        <f aca="false">IF(AND(AH1403="利用可",AK1403="利用可",AN1403="利用可"),"利用可","不可")</f>
        <v>不可</v>
      </c>
      <c r="AY1403" s="30" t="str">
        <f aca="false">IF(AND(AQ1403="利用可",AT1403="利用可",AW1403="利用可"),"利用可","不可")</f>
        <v>不可</v>
      </c>
    </row>
    <row r="1404" customFormat="false" ht="15" hidden="false" customHeight="false" outlineLevel="0" collapsed="false">
      <c r="A1404" s="29" t="n">
        <v>46290</v>
      </c>
      <c r="B1404" s="30" t="n">
        <v>9</v>
      </c>
      <c r="C1404" s="31" t="s">
        <v>62</v>
      </c>
      <c r="D1404" s="31" t="s">
        <v>59</v>
      </c>
      <c r="E1404" s="30" t="n">
        <v>60</v>
      </c>
      <c r="F1404" s="30" t="n">
        <v>60</v>
      </c>
      <c r="G1404" s="30" t="str">
        <f aca="false">IF(E1404&lt;判定条件!$C$6,"判定不能",IF(F1404&gt;=判定条件!$C$7*E1404,"運転",IF(F1404&lt;=判定条件!$C$8*E1404,"停止","断続")))</f>
        <v>運転</v>
      </c>
      <c r="H1404" s="30" t="n">
        <v>60</v>
      </c>
      <c r="I1404" s="30" t="n">
        <v>49</v>
      </c>
      <c r="J1404" s="30" t="str">
        <f aca="false">IF(H1404&lt;判定条件!$C$6,"判定不能",IF(I1404&gt;=判定条件!$C$7*H1404,"運転",IF(I1404&lt;=判定条件!$C$8*H1404,"停止","断続")))</f>
        <v>運転</v>
      </c>
      <c r="K1404" s="30" t="n">
        <v>60</v>
      </c>
      <c r="L1404" s="30" t="n">
        <v>39</v>
      </c>
      <c r="M1404" s="30" t="str">
        <f aca="false">IF(K1404&lt;判定条件!$C$6,"判定不能",IF(L1404&gt;=判定条件!$C$7*K1404,"運転",IF(L1404&lt;=判定条件!$C$8*K1404,"停止","断続")))</f>
        <v>断続</v>
      </c>
      <c r="N1404" s="30" t="n">
        <v>60</v>
      </c>
      <c r="O1404" s="30" t="n">
        <v>60</v>
      </c>
      <c r="P1404" s="30" t="str">
        <f aca="false">IF(N1404&lt;判定条件!$C$6,"判定不能",IF(O1404&gt;=判定条件!$C$7*N1404,"運転",IF(O1404&lt;=判定条件!$C$8*N1404,"停止","断続")))</f>
        <v>運転</v>
      </c>
      <c r="Q1404" s="30" t="n">
        <v>60</v>
      </c>
      <c r="R1404" s="30" t="n">
        <v>60</v>
      </c>
      <c r="S1404" s="30" t="str">
        <f aca="false">IF(Q1404&lt;判定条件!$C$6,"判定不能",IF(R1404&gt;=判定条件!$C$7*Q1404,"運転",IF(R1404&lt;=判定条件!$C$8*Q1404,"停止","断続")))</f>
        <v>運転</v>
      </c>
      <c r="T1404" s="30" t="n">
        <v>60</v>
      </c>
      <c r="U1404" s="30" t="n">
        <v>60</v>
      </c>
      <c r="V1404" s="30" t="str">
        <f aca="false">IF(T1404&lt;判定条件!$C$6,"判定不能",IF(U1404&gt;=判定条件!$C$7*T1404,"運転",IF(U1404&lt;=判定条件!$C$8*T1404,"停止","断続")))</f>
        <v>運転</v>
      </c>
      <c r="W1404" s="30" t="n">
        <v>0</v>
      </c>
      <c r="X1404" s="30" t="n">
        <v>0</v>
      </c>
      <c r="Y1404" s="30" t="str">
        <f aca="false">IF(W1404&lt;判定条件!$C$6,"判定不能",IF(X1404&gt;=判定条件!$C$7*W1404,"運転",IF(X1404&lt;=判定条件!$C$8*W1404,"停止","断続")))</f>
        <v>判定不能</v>
      </c>
      <c r="Z1404" s="30" t="n">
        <v>0</v>
      </c>
      <c r="AA1404" s="30" t="n">
        <v>0</v>
      </c>
      <c r="AB1404" s="30" t="str">
        <f aca="false">IF(Z1404&lt;判定条件!$C$6,"判定不能",IF(AA1404&gt;=判定条件!$C$7*Z1404,"運転",IF(AA1404&lt;=判定条件!$C$8*Z1404,"停止","断続")))</f>
        <v>判定不能</v>
      </c>
      <c r="AC1404" s="30" t="n">
        <v>0</v>
      </c>
      <c r="AD1404" s="30" t="n">
        <v>0</v>
      </c>
      <c r="AE1404" s="30" t="str">
        <f aca="false">IF(AC1404&lt;判定条件!$C$6,"判定不能",IF(AD1404&gt;=判定条件!$C$7*AC1404,"運転",IF(AD1404&lt;=判定条件!$C$8*AC1404,"停止","断続")))</f>
        <v>判定不能</v>
      </c>
      <c r="AF1404" s="30" t="n">
        <v>60</v>
      </c>
      <c r="AG1404" s="30" t="n">
        <v>60</v>
      </c>
      <c r="AH1404" s="30" t="str">
        <f aca="false">IF(OR(P1404="判定不能",G1404="判定不能"),"判定不能",IF(AG1404&gt;=判定条件!$C$9,"利用可",IF(AND(P1404="停止",G1404="停止"),"両方停止","運転がそろわない")))</f>
        <v>利用可</v>
      </c>
      <c r="AI1404" s="30" t="n">
        <v>60</v>
      </c>
      <c r="AJ1404" s="30" t="n">
        <v>49</v>
      </c>
      <c r="AK1404" s="30" t="str">
        <f aca="false">IF(OR(S1404="判定不能",J1404="判定不能"),"判定不能",IF(AJ1404&gt;=判定条件!$C$9,"利用可",IF(AND(S1404="停止",J1404="停止"),"両方停止","運転がそろわない")))</f>
        <v>利用可</v>
      </c>
      <c r="AL1404" s="30" t="n">
        <v>60</v>
      </c>
      <c r="AM1404" s="30" t="n">
        <v>39</v>
      </c>
      <c r="AN1404" s="30" t="str">
        <f aca="false">IF(OR(V1404="判定不能",M1404="判定不能"),"判定不能",IF(AM1404&gt;=判定条件!$C$9,"利用可",IF(AND(V1404="停止",M1404="停止"),"両方停止","運転がそろわない")))</f>
        <v>利用可</v>
      </c>
      <c r="AO1404" s="30" t="n">
        <v>0</v>
      </c>
      <c r="AP1404" s="30" t="n">
        <v>0</v>
      </c>
      <c r="AQ1404" s="30" t="str">
        <f aca="false">IF(OR(Y1404="判定不能",G1404="判定不能"),"判定不能",IF(AP1404&gt;=判定条件!$C$9,"利用可",IF(AND(Y1404="停止",G1404="停止"),"両方停止","運転がそろわない")))</f>
        <v>判定不能</v>
      </c>
      <c r="AR1404" s="30" t="n">
        <v>0</v>
      </c>
      <c r="AS1404" s="30" t="n">
        <v>0</v>
      </c>
      <c r="AT1404" s="30" t="str">
        <f aca="false">IF(OR(AB1404="判定不能",J1404="判定不能"),"判定不能",IF(AS1404&gt;=判定条件!$C$9,"利用可",IF(AND(AB1404="停止",J1404="停止"),"両方停止","運転がそろわない")))</f>
        <v>判定不能</v>
      </c>
      <c r="AU1404" s="30" t="n">
        <v>0</v>
      </c>
      <c r="AV1404" s="30" t="n">
        <v>0</v>
      </c>
      <c r="AW1404" s="30" t="str">
        <f aca="false">IF(OR(AE1404="判定不能",M1404="判定不能"),"判定不能",IF(AV1404&gt;=判定条件!$C$9,"利用可",IF(AND(AE1404="停止",M1404="停止"),"両方停止","運転がそろわない")))</f>
        <v>判定不能</v>
      </c>
      <c r="AX1404" s="30" t="str">
        <f aca="false">IF(AND(AH1404="利用可",AK1404="利用可",AN1404="利用可"),"利用可","不可")</f>
        <v>利用可</v>
      </c>
      <c r="AY1404" s="30" t="str">
        <f aca="false">IF(AND(AQ1404="利用可",AT1404="利用可",AW1404="利用可"),"利用可","不可")</f>
        <v>不可</v>
      </c>
    </row>
    <row r="1405" customFormat="false" ht="15" hidden="false" customHeight="false" outlineLevel="0" collapsed="false">
      <c r="A1405" s="29" t="n">
        <v>46290</v>
      </c>
      <c r="B1405" s="30" t="n">
        <v>10</v>
      </c>
      <c r="C1405" s="31" t="s">
        <v>62</v>
      </c>
      <c r="D1405" s="31" t="s">
        <v>59</v>
      </c>
      <c r="E1405" s="30" t="n">
        <v>60</v>
      </c>
      <c r="F1405" s="30" t="n">
        <v>60</v>
      </c>
      <c r="G1405" s="30" t="str">
        <f aca="false">IF(E1405&lt;判定条件!$C$6,"判定不能",IF(F1405&gt;=判定条件!$C$7*E1405,"運転",IF(F1405&lt;=判定条件!$C$8*E1405,"停止","断続")))</f>
        <v>運転</v>
      </c>
      <c r="H1405" s="30" t="n">
        <v>60</v>
      </c>
      <c r="I1405" s="30" t="n">
        <v>60</v>
      </c>
      <c r="J1405" s="30" t="str">
        <f aca="false">IF(H1405&lt;判定条件!$C$6,"判定不能",IF(I1405&gt;=判定条件!$C$7*H1405,"運転",IF(I1405&lt;=判定条件!$C$8*H1405,"停止","断続")))</f>
        <v>運転</v>
      </c>
      <c r="K1405" s="30" t="n">
        <v>60</v>
      </c>
      <c r="L1405" s="30" t="n">
        <v>60</v>
      </c>
      <c r="M1405" s="30" t="str">
        <f aca="false">IF(K1405&lt;判定条件!$C$6,"判定不能",IF(L1405&gt;=判定条件!$C$7*K1405,"運転",IF(L1405&lt;=判定条件!$C$8*K1405,"停止","断続")))</f>
        <v>運転</v>
      </c>
      <c r="N1405" s="30" t="n">
        <v>60</v>
      </c>
      <c r="O1405" s="30" t="n">
        <v>60</v>
      </c>
      <c r="P1405" s="30" t="str">
        <f aca="false">IF(N1405&lt;判定条件!$C$6,"判定不能",IF(O1405&gt;=判定条件!$C$7*N1405,"運転",IF(O1405&lt;=判定条件!$C$8*N1405,"停止","断続")))</f>
        <v>運転</v>
      </c>
      <c r="Q1405" s="30" t="n">
        <v>60</v>
      </c>
      <c r="R1405" s="30" t="n">
        <v>60</v>
      </c>
      <c r="S1405" s="30" t="str">
        <f aca="false">IF(Q1405&lt;判定条件!$C$6,"判定不能",IF(R1405&gt;=判定条件!$C$7*Q1405,"運転",IF(R1405&lt;=判定条件!$C$8*Q1405,"停止","断続")))</f>
        <v>運転</v>
      </c>
      <c r="T1405" s="30" t="n">
        <v>60</v>
      </c>
      <c r="U1405" s="30" t="n">
        <v>60</v>
      </c>
      <c r="V1405" s="30" t="str">
        <f aca="false">IF(T1405&lt;判定条件!$C$6,"判定不能",IF(U1405&gt;=判定条件!$C$7*T1405,"運転",IF(U1405&lt;=判定条件!$C$8*T1405,"停止","断続")))</f>
        <v>運転</v>
      </c>
      <c r="W1405" s="30" t="n">
        <v>0</v>
      </c>
      <c r="X1405" s="30" t="n">
        <v>0</v>
      </c>
      <c r="Y1405" s="30" t="str">
        <f aca="false">IF(W1405&lt;判定条件!$C$6,"判定不能",IF(X1405&gt;=判定条件!$C$7*W1405,"運転",IF(X1405&lt;=判定条件!$C$8*W1405,"停止","断続")))</f>
        <v>判定不能</v>
      </c>
      <c r="Z1405" s="30" t="n">
        <v>0</v>
      </c>
      <c r="AA1405" s="30" t="n">
        <v>0</v>
      </c>
      <c r="AB1405" s="30" t="str">
        <f aca="false">IF(Z1405&lt;判定条件!$C$6,"判定不能",IF(AA1405&gt;=判定条件!$C$7*Z1405,"運転",IF(AA1405&lt;=判定条件!$C$8*Z1405,"停止","断続")))</f>
        <v>判定不能</v>
      </c>
      <c r="AC1405" s="30" t="n">
        <v>0</v>
      </c>
      <c r="AD1405" s="30" t="n">
        <v>0</v>
      </c>
      <c r="AE1405" s="30" t="str">
        <f aca="false">IF(AC1405&lt;判定条件!$C$6,"判定不能",IF(AD1405&gt;=判定条件!$C$7*AC1405,"運転",IF(AD1405&lt;=判定条件!$C$8*AC1405,"停止","断続")))</f>
        <v>判定不能</v>
      </c>
      <c r="AF1405" s="30" t="n">
        <v>60</v>
      </c>
      <c r="AG1405" s="30" t="n">
        <v>60</v>
      </c>
      <c r="AH1405" s="30" t="str">
        <f aca="false">IF(OR(P1405="判定不能",G1405="判定不能"),"判定不能",IF(AG1405&gt;=判定条件!$C$9,"利用可",IF(AND(P1405="停止",G1405="停止"),"両方停止","運転がそろわない")))</f>
        <v>利用可</v>
      </c>
      <c r="AI1405" s="30" t="n">
        <v>60</v>
      </c>
      <c r="AJ1405" s="30" t="n">
        <v>60</v>
      </c>
      <c r="AK1405" s="30" t="str">
        <f aca="false">IF(OR(S1405="判定不能",J1405="判定不能"),"判定不能",IF(AJ1405&gt;=判定条件!$C$9,"利用可",IF(AND(S1405="停止",J1405="停止"),"両方停止","運転がそろわない")))</f>
        <v>利用可</v>
      </c>
      <c r="AL1405" s="30" t="n">
        <v>60</v>
      </c>
      <c r="AM1405" s="30" t="n">
        <v>60</v>
      </c>
      <c r="AN1405" s="30" t="str">
        <f aca="false">IF(OR(V1405="判定不能",M1405="判定不能"),"判定不能",IF(AM1405&gt;=判定条件!$C$9,"利用可",IF(AND(V1405="停止",M1405="停止"),"両方停止","運転がそろわない")))</f>
        <v>利用可</v>
      </c>
      <c r="AO1405" s="30" t="n">
        <v>0</v>
      </c>
      <c r="AP1405" s="30" t="n">
        <v>0</v>
      </c>
      <c r="AQ1405" s="30" t="str">
        <f aca="false">IF(OR(Y1405="判定不能",G1405="判定不能"),"判定不能",IF(AP1405&gt;=判定条件!$C$9,"利用可",IF(AND(Y1405="停止",G1405="停止"),"両方停止","運転がそろわない")))</f>
        <v>判定不能</v>
      </c>
      <c r="AR1405" s="30" t="n">
        <v>0</v>
      </c>
      <c r="AS1405" s="30" t="n">
        <v>0</v>
      </c>
      <c r="AT1405" s="30" t="str">
        <f aca="false">IF(OR(AB1405="判定不能",J1405="判定不能"),"判定不能",IF(AS1405&gt;=判定条件!$C$9,"利用可",IF(AND(AB1405="停止",J1405="停止"),"両方停止","運転がそろわない")))</f>
        <v>判定不能</v>
      </c>
      <c r="AU1405" s="30" t="n">
        <v>0</v>
      </c>
      <c r="AV1405" s="30" t="n">
        <v>0</v>
      </c>
      <c r="AW1405" s="30" t="str">
        <f aca="false">IF(OR(AE1405="判定不能",M1405="判定不能"),"判定不能",IF(AV1405&gt;=判定条件!$C$9,"利用可",IF(AND(AE1405="停止",M1405="停止"),"両方停止","運転がそろわない")))</f>
        <v>判定不能</v>
      </c>
      <c r="AX1405" s="30" t="str">
        <f aca="false">IF(AND(AH1405="利用可",AK1405="利用可",AN1405="利用可"),"利用可","不可")</f>
        <v>利用可</v>
      </c>
      <c r="AY1405" s="30" t="str">
        <f aca="false">IF(AND(AQ1405="利用可",AT1405="利用可",AW1405="利用可"),"利用可","不可")</f>
        <v>不可</v>
      </c>
    </row>
    <row r="1406" customFormat="false" ht="15" hidden="false" customHeight="false" outlineLevel="0" collapsed="false">
      <c r="A1406" s="29" t="n">
        <v>46290</v>
      </c>
      <c r="B1406" s="30" t="n">
        <v>11</v>
      </c>
      <c r="C1406" s="31" t="s">
        <v>62</v>
      </c>
      <c r="D1406" s="31" t="s">
        <v>59</v>
      </c>
      <c r="E1406" s="30" t="n">
        <v>60</v>
      </c>
      <c r="F1406" s="30" t="n">
        <v>60</v>
      </c>
      <c r="G1406" s="30" t="str">
        <f aca="false">IF(E1406&lt;判定条件!$C$6,"判定不能",IF(F1406&gt;=判定条件!$C$7*E1406,"運転",IF(F1406&lt;=判定条件!$C$8*E1406,"停止","断続")))</f>
        <v>運転</v>
      </c>
      <c r="H1406" s="30" t="n">
        <v>60</v>
      </c>
      <c r="I1406" s="30" t="n">
        <v>60</v>
      </c>
      <c r="J1406" s="30" t="str">
        <f aca="false">IF(H1406&lt;判定条件!$C$6,"判定不能",IF(I1406&gt;=判定条件!$C$7*H1406,"運転",IF(I1406&lt;=判定条件!$C$8*H1406,"停止","断続")))</f>
        <v>運転</v>
      </c>
      <c r="K1406" s="30" t="n">
        <v>60</v>
      </c>
      <c r="L1406" s="30" t="n">
        <v>60</v>
      </c>
      <c r="M1406" s="30" t="str">
        <f aca="false">IF(K1406&lt;判定条件!$C$6,"判定不能",IF(L1406&gt;=判定条件!$C$7*K1406,"運転",IF(L1406&lt;=判定条件!$C$8*K1406,"停止","断続")))</f>
        <v>運転</v>
      </c>
      <c r="N1406" s="30" t="n">
        <v>60</v>
      </c>
      <c r="O1406" s="30" t="n">
        <v>60</v>
      </c>
      <c r="P1406" s="30" t="str">
        <f aca="false">IF(N1406&lt;判定条件!$C$6,"判定不能",IF(O1406&gt;=判定条件!$C$7*N1406,"運転",IF(O1406&lt;=判定条件!$C$8*N1406,"停止","断続")))</f>
        <v>運転</v>
      </c>
      <c r="Q1406" s="30" t="n">
        <v>60</v>
      </c>
      <c r="R1406" s="30" t="n">
        <v>60</v>
      </c>
      <c r="S1406" s="30" t="str">
        <f aca="false">IF(Q1406&lt;判定条件!$C$6,"判定不能",IF(R1406&gt;=判定条件!$C$7*Q1406,"運転",IF(R1406&lt;=判定条件!$C$8*Q1406,"停止","断続")))</f>
        <v>運転</v>
      </c>
      <c r="T1406" s="30" t="n">
        <v>60</v>
      </c>
      <c r="U1406" s="30" t="n">
        <v>49</v>
      </c>
      <c r="V1406" s="30" t="str">
        <f aca="false">IF(T1406&lt;判定条件!$C$6,"判定不能",IF(U1406&gt;=判定条件!$C$7*T1406,"運転",IF(U1406&lt;=判定条件!$C$8*T1406,"停止","断続")))</f>
        <v>運転</v>
      </c>
      <c r="W1406" s="30" t="n">
        <v>0</v>
      </c>
      <c r="X1406" s="30" t="n">
        <v>0</v>
      </c>
      <c r="Y1406" s="30" t="str">
        <f aca="false">IF(W1406&lt;判定条件!$C$6,"判定不能",IF(X1406&gt;=判定条件!$C$7*W1406,"運転",IF(X1406&lt;=判定条件!$C$8*W1406,"停止","断続")))</f>
        <v>判定不能</v>
      </c>
      <c r="Z1406" s="30" t="n">
        <v>0</v>
      </c>
      <c r="AA1406" s="30" t="n">
        <v>0</v>
      </c>
      <c r="AB1406" s="30" t="str">
        <f aca="false">IF(Z1406&lt;判定条件!$C$6,"判定不能",IF(AA1406&gt;=判定条件!$C$7*Z1406,"運転",IF(AA1406&lt;=判定条件!$C$8*Z1406,"停止","断続")))</f>
        <v>判定不能</v>
      </c>
      <c r="AC1406" s="30" t="n">
        <v>0</v>
      </c>
      <c r="AD1406" s="30" t="n">
        <v>0</v>
      </c>
      <c r="AE1406" s="30" t="str">
        <f aca="false">IF(AC1406&lt;判定条件!$C$6,"判定不能",IF(AD1406&gt;=判定条件!$C$7*AC1406,"運転",IF(AD1406&lt;=判定条件!$C$8*AC1406,"停止","断続")))</f>
        <v>判定不能</v>
      </c>
      <c r="AF1406" s="30" t="n">
        <v>60</v>
      </c>
      <c r="AG1406" s="30" t="n">
        <v>60</v>
      </c>
      <c r="AH1406" s="30" t="str">
        <f aca="false">IF(OR(P1406="判定不能",G1406="判定不能"),"判定不能",IF(AG1406&gt;=判定条件!$C$9,"利用可",IF(AND(P1406="停止",G1406="停止"),"両方停止","運転がそろわない")))</f>
        <v>利用可</v>
      </c>
      <c r="AI1406" s="30" t="n">
        <v>60</v>
      </c>
      <c r="AJ1406" s="30" t="n">
        <v>60</v>
      </c>
      <c r="AK1406" s="30" t="str">
        <f aca="false">IF(OR(S1406="判定不能",J1406="判定不能"),"判定不能",IF(AJ1406&gt;=判定条件!$C$9,"利用可",IF(AND(S1406="停止",J1406="停止"),"両方停止","運転がそろわない")))</f>
        <v>利用可</v>
      </c>
      <c r="AL1406" s="30" t="n">
        <v>60</v>
      </c>
      <c r="AM1406" s="30" t="n">
        <v>49</v>
      </c>
      <c r="AN1406" s="30" t="str">
        <f aca="false">IF(OR(V1406="判定不能",M1406="判定不能"),"判定不能",IF(AM1406&gt;=判定条件!$C$9,"利用可",IF(AND(V1406="停止",M1406="停止"),"両方停止","運転がそろわない")))</f>
        <v>利用可</v>
      </c>
      <c r="AO1406" s="30" t="n">
        <v>0</v>
      </c>
      <c r="AP1406" s="30" t="n">
        <v>0</v>
      </c>
      <c r="AQ1406" s="30" t="str">
        <f aca="false">IF(OR(Y1406="判定不能",G1406="判定不能"),"判定不能",IF(AP1406&gt;=判定条件!$C$9,"利用可",IF(AND(Y1406="停止",G1406="停止"),"両方停止","運転がそろわない")))</f>
        <v>判定不能</v>
      </c>
      <c r="AR1406" s="30" t="n">
        <v>0</v>
      </c>
      <c r="AS1406" s="30" t="n">
        <v>0</v>
      </c>
      <c r="AT1406" s="30" t="str">
        <f aca="false">IF(OR(AB1406="判定不能",J1406="判定不能"),"判定不能",IF(AS1406&gt;=判定条件!$C$9,"利用可",IF(AND(AB1406="停止",J1406="停止"),"両方停止","運転がそろわない")))</f>
        <v>判定不能</v>
      </c>
      <c r="AU1406" s="30" t="n">
        <v>0</v>
      </c>
      <c r="AV1406" s="30" t="n">
        <v>0</v>
      </c>
      <c r="AW1406" s="30" t="str">
        <f aca="false">IF(OR(AE1406="判定不能",M1406="判定不能"),"判定不能",IF(AV1406&gt;=判定条件!$C$9,"利用可",IF(AND(AE1406="停止",M1406="停止"),"両方停止","運転がそろわない")))</f>
        <v>判定不能</v>
      </c>
      <c r="AX1406" s="30" t="str">
        <f aca="false">IF(AND(AH1406="利用可",AK1406="利用可",AN1406="利用可"),"利用可","不可")</f>
        <v>利用可</v>
      </c>
      <c r="AY1406" s="30" t="str">
        <f aca="false">IF(AND(AQ1406="利用可",AT1406="利用可",AW1406="利用可"),"利用可","不可")</f>
        <v>不可</v>
      </c>
    </row>
    <row r="1407" customFormat="false" ht="15" hidden="false" customHeight="false" outlineLevel="0" collapsed="false">
      <c r="A1407" s="29" t="n">
        <v>46290</v>
      </c>
      <c r="B1407" s="30" t="n">
        <v>12</v>
      </c>
      <c r="C1407" s="31" t="s">
        <v>62</v>
      </c>
      <c r="D1407" s="31" t="s">
        <v>59</v>
      </c>
      <c r="E1407" s="30" t="n">
        <v>60</v>
      </c>
      <c r="F1407" s="30" t="n">
        <v>60</v>
      </c>
      <c r="G1407" s="30" t="str">
        <f aca="false">IF(E1407&lt;判定条件!$C$6,"判定不能",IF(F1407&gt;=判定条件!$C$7*E1407,"運転",IF(F1407&lt;=判定条件!$C$8*E1407,"停止","断続")))</f>
        <v>運転</v>
      </c>
      <c r="H1407" s="30" t="n">
        <v>60</v>
      </c>
      <c r="I1407" s="30" t="n">
        <v>51</v>
      </c>
      <c r="J1407" s="30" t="str">
        <f aca="false">IF(H1407&lt;判定条件!$C$6,"判定不能",IF(I1407&gt;=判定条件!$C$7*H1407,"運転",IF(I1407&lt;=判定条件!$C$8*H1407,"停止","断続")))</f>
        <v>運転</v>
      </c>
      <c r="K1407" s="30" t="n">
        <v>60</v>
      </c>
      <c r="L1407" s="30" t="n">
        <v>60</v>
      </c>
      <c r="M1407" s="30" t="str">
        <f aca="false">IF(K1407&lt;判定条件!$C$6,"判定不能",IF(L1407&gt;=判定条件!$C$7*K1407,"運転",IF(L1407&lt;=判定条件!$C$8*K1407,"停止","断続")))</f>
        <v>運転</v>
      </c>
      <c r="N1407" s="30" t="n">
        <v>60</v>
      </c>
      <c r="O1407" s="30" t="n">
        <v>60</v>
      </c>
      <c r="P1407" s="30" t="str">
        <f aca="false">IF(N1407&lt;判定条件!$C$6,"判定不能",IF(O1407&gt;=判定条件!$C$7*N1407,"運転",IF(O1407&lt;=判定条件!$C$8*N1407,"停止","断続")))</f>
        <v>運転</v>
      </c>
      <c r="Q1407" s="30" t="n">
        <v>60</v>
      </c>
      <c r="R1407" s="30" t="n">
        <v>60</v>
      </c>
      <c r="S1407" s="30" t="str">
        <f aca="false">IF(Q1407&lt;判定条件!$C$6,"判定不能",IF(R1407&gt;=判定条件!$C$7*Q1407,"運転",IF(R1407&lt;=判定条件!$C$8*Q1407,"停止","断続")))</f>
        <v>運転</v>
      </c>
      <c r="T1407" s="30" t="n">
        <v>60</v>
      </c>
      <c r="U1407" s="30" t="n">
        <v>54</v>
      </c>
      <c r="V1407" s="30" t="str">
        <f aca="false">IF(T1407&lt;判定条件!$C$6,"判定不能",IF(U1407&gt;=判定条件!$C$7*T1407,"運転",IF(U1407&lt;=判定条件!$C$8*T1407,"停止","断続")))</f>
        <v>運転</v>
      </c>
      <c r="W1407" s="30" t="n">
        <v>0</v>
      </c>
      <c r="X1407" s="30" t="n">
        <v>0</v>
      </c>
      <c r="Y1407" s="30" t="str">
        <f aca="false">IF(W1407&lt;判定条件!$C$6,"判定不能",IF(X1407&gt;=判定条件!$C$7*W1407,"運転",IF(X1407&lt;=判定条件!$C$8*W1407,"停止","断続")))</f>
        <v>判定不能</v>
      </c>
      <c r="Z1407" s="30" t="n">
        <v>0</v>
      </c>
      <c r="AA1407" s="30" t="n">
        <v>0</v>
      </c>
      <c r="AB1407" s="30" t="str">
        <f aca="false">IF(Z1407&lt;判定条件!$C$6,"判定不能",IF(AA1407&gt;=判定条件!$C$7*Z1407,"運転",IF(AA1407&lt;=判定条件!$C$8*Z1407,"停止","断続")))</f>
        <v>判定不能</v>
      </c>
      <c r="AC1407" s="30" t="n">
        <v>0</v>
      </c>
      <c r="AD1407" s="30" t="n">
        <v>0</v>
      </c>
      <c r="AE1407" s="30" t="str">
        <f aca="false">IF(AC1407&lt;判定条件!$C$6,"判定不能",IF(AD1407&gt;=判定条件!$C$7*AC1407,"運転",IF(AD1407&lt;=判定条件!$C$8*AC1407,"停止","断続")))</f>
        <v>判定不能</v>
      </c>
      <c r="AF1407" s="30" t="n">
        <v>60</v>
      </c>
      <c r="AG1407" s="30" t="n">
        <v>60</v>
      </c>
      <c r="AH1407" s="30" t="str">
        <f aca="false">IF(OR(P1407="判定不能",G1407="判定不能"),"判定不能",IF(AG1407&gt;=判定条件!$C$9,"利用可",IF(AND(P1407="停止",G1407="停止"),"両方停止","運転がそろわない")))</f>
        <v>利用可</v>
      </c>
      <c r="AI1407" s="30" t="n">
        <v>60</v>
      </c>
      <c r="AJ1407" s="30" t="n">
        <v>51</v>
      </c>
      <c r="AK1407" s="30" t="str">
        <f aca="false">IF(OR(S1407="判定不能",J1407="判定不能"),"判定不能",IF(AJ1407&gt;=判定条件!$C$9,"利用可",IF(AND(S1407="停止",J1407="停止"),"両方停止","運転がそろわない")))</f>
        <v>利用可</v>
      </c>
      <c r="AL1407" s="30" t="n">
        <v>60</v>
      </c>
      <c r="AM1407" s="30" t="n">
        <v>54</v>
      </c>
      <c r="AN1407" s="30" t="str">
        <f aca="false">IF(OR(V1407="判定不能",M1407="判定不能"),"判定不能",IF(AM1407&gt;=判定条件!$C$9,"利用可",IF(AND(V1407="停止",M1407="停止"),"両方停止","運転がそろわない")))</f>
        <v>利用可</v>
      </c>
      <c r="AO1407" s="30" t="n">
        <v>0</v>
      </c>
      <c r="AP1407" s="30" t="n">
        <v>0</v>
      </c>
      <c r="AQ1407" s="30" t="str">
        <f aca="false">IF(OR(Y1407="判定不能",G1407="判定不能"),"判定不能",IF(AP1407&gt;=判定条件!$C$9,"利用可",IF(AND(Y1407="停止",G1407="停止"),"両方停止","運転がそろわない")))</f>
        <v>判定不能</v>
      </c>
      <c r="AR1407" s="30" t="n">
        <v>0</v>
      </c>
      <c r="AS1407" s="30" t="n">
        <v>0</v>
      </c>
      <c r="AT1407" s="30" t="str">
        <f aca="false">IF(OR(AB1407="判定不能",J1407="判定不能"),"判定不能",IF(AS1407&gt;=判定条件!$C$9,"利用可",IF(AND(AB1407="停止",J1407="停止"),"両方停止","運転がそろわない")))</f>
        <v>判定不能</v>
      </c>
      <c r="AU1407" s="30" t="n">
        <v>0</v>
      </c>
      <c r="AV1407" s="30" t="n">
        <v>0</v>
      </c>
      <c r="AW1407" s="30" t="str">
        <f aca="false">IF(OR(AE1407="判定不能",M1407="判定不能"),"判定不能",IF(AV1407&gt;=判定条件!$C$9,"利用可",IF(AND(AE1407="停止",M1407="停止"),"両方停止","運転がそろわない")))</f>
        <v>判定不能</v>
      </c>
      <c r="AX1407" s="30" t="str">
        <f aca="false">IF(AND(AH1407="利用可",AK1407="利用可",AN1407="利用可"),"利用可","不可")</f>
        <v>利用可</v>
      </c>
      <c r="AY1407" s="30" t="str">
        <f aca="false">IF(AND(AQ1407="利用可",AT1407="利用可",AW1407="利用可"),"利用可","不可")</f>
        <v>不可</v>
      </c>
    </row>
    <row r="1408" customFormat="false" ht="15" hidden="false" customHeight="false" outlineLevel="0" collapsed="false">
      <c r="A1408" s="29" t="n">
        <v>46290</v>
      </c>
      <c r="B1408" s="30" t="n">
        <v>13</v>
      </c>
      <c r="C1408" s="31" t="s">
        <v>62</v>
      </c>
      <c r="D1408" s="31" t="s">
        <v>59</v>
      </c>
      <c r="E1408" s="30" t="n">
        <v>60</v>
      </c>
      <c r="F1408" s="30" t="n">
        <v>60</v>
      </c>
      <c r="G1408" s="30" t="str">
        <f aca="false">IF(E1408&lt;判定条件!$C$6,"判定不能",IF(F1408&gt;=判定条件!$C$7*E1408,"運転",IF(F1408&lt;=判定条件!$C$8*E1408,"停止","断続")))</f>
        <v>運転</v>
      </c>
      <c r="H1408" s="30" t="n">
        <v>60</v>
      </c>
      <c r="I1408" s="30" t="n">
        <v>60</v>
      </c>
      <c r="J1408" s="30" t="str">
        <f aca="false">IF(H1408&lt;判定条件!$C$6,"判定不能",IF(I1408&gt;=判定条件!$C$7*H1408,"運転",IF(I1408&lt;=判定条件!$C$8*H1408,"停止","断続")))</f>
        <v>運転</v>
      </c>
      <c r="K1408" s="30" t="n">
        <v>60</v>
      </c>
      <c r="L1408" s="30" t="n">
        <v>60</v>
      </c>
      <c r="M1408" s="30" t="str">
        <f aca="false">IF(K1408&lt;判定条件!$C$6,"判定不能",IF(L1408&gt;=判定条件!$C$7*K1408,"運転",IF(L1408&lt;=判定条件!$C$8*K1408,"停止","断続")))</f>
        <v>運転</v>
      </c>
      <c r="N1408" s="30" t="n">
        <v>60</v>
      </c>
      <c r="O1408" s="30" t="n">
        <v>60</v>
      </c>
      <c r="P1408" s="30" t="str">
        <f aca="false">IF(N1408&lt;判定条件!$C$6,"判定不能",IF(O1408&gt;=判定条件!$C$7*N1408,"運転",IF(O1408&lt;=判定条件!$C$8*N1408,"停止","断続")))</f>
        <v>運転</v>
      </c>
      <c r="Q1408" s="30" t="n">
        <v>60</v>
      </c>
      <c r="R1408" s="30" t="n">
        <v>60</v>
      </c>
      <c r="S1408" s="30" t="str">
        <f aca="false">IF(Q1408&lt;判定条件!$C$6,"判定不能",IF(R1408&gt;=判定条件!$C$7*Q1408,"運転",IF(R1408&lt;=判定条件!$C$8*Q1408,"停止","断続")))</f>
        <v>運転</v>
      </c>
      <c r="T1408" s="30" t="n">
        <v>60</v>
      </c>
      <c r="U1408" s="30" t="n">
        <v>52</v>
      </c>
      <c r="V1408" s="30" t="str">
        <f aca="false">IF(T1408&lt;判定条件!$C$6,"判定不能",IF(U1408&gt;=判定条件!$C$7*T1408,"運転",IF(U1408&lt;=判定条件!$C$8*T1408,"停止","断続")))</f>
        <v>運転</v>
      </c>
      <c r="W1408" s="30" t="n">
        <v>0</v>
      </c>
      <c r="X1408" s="30" t="n">
        <v>0</v>
      </c>
      <c r="Y1408" s="30" t="str">
        <f aca="false">IF(W1408&lt;判定条件!$C$6,"判定不能",IF(X1408&gt;=判定条件!$C$7*W1408,"運転",IF(X1408&lt;=判定条件!$C$8*W1408,"停止","断続")))</f>
        <v>判定不能</v>
      </c>
      <c r="Z1408" s="30" t="n">
        <v>0</v>
      </c>
      <c r="AA1408" s="30" t="n">
        <v>0</v>
      </c>
      <c r="AB1408" s="30" t="str">
        <f aca="false">IF(Z1408&lt;判定条件!$C$6,"判定不能",IF(AA1408&gt;=判定条件!$C$7*Z1408,"運転",IF(AA1408&lt;=判定条件!$C$8*Z1408,"停止","断続")))</f>
        <v>判定不能</v>
      </c>
      <c r="AC1408" s="30" t="n">
        <v>0</v>
      </c>
      <c r="AD1408" s="30" t="n">
        <v>0</v>
      </c>
      <c r="AE1408" s="30" t="str">
        <f aca="false">IF(AC1408&lt;判定条件!$C$6,"判定不能",IF(AD1408&gt;=判定条件!$C$7*AC1408,"運転",IF(AD1408&lt;=判定条件!$C$8*AC1408,"停止","断続")))</f>
        <v>判定不能</v>
      </c>
      <c r="AF1408" s="30" t="n">
        <v>60</v>
      </c>
      <c r="AG1408" s="30" t="n">
        <v>60</v>
      </c>
      <c r="AH1408" s="30" t="str">
        <f aca="false">IF(OR(P1408="判定不能",G1408="判定不能"),"判定不能",IF(AG1408&gt;=判定条件!$C$9,"利用可",IF(AND(P1408="停止",G1408="停止"),"両方停止","運転がそろわない")))</f>
        <v>利用可</v>
      </c>
      <c r="AI1408" s="30" t="n">
        <v>60</v>
      </c>
      <c r="AJ1408" s="30" t="n">
        <v>60</v>
      </c>
      <c r="AK1408" s="30" t="str">
        <f aca="false">IF(OR(S1408="判定不能",J1408="判定不能"),"判定不能",IF(AJ1408&gt;=判定条件!$C$9,"利用可",IF(AND(S1408="停止",J1408="停止"),"両方停止","運転がそろわない")))</f>
        <v>利用可</v>
      </c>
      <c r="AL1408" s="30" t="n">
        <v>60</v>
      </c>
      <c r="AM1408" s="30" t="n">
        <v>52</v>
      </c>
      <c r="AN1408" s="30" t="str">
        <f aca="false">IF(OR(V1408="判定不能",M1408="判定不能"),"判定不能",IF(AM1408&gt;=判定条件!$C$9,"利用可",IF(AND(V1408="停止",M1408="停止"),"両方停止","運転がそろわない")))</f>
        <v>利用可</v>
      </c>
      <c r="AO1408" s="30" t="n">
        <v>0</v>
      </c>
      <c r="AP1408" s="30" t="n">
        <v>0</v>
      </c>
      <c r="AQ1408" s="30" t="str">
        <f aca="false">IF(OR(Y1408="判定不能",G1408="判定不能"),"判定不能",IF(AP1408&gt;=判定条件!$C$9,"利用可",IF(AND(Y1408="停止",G1408="停止"),"両方停止","運転がそろわない")))</f>
        <v>判定不能</v>
      </c>
      <c r="AR1408" s="30" t="n">
        <v>0</v>
      </c>
      <c r="AS1408" s="30" t="n">
        <v>0</v>
      </c>
      <c r="AT1408" s="30" t="str">
        <f aca="false">IF(OR(AB1408="判定不能",J1408="判定不能"),"判定不能",IF(AS1408&gt;=判定条件!$C$9,"利用可",IF(AND(AB1408="停止",J1408="停止"),"両方停止","運転がそろわない")))</f>
        <v>判定不能</v>
      </c>
      <c r="AU1408" s="30" t="n">
        <v>0</v>
      </c>
      <c r="AV1408" s="30" t="n">
        <v>0</v>
      </c>
      <c r="AW1408" s="30" t="str">
        <f aca="false">IF(OR(AE1408="判定不能",M1408="判定不能"),"判定不能",IF(AV1408&gt;=判定条件!$C$9,"利用可",IF(AND(AE1408="停止",M1408="停止"),"両方停止","運転がそろわない")))</f>
        <v>判定不能</v>
      </c>
      <c r="AX1408" s="30" t="str">
        <f aca="false">IF(AND(AH1408="利用可",AK1408="利用可",AN1408="利用可"),"利用可","不可")</f>
        <v>利用可</v>
      </c>
      <c r="AY1408" s="30" t="str">
        <f aca="false">IF(AND(AQ1408="利用可",AT1408="利用可",AW1408="利用可"),"利用可","不可")</f>
        <v>不可</v>
      </c>
    </row>
    <row r="1409" customFormat="false" ht="15" hidden="false" customHeight="false" outlineLevel="0" collapsed="false">
      <c r="A1409" s="29" t="n">
        <v>46290</v>
      </c>
      <c r="B1409" s="30" t="n">
        <v>14</v>
      </c>
      <c r="C1409" s="31" t="s">
        <v>62</v>
      </c>
      <c r="D1409" s="31" t="s">
        <v>59</v>
      </c>
      <c r="E1409" s="30" t="n">
        <v>60</v>
      </c>
      <c r="F1409" s="30" t="n">
        <v>60</v>
      </c>
      <c r="G1409" s="30" t="str">
        <f aca="false">IF(E1409&lt;判定条件!$C$6,"判定不能",IF(F1409&gt;=判定条件!$C$7*E1409,"運転",IF(F1409&lt;=判定条件!$C$8*E1409,"停止","断続")))</f>
        <v>運転</v>
      </c>
      <c r="H1409" s="30" t="n">
        <v>60</v>
      </c>
      <c r="I1409" s="30" t="n">
        <v>60</v>
      </c>
      <c r="J1409" s="30" t="str">
        <f aca="false">IF(H1409&lt;判定条件!$C$6,"判定不能",IF(I1409&gt;=判定条件!$C$7*H1409,"運転",IF(I1409&lt;=判定条件!$C$8*H1409,"停止","断続")))</f>
        <v>運転</v>
      </c>
      <c r="K1409" s="30" t="n">
        <v>60</v>
      </c>
      <c r="L1409" s="30" t="n">
        <v>60</v>
      </c>
      <c r="M1409" s="30" t="str">
        <f aca="false">IF(K1409&lt;判定条件!$C$6,"判定不能",IF(L1409&gt;=判定条件!$C$7*K1409,"運転",IF(L1409&lt;=判定条件!$C$8*K1409,"停止","断続")))</f>
        <v>運転</v>
      </c>
      <c r="N1409" s="30" t="n">
        <v>60</v>
      </c>
      <c r="O1409" s="30" t="n">
        <v>60</v>
      </c>
      <c r="P1409" s="30" t="str">
        <f aca="false">IF(N1409&lt;判定条件!$C$6,"判定不能",IF(O1409&gt;=判定条件!$C$7*N1409,"運転",IF(O1409&lt;=判定条件!$C$8*N1409,"停止","断続")))</f>
        <v>運転</v>
      </c>
      <c r="Q1409" s="30" t="n">
        <v>60</v>
      </c>
      <c r="R1409" s="30" t="n">
        <v>60</v>
      </c>
      <c r="S1409" s="30" t="str">
        <f aca="false">IF(Q1409&lt;判定条件!$C$6,"判定不能",IF(R1409&gt;=判定条件!$C$7*Q1409,"運転",IF(R1409&lt;=判定条件!$C$8*Q1409,"停止","断続")))</f>
        <v>運転</v>
      </c>
      <c r="T1409" s="30" t="n">
        <v>60</v>
      </c>
      <c r="U1409" s="30" t="n">
        <v>50</v>
      </c>
      <c r="V1409" s="30" t="str">
        <f aca="false">IF(T1409&lt;判定条件!$C$6,"判定不能",IF(U1409&gt;=判定条件!$C$7*T1409,"運転",IF(U1409&lt;=判定条件!$C$8*T1409,"停止","断続")))</f>
        <v>運転</v>
      </c>
      <c r="W1409" s="30" t="n">
        <v>0</v>
      </c>
      <c r="X1409" s="30" t="n">
        <v>0</v>
      </c>
      <c r="Y1409" s="30" t="str">
        <f aca="false">IF(W1409&lt;判定条件!$C$6,"判定不能",IF(X1409&gt;=判定条件!$C$7*W1409,"運転",IF(X1409&lt;=判定条件!$C$8*W1409,"停止","断続")))</f>
        <v>判定不能</v>
      </c>
      <c r="Z1409" s="30" t="n">
        <v>0</v>
      </c>
      <c r="AA1409" s="30" t="n">
        <v>0</v>
      </c>
      <c r="AB1409" s="30" t="str">
        <f aca="false">IF(Z1409&lt;判定条件!$C$6,"判定不能",IF(AA1409&gt;=判定条件!$C$7*Z1409,"運転",IF(AA1409&lt;=判定条件!$C$8*Z1409,"停止","断続")))</f>
        <v>判定不能</v>
      </c>
      <c r="AC1409" s="30" t="n">
        <v>0</v>
      </c>
      <c r="AD1409" s="30" t="n">
        <v>0</v>
      </c>
      <c r="AE1409" s="30" t="str">
        <f aca="false">IF(AC1409&lt;判定条件!$C$6,"判定不能",IF(AD1409&gt;=判定条件!$C$7*AC1409,"運転",IF(AD1409&lt;=判定条件!$C$8*AC1409,"停止","断続")))</f>
        <v>判定不能</v>
      </c>
      <c r="AF1409" s="30" t="n">
        <v>60</v>
      </c>
      <c r="AG1409" s="30" t="n">
        <v>60</v>
      </c>
      <c r="AH1409" s="30" t="str">
        <f aca="false">IF(OR(P1409="判定不能",G1409="判定不能"),"判定不能",IF(AG1409&gt;=判定条件!$C$9,"利用可",IF(AND(P1409="停止",G1409="停止"),"両方停止","運転がそろわない")))</f>
        <v>利用可</v>
      </c>
      <c r="AI1409" s="30" t="n">
        <v>60</v>
      </c>
      <c r="AJ1409" s="30" t="n">
        <v>60</v>
      </c>
      <c r="AK1409" s="30" t="str">
        <f aca="false">IF(OR(S1409="判定不能",J1409="判定不能"),"判定不能",IF(AJ1409&gt;=判定条件!$C$9,"利用可",IF(AND(S1409="停止",J1409="停止"),"両方停止","運転がそろわない")))</f>
        <v>利用可</v>
      </c>
      <c r="AL1409" s="30" t="n">
        <v>60</v>
      </c>
      <c r="AM1409" s="30" t="n">
        <v>50</v>
      </c>
      <c r="AN1409" s="30" t="str">
        <f aca="false">IF(OR(V1409="判定不能",M1409="判定不能"),"判定不能",IF(AM1409&gt;=判定条件!$C$9,"利用可",IF(AND(V1409="停止",M1409="停止"),"両方停止","運転がそろわない")))</f>
        <v>利用可</v>
      </c>
      <c r="AO1409" s="30" t="n">
        <v>0</v>
      </c>
      <c r="AP1409" s="30" t="n">
        <v>0</v>
      </c>
      <c r="AQ1409" s="30" t="str">
        <f aca="false">IF(OR(Y1409="判定不能",G1409="判定不能"),"判定不能",IF(AP1409&gt;=判定条件!$C$9,"利用可",IF(AND(Y1409="停止",G1409="停止"),"両方停止","運転がそろわない")))</f>
        <v>判定不能</v>
      </c>
      <c r="AR1409" s="30" t="n">
        <v>0</v>
      </c>
      <c r="AS1409" s="30" t="n">
        <v>0</v>
      </c>
      <c r="AT1409" s="30" t="str">
        <f aca="false">IF(OR(AB1409="判定不能",J1409="判定不能"),"判定不能",IF(AS1409&gt;=判定条件!$C$9,"利用可",IF(AND(AB1409="停止",J1409="停止"),"両方停止","運転がそろわない")))</f>
        <v>判定不能</v>
      </c>
      <c r="AU1409" s="30" t="n">
        <v>0</v>
      </c>
      <c r="AV1409" s="30" t="n">
        <v>0</v>
      </c>
      <c r="AW1409" s="30" t="str">
        <f aca="false">IF(OR(AE1409="判定不能",M1409="判定不能"),"判定不能",IF(AV1409&gt;=判定条件!$C$9,"利用可",IF(AND(AE1409="停止",M1409="停止"),"両方停止","運転がそろわない")))</f>
        <v>判定不能</v>
      </c>
      <c r="AX1409" s="30" t="str">
        <f aca="false">IF(AND(AH1409="利用可",AK1409="利用可",AN1409="利用可"),"利用可","不可")</f>
        <v>利用可</v>
      </c>
      <c r="AY1409" s="30" t="str">
        <f aca="false">IF(AND(AQ1409="利用可",AT1409="利用可",AW1409="利用可"),"利用可","不可")</f>
        <v>不可</v>
      </c>
    </row>
    <row r="1410" customFormat="false" ht="15" hidden="false" customHeight="false" outlineLevel="0" collapsed="false">
      <c r="A1410" s="29" t="n">
        <v>46290</v>
      </c>
      <c r="B1410" s="30" t="n">
        <v>15</v>
      </c>
      <c r="C1410" s="31" t="s">
        <v>62</v>
      </c>
      <c r="D1410" s="31" t="s">
        <v>59</v>
      </c>
      <c r="E1410" s="30" t="n">
        <v>60</v>
      </c>
      <c r="F1410" s="30" t="n">
        <v>60</v>
      </c>
      <c r="G1410" s="30" t="str">
        <f aca="false">IF(E1410&lt;判定条件!$C$6,"判定不能",IF(F1410&gt;=判定条件!$C$7*E1410,"運転",IF(F1410&lt;=判定条件!$C$8*E1410,"停止","断続")))</f>
        <v>運転</v>
      </c>
      <c r="H1410" s="30" t="n">
        <v>60</v>
      </c>
      <c r="I1410" s="30" t="n">
        <v>60</v>
      </c>
      <c r="J1410" s="30" t="str">
        <f aca="false">IF(H1410&lt;判定条件!$C$6,"判定不能",IF(I1410&gt;=判定条件!$C$7*H1410,"運転",IF(I1410&lt;=判定条件!$C$8*H1410,"停止","断続")))</f>
        <v>運転</v>
      </c>
      <c r="K1410" s="30" t="n">
        <v>60</v>
      </c>
      <c r="L1410" s="30" t="n">
        <v>60</v>
      </c>
      <c r="M1410" s="30" t="str">
        <f aca="false">IF(K1410&lt;判定条件!$C$6,"判定不能",IF(L1410&gt;=判定条件!$C$7*K1410,"運転",IF(L1410&lt;=判定条件!$C$8*K1410,"停止","断続")))</f>
        <v>運転</v>
      </c>
      <c r="N1410" s="30" t="n">
        <v>60</v>
      </c>
      <c r="O1410" s="30" t="n">
        <v>57</v>
      </c>
      <c r="P1410" s="30" t="str">
        <f aca="false">IF(N1410&lt;判定条件!$C$6,"判定不能",IF(O1410&gt;=判定条件!$C$7*N1410,"運転",IF(O1410&lt;=判定条件!$C$8*N1410,"停止","断続")))</f>
        <v>運転</v>
      </c>
      <c r="Q1410" s="30" t="n">
        <v>60</v>
      </c>
      <c r="R1410" s="30" t="n">
        <v>60</v>
      </c>
      <c r="S1410" s="30" t="str">
        <f aca="false">IF(Q1410&lt;判定条件!$C$6,"判定不能",IF(R1410&gt;=判定条件!$C$7*Q1410,"運転",IF(R1410&lt;=判定条件!$C$8*Q1410,"停止","断続")))</f>
        <v>運転</v>
      </c>
      <c r="T1410" s="30" t="n">
        <v>60</v>
      </c>
      <c r="U1410" s="30" t="n">
        <v>50</v>
      </c>
      <c r="V1410" s="30" t="str">
        <f aca="false">IF(T1410&lt;判定条件!$C$6,"判定不能",IF(U1410&gt;=判定条件!$C$7*T1410,"運転",IF(U1410&lt;=判定条件!$C$8*T1410,"停止","断続")))</f>
        <v>運転</v>
      </c>
      <c r="W1410" s="30" t="n">
        <v>0</v>
      </c>
      <c r="X1410" s="30" t="n">
        <v>0</v>
      </c>
      <c r="Y1410" s="30" t="str">
        <f aca="false">IF(W1410&lt;判定条件!$C$6,"判定不能",IF(X1410&gt;=判定条件!$C$7*W1410,"運転",IF(X1410&lt;=判定条件!$C$8*W1410,"停止","断続")))</f>
        <v>判定不能</v>
      </c>
      <c r="Z1410" s="30" t="n">
        <v>0</v>
      </c>
      <c r="AA1410" s="30" t="n">
        <v>0</v>
      </c>
      <c r="AB1410" s="30" t="str">
        <f aca="false">IF(Z1410&lt;判定条件!$C$6,"判定不能",IF(AA1410&gt;=判定条件!$C$7*Z1410,"運転",IF(AA1410&lt;=判定条件!$C$8*Z1410,"停止","断続")))</f>
        <v>判定不能</v>
      </c>
      <c r="AC1410" s="30" t="n">
        <v>0</v>
      </c>
      <c r="AD1410" s="30" t="n">
        <v>0</v>
      </c>
      <c r="AE1410" s="30" t="str">
        <f aca="false">IF(AC1410&lt;判定条件!$C$6,"判定不能",IF(AD1410&gt;=判定条件!$C$7*AC1410,"運転",IF(AD1410&lt;=判定条件!$C$8*AC1410,"停止","断続")))</f>
        <v>判定不能</v>
      </c>
      <c r="AF1410" s="30" t="n">
        <v>60</v>
      </c>
      <c r="AG1410" s="30" t="n">
        <v>57</v>
      </c>
      <c r="AH1410" s="30" t="str">
        <f aca="false">IF(OR(P1410="判定不能",G1410="判定不能"),"判定不能",IF(AG1410&gt;=判定条件!$C$9,"利用可",IF(AND(P1410="停止",G1410="停止"),"両方停止","運転がそろわない")))</f>
        <v>利用可</v>
      </c>
      <c r="AI1410" s="30" t="n">
        <v>60</v>
      </c>
      <c r="AJ1410" s="30" t="n">
        <v>60</v>
      </c>
      <c r="AK1410" s="30" t="str">
        <f aca="false">IF(OR(S1410="判定不能",J1410="判定不能"),"判定不能",IF(AJ1410&gt;=判定条件!$C$9,"利用可",IF(AND(S1410="停止",J1410="停止"),"両方停止","運転がそろわない")))</f>
        <v>利用可</v>
      </c>
      <c r="AL1410" s="30" t="n">
        <v>60</v>
      </c>
      <c r="AM1410" s="30" t="n">
        <v>50</v>
      </c>
      <c r="AN1410" s="30" t="str">
        <f aca="false">IF(OR(V1410="判定不能",M1410="判定不能"),"判定不能",IF(AM1410&gt;=判定条件!$C$9,"利用可",IF(AND(V1410="停止",M1410="停止"),"両方停止","運転がそろわない")))</f>
        <v>利用可</v>
      </c>
      <c r="AO1410" s="30" t="n">
        <v>0</v>
      </c>
      <c r="AP1410" s="30" t="n">
        <v>0</v>
      </c>
      <c r="AQ1410" s="30" t="str">
        <f aca="false">IF(OR(Y1410="判定不能",G1410="判定不能"),"判定不能",IF(AP1410&gt;=判定条件!$C$9,"利用可",IF(AND(Y1410="停止",G1410="停止"),"両方停止","運転がそろわない")))</f>
        <v>判定不能</v>
      </c>
      <c r="AR1410" s="30" t="n">
        <v>0</v>
      </c>
      <c r="AS1410" s="30" t="n">
        <v>0</v>
      </c>
      <c r="AT1410" s="30" t="str">
        <f aca="false">IF(OR(AB1410="判定不能",J1410="判定不能"),"判定不能",IF(AS1410&gt;=判定条件!$C$9,"利用可",IF(AND(AB1410="停止",J1410="停止"),"両方停止","運転がそろわない")))</f>
        <v>判定不能</v>
      </c>
      <c r="AU1410" s="30" t="n">
        <v>0</v>
      </c>
      <c r="AV1410" s="30" t="n">
        <v>0</v>
      </c>
      <c r="AW1410" s="30" t="str">
        <f aca="false">IF(OR(AE1410="判定不能",M1410="判定不能"),"判定不能",IF(AV1410&gt;=判定条件!$C$9,"利用可",IF(AND(AE1410="停止",M1410="停止"),"両方停止","運転がそろわない")))</f>
        <v>判定不能</v>
      </c>
      <c r="AX1410" s="30" t="str">
        <f aca="false">IF(AND(AH1410="利用可",AK1410="利用可",AN1410="利用可"),"利用可","不可")</f>
        <v>利用可</v>
      </c>
      <c r="AY1410" s="30" t="str">
        <f aca="false">IF(AND(AQ1410="利用可",AT1410="利用可",AW1410="利用可"),"利用可","不可")</f>
        <v>不可</v>
      </c>
    </row>
    <row r="1411" customFormat="false" ht="15" hidden="false" customHeight="false" outlineLevel="0" collapsed="false">
      <c r="A1411" s="29" t="n">
        <v>46290</v>
      </c>
      <c r="B1411" s="30" t="n">
        <v>16</v>
      </c>
      <c r="C1411" s="31" t="s">
        <v>62</v>
      </c>
      <c r="D1411" s="31" t="s">
        <v>59</v>
      </c>
      <c r="E1411" s="30" t="n">
        <v>60</v>
      </c>
      <c r="F1411" s="30" t="n">
        <v>60</v>
      </c>
      <c r="G1411" s="30" t="str">
        <f aca="false">IF(E1411&lt;判定条件!$C$6,"判定不能",IF(F1411&gt;=判定条件!$C$7*E1411,"運転",IF(F1411&lt;=判定条件!$C$8*E1411,"停止","断続")))</f>
        <v>運転</v>
      </c>
      <c r="H1411" s="30" t="n">
        <v>60</v>
      </c>
      <c r="I1411" s="30" t="n">
        <v>60</v>
      </c>
      <c r="J1411" s="30" t="str">
        <f aca="false">IF(H1411&lt;判定条件!$C$6,"判定不能",IF(I1411&gt;=判定条件!$C$7*H1411,"運転",IF(I1411&lt;=判定条件!$C$8*H1411,"停止","断続")))</f>
        <v>運転</v>
      </c>
      <c r="K1411" s="30" t="n">
        <v>60</v>
      </c>
      <c r="L1411" s="30" t="n">
        <v>60</v>
      </c>
      <c r="M1411" s="30" t="str">
        <f aca="false">IF(K1411&lt;判定条件!$C$6,"判定不能",IF(L1411&gt;=判定条件!$C$7*K1411,"運転",IF(L1411&lt;=判定条件!$C$8*K1411,"停止","断続")))</f>
        <v>運転</v>
      </c>
      <c r="N1411" s="30" t="n">
        <v>60</v>
      </c>
      <c r="O1411" s="30" t="n">
        <v>60</v>
      </c>
      <c r="P1411" s="30" t="str">
        <f aca="false">IF(N1411&lt;判定条件!$C$6,"判定不能",IF(O1411&gt;=判定条件!$C$7*N1411,"運転",IF(O1411&lt;=判定条件!$C$8*N1411,"停止","断続")))</f>
        <v>運転</v>
      </c>
      <c r="Q1411" s="30" t="n">
        <v>60</v>
      </c>
      <c r="R1411" s="30" t="n">
        <v>38</v>
      </c>
      <c r="S1411" s="30" t="str">
        <f aca="false">IF(Q1411&lt;判定条件!$C$6,"判定不能",IF(R1411&gt;=判定条件!$C$7*Q1411,"運転",IF(R1411&lt;=判定条件!$C$8*Q1411,"停止","断続")))</f>
        <v>断続</v>
      </c>
      <c r="T1411" s="30" t="n">
        <v>60</v>
      </c>
      <c r="U1411" s="30" t="n">
        <v>60</v>
      </c>
      <c r="V1411" s="30" t="str">
        <f aca="false">IF(T1411&lt;判定条件!$C$6,"判定不能",IF(U1411&gt;=判定条件!$C$7*T1411,"運転",IF(U1411&lt;=判定条件!$C$8*T1411,"停止","断続")))</f>
        <v>運転</v>
      </c>
      <c r="W1411" s="30" t="n">
        <v>0</v>
      </c>
      <c r="X1411" s="30" t="n">
        <v>0</v>
      </c>
      <c r="Y1411" s="30" t="str">
        <f aca="false">IF(W1411&lt;判定条件!$C$6,"判定不能",IF(X1411&gt;=判定条件!$C$7*W1411,"運転",IF(X1411&lt;=判定条件!$C$8*W1411,"停止","断続")))</f>
        <v>判定不能</v>
      </c>
      <c r="Z1411" s="30" t="n">
        <v>0</v>
      </c>
      <c r="AA1411" s="30" t="n">
        <v>0</v>
      </c>
      <c r="AB1411" s="30" t="str">
        <f aca="false">IF(Z1411&lt;判定条件!$C$6,"判定不能",IF(AA1411&gt;=判定条件!$C$7*Z1411,"運転",IF(AA1411&lt;=判定条件!$C$8*Z1411,"停止","断続")))</f>
        <v>判定不能</v>
      </c>
      <c r="AC1411" s="30" t="n">
        <v>0</v>
      </c>
      <c r="AD1411" s="30" t="n">
        <v>0</v>
      </c>
      <c r="AE1411" s="30" t="str">
        <f aca="false">IF(AC1411&lt;判定条件!$C$6,"判定不能",IF(AD1411&gt;=判定条件!$C$7*AC1411,"運転",IF(AD1411&lt;=判定条件!$C$8*AC1411,"停止","断続")))</f>
        <v>判定不能</v>
      </c>
      <c r="AF1411" s="30" t="n">
        <v>60</v>
      </c>
      <c r="AG1411" s="30" t="n">
        <v>60</v>
      </c>
      <c r="AH1411" s="30" t="str">
        <f aca="false">IF(OR(P1411="判定不能",G1411="判定不能"),"判定不能",IF(AG1411&gt;=判定条件!$C$9,"利用可",IF(AND(P1411="停止",G1411="停止"),"両方停止","運転がそろわない")))</f>
        <v>利用可</v>
      </c>
      <c r="AI1411" s="30" t="n">
        <v>60</v>
      </c>
      <c r="AJ1411" s="30" t="n">
        <v>38</v>
      </c>
      <c r="AK1411" s="30" t="str">
        <f aca="false">IF(OR(S1411="判定不能",J1411="判定不能"),"判定不能",IF(AJ1411&gt;=判定条件!$C$9,"利用可",IF(AND(S1411="停止",J1411="停止"),"両方停止","運転がそろわない")))</f>
        <v>利用可</v>
      </c>
      <c r="AL1411" s="30" t="n">
        <v>60</v>
      </c>
      <c r="AM1411" s="30" t="n">
        <v>60</v>
      </c>
      <c r="AN1411" s="30" t="str">
        <f aca="false">IF(OR(V1411="判定不能",M1411="判定不能"),"判定不能",IF(AM1411&gt;=判定条件!$C$9,"利用可",IF(AND(V1411="停止",M1411="停止"),"両方停止","運転がそろわない")))</f>
        <v>利用可</v>
      </c>
      <c r="AO1411" s="30" t="n">
        <v>0</v>
      </c>
      <c r="AP1411" s="30" t="n">
        <v>0</v>
      </c>
      <c r="AQ1411" s="30" t="str">
        <f aca="false">IF(OR(Y1411="判定不能",G1411="判定不能"),"判定不能",IF(AP1411&gt;=判定条件!$C$9,"利用可",IF(AND(Y1411="停止",G1411="停止"),"両方停止","運転がそろわない")))</f>
        <v>判定不能</v>
      </c>
      <c r="AR1411" s="30" t="n">
        <v>0</v>
      </c>
      <c r="AS1411" s="30" t="n">
        <v>0</v>
      </c>
      <c r="AT1411" s="30" t="str">
        <f aca="false">IF(OR(AB1411="判定不能",J1411="判定不能"),"判定不能",IF(AS1411&gt;=判定条件!$C$9,"利用可",IF(AND(AB1411="停止",J1411="停止"),"両方停止","運転がそろわない")))</f>
        <v>判定不能</v>
      </c>
      <c r="AU1411" s="30" t="n">
        <v>0</v>
      </c>
      <c r="AV1411" s="30" t="n">
        <v>0</v>
      </c>
      <c r="AW1411" s="30" t="str">
        <f aca="false">IF(OR(AE1411="判定不能",M1411="判定不能"),"判定不能",IF(AV1411&gt;=判定条件!$C$9,"利用可",IF(AND(AE1411="停止",M1411="停止"),"両方停止","運転がそろわない")))</f>
        <v>判定不能</v>
      </c>
      <c r="AX1411" s="30" t="str">
        <f aca="false">IF(AND(AH1411="利用可",AK1411="利用可",AN1411="利用可"),"利用可","不可")</f>
        <v>利用可</v>
      </c>
      <c r="AY1411" s="30" t="str">
        <f aca="false">IF(AND(AQ1411="利用可",AT1411="利用可",AW1411="利用可"),"利用可","不可")</f>
        <v>不可</v>
      </c>
    </row>
    <row r="1412" customFormat="false" ht="15" hidden="false" customHeight="false" outlineLevel="0" collapsed="false">
      <c r="A1412" s="29" t="n">
        <v>46290</v>
      </c>
      <c r="B1412" s="30" t="n">
        <v>17</v>
      </c>
      <c r="C1412" s="31" t="s">
        <v>62</v>
      </c>
      <c r="D1412" s="31" t="s">
        <v>59</v>
      </c>
      <c r="E1412" s="30" t="n">
        <v>60</v>
      </c>
      <c r="F1412" s="30" t="n">
        <v>50</v>
      </c>
      <c r="G1412" s="30" t="str">
        <f aca="false">IF(E1412&lt;判定条件!$C$6,"判定不能",IF(F1412&gt;=判定条件!$C$7*E1412,"運転",IF(F1412&lt;=判定条件!$C$8*E1412,"停止","断続")))</f>
        <v>運転</v>
      </c>
      <c r="H1412" s="30" t="n">
        <v>60</v>
      </c>
      <c r="I1412" s="30" t="n">
        <v>55</v>
      </c>
      <c r="J1412" s="30" t="str">
        <f aca="false">IF(H1412&lt;判定条件!$C$6,"判定不能",IF(I1412&gt;=判定条件!$C$7*H1412,"運転",IF(I1412&lt;=判定条件!$C$8*H1412,"停止","断続")))</f>
        <v>運転</v>
      </c>
      <c r="K1412" s="30" t="n">
        <v>60</v>
      </c>
      <c r="L1412" s="30" t="n">
        <v>60</v>
      </c>
      <c r="M1412" s="30" t="str">
        <f aca="false">IF(K1412&lt;判定条件!$C$6,"判定不能",IF(L1412&gt;=判定条件!$C$7*K1412,"運転",IF(L1412&lt;=判定条件!$C$8*K1412,"停止","断続")))</f>
        <v>運転</v>
      </c>
      <c r="N1412" s="30" t="n">
        <v>60</v>
      </c>
      <c r="O1412" s="30" t="n">
        <v>46</v>
      </c>
      <c r="P1412" s="30" t="str">
        <f aca="false">IF(N1412&lt;判定条件!$C$6,"判定不能",IF(O1412&gt;=判定条件!$C$7*N1412,"運転",IF(O1412&lt;=判定条件!$C$8*N1412,"停止","断続")))</f>
        <v>断続</v>
      </c>
      <c r="Q1412" s="30" t="n">
        <v>60</v>
      </c>
      <c r="R1412" s="30" t="n">
        <v>46</v>
      </c>
      <c r="S1412" s="30" t="str">
        <f aca="false">IF(Q1412&lt;判定条件!$C$6,"判定不能",IF(R1412&gt;=判定条件!$C$7*Q1412,"運転",IF(R1412&lt;=判定条件!$C$8*Q1412,"停止","断続")))</f>
        <v>断続</v>
      </c>
      <c r="T1412" s="30" t="n">
        <v>60</v>
      </c>
      <c r="U1412" s="30" t="n">
        <v>60</v>
      </c>
      <c r="V1412" s="30" t="str">
        <f aca="false">IF(T1412&lt;判定条件!$C$6,"判定不能",IF(U1412&gt;=判定条件!$C$7*T1412,"運転",IF(U1412&lt;=判定条件!$C$8*T1412,"停止","断続")))</f>
        <v>運転</v>
      </c>
      <c r="W1412" s="30" t="n">
        <v>0</v>
      </c>
      <c r="X1412" s="30" t="n">
        <v>0</v>
      </c>
      <c r="Y1412" s="30" t="str">
        <f aca="false">IF(W1412&lt;判定条件!$C$6,"判定不能",IF(X1412&gt;=判定条件!$C$7*W1412,"運転",IF(X1412&lt;=判定条件!$C$8*W1412,"停止","断続")))</f>
        <v>判定不能</v>
      </c>
      <c r="Z1412" s="30" t="n">
        <v>0</v>
      </c>
      <c r="AA1412" s="30" t="n">
        <v>0</v>
      </c>
      <c r="AB1412" s="30" t="str">
        <f aca="false">IF(Z1412&lt;判定条件!$C$6,"判定不能",IF(AA1412&gt;=判定条件!$C$7*Z1412,"運転",IF(AA1412&lt;=判定条件!$C$8*Z1412,"停止","断続")))</f>
        <v>判定不能</v>
      </c>
      <c r="AC1412" s="30" t="n">
        <v>0</v>
      </c>
      <c r="AD1412" s="30" t="n">
        <v>0</v>
      </c>
      <c r="AE1412" s="30" t="str">
        <f aca="false">IF(AC1412&lt;判定条件!$C$6,"判定不能",IF(AD1412&gt;=判定条件!$C$7*AC1412,"運転",IF(AD1412&lt;=判定条件!$C$8*AC1412,"停止","断続")))</f>
        <v>判定不能</v>
      </c>
      <c r="AF1412" s="30" t="n">
        <v>60</v>
      </c>
      <c r="AG1412" s="30" t="n">
        <v>36</v>
      </c>
      <c r="AH1412" s="30" t="str">
        <f aca="false">IF(OR(P1412="判定不能",G1412="判定不能"),"判定不能",IF(AG1412&gt;=判定条件!$C$9,"利用可",IF(AND(P1412="停止",G1412="停止"),"両方停止","運転がそろわない")))</f>
        <v>利用可</v>
      </c>
      <c r="AI1412" s="30" t="n">
        <v>60</v>
      </c>
      <c r="AJ1412" s="30" t="n">
        <v>41</v>
      </c>
      <c r="AK1412" s="30" t="str">
        <f aca="false">IF(OR(S1412="判定不能",J1412="判定不能"),"判定不能",IF(AJ1412&gt;=判定条件!$C$9,"利用可",IF(AND(S1412="停止",J1412="停止"),"両方停止","運転がそろわない")))</f>
        <v>利用可</v>
      </c>
      <c r="AL1412" s="30" t="n">
        <v>60</v>
      </c>
      <c r="AM1412" s="30" t="n">
        <v>60</v>
      </c>
      <c r="AN1412" s="30" t="str">
        <f aca="false">IF(OR(V1412="判定不能",M1412="判定不能"),"判定不能",IF(AM1412&gt;=判定条件!$C$9,"利用可",IF(AND(V1412="停止",M1412="停止"),"両方停止","運転がそろわない")))</f>
        <v>利用可</v>
      </c>
      <c r="AO1412" s="30" t="n">
        <v>0</v>
      </c>
      <c r="AP1412" s="30" t="n">
        <v>0</v>
      </c>
      <c r="AQ1412" s="30" t="str">
        <f aca="false">IF(OR(Y1412="判定不能",G1412="判定不能"),"判定不能",IF(AP1412&gt;=判定条件!$C$9,"利用可",IF(AND(Y1412="停止",G1412="停止"),"両方停止","運転がそろわない")))</f>
        <v>判定不能</v>
      </c>
      <c r="AR1412" s="30" t="n">
        <v>0</v>
      </c>
      <c r="AS1412" s="30" t="n">
        <v>0</v>
      </c>
      <c r="AT1412" s="30" t="str">
        <f aca="false">IF(OR(AB1412="判定不能",J1412="判定不能"),"判定不能",IF(AS1412&gt;=判定条件!$C$9,"利用可",IF(AND(AB1412="停止",J1412="停止"),"両方停止","運転がそろわない")))</f>
        <v>判定不能</v>
      </c>
      <c r="AU1412" s="30" t="n">
        <v>0</v>
      </c>
      <c r="AV1412" s="30" t="n">
        <v>0</v>
      </c>
      <c r="AW1412" s="30" t="str">
        <f aca="false">IF(OR(AE1412="判定不能",M1412="判定不能"),"判定不能",IF(AV1412&gt;=判定条件!$C$9,"利用可",IF(AND(AE1412="停止",M1412="停止"),"両方停止","運転がそろわない")))</f>
        <v>判定不能</v>
      </c>
      <c r="AX1412" s="30" t="str">
        <f aca="false">IF(AND(AH1412="利用可",AK1412="利用可",AN1412="利用可"),"利用可","不可")</f>
        <v>利用可</v>
      </c>
      <c r="AY1412" s="30" t="str">
        <f aca="false">IF(AND(AQ1412="利用可",AT1412="利用可",AW1412="利用可"),"利用可","不可")</f>
        <v>不可</v>
      </c>
    </row>
    <row r="1413" customFormat="false" ht="15" hidden="false" customHeight="false" outlineLevel="0" collapsed="false">
      <c r="A1413" s="29" t="n">
        <v>46290</v>
      </c>
      <c r="B1413" s="30" t="n">
        <v>18</v>
      </c>
      <c r="C1413" s="31" t="s">
        <v>62</v>
      </c>
      <c r="D1413" s="31" t="s">
        <v>59</v>
      </c>
      <c r="E1413" s="30" t="n">
        <v>60</v>
      </c>
      <c r="F1413" s="30" t="n">
        <v>60</v>
      </c>
      <c r="G1413" s="30" t="str">
        <f aca="false">IF(E1413&lt;判定条件!$C$6,"判定不能",IF(F1413&gt;=判定条件!$C$7*E1413,"運転",IF(F1413&lt;=判定条件!$C$8*E1413,"停止","断続")))</f>
        <v>運転</v>
      </c>
      <c r="H1413" s="30" t="n">
        <v>60</v>
      </c>
      <c r="I1413" s="30" t="n">
        <v>60</v>
      </c>
      <c r="J1413" s="30" t="str">
        <f aca="false">IF(H1413&lt;判定条件!$C$6,"判定不能",IF(I1413&gt;=判定条件!$C$7*H1413,"運転",IF(I1413&lt;=判定条件!$C$8*H1413,"停止","断続")))</f>
        <v>運転</v>
      </c>
      <c r="K1413" s="30" t="n">
        <v>60</v>
      </c>
      <c r="L1413" s="30" t="n">
        <v>45</v>
      </c>
      <c r="M1413" s="30" t="str">
        <f aca="false">IF(K1413&lt;判定条件!$C$6,"判定不能",IF(L1413&gt;=判定条件!$C$7*K1413,"運転",IF(L1413&lt;=判定条件!$C$8*K1413,"停止","断続")))</f>
        <v>断続</v>
      </c>
      <c r="N1413" s="30" t="n">
        <v>60</v>
      </c>
      <c r="O1413" s="30" t="n">
        <v>3</v>
      </c>
      <c r="P1413" s="30" t="str">
        <f aca="false">IF(N1413&lt;判定条件!$C$6,"判定不能",IF(O1413&gt;=判定条件!$C$7*N1413,"運転",IF(O1413&lt;=判定条件!$C$8*N1413,"停止","断続")))</f>
        <v>停止</v>
      </c>
      <c r="Q1413" s="30" t="n">
        <v>60</v>
      </c>
      <c r="R1413" s="30" t="n">
        <v>0</v>
      </c>
      <c r="S1413" s="30" t="str">
        <f aca="false">IF(Q1413&lt;判定条件!$C$6,"判定不能",IF(R1413&gt;=判定条件!$C$7*Q1413,"運転",IF(R1413&lt;=判定条件!$C$8*Q1413,"停止","断続")))</f>
        <v>停止</v>
      </c>
      <c r="T1413" s="30" t="n">
        <v>60</v>
      </c>
      <c r="U1413" s="30" t="n">
        <v>3</v>
      </c>
      <c r="V1413" s="30" t="str">
        <f aca="false">IF(T1413&lt;判定条件!$C$6,"判定不能",IF(U1413&gt;=判定条件!$C$7*T1413,"運転",IF(U1413&lt;=判定条件!$C$8*T1413,"停止","断続")))</f>
        <v>停止</v>
      </c>
      <c r="W1413" s="30" t="n">
        <v>0</v>
      </c>
      <c r="X1413" s="30" t="n">
        <v>0</v>
      </c>
      <c r="Y1413" s="30" t="str">
        <f aca="false">IF(W1413&lt;判定条件!$C$6,"判定不能",IF(X1413&gt;=判定条件!$C$7*W1413,"運転",IF(X1413&lt;=判定条件!$C$8*W1413,"停止","断続")))</f>
        <v>判定不能</v>
      </c>
      <c r="Z1413" s="30" t="n">
        <v>0</v>
      </c>
      <c r="AA1413" s="30" t="n">
        <v>0</v>
      </c>
      <c r="AB1413" s="30" t="str">
        <f aca="false">IF(Z1413&lt;判定条件!$C$6,"判定不能",IF(AA1413&gt;=判定条件!$C$7*Z1413,"運転",IF(AA1413&lt;=判定条件!$C$8*Z1413,"停止","断続")))</f>
        <v>判定不能</v>
      </c>
      <c r="AC1413" s="30" t="n">
        <v>0</v>
      </c>
      <c r="AD1413" s="30" t="n">
        <v>0</v>
      </c>
      <c r="AE1413" s="30" t="str">
        <f aca="false">IF(AC1413&lt;判定条件!$C$6,"判定不能",IF(AD1413&gt;=判定条件!$C$7*AC1413,"運転",IF(AD1413&lt;=判定条件!$C$8*AC1413,"停止","断続")))</f>
        <v>判定不能</v>
      </c>
      <c r="AF1413" s="30" t="n">
        <v>60</v>
      </c>
      <c r="AG1413" s="30" t="n">
        <v>3</v>
      </c>
      <c r="AH1413" s="30" t="str">
        <f aca="false">IF(OR(P1413="判定不能",G1413="判定不能"),"判定不能",IF(AG1413&gt;=判定条件!$C$9,"利用可",IF(AND(P1413="停止",G1413="停止"),"両方停止","運転がそろわない")))</f>
        <v>運転がそろわない</v>
      </c>
      <c r="AI1413" s="30" t="n">
        <v>60</v>
      </c>
      <c r="AJ1413" s="30" t="n">
        <v>0</v>
      </c>
      <c r="AK1413" s="30" t="str">
        <f aca="false">IF(OR(S1413="判定不能",J1413="判定不能"),"判定不能",IF(AJ1413&gt;=判定条件!$C$9,"利用可",IF(AND(S1413="停止",J1413="停止"),"両方停止","運転がそろわない")))</f>
        <v>運転がそろわない</v>
      </c>
      <c r="AL1413" s="30" t="n">
        <v>60</v>
      </c>
      <c r="AM1413" s="30" t="n">
        <v>3</v>
      </c>
      <c r="AN1413" s="30" t="str">
        <f aca="false">IF(OR(V1413="判定不能",M1413="判定不能"),"判定不能",IF(AM1413&gt;=判定条件!$C$9,"利用可",IF(AND(V1413="停止",M1413="停止"),"両方停止","運転がそろわない")))</f>
        <v>運転がそろわない</v>
      </c>
      <c r="AO1413" s="30" t="n">
        <v>0</v>
      </c>
      <c r="AP1413" s="30" t="n">
        <v>0</v>
      </c>
      <c r="AQ1413" s="30" t="str">
        <f aca="false">IF(OR(Y1413="判定不能",G1413="判定不能"),"判定不能",IF(AP1413&gt;=判定条件!$C$9,"利用可",IF(AND(Y1413="停止",G1413="停止"),"両方停止","運転がそろわない")))</f>
        <v>判定不能</v>
      </c>
      <c r="AR1413" s="30" t="n">
        <v>0</v>
      </c>
      <c r="AS1413" s="30" t="n">
        <v>0</v>
      </c>
      <c r="AT1413" s="30" t="str">
        <f aca="false">IF(OR(AB1413="判定不能",J1413="判定不能"),"判定不能",IF(AS1413&gt;=判定条件!$C$9,"利用可",IF(AND(AB1413="停止",J1413="停止"),"両方停止","運転がそろわない")))</f>
        <v>判定不能</v>
      </c>
      <c r="AU1413" s="30" t="n">
        <v>0</v>
      </c>
      <c r="AV1413" s="30" t="n">
        <v>0</v>
      </c>
      <c r="AW1413" s="30" t="str">
        <f aca="false">IF(OR(AE1413="判定不能",M1413="判定不能"),"判定不能",IF(AV1413&gt;=判定条件!$C$9,"利用可",IF(AND(AE1413="停止",M1413="停止"),"両方停止","運転がそろわない")))</f>
        <v>判定不能</v>
      </c>
      <c r="AX1413" s="30" t="str">
        <f aca="false">IF(AND(AH1413="利用可",AK1413="利用可",AN1413="利用可"),"利用可","不可")</f>
        <v>不可</v>
      </c>
      <c r="AY1413" s="30" t="str">
        <f aca="false">IF(AND(AQ1413="利用可",AT1413="利用可",AW1413="利用可"),"利用可","不可")</f>
        <v>不可</v>
      </c>
    </row>
    <row r="1414" customFormat="false" ht="15" hidden="false" customHeight="false" outlineLevel="0" collapsed="false">
      <c r="A1414" s="29" t="n">
        <v>46290</v>
      </c>
      <c r="B1414" s="30" t="n">
        <v>19</v>
      </c>
      <c r="C1414" s="31" t="s">
        <v>62</v>
      </c>
      <c r="D1414" s="31" t="s">
        <v>59</v>
      </c>
      <c r="E1414" s="30" t="n">
        <v>60</v>
      </c>
      <c r="F1414" s="30" t="n">
        <v>40</v>
      </c>
      <c r="G1414" s="30" t="str">
        <f aca="false">IF(E1414&lt;判定条件!$C$6,"判定不能",IF(F1414&gt;=判定条件!$C$7*E1414,"運転",IF(F1414&lt;=判定条件!$C$8*E1414,"停止","断続")))</f>
        <v>断続</v>
      </c>
      <c r="H1414" s="30" t="n">
        <v>60</v>
      </c>
      <c r="I1414" s="30" t="n">
        <v>38</v>
      </c>
      <c r="J1414" s="30" t="str">
        <f aca="false">IF(H1414&lt;判定条件!$C$6,"判定不能",IF(I1414&gt;=判定条件!$C$7*H1414,"運転",IF(I1414&lt;=判定条件!$C$8*H1414,"停止","断続")))</f>
        <v>断続</v>
      </c>
      <c r="K1414" s="30" t="n">
        <v>60</v>
      </c>
      <c r="L1414" s="30" t="n">
        <v>60</v>
      </c>
      <c r="M1414" s="30" t="str">
        <f aca="false">IF(K1414&lt;判定条件!$C$6,"判定不能",IF(L1414&gt;=判定条件!$C$7*K1414,"運転",IF(L1414&lt;=判定条件!$C$8*K1414,"停止","断続")))</f>
        <v>運転</v>
      </c>
      <c r="N1414" s="30" t="n">
        <v>60</v>
      </c>
      <c r="O1414" s="30" t="n">
        <v>0</v>
      </c>
      <c r="P1414" s="30" t="str">
        <f aca="false">IF(N1414&lt;判定条件!$C$6,"判定不能",IF(O1414&gt;=判定条件!$C$7*N1414,"運転",IF(O1414&lt;=判定条件!$C$8*N1414,"停止","断続")))</f>
        <v>停止</v>
      </c>
      <c r="Q1414" s="30" t="n">
        <v>60</v>
      </c>
      <c r="R1414" s="30" t="n">
        <v>52</v>
      </c>
      <c r="S1414" s="30" t="str">
        <f aca="false">IF(Q1414&lt;判定条件!$C$6,"判定不能",IF(R1414&gt;=判定条件!$C$7*Q1414,"運転",IF(R1414&lt;=判定条件!$C$8*Q1414,"停止","断続")))</f>
        <v>運転</v>
      </c>
      <c r="T1414" s="30" t="n">
        <v>60</v>
      </c>
      <c r="U1414" s="30" t="n">
        <v>0</v>
      </c>
      <c r="V1414" s="30" t="str">
        <f aca="false">IF(T1414&lt;判定条件!$C$6,"判定不能",IF(U1414&gt;=判定条件!$C$7*T1414,"運転",IF(U1414&lt;=判定条件!$C$8*T1414,"停止","断続")))</f>
        <v>停止</v>
      </c>
      <c r="W1414" s="30" t="n">
        <v>0</v>
      </c>
      <c r="X1414" s="30" t="n">
        <v>0</v>
      </c>
      <c r="Y1414" s="30" t="str">
        <f aca="false">IF(W1414&lt;判定条件!$C$6,"判定不能",IF(X1414&gt;=判定条件!$C$7*W1414,"運転",IF(X1414&lt;=判定条件!$C$8*W1414,"停止","断続")))</f>
        <v>判定不能</v>
      </c>
      <c r="Z1414" s="30" t="n">
        <v>0</v>
      </c>
      <c r="AA1414" s="30" t="n">
        <v>0</v>
      </c>
      <c r="AB1414" s="30" t="str">
        <f aca="false">IF(Z1414&lt;判定条件!$C$6,"判定不能",IF(AA1414&gt;=判定条件!$C$7*Z1414,"運転",IF(AA1414&lt;=判定条件!$C$8*Z1414,"停止","断続")))</f>
        <v>判定不能</v>
      </c>
      <c r="AC1414" s="30" t="n">
        <v>0</v>
      </c>
      <c r="AD1414" s="30" t="n">
        <v>0</v>
      </c>
      <c r="AE1414" s="30" t="str">
        <f aca="false">IF(AC1414&lt;判定条件!$C$6,"判定不能",IF(AD1414&gt;=判定条件!$C$7*AC1414,"運転",IF(AD1414&lt;=判定条件!$C$8*AC1414,"停止","断続")))</f>
        <v>判定不能</v>
      </c>
      <c r="AF1414" s="30" t="n">
        <v>60</v>
      </c>
      <c r="AG1414" s="30" t="n">
        <v>0</v>
      </c>
      <c r="AH1414" s="30" t="str">
        <f aca="false">IF(OR(P1414="判定不能",G1414="判定不能"),"判定不能",IF(AG1414&gt;=判定条件!$C$9,"利用可",IF(AND(P1414="停止",G1414="停止"),"両方停止","運転がそろわない")))</f>
        <v>運転がそろわない</v>
      </c>
      <c r="AI1414" s="30" t="n">
        <v>60</v>
      </c>
      <c r="AJ1414" s="30" t="n">
        <v>30</v>
      </c>
      <c r="AK1414" s="30" t="str">
        <f aca="false">IF(OR(S1414="判定不能",J1414="判定不能"),"判定不能",IF(AJ1414&gt;=判定条件!$C$9,"利用可",IF(AND(S1414="停止",J1414="停止"),"両方停止","運転がそろわない")))</f>
        <v>利用可</v>
      </c>
      <c r="AL1414" s="30" t="n">
        <v>60</v>
      </c>
      <c r="AM1414" s="30" t="n">
        <v>0</v>
      </c>
      <c r="AN1414" s="30" t="str">
        <f aca="false">IF(OR(V1414="判定不能",M1414="判定不能"),"判定不能",IF(AM1414&gt;=判定条件!$C$9,"利用可",IF(AND(V1414="停止",M1414="停止"),"両方停止","運転がそろわない")))</f>
        <v>運転がそろわない</v>
      </c>
      <c r="AO1414" s="30" t="n">
        <v>0</v>
      </c>
      <c r="AP1414" s="30" t="n">
        <v>0</v>
      </c>
      <c r="AQ1414" s="30" t="str">
        <f aca="false">IF(OR(Y1414="判定不能",G1414="判定不能"),"判定不能",IF(AP1414&gt;=判定条件!$C$9,"利用可",IF(AND(Y1414="停止",G1414="停止"),"両方停止","運転がそろわない")))</f>
        <v>判定不能</v>
      </c>
      <c r="AR1414" s="30" t="n">
        <v>0</v>
      </c>
      <c r="AS1414" s="30" t="n">
        <v>0</v>
      </c>
      <c r="AT1414" s="30" t="str">
        <f aca="false">IF(OR(AB1414="判定不能",J1414="判定不能"),"判定不能",IF(AS1414&gt;=判定条件!$C$9,"利用可",IF(AND(AB1414="停止",J1414="停止"),"両方停止","運転がそろわない")))</f>
        <v>判定不能</v>
      </c>
      <c r="AU1414" s="30" t="n">
        <v>0</v>
      </c>
      <c r="AV1414" s="30" t="n">
        <v>0</v>
      </c>
      <c r="AW1414" s="30" t="str">
        <f aca="false">IF(OR(AE1414="判定不能",M1414="判定不能"),"判定不能",IF(AV1414&gt;=判定条件!$C$9,"利用可",IF(AND(AE1414="停止",M1414="停止"),"両方停止","運転がそろわない")))</f>
        <v>判定不能</v>
      </c>
      <c r="AX1414" s="30" t="str">
        <f aca="false">IF(AND(AH1414="利用可",AK1414="利用可",AN1414="利用可"),"利用可","不可")</f>
        <v>不可</v>
      </c>
      <c r="AY1414" s="30" t="str">
        <f aca="false">IF(AND(AQ1414="利用可",AT1414="利用可",AW1414="利用可"),"利用可","不可")</f>
        <v>不可</v>
      </c>
    </row>
    <row r="1415" customFormat="false" ht="15" hidden="false" customHeight="false" outlineLevel="0" collapsed="false">
      <c r="A1415" s="29" t="n">
        <v>46290</v>
      </c>
      <c r="B1415" s="30" t="n">
        <v>20</v>
      </c>
      <c r="C1415" s="31" t="s">
        <v>62</v>
      </c>
      <c r="D1415" s="31" t="s">
        <v>59</v>
      </c>
      <c r="E1415" s="30" t="n">
        <v>60</v>
      </c>
      <c r="F1415" s="30" t="n">
        <v>37</v>
      </c>
      <c r="G1415" s="30" t="str">
        <f aca="false">IF(E1415&lt;判定条件!$C$6,"判定不能",IF(F1415&gt;=判定条件!$C$7*E1415,"運転",IF(F1415&lt;=判定条件!$C$8*E1415,"停止","断続")))</f>
        <v>断続</v>
      </c>
      <c r="H1415" s="30" t="n">
        <v>60</v>
      </c>
      <c r="I1415" s="30" t="n">
        <v>27</v>
      </c>
      <c r="J1415" s="30" t="str">
        <f aca="false">IF(H1415&lt;判定条件!$C$6,"判定不能",IF(I1415&gt;=判定条件!$C$7*H1415,"運転",IF(I1415&lt;=判定条件!$C$8*H1415,"停止","断続")))</f>
        <v>断続</v>
      </c>
      <c r="K1415" s="30" t="n">
        <v>60</v>
      </c>
      <c r="L1415" s="30" t="n">
        <v>51</v>
      </c>
      <c r="M1415" s="30" t="str">
        <f aca="false">IF(K1415&lt;判定条件!$C$6,"判定不能",IF(L1415&gt;=判定条件!$C$7*K1415,"運転",IF(L1415&lt;=判定条件!$C$8*K1415,"停止","断続")))</f>
        <v>運転</v>
      </c>
      <c r="N1415" s="30" t="n">
        <v>60</v>
      </c>
      <c r="O1415" s="30" t="n">
        <v>0</v>
      </c>
      <c r="P1415" s="30" t="str">
        <f aca="false">IF(N1415&lt;判定条件!$C$6,"判定不能",IF(O1415&gt;=判定条件!$C$7*N1415,"運転",IF(O1415&lt;=判定条件!$C$8*N1415,"停止","断続")))</f>
        <v>停止</v>
      </c>
      <c r="Q1415" s="30" t="n">
        <v>60</v>
      </c>
      <c r="R1415" s="30" t="n">
        <v>2</v>
      </c>
      <c r="S1415" s="30" t="str">
        <f aca="false">IF(Q1415&lt;判定条件!$C$6,"判定不能",IF(R1415&gt;=判定条件!$C$7*Q1415,"運転",IF(R1415&lt;=判定条件!$C$8*Q1415,"停止","断続")))</f>
        <v>停止</v>
      </c>
      <c r="T1415" s="30" t="n">
        <v>60</v>
      </c>
      <c r="U1415" s="30" t="n">
        <v>0</v>
      </c>
      <c r="V1415" s="30" t="str">
        <f aca="false">IF(T1415&lt;判定条件!$C$6,"判定不能",IF(U1415&gt;=判定条件!$C$7*T1415,"運転",IF(U1415&lt;=判定条件!$C$8*T1415,"停止","断続")))</f>
        <v>停止</v>
      </c>
      <c r="W1415" s="30" t="n">
        <v>0</v>
      </c>
      <c r="X1415" s="30" t="n">
        <v>0</v>
      </c>
      <c r="Y1415" s="30" t="str">
        <f aca="false">IF(W1415&lt;判定条件!$C$6,"判定不能",IF(X1415&gt;=判定条件!$C$7*W1415,"運転",IF(X1415&lt;=判定条件!$C$8*W1415,"停止","断続")))</f>
        <v>判定不能</v>
      </c>
      <c r="Z1415" s="30" t="n">
        <v>0</v>
      </c>
      <c r="AA1415" s="30" t="n">
        <v>0</v>
      </c>
      <c r="AB1415" s="30" t="str">
        <f aca="false">IF(Z1415&lt;判定条件!$C$6,"判定不能",IF(AA1415&gt;=判定条件!$C$7*Z1415,"運転",IF(AA1415&lt;=判定条件!$C$8*Z1415,"停止","断続")))</f>
        <v>判定不能</v>
      </c>
      <c r="AC1415" s="30" t="n">
        <v>0</v>
      </c>
      <c r="AD1415" s="30" t="n">
        <v>0</v>
      </c>
      <c r="AE1415" s="30" t="str">
        <f aca="false">IF(AC1415&lt;判定条件!$C$6,"判定不能",IF(AD1415&gt;=判定条件!$C$7*AC1415,"運転",IF(AD1415&lt;=判定条件!$C$8*AC1415,"停止","断続")))</f>
        <v>判定不能</v>
      </c>
      <c r="AF1415" s="30" t="n">
        <v>60</v>
      </c>
      <c r="AG1415" s="30" t="n">
        <v>0</v>
      </c>
      <c r="AH1415" s="30" t="str">
        <f aca="false">IF(OR(P1415="判定不能",G1415="判定不能"),"判定不能",IF(AG1415&gt;=判定条件!$C$9,"利用可",IF(AND(P1415="停止",G1415="停止"),"両方停止","運転がそろわない")))</f>
        <v>運転がそろわない</v>
      </c>
      <c r="AI1415" s="30" t="n">
        <v>60</v>
      </c>
      <c r="AJ1415" s="30" t="n">
        <v>0</v>
      </c>
      <c r="AK1415" s="30" t="str">
        <f aca="false">IF(OR(S1415="判定不能",J1415="判定不能"),"判定不能",IF(AJ1415&gt;=判定条件!$C$9,"利用可",IF(AND(S1415="停止",J1415="停止"),"両方停止","運転がそろわない")))</f>
        <v>運転がそろわない</v>
      </c>
      <c r="AL1415" s="30" t="n">
        <v>60</v>
      </c>
      <c r="AM1415" s="30" t="n">
        <v>0</v>
      </c>
      <c r="AN1415" s="30" t="str">
        <f aca="false">IF(OR(V1415="判定不能",M1415="判定不能"),"判定不能",IF(AM1415&gt;=判定条件!$C$9,"利用可",IF(AND(V1415="停止",M1415="停止"),"両方停止","運転がそろわない")))</f>
        <v>運転がそろわない</v>
      </c>
      <c r="AO1415" s="30" t="n">
        <v>0</v>
      </c>
      <c r="AP1415" s="30" t="n">
        <v>0</v>
      </c>
      <c r="AQ1415" s="30" t="str">
        <f aca="false">IF(OR(Y1415="判定不能",G1415="判定不能"),"判定不能",IF(AP1415&gt;=判定条件!$C$9,"利用可",IF(AND(Y1415="停止",G1415="停止"),"両方停止","運転がそろわない")))</f>
        <v>判定不能</v>
      </c>
      <c r="AR1415" s="30" t="n">
        <v>0</v>
      </c>
      <c r="AS1415" s="30" t="n">
        <v>0</v>
      </c>
      <c r="AT1415" s="30" t="str">
        <f aca="false">IF(OR(AB1415="判定不能",J1415="判定不能"),"判定不能",IF(AS1415&gt;=判定条件!$C$9,"利用可",IF(AND(AB1415="停止",J1415="停止"),"両方停止","運転がそろわない")))</f>
        <v>判定不能</v>
      </c>
      <c r="AU1415" s="30" t="n">
        <v>0</v>
      </c>
      <c r="AV1415" s="30" t="n">
        <v>0</v>
      </c>
      <c r="AW1415" s="30" t="str">
        <f aca="false">IF(OR(AE1415="判定不能",M1415="判定不能"),"判定不能",IF(AV1415&gt;=判定条件!$C$9,"利用可",IF(AND(AE1415="停止",M1415="停止"),"両方停止","運転がそろわない")))</f>
        <v>判定不能</v>
      </c>
      <c r="AX1415" s="30" t="str">
        <f aca="false">IF(AND(AH1415="利用可",AK1415="利用可",AN1415="利用可"),"利用可","不可")</f>
        <v>不可</v>
      </c>
      <c r="AY1415" s="30" t="str">
        <f aca="false">IF(AND(AQ1415="利用可",AT1415="利用可",AW1415="利用可"),"利用可","不可")</f>
        <v>不可</v>
      </c>
    </row>
    <row r="1416" customFormat="false" ht="15" hidden="false" customHeight="false" outlineLevel="0" collapsed="false">
      <c r="A1416" s="29" t="n">
        <v>46290</v>
      </c>
      <c r="B1416" s="30" t="n">
        <v>21</v>
      </c>
      <c r="C1416" s="31" t="s">
        <v>62</v>
      </c>
      <c r="D1416" s="31" t="s">
        <v>59</v>
      </c>
      <c r="E1416" s="30" t="n">
        <v>60</v>
      </c>
      <c r="F1416" s="30" t="n">
        <v>0</v>
      </c>
      <c r="G1416" s="30" t="str">
        <f aca="false">IF(E1416&lt;判定条件!$C$6,"判定不能",IF(F1416&gt;=判定条件!$C$7*E1416,"運転",IF(F1416&lt;=判定条件!$C$8*E1416,"停止","断続")))</f>
        <v>停止</v>
      </c>
      <c r="H1416" s="30" t="n">
        <v>60</v>
      </c>
      <c r="I1416" s="30" t="n">
        <v>0</v>
      </c>
      <c r="J1416" s="30" t="str">
        <f aca="false">IF(H1416&lt;判定条件!$C$6,"判定不能",IF(I1416&gt;=判定条件!$C$7*H1416,"運転",IF(I1416&lt;=判定条件!$C$8*H1416,"停止","断続")))</f>
        <v>停止</v>
      </c>
      <c r="K1416" s="30" t="n">
        <v>60</v>
      </c>
      <c r="L1416" s="30" t="n">
        <v>0</v>
      </c>
      <c r="M1416" s="30" t="str">
        <f aca="false">IF(K1416&lt;判定条件!$C$6,"判定不能",IF(L1416&gt;=判定条件!$C$7*K1416,"運転",IF(L1416&lt;=判定条件!$C$8*K1416,"停止","断続")))</f>
        <v>停止</v>
      </c>
      <c r="N1416" s="30" t="n">
        <v>60</v>
      </c>
      <c r="O1416" s="30" t="n">
        <v>34</v>
      </c>
      <c r="P1416" s="30" t="str">
        <f aca="false">IF(N1416&lt;判定条件!$C$6,"判定不能",IF(O1416&gt;=判定条件!$C$7*N1416,"運転",IF(O1416&lt;=判定条件!$C$8*N1416,"停止","断続")))</f>
        <v>断続</v>
      </c>
      <c r="Q1416" s="30" t="n">
        <v>60</v>
      </c>
      <c r="R1416" s="30" t="n">
        <v>0</v>
      </c>
      <c r="S1416" s="30" t="str">
        <f aca="false">IF(Q1416&lt;判定条件!$C$6,"判定不能",IF(R1416&gt;=判定条件!$C$7*Q1416,"運転",IF(R1416&lt;=判定条件!$C$8*Q1416,"停止","断続")))</f>
        <v>停止</v>
      </c>
      <c r="T1416" s="30" t="n">
        <v>60</v>
      </c>
      <c r="U1416" s="30" t="n">
        <v>0</v>
      </c>
      <c r="V1416" s="30" t="str">
        <f aca="false">IF(T1416&lt;判定条件!$C$6,"判定不能",IF(U1416&gt;=判定条件!$C$7*T1416,"運転",IF(U1416&lt;=判定条件!$C$8*T1416,"停止","断続")))</f>
        <v>停止</v>
      </c>
      <c r="W1416" s="30" t="n">
        <v>0</v>
      </c>
      <c r="X1416" s="30" t="n">
        <v>0</v>
      </c>
      <c r="Y1416" s="30" t="str">
        <f aca="false">IF(W1416&lt;判定条件!$C$6,"判定不能",IF(X1416&gt;=判定条件!$C$7*W1416,"運転",IF(X1416&lt;=判定条件!$C$8*W1416,"停止","断続")))</f>
        <v>判定不能</v>
      </c>
      <c r="Z1416" s="30" t="n">
        <v>0</v>
      </c>
      <c r="AA1416" s="30" t="n">
        <v>0</v>
      </c>
      <c r="AB1416" s="30" t="str">
        <f aca="false">IF(Z1416&lt;判定条件!$C$6,"判定不能",IF(AA1416&gt;=判定条件!$C$7*Z1416,"運転",IF(AA1416&lt;=判定条件!$C$8*Z1416,"停止","断続")))</f>
        <v>判定不能</v>
      </c>
      <c r="AC1416" s="30" t="n">
        <v>0</v>
      </c>
      <c r="AD1416" s="30" t="n">
        <v>0</v>
      </c>
      <c r="AE1416" s="30" t="str">
        <f aca="false">IF(AC1416&lt;判定条件!$C$6,"判定不能",IF(AD1416&gt;=判定条件!$C$7*AC1416,"運転",IF(AD1416&lt;=判定条件!$C$8*AC1416,"停止","断続")))</f>
        <v>判定不能</v>
      </c>
      <c r="AF1416" s="30" t="n">
        <v>60</v>
      </c>
      <c r="AG1416" s="30" t="n">
        <v>0</v>
      </c>
      <c r="AH1416" s="30" t="str">
        <f aca="false">IF(OR(P1416="判定不能",G1416="判定不能"),"判定不能",IF(AG1416&gt;=判定条件!$C$9,"利用可",IF(AND(P1416="停止",G1416="停止"),"両方停止","運転がそろわない")))</f>
        <v>運転がそろわない</v>
      </c>
      <c r="AI1416" s="30" t="n">
        <v>60</v>
      </c>
      <c r="AJ1416" s="30" t="n">
        <v>0</v>
      </c>
      <c r="AK1416" s="30" t="str">
        <f aca="false">IF(OR(S1416="判定不能",J1416="判定不能"),"判定不能",IF(AJ1416&gt;=判定条件!$C$9,"利用可",IF(AND(S1416="停止",J1416="停止"),"両方停止","運転がそろわない")))</f>
        <v>両方停止</v>
      </c>
      <c r="AL1416" s="30" t="n">
        <v>60</v>
      </c>
      <c r="AM1416" s="30" t="n">
        <v>0</v>
      </c>
      <c r="AN1416" s="30" t="str">
        <f aca="false">IF(OR(V1416="判定不能",M1416="判定不能"),"判定不能",IF(AM1416&gt;=判定条件!$C$9,"利用可",IF(AND(V1416="停止",M1416="停止"),"両方停止","運転がそろわない")))</f>
        <v>両方停止</v>
      </c>
      <c r="AO1416" s="30" t="n">
        <v>0</v>
      </c>
      <c r="AP1416" s="30" t="n">
        <v>0</v>
      </c>
      <c r="AQ1416" s="30" t="str">
        <f aca="false">IF(OR(Y1416="判定不能",G1416="判定不能"),"判定不能",IF(AP1416&gt;=判定条件!$C$9,"利用可",IF(AND(Y1416="停止",G1416="停止"),"両方停止","運転がそろわない")))</f>
        <v>判定不能</v>
      </c>
      <c r="AR1416" s="30" t="n">
        <v>0</v>
      </c>
      <c r="AS1416" s="30" t="n">
        <v>0</v>
      </c>
      <c r="AT1416" s="30" t="str">
        <f aca="false">IF(OR(AB1416="判定不能",J1416="判定不能"),"判定不能",IF(AS1416&gt;=判定条件!$C$9,"利用可",IF(AND(AB1416="停止",J1416="停止"),"両方停止","運転がそろわない")))</f>
        <v>判定不能</v>
      </c>
      <c r="AU1416" s="30" t="n">
        <v>0</v>
      </c>
      <c r="AV1416" s="30" t="n">
        <v>0</v>
      </c>
      <c r="AW1416" s="30" t="str">
        <f aca="false">IF(OR(AE1416="判定不能",M1416="判定不能"),"判定不能",IF(AV1416&gt;=判定条件!$C$9,"利用可",IF(AND(AE1416="停止",M1416="停止"),"両方停止","運転がそろわない")))</f>
        <v>判定不能</v>
      </c>
      <c r="AX1416" s="30" t="str">
        <f aca="false">IF(AND(AH1416="利用可",AK1416="利用可",AN1416="利用可"),"利用可","不可")</f>
        <v>不可</v>
      </c>
      <c r="AY1416" s="30" t="str">
        <f aca="false">IF(AND(AQ1416="利用可",AT1416="利用可",AW1416="利用可"),"利用可","不可")</f>
        <v>不可</v>
      </c>
    </row>
    <row r="1417" customFormat="false" ht="15" hidden="false" customHeight="false" outlineLevel="0" collapsed="false">
      <c r="A1417" s="29" t="n">
        <v>46290</v>
      </c>
      <c r="B1417" s="30" t="n">
        <v>22</v>
      </c>
      <c r="C1417" s="31" t="s">
        <v>62</v>
      </c>
      <c r="D1417" s="31" t="s">
        <v>59</v>
      </c>
      <c r="E1417" s="30" t="n">
        <v>60</v>
      </c>
      <c r="F1417" s="30" t="n">
        <v>0</v>
      </c>
      <c r="G1417" s="30" t="str">
        <f aca="false">IF(E1417&lt;判定条件!$C$6,"判定不能",IF(F1417&gt;=判定条件!$C$7*E1417,"運転",IF(F1417&lt;=判定条件!$C$8*E1417,"停止","断続")))</f>
        <v>停止</v>
      </c>
      <c r="H1417" s="30" t="n">
        <v>60</v>
      </c>
      <c r="I1417" s="30" t="n">
        <v>0</v>
      </c>
      <c r="J1417" s="30" t="str">
        <f aca="false">IF(H1417&lt;判定条件!$C$6,"判定不能",IF(I1417&gt;=判定条件!$C$7*H1417,"運転",IF(I1417&lt;=判定条件!$C$8*H1417,"停止","断続")))</f>
        <v>停止</v>
      </c>
      <c r="K1417" s="30" t="n">
        <v>60</v>
      </c>
      <c r="L1417" s="30" t="n">
        <v>0</v>
      </c>
      <c r="M1417" s="30" t="str">
        <f aca="false">IF(K1417&lt;判定条件!$C$6,"判定不能",IF(L1417&gt;=判定条件!$C$7*K1417,"運転",IF(L1417&lt;=判定条件!$C$8*K1417,"停止","断続")))</f>
        <v>停止</v>
      </c>
      <c r="N1417" s="30" t="n">
        <v>60</v>
      </c>
      <c r="O1417" s="30" t="n">
        <v>2</v>
      </c>
      <c r="P1417" s="30" t="str">
        <f aca="false">IF(N1417&lt;判定条件!$C$6,"判定不能",IF(O1417&gt;=判定条件!$C$7*N1417,"運転",IF(O1417&lt;=判定条件!$C$8*N1417,"停止","断続")))</f>
        <v>停止</v>
      </c>
      <c r="Q1417" s="30" t="n">
        <v>60</v>
      </c>
      <c r="R1417" s="30" t="n">
        <v>0</v>
      </c>
      <c r="S1417" s="30" t="str">
        <f aca="false">IF(Q1417&lt;判定条件!$C$6,"判定不能",IF(R1417&gt;=判定条件!$C$7*Q1417,"運転",IF(R1417&lt;=判定条件!$C$8*Q1417,"停止","断続")))</f>
        <v>停止</v>
      </c>
      <c r="T1417" s="30" t="n">
        <v>60</v>
      </c>
      <c r="U1417" s="30" t="n">
        <v>0</v>
      </c>
      <c r="V1417" s="30" t="str">
        <f aca="false">IF(T1417&lt;判定条件!$C$6,"判定不能",IF(U1417&gt;=判定条件!$C$7*T1417,"運転",IF(U1417&lt;=判定条件!$C$8*T1417,"停止","断続")))</f>
        <v>停止</v>
      </c>
      <c r="W1417" s="30" t="n">
        <v>0</v>
      </c>
      <c r="X1417" s="30" t="n">
        <v>0</v>
      </c>
      <c r="Y1417" s="30" t="str">
        <f aca="false">IF(W1417&lt;判定条件!$C$6,"判定不能",IF(X1417&gt;=判定条件!$C$7*W1417,"運転",IF(X1417&lt;=判定条件!$C$8*W1417,"停止","断続")))</f>
        <v>判定不能</v>
      </c>
      <c r="Z1417" s="30" t="n">
        <v>0</v>
      </c>
      <c r="AA1417" s="30" t="n">
        <v>0</v>
      </c>
      <c r="AB1417" s="30" t="str">
        <f aca="false">IF(Z1417&lt;判定条件!$C$6,"判定不能",IF(AA1417&gt;=判定条件!$C$7*Z1417,"運転",IF(AA1417&lt;=判定条件!$C$8*Z1417,"停止","断続")))</f>
        <v>判定不能</v>
      </c>
      <c r="AC1417" s="30" t="n">
        <v>0</v>
      </c>
      <c r="AD1417" s="30" t="n">
        <v>0</v>
      </c>
      <c r="AE1417" s="30" t="str">
        <f aca="false">IF(AC1417&lt;判定条件!$C$6,"判定不能",IF(AD1417&gt;=判定条件!$C$7*AC1417,"運転",IF(AD1417&lt;=判定条件!$C$8*AC1417,"停止","断続")))</f>
        <v>判定不能</v>
      </c>
      <c r="AF1417" s="30" t="n">
        <v>60</v>
      </c>
      <c r="AG1417" s="30" t="n">
        <v>0</v>
      </c>
      <c r="AH1417" s="30" t="str">
        <f aca="false">IF(OR(P1417="判定不能",G1417="判定不能"),"判定不能",IF(AG1417&gt;=判定条件!$C$9,"利用可",IF(AND(P1417="停止",G1417="停止"),"両方停止","運転がそろわない")))</f>
        <v>両方停止</v>
      </c>
      <c r="AI1417" s="30" t="n">
        <v>60</v>
      </c>
      <c r="AJ1417" s="30" t="n">
        <v>0</v>
      </c>
      <c r="AK1417" s="30" t="str">
        <f aca="false">IF(OR(S1417="判定不能",J1417="判定不能"),"判定不能",IF(AJ1417&gt;=判定条件!$C$9,"利用可",IF(AND(S1417="停止",J1417="停止"),"両方停止","運転がそろわない")))</f>
        <v>両方停止</v>
      </c>
      <c r="AL1417" s="30" t="n">
        <v>60</v>
      </c>
      <c r="AM1417" s="30" t="n">
        <v>0</v>
      </c>
      <c r="AN1417" s="30" t="str">
        <f aca="false">IF(OR(V1417="判定不能",M1417="判定不能"),"判定不能",IF(AM1417&gt;=判定条件!$C$9,"利用可",IF(AND(V1417="停止",M1417="停止"),"両方停止","運転がそろわない")))</f>
        <v>両方停止</v>
      </c>
      <c r="AO1417" s="30" t="n">
        <v>0</v>
      </c>
      <c r="AP1417" s="30" t="n">
        <v>0</v>
      </c>
      <c r="AQ1417" s="30" t="str">
        <f aca="false">IF(OR(Y1417="判定不能",G1417="判定不能"),"判定不能",IF(AP1417&gt;=判定条件!$C$9,"利用可",IF(AND(Y1417="停止",G1417="停止"),"両方停止","運転がそろわない")))</f>
        <v>判定不能</v>
      </c>
      <c r="AR1417" s="30" t="n">
        <v>0</v>
      </c>
      <c r="AS1417" s="30" t="n">
        <v>0</v>
      </c>
      <c r="AT1417" s="30" t="str">
        <f aca="false">IF(OR(AB1417="判定不能",J1417="判定不能"),"判定不能",IF(AS1417&gt;=判定条件!$C$9,"利用可",IF(AND(AB1417="停止",J1417="停止"),"両方停止","運転がそろわない")))</f>
        <v>判定不能</v>
      </c>
      <c r="AU1417" s="30" t="n">
        <v>0</v>
      </c>
      <c r="AV1417" s="30" t="n">
        <v>0</v>
      </c>
      <c r="AW1417" s="30" t="str">
        <f aca="false">IF(OR(AE1417="判定不能",M1417="判定不能"),"判定不能",IF(AV1417&gt;=判定条件!$C$9,"利用可",IF(AND(AE1417="停止",M1417="停止"),"両方停止","運転がそろわない")))</f>
        <v>判定不能</v>
      </c>
      <c r="AX1417" s="30" t="str">
        <f aca="false">IF(AND(AH1417="利用可",AK1417="利用可",AN1417="利用可"),"利用可","不可")</f>
        <v>不可</v>
      </c>
      <c r="AY1417" s="30" t="str">
        <f aca="false">IF(AND(AQ1417="利用可",AT1417="利用可",AW1417="利用可"),"利用可","不可")</f>
        <v>不可</v>
      </c>
    </row>
    <row r="1418" customFormat="false" ht="15" hidden="false" customHeight="false" outlineLevel="0" collapsed="false">
      <c r="A1418" s="29" t="n">
        <v>46290</v>
      </c>
      <c r="B1418" s="30" t="n">
        <v>23</v>
      </c>
      <c r="C1418" s="31" t="s">
        <v>62</v>
      </c>
      <c r="D1418" s="31" t="s">
        <v>59</v>
      </c>
      <c r="E1418" s="30" t="n">
        <v>60</v>
      </c>
      <c r="F1418" s="30" t="n">
        <v>0</v>
      </c>
      <c r="G1418" s="30" t="str">
        <f aca="false">IF(E1418&lt;判定条件!$C$6,"判定不能",IF(F1418&gt;=判定条件!$C$7*E1418,"運転",IF(F1418&lt;=判定条件!$C$8*E1418,"停止","断続")))</f>
        <v>停止</v>
      </c>
      <c r="H1418" s="30" t="n">
        <v>60</v>
      </c>
      <c r="I1418" s="30" t="n">
        <v>0</v>
      </c>
      <c r="J1418" s="30" t="str">
        <f aca="false">IF(H1418&lt;判定条件!$C$6,"判定不能",IF(I1418&gt;=判定条件!$C$7*H1418,"運転",IF(I1418&lt;=判定条件!$C$8*H1418,"停止","断続")))</f>
        <v>停止</v>
      </c>
      <c r="K1418" s="30" t="n">
        <v>60</v>
      </c>
      <c r="L1418" s="30" t="n">
        <v>0</v>
      </c>
      <c r="M1418" s="30" t="str">
        <f aca="false">IF(K1418&lt;判定条件!$C$6,"判定不能",IF(L1418&gt;=判定条件!$C$7*K1418,"運転",IF(L1418&lt;=判定条件!$C$8*K1418,"停止","断続")))</f>
        <v>停止</v>
      </c>
      <c r="N1418" s="30" t="n">
        <v>60</v>
      </c>
      <c r="O1418" s="30" t="n">
        <v>0</v>
      </c>
      <c r="P1418" s="30" t="str">
        <f aca="false">IF(N1418&lt;判定条件!$C$6,"判定不能",IF(O1418&gt;=判定条件!$C$7*N1418,"運転",IF(O1418&lt;=判定条件!$C$8*N1418,"停止","断続")))</f>
        <v>停止</v>
      </c>
      <c r="Q1418" s="30" t="n">
        <v>60</v>
      </c>
      <c r="R1418" s="30" t="n">
        <v>0</v>
      </c>
      <c r="S1418" s="30" t="str">
        <f aca="false">IF(Q1418&lt;判定条件!$C$6,"判定不能",IF(R1418&gt;=判定条件!$C$7*Q1418,"運転",IF(R1418&lt;=判定条件!$C$8*Q1418,"停止","断続")))</f>
        <v>停止</v>
      </c>
      <c r="T1418" s="30" t="n">
        <v>60</v>
      </c>
      <c r="U1418" s="30" t="n">
        <v>0</v>
      </c>
      <c r="V1418" s="30" t="str">
        <f aca="false">IF(T1418&lt;判定条件!$C$6,"判定不能",IF(U1418&gt;=判定条件!$C$7*T1418,"運転",IF(U1418&lt;=判定条件!$C$8*T1418,"停止","断続")))</f>
        <v>停止</v>
      </c>
      <c r="W1418" s="30" t="n">
        <v>0</v>
      </c>
      <c r="X1418" s="30" t="n">
        <v>0</v>
      </c>
      <c r="Y1418" s="30" t="str">
        <f aca="false">IF(W1418&lt;判定条件!$C$6,"判定不能",IF(X1418&gt;=判定条件!$C$7*W1418,"運転",IF(X1418&lt;=判定条件!$C$8*W1418,"停止","断続")))</f>
        <v>判定不能</v>
      </c>
      <c r="Z1418" s="30" t="n">
        <v>0</v>
      </c>
      <c r="AA1418" s="30" t="n">
        <v>0</v>
      </c>
      <c r="AB1418" s="30" t="str">
        <f aca="false">IF(Z1418&lt;判定条件!$C$6,"判定不能",IF(AA1418&gt;=判定条件!$C$7*Z1418,"運転",IF(AA1418&lt;=判定条件!$C$8*Z1418,"停止","断続")))</f>
        <v>判定不能</v>
      </c>
      <c r="AC1418" s="30" t="n">
        <v>0</v>
      </c>
      <c r="AD1418" s="30" t="n">
        <v>0</v>
      </c>
      <c r="AE1418" s="30" t="str">
        <f aca="false">IF(AC1418&lt;判定条件!$C$6,"判定不能",IF(AD1418&gt;=判定条件!$C$7*AC1418,"運転",IF(AD1418&lt;=判定条件!$C$8*AC1418,"停止","断続")))</f>
        <v>判定不能</v>
      </c>
      <c r="AF1418" s="30" t="n">
        <v>60</v>
      </c>
      <c r="AG1418" s="30" t="n">
        <v>0</v>
      </c>
      <c r="AH1418" s="30" t="str">
        <f aca="false">IF(OR(P1418="判定不能",G1418="判定不能"),"判定不能",IF(AG1418&gt;=判定条件!$C$9,"利用可",IF(AND(P1418="停止",G1418="停止"),"両方停止","運転がそろわない")))</f>
        <v>両方停止</v>
      </c>
      <c r="AI1418" s="30" t="n">
        <v>60</v>
      </c>
      <c r="AJ1418" s="30" t="n">
        <v>0</v>
      </c>
      <c r="AK1418" s="30" t="str">
        <f aca="false">IF(OR(S1418="判定不能",J1418="判定不能"),"判定不能",IF(AJ1418&gt;=判定条件!$C$9,"利用可",IF(AND(S1418="停止",J1418="停止"),"両方停止","運転がそろわない")))</f>
        <v>両方停止</v>
      </c>
      <c r="AL1418" s="30" t="n">
        <v>60</v>
      </c>
      <c r="AM1418" s="30" t="n">
        <v>0</v>
      </c>
      <c r="AN1418" s="30" t="str">
        <f aca="false">IF(OR(V1418="判定不能",M1418="判定不能"),"判定不能",IF(AM1418&gt;=判定条件!$C$9,"利用可",IF(AND(V1418="停止",M1418="停止"),"両方停止","運転がそろわない")))</f>
        <v>両方停止</v>
      </c>
      <c r="AO1418" s="30" t="n">
        <v>0</v>
      </c>
      <c r="AP1418" s="30" t="n">
        <v>0</v>
      </c>
      <c r="AQ1418" s="30" t="str">
        <f aca="false">IF(OR(Y1418="判定不能",G1418="判定不能"),"判定不能",IF(AP1418&gt;=判定条件!$C$9,"利用可",IF(AND(Y1418="停止",G1418="停止"),"両方停止","運転がそろわない")))</f>
        <v>判定不能</v>
      </c>
      <c r="AR1418" s="30" t="n">
        <v>0</v>
      </c>
      <c r="AS1418" s="30" t="n">
        <v>0</v>
      </c>
      <c r="AT1418" s="30" t="str">
        <f aca="false">IF(OR(AB1418="判定不能",J1418="判定不能"),"判定不能",IF(AS1418&gt;=判定条件!$C$9,"利用可",IF(AND(AB1418="停止",J1418="停止"),"両方停止","運転がそろわない")))</f>
        <v>判定不能</v>
      </c>
      <c r="AU1418" s="30" t="n">
        <v>0</v>
      </c>
      <c r="AV1418" s="30" t="n">
        <v>0</v>
      </c>
      <c r="AW1418" s="30" t="str">
        <f aca="false">IF(OR(AE1418="判定不能",M1418="判定不能"),"判定不能",IF(AV1418&gt;=判定条件!$C$9,"利用可",IF(AND(AE1418="停止",M1418="停止"),"両方停止","運転がそろわない")))</f>
        <v>判定不能</v>
      </c>
      <c r="AX1418" s="30" t="str">
        <f aca="false">IF(AND(AH1418="利用可",AK1418="利用可",AN1418="利用可"),"利用可","不可")</f>
        <v>不可</v>
      </c>
      <c r="AY1418" s="30" t="str">
        <f aca="false">IF(AND(AQ1418="利用可",AT1418="利用可",AW1418="利用可"),"利用可","不可")</f>
        <v>不可</v>
      </c>
    </row>
    <row r="1419" customFormat="false" ht="15" hidden="false" customHeight="false" outlineLevel="0" collapsed="false">
      <c r="A1419" s="29" t="n">
        <v>46291</v>
      </c>
      <c r="B1419" s="30" t="n">
        <v>0</v>
      </c>
      <c r="C1419" s="31" t="s">
        <v>63</v>
      </c>
      <c r="D1419" s="31" t="s">
        <v>64</v>
      </c>
      <c r="E1419" s="30" t="n">
        <v>60</v>
      </c>
      <c r="F1419" s="30" t="n">
        <v>0</v>
      </c>
      <c r="G1419" s="30" t="str">
        <f aca="false">IF(E1419&lt;判定条件!$C$6,"判定不能",IF(F1419&gt;=判定条件!$C$7*E1419,"運転",IF(F1419&lt;=判定条件!$C$8*E1419,"停止","断続")))</f>
        <v>停止</v>
      </c>
      <c r="H1419" s="30" t="n">
        <v>60</v>
      </c>
      <c r="I1419" s="30" t="n">
        <v>0</v>
      </c>
      <c r="J1419" s="30" t="str">
        <f aca="false">IF(H1419&lt;判定条件!$C$6,"判定不能",IF(I1419&gt;=判定条件!$C$7*H1419,"運転",IF(I1419&lt;=判定条件!$C$8*H1419,"停止","断続")))</f>
        <v>停止</v>
      </c>
      <c r="K1419" s="30" t="n">
        <v>60</v>
      </c>
      <c r="L1419" s="30" t="n">
        <v>0</v>
      </c>
      <c r="M1419" s="30" t="str">
        <f aca="false">IF(K1419&lt;判定条件!$C$6,"判定不能",IF(L1419&gt;=判定条件!$C$7*K1419,"運転",IF(L1419&lt;=判定条件!$C$8*K1419,"停止","断続")))</f>
        <v>停止</v>
      </c>
      <c r="N1419" s="30" t="n">
        <v>60</v>
      </c>
      <c r="O1419" s="30" t="n">
        <v>0</v>
      </c>
      <c r="P1419" s="30" t="str">
        <f aca="false">IF(N1419&lt;判定条件!$C$6,"判定不能",IF(O1419&gt;=判定条件!$C$7*N1419,"運転",IF(O1419&lt;=判定条件!$C$8*N1419,"停止","断続")))</f>
        <v>停止</v>
      </c>
      <c r="Q1419" s="30" t="n">
        <v>60</v>
      </c>
      <c r="R1419" s="30" t="n">
        <v>0</v>
      </c>
      <c r="S1419" s="30" t="str">
        <f aca="false">IF(Q1419&lt;判定条件!$C$6,"判定不能",IF(R1419&gt;=判定条件!$C$7*Q1419,"運転",IF(R1419&lt;=判定条件!$C$8*Q1419,"停止","断続")))</f>
        <v>停止</v>
      </c>
      <c r="T1419" s="30" t="n">
        <v>60</v>
      </c>
      <c r="U1419" s="30" t="n">
        <v>0</v>
      </c>
      <c r="V1419" s="30" t="str">
        <f aca="false">IF(T1419&lt;判定条件!$C$6,"判定不能",IF(U1419&gt;=判定条件!$C$7*T1419,"運転",IF(U1419&lt;=判定条件!$C$8*T1419,"停止","断続")))</f>
        <v>停止</v>
      </c>
      <c r="W1419" s="30" t="n">
        <v>0</v>
      </c>
      <c r="X1419" s="30" t="n">
        <v>0</v>
      </c>
      <c r="Y1419" s="30" t="str">
        <f aca="false">IF(W1419&lt;判定条件!$C$6,"判定不能",IF(X1419&gt;=判定条件!$C$7*W1419,"運転",IF(X1419&lt;=判定条件!$C$8*W1419,"停止","断続")))</f>
        <v>判定不能</v>
      </c>
      <c r="Z1419" s="30" t="n">
        <v>0</v>
      </c>
      <c r="AA1419" s="30" t="n">
        <v>0</v>
      </c>
      <c r="AB1419" s="30" t="str">
        <f aca="false">IF(Z1419&lt;判定条件!$C$6,"判定不能",IF(AA1419&gt;=判定条件!$C$7*Z1419,"運転",IF(AA1419&lt;=判定条件!$C$8*Z1419,"停止","断続")))</f>
        <v>判定不能</v>
      </c>
      <c r="AC1419" s="30" t="n">
        <v>0</v>
      </c>
      <c r="AD1419" s="30" t="n">
        <v>0</v>
      </c>
      <c r="AE1419" s="30" t="str">
        <f aca="false">IF(AC1419&lt;判定条件!$C$6,"判定不能",IF(AD1419&gt;=判定条件!$C$7*AC1419,"運転",IF(AD1419&lt;=判定条件!$C$8*AC1419,"停止","断続")))</f>
        <v>判定不能</v>
      </c>
      <c r="AF1419" s="30" t="n">
        <v>60</v>
      </c>
      <c r="AG1419" s="30" t="n">
        <v>0</v>
      </c>
      <c r="AH1419" s="30" t="str">
        <f aca="false">IF(OR(P1419="判定不能",G1419="判定不能"),"判定不能",IF(AG1419&gt;=判定条件!$C$9,"利用可",IF(AND(P1419="停止",G1419="停止"),"両方停止","運転がそろわない")))</f>
        <v>両方停止</v>
      </c>
      <c r="AI1419" s="30" t="n">
        <v>60</v>
      </c>
      <c r="AJ1419" s="30" t="n">
        <v>0</v>
      </c>
      <c r="AK1419" s="30" t="str">
        <f aca="false">IF(OR(S1419="判定不能",J1419="判定不能"),"判定不能",IF(AJ1419&gt;=判定条件!$C$9,"利用可",IF(AND(S1419="停止",J1419="停止"),"両方停止","運転がそろわない")))</f>
        <v>両方停止</v>
      </c>
      <c r="AL1419" s="30" t="n">
        <v>60</v>
      </c>
      <c r="AM1419" s="30" t="n">
        <v>0</v>
      </c>
      <c r="AN1419" s="30" t="str">
        <f aca="false">IF(OR(V1419="判定不能",M1419="判定不能"),"判定不能",IF(AM1419&gt;=判定条件!$C$9,"利用可",IF(AND(V1419="停止",M1419="停止"),"両方停止","運転がそろわない")))</f>
        <v>両方停止</v>
      </c>
      <c r="AO1419" s="30" t="n">
        <v>0</v>
      </c>
      <c r="AP1419" s="30" t="n">
        <v>0</v>
      </c>
      <c r="AQ1419" s="30" t="str">
        <f aca="false">IF(OR(Y1419="判定不能",G1419="判定不能"),"判定不能",IF(AP1419&gt;=判定条件!$C$9,"利用可",IF(AND(Y1419="停止",G1419="停止"),"両方停止","運転がそろわない")))</f>
        <v>判定不能</v>
      </c>
      <c r="AR1419" s="30" t="n">
        <v>0</v>
      </c>
      <c r="AS1419" s="30" t="n">
        <v>0</v>
      </c>
      <c r="AT1419" s="30" t="str">
        <f aca="false">IF(OR(AB1419="判定不能",J1419="判定不能"),"判定不能",IF(AS1419&gt;=判定条件!$C$9,"利用可",IF(AND(AB1419="停止",J1419="停止"),"両方停止","運転がそろわない")))</f>
        <v>判定不能</v>
      </c>
      <c r="AU1419" s="30" t="n">
        <v>0</v>
      </c>
      <c r="AV1419" s="30" t="n">
        <v>0</v>
      </c>
      <c r="AW1419" s="30" t="str">
        <f aca="false">IF(OR(AE1419="判定不能",M1419="判定不能"),"判定不能",IF(AV1419&gt;=判定条件!$C$9,"利用可",IF(AND(AE1419="停止",M1419="停止"),"両方停止","運転がそろわない")))</f>
        <v>判定不能</v>
      </c>
      <c r="AX1419" s="30" t="str">
        <f aca="false">IF(AND(AH1419="利用可",AK1419="利用可",AN1419="利用可"),"利用可","不可")</f>
        <v>不可</v>
      </c>
      <c r="AY1419" s="30" t="str">
        <f aca="false">IF(AND(AQ1419="利用可",AT1419="利用可",AW1419="利用可"),"利用可","不可")</f>
        <v>不可</v>
      </c>
    </row>
    <row r="1420" customFormat="false" ht="15" hidden="false" customHeight="false" outlineLevel="0" collapsed="false">
      <c r="A1420" s="29" t="n">
        <v>46291</v>
      </c>
      <c r="B1420" s="30" t="n">
        <v>1</v>
      </c>
      <c r="C1420" s="31" t="s">
        <v>63</v>
      </c>
      <c r="D1420" s="31" t="s">
        <v>64</v>
      </c>
      <c r="E1420" s="30" t="n">
        <v>60</v>
      </c>
      <c r="F1420" s="30" t="n">
        <v>0</v>
      </c>
      <c r="G1420" s="30" t="str">
        <f aca="false">IF(E1420&lt;判定条件!$C$6,"判定不能",IF(F1420&gt;=判定条件!$C$7*E1420,"運転",IF(F1420&lt;=判定条件!$C$8*E1420,"停止","断続")))</f>
        <v>停止</v>
      </c>
      <c r="H1420" s="30" t="n">
        <v>60</v>
      </c>
      <c r="I1420" s="30" t="n">
        <v>0</v>
      </c>
      <c r="J1420" s="30" t="str">
        <f aca="false">IF(H1420&lt;判定条件!$C$6,"判定不能",IF(I1420&gt;=判定条件!$C$7*H1420,"運転",IF(I1420&lt;=判定条件!$C$8*H1420,"停止","断続")))</f>
        <v>停止</v>
      </c>
      <c r="K1420" s="30" t="n">
        <v>60</v>
      </c>
      <c r="L1420" s="30" t="n">
        <v>0</v>
      </c>
      <c r="M1420" s="30" t="str">
        <f aca="false">IF(K1420&lt;判定条件!$C$6,"判定不能",IF(L1420&gt;=判定条件!$C$7*K1420,"運転",IF(L1420&lt;=判定条件!$C$8*K1420,"停止","断続")))</f>
        <v>停止</v>
      </c>
      <c r="N1420" s="30" t="n">
        <v>60</v>
      </c>
      <c r="O1420" s="30" t="n">
        <v>0</v>
      </c>
      <c r="P1420" s="30" t="str">
        <f aca="false">IF(N1420&lt;判定条件!$C$6,"判定不能",IF(O1420&gt;=判定条件!$C$7*N1420,"運転",IF(O1420&lt;=判定条件!$C$8*N1420,"停止","断続")))</f>
        <v>停止</v>
      </c>
      <c r="Q1420" s="30" t="n">
        <v>60</v>
      </c>
      <c r="R1420" s="30" t="n">
        <v>0</v>
      </c>
      <c r="S1420" s="30" t="str">
        <f aca="false">IF(Q1420&lt;判定条件!$C$6,"判定不能",IF(R1420&gt;=判定条件!$C$7*Q1420,"運転",IF(R1420&lt;=判定条件!$C$8*Q1420,"停止","断続")))</f>
        <v>停止</v>
      </c>
      <c r="T1420" s="30" t="n">
        <v>60</v>
      </c>
      <c r="U1420" s="30" t="n">
        <v>0</v>
      </c>
      <c r="V1420" s="30" t="str">
        <f aca="false">IF(T1420&lt;判定条件!$C$6,"判定不能",IF(U1420&gt;=判定条件!$C$7*T1420,"運転",IF(U1420&lt;=判定条件!$C$8*T1420,"停止","断続")))</f>
        <v>停止</v>
      </c>
      <c r="W1420" s="30" t="n">
        <v>0</v>
      </c>
      <c r="X1420" s="30" t="n">
        <v>0</v>
      </c>
      <c r="Y1420" s="30" t="str">
        <f aca="false">IF(W1420&lt;判定条件!$C$6,"判定不能",IF(X1420&gt;=判定条件!$C$7*W1420,"運転",IF(X1420&lt;=判定条件!$C$8*W1420,"停止","断続")))</f>
        <v>判定不能</v>
      </c>
      <c r="Z1420" s="30" t="n">
        <v>0</v>
      </c>
      <c r="AA1420" s="30" t="n">
        <v>0</v>
      </c>
      <c r="AB1420" s="30" t="str">
        <f aca="false">IF(Z1420&lt;判定条件!$C$6,"判定不能",IF(AA1420&gt;=判定条件!$C$7*Z1420,"運転",IF(AA1420&lt;=判定条件!$C$8*Z1420,"停止","断続")))</f>
        <v>判定不能</v>
      </c>
      <c r="AC1420" s="30" t="n">
        <v>0</v>
      </c>
      <c r="AD1420" s="30" t="n">
        <v>0</v>
      </c>
      <c r="AE1420" s="30" t="str">
        <f aca="false">IF(AC1420&lt;判定条件!$C$6,"判定不能",IF(AD1420&gt;=判定条件!$C$7*AC1420,"運転",IF(AD1420&lt;=判定条件!$C$8*AC1420,"停止","断続")))</f>
        <v>判定不能</v>
      </c>
      <c r="AF1420" s="30" t="n">
        <v>60</v>
      </c>
      <c r="AG1420" s="30" t="n">
        <v>0</v>
      </c>
      <c r="AH1420" s="30" t="str">
        <f aca="false">IF(OR(P1420="判定不能",G1420="判定不能"),"判定不能",IF(AG1420&gt;=判定条件!$C$9,"利用可",IF(AND(P1420="停止",G1420="停止"),"両方停止","運転がそろわない")))</f>
        <v>両方停止</v>
      </c>
      <c r="AI1420" s="30" t="n">
        <v>60</v>
      </c>
      <c r="AJ1420" s="30" t="n">
        <v>0</v>
      </c>
      <c r="AK1420" s="30" t="str">
        <f aca="false">IF(OR(S1420="判定不能",J1420="判定不能"),"判定不能",IF(AJ1420&gt;=判定条件!$C$9,"利用可",IF(AND(S1420="停止",J1420="停止"),"両方停止","運転がそろわない")))</f>
        <v>両方停止</v>
      </c>
      <c r="AL1420" s="30" t="n">
        <v>60</v>
      </c>
      <c r="AM1420" s="30" t="n">
        <v>0</v>
      </c>
      <c r="AN1420" s="30" t="str">
        <f aca="false">IF(OR(V1420="判定不能",M1420="判定不能"),"判定不能",IF(AM1420&gt;=判定条件!$C$9,"利用可",IF(AND(V1420="停止",M1420="停止"),"両方停止","運転がそろわない")))</f>
        <v>両方停止</v>
      </c>
      <c r="AO1420" s="30" t="n">
        <v>0</v>
      </c>
      <c r="AP1420" s="30" t="n">
        <v>0</v>
      </c>
      <c r="AQ1420" s="30" t="str">
        <f aca="false">IF(OR(Y1420="判定不能",G1420="判定不能"),"判定不能",IF(AP1420&gt;=判定条件!$C$9,"利用可",IF(AND(Y1420="停止",G1420="停止"),"両方停止","運転がそろわない")))</f>
        <v>判定不能</v>
      </c>
      <c r="AR1420" s="30" t="n">
        <v>0</v>
      </c>
      <c r="AS1420" s="30" t="n">
        <v>0</v>
      </c>
      <c r="AT1420" s="30" t="str">
        <f aca="false">IF(OR(AB1420="判定不能",J1420="判定不能"),"判定不能",IF(AS1420&gt;=判定条件!$C$9,"利用可",IF(AND(AB1420="停止",J1420="停止"),"両方停止","運転がそろわない")))</f>
        <v>判定不能</v>
      </c>
      <c r="AU1420" s="30" t="n">
        <v>0</v>
      </c>
      <c r="AV1420" s="30" t="n">
        <v>0</v>
      </c>
      <c r="AW1420" s="30" t="str">
        <f aca="false">IF(OR(AE1420="判定不能",M1420="判定不能"),"判定不能",IF(AV1420&gt;=判定条件!$C$9,"利用可",IF(AND(AE1420="停止",M1420="停止"),"両方停止","運転がそろわない")))</f>
        <v>判定不能</v>
      </c>
      <c r="AX1420" s="30" t="str">
        <f aca="false">IF(AND(AH1420="利用可",AK1420="利用可",AN1420="利用可"),"利用可","不可")</f>
        <v>不可</v>
      </c>
      <c r="AY1420" s="30" t="str">
        <f aca="false">IF(AND(AQ1420="利用可",AT1420="利用可",AW1420="利用可"),"利用可","不可")</f>
        <v>不可</v>
      </c>
    </row>
    <row r="1421" customFormat="false" ht="15" hidden="false" customHeight="false" outlineLevel="0" collapsed="false">
      <c r="A1421" s="29" t="n">
        <v>46291</v>
      </c>
      <c r="B1421" s="30" t="n">
        <v>2</v>
      </c>
      <c r="C1421" s="31" t="s">
        <v>63</v>
      </c>
      <c r="D1421" s="31" t="s">
        <v>64</v>
      </c>
      <c r="E1421" s="30" t="n">
        <v>60</v>
      </c>
      <c r="F1421" s="30" t="n">
        <v>0</v>
      </c>
      <c r="G1421" s="30" t="str">
        <f aca="false">IF(E1421&lt;判定条件!$C$6,"判定不能",IF(F1421&gt;=判定条件!$C$7*E1421,"運転",IF(F1421&lt;=判定条件!$C$8*E1421,"停止","断続")))</f>
        <v>停止</v>
      </c>
      <c r="H1421" s="30" t="n">
        <v>60</v>
      </c>
      <c r="I1421" s="30" t="n">
        <v>0</v>
      </c>
      <c r="J1421" s="30" t="str">
        <f aca="false">IF(H1421&lt;判定条件!$C$6,"判定不能",IF(I1421&gt;=判定条件!$C$7*H1421,"運転",IF(I1421&lt;=判定条件!$C$8*H1421,"停止","断続")))</f>
        <v>停止</v>
      </c>
      <c r="K1421" s="30" t="n">
        <v>60</v>
      </c>
      <c r="L1421" s="30" t="n">
        <v>0</v>
      </c>
      <c r="M1421" s="30" t="str">
        <f aca="false">IF(K1421&lt;判定条件!$C$6,"判定不能",IF(L1421&gt;=判定条件!$C$7*K1421,"運転",IF(L1421&lt;=判定条件!$C$8*K1421,"停止","断続")))</f>
        <v>停止</v>
      </c>
      <c r="N1421" s="30" t="n">
        <v>60</v>
      </c>
      <c r="O1421" s="30" t="n">
        <v>0</v>
      </c>
      <c r="P1421" s="30" t="str">
        <f aca="false">IF(N1421&lt;判定条件!$C$6,"判定不能",IF(O1421&gt;=判定条件!$C$7*N1421,"運転",IF(O1421&lt;=判定条件!$C$8*N1421,"停止","断続")))</f>
        <v>停止</v>
      </c>
      <c r="Q1421" s="30" t="n">
        <v>60</v>
      </c>
      <c r="R1421" s="30" t="n">
        <v>0</v>
      </c>
      <c r="S1421" s="30" t="str">
        <f aca="false">IF(Q1421&lt;判定条件!$C$6,"判定不能",IF(R1421&gt;=判定条件!$C$7*Q1421,"運転",IF(R1421&lt;=判定条件!$C$8*Q1421,"停止","断続")))</f>
        <v>停止</v>
      </c>
      <c r="T1421" s="30" t="n">
        <v>60</v>
      </c>
      <c r="U1421" s="30" t="n">
        <v>0</v>
      </c>
      <c r="V1421" s="30" t="str">
        <f aca="false">IF(T1421&lt;判定条件!$C$6,"判定不能",IF(U1421&gt;=判定条件!$C$7*T1421,"運転",IF(U1421&lt;=判定条件!$C$8*T1421,"停止","断続")))</f>
        <v>停止</v>
      </c>
      <c r="W1421" s="30" t="n">
        <v>0</v>
      </c>
      <c r="X1421" s="30" t="n">
        <v>0</v>
      </c>
      <c r="Y1421" s="30" t="str">
        <f aca="false">IF(W1421&lt;判定条件!$C$6,"判定不能",IF(X1421&gt;=判定条件!$C$7*W1421,"運転",IF(X1421&lt;=判定条件!$C$8*W1421,"停止","断続")))</f>
        <v>判定不能</v>
      </c>
      <c r="Z1421" s="30" t="n">
        <v>0</v>
      </c>
      <c r="AA1421" s="30" t="n">
        <v>0</v>
      </c>
      <c r="AB1421" s="30" t="str">
        <f aca="false">IF(Z1421&lt;判定条件!$C$6,"判定不能",IF(AA1421&gt;=判定条件!$C$7*Z1421,"運転",IF(AA1421&lt;=判定条件!$C$8*Z1421,"停止","断続")))</f>
        <v>判定不能</v>
      </c>
      <c r="AC1421" s="30" t="n">
        <v>0</v>
      </c>
      <c r="AD1421" s="30" t="n">
        <v>0</v>
      </c>
      <c r="AE1421" s="30" t="str">
        <f aca="false">IF(AC1421&lt;判定条件!$C$6,"判定不能",IF(AD1421&gt;=判定条件!$C$7*AC1421,"運転",IF(AD1421&lt;=判定条件!$C$8*AC1421,"停止","断続")))</f>
        <v>判定不能</v>
      </c>
      <c r="AF1421" s="30" t="n">
        <v>60</v>
      </c>
      <c r="AG1421" s="30" t="n">
        <v>0</v>
      </c>
      <c r="AH1421" s="30" t="str">
        <f aca="false">IF(OR(P1421="判定不能",G1421="判定不能"),"判定不能",IF(AG1421&gt;=判定条件!$C$9,"利用可",IF(AND(P1421="停止",G1421="停止"),"両方停止","運転がそろわない")))</f>
        <v>両方停止</v>
      </c>
      <c r="AI1421" s="30" t="n">
        <v>60</v>
      </c>
      <c r="AJ1421" s="30" t="n">
        <v>0</v>
      </c>
      <c r="AK1421" s="30" t="str">
        <f aca="false">IF(OR(S1421="判定不能",J1421="判定不能"),"判定不能",IF(AJ1421&gt;=判定条件!$C$9,"利用可",IF(AND(S1421="停止",J1421="停止"),"両方停止","運転がそろわない")))</f>
        <v>両方停止</v>
      </c>
      <c r="AL1421" s="30" t="n">
        <v>60</v>
      </c>
      <c r="AM1421" s="30" t="n">
        <v>0</v>
      </c>
      <c r="AN1421" s="30" t="str">
        <f aca="false">IF(OR(V1421="判定不能",M1421="判定不能"),"判定不能",IF(AM1421&gt;=判定条件!$C$9,"利用可",IF(AND(V1421="停止",M1421="停止"),"両方停止","運転がそろわない")))</f>
        <v>両方停止</v>
      </c>
      <c r="AO1421" s="30" t="n">
        <v>0</v>
      </c>
      <c r="AP1421" s="30" t="n">
        <v>0</v>
      </c>
      <c r="AQ1421" s="30" t="str">
        <f aca="false">IF(OR(Y1421="判定不能",G1421="判定不能"),"判定不能",IF(AP1421&gt;=判定条件!$C$9,"利用可",IF(AND(Y1421="停止",G1421="停止"),"両方停止","運転がそろわない")))</f>
        <v>判定不能</v>
      </c>
      <c r="AR1421" s="30" t="n">
        <v>0</v>
      </c>
      <c r="AS1421" s="30" t="n">
        <v>0</v>
      </c>
      <c r="AT1421" s="30" t="str">
        <f aca="false">IF(OR(AB1421="判定不能",J1421="判定不能"),"判定不能",IF(AS1421&gt;=判定条件!$C$9,"利用可",IF(AND(AB1421="停止",J1421="停止"),"両方停止","運転がそろわない")))</f>
        <v>判定不能</v>
      </c>
      <c r="AU1421" s="30" t="n">
        <v>0</v>
      </c>
      <c r="AV1421" s="30" t="n">
        <v>0</v>
      </c>
      <c r="AW1421" s="30" t="str">
        <f aca="false">IF(OR(AE1421="判定不能",M1421="判定不能"),"判定不能",IF(AV1421&gt;=判定条件!$C$9,"利用可",IF(AND(AE1421="停止",M1421="停止"),"両方停止","運転がそろわない")))</f>
        <v>判定不能</v>
      </c>
      <c r="AX1421" s="30" t="str">
        <f aca="false">IF(AND(AH1421="利用可",AK1421="利用可",AN1421="利用可"),"利用可","不可")</f>
        <v>不可</v>
      </c>
      <c r="AY1421" s="30" t="str">
        <f aca="false">IF(AND(AQ1421="利用可",AT1421="利用可",AW1421="利用可"),"利用可","不可")</f>
        <v>不可</v>
      </c>
    </row>
    <row r="1422" customFormat="false" ht="15" hidden="false" customHeight="false" outlineLevel="0" collapsed="false">
      <c r="A1422" s="29" t="n">
        <v>46291</v>
      </c>
      <c r="B1422" s="30" t="n">
        <v>3</v>
      </c>
      <c r="C1422" s="31" t="s">
        <v>63</v>
      </c>
      <c r="D1422" s="31" t="s">
        <v>64</v>
      </c>
      <c r="E1422" s="30" t="n">
        <v>60</v>
      </c>
      <c r="F1422" s="30" t="n">
        <v>0</v>
      </c>
      <c r="G1422" s="30" t="str">
        <f aca="false">IF(E1422&lt;判定条件!$C$6,"判定不能",IF(F1422&gt;=判定条件!$C$7*E1422,"運転",IF(F1422&lt;=判定条件!$C$8*E1422,"停止","断続")))</f>
        <v>停止</v>
      </c>
      <c r="H1422" s="30" t="n">
        <v>60</v>
      </c>
      <c r="I1422" s="30" t="n">
        <v>0</v>
      </c>
      <c r="J1422" s="30" t="str">
        <f aca="false">IF(H1422&lt;判定条件!$C$6,"判定不能",IF(I1422&gt;=判定条件!$C$7*H1422,"運転",IF(I1422&lt;=判定条件!$C$8*H1422,"停止","断続")))</f>
        <v>停止</v>
      </c>
      <c r="K1422" s="30" t="n">
        <v>60</v>
      </c>
      <c r="L1422" s="30" t="n">
        <v>0</v>
      </c>
      <c r="M1422" s="30" t="str">
        <f aca="false">IF(K1422&lt;判定条件!$C$6,"判定不能",IF(L1422&gt;=判定条件!$C$7*K1422,"運転",IF(L1422&lt;=判定条件!$C$8*K1422,"停止","断続")))</f>
        <v>停止</v>
      </c>
      <c r="N1422" s="30" t="n">
        <v>60</v>
      </c>
      <c r="O1422" s="30" t="n">
        <v>0</v>
      </c>
      <c r="P1422" s="30" t="str">
        <f aca="false">IF(N1422&lt;判定条件!$C$6,"判定不能",IF(O1422&gt;=判定条件!$C$7*N1422,"運転",IF(O1422&lt;=判定条件!$C$8*N1422,"停止","断続")))</f>
        <v>停止</v>
      </c>
      <c r="Q1422" s="30" t="n">
        <v>60</v>
      </c>
      <c r="R1422" s="30" t="n">
        <v>0</v>
      </c>
      <c r="S1422" s="30" t="str">
        <f aca="false">IF(Q1422&lt;判定条件!$C$6,"判定不能",IF(R1422&gt;=判定条件!$C$7*Q1422,"運転",IF(R1422&lt;=判定条件!$C$8*Q1422,"停止","断続")))</f>
        <v>停止</v>
      </c>
      <c r="T1422" s="30" t="n">
        <v>60</v>
      </c>
      <c r="U1422" s="30" t="n">
        <v>0</v>
      </c>
      <c r="V1422" s="30" t="str">
        <f aca="false">IF(T1422&lt;判定条件!$C$6,"判定不能",IF(U1422&gt;=判定条件!$C$7*T1422,"運転",IF(U1422&lt;=判定条件!$C$8*T1422,"停止","断続")))</f>
        <v>停止</v>
      </c>
      <c r="W1422" s="30" t="n">
        <v>0</v>
      </c>
      <c r="X1422" s="30" t="n">
        <v>0</v>
      </c>
      <c r="Y1422" s="30" t="str">
        <f aca="false">IF(W1422&lt;判定条件!$C$6,"判定不能",IF(X1422&gt;=判定条件!$C$7*W1422,"運転",IF(X1422&lt;=判定条件!$C$8*W1422,"停止","断続")))</f>
        <v>判定不能</v>
      </c>
      <c r="Z1422" s="30" t="n">
        <v>0</v>
      </c>
      <c r="AA1422" s="30" t="n">
        <v>0</v>
      </c>
      <c r="AB1422" s="30" t="str">
        <f aca="false">IF(Z1422&lt;判定条件!$C$6,"判定不能",IF(AA1422&gt;=判定条件!$C$7*Z1422,"運転",IF(AA1422&lt;=判定条件!$C$8*Z1422,"停止","断続")))</f>
        <v>判定不能</v>
      </c>
      <c r="AC1422" s="30" t="n">
        <v>0</v>
      </c>
      <c r="AD1422" s="30" t="n">
        <v>0</v>
      </c>
      <c r="AE1422" s="30" t="str">
        <f aca="false">IF(AC1422&lt;判定条件!$C$6,"判定不能",IF(AD1422&gt;=判定条件!$C$7*AC1422,"運転",IF(AD1422&lt;=判定条件!$C$8*AC1422,"停止","断続")))</f>
        <v>判定不能</v>
      </c>
      <c r="AF1422" s="30" t="n">
        <v>60</v>
      </c>
      <c r="AG1422" s="30" t="n">
        <v>0</v>
      </c>
      <c r="AH1422" s="30" t="str">
        <f aca="false">IF(OR(P1422="判定不能",G1422="判定不能"),"判定不能",IF(AG1422&gt;=判定条件!$C$9,"利用可",IF(AND(P1422="停止",G1422="停止"),"両方停止","運転がそろわない")))</f>
        <v>両方停止</v>
      </c>
      <c r="AI1422" s="30" t="n">
        <v>60</v>
      </c>
      <c r="AJ1422" s="30" t="n">
        <v>0</v>
      </c>
      <c r="AK1422" s="30" t="str">
        <f aca="false">IF(OR(S1422="判定不能",J1422="判定不能"),"判定不能",IF(AJ1422&gt;=判定条件!$C$9,"利用可",IF(AND(S1422="停止",J1422="停止"),"両方停止","運転がそろわない")))</f>
        <v>両方停止</v>
      </c>
      <c r="AL1422" s="30" t="n">
        <v>60</v>
      </c>
      <c r="AM1422" s="30" t="n">
        <v>0</v>
      </c>
      <c r="AN1422" s="30" t="str">
        <f aca="false">IF(OR(V1422="判定不能",M1422="判定不能"),"判定不能",IF(AM1422&gt;=判定条件!$C$9,"利用可",IF(AND(V1422="停止",M1422="停止"),"両方停止","運転がそろわない")))</f>
        <v>両方停止</v>
      </c>
      <c r="AO1422" s="30" t="n">
        <v>0</v>
      </c>
      <c r="AP1422" s="30" t="n">
        <v>0</v>
      </c>
      <c r="AQ1422" s="30" t="str">
        <f aca="false">IF(OR(Y1422="判定不能",G1422="判定不能"),"判定不能",IF(AP1422&gt;=判定条件!$C$9,"利用可",IF(AND(Y1422="停止",G1422="停止"),"両方停止","運転がそろわない")))</f>
        <v>判定不能</v>
      </c>
      <c r="AR1422" s="30" t="n">
        <v>0</v>
      </c>
      <c r="AS1422" s="30" t="n">
        <v>0</v>
      </c>
      <c r="AT1422" s="30" t="str">
        <f aca="false">IF(OR(AB1422="判定不能",J1422="判定不能"),"判定不能",IF(AS1422&gt;=判定条件!$C$9,"利用可",IF(AND(AB1422="停止",J1422="停止"),"両方停止","運転がそろわない")))</f>
        <v>判定不能</v>
      </c>
      <c r="AU1422" s="30" t="n">
        <v>0</v>
      </c>
      <c r="AV1422" s="30" t="n">
        <v>0</v>
      </c>
      <c r="AW1422" s="30" t="str">
        <f aca="false">IF(OR(AE1422="判定不能",M1422="判定不能"),"判定不能",IF(AV1422&gt;=判定条件!$C$9,"利用可",IF(AND(AE1422="停止",M1422="停止"),"両方停止","運転がそろわない")))</f>
        <v>判定不能</v>
      </c>
      <c r="AX1422" s="30" t="str">
        <f aca="false">IF(AND(AH1422="利用可",AK1422="利用可",AN1422="利用可"),"利用可","不可")</f>
        <v>不可</v>
      </c>
      <c r="AY1422" s="30" t="str">
        <f aca="false">IF(AND(AQ1422="利用可",AT1422="利用可",AW1422="利用可"),"利用可","不可")</f>
        <v>不可</v>
      </c>
    </row>
    <row r="1423" customFormat="false" ht="15" hidden="false" customHeight="false" outlineLevel="0" collapsed="false">
      <c r="A1423" s="29" t="n">
        <v>46291</v>
      </c>
      <c r="B1423" s="30" t="n">
        <v>4</v>
      </c>
      <c r="C1423" s="31" t="s">
        <v>63</v>
      </c>
      <c r="D1423" s="31" t="s">
        <v>64</v>
      </c>
      <c r="E1423" s="30" t="n">
        <v>60</v>
      </c>
      <c r="F1423" s="30" t="n">
        <v>0</v>
      </c>
      <c r="G1423" s="30" t="str">
        <f aca="false">IF(E1423&lt;判定条件!$C$6,"判定不能",IF(F1423&gt;=判定条件!$C$7*E1423,"運転",IF(F1423&lt;=判定条件!$C$8*E1423,"停止","断続")))</f>
        <v>停止</v>
      </c>
      <c r="H1423" s="30" t="n">
        <v>60</v>
      </c>
      <c r="I1423" s="30" t="n">
        <v>0</v>
      </c>
      <c r="J1423" s="30" t="str">
        <f aca="false">IF(H1423&lt;判定条件!$C$6,"判定不能",IF(I1423&gt;=判定条件!$C$7*H1423,"運転",IF(I1423&lt;=判定条件!$C$8*H1423,"停止","断続")))</f>
        <v>停止</v>
      </c>
      <c r="K1423" s="30" t="n">
        <v>60</v>
      </c>
      <c r="L1423" s="30" t="n">
        <v>0</v>
      </c>
      <c r="M1423" s="30" t="str">
        <f aca="false">IF(K1423&lt;判定条件!$C$6,"判定不能",IF(L1423&gt;=判定条件!$C$7*K1423,"運転",IF(L1423&lt;=判定条件!$C$8*K1423,"停止","断続")))</f>
        <v>停止</v>
      </c>
      <c r="N1423" s="30" t="n">
        <v>60</v>
      </c>
      <c r="O1423" s="30" t="n">
        <v>0</v>
      </c>
      <c r="P1423" s="30" t="str">
        <f aca="false">IF(N1423&lt;判定条件!$C$6,"判定不能",IF(O1423&gt;=判定条件!$C$7*N1423,"運転",IF(O1423&lt;=判定条件!$C$8*N1423,"停止","断続")))</f>
        <v>停止</v>
      </c>
      <c r="Q1423" s="30" t="n">
        <v>60</v>
      </c>
      <c r="R1423" s="30" t="n">
        <v>0</v>
      </c>
      <c r="S1423" s="30" t="str">
        <f aca="false">IF(Q1423&lt;判定条件!$C$6,"判定不能",IF(R1423&gt;=判定条件!$C$7*Q1423,"運転",IF(R1423&lt;=判定条件!$C$8*Q1423,"停止","断続")))</f>
        <v>停止</v>
      </c>
      <c r="T1423" s="30" t="n">
        <v>60</v>
      </c>
      <c r="U1423" s="30" t="n">
        <v>0</v>
      </c>
      <c r="V1423" s="30" t="str">
        <f aca="false">IF(T1423&lt;判定条件!$C$6,"判定不能",IF(U1423&gt;=判定条件!$C$7*T1423,"運転",IF(U1423&lt;=判定条件!$C$8*T1423,"停止","断続")))</f>
        <v>停止</v>
      </c>
      <c r="W1423" s="30" t="n">
        <v>0</v>
      </c>
      <c r="X1423" s="30" t="n">
        <v>0</v>
      </c>
      <c r="Y1423" s="30" t="str">
        <f aca="false">IF(W1423&lt;判定条件!$C$6,"判定不能",IF(X1423&gt;=判定条件!$C$7*W1423,"運転",IF(X1423&lt;=判定条件!$C$8*W1423,"停止","断続")))</f>
        <v>判定不能</v>
      </c>
      <c r="Z1423" s="30" t="n">
        <v>0</v>
      </c>
      <c r="AA1423" s="30" t="n">
        <v>0</v>
      </c>
      <c r="AB1423" s="30" t="str">
        <f aca="false">IF(Z1423&lt;判定条件!$C$6,"判定不能",IF(AA1423&gt;=判定条件!$C$7*Z1423,"運転",IF(AA1423&lt;=判定条件!$C$8*Z1423,"停止","断続")))</f>
        <v>判定不能</v>
      </c>
      <c r="AC1423" s="30" t="n">
        <v>0</v>
      </c>
      <c r="AD1423" s="30" t="n">
        <v>0</v>
      </c>
      <c r="AE1423" s="30" t="str">
        <f aca="false">IF(AC1423&lt;判定条件!$C$6,"判定不能",IF(AD1423&gt;=判定条件!$C$7*AC1423,"運転",IF(AD1423&lt;=判定条件!$C$8*AC1423,"停止","断続")))</f>
        <v>判定不能</v>
      </c>
      <c r="AF1423" s="30" t="n">
        <v>60</v>
      </c>
      <c r="AG1423" s="30" t="n">
        <v>0</v>
      </c>
      <c r="AH1423" s="30" t="str">
        <f aca="false">IF(OR(P1423="判定不能",G1423="判定不能"),"判定不能",IF(AG1423&gt;=判定条件!$C$9,"利用可",IF(AND(P1423="停止",G1423="停止"),"両方停止","運転がそろわない")))</f>
        <v>両方停止</v>
      </c>
      <c r="AI1423" s="30" t="n">
        <v>60</v>
      </c>
      <c r="AJ1423" s="30" t="n">
        <v>0</v>
      </c>
      <c r="AK1423" s="30" t="str">
        <f aca="false">IF(OR(S1423="判定不能",J1423="判定不能"),"判定不能",IF(AJ1423&gt;=判定条件!$C$9,"利用可",IF(AND(S1423="停止",J1423="停止"),"両方停止","運転がそろわない")))</f>
        <v>両方停止</v>
      </c>
      <c r="AL1423" s="30" t="n">
        <v>60</v>
      </c>
      <c r="AM1423" s="30" t="n">
        <v>0</v>
      </c>
      <c r="AN1423" s="30" t="str">
        <f aca="false">IF(OR(V1423="判定不能",M1423="判定不能"),"判定不能",IF(AM1423&gt;=判定条件!$C$9,"利用可",IF(AND(V1423="停止",M1423="停止"),"両方停止","運転がそろわない")))</f>
        <v>両方停止</v>
      </c>
      <c r="AO1423" s="30" t="n">
        <v>0</v>
      </c>
      <c r="AP1423" s="30" t="n">
        <v>0</v>
      </c>
      <c r="AQ1423" s="30" t="str">
        <f aca="false">IF(OR(Y1423="判定不能",G1423="判定不能"),"判定不能",IF(AP1423&gt;=判定条件!$C$9,"利用可",IF(AND(Y1423="停止",G1423="停止"),"両方停止","運転がそろわない")))</f>
        <v>判定不能</v>
      </c>
      <c r="AR1423" s="30" t="n">
        <v>0</v>
      </c>
      <c r="AS1423" s="30" t="n">
        <v>0</v>
      </c>
      <c r="AT1423" s="30" t="str">
        <f aca="false">IF(OR(AB1423="判定不能",J1423="判定不能"),"判定不能",IF(AS1423&gt;=判定条件!$C$9,"利用可",IF(AND(AB1423="停止",J1423="停止"),"両方停止","運転がそろわない")))</f>
        <v>判定不能</v>
      </c>
      <c r="AU1423" s="30" t="n">
        <v>0</v>
      </c>
      <c r="AV1423" s="30" t="n">
        <v>0</v>
      </c>
      <c r="AW1423" s="30" t="str">
        <f aca="false">IF(OR(AE1423="判定不能",M1423="判定不能"),"判定不能",IF(AV1423&gt;=判定条件!$C$9,"利用可",IF(AND(AE1423="停止",M1423="停止"),"両方停止","運転がそろわない")))</f>
        <v>判定不能</v>
      </c>
      <c r="AX1423" s="30" t="str">
        <f aca="false">IF(AND(AH1423="利用可",AK1423="利用可",AN1423="利用可"),"利用可","不可")</f>
        <v>不可</v>
      </c>
      <c r="AY1423" s="30" t="str">
        <f aca="false">IF(AND(AQ1423="利用可",AT1423="利用可",AW1423="利用可"),"利用可","不可")</f>
        <v>不可</v>
      </c>
    </row>
    <row r="1424" customFormat="false" ht="15" hidden="false" customHeight="false" outlineLevel="0" collapsed="false">
      <c r="A1424" s="29" t="n">
        <v>46291</v>
      </c>
      <c r="B1424" s="30" t="n">
        <v>5</v>
      </c>
      <c r="C1424" s="31" t="s">
        <v>63</v>
      </c>
      <c r="D1424" s="31" t="s">
        <v>64</v>
      </c>
      <c r="E1424" s="30" t="n">
        <v>60</v>
      </c>
      <c r="F1424" s="30" t="n">
        <v>0</v>
      </c>
      <c r="G1424" s="30" t="str">
        <f aca="false">IF(E1424&lt;判定条件!$C$6,"判定不能",IF(F1424&gt;=判定条件!$C$7*E1424,"運転",IF(F1424&lt;=判定条件!$C$8*E1424,"停止","断続")))</f>
        <v>停止</v>
      </c>
      <c r="H1424" s="30" t="n">
        <v>60</v>
      </c>
      <c r="I1424" s="30" t="n">
        <v>0</v>
      </c>
      <c r="J1424" s="30" t="str">
        <f aca="false">IF(H1424&lt;判定条件!$C$6,"判定不能",IF(I1424&gt;=判定条件!$C$7*H1424,"運転",IF(I1424&lt;=判定条件!$C$8*H1424,"停止","断続")))</f>
        <v>停止</v>
      </c>
      <c r="K1424" s="30" t="n">
        <v>60</v>
      </c>
      <c r="L1424" s="30" t="n">
        <v>0</v>
      </c>
      <c r="M1424" s="30" t="str">
        <f aca="false">IF(K1424&lt;判定条件!$C$6,"判定不能",IF(L1424&gt;=判定条件!$C$7*K1424,"運転",IF(L1424&lt;=判定条件!$C$8*K1424,"停止","断続")))</f>
        <v>停止</v>
      </c>
      <c r="N1424" s="30" t="n">
        <v>60</v>
      </c>
      <c r="O1424" s="30" t="n">
        <v>0</v>
      </c>
      <c r="P1424" s="30" t="str">
        <f aca="false">IF(N1424&lt;判定条件!$C$6,"判定不能",IF(O1424&gt;=判定条件!$C$7*N1424,"運転",IF(O1424&lt;=判定条件!$C$8*N1424,"停止","断続")))</f>
        <v>停止</v>
      </c>
      <c r="Q1424" s="30" t="n">
        <v>60</v>
      </c>
      <c r="R1424" s="30" t="n">
        <v>0</v>
      </c>
      <c r="S1424" s="30" t="str">
        <f aca="false">IF(Q1424&lt;判定条件!$C$6,"判定不能",IF(R1424&gt;=判定条件!$C$7*Q1424,"運転",IF(R1424&lt;=判定条件!$C$8*Q1424,"停止","断続")))</f>
        <v>停止</v>
      </c>
      <c r="T1424" s="30" t="n">
        <v>60</v>
      </c>
      <c r="U1424" s="30" t="n">
        <v>0</v>
      </c>
      <c r="V1424" s="30" t="str">
        <f aca="false">IF(T1424&lt;判定条件!$C$6,"判定不能",IF(U1424&gt;=判定条件!$C$7*T1424,"運転",IF(U1424&lt;=判定条件!$C$8*T1424,"停止","断続")))</f>
        <v>停止</v>
      </c>
      <c r="W1424" s="30" t="n">
        <v>0</v>
      </c>
      <c r="X1424" s="30" t="n">
        <v>0</v>
      </c>
      <c r="Y1424" s="30" t="str">
        <f aca="false">IF(W1424&lt;判定条件!$C$6,"判定不能",IF(X1424&gt;=判定条件!$C$7*W1424,"運転",IF(X1424&lt;=判定条件!$C$8*W1424,"停止","断続")))</f>
        <v>判定不能</v>
      </c>
      <c r="Z1424" s="30" t="n">
        <v>0</v>
      </c>
      <c r="AA1424" s="30" t="n">
        <v>0</v>
      </c>
      <c r="AB1424" s="30" t="str">
        <f aca="false">IF(Z1424&lt;判定条件!$C$6,"判定不能",IF(AA1424&gt;=判定条件!$C$7*Z1424,"運転",IF(AA1424&lt;=判定条件!$C$8*Z1424,"停止","断続")))</f>
        <v>判定不能</v>
      </c>
      <c r="AC1424" s="30" t="n">
        <v>0</v>
      </c>
      <c r="AD1424" s="30" t="n">
        <v>0</v>
      </c>
      <c r="AE1424" s="30" t="str">
        <f aca="false">IF(AC1424&lt;判定条件!$C$6,"判定不能",IF(AD1424&gt;=判定条件!$C$7*AC1424,"運転",IF(AD1424&lt;=判定条件!$C$8*AC1424,"停止","断続")))</f>
        <v>判定不能</v>
      </c>
      <c r="AF1424" s="30" t="n">
        <v>60</v>
      </c>
      <c r="AG1424" s="30" t="n">
        <v>0</v>
      </c>
      <c r="AH1424" s="30" t="str">
        <f aca="false">IF(OR(P1424="判定不能",G1424="判定不能"),"判定不能",IF(AG1424&gt;=判定条件!$C$9,"利用可",IF(AND(P1424="停止",G1424="停止"),"両方停止","運転がそろわない")))</f>
        <v>両方停止</v>
      </c>
      <c r="AI1424" s="30" t="n">
        <v>60</v>
      </c>
      <c r="AJ1424" s="30" t="n">
        <v>0</v>
      </c>
      <c r="AK1424" s="30" t="str">
        <f aca="false">IF(OR(S1424="判定不能",J1424="判定不能"),"判定不能",IF(AJ1424&gt;=判定条件!$C$9,"利用可",IF(AND(S1424="停止",J1424="停止"),"両方停止","運転がそろわない")))</f>
        <v>両方停止</v>
      </c>
      <c r="AL1424" s="30" t="n">
        <v>60</v>
      </c>
      <c r="AM1424" s="30" t="n">
        <v>0</v>
      </c>
      <c r="AN1424" s="30" t="str">
        <f aca="false">IF(OR(V1424="判定不能",M1424="判定不能"),"判定不能",IF(AM1424&gt;=判定条件!$C$9,"利用可",IF(AND(V1424="停止",M1424="停止"),"両方停止","運転がそろわない")))</f>
        <v>両方停止</v>
      </c>
      <c r="AO1424" s="30" t="n">
        <v>0</v>
      </c>
      <c r="AP1424" s="30" t="n">
        <v>0</v>
      </c>
      <c r="AQ1424" s="30" t="str">
        <f aca="false">IF(OR(Y1424="判定不能",G1424="判定不能"),"判定不能",IF(AP1424&gt;=判定条件!$C$9,"利用可",IF(AND(Y1424="停止",G1424="停止"),"両方停止","運転がそろわない")))</f>
        <v>判定不能</v>
      </c>
      <c r="AR1424" s="30" t="n">
        <v>0</v>
      </c>
      <c r="AS1424" s="30" t="n">
        <v>0</v>
      </c>
      <c r="AT1424" s="30" t="str">
        <f aca="false">IF(OR(AB1424="判定不能",J1424="判定不能"),"判定不能",IF(AS1424&gt;=判定条件!$C$9,"利用可",IF(AND(AB1424="停止",J1424="停止"),"両方停止","運転がそろわない")))</f>
        <v>判定不能</v>
      </c>
      <c r="AU1424" s="30" t="n">
        <v>0</v>
      </c>
      <c r="AV1424" s="30" t="n">
        <v>0</v>
      </c>
      <c r="AW1424" s="30" t="str">
        <f aca="false">IF(OR(AE1424="判定不能",M1424="判定不能"),"判定不能",IF(AV1424&gt;=判定条件!$C$9,"利用可",IF(AND(AE1424="停止",M1424="停止"),"両方停止","運転がそろわない")))</f>
        <v>判定不能</v>
      </c>
      <c r="AX1424" s="30" t="str">
        <f aca="false">IF(AND(AH1424="利用可",AK1424="利用可",AN1424="利用可"),"利用可","不可")</f>
        <v>不可</v>
      </c>
      <c r="AY1424" s="30" t="str">
        <f aca="false">IF(AND(AQ1424="利用可",AT1424="利用可",AW1424="利用可"),"利用可","不可")</f>
        <v>不可</v>
      </c>
    </row>
    <row r="1425" customFormat="false" ht="15" hidden="false" customHeight="false" outlineLevel="0" collapsed="false">
      <c r="A1425" s="29" t="n">
        <v>46291</v>
      </c>
      <c r="B1425" s="30" t="n">
        <v>6</v>
      </c>
      <c r="C1425" s="31" t="s">
        <v>63</v>
      </c>
      <c r="D1425" s="31" t="s">
        <v>64</v>
      </c>
      <c r="E1425" s="30" t="n">
        <v>60</v>
      </c>
      <c r="F1425" s="30" t="n">
        <v>0</v>
      </c>
      <c r="G1425" s="30" t="str">
        <f aca="false">IF(E1425&lt;判定条件!$C$6,"判定不能",IF(F1425&gt;=判定条件!$C$7*E1425,"運転",IF(F1425&lt;=判定条件!$C$8*E1425,"停止","断続")))</f>
        <v>停止</v>
      </c>
      <c r="H1425" s="30" t="n">
        <v>60</v>
      </c>
      <c r="I1425" s="30" t="n">
        <v>0</v>
      </c>
      <c r="J1425" s="30" t="str">
        <f aca="false">IF(H1425&lt;判定条件!$C$6,"判定不能",IF(I1425&gt;=判定条件!$C$7*H1425,"運転",IF(I1425&lt;=判定条件!$C$8*H1425,"停止","断続")))</f>
        <v>停止</v>
      </c>
      <c r="K1425" s="30" t="n">
        <v>60</v>
      </c>
      <c r="L1425" s="30" t="n">
        <v>0</v>
      </c>
      <c r="M1425" s="30" t="str">
        <f aca="false">IF(K1425&lt;判定条件!$C$6,"判定不能",IF(L1425&gt;=判定条件!$C$7*K1425,"運転",IF(L1425&lt;=判定条件!$C$8*K1425,"停止","断続")))</f>
        <v>停止</v>
      </c>
      <c r="N1425" s="30" t="n">
        <v>60</v>
      </c>
      <c r="O1425" s="30" t="n">
        <v>0</v>
      </c>
      <c r="P1425" s="30" t="str">
        <f aca="false">IF(N1425&lt;判定条件!$C$6,"判定不能",IF(O1425&gt;=判定条件!$C$7*N1425,"運転",IF(O1425&lt;=判定条件!$C$8*N1425,"停止","断続")))</f>
        <v>停止</v>
      </c>
      <c r="Q1425" s="30" t="n">
        <v>60</v>
      </c>
      <c r="R1425" s="30" t="n">
        <v>0</v>
      </c>
      <c r="S1425" s="30" t="str">
        <f aca="false">IF(Q1425&lt;判定条件!$C$6,"判定不能",IF(R1425&gt;=判定条件!$C$7*Q1425,"運転",IF(R1425&lt;=判定条件!$C$8*Q1425,"停止","断続")))</f>
        <v>停止</v>
      </c>
      <c r="T1425" s="30" t="n">
        <v>60</v>
      </c>
      <c r="U1425" s="30" t="n">
        <v>0</v>
      </c>
      <c r="V1425" s="30" t="str">
        <f aca="false">IF(T1425&lt;判定条件!$C$6,"判定不能",IF(U1425&gt;=判定条件!$C$7*T1425,"運転",IF(U1425&lt;=判定条件!$C$8*T1425,"停止","断続")))</f>
        <v>停止</v>
      </c>
      <c r="W1425" s="30" t="n">
        <v>0</v>
      </c>
      <c r="X1425" s="30" t="n">
        <v>0</v>
      </c>
      <c r="Y1425" s="30" t="str">
        <f aca="false">IF(W1425&lt;判定条件!$C$6,"判定不能",IF(X1425&gt;=判定条件!$C$7*W1425,"運転",IF(X1425&lt;=判定条件!$C$8*W1425,"停止","断続")))</f>
        <v>判定不能</v>
      </c>
      <c r="Z1425" s="30" t="n">
        <v>0</v>
      </c>
      <c r="AA1425" s="30" t="n">
        <v>0</v>
      </c>
      <c r="AB1425" s="30" t="str">
        <f aca="false">IF(Z1425&lt;判定条件!$C$6,"判定不能",IF(AA1425&gt;=判定条件!$C$7*Z1425,"運転",IF(AA1425&lt;=判定条件!$C$8*Z1425,"停止","断続")))</f>
        <v>判定不能</v>
      </c>
      <c r="AC1425" s="30" t="n">
        <v>0</v>
      </c>
      <c r="AD1425" s="30" t="n">
        <v>0</v>
      </c>
      <c r="AE1425" s="30" t="str">
        <f aca="false">IF(AC1425&lt;判定条件!$C$6,"判定不能",IF(AD1425&gt;=判定条件!$C$7*AC1425,"運転",IF(AD1425&lt;=判定条件!$C$8*AC1425,"停止","断続")))</f>
        <v>判定不能</v>
      </c>
      <c r="AF1425" s="30" t="n">
        <v>60</v>
      </c>
      <c r="AG1425" s="30" t="n">
        <v>0</v>
      </c>
      <c r="AH1425" s="30" t="str">
        <f aca="false">IF(OR(P1425="判定不能",G1425="判定不能"),"判定不能",IF(AG1425&gt;=判定条件!$C$9,"利用可",IF(AND(P1425="停止",G1425="停止"),"両方停止","運転がそろわない")))</f>
        <v>両方停止</v>
      </c>
      <c r="AI1425" s="30" t="n">
        <v>60</v>
      </c>
      <c r="AJ1425" s="30" t="n">
        <v>0</v>
      </c>
      <c r="AK1425" s="30" t="str">
        <f aca="false">IF(OR(S1425="判定不能",J1425="判定不能"),"判定不能",IF(AJ1425&gt;=判定条件!$C$9,"利用可",IF(AND(S1425="停止",J1425="停止"),"両方停止","運転がそろわない")))</f>
        <v>両方停止</v>
      </c>
      <c r="AL1425" s="30" t="n">
        <v>60</v>
      </c>
      <c r="AM1425" s="30" t="n">
        <v>0</v>
      </c>
      <c r="AN1425" s="30" t="str">
        <f aca="false">IF(OR(V1425="判定不能",M1425="判定不能"),"判定不能",IF(AM1425&gt;=判定条件!$C$9,"利用可",IF(AND(V1425="停止",M1425="停止"),"両方停止","運転がそろわない")))</f>
        <v>両方停止</v>
      </c>
      <c r="AO1425" s="30" t="n">
        <v>0</v>
      </c>
      <c r="AP1425" s="30" t="n">
        <v>0</v>
      </c>
      <c r="AQ1425" s="30" t="str">
        <f aca="false">IF(OR(Y1425="判定不能",G1425="判定不能"),"判定不能",IF(AP1425&gt;=判定条件!$C$9,"利用可",IF(AND(Y1425="停止",G1425="停止"),"両方停止","運転がそろわない")))</f>
        <v>判定不能</v>
      </c>
      <c r="AR1425" s="30" t="n">
        <v>0</v>
      </c>
      <c r="AS1425" s="30" t="n">
        <v>0</v>
      </c>
      <c r="AT1425" s="30" t="str">
        <f aca="false">IF(OR(AB1425="判定不能",J1425="判定不能"),"判定不能",IF(AS1425&gt;=判定条件!$C$9,"利用可",IF(AND(AB1425="停止",J1425="停止"),"両方停止","運転がそろわない")))</f>
        <v>判定不能</v>
      </c>
      <c r="AU1425" s="30" t="n">
        <v>0</v>
      </c>
      <c r="AV1425" s="30" t="n">
        <v>0</v>
      </c>
      <c r="AW1425" s="30" t="str">
        <f aca="false">IF(OR(AE1425="判定不能",M1425="判定不能"),"判定不能",IF(AV1425&gt;=判定条件!$C$9,"利用可",IF(AND(AE1425="停止",M1425="停止"),"両方停止","運転がそろわない")))</f>
        <v>判定不能</v>
      </c>
      <c r="AX1425" s="30" t="str">
        <f aca="false">IF(AND(AH1425="利用可",AK1425="利用可",AN1425="利用可"),"利用可","不可")</f>
        <v>不可</v>
      </c>
      <c r="AY1425" s="30" t="str">
        <f aca="false">IF(AND(AQ1425="利用可",AT1425="利用可",AW1425="利用可"),"利用可","不可")</f>
        <v>不可</v>
      </c>
    </row>
    <row r="1426" customFormat="false" ht="15" hidden="false" customHeight="false" outlineLevel="0" collapsed="false">
      <c r="A1426" s="29" t="n">
        <v>46291</v>
      </c>
      <c r="B1426" s="30" t="n">
        <v>7</v>
      </c>
      <c r="C1426" s="31" t="s">
        <v>63</v>
      </c>
      <c r="D1426" s="31" t="s">
        <v>64</v>
      </c>
      <c r="E1426" s="30" t="n">
        <v>60</v>
      </c>
      <c r="F1426" s="30" t="n">
        <v>0</v>
      </c>
      <c r="G1426" s="30" t="str">
        <f aca="false">IF(E1426&lt;判定条件!$C$6,"判定不能",IF(F1426&gt;=判定条件!$C$7*E1426,"運転",IF(F1426&lt;=判定条件!$C$8*E1426,"停止","断続")))</f>
        <v>停止</v>
      </c>
      <c r="H1426" s="30" t="n">
        <v>60</v>
      </c>
      <c r="I1426" s="30" t="n">
        <v>0</v>
      </c>
      <c r="J1426" s="30" t="str">
        <f aca="false">IF(H1426&lt;判定条件!$C$6,"判定不能",IF(I1426&gt;=判定条件!$C$7*H1426,"運転",IF(I1426&lt;=判定条件!$C$8*H1426,"停止","断続")))</f>
        <v>停止</v>
      </c>
      <c r="K1426" s="30" t="n">
        <v>60</v>
      </c>
      <c r="L1426" s="30" t="n">
        <v>0</v>
      </c>
      <c r="M1426" s="30" t="str">
        <f aca="false">IF(K1426&lt;判定条件!$C$6,"判定不能",IF(L1426&gt;=判定条件!$C$7*K1426,"運転",IF(L1426&lt;=判定条件!$C$8*K1426,"停止","断続")))</f>
        <v>停止</v>
      </c>
      <c r="N1426" s="30" t="n">
        <v>60</v>
      </c>
      <c r="O1426" s="30" t="n">
        <v>0</v>
      </c>
      <c r="P1426" s="30" t="str">
        <f aca="false">IF(N1426&lt;判定条件!$C$6,"判定不能",IF(O1426&gt;=判定条件!$C$7*N1426,"運転",IF(O1426&lt;=判定条件!$C$8*N1426,"停止","断続")))</f>
        <v>停止</v>
      </c>
      <c r="Q1426" s="30" t="n">
        <v>60</v>
      </c>
      <c r="R1426" s="30" t="n">
        <v>0</v>
      </c>
      <c r="S1426" s="30" t="str">
        <f aca="false">IF(Q1426&lt;判定条件!$C$6,"判定不能",IF(R1426&gt;=判定条件!$C$7*Q1426,"運転",IF(R1426&lt;=判定条件!$C$8*Q1426,"停止","断続")))</f>
        <v>停止</v>
      </c>
      <c r="T1426" s="30" t="n">
        <v>60</v>
      </c>
      <c r="U1426" s="30" t="n">
        <v>0</v>
      </c>
      <c r="V1426" s="30" t="str">
        <f aca="false">IF(T1426&lt;判定条件!$C$6,"判定不能",IF(U1426&gt;=判定条件!$C$7*T1426,"運転",IF(U1426&lt;=判定条件!$C$8*T1426,"停止","断続")))</f>
        <v>停止</v>
      </c>
      <c r="W1426" s="30" t="n">
        <v>0</v>
      </c>
      <c r="X1426" s="30" t="n">
        <v>0</v>
      </c>
      <c r="Y1426" s="30" t="str">
        <f aca="false">IF(W1426&lt;判定条件!$C$6,"判定不能",IF(X1426&gt;=判定条件!$C$7*W1426,"運転",IF(X1426&lt;=判定条件!$C$8*W1426,"停止","断続")))</f>
        <v>判定不能</v>
      </c>
      <c r="Z1426" s="30" t="n">
        <v>0</v>
      </c>
      <c r="AA1426" s="30" t="n">
        <v>0</v>
      </c>
      <c r="AB1426" s="30" t="str">
        <f aca="false">IF(Z1426&lt;判定条件!$C$6,"判定不能",IF(AA1426&gt;=判定条件!$C$7*Z1426,"運転",IF(AA1426&lt;=判定条件!$C$8*Z1426,"停止","断続")))</f>
        <v>判定不能</v>
      </c>
      <c r="AC1426" s="30" t="n">
        <v>0</v>
      </c>
      <c r="AD1426" s="30" t="n">
        <v>0</v>
      </c>
      <c r="AE1426" s="30" t="str">
        <f aca="false">IF(AC1426&lt;判定条件!$C$6,"判定不能",IF(AD1426&gt;=判定条件!$C$7*AC1426,"運転",IF(AD1426&lt;=判定条件!$C$8*AC1426,"停止","断続")))</f>
        <v>判定不能</v>
      </c>
      <c r="AF1426" s="30" t="n">
        <v>60</v>
      </c>
      <c r="AG1426" s="30" t="n">
        <v>0</v>
      </c>
      <c r="AH1426" s="30" t="str">
        <f aca="false">IF(OR(P1426="判定不能",G1426="判定不能"),"判定不能",IF(AG1426&gt;=判定条件!$C$9,"利用可",IF(AND(P1426="停止",G1426="停止"),"両方停止","運転がそろわない")))</f>
        <v>両方停止</v>
      </c>
      <c r="AI1426" s="30" t="n">
        <v>60</v>
      </c>
      <c r="AJ1426" s="30" t="n">
        <v>0</v>
      </c>
      <c r="AK1426" s="30" t="str">
        <f aca="false">IF(OR(S1426="判定不能",J1426="判定不能"),"判定不能",IF(AJ1426&gt;=判定条件!$C$9,"利用可",IF(AND(S1426="停止",J1426="停止"),"両方停止","運転がそろわない")))</f>
        <v>両方停止</v>
      </c>
      <c r="AL1426" s="30" t="n">
        <v>60</v>
      </c>
      <c r="AM1426" s="30" t="n">
        <v>0</v>
      </c>
      <c r="AN1426" s="30" t="str">
        <f aca="false">IF(OR(V1426="判定不能",M1426="判定不能"),"判定不能",IF(AM1426&gt;=判定条件!$C$9,"利用可",IF(AND(V1426="停止",M1426="停止"),"両方停止","運転がそろわない")))</f>
        <v>両方停止</v>
      </c>
      <c r="AO1426" s="30" t="n">
        <v>0</v>
      </c>
      <c r="AP1426" s="30" t="n">
        <v>0</v>
      </c>
      <c r="AQ1426" s="30" t="str">
        <f aca="false">IF(OR(Y1426="判定不能",G1426="判定不能"),"判定不能",IF(AP1426&gt;=判定条件!$C$9,"利用可",IF(AND(Y1426="停止",G1426="停止"),"両方停止","運転がそろわない")))</f>
        <v>判定不能</v>
      </c>
      <c r="AR1426" s="30" t="n">
        <v>0</v>
      </c>
      <c r="AS1426" s="30" t="n">
        <v>0</v>
      </c>
      <c r="AT1426" s="30" t="str">
        <f aca="false">IF(OR(AB1426="判定不能",J1426="判定不能"),"判定不能",IF(AS1426&gt;=判定条件!$C$9,"利用可",IF(AND(AB1426="停止",J1426="停止"),"両方停止","運転がそろわない")))</f>
        <v>判定不能</v>
      </c>
      <c r="AU1426" s="30" t="n">
        <v>0</v>
      </c>
      <c r="AV1426" s="30" t="n">
        <v>0</v>
      </c>
      <c r="AW1426" s="30" t="str">
        <f aca="false">IF(OR(AE1426="判定不能",M1426="判定不能"),"判定不能",IF(AV1426&gt;=判定条件!$C$9,"利用可",IF(AND(AE1426="停止",M1426="停止"),"両方停止","運転がそろわない")))</f>
        <v>判定不能</v>
      </c>
      <c r="AX1426" s="30" t="str">
        <f aca="false">IF(AND(AH1426="利用可",AK1426="利用可",AN1426="利用可"),"利用可","不可")</f>
        <v>不可</v>
      </c>
      <c r="AY1426" s="30" t="str">
        <f aca="false">IF(AND(AQ1426="利用可",AT1426="利用可",AW1426="利用可"),"利用可","不可")</f>
        <v>不可</v>
      </c>
    </row>
    <row r="1427" customFormat="false" ht="15" hidden="false" customHeight="false" outlineLevel="0" collapsed="false">
      <c r="A1427" s="29" t="n">
        <v>46291</v>
      </c>
      <c r="B1427" s="30" t="n">
        <v>8</v>
      </c>
      <c r="C1427" s="31" t="s">
        <v>63</v>
      </c>
      <c r="D1427" s="31" t="s">
        <v>64</v>
      </c>
      <c r="E1427" s="30" t="n">
        <v>60</v>
      </c>
      <c r="F1427" s="30" t="n">
        <v>0</v>
      </c>
      <c r="G1427" s="30" t="str">
        <f aca="false">IF(E1427&lt;判定条件!$C$6,"判定不能",IF(F1427&gt;=判定条件!$C$7*E1427,"運転",IF(F1427&lt;=判定条件!$C$8*E1427,"停止","断続")))</f>
        <v>停止</v>
      </c>
      <c r="H1427" s="30" t="n">
        <v>60</v>
      </c>
      <c r="I1427" s="30" t="n">
        <v>0</v>
      </c>
      <c r="J1427" s="30" t="str">
        <f aca="false">IF(H1427&lt;判定条件!$C$6,"判定不能",IF(I1427&gt;=判定条件!$C$7*H1427,"運転",IF(I1427&lt;=判定条件!$C$8*H1427,"停止","断続")))</f>
        <v>停止</v>
      </c>
      <c r="K1427" s="30" t="n">
        <v>60</v>
      </c>
      <c r="L1427" s="30" t="n">
        <v>0</v>
      </c>
      <c r="M1427" s="30" t="str">
        <f aca="false">IF(K1427&lt;判定条件!$C$6,"判定不能",IF(L1427&gt;=判定条件!$C$7*K1427,"運転",IF(L1427&lt;=判定条件!$C$8*K1427,"停止","断続")))</f>
        <v>停止</v>
      </c>
      <c r="N1427" s="30" t="n">
        <v>60</v>
      </c>
      <c r="O1427" s="30" t="n">
        <v>0</v>
      </c>
      <c r="P1427" s="30" t="str">
        <f aca="false">IF(N1427&lt;判定条件!$C$6,"判定不能",IF(O1427&gt;=判定条件!$C$7*N1427,"運転",IF(O1427&lt;=判定条件!$C$8*N1427,"停止","断続")))</f>
        <v>停止</v>
      </c>
      <c r="Q1427" s="30" t="n">
        <v>60</v>
      </c>
      <c r="R1427" s="30" t="n">
        <v>11</v>
      </c>
      <c r="S1427" s="30" t="str">
        <f aca="false">IF(Q1427&lt;判定条件!$C$6,"判定不能",IF(R1427&gt;=判定条件!$C$7*Q1427,"運転",IF(R1427&lt;=判定条件!$C$8*Q1427,"停止","断続")))</f>
        <v>停止</v>
      </c>
      <c r="T1427" s="30" t="n">
        <v>60</v>
      </c>
      <c r="U1427" s="30" t="n">
        <v>29</v>
      </c>
      <c r="V1427" s="30" t="str">
        <f aca="false">IF(T1427&lt;判定条件!$C$6,"判定不能",IF(U1427&gt;=判定条件!$C$7*T1427,"運転",IF(U1427&lt;=判定条件!$C$8*T1427,"停止","断続")))</f>
        <v>断続</v>
      </c>
      <c r="W1427" s="30" t="n">
        <v>0</v>
      </c>
      <c r="X1427" s="30" t="n">
        <v>0</v>
      </c>
      <c r="Y1427" s="30" t="str">
        <f aca="false">IF(W1427&lt;判定条件!$C$6,"判定不能",IF(X1427&gt;=判定条件!$C$7*W1427,"運転",IF(X1427&lt;=判定条件!$C$8*W1427,"停止","断続")))</f>
        <v>判定不能</v>
      </c>
      <c r="Z1427" s="30" t="n">
        <v>0</v>
      </c>
      <c r="AA1427" s="30" t="n">
        <v>0</v>
      </c>
      <c r="AB1427" s="30" t="str">
        <f aca="false">IF(Z1427&lt;判定条件!$C$6,"判定不能",IF(AA1427&gt;=判定条件!$C$7*Z1427,"運転",IF(AA1427&lt;=判定条件!$C$8*Z1427,"停止","断続")))</f>
        <v>判定不能</v>
      </c>
      <c r="AC1427" s="30" t="n">
        <v>0</v>
      </c>
      <c r="AD1427" s="30" t="n">
        <v>0</v>
      </c>
      <c r="AE1427" s="30" t="str">
        <f aca="false">IF(AC1427&lt;判定条件!$C$6,"判定不能",IF(AD1427&gt;=判定条件!$C$7*AC1427,"運転",IF(AD1427&lt;=判定条件!$C$8*AC1427,"停止","断続")))</f>
        <v>判定不能</v>
      </c>
      <c r="AF1427" s="30" t="n">
        <v>60</v>
      </c>
      <c r="AG1427" s="30" t="n">
        <v>0</v>
      </c>
      <c r="AH1427" s="30" t="str">
        <f aca="false">IF(OR(P1427="判定不能",G1427="判定不能"),"判定不能",IF(AG1427&gt;=判定条件!$C$9,"利用可",IF(AND(P1427="停止",G1427="停止"),"両方停止","運転がそろわない")))</f>
        <v>両方停止</v>
      </c>
      <c r="AI1427" s="30" t="n">
        <v>60</v>
      </c>
      <c r="AJ1427" s="30" t="n">
        <v>0</v>
      </c>
      <c r="AK1427" s="30" t="str">
        <f aca="false">IF(OR(S1427="判定不能",J1427="判定不能"),"判定不能",IF(AJ1427&gt;=判定条件!$C$9,"利用可",IF(AND(S1427="停止",J1427="停止"),"両方停止","運転がそろわない")))</f>
        <v>両方停止</v>
      </c>
      <c r="AL1427" s="30" t="n">
        <v>60</v>
      </c>
      <c r="AM1427" s="30" t="n">
        <v>0</v>
      </c>
      <c r="AN1427" s="30" t="str">
        <f aca="false">IF(OR(V1427="判定不能",M1427="判定不能"),"判定不能",IF(AM1427&gt;=判定条件!$C$9,"利用可",IF(AND(V1427="停止",M1427="停止"),"両方停止","運転がそろわない")))</f>
        <v>運転がそろわない</v>
      </c>
      <c r="AO1427" s="30" t="n">
        <v>0</v>
      </c>
      <c r="AP1427" s="30" t="n">
        <v>0</v>
      </c>
      <c r="AQ1427" s="30" t="str">
        <f aca="false">IF(OR(Y1427="判定不能",G1427="判定不能"),"判定不能",IF(AP1427&gt;=判定条件!$C$9,"利用可",IF(AND(Y1427="停止",G1427="停止"),"両方停止","運転がそろわない")))</f>
        <v>判定不能</v>
      </c>
      <c r="AR1427" s="30" t="n">
        <v>0</v>
      </c>
      <c r="AS1427" s="30" t="n">
        <v>0</v>
      </c>
      <c r="AT1427" s="30" t="str">
        <f aca="false">IF(OR(AB1427="判定不能",J1427="判定不能"),"判定不能",IF(AS1427&gt;=判定条件!$C$9,"利用可",IF(AND(AB1427="停止",J1427="停止"),"両方停止","運転がそろわない")))</f>
        <v>判定不能</v>
      </c>
      <c r="AU1427" s="30" t="n">
        <v>0</v>
      </c>
      <c r="AV1427" s="30" t="n">
        <v>0</v>
      </c>
      <c r="AW1427" s="30" t="str">
        <f aca="false">IF(OR(AE1427="判定不能",M1427="判定不能"),"判定不能",IF(AV1427&gt;=判定条件!$C$9,"利用可",IF(AND(AE1427="停止",M1427="停止"),"両方停止","運転がそろわない")))</f>
        <v>判定不能</v>
      </c>
      <c r="AX1427" s="30" t="str">
        <f aca="false">IF(AND(AH1427="利用可",AK1427="利用可",AN1427="利用可"),"利用可","不可")</f>
        <v>不可</v>
      </c>
      <c r="AY1427" s="30" t="str">
        <f aca="false">IF(AND(AQ1427="利用可",AT1427="利用可",AW1427="利用可"),"利用可","不可")</f>
        <v>不可</v>
      </c>
    </row>
    <row r="1428" customFormat="false" ht="15" hidden="false" customHeight="false" outlineLevel="0" collapsed="false">
      <c r="A1428" s="29" t="n">
        <v>46291</v>
      </c>
      <c r="B1428" s="30" t="n">
        <v>9</v>
      </c>
      <c r="C1428" s="31" t="s">
        <v>63</v>
      </c>
      <c r="D1428" s="31" t="s">
        <v>64</v>
      </c>
      <c r="E1428" s="30" t="n">
        <v>60</v>
      </c>
      <c r="F1428" s="30" t="n">
        <v>0</v>
      </c>
      <c r="G1428" s="30" t="str">
        <f aca="false">IF(E1428&lt;判定条件!$C$6,"判定不能",IF(F1428&gt;=判定条件!$C$7*E1428,"運転",IF(F1428&lt;=判定条件!$C$8*E1428,"停止","断続")))</f>
        <v>停止</v>
      </c>
      <c r="H1428" s="30" t="n">
        <v>60</v>
      </c>
      <c r="I1428" s="30" t="n">
        <v>26</v>
      </c>
      <c r="J1428" s="30" t="str">
        <f aca="false">IF(H1428&lt;判定条件!$C$6,"判定不能",IF(I1428&gt;=判定条件!$C$7*H1428,"運転",IF(I1428&lt;=判定条件!$C$8*H1428,"停止","断続")))</f>
        <v>断続</v>
      </c>
      <c r="K1428" s="30" t="n">
        <v>60</v>
      </c>
      <c r="L1428" s="30" t="n">
        <v>9</v>
      </c>
      <c r="M1428" s="30" t="str">
        <f aca="false">IF(K1428&lt;判定条件!$C$6,"判定不能",IF(L1428&gt;=判定条件!$C$7*K1428,"運転",IF(L1428&lt;=判定条件!$C$8*K1428,"停止","断続")))</f>
        <v>停止</v>
      </c>
      <c r="N1428" s="30" t="n">
        <v>60</v>
      </c>
      <c r="O1428" s="30" t="n">
        <v>0</v>
      </c>
      <c r="P1428" s="30" t="str">
        <f aca="false">IF(N1428&lt;判定条件!$C$6,"判定不能",IF(O1428&gt;=判定条件!$C$7*N1428,"運転",IF(O1428&lt;=判定条件!$C$8*N1428,"停止","断続")))</f>
        <v>停止</v>
      </c>
      <c r="Q1428" s="30" t="n">
        <v>60</v>
      </c>
      <c r="R1428" s="30" t="n">
        <v>11</v>
      </c>
      <c r="S1428" s="30" t="str">
        <f aca="false">IF(Q1428&lt;判定条件!$C$6,"判定不能",IF(R1428&gt;=判定条件!$C$7*Q1428,"運転",IF(R1428&lt;=判定条件!$C$8*Q1428,"停止","断続")))</f>
        <v>停止</v>
      </c>
      <c r="T1428" s="30" t="n">
        <v>60</v>
      </c>
      <c r="U1428" s="30" t="n">
        <v>60</v>
      </c>
      <c r="V1428" s="30" t="str">
        <f aca="false">IF(T1428&lt;判定条件!$C$6,"判定不能",IF(U1428&gt;=判定条件!$C$7*T1428,"運転",IF(U1428&lt;=判定条件!$C$8*T1428,"停止","断続")))</f>
        <v>運転</v>
      </c>
      <c r="W1428" s="30" t="n">
        <v>0</v>
      </c>
      <c r="X1428" s="30" t="n">
        <v>0</v>
      </c>
      <c r="Y1428" s="30" t="str">
        <f aca="false">IF(W1428&lt;判定条件!$C$6,"判定不能",IF(X1428&gt;=判定条件!$C$7*W1428,"運転",IF(X1428&lt;=判定条件!$C$8*W1428,"停止","断続")))</f>
        <v>判定不能</v>
      </c>
      <c r="Z1428" s="30" t="n">
        <v>0</v>
      </c>
      <c r="AA1428" s="30" t="n">
        <v>0</v>
      </c>
      <c r="AB1428" s="30" t="str">
        <f aca="false">IF(Z1428&lt;判定条件!$C$6,"判定不能",IF(AA1428&gt;=判定条件!$C$7*Z1428,"運転",IF(AA1428&lt;=判定条件!$C$8*Z1428,"停止","断続")))</f>
        <v>判定不能</v>
      </c>
      <c r="AC1428" s="30" t="n">
        <v>0</v>
      </c>
      <c r="AD1428" s="30" t="n">
        <v>0</v>
      </c>
      <c r="AE1428" s="30" t="str">
        <f aca="false">IF(AC1428&lt;判定条件!$C$6,"判定不能",IF(AD1428&gt;=判定条件!$C$7*AC1428,"運転",IF(AD1428&lt;=判定条件!$C$8*AC1428,"停止","断続")))</f>
        <v>判定不能</v>
      </c>
      <c r="AF1428" s="30" t="n">
        <v>60</v>
      </c>
      <c r="AG1428" s="30" t="n">
        <v>0</v>
      </c>
      <c r="AH1428" s="30" t="str">
        <f aca="false">IF(OR(P1428="判定不能",G1428="判定不能"),"判定不能",IF(AG1428&gt;=判定条件!$C$9,"利用可",IF(AND(P1428="停止",G1428="停止"),"両方停止","運転がそろわない")))</f>
        <v>両方停止</v>
      </c>
      <c r="AI1428" s="30" t="n">
        <v>60</v>
      </c>
      <c r="AJ1428" s="30" t="n">
        <v>3</v>
      </c>
      <c r="AK1428" s="30" t="str">
        <f aca="false">IF(OR(S1428="判定不能",J1428="判定不能"),"判定不能",IF(AJ1428&gt;=判定条件!$C$9,"利用可",IF(AND(S1428="停止",J1428="停止"),"両方停止","運転がそろわない")))</f>
        <v>運転がそろわない</v>
      </c>
      <c r="AL1428" s="30" t="n">
        <v>60</v>
      </c>
      <c r="AM1428" s="30" t="n">
        <v>9</v>
      </c>
      <c r="AN1428" s="30" t="str">
        <f aca="false">IF(OR(V1428="判定不能",M1428="判定不能"),"判定不能",IF(AM1428&gt;=判定条件!$C$9,"利用可",IF(AND(V1428="停止",M1428="停止"),"両方停止","運転がそろわない")))</f>
        <v>運転がそろわない</v>
      </c>
      <c r="AO1428" s="30" t="n">
        <v>0</v>
      </c>
      <c r="AP1428" s="30" t="n">
        <v>0</v>
      </c>
      <c r="AQ1428" s="30" t="str">
        <f aca="false">IF(OR(Y1428="判定不能",G1428="判定不能"),"判定不能",IF(AP1428&gt;=判定条件!$C$9,"利用可",IF(AND(Y1428="停止",G1428="停止"),"両方停止","運転がそろわない")))</f>
        <v>判定不能</v>
      </c>
      <c r="AR1428" s="30" t="n">
        <v>0</v>
      </c>
      <c r="AS1428" s="30" t="n">
        <v>0</v>
      </c>
      <c r="AT1428" s="30" t="str">
        <f aca="false">IF(OR(AB1428="判定不能",J1428="判定不能"),"判定不能",IF(AS1428&gt;=判定条件!$C$9,"利用可",IF(AND(AB1428="停止",J1428="停止"),"両方停止","運転がそろわない")))</f>
        <v>判定不能</v>
      </c>
      <c r="AU1428" s="30" t="n">
        <v>0</v>
      </c>
      <c r="AV1428" s="30" t="n">
        <v>0</v>
      </c>
      <c r="AW1428" s="30" t="str">
        <f aca="false">IF(OR(AE1428="判定不能",M1428="判定不能"),"判定不能",IF(AV1428&gt;=判定条件!$C$9,"利用可",IF(AND(AE1428="停止",M1428="停止"),"両方停止","運転がそろわない")))</f>
        <v>判定不能</v>
      </c>
      <c r="AX1428" s="30" t="str">
        <f aca="false">IF(AND(AH1428="利用可",AK1428="利用可",AN1428="利用可"),"利用可","不可")</f>
        <v>不可</v>
      </c>
      <c r="AY1428" s="30" t="str">
        <f aca="false">IF(AND(AQ1428="利用可",AT1428="利用可",AW1428="利用可"),"利用可","不可")</f>
        <v>不可</v>
      </c>
    </row>
    <row r="1429" customFormat="false" ht="15" hidden="false" customHeight="false" outlineLevel="0" collapsed="false">
      <c r="A1429" s="29" t="n">
        <v>46291</v>
      </c>
      <c r="B1429" s="30" t="n">
        <v>10</v>
      </c>
      <c r="C1429" s="31" t="s">
        <v>63</v>
      </c>
      <c r="D1429" s="31" t="s">
        <v>64</v>
      </c>
      <c r="E1429" s="30" t="n">
        <v>60</v>
      </c>
      <c r="F1429" s="30" t="n">
        <v>0</v>
      </c>
      <c r="G1429" s="30" t="str">
        <f aca="false">IF(E1429&lt;判定条件!$C$6,"判定不能",IF(F1429&gt;=判定条件!$C$7*E1429,"運転",IF(F1429&lt;=判定条件!$C$8*E1429,"停止","断続")))</f>
        <v>停止</v>
      </c>
      <c r="H1429" s="30" t="n">
        <v>60</v>
      </c>
      <c r="I1429" s="30" t="n">
        <v>27</v>
      </c>
      <c r="J1429" s="30" t="str">
        <f aca="false">IF(H1429&lt;判定条件!$C$6,"判定不能",IF(I1429&gt;=判定条件!$C$7*H1429,"運転",IF(I1429&lt;=判定条件!$C$8*H1429,"停止","断続")))</f>
        <v>断続</v>
      </c>
      <c r="K1429" s="30" t="n">
        <v>60</v>
      </c>
      <c r="L1429" s="30" t="n">
        <v>23</v>
      </c>
      <c r="M1429" s="30" t="str">
        <f aca="false">IF(K1429&lt;判定条件!$C$6,"判定不能",IF(L1429&gt;=判定条件!$C$7*K1429,"運転",IF(L1429&lt;=判定条件!$C$8*K1429,"停止","断続")))</f>
        <v>断続</v>
      </c>
      <c r="N1429" s="30" t="n">
        <v>60</v>
      </c>
      <c r="O1429" s="30" t="n">
        <v>0</v>
      </c>
      <c r="P1429" s="30" t="str">
        <f aca="false">IF(N1429&lt;判定条件!$C$6,"判定不能",IF(O1429&gt;=判定条件!$C$7*N1429,"運転",IF(O1429&lt;=判定条件!$C$8*N1429,"停止","断続")))</f>
        <v>停止</v>
      </c>
      <c r="Q1429" s="30" t="n">
        <v>60</v>
      </c>
      <c r="R1429" s="30" t="n">
        <v>6</v>
      </c>
      <c r="S1429" s="30" t="str">
        <f aca="false">IF(Q1429&lt;判定条件!$C$6,"判定不能",IF(R1429&gt;=判定条件!$C$7*Q1429,"運転",IF(R1429&lt;=判定条件!$C$8*Q1429,"停止","断続")))</f>
        <v>停止</v>
      </c>
      <c r="T1429" s="30" t="n">
        <v>60</v>
      </c>
      <c r="U1429" s="30" t="n">
        <v>60</v>
      </c>
      <c r="V1429" s="30" t="str">
        <f aca="false">IF(T1429&lt;判定条件!$C$6,"判定不能",IF(U1429&gt;=判定条件!$C$7*T1429,"運転",IF(U1429&lt;=判定条件!$C$8*T1429,"停止","断続")))</f>
        <v>運転</v>
      </c>
      <c r="W1429" s="30" t="n">
        <v>0</v>
      </c>
      <c r="X1429" s="30" t="n">
        <v>0</v>
      </c>
      <c r="Y1429" s="30" t="str">
        <f aca="false">IF(W1429&lt;判定条件!$C$6,"判定不能",IF(X1429&gt;=判定条件!$C$7*W1429,"運転",IF(X1429&lt;=判定条件!$C$8*W1429,"停止","断続")))</f>
        <v>判定不能</v>
      </c>
      <c r="Z1429" s="30" t="n">
        <v>0</v>
      </c>
      <c r="AA1429" s="30" t="n">
        <v>0</v>
      </c>
      <c r="AB1429" s="30" t="str">
        <f aca="false">IF(Z1429&lt;判定条件!$C$6,"判定不能",IF(AA1429&gt;=判定条件!$C$7*Z1429,"運転",IF(AA1429&lt;=判定条件!$C$8*Z1429,"停止","断続")))</f>
        <v>判定不能</v>
      </c>
      <c r="AC1429" s="30" t="n">
        <v>0</v>
      </c>
      <c r="AD1429" s="30" t="n">
        <v>0</v>
      </c>
      <c r="AE1429" s="30" t="str">
        <f aca="false">IF(AC1429&lt;判定条件!$C$6,"判定不能",IF(AD1429&gt;=判定条件!$C$7*AC1429,"運転",IF(AD1429&lt;=判定条件!$C$8*AC1429,"停止","断続")))</f>
        <v>判定不能</v>
      </c>
      <c r="AF1429" s="30" t="n">
        <v>60</v>
      </c>
      <c r="AG1429" s="30" t="n">
        <v>0</v>
      </c>
      <c r="AH1429" s="30" t="str">
        <f aca="false">IF(OR(P1429="判定不能",G1429="判定不能"),"判定不能",IF(AG1429&gt;=判定条件!$C$9,"利用可",IF(AND(P1429="停止",G1429="停止"),"両方停止","運転がそろわない")))</f>
        <v>両方停止</v>
      </c>
      <c r="AI1429" s="30" t="n">
        <v>60</v>
      </c>
      <c r="AJ1429" s="30" t="n">
        <v>3</v>
      </c>
      <c r="AK1429" s="30" t="str">
        <f aca="false">IF(OR(S1429="判定不能",J1429="判定不能"),"判定不能",IF(AJ1429&gt;=判定条件!$C$9,"利用可",IF(AND(S1429="停止",J1429="停止"),"両方停止","運転がそろわない")))</f>
        <v>運転がそろわない</v>
      </c>
      <c r="AL1429" s="30" t="n">
        <v>60</v>
      </c>
      <c r="AM1429" s="30" t="n">
        <v>23</v>
      </c>
      <c r="AN1429" s="30" t="str">
        <f aca="false">IF(OR(V1429="判定不能",M1429="判定不能"),"判定不能",IF(AM1429&gt;=判定条件!$C$9,"利用可",IF(AND(V1429="停止",M1429="停止"),"両方停止","運転がそろわない")))</f>
        <v>運転がそろわない</v>
      </c>
      <c r="AO1429" s="30" t="n">
        <v>0</v>
      </c>
      <c r="AP1429" s="30" t="n">
        <v>0</v>
      </c>
      <c r="AQ1429" s="30" t="str">
        <f aca="false">IF(OR(Y1429="判定不能",G1429="判定不能"),"判定不能",IF(AP1429&gt;=判定条件!$C$9,"利用可",IF(AND(Y1429="停止",G1429="停止"),"両方停止","運転がそろわない")))</f>
        <v>判定不能</v>
      </c>
      <c r="AR1429" s="30" t="n">
        <v>0</v>
      </c>
      <c r="AS1429" s="30" t="n">
        <v>0</v>
      </c>
      <c r="AT1429" s="30" t="str">
        <f aca="false">IF(OR(AB1429="判定不能",J1429="判定不能"),"判定不能",IF(AS1429&gt;=判定条件!$C$9,"利用可",IF(AND(AB1429="停止",J1429="停止"),"両方停止","運転がそろわない")))</f>
        <v>判定不能</v>
      </c>
      <c r="AU1429" s="30" t="n">
        <v>0</v>
      </c>
      <c r="AV1429" s="30" t="n">
        <v>0</v>
      </c>
      <c r="AW1429" s="30" t="str">
        <f aca="false">IF(OR(AE1429="判定不能",M1429="判定不能"),"判定不能",IF(AV1429&gt;=判定条件!$C$9,"利用可",IF(AND(AE1429="停止",M1429="停止"),"両方停止","運転がそろわない")))</f>
        <v>判定不能</v>
      </c>
      <c r="AX1429" s="30" t="str">
        <f aca="false">IF(AND(AH1429="利用可",AK1429="利用可",AN1429="利用可"),"利用可","不可")</f>
        <v>不可</v>
      </c>
      <c r="AY1429" s="30" t="str">
        <f aca="false">IF(AND(AQ1429="利用可",AT1429="利用可",AW1429="利用可"),"利用可","不可")</f>
        <v>不可</v>
      </c>
    </row>
    <row r="1430" customFormat="false" ht="15" hidden="false" customHeight="false" outlineLevel="0" collapsed="false">
      <c r="A1430" s="29" t="n">
        <v>46291</v>
      </c>
      <c r="B1430" s="30" t="n">
        <v>11</v>
      </c>
      <c r="C1430" s="31" t="s">
        <v>63</v>
      </c>
      <c r="D1430" s="31" t="s">
        <v>64</v>
      </c>
      <c r="E1430" s="30" t="n">
        <v>60</v>
      </c>
      <c r="F1430" s="30" t="n">
        <v>0</v>
      </c>
      <c r="G1430" s="30" t="str">
        <f aca="false">IF(E1430&lt;判定条件!$C$6,"判定不能",IF(F1430&gt;=判定条件!$C$7*E1430,"運転",IF(F1430&lt;=判定条件!$C$8*E1430,"停止","断続")))</f>
        <v>停止</v>
      </c>
      <c r="H1430" s="30" t="n">
        <v>60</v>
      </c>
      <c r="I1430" s="30" t="n">
        <v>34</v>
      </c>
      <c r="J1430" s="30" t="str">
        <f aca="false">IF(H1430&lt;判定条件!$C$6,"判定不能",IF(I1430&gt;=判定条件!$C$7*H1430,"運転",IF(I1430&lt;=判定条件!$C$8*H1430,"停止","断続")))</f>
        <v>断続</v>
      </c>
      <c r="K1430" s="30" t="n">
        <v>60</v>
      </c>
      <c r="L1430" s="30" t="n">
        <v>17</v>
      </c>
      <c r="M1430" s="30" t="str">
        <f aca="false">IF(K1430&lt;判定条件!$C$6,"判定不能",IF(L1430&gt;=判定条件!$C$7*K1430,"運転",IF(L1430&lt;=判定条件!$C$8*K1430,"停止","断続")))</f>
        <v>断続</v>
      </c>
      <c r="N1430" s="30" t="n">
        <v>60</v>
      </c>
      <c r="O1430" s="30" t="n">
        <v>0</v>
      </c>
      <c r="P1430" s="30" t="str">
        <f aca="false">IF(N1430&lt;判定条件!$C$6,"判定不能",IF(O1430&gt;=判定条件!$C$7*N1430,"運転",IF(O1430&lt;=判定条件!$C$8*N1430,"停止","断続")))</f>
        <v>停止</v>
      </c>
      <c r="Q1430" s="30" t="n">
        <v>60</v>
      </c>
      <c r="R1430" s="30" t="n">
        <v>20</v>
      </c>
      <c r="S1430" s="30" t="str">
        <f aca="false">IF(Q1430&lt;判定条件!$C$6,"判定不能",IF(R1430&gt;=判定条件!$C$7*Q1430,"運転",IF(R1430&lt;=判定条件!$C$8*Q1430,"停止","断続")))</f>
        <v>断続</v>
      </c>
      <c r="T1430" s="30" t="n">
        <v>60</v>
      </c>
      <c r="U1430" s="30" t="n">
        <v>30</v>
      </c>
      <c r="V1430" s="30" t="str">
        <f aca="false">IF(T1430&lt;判定条件!$C$6,"判定不能",IF(U1430&gt;=判定条件!$C$7*T1430,"運転",IF(U1430&lt;=判定条件!$C$8*T1430,"停止","断続")))</f>
        <v>断続</v>
      </c>
      <c r="W1430" s="30" t="n">
        <v>0</v>
      </c>
      <c r="X1430" s="30" t="n">
        <v>0</v>
      </c>
      <c r="Y1430" s="30" t="str">
        <f aca="false">IF(W1430&lt;判定条件!$C$6,"判定不能",IF(X1430&gt;=判定条件!$C$7*W1430,"運転",IF(X1430&lt;=判定条件!$C$8*W1430,"停止","断続")))</f>
        <v>判定不能</v>
      </c>
      <c r="Z1430" s="30" t="n">
        <v>0</v>
      </c>
      <c r="AA1430" s="30" t="n">
        <v>0</v>
      </c>
      <c r="AB1430" s="30" t="str">
        <f aca="false">IF(Z1430&lt;判定条件!$C$6,"判定不能",IF(AA1430&gt;=判定条件!$C$7*Z1430,"運転",IF(AA1430&lt;=判定条件!$C$8*Z1430,"停止","断続")))</f>
        <v>判定不能</v>
      </c>
      <c r="AC1430" s="30" t="n">
        <v>0</v>
      </c>
      <c r="AD1430" s="30" t="n">
        <v>0</v>
      </c>
      <c r="AE1430" s="30" t="str">
        <f aca="false">IF(AC1430&lt;判定条件!$C$6,"判定不能",IF(AD1430&gt;=判定条件!$C$7*AC1430,"運転",IF(AD1430&lt;=判定条件!$C$8*AC1430,"停止","断続")))</f>
        <v>判定不能</v>
      </c>
      <c r="AF1430" s="30" t="n">
        <v>60</v>
      </c>
      <c r="AG1430" s="30" t="n">
        <v>0</v>
      </c>
      <c r="AH1430" s="30" t="str">
        <f aca="false">IF(OR(P1430="判定不能",G1430="判定不能"),"判定不能",IF(AG1430&gt;=判定条件!$C$9,"利用可",IF(AND(P1430="停止",G1430="停止"),"両方停止","運転がそろわない")))</f>
        <v>両方停止</v>
      </c>
      <c r="AI1430" s="30" t="n">
        <v>60</v>
      </c>
      <c r="AJ1430" s="30" t="n">
        <v>16</v>
      </c>
      <c r="AK1430" s="30" t="str">
        <f aca="false">IF(OR(S1430="判定不能",J1430="判定不能"),"判定不能",IF(AJ1430&gt;=判定条件!$C$9,"利用可",IF(AND(S1430="停止",J1430="停止"),"両方停止","運転がそろわない")))</f>
        <v>運転がそろわない</v>
      </c>
      <c r="AL1430" s="30" t="n">
        <v>60</v>
      </c>
      <c r="AM1430" s="30" t="n">
        <v>12</v>
      </c>
      <c r="AN1430" s="30" t="str">
        <f aca="false">IF(OR(V1430="判定不能",M1430="判定不能"),"判定不能",IF(AM1430&gt;=判定条件!$C$9,"利用可",IF(AND(V1430="停止",M1430="停止"),"両方停止","運転がそろわない")))</f>
        <v>運転がそろわない</v>
      </c>
      <c r="AO1430" s="30" t="n">
        <v>0</v>
      </c>
      <c r="AP1430" s="30" t="n">
        <v>0</v>
      </c>
      <c r="AQ1430" s="30" t="str">
        <f aca="false">IF(OR(Y1430="判定不能",G1430="判定不能"),"判定不能",IF(AP1430&gt;=判定条件!$C$9,"利用可",IF(AND(Y1430="停止",G1430="停止"),"両方停止","運転がそろわない")))</f>
        <v>判定不能</v>
      </c>
      <c r="AR1430" s="30" t="n">
        <v>0</v>
      </c>
      <c r="AS1430" s="30" t="n">
        <v>0</v>
      </c>
      <c r="AT1430" s="30" t="str">
        <f aca="false">IF(OR(AB1430="判定不能",J1430="判定不能"),"判定不能",IF(AS1430&gt;=判定条件!$C$9,"利用可",IF(AND(AB1430="停止",J1430="停止"),"両方停止","運転がそろわない")))</f>
        <v>判定不能</v>
      </c>
      <c r="AU1430" s="30" t="n">
        <v>0</v>
      </c>
      <c r="AV1430" s="30" t="n">
        <v>0</v>
      </c>
      <c r="AW1430" s="30" t="str">
        <f aca="false">IF(OR(AE1430="判定不能",M1430="判定不能"),"判定不能",IF(AV1430&gt;=判定条件!$C$9,"利用可",IF(AND(AE1430="停止",M1430="停止"),"両方停止","運転がそろわない")))</f>
        <v>判定不能</v>
      </c>
      <c r="AX1430" s="30" t="str">
        <f aca="false">IF(AND(AH1430="利用可",AK1430="利用可",AN1430="利用可"),"利用可","不可")</f>
        <v>不可</v>
      </c>
      <c r="AY1430" s="30" t="str">
        <f aca="false">IF(AND(AQ1430="利用可",AT1430="利用可",AW1430="利用可"),"利用可","不可")</f>
        <v>不可</v>
      </c>
    </row>
    <row r="1431" customFormat="false" ht="15" hidden="false" customHeight="false" outlineLevel="0" collapsed="false">
      <c r="A1431" s="29" t="n">
        <v>46291</v>
      </c>
      <c r="B1431" s="30" t="n">
        <v>12</v>
      </c>
      <c r="C1431" s="31" t="s">
        <v>63</v>
      </c>
      <c r="D1431" s="31" t="s">
        <v>64</v>
      </c>
      <c r="E1431" s="30" t="n">
        <v>60</v>
      </c>
      <c r="F1431" s="30" t="n">
        <v>0</v>
      </c>
      <c r="G1431" s="30" t="str">
        <f aca="false">IF(E1431&lt;判定条件!$C$6,"判定不能",IF(F1431&gt;=判定条件!$C$7*E1431,"運転",IF(F1431&lt;=判定条件!$C$8*E1431,"停止","断続")))</f>
        <v>停止</v>
      </c>
      <c r="H1431" s="30" t="n">
        <v>60</v>
      </c>
      <c r="I1431" s="30" t="n">
        <v>41</v>
      </c>
      <c r="J1431" s="30" t="str">
        <f aca="false">IF(H1431&lt;判定条件!$C$6,"判定不能",IF(I1431&gt;=判定条件!$C$7*H1431,"運転",IF(I1431&lt;=判定条件!$C$8*H1431,"停止","断続")))</f>
        <v>断続</v>
      </c>
      <c r="K1431" s="30" t="n">
        <v>60</v>
      </c>
      <c r="L1431" s="30" t="n">
        <v>32</v>
      </c>
      <c r="M1431" s="30" t="str">
        <f aca="false">IF(K1431&lt;判定条件!$C$6,"判定不能",IF(L1431&gt;=判定条件!$C$7*K1431,"運転",IF(L1431&lt;=判定条件!$C$8*K1431,"停止","断続")))</f>
        <v>断続</v>
      </c>
      <c r="N1431" s="30" t="n">
        <v>60</v>
      </c>
      <c r="O1431" s="30" t="n">
        <v>2</v>
      </c>
      <c r="P1431" s="30" t="str">
        <f aca="false">IF(N1431&lt;判定条件!$C$6,"判定不能",IF(O1431&gt;=判定条件!$C$7*N1431,"運転",IF(O1431&lt;=判定条件!$C$8*N1431,"停止","断続")))</f>
        <v>停止</v>
      </c>
      <c r="Q1431" s="30" t="n">
        <v>60</v>
      </c>
      <c r="R1431" s="30" t="n">
        <v>3</v>
      </c>
      <c r="S1431" s="30" t="str">
        <f aca="false">IF(Q1431&lt;判定条件!$C$6,"判定不能",IF(R1431&gt;=判定条件!$C$7*Q1431,"運転",IF(R1431&lt;=判定条件!$C$8*Q1431,"停止","断続")))</f>
        <v>停止</v>
      </c>
      <c r="T1431" s="30" t="n">
        <v>60</v>
      </c>
      <c r="U1431" s="30" t="n">
        <v>0</v>
      </c>
      <c r="V1431" s="30" t="str">
        <f aca="false">IF(T1431&lt;判定条件!$C$6,"判定不能",IF(U1431&gt;=判定条件!$C$7*T1431,"運転",IF(U1431&lt;=判定条件!$C$8*T1431,"停止","断続")))</f>
        <v>停止</v>
      </c>
      <c r="W1431" s="30" t="n">
        <v>0</v>
      </c>
      <c r="X1431" s="30" t="n">
        <v>0</v>
      </c>
      <c r="Y1431" s="30" t="str">
        <f aca="false">IF(W1431&lt;判定条件!$C$6,"判定不能",IF(X1431&gt;=判定条件!$C$7*W1431,"運転",IF(X1431&lt;=判定条件!$C$8*W1431,"停止","断続")))</f>
        <v>判定不能</v>
      </c>
      <c r="Z1431" s="30" t="n">
        <v>0</v>
      </c>
      <c r="AA1431" s="30" t="n">
        <v>0</v>
      </c>
      <c r="AB1431" s="30" t="str">
        <f aca="false">IF(Z1431&lt;判定条件!$C$6,"判定不能",IF(AA1431&gt;=判定条件!$C$7*Z1431,"運転",IF(AA1431&lt;=判定条件!$C$8*Z1431,"停止","断続")))</f>
        <v>判定不能</v>
      </c>
      <c r="AC1431" s="30" t="n">
        <v>0</v>
      </c>
      <c r="AD1431" s="30" t="n">
        <v>0</v>
      </c>
      <c r="AE1431" s="30" t="str">
        <f aca="false">IF(AC1431&lt;判定条件!$C$6,"判定不能",IF(AD1431&gt;=判定条件!$C$7*AC1431,"運転",IF(AD1431&lt;=判定条件!$C$8*AC1431,"停止","断続")))</f>
        <v>判定不能</v>
      </c>
      <c r="AF1431" s="30" t="n">
        <v>60</v>
      </c>
      <c r="AG1431" s="30" t="n">
        <v>0</v>
      </c>
      <c r="AH1431" s="30" t="str">
        <f aca="false">IF(OR(P1431="判定不能",G1431="判定不能"),"判定不能",IF(AG1431&gt;=判定条件!$C$9,"利用可",IF(AND(P1431="停止",G1431="停止"),"両方停止","運転がそろわない")))</f>
        <v>両方停止</v>
      </c>
      <c r="AI1431" s="30" t="n">
        <v>60</v>
      </c>
      <c r="AJ1431" s="30" t="n">
        <v>3</v>
      </c>
      <c r="AK1431" s="30" t="str">
        <f aca="false">IF(OR(S1431="判定不能",J1431="判定不能"),"判定不能",IF(AJ1431&gt;=判定条件!$C$9,"利用可",IF(AND(S1431="停止",J1431="停止"),"両方停止","運転がそろわない")))</f>
        <v>運転がそろわない</v>
      </c>
      <c r="AL1431" s="30" t="n">
        <v>60</v>
      </c>
      <c r="AM1431" s="30" t="n">
        <v>0</v>
      </c>
      <c r="AN1431" s="30" t="str">
        <f aca="false">IF(OR(V1431="判定不能",M1431="判定不能"),"判定不能",IF(AM1431&gt;=判定条件!$C$9,"利用可",IF(AND(V1431="停止",M1431="停止"),"両方停止","運転がそろわない")))</f>
        <v>運転がそろわない</v>
      </c>
      <c r="AO1431" s="30" t="n">
        <v>0</v>
      </c>
      <c r="AP1431" s="30" t="n">
        <v>0</v>
      </c>
      <c r="AQ1431" s="30" t="str">
        <f aca="false">IF(OR(Y1431="判定不能",G1431="判定不能"),"判定不能",IF(AP1431&gt;=判定条件!$C$9,"利用可",IF(AND(Y1431="停止",G1431="停止"),"両方停止","運転がそろわない")))</f>
        <v>判定不能</v>
      </c>
      <c r="AR1431" s="30" t="n">
        <v>0</v>
      </c>
      <c r="AS1431" s="30" t="n">
        <v>0</v>
      </c>
      <c r="AT1431" s="30" t="str">
        <f aca="false">IF(OR(AB1431="判定不能",J1431="判定不能"),"判定不能",IF(AS1431&gt;=判定条件!$C$9,"利用可",IF(AND(AB1431="停止",J1431="停止"),"両方停止","運転がそろわない")))</f>
        <v>判定不能</v>
      </c>
      <c r="AU1431" s="30" t="n">
        <v>0</v>
      </c>
      <c r="AV1431" s="30" t="n">
        <v>0</v>
      </c>
      <c r="AW1431" s="30" t="str">
        <f aca="false">IF(OR(AE1431="判定不能",M1431="判定不能"),"判定不能",IF(AV1431&gt;=判定条件!$C$9,"利用可",IF(AND(AE1431="停止",M1431="停止"),"両方停止","運転がそろわない")))</f>
        <v>判定不能</v>
      </c>
      <c r="AX1431" s="30" t="str">
        <f aca="false">IF(AND(AH1431="利用可",AK1431="利用可",AN1431="利用可"),"利用可","不可")</f>
        <v>不可</v>
      </c>
      <c r="AY1431" s="30" t="str">
        <f aca="false">IF(AND(AQ1431="利用可",AT1431="利用可",AW1431="利用可"),"利用可","不可")</f>
        <v>不可</v>
      </c>
    </row>
    <row r="1432" customFormat="false" ht="15" hidden="false" customHeight="false" outlineLevel="0" collapsed="false">
      <c r="A1432" s="29" t="n">
        <v>46291</v>
      </c>
      <c r="B1432" s="30" t="n">
        <v>13</v>
      </c>
      <c r="C1432" s="31" t="s">
        <v>63</v>
      </c>
      <c r="D1432" s="31" t="s">
        <v>64</v>
      </c>
      <c r="E1432" s="30" t="n">
        <v>60</v>
      </c>
      <c r="F1432" s="30" t="n">
        <v>8</v>
      </c>
      <c r="G1432" s="30" t="str">
        <f aca="false">IF(E1432&lt;判定条件!$C$6,"判定不能",IF(F1432&gt;=判定条件!$C$7*E1432,"運転",IF(F1432&lt;=判定条件!$C$8*E1432,"停止","断続")))</f>
        <v>停止</v>
      </c>
      <c r="H1432" s="30" t="n">
        <v>60</v>
      </c>
      <c r="I1432" s="30" t="n">
        <v>16</v>
      </c>
      <c r="J1432" s="30" t="str">
        <f aca="false">IF(H1432&lt;判定条件!$C$6,"判定不能",IF(I1432&gt;=判定条件!$C$7*H1432,"運転",IF(I1432&lt;=判定条件!$C$8*H1432,"停止","断続")))</f>
        <v>断続</v>
      </c>
      <c r="K1432" s="30" t="n">
        <v>60</v>
      </c>
      <c r="L1432" s="30" t="n">
        <v>53</v>
      </c>
      <c r="M1432" s="30" t="str">
        <f aca="false">IF(K1432&lt;判定条件!$C$6,"判定不能",IF(L1432&gt;=判定条件!$C$7*K1432,"運転",IF(L1432&lt;=判定条件!$C$8*K1432,"停止","断続")))</f>
        <v>運転</v>
      </c>
      <c r="N1432" s="30" t="n">
        <v>60</v>
      </c>
      <c r="O1432" s="30" t="n">
        <v>18</v>
      </c>
      <c r="P1432" s="30" t="str">
        <f aca="false">IF(N1432&lt;判定条件!$C$6,"判定不能",IF(O1432&gt;=判定条件!$C$7*N1432,"運転",IF(O1432&lt;=判定条件!$C$8*N1432,"停止","断続")))</f>
        <v>断続</v>
      </c>
      <c r="Q1432" s="30" t="n">
        <v>60</v>
      </c>
      <c r="R1432" s="30" t="n">
        <v>0</v>
      </c>
      <c r="S1432" s="30" t="str">
        <f aca="false">IF(Q1432&lt;判定条件!$C$6,"判定不能",IF(R1432&gt;=判定条件!$C$7*Q1432,"運転",IF(R1432&lt;=判定条件!$C$8*Q1432,"停止","断続")))</f>
        <v>停止</v>
      </c>
      <c r="T1432" s="30" t="n">
        <v>60</v>
      </c>
      <c r="U1432" s="30" t="n">
        <v>0</v>
      </c>
      <c r="V1432" s="30" t="str">
        <f aca="false">IF(T1432&lt;判定条件!$C$6,"判定不能",IF(U1432&gt;=判定条件!$C$7*T1432,"運転",IF(U1432&lt;=判定条件!$C$8*T1432,"停止","断続")))</f>
        <v>停止</v>
      </c>
      <c r="W1432" s="30" t="n">
        <v>0</v>
      </c>
      <c r="X1432" s="30" t="n">
        <v>0</v>
      </c>
      <c r="Y1432" s="30" t="str">
        <f aca="false">IF(W1432&lt;判定条件!$C$6,"判定不能",IF(X1432&gt;=判定条件!$C$7*W1432,"運転",IF(X1432&lt;=判定条件!$C$8*W1432,"停止","断続")))</f>
        <v>判定不能</v>
      </c>
      <c r="Z1432" s="30" t="n">
        <v>0</v>
      </c>
      <c r="AA1432" s="30" t="n">
        <v>0</v>
      </c>
      <c r="AB1432" s="30" t="str">
        <f aca="false">IF(Z1432&lt;判定条件!$C$6,"判定不能",IF(AA1432&gt;=判定条件!$C$7*Z1432,"運転",IF(AA1432&lt;=判定条件!$C$8*Z1432,"停止","断続")))</f>
        <v>判定不能</v>
      </c>
      <c r="AC1432" s="30" t="n">
        <v>0</v>
      </c>
      <c r="AD1432" s="30" t="n">
        <v>0</v>
      </c>
      <c r="AE1432" s="30" t="str">
        <f aca="false">IF(AC1432&lt;判定条件!$C$6,"判定不能",IF(AD1432&gt;=判定条件!$C$7*AC1432,"運転",IF(AD1432&lt;=判定条件!$C$8*AC1432,"停止","断続")))</f>
        <v>判定不能</v>
      </c>
      <c r="AF1432" s="30" t="n">
        <v>60</v>
      </c>
      <c r="AG1432" s="30" t="n">
        <v>2</v>
      </c>
      <c r="AH1432" s="30" t="str">
        <f aca="false">IF(OR(P1432="判定不能",G1432="判定不能"),"判定不能",IF(AG1432&gt;=判定条件!$C$9,"利用可",IF(AND(P1432="停止",G1432="停止"),"両方停止","運転がそろわない")))</f>
        <v>運転がそろわない</v>
      </c>
      <c r="AI1432" s="30" t="n">
        <v>60</v>
      </c>
      <c r="AJ1432" s="30" t="n">
        <v>0</v>
      </c>
      <c r="AK1432" s="30" t="str">
        <f aca="false">IF(OR(S1432="判定不能",J1432="判定不能"),"判定不能",IF(AJ1432&gt;=判定条件!$C$9,"利用可",IF(AND(S1432="停止",J1432="停止"),"両方停止","運転がそろわない")))</f>
        <v>運転がそろわない</v>
      </c>
      <c r="AL1432" s="30" t="n">
        <v>60</v>
      </c>
      <c r="AM1432" s="30" t="n">
        <v>0</v>
      </c>
      <c r="AN1432" s="30" t="str">
        <f aca="false">IF(OR(V1432="判定不能",M1432="判定不能"),"判定不能",IF(AM1432&gt;=判定条件!$C$9,"利用可",IF(AND(V1432="停止",M1432="停止"),"両方停止","運転がそろわない")))</f>
        <v>運転がそろわない</v>
      </c>
      <c r="AO1432" s="30" t="n">
        <v>0</v>
      </c>
      <c r="AP1432" s="30" t="n">
        <v>0</v>
      </c>
      <c r="AQ1432" s="30" t="str">
        <f aca="false">IF(OR(Y1432="判定不能",G1432="判定不能"),"判定不能",IF(AP1432&gt;=判定条件!$C$9,"利用可",IF(AND(Y1432="停止",G1432="停止"),"両方停止","運転がそろわない")))</f>
        <v>判定不能</v>
      </c>
      <c r="AR1432" s="30" t="n">
        <v>0</v>
      </c>
      <c r="AS1432" s="30" t="n">
        <v>0</v>
      </c>
      <c r="AT1432" s="30" t="str">
        <f aca="false">IF(OR(AB1432="判定不能",J1432="判定不能"),"判定不能",IF(AS1432&gt;=判定条件!$C$9,"利用可",IF(AND(AB1432="停止",J1432="停止"),"両方停止","運転がそろわない")))</f>
        <v>判定不能</v>
      </c>
      <c r="AU1432" s="30" t="n">
        <v>0</v>
      </c>
      <c r="AV1432" s="30" t="n">
        <v>0</v>
      </c>
      <c r="AW1432" s="30" t="str">
        <f aca="false">IF(OR(AE1432="判定不能",M1432="判定不能"),"判定不能",IF(AV1432&gt;=判定条件!$C$9,"利用可",IF(AND(AE1432="停止",M1432="停止"),"両方停止","運転がそろわない")))</f>
        <v>判定不能</v>
      </c>
      <c r="AX1432" s="30" t="str">
        <f aca="false">IF(AND(AH1432="利用可",AK1432="利用可",AN1432="利用可"),"利用可","不可")</f>
        <v>不可</v>
      </c>
      <c r="AY1432" s="30" t="str">
        <f aca="false">IF(AND(AQ1432="利用可",AT1432="利用可",AW1432="利用可"),"利用可","不可")</f>
        <v>不可</v>
      </c>
    </row>
    <row r="1433" customFormat="false" ht="15" hidden="false" customHeight="false" outlineLevel="0" collapsed="false">
      <c r="A1433" s="29" t="n">
        <v>46291</v>
      </c>
      <c r="B1433" s="30" t="n">
        <v>14</v>
      </c>
      <c r="C1433" s="31" t="s">
        <v>63</v>
      </c>
      <c r="D1433" s="31" t="s">
        <v>64</v>
      </c>
      <c r="E1433" s="30" t="n">
        <v>60</v>
      </c>
      <c r="F1433" s="30" t="n">
        <v>0</v>
      </c>
      <c r="G1433" s="30" t="str">
        <f aca="false">IF(E1433&lt;判定条件!$C$6,"判定不能",IF(F1433&gt;=判定条件!$C$7*E1433,"運転",IF(F1433&lt;=判定条件!$C$8*E1433,"停止","断続")))</f>
        <v>停止</v>
      </c>
      <c r="H1433" s="30" t="n">
        <v>60</v>
      </c>
      <c r="I1433" s="30" t="n">
        <v>55</v>
      </c>
      <c r="J1433" s="30" t="str">
        <f aca="false">IF(H1433&lt;判定条件!$C$6,"判定不能",IF(I1433&gt;=判定条件!$C$7*H1433,"運転",IF(I1433&lt;=判定条件!$C$8*H1433,"停止","断続")))</f>
        <v>運転</v>
      </c>
      <c r="K1433" s="30" t="n">
        <v>60</v>
      </c>
      <c r="L1433" s="30" t="n">
        <v>57</v>
      </c>
      <c r="M1433" s="30" t="str">
        <f aca="false">IF(K1433&lt;判定条件!$C$6,"判定不能",IF(L1433&gt;=判定条件!$C$7*K1433,"運転",IF(L1433&lt;=判定条件!$C$8*K1433,"停止","断続")))</f>
        <v>運転</v>
      </c>
      <c r="N1433" s="30" t="n">
        <v>60</v>
      </c>
      <c r="O1433" s="30" t="n">
        <v>0</v>
      </c>
      <c r="P1433" s="30" t="str">
        <f aca="false">IF(N1433&lt;判定条件!$C$6,"判定不能",IF(O1433&gt;=判定条件!$C$7*N1433,"運転",IF(O1433&lt;=判定条件!$C$8*N1433,"停止","断続")))</f>
        <v>停止</v>
      </c>
      <c r="Q1433" s="30" t="n">
        <v>60</v>
      </c>
      <c r="R1433" s="30" t="n">
        <v>0</v>
      </c>
      <c r="S1433" s="30" t="str">
        <f aca="false">IF(Q1433&lt;判定条件!$C$6,"判定不能",IF(R1433&gt;=判定条件!$C$7*Q1433,"運転",IF(R1433&lt;=判定条件!$C$8*Q1433,"停止","断続")))</f>
        <v>停止</v>
      </c>
      <c r="T1433" s="30" t="n">
        <v>60</v>
      </c>
      <c r="U1433" s="30" t="n">
        <v>0</v>
      </c>
      <c r="V1433" s="30" t="str">
        <f aca="false">IF(T1433&lt;判定条件!$C$6,"判定不能",IF(U1433&gt;=判定条件!$C$7*T1433,"運転",IF(U1433&lt;=判定条件!$C$8*T1433,"停止","断続")))</f>
        <v>停止</v>
      </c>
      <c r="W1433" s="30" t="n">
        <v>0</v>
      </c>
      <c r="X1433" s="30" t="n">
        <v>0</v>
      </c>
      <c r="Y1433" s="30" t="str">
        <f aca="false">IF(W1433&lt;判定条件!$C$6,"判定不能",IF(X1433&gt;=判定条件!$C$7*W1433,"運転",IF(X1433&lt;=判定条件!$C$8*W1433,"停止","断続")))</f>
        <v>判定不能</v>
      </c>
      <c r="Z1433" s="30" t="n">
        <v>0</v>
      </c>
      <c r="AA1433" s="30" t="n">
        <v>0</v>
      </c>
      <c r="AB1433" s="30" t="str">
        <f aca="false">IF(Z1433&lt;判定条件!$C$6,"判定不能",IF(AA1433&gt;=判定条件!$C$7*Z1433,"運転",IF(AA1433&lt;=判定条件!$C$8*Z1433,"停止","断続")))</f>
        <v>判定不能</v>
      </c>
      <c r="AC1433" s="30" t="n">
        <v>0</v>
      </c>
      <c r="AD1433" s="30" t="n">
        <v>0</v>
      </c>
      <c r="AE1433" s="30" t="str">
        <f aca="false">IF(AC1433&lt;判定条件!$C$6,"判定不能",IF(AD1433&gt;=判定条件!$C$7*AC1433,"運転",IF(AD1433&lt;=判定条件!$C$8*AC1433,"停止","断続")))</f>
        <v>判定不能</v>
      </c>
      <c r="AF1433" s="30" t="n">
        <v>60</v>
      </c>
      <c r="AG1433" s="30" t="n">
        <v>0</v>
      </c>
      <c r="AH1433" s="30" t="str">
        <f aca="false">IF(OR(P1433="判定不能",G1433="判定不能"),"判定不能",IF(AG1433&gt;=判定条件!$C$9,"利用可",IF(AND(P1433="停止",G1433="停止"),"両方停止","運転がそろわない")))</f>
        <v>両方停止</v>
      </c>
      <c r="AI1433" s="30" t="n">
        <v>60</v>
      </c>
      <c r="AJ1433" s="30" t="n">
        <v>0</v>
      </c>
      <c r="AK1433" s="30" t="str">
        <f aca="false">IF(OR(S1433="判定不能",J1433="判定不能"),"判定不能",IF(AJ1433&gt;=判定条件!$C$9,"利用可",IF(AND(S1433="停止",J1433="停止"),"両方停止","運転がそろわない")))</f>
        <v>運転がそろわない</v>
      </c>
      <c r="AL1433" s="30" t="n">
        <v>60</v>
      </c>
      <c r="AM1433" s="30" t="n">
        <v>0</v>
      </c>
      <c r="AN1433" s="30" t="str">
        <f aca="false">IF(OR(V1433="判定不能",M1433="判定不能"),"判定不能",IF(AM1433&gt;=判定条件!$C$9,"利用可",IF(AND(V1433="停止",M1433="停止"),"両方停止","運転がそろわない")))</f>
        <v>運転がそろわない</v>
      </c>
      <c r="AO1433" s="30" t="n">
        <v>0</v>
      </c>
      <c r="AP1433" s="30" t="n">
        <v>0</v>
      </c>
      <c r="AQ1433" s="30" t="str">
        <f aca="false">IF(OR(Y1433="判定不能",G1433="判定不能"),"判定不能",IF(AP1433&gt;=判定条件!$C$9,"利用可",IF(AND(Y1433="停止",G1433="停止"),"両方停止","運転がそろわない")))</f>
        <v>判定不能</v>
      </c>
      <c r="AR1433" s="30" t="n">
        <v>0</v>
      </c>
      <c r="AS1433" s="30" t="n">
        <v>0</v>
      </c>
      <c r="AT1433" s="30" t="str">
        <f aca="false">IF(OR(AB1433="判定不能",J1433="判定不能"),"判定不能",IF(AS1433&gt;=判定条件!$C$9,"利用可",IF(AND(AB1433="停止",J1433="停止"),"両方停止","運転がそろわない")))</f>
        <v>判定不能</v>
      </c>
      <c r="AU1433" s="30" t="n">
        <v>0</v>
      </c>
      <c r="AV1433" s="30" t="n">
        <v>0</v>
      </c>
      <c r="AW1433" s="30" t="str">
        <f aca="false">IF(OR(AE1433="判定不能",M1433="判定不能"),"判定不能",IF(AV1433&gt;=判定条件!$C$9,"利用可",IF(AND(AE1433="停止",M1433="停止"),"両方停止","運転がそろわない")))</f>
        <v>判定不能</v>
      </c>
      <c r="AX1433" s="30" t="str">
        <f aca="false">IF(AND(AH1433="利用可",AK1433="利用可",AN1433="利用可"),"利用可","不可")</f>
        <v>不可</v>
      </c>
      <c r="AY1433" s="30" t="str">
        <f aca="false">IF(AND(AQ1433="利用可",AT1433="利用可",AW1433="利用可"),"利用可","不可")</f>
        <v>不可</v>
      </c>
    </row>
    <row r="1434" customFormat="false" ht="15" hidden="false" customHeight="false" outlineLevel="0" collapsed="false">
      <c r="A1434" s="29" t="n">
        <v>46291</v>
      </c>
      <c r="B1434" s="30" t="n">
        <v>15</v>
      </c>
      <c r="C1434" s="31" t="s">
        <v>63</v>
      </c>
      <c r="D1434" s="31" t="s">
        <v>64</v>
      </c>
      <c r="E1434" s="30" t="n">
        <v>60</v>
      </c>
      <c r="F1434" s="30" t="n">
        <v>0</v>
      </c>
      <c r="G1434" s="30" t="str">
        <f aca="false">IF(E1434&lt;判定条件!$C$6,"判定不能",IF(F1434&gt;=判定条件!$C$7*E1434,"運転",IF(F1434&lt;=判定条件!$C$8*E1434,"停止","断続")))</f>
        <v>停止</v>
      </c>
      <c r="H1434" s="30" t="n">
        <v>60</v>
      </c>
      <c r="I1434" s="30" t="n">
        <v>43</v>
      </c>
      <c r="J1434" s="30" t="str">
        <f aca="false">IF(H1434&lt;判定条件!$C$6,"判定不能",IF(I1434&gt;=判定条件!$C$7*H1434,"運転",IF(I1434&lt;=判定条件!$C$8*H1434,"停止","断続")))</f>
        <v>断続</v>
      </c>
      <c r="K1434" s="30" t="n">
        <v>60</v>
      </c>
      <c r="L1434" s="30" t="n">
        <v>60</v>
      </c>
      <c r="M1434" s="30" t="str">
        <f aca="false">IF(K1434&lt;判定条件!$C$6,"判定不能",IF(L1434&gt;=判定条件!$C$7*K1434,"運転",IF(L1434&lt;=判定条件!$C$8*K1434,"停止","断続")))</f>
        <v>運転</v>
      </c>
      <c r="N1434" s="30" t="n">
        <v>60</v>
      </c>
      <c r="O1434" s="30" t="n">
        <v>0</v>
      </c>
      <c r="P1434" s="30" t="str">
        <f aca="false">IF(N1434&lt;判定条件!$C$6,"判定不能",IF(O1434&gt;=判定条件!$C$7*N1434,"運転",IF(O1434&lt;=判定条件!$C$8*N1434,"停止","断続")))</f>
        <v>停止</v>
      </c>
      <c r="Q1434" s="30" t="n">
        <v>60</v>
      </c>
      <c r="R1434" s="30" t="n">
        <v>0</v>
      </c>
      <c r="S1434" s="30" t="str">
        <f aca="false">IF(Q1434&lt;判定条件!$C$6,"判定不能",IF(R1434&gt;=判定条件!$C$7*Q1434,"運転",IF(R1434&lt;=判定条件!$C$8*Q1434,"停止","断続")))</f>
        <v>停止</v>
      </c>
      <c r="T1434" s="30" t="n">
        <v>60</v>
      </c>
      <c r="U1434" s="30" t="n">
        <v>15</v>
      </c>
      <c r="V1434" s="30" t="str">
        <f aca="false">IF(T1434&lt;判定条件!$C$6,"判定不能",IF(U1434&gt;=判定条件!$C$7*T1434,"運転",IF(U1434&lt;=判定条件!$C$8*T1434,"停止","断続")))</f>
        <v>断続</v>
      </c>
      <c r="W1434" s="30" t="n">
        <v>0</v>
      </c>
      <c r="X1434" s="30" t="n">
        <v>0</v>
      </c>
      <c r="Y1434" s="30" t="str">
        <f aca="false">IF(W1434&lt;判定条件!$C$6,"判定不能",IF(X1434&gt;=判定条件!$C$7*W1434,"運転",IF(X1434&lt;=判定条件!$C$8*W1434,"停止","断続")))</f>
        <v>判定不能</v>
      </c>
      <c r="Z1434" s="30" t="n">
        <v>0</v>
      </c>
      <c r="AA1434" s="30" t="n">
        <v>0</v>
      </c>
      <c r="AB1434" s="30" t="str">
        <f aca="false">IF(Z1434&lt;判定条件!$C$6,"判定不能",IF(AA1434&gt;=判定条件!$C$7*Z1434,"運転",IF(AA1434&lt;=判定条件!$C$8*Z1434,"停止","断続")))</f>
        <v>判定不能</v>
      </c>
      <c r="AC1434" s="30" t="n">
        <v>0</v>
      </c>
      <c r="AD1434" s="30" t="n">
        <v>0</v>
      </c>
      <c r="AE1434" s="30" t="str">
        <f aca="false">IF(AC1434&lt;判定条件!$C$6,"判定不能",IF(AD1434&gt;=判定条件!$C$7*AC1434,"運転",IF(AD1434&lt;=判定条件!$C$8*AC1434,"停止","断続")))</f>
        <v>判定不能</v>
      </c>
      <c r="AF1434" s="30" t="n">
        <v>60</v>
      </c>
      <c r="AG1434" s="30" t="n">
        <v>0</v>
      </c>
      <c r="AH1434" s="30" t="str">
        <f aca="false">IF(OR(P1434="判定不能",G1434="判定不能"),"判定不能",IF(AG1434&gt;=判定条件!$C$9,"利用可",IF(AND(P1434="停止",G1434="停止"),"両方停止","運転がそろわない")))</f>
        <v>両方停止</v>
      </c>
      <c r="AI1434" s="30" t="n">
        <v>60</v>
      </c>
      <c r="AJ1434" s="30" t="n">
        <v>0</v>
      </c>
      <c r="AK1434" s="30" t="str">
        <f aca="false">IF(OR(S1434="判定不能",J1434="判定不能"),"判定不能",IF(AJ1434&gt;=判定条件!$C$9,"利用可",IF(AND(S1434="停止",J1434="停止"),"両方停止","運転がそろわない")))</f>
        <v>運転がそろわない</v>
      </c>
      <c r="AL1434" s="30" t="n">
        <v>60</v>
      </c>
      <c r="AM1434" s="30" t="n">
        <v>15</v>
      </c>
      <c r="AN1434" s="30" t="str">
        <f aca="false">IF(OR(V1434="判定不能",M1434="判定不能"),"判定不能",IF(AM1434&gt;=判定条件!$C$9,"利用可",IF(AND(V1434="停止",M1434="停止"),"両方停止","運転がそろわない")))</f>
        <v>運転がそろわない</v>
      </c>
      <c r="AO1434" s="30" t="n">
        <v>0</v>
      </c>
      <c r="AP1434" s="30" t="n">
        <v>0</v>
      </c>
      <c r="AQ1434" s="30" t="str">
        <f aca="false">IF(OR(Y1434="判定不能",G1434="判定不能"),"判定不能",IF(AP1434&gt;=判定条件!$C$9,"利用可",IF(AND(Y1434="停止",G1434="停止"),"両方停止","運転がそろわない")))</f>
        <v>判定不能</v>
      </c>
      <c r="AR1434" s="30" t="n">
        <v>0</v>
      </c>
      <c r="AS1434" s="30" t="n">
        <v>0</v>
      </c>
      <c r="AT1434" s="30" t="str">
        <f aca="false">IF(OR(AB1434="判定不能",J1434="判定不能"),"判定不能",IF(AS1434&gt;=判定条件!$C$9,"利用可",IF(AND(AB1434="停止",J1434="停止"),"両方停止","運転がそろわない")))</f>
        <v>判定不能</v>
      </c>
      <c r="AU1434" s="30" t="n">
        <v>0</v>
      </c>
      <c r="AV1434" s="30" t="n">
        <v>0</v>
      </c>
      <c r="AW1434" s="30" t="str">
        <f aca="false">IF(OR(AE1434="判定不能",M1434="判定不能"),"判定不能",IF(AV1434&gt;=判定条件!$C$9,"利用可",IF(AND(AE1434="停止",M1434="停止"),"両方停止","運転がそろわない")))</f>
        <v>判定不能</v>
      </c>
      <c r="AX1434" s="30" t="str">
        <f aca="false">IF(AND(AH1434="利用可",AK1434="利用可",AN1434="利用可"),"利用可","不可")</f>
        <v>不可</v>
      </c>
      <c r="AY1434" s="30" t="str">
        <f aca="false">IF(AND(AQ1434="利用可",AT1434="利用可",AW1434="利用可"),"利用可","不可")</f>
        <v>不可</v>
      </c>
    </row>
    <row r="1435" customFormat="false" ht="15" hidden="false" customHeight="false" outlineLevel="0" collapsed="false">
      <c r="A1435" s="29" t="n">
        <v>46291</v>
      </c>
      <c r="B1435" s="30" t="n">
        <v>16</v>
      </c>
      <c r="C1435" s="31" t="s">
        <v>63</v>
      </c>
      <c r="D1435" s="31" t="s">
        <v>64</v>
      </c>
      <c r="E1435" s="30" t="n">
        <v>60</v>
      </c>
      <c r="F1435" s="30" t="n">
        <v>15</v>
      </c>
      <c r="G1435" s="30" t="str">
        <f aca="false">IF(E1435&lt;判定条件!$C$6,"判定不能",IF(F1435&gt;=判定条件!$C$7*E1435,"運転",IF(F1435&lt;=判定条件!$C$8*E1435,"停止","断続")))</f>
        <v>断続</v>
      </c>
      <c r="H1435" s="30" t="n">
        <v>60</v>
      </c>
      <c r="I1435" s="30" t="n">
        <v>38</v>
      </c>
      <c r="J1435" s="30" t="str">
        <f aca="false">IF(H1435&lt;判定条件!$C$6,"判定不能",IF(I1435&gt;=判定条件!$C$7*H1435,"運転",IF(I1435&lt;=判定条件!$C$8*H1435,"停止","断続")))</f>
        <v>断続</v>
      </c>
      <c r="K1435" s="30" t="n">
        <v>60</v>
      </c>
      <c r="L1435" s="30" t="n">
        <v>60</v>
      </c>
      <c r="M1435" s="30" t="str">
        <f aca="false">IF(K1435&lt;判定条件!$C$6,"判定不能",IF(L1435&gt;=判定条件!$C$7*K1435,"運転",IF(L1435&lt;=判定条件!$C$8*K1435,"停止","断続")))</f>
        <v>運転</v>
      </c>
      <c r="N1435" s="30" t="n">
        <v>60</v>
      </c>
      <c r="O1435" s="30" t="n">
        <v>34</v>
      </c>
      <c r="P1435" s="30" t="str">
        <f aca="false">IF(N1435&lt;判定条件!$C$6,"判定不能",IF(O1435&gt;=判定条件!$C$7*N1435,"運転",IF(O1435&lt;=判定条件!$C$8*N1435,"停止","断続")))</f>
        <v>断続</v>
      </c>
      <c r="Q1435" s="30" t="n">
        <v>60</v>
      </c>
      <c r="R1435" s="30" t="n">
        <v>0</v>
      </c>
      <c r="S1435" s="30" t="str">
        <f aca="false">IF(Q1435&lt;判定条件!$C$6,"判定不能",IF(R1435&gt;=判定条件!$C$7*Q1435,"運転",IF(R1435&lt;=判定条件!$C$8*Q1435,"停止","断続")))</f>
        <v>停止</v>
      </c>
      <c r="T1435" s="30" t="n">
        <v>60</v>
      </c>
      <c r="U1435" s="30" t="n">
        <v>0</v>
      </c>
      <c r="V1435" s="30" t="str">
        <f aca="false">IF(T1435&lt;判定条件!$C$6,"判定不能",IF(U1435&gt;=判定条件!$C$7*T1435,"運転",IF(U1435&lt;=判定条件!$C$8*T1435,"停止","断続")))</f>
        <v>停止</v>
      </c>
      <c r="W1435" s="30" t="n">
        <v>0</v>
      </c>
      <c r="X1435" s="30" t="n">
        <v>0</v>
      </c>
      <c r="Y1435" s="30" t="str">
        <f aca="false">IF(W1435&lt;判定条件!$C$6,"判定不能",IF(X1435&gt;=判定条件!$C$7*W1435,"運転",IF(X1435&lt;=判定条件!$C$8*W1435,"停止","断続")))</f>
        <v>判定不能</v>
      </c>
      <c r="Z1435" s="30" t="n">
        <v>0</v>
      </c>
      <c r="AA1435" s="30" t="n">
        <v>0</v>
      </c>
      <c r="AB1435" s="30" t="str">
        <f aca="false">IF(Z1435&lt;判定条件!$C$6,"判定不能",IF(AA1435&gt;=判定条件!$C$7*Z1435,"運転",IF(AA1435&lt;=判定条件!$C$8*Z1435,"停止","断続")))</f>
        <v>判定不能</v>
      </c>
      <c r="AC1435" s="30" t="n">
        <v>0</v>
      </c>
      <c r="AD1435" s="30" t="n">
        <v>0</v>
      </c>
      <c r="AE1435" s="30" t="str">
        <f aca="false">IF(AC1435&lt;判定条件!$C$6,"判定不能",IF(AD1435&gt;=判定条件!$C$7*AC1435,"運転",IF(AD1435&lt;=判定条件!$C$8*AC1435,"停止","断続")))</f>
        <v>判定不能</v>
      </c>
      <c r="AF1435" s="30" t="n">
        <v>60</v>
      </c>
      <c r="AG1435" s="30" t="n">
        <v>8</v>
      </c>
      <c r="AH1435" s="30" t="str">
        <f aca="false">IF(OR(P1435="判定不能",G1435="判定不能"),"判定不能",IF(AG1435&gt;=判定条件!$C$9,"利用可",IF(AND(P1435="停止",G1435="停止"),"両方停止","運転がそろわない")))</f>
        <v>運転がそろわない</v>
      </c>
      <c r="AI1435" s="30" t="n">
        <v>60</v>
      </c>
      <c r="AJ1435" s="30" t="n">
        <v>0</v>
      </c>
      <c r="AK1435" s="30" t="str">
        <f aca="false">IF(OR(S1435="判定不能",J1435="判定不能"),"判定不能",IF(AJ1435&gt;=判定条件!$C$9,"利用可",IF(AND(S1435="停止",J1435="停止"),"両方停止","運転がそろわない")))</f>
        <v>運転がそろわない</v>
      </c>
      <c r="AL1435" s="30" t="n">
        <v>60</v>
      </c>
      <c r="AM1435" s="30" t="n">
        <v>0</v>
      </c>
      <c r="AN1435" s="30" t="str">
        <f aca="false">IF(OR(V1435="判定不能",M1435="判定不能"),"判定不能",IF(AM1435&gt;=判定条件!$C$9,"利用可",IF(AND(V1435="停止",M1435="停止"),"両方停止","運転がそろわない")))</f>
        <v>運転がそろわない</v>
      </c>
      <c r="AO1435" s="30" t="n">
        <v>0</v>
      </c>
      <c r="AP1435" s="30" t="n">
        <v>0</v>
      </c>
      <c r="AQ1435" s="30" t="str">
        <f aca="false">IF(OR(Y1435="判定不能",G1435="判定不能"),"判定不能",IF(AP1435&gt;=判定条件!$C$9,"利用可",IF(AND(Y1435="停止",G1435="停止"),"両方停止","運転がそろわない")))</f>
        <v>判定不能</v>
      </c>
      <c r="AR1435" s="30" t="n">
        <v>0</v>
      </c>
      <c r="AS1435" s="30" t="n">
        <v>0</v>
      </c>
      <c r="AT1435" s="30" t="str">
        <f aca="false">IF(OR(AB1435="判定不能",J1435="判定不能"),"判定不能",IF(AS1435&gt;=判定条件!$C$9,"利用可",IF(AND(AB1435="停止",J1435="停止"),"両方停止","運転がそろわない")))</f>
        <v>判定不能</v>
      </c>
      <c r="AU1435" s="30" t="n">
        <v>0</v>
      </c>
      <c r="AV1435" s="30" t="n">
        <v>0</v>
      </c>
      <c r="AW1435" s="30" t="str">
        <f aca="false">IF(OR(AE1435="判定不能",M1435="判定不能"),"判定不能",IF(AV1435&gt;=判定条件!$C$9,"利用可",IF(AND(AE1435="停止",M1435="停止"),"両方停止","運転がそろわない")))</f>
        <v>判定不能</v>
      </c>
      <c r="AX1435" s="30" t="str">
        <f aca="false">IF(AND(AH1435="利用可",AK1435="利用可",AN1435="利用可"),"利用可","不可")</f>
        <v>不可</v>
      </c>
      <c r="AY1435" s="30" t="str">
        <f aca="false">IF(AND(AQ1435="利用可",AT1435="利用可",AW1435="利用可"),"利用可","不可")</f>
        <v>不可</v>
      </c>
    </row>
    <row r="1436" customFormat="false" ht="15" hidden="false" customHeight="false" outlineLevel="0" collapsed="false">
      <c r="A1436" s="29" t="n">
        <v>46291</v>
      </c>
      <c r="B1436" s="30" t="n">
        <v>17</v>
      </c>
      <c r="C1436" s="31" t="s">
        <v>63</v>
      </c>
      <c r="D1436" s="31" t="s">
        <v>64</v>
      </c>
      <c r="E1436" s="30" t="n">
        <v>60</v>
      </c>
      <c r="F1436" s="30" t="n">
        <v>0</v>
      </c>
      <c r="G1436" s="30" t="str">
        <f aca="false">IF(E1436&lt;判定条件!$C$6,"判定不能",IF(F1436&gt;=判定条件!$C$7*E1436,"運転",IF(F1436&lt;=判定条件!$C$8*E1436,"停止","断続")))</f>
        <v>停止</v>
      </c>
      <c r="H1436" s="30" t="n">
        <v>60</v>
      </c>
      <c r="I1436" s="30" t="n">
        <v>38</v>
      </c>
      <c r="J1436" s="30" t="str">
        <f aca="false">IF(H1436&lt;判定条件!$C$6,"判定不能",IF(I1436&gt;=判定条件!$C$7*H1436,"運転",IF(I1436&lt;=判定条件!$C$8*H1436,"停止","断続")))</f>
        <v>断続</v>
      </c>
      <c r="K1436" s="30" t="n">
        <v>60</v>
      </c>
      <c r="L1436" s="30" t="n">
        <v>60</v>
      </c>
      <c r="M1436" s="30" t="str">
        <f aca="false">IF(K1436&lt;判定条件!$C$6,"判定不能",IF(L1436&gt;=判定条件!$C$7*K1436,"運転",IF(L1436&lt;=判定条件!$C$8*K1436,"停止","断続")))</f>
        <v>運転</v>
      </c>
      <c r="N1436" s="30" t="n">
        <v>60</v>
      </c>
      <c r="O1436" s="30" t="n">
        <v>0</v>
      </c>
      <c r="P1436" s="30" t="str">
        <f aca="false">IF(N1436&lt;判定条件!$C$6,"判定不能",IF(O1436&gt;=判定条件!$C$7*N1436,"運転",IF(O1436&lt;=判定条件!$C$8*N1436,"停止","断続")))</f>
        <v>停止</v>
      </c>
      <c r="Q1436" s="30" t="n">
        <v>60</v>
      </c>
      <c r="R1436" s="30" t="n">
        <v>0</v>
      </c>
      <c r="S1436" s="30" t="str">
        <f aca="false">IF(Q1436&lt;判定条件!$C$6,"判定不能",IF(R1436&gt;=判定条件!$C$7*Q1436,"運転",IF(R1436&lt;=判定条件!$C$8*Q1436,"停止","断続")))</f>
        <v>停止</v>
      </c>
      <c r="T1436" s="30" t="n">
        <v>60</v>
      </c>
      <c r="U1436" s="30" t="n">
        <v>30</v>
      </c>
      <c r="V1436" s="30" t="str">
        <f aca="false">IF(T1436&lt;判定条件!$C$6,"判定不能",IF(U1436&gt;=判定条件!$C$7*T1436,"運転",IF(U1436&lt;=判定条件!$C$8*T1436,"停止","断続")))</f>
        <v>断続</v>
      </c>
      <c r="W1436" s="30" t="n">
        <v>0</v>
      </c>
      <c r="X1436" s="30" t="n">
        <v>0</v>
      </c>
      <c r="Y1436" s="30" t="str">
        <f aca="false">IF(W1436&lt;判定条件!$C$6,"判定不能",IF(X1436&gt;=判定条件!$C$7*W1436,"運転",IF(X1436&lt;=判定条件!$C$8*W1436,"停止","断続")))</f>
        <v>判定不能</v>
      </c>
      <c r="Z1436" s="30" t="n">
        <v>0</v>
      </c>
      <c r="AA1436" s="30" t="n">
        <v>0</v>
      </c>
      <c r="AB1436" s="30" t="str">
        <f aca="false">IF(Z1436&lt;判定条件!$C$6,"判定不能",IF(AA1436&gt;=判定条件!$C$7*Z1436,"運転",IF(AA1436&lt;=判定条件!$C$8*Z1436,"停止","断続")))</f>
        <v>判定不能</v>
      </c>
      <c r="AC1436" s="30" t="n">
        <v>0</v>
      </c>
      <c r="AD1436" s="30" t="n">
        <v>0</v>
      </c>
      <c r="AE1436" s="30" t="str">
        <f aca="false">IF(AC1436&lt;判定条件!$C$6,"判定不能",IF(AD1436&gt;=判定条件!$C$7*AC1436,"運転",IF(AD1436&lt;=判定条件!$C$8*AC1436,"停止","断続")))</f>
        <v>判定不能</v>
      </c>
      <c r="AF1436" s="30" t="n">
        <v>60</v>
      </c>
      <c r="AG1436" s="30" t="n">
        <v>0</v>
      </c>
      <c r="AH1436" s="30" t="str">
        <f aca="false">IF(OR(P1436="判定不能",G1436="判定不能"),"判定不能",IF(AG1436&gt;=判定条件!$C$9,"利用可",IF(AND(P1436="停止",G1436="停止"),"両方停止","運転がそろわない")))</f>
        <v>両方停止</v>
      </c>
      <c r="AI1436" s="30" t="n">
        <v>60</v>
      </c>
      <c r="AJ1436" s="30" t="n">
        <v>0</v>
      </c>
      <c r="AK1436" s="30" t="str">
        <f aca="false">IF(OR(S1436="判定不能",J1436="判定不能"),"判定不能",IF(AJ1436&gt;=判定条件!$C$9,"利用可",IF(AND(S1436="停止",J1436="停止"),"両方停止","運転がそろわない")))</f>
        <v>運転がそろわない</v>
      </c>
      <c r="AL1436" s="30" t="n">
        <v>60</v>
      </c>
      <c r="AM1436" s="30" t="n">
        <v>30</v>
      </c>
      <c r="AN1436" s="30" t="str">
        <f aca="false">IF(OR(V1436="判定不能",M1436="判定不能"),"判定不能",IF(AM1436&gt;=判定条件!$C$9,"利用可",IF(AND(V1436="停止",M1436="停止"),"両方停止","運転がそろわない")))</f>
        <v>利用可</v>
      </c>
      <c r="AO1436" s="30" t="n">
        <v>0</v>
      </c>
      <c r="AP1436" s="30" t="n">
        <v>0</v>
      </c>
      <c r="AQ1436" s="30" t="str">
        <f aca="false">IF(OR(Y1436="判定不能",G1436="判定不能"),"判定不能",IF(AP1436&gt;=判定条件!$C$9,"利用可",IF(AND(Y1436="停止",G1436="停止"),"両方停止","運転がそろわない")))</f>
        <v>判定不能</v>
      </c>
      <c r="AR1436" s="30" t="n">
        <v>0</v>
      </c>
      <c r="AS1436" s="30" t="n">
        <v>0</v>
      </c>
      <c r="AT1436" s="30" t="str">
        <f aca="false">IF(OR(AB1436="判定不能",J1436="判定不能"),"判定不能",IF(AS1436&gt;=判定条件!$C$9,"利用可",IF(AND(AB1436="停止",J1436="停止"),"両方停止","運転がそろわない")))</f>
        <v>判定不能</v>
      </c>
      <c r="AU1436" s="30" t="n">
        <v>0</v>
      </c>
      <c r="AV1436" s="30" t="n">
        <v>0</v>
      </c>
      <c r="AW1436" s="30" t="str">
        <f aca="false">IF(OR(AE1436="判定不能",M1436="判定不能"),"判定不能",IF(AV1436&gt;=判定条件!$C$9,"利用可",IF(AND(AE1436="停止",M1436="停止"),"両方停止","運転がそろわない")))</f>
        <v>判定不能</v>
      </c>
      <c r="AX1436" s="30" t="str">
        <f aca="false">IF(AND(AH1436="利用可",AK1436="利用可",AN1436="利用可"),"利用可","不可")</f>
        <v>不可</v>
      </c>
      <c r="AY1436" s="30" t="str">
        <f aca="false">IF(AND(AQ1436="利用可",AT1436="利用可",AW1436="利用可"),"利用可","不可")</f>
        <v>不可</v>
      </c>
    </row>
    <row r="1437" customFormat="false" ht="15" hidden="false" customHeight="false" outlineLevel="0" collapsed="false">
      <c r="A1437" s="29" t="n">
        <v>46291</v>
      </c>
      <c r="B1437" s="30" t="n">
        <v>18</v>
      </c>
      <c r="C1437" s="31" t="s">
        <v>63</v>
      </c>
      <c r="D1437" s="31" t="s">
        <v>64</v>
      </c>
      <c r="E1437" s="30" t="n">
        <v>60</v>
      </c>
      <c r="F1437" s="30" t="n">
        <v>8</v>
      </c>
      <c r="G1437" s="30" t="str">
        <f aca="false">IF(E1437&lt;判定条件!$C$6,"判定不能",IF(F1437&gt;=判定条件!$C$7*E1437,"運転",IF(F1437&lt;=判定条件!$C$8*E1437,"停止","断続")))</f>
        <v>停止</v>
      </c>
      <c r="H1437" s="30" t="n">
        <v>60</v>
      </c>
      <c r="I1437" s="30" t="n">
        <v>27</v>
      </c>
      <c r="J1437" s="30" t="str">
        <f aca="false">IF(H1437&lt;判定条件!$C$6,"判定不能",IF(I1437&gt;=判定条件!$C$7*H1437,"運転",IF(I1437&lt;=判定条件!$C$8*H1437,"停止","断続")))</f>
        <v>断続</v>
      </c>
      <c r="K1437" s="30" t="n">
        <v>60</v>
      </c>
      <c r="L1437" s="30" t="n">
        <v>60</v>
      </c>
      <c r="M1437" s="30" t="str">
        <f aca="false">IF(K1437&lt;判定条件!$C$6,"判定不能",IF(L1437&gt;=判定条件!$C$7*K1437,"運転",IF(L1437&lt;=判定条件!$C$8*K1437,"停止","断続")))</f>
        <v>運転</v>
      </c>
      <c r="N1437" s="30" t="n">
        <v>60</v>
      </c>
      <c r="O1437" s="30" t="n">
        <v>0</v>
      </c>
      <c r="P1437" s="30" t="str">
        <f aca="false">IF(N1437&lt;判定条件!$C$6,"判定不能",IF(O1437&gt;=判定条件!$C$7*N1437,"運転",IF(O1437&lt;=判定条件!$C$8*N1437,"停止","断続")))</f>
        <v>停止</v>
      </c>
      <c r="Q1437" s="30" t="n">
        <v>60</v>
      </c>
      <c r="R1437" s="30" t="n">
        <v>0</v>
      </c>
      <c r="S1437" s="30" t="str">
        <f aca="false">IF(Q1437&lt;判定条件!$C$6,"判定不能",IF(R1437&gt;=判定条件!$C$7*Q1437,"運転",IF(R1437&lt;=判定条件!$C$8*Q1437,"停止","断続")))</f>
        <v>停止</v>
      </c>
      <c r="T1437" s="30" t="n">
        <v>60</v>
      </c>
      <c r="U1437" s="30" t="n">
        <v>29</v>
      </c>
      <c r="V1437" s="30" t="str">
        <f aca="false">IF(T1437&lt;判定条件!$C$6,"判定不能",IF(U1437&gt;=判定条件!$C$7*T1437,"運転",IF(U1437&lt;=判定条件!$C$8*T1437,"停止","断続")))</f>
        <v>断続</v>
      </c>
      <c r="W1437" s="30" t="n">
        <v>0</v>
      </c>
      <c r="X1437" s="30" t="n">
        <v>0</v>
      </c>
      <c r="Y1437" s="30" t="str">
        <f aca="false">IF(W1437&lt;判定条件!$C$6,"判定不能",IF(X1437&gt;=判定条件!$C$7*W1437,"運転",IF(X1437&lt;=判定条件!$C$8*W1437,"停止","断続")))</f>
        <v>判定不能</v>
      </c>
      <c r="Z1437" s="30" t="n">
        <v>0</v>
      </c>
      <c r="AA1437" s="30" t="n">
        <v>0</v>
      </c>
      <c r="AB1437" s="30" t="str">
        <f aca="false">IF(Z1437&lt;判定条件!$C$6,"判定不能",IF(AA1437&gt;=判定条件!$C$7*Z1437,"運転",IF(AA1437&lt;=判定条件!$C$8*Z1437,"停止","断続")))</f>
        <v>判定不能</v>
      </c>
      <c r="AC1437" s="30" t="n">
        <v>0</v>
      </c>
      <c r="AD1437" s="30" t="n">
        <v>0</v>
      </c>
      <c r="AE1437" s="30" t="str">
        <f aca="false">IF(AC1437&lt;判定条件!$C$6,"判定不能",IF(AD1437&gt;=判定条件!$C$7*AC1437,"運転",IF(AD1437&lt;=判定条件!$C$8*AC1437,"停止","断続")))</f>
        <v>判定不能</v>
      </c>
      <c r="AF1437" s="30" t="n">
        <v>60</v>
      </c>
      <c r="AG1437" s="30" t="n">
        <v>0</v>
      </c>
      <c r="AH1437" s="30" t="str">
        <f aca="false">IF(OR(P1437="判定不能",G1437="判定不能"),"判定不能",IF(AG1437&gt;=判定条件!$C$9,"利用可",IF(AND(P1437="停止",G1437="停止"),"両方停止","運転がそろわない")))</f>
        <v>両方停止</v>
      </c>
      <c r="AI1437" s="30" t="n">
        <v>60</v>
      </c>
      <c r="AJ1437" s="30" t="n">
        <v>0</v>
      </c>
      <c r="AK1437" s="30" t="str">
        <f aca="false">IF(OR(S1437="判定不能",J1437="判定不能"),"判定不能",IF(AJ1437&gt;=判定条件!$C$9,"利用可",IF(AND(S1437="停止",J1437="停止"),"両方停止","運転がそろわない")))</f>
        <v>運転がそろわない</v>
      </c>
      <c r="AL1437" s="30" t="n">
        <v>60</v>
      </c>
      <c r="AM1437" s="30" t="n">
        <v>29</v>
      </c>
      <c r="AN1437" s="30" t="str">
        <f aca="false">IF(OR(V1437="判定不能",M1437="判定不能"),"判定不能",IF(AM1437&gt;=判定条件!$C$9,"利用可",IF(AND(V1437="停止",M1437="停止"),"両方停止","運転がそろわない")))</f>
        <v>運転がそろわない</v>
      </c>
      <c r="AO1437" s="30" t="n">
        <v>0</v>
      </c>
      <c r="AP1437" s="30" t="n">
        <v>0</v>
      </c>
      <c r="AQ1437" s="30" t="str">
        <f aca="false">IF(OR(Y1437="判定不能",G1437="判定不能"),"判定不能",IF(AP1437&gt;=判定条件!$C$9,"利用可",IF(AND(Y1437="停止",G1437="停止"),"両方停止","運転がそろわない")))</f>
        <v>判定不能</v>
      </c>
      <c r="AR1437" s="30" t="n">
        <v>0</v>
      </c>
      <c r="AS1437" s="30" t="n">
        <v>0</v>
      </c>
      <c r="AT1437" s="30" t="str">
        <f aca="false">IF(OR(AB1437="判定不能",J1437="判定不能"),"判定不能",IF(AS1437&gt;=判定条件!$C$9,"利用可",IF(AND(AB1437="停止",J1437="停止"),"両方停止","運転がそろわない")))</f>
        <v>判定不能</v>
      </c>
      <c r="AU1437" s="30" t="n">
        <v>0</v>
      </c>
      <c r="AV1437" s="30" t="n">
        <v>0</v>
      </c>
      <c r="AW1437" s="30" t="str">
        <f aca="false">IF(OR(AE1437="判定不能",M1437="判定不能"),"判定不能",IF(AV1437&gt;=判定条件!$C$9,"利用可",IF(AND(AE1437="停止",M1437="停止"),"両方停止","運転がそろわない")))</f>
        <v>判定不能</v>
      </c>
      <c r="AX1437" s="30" t="str">
        <f aca="false">IF(AND(AH1437="利用可",AK1437="利用可",AN1437="利用可"),"利用可","不可")</f>
        <v>不可</v>
      </c>
      <c r="AY1437" s="30" t="str">
        <f aca="false">IF(AND(AQ1437="利用可",AT1437="利用可",AW1437="利用可"),"利用可","不可")</f>
        <v>不可</v>
      </c>
    </row>
    <row r="1438" customFormat="false" ht="15" hidden="false" customHeight="false" outlineLevel="0" collapsed="false">
      <c r="A1438" s="29" t="n">
        <v>46291</v>
      </c>
      <c r="B1438" s="30" t="n">
        <v>19</v>
      </c>
      <c r="C1438" s="31" t="s">
        <v>63</v>
      </c>
      <c r="D1438" s="31" t="s">
        <v>64</v>
      </c>
      <c r="E1438" s="30" t="n">
        <v>60</v>
      </c>
      <c r="F1438" s="30" t="n">
        <v>0</v>
      </c>
      <c r="G1438" s="30" t="str">
        <f aca="false">IF(E1438&lt;判定条件!$C$6,"判定不能",IF(F1438&gt;=判定条件!$C$7*E1438,"運転",IF(F1438&lt;=判定条件!$C$8*E1438,"停止","断続")))</f>
        <v>停止</v>
      </c>
      <c r="H1438" s="30" t="n">
        <v>60</v>
      </c>
      <c r="I1438" s="30" t="n">
        <v>22</v>
      </c>
      <c r="J1438" s="30" t="str">
        <f aca="false">IF(H1438&lt;判定条件!$C$6,"判定不能",IF(I1438&gt;=判定条件!$C$7*H1438,"運転",IF(I1438&lt;=判定条件!$C$8*H1438,"停止","断続")))</f>
        <v>断続</v>
      </c>
      <c r="K1438" s="30" t="n">
        <v>60</v>
      </c>
      <c r="L1438" s="30" t="n">
        <v>60</v>
      </c>
      <c r="M1438" s="30" t="str">
        <f aca="false">IF(K1438&lt;判定条件!$C$6,"判定不能",IF(L1438&gt;=判定条件!$C$7*K1438,"運転",IF(L1438&lt;=判定条件!$C$8*K1438,"停止","断続")))</f>
        <v>運転</v>
      </c>
      <c r="N1438" s="30" t="n">
        <v>60</v>
      </c>
      <c r="O1438" s="30" t="n">
        <v>0</v>
      </c>
      <c r="P1438" s="30" t="str">
        <f aca="false">IF(N1438&lt;判定条件!$C$6,"判定不能",IF(O1438&gt;=判定条件!$C$7*N1438,"運転",IF(O1438&lt;=判定条件!$C$8*N1438,"停止","断続")))</f>
        <v>停止</v>
      </c>
      <c r="Q1438" s="30" t="n">
        <v>60</v>
      </c>
      <c r="R1438" s="30" t="n">
        <v>0</v>
      </c>
      <c r="S1438" s="30" t="str">
        <f aca="false">IF(Q1438&lt;判定条件!$C$6,"判定不能",IF(R1438&gt;=判定条件!$C$7*Q1438,"運転",IF(R1438&lt;=判定条件!$C$8*Q1438,"停止","断続")))</f>
        <v>停止</v>
      </c>
      <c r="T1438" s="30" t="n">
        <v>60</v>
      </c>
      <c r="U1438" s="30" t="n">
        <v>0</v>
      </c>
      <c r="V1438" s="30" t="str">
        <f aca="false">IF(T1438&lt;判定条件!$C$6,"判定不能",IF(U1438&gt;=判定条件!$C$7*T1438,"運転",IF(U1438&lt;=判定条件!$C$8*T1438,"停止","断続")))</f>
        <v>停止</v>
      </c>
      <c r="W1438" s="30" t="n">
        <v>0</v>
      </c>
      <c r="X1438" s="30" t="n">
        <v>0</v>
      </c>
      <c r="Y1438" s="30" t="str">
        <f aca="false">IF(W1438&lt;判定条件!$C$6,"判定不能",IF(X1438&gt;=判定条件!$C$7*W1438,"運転",IF(X1438&lt;=判定条件!$C$8*W1438,"停止","断続")))</f>
        <v>判定不能</v>
      </c>
      <c r="Z1438" s="30" t="n">
        <v>0</v>
      </c>
      <c r="AA1438" s="30" t="n">
        <v>0</v>
      </c>
      <c r="AB1438" s="30" t="str">
        <f aca="false">IF(Z1438&lt;判定条件!$C$6,"判定不能",IF(AA1438&gt;=判定条件!$C$7*Z1438,"運転",IF(AA1438&lt;=判定条件!$C$8*Z1438,"停止","断続")))</f>
        <v>判定不能</v>
      </c>
      <c r="AC1438" s="30" t="n">
        <v>0</v>
      </c>
      <c r="AD1438" s="30" t="n">
        <v>0</v>
      </c>
      <c r="AE1438" s="30" t="str">
        <f aca="false">IF(AC1438&lt;判定条件!$C$6,"判定不能",IF(AD1438&gt;=判定条件!$C$7*AC1438,"運転",IF(AD1438&lt;=判定条件!$C$8*AC1438,"停止","断続")))</f>
        <v>判定不能</v>
      </c>
      <c r="AF1438" s="30" t="n">
        <v>60</v>
      </c>
      <c r="AG1438" s="30" t="n">
        <v>0</v>
      </c>
      <c r="AH1438" s="30" t="str">
        <f aca="false">IF(OR(P1438="判定不能",G1438="判定不能"),"判定不能",IF(AG1438&gt;=判定条件!$C$9,"利用可",IF(AND(P1438="停止",G1438="停止"),"両方停止","運転がそろわない")))</f>
        <v>両方停止</v>
      </c>
      <c r="AI1438" s="30" t="n">
        <v>60</v>
      </c>
      <c r="AJ1438" s="30" t="n">
        <v>0</v>
      </c>
      <c r="AK1438" s="30" t="str">
        <f aca="false">IF(OR(S1438="判定不能",J1438="判定不能"),"判定不能",IF(AJ1438&gt;=判定条件!$C$9,"利用可",IF(AND(S1438="停止",J1438="停止"),"両方停止","運転がそろわない")))</f>
        <v>運転がそろわない</v>
      </c>
      <c r="AL1438" s="30" t="n">
        <v>60</v>
      </c>
      <c r="AM1438" s="30" t="n">
        <v>0</v>
      </c>
      <c r="AN1438" s="30" t="str">
        <f aca="false">IF(OR(V1438="判定不能",M1438="判定不能"),"判定不能",IF(AM1438&gt;=判定条件!$C$9,"利用可",IF(AND(V1438="停止",M1438="停止"),"両方停止","運転がそろわない")))</f>
        <v>運転がそろわない</v>
      </c>
      <c r="AO1438" s="30" t="n">
        <v>0</v>
      </c>
      <c r="AP1438" s="30" t="n">
        <v>0</v>
      </c>
      <c r="AQ1438" s="30" t="str">
        <f aca="false">IF(OR(Y1438="判定不能",G1438="判定不能"),"判定不能",IF(AP1438&gt;=判定条件!$C$9,"利用可",IF(AND(Y1438="停止",G1438="停止"),"両方停止","運転がそろわない")))</f>
        <v>判定不能</v>
      </c>
      <c r="AR1438" s="30" t="n">
        <v>0</v>
      </c>
      <c r="AS1438" s="30" t="n">
        <v>0</v>
      </c>
      <c r="AT1438" s="30" t="str">
        <f aca="false">IF(OR(AB1438="判定不能",J1438="判定不能"),"判定不能",IF(AS1438&gt;=判定条件!$C$9,"利用可",IF(AND(AB1438="停止",J1438="停止"),"両方停止","運転がそろわない")))</f>
        <v>判定不能</v>
      </c>
      <c r="AU1438" s="30" t="n">
        <v>0</v>
      </c>
      <c r="AV1438" s="30" t="n">
        <v>0</v>
      </c>
      <c r="AW1438" s="30" t="str">
        <f aca="false">IF(OR(AE1438="判定不能",M1438="判定不能"),"判定不能",IF(AV1438&gt;=判定条件!$C$9,"利用可",IF(AND(AE1438="停止",M1438="停止"),"両方停止","運転がそろわない")))</f>
        <v>判定不能</v>
      </c>
      <c r="AX1438" s="30" t="str">
        <f aca="false">IF(AND(AH1438="利用可",AK1438="利用可",AN1438="利用可"),"利用可","不可")</f>
        <v>不可</v>
      </c>
      <c r="AY1438" s="30" t="str">
        <f aca="false">IF(AND(AQ1438="利用可",AT1438="利用可",AW1438="利用可"),"利用可","不可")</f>
        <v>不可</v>
      </c>
    </row>
    <row r="1439" customFormat="false" ht="15" hidden="false" customHeight="false" outlineLevel="0" collapsed="false">
      <c r="A1439" s="29" t="n">
        <v>46291</v>
      </c>
      <c r="B1439" s="30" t="n">
        <v>20</v>
      </c>
      <c r="C1439" s="31" t="s">
        <v>63</v>
      </c>
      <c r="D1439" s="31" t="s">
        <v>64</v>
      </c>
      <c r="E1439" s="30" t="n">
        <v>60</v>
      </c>
      <c r="F1439" s="30" t="n">
        <v>0</v>
      </c>
      <c r="G1439" s="30" t="str">
        <f aca="false">IF(E1439&lt;判定条件!$C$6,"判定不能",IF(F1439&gt;=判定条件!$C$7*E1439,"運転",IF(F1439&lt;=判定条件!$C$8*E1439,"停止","断続")))</f>
        <v>停止</v>
      </c>
      <c r="H1439" s="30" t="n">
        <v>60</v>
      </c>
      <c r="I1439" s="30" t="n">
        <v>12</v>
      </c>
      <c r="J1439" s="30" t="str">
        <f aca="false">IF(H1439&lt;判定条件!$C$6,"判定不能",IF(I1439&gt;=判定条件!$C$7*H1439,"運転",IF(I1439&lt;=判定条件!$C$8*H1439,"停止","断続")))</f>
        <v>停止</v>
      </c>
      <c r="K1439" s="30" t="n">
        <v>60</v>
      </c>
      <c r="L1439" s="30" t="n">
        <v>60</v>
      </c>
      <c r="M1439" s="30" t="str">
        <f aca="false">IF(K1439&lt;判定条件!$C$6,"判定不能",IF(L1439&gt;=判定条件!$C$7*K1439,"運転",IF(L1439&lt;=判定条件!$C$8*K1439,"停止","断続")))</f>
        <v>運転</v>
      </c>
      <c r="N1439" s="30" t="n">
        <v>60</v>
      </c>
      <c r="O1439" s="30" t="n">
        <v>0</v>
      </c>
      <c r="P1439" s="30" t="str">
        <f aca="false">IF(N1439&lt;判定条件!$C$6,"判定不能",IF(O1439&gt;=判定条件!$C$7*N1439,"運転",IF(O1439&lt;=判定条件!$C$8*N1439,"停止","断続")))</f>
        <v>停止</v>
      </c>
      <c r="Q1439" s="30" t="n">
        <v>60</v>
      </c>
      <c r="R1439" s="30" t="n">
        <v>0</v>
      </c>
      <c r="S1439" s="30" t="str">
        <f aca="false">IF(Q1439&lt;判定条件!$C$6,"判定不能",IF(R1439&gt;=判定条件!$C$7*Q1439,"運転",IF(R1439&lt;=判定条件!$C$8*Q1439,"停止","断続")))</f>
        <v>停止</v>
      </c>
      <c r="T1439" s="30" t="n">
        <v>60</v>
      </c>
      <c r="U1439" s="30" t="n">
        <v>0</v>
      </c>
      <c r="V1439" s="30" t="str">
        <f aca="false">IF(T1439&lt;判定条件!$C$6,"判定不能",IF(U1439&gt;=判定条件!$C$7*T1439,"運転",IF(U1439&lt;=判定条件!$C$8*T1439,"停止","断続")))</f>
        <v>停止</v>
      </c>
      <c r="W1439" s="30" t="n">
        <v>0</v>
      </c>
      <c r="X1439" s="30" t="n">
        <v>0</v>
      </c>
      <c r="Y1439" s="30" t="str">
        <f aca="false">IF(W1439&lt;判定条件!$C$6,"判定不能",IF(X1439&gt;=判定条件!$C$7*W1439,"運転",IF(X1439&lt;=判定条件!$C$8*W1439,"停止","断続")))</f>
        <v>判定不能</v>
      </c>
      <c r="Z1439" s="30" t="n">
        <v>0</v>
      </c>
      <c r="AA1439" s="30" t="n">
        <v>0</v>
      </c>
      <c r="AB1439" s="30" t="str">
        <f aca="false">IF(Z1439&lt;判定条件!$C$6,"判定不能",IF(AA1439&gt;=判定条件!$C$7*Z1439,"運転",IF(AA1439&lt;=判定条件!$C$8*Z1439,"停止","断続")))</f>
        <v>判定不能</v>
      </c>
      <c r="AC1439" s="30" t="n">
        <v>0</v>
      </c>
      <c r="AD1439" s="30" t="n">
        <v>0</v>
      </c>
      <c r="AE1439" s="30" t="str">
        <f aca="false">IF(AC1439&lt;判定条件!$C$6,"判定不能",IF(AD1439&gt;=判定条件!$C$7*AC1439,"運転",IF(AD1439&lt;=判定条件!$C$8*AC1439,"停止","断続")))</f>
        <v>判定不能</v>
      </c>
      <c r="AF1439" s="30" t="n">
        <v>60</v>
      </c>
      <c r="AG1439" s="30" t="n">
        <v>0</v>
      </c>
      <c r="AH1439" s="30" t="str">
        <f aca="false">IF(OR(P1439="判定不能",G1439="判定不能"),"判定不能",IF(AG1439&gt;=判定条件!$C$9,"利用可",IF(AND(P1439="停止",G1439="停止"),"両方停止","運転がそろわない")))</f>
        <v>両方停止</v>
      </c>
      <c r="AI1439" s="30" t="n">
        <v>60</v>
      </c>
      <c r="AJ1439" s="30" t="n">
        <v>0</v>
      </c>
      <c r="AK1439" s="30" t="str">
        <f aca="false">IF(OR(S1439="判定不能",J1439="判定不能"),"判定不能",IF(AJ1439&gt;=判定条件!$C$9,"利用可",IF(AND(S1439="停止",J1439="停止"),"両方停止","運転がそろわない")))</f>
        <v>両方停止</v>
      </c>
      <c r="AL1439" s="30" t="n">
        <v>60</v>
      </c>
      <c r="AM1439" s="30" t="n">
        <v>0</v>
      </c>
      <c r="AN1439" s="30" t="str">
        <f aca="false">IF(OR(V1439="判定不能",M1439="判定不能"),"判定不能",IF(AM1439&gt;=判定条件!$C$9,"利用可",IF(AND(V1439="停止",M1439="停止"),"両方停止","運転がそろわない")))</f>
        <v>運転がそろわない</v>
      </c>
      <c r="AO1439" s="30" t="n">
        <v>0</v>
      </c>
      <c r="AP1439" s="30" t="n">
        <v>0</v>
      </c>
      <c r="AQ1439" s="30" t="str">
        <f aca="false">IF(OR(Y1439="判定不能",G1439="判定不能"),"判定不能",IF(AP1439&gt;=判定条件!$C$9,"利用可",IF(AND(Y1439="停止",G1439="停止"),"両方停止","運転がそろわない")))</f>
        <v>判定不能</v>
      </c>
      <c r="AR1439" s="30" t="n">
        <v>0</v>
      </c>
      <c r="AS1439" s="30" t="n">
        <v>0</v>
      </c>
      <c r="AT1439" s="30" t="str">
        <f aca="false">IF(OR(AB1439="判定不能",J1439="判定不能"),"判定不能",IF(AS1439&gt;=判定条件!$C$9,"利用可",IF(AND(AB1439="停止",J1439="停止"),"両方停止","運転がそろわない")))</f>
        <v>判定不能</v>
      </c>
      <c r="AU1439" s="30" t="n">
        <v>0</v>
      </c>
      <c r="AV1439" s="30" t="n">
        <v>0</v>
      </c>
      <c r="AW1439" s="30" t="str">
        <f aca="false">IF(OR(AE1439="判定不能",M1439="判定不能"),"判定不能",IF(AV1439&gt;=判定条件!$C$9,"利用可",IF(AND(AE1439="停止",M1439="停止"),"両方停止","運転がそろわない")))</f>
        <v>判定不能</v>
      </c>
      <c r="AX1439" s="30" t="str">
        <f aca="false">IF(AND(AH1439="利用可",AK1439="利用可",AN1439="利用可"),"利用可","不可")</f>
        <v>不可</v>
      </c>
      <c r="AY1439" s="30" t="str">
        <f aca="false">IF(AND(AQ1439="利用可",AT1439="利用可",AW1439="利用可"),"利用可","不可")</f>
        <v>不可</v>
      </c>
    </row>
    <row r="1440" customFormat="false" ht="15" hidden="false" customHeight="false" outlineLevel="0" collapsed="false">
      <c r="A1440" s="29" t="n">
        <v>46291</v>
      </c>
      <c r="B1440" s="30" t="n">
        <v>21</v>
      </c>
      <c r="C1440" s="31" t="s">
        <v>63</v>
      </c>
      <c r="D1440" s="31" t="s">
        <v>64</v>
      </c>
      <c r="E1440" s="30" t="n">
        <v>60</v>
      </c>
      <c r="F1440" s="30" t="n">
        <v>0</v>
      </c>
      <c r="G1440" s="30" t="str">
        <f aca="false">IF(E1440&lt;判定条件!$C$6,"判定不能",IF(F1440&gt;=判定条件!$C$7*E1440,"運転",IF(F1440&lt;=判定条件!$C$8*E1440,"停止","断続")))</f>
        <v>停止</v>
      </c>
      <c r="H1440" s="30" t="n">
        <v>60</v>
      </c>
      <c r="I1440" s="30" t="n">
        <v>0</v>
      </c>
      <c r="J1440" s="30" t="str">
        <f aca="false">IF(H1440&lt;判定条件!$C$6,"判定不能",IF(I1440&gt;=判定条件!$C$7*H1440,"運転",IF(I1440&lt;=判定条件!$C$8*H1440,"停止","断続")))</f>
        <v>停止</v>
      </c>
      <c r="K1440" s="30" t="n">
        <v>60</v>
      </c>
      <c r="L1440" s="30" t="n">
        <v>0</v>
      </c>
      <c r="M1440" s="30" t="str">
        <f aca="false">IF(K1440&lt;判定条件!$C$6,"判定不能",IF(L1440&gt;=判定条件!$C$7*K1440,"運転",IF(L1440&lt;=判定条件!$C$8*K1440,"停止","断続")))</f>
        <v>停止</v>
      </c>
      <c r="N1440" s="30" t="n">
        <v>60</v>
      </c>
      <c r="O1440" s="30" t="n">
        <v>0</v>
      </c>
      <c r="P1440" s="30" t="str">
        <f aca="false">IF(N1440&lt;判定条件!$C$6,"判定不能",IF(O1440&gt;=判定条件!$C$7*N1440,"運転",IF(O1440&lt;=判定条件!$C$8*N1440,"停止","断続")))</f>
        <v>停止</v>
      </c>
      <c r="Q1440" s="30" t="n">
        <v>60</v>
      </c>
      <c r="R1440" s="30" t="n">
        <v>0</v>
      </c>
      <c r="S1440" s="30" t="str">
        <f aca="false">IF(Q1440&lt;判定条件!$C$6,"判定不能",IF(R1440&gt;=判定条件!$C$7*Q1440,"運転",IF(R1440&lt;=判定条件!$C$8*Q1440,"停止","断続")))</f>
        <v>停止</v>
      </c>
      <c r="T1440" s="30" t="n">
        <v>60</v>
      </c>
      <c r="U1440" s="30" t="n">
        <v>0</v>
      </c>
      <c r="V1440" s="30" t="str">
        <f aca="false">IF(T1440&lt;判定条件!$C$6,"判定不能",IF(U1440&gt;=判定条件!$C$7*T1440,"運転",IF(U1440&lt;=判定条件!$C$8*T1440,"停止","断続")))</f>
        <v>停止</v>
      </c>
      <c r="W1440" s="30" t="n">
        <v>0</v>
      </c>
      <c r="X1440" s="30" t="n">
        <v>0</v>
      </c>
      <c r="Y1440" s="30" t="str">
        <f aca="false">IF(W1440&lt;判定条件!$C$6,"判定不能",IF(X1440&gt;=判定条件!$C$7*W1440,"運転",IF(X1440&lt;=判定条件!$C$8*W1440,"停止","断続")))</f>
        <v>判定不能</v>
      </c>
      <c r="Z1440" s="30" t="n">
        <v>0</v>
      </c>
      <c r="AA1440" s="30" t="n">
        <v>0</v>
      </c>
      <c r="AB1440" s="30" t="str">
        <f aca="false">IF(Z1440&lt;判定条件!$C$6,"判定不能",IF(AA1440&gt;=判定条件!$C$7*Z1440,"運転",IF(AA1440&lt;=判定条件!$C$8*Z1440,"停止","断続")))</f>
        <v>判定不能</v>
      </c>
      <c r="AC1440" s="30" t="n">
        <v>0</v>
      </c>
      <c r="AD1440" s="30" t="n">
        <v>0</v>
      </c>
      <c r="AE1440" s="30" t="str">
        <f aca="false">IF(AC1440&lt;判定条件!$C$6,"判定不能",IF(AD1440&gt;=判定条件!$C$7*AC1440,"運転",IF(AD1440&lt;=判定条件!$C$8*AC1440,"停止","断続")))</f>
        <v>判定不能</v>
      </c>
      <c r="AF1440" s="30" t="n">
        <v>60</v>
      </c>
      <c r="AG1440" s="30" t="n">
        <v>0</v>
      </c>
      <c r="AH1440" s="30" t="str">
        <f aca="false">IF(OR(P1440="判定不能",G1440="判定不能"),"判定不能",IF(AG1440&gt;=判定条件!$C$9,"利用可",IF(AND(P1440="停止",G1440="停止"),"両方停止","運転がそろわない")))</f>
        <v>両方停止</v>
      </c>
      <c r="AI1440" s="30" t="n">
        <v>60</v>
      </c>
      <c r="AJ1440" s="30" t="n">
        <v>0</v>
      </c>
      <c r="AK1440" s="30" t="str">
        <f aca="false">IF(OR(S1440="判定不能",J1440="判定不能"),"判定不能",IF(AJ1440&gt;=判定条件!$C$9,"利用可",IF(AND(S1440="停止",J1440="停止"),"両方停止","運転がそろわない")))</f>
        <v>両方停止</v>
      </c>
      <c r="AL1440" s="30" t="n">
        <v>60</v>
      </c>
      <c r="AM1440" s="30" t="n">
        <v>0</v>
      </c>
      <c r="AN1440" s="30" t="str">
        <f aca="false">IF(OR(V1440="判定不能",M1440="判定不能"),"判定不能",IF(AM1440&gt;=判定条件!$C$9,"利用可",IF(AND(V1440="停止",M1440="停止"),"両方停止","運転がそろわない")))</f>
        <v>両方停止</v>
      </c>
      <c r="AO1440" s="30" t="n">
        <v>0</v>
      </c>
      <c r="AP1440" s="30" t="n">
        <v>0</v>
      </c>
      <c r="AQ1440" s="30" t="str">
        <f aca="false">IF(OR(Y1440="判定不能",G1440="判定不能"),"判定不能",IF(AP1440&gt;=判定条件!$C$9,"利用可",IF(AND(Y1440="停止",G1440="停止"),"両方停止","運転がそろわない")))</f>
        <v>判定不能</v>
      </c>
      <c r="AR1440" s="30" t="n">
        <v>0</v>
      </c>
      <c r="AS1440" s="30" t="n">
        <v>0</v>
      </c>
      <c r="AT1440" s="30" t="str">
        <f aca="false">IF(OR(AB1440="判定不能",J1440="判定不能"),"判定不能",IF(AS1440&gt;=判定条件!$C$9,"利用可",IF(AND(AB1440="停止",J1440="停止"),"両方停止","運転がそろわない")))</f>
        <v>判定不能</v>
      </c>
      <c r="AU1440" s="30" t="n">
        <v>0</v>
      </c>
      <c r="AV1440" s="30" t="n">
        <v>0</v>
      </c>
      <c r="AW1440" s="30" t="str">
        <f aca="false">IF(OR(AE1440="判定不能",M1440="判定不能"),"判定不能",IF(AV1440&gt;=判定条件!$C$9,"利用可",IF(AND(AE1440="停止",M1440="停止"),"両方停止","運転がそろわない")))</f>
        <v>判定不能</v>
      </c>
      <c r="AX1440" s="30" t="str">
        <f aca="false">IF(AND(AH1440="利用可",AK1440="利用可",AN1440="利用可"),"利用可","不可")</f>
        <v>不可</v>
      </c>
      <c r="AY1440" s="30" t="str">
        <f aca="false">IF(AND(AQ1440="利用可",AT1440="利用可",AW1440="利用可"),"利用可","不可")</f>
        <v>不可</v>
      </c>
    </row>
    <row r="1441" customFormat="false" ht="15" hidden="false" customHeight="false" outlineLevel="0" collapsed="false">
      <c r="A1441" s="29" t="n">
        <v>46291</v>
      </c>
      <c r="B1441" s="30" t="n">
        <v>22</v>
      </c>
      <c r="C1441" s="31" t="s">
        <v>63</v>
      </c>
      <c r="D1441" s="31" t="s">
        <v>64</v>
      </c>
      <c r="E1441" s="30" t="n">
        <v>60</v>
      </c>
      <c r="F1441" s="30" t="n">
        <v>0</v>
      </c>
      <c r="G1441" s="30" t="str">
        <f aca="false">IF(E1441&lt;判定条件!$C$6,"判定不能",IF(F1441&gt;=判定条件!$C$7*E1441,"運転",IF(F1441&lt;=判定条件!$C$8*E1441,"停止","断続")))</f>
        <v>停止</v>
      </c>
      <c r="H1441" s="30" t="n">
        <v>60</v>
      </c>
      <c r="I1441" s="30" t="n">
        <v>0</v>
      </c>
      <c r="J1441" s="30" t="str">
        <f aca="false">IF(H1441&lt;判定条件!$C$6,"判定不能",IF(I1441&gt;=判定条件!$C$7*H1441,"運転",IF(I1441&lt;=判定条件!$C$8*H1441,"停止","断続")))</f>
        <v>停止</v>
      </c>
      <c r="K1441" s="30" t="n">
        <v>60</v>
      </c>
      <c r="L1441" s="30" t="n">
        <v>0</v>
      </c>
      <c r="M1441" s="30" t="str">
        <f aca="false">IF(K1441&lt;判定条件!$C$6,"判定不能",IF(L1441&gt;=判定条件!$C$7*K1441,"運転",IF(L1441&lt;=判定条件!$C$8*K1441,"停止","断続")))</f>
        <v>停止</v>
      </c>
      <c r="N1441" s="30" t="n">
        <v>60</v>
      </c>
      <c r="O1441" s="30" t="n">
        <v>0</v>
      </c>
      <c r="P1441" s="30" t="str">
        <f aca="false">IF(N1441&lt;判定条件!$C$6,"判定不能",IF(O1441&gt;=判定条件!$C$7*N1441,"運転",IF(O1441&lt;=判定条件!$C$8*N1441,"停止","断続")))</f>
        <v>停止</v>
      </c>
      <c r="Q1441" s="30" t="n">
        <v>60</v>
      </c>
      <c r="R1441" s="30" t="n">
        <v>0</v>
      </c>
      <c r="S1441" s="30" t="str">
        <f aca="false">IF(Q1441&lt;判定条件!$C$6,"判定不能",IF(R1441&gt;=判定条件!$C$7*Q1441,"運転",IF(R1441&lt;=判定条件!$C$8*Q1441,"停止","断続")))</f>
        <v>停止</v>
      </c>
      <c r="T1441" s="30" t="n">
        <v>60</v>
      </c>
      <c r="U1441" s="30" t="n">
        <v>0</v>
      </c>
      <c r="V1441" s="30" t="str">
        <f aca="false">IF(T1441&lt;判定条件!$C$6,"判定不能",IF(U1441&gt;=判定条件!$C$7*T1441,"運転",IF(U1441&lt;=判定条件!$C$8*T1441,"停止","断続")))</f>
        <v>停止</v>
      </c>
      <c r="W1441" s="30" t="n">
        <v>0</v>
      </c>
      <c r="X1441" s="30" t="n">
        <v>0</v>
      </c>
      <c r="Y1441" s="30" t="str">
        <f aca="false">IF(W1441&lt;判定条件!$C$6,"判定不能",IF(X1441&gt;=判定条件!$C$7*W1441,"運転",IF(X1441&lt;=判定条件!$C$8*W1441,"停止","断続")))</f>
        <v>判定不能</v>
      </c>
      <c r="Z1441" s="30" t="n">
        <v>0</v>
      </c>
      <c r="AA1441" s="30" t="n">
        <v>0</v>
      </c>
      <c r="AB1441" s="30" t="str">
        <f aca="false">IF(Z1441&lt;判定条件!$C$6,"判定不能",IF(AA1441&gt;=判定条件!$C$7*Z1441,"運転",IF(AA1441&lt;=判定条件!$C$8*Z1441,"停止","断続")))</f>
        <v>判定不能</v>
      </c>
      <c r="AC1441" s="30" t="n">
        <v>0</v>
      </c>
      <c r="AD1441" s="30" t="n">
        <v>0</v>
      </c>
      <c r="AE1441" s="30" t="str">
        <f aca="false">IF(AC1441&lt;判定条件!$C$6,"判定不能",IF(AD1441&gt;=判定条件!$C$7*AC1441,"運転",IF(AD1441&lt;=判定条件!$C$8*AC1441,"停止","断続")))</f>
        <v>判定不能</v>
      </c>
      <c r="AF1441" s="30" t="n">
        <v>60</v>
      </c>
      <c r="AG1441" s="30" t="n">
        <v>0</v>
      </c>
      <c r="AH1441" s="30" t="str">
        <f aca="false">IF(OR(P1441="判定不能",G1441="判定不能"),"判定不能",IF(AG1441&gt;=判定条件!$C$9,"利用可",IF(AND(P1441="停止",G1441="停止"),"両方停止","運転がそろわない")))</f>
        <v>両方停止</v>
      </c>
      <c r="AI1441" s="30" t="n">
        <v>60</v>
      </c>
      <c r="AJ1441" s="30" t="n">
        <v>0</v>
      </c>
      <c r="AK1441" s="30" t="str">
        <f aca="false">IF(OR(S1441="判定不能",J1441="判定不能"),"判定不能",IF(AJ1441&gt;=判定条件!$C$9,"利用可",IF(AND(S1441="停止",J1441="停止"),"両方停止","運転がそろわない")))</f>
        <v>両方停止</v>
      </c>
      <c r="AL1441" s="30" t="n">
        <v>60</v>
      </c>
      <c r="AM1441" s="30" t="n">
        <v>0</v>
      </c>
      <c r="AN1441" s="30" t="str">
        <f aca="false">IF(OR(V1441="判定不能",M1441="判定不能"),"判定不能",IF(AM1441&gt;=判定条件!$C$9,"利用可",IF(AND(V1441="停止",M1441="停止"),"両方停止","運転がそろわない")))</f>
        <v>両方停止</v>
      </c>
      <c r="AO1441" s="30" t="n">
        <v>0</v>
      </c>
      <c r="AP1441" s="30" t="n">
        <v>0</v>
      </c>
      <c r="AQ1441" s="30" t="str">
        <f aca="false">IF(OR(Y1441="判定不能",G1441="判定不能"),"判定不能",IF(AP1441&gt;=判定条件!$C$9,"利用可",IF(AND(Y1441="停止",G1441="停止"),"両方停止","運転がそろわない")))</f>
        <v>判定不能</v>
      </c>
      <c r="AR1441" s="30" t="n">
        <v>0</v>
      </c>
      <c r="AS1441" s="30" t="n">
        <v>0</v>
      </c>
      <c r="AT1441" s="30" t="str">
        <f aca="false">IF(OR(AB1441="判定不能",J1441="判定不能"),"判定不能",IF(AS1441&gt;=判定条件!$C$9,"利用可",IF(AND(AB1441="停止",J1441="停止"),"両方停止","運転がそろわない")))</f>
        <v>判定不能</v>
      </c>
      <c r="AU1441" s="30" t="n">
        <v>0</v>
      </c>
      <c r="AV1441" s="30" t="n">
        <v>0</v>
      </c>
      <c r="AW1441" s="30" t="str">
        <f aca="false">IF(OR(AE1441="判定不能",M1441="判定不能"),"判定不能",IF(AV1441&gt;=判定条件!$C$9,"利用可",IF(AND(AE1441="停止",M1441="停止"),"両方停止","運転がそろわない")))</f>
        <v>判定不能</v>
      </c>
      <c r="AX1441" s="30" t="str">
        <f aca="false">IF(AND(AH1441="利用可",AK1441="利用可",AN1441="利用可"),"利用可","不可")</f>
        <v>不可</v>
      </c>
      <c r="AY1441" s="30" t="str">
        <f aca="false">IF(AND(AQ1441="利用可",AT1441="利用可",AW1441="利用可"),"利用可","不可")</f>
        <v>不可</v>
      </c>
    </row>
    <row r="1442" customFormat="false" ht="15" hidden="false" customHeight="false" outlineLevel="0" collapsed="false">
      <c r="A1442" s="29" t="n">
        <v>46291</v>
      </c>
      <c r="B1442" s="30" t="n">
        <v>23</v>
      </c>
      <c r="C1442" s="31" t="s">
        <v>63</v>
      </c>
      <c r="D1442" s="31" t="s">
        <v>64</v>
      </c>
      <c r="E1442" s="30" t="n">
        <v>60</v>
      </c>
      <c r="F1442" s="30" t="n">
        <v>0</v>
      </c>
      <c r="G1442" s="30" t="str">
        <f aca="false">IF(E1442&lt;判定条件!$C$6,"判定不能",IF(F1442&gt;=判定条件!$C$7*E1442,"運転",IF(F1442&lt;=判定条件!$C$8*E1442,"停止","断続")))</f>
        <v>停止</v>
      </c>
      <c r="H1442" s="30" t="n">
        <v>60</v>
      </c>
      <c r="I1442" s="30" t="n">
        <v>0</v>
      </c>
      <c r="J1442" s="30" t="str">
        <f aca="false">IF(H1442&lt;判定条件!$C$6,"判定不能",IF(I1442&gt;=判定条件!$C$7*H1442,"運転",IF(I1442&lt;=判定条件!$C$8*H1442,"停止","断続")))</f>
        <v>停止</v>
      </c>
      <c r="K1442" s="30" t="n">
        <v>60</v>
      </c>
      <c r="L1442" s="30" t="n">
        <v>0</v>
      </c>
      <c r="M1442" s="30" t="str">
        <f aca="false">IF(K1442&lt;判定条件!$C$6,"判定不能",IF(L1442&gt;=判定条件!$C$7*K1442,"運転",IF(L1442&lt;=判定条件!$C$8*K1442,"停止","断続")))</f>
        <v>停止</v>
      </c>
      <c r="N1442" s="30" t="n">
        <v>60</v>
      </c>
      <c r="O1442" s="30" t="n">
        <v>0</v>
      </c>
      <c r="P1442" s="30" t="str">
        <f aca="false">IF(N1442&lt;判定条件!$C$6,"判定不能",IF(O1442&gt;=判定条件!$C$7*N1442,"運転",IF(O1442&lt;=判定条件!$C$8*N1442,"停止","断続")))</f>
        <v>停止</v>
      </c>
      <c r="Q1442" s="30" t="n">
        <v>60</v>
      </c>
      <c r="R1442" s="30" t="n">
        <v>0</v>
      </c>
      <c r="S1442" s="30" t="str">
        <f aca="false">IF(Q1442&lt;判定条件!$C$6,"判定不能",IF(R1442&gt;=判定条件!$C$7*Q1442,"運転",IF(R1442&lt;=判定条件!$C$8*Q1442,"停止","断続")))</f>
        <v>停止</v>
      </c>
      <c r="T1442" s="30" t="n">
        <v>60</v>
      </c>
      <c r="U1442" s="30" t="n">
        <v>0</v>
      </c>
      <c r="V1442" s="30" t="str">
        <f aca="false">IF(T1442&lt;判定条件!$C$6,"判定不能",IF(U1442&gt;=判定条件!$C$7*T1442,"運転",IF(U1442&lt;=判定条件!$C$8*T1442,"停止","断続")))</f>
        <v>停止</v>
      </c>
      <c r="W1442" s="30" t="n">
        <v>0</v>
      </c>
      <c r="X1442" s="30" t="n">
        <v>0</v>
      </c>
      <c r="Y1442" s="30" t="str">
        <f aca="false">IF(W1442&lt;判定条件!$C$6,"判定不能",IF(X1442&gt;=判定条件!$C$7*W1442,"運転",IF(X1442&lt;=判定条件!$C$8*W1442,"停止","断続")))</f>
        <v>判定不能</v>
      </c>
      <c r="Z1442" s="30" t="n">
        <v>0</v>
      </c>
      <c r="AA1442" s="30" t="n">
        <v>0</v>
      </c>
      <c r="AB1442" s="30" t="str">
        <f aca="false">IF(Z1442&lt;判定条件!$C$6,"判定不能",IF(AA1442&gt;=判定条件!$C$7*Z1442,"運転",IF(AA1442&lt;=判定条件!$C$8*Z1442,"停止","断続")))</f>
        <v>判定不能</v>
      </c>
      <c r="AC1442" s="30" t="n">
        <v>0</v>
      </c>
      <c r="AD1442" s="30" t="n">
        <v>0</v>
      </c>
      <c r="AE1442" s="30" t="str">
        <f aca="false">IF(AC1442&lt;判定条件!$C$6,"判定不能",IF(AD1442&gt;=判定条件!$C$7*AC1442,"運転",IF(AD1442&lt;=判定条件!$C$8*AC1442,"停止","断続")))</f>
        <v>判定不能</v>
      </c>
      <c r="AF1442" s="30" t="n">
        <v>60</v>
      </c>
      <c r="AG1442" s="30" t="n">
        <v>0</v>
      </c>
      <c r="AH1442" s="30" t="str">
        <f aca="false">IF(OR(P1442="判定不能",G1442="判定不能"),"判定不能",IF(AG1442&gt;=判定条件!$C$9,"利用可",IF(AND(P1442="停止",G1442="停止"),"両方停止","運転がそろわない")))</f>
        <v>両方停止</v>
      </c>
      <c r="AI1442" s="30" t="n">
        <v>60</v>
      </c>
      <c r="AJ1442" s="30" t="n">
        <v>0</v>
      </c>
      <c r="AK1442" s="30" t="str">
        <f aca="false">IF(OR(S1442="判定不能",J1442="判定不能"),"判定不能",IF(AJ1442&gt;=判定条件!$C$9,"利用可",IF(AND(S1442="停止",J1442="停止"),"両方停止","運転がそろわない")))</f>
        <v>両方停止</v>
      </c>
      <c r="AL1442" s="30" t="n">
        <v>60</v>
      </c>
      <c r="AM1442" s="30" t="n">
        <v>0</v>
      </c>
      <c r="AN1442" s="30" t="str">
        <f aca="false">IF(OR(V1442="判定不能",M1442="判定不能"),"判定不能",IF(AM1442&gt;=判定条件!$C$9,"利用可",IF(AND(V1442="停止",M1442="停止"),"両方停止","運転がそろわない")))</f>
        <v>両方停止</v>
      </c>
      <c r="AO1442" s="30" t="n">
        <v>0</v>
      </c>
      <c r="AP1442" s="30" t="n">
        <v>0</v>
      </c>
      <c r="AQ1442" s="30" t="str">
        <f aca="false">IF(OR(Y1442="判定不能",G1442="判定不能"),"判定不能",IF(AP1442&gt;=判定条件!$C$9,"利用可",IF(AND(Y1442="停止",G1442="停止"),"両方停止","運転がそろわない")))</f>
        <v>判定不能</v>
      </c>
      <c r="AR1442" s="30" t="n">
        <v>0</v>
      </c>
      <c r="AS1442" s="30" t="n">
        <v>0</v>
      </c>
      <c r="AT1442" s="30" t="str">
        <f aca="false">IF(OR(AB1442="判定不能",J1442="判定不能"),"判定不能",IF(AS1442&gt;=判定条件!$C$9,"利用可",IF(AND(AB1442="停止",J1442="停止"),"両方停止","運転がそろわない")))</f>
        <v>判定不能</v>
      </c>
      <c r="AU1442" s="30" t="n">
        <v>0</v>
      </c>
      <c r="AV1442" s="30" t="n">
        <v>0</v>
      </c>
      <c r="AW1442" s="30" t="str">
        <f aca="false">IF(OR(AE1442="判定不能",M1442="判定不能"),"判定不能",IF(AV1442&gt;=判定条件!$C$9,"利用可",IF(AND(AE1442="停止",M1442="停止"),"両方停止","運転がそろわない")))</f>
        <v>判定不能</v>
      </c>
      <c r="AX1442" s="30" t="str">
        <f aca="false">IF(AND(AH1442="利用可",AK1442="利用可",AN1442="利用可"),"利用可","不可")</f>
        <v>不可</v>
      </c>
      <c r="AY1442" s="30" t="str">
        <f aca="false">IF(AND(AQ1442="利用可",AT1442="利用可",AW1442="利用可"),"利用可","不可")</f>
        <v>不可</v>
      </c>
    </row>
    <row r="1443" customFormat="false" ht="15" hidden="false" customHeight="false" outlineLevel="0" collapsed="false">
      <c r="A1443" s="29" t="n">
        <v>46292</v>
      </c>
      <c r="B1443" s="30" t="n">
        <v>0</v>
      </c>
      <c r="C1443" s="31" t="s">
        <v>65</v>
      </c>
      <c r="D1443" s="31" t="s">
        <v>64</v>
      </c>
      <c r="E1443" s="30" t="n">
        <v>60</v>
      </c>
      <c r="F1443" s="30" t="n">
        <v>0</v>
      </c>
      <c r="G1443" s="30" t="str">
        <f aca="false">IF(E1443&lt;判定条件!$C$6,"判定不能",IF(F1443&gt;=判定条件!$C$7*E1443,"運転",IF(F1443&lt;=判定条件!$C$8*E1443,"停止","断続")))</f>
        <v>停止</v>
      </c>
      <c r="H1443" s="30" t="n">
        <v>60</v>
      </c>
      <c r="I1443" s="30" t="n">
        <v>0</v>
      </c>
      <c r="J1443" s="30" t="str">
        <f aca="false">IF(H1443&lt;判定条件!$C$6,"判定不能",IF(I1443&gt;=判定条件!$C$7*H1443,"運転",IF(I1443&lt;=判定条件!$C$8*H1443,"停止","断続")))</f>
        <v>停止</v>
      </c>
      <c r="K1443" s="30" t="n">
        <v>60</v>
      </c>
      <c r="L1443" s="30" t="n">
        <v>0</v>
      </c>
      <c r="M1443" s="30" t="str">
        <f aca="false">IF(K1443&lt;判定条件!$C$6,"判定不能",IF(L1443&gt;=判定条件!$C$7*K1443,"運転",IF(L1443&lt;=判定条件!$C$8*K1443,"停止","断続")))</f>
        <v>停止</v>
      </c>
      <c r="N1443" s="30" t="n">
        <v>60</v>
      </c>
      <c r="O1443" s="30" t="n">
        <v>0</v>
      </c>
      <c r="P1443" s="30" t="str">
        <f aca="false">IF(N1443&lt;判定条件!$C$6,"判定不能",IF(O1443&gt;=判定条件!$C$7*N1443,"運転",IF(O1443&lt;=判定条件!$C$8*N1443,"停止","断続")))</f>
        <v>停止</v>
      </c>
      <c r="Q1443" s="30" t="n">
        <v>60</v>
      </c>
      <c r="R1443" s="30" t="n">
        <v>0</v>
      </c>
      <c r="S1443" s="30" t="str">
        <f aca="false">IF(Q1443&lt;判定条件!$C$6,"判定不能",IF(R1443&gt;=判定条件!$C$7*Q1443,"運転",IF(R1443&lt;=判定条件!$C$8*Q1443,"停止","断続")))</f>
        <v>停止</v>
      </c>
      <c r="T1443" s="30" t="n">
        <v>60</v>
      </c>
      <c r="U1443" s="30" t="n">
        <v>0</v>
      </c>
      <c r="V1443" s="30" t="str">
        <f aca="false">IF(T1443&lt;判定条件!$C$6,"判定不能",IF(U1443&gt;=判定条件!$C$7*T1443,"運転",IF(U1443&lt;=判定条件!$C$8*T1443,"停止","断続")))</f>
        <v>停止</v>
      </c>
      <c r="W1443" s="30" t="n">
        <v>0</v>
      </c>
      <c r="X1443" s="30" t="n">
        <v>0</v>
      </c>
      <c r="Y1443" s="30" t="str">
        <f aca="false">IF(W1443&lt;判定条件!$C$6,"判定不能",IF(X1443&gt;=判定条件!$C$7*W1443,"運転",IF(X1443&lt;=判定条件!$C$8*W1443,"停止","断続")))</f>
        <v>判定不能</v>
      </c>
      <c r="Z1443" s="30" t="n">
        <v>0</v>
      </c>
      <c r="AA1443" s="30" t="n">
        <v>0</v>
      </c>
      <c r="AB1443" s="30" t="str">
        <f aca="false">IF(Z1443&lt;判定条件!$C$6,"判定不能",IF(AA1443&gt;=判定条件!$C$7*Z1443,"運転",IF(AA1443&lt;=判定条件!$C$8*Z1443,"停止","断続")))</f>
        <v>判定不能</v>
      </c>
      <c r="AC1443" s="30" t="n">
        <v>0</v>
      </c>
      <c r="AD1443" s="30" t="n">
        <v>0</v>
      </c>
      <c r="AE1443" s="30" t="str">
        <f aca="false">IF(AC1443&lt;判定条件!$C$6,"判定不能",IF(AD1443&gt;=判定条件!$C$7*AC1443,"運転",IF(AD1443&lt;=判定条件!$C$8*AC1443,"停止","断続")))</f>
        <v>判定不能</v>
      </c>
      <c r="AF1443" s="30" t="n">
        <v>60</v>
      </c>
      <c r="AG1443" s="30" t="n">
        <v>0</v>
      </c>
      <c r="AH1443" s="30" t="str">
        <f aca="false">IF(OR(P1443="判定不能",G1443="判定不能"),"判定不能",IF(AG1443&gt;=判定条件!$C$9,"利用可",IF(AND(P1443="停止",G1443="停止"),"両方停止","運転がそろわない")))</f>
        <v>両方停止</v>
      </c>
      <c r="AI1443" s="30" t="n">
        <v>60</v>
      </c>
      <c r="AJ1443" s="30" t="n">
        <v>0</v>
      </c>
      <c r="AK1443" s="30" t="str">
        <f aca="false">IF(OR(S1443="判定不能",J1443="判定不能"),"判定不能",IF(AJ1443&gt;=判定条件!$C$9,"利用可",IF(AND(S1443="停止",J1443="停止"),"両方停止","運転がそろわない")))</f>
        <v>両方停止</v>
      </c>
      <c r="AL1443" s="30" t="n">
        <v>60</v>
      </c>
      <c r="AM1443" s="30" t="n">
        <v>0</v>
      </c>
      <c r="AN1443" s="30" t="str">
        <f aca="false">IF(OR(V1443="判定不能",M1443="判定不能"),"判定不能",IF(AM1443&gt;=判定条件!$C$9,"利用可",IF(AND(V1443="停止",M1443="停止"),"両方停止","運転がそろわない")))</f>
        <v>両方停止</v>
      </c>
      <c r="AO1443" s="30" t="n">
        <v>0</v>
      </c>
      <c r="AP1443" s="30" t="n">
        <v>0</v>
      </c>
      <c r="AQ1443" s="30" t="str">
        <f aca="false">IF(OR(Y1443="判定不能",G1443="判定不能"),"判定不能",IF(AP1443&gt;=判定条件!$C$9,"利用可",IF(AND(Y1443="停止",G1443="停止"),"両方停止","運転がそろわない")))</f>
        <v>判定不能</v>
      </c>
      <c r="AR1443" s="30" t="n">
        <v>0</v>
      </c>
      <c r="AS1443" s="30" t="n">
        <v>0</v>
      </c>
      <c r="AT1443" s="30" t="str">
        <f aca="false">IF(OR(AB1443="判定不能",J1443="判定不能"),"判定不能",IF(AS1443&gt;=判定条件!$C$9,"利用可",IF(AND(AB1443="停止",J1443="停止"),"両方停止","運転がそろわない")))</f>
        <v>判定不能</v>
      </c>
      <c r="AU1443" s="30" t="n">
        <v>0</v>
      </c>
      <c r="AV1443" s="30" t="n">
        <v>0</v>
      </c>
      <c r="AW1443" s="30" t="str">
        <f aca="false">IF(OR(AE1443="判定不能",M1443="判定不能"),"判定不能",IF(AV1443&gt;=判定条件!$C$9,"利用可",IF(AND(AE1443="停止",M1443="停止"),"両方停止","運転がそろわない")))</f>
        <v>判定不能</v>
      </c>
      <c r="AX1443" s="30" t="str">
        <f aca="false">IF(AND(AH1443="利用可",AK1443="利用可",AN1443="利用可"),"利用可","不可")</f>
        <v>不可</v>
      </c>
      <c r="AY1443" s="30" t="str">
        <f aca="false">IF(AND(AQ1443="利用可",AT1443="利用可",AW1443="利用可"),"利用可","不可")</f>
        <v>不可</v>
      </c>
    </row>
    <row r="1444" customFormat="false" ht="15" hidden="false" customHeight="false" outlineLevel="0" collapsed="false">
      <c r="A1444" s="29" t="n">
        <v>46292</v>
      </c>
      <c r="B1444" s="30" t="n">
        <v>1</v>
      </c>
      <c r="C1444" s="31" t="s">
        <v>65</v>
      </c>
      <c r="D1444" s="31" t="s">
        <v>64</v>
      </c>
      <c r="E1444" s="30" t="n">
        <v>60</v>
      </c>
      <c r="F1444" s="30" t="n">
        <v>0</v>
      </c>
      <c r="G1444" s="30" t="str">
        <f aca="false">IF(E1444&lt;判定条件!$C$6,"判定不能",IF(F1444&gt;=判定条件!$C$7*E1444,"運転",IF(F1444&lt;=判定条件!$C$8*E1444,"停止","断続")))</f>
        <v>停止</v>
      </c>
      <c r="H1444" s="30" t="n">
        <v>60</v>
      </c>
      <c r="I1444" s="30" t="n">
        <v>0</v>
      </c>
      <c r="J1444" s="30" t="str">
        <f aca="false">IF(H1444&lt;判定条件!$C$6,"判定不能",IF(I1444&gt;=判定条件!$C$7*H1444,"運転",IF(I1444&lt;=判定条件!$C$8*H1444,"停止","断続")))</f>
        <v>停止</v>
      </c>
      <c r="K1444" s="30" t="n">
        <v>60</v>
      </c>
      <c r="L1444" s="30" t="n">
        <v>0</v>
      </c>
      <c r="M1444" s="30" t="str">
        <f aca="false">IF(K1444&lt;判定条件!$C$6,"判定不能",IF(L1444&gt;=判定条件!$C$7*K1444,"運転",IF(L1444&lt;=判定条件!$C$8*K1444,"停止","断続")))</f>
        <v>停止</v>
      </c>
      <c r="N1444" s="30" t="n">
        <v>60</v>
      </c>
      <c r="O1444" s="30" t="n">
        <v>0</v>
      </c>
      <c r="P1444" s="30" t="str">
        <f aca="false">IF(N1444&lt;判定条件!$C$6,"判定不能",IF(O1444&gt;=判定条件!$C$7*N1444,"運転",IF(O1444&lt;=判定条件!$C$8*N1444,"停止","断続")))</f>
        <v>停止</v>
      </c>
      <c r="Q1444" s="30" t="n">
        <v>60</v>
      </c>
      <c r="R1444" s="30" t="n">
        <v>0</v>
      </c>
      <c r="S1444" s="30" t="str">
        <f aca="false">IF(Q1444&lt;判定条件!$C$6,"判定不能",IF(R1444&gt;=判定条件!$C$7*Q1444,"運転",IF(R1444&lt;=判定条件!$C$8*Q1444,"停止","断続")))</f>
        <v>停止</v>
      </c>
      <c r="T1444" s="30" t="n">
        <v>60</v>
      </c>
      <c r="U1444" s="30" t="n">
        <v>0</v>
      </c>
      <c r="V1444" s="30" t="str">
        <f aca="false">IF(T1444&lt;判定条件!$C$6,"判定不能",IF(U1444&gt;=判定条件!$C$7*T1444,"運転",IF(U1444&lt;=判定条件!$C$8*T1444,"停止","断続")))</f>
        <v>停止</v>
      </c>
      <c r="W1444" s="30" t="n">
        <v>0</v>
      </c>
      <c r="X1444" s="30" t="n">
        <v>0</v>
      </c>
      <c r="Y1444" s="30" t="str">
        <f aca="false">IF(W1444&lt;判定条件!$C$6,"判定不能",IF(X1444&gt;=判定条件!$C$7*W1444,"運転",IF(X1444&lt;=判定条件!$C$8*W1444,"停止","断続")))</f>
        <v>判定不能</v>
      </c>
      <c r="Z1444" s="30" t="n">
        <v>0</v>
      </c>
      <c r="AA1444" s="30" t="n">
        <v>0</v>
      </c>
      <c r="AB1444" s="30" t="str">
        <f aca="false">IF(Z1444&lt;判定条件!$C$6,"判定不能",IF(AA1444&gt;=判定条件!$C$7*Z1444,"運転",IF(AA1444&lt;=判定条件!$C$8*Z1444,"停止","断続")))</f>
        <v>判定不能</v>
      </c>
      <c r="AC1444" s="30" t="n">
        <v>0</v>
      </c>
      <c r="AD1444" s="30" t="n">
        <v>0</v>
      </c>
      <c r="AE1444" s="30" t="str">
        <f aca="false">IF(AC1444&lt;判定条件!$C$6,"判定不能",IF(AD1444&gt;=判定条件!$C$7*AC1444,"運転",IF(AD1444&lt;=判定条件!$C$8*AC1444,"停止","断続")))</f>
        <v>判定不能</v>
      </c>
      <c r="AF1444" s="30" t="n">
        <v>60</v>
      </c>
      <c r="AG1444" s="30" t="n">
        <v>0</v>
      </c>
      <c r="AH1444" s="30" t="str">
        <f aca="false">IF(OR(P1444="判定不能",G1444="判定不能"),"判定不能",IF(AG1444&gt;=判定条件!$C$9,"利用可",IF(AND(P1444="停止",G1444="停止"),"両方停止","運転がそろわない")))</f>
        <v>両方停止</v>
      </c>
      <c r="AI1444" s="30" t="n">
        <v>60</v>
      </c>
      <c r="AJ1444" s="30" t="n">
        <v>0</v>
      </c>
      <c r="AK1444" s="30" t="str">
        <f aca="false">IF(OR(S1444="判定不能",J1444="判定不能"),"判定不能",IF(AJ1444&gt;=判定条件!$C$9,"利用可",IF(AND(S1444="停止",J1444="停止"),"両方停止","運転がそろわない")))</f>
        <v>両方停止</v>
      </c>
      <c r="AL1444" s="30" t="n">
        <v>60</v>
      </c>
      <c r="AM1444" s="30" t="n">
        <v>0</v>
      </c>
      <c r="AN1444" s="30" t="str">
        <f aca="false">IF(OR(V1444="判定不能",M1444="判定不能"),"判定不能",IF(AM1444&gt;=判定条件!$C$9,"利用可",IF(AND(V1444="停止",M1444="停止"),"両方停止","運転がそろわない")))</f>
        <v>両方停止</v>
      </c>
      <c r="AO1444" s="30" t="n">
        <v>0</v>
      </c>
      <c r="AP1444" s="30" t="n">
        <v>0</v>
      </c>
      <c r="AQ1444" s="30" t="str">
        <f aca="false">IF(OR(Y1444="判定不能",G1444="判定不能"),"判定不能",IF(AP1444&gt;=判定条件!$C$9,"利用可",IF(AND(Y1444="停止",G1444="停止"),"両方停止","運転がそろわない")))</f>
        <v>判定不能</v>
      </c>
      <c r="AR1444" s="30" t="n">
        <v>0</v>
      </c>
      <c r="AS1444" s="30" t="n">
        <v>0</v>
      </c>
      <c r="AT1444" s="30" t="str">
        <f aca="false">IF(OR(AB1444="判定不能",J1444="判定不能"),"判定不能",IF(AS1444&gt;=判定条件!$C$9,"利用可",IF(AND(AB1444="停止",J1444="停止"),"両方停止","運転がそろわない")))</f>
        <v>判定不能</v>
      </c>
      <c r="AU1444" s="30" t="n">
        <v>0</v>
      </c>
      <c r="AV1444" s="30" t="n">
        <v>0</v>
      </c>
      <c r="AW1444" s="30" t="str">
        <f aca="false">IF(OR(AE1444="判定不能",M1444="判定不能"),"判定不能",IF(AV1444&gt;=判定条件!$C$9,"利用可",IF(AND(AE1444="停止",M1444="停止"),"両方停止","運転がそろわない")))</f>
        <v>判定不能</v>
      </c>
      <c r="AX1444" s="30" t="str">
        <f aca="false">IF(AND(AH1444="利用可",AK1444="利用可",AN1444="利用可"),"利用可","不可")</f>
        <v>不可</v>
      </c>
      <c r="AY1444" s="30" t="str">
        <f aca="false">IF(AND(AQ1444="利用可",AT1444="利用可",AW1444="利用可"),"利用可","不可")</f>
        <v>不可</v>
      </c>
    </row>
    <row r="1445" customFormat="false" ht="15" hidden="false" customHeight="false" outlineLevel="0" collapsed="false">
      <c r="A1445" s="29" t="n">
        <v>46292</v>
      </c>
      <c r="B1445" s="30" t="n">
        <v>2</v>
      </c>
      <c r="C1445" s="31" t="s">
        <v>65</v>
      </c>
      <c r="D1445" s="31" t="s">
        <v>64</v>
      </c>
      <c r="E1445" s="30" t="n">
        <v>60</v>
      </c>
      <c r="F1445" s="30" t="n">
        <v>0</v>
      </c>
      <c r="G1445" s="30" t="str">
        <f aca="false">IF(E1445&lt;判定条件!$C$6,"判定不能",IF(F1445&gt;=判定条件!$C$7*E1445,"運転",IF(F1445&lt;=判定条件!$C$8*E1445,"停止","断続")))</f>
        <v>停止</v>
      </c>
      <c r="H1445" s="30" t="n">
        <v>60</v>
      </c>
      <c r="I1445" s="30" t="n">
        <v>0</v>
      </c>
      <c r="J1445" s="30" t="str">
        <f aca="false">IF(H1445&lt;判定条件!$C$6,"判定不能",IF(I1445&gt;=判定条件!$C$7*H1445,"運転",IF(I1445&lt;=判定条件!$C$8*H1445,"停止","断続")))</f>
        <v>停止</v>
      </c>
      <c r="K1445" s="30" t="n">
        <v>60</v>
      </c>
      <c r="L1445" s="30" t="n">
        <v>0</v>
      </c>
      <c r="M1445" s="30" t="str">
        <f aca="false">IF(K1445&lt;判定条件!$C$6,"判定不能",IF(L1445&gt;=判定条件!$C$7*K1445,"運転",IF(L1445&lt;=判定条件!$C$8*K1445,"停止","断続")))</f>
        <v>停止</v>
      </c>
      <c r="N1445" s="30" t="n">
        <v>60</v>
      </c>
      <c r="O1445" s="30" t="n">
        <v>0</v>
      </c>
      <c r="P1445" s="30" t="str">
        <f aca="false">IF(N1445&lt;判定条件!$C$6,"判定不能",IF(O1445&gt;=判定条件!$C$7*N1445,"運転",IF(O1445&lt;=判定条件!$C$8*N1445,"停止","断続")))</f>
        <v>停止</v>
      </c>
      <c r="Q1445" s="30" t="n">
        <v>60</v>
      </c>
      <c r="R1445" s="30" t="n">
        <v>0</v>
      </c>
      <c r="S1445" s="30" t="str">
        <f aca="false">IF(Q1445&lt;判定条件!$C$6,"判定不能",IF(R1445&gt;=判定条件!$C$7*Q1445,"運転",IF(R1445&lt;=判定条件!$C$8*Q1445,"停止","断続")))</f>
        <v>停止</v>
      </c>
      <c r="T1445" s="30" t="n">
        <v>60</v>
      </c>
      <c r="U1445" s="30" t="n">
        <v>0</v>
      </c>
      <c r="V1445" s="30" t="str">
        <f aca="false">IF(T1445&lt;判定条件!$C$6,"判定不能",IF(U1445&gt;=判定条件!$C$7*T1445,"運転",IF(U1445&lt;=判定条件!$C$8*T1445,"停止","断続")))</f>
        <v>停止</v>
      </c>
      <c r="W1445" s="30" t="n">
        <v>0</v>
      </c>
      <c r="X1445" s="30" t="n">
        <v>0</v>
      </c>
      <c r="Y1445" s="30" t="str">
        <f aca="false">IF(W1445&lt;判定条件!$C$6,"判定不能",IF(X1445&gt;=判定条件!$C$7*W1445,"運転",IF(X1445&lt;=判定条件!$C$8*W1445,"停止","断続")))</f>
        <v>判定不能</v>
      </c>
      <c r="Z1445" s="30" t="n">
        <v>0</v>
      </c>
      <c r="AA1445" s="30" t="n">
        <v>0</v>
      </c>
      <c r="AB1445" s="30" t="str">
        <f aca="false">IF(Z1445&lt;判定条件!$C$6,"判定不能",IF(AA1445&gt;=判定条件!$C$7*Z1445,"運転",IF(AA1445&lt;=判定条件!$C$8*Z1445,"停止","断続")))</f>
        <v>判定不能</v>
      </c>
      <c r="AC1445" s="30" t="n">
        <v>0</v>
      </c>
      <c r="AD1445" s="30" t="n">
        <v>0</v>
      </c>
      <c r="AE1445" s="30" t="str">
        <f aca="false">IF(AC1445&lt;判定条件!$C$6,"判定不能",IF(AD1445&gt;=判定条件!$C$7*AC1445,"運転",IF(AD1445&lt;=判定条件!$C$8*AC1445,"停止","断続")))</f>
        <v>判定不能</v>
      </c>
      <c r="AF1445" s="30" t="n">
        <v>60</v>
      </c>
      <c r="AG1445" s="30" t="n">
        <v>0</v>
      </c>
      <c r="AH1445" s="30" t="str">
        <f aca="false">IF(OR(P1445="判定不能",G1445="判定不能"),"判定不能",IF(AG1445&gt;=判定条件!$C$9,"利用可",IF(AND(P1445="停止",G1445="停止"),"両方停止","運転がそろわない")))</f>
        <v>両方停止</v>
      </c>
      <c r="AI1445" s="30" t="n">
        <v>60</v>
      </c>
      <c r="AJ1445" s="30" t="n">
        <v>0</v>
      </c>
      <c r="AK1445" s="30" t="str">
        <f aca="false">IF(OR(S1445="判定不能",J1445="判定不能"),"判定不能",IF(AJ1445&gt;=判定条件!$C$9,"利用可",IF(AND(S1445="停止",J1445="停止"),"両方停止","運転がそろわない")))</f>
        <v>両方停止</v>
      </c>
      <c r="AL1445" s="30" t="n">
        <v>60</v>
      </c>
      <c r="AM1445" s="30" t="n">
        <v>0</v>
      </c>
      <c r="AN1445" s="30" t="str">
        <f aca="false">IF(OR(V1445="判定不能",M1445="判定不能"),"判定不能",IF(AM1445&gt;=判定条件!$C$9,"利用可",IF(AND(V1445="停止",M1445="停止"),"両方停止","運転がそろわない")))</f>
        <v>両方停止</v>
      </c>
      <c r="AO1445" s="30" t="n">
        <v>0</v>
      </c>
      <c r="AP1445" s="30" t="n">
        <v>0</v>
      </c>
      <c r="AQ1445" s="30" t="str">
        <f aca="false">IF(OR(Y1445="判定不能",G1445="判定不能"),"判定不能",IF(AP1445&gt;=判定条件!$C$9,"利用可",IF(AND(Y1445="停止",G1445="停止"),"両方停止","運転がそろわない")))</f>
        <v>判定不能</v>
      </c>
      <c r="AR1445" s="30" t="n">
        <v>0</v>
      </c>
      <c r="AS1445" s="30" t="n">
        <v>0</v>
      </c>
      <c r="AT1445" s="30" t="str">
        <f aca="false">IF(OR(AB1445="判定不能",J1445="判定不能"),"判定不能",IF(AS1445&gt;=判定条件!$C$9,"利用可",IF(AND(AB1445="停止",J1445="停止"),"両方停止","運転がそろわない")))</f>
        <v>判定不能</v>
      </c>
      <c r="AU1445" s="30" t="n">
        <v>0</v>
      </c>
      <c r="AV1445" s="30" t="n">
        <v>0</v>
      </c>
      <c r="AW1445" s="30" t="str">
        <f aca="false">IF(OR(AE1445="判定不能",M1445="判定不能"),"判定不能",IF(AV1445&gt;=判定条件!$C$9,"利用可",IF(AND(AE1445="停止",M1445="停止"),"両方停止","運転がそろわない")))</f>
        <v>判定不能</v>
      </c>
      <c r="AX1445" s="30" t="str">
        <f aca="false">IF(AND(AH1445="利用可",AK1445="利用可",AN1445="利用可"),"利用可","不可")</f>
        <v>不可</v>
      </c>
      <c r="AY1445" s="30" t="str">
        <f aca="false">IF(AND(AQ1445="利用可",AT1445="利用可",AW1445="利用可"),"利用可","不可")</f>
        <v>不可</v>
      </c>
    </row>
    <row r="1446" customFormat="false" ht="15" hidden="false" customHeight="false" outlineLevel="0" collapsed="false">
      <c r="A1446" s="29" t="n">
        <v>46292</v>
      </c>
      <c r="B1446" s="30" t="n">
        <v>3</v>
      </c>
      <c r="C1446" s="31" t="s">
        <v>65</v>
      </c>
      <c r="D1446" s="31" t="s">
        <v>64</v>
      </c>
      <c r="E1446" s="30" t="n">
        <v>60</v>
      </c>
      <c r="F1446" s="30" t="n">
        <v>0</v>
      </c>
      <c r="G1446" s="30" t="str">
        <f aca="false">IF(E1446&lt;判定条件!$C$6,"判定不能",IF(F1446&gt;=判定条件!$C$7*E1446,"運転",IF(F1446&lt;=判定条件!$C$8*E1446,"停止","断続")))</f>
        <v>停止</v>
      </c>
      <c r="H1446" s="30" t="n">
        <v>60</v>
      </c>
      <c r="I1446" s="30" t="n">
        <v>0</v>
      </c>
      <c r="J1446" s="30" t="str">
        <f aca="false">IF(H1446&lt;判定条件!$C$6,"判定不能",IF(I1446&gt;=判定条件!$C$7*H1446,"運転",IF(I1446&lt;=判定条件!$C$8*H1446,"停止","断続")))</f>
        <v>停止</v>
      </c>
      <c r="K1446" s="30" t="n">
        <v>60</v>
      </c>
      <c r="L1446" s="30" t="n">
        <v>0</v>
      </c>
      <c r="M1446" s="30" t="str">
        <f aca="false">IF(K1446&lt;判定条件!$C$6,"判定不能",IF(L1446&gt;=判定条件!$C$7*K1446,"運転",IF(L1446&lt;=判定条件!$C$8*K1446,"停止","断続")))</f>
        <v>停止</v>
      </c>
      <c r="N1446" s="30" t="n">
        <v>60</v>
      </c>
      <c r="O1446" s="30" t="n">
        <v>0</v>
      </c>
      <c r="P1446" s="30" t="str">
        <f aca="false">IF(N1446&lt;判定条件!$C$6,"判定不能",IF(O1446&gt;=判定条件!$C$7*N1446,"運転",IF(O1446&lt;=判定条件!$C$8*N1446,"停止","断続")))</f>
        <v>停止</v>
      </c>
      <c r="Q1446" s="30" t="n">
        <v>60</v>
      </c>
      <c r="R1446" s="30" t="n">
        <v>0</v>
      </c>
      <c r="S1446" s="30" t="str">
        <f aca="false">IF(Q1446&lt;判定条件!$C$6,"判定不能",IF(R1446&gt;=判定条件!$C$7*Q1446,"運転",IF(R1446&lt;=判定条件!$C$8*Q1446,"停止","断続")))</f>
        <v>停止</v>
      </c>
      <c r="T1446" s="30" t="n">
        <v>60</v>
      </c>
      <c r="U1446" s="30" t="n">
        <v>0</v>
      </c>
      <c r="V1446" s="30" t="str">
        <f aca="false">IF(T1446&lt;判定条件!$C$6,"判定不能",IF(U1446&gt;=判定条件!$C$7*T1446,"運転",IF(U1446&lt;=判定条件!$C$8*T1446,"停止","断続")))</f>
        <v>停止</v>
      </c>
      <c r="W1446" s="30" t="n">
        <v>0</v>
      </c>
      <c r="X1446" s="30" t="n">
        <v>0</v>
      </c>
      <c r="Y1446" s="30" t="str">
        <f aca="false">IF(W1446&lt;判定条件!$C$6,"判定不能",IF(X1446&gt;=判定条件!$C$7*W1446,"運転",IF(X1446&lt;=判定条件!$C$8*W1446,"停止","断続")))</f>
        <v>判定不能</v>
      </c>
      <c r="Z1446" s="30" t="n">
        <v>0</v>
      </c>
      <c r="AA1446" s="30" t="n">
        <v>0</v>
      </c>
      <c r="AB1446" s="30" t="str">
        <f aca="false">IF(Z1446&lt;判定条件!$C$6,"判定不能",IF(AA1446&gt;=判定条件!$C$7*Z1446,"運転",IF(AA1446&lt;=判定条件!$C$8*Z1446,"停止","断続")))</f>
        <v>判定不能</v>
      </c>
      <c r="AC1446" s="30" t="n">
        <v>0</v>
      </c>
      <c r="AD1446" s="30" t="n">
        <v>0</v>
      </c>
      <c r="AE1446" s="30" t="str">
        <f aca="false">IF(AC1446&lt;判定条件!$C$6,"判定不能",IF(AD1446&gt;=判定条件!$C$7*AC1446,"運転",IF(AD1446&lt;=判定条件!$C$8*AC1446,"停止","断続")))</f>
        <v>判定不能</v>
      </c>
      <c r="AF1446" s="30" t="n">
        <v>60</v>
      </c>
      <c r="AG1446" s="30" t="n">
        <v>0</v>
      </c>
      <c r="AH1446" s="30" t="str">
        <f aca="false">IF(OR(P1446="判定不能",G1446="判定不能"),"判定不能",IF(AG1446&gt;=判定条件!$C$9,"利用可",IF(AND(P1446="停止",G1446="停止"),"両方停止","運転がそろわない")))</f>
        <v>両方停止</v>
      </c>
      <c r="AI1446" s="30" t="n">
        <v>60</v>
      </c>
      <c r="AJ1446" s="30" t="n">
        <v>0</v>
      </c>
      <c r="AK1446" s="30" t="str">
        <f aca="false">IF(OR(S1446="判定不能",J1446="判定不能"),"判定不能",IF(AJ1446&gt;=判定条件!$C$9,"利用可",IF(AND(S1446="停止",J1446="停止"),"両方停止","運転がそろわない")))</f>
        <v>両方停止</v>
      </c>
      <c r="AL1446" s="30" t="n">
        <v>60</v>
      </c>
      <c r="AM1446" s="30" t="n">
        <v>0</v>
      </c>
      <c r="AN1446" s="30" t="str">
        <f aca="false">IF(OR(V1446="判定不能",M1446="判定不能"),"判定不能",IF(AM1446&gt;=判定条件!$C$9,"利用可",IF(AND(V1446="停止",M1446="停止"),"両方停止","運転がそろわない")))</f>
        <v>両方停止</v>
      </c>
      <c r="AO1446" s="30" t="n">
        <v>0</v>
      </c>
      <c r="AP1446" s="30" t="n">
        <v>0</v>
      </c>
      <c r="AQ1446" s="30" t="str">
        <f aca="false">IF(OR(Y1446="判定不能",G1446="判定不能"),"判定不能",IF(AP1446&gt;=判定条件!$C$9,"利用可",IF(AND(Y1446="停止",G1446="停止"),"両方停止","運転がそろわない")))</f>
        <v>判定不能</v>
      </c>
      <c r="AR1446" s="30" t="n">
        <v>0</v>
      </c>
      <c r="AS1446" s="30" t="n">
        <v>0</v>
      </c>
      <c r="AT1446" s="30" t="str">
        <f aca="false">IF(OR(AB1446="判定不能",J1446="判定不能"),"判定不能",IF(AS1446&gt;=判定条件!$C$9,"利用可",IF(AND(AB1446="停止",J1446="停止"),"両方停止","運転がそろわない")))</f>
        <v>判定不能</v>
      </c>
      <c r="AU1446" s="30" t="n">
        <v>0</v>
      </c>
      <c r="AV1446" s="30" t="n">
        <v>0</v>
      </c>
      <c r="AW1446" s="30" t="str">
        <f aca="false">IF(OR(AE1446="判定不能",M1446="判定不能"),"判定不能",IF(AV1446&gt;=判定条件!$C$9,"利用可",IF(AND(AE1446="停止",M1446="停止"),"両方停止","運転がそろわない")))</f>
        <v>判定不能</v>
      </c>
      <c r="AX1446" s="30" t="str">
        <f aca="false">IF(AND(AH1446="利用可",AK1446="利用可",AN1446="利用可"),"利用可","不可")</f>
        <v>不可</v>
      </c>
      <c r="AY1446" s="30" t="str">
        <f aca="false">IF(AND(AQ1446="利用可",AT1446="利用可",AW1446="利用可"),"利用可","不可")</f>
        <v>不可</v>
      </c>
    </row>
    <row r="1447" customFormat="false" ht="15" hidden="false" customHeight="false" outlineLevel="0" collapsed="false">
      <c r="A1447" s="29" t="n">
        <v>46292</v>
      </c>
      <c r="B1447" s="30" t="n">
        <v>4</v>
      </c>
      <c r="C1447" s="31" t="s">
        <v>65</v>
      </c>
      <c r="D1447" s="31" t="s">
        <v>64</v>
      </c>
      <c r="E1447" s="30" t="n">
        <v>60</v>
      </c>
      <c r="F1447" s="30" t="n">
        <v>0</v>
      </c>
      <c r="G1447" s="30" t="str">
        <f aca="false">IF(E1447&lt;判定条件!$C$6,"判定不能",IF(F1447&gt;=判定条件!$C$7*E1447,"運転",IF(F1447&lt;=判定条件!$C$8*E1447,"停止","断続")))</f>
        <v>停止</v>
      </c>
      <c r="H1447" s="30" t="n">
        <v>60</v>
      </c>
      <c r="I1447" s="30" t="n">
        <v>0</v>
      </c>
      <c r="J1447" s="30" t="str">
        <f aca="false">IF(H1447&lt;判定条件!$C$6,"判定不能",IF(I1447&gt;=判定条件!$C$7*H1447,"運転",IF(I1447&lt;=判定条件!$C$8*H1447,"停止","断続")))</f>
        <v>停止</v>
      </c>
      <c r="K1447" s="30" t="n">
        <v>60</v>
      </c>
      <c r="L1447" s="30" t="n">
        <v>0</v>
      </c>
      <c r="M1447" s="30" t="str">
        <f aca="false">IF(K1447&lt;判定条件!$C$6,"判定不能",IF(L1447&gt;=判定条件!$C$7*K1447,"運転",IF(L1447&lt;=判定条件!$C$8*K1447,"停止","断続")))</f>
        <v>停止</v>
      </c>
      <c r="N1447" s="30" t="n">
        <v>60</v>
      </c>
      <c r="O1447" s="30" t="n">
        <v>0</v>
      </c>
      <c r="P1447" s="30" t="str">
        <f aca="false">IF(N1447&lt;判定条件!$C$6,"判定不能",IF(O1447&gt;=判定条件!$C$7*N1447,"運転",IF(O1447&lt;=判定条件!$C$8*N1447,"停止","断続")))</f>
        <v>停止</v>
      </c>
      <c r="Q1447" s="30" t="n">
        <v>60</v>
      </c>
      <c r="R1447" s="30" t="n">
        <v>0</v>
      </c>
      <c r="S1447" s="30" t="str">
        <f aca="false">IF(Q1447&lt;判定条件!$C$6,"判定不能",IF(R1447&gt;=判定条件!$C$7*Q1447,"運転",IF(R1447&lt;=判定条件!$C$8*Q1447,"停止","断続")))</f>
        <v>停止</v>
      </c>
      <c r="T1447" s="30" t="n">
        <v>60</v>
      </c>
      <c r="U1447" s="30" t="n">
        <v>0</v>
      </c>
      <c r="V1447" s="30" t="str">
        <f aca="false">IF(T1447&lt;判定条件!$C$6,"判定不能",IF(U1447&gt;=判定条件!$C$7*T1447,"運転",IF(U1447&lt;=判定条件!$C$8*T1447,"停止","断続")))</f>
        <v>停止</v>
      </c>
      <c r="W1447" s="30" t="n">
        <v>0</v>
      </c>
      <c r="X1447" s="30" t="n">
        <v>0</v>
      </c>
      <c r="Y1447" s="30" t="str">
        <f aca="false">IF(W1447&lt;判定条件!$C$6,"判定不能",IF(X1447&gt;=判定条件!$C$7*W1447,"運転",IF(X1447&lt;=判定条件!$C$8*W1447,"停止","断続")))</f>
        <v>判定不能</v>
      </c>
      <c r="Z1447" s="30" t="n">
        <v>0</v>
      </c>
      <c r="AA1447" s="30" t="n">
        <v>0</v>
      </c>
      <c r="AB1447" s="30" t="str">
        <f aca="false">IF(Z1447&lt;判定条件!$C$6,"判定不能",IF(AA1447&gt;=判定条件!$C$7*Z1447,"運転",IF(AA1447&lt;=判定条件!$C$8*Z1447,"停止","断続")))</f>
        <v>判定不能</v>
      </c>
      <c r="AC1447" s="30" t="n">
        <v>0</v>
      </c>
      <c r="AD1447" s="30" t="n">
        <v>0</v>
      </c>
      <c r="AE1447" s="30" t="str">
        <f aca="false">IF(AC1447&lt;判定条件!$C$6,"判定不能",IF(AD1447&gt;=判定条件!$C$7*AC1447,"運転",IF(AD1447&lt;=判定条件!$C$8*AC1447,"停止","断続")))</f>
        <v>判定不能</v>
      </c>
      <c r="AF1447" s="30" t="n">
        <v>60</v>
      </c>
      <c r="AG1447" s="30" t="n">
        <v>0</v>
      </c>
      <c r="AH1447" s="30" t="str">
        <f aca="false">IF(OR(P1447="判定不能",G1447="判定不能"),"判定不能",IF(AG1447&gt;=判定条件!$C$9,"利用可",IF(AND(P1447="停止",G1447="停止"),"両方停止","運転がそろわない")))</f>
        <v>両方停止</v>
      </c>
      <c r="AI1447" s="30" t="n">
        <v>60</v>
      </c>
      <c r="AJ1447" s="30" t="n">
        <v>0</v>
      </c>
      <c r="AK1447" s="30" t="str">
        <f aca="false">IF(OR(S1447="判定不能",J1447="判定不能"),"判定不能",IF(AJ1447&gt;=判定条件!$C$9,"利用可",IF(AND(S1447="停止",J1447="停止"),"両方停止","運転がそろわない")))</f>
        <v>両方停止</v>
      </c>
      <c r="AL1447" s="30" t="n">
        <v>60</v>
      </c>
      <c r="AM1447" s="30" t="n">
        <v>0</v>
      </c>
      <c r="AN1447" s="30" t="str">
        <f aca="false">IF(OR(V1447="判定不能",M1447="判定不能"),"判定不能",IF(AM1447&gt;=判定条件!$C$9,"利用可",IF(AND(V1447="停止",M1447="停止"),"両方停止","運転がそろわない")))</f>
        <v>両方停止</v>
      </c>
      <c r="AO1447" s="30" t="n">
        <v>0</v>
      </c>
      <c r="AP1447" s="30" t="n">
        <v>0</v>
      </c>
      <c r="AQ1447" s="30" t="str">
        <f aca="false">IF(OR(Y1447="判定不能",G1447="判定不能"),"判定不能",IF(AP1447&gt;=判定条件!$C$9,"利用可",IF(AND(Y1447="停止",G1447="停止"),"両方停止","運転がそろわない")))</f>
        <v>判定不能</v>
      </c>
      <c r="AR1447" s="30" t="n">
        <v>0</v>
      </c>
      <c r="AS1447" s="30" t="n">
        <v>0</v>
      </c>
      <c r="AT1447" s="30" t="str">
        <f aca="false">IF(OR(AB1447="判定不能",J1447="判定不能"),"判定不能",IF(AS1447&gt;=判定条件!$C$9,"利用可",IF(AND(AB1447="停止",J1447="停止"),"両方停止","運転がそろわない")))</f>
        <v>判定不能</v>
      </c>
      <c r="AU1447" s="30" t="n">
        <v>0</v>
      </c>
      <c r="AV1447" s="30" t="n">
        <v>0</v>
      </c>
      <c r="AW1447" s="30" t="str">
        <f aca="false">IF(OR(AE1447="判定不能",M1447="判定不能"),"判定不能",IF(AV1447&gt;=判定条件!$C$9,"利用可",IF(AND(AE1447="停止",M1447="停止"),"両方停止","運転がそろわない")))</f>
        <v>判定不能</v>
      </c>
      <c r="AX1447" s="30" t="str">
        <f aca="false">IF(AND(AH1447="利用可",AK1447="利用可",AN1447="利用可"),"利用可","不可")</f>
        <v>不可</v>
      </c>
      <c r="AY1447" s="30" t="str">
        <f aca="false">IF(AND(AQ1447="利用可",AT1447="利用可",AW1447="利用可"),"利用可","不可")</f>
        <v>不可</v>
      </c>
    </row>
    <row r="1448" customFormat="false" ht="15" hidden="false" customHeight="false" outlineLevel="0" collapsed="false">
      <c r="A1448" s="29" t="n">
        <v>46292</v>
      </c>
      <c r="B1448" s="30" t="n">
        <v>5</v>
      </c>
      <c r="C1448" s="31" t="s">
        <v>65</v>
      </c>
      <c r="D1448" s="31" t="s">
        <v>64</v>
      </c>
      <c r="E1448" s="30" t="n">
        <v>60</v>
      </c>
      <c r="F1448" s="30" t="n">
        <v>0</v>
      </c>
      <c r="G1448" s="30" t="str">
        <f aca="false">IF(E1448&lt;判定条件!$C$6,"判定不能",IF(F1448&gt;=判定条件!$C$7*E1448,"運転",IF(F1448&lt;=判定条件!$C$8*E1448,"停止","断続")))</f>
        <v>停止</v>
      </c>
      <c r="H1448" s="30" t="n">
        <v>60</v>
      </c>
      <c r="I1448" s="30" t="n">
        <v>0</v>
      </c>
      <c r="J1448" s="30" t="str">
        <f aca="false">IF(H1448&lt;判定条件!$C$6,"判定不能",IF(I1448&gt;=判定条件!$C$7*H1448,"運転",IF(I1448&lt;=判定条件!$C$8*H1448,"停止","断続")))</f>
        <v>停止</v>
      </c>
      <c r="K1448" s="30" t="n">
        <v>60</v>
      </c>
      <c r="L1448" s="30" t="n">
        <v>0</v>
      </c>
      <c r="M1448" s="30" t="str">
        <f aca="false">IF(K1448&lt;判定条件!$C$6,"判定不能",IF(L1448&gt;=判定条件!$C$7*K1448,"運転",IF(L1448&lt;=判定条件!$C$8*K1448,"停止","断続")))</f>
        <v>停止</v>
      </c>
      <c r="N1448" s="30" t="n">
        <v>60</v>
      </c>
      <c r="O1448" s="30" t="n">
        <v>0</v>
      </c>
      <c r="P1448" s="30" t="str">
        <f aca="false">IF(N1448&lt;判定条件!$C$6,"判定不能",IF(O1448&gt;=判定条件!$C$7*N1448,"運転",IF(O1448&lt;=判定条件!$C$8*N1448,"停止","断続")))</f>
        <v>停止</v>
      </c>
      <c r="Q1448" s="30" t="n">
        <v>60</v>
      </c>
      <c r="R1448" s="30" t="n">
        <v>0</v>
      </c>
      <c r="S1448" s="30" t="str">
        <f aca="false">IF(Q1448&lt;判定条件!$C$6,"判定不能",IF(R1448&gt;=判定条件!$C$7*Q1448,"運転",IF(R1448&lt;=判定条件!$C$8*Q1448,"停止","断続")))</f>
        <v>停止</v>
      </c>
      <c r="T1448" s="30" t="n">
        <v>60</v>
      </c>
      <c r="U1448" s="30" t="n">
        <v>0</v>
      </c>
      <c r="V1448" s="30" t="str">
        <f aca="false">IF(T1448&lt;判定条件!$C$6,"判定不能",IF(U1448&gt;=判定条件!$C$7*T1448,"運転",IF(U1448&lt;=判定条件!$C$8*T1448,"停止","断続")))</f>
        <v>停止</v>
      </c>
      <c r="W1448" s="30" t="n">
        <v>0</v>
      </c>
      <c r="X1448" s="30" t="n">
        <v>0</v>
      </c>
      <c r="Y1448" s="30" t="str">
        <f aca="false">IF(W1448&lt;判定条件!$C$6,"判定不能",IF(X1448&gt;=判定条件!$C$7*W1448,"運転",IF(X1448&lt;=判定条件!$C$8*W1448,"停止","断続")))</f>
        <v>判定不能</v>
      </c>
      <c r="Z1448" s="30" t="n">
        <v>0</v>
      </c>
      <c r="AA1448" s="30" t="n">
        <v>0</v>
      </c>
      <c r="AB1448" s="30" t="str">
        <f aca="false">IF(Z1448&lt;判定条件!$C$6,"判定不能",IF(AA1448&gt;=判定条件!$C$7*Z1448,"運転",IF(AA1448&lt;=判定条件!$C$8*Z1448,"停止","断続")))</f>
        <v>判定不能</v>
      </c>
      <c r="AC1448" s="30" t="n">
        <v>0</v>
      </c>
      <c r="AD1448" s="30" t="n">
        <v>0</v>
      </c>
      <c r="AE1448" s="30" t="str">
        <f aca="false">IF(AC1448&lt;判定条件!$C$6,"判定不能",IF(AD1448&gt;=判定条件!$C$7*AC1448,"運転",IF(AD1448&lt;=判定条件!$C$8*AC1448,"停止","断続")))</f>
        <v>判定不能</v>
      </c>
      <c r="AF1448" s="30" t="n">
        <v>60</v>
      </c>
      <c r="AG1448" s="30" t="n">
        <v>0</v>
      </c>
      <c r="AH1448" s="30" t="str">
        <f aca="false">IF(OR(P1448="判定不能",G1448="判定不能"),"判定不能",IF(AG1448&gt;=判定条件!$C$9,"利用可",IF(AND(P1448="停止",G1448="停止"),"両方停止","運転がそろわない")))</f>
        <v>両方停止</v>
      </c>
      <c r="AI1448" s="30" t="n">
        <v>60</v>
      </c>
      <c r="AJ1448" s="30" t="n">
        <v>0</v>
      </c>
      <c r="AK1448" s="30" t="str">
        <f aca="false">IF(OR(S1448="判定不能",J1448="判定不能"),"判定不能",IF(AJ1448&gt;=判定条件!$C$9,"利用可",IF(AND(S1448="停止",J1448="停止"),"両方停止","運転がそろわない")))</f>
        <v>両方停止</v>
      </c>
      <c r="AL1448" s="30" t="n">
        <v>60</v>
      </c>
      <c r="AM1448" s="30" t="n">
        <v>0</v>
      </c>
      <c r="AN1448" s="30" t="str">
        <f aca="false">IF(OR(V1448="判定不能",M1448="判定不能"),"判定不能",IF(AM1448&gt;=判定条件!$C$9,"利用可",IF(AND(V1448="停止",M1448="停止"),"両方停止","運転がそろわない")))</f>
        <v>両方停止</v>
      </c>
      <c r="AO1448" s="30" t="n">
        <v>0</v>
      </c>
      <c r="AP1448" s="30" t="n">
        <v>0</v>
      </c>
      <c r="AQ1448" s="30" t="str">
        <f aca="false">IF(OR(Y1448="判定不能",G1448="判定不能"),"判定不能",IF(AP1448&gt;=判定条件!$C$9,"利用可",IF(AND(Y1448="停止",G1448="停止"),"両方停止","運転がそろわない")))</f>
        <v>判定不能</v>
      </c>
      <c r="AR1448" s="30" t="n">
        <v>0</v>
      </c>
      <c r="AS1448" s="30" t="n">
        <v>0</v>
      </c>
      <c r="AT1448" s="30" t="str">
        <f aca="false">IF(OR(AB1448="判定不能",J1448="判定不能"),"判定不能",IF(AS1448&gt;=判定条件!$C$9,"利用可",IF(AND(AB1448="停止",J1448="停止"),"両方停止","運転がそろわない")))</f>
        <v>判定不能</v>
      </c>
      <c r="AU1448" s="30" t="n">
        <v>0</v>
      </c>
      <c r="AV1448" s="30" t="n">
        <v>0</v>
      </c>
      <c r="AW1448" s="30" t="str">
        <f aca="false">IF(OR(AE1448="判定不能",M1448="判定不能"),"判定不能",IF(AV1448&gt;=判定条件!$C$9,"利用可",IF(AND(AE1448="停止",M1448="停止"),"両方停止","運転がそろわない")))</f>
        <v>判定不能</v>
      </c>
      <c r="AX1448" s="30" t="str">
        <f aca="false">IF(AND(AH1448="利用可",AK1448="利用可",AN1448="利用可"),"利用可","不可")</f>
        <v>不可</v>
      </c>
      <c r="AY1448" s="30" t="str">
        <f aca="false">IF(AND(AQ1448="利用可",AT1448="利用可",AW1448="利用可"),"利用可","不可")</f>
        <v>不可</v>
      </c>
    </row>
    <row r="1449" customFormat="false" ht="15" hidden="false" customHeight="false" outlineLevel="0" collapsed="false">
      <c r="A1449" s="29" t="n">
        <v>46292</v>
      </c>
      <c r="B1449" s="30" t="n">
        <v>6</v>
      </c>
      <c r="C1449" s="31" t="s">
        <v>65</v>
      </c>
      <c r="D1449" s="31" t="s">
        <v>64</v>
      </c>
      <c r="E1449" s="30" t="n">
        <v>60</v>
      </c>
      <c r="F1449" s="30" t="n">
        <v>0</v>
      </c>
      <c r="G1449" s="30" t="str">
        <f aca="false">IF(E1449&lt;判定条件!$C$6,"判定不能",IF(F1449&gt;=判定条件!$C$7*E1449,"運転",IF(F1449&lt;=判定条件!$C$8*E1449,"停止","断続")))</f>
        <v>停止</v>
      </c>
      <c r="H1449" s="30" t="n">
        <v>60</v>
      </c>
      <c r="I1449" s="30" t="n">
        <v>0</v>
      </c>
      <c r="J1449" s="30" t="str">
        <f aca="false">IF(H1449&lt;判定条件!$C$6,"判定不能",IF(I1449&gt;=判定条件!$C$7*H1449,"運転",IF(I1449&lt;=判定条件!$C$8*H1449,"停止","断続")))</f>
        <v>停止</v>
      </c>
      <c r="K1449" s="30" t="n">
        <v>60</v>
      </c>
      <c r="L1449" s="30" t="n">
        <v>0</v>
      </c>
      <c r="M1449" s="30" t="str">
        <f aca="false">IF(K1449&lt;判定条件!$C$6,"判定不能",IF(L1449&gt;=判定条件!$C$7*K1449,"運転",IF(L1449&lt;=判定条件!$C$8*K1449,"停止","断続")))</f>
        <v>停止</v>
      </c>
      <c r="N1449" s="30" t="n">
        <v>60</v>
      </c>
      <c r="O1449" s="30" t="n">
        <v>0</v>
      </c>
      <c r="P1449" s="30" t="str">
        <f aca="false">IF(N1449&lt;判定条件!$C$6,"判定不能",IF(O1449&gt;=判定条件!$C$7*N1449,"運転",IF(O1449&lt;=判定条件!$C$8*N1449,"停止","断続")))</f>
        <v>停止</v>
      </c>
      <c r="Q1449" s="30" t="n">
        <v>60</v>
      </c>
      <c r="R1449" s="30" t="n">
        <v>0</v>
      </c>
      <c r="S1449" s="30" t="str">
        <f aca="false">IF(Q1449&lt;判定条件!$C$6,"判定不能",IF(R1449&gt;=判定条件!$C$7*Q1449,"運転",IF(R1449&lt;=判定条件!$C$8*Q1449,"停止","断続")))</f>
        <v>停止</v>
      </c>
      <c r="T1449" s="30" t="n">
        <v>60</v>
      </c>
      <c r="U1449" s="30" t="n">
        <v>0</v>
      </c>
      <c r="V1449" s="30" t="str">
        <f aca="false">IF(T1449&lt;判定条件!$C$6,"判定不能",IF(U1449&gt;=判定条件!$C$7*T1449,"運転",IF(U1449&lt;=判定条件!$C$8*T1449,"停止","断続")))</f>
        <v>停止</v>
      </c>
      <c r="W1449" s="30" t="n">
        <v>0</v>
      </c>
      <c r="X1449" s="30" t="n">
        <v>0</v>
      </c>
      <c r="Y1449" s="30" t="str">
        <f aca="false">IF(W1449&lt;判定条件!$C$6,"判定不能",IF(X1449&gt;=判定条件!$C$7*W1449,"運転",IF(X1449&lt;=判定条件!$C$8*W1449,"停止","断続")))</f>
        <v>判定不能</v>
      </c>
      <c r="Z1449" s="30" t="n">
        <v>0</v>
      </c>
      <c r="AA1449" s="30" t="n">
        <v>0</v>
      </c>
      <c r="AB1449" s="30" t="str">
        <f aca="false">IF(Z1449&lt;判定条件!$C$6,"判定不能",IF(AA1449&gt;=判定条件!$C$7*Z1449,"運転",IF(AA1449&lt;=判定条件!$C$8*Z1449,"停止","断続")))</f>
        <v>判定不能</v>
      </c>
      <c r="AC1449" s="30" t="n">
        <v>0</v>
      </c>
      <c r="AD1449" s="30" t="n">
        <v>0</v>
      </c>
      <c r="AE1449" s="30" t="str">
        <f aca="false">IF(AC1449&lt;判定条件!$C$6,"判定不能",IF(AD1449&gt;=判定条件!$C$7*AC1449,"運転",IF(AD1449&lt;=判定条件!$C$8*AC1449,"停止","断続")))</f>
        <v>判定不能</v>
      </c>
      <c r="AF1449" s="30" t="n">
        <v>60</v>
      </c>
      <c r="AG1449" s="30" t="n">
        <v>0</v>
      </c>
      <c r="AH1449" s="30" t="str">
        <f aca="false">IF(OR(P1449="判定不能",G1449="判定不能"),"判定不能",IF(AG1449&gt;=判定条件!$C$9,"利用可",IF(AND(P1449="停止",G1449="停止"),"両方停止","運転がそろわない")))</f>
        <v>両方停止</v>
      </c>
      <c r="AI1449" s="30" t="n">
        <v>60</v>
      </c>
      <c r="AJ1449" s="30" t="n">
        <v>0</v>
      </c>
      <c r="AK1449" s="30" t="str">
        <f aca="false">IF(OR(S1449="判定不能",J1449="判定不能"),"判定不能",IF(AJ1449&gt;=判定条件!$C$9,"利用可",IF(AND(S1449="停止",J1449="停止"),"両方停止","運転がそろわない")))</f>
        <v>両方停止</v>
      </c>
      <c r="AL1449" s="30" t="n">
        <v>60</v>
      </c>
      <c r="AM1449" s="30" t="n">
        <v>0</v>
      </c>
      <c r="AN1449" s="30" t="str">
        <f aca="false">IF(OR(V1449="判定不能",M1449="判定不能"),"判定不能",IF(AM1449&gt;=判定条件!$C$9,"利用可",IF(AND(V1449="停止",M1449="停止"),"両方停止","運転がそろわない")))</f>
        <v>両方停止</v>
      </c>
      <c r="AO1449" s="30" t="n">
        <v>0</v>
      </c>
      <c r="AP1449" s="30" t="n">
        <v>0</v>
      </c>
      <c r="AQ1449" s="30" t="str">
        <f aca="false">IF(OR(Y1449="判定不能",G1449="判定不能"),"判定不能",IF(AP1449&gt;=判定条件!$C$9,"利用可",IF(AND(Y1449="停止",G1449="停止"),"両方停止","運転がそろわない")))</f>
        <v>判定不能</v>
      </c>
      <c r="AR1449" s="30" t="n">
        <v>0</v>
      </c>
      <c r="AS1449" s="30" t="n">
        <v>0</v>
      </c>
      <c r="AT1449" s="30" t="str">
        <f aca="false">IF(OR(AB1449="判定不能",J1449="判定不能"),"判定不能",IF(AS1449&gt;=判定条件!$C$9,"利用可",IF(AND(AB1449="停止",J1449="停止"),"両方停止","運転がそろわない")))</f>
        <v>判定不能</v>
      </c>
      <c r="AU1449" s="30" t="n">
        <v>0</v>
      </c>
      <c r="AV1449" s="30" t="n">
        <v>0</v>
      </c>
      <c r="AW1449" s="30" t="str">
        <f aca="false">IF(OR(AE1449="判定不能",M1449="判定不能"),"判定不能",IF(AV1449&gt;=判定条件!$C$9,"利用可",IF(AND(AE1449="停止",M1449="停止"),"両方停止","運転がそろわない")))</f>
        <v>判定不能</v>
      </c>
      <c r="AX1449" s="30" t="str">
        <f aca="false">IF(AND(AH1449="利用可",AK1449="利用可",AN1449="利用可"),"利用可","不可")</f>
        <v>不可</v>
      </c>
      <c r="AY1449" s="30" t="str">
        <f aca="false">IF(AND(AQ1449="利用可",AT1449="利用可",AW1449="利用可"),"利用可","不可")</f>
        <v>不可</v>
      </c>
    </row>
    <row r="1450" customFormat="false" ht="15" hidden="false" customHeight="false" outlineLevel="0" collapsed="false">
      <c r="A1450" s="29" t="n">
        <v>46292</v>
      </c>
      <c r="B1450" s="30" t="n">
        <v>7</v>
      </c>
      <c r="C1450" s="31" t="s">
        <v>65</v>
      </c>
      <c r="D1450" s="31" t="s">
        <v>64</v>
      </c>
      <c r="E1450" s="30" t="n">
        <v>60</v>
      </c>
      <c r="F1450" s="30" t="n">
        <v>0</v>
      </c>
      <c r="G1450" s="30" t="str">
        <f aca="false">IF(E1450&lt;判定条件!$C$6,"判定不能",IF(F1450&gt;=判定条件!$C$7*E1450,"運転",IF(F1450&lt;=判定条件!$C$8*E1450,"停止","断続")))</f>
        <v>停止</v>
      </c>
      <c r="H1450" s="30" t="n">
        <v>60</v>
      </c>
      <c r="I1450" s="30" t="n">
        <v>0</v>
      </c>
      <c r="J1450" s="30" t="str">
        <f aca="false">IF(H1450&lt;判定条件!$C$6,"判定不能",IF(I1450&gt;=判定条件!$C$7*H1450,"運転",IF(I1450&lt;=判定条件!$C$8*H1450,"停止","断続")))</f>
        <v>停止</v>
      </c>
      <c r="K1450" s="30" t="n">
        <v>60</v>
      </c>
      <c r="L1450" s="30" t="n">
        <v>0</v>
      </c>
      <c r="M1450" s="30" t="str">
        <f aca="false">IF(K1450&lt;判定条件!$C$6,"判定不能",IF(L1450&gt;=判定条件!$C$7*K1450,"運転",IF(L1450&lt;=判定条件!$C$8*K1450,"停止","断続")))</f>
        <v>停止</v>
      </c>
      <c r="N1450" s="30" t="n">
        <v>60</v>
      </c>
      <c r="O1450" s="30" t="n">
        <v>0</v>
      </c>
      <c r="P1450" s="30" t="str">
        <f aca="false">IF(N1450&lt;判定条件!$C$6,"判定不能",IF(O1450&gt;=判定条件!$C$7*N1450,"運転",IF(O1450&lt;=判定条件!$C$8*N1450,"停止","断続")))</f>
        <v>停止</v>
      </c>
      <c r="Q1450" s="30" t="n">
        <v>60</v>
      </c>
      <c r="R1450" s="30" t="n">
        <v>0</v>
      </c>
      <c r="S1450" s="30" t="str">
        <f aca="false">IF(Q1450&lt;判定条件!$C$6,"判定不能",IF(R1450&gt;=判定条件!$C$7*Q1450,"運転",IF(R1450&lt;=判定条件!$C$8*Q1450,"停止","断続")))</f>
        <v>停止</v>
      </c>
      <c r="T1450" s="30" t="n">
        <v>60</v>
      </c>
      <c r="U1450" s="30" t="n">
        <v>0</v>
      </c>
      <c r="V1450" s="30" t="str">
        <f aca="false">IF(T1450&lt;判定条件!$C$6,"判定不能",IF(U1450&gt;=判定条件!$C$7*T1450,"運転",IF(U1450&lt;=判定条件!$C$8*T1450,"停止","断続")))</f>
        <v>停止</v>
      </c>
      <c r="W1450" s="30" t="n">
        <v>0</v>
      </c>
      <c r="X1450" s="30" t="n">
        <v>0</v>
      </c>
      <c r="Y1450" s="30" t="str">
        <f aca="false">IF(W1450&lt;判定条件!$C$6,"判定不能",IF(X1450&gt;=判定条件!$C$7*W1450,"運転",IF(X1450&lt;=判定条件!$C$8*W1450,"停止","断続")))</f>
        <v>判定不能</v>
      </c>
      <c r="Z1450" s="30" t="n">
        <v>0</v>
      </c>
      <c r="AA1450" s="30" t="n">
        <v>0</v>
      </c>
      <c r="AB1450" s="30" t="str">
        <f aca="false">IF(Z1450&lt;判定条件!$C$6,"判定不能",IF(AA1450&gt;=判定条件!$C$7*Z1450,"運転",IF(AA1450&lt;=判定条件!$C$8*Z1450,"停止","断続")))</f>
        <v>判定不能</v>
      </c>
      <c r="AC1450" s="30" t="n">
        <v>0</v>
      </c>
      <c r="AD1450" s="30" t="n">
        <v>0</v>
      </c>
      <c r="AE1450" s="30" t="str">
        <f aca="false">IF(AC1450&lt;判定条件!$C$6,"判定不能",IF(AD1450&gt;=判定条件!$C$7*AC1450,"運転",IF(AD1450&lt;=判定条件!$C$8*AC1450,"停止","断続")))</f>
        <v>判定不能</v>
      </c>
      <c r="AF1450" s="30" t="n">
        <v>60</v>
      </c>
      <c r="AG1450" s="30" t="n">
        <v>0</v>
      </c>
      <c r="AH1450" s="30" t="str">
        <f aca="false">IF(OR(P1450="判定不能",G1450="判定不能"),"判定不能",IF(AG1450&gt;=判定条件!$C$9,"利用可",IF(AND(P1450="停止",G1450="停止"),"両方停止","運転がそろわない")))</f>
        <v>両方停止</v>
      </c>
      <c r="AI1450" s="30" t="n">
        <v>60</v>
      </c>
      <c r="AJ1450" s="30" t="n">
        <v>0</v>
      </c>
      <c r="AK1450" s="30" t="str">
        <f aca="false">IF(OR(S1450="判定不能",J1450="判定不能"),"判定不能",IF(AJ1450&gt;=判定条件!$C$9,"利用可",IF(AND(S1450="停止",J1450="停止"),"両方停止","運転がそろわない")))</f>
        <v>両方停止</v>
      </c>
      <c r="AL1450" s="30" t="n">
        <v>60</v>
      </c>
      <c r="AM1450" s="30" t="n">
        <v>0</v>
      </c>
      <c r="AN1450" s="30" t="str">
        <f aca="false">IF(OR(V1450="判定不能",M1450="判定不能"),"判定不能",IF(AM1450&gt;=判定条件!$C$9,"利用可",IF(AND(V1450="停止",M1450="停止"),"両方停止","運転がそろわない")))</f>
        <v>両方停止</v>
      </c>
      <c r="AO1450" s="30" t="n">
        <v>0</v>
      </c>
      <c r="AP1450" s="30" t="n">
        <v>0</v>
      </c>
      <c r="AQ1450" s="30" t="str">
        <f aca="false">IF(OR(Y1450="判定不能",G1450="判定不能"),"判定不能",IF(AP1450&gt;=判定条件!$C$9,"利用可",IF(AND(Y1450="停止",G1450="停止"),"両方停止","運転がそろわない")))</f>
        <v>判定不能</v>
      </c>
      <c r="AR1450" s="30" t="n">
        <v>0</v>
      </c>
      <c r="AS1450" s="30" t="n">
        <v>0</v>
      </c>
      <c r="AT1450" s="30" t="str">
        <f aca="false">IF(OR(AB1450="判定不能",J1450="判定不能"),"判定不能",IF(AS1450&gt;=判定条件!$C$9,"利用可",IF(AND(AB1450="停止",J1450="停止"),"両方停止","運転がそろわない")))</f>
        <v>判定不能</v>
      </c>
      <c r="AU1450" s="30" t="n">
        <v>0</v>
      </c>
      <c r="AV1450" s="30" t="n">
        <v>0</v>
      </c>
      <c r="AW1450" s="30" t="str">
        <f aca="false">IF(OR(AE1450="判定不能",M1450="判定不能"),"判定不能",IF(AV1450&gt;=判定条件!$C$9,"利用可",IF(AND(AE1450="停止",M1450="停止"),"両方停止","運転がそろわない")))</f>
        <v>判定不能</v>
      </c>
      <c r="AX1450" s="30" t="str">
        <f aca="false">IF(AND(AH1450="利用可",AK1450="利用可",AN1450="利用可"),"利用可","不可")</f>
        <v>不可</v>
      </c>
      <c r="AY1450" s="30" t="str">
        <f aca="false">IF(AND(AQ1450="利用可",AT1450="利用可",AW1450="利用可"),"利用可","不可")</f>
        <v>不可</v>
      </c>
    </row>
    <row r="1451" customFormat="false" ht="15" hidden="false" customHeight="false" outlineLevel="0" collapsed="false">
      <c r="A1451" s="29" t="n">
        <v>46292</v>
      </c>
      <c r="B1451" s="30" t="n">
        <v>8</v>
      </c>
      <c r="C1451" s="31" t="s">
        <v>65</v>
      </c>
      <c r="D1451" s="31" t="s">
        <v>64</v>
      </c>
      <c r="E1451" s="30" t="n">
        <v>60</v>
      </c>
      <c r="F1451" s="30" t="n">
        <v>0</v>
      </c>
      <c r="G1451" s="30" t="str">
        <f aca="false">IF(E1451&lt;判定条件!$C$6,"判定不能",IF(F1451&gt;=判定条件!$C$7*E1451,"運転",IF(F1451&lt;=判定条件!$C$8*E1451,"停止","断続")))</f>
        <v>停止</v>
      </c>
      <c r="H1451" s="30" t="n">
        <v>60</v>
      </c>
      <c r="I1451" s="30" t="n">
        <v>0</v>
      </c>
      <c r="J1451" s="30" t="str">
        <f aca="false">IF(H1451&lt;判定条件!$C$6,"判定不能",IF(I1451&gt;=判定条件!$C$7*H1451,"運転",IF(I1451&lt;=判定条件!$C$8*H1451,"停止","断続")))</f>
        <v>停止</v>
      </c>
      <c r="K1451" s="30" t="n">
        <v>60</v>
      </c>
      <c r="L1451" s="30" t="n">
        <v>0</v>
      </c>
      <c r="M1451" s="30" t="str">
        <f aca="false">IF(K1451&lt;判定条件!$C$6,"判定不能",IF(L1451&gt;=判定条件!$C$7*K1451,"運転",IF(L1451&lt;=判定条件!$C$8*K1451,"停止","断続")))</f>
        <v>停止</v>
      </c>
      <c r="N1451" s="30" t="n">
        <v>60</v>
      </c>
      <c r="O1451" s="30" t="n">
        <v>0</v>
      </c>
      <c r="P1451" s="30" t="str">
        <f aca="false">IF(N1451&lt;判定条件!$C$6,"判定不能",IF(O1451&gt;=判定条件!$C$7*N1451,"運転",IF(O1451&lt;=判定条件!$C$8*N1451,"停止","断続")))</f>
        <v>停止</v>
      </c>
      <c r="Q1451" s="30" t="n">
        <v>60</v>
      </c>
      <c r="R1451" s="30" t="n">
        <v>0</v>
      </c>
      <c r="S1451" s="30" t="str">
        <f aca="false">IF(Q1451&lt;判定条件!$C$6,"判定不能",IF(R1451&gt;=判定条件!$C$7*Q1451,"運転",IF(R1451&lt;=判定条件!$C$8*Q1451,"停止","断続")))</f>
        <v>停止</v>
      </c>
      <c r="T1451" s="30" t="n">
        <v>60</v>
      </c>
      <c r="U1451" s="30" t="n">
        <v>0</v>
      </c>
      <c r="V1451" s="30" t="str">
        <f aca="false">IF(T1451&lt;判定条件!$C$6,"判定不能",IF(U1451&gt;=判定条件!$C$7*T1451,"運転",IF(U1451&lt;=判定条件!$C$8*T1451,"停止","断続")))</f>
        <v>停止</v>
      </c>
      <c r="W1451" s="30" t="n">
        <v>0</v>
      </c>
      <c r="X1451" s="30" t="n">
        <v>0</v>
      </c>
      <c r="Y1451" s="30" t="str">
        <f aca="false">IF(W1451&lt;判定条件!$C$6,"判定不能",IF(X1451&gt;=判定条件!$C$7*W1451,"運転",IF(X1451&lt;=判定条件!$C$8*W1451,"停止","断続")))</f>
        <v>判定不能</v>
      </c>
      <c r="Z1451" s="30" t="n">
        <v>0</v>
      </c>
      <c r="AA1451" s="30" t="n">
        <v>0</v>
      </c>
      <c r="AB1451" s="30" t="str">
        <f aca="false">IF(Z1451&lt;判定条件!$C$6,"判定不能",IF(AA1451&gt;=判定条件!$C$7*Z1451,"運転",IF(AA1451&lt;=判定条件!$C$8*Z1451,"停止","断続")))</f>
        <v>判定不能</v>
      </c>
      <c r="AC1451" s="30" t="n">
        <v>0</v>
      </c>
      <c r="AD1451" s="30" t="n">
        <v>0</v>
      </c>
      <c r="AE1451" s="30" t="str">
        <f aca="false">IF(AC1451&lt;判定条件!$C$6,"判定不能",IF(AD1451&gt;=判定条件!$C$7*AC1451,"運転",IF(AD1451&lt;=判定条件!$C$8*AC1451,"停止","断続")))</f>
        <v>判定不能</v>
      </c>
      <c r="AF1451" s="30" t="n">
        <v>60</v>
      </c>
      <c r="AG1451" s="30" t="n">
        <v>0</v>
      </c>
      <c r="AH1451" s="30" t="str">
        <f aca="false">IF(OR(P1451="判定不能",G1451="判定不能"),"判定不能",IF(AG1451&gt;=判定条件!$C$9,"利用可",IF(AND(P1451="停止",G1451="停止"),"両方停止","運転がそろわない")))</f>
        <v>両方停止</v>
      </c>
      <c r="AI1451" s="30" t="n">
        <v>60</v>
      </c>
      <c r="AJ1451" s="30" t="n">
        <v>0</v>
      </c>
      <c r="AK1451" s="30" t="str">
        <f aca="false">IF(OR(S1451="判定不能",J1451="判定不能"),"判定不能",IF(AJ1451&gt;=判定条件!$C$9,"利用可",IF(AND(S1451="停止",J1451="停止"),"両方停止","運転がそろわない")))</f>
        <v>両方停止</v>
      </c>
      <c r="AL1451" s="30" t="n">
        <v>60</v>
      </c>
      <c r="AM1451" s="30" t="n">
        <v>0</v>
      </c>
      <c r="AN1451" s="30" t="str">
        <f aca="false">IF(OR(V1451="判定不能",M1451="判定不能"),"判定不能",IF(AM1451&gt;=判定条件!$C$9,"利用可",IF(AND(V1451="停止",M1451="停止"),"両方停止","運転がそろわない")))</f>
        <v>両方停止</v>
      </c>
      <c r="AO1451" s="30" t="n">
        <v>0</v>
      </c>
      <c r="AP1451" s="30" t="n">
        <v>0</v>
      </c>
      <c r="AQ1451" s="30" t="str">
        <f aca="false">IF(OR(Y1451="判定不能",G1451="判定不能"),"判定不能",IF(AP1451&gt;=判定条件!$C$9,"利用可",IF(AND(Y1451="停止",G1451="停止"),"両方停止","運転がそろわない")))</f>
        <v>判定不能</v>
      </c>
      <c r="AR1451" s="30" t="n">
        <v>0</v>
      </c>
      <c r="AS1451" s="30" t="n">
        <v>0</v>
      </c>
      <c r="AT1451" s="30" t="str">
        <f aca="false">IF(OR(AB1451="判定不能",J1451="判定不能"),"判定不能",IF(AS1451&gt;=判定条件!$C$9,"利用可",IF(AND(AB1451="停止",J1451="停止"),"両方停止","運転がそろわない")))</f>
        <v>判定不能</v>
      </c>
      <c r="AU1451" s="30" t="n">
        <v>0</v>
      </c>
      <c r="AV1451" s="30" t="n">
        <v>0</v>
      </c>
      <c r="AW1451" s="30" t="str">
        <f aca="false">IF(OR(AE1451="判定不能",M1451="判定不能"),"判定不能",IF(AV1451&gt;=判定条件!$C$9,"利用可",IF(AND(AE1451="停止",M1451="停止"),"両方停止","運転がそろわない")))</f>
        <v>判定不能</v>
      </c>
      <c r="AX1451" s="30" t="str">
        <f aca="false">IF(AND(AH1451="利用可",AK1451="利用可",AN1451="利用可"),"利用可","不可")</f>
        <v>不可</v>
      </c>
      <c r="AY1451" s="30" t="str">
        <f aca="false">IF(AND(AQ1451="利用可",AT1451="利用可",AW1451="利用可"),"利用可","不可")</f>
        <v>不可</v>
      </c>
    </row>
    <row r="1452" customFormat="false" ht="15" hidden="false" customHeight="false" outlineLevel="0" collapsed="false">
      <c r="A1452" s="29" t="n">
        <v>46292</v>
      </c>
      <c r="B1452" s="30" t="n">
        <v>9</v>
      </c>
      <c r="C1452" s="31" t="s">
        <v>65</v>
      </c>
      <c r="D1452" s="31" t="s">
        <v>64</v>
      </c>
      <c r="E1452" s="30" t="n">
        <v>60</v>
      </c>
      <c r="F1452" s="30" t="n">
        <v>19</v>
      </c>
      <c r="G1452" s="30" t="str">
        <f aca="false">IF(E1452&lt;判定条件!$C$6,"判定不能",IF(F1452&gt;=判定条件!$C$7*E1452,"運転",IF(F1452&lt;=判定条件!$C$8*E1452,"停止","断続")))</f>
        <v>断続</v>
      </c>
      <c r="H1452" s="30" t="n">
        <v>60</v>
      </c>
      <c r="I1452" s="30" t="n">
        <v>41</v>
      </c>
      <c r="J1452" s="30" t="str">
        <f aca="false">IF(H1452&lt;判定条件!$C$6,"判定不能",IF(I1452&gt;=判定条件!$C$7*H1452,"運転",IF(I1452&lt;=判定条件!$C$8*H1452,"停止","断続")))</f>
        <v>断続</v>
      </c>
      <c r="K1452" s="30" t="n">
        <v>60</v>
      </c>
      <c r="L1452" s="30" t="n">
        <v>45</v>
      </c>
      <c r="M1452" s="30" t="str">
        <f aca="false">IF(K1452&lt;判定条件!$C$6,"判定不能",IF(L1452&gt;=判定条件!$C$7*K1452,"運転",IF(L1452&lt;=判定条件!$C$8*K1452,"停止","断続")))</f>
        <v>断続</v>
      </c>
      <c r="N1452" s="30" t="n">
        <v>60</v>
      </c>
      <c r="O1452" s="30" t="n">
        <v>0</v>
      </c>
      <c r="P1452" s="30" t="str">
        <f aca="false">IF(N1452&lt;判定条件!$C$6,"判定不能",IF(O1452&gt;=判定条件!$C$7*N1452,"運転",IF(O1452&lt;=判定条件!$C$8*N1452,"停止","断続")))</f>
        <v>停止</v>
      </c>
      <c r="Q1452" s="30" t="n">
        <v>60</v>
      </c>
      <c r="R1452" s="30" t="n">
        <v>28</v>
      </c>
      <c r="S1452" s="30" t="str">
        <f aca="false">IF(Q1452&lt;判定条件!$C$6,"判定不能",IF(R1452&gt;=判定条件!$C$7*Q1452,"運転",IF(R1452&lt;=判定条件!$C$8*Q1452,"停止","断続")))</f>
        <v>断続</v>
      </c>
      <c r="T1452" s="30" t="n">
        <v>60</v>
      </c>
      <c r="U1452" s="30" t="n">
        <v>40</v>
      </c>
      <c r="V1452" s="30" t="str">
        <f aca="false">IF(T1452&lt;判定条件!$C$6,"判定不能",IF(U1452&gt;=判定条件!$C$7*T1452,"運転",IF(U1452&lt;=判定条件!$C$8*T1452,"停止","断続")))</f>
        <v>断続</v>
      </c>
      <c r="W1452" s="30" t="n">
        <v>0</v>
      </c>
      <c r="X1452" s="30" t="n">
        <v>0</v>
      </c>
      <c r="Y1452" s="30" t="str">
        <f aca="false">IF(W1452&lt;判定条件!$C$6,"判定不能",IF(X1452&gt;=判定条件!$C$7*W1452,"運転",IF(X1452&lt;=判定条件!$C$8*W1452,"停止","断続")))</f>
        <v>判定不能</v>
      </c>
      <c r="Z1452" s="30" t="n">
        <v>0</v>
      </c>
      <c r="AA1452" s="30" t="n">
        <v>0</v>
      </c>
      <c r="AB1452" s="30" t="str">
        <f aca="false">IF(Z1452&lt;判定条件!$C$6,"判定不能",IF(AA1452&gt;=判定条件!$C$7*Z1452,"運転",IF(AA1452&lt;=判定条件!$C$8*Z1452,"停止","断続")))</f>
        <v>判定不能</v>
      </c>
      <c r="AC1452" s="30" t="n">
        <v>0</v>
      </c>
      <c r="AD1452" s="30" t="n">
        <v>0</v>
      </c>
      <c r="AE1452" s="30" t="str">
        <f aca="false">IF(AC1452&lt;判定条件!$C$6,"判定不能",IF(AD1452&gt;=判定条件!$C$7*AC1452,"運転",IF(AD1452&lt;=判定条件!$C$8*AC1452,"停止","断続")))</f>
        <v>判定不能</v>
      </c>
      <c r="AF1452" s="30" t="n">
        <v>60</v>
      </c>
      <c r="AG1452" s="30" t="n">
        <v>0</v>
      </c>
      <c r="AH1452" s="30" t="str">
        <f aca="false">IF(OR(P1452="判定不能",G1452="判定不能"),"判定不能",IF(AG1452&gt;=判定条件!$C$9,"利用可",IF(AND(P1452="停止",G1452="停止"),"両方停止","運転がそろわない")))</f>
        <v>運転がそろわない</v>
      </c>
      <c r="AI1452" s="30" t="n">
        <v>60</v>
      </c>
      <c r="AJ1452" s="30" t="n">
        <v>28</v>
      </c>
      <c r="AK1452" s="30" t="str">
        <f aca="false">IF(OR(S1452="判定不能",J1452="判定不能"),"判定不能",IF(AJ1452&gt;=判定条件!$C$9,"利用可",IF(AND(S1452="停止",J1452="停止"),"両方停止","運転がそろわない")))</f>
        <v>運転がそろわない</v>
      </c>
      <c r="AL1452" s="30" t="n">
        <v>60</v>
      </c>
      <c r="AM1452" s="30" t="n">
        <v>40</v>
      </c>
      <c r="AN1452" s="30" t="str">
        <f aca="false">IF(OR(V1452="判定不能",M1452="判定不能"),"判定不能",IF(AM1452&gt;=判定条件!$C$9,"利用可",IF(AND(V1452="停止",M1452="停止"),"両方停止","運転がそろわない")))</f>
        <v>利用可</v>
      </c>
      <c r="AO1452" s="30" t="n">
        <v>0</v>
      </c>
      <c r="AP1452" s="30" t="n">
        <v>0</v>
      </c>
      <c r="AQ1452" s="30" t="str">
        <f aca="false">IF(OR(Y1452="判定不能",G1452="判定不能"),"判定不能",IF(AP1452&gt;=判定条件!$C$9,"利用可",IF(AND(Y1452="停止",G1452="停止"),"両方停止","運転がそろわない")))</f>
        <v>判定不能</v>
      </c>
      <c r="AR1452" s="30" t="n">
        <v>0</v>
      </c>
      <c r="AS1452" s="30" t="n">
        <v>0</v>
      </c>
      <c r="AT1452" s="30" t="str">
        <f aca="false">IF(OR(AB1452="判定不能",J1452="判定不能"),"判定不能",IF(AS1452&gt;=判定条件!$C$9,"利用可",IF(AND(AB1452="停止",J1452="停止"),"両方停止","運転がそろわない")))</f>
        <v>判定不能</v>
      </c>
      <c r="AU1452" s="30" t="n">
        <v>0</v>
      </c>
      <c r="AV1452" s="30" t="n">
        <v>0</v>
      </c>
      <c r="AW1452" s="30" t="str">
        <f aca="false">IF(OR(AE1452="判定不能",M1452="判定不能"),"判定不能",IF(AV1452&gt;=判定条件!$C$9,"利用可",IF(AND(AE1452="停止",M1452="停止"),"両方停止","運転がそろわない")))</f>
        <v>判定不能</v>
      </c>
      <c r="AX1452" s="30" t="str">
        <f aca="false">IF(AND(AH1452="利用可",AK1452="利用可",AN1452="利用可"),"利用可","不可")</f>
        <v>不可</v>
      </c>
      <c r="AY1452" s="30" t="str">
        <f aca="false">IF(AND(AQ1452="利用可",AT1452="利用可",AW1452="利用可"),"利用可","不可")</f>
        <v>不可</v>
      </c>
    </row>
    <row r="1453" customFormat="false" ht="15" hidden="false" customHeight="false" outlineLevel="0" collapsed="false">
      <c r="A1453" s="29" t="n">
        <v>46292</v>
      </c>
      <c r="B1453" s="30" t="n">
        <v>10</v>
      </c>
      <c r="C1453" s="31" t="s">
        <v>65</v>
      </c>
      <c r="D1453" s="31" t="s">
        <v>64</v>
      </c>
      <c r="E1453" s="30" t="n">
        <v>60</v>
      </c>
      <c r="F1453" s="30" t="n">
        <v>0</v>
      </c>
      <c r="G1453" s="30" t="str">
        <f aca="false">IF(E1453&lt;判定条件!$C$6,"判定不能",IF(F1453&gt;=判定条件!$C$7*E1453,"運転",IF(F1453&lt;=判定条件!$C$8*E1453,"停止","断続")))</f>
        <v>停止</v>
      </c>
      <c r="H1453" s="30" t="n">
        <v>60</v>
      </c>
      <c r="I1453" s="30" t="n">
        <v>44</v>
      </c>
      <c r="J1453" s="30" t="str">
        <f aca="false">IF(H1453&lt;判定条件!$C$6,"判定不能",IF(I1453&gt;=判定条件!$C$7*H1453,"運転",IF(I1453&lt;=判定条件!$C$8*H1453,"停止","断続")))</f>
        <v>断続</v>
      </c>
      <c r="K1453" s="30" t="n">
        <v>60</v>
      </c>
      <c r="L1453" s="30" t="n">
        <v>60</v>
      </c>
      <c r="M1453" s="30" t="str">
        <f aca="false">IF(K1453&lt;判定条件!$C$6,"判定不能",IF(L1453&gt;=判定条件!$C$7*K1453,"運転",IF(L1453&lt;=判定条件!$C$8*K1453,"停止","断続")))</f>
        <v>運転</v>
      </c>
      <c r="N1453" s="30" t="n">
        <v>60</v>
      </c>
      <c r="O1453" s="30" t="n">
        <v>0</v>
      </c>
      <c r="P1453" s="30" t="str">
        <f aca="false">IF(N1453&lt;判定条件!$C$6,"判定不能",IF(O1453&gt;=判定条件!$C$7*N1453,"運転",IF(O1453&lt;=判定条件!$C$8*N1453,"停止","断続")))</f>
        <v>停止</v>
      </c>
      <c r="Q1453" s="30" t="n">
        <v>60</v>
      </c>
      <c r="R1453" s="30" t="n">
        <v>30</v>
      </c>
      <c r="S1453" s="30" t="str">
        <f aca="false">IF(Q1453&lt;判定条件!$C$6,"判定不能",IF(R1453&gt;=判定条件!$C$7*Q1453,"運転",IF(R1453&lt;=判定条件!$C$8*Q1453,"停止","断続")))</f>
        <v>断続</v>
      </c>
      <c r="T1453" s="30" t="n">
        <v>60</v>
      </c>
      <c r="U1453" s="30" t="n">
        <v>11</v>
      </c>
      <c r="V1453" s="30" t="str">
        <f aca="false">IF(T1453&lt;判定条件!$C$6,"判定不能",IF(U1453&gt;=判定条件!$C$7*T1453,"運転",IF(U1453&lt;=判定条件!$C$8*T1453,"停止","断続")))</f>
        <v>停止</v>
      </c>
      <c r="W1453" s="30" t="n">
        <v>0</v>
      </c>
      <c r="X1453" s="30" t="n">
        <v>0</v>
      </c>
      <c r="Y1453" s="30" t="str">
        <f aca="false">IF(W1453&lt;判定条件!$C$6,"判定不能",IF(X1453&gt;=判定条件!$C$7*W1453,"運転",IF(X1453&lt;=判定条件!$C$8*W1453,"停止","断続")))</f>
        <v>判定不能</v>
      </c>
      <c r="Z1453" s="30" t="n">
        <v>0</v>
      </c>
      <c r="AA1453" s="30" t="n">
        <v>0</v>
      </c>
      <c r="AB1453" s="30" t="str">
        <f aca="false">IF(Z1453&lt;判定条件!$C$6,"判定不能",IF(AA1453&gt;=判定条件!$C$7*Z1453,"運転",IF(AA1453&lt;=判定条件!$C$8*Z1453,"停止","断続")))</f>
        <v>判定不能</v>
      </c>
      <c r="AC1453" s="30" t="n">
        <v>0</v>
      </c>
      <c r="AD1453" s="30" t="n">
        <v>0</v>
      </c>
      <c r="AE1453" s="30" t="str">
        <f aca="false">IF(AC1453&lt;判定条件!$C$6,"判定不能",IF(AD1453&gt;=判定条件!$C$7*AC1453,"運転",IF(AD1453&lt;=判定条件!$C$8*AC1453,"停止","断続")))</f>
        <v>判定不能</v>
      </c>
      <c r="AF1453" s="30" t="n">
        <v>60</v>
      </c>
      <c r="AG1453" s="30" t="n">
        <v>0</v>
      </c>
      <c r="AH1453" s="30" t="str">
        <f aca="false">IF(OR(P1453="判定不能",G1453="判定不能"),"判定不能",IF(AG1453&gt;=判定条件!$C$9,"利用可",IF(AND(P1453="停止",G1453="停止"),"両方停止","運転がそろわない")))</f>
        <v>両方停止</v>
      </c>
      <c r="AI1453" s="30" t="n">
        <v>60</v>
      </c>
      <c r="AJ1453" s="30" t="n">
        <v>29</v>
      </c>
      <c r="AK1453" s="30" t="str">
        <f aca="false">IF(OR(S1453="判定不能",J1453="判定不能"),"判定不能",IF(AJ1453&gt;=判定条件!$C$9,"利用可",IF(AND(S1453="停止",J1453="停止"),"両方停止","運転がそろわない")))</f>
        <v>運転がそろわない</v>
      </c>
      <c r="AL1453" s="30" t="n">
        <v>60</v>
      </c>
      <c r="AM1453" s="30" t="n">
        <v>11</v>
      </c>
      <c r="AN1453" s="30" t="str">
        <f aca="false">IF(OR(V1453="判定不能",M1453="判定不能"),"判定不能",IF(AM1453&gt;=判定条件!$C$9,"利用可",IF(AND(V1453="停止",M1453="停止"),"両方停止","運転がそろわない")))</f>
        <v>運転がそろわない</v>
      </c>
      <c r="AO1453" s="30" t="n">
        <v>0</v>
      </c>
      <c r="AP1453" s="30" t="n">
        <v>0</v>
      </c>
      <c r="AQ1453" s="30" t="str">
        <f aca="false">IF(OR(Y1453="判定不能",G1453="判定不能"),"判定不能",IF(AP1453&gt;=判定条件!$C$9,"利用可",IF(AND(Y1453="停止",G1453="停止"),"両方停止","運転がそろわない")))</f>
        <v>判定不能</v>
      </c>
      <c r="AR1453" s="30" t="n">
        <v>0</v>
      </c>
      <c r="AS1453" s="30" t="n">
        <v>0</v>
      </c>
      <c r="AT1453" s="30" t="str">
        <f aca="false">IF(OR(AB1453="判定不能",J1453="判定不能"),"判定不能",IF(AS1453&gt;=判定条件!$C$9,"利用可",IF(AND(AB1453="停止",J1453="停止"),"両方停止","運転がそろわない")))</f>
        <v>判定不能</v>
      </c>
      <c r="AU1453" s="30" t="n">
        <v>0</v>
      </c>
      <c r="AV1453" s="30" t="n">
        <v>0</v>
      </c>
      <c r="AW1453" s="30" t="str">
        <f aca="false">IF(OR(AE1453="判定不能",M1453="判定不能"),"判定不能",IF(AV1453&gt;=判定条件!$C$9,"利用可",IF(AND(AE1453="停止",M1453="停止"),"両方停止","運転がそろわない")))</f>
        <v>判定不能</v>
      </c>
      <c r="AX1453" s="30" t="str">
        <f aca="false">IF(AND(AH1453="利用可",AK1453="利用可",AN1453="利用可"),"利用可","不可")</f>
        <v>不可</v>
      </c>
      <c r="AY1453" s="30" t="str">
        <f aca="false">IF(AND(AQ1453="利用可",AT1453="利用可",AW1453="利用可"),"利用可","不可")</f>
        <v>不可</v>
      </c>
    </row>
    <row r="1454" customFormat="false" ht="15" hidden="false" customHeight="false" outlineLevel="0" collapsed="false">
      <c r="A1454" s="29" t="n">
        <v>46292</v>
      </c>
      <c r="B1454" s="30" t="n">
        <v>11</v>
      </c>
      <c r="C1454" s="31" t="s">
        <v>65</v>
      </c>
      <c r="D1454" s="31" t="s">
        <v>64</v>
      </c>
      <c r="E1454" s="30" t="n">
        <v>60</v>
      </c>
      <c r="F1454" s="30" t="n">
        <v>0</v>
      </c>
      <c r="G1454" s="30" t="str">
        <f aca="false">IF(E1454&lt;判定条件!$C$6,"判定不能",IF(F1454&gt;=判定条件!$C$7*E1454,"運転",IF(F1454&lt;=判定条件!$C$8*E1454,"停止","断続")))</f>
        <v>停止</v>
      </c>
      <c r="H1454" s="30" t="n">
        <v>60</v>
      </c>
      <c r="I1454" s="30" t="n">
        <v>41</v>
      </c>
      <c r="J1454" s="30" t="str">
        <f aca="false">IF(H1454&lt;判定条件!$C$6,"判定不能",IF(I1454&gt;=判定条件!$C$7*H1454,"運転",IF(I1454&lt;=判定条件!$C$8*H1454,"停止","断続")))</f>
        <v>断続</v>
      </c>
      <c r="K1454" s="30" t="n">
        <v>60</v>
      </c>
      <c r="L1454" s="30" t="n">
        <v>60</v>
      </c>
      <c r="M1454" s="30" t="str">
        <f aca="false">IF(K1454&lt;判定条件!$C$6,"判定不能",IF(L1454&gt;=判定条件!$C$7*K1454,"運転",IF(L1454&lt;=判定条件!$C$8*K1454,"停止","断続")))</f>
        <v>運転</v>
      </c>
      <c r="N1454" s="30" t="n">
        <v>60</v>
      </c>
      <c r="O1454" s="30" t="n">
        <v>0</v>
      </c>
      <c r="P1454" s="30" t="str">
        <f aca="false">IF(N1454&lt;判定条件!$C$6,"判定不能",IF(O1454&gt;=判定条件!$C$7*N1454,"運転",IF(O1454&lt;=判定条件!$C$8*N1454,"停止","断続")))</f>
        <v>停止</v>
      </c>
      <c r="Q1454" s="30" t="n">
        <v>60</v>
      </c>
      <c r="R1454" s="30" t="n">
        <v>38</v>
      </c>
      <c r="S1454" s="30" t="str">
        <f aca="false">IF(Q1454&lt;判定条件!$C$6,"判定不能",IF(R1454&gt;=判定条件!$C$7*Q1454,"運転",IF(R1454&lt;=判定条件!$C$8*Q1454,"停止","断続")))</f>
        <v>断続</v>
      </c>
      <c r="T1454" s="30" t="n">
        <v>60</v>
      </c>
      <c r="U1454" s="30" t="n">
        <v>30</v>
      </c>
      <c r="V1454" s="30" t="str">
        <f aca="false">IF(T1454&lt;判定条件!$C$6,"判定不能",IF(U1454&gt;=判定条件!$C$7*T1454,"運転",IF(U1454&lt;=判定条件!$C$8*T1454,"停止","断続")))</f>
        <v>断続</v>
      </c>
      <c r="W1454" s="30" t="n">
        <v>0</v>
      </c>
      <c r="X1454" s="30" t="n">
        <v>0</v>
      </c>
      <c r="Y1454" s="30" t="str">
        <f aca="false">IF(W1454&lt;判定条件!$C$6,"判定不能",IF(X1454&gt;=判定条件!$C$7*W1454,"運転",IF(X1454&lt;=判定条件!$C$8*W1454,"停止","断続")))</f>
        <v>判定不能</v>
      </c>
      <c r="Z1454" s="30" t="n">
        <v>0</v>
      </c>
      <c r="AA1454" s="30" t="n">
        <v>0</v>
      </c>
      <c r="AB1454" s="30" t="str">
        <f aca="false">IF(Z1454&lt;判定条件!$C$6,"判定不能",IF(AA1454&gt;=判定条件!$C$7*Z1454,"運転",IF(AA1454&lt;=判定条件!$C$8*Z1454,"停止","断続")))</f>
        <v>判定不能</v>
      </c>
      <c r="AC1454" s="30" t="n">
        <v>0</v>
      </c>
      <c r="AD1454" s="30" t="n">
        <v>0</v>
      </c>
      <c r="AE1454" s="30" t="str">
        <f aca="false">IF(AC1454&lt;判定条件!$C$6,"判定不能",IF(AD1454&gt;=判定条件!$C$7*AC1454,"運転",IF(AD1454&lt;=判定条件!$C$8*AC1454,"停止","断続")))</f>
        <v>判定不能</v>
      </c>
      <c r="AF1454" s="30" t="n">
        <v>60</v>
      </c>
      <c r="AG1454" s="30" t="n">
        <v>0</v>
      </c>
      <c r="AH1454" s="30" t="str">
        <f aca="false">IF(OR(P1454="判定不能",G1454="判定不能"),"判定不能",IF(AG1454&gt;=判定条件!$C$9,"利用可",IF(AND(P1454="停止",G1454="停止"),"両方停止","運転がそろわない")))</f>
        <v>両方停止</v>
      </c>
      <c r="AI1454" s="30" t="n">
        <v>60</v>
      </c>
      <c r="AJ1454" s="30" t="n">
        <v>34</v>
      </c>
      <c r="AK1454" s="30" t="str">
        <f aca="false">IF(OR(S1454="判定不能",J1454="判定不能"),"判定不能",IF(AJ1454&gt;=判定条件!$C$9,"利用可",IF(AND(S1454="停止",J1454="停止"),"両方停止","運転がそろわない")))</f>
        <v>利用可</v>
      </c>
      <c r="AL1454" s="30" t="n">
        <v>60</v>
      </c>
      <c r="AM1454" s="30" t="n">
        <v>30</v>
      </c>
      <c r="AN1454" s="30" t="str">
        <f aca="false">IF(OR(V1454="判定不能",M1454="判定不能"),"判定不能",IF(AM1454&gt;=判定条件!$C$9,"利用可",IF(AND(V1454="停止",M1454="停止"),"両方停止","運転がそろわない")))</f>
        <v>利用可</v>
      </c>
      <c r="AO1454" s="30" t="n">
        <v>0</v>
      </c>
      <c r="AP1454" s="30" t="n">
        <v>0</v>
      </c>
      <c r="AQ1454" s="30" t="str">
        <f aca="false">IF(OR(Y1454="判定不能",G1454="判定不能"),"判定不能",IF(AP1454&gt;=判定条件!$C$9,"利用可",IF(AND(Y1454="停止",G1454="停止"),"両方停止","運転がそろわない")))</f>
        <v>判定不能</v>
      </c>
      <c r="AR1454" s="30" t="n">
        <v>0</v>
      </c>
      <c r="AS1454" s="30" t="n">
        <v>0</v>
      </c>
      <c r="AT1454" s="30" t="str">
        <f aca="false">IF(OR(AB1454="判定不能",J1454="判定不能"),"判定不能",IF(AS1454&gt;=判定条件!$C$9,"利用可",IF(AND(AB1454="停止",J1454="停止"),"両方停止","運転がそろわない")))</f>
        <v>判定不能</v>
      </c>
      <c r="AU1454" s="30" t="n">
        <v>0</v>
      </c>
      <c r="AV1454" s="30" t="n">
        <v>0</v>
      </c>
      <c r="AW1454" s="30" t="str">
        <f aca="false">IF(OR(AE1454="判定不能",M1454="判定不能"),"判定不能",IF(AV1454&gt;=判定条件!$C$9,"利用可",IF(AND(AE1454="停止",M1454="停止"),"両方停止","運転がそろわない")))</f>
        <v>判定不能</v>
      </c>
      <c r="AX1454" s="30" t="str">
        <f aca="false">IF(AND(AH1454="利用可",AK1454="利用可",AN1454="利用可"),"利用可","不可")</f>
        <v>不可</v>
      </c>
      <c r="AY1454" s="30" t="str">
        <f aca="false">IF(AND(AQ1454="利用可",AT1454="利用可",AW1454="利用可"),"利用可","不可")</f>
        <v>不可</v>
      </c>
    </row>
    <row r="1455" customFormat="false" ht="15" hidden="false" customHeight="false" outlineLevel="0" collapsed="false">
      <c r="A1455" s="29" t="n">
        <v>46292</v>
      </c>
      <c r="B1455" s="30" t="n">
        <v>12</v>
      </c>
      <c r="C1455" s="31" t="s">
        <v>65</v>
      </c>
      <c r="D1455" s="31" t="s">
        <v>64</v>
      </c>
      <c r="E1455" s="30" t="n">
        <v>60</v>
      </c>
      <c r="F1455" s="30" t="n">
        <v>8</v>
      </c>
      <c r="G1455" s="30" t="str">
        <f aca="false">IF(E1455&lt;判定条件!$C$6,"判定不能",IF(F1455&gt;=判定条件!$C$7*E1455,"運転",IF(F1455&lt;=判定条件!$C$8*E1455,"停止","断続")))</f>
        <v>停止</v>
      </c>
      <c r="H1455" s="30" t="n">
        <v>60</v>
      </c>
      <c r="I1455" s="30" t="n">
        <v>60</v>
      </c>
      <c r="J1455" s="30" t="str">
        <f aca="false">IF(H1455&lt;判定条件!$C$6,"判定不能",IF(I1455&gt;=判定条件!$C$7*H1455,"運転",IF(I1455&lt;=判定条件!$C$8*H1455,"停止","断続")))</f>
        <v>運転</v>
      </c>
      <c r="K1455" s="30" t="n">
        <v>60</v>
      </c>
      <c r="L1455" s="30" t="n">
        <v>49</v>
      </c>
      <c r="M1455" s="30" t="str">
        <f aca="false">IF(K1455&lt;判定条件!$C$6,"判定不能",IF(L1455&gt;=判定条件!$C$7*K1455,"運転",IF(L1455&lt;=判定条件!$C$8*K1455,"停止","断続")))</f>
        <v>運転</v>
      </c>
      <c r="N1455" s="30" t="n">
        <v>60</v>
      </c>
      <c r="O1455" s="30" t="n">
        <v>15</v>
      </c>
      <c r="P1455" s="30" t="str">
        <f aca="false">IF(N1455&lt;判定条件!$C$6,"判定不能",IF(O1455&gt;=判定条件!$C$7*N1455,"運転",IF(O1455&lt;=判定条件!$C$8*N1455,"停止","断続")))</f>
        <v>断続</v>
      </c>
      <c r="Q1455" s="30" t="n">
        <v>60</v>
      </c>
      <c r="R1455" s="30" t="n">
        <v>60</v>
      </c>
      <c r="S1455" s="30" t="str">
        <f aca="false">IF(Q1455&lt;判定条件!$C$6,"判定不能",IF(R1455&gt;=判定条件!$C$7*Q1455,"運転",IF(R1455&lt;=判定条件!$C$8*Q1455,"停止","断続")))</f>
        <v>運転</v>
      </c>
      <c r="T1455" s="30" t="n">
        <v>60</v>
      </c>
      <c r="U1455" s="30" t="n">
        <v>60</v>
      </c>
      <c r="V1455" s="30" t="str">
        <f aca="false">IF(T1455&lt;判定条件!$C$6,"判定不能",IF(U1455&gt;=判定条件!$C$7*T1455,"運転",IF(U1455&lt;=判定条件!$C$8*T1455,"停止","断続")))</f>
        <v>運転</v>
      </c>
      <c r="W1455" s="30" t="n">
        <v>0</v>
      </c>
      <c r="X1455" s="30" t="n">
        <v>0</v>
      </c>
      <c r="Y1455" s="30" t="str">
        <f aca="false">IF(W1455&lt;判定条件!$C$6,"判定不能",IF(X1455&gt;=判定条件!$C$7*W1455,"運転",IF(X1455&lt;=判定条件!$C$8*W1455,"停止","断続")))</f>
        <v>判定不能</v>
      </c>
      <c r="Z1455" s="30" t="n">
        <v>0</v>
      </c>
      <c r="AA1455" s="30" t="n">
        <v>0</v>
      </c>
      <c r="AB1455" s="30" t="str">
        <f aca="false">IF(Z1455&lt;判定条件!$C$6,"判定不能",IF(AA1455&gt;=判定条件!$C$7*Z1455,"運転",IF(AA1455&lt;=判定条件!$C$8*Z1455,"停止","断続")))</f>
        <v>判定不能</v>
      </c>
      <c r="AC1455" s="30" t="n">
        <v>0</v>
      </c>
      <c r="AD1455" s="30" t="n">
        <v>0</v>
      </c>
      <c r="AE1455" s="30" t="str">
        <f aca="false">IF(AC1455&lt;判定条件!$C$6,"判定不能",IF(AD1455&gt;=判定条件!$C$7*AC1455,"運転",IF(AD1455&lt;=判定条件!$C$8*AC1455,"停止","断続")))</f>
        <v>判定不能</v>
      </c>
      <c r="AF1455" s="30" t="n">
        <v>60</v>
      </c>
      <c r="AG1455" s="30" t="n">
        <v>0</v>
      </c>
      <c r="AH1455" s="30" t="str">
        <f aca="false">IF(OR(P1455="判定不能",G1455="判定不能"),"判定不能",IF(AG1455&gt;=判定条件!$C$9,"利用可",IF(AND(P1455="停止",G1455="停止"),"両方停止","運転がそろわない")))</f>
        <v>運転がそろわない</v>
      </c>
      <c r="AI1455" s="30" t="n">
        <v>60</v>
      </c>
      <c r="AJ1455" s="30" t="n">
        <v>60</v>
      </c>
      <c r="AK1455" s="30" t="str">
        <f aca="false">IF(OR(S1455="判定不能",J1455="判定不能"),"判定不能",IF(AJ1455&gt;=判定条件!$C$9,"利用可",IF(AND(S1455="停止",J1455="停止"),"両方停止","運転がそろわない")))</f>
        <v>利用可</v>
      </c>
      <c r="AL1455" s="30" t="n">
        <v>60</v>
      </c>
      <c r="AM1455" s="30" t="n">
        <v>49</v>
      </c>
      <c r="AN1455" s="30" t="str">
        <f aca="false">IF(OR(V1455="判定不能",M1455="判定不能"),"判定不能",IF(AM1455&gt;=判定条件!$C$9,"利用可",IF(AND(V1455="停止",M1455="停止"),"両方停止","運転がそろわない")))</f>
        <v>利用可</v>
      </c>
      <c r="AO1455" s="30" t="n">
        <v>0</v>
      </c>
      <c r="AP1455" s="30" t="n">
        <v>0</v>
      </c>
      <c r="AQ1455" s="30" t="str">
        <f aca="false">IF(OR(Y1455="判定不能",G1455="判定不能"),"判定不能",IF(AP1455&gt;=判定条件!$C$9,"利用可",IF(AND(Y1455="停止",G1455="停止"),"両方停止","運転がそろわない")))</f>
        <v>判定不能</v>
      </c>
      <c r="AR1455" s="30" t="n">
        <v>0</v>
      </c>
      <c r="AS1455" s="30" t="n">
        <v>0</v>
      </c>
      <c r="AT1455" s="30" t="str">
        <f aca="false">IF(OR(AB1455="判定不能",J1455="判定不能"),"判定不能",IF(AS1455&gt;=判定条件!$C$9,"利用可",IF(AND(AB1455="停止",J1455="停止"),"両方停止","運転がそろわない")))</f>
        <v>判定不能</v>
      </c>
      <c r="AU1455" s="30" t="n">
        <v>0</v>
      </c>
      <c r="AV1455" s="30" t="n">
        <v>0</v>
      </c>
      <c r="AW1455" s="30" t="str">
        <f aca="false">IF(OR(AE1455="判定不能",M1455="判定不能"),"判定不能",IF(AV1455&gt;=判定条件!$C$9,"利用可",IF(AND(AE1455="停止",M1455="停止"),"両方停止","運転がそろわない")))</f>
        <v>判定不能</v>
      </c>
      <c r="AX1455" s="30" t="str">
        <f aca="false">IF(AND(AH1455="利用可",AK1455="利用可",AN1455="利用可"),"利用可","不可")</f>
        <v>不可</v>
      </c>
      <c r="AY1455" s="30" t="str">
        <f aca="false">IF(AND(AQ1455="利用可",AT1455="利用可",AW1455="利用可"),"利用可","不可")</f>
        <v>不可</v>
      </c>
    </row>
    <row r="1456" customFormat="false" ht="15" hidden="false" customHeight="false" outlineLevel="0" collapsed="false">
      <c r="A1456" s="29" t="n">
        <v>46292</v>
      </c>
      <c r="B1456" s="30" t="n">
        <v>13</v>
      </c>
      <c r="C1456" s="31" t="s">
        <v>65</v>
      </c>
      <c r="D1456" s="31" t="s">
        <v>64</v>
      </c>
      <c r="E1456" s="30" t="n">
        <v>60</v>
      </c>
      <c r="F1456" s="30" t="n">
        <v>0</v>
      </c>
      <c r="G1456" s="30" t="str">
        <f aca="false">IF(E1456&lt;判定条件!$C$6,"判定不能",IF(F1456&gt;=判定条件!$C$7*E1456,"運転",IF(F1456&lt;=判定条件!$C$8*E1456,"停止","断続")))</f>
        <v>停止</v>
      </c>
      <c r="H1456" s="30" t="n">
        <v>60</v>
      </c>
      <c r="I1456" s="30" t="n">
        <v>60</v>
      </c>
      <c r="J1456" s="30" t="str">
        <f aca="false">IF(H1456&lt;判定条件!$C$6,"判定不能",IF(I1456&gt;=判定条件!$C$7*H1456,"運転",IF(I1456&lt;=判定条件!$C$8*H1456,"停止","断続")))</f>
        <v>運転</v>
      </c>
      <c r="K1456" s="30" t="n">
        <v>60</v>
      </c>
      <c r="L1456" s="30" t="n">
        <v>60</v>
      </c>
      <c r="M1456" s="30" t="str">
        <f aca="false">IF(K1456&lt;判定条件!$C$6,"判定不能",IF(L1456&gt;=判定条件!$C$7*K1456,"運転",IF(L1456&lt;=判定条件!$C$8*K1456,"停止","断続")))</f>
        <v>運転</v>
      </c>
      <c r="N1456" s="30" t="n">
        <v>60</v>
      </c>
      <c r="O1456" s="30" t="n">
        <v>36</v>
      </c>
      <c r="P1456" s="30" t="str">
        <f aca="false">IF(N1456&lt;判定条件!$C$6,"判定不能",IF(O1456&gt;=判定条件!$C$7*N1456,"運転",IF(O1456&lt;=判定条件!$C$8*N1456,"停止","断続")))</f>
        <v>断続</v>
      </c>
      <c r="Q1456" s="30" t="n">
        <v>60</v>
      </c>
      <c r="R1456" s="30" t="n">
        <v>45</v>
      </c>
      <c r="S1456" s="30" t="str">
        <f aca="false">IF(Q1456&lt;判定条件!$C$6,"判定不能",IF(R1456&gt;=判定条件!$C$7*Q1456,"運転",IF(R1456&lt;=判定条件!$C$8*Q1456,"停止","断続")))</f>
        <v>断続</v>
      </c>
      <c r="T1456" s="30" t="n">
        <v>60</v>
      </c>
      <c r="U1456" s="30" t="n">
        <v>33</v>
      </c>
      <c r="V1456" s="30" t="str">
        <f aca="false">IF(T1456&lt;判定条件!$C$6,"判定不能",IF(U1456&gt;=判定条件!$C$7*T1456,"運転",IF(U1456&lt;=判定条件!$C$8*T1456,"停止","断続")))</f>
        <v>断続</v>
      </c>
      <c r="W1456" s="30" t="n">
        <v>0</v>
      </c>
      <c r="X1456" s="30" t="n">
        <v>0</v>
      </c>
      <c r="Y1456" s="30" t="str">
        <f aca="false">IF(W1456&lt;判定条件!$C$6,"判定不能",IF(X1456&gt;=判定条件!$C$7*W1456,"運転",IF(X1456&lt;=判定条件!$C$8*W1456,"停止","断続")))</f>
        <v>判定不能</v>
      </c>
      <c r="Z1456" s="30" t="n">
        <v>0</v>
      </c>
      <c r="AA1456" s="30" t="n">
        <v>0</v>
      </c>
      <c r="AB1456" s="30" t="str">
        <f aca="false">IF(Z1456&lt;判定条件!$C$6,"判定不能",IF(AA1456&gt;=判定条件!$C$7*Z1456,"運転",IF(AA1456&lt;=判定条件!$C$8*Z1456,"停止","断続")))</f>
        <v>判定不能</v>
      </c>
      <c r="AC1456" s="30" t="n">
        <v>0</v>
      </c>
      <c r="AD1456" s="30" t="n">
        <v>0</v>
      </c>
      <c r="AE1456" s="30" t="str">
        <f aca="false">IF(AC1456&lt;判定条件!$C$6,"判定不能",IF(AD1456&gt;=判定条件!$C$7*AC1456,"運転",IF(AD1456&lt;=判定条件!$C$8*AC1456,"停止","断続")))</f>
        <v>判定不能</v>
      </c>
      <c r="AF1456" s="30" t="n">
        <v>60</v>
      </c>
      <c r="AG1456" s="30" t="n">
        <v>0</v>
      </c>
      <c r="AH1456" s="30" t="str">
        <f aca="false">IF(OR(P1456="判定不能",G1456="判定不能"),"判定不能",IF(AG1456&gt;=判定条件!$C$9,"利用可",IF(AND(P1456="停止",G1456="停止"),"両方停止","運転がそろわない")))</f>
        <v>運転がそろわない</v>
      </c>
      <c r="AI1456" s="30" t="n">
        <v>60</v>
      </c>
      <c r="AJ1456" s="30" t="n">
        <v>45</v>
      </c>
      <c r="AK1456" s="30" t="str">
        <f aca="false">IF(OR(S1456="判定不能",J1456="判定不能"),"判定不能",IF(AJ1456&gt;=判定条件!$C$9,"利用可",IF(AND(S1456="停止",J1456="停止"),"両方停止","運転がそろわない")))</f>
        <v>利用可</v>
      </c>
      <c r="AL1456" s="30" t="n">
        <v>60</v>
      </c>
      <c r="AM1456" s="30" t="n">
        <v>33</v>
      </c>
      <c r="AN1456" s="30" t="str">
        <f aca="false">IF(OR(V1456="判定不能",M1456="判定不能"),"判定不能",IF(AM1456&gt;=判定条件!$C$9,"利用可",IF(AND(V1456="停止",M1456="停止"),"両方停止","運転がそろわない")))</f>
        <v>利用可</v>
      </c>
      <c r="AO1456" s="30" t="n">
        <v>0</v>
      </c>
      <c r="AP1456" s="30" t="n">
        <v>0</v>
      </c>
      <c r="AQ1456" s="30" t="str">
        <f aca="false">IF(OR(Y1456="判定不能",G1456="判定不能"),"判定不能",IF(AP1456&gt;=判定条件!$C$9,"利用可",IF(AND(Y1456="停止",G1456="停止"),"両方停止","運転がそろわない")))</f>
        <v>判定不能</v>
      </c>
      <c r="AR1456" s="30" t="n">
        <v>0</v>
      </c>
      <c r="AS1456" s="30" t="n">
        <v>0</v>
      </c>
      <c r="AT1456" s="30" t="str">
        <f aca="false">IF(OR(AB1456="判定不能",J1456="判定不能"),"判定不能",IF(AS1456&gt;=判定条件!$C$9,"利用可",IF(AND(AB1456="停止",J1456="停止"),"両方停止","運転がそろわない")))</f>
        <v>判定不能</v>
      </c>
      <c r="AU1456" s="30" t="n">
        <v>0</v>
      </c>
      <c r="AV1456" s="30" t="n">
        <v>0</v>
      </c>
      <c r="AW1456" s="30" t="str">
        <f aca="false">IF(OR(AE1456="判定不能",M1456="判定不能"),"判定不能",IF(AV1456&gt;=判定条件!$C$9,"利用可",IF(AND(AE1456="停止",M1456="停止"),"両方停止","運転がそろわない")))</f>
        <v>判定不能</v>
      </c>
      <c r="AX1456" s="30" t="str">
        <f aca="false">IF(AND(AH1456="利用可",AK1456="利用可",AN1456="利用可"),"利用可","不可")</f>
        <v>不可</v>
      </c>
      <c r="AY1456" s="30" t="str">
        <f aca="false">IF(AND(AQ1456="利用可",AT1456="利用可",AW1456="利用可"),"利用可","不可")</f>
        <v>不可</v>
      </c>
    </row>
    <row r="1457" customFormat="false" ht="15" hidden="false" customHeight="false" outlineLevel="0" collapsed="false">
      <c r="A1457" s="29" t="n">
        <v>46292</v>
      </c>
      <c r="B1457" s="30" t="n">
        <v>14</v>
      </c>
      <c r="C1457" s="31" t="s">
        <v>65</v>
      </c>
      <c r="D1457" s="31" t="s">
        <v>64</v>
      </c>
      <c r="E1457" s="30" t="n">
        <v>60</v>
      </c>
      <c r="F1457" s="30" t="n">
        <v>34</v>
      </c>
      <c r="G1457" s="30" t="str">
        <f aca="false">IF(E1457&lt;判定条件!$C$6,"判定不能",IF(F1457&gt;=判定条件!$C$7*E1457,"運転",IF(F1457&lt;=判定条件!$C$8*E1457,"停止","断続")))</f>
        <v>断続</v>
      </c>
      <c r="H1457" s="30" t="n">
        <v>60</v>
      </c>
      <c r="I1457" s="30" t="n">
        <v>44</v>
      </c>
      <c r="J1457" s="30" t="str">
        <f aca="false">IF(H1457&lt;判定条件!$C$6,"判定不能",IF(I1457&gt;=判定条件!$C$7*H1457,"運転",IF(I1457&lt;=判定条件!$C$8*H1457,"停止","断続")))</f>
        <v>断続</v>
      </c>
      <c r="K1457" s="30" t="n">
        <v>60</v>
      </c>
      <c r="L1457" s="30" t="n">
        <v>60</v>
      </c>
      <c r="M1457" s="30" t="str">
        <f aca="false">IF(K1457&lt;判定条件!$C$6,"判定不能",IF(L1457&gt;=判定条件!$C$7*K1457,"運転",IF(L1457&lt;=判定条件!$C$8*K1457,"停止","断続")))</f>
        <v>運転</v>
      </c>
      <c r="N1457" s="30" t="n">
        <v>60</v>
      </c>
      <c r="O1457" s="30" t="n">
        <v>47</v>
      </c>
      <c r="P1457" s="30" t="str">
        <f aca="false">IF(N1457&lt;判定条件!$C$6,"判定不能",IF(O1457&gt;=判定条件!$C$7*N1457,"運転",IF(O1457&lt;=判定条件!$C$8*N1457,"停止","断続")))</f>
        <v>断続</v>
      </c>
      <c r="Q1457" s="30" t="n">
        <v>60</v>
      </c>
      <c r="R1457" s="30" t="n">
        <v>44</v>
      </c>
      <c r="S1457" s="30" t="str">
        <f aca="false">IF(Q1457&lt;判定条件!$C$6,"判定不能",IF(R1457&gt;=判定条件!$C$7*Q1457,"運転",IF(R1457&lt;=判定条件!$C$8*Q1457,"停止","断続")))</f>
        <v>断続</v>
      </c>
      <c r="T1457" s="30" t="n">
        <v>60</v>
      </c>
      <c r="U1457" s="30" t="n">
        <v>27</v>
      </c>
      <c r="V1457" s="30" t="str">
        <f aca="false">IF(T1457&lt;判定条件!$C$6,"判定不能",IF(U1457&gt;=判定条件!$C$7*T1457,"運転",IF(U1457&lt;=判定条件!$C$8*T1457,"停止","断続")))</f>
        <v>断続</v>
      </c>
      <c r="W1457" s="30" t="n">
        <v>0</v>
      </c>
      <c r="X1457" s="30" t="n">
        <v>0</v>
      </c>
      <c r="Y1457" s="30" t="str">
        <f aca="false">IF(W1457&lt;判定条件!$C$6,"判定不能",IF(X1457&gt;=判定条件!$C$7*W1457,"運転",IF(X1457&lt;=判定条件!$C$8*W1457,"停止","断続")))</f>
        <v>判定不能</v>
      </c>
      <c r="Z1457" s="30" t="n">
        <v>0</v>
      </c>
      <c r="AA1457" s="30" t="n">
        <v>0</v>
      </c>
      <c r="AB1457" s="30" t="str">
        <f aca="false">IF(Z1457&lt;判定条件!$C$6,"判定不能",IF(AA1457&gt;=判定条件!$C$7*Z1457,"運転",IF(AA1457&lt;=判定条件!$C$8*Z1457,"停止","断続")))</f>
        <v>判定不能</v>
      </c>
      <c r="AC1457" s="30" t="n">
        <v>0</v>
      </c>
      <c r="AD1457" s="30" t="n">
        <v>0</v>
      </c>
      <c r="AE1457" s="30" t="str">
        <f aca="false">IF(AC1457&lt;判定条件!$C$6,"判定不能",IF(AD1457&gt;=判定条件!$C$7*AC1457,"運転",IF(AD1457&lt;=判定条件!$C$8*AC1457,"停止","断続")))</f>
        <v>判定不能</v>
      </c>
      <c r="AF1457" s="30" t="n">
        <v>60</v>
      </c>
      <c r="AG1457" s="30" t="n">
        <v>34</v>
      </c>
      <c r="AH1457" s="30" t="str">
        <f aca="false">IF(OR(P1457="判定不能",G1457="判定不能"),"判定不能",IF(AG1457&gt;=判定条件!$C$9,"利用可",IF(AND(P1457="停止",G1457="停止"),"両方停止","運転がそろわない")))</f>
        <v>利用可</v>
      </c>
      <c r="AI1457" s="30" t="n">
        <v>60</v>
      </c>
      <c r="AJ1457" s="30" t="n">
        <v>36</v>
      </c>
      <c r="AK1457" s="30" t="str">
        <f aca="false">IF(OR(S1457="判定不能",J1457="判定不能"),"判定不能",IF(AJ1457&gt;=判定条件!$C$9,"利用可",IF(AND(S1457="停止",J1457="停止"),"両方停止","運転がそろわない")))</f>
        <v>利用可</v>
      </c>
      <c r="AL1457" s="30" t="n">
        <v>60</v>
      </c>
      <c r="AM1457" s="30" t="n">
        <v>27</v>
      </c>
      <c r="AN1457" s="30" t="str">
        <f aca="false">IF(OR(V1457="判定不能",M1457="判定不能"),"判定不能",IF(AM1457&gt;=判定条件!$C$9,"利用可",IF(AND(V1457="停止",M1457="停止"),"両方停止","運転がそろわない")))</f>
        <v>運転がそろわない</v>
      </c>
      <c r="AO1457" s="30" t="n">
        <v>0</v>
      </c>
      <c r="AP1457" s="30" t="n">
        <v>0</v>
      </c>
      <c r="AQ1457" s="30" t="str">
        <f aca="false">IF(OR(Y1457="判定不能",G1457="判定不能"),"判定不能",IF(AP1457&gt;=判定条件!$C$9,"利用可",IF(AND(Y1457="停止",G1457="停止"),"両方停止","運転がそろわない")))</f>
        <v>判定不能</v>
      </c>
      <c r="AR1457" s="30" t="n">
        <v>0</v>
      </c>
      <c r="AS1457" s="30" t="n">
        <v>0</v>
      </c>
      <c r="AT1457" s="30" t="str">
        <f aca="false">IF(OR(AB1457="判定不能",J1457="判定不能"),"判定不能",IF(AS1457&gt;=判定条件!$C$9,"利用可",IF(AND(AB1457="停止",J1457="停止"),"両方停止","運転がそろわない")))</f>
        <v>判定不能</v>
      </c>
      <c r="AU1457" s="30" t="n">
        <v>0</v>
      </c>
      <c r="AV1457" s="30" t="n">
        <v>0</v>
      </c>
      <c r="AW1457" s="30" t="str">
        <f aca="false">IF(OR(AE1457="判定不能",M1457="判定不能"),"判定不能",IF(AV1457&gt;=判定条件!$C$9,"利用可",IF(AND(AE1457="停止",M1457="停止"),"両方停止","運転がそろわない")))</f>
        <v>判定不能</v>
      </c>
      <c r="AX1457" s="30" t="str">
        <f aca="false">IF(AND(AH1457="利用可",AK1457="利用可",AN1457="利用可"),"利用可","不可")</f>
        <v>不可</v>
      </c>
      <c r="AY1457" s="30" t="str">
        <f aca="false">IF(AND(AQ1457="利用可",AT1457="利用可",AW1457="利用可"),"利用可","不可")</f>
        <v>不可</v>
      </c>
    </row>
    <row r="1458" customFormat="false" ht="15" hidden="false" customHeight="false" outlineLevel="0" collapsed="false">
      <c r="A1458" s="29" t="n">
        <v>46292</v>
      </c>
      <c r="B1458" s="30" t="n">
        <v>15</v>
      </c>
      <c r="C1458" s="31" t="s">
        <v>65</v>
      </c>
      <c r="D1458" s="31" t="s">
        <v>64</v>
      </c>
      <c r="E1458" s="30" t="n">
        <v>60</v>
      </c>
      <c r="F1458" s="30" t="n">
        <v>18</v>
      </c>
      <c r="G1458" s="30" t="str">
        <f aca="false">IF(E1458&lt;判定条件!$C$6,"判定不能",IF(F1458&gt;=判定条件!$C$7*E1458,"運転",IF(F1458&lt;=判定条件!$C$8*E1458,"停止","断続")))</f>
        <v>断続</v>
      </c>
      <c r="H1458" s="30" t="n">
        <v>60</v>
      </c>
      <c r="I1458" s="30" t="n">
        <v>43</v>
      </c>
      <c r="J1458" s="30" t="str">
        <f aca="false">IF(H1458&lt;判定条件!$C$6,"判定不能",IF(I1458&gt;=判定条件!$C$7*H1458,"運転",IF(I1458&lt;=判定条件!$C$8*H1458,"停止","断続")))</f>
        <v>断続</v>
      </c>
      <c r="K1458" s="30" t="n">
        <v>60</v>
      </c>
      <c r="L1458" s="30" t="n">
        <v>60</v>
      </c>
      <c r="M1458" s="30" t="str">
        <f aca="false">IF(K1458&lt;判定条件!$C$6,"判定不能",IF(L1458&gt;=判定条件!$C$7*K1458,"運転",IF(L1458&lt;=判定条件!$C$8*K1458,"停止","断続")))</f>
        <v>運転</v>
      </c>
      <c r="N1458" s="30" t="n">
        <v>60</v>
      </c>
      <c r="O1458" s="30" t="n">
        <v>25</v>
      </c>
      <c r="P1458" s="30" t="str">
        <f aca="false">IF(N1458&lt;判定条件!$C$6,"判定不能",IF(O1458&gt;=判定条件!$C$7*N1458,"運転",IF(O1458&lt;=判定条件!$C$8*N1458,"停止","断続")))</f>
        <v>断続</v>
      </c>
      <c r="Q1458" s="30" t="n">
        <v>60</v>
      </c>
      <c r="R1458" s="30" t="n">
        <v>0</v>
      </c>
      <c r="S1458" s="30" t="str">
        <f aca="false">IF(Q1458&lt;判定条件!$C$6,"判定不能",IF(R1458&gt;=判定条件!$C$7*Q1458,"運転",IF(R1458&lt;=判定条件!$C$8*Q1458,"停止","断続")))</f>
        <v>停止</v>
      </c>
      <c r="T1458" s="30" t="n">
        <v>60</v>
      </c>
      <c r="U1458" s="30" t="n">
        <v>4</v>
      </c>
      <c r="V1458" s="30" t="str">
        <f aca="false">IF(T1458&lt;判定条件!$C$6,"判定不能",IF(U1458&gt;=判定条件!$C$7*T1458,"運転",IF(U1458&lt;=判定条件!$C$8*T1458,"停止","断続")))</f>
        <v>停止</v>
      </c>
      <c r="W1458" s="30" t="n">
        <v>0</v>
      </c>
      <c r="X1458" s="30" t="n">
        <v>0</v>
      </c>
      <c r="Y1458" s="30" t="str">
        <f aca="false">IF(W1458&lt;判定条件!$C$6,"判定不能",IF(X1458&gt;=判定条件!$C$7*W1458,"運転",IF(X1458&lt;=判定条件!$C$8*W1458,"停止","断続")))</f>
        <v>判定不能</v>
      </c>
      <c r="Z1458" s="30" t="n">
        <v>0</v>
      </c>
      <c r="AA1458" s="30" t="n">
        <v>0</v>
      </c>
      <c r="AB1458" s="30" t="str">
        <f aca="false">IF(Z1458&lt;判定条件!$C$6,"判定不能",IF(AA1458&gt;=判定条件!$C$7*Z1458,"運転",IF(AA1458&lt;=判定条件!$C$8*Z1458,"停止","断続")))</f>
        <v>判定不能</v>
      </c>
      <c r="AC1458" s="30" t="n">
        <v>0</v>
      </c>
      <c r="AD1458" s="30" t="n">
        <v>0</v>
      </c>
      <c r="AE1458" s="30" t="str">
        <f aca="false">IF(AC1458&lt;判定条件!$C$6,"判定不能",IF(AD1458&gt;=判定条件!$C$7*AC1458,"運転",IF(AD1458&lt;=判定条件!$C$8*AC1458,"停止","断続")))</f>
        <v>判定不能</v>
      </c>
      <c r="AF1458" s="30" t="n">
        <v>60</v>
      </c>
      <c r="AG1458" s="30" t="n">
        <v>0</v>
      </c>
      <c r="AH1458" s="30" t="str">
        <f aca="false">IF(OR(P1458="判定不能",G1458="判定不能"),"判定不能",IF(AG1458&gt;=判定条件!$C$9,"利用可",IF(AND(P1458="停止",G1458="停止"),"両方停止","運転がそろわない")))</f>
        <v>運転がそろわない</v>
      </c>
      <c r="AI1458" s="30" t="n">
        <v>60</v>
      </c>
      <c r="AJ1458" s="30" t="n">
        <v>0</v>
      </c>
      <c r="AK1458" s="30" t="str">
        <f aca="false">IF(OR(S1458="判定不能",J1458="判定不能"),"判定不能",IF(AJ1458&gt;=判定条件!$C$9,"利用可",IF(AND(S1458="停止",J1458="停止"),"両方停止","運転がそろわない")))</f>
        <v>運転がそろわない</v>
      </c>
      <c r="AL1458" s="30" t="n">
        <v>60</v>
      </c>
      <c r="AM1458" s="30" t="n">
        <v>4</v>
      </c>
      <c r="AN1458" s="30" t="str">
        <f aca="false">IF(OR(V1458="判定不能",M1458="判定不能"),"判定不能",IF(AM1458&gt;=判定条件!$C$9,"利用可",IF(AND(V1458="停止",M1458="停止"),"両方停止","運転がそろわない")))</f>
        <v>運転がそろわない</v>
      </c>
      <c r="AO1458" s="30" t="n">
        <v>0</v>
      </c>
      <c r="AP1458" s="30" t="n">
        <v>0</v>
      </c>
      <c r="AQ1458" s="30" t="str">
        <f aca="false">IF(OR(Y1458="判定不能",G1458="判定不能"),"判定不能",IF(AP1458&gt;=判定条件!$C$9,"利用可",IF(AND(Y1458="停止",G1458="停止"),"両方停止","運転がそろわない")))</f>
        <v>判定不能</v>
      </c>
      <c r="AR1458" s="30" t="n">
        <v>0</v>
      </c>
      <c r="AS1458" s="30" t="n">
        <v>0</v>
      </c>
      <c r="AT1458" s="30" t="str">
        <f aca="false">IF(OR(AB1458="判定不能",J1458="判定不能"),"判定不能",IF(AS1458&gt;=判定条件!$C$9,"利用可",IF(AND(AB1458="停止",J1458="停止"),"両方停止","運転がそろわない")))</f>
        <v>判定不能</v>
      </c>
      <c r="AU1458" s="30" t="n">
        <v>0</v>
      </c>
      <c r="AV1458" s="30" t="n">
        <v>0</v>
      </c>
      <c r="AW1458" s="30" t="str">
        <f aca="false">IF(OR(AE1458="判定不能",M1458="判定不能"),"判定不能",IF(AV1458&gt;=判定条件!$C$9,"利用可",IF(AND(AE1458="停止",M1458="停止"),"両方停止","運転がそろわない")))</f>
        <v>判定不能</v>
      </c>
      <c r="AX1458" s="30" t="str">
        <f aca="false">IF(AND(AH1458="利用可",AK1458="利用可",AN1458="利用可"),"利用可","不可")</f>
        <v>不可</v>
      </c>
      <c r="AY1458" s="30" t="str">
        <f aca="false">IF(AND(AQ1458="利用可",AT1458="利用可",AW1458="利用可"),"利用可","不可")</f>
        <v>不可</v>
      </c>
    </row>
    <row r="1459" customFormat="false" ht="15" hidden="false" customHeight="false" outlineLevel="0" collapsed="false">
      <c r="A1459" s="29" t="n">
        <v>46292</v>
      </c>
      <c r="B1459" s="30" t="n">
        <v>16</v>
      </c>
      <c r="C1459" s="31" t="s">
        <v>65</v>
      </c>
      <c r="D1459" s="31" t="s">
        <v>64</v>
      </c>
      <c r="E1459" s="30" t="n">
        <v>60</v>
      </c>
      <c r="F1459" s="30" t="n">
        <v>21</v>
      </c>
      <c r="G1459" s="30" t="str">
        <f aca="false">IF(E1459&lt;判定条件!$C$6,"判定不能",IF(F1459&gt;=判定条件!$C$7*E1459,"運転",IF(F1459&lt;=判定条件!$C$8*E1459,"停止","断続")))</f>
        <v>断続</v>
      </c>
      <c r="H1459" s="30" t="n">
        <v>60</v>
      </c>
      <c r="I1459" s="30" t="n">
        <v>60</v>
      </c>
      <c r="J1459" s="30" t="str">
        <f aca="false">IF(H1459&lt;判定条件!$C$6,"判定不能",IF(I1459&gt;=判定条件!$C$7*H1459,"運転",IF(I1459&lt;=判定条件!$C$8*H1459,"停止","断続")))</f>
        <v>運転</v>
      </c>
      <c r="K1459" s="30" t="n">
        <v>60</v>
      </c>
      <c r="L1459" s="30" t="n">
        <v>60</v>
      </c>
      <c r="M1459" s="30" t="str">
        <f aca="false">IF(K1459&lt;判定条件!$C$6,"判定不能",IF(L1459&gt;=判定条件!$C$7*K1459,"運転",IF(L1459&lt;=判定条件!$C$8*K1459,"停止","断続")))</f>
        <v>運転</v>
      </c>
      <c r="N1459" s="30" t="n">
        <v>60</v>
      </c>
      <c r="O1459" s="30" t="n">
        <v>25</v>
      </c>
      <c r="P1459" s="30" t="str">
        <f aca="false">IF(N1459&lt;判定条件!$C$6,"判定不能",IF(O1459&gt;=判定条件!$C$7*N1459,"運転",IF(O1459&lt;=判定条件!$C$8*N1459,"停止","断続")))</f>
        <v>断続</v>
      </c>
      <c r="Q1459" s="30" t="n">
        <v>60</v>
      </c>
      <c r="R1459" s="30" t="n">
        <v>0</v>
      </c>
      <c r="S1459" s="30" t="str">
        <f aca="false">IF(Q1459&lt;判定条件!$C$6,"判定不能",IF(R1459&gt;=判定条件!$C$7*Q1459,"運転",IF(R1459&lt;=判定条件!$C$8*Q1459,"停止","断続")))</f>
        <v>停止</v>
      </c>
      <c r="T1459" s="30" t="n">
        <v>60</v>
      </c>
      <c r="U1459" s="30" t="n">
        <v>0</v>
      </c>
      <c r="V1459" s="30" t="str">
        <f aca="false">IF(T1459&lt;判定条件!$C$6,"判定不能",IF(U1459&gt;=判定条件!$C$7*T1459,"運転",IF(U1459&lt;=判定条件!$C$8*T1459,"停止","断続")))</f>
        <v>停止</v>
      </c>
      <c r="W1459" s="30" t="n">
        <v>0</v>
      </c>
      <c r="X1459" s="30" t="n">
        <v>0</v>
      </c>
      <c r="Y1459" s="30" t="str">
        <f aca="false">IF(W1459&lt;判定条件!$C$6,"判定不能",IF(X1459&gt;=判定条件!$C$7*W1459,"運転",IF(X1459&lt;=判定条件!$C$8*W1459,"停止","断続")))</f>
        <v>判定不能</v>
      </c>
      <c r="Z1459" s="30" t="n">
        <v>0</v>
      </c>
      <c r="AA1459" s="30" t="n">
        <v>0</v>
      </c>
      <c r="AB1459" s="30" t="str">
        <f aca="false">IF(Z1459&lt;判定条件!$C$6,"判定不能",IF(AA1459&gt;=判定条件!$C$7*Z1459,"運転",IF(AA1459&lt;=判定条件!$C$8*Z1459,"停止","断続")))</f>
        <v>判定不能</v>
      </c>
      <c r="AC1459" s="30" t="n">
        <v>0</v>
      </c>
      <c r="AD1459" s="30" t="n">
        <v>0</v>
      </c>
      <c r="AE1459" s="30" t="str">
        <f aca="false">IF(AC1459&lt;判定条件!$C$6,"判定不能",IF(AD1459&gt;=判定条件!$C$7*AC1459,"運転",IF(AD1459&lt;=判定条件!$C$8*AC1459,"停止","断続")))</f>
        <v>判定不能</v>
      </c>
      <c r="AF1459" s="30" t="n">
        <v>60</v>
      </c>
      <c r="AG1459" s="30" t="n">
        <v>17</v>
      </c>
      <c r="AH1459" s="30" t="str">
        <f aca="false">IF(OR(P1459="判定不能",G1459="判定不能"),"判定不能",IF(AG1459&gt;=判定条件!$C$9,"利用可",IF(AND(P1459="停止",G1459="停止"),"両方停止","運転がそろわない")))</f>
        <v>運転がそろわない</v>
      </c>
      <c r="AI1459" s="30" t="n">
        <v>60</v>
      </c>
      <c r="AJ1459" s="30" t="n">
        <v>0</v>
      </c>
      <c r="AK1459" s="30" t="str">
        <f aca="false">IF(OR(S1459="判定不能",J1459="判定不能"),"判定不能",IF(AJ1459&gt;=判定条件!$C$9,"利用可",IF(AND(S1459="停止",J1459="停止"),"両方停止","運転がそろわない")))</f>
        <v>運転がそろわない</v>
      </c>
      <c r="AL1459" s="30" t="n">
        <v>60</v>
      </c>
      <c r="AM1459" s="30" t="n">
        <v>0</v>
      </c>
      <c r="AN1459" s="30" t="str">
        <f aca="false">IF(OR(V1459="判定不能",M1459="判定不能"),"判定不能",IF(AM1459&gt;=判定条件!$C$9,"利用可",IF(AND(V1459="停止",M1459="停止"),"両方停止","運転がそろわない")))</f>
        <v>運転がそろわない</v>
      </c>
      <c r="AO1459" s="30" t="n">
        <v>0</v>
      </c>
      <c r="AP1459" s="30" t="n">
        <v>0</v>
      </c>
      <c r="AQ1459" s="30" t="str">
        <f aca="false">IF(OR(Y1459="判定不能",G1459="判定不能"),"判定不能",IF(AP1459&gt;=判定条件!$C$9,"利用可",IF(AND(Y1459="停止",G1459="停止"),"両方停止","運転がそろわない")))</f>
        <v>判定不能</v>
      </c>
      <c r="AR1459" s="30" t="n">
        <v>0</v>
      </c>
      <c r="AS1459" s="30" t="n">
        <v>0</v>
      </c>
      <c r="AT1459" s="30" t="str">
        <f aca="false">IF(OR(AB1459="判定不能",J1459="判定不能"),"判定不能",IF(AS1459&gt;=判定条件!$C$9,"利用可",IF(AND(AB1459="停止",J1459="停止"),"両方停止","運転がそろわない")))</f>
        <v>判定不能</v>
      </c>
      <c r="AU1459" s="30" t="n">
        <v>0</v>
      </c>
      <c r="AV1459" s="30" t="n">
        <v>0</v>
      </c>
      <c r="AW1459" s="30" t="str">
        <f aca="false">IF(OR(AE1459="判定不能",M1459="判定不能"),"判定不能",IF(AV1459&gt;=判定条件!$C$9,"利用可",IF(AND(AE1459="停止",M1459="停止"),"両方停止","運転がそろわない")))</f>
        <v>判定不能</v>
      </c>
      <c r="AX1459" s="30" t="str">
        <f aca="false">IF(AND(AH1459="利用可",AK1459="利用可",AN1459="利用可"),"利用可","不可")</f>
        <v>不可</v>
      </c>
      <c r="AY1459" s="30" t="str">
        <f aca="false">IF(AND(AQ1459="利用可",AT1459="利用可",AW1459="利用可"),"利用可","不可")</f>
        <v>不可</v>
      </c>
    </row>
    <row r="1460" customFormat="false" ht="15" hidden="false" customHeight="false" outlineLevel="0" collapsed="false">
      <c r="A1460" s="29" t="n">
        <v>46292</v>
      </c>
      <c r="B1460" s="30" t="n">
        <v>17</v>
      </c>
      <c r="C1460" s="31" t="s">
        <v>65</v>
      </c>
      <c r="D1460" s="31" t="s">
        <v>64</v>
      </c>
      <c r="E1460" s="30" t="n">
        <v>60</v>
      </c>
      <c r="F1460" s="30" t="n">
        <v>50</v>
      </c>
      <c r="G1460" s="30" t="str">
        <f aca="false">IF(E1460&lt;判定条件!$C$6,"判定不能",IF(F1460&gt;=判定条件!$C$7*E1460,"運転",IF(F1460&lt;=判定条件!$C$8*E1460,"停止","断続")))</f>
        <v>運転</v>
      </c>
      <c r="H1460" s="30" t="n">
        <v>60</v>
      </c>
      <c r="I1460" s="30" t="n">
        <v>29</v>
      </c>
      <c r="J1460" s="30" t="str">
        <f aca="false">IF(H1460&lt;判定条件!$C$6,"判定不能",IF(I1460&gt;=判定条件!$C$7*H1460,"運転",IF(I1460&lt;=判定条件!$C$8*H1460,"停止","断続")))</f>
        <v>断続</v>
      </c>
      <c r="K1460" s="30" t="n">
        <v>60</v>
      </c>
      <c r="L1460" s="30" t="n">
        <v>60</v>
      </c>
      <c r="M1460" s="30" t="str">
        <f aca="false">IF(K1460&lt;判定条件!$C$6,"判定不能",IF(L1460&gt;=判定条件!$C$7*K1460,"運転",IF(L1460&lt;=判定条件!$C$8*K1460,"停止","断続")))</f>
        <v>運転</v>
      </c>
      <c r="N1460" s="30" t="n">
        <v>60</v>
      </c>
      <c r="O1460" s="30" t="n">
        <v>37</v>
      </c>
      <c r="P1460" s="30" t="str">
        <f aca="false">IF(N1460&lt;判定条件!$C$6,"判定不能",IF(O1460&gt;=判定条件!$C$7*N1460,"運転",IF(O1460&lt;=判定条件!$C$8*N1460,"停止","断続")))</f>
        <v>断続</v>
      </c>
      <c r="Q1460" s="30" t="n">
        <v>60</v>
      </c>
      <c r="R1460" s="30" t="n">
        <v>0</v>
      </c>
      <c r="S1460" s="30" t="str">
        <f aca="false">IF(Q1460&lt;判定条件!$C$6,"判定不能",IF(R1460&gt;=判定条件!$C$7*Q1460,"運転",IF(R1460&lt;=判定条件!$C$8*Q1460,"停止","断続")))</f>
        <v>停止</v>
      </c>
      <c r="T1460" s="30" t="n">
        <v>60</v>
      </c>
      <c r="U1460" s="30" t="n">
        <v>0</v>
      </c>
      <c r="V1460" s="30" t="str">
        <f aca="false">IF(T1460&lt;判定条件!$C$6,"判定不能",IF(U1460&gt;=判定条件!$C$7*T1460,"運転",IF(U1460&lt;=判定条件!$C$8*T1460,"停止","断続")))</f>
        <v>停止</v>
      </c>
      <c r="W1460" s="30" t="n">
        <v>0</v>
      </c>
      <c r="X1460" s="30" t="n">
        <v>0</v>
      </c>
      <c r="Y1460" s="30" t="str">
        <f aca="false">IF(W1460&lt;判定条件!$C$6,"判定不能",IF(X1460&gt;=判定条件!$C$7*W1460,"運転",IF(X1460&lt;=判定条件!$C$8*W1460,"停止","断続")))</f>
        <v>判定不能</v>
      </c>
      <c r="Z1460" s="30" t="n">
        <v>0</v>
      </c>
      <c r="AA1460" s="30" t="n">
        <v>0</v>
      </c>
      <c r="AB1460" s="30" t="str">
        <f aca="false">IF(Z1460&lt;判定条件!$C$6,"判定不能",IF(AA1460&gt;=判定条件!$C$7*Z1460,"運転",IF(AA1460&lt;=判定条件!$C$8*Z1460,"停止","断続")))</f>
        <v>判定不能</v>
      </c>
      <c r="AC1460" s="30" t="n">
        <v>0</v>
      </c>
      <c r="AD1460" s="30" t="n">
        <v>0</v>
      </c>
      <c r="AE1460" s="30" t="str">
        <f aca="false">IF(AC1460&lt;判定条件!$C$6,"判定不能",IF(AD1460&gt;=判定条件!$C$7*AC1460,"運転",IF(AD1460&lt;=判定条件!$C$8*AC1460,"停止","断続")))</f>
        <v>判定不能</v>
      </c>
      <c r="AF1460" s="30" t="n">
        <v>60</v>
      </c>
      <c r="AG1460" s="30" t="n">
        <v>27</v>
      </c>
      <c r="AH1460" s="30" t="str">
        <f aca="false">IF(OR(P1460="判定不能",G1460="判定不能"),"判定不能",IF(AG1460&gt;=判定条件!$C$9,"利用可",IF(AND(P1460="停止",G1460="停止"),"両方停止","運転がそろわない")))</f>
        <v>運転がそろわない</v>
      </c>
      <c r="AI1460" s="30" t="n">
        <v>60</v>
      </c>
      <c r="AJ1460" s="30" t="n">
        <v>0</v>
      </c>
      <c r="AK1460" s="30" t="str">
        <f aca="false">IF(OR(S1460="判定不能",J1460="判定不能"),"判定不能",IF(AJ1460&gt;=判定条件!$C$9,"利用可",IF(AND(S1460="停止",J1460="停止"),"両方停止","運転がそろわない")))</f>
        <v>運転がそろわない</v>
      </c>
      <c r="AL1460" s="30" t="n">
        <v>60</v>
      </c>
      <c r="AM1460" s="30" t="n">
        <v>0</v>
      </c>
      <c r="AN1460" s="30" t="str">
        <f aca="false">IF(OR(V1460="判定不能",M1460="判定不能"),"判定不能",IF(AM1460&gt;=判定条件!$C$9,"利用可",IF(AND(V1460="停止",M1460="停止"),"両方停止","運転がそろわない")))</f>
        <v>運転がそろわない</v>
      </c>
      <c r="AO1460" s="30" t="n">
        <v>0</v>
      </c>
      <c r="AP1460" s="30" t="n">
        <v>0</v>
      </c>
      <c r="AQ1460" s="30" t="str">
        <f aca="false">IF(OR(Y1460="判定不能",G1460="判定不能"),"判定不能",IF(AP1460&gt;=判定条件!$C$9,"利用可",IF(AND(Y1460="停止",G1460="停止"),"両方停止","運転がそろわない")))</f>
        <v>判定不能</v>
      </c>
      <c r="AR1460" s="30" t="n">
        <v>0</v>
      </c>
      <c r="AS1460" s="30" t="n">
        <v>0</v>
      </c>
      <c r="AT1460" s="30" t="str">
        <f aca="false">IF(OR(AB1460="判定不能",J1460="判定不能"),"判定不能",IF(AS1460&gt;=判定条件!$C$9,"利用可",IF(AND(AB1460="停止",J1460="停止"),"両方停止","運転がそろわない")))</f>
        <v>判定不能</v>
      </c>
      <c r="AU1460" s="30" t="n">
        <v>0</v>
      </c>
      <c r="AV1460" s="30" t="n">
        <v>0</v>
      </c>
      <c r="AW1460" s="30" t="str">
        <f aca="false">IF(OR(AE1460="判定不能",M1460="判定不能"),"判定不能",IF(AV1460&gt;=判定条件!$C$9,"利用可",IF(AND(AE1460="停止",M1460="停止"),"両方停止","運転がそろわない")))</f>
        <v>判定不能</v>
      </c>
      <c r="AX1460" s="30" t="str">
        <f aca="false">IF(AND(AH1460="利用可",AK1460="利用可",AN1460="利用可"),"利用可","不可")</f>
        <v>不可</v>
      </c>
      <c r="AY1460" s="30" t="str">
        <f aca="false">IF(AND(AQ1460="利用可",AT1460="利用可",AW1460="利用可"),"利用可","不可")</f>
        <v>不可</v>
      </c>
    </row>
    <row r="1461" customFormat="false" ht="15" hidden="false" customHeight="false" outlineLevel="0" collapsed="false">
      <c r="A1461" s="29" t="n">
        <v>46292</v>
      </c>
      <c r="B1461" s="30" t="n">
        <v>18</v>
      </c>
      <c r="C1461" s="31" t="s">
        <v>65</v>
      </c>
      <c r="D1461" s="31" t="s">
        <v>64</v>
      </c>
      <c r="E1461" s="30" t="n">
        <v>60</v>
      </c>
      <c r="F1461" s="30" t="n">
        <v>0</v>
      </c>
      <c r="G1461" s="30" t="str">
        <f aca="false">IF(E1461&lt;判定条件!$C$6,"判定不能",IF(F1461&gt;=判定条件!$C$7*E1461,"運転",IF(F1461&lt;=判定条件!$C$8*E1461,"停止","断続")))</f>
        <v>停止</v>
      </c>
      <c r="H1461" s="30" t="n">
        <v>60</v>
      </c>
      <c r="I1461" s="30" t="n">
        <v>25</v>
      </c>
      <c r="J1461" s="30" t="str">
        <f aca="false">IF(H1461&lt;判定条件!$C$6,"判定不能",IF(I1461&gt;=判定条件!$C$7*H1461,"運転",IF(I1461&lt;=判定条件!$C$8*H1461,"停止","断続")))</f>
        <v>断続</v>
      </c>
      <c r="K1461" s="30" t="n">
        <v>60</v>
      </c>
      <c r="L1461" s="30" t="n">
        <v>60</v>
      </c>
      <c r="M1461" s="30" t="str">
        <f aca="false">IF(K1461&lt;判定条件!$C$6,"判定不能",IF(L1461&gt;=判定条件!$C$7*K1461,"運転",IF(L1461&lt;=判定条件!$C$8*K1461,"停止","断続")))</f>
        <v>運転</v>
      </c>
      <c r="N1461" s="30" t="n">
        <v>60</v>
      </c>
      <c r="O1461" s="30" t="n">
        <v>25</v>
      </c>
      <c r="P1461" s="30" t="str">
        <f aca="false">IF(N1461&lt;判定条件!$C$6,"判定不能",IF(O1461&gt;=判定条件!$C$7*N1461,"運転",IF(O1461&lt;=判定条件!$C$8*N1461,"停止","断続")))</f>
        <v>断続</v>
      </c>
      <c r="Q1461" s="30" t="n">
        <v>60</v>
      </c>
      <c r="R1461" s="30" t="n">
        <v>0</v>
      </c>
      <c r="S1461" s="30" t="str">
        <f aca="false">IF(Q1461&lt;判定条件!$C$6,"判定不能",IF(R1461&gt;=判定条件!$C$7*Q1461,"運転",IF(R1461&lt;=判定条件!$C$8*Q1461,"停止","断続")))</f>
        <v>停止</v>
      </c>
      <c r="T1461" s="30" t="n">
        <v>60</v>
      </c>
      <c r="U1461" s="30" t="n">
        <v>0</v>
      </c>
      <c r="V1461" s="30" t="str">
        <f aca="false">IF(T1461&lt;判定条件!$C$6,"判定不能",IF(U1461&gt;=判定条件!$C$7*T1461,"運転",IF(U1461&lt;=判定条件!$C$8*T1461,"停止","断続")))</f>
        <v>停止</v>
      </c>
      <c r="W1461" s="30" t="n">
        <v>0</v>
      </c>
      <c r="X1461" s="30" t="n">
        <v>0</v>
      </c>
      <c r="Y1461" s="30" t="str">
        <f aca="false">IF(W1461&lt;判定条件!$C$6,"判定不能",IF(X1461&gt;=判定条件!$C$7*W1461,"運転",IF(X1461&lt;=判定条件!$C$8*W1461,"停止","断続")))</f>
        <v>判定不能</v>
      </c>
      <c r="Z1461" s="30" t="n">
        <v>0</v>
      </c>
      <c r="AA1461" s="30" t="n">
        <v>0</v>
      </c>
      <c r="AB1461" s="30" t="str">
        <f aca="false">IF(Z1461&lt;判定条件!$C$6,"判定不能",IF(AA1461&gt;=判定条件!$C$7*Z1461,"運転",IF(AA1461&lt;=判定条件!$C$8*Z1461,"停止","断続")))</f>
        <v>判定不能</v>
      </c>
      <c r="AC1461" s="30" t="n">
        <v>0</v>
      </c>
      <c r="AD1461" s="30" t="n">
        <v>0</v>
      </c>
      <c r="AE1461" s="30" t="str">
        <f aca="false">IF(AC1461&lt;判定条件!$C$6,"判定不能",IF(AD1461&gt;=判定条件!$C$7*AC1461,"運転",IF(AD1461&lt;=判定条件!$C$8*AC1461,"停止","断続")))</f>
        <v>判定不能</v>
      </c>
      <c r="AF1461" s="30" t="n">
        <v>60</v>
      </c>
      <c r="AG1461" s="30" t="n">
        <v>0</v>
      </c>
      <c r="AH1461" s="30" t="str">
        <f aca="false">IF(OR(P1461="判定不能",G1461="判定不能"),"判定不能",IF(AG1461&gt;=判定条件!$C$9,"利用可",IF(AND(P1461="停止",G1461="停止"),"両方停止","運転がそろわない")))</f>
        <v>運転がそろわない</v>
      </c>
      <c r="AI1461" s="30" t="n">
        <v>60</v>
      </c>
      <c r="AJ1461" s="30" t="n">
        <v>0</v>
      </c>
      <c r="AK1461" s="30" t="str">
        <f aca="false">IF(OR(S1461="判定不能",J1461="判定不能"),"判定不能",IF(AJ1461&gt;=判定条件!$C$9,"利用可",IF(AND(S1461="停止",J1461="停止"),"両方停止","運転がそろわない")))</f>
        <v>運転がそろわない</v>
      </c>
      <c r="AL1461" s="30" t="n">
        <v>60</v>
      </c>
      <c r="AM1461" s="30" t="n">
        <v>0</v>
      </c>
      <c r="AN1461" s="30" t="str">
        <f aca="false">IF(OR(V1461="判定不能",M1461="判定不能"),"判定不能",IF(AM1461&gt;=判定条件!$C$9,"利用可",IF(AND(V1461="停止",M1461="停止"),"両方停止","運転がそろわない")))</f>
        <v>運転がそろわない</v>
      </c>
      <c r="AO1461" s="30" t="n">
        <v>0</v>
      </c>
      <c r="AP1461" s="30" t="n">
        <v>0</v>
      </c>
      <c r="AQ1461" s="30" t="str">
        <f aca="false">IF(OR(Y1461="判定不能",G1461="判定不能"),"判定不能",IF(AP1461&gt;=判定条件!$C$9,"利用可",IF(AND(Y1461="停止",G1461="停止"),"両方停止","運転がそろわない")))</f>
        <v>判定不能</v>
      </c>
      <c r="AR1461" s="30" t="n">
        <v>0</v>
      </c>
      <c r="AS1461" s="30" t="n">
        <v>0</v>
      </c>
      <c r="AT1461" s="30" t="str">
        <f aca="false">IF(OR(AB1461="判定不能",J1461="判定不能"),"判定不能",IF(AS1461&gt;=判定条件!$C$9,"利用可",IF(AND(AB1461="停止",J1461="停止"),"両方停止","運転がそろわない")))</f>
        <v>判定不能</v>
      </c>
      <c r="AU1461" s="30" t="n">
        <v>0</v>
      </c>
      <c r="AV1461" s="30" t="n">
        <v>0</v>
      </c>
      <c r="AW1461" s="30" t="str">
        <f aca="false">IF(OR(AE1461="判定不能",M1461="判定不能"),"判定不能",IF(AV1461&gt;=判定条件!$C$9,"利用可",IF(AND(AE1461="停止",M1461="停止"),"両方停止","運転がそろわない")))</f>
        <v>判定不能</v>
      </c>
      <c r="AX1461" s="30" t="str">
        <f aca="false">IF(AND(AH1461="利用可",AK1461="利用可",AN1461="利用可"),"利用可","不可")</f>
        <v>不可</v>
      </c>
      <c r="AY1461" s="30" t="str">
        <f aca="false">IF(AND(AQ1461="利用可",AT1461="利用可",AW1461="利用可"),"利用可","不可")</f>
        <v>不可</v>
      </c>
    </row>
    <row r="1462" customFormat="false" ht="15" hidden="false" customHeight="false" outlineLevel="0" collapsed="false">
      <c r="A1462" s="29" t="n">
        <v>46292</v>
      </c>
      <c r="B1462" s="30" t="n">
        <v>19</v>
      </c>
      <c r="C1462" s="31" t="s">
        <v>65</v>
      </c>
      <c r="D1462" s="31" t="s">
        <v>64</v>
      </c>
      <c r="E1462" s="30" t="n">
        <v>60</v>
      </c>
      <c r="F1462" s="30" t="n">
        <v>39</v>
      </c>
      <c r="G1462" s="30" t="str">
        <f aca="false">IF(E1462&lt;判定条件!$C$6,"判定不能",IF(F1462&gt;=判定条件!$C$7*E1462,"運転",IF(F1462&lt;=判定条件!$C$8*E1462,"停止","断続")))</f>
        <v>断続</v>
      </c>
      <c r="H1462" s="30" t="n">
        <v>60</v>
      </c>
      <c r="I1462" s="30" t="n">
        <v>50</v>
      </c>
      <c r="J1462" s="30" t="str">
        <f aca="false">IF(H1462&lt;判定条件!$C$6,"判定不能",IF(I1462&gt;=判定条件!$C$7*H1462,"運転",IF(I1462&lt;=判定条件!$C$8*H1462,"停止","断続")))</f>
        <v>運転</v>
      </c>
      <c r="K1462" s="30" t="n">
        <v>60</v>
      </c>
      <c r="L1462" s="30" t="n">
        <v>49</v>
      </c>
      <c r="M1462" s="30" t="str">
        <f aca="false">IF(K1462&lt;判定条件!$C$6,"判定不能",IF(L1462&gt;=判定条件!$C$7*K1462,"運転",IF(L1462&lt;=判定条件!$C$8*K1462,"停止","断続")))</f>
        <v>運転</v>
      </c>
      <c r="N1462" s="30" t="n">
        <v>60</v>
      </c>
      <c r="O1462" s="30" t="n">
        <v>32</v>
      </c>
      <c r="P1462" s="30" t="str">
        <f aca="false">IF(N1462&lt;判定条件!$C$6,"判定不能",IF(O1462&gt;=判定条件!$C$7*N1462,"運転",IF(O1462&lt;=判定条件!$C$8*N1462,"停止","断続")))</f>
        <v>断続</v>
      </c>
      <c r="Q1462" s="30" t="n">
        <v>60</v>
      </c>
      <c r="R1462" s="30" t="n">
        <v>0</v>
      </c>
      <c r="S1462" s="30" t="str">
        <f aca="false">IF(Q1462&lt;判定条件!$C$6,"判定不能",IF(R1462&gt;=判定条件!$C$7*Q1462,"運転",IF(R1462&lt;=判定条件!$C$8*Q1462,"停止","断続")))</f>
        <v>停止</v>
      </c>
      <c r="T1462" s="30" t="n">
        <v>60</v>
      </c>
      <c r="U1462" s="30" t="n">
        <v>0</v>
      </c>
      <c r="V1462" s="30" t="str">
        <f aca="false">IF(T1462&lt;判定条件!$C$6,"判定不能",IF(U1462&gt;=判定条件!$C$7*T1462,"運転",IF(U1462&lt;=判定条件!$C$8*T1462,"停止","断続")))</f>
        <v>停止</v>
      </c>
      <c r="W1462" s="30" t="n">
        <v>0</v>
      </c>
      <c r="X1462" s="30" t="n">
        <v>0</v>
      </c>
      <c r="Y1462" s="30" t="str">
        <f aca="false">IF(W1462&lt;判定条件!$C$6,"判定不能",IF(X1462&gt;=判定条件!$C$7*W1462,"運転",IF(X1462&lt;=判定条件!$C$8*W1462,"停止","断続")))</f>
        <v>判定不能</v>
      </c>
      <c r="Z1462" s="30" t="n">
        <v>0</v>
      </c>
      <c r="AA1462" s="30" t="n">
        <v>0</v>
      </c>
      <c r="AB1462" s="30" t="str">
        <f aca="false">IF(Z1462&lt;判定条件!$C$6,"判定不能",IF(AA1462&gt;=判定条件!$C$7*Z1462,"運転",IF(AA1462&lt;=判定条件!$C$8*Z1462,"停止","断続")))</f>
        <v>判定不能</v>
      </c>
      <c r="AC1462" s="30" t="n">
        <v>0</v>
      </c>
      <c r="AD1462" s="30" t="n">
        <v>0</v>
      </c>
      <c r="AE1462" s="30" t="str">
        <f aca="false">IF(AC1462&lt;判定条件!$C$6,"判定不能",IF(AD1462&gt;=判定条件!$C$7*AC1462,"運転",IF(AD1462&lt;=判定条件!$C$8*AC1462,"停止","断続")))</f>
        <v>判定不能</v>
      </c>
      <c r="AF1462" s="30" t="n">
        <v>60</v>
      </c>
      <c r="AG1462" s="30" t="n">
        <v>24</v>
      </c>
      <c r="AH1462" s="30" t="str">
        <f aca="false">IF(OR(P1462="判定不能",G1462="判定不能"),"判定不能",IF(AG1462&gt;=判定条件!$C$9,"利用可",IF(AND(P1462="停止",G1462="停止"),"両方停止","運転がそろわない")))</f>
        <v>運転がそろわない</v>
      </c>
      <c r="AI1462" s="30" t="n">
        <v>60</v>
      </c>
      <c r="AJ1462" s="30" t="n">
        <v>0</v>
      </c>
      <c r="AK1462" s="30" t="str">
        <f aca="false">IF(OR(S1462="判定不能",J1462="判定不能"),"判定不能",IF(AJ1462&gt;=判定条件!$C$9,"利用可",IF(AND(S1462="停止",J1462="停止"),"両方停止","運転がそろわない")))</f>
        <v>運転がそろわない</v>
      </c>
      <c r="AL1462" s="30" t="n">
        <v>60</v>
      </c>
      <c r="AM1462" s="30" t="n">
        <v>0</v>
      </c>
      <c r="AN1462" s="30" t="str">
        <f aca="false">IF(OR(V1462="判定不能",M1462="判定不能"),"判定不能",IF(AM1462&gt;=判定条件!$C$9,"利用可",IF(AND(V1462="停止",M1462="停止"),"両方停止","運転がそろわない")))</f>
        <v>運転がそろわない</v>
      </c>
      <c r="AO1462" s="30" t="n">
        <v>0</v>
      </c>
      <c r="AP1462" s="30" t="n">
        <v>0</v>
      </c>
      <c r="AQ1462" s="30" t="str">
        <f aca="false">IF(OR(Y1462="判定不能",G1462="判定不能"),"判定不能",IF(AP1462&gt;=判定条件!$C$9,"利用可",IF(AND(Y1462="停止",G1462="停止"),"両方停止","運転がそろわない")))</f>
        <v>判定不能</v>
      </c>
      <c r="AR1462" s="30" t="n">
        <v>0</v>
      </c>
      <c r="AS1462" s="30" t="n">
        <v>0</v>
      </c>
      <c r="AT1462" s="30" t="str">
        <f aca="false">IF(OR(AB1462="判定不能",J1462="判定不能"),"判定不能",IF(AS1462&gt;=判定条件!$C$9,"利用可",IF(AND(AB1462="停止",J1462="停止"),"両方停止","運転がそろわない")))</f>
        <v>判定不能</v>
      </c>
      <c r="AU1462" s="30" t="n">
        <v>0</v>
      </c>
      <c r="AV1462" s="30" t="n">
        <v>0</v>
      </c>
      <c r="AW1462" s="30" t="str">
        <f aca="false">IF(OR(AE1462="判定不能",M1462="判定不能"),"判定不能",IF(AV1462&gt;=判定条件!$C$9,"利用可",IF(AND(AE1462="停止",M1462="停止"),"両方停止","運転がそろわない")))</f>
        <v>判定不能</v>
      </c>
      <c r="AX1462" s="30" t="str">
        <f aca="false">IF(AND(AH1462="利用可",AK1462="利用可",AN1462="利用可"),"利用可","不可")</f>
        <v>不可</v>
      </c>
      <c r="AY1462" s="30" t="str">
        <f aca="false">IF(AND(AQ1462="利用可",AT1462="利用可",AW1462="利用可"),"利用可","不可")</f>
        <v>不可</v>
      </c>
    </row>
    <row r="1463" customFormat="false" ht="15" hidden="false" customHeight="false" outlineLevel="0" collapsed="false">
      <c r="A1463" s="29" t="n">
        <v>46292</v>
      </c>
      <c r="B1463" s="30" t="n">
        <v>20</v>
      </c>
      <c r="C1463" s="31" t="s">
        <v>65</v>
      </c>
      <c r="D1463" s="31" t="s">
        <v>64</v>
      </c>
      <c r="E1463" s="30" t="n">
        <v>60</v>
      </c>
      <c r="F1463" s="30" t="n">
        <v>37</v>
      </c>
      <c r="G1463" s="30" t="str">
        <f aca="false">IF(E1463&lt;判定条件!$C$6,"判定不能",IF(F1463&gt;=判定条件!$C$7*E1463,"運転",IF(F1463&lt;=判定条件!$C$8*E1463,"停止","断続")))</f>
        <v>断続</v>
      </c>
      <c r="H1463" s="30" t="n">
        <v>60</v>
      </c>
      <c r="I1463" s="30" t="n">
        <v>20</v>
      </c>
      <c r="J1463" s="30" t="str">
        <f aca="false">IF(H1463&lt;判定条件!$C$6,"判定不能",IF(I1463&gt;=判定条件!$C$7*H1463,"運転",IF(I1463&lt;=判定条件!$C$8*H1463,"停止","断続")))</f>
        <v>断続</v>
      </c>
      <c r="K1463" s="30" t="n">
        <v>60</v>
      </c>
      <c r="L1463" s="30" t="n">
        <v>60</v>
      </c>
      <c r="M1463" s="30" t="str">
        <f aca="false">IF(K1463&lt;判定条件!$C$6,"判定不能",IF(L1463&gt;=判定条件!$C$7*K1463,"運転",IF(L1463&lt;=判定条件!$C$8*K1463,"停止","断続")))</f>
        <v>運転</v>
      </c>
      <c r="N1463" s="30" t="n">
        <v>60</v>
      </c>
      <c r="O1463" s="30" t="n">
        <v>29</v>
      </c>
      <c r="P1463" s="30" t="str">
        <f aca="false">IF(N1463&lt;判定条件!$C$6,"判定不能",IF(O1463&gt;=判定条件!$C$7*N1463,"運転",IF(O1463&lt;=判定条件!$C$8*N1463,"停止","断続")))</f>
        <v>断続</v>
      </c>
      <c r="Q1463" s="30" t="n">
        <v>60</v>
      </c>
      <c r="R1463" s="30" t="n">
        <v>0</v>
      </c>
      <c r="S1463" s="30" t="str">
        <f aca="false">IF(Q1463&lt;判定条件!$C$6,"判定不能",IF(R1463&gt;=判定条件!$C$7*Q1463,"運転",IF(R1463&lt;=判定条件!$C$8*Q1463,"停止","断続")))</f>
        <v>停止</v>
      </c>
      <c r="T1463" s="30" t="n">
        <v>60</v>
      </c>
      <c r="U1463" s="30" t="n">
        <v>0</v>
      </c>
      <c r="V1463" s="30" t="str">
        <f aca="false">IF(T1463&lt;判定条件!$C$6,"判定不能",IF(U1463&gt;=判定条件!$C$7*T1463,"運転",IF(U1463&lt;=判定条件!$C$8*T1463,"停止","断続")))</f>
        <v>停止</v>
      </c>
      <c r="W1463" s="30" t="n">
        <v>0</v>
      </c>
      <c r="X1463" s="30" t="n">
        <v>0</v>
      </c>
      <c r="Y1463" s="30" t="str">
        <f aca="false">IF(W1463&lt;判定条件!$C$6,"判定不能",IF(X1463&gt;=判定条件!$C$7*W1463,"運転",IF(X1463&lt;=判定条件!$C$8*W1463,"停止","断続")))</f>
        <v>判定不能</v>
      </c>
      <c r="Z1463" s="30" t="n">
        <v>0</v>
      </c>
      <c r="AA1463" s="30" t="n">
        <v>0</v>
      </c>
      <c r="AB1463" s="30" t="str">
        <f aca="false">IF(Z1463&lt;判定条件!$C$6,"判定不能",IF(AA1463&gt;=判定条件!$C$7*Z1463,"運転",IF(AA1463&lt;=判定条件!$C$8*Z1463,"停止","断続")))</f>
        <v>判定不能</v>
      </c>
      <c r="AC1463" s="30" t="n">
        <v>0</v>
      </c>
      <c r="AD1463" s="30" t="n">
        <v>0</v>
      </c>
      <c r="AE1463" s="30" t="str">
        <f aca="false">IF(AC1463&lt;判定条件!$C$6,"判定不能",IF(AD1463&gt;=判定条件!$C$7*AC1463,"運転",IF(AD1463&lt;=判定条件!$C$8*AC1463,"停止","断続")))</f>
        <v>判定不能</v>
      </c>
      <c r="AF1463" s="30" t="n">
        <v>60</v>
      </c>
      <c r="AG1463" s="30" t="n">
        <v>21</v>
      </c>
      <c r="AH1463" s="30" t="str">
        <f aca="false">IF(OR(P1463="判定不能",G1463="判定不能"),"判定不能",IF(AG1463&gt;=判定条件!$C$9,"利用可",IF(AND(P1463="停止",G1463="停止"),"両方停止","運転がそろわない")))</f>
        <v>運転がそろわない</v>
      </c>
      <c r="AI1463" s="30" t="n">
        <v>60</v>
      </c>
      <c r="AJ1463" s="30" t="n">
        <v>0</v>
      </c>
      <c r="AK1463" s="30" t="str">
        <f aca="false">IF(OR(S1463="判定不能",J1463="判定不能"),"判定不能",IF(AJ1463&gt;=判定条件!$C$9,"利用可",IF(AND(S1463="停止",J1463="停止"),"両方停止","運転がそろわない")))</f>
        <v>運転がそろわない</v>
      </c>
      <c r="AL1463" s="30" t="n">
        <v>60</v>
      </c>
      <c r="AM1463" s="30" t="n">
        <v>0</v>
      </c>
      <c r="AN1463" s="30" t="str">
        <f aca="false">IF(OR(V1463="判定不能",M1463="判定不能"),"判定不能",IF(AM1463&gt;=判定条件!$C$9,"利用可",IF(AND(V1463="停止",M1463="停止"),"両方停止","運転がそろわない")))</f>
        <v>運転がそろわない</v>
      </c>
      <c r="AO1463" s="30" t="n">
        <v>0</v>
      </c>
      <c r="AP1463" s="30" t="n">
        <v>0</v>
      </c>
      <c r="AQ1463" s="30" t="str">
        <f aca="false">IF(OR(Y1463="判定不能",G1463="判定不能"),"判定不能",IF(AP1463&gt;=判定条件!$C$9,"利用可",IF(AND(Y1463="停止",G1463="停止"),"両方停止","運転がそろわない")))</f>
        <v>判定不能</v>
      </c>
      <c r="AR1463" s="30" t="n">
        <v>0</v>
      </c>
      <c r="AS1463" s="30" t="n">
        <v>0</v>
      </c>
      <c r="AT1463" s="30" t="str">
        <f aca="false">IF(OR(AB1463="判定不能",J1463="判定不能"),"判定不能",IF(AS1463&gt;=判定条件!$C$9,"利用可",IF(AND(AB1463="停止",J1463="停止"),"両方停止","運転がそろわない")))</f>
        <v>判定不能</v>
      </c>
      <c r="AU1463" s="30" t="n">
        <v>0</v>
      </c>
      <c r="AV1463" s="30" t="n">
        <v>0</v>
      </c>
      <c r="AW1463" s="30" t="str">
        <f aca="false">IF(OR(AE1463="判定不能",M1463="判定不能"),"判定不能",IF(AV1463&gt;=判定条件!$C$9,"利用可",IF(AND(AE1463="停止",M1463="停止"),"両方停止","運転がそろわない")))</f>
        <v>判定不能</v>
      </c>
      <c r="AX1463" s="30" t="str">
        <f aca="false">IF(AND(AH1463="利用可",AK1463="利用可",AN1463="利用可"),"利用可","不可")</f>
        <v>不可</v>
      </c>
      <c r="AY1463" s="30" t="str">
        <f aca="false">IF(AND(AQ1463="利用可",AT1463="利用可",AW1463="利用可"),"利用可","不可")</f>
        <v>不可</v>
      </c>
    </row>
    <row r="1464" customFormat="false" ht="15" hidden="false" customHeight="false" outlineLevel="0" collapsed="false">
      <c r="A1464" s="29" t="n">
        <v>46292</v>
      </c>
      <c r="B1464" s="30" t="n">
        <v>21</v>
      </c>
      <c r="C1464" s="31" t="s">
        <v>65</v>
      </c>
      <c r="D1464" s="31" t="s">
        <v>64</v>
      </c>
      <c r="E1464" s="30" t="n">
        <v>60</v>
      </c>
      <c r="F1464" s="30" t="n">
        <v>25</v>
      </c>
      <c r="G1464" s="30" t="str">
        <f aca="false">IF(E1464&lt;判定条件!$C$6,"判定不能",IF(F1464&gt;=判定条件!$C$7*E1464,"運転",IF(F1464&lt;=判定条件!$C$8*E1464,"停止","断続")))</f>
        <v>断続</v>
      </c>
      <c r="H1464" s="30" t="n">
        <v>60</v>
      </c>
      <c r="I1464" s="30" t="n">
        <v>13</v>
      </c>
      <c r="J1464" s="30" t="str">
        <f aca="false">IF(H1464&lt;判定条件!$C$6,"判定不能",IF(I1464&gt;=判定条件!$C$7*H1464,"運転",IF(I1464&lt;=判定条件!$C$8*H1464,"停止","断続")))</f>
        <v>断続</v>
      </c>
      <c r="K1464" s="30" t="n">
        <v>60</v>
      </c>
      <c r="L1464" s="30" t="n">
        <v>21</v>
      </c>
      <c r="M1464" s="30" t="str">
        <f aca="false">IF(K1464&lt;判定条件!$C$6,"判定不能",IF(L1464&gt;=判定条件!$C$7*K1464,"運転",IF(L1464&lt;=判定条件!$C$8*K1464,"停止","断続")))</f>
        <v>断続</v>
      </c>
      <c r="N1464" s="30" t="n">
        <v>60</v>
      </c>
      <c r="O1464" s="30" t="n">
        <v>0</v>
      </c>
      <c r="P1464" s="30" t="str">
        <f aca="false">IF(N1464&lt;判定条件!$C$6,"判定不能",IF(O1464&gt;=判定条件!$C$7*N1464,"運転",IF(O1464&lt;=判定条件!$C$8*N1464,"停止","断続")))</f>
        <v>停止</v>
      </c>
      <c r="Q1464" s="30" t="n">
        <v>60</v>
      </c>
      <c r="R1464" s="30" t="n">
        <v>0</v>
      </c>
      <c r="S1464" s="30" t="str">
        <f aca="false">IF(Q1464&lt;判定条件!$C$6,"判定不能",IF(R1464&gt;=判定条件!$C$7*Q1464,"運転",IF(R1464&lt;=判定条件!$C$8*Q1464,"停止","断続")))</f>
        <v>停止</v>
      </c>
      <c r="T1464" s="30" t="n">
        <v>60</v>
      </c>
      <c r="U1464" s="30" t="n">
        <v>0</v>
      </c>
      <c r="V1464" s="30" t="str">
        <f aca="false">IF(T1464&lt;判定条件!$C$6,"判定不能",IF(U1464&gt;=判定条件!$C$7*T1464,"運転",IF(U1464&lt;=判定条件!$C$8*T1464,"停止","断続")))</f>
        <v>停止</v>
      </c>
      <c r="W1464" s="30" t="n">
        <v>0</v>
      </c>
      <c r="X1464" s="30" t="n">
        <v>0</v>
      </c>
      <c r="Y1464" s="30" t="str">
        <f aca="false">IF(W1464&lt;判定条件!$C$6,"判定不能",IF(X1464&gt;=判定条件!$C$7*W1464,"運転",IF(X1464&lt;=判定条件!$C$8*W1464,"停止","断続")))</f>
        <v>判定不能</v>
      </c>
      <c r="Z1464" s="30" t="n">
        <v>0</v>
      </c>
      <c r="AA1464" s="30" t="n">
        <v>0</v>
      </c>
      <c r="AB1464" s="30" t="str">
        <f aca="false">IF(Z1464&lt;判定条件!$C$6,"判定不能",IF(AA1464&gt;=判定条件!$C$7*Z1464,"運転",IF(AA1464&lt;=判定条件!$C$8*Z1464,"停止","断続")))</f>
        <v>判定不能</v>
      </c>
      <c r="AC1464" s="30" t="n">
        <v>0</v>
      </c>
      <c r="AD1464" s="30" t="n">
        <v>0</v>
      </c>
      <c r="AE1464" s="30" t="str">
        <f aca="false">IF(AC1464&lt;判定条件!$C$6,"判定不能",IF(AD1464&gt;=判定条件!$C$7*AC1464,"運転",IF(AD1464&lt;=判定条件!$C$8*AC1464,"停止","断続")))</f>
        <v>判定不能</v>
      </c>
      <c r="AF1464" s="30" t="n">
        <v>60</v>
      </c>
      <c r="AG1464" s="30" t="n">
        <v>0</v>
      </c>
      <c r="AH1464" s="30" t="str">
        <f aca="false">IF(OR(P1464="判定不能",G1464="判定不能"),"判定不能",IF(AG1464&gt;=判定条件!$C$9,"利用可",IF(AND(P1464="停止",G1464="停止"),"両方停止","運転がそろわない")))</f>
        <v>運転がそろわない</v>
      </c>
      <c r="AI1464" s="30" t="n">
        <v>60</v>
      </c>
      <c r="AJ1464" s="30" t="n">
        <v>0</v>
      </c>
      <c r="AK1464" s="30" t="str">
        <f aca="false">IF(OR(S1464="判定不能",J1464="判定不能"),"判定不能",IF(AJ1464&gt;=判定条件!$C$9,"利用可",IF(AND(S1464="停止",J1464="停止"),"両方停止","運転がそろわない")))</f>
        <v>運転がそろわない</v>
      </c>
      <c r="AL1464" s="30" t="n">
        <v>60</v>
      </c>
      <c r="AM1464" s="30" t="n">
        <v>0</v>
      </c>
      <c r="AN1464" s="30" t="str">
        <f aca="false">IF(OR(V1464="判定不能",M1464="判定不能"),"判定不能",IF(AM1464&gt;=判定条件!$C$9,"利用可",IF(AND(V1464="停止",M1464="停止"),"両方停止","運転がそろわない")))</f>
        <v>運転がそろわない</v>
      </c>
      <c r="AO1464" s="30" t="n">
        <v>0</v>
      </c>
      <c r="AP1464" s="30" t="n">
        <v>0</v>
      </c>
      <c r="AQ1464" s="30" t="str">
        <f aca="false">IF(OR(Y1464="判定不能",G1464="判定不能"),"判定不能",IF(AP1464&gt;=判定条件!$C$9,"利用可",IF(AND(Y1464="停止",G1464="停止"),"両方停止","運転がそろわない")))</f>
        <v>判定不能</v>
      </c>
      <c r="AR1464" s="30" t="n">
        <v>0</v>
      </c>
      <c r="AS1464" s="30" t="n">
        <v>0</v>
      </c>
      <c r="AT1464" s="30" t="str">
        <f aca="false">IF(OR(AB1464="判定不能",J1464="判定不能"),"判定不能",IF(AS1464&gt;=判定条件!$C$9,"利用可",IF(AND(AB1464="停止",J1464="停止"),"両方停止","運転がそろわない")))</f>
        <v>判定不能</v>
      </c>
      <c r="AU1464" s="30" t="n">
        <v>0</v>
      </c>
      <c r="AV1464" s="30" t="n">
        <v>0</v>
      </c>
      <c r="AW1464" s="30" t="str">
        <f aca="false">IF(OR(AE1464="判定不能",M1464="判定不能"),"判定不能",IF(AV1464&gt;=判定条件!$C$9,"利用可",IF(AND(AE1464="停止",M1464="停止"),"両方停止","運転がそろわない")))</f>
        <v>判定不能</v>
      </c>
      <c r="AX1464" s="30" t="str">
        <f aca="false">IF(AND(AH1464="利用可",AK1464="利用可",AN1464="利用可"),"利用可","不可")</f>
        <v>不可</v>
      </c>
      <c r="AY1464" s="30" t="str">
        <f aca="false">IF(AND(AQ1464="利用可",AT1464="利用可",AW1464="利用可"),"利用可","不可")</f>
        <v>不可</v>
      </c>
    </row>
    <row r="1465" customFormat="false" ht="15" hidden="false" customHeight="false" outlineLevel="0" collapsed="false">
      <c r="A1465" s="29" t="n">
        <v>46292</v>
      </c>
      <c r="B1465" s="30" t="n">
        <v>22</v>
      </c>
      <c r="C1465" s="31" t="s">
        <v>65</v>
      </c>
      <c r="D1465" s="31" t="s">
        <v>64</v>
      </c>
      <c r="E1465" s="30" t="n">
        <v>60</v>
      </c>
      <c r="F1465" s="30" t="n">
        <v>0</v>
      </c>
      <c r="G1465" s="30" t="str">
        <f aca="false">IF(E1465&lt;判定条件!$C$6,"判定不能",IF(F1465&gt;=判定条件!$C$7*E1465,"運転",IF(F1465&lt;=判定条件!$C$8*E1465,"停止","断続")))</f>
        <v>停止</v>
      </c>
      <c r="H1465" s="30" t="n">
        <v>60</v>
      </c>
      <c r="I1465" s="30" t="n">
        <v>0</v>
      </c>
      <c r="J1465" s="30" t="str">
        <f aca="false">IF(H1465&lt;判定条件!$C$6,"判定不能",IF(I1465&gt;=判定条件!$C$7*H1465,"運転",IF(I1465&lt;=判定条件!$C$8*H1465,"停止","断続")))</f>
        <v>停止</v>
      </c>
      <c r="K1465" s="30" t="n">
        <v>60</v>
      </c>
      <c r="L1465" s="30" t="n">
        <v>0</v>
      </c>
      <c r="M1465" s="30" t="str">
        <f aca="false">IF(K1465&lt;判定条件!$C$6,"判定不能",IF(L1465&gt;=判定条件!$C$7*K1465,"運転",IF(L1465&lt;=判定条件!$C$8*K1465,"停止","断続")))</f>
        <v>停止</v>
      </c>
      <c r="N1465" s="30" t="n">
        <v>60</v>
      </c>
      <c r="O1465" s="30" t="n">
        <v>0</v>
      </c>
      <c r="P1465" s="30" t="str">
        <f aca="false">IF(N1465&lt;判定条件!$C$6,"判定不能",IF(O1465&gt;=判定条件!$C$7*N1465,"運転",IF(O1465&lt;=判定条件!$C$8*N1465,"停止","断続")))</f>
        <v>停止</v>
      </c>
      <c r="Q1465" s="30" t="n">
        <v>60</v>
      </c>
      <c r="R1465" s="30" t="n">
        <v>0</v>
      </c>
      <c r="S1465" s="30" t="str">
        <f aca="false">IF(Q1465&lt;判定条件!$C$6,"判定不能",IF(R1465&gt;=判定条件!$C$7*Q1465,"運転",IF(R1465&lt;=判定条件!$C$8*Q1465,"停止","断続")))</f>
        <v>停止</v>
      </c>
      <c r="T1465" s="30" t="n">
        <v>60</v>
      </c>
      <c r="U1465" s="30" t="n">
        <v>0</v>
      </c>
      <c r="V1465" s="30" t="str">
        <f aca="false">IF(T1465&lt;判定条件!$C$6,"判定不能",IF(U1465&gt;=判定条件!$C$7*T1465,"運転",IF(U1465&lt;=判定条件!$C$8*T1465,"停止","断続")))</f>
        <v>停止</v>
      </c>
      <c r="W1465" s="30" t="n">
        <v>0</v>
      </c>
      <c r="X1465" s="30" t="n">
        <v>0</v>
      </c>
      <c r="Y1465" s="30" t="str">
        <f aca="false">IF(W1465&lt;判定条件!$C$6,"判定不能",IF(X1465&gt;=判定条件!$C$7*W1465,"運転",IF(X1465&lt;=判定条件!$C$8*W1465,"停止","断続")))</f>
        <v>判定不能</v>
      </c>
      <c r="Z1465" s="30" t="n">
        <v>0</v>
      </c>
      <c r="AA1465" s="30" t="n">
        <v>0</v>
      </c>
      <c r="AB1465" s="30" t="str">
        <f aca="false">IF(Z1465&lt;判定条件!$C$6,"判定不能",IF(AA1465&gt;=判定条件!$C$7*Z1465,"運転",IF(AA1465&lt;=判定条件!$C$8*Z1465,"停止","断続")))</f>
        <v>判定不能</v>
      </c>
      <c r="AC1465" s="30" t="n">
        <v>0</v>
      </c>
      <c r="AD1465" s="30" t="n">
        <v>0</v>
      </c>
      <c r="AE1465" s="30" t="str">
        <f aca="false">IF(AC1465&lt;判定条件!$C$6,"判定不能",IF(AD1465&gt;=判定条件!$C$7*AC1465,"運転",IF(AD1465&lt;=判定条件!$C$8*AC1465,"停止","断続")))</f>
        <v>判定不能</v>
      </c>
      <c r="AF1465" s="30" t="n">
        <v>60</v>
      </c>
      <c r="AG1465" s="30" t="n">
        <v>0</v>
      </c>
      <c r="AH1465" s="30" t="str">
        <f aca="false">IF(OR(P1465="判定不能",G1465="判定不能"),"判定不能",IF(AG1465&gt;=判定条件!$C$9,"利用可",IF(AND(P1465="停止",G1465="停止"),"両方停止","運転がそろわない")))</f>
        <v>両方停止</v>
      </c>
      <c r="AI1465" s="30" t="n">
        <v>60</v>
      </c>
      <c r="AJ1465" s="30" t="n">
        <v>0</v>
      </c>
      <c r="AK1465" s="30" t="str">
        <f aca="false">IF(OR(S1465="判定不能",J1465="判定不能"),"判定不能",IF(AJ1465&gt;=判定条件!$C$9,"利用可",IF(AND(S1465="停止",J1465="停止"),"両方停止","運転がそろわない")))</f>
        <v>両方停止</v>
      </c>
      <c r="AL1465" s="30" t="n">
        <v>60</v>
      </c>
      <c r="AM1465" s="30" t="n">
        <v>0</v>
      </c>
      <c r="AN1465" s="30" t="str">
        <f aca="false">IF(OR(V1465="判定不能",M1465="判定不能"),"判定不能",IF(AM1465&gt;=判定条件!$C$9,"利用可",IF(AND(V1465="停止",M1465="停止"),"両方停止","運転がそろわない")))</f>
        <v>両方停止</v>
      </c>
      <c r="AO1465" s="30" t="n">
        <v>0</v>
      </c>
      <c r="AP1465" s="30" t="n">
        <v>0</v>
      </c>
      <c r="AQ1465" s="30" t="str">
        <f aca="false">IF(OR(Y1465="判定不能",G1465="判定不能"),"判定不能",IF(AP1465&gt;=判定条件!$C$9,"利用可",IF(AND(Y1465="停止",G1465="停止"),"両方停止","運転がそろわない")))</f>
        <v>判定不能</v>
      </c>
      <c r="AR1465" s="30" t="n">
        <v>0</v>
      </c>
      <c r="AS1465" s="30" t="n">
        <v>0</v>
      </c>
      <c r="AT1465" s="30" t="str">
        <f aca="false">IF(OR(AB1465="判定不能",J1465="判定不能"),"判定不能",IF(AS1465&gt;=判定条件!$C$9,"利用可",IF(AND(AB1465="停止",J1465="停止"),"両方停止","運転がそろわない")))</f>
        <v>判定不能</v>
      </c>
      <c r="AU1465" s="30" t="n">
        <v>0</v>
      </c>
      <c r="AV1465" s="30" t="n">
        <v>0</v>
      </c>
      <c r="AW1465" s="30" t="str">
        <f aca="false">IF(OR(AE1465="判定不能",M1465="判定不能"),"判定不能",IF(AV1465&gt;=判定条件!$C$9,"利用可",IF(AND(AE1465="停止",M1465="停止"),"両方停止","運転がそろわない")))</f>
        <v>判定不能</v>
      </c>
      <c r="AX1465" s="30" t="str">
        <f aca="false">IF(AND(AH1465="利用可",AK1465="利用可",AN1465="利用可"),"利用可","不可")</f>
        <v>不可</v>
      </c>
      <c r="AY1465" s="30" t="str">
        <f aca="false">IF(AND(AQ1465="利用可",AT1465="利用可",AW1465="利用可"),"利用可","不可")</f>
        <v>不可</v>
      </c>
    </row>
    <row r="1466" customFormat="false" ht="15" hidden="false" customHeight="false" outlineLevel="0" collapsed="false">
      <c r="A1466" s="29" t="n">
        <v>46292</v>
      </c>
      <c r="B1466" s="30" t="n">
        <v>23</v>
      </c>
      <c r="C1466" s="31" t="s">
        <v>65</v>
      </c>
      <c r="D1466" s="31" t="s">
        <v>64</v>
      </c>
      <c r="E1466" s="30" t="n">
        <v>60</v>
      </c>
      <c r="F1466" s="30" t="n">
        <v>0</v>
      </c>
      <c r="G1466" s="30" t="str">
        <f aca="false">IF(E1466&lt;判定条件!$C$6,"判定不能",IF(F1466&gt;=判定条件!$C$7*E1466,"運転",IF(F1466&lt;=判定条件!$C$8*E1466,"停止","断続")))</f>
        <v>停止</v>
      </c>
      <c r="H1466" s="30" t="n">
        <v>60</v>
      </c>
      <c r="I1466" s="30" t="n">
        <v>0</v>
      </c>
      <c r="J1466" s="30" t="str">
        <f aca="false">IF(H1466&lt;判定条件!$C$6,"判定不能",IF(I1466&gt;=判定条件!$C$7*H1466,"運転",IF(I1466&lt;=判定条件!$C$8*H1466,"停止","断続")))</f>
        <v>停止</v>
      </c>
      <c r="K1466" s="30" t="n">
        <v>60</v>
      </c>
      <c r="L1466" s="30" t="n">
        <v>0</v>
      </c>
      <c r="M1466" s="30" t="str">
        <f aca="false">IF(K1466&lt;判定条件!$C$6,"判定不能",IF(L1466&gt;=判定条件!$C$7*K1466,"運転",IF(L1466&lt;=判定条件!$C$8*K1466,"停止","断続")))</f>
        <v>停止</v>
      </c>
      <c r="N1466" s="30" t="n">
        <v>60</v>
      </c>
      <c r="O1466" s="30" t="n">
        <v>0</v>
      </c>
      <c r="P1466" s="30" t="str">
        <f aca="false">IF(N1466&lt;判定条件!$C$6,"判定不能",IF(O1466&gt;=判定条件!$C$7*N1466,"運転",IF(O1466&lt;=判定条件!$C$8*N1466,"停止","断続")))</f>
        <v>停止</v>
      </c>
      <c r="Q1466" s="30" t="n">
        <v>60</v>
      </c>
      <c r="R1466" s="30" t="n">
        <v>0</v>
      </c>
      <c r="S1466" s="30" t="str">
        <f aca="false">IF(Q1466&lt;判定条件!$C$6,"判定不能",IF(R1466&gt;=判定条件!$C$7*Q1466,"運転",IF(R1466&lt;=判定条件!$C$8*Q1466,"停止","断続")))</f>
        <v>停止</v>
      </c>
      <c r="T1466" s="30" t="n">
        <v>60</v>
      </c>
      <c r="U1466" s="30" t="n">
        <v>0</v>
      </c>
      <c r="V1466" s="30" t="str">
        <f aca="false">IF(T1466&lt;判定条件!$C$6,"判定不能",IF(U1466&gt;=判定条件!$C$7*T1466,"運転",IF(U1466&lt;=判定条件!$C$8*T1466,"停止","断続")))</f>
        <v>停止</v>
      </c>
      <c r="W1466" s="30" t="n">
        <v>0</v>
      </c>
      <c r="X1466" s="30" t="n">
        <v>0</v>
      </c>
      <c r="Y1466" s="30" t="str">
        <f aca="false">IF(W1466&lt;判定条件!$C$6,"判定不能",IF(X1466&gt;=判定条件!$C$7*W1466,"運転",IF(X1466&lt;=判定条件!$C$8*W1466,"停止","断続")))</f>
        <v>判定不能</v>
      </c>
      <c r="Z1466" s="30" t="n">
        <v>0</v>
      </c>
      <c r="AA1466" s="30" t="n">
        <v>0</v>
      </c>
      <c r="AB1466" s="30" t="str">
        <f aca="false">IF(Z1466&lt;判定条件!$C$6,"判定不能",IF(AA1466&gt;=判定条件!$C$7*Z1466,"運転",IF(AA1466&lt;=判定条件!$C$8*Z1466,"停止","断続")))</f>
        <v>判定不能</v>
      </c>
      <c r="AC1466" s="30" t="n">
        <v>0</v>
      </c>
      <c r="AD1466" s="30" t="n">
        <v>0</v>
      </c>
      <c r="AE1466" s="30" t="str">
        <f aca="false">IF(AC1466&lt;判定条件!$C$6,"判定不能",IF(AD1466&gt;=判定条件!$C$7*AC1466,"運転",IF(AD1466&lt;=判定条件!$C$8*AC1466,"停止","断続")))</f>
        <v>判定不能</v>
      </c>
      <c r="AF1466" s="30" t="n">
        <v>60</v>
      </c>
      <c r="AG1466" s="30" t="n">
        <v>0</v>
      </c>
      <c r="AH1466" s="30" t="str">
        <f aca="false">IF(OR(P1466="判定不能",G1466="判定不能"),"判定不能",IF(AG1466&gt;=判定条件!$C$9,"利用可",IF(AND(P1466="停止",G1466="停止"),"両方停止","運転がそろわない")))</f>
        <v>両方停止</v>
      </c>
      <c r="AI1466" s="30" t="n">
        <v>60</v>
      </c>
      <c r="AJ1466" s="30" t="n">
        <v>0</v>
      </c>
      <c r="AK1466" s="30" t="str">
        <f aca="false">IF(OR(S1466="判定不能",J1466="判定不能"),"判定不能",IF(AJ1466&gt;=判定条件!$C$9,"利用可",IF(AND(S1466="停止",J1466="停止"),"両方停止","運転がそろわない")))</f>
        <v>両方停止</v>
      </c>
      <c r="AL1466" s="30" t="n">
        <v>60</v>
      </c>
      <c r="AM1466" s="30" t="n">
        <v>0</v>
      </c>
      <c r="AN1466" s="30" t="str">
        <f aca="false">IF(OR(V1466="判定不能",M1466="判定不能"),"判定不能",IF(AM1466&gt;=判定条件!$C$9,"利用可",IF(AND(V1466="停止",M1466="停止"),"両方停止","運転がそろわない")))</f>
        <v>両方停止</v>
      </c>
      <c r="AO1466" s="30" t="n">
        <v>0</v>
      </c>
      <c r="AP1466" s="30" t="n">
        <v>0</v>
      </c>
      <c r="AQ1466" s="30" t="str">
        <f aca="false">IF(OR(Y1466="判定不能",G1466="判定不能"),"判定不能",IF(AP1466&gt;=判定条件!$C$9,"利用可",IF(AND(Y1466="停止",G1466="停止"),"両方停止","運転がそろわない")))</f>
        <v>判定不能</v>
      </c>
      <c r="AR1466" s="30" t="n">
        <v>0</v>
      </c>
      <c r="AS1466" s="30" t="n">
        <v>0</v>
      </c>
      <c r="AT1466" s="30" t="str">
        <f aca="false">IF(OR(AB1466="判定不能",J1466="判定不能"),"判定不能",IF(AS1466&gt;=判定条件!$C$9,"利用可",IF(AND(AB1466="停止",J1466="停止"),"両方停止","運転がそろわない")))</f>
        <v>判定不能</v>
      </c>
      <c r="AU1466" s="30" t="n">
        <v>0</v>
      </c>
      <c r="AV1466" s="30" t="n">
        <v>0</v>
      </c>
      <c r="AW1466" s="30" t="str">
        <f aca="false">IF(OR(AE1466="判定不能",M1466="判定不能"),"判定不能",IF(AV1466&gt;=判定条件!$C$9,"利用可",IF(AND(AE1466="停止",M1466="停止"),"両方停止","運転がそろわない")))</f>
        <v>判定不能</v>
      </c>
      <c r="AX1466" s="30" t="str">
        <f aca="false">IF(AND(AH1466="利用可",AK1466="利用可",AN1466="利用可"),"利用可","不可")</f>
        <v>不可</v>
      </c>
      <c r="AY1466" s="30" t="str">
        <f aca="false">IF(AND(AQ1466="利用可",AT1466="利用可",AW1466="利用可"),"利用可","不可")</f>
        <v>不可</v>
      </c>
    </row>
    <row r="1467" customFormat="false" ht="15" hidden="false" customHeight="false" outlineLevel="0" collapsed="false">
      <c r="A1467" s="29" t="n">
        <v>46293</v>
      </c>
      <c r="B1467" s="30" t="n">
        <v>0</v>
      </c>
      <c r="C1467" s="31" t="s">
        <v>66</v>
      </c>
      <c r="D1467" s="31" t="s">
        <v>59</v>
      </c>
      <c r="E1467" s="30" t="n">
        <v>60</v>
      </c>
      <c r="F1467" s="30" t="n">
        <v>0</v>
      </c>
      <c r="G1467" s="30" t="str">
        <f aca="false">IF(E1467&lt;判定条件!$C$6,"判定不能",IF(F1467&gt;=判定条件!$C$7*E1467,"運転",IF(F1467&lt;=判定条件!$C$8*E1467,"停止","断続")))</f>
        <v>停止</v>
      </c>
      <c r="H1467" s="30" t="n">
        <v>60</v>
      </c>
      <c r="I1467" s="30" t="n">
        <v>0</v>
      </c>
      <c r="J1467" s="30" t="str">
        <f aca="false">IF(H1467&lt;判定条件!$C$6,"判定不能",IF(I1467&gt;=判定条件!$C$7*H1467,"運転",IF(I1467&lt;=判定条件!$C$8*H1467,"停止","断続")))</f>
        <v>停止</v>
      </c>
      <c r="K1467" s="30" t="n">
        <v>60</v>
      </c>
      <c r="L1467" s="30" t="n">
        <v>0</v>
      </c>
      <c r="M1467" s="30" t="str">
        <f aca="false">IF(K1467&lt;判定条件!$C$6,"判定不能",IF(L1467&gt;=判定条件!$C$7*K1467,"運転",IF(L1467&lt;=判定条件!$C$8*K1467,"停止","断続")))</f>
        <v>停止</v>
      </c>
      <c r="N1467" s="30" t="n">
        <v>60</v>
      </c>
      <c r="O1467" s="30" t="n">
        <v>0</v>
      </c>
      <c r="P1467" s="30" t="str">
        <f aca="false">IF(N1467&lt;判定条件!$C$6,"判定不能",IF(O1467&gt;=判定条件!$C$7*N1467,"運転",IF(O1467&lt;=判定条件!$C$8*N1467,"停止","断続")))</f>
        <v>停止</v>
      </c>
      <c r="Q1467" s="30" t="n">
        <v>60</v>
      </c>
      <c r="R1467" s="30" t="n">
        <v>0</v>
      </c>
      <c r="S1467" s="30" t="str">
        <f aca="false">IF(Q1467&lt;判定条件!$C$6,"判定不能",IF(R1467&gt;=判定条件!$C$7*Q1467,"運転",IF(R1467&lt;=判定条件!$C$8*Q1467,"停止","断続")))</f>
        <v>停止</v>
      </c>
      <c r="T1467" s="30" t="n">
        <v>60</v>
      </c>
      <c r="U1467" s="30" t="n">
        <v>0</v>
      </c>
      <c r="V1467" s="30" t="str">
        <f aca="false">IF(T1467&lt;判定条件!$C$6,"判定不能",IF(U1467&gt;=判定条件!$C$7*T1467,"運転",IF(U1467&lt;=判定条件!$C$8*T1467,"停止","断続")))</f>
        <v>停止</v>
      </c>
      <c r="W1467" s="30" t="n">
        <v>0</v>
      </c>
      <c r="X1467" s="30" t="n">
        <v>0</v>
      </c>
      <c r="Y1467" s="30" t="str">
        <f aca="false">IF(W1467&lt;判定条件!$C$6,"判定不能",IF(X1467&gt;=判定条件!$C$7*W1467,"運転",IF(X1467&lt;=判定条件!$C$8*W1467,"停止","断続")))</f>
        <v>判定不能</v>
      </c>
      <c r="Z1467" s="30" t="n">
        <v>0</v>
      </c>
      <c r="AA1467" s="30" t="n">
        <v>0</v>
      </c>
      <c r="AB1467" s="30" t="str">
        <f aca="false">IF(Z1467&lt;判定条件!$C$6,"判定不能",IF(AA1467&gt;=判定条件!$C$7*Z1467,"運転",IF(AA1467&lt;=判定条件!$C$8*Z1467,"停止","断続")))</f>
        <v>判定不能</v>
      </c>
      <c r="AC1467" s="30" t="n">
        <v>0</v>
      </c>
      <c r="AD1467" s="30" t="n">
        <v>0</v>
      </c>
      <c r="AE1467" s="30" t="str">
        <f aca="false">IF(AC1467&lt;判定条件!$C$6,"判定不能",IF(AD1467&gt;=判定条件!$C$7*AC1467,"運転",IF(AD1467&lt;=判定条件!$C$8*AC1467,"停止","断続")))</f>
        <v>判定不能</v>
      </c>
      <c r="AF1467" s="30" t="n">
        <v>60</v>
      </c>
      <c r="AG1467" s="30" t="n">
        <v>0</v>
      </c>
      <c r="AH1467" s="30" t="str">
        <f aca="false">IF(OR(P1467="判定不能",G1467="判定不能"),"判定不能",IF(AG1467&gt;=判定条件!$C$9,"利用可",IF(AND(P1467="停止",G1467="停止"),"両方停止","運転がそろわない")))</f>
        <v>両方停止</v>
      </c>
      <c r="AI1467" s="30" t="n">
        <v>60</v>
      </c>
      <c r="AJ1467" s="30" t="n">
        <v>0</v>
      </c>
      <c r="AK1467" s="30" t="str">
        <f aca="false">IF(OR(S1467="判定不能",J1467="判定不能"),"判定不能",IF(AJ1467&gt;=判定条件!$C$9,"利用可",IF(AND(S1467="停止",J1467="停止"),"両方停止","運転がそろわない")))</f>
        <v>両方停止</v>
      </c>
      <c r="AL1467" s="30" t="n">
        <v>60</v>
      </c>
      <c r="AM1467" s="30" t="n">
        <v>0</v>
      </c>
      <c r="AN1467" s="30" t="str">
        <f aca="false">IF(OR(V1467="判定不能",M1467="判定不能"),"判定不能",IF(AM1467&gt;=判定条件!$C$9,"利用可",IF(AND(V1467="停止",M1467="停止"),"両方停止","運転がそろわない")))</f>
        <v>両方停止</v>
      </c>
      <c r="AO1467" s="30" t="n">
        <v>0</v>
      </c>
      <c r="AP1467" s="30" t="n">
        <v>0</v>
      </c>
      <c r="AQ1467" s="30" t="str">
        <f aca="false">IF(OR(Y1467="判定不能",G1467="判定不能"),"判定不能",IF(AP1467&gt;=判定条件!$C$9,"利用可",IF(AND(Y1467="停止",G1467="停止"),"両方停止","運転がそろわない")))</f>
        <v>判定不能</v>
      </c>
      <c r="AR1467" s="30" t="n">
        <v>0</v>
      </c>
      <c r="AS1467" s="30" t="n">
        <v>0</v>
      </c>
      <c r="AT1467" s="30" t="str">
        <f aca="false">IF(OR(AB1467="判定不能",J1467="判定不能"),"判定不能",IF(AS1467&gt;=判定条件!$C$9,"利用可",IF(AND(AB1467="停止",J1467="停止"),"両方停止","運転がそろわない")))</f>
        <v>判定不能</v>
      </c>
      <c r="AU1467" s="30" t="n">
        <v>0</v>
      </c>
      <c r="AV1467" s="30" t="n">
        <v>0</v>
      </c>
      <c r="AW1467" s="30" t="str">
        <f aca="false">IF(OR(AE1467="判定不能",M1467="判定不能"),"判定不能",IF(AV1467&gt;=判定条件!$C$9,"利用可",IF(AND(AE1467="停止",M1467="停止"),"両方停止","運転がそろわない")))</f>
        <v>判定不能</v>
      </c>
      <c r="AX1467" s="30" t="str">
        <f aca="false">IF(AND(AH1467="利用可",AK1467="利用可",AN1467="利用可"),"利用可","不可")</f>
        <v>不可</v>
      </c>
      <c r="AY1467" s="30" t="str">
        <f aca="false">IF(AND(AQ1467="利用可",AT1467="利用可",AW1467="利用可"),"利用可","不可")</f>
        <v>不可</v>
      </c>
    </row>
    <row r="1468" customFormat="false" ht="15" hidden="false" customHeight="false" outlineLevel="0" collapsed="false">
      <c r="A1468" s="29" t="n">
        <v>46293</v>
      </c>
      <c r="B1468" s="30" t="n">
        <v>1</v>
      </c>
      <c r="C1468" s="31" t="s">
        <v>66</v>
      </c>
      <c r="D1468" s="31" t="s">
        <v>59</v>
      </c>
      <c r="E1468" s="30" t="n">
        <v>60</v>
      </c>
      <c r="F1468" s="30" t="n">
        <v>0</v>
      </c>
      <c r="G1468" s="30" t="str">
        <f aca="false">IF(E1468&lt;判定条件!$C$6,"判定不能",IF(F1468&gt;=判定条件!$C$7*E1468,"運転",IF(F1468&lt;=判定条件!$C$8*E1468,"停止","断続")))</f>
        <v>停止</v>
      </c>
      <c r="H1468" s="30" t="n">
        <v>60</v>
      </c>
      <c r="I1468" s="30" t="n">
        <v>0</v>
      </c>
      <c r="J1468" s="30" t="str">
        <f aca="false">IF(H1468&lt;判定条件!$C$6,"判定不能",IF(I1468&gt;=判定条件!$C$7*H1468,"運転",IF(I1468&lt;=判定条件!$C$8*H1468,"停止","断続")))</f>
        <v>停止</v>
      </c>
      <c r="K1468" s="30" t="n">
        <v>60</v>
      </c>
      <c r="L1468" s="30" t="n">
        <v>0</v>
      </c>
      <c r="M1468" s="30" t="str">
        <f aca="false">IF(K1468&lt;判定条件!$C$6,"判定不能",IF(L1468&gt;=判定条件!$C$7*K1468,"運転",IF(L1468&lt;=判定条件!$C$8*K1468,"停止","断続")))</f>
        <v>停止</v>
      </c>
      <c r="N1468" s="30" t="n">
        <v>60</v>
      </c>
      <c r="O1468" s="30" t="n">
        <v>0</v>
      </c>
      <c r="P1468" s="30" t="str">
        <f aca="false">IF(N1468&lt;判定条件!$C$6,"判定不能",IF(O1468&gt;=判定条件!$C$7*N1468,"運転",IF(O1468&lt;=判定条件!$C$8*N1468,"停止","断続")))</f>
        <v>停止</v>
      </c>
      <c r="Q1468" s="30" t="n">
        <v>60</v>
      </c>
      <c r="R1468" s="30" t="n">
        <v>0</v>
      </c>
      <c r="S1468" s="30" t="str">
        <f aca="false">IF(Q1468&lt;判定条件!$C$6,"判定不能",IF(R1468&gt;=判定条件!$C$7*Q1468,"運転",IF(R1468&lt;=判定条件!$C$8*Q1468,"停止","断続")))</f>
        <v>停止</v>
      </c>
      <c r="T1468" s="30" t="n">
        <v>60</v>
      </c>
      <c r="U1468" s="30" t="n">
        <v>0</v>
      </c>
      <c r="V1468" s="30" t="str">
        <f aca="false">IF(T1468&lt;判定条件!$C$6,"判定不能",IF(U1468&gt;=判定条件!$C$7*T1468,"運転",IF(U1468&lt;=判定条件!$C$8*T1468,"停止","断続")))</f>
        <v>停止</v>
      </c>
      <c r="W1468" s="30" t="n">
        <v>0</v>
      </c>
      <c r="X1468" s="30" t="n">
        <v>0</v>
      </c>
      <c r="Y1468" s="30" t="str">
        <f aca="false">IF(W1468&lt;判定条件!$C$6,"判定不能",IF(X1468&gt;=判定条件!$C$7*W1468,"運転",IF(X1468&lt;=判定条件!$C$8*W1468,"停止","断続")))</f>
        <v>判定不能</v>
      </c>
      <c r="Z1468" s="30" t="n">
        <v>0</v>
      </c>
      <c r="AA1468" s="30" t="n">
        <v>0</v>
      </c>
      <c r="AB1468" s="30" t="str">
        <f aca="false">IF(Z1468&lt;判定条件!$C$6,"判定不能",IF(AA1468&gt;=判定条件!$C$7*Z1468,"運転",IF(AA1468&lt;=判定条件!$C$8*Z1468,"停止","断続")))</f>
        <v>判定不能</v>
      </c>
      <c r="AC1468" s="30" t="n">
        <v>0</v>
      </c>
      <c r="AD1468" s="30" t="n">
        <v>0</v>
      </c>
      <c r="AE1468" s="30" t="str">
        <f aca="false">IF(AC1468&lt;判定条件!$C$6,"判定不能",IF(AD1468&gt;=判定条件!$C$7*AC1468,"運転",IF(AD1468&lt;=判定条件!$C$8*AC1468,"停止","断続")))</f>
        <v>判定不能</v>
      </c>
      <c r="AF1468" s="30" t="n">
        <v>60</v>
      </c>
      <c r="AG1468" s="30" t="n">
        <v>0</v>
      </c>
      <c r="AH1468" s="30" t="str">
        <f aca="false">IF(OR(P1468="判定不能",G1468="判定不能"),"判定不能",IF(AG1468&gt;=判定条件!$C$9,"利用可",IF(AND(P1468="停止",G1468="停止"),"両方停止","運転がそろわない")))</f>
        <v>両方停止</v>
      </c>
      <c r="AI1468" s="30" t="n">
        <v>60</v>
      </c>
      <c r="AJ1468" s="30" t="n">
        <v>0</v>
      </c>
      <c r="AK1468" s="30" t="str">
        <f aca="false">IF(OR(S1468="判定不能",J1468="判定不能"),"判定不能",IF(AJ1468&gt;=判定条件!$C$9,"利用可",IF(AND(S1468="停止",J1468="停止"),"両方停止","運転がそろわない")))</f>
        <v>両方停止</v>
      </c>
      <c r="AL1468" s="30" t="n">
        <v>60</v>
      </c>
      <c r="AM1468" s="30" t="n">
        <v>0</v>
      </c>
      <c r="AN1468" s="30" t="str">
        <f aca="false">IF(OR(V1468="判定不能",M1468="判定不能"),"判定不能",IF(AM1468&gt;=判定条件!$C$9,"利用可",IF(AND(V1468="停止",M1468="停止"),"両方停止","運転がそろわない")))</f>
        <v>両方停止</v>
      </c>
      <c r="AO1468" s="30" t="n">
        <v>0</v>
      </c>
      <c r="AP1468" s="30" t="n">
        <v>0</v>
      </c>
      <c r="AQ1468" s="30" t="str">
        <f aca="false">IF(OR(Y1468="判定不能",G1468="判定不能"),"判定不能",IF(AP1468&gt;=判定条件!$C$9,"利用可",IF(AND(Y1468="停止",G1468="停止"),"両方停止","運転がそろわない")))</f>
        <v>判定不能</v>
      </c>
      <c r="AR1468" s="30" t="n">
        <v>0</v>
      </c>
      <c r="AS1468" s="30" t="n">
        <v>0</v>
      </c>
      <c r="AT1468" s="30" t="str">
        <f aca="false">IF(OR(AB1468="判定不能",J1468="判定不能"),"判定不能",IF(AS1468&gt;=判定条件!$C$9,"利用可",IF(AND(AB1468="停止",J1468="停止"),"両方停止","運転がそろわない")))</f>
        <v>判定不能</v>
      </c>
      <c r="AU1468" s="30" t="n">
        <v>0</v>
      </c>
      <c r="AV1468" s="30" t="n">
        <v>0</v>
      </c>
      <c r="AW1468" s="30" t="str">
        <f aca="false">IF(OR(AE1468="判定不能",M1468="判定不能"),"判定不能",IF(AV1468&gt;=判定条件!$C$9,"利用可",IF(AND(AE1468="停止",M1468="停止"),"両方停止","運転がそろわない")))</f>
        <v>判定不能</v>
      </c>
      <c r="AX1468" s="30" t="str">
        <f aca="false">IF(AND(AH1468="利用可",AK1468="利用可",AN1468="利用可"),"利用可","不可")</f>
        <v>不可</v>
      </c>
      <c r="AY1468" s="30" t="str">
        <f aca="false">IF(AND(AQ1468="利用可",AT1468="利用可",AW1468="利用可"),"利用可","不可")</f>
        <v>不可</v>
      </c>
    </row>
    <row r="1469" customFormat="false" ht="15" hidden="false" customHeight="false" outlineLevel="0" collapsed="false">
      <c r="A1469" s="29" t="n">
        <v>46293</v>
      </c>
      <c r="B1469" s="30" t="n">
        <v>2</v>
      </c>
      <c r="C1469" s="31" t="s">
        <v>66</v>
      </c>
      <c r="D1469" s="31" t="s">
        <v>59</v>
      </c>
      <c r="E1469" s="30" t="n">
        <v>60</v>
      </c>
      <c r="F1469" s="30" t="n">
        <v>0</v>
      </c>
      <c r="G1469" s="30" t="str">
        <f aca="false">IF(E1469&lt;判定条件!$C$6,"判定不能",IF(F1469&gt;=判定条件!$C$7*E1469,"運転",IF(F1469&lt;=判定条件!$C$8*E1469,"停止","断続")))</f>
        <v>停止</v>
      </c>
      <c r="H1469" s="30" t="n">
        <v>60</v>
      </c>
      <c r="I1469" s="30" t="n">
        <v>0</v>
      </c>
      <c r="J1469" s="30" t="str">
        <f aca="false">IF(H1469&lt;判定条件!$C$6,"判定不能",IF(I1469&gt;=判定条件!$C$7*H1469,"運転",IF(I1469&lt;=判定条件!$C$8*H1469,"停止","断続")))</f>
        <v>停止</v>
      </c>
      <c r="K1469" s="30" t="n">
        <v>60</v>
      </c>
      <c r="L1469" s="30" t="n">
        <v>0</v>
      </c>
      <c r="M1469" s="30" t="str">
        <f aca="false">IF(K1469&lt;判定条件!$C$6,"判定不能",IF(L1469&gt;=判定条件!$C$7*K1469,"運転",IF(L1469&lt;=判定条件!$C$8*K1469,"停止","断続")))</f>
        <v>停止</v>
      </c>
      <c r="N1469" s="30" t="n">
        <v>60</v>
      </c>
      <c r="O1469" s="30" t="n">
        <v>0</v>
      </c>
      <c r="P1469" s="30" t="str">
        <f aca="false">IF(N1469&lt;判定条件!$C$6,"判定不能",IF(O1469&gt;=判定条件!$C$7*N1469,"運転",IF(O1469&lt;=判定条件!$C$8*N1469,"停止","断続")))</f>
        <v>停止</v>
      </c>
      <c r="Q1469" s="30" t="n">
        <v>60</v>
      </c>
      <c r="R1469" s="30" t="n">
        <v>0</v>
      </c>
      <c r="S1469" s="30" t="str">
        <f aca="false">IF(Q1469&lt;判定条件!$C$6,"判定不能",IF(R1469&gt;=判定条件!$C$7*Q1469,"運転",IF(R1469&lt;=判定条件!$C$8*Q1469,"停止","断続")))</f>
        <v>停止</v>
      </c>
      <c r="T1469" s="30" t="n">
        <v>60</v>
      </c>
      <c r="U1469" s="30" t="n">
        <v>0</v>
      </c>
      <c r="V1469" s="30" t="str">
        <f aca="false">IF(T1469&lt;判定条件!$C$6,"判定不能",IF(U1469&gt;=判定条件!$C$7*T1469,"運転",IF(U1469&lt;=判定条件!$C$8*T1469,"停止","断続")))</f>
        <v>停止</v>
      </c>
      <c r="W1469" s="30" t="n">
        <v>0</v>
      </c>
      <c r="X1469" s="30" t="n">
        <v>0</v>
      </c>
      <c r="Y1469" s="30" t="str">
        <f aca="false">IF(W1469&lt;判定条件!$C$6,"判定不能",IF(X1469&gt;=判定条件!$C$7*W1469,"運転",IF(X1469&lt;=判定条件!$C$8*W1469,"停止","断続")))</f>
        <v>判定不能</v>
      </c>
      <c r="Z1469" s="30" t="n">
        <v>0</v>
      </c>
      <c r="AA1469" s="30" t="n">
        <v>0</v>
      </c>
      <c r="AB1469" s="30" t="str">
        <f aca="false">IF(Z1469&lt;判定条件!$C$6,"判定不能",IF(AA1469&gt;=判定条件!$C$7*Z1469,"運転",IF(AA1469&lt;=判定条件!$C$8*Z1469,"停止","断続")))</f>
        <v>判定不能</v>
      </c>
      <c r="AC1469" s="30" t="n">
        <v>0</v>
      </c>
      <c r="AD1469" s="30" t="n">
        <v>0</v>
      </c>
      <c r="AE1469" s="30" t="str">
        <f aca="false">IF(AC1469&lt;判定条件!$C$6,"判定不能",IF(AD1469&gt;=判定条件!$C$7*AC1469,"運転",IF(AD1469&lt;=判定条件!$C$8*AC1469,"停止","断続")))</f>
        <v>判定不能</v>
      </c>
      <c r="AF1469" s="30" t="n">
        <v>60</v>
      </c>
      <c r="AG1469" s="30" t="n">
        <v>0</v>
      </c>
      <c r="AH1469" s="30" t="str">
        <f aca="false">IF(OR(P1469="判定不能",G1469="判定不能"),"判定不能",IF(AG1469&gt;=判定条件!$C$9,"利用可",IF(AND(P1469="停止",G1469="停止"),"両方停止","運転がそろわない")))</f>
        <v>両方停止</v>
      </c>
      <c r="AI1469" s="30" t="n">
        <v>60</v>
      </c>
      <c r="AJ1469" s="30" t="n">
        <v>0</v>
      </c>
      <c r="AK1469" s="30" t="str">
        <f aca="false">IF(OR(S1469="判定不能",J1469="判定不能"),"判定不能",IF(AJ1469&gt;=判定条件!$C$9,"利用可",IF(AND(S1469="停止",J1469="停止"),"両方停止","運転がそろわない")))</f>
        <v>両方停止</v>
      </c>
      <c r="AL1469" s="30" t="n">
        <v>60</v>
      </c>
      <c r="AM1469" s="30" t="n">
        <v>0</v>
      </c>
      <c r="AN1469" s="30" t="str">
        <f aca="false">IF(OR(V1469="判定不能",M1469="判定不能"),"判定不能",IF(AM1469&gt;=判定条件!$C$9,"利用可",IF(AND(V1469="停止",M1469="停止"),"両方停止","運転がそろわない")))</f>
        <v>両方停止</v>
      </c>
      <c r="AO1469" s="30" t="n">
        <v>0</v>
      </c>
      <c r="AP1469" s="30" t="n">
        <v>0</v>
      </c>
      <c r="AQ1469" s="30" t="str">
        <f aca="false">IF(OR(Y1469="判定不能",G1469="判定不能"),"判定不能",IF(AP1469&gt;=判定条件!$C$9,"利用可",IF(AND(Y1469="停止",G1469="停止"),"両方停止","運転がそろわない")))</f>
        <v>判定不能</v>
      </c>
      <c r="AR1469" s="30" t="n">
        <v>0</v>
      </c>
      <c r="AS1469" s="30" t="n">
        <v>0</v>
      </c>
      <c r="AT1469" s="30" t="str">
        <f aca="false">IF(OR(AB1469="判定不能",J1469="判定不能"),"判定不能",IF(AS1469&gt;=判定条件!$C$9,"利用可",IF(AND(AB1469="停止",J1469="停止"),"両方停止","運転がそろわない")))</f>
        <v>判定不能</v>
      </c>
      <c r="AU1469" s="30" t="n">
        <v>0</v>
      </c>
      <c r="AV1469" s="30" t="n">
        <v>0</v>
      </c>
      <c r="AW1469" s="30" t="str">
        <f aca="false">IF(OR(AE1469="判定不能",M1469="判定不能"),"判定不能",IF(AV1469&gt;=判定条件!$C$9,"利用可",IF(AND(AE1469="停止",M1469="停止"),"両方停止","運転がそろわない")))</f>
        <v>判定不能</v>
      </c>
      <c r="AX1469" s="30" t="str">
        <f aca="false">IF(AND(AH1469="利用可",AK1469="利用可",AN1469="利用可"),"利用可","不可")</f>
        <v>不可</v>
      </c>
      <c r="AY1469" s="30" t="str">
        <f aca="false">IF(AND(AQ1469="利用可",AT1469="利用可",AW1469="利用可"),"利用可","不可")</f>
        <v>不可</v>
      </c>
    </row>
    <row r="1470" customFormat="false" ht="15" hidden="false" customHeight="false" outlineLevel="0" collapsed="false">
      <c r="A1470" s="29" t="n">
        <v>46293</v>
      </c>
      <c r="B1470" s="30" t="n">
        <v>3</v>
      </c>
      <c r="C1470" s="31" t="s">
        <v>66</v>
      </c>
      <c r="D1470" s="31" t="s">
        <v>59</v>
      </c>
      <c r="E1470" s="30" t="n">
        <v>60</v>
      </c>
      <c r="F1470" s="30" t="n">
        <v>0</v>
      </c>
      <c r="G1470" s="30" t="str">
        <f aca="false">IF(E1470&lt;判定条件!$C$6,"判定不能",IF(F1470&gt;=判定条件!$C$7*E1470,"運転",IF(F1470&lt;=判定条件!$C$8*E1470,"停止","断続")))</f>
        <v>停止</v>
      </c>
      <c r="H1470" s="30" t="n">
        <v>60</v>
      </c>
      <c r="I1470" s="30" t="n">
        <v>0</v>
      </c>
      <c r="J1470" s="30" t="str">
        <f aca="false">IF(H1470&lt;判定条件!$C$6,"判定不能",IF(I1470&gt;=判定条件!$C$7*H1470,"運転",IF(I1470&lt;=判定条件!$C$8*H1470,"停止","断続")))</f>
        <v>停止</v>
      </c>
      <c r="K1470" s="30" t="n">
        <v>60</v>
      </c>
      <c r="L1470" s="30" t="n">
        <v>0</v>
      </c>
      <c r="M1470" s="30" t="str">
        <f aca="false">IF(K1470&lt;判定条件!$C$6,"判定不能",IF(L1470&gt;=判定条件!$C$7*K1470,"運転",IF(L1470&lt;=判定条件!$C$8*K1470,"停止","断続")))</f>
        <v>停止</v>
      </c>
      <c r="N1470" s="30" t="n">
        <v>60</v>
      </c>
      <c r="O1470" s="30" t="n">
        <v>0</v>
      </c>
      <c r="P1470" s="30" t="str">
        <f aca="false">IF(N1470&lt;判定条件!$C$6,"判定不能",IF(O1470&gt;=判定条件!$C$7*N1470,"運転",IF(O1470&lt;=判定条件!$C$8*N1470,"停止","断続")))</f>
        <v>停止</v>
      </c>
      <c r="Q1470" s="30" t="n">
        <v>60</v>
      </c>
      <c r="R1470" s="30" t="n">
        <v>0</v>
      </c>
      <c r="S1470" s="30" t="str">
        <f aca="false">IF(Q1470&lt;判定条件!$C$6,"判定不能",IF(R1470&gt;=判定条件!$C$7*Q1470,"運転",IF(R1470&lt;=判定条件!$C$8*Q1470,"停止","断続")))</f>
        <v>停止</v>
      </c>
      <c r="T1470" s="30" t="n">
        <v>60</v>
      </c>
      <c r="U1470" s="30" t="n">
        <v>0</v>
      </c>
      <c r="V1470" s="30" t="str">
        <f aca="false">IF(T1470&lt;判定条件!$C$6,"判定不能",IF(U1470&gt;=判定条件!$C$7*T1470,"運転",IF(U1470&lt;=判定条件!$C$8*T1470,"停止","断続")))</f>
        <v>停止</v>
      </c>
      <c r="W1470" s="30" t="n">
        <v>0</v>
      </c>
      <c r="X1470" s="30" t="n">
        <v>0</v>
      </c>
      <c r="Y1470" s="30" t="str">
        <f aca="false">IF(W1470&lt;判定条件!$C$6,"判定不能",IF(X1470&gt;=判定条件!$C$7*W1470,"運転",IF(X1470&lt;=判定条件!$C$8*W1470,"停止","断続")))</f>
        <v>判定不能</v>
      </c>
      <c r="Z1470" s="30" t="n">
        <v>0</v>
      </c>
      <c r="AA1470" s="30" t="n">
        <v>0</v>
      </c>
      <c r="AB1470" s="30" t="str">
        <f aca="false">IF(Z1470&lt;判定条件!$C$6,"判定不能",IF(AA1470&gt;=判定条件!$C$7*Z1470,"運転",IF(AA1470&lt;=判定条件!$C$8*Z1470,"停止","断続")))</f>
        <v>判定不能</v>
      </c>
      <c r="AC1470" s="30" t="n">
        <v>0</v>
      </c>
      <c r="AD1470" s="30" t="n">
        <v>0</v>
      </c>
      <c r="AE1470" s="30" t="str">
        <f aca="false">IF(AC1470&lt;判定条件!$C$6,"判定不能",IF(AD1470&gt;=判定条件!$C$7*AC1470,"運転",IF(AD1470&lt;=判定条件!$C$8*AC1470,"停止","断続")))</f>
        <v>判定不能</v>
      </c>
      <c r="AF1470" s="30" t="n">
        <v>60</v>
      </c>
      <c r="AG1470" s="30" t="n">
        <v>0</v>
      </c>
      <c r="AH1470" s="30" t="str">
        <f aca="false">IF(OR(P1470="判定不能",G1470="判定不能"),"判定不能",IF(AG1470&gt;=判定条件!$C$9,"利用可",IF(AND(P1470="停止",G1470="停止"),"両方停止","運転がそろわない")))</f>
        <v>両方停止</v>
      </c>
      <c r="AI1470" s="30" t="n">
        <v>60</v>
      </c>
      <c r="AJ1470" s="30" t="n">
        <v>0</v>
      </c>
      <c r="AK1470" s="30" t="str">
        <f aca="false">IF(OR(S1470="判定不能",J1470="判定不能"),"判定不能",IF(AJ1470&gt;=判定条件!$C$9,"利用可",IF(AND(S1470="停止",J1470="停止"),"両方停止","運転がそろわない")))</f>
        <v>両方停止</v>
      </c>
      <c r="AL1470" s="30" t="n">
        <v>60</v>
      </c>
      <c r="AM1470" s="30" t="n">
        <v>0</v>
      </c>
      <c r="AN1470" s="30" t="str">
        <f aca="false">IF(OR(V1470="判定不能",M1470="判定不能"),"判定不能",IF(AM1470&gt;=判定条件!$C$9,"利用可",IF(AND(V1470="停止",M1470="停止"),"両方停止","運転がそろわない")))</f>
        <v>両方停止</v>
      </c>
      <c r="AO1470" s="30" t="n">
        <v>0</v>
      </c>
      <c r="AP1470" s="30" t="n">
        <v>0</v>
      </c>
      <c r="AQ1470" s="30" t="str">
        <f aca="false">IF(OR(Y1470="判定不能",G1470="判定不能"),"判定不能",IF(AP1470&gt;=判定条件!$C$9,"利用可",IF(AND(Y1470="停止",G1470="停止"),"両方停止","運転がそろわない")))</f>
        <v>判定不能</v>
      </c>
      <c r="AR1470" s="30" t="n">
        <v>0</v>
      </c>
      <c r="AS1470" s="30" t="n">
        <v>0</v>
      </c>
      <c r="AT1470" s="30" t="str">
        <f aca="false">IF(OR(AB1470="判定不能",J1470="判定不能"),"判定不能",IF(AS1470&gt;=判定条件!$C$9,"利用可",IF(AND(AB1470="停止",J1470="停止"),"両方停止","運転がそろわない")))</f>
        <v>判定不能</v>
      </c>
      <c r="AU1470" s="30" t="n">
        <v>0</v>
      </c>
      <c r="AV1470" s="30" t="n">
        <v>0</v>
      </c>
      <c r="AW1470" s="30" t="str">
        <f aca="false">IF(OR(AE1470="判定不能",M1470="判定不能"),"判定不能",IF(AV1470&gt;=判定条件!$C$9,"利用可",IF(AND(AE1470="停止",M1470="停止"),"両方停止","運転がそろわない")))</f>
        <v>判定不能</v>
      </c>
      <c r="AX1470" s="30" t="str">
        <f aca="false">IF(AND(AH1470="利用可",AK1470="利用可",AN1470="利用可"),"利用可","不可")</f>
        <v>不可</v>
      </c>
      <c r="AY1470" s="30" t="str">
        <f aca="false">IF(AND(AQ1470="利用可",AT1470="利用可",AW1470="利用可"),"利用可","不可")</f>
        <v>不可</v>
      </c>
    </row>
    <row r="1471" customFormat="false" ht="15" hidden="false" customHeight="false" outlineLevel="0" collapsed="false">
      <c r="A1471" s="29" t="n">
        <v>46293</v>
      </c>
      <c r="B1471" s="30" t="n">
        <v>4</v>
      </c>
      <c r="C1471" s="31" t="s">
        <v>66</v>
      </c>
      <c r="D1471" s="31" t="s">
        <v>59</v>
      </c>
      <c r="E1471" s="30" t="n">
        <v>60</v>
      </c>
      <c r="F1471" s="30" t="n">
        <v>0</v>
      </c>
      <c r="G1471" s="30" t="str">
        <f aca="false">IF(E1471&lt;判定条件!$C$6,"判定不能",IF(F1471&gt;=判定条件!$C$7*E1471,"運転",IF(F1471&lt;=判定条件!$C$8*E1471,"停止","断続")))</f>
        <v>停止</v>
      </c>
      <c r="H1471" s="30" t="n">
        <v>60</v>
      </c>
      <c r="I1471" s="30" t="n">
        <v>0</v>
      </c>
      <c r="J1471" s="30" t="str">
        <f aca="false">IF(H1471&lt;判定条件!$C$6,"判定不能",IF(I1471&gt;=判定条件!$C$7*H1471,"運転",IF(I1471&lt;=判定条件!$C$8*H1471,"停止","断続")))</f>
        <v>停止</v>
      </c>
      <c r="K1471" s="30" t="n">
        <v>60</v>
      </c>
      <c r="L1471" s="30" t="n">
        <v>0</v>
      </c>
      <c r="M1471" s="30" t="str">
        <f aca="false">IF(K1471&lt;判定条件!$C$6,"判定不能",IF(L1471&gt;=判定条件!$C$7*K1471,"運転",IF(L1471&lt;=判定条件!$C$8*K1471,"停止","断続")))</f>
        <v>停止</v>
      </c>
      <c r="N1471" s="30" t="n">
        <v>60</v>
      </c>
      <c r="O1471" s="30" t="n">
        <v>0</v>
      </c>
      <c r="P1471" s="30" t="str">
        <f aca="false">IF(N1471&lt;判定条件!$C$6,"判定不能",IF(O1471&gt;=判定条件!$C$7*N1471,"運転",IF(O1471&lt;=判定条件!$C$8*N1471,"停止","断続")))</f>
        <v>停止</v>
      </c>
      <c r="Q1471" s="30" t="n">
        <v>60</v>
      </c>
      <c r="R1471" s="30" t="n">
        <v>0</v>
      </c>
      <c r="S1471" s="30" t="str">
        <f aca="false">IF(Q1471&lt;判定条件!$C$6,"判定不能",IF(R1471&gt;=判定条件!$C$7*Q1471,"運転",IF(R1471&lt;=判定条件!$C$8*Q1471,"停止","断続")))</f>
        <v>停止</v>
      </c>
      <c r="T1471" s="30" t="n">
        <v>60</v>
      </c>
      <c r="U1471" s="30" t="n">
        <v>0</v>
      </c>
      <c r="V1471" s="30" t="str">
        <f aca="false">IF(T1471&lt;判定条件!$C$6,"判定不能",IF(U1471&gt;=判定条件!$C$7*T1471,"運転",IF(U1471&lt;=判定条件!$C$8*T1471,"停止","断続")))</f>
        <v>停止</v>
      </c>
      <c r="W1471" s="30" t="n">
        <v>0</v>
      </c>
      <c r="X1471" s="30" t="n">
        <v>0</v>
      </c>
      <c r="Y1471" s="30" t="str">
        <f aca="false">IF(W1471&lt;判定条件!$C$6,"判定不能",IF(X1471&gt;=判定条件!$C$7*W1471,"運転",IF(X1471&lt;=判定条件!$C$8*W1471,"停止","断続")))</f>
        <v>判定不能</v>
      </c>
      <c r="Z1471" s="30" t="n">
        <v>0</v>
      </c>
      <c r="AA1471" s="30" t="n">
        <v>0</v>
      </c>
      <c r="AB1471" s="30" t="str">
        <f aca="false">IF(Z1471&lt;判定条件!$C$6,"判定不能",IF(AA1471&gt;=判定条件!$C$7*Z1471,"運転",IF(AA1471&lt;=判定条件!$C$8*Z1471,"停止","断続")))</f>
        <v>判定不能</v>
      </c>
      <c r="AC1471" s="30" t="n">
        <v>0</v>
      </c>
      <c r="AD1471" s="30" t="n">
        <v>0</v>
      </c>
      <c r="AE1471" s="30" t="str">
        <f aca="false">IF(AC1471&lt;判定条件!$C$6,"判定不能",IF(AD1471&gt;=判定条件!$C$7*AC1471,"運転",IF(AD1471&lt;=判定条件!$C$8*AC1471,"停止","断続")))</f>
        <v>判定不能</v>
      </c>
      <c r="AF1471" s="30" t="n">
        <v>60</v>
      </c>
      <c r="AG1471" s="30" t="n">
        <v>0</v>
      </c>
      <c r="AH1471" s="30" t="str">
        <f aca="false">IF(OR(P1471="判定不能",G1471="判定不能"),"判定不能",IF(AG1471&gt;=判定条件!$C$9,"利用可",IF(AND(P1471="停止",G1471="停止"),"両方停止","運転がそろわない")))</f>
        <v>両方停止</v>
      </c>
      <c r="AI1471" s="30" t="n">
        <v>60</v>
      </c>
      <c r="AJ1471" s="30" t="n">
        <v>0</v>
      </c>
      <c r="AK1471" s="30" t="str">
        <f aca="false">IF(OR(S1471="判定不能",J1471="判定不能"),"判定不能",IF(AJ1471&gt;=判定条件!$C$9,"利用可",IF(AND(S1471="停止",J1471="停止"),"両方停止","運転がそろわない")))</f>
        <v>両方停止</v>
      </c>
      <c r="AL1471" s="30" t="n">
        <v>60</v>
      </c>
      <c r="AM1471" s="30" t="n">
        <v>0</v>
      </c>
      <c r="AN1471" s="30" t="str">
        <f aca="false">IF(OR(V1471="判定不能",M1471="判定不能"),"判定不能",IF(AM1471&gt;=判定条件!$C$9,"利用可",IF(AND(V1471="停止",M1471="停止"),"両方停止","運転がそろわない")))</f>
        <v>両方停止</v>
      </c>
      <c r="AO1471" s="30" t="n">
        <v>0</v>
      </c>
      <c r="AP1471" s="30" t="n">
        <v>0</v>
      </c>
      <c r="AQ1471" s="30" t="str">
        <f aca="false">IF(OR(Y1471="判定不能",G1471="判定不能"),"判定不能",IF(AP1471&gt;=判定条件!$C$9,"利用可",IF(AND(Y1471="停止",G1471="停止"),"両方停止","運転がそろわない")))</f>
        <v>判定不能</v>
      </c>
      <c r="AR1471" s="30" t="n">
        <v>0</v>
      </c>
      <c r="AS1471" s="30" t="n">
        <v>0</v>
      </c>
      <c r="AT1471" s="30" t="str">
        <f aca="false">IF(OR(AB1471="判定不能",J1471="判定不能"),"判定不能",IF(AS1471&gt;=判定条件!$C$9,"利用可",IF(AND(AB1471="停止",J1471="停止"),"両方停止","運転がそろわない")))</f>
        <v>判定不能</v>
      </c>
      <c r="AU1471" s="30" t="n">
        <v>0</v>
      </c>
      <c r="AV1471" s="30" t="n">
        <v>0</v>
      </c>
      <c r="AW1471" s="30" t="str">
        <f aca="false">IF(OR(AE1471="判定不能",M1471="判定不能"),"判定不能",IF(AV1471&gt;=判定条件!$C$9,"利用可",IF(AND(AE1471="停止",M1471="停止"),"両方停止","運転がそろわない")))</f>
        <v>判定不能</v>
      </c>
      <c r="AX1471" s="30" t="str">
        <f aca="false">IF(AND(AH1471="利用可",AK1471="利用可",AN1471="利用可"),"利用可","不可")</f>
        <v>不可</v>
      </c>
      <c r="AY1471" s="30" t="str">
        <f aca="false">IF(AND(AQ1471="利用可",AT1471="利用可",AW1471="利用可"),"利用可","不可")</f>
        <v>不可</v>
      </c>
    </row>
    <row r="1472" customFormat="false" ht="15" hidden="false" customHeight="false" outlineLevel="0" collapsed="false">
      <c r="A1472" s="29" t="n">
        <v>46293</v>
      </c>
      <c r="B1472" s="30" t="n">
        <v>5</v>
      </c>
      <c r="C1472" s="31" t="s">
        <v>66</v>
      </c>
      <c r="D1472" s="31" t="s">
        <v>59</v>
      </c>
      <c r="E1472" s="30" t="n">
        <v>60</v>
      </c>
      <c r="F1472" s="30" t="n">
        <v>0</v>
      </c>
      <c r="G1472" s="30" t="str">
        <f aca="false">IF(E1472&lt;判定条件!$C$6,"判定不能",IF(F1472&gt;=判定条件!$C$7*E1472,"運転",IF(F1472&lt;=判定条件!$C$8*E1472,"停止","断続")))</f>
        <v>停止</v>
      </c>
      <c r="H1472" s="30" t="n">
        <v>60</v>
      </c>
      <c r="I1472" s="30" t="n">
        <v>0</v>
      </c>
      <c r="J1472" s="30" t="str">
        <f aca="false">IF(H1472&lt;判定条件!$C$6,"判定不能",IF(I1472&gt;=判定条件!$C$7*H1472,"運転",IF(I1472&lt;=判定条件!$C$8*H1472,"停止","断続")))</f>
        <v>停止</v>
      </c>
      <c r="K1472" s="30" t="n">
        <v>60</v>
      </c>
      <c r="L1472" s="30" t="n">
        <v>0</v>
      </c>
      <c r="M1472" s="30" t="str">
        <f aca="false">IF(K1472&lt;判定条件!$C$6,"判定不能",IF(L1472&gt;=判定条件!$C$7*K1472,"運転",IF(L1472&lt;=判定条件!$C$8*K1472,"停止","断続")))</f>
        <v>停止</v>
      </c>
      <c r="N1472" s="30" t="n">
        <v>60</v>
      </c>
      <c r="O1472" s="30" t="n">
        <v>0</v>
      </c>
      <c r="P1472" s="30" t="str">
        <f aca="false">IF(N1472&lt;判定条件!$C$6,"判定不能",IF(O1472&gt;=判定条件!$C$7*N1472,"運転",IF(O1472&lt;=判定条件!$C$8*N1472,"停止","断続")))</f>
        <v>停止</v>
      </c>
      <c r="Q1472" s="30" t="n">
        <v>60</v>
      </c>
      <c r="R1472" s="30" t="n">
        <v>0</v>
      </c>
      <c r="S1472" s="30" t="str">
        <f aca="false">IF(Q1472&lt;判定条件!$C$6,"判定不能",IF(R1472&gt;=判定条件!$C$7*Q1472,"運転",IF(R1472&lt;=判定条件!$C$8*Q1472,"停止","断続")))</f>
        <v>停止</v>
      </c>
      <c r="T1472" s="30" t="n">
        <v>60</v>
      </c>
      <c r="U1472" s="30" t="n">
        <v>0</v>
      </c>
      <c r="V1472" s="30" t="str">
        <f aca="false">IF(T1472&lt;判定条件!$C$6,"判定不能",IF(U1472&gt;=判定条件!$C$7*T1472,"運転",IF(U1472&lt;=判定条件!$C$8*T1472,"停止","断続")))</f>
        <v>停止</v>
      </c>
      <c r="W1472" s="30" t="n">
        <v>0</v>
      </c>
      <c r="X1472" s="30" t="n">
        <v>0</v>
      </c>
      <c r="Y1472" s="30" t="str">
        <f aca="false">IF(W1472&lt;判定条件!$C$6,"判定不能",IF(X1472&gt;=判定条件!$C$7*W1472,"運転",IF(X1472&lt;=判定条件!$C$8*W1472,"停止","断続")))</f>
        <v>判定不能</v>
      </c>
      <c r="Z1472" s="30" t="n">
        <v>0</v>
      </c>
      <c r="AA1472" s="30" t="n">
        <v>0</v>
      </c>
      <c r="AB1472" s="30" t="str">
        <f aca="false">IF(Z1472&lt;判定条件!$C$6,"判定不能",IF(AA1472&gt;=判定条件!$C$7*Z1472,"運転",IF(AA1472&lt;=判定条件!$C$8*Z1472,"停止","断続")))</f>
        <v>判定不能</v>
      </c>
      <c r="AC1472" s="30" t="n">
        <v>0</v>
      </c>
      <c r="AD1472" s="30" t="n">
        <v>0</v>
      </c>
      <c r="AE1472" s="30" t="str">
        <f aca="false">IF(AC1472&lt;判定条件!$C$6,"判定不能",IF(AD1472&gt;=判定条件!$C$7*AC1472,"運転",IF(AD1472&lt;=判定条件!$C$8*AC1472,"停止","断続")))</f>
        <v>判定不能</v>
      </c>
      <c r="AF1472" s="30" t="n">
        <v>60</v>
      </c>
      <c r="AG1472" s="30" t="n">
        <v>0</v>
      </c>
      <c r="AH1472" s="30" t="str">
        <f aca="false">IF(OR(P1472="判定不能",G1472="判定不能"),"判定不能",IF(AG1472&gt;=判定条件!$C$9,"利用可",IF(AND(P1472="停止",G1472="停止"),"両方停止","運転がそろわない")))</f>
        <v>両方停止</v>
      </c>
      <c r="AI1472" s="30" t="n">
        <v>60</v>
      </c>
      <c r="AJ1472" s="30" t="n">
        <v>0</v>
      </c>
      <c r="AK1472" s="30" t="str">
        <f aca="false">IF(OR(S1472="判定不能",J1472="判定不能"),"判定不能",IF(AJ1472&gt;=判定条件!$C$9,"利用可",IF(AND(S1472="停止",J1472="停止"),"両方停止","運転がそろわない")))</f>
        <v>両方停止</v>
      </c>
      <c r="AL1472" s="30" t="n">
        <v>60</v>
      </c>
      <c r="AM1472" s="30" t="n">
        <v>0</v>
      </c>
      <c r="AN1472" s="30" t="str">
        <f aca="false">IF(OR(V1472="判定不能",M1472="判定不能"),"判定不能",IF(AM1472&gt;=判定条件!$C$9,"利用可",IF(AND(V1472="停止",M1472="停止"),"両方停止","運転がそろわない")))</f>
        <v>両方停止</v>
      </c>
      <c r="AO1472" s="30" t="n">
        <v>0</v>
      </c>
      <c r="AP1472" s="30" t="n">
        <v>0</v>
      </c>
      <c r="AQ1472" s="30" t="str">
        <f aca="false">IF(OR(Y1472="判定不能",G1472="判定不能"),"判定不能",IF(AP1472&gt;=判定条件!$C$9,"利用可",IF(AND(Y1472="停止",G1472="停止"),"両方停止","運転がそろわない")))</f>
        <v>判定不能</v>
      </c>
      <c r="AR1472" s="30" t="n">
        <v>0</v>
      </c>
      <c r="AS1472" s="30" t="n">
        <v>0</v>
      </c>
      <c r="AT1472" s="30" t="str">
        <f aca="false">IF(OR(AB1472="判定不能",J1472="判定不能"),"判定不能",IF(AS1472&gt;=判定条件!$C$9,"利用可",IF(AND(AB1472="停止",J1472="停止"),"両方停止","運転がそろわない")))</f>
        <v>判定不能</v>
      </c>
      <c r="AU1472" s="30" t="n">
        <v>0</v>
      </c>
      <c r="AV1472" s="30" t="n">
        <v>0</v>
      </c>
      <c r="AW1472" s="30" t="str">
        <f aca="false">IF(OR(AE1472="判定不能",M1472="判定不能"),"判定不能",IF(AV1472&gt;=判定条件!$C$9,"利用可",IF(AND(AE1472="停止",M1472="停止"),"両方停止","運転がそろわない")))</f>
        <v>判定不能</v>
      </c>
      <c r="AX1472" s="30" t="str">
        <f aca="false">IF(AND(AH1472="利用可",AK1472="利用可",AN1472="利用可"),"利用可","不可")</f>
        <v>不可</v>
      </c>
      <c r="AY1472" s="30" t="str">
        <f aca="false">IF(AND(AQ1472="利用可",AT1472="利用可",AW1472="利用可"),"利用可","不可")</f>
        <v>不可</v>
      </c>
    </row>
    <row r="1473" customFormat="false" ht="15" hidden="false" customHeight="false" outlineLevel="0" collapsed="false">
      <c r="A1473" s="29" t="n">
        <v>46293</v>
      </c>
      <c r="B1473" s="30" t="n">
        <v>6</v>
      </c>
      <c r="C1473" s="31" t="s">
        <v>66</v>
      </c>
      <c r="D1473" s="31" t="s">
        <v>59</v>
      </c>
      <c r="E1473" s="30" t="n">
        <v>60</v>
      </c>
      <c r="F1473" s="30" t="n">
        <v>0</v>
      </c>
      <c r="G1473" s="30" t="str">
        <f aca="false">IF(E1473&lt;判定条件!$C$6,"判定不能",IF(F1473&gt;=判定条件!$C$7*E1473,"運転",IF(F1473&lt;=判定条件!$C$8*E1473,"停止","断続")))</f>
        <v>停止</v>
      </c>
      <c r="H1473" s="30" t="n">
        <v>60</v>
      </c>
      <c r="I1473" s="30" t="n">
        <v>0</v>
      </c>
      <c r="J1473" s="30" t="str">
        <f aca="false">IF(H1473&lt;判定条件!$C$6,"判定不能",IF(I1473&gt;=判定条件!$C$7*H1473,"運転",IF(I1473&lt;=判定条件!$C$8*H1473,"停止","断続")))</f>
        <v>停止</v>
      </c>
      <c r="K1473" s="30" t="n">
        <v>60</v>
      </c>
      <c r="L1473" s="30" t="n">
        <v>0</v>
      </c>
      <c r="M1473" s="30" t="str">
        <f aca="false">IF(K1473&lt;判定条件!$C$6,"判定不能",IF(L1473&gt;=判定条件!$C$7*K1473,"運転",IF(L1473&lt;=判定条件!$C$8*K1473,"停止","断続")))</f>
        <v>停止</v>
      </c>
      <c r="N1473" s="30" t="n">
        <v>60</v>
      </c>
      <c r="O1473" s="30" t="n">
        <v>0</v>
      </c>
      <c r="P1473" s="30" t="str">
        <f aca="false">IF(N1473&lt;判定条件!$C$6,"判定不能",IF(O1473&gt;=判定条件!$C$7*N1473,"運転",IF(O1473&lt;=判定条件!$C$8*N1473,"停止","断続")))</f>
        <v>停止</v>
      </c>
      <c r="Q1473" s="30" t="n">
        <v>60</v>
      </c>
      <c r="R1473" s="30" t="n">
        <v>2</v>
      </c>
      <c r="S1473" s="30" t="str">
        <f aca="false">IF(Q1473&lt;判定条件!$C$6,"判定不能",IF(R1473&gt;=判定条件!$C$7*Q1473,"運転",IF(R1473&lt;=判定条件!$C$8*Q1473,"停止","断続")))</f>
        <v>停止</v>
      </c>
      <c r="T1473" s="30" t="n">
        <v>60</v>
      </c>
      <c r="U1473" s="30" t="n">
        <v>36</v>
      </c>
      <c r="V1473" s="30" t="str">
        <f aca="false">IF(T1473&lt;判定条件!$C$6,"判定不能",IF(U1473&gt;=判定条件!$C$7*T1473,"運転",IF(U1473&lt;=判定条件!$C$8*T1473,"停止","断続")))</f>
        <v>断続</v>
      </c>
      <c r="W1473" s="30" t="n">
        <v>0</v>
      </c>
      <c r="X1473" s="30" t="n">
        <v>0</v>
      </c>
      <c r="Y1473" s="30" t="str">
        <f aca="false">IF(W1473&lt;判定条件!$C$6,"判定不能",IF(X1473&gt;=判定条件!$C$7*W1473,"運転",IF(X1473&lt;=判定条件!$C$8*W1473,"停止","断続")))</f>
        <v>判定不能</v>
      </c>
      <c r="Z1473" s="30" t="n">
        <v>0</v>
      </c>
      <c r="AA1473" s="30" t="n">
        <v>0</v>
      </c>
      <c r="AB1473" s="30" t="str">
        <f aca="false">IF(Z1473&lt;判定条件!$C$6,"判定不能",IF(AA1473&gt;=判定条件!$C$7*Z1473,"運転",IF(AA1473&lt;=判定条件!$C$8*Z1473,"停止","断続")))</f>
        <v>判定不能</v>
      </c>
      <c r="AC1473" s="30" t="n">
        <v>0</v>
      </c>
      <c r="AD1473" s="30" t="n">
        <v>0</v>
      </c>
      <c r="AE1473" s="30" t="str">
        <f aca="false">IF(AC1473&lt;判定条件!$C$6,"判定不能",IF(AD1473&gt;=判定条件!$C$7*AC1473,"運転",IF(AD1473&lt;=判定条件!$C$8*AC1473,"停止","断続")))</f>
        <v>判定不能</v>
      </c>
      <c r="AF1473" s="30" t="n">
        <v>60</v>
      </c>
      <c r="AG1473" s="30" t="n">
        <v>0</v>
      </c>
      <c r="AH1473" s="30" t="str">
        <f aca="false">IF(OR(P1473="判定不能",G1473="判定不能"),"判定不能",IF(AG1473&gt;=判定条件!$C$9,"利用可",IF(AND(P1473="停止",G1473="停止"),"両方停止","運転がそろわない")))</f>
        <v>両方停止</v>
      </c>
      <c r="AI1473" s="30" t="n">
        <v>60</v>
      </c>
      <c r="AJ1473" s="30" t="n">
        <v>0</v>
      </c>
      <c r="AK1473" s="30" t="str">
        <f aca="false">IF(OR(S1473="判定不能",J1473="判定不能"),"判定不能",IF(AJ1473&gt;=判定条件!$C$9,"利用可",IF(AND(S1473="停止",J1473="停止"),"両方停止","運転がそろわない")))</f>
        <v>両方停止</v>
      </c>
      <c r="AL1473" s="30" t="n">
        <v>60</v>
      </c>
      <c r="AM1473" s="30" t="n">
        <v>0</v>
      </c>
      <c r="AN1473" s="30" t="str">
        <f aca="false">IF(OR(V1473="判定不能",M1473="判定不能"),"判定不能",IF(AM1473&gt;=判定条件!$C$9,"利用可",IF(AND(V1473="停止",M1473="停止"),"両方停止","運転がそろわない")))</f>
        <v>運転がそろわない</v>
      </c>
      <c r="AO1473" s="30" t="n">
        <v>0</v>
      </c>
      <c r="AP1473" s="30" t="n">
        <v>0</v>
      </c>
      <c r="AQ1473" s="30" t="str">
        <f aca="false">IF(OR(Y1473="判定不能",G1473="判定不能"),"判定不能",IF(AP1473&gt;=判定条件!$C$9,"利用可",IF(AND(Y1473="停止",G1473="停止"),"両方停止","運転がそろわない")))</f>
        <v>判定不能</v>
      </c>
      <c r="AR1473" s="30" t="n">
        <v>0</v>
      </c>
      <c r="AS1473" s="30" t="n">
        <v>0</v>
      </c>
      <c r="AT1473" s="30" t="str">
        <f aca="false">IF(OR(AB1473="判定不能",J1473="判定不能"),"判定不能",IF(AS1473&gt;=判定条件!$C$9,"利用可",IF(AND(AB1473="停止",J1473="停止"),"両方停止","運転がそろわない")))</f>
        <v>判定不能</v>
      </c>
      <c r="AU1473" s="30" t="n">
        <v>0</v>
      </c>
      <c r="AV1473" s="30" t="n">
        <v>0</v>
      </c>
      <c r="AW1473" s="30" t="str">
        <f aca="false">IF(OR(AE1473="判定不能",M1473="判定不能"),"判定不能",IF(AV1473&gt;=判定条件!$C$9,"利用可",IF(AND(AE1473="停止",M1473="停止"),"両方停止","運転がそろわない")))</f>
        <v>判定不能</v>
      </c>
      <c r="AX1473" s="30" t="str">
        <f aca="false">IF(AND(AH1473="利用可",AK1473="利用可",AN1473="利用可"),"利用可","不可")</f>
        <v>不可</v>
      </c>
      <c r="AY1473" s="30" t="str">
        <f aca="false">IF(AND(AQ1473="利用可",AT1473="利用可",AW1473="利用可"),"利用可","不可")</f>
        <v>不可</v>
      </c>
    </row>
    <row r="1474" customFormat="false" ht="15" hidden="false" customHeight="false" outlineLevel="0" collapsed="false">
      <c r="A1474" s="29" t="n">
        <v>46293</v>
      </c>
      <c r="B1474" s="30" t="n">
        <v>7</v>
      </c>
      <c r="C1474" s="31" t="s">
        <v>66</v>
      </c>
      <c r="D1474" s="31" t="s">
        <v>59</v>
      </c>
      <c r="E1474" s="30" t="n">
        <v>60</v>
      </c>
      <c r="F1474" s="30" t="n">
        <v>0</v>
      </c>
      <c r="G1474" s="30" t="str">
        <f aca="false">IF(E1474&lt;判定条件!$C$6,"判定不能",IF(F1474&gt;=判定条件!$C$7*E1474,"運転",IF(F1474&lt;=判定条件!$C$8*E1474,"停止","断続")))</f>
        <v>停止</v>
      </c>
      <c r="H1474" s="30" t="n">
        <v>60</v>
      </c>
      <c r="I1474" s="30" t="n">
        <v>0</v>
      </c>
      <c r="J1474" s="30" t="str">
        <f aca="false">IF(H1474&lt;判定条件!$C$6,"判定不能",IF(I1474&gt;=判定条件!$C$7*H1474,"運転",IF(I1474&lt;=判定条件!$C$8*H1474,"停止","断続")))</f>
        <v>停止</v>
      </c>
      <c r="K1474" s="30" t="n">
        <v>60</v>
      </c>
      <c r="L1474" s="30" t="n">
        <v>0</v>
      </c>
      <c r="M1474" s="30" t="str">
        <f aca="false">IF(K1474&lt;判定条件!$C$6,"判定不能",IF(L1474&gt;=判定条件!$C$7*K1474,"運転",IF(L1474&lt;=判定条件!$C$8*K1474,"停止","断続")))</f>
        <v>停止</v>
      </c>
      <c r="N1474" s="30" t="n">
        <v>60</v>
      </c>
      <c r="O1474" s="30" t="n">
        <v>0</v>
      </c>
      <c r="P1474" s="30" t="str">
        <f aca="false">IF(N1474&lt;判定条件!$C$6,"判定不能",IF(O1474&gt;=判定条件!$C$7*N1474,"運転",IF(O1474&lt;=判定条件!$C$8*N1474,"停止","断続")))</f>
        <v>停止</v>
      </c>
      <c r="Q1474" s="30" t="n">
        <v>60</v>
      </c>
      <c r="R1474" s="30" t="n">
        <v>50</v>
      </c>
      <c r="S1474" s="30" t="str">
        <f aca="false">IF(Q1474&lt;判定条件!$C$6,"判定不能",IF(R1474&gt;=判定条件!$C$7*Q1474,"運転",IF(R1474&lt;=判定条件!$C$8*Q1474,"停止","断続")))</f>
        <v>運転</v>
      </c>
      <c r="T1474" s="30" t="n">
        <v>60</v>
      </c>
      <c r="U1474" s="30" t="n">
        <v>35</v>
      </c>
      <c r="V1474" s="30" t="str">
        <f aca="false">IF(T1474&lt;判定条件!$C$6,"判定不能",IF(U1474&gt;=判定条件!$C$7*T1474,"運転",IF(U1474&lt;=判定条件!$C$8*T1474,"停止","断続")))</f>
        <v>断続</v>
      </c>
      <c r="W1474" s="30" t="n">
        <v>0</v>
      </c>
      <c r="X1474" s="30" t="n">
        <v>0</v>
      </c>
      <c r="Y1474" s="30" t="str">
        <f aca="false">IF(W1474&lt;判定条件!$C$6,"判定不能",IF(X1474&gt;=判定条件!$C$7*W1474,"運転",IF(X1474&lt;=判定条件!$C$8*W1474,"停止","断続")))</f>
        <v>判定不能</v>
      </c>
      <c r="Z1474" s="30" t="n">
        <v>0</v>
      </c>
      <c r="AA1474" s="30" t="n">
        <v>0</v>
      </c>
      <c r="AB1474" s="30" t="str">
        <f aca="false">IF(Z1474&lt;判定条件!$C$6,"判定不能",IF(AA1474&gt;=判定条件!$C$7*Z1474,"運転",IF(AA1474&lt;=判定条件!$C$8*Z1474,"停止","断続")))</f>
        <v>判定不能</v>
      </c>
      <c r="AC1474" s="30" t="n">
        <v>0</v>
      </c>
      <c r="AD1474" s="30" t="n">
        <v>0</v>
      </c>
      <c r="AE1474" s="30" t="str">
        <f aca="false">IF(AC1474&lt;判定条件!$C$6,"判定不能",IF(AD1474&gt;=判定条件!$C$7*AC1474,"運転",IF(AD1474&lt;=判定条件!$C$8*AC1474,"停止","断続")))</f>
        <v>判定不能</v>
      </c>
      <c r="AF1474" s="30" t="n">
        <v>60</v>
      </c>
      <c r="AG1474" s="30" t="n">
        <v>0</v>
      </c>
      <c r="AH1474" s="30" t="str">
        <f aca="false">IF(OR(P1474="判定不能",G1474="判定不能"),"判定不能",IF(AG1474&gt;=判定条件!$C$9,"利用可",IF(AND(P1474="停止",G1474="停止"),"両方停止","運転がそろわない")))</f>
        <v>両方停止</v>
      </c>
      <c r="AI1474" s="30" t="n">
        <v>60</v>
      </c>
      <c r="AJ1474" s="30" t="n">
        <v>0</v>
      </c>
      <c r="AK1474" s="30" t="str">
        <f aca="false">IF(OR(S1474="判定不能",J1474="判定不能"),"判定不能",IF(AJ1474&gt;=判定条件!$C$9,"利用可",IF(AND(S1474="停止",J1474="停止"),"両方停止","運転がそろわない")))</f>
        <v>運転がそろわない</v>
      </c>
      <c r="AL1474" s="30" t="n">
        <v>60</v>
      </c>
      <c r="AM1474" s="30" t="n">
        <v>0</v>
      </c>
      <c r="AN1474" s="30" t="str">
        <f aca="false">IF(OR(V1474="判定不能",M1474="判定不能"),"判定不能",IF(AM1474&gt;=判定条件!$C$9,"利用可",IF(AND(V1474="停止",M1474="停止"),"両方停止","運転がそろわない")))</f>
        <v>運転がそろわない</v>
      </c>
      <c r="AO1474" s="30" t="n">
        <v>0</v>
      </c>
      <c r="AP1474" s="30" t="n">
        <v>0</v>
      </c>
      <c r="AQ1474" s="30" t="str">
        <f aca="false">IF(OR(Y1474="判定不能",G1474="判定不能"),"判定不能",IF(AP1474&gt;=判定条件!$C$9,"利用可",IF(AND(Y1474="停止",G1474="停止"),"両方停止","運転がそろわない")))</f>
        <v>判定不能</v>
      </c>
      <c r="AR1474" s="30" t="n">
        <v>0</v>
      </c>
      <c r="AS1474" s="30" t="n">
        <v>0</v>
      </c>
      <c r="AT1474" s="30" t="str">
        <f aca="false">IF(OR(AB1474="判定不能",J1474="判定不能"),"判定不能",IF(AS1474&gt;=判定条件!$C$9,"利用可",IF(AND(AB1474="停止",J1474="停止"),"両方停止","運転がそろわない")))</f>
        <v>判定不能</v>
      </c>
      <c r="AU1474" s="30" t="n">
        <v>0</v>
      </c>
      <c r="AV1474" s="30" t="n">
        <v>0</v>
      </c>
      <c r="AW1474" s="30" t="str">
        <f aca="false">IF(OR(AE1474="判定不能",M1474="判定不能"),"判定不能",IF(AV1474&gt;=判定条件!$C$9,"利用可",IF(AND(AE1474="停止",M1474="停止"),"両方停止","運転がそろわない")))</f>
        <v>判定不能</v>
      </c>
      <c r="AX1474" s="30" t="str">
        <f aca="false">IF(AND(AH1474="利用可",AK1474="利用可",AN1474="利用可"),"利用可","不可")</f>
        <v>不可</v>
      </c>
      <c r="AY1474" s="30" t="str">
        <f aca="false">IF(AND(AQ1474="利用可",AT1474="利用可",AW1474="利用可"),"利用可","不可")</f>
        <v>不可</v>
      </c>
    </row>
    <row r="1475" customFormat="false" ht="15" hidden="false" customHeight="false" outlineLevel="0" collapsed="false">
      <c r="A1475" s="29" t="n">
        <v>46293</v>
      </c>
      <c r="B1475" s="30" t="n">
        <v>8</v>
      </c>
      <c r="C1475" s="31" t="s">
        <v>66</v>
      </c>
      <c r="D1475" s="31" t="s">
        <v>59</v>
      </c>
      <c r="E1475" s="30" t="n">
        <v>60</v>
      </c>
      <c r="F1475" s="30" t="n">
        <v>0</v>
      </c>
      <c r="G1475" s="30" t="str">
        <f aca="false">IF(E1475&lt;判定条件!$C$6,"判定不能",IF(F1475&gt;=判定条件!$C$7*E1475,"運転",IF(F1475&lt;=判定条件!$C$8*E1475,"停止","断続")))</f>
        <v>停止</v>
      </c>
      <c r="H1475" s="30" t="n">
        <v>60</v>
      </c>
      <c r="I1475" s="30" t="n">
        <v>0</v>
      </c>
      <c r="J1475" s="30" t="str">
        <f aca="false">IF(H1475&lt;判定条件!$C$6,"判定不能",IF(I1475&gt;=判定条件!$C$7*H1475,"運転",IF(I1475&lt;=判定条件!$C$8*H1475,"停止","断続")))</f>
        <v>停止</v>
      </c>
      <c r="K1475" s="30" t="n">
        <v>60</v>
      </c>
      <c r="L1475" s="30" t="n">
        <v>0</v>
      </c>
      <c r="M1475" s="30" t="str">
        <f aca="false">IF(K1475&lt;判定条件!$C$6,"判定不能",IF(L1475&gt;=判定条件!$C$7*K1475,"運転",IF(L1475&lt;=判定条件!$C$8*K1475,"停止","断続")))</f>
        <v>停止</v>
      </c>
      <c r="N1475" s="30" t="n">
        <v>60</v>
      </c>
      <c r="O1475" s="30" t="n">
        <v>34</v>
      </c>
      <c r="P1475" s="30" t="str">
        <f aca="false">IF(N1475&lt;判定条件!$C$6,"判定不能",IF(O1475&gt;=判定条件!$C$7*N1475,"運転",IF(O1475&lt;=判定条件!$C$8*N1475,"停止","断続")))</f>
        <v>断続</v>
      </c>
      <c r="Q1475" s="30" t="n">
        <v>60</v>
      </c>
      <c r="R1475" s="30" t="n">
        <v>3</v>
      </c>
      <c r="S1475" s="30" t="str">
        <f aca="false">IF(Q1475&lt;判定条件!$C$6,"判定不能",IF(R1475&gt;=判定条件!$C$7*Q1475,"運転",IF(R1475&lt;=判定条件!$C$8*Q1475,"停止","断続")))</f>
        <v>停止</v>
      </c>
      <c r="T1475" s="30" t="n">
        <v>60</v>
      </c>
      <c r="U1475" s="30" t="n">
        <v>33</v>
      </c>
      <c r="V1475" s="30" t="str">
        <f aca="false">IF(T1475&lt;判定条件!$C$6,"判定不能",IF(U1475&gt;=判定条件!$C$7*T1475,"運転",IF(U1475&lt;=判定条件!$C$8*T1475,"停止","断続")))</f>
        <v>断続</v>
      </c>
      <c r="W1475" s="30" t="n">
        <v>0</v>
      </c>
      <c r="X1475" s="30" t="n">
        <v>0</v>
      </c>
      <c r="Y1475" s="30" t="str">
        <f aca="false">IF(W1475&lt;判定条件!$C$6,"判定不能",IF(X1475&gt;=判定条件!$C$7*W1475,"運転",IF(X1475&lt;=判定条件!$C$8*W1475,"停止","断続")))</f>
        <v>判定不能</v>
      </c>
      <c r="Z1475" s="30" t="n">
        <v>0</v>
      </c>
      <c r="AA1475" s="30" t="n">
        <v>0</v>
      </c>
      <c r="AB1475" s="30" t="str">
        <f aca="false">IF(Z1475&lt;判定条件!$C$6,"判定不能",IF(AA1475&gt;=判定条件!$C$7*Z1475,"運転",IF(AA1475&lt;=判定条件!$C$8*Z1475,"停止","断続")))</f>
        <v>判定不能</v>
      </c>
      <c r="AC1475" s="30" t="n">
        <v>0</v>
      </c>
      <c r="AD1475" s="30" t="n">
        <v>0</v>
      </c>
      <c r="AE1475" s="30" t="str">
        <f aca="false">IF(AC1475&lt;判定条件!$C$6,"判定不能",IF(AD1475&gt;=判定条件!$C$7*AC1475,"運転",IF(AD1475&lt;=判定条件!$C$8*AC1475,"停止","断続")))</f>
        <v>判定不能</v>
      </c>
      <c r="AF1475" s="30" t="n">
        <v>60</v>
      </c>
      <c r="AG1475" s="30" t="n">
        <v>0</v>
      </c>
      <c r="AH1475" s="30" t="str">
        <f aca="false">IF(OR(P1475="判定不能",G1475="判定不能"),"判定不能",IF(AG1475&gt;=判定条件!$C$9,"利用可",IF(AND(P1475="停止",G1475="停止"),"両方停止","運転がそろわない")))</f>
        <v>運転がそろわない</v>
      </c>
      <c r="AI1475" s="30" t="n">
        <v>60</v>
      </c>
      <c r="AJ1475" s="30" t="n">
        <v>0</v>
      </c>
      <c r="AK1475" s="30" t="str">
        <f aca="false">IF(OR(S1475="判定不能",J1475="判定不能"),"判定不能",IF(AJ1475&gt;=判定条件!$C$9,"利用可",IF(AND(S1475="停止",J1475="停止"),"両方停止","運転がそろわない")))</f>
        <v>両方停止</v>
      </c>
      <c r="AL1475" s="30" t="n">
        <v>60</v>
      </c>
      <c r="AM1475" s="30" t="n">
        <v>0</v>
      </c>
      <c r="AN1475" s="30" t="str">
        <f aca="false">IF(OR(V1475="判定不能",M1475="判定不能"),"判定不能",IF(AM1475&gt;=判定条件!$C$9,"利用可",IF(AND(V1475="停止",M1475="停止"),"両方停止","運転がそろわない")))</f>
        <v>運転がそろわない</v>
      </c>
      <c r="AO1475" s="30" t="n">
        <v>0</v>
      </c>
      <c r="AP1475" s="30" t="n">
        <v>0</v>
      </c>
      <c r="AQ1475" s="30" t="str">
        <f aca="false">IF(OR(Y1475="判定不能",G1475="判定不能"),"判定不能",IF(AP1475&gt;=判定条件!$C$9,"利用可",IF(AND(Y1475="停止",G1475="停止"),"両方停止","運転がそろわない")))</f>
        <v>判定不能</v>
      </c>
      <c r="AR1475" s="30" t="n">
        <v>0</v>
      </c>
      <c r="AS1475" s="30" t="n">
        <v>0</v>
      </c>
      <c r="AT1475" s="30" t="str">
        <f aca="false">IF(OR(AB1475="判定不能",J1475="判定不能"),"判定不能",IF(AS1475&gt;=判定条件!$C$9,"利用可",IF(AND(AB1475="停止",J1475="停止"),"両方停止","運転がそろわない")))</f>
        <v>判定不能</v>
      </c>
      <c r="AU1475" s="30" t="n">
        <v>0</v>
      </c>
      <c r="AV1475" s="30" t="n">
        <v>0</v>
      </c>
      <c r="AW1475" s="30" t="str">
        <f aca="false">IF(OR(AE1475="判定不能",M1475="判定不能"),"判定不能",IF(AV1475&gt;=判定条件!$C$9,"利用可",IF(AND(AE1475="停止",M1475="停止"),"両方停止","運転がそろわない")))</f>
        <v>判定不能</v>
      </c>
      <c r="AX1475" s="30" t="str">
        <f aca="false">IF(AND(AH1475="利用可",AK1475="利用可",AN1475="利用可"),"利用可","不可")</f>
        <v>不可</v>
      </c>
      <c r="AY1475" s="30" t="str">
        <f aca="false">IF(AND(AQ1475="利用可",AT1475="利用可",AW1475="利用可"),"利用可","不可")</f>
        <v>不可</v>
      </c>
    </row>
    <row r="1476" customFormat="false" ht="15" hidden="false" customHeight="false" outlineLevel="0" collapsed="false">
      <c r="A1476" s="29" t="n">
        <v>46293</v>
      </c>
      <c r="B1476" s="30" t="n">
        <v>9</v>
      </c>
      <c r="C1476" s="31" t="s">
        <v>66</v>
      </c>
      <c r="D1476" s="31" t="s">
        <v>59</v>
      </c>
      <c r="E1476" s="30" t="n">
        <v>60</v>
      </c>
      <c r="F1476" s="30" t="n">
        <v>13</v>
      </c>
      <c r="G1476" s="30" t="str">
        <f aca="false">IF(E1476&lt;判定条件!$C$6,"判定不能",IF(F1476&gt;=判定条件!$C$7*E1476,"運転",IF(F1476&lt;=判定条件!$C$8*E1476,"停止","断続")))</f>
        <v>断続</v>
      </c>
      <c r="H1476" s="30" t="n">
        <v>60</v>
      </c>
      <c r="I1476" s="30" t="n">
        <v>10</v>
      </c>
      <c r="J1476" s="30" t="str">
        <f aca="false">IF(H1476&lt;判定条件!$C$6,"判定不能",IF(I1476&gt;=判定条件!$C$7*H1476,"運転",IF(I1476&lt;=判定条件!$C$8*H1476,"停止","断続")))</f>
        <v>停止</v>
      </c>
      <c r="K1476" s="30" t="n">
        <v>60</v>
      </c>
      <c r="L1476" s="30" t="n">
        <v>0</v>
      </c>
      <c r="M1476" s="30" t="str">
        <f aca="false">IF(K1476&lt;判定条件!$C$6,"判定不能",IF(L1476&gt;=判定条件!$C$7*K1476,"運転",IF(L1476&lt;=判定条件!$C$8*K1476,"停止","断続")))</f>
        <v>停止</v>
      </c>
      <c r="N1476" s="30" t="n">
        <v>60</v>
      </c>
      <c r="O1476" s="30" t="n">
        <v>28</v>
      </c>
      <c r="P1476" s="30" t="str">
        <f aca="false">IF(N1476&lt;判定条件!$C$6,"判定不能",IF(O1476&gt;=判定条件!$C$7*N1476,"運転",IF(O1476&lt;=判定条件!$C$8*N1476,"停止","断続")))</f>
        <v>断続</v>
      </c>
      <c r="Q1476" s="30" t="n">
        <v>60</v>
      </c>
      <c r="R1476" s="30" t="n">
        <v>40</v>
      </c>
      <c r="S1476" s="30" t="str">
        <f aca="false">IF(Q1476&lt;判定条件!$C$6,"判定不能",IF(R1476&gt;=判定条件!$C$7*Q1476,"運転",IF(R1476&lt;=判定条件!$C$8*Q1476,"停止","断続")))</f>
        <v>断続</v>
      </c>
      <c r="T1476" s="30" t="n">
        <v>60</v>
      </c>
      <c r="U1476" s="30" t="n">
        <v>53</v>
      </c>
      <c r="V1476" s="30" t="str">
        <f aca="false">IF(T1476&lt;判定条件!$C$6,"判定不能",IF(U1476&gt;=判定条件!$C$7*T1476,"運転",IF(U1476&lt;=判定条件!$C$8*T1476,"停止","断続")))</f>
        <v>運転</v>
      </c>
      <c r="W1476" s="30" t="n">
        <v>0</v>
      </c>
      <c r="X1476" s="30" t="n">
        <v>0</v>
      </c>
      <c r="Y1476" s="30" t="str">
        <f aca="false">IF(W1476&lt;判定条件!$C$6,"判定不能",IF(X1476&gt;=判定条件!$C$7*W1476,"運転",IF(X1476&lt;=判定条件!$C$8*W1476,"停止","断続")))</f>
        <v>判定不能</v>
      </c>
      <c r="Z1476" s="30" t="n">
        <v>0</v>
      </c>
      <c r="AA1476" s="30" t="n">
        <v>0</v>
      </c>
      <c r="AB1476" s="30" t="str">
        <f aca="false">IF(Z1476&lt;判定条件!$C$6,"判定不能",IF(AA1476&gt;=判定条件!$C$7*Z1476,"運転",IF(AA1476&lt;=判定条件!$C$8*Z1476,"停止","断続")))</f>
        <v>判定不能</v>
      </c>
      <c r="AC1476" s="30" t="n">
        <v>0</v>
      </c>
      <c r="AD1476" s="30" t="n">
        <v>0</v>
      </c>
      <c r="AE1476" s="30" t="str">
        <f aca="false">IF(AC1476&lt;判定条件!$C$6,"判定不能",IF(AD1476&gt;=判定条件!$C$7*AC1476,"運転",IF(AD1476&lt;=判定条件!$C$8*AC1476,"停止","断続")))</f>
        <v>判定不能</v>
      </c>
      <c r="AF1476" s="30" t="n">
        <v>60</v>
      </c>
      <c r="AG1476" s="30" t="n">
        <v>13</v>
      </c>
      <c r="AH1476" s="30" t="str">
        <f aca="false">IF(OR(P1476="判定不能",G1476="判定不能"),"判定不能",IF(AG1476&gt;=判定条件!$C$9,"利用可",IF(AND(P1476="停止",G1476="停止"),"両方停止","運転がそろわない")))</f>
        <v>運転がそろわない</v>
      </c>
      <c r="AI1476" s="30" t="n">
        <v>60</v>
      </c>
      <c r="AJ1476" s="30" t="n">
        <v>10</v>
      </c>
      <c r="AK1476" s="30" t="str">
        <f aca="false">IF(OR(S1476="判定不能",J1476="判定不能"),"判定不能",IF(AJ1476&gt;=判定条件!$C$9,"利用可",IF(AND(S1476="停止",J1476="停止"),"両方停止","運転がそろわない")))</f>
        <v>運転がそろわない</v>
      </c>
      <c r="AL1476" s="30" t="n">
        <v>60</v>
      </c>
      <c r="AM1476" s="30" t="n">
        <v>0</v>
      </c>
      <c r="AN1476" s="30" t="str">
        <f aca="false">IF(OR(V1476="判定不能",M1476="判定不能"),"判定不能",IF(AM1476&gt;=判定条件!$C$9,"利用可",IF(AND(V1476="停止",M1476="停止"),"両方停止","運転がそろわない")))</f>
        <v>運転がそろわない</v>
      </c>
      <c r="AO1476" s="30" t="n">
        <v>0</v>
      </c>
      <c r="AP1476" s="30" t="n">
        <v>0</v>
      </c>
      <c r="AQ1476" s="30" t="str">
        <f aca="false">IF(OR(Y1476="判定不能",G1476="判定不能"),"判定不能",IF(AP1476&gt;=判定条件!$C$9,"利用可",IF(AND(Y1476="停止",G1476="停止"),"両方停止","運転がそろわない")))</f>
        <v>判定不能</v>
      </c>
      <c r="AR1476" s="30" t="n">
        <v>0</v>
      </c>
      <c r="AS1476" s="30" t="n">
        <v>0</v>
      </c>
      <c r="AT1476" s="30" t="str">
        <f aca="false">IF(OR(AB1476="判定不能",J1476="判定不能"),"判定不能",IF(AS1476&gt;=判定条件!$C$9,"利用可",IF(AND(AB1476="停止",J1476="停止"),"両方停止","運転がそろわない")))</f>
        <v>判定不能</v>
      </c>
      <c r="AU1476" s="30" t="n">
        <v>0</v>
      </c>
      <c r="AV1476" s="30" t="n">
        <v>0</v>
      </c>
      <c r="AW1476" s="30" t="str">
        <f aca="false">IF(OR(AE1476="判定不能",M1476="判定不能"),"判定不能",IF(AV1476&gt;=判定条件!$C$9,"利用可",IF(AND(AE1476="停止",M1476="停止"),"両方停止","運転がそろわない")))</f>
        <v>判定不能</v>
      </c>
      <c r="AX1476" s="30" t="str">
        <f aca="false">IF(AND(AH1476="利用可",AK1476="利用可",AN1476="利用可"),"利用可","不可")</f>
        <v>不可</v>
      </c>
      <c r="AY1476" s="30" t="str">
        <f aca="false">IF(AND(AQ1476="利用可",AT1476="利用可",AW1476="利用可"),"利用可","不可")</f>
        <v>不可</v>
      </c>
    </row>
    <row r="1477" customFormat="false" ht="15" hidden="false" customHeight="false" outlineLevel="0" collapsed="false">
      <c r="A1477" s="29" t="n">
        <v>46293</v>
      </c>
      <c r="B1477" s="30" t="n">
        <v>10</v>
      </c>
      <c r="C1477" s="31" t="s">
        <v>66</v>
      </c>
      <c r="D1477" s="31" t="s">
        <v>59</v>
      </c>
      <c r="E1477" s="30" t="n">
        <v>60</v>
      </c>
      <c r="F1477" s="30" t="n">
        <v>13</v>
      </c>
      <c r="G1477" s="30" t="str">
        <f aca="false">IF(E1477&lt;判定条件!$C$6,"判定不能",IF(F1477&gt;=判定条件!$C$7*E1477,"運転",IF(F1477&lt;=判定条件!$C$8*E1477,"停止","断続")))</f>
        <v>断続</v>
      </c>
      <c r="H1477" s="30" t="n">
        <v>60</v>
      </c>
      <c r="I1477" s="30" t="n">
        <v>23</v>
      </c>
      <c r="J1477" s="30" t="str">
        <f aca="false">IF(H1477&lt;判定条件!$C$6,"判定不能",IF(I1477&gt;=判定条件!$C$7*H1477,"運転",IF(I1477&lt;=判定条件!$C$8*H1477,"停止","断続")))</f>
        <v>断続</v>
      </c>
      <c r="K1477" s="30" t="n">
        <v>60</v>
      </c>
      <c r="L1477" s="30" t="n">
        <v>12</v>
      </c>
      <c r="M1477" s="30" t="str">
        <f aca="false">IF(K1477&lt;判定条件!$C$6,"判定不能",IF(L1477&gt;=判定条件!$C$7*K1477,"運転",IF(L1477&lt;=判定条件!$C$8*K1477,"停止","断続")))</f>
        <v>停止</v>
      </c>
      <c r="N1477" s="30" t="n">
        <v>60</v>
      </c>
      <c r="O1477" s="30" t="n">
        <v>25</v>
      </c>
      <c r="P1477" s="30" t="str">
        <f aca="false">IF(N1477&lt;判定条件!$C$6,"判定不能",IF(O1477&gt;=判定条件!$C$7*N1477,"運転",IF(O1477&lt;=判定条件!$C$8*N1477,"停止","断続")))</f>
        <v>断続</v>
      </c>
      <c r="Q1477" s="30" t="n">
        <v>60</v>
      </c>
      <c r="R1477" s="30" t="n">
        <v>60</v>
      </c>
      <c r="S1477" s="30" t="str">
        <f aca="false">IF(Q1477&lt;判定条件!$C$6,"判定不能",IF(R1477&gt;=判定条件!$C$7*Q1477,"運転",IF(R1477&lt;=判定条件!$C$8*Q1477,"停止","断続")))</f>
        <v>運転</v>
      </c>
      <c r="T1477" s="30" t="n">
        <v>60</v>
      </c>
      <c r="U1477" s="30" t="n">
        <v>60</v>
      </c>
      <c r="V1477" s="30" t="str">
        <f aca="false">IF(T1477&lt;判定条件!$C$6,"判定不能",IF(U1477&gt;=判定条件!$C$7*T1477,"運転",IF(U1477&lt;=判定条件!$C$8*T1477,"停止","断続")))</f>
        <v>運転</v>
      </c>
      <c r="W1477" s="30" t="n">
        <v>0</v>
      </c>
      <c r="X1477" s="30" t="n">
        <v>0</v>
      </c>
      <c r="Y1477" s="30" t="str">
        <f aca="false">IF(W1477&lt;判定条件!$C$6,"判定不能",IF(X1477&gt;=判定条件!$C$7*W1477,"運転",IF(X1477&lt;=判定条件!$C$8*W1477,"停止","断続")))</f>
        <v>判定不能</v>
      </c>
      <c r="Z1477" s="30" t="n">
        <v>0</v>
      </c>
      <c r="AA1477" s="30" t="n">
        <v>0</v>
      </c>
      <c r="AB1477" s="30" t="str">
        <f aca="false">IF(Z1477&lt;判定条件!$C$6,"判定不能",IF(AA1477&gt;=判定条件!$C$7*Z1477,"運転",IF(AA1477&lt;=判定条件!$C$8*Z1477,"停止","断続")))</f>
        <v>判定不能</v>
      </c>
      <c r="AC1477" s="30" t="n">
        <v>0</v>
      </c>
      <c r="AD1477" s="30" t="n">
        <v>0</v>
      </c>
      <c r="AE1477" s="30" t="str">
        <f aca="false">IF(AC1477&lt;判定条件!$C$6,"判定不能",IF(AD1477&gt;=判定条件!$C$7*AC1477,"運転",IF(AD1477&lt;=判定条件!$C$8*AC1477,"停止","断続")))</f>
        <v>判定不能</v>
      </c>
      <c r="AF1477" s="30" t="n">
        <v>60</v>
      </c>
      <c r="AG1477" s="30" t="n">
        <v>0</v>
      </c>
      <c r="AH1477" s="30" t="str">
        <f aca="false">IF(OR(P1477="判定不能",G1477="判定不能"),"判定不能",IF(AG1477&gt;=判定条件!$C$9,"利用可",IF(AND(P1477="停止",G1477="停止"),"両方停止","運転がそろわない")))</f>
        <v>運転がそろわない</v>
      </c>
      <c r="AI1477" s="30" t="n">
        <v>60</v>
      </c>
      <c r="AJ1477" s="30" t="n">
        <v>23</v>
      </c>
      <c r="AK1477" s="30" t="str">
        <f aca="false">IF(OR(S1477="判定不能",J1477="判定不能"),"判定不能",IF(AJ1477&gt;=判定条件!$C$9,"利用可",IF(AND(S1477="停止",J1477="停止"),"両方停止","運転がそろわない")))</f>
        <v>運転がそろわない</v>
      </c>
      <c r="AL1477" s="30" t="n">
        <v>60</v>
      </c>
      <c r="AM1477" s="30" t="n">
        <v>12</v>
      </c>
      <c r="AN1477" s="30" t="str">
        <f aca="false">IF(OR(V1477="判定不能",M1477="判定不能"),"判定不能",IF(AM1477&gt;=判定条件!$C$9,"利用可",IF(AND(V1477="停止",M1477="停止"),"両方停止","運転がそろわない")))</f>
        <v>運転がそろわない</v>
      </c>
      <c r="AO1477" s="30" t="n">
        <v>0</v>
      </c>
      <c r="AP1477" s="30" t="n">
        <v>0</v>
      </c>
      <c r="AQ1477" s="30" t="str">
        <f aca="false">IF(OR(Y1477="判定不能",G1477="判定不能"),"判定不能",IF(AP1477&gt;=判定条件!$C$9,"利用可",IF(AND(Y1477="停止",G1477="停止"),"両方停止","運転がそろわない")))</f>
        <v>判定不能</v>
      </c>
      <c r="AR1477" s="30" t="n">
        <v>0</v>
      </c>
      <c r="AS1477" s="30" t="n">
        <v>0</v>
      </c>
      <c r="AT1477" s="30" t="str">
        <f aca="false">IF(OR(AB1477="判定不能",J1477="判定不能"),"判定不能",IF(AS1477&gt;=判定条件!$C$9,"利用可",IF(AND(AB1477="停止",J1477="停止"),"両方停止","運転がそろわない")))</f>
        <v>判定不能</v>
      </c>
      <c r="AU1477" s="30" t="n">
        <v>0</v>
      </c>
      <c r="AV1477" s="30" t="n">
        <v>0</v>
      </c>
      <c r="AW1477" s="30" t="str">
        <f aca="false">IF(OR(AE1477="判定不能",M1477="判定不能"),"判定不能",IF(AV1477&gt;=判定条件!$C$9,"利用可",IF(AND(AE1477="停止",M1477="停止"),"両方停止","運転がそろわない")))</f>
        <v>判定不能</v>
      </c>
      <c r="AX1477" s="30" t="str">
        <f aca="false">IF(AND(AH1477="利用可",AK1477="利用可",AN1477="利用可"),"利用可","不可")</f>
        <v>不可</v>
      </c>
      <c r="AY1477" s="30" t="str">
        <f aca="false">IF(AND(AQ1477="利用可",AT1477="利用可",AW1477="利用可"),"利用可","不可")</f>
        <v>不可</v>
      </c>
    </row>
    <row r="1478" customFormat="false" ht="15" hidden="false" customHeight="false" outlineLevel="0" collapsed="false">
      <c r="A1478" s="29" t="n">
        <v>46293</v>
      </c>
      <c r="B1478" s="30" t="n">
        <v>11</v>
      </c>
      <c r="C1478" s="31" t="s">
        <v>66</v>
      </c>
      <c r="D1478" s="31" t="s">
        <v>59</v>
      </c>
      <c r="E1478" s="30" t="n">
        <v>60</v>
      </c>
      <c r="F1478" s="30" t="n">
        <v>32</v>
      </c>
      <c r="G1478" s="30" t="str">
        <f aca="false">IF(E1478&lt;判定条件!$C$6,"判定不能",IF(F1478&gt;=判定条件!$C$7*E1478,"運転",IF(F1478&lt;=判定条件!$C$8*E1478,"停止","断続")))</f>
        <v>断続</v>
      </c>
      <c r="H1478" s="30" t="n">
        <v>60</v>
      </c>
      <c r="I1478" s="30" t="n">
        <v>40</v>
      </c>
      <c r="J1478" s="30" t="str">
        <f aca="false">IF(H1478&lt;判定条件!$C$6,"判定不能",IF(I1478&gt;=判定条件!$C$7*H1478,"運転",IF(I1478&lt;=判定条件!$C$8*H1478,"停止","断続")))</f>
        <v>断続</v>
      </c>
      <c r="K1478" s="30" t="n">
        <v>60</v>
      </c>
      <c r="L1478" s="30" t="n">
        <v>60</v>
      </c>
      <c r="M1478" s="30" t="str">
        <f aca="false">IF(K1478&lt;判定条件!$C$6,"判定不能",IF(L1478&gt;=判定条件!$C$7*K1478,"運転",IF(L1478&lt;=判定条件!$C$8*K1478,"停止","断続")))</f>
        <v>運転</v>
      </c>
      <c r="N1478" s="30" t="n">
        <v>60</v>
      </c>
      <c r="O1478" s="30" t="n">
        <v>60</v>
      </c>
      <c r="P1478" s="30" t="str">
        <f aca="false">IF(N1478&lt;判定条件!$C$6,"判定不能",IF(O1478&gt;=判定条件!$C$7*N1478,"運転",IF(O1478&lt;=判定条件!$C$8*N1478,"停止","断続")))</f>
        <v>運転</v>
      </c>
      <c r="Q1478" s="30" t="n">
        <v>60</v>
      </c>
      <c r="R1478" s="30" t="n">
        <v>56</v>
      </c>
      <c r="S1478" s="30" t="str">
        <f aca="false">IF(Q1478&lt;判定条件!$C$6,"判定不能",IF(R1478&gt;=判定条件!$C$7*Q1478,"運転",IF(R1478&lt;=判定条件!$C$8*Q1478,"停止","断続")))</f>
        <v>運転</v>
      </c>
      <c r="T1478" s="30" t="n">
        <v>60</v>
      </c>
      <c r="U1478" s="30" t="n">
        <v>60</v>
      </c>
      <c r="V1478" s="30" t="str">
        <f aca="false">IF(T1478&lt;判定条件!$C$6,"判定不能",IF(U1478&gt;=判定条件!$C$7*T1478,"運転",IF(U1478&lt;=判定条件!$C$8*T1478,"停止","断続")))</f>
        <v>運転</v>
      </c>
      <c r="W1478" s="30" t="n">
        <v>0</v>
      </c>
      <c r="X1478" s="30" t="n">
        <v>0</v>
      </c>
      <c r="Y1478" s="30" t="str">
        <f aca="false">IF(W1478&lt;判定条件!$C$6,"判定不能",IF(X1478&gt;=判定条件!$C$7*W1478,"運転",IF(X1478&lt;=判定条件!$C$8*W1478,"停止","断続")))</f>
        <v>判定不能</v>
      </c>
      <c r="Z1478" s="30" t="n">
        <v>0</v>
      </c>
      <c r="AA1478" s="30" t="n">
        <v>0</v>
      </c>
      <c r="AB1478" s="30" t="str">
        <f aca="false">IF(Z1478&lt;判定条件!$C$6,"判定不能",IF(AA1478&gt;=判定条件!$C$7*Z1478,"運転",IF(AA1478&lt;=判定条件!$C$8*Z1478,"停止","断続")))</f>
        <v>判定不能</v>
      </c>
      <c r="AC1478" s="30" t="n">
        <v>0</v>
      </c>
      <c r="AD1478" s="30" t="n">
        <v>0</v>
      </c>
      <c r="AE1478" s="30" t="str">
        <f aca="false">IF(AC1478&lt;判定条件!$C$6,"判定不能",IF(AD1478&gt;=判定条件!$C$7*AC1478,"運転",IF(AD1478&lt;=判定条件!$C$8*AC1478,"停止","断続")))</f>
        <v>判定不能</v>
      </c>
      <c r="AF1478" s="30" t="n">
        <v>60</v>
      </c>
      <c r="AG1478" s="30" t="n">
        <v>32</v>
      </c>
      <c r="AH1478" s="30" t="str">
        <f aca="false">IF(OR(P1478="判定不能",G1478="判定不能"),"判定不能",IF(AG1478&gt;=判定条件!$C$9,"利用可",IF(AND(P1478="停止",G1478="停止"),"両方停止","運転がそろわない")))</f>
        <v>利用可</v>
      </c>
      <c r="AI1478" s="30" t="n">
        <v>60</v>
      </c>
      <c r="AJ1478" s="30" t="n">
        <v>36</v>
      </c>
      <c r="AK1478" s="30" t="str">
        <f aca="false">IF(OR(S1478="判定不能",J1478="判定不能"),"判定不能",IF(AJ1478&gt;=判定条件!$C$9,"利用可",IF(AND(S1478="停止",J1478="停止"),"両方停止","運転がそろわない")))</f>
        <v>利用可</v>
      </c>
      <c r="AL1478" s="30" t="n">
        <v>60</v>
      </c>
      <c r="AM1478" s="30" t="n">
        <v>60</v>
      </c>
      <c r="AN1478" s="30" t="str">
        <f aca="false">IF(OR(V1478="判定不能",M1478="判定不能"),"判定不能",IF(AM1478&gt;=判定条件!$C$9,"利用可",IF(AND(V1478="停止",M1478="停止"),"両方停止","運転がそろわない")))</f>
        <v>利用可</v>
      </c>
      <c r="AO1478" s="30" t="n">
        <v>0</v>
      </c>
      <c r="AP1478" s="30" t="n">
        <v>0</v>
      </c>
      <c r="AQ1478" s="30" t="str">
        <f aca="false">IF(OR(Y1478="判定不能",G1478="判定不能"),"判定不能",IF(AP1478&gt;=判定条件!$C$9,"利用可",IF(AND(Y1478="停止",G1478="停止"),"両方停止","運転がそろわない")))</f>
        <v>判定不能</v>
      </c>
      <c r="AR1478" s="30" t="n">
        <v>0</v>
      </c>
      <c r="AS1478" s="30" t="n">
        <v>0</v>
      </c>
      <c r="AT1478" s="30" t="str">
        <f aca="false">IF(OR(AB1478="判定不能",J1478="判定不能"),"判定不能",IF(AS1478&gt;=判定条件!$C$9,"利用可",IF(AND(AB1478="停止",J1478="停止"),"両方停止","運転がそろわない")))</f>
        <v>判定不能</v>
      </c>
      <c r="AU1478" s="30" t="n">
        <v>0</v>
      </c>
      <c r="AV1478" s="30" t="n">
        <v>0</v>
      </c>
      <c r="AW1478" s="30" t="str">
        <f aca="false">IF(OR(AE1478="判定不能",M1478="判定不能"),"判定不能",IF(AV1478&gt;=判定条件!$C$9,"利用可",IF(AND(AE1478="停止",M1478="停止"),"両方停止","運転がそろわない")))</f>
        <v>判定不能</v>
      </c>
      <c r="AX1478" s="30" t="str">
        <f aca="false">IF(AND(AH1478="利用可",AK1478="利用可",AN1478="利用可"),"利用可","不可")</f>
        <v>利用可</v>
      </c>
      <c r="AY1478" s="30" t="str">
        <f aca="false">IF(AND(AQ1478="利用可",AT1478="利用可",AW1478="利用可"),"利用可","不可")</f>
        <v>不可</v>
      </c>
    </row>
    <row r="1479" customFormat="false" ht="15" hidden="false" customHeight="false" outlineLevel="0" collapsed="false">
      <c r="A1479" s="29" t="n">
        <v>46293</v>
      </c>
      <c r="B1479" s="30" t="n">
        <v>12</v>
      </c>
      <c r="C1479" s="31" t="s">
        <v>66</v>
      </c>
      <c r="D1479" s="31" t="s">
        <v>59</v>
      </c>
      <c r="E1479" s="30" t="n">
        <v>60</v>
      </c>
      <c r="F1479" s="30" t="n">
        <v>40</v>
      </c>
      <c r="G1479" s="30" t="str">
        <f aca="false">IF(E1479&lt;判定条件!$C$6,"判定不能",IF(F1479&gt;=判定条件!$C$7*E1479,"運転",IF(F1479&lt;=判定条件!$C$8*E1479,"停止","断続")))</f>
        <v>断続</v>
      </c>
      <c r="H1479" s="30" t="n">
        <v>60</v>
      </c>
      <c r="I1479" s="30" t="n">
        <v>57</v>
      </c>
      <c r="J1479" s="30" t="str">
        <f aca="false">IF(H1479&lt;判定条件!$C$6,"判定不能",IF(I1479&gt;=判定条件!$C$7*H1479,"運転",IF(I1479&lt;=判定条件!$C$8*H1479,"停止","断続")))</f>
        <v>運転</v>
      </c>
      <c r="K1479" s="30" t="n">
        <v>60</v>
      </c>
      <c r="L1479" s="30" t="n">
        <v>38</v>
      </c>
      <c r="M1479" s="30" t="str">
        <f aca="false">IF(K1479&lt;判定条件!$C$6,"判定不能",IF(L1479&gt;=判定条件!$C$7*K1479,"運転",IF(L1479&lt;=判定条件!$C$8*K1479,"停止","断続")))</f>
        <v>断続</v>
      </c>
      <c r="N1479" s="30" t="n">
        <v>60</v>
      </c>
      <c r="O1479" s="30" t="n">
        <v>40</v>
      </c>
      <c r="P1479" s="30" t="str">
        <f aca="false">IF(N1479&lt;判定条件!$C$6,"判定不能",IF(O1479&gt;=判定条件!$C$7*N1479,"運転",IF(O1479&lt;=判定条件!$C$8*N1479,"停止","断続")))</f>
        <v>断続</v>
      </c>
      <c r="Q1479" s="30" t="n">
        <v>60</v>
      </c>
      <c r="R1479" s="30" t="n">
        <v>60</v>
      </c>
      <c r="S1479" s="30" t="str">
        <f aca="false">IF(Q1479&lt;判定条件!$C$6,"判定不能",IF(R1479&gt;=判定条件!$C$7*Q1479,"運転",IF(R1479&lt;=判定条件!$C$8*Q1479,"停止","断続")))</f>
        <v>運転</v>
      </c>
      <c r="T1479" s="30" t="n">
        <v>60</v>
      </c>
      <c r="U1479" s="30" t="n">
        <v>30</v>
      </c>
      <c r="V1479" s="30" t="str">
        <f aca="false">IF(T1479&lt;判定条件!$C$6,"判定不能",IF(U1479&gt;=判定条件!$C$7*T1479,"運転",IF(U1479&lt;=判定条件!$C$8*T1479,"停止","断続")))</f>
        <v>断続</v>
      </c>
      <c r="W1479" s="30" t="n">
        <v>0</v>
      </c>
      <c r="X1479" s="30" t="n">
        <v>0</v>
      </c>
      <c r="Y1479" s="30" t="str">
        <f aca="false">IF(W1479&lt;判定条件!$C$6,"判定不能",IF(X1479&gt;=判定条件!$C$7*W1479,"運転",IF(X1479&lt;=判定条件!$C$8*W1479,"停止","断続")))</f>
        <v>判定不能</v>
      </c>
      <c r="Z1479" s="30" t="n">
        <v>0</v>
      </c>
      <c r="AA1479" s="30" t="n">
        <v>0</v>
      </c>
      <c r="AB1479" s="30" t="str">
        <f aca="false">IF(Z1479&lt;判定条件!$C$6,"判定不能",IF(AA1479&gt;=判定条件!$C$7*Z1479,"運転",IF(AA1479&lt;=判定条件!$C$8*Z1479,"停止","断続")))</f>
        <v>判定不能</v>
      </c>
      <c r="AC1479" s="30" t="n">
        <v>0</v>
      </c>
      <c r="AD1479" s="30" t="n">
        <v>0</v>
      </c>
      <c r="AE1479" s="30" t="str">
        <f aca="false">IF(AC1479&lt;判定条件!$C$6,"判定不能",IF(AD1479&gt;=判定条件!$C$7*AC1479,"運転",IF(AD1479&lt;=判定条件!$C$8*AC1479,"停止","断続")))</f>
        <v>判定不能</v>
      </c>
      <c r="AF1479" s="30" t="n">
        <v>60</v>
      </c>
      <c r="AG1479" s="30" t="n">
        <v>25</v>
      </c>
      <c r="AH1479" s="30" t="str">
        <f aca="false">IF(OR(P1479="判定不能",G1479="判定不能"),"判定不能",IF(AG1479&gt;=判定条件!$C$9,"利用可",IF(AND(P1479="停止",G1479="停止"),"両方停止","運転がそろわない")))</f>
        <v>運転がそろわない</v>
      </c>
      <c r="AI1479" s="30" t="n">
        <v>60</v>
      </c>
      <c r="AJ1479" s="30" t="n">
        <v>57</v>
      </c>
      <c r="AK1479" s="30" t="str">
        <f aca="false">IF(OR(S1479="判定不能",J1479="判定不能"),"判定不能",IF(AJ1479&gt;=判定条件!$C$9,"利用可",IF(AND(S1479="停止",J1479="停止"),"両方停止","運転がそろわない")))</f>
        <v>利用可</v>
      </c>
      <c r="AL1479" s="30" t="n">
        <v>60</v>
      </c>
      <c r="AM1479" s="30" t="n">
        <v>21</v>
      </c>
      <c r="AN1479" s="30" t="str">
        <f aca="false">IF(OR(V1479="判定不能",M1479="判定不能"),"判定不能",IF(AM1479&gt;=判定条件!$C$9,"利用可",IF(AND(V1479="停止",M1479="停止"),"両方停止","運転がそろわない")))</f>
        <v>運転がそろわない</v>
      </c>
      <c r="AO1479" s="30" t="n">
        <v>0</v>
      </c>
      <c r="AP1479" s="30" t="n">
        <v>0</v>
      </c>
      <c r="AQ1479" s="30" t="str">
        <f aca="false">IF(OR(Y1479="判定不能",G1479="判定不能"),"判定不能",IF(AP1479&gt;=判定条件!$C$9,"利用可",IF(AND(Y1479="停止",G1479="停止"),"両方停止","運転がそろわない")))</f>
        <v>判定不能</v>
      </c>
      <c r="AR1479" s="30" t="n">
        <v>0</v>
      </c>
      <c r="AS1479" s="30" t="n">
        <v>0</v>
      </c>
      <c r="AT1479" s="30" t="str">
        <f aca="false">IF(OR(AB1479="判定不能",J1479="判定不能"),"判定不能",IF(AS1479&gt;=判定条件!$C$9,"利用可",IF(AND(AB1479="停止",J1479="停止"),"両方停止","運転がそろわない")))</f>
        <v>判定不能</v>
      </c>
      <c r="AU1479" s="30" t="n">
        <v>0</v>
      </c>
      <c r="AV1479" s="30" t="n">
        <v>0</v>
      </c>
      <c r="AW1479" s="30" t="str">
        <f aca="false">IF(OR(AE1479="判定不能",M1479="判定不能"),"判定不能",IF(AV1479&gt;=判定条件!$C$9,"利用可",IF(AND(AE1479="停止",M1479="停止"),"両方停止","運転がそろわない")))</f>
        <v>判定不能</v>
      </c>
      <c r="AX1479" s="30" t="str">
        <f aca="false">IF(AND(AH1479="利用可",AK1479="利用可",AN1479="利用可"),"利用可","不可")</f>
        <v>不可</v>
      </c>
      <c r="AY1479" s="30" t="str">
        <f aca="false">IF(AND(AQ1479="利用可",AT1479="利用可",AW1479="利用可"),"利用可","不可")</f>
        <v>不可</v>
      </c>
    </row>
    <row r="1480" customFormat="false" ht="15" hidden="false" customHeight="false" outlineLevel="0" collapsed="false">
      <c r="A1480" s="29" t="n">
        <v>46293</v>
      </c>
      <c r="B1480" s="30" t="n">
        <v>13</v>
      </c>
      <c r="C1480" s="31" t="s">
        <v>66</v>
      </c>
      <c r="D1480" s="31" t="s">
        <v>59</v>
      </c>
      <c r="E1480" s="30" t="n">
        <v>60</v>
      </c>
      <c r="F1480" s="30" t="n">
        <v>60</v>
      </c>
      <c r="G1480" s="30" t="str">
        <f aca="false">IF(E1480&lt;判定条件!$C$6,"判定不能",IF(F1480&gt;=判定条件!$C$7*E1480,"運転",IF(F1480&lt;=判定条件!$C$8*E1480,"停止","断続")))</f>
        <v>運転</v>
      </c>
      <c r="H1480" s="30" t="n">
        <v>60</v>
      </c>
      <c r="I1480" s="30" t="n">
        <v>60</v>
      </c>
      <c r="J1480" s="30" t="str">
        <f aca="false">IF(H1480&lt;判定条件!$C$6,"判定不能",IF(I1480&gt;=判定条件!$C$7*H1480,"運転",IF(I1480&lt;=判定条件!$C$8*H1480,"停止","断続")))</f>
        <v>運転</v>
      </c>
      <c r="K1480" s="30" t="n">
        <v>60</v>
      </c>
      <c r="L1480" s="30" t="n">
        <v>50</v>
      </c>
      <c r="M1480" s="30" t="str">
        <f aca="false">IF(K1480&lt;判定条件!$C$6,"判定不能",IF(L1480&gt;=判定条件!$C$7*K1480,"運転",IF(L1480&lt;=判定条件!$C$8*K1480,"停止","断続")))</f>
        <v>運転</v>
      </c>
      <c r="N1480" s="30" t="n">
        <v>60</v>
      </c>
      <c r="O1480" s="30" t="n">
        <v>57</v>
      </c>
      <c r="P1480" s="30" t="str">
        <f aca="false">IF(N1480&lt;判定条件!$C$6,"判定不能",IF(O1480&gt;=判定条件!$C$7*N1480,"運転",IF(O1480&lt;=判定条件!$C$8*N1480,"停止","断続")))</f>
        <v>運転</v>
      </c>
      <c r="Q1480" s="30" t="n">
        <v>60</v>
      </c>
      <c r="R1480" s="30" t="n">
        <v>60</v>
      </c>
      <c r="S1480" s="30" t="str">
        <f aca="false">IF(Q1480&lt;判定条件!$C$6,"判定不能",IF(R1480&gt;=判定条件!$C$7*Q1480,"運転",IF(R1480&lt;=判定条件!$C$8*Q1480,"停止","断続")))</f>
        <v>運転</v>
      </c>
      <c r="T1480" s="30" t="n">
        <v>60</v>
      </c>
      <c r="U1480" s="30" t="n">
        <v>38</v>
      </c>
      <c r="V1480" s="30" t="str">
        <f aca="false">IF(T1480&lt;判定条件!$C$6,"判定不能",IF(U1480&gt;=判定条件!$C$7*T1480,"運転",IF(U1480&lt;=判定条件!$C$8*T1480,"停止","断続")))</f>
        <v>断続</v>
      </c>
      <c r="W1480" s="30" t="n">
        <v>0</v>
      </c>
      <c r="X1480" s="30" t="n">
        <v>0</v>
      </c>
      <c r="Y1480" s="30" t="str">
        <f aca="false">IF(W1480&lt;判定条件!$C$6,"判定不能",IF(X1480&gt;=判定条件!$C$7*W1480,"運転",IF(X1480&lt;=判定条件!$C$8*W1480,"停止","断続")))</f>
        <v>判定不能</v>
      </c>
      <c r="Z1480" s="30" t="n">
        <v>0</v>
      </c>
      <c r="AA1480" s="30" t="n">
        <v>0</v>
      </c>
      <c r="AB1480" s="30" t="str">
        <f aca="false">IF(Z1480&lt;判定条件!$C$6,"判定不能",IF(AA1480&gt;=判定条件!$C$7*Z1480,"運転",IF(AA1480&lt;=判定条件!$C$8*Z1480,"停止","断続")))</f>
        <v>判定不能</v>
      </c>
      <c r="AC1480" s="30" t="n">
        <v>0</v>
      </c>
      <c r="AD1480" s="30" t="n">
        <v>0</v>
      </c>
      <c r="AE1480" s="30" t="str">
        <f aca="false">IF(AC1480&lt;判定条件!$C$6,"判定不能",IF(AD1480&gt;=判定条件!$C$7*AC1480,"運転",IF(AD1480&lt;=判定条件!$C$8*AC1480,"停止","断続")))</f>
        <v>判定不能</v>
      </c>
      <c r="AF1480" s="30" t="n">
        <v>60</v>
      </c>
      <c r="AG1480" s="30" t="n">
        <v>57</v>
      </c>
      <c r="AH1480" s="30" t="str">
        <f aca="false">IF(OR(P1480="判定不能",G1480="判定不能"),"判定不能",IF(AG1480&gt;=判定条件!$C$9,"利用可",IF(AND(P1480="停止",G1480="停止"),"両方停止","運転がそろわない")))</f>
        <v>利用可</v>
      </c>
      <c r="AI1480" s="30" t="n">
        <v>60</v>
      </c>
      <c r="AJ1480" s="30" t="n">
        <v>60</v>
      </c>
      <c r="AK1480" s="30" t="str">
        <f aca="false">IF(OR(S1480="判定不能",J1480="判定不能"),"判定不能",IF(AJ1480&gt;=判定条件!$C$9,"利用可",IF(AND(S1480="停止",J1480="停止"),"両方停止","運転がそろわない")))</f>
        <v>利用可</v>
      </c>
      <c r="AL1480" s="30" t="n">
        <v>60</v>
      </c>
      <c r="AM1480" s="30" t="n">
        <v>28</v>
      </c>
      <c r="AN1480" s="30" t="str">
        <f aca="false">IF(OR(V1480="判定不能",M1480="判定不能"),"判定不能",IF(AM1480&gt;=判定条件!$C$9,"利用可",IF(AND(V1480="停止",M1480="停止"),"両方停止","運転がそろわない")))</f>
        <v>運転がそろわない</v>
      </c>
      <c r="AO1480" s="30" t="n">
        <v>0</v>
      </c>
      <c r="AP1480" s="30" t="n">
        <v>0</v>
      </c>
      <c r="AQ1480" s="30" t="str">
        <f aca="false">IF(OR(Y1480="判定不能",G1480="判定不能"),"判定不能",IF(AP1480&gt;=判定条件!$C$9,"利用可",IF(AND(Y1480="停止",G1480="停止"),"両方停止","運転がそろわない")))</f>
        <v>判定不能</v>
      </c>
      <c r="AR1480" s="30" t="n">
        <v>0</v>
      </c>
      <c r="AS1480" s="30" t="n">
        <v>0</v>
      </c>
      <c r="AT1480" s="30" t="str">
        <f aca="false">IF(OR(AB1480="判定不能",J1480="判定不能"),"判定不能",IF(AS1480&gt;=判定条件!$C$9,"利用可",IF(AND(AB1480="停止",J1480="停止"),"両方停止","運転がそろわない")))</f>
        <v>判定不能</v>
      </c>
      <c r="AU1480" s="30" t="n">
        <v>0</v>
      </c>
      <c r="AV1480" s="30" t="n">
        <v>0</v>
      </c>
      <c r="AW1480" s="30" t="str">
        <f aca="false">IF(OR(AE1480="判定不能",M1480="判定不能"),"判定不能",IF(AV1480&gt;=判定条件!$C$9,"利用可",IF(AND(AE1480="停止",M1480="停止"),"両方停止","運転がそろわない")))</f>
        <v>判定不能</v>
      </c>
      <c r="AX1480" s="30" t="str">
        <f aca="false">IF(AND(AH1480="利用可",AK1480="利用可",AN1480="利用可"),"利用可","不可")</f>
        <v>不可</v>
      </c>
      <c r="AY1480" s="30" t="str">
        <f aca="false">IF(AND(AQ1480="利用可",AT1480="利用可",AW1480="利用可"),"利用可","不可")</f>
        <v>不可</v>
      </c>
    </row>
    <row r="1481" customFormat="false" ht="15" hidden="false" customHeight="false" outlineLevel="0" collapsed="false">
      <c r="A1481" s="29" t="n">
        <v>46293</v>
      </c>
      <c r="B1481" s="30" t="n">
        <v>14</v>
      </c>
      <c r="C1481" s="31" t="s">
        <v>66</v>
      </c>
      <c r="D1481" s="31" t="s">
        <v>59</v>
      </c>
      <c r="E1481" s="30" t="n">
        <v>60</v>
      </c>
      <c r="F1481" s="30" t="n">
        <v>60</v>
      </c>
      <c r="G1481" s="30" t="str">
        <f aca="false">IF(E1481&lt;判定条件!$C$6,"判定不能",IF(F1481&gt;=判定条件!$C$7*E1481,"運転",IF(F1481&lt;=判定条件!$C$8*E1481,"停止","断続")))</f>
        <v>運転</v>
      </c>
      <c r="H1481" s="30" t="n">
        <v>60</v>
      </c>
      <c r="I1481" s="30" t="n">
        <v>60</v>
      </c>
      <c r="J1481" s="30" t="str">
        <f aca="false">IF(H1481&lt;判定条件!$C$6,"判定不能",IF(I1481&gt;=判定条件!$C$7*H1481,"運転",IF(I1481&lt;=判定条件!$C$8*H1481,"停止","断続")))</f>
        <v>運転</v>
      </c>
      <c r="K1481" s="30" t="n">
        <v>60</v>
      </c>
      <c r="L1481" s="30" t="n">
        <v>60</v>
      </c>
      <c r="M1481" s="30" t="str">
        <f aca="false">IF(K1481&lt;判定条件!$C$6,"判定不能",IF(L1481&gt;=判定条件!$C$7*K1481,"運転",IF(L1481&lt;=判定条件!$C$8*K1481,"停止","断続")))</f>
        <v>運転</v>
      </c>
      <c r="N1481" s="30" t="n">
        <v>60</v>
      </c>
      <c r="O1481" s="30" t="n">
        <v>60</v>
      </c>
      <c r="P1481" s="30" t="str">
        <f aca="false">IF(N1481&lt;判定条件!$C$6,"判定不能",IF(O1481&gt;=判定条件!$C$7*N1481,"運転",IF(O1481&lt;=判定条件!$C$8*N1481,"停止","断続")))</f>
        <v>運転</v>
      </c>
      <c r="Q1481" s="30" t="n">
        <v>60</v>
      </c>
      <c r="R1481" s="30" t="n">
        <v>47</v>
      </c>
      <c r="S1481" s="30" t="str">
        <f aca="false">IF(Q1481&lt;判定条件!$C$6,"判定不能",IF(R1481&gt;=判定条件!$C$7*Q1481,"運転",IF(R1481&lt;=判定条件!$C$8*Q1481,"停止","断続")))</f>
        <v>断続</v>
      </c>
      <c r="T1481" s="30" t="n">
        <v>60</v>
      </c>
      <c r="U1481" s="30" t="n">
        <v>46</v>
      </c>
      <c r="V1481" s="30" t="str">
        <f aca="false">IF(T1481&lt;判定条件!$C$6,"判定不能",IF(U1481&gt;=判定条件!$C$7*T1481,"運転",IF(U1481&lt;=判定条件!$C$8*T1481,"停止","断続")))</f>
        <v>断続</v>
      </c>
      <c r="W1481" s="30" t="n">
        <v>0</v>
      </c>
      <c r="X1481" s="30" t="n">
        <v>0</v>
      </c>
      <c r="Y1481" s="30" t="str">
        <f aca="false">IF(W1481&lt;判定条件!$C$6,"判定不能",IF(X1481&gt;=判定条件!$C$7*W1481,"運転",IF(X1481&lt;=判定条件!$C$8*W1481,"停止","断続")))</f>
        <v>判定不能</v>
      </c>
      <c r="Z1481" s="30" t="n">
        <v>0</v>
      </c>
      <c r="AA1481" s="30" t="n">
        <v>0</v>
      </c>
      <c r="AB1481" s="30" t="str">
        <f aca="false">IF(Z1481&lt;判定条件!$C$6,"判定不能",IF(AA1481&gt;=判定条件!$C$7*Z1481,"運転",IF(AA1481&lt;=判定条件!$C$8*Z1481,"停止","断続")))</f>
        <v>判定不能</v>
      </c>
      <c r="AC1481" s="30" t="n">
        <v>0</v>
      </c>
      <c r="AD1481" s="30" t="n">
        <v>0</v>
      </c>
      <c r="AE1481" s="30" t="str">
        <f aca="false">IF(AC1481&lt;判定条件!$C$6,"判定不能",IF(AD1481&gt;=判定条件!$C$7*AC1481,"運転",IF(AD1481&lt;=判定条件!$C$8*AC1481,"停止","断続")))</f>
        <v>判定不能</v>
      </c>
      <c r="AF1481" s="30" t="n">
        <v>60</v>
      </c>
      <c r="AG1481" s="30" t="n">
        <v>60</v>
      </c>
      <c r="AH1481" s="30" t="str">
        <f aca="false">IF(OR(P1481="判定不能",G1481="判定不能"),"判定不能",IF(AG1481&gt;=判定条件!$C$9,"利用可",IF(AND(P1481="停止",G1481="停止"),"両方停止","運転がそろわない")))</f>
        <v>利用可</v>
      </c>
      <c r="AI1481" s="30" t="n">
        <v>60</v>
      </c>
      <c r="AJ1481" s="30" t="n">
        <v>47</v>
      </c>
      <c r="AK1481" s="30" t="str">
        <f aca="false">IF(OR(S1481="判定不能",J1481="判定不能"),"判定不能",IF(AJ1481&gt;=判定条件!$C$9,"利用可",IF(AND(S1481="停止",J1481="停止"),"両方停止","運転がそろわない")))</f>
        <v>利用可</v>
      </c>
      <c r="AL1481" s="30" t="n">
        <v>60</v>
      </c>
      <c r="AM1481" s="30" t="n">
        <v>46</v>
      </c>
      <c r="AN1481" s="30" t="str">
        <f aca="false">IF(OR(V1481="判定不能",M1481="判定不能"),"判定不能",IF(AM1481&gt;=判定条件!$C$9,"利用可",IF(AND(V1481="停止",M1481="停止"),"両方停止","運転がそろわない")))</f>
        <v>利用可</v>
      </c>
      <c r="AO1481" s="30" t="n">
        <v>0</v>
      </c>
      <c r="AP1481" s="30" t="n">
        <v>0</v>
      </c>
      <c r="AQ1481" s="30" t="str">
        <f aca="false">IF(OR(Y1481="判定不能",G1481="判定不能"),"判定不能",IF(AP1481&gt;=判定条件!$C$9,"利用可",IF(AND(Y1481="停止",G1481="停止"),"両方停止","運転がそろわない")))</f>
        <v>判定不能</v>
      </c>
      <c r="AR1481" s="30" t="n">
        <v>0</v>
      </c>
      <c r="AS1481" s="30" t="n">
        <v>0</v>
      </c>
      <c r="AT1481" s="30" t="str">
        <f aca="false">IF(OR(AB1481="判定不能",J1481="判定不能"),"判定不能",IF(AS1481&gt;=判定条件!$C$9,"利用可",IF(AND(AB1481="停止",J1481="停止"),"両方停止","運転がそろわない")))</f>
        <v>判定不能</v>
      </c>
      <c r="AU1481" s="30" t="n">
        <v>0</v>
      </c>
      <c r="AV1481" s="30" t="n">
        <v>0</v>
      </c>
      <c r="AW1481" s="30" t="str">
        <f aca="false">IF(OR(AE1481="判定不能",M1481="判定不能"),"判定不能",IF(AV1481&gt;=判定条件!$C$9,"利用可",IF(AND(AE1481="停止",M1481="停止"),"両方停止","運転がそろわない")))</f>
        <v>判定不能</v>
      </c>
      <c r="AX1481" s="30" t="str">
        <f aca="false">IF(AND(AH1481="利用可",AK1481="利用可",AN1481="利用可"),"利用可","不可")</f>
        <v>利用可</v>
      </c>
      <c r="AY1481" s="30" t="str">
        <f aca="false">IF(AND(AQ1481="利用可",AT1481="利用可",AW1481="利用可"),"利用可","不可")</f>
        <v>不可</v>
      </c>
    </row>
    <row r="1482" customFormat="false" ht="15" hidden="false" customHeight="false" outlineLevel="0" collapsed="false">
      <c r="A1482" s="29" t="n">
        <v>46293</v>
      </c>
      <c r="B1482" s="30" t="n">
        <v>15</v>
      </c>
      <c r="C1482" s="31" t="s">
        <v>66</v>
      </c>
      <c r="D1482" s="31" t="s">
        <v>59</v>
      </c>
      <c r="E1482" s="30" t="n">
        <v>60</v>
      </c>
      <c r="F1482" s="30" t="n">
        <v>52</v>
      </c>
      <c r="G1482" s="30" t="str">
        <f aca="false">IF(E1482&lt;判定条件!$C$6,"判定不能",IF(F1482&gt;=判定条件!$C$7*E1482,"運転",IF(F1482&lt;=判定条件!$C$8*E1482,"停止","断続")))</f>
        <v>運転</v>
      </c>
      <c r="H1482" s="30" t="n">
        <v>60</v>
      </c>
      <c r="I1482" s="30" t="n">
        <v>60</v>
      </c>
      <c r="J1482" s="30" t="str">
        <f aca="false">IF(H1482&lt;判定条件!$C$6,"判定不能",IF(I1482&gt;=判定条件!$C$7*H1482,"運転",IF(I1482&lt;=判定条件!$C$8*H1482,"停止","断続")))</f>
        <v>運転</v>
      </c>
      <c r="K1482" s="30" t="n">
        <v>60</v>
      </c>
      <c r="L1482" s="30" t="n">
        <v>60</v>
      </c>
      <c r="M1482" s="30" t="str">
        <f aca="false">IF(K1482&lt;判定条件!$C$6,"判定不能",IF(L1482&gt;=判定条件!$C$7*K1482,"運転",IF(L1482&lt;=判定条件!$C$8*K1482,"停止","断続")))</f>
        <v>運転</v>
      </c>
      <c r="N1482" s="30" t="n">
        <v>60</v>
      </c>
      <c r="O1482" s="30" t="n">
        <v>55</v>
      </c>
      <c r="P1482" s="30" t="str">
        <f aca="false">IF(N1482&lt;判定条件!$C$6,"判定不能",IF(O1482&gt;=判定条件!$C$7*N1482,"運転",IF(O1482&lt;=判定条件!$C$8*N1482,"停止","断続")))</f>
        <v>運転</v>
      </c>
      <c r="Q1482" s="30" t="n">
        <v>60</v>
      </c>
      <c r="R1482" s="30" t="n">
        <v>60</v>
      </c>
      <c r="S1482" s="30" t="str">
        <f aca="false">IF(Q1482&lt;判定条件!$C$6,"判定不能",IF(R1482&gt;=判定条件!$C$7*Q1482,"運転",IF(R1482&lt;=判定条件!$C$8*Q1482,"停止","断続")))</f>
        <v>運転</v>
      </c>
      <c r="T1482" s="30" t="n">
        <v>60</v>
      </c>
      <c r="U1482" s="30" t="n">
        <v>30</v>
      </c>
      <c r="V1482" s="30" t="str">
        <f aca="false">IF(T1482&lt;判定条件!$C$6,"判定不能",IF(U1482&gt;=判定条件!$C$7*T1482,"運転",IF(U1482&lt;=判定条件!$C$8*T1482,"停止","断続")))</f>
        <v>断続</v>
      </c>
      <c r="W1482" s="30" t="n">
        <v>0</v>
      </c>
      <c r="X1482" s="30" t="n">
        <v>0</v>
      </c>
      <c r="Y1482" s="30" t="str">
        <f aca="false">IF(W1482&lt;判定条件!$C$6,"判定不能",IF(X1482&gt;=判定条件!$C$7*W1482,"運転",IF(X1482&lt;=判定条件!$C$8*W1482,"停止","断続")))</f>
        <v>判定不能</v>
      </c>
      <c r="Z1482" s="30" t="n">
        <v>0</v>
      </c>
      <c r="AA1482" s="30" t="n">
        <v>0</v>
      </c>
      <c r="AB1482" s="30" t="str">
        <f aca="false">IF(Z1482&lt;判定条件!$C$6,"判定不能",IF(AA1482&gt;=判定条件!$C$7*Z1482,"運転",IF(AA1482&lt;=判定条件!$C$8*Z1482,"停止","断続")))</f>
        <v>判定不能</v>
      </c>
      <c r="AC1482" s="30" t="n">
        <v>0</v>
      </c>
      <c r="AD1482" s="30" t="n">
        <v>0</v>
      </c>
      <c r="AE1482" s="30" t="str">
        <f aca="false">IF(AC1482&lt;判定条件!$C$6,"判定不能",IF(AD1482&gt;=判定条件!$C$7*AC1482,"運転",IF(AD1482&lt;=判定条件!$C$8*AC1482,"停止","断続")))</f>
        <v>判定不能</v>
      </c>
      <c r="AF1482" s="30" t="n">
        <v>60</v>
      </c>
      <c r="AG1482" s="30" t="n">
        <v>47</v>
      </c>
      <c r="AH1482" s="30" t="str">
        <f aca="false">IF(OR(P1482="判定不能",G1482="判定不能"),"判定不能",IF(AG1482&gt;=判定条件!$C$9,"利用可",IF(AND(P1482="停止",G1482="停止"),"両方停止","運転がそろわない")))</f>
        <v>利用可</v>
      </c>
      <c r="AI1482" s="30" t="n">
        <v>60</v>
      </c>
      <c r="AJ1482" s="30" t="n">
        <v>60</v>
      </c>
      <c r="AK1482" s="30" t="str">
        <f aca="false">IF(OR(S1482="判定不能",J1482="判定不能"),"判定不能",IF(AJ1482&gt;=判定条件!$C$9,"利用可",IF(AND(S1482="停止",J1482="停止"),"両方停止","運転がそろわない")))</f>
        <v>利用可</v>
      </c>
      <c r="AL1482" s="30" t="n">
        <v>60</v>
      </c>
      <c r="AM1482" s="30" t="n">
        <v>30</v>
      </c>
      <c r="AN1482" s="30" t="str">
        <f aca="false">IF(OR(V1482="判定不能",M1482="判定不能"),"判定不能",IF(AM1482&gt;=判定条件!$C$9,"利用可",IF(AND(V1482="停止",M1482="停止"),"両方停止","運転がそろわない")))</f>
        <v>利用可</v>
      </c>
      <c r="AO1482" s="30" t="n">
        <v>0</v>
      </c>
      <c r="AP1482" s="30" t="n">
        <v>0</v>
      </c>
      <c r="AQ1482" s="30" t="str">
        <f aca="false">IF(OR(Y1482="判定不能",G1482="判定不能"),"判定不能",IF(AP1482&gt;=判定条件!$C$9,"利用可",IF(AND(Y1482="停止",G1482="停止"),"両方停止","運転がそろわない")))</f>
        <v>判定不能</v>
      </c>
      <c r="AR1482" s="30" t="n">
        <v>0</v>
      </c>
      <c r="AS1482" s="30" t="n">
        <v>0</v>
      </c>
      <c r="AT1482" s="30" t="str">
        <f aca="false">IF(OR(AB1482="判定不能",J1482="判定不能"),"判定不能",IF(AS1482&gt;=判定条件!$C$9,"利用可",IF(AND(AB1482="停止",J1482="停止"),"両方停止","運転がそろわない")))</f>
        <v>判定不能</v>
      </c>
      <c r="AU1482" s="30" t="n">
        <v>0</v>
      </c>
      <c r="AV1482" s="30" t="n">
        <v>0</v>
      </c>
      <c r="AW1482" s="30" t="str">
        <f aca="false">IF(OR(AE1482="判定不能",M1482="判定不能"),"判定不能",IF(AV1482&gt;=判定条件!$C$9,"利用可",IF(AND(AE1482="停止",M1482="停止"),"両方停止","運転がそろわない")))</f>
        <v>判定不能</v>
      </c>
      <c r="AX1482" s="30" t="str">
        <f aca="false">IF(AND(AH1482="利用可",AK1482="利用可",AN1482="利用可"),"利用可","不可")</f>
        <v>利用可</v>
      </c>
      <c r="AY1482" s="30" t="str">
        <f aca="false">IF(AND(AQ1482="利用可",AT1482="利用可",AW1482="利用可"),"利用可","不可")</f>
        <v>不可</v>
      </c>
    </row>
    <row r="1483" customFormat="false" ht="15" hidden="false" customHeight="false" outlineLevel="0" collapsed="false">
      <c r="A1483" s="29" t="n">
        <v>46293</v>
      </c>
      <c r="B1483" s="30" t="n">
        <v>16</v>
      </c>
      <c r="C1483" s="31" t="s">
        <v>66</v>
      </c>
      <c r="D1483" s="31" t="s">
        <v>59</v>
      </c>
      <c r="E1483" s="30" t="n">
        <v>60</v>
      </c>
      <c r="F1483" s="30" t="n">
        <v>29</v>
      </c>
      <c r="G1483" s="30" t="str">
        <f aca="false">IF(E1483&lt;判定条件!$C$6,"判定不能",IF(F1483&gt;=判定条件!$C$7*E1483,"運転",IF(F1483&lt;=判定条件!$C$8*E1483,"停止","断続")))</f>
        <v>断続</v>
      </c>
      <c r="H1483" s="30" t="n">
        <v>60</v>
      </c>
      <c r="I1483" s="30" t="n">
        <v>60</v>
      </c>
      <c r="J1483" s="30" t="str">
        <f aca="false">IF(H1483&lt;判定条件!$C$6,"判定不能",IF(I1483&gt;=判定条件!$C$7*H1483,"運転",IF(I1483&lt;=判定条件!$C$8*H1483,"停止","断続")))</f>
        <v>運転</v>
      </c>
      <c r="K1483" s="30" t="n">
        <v>60</v>
      </c>
      <c r="L1483" s="30" t="n">
        <v>60</v>
      </c>
      <c r="M1483" s="30" t="str">
        <f aca="false">IF(K1483&lt;判定条件!$C$6,"判定不能",IF(L1483&gt;=判定条件!$C$7*K1483,"運転",IF(L1483&lt;=判定条件!$C$8*K1483,"停止","断続")))</f>
        <v>運転</v>
      </c>
      <c r="N1483" s="30" t="n">
        <v>60</v>
      </c>
      <c r="O1483" s="30" t="n">
        <v>19</v>
      </c>
      <c r="P1483" s="30" t="str">
        <f aca="false">IF(N1483&lt;判定条件!$C$6,"判定不能",IF(O1483&gt;=判定条件!$C$7*N1483,"運転",IF(O1483&lt;=判定条件!$C$8*N1483,"停止","断続")))</f>
        <v>断続</v>
      </c>
      <c r="Q1483" s="30" t="n">
        <v>60</v>
      </c>
      <c r="R1483" s="30" t="n">
        <v>54</v>
      </c>
      <c r="S1483" s="30" t="str">
        <f aca="false">IF(Q1483&lt;判定条件!$C$6,"判定不能",IF(R1483&gt;=判定条件!$C$7*Q1483,"運転",IF(R1483&lt;=判定条件!$C$8*Q1483,"停止","断続")))</f>
        <v>運転</v>
      </c>
      <c r="T1483" s="30" t="n">
        <v>60</v>
      </c>
      <c r="U1483" s="30" t="n">
        <v>59</v>
      </c>
      <c r="V1483" s="30" t="str">
        <f aca="false">IF(T1483&lt;判定条件!$C$6,"判定不能",IF(U1483&gt;=判定条件!$C$7*T1483,"運転",IF(U1483&lt;=判定条件!$C$8*T1483,"停止","断続")))</f>
        <v>運転</v>
      </c>
      <c r="W1483" s="30" t="n">
        <v>0</v>
      </c>
      <c r="X1483" s="30" t="n">
        <v>0</v>
      </c>
      <c r="Y1483" s="30" t="str">
        <f aca="false">IF(W1483&lt;判定条件!$C$6,"判定不能",IF(X1483&gt;=判定条件!$C$7*W1483,"運転",IF(X1483&lt;=判定条件!$C$8*W1483,"停止","断続")))</f>
        <v>判定不能</v>
      </c>
      <c r="Z1483" s="30" t="n">
        <v>0</v>
      </c>
      <c r="AA1483" s="30" t="n">
        <v>0</v>
      </c>
      <c r="AB1483" s="30" t="str">
        <f aca="false">IF(Z1483&lt;判定条件!$C$6,"判定不能",IF(AA1483&gt;=判定条件!$C$7*Z1483,"運転",IF(AA1483&lt;=判定条件!$C$8*Z1483,"停止","断続")))</f>
        <v>判定不能</v>
      </c>
      <c r="AC1483" s="30" t="n">
        <v>0</v>
      </c>
      <c r="AD1483" s="30" t="n">
        <v>0</v>
      </c>
      <c r="AE1483" s="30" t="str">
        <f aca="false">IF(AC1483&lt;判定条件!$C$6,"判定不能",IF(AD1483&gt;=判定条件!$C$7*AC1483,"運転",IF(AD1483&lt;=判定条件!$C$8*AC1483,"停止","断続")))</f>
        <v>判定不能</v>
      </c>
      <c r="AF1483" s="30" t="n">
        <v>60</v>
      </c>
      <c r="AG1483" s="30" t="n">
        <v>19</v>
      </c>
      <c r="AH1483" s="30" t="str">
        <f aca="false">IF(OR(P1483="判定不能",G1483="判定不能"),"判定不能",IF(AG1483&gt;=判定条件!$C$9,"利用可",IF(AND(P1483="停止",G1483="停止"),"両方停止","運転がそろわない")))</f>
        <v>運転がそろわない</v>
      </c>
      <c r="AI1483" s="30" t="n">
        <v>60</v>
      </c>
      <c r="AJ1483" s="30" t="n">
        <v>54</v>
      </c>
      <c r="AK1483" s="30" t="str">
        <f aca="false">IF(OR(S1483="判定不能",J1483="判定不能"),"判定不能",IF(AJ1483&gt;=判定条件!$C$9,"利用可",IF(AND(S1483="停止",J1483="停止"),"両方停止","運転がそろわない")))</f>
        <v>利用可</v>
      </c>
      <c r="AL1483" s="30" t="n">
        <v>60</v>
      </c>
      <c r="AM1483" s="30" t="n">
        <v>59</v>
      </c>
      <c r="AN1483" s="30" t="str">
        <f aca="false">IF(OR(V1483="判定不能",M1483="判定不能"),"判定不能",IF(AM1483&gt;=判定条件!$C$9,"利用可",IF(AND(V1483="停止",M1483="停止"),"両方停止","運転がそろわない")))</f>
        <v>利用可</v>
      </c>
      <c r="AO1483" s="30" t="n">
        <v>0</v>
      </c>
      <c r="AP1483" s="30" t="n">
        <v>0</v>
      </c>
      <c r="AQ1483" s="30" t="str">
        <f aca="false">IF(OR(Y1483="判定不能",G1483="判定不能"),"判定不能",IF(AP1483&gt;=判定条件!$C$9,"利用可",IF(AND(Y1483="停止",G1483="停止"),"両方停止","運転がそろわない")))</f>
        <v>判定不能</v>
      </c>
      <c r="AR1483" s="30" t="n">
        <v>0</v>
      </c>
      <c r="AS1483" s="30" t="n">
        <v>0</v>
      </c>
      <c r="AT1483" s="30" t="str">
        <f aca="false">IF(OR(AB1483="判定不能",J1483="判定不能"),"判定不能",IF(AS1483&gt;=判定条件!$C$9,"利用可",IF(AND(AB1483="停止",J1483="停止"),"両方停止","運転がそろわない")))</f>
        <v>判定不能</v>
      </c>
      <c r="AU1483" s="30" t="n">
        <v>0</v>
      </c>
      <c r="AV1483" s="30" t="n">
        <v>0</v>
      </c>
      <c r="AW1483" s="30" t="str">
        <f aca="false">IF(OR(AE1483="判定不能",M1483="判定不能"),"判定不能",IF(AV1483&gt;=判定条件!$C$9,"利用可",IF(AND(AE1483="停止",M1483="停止"),"両方停止","運転がそろわない")))</f>
        <v>判定不能</v>
      </c>
      <c r="AX1483" s="30" t="str">
        <f aca="false">IF(AND(AH1483="利用可",AK1483="利用可",AN1483="利用可"),"利用可","不可")</f>
        <v>不可</v>
      </c>
      <c r="AY1483" s="30" t="str">
        <f aca="false">IF(AND(AQ1483="利用可",AT1483="利用可",AW1483="利用可"),"利用可","不可")</f>
        <v>不可</v>
      </c>
    </row>
    <row r="1484" customFormat="false" ht="15" hidden="false" customHeight="false" outlineLevel="0" collapsed="false">
      <c r="A1484" s="29" t="n">
        <v>46293</v>
      </c>
      <c r="B1484" s="30" t="n">
        <v>17</v>
      </c>
      <c r="C1484" s="31" t="s">
        <v>66</v>
      </c>
      <c r="D1484" s="31" t="s">
        <v>59</v>
      </c>
      <c r="E1484" s="30" t="n">
        <v>60</v>
      </c>
      <c r="F1484" s="30" t="n">
        <v>32</v>
      </c>
      <c r="G1484" s="30" t="str">
        <f aca="false">IF(E1484&lt;判定条件!$C$6,"判定不能",IF(F1484&gt;=判定条件!$C$7*E1484,"運転",IF(F1484&lt;=判定条件!$C$8*E1484,"停止","断続")))</f>
        <v>断続</v>
      </c>
      <c r="H1484" s="30" t="n">
        <v>60</v>
      </c>
      <c r="I1484" s="30" t="n">
        <v>49</v>
      </c>
      <c r="J1484" s="30" t="str">
        <f aca="false">IF(H1484&lt;判定条件!$C$6,"判定不能",IF(I1484&gt;=判定条件!$C$7*H1484,"運転",IF(I1484&lt;=判定条件!$C$8*H1484,"停止","断続")))</f>
        <v>運転</v>
      </c>
      <c r="K1484" s="30" t="n">
        <v>60</v>
      </c>
      <c r="L1484" s="30" t="n">
        <v>60</v>
      </c>
      <c r="M1484" s="30" t="str">
        <f aca="false">IF(K1484&lt;判定条件!$C$6,"判定不能",IF(L1484&gt;=判定条件!$C$7*K1484,"運転",IF(L1484&lt;=判定条件!$C$8*K1484,"停止","断続")))</f>
        <v>運転</v>
      </c>
      <c r="N1484" s="30" t="n">
        <v>60</v>
      </c>
      <c r="O1484" s="30" t="n">
        <v>0</v>
      </c>
      <c r="P1484" s="30" t="str">
        <f aca="false">IF(N1484&lt;判定条件!$C$6,"判定不能",IF(O1484&gt;=判定条件!$C$7*N1484,"運転",IF(O1484&lt;=判定条件!$C$8*N1484,"停止","断続")))</f>
        <v>停止</v>
      </c>
      <c r="Q1484" s="30" t="n">
        <v>60</v>
      </c>
      <c r="R1484" s="30" t="n">
        <v>26</v>
      </c>
      <c r="S1484" s="30" t="str">
        <f aca="false">IF(Q1484&lt;判定条件!$C$6,"判定不能",IF(R1484&gt;=判定条件!$C$7*Q1484,"運転",IF(R1484&lt;=判定条件!$C$8*Q1484,"停止","断続")))</f>
        <v>断続</v>
      </c>
      <c r="T1484" s="30" t="n">
        <v>60</v>
      </c>
      <c r="U1484" s="30" t="n">
        <v>60</v>
      </c>
      <c r="V1484" s="30" t="str">
        <f aca="false">IF(T1484&lt;判定条件!$C$6,"判定不能",IF(U1484&gt;=判定条件!$C$7*T1484,"運転",IF(U1484&lt;=判定条件!$C$8*T1484,"停止","断続")))</f>
        <v>運転</v>
      </c>
      <c r="W1484" s="30" t="n">
        <v>0</v>
      </c>
      <c r="X1484" s="30" t="n">
        <v>0</v>
      </c>
      <c r="Y1484" s="30" t="str">
        <f aca="false">IF(W1484&lt;判定条件!$C$6,"判定不能",IF(X1484&gt;=判定条件!$C$7*W1484,"運転",IF(X1484&lt;=判定条件!$C$8*W1484,"停止","断続")))</f>
        <v>判定不能</v>
      </c>
      <c r="Z1484" s="30" t="n">
        <v>0</v>
      </c>
      <c r="AA1484" s="30" t="n">
        <v>0</v>
      </c>
      <c r="AB1484" s="30" t="str">
        <f aca="false">IF(Z1484&lt;判定条件!$C$6,"判定不能",IF(AA1484&gt;=判定条件!$C$7*Z1484,"運転",IF(AA1484&lt;=判定条件!$C$8*Z1484,"停止","断続")))</f>
        <v>判定不能</v>
      </c>
      <c r="AC1484" s="30" t="n">
        <v>0</v>
      </c>
      <c r="AD1484" s="30" t="n">
        <v>0</v>
      </c>
      <c r="AE1484" s="30" t="str">
        <f aca="false">IF(AC1484&lt;判定条件!$C$6,"判定不能",IF(AD1484&gt;=判定条件!$C$7*AC1484,"運転",IF(AD1484&lt;=判定条件!$C$8*AC1484,"停止","断続")))</f>
        <v>判定不能</v>
      </c>
      <c r="AF1484" s="30" t="n">
        <v>60</v>
      </c>
      <c r="AG1484" s="30" t="n">
        <v>0</v>
      </c>
      <c r="AH1484" s="30" t="str">
        <f aca="false">IF(OR(P1484="判定不能",G1484="判定不能"),"判定不能",IF(AG1484&gt;=判定条件!$C$9,"利用可",IF(AND(P1484="停止",G1484="停止"),"両方停止","運転がそろわない")))</f>
        <v>運転がそろわない</v>
      </c>
      <c r="AI1484" s="30" t="n">
        <v>60</v>
      </c>
      <c r="AJ1484" s="30" t="n">
        <v>24</v>
      </c>
      <c r="AK1484" s="30" t="str">
        <f aca="false">IF(OR(S1484="判定不能",J1484="判定不能"),"判定不能",IF(AJ1484&gt;=判定条件!$C$9,"利用可",IF(AND(S1484="停止",J1484="停止"),"両方停止","運転がそろわない")))</f>
        <v>運転がそろわない</v>
      </c>
      <c r="AL1484" s="30" t="n">
        <v>60</v>
      </c>
      <c r="AM1484" s="30" t="n">
        <v>60</v>
      </c>
      <c r="AN1484" s="30" t="str">
        <f aca="false">IF(OR(V1484="判定不能",M1484="判定不能"),"判定不能",IF(AM1484&gt;=判定条件!$C$9,"利用可",IF(AND(V1484="停止",M1484="停止"),"両方停止","運転がそろわない")))</f>
        <v>利用可</v>
      </c>
      <c r="AO1484" s="30" t="n">
        <v>0</v>
      </c>
      <c r="AP1484" s="30" t="n">
        <v>0</v>
      </c>
      <c r="AQ1484" s="30" t="str">
        <f aca="false">IF(OR(Y1484="判定不能",G1484="判定不能"),"判定不能",IF(AP1484&gt;=判定条件!$C$9,"利用可",IF(AND(Y1484="停止",G1484="停止"),"両方停止","運転がそろわない")))</f>
        <v>判定不能</v>
      </c>
      <c r="AR1484" s="30" t="n">
        <v>0</v>
      </c>
      <c r="AS1484" s="30" t="n">
        <v>0</v>
      </c>
      <c r="AT1484" s="30" t="str">
        <f aca="false">IF(OR(AB1484="判定不能",J1484="判定不能"),"判定不能",IF(AS1484&gt;=判定条件!$C$9,"利用可",IF(AND(AB1484="停止",J1484="停止"),"両方停止","運転がそろわない")))</f>
        <v>判定不能</v>
      </c>
      <c r="AU1484" s="30" t="n">
        <v>0</v>
      </c>
      <c r="AV1484" s="30" t="n">
        <v>0</v>
      </c>
      <c r="AW1484" s="30" t="str">
        <f aca="false">IF(OR(AE1484="判定不能",M1484="判定不能"),"判定不能",IF(AV1484&gt;=判定条件!$C$9,"利用可",IF(AND(AE1484="停止",M1484="停止"),"両方停止","運転がそろわない")))</f>
        <v>判定不能</v>
      </c>
      <c r="AX1484" s="30" t="str">
        <f aca="false">IF(AND(AH1484="利用可",AK1484="利用可",AN1484="利用可"),"利用可","不可")</f>
        <v>不可</v>
      </c>
      <c r="AY1484" s="30" t="str">
        <f aca="false">IF(AND(AQ1484="利用可",AT1484="利用可",AW1484="利用可"),"利用可","不可")</f>
        <v>不可</v>
      </c>
    </row>
    <row r="1485" customFormat="false" ht="15" hidden="false" customHeight="false" outlineLevel="0" collapsed="false">
      <c r="A1485" s="29" t="n">
        <v>46293</v>
      </c>
      <c r="B1485" s="30" t="n">
        <v>18</v>
      </c>
      <c r="C1485" s="31" t="s">
        <v>66</v>
      </c>
      <c r="D1485" s="31" t="s">
        <v>59</v>
      </c>
      <c r="E1485" s="30" t="n">
        <v>60</v>
      </c>
      <c r="F1485" s="30" t="n">
        <v>57</v>
      </c>
      <c r="G1485" s="30" t="str">
        <f aca="false">IF(E1485&lt;判定条件!$C$6,"判定不能",IF(F1485&gt;=判定条件!$C$7*E1485,"運転",IF(F1485&lt;=判定条件!$C$8*E1485,"停止","断続")))</f>
        <v>運転</v>
      </c>
      <c r="H1485" s="30" t="n">
        <v>60</v>
      </c>
      <c r="I1485" s="30" t="n">
        <v>51</v>
      </c>
      <c r="J1485" s="30" t="str">
        <f aca="false">IF(H1485&lt;判定条件!$C$6,"判定不能",IF(I1485&gt;=判定条件!$C$7*H1485,"運転",IF(I1485&lt;=判定条件!$C$8*H1485,"停止","断続")))</f>
        <v>運転</v>
      </c>
      <c r="K1485" s="30" t="n">
        <v>60</v>
      </c>
      <c r="L1485" s="30" t="n">
        <v>60</v>
      </c>
      <c r="M1485" s="30" t="str">
        <f aca="false">IF(K1485&lt;判定条件!$C$6,"判定不能",IF(L1485&gt;=判定条件!$C$7*K1485,"運転",IF(L1485&lt;=判定条件!$C$8*K1485,"停止","断続")))</f>
        <v>運転</v>
      </c>
      <c r="N1485" s="30" t="n">
        <v>60</v>
      </c>
      <c r="O1485" s="30" t="n">
        <v>0</v>
      </c>
      <c r="P1485" s="30" t="str">
        <f aca="false">IF(N1485&lt;判定条件!$C$6,"判定不能",IF(O1485&gt;=判定条件!$C$7*N1485,"運転",IF(O1485&lt;=判定条件!$C$8*N1485,"停止","断続")))</f>
        <v>停止</v>
      </c>
      <c r="Q1485" s="30" t="n">
        <v>60</v>
      </c>
      <c r="R1485" s="30" t="n">
        <v>11</v>
      </c>
      <c r="S1485" s="30" t="str">
        <f aca="false">IF(Q1485&lt;判定条件!$C$6,"判定不能",IF(R1485&gt;=判定条件!$C$7*Q1485,"運転",IF(R1485&lt;=判定条件!$C$8*Q1485,"停止","断続")))</f>
        <v>停止</v>
      </c>
      <c r="T1485" s="30" t="n">
        <v>60</v>
      </c>
      <c r="U1485" s="30" t="n">
        <v>29</v>
      </c>
      <c r="V1485" s="30" t="str">
        <f aca="false">IF(T1485&lt;判定条件!$C$6,"判定不能",IF(U1485&gt;=判定条件!$C$7*T1485,"運転",IF(U1485&lt;=判定条件!$C$8*T1485,"停止","断続")))</f>
        <v>断続</v>
      </c>
      <c r="W1485" s="30" t="n">
        <v>0</v>
      </c>
      <c r="X1485" s="30" t="n">
        <v>0</v>
      </c>
      <c r="Y1485" s="30" t="str">
        <f aca="false">IF(W1485&lt;判定条件!$C$6,"判定不能",IF(X1485&gt;=判定条件!$C$7*W1485,"運転",IF(X1485&lt;=判定条件!$C$8*W1485,"停止","断続")))</f>
        <v>判定不能</v>
      </c>
      <c r="Z1485" s="30" t="n">
        <v>0</v>
      </c>
      <c r="AA1485" s="30" t="n">
        <v>0</v>
      </c>
      <c r="AB1485" s="30" t="str">
        <f aca="false">IF(Z1485&lt;判定条件!$C$6,"判定不能",IF(AA1485&gt;=判定条件!$C$7*Z1485,"運転",IF(AA1485&lt;=判定条件!$C$8*Z1485,"停止","断続")))</f>
        <v>判定不能</v>
      </c>
      <c r="AC1485" s="30" t="n">
        <v>0</v>
      </c>
      <c r="AD1485" s="30" t="n">
        <v>0</v>
      </c>
      <c r="AE1485" s="30" t="str">
        <f aca="false">IF(AC1485&lt;判定条件!$C$6,"判定不能",IF(AD1485&gt;=判定条件!$C$7*AC1485,"運転",IF(AD1485&lt;=判定条件!$C$8*AC1485,"停止","断続")))</f>
        <v>判定不能</v>
      </c>
      <c r="AF1485" s="30" t="n">
        <v>60</v>
      </c>
      <c r="AG1485" s="30" t="n">
        <v>0</v>
      </c>
      <c r="AH1485" s="30" t="str">
        <f aca="false">IF(OR(P1485="判定不能",G1485="判定不能"),"判定不能",IF(AG1485&gt;=判定条件!$C$9,"利用可",IF(AND(P1485="停止",G1485="停止"),"両方停止","運転がそろわない")))</f>
        <v>運転がそろわない</v>
      </c>
      <c r="AI1485" s="30" t="n">
        <v>60</v>
      </c>
      <c r="AJ1485" s="30" t="n">
        <v>11</v>
      </c>
      <c r="AK1485" s="30" t="str">
        <f aca="false">IF(OR(S1485="判定不能",J1485="判定不能"),"判定不能",IF(AJ1485&gt;=判定条件!$C$9,"利用可",IF(AND(S1485="停止",J1485="停止"),"両方停止","運転がそろわない")))</f>
        <v>運転がそろわない</v>
      </c>
      <c r="AL1485" s="30" t="n">
        <v>60</v>
      </c>
      <c r="AM1485" s="30" t="n">
        <v>29</v>
      </c>
      <c r="AN1485" s="30" t="str">
        <f aca="false">IF(OR(V1485="判定不能",M1485="判定不能"),"判定不能",IF(AM1485&gt;=判定条件!$C$9,"利用可",IF(AND(V1485="停止",M1485="停止"),"両方停止","運転がそろわない")))</f>
        <v>運転がそろわない</v>
      </c>
      <c r="AO1485" s="30" t="n">
        <v>0</v>
      </c>
      <c r="AP1485" s="30" t="n">
        <v>0</v>
      </c>
      <c r="AQ1485" s="30" t="str">
        <f aca="false">IF(OR(Y1485="判定不能",G1485="判定不能"),"判定不能",IF(AP1485&gt;=判定条件!$C$9,"利用可",IF(AND(Y1485="停止",G1485="停止"),"両方停止","運転がそろわない")))</f>
        <v>判定不能</v>
      </c>
      <c r="AR1485" s="30" t="n">
        <v>0</v>
      </c>
      <c r="AS1485" s="30" t="n">
        <v>0</v>
      </c>
      <c r="AT1485" s="30" t="str">
        <f aca="false">IF(OR(AB1485="判定不能",J1485="判定不能"),"判定不能",IF(AS1485&gt;=判定条件!$C$9,"利用可",IF(AND(AB1485="停止",J1485="停止"),"両方停止","運転がそろわない")))</f>
        <v>判定不能</v>
      </c>
      <c r="AU1485" s="30" t="n">
        <v>0</v>
      </c>
      <c r="AV1485" s="30" t="n">
        <v>0</v>
      </c>
      <c r="AW1485" s="30" t="str">
        <f aca="false">IF(OR(AE1485="判定不能",M1485="判定不能"),"判定不能",IF(AV1485&gt;=判定条件!$C$9,"利用可",IF(AND(AE1485="停止",M1485="停止"),"両方停止","運転がそろわない")))</f>
        <v>判定不能</v>
      </c>
      <c r="AX1485" s="30" t="str">
        <f aca="false">IF(AND(AH1485="利用可",AK1485="利用可",AN1485="利用可"),"利用可","不可")</f>
        <v>不可</v>
      </c>
      <c r="AY1485" s="30" t="str">
        <f aca="false">IF(AND(AQ1485="利用可",AT1485="利用可",AW1485="利用可"),"利用可","不可")</f>
        <v>不可</v>
      </c>
    </row>
    <row r="1486" customFormat="false" ht="15" hidden="false" customHeight="false" outlineLevel="0" collapsed="false">
      <c r="A1486" s="29" t="n">
        <v>46293</v>
      </c>
      <c r="B1486" s="30" t="n">
        <v>19</v>
      </c>
      <c r="C1486" s="31" t="s">
        <v>66</v>
      </c>
      <c r="D1486" s="31" t="s">
        <v>59</v>
      </c>
      <c r="E1486" s="30" t="n">
        <v>60</v>
      </c>
      <c r="F1486" s="30" t="n">
        <v>12</v>
      </c>
      <c r="G1486" s="30" t="str">
        <f aca="false">IF(E1486&lt;判定条件!$C$6,"判定不能",IF(F1486&gt;=判定条件!$C$7*E1486,"運転",IF(F1486&lt;=判定条件!$C$8*E1486,"停止","断続")))</f>
        <v>停止</v>
      </c>
      <c r="H1486" s="30" t="n">
        <v>60</v>
      </c>
      <c r="I1486" s="30" t="n">
        <v>35</v>
      </c>
      <c r="J1486" s="30" t="str">
        <f aca="false">IF(H1486&lt;判定条件!$C$6,"判定不能",IF(I1486&gt;=判定条件!$C$7*H1486,"運転",IF(I1486&lt;=判定条件!$C$8*H1486,"停止","断続")))</f>
        <v>断続</v>
      </c>
      <c r="K1486" s="30" t="n">
        <v>60</v>
      </c>
      <c r="L1486" s="30" t="n">
        <v>60</v>
      </c>
      <c r="M1486" s="30" t="str">
        <f aca="false">IF(K1486&lt;判定条件!$C$6,"判定不能",IF(L1486&gt;=判定条件!$C$7*K1486,"運転",IF(L1486&lt;=判定条件!$C$8*K1486,"停止","断続")))</f>
        <v>運転</v>
      </c>
      <c r="N1486" s="30" t="n">
        <v>60</v>
      </c>
      <c r="O1486" s="30" t="n">
        <v>0</v>
      </c>
      <c r="P1486" s="30" t="str">
        <f aca="false">IF(N1486&lt;判定条件!$C$6,"判定不能",IF(O1486&gt;=判定条件!$C$7*N1486,"運転",IF(O1486&lt;=判定条件!$C$8*N1486,"停止","断続")))</f>
        <v>停止</v>
      </c>
      <c r="Q1486" s="30" t="n">
        <v>60</v>
      </c>
      <c r="R1486" s="30" t="n">
        <v>24</v>
      </c>
      <c r="S1486" s="30" t="str">
        <f aca="false">IF(Q1486&lt;判定条件!$C$6,"判定不能",IF(R1486&gt;=判定条件!$C$7*Q1486,"運転",IF(R1486&lt;=判定条件!$C$8*Q1486,"停止","断続")))</f>
        <v>断続</v>
      </c>
      <c r="T1486" s="30" t="n">
        <v>60</v>
      </c>
      <c r="U1486" s="30" t="n">
        <v>39</v>
      </c>
      <c r="V1486" s="30" t="str">
        <f aca="false">IF(T1486&lt;判定条件!$C$6,"判定不能",IF(U1486&gt;=判定条件!$C$7*T1486,"運転",IF(U1486&lt;=判定条件!$C$8*T1486,"停止","断続")))</f>
        <v>断続</v>
      </c>
      <c r="W1486" s="30" t="n">
        <v>0</v>
      </c>
      <c r="X1486" s="30" t="n">
        <v>0</v>
      </c>
      <c r="Y1486" s="30" t="str">
        <f aca="false">IF(W1486&lt;判定条件!$C$6,"判定不能",IF(X1486&gt;=判定条件!$C$7*W1486,"運転",IF(X1486&lt;=判定条件!$C$8*W1486,"停止","断続")))</f>
        <v>判定不能</v>
      </c>
      <c r="Z1486" s="30" t="n">
        <v>0</v>
      </c>
      <c r="AA1486" s="30" t="n">
        <v>0</v>
      </c>
      <c r="AB1486" s="30" t="str">
        <f aca="false">IF(Z1486&lt;判定条件!$C$6,"判定不能",IF(AA1486&gt;=判定条件!$C$7*Z1486,"運転",IF(AA1486&lt;=判定条件!$C$8*Z1486,"停止","断続")))</f>
        <v>判定不能</v>
      </c>
      <c r="AC1486" s="30" t="n">
        <v>0</v>
      </c>
      <c r="AD1486" s="30" t="n">
        <v>0</v>
      </c>
      <c r="AE1486" s="30" t="str">
        <f aca="false">IF(AC1486&lt;判定条件!$C$6,"判定不能",IF(AD1486&gt;=判定条件!$C$7*AC1486,"運転",IF(AD1486&lt;=判定条件!$C$8*AC1486,"停止","断続")))</f>
        <v>判定不能</v>
      </c>
      <c r="AF1486" s="30" t="n">
        <v>60</v>
      </c>
      <c r="AG1486" s="30" t="n">
        <v>0</v>
      </c>
      <c r="AH1486" s="30" t="str">
        <f aca="false">IF(OR(P1486="判定不能",G1486="判定不能"),"判定不能",IF(AG1486&gt;=判定条件!$C$9,"利用可",IF(AND(P1486="停止",G1486="停止"),"両方停止","運転がそろわない")))</f>
        <v>両方停止</v>
      </c>
      <c r="AI1486" s="30" t="n">
        <v>60</v>
      </c>
      <c r="AJ1486" s="30" t="n">
        <v>6</v>
      </c>
      <c r="AK1486" s="30" t="str">
        <f aca="false">IF(OR(S1486="判定不能",J1486="判定不能"),"判定不能",IF(AJ1486&gt;=判定条件!$C$9,"利用可",IF(AND(S1486="停止",J1486="停止"),"両方停止","運転がそろわない")))</f>
        <v>運転がそろわない</v>
      </c>
      <c r="AL1486" s="30" t="n">
        <v>60</v>
      </c>
      <c r="AM1486" s="30" t="n">
        <v>39</v>
      </c>
      <c r="AN1486" s="30" t="str">
        <f aca="false">IF(OR(V1486="判定不能",M1486="判定不能"),"判定不能",IF(AM1486&gt;=判定条件!$C$9,"利用可",IF(AND(V1486="停止",M1486="停止"),"両方停止","運転がそろわない")))</f>
        <v>利用可</v>
      </c>
      <c r="AO1486" s="30" t="n">
        <v>0</v>
      </c>
      <c r="AP1486" s="30" t="n">
        <v>0</v>
      </c>
      <c r="AQ1486" s="30" t="str">
        <f aca="false">IF(OR(Y1486="判定不能",G1486="判定不能"),"判定不能",IF(AP1486&gt;=判定条件!$C$9,"利用可",IF(AND(Y1486="停止",G1486="停止"),"両方停止","運転がそろわない")))</f>
        <v>判定不能</v>
      </c>
      <c r="AR1486" s="30" t="n">
        <v>0</v>
      </c>
      <c r="AS1486" s="30" t="n">
        <v>0</v>
      </c>
      <c r="AT1486" s="30" t="str">
        <f aca="false">IF(OR(AB1486="判定不能",J1486="判定不能"),"判定不能",IF(AS1486&gt;=判定条件!$C$9,"利用可",IF(AND(AB1486="停止",J1486="停止"),"両方停止","運転がそろわない")))</f>
        <v>判定不能</v>
      </c>
      <c r="AU1486" s="30" t="n">
        <v>0</v>
      </c>
      <c r="AV1486" s="30" t="n">
        <v>0</v>
      </c>
      <c r="AW1486" s="30" t="str">
        <f aca="false">IF(OR(AE1486="判定不能",M1486="判定不能"),"判定不能",IF(AV1486&gt;=判定条件!$C$9,"利用可",IF(AND(AE1486="停止",M1486="停止"),"両方停止","運転がそろわない")))</f>
        <v>判定不能</v>
      </c>
      <c r="AX1486" s="30" t="str">
        <f aca="false">IF(AND(AH1486="利用可",AK1486="利用可",AN1486="利用可"),"利用可","不可")</f>
        <v>不可</v>
      </c>
      <c r="AY1486" s="30" t="str">
        <f aca="false">IF(AND(AQ1486="利用可",AT1486="利用可",AW1486="利用可"),"利用可","不可")</f>
        <v>不可</v>
      </c>
    </row>
    <row r="1487" customFormat="false" ht="15" hidden="false" customHeight="false" outlineLevel="0" collapsed="false">
      <c r="A1487" s="29" t="n">
        <v>46293</v>
      </c>
      <c r="B1487" s="30" t="n">
        <v>20</v>
      </c>
      <c r="C1487" s="31" t="s">
        <v>66</v>
      </c>
      <c r="D1487" s="31" t="s">
        <v>59</v>
      </c>
      <c r="E1487" s="30" t="n">
        <v>60</v>
      </c>
      <c r="F1487" s="30" t="n">
        <v>30</v>
      </c>
      <c r="G1487" s="30" t="str">
        <f aca="false">IF(E1487&lt;判定条件!$C$6,"判定不能",IF(F1487&gt;=判定条件!$C$7*E1487,"運転",IF(F1487&lt;=判定条件!$C$8*E1487,"停止","断続")))</f>
        <v>断続</v>
      </c>
      <c r="H1487" s="30" t="n">
        <v>60</v>
      </c>
      <c r="I1487" s="30" t="n">
        <v>31</v>
      </c>
      <c r="J1487" s="30" t="str">
        <f aca="false">IF(H1487&lt;判定条件!$C$6,"判定不能",IF(I1487&gt;=判定条件!$C$7*H1487,"運転",IF(I1487&lt;=判定条件!$C$8*H1487,"停止","断続")))</f>
        <v>断続</v>
      </c>
      <c r="K1487" s="30" t="n">
        <v>60</v>
      </c>
      <c r="L1487" s="30" t="n">
        <v>60</v>
      </c>
      <c r="M1487" s="30" t="str">
        <f aca="false">IF(K1487&lt;判定条件!$C$6,"判定不能",IF(L1487&gt;=判定条件!$C$7*K1487,"運転",IF(L1487&lt;=判定条件!$C$8*K1487,"停止","断続")))</f>
        <v>運転</v>
      </c>
      <c r="N1487" s="30" t="n">
        <v>60</v>
      </c>
      <c r="O1487" s="30" t="n">
        <v>0</v>
      </c>
      <c r="P1487" s="30" t="str">
        <f aca="false">IF(N1487&lt;判定条件!$C$6,"判定不能",IF(O1487&gt;=判定条件!$C$7*N1487,"運転",IF(O1487&lt;=判定条件!$C$8*N1487,"停止","断続")))</f>
        <v>停止</v>
      </c>
      <c r="Q1487" s="30" t="n">
        <v>60</v>
      </c>
      <c r="R1487" s="30" t="n">
        <v>6</v>
      </c>
      <c r="S1487" s="30" t="str">
        <f aca="false">IF(Q1487&lt;判定条件!$C$6,"判定不能",IF(R1487&gt;=判定条件!$C$7*Q1487,"運転",IF(R1487&lt;=判定条件!$C$8*Q1487,"停止","断続")))</f>
        <v>停止</v>
      </c>
      <c r="T1487" s="30" t="n">
        <v>60</v>
      </c>
      <c r="U1487" s="30" t="n">
        <v>11</v>
      </c>
      <c r="V1487" s="30" t="str">
        <f aca="false">IF(T1487&lt;判定条件!$C$6,"判定不能",IF(U1487&gt;=判定条件!$C$7*T1487,"運転",IF(U1487&lt;=判定条件!$C$8*T1487,"停止","断続")))</f>
        <v>停止</v>
      </c>
      <c r="W1487" s="30" t="n">
        <v>0</v>
      </c>
      <c r="X1487" s="30" t="n">
        <v>0</v>
      </c>
      <c r="Y1487" s="30" t="str">
        <f aca="false">IF(W1487&lt;判定条件!$C$6,"判定不能",IF(X1487&gt;=判定条件!$C$7*W1487,"運転",IF(X1487&lt;=判定条件!$C$8*W1487,"停止","断続")))</f>
        <v>判定不能</v>
      </c>
      <c r="Z1487" s="30" t="n">
        <v>0</v>
      </c>
      <c r="AA1487" s="30" t="n">
        <v>0</v>
      </c>
      <c r="AB1487" s="30" t="str">
        <f aca="false">IF(Z1487&lt;判定条件!$C$6,"判定不能",IF(AA1487&gt;=判定条件!$C$7*Z1487,"運転",IF(AA1487&lt;=判定条件!$C$8*Z1487,"停止","断続")))</f>
        <v>判定不能</v>
      </c>
      <c r="AC1487" s="30" t="n">
        <v>0</v>
      </c>
      <c r="AD1487" s="30" t="n">
        <v>0</v>
      </c>
      <c r="AE1487" s="30" t="str">
        <f aca="false">IF(AC1487&lt;判定条件!$C$6,"判定不能",IF(AD1487&gt;=判定条件!$C$7*AC1487,"運転",IF(AD1487&lt;=判定条件!$C$8*AC1487,"停止","断続")))</f>
        <v>判定不能</v>
      </c>
      <c r="AF1487" s="30" t="n">
        <v>60</v>
      </c>
      <c r="AG1487" s="30" t="n">
        <v>0</v>
      </c>
      <c r="AH1487" s="30" t="str">
        <f aca="false">IF(OR(P1487="判定不能",G1487="判定不能"),"判定不能",IF(AG1487&gt;=判定条件!$C$9,"利用可",IF(AND(P1487="停止",G1487="停止"),"両方停止","運転がそろわない")))</f>
        <v>運転がそろわない</v>
      </c>
      <c r="AI1487" s="30" t="n">
        <v>60</v>
      </c>
      <c r="AJ1487" s="30" t="n">
        <v>6</v>
      </c>
      <c r="AK1487" s="30" t="str">
        <f aca="false">IF(OR(S1487="判定不能",J1487="判定不能"),"判定不能",IF(AJ1487&gt;=判定条件!$C$9,"利用可",IF(AND(S1487="停止",J1487="停止"),"両方停止","運転がそろわない")))</f>
        <v>運転がそろわない</v>
      </c>
      <c r="AL1487" s="30" t="n">
        <v>60</v>
      </c>
      <c r="AM1487" s="30" t="n">
        <v>11</v>
      </c>
      <c r="AN1487" s="30" t="str">
        <f aca="false">IF(OR(V1487="判定不能",M1487="判定不能"),"判定不能",IF(AM1487&gt;=判定条件!$C$9,"利用可",IF(AND(V1487="停止",M1487="停止"),"両方停止","運転がそろわない")))</f>
        <v>運転がそろわない</v>
      </c>
      <c r="AO1487" s="30" t="n">
        <v>0</v>
      </c>
      <c r="AP1487" s="30" t="n">
        <v>0</v>
      </c>
      <c r="AQ1487" s="30" t="str">
        <f aca="false">IF(OR(Y1487="判定不能",G1487="判定不能"),"判定不能",IF(AP1487&gt;=判定条件!$C$9,"利用可",IF(AND(Y1487="停止",G1487="停止"),"両方停止","運転がそろわない")))</f>
        <v>判定不能</v>
      </c>
      <c r="AR1487" s="30" t="n">
        <v>0</v>
      </c>
      <c r="AS1487" s="30" t="n">
        <v>0</v>
      </c>
      <c r="AT1487" s="30" t="str">
        <f aca="false">IF(OR(AB1487="判定不能",J1487="判定不能"),"判定不能",IF(AS1487&gt;=判定条件!$C$9,"利用可",IF(AND(AB1487="停止",J1487="停止"),"両方停止","運転がそろわない")))</f>
        <v>判定不能</v>
      </c>
      <c r="AU1487" s="30" t="n">
        <v>0</v>
      </c>
      <c r="AV1487" s="30" t="n">
        <v>0</v>
      </c>
      <c r="AW1487" s="30" t="str">
        <f aca="false">IF(OR(AE1487="判定不能",M1487="判定不能"),"判定不能",IF(AV1487&gt;=判定条件!$C$9,"利用可",IF(AND(AE1487="停止",M1487="停止"),"両方停止","運転がそろわない")))</f>
        <v>判定不能</v>
      </c>
      <c r="AX1487" s="30" t="str">
        <f aca="false">IF(AND(AH1487="利用可",AK1487="利用可",AN1487="利用可"),"利用可","不可")</f>
        <v>不可</v>
      </c>
      <c r="AY1487" s="30" t="str">
        <f aca="false">IF(AND(AQ1487="利用可",AT1487="利用可",AW1487="利用可"),"利用可","不可")</f>
        <v>不可</v>
      </c>
    </row>
    <row r="1488" customFormat="false" ht="15" hidden="false" customHeight="false" outlineLevel="0" collapsed="false">
      <c r="A1488" s="29" t="n">
        <v>46293</v>
      </c>
      <c r="B1488" s="30" t="n">
        <v>21</v>
      </c>
      <c r="C1488" s="31" t="s">
        <v>66</v>
      </c>
      <c r="D1488" s="31" t="s">
        <v>59</v>
      </c>
      <c r="E1488" s="30" t="n">
        <v>60</v>
      </c>
      <c r="F1488" s="30" t="n">
        <v>4</v>
      </c>
      <c r="G1488" s="30" t="str">
        <f aca="false">IF(E1488&lt;判定条件!$C$6,"判定不能",IF(F1488&gt;=判定条件!$C$7*E1488,"運転",IF(F1488&lt;=判定条件!$C$8*E1488,"停止","断続")))</f>
        <v>停止</v>
      </c>
      <c r="H1488" s="30" t="n">
        <v>60</v>
      </c>
      <c r="I1488" s="30" t="n">
        <v>5</v>
      </c>
      <c r="J1488" s="30" t="str">
        <f aca="false">IF(H1488&lt;判定条件!$C$6,"判定不能",IF(I1488&gt;=判定条件!$C$7*H1488,"運転",IF(I1488&lt;=判定条件!$C$8*H1488,"停止","断続")))</f>
        <v>停止</v>
      </c>
      <c r="K1488" s="30" t="n">
        <v>60</v>
      </c>
      <c r="L1488" s="30" t="n">
        <v>2</v>
      </c>
      <c r="M1488" s="30" t="str">
        <f aca="false">IF(K1488&lt;判定条件!$C$6,"判定不能",IF(L1488&gt;=判定条件!$C$7*K1488,"運転",IF(L1488&lt;=判定条件!$C$8*K1488,"停止","断続")))</f>
        <v>停止</v>
      </c>
      <c r="N1488" s="30" t="n">
        <v>60</v>
      </c>
      <c r="O1488" s="30" t="n">
        <v>0</v>
      </c>
      <c r="P1488" s="30" t="str">
        <f aca="false">IF(N1488&lt;判定条件!$C$6,"判定不能",IF(O1488&gt;=判定条件!$C$7*N1488,"運転",IF(O1488&lt;=判定条件!$C$8*N1488,"停止","断続")))</f>
        <v>停止</v>
      </c>
      <c r="Q1488" s="30" t="n">
        <v>60</v>
      </c>
      <c r="R1488" s="30" t="n">
        <v>60</v>
      </c>
      <c r="S1488" s="30" t="str">
        <f aca="false">IF(Q1488&lt;判定条件!$C$6,"判定不能",IF(R1488&gt;=判定条件!$C$7*Q1488,"運転",IF(R1488&lt;=判定条件!$C$8*Q1488,"停止","断続")))</f>
        <v>運転</v>
      </c>
      <c r="T1488" s="30" t="n">
        <v>60</v>
      </c>
      <c r="U1488" s="30" t="n">
        <v>60</v>
      </c>
      <c r="V1488" s="30" t="str">
        <f aca="false">IF(T1488&lt;判定条件!$C$6,"判定不能",IF(U1488&gt;=判定条件!$C$7*T1488,"運転",IF(U1488&lt;=判定条件!$C$8*T1488,"停止","断続")))</f>
        <v>運転</v>
      </c>
      <c r="W1488" s="30" t="n">
        <v>0</v>
      </c>
      <c r="X1488" s="30" t="n">
        <v>0</v>
      </c>
      <c r="Y1488" s="30" t="str">
        <f aca="false">IF(W1488&lt;判定条件!$C$6,"判定不能",IF(X1488&gt;=判定条件!$C$7*W1488,"運転",IF(X1488&lt;=判定条件!$C$8*W1488,"停止","断続")))</f>
        <v>判定不能</v>
      </c>
      <c r="Z1488" s="30" t="n">
        <v>0</v>
      </c>
      <c r="AA1488" s="30" t="n">
        <v>0</v>
      </c>
      <c r="AB1488" s="30" t="str">
        <f aca="false">IF(Z1488&lt;判定条件!$C$6,"判定不能",IF(AA1488&gt;=判定条件!$C$7*Z1488,"運転",IF(AA1488&lt;=判定条件!$C$8*Z1488,"停止","断続")))</f>
        <v>判定不能</v>
      </c>
      <c r="AC1488" s="30" t="n">
        <v>0</v>
      </c>
      <c r="AD1488" s="30" t="n">
        <v>0</v>
      </c>
      <c r="AE1488" s="30" t="str">
        <f aca="false">IF(AC1488&lt;判定条件!$C$6,"判定不能",IF(AD1488&gt;=判定条件!$C$7*AC1488,"運転",IF(AD1488&lt;=判定条件!$C$8*AC1488,"停止","断続")))</f>
        <v>判定不能</v>
      </c>
      <c r="AF1488" s="30" t="n">
        <v>60</v>
      </c>
      <c r="AG1488" s="30" t="n">
        <v>0</v>
      </c>
      <c r="AH1488" s="30" t="str">
        <f aca="false">IF(OR(P1488="判定不能",G1488="判定不能"),"判定不能",IF(AG1488&gt;=判定条件!$C$9,"利用可",IF(AND(P1488="停止",G1488="停止"),"両方停止","運転がそろわない")))</f>
        <v>両方停止</v>
      </c>
      <c r="AI1488" s="30" t="n">
        <v>60</v>
      </c>
      <c r="AJ1488" s="30" t="n">
        <v>5</v>
      </c>
      <c r="AK1488" s="30" t="str">
        <f aca="false">IF(OR(S1488="判定不能",J1488="判定不能"),"判定不能",IF(AJ1488&gt;=判定条件!$C$9,"利用可",IF(AND(S1488="停止",J1488="停止"),"両方停止","運転がそろわない")))</f>
        <v>運転がそろわない</v>
      </c>
      <c r="AL1488" s="30" t="n">
        <v>60</v>
      </c>
      <c r="AM1488" s="30" t="n">
        <v>2</v>
      </c>
      <c r="AN1488" s="30" t="str">
        <f aca="false">IF(OR(V1488="判定不能",M1488="判定不能"),"判定不能",IF(AM1488&gt;=判定条件!$C$9,"利用可",IF(AND(V1488="停止",M1488="停止"),"両方停止","運転がそろわない")))</f>
        <v>運転がそろわない</v>
      </c>
      <c r="AO1488" s="30" t="n">
        <v>0</v>
      </c>
      <c r="AP1488" s="30" t="n">
        <v>0</v>
      </c>
      <c r="AQ1488" s="30" t="str">
        <f aca="false">IF(OR(Y1488="判定不能",G1488="判定不能"),"判定不能",IF(AP1488&gt;=判定条件!$C$9,"利用可",IF(AND(Y1488="停止",G1488="停止"),"両方停止","運転がそろわない")))</f>
        <v>判定不能</v>
      </c>
      <c r="AR1488" s="30" t="n">
        <v>0</v>
      </c>
      <c r="AS1488" s="30" t="n">
        <v>0</v>
      </c>
      <c r="AT1488" s="30" t="str">
        <f aca="false">IF(OR(AB1488="判定不能",J1488="判定不能"),"判定不能",IF(AS1488&gt;=判定条件!$C$9,"利用可",IF(AND(AB1488="停止",J1488="停止"),"両方停止","運転がそろわない")))</f>
        <v>判定不能</v>
      </c>
      <c r="AU1488" s="30" t="n">
        <v>0</v>
      </c>
      <c r="AV1488" s="30" t="n">
        <v>0</v>
      </c>
      <c r="AW1488" s="30" t="str">
        <f aca="false">IF(OR(AE1488="判定不能",M1488="判定不能"),"判定不能",IF(AV1488&gt;=判定条件!$C$9,"利用可",IF(AND(AE1488="停止",M1488="停止"),"両方停止","運転がそろわない")))</f>
        <v>判定不能</v>
      </c>
      <c r="AX1488" s="30" t="str">
        <f aca="false">IF(AND(AH1488="利用可",AK1488="利用可",AN1488="利用可"),"利用可","不可")</f>
        <v>不可</v>
      </c>
      <c r="AY1488" s="30" t="str">
        <f aca="false">IF(AND(AQ1488="利用可",AT1488="利用可",AW1488="利用可"),"利用可","不可")</f>
        <v>不可</v>
      </c>
    </row>
    <row r="1489" customFormat="false" ht="15" hidden="false" customHeight="false" outlineLevel="0" collapsed="false">
      <c r="A1489" s="29" t="n">
        <v>46293</v>
      </c>
      <c r="B1489" s="30" t="n">
        <v>22</v>
      </c>
      <c r="C1489" s="31" t="s">
        <v>66</v>
      </c>
      <c r="D1489" s="31" t="s">
        <v>59</v>
      </c>
      <c r="E1489" s="30" t="n">
        <v>60</v>
      </c>
      <c r="F1489" s="30" t="n">
        <v>0</v>
      </c>
      <c r="G1489" s="30" t="str">
        <f aca="false">IF(E1489&lt;判定条件!$C$6,"判定不能",IF(F1489&gt;=判定条件!$C$7*E1489,"運転",IF(F1489&lt;=判定条件!$C$8*E1489,"停止","断続")))</f>
        <v>停止</v>
      </c>
      <c r="H1489" s="30" t="n">
        <v>60</v>
      </c>
      <c r="I1489" s="30" t="n">
        <v>0</v>
      </c>
      <c r="J1489" s="30" t="str">
        <f aca="false">IF(H1489&lt;判定条件!$C$6,"判定不能",IF(I1489&gt;=判定条件!$C$7*H1489,"運転",IF(I1489&lt;=判定条件!$C$8*H1489,"停止","断続")))</f>
        <v>停止</v>
      </c>
      <c r="K1489" s="30" t="n">
        <v>60</v>
      </c>
      <c r="L1489" s="30" t="n">
        <v>0</v>
      </c>
      <c r="M1489" s="30" t="str">
        <f aca="false">IF(K1489&lt;判定条件!$C$6,"判定不能",IF(L1489&gt;=判定条件!$C$7*K1489,"運転",IF(L1489&lt;=判定条件!$C$8*K1489,"停止","断続")))</f>
        <v>停止</v>
      </c>
      <c r="N1489" s="30" t="n">
        <v>60</v>
      </c>
      <c r="O1489" s="30" t="n">
        <v>0</v>
      </c>
      <c r="P1489" s="30" t="str">
        <f aca="false">IF(N1489&lt;判定条件!$C$6,"判定不能",IF(O1489&gt;=判定条件!$C$7*N1489,"運転",IF(O1489&lt;=判定条件!$C$8*N1489,"停止","断続")))</f>
        <v>停止</v>
      </c>
      <c r="Q1489" s="30" t="n">
        <v>60</v>
      </c>
      <c r="R1489" s="30" t="n">
        <v>3</v>
      </c>
      <c r="S1489" s="30" t="str">
        <f aca="false">IF(Q1489&lt;判定条件!$C$6,"判定不能",IF(R1489&gt;=判定条件!$C$7*Q1489,"運転",IF(R1489&lt;=判定条件!$C$8*Q1489,"停止","断続")))</f>
        <v>停止</v>
      </c>
      <c r="T1489" s="30" t="n">
        <v>60</v>
      </c>
      <c r="U1489" s="30" t="n">
        <v>15</v>
      </c>
      <c r="V1489" s="30" t="str">
        <f aca="false">IF(T1489&lt;判定条件!$C$6,"判定不能",IF(U1489&gt;=判定条件!$C$7*T1489,"運転",IF(U1489&lt;=判定条件!$C$8*T1489,"停止","断続")))</f>
        <v>断続</v>
      </c>
      <c r="W1489" s="30" t="n">
        <v>0</v>
      </c>
      <c r="X1489" s="30" t="n">
        <v>0</v>
      </c>
      <c r="Y1489" s="30" t="str">
        <f aca="false">IF(W1489&lt;判定条件!$C$6,"判定不能",IF(X1489&gt;=判定条件!$C$7*W1489,"運転",IF(X1489&lt;=判定条件!$C$8*W1489,"停止","断続")))</f>
        <v>判定不能</v>
      </c>
      <c r="Z1489" s="30" t="n">
        <v>0</v>
      </c>
      <c r="AA1489" s="30" t="n">
        <v>0</v>
      </c>
      <c r="AB1489" s="30" t="str">
        <f aca="false">IF(Z1489&lt;判定条件!$C$6,"判定不能",IF(AA1489&gt;=判定条件!$C$7*Z1489,"運転",IF(AA1489&lt;=判定条件!$C$8*Z1489,"停止","断続")))</f>
        <v>判定不能</v>
      </c>
      <c r="AC1489" s="30" t="n">
        <v>0</v>
      </c>
      <c r="AD1489" s="30" t="n">
        <v>0</v>
      </c>
      <c r="AE1489" s="30" t="str">
        <f aca="false">IF(AC1489&lt;判定条件!$C$6,"判定不能",IF(AD1489&gt;=判定条件!$C$7*AC1489,"運転",IF(AD1489&lt;=判定条件!$C$8*AC1489,"停止","断続")))</f>
        <v>判定不能</v>
      </c>
      <c r="AF1489" s="30" t="n">
        <v>60</v>
      </c>
      <c r="AG1489" s="30" t="n">
        <v>0</v>
      </c>
      <c r="AH1489" s="30" t="str">
        <f aca="false">IF(OR(P1489="判定不能",G1489="判定不能"),"判定不能",IF(AG1489&gt;=判定条件!$C$9,"利用可",IF(AND(P1489="停止",G1489="停止"),"両方停止","運転がそろわない")))</f>
        <v>両方停止</v>
      </c>
      <c r="AI1489" s="30" t="n">
        <v>60</v>
      </c>
      <c r="AJ1489" s="30" t="n">
        <v>0</v>
      </c>
      <c r="AK1489" s="30" t="str">
        <f aca="false">IF(OR(S1489="判定不能",J1489="判定不能"),"判定不能",IF(AJ1489&gt;=判定条件!$C$9,"利用可",IF(AND(S1489="停止",J1489="停止"),"両方停止","運転がそろわない")))</f>
        <v>両方停止</v>
      </c>
      <c r="AL1489" s="30" t="n">
        <v>60</v>
      </c>
      <c r="AM1489" s="30" t="n">
        <v>0</v>
      </c>
      <c r="AN1489" s="30" t="str">
        <f aca="false">IF(OR(V1489="判定不能",M1489="判定不能"),"判定不能",IF(AM1489&gt;=判定条件!$C$9,"利用可",IF(AND(V1489="停止",M1489="停止"),"両方停止","運転がそろわない")))</f>
        <v>運転がそろわない</v>
      </c>
      <c r="AO1489" s="30" t="n">
        <v>0</v>
      </c>
      <c r="AP1489" s="30" t="n">
        <v>0</v>
      </c>
      <c r="AQ1489" s="30" t="str">
        <f aca="false">IF(OR(Y1489="判定不能",G1489="判定不能"),"判定不能",IF(AP1489&gt;=判定条件!$C$9,"利用可",IF(AND(Y1489="停止",G1489="停止"),"両方停止","運転がそろわない")))</f>
        <v>判定不能</v>
      </c>
      <c r="AR1489" s="30" t="n">
        <v>0</v>
      </c>
      <c r="AS1489" s="30" t="n">
        <v>0</v>
      </c>
      <c r="AT1489" s="30" t="str">
        <f aca="false">IF(OR(AB1489="判定不能",J1489="判定不能"),"判定不能",IF(AS1489&gt;=判定条件!$C$9,"利用可",IF(AND(AB1489="停止",J1489="停止"),"両方停止","運転がそろわない")))</f>
        <v>判定不能</v>
      </c>
      <c r="AU1489" s="30" t="n">
        <v>0</v>
      </c>
      <c r="AV1489" s="30" t="n">
        <v>0</v>
      </c>
      <c r="AW1489" s="30" t="str">
        <f aca="false">IF(OR(AE1489="判定不能",M1489="判定不能"),"判定不能",IF(AV1489&gt;=判定条件!$C$9,"利用可",IF(AND(AE1489="停止",M1489="停止"),"両方停止","運転がそろわない")))</f>
        <v>判定不能</v>
      </c>
      <c r="AX1489" s="30" t="str">
        <f aca="false">IF(AND(AH1489="利用可",AK1489="利用可",AN1489="利用可"),"利用可","不可")</f>
        <v>不可</v>
      </c>
      <c r="AY1489" s="30" t="str">
        <f aca="false">IF(AND(AQ1489="利用可",AT1489="利用可",AW1489="利用可"),"利用可","不可")</f>
        <v>不可</v>
      </c>
    </row>
    <row r="1490" customFormat="false" ht="15" hidden="false" customHeight="false" outlineLevel="0" collapsed="false">
      <c r="A1490" s="29" t="n">
        <v>46293</v>
      </c>
      <c r="B1490" s="30" t="n">
        <v>23</v>
      </c>
      <c r="C1490" s="31" t="s">
        <v>66</v>
      </c>
      <c r="D1490" s="31" t="s">
        <v>59</v>
      </c>
      <c r="E1490" s="30" t="n">
        <v>60</v>
      </c>
      <c r="F1490" s="30" t="n">
        <v>0</v>
      </c>
      <c r="G1490" s="30" t="str">
        <f aca="false">IF(E1490&lt;判定条件!$C$6,"判定不能",IF(F1490&gt;=判定条件!$C$7*E1490,"運転",IF(F1490&lt;=判定条件!$C$8*E1490,"停止","断続")))</f>
        <v>停止</v>
      </c>
      <c r="H1490" s="30" t="n">
        <v>60</v>
      </c>
      <c r="I1490" s="30" t="n">
        <v>0</v>
      </c>
      <c r="J1490" s="30" t="str">
        <f aca="false">IF(H1490&lt;判定条件!$C$6,"判定不能",IF(I1490&gt;=判定条件!$C$7*H1490,"運転",IF(I1490&lt;=判定条件!$C$8*H1490,"停止","断続")))</f>
        <v>停止</v>
      </c>
      <c r="K1490" s="30" t="n">
        <v>60</v>
      </c>
      <c r="L1490" s="30" t="n">
        <v>0</v>
      </c>
      <c r="M1490" s="30" t="str">
        <f aca="false">IF(K1490&lt;判定条件!$C$6,"判定不能",IF(L1490&gt;=判定条件!$C$7*K1490,"運転",IF(L1490&lt;=判定条件!$C$8*K1490,"停止","断続")))</f>
        <v>停止</v>
      </c>
      <c r="N1490" s="30" t="n">
        <v>60</v>
      </c>
      <c r="O1490" s="30" t="n">
        <v>0</v>
      </c>
      <c r="P1490" s="30" t="str">
        <f aca="false">IF(N1490&lt;判定条件!$C$6,"判定不能",IF(O1490&gt;=判定条件!$C$7*N1490,"運転",IF(O1490&lt;=判定条件!$C$8*N1490,"停止","断続")))</f>
        <v>停止</v>
      </c>
      <c r="Q1490" s="30" t="n">
        <v>60</v>
      </c>
      <c r="R1490" s="30" t="n">
        <v>0</v>
      </c>
      <c r="S1490" s="30" t="str">
        <f aca="false">IF(Q1490&lt;判定条件!$C$6,"判定不能",IF(R1490&gt;=判定条件!$C$7*Q1490,"運転",IF(R1490&lt;=判定条件!$C$8*Q1490,"停止","断続")))</f>
        <v>停止</v>
      </c>
      <c r="T1490" s="30" t="n">
        <v>60</v>
      </c>
      <c r="U1490" s="30" t="n">
        <v>0</v>
      </c>
      <c r="V1490" s="30" t="str">
        <f aca="false">IF(T1490&lt;判定条件!$C$6,"判定不能",IF(U1490&gt;=判定条件!$C$7*T1490,"運転",IF(U1490&lt;=判定条件!$C$8*T1490,"停止","断続")))</f>
        <v>停止</v>
      </c>
      <c r="W1490" s="30" t="n">
        <v>0</v>
      </c>
      <c r="X1490" s="30" t="n">
        <v>0</v>
      </c>
      <c r="Y1490" s="30" t="str">
        <f aca="false">IF(W1490&lt;判定条件!$C$6,"判定不能",IF(X1490&gt;=判定条件!$C$7*W1490,"運転",IF(X1490&lt;=判定条件!$C$8*W1490,"停止","断続")))</f>
        <v>判定不能</v>
      </c>
      <c r="Z1490" s="30" t="n">
        <v>0</v>
      </c>
      <c r="AA1490" s="30" t="n">
        <v>0</v>
      </c>
      <c r="AB1490" s="30" t="str">
        <f aca="false">IF(Z1490&lt;判定条件!$C$6,"判定不能",IF(AA1490&gt;=判定条件!$C$7*Z1490,"運転",IF(AA1490&lt;=判定条件!$C$8*Z1490,"停止","断続")))</f>
        <v>判定不能</v>
      </c>
      <c r="AC1490" s="30" t="n">
        <v>0</v>
      </c>
      <c r="AD1490" s="30" t="n">
        <v>0</v>
      </c>
      <c r="AE1490" s="30" t="str">
        <f aca="false">IF(AC1490&lt;判定条件!$C$6,"判定不能",IF(AD1490&gt;=判定条件!$C$7*AC1490,"運転",IF(AD1490&lt;=判定条件!$C$8*AC1490,"停止","断続")))</f>
        <v>判定不能</v>
      </c>
      <c r="AF1490" s="30" t="n">
        <v>60</v>
      </c>
      <c r="AG1490" s="30" t="n">
        <v>0</v>
      </c>
      <c r="AH1490" s="30" t="str">
        <f aca="false">IF(OR(P1490="判定不能",G1490="判定不能"),"判定不能",IF(AG1490&gt;=判定条件!$C$9,"利用可",IF(AND(P1490="停止",G1490="停止"),"両方停止","運転がそろわない")))</f>
        <v>両方停止</v>
      </c>
      <c r="AI1490" s="30" t="n">
        <v>60</v>
      </c>
      <c r="AJ1490" s="30" t="n">
        <v>0</v>
      </c>
      <c r="AK1490" s="30" t="str">
        <f aca="false">IF(OR(S1490="判定不能",J1490="判定不能"),"判定不能",IF(AJ1490&gt;=判定条件!$C$9,"利用可",IF(AND(S1490="停止",J1490="停止"),"両方停止","運転がそろわない")))</f>
        <v>両方停止</v>
      </c>
      <c r="AL1490" s="30" t="n">
        <v>60</v>
      </c>
      <c r="AM1490" s="30" t="n">
        <v>0</v>
      </c>
      <c r="AN1490" s="30" t="str">
        <f aca="false">IF(OR(V1490="判定不能",M1490="判定不能"),"判定不能",IF(AM1490&gt;=判定条件!$C$9,"利用可",IF(AND(V1490="停止",M1490="停止"),"両方停止","運転がそろわない")))</f>
        <v>両方停止</v>
      </c>
      <c r="AO1490" s="30" t="n">
        <v>0</v>
      </c>
      <c r="AP1490" s="30" t="n">
        <v>0</v>
      </c>
      <c r="AQ1490" s="30" t="str">
        <f aca="false">IF(OR(Y1490="判定不能",G1490="判定不能"),"判定不能",IF(AP1490&gt;=判定条件!$C$9,"利用可",IF(AND(Y1490="停止",G1490="停止"),"両方停止","運転がそろわない")))</f>
        <v>判定不能</v>
      </c>
      <c r="AR1490" s="30" t="n">
        <v>0</v>
      </c>
      <c r="AS1490" s="30" t="n">
        <v>0</v>
      </c>
      <c r="AT1490" s="30" t="str">
        <f aca="false">IF(OR(AB1490="判定不能",J1490="判定不能"),"判定不能",IF(AS1490&gt;=判定条件!$C$9,"利用可",IF(AND(AB1490="停止",J1490="停止"),"両方停止","運転がそろわない")))</f>
        <v>判定不能</v>
      </c>
      <c r="AU1490" s="30" t="n">
        <v>0</v>
      </c>
      <c r="AV1490" s="30" t="n">
        <v>0</v>
      </c>
      <c r="AW1490" s="30" t="str">
        <f aca="false">IF(OR(AE1490="判定不能",M1490="判定不能"),"判定不能",IF(AV1490&gt;=判定条件!$C$9,"利用可",IF(AND(AE1490="停止",M1490="停止"),"両方停止","運転がそろわない")))</f>
        <v>判定不能</v>
      </c>
      <c r="AX1490" s="30" t="str">
        <f aca="false">IF(AND(AH1490="利用可",AK1490="利用可",AN1490="利用可"),"利用可","不可")</f>
        <v>不可</v>
      </c>
      <c r="AY1490" s="30" t="str">
        <f aca="false">IF(AND(AQ1490="利用可",AT1490="利用可",AW1490="利用可"),"利用可","不可")</f>
        <v>不可</v>
      </c>
    </row>
    <row r="1491" customFormat="false" ht="15" hidden="false" customHeight="false" outlineLevel="0" collapsed="false">
      <c r="A1491" s="29" t="n">
        <v>46294</v>
      </c>
      <c r="B1491" s="30" t="n">
        <v>0</v>
      </c>
      <c r="C1491" s="31" t="s">
        <v>67</v>
      </c>
      <c r="D1491" s="31" t="s">
        <v>59</v>
      </c>
      <c r="E1491" s="30" t="n">
        <v>60</v>
      </c>
      <c r="F1491" s="30" t="n">
        <v>0</v>
      </c>
      <c r="G1491" s="30" t="str">
        <f aca="false">IF(E1491&lt;判定条件!$C$6,"判定不能",IF(F1491&gt;=判定条件!$C$7*E1491,"運転",IF(F1491&lt;=判定条件!$C$8*E1491,"停止","断続")))</f>
        <v>停止</v>
      </c>
      <c r="H1491" s="30" t="n">
        <v>60</v>
      </c>
      <c r="I1491" s="30" t="n">
        <v>0</v>
      </c>
      <c r="J1491" s="30" t="str">
        <f aca="false">IF(H1491&lt;判定条件!$C$6,"判定不能",IF(I1491&gt;=判定条件!$C$7*H1491,"運転",IF(I1491&lt;=判定条件!$C$8*H1491,"停止","断続")))</f>
        <v>停止</v>
      </c>
      <c r="K1491" s="30" t="n">
        <v>60</v>
      </c>
      <c r="L1491" s="30" t="n">
        <v>0</v>
      </c>
      <c r="M1491" s="30" t="str">
        <f aca="false">IF(K1491&lt;判定条件!$C$6,"判定不能",IF(L1491&gt;=判定条件!$C$7*K1491,"運転",IF(L1491&lt;=判定条件!$C$8*K1491,"停止","断続")))</f>
        <v>停止</v>
      </c>
      <c r="N1491" s="30" t="n">
        <v>60</v>
      </c>
      <c r="O1491" s="30" t="n">
        <v>0</v>
      </c>
      <c r="P1491" s="30" t="str">
        <f aca="false">IF(N1491&lt;判定条件!$C$6,"判定不能",IF(O1491&gt;=判定条件!$C$7*N1491,"運転",IF(O1491&lt;=判定条件!$C$8*N1491,"停止","断続")))</f>
        <v>停止</v>
      </c>
      <c r="Q1491" s="30" t="n">
        <v>60</v>
      </c>
      <c r="R1491" s="30" t="n">
        <v>0</v>
      </c>
      <c r="S1491" s="30" t="str">
        <f aca="false">IF(Q1491&lt;判定条件!$C$6,"判定不能",IF(R1491&gt;=判定条件!$C$7*Q1491,"運転",IF(R1491&lt;=判定条件!$C$8*Q1491,"停止","断続")))</f>
        <v>停止</v>
      </c>
      <c r="T1491" s="30" t="n">
        <v>60</v>
      </c>
      <c r="U1491" s="30" t="n">
        <v>0</v>
      </c>
      <c r="V1491" s="30" t="str">
        <f aca="false">IF(T1491&lt;判定条件!$C$6,"判定不能",IF(U1491&gt;=判定条件!$C$7*T1491,"運転",IF(U1491&lt;=判定条件!$C$8*T1491,"停止","断続")))</f>
        <v>停止</v>
      </c>
      <c r="W1491" s="30" t="n">
        <v>0</v>
      </c>
      <c r="X1491" s="30" t="n">
        <v>0</v>
      </c>
      <c r="Y1491" s="30" t="str">
        <f aca="false">IF(W1491&lt;判定条件!$C$6,"判定不能",IF(X1491&gt;=判定条件!$C$7*W1491,"運転",IF(X1491&lt;=判定条件!$C$8*W1491,"停止","断続")))</f>
        <v>判定不能</v>
      </c>
      <c r="Z1491" s="30" t="n">
        <v>0</v>
      </c>
      <c r="AA1491" s="30" t="n">
        <v>0</v>
      </c>
      <c r="AB1491" s="30" t="str">
        <f aca="false">IF(Z1491&lt;判定条件!$C$6,"判定不能",IF(AA1491&gt;=判定条件!$C$7*Z1491,"運転",IF(AA1491&lt;=判定条件!$C$8*Z1491,"停止","断続")))</f>
        <v>判定不能</v>
      </c>
      <c r="AC1491" s="30" t="n">
        <v>0</v>
      </c>
      <c r="AD1491" s="30" t="n">
        <v>0</v>
      </c>
      <c r="AE1491" s="30" t="str">
        <f aca="false">IF(AC1491&lt;判定条件!$C$6,"判定不能",IF(AD1491&gt;=判定条件!$C$7*AC1491,"運転",IF(AD1491&lt;=判定条件!$C$8*AC1491,"停止","断続")))</f>
        <v>判定不能</v>
      </c>
      <c r="AF1491" s="30" t="n">
        <v>60</v>
      </c>
      <c r="AG1491" s="30" t="n">
        <v>0</v>
      </c>
      <c r="AH1491" s="30" t="str">
        <f aca="false">IF(OR(P1491="判定不能",G1491="判定不能"),"判定不能",IF(AG1491&gt;=判定条件!$C$9,"利用可",IF(AND(P1491="停止",G1491="停止"),"両方停止","運転がそろわない")))</f>
        <v>両方停止</v>
      </c>
      <c r="AI1491" s="30" t="n">
        <v>60</v>
      </c>
      <c r="AJ1491" s="30" t="n">
        <v>0</v>
      </c>
      <c r="AK1491" s="30" t="str">
        <f aca="false">IF(OR(S1491="判定不能",J1491="判定不能"),"判定不能",IF(AJ1491&gt;=判定条件!$C$9,"利用可",IF(AND(S1491="停止",J1491="停止"),"両方停止","運転がそろわない")))</f>
        <v>両方停止</v>
      </c>
      <c r="AL1491" s="30" t="n">
        <v>60</v>
      </c>
      <c r="AM1491" s="30" t="n">
        <v>0</v>
      </c>
      <c r="AN1491" s="30" t="str">
        <f aca="false">IF(OR(V1491="判定不能",M1491="判定不能"),"判定不能",IF(AM1491&gt;=判定条件!$C$9,"利用可",IF(AND(V1491="停止",M1491="停止"),"両方停止","運転がそろわない")))</f>
        <v>両方停止</v>
      </c>
      <c r="AO1491" s="30" t="n">
        <v>0</v>
      </c>
      <c r="AP1491" s="30" t="n">
        <v>0</v>
      </c>
      <c r="AQ1491" s="30" t="str">
        <f aca="false">IF(OR(Y1491="判定不能",G1491="判定不能"),"判定不能",IF(AP1491&gt;=判定条件!$C$9,"利用可",IF(AND(Y1491="停止",G1491="停止"),"両方停止","運転がそろわない")))</f>
        <v>判定不能</v>
      </c>
      <c r="AR1491" s="30" t="n">
        <v>0</v>
      </c>
      <c r="AS1491" s="30" t="n">
        <v>0</v>
      </c>
      <c r="AT1491" s="30" t="str">
        <f aca="false">IF(OR(AB1491="判定不能",J1491="判定不能"),"判定不能",IF(AS1491&gt;=判定条件!$C$9,"利用可",IF(AND(AB1491="停止",J1491="停止"),"両方停止","運転がそろわない")))</f>
        <v>判定不能</v>
      </c>
      <c r="AU1491" s="30" t="n">
        <v>0</v>
      </c>
      <c r="AV1491" s="30" t="n">
        <v>0</v>
      </c>
      <c r="AW1491" s="30" t="str">
        <f aca="false">IF(OR(AE1491="判定不能",M1491="判定不能"),"判定不能",IF(AV1491&gt;=判定条件!$C$9,"利用可",IF(AND(AE1491="停止",M1491="停止"),"両方停止","運転がそろわない")))</f>
        <v>判定不能</v>
      </c>
      <c r="AX1491" s="30" t="str">
        <f aca="false">IF(AND(AH1491="利用可",AK1491="利用可",AN1491="利用可"),"利用可","不可")</f>
        <v>不可</v>
      </c>
      <c r="AY1491" s="30" t="str">
        <f aca="false">IF(AND(AQ1491="利用可",AT1491="利用可",AW1491="利用可"),"利用可","不可")</f>
        <v>不可</v>
      </c>
    </row>
    <row r="1492" customFormat="false" ht="15" hidden="false" customHeight="false" outlineLevel="0" collapsed="false">
      <c r="A1492" s="29" t="n">
        <v>46294</v>
      </c>
      <c r="B1492" s="30" t="n">
        <v>1</v>
      </c>
      <c r="C1492" s="31" t="s">
        <v>67</v>
      </c>
      <c r="D1492" s="31" t="s">
        <v>59</v>
      </c>
      <c r="E1492" s="30" t="n">
        <v>60</v>
      </c>
      <c r="F1492" s="30" t="n">
        <v>0</v>
      </c>
      <c r="G1492" s="30" t="str">
        <f aca="false">IF(E1492&lt;判定条件!$C$6,"判定不能",IF(F1492&gt;=判定条件!$C$7*E1492,"運転",IF(F1492&lt;=判定条件!$C$8*E1492,"停止","断続")))</f>
        <v>停止</v>
      </c>
      <c r="H1492" s="30" t="n">
        <v>60</v>
      </c>
      <c r="I1492" s="30" t="n">
        <v>0</v>
      </c>
      <c r="J1492" s="30" t="str">
        <f aca="false">IF(H1492&lt;判定条件!$C$6,"判定不能",IF(I1492&gt;=判定条件!$C$7*H1492,"運転",IF(I1492&lt;=判定条件!$C$8*H1492,"停止","断続")))</f>
        <v>停止</v>
      </c>
      <c r="K1492" s="30" t="n">
        <v>60</v>
      </c>
      <c r="L1492" s="30" t="n">
        <v>0</v>
      </c>
      <c r="M1492" s="30" t="str">
        <f aca="false">IF(K1492&lt;判定条件!$C$6,"判定不能",IF(L1492&gt;=判定条件!$C$7*K1492,"運転",IF(L1492&lt;=判定条件!$C$8*K1492,"停止","断続")))</f>
        <v>停止</v>
      </c>
      <c r="N1492" s="30" t="n">
        <v>60</v>
      </c>
      <c r="O1492" s="30" t="n">
        <v>0</v>
      </c>
      <c r="P1492" s="30" t="str">
        <f aca="false">IF(N1492&lt;判定条件!$C$6,"判定不能",IF(O1492&gt;=判定条件!$C$7*N1492,"運転",IF(O1492&lt;=判定条件!$C$8*N1492,"停止","断続")))</f>
        <v>停止</v>
      </c>
      <c r="Q1492" s="30" t="n">
        <v>60</v>
      </c>
      <c r="R1492" s="30" t="n">
        <v>0</v>
      </c>
      <c r="S1492" s="30" t="str">
        <f aca="false">IF(Q1492&lt;判定条件!$C$6,"判定不能",IF(R1492&gt;=判定条件!$C$7*Q1492,"運転",IF(R1492&lt;=判定条件!$C$8*Q1492,"停止","断続")))</f>
        <v>停止</v>
      </c>
      <c r="T1492" s="30" t="n">
        <v>60</v>
      </c>
      <c r="U1492" s="30" t="n">
        <v>0</v>
      </c>
      <c r="V1492" s="30" t="str">
        <f aca="false">IF(T1492&lt;判定条件!$C$6,"判定不能",IF(U1492&gt;=判定条件!$C$7*T1492,"運転",IF(U1492&lt;=判定条件!$C$8*T1492,"停止","断続")))</f>
        <v>停止</v>
      </c>
      <c r="W1492" s="30" t="n">
        <v>0</v>
      </c>
      <c r="X1492" s="30" t="n">
        <v>0</v>
      </c>
      <c r="Y1492" s="30" t="str">
        <f aca="false">IF(W1492&lt;判定条件!$C$6,"判定不能",IF(X1492&gt;=判定条件!$C$7*W1492,"運転",IF(X1492&lt;=判定条件!$C$8*W1492,"停止","断続")))</f>
        <v>判定不能</v>
      </c>
      <c r="Z1492" s="30" t="n">
        <v>0</v>
      </c>
      <c r="AA1492" s="30" t="n">
        <v>0</v>
      </c>
      <c r="AB1492" s="30" t="str">
        <f aca="false">IF(Z1492&lt;判定条件!$C$6,"判定不能",IF(AA1492&gt;=判定条件!$C$7*Z1492,"運転",IF(AA1492&lt;=判定条件!$C$8*Z1492,"停止","断続")))</f>
        <v>判定不能</v>
      </c>
      <c r="AC1492" s="30" t="n">
        <v>0</v>
      </c>
      <c r="AD1492" s="30" t="n">
        <v>0</v>
      </c>
      <c r="AE1492" s="30" t="str">
        <f aca="false">IF(AC1492&lt;判定条件!$C$6,"判定不能",IF(AD1492&gt;=判定条件!$C$7*AC1492,"運転",IF(AD1492&lt;=判定条件!$C$8*AC1492,"停止","断続")))</f>
        <v>判定不能</v>
      </c>
      <c r="AF1492" s="30" t="n">
        <v>60</v>
      </c>
      <c r="AG1492" s="30" t="n">
        <v>0</v>
      </c>
      <c r="AH1492" s="30" t="str">
        <f aca="false">IF(OR(P1492="判定不能",G1492="判定不能"),"判定不能",IF(AG1492&gt;=判定条件!$C$9,"利用可",IF(AND(P1492="停止",G1492="停止"),"両方停止","運転がそろわない")))</f>
        <v>両方停止</v>
      </c>
      <c r="AI1492" s="30" t="n">
        <v>60</v>
      </c>
      <c r="AJ1492" s="30" t="n">
        <v>0</v>
      </c>
      <c r="AK1492" s="30" t="str">
        <f aca="false">IF(OR(S1492="判定不能",J1492="判定不能"),"判定不能",IF(AJ1492&gt;=判定条件!$C$9,"利用可",IF(AND(S1492="停止",J1492="停止"),"両方停止","運転がそろわない")))</f>
        <v>両方停止</v>
      </c>
      <c r="AL1492" s="30" t="n">
        <v>60</v>
      </c>
      <c r="AM1492" s="30" t="n">
        <v>0</v>
      </c>
      <c r="AN1492" s="30" t="str">
        <f aca="false">IF(OR(V1492="判定不能",M1492="判定不能"),"判定不能",IF(AM1492&gt;=判定条件!$C$9,"利用可",IF(AND(V1492="停止",M1492="停止"),"両方停止","運転がそろわない")))</f>
        <v>両方停止</v>
      </c>
      <c r="AO1492" s="30" t="n">
        <v>0</v>
      </c>
      <c r="AP1492" s="30" t="n">
        <v>0</v>
      </c>
      <c r="AQ1492" s="30" t="str">
        <f aca="false">IF(OR(Y1492="判定不能",G1492="判定不能"),"判定不能",IF(AP1492&gt;=判定条件!$C$9,"利用可",IF(AND(Y1492="停止",G1492="停止"),"両方停止","運転がそろわない")))</f>
        <v>判定不能</v>
      </c>
      <c r="AR1492" s="30" t="n">
        <v>0</v>
      </c>
      <c r="AS1492" s="30" t="n">
        <v>0</v>
      </c>
      <c r="AT1492" s="30" t="str">
        <f aca="false">IF(OR(AB1492="判定不能",J1492="判定不能"),"判定不能",IF(AS1492&gt;=判定条件!$C$9,"利用可",IF(AND(AB1492="停止",J1492="停止"),"両方停止","運転がそろわない")))</f>
        <v>判定不能</v>
      </c>
      <c r="AU1492" s="30" t="n">
        <v>0</v>
      </c>
      <c r="AV1492" s="30" t="n">
        <v>0</v>
      </c>
      <c r="AW1492" s="30" t="str">
        <f aca="false">IF(OR(AE1492="判定不能",M1492="判定不能"),"判定不能",IF(AV1492&gt;=判定条件!$C$9,"利用可",IF(AND(AE1492="停止",M1492="停止"),"両方停止","運転がそろわない")))</f>
        <v>判定不能</v>
      </c>
      <c r="AX1492" s="30" t="str">
        <f aca="false">IF(AND(AH1492="利用可",AK1492="利用可",AN1492="利用可"),"利用可","不可")</f>
        <v>不可</v>
      </c>
      <c r="AY1492" s="30" t="str">
        <f aca="false">IF(AND(AQ1492="利用可",AT1492="利用可",AW1492="利用可"),"利用可","不可")</f>
        <v>不可</v>
      </c>
    </row>
    <row r="1493" customFormat="false" ht="15" hidden="false" customHeight="false" outlineLevel="0" collapsed="false">
      <c r="A1493" s="29" t="n">
        <v>46294</v>
      </c>
      <c r="B1493" s="30" t="n">
        <v>2</v>
      </c>
      <c r="C1493" s="31" t="s">
        <v>67</v>
      </c>
      <c r="D1493" s="31" t="s">
        <v>59</v>
      </c>
      <c r="E1493" s="30" t="n">
        <v>60</v>
      </c>
      <c r="F1493" s="30" t="n">
        <v>0</v>
      </c>
      <c r="G1493" s="30" t="str">
        <f aca="false">IF(E1493&lt;判定条件!$C$6,"判定不能",IF(F1493&gt;=判定条件!$C$7*E1493,"運転",IF(F1493&lt;=判定条件!$C$8*E1493,"停止","断続")))</f>
        <v>停止</v>
      </c>
      <c r="H1493" s="30" t="n">
        <v>60</v>
      </c>
      <c r="I1493" s="30" t="n">
        <v>0</v>
      </c>
      <c r="J1493" s="30" t="str">
        <f aca="false">IF(H1493&lt;判定条件!$C$6,"判定不能",IF(I1493&gt;=判定条件!$C$7*H1493,"運転",IF(I1493&lt;=判定条件!$C$8*H1493,"停止","断続")))</f>
        <v>停止</v>
      </c>
      <c r="K1493" s="30" t="n">
        <v>60</v>
      </c>
      <c r="L1493" s="30" t="n">
        <v>0</v>
      </c>
      <c r="M1493" s="30" t="str">
        <f aca="false">IF(K1493&lt;判定条件!$C$6,"判定不能",IF(L1493&gt;=判定条件!$C$7*K1493,"運転",IF(L1493&lt;=判定条件!$C$8*K1493,"停止","断続")))</f>
        <v>停止</v>
      </c>
      <c r="N1493" s="30" t="n">
        <v>60</v>
      </c>
      <c r="O1493" s="30" t="n">
        <v>0</v>
      </c>
      <c r="P1493" s="30" t="str">
        <f aca="false">IF(N1493&lt;判定条件!$C$6,"判定不能",IF(O1493&gt;=判定条件!$C$7*N1493,"運転",IF(O1493&lt;=判定条件!$C$8*N1493,"停止","断続")))</f>
        <v>停止</v>
      </c>
      <c r="Q1493" s="30" t="n">
        <v>60</v>
      </c>
      <c r="R1493" s="30" t="n">
        <v>0</v>
      </c>
      <c r="S1493" s="30" t="str">
        <f aca="false">IF(Q1493&lt;判定条件!$C$6,"判定不能",IF(R1493&gt;=判定条件!$C$7*Q1493,"運転",IF(R1493&lt;=判定条件!$C$8*Q1493,"停止","断続")))</f>
        <v>停止</v>
      </c>
      <c r="T1493" s="30" t="n">
        <v>60</v>
      </c>
      <c r="U1493" s="30" t="n">
        <v>0</v>
      </c>
      <c r="V1493" s="30" t="str">
        <f aca="false">IF(T1493&lt;判定条件!$C$6,"判定不能",IF(U1493&gt;=判定条件!$C$7*T1493,"運転",IF(U1493&lt;=判定条件!$C$8*T1493,"停止","断続")))</f>
        <v>停止</v>
      </c>
      <c r="W1493" s="30" t="n">
        <v>0</v>
      </c>
      <c r="X1493" s="30" t="n">
        <v>0</v>
      </c>
      <c r="Y1493" s="30" t="str">
        <f aca="false">IF(W1493&lt;判定条件!$C$6,"判定不能",IF(X1493&gt;=判定条件!$C$7*W1493,"運転",IF(X1493&lt;=判定条件!$C$8*W1493,"停止","断続")))</f>
        <v>判定不能</v>
      </c>
      <c r="Z1493" s="30" t="n">
        <v>0</v>
      </c>
      <c r="AA1493" s="30" t="n">
        <v>0</v>
      </c>
      <c r="AB1493" s="30" t="str">
        <f aca="false">IF(Z1493&lt;判定条件!$C$6,"判定不能",IF(AA1493&gt;=判定条件!$C$7*Z1493,"運転",IF(AA1493&lt;=判定条件!$C$8*Z1493,"停止","断続")))</f>
        <v>判定不能</v>
      </c>
      <c r="AC1493" s="30" t="n">
        <v>0</v>
      </c>
      <c r="AD1493" s="30" t="n">
        <v>0</v>
      </c>
      <c r="AE1493" s="30" t="str">
        <f aca="false">IF(AC1493&lt;判定条件!$C$6,"判定不能",IF(AD1493&gt;=判定条件!$C$7*AC1493,"運転",IF(AD1493&lt;=判定条件!$C$8*AC1493,"停止","断続")))</f>
        <v>判定不能</v>
      </c>
      <c r="AF1493" s="30" t="n">
        <v>60</v>
      </c>
      <c r="AG1493" s="30" t="n">
        <v>0</v>
      </c>
      <c r="AH1493" s="30" t="str">
        <f aca="false">IF(OR(P1493="判定不能",G1493="判定不能"),"判定不能",IF(AG1493&gt;=判定条件!$C$9,"利用可",IF(AND(P1493="停止",G1493="停止"),"両方停止","運転がそろわない")))</f>
        <v>両方停止</v>
      </c>
      <c r="AI1493" s="30" t="n">
        <v>60</v>
      </c>
      <c r="AJ1493" s="30" t="n">
        <v>0</v>
      </c>
      <c r="AK1493" s="30" t="str">
        <f aca="false">IF(OR(S1493="判定不能",J1493="判定不能"),"判定不能",IF(AJ1493&gt;=判定条件!$C$9,"利用可",IF(AND(S1493="停止",J1493="停止"),"両方停止","運転がそろわない")))</f>
        <v>両方停止</v>
      </c>
      <c r="AL1493" s="30" t="n">
        <v>60</v>
      </c>
      <c r="AM1493" s="30" t="n">
        <v>0</v>
      </c>
      <c r="AN1493" s="30" t="str">
        <f aca="false">IF(OR(V1493="判定不能",M1493="判定不能"),"判定不能",IF(AM1493&gt;=判定条件!$C$9,"利用可",IF(AND(V1493="停止",M1493="停止"),"両方停止","運転がそろわない")))</f>
        <v>両方停止</v>
      </c>
      <c r="AO1493" s="30" t="n">
        <v>0</v>
      </c>
      <c r="AP1493" s="30" t="n">
        <v>0</v>
      </c>
      <c r="AQ1493" s="30" t="str">
        <f aca="false">IF(OR(Y1493="判定不能",G1493="判定不能"),"判定不能",IF(AP1493&gt;=判定条件!$C$9,"利用可",IF(AND(Y1493="停止",G1493="停止"),"両方停止","運転がそろわない")))</f>
        <v>判定不能</v>
      </c>
      <c r="AR1493" s="30" t="n">
        <v>0</v>
      </c>
      <c r="AS1493" s="30" t="n">
        <v>0</v>
      </c>
      <c r="AT1493" s="30" t="str">
        <f aca="false">IF(OR(AB1493="判定不能",J1493="判定不能"),"判定不能",IF(AS1493&gt;=判定条件!$C$9,"利用可",IF(AND(AB1493="停止",J1493="停止"),"両方停止","運転がそろわない")))</f>
        <v>判定不能</v>
      </c>
      <c r="AU1493" s="30" t="n">
        <v>0</v>
      </c>
      <c r="AV1493" s="30" t="n">
        <v>0</v>
      </c>
      <c r="AW1493" s="30" t="str">
        <f aca="false">IF(OR(AE1493="判定不能",M1493="判定不能"),"判定不能",IF(AV1493&gt;=判定条件!$C$9,"利用可",IF(AND(AE1493="停止",M1493="停止"),"両方停止","運転がそろわない")))</f>
        <v>判定不能</v>
      </c>
      <c r="AX1493" s="30" t="str">
        <f aca="false">IF(AND(AH1493="利用可",AK1493="利用可",AN1493="利用可"),"利用可","不可")</f>
        <v>不可</v>
      </c>
      <c r="AY1493" s="30" t="str">
        <f aca="false">IF(AND(AQ1493="利用可",AT1493="利用可",AW1493="利用可"),"利用可","不可")</f>
        <v>不可</v>
      </c>
    </row>
    <row r="1494" customFormat="false" ht="15" hidden="false" customHeight="false" outlineLevel="0" collapsed="false">
      <c r="A1494" s="29" t="n">
        <v>46294</v>
      </c>
      <c r="B1494" s="30" t="n">
        <v>3</v>
      </c>
      <c r="C1494" s="31" t="s">
        <v>67</v>
      </c>
      <c r="D1494" s="31" t="s">
        <v>59</v>
      </c>
      <c r="E1494" s="30" t="n">
        <v>60</v>
      </c>
      <c r="F1494" s="30" t="n">
        <v>0</v>
      </c>
      <c r="G1494" s="30" t="str">
        <f aca="false">IF(E1494&lt;判定条件!$C$6,"判定不能",IF(F1494&gt;=判定条件!$C$7*E1494,"運転",IF(F1494&lt;=判定条件!$C$8*E1494,"停止","断続")))</f>
        <v>停止</v>
      </c>
      <c r="H1494" s="30" t="n">
        <v>60</v>
      </c>
      <c r="I1494" s="30" t="n">
        <v>0</v>
      </c>
      <c r="J1494" s="30" t="str">
        <f aca="false">IF(H1494&lt;判定条件!$C$6,"判定不能",IF(I1494&gt;=判定条件!$C$7*H1494,"運転",IF(I1494&lt;=判定条件!$C$8*H1494,"停止","断続")))</f>
        <v>停止</v>
      </c>
      <c r="K1494" s="30" t="n">
        <v>60</v>
      </c>
      <c r="L1494" s="30" t="n">
        <v>0</v>
      </c>
      <c r="M1494" s="30" t="str">
        <f aca="false">IF(K1494&lt;判定条件!$C$6,"判定不能",IF(L1494&gt;=判定条件!$C$7*K1494,"運転",IF(L1494&lt;=判定条件!$C$8*K1494,"停止","断続")))</f>
        <v>停止</v>
      </c>
      <c r="N1494" s="30" t="n">
        <v>60</v>
      </c>
      <c r="O1494" s="30" t="n">
        <v>0</v>
      </c>
      <c r="P1494" s="30" t="str">
        <f aca="false">IF(N1494&lt;判定条件!$C$6,"判定不能",IF(O1494&gt;=判定条件!$C$7*N1494,"運転",IF(O1494&lt;=判定条件!$C$8*N1494,"停止","断続")))</f>
        <v>停止</v>
      </c>
      <c r="Q1494" s="30" t="n">
        <v>60</v>
      </c>
      <c r="R1494" s="30" t="n">
        <v>0</v>
      </c>
      <c r="S1494" s="30" t="str">
        <f aca="false">IF(Q1494&lt;判定条件!$C$6,"判定不能",IF(R1494&gt;=判定条件!$C$7*Q1494,"運転",IF(R1494&lt;=判定条件!$C$8*Q1494,"停止","断続")))</f>
        <v>停止</v>
      </c>
      <c r="T1494" s="30" t="n">
        <v>60</v>
      </c>
      <c r="U1494" s="30" t="n">
        <v>0</v>
      </c>
      <c r="V1494" s="30" t="str">
        <f aca="false">IF(T1494&lt;判定条件!$C$6,"判定不能",IF(U1494&gt;=判定条件!$C$7*T1494,"運転",IF(U1494&lt;=判定条件!$C$8*T1494,"停止","断続")))</f>
        <v>停止</v>
      </c>
      <c r="W1494" s="30" t="n">
        <v>0</v>
      </c>
      <c r="X1494" s="30" t="n">
        <v>0</v>
      </c>
      <c r="Y1494" s="30" t="str">
        <f aca="false">IF(W1494&lt;判定条件!$C$6,"判定不能",IF(X1494&gt;=判定条件!$C$7*W1494,"運転",IF(X1494&lt;=判定条件!$C$8*W1494,"停止","断続")))</f>
        <v>判定不能</v>
      </c>
      <c r="Z1494" s="30" t="n">
        <v>0</v>
      </c>
      <c r="AA1494" s="30" t="n">
        <v>0</v>
      </c>
      <c r="AB1494" s="30" t="str">
        <f aca="false">IF(Z1494&lt;判定条件!$C$6,"判定不能",IF(AA1494&gt;=判定条件!$C$7*Z1494,"運転",IF(AA1494&lt;=判定条件!$C$8*Z1494,"停止","断続")))</f>
        <v>判定不能</v>
      </c>
      <c r="AC1494" s="30" t="n">
        <v>0</v>
      </c>
      <c r="AD1494" s="30" t="n">
        <v>0</v>
      </c>
      <c r="AE1494" s="30" t="str">
        <f aca="false">IF(AC1494&lt;判定条件!$C$6,"判定不能",IF(AD1494&gt;=判定条件!$C$7*AC1494,"運転",IF(AD1494&lt;=判定条件!$C$8*AC1494,"停止","断続")))</f>
        <v>判定不能</v>
      </c>
      <c r="AF1494" s="30" t="n">
        <v>60</v>
      </c>
      <c r="AG1494" s="30" t="n">
        <v>0</v>
      </c>
      <c r="AH1494" s="30" t="str">
        <f aca="false">IF(OR(P1494="判定不能",G1494="判定不能"),"判定不能",IF(AG1494&gt;=判定条件!$C$9,"利用可",IF(AND(P1494="停止",G1494="停止"),"両方停止","運転がそろわない")))</f>
        <v>両方停止</v>
      </c>
      <c r="AI1494" s="30" t="n">
        <v>60</v>
      </c>
      <c r="AJ1494" s="30" t="n">
        <v>0</v>
      </c>
      <c r="AK1494" s="30" t="str">
        <f aca="false">IF(OR(S1494="判定不能",J1494="判定不能"),"判定不能",IF(AJ1494&gt;=判定条件!$C$9,"利用可",IF(AND(S1494="停止",J1494="停止"),"両方停止","運転がそろわない")))</f>
        <v>両方停止</v>
      </c>
      <c r="AL1494" s="30" t="n">
        <v>60</v>
      </c>
      <c r="AM1494" s="30" t="n">
        <v>0</v>
      </c>
      <c r="AN1494" s="30" t="str">
        <f aca="false">IF(OR(V1494="判定不能",M1494="判定不能"),"判定不能",IF(AM1494&gt;=判定条件!$C$9,"利用可",IF(AND(V1494="停止",M1494="停止"),"両方停止","運転がそろわない")))</f>
        <v>両方停止</v>
      </c>
      <c r="AO1494" s="30" t="n">
        <v>0</v>
      </c>
      <c r="AP1494" s="30" t="n">
        <v>0</v>
      </c>
      <c r="AQ1494" s="30" t="str">
        <f aca="false">IF(OR(Y1494="判定不能",G1494="判定不能"),"判定不能",IF(AP1494&gt;=判定条件!$C$9,"利用可",IF(AND(Y1494="停止",G1494="停止"),"両方停止","運転がそろわない")))</f>
        <v>判定不能</v>
      </c>
      <c r="AR1494" s="30" t="n">
        <v>0</v>
      </c>
      <c r="AS1494" s="30" t="n">
        <v>0</v>
      </c>
      <c r="AT1494" s="30" t="str">
        <f aca="false">IF(OR(AB1494="判定不能",J1494="判定不能"),"判定不能",IF(AS1494&gt;=判定条件!$C$9,"利用可",IF(AND(AB1494="停止",J1494="停止"),"両方停止","運転がそろわない")))</f>
        <v>判定不能</v>
      </c>
      <c r="AU1494" s="30" t="n">
        <v>0</v>
      </c>
      <c r="AV1494" s="30" t="n">
        <v>0</v>
      </c>
      <c r="AW1494" s="30" t="str">
        <f aca="false">IF(OR(AE1494="判定不能",M1494="判定不能"),"判定不能",IF(AV1494&gt;=判定条件!$C$9,"利用可",IF(AND(AE1494="停止",M1494="停止"),"両方停止","運転がそろわない")))</f>
        <v>判定不能</v>
      </c>
      <c r="AX1494" s="30" t="str">
        <f aca="false">IF(AND(AH1494="利用可",AK1494="利用可",AN1494="利用可"),"利用可","不可")</f>
        <v>不可</v>
      </c>
      <c r="AY1494" s="30" t="str">
        <f aca="false">IF(AND(AQ1494="利用可",AT1494="利用可",AW1494="利用可"),"利用可","不可")</f>
        <v>不可</v>
      </c>
    </row>
    <row r="1495" customFormat="false" ht="15" hidden="false" customHeight="false" outlineLevel="0" collapsed="false">
      <c r="A1495" s="29" t="n">
        <v>46294</v>
      </c>
      <c r="B1495" s="30" t="n">
        <v>4</v>
      </c>
      <c r="C1495" s="31" t="s">
        <v>67</v>
      </c>
      <c r="D1495" s="31" t="s">
        <v>59</v>
      </c>
      <c r="E1495" s="30" t="n">
        <v>60</v>
      </c>
      <c r="F1495" s="30" t="n">
        <v>0</v>
      </c>
      <c r="G1495" s="30" t="str">
        <f aca="false">IF(E1495&lt;判定条件!$C$6,"判定不能",IF(F1495&gt;=判定条件!$C$7*E1495,"運転",IF(F1495&lt;=判定条件!$C$8*E1495,"停止","断続")))</f>
        <v>停止</v>
      </c>
      <c r="H1495" s="30" t="n">
        <v>60</v>
      </c>
      <c r="I1495" s="30" t="n">
        <v>0</v>
      </c>
      <c r="J1495" s="30" t="str">
        <f aca="false">IF(H1495&lt;判定条件!$C$6,"判定不能",IF(I1495&gt;=判定条件!$C$7*H1495,"運転",IF(I1495&lt;=判定条件!$C$8*H1495,"停止","断続")))</f>
        <v>停止</v>
      </c>
      <c r="K1495" s="30" t="n">
        <v>60</v>
      </c>
      <c r="L1495" s="30" t="n">
        <v>0</v>
      </c>
      <c r="M1495" s="30" t="str">
        <f aca="false">IF(K1495&lt;判定条件!$C$6,"判定不能",IF(L1495&gt;=判定条件!$C$7*K1495,"運転",IF(L1495&lt;=判定条件!$C$8*K1495,"停止","断続")))</f>
        <v>停止</v>
      </c>
      <c r="N1495" s="30" t="n">
        <v>60</v>
      </c>
      <c r="O1495" s="30" t="n">
        <v>0</v>
      </c>
      <c r="P1495" s="30" t="str">
        <f aca="false">IF(N1495&lt;判定条件!$C$6,"判定不能",IF(O1495&gt;=判定条件!$C$7*N1495,"運転",IF(O1495&lt;=判定条件!$C$8*N1495,"停止","断続")))</f>
        <v>停止</v>
      </c>
      <c r="Q1495" s="30" t="n">
        <v>60</v>
      </c>
      <c r="R1495" s="30" t="n">
        <v>0</v>
      </c>
      <c r="S1495" s="30" t="str">
        <f aca="false">IF(Q1495&lt;判定条件!$C$6,"判定不能",IF(R1495&gt;=判定条件!$C$7*Q1495,"運転",IF(R1495&lt;=判定条件!$C$8*Q1495,"停止","断続")))</f>
        <v>停止</v>
      </c>
      <c r="T1495" s="30" t="n">
        <v>60</v>
      </c>
      <c r="U1495" s="30" t="n">
        <v>0</v>
      </c>
      <c r="V1495" s="30" t="str">
        <f aca="false">IF(T1495&lt;判定条件!$C$6,"判定不能",IF(U1495&gt;=判定条件!$C$7*T1495,"運転",IF(U1495&lt;=判定条件!$C$8*T1495,"停止","断続")))</f>
        <v>停止</v>
      </c>
      <c r="W1495" s="30" t="n">
        <v>0</v>
      </c>
      <c r="X1495" s="30" t="n">
        <v>0</v>
      </c>
      <c r="Y1495" s="30" t="str">
        <f aca="false">IF(W1495&lt;判定条件!$C$6,"判定不能",IF(X1495&gt;=判定条件!$C$7*W1495,"運転",IF(X1495&lt;=判定条件!$C$8*W1495,"停止","断続")))</f>
        <v>判定不能</v>
      </c>
      <c r="Z1495" s="30" t="n">
        <v>0</v>
      </c>
      <c r="AA1495" s="30" t="n">
        <v>0</v>
      </c>
      <c r="AB1495" s="30" t="str">
        <f aca="false">IF(Z1495&lt;判定条件!$C$6,"判定不能",IF(AA1495&gt;=判定条件!$C$7*Z1495,"運転",IF(AA1495&lt;=判定条件!$C$8*Z1495,"停止","断続")))</f>
        <v>判定不能</v>
      </c>
      <c r="AC1495" s="30" t="n">
        <v>0</v>
      </c>
      <c r="AD1495" s="30" t="n">
        <v>0</v>
      </c>
      <c r="AE1495" s="30" t="str">
        <f aca="false">IF(AC1495&lt;判定条件!$C$6,"判定不能",IF(AD1495&gt;=判定条件!$C$7*AC1495,"運転",IF(AD1495&lt;=判定条件!$C$8*AC1495,"停止","断続")))</f>
        <v>判定不能</v>
      </c>
      <c r="AF1495" s="30" t="n">
        <v>60</v>
      </c>
      <c r="AG1495" s="30" t="n">
        <v>0</v>
      </c>
      <c r="AH1495" s="30" t="str">
        <f aca="false">IF(OR(P1495="判定不能",G1495="判定不能"),"判定不能",IF(AG1495&gt;=判定条件!$C$9,"利用可",IF(AND(P1495="停止",G1495="停止"),"両方停止","運転がそろわない")))</f>
        <v>両方停止</v>
      </c>
      <c r="AI1495" s="30" t="n">
        <v>60</v>
      </c>
      <c r="AJ1495" s="30" t="n">
        <v>0</v>
      </c>
      <c r="AK1495" s="30" t="str">
        <f aca="false">IF(OR(S1495="判定不能",J1495="判定不能"),"判定不能",IF(AJ1495&gt;=判定条件!$C$9,"利用可",IF(AND(S1495="停止",J1495="停止"),"両方停止","運転がそろわない")))</f>
        <v>両方停止</v>
      </c>
      <c r="AL1495" s="30" t="n">
        <v>60</v>
      </c>
      <c r="AM1495" s="30" t="n">
        <v>0</v>
      </c>
      <c r="AN1495" s="30" t="str">
        <f aca="false">IF(OR(V1495="判定不能",M1495="判定不能"),"判定不能",IF(AM1495&gt;=判定条件!$C$9,"利用可",IF(AND(V1495="停止",M1495="停止"),"両方停止","運転がそろわない")))</f>
        <v>両方停止</v>
      </c>
      <c r="AO1495" s="30" t="n">
        <v>0</v>
      </c>
      <c r="AP1495" s="30" t="n">
        <v>0</v>
      </c>
      <c r="AQ1495" s="30" t="str">
        <f aca="false">IF(OR(Y1495="判定不能",G1495="判定不能"),"判定不能",IF(AP1495&gt;=判定条件!$C$9,"利用可",IF(AND(Y1495="停止",G1495="停止"),"両方停止","運転がそろわない")))</f>
        <v>判定不能</v>
      </c>
      <c r="AR1495" s="30" t="n">
        <v>0</v>
      </c>
      <c r="AS1495" s="30" t="n">
        <v>0</v>
      </c>
      <c r="AT1495" s="30" t="str">
        <f aca="false">IF(OR(AB1495="判定不能",J1495="判定不能"),"判定不能",IF(AS1495&gt;=判定条件!$C$9,"利用可",IF(AND(AB1495="停止",J1495="停止"),"両方停止","運転がそろわない")))</f>
        <v>判定不能</v>
      </c>
      <c r="AU1495" s="30" t="n">
        <v>0</v>
      </c>
      <c r="AV1495" s="30" t="n">
        <v>0</v>
      </c>
      <c r="AW1495" s="30" t="str">
        <f aca="false">IF(OR(AE1495="判定不能",M1495="判定不能"),"判定不能",IF(AV1495&gt;=判定条件!$C$9,"利用可",IF(AND(AE1495="停止",M1495="停止"),"両方停止","運転がそろわない")))</f>
        <v>判定不能</v>
      </c>
      <c r="AX1495" s="30" t="str">
        <f aca="false">IF(AND(AH1495="利用可",AK1495="利用可",AN1495="利用可"),"利用可","不可")</f>
        <v>不可</v>
      </c>
      <c r="AY1495" s="30" t="str">
        <f aca="false">IF(AND(AQ1495="利用可",AT1495="利用可",AW1495="利用可"),"利用可","不可")</f>
        <v>不可</v>
      </c>
    </row>
    <row r="1496" customFormat="false" ht="15" hidden="false" customHeight="false" outlineLevel="0" collapsed="false">
      <c r="A1496" s="29" t="n">
        <v>46294</v>
      </c>
      <c r="B1496" s="30" t="n">
        <v>5</v>
      </c>
      <c r="C1496" s="31" t="s">
        <v>67</v>
      </c>
      <c r="D1496" s="31" t="s">
        <v>59</v>
      </c>
      <c r="E1496" s="30" t="n">
        <v>60</v>
      </c>
      <c r="F1496" s="30" t="n">
        <v>0</v>
      </c>
      <c r="G1496" s="30" t="str">
        <f aca="false">IF(E1496&lt;判定条件!$C$6,"判定不能",IF(F1496&gt;=判定条件!$C$7*E1496,"運転",IF(F1496&lt;=判定条件!$C$8*E1496,"停止","断続")))</f>
        <v>停止</v>
      </c>
      <c r="H1496" s="30" t="n">
        <v>60</v>
      </c>
      <c r="I1496" s="30" t="n">
        <v>0</v>
      </c>
      <c r="J1496" s="30" t="str">
        <f aca="false">IF(H1496&lt;判定条件!$C$6,"判定不能",IF(I1496&gt;=判定条件!$C$7*H1496,"運転",IF(I1496&lt;=判定条件!$C$8*H1496,"停止","断続")))</f>
        <v>停止</v>
      </c>
      <c r="K1496" s="30" t="n">
        <v>60</v>
      </c>
      <c r="L1496" s="30" t="n">
        <v>0</v>
      </c>
      <c r="M1496" s="30" t="str">
        <f aca="false">IF(K1496&lt;判定条件!$C$6,"判定不能",IF(L1496&gt;=判定条件!$C$7*K1496,"運転",IF(L1496&lt;=判定条件!$C$8*K1496,"停止","断続")))</f>
        <v>停止</v>
      </c>
      <c r="N1496" s="30" t="n">
        <v>60</v>
      </c>
      <c r="O1496" s="30" t="n">
        <v>0</v>
      </c>
      <c r="P1496" s="30" t="str">
        <f aca="false">IF(N1496&lt;判定条件!$C$6,"判定不能",IF(O1496&gt;=判定条件!$C$7*N1496,"運転",IF(O1496&lt;=判定条件!$C$8*N1496,"停止","断続")))</f>
        <v>停止</v>
      </c>
      <c r="Q1496" s="30" t="n">
        <v>60</v>
      </c>
      <c r="R1496" s="30" t="n">
        <v>0</v>
      </c>
      <c r="S1496" s="30" t="str">
        <f aca="false">IF(Q1496&lt;判定条件!$C$6,"判定不能",IF(R1496&gt;=判定条件!$C$7*Q1496,"運転",IF(R1496&lt;=判定条件!$C$8*Q1496,"停止","断続")))</f>
        <v>停止</v>
      </c>
      <c r="T1496" s="30" t="n">
        <v>60</v>
      </c>
      <c r="U1496" s="30" t="n">
        <v>0</v>
      </c>
      <c r="V1496" s="30" t="str">
        <f aca="false">IF(T1496&lt;判定条件!$C$6,"判定不能",IF(U1496&gt;=判定条件!$C$7*T1496,"運転",IF(U1496&lt;=判定条件!$C$8*T1496,"停止","断続")))</f>
        <v>停止</v>
      </c>
      <c r="W1496" s="30" t="n">
        <v>0</v>
      </c>
      <c r="X1496" s="30" t="n">
        <v>0</v>
      </c>
      <c r="Y1496" s="30" t="str">
        <f aca="false">IF(W1496&lt;判定条件!$C$6,"判定不能",IF(X1496&gt;=判定条件!$C$7*W1496,"運転",IF(X1496&lt;=判定条件!$C$8*W1496,"停止","断続")))</f>
        <v>判定不能</v>
      </c>
      <c r="Z1496" s="30" t="n">
        <v>0</v>
      </c>
      <c r="AA1496" s="30" t="n">
        <v>0</v>
      </c>
      <c r="AB1496" s="30" t="str">
        <f aca="false">IF(Z1496&lt;判定条件!$C$6,"判定不能",IF(AA1496&gt;=判定条件!$C$7*Z1496,"運転",IF(AA1496&lt;=判定条件!$C$8*Z1496,"停止","断続")))</f>
        <v>判定不能</v>
      </c>
      <c r="AC1496" s="30" t="n">
        <v>0</v>
      </c>
      <c r="AD1496" s="30" t="n">
        <v>0</v>
      </c>
      <c r="AE1496" s="30" t="str">
        <f aca="false">IF(AC1496&lt;判定条件!$C$6,"判定不能",IF(AD1496&gt;=判定条件!$C$7*AC1496,"運転",IF(AD1496&lt;=判定条件!$C$8*AC1496,"停止","断続")))</f>
        <v>判定不能</v>
      </c>
      <c r="AF1496" s="30" t="n">
        <v>60</v>
      </c>
      <c r="AG1496" s="30" t="n">
        <v>0</v>
      </c>
      <c r="AH1496" s="30" t="str">
        <f aca="false">IF(OR(P1496="判定不能",G1496="判定不能"),"判定不能",IF(AG1496&gt;=判定条件!$C$9,"利用可",IF(AND(P1496="停止",G1496="停止"),"両方停止","運転がそろわない")))</f>
        <v>両方停止</v>
      </c>
      <c r="AI1496" s="30" t="n">
        <v>60</v>
      </c>
      <c r="AJ1496" s="30" t="n">
        <v>0</v>
      </c>
      <c r="AK1496" s="30" t="str">
        <f aca="false">IF(OR(S1496="判定不能",J1496="判定不能"),"判定不能",IF(AJ1496&gt;=判定条件!$C$9,"利用可",IF(AND(S1496="停止",J1496="停止"),"両方停止","運転がそろわない")))</f>
        <v>両方停止</v>
      </c>
      <c r="AL1496" s="30" t="n">
        <v>60</v>
      </c>
      <c r="AM1496" s="30" t="n">
        <v>0</v>
      </c>
      <c r="AN1496" s="30" t="str">
        <f aca="false">IF(OR(V1496="判定不能",M1496="判定不能"),"判定不能",IF(AM1496&gt;=判定条件!$C$9,"利用可",IF(AND(V1496="停止",M1496="停止"),"両方停止","運転がそろわない")))</f>
        <v>両方停止</v>
      </c>
      <c r="AO1496" s="30" t="n">
        <v>0</v>
      </c>
      <c r="AP1496" s="30" t="n">
        <v>0</v>
      </c>
      <c r="AQ1496" s="30" t="str">
        <f aca="false">IF(OR(Y1496="判定不能",G1496="判定不能"),"判定不能",IF(AP1496&gt;=判定条件!$C$9,"利用可",IF(AND(Y1496="停止",G1496="停止"),"両方停止","運転がそろわない")))</f>
        <v>判定不能</v>
      </c>
      <c r="AR1496" s="30" t="n">
        <v>0</v>
      </c>
      <c r="AS1496" s="30" t="n">
        <v>0</v>
      </c>
      <c r="AT1496" s="30" t="str">
        <f aca="false">IF(OR(AB1496="判定不能",J1496="判定不能"),"判定不能",IF(AS1496&gt;=判定条件!$C$9,"利用可",IF(AND(AB1496="停止",J1496="停止"),"両方停止","運転がそろわない")))</f>
        <v>判定不能</v>
      </c>
      <c r="AU1496" s="30" t="n">
        <v>0</v>
      </c>
      <c r="AV1496" s="30" t="n">
        <v>0</v>
      </c>
      <c r="AW1496" s="30" t="str">
        <f aca="false">IF(OR(AE1496="判定不能",M1496="判定不能"),"判定不能",IF(AV1496&gt;=判定条件!$C$9,"利用可",IF(AND(AE1496="停止",M1496="停止"),"両方停止","運転がそろわない")))</f>
        <v>判定不能</v>
      </c>
      <c r="AX1496" s="30" t="str">
        <f aca="false">IF(AND(AH1496="利用可",AK1496="利用可",AN1496="利用可"),"利用可","不可")</f>
        <v>不可</v>
      </c>
      <c r="AY1496" s="30" t="str">
        <f aca="false">IF(AND(AQ1496="利用可",AT1496="利用可",AW1496="利用可"),"利用可","不可")</f>
        <v>不可</v>
      </c>
    </row>
    <row r="1497" customFormat="false" ht="15" hidden="false" customHeight="false" outlineLevel="0" collapsed="false">
      <c r="A1497" s="29" t="n">
        <v>46294</v>
      </c>
      <c r="B1497" s="30" t="n">
        <v>6</v>
      </c>
      <c r="C1497" s="31" t="s">
        <v>67</v>
      </c>
      <c r="D1497" s="31" t="s">
        <v>59</v>
      </c>
      <c r="E1497" s="30" t="n">
        <v>60</v>
      </c>
      <c r="F1497" s="30" t="n">
        <v>0</v>
      </c>
      <c r="G1497" s="30" t="str">
        <f aca="false">IF(E1497&lt;判定条件!$C$6,"判定不能",IF(F1497&gt;=判定条件!$C$7*E1497,"運転",IF(F1497&lt;=判定条件!$C$8*E1497,"停止","断続")))</f>
        <v>停止</v>
      </c>
      <c r="H1497" s="30" t="n">
        <v>60</v>
      </c>
      <c r="I1497" s="30" t="n">
        <v>0</v>
      </c>
      <c r="J1497" s="30" t="str">
        <f aca="false">IF(H1497&lt;判定条件!$C$6,"判定不能",IF(I1497&gt;=判定条件!$C$7*H1497,"運転",IF(I1497&lt;=判定条件!$C$8*H1497,"停止","断続")))</f>
        <v>停止</v>
      </c>
      <c r="K1497" s="30" t="n">
        <v>60</v>
      </c>
      <c r="L1497" s="30" t="n">
        <v>0</v>
      </c>
      <c r="M1497" s="30" t="str">
        <f aca="false">IF(K1497&lt;判定条件!$C$6,"判定不能",IF(L1497&gt;=判定条件!$C$7*K1497,"運転",IF(L1497&lt;=判定条件!$C$8*K1497,"停止","断続")))</f>
        <v>停止</v>
      </c>
      <c r="N1497" s="30" t="n">
        <v>60</v>
      </c>
      <c r="O1497" s="30" t="n">
        <v>0</v>
      </c>
      <c r="P1497" s="30" t="str">
        <f aca="false">IF(N1497&lt;判定条件!$C$6,"判定不能",IF(O1497&gt;=判定条件!$C$7*N1497,"運転",IF(O1497&lt;=判定条件!$C$8*N1497,"停止","断続")))</f>
        <v>停止</v>
      </c>
      <c r="Q1497" s="30" t="n">
        <v>60</v>
      </c>
      <c r="R1497" s="30" t="n">
        <v>2</v>
      </c>
      <c r="S1497" s="30" t="str">
        <f aca="false">IF(Q1497&lt;判定条件!$C$6,"判定不能",IF(R1497&gt;=判定条件!$C$7*Q1497,"運転",IF(R1497&lt;=判定条件!$C$8*Q1497,"停止","断続")))</f>
        <v>停止</v>
      </c>
      <c r="T1497" s="30" t="n">
        <v>60</v>
      </c>
      <c r="U1497" s="30" t="n">
        <v>0</v>
      </c>
      <c r="V1497" s="30" t="str">
        <f aca="false">IF(T1497&lt;判定条件!$C$6,"判定不能",IF(U1497&gt;=判定条件!$C$7*T1497,"運転",IF(U1497&lt;=判定条件!$C$8*T1497,"停止","断続")))</f>
        <v>停止</v>
      </c>
      <c r="W1497" s="30" t="n">
        <v>0</v>
      </c>
      <c r="X1497" s="30" t="n">
        <v>0</v>
      </c>
      <c r="Y1497" s="30" t="str">
        <f aca="false">IF(W1497&lt;判定条件!$C$6,"判定不能",IF(X1497&gt;=判定条件!$C$7*W1497,"運転",IF(X1497&lt;=判定条件!$C$8*W1497,"停止","断続")))</f>
        <v>判定不能</v>
      </c>
      <c r="Z1497" s="30" t="n">
        <v>0</v>
      </c>
      <c r="AA1497" s="30" t="n">
        <v>0</v>
      </c>
      <c r="AB1497" s="30" t="str">
        <f aca="false">IF(Z1497&lt;判定条件!$C$6,"判定不能",IF(AA1497&gt;=判定条件!$C$7*Z1497,"運転",IF(AA1497&lt;=判定条件!$C$8*Z1497,"停止","断続")))</f>
        <v>判定不能</v>
      </c>
      <c r="AC1497" s="30" t="n">
        <v>0</v>
      </c>
      <c r="AD1497" s="30" t="n">
        <v>0</v>
      </c>
      <c r="AE1497" s="30" t="str">
        <f aca="false">IF(AC1497&lt;判定条件!$C$6,"判定不能",IF(AD1497&gt;=判定条件!$C$7*AC1497,"運転",IF(AD1497&lt;=判定条件!$C$8*AC1497,"停止","断続")))</f>
        <v>判定不能</v>
      </c>
      <c r="AF1497" s="30" t="n">
        <v>60</v>
      </c>
      <c r="AG1497" s="30" t="n">
        <v>0</v>
      </c>
      <c r="AH1497" s="30" t="str">
        <f aca="false">IF(OR(P1497="判定不能",G1497="判定不能"),"判定不能",IF(AG1497&gt;=判定条件!$C$9,"利用可",IF(AND(P1497="停止",G1497="停止"),"両方停止","運転がそろわない")))</f>
        <v>両方停止</v>
      </c>
      <c r="AI1497" s="30" t="n">
        <v>60</v>
      </c>
      <c r="AJ1497" s="30" t="n">
        <v>0</v>
      </c>
      <c r="AK1497" s="30" t="str">
        <f aca="false">IF(OR(S1497="判定不能",J1497="判定不能"),"判定不能",IF(AJ1497&gt;=判定条件!$C$9,"利用可",IF(AND(S1497="停止",J1497="停止"),"両方停止","運転がそろわない")))</f>
        <v>両方停止</v>
      </c>
      <c r="AL1497" s="30" t="n">
        <v>60</v>
      </c>
      <c r="AM1497" s="30" t="n">
        <v>0</v>
      </c>
      <c r="AN1497" s="30" t="str">
        <f aca="false">IF(OR(V1497="判定不能",M1497="判定不能"),"判定不能",IF(AM1497&gt;=判定条件!$C$9,"利用可",IF(AND(V1497="停止",M1497="停止"),"両方停止","運転がそろわない")))</f>
        <v>両方停止</v>
      </c>
      <c r="AO1497" s="30" t="n">
        <v>0</v>
      </c>
      <c r="AP1497" s="30" t="n">
        <v>0</v>
      </c>
      <c r="AQ1497" s="30" t="str">
        <f aca="false">IF(OR(Y1497="判定不能",G1497="判定不能"),"判定不能",IF(AP1497&gt;=判定条件!$C$9,"利用可",IF(AND(Y1497="停止",G1497="停止"),"両方停止","運転がそろわない")))</f>
        <v>判定不能</v>
      </c>
      <c r="AR1497" s="30" t="n">
        <v>0</v>
      </c>
      <c r="AS1497" s="30" t="n">
        <v>0</v>
      </c>
      <c r="AT1497" s="30" t="str">
        <f aca="false">IF(OR(AB1497="判定不能",J1497="判定不能"),"判定不能",IF(AS1497&gt;=判定条件!$C$9,"利用可",IF(AND(AB1497="停止",J1497="停止"),"両方停止","運転がそろわない")))</f>
        <v>判定不能</v>
      </c>
      <c r="AU1497" s="30" t="n">
        <v>0</v>
      </c>
      <c r="AV1497" s="30" t="n">
        <v>0</v>
      </c>
      <c r="AW1497" s="30" t="str">
        <f aca="false">IF(OR(AE1497="判定不能",M1497="判定不能"),"判定不能",IF(AV1497&gt;=判定条件!$C$9,"利用可",IF(AND(AE1497="停止",M1497="停止"),"両方停止","運転がそろわない")))</f>
        <v>判定不能</v>
      </c>
      <c r="AX1497" s="30" t="str">
        <f aca="false">IF(AND(AH1497="利用可",AK1497="利用可",AN1497="利用可"),"利用可","不可")</f>
        <v>不可</v>
      </c>
      <c r="AY1497" s="30" t="str">
        <f aca="false">IF(AND(AQ1497="利用可",AT1497="利用可",AW1497="利用可"),"利用可","不可")</f>
        <v>不可</v>
      </c>
    </row>
    <row r="1498" customFormat="false" ht="15" hidden="false" customHeight="false" outlineLevel="0" collapsed="false">
      <c r="A1498" s="29" t="n">
        <v>46294</v>
      </c>
      <c r="B1498" s="30" t="n">
        <v>7</v>
      </c>
      <c r="C1498" s="31" t="s">
        <v>67</v>
      </c>
      <c r="D1498" s="31" t="s">
        <v>59</v>
      </c>
      <c r="E1498" s="30" t="n">
        <v>60</v>
      </c>
      <c r="F1498" s="30" t="n">
        <v>0</v>
      </c>
      <c r="G1498" s="30" t="str">
        <f aca="false">IF(E1498&lt;判定条件!$C$6,"判定不能",IF(F1498&gt;=判定条件!$C$7*E1498,"運転",IF(F1498&lt;=判定条件!$C$8*E1498,"停止","断続")))</f>
        <v>停止</v>
      </c>
      <c r="H1498" s="30" t="n">
        <v>60</v>
      </c>
      <c r="I1498" s="30" t="n">
        <v>0</v>
      </c>
      <c r="J1498" s="30" t="str">
        <f aca="false">IF(H1498&lt;判定条件!$C$6,"判定不能",IF(I1498&gt;=判定条件!$C$7*H1498,"運転",IF(I1498&lt;=判定条件!$C$8*H1498,"停止","断続")))</f>
        <v>停止</v>
      </c>
      <c r="K1498" s="30" t="n">
        <v>60</v>
      </c>
      <c r="L1498" s="30" t="n">
        <v>0</v>
      </c>
      <c r="M1498" s="30" t="str">
        <f aca="false">IF(K1498&lt;判定条件!$C$6,"判定不能",IF(L1498&gt;=判定条件!$C$7*K1498,"運転",IF(L1498&lt;=判定条件!$C$8*K1498,"停止","断続")))</f>
        <v>停止</v>
      </c>
      <c r="N1498" s="30" t="n">
        <v>60</v>
      </c>
      <c r="O1498" s="30" t="n">
        <v>0</v>
      </c>
      <c r="P1498" s="30" t="str">
        <f aca="false">IF(N1498&lt;判定条件!$C$6,"判定不能",IF(O1498&gt;=判定条件!$C$7*N1498,"運転",IF(O1498&lt;=判定条件!$C$8*N1498,"停止","断続")))</f>
        <v>停止</v>
      </c>
      <c r="Q1498" s="30" t="n">
        <v>60</v>
      </c>
      <c r="R1498" s="30" t="n">
        <v>40</v>
      </c>
      <c r="S1498" s="30" t="str">
        <f aca="false">IF(Q1498&lt;判定条件!$C$6,"判定不能",IF(R1498&gt;=判定条件!$C$7*Q1498,"運転",IF(R1498&lt;=判定条件!$C$8*Q1498,"停止","断続")))</f>
        <v>断続</v>
      </c>
      <c r="T1498" s="30" t="n">
        <v>60</v>
      </c>
      <c r="U1498" s="30" t="n">
        <v>0</v>
      </c>
      <c r="V1498" s="30" t="str">
        <f aca="false">IF(T1498&lt;判定条件!$C$6,"判定不能",IF(U1498&gt;=判定条件!$C$7*T1498,"運転",IF(U1498&lt;=判定条件!$C$8*T1498,"停止","断続")))</f>
        <v>停止</v>
      </c>
      <c r="W1498" s="30" t="n">
        <v>0</v>
      </c>
      <c r="X1498" s="30" t="n">
        <v>0</v>
      </c>
      <c r="Y1498" s="30" t="str">
        <f aca="false">IF(W1498&lt;判定条件!$C$6,"判定不能",IF(X1498&gt;=判定条件!$C$7*W1498,"運転",IF(X1498&lt;=判定条件!$C$8*W1498,"停止","断続")))</f>
        <v>判定不能</v>
      </c>
      <c r="Z1498" s="30" t="n">
        <v>0</v>
      </c>
      <c r="AA1498" s="30" t="n">
        <v>0</v>
      </c>
      <c r="AB1498" s="30" t="str">
        <f aca="false">IF(Z1498&lt;判定条件!$C$6,"判定不能",IF(AA1498&gt;=判定条件!$C$7*Z1498,"運転",IF(AA1498&lt;=判定条件!$C$8*Z1498,"停止","断続")))</f>
        <v>判定不能</v>
      </c>
      <c r="AC1498" s="30" t="n">
        <v>0</v>
      </c>
      <c r="AD1498" s="30" t="n">
        <v>0</v>
      </c>
      <c r="AE1498" s="30" t="str">
        <f aca="false">IF(AC1498&lt;判定条件!$C$6,"判定不能",IF(AD1498&gt;=判定条件!$C$7*AC1498,"運転",IF(AD1498&lt;=判定条件!$C$8*AC1498,"停止","断続")))</f>
        <v>判定不能</v>
      </c>
      <c r="AF1498" s="30" t="n">
        <v>60</v>
      </c>
      <c r="AG1498" s="30" t="n">
        <v>0</v>
      </c>
      <c r="AH1498" s="30" t="str">
        <f aca="false">IF(OR(P1498="判定不能",G1498="判定不能"),"判定不能",IF(AG1498&gt;=判定条件!$C$9,"利用可",IF(AND(P1498="停止",G1498="停止"),"両方停止","運転がそろわない")))</f>
        <v>両方停止</v>
      </c>
      <c r="AI1498" s="30" t="n">
        <v>60</v>
      </c>
      <c r="AJ1498" s="30" t="n">
        <v>0</v>
      </c>
      <c r="AK1498" s="30" t="str">
        <f aca="false">IF(OR(S1498="判定不能",J1498="判定不能"),"判定不能",IF(AJ1498&gt;=判定条件!$C$9,"利用可",IF(AND(S1498="停止",J1498="停止"),"両方停止","運転がそろわない")))</f>
        <v>運転がそろわない</v>
      </c>
      <c r="AL1498" s="30" t="n">
        <v>60</v>
      </c>
      <c r="AM1498" s="30" t="n">
        <v>0</v>
      </c>
      <c r="AN1498" s="30" t="str">
        <f aca="false">IF(OR(V1498="判定不能",M1498="判定不能"),"判定不能",IF(AM1498&gt;=判定条件!$C$9,"利用可",IF(AND(V1498="停止",M1498="停止"),"両方停止","運転がそろわない")))</f>
        <v>両方停止</v>
      </c>
      <c r="AO1498" s="30" t="n">
        <v>0</v>
      </c>
      <c r="AP1498" s="30" t="n">
        <v>0</v>
      </c>
      <c r="AQ1498" s="30" t="str">
        <f aca="false">IF(OR(Y1498="判定不能",G1498="判定不能"),"判定不能",IF(AP1498&gt;=判定条件!$C$9,"利用可",IF(AND(Y1498="停止",G1498="停止"),"両方停止","運転がそろわない")))</f>
        <v>判定不能</v>
      </c>
      <c r="AR1498" s="30" t="n">
        <v>0</v>
      </c>
      <c r="AS1498" s="30" t="n">
        <v>0</v>
      </c>
      <c r="AT1498" s="30" t="str">
        <f aca="false">IF(OR(AB1498="判定不能",J1498="判定不能"),"判定不能",IF(AS1498&gt;=判定条件!$C$9,"利用可",IF(AND(AB1498="停止",J1498="停止"),"両方停止","運転がそろわない")))</f>
        <v>判定不能</v>
      </c>
      <c r="AU1498" s="30" t="n">
        <v>0</v>
      </c>
      <c r="AV1498" s="30" t="n">
        <v>0</v>
      </c>
      <c r="AW1498" s="30" t="str">
        <f aca="false">IF(OR(AE1498="判定不能",M1498="判定不能"),"判定不能",IF(AV1498&gt;=判定条件!$C$9,"利用可",IF(AND(AE1498="停止",M1498="停止"),"両方停止","運転がそろわない")))</f>
        <v>判定不能</v>
      </c>
      <c r="AX1498" s="30" t="str">
        <f aca="false">IF(AND(AH1498="利用可",AK1498="利用可",AN1498="利用可"),"利用可","不可")</f>
        <v>不可</v>
      </c>
      <c r="AY1498" s="30" t="str">
        <f aca="false">IF(AND(AQ1498="利用可",AT1498="利用可",AW1498="利用可"),"利用可","不可")</f>
        <v>不可</v>
      </c>
    </row>
    <row r="1499" customFormat="false" ht="15" hidden="false" customHeight="false" outlineLevel="0" collapsed="false">
      <c r="A1499" s="29" t="n">
        <v>46294</v>
      </c>
      <c r="B1499" s="30" t="n">
        <v>8</v>
      </c>
      <c r="C1499" s="31" t="s">
        <v>67</v>
      </c>
      <c r="D1499" s="31" t="s">
        <v>59</v>
      </c>
      <c r="E1499" s="30" t="n">
        <v>60</v>
      </c>
      <c r="F1499" s="30" t="n">
        <v>0</v>
      </c>
      <c r="G1499" s="30" t="str">
        <f aca="false">IF(E1499&lt;判定条件!$C$6,"判定不能",IF(F1499&gt;=判定条件!$C$7*E1499,"運転",IF(F1499&lt;=判定条件!$C$8*E1499,"停止","断続")))</f>
        <v>停止</v>
      </c>
      <c r="H1499" s="30" t="n">
        <v>60</v>
      </c>
      <c r="I1499" s="30" t="n">
        <v>11</v>
      </c>
      <c r="J1499" s="30" t="str">
        <f aca="false">IF(H1499&lt;判定条件!$C$6,"判定不能",IF(I1499&gt;=判定条件!$C$7*H1499,"運転",IF(I1499&lt;=判定条件!$C$8*H1499,"停止","断続")))</f>
        <v>停止</v>
      </c>
      <c r="K1499" s="30" t="n">
        <v>60</v>
      </c>
      <c r="L1499" s="30" t="n">
        <v>0</v>
      </c>
      <c r="M1499" s="30" t="str">
        <f aca="false">IF(K1499&lt;判定条件!$C$6,"判定不能",IF(L1499&gt;=判定条件!$C$7*K1499,"運転",IF(L1499&lt;=判定条件!$C$8*K1499,"停止","断続")))</f>
        <v>停止</v>
      </c>
      <c r="N1499" s="30" t="n">
        <v>60</v>
      </c>
      <c r="O1499" s="30" t="n">
        <v>28</v>
      </c>
      <c r="P1499" s="30" t="str">
        <f aca="false">IF(N1499&lt;判定条件!$C$6,"判定不能",IF(O1499&gt;=判定条件!$C$7*N1499,"運転",IF(O1499&lt;=判定条件!$C$8*N1499,"停止","断続")))</f>
        <v>断続</v>
      </c>
      <c r="Q1499" s="30" t="n">
        <v>60</v>
      </c>
      <c r="R1499" s="30" t="n">
        <v>35</v>
      </c>
      <c r="S1499" s="30" t="str">
        <f aca="false">IF(Q1499&lt;判定条件!$C$6,"判定不能",IF(R1499&gt;=判定条件!$C$7*Q1499,"運転",IF(R1499&lt;=判定条件!$C$8*Q1499,"停止","断続")))</f>
        <v>断続</v>
      </c>
      <c r="T1499" s="30" t="n">
        <v>60</v>
      </c>
      <c r="U1499" s="30" t="n">
        <v>27</v>
      </c>
      <c r="V1499" s="30" t="str">
        <f aca="false">IF(T1499&lt;判定条件!$C$6,"判定不能",IF(U1499&gt;=判定条件!$C$7*T1499,"運転",IF(U1499&lt;=判定条件!$C$8*T1499,"停止","断続")))</f>
        <v>断続</v>
      </c>
      <c r="W1499" s="30" t="n">
        <v>0</v>
      </c>
      <c r="X1499" s="30" t="n">
        <v>0</v>
      </c>
      <c r="Y1499" s="30" t="str">
        <f aca="false">IF(W1499&lt;判定条件!$C$6,"判定不能",IF(X1499&gt;=判定条件!$C$7*W1499,"運転",IF(X1499&lt;=判定条件!$C$8*W1499,"停止","断続")))</f>
        <v>判定不能</v>
      </c>
      <c r="Z1499" s="30" t="n">
        <v>0</v>
      </c>
      <c r="AA1499" s="30" t="n">
        <v>0</v>
      </c>
      <c r="AB1499" s="30" t="str">
        <f aca="false">IF(Z1499&lt;判定条件!$C$6,"判定不能",IF(AA1499&gt;=判定条件!$C$7*Z1499,"運転",IF(AA1499&lt;=判定条件!$C$8*Z1499,"停止","断続")))</f>
        <v>判定不能</v>
      </c>
      <c r="AC1499" s="30" t="n">
        <v>0</v>
      </c>
      <c r="AD1499" s="30" t="n">
        <v>0</v>
      </c>
      <c r="AE1499" s="30" t="str">
        <f aca="false">IF(AC1499&lt;判定条件!$C$6,"判定不能",IF(AD1499&gt;=判定条件!$C$7*AC1499,"運転",IF(AD1499&lt;=判定条件!$C$8*AC1499,"停止","断続")))</f>
        <v>判定不能</v>
      </c>
      <c r="AF1499" s="30" t="n">
        <v>60</v>
      </c>
      <c r="AG1499" s="30" t="n">
        <v>0</v>
      </c>
      <c r="AH1499" s="30" t="str">
        <f aca="false">IF(OR(P1499="判定不能",G1499="判定不能"),"判定不能",IF(AG1499&gt;=判定条件!$C$9,"利用可",IF(AND(P1499="停止",G1499="停止"),"両方停止","運転がそろわない")))</f>
        <v>運転がそろわない</v>
      </c>
      <c r="AI1499" s="30" t="n">
        <v>60</v>
      </c>
      <c r="AJ1499" s="30" t="n">
        <v>9</v>
      </c>
      <c r="AK1499" s="30" t="str">
        <f aca="false">IF(OR(S1499="判定不能",J1499="判定不能"),"判定不能",IF(AJ1499&gt;=判定条件!$C$9,"利用可",IF(AND(S1499="停止",J1499="停止"),"両方停止","運転がそろわない")))</f>
        <v>運転がそろわない</v>
      </c>
      <c r="AL1499" s="30" t="n">
        <v>60</v>
      </c>
      <c r="AM1499" s="30" t="n">
        <v>0</v>
      </c>
      <c r="AN1499" s="30" t="str">
        <f aca="false">IF(OR(V1499="判定不能",M1499="判定不能"),"判定不能",IF(AM1499&gt;=判定条件!$C$9,"利用可",IF(AND(V1499="停止",M1499="停止"),"両方停止","運転がそろわない")))</f>
        <v>運転がそろわない</v>
      </c>
      <c r="AO1499" s="30" t="n">
        <v>0</v>
      </c>
      <c r="AP1499" s="30" t="n">
        <v>0</v>
      </c>
      <c r="AQ1499" s="30" t="str">
        <f aca="false">IF(OR(Y1499="判定不能",G1499="判定不能"),"判定不能",IF(AP1499&gt;=判定条件!$C$9,"利用可",IF(AND(Y1499="停止",G1499="停止"),"両方停止","運転がそろわない")))</f>
        <v>判定不能</v>
      </c>
      <c r="AR1499" s="30" t="n">
        <v>0</v>
      </c>
      <c r="AS1499" s="30" t="n">
        <v>0</v>
      </c>
      <c r="AT1499" s="30" t="str">
        <f aca="false">IF(OR(AB1499="判定不能",J1499="判定不能"),"判定不能",IF(AS1499&gt;=判定条件!$C$9,"利用可",IF(AND(AB1499="停止",J1499="停止"),"両方停止","運転がそろわない")))</f>
        <v>判定不能</v>
      </c>
      <c r="AU1499" s="30" t="n">
        <v>0</v>
      </c>
      <c r="AV1499" s="30" t="n">
        <v>0</v>
      </c>
      <c r="AW1499" s="30" t="str">
        <f aca="false">IF(OR(AE1499="判定不能",M1499="判定不能"),"判定不能",IF(AV1499&gt;=判定条件!$C$9,"利用可",IF(AND(AE1499="停止",M1499="停止"),"両方停止","運転がそろわない")))</f>
        <v>判定不能</v>
      </c>
      <c r="AX1499" s="30" t="str">
        <f aca="false">IF(AND(AH1499="利用可",AK1499="利用可",AN1499="利用可"),"利用可","不可")</f>
        <v>不可</v>
      </c>
      <c r="AY1499" s="30" t="str">
        <f aca="false">IF(AND(AQ1499="利用可",AT1499="利用可",AW1499="利用可"),"利用可","不可")</f>
        <v>不可</v>
      </c>
    </row>
    <row r="1500" customFormat="false" ht="15" hidden="false" customHeight="false" outlineLevel="0" collapsed="false">
      <c r="A1500" s="29" t="n">
        <v>46294</v>
      </c>
      <c r="B1500" s="30" t="n">
        <v>9</v>
      </c>
      <c r="C1500" s="31" t="s">
        <v>67</v>
      </c>
      <c r="D1500" s="31" t="s">
        <v>59</v>
      </c>
      <c r="E1500" s="30" t="n">
        <v>60</v>
      </c>
      <c r="F1500" s="30" t="n">
        <v>39</v>
      </c>
      <c r="G1500" s="30" t="str">
        <f aca="false">IF(E1500&lt;判定条件!$C$6,"判定不能",IF(F1500&gt;=判定条件!$C$7*E1500,"運転",IF(F1500&lt;=判定条件!$C$8*E1500,"停止","断続")))</f>
        <v>断続</v>
      </c>
      <c r="H1500" s="30" t="n">
        <v>60</v>
      </c>
      <c r="I1500" s="30" t="n">
        <v>21</v>
      </c>
      <c r="J1500" s="30" t="str">
        <f aca="false">IF(H1500&lt;判定条件!$C$6,"判定不能",IF(I1500&gt;=判定条件!$C$7*H1500,"運転",IF(I1500&lt;=判定条件!$C$8*H1500,"停止","断続")))</f>
        <v>断続</v>
      </c>
      <c r="K1500" s="30" t="n">
        <v>60</v>
      </c>
      <c r="L1500" s="30" t="n">
        <v>0</v>
      </c>
      <c r="M1500" s="30" t="str">
        <f aca="false">IF(K1500&lt;判定条件!$C$6,"判定不能",IF(L1500&gt;=判定条件!$C$7*K1500,"運転",IF(L1500&lt;=判定条件!$C$8*K1500,"停止","断続")))</f>
        <v>停止</v>
      </c>
      <c r="N1500" s="30" t="n">
        <v>60</v>
      </c>
      <c r="O1500" s="30" t="n">
        <v>25</v>
      </c>
      <c r="P1500" s="30" t="str">
        <f aca="false">IF(N1500&lt;判定条件!$C$6,"判定不能",IF(O1500&gt;=判定条件!$C$7*N1500,"運転",IF(O1500&lt;=判定条件!$C$8*N1500,"停止","断続")))</f>
        <v>断続</v>
      </c>
      <c r="Q1500" s="30" t="n">
        <v>60</v>
      </c>
      <c r="R1500" s="30" t="n">
        <v>52</v>
      </c>
      <c r="S1500" s="30" t="str">
        <f aca="false">IF(Q1500&lt;判定条件!$C$6,"判定不能",IF(R1500&gt;=判定条件!$C$7*Q1500,"運転",IF(R1500&lt;=判定条件!$C$8*Q1500,"停止","断続")))</f>
        <v>運転</v>
      </c>
      <c r="T1500" s="30" t="n">
        <v>60</v>
      </c>
      <c r="U1500" s="30" t="n">
        <v>33</v>
      </c>
      <c r="V1500" s="30" t="str">
        <f aca="false">IF(T1500&lt;判定条件!$C$6,"判定不能",IF(U1500&gt;=判定条件!$C$7*T1500,"運転",IF(U1500&lt;=判定条件!$C$8*T1500,"停止","断続")))</f>
        <v>断続</v>
      </c>
      <c r="W1500" s="30" t="n">
        <v>0</v>
      </c>
      <c r="X1500" s="30" t="n">
        <v>0</v>
      </c>
      <c r="Y1500" s="30" t="str">
        <f aca="false">IF(W1500&lt;判定条件!$C$6,"判定不能",IF(X1500&gt;=判定条件!$C$7*W1500,"運転",IF(X1500&lt;=判定条件!$C$8*W1500,"停止","断続")))</f>
        <v>判定不能</v>
      </c>
      <c r="Z1500" s="30" t="n">
        <v>0</v>
      </c>
      <c r="AA1500" s="30" t="n">
        <v>0</v>
      </c>
      <c r="AB1500" s="30" t="str">
        <f aca="false">IF(Z1500&lt;判定条件!$C$6,"判定不能",IF(AA1500&gt;=判定条件!$C$7*Z1500,"運転",IF(AA1500&lt;=判定条件!$C$8*Z1500,"停止","断続")))</f>
        <v>判定不能</v>
      </c>
      <c r="AC1500" s="30" t="n">
        <v>0</v>
      </c>
      <c r="AD1500" s="30" t="n">
        <v>0</v>
      </c>
      <c r="AE1500" s="30" t="str">
        <f aca="false">IF(AC1500&lt;判定条件!$C$6,"判定不能",IF(AD1500&gt;=判定条件!$C$7*AC1500,"運転",IF(AD1500&lt;=判定条件!$C$8*AC1500,"停止","断続")))</f>
        <v>判定不能</v>
      </c>
      <c r="AF1500" s="30" t="n">
        <v>60</v>
      </c>
      <c r="AG1500" s="30" t="n">
        <v>25</v>
      </c>
      <c r="AH1500" s="30" t="str">
        <f aca="false">IF(OR(P1500="判定不能",G1500="判定不能"),"判定不能",IF(AG1500&gt;=判定条件!$C$9,"利用可",IF(AND(P1500="停止",G1500="停止"),"両方停止","運転がそろわない")))</f>
        <v>運転がそろわない</v>
      </c>
      <c r="AI1500" s="30" t="n">
        <v>60</v>
      </c>
      <c r="AJ1500" s="30" t="n">
        <v>21</v>
      </c>
      <c r="AK1500" s="30" t="str">
        <f aca="false">IF(OR(S1500="判定不能",J1500="判定不能"),"判定不能",IF(AJ1500&gt;=判定条件!$C$9,"利用可",IF(AND(S1500="停止",J1500="停止"),"両方停止","運転がそろわない")))</f>
        <v>運転がそろわない</v>
      </c>
      <c r="AL1500" s="30" t="n">
        <v>60</v>
      </c>
      <c r="AM1500" s="30" t="n">
        <v>0</v>
      </c>
      <c r="AN1500" s="30" t="str">
        <f aca="false">IF(OR(V1500="判定不能",M1500="判定不能"),"判定不能",IF(AM1500&gt;=判定条件!$C$9,"利用可",IF(AND(V1500="停止",M1500="停止"),"両方停止","運転がそろわない")))</f>
        <v>運転がそろわない</v>
      </c>
      <c r="AO1500" s="30" t="n">
        <v>0</v>
      </c>
      <c r="AP1500" s="30" t="n">
        <v>0</v>
      </c>
      <c r="AQ1500" s="30" t="str">
        <f aca="false">IF(OR(Y1500="判定不能",G1500="判定不能"),"判定不能",IF(AP1500&gt;=判定条件!$C$9,"利用可",IF(AND(Y1500="停止",G1500="停止"),"両方停止","運転がそろわない")))</f>
        <v>判定不能</v>
      </c>
      <c r="AR1500" s="30" t="n">
        <v>0</v>
      </c>
      <c r="AS1500" s="30" t="n">
        <v>0</v>
      </c>
      <c r="AT1500" s="30" t="str">
        <f aca="false">IF(OR(AB1500="判定不能",J1500="判定不能"),"判定不能",IF(AS1500&gt;=判定条件!$C$9,"利用可",IF(AND(AB1500="停止",J1500="停止"),"両方停止","運転がそろわない")))</f>
        <v>判定不能</v>
      </c>
      <c r="AU1500" s="30" t="n">
        <v>0</v>
      </c>
      <c r="AV1500" s="30" t="n">
        <v>0</v>
      </c>
      <c r="AW1500" s="30" t="str">
        <f aca="false">IF(OR(AE1500="判定不能",M1500="判定不能"),"判定不能",IF(AV1500&gt;=判定条件!$C$9,"利用可",IF(AND(AE1500="停止",M1500="停止"),"両方停止","運転がそろわない")))</f>
        <v>判定不能</v>
      </c>
      <c r="AX1500" s="30" t="str">
        <f aca="false">IF(AND(AH1500="利用可",AK1500="利用可",AN1500="利用可"),"利用可","不可")</f>
        <v>不可</v>
      </c>
      <c r="AY1500" s="30" t="str">
        <f aca="false">IF(AND(AQ1500="利用可",AT1500="利用可",AW1500="利用可"),"利用可","不可")</f>
        <v>不可</v>
      </c>
    </row>
    <row r="1501" customFormat="false" ht="15" hidden="false" customHeight="false" outlineLevel="0" collapsed="false">
      <c r="A1501" s="29" t="n">
        <v>46294</v>
      </c>
      <c r="B1501" s="30" t="n">
        <v>10</v>
      </c>
      <c r="C1501" s="31" t="s">
        <v>67</v>
      </c>
      <c r="D1501" s="31" t="s">
        <v>59</v>
      </c>
      <c r="E1501" s="30" t="n">
        <v>60</v>
      </c>
      <c r="F1501" s="30" t="n">
        <v>54</v>
      </c>
      <c r="G1501" s="30" t="str">
        <f aca="false">IF(E1501&lt;判定条件!$C$6,"判定不能",IF(F1501&gt;=判定条件!$C$7*E1501,"運転",IF(F1501&lt;=判定条件!$C$8*E1501,"停止","断続")))</f>
        <v>運転</v>
      </c>
      <c r="H1501" s="30" t="n">
        <v>60</v>
      </c>
      <c r="I1501" s="30" t="n">
        <v>19</v>
      </c>
      <c r="J1501" s="30" t="str">
        <f aca="false">IF(H1501&lt;判定条件!$C$6,"判定不能",IF(I1501&gt;=判定条件!$C$7*H1501,"運転",IF(I1501&lt;=判定条件!$C$8*H1501,"停止","断続")))</f>
        <v>断続</v>
      </c>
      <c r="K1501" s="30" t="n">
        <v>60</v>
      </c>
      <c r="L1501" s="30" t="n">
        <v>0</v>
      </c>
      <c r="M1501" s="30" t="str">
        <f aca="false">IF(K1501&lt;判定条件!$C$6,"判定不能",IF(L1501&gt;=判定条件!$C$7*K1501,"運転",IF(L1501&lt;=判定条件!$C$8*K1501,"停止","断続")))</f>
        <v>停止</v>
      </c>
      <c r="N1501" s="30" t="n">
        <v>60</v>
      </c>
      <c r="O1501" s="30" t="n">
        <v>21</v>
      </c>
      <c r="P1501" s="30" t="str">
        <f aca="false">IF(N1501&lt;判定条件!$C$6,"判定不能",IF(O1501&gt;=判定条件!$C$7*N1501,"運転",IF(O1501&lt;=判定条件!$C$8*N1501,"停止","断続")))</f>
        <v>断続</v>
      </c>
      <c r="Q1501" s="30" t="n">
        <v>60</v>
      </c>
      <c r="R1501" s="30" t="n">
        <v>46</v>
      </c>
      <c r="S1501" s="30" t="str">
        <f aca="false">IF(Q1501&lt;判定条件!$C$6,"判定不能",IF(R1501&gt;=判定条件!$C$7*Q1501,"運転",IF(R1501&lt;=判定条件!$C$8*Q1501,"停止","断続")))</f>
        <v>断続</v>
      </c>
      <c r="T1501" s="30" t="n">
        <v>60</v>
      </c>
      <c r="U1501" s="30" t="n">
        <v>0</v>
      </c>
      <c r="V1501" s="30" t="str">
        <f aca="false">IF(T1501&lt;判定条件!$C$6,"判定不能",IF(U1501&gt;=判定条件!$C$7*T1501,"運転",IF(U1501&lt;=判定条件!$C$8*T1501,"停止","断続")))</f>
        <v>停止</v>
      </c>
      <c r="W1501" s="30" t="n">
        <v>0</v>
      </c>
      <c r="X1501" s="30" t="n">
        <v>0</v>
      </c>
      <c r="Y1501" s="30" t="str">
        <f aca="false">IF(W1501&lt;判定条件!$C$6,"判定不能",IF(X1501&gt;=判定条件!$C$7*W1501,"運転",IF(X1501&lt;=判定条件!$C$8*W1501,"停止","断続")))</f>
        <v>判定不能</v>
      </c>
      <c r="Z1501" s="30" t="n">
        <v>0</v>
      </c>
      <c r="AA1501" s="30" t="n">
        <v>0</v>
      </c>
      <c r="AB1501" s="30" t="str">
        <f aca="false">IF(Z1501&lt;判定条件!$C$6,"判定不能",IF(AA1501&gt;=判定条件!$C$7*Z1501,"運転",IF(AA1501&lt;=判定条件!$C$8*Z1501,"停止","断続")))</f>
        <v>判定不能</v>
      </c>
      <c r="AC1501" s="30" t="n">
        <v>0</v>
      </c>
      <c r="AD1501" s="30" t="n">
        <v>0</v>
      </c>
      <c r="AE1501" s="30" t="str">
        <f aca="false">IF(AC1501&lt;判定条件!$C$6,"判定不能",IF(AD1501&gt;=判定条件!$C$7*AC1501,"運転",IF(AD1501&lt;=判定条件!$C$8*AC1501,"停止","断続")))</f>
        <v>判定不能</v>
      </c>
      <c r="AF1501" s="30" t="n">
        <v>60</v>
      </c>
      <c r="AG1501" s="30" t="n">
        <v>15</v>
      </c>
      <c r="AH1501" s="30" t="str">
        <f aca="false">IF(OR(P1501="判定不能",G1501="判定不能"),"判定不能",IF(AG1501&gt;=判定条件!$C$9,"利用可",IF(AND(P1501="停止",G1501="停止"),"両方停止","運転がそろわない")))</f>
        <v>運転がそろわない</v>
      </c>
      <c r="AI1501" s="30" t="n">
        <v>60</v>
      </c>
      <c r="AJ1501" s="30" t="n">
        <v>19</v>
      </c>
      <c r="AK1501" s="30" t="str">
        <f aca="false">IF(OR(S1501="判定不能",J1501="判定不能"),"判定不能",IF(AJ1501&gt;=判定条件!$C$9,"利用可",IF(AND(S1501="停止",J1501="停止"),"両方停止","運転がそろわない")))</f>
        <v>運転がそろわない</v>
      </c>
      <c r="AL1501" s="30" t="n">
        <v>60</v>
      </c>
      <c r="AM1501" s="30" t="n">
        <v>0</v>
      </c>
      <c r="AN1501" s="30" t="str">
        <f aca="false">IF(OR(V1501="判定不能",M1501="判定不能"),"判定不能",IF(AM1501&gt;=判定条件!$C$9,"利用可",IF(AND(V1501="停止",M1501="停止"),"両方停止","運転がそろわない")))</f>
        <v>両方停止</v>
      </c>
      <c r="AO1501" s="30" t="n">
        <v>0</v>
      </c>
      <c r="AP1501" s="30" t="n">
        <v>0</v>
      </c>
      <c r="AQ1501" s="30" t="str">
        <f aca="false">IF(OR(Y1501="判定不能",G1501="判定不能"),"判定不能",IF(AP1501&gt;=判定条件!$C$9,"利用可",IF(AND(Y1501="停止",G1501="停止"),"両方停止","運転がそろわない")))</f>
        <v>判定不能</v>
      </c>
      <c r="AR1501" s="30" t="n">
        <v>0</v>
      </c>
      <c r="AS1501" s="30" t="n">
        <v>0</v>
      </c>
      <c r="AT1501" s="30" t="str">
        <f aca="false">IF(OR(AB1501="判定不能",J1501="判定不能"),"判定不能",IF(AS1501&gt;=判定条件!$C$9,"利用可",IF(AND(AB1501="停止",J1501="停止"),"両方停止","運転がそろわない")))</f>
        <v>判定不能</v>
      </c>
      <c r="AU1501" s="30" t="n">
        <v>0</v>
      </c>
      <c r="AV1501" s="30" t="n">
        <v>0</v>
      </c>
      <c r="AW1501" s="30" t="str">
        <f aca="false">IF(OR(AE1501="判定不能",M1501="判定不能"),"判定不能",IF(AV1501&gt;=判定条件!$C$9,"利用可",IF(AND(AE1501="停止",M1501="停止"),"両方停止","運転がそろわない")))</f>
        <v>判定不能</v>
      </c>
      <c r="AX1501" s="30" t="str">
        <f aca="false">IF(AND(AH1501="利用可",AK1501="利用可",AN1501="利用可"),"利用可","不可")</f>
        <v>不可</v>
      </c>
      <c r="AY1501" s="30" t="str">
        <f aca="false">IF(AND(AQ1501="利用可",AT1501="利用可",AW1501="利用可"),"利用可","不可")</f>
        <v>不可</v>
      </c>
    </row>
    <row r="1502" customFormat="false" ht="15" hidden="false" customHeight="false" outlineLevel="0" collapsed="false">
      <c r="A1502" s="29" t="n">
        <v>46294</v>
      </c>
      <c r="B1502" s="30" t="n">
        <v>11</v>
      </c>
      <c r="C1502" s="31" t="s">
        <v>67</v>
      </c>
      <c r="D1502" s="31" t="s">
        <v>59</v>
      </c>
      <c r="E1502" s="30" t="n">
        <v>60</v>
      </c>
      <c r="F1502" s="30" t="n">
        <v>56</v>
      </c>
      <c r="G1502" s="30" t="str">
        <f aca="false">IF(E1502&lt;判定条件!$C$6,"判定不能",IF(F1502&gt;=判定条件!$C$7*E1502,"運転",IF(F1502&lt;=判定条件!$C$8*E1502,"停止","断続")))</f>
        <v>運転</v>
      </c>
      <c r="H1502" s="30" t="n">
        <v>60</v>
      </c>
      <c r="I1502" s="30" t="n">
        <v>34</v>
      </c>
      <c r="J1502" s="30" t="str">
        <f aca="false">IF(H1502&lt;判定条件!$C$6,"判定不能",IF(I1502&gt;=判定条件!$C$7*H1502,"運転",IF(I1502&lt;=判定条件!$C$8*H1502,"停止","断続")))</f>
        <v>断続</v>
      </c>
      <c r="K1502" s="30" t="n">
        <v>60</v>
      </c>
      <c r="L1502" s="30" t="n">
        <v>8</v>
      </c>
      <c r="M1502" s="30" t="str">
        <f aca="false">IF(K1502&lt;判定条件!$C$6,"判定不能",IF(L1502&gt;=判定条件!$C$7*K1502,"運転",IF(L1502&lt;=判定条件!$C$8*K1502,"停止","断続")))</f>
        <v>停止</v>
      </c>
      <c r="N1502" s="30" t="n">
        <v>60</v>
      </c>
      <c r="O1502" s="30" t="n">
        <v>48</v>
      </c>
      <c r="P1502" s="30" t="str">
        <f aca="false">IF(N1502&lt;判定条件!$C$6,"判定不能",IF(O1502&gt;=判定条件!$C$7*N1502,"運転",IF(O1502&lt;=判定条件!$C$8*N1502,"停止","断続")))</f>
        <v>運転</v>
      </c>
      <c r="Q1502" s="30" t="n">
        <v>60</v>
      </c>
      <c r="R1502" s="30" t="n">
        <v>60</v>
      </c>
      <c r="S1502" s="30" t="str">
        <f aca="false">IF(Q1502&lt;判定条件!$C$6,"判定不能",IF(R1502&gt;=判定条件!$C$7*Q1502,"運転",IF(R1502&lt;=判定条件!$C$8*Q1502,"停止","断続")))</f>
        <v>運転</v>
      </c>
      <c r="T1502" s="30" t="n">
        <v>60</v>
      </c>
      <c r="U1502" s="30" t="n">
        <v>0</v>
      </c>
      <c r="V1502" s="30" t="str">
        <f aca="false">IF(T1502&lt;判定条件!$C$6,"判定不能",IF(U1502&gt;=判定条件!$C$7*T1502,"運転",IF(U1502&lt;=判定条件!$C$8*T1502,"停止","断続")))</f>
        <v>停止</v>
      </c>
      <c r="W1502" s="30" t="n">
        <v>0</v>
      </c>
      <c r="X1502" s="30" t="n">
        <v>0</v>
      </c>
      <c r="Y1502" s="30" t="str">
        <f aca="false">IF(W1502&lt;判定条件!$C$6,"判定不能",IF(X1502&gt;=判定条件!$C$7*W1502,"運転",IF(X1502&lt;=判定条件!$C$8*W1502,"停止","断続")))</f>
        <v>判定不能</v>
      </c>
      <c r="Z1502" s="30" t="n">
        <v>0</v>
      </c>
      <c r="AA1502" s="30" t="n">
        <v>0</v>
      </c>
      <c r="AB1502" s="30" t="str">
        <f aca="false">IF(Z1502&lt;判定条件!$C$6,"判定不能",IF(AA1502&gt;=判定条件!$C$7*Z1502,"運転",IF(AA1502&lt;=判定条件!$C$8*Z1502,"停止","断続")))</f>
        <v>判定不能</v>
      </c>
      <c r="AC1502" s="30" t="n">
        <v>0</v>
      </c>
      <c r="AD1502" s="30" t="n">
        <v>0</v>
      </c>
      <c r="AE1502" s="30" t="str">
        <f aca="false">IF(AC1502&lt;判定条件!$C$6,"判定不能",IF(AD1502&gt;=判定条件!$C$7*AC1502,"運転",IF(AD1502&lt;=判定条件!$C$8*AC1502,"停止","断続")))</f>
        <v>判定不能</v>
      </c>
      <c r="AF1502" s="30" t="n">
        <v>60</v>
      </c>
      <c r="AG1502" s="30" t="n">
        <v>44</v>
      </c>
      <c r="AH1502" s="30" t="str">
        <f aca="false">IF(OR(P1502="判定不能",G1502="判定不能"),"判定不能",IF(AG1502&gt;=判定条件!$C$9,"利用可",IF(AND(P1502="停止",G1502="停止"),"両方停止","運転がそろわない")))</f>
        <v>利用可</v>
      </c>
      <c r="AI1502" s="30" t="n">
        <v>60</v>
      </c>
      <c r="AJ1502" s="30" t="n">
        <v>34</v>
      </c>
      <c r="AK1502" s="30" t="str">
        <f aca="false">IF(OR(S1502="判定不能",J1502="判定不能"),"判定不能",IF(AJ1502&gt;=判定条件!$C$9,"利用可",IF(AND(S1502="停止",J1502="停止"),"両方停止","運転がそろわない")))</f>
        <v>利用可</v>
      </c>
      <c r="AL1502" s="30" t="n">
        <v>60</v>
      </c>
      <c r="AM1502" s="30" t="n">
        <v>0</v>
      </c>
      <c r="AN1502" s="30" t="str">
        <f aca="false">IF(OR(V1502="判定不能",M1502="判定不能"),"判定不能",IF(AM1502&gt;=判定条件!$C$9,"利用可",IF(AND(V1502="停止",M1502="停止"),"両方停止","運転がそろわない")))</f>
        <v>両方停止</v>
      </c>
      <c r="AO1502" s="30" t="n">
        <v>0</v>
      </c>
      <c r="AP1502" s="30" t="n">
        <v>0</v>
      </c>
      <c r="AQ1502" s="30" t="str">
        <f aca="false">IF(OR(Y1502="判定不能",G1502="判定不能"),"判定不能",IF(AP1502&gt;=判定条件!$C$9,"利用可",IF(AND(Y1502="停止",G1502="停止"),"両方停止","運転がそろわない")))</f>
        <v>判定不能</v>
      </c>
      <c r="AR1502" s="30" t="n">
        <v>0</v>
      </c>
      <c r="AS1502" s="30" t="n">
        <v>0</v>
      </c>
      <c r="AT1502" s="30" t="str">
        <f aca="false">IF(OR(AB1502="判定不能",J1502="判定不能"),"判定不能",IF(AS1502&gt;=判定条件!$C$9,"利用可",IF(AND(AB1502="停止",J1502="停止"),"両方停止","運転がそろわない")))</f>
        <v>判定不能</v>
      </c>
      <c r="AU1502" s="30" t="n">
        <v>0</v>
      </c>
      <c r="AV1502" s="30" t="n">
        <v>0</v>
      </c>
      <c r="AW1502" s="30" t="str">
        <f aca="false">IF(OR(AE1502="判定不能",M1502="判定不能"),"判定不能",IF(AV1502&gt;=判定条件!$C$9,"利用可",IF(AND(AE1502="停止",M1502="停止"),"両方停止","運転がそろわない")))</f>
        <v>判定不能</v>
      </c>
      <c r="AX1502" s="30" t="str">
        <f aca="false">IF(AND(AH1502="利用可",AK1502="利用可",AN1502="利用可"),"利用可","不可")</f>
        <v>不可</v>
      </c>
      <c r="AY1502" s="30" t="str">
        <f aca="false">IF(AND(AQ1502="利用可",AT1502="利用可",AW1502="利用可"),"利用可","不可")</f>
        <v>不可</v>
      </c>
    </row>
    <row r="1503" customFormat="false" ht="15" hidden="false" customHeight="false" outlineLevel="0" collapsed="false">
      <c r="A1503" s="29" t="n">
        <v>46294</v>
      </c>
      <c r="B1503" s="30" t="n">
        <v>12</v>
      </c>
      <c r="C1503" s="31" t="s">
        <v>67</v>
      </c>
      <c r="D1503" s="31" t="s">
        <v>59</v>
      </c>
      <c r="E1503" s="30" t="n">
        <v>60</v>
      </c>
      <c r="F1503" s="30" t="n">
        <v>31</v>
      </c>
      <c r="G1503" s="30" t="str">
        <f aca="false">IF(E1503&lt;判定条件!$C$6,"判定不能",IF(F1503&gt;=判定条件!$C$7*E1503,"運転",IF(F1503&lt;=判定条件!$C$8*E1503,"停止","断続")))</f>
        <v>断続</v>
      </c>
      <c r="H1503" s="30" t="n">
        <v>60</v>
      </c>
      <c r="I1503" s="30" t="n">
        <v>34</v>
      </c>
      <c r="J1503" s="30" t="str">
        <f aca="false">IF(H1503&lt;判定条件!$C$6,"判定不能",IF(I1503&gt;=判定条件!$C$7*H1503,"運転",IF(I1503&lt;=判定条件!$C$8*H1503,"停止","断続")))</f>
        <v>断続</v>
      </c>
      <c r="K1503" s="30" t="n">
        <v>60</v>
      </c>
      <c r="L1503" s="30" t="n">
        <v>36</v>
      </c>
      <c r="M1503" s="30" t="str">
        <f aca="false">IF(K1503&lt;判定条件!$C$6,"判定不能",IF(L1503&gt;=判定条件!$C$7*K1503,"運転",IF(L1503&lt;=判定条件!$C$8*K1503,"停止","断続")))</f>
        <v>断続</v>
      </c>
      <c r="N1503" s="30" t="n">
        <v>60</v>
      </c>
      <c r="O1503" s="30" t="n">
        <v>41</v>
      </c>
      <c r="P1503" s="30" t="str">
        <f aca="false">IF(N1503&lt;判定条件!$C$6,"判定不能",IF(O1503&gt;=判定条件!$C$7*N1503,"運転",IF(O1503&lt;=判定条件!$C$8*N1503,"停止","断続")))</f>
        <v>断続</v>
      </c>
      <c r="Q1503" s="30" t="n">
        <v>60</v>
      </c>
      <c r="R1503" s="30" t="n">
        <v>41</v>
      </c>
      <c r="S1503" s="30" t="str">
        <f aca="false">IF(Q1503&lt;判定条件!$C$6,"判定不能",IF(R1503&gt;=判定条件!$C$7*Q1503,"運転",IF(R1503&lt;=判定条件!$C$8*Q1503,"停止","断続")))</f>
        <v>断続</v>
      </c>
      <c r="T1503" s="30" t="n">
        <v>60</v>
      </c>
      <c r="U1503" s="30" t="n">
        <v>0</v>
      </c>
      <c r="V1503" s="30" t="str">
        <f aca="false">IF(T1503&lt;判定条件!$C$6,"判定不能",IF(U1503&gt;=判定条件!$C$7*T1503,"運転",IF(U1503&lt;=判定条件!$C$8*T1503,"停止","断続")))</f>
        <v>停止</v>
      </c>
      <c r="W1503" s="30" t="n">
        <v>0</v>
      </c>
      <c r="X1503" s="30" t="n">
        <v>0</v>
      </c>
      <c r="Y1503" s="30" t="str">
        <f aca="false">IF(W1503&lt;判定条件!$C$6,"判定不能",IF(X1503&gt;=判定条件!$C$7*W1503,"運転",IF(X1503&lt;=判定条件!$C$8*W1503,"停止","断続")))</f>
        <v>判定不能</v>
      </c>
      <c r="Z1503" s="30" t="n">
        <v>0</v>
      </c>
      <c r="AA1503" s="30" t="n">
        <v>0</v>
      </c>
      <c r="AB1503" s="30" t="str">
        <f aca="false">IF(Z1503&lt;判定条件!$C$6,"判定不能",IF(AA1503&gt;=判定条件!$C$7*Z1503,"運転",IF(AA1503&lt;=判定条件!$C$8*Z1503,"停止","断続")))</f>
        <v>判定不能</v>
      </c>
      <c r="AC1503" s="30" t="n">
        <v>0</v>
      </c>
      <c r="AD1503" s="30" t="n">
        <v>0</v>
      </c>
      <c r="AE1503" s="30" t="str">
        <f aca="false">IF(AC1503&lt;判定条件!$C$6,"判定不能",IF(AD1503&gt;=判定条件!$C$7*AC1503,"運転",IF(AD1503&lt;=判定条件!$C$8*AC1503,"停止","断続")))</f>
        <v>判定不能</v>
      </c>
      <c r="AF1503" s="30" t="n">
        <v>60</v>
      </c>
      <c r="AG1503" s="30" t="n">
        <v>22</v>
      </c>
      <c r="AH1503" s="30" t="str">
        <f aca="false">IF(OR(P1503="判定不能",G1503="判定不能"),"判定不能",IF(AG1503&gt;=判定条件!$C$9,"利用可",IF(AND(P1503="停止",G1503="停止"),"両方停止","運転がそろわない")))</f>
        <v>運転がそろわない</v>
      </c>
      <c r="AI1503" s="30" t="n">
        <v>60</v>
      </c>
      <c r="AJ1503" s="30" t="n">
        <v>26</v>
      </c>
      <c r="AK1503" s="30" t="str">
        <f aca="false">IF(OR(S1503="判定不能",J1503="判定不能"),"判定不能",IF(AJ1503&gt;=判定条件!$C$9,"利用可",IF(AND(S1503="停止",J1503="停止"),"両方停止","運転がそろわない")))</f>
        <v>運転がそろわない</v>
      </c>
      <c r="AL1503" s="30" t="n">
        <v>60</v>
      </c>
      <c r="AM1503" s="30" t="n">
        <v>0</v>
      </c>
      <c r="AN1503" s="30" t="str">
        <f aca="false">IF(OR(V1503="判定不能",M1503="判定不能"),"判定不能",IF(AM1503&gt;=判定条件!$C$9,"利用可",IF(AND(V1503="停止",M1503="停止"),"両方停止","運転がそろわない")))</f>
        <v>運転がそろわない</v>
      </c>
      <c r="AO1503" s="30" t="n">
        <v>0</v>
      </c>
      <c r="AP1503" s="30" t="n">
        <v>0</v>
      </c>
      <c r="AQ1503" s="30" t="str">
        <f aca="false">IF(OR(Y1503="判定不能",G1503="判定不能"),"判定不能",IF(AP1503&gt;=判定条件!$C$9,"利用可",IF(AND(Y1503="停止",G1503="停止"),"両方停止","運転がそろわない")))</f>
        <v>判定不能</v>
      </c>
      <c r="AR1503" s="30" t="n">
        <v>0</v>
      </c>
      <c r="AS1503" s="30" t="n">
        <v>0</v>
      </c>
      <c r="AT1503" s="30" t="str">
        <f aca="false">IF(OR(AB1503="判定不能",J1503="判定不能"),"判定不能",IF(AS1503&gt;=判定条件!$C$9,"利用可",IF(AND(AB1503="停止",J1503="停止"),"両方停止","運転がそろわない")))</f>
        <v>判定不能</v>
      </c>
      <c r="AU1503" s="30" t="n">
        <v>0</v>
      </c>
      <c r="AV1503" s="30" t="n">
        <v>0</v>
      </c>
      <c r="AW1503" s="30" t="str">
        <f aca="false">IF(OR(AE1503="判定不能",M1503="判定不能"),"判定不能",IF(AV1503&gt;=判定条件!$C$9,"利用可",IF(AND(AE1503="停止",M1503="停止"),"両方停止","運転がそろわない")))</f>
        <v>判定不能</v>
      </c>
      <c r="AX1503" s="30" t="str">
        <f aca="false">IF(AND(AH1503="利用可",AK1503="利用可",AN1503="利用可"),"利用可","不可")</f>
        <v>不可</v>
      </c>
      <c r="AY1503" s="30" t="str">
        <f aca="false">IF(AND(AQ1503="利用可",AT1503="利用可",AW1503="利用可"),"利用可","不可")</f>
        <v>不可</v>
      </c>
    </row>
    <row r="1504" customFormat="false" ht="15" hidden="false" customHeight="false" outlineLevel="0" collapsed="false">
      <c r="A1504" s="29" t="n">
        <v>46294</v>
      </c>
      <c r="B1504" s="30" t="n">
        <v>13</v>
      </c>
      <c r="C1504" s="31" t="s">
        <v>67</v>
      </c>
      <c r="D1504" s="31" t="s">
        <v>59</v>
      </c>
      <c r="E1504" s="30" t="n">
        <v>60</v>
      </c>
      <c r="F1504" s="30" t="n">
        <v>16</v>
      </c>
      <c r="G1504" s="30" t="str">
        <f aca="false">IF(E1504&lt;判定条件!$C$6,"判定不能",IF(F1504&gt;=判定条件!$C$7*E1504,"運転",IF(F1504&lt;=判定条件!$C$8*E1504,"停止","断続")))</f>
        <v>断続</v>
      </c>
      <c r="H1504" s="30" t="n">
        <v>60</v>
      </c>
      <c r="I1504" s="30" t="n">
        <v>48</v>
      </c>
      <c r="J1504" s="30" t="str">
        <f aca="false">IF(H1504&lt;判定条件!$C$6,"判定不能",IF(I1504&gt;=判定条件!$C$7*H1504,"運転",IF(I1504&lt;=判定条件!$C$8*H1504,"停止","断続")))</f>
        <v>運転</v>
      </c>
      <c r="K1504" s="30" t="n">
        <v>60</v>
      </c>
      <c r="L1504" s="30" t="n">
        <v>5</v>
      </c>
      <c r="M1504" s="30" t="str">
        <f aca="false">IF(K1504&lt;判定条件!$C$6,"判定不能",IF(L1504&gt;=判定条件!$C$7*K1504,"運転",IF(L1504&lt;=判定条件!$C$8*K1504,"停止","断続")))</f>
        <v>停止</v>
      </c>
      <c r="N1504" s="30" t="n">
        <v>60</v>
      </c>
      <c r="O1504" s="30" t="n">
        <v>35</v>
      </c>
      <c r="P1504" s="30" t="str">
        <f aca="false">IF(N1504&lt;判定条件!$C$6,"判定不能",IF(O1504&gt;=判定条件!$C$7*N1504,"運転",IF(O1504&lt;=判定条件!$C$8*N1504,"停止","断続")))</f>
        <v>断続</v>
      </c>
      <c r="Q1504" s="30" t="n">
        <v>60</v>
      </c>
      <c r="R1504" s="30" t="n">
        <v>34</v>
      </c>
      <c r="S1504" s="30" t="str">
        <f aca="false">IF(Q1504&lt;判定条件!$C$6,"判定不能",IF(R1504&gt;=判定条件!$C$7*Q1504,"運転",IF(R1504&lt;=判定条件!$C$8*Q1504,"停止","断続")))</f>
        <v>断続</v>
      </c>
      <c r="T1504" s="30" t="n">
        <v>60</v>
      </c>
      <c r="U1504" s="30" t="n">
        <v>18</v>
      </c>
      <c r="V1504" s="30" t="str">
        <f aca="false">IF(T1504&lt;判定条件!$C$6,"判定不能",IF(U1504&gt;=判定条件!$C$7*T1504,"運転",IF(U1504&lt;=判定条件!$C$8*T1504,"停止","断続")))</f>
        <v>断続</v>
      </c>
      <c r="W1504" s="30" t="n">
        <v>0</v>
      </c>
      <c r="X1504" s="30" t="n">
        <v>0</v>
      </c>
      <c r="Y1504" s="30" t="str">
        <f aca="false">IF(W1504&lt;判定条件!$C$6,"判定不能",IF(X1504&gt;=判定条件!$C$7*W1504,"運転",IF(X1504&lt;=判定条件!$C$8*W1504,"停止","断続")))</f>
        <v>判定不能</v>
      </c>
      <c r="Z1504" s="30" t="n">
        <v>0</v>
      </c>
      <c r="AA1504" s="30" t="n">
        <v>0</v>
      </c>
      <c r="AB1504" s="30" t="str">
        <f aca="false">IF(Z1504&lt;判定条件!$C$6,"判定不能",IF(AA1504&gt;=判定条件!$C$7*Z1504,"運転",IF(AA1504&lt;=判定条件!$C$8*Z1504,"停止","断続")))</f>
        <v>判定不能</v>
      </c>
      <c r="AC1504" s="30" t="n">
        <v>0</v>
      </c>
      <c r="AD1504" s="30" t="n">
        <v>0</v>
      </c>
      <c r="AE1504" s="30" t="str">
        <f aca="false">IF(AC1504&lt;判定条件!$C$6,"判定不能",IF(AD1504&gt;=判定条件!$C$7*AC1504,"運転",IF(AD1504&lt;=判定条件!$C$8*AC1504,"停止","断続")))</f>
        <v>判定不能</v>
      </c>
      <c r="AF1504" s="30" t="n">
        <v>60</v>
      </c>
      <c r="AG1504" s="30" t="n">
        <v>16</v>
      </c>
      <c r="AH1504" s="30" t="str">
        <f aca="false">IF(OR(P1504="判定不能",G1504="判定不能"),"判定不能",IF(AG1504&gt;=判定条件!$C$9,"利用可",IF(AND(P1504="停止",G1504="停止"),"両方停止","運転がそろわない")))</f>
        <v>運転がそろわない</v>
      </c>
      <c r="AI1504" s="30" t="n">
        <v>60</v>
      </c>
      <c r="AJ1504" s="30" t="n">
        <v>24</v>
      </c>
      <c r="AK1504" s="30" t="str">
        <f aca="false">IF(OR(S1504="判定不能",J1504="判定不能"),"判定不能",IF(AJ1504&gt;=判定条件!$C$9,"利用可",IF(AND(S1504="停止",J1504="停止"),"両方停止","運転がそろわない")))</f>
        <v>運転がそろわない</v>
      </c>
      <c r="AL1504" s="30" t="n">
        <v>60</v>
      </c>
      <c r="AM1504" s="30" t="n">
        <v>5</v>
      </c>
      <c r="AN1504" s="30" t="str">
        <f aca="false">IF(OR(V1504="判定不能",M1504="判定不能"),"判定不能",IF(AM1504&gt;=判定条件!$C$9,"利用可",IF(AND(V1504="停止",M1504="停止"),"両方停止","運転がそろわない")))</f>
        <v>運転がそろわない</v>
      </c>
      <c r="AO1504" s="30" t="n">
        <v>0</v>
      </c>
      <c r="AP1504" s="30" t="n">
        <v>0</v>
      </c>
      <c r="AQ1504" s="30" t="str">
        <f aca="false">IF(OR(Y1504="判定不能",G1504="判定不能"),"判定不能",IF(AP1504&gt;=判定条件!$C$9,"利用可",IF(AND(Y1504="停止",G1504="停止"),"両方停止","運転がそろわない")))</f>
        <v>判定不能</v>
      </c>
      <c r="AR1504" s="30" t="n">
        <v>0</v>
      </c>
      <c r="AS1504" s="30" t="n">
        <v>0</v>
      </c>
      <c r="AT1504" s="30" t="str">
        <f aca="false">IF(OR(AB1504="判定不能",J1504="判定不能"),"判定不能",IF(AS1504&gt;=判定条件!$C$9,"利用可",IF(AND(AB1504="停止",J1504="停止"),"両方停止","運転がそろわない")))</f>
        <v>判定不能</v>
      </c>
      <c r="AU1504" s="30" t="n">
        <v>0</v>
      </c>
      <c r="AV1504" s="30" t="n">
        <v>0</v>
      </c>
      <c r="AW1504" s="30" t="str">
        <f aca="false">IF(OR(AE1504="判定不能",M1504="判定不能"),"判定不能",IF(AV1504&gt;=判定条件!$C$9,"利用可",IF(AND(AE1504="停止",M1504="停止"),"両方停止","運転がそろわない")))</f>
        <v>判定不能</v>
      </c>
      <c r="AX1504" s="30" t="str">
        <f aca="false">IF(AND(AH1504="利用可",AK1504="利用可",AN1504="利用可"),"利用可","不可")</f>
        <v>不可</v>
      </c>
      <c r="AY1504" s="30" t="str">
        <f aca="false">IF(AND(AQ1504="利用可",AT1504="利用可",AW1504="利用可"),"利用可","不可")</f>
        <v>不可</v>
      </c>
    </row>
    <row r="1505" customFormat="false" ht="15" hidden="false" customHeight="false" outlineLevel="0" collapsed="false">
      <c r="A1505" s="29" t="n">
        <v>46294</v>
      </c>
      <c r="B1505" s="30" t="n">
        <v>14</v>
      </c>
      <c r="C1505" s="31" t="s">
        <v>67</v>
      </c>
      <c r="D1505" s="31" t="s">
        <v>59</v>
      </c>
      <c r="E1505" s="30" t="n">
        <v>60</v>
      </c>
      <c r="F1505" s="30" t="n">
        <v>43</v>
      </c>
      <c r="G1505" s="30" t="str">
        <f aca="false">IF(E1505&lt;判定条件!$C$6,"判定不能",IF(F1505&gt;=判定条件!$C$7*E1505,"運転",IF(F1505&lt;=判定条件!$C$8*E1505,"停止","断続")))</f>
        <v>断続</v>
      </c>
      <c r="H1505" s="30" t="n">
        <v>60</v>
      </c>
      <c r="I1505" s="30" t="n">
        <v>24</v>
      </c>
      <c r="J1505" s="30" t="str">
        <f aca="false">IF(H1505&lt;判定条件!$C$6,"判定不能",IF(I1505&gt;=判定条件!$C$7*H1505,"運転",IF(I1505&lt;=判定条件!$C$8*H1505,"停止","断続")))</f>
        <v>断続</v>
      </c>
      <c r="K1505" s="30" t="n">
        <v>60</v>
      </c>
      <c r="L1505" s="30" t="n">
        <v>11</v>
      </c>
      <c r="M1505" s="30" t="str">
        <f aca="false">IF(K1505&lt;判定条件!$C$6,"判定不能",IF(L1505&gt;=判定条件!$C$7*K1505,"運転",IF(L1505&lt;=判定条件!$C$8*K1505,"停止","断続")))</f>
        <v>停止</v>
      </c>
      <c r="N1505" s="30" t="n">
        <v>60</v>
      </c>
      <c r="O1505" s="30" t="n">
        <v>33</v>
      </c>
      <c r="P1505" s="30" t="str">
        <f aca="false">IF(N1505&lt;判定条件!$C$6,"判定不能",IF(O1505&gt;=判定条件!$C$7*N1505,"運転",IF(O1505&lt;=判定条件!$C$8*N1505,"停止","断続")))</f>
        <v>断続</v>
      </c>
      <c r="Q1505" s="30" t="n">
        <v>60</v>
      </c>
      <c r="R1505" s="30" t="n">
        <v>17</v>
      </c>
      <c r="S1505" s="30" t="str">
        <f aca="false">IF(Q1505&lt;判定条件!$C$6,"判定不能",IF(R1505&gt;=判定条件!$C$7*Q1505,"運転",IF(R1505&lt;=判定条件!$C$8*Q1505,"停止","断続")))</f>
        <v>断続</v>
      </c>
      <c r="T1505" s="30" t="n">
        <v>60</v>
      </c>
      <c r="U1505" s="30" t="n">
        <v>7</v>
      </c>
      <c r="V1505" s="30" t="str">
        <f aca="false">IF(T1505&lt;判定条件!$C$6,"判定不能",IF(U1505&gt;=判定条件!$C$7*T1505,"運転",IF(U1505&lt;=判定条件!$C$8*T1505,"停止","断続")))</f>
        <v>停止</v>
      </c>
      <c r="W1505" s="30" t="n">
        <v>0</v>
      </c>
      <c r="X1505" s="30" t="n">
        <v>0</v>
      </c>
      <c r="Y1505" s="30" t="str">
        <f aca="false">IF(W1505&lt;判定条件!$C$6,"判定不能",IF(X1505&gt;=判定条件!$C$7*W1505,"運転",IF(X1505&lt;=判定条件!$C$8*W1505,"停止","断続")))</f>
        <v>判定不能</v>
      </c>
      <c r="Z1505" s="30" t="n">
        <v>0</v>
      </c>
      <c r="AA1505" s="30" t="n">
        <v>0</v>
      </c>
      <c r="AB1505" s="30" t="str">
        <f aca="false">IF(Z1505&lt;判定条件!$C$6,"判定不能",IF(AA1505&gt;=判定条件!$C$7*Z1505,"運転",IF(AA1505&lt;=判定条件!$C$8*Z1505,"停止","断続")))</f>
        <v>判定不能</v>
      </c>
      <c r="AC1505" s="30" t="n">
        <v>0</v>
      </c>
      <c r="AD1505" s="30" t="n">
        <v>0</v>
      </c>
      <c r="AE1505" s="30" t="str">
        <f aca="false">IF(AC1505&lt;判定条件!$C$6,"判定不能",IF(AD1505&gt;=判定条件!$C$7*AC1505,"運転",IF(AD1505&lt;=判定条件!$C$8*AC1505,"停止","断続")))</f>
        <v>判定不能</v>
      </c>
      <c r="AF1505" s="30" t="n">
        <v>60</v>
      </c>
      <c r="AG1505" s="30" t="n">
        <v>25</v>
      </c>
      <c r="AH1505" s="30" t="str">
        <f aca="false">IF(OR(P1505="判定不能",G1505="判定不能"),"判定不能",IF(AG1505&gt;=判定条件!$C$9,"利用可",IF(AND(P1505="停止",G1505="停止"),"両方停止","運転がそろわない")))</f>
        <v>運転がそろわない</v>
      </c>
      <c r="AI1505" s="30" t="n">
        <v>60</v>
      </c>
      <c r="AJ1505" s="30" t="n">
        <v>1</v>
      </c>
      <c r="AK1505" s="30" t="str">
        <f aca="false">IF(OR(S1505="判定不能",J1505="判定不能"),"判定不能",IF(AJ1505&gt;=判定条件!$C$9,"利用可",IF(AND(S1505="停止",J1505="停止"),"両方停止","運転がそろわない")))</f>
        <v>運転がそろわない</v>
      </c>
      <c r="AL1505" s="30" t="n">
        <v>60</v>
      </c>
      <c r="AM1505" s="30" t="n">
        <v>0</v>
      </c>
      <c r="AN1505" s="30" t="str">
        <f aca="false">IF(OR(V1505="判定不能",M1505="判定不能"),"判定不能",IF(AM1505&gt;=判定条件!$C$9,"利用可",IF(AND(V1505="停止",M1505="停止"),"両方停止","運転がそろわない")))</f>
        <v>両方停止</v>
      </c>
      <c r="AO1505" s="30" t="n">
        <v>0</v>
      </c>
      <c r="AP1505" s="30" t="n">
        <v>0</v>
      </c>
      <c r="AQ1505" s="30" t="str">
        <f aca="false">IF(OR(Y1505="判定不能",G1505="判定不能"),"判定不能",IF(AP1505&gt;=判定条件!$C$9,"利用可",IF(AND(Y1505="停止",G1505="停止"),"両方停止","運転がそろわない")))</f>
        <v>判定不能</v>
      </c>
      <c r="AR1505" s="30" t="n">
        <v>0</v>
      </c>
      <c r="AS1505" s="30" t="n">
        <v>0</v>
      </c>
      <c r="AT1505" s="30" t="str">
        <f aca="false">IF(OR(AB1505="判定不能",J1505="判定不能"),"判定不能",IF(AS1505&gt;=判定条件!$C$9,"利用可",IF(AND(AB1505="停止",J1505="停止"),"両方停止","運転がそろわない")))</f>
        <v>判定不能</v>
      </c>
      <c r="AU1505" s="30" t="n">
        <v>0</v>
      </c>
      <c r="AV1505" s="30" t="n">
        <v>0</v>
      </c>
      <c r="AW1505" s="30" t="str">
        <f aca="false">IF(OR(AE1505="判定不能",M1505="判定不能"),"判定不能",IF(AV1505&gt;=判定条件!$C$9,"利用可",IF(AND(AE1505="停止",M1505="停止"),"両方停止","運転がそろわない")))</f>
        <v>判定不能</v>
      </c>
      <c r="AX1505" s="30" t="str">
        <f aca="false">IF(AND(AH1505="利用可",AK1505="利用可",AN1505="利用可"),"利用可","不可")</f>
        <v>不可</v>
      </c>
      <c r="AY1505" s="30" t="str">
        <f aca="false">IF(AND(AQ1505="利用可",AT1505="利用可",AW1505="利用可"),"利用可","不可")</f>
        <v>不可</v>
      </c>
    </row>
    <row r="1506" customFormat="false" ht="15" hidden="false" customHeight="false" outlineLevel="0" collapsed="false">
      <c r="A1506" s="29" t="n">
        <v>46294</v>
      </c>
      <c r="B1506" s="30" t="n">
        <v>15</v>
      </c>
      <c r="C1506" s="31" t="s">
        <v>67</v>
      </c>
      <c r="D1506" s="31" t="s">
        <v>59</v>
      </c>
      <c r="E1506" s="30" t="n">
        <v>60</v>
      </c>
      <c r="F1506" s="30" t="n">
        <v>41</v>
      </c>
      <c r="G1506" s="30" t="str">
        <f aca="false">IF(E1506&lt;判定条件!$C$6,"判定不能",IF(F1506&gt;=判定条件!$C$7*E1506,"運転",IF(F1506&lt;=判定条件!$C$8*E1506,"停止","断続")))</f>
        <v>断続</v>
      </c>
      <c r="H1506" s="30" t="n">
        <v>60</v>
      </c>
      <c r="I1506" s="30" t="n">
        <v>34</v>
      </c>
      <c r="J1506" s="30" t="str">
        <f aca="false">IF(H1506&lt;判定条件!$C$6,"判定不能",IF(I1506&gt;=判定条件!$C$7*H1506,"運転",IF(I1506&lt;=判定条件!$C$8*H1506,"停止","断続")))</f>
        <v>断続</v>
      </c>
      <c r="K1506" s="30" t="n">
        <v>60</v>
      </c>
      <c r="L1506" s="30" t="n">
        <v>0</v>
      </c>
      <c r="M1506" s="30" t="str">
        <f aca="false">IF(K1506&lt;判定条件!$C$6,"判定不能",IF(L1506&gt;=判定条件!$C$7*K1506,"運転",IF(L1506&lt;=判定条件!$C$8*K1506,"停止","断続")))</f>
        <v>停止</v>
      </c>
      <c r="N1506" s="30" t="n">
        <v>60</v>
      </c>
      <c r="O1506" s="30" t="n">
        <v>48</v>
      </c>
      <c r="P1506" s="30" t="str">
        <f aca="false">IF(N1506&lt;判定条件!$C$6,"判定不能",IF(O1506&gt;=判定条件!$C$7*N1506,"運転",IF(O1506&lt;=判定条件!$C$8*N1506,"停止","断続")))</f>
        <v>運転</v>
      </c>
      <c r="Q1506" s="30" t="n">
        <v>60</v>
      </c>
      <c r="R1506" s="30" t="n">
        <v>19</v>
      </c>
      <c r="S1506" s="30" t="str">
        <f aca="false">IF(Q1506&lt;判定条件!$C$6,"判定不能",IF(R1506&gt;=判定条件!$C$7*Q1506,"運転",IF(R1506&lt;=判定条件!$C$8*Q1506,"停止","断続")))</f>
        <v>断続</v>
      </c>
      <c r="T1506" s="30" t="n">
        <v>60</v>
      </c>
      <c r="U1506" s="30" t="n">
        <v>40</v>
      </c>
      <c r="V1506" s="30" t="str">
        <f aca="false">IF(T1506&lt;判定条件!$C$6,"判定不能",IF(U1506&gt;=判定条件!$C$7*T1506,"運転",IF(U1506&lt;=判定条件!$C$8*T1506,"停止","断続")))</f>
        <v>断続</v>
      </c>
      <c r="W1506" s="30" t="n">
        <v>0</v>
      </c>
      <c r="X1506" s="30" t="n">
        <v>0</v>
      </c>
      <c r="Y1506" s="30" t="str">
        <f aca="false">IF(W1506&lt;判定条件!$C$6,"判定不能",IF(X1506&gt;=判定条件!$C$7*W1506,"運転",IF(X1506&lt;=判定条件!$C$8*W1506,"停止","断続")))</f>
        <v>判定不能</v>
      </c>
      <c r="Z1506" s="30" t="n">
        <v>0</v>
      </c>
      <c r="AA1506" s="30" t="n">
        <v>0</v>
      </c>
      <c r="AB1506" s="30" t="str">
        <f aca="false">IF(Z1506&lt;判定条件!$C$6,"判定不能",IF(AA1506&gt;=判定条件!$C$7*Z1506,"運転",IF(AA1506&lt;=判定条件!$C$8*Z1506,"停止","断続")))</f>
        <v>判定不能</v>
      </c>
      <c r="AC1506" s="30" t="n">
        <v>0</v>
      </c>
      <c r="AD1506" s="30" t="n">
        <v>0</v>
      </c>
      <c r="AE1506" s="30" t="str">
        <f aca="false">IF(AC1506&lt;判定条件!$C$6,"判定不能",IF(AD1506&gt;=判定条件!$C$7*AC1506,"運転",IF(AD1506&lt;=判定条件!$C$8*AC1506,"停止","断続")))</f>
        <v>判定不能</v>
      </c>
      <c r="AF1506" s="30" t="n">
        <v>60</v>
      </c>
      <c r="AG1506" s="30" t="n">
        <v>29</v>
      </c>
      <c r="AH1506" s="30" t="str">
        <f aca="false">IF(OR(P1506="判定不能",G1506="判定不能"),"判定不能",IF(AG1506&gt;=判定条件!$C$9,"利用可",IF(AND(P1506="停止",G1506="停止"),"両方停止","運転がそろわない")))</f>
        <v>運転がそろわない</v>
      </c>
      <c r="AI1506" s="30" t="n">
        <v>60</v>
      </c>
      <c r="AJ1506" s="30" t="n">
        <v>1</v>
      </c>
      <c r="AK1506" s="30" t="str">
        <f aca="false">IF(OR(S1506="判定不能",J1506="判定不能"),"判定不能",IF(AJ1506&gt;=判定条件!$C$9,"利用可",IF(AND(S1506="停止",J1506="停止"),"両方停止","運転がそろわない")))</f>
        <v>運転がそろわない</v>
      </c>
      <c r="AL1506" s="30" t="n">
        <v>60</v>
      </c>
      <c r="AM1506" s="30" t="n">
        <v>0</v>
      </c>
      <c r="AN1506" s="30" t="str">
        <f aca="false">IF(OR(V1506="判定不能",M1506="判定不能"),"判定不能",IF(AM1506&gt;=判定条件!$C$9,"利用可",IF(AND(V1506="停止",M1506="停止"),"両方停止","運転がそろわない")))</f>
        <v>運転がそろわない</v>
      </c>
      <c r="AO1506" s="30" t="n">
        <v>0</v>
      </c>
      <c r="AP1506" s="30" t="n">
        <v>0</v>
      </c>
      <c r="AQ1506" s="30" t="str">
        <f aca="false">IF(OR(Y1506="判定不能",G1506="判定不能"),"判定不能",IF(AP1506&gt;=判定条件!$C$9,"利用可",IF(AND(Y1506="停止",G1506="停止"),"両方停止","運転がそろわない")))</f>
        <v>判定不能</v>
      </c>
      <c r="AR1506" s="30" t="n">
        <v>0</v>
      </c>
      <c r="AS1506" s="30" t="n">
        <v>0</v>
      </c>
      <c r="AT1506" s="30" t="str">
        <f aca="false">IF(OR(AB1506="判定不能",J1506="判定不能"),"判定不能",IF(AS1506&gt;=判定条件!$C$9,"利用可",IF(AND(AB1506="停止",J1506="停止"),"両方停止","運転がそろわない")))</f>
        <v>判定不能</v>
      </c>
      <c r="AU1506" s="30" t="n">
        <v>0</v>
      </c>
      <c r="AV1506" s="30" t="n">
        <v>0</v>
      </c>
      <c r="AW1506" s="30" t="str">
        <f aca="false">IF(OR(AE1506="判定不能",M1506="判定不能"),"判定不能",IF(AV1506&gt;=判定条件!$C$9,"利用可",IF(AND(AE1506="停止",M1506="停止"),"両方停止","運転がそろわない")))</f>
        <v>判定不能</v>
      </c>
      <c r="AX1506" s="30" t="str">
        <f aca="false">IF(AND(AH1506="利用可",AK1506="利用可",AN1506="利用可"),"利用可","不可")</f>
        <v>不可</v>
      </c>
      <c r="AY1506" s="30" t="str">
        <f aca="false">IF(AND(AQ1506="利用可",AT1506="利用可",AW1506="利用可"),"利用可","不可")</f>
        <v>不可</v>
      </c>
    </row>
    <row r="1507" customFormat="false" ht="15" hidden="false" customHeight="false" outlineLevel="0" collapsed="false">
      <c r="A1507" s="29" t="n">
        <v>46294</v>
      </c>
      <c r="B1507" s="30" t="n">
        <v>16</v>
      </c>
      <c r="C1507" s="31" t="s">
        <v>67</v>
      </c>
      <c r="D1507" s="31" t="s">
        <v>59</v>
      </c>
      <c r="E1507" s="30" t="n">
        <v>60</v>
      </c>
      <c r="F1507" s="30" t="n">
        <v>52</v>
      </c>
      <c r="G1507" s="30" t="str">
        <f aca="false">IF(E1507&lt;判定条件!$C$6,"判定不能",IF(F1507&gt;=判定条件!$C$7*E1507,"運転",IF(F1507&lt;=判定条件!$C$8*E1507,"停止","断続")))</f>
        <v>運転</v>
      </c>
      <c r="H1507" s="30" t="n">
        <v>60</v>
      </c>
      <c r="I1507" s="30" t="n">
        <v>38</v>
      </c>
      <c r="J1507" s="30" t="str">
        <f aca="false">IF(H1507&lt;判定条件!$C$6,"判定不能",IF(I1507&gt;=判定条件!$C$7*H1507,"運転",IF(I1507&lt;=判定条件!$C$8*H1507,"停止","断続")))</f>
        <v>断続</v>
      </c>
      <c r="K1507" s="30" t="n">
        <v>60</v>
      </c>
      <c r="L1507" s="30" t="n">
        <v>15</v>
      </c>
      <c r="M1507" s="30" t="str">
        <f aca="false">IF(K1507&lt;判定条件!$C$6,"判定不能",IF(L1507&gt;=判定条件!$C$7*K1507,"運転",IF(L1507&lt;=判定条件!$C$8*K1507,"停止","断続")))</f>
        <v>断続</v>
      </c>
      <c r="N1507" s="30" t="n">
        <v>60</v>
      </c>
      <c r="O1507" s="30" t="n">
        <v>26</v>
      </c>
      <c r="P1507" s="30" t="str">
        <f aca="false">IF(N1507&lt;判定条件!$C$6,"判定不能",IF(O1507&gt;=判定条件!$C$7*N1507,"運転",IF(O1507&lt;=判定条件!$C$8*N1507,"停止","断続")))</f>
        <v>断続</v>
      </c>
      <c r="Q1507" s="30" t="n">
        <v>60</v>
      </c>
      <c r="R1507" s="30" t="n">
        <v>14</v>
      </c>
      <c r="S1507" s="30" t="str">
        <f aca="false">IF(Q1507&lt;判定条件!$C$6,"判定不能",IF(R1507&gt;=判定条件!$C$7*Q1507,"運転",IF(R1507&lt;=判定条件!$C$8*Q1507,"停止","断続")))</f>
        <v>断続</v>
      </c>
      <c r="T1507" s="30" t="n">
        <v>60</v>
      </c>
      <c r="U1507" s="30" t="n">
        <v>30</v>
      </c>
      <c r="V1507" s="30" t="str">
        <f aca="false">IF(T1507&lt;判定条件!$C$6,"判定不能",IF(U1507&gt;=判定条件!$C$7*T1507,"運転",IF(U1507&lt;=判定条件!$C$8*T1507,"停止","断続")))</f>
        <v>断続</v>
      </c>
      <c r="W1507" s="30" t="n">
        <v>0</v>
      </c>
      <c r="X1507" s="30" t="n">
        <v>0</v>
      </c>
      <c r="Y1507" s="30" t="str">
        <f aca="false">IF(W1507&lt;判定条件!$C$6,"判定不能",IF(X1507&gt;=判定条件!$C$7*W1507,"運転",IF(X1507&lt;=判定条件!$C$8*W1507,"停止","断続")))</f>
        <v>判定不能</v>
      </c>
      <c r="Z1507" s="30" t="n">
        <v>0</v>
      </c>
      <c r="AA1507" s="30" t="n">
        <v>0</v>
      </c>
      <c r="AB1507" s="30" t="str">
        <f aca="false">IF(Z1507&lt;判定条件!$C$6,"判定不能",IF(AA1507&gt;=判定条件!$C$7*Z1507,"運転",IF(AA1507&lt;=判定条件!$C$8*Z1507,"停止","断続")))</f>
        <v>判定不能</v>
      </c>
      <c r="AC1507" s="30" t="n">
        <v>0</v>
      </c>
      <c r="AD1507" s="30" t="n">
        <v>0</v>
      </c>
      <c r="AE1507" s="30" t="str">
        <f aca="false">IF(AC1507&lt;判定条件!$C$6,"判定不能",IF(AD1507&gt;=判定条件!$C$7*AC1507,"運転",IF(AD1507&lt;=判定条件!$C$8*AC1507,"停止","断続")))</f>
        <v>判定不能</v>
      </c>
      <c r="AF1507" s="30" t="n">
        <v>60</v>
      </c>
      <c r="AG1507" s="30" t="n">
        <v>25</v>
      </c>
      <c r="AH1507" s="30" t="str">
        <f aca="false">IF(OR(P1507="判定不能",G1507="判定不能"),"判定不能",IF(AG1507&gt;=判定条件!$C$9,"利用可",IF(AND(P1507="停止",G1507="停止"),"両方停止","運転がそろわない")))</f>
        <v>運転がそろわない</v>
      </c>
      <c r="AI1507" s="30" t="n">
        <v>60</v>
      </c>
      <c r="AJ1507" s="30" t="n">
        <v>14</v>
      </c>
      <c r="AK1507" s="30" t="str">
        <f aca="false">IF(OR(S1507="判定不能",J1507="判定不能"),"判定不能",IF(AJ1507&gt;=判定条件!$C$9,"利用可",IF(AND(S1507="停止",J1507="停止"),"両方停止","運転がそろわない")))</f>
        <v>運転がそろわない</v>
      </c>
      <c r="AL1507" s="30" t="n">
        <v>60</v>
      </c>
      <c r="AM1507" s="30" t="n">
        <v>4</v>
      </c>
      <c r="AN1507" s="30" t="str">
        <f aca="false">IF(OR(V1507="判定不能",M1507="判定不能"),"判定不能",IF(AM1507&gt;=判定条件!$C$9,"利用可",IF(AND(V1507="停止",M1507="停止"),"両方停止","運転がそろわない")))</f>
        <v>運転がそろわない</v>
      </c>
      <c r="AO1507" s="30" t="n">
        <v>0</v>
      </c>
      <c r="AP1507" s="30" t="n">
        <v>0</v>
      </c>
      <c r="AQ1507" s="30" t="str">
        <f aca="false">IF(OR(Y1507="判定不能",G1507="判定不能"),"判定不能",IF(AP1507&gt;=判定条件!$C$9,"利用可",IF(AND(Y1507="停止",G1507="停止"),"両方停止","運転がそろわない")))</f>
        <v>判定不能</v>
      </c>
      <c r="AR1507" s="30" t="n">
        <v>0</v>
      </c>
      <c r="AS1507" s="30" t="n">
        <v>0</v>
      </c>
      <c r="AT1507" s="30" t="str">
        <f aca="false">IF(OR(AB1507="判定不能",J1507="判定不能"),"判定不能",IF(AS1507&gt;=判定条件!$C$9,"利用可",IF(AND(AB1507="停止",J1507="停止"),"両方停止","運転がそろわない")))</f>
        <v>判定不能</v>
      </c>
      <c r="AU1507" s="30" t="n">
        <v>0</v>
      </c>
      <c r="AV1507" s="30" t="n">
        <v>0</v>
      </c>
      <c r="AW1507" s="30" t="str">
        <f aca="false">IF(OR(AE1507="判定不能",M1507="判定不能"),"判定不能",IF(AV1507&gt;=判定条件!$C$9,"利用可",IF(AND(AE1507="停止",M1507="停止"),"両方停止","運転がそろわない")))</f>
        <v>判定不能</v>
      </c>
      <c r="AX1507" s="30" t="str">
        <f aca="false">IF(AND(AH1507="利用可",AK1507="利用可",AN1507="利用可"),"利用可","不可")</f>
        <v>不可</v>
      </c>
      <c r="AY1507" s="30" t="str">
        <f aca="false">IF(AND(AQ1507="利用可",AT1507="利用可",AW1507="利用可"),"利用可","不可")</f>
        <v>不可</v>
      </c>
    </row>
    <row r="1508" customFormat="false" ht="15" hidden="false" customHeight="false" outlineLevel="0" collapsed="false">
      <c r="A1508" s="29" t="n">
        <v>46294</v>
      </c>
      <c r="B1508" s="30" t="n">
        <v>17</v>
      </c>
      <c r="C1508" s="31" t="s">
        <v>67</v>
      </c>
      <c r="D1508" s="31" t="s">
        <v>59</v>
      </c>
      <c r="E1508" s="30" t="n">
        <v>60</v>
      </c>
      <c r="F1508" s="30" t="n">
        <v>45</v>
      </c>
      <c r="G1508" s="30" t="str">
        <f aca="false">IF(E1508&lt;判定条件!$C$6,"判定不能",IF(F1508&gt;=判定条件!$C$7*E1508,"運転",IF(F1508&lt;=判定条件!$C$8*E1508,"停止","断続")))</f>
        <v>断続</v>
      </c>
      <c r="H1508" s="30" t="n">
        <v>60</v>
      </c>
      <c r="I1508" s="30" t="n">
        <v>38</v>
      </c>
      <c r="J1508" s="30" t="str">
        <f aca="false">IF(H1508&lt;判定条件!$C$6,"判定不能",IF(I1508&gt;=判定条件!$C$7*H1508,"運転",IF(I1508&lt;=判定条件!$C$8*H1508,"停止","断続")))</f>
        <v>断続</v>
      </c>
      <c r="K1508" s="30" t="n">
        <v>60</v>
      </c>
      <c r="L1508" s="30" t="n">
        <v>7</v>
      </c>
      <c r="M1508" s="30" t="str">
        <f aca="false">IF(K1508&lt;判定条件!$C$6,"判定不能",IF(L1508&gt;=判定条件!$C$7*K1508,"運転",IF(L1508&lt;=判定条件!$C$8*K1508,"停止","断続")))</f>
        <v>停止</v>
      </c>
      <c r="N1508" s="30" t="n">
        <v>60</v>
      </c>
      <c r="O1508" s="30" t="n">
        <v>16</v>
      </c>
      <c r="P1508" s="30" t="str">
        <f aca="false">IF(N1508&lt;判定条件!$C$6,"判定不能",IF(O1508&gt;=判定条件!$C$7*N1508,"運転",IF(O1508&lt;=判定条件!$C$8*N1508,"停止","断続")))</f>
        <v>断続</v>
      </c>
      <c r="Q1508" s="30" t="n">
        <v>60</v>
      </c>
      <c r="R1508" s="30" t="n">
        <v>54</v>
      </c>
      <c r="S1508" s="30" t="str">
        <f aca="false">IF(Q1508&lt;判定条件!$C$6,"判定不能",IF(R1508&gt;=判定条件!$C$7*Q1508,"運転",IF(R1508&lt;=判定条件!$C$8*Q1508,"停止","断続")))</f>
        <v>運転</v>
      </c>
      <c r="T1508" s="30" t="n">
        <v>60</v>
      </c>
      <c r="U1508" s="30" t="n">
        <v>32</v>
      </c>
      <c r="V1508" s="30" t="str">
        <f aca="false">IF(T1508&lt;判定条件!$C$6,"判定不能",IF(U1508&gt;=判定条件!$C$7*T1508,"運転",IF(U1508&lt;=判定条件!$C$8*T1508,"停止","断続")))</f>
        <v>断続</v>
      </c>
      <c r="W1508" s="30" t="n">
        <v>0</v>
      </c>
      <c r="X1508" s="30" t="n">
        <v>0</v>
      </c>
      <c r="Y1508" s="30" t="str">
        <f aca="false">IF(W1508&lt;判定条件!$C$6,"判定不能",IF(X1508&gt;=判定条件!$C$7*W1508,"運転",IF(X1508&lt;=判定条件!$C$8*W1508,"停止","断続")))</f>
        <v>判定不能</v>
      </c>
      <c r="Z1508" s="30" t="n">
        <v>0</v>
      </c>
      <c r="AA1508" s="30" t="n">
        <v>0</v>
      </c>
      <c r="AB1508" s="30" t="str">
        <f aca="false">IF(Z1508&lt;判定条件!$C$6,"判定不能",IF(AA1508&gt;=判定条件!$C$7*Z1508,"運転",IF(AA1508&lt;=判定条件!$C$8*Z1508,"停止","断続")))</f>
        <v>判定不能</v>
      </c>
      <c r="AC1508" s="30" t="n">
        <v>0</v>
      </c>
      <c r="AD1508" s="30" t="n">
        <v>0</v>
      </c>
      <c r="AE1508" s="30" t="str">
        <f aca="false">IF(AC1508&lt;判定条件!$C$6,"判定不能",IF(AD1508&gt;=判定条件!$C$7*AC1508,"運転",IF(AD1508&lt;=判定条件!$C$8*AC1508,"停止","断続")))</f>
        <v>判定不能</v>
      </c>
      <c r="AF1508" s="30" t="n">
        <v>60</v>
      </c>
      <c r="AG1508" s="30" t="n">
        <v>13</v>
      </c>
      <c r="AH1508" s="30" t="str">
        <f aca="false">IF(OR(P1508="判定不能",G1508="判定不能"),"判定不能",IF(AG1508&gt;=判定条件!$C$9,"利用可",IF(AND(P1508="停止",G1508="停止"),"両方停止","運転がそろわない")))</f>
        <v>運転がそろわない</v>
      </c>
      <c r="AI1508" s="30" t="n">
        <v>60</v>
      </c>
      <c r="AJ1508" s="30" t="n">
        <v>38</v>
      </c>
      <c r="AK1508" s="30" t="str">
        <f aca="false">IF(OR(S1508="判定不能",J1508="判定不能"),"判定不能",IF(AJ1508&gt;=判定条件!$C$9,"利用可",IF(AND(S1508="停止",J1508="停止"),"両方停止","運転がそろわない")))</f>
        <v>利用可</v>
      </c>
      <c r="AL1508" s="30" t="n">
        <v>60</v>
      </c>
      <c r="AM1508" s="30" t="n">
        <v>0</v>
      </c>
      <c r="AN1508" s="30" t="str">
        <f aca="false">IF(OR(V1508="判定不能",M1508="判定不能"),"判定不能",IF(AM1508&gt;=判定条件!$C$9,"利用可",IF(AND(V1508="停止",M1508="停止"),"両方停止","運転がそろわない")))</f>
        <v>運転がそろわない</v>
      </c>
      <c r="AO1508" s="30" t="n">
        <v>0</v>
      </c>
      <c r="AP1508" s="30" t="n">
        <v>0</v>
      </c>
      <c r="AQ1508" s="30" t="str">
        <f aca="false">IF(OR(Y1508="判定不能",G1508="判定不能"),"判定不能",IF(AP1508&gt;=判定条件!$C$9,"利用可",IF(AND(Y1508="停止",G1508="停止"),"両方停止","運転がそろわない")))</f>
        <v>判定不能</v>
      </c>
      <c r="AR1508" s="30" t="n">
        <v>0</v>
      </c>
      <c r="AS1508" s="30" t="n">
        <v>0</v>
      </c>
      <c r="AT1508" s="30" t="str">
        <f aca="false">IF(OR(AB1508="判定不能",J1508="判定不能"),"判定不能",IF(AS1508&gt;=判定条件!$C$9,"利用可",IF(AND(AB1508="停止",J1508="停止"),"両方停止","運転がそろわない")))</f>
        <v>判定不能</v>
      </c>
      <c r="AU1508" s="30" t="n">
        <v>0</v>
      </c>
      <c r="AV1508" s="30" t="n">
        <v>0</v>
      </c>
      <c r="AW1508" s="30" t="str">
        <f aca="false">IF(OR(AE1508="判定不能",M1508="判定不能"),"判定不能",IF(AV1508&gt;=判定条件!$C$9,"利用可",IF(AND(AE1508="停止",M1508="停止"),"両方停止","運転がそろわない")))</f>
        <v>判定不能</v>
      </c>
      <c r="AX1508" s="30" t="str">
        <f aca="false">IF(AND(AH1508="利用可",AK1508="利用可",AN1508="利用可"),"利用可","不可")</f>
        <v>不可</v>
      </c>
      <c r="AY1508" s="30" t="str">
        <f aca="false">IF(AND(AQ1508="利用可",AT1508="利用可",AW1508="利用可"),"利用可","不可")</f>
        <v>不可</v>
      </c>
    </row>
    <row r="1509" customFormat="false" ht="15" hidden="false" customHeight="false" outlineLevel="0" collapsed="false">
      <c r="A1509" s="29" t="n">
        <v>46294</v>
      </c>
      <c r="B1509" s="30" t="n">
        <v>18</v>
      </c>
      <c r="C1509" s="31" t="s">
        <v>67</v>
      </c>
      <c r="D1509" s="31" t="s">
        <v>59</v>
      </c>
      <c r="E1509" s="30" t="n">
        <v>60</v>
      </c>
      <c r="F1509" s="30" t="n">
        <v>33</v>
      </c>
      <c r="G1509" s="30" t="str">
        <f aca="false">IF(E1509&lt;判定条件!$C$6,"判定不能",IF(F1509&gt;=判定条件!$C$7*E1509,"運転",IF(F1509&lt;=判定条件!$C$8*E1509,"停止","断続")))</f>
        <v>断続</v>
      </c>
      <c r="H1509" s="30" t="n">
        <v>60</v>
      </c>
      <c r="I1509" s="30" t="n">
        <v>28</v>
      </c>
      <c r="J1509" s="30" t="str">
        <f aca="false">IF(H1509&lt;判定条件!$C$6,"判定不能",IF(I1509&gt;=判定条件!$C$7*H1509,"運転",IF(I1509&lt;=判定条件!$C$8*H1509,"停止","断続")))</f>
        <v>断続</v>
      </c>
      <c r="K1509" s="30" t="n">
        <v>60</v>
      </c>
      <c r="L1509" s="30" t="n">
        <v>0</v>
      </c>
      <c r="M1509" s="30" t="str">
        <f aca="false">IF(K1509&lt;判定条件!$C$6,"判定不能",IF(L1509&gt;=判定条件!$C$7*K1509,"運転",IF(L1509&lt;=判定条件!$C$8*K1509,"停止","断続")))</f>
        <v>停止</v>
      </c>
      <c r="N1509" s="30" t="n">
        <v>60</v>
      </c>
      <c r="O1509" s="30" t="n">
        <v>0</v>
      </c>
      <c r="P1509" s="30" t="str">
        <f aca="false">IF(N1509&lt;判定条件!$C$6,"判定不能",IF(O1509&gt;=判定条件!$C$7*N1509,"運転",IF(O1509&lt;=判定条件!$C$8*N1509,"停止","断続")))</f>
        <v>停止</v>
      </c>
      <c r="Q1509" s="30" t="n">
        <v>60</v>
      </c>
      <c r="R1509" s="30" t="n">
        <v>4</v>
      </c>
      <c r="S1509" s="30" t="str">
        <f aca="false">IF(Q1509&lt;判定条件!$C$6,"判定不能",IF(R1509&gt;=判定条件!$C$7*Q1509,"運転",IF(R1509&lt;=判定条件!$C$8*Q1509,"停止","断続")))</f>
        <v>停止</v>
      </c>
      <c r="T1509" s="30" t="n">
        <v>60</v>
      </c>
      <c r="U1509" s="30" t="n">
        <v>9</v>
      </c>
      <c r="V1509" s="30" t="str">
        <f aca="false">IF(T1509&lt;判定条件!$C$6,"判定不能",IF(U1509&gt;=判定条件!$C$7*T1509,"運転",IF(U1509&lt;=判定条件!$C$8*T1509,"停止","断続")))</f>
        <v>停止</v>
      </c>
      <c r="W1509" s="30" t="n">
        <v>0</v>
      </c>
      <c r="X1509" s="30" t="n">
        <v>0</v>
      </c>
      <c r="Y1509" s="30" t="str">
        <f aca="false">IF(W1509&lt;判定条件!$C$6,"判定不能",IF(X1509&gt;=判定条件!$C$7*W1509,"運転",IF(X1509&lt;=判定条件!$C$8*W1509,"停止","断続")))</f>
        <v>判定不能</v>
      </c>
      <c r="Z1509" s="30" t="n">
        <v>0</v>
      </c>
      <c r="AA1509" s="30" t="n">
        <v>0</v>
      </c>
      <c r="AB1509" s="30" t="str">
        <f aca="false">IF(Z1509&lt;判定条件!$C$6,"判定不能",IF(AA1509&gt;=判定条件!$C$7*Z1509,"運転",IF(AA1509&lt;=判定条件!$C$8*Z1509,"停止","断続")))</f>
        <v>判定不能</v>
      </c>
      <c r="AC1509" s="30" t="n">
        <v>0</v>
      </c>
      <c r="AD1509" s="30" t="n">
        <v>0</v>
      </c>
      <c r="AE1509" s="30" t="str">
        <f aca="false">IF(AC1509&lt;判定条件!$C$6,"判定不能",IF(AD1509&gt;=判定条件!$C$7*AC1509,"運転",IF(AD1509&lt;=判定条件!$C$8*AC1509,"停止","断続")))</f>
        <v>判定不能</v>
      </c>
      <c r="AF1509" s="30" t="n">
        <v>60</v>
      </c>
      <c r="AG1509" s="30" t="n">
        <v>0</v>
      </c>
      <c r="AH1509" s="30" t="str">
        <f aca="false">IF(OR(P1509="判定不能",G1509="判定不能"),"判定不能",IF(AG1509&gt;=判定条件!$C$9,"利用可",IF(AND(P1509="停止",G1509="停止"),"両方停止","運転がそろわない")))</f>
        <v>運転がそろわない</v>
      </c>
      <c r="AI1509" s="30" t="n">
        <v>60</v>
      </c>
      <c r="AJ1509" s="30" t="n">
        <v>2</v>
      </c>
      <c r="AK1509" s="30" t="str">
        <f aca="false">IF(OR(S1509="判定不能",J1509="判定不能"),"判定不能",IF(AJ1509&gt;=判定条件!$C$9,"利用可",IF(AND(S1509="停止",J1509="停止"),"両方停止","運転がそろわない")))</f>
        <v>運転がそろわない</v>
      </c>
      <c r="AL1509" s="30" t="n">
        <v>60</v>
      </c>
      <c r="AM1509" s="30" t="n">
        <v>0</v>
      </c>
      <c r="AN1509" s="30" t="str">
        <f aca="false">IF(OR(V1509="判定不能",M1509="判定不能"),"判定不能",IF(AM1509&gt;=判定条件!$C$9,"利用可",IF(AND(V1509="停止",M1509="停止"),"両方停止","運転がそろわない")))</f>
        <v>両方停止</v>
      </c>
      <c r="AO1509" s="30" t="n">
        <v>0</v>
      </c>
      <c r="AP1509" s="30" t="n">
        <v>0</v>
      </c>
      <c r="AQ1509" s="30" t="str">
        <f aca="false">IF(OR(Y1509="判定不能",G1509="判定不能"),"判定不能",IF(AP1509&gt;=判定条件!$C$9,"利用可",IF(AND(Y1509="停止",G1509="停止"),"両方停止","運転がそろわない")))</f>
        <v>判定不能</v>
      </c>
      <c r="AR1509" s="30" t="n">
        <v>0</v>
      </c>
      <c r="AS1509" s="30" t="n">
        <v>0</v>
      </c>
      <c r="AT1509" s="30" t="str">
        <f aca="false">IF(OR(AB1509="判定不能",J1509="判定不能"),"判定不能",IF(AS1509&gt;=判定条件!$C$9,"利用可",IF(AND(AB1509="停止",J1509="停止"),"両方停止","運転がそろわない")))</f>
        <v>判定不能</v>
      </c>
      <c r="AU1509" s="30" t="n">
        <v>0</v>
      </c>
      <c r="AV1509" s="30" t="n">
        <v>0</v>
      </c>
      <c r="AW1509" s="30" t="str">
        <f aca="false">IF(OR(AE1509="判定不能",M1509="判定不能"),"判定不能",IF(AV1509&gt;=判定条件!$C$9,"利用可",IF(AND(AE1509="停止",M1509="停止"),"両方停止","運転がそろわない")))</f>
        <v>判定不能</v>
      </c>
      <c r="AX1509" s="30" t="str">
        <f aca="false">IF(AND(AH1509="利用可",AK1509="利用可",AN1509="利用可"),"利用可","不可")</f>
        <v>不可</v>
      </c>
      <c r="AY1509" s="30" t="str">
        <f aca="false">IF(AND(AQ1509="利用可",AT1509="利用可",AW1509="利用可"),"利用可","不可")</f>
        <v>不可</v>
      </c>
    </row>
    <row r="1510" customFormat="false" ht="15" hidden="false" customHeight="false" outlineLevel="0" collapsed="false">
      <c r="A1510" s="29" t="n">
        <v>46294</v>
      </c>
      <c r="B1510" s="30" t="n">
        <v>19</v>
      </c>
      <c r="C1510" s="31" t="s">
        <v>67</v>
      </c>
      <c r="D1510" s="31" t="s">
        <v>59</v>
      </c>
      <c r="E1510" s="30" t="n">
        <v>60</v>
      </c>
      <c r="F1510" s="30" t="n">
        <v>29</v>
      </c>
      <c r="G1510" s="30" t="str">
        <f aca="false">IF(E1510&lt;判定条件!$C$6,"判定不能",IF(F1510&gt;=判定条件!$C$7*E1510,"運転",IF(F1510&lt;=判定条件!$C$8*E1510,"停止","断続")))</f>
        <v>断続</v>
      </c>
      <c r="H1510" s="30" t="n">
        <v>60</v>
      </c>
      <c r="I1510" s="30" t="n">
        <v>35</v>
      </c>
      <c r="J1510" s="30" t="str">
        <f aca="false">IF(H1510&lt;判定条件!$C$6,"判定不能",IF(I1510&gt;=判定条件!$C$7*H1510,"運転",IF(I1510&lt;=判定条件!$C$8*H1510,"停止","断続")))</f>
        <v>断続</v>
      </c>
      <c r="K1510" s="30" t="n">
        <v>60</v>
      </c>
      <c r="L1510" s="30" t="n">
        <v>0</v>
      </c>
      <c r="M1510" s="30" t="str">
        <f aca="false">IF(K1510&lt;判定条件!$C$6,"判定不能",IF(L1510&gt;=判定条件!$C$7*K1510,"運転",IF(L1510&lt;=判定条件!$C$8*K1510,"停止","断続")))</f>
        <v>停止</v>
      </c>
      <c r="N1510" s="30" t="n">
        <v>60</v>
      </c>
      <c r="O1510" s="30" t="n">
        <v>0</v>
      </c>
      <c r="P1510" s="30" t="str">
        <f aca="false">IF(N1510&lt;判定条件!$C$6,"判定不能",IF(O1510&gt;=判定条件!$C$7*N1510,"運転",IF(O1510&lt;=判定条件!$C$8*N1510,"停止","断続")))</f>
        <v>停止</v>
      </c>
      <c r="Q1510" s="30" t="n">
        <v>60</v>
      </c>
      <c r="R1510" s="30" t="n">
        <v>0</v>
      </c>
      <c r="S1510" s="30" t="str">
        <f aca="false">IF(Q1510&lt;判定条件!$C$6,"判定不能",IF(R1510&gt;=判定条件!$C$7*Q1510,"運転",IF(R1510&lt;=判定条件!$C$8*Q1510,"停止","断続")))</f>
        <v>停止</v>
      </c>
      <c r="T1510" s="30" t="n">
        <v>60</v>
      </c>
      <c r="U1510" s="30" t="n">
        <v>0</v>
      </c>
      <c r="V1510" s="30" t="str">
        <f aca="false">IF(T1510&lt;判定条件!$C$6,"判定不能",IF(U1510&gt;=判定条件!$C$7*T1510,"運転",IF(U1510&lt;=判定条件!$C$8*T1510,"停止","断続")))</f>
        <v>停止</v>
      </c>
      <c r="W1510" s="30" t="n">
        <v>0</v>
      </c>
      <c r="X1510" s="30" t="n">
        <v>0</v>
      </c>
      <c r="Y1510" s="30" t="str">
        <f aca="false">IF(W1510&lt;判定条件!$C$6,"判定不能",IF(X1510&gt;=判定条件!$C$7*W1510,"運転",IF(X1510&lt;=判定条件!$C$8*W1510,"停止","断続")))</f>
        <v>判定不能</v>
      </c>
      <c r="Z1510" s="30" t="n">
        <v>0</v>
      </c>
      <c r="AA1510" s="30" t="n">
        <v>0</v>
      </c>
      <c r="AB1510" s="30" t="str">
        <f aca="false">IF(Z1510&lt;判定条件!$C$6,"判定不能",IF(AA1510&gt;=判定条件!$C$7*Z1510,"運転",IF(AA1510&lt;=判定条件!$C$8*Z1510,"停止","断続")))</f>
        <v>判定不能</v>
      </c>
      <c r="AC1510" s="30" t="n">
        <v>0</v>
      </c>
      <c r="AD1510" s="30" t="n">
        <v>0</v>
      </c>
      <c r="AE1510" s="30" t="str">
        <f aca="false">IF(AC1510&lt;判定条件!$C$6,"判定不能",IF(AD1510&gt;=判定条件!$C$7*AC1510,"運転",IF(AD1510&lt;=判定条件!$C$8*AC1510,"停止","断続")))</f>
        <v>判定不能</v>
      </c>
      <c r="AF1510" s="30" t="n">
        <v>60</v>
      </c>
      <c r="AG1510" s="30" t="n">
        <v>0</v>
      </c>
      <c r="AH1510" s="30" t="str">
        <f aca="false">IF(OR(P1510="判定不能",G1510="判定不能"),"判定不能",IF(AG1510&gt;=判定条件!$C$9,"利用可",IF(AND(P1510="停止",G1510="停止"),"両方停止","運転がそろわない")))</f>
        <v>運転がそろわない</v>
      </c>
      <c r="AI1510" s="30" t="n">
        <v>60</v>
      </c>
      <c r="AJ1510" s="30" t="n">
        <v>0</v>
      </c>
      <c r="AK1510" s="30" t="str">
        <f aca="false">IF(OR(S1510="判定不能",J1510="判定不能"),"判定不能",IF(AJ1510&gt;=判定条件!$C$9,"利用可",IF(AND(S1510="停止",J1510="停止"),"両方停止","運転がそろわない")))</f>
        <v>運転がそろわない</v>
      </c>
      <c r="AL1510" s="30" t="n">
        <v>60</v>
      </c>
      <c r="AM1510" s="30" t="n">
        <v>0</v>
      </c>
      <c r="AN1510" s="30" t="str">
        <f aca="false">IF(OR(V1510="判定不能",M1510="判定不能"),"判定不能",IF(AM1510&gt;=判定条件!$C$9,"利用可",IF(AND(V1510="停止",M1510="停止"),"両方停止","運転がそろわない")))</f>
        <v>両方停止</v>
      </c>
      <c r="AO1510" s="30" t="n">
        <v>0</v>
      </c>
      <c r="AP1510" s="30" t="n">
        <v>0</v>
      </c>
      <c r="AQ1510" s="30" t="str">
        <f aca="false">IF(OR(Y1510="判定不能",G1510="判定不能"),"判定不能",IF(AP1510&gt;=判定条件!$C$9,"利用可",IF(AND(Y1510="停止",G1510="停止"),"両方停止","運転がそろわない")))</f>
        <v>判定不能</v>
      </c>
      <c r="AR1510" s="30" t="n">
        <v>0</v>
      </c>
      <c r="AS1510" s="30" t="n">
        <v>0</v>
      </c>
      <c r="AT1510" s="30" t="str">
        <f aca="false">IF(OR(AB1510="判定不能",J1510="判定不能"),"判定不能",IF(AS1510&gt;=判定条件!$C$9,"利用可",IF(AND(AB1510="停止",J1510="停止"),"両方停止","運転がそろわない")))</f>
        <v>判定不能</v>
      </c>
      <c r="AU1510" s="30" t="n">
        <v>0</v>
      </c>
      <c r="AV1510" s="30" t="n">
        <v>0</v>
      </c>
      <c r="AW1510" s="30" t="str">
        <f aca="false">IF(OR(AE1510="判定不能",M1510="判定不能"),"判定不能",IF(AV1510&gt;=判定条件!$C$9,"利用可",IF(AND(AE1510="停止",M1510="停止"),"両方停止","運転がそろわない")))</f>
        <v>判定不能</v>
      </c>
      <c r="AX1510" s="30" t="str">
        <f aca="false">IF(AND(AH1510="利用可",AK1510="利用可",AN1510="利用可"),"利用可","不可")</f>
        <v>不可</v>
      </c>
      <c r="AY1510" s="30" t="str">
        <f aca="false">IF(AND(AQ1510="利用可",AT1510="利用可",AW1510="利用可"),"利用可","不可")</f>
        <v>不可</v>
      </c>
    </row>
    <row r="1511" customFormat="false" ht="15" hidden="false" customHeight="false" outlineLevel="0" collapsed="false">
      <c r="A1511" s="29" t="n">
        <v>46294</v>
      </c>
      <c r="B1511" s="30" t="n">
        <v>20</v>
      </c>
      <c r="C1511" s="31" t="s">
        <v>67</v>
      </c>
      <c r="D1511" s="31" t="s">
        <v>59</v>
      </c>
      <c r="E1511" s="30" t="n">
        <v>60</v>
      </c>
      <c r="F1511" s="30" t="n">
        <v>21</v>
      </c>
      <c r="G1511" s="30" t="str">
        <f aca="false">IF(E1511&lt;判定条件!$C$6,"判定不能",IF(F1511&gt;=判定条件!$C$7*E1511,"運転",IF(F1511&lt;=判定条件!$C$8*E1511,"停止","断続")))</f>
        <v>断続</v>
      </c>
      <c r="H1511" s="30" t="n">
        <v>60</v>
      </c>
      <c r="I1511" s="30" t="n">
        <v>15</v>
      </c>
      <c r="J1511" s="30" t="str">
        <f aca="false">IF(H1511&lt;判定条件!$C$6,"判定不能",IF(I1511&gt;=判定条件!$C$7*H1511,"運転",IF(I1511&lt;=判定条件!$C$8*H1511,"停止","断続")))</f>
        <v>断続</v>
      </c>
      <c r="K1511" s="30" t="n">
        <v>60</v>
      </c>
      <c r="L1511" s="30" t="n">
        <v>12</v>
      </c>
      <c r="M1511" s="30" t="str">
        <f aca="false">IF(K1511&lt;判定条件!$C$6,"判定不能",IF(L1511&gt;=判定条件!$C$7*K1511,"運転",IF(L1511&lt;=判定条件!$C$8*K1511,"停止","断続")))</f>
        <v>停止</v>
      </c>
      <c r="N1511" s="30" t="n">
        <v>60</v>
      </c>
      <c r="O1511" s="30" t="n">
        <v>0</v>
      </c>
      <c r="P1511" s="30" t="str">
        <f aca="false">IF(N1511&lt;判定条件!$C$6,"判定不能",IF(O1511&gt;=判定条件!$C$7*N1511,"運転",IF(O1511&lt;=判定条件!$C$8*N1511,"停止","断続")))</f>
        <v>停止</v>
      </c>
      <c r="Q1511" s="30" t="n">
        <v>60</v>
      </c>
      <c r="R1511" s="30" t="n">
        <v>0</v>
      </c>
      <c r="S1511" s="30" t="str">
        <f aca="false">IF(Q1511&lt;判定条件!$C$6,"判定不能",IF(R1511&gt;=判定条件!$C$7*Q1511,"運転",IF(R1511&lt;=判定条件!$C$8*Q1511,"停止","断続")))</f>
        <v>停止</v>
      </c>
      <c r="T1511" s="30" t="n">
        <v>60</v>
      </c>
      <c r="U1511" s="30" t="n">
        <v>0</v>
      </c>
      <c r="V1511" s="30" t="str">
        <f aca="false">IF(T1511&lt;判定条件!$C$6,"判定不能",IF(U1511&gt;=判定条件!$C$7*T1511,"運転",IF(U1511&lt;=判定条件!$C$8*T1511,"停止","断続")))</f>
        <v>停止</v>
      </c>
      <c r="W1511" s="30" t="n">
        <v>0</v>
      </c>
      <c r="X1511" s="30" t="n">
        <v>0</v>
      </c>
      <c r="Y1511" s="30" t="str">
        <f aca="false">IF(W1511&lt;判定条件!$C$6,"判定不能",IF(X1511&gt;=判定条件!$C$7*W1511,"運転",IF(X1511&lt;=判定条件!$C$8*W1511,"停止","断続")))</f>
        <v>判定不能</v>
      </c>
      <c r="Z1511" s="30" t="n">
        <v>0</v>
      </c>
      <c r="AA1511" s="30" t="n">
        <v>0</v>
      </c>
      <c r="AB1511" s="30" t="str">
        <f aca="false">IF(Z1511&lt;判定条件!$C$6,"判定不能",IF(AA1511&gt;=判定条件!$C$7*Z1511,"運転",IF(AA1511&lt;=判定条件!$C$8*Z1511,"停止","断続")))</f>
        <v>判定不能</v>
      </c>
      <c r="AC1511" s="30" t="n">
        <v>0</v>
      </c>
      <c r="AD1511" s="30" t="n">
        <v>0</v>
      </c>
      <c r="AE1511" s="30" t="str">
        <f aca="false">IF(AC1511&lt;判定条件!$C$6,"判定不能",IF(AD1511&gt;=判定条件!$C$7*AC1511,"運転",IF(AD1511&lt;=判定条件!$C$8*AC1511,"停止","断続")))</f>
        <v>判定不能</v>
      </c>
      <c r="AF1511" s="30" t="n">
        <v>60</v>
      </c>
      <c r="AG1511" s="30" t="n">
        <v>0</v>
      </c>
      <c r="AH1511" s="30" t="str">
        <f aca="false">IF(OR(P1511="判定不能",G1511="判定不能"),"判定不能",IF(AG1511&gt;=判定条件!$C$9,"利用可",IF(AND(P1511="停止",G1511="停止"),"両方停止","運転がそろわない")))</f>
        <v>運転がそろわない</v>
      </c>
      <c r="AI1511" s="30" t="n">
        <v>60</v>
      </c>
      <c r="AJ1511" s="30" t="n">
        <v>0</v>
      </c>
      <c r="AK1511" s="30" t="str">
        <f aca="false">IF(OR(S1511="判定不能",J1511="判定不能"),"判定不能",IF(AJ1511&gt;=判定条件!$C$9,"利用可",IF(AND(S1511="停止",J1511="停止"),"両方停止","運転がそろわない")))</f>
        <v>運転がそろわない</v>
      </c>
      <c r="AL1511" s="30" t="n">
        <v>60</v>
      </c>
      <c r="AM1511" s="30" t="n">
        <v>0</v>
      </c>
      <c r="AN1511" s="30" t="str">
        <f aca="false">IF(OR(V1511="判定不能",M1511="判定不能"),"判定不能",IF(AM1511&gt;=判定条件!$C$9,"利用可",IF(AND(V1511="停止",M1511="停止"),"両方停止","運転がそろわない")))</f>
        <v>両方停止</v>
      </c>
      <c r="AO1511" s="30" t="n">
        <v>0</v>
      </c>
      <c r="AP1511" s="30" t="n">
        <v>0</v>
      </c>
      <c r="AQ1511" s="30" t="str">
        <f aca="false">IF(OR(Y1511="判定不能",G1511="判定不能"),"判定不能",IF(AP1511&gt;=判定条件!$C$9,"利用可",IF(AND(Y1511="停止",G1511="停止"),"両方停止","運転がそろわない")))</f>
        <v>判定不能</v>
      </c>
      <c r="AR1511" s="30" t="n">
        <v>0</v>
      </c>
      <c r="AS1511" s="30" t="n">
        <v>0</v>
      </c>
      <c r="AT1511" s="30" t="str">
        <f aca="false">IF(OR(AB1511="判定不能",J1511="判定不能"),"判定不能",IF(AS1511&gt;=判定条件!$C$9,"利用可",IF(AND(AB1511="停止",J1511="停止"),"両方停止","運転がそろわない")))</f>
        <v>判定不能</v>
      </c>
      <c r="AU1511" s="30" t="n">
        <v>0</v>
      </c>
      <c r="AV1511" s="30" t="n">
        <v>0</v>
      </c>
      <c r="AW1511" s="30" t="str">
        <f aca="false">IF(OR(AE1511="判定不能",M1511="判定不能"),"判定不能",IF(AV1511&gt;=判定条件!$C$9,"利用可",IF(AND(AE1511="停止",M1511="停止"),"両方停止","運転がそろわない")))</f>
        <v>判定不能</v>
      </c>
      <c r="AX1511" s="30" t="str">
        <f aca="false">IF(AND(AH1511="利用可",AK1511="利用可",AN1511="利用可"),"利用可","不可")</f>
        <v>不可</v>
      </c>
      <c r="AY1511" s="30" t="str">
        <f aca="false">IF(AND(AQ1511="利用可",AT1511="利用可",AW1511="利用可"),"利用可","不可")</f>
        <v>不可</v>
      </c>
    </row>
    <row r="1512" customFormat="false" ht="15" hidden="false" customHeight="false" outlineLevel="0" collapsed="false">
      <c r="A1512" s="29" t="n">
        <v>46294</v>
      </c>
      <c r="B1512" s="30" t="n">
        <v>21</v>
      </c>
      <c r="C1512" s="31" t="s">
        <v>67</v>
      </c>
      <c r="D1512" s="31" t="s">
        <v>59</v>
      </c>
      <c r="E1512" s="30" t="n">
        <v>60</v>
      </c>
      <c r="F1512" s="30" t="n">
        <v>0</v>
      </c>
      <c r="G1512" s="30" t="str">
        <f aca="false">IF(E1512&lt;判定条件!$C$6,"判定不能",IF(F1512&gt;=判定条件!$C$7*E1512,"運転",IF(F1512&lt;=判定条件!$C$8*E1512,"停止","断続")))</f>
        <v>停止</v>
      </c>
      <c r="H1512" s="30" t="n">
        <v>60</v>
      </c>
      <c r="I1512" s="30" t="n">
        <v>0</v>
      </c>
      <c r="J1512" s="30" t="str">
        <f aca="false">IF(H1512&lt;判定条件!$C$6,"判定不能",IF(I1512&gt;=判定条件!$C$7*H1512,"運転",IF(I1512&lt;=判定条件!$C$8*H1512,"停止","断続")))</f>
        <v>停止</v>
      </c>
      <c r="K1512" s="30" t="n">
        <v>60</v>
      </c>
      <c r="L1512" s="30" t="n">
        <v>0</v>
      </c>
      <c r="M1512" s="30" t="str">
        <f aca="false">IF(K1512&lt;判定条件!$C$6,"判定不能",IF(L1512&gt;=判定条件!$C$7*K1512,"運転",IF(L1512&lt;=判定条件!$C$8*K1512,"停止","断続")))</f>
        <v>停止</v>
      </c>
      <c r="N1512" s="30" t="n">
        <v>60</v>
      </c>
      <c r="O1512" s="30" t="n">
        <v>0</v>
      </c>
      <c r="P1512" s="30" t="str">
        <f aca="false">IF(N1512&lt;判定条件!$C$6,"判定不能",IF(O1512&gt;=判定条件!$C$7*N1512,"運転",IF(O1512&lt;=判定条件!$C$8*N1512,"停止","断続")))</f>
        <v>停止</v>
      </c>
      <c r="Q1512" s="30" t="n">
        <v>60</v>
      </c>
      <c r="R1512" s="30" t="n">
        <v>0</v>
      </c>
      <c r="S1512" s="30" t="str">
        <f aca="false">IF(Q1512&lt;判定条件!$C$6,"判定不能",IF(R1512&gt;=判定条件!$C$7*Q1512,"運転",IF(R1512&lt;=判定条件!$C$8*Q1512,"停止","断続")))</f>
        <v>停止</v>
      </c>
      <c r="T1512" s="30" t="n">
        <v>60</v>
      </c>
      <c r="U1512" s="30" t="n">
        <v>0</v>
      </c>
      <c r="V1512" s="30" t="str">
        <f aca="false">IF(T1512&lt;判定条件!$C$6,"判定不能",IF(U1512&gt;=判定条件!$C$7*T1512,"運転",IF(U1512&lt;=判定条件!$C$8*T1512,"停止","断続")))</f>
        <v>停止</v>
      </c>
      <c r="W1512" s="30" t="n">
        <v>0</v>
      </c>
      <c r="X1512" s="30" t="n">
        <v>0</v>
      </c>
      <c r="Y1512" s="30" t="str">
        <f aca="false">IF(W1512&lt;判定条件!$C$6,"判定不能",IF(X1512&gt;=判定条件!$C$7*W1512,"運転",IF(X1512&lt;=判定条件!$C$8*W1512,"停止","断続")))</f>
        <v>判定不能</v>
      </c>
      <c r="Z1512" s="30" t="n">
        <v>0</v>
      </c>
      <c r="AA1512" s="30" t="n">
        <v>0</v>
      </c>
      <c r="AB1512" s="30" t="str">
        <f aca="false">IF(Z1512&lt;判定条件!$C$6,"判定不能",IF(AA1512&gt;=判定条件!$C$7*Z1512,"運転",IF(AA1512&lt;=判定条件!$C$8*Z1512,"停止","断続")))</f>
        <v>判定不能</v>
      </c>
      <c r="AC1512" s="30" t="n">
        <v>0</v>
      </c>
      <c r="AD1512" s="30" t="n">
        <v>0</v>
      </c>
      <c r="AE1512" s="30" t="str">
        <f aca="false">IF(AC1512&lt;判定条件!$C$6,"判定不能",IF(AD1512&gt;=判定条件!$C$7*AC1512,"運転",IF(AD1512&lt;=判定条件!$C$8*AC1512,"停止","断続")))</f>
        <v>判定不能</v>
      </c>
      <c r="AF1512" s="30" t="n">
        <v>60</v>
      </c>
      <c r="AG1512" s="30" t="n">
        <v>0</v>
      </c>
      <c r="AH1512" s="30" t="str">
        <f aca="false">IF(OR(P1512="判定不能",G1512="判定不能"),"判定不能",IF(AG1512&gt;=判定条件!$C$9,"利用可",IF(AND(P1512="停止",G1512="停止"),"両方停止","運転がそろわない")))</f>
        <v>両方停止</v>
      </c>
      <c r="AI1512" s="30" t="n">
        <v>60</v>
      </c>
      <c r="AJ1512" s="30" t="n">
        <v>0</v>
      </c>
      <c r="AK1512" s="30" t="str">
        <f aca="false">IF(OR(S1512="判定不能",J1512="判定不能"),"判定不能",IF(AJ1512&gt;=判定条件!$C$9,"利用可",IF(AND(S1512="停止",J1512="停止"),"両方停止","運転がそろわない")))</f>
        <v>両方停止</v>
      </c>
      <c r="AL1512" s="30" t="n">
        <v>60</v>
      </c>
      <c r="AM1512" s="30" t="n">
        <v>0</v>
      </c>
      <c r="AN1512" s="30" t="str">
        <f aca="false">IF(OR(V1512="判定不能",M1512="判定不能"),"判定不能",IF(AM1512&gt;=判定条件!$C$9,"利用可",IF(AND(V1512="停止",M1512="停止"),"両方停止","運転がそろわない")))</f>
        <v>両方停止</v>
      </c>
      <c r="AO1512" s="30" t="n">
        <v>0</v>
      </c>
      <c r="AP1512" s="30" t="n">
        <v>0</v>
      </c>
      <c r="AQ1512" s="30" t="str">
        <f aca="false">IF(OR(Y1512="判定不能",G1512="判定不能"),"判定不能",IF(AP1512&gt;=判定条件!$C$9,"利用可",IF(AND(Y1512="停止",G1512="停止"),"両方停止","運転がそろわない")))</f>
        <v>判定不能</v>
      </c>
      <c r="AR1512" s="30" t="n">
        <v>0</v>
      </c>
      <c r="AS1512" s="30" t="n">
        <v>0</v>
      </c>
      <c r="AT1512" s="30" t="str">
        <f aca="false">IF(OR(AB1512="判定不能",J1512="判定不能"),"判定不能",IF(AS1512&gt;=判定条件!$C$9,"利用可",IF(AND(AB1512="停止",J1512="停止"),"両方停止","運転がそろわない")))</f>
        <v>判定不能</v>
      </c>
      <c r="AU1512" s="30" t="n">
        <v>0</v>
      </c>
      <c r="AV1512" s="30" t="n">
        <v>0</v>
      </c>
      <c r="AW1512" s="30" t="str">
        <f aca="false">IF(OR(AE1512="判定不能",M1512="判定不能"),"判定不能",IF(AV1512&gt;=判定条件!$C$9,"利用可",IF(AND(AE1512="停止",M1512="停止"),"両方停止","運転がそろわない")))</f>
        <v>判定不能</v>
      </c>
      <c r="AX1512" s="30" t="str">
        <f aca="false">IF(AND(AH1512="利用可",AK1512="利用可",AN1512="利用可"),"利用可","不可")</f>
        <v>不可</v>
      </c>
      <c r="AY1512" s="30" t="str">
        <f aca="false">IF(AND(AQ1512="利用可",AT1512="利用可",AW1512="利用可"),"利用可","不可")</f>
        <v>不可</v>
      </c>
    </row>
    <row r="1513" customFormat="false" ht="15" hidden="false" customHeight="false" outlineLevel="0" collapsed="false">
      <c r="A1513" s="29" t="n">
        <v>46294</v>
      </c>
      <c r="B1513" s="30" t="n">
        <v>22</v>
      </c>
      <c r="C1513" s="31" t="s">
        <v>67</v>
      </c>
      <c r="D1513" s="31" t="s">
        <v>59</v>
      </c>
      <c r="E1513" s="30" t="n">
        <v>60</v>
      </c>
      <c r="F1513" s="30" t="n">
        <v>0</v>
      </c>
      <c r="G1513" s="30" t="str">
        <f aca="false">IF(E1513&lt;判定条件!$C$6,"判定不能",IF(F1513&gt;=判定条件!$C$7*E1513,"運転",IF(F1513&lt;=判定条件!$C$8*E1513,"停止","断続")))</f>
        <v>停止</v>
      </c>
      <c r="H1513" s="30" t="n">
        <v>60</v>
      </c>
      <c r="I1513" s="30" t="n">
        <v>0</v>
      </c>
      <c r="J1513" s="30" t="str">
        <f aca="false">IF(H1513&lt;判定条件!$C$6,"判定不能",IF(I1513&gt;=判定条件!$C$7*H1513,"運転",IF(I1513&lt;=判定条件!$C$8*H1513,"停止","断続")))</f>
        <v>停止</v>
      </c>
      <c r="K1513" s="30" t="n">
        <v>60</v>
      </c>
      <c r="L1513" s="30" t="n">
        <v>0</v>
      </c>
      <c r="M1513" s="30" t="str">
        <f aca="false">IF(K1513&lt;判定条件!$C$6,"判定不能",IF(L1513&gt;=判定条件!$C$7*K1513,"運転",IF(L1513&lt;=判定条件!$C$8*K1513,"停止","断続")))</f>
        <v>停止</v>
      </c>
      <c r="N1513" s="30" t="n">
        <v>60</v>
      </c>
      <c r="O1513" s="30" t="n">
        <v>0</v>
      </c>
      <c r="P1513" s="30" t="str">
        <f aca="false">IF(N1513&lt;判定条件!$C$6,"判定不能",IF(O1513&gt;=判定条件!$C$7*N1513,"運転",IF(O1513&lt;=判定条件!$C$8*N1513,"停止","断続")))</f>
        <v>停止</v>
      </c>
      <c r="Q1513" s="30" t="n">
        <v>60</v>
      </c>
      <c r="R1513" s="30" t="n">
        <v>0</v>
      </c>
      <c r="S1513" s="30" t="str">
        <f aca="false">IF(Q1513&lt;判定条件!$C$6,"判定不能",IF(R1513&gt;=判定条件!$C$7*Q1513,"運転",IF(R1513&lt;=判定条件!$C$8*Q1513,"停止","断続")))</f>
        <v>停止</v>
      </c>
      <c r="T1513" s="30" t="n">
        <v>60</v>
      </c>
      <c r="U1513" s="30" t="n">
        <v>0</v>
      </c>
      <c r="V1513" s="30" t="str">
        <f aca="false">IF(T1513&lt;判定条件!$C$6,"判定不能",IF(U1513&gt;=判定条件!$C$7*T1513,"運転",IF(U1513&lt;=判定条件!$C$8*T1513,"停止","断続")))</f>
        <v>停止</v>
      </c>
      <c r="W1513" s="30" t="n">
        <v>0</v>
      </c>
      <c r="X1513" s="30" t="n">
        <v>0</v>
      </c>
      <c r="Y1513" s="30" t="str">
        <f aca="false">IF(W1513&lt;判定条件!$C$6,"判定不能",IF(X1513&gt;=判定条件!$C$7*W1513,"運転",IF(X1513&lt;=判定条件!$C$8*W1513,"停止","断続")))</f>
        <v>判定不能</v>
      </c>
      <c r="Z1513" s="30" t="n">
        <v>0</v>
      </c>
      <c r="AA1513" s="30" t="n">
        <v>0</v>
      </c>
      <c r="AB1513" s="30" t="str">
        <f aca="false">IF(Z1513&lt;判定条件!$C$6,"判定不能",IF(AA1513&gt;=判定条件!$C$7*Z1513,"運転",IF(AA1513&lt;=判定条件!$C$8*Z1513,"停止","断続")))</f>
        <v>判定不能</v>
      </c>
      <c r="AC1513" s="30" t="n">
        <v>0</v>
      </c>
      <c r="AD1513" s="30" t="n">
        <v>0</v>
      </c>
      <c r="AE1513" s="30" t="str">
        <f aca="false">IF(AC1513&lt;判定条件!$C$6,"判定不能",IF(AD1513&gt;=判定条件!$C$7*AC1513,"運転",IF(AD1513&lt;=判定条件!$C$8*AC1513,"停止","断続")))</f>
        <v>判定不能</v>
      </c>
      <c r="AF1513" s="30" t="n">
        <v>60</v>
      </c>
      <c r="AG1513" s="30" t="n">
        <v>0</v>
      </c>
      <c r="AH1513" s="30" t="str">
        <f aca="false">IF(OR(P1513="判定不能",G1513="判定不能"),"判定不能",IF(AG1513&gt;=判定条件!$C$9,"利用可",IF(AND(P1513="停止",G1513="停止"),"両方停止","運転がそろわない")))</f>
        <v>両方停止</v>
      </c>
      <c r="AI1513" s="30" t="n">
        <v>60</v>
      </c>
      <c r="AJ1513" s="30" t="n">
        <v>0</v>
      </c>
      <c r="AK1513" s="30" t="str">
        <f aca="false">IF(OR(S1513="判定不能",J1513="判定不能"),"判定不能",IF(AJ1513&gt;=判定条件!$C$9,"利用可",IF(AND(S1513="停止",J1513="停止"),"両方停止","運転がそろわない")))</f>
        <v>両方停止</v>
      </c>
      <c r="AL1513" s="30" t="n">
        <v>60</v>
      </c>
      <c r="AM1513" s="30" t="n">
        <v>0</v>
      </c>
      <c r="AN1513" s="30" t="str">
        <f aca="false">IF(OR(V1513="判定不能",M1513="判定不能"),"判定不能",IF(AM1513&gt;=判定条件!$C$9,"利用可",IF(AND(V1513="停止",M1513="停止"),"両方停止","運転がそろわない")))</f>
        <v>両方停止</v>
      </c>
      <c r="AO1513" s="30" t="n">
        <v>0</v>
      </c>
      <c r="AP1513" s="30" t="n">
        <v>0</v>
      </c>
      <c r="AQ1513" s="30" t="str">
        <f aca="false">IF(OR(Y1513="判定不能",G1513="判定不能"),"判定不能",IF(AP1513&gt;=判定条件!$C$9,"利用可",IF(AND(Y1513="停止",G1513="停止"),"両方停止","運転がそろわない")))</f>
        <v>判定不能</v>
      </c>
      <c r="AR1513" s="30" t="n">
        <v>0</v>
      </c>
      <c r="AS1513" s="30" t="n">
        <v>0</v>
      </c>
      <c r="AT1513" s="30" t="str">
        <f aca="false">IF(OR(AB1513="判定不能",J1513="判定不能"),"判定不能",IF(AS1513&gt;=判定条件!$C$9,"利用可",IF(AND(AB1513="停止",J1513="停止"),"両方停止","運転がそろわない")))</f>
        <v>判定不能</v>
      </c>
      <c r="AU1513" s="30" t="n">
        <v>0</v>
      </c>
      <c r="AV1513" s="30" t="n">
        <v>0</v>
      </c>
      <c r="AW1513" s="30" t="str">
        <f aca="false">IF(OR(AE1513="判定不能",M1513="判定不能"),"判定不能",IF(AV1513&gt;=判定条件!$C$9,"利用可",IF(AND(AE1513="停止",M1513="停止"),"両方停止","運転がそろわない")))</f>
        <v>判定不能</v>
      </c>
      <c r="AX1513" s="30" t="str">
        <f aca="false">IF(AND(AH1513="利用可",AK1513="利用可",AN1513="利用可"),"利用可","不可")</f>
        <v>不可</v>
      </c>
      <c r="AY1513" s="30" t="str">
        <f aca="false">IF(AND(AQ1513="利用可",AT1513="利用可",AW1513="利用可"),"利用可","不可")</f>
        <v>不可</v>
      </c>
    </row>
    <row r="1514" customFormat="false" ht="15" hidden="false" customHeight="false" outlineLevel="0" collapsed="false">
      <c r="A1514" s="29" t="n">
        <v>46294</v>
      </c>
      <c r="B1514" s="30" t="n">
        <v>23</v>
      </c>
      <c r="C1514" s="31" t="s">
        <v>67</v>
      </c>
      <c r="D1514" s="31" t="s">
        <v>59</v>
      </c>
      <c r="E1514" s="30" t="n">
        <v>60</v>
      </c>
      <c r="F1514" s="30" t="n">
        <v>0</v>
      </c>
      <c r="G1514" s="30" t="str">
        <f aca="false">IF(E1514&lt;判定条件!$C$6,"判定不能",IF(F1514&gt;=判定条件!$C$7*E1514,"運転",IF(F1514&lt;=判定条件!$C$8*E1514,"停止","断続")))</f>
        <v>停止</v>
      </c>
      <c r="H1514" s="30" t="n">
        <v>60</v>
      </c>
      <c r="I1514" s="30" t="n">
        <v>0</v>
      </c>
      <c r="J1514" s="30" t="str">
        <f aca="false">IF(H1514&lt;判定条件!$C$6,"判定不能",IF(I1514&gt;=判定条件!$C$7*H1514,"運転",IF(I1514&lt;=判定条件!$C$8*H1514,"停止","断続")))</f>
        <v>停止</v>
      </c>
      <c r="K1514" s="30" t="n">
        <v>60</v>
      </c>
      <c r="L1514" s="30" t="n">
        <v>0</v>
      </c>
      <c r="M1514" s="30" t="str">
        <f aca="false">IF(K1514&lt;判定条件!$C$6,"判定不能",IF(L1514&gt;=判定条件!$C$7*K1514,"運転",IF(L1514&lt;=判定条件!$C$8*K1514,"停止","断続")))</f>
        <v>停止</v>
      </c>
      <c r="N1514" s="30" t="n">
        <v>60</v>
      </c>
      <c r="O1514" s="30" t="n">
        <v>0</v>
      </c>
      <c r="P1514" s="30" t="str">
        <f aca="false">IF(N1514&lt;判定条件!$C$6,"判定不能",IF(O1514&gt;=判定条件!$C$7*N1514,"運転",IF(O1514&lt;=判定条件!$C$8*N1514,"停止","断続")))</f>
        <v>停止</v>
      </c>
      <c r="Q1514" s="30" t="n">
        <v>60</v>
      </c>
      <c r="R1514" s="30" t="n">
        <v>0</v>
      </c>
      <c r="S1514" s="30" t="str">
        <f aca="false">IF(Q1514&lt;判定条件!$C$6,"判定不能",IF(R1514&gt;=判定条件!$C$7*Q1514,"運転",IF(R1514&lt;=判定条件!$C$8*Q1514,"停止","断続")))</f>
        <v>停止</v>
      </c>
      <c r="T1514" s="30" t="n">
        <v>60</v>
      </c>
      <c r="U1514" s="30" t="n">
        <v>0</v>
      </c>
      <c r="V1514" s="30" t="str">
        <f aca="false">IF(T1514&lt;判定条件!$C$6,"判定不能",IF(U1514&gt;=判定条件!$C$7*T1514,"運転",IF(U1514&lt;=判定条件!$C$8*T1514,"停止","断続")))</f>
        <v>停止</v>
      </c>
      <c r="W1514" s="30" t="n">
        <v>0</v>
      </c>
      <c r="X1514" s="30" t="n">
        <v>0</v>
      </c>
      <c r="Y1514" s="30" t="str">
        <f aca="false">IF(W1514&lt;判定条件!$C$6,"判定不能",IF(X1514&gt;=判定条件!$C$7*W1514,"運転",IF(X1514&lt;=判定条件!$C$8*W1514,"停止","断続")))</f>
        <v>判定不能</v>
      </c>
      <c r="Z1514" s="30" t="n">
        <v>0</v>
      </c>
      <c r="AA1514" s="30" t="n">
        <v>0</v>
      </c>
      <c r="AB1514" s="30" t="str">
        <f aca="false">IF(Z1514&lt;判定条件!$C$6,"判定不能",IF(AA1514&gt;=判定条件!$C$7*Z1514,"運転",IF(AA1514&lt;=判定条件!$C$8*Z1514,"停止","断続")))</f>
        <v>判定不能</v>
      </c>
      <c r="AC1514" s="30" t="n">
        <v>0</v>
      </c>
      <c r="AD1514" s="30" t="n">
        <v>0</v>
      </c>
      <c r="AE1514" s="30" t="str">
        <f aca="false">IF(AC1514&lt;判定条件!$C$6,"判定不能",IF(AD1514&gt;=判定条件!$C$7*AC1514,"運転",IF(AD1514&lt;=判定条件!$C$8*AC1514,"停止","断続")))</f>
        <v>判定不能</v>
      </c>
      <c r="AF1514" s="30" t="n">
        <v>60</v>
      </c>
      <c r="AG1514" s="30" t="n">
        <v>0</v>
      </c>
      <c r="AH1514" s="30" t="str">
        <f aca="false">IF(OR(P1514="判定不能",G1514="判定不能"),"判定不能",IF(AG1514&gt;=判定条件!$C$9,"利用可",IF(AND(P1514="停止",G1514="停止"),"両方停止","運転がそろわない")))</f>
        <v>両方停止</v>
      </c>
      <c r="AI1514" s="30" t="n">
        <v>60</v>
      </c>
      <c r="AJ1514" s="30" t="n">
        <v>0</v>
      </c>
      <c r="AK1514" s="30" t="str">
        <f aca="false">IF(OR(S1514="判定不能",J1514="判定不能"),"判定不能",IF(AJ1514&gt;=判定条件!$C$9,"利用可",IF(AND(S1514="停止",J1514="停止"),"両方停止","運転がそろわない")))</f>
        <v>両方停止</v>
      </c>
      <c r="AL1514" s="30" t="n">
        <v>60</v>
      </c>
      <c r="AM1514" s="30" t="n">
        <v>0</v>
      </c>
      <c r="AN1514" s="30" t="str">
        <f aca="false">IF(OR(V1514="判定不能",M1514="判定不能"),"判定不能",IF(AM1514&gt;=判定条件!$C$9,"利用可",IF(AND(V1514="停止",M1514="停止"),"両方停止","運転がそろわない")))</f>
        <v>両方停止</v>
      </c>
      <c r="AO1514" s="30" t="n">
        <v>0</v>
      </c>
      <c r="AP1514" s="30" t="n">
        <v>0</v>
      </c>
      <c r="AQ1514" s="30" t="str">
        <f aca="false">IF(OR(Y1514="判定不能",G1514="判定不能"),"判定不能",IF(AP1514&gt;=判定条件!$C$9,"利用可",IF(AND(Y1514="停止",G1514="停止"),"両方停止","運転がそろわない")))</f>
        <v>判定不能</v>
      </c>
      <c r="AR1514" s="30" t="n">
        <v>0</v>
      </c>
      <c r="AS1514" s="30" t="n">
        <v>0</v>
      </c>
      <c r="AT1514" s="30" t="str">
        <f aca="false">IF(OR(AB1514="判定不能",J1514="判定不能"),"判定不能",IF(AS1514&gt;=判定条件!$C$9,"利用可",IF(AND(AB1514="停止",J1514="停止"),"両方停止","運転がそろわない")))</f>
        <v>判定不能</v>
      </c>
      <c r="AU1514" s="30" t="n">
        <v>0</v>
      </c>
      <c r="AV1514" s="30" t="n">
        <v>0</v>
      </c>
      <c r="AW1514" s="30" t="str">
        <f aca="false">IF(OR(AE1514="判定不能",M1514="判定不能"),"判定不能",IF(AV1514&gt;=判定条件!$C$9,"利用可",IF(AND(AE1514="停止",M1514="停止"),"両方停止","運転がそろわない")))</f>
        <v>判定不能</v>
      </c>
      <c r="AX1514" s="30" t="str">
        <f aca="false">IF(AND(AH1514="利用可",AK1514="利用可",AN1514="利用可"),"利用可","不可")</f>
        <v>不可</v>
      </c>
      <c r="AY1514" s="30" t="str">
        <f aca="false">IF(AND(AQ1514="利用可",AT1514="利用可",AW1514="利用可"),"利用可","不可")</f>
        <v>不可</v>
      </c>
    </row>
    <row r="1515" customFormat="false" ht="15" hidden="false" customHeight="false" outlineLevel="0" collapsed="false">
      <c r="A1515" s="29" t="n">
        <v>46295</v>
      </c>
      <c r="B1515" s="30" t="n">
        <v>0</v>
      </c>
      <c r="C1515" s="31" t="s">
        <v>58</v>
      </c>
      <c r="D1515" s="31" t="s">
        <v>59</v>
      </c>
      <c r="E1515" s="30" t="n">
        <v>60</v>
      </c>
      <c r="F1515" s="30" t="n">
        <v>0</v>
      </c>
      <c r="G1515" s="30" t="str">
        <f aca="false">IF(E1515&lt;判定条件!$C$6,"判定不能",IF(F1515&gt;=判定条件!$C$7*E1515,"運転",IF(F1515&lt;=判定条件!$C$8*E1515,"停止","断続")))</f>
        <v>停止</v>
      </c>
      <c r="H1515" s="30" t="n">
        <v>60</v>
      </c>
      <c r="I1515" s="30" t="n">
        <v>0</v>
      </c>
      <c r="J1515" s="30" t="str">
        <f aca="false">IF(H1515&lt;判定条件!$C$6,"判定不能",IF(I1515&gt;=判定条件!$C$7*H1515,"運転",IF(I1515&lt;=判定条件!$C$8*H1515,"停止","断続")))</f>
        <v>停止</v>
      </c>
      <c r="K1515" s="30" t="n">
        <v>60</v>
      </c>
      <c r="L1515" s="30" t="n">
        <v>0</v>
      </c>
      <c r="M1515" s="30" t="str">
        <f aca="false">IF(K1515&lt;判定条件!$C$6,"判定不能",IF(L1515&gt;=判定条件!$C$7*K1515,"運転",IF(L1515&lt;=判定条件!$C$8*K1515,"停止","断続")))</f>
        <v>停止</v>
      </c>
      <c r="N1515" s="30" t="n">
        <v>60</v>
      </c>
      <c r="O1515" s="30" t="n">
        <v>0</v>
      </c>
      <c r="P1515" s="30" t="str">
        <f aca="false">IF(N1515&lt;判定条件!$C$6,"判定不能",IF(O1515&gt;=判定条件!$C$7*N1515,"運転",IF(O1515&lt;=判定条件!$C$8*N1515,"停止","断続")))</f>
        <v>停止</v>
      </c>
      <c r="Q1515" s="30" t="n">
        <v>60</v>
      </c>
      <c r="R1515" s="30" t="n">
        <v>0</v>
      </c>
      <c r="S1515" s="30" t="str">
        <f aca="false">IF(Q1515&lt;判定条件!$C$6,"判定不能",IF(R1515&gt;=判定条件!$C$7*Q1515,"運転",IF(R1515&lt;=判定条件!$C$8*Q1515,"停止","断続")))</f>
        <v>停止</v>
      </c>
      <c r="T1515" s="30" t="n">
        <v>60</v>
      </c>
      <c r="U1515" s="30" t="n">
        <v>0</v>
      </c>
      <c r="V1515" s="30" t="str">
        <f aca="false">IF(T1515&lt;判定条件!$C$6,"判定不能",IF(U1515&gt;=判定条件!$C$7*T1515,"運転",IF(U1515&lt;=判定条件!$C$8*T1515,"停止","断続")))</f>
        <v>停止</v>
      </c>
      <c r="W1515" s="30" t="n">
        <v>0</v>
      </c>
      <c r="X1515" s="30" t="n">
        <v>0</v>
      </c>
      <c r="Y1515" s="30" t="str">
        <f aca="false">IF(W1515&lt;判定条件!$C$6,"判定不能",IF(X1515&gt;=判定条件!$C$7*W1515,"運転",IF(X1515&lt;=判定条件!$C$8*W1515,"停止","断続")))</f>
        <v>判定不能</v>
      </c>
      <c r="Z1515" s="30" t="n">
        <v>0</v>
      </c>
      <c r="AA1515" s="30" t="n">
        <v>0</v>
      </c>
      <c r="AB1515" s="30" t="str">
        <f aca="false">IF(Z1515&lt;判定条件!$C$6,"判定不能",IF(AA1515&gt;=判定条件!$C$7*Z1515,"運転",IF(AA1515&lt;=判定条件!$C$8*Z1515,"停止","断続")))</f>
        <v>判定不能</v>
      </c>
      <c r="AC1515" s="30" t="n">
        <v>0</v>
      </c>
      <c r="AD1515" s="30" t="n">
        <v>0</v>
      </c>
      <c r="AE1515" s="30" t="str">
        <f aca="false">IF(AC1515&lt;判定条件!$C$6,"判定不能",IF(AD1515&gt;=判定条件!$C$7*AC1515,"運転",IF(AD1515&lt;=判定条件!$C$8*AC1515,"停止","断続")))</f>
        <v>判定不能</v>
      </c>
      <c r="AF1515" s="30" t="n">
        <v>60</v>
      </c>
      <c r="AG1515" s="30" t="n">
        <v>0</v>
      </c>
      <c r="AH1515" s="30" t="str">
        <f aca="false">IF(OR(P1515="判定不能",G1515="判定不能"),"判定不能",IF(AG1515&gt;=判定条件!$C$9,"利用可",IF(AND(P1515="停止",G1515="停止"),"両方停止","運転がそろわない")))</f>
        <v>両方停止</v>
      </c>
      <c r="AI1515" s="30" t="n">
        <v>60</v>
      </c>
      <c r="AJ1515" s="30" t="n">
        <v>0</v>
      </c>
      <c r="AK1515" s="30" t="str">
        <f aca="false">IF(OR(S1515="判定不能",J1515="判定不能"),"判定不能",IF(AJ1515&gt;=判定条件!$C$9,"利用可",IF(AND(S1515="停止",J1515="停止"),"両方停止","運転がそろわない")))</f>
        <v>両方停止</v>
      </c>
      <c r="AL1515" s="30" t="n">
        <v>60</v>
      </c>
      <c r="AM1515" s="30" t="n">
        <v>0</v>
      </c>
      <c r="AN1515" s="30" t="str">
        <f aca="false">IF(OR(V1515="判定不能",M1515="判定不能"),"判定不能",IF(AM1515&gt;=判定条件!$C$9,"利用可",IF(AND(V1515="停止",M1515="停止"),"両方停止","運転がそろわない")))</f>
        <v>両方停止</v>
      </c>
      <c r="AO1515" s="30" t="n">
        <v>0</v>
      </c>
      <c r="AP1515" s="30" t="n">
        <v>0</v>
      </c>
      <c r="AQ1515" s="30" t="str">
        <f aca="false">IF(OR(Y1515="判定不能",G1515="判定不能"),"判定不能",IF(AP1515&gt;=判定条件!$C$9,"利用可",IF(AND(Y1515="停止",G1515="停止"),"両方停止","運転がそろわない")))</f>
        <v>判定不能</v>
      </c>
      <c r="AR1515" s="30" t="n">
        <v>0</v>
      </c>
      <c r="AS1515" s="30" t="n">
        <v>0</v>
      </c>
      <c r="AT1515" s="30" t="str">
        <f aca="false">IF(OR(AB1515="判定不能",J1515="判定不能"),"判定不能",IF(AS1515&gt;=判定条件!$C$9,"利用可",IF(AND(AB1515="停止",J1515="停止"),"両方停止","運転がそろわない")))</f>
        <v>判定不能</v>
      </c>
      <c r="AU1515" s="30" t="n">
        <v>0</v>
      </c>
      <c r="AV1515" s="30" t="n">
        <v>0</v>
      </c>
      <c r="AW1515" s="30" t="str">
        <f aca="false">IF(OR(AE1515="判定不能",M1515="判定不能"),"判定不能",IF(AV1515&gt;=判定条件!$C$9,"利用可",IF(AND(AE1515="停止",M1515="停止"),"両方停止","運転がそろわない")))</f>
        <v>判定不能</v>
      </c>
      <c r="AX1515" s="30" t="str">
        <f aca="false">IF(AND(AH1515="利用可",AK1515="利用可",AN1515="利用可"),"利用可","不可")</f>
        <v>不可</v>
      </c>
      <c r="AY1515" s="30" t="str">
        <f aca="false">IF(AND(AQ1515="利用可",AT1515="利用可",AW1515="利用可"),"利用可","不可")</f>
        <v>不可</v>
      </c>
    </row>
    <row r="1516" customFormat="false" ht="15" hidden="false" customHeight="false" outlineLevel="0" collapsed="false">
      <c r="A1516" s="29" t="n">
        <v>46295</v>
      </c>
      <c r="B1516" s="30" t="n">
        <v>1</v>
      </c>
      <c r="C1516" s="31" t="s">
        <v>58</v>
      </c>
      <c r="D1516" s="31" t="s">
        <v>59</v>
      </c>
      <c r="E1516" s="30" t="n">
        <v>60</v>
      </c>
      <c r="F1516" s="30" t="n">
        <v>0</v>
      </c>
      <c r="G1516" s="30" t="str">
        <f aca="false">IF(E1516&lt;判定条件!$C$6,"判定不能",IF(F1516&gt;=判定条件!$C$7*E1516,"運転",IF(F1516&lt;=判定条件!$C$8*E1516,"停止","断続")))</f>
        <v>停止</v>
      </c>
      <c r="H1516" s="30" t="n">
        <v>60</v>
      </c>
      <c r="I1516" s="30" t="n">
        <v>0</v>
      </c>
      <c r="J1516" s="30" t="str">
        <f aca="false">IF(H1516&lt;判定条件!$C$6,"判定不能",IF(I1516&gt;=判定条件!$C$7*H1516,"運転",IF(I1516&lt;=判定条件!$C$8*H1516,"停止","断続")))</f>
        <v>停止</v>
      </c>
      <c r="K1516" s="30" t="n">
        <v>60</v>
      </c>
      <c r="L1516" s="30" t="n">
        <v>0</v>
      </c>
      <c r="M1516" s="30" t="str">
        <f aca="false">IF(K1516&lt;判定条件!$C$6,"判定不能",IF(L1516&gt;=判定条件!$C$7*K1516,"運転",IF(L1516&lt;=判定条件!$C$8*K1516,"停止","断続")))</f>
        <v>停止</v>
      </c>
      <c r="N1516" s="30" t="n">
        <v>60</v>
      </c>
      <c r="O1516" s="30" t="n">
        <v>0</v>
      </c>
      <c r="P1516" s="30" t="str">
        <f aca="false">IF(N1516&lt;判定条件!$C$6,"判定不能",IF(O1516&gt;=判定条件!$C$7*N1516,"運転",IF(O1516&lt;=判定条件!$C$8*N1516,"停止","断続")))</f>
        <v>停止</v>
      </c>
      <c r="Q1516" s="30" t="n">
        <v>60</v>
      </c>
      <c r="R1516" s="30" t="n">
        <v>0</v>
      </c>
      <c r="S1516" s="30" t="str">
        <f aca="false">IF(Q1516&lt;判定条件!$C$6,"判定不能",IF(R1516&gt;=判定条件!$C$7*Q1516,"運転",IF(R1516&lt;=判定条件!$C$8*Q1516,"停止","断続")))</f>
        <v>停止</v>
      </c>
      <c r="T1516" s="30" t="n">
        <v>60</v>
      </c>
      <c r="U1516" s="30" t="n">
        <v>0</v>
      </c>
      <c r="V1516" s="30" t="str">
        <f aca="false">IF(T1516&lt;判定条件!$C$6,"判定不能",IF(U1516&gt;=判定条件!$C$7*T1516,"運転",IF(U1516&lt;=判定条件!$C$8*T1516,"停止","断続")))</f>
        <v>停止</v>
      </c>
      <c r="W1516" s="30" t="n">
        <v>0</v>
      </c>
      <c r="X1516" s="30" t="n">
        <v>0</v>
      </c>
      <c r="Y1516" s="30" t="str">
        <f aca="false">IF(W1516&lt;判定条件!$C$6,"判定不能",IF(X1516&gt;=判定条件!$C$7*W1516,"運転",IF(X1516&lt;=判定条件!$C$8*W1516,"停止","断続")))</f>
        <v>判定不能</v>
      </c>
      <c r="Z1516" s="30" t="n">
        <v>0</v>
      </c>
      <c r="AA1516" s="30" t="n">
        <v>0</v>
      </c>
      <c r="AB1516" s="30" t="str">
        <f aca="false">IF(Z1516&lt;判定条件!$C$6,"判定不能",IF(AA1516&gt;=判定条件!$C$7*Z1516,"運転",IF(AA1516&lt;=判定条件!$C$8*Z1516,"停止","断続")))</f>
        <v>判定不能</v>
      </c>
      <c r="AC1516" s="30" t="n">
        <v>0</v>
      </c>
      <c r="AD1516" s="30" t="n">
        <v>0</v>
      </c>
      <c r="AE1516" s="30" t="str">
        <f aca="false">IF(AC1516&lt;判定条件!$C$6,"判定不能",IF(AD1516&gt;=判定条件!$C$7*AC1516,"運転",IF(AD1516&lt;=判定条件!$C$8*AC1516,"停止","断続")))</f>
        <v>判定不能</v>
      </c>
      <c r="AF1516" s="30" t="n">
        <v>60</v>
      </c>
      <c r="AG1516" s="30" t="n">
        <v>0</v>
      </c>
      <c r="AH1516" s="30" t="str">
        <f aca="false">IF(OR(P1516="判定不能",G1516="判定不能"),"判定不能",IF(AG1516&gt;=判定条件!$C$9,"利用可",IF(AND(P1516="停止",G1516="停止"),"両方停止","運転がそろわない")))</f>
        <v>両方停止</v>
      </c>
      <c r="AI1516" s="30" t="n">
        <v>60</v>
      </c>
      <c r="AJ1516" s="30" t="n">
        <v>0</v>
      </c>
      <c r="AK1516" s="30" t="str">
        <f aca="false">IF(OR(S1516="判定不能",J1516="判定不能"),"判定不能",IF(AJ1516&gt;=判定条件!$C$9,"利用可",IF(AND(S1516="停止",J1516="停止"),"両方停止","運転がそろわない")))</f>
        <v>両方停止</v>
      </c>
      <c r="AL1516" s="30" t="n">
        <v>60</v>
      </c>
      <c r="AM1516" s="30" t="n">
        <v>0</v>
      </c>
      <c r="AN1516" s="30" t="str">
        <f aca="false">IF(OR(V1516="判定不能",M1516="判定不能"),"判定不能",IF(AM1516&gt;=判定条件!$C$9,"利用可",IF(AND(V1516="停止",M1516="停止"),"両方停止","運転がそろわない")))</f>
        <v>両方停止</v>
      </c>
      <c r="AO1516" s="30" t="n">
        <v>0</v>
      </c>
      <c r="AP1516" s="30" t="n">
        <v>0</v>
      </c>
      <c r="AQ1516" s="30" t="str">
        <f aca="false">IF(OR(Y1516="判定不能",G1516="判定不能"),"判定不能",IF(AP1516&gt;=判定条件!$C$9,"利用可",IF(AND(Y1516="停止",G1516="停止"),"両方停止","運転がそろわない")))</f>
        <v>判定不能</v>
      </c>
      <c r="AR1516" s="30" t="n">
        <v>0</v>
      </c>
      <c r="AS1516" s="30" t="n">
        <v>0</v>
      </c>
      <c r="AT1516" s="30" t="str">
        <f aca="false">IF(OR(AB1516="判定不能",J1516="判定不能"),"判定不能",IF(AS1516&gt;=判定条件!$C$9,"利用可",IF(AND(AB1516="停止",J1516="停止"),"両方停止","運転がそろわない")))</f>
        <v>判定不能</v>
      </c>
      <c r="AU1516" s="30" t="n">
        <v>0</v>
      </c>
      <c r="AV1516" s="30" t="n">
        <v>0</v>
      </c>
      <c r="AW1516" s="30" t="str">
        <f aca="false">IF(OR(AE1516="判定不能",M1516="判定不能"),"判定不能",IF(AV1516&gt;=判定条件!$C$9,"利用可",IF(AND(AE1516="停止",M1516="停止"),"両方停止","運転がそろわない")))</f>
        <v>判定不能</v>
      </c>
      <c r="AX1516" s="30" t="str">
        <f aca="false">IF(AND(AH1516="利用可",AK1516="利用可",AN1516="利用可"),"利用可","不可")</f>
        <v>不可</v>
      </c>
      <c r="AY1516" s="30" t="str">
        <f aca="false">IF(AND(AQ1516="利用可",AT1516="利用可",AW1516="利用可"),"利用可","不可")</f>
        <v>不可</v>
      </c>
    </row>
    <row r="1517" customFormat="false" ht="15" hidden="false" customHeight="false" outlineLevel="0" collapsed="false">
      <c r="A1517" s="29" t="n">
        <v>46295</v>
      </c>
      <c r="B1517" s="30" t="n">
        <v>2</v>
      </c>
      <c r="C1517" s="31" t="s">
        <v>58</v>
      </c>
      <c r="D1517" s="31" t="s">
        <v>59</v>
      </c>
      <c r="E1517" s="30" t="n">
        <v>60</v>
      </c>
      <c r="F1517" s="30" t="n">
        <v>0</v>
      </c>
      <c r="G1517" s="30" t="str">
        <f aca="false">IF(E1517&lt;判定条件!$C$6,"判定不能",IF(F1517&gt;=判定条件!$C$7*E1517,"運転",IF(F1517&lt;=判定条件!$C$8*E1517,"停止","断続")))</f>
        <v>停止</v>
      </c>
      <c r="H1517" s="30" t="n">
        <v>60</v>
      </c>
      <c r="I1517" s="30" t="n">
        <v>0</v>
      </c>
      <c r="J1517" s="30" t="str">
        <f aca="false">IF(H1517&lt;判定条件!$C$6,"判定不能",IF(I1517&gt;=判定条件!$C$7*H1517,"運転",IF(I1517&lt;=判定条件!$C$8*H1517,"停止","断続")))</f>
        <v>停止</v>
      </c>
      <c r="K1517" s="30" t="n">
        <v>60</v>
      </c>
      <c r="L1517" s="30" t="n">
        <v>0</v>
      </c>
      <c r="M1517" s="30" t="str">
        <f aca="false">IF(K1517&lt;判定条件!$C$6,"判定不能",IF(L1517&gt;=判定条件!$C$7*K1517,"運転",IF(L1517&lt;=判定条件!$C$8*K1517,"停止","断続")))</f>
        <v>停止</v>
      </c>
      <c r="N1517" s="30" t="n">
        <v>60</v>
      </c>
      <c r="O1517" s="30" t="n">
        <v>0</v>
      </c>
      <c r="P1517" s="30" t="str">
        <f aca="false">IF(N1517&lt;判定条件!$C$6,"判定不能",IF(O1517&gt;=判定条件!$C$7*N1517,"運転",IF(O1517&lt;=判定条件!$C$8*N1517,"停止","断続")))</f>
        <v>停止</v>
      </c>
      <c r="Q1517" s="30" t="n">
        <v>60</v>
      </c>
      <c r="R1517" s="30" t="n">
        <v>0</v>
      </c>
      <c r="S1517" s="30" t="str">
        <f aca="false">IF(Q1517&lt;判定条件!$C$6,"判定不能",IF(R1517&gt;=判定条件!$C$7*Q1517,"運転",IF(R1517&lt;=判定条件!$C$8*Q1517,"停止","断続")))</f>
        <v>停止</v>
      </c>
      <c r="T1517" s="30" t="n">
        <v>60</v>
      </c>
      <c r="U1517" s="30" t="n">
        <v>0</v>
      </c>
      <c r="V1517" s="30" t="str">
        <f aca="false">IF(T1517&lt;判定条件!$C$6,"判定不能",IF(U1517&gt;=判定条件!$C$7*T1517,"運転",IF(U1517&lt;=判定条件!$C$8*T1517,"停止","断続")))</f>
        <v>停止</v>
      </c>
      <c r="W1517" s="30" t="n">
        <v>0</v>
      </c>
      <c r="X1517" s="30" t="n">
        <v>0</v>
      </c>
      <c r="Y1517" s="30" t="str">
        <f aca="false">IF(W1517&lt;判定条件!$C$6,"判定不能",IF(X1517&gt;=判定条件!$C$7*W1517,"運転",IF(X1517&lt;=判定条件!$C$8*W1517,"停止","断続")))</f>
        <v>判定不能</v>
      </c>
      <c r="Z1517" s="30" t="n">
        <v>0</v>
      </c>
      <c r="AA1517" s="30" t="n">
        <v>0</v>
      </c>
      <c r="AB1517" s="30" t="str">
        <f aca="false">IF(Z1517&lt;判定条件!$C$6,"判定不能",IF(AA1517&gt;=判定条件!$C$7*Z1517,"運転",IF(AA1517&lt;=判定条件!$C$8*Z1517,"停止","断続")))</f>
        <v>判定不能</v>
      </c>
      <c r="AC1517" s="30" t="n">
        <v>0</v>
      </c>
      <c r="AD1517" s="30" t="n">
        <v>0</v>
      </c>
      <c r="AE1517" s="30" t="str">
        <f aca="false">IF(AC1517&lt;判定条件!$C$6,"判定不能",IF(AD1517&gt;=判定条件!$C$7*AC1517,"運転",IF(AD1517&lt;=判定条件!$C$8*AC1517,"停止","断続")))</f>
        <v>判定不能</v>
      </c>
      <c r="AF1517" s="30" t="n">
        <v>60</v>
      </c>
      <c r="AG1517" s="30" t="n">
        <v>0</v>
      </c>
      <c r="AH1517" s="30" t="str">
        <f aca="false">IF(OR(P1517="判定不能",G1517="判定不能"),"判定不能",IF(AG1517&gt;=判定条件!$C$9,"利用可",IF(AND(P1517="停止",G1517="停止"),"両方停止","運転がそろわない")))</f>
        <v>両方停止</v>
      </c>
      <c r="AI1517" s="30" t="n">
        <v>60</v>
      </c>
      <c r="AJ1517" s="30" t="n">
        <v>0</v>
      </c>
      <c r="AK1517" s="30" t="str">
        <f aca="false">IF(OR(S1517="判定不能",J1517="判定不能"),"判定不能",IF(AJ1517&gt;=判定条件!$C$9,"利用可",IF(AND(S1517="停止",J1517="停止"),"両方停止","運転がそろわない")))</f>
        <v>両方停止</v>
      </c>
      <c r="AL1517" s="30" t="n">
        <v>60</v>
      </c>
      <c r="AM1517" s="30" t="n">
        <v>0</v>
      </c>
      <c r="AN1517" s="30" t="str">
        <f aca="false">IF(OR(V1517="判定不能",M1517="判定不能"),"判定不能",IF(AM1517&gt;=判定条件!$C$9,"利用可",IF(AND(V1517="停止",M1517="停止"),"両方停止","運転がそろわない")))</f>
        <v>両方停止</v>
      </c>
      <c r="AO1517" s="30" t="n">
        <v>0</v>
      </c>
      <c r="AP1517" s="30" t="n">
        <v>0</v>
      </c>
      <c r="AQ1517" s="30" t="str">
        <f aca="false">IF(OR(Y1517="判定不能",G1517="判定不能"),"判定不能",IF(AP1517&gt;=判定条件!$C$9,"利用可",IF(AND(Y1517="停止",G1517="停止"),"両方停止","運転がそろわない")))</f>
        <v>判定不能</v>
      </c>
      <c r="AR1517" s="30" t="n">
        <v>0</v>
      </c>
      <c r="AS1517" s="30" t="n">
        <v>0</v>
      </c>
      <c r="AT1517" s="30" t="str">
        <f aca="false">IF(OR(AB1517="判定不能",J1517="判定不能"),"判定不能",IF(AS1517&gt;=判定条件!$C$9,"利用可",IF(AND(AB1517="停止",J1517="停止"),"両方停止","運転がそろわない")))</f>
        <v>判定不能</v>
      </c>
      <c r="AU1517" s="30" t="n">
        <v>0</v>
      </c>
      <c r="AV1517" s="30" t="n">
        <v>0</v>
      </c>
      <c r="AW1517" s="30" t="str">
        <f aca="false">IF(OR(AE1517="判定不能",M1517="判定不能"),"判定不能",IF(AV1517&gt;=判定条件!$C$9,"利用可",IF(AND(AE1517="停止",M1517="停止"),"両方停止","運転がそろわない")))</f>
        <v>判定不能</v>
      </c>
      <c r="AX1517" s="30" t="str">
        <f aca="false">IF(AND(AH1517="利用可",AK1517="利用可",AN1517="利用可"),"利用可","不可")</f>
        <v>不可</v>
      </c>
      <c r="AY1517" s="30" t="str">
        <f aca="false">IF(AND(AQ1517="利用可",AT1517="利用可",AW1517="利用可"),"利用可","不可")</f>
        <v>不可</v>
      </c>
    </row>
    <row r="1518" customFormat="false" ht="15" hidden="false" customHeight="false" outlineLevel="0" collapsed="false">
      <c r="A1518" s="29" t="n">
        <v>46295</v>
      </c>
      <c r="B1518" s="30" t="n">
        <v>3</v>
      </c>
      <c r="C1518" s="31" t="s">
        <v>58</v>
      </c>
      <c r="D1518" s="31" t="s">
        <v>59</v>
      </c>
      <c r="E1518" s="30" t="n">
        <v>60</v>
      </c>
      <c r="F1518" s="30" t="n">
        <v>0</v>
      </c>
      <c r="G1518" s="30" t="str">
        <f aca="false">IF(E1518&lt;判定条件!$C$6,"判定不能",IF(F1518&gt;=判定条件!$C$7*E1518,"運転",IF(F1518&lt;=判定条件!$C$8*E1518,"停止","断続")))</f>
        <v>停止</v>
      </c>
      <c r="H1518" s="30" t="n">
        <v>60</v>
      </c>
      <c r="I1518" s="30" t="n">
        <v>0</v>
      </c>
      <c r="J1518" s="30" t="str">
        <f aca="false">IF(H1518&lt;判定条件!$C$6,"判定不能",IF(I1518&gt;=判定条件!$C$7*H1518,"運転",IF(I1518&lt;=判定条件!$C$8*H1518,"停止","断続")))</f>
        <v>停止</v>
      </c>
      <c r="K1518" s="30" t="n">
        <v>60</v>
      </c>
      <c r="L1518" s="30" t="n">
        <v>0</v>
      </c>
      <c r="M1518" s="30" t="str">
        <f aca="false">IF(K1518&lt;判定条件!$C$6,"判定不能",IF(L1518&gt;=判定条件!$C$7*K1518,"運転",IF(L1518&lt;=判定条件!$C$8*K1518,"停止","断続")))</f>
        <v>停止</v>
      </c>
      <c r="N1518" s="30" t="n">
        <v>60</v>
      </c>
      <c r="O1518" s="30" t="n">
        <v>0</v>
      </c>
      <c r="P1518" s="30" t="str">
        <f aca="false">IF(N1518&lt;判定条件!$C$6,"判定不能",IF(O1518&gt;=判定条件!$C$7*N1518,"運転",IF(O1518&lt;=判定条件!$C$8*N1518,"停止","断続")))</f>
        <v>停止</v>
      </c>
      <c r="Q1518" s="30" t="n">
        <v>60</v>
      </c>
      <c r="R1518" s="30" t="n">
        <v>0</v>
      </c>
      <c r="S1518" s="30" t="str">
        <f aca="false">IF(Q1518&lt;判定条件!$C$6,"判定不能",IF(R1518&gt;=判定条件!$C$7*Q1518,"運転",IF(R1518&lt;=判定条件!$C$8*Q1518,"停止","断続")))</f>
        <v>停止</v>
      </c>
      <c r="T1518" s="30" t="n">
        <v>60</v>
      </c>
      <c r="U1518" s="30" t="n">
        <v>0</v>
      </c>
      <c r="V1518" s="30" t="str">
        <f aca="false">IF(T1518&lt;判定条件!$C$6,"判定不能",IF(U1518&gt;=判定条件!$C$7*T1518,"運転",IF(U1518&lt;=判定条件!$C$8*T1518,"停止","断続")))</f>
        <v>停止</v>
      </c>
      <c r="W1518" s="30" t="n">
        <v>0</v>
      </c>
      <c r="X1518" s="30" t="n">
        <v>0</v>
      </c>
      <c r="Y1518" s="30" t="str">
        <f aca="false">IF(W1518&lt;判定条件!$C$6,"判定不能",IF(X1518&gt;=判定条件!$C$7*W1518,"運転",IF(X1518&lt;=判定条件!$C$8*W1518,"停止","断続")))</f>
        <v>判定不能</v>
      </c>
      <c r="Z1518" s="30" t="n">
        <v>0</v>
      </c>
      <c r="AA1518" s="30" t="n">
        <v>0</v>
      </c>
      <c r="AB1518" s="30" t="str">
        <f aca="false">IF(Z1518&lt;判定条件!$C$6,"判定不能",IF(AA1518&gt;=判定条件!$C$7*Z1518,"運転",IF(AA1518&lt;=判定条件!$C$8*Z1518,"停止","断続")))</f>
        <v>判定不能</v>
      </c>
      <c r="AC1518" s="30" t="n">
        <v>0</v>
      </c>
      <c r="AD1518" s="30" t="n">
        <v>0</v>
      </c>
      <c r="AE1518" s="30" t="str">
        <f aca="false">IF(AC1518&lt;判定条件!$C$6,"判定不能",IF(AD1518&gt;=判定条件!$C$7*AC1518,"運転",IF(AD1518&lt;=判定条件!$C$8*AC1518,"停止","断続")))</f>
        <v>判定不能</v>
      </c>
      <c r="AF1518" s="30" t="n">
        <v>60</v>
      </c>
      <c r="AG1518" s="30" t="n">
        <v>0</v>
      </c>
      <c r="AH1518" s="30" t="str">
        <f aca="false">IF(OR(P1518="判定不能",G1518="判定不能"),"判定不能",IF(AG1518&gt;=判定条件!$C$9,"利用可",IF(AND(P1518="停止",G1518="停止"),"両方停止","運転がそろわない")))</f>
        <v>両方停止</v>
      </c>
      <c r="AI1518" s="30" t="n">
        <v>60</v>
      </c>
      <c r="AJ1518" s="30" t="n">
        <v>0</v>
      </c>
      <c r="AK1518" s="30" t="str">
        <f aca="false">IF(OR(S1518="判定不能",J1518="判定不能"),"判定不能",IF(AJ1518&gt;=判定条件!$C$9,"利用可",IF(AND(S1518="停止",J1518="停止"),"両方停止","運転がそろわない")))</f>
        <v>両方停止</v>
      </c>
      <c r="AL1518" s="30" t="n">
        <v>60</v>
      </c>
      <c r="AM1518" s="30" t="n">
        <v>0</v>
      </c>
      <c r="AN1518" s="30" t="str">
        <f aca="false">IF(OR(V1518="判定不能",M1518="判定不能"),"判定不能",IF(AM1518&gt;=判定条件!$C$9,"利用可",IF(AND(V1518="停止",M1518="停止"),"両方停止","運転がそろわない")))</f>
        <v>両方停止</v>
      </c>
      <c r="AO1518" s="30" t="n">
        <v>0</v>
      </c>
      <c r="AP1518" s="30" t="n">
        <v>0</v>
      </c>
      <c r="AQ1518" s="30" t="str">
        <f aca="false">IF(OR(Y1518="判定不能",G1518="判定不能"),"判定不能",IF(AP1518&gt;=判定条件!$C$9,"利用可",IF(AND(Y1518="停止",G1518="停止"),"両方停止","運転がそろわない")))</f>
        <v>判定不能</v>
      </c>
      <c r="AR1518" s="30" t="n">
        <v>0</v>
      </c>
      <c r="AS1518" s="30" t="n">
        <v>0</v>
      </c>
      <c r="AT1518" s="30" t="str">
        <f aca="false">IF(OR(AB1518="判定不能",J1518="判定不能"),"判定不能",IF(AS1518&gt;=判定条件!$C$9,"利用可",IF(AND(AB1518="停止",J1518="停止"),"両方停止","運転がそろわない")))</f>
        <v>判定不能</v>
      </c>
      <c r="AU1518" s="30" t="n">
        <v>0</v>
      </c>
      <c r="AV1518" s="30" t="n">
        <v>0</v>
      </c>
      <c r="AW1518" s="30" t="str">
        <f aca="false">IF(OR(AE1518="判定不能",M1518="判定不能"),"判定不能",IF(AV1518&gt;=判定条件!$C$9,"利用可",IF(AND(AE1518="停止",M1518="停止"),"両方停止","運転がそろわない")))</f>
        <v>判定不能</v>
      </c>
      <c r="AX1518" s="30" t="str">
        <f aca="false">IF(AND(AH1518="利用可",AK1518="利用可",AN1518="利用可"),"利用可","不可")</f>
        <v>不可</v>
      </c>
      <c r="AY1518" s="30" t="str">
        <f aca="false">IF(AND(AQ1518="利用可",AT1518="利用可",AW1518="利用可"),"利用可","不可")</f>
        <v>不可</v>
      </c>
    </row>
    <row r="1519" customFormat="false" ht="15" hidden="false" customHeight="false" outlineLevel="0" collapsed="false">
      <c r="A1519" s="29" t="n">
        <v>46295</v>
      </c>
      <c r="B1519" s="30" t="n">
        <v>4</v>
      </c>
      <c r="C1519" s="31" t="s">
        <v>58</v>
      </c>
      <c r="D1519" s="31" t="s">
        <v>59</v>
      </c>
      <c r="E1519" s="30" t="n">
        <v>60</v>
      </c>
      <c r="F1519" s="30" t="n">
        <v>0</v>
      </c>
      <c r="G1519" s="30" t="str">
        <f aca="false">IF(E1519&lt;判定条件!$C$6,"判定不能",IF(F1519&gt;=判定条件!$C$7*E1519,"運転",IF(F1519&lt;=判定条件!$C$8*E1519,"停止","断続")))</f>
        <v>停止</v>
      </c>
      <c r="H1519" s="30" t="n">
        <v>60</v>
      </c>
      <c r="I1519" s="30" t="n">
        <v>0</v>
      </c>
      <c r="J1519" s="30" t="str">
        <f aca="false">IF(H1519&lt;判定条件!$C$6,"判定不能",IF(I1519&gt;=判定条件!$C$7*H1519,"運転",IF(I1519&lt;=判定条件!$C$8*H1519,"停止","断続")))</f>
        <v>停止</v>
      </c>
      <c r="K1519" s="30" t="n">
        <v>60</v>
      </c>
      <c r="L1519" s="30" t="n">
        <v>0</v>
      </c>
      <c r="M1519" s="30" t="str">
        <f aca="false">IF(K1519&lt;判定条件!$C$6,"判定不能",IF(L1519&gt;=判定条件!$C$7*K1519,"運転",IF(L1519&lt;=判定条件!$C$8*K1519,"停止","断続")))</f>
        <v>停止</v>
      </c>
      <c r="N1519" s="30" t="n">
        <v>60</v>
      </c>
      <c r="O1519" s="30" t="n">
        <v>0</v>
      </c>
      <c r="P1519" s="30" t="str">
        <f aca="false">IF(N1519&lt;判定条件!$C$6,"判定不能",IF(O1519&gt;=判定条件!$C$7*N1519,"運転",IF(O1519&lt;=判定条件!$C$8*N1519,"停止","断続")))</f>
        <v>停止</v>
      </c>
      <c r="Q1519" s="30" t="n">
        <v>60</v>
      </c>
      <c r="R1519" s="30" t="n">
        <v>0</v>
      </c>
      <c r="S1519" s="30" t="str">
        <f aca="false">IF(Q1519&lt;判定条件!$C$6,"判定不能",IF(R1519&gt;=判定条件!$C$7*Q1519,"運転",IF(R1519&lt;=判定条件!$C$8*Q1519,"停止","断続")))</f>
        <v>停止</v>
      </c>
      <c r="T1519" s="30" t="n">
        <v>60</v>
      </c>
      <c r="U1519" s="30" t="n">
        <v>0</v>
      </c>
      <c r="V1519" s="30" t="str">
        <f aca="false">IF(T1519&lt;判定条件!$C$6,"判定不能",IF(U1519&gt;=判定条件!$C$7*T1519,"運転",IF(U1519&lt;=判定条件!$C$8*T1519,"停止","断続")))</f>
        <v>停止</v>
      </c>
      <c r="W1519" s="30" t="n">
        <v>0</v>
      </c>
      <c r="X1519" s="30" t="n">
        <v>0</v>
      </c>
      <c r="Y1519" s="30" t="str">
        <f aca="false">IF(W1519&lt;判定条件!$C$6,"判定不能",IF(X1519&gt;=判定条件!$C$7*W1519,"運転",IF(X1519&lt;=判定条件!$C$8*W1519,"停止","断続")))</f>
        <v>判定不能</v>
      </c>
      <c r="Z1519" s="30" t="n">
        <v>0</v>
      </c>
      <c r="AA1519" s="30" t="n">
        <v>0</v>
      </c>
      <c r="AB1519" s="30" t="str">
        <f aca="false">IF(Z1519&lt;判定条件!$C$6,"判定不能",IF(AA1519&gt;=判定条件!$C$7*Z1519,"運転",IF(AA1519&lt;=判定条件!$C$8*Z1519,"停止","断続")))</f>
        <v>判定不能</v>
      </c>
      <c r="AC1519" s="30" t="n">
        <v>0</v>
      </c>
      <c r="AD1519" s="30" t="n">
        <v>0</v>
      </c>
      <c r="AE1519" s="30" t="str">
        <f aca="false">IF(AC1519&lt;判定条件!$C$6,"判定不能",IF(AD1519&gt;=判定条件!$C$7*AC1519,"運転",IF(AD1519&lt;=判定条件!$C$8*AC1519,"停止","断続")))</f>
        <v>判定不能</v>
      </c>
      <c r="AF1519" s="30" t="n">
        <v>60</v>
      </c>
      <c r="AG1519" s="30" t="n">
        <v>0</v>
      </c>
      <c r="AH1519" s="30" t="str">
        <f aca="false">IF(OR(P1519="判定不能",G1519="判定不能"),"判定不能",IF(AG1519&gt;=判定条件!$C$9,"利用可",IF(AND(P1519="停止",G1519="停止"),"両方停止","運転がそろわない")))</f>
        <v>両方停止</v>
      </c>
      <c r="AI1519" s="30" t="n">
        <v>60</v>
      </c>
      <c r="AJ1519" s="30" t="n">
        <v>0</v>
      </c>
      <c r="AK1519" s="30" t="str">
        <f aca="false">IF(OR(S1519="判定不能",J1519="判定不能"),"判定不能",IF(AJ1519&gt;=判定条件!$C$9,"利用可",IF(AND(S1519="停止",J1519="停止"),"両方停止","運転がそろわない")))</f>
        <v>両方停止</v>
      </c>
      <c r="AL1519" s="30" t="n">
        <v>60</v>
      </c>
      <c r="AM1519" s="30" t="n">
        <v>0</v>
      </c>
      <c r="AN1519" s="30" t="str">
        <f aca="false">IF(OR(V1519="判定不能",M1519="判定不能"),"判定不能",IF(AM1519&gt;=判定条件!$C$9,"利用可",IF(AND(V1519="停止",M1519="停止"),"両方停止","運転がそろわない")))</f>
        <v>両方停止</v>
      </c>
      <c r="AO1519" s="30" t="n">
        <v>0</v>
      </c>
      <c r="AP1519" s="30" t="n">
        <v>0</v>
      </c>
      <c r="AQ1519" s="30" t="str">
        <f aca="false">IF(OR(Y1519="判定不能",G1519="判定不能"),"判定不能",IF(AP1519&gt;=判定条件!$C$9,"利用可",IF(AND(Y1519="停止",G1519="停止"),"両方停止","運転がそろわない")))</f>
        <v>判定不能</v>
      </c>
      <c r="AR1519" s="30" t="n">
        <v>0</v>
      </c>
      <c r="AS1519" s="30" t="n">
        <v>0</v>
      </c>
      <c r="AT1519" s="30" t="str">
        <f aca="false">IF(OR(AB1519="判定不能",J1519="判定不能"),"判定不能",IF(AS1519&gt;=判定条件!$C$9,"利用可",IF(AND(AB1519="停止",J1519="停止"),"両方停止","運転がそろわない")))</f>
        <v>判定不能</v>
      </c>
      <c r="AU1519" s="30" t="n">
        <v>0</v>
      </c>
      <c r="AV1519" s="30" t="n">
        <v>0</v>
      </c>
      <c r="AW1519" s="30" t="str">
        <f aca="false">IF(OR(AE1519="判定不能",M1519="判定不能"),"判定不能",IF(AV1519&gt;=判定条件!$C$9,"利用可",IF(AND(AE1519="停止",M1519="停止"),"両方停止","運転がそろわない")))</f>
        <v>判定不能</v>
      </c>
      <c r="AX1519" s="30" t="str">
        <f aca="false">IF(AND(AH1519="利用可",AK1519="利用可",AN1519="利用可"),"利用可","不可")</f>
        <v>不可</v>
      </c>
      <c r="AY1519" s="30" t="str">
        <f aca="false">IF(AND(AQ1519="利用可",AT1519="利用可",AW1519="利用可"),"利用可","不可")</f>
        <v>不可</v>
      </c>
    </row>
    <row r="1520" customFormat="false" ht="15" hidden="false" customHeight="false" outlineLevel="0" collapsed="false">
      <c r="A1520" s="29" t="n">
        <v>46295</v>
      </c>
      <c r="B1520" s="30" t="n">
        <v>5</v>
      </c>
      <c r="C1520" s="31" t="s">
        <v>58</v>
      </c>
      <c r="D1520" s="31" t="s">
        <v>59</v>
      </c>
      <c r="E1520" s="30" t="n">
        <v>60</v>
      </c>
      <c r="F1520" s="30" t="n">
        <v>0</v>
      </c>
      <c r="G1520" s="30" t="str">
        <f aca="false">IF(E1520&lt;判定条件!$C$6,"判定不能",IF(F1520&gt;=判定条件!$C$7*E1520,"運転",IF(F1520&lt;=判定条件!$C$8*E1520,"停止","断続")))</f>
        <v>停止</v>
      </c>
      <c r="H1520" s="30" t="n">
        <v>60</v>
      </c>
      <c r="I1520" s="30" t="n">
        <v>0</v>
      </c>
      <c r="J1520" s="30" t="str">
        <f aca="false">IF(H1520&lt;判定条件!$C$6,"判定不能",IF(I1520&gt;=判定条件!$C$7*H1520,"運転",IF(I1520&lt;=判定条件!$C$8*H1520,"停止","断続")))</f>
        <v>停止</v>
      </c>
      <c r="K1520" s="30" t="n">
        <v>60</v>
      </c>
      <c r="L1520" s="30" t="n">
        <v>0</v>
      </c>
      <c r="M1520" s="30" t="str">
        <f aca="false">IF(K1520&lt;判定条件!$C$6,"判定不能",IF(L1520&gt;=判定条件!$C$7*K1520,"運転",IF(L1520&lt;=判定条件!$C$8*K1520,"停止","断続")))</f>
        <v>停止</v>
      </c>
      <c r="N1520" s="30" t="n">
        <v>60</v>
      </c>
      <c r="O1520" s="30" t="n">
        <v>0</v>
      </c>
      <c r="P1520" s="30" t="str">
        <f aca="false">IF(N1520&lt;判定条件!$C$6,"判定不能",IF(O1520&gt;=判定条件!$C$7*N1520,"運転",IF(O1520&lt;=判定条件!$C$8*N1520,"停止","断続")))</f>
        <v>停止</v>
      </c>
      <c r="Q1520" s="30" t="n">
        <v>60</v>
      </c>
      <c r="R1520" s="30" t="n">
        <v>0</v>
      </c>
      <c r="S1520" s="30" t="str">
        <f aca="false">IF(Q1520&lt;判定条件!$C$6,"判定不能",IF(R1520&gt;=判定条件!$C$7*Q1520,"運転",IF(R1520&lt;=判定条件!$C$8*Q1520,"停止","断続")))</f>
        <v>停止</v>
      </c>
      <c r="T1520" s="30" t="n">
        <v>60</v>
      </c>
      <c r="U1520" s="30" t="n">
        <v>0</v>
      </c>
      <c r="V1520" s="30" t="str">
        <f aca="false">IF(T1520&lt;判定条件!$C$6,"判定不能",IF(U1520&gt;=判定条件!$C$7*T1520,"運転",IF(U1520&lt;=判定条件!$C$8*T1520,"停止","断続")))</f>
        <v>停止</v>
      </c>
      <c r="W1520" s="30" t="n">
        <v>0</v>
      </c>
      <c r="X1520" s="30" t="n">
        <v>0</v>
      </c>
      <c r="Y1520" s="30" t="str">
        <f aca="false">IF(W1520&lt;判定条件!$C$6,"判定不能",IF(X1520&gt;=判定条件!$C$7*W1520,"運転",IF(X1520&lt;=判定条件!$C$8*W1520,"停止","断続")))</f>
        <v>判定不能</v>
      </c>
      <c r="Z1520" s="30" t="n">
        <v>0</v>
      </c>
      <c r="AA1520" s="30" t="n">
        <v>0</v>
      </c>
      <c r="AB1520" s="30" t="str">
        <f aca="false">IF(Z1520&lt;判定条件!$C$6,"判定不能",IF(AA1520&gt;=判定条件!$C$7*Z1520,"運転",IF(AA1520&lt;=判定条件!$C$8*Z1520,"停止","断続")))</f>
        <v>判定不能</v>
      </c>
      <c r="AC1520" s="30" t="n">
        <v>0</v>
      </c>
      <c r="AD1520" s="30" t="n">
        <v>0</v>
      </c>
      <c r="AE1520" s="30" t="str">
        <f aca="false">IF(AC1520&lt;判定条件!$C$6,"判定不能",IF(AD1520&gt;=判定条件!$C$7*AC1520,"運転",IF(AD1520&lt;=判定条件!$C$8*AC1520,"停止","断続")))</f>
        <v>判定不能</v>
      </c>
      <c r="AF1520" s="30" t="n">
        <v>60</v>
      </c>
      <c r="AG1520" s="30" t="n">
        <v>0</v>
      </c>
      <c r="AH1520" s="30" t="str">
        <f aca="false">IF(OR(P1520="判定不能",G1520="判定不能"),"判定不能",IF(AG1520&gt;=判定条件!$C$9,"利用可",IF(AND(P1520="停止",G1520="停止"),"両方停止","運転がそろわない")))</f>
        <v>両方停止</v>
      </c>
      <c r="AI1520" s="30" t="n">
        <v>60</v>
      </c>
      <c r="AJ1520" s="30" t="n">
        <v>0</v>
      </c>
      <c r="AK1520" s="30" t="str">
        <f aca="false">IF(OR(S1520="判定不能",J1520="判定不能"),"判定不能",IF(AJ1520&gt;=判定条件!$C$9,"利用可",IF(AND(S1520="停止",J1520="停止"),"両方停止","運転がそろわない")))</f>
        <v>両方停止</v>
      </c>
      <c r="AL1520" s="30" t="n">
        <v>60</v>
      </c>
      <c r="AM1520" s="30" t="n">
        <v>0</v>
      </c>
      <c r="AN1520" s="30" t="str">
        <f aca="false">IF(OR(V1520="判定不能",M1520="判定不能"),"判定不能",IF(AM1520&gt;=判定条件!$C$9,"利用可",IF(AND(V1520="停止",M1520="停止"),"両方停止","運転がそろわない")))</f>
        <v>両方停止</v>
      </c>
      <c r="AO1520" s="30" t="n">
        <v>0</v>
      </c>
      <c r="AP1520" s="30" t="n">
        <v>0</v>
      </c>
      <c r="AQ1520" s="30" t="str">
        <f aca="false">IF(OR(Y1520="判定不能",G1520="判定不能"),"判定不能",IF(AP1520&gt;=判定条件!$C$9,"利用可",IF(AND(Y1520="停止",G1520="停止"),"両方停止","運転がそろわない")))</f>
        <v>判定不能</v>
      </c>
      <c r="AR1520" s="30" t="n">
        <v>0</v>
      </c>
      <c r="AS1520" s="30" t="n">
        <v>0</v>
      </c>
      <c r="AT1520" s="30" t="str">
        <f aca="false">IF(OR(AB1520="判定不能",J1520="判定不能"),"判定不能",IF(AS1520&gt;=判定条件!$C$9,"利用可",IF(AND(AB1520="停止",J1520="停止"),"両方停止","運転がそろわない")))</f>
        <v>判定不能</v>
      </c>
      <c r="AU1520" s="30" t="n">
        <v>0</v>
      </c>
      <c r="AV1520" s="30" t="n">
        <v>0</v>
      </c>
      <c r="AW1520" s="30" t="str">
        <f aca="false">IF(OR(AE1520="判定不能",M1520="判定不能"),"判定不能",IF(AV1520&gt;=判定条件!$C$9,"利用可",IF(AND(AE1520="停止",M1520="停止"),"両方停止","運転がそろわない")))</f>
        <v>判定不能</v>
      </c>
      <c r="AX1520" s="30" t="str">
        <f aca="false">IF(AND(AH1520="利用可",AK1520="利用可",AN1520="利用可"),"利用可","不可")</f>
        <v>不可</v>
      </c>
      <c r="AY1520" s="30" t="str">
        <f aca="false">IF(AND(AQ1520="利用可",AT1520="利用可",AW1520="利用可"),"利用可","不可")</f>
        <v>不可</v>
      </c>
    </row>
    <row r="1521" customFormat="false" ht="15" hidden="false" customHeight="false" outlineLevel="0" collapsed="false">
      <c r="A1521" s="29" t="n">
        <v>46295</v>
      </c>
      <c r="B1521" s="30" t="n">
        <v>6</v>
      </c>
      <c r="C1521" s="31" t="s">
        <v>58</v>
      </c>
      <c r="D1521" s="31" t="s">
        <v>59</v>
      </c>
      <c r="E1521" s="30" t="n">
        <v>60</v>
      </c>
      <c r="F1521" s="30" t="n">
        <v>0</v>
      </c>
      <c r="G1521" s="30" t="str">
        <f aca="false">IF(E1521&lt;判定条件!$C$6,"判定不能",IF(F1521&gt;=判定条件!$C$7*E1521,"運転",IF(F1521&lt;=判定条件!$C$8*E1521,"停止","断続")))</f>
        <v>停止</v>
      </c>
      <c r="H1521" s="30" t="n">
        <v>60</v>
      </c>
      <c r="I1521" s="30" t="n">
        <v>0</v>
      </c>
      <c r="J1521" s="30" t="str">
        <f aca="false">IF(H1521&lt;判定条件!$C$6,"判定不能",IF(I1521&gt;=判定条件!$C$7*H1521,"運転",IF(I1521&lt;=判定条件!$C$8*H1521,"停止","断続")))</f>
        <v>停止</v>
      </c>
      <c r="K1521" s="30" t="n">
        <v>60</v>
      </c>
      <c r="L1521" s="30" t="n">
        <v>0</v>
      </c>
      <c r="M1521" s="30" t="str">
        <f aca="false">IF(K1521&lt;判定条件!$C$6,"判定不能",IF(L1521&gt;=判定条件!$C$7*K1521,"運転",IF(L1521&lt;=判定条件!$C$8*K1521,"停止","断続")))</f>
        <v>停止</v>
      </c>
      <c r="N1521" s="30" t="n">
        <v>60</v>
      </c>
      <c r="O1521" s="30" t="n">
        <v>0</v>
      </c>
      <c r="P1521" s="30" t="str">
        <f aca="false">IF(N1521&lt;判定条件!$C$6,"判定不能",IF(O1521&gt;=判定条件!$C$7*N1521,"運転",IF(O1521&lt;=判定条件!$C$8*N1521,"停止","断続")))</f>
        <v>停止</v>
      </c>
      <c r="Q1521" s="30" t="n">
        <v>60</v>
      </c>
      <c r="R1521" s="30" t="n">
        <v>0</v>
      </c>
      <c r="S1521" s="30" t="str">
        <f aca="false">IF(Q1521&lt;判定条件!$C$6,"判定不能",IF(R1521&gt;=判定条件!$C$7*Q1521,"運転",IF(R1521&lt;=判定条件!$C$8*Q1521,"停止","断続")))</f>
        <v>停止</v>
      </c>
      <c r="T1521" s="30" t="n">
        <v>60</v>
      </c>
      <c r="U1521" s="30" t="n">
        <v>0</v>
      </c>
      <c r="V1521" s="30" t="str">
        <f aca="false">IF(T1521&lt;判定条件!$C$6,"判定不能",IF(U1521&gt;=判定条件!$C$7*T1521,"運転",IF(U1521&lt;=判定条件!$C$8*T1521,"停止","断続")))</f>
        <v>停止</v>
      </c>
      <c r="W1521" s="30" t="n">
        <v>0</v>
      </c>
      <c r="X1521" s="30" t="n">
        <v>0</v>
      </c>
      <c r="Y1521" s="30" t="str">
        <f aca="false">IF(W1521&lt;判定条件!$C$6,"判定不能",IF(X1521&gt;=判定条件!$C$7*W1521,"運転",IF(X1521&lt;=判定条件!$C$8*W1521,"停止","断続")))</f>
        <v>判定不能</v>
      </c>
      <c r="Z1521" s="30" t="n">
        <v>0</v>
      </c>
      <c r="AA1521" s="30" t="n">
        <v>0</v>
      </c>
      <c r="AB1521" s="30" t="str">
        <f aca="false">IF(Z1521&lt;判定条件!$C$6,"判定不能",IF(AA1521&gt;=判定条件!$C$7*Z1521,"運転",IF(AA1521&lt;=判定条件!$C$8*Z1521,"停止","断続")))</f>
        <v>判定不能</v>
      </c>
      <c r="AC1521" s="30" t="n">
        <v>0</v>
      </c>
      <c r="AD1521" s="30" t="n">
        <v>0</v>
      </c>
      <c r="AE1521" s="30" t="str">
        <f aca="false">IF(AC1521&lt;判定条件!$C$6,"判定不能",IF(AD1521&gt;=判定条件!$C$7*AC1521,"運転",IF(AD1521&lt;=判定条件!$C$8*AC1521,"停止","断続")))</f>
        <v>判定不能</v>
      </c>
      <c r="AF1521" s="30" t="n">
        <v>60</v>
      </c>
      <c r="AG1521" s="30" t="n">
        <v>0</v>
      </c>
      <c r="AH1521" s="30" t="str">
        <f aca="false">IF(OR(P1521="判定不能",G1521="判定不能"),"判定不能",IF(AG1521&gt;=判定条件!$C$9,"利用可",IF(AND(P1521="停止",G1521="停止"),"両方停止","運転がそろわない")))</f>
        <v>両方停止</v>
      </c>
      <c r="AI1521" s="30" t="n">
        <v>60</v>
      </c>
      <c r="AJ1521" s="30" t="n">
        <v>0</v>
      </c>
      <c r="AK1521" s="30" t="str">
        <f aca="false">IF(OR(S1521="判定不能",J1521="判定不能"),"判定不能",IF(AJ1521&gt;=判定条件!$C$9,"利用可",IF(AND(S1521="停止",J1521="停止"),"両方停止","運転がそろわない")))</f>
        <v>両方停止</v>
      </c>
      <c r="AL1521" s="30" t="n">
        <v>60</v>
      </c>
      <c r="AM1521" s="30" t="n">
        <v>0</v>
      </c>
      <c r="AN1521" s="30" t="str">
        <f aca="false">IF(OR(V1521="判定不能",M1521="判定不能"),"判定不能",IF(AM1521&gt;=判定条件!$C$9,"利用可",IF(AND(V1521="停止",M1521="停止"),"両方停止","運転がそろわない")))</f>
        <v>両方停止</v>
      </c>
      <c r="AO1521" s="30" t="n">
        <v>0</v>
      </c>
      <c r="AP1521" s="30" t="n">
        <v>0</v>
      </c>
      <c r="AQ1521" s="30" t="str">
        <f aca="false">IF(OR(Y1521="判定不能",G1521="判定不能"),"判定不能",IF(AP1521&gt;=判定条件!$C$9,"利用可",IF(AND(Y1521="停止",G1521="停止"),"両方停止","運転がそろわない")))</f>
        <v>判定不能</v>
      </c>
      <c r="AR1521" s="30" t="n">
        <v>0</v>
      </c>
      <c r="AS1521" s="30" t="n">
        <v>0</v>
      </c>
      <c r="AT1521" s="30" t="str">
        <f aca="false">IF(OR(AB1521="判定不能",J1521="判定不能"),"判定不能",IF(AS1521&gt;=判定条件!$C$9,"利用可",IF(AND(AB1521="停止",J1521="停止"),"両方停止","運転がそろわない")))</f>
        <v>判定不能</v>
      </c>
      <c r="AU1521" s="30" t="n">
        <v>0</v>
      </c>
      <c r="AV1521" s="30" t="n">
        <v>0</v>
      </c>
      <c r="AW1521" s="30" t="str">
        <f aca="false">IF(OR(AE1521="判定不能",M1521="判定不能"),"判定不能",IF(AV1521&gt;=判定条件!$C$9,"利用可",IF(AND(AE1521="停止",M1521="停止"),"両方停止","運転がそろわない")))</f>
        <v>判定不能</v>
      </c>
      <c r="AX1521" s="30" t="str">
        <f aca="false">IF(AND(AH1521="利用可",AK1521="利用可",AN1521="利用可"),"利用可","不可")</f>
        <v>不可</v>
      </c>
      <c r="AY1521" s="30" t="str">
        <f aca="false">IF(AND(AQ1521="利用可",AT1521="利用可",AW1521="利用可"),"利用可","不可")</f>
        <v>不可</v>
      </c>
    </row>
    <row r="1522" customFormat="false" ht="15" hidden="false" customHeight="false" outlineLevel="0" collapsed="false">
      <c r="A1522" s="29" t="n">
        <v>46295</v>
      </c>
      <c r="B1522" s="30" t="n">
        <v>7</v>
      </c>
      <c r="C1522" s="31" t="s">
        <v>58</v>
      </c>
      <c r="D1522" s="31" t="s">
        <v>59</v>
      </c>
      <c r="E1522" s="30" t="n">
        <v>60</v>
      </c>
      <c r="F1522" s="30" t="n">
        <v>0</v>
      </c>
      <c r="G1522" s="30" t="str">
        <f aca="false">IF(E1522&lt;判定条件!$C$6,"判定不能",IF(F1522&gt;=判定条件!$C$7*E1522,"運転",IF(F1522&lt;=判定条件!$C$8*E1522,"停止","断続")))</f>
        <v>停止</v>
      </c>
      <c r="H1522" s="30" t="n">
        <v>60</v>
      </c>
      <c r="I1522" s="30" t="n">
        <v>0</v>
      </c>
      <c r="J1522" s="30" t="str">
        <f aca="false">IF(H1522&lt;判定条件!$C$6,"判定不能",IF(I1522&gt;=判定条件!$C$7*H1522,"運転",IF(I1522&lt;=判定条件!$C$8*H1522,"停止","断続")))</f>
        <v>停止</v>
      </c>
      <c r="K1522" s="30" t="n">
        <v>60</v>
      </c>
      <c r="L1522" s="30" t="n">
        <v>0</v>
      </c>
      <c r="M1522" s="30" t="str">
        <f aca="false">IF(K1522&lt;判定条件!$C$6,"判定不能",IF(L1522&gt;=判定条件!$C$7*K1522,"運転",IF(L1522&lt;=判定条件!$C$8*K1522,"停止","断続")))</f>
        <v>停止</v>
      </c>
      <c r="N1522" s="30" t="n">
        <v>60</v>
      </c>
      <c r="O1522" s="30" t="n">
        <v>0</v>
      </c>
      <c r="P1522" s="30" t="str">
        <f aca="false">IF(N1522&lt;判定条件!$C$6,"判定不能",IF(O1522&gt;=判定条件!$C$7*N1522,"運転",IF(O1522&lt;=判定条件!$C$8*N1522,"停止","断続")))</f>
        <v>停止</v>
      </c>
      <c r="Q1522" s="30" t="n">
        <v>60</v>
      </c>
      <c r="R1522" s="30" t="n">
        <v>6</v>
      </c>
      <c r="S1522" s="30" t="str">
        <f aca="false">IF(Q1522&lt;判定条件!$C$6,"判定不能",IF(R1522&gt;=判定条件!$C$7*Q1522,"運転",IF(R1522&lt;=判定条件!$C$8*Q1522,"停止","断続")))</f>
        <v>停止</v>
      </c>
      <c r="T1522" s="30" t="n">
        <v>60</v>
      </c>
      <c r="U1522" s="30" t="n">
        <v>0</v>
      </c>
      <c r="V1522" s="30" t="str">
        <f aca="false">IF(T1522&lt;判定条件!$C$6,"判定不能",IF(U1522&gt;=判定条件!$C$7*T1522,"運転",IF(U1522&lt;=判定条件!$C$8*T1522,"停止","断続")))</f>
        <v>停止</v>
      </c>
      <c r="W1522" s="30" t="n">
        <v>0</v>
      </c>
      <c r="X1522" s="30" t="n">
        <v>0</v>
      </c>
      <c r="Y1522" s="30" t="str">
        <f aca="false">IF(W1522&lt;判定条件!$C$6,"判定不能",IF(X1522&gt;=判定条件!$C$7*W1522,"運転",IF(X1522&lt;=判定条件!$C$8*W1522,"停止","断続")))</f>
        <v>判定不能</v>
      </c>
      <c r="Z1522" s="30" t="n">
        <v>0</v>
      </c>
      <c r="AA1522" s="30" t="n">
        <v>0</v>
      </c>
      <c r="AB1522" s="30" t="str">
        <f aca="false">IF(Z1522&lt;判定条件!$C$6,"判定不能",IF(AA1522&gt;=判定条件!$C$7*Z1522,"運転",IF(AA1522&lt;=判定条件!$C$8*Z1522,"停止","断続")))</f>
        <v>判定不能</v>
      </c>
      <c r="AC1522" s="30" t="n">
        <v>0</v>
      </c>
      <c r="AD1522" s="30" t="n">
        <v>0</v>
      </c>
      <c r="AE1522" s="30" t="str">
        <f aca="false">IF(AC1522&lt;判定条件!$C$6,"判定不能",IF(AD1522&gt;=判定条件!$C$7*AC1522,"運転",IF(AD1522&lt;=判定条件!$C$8*AC1522,"停止","断続")))</f>
        <v>判定不能</v>
      </c>
      <c r="AF1522" s="30" t="n">
        <v>60</v>
      </c>
      <c r="AG1522" s="30" t="n">
        <v>0</v>
      </c>
      <c r="AH1522" s="30" t="str">
        <f aca="false">IF(OR(P1522="判定不能",G1522="判定不能"),"判定不能",IF(AG1522&gt;=判定条件!$C$9,"利用可",IF(AND(P1522="停止",G1522="停止"),"両方停止","運転がそろわない")))</f>
        <v>両方停止</v>
      </c>
      <c r="AI1522" s="30" t="n">
        <v>60</v>
      </c>
      <c r="AJ1522" s="30" t="n">
        <v>0</v>
      </c>
      <c r="AK1522" s="30" t="str">
        <f aca="false">IF(OR(S1522="判定不能",J1522="判定不能"),"判定不能",IF(AJ1522&gt;=判定条件!$C$9,"利用可",IF(AND(S1522="停止",J1522="停止"),"両方停止","運転がそろわない")))</f>
        <v>両方停止</v>
      </c>
      <c r="AL1522" s="30" t="n">
        <v>60</v>
      </c>
      <c r="AM1522" s="30" t="n">
        <v>0</v>
      </c>
      <c r="AN1522" s="30" t="str">
        <f aca="false">IF(OR(V1522="判定不能",M1522="判定不能"),"判定不能",IF(AM1522&gt;=判定条件!$C$9,"利用可",IF(AND(V1522="停止",M1522="停止"),"両方停止","運転がそろわない")))</f>
        <v>両方停止</v>
      </c>
      <c r="AO1522" s="30" t="n">
        <v>0</v>
      </c>
      <c r="AP1522" s="30" t="n">
        <v>0</v>
      </c>
      <c r="AQ1522" s="30" t="str">
        <f aca="false">IF(OR(Y1522="判定不能",G1522="判定不能"),"判定不能",IF(AP1522&gt;=判定条件!$C$9,"利用可",IF(AND(Y1522="停止",G1522="停止"),"両方停止","運転がそろわない")))</f>
        <v>判定不能</v>
      </c>
      <c r="AR1522" s="30" t="n">
        <v>0</v>
      </c>
      <c r="AS1522" s="30" t="n">
        <v>0</v>
      </c>
      <c r="AT1522" s="30" t="str">
        <f aca="false">IF(OR(AB1522="判定不能",J1522="判定不能"),"判定不能",IF(AS1522&gt;=判定条件!$C$9,"利用可",IF(AND(AB1522="停止",J1522="停止"),"両方停止","運転がそろわない")))</f>
        <v>判定不能</v>
      </c>
      <c r="AU1522" s="30" t="n">
        <v>0</v>
      </c>
      <c r="AV1522" s="30" t="n">
        <v>0</v>
      </c>
      <c r="AW1522" s="30" t="str">
        <f aca="false">IF(OR(AE1522="判定不能",M1522="判定不能"),"判定不能",IF(AV1522&gt;=判定条件!$C$9,"利用可",IF(AND(AE1522="停止",M1522="停止"),"両方停止","運転がそろわない")))</f>
        <v>判定不能</v>
      </c>
      <c r="AX1522" s="30" t="str">
        <f aca="false">IF(AND(AH1522="利用可",AK1522="利用可",AN1522="利用可"),"利用可","不可")</f>
        <v>不可</v>
      </c>
      <c r="AY1522" s="30" t="str">
        <f aca="false">IF(AND(AQ1522="利用可",AT1522="利用可",AW1522="利用可"),"利用可","不可")</f>
        <v>不可</v>
      </c>
    </row>
    <row r="1523" customFormat="false" ht="15" hidden="false" customHeight="false" outlineLevel="0" collapsed="false">
      <c r="A1523" s="29" t="n">
        <v>46295</v>
      </c>
      <c r="B1523" s="30" t="n">
        <v>8</v>
      </c>
      <c r="C1523" s="31" t="s">
        <v>58</v>
      </c>
      <c r="D1523" s="31" t="s">
        <v>59</v>
      </c>
      <c r="E1523" s="30" t="n">
        <v>60</v>
      </c>
      <c r="F1523" s="30" t="n">
        <v>0</v>
      </c>
      <c r="G1523" s="30" t="str">
        <f aca="false">IF(E1523&lt;判定条件!$C$6,"判定不能",IF(F1523&gt;=判定条件!$C$7*E1523,"運転",IF(F1523&lt;=判定条件!$C$8*E1523,"停止","断続")))</f>
        <v>停止</v>
      </c>
      <c r="H1523" s="30" t="n">
        <v>60</v>
      </c>
      <c r="I1523" s="30" t="n">
        <v>0</v>
      </c>
      <c r="J1523" s="30" t="str">
        <f aca="false">IF(H1523&lt;判定条件!$C$6,"判定不能",IF(I1523&gt;=判定条件!$C$7*H1523,"運転",IF(I1523&lt;=判定条件!$C$8*H1523,"停止","断続")))</f>
        <v>停止</v>
      </c>
      <c r="K1523" s="30" t="n">
        <v>60</v>
      </c>
      <c r="L1523" s="30" t="n">
        <v>0</v>
      </c>
      <c r="M1523" s="30" t="str">
        <f aca="false">IF(K1523&lt;判定条件!$C$6,"判定不能",IF(L1523&gt;=判定条件!$C$7*K1523,"運転",IF(L1523&lt;=判定条件!$C$8*K1523,"停止","断続")))</f>
        <v>停止</v>
      </c>
      <c r="N1523" s="30" t="n">
        <v>60</v>
      </c>
      <c r="O1523" s="30" t="n">
        <v>0</v>
      </c>
      <c r="P1523" s="30" t="str">
        <f aca="false">IF(N1523&lt;判定条件!$C$6,"判定不能",IF(O1523&gt;=判定条件!$C$7*N1523,"運転",IF(O1523&lt;=判定条件!$C$8*N1523,"停止","断続")))</f>
        <v>停止</v>
      </c>
      <c r="Q1523" s="30" t="n">
        <v>60</v>
      </c>
      <c r="R1523" s="30" t="n">
        <v>5</v>
      </c>
      <c r="S1523" s="30" t="str">
        <f aca="false">IF(Q1523&lt;判定条件!$C$6,"判定不能",IF(R1523&gt;=判定条件!$C$7*Q1523,"運転",IF(R1523&lt;=判定条件!$C$8*Q1523,"停止","断続")))</f>
        <v>停止</v>
      </c>
      <c r="T1523" s="30" t="n">
        <v>60</v>
      </c>
      <c r="U1523" s="30" t="n">
        <v>0</v>
      </c>
      <c r="V1523" s="30" t="str">
        <f aca="false">IF(T1523&lt;判定条件!$C$6,"判定不能",IF(U1523&gt;=判定条件!$C$7*T1523,"運転",IF(U1523&lt;=判定条件!$C$8*T1523,"停止","断続")))</f>
        <v>停止</v>
      </c>
      <c r="W1523" s="30" t="n">
        <v>0</v>
      </c>
      <c r="X1523" s="30" t="n">
        <v>0</v>
      </c>
      <c r="Y1523" s="30" t="str">
        <f aca="false">IF(W1523&lt;判定条件!$C$6,"判定不能",IF(X1523&gt;=判定条件!$C$7*W1523,"運転",IF(X1523&lt;=判定条件!$C$8*W1523,"停止","断続")))</f>
        <v>判定不能</v>
      </c>
      <c r="Z1523" s="30" t="n">
        <v>0</v>
      </c>
      <c r="AA1523" s="30" t="n">
        <v>0</v>
      </c>
      <c r="AB1523" s="30" t="str">
        <f aca="false">IF(Z1523&lt;判定条件!$C$6,"判定不能",IF(AA1523&gt;=判定条件!$C$7*Z1523,"運転",IF(AA1523&lt;=判定条件!$C$8*Z1523,"停止","断続")))</f>
        <v>判定不能</v>
      </c>
      <c r="AC1523" s="30" t="n">
        <v>0</v>
      </c>
      <c r="AD1523" s="30" t="n">
        <v>0</v>
      </c>
      <c r="AE1523" s="30" t="str">
        <f aca="false">IF(AC1523&lt;判定条件!$C$6,"判定不能",IF(AD1523&gt;=判定条件!$C$7*AC1523,"運転",IF(AD1523&lt;=判定条件!$C$8*AC1523,"停止","断続")))</f>
        <v>判定不能</v>
      </c>
      <c r="AF1523" s="30" t="n">
        <v>60</v>
      </c>
      <c r="AG1523" s="30" t="n">
        <v>0</v>
      </c>
      <c r="AH1523" s="30" t="str">
        <f aca="false">IF(OR(P1523="判定不能",G1523="判定不能"),"判定不能",IF(AG1523&gt;=判定条件!$C$9,"利用可",IF(AND(P1523="停止",G1523="停止"),"両方停止","運転がそろわない")))</f>
        <v>両方停止</v>
      </c>
      <c r="AI1523" s="30" t="n">
        <v>60</v>
      </c>
      <c r="AJ1523" s="30" t="n">
        <v>0</v>
      </c>
      <c r="AK1523" s="30" t="str">
        <f aca="false">IF(OR(S1523="判定不能",J1523="判定不能"),"判定不能",IF(AJ1523&gt;=判定条件!$C$9,"利用可",IF(AND(S1523="停止",J1523="停止"),"両方停止","運転がそろわない")))</f>
        <v>両方停止</v>
      </c>
      <c r="AL1523" s="30" t="n">
        <v>60</v>
      </c>
      <c r="AM1523" s="30" t="n">
        <v>0</v>
      </c>
      <c r="AN1523" s="30" t="str">
        <f aca="false">IF(OR(V1523="判定不能",M1523="判定不能"),"判定不能",IF(AM1523&gt;=判定条件!$C$9,"利用可",IF(AND(V1523="停止",M1523="停止"),"両方停止","運転がそろわない")))</f>
        <v>両方停止</v>
      </c>
      <c r="AO1523" s="30" t="n">
        <v>0</v>
      </c>
      <c r="AP1523" s="30" t="n">
        <v>0</v>
      </c>
      <c r="AQ1523" s="30" t="str">
        <f aca="false">IF(OR(Y1523="判定不能",G1523="判定不能"),"判定不能",IF(AP1523&gt;=判定条件!$C$9,"利用可",IF(AND(Y1523="停止",G1523="停止"),"両方停止","運転がそろわない")))</f>
        <v>判定不能</v>
      </c>
      <c r="AR1523" s="30" t="n">
        <v>0</v>
      </c>
      <c r="AS1523" s="30" t="n">
        <v>0</v>
      </c>
      <c r="AT1523" s="30" t="str">
        <f aca="false">IF(OR(AB1523="判定不能",J1523="判定不能"),"判定不能",IF(AS1523&gt;=判定条件!$C$9,"利用可",IF(AND(AB1523="停止",J1523="停止"),"両方停止","運転がそろわない")))</f>
        <v>判定不能</v>
      </c>
      <c r="AU1523" s="30" t="n">
        <v>0</v>
      </c>
      <c r="AV1523" s="30" t="n">
        <v>0</v>
      </c>
      <c r="AW1523" s="30" t="str">
        <f aca="false">IF(OR(AE1523="判定不能",M1523="判定不能"),"判定不能",IF(AV1523&gt;=判定条件!$C$9,"利用可",IF(AND(AE1523="停止",M1523="停止"),"両方停止","運転がそろわない")))</f>
        <v>判定不能</v>
      </c>
      <c r="AX1523" s="30" t="str">
        <f aca="false">IF(AND(AH1523="利用可",AK1523="利用可",AN1523="利用可"),"利用可","不可")</f>
        <v>不可</v>
      </c>
      <c r="AY1523" s="30" t="str">
        <f aca="false">IF(AND(AQ1523="利用可",AT1523="利用可",AW1523="利用可"),"利用可","不可")</f>
        <v>不可</v>
      </c>
    </row>
    <row r="1524" customFormat="false" ht="15" hidden="false" customHeight="false" outlineLevel="0" collapsed="false">
      <c r="A1524" s="29" t="n">
        <v>46295</v>
      </c>
      <c r="B1524" s="30" t="n">
        <v>9</v>
      </c>
      <c r="C1524" s="31" t="s">
        <v>58</v>
      </c>
      <c r="D1524" s="31" t="s">
        <v>59</v>
      </c>
      <c r="E1524" s="30" t="n">
        <v>60</v>
      </c>
      <c r="F1524" s="30" t="n">
        <v>5</v>
      </c>
      <c r="G1524" s="30" t="str">
        <f aca="false">IF(E1524&lt;判定条件!$C$6,"判定不能",IF(F1524&gt;=判定条件!$C$7*E1524,"運転",IF(F1524&lt;=判定条件!$C$8*E1524,"停止","断続")))</f>
        <v>停止</v>
      </c>
      <c r="H1524" s="30" t="n">
        <v>60</v>
      </c>
      <c r="I1524" s="30" t="n">
        <v>4</v>
      </c>
      <c r="J1524" s="30" t="str">
        <f aca="false">IF(H1524&lt;判定条件!$C$6,"判定不能",IF(I1524&gt;=判定条件!$C$7*H1524,"運転",IF(I1524&lt;=判定条件!$C$8*H1524,"停止","断続")))</f>
        <v>停止</v>
      </c>
      <c r="K1524" s="30" t="n">
        <v>60</v>
      </c>
      <c r="L1524" s="30" t="n">
        <v>0</v>
      </c>
      <c r="M1524" s="30" t="str">
        <f aca="false">IF(K1524&lt;判定条件!$C$6,"判定不能",IF(L1524&gt;=判定条件!$C$7*K1524,"運転",IF(L1524&lt;=判定条件!$C$8*K1524,"停止","断続")))</f>
        <v>停止</v>
      </c>
      <c r="N1524" s="30" t="n">
        <v>60</v>
      </c>
      <c r="O1524" s="30" t="n">
        <v>17</v>
      </c>
      <c r="P1524" s="30" t="str">
        <f aca="false">IF(N1524&lt;判定条件!$C$6,"判定不能",IF(O1524&gt;=判定条件!$C$7*N1524,"運転",IF(O1524&lt;=判定条件!$C$8*N1524,"停止","断続")))</f>
        <v>断続</v>
      </c>
      <c r="Q1524" s="30" t="n">
        <v>60</v>
      </c>
      <c r="R1524" s="30" t="n">
        <v>14</v>
      </c>
      <c r="S1524" s="30" t="str">
        <f aca="false">IF(Q1524&lt;判定条件!$C$6,"判定不能",IF(R1524&gt;=判定条件!$C$7*Q1524,"運転",IF(R1524&lt;=判定条件!$C$8*Q1524,"停止","断続")))</f>
        <v>断続</v>
      </c>
      <c r="T1524" s="30" t="n">
        <v>60</v>
      </c>
      <c r="U1524" s="30" t="n">
        <v>40</v>
      </c>
      <c r="V1524" s="30" t="str">
        <f aca="false">IF(T1524&lt;判定条件!$C$6,"判定不能",IF(U1524&gt;=判定条件!$C$7*T1524,"運転",IF(U1524&lt;=判定条件!$C$8*T1524,"停止","断続")))</f>
        <v>断続</v>
      </c>
      <c r="W1524" s="30" t="n">
        <v>0</v>
      </c>
      <c r="X1524" s="30" t="n">
        <v>0</v>
      </c>
      <c r="Y1524" s="30" t="str">
        <f aca="false">IF(W1524&lt;判定条件!$C$6,"判定不能",IF(X1524&gt;=判定条件!$C$7*W1524,"運転",IF(X1524&lt;=判定条件!$C$8*W1524,"停止","断続")))</f>
        <v>判定不能</v>
      </c>
      <c r="Z1524" s="30" t="n">
        <v>0</v>
      </c>
      <c r="AA1524" s="30" t="n">
        <v>0</v>
      </c>
      <c r="AB1524" s="30" t="str">
        <f aca="false">IF(Z1524&lt;判定条件!$C$6,"判定不能",IF(AA1524&gt;=判定条件!$C$7*Z1524,"運転",IF(AA1524&lt;=判定条件!$C$8*Z1524,"停止","断続")))</f>
        <v>判定不能</v>
      </c>
      <c r="AC1524" s="30" t="n">
        <v>0</v>
      </c>
      <c r="AD1524" s="30" t="n">
        <v>0</v>
      </c>
      <c r="AE1524" s="30" t="str">
        <f aca="false">IF(AC1524&lt;判定条件!$C$6,"判定不能",IF(AD1524&gt;=判定条件!$C$7*AC1524,"運転",IF(AD1524&lt;=判定条件!$C$8*AC1524,"停止","断続")))</f>
        <v>判定不能</v>
      </c>
      <c r="AF1524" s="30" t="n">
        <v>60</v>
      </c>
      <c r="AG1524" s="30" t="n">
        <v>5</v>
      </c>
      <c r="AH1524" s="30" t="str">
        <f aca="false">IF(OR(P1524="判定不能",G1524="判定不能"),"判定不能",IF(AG1524&gt;=判定条件!$C$9,"利用可",IF(AND(P1524="停止",G1524="停止"),"両方停止","運転がそろわない")))</f>
        <v>運転がそろわない</v>
      </c>
      <c r="AI1524" s="30" t="n">
        <v>60</v>
      </c>
      <c r="AJ1524" s="30" t="n">
        <v>0</v>
      </c>
      <c r="AK1524" s="30" t="str">
        <f aca="false">IF(OR(S1524="判定不能",J1524="判定不能"),"判定不能",IF(AJ1524&gt;=判定条件!$C$9,"利用可",IF(AND(S1524="停止",J1524="停止"),"両方停止","運転がそろわない")))</f>
        <v>運転がそろわない</v>
      </c>
      <c r="AL1524" s="30" t="n">
        <v>60</v>
      </c>
      <c r="AM1524" s="30" t="n">
        <v>0</v>
      </c>
      <c r="AN1524" s="30" t="str">
        <f aca="false">IF(OR(V1524="判定不能",M1524="判定不能"),"判定不能",IF(AM1524&gt;=判定条件!$C$9,"利用可",IF(AND(V1524="停止",M1524="停止"),"両方停止","運転がそろわない")))</f>
        <v>運転がそろわない</v>
      </c>
      <c r="AO1524" s="30" t="n">
        <v>0</v>
      </c>
      <c r="AP1524" s="30" t="n">
        <v>0</v>
      </c>
      <c r="AQ1524" s="30" t="str">
        <f aca="false">IF(OR(Y1524="判定不能",G1524="判定不能"),"判定不能",IF(AP1524&gt;=判定条件!$C$9,"利用可",IF(AND(Y1524="停止",G1524="停止"),"両方停止","運転がそろわない")))</f>
        <v>判定不能</v>
      </c>
      <c r="AR1524" s="30" t="n">
        <v>0</v>
      </c>
      <c r="AS1524" s="30" t="n">
        <v>0</v>
      </c>
      <c r="AT1524" s="30" t="str">
        <f aca="false">IF(OR(AB1524="判定不能",J1524="判定不能"),"判定不能",IF(AS1524&gt;=判定条件!$C$9,"利用可",IF(AND(AB1524="停止",J1524="停止"),"両方停止","運転がそろわない")))</f>
        <v>判定不能</v>
      </c>
      <c r="AU1524" s="30" t="n">
        <v>0</v>
      </c>
      <c r="AV1524" s="30" t="n">
        <v>0</v>
      </c>
      <c r="AW1524" s="30" t="str">
        <f aca="false">IF(OR(AE1524="判定不能",M1524="判定不能"),"判定不能",IF(AV1524&gt;=判定条件!$C$9,"利用可",IF(AND(AE1524="停止",M1524="停止"),"両方停止","運転がそろわない")))</f>
        <v>判定不能</v>
      </c>
      <c r="AX1524" s="30" t="str">
        <f aca="false">IF(AND(AH1524="利用可",AK1524="利用可",AN1524="利用可"),"利用可","不可")</f>
        <v>不可</v>
      </c>
      <c r="AY1524" s="30" t="str">
        <f aca="false">IF(AND(AQ1524="利用可",AT1524="利用可",AW1524="利用可"),"利用可","不可")</f>
        <v>不可</v>
      </c>
    </row>
    <row r="1525" customFormat="false" ht="15" hidden="false" customHeight="false" outlineLevel="0" collapsed="false">
      <c r="A1525" s="29" t="n">
        <v>46295</v>
      </c>
      <c r="B1525" s="30" t="n">
        <v>10</v>
      </c>
      <c r="C1525" s="31" t="s">
        <v>58</v>
      </c>
      <c r="D1525" s="31" t="s">
        <v>59</v>
      </c>
      <c r="E1525" s="30" t="n">
        <v>60</v>
      </c>
      <c r="F1525" s="30" t="n">
        <v>17</v>
      </c>
      <c r="G1525" s="30" t="str">
        <f aca="false">IF(E1525&lt;判定条件!$C$6,"判定不能",IF(F1525&gt;=判定条件!$C$7*E1525,"運転",IF(F1525&lt;=判定条件!$C$8*E1525,"停止","断続")))</f>
        <v>断続</v>
      </c>
      <c r="H1525" s="30" t="n">
        <v>60</v>
      </c>
      <c r="I1525" s="30" t="n">
        <v>13</v>
      </c>
      <c r="J1525" s="30" t="str">
        <f aca="false">IF(H1525&lt;判定条件!$C$6,"判定不能",IF(I1525&gt;=判定条件!$C$7*H1525,"運転",IF(I1525&lt;=判定条件!$C$8*H1525,"停止","断続")))</f>
        <v>断続</v>
      </c>
      <c r="K1525" s="30" t="n">
        <v>60</v>
      </c>
      <c r="L1525" s="30" t="n">
        <v>0</v>
      </c>
      <c r="M1525" s="30" t="str">
        <f aca="false">IF(K1525&lt;判定条件!$C$6,"判定不能",IF(L1525&gt;=判定条件!$C$7*K1525,"運転",IF(L1525&lt;=判定条件!$C$8*K1525,"停止","断続")))</f>
        <v>停止</v>
      </c>
      <c r="N1525" s="30" t="n">
        <v>60</v>
      </c>
      <c r="O1525" s="30" t="n">
        <v>2</v>
      </c>
      <c r="P1525" s="30" t="str">
        <f aca="false">IF(N1525&lt;判定条件!$C$6,"判定不能",IF(O1525&gt;=判定条件!$C$7*N1525,"運転",IF(O1525&lt;=判定条件!$C$8*N1525,"停止","断続")))</f>
        <v>停止</v>
      </c>
      <c r="Q1525" s="30" t="n">
        <v>60</v>
      </c>
      <c r="R1525" s="30" t="n">
        <v>24</v>
      </c>
      <c r="S1525" s="30" t="str">
        <f aca="false">IF(Q1525&lt;判定条件!$C$6,"判定不能",IF(R1525&gt;=判定条件!$C$7*Q1525,"運転",IF(R1525&lt;=判定条件!$C$8*Q1525,"停止","断続")))</f>
        <v>断続</v>
      </c>
      <c r="T1525" s="30" t="n">
        <v>60</v>
      </c>
      <c r="U1525" s="30" t="n">
        <v>60</v>
      </c>
      <c r="V1525" s="30" t="str">
        <f aca="false">IF(T1525&lt;判定条件!$C$6,"判定不能",IF(U1525&gt;=判定条件!$C$7*T1525,"運転",IF(U1525&lt;=判定条件!$C$8*T1525,"停止","断続")))</f>
        <v>運転</v>
      </c>
      <c r="W1525" s="30" t="n">
        <v>0</v>
      </c>
      <c r="X1525" s="30" t="n">
        <v>0</v>
      </c>
      <c r="Y1525" s="30" t="str">
        <f aca="false">IF(W1525&lt;判定条件!$C$6,"判定不能",IF(X1525&gt;=判定条件!$C$7*W1525,"運転",IF(X1525&lt;=判定条件!$C$8*W1525,"停止","断続")))</f>
        <v>判定不能</v>
      </c>
      <c r="Z1525" s="30" t="n">
        <v>0</v>
      </c>
      <c r="AA1525" s="30" t="n">
        <v>0</v>
      </c>
      <c r="AB1525" s="30" t="str">
        <f aca="false">IF(Z1525&lt;判定条件!$C$6,"判定不能",IF(AA1525&gt;=判定条件!$C$7*Z1525,"運転",IF(AA1525&lt;=判定条件!$C$8*Z1525,"停止","断続")))</f>
        <v>判定不能</v>
      </c>
      <c r="AC1525" s="30" t="n">
        <v>0</v>
      </c>
      <c r="AD1525" s="30" t="n">
        <v>0</v>
      </c>
      <c r="AE1525" s="30" t="str">
        <f aca="false">IF(AC1525&lt;判定条件!$C$6,"判定不能",IF(AD1525&gt;=判定条件!$C$7*AC1525,"運転",IF(AD1525&lt;=判定条件!$C$8*AC1525,"停止","断続")))</f>
        <v>判定不能</v>
      </c>
      <c r="AF1525" s="30" t="n">
        <v>60</v>
      </c>
      <c r="AG1525" s="30" t="n">
        <v>1</v>
      </c>
      <c r="AH1525" s="30" t="str">
        <f aca="false">IF(OR(P1525="判定不能",G1525="判定不能"),"判定不能",IF(AG1525&gt;=判定条件!$C$9,"利用可",IF(AND(P1525="停止",G1525="停止"),"両方停止","運転がそろわない")))</f>
        <v>運転がそろわない</v>
      </c>
      <c r="AI1525" s="30" t="n">
        <v>60</v>
      </c>
      <c r="AJ1525" s="30" t="n">
        <v>8</v>
      </c>
      <c r="AK1525" s="30" t="str">
        <f aca="false">IF(OR(S1525="判定不能",J1525="判定不能"),"判定不能",IF(AJ1525&gt;=判定条件!$C$9,"利用可",IF(AND(S1525="停止",J1525="停止"),"両方停止","運転がそろわない")))</f>
        <v>運転がそろわない</v>
      </c>
      <c r="AL1525" s="30" t="n">
        <v>60</v>
      </c>
      <c r="AM1525" s="30" t="n">
        <v>0</v>
      </c>
      <c r="AN1525" s="30" t="str">
        <f aca="false">IF(OR(V1525="判定不能",M1525="判定不能"),"判定不能",IF(AM1525&gt;=判定条件!$C$9,"利用可",IF(AND(V1525="停止",M1525="停止"),"両方停止","運転がそろわない")))</f>
        <v>運転がそろわない</v>
      </c>
      <c r="AO1525" s="30" t="n">
        <v>0</v>
      </c>
      <c r="AP1525" s="30" t="n">
        <v>0</v>
      </c>
      <c r="AQ1525" s="30" t="str">
        <f aca="false">IF(OR(Y1525="判定不能",G1525="判定不能"),"判定不能",IF(AP1525&gt;=判定条件!$C$9,"利用可",IF(AND(Y1525="停止",G1525="停止"),"両方停止","運転がそろわない")))</f>
        <v>判定不能</v>
      </c>
      <c r="AR1525" s="30" t="n">
        <v>0</v>
      </c>
      <c r="AS1525" s="30" t="n">
        <v>0</v>
      </c>
      <c r="AT1525" s="30" t="str">
        <f aca="false">IF(OR(AB1525="判定不能",J1525="判定不能"),"判定不能",IF(AS1525&gt;=判定条件!$C$9,"利用可",IF(AND(AB1525="停止",J1525="停止"),"両方停止","運転がそろわない")))</f>
        <v>判定不能</v>
      </c>
      <c r="AU1525" s="30" t="n">
        <v>0</v>
      </c>
      <c r="AV1525" s="30" t="n">
        <v>0</v>
      </c>
      <c r="AW1525" s="30" t="str">
        <f aca="false">IF(OR(AE1525="判定不能",M1525="判定不能"),"判定不能",IF(AV1525&gt;=判定条件!$C$9,"利用可",IF(AND(AE1525="停止",M1525="停止"),"両方停止","運転がそろわない")))</f>
        <v>判定不能</v>
      </c>
      <c r="AX1525" s="30" t="str">
        <f aca="false">IF(AND(AH1525="利用可",AK1525="利用可",AN1525="利用可"),"利用可","不可")</f>
        <v>不可</v>
      </c>
      <c r="AY1525" s="30" t="str">
        <f aca="false">IF(AND(AQ1525="利用可",AT1525="利用可",AW1525="利用可"),"利用可","不可")</f>
        <v>不可</v>
      </c>
    </row>
    <row r="1526" customFormat="false" ht="15" hidden="false" customHeight="false" outlineLevel="0" collapsed="false">
      <c r="A1526" s="29" t="n">
        <v>46295</v>
      </c>
      <c r="B1526" s="30" t="n">
        <v>11</v>
      </c>
      <c r="C1526" s="31" t="s">
        <v>58</v>
      </c>
      <c r="D1526" s="31" t="s">
        <v>59</v>
      </c>
      <c r="E1526" s="30" t="n">
        <v>60</v>
      </c>
      <c r="F1526" s="30" t="n">
        <v>0</v>
      </c>
      <c r="G1526" s="30" t="str">
        <f aca="false">IF(E1526&lt;判定条件!$C$6,"判定不能",IF(F1526&gt;=判定条件!$C$7*E1526,"運転",IF(F1526&lt;=判定条件!$C$8*E1526,"停止","断続")))</f>
        <v>停止</v>
      </c>
      <c r="H1526" s="30" t="n">
        <v>60</v>
      </c>
      <c r="I1526" s="30" t="n">
        <v>7</v>
      </c>
      <c r="J1526" s="30" t="str">
        <f aca="false">IF(H1526&lt;判定条件!$C$6,"判定不能",IF(I1526&gt;=判定条件!$C$7*H1526,"運転",IF(I1526&lt;=判定条件!$C$8*H1526,"停止","断続")))</f>
        <v>停止</v>
      </c>
      <c r="K1526" s="30" t="n">
        <v>60</v>
      </c>
      <c r="L1526" s="30" t="n">
        <v>0</v>
      </c>
      <c r="M1526" s="30" t="str">
        <f aca="false">IF(K1526&lt;判定条件!$C$6,"判定不能",IF(L1526&gt;=判定条件!$C$7*K1526,"運転",IF(L1526&lt;=判定条件!$C$8*K1526,"停止","断続")))</f>
        <v>停止</v>
      </c>
      <c r="N1526" s="30" t="n">
        <v>60</v>
      </c>
      <c r="O1526" s="30" t="n">
        <v>4</v>
      </c>
      <c r="P1526" s="30" t="str">
        <f aca="false">IF(N1526&lt;判定条件!$C$6,"判定不能",IF(O1526&gt;=判定条件!$C$7*N1526,"運転",IF(O1526&lt;=判定条件!$C$8*N1526,"停止","断続")))</f>
        <v>停止</v>
      </c>
      <c r="Q1526" s="30" t="n">
        <v>60</v>
      </c>
      <c r="R1526" s="30" t="n">
        <v>32</v>
      </c>
      <c r="S1526" s="30" t="str">
        <f aca="false">IF(Q1526&lt;判定条件!$C$6,"判定不能",IF(R1526&gt;=判定条件!$C$7*Q1526,"運転",IF(R1526&lt;=判定条件!$C$8*Q1526,"停止","断続")))</f>
        <v>断続</v>
      </c>
      <c r="T1526" s="30" t="n">
        <v>60</v>
      </c>
      <c r="U1526" s="30" t="n">
        <v>60</v>
      </c>
      <c r="V1526" s="30" t="str">
        <f aca="false">IF(T1526&lt;判定条件!$C$6,"判定不能",IF(U1526&gt;=判定条件!$C$7*T1526,"運転",IF(U1526&lt;=判定条件!$C$8*T1526,"停止","断続")))</f>
        <v>運転</v>
      </c>
      <c r="W1526" s="30" t="n">
        <v>0</v>
      </c>
      <c r="X1526" s="30" t="n">
        <v>0</v>
      </c>
      <c r="Y1526" s="30" t="str">
        <f aca="false">IF(W1526&lt;判定条件!$C$6,"判定不能",IF(X1526&gt;=判定条件!$C$7*W1526,"運転",IF(X1526&lt;=判定条件!$C$8*W1526,"停止","断続")))</f>
        <v>判定不能</v>
      </c>
      <c r="Z1526" s="30" t="n">
        <v>0</v>
      </c>
      <c r="AA1526" s="30" t="n">
        <v>0</v>
      </c>
      <c r="AB1526" s="30" t="str">
        <f aca="false">IF(Z1526&lt;判定条件!$C$6,"判定不能",IF(AA1526&gt;=判定条件!$C$7*Z1526,"運転",IF(AA1526&lt;=判定条件!$C$8*Z1526,"停止","断続")))</f>
        <v>判定不能</v>
      </c>
      <c r="AC1526" s="30" t="n">
        <v>0</v>
      </c>
      <c r="AD1526" s="30" t="n">
        <v>0</v>
      </c>
      <c r="AE1526" s="30" t="str">
        <f aca="false">IF(AC1526&lt;判定条件!$C$6,"判定不能",IF(AD1526&gt;=判定条件!$C$7*AC1526,"運転",IF(AD1526&lt;=判定条件!$C$8*AC1526,"停止","断続")))</f>
        <v>判定不能</v>
      </c>
      <c r="AF1526" s="30" t="n">
        <v>60</v>
      </c>
      <c r="AG1526" s="30" t="n">
        <v>0</v>
      </c>
      <c r="AH1526" s="30" t="str">
        <f aca="false">IF(OR(P1526="判定不能",G1526="判定不能"),"判定不能",IF(AG1526&gt;=判定条件!$C$9,"利用可",IF(AND(P1526="停止",G1526="停止"),"両方停止","運転がそろわない")))</f>
        <v>両方停止</v>
      </c>
      <c r="AI1526" s="30" t="n">
        <v>60</v>
      </c>
      <c r="AJ1526" s="30" t="n">
        <v>7</v>
      </c>
      <c r="AK1526" s="30" t="str">
        <f aca="false">IF(OR(S1526="判定不能",J1526="判定不能"),"判定不能",IF(AJ1526&gt;=判定条件!$C$9,"利用可",IF(AND(S1526="停止",J1526="停止"),"両方停止","運転がそろわない")))</f>
        <v>運転がそろわない</v>
      </c>
      <c r="AL1526" s="30" t="n">
        <v>60</v>
      </c>
      <c r="AM1526" s="30" t="n">
        <v>0</v>
      </c>
      <c r="AN1526" s="30" t="str">
        <f aca="false">IF(OR(V1526="判定不能",M1526="判定不能"),"判定不能",IF(AM1526&gt;=判定条件!$C$9,"利用可",IF(AND(V1526="停止",M1526="停止"),"両方停止","運転がそろわない")))</f>
        <v>運転がそろわない</v>
      </c>
      <c r="AO1526" s="30" t="n">
        <v>0</v>
      </c>
      <c r="AP1526" s="30" t="n">
        <v>0</v>
      </c>
      <c r="AQ1526" s="30" t="str">
        <f aca="false">IF(OR(Y1526="判定不能",G1526="判定不能"),"判定不能",IF(AP1526&gt;=判定条件!$C$9,"利用可",IF(AND(Y1526="停止",G1526="停止"),"両方停止","運転がそろわない")))</f>
        <v>判定不能</v>
      </c>
      <c r="AR1526" s="30" t="n">
        <v>0</v>
      </c>
      <c r="AS1526" s="30" t="n">
        <v>0</v>
      </c>
      <c r="AT1526" s="30" t="str">
        <f aca="false">IF(OR(AB1526="判定不能",J1526="判定不能"),"判定不能",IF(AS1526&gt;=判定条件!$C$9,"利用可",IF(AND(AB1526="停止",J1526="停止"),"両方停止","運転がそろわない")))</f>
        <v>判定不能</v>
      </c>
      <c r="AU1526" s="30" t="n">
        <v>0</v>
      </c>
      <c r="AV1526" s="30" t="n">
        <v>0</v>
      </c>
      <c r="AW1526" s="30" t="str">
        <f aca="false">IF(OR(AE1526="判定不能",M1526="判定不能"),"判定不能",IF(AV1526&gt;=判定条件!$C$9,"利用可",IF(AND(AE1526="停止",M1526="停止"),"両方停止","運転がそろわない")))</f>
        <v>判定不能</v>
      </c>
      <c r="AX1526" s="30" t="str">
        <f aca="false">IF(AND(AH1526="利用可",AK1526="利用可",AN1526="利用可"),"利用可","不可")</f>
        <v>不可</v>
      </c>
      <c r="AY1526" s="30" t="str">
        <f aca="false">IF(AND(AQ1526="利用可",AT1526="利用可",AW1526="利用可"),"利用可","不可")</f>
        <v>不可</v>
      </c>
    </row>
    <row r="1527" customFormat="false" ht="15" hidden="false" customHeight="false" outlineLevel="0" collapsed="false">
      <c r="A1527" s="29" t="n">
        <v>46295</v>
      </c>
      <c r="B1527" s="30" t="n">
        <v>12</v>
      </c>
      <c r="C1527" s="31" t="s">
        <v>58</v>
      </c>
      <c r="D1527" s="31" t="s">
        <v>59</v>
      </c>
      <c r="E1527" s="30" t="n">
        <v>60</v>
      </c>
      <c r="F1527" s="30" t="n">
        <v>16</v>
      </c>
      <c r="G1527" s="30" t="str">
        <f aca="false">IF(E1527&lt;判定条件!$C$6,"判定不能",IF(F1527&gt;=判定条件!$C$7*E1527,"運転",IF(F1527&lt;=判定条件!$C$8*E1527,"停止","断続")))</f>
        <v>断続</v>
      </c>
      <c r="H1527" s="30" t="n">
        <v>60</v>
      </c>
      <c r="I1527" s="30" t="n">
        <v>18</v>
      </c>
      <c r="J1527" s="30" t="str">
        <f aca="false">IF(H1527&lt;判定条件!$C$6,"判定不能",IF(I1527&gt;=判定条件!$C$7*H1527,"運転",IF(I1527&lt;=判定条件!$C$8*H1527,"停止","断続")))</f>
        <v>断続</v>
      </c>
      <c r="K1527" s="30" t="n">
        <v>60</v>
      </c>
      <c r="L1527" s="30" t="n">
        <v>36</v>
      </c>
      <c r="M1527" s="30" t="str">
        <f aca="false">IF(K1527&lt;判定条件!$C$6,"判定不能",IF(L1527&gt;=判定条件!$C$7*K1527,"運転",IF(L1527&lt;=判定条件!$C$8*K1527,"停止","断続")))</f>
        <v>断続</v>
      </c>
      <c r="N1527" s="30" t="n">
        <v>60</v>
      </c>
      <c r="O1527" s="30" t="n">
        <v>14</v>
      </c>
      <c r="P1527" s="30" t="str">
        <f aca="false">IF(N1527&lt;判定条件!$C$6,"判定不能",IF(O1527&gt;=判定条件!$C$7*N1527,"運転",IF(O1527&lt;=判定条件!$C$8*N1527,"停止","断続")))</f>
        <v>断続</v>
      </c>
      <c r="Q1527" s="30" t="n">
        <v>60</v>
      </c>
      <c r="R1527" s="30" t="n">
        <v>42</v>
      </c>
      <c r="S1527" s="30" t="str">
        <f aca="false">IF(Q1527&lt;判定条件!$C$6,"判定不能",IF(R1527&gt;=判定条件!$C$7*Q1527,"運転",IF(R1527&lt;=判定条件!$C$8*Q1527,"停止","断続")))</f>
        <v>断続</v>
      </c>
      <c r="T1527" s="30" t="n">
        <v>60</v>
      </c>
      <c r="U1527" s="30" t="n">
        <v>60</v>
      </c>
      <c r="V1527" s="30" t="str">
        <f aca="false">IF(T1527&lt;判定条件!$C$6,"判定不能",IF(U1527&gt;=判定条件!$C$7*T1527,"運転",IF(U1527&lt;=判定条件!$C$8*T1527,"停止","断続")))</f>
        <v>運転</v>
      </c>
      <c r="W1527" s="30" t="n">
        <v>0</v>
      </c>
      <c r="X1527" s="30" t="n">
        <v>0</v>
      </c>
      <c r="Y1527" s="30" t="str">
        <f aca="false">IF(W1527&lt;判定条件!$C$6,"判定不能",IF(X1527&gt;=判定条件!$C$7*W1527,"運転",IF(X1527&lt;=判定条件!$C$8*W1527,"停止","断続")))</f>
        <v>判定不能</v>
      </c>
      <c r="Z1527" s="30" t="n">
        <v>0</v>
      </c>
      <c r="AA1527" s="30" t="n">
        <v>0</v>
      </c>
      <c r="AB1527" s="30" t="str">
        <f aca="false">IF(Z1527&lt;判定条件!$C$6,"判定不能",IF(AA1527&gt;=判定条件!$C$7*Z1527,"運転",IF(AA1527&lt;=判定条件!$C$8*Z1527,"停止","断続")))</f>
        <v>判定不能</v>
      </c>
      <c r="AC1527" s="30" t="n">
        <v>0</v>
      </c>
      <c r="AD1527" s="30" t="n">
        <v>0</v>
      </c>
      <c r="AE1527" s="30" t="str">
        <f aca="false">IF(AC1527&lt;判定条件!$C$6,"判定不能",IF(AD1527&gt;=判定条件!$C$7*AC1527,"運転",IF(AD1527&lt;=判定条件!$C$8*AC1527,"停止","断続")))</f>
        <v>判定不能</v>
      </c>
      <c r="AF1527" s="30" t="n">
        <v>60</v>
      </c>
      <c r="AG1527" s="30" t="n">
        <v>0</v>
      </c>
      <c r="AH1527" s="30" t="str">
        <f aca="false">IF(OR(P1527="判定不能",G1527="判定不能"),"判定不能",IF(AG1527&gt;=判定条件!$C$9,"利用可",IF(AND(P1527="停止",G1527="停止"),"両方停止","運転がそろわない")))</f>
        <v>運転がそろわない</v>
      </c>
      <c r="AI1527" s="30" t="n">
        <v>60</v>
      </c>
      <c r="AJ1527" s="30" t="n">
        <v>10</v>
      </c>
      <c r="AK1527" s="30" t="str">
        <f aca="false">IF(OR(S1527="判定不能",J1527="判定不能"),"判定不能",IF(AJ1527&gt;=判定条件!$C$9,"利用可",IF(AND(S1527="停止",J1527="停止"),"両方停止","運転がそろわない")))</f>
        <v>運転がそろわない</v>
      </c>
      <c r="AL1527" s="30" t="n">
        <v>60</v>
      </c>
      <c r="AM1527" s="30" t="n">
        <v>36</v>
      </c>
      <c r="AN1527" s="30" t="str">
        <f aca="false">IF(OR(V1527="判定不能",M1527="判定不能"),"判定不能",IF(AM1527&gt;=判定条件!$C$9,"利用可",IF(AND(V1527="停止",M1527="停止"),"両方停止","運転がそろわない")))</f>
        <v>利用可</v>
      </c>
      <c r="AO1527" s="30" t="n">
        <v>0</v>
      </c>
      <c r="AP1527" s="30" t="n">
        <v>0</v>
      </c>
      <c r="AQ1527" s="30" t="str">
        <f aca="false">IF(OR(Y1527="判定不能",G1527="判定不能"),"判定不能",IF(AP1527&gt;=判定条件!$C$9,"利用可",IF(AND(Y1527="停止",G1527="停止"),"両方停止","運転がそろわない")))</f>
        <v>判定不能</v>
      </c>
      <c r="AR1527" s="30" t="n">
        <v>0</v>
      </c>
      <c r="AS1527" s="30" t="n">
        <v>0</v>
      </c>
      <c r="AT1527" s="30" t="str">
        <f aca="false">IF(OR(AB1527="判定不能",J1527="判定不能"),"判定不能",IF(AS1527&gt;=判定条件!$C$9,"利用可",IF(AND(AB1527="停止",J1527="停止"),"両方停止","運転がそろわない")))</f>
        <v>判定不能</v>
      </c>
      <c r="AU1527" s="30" t="n">
        <v>0</v>
      </c>
      <c r="AV1527" s="30" t="n">
        <v>0</v>
      </c>
      <c r="AW1527" s="30" t="str">
        <f aca="false">IF(OR(AE1527="判定不能",M1527="判定不能"),"判定不能",IF(AV1527&gt;=判定条件!$C$9,"利用可",IF(AND(AE1527="停止",M1527="停止"),"両方停止","運転がそろわない")))</f>
        <v>判定不能</v>
      </c>
      <c r="AX1527" s="30" t="str">
        <f aca="false">IF(AND(AH1527="利用可",AK1527="利用可",AN1527="利用可"),"利用可","不可")</f>
        <v>不可</v>
      </c>
      <c r="AY1527" s="30" t="str">
        <f aca="false">IF(AND(AQ1527="利用可",AT1527="利用可",AW1527="利用可"),"利用可","不可")</f>
        <v>不可</v>
      </c>
    </row>
    <row r="1528" customFormat="false" ht="15" hidden="false" customHeight="false" outlineLevel="0" collapsed="false">
      <c r="A1528" s="29" t="n">
        <v>46295</v>
      </c>
      <c r="B1528" s="30" t="n">
        <v>13</v>
      </c>
      <c r="C1528" s="31" t="s">
        <v>58</v>
      </c>
      <c r="D1528" s="31" t="s">
        <v>59</v>
      </c>
      <c r="E1528" s="30" t="n">
        <v>60</v>
      </c>
      <c r="F1528" s="30" t="n">
        <v>3</v>
      </c>
      <c r="G1528" s="30" t="str">
        <f aca="false">IF(E1528&lt;判定条件!$C$6,"判定不能",IF(F1528&gt;=判定条件!$C$7*E1528,"運転",IF(F1528&lt;=判定条件!$C$8*E1528,"停止","断続")))</f>
        <v>停止</v>
      </c>
      <c r="H1528" s="30" t="n">
        <v>60</v>
      </c>
      <c r="I1528" s="30" t="n">
        <v>8</v>
      </c>
      <c r="J1528" s="30" t="str">
        <f aca="false">IF(H1528&lt;判定条件!$C$6,"判定不能",IF(I1528&gt;=判定条件!$C$7*H1528,"運転",IF(I1528&lt;=判定条件!$C$8*H1528,"停止","断続")))</f>
        <v>停止</v>
      </c>
      <c r="K1528" s="30" t="n">
        <v>60</v>
      </c>
      <c r="L1528" s="30" t="n">
        <v>26</v>
      </c>
      <c r="M1528" s="30" t="str">
        <f aca="false">IF(K1528&lt;判定条件!$C$6,"判定不能",IF(L1528&gt;=判定条件!$C$7*K1528,"運転",IF(L1528&lt;=判定条件!$C$8*K1528,"停止","断続")))</f>
        <v>断続</v>
      </c>
      <c r="N1528" s="30" t="n">
        <v>60</v>
      </c>
      <c r="O1528" s="30" t="n">
        <v>0</v>
      </c>
      <c r="P1528" s="30" t="str">
        <f aca="false">IF(N1528&lt;判定条件!$C$6,"判定不能",IF(O1528&gt;=判定条件!$C$7*N1528,"運転",IF(O1528&lt;=判定条件!$C$8*N1528,"停止","断続")))</f>
        <v>停止</v>
      </c>
      <c r="Q1528" s="30" t="n">
        <v>60</v>
      </c>
      <c r="R1528" s="30" t="n">
        <v>43</v>
      </c>
      <c r="S1528" s="30" t="str">
        <f aca="false">IF(Q1528&lt;判定条件!$C$6,"判定不能",IF(R1528&gt;=判定条件!$C$7*Q1528,"運転",IF(R1528&lt;=判定条件!$C$8*Q1528,"停止","断続")))</f>
        <v>断続</v>
      </c>
      <c r="T1528" s="30" t="n">
        <v>60</v>
      </c>
      <c r="U1528" s="30" t="n">
        <v>60</v>
      </c>
      <c r="V1528" s="30" t="str">
        <f aca="false">IF(T1528&lt;判定条件!$C$6,"判定不能",IF(U1528&gt;=判定条件!$C$7*T1528,"運転",IF(U1528&lt;=判定条件!$C$8*T1528,"停止","断続")))</f>
        <v>運転</v>
      </c>
      <c r="W1528" s="30" t="n">
        <v>0</v>
      </c>
      <c r="X1528" s="30" t="n">
        <v>0</v>
      </c>
      <c r="Y1528" s="30" t="str">
        <f aca="false">IF(W1528&lt;判定条件!$C$6,"判定不能",IF(X1528&gt;=判定条件!$C$7*W1528,"運転",IF(X1528&lt;=判定条件!$C$8*W1528,"停止","断続")))</f>
        <v>判定不能</v>
      </c>
      <c r="Z1528" s="30" t="n">
        <v>0</v>
      </c>
      <c r="AA1528" s="30" t="n">
        <v>0</v>
      </c>
      <c r="AB1528" s="30" t="str">
        <f aca="false">IF(Z1528&lt;判定条件!$C$6,"判定不能",IF(AA1528&gt;=判定条件!$C$7*Z1528,"運転",IF(AA1528&lt;=判定条件!$C$8*Z1528,"停止","断続")))</f>
        <v>判定不能</v>
      </c>
      <c r="AC1528" s="30" t="n">
        <v>0</v>
      </c>
      <c r="AD1528" s="30" t="n">
        <v>0</v>
      </c>
      <c r="AE1528" s="30" t="str">
        <f aca="false">IF(AC1528&lt;判定条件!$C$6,"判定不能",IF(AD1528&gt;=判定条件!$C$7*AC1528,"運転",IF(AD1528&lt;=判定条件!$C$8*AC1528,"停止","断続")))</f>
        <v>判定不能</v>
      </c>
      <c r="AF1528" s="30" t="n">
        <v>60</v>
      </c>
      <c r="AG1528" s="30" t="n">
        <v>0</v>
      </c>
      <c r="AH1528" s="30" t="str">
        <f aca="false">IF(OR(P1528="判定不能",G1528="判定不能"),"判定不能",IF(AG1528&gt;=判定条件!$C$9,"利用可",IF(AND(P1528="停止",G1528="停止"),"両方停止","運転がそろわない")))</f>
        <v>両方停止</v>
      </c>
      <c r="AI1528" s="30" t="n">
        <v>60</v>
      </c>
      <c r="AJ1528" s="30" t="n">
        <v>6</v>
      </c>
      <c r="AK1528" s="30" t="str">
        <f aca="false">IF(OR(S1528="判定不能",J1528="判定不能"),"判定不能",IF(AJ1528&gt;=判定条件!$C$9,"利用可",IF(AND(S1528="停止",J1528="停止"),"両方停止","運転がそろわない")))</f>
        <v>運転がそろわない</v>
      </c>
      <c r="AL1528" s="30" t="n">
        <v>60</v>
      </c>
      <c r="AM1528" s="30" t="n">
        <v>26</v>
      </c>
      <c r="AN1528" s="30" t="str">
        <f aca="false">IF(OR(V1528="判定不能",M1528="判定不能"),"判定不能",IF(AM1528&gt;=判定条件!$C$9,"利用可",IF(AND(V1528="停止",M1528="停止"),"両方停止","運転がそろわない")))</f>
        <v>運転がそろわない</v>
      </c>
      <c r="AO1528" s="30" t="n">
        <v>0</v>
      </c>
      <c r="AP1528" s="30" t="n">
        <v>0</v>
      </c>
      <c r="AQ1528" s="30" t="str">
        <f aca="false">IF(OR(Y1528="判定不能",G1528="判定不能"),"判定不能",IF(AP1528&gt;=判定条件!$C$9,"利用可",IF(AND(Y1528="停止",G1528="停止"),"両方停止","運転がそろわない")))</f>
        <v>判定不能</v>
      </c>
      <c r="AR1528" s="30" t="n">
        <v>0</v>
      </c>
      <c r="AS1528" s="30" t="n">
        <v>0</v>
      </c>
      <c r="AT1528" s="30" t="str">
        <f aca="false">IF(OR(AB1528="判定不能",J1528="判定不能"),"判定不能",IF(AS1528&gt;=判定条件!$C$9,"利用可",IF(AND(AB1528="停止",J1528="停止"),"両方停止","運転がそろわない")))</f>
        <v>判定不能</v>
      </c>
      <c r="AU1528" s="30" t="n">
        <v>0</v>
      </c>
      <c r="AV1528" s="30" t="n">
        <v>0</v>
      </c>
      <c r="AW1528" s="30" t="str">
        <f aca="false">IF(OR(AE1528="判定不能",M1528="判定不能"),"判定不能",IF(AV1528&gt;=判定条件!$C$9,"利用可",IF(AND(AE1528="停止",M1528="停止"),"両方停止","運転がそろわない")))</f>
        <v>判定不能</v>
      </c>
      <c r="AX1528" s="30" t="str">
        <f aca="false">IF(AND(AH1528="利用可",AK1528="利用可",AN1528="利用可"),"利用可","不可")</f>
        <v>不可</v>
      </c>
      <c r="AY1528" s="30" t="str">
        <f aca="false">IF(AND(AQ1528="利用可",AT1528="利用可",AW1528="利用可"),"利用可","不可")</f>
        <v>不可</v>
      </c>
    </row>
    <row r="1529" customFormat="false" ht="15" hidden="false" customHeight="false" outlineLevel="0" collapsed="false">
      <c r="A1529" s="29" t="n">
        <v>46295</v>
      </c>
      <c r="B1529" s="30" t="n">
        <v>14</v>
      </c>
      <c r="C1529" s="31" t="s">
        <v>58</v>
      </c>
      <c r="D1529" s="31" t="s">
        <v>59</v>
      </c>
      <c r="E1529" s="30" t="n">
        <v>60</v>
      </c>
      <c r="F1529" s="30" t="n">
        <v>3</v>
      </c>
      <c r="G1529" s="30" t="str">
        <f aca="false">IF(E1529&lt;判定条件!$C$6,"判定不能",IF(F1529&gt;=判定条件!$C$7*E1529,"運転",IF(F1529&lt;=判定条件!$C$8*E1529,"停止","断続")))</f>
        <v>停止</v>
      </c>
      <c r="H1529" s="30" t="n">
        <v>60</v>
      </c>
      <c r="I1529" s="30" t="n">
        <v>21</v>
      </c>
      <c r="J1529" s="30" t="str">
        <f aca="false">IF(H1529&lt;判定条件!$C$6,"判定不能",IF(I1529&gt;=判定条件!$C$7*H1529,"運転",IF(I1529&lt;=判定条件!$C$8*H1529,"停止","断続")))</f>
        <v>断続</v>
      </c>
      <c r="K1529" s="30" t="n">
        <v>60</v>
      </c>
      <c r="L1529" s="30" t="n">
        <v>37</v>
      </c>
      <c r="M1529" s="30" t="str">
        <f aca="false">IF(K1529&lt;判定条件!$C$6,"判定不能",IF(L1529&gt;=判定条件!$C$7*K1529,"運転",IF(L1529&lt;=判定条件!$C$8*K1529,"停止","断続")))</f>
        <v>断続</v>
      </c>
      <c r="N1529" s="30" t="n">
        <v>60</v>
      </c>
      <c r="O1529" s="30" t="n">
        <v>9</v>
      </c>
      <c r="P1529" s="30" t="str">
        <f aca="false">IF(N1529&lt;判定条件!$C$6,"判定不能",IF(O1529&gt;=判定条件!$C$7*N1529,"運転",IF(O1529&lt;=判定条件!$C$8*N1529,"停止","断続")))</f>
        <v>停止</v>
      </c>
      <c r="Q1529" s="30" t="n">
        <v>60</v>
      </c>
      <c r="R1529" s="30" t="n">
        <v>57</v>
      </c>
      <c r="S1529" s="30" t="str">
        <f aca="false">IF(Q1529&lt;判定条件!$C$6,"判定不能",IF(R1529&gt;=判定条件!$C$7*Q1529,"運転",IF(R1529&lt;=判定条件!$C$8*Q1529,"停止","断続")))</f>
        <v>運転</v>
      </c>
      <c r="T1529" s="30" t="n">
        <v>60</v>
      </c>
      <c r="U1529" s="30" t="n">
        <v>60</v>
      </c>
      <c r="V1529" s="30" t="str">
        <f aca="false">IF(T1529&lt;判定条件!$C$6,"判定不能",IF(U1529&gt;=判定条件!$C$7*T1529,"運転",IF(U1529&lt;=判定条件!$C$8*T1529,"停止","断続")))</f>
        <v>運転</v>
      </c>
      <c r="W1529" s="30" t="n">
        <v>0</v>
      </c>
      <c r="X1529" s="30" t="n">
        <v>0</v>
      </c>
      <c r="Y1529" s="30" t="str">
        <f aca="false">IF(W1529&lt;判定条件!$C$6,"判定不能",IF(X1529&gt;=判定条件!$C$7*W1529,"運転",IF(X1529&lt;=判定条件!$C$8*W1529,"停止","断続")))</f>
        <v>判定不能</v>
      </c>
      <c r="Z1529" s="30" t="n">
        <v>0</v>
      </c>
      <c r="AA1529" s="30" t="n">
        <v>0</v>
      </c>
      <c r="AB1529" s="30" t="str">
        <f aca="false">IF(Z1529&lt;判定条件!$C$6,"判定不能",IF(AA1529&gt;=判定条件!$C$7*Z1529,"運転",IF(AA1529&lt;=判定条件!$C$8*Z1529,"停止","断続")))</f>
        <v>判定不能</v>
      </c>
      <c r="AC1529" s="30" t="n">
        <v>0</v>
      </c>
      <c r="AD1529" s="30" t="n">
        <v>0</v>
      </c>
      <c r="AE1529" s="30" t="str">
        <f aca="false">IF(AC1529&lt;判定条件!$C$6,"判定不能",IF(AD1529&gt;=判定条件!$C$7*AC1529,"運転",IF(AD1529&lt;=判定条件!$C$8*AC1529,"停止","断続")))</f>
        <v>判定不能</v>
      </c>
      <c r="AF1529" s="30" t="n">
        <v>60</v>
      </c>
      <c r="AG1529" s="30" t="n">
        <v>0</v>
      </c>
      <c r="AH1529" s="30" t="str">
        <f aca="false">IF(OR(P1529="判定不能",G1529="判定不能"),"判定不能",IF(AG1529&gt;=判定条件!$C$9,"利用可",IF(AND(P1529="停止",G1529="停止"),"両方停止","運転がそろわない")))</f>
        <v>両方停止</v>
      </c>
      <c r="AI1529" s="30" t="n">
        <v>60</v>
      </c>
      <c r="AJ1529" s="30" t="n">
        <v>21</v>
      </c>
      <c r="AK1529" s="30" t="str">
        <f aca="false">IF(OR(S1529="判定不能",J1529="判定不能"),"判定不能",IF(AJ1529&gt;=判定条件!$C$9,"利用可",IF(AND(S1529="停止",J1529="停止"),"両方停止","運転がそろわない")))</f>
        <v>運転がそろわない</v>
      </c>
      <c r="AL1529" s="30" t="n">
        <v>60</v>
      </c>
      <c r="AM1529" s="30" t="n">
        <v>37</v>
      </c>
      <c r="AN1529" s="30" t="str">
        <f aca="false">IF(OR(V1529="判定不能",M1529="判定不能"),"判定不能",IF(AM1529&gt;=判定条件!$C$9,"利用可",IF(AND(V1529="停止",M1529="停止"),"両方停止","運転がそろわない")))</f>
        <v>利用可</v>
      </c>
      <c r="AO1529" s="30" t="n">
        <v>0</v>
      </c>
      <c r="AP1529" s="30" t="n">
        <v>0</v>
      </c>
      <c r="AQ1529" s="30" t="str">
        <f aca="false">IF(OR(Y1529="判定不能",G1529="判定不能"),"判定不能",IF(AP1529&gt;=判定条件!$C$9,"利用可",IF(AND(Y1529="停止",G1529="停止"),"両方停止","運転がそろわない")))</f>
        <v>判定不能</v>
      </c>
      <c r="AR1529" s="30" t="n">
        <v>0</v>
      </c>
      <c r="AS1529" s="30" t="n">
        <v>0</v>
      </c>
      <c r="AT1529" s="30" t="str">
        <f aca="false">IF(OR(AB1529="判定不能",J1529="判定不能"),"判定不能",IF(AS1529&gt;=判定条件!$C$9,"利用可",IF(AND(AB1529="停止",J1529="停止"),"両方停止","運転がそろわない")))</f>
        <v>判定不能</v>
      </c>
      <c r="AU1529" s="30" t="n">
        <v>0</v>
      </c>
      <c r="AV1529" s="30" t="n">
        <v>0</v>
      </c>
      <c r="AW1529" s="30" t="str">
        <f aca="false">IF(OR(AE1529="判定不能",M1529="判定不能"),"判定不能",IF(AV1529&gt;=判定条件!$C$9,"利用可",IF(AND(AE1529="停止",M1529="停止"),"両方停止","運転がそろわない")))</f>
        <v>判定不能</v>
      </c>
      <c r="AX1529" s="30" t="str">
        <f aca="false">IF(AND(AH1529="利用可",AK1529="利用可",AN1529="利用可"),"利用可","不可")</f>
        <v>不可</v>
      </c>
      <c r="AY1529" s="30" t="str">
        <f aca="false">IF(AND(AQ1529="利用可",AT1529="利用可",AW1529="利用可"),"利用可","不可")</f>
        <v>不可</v>
      </c>
    </row>
    <row r="1530" customFormat="false" ht="15" hidden="false" customHeight="false" outlineLevel="0" collapsed="false">
      <c r="A1530" s="29" t="n">
        <v>46295</v>
      </c>
      <c r="B1530" s="30" t="n">
        <v>15</v>
      </c>
      <c r="C1530" s="31" t="s">
        <v>58</v>
      </c>
      <c r="D1530" s="31" t="s">
        <v>59</v>
      </c>
      <c r="E1530" s="30" t="n">
        <v>60</v>
      </c>
      <c r="F1530" s="30" t="n">
        <v>13</v>
      </c>
      <c r="G1530" s="30" t="str">
        <f aca="false">IF(E1530&lt;判定条件!$C$6,"判定不能",IF(F1530&gt;=判定条件!$C$7*E1530,"運転",IF(F1530&lt;=判定条件!$C$8*E1530,"停止","断続")))</f>
        <v>断続</v>
      </c>
      <c r="H1530" s="30" t="n">
        <v>60</v>
      </c>
      <c r="I1530" s="30" t="n">
        <v>14</v>
      </c>
      <c r="J1530" s="30" t="str">
        <f aca="false">IF(H1530&lt;判定条件!$C$6,"判定不能",IF(I1530&gt;=判定条件!$C$7*H1530,"運転",IF(I1530&lt;=判定条件!$C$8*H1530,"停止","断続")))</f>
        <v>断続</v>
      </c>
      <c r="K1530" s="30" t="n">
        <v>60</v>
      </c>
      <c r="L1530" s="30" t="n">
        <v>11</v>
      </c>
      <c r="M1530" s="30" t="str">
        <f aca="false">IF(K1530&lt;判定条件!$C$6,"判定不能",IF(L1530&gt;=判定条件!$C$7*K1530,"運転",IF(L1530&lt;=判定条件!$C$8*K1530,"停止","断続")))</f>
        <v>停止</v>
      </c>
      <c r="N1530" s="30" t="n">
        <v>60</v>
      </c>
      <c r="O1530" s="30" t="n">
        <v>0</v>
      </c>
      <c r="P1530" s="30" t="str">
        <f aca="false">IF(N1530&lt;判定条件!$C$6,"判定不能",IF(O1530&gt;=判定条件!$C$7*N1530,"運転",IF(O1530&lt;=判定条件!$C$8*N1530,"停止","断続")))</f>
        <v>停止</v>
      </c>
      <c r="Q1530" s="30" t="n">
        <v>60</v>
      </c>
      <c r="R1530" s="30" t="n">
        <v>41</v>
      </c>
      <c r="S1530" s="30" t="str">
        <f aca="false">IF(Q1530&lt;判定条件!$C$6,"判定不能",IF(R1530&gt;=判定条件!$C$7*Q1530,"運転",IF(R1530&lt;=判定条件!$C$8*Q1530,"停止","断続")))</f>
        <v>断続</v>
      </c>
      <c r="T1530" s="30" t="n">
        <v>60</v>
      </c>
      <c r="U1530" s="30" t="n">
        <v>60</v>
      </c>
      <c r="V1530" s="30" t="str">
        <f aca="false">IF(T1530&lt;判定条件!$C$6,"判定不能",IF(U1530&gt;=判定条件!$C$7*T1530,"運転",IF(U1530&lt;=判定条件!$C$8*T1530,"停止","断続")))</f>
        <v>運転</v>
      </c>
      <c r="W1530" s="30" t="n">
        <v>0</v>
      </c>
      <c r="X1530" s="30" t="n">
        <v>0</v>
      </c>
      <c r="Y1530" s="30" t="str">
        <f aca="false">IF(W1530&lt;判定条件!$C$6,"判定不能",IF(X1530&gt;=判定条件!$C$7*W1530,"運転",IF(X1530&lt;=判定条件!$C$8*W1530,"停止","断続")))</f>
        <v>判定不能</v>
      </c>
      <c r="Z1530" s="30" t="n">
        <v>0</v>
      </c>
      <c r="AA1530" s="30" t="n">
        <v>0</v>
      </c>
      <c r="AB1530" s="30" t="str">
        <f aca="false">IF(Z1530&lt;判定条件!$C$6,"判定不能",IF(AA1530&gt;=判定条件!$C$7*Z1530,"運転",IF(AA1530&lt;=判定条件!$C$8*Z1530,"停止","断続")))</f>
        <v>判定不能</v>
      </c>
      <c r="AC1530" s="30" t="n">
        <v>0</v>
      </c>
      <c r="AD1530" s="30" t="n">
        <v>0</v>
      </c>
      <c r="AE1530" s="30" t="str">
        <f aca="false">IF(AC1530&lt;判定条件!$C$6,"判定不能",IF(AD1530&gt;=判定条件!$C$7*AC1530,"運転",IF(AD1530&lt;=判定条件!$C$8*AC1530,"停止","断続")))</f>
        <v>判定不能</v>
      </c>
      <c r="AF1530" s="30" t="n">
        <v>60</v>
      </c>
      <c r="AG1530" s="30" t="n">
        <v>0</v>
      </c>
      <c r="AH1530" s="30" t="str">
        <f aca="false">IF(OR(P1530="判定不能",G1530="判定不能"),"判定不能",IF(AG1530&gt;=判定条件!$C$9,"利用可",IF(AND(P1530="停止",G1530="停止"),"両方停止","運転がそろわない")))</f>
        <v>運転がそろわない</v>
      </c>
      <c r="AI1530" s="30" t="n">
        <v>60</v>
      </c>
      <c r="AJ1530" s="30" t="n">
        <v>11</v>
      </c>
      <c r="AK1530" s="30" t="str">
        <f aca="false">IF(OR(S1530="判定不能",J1530="判定不能"),"判定不能",IF(AJ1530&gt;=判定条件!$C$9,"利用可",IF(AND(S1530="停止",J1530="停止"),"両方停止","運転がそろわない")))</f>
        <v>運転がそろわない</v>
      </c>
      <c r="AL1530" s="30" t="n">
        <v>60</v>
      </c>
      <c r="AM1530" s="30" t="n">
        <v>11</v>
      </c>
      <c r="AN1530" s="30" t="str">
        <f aca="false">IF(OR(V1530="判定不能",M1530="判定不能"),"判定不能",IF(AM1530&gt;=判定条件!$C$9,"利用可",IF(AND(V1530="停止",M1530="停止"),"両方停止","運転がそろわない")))</f>
        <v>運転がそろわない</v>
      </c>
      <c r="AO1530" s="30" t="n">
        <v>0</v>
      </c>
      <c r="AP1530" s="30" t="n">
        <v>0</v>
      </c>
      <c r="AQ1530" s="30" t="str">
        <f aca="false">IF(OR(Y1530="判定不能",G1530="判定不能"),"判定不能",IF(AP1530&gt;=判定条件!$C$9,"利用可",IF(AND(Y1530="停止",G1530="停止"),"両方停止","運転がそろわない")))</f>
        <v>判定不能</v>
      </c>
      <c r="AR1530" s="30" t="n">
        <v>0</v>
      </c>
      <c r="AS1530" s="30" t="n">
        <v>0</v>
      </c>
      <c r="AT1530" s="30" t="str">
        <f aca="false">IF(OR(AB1530="判定不能",J1530="判定不能"),"判定不能",IF(AS1530&gt;=判定条件!$C$9,"利用可",IF(AND(AB1530="停止",J1530="停止"),"両方停止","運転がそろわない")))</f>
        <v>判定不能</v>
      </c>
      <c r="AU1530" s="30" t="n">
        <v>0</v>
      </c>
      <c r="AV1530" s="30" t="n">
        <v>0</v>
      </c>
      <c r="AW1530" s="30" t="str">
        <f aca="false">IF(OR(AE1530="判定不能",M1530="判定不能"),"判定不能",IF(AV1530&gt;=判定条件!$C$9,"利用可",IF(AND(AE1530="停止",M1530="停止"),"両方停止","運転がそろわない")))</f>
        <v>判定不能</v>
      </c>
      <c r="AX1530" s="30" t="str">
        <f aca="false">IF(AND(AH1530="利用可",AK1530="利用可",AN1530="利用可"),"利用可","不可")</f>
        <v>不可</v>
      </c>
      <c r="AY1530" s="30" t="str">
        <f aca="false">IF(AND(AQ1530="利用可",AT1530="利用可",AW1530="利用可"),"利用可","不可")</f>
        <v>不可</v>
      </c>
    </row>
    <row r="1531" customFormat="false" ht="15" hidden="false" customHeight="false" outlineLevel="0" collapsed="false">
      <c r="A1531" s="29" t="n">
        <v>46295</v>
      </c>
      <c r="B1531" s="30" t="n">
        <v>16</v>
      </c>
      <c r="C1531" s="31" t="s">
        <v>58</v>
      </c>
      <c r="D1531" s="31" t="s">
        <v>59</v>
      </c>
      <c r="E1531" s="30" t="n">
        <v>60</v>
      </c>
      <c r="F1531" s="30" t="n">
        <v>1</v>
      </c>
      <c r="G1531" s="30" t="str">
        <f aca="false">IF(E1531&lt;判定条件!$C$6,"判定不能",IF(F1531&gt;=判定条件!$C$7*E1531,"運転",IF(F1531&lt;=判定条件!$C$8*E1531,"停止","断続")))</f>
        <v>停止</v>
      </c>
      <c r="H1531" s="30" t="n">
        <v>60</v>
      </c>
      <c r="I1531" s="30" t="n">
        <v>3</v>
      </c>
      <c r="J1531" s="30" t="str">
        <f aca="false">IF(H1531&lt;判定条件!$C$6,"判定不能",IF(I1531&gt;=判定条件!$C$7*H1531,"運転",IF(I1531&lt;=判定条件!$C$8*H1531,"停止","断続")))</f>
        <v>停止</v>
      </c>
      <c r="K1531" s="30" t="n">
        <v>60</v>
      </c>
      <c r="L1531" s="30" t="n">
        <v>0</v>
      </c>
      <c r="M1531" s="30" t="str">
        <f aca="false">IF(K1531&lt;判定条件!$C$6,"判定不能",IF(L1531&gt;=判定条件!$C$7*K1531,"運転",IF(L1531&lt;=判定条件!$C$8*K1531,"停止","断続")))</f>
        <v>停止</v>
      </c>
      <c r="N1531" s="30" t="n">
        <v>60</v>
      </c>
      <c r="O1531" s="30" t="n">
        <v>22</v>
      </c>
      <c r="P1531" s="30" t="str">
        <f aca="false">IF(N1531&lt;判定条件!$C$6,"判定不能",IF(O1531&gt;=判定条件!$C$7*N1531,"運転",IF(O1531&lt;=判定条件!$C$8*N1531,"停止","断続")))</f>
        <v>断続</v>
      </c>
      <c r="Q1531" s="30" t="n">
        <v>60</v>
      </c>
      <c r="R1531" s="30" t="n">
        <v>29</v>
      </c>
      <c r="S1531" s="30" t="str">
        <f aca="false">IF(Q1531&lt;判定条件!$C$6,"判定不能",IF(R1531&gt;=判定条件!$C$7*Q1531,"運転",IF(R1531&lt;=判定条件!$C$8*Q1531,"停止","断続")))</f>
        <v>断続</v>
      </c>
      <c r="T1531" s="30" t="n">
        <v>60</v>
      </c>
      <c r="U1531" s="30" t="n">
        <v>60</v>
      </c>
      <c r="V1531" s="30" t="str">
        <f aca="false">IF(T1531&lt;判定条件!$C$6,"判定不能",IF(U1531&gt;=判定条件!$C$7*T1531,"運転",IF(U1531&lt;=判定条件!$C$8*T1531,"停止","断続")))</f>
        <v>運転</v>
      </c>
      <c r="W1531" s="30" t="n">
        <v>0</v>
      </c>
      <c r="X1531" s="30" t="n">
        <v>0</v>
      </c>
      <c r="Y1531" s="30" t="str">
        <f aca="false">IF(W1531&lt;判定条件!$C$6,"判定不能",IF(X1531&gt;=判定条件!$C$7*W1531,"運転",IF(X1531&lt;=判定条件!$C$8*W1531,"停止","断続")))</f>
        <v>判定不能</v>
      </c>
      <c r="Z1531" s="30" t="n">
        <v>0</v>
      </c>
      <c r="AA1531" s="30" t="n">
        <v>0</v>
      </c>
      <c r="AB1531" s="30" t="str">
        <f aca="false">IF(Z1531&lt;判定条件!$C$6,"判定不能",IF(AA1531&gt;=判定条件!$C$7*Z1531,"運転",IF(AA1531&lt;=判定条件!$C$8*Z1531,"停止","断続")))</f>
        <v>判定不能</v>
      </c>
      <c r="AC1531" s="30" t="n">
        <v>0</v>
      </c>
      <c r="AD1531" s="30" t="n">
        <v>0</v>
      </c>
      <c r="AE1531" s="30" t="str">
        <f aca="false">IF(AC1531&lt;判定条件!$C$6,"判定不能",IF(AD1531&gt;=判定条件!$C$7*AC1531,"運転",IF(AD1531&lt;=判定条件!$C$8*AC1531,"停止","断続")))</f>
        <v>判定不能</v>
      </c>
      <c r="AF1531" s="30" t="n">
        <v>60</v>
      </c>
      <c r="AG1531" s="30" t="n">
        <v>0</v>
      </c>
      <c r="AH1531" s="30" t="str">
        <f aca="false">IF(OR(P1531="判定不能",G1531="判定不能"),"判定不能",IF(AG1531&gt;=判定条件!$C$9,"利用可",IF(AND(P1531="停止",G1531="停止"),"両方停止","運転がそろわない")))</f>
        <v>運転がそろわない</v>
      </c>
      <c r="AI1531" s="30" t="n">
        <v>60</v>
      </c>
      <c r="AJ1531" s="30" t="n">
        <v>3</v>
      </c>
      <c r="AK1531" s="30" t="str">
        <f aca="false">IF(OR(S1531="判定不能",J1531="判定不能"),"判定不能",IF(AJ1531&gt;=判定条件!$C$9,"利用可",IF(AND(S1531="停止",J1531="停止"),"両方停止","運転がそろわない")))</f>
        <v>運転がそろわない</v>
      </c>
      <c r="AL1531" s="30" t="n">
        <v>60</v>
      </c>
      <c r="AM1531" s="30" t="n">
        <v>0</v>
      </c>
      <c r="AN1531" s="30" t="str">
        <f aca="false">IF(OR(V1531="判定不能",M1531="判定不能"),"判定不能",IF(AM1531&gt;=判定条件!$C$9,"利用可",IF(AND(V1531="停止",M1531="停止"),"両方停止","運転がそろわない")))</f>
        <v>運転がそろわない</v>
      </c>
      <c r="AO1531" s="30" t="n">
        <v>0</v>
      </c>
      <c r="AP1531" s="30" t="n">
        <v>0</v>
      </c>
      <c r="AQ1531" s="30" t="str">
        <f aca="false">IF(OR(Y1531="判定不能",G1531="判定不能"),"判定不能",IF(AP1531&gt;=判定条件!$C$9,"利用可",IF(AND(Y1531="停止",G1531="停止"),"両方停止","運転がそろわない")))</f>
        <v>判定不能</v>
      </c>
      <c r="AR1531" s="30" t="n">
        <v>0</v>
      </c>
      <c r="AS1531" s="30" t="n">
        <v>0</v>
      </c>
      <c r="AT1531" s="30" t="str">
        <f aca="false">IF(OR(AB1531="判定不能",J1531="判定不能"),"判定不能",IF(AS1531&gt;=判定条件!$C$9,"利用可",IF(AND(AB1531="停止",J1531="停止"),"両方停止","運転がそろわない")))</f>
        <v>判定不能</v>
      </c>
      <c r="AU1531" s="30" t="n">
        <v>0</v>
      </c>
      <c r="AV1531" s="30" t="n">
        <v>0</v>
      </c>
      <c r="AW1531" s="30" t="str">
        <f aca="false">IF(OR(AE1531="判定不能",M1531="判定不能"),"判定不能",IF(AV1531&gt;=判定条件!$C$9,"利用可",IF(AND(AE1531="停止",M1531="停止"),"両方停止","運転がそろわない")))</f>
        <v>判定不能</v>
      </c>
      <c r="AX1531" s="30" t="str">
        <f aca="false">IF(AND(AH1531="利用可",AK1531="利用可",AN1531="利用可"),"利用可","不可")</f>
        <v>不可</v>
      </c>
      <c r="AY1531" s="30" t="str">
        <f aca="false">IF(AND(AQ1531="利用可",AT1531="利用可",AW1531="利用可"),"利用可","不可")</f>
        <v>不可</v>
      </c>
    </row>
    <row r="1532" customFormat="false" ht="15" hidden="false" customHeight="false" outlineLevel="0" collapsed="false">
      <c r="A1532" s="29" t="n">
        <v>46295</v>
      </c>
      <c r="B1532" s="30" t="n">
        <v>17</v>
      </c>
      <c r="C1532" s="31" t="s">
        <v>58</v>
      </c>
      <c r="D1532" s="31" t="s">
        <v>59</v>
      </c>
      <c r="E1532" s="30" t="n">
        <v>60</v>
      </c>
      <c r="F1532" s="30" t="n">
        <v>0</v>
      </c>
      <c r="G1532" s="30" t="str">
        <f aca="false">IF(E1532&lt;判定条件!$C$6,"判定不能",IF(F1532&gt;=判定条件!$C$7*E1532,"運転",IF(F1532&lt;=判定条件!$C$8*E1532,"停止","断続")))</f>
        <v>停止</v>
      </c>
      <c r="H1532" s="30" t="n">
        <v>60</v>
      </c>
      <c r="I1532" s="30" t="n">
        <v>1</v>
      </c>
      <c r="J1532" s="30" t="str">
        <f aca="false">IF(H1532&lt;判定条件!$C$6,"判定不能",IF(I1532&gt;=判定条件!$C$7*H1532,"運転",IF(I1532&lt;=判定条件!$C$8*H1532,"停止","断続")))</f>
        <v>停止</v>
      </c>
      <c r="K1532" s="30" t="n">
        <v>60</v>
      </c>
      <c r="L1532" s="30" t="n">
        <v>0</v>
      </c>
      <c r="M1532" s="30" t="str">
        <f aca="false">IF(K1532&lt;判定条件!$C$6,"判定不能",IF(L1532&gt;=判定条件!$C$7*K1532,"運転",IF(L1532&lt;=判定条件!$C$8*K1532,"停止","断続")))</f>
        <v>停止</v>
      </c>
      <c r="N1532" s="30" t="n">
        <v>60</v>
      </c>
      <c r="O1532" s="30" t="n">
        <v>0</v>
      </c>
      <c r="P1532" s="30" t="str">
        <f aca="false">IF(N1532&lt;判定条件!$C$6,"判定不能",IF(O1532&gt;=判定条件!$C$7*N1532,"運転",IF(O1532&lt;=判定条件!$C$8*N1532,"停止","断続")))</f>
        <v>停止</v>
      </c>
      <c r="Q1532" s="30" t="n">
        <v>60</v>
      </c>
      <c r="R1532" s="30" t="n">
        <v>6</v>
      </c>
      <c r="S1532" s="30" t="str">
        <f aca="false">IF(Q1532&lt;判定条件!$C$6,"判定不能",IF(R1532&gt;=判定条件!$C$7*Q1532,"運転",IF(R1532&lt;=判定条件!$C$8*Q1532,"停止","断続")))</f>
        <v>停止</v>
      </c>
      <c r="T1532" s="30" t="n">
        <v>60</v>
      </c>
      <c r="U1532" s="30" t="n">
        <v>60</v>
      </c>
      <c r="V1532" s="30" t="str">
        <f aca="false">IF(T1532&lt;判定条件!$C$6,"判定不能",IF(U1532&gt;=判定条件!$C$7*T1532,"運転",IF(U1532&lt;=判定条件!$C$8*T1532,"停止","断続")))</f>
        <v>運転</v>
      </c>
      <c r="W1532" s="30" t="n">
        <v>0</v>
      </c>
      <c r="X1532" s="30" t="n">
        <v>0</v>
      </c>
      <c r="Y1532" s="30" t="str">
        <f aca="false">IF(W1532&lt;判定条件!$C$6,"判定不能",IF(X1532&gt;=判定条件!$C$7*W1532,"運転",IF(X1532&lt;=判定条件!$C$8*W1532,"停止","断続")))</f>
        <v>判定不能</v>
      </c>
      <c r="Z1532" s="30" t="n">
        <v>0</v>
      </c>
      <c r="AA1532" s="30" t="n">
        <v>0</v>
      </c>
      <c r="AB1532" s="30" t="str">
        <f aca="false">IF(Z1532&lt;判定条件!$C$6,"判定不能",IF(AA1532&gt;=判定条件!$C$7*Z1532,"運転",IF(AA1532&lt;=判定条件!$C$8*Z1532,"停止","断続")))</f>
        <v>判定不能</v>
      </c>
      <c r="AC1532" s="30" t="n">
        <v>0</v>
      </c>
      <c r="AD1532" s="30" t="n">
        <v>0</v>
      </c>
      <c r="AE1532" s="30" t="str">
        <f aca="false">IF(AC1532&lt;判定条件!$C$6,"判定不能",IF(AD1532&gt;=判定条件!$C$7*AC1532,"運転",IF(AD1532&lt;=判定条件!$C$8*AC1532,"停止","断続")))</f>
        <v>判定不能</v>
      </c>
      <c r="AF1532" s="30" t="n">
        <v>60</v>
      </c>
      <c r="AG1532" s="30" t="n">
        <v>0</v>
      </c>
      <c r="AH1532" s="30" t="str">
        <f aca="false">IF(OR(P1532="判定不能",G1532="判定不能"),"判定不能",IF(AG1532&gt;=判定条件!$C$9,"利用可",IF(AND(P1532="停止",G1532="停止"),"両方停止","運転がそろわない")))</f>
        <v>両方停止</v>
      </c>
      <c r="AI1532" s="30" t="n">
        <v>60</v>
      </c>
      <c r="AJ1532" s="30" t="n">
        <v>0</v>
      </c>
      <c r="AK1532" s="30" t="str">
        <f aca="false">IF(OR(S1532="判定不能",J1532="判定不能"),"判定不能",IF(AJ1532&gt;=判定条件!$C$9,"利用可",IF(AND(S1532="停止",J1532="停止"),"両方停止","運転がそろわない")))</f>
        <v>両方停止</v>
      </c>
      <c r="AL1532" s="30" t="n">
        <v>60</v>
      </c>
      <c r="AM1532" s="30" t="n">
        <v>0</v>
      </c>
      <c r="AN1532" s="30" t="str">
        <f aca="false">IF(OR(V1532="判定不能",M1532="判定不能"),"判定不能",IF(AM1532&gt;=判定条件!$C$9,"利用可",IF(AND(V1532="停止",M1532="停止"),"両方停止","運転がそろわない")))</f>
        <v>運転がそろわない</v>
      </c>
      <c r="AO1532" s="30" t="n">
        <v>0</v>
      </c>
      <c r="AP1532" s="30" t="n">
        <v>0</v>
      </c>
      <c r="AQ1532" s="30" t="str">
        <f aca="false">IF(OR(Y1532="判定不能",G1532="判定不能"),"判定不能",IF(AP1532&gt;=判定条件!$C$9,"利用可",IF(AND(Y1532="停止",G1532="停止"),"両方停止","運転がそろわない")))</f>
        <v>判定不能</v>
      </c>
      <c r="AR1532" s="30" t="n">
        <v>0</v>
      </c>
      <c r="AS1532" s="30" t="n">
        <v>0</v>
      </c>
      <c r="AT1532" s="30" t="str">
        <f aca="false">IF(OR(AB1532="判定不能",J1532="判定不能"),"判定不能",IF(AS1532&gt;=判定条件!$C$9,"利用可",IF(AND(AB1532="停止",J1532="停止"),"両方停止","運転がそろわない")))</f>
        <v>判定不能</v>
      </c>
      <c r="AU1532" s="30" t="n">
        <v>0</v>
      </c>
      <c r="AV1532" s="30" t="n">
        <v>0</v>
      </c>
      <c r="AW1532" s="30" t="str">
        <f aca="false">IF(OR(AE1532="判定不能",M1532="判定不能"),"判定不能",IF(AV1532&gt;=判定条件!$C$9,"利用可",IF(AND(AE1532="停止",M1532="停止"),"両方停止","運転がそろわない")))</f>
        <v>判定不能</v>
      </c>
      <c r="AX1532" s="30" t="str">
        <f aca="false">IF(AND(AH1532="利用可",AK1532="利用可",AN1532="利用可"),"利用可","不可")</f>
        <v>不可</v>
      </c>
      <c r="AY1532" s="30" t="str">
        <f aca="false">IF(AND(AQ1532="利用可",AT1532="利用可",AW1532="利用可"),"利用可","不可")</f>
        <v>不可</v>
      </c>
    </row>
    <row r="1533" customFormat="false" ht="15" hidden="false" customHeight="false" outlineLevel="0" collapsed="false">
      <c r="A1533" s="29" t="n">
        <v>46295</v>
      </c>
      <c r="B1533" s="30" t="n">
        <v>18</v>
      </c>
      <c r="C1533" s="31" t="s">
        <v>58</v>
      </c>
      <c r="D1533" s="31" t="s">
        <v>59</v>
      </c>
      <c r="E1533" s="30" t="n">
        <v>60</v>
      </c>
      <c r="F1533" s="30" t="n">
        <v>0</v>
      </c>
      <c r="G1533" s="30" t="str">
        <f aca="false">IF(E1533&lt;判定条件!$C$6,"判定不能",IF(F1533&gt;=判定条件!$C$7*E1533,"運転",IF(F1533&lt;=判定条件!$C$8*E1533,"停止","断続")))</f>
        <v>停止</v>
      </c>
      <c r="H1533" s="30" t="n">
        <v>60</v>
      </c>
      <c r="I1533" s="30" t="n">
        <v>12</v>
      </c>
      <c r="J1533" s="30" t="str">
        <f aca="false">IF(H1533&lt;判定条件!$C$6,"判定不能",IF(I1533&gt;=判定条件!$C$7*H1533,"運転",IF(I1533&lt;=判定条件!$C$8*H1533,"停止","断続")))</f>
        <v>停止</v>
      </c>
      <c r="K1533" s="30" t="n">
        <v>60</v>
      </c>
      <c r="L1533" s="30" t="n">
        <v>16</v>
      </c>
      <c r="M1533" s="30" t="str">
        <f aca="false">IF(K1533&lt;判定条件!$C$6,"判定不能",IF(L1533&gt;=判定条件!$C$7*K1533,"運転",IF(L1533&lt;=判定条件!$C$8*K1533,"停止","断続")))</f>
        <v>断続</v>
      </c>
      <c r="N1533" s="30" t="n">
        <v>60</v>
      </c>
      <c r="O1533" s="30" t="n">
        <v>0</v>
      </c>
      <c r="P1533" s="30" t="str">
        <f aca="false">IF(N1533&lt;判定条件!$C$6,"判定不能",IF(O1533&gt;=判定条件!$C$7*N1533,"運転",IF(O1533&lt;=判定条件!$C$8*N1533,"停止","断続")))</f>
        <v>停止</v>
      </c>
      <c r="Q1533" s="30" t="n">
        <v>60</v>
      </c>
      <c r="R1533" s="30" t="n">
        <v>0</v>
      </c>
      <c r="S1533" s="30" t="str">
        <f aca="false">IF(Q1533&lt;判定条件!$C$6,"判定不能",IF(R1533&gt;=判定条件!$C$7*Q1533,"運転",IF(R1533&lt;=判定条件!$C$8*Q1533,"停止","断続")))</f>
        <v>停止</v>
      </c>
      <c r="T1533" s="30" t="n">
        <v>60</v>
      </c>
      <c r="U1533" s="30" t="n">
        <v>9</v>
      </c>
      <c r="V1533" s="30" t="str">
        <f aca="false">IF(T1533&lt;判定条件!$C$6,"判定不能",IF(U1533&gt;=判定条件!$C$7*T1533,"運転",IF(U1533&lt;=判定条件!$C$8*T1533,"停止","断続")))</f>
        <v>停止</v>
      </c>
      <c r="W1533" s="30" t="n">
        <v>0</v>
      </c>
      <c r="X1533" s="30" t="n">
        <v>0</v>
      </c>
      <c r="Y1533" s="30" t="str">
        <f aca="false">IF(W1533&lt;判定条件!$C$6,"判定不能",IF(X1533&gt;=判定条件!$C$7*W1533,"運転",IF(X1533&lt;=判定条件!$C$8*W1533,"停止","断続")))</f>
        <v>判定不能</v>
      </c>
      <c r="Z1533" s="30" t="n">
        <v>0</v>
      </c>
      <c r="AA1533" s="30" t="n">
        <v>0</v>
      </c>
      <c r="AB1533" s="30" t="str">
        <f aca="false">IF(Z1533&lt;判定条件!$C$6,"判定不能",IF(AA1533&gt;=判定条件!$C$7*Z1533,"運転",IF(AA1533&lt;=判定条件!$C$8*Z1533,"停止","断続")))</f>
        <v>判定不能</v>
      </c>
      <c r="AC1533" s="30" t="n">
        <v>0</v>
      </c>
      <c r="AD1533" s="30" t="n">
        <v>0</v>
      </c>
      <c r="AE1533" s="30" t="str">
        <f aca="false">IF(AC1533&lt;判定条件!$C$6,"判定不能",IF(AD1533&gt;=判定条件!$C$7*AC1533,"運転",IF(AD1533&lt;=判定条件!$C$8*AC1533,"停止","断続")))</f>
        <v>判定不能</v>
      </c>
      <c r="AF1533" s="30" t="n">
        <v>60</v>
      </c>
      <c r="AG1533" s="30" t="n">
        <v>0</v>
      </c>
      <c r="AH1533" s="30" t="str">
        <f aca="false">IF(OR(P1533="判定不能",G1533="判定不能"),"判定不能",IF(AG1533&gt;=判定条件!$C$9,"利用可",IF(AND(P1533="停止",G1533="停止"),"両方停止","運転がそろわない")))</f>
        <v>両方停止</v>
      </c>
      <c r="AI1533" s="30" t="n">
        <v>60</v>
      </c>
      <c r="AJ1533" s="30" t="n">
        <v>0</v>
      </c>
      <c r="AK1533" s="30" t="str">
        <f aca="false">IF(OR(S1533="判定不能",J1533="判定不能"),"判定不能",IF(AJ1533&gt;=判定条件!$C$9,"利用可",IF(AND(S1533="停止",J1533="停止"),"両方停止","運転がそろわない")))</f>
        <v>両方停止</v>
      </c>
      <c r="AL1533" s="30" t="n">
        <v>60</v>
      </c>
      <c r="AM1533" s="30" t="n">
        <v>6</v>
      </c>
      <c r="AN1533" s="30" t="str">
        <f aca="false">IF(OR(V1533="判定不能",M1533="判定不能"),"判定不能",IF(AM1533&gt;=判定条件!$C$9,"利用可",IF(AND(V1533="停止",M1533="停止"),"両方停止","運転がそろわない")))</f>
        <v>運転がそろわない</v>
      </c>
      <c r="AO1533" s="30" t="n">
        <v>0</v>
      </c>
      <c r="AP1533" s="30" t="n">
        <v>0</v>
      </c>
      <c r="AQ1533" s="30" t="str">
        <f aca="false">IF(OR(Y1533="判定不能",G1533="判定不能"),"判定不能",IF(AP1533&gt;=判定条件!$C$9,"利用可",IF(AND(Y1533="停止",G1533="停止"),"両方停止","運転がそろわない")))</f>
        <v>判定不能</v>
      </c>
      <c r="AR1533" s="30" t="n">
        <v>0</v>
      </c>
      <c r="AS1533" s="30" t="n">
        <v>0</v>
      </c>
      <c r="AT1533" s="30" t="str">
        <f aca="false">IF(OR(AB1533="判定不能",J1533="判定不能"),"判定不能",IF(AS1533&gt;=判定条件!$C$9,"利用可",IF(AND(AB1533="停止",J1533="停止"),"両方停止","運転がそろわない")))</f>
        <v>判定不能</v>
      </c>
      <c r="AU1533" s="30" t="n">
        <v>0</v>
      </c>
      <c r="AV1533" s="30" t="n">
        <v>0</v>
      </c>
      <c r="AW1533" s="30" t="str">
        <f aca="false">IF(OR(AE1533="判定不能",M1533="判定不能"),"判定不能",IF(AV1533&gt;=判定条件!$C$9,"利用可",IF(AND(AE1533="停止",M1533="停止"),"両方停止","運転がそろわない")))</f>
        <v>判定不能</v>
      </c>
      <c r="AX1533" s="30" t="str">
        <f aca="false">IF(AND(AH1533="利用可",AK1533="利用可",AN1533="利用可"),"利用可","不可")</f>
        <v>不可</v>
      </c>
      <c r="AY1533" s="30" t="str">
        <f aca="false">IF(AND(AQ1533="利用可",AT1533="利用可",AW1533="利用可"),"利用可","不可")</f>
        <v>不可</v>
      </c>
    </row>
    <row r="1534" customFormat="false" ht="15" hidden="false" customHeight="false" outlineLevel="0" collapsed="false">
      <c r="A1534" s="29" t="n">
        <v>46295</v>
      </c>
      <c r="B1534" s="30" t="n">
        <v>19</v>
      </c>
      <c r="C1534" s="31" t="s">
        <v>58</v>
      </c>
      <c r="D1534" s="31" t="s">
        <v>59</v>
      </c>
      <c r="E1534" s="30" t="n">
        <v>60</v>
      </c>
      <c r="F1534" s="30" t="n">
        <v>0</v>
      </c>
      <c r="G1534" s="30" t="str">
        <f aca="false">IF(E1534&lt;判定条件!$C$6,"判定不能",IF(F1534&gt;=判定条件!$C$7*E1534,"運転",IF(F1534&lt;=判定条件!$C$8*E1534,"停止","断続")))</f>
        <v>停止</v>
      </c>
      <c r="H1534" s="30" t="n">
        <v>60</v>
      </c>
      <c r="I1534" s="30" t="n">
        <v>11</v>
      </c>
      <c r="J1534" s="30" t="str">
        <f aca="false">IF(H1534&lt;判定条件!$C$6,"判定不能",IF(I1534&gt;=判定条件!$C$7*H1534,"運転",IF(I1534&lt;=判定条件!$C$8*H1534,"停止","断続")))</f>
        <v>停止</v>
      </c>
      <c r="K1534" s="30" t="n">
        <v>60</v>
      </c>
      <c r="L1534" s="30" t="n">
        <v>39</v>
      </c>
      <c r="M1534" s="30" t="str">
        <f aca="false">IF(K1534&lt;判定条件!$C$6,"判定不能",IF(L1534&gt;=判定条件!$C$7*K1534,"運転",IF(L1534&lt;=判定条件!$C$8*K1534,"停止","断続")))</f>
        <v>断続</v>
      </c>
      <c r="N1534" s="30" t="n">
        <v>60</v>
      </c>
      <c r="O1534" s="30" t="n">
        <v>0</v>
      </c>
      <c r="P1534" s="30" t="str">
        <f aca="false">IF(N1534&lt;判定条件!$C$6,"判定不能",IF(O1534&gt;=判定条件!$C$7*N1534,"運転",IF(O1534&lt;=判定条件!$C$8*N1534,"停止","断続")))</f>
        <v>停止</v>
      </c>
      <c r="Q1534" s="30" t="n">
        <v>60</v>
      </c>
      <c r="R1534" s="30" t="n">
        <v>17</v>
      </c>
      <c r="S1534" s="30" t="str">
        <f aca="false">IF(Q1534&lt;判定条件!$C$6,"判定不能",IF(R1534&gt;=判定条件!$C$7*Q1534,"運転",IF(R1534&lt;=判定条件!$C$8*Q1534,"停止","断続")))</f>
        <v>断続</v>
      </c>
      <c r="T1534" s="30" t="n">
        <v>60</v>
      </c>
      <c r="U1534" s="30" t="n">
        <v>0</v>
      </c>
      <c r="V1534" s="30" t="str">
        <f aca="false">IF(T1534&lt;判定条件!$C$6,"判定不能",IF(U1534&gt;=判定条件!$C$7*T1534,"運転",IF(U1534&lt;=判定条件!$C$8*T1534,"停止","断続")))</f>
        <v>停止</v>
      </c>
      <c r="W1534" s="30" t="n">
        <v>0</v>
      </c>
      <c r="X1534" s="30" t="n">
        <v>0</v>
      </c>
      <c r="Y1534" s="30" t="str">
        <f aca="false">IF(W1534&lt;判定条件!$C$6,"判定不能",IF(X1534&gt;=判定条件!$C$7*W1534,"運転",IF(X1534&lt;=判定条件!$C$8*W1534,"停止","断続")))</f>
        <v>判定不能</v>
      </c>
      <c r="Z1534" s="30" t="n">
        <v>0</v>
      </c>
      <c r="AA1534" s="30" t="n">
        <v>0</v>
      </c>
      <c r="AB1534" s="30" t="str">
        <f aca="false">IF(Z1534&lt;判定条件!$C$6,"判定不能",IF(AA1534&gt;=判定条件!$C$7*Z1534,"運転",IF(AA1534&lt;=判定条件!$C$8*Z1534,"停止","断続")))</f>
        <v>判定不能</v>
      </c>
      <c r="AC1534" s="30" t="n">
        <v>0</v>
      </c>
      <c r="AD1534" s="30" t="n">
        <v>0</v>
      </c>
      <c r="AE1534" s="30" t="str">
        <f aca="false">IF(AC1534&lt;判定条件!$C$6,"判定不能",IF(AD1534&gt;=判定条件!$C$7*AC1534,"運転",IF(AD1534&lt;=判定条件!$C$8*AC1534,"停止","断続")))</f>
        <v>判定不能</v>
      </c>
      <c r="AF1534" s="30" t="n">
        <v>60</v>
      </c>
      <c r="AG1534" s="30" t="n">
        <v>0</v>
      </c>
      <c r="AH1534" s="30" t="str">
        <f aca="false">IF(OR(P1534="判定不能",G1534="判定不能"),"判定不能",IF(AG1534&gt;=判定条件!$C$9,"利用可",IF(AND(P1534="停止",G1534="停止"),"両方停止","運転がそろわない")))</f>
        <v>両方停止</v>
      </c>
      <c r="AI1534" s="30" t="n">
        <v>60</v>
      </c>
      <c r="AJ1534" s="30" t="n">
        <v>8</v>
      </c>
      <c r="AK1534" s="30" t="str">
        <f aca="false">IF(OR(S1534="判定不能",J1534="判定不能"),"判定不能",IF(AJ1534&gt;=判定条件!$C$9,"利用可",IF(AND(S1534="停止",J1534="停止"),"両方停止","運転がそろわない")))</f>
        <v>運転がそろわない</v>
      </c>
      <c r="AL1534" s="30" t="n">
        <v>60</v>
      </c>
      <c r="AM1534" s="30" t="n">
        <v>0</v>
      </c>
      <c r="AN1534" s="30" t="str">
        <f aca="false">IF(OR(V1534="判定不能",M1534="判定不能"),"判定不能",IF(AM1534&gt;=判定条件!$C$9,"利用可",IF(AND(V1534="停止",M1534="停止"),"両方停止","運転がそろわない")))</f>
        <v>運転がそろわない</v>
      </c>
      <c r="AO1534" s="30" t="n">
        <v>0</v>
      </c>
      <c r="AP1534" s="30" t="n">
        <v>0</v>
      </c>
      <c r="AQ1534" s="30" t="str">
        <f aca="false">IF(OR(Y1534="判定不能",G1534="判定不能"),"判定不能",IF(AP1534&gt;=判定条件!$C$9,"利用可",IF(AND(Y1534="停止",G1534="停止"),"両方停止","運転がそろわない")))</f>
        <v>判定不能</v>
      </c>
      <c r="AR1534" s="30" t="n">
        <v>0</v>
      </c>
      <c r="AS1534" s="30" t="n">
        <v>0</v>
      </c>
      <c r="AT1534" s="30" t="str">
        <f aca="false">IF(OR(AB1534="判定不能",J1534="判定不能"),"判定不能",IF(AS1534&gt;=判定条件!$C$9,"利用可",IF(AND(AB1534="停止",J1534="停止"),"両方停止","運転がそろわない")))</f>
        <v>判定不能</v>
      </c>
      <c r="AU1534" s="30" t="n">
        <v>0</v>
      </c>
      <c r="AV1534" s="30" t="n">
        <v>0</v>
      </c>
      <c r="AW1534" s="30" t="str">
        <f aca="false">IF(OR(AE1534="判定不能",M1534="判定不能"),"判定不能",IF(AV1534&gt;=判定条件!$C$9,"利用可",IF(AND(AE1534="停止",M1534="停止"),"両方停止","運転がそろわない")))</f>
        <v>判定不能</v>
      </c>
      <c r="AX1534" s="30" t="str">
        <f aca="false">IF(AND(AH1534="利用可",AK1534="利用可",AN1534="利用可"),"利用可","不可")</f>
        <v>不可</v>
      </c>
      <c r="AY1534" s="30" t="str">
        <f aca="false">IF(AND(AQ1534="利用可",AT1534="利用可",AW1534="利用可"),"利用可","不可")</f>
        <v>不可</v>
      </c>
    </row>
    <row r="1535" customFormat="false" ht="15" hidden="false" customHeight="false" outlineLevel="0" collapsed="false">
      <c r="A1535" s="29" t="n">
        <v>46295</v>
      </c>
      <c r="B1535" s="30" t="n">
        <v>20</v>
      </c>
      <c r="C1535" s="31" t="s">
        <v>58</v>
      </c>
      <c r="D1535" s="31" t="s">
        <v>59</v>
      </c>
      <c r="E1535" s="30" t="n">
        <v>60</v>
      </c>
      <c r="F1535" s="30" t="n">
        <v>0</v>
      </c>
      <c r="G1535" s="30" t="str">
        <f aca="false">IF(E1535&lt;判定条件!$C$6,"判定不能",IF(F1535&gt;=判定条件!$C$7*E1535,"運転",IF(F1535&lt;=判定条件!$C$8*E1535,"停止","断続")))</f>
        <v>停止</v>
      </c>
      <c r="H1535" s="30" t="n">
        <v>60</v>
      </c>
      <c r="I1535" s="30" t="n">
        <v>9</v>
      </c>
      <c r="J1535" s="30" t="str">
        <f aca="false">IF(H1535&lt;判定条件!$C$6,"判定不能",IF(I1535&gt;=判定条件!$C$7*H1535,"運転",IF(I1535&lt;=判定条件!$C$8*H1535,"停止","断続")))</f>
        <v>停止</v>
      </c>
      <c r="K1535" s="30" t="n">
        <v>60</v>
      </c>
      <c r="L1535" s="30" t="n">
        <v>21</v>
      </c>
      <c r="M1535" s="30" t="str">
        <f aca="false">IF(K1535&lt;判定条件!$C$6,"判定不能",IF(L1535&gt;=判定条件!$C$7*K1535,"運転",IF(L1535&lt;=判定条件!$C$8*K1535,"停止","断続")))</f>
        <v>断続</v>
      </c>
      <c r="N1535" s="30" t="n">
        <v>60</v>
      </c>
      <c r="O1535" s="30" t="n">
        <v>0</v>
      </c>
      <c r="P1535" s="30" t="str">
        <f aca="false">IF(N1535&lt;判定条件!$C$6,"判定不能",IF(O1535&gt;=判定条件!$C$7*N1535,"運転",IF(O1535&lt;=判定条件!$C$8*N1535,"停止","断続")))</f>
        <v>停止</v>
      </c>
      <c r="Q1535" s="30" t="n">
        <v>60</v>
      </c>
      <c r="R1535" s="30" t="n">
        <v>0</v>
      </c>
      <c r="S1535" s="30" t="str">
        <f aca="false">IF(Q1535&lt;判定条件!$C$6,"判定不能",IF(R1535&gt;=判定条件!$C$7*Q1535,"運転",IF(R1535&lt;=判定条件!$C$8*Q1535,"停止","断続")))</f>
        <v>停止</v>
      </c>
      <c r="T1535" s="30" t="n">
        <v>60</v>
      </c>
      <c r="U1535" s="30" t="n">
        <v>0</v>
      </c>
      <c r="V1535" s="30" t="str">
        <f aca="false">IF(T1535&lt;判定条件!$C$6,"判定不能",IF(U1535&gt;=判定条件!$C$7*T1535,"運転",IF(U1535&lt;=判定条件!$C$8*T1535,"停止","断続")))</f>
        <v>停止</v>
      </c>
      <c r="W1535" s="30" t="n">
        <v>0</v>
      </c>
      <c r="X1535" s="30" t="n">
        <v>0</v>
      </c>
      <c r="Y1535" s="30" t="str">
        <f aca="false">IF(W1535&lt;判定条件!$C$6,"判定不能",IF(X1535&gt;=判定条件!$C$7*W1535,"運転",IF(X1535&lt;=判定条件!$C$8*W1535,"停止","断続")))</f>
        <v>判定不能</v>
      </c>
      <c r="Z1535" s="30" t="n">
        <v>0</v>
      </c>
      <c r="AA1535" s="30" t="n">
        <v>0</v>
      </c>
      <c r="AB1535" s="30" t="str">
        <f aca="false">IF(Z1535&lt;判定条件!$C$6,"判定不能",IF(AA1535&gt;=判定条件!$C$7*Z1535,"運転",IF(AA1535&lt;=判定条件!$C$8*Z1535,"停止","断続")))</f>
        <v>判定不能</v>
      </c>
      <c r="AC1535" s="30" t="n">
        <v>0</v>
      </c>
      <c r="AD1535" s="30" t="n">
        <v>0</v>
      </c>
      <c r="AE1535" s="30" t="str">
        <f aca="false">IF(AC1535&lt;判定条件!$C$6,"判定不能",IF(AD1535&gt;=判定条件!$C$7*AC1535,"運転",IF(AD1535&lt;=判定条件!$C$8*AC1535,"停止","断続")))</f>
        <v>判定不能</v>
      </c>
      <c r="AF1535" s="30" t="n">
        <v>60</v>
      </c>
      <c r="AG1535" s="30" t="n">
        <v>0</v>
      </c>
      <c r="AH1535" s="30" t="str">
        <f aca="false">IF(OR(P1535="判定不能",G1535="判定不能"),"判定不能",IF(AG1535&gt;=判定条件!$C$9,"利用可",IF(AND(P1535="停止",G1535="停止"),"両方停止","運転がそろわない")))</f>
        <v>両方停止</v>
      </c>
      <c r="AI1535" s="30" t="n">
        <v>60</v>
      </c>
      <c r="AJ1535" s="30" t="n">
        <v>0</v>
      </c>
      <c r="AK1535" s="30" t="str">
        <f aca="false">IF(OR(S1535="判定不能",J1535="判定不能"),"判定不能",IF(AJ1535&gt;=判定条件!$C$9,"利用可",IF(AND(S1535="停止",J1535="停止"),"両方停止","運転がそろわない")))</f>
        <v>両方停止</v>
      </c>
      <c r="AL1535" s="30" t="n">
        <v>60</v>
      </c>
      <c r="AM1535" s="30" t="n">
        <v>0</v>
      </c>
      <c r="AN1535" s="30" t="str">
        <f aca="false">IF(OR(V1535="判定不能",M1535="判定不能"),"判定不能",IF(AM1535&gt;=判定条件!$C$9,"利用可",IF(AND(V1535="停止",M1535="停止"),"両方停止","運転がそろわない")))</f>
        <v>運転がそろわない</v>
      </c>
      <c r="AO1535" s="30" t="n">
        <v>0</v>
      </c>
      <c r="AP1535" s="30" t="n">
        <v>0</v>
      </c>
      <c r="AQ1535" s="30" t="str">
        <f aca="false">IF(OR(Y1535="判定不能",G1535="判定不能"),"判定不能",IF(AP1535&gt;=判定条件!$C$9,"利用可",IF(AND(Y1535="停止",G1535="停止"),"両方停止","運転がそろわない")))</f>
        <v>判定不能</v>
      </c>
      <c r="AR1535" s="30" t="n">
        <v>0</v>
      </c>
      <c r="AS1535" s="30" t="n">
        <v>0</v>
      </c>
      <c r="AT1535" s="30" t="str">
        <f aca="false">IF(OR(AB1535="判定不能",J1535="判定不能"),"判定不能",IF(AS1535&gt;=判定条件!$C$9,"利用可",IF(AND(AB1535="停止",J1535="停止"),"両方停止","運転がそろわない")))</f>
        <v>判定不能</v>
      </c>
      <c r="AU1535" s="30" t="n">
        <v>0</v>
      </c>
      <c r="AV1535" s="30" t="n">
        <v>0</v>
      </c>
      <c r="AW1535" s="30" t="str">
        <f aca="false">IF(OR(AE1535="判定不能",M1535="判定不能"),"判定不能",IF(AV1535&gt;=判定条件!$C$9,"利用可",IF(AND(AE1535="停止",M1535="停止"),"両方停止","運転がそろわない")))</f>
        <v>判定不能</v>
      </c>
      <c r="AX1535" s="30" t="str">
        <f aca="false">IF(AND(AH1535="利用可",AK1535="利用可",AN1535="利用可"),"利用可","不可")</f>
        <v>不可</v>
      </c>
      <c r="AY1535" s="30" t="str">
        <f aca="false">IF(AND(AQ1535="利用可",AT1535="利用可",AW1535="利用可"),"利用可","不可")</f>
        <v>不可</v>
      </c>
    </row>
    <row r="1536" customFormat="false" ht="15" hidden="false" customHeight="false" outlineLevel="0" collapsed="false">
      <c r="A1536" s="29" t="n">
        <v>46295</v>
      </c>
      <c r="B1536" s="30" t="n">
        <v>21</v>
      </c>
      <c r="C1536" s="31" t="s">
        <v>58</v>
      </c>
      <c r="D1536" s="31" t="s">
        <v>59</v>
      </c>
      <c r="E1536" s="30" t="n">
        <v>60</v>
      </c>
      <c r="F1536" s="30" t="n">
        <v>0</v>
      </c>
      <c r="G1536" s="30" t="str">
        <f aca="false">IF(E1536&lt;判定条件!$C$6,"判定不能",IF(F1536&gt;=判定条件!$C$7*E1536,"運転",IF(F1536&lt;=判定条件!$C$8*E1536,"停止","断続")))</f>
        <v>停止</v>
      </c>
      <c r="H1536" s="30" t="n">
        <v>60</v>
      </c>
      <c r="I1536" s="30" t="n">
        <v>0</v>
      </c>
      <c r="J1536" s="30" t="str">
        <f aca="false">IF(H1536&lt;判定条件!$C$6,"判定不能",IF(I1536&gt;=判定条件!$C$7*H1536,"運転",IF(I1536&lt;=判定条件!$C$8*H1536,"停止","断続")))</f>
        <v>停止</v>
      </c>
      <c r="K1536" s="30" t="n">
        <v>60</v>
      </c>
      <c r="L1536" s="30" t="n">
        <v>0</v>
      </c>
      <c r="M1536" s="30" t="str">
        <f aca="false">IF(K1536&lt;判定条件!$C$6,"判定不能",IF(L1536&gt;=判定条件!$C$7*K1536,"運転",IF(L1536&lt;=判定条件!$C$8*K1536,"停止","断続")))</f>
        <v>停止</v>
      </c>
      <c r="N1536" s="30" t="n">
        <v>60</v>
      </c>
      <c r="O1536" s="30" t="n">
        <v>0</v>
      </c>
      <c r="P1536" s="30" t="str">
        <f aca="false">IF(N1536&lt;判定条件!$C$6,"判定不能",IF(O1536&gt;=判定条件!$C$7*N1536,"運転",IF(O1536&lt;=判定条件!$C$8*N1536,"停止","断続")))</f>
        <v>停止</v>
      </c>
      <c r="Q1536" s="30" t="n">
        <v>60</v>
      </c>
      <c r="R1536" s="30" t="n">
        <v>0</v>
      </c>
      <c r="S1536" s="30" t="str">
        <f aca="false">IF(Q1536&lt;判定条件!$C$6,"判定不能",IF(R1536&gt;=判定条件!$C$7*Q1536,"運転",IF(R1536&lt;=判定条件!$C$8*Q1536,"停止","断続")))</f>
        <v>停止</v>
      </c>
      <c r="T1536" s="30" t="n">
        <v>60</v>
      </c>
      <c r="U1536" s="30" t="n">
        <v>0</v>
      </c>
      <c r="V1536" s="30" t="str">
        <f aca="false">IF(T1536&lt;判定条件!$C$6,"判定不能",IF(U1536&gt;=判定条件!$C$7*T1536,"運転",IF(U1536&lt;=判定条件!$C$8*T1536,"停止","断続")))</f>
        <v>停止</v>
      </c>
      <c r="W1536" s="30" t="n">
        <v>0</v>
      </c>
      <c r="X1536" s="30" t="n">
        <v>0</v>
      </c>
      <c r="Y1536" s="30" t="str">
        <f aca="false">IF(W1536&lt;判定条件!$C$6,"判定不能",IF(X1536&gt;=判定条件!$C$7*W1536,"運転",IF(X1536&lt;=判定条件!$C$8*W1536,"停止","断続")))</f>
        <v>判定不能</v>
      </c>
      <c r="Z1536" s="30" t="n">
        <v>0</v>
      </c>
      <c r="AA1536" s="30" t="n">
        <v>0</v>
      </c>
      <c r="AB1536" s="30" t="str">
        <f aca="false">IF(Z1536&lt;判定条件!$C$6,"判定不能",IF(AA1536&gt;=判定条件!$C$7*Z1536,"運転",IF(AA1536&lt;=判定条件!$C$8*Z1536,"停止","断続")))</f>
        <v>判定不能</v>
      </c>
      <c r="AC1536" s="30" t="n">
        <v>0</v>
      </c>
      <c r="AD1536" s="30" t="n">
        <v>0</v>
      </c>
      <c r="AE1536" s="30" t="str">
        <f aca="false">IF(AC1536&lt;判定条件!$C$6,"判定不能",IF(AD1536&gt;=判定条件!$C$7*AC1536,"運転",IF(AD1536&lt;=判定条件!$C$8*AC1536,"停止","断続")))</f>
        <v>判定不能</v>
      </c>
      <c r="AF1536" s="30" t="n">
        <v>60</v>
      </c>
      <c r="AG1536" s="30" t="n">
        <v>0</v>
      </c>
      <c r="AH1536" s="30" t="str">
        <f aca="false">IF(OR(P1536="判定不能",G1536="判定不能"),"判定不能",IF(AG1536&gt;=判定条件!$C$9,"利用可",IF(AND(P1536="停止",G1536="停止"),"両方停止","運転がそろわない")))</f>
        <v>両方停止</v>
      </c>
      <c r="AI1536" s="30" t="n">
        <v>60</v>
      </c>
      <c r="AJ1536" s="30" t="n">
        <v>0</v>
      </c>
      <c r="AK1536" s="30" t="str">
        <f aca="false">IF(OR(S1536="判定不能",J1536="判定不能"),"判定不能",IF(AJ1536&gt;=判定条件!$C$9,"利用可",IF(AND(S1536="停止",J1536="停止"),"両方停止","運転がそろわない")))</f>
        <v>両方停止</v>
      </c>
      <c r="AL1536" s="30" t="n">
        <v>60</v>
      </c>
      <c r="AM1536" s="30" t="n">
        <v>0</v>
      </c>
      <c r="AN1536" s="30" t="str">
        <f aca="false">IF(OR(V1536="判定不能",M1536="判定不能"),"判定不能",IF(AM1536&gt;=判定条件!$C$9,"利用可",IF(AND(V1536="停止",M1536="停止"),"両方停止","運転がそろわない")))</f>
        <v>両方停止</v>
      </c>
      <c r="AO1536" s="30" t="n">
        <v>0</v>
      </c>
      <c r="AP1536" s="30" t="n">
        <v>0</v>
      </c>
      <c r="AQ1536" s="30" t="str">
        <f aca="false">IF(OR(Y1536="判定不能",G1536="判定不能"),"判定不能",IF(AP1536&gt;=判定条件!$C$9,"利用可",IF(AND(Y1536="停止",G1536="停止"),"両方停止","運転がそろわない")))</f>
        <v>判定不能</v>
      </c>
      <c r="AR1536" s="30" t="n">
        <v>0</v>
      </c>
      <c r="AS1536" s="30" t="n">
        <v>0</v>
      </c>
      <c r="AT1536" s="30" t="str">
        <f aca="false">IF(OR(AB1536="判定不能",J1536="判定不能"),"判定不能",IF(AS1536&gt;=判定条件!$C$9,"利用可",IF(AND(AB1536="停止",J1536="停止"),"両方停止","運転がそろわない")))</f>
        <v>判定不能</v>
      </c>
      <c r="AU1536" s="30" t="n">
        <v>0</v>
      </c>
      <c r="AV1536" s="30" t="n">
        <v>0</v>
      </c>
      <c r="AW1536" s="30" t="str">
        <f aca="false">IF(OR(AE1536="判定不能",M1536="判定不能"),"判定不能",IF(AV1536&gt;=判定条件!$C$9,"利用可",IF(AND(AE1536="停止",M1536="停止"),"両方停止","運転がそろわない")))</f>
        <v>判定不能</v>
      </c>
      <c r="AX1536" s="30" t="str">
        <f aca="false">IF(AND(AH1536="利用可",AK1536="利用可",AN1536="利用可"),"利用可","不可")</f>
        <v>不可</v>
      </c>
      <c r="AY1536" s="30" t="str">
        <f aca="false">IF(AND(AQ1536="利用可",AT1536="利用可",AW1536="利用可"),"利用可","不可")</f>
        <v>不可</v>
      </c>
    </row>
    <row r="1537" customFormat="false" ht="15" hidden="false" customHeight="false" outlineLevel="0" collapsed="false">
      <c r="A1537" s="29" t="n">
        <v>46295</v>
      </c>
      <c r="B1537" s="30" t="n">
        <v>22</v>
      </c>
      <c r="C1537" s="31" t="s">
        <v>58</v>
      </c>
      <c r="D1537" s="31" t="s">
        <v>59</v>
      </c>
      <c r="E1537" s="30" t="n">
        <v>60</v>
      </c>
      <c r="F1537" s="30" t="n">
        <v>0</v>
      </c>
      <c r="G1537" s="30" t="str">
        <f aca="false">IF(E1537&lt;判定条件!$C$6,"判定不能",IF(F1537&gt;=判定条件!$C$7*E1537,"運転",IF(F1537&lt;=判定条件!$C$8*E1537,"停止","断続")))</f>
        <v>停止</v>
      </c>
      <c r="H1537" s="30" t="n">
        <v>60</v>
      </c>
      <c r="I1537" s="30" t="n">
        <v>0</v>
      </c>
      <c r="J1537" s="30" t="str">
        <f aca="false">IF(H1537&lt;判定条件!$C$6,"判定不能",IF(I1537&gt;=判定条件!$C$7*H1537,"運転",IF(I1537&lt;=判定条件!$C$8*H1537,"停止","断続")))</f>
        <v>停止</v>
      </c>
      <c r="K1537" s="30" t="n">
        <v>60</v>
      </c>
      <c r="L1537" s="30" t="n">
        <v>0</v>
      </c>
      <c r="M1537" s="30" t="str">
        <f aca="false">IF(K1537&lt;判定条件!$C$6,"判定不能",IF(L1537&gt;=判定条件!$C$7*K1537,"運転",IF(L1537&lt;=判定条件!$C$8*K1537,"停止","断続")))</f>
        <v>停止</v>
      </c>
      <c r="N1537" s="30" t="n">
        <v>60</v>
      </c>
      <c r="O1537" s="30" t="n">
        <v>0</v>
      </c>
      <c r="P1537" s="30" t="str">
        <f aca="false">IF(N1537&lt;判定条件!$C$6,"判定不能",IF(O1537&gt;=判定条件!$C$7*N1537,"運転",IF(O1537&lt;=判定条件!$C$8*N1537,"停止","断続")))</f>
        <v>停止</v>
      </c>
      <c r="Q1537" s="30" t="n">
        <v>60</v>
      </c>
      <c r="R1537" s="30" t="n">
        <v>0</v>
      </c>
      <c r="S1537" s="30" t="str">
        <f aca="false">IF(Q1537&lt;判定条件!$C$6,"判定不能",IF(R1537&gt;=判定条件!$C$7*Q1537,"運転",IF(R1537&lt;=判定条件!$C$8*Q1537,"停止","断続")))</f>
        <v>停止</v>
      </c>
      <c r="T1537" s="30" t="n">
        <v>60</v>
      </c>
      <c r="U1537" s="30" t="n">
        <v>0</v>
      </c>
      <c r="V1537" s="30" t="str">
        <f aca="false">IF(T1537&lt;判定条件!$C$6,"判定不能",IF(U1537&gt;=判定条件!$C$7*T1537,"運転",IF(U1537&lt;=判定条件!$C$8*T1537,"停止","断続")))</f>
        <v>停止</v>
      </c>
      <c r="W1537" s="30" t="n">
        <v>0</v>
      </c>
      <c r="X1537" s="30" t="n">
        <v>0</v>
      </c>
      <c r="Y1537" s="30" t="str">
        <f aca="false">IF(W1537&lt;判定条件!$C$6,"判定不能",IF(X1537&gt;=判定条件!$C$7*W1537,"運転",IF(X1537&lt;=判定条件!$C$8*W1537,"停止","断続")))</f>
        <v>判定不能</v>
      </c>
      <c r="Z1537" s="30" t="n">
        <v>0</v>
      </c>
      <c r="AA1537" s="30" t="n">
        <v>0</v>
      </c>
      <c r="AB1537" s="30" t="str">
        <f aca="false">IF(Z1537&lt;判定条件!$C$6,"判定不能",IF(AA1537&gt;=判定条件!$C$7*Z1537,"運転",IF(AA1537&lt;=判定条件!$C$8*Z1537,"停止","断続")))</f>
        <v>判定不能</v>
      </c>
      <c r="AC1537" s="30" t="n">
        <v>0</v>
      </c>
      <c r="AD1537" s="30" t="n">
        <v>0</v>
      </c>
      <c r="AE1537" s="30" t="str">
        <f aca="false">IF(AC1537&lt;判定条件!$C$6,"判定不能",IF(AD1537&gt;=判定条件!$C$7*AC1537,"運転",IF(AD1537&lt;=判定条件!$C$8*AC1537,"停止","断続")))</f>
        <v>判定不能</v>
      </c>
      <c r="AF1537" s="30" t="n">
        <v>60</v>
      </c>
      <c r="AG1537" s="30" t="n">
        <v>0</v>
      </c>
      <c r="AH1537" s="30" t="str">
        <f aca="false">IF(OR(P1537="判定不能",G1537="判定不能"),"判定不能",IF(AG1537&gt;=判定条件!$C$9,"利用可",IF(AND(P1537="停止",G1537="停止"),"両方停止","運転がそろわない")))</f>
        <v>両方停止</v>
      </c>
      <c r="AI1537" s="30" t="n">
        <v>60</v>
      </c>
      <c r="AJ1537" s="30" t="n">
        <v>0</v>
      </c>
      <c r="AK1537" s="30" t="str">
        <f aca="false">IF(OR(S1537="判定不能",J1537="判定不能"),"判定不能",IF(AJ1537&gt;=判定条件!$C$9,"利用可",IF(AND(S1537="停止",J1537="停止"),"両方停止","運転がそろわない")))</f>
        <v>両方停止</v>
      </c>
      <c r="AL1537" s="30" t="n">
        <v>60</v>
      </c>
      <c r="AM1537" s="30" t="n">
        <v>0</v>
      </c>
      <c r="AN1537" s="30" t="str">
        <f aca="false">IF(OR(V1537="判定不能",M1537="判定不能"),"判定不能",IF(AM1537&gt;=判定条件!$C$9,"利用可",IF(AND(V1537="停止",M1537="停止"),"両方停止","運転がそろわない")))</f>
        <v>両方停止</v>
      </c>
      <c r="AO1537" s="30" t="n">
        <v>0</v>
      </c>
      <c r="AP1537" s="30" t="n">
        <v>0</v>
      </c>
      <c r="AQ1537" s="30" t="str">
        <f aca="false">IF(OR(Y1537="判定不能",G1537="判定不能"),"判定不能",IF(AP1537&gt;=判定条件!$C$9,"利用可",IF(AND(Y1537="停止",G1537="停止"),"両方停止","運転がそろわない")))</f>
        <v>判定不能</v>
      </c>
      <c r="AR1537" s="30" t="n">
        <v>0</v>
      </c>
      <c r="AS1537" s="30" t="n">
        <v>0</v>
      </c>
      <c r="AT1537" s="30" t="str">
        <f aca="false">IF(OR(AB1537="判定不能",J1537="判定不能"),"判定不能",IF(AS1537&gt;=判定条件!$C$9,"利用可",IF(AND(AB1537="停止",J1537="停止"),"両方停止","運転がそろわない")))</f>
        <v>判定不能</v>
      </c>
      <c r="AU1537" s="30" t="n">
        <v>0</v>
      </c>
      <c r="AV1537" s="30" t="n">
        <v>0</v>
      </c>
      <c r="AW1537" s="30" t="str">
        <f aca="false">IF(OR(AE1537="判定不能",M1537="判定不能"),"判定不能",IF(AV1537&gt;=判定条件!$C$9,"利用可",IF(AND(AE1537="停止",M1537="停止"),"両方停止","運転がそろわない")))</f>
        <v>判定不能</v>
      </c>
      <c r="AX1537" s="30" t="str">
        <f aca="false">IF(AND(AH1537="利用可",AK1537="利用可",AN1537="利用可"),"利用可","不可")</f>
        <v>不可</v>
      </c>
      <c r="AY1537" s="30" t="str">
        <f aca="false">IF(AND(AQ1537="利用可",AT1537="利用可",AW1537="利用可"),"利用可","不可")</f>
        <v>不可</v>
      </c>
    </row>
    <row r="1538" customFormat="false" ht="15" hidden="false" customHeight="false" outlineLevel="0" collapsed="false">
      <c r="A1538" s="29" t="n">
        <v>46295</v>
      </c>
      <c r="B1538" s="30" t="n">
        <v>23</v>
      </c>
      <c r="C1538" s="31" t="s">
        <v>58</v>
      </c>
      <c r="D1538" s="31" t="s">
        <v>59</v>
      </c>
      <c r="E1538" s="30" t="n">
        <v>60</v>
      </c>
      <c r="F1538" s="30" t="n">
        <v>0</v>
      </c>
      <c r="G1538" s="30" t="str">
        <f aca="false">IF(E1538&lt;判定条件!$C$6,"判定不能",IF(F1538&gt;=判定条件!$C$7*E1538,"運転",IF(F1538&lt;=判定条件!$C$8*E1538,"停止","断続")))</f>
        <v>停止</v>
      </c>
      <c r="H1538" s="30" t="n">
        <v>60</v>
      </c>
      <c r="I1538" s="30" t="n">
        <v>0</v>
      </c>
      <c r="J1538" s="30" t="str">
        <f aca="false">IF(H1538&lt;判定条件!$C$6,"判定不能",IF(I1538&gt;=判定条件!$C$7*H1538,"運転",IF(I1538&lt;=判定条件!$C$8*H1538,"停止","断続")))</f>
        <v>停止</v>
      </c>
      <c r="K1538" s="30" t="n">
        <v>60</v>
      </c>
      <c r="L1538" s="30" t="n">
        <v>0</v>
      </c>
      <c r="M1538" s="30" t="str">
        <f aca="false">IF(K1538&lt;判定条件!$C$6,"判定不能",IF(L1538&gt;=判定条件!$C$7*K1538,"運転",IF(L1538&lt;=判定条件!$C$8*K1538,"停止","断続")))</f>
        <v>停止</v>
      </c>
      <c r="N1538" s="30" t="n">
        <v>60</v>
      </c>
      <c r="O1538" s="30" t="n">
        <v>0</v>
      </c>
      <c r="P1538" s="30" t="str">
        <f aca="false">IF(N1538&lt;判定条件!$C$6,"判定不能",IF(O1538&gt;=判定条件!$C$7*N1538,"運転",IF(O1538&lt;=判定条件!$C$8*N1538,"停止","断続")))</f>
        <v>停止</v>
      </c>
      <c r="Q1538" s="30" t="n">
        <v>60</v>
      </c>
      <c r="R1538" s="30" t="n">
        <v>0</v>
      </c>
      <c r="S1538" s="30" t="str">
        <f aca="false">IF(Q1538&lt;判定条件!$C$6,"判定不能",IF(R1538&gt;=判定条件!$C$7*Q1538,"運転",IF(R1538&lt;=判定条件!$C$8*Q1538,"停止","断続")))</f>
        <v>停止</v>
      </c>
      <c r="T1538" s="30" t="n">
        <v>60</v>
      </c>
      <c r="U1538" s="30" t="n">
        <v>0</v>
      </c>
      <c r="V1538" s="30" t="str">
        <f aca="false">IF(T1538&lt;判定条件!$C$6,"判定不能",IF(U1538&gt;=判定条件!$C$7*T1538,"運転",IF(U1538&lt;=判定条件!$C$8*T1538,"停止","断続")))</f>
        <v>停止</v>
      </c>
      <c r="W1538" s="30" t="n">
        <v>0</v>
      </c>
      <c r="X1538" s="30" t="n">
        <v>0</v>
      </c>
      <c r="Y1538" s="30" t="str">
        <f aca="false">IF(W1538&lt;判定条件!$C$6,"判定不能",IF(X1538&gt;=判定条件!$C$7*W1538,"運転",IF(X1538&lt;=判定条件!$C$8*W1538,"停止","断続")))</f>
        <v>判定不能</v>
      </c>
      <c r="Z1538" s="30" t="n">
        <v>0</v>
      </c>
      <c r="AA1538" s="30" t="n">
        <v>0</v>
      </c>
      <c r="AB1538" s="30" t="str">
        <f aca="false">IF(Z1538&lt;判定条件!$C$6,"判定不能",IF(AA1538&gt;=判定条件!$C$7*Z1538,"運転",IF(AA1538&lt;=判定条件!$C$8*Z1538,"停止","断続")))</f>
        <v>判定不能</v>
      </c>
      <c r="AC1538" s="30" t="n">
        <v>0</v>
      </c>
      <c r="AD1538" s="30" t="n">
        <v>0</v>
      </c>
      <c r="AE1538" s="30" t="str">
        <f aca="false">IF(AC1538&lt;判定条件!$C$6,"判定不能",IF(AD1538&gt;=判定条件!$C$7*AC1538,"運転",IF(AD1538&lt;=判定条件!$C$8*AC1538,"停止","断続")))</f>
        <v>判定不能</v>
      </c>
      <c r="AF1538" s="30" t="n">
        <v>60</v>
      </c>
      <c r="AG1538" s="30" t="n">
        <v>0</v>
      </c>
      <c r="AH1538" s="30" t="str">
        <f aca="false">IF(OR(P1538="判定不能",G1538="判定不能"),"判定不能",IF(AG1538&gt;=判定条件!$C$9,"利用可",IF(AND(P1538="停止",G1538="停止"),"両方停止","運転がそろわない")))</f>
        <v>両方停止</v>
      </c>
      <c r="AI1538" s="30" t="n">
        <v>60</v>
      </c>
      <c r="AJ1538" s="30" t="n">
        <v>0</v>
      </c>
      <c r="AK1538" s="30" t="str">
        <f aca="false">IF(OR(S1538="判定不能",J1538="判定不能"),"判定不能",IF(AJ1538&gt;=判定条件!$C$9,"利用可",IF(AND(S1538="停止",J1538="停止"),"両方停止","運転がそろわない")))</f>
        <v>両方停止</v>
      </c>
      <c r="AL1538" s="30" t="n">
        <v>60</v>
      </c>
      <c r="AM1538" s="30" t="n">
        <v>0</v>
      </c>
      <c r="AN1538" s="30" t="str">
        <f aca="false">IF(OR(V1538="判定不能",M1538="判定不能"),"判定不能",IF(AM1538&gt;=判定条件!$C$9,"利用可",IF(AND(V1538="停止",M1538="停止"),"両方停止","運転がそろわない")))</f>
        <v>両方停止</v>
      </c>
      <c r="AO1538" s="30" t="n">
        <v>0</v>
      </c>
      <c r="AP1538" s="30" t="n">
        <v>0</v>
      </c>
      <c r="AQ1538" s="30" t="str">
        <f aca="false">IF(OR(Y1538="判定不能",G1538="判定不能"),"判定不能",IF(AP1538&gt;=判定条件!$C$9,"利用可",IF(AND(Y1538="停止",G1538="停止"),"両方停止","運転がそろわない")))</f>
        <v>判定不能</v>
      </c>
      <c r="AR1538" s="30" t="n">
        <v>0</v>
      </c>
      <c r="AS1538" s="30" t="n">
        <v>0</v>
      </c>
      <c r="AT1538" s="30" t="str">
        <f aca="false">IF(OR(AB1538="判定不能",J1538="判定不能"),"判定不能",IF(AS1538&gt;=判定条件!$C$9,"利用可",IF(AND(AB1538="停止",J1538="停止"),"両方停止","運転がそろわない")))</f>
        <v>判定不能</v>
      </c>
      <c r="AU1538" s="30" t="n">
        <v>0</v>
      </c>
      <c r="AV1538" s="30" t="n">
        <v>0</v>
      </c>
      <c r="AW1538" s="30" t="str">
        <f aca="false">IF(OR(AE1538="判定不能",M1538="判定不能"),"判定不能",IF(AV1538&gt;=判定条件!$C$9,"利用可",IF(AND(AE1538="停止",M1538="停止"),"両方停止","運転がそろわない")))</f>
        <v>判定不能</v>
      </c>
      <c r="AX1538" s="30" t="str">
        <f aca="false">IF(AND(AH1538="利用可",AK1538="利用可",AN1538="利用可"),"利用可","不可")</f>
        <v>不可</v>
      </c>
      <c r="AY1538" s="30" t="str">
        <f aca="false">IF(AND(AQ1538="利用可",AT1538="利用可",AW1538="利用可"),"利用可","不可")</f>
        <v>不可</v>
      </c>
    </row>
    <row r="1539" customFormat="false" ht="15" hidden="false" customHeight="false" outlineLevel="0" collapsed="false">
      <c r="A1539" s="29" t="n">
        <v>46296</v>
      </c>
      <c r="B1539" s="30" t="n">
        <v>0</v>
      </c>
      <c r="C1539" s="31" t="s">
        <v>61</v>
      </c>
      <c r="D1539" s="31" t="s">
        <v>59</v>
      </c>
      <c r="E1539" s="30" t="n">
        <v>60</v>
      </c>
      <c r="F1539" s="30" t="n">
        <v>0</v>
      </c>
      <c r="G1539" s="30" t="str">
        <f aca="false">IF(E1539&lt;判定条件!$C$6,"判定不能",IF(F1539&gt;=判定条件!$C$7*E1539,"運転",IF(F1539&lt;=判定条件!$C$8*E1539,"停止","断続")))</f>
        <v>停止</v>
      </c>
      <c r="H1539" s="30" t="n">
        <v>60</v>
      </c>
      <c r="I1539" s="30" t="n">
        <v>0</v>
      </c>
      <c r="J1539" s="30" t="str">
        <f aca="false">IF(H1539&lt;判定条件!$C$6,"判定不能",IF(I1539&gt;=判定条件!$C$7*H1539,"運転",IF(I1539&lt;=判定条件!$C$8*H1539,"停止","断続")))</f>
        <v>停止</v>
      </c>
      <c r="K1539" s="30" t="n">
        <v>60</v>
      </c>
      <c r="L1539" s="30" t="n">
        <v>0</v>
      </c>
      <c r="M1539" s="30" t="str">
        <f aca="false">IF(K1539&lt;判定条件!$C$6,"判定不能",IF(L1539&gt;=判定条件!$C$7*K1539,"運転",IF(L1539&lt;=判定条件!$C$8*K1539,"停止","断続")))</f>
        <v>停止</v>
      </c>
      <c r="N1539" s="30" t="n">
        <v>60</v>
      </c>
      <c r="O1539" s="30" t="n">
        <v>0</v>
      </c>
      <c r="P1539" s="30" t="str">
        <f aca="false">IF(N1539&lt;判定条件!$C$6,"判定不能",IF(O1539&gt;=判定条件!$C$7*N1539,"運転",IF(O1539&lt;=判定条件!$C$8*N1539,"停止","断続")))</f>
        <v>停止</v>
      </c>
      <c r="Q1539" s="30" t="n">
        <v>60</v>
      </c>
      <c r="R1539" s="30" t="n">
        <v>0</v>
      </c>
      <c r="S1539" s="30" t="str">
        <f aca="false">IF(Q1539&lt;判定条件!$C$6,"判定不能",IF(R1539&gt;=判定条件!$C$7*Q1539,"運転",IF(R1539&lt;=判定条件!$C$8*Q1539,"停止","断続")))</f>
        <v>停止</v>
      </c>
      <c r="T1539" s="30" t="n">
        <v>60</v>
      </c>
      <c r="U1539" s="30" t="n">
        <v>0</v>
      </c>
      <c r="V1539" s="30" t="str">
        <f aca="false">IF(T1539&lt;判定条件!$C$6,"判定不能",IF(U1539&gt;=判定条件!$C$7*T1539,"運転",IF(U1539&lt;=判定条件!$C$8*T1539,"停止","断続")))</f>
        <v>停止</v>
      </c>
      <c r="W1539" s="30" t="n">
        <v>0</v>
      </c>
      <c r="X1539" s="30" t="n">
        <v>0</v>
      </c>
      <c r="Y1539" s="30" t="str">
        <f aca="false">IF(W1539&lt;判定条件!$C$6,"判定不能",IF(X1539&gt;=判定条件!$C$7*W1539,"運転",IF(X1539&lt;=判定条件!$C$8*W1539,"停止","断続")))</f>
        <v>判定不能</v>
      </c>
      <c r="Z1539" s="30" t="n">
        <v>0</v>
      </c>
      <c r="AA1539" s="30" t="n">
        <v>0</v>
      </c>
      <c r="AB1539" s="30" t="str">
        <f aca="false">IF(Z1539&lt;判定条件!$C$6,"判定不能",IF(AA1539&gt;=判定条件!$C$7*Z1539,"運転",IF(AA1539&lt;=判定条件!$C$8*Z1539,"停止","断続")))</f>
        <v>判定不能</v>
      </c>
      <c r="AC1539" s="30" t="n">
        <v>0</v>
      </c>
      <c r="AD1539" s="30" t="n">
        <v>0</v>
      </c>
      <c r="AE1539" s="30" t="str">
        <f aca="false">IF(AC1539&lt;判定条件!$C$6,"判定不能",IF(AD1539&gt;=判定条件!$C$7*AC1539,"運転",IF(AD1539&lt;=判定条件!$C$8*AC1539,"停止","断続")))</f>
        <v>判定不能</v>
      </c>
      <c r="AF1539" s="30" t="n">
        <v>60</v>
      </c>
      <c r="AG1539" s="30" t="n">
        <v>0</v>
      </c>
      <c r="AH1539" s="30" t="str">
        <f aca="false">IF(OR(P1539="判定不能",G1539="判定不能"),"判定不能",IF(AG1539&gt;=判定条件!$C$9,"利用可",IF(AND(P1539="停止",G1539="停止"),"両方停止","運転がそろわない")))</f>
        <v>両方停止</v>
      </c>
      <c r="AI1539" s="30" t="n">
        <v>60</v>
      </c>
      <c r="AJ1539" s="30" t="n">
        <v>0</v>
      </c>
      <c r="AK1539" s="30" t="str">
        <f aca="false">IF(OR(S1539="判定不能",J1539="判定不能"),"判定不能",IF(AJ1539&gt;=判定条件!$C$9,"利用可",IF(AND(S1539="停止",J1539="停止"),"両方停止","運転がそろわない")))</f>
        <v>両方停止</v>
      </c>
      <c r="AL1539" s="30" t="n">
        <v>60</v>
      </c>
      <c r="AM1539" s="30" t="n">
        <v>0</v>
      </c>
      <c r="AN1539" s="30" t="str">
        <f aca="false">IF(OR(V1539="判定不能",M1539="判定不能"),"判定不能",IF(AM1539&gt;=判定条件!$C$9,"利用可",IF(AND(V1539="停止",M1539="停止"),"両方停止","運転がそろわない")))</f>
        <v>両方停止</v>
      </c>
      <c r="AO1539" s="30" t="n">
        <v>0</v>
      </c>
      <c r="AP1539" s="30" t="n">
        <v>0</v>
      </c>
      <c r="AQ1539" s="30" t="str">
        <f aca="false">IF(OR(Y1539="判定不能",G1539="判定不能"),"判定不能",IF(AP1539&gt;=判定条件!$C$9,"利用可",IF(AND(Y1539="停止",G1539="停止"),"両方停止","運転がそろわない")))</f>
        <v>判定不能</v>
      </c>
      <c r="AR1539" s="30" t="n">
        <v>0</v>
      </c>
      <c r="AS1539" s="30" t="n">
        <v>0</v>
      </c>
      <c r="AT1539" s="30" t="str">
        <f aca="false">IF(OR(AB1539="判定不能",J1539="判定不能"),"判定不能",IF(AS1539&gt;=判定条件!$C$9,"利用可",IF(AND(AB1539="停止",J1539="停止"),"両方停止","運転がそろわない")))</f>
        <v>判定不能</v>
      </c>
      <c r="AU1539" s="30" t="n">
        <v>0</v>
      </c>
      <c r="AV1539" s="30" t="n">
        <v>0</v>
      </c>
      <c r="AW1539" s="30" t="str">
        <f aca="false">IF(OR(AE1539="判定不能",M1539="判定不能"),"判定不能",IF(AV1539&gt;=判定条件!$C$9,"利用可",IF(AND(AE1539="停止",M1539="停止"),"両方停止","運転がそろわない")))</f>
        <v>判定不能</v>
      </c>
      <c r="AX1539" s="30" t="str">
        <f aca="false">IF(AND(AH1539="利用可",AK1539="利用可",AN1539="利用可"),"利用可","不可")</f>
        <v>不可</v>
      </c>
      <c r="AY1539" s="30" t="str">
        <f aca="false">IF(AND(AQ1539="利用可",AT1539="利用可",AW1539="利用可"),"利用可","不可")</f>
        <v>不可</v>
      </c>
    </row>
    <row r="1540" customFormat="false" ht="15" hidden="false" customHeight="false" outlineLevel="0" collapsed="false">
      <c r="A1540" s="29" t="n">
        <v>46296</v>
      </c>
      <c r="B1540" s="30" t="n">
        <v>1</v>
      </c>
      <c r="C1540" s="31" t="s">
        <v>61</v>
      </c>
      <c r="D1540" s="31" t="s">
        <v>59</v>
      </c>
      <c r="E1540" s="30" t="n">
        <v>60</v>
      </c>
      <c r="F1540" s="30" t="n">
        <v>0</v>
      </c>
      <c r="G1540" s="30" t="str">
        <f aca="false">IF(E1540&lt;判定条件!$C$6,"判定不能",IF(F1540&gt;=判定条件!$C$7*E1540,"運転",IF(F1540&lt;=判定条件!$C$8*E1540,"停止","断続")))</f>
        <v>停止</v>
      </c>
      <c r="H1540" s="30" t="n">
        <v>60</v>
      </c>
      <c r="I1540" s="30" t="n">
        <v>0</v>
      </c>
      <c r="J1540" s="30" t="str">
        <f aca="false">IF(H1540&lt;判定条件!$C$6,"判定不能",IF(I1540&gt;=判定条件!$C$7*H1540,"運転",IF(I1540&lt;=判定条件!$C$8*H1540,"停止","断続")))</f>
        <v>停止</v>
      </c>
      <c r="K1540" s="30" t="n">
        <v>60</v>
      </c>
      <c r="L1540" s="30" t="n">
        <v>0</v>
      </c>
      <c r="M1540" s="30" t="str">
        <f aca="false">IF(K1540&lt;判定条件!$C$6,"判定不能",IF(L1540&gt;=判定条件!$C$7*K1540,"運転",IF(L1540&lt;=判定条件!$C$8*K1540,"停止","断続")))</f>
        <v>停止</v>
      </c>
      <c r="N1540" s="30" t="n">
        <v>60</v>
      </c>
      <c r="O1540" s="30" t="n">
        <v>0</v>
      </c>
      <c r="P1540" s="30" t="str">
        <f aca="false">IF(N1540&lt;判定条件!$C$6,"判定不能",IF(O1540&gt;=判定条件!$C$7*N1540,"運転",IF(O1540&lt;=判定条件!$C$8*N1540,"停止","断続")))</f>
        <v>停止</v>
      </c>
      <c r="Q1540" s="30" t="n">
        <v>60</v>
      </c>
      <c r="R1540" s="30" t="n">
        <v>0</v>
      </c>
      <c r="S1540" s="30" t="str">
        <f aca="false">IF(Q1540&lt;判定条件!$C$6,"判定不能",IF(R1540&gt;=判定条件!$C$7*Q1540,"運転",IF(R1540&lt;=判定条件!$C$8*Q1540,"停止","断続")))</f>
        <v>停止</v>
      </c>
      <c r="T1540" s="30" t="n">
        <v>60</v>
      </c>
      <c r="U1540" s="30" t="n">
        <v>0</v>
      </c>
      <c r="V1540" s="30" t="str">
        <f aca="false">IF(T1540&lt;判定条件!$C$6,"判定不能",IF(U1540&gt;=判定条件!$C$7*T1540,"運転",IF(U1540&lt;=判定条件!$C$8*T1540,"停止","断続")))</f>
        <v>停止</v>
      </c>
      <c r="W1540" s="30" t="n">
        <v>0</v>
      </c>
      <c r="X1540" s="30" t="n">
        <v>0</v>
      </c>
      <c r="Y1540" s="30" t="str">
        <f aca="false">IF(W1540&lt;判定条件!$C$6,"判定不能",IF(X1540&gt;=判定条件!$C$7*W1540,"運転",IF(X1540&lt;=判定条件!$C$8*W1540,"停止","断続")))</f>
        <v>判定不能</v>
      </c>
      <c r="Z1540" s="30" t="n">
        <v>0</v>
      </c>
      <c r="AA1540" s="30" t="n">
        <v>0</v>
      </c>
      <c r="AB1540" s="30" t="str">
        <f aca="false">IF(Z1540&lt;判定条件!$C$6,"判定不能",IF(AA1540&gt;=判定条件!$C$7*Z1540,"運転",IF(AA1540&lt;=判定条件!$C$8*Z1540,"停止","断続")))</f>
        <v>判定不能</v>
      </c>
      <c r="AC1540" s="30" t="n">
        <v>0</v>
      </c>
      <c r="AD1540" s="30" t="n">
        <v>0</v>
      </c>
      <c r="AE1540" s="30" t="str">
        <f aca="false">IF(AC1540&lt;判定条件!$C$6,"判定不能",IF(AD1540&gt;=判定条件!$C$7*AC1540,"運転",IF(AD1540&lt;=判定条件!$C$8*AC1540,"停止","断続")))</f>
        <v>判定不能</v>
      </c>
      <c r="AF1540" s="30" t="n">
        <v>60</v>
      </c>
      <c r="AG1540" s="30" t="n">
        <v>0</v>
      </c>
      <c r="AH1540" s="30" t="str">
        <f aca="false">IF(OR(P1540="判定不能",G1540="判定不能"),"判定不能",IF(AG1540&gt;=判定条件!$C$9,"利用可",IF(AND(P1540="停止",G1540="停止"),"両方停止","運転がそろわない")))</f>
        <v>両方停止</v>
      </c>
      <c r="AI1540" s="30" t="n">
        <v>60</v>
      </c>
      <c r="AJ1540" s="30" t="n">
        <v>0</v>
      </c>
      <c r="AK1540" s="30" t="str">
        <f aca="false">IF(OR(S1540="判定不能",J1540="判定不能"),"判定不能",IF(AJ1540&gt;=判定条件!$C$9,"利用可",IF(AND(S1540="停止",J1540="停止"),"両方停止","運転がそろわない")))</f>
        <v>両方停止</v>
      </c>
      <c r="AL1540" s="30" t="n">
        <v>60</v>
      </c>
      <c r="AM1540" s="30" t="n">
        <v>0</v>
      </c>
      <c r="AN1540" s="30" t="str">
        <f aca="false">IF(OR(V1540="判定不能",M1540="判定不能"),"判定不能",IF(AM1540&gt;=判定条件!$C$9,"利用可",IF(AND(V1540="停止",M1540="停止"),"両方停止","運転がそろわない")))</f>
        <v>両方停止</v>
      </c>
      <c r="AO1540" s="30" t="n">
        <v>0</v>
      </c>
      <c r="AP1540" s="30" t="n">
        <v>0</v>
      </c>
      <c r="AQ1540" s="30" t="str">
        <f aca="false">IF(OR(Y1540="判定不能",G1540="判定不能"),"判定不能",IF(AP1540&gt;=判定条件!$C$9,"利用可",IF(AND(Y1540="停止",G1540="停止"),"両方停止","運転がそろわない")))</f>
        <v>判定不能</v>
      </c>
      <c r="AR1540" s="30" t="n">
        <v>0</v>
      </c>
      <c r="AS1540" s="30" t="n">
        <v>0</v>
      </c>
      <c r="AT1540" s="30" t="str">
        <f aca="false">IF(OR(AB1540="判定不能",J1540="判定不能"),"判定不能",IF(AS1540&gt;=判定条件!$C$9,"利用可",IF(AND(AB1540="停止",J1540="停止"),"両方停止","運転がそろわない")))</f>
        <v>判定不能</v>
      </c>
      <c r="AU1540" s="30" t="n">
        <v>0</v>
      </c>
      <c r="AV1540" s="30" t="n">
        <v>0</v>
      </c>
      <c r="AW1540" s="30" t="str">
        <f aca="false">IF(OR(AE1540="判定不能",M1540="判定不能"),"判定不能",IF(AV1540&gt;=判定条件!$C$9,"利用可",IF(AND(AE1540="停止",M1540="停止"),"両方停止","運転がそろわない")))</f>
        <v>判定不能</v>
      </c>
      <c r="AX1540" s="30" t="str">
        <f aca="false">IF(AND(AH1540="利用可",AK1540="利用可",AN1540="利用可"),"利用可","不可")</f>
        <v>不可</v>
      </c>
      <c r="AY1540" s="30" t="str">
        <f aca="false">IF(AND(AQ1540="利用可",AT1540="利用可",AW1540="利用可"),"利用可","不可")</f>
        <v>不可</v>
      </c>
    </row>
    <row r="1541" customFormat="false" ht="15" hidden="false" customHeight="false" outlineLevel="0" collapsed="false">
      <c r="A1541" s="29" t="n">
        <v>46296</v>
      </c>
      <c r="B1541" s="30" t="n">
        <v>2</v>
      </c>
      <c r="C1541" s="31" t="s">
        <v>61</v>
      </c>
      <c r="D1541" s="31" t="s">
        <v>59</v>
      </c>
      <c r="E1541" s="30" t="n">
        <v>60</v>
      </c>
      <c r="F1541" s="30" t="n">
        <v>0</v>
      </c>
      <c r="G1541" s="30" t="str">
        <f aca="false">IF(E1541&lt;判定条件!$C$6,"判定不能",IF(F1541&gt;=判定条件!$C$7*E1541,"運転",IF(F1541&lt;=判定条件!$C$8*E1541,"停止","断続")))</f>
        <v>停止</v>
      </c>
      <c r="H1541" s="30" t="n">
        <v>60</v>
      </c>
      <c r="I1541" s="30" t="n">
        <v>0</v>
      </c>
      <c r="J1541" s="30" t="str">
        <f aca="false">IF(H1541&lt;判定条件!$C$6,"判定不能",IF(I1541&gt;=判定条件!$C$7*H1541,"運転",IF(I1541&lt;=判定条件!$C$8*H1541,"停止","断続")))</f>
        <v>停止</v>
      </c>
      <c r="K1541" s="30" t="n">
        <v>60</v>
      </c>
      <c r="L1541" s="30" t="n">
        <v>0</v>
      </c>
      <c r="M1541" s="30" t="str">
        <f aca="false">IF(K1541&lt;判定条件!$C$6,"判定不能",IF(L1541&gt;=判定条件!$C$7*K1541,"運転",IF(L1541&lt;=判定条件!$C$8*K1541,"停止","断続")))</f>
        <v>停止</v>
      </c>
      <c r="N1541" s="30" t="n">
        <v>60</v>
      </c>
      <c r="O1541" s="30" t="n">
        <v>0</v>
      </c>
      <c r="P1541" s="30" t="str">
        <f aca="false">IF(N1541&lt;判定条件!$C$6,"判定不能",IF(O1541&gt;=判定条件!$C$7*N1541,"運転",IF(O1541&lt;=判定条件!$C$8*N1541,"停止","断続")))</f>
        <v>停止</v>
      </c>
      <c r="Q1541" s="30" t="n">
        <v>60</v>
      </c>
      <c r="R1541" s="30" t="n">
        <v>0</v>
      </c>
      <c r="S1541" s="30" t="str">
        <f aca="false">IF(Q1541&lt;判定条件!$C$6,"判定不能",IF(R1541&gt;=判定条件!$C$7*Q1541,"運転",IF(R1541&lt;=判定条件!$C$8*Q1541,"停止","断続")))</f>
        <v>停止</v>
      </c>
      <c r="T1541" s="30" t="n">
        <v>60</v>
      </c>
      <c r="U1541" s="30" t="n">
        <v>0</v>
      </c>
      <c r="V1541" s="30" t="str">
        <f aca="false">IF(T1541&lt;判定条件!$C$6,"判定不能",IF(U1541&gt;=判定条件!$C$7*T1541,"運転",IF(U1541&lt;=判定条件!$C$8*T1541,"停止","断続")))</f>
        <v>停止</v>
      </c>
      <c r="W1541" s="30" t="n">
        <v>0</v>
      </c>
      <c r="X1541" s="30" t="n">
        <v>0</v>
      </c>
      <c r="Y1541" s="30" t="str">
        <f aca="false">IF(W1541&lt;判定条件!$C$6,"判定不能",IF(X1541&gt;=判定条件!$C$7*W1541,"運転",IF(X1541&lt;=判定条件!$C$8*W1541,"停止","断続")))</f>
        <v>判定不能</v>
      </c>
      <c r="Z1541" s="30" t="n">
        <v>0</v>
      </c>
      <c r="AA1541" s="30" t="n">
        <v>0</v>
      </c>
      <c r="AB1541" s="30" t="str">
        <f aca="false">IF(Z1541&lt;判定条件!$C$6,"判定不能",IF(AA1541&gt;=判定条件!$C$7*Z1541,"運転",IF(AA1541&lt;=判定条件!$C$8*Z1541,"停止","断続")))</f>
        <v>判定不能</v>
      </c>
      <c r="AC1541" s="30" t="n">
        <v>0</v>
      </c>
      <c r="AD1541" s="30" t="n">
        <v>0</v>
      </c>
      <c r="AE1541" s="30" t="str">
        <f aca="false">IF(AC1541&lt;判定条件!$C$6,"判定不能",IF(AD1541&gt;=判定条件!$C$7*AC1541,"運転",IF(AD1541&lt;=判定条件!$C$8*AC1541,"停止","断続")))</f>
        <v>判定不能</v>
      </c>
      <c r="AF1541" s="30" t="n">
        <v>60</v>
      </c>
      <c r="AG1541" s="30" t="n">
        <v>0</v>
      </c>
      <c r="AH1541" s="30" t="str">
        <f aca="false">IF(OR(P1541="判定不能",G1541="判定不能"),"判定不能",IF(AG1541&gt;=判定条件!$C$9,"利用可",IF(AND(P1541="停止",G1541="停止"),"両方停止","運転がそろわない")))</f>
        <v>両方停止</v>
      </c>
      <c r="AI1541" s="30" t="n">
        <v>60</v>
      </c>
      <c r="AJ1541" s="30" t="n">
        <v>0</v>
      </c>
      <c r="AK1541" s="30" t="str">
        <f aca="false">IF(OR(S1541="判定不能",J1541="判定不能"),"判定不能",IF(AJ1541&gt;=判定条件!$C$9,"利用可",IF(AND(S1541="停止",J1541="停止"),"両方停止","運転がそろわない")))</f>
        <v>両方停止</v>
      </c>
      <c r="AL1541" s="30" t="n">
        <v>60</v>
      </c>
      <c r="AM1541" s="30" t="n">
        <v>0</v>
      </c>
      <c r="AN1541" s="30" t="str">
        <f aca="false">IF(OR(V1541="判定不能",M1541="判定不能"),"判定不能",IF(AM1541&gt;=判定条件!$C$9,"利用可",IF(AND(V1541="停止",M1541="停止"),"両方停止","運転がそろわない")))</f>
        <v>両方停止</v>
      </c>
      <c r="AO1541" s="30" t="n">
        <v>0</v>
      </c>
      <c r="AP1541" s="30" t="n">
        <v>0</v>
      </c>
      <c r="AQ1541" s="30" t="str">
        <f aca="false">IF(OR(Y1541="判定不能",G1541="判定不能"),"判定不能",IF(AP1541&gt;=判定条件!$C$9,"利用可",IF(AND(Y1541="停止",G1541="停止"),"両方停止","運転がそろわない")))</f>
        <v>判定不能</v>
      </c>
      <c r="AR1541" s="30" t="n">
        <v>0</v>
      </c>
      <c r="AS1541" s="30" t="n">
        <v>0</v>
      </c>
      <c r="AT1541" s="30" t="str">
        <f aca="false">IF(OR(AB1541="判定不能",J1541="判定不能"),"判定不能",IF(AS1541&gt;=判定条件!$C$9,"利用可",IF(AND(AB1541="停止",J1541="停止"),"両方停止","運転がそろわない")))</f>
        <v>判定不能</v>
      </c>
      <c r="AU1541" s="30" t="n">
        <v>0</v>
      </c>
      <c r="AV1541" s="30" t="n">
        <v>0</v>
      </c>
      <c r="AW1541" s="30" t="str">
        <f aca="false">IF(OR(AE1541="判定不能",M1541="判定不能"),"判定不能",IF(AV1541&gt;=判定条件!$C$9,"利用可",IF(AND(AE1541="停止",M1541="停止"),"両方停止","運転がそろわない")))</f>
        <v>判定不能</v>
      </c>
      <c r="AX1541" s="30" t="str">
        <f aca="false">IF(AND(AH1541="利用可",AK1541="利用可",AN1541="利用可"),"利用可","不可")</f>
        <v>不可</v>
      </c>
      <c r="AY1541" s="30" t="str">
        <f aca="false">IF(AND(AQ1541="利用可",AT1541="利用可",AW1541="利用可"),"利用可","不可")</f>
        <v>不可</v>
      </c>
    </row>
    <row r="1542" customFormat="false" ht="15" hidden="false" customHeight="false" outlineLevel="0" collapsed="false">
      <c r="A1542" s="29" t="n">
        <v>46296</v>
      </c>
      <c r="B1542" s="30" t="n">
        <v>3</v>
      </c>
      <c r="C1542" s="31" t="s">
        <v>61</v>
      </c>
      <c r="D1542" s="31" t="s">
        <v>59</v>
      </c>
      <c r="E1542" s="30" t="n">
        <v>60</v>
      </c>
      <c r="F1542" s="30" t="n">
        <v>0</v>
      </c>
      <c r="G1542" s="30" t="str">
        <f aca="false">IF(E1542&lt;判定条件!$C$6,"判定不能",IF(F1542&gt;=判定条件!$C$7*E1542,"運転",IF(F1542&lt;=判定条件!$C$8*E1542,"停止","断続")))</f>
        <v>停止</v>
      </c>
      <c r="H1542" s="30" t="n">
        <v>60</v>
      </c>
      <c r="I1542" s="30" t="n">
        <v>0</v>
      </c>
      <c r="J1542" s="30" t="str">
        <f aca="false">IF(H1542&lt;判定条件!$C$6,"判定不能",IF(I1542&gt;=判定条件!$C$7*H1542,"運転",IF(I1542&lt;=判定条件!$C$8*H1542,"停止","断続")))</f>
        <v>停止</v>
      </c>
      <c r="K1542" s="30" t="n">
        <v>60</v>
      </c>
      <c r="L1542" s="30" t="n">
        <v>0</v>
      </c>
      <c r="M1542" s="30" t="str">
        <f aca="false">IF(K1542&lt;判定条件!$C$6,"判定不能",IF(L1542&gt;=判定条件!$C$7*K1542,"運転",IF(L1542&lt;=判定条件!$C$8*K1542,"停止","断続")))</f>
        <v>停止</v>
      </c>
      <c r="N1542" s="30" t="n">
        <v>60</v>
      </c>
      <c r="O1542" s="30" t="n">
        <v>0</v>
      </c>
      <c r="P1542" s="30" t="str">
        <f aca="false">IF(N1542&lt;判定条件!$C$6,"判定不能",IF(O1542&gt;=判定条件!$C$7*N1542,"運転",IF(O1542&lt;=判定条件!$C$8*N1542,"停止","断続")))</f>
        <v>停止</v>
      </c>
      <c r="Q1542" s="30" t="n">
        <v>60</v>
      </c>
      <c r="R1542" s="30" t="n">
        <v>0</v>
      </c>
      <c r="S1542" s="30" t="str">
        <f aca="false">IF(Q1542&lt;判定条件!$C$6,"判定不能",IF(R1542&gt;=判定条件!$C$7*Q1542,"運転",IF(R1542&lt;=判定条件!$C$8*Q1542,"停止","断続")))</f>
        <v>停止</v>
      </c>
      <c r="T1542" s="30" t="n">
        <v>60</v>
      </c>
      <c r="U1542" s="30" t="n">
        <v>0</v>
      </c>
      <c r="V1542" s="30" t="str">
        <f aca="false">IF(T1542&lt;判定条件!$C$6,"判定不能",IF(U1542&gt;=判定条件!$C$7*T1542,"運転",IF(U1542&lt;=判定条件!$C$8*T1542,"停止","断続")))</f>
        <v>停止</v>
      </c>
      <c r="W1542" s="30" t="n">
        <v>0</v>
      </c>
      <c r="X1542" s="30" t="n">
        <v>0</v>
      </c>
      <c r="Y1542" s="30" t="str">
        <f aca="false">IF(W1542&lt;判定条件!$C$6,"判定不能",IF(X1542&gt;=判定条件!$C$7*W1542,"運転",IF(X1542&lt;=判定条件!$C$8*W1542,"停止","断続")))</f>
        <v>判定不能</v>
      </c>
      <c r="Z1542" s="30" t="n">
        <v>0</v>
      </c>
      <c r="AA1542" s="30" t="n">
        <v>0</v>
      </c>
      <c r="AB1542" s="30" t="str">
        <f aca="false">IF(Z1542&lt;判定条件!$C$6,"判定不能",IF(AA1542&gt;=判定条件!$C$7*Z1542,"運転",IF(AA1542&lt;=判定条件!$C$8*Z1542,"停止","断続")))</f>
        <v>判定不能</v>
      </c>
      <c r="AC1542" s="30" t="n">
        <v>0</v>
      </c>
      <c r="AD1542" s="30" t="n">
        <v>0</v>
      </c>
      <c r="AE1542" s="30" t="str">
        <f aca="false">IF(AC1542&lt;判定条件!$C$6,"判定不能",IF(AD1542&gt;=判定条件!$C$7*AC1542,"運転",IF(AD1542&lt;=判定条件!$C$8*AC1542,"停止","断続")))</f>
        <v>判定不能</v>
      </c>
      <c r="AF1542" s="30" t="n">
        <v>60</v>
      </c>
      <c r="AG1542" s="30" t="n">
        <v>0</v>
      </c>
      <c r="AH1542" s="30" t="str">
        <f aca="false">IF(OR(P1542="判定不能",G1542="判定不能"),"判定不能",IF(AG1542&gt;=判定条件!$C$9,"利用可",IF(AND(P1542="停止",G1542="停止"),"両方停止","運転がそろわない")))</f>
        <v>両方停止</v>
      </c>
      <c r="AI1542" s="30" t="n">
        <v>60</v>
      </c>
      <c r="AJ1542" s="30" t="n">
        <v>0</v>
      </c>
      <c r="AK1542" s="30" t="str">
        <f aca="false">IF(OR(S1542="判定不能",J1542="判定不能"),"判定不能",IF(AJ1542&gt;=判定条件!$C$9,"利用可",IF(AND(S1542="停止",J1542="停止"),"両方停止","運転がそろわない")))</f>
        <v>両方停止</v>
      </c>
      <c r="AL1542" s="30" t="n">
        <v>60</v>
      </c>
      <c r="AM1542" s="30" t="n">
        <v>0</v>
      </c>
      <c r="AN1542" s="30" t="str">
        <f aca="false">IF(OR(V1542="判定不能",M1542="判定不能"),"判定不能",IF(AM1542&gt;=判定条件!$C$9,"利用可",IF(AND(V1542="停止",M1542="停止"),"両方停止","運転がそろわない")))</f>
        <v>両方停止</v>
      </c>
      <c r="AO1542" s="30" t="n">
        <v>0</v>
      </c>
      <c r="AP1542" s="30" t="n">
        <v>0</v>
      </c>
      <c r="AQ1542" s="30" t="str">
        <f aca="false">IF(OR(Y1542="判定不能",G1542="判定不能"),"判定不能",IF(AP1542&gt;=判定条件!$C$9,"利用可",IF(AND(Y1542="停止",G1542="停止"),"両方停止","運転がそろわない")))</f>
        <v>判定不能</v>
      </c>
      <c r="AR1542" s="30" t="n">
        <v>0</v>
      </c>
      <c r="AS1542" s="30" t="n">
        <v>0</v>
      </c>
      <c r="AT1542" s="30" t="str">
        <f aca="false">IF(OR(AB1542="判定不能",J1542="判定不能"),"判定不能",IF(AS1542&gt;=判定条件!$C$9,"利用可",IF(AND(AB1542="停止",J1542="停止"),"両方停止","運転がそろわない")))</f>
        <v>判定不能</v>
      </c>
      <c r="AU1542" s="30" t="n">
        <v>0</v>
      </c>
      <c r="AV1542" s="30" t="n">
        <v>0</v>
      </c>
      <c r="AW1542" s="30" t="str">
        <f aca="false">IF(OR(AE1542="判定不能",M1542="判定不能"),"判定不能",IF(AV1542&gt;=判定条件!$C$9,"利用可",IF(AND(AE1542="停止",M1542="停止"),"両方停止","運転がそろわない")))</f>
        <v>判定不能</v>
      </c>
      <c r="AX1542" s="30" t="str">
        <f aca="false">IF(AND(AH1542="利用可",AK1542="利用可",AN1542="利用可"),"利用可","不可")</f>
        <v>不可</v>
      </c>
      <c r="AY1542" s="30" t="str">
        <f aca="false">IF(AND(AQ1542="利用可",AT1542="利用可",AW1542="利用可"),"利用可","不可")</f>
        <v>不可</v>
      </c>
    </row>
    <row r="1543" customFormat="false" ht="15" hidden="false" customHeight="false" outlineLevel="0" collapsed="false">
      <c r="A1543" s="29" t="n">
        <v>46296</v>
      </c>
      <c r="B1543" s="30" t="n">
        <v>4</v>
      </c>
      <c r="C1543" s="31" t="s">
        <v>61</v>
      </c>
      <c r="D1543" s="31" t="s">
        <v>59</v>
      </c>
      <c r="E1543" s="30" t="n">
        <v>60</v>
      </c>
      <c r="F1543" s="30" t="n">
        <v>0</v>
      </c>
      <c r="G1543" s="30" t="str">
        <f aca="false">IF(E1543&lt;判定条件!$C$6,"判定不能",IF(F1543&gt;=判定条件!$C$7*E1543,"運転",IF(F1543&lt;=判定条件!$C$8*E1543,"停止","断続")))</f>
        <v>停止</v>
      </c>
      <c r="H1543" s="30" t="n">
        <v>60</v>
      </c>
      <c r="I1543" s="30" t="n">
        <v>0</v>
      </c>
      <c r="J1543" s="30" t="str">
        <f aca="false">IF(H1543&lt;判定条件!$C$6,"判定不能",IF(I1543&gt;=判定条件!$C$7*H1543,"運転",IF(I1543&lt;=判定条件!$C$8*H1543,"停止","断続")))</f>
        <v>停止</v>
      </c>
      <c r="K1543" s="30" t="n">
        <v>60</v>
      </c>
      <c r="L1543" s="30" t="n">
        <v>0</v>
      </c>
      <c r="M1543" s="30" t="str">
        <f aca="false">IF(K1543&lt;判定条件!$C$6,"判定不能",IF(L1543&gt;=判定条件!$C$7*K1543,"運転",IF(L1543&lt;=判定条件!$C$8*K1543,"停止","断続")))</f>
        <v>停止</v>
      </c>
      <c r="N1543" s="30" t="n">
        <v>60</v>
      </c>
      <c r="O1543" s="30" t="n">
        <v>0</v>
      </c>
      <c r="P1543" s="30" t="str">
        <f aca="false">IF(N1543&lt;判定条件!$C$6,"判定不能",IF(O1543&gt;=判定条件!$C$7*N1543,"運転",IF(O1543&lt;=判定条件!$C$8*N1543,"停止","断続")))</f>
        <v>停止</v>
      </c>
      <c r="Q1543" s="30" t="n">
        <v>60</v>
      </c>
      <c r="R1543" s="30" t="n">
        <v>0</v>
      </c>
      <c r="S1543" s="30" t="str">
        <f aca="false">IF(Q1543&lt;判定条件!$C$6,"判定不能",IF(R1543&gt;=判定条件!$C$7*Q1543,"運転",IF(R1543&lt;=判定条件!$C$8*Q1543,"停止","断続")))</f>
        <v>停止</v>
      </c>
      <c r="T1543" s="30" t="n">
        <v>60</v>
      </c>
      <c r="U1543" s="30" t="n">
        <v>0</v>
      </c>
      <c r="V1543" s="30" t="str">
        <f aca="false">IF(T1543&lt;判定条件!$C$6,"判定不能",IF(U1543&gt;=判定条件!$C$7*T1543,"運転",IF(U1543&lt;=判定条件!$C$8*T1543,"停止","断続")))</f>
        <v>停止</v>
      </c>
      <c r="W1543" s="30" t="n">
        <v>0</v>
      </c>
      <c r="X1543" s="30" t="n">
        <v>0</v>
      </c>
      <c r="Y1543" s="30" t="str">
        <f aca="false">IF(W1543&lt;判定条件!$C$6,"判定不能",IF(X1543&gt;=判定条件!$C$7*W1543,"運転",IF(X1543&lt;=判定条件!$C$8*W1543,"停止","断続")))</f>
        <v>判定不能</v>
      </c>
      <c r="Z1543" s="30" t="n">
        <v>0</v>
      </c>
      <c r="AA1543" s="30" t="n">
        <v>0</v>
      </c>
      <c r="AB1543" s="30" t="str">
        <f aca="false">IF(Z1543&lt;判定条件!$C$6,"判定不能",IF(AA1543&gt;=判定条件!$C$7*Z1543,"運転",IF(AA1543&lt;=判定条件!$C$8*Z1543,"停止","断続")))</f>
        <v>判定不能</v>
      </c>
      <c r="AC1543" s="30" t="n">
        <v>0</v>
      </c>
      <c r="AD1543" s="30" t="n">
        <v>0</v>
      </c>
      <c r="AE1543" s="30" t="str">
        <f aca="false">IF(AC1543&lt;判定条件!$C$6,"判定不能",IF(AD1543&gt;=判定条件!$C$7*AC1543,"運転",IF(AD1543&lt;=判定条件!$C$8*AC1543,"停止","断続")))</f>
        <v>判定不能</v>
      </c>
      <c r="AF1543" s="30" t="n">
        <v>60</v>
      </c>
      <c r="AG1543" s="30" t="n">
        <v>0</v>
      </c>
      <c r="AH1543" s="30" t="str">
        <f aca="false">IF(OR(P1543="判定不能",G1543="判定不能"),"判定不能",IF(AG1543&gt;=判定条件!$C$9,"利用可",IF(AND(P1543="停止",G1543="停止"),"両方停止","運転がそろわない")))</f>
        <v>両方停止</v>
      </c>
      <c r="AI1543" s="30" t="n">
        <v>60</v>
      </c>
      <c r="AJ1543" s="30" t="n">
        <v>0</v>
      </c>
      <c r="AK1543" s="30" t="str">
        <f aca="false">IF(OR(S1543="判定不能",J1543="判定不能"),"判定不能",IF(AJ1543&gt;=判定条件!$C$9,"利用可",IF(AND(S1543="停止",J1543="停止"),"両方停止","運転がそろわない")))</f>
        <v>両方停止</v>
      </c>
      <c r="AL1543" s="30" t="n">
        <v>60</v>
      </c>
      <c r="AM1543" s="30" t="n">
        <v>0</v>
      </c>
      <c r="AN1543" s="30" t="str">
        <f aca="false">IF(OR(V1543="判定不能",M1543="判定不能"),"判定不能",IF(AM1543&gt;=判定条件!$C$9,"利用可",IF(AND(V1543="停止",M1543="停止"),"両方停止","運転がそろわない")))</f>
        <v>両方停止</v>
      </c>
      <c r="AO1543" s="30" t="n">
        <v>0</v>
      </c>
      <c r="AP1543" s="30" t="n">
        <v>0</v>
      </c>
      <c r="AQ1543" s="30" t="str">
        <f aca="false">IF(OR(Y1543="判定不能",G1543="判定不能"),"判定不能",IF(AP1543&gt;=判定条件!$C$9,"利用可",IF(AND(Y1543="停止",G1543="停止"),"両方停止","運転がそろわない")))</f>
        <v>判定不能</v>
      </c>
      <c r="AR1543" s="30" t="n">
        <v>0</v>
      </c>
      <c r="AS1543" s="30" t="n">
        <v>0</v>
      </c>
      <c r="AT1543" s="30" t="str">
        <f aca="false">IF(OR(AB1543="判定不能",J1543="判定不能"),"判定不能",IF(AS1543&gt;=判定条件!$C$9,"利用可",IF(AND(AB1543="停止",J1543="停止"),"両方停止","運転がそろわない")))</f>
        <v>判定不能</v>
      </c>
      <c r="AU1543" s="30" t="n">
        <v>0</v>
      </c>
      <c r="AV1543" s="30" t="n">
        <v>0</v>
      </c>
      <c r="AW1543" s="30" t="str">
        <f aca="false">IF(OR(AE1543="判定不能",M1543="判定不能"),"判定不能",IF(AV1543&gt;=判定条件!$C$9,"利用可",IF(AND(AE1543="停止",M1543="停止"),"両方停止","運転がそろわない")))</f>
        <v>判定不能</v>
      </c>
      <c r="AX1543" s="30" t="str">
        <f aca="false">IF(AND(AH1543="利用可",AK1543="利用可",AN1543="利用可"),"利用可","不可")</f>
        <v>不可</v>
      </c>
      <c r="AY1543" s="30" t="str">
        <f aca="false">IF(AND(AQ1543="利用可",AT1543="利用可",AW1543="利用可"),"利用可","不可")</f>
        <v>不可</v>
      </c>
    </row>
    <row r="1544" customFormat="false" ht="15" hidden="false" customHeight="false" outlineLevel="0" collapsed="false">
      <c r="A1544" s="29" t="n">
        <v>46296</v>
      </c>
      <c r="B1544" s="30" t="n">
        <v>5</v>
      </c>
      <c r="C1544" s="31" t="s">
        <v>61</v>
      </c>
      <c r="D1544" s="31" t="s">
        <v>59</v>
      </c>
      <c r="E1544" s="30" t="n">
        <v>60</v>
      </c>
      <c r="F1544" s="30" t="n">
        <v>0</v>
      </c>
      <c r="G1544" s="30" t="str">
        <f aca="false">IF(E1544&lt;判定条件!$C$6,"判定不能",IF(F1544&gt;=判定条件!$C$7*E1544,"運転",IF(F1544&lt;=判定条件!$C$8*E1544,"停止","断続")))</f>
        <v>停止</v>
      </c>
      <c r="H1544" s="30" t="n">
        <v>60</v>
      </c>
      <c r="I1544" s="30" t="n">
        <v>0</v>
      </c>
      <c r="J1544" s="30" t="str">
        <f aca="false">IF(H1544&lt;判定条件!$C$6,"判定不能",IF(I1544&gt;=判定条件!$C$7*H1544,"運転",IF(I1544&lt;=判定条件!$C$8*H1544,"停止","断続")))</f>
        <v>停止</v>
      </c>
      <c r="K1544" s="30" t="n">
        <v>60</v>
      </c>
      <c r="L1544" s="30" t="n">
        <v>0</v>
      </c>
      <c r="M1544" s="30" t="str">
        <f aca="false">IF(K1544&lt;判定条件!$C$6,"判定不能",IF(L1544&gt;=判定条件!$C$7*K1544,"運転",IF(L1544&lt;=判定条件!$C$8*K1544,"停止","断続")))</f>
        <v>停止</v>
      </c>
      <c r="N1544" s="30" t="n">
        <v>60</v>
      </c>
      <c r="O1544" s="30" t="n">
        <v>0</v>
      </c>
      <c r="P1544" s="30" t="str">
        <f aca="false">IF(N1544&lt;判定条件!$C$6,"判定不能",IF(O1544&gt;=判定条件!$C$7*N1544,"運転",IF(O1544&lt;=判定条件!$C$8*N1544,"停止","断続")))</f>
        <v>停止</v>
      </c>
      <c r="Q1544" s="30" t="n">
        <v>60</v>
      </c>
      <c r="R1544" s="30" t="n">
        <v>0</v>
      </c>
      <c r="S1544" s="30" t="str">
        <f aca="false">IF(Q1544&lt;判定条件!$C$6,"判定不能",IF(R1544&gt;=判定条件!$C$7*Q1544,"運転",IF(R1544&lt;=判定条件!$C$8*Q1544,"停止","断続")))</f>
        <v>停止</v>
      </c>
      <c r="T1544" s="30" t="n">
        <v>60</v>
      </c>
      <c r="U1544" s="30" t="n">
        <v>0</v>
      </c>
      <c r="V1544" s="30" t="str">
        <f aca="false">IF(T1544&lt;判定条件!$C$6,"判定不能",IF(U1544&gt;=判定条件!$C$7*T1544,"運転",IF(U1544&lt;=判定条件!$C$8*T1544,"停止","断続")))</f>
        <v>停止</v>
      </c>
      <c r="W1544" s="30" t="n">
        <v>0</v>
      </c>
      <c r="X1544" s="30" t="n">
        <v>0</v>
      </c>
      <c r="Y1544" s="30" t="str">
        <f aca="false">IF(W1544&lt;判定条件!$C$6,"判定不能",IF(X1544&gt;=判定条件!$C$7*W1544,"運転",IF(X1544&lt;=判定条件!$C$8*W1544,"停止","断続")))</f>
        <v>判定不能</v>
      </c>
      <c r="Z1544" s="30" t="n">
        <v>0</v>
      </c>
      <c r="AA1544" s="30" t="n">
        <v>0</v>
      </c>
      <c r="AB1544" s="30" t="str">
        <f aca="false">IF(Z1544&lt;判定条件!$C$6,"判定不能",IF(AA1544&gt;=判定条件!$C$7*Z1544,"運転",IF(AA1544&lt;=判定条件!$C$8*Z1544,"停止","断続")))</f>
        <v>判定不能</v>
      </c>
      <c r="AC1544" s="30" t="n">
        <v>0</v>
      </c>
      <c r="AD1544" s="30" t="n">
        <v>0</v>
      </c>
      <c r="AE1544" s="30" t="str">
        <f aca="false">IF(AC1544&lt;判定条件!$C$6,"判定不能",IF(AD1544&gt;=判定条件!$C$7*AC1544,"運転",IF(AD1544&lt;=判定条件!$C$8*AC1544,"停止","断続")))</f>
        <v>判定不能</v>
      </c>
      <c r="AF1544" s="30" t="n">
        <v>60</v>
      </c>
      <c r="AG1544" s="30" t="n">
        <v>0</v>
      </c>
      <c r="AH1544" s="30" t="str">
        <f aca="false">IF(OR(P1544="判定不能",G1544="判定不能"),"判定不能",IF(AG1544&gt;=判定条件!$C$9,"利用可",IF(AND(P1544="停止",G1544="停止"),"両方停止","運転がそろわない")))</f>
        <v>両方停止</v>
      </c>
      <c r="AI1544" s="30" t="n">
        <v>60</v>
      </c>
      <c r="AJ1544" s="30" t="n">
        <v>0</v>
      </c>
      <c r="AK1544" s="30" t="str">
        <f aca="false">IF(OR(S1544="判定不能",J1544="判定不能"),"判定不能",IF(AJ1544&gt;=判定条件!$C$9,"利用可",IF(AND(S1544="停止",J1544="停止"),"両方停止","運転がそろわない")))</f>
        <v>両方停止</v>
      </c>
      <c r="AL1544" s="30" t="n">
        <v>60</v>
      </c>
      <c r="AM1544" s="30" t="n">
        <v>0</v>
      </c>
      <c r="AN1544" s="30" t="str">
        <f aca="false">IF(OR(V1544="判定不能",M1544="判定不能"),"判定不能",IF(AM1544&gt;=判定条件!$C$9,"利用可",IF(AND(V1544="停止",M1544="停止"),"両方停止","運転がそろわない")))</f>
        <v>両方停止</v>
      </c>
      <c r="AO1544" s="30" t="n">
        <v>0</v>
      </c>
      <c r="AP1544" s="30" t="n">
        <v>0</v>
      </c>
      <c r="AQ1544" s="30" t="str">
        <f aca="false">IF(OR(Y1544="判定不能",G1544="判定不能"),"判定不能",IF(AP1544&gt;=判定条件!$C$9,"利用可",IF(AND(Y1544="停止",G1544="停止"),"両方停止","運転がそろわない")))</f>
        <v>判定不能</v>
      </c>
      <c r="AR1544" s="30" t="n">
        <v>0</v>
      </c>
      <c r="AS1544" s="30" t="n">
        <v>0</v>
      </c>
      <c r="AT1544" s="30" t="str">
        <f aca="false">IF(OR(AB1544="判定不能",J1544="判定不能"),"判定不能",IF(AS1544&gt;=判定条件!$C$9,"利用可",IF(AND(AB1544="停止",J1544="停止"),"両方停止","運転がそろわない")))</f>
        <v>判定不能</v>
      </c>
      <c r="AU1544" s="30" t="n">
        <v>0</v>
      </c>
      <c r="AV1544" s="30" t="n">
        <v>0</v>
      </c>
      <c r="AW1544" s="30" t="str">
        <f aca="false">IF(OR(AE1544="判定不能",M1544="判定不能"),"判定不能",IF(AV1544&gt;=判定条件!$C$9,"利用可",IF(AND(AE1544="停止",M1544="停止"),"両方停止","運転がそろわない")))</f>
        <v>判定不能</v>
      </c>
      <c r="AX1544" s="30" t="str">
        <f aca="false">IF(AND(AH1544="利用可",AK1544="利用可",AN1544="利用可"),"利用可","不可")</f>
        <v>不可</v>
      </c>
      <c r="AY1544" s="30" t="str">
        <f aca="false">IF(AND(AQ1544="利用可",AT1544="利用可",AW1544="利用可"),"利用可","不可")</f>
        <v>不可</v>
      </c>
    </row>
    <row r="1545" customFormat="false" ht="15" hidden="false" customHeight="false" outlineLevel="0" collapsed="false">
      <c r="A1545" s="29" t="n">
        <v>46296</v>
      </c>
      <c r="B1545" s="30" t="n">
        <v>6</v>
      </c>
      <c r="C1545" s="31" t="s">
        <v>61</v>
      </c>
      <c r="D1545" s="31" t="s">
        <v>59</v>
      </c>
      <c r="E1545" s="30" t="n">
        <v>60</v>
      </c>
      <c r="F1545" s="30" t="n">
        <v>0</v>
      </c>
      <c r="G1545" s="30" t="str">
        <f aca="false">IF(E1545&lt;判定条件!$C$6,"判定不能",IF(F1545&gt;=判定条件!$C$7*E1545,"運転",IF(F1545&lt;=判定条件!$C$8*E1545,"停止","断続")))</f>
        <v>停止</v>
      </c>
      <c r="H1545" s="30" t="n">
        <v>60</v>
      </c>
      <c r="I1545" s="30" t="n">
        <v>0</v>
      </c>
      <c r="J1545" s="30" t="str">
        <f aca="false">IF(H1545&lt;判定条件!$C$6,"判定不能",IF(I1545&gt;=判定条件!$C$7*H1545,"運転",IF(I1545&lt;=判定条件!$C$8*H1545,"停止","断続")))</f>
        <v>停止</v>
      </c>
      <c r="K1545" s="30" t="n">
        <v>60</v>
      </c>
      <c r="L1545" s="30" t="n">
        <v>0</v>
      </c>
      <c r="M1545" s="30" t="str">
        <f aca="false">IF(K1545&lt;判定条件!$C$6,"判定不能",IF(L1545&gt;=判定条件!$C$7*K1545,"運転",IF(L1545&lt;=判定条件!$C$8*K1545,"停止","断続")))</f>
        <v>停止</v>
      </c>
      <c r="N1545" s="30" t="n">
        <v>60</v>
      </c>
      <c r="O1545" s="30" t="n">
        <v>0</v>
      </c>
      <c r="P1545" s="30" t="str">
        <f aca="false">IF(N1545&lt;判定条件!$C$6,"判定不能",IF(O1545&gt;=判定条件!$C$7*N1545,"運転",IF(O1545&lt;=判定条件!$C$8*N1545,"停止","断続")))</f>
        <v>停止</v>
      </c>
      <c r="Q1545" s="30" t="n">
        <v>60</v>
      </c>
      <c r="R1545" s="30" t="n">
        <v>0</v>
      </c>
      <c r="S1545" s="30" t="str">
        <f aca="false">IF(Q1545&lt;判定条件!$C$6,"判定不能",IF(R1545&gt;=判定条件!$C$7*Q1545,"運転",IF(R1545&lt;=判定条件!$C$8*Q1545,"停止","断続")))</f>
        <v>停止</v>
      </c>
      <c r="T1545" s="30" t="n">
        <v>60</v>
      </c>
      <c r="U1545" s="30" t="n">
        <v>0</v>
      </c>
      <c r="V1545" s="30" t="str">
        <f aca="false">IF(T1545&lt;判定条件!$C$6,"判定不能",IF(U1545&gt;=判定条件!$C$7*T1545,"運転",IF(U1545&lt;=判定条件!$C$8*T1545,"停止","断続")))</f>
        <v>停止</v>
      </c>
      <c r="W1545" s="30" t="n">
        <v>0</v>
      </c>
      <c r="X1545" s="30" t="n">
        <v>0</v>
      </c>
      <c r="Y1545" s="30" t="str">
        <f aca="false">IF(W1545&lt;判定条件!$C$6,"判定不能",IF(X1545&gt;=判定条件!$C$7*W1545,"運転",IF(X1545&lt;=判定条件!$C$8*W1545,"停止","断続")))</f>
        <v>判定不能</v>
      </c>
      <c r="Z1545" s="30" t="n">
        <v>0</v>
      </c>
      <c r="AA1545" s="30" t="n">
        <v>0</v>
      </c>
      <c r="AB1545" s="30" t="str">
        <f aca="false">IF(Z1545&lt;判定条件!$C$6,"判定不能",IF(AA1545&gt;=判定条件!$C$7*Z1545,"運転",IF(AA1545&lt;=判定条件!$C$8*Z1545,"停止","断続")))</f>
        <v>判定不能</v>
      </c>
      <c r="AC1545" s="30" t="n">
        <v>0</v>
      </c>
      <c r="AD1545" s="30" t="n">
        <v>0</v>
      </c>
      <c r="AE1545" s="30" t="str">
        <f aca="false">IF(AC1545&lt;判定条件!$C$6,"判定不能",IF(AD1545&gt;=判定条件!$C$7*AC1545,"運転",IF(AD1545&lt;=判定条件!$C$8*AC1545,"停止","断続")))</f>
        <v>判定不能</v>
      </c>
      <c r="AF1545" s="30" t="n">
        <v>60</v>
      </c>
      <c r="AG1545" s="30" t="n">
        <v>0</v>
      </c>
      <c r="AH1545" s="30" t="str">
        <f aca="false">IF(OR(P1545="判定不能",G1545="判定不能"),"判定不能",IF(AG1545&gt;=判定条件!$C$9,"利用可",IF(AND(P1545="停止",G1545="停止"),"両方停止","運転がそろわない")))</f>
        <v>両方停止</v>
      </c>
      <c r="AI1545" s="30" t="n">
        <v>60</v>
      </c>
      <c r="AJ1545" s="30" t="n">
        <v>0</v>
      </c>
      <c r="AK1545" s="30" t="str">
        <f aca="false">IF(OR(S1545="判定不能",J1545="判定不能"),"判定不能",IF(AJ1545&gt;=判定条件!$C$9,"利用可",IF(AND(S1545="停止",J1545="停止"),"両方停止","運転がそろわない")))</f>
        <v>両方停止</v>
      </c>
      <c r="AL1545" s="30" t="n">
        <v>60</v>
      </c>
      <c r="AM1545" s="30" t="n">
        <v>0</v>
      </c>
      <c r="AN1545" s="30" t="str">
        <f aca="false">IF(OR(V1545="判定不能",M1545="判定不能"),"判定不能",IF(AM1545&gt;=判定条件!$C$9,"利用可",IF(AND(V1545="停止",M1545="停止"),"両方停止","運転がそろわない")))</f>
        <v>両方停止</v>
      </c>
      <c r="AO1545" s="30" t="n">
        <v>0</v>
      </c>
      <c r="AP1545" s="30" t="n">
        <v>0</v>
      </c>
      <c r="AQ1545" s="30" t="str">
        <f aca="false">IF(OR(Y1545="判定不能",G1545="判定不能"),"判定不能",IF(AP1545&gt;=判定条件!$C$9,"利用可",IF(AND(Y1545="停止",G1545="停止"),"両方停止","運転がそろわない")))</f>
        <v>判定不能</v>
      </c>
      <c r="AR1545" s="30" t="n">
        <v>0</v>
      </c>
      <c r="AS1545" s="30" t="n">
        <v>0</v>
      </c>
      <c r="AT1545" s="30" t="str">
        <f aca="false">IF(OR(AB1545="判定不能",J1545="判定不能"),"判定不能",IF(AS1545&gt;=判定条件!$C$9,"利用可",IF(AND(AB1545="停止",J1545="停止"),"両方停止","運転がそろわない")))</f>
        <v>判定不能</v>
      </c>
      <c r="AU1545" s="30" t="n">
        <v>0</v>
      </c>
      <c r="AV1545" s="30" t="n">
        <v>0</v>
      </c>
      <c r="AW1545" s="30" t="str">
        <f aca="false">IF(OR(AE1545="判定不能",M1545="判定不能"),"判定不能",IF(AV1545&gt;=判定条件!$C$9,"利用可",IF(AND(AE1545="停止",M1545="停止"),"両方停止","運転がそろわない")))</f>
        <v>判定不能</v>
      </c>
      <c r="AX1545" s="30" t="str">
        <f aca="false">IF(AND(AH1545="利用可",AK1545="利用可",AN1545="利用可"),"利用可","不可")</f>
        <v>不可</v>
      </c>
      <c r="AY1545" s="30" t="str">
        <f aca="false">IF(AND(AQ1545="利用可",AT1545="利用可",AW1545="利用可"),"利用可","不可")</f>
        <v>不可</v>
      </c>
    </row>
    <row r="1546" customFormat="false" ht="15" hidden="false" customHeight="false" outlineLevel="0" collapsed="false">
      <c r="A1546" s="29" t="n">
        <v>46296</v>
      </c>
      <c r="B1546" s="30" t="n">
        <v>7</v>
      </c>
      <c r="C1546" s="31" t="s">
        <v>61</v>
      </c>
      <c r="D1546" s="31" t="s">
        <v>59</v>
      </c>
      <c r="E1546" s="30" t="n">
        <v>60</v>
      </c>
      <c r="F1546" s="30" t="n">
        <v>0</v>
      </c>
      <c r="G1546" s="30" t="str">
        <f aca="false">IF(E1546&lt;判定条件!$C$6,"判定不能",IF(F1546&gt;=判定条件!$C$7*E1546,"運転",IF(F1546&lt;=判定条件!$C$8*E1546,"停止","断続")))</f>
        <v>停止</v>
      </c>
      <c r="H1546" s="30" t="n">
        <v>60</v>
      </c>
      <c r="I1546" s="30" t="n">
        <v>0</v>
      </c>
      <c r="J1546" s="30" t="str">
        <f aca="false">IF(H1546&lt;判定条件!$C$6,"判定不能",IF(I1546&gt;=判定条件!$C$7*H1546,"運転",IF(I1546&lt;=判定条件!$C$8*H1546,"停止","断続")))</f>
        <v>停止</v>
      </c>
      <c r="K1546" s="30" t="n">
        <v>60</v>
      </c>
      <c r="L1546" s="30" t="n">
        <v>0</v>
      </c>
      <c r="M1546" s="30" t="str">
        <f aca="false">IF(K1546&lt;判定条件!$C$6,"判定不能",IF(L1546&gt;=判定条件!$C$7*K1546,"運転",IF(L1546&lt;=判定条件!$C$8*K1546,"停止","断続")))</f>
        <v>停止</v>
      </c>
      <c r="N1546" s="30" t="n">
        <v>60</v>
      </c>
      <c r="O1546" s="30" t="n">
        <v>0</v>
      </c>
      <c r="P1546" s="30" t="str">
        <f aca="false">IF(N1546&lt;判定条件!$C$6,"判定不能",IF(O1546&gt;=判定条件!$C$7*N1546,"運転",IF(O1546&lt;=判定条件!$C$8*N1546,"停止","断続")))</f>
        <v>停止</v>
      </c>
      <c r="Q1546" s="30" t="n">
        <v>60</v>
      </c>
      <c r="R1546" s="30" t="n">
        <v>12</v>
      </c>
      <c r="S1546" s="30" t="str">
        <f aca="false">IF(Q1546&lt;判定条件!$C$6,"判定不能",IF(R1546&gt;=判定条件!$C$7*Q1546,"運転",IF(R1546&lt;=判定条件!$C$8*Q1546,"停止","断続")))</f>
        <v>停止</v>
      </c>
      <c r="T1546" s="30" t="n">
        <v>60</v>
      </c>
      <c r="U1546" s="30" t="n">
        <v>8</v>
      </c>
      <c r="V1546" s="30" t="str">
        <f aca="false">IF(T1546&lt;判定条件!$C$6,"判定不能",IF(U1546&gt;=判定条件!$C$7*T1546,"運転",IF(U1546&lt;=判定条件!$C$8*T1546,"停止","断続")))</f>
        <v>停止</v>
      </c>
      <c r="W1546" s="30" t="n">
        <v>0</v>
      </c>
      <c r="X1546" s="30" t="n">
        <v>0</v>
      </c>
      <c r="Y1546" s="30" t="str">
        <f aca="false">IF(W1546&lt;判定条件!$C$6,"判定不能",IF(X1546&gt;=判定条件!$C$7*W1546,"運転",IF(X1546&lt;=判定条件!$C$8*W1546,"停止","断続")))</f>
        <v>判定不能</v>
      </c>
      <c r="Z1546" s="30" t="n">
        <v>0</v>
      </c>
      <c r="AA1546" s="30" t="n">
        <v>0</v>
      </c>
      <c r="AB1546" s="30" t="str">
        <f aca="false">IF(Z1546&lt;判定条件!$C$6,"判定不能",IF(AA1546&gt;=判定条件!$C$7*Z1546,"運転",IF(AA1546&lt;=判定条件!$C$8*Z1546,"停止","断続")))</f>
        <v>判定不能</v>
      </c>
      <c r="AC1546" s="30" t="n">
        <v>0</v>
      </c>
      <c r="AD1546" s="30" t="n">
        <v>0</v>
      </c>
      <c r="AE1546" s="30" t="str">
        <f aca="false">IF(AC1546&lt;判定条件!$C$6,"判定不能",IF(AD1546&gt;=判定条件!$C$7*AC1546,"運転",IF(AD1546&lt;=判定条件!$C$8*AC1546,"停止","断続")))</f>
        <v>判定不能</v>
      </c>
      <c r="AF1546" s="30" t="n">
        <v>60</v>
      </c>
      <c r="AG1546" s="30" t="n">
        <v>0</v>
      </c>
      <c r="AH1546" s="30" t="str">
        <f aca="false">IF(OR(P1546="判定不能",G1546="判定不能"),"判定不能",IF(AG1546&gt;=判定条件!$C$9,"利用可",IF(AND(P1546="停止",G1546="停止"),"両方停止","運転がそろわない")))</f>
        <v>両方停止</v>
      </c>
      <c r="AI1546" s="30" t="n">
        <v>60</v>
      </c>
      <c r="AJ1546" s="30" t="n">
        <v>0</v>
      </c>
      <c r="AK1546" s="30" t="str">
        <f aca="false">IF(OR(S1546="判定不能",J1546="判定不能"),"判定不能",IF(AJ1546&gt;=判定条件!$C$9,"利用可",IF(AND(S1546="停止",J1546="停止"),"両方停止","運転がそろわない")))</f>
        <v>両方停止</v>
      </c>
      <c r="AL1546" s="30" t="n">
        <v>60</v>
      </c>
      <c r="AM1546" s="30" t="n">
        <v>0</v>
      </c>
      <c r="AN1546" s="30" t="str">
        <f aca="false">IF(OR(V1546="判定不能",M1546="判定不能"),"判定不能",IF(AM1546&gt;=判定条件!$C$9,"利用可",IF(AND(V1546="停止",M1546="停止"),"両方停止","運転がそろわない")))</f>
        <v>両方停止</v>
      </c>
      <c r="AO1546" s="30" t="n">
        <v>0</v>
      </c>
      <c r="AP1546" s="30" t="n">
        <v>0</v>
      </c>
      <c r="AQ1546" s="30" t="str">
        <f aca="false">IF(OR(Y1546="判定不能",G1546="判定不能"),"判定不能",IF(AP1546&gt;=判定条件!$C$9,"利用可",IF(AND(Y1546="停止",G1546="停止"),"両方停止","運転がそろわない")))</f>
        <v>判定不能</v>
      </c>
      <c r="AR1546" s="30" t="n">
        <v>0</v>
      </c>
      <c r="AS1546" s="30" t="n">
        <v>0</v>
      </c>
      <c r="AT1546" s="30" t="str">
        <f aca="false">IF(OR(AB1546="判定不能",J1546="判定不能"),"判定不能",IF(AS1546&gt;=判定条件!$C$9,"利用可",IF(AND(AB1546="停止",J1546="停止"),"両方停止","運転がそろわない")))</f>
        <v>判定不能</v>
      </c>
      <c r="AU1546" s="30" t="n">
        <v>0</v>
      </c>
      <c r="AV1546" s="30" t="n">
        <v>0</v>
      </c>
      <c r="AW1546" s="30" t="str">
        <f aca="false">IF(OR(AE1546="判定不能",M1546="判定不能"),"判定不能",IF(AV1546&gt;=判定条件!$C$9,"利用可",IF(AND(AE1546="停止",M1546="停止"),"両方停止","運転がそろわない")))</f>
        <v>判定不能</v>
      </c>
      <c r="AX1546" s="30" t="str">
        <f aca="false">IF(AND(AH1546="利用可",AK1546="利用可",AN1546="利用可"),"利用可","不可")</f>
        <v>不可</v>
      </c>
      <c r="AY1546" s="30" t="str">
        <f aca="false">IF(AND(AQ1546="利用可",AT1546="利用可",AW1546="利用可"),"利用可","不可")</f>
        <v>不可</v>
      </c>
    </row>
    <row r="1547" customFormat="false" ht="15" hidden="false" customHeight="false" outlineLevel="0" collapsed="false">
      <c r="A1547" s="29" t="n">
        <v>46296</v>
      </c>
      <c r="B1547" s="30" t="n">
        <v>8</v>
      </c>
      <c r="C1547" s="31" t="s">
        <v>61</v>
      </c>
      <c r="D1547" s="31" t="s">
        <v>59</v>
      </c>
      <c r="E1547" s="30" t="n">
        <v>60</v>
      </c>
      <c r="F1547" s="30" t="n">
        <v>16</v>
      </c>
      <c r="G1547" s="30" t="str">
        <f aca="false">IF(E1547&lt;判定条件!$C$6,"判定不能",IF(F1547&gt;=判定条件!$C$7*E1547,"運転",IF(F1547&lt;=判定条件!$C$8*E1547,"停止","断続")))</f>
        <v>断続</v>
      </c>
      <c r="H1547" s="30" t="n">
        <v>60</v>
      </c>
      <c r="I1547" s="30" t="n">
        <v>0</v>
      </c>
      <c r="J1547" s="30" t="str">
        <f aca="false">IF(H1547&lt;判定条件!$C$6,"判定不能",IF(I1547&gt;=判定条件!$C$7*H1547,"運転",IF(I1547&lt;=判定条件!$C$8*H1547,"停止","断続")))</f>
        <v>停止</v>
      </c>
      <c r="K1547" s="30" t="n">
        <v>60</v>
      </c>
      <c r="L1547" s="30" t="n">
        <v>0</v>
      </c>
      <c r="M1547" s="30" t="str">
        <f aca="false">IF(K1547&lt;判定条件!$C$6,"判定不能",IF(L1547&gt;=判定条件!$C$7*K1547,"運転",IF(L1547&lt;=判定条件!$C$8*K1547,"停止","断続")))</f>
        <v>停止</v>
      </c>
      <c r="N1547" s="30" t="n">
        <v>60</v>
      </c>
      <c r="O1547" s="30" t="n">
        <v>41</v>
      </c>
      <c r="P1547" s="30" t="str">
        <f aca="false">IF(N1547&lt;判定条件!$C$6,"判定不能",IF(O1547&gt;=判定条件!$C$7*N1547,"運転",IF(O1547&lt;=判定条件!$C$8*N1547,"停止","断続")))</f>
        <v>断続</v>
      </c>
      <c r="Q1547" s="30" t="n">
        <v>60</v>
      </c>
      <c r="R1547" s="30" t="n">
        <v>60</v>
      </c>
      <c r="S1547" s="30" t="str">
        <f aca="false">IF(Q1547&lt;判定条件!$C$6,"判定不能",IF(R1547&gt;=判定条件!$C$7*Q1547,"運転",IF(R1547&lt;=判定条件!$C$8*Q1547,"停止","断続")))</f>
        <v>運転</v>
      </c>
      <c r="T1547" s="30" t="n">
        <v>60</v>
      </c>
      <c r="U1547" s="30" t="n">
        <v>60</v>
      </c>
      <c r="V1547" s="30" t="str">
        <f aca="false">IF(T1547&lt;判定条件!$C$6,"判定不能",IF(U1547&gt;=判定条件!$C$7*T1547,"運転",IF(U1547&lt;=判定条件!$C$8*T1547,"停止","断続")))</f>
        <v>運転</v>
      </c>
      <c r="W1547" s="30" t="n">
        <v>0</v>
      </c>
      <c r="X1547" s="30" t="n">
        <v>0</v>
      </c>
      <c r="Y1547" s="30" t="str">
        <f aca="false">IF(W1547&lt;判定条件!$C$6,"判定不能",IF(X1547&gt;=判定条件!$C$7*W1547,"運転",IF(X1547&lt;=判定条件!$C$8*W1547,"停止","断続")))</f>
        <v>判定不能</v>
      </c>
      <c r="Z1547" s="30" t="n">
        <v>0</v>
      </c>
      <c r="AA1547" s="30" t="n">
        <v>0</v>
      </c>
      <c r="AB1547" s="30" t="str">
        <f aca="false">IF(Z1547&lt;判定条件!$C$6,"判定不能",IF(AA1547&gt;=判定条件!$C$7*Z1547,"運転",IF(AA1547&lt;=判定条件!$C$8*Z1547,"停止","断続")))</f>
        <v>判定不能</v>
      </c>
      <c r="AC1547" s="30" t="n">
        <v>0</v>
      </c>
      <c r="AD1547" s="30" t="n">
        <v>0</v>
      </c>
      <c r="AE1547" s="30" t="str">
        <f aca="false">IF(AC1547&lt;判定条件!$C$6,"判定不能",IF(AD1547&gt;=判定条件!$C$7*AC1547,"運転",IF(AD1547&lt;=判定条件!$C$8*AC1547,"停止","断続")))</f>
        <v>判定不能</v>
      </c>
      <c r="AF1547" s="30" t="n">
        <v>60</v>
      </c>
      <c r="AG1547" s="30" t="n">
        <v>10</v>
      </c>
      <c r="AH1547" s="30" t="str">
        <f aca="false">IF(OR(P1547="判定不能",G1547="判定不能"),"判定不能",IF(AG1547&gt;=判定条件!$C$9,"利用可",IF(AND(P1547="停止",G1547="停止"),"両方停止","運転がそろわない")))</f>
        <v>運転がそろわない</v>
      </c>
      <c r="AI1547" s="30" t="n">
        <v>60</v>
      </c>
      <c r="AJ1547" s="30" t="n">
        <v>0</v>
      </c>
      <c r="AK1547" s="30" t="str">
        <f aca="false">IF(OR(S1547="判定不能",J1547="判定不能"),"判定不能",IF(AJ1547&gt;=判定条件!$C$9,"利用可",IF(AND(S1547="停止",J1547="停止"),"両方停止","運転がそろわない")))</f>
        <v>運転がそろわない</v>
      </c>
      <c r="AL1547" s="30" t="n">
        <v>60</v>
      </c>
      <c r="AM1547" s="30" t="n">
        <v>0</v>
      </c>
      <c r="AN1547" s="30" t="str">
        <f aca="false">IF(OR(V1547="判定不能",M1547="判定不能"),"判定不能",IF(AM1547&gt;=判定条件!$C$9,"利用可",IF(AND(V1547="停止",M1547="停止"),"両方停止","運転がそろわない")))</f>
        <v>運転がそろわない</v>
      </c>
      <c r="AO1547" s="30" t="n">
        <v>0</v>
      </c>
      <c r="AP1547" s="30" t="n">
        <v>0</v>
      </c>
      <c r="AQ1547" s="30" t="str">
        <f aca="false">IF(OR(Y1547="判定不能",G1547="判定不能"),"判定不能",IF(AP1547&gt;=判定条件!$C$9,"利用可",IF(AND(Y1547="停止",G1547="停止"),"両方停止","運転がそろわない")))</f>
        <v>判定不能</v>
      </c>
      <c r="AR1547" s="30" t="n">
        <v>0</v>
      </c>
      <c r="AS1547" s="30" t="n">
        <v>0</v>
      </c>
      <c r="AT1547" s="30" t="str">
        <f aca="false">IF(OR(AB1547="判定不能",J1547="判定不能"),"判定不能",IF(AS1547&gt;=判定条件!$C$9,"利用可",IF(AND(AB1547="停止",J1547="停止"),"両方停止","運転がそろわない")))</f>
        <v>判定不能</v>
      </c>
      <c r="AU1547" s="30" t="n">
        <v>0</v>
      </c>
      <c r="AV1547" s="30" t="n">
        <v>0</v>
      </c>
      <c r="AW1547" s="30" t="str">
        <f aca="false">IF(OR(AE1547="判定不能",M1547="判定不能"),"判定不能",IF(AV1547&gt;=判定条件!$C$9,"利用可",IF(AND(AE1547="停止",M1547="停止"),"両方停止","運転がそろわない")))</f>
        <v>判定不能</v>
      </c>
      <c r="AX1547" s="30" t="str">
        <f aca="false">IF(AND(AH1547="利用可",AK1547="利用可",AN1547="利用可"),"利用可","不可")</f>
        <v>不可</v>
      </c>
      <c r="AY1547" s="30" t="str">
        <f aca="false">IF(AND(AQ1547="利用可",AT1547="利用可",AW1547="利用可"),"利用可","不可")</f>
        <v>不可</v>
      </c>
    </row>
    <row r="1548" customFormat="false" ht="15" hidden="false" customHeight="false" outlineLevel="0" collapsed="false">
      <c r="A1548" s="29" t="n">
        <v>46296</v>
      </c>
      <c r="B1548" s="30" t="n">
        <v>9</v>
      </c>
      <c r="C1548" s="31" t="s">
        <v>61</v>
      </c>
      <c r="D1548" s="31" t="s">
        <v>59</v>
      </c>
      <c r="E1548" s="30" t="n">
        <v>60</v>
      </c>
      <c r="F1548" s="30" t="n">
        <v>30</v>
      </c>
      <c r="G1548" s="30" t="str">
        <f aca="false">IF(E1548&lt;判定条件!$C$6,"判定不能",IF(F1548&gt;=判定条件!$C$7*E1548,"運転",IF(F1548&lt;=判定条件!$C$8*E1548,"停止","断続")))</f>
        <v>断続</v>
      </c>
      <c r="H1548" s="30" t="n">
        <v>60</v>
      </c>
      <c r="I1548" s="30" t="n">
        <v>17</v>
      </c>
      <c r="J1548" s="30" t="str">
        <f aca="false">IF(H1548&lt;判定条件!$C$6,"判定不能",IF(I1548&gt;=判定条件!$C$7*H1548,"運転",IF(I1548&lt;=判定条件!$C$8*H1548,"停止","断続")))</f>
        <v>断続</v>
      </c>
      <c r="K1548" s="30" t="n">
        <v>60</v>
      </c>
      <c r="L1548" s="30" t="n">
        <v>20</v>
      </c>
      <c r="M1548" s="30" t="str">
        <f aca="false">IF(K1548&lt;判定条件!$C$6,"判定不能",IF(L1548&gt;=判定条件!$C$7*K1548,"運転",IF(L1548&lt;=判定条件!$C$8*K1548,"停止","断続")))</f>
        <v>断続</v>
      </c>
      <c r="N1548" s="30" t="n">
        <v>60</v>
      </c>
      <c r="O1548" s="30" t="n">
        <v>60</v>
      </c>
      <c r="P1548" s="30" t="str">
        <f aca="false">IF(N1548&lt;判定条件!$C$6,"判定不能",IF(O1548&gt;=判定条件!$C$7*N1548,"運転",IF(O1548&lt;=判定条件!$C$8*N1548,"停止","断続")))</f>
        <v>運転</v>
      </c>
      <c r="Q1548" s="30" t="n">
        <v>60</v>
      </c>
      <c r="R1548" s="30" t="n">
        <v>60</v>
      </c>
      <c r="S1548" s="30" t="str">
        <f aca="false">IF(Q1548&lt;判定条件!$C$6,"判定不能",IF(R1548&gt;=判定条件!$C$7*Q1548,"運転",IF(R1548&lt;=判定条件!$C$8*Q1548,"停止","断続")))</f>
        <v>運転</v>
      </c>
      <c r="T1548" s="30" t="n">
        <v>60</v>
      </c>
      <c r="U1548" s="30" t="n">
        <v>60</v>
      </c>
      <c r="V1548" s="30" t="str">
        <f aca="false">IF(T1548&lt;判定条件!$C$6,"判定不能",IF(U1548&gt;=判定条件!$C$7*T1548,"運転",IF(U1548&lt;=判定条件!$C$8*T1548,"停止","断続")))</f>
        <v>運転</v>
      </c>
      <c r="W1548" s="30" t="n">
        <v>0</v>
      </c>
      <c r="X1548" s="30" t="n">
        <v>0</v>
      </c>
      <c r="Y1548" s="30" t="str">
        <f aca="false">IF(W1548&lt;判定条件!$C$6,"判定不能",IF(X1548&gt;=判定条件!$C$7*W1548,"運転",IF(X1548&lt;=判定条件!$C$8*W1548,"停止","断続")))</f>
        <v>判定不能</v>
      </c>
      <c r="Z1548" s="30" t="n">
        <v>0</v>
      </c>
      <c r="AA1548" s="30" t="n">
        <v>0</v>
      </c>
      <c r="AB1548" s="30" t="str">
        <f aca="false">IF(Z1548&lt;判定条件!$C$6,"判定不能",IF(AA1548&gt;=判定条件!$C$7*Z1548,"運転",IF(AA1548&lt;=判定条件!$C$8*Z1548,"停止","断続")))</f>
        <v>判定不能</v>
      </c>
      <c r="AC1548" s="30" t="n">
        <v>0</v>
      </c>
      <c r="AD1548" s="30" t="n">
        <v>0</v>
      </c>
      <c r="AE1548" s="30" t="str">
        <f aca="false">IF(AC1548&lt;判定条件!$C$6,"判定不能",IF(AD1548&gt;=判定条件!$C$7*AC1548,"運転",IF(AD1548&lt;=判定条件!$C$8*AC1548,"停止","断続")))</f>
        <v>判定不能</v>
      </c>
      <c r="AF1548" s="30" t="n">
        <v>60</v>
      </c>
      <c r="AG1548" s="30" t="n">
        <v>30</v>
      </c>
      <c r="AH1548" s="30" t="str">
        <f aca="false">IF(OR(P1548="判定不能",G1548="判定不能"),"判定不能",IF(AG1548&gt;=判定条件!$C$9,"利用可",IF(AND(P1548="停止",G1548="停止"),"両方停止","運転がそろわない")))</f>
        <v>利用可</v>
      </c>
      <c r="AI1548" s="30" t="n">
        <v>60</v>
      </c>
      <c r="AJ1548" s="30" t="n">
        <v>17</v>
      </c>
      <c r="AK1548" s="30" t="str">
        <f aca="false">IF(OR(S1548="判定不能",J1548="判定不能"),"判定不能",IF(AJ1548&gt;=判定条件!$C$9,"利用可",IF(AND(S1548="停止",J1548="停止"),"両方停止","運転がそろわない")))</f>
        <v>運転がそろわない</v>
      </c>
      <c r="AL1548" s="30" t="n">
        <v>60</v>
      </c>
      <c r="AM1548" s="30" t="n">
        <v>20</v>
      </c>
      <c r="AN1548" s="30" t="str">
        <f aca="false">IF(OR(V1548="判定不能",M1548="判定不能"),"判定不能",IF(AM1548&gt;=判定条件!$C$9,"利用可",IF(AND(V1548="停止",M1548="停止"),"両方停止","運転がそろわない")))</f>
        <v>運転がそろわない</v>
      </c>
      <c r="AO1548" s="30" t="n">
        <v>0</v>
      </c>
      <c r="AP1548" s="30" t="n">
        <v>0</v>
      </c>
      <c r="AQ1548" s="30" t="str">
        <f aca="false">IF(OR(Y1548="判定不能",G1548="判定不能"),"判定不能",IF(AP1548&gt;=判定条件!$C$9,"利用可",IF(AND(Y1548="停止",G1548="停止"),"両方停止","運転がそろわない")))</f>
        <v>判定不能</v>
      </c>
      <c r="AR1548" s="30" t="n">
        <v>0</v>
      </c>
      <c r="AS1548" s="30" t="n">
        <v>0</v>
      </c>
      <c r="AT1548" s="30" t="str">
        <f aca="false">IF(OR(AB1548="判定不能",J1548="判定不能"),"判定不能",IF(AS1548&gt;=判定条件!$C$9,"利用可",IF(AND(AB1548="停止",J1548="停止"),"両方停止","運転がそろわない")))</f>
        <v>判定不能</v>
      </c>
      <c r="AU1548" s="30" t="n">
        <v>0</v>
      </c>
      <c r="AV1548" s="30" t="n">
        <v>0</v>
      </c>
      <c r="AW1548" s="30" t="str">
        <f aca="false">IF(OR(AE1548="判定不能",M1548="判定不能"),"判定不能",IF(AV1548&gt;=判定条件!$C$9,"利用可",IF(AND(AE1548="停止",M1548="停止"),"両方停止","運転がそろわない")))</f>
        <v>判定不能</v>
      </c>
      <c r="AX1548" s="30" t="str">
        <f aca="false">IF(AND(AH1548="利用可",AK1548="利用可",AN1548="利用可"),"利用可","不可")</f>
        <v>不可</v>
      </c>
      <c r="AY1548" s="30" t="str">
        <f aca="false">IF(AND(AQ1548="利用可",AT1548="利用可",AW1548="利用可"),"利用可","不可")</f>
        <v>不可</v>
      </c>
    </row>
    <row r="1549" customFormat="false" ht="15" hidden="false" customHeight="false" outlineLevel="0" collapsed="false">
      <c r="A1549" s="29" t="n">
        <v>46296</v>
      </c>
      <c r="B1549" s="30" t="n">
        <v>10</v>
      </c>
      <c r="C1549" s="31" t="s">
        <v>61</v>
      </c>
      <c r="D1549" s="31" t="s">
        <v>59</v>
      </c>
      <c r="E1549" s="30" t="n">
        <v>60</v>
      </c>
      <c r="F1549" s="30" t="n">
        <v>16</v>
      </c>
      <c r="G1549" s="30" t="str">
        <f aca="false">IF(E1549&lt;判定条件!$C$6,"判定不能",IF(F1549&gt;=判定条件!$C$7*E1549,"運転",IF(F1549&lt;=判定条件!$C$8*E1549,"停止","断続")))</f>
        <v>断続</v>
      </c>
      <c r="H1549" s="30" t="n">
        <v>60</v>
      </c>
      <c r="I1549" s="30" t="n">
        <v>50</v>
      </c>
      <c r="J1549" s="30" t="str">
        <f aca="false">IF(H1549&lt;判定条件!$C$6,"判定不能",IF(I1549&gt;=判定条件!$C$7*H1549,"運転",IF(I1549&lt;=判定条件!$C$8*H1549,"停止","断続")))</f>
        <v>運転</v>
      </c>
      <c r="K1549" s="30" t="n">
        <v>60</v>
      </c>
      <c r="L1549" s="30" t="n">
        <v>60</v>
      </c>
      <c r="M1549" s="30" t="str">
        <f aca="false">IF(K1549&lt;判定条件!$C$6,"判定不能",IF(L1549&gt;=判定条件!$C$7*K1549,"運転",IF(L1549&lt;=判定条件!$C$8*K1549,"停止","断続")))</f>
        <v>運転</v>
      </c>
      <c r="N1549" s="30" t="n">
        <v>60</v>
      </c>
      <c r="O1549" s="30" t="n">
        <v>60</v>
      </c>
      <c r="P1549" s="30" t="str">
        <f aca="false">IF(N1549&lt;判定条件!$C$6,"判定不能",IF(O1549&gt;=判定条件!$C$7*N1549,"運転",IF(O1549&lt;=判定条件!$C$8*N1549,"停止","断続")))</f>
        <v>運転</v>
      </c>
      <c r="Q1549" s="30" t="n">
        <v>60</v>
      </c>
      <c r="R1549" s="30" t="n">
        <v>60</v>
      </c>
      <c r="S1549" s="30" t="str">
        <f aca="false">IF(Q1549&lt;判定条件!$C$6,"判定不能",IF(R1549&gt;=判定条件!$C$7*Q1549,"運転",IF(R1549&lt;=判定条件!$C$8*Q1549,"停止","断続")))</f>
        <v>運転</v>
      </c>
      <c r="T1549" s="30" t="n">
        <v>60</v>
      </c>
      <c r="U1549" s="30" t="n">
        <v>60</v>
      </c>
      <c r="V1549" s="30" t="str">
        <f aca="false">IF(T1549&lt;判定条件!$C$6,"判定不能",IF(U1549&gt;=判定条件!$C$7*T1549,"運転",IF(U1549&lt;=判定条件!$C$8*T1549,"停止","断続")))</f>
        <v>運転</v>
      </c>
      <c r="W1549" s="30" t="n">
        <v>0</v>
      </c>
      <c r="X1549" s="30" t="n">
        <v>0</v>
      </c>
      <c r="Y1549" s="30" t="str">
        <f aca="false">IF(W1549&lt;判定条件!$C$6,"判定不能",IF(X1549&gt;=判定条件!$C$7*W1549,"運転",IF(X1549&lt;=判定条件!$C$8*W1549,"停止","断続")))</f>
        <v>判定不能</v>
      </c>
      <c r="Z1549" s="30" t="n">
        <v>0</v>
      </c>
      <c r="AA1549" s="30" t="n">
        <v>0</v>
      </c>
      <c r="AB1549" s="30" t="str">
        <f aca="false">IF(Z1549&lt;判定条件!$C$6,"判定不能",IF(AA1549&gt;=判定条件!$C$7*Z1549,"運転",IF(AA1549&lt;=判定条件!$C$8*Z1549,"停止","断続")))</f>
        <v>判定不能</v>
      </c>
      <c r="AC1549" s="30" t="n">
        <v>0</v>
      </c>
      <c r="AD1549" s="30" t="n">
        <v>0</v>
      </c>
      <c r="AE1549" s="30" t="str">
        <f aca="false">IF(AC1549&lt;判定条件!$C$6,"判定不能",IF(AD1549&gt;=判定条件!$C$7*AC1549,"運転",IF(AD1549&lt;=判定条件!$C$8*AC1549,"停止","断続")))</f>
        <v>判定不能</v>
      </c>
      <c r="AF1549" s="30" t="n">
        <v>60</v>
      </c>
      <c r="AG1549" s="30" t="n">
        <v>16</v>
      </c>
      <c r="AH1549" s="30" t="str">
        <f aca="false">IF(OR(P1549="判定不能",G1549="判定不能"),"判定不能",IF(AG1549&gt;=判定条件!$C$9,"利用可",IF(AND(P1549="停止",G1549="停止"),"両方停止","運転がそろわない")))</f>
        <v>運転がそろわない</v>
      </c>
      <c r="AI1549" s="30" t="n">
        <v>60</v>
      </c>
      <c r="AJ1549" s="30" t="n">
        <v>50</v>
      </c>
      <c r="AK1549" s="30" t="str">
        <f aca="false">IF(OR(S1549="判定不能",J1549="判定不能"),"判定不能",IF(AJ1549&gt;=判定条件!$C$9,"利用可",IF(AND(S1549="停止",J1549="停止"),"両方停止","運転がそろわない")))</f>
        <v>利用可</v>
      </c>
      <c r="AL1549" s="30" t="n">
        <v>60</v>
      </c>
      <c r="AM1549" s="30" t="n">
        <v>60</v>
      </c>
      <c r="AN1549" s="30" t="str">
        <f aca="false">IF(OR(V1549="判定不能",M1549="判定不能"),"判定不能",IF(AM1549&gt;=判定条件!$C$9,"利用可",IF(AND(V1549="停止",M1549="停止"),"両方停止","運転がそろわない")))</f>
        <v>利用可</v>
      </c>
      <c r="AO1549" s="30" t="n">
        <v>0</v>
      </c>
      <c r="AP1549" s="30" t="n">
        <v>0</v>
      </c>
      <c r="AQ1549" s="30" t="str">
        <f aca="false">IF(OR(Y1549="判定不能",G1549="判定不能"),"判定不能",IF(AP1549&gt;=判定条件!$C$9,"利用可",IF(AND(Y1549="停止",G1549="停止"),"両方停止","運転がそろわない")))</f>
        <v>判定不能</v>
      </c>
      <c r="AR1549" s="30" t="n">
        <v>0</v>
      </c>
      <c r="AS1549" s="30" t="n">
        <v>0</v>
      </c>
      <c r="AT1549" s="30" t="str">
        <f aca="false">IF(OR(AB1549="判定不能",J1549="判定不能"),"判定不能",IF(AS1549&gt;=判定条件!$C$9,"利用可",IF(AND(AB1549="停止",J1549="停止"),"両方停止","運転がそろわない")))</f>
        <v>判定不能</v>
      </c>
      <c r="AU1549" s="30" t="n">
        <v>0</v>
      </c>
      <c r="AV1549" s="30" t="n">
        <v>0</v>
      </c>
      <c r="AW1549" s="30" t="str">
        <f aca="false">IF(OR(AE1549="判定不能",M1549="判定不能"),"判定不能",IF(AV1549&gt;=判定条件!$C$9,"利用可",IF(AND(AE1549="停止",M1549="停止"),"両方停止","運転がそろわない")))</f>
        <v>判定不能</v>
      </c>
      <c r="AX1549" s="30" t="str">
        <f aca="false">IF(AND(AH1549="利用可",AK1549="利用可",AN1549="利用可"),"利用可","不可")</f>
        <v>不可</v>
      </c>
      <c r="AY1549" s="30" t="str">
        <f aca="false">IF(AND(AQ1549="利用可",AT1549="利用可",AW1549="利用可"),"利用可","不可")</f>
        <v>不可</v>
      </c>
    </row>
    <row r="1550" customFormat="false" ht="15" hidden="false" customHeight="false" outlineLevel="0" collapsed="false">
      <c r="A1550" s="29" t="n">
        <v>46296</v>
      </c>
      <c r="B1550" s="30" t="n">
        <v>11</v>
      </c>
      <c r="C1550" s="31" t="s">
        <v>61</v>
      </c>
      <c r="D1550" s="31" t="s">
        <v>59</v>
      </c>
      <c r="E1550" s="30" t="n">
        <v>60</v>
      </c>
      <c r="F1550" s="30" t="n">
        <v>59</v>
      </c>
      <c r="G1550" s="30" t="str">
        <f aca="false">IF(E1550&lt;判定条件!$C$6,"判定不能",IF(F1550&gt;=判定条件!$C$7*E1550,"運転",IF(F1550&lt;=判定条件!$C$8*E1550,"停止","断続")))</f>
        <v>運転</v>
      </c>
      <c r="H1550" s="30" t="n">
        <v>60</v>
      </c>
      <c r="I1550" s="30" t="n">
        <v>44</v>
      </c>
      <c r="J1550" s="30" t="str">
        <f aca="false">IF(H1550&lt;判定条件!$C$6,"判定不能",IF(I1550&gt;=判定条件!$C$7*H1550,"運転",IF(I1550&lt;=判定条件!$C$8*H1550,"停止","断続")))</f>
        <v>断続</v>
      </c>
      <c r="K1550" s="30" t="n">
        <v>60</v>
      </c>
      <c r="L1550" s="30" t="n">
        <v>60</v>
      </c>
      <c r="M1550" s="30" t="str">
        <f aca="false">IF(K1550&lt;判定条件!$C$6,"判定不能",IF(L1550&gt;=判定条件!$C$7*K1550,"運転",IF(L1550&lt;=判定条件!$C$8*K1550,"停止","断続")))</f>
        <v>運転</v>
      </c>
      <c r="N1550" s="30" t="n">
        <v>60</v>
      </c>
      <c r="O1550" s="30" t="n">
        <v>60</v>
      </c>
      <c r="P1550" s="30" t="str">
        <f aca="false">IF(N1550&lt;判定条件!$C$6,"判定不能",IF(O1550&gt;=判定条件!$C$7*N1550,"運転",IF(O1550&lt;=判定条件!$C$8*N1550,"停止","断続")))</f>
        <v>運転</v>
      </c>
      <c r="Q1550" s="30" t="n">
        <v>60</v>
      </c>
      <c r="R1550" s="30" t="n">
        <v>53</v>
      </c>
      <c r="S1550" s="30" t="str">
        <f aca="false">IF(Q1550&lt;判定条件!$C$6,"判定不能",IF(R1550&gt;=判定条件!$C$7*Q1550,"運転",IF(R1550&lt;=判定条件!$C$8*Q1550,"停止","断続")))</f>
        <v>運転</v>
      </c>
      <c r="T1550" s="30" t="n">
        <v>60</v>
      </c>
      <c r="U1550" s="30" t="n">
        <v>60</v>
      </c>
      <c r="V1550" s="30" t="str">
        <f aca="false">IF(T1550&lt;判定条件!$C$6,"判定不能",IF(U1550&gt;=判定条件!$C$7*T1550,"運転",IF(U1550&lt;=判定条件!$C$8*T1550,"停止","断続")))</f>
        <v>運転</v>
      </c>
      <c r="W1550" s="30" t="n">
        <v>0</v>
      </c>
      <c r="X1550" s="30" t="n">
        <v>0</v>
      </c>
      <c r="Y1550" s="30" t="str">
        <f aca="false">IF(W1550&lt;判定条件!$C$6,"判定不能",IF(X1550&gt;=判定条件!$C$7*W1550,"運転",IF(X1550&lt;=判定条件!$C$8*W1550,"停止","断続")))</f>
        <v>判定不能</v>
      </c>
      <c r="Z1550" s="30" t="n">
        <v>0</v>
      </c>
      <c r="AA1550" s="30" t="n">
        <v>0</v>
      </c>
      <c r="AB1550" s="30" t="str">
        <f aca="false">IF(Z1550&lt;判定条件!$C$6,"判定不能",IF(AA1550&gt;=判定条件!$C$7*Z1550,"運転",IF(AA1550&lt;=判定条件!$C$8*Z1550,"停止","断続")))</f>
        <v>判定不能</v>
      </c>
      <c r="AC1550" s="30" t="n">
        <v>0</v>
      </c>
      <c r="AD1550" s="30" t="n">
        <v>0</v>
      </c>
      <c r="AE1550" s="30" t="str">
        <f aca="false">IF(AC1550&lt;判定条件!$C$6,"判定不能",IF(AD1550&gt;=判定条件!$C$7*AC1550,"運転",IF(AD1550&lt;=判定条件!$C$8*AC1550,"停止","断続")))</f>
        <v>判定不能</v>
      </c>
      <c r="AF1550" s="30" t="n">
        <v>60</v>
      </c>
      <c r="AG1550" s="30" t="n">
        <v>59</v>
      </c>
      <c r="AH1550" s="30" t="str">
        <f aca="false">IF(OR(P1550="判定不能",G1550="判定不能"),"判定不能",IF(AG1550&gt;=判定条件!$C$9,"利用可",IF(AND(P1550="停止",G1550="停止"),"両方停止","運転がそろわない")))</f>
        <v>利用可</v>
      </c>
      <c r="AI1550" s="30" t="n">
        <v>60</v>
      </c>
      <c r="AJ1550" s="30" t="n">
        <v>44</v>
      </c>
      <c r="AK1550" s="30" t="str">
        <f aca="false">IF(OR(S1550="判定不能",J1550="判定不能"),"判定不能",IF(AJ1550&gt;=判定条件!$C$9,"利用可",IF(AND(S1550="停止",J1550="停止"),"両方停止","運転がそろわない")))</f>
        <v>利用可</v>
      </c>
      <c r="AL1550" s="30" t="n">
        <v>60</v>
      </c>
      <c r="AM1550" s="30" t="n">
        <v>60</v>
      </c>
      <c r="AN1550" s="30" t="str">
        <f aca="false">IF(OR(V1550="判定不能",M1550="判定不能"),"判定不能",IF(AM1550&gt;=判定条件!$C$9,"利用可",IF(AND(V1550="停止",M1550="停止"),"両方停止","運転がそろわない")))</f>
        <v>利用可</v>
      </c>
      <c r="AO1550" s="30" t="n">
        <v>0</v>
      </c>
      <c r="AP1550" s="30" t="n">
        <v>0</v>
      </c>
      <c r="AQ1550" s="30" t="str">
        <f aca="false">IF(OR(Y1550="判定不能",G1550="判定不能"),"判定不能",IF(AP1550&gt;=判定条件!$C$9,"利用可",IF(AND(Y1550="停止",G1550="停止"),"両方停止","運転がそろわない")))</f>
        <v>判定不能</v>
      </c>
      <c r="AR1550" s="30" t="n">
        <v>0</v>
      </c>
      <c r="AS1550" s="30" t="n">
        <v>0</v>
      </c>
      <c r="AT1550" s="30" t="str">
        <f aca="false">IF(OR(AB1550="判定不能",J1550="判定不能"),"判定不能",IF(AS1550&gt;=判定条件!$C$9,"利用可",IF(AND(AB1550="停止",J1550="停止"),"両方停止","運転がそろわない")))</f>
        <v>判定不能</v>
      </c>
      <c r="AU1550" s="30" t="n">
        <v>0</v>
      </c>
      <c r="AV1550" s="30" t="n">
        <v>0</v>
      </c>
      <c r="AW1550" s="30" t="str">
        <f aca="false">IF(OR(AE1550="判定不能",M1550="判定不能"),"判定不能",IF(AV1550&gt;=判定条件!$C$9,"利用可",IF(AND(AE1550="停止",M1550="停止"),"両方停止","運転がそろわない")))</f>
        <v>判定不能</v>
      </c>
      <c r="AX1550" s="30" t="str">
        <f aca="false">IF(AND(AH1550="利用可",AK1550="利用可",AN1550="利用可"),"利用可","不可")</f>
        <v>利用可</v>
      </c>
      <c r="AY1550" s="30" t="str">
        <f aca="false">IF(AND(AQ1550="利用可",AT1550="利用可",AW1550="利用可"),"利用可","不可")</f>
        <v>不可</v>
      </c>
    </row>
    <row r="1551" customFormat="false" ht="15" hidden="false" customHeight="false" outlineLevel="0" collapsed="false">
      <c r="A1551" s="29" t="n">
        <v>46296</v>
      </c>
      <c r="B1551" s="30" t="n">
        <v>12</v>
      </c>
      <c r="C1551" s="31" t="s">
        <v>61</v>
      </c>
      <c r="D1551" s="31" t="s">
        <v>59</v>
      </c>
      <c r="E1551" s="30" t="n">
        <v>60</v>
      </c>
      <c r="F1551" s="30" t="n">
        <v>55</v>
      </c>
      <c r="G1551" s="30" t="str">
        <f aca="false">IF(E1551&lt;判定条件!$C$6,"判定不能",IF(F1551&gt;=判定条件!$C$7*E1551,"運転",IF(F1551&lt;=判定条件!$C$8*E1551,"停止","断続")))</f>
        <v>運転</v>
      </c>
      <c r="H1551" s="30" t="n">
        <v>60</v>
      </c>
      <c r="I1551" s="30" t="n">
        <v>50</v>
      </c>
      <c r="J1551" s="30" t="str">
        <f aca="false">IF(H1551&lt;判定条件!$C$6,"判定不能",IF(I1551&gt;=判定条件!$C$7*H1551,"運転",IF(I1551&lt;=判定条件!$C$8*H1551,"停止","断続")))</f>
        <v>運転</v>
      </c>
      <c r="K1551" s="30" t="n">
        <v>60</v>
      </c>
      <c r="L1551" s="30" t="n">
        <v>60</v>
      </c>
      <c r="M1551" s="30" t="str">
        <f aca="false">IF(K1551&lt;判定条件!$C$6,"判定不能",IF(L1551&gt;=判定条件!$C$7*K1551,"運転",IF(L1551&lt;=判定条件!$C$8*K1551,"停止","断続")))</f>
        <v>運転</v>
      </c>
      <c r="N1551" s="30" t="n">
        <v>60</v>
      </c>
      <c r="O1551" s="30" t="n">
        <v>60</v>
      </c>
      <c r="P1551" s="30" t="str">
        <f aca="false">IF(N1551&lt;判定条件!$C$6,"判定不能",IF(O1551&gt;=判定条件!$C$7*N1551,"運転",IF(O1551&lt;=判定条件!$C$8*N1551,"停止","断続")))</f>
        <v>運転</v>
      </c>
      <c r="Q1551" s="30" t="n">
        <v>60</v>
      </c>
      <c r="R1551" s="30" t="n">
        <v>60</v>
      </c>
      <c r="S1551" s="30" t="str">
        <f aca="false">IF(Q1551&lt;判定条件!$C$6,"判定不能",IF(R1551&gt;=判定条件!$C$7*Q1551,"運転",IF(R1551&lt;=判定条件!$C$8*Q1551,"停止","断続")))</f>
        <v>運転</v>
      </c>
      <c r="T1551" s="30" t="n">
        <v>60</v>
      </c>
      <c r="U1551" s="30" t="n">
        <v>60</v>
      </c>
      <c r="V1551" s="30" t="str">
        <f aca="false">IF(T1551&lt;判定条件!$C$6,"判定不能",IF(U1551&gt;=判定条件!$C$7*T1551,"運転",IF(U1551&lt;=判定条件!$C$8*T1551,"停止","断続")))</f>
        <v>運転</v>
      </c>
      <c r="W1551" s="30" t="n">
        <v>0</v>
      </c>
      <c r="X1551" s="30" t="n">
        <v>0</v>
      </c>
      <c r="Y1551" s="30" t="str">
        <f aca="false">IF(W1551&lt;判定条件!$C$6,"判定不能",IF(X1551&gt;=判定条件!$C$7*W1551,"運転",IF(X1551&lt;=判定条件!$C$8*W1551,"停止","断続")))</f>
        <v>判定不能</v>
      </c>
      <c r="Z1551" s="30" t="n">
        <v>0</v>
      </c>
      <c r="AA1551" s="30" t="n">
        <v>0</v>
      </c>
      <c r="AB1551" s="30" t="str">
        <f aca="false">IF(Z1551&lt;判定条件!$C$6,"判定不能",IF(AA1551&gt;=判定条件!$C$7*Z1551,"運転",IF(AA1551&lt;=判定条件!$C$8*Z1551,"停止","断続")))</f>
        <v>判定不能</v>
      </c>
      <c r="AC1551" s="30" t="n">
        <v>0</v>
      </c>
      <c r="AD1551" s="30" t="n">
        <v>0</v>
      </c>
      <c r="AE1551" s="30" t="str">
        <f aca="false">IF(AC1551&lt;判定条件!$C$6,"判定不能",IF(AD1551&gt;=判定条件!$C$7*AC1551,"運転",IF(AD1551&lt;=判定条件!$C$8*AC1551,"停止","断続")))</f>
        <v>判定不能</v>
      </c>
      <c r="AF1551" s="30" t="n">
        <v>60</v>
      </c>
      <c r="AG1551" s="30" t="n">
        <v>55</v>
      </c>
      <c r="AH1551" s="30" t="str">
        <f aca="false">IF(OR(P1551="判定不能",G1551="判定不能"),"判定不能",IF(AG1551&gt;=判定条件!$C$9,"利用可",IF(AND(P1551="停止",G1551="停止"),"両方停止","運転がそろわない")))</f>
        <v>利用可</v>
      </c>
      <c r="AI1551" s="30" t="n">
        <v>60</v>
      </c>
      <c r="AJ1551" s="30" t="n">
        <v>50</v>
      </c>
      <c r="AK1551" s="30" t="str">
        <f aca="false">IF(OR(S1551="判定不能",J1551="判定不能"),"判定不能",IF(AJ1551&gt;=判定条件!$C$9,"利用可",IF(AND(S1551="停止",J1551="停止"),"両方停止","運転がそろわない")))</f>
        <v>利用可</v>
      </c>
      <c r="AL1551" s="30" t="n">
        <v>60</v>
      </c>
      <c r="AM1551" s="30" t="n">
        <v>60</v>
      </c>
      <c r="AN1551" s="30" t="str">
        <f aca="false">IF(OR(V1551="判定不能",M1551="判定不能"),"判定不能",IF(AM1551&gt;=判定条件!$C$9,"利用可",IF(AND(V1551="停止",M1551="停止"),"両方停止","運転がそろわない")))</f>
        <v>利用可</v>
      </c>
      <c r="AO1551" s="30" t="n">
        <v>0</v>
      </c>
      <c r="AP1551" s="30" t="n">
        <v>0</v>
      </c>
      <c r="AQ1551" s="30" t="str">
        <f aca="false">IF(OR(Y1551="判定不能",G1551="判定不能"),"判定不能",IF(AP1551&gt;=判定条件!$C$9,"利用可",IF(AND(Y1551="停止",G1551="停止"),"両方停止","運転がそろわない")))</f>
        <v>判定不能</v>
      </c>
      <c r="AR1551" s="30" t="n">
        <v>0</v>
      </c>
      <c r="AS1551" s="30" t="n">
        <v>0</v>
      </c>
      <c r="AT1551" s="30" t="str">
        <f aca="false">IF(OR(AB1551="判定不能",J1551="判定不能"),"判定不能",IF(AS1551&gt;=判定条件!$C$9,"利用可",IF(AND(AB1551="停止",J1551="停止"),"両方停止","運転がそろわない")))</f>
        <v>判定不能</v>
      </c>
      <c r="AU1551" s="30" t="n">
        <v>0</v>
      </c>
      <c r="AV1551" s="30" t="n">
        <v>0</v>
      </c>
      <c r="AW1551" s="30" t="str">
        <f aca="false">IF(OR(AE1551="判定不能",M1551="判定不能"),"判定不能",IF(AV1551&gt;=判定条件!$C$9,"利用可",IF(AND(AE1551="停止",M1551="停止"),"両方停止","運転がそろわない")))</f>
        <v>判定不能</v>
      </c>
      <c r="AX1551" s="30" t="str">
        <f aca="false">IF(AND(AH1551="利用可",AK1551="利用可",AN1551="利用可"),"利用可","不可")</f>
        <v>利用可</v>
      </c>
      <c r="AY1551" s="30" t="str">
        <f aca="false">IF(AND(AQ1551="利用可",AT1551="利用可",AW1551="利用可"),"利用可","不可")</f>
        <v>不可</v>
      </c>
    </row>
    <row r="1552" customFormat="false" ht="15" hidden="false" customHeight="false" outlineLevel="0" collapsed="false">
      <c r="A1552" s="29" t="n">
        <v>46296</v>
      </c>
      <c r="B1552" s="30" t="n">
        <v>13</v>
      </c>
      <c r="C1552" s="31" t="s">
        <v>61</v>
      </c>
      <c r="D1552" s="31" t="s">
        <v>59</v>
      </c>
      <c r="E1552" s="30" t="n">
        <v>60</v>
      </c>
      <c r="F1552" s="30" t="n">
        <v>60</v>
      </c>
      <c r="G1552" s="30" t="str">
        <f aca="false">IF(E1552&lt;判定条件!$C$6,"判定不能",IF(F1552&gt;=判定条件!$C$7*E1552,"運転",IF(F1552&lt;=判定条件!$C$8*E1552,"停止","断続")))</f>
        <v>運転</v>
      </c>
      <c r="H1552" s="30" t="n">
        <v>60</v>
      </c>
      <c r="I1552" s="30" t="n">
        <v>60</v>
      </c>
      <c r="J1552" s="30" t="str">
        <f aca="false">IF(H1552&lt;判定条件!$C$6,"判定不能",IF(I1552&gt;=判定条件!$C$7*H1552,"運転",IF(I1552&lt;=判定条件!$C$8*H1552,"停止","断続")))</f>
        <v>運転</v>
      </c>
      <c r="K1552" s="30" t="n">
        <v>60</v>
      </c>
      <c r="L1552" s="30" t="n">
        <v>60</v>
      </c>
      <c r="M1552" s="30" t="str">
        <f aca="false">IF(K1552&lt;判定条件!$C$6,"判定不能",IF(L1552&gt;=判定条件!$C$7*K1552,"運転",IF(L1552&lt;=判定条件!$C$8*K1552,"停止","断続")))</f>
        <v>運転</v>
      </c>
      <c r="N1552" s="30" t="n">
        <v>60</v>
      </c>
      <c r="O1552" s="30" t="n">
        <v>60</v>
      </c>
      <c r="P1552" s="30" t="str">
        <f aca="false">IF(N1552&lt;判定条件!$C$6,"判定不能",IF(O1552&gt;=判定条件!$C$7*N1552,"運転",IF(O1552&lt;=判定条件!$C$8*N1552,"停止","断続")))</f>
        <v>運転</v>
      </c>
      <c r="Q1552" s="30" t="n">
        <v>60</v>
      </c>
      <c r="R1552" s="30" t="n">
        <v>60</v>
      </c>
      <c r="S1552" s="30" t="str">
        <f aca="false">IF(Q1552&lt;判定条件!$C$6,"判定不能",IF(R1552&gt;=判定条件!$C$7*Q1552,"運転",IF(R1552&lt;=判定条件!$C$8*Q1552,"停止","断続")))</f>
        <v>運転</v>
      </c>
      <c r="T1552" s="30" t="n">
        <v>60</v>
      </c>
      <c r="U1552" s="30" t="n">
        <v>60</v>
      </c>
      <c r="V1552" s="30" t="str">
        <f aca="false">IF(T1552&lt;判定条件!$C$6,"判定不能",IF(U1552&gt;=判定条件!$C$7*T1552,"運転",IF(U1552&lt;=判定条件!$C$8*T1552,"停止","断続")))</f>
        <v>運転</v>
      </c>
      <c r="W1552" s="30" t="n">
        <v>0</v>
      </c>
      <c r="X1552" s="30" t="n">
        <v>0</v>
      </c>
      <c r="Y1552" s="30" t="str">
        <f aca="false">IF(W1552&lt;判定条件!$C$6,"判定不能",IF(X1552&gt;=判定条件!$C$7*W1552,"運転",IF(X1552&lt;=判定条件!$C$8*W1552,"停止","断続")))</f>
        <v>判定不能</v>
      </c>
      <c r="Z1552" s="30" t="n">
        <v>0</v>
      </c>
      <c r="AA1552" s="30" t="n">
        <v>0</v>
      </c>
      <c r="AB1552" s="30" t="str">
        <f aca="false">IF(Z1552&lt;判定条件!$C$6,"判定不能",IF(AA1552&gt;=判定条件!$C$7*Z1552,"運転",IF(AA1552&lt;=判定条件!$C$8*Z1552,"停止","断続")))</f>
        <v>判定不能</v>
      </c>
      <c r="AC1552" s="30" t="n">
        <v>0</v>
      </c>
      <c r="AD1552" s="30" t="n">
        <v>0</v>
      </c>
      <c r="AE1552" s="30" t="str">
        <f aca="false">IF(AC1552&lt;判定条件!$C$6,"判定不能",IF(AD1552&gt;=判定条件!$C$7*AC1552,"運転",IF(AD1552&lt;=判定条件!$C$8*AC1552,"停止","断続")))</f>
        <v>判定不能</v>
      </c>
      <c r="AF1552" s="30" t="n">
        <v>60</v>
      </c>
      <c r="AG1552" s="30" t="n">
        <v>60</v>
      </c>
      <c r="AH1552" s="30" t="str">
        <f aca="false">IF(OR(P1552="判定不能",G1552="判定不能"),"判定不能",IF(AG1552&gt;=判定条件!$C$9,"利用可",IF(AND(P1552="停止",G1552="停止"),"両方停止","運転がそろわない")))</f>
        <v>利用可</v>
      </c>
      <c r="AI1552" s="30" t="n">
        <v>60</v>
      </c>
      <c r="AJ1552" s="30" t="n">
        <v>60</v>
      </c>
      <c r="AK1552" s="30" t="str">
        <f aca="false">IF(OR(S1552="判定不能",J1552="判定不能"),"判定不能",IF(AJ1552&gt;=判定条件!$C$9,"利用可",IF(AND(S1552="停止",J1552="停止"),"両方停止","運転がそろわない")))</f>
        <v>利用可</v>
      </c>
      <c r="AL1552" s="30" t="n">
        <v>60</v>
      </c>
      <c r="AM1552" s="30" t="n">
        <v>60</v>
      </c>
      <c r="AN1552" s="30" t="str">
        <f aca="false">IF(OR(V1552="判定不能",M1552="判定不能"),"判定不能",IF(AM1552&gt;=判定条件!$C$9,"利用可",IF(AND(V1552="停止",M1552="停止"),"両方停止","運転がそろわない")))</f>
        <v>利用可</v>
      </c>
      <c r="AO1552" s="30" t="n">
        <v>0</v>
      </c>
      <c r="AP1552" s="30" t="n">
        <v>0</v>
      </c>
      <c r="AQ1552" s="30" t="str">
        <f aca="false">IF(OR(Y1552="判定不能",G1552="判定不能"),"判定不能",IF(AP1552&gt;=判定条件!$C$9,"利用可",IF(AND(Y1552="停止",G1552="停止"),"両方停止","運転がそろわない")))</f>
        <v>判定不能</v>
      </c>
      <c r="AR1552" s="30" t="n">
        <v>0</v>
      </c>
      <c r="AS1552" s="30" t="n">
        <v>0</v>
      </c>
      <c r="AT1552" s="30" t="str">
        <f aca="false">IF(OR(AB1552="判定不能",J1552="判定不能"),"判定不能",IF(AS1552&gt;=判定条件!$C$9,"利用可",IF(AND(AB1552="停止",J1552="停止"),"両方停止","運転がそろわない")))</f>
        <v>判定不能</v>
      </c>
      <c r="AU1552" s="30" t="n">
        <v>0</v>
      </c>
      <c r="AV1552" s="30" t="n">
        <v>0</v>
      </c>
      <c r="AW1552" s="30" t="str">
        <f aca="false">IF(OR(AE1552="判定不能",M1552="判定不能"),"判定不能",IF(AV1552&gt;=判定条件!$C$9,"利用可",IF(AND(AE1552="停止",M1552="停止"),"両方停止","運転がそろわない")))</f>
        <v>判定不能</v>
      </c>
      <c r="AX1552" s="30" t="str">
        <f aca="false">IF(AND(AH1552="利用可",AK1552="利用可",AN1552="利用可"),"利用可","不可")</f>
        <v>利用可</v>
      </c>
      <c r="AY1552" s="30" t="str">
        <f aca="false">IF(AND(AQ1552="利用可",AT1552="利用可",AW1552="利用可"),"利用可","不可")</f>
        <v>不可</v>
      </c>
    </row>
    <row r="1553" customFormat="false" ht="15" hidden="false" customHeight="false" outlineLevel="0" collapsed="false">
      <c r="A1553" s="29" t="n">
        <v>46296</v>
      </c>
      <c r="B1553" s="30" t="n">
        <v>14</v>
      </c>
      <c r="C1553" s="31" t="s">
        <v>61</v>
      </c>
      <c r="D1553" s="31" t="s">
        <v>59</v>
      </c>
      <c r="E1553" s="30" t="n">
        <v>60</v>
      </c>
      <c r="F1553" s="30" t="n">
        <v>48</v>
      </c>
      <c r="G1553" s="30" t="str">
        <f aca="false">IF(E1553&lt;判定条件!$C$6,"判定不能",IF(F1553&gt;=判定条件!$C$7*E1553,"運転",IF(F1553&lt;=判定条件!$C$8*E1553,"停止","断続")))</f>
        <v>運転</v>
      </c>
      <c r="H1553" s="30" t="n">
        <v>60</v>
      </c>
      <c r="I1553" s="30" t="n">
        <v>60</v>
      </c>
      <c r="J1553" s="30" t="str">
        <f aca="false">IF(H1553&lt;判定条件!$C$6,"判定不能",IF(I1553&gt;=判定条件!$C$7*H1553,"運転",IF(I1553&lt;=判定条件!$C$8*H1553,"停止","断続")))</f>
        <v>運転</v>
      </c>
      <c r="K1553" s="30" t="n">
        <v>60</v>
      </c>
      <c r="L1553" s="30" t="n">
        <v>60</v>
      </c>
      <c r="M1553" s="30" t="str">
        <f aca="false">IF(K1553&lt;判定条件!$C$6,"判定不能",IF(L1553&gt;=判定条件!$C$7*K1553,"運転",IF(L1553&lt;=判定条件!$C$8*K1553,"停止","断続")))</f>
        <v>運転</v>
      </c>
      <c r="N1553" s="30" t="n">
        <v>60</v>
      </c>
      <c r="O1553" s="30" t="n">
        <v>51</v>
      </c>
      <c r="P1553" s="30" t="str">
        <f aca="false">IF(N1553&lt;判定条件!$C$6,"判定不能",IF(O1553&gt;=判定条件!$C$7*N1553,"運転",IF(O1553&lt;=判定条件!$C$8*N1553,"停止","断続")))</f>
        <v>運転</v>
      </c>
      <c r="Q1553" s="30" t="n">
        <v>60</v>
      </c>
      <c r="R1553" s="30" t="n">
        <v>60</v>
      </c>
      <c r="S1553" s="30" t="str">
        <f aca="false">IF(Q1553&lt;判定条件!$C$6,"判定不能",IF(R1553&gt;=判定条件!$C$7*Q1553,"運転",IF(R1553&lt;=判定条件!$C$8*Q1553,"停止","断続")))</f>
        <v>運転</v>
      </c>
      <c r="T1553" s="30" t="n">
        <v>60</v>
      </c>
      <c r="U1553" s="30" t="n">
        <v>60</v>
      </c>
      <c r="V1553" s="30" t="str">
        <f aca="false">IF(T1553&lt;判定条件!$C$6,"判定不能",IF(U1553&gt;=判定条件!$C$7*T1553,"運転",IF(U1553&lt;=判定条件!$C$8*T1553,"停止","断続")))</f>
        <v>運転</v>
      </c>
      <c r="W1553" s="30" t="n">
        <v>0</v>
      </c>
      <c r="X1553" s="30" t="n">
        <v>0</v>
      </c>
      <c r="Y1553" s="30" t="str">
        <f aca="false">IF(W1553&lt;判定条件!$C$6,"判定不能",IF(X1553&gt;=判定条件!$C$7*W1553,"運転",IF(X1553&lt;=判定条件!$C$8*W1553,"停止","断続")))</f>
        <v>判定不能</v>
      </c>
      <c r="Z1553" s="30" t="n">
        <v>0</v>
      </c>
      <c r="AA1553" s="30" t="n">
        <v>0</v>
      </c>
      <c r="AB1553" s="30" t="str">
        <f aca="false">IF(Z1553&lt;判定条件!$C$6,"判定不能",IF(AA1553&gt;=判定条件!$C$7*Z1553,"運転",IF(AA1553&lt;=判定条件!$C$8*Z1553,"停止","断続")))</f>
        <v>判定不能</v>
      </c>
      <c r="AC1553" s="30" t="n">
        <v>0</v>
      </c>
      <c r="AD1553" s="30" t="n">
        <v>0</v>
      </c>
      <c r="AE1553" s="30" t="str">
        <f aca="false">IF(AC1553&lt;判定条件!$C$6,"判定不能",IF(AD1553&gt;=判定条件!$C$7*AC1553,"運転",IF(AD1553&lt;=判定条件!$C$8*AC1553,"停止","断続")))</f>
        <v>判定不能</v>
      </c>
      <c r="AF1553" s="30" t="n">
        <v>60</v>
      </c>
      <c r="AG1553" s="30" t="n">
        <v>46</v>
      </c>
      <c r="AH1553" s="30" t="str">
        <f aca="false">IF(OR(P1553="判定不能",G1553="判定不能"),"判定不能",IF(AG1553&gt;=判定条件!$C$9,"利用可",IF(AND(P1553="停止",G1553="停止"),"両方停止","運転がそろわない")))</f>
        <v>利用可</v>
      </c>
      <c r="AI1553" s="30" t="n">
        <v>60</v>
      </c>
      <c r="AJ1553" s="30" t="n">
        <v>60</v>
      </c>
      <c r="AK1553" s="30" t="str">
        <f aca="false">IF(OR(S1553="判定不能",J1553="判定不能"),"判定不能",IF(AJ1553&gt;=判定条件!$C$9,"利用可",IF(AND(S1553="停止",J1553="停止"),"両方停止","運転がそろわない")))</f>
        <v>利用可</v>
      </c>
      <c r="AL1553" s="30" t="n">
        <v>60</v>
      </c>
      <c r="AM1553" s="30" t="n">
        <v>60</v>
      </c>
      <c r="AN1553" s="30" t="str">
        <f aca="false">IF(OR(V1553="判定不能",M1553="判定不能"),"判定不能",IF(AM1553&gt;=判定条件!$C$9,"利用可",IF(AND(V1553="停止",M1553="停止"),"両方停止","運転がそろわない")))</f>
        <v>利用可</v>
      </c>
      <c r="AO1553" s="30" t="n">
        <v>0</v>
      </c>
      <c r="AP1553" s="30" t="n">
        <v>0</v>
      </c>
      <c r="AQ1553" s="30" t="str">
        <f aca="false">IF(OR(Y1553="判定不能",G1553="判定不能"),"判定不能",IF(AP1553&gt;=判定条件!$C$9,"利用可",IF(AND(Y1553="停止",G1553="停止"),"両方停止","運転がそろわない")))</f>
        <v>判定不能</v>
      </c>
      <c r="AR1553" s="30" t="n">
        <v>0</v>
      </c>
      <c r="AS1553" s="30" t="n">
        <v>0</v>
      </c>
      <c r="AT1553" s="30" t="str">
        <f aca="false">IF(OR(AB1553="判定不能",J1553="判定不能"),"判定不能",IF(AS1553&gt;=判定条件!$C$9,"利用可",IF(AND(AB1553="停止",J1553="停止"),"両方停止","運転がそろわない")))</f>
        <v>判定不能</v>
      </c>
      <c r="AU1553" s="30" t="n">
        <v>0</v>
      </c>
      <c r="AV1553" s="30" t="n">
        <v>0</v>
      </c>
      <c r="AW1553" s="30" t="str">
        <f aca="false">IF(OR(AE1553="判定不能",M1553="判定不能"),"判定不能",IF(AV1553&gt;=判定条件!$C$9,"利用可",IF(AND(AE1553="停止",M1553="停止"),"両方停止","運転がそろわない")))</f>
        <v>判定不能</v>
      </c>
      <c r="AX1553" s="30" t="str">
        <f aca="false">IF(AND(AH1553="利用可",AK1553="利用可",AN1553="利用可"),"利用可","不可")</f>
        <v>利用可</v>
      </c>
      <c r="AY1553" s="30" t="str">
        <f aca="false">IF(AND(AQ1553="利用可",AT1553="利用可",AW1553="利用可"),"利用可","不可")</f>
        <v>不可</v>
      </c>
    </row>
    <row r="1554" customFormat="false" ht="15" hidden="false" customHeight="false" outlineLevel="0" collapsed="false">
      <c r="A1554" s="29" t="n">
        <v>46296</v>
      </c>
      <c r="B1554" s="30" t="n">
        <v>15</v>
      </c>
      <c r="C1554" s="31" t="s">
        <v>61</v>
      </c>
      <c r="D1554" s="31" t="s">
        <v>59</v>
      </c>
      <c r="E1554" s="30" t="n">
        <v>60</v>
      </c>
      <c r="F1554" s="30" t="n">
        <v>60</v>
      </c>
      <c r="G1554" s="30" t="str">
        <f aca="false">IF(E1554&lt;判定条件!$C$6,"判定不能",IF(F1554&gt;=判定条件!$C$7*E1554,"運転",IF(F1554&lt;=判定条件!$C$8*E1554,"停止","断続")))</f>
        <v>運転</v>
      </c>
      <c r="H1554" s="30" t="n">
        <v>60</v>
      </c>
      <c r="I1554" s="30" t="n">
        <v>55</v>
      </c>
      <c r="J1554" s="30" t="str">
        <f aca="false">IF(H1554&lt;判定条件!$C$6,"判定不能",IF(I1554&gt;=判定条件!$C$7*H1554,"運転",IF(I1554&lt;=判定条件!$C$8*H1554,"停止","断続")))</f>
        <v>運転</v>
      </c>
      <c r="K1554" s="30" t="n">
        <v>60</v>
      </c>
      <c r="L1554" s="30" t="n">
        <v>60</v>
      </c>
      <c r="M1554" s="30" t="str">
        <f aca="false">IF(K1554&lt;判定条件!$C$6,"判定不能",IF(L1554&gt;=判定条件!$C$7*K1554,"運転",IF(L1554&lt;=判定条件!$C$8*K1554,"停止","断続")))</f>
        <v>運転</v>
      </c>
      <c r="N1554" s="30" t="n">
        <v>60</v>
      </c>
      <c r="O1554" s="30" t="n">
        <v>60</v>
      </c>
      <c r="P1554" s="30" t="str">
        <f aca="false">IF(N1554&lt;判定条件!$C$6,"判定不能",IF(O1554&gt;=判定条件!$C$7*N1554,"運転",IF(O1554&lt;=判定条件!$C$8*N1554,"停止","断続")))</f>
        <v>運転</v>
      </c>
      <c r="Q1554" s="30" t="n">
        <v>60</v>
      </c>
      <c r="R1554" s="30" t="n">
        <v>60</v>
      </c>
      <c r="S1554" s="30" t="str">
        <f aca="false">IF(Q1554&lt;判定条件!$C$6,"判定不能",IF(R1554&gt;=判定条件!$C$7*Q1554,"運転",IF(R1554&lt;=判定条件!$C$8*Q1554,"停止","断続")))</f>
        <v>運転</v>
      </c>
      <c r="T1554" s="30" t="n">
        <v>60</v>
      </c>
      <c r="U1554" s="30" t="n">
        <v>60</v>
      </c>
      <c r="V1554" s="30" t="str">
        <f aca="false">IF(T1554&lt;判定条件!$C$6,"判定不能",IF(U1554&gt;=判定条件!$C$7*T1554,"運転",IF(U1554&lt;=判定条件!$C$8*T1554,"停止","断続")))</f>
        <v>運転</v>
      </c>
      <c r="W1554" s="30" t="n">
        <v>57</v>
      </c>
      <c r="X1554" s="30" t="n">
        <v>37</v>
      </c>
      <c r="Y1554" s="30" t="str">
        <f aca="false">IF(W1554&lt;判定条件!$C$6,"判定不能",IF(X1554&gt;=判定条件!$C$7*W1554,"運転",IF(X1554&lt;=判定条件!$C$8*W1554,"停止","断続")))</f>
        <v>断続</v>
      </c>
      <c r="Z1554" s="30" t="n">
        <v>57</v>
      </c>
      <c r="AA1554" s="30" t="n">
        <v>38</v>
      </c>
      <c r="AB1554" s="30" t="str">
        <f aca="false">IF(Z1554&lt;判定条件!$C$6,"判定不能",IF(AA1554&gt;=判定条件!$C$7*Z1554,"運転",IF(AA1554&lt;=判定条件!$C$8*Z1554,"停止","断続")))</f>
        <v>断続</v>
      </c>
      <c r="AC1554" s="30" t="n">
        <v>57</v>
      </c>
      <c r="AD1554" s="30" t="n">
        <v>54</v>
      </c>
      <c r="AE1554" s="30" t="str">
        <f aca="false">IF(AC1554&lt;判定条件!$C$6,"判定不能",IF(AD1554&gt;=判定条件!$C$7*AC1554,"運転",IF(AD1554&lt;=判定条件!$C$8*AC1554,"停止","断続")))</f>
        <v>運転</v>
      </c>
      <c r="AF1554" s="30" t="n">
        <v>60</v>
      </c>
      <c r="AG1554" s="30" t="n">
        <v>60</v>
      </c>
      <c r="AH1554" s="30" t="str">
        <f aca="false">IF(OR(P1554="判定不能",G1554="判定不能"),"判定不能",IF(AG1554&gt;=判定条件!$C$9,"利用可",IF(AND(P1554="停止",G1554="停止"),"両方停止","運転がそろわない")))</f>
        <v>利用可</v>
      </c>
      <c r="AI1554" s="30" t="n">
        <v>60</v>
      </c>
      <c r="AJ1554" s="30" t="n">
        <v>55</v>
      </c>
      <c r="AK1554" s="30" t="str">
        <f aca="false">IF(OR(S1554="判定不能",J1554="判定不能"),"判定不能",IF(AJ1554&gt;=判定条件!$C$9,"利用可",IF(AND(S1554="停止",J1554="停止"),"両方停止","運転がそろわない")))</f>
        <v>利用可</v>
      </c>
      <c r="AL1554" s="30" t="n">
        <v>60</v>
      </c>
      <c r="AM1554" s="30" t="n">
        <v>60</v>
      </c>
      <c r="AN1554" s="30" t="str">
        <f aca="false">IF(OR(V1554="判定不能",M1554="判定不能"),"判定不能",IF(AM1554&gt;=判定条件!$C$9,"利用可",IF(AND(V1554="停止",M1554="停止"),"両方停止","運転がそろわない")))</f>
        <v>利用可</v>
      </c>
      <c r="AO1554" s="30" t="n">
        <v>57</v>
      </c>
      <c r="AP1554" s="30" t="n">
        <v>37</v>
      </c>
      <c r="AQ1554" s="30" t="str">
        <f aca="false">IF(OR(Y1554="判定不能",G1554="判定不能"),"判定不能",IF(AP1554&gt;=判定条件!$C$9,"利用可",IF(AND(Y1554="停止",G1554="停止"),"両方停止","運転がそろわない")))</f>
        <v>利用可</v>
      </c>
      <c r="AR1554" s="30" t="n">
        <v>57</v>
      </c>
      <c r="AS1554" s="30" t="n">
        <v>33</v>
      </c>
      <c r="AT1554" s="30" t="str">
        <f aca="false">IF(OR(AB1554="判定不能",J1554="判定不能"),"判定不能",IF(AS1554&gt;=判定条件!$C$9,"利用可",IF(AND(AB1554="停止",J1554="停止"),"両方停止","運転がそろわない")))</f>
        <v>利用可</v>
      </c>
      <c r="AU1554" s="30" t="n">
        <v>57</v>
      </c>
      <c r="AV1554" s="30" t="n">
        <v>54</v>
      </c>
      <c r="AW1554" s="30" t="str">
        <f aca="false">IF(OR(AE1554="判定不能",M1554="判定不能"),"判定不能",IF(AV1554&gt;=判定条件!$C$9,"利用可",IF(AND(AE1554="停止",M1554="停止"),"両方停止","運転がそろわない")))</f>
        <v>利用可</v>
      </c>
      <c r="AX1554" s="30" t="str">
        <f aca="false">IF(AND(AH1554="利用可",AK1554="利用可",AN1554="利用可"),"利用可","不可")</f>
        <v>利用可</v>
      </c>
      <c r="AY1554" s="30" t="str">
        <f aca="false">IF(AND(AQ1554="利用可",AT1554="利用可",AW1554="利用可"),"利用可","不可")</f>
        <v>利用可</v>
      </c>
    </row>
    <row r="1555" customFormat="false" ht="15" hidden="false" customHeight="false" outlineLevel="0" collapsed="false">
      <c r="A1555" s="29" t="n">
        <v>46296</v>
      </c>
      <c r="B1555" s="30" t="n">
        <v>16</v>
      </c>
      <c r="C1555" s="31" t="s">
        <v>61</v>
      </c>
      <c r="D1555" s="31" t="s">
        <v>59</v>
      </c>
      <c r="E1555" s="30" t="n">
        <v>60</v>
      </c>
      <c r="F1555" s="30" t="n">
        <v>60</v>
      </c>
      <c r="G1555" s="30" t="str">
        <f aca="false">IF(E1555&lt;判定条件!$C$6,"判定不能",IF(F1555&gt;=判定条件!$C$7*E1555,"運転",IF(F1555&lt;=判定条件!$C$8*E1555,"停止","断続")))</f>
        <v>運転</v>
      </c>
      <c r="H1555" s="30" t="n">
        <v>60</v>
      </c>
      <c r="I1555" s="30" t="n">
        <v>54</v>
      </c>
      <c r="J1555" s="30" t="str">
        <f aca="false">IF(H1555&lt;判定条件!$C$6,"判定不能",IF(I1555&gt;=判定条件!$C$7*H1555,"運転",IF(I1555&lt;=判定条件!$C$8*H1555,"停止","断続")))</f>
        <v>運転</v>
      </c>
      <c r="K1555" s="30" t="n">
        <v>60</v>
      </c>
      <c r="L1555" s="30" t="n">
        <v>60</v>
      </c>
      <c r="M1555" s="30" t="str">
        <f aca="false">IF(K1555&lt;判定条件!$C$6,"判定不能",IF(L1555&gt;=判定条件!$C$7*K1555,"運転",IF(L1555&lt;=判定条件!$C$8*K1555,"停止","断続")))</f>
        <v>運転</v>
      </c>
      <c r="N1555" s="30" t="n">
        <v>60</v>
      </c>
      <c r="O1555" s="30" t="n">
        <v>48</v>
      </c>
      <c r="P1555" s="30" t="str">
        <f aca="false">IF(N1555&lt;判定条件!$C$6,"判定不能",IF(O1555&gt;=判定条件!$C$7*N1555,"運転",IF(O1555&lt;=判定条件!$C$8*N1555,"停止","断続")))</f>
        <v>運転</v>
      </c>
      <c r="Q1555" s="30" t="n">
        <v>60</v>
      </c>
      <c r="R1555" s="30" t="n">
        <v>60</v>
      </c>
      <c r="S1555" s="30" t="str">
        <f aca="false">IF(Q1555&lt;判定条件!$C$6,"判定不能",IF(R1555&gt;=判定条件!$C$7*Q1555,"運転",IF(R1555&lt;=判定条件!$C$8*Q1555,"停止","断続")))</f>
        <v>運転</v>
      </c>
      <c r="T1555" s="30" t="n">
        <v>60</v>
      </c>
      <c r="U1555" s="30" t="n">
        <v>60</v>
      </c>
      <c r="V1555" s="30" t="str">
        <f aca="false">IF(T1555&lt;判定条件!$C$6,"判定不能",IF(U1555&gt;=判定条件!$C$7*T1555,"運転",IF(U1555&lt;=判定条件!$C$8*T1555,"停止","断続")))</f>
        <v>運転</v>
      </c>
      <c r="W1555" s="30" t="n">
        <v>60</v>
      </c>
      <c r="X1555" s="30" t="n">
        <v>54</v>
      </c>
      <c r="Y1555" s="30" t="str">
        <f aca="false">IF(W1555&lt;判定条件!$C$6,"判定不能",IF(X1555&gt;=判定条件!$C$7*W1555,"運転",IF(X1555&lt;=判定条件!$C$8*W1555,"停止","断続")))</f>
        <v>運転</v>
      </c>
      <c r="Z1555" s="30" t="n">
        <v>60</v>
      </c>
      <c r="AA1555" s="30" t="n">
        <v>60</v>
      </c>
      <c r="AB1555" s="30" t="str">
        <f aca="false">IF(Z1555&lt;判定条件!$C$6,"判定不能",IF(AA1555&gt;=判定条件!$C$7*Z1555,"運転",IF(AA1555&lt;=判定条件!$C$8*Z1555,"停止","断続")))</f>
        <v>運転</v>
      </c>
      <c r="AC1555" s="30" t="n">
        <v>60</v>
      </c>
      <c r="AD1555" s="30" t="n">
        <v>26</v>
      </c>
      <c r="AE1555" s="30" t="str">
        <f aca="false">IF(AC1555&lt;判定条件!$C$6,"判定不能",IF(AD1555&gt;=判定条件!$C$7*AC1555,"運転",IF(AD1555&lt;=判定条件!$C$8*AC1555,"停止","断続")))</f>
        <v>断続</v>
      </c>
      <c r="AF1555" s="30" t="n">
        <v>60</v>
      </c>
      <c r="AG1555" s="30" t="n">
        <v>48</v>
      </c>
      <c r="AH1555" s="30" t="str">
        <f aca="false">IF(OR(P1555="判定不能",G1555="判定不能"),"判定不能",IF(AG1555&gt;=判定条件!$C$9,"利用可",IF(AND(P1555="停止",G1555="停止"),"両方停止","運転がそろわない")))</f>
        <v>利用可</v>
      </c>
      <c r="AI1555" s="30" t="n">
        <v>60</v>
      </c>
      <c r="AJ1555" s="30" t="n">
        <v>54</v>
      </c>
      <c r="AK1555" s="30" t="str">
        <f aca="false">IF(OR(S1555="判定不能",J1555="判定不能"),"判定不能",IF(AJ1555&gt;=判定条件!$C$9,"利用可",IF(AND(S1555="停止",J1555="停止"),"両方停止","運転がそろわない")))</f>
        <v>利用可</v>
      </c>
      <c r="AL1555" s="30" t="n">
        <v>60</v>
      </c>
      <c r="AM1555" s="30" t="n">
        <v>60</v>
      </c>
      <c r="AN1555" s="30" t="str">
        <f aca="false">IF(OR(V1555="判定不能",M1555="判定不能"),"判定不能",IF(AM1555&gt;=判定条件!$C$9,"利用可",IF(AND(V1555="停止",M1555="停止"),"両方停止","運転がそろわない")))</f>
        <v>利用可</v>
      </c>
      <c r="AO1555" s="30" t="n">
        <v>60</v>
      </c>
      <c r="AP1555" s="30" t="n">
        <v>54</v>
      </c>
      <c r="AQ1555" s="30" t="str">
        <f aca="false">IF(OR(Y1555="判定不能",G1555="判定不能"),"判定不能",IF(AP1555&gt;=判定条件!$C$9,"利用可",IF(AND(Y1555="停止",G1555="停止"),"両方停止","運転がそろわない")))</f>
        <v>利用可</v>
      </c>
      <c r="AR1555" s="30" t="n">
        <v>60</v>
      </c>
      <c r="AS1555" s="30" t="n">
        <v>54</v>
      </c>
      <c r="AT1555" s="30" t="str">
        <f aca="false">IF(OR(AB1555="判定不能",J1555="判定不能"),"判定不能",IF(AS1555&gt;=判定条件!$C$9,"利用可",IF(AND(AB1555="停止",J1555="停止"),"両方停止","運転がそろわない")))</f>
        <v>利用可</v>
      </c>
      <c r="AU1555" s="30" t="n">
        <v>60</v>
      </c>
      <c r="AV1555" s="30" t="n">
        <v>26</v>
      </c>
      <c r="AW1555" s="30" t="str">
        <f aca="false">IF(OR(AE1555="判定不能",M1555="判定不能"),"判定不能",IF(AV1555&gt;=判定条件!$C$9,"利用可",IF(AND(AE1555="停止",M1555="停止"),"両方停止","運転がそろわない")))</f>
        <v>運転がそろわない</v>
      </c>
      <c r="AX1555" s="30" t="str">
        <f aca="false">IF(AND(AH1555="利用可",AK1555="利用可",AN1555="利用可"),"利用可","不可")</f>
        <v>利用可</v>
      </c>
      <c r="AY1555" s="30" t="str">
        <f aca="false">IF(AND(AQ1555="利用可",AT1555="利用可",AW1555="利用可"),"利用可","不可")</f>
        <v>不可</v>
      </c>
    </row>
    <row r="1556" customFormat="false" ht="15" hidden="false" customHeight="false" outlineLevel="0" collapsed="false">
      <c r="A1556" s="29" t="n">
        <v>46296</v>
      </c>
      <c r="B1556" s="30" t="n">
        <v>17</v>
      </c>
      <c r="C1556" s="31" t="s">
        <v>61</v>
      </c>
      <c r="D1556" s="31" t="s">
        <v>59</v>
      </c>
      <c r="E1556" s="30" t="n">
        <v>60</v>
      </c>
      <c r="F1556" s="30" t="n">
        <v>60</v>
      </c>
      <c r="G1556" s="30" t="str">
        <f aca="false">IF(E1556&lt;判定条件!$C$6,"判定不能",IF(F1556&gt;=判定条件!$C$7*E1556,"運転",IF(F1556&lt;=判定条件!$C$8*E1556,"停止","断続")))</f>
        <v>運転</v>
      </c>
      <c r="H1556" s="30" t="n">
        <v>60</v>
      </c>
      <c r="I1556" s="30" t="n">
        <v>50</v>
      </c>
      <c r="J1556" s="30" t="str">
        <f aca="false">IF(H1556&lt;判定条件!$C$6,"判定不能",IF(I1556&gt;=判定条件!$C$7*H1556,"運転",IF(I1556&lt;=判定条件!$C$8*H1556,"停止","断続")))</f>
        <v>運転</v>
      </c>
      <c r="K1556" s="30" t="n">
        <v>60</v>
      </c>
      <c r="L1556" s="30" t="n">
        <v>60</v>
      </c>
      <c r="M1556" s="30" t="str">
        <f aca="false">IF(K1556&lt;判定条件!$C$6,"判定不能",IF(L1556&gt;=判定条件!$C$7*K1556,"運転",IF(L1556&lt;=判定条件!$C$8*K1556,"停止","断続")))</f>
        <v>運転</v>
      </c>
      <c r="N1556" s="30" t="n">
        <v>60</v>
      </c>
      <c r="O1556" s="30" t="n">
        <v>60</v>
      </c>
      <c r="P1556" s="30" t="str">
        <f aca="false">IF(N1556&lt;判定条件!$C$6,"判定不能",IF(O1556&gt;=判定条件!$C$7*N1556,"運転",IF(O1556&lt;=判定条件!$C$8*N1556,"停止","断続")))</f>
        <v>運転</v>
      </c>
      <c r="Q1556" s="30" t="n">
        <v>60</v>
      </c>
      <c r="R1556" s="30" t="n">
        <v>60</v>
      </c>
      <c r="S1556" s="30" t="str">
        <f aca="false">IF(Q1556&lt;判定条件!$C$6,"判定不能",IF(R1556&gt;=判定条件!$C$7*Q1556,"運転",IF(R1556&lt;=判定条件!$C$8*Q1556,"停止","断続")))</f>
        <v>運転</v>
      </c>
      <c r="T1556" s="30" t="n">
        <v>60</v>
      </c>
      <c r="U1556" s="30" t="n">
        <v>41</v>
      </c>
      <c r="V1556" s="30" t="str">
        <f aca="false">IF(T1556&lt;判定条件!$C$6,"判定不能",IF(U1556&gt;=判定条件!$C$7*T1556,"運転",IF(U1556&lt;=判定条件!$C$8*T1556,"停止","断続")))</f>
        <v>断続</v>
      </c>
      <c r="W1556" s="30" t="n">
        <v>60</v>
      </c>
      <c r="X1556" s="30" t="n">
        <v>37</v>
      </c>
      <c r="Y1556" s="30" t="str">
        <f aca="false">IF(W1556&lt;判定条件!$C$6,"判定不能",IF(X1556&gt;=判定条件!$C$7*W1556,"運転",IF(X1556&lt;=判定条件!$C$8*W1556,"停止","断続")))</f>
        <v>断続</v>
      </c>
      <c r="Z1556" s="30" t="n">
        <v>60</v>
      </c>
      <c r="AA1556" s="30" t="n">
        <v>60</v>
      </c>
      <c r="AB1556" s="30" t="str">
        <f aca="false">IF(Z1556&lt;判定条件!$C$6,"判定不能",IF(AA1556&gt;=判定条件!$C$7*Z1556,"運転",IF(AA1556&lt;=判定条件!$C$8*Z1556,"停止","断続")))</f>
        <v>運転</v>
      </c>
      <c r="AC1556" s="30" t="n">
        <v>60</v>
      </c>
      <c r="AD1556" s="30" t="n">
        <v>34</v>
      </c>
      <c r="AE1556" s="30" t="str">
        <f aca="false">IF(AC1556&lt;判定条件!$C$6,"判定不能",IF(AD1556&gt;=判定条件!$C$7*AC1556,"運転",IF(AD1556&lt;=判定条件!$C$8*AC1556,"停止","断続")))</f>
        <v>断続</v>
      </c>
      <c r="AF1556" s="30" t="n">
        <v>60</v>
      </c>
      <c r="AG1556" s="30" t="n">
        <v>60</v>
      </c>
      <c r="AH1556" s="30" t="str">
        <f aca="false">IF(OR(P1556="判定不能",G1556="判定不能"),"判定不能",IF(AG1556&gt;=判定条件!$C$9,"利用可",IF(AND(P1556="停止",G1556="停止"),"両方停止","運転がそろわない")))</f>
        <v>利用可</v>
      </c>
      <c r="AI1556" s="30" t="n">
        <v>60</v>
      </c>
      <c r="AJ1556" s="30" t="n">
        <v>50</v>
      </c>
      <c r="AK1556" s="30" t="str">
        <f aca="false">IF(OR(S1556="判定不能",J1556="判定不能"),"判定不能",IF(AJ1556&gt;=判定条件!$C$9,"利用可",IF(AND(S1556="停止",J1556="停止"),"両方停止","運転がそろわない")))</f>
        <v>利用可</v>
      </c>
      <c r="AL1556" s="30" t="n">
        <v>60</v>
      </c>
      <c r="AM1556" s="30" t="n">
        <v>41</v>
      </c>
      <c r="AN1556" s="30" t="str">
        <f aca="false">IF(OR(V1556="判定不能",M1556="判定不能"),"判定不能",IF(AM1556&gt;=判定条件!$C$9,"利用可",IF(AND(V1556="停止",M1556="停止"),"両方停止","運転がそろわない")))</f>
        <v>利用可</v>
      </c>
      <c r="AO1556" s="30" t="n">
        <v>60</v>
      </c>
      <c r="AP1556" s="30" t="n">
        <v>37</v>
      </c>
      <c r="AQ1556" s="30" t="str">
        <f aca="false">IF(OR(Y1556="判定不能",G1556="判定不能"),"判定不能",IF(AP1556&gt;=判定条件!$C$9,"利用可",IF(AND(Y1556="停止",G1556="停止"),"両方停止","運転がそろわない")))</f>
        <v>利用可</v>
      </c>
      <c r="AR1556" s="30" t="n">
        <v>60</v>
      </c>
      <c r="AS1556" s="30" t="n">
        <v>50</v>
      </c>
      <c r="AT1556" s="30" t="str">
        <f aca="false">IF(OR(AB1556="判定不能",J1556="判定不能"),"判定不能",IF(AS1556&gt;=判定条件!$C$9,"利用可",IF(AND(AB1556="停止",J1556="停止"),"両方停止","運転がそろわない")))</f>
        <v>利用可</v>
      </c>
      <c r="AU1556" s="30" t="n">
        <v>60</v>
      </c>
      <c r="AV1556" s="30" t="n">
        <v>34</v>
      </c>
      <c r="AW1556" s="30" t="str">
        <f aca="false">IF(OR(AE1556="判定不能",M1556="判定不能"),"判定不能",IF(AV1556&gt;=判定条件!$C$9,"利用可",IF(AND(AE1556="停止",M1556="停止"),"両方停止","運転がそろわない")))</f>
        <v>利用可</v>
      </c>
      <c r="AX1556" s="30" t="str">
        <f aca="false">IF(AND(AH1556="利用可",AK1556="利用可",AN1556="利用可"),"利用可","不可")</f>
        <v>利用可</v>
      </c>
      <c r="AY1556" s="30" t="str">
        <f aca="false">IF(AND(AQ1556="利用可",AT1556="利用可",AW1556="利用可"),"利用可","不可")</f>
        <v>利用可</v>
      </c>
    </row>
    <row r="1557" customFormat="false" ht="15" hidden="false" customHeight="false" outlineLevel="0" collapsed="false">
      <c r="A1557" s="29" t="n">
        <v>46296</v>
      </c>
      <c r="B1557" s="30" t="n">
        <v>18</v>
      </c>
      <c r="C1557" s="31" t="s">
        <v>61</v>
      </c>
      <c r="D1557" s="31" t="s">
        <v>59</v>
      </c>
      <c r="E1557" s="30" t="n">
        <v>60</v>
      </c>
      <c r="F1557" s="30" t="n">
        <v>60</v>
      </c>
      <c r="G1557" s="30" t="str">
        <f aca="false">IF(E1557&lt;判定条件!$C$6,"判定不能",IF(F1557&gt;=判定条件!$C$7*E1557,"運転",IF(F1557&lt;=判定条件!$C$8*E1557,"停止","断続")))</f>
        <v>運転</v>
      </c>
      <c r="H1557" s="30" t="n">
        <v>60</v>
      </c>
      <c r="I1557" s="30" t="n">
        <v>60</v>
      </c>
      <c r="J1557" s="30" t="str">
        <f aca="false">IF(H1557&lt;判定条件!$C$6,"判定不能",IF(I1557&gt;=判定条件!$C$7*H1557,"運転",IF(I1557&lt;=判定条件!$C$8*H1557,"停止","断続")))</f>
        <v>運転</v>
      </c>
      <c r="K1557" s="30" t="n">
        <v>60</v>
      </c>
      <c r="L1557" s="30" t="n">
        <v>60</v>
      </c>
      <c r="M1557" s="30" t="str">
        <f aca="false">IF(K1557&lt;判定条件!$C$6,"判定不能",IF(L1557&gt;=判定条件!$C$7*K1557,"運転",IF(L1557&lt;=判定条件!$C$8*K1557,"停止","断続")))</f>
        <v>運転</v>
      </c>
      <c r="N1557" s="30" t="n">
        <v>60</v>
      </c>
      <c r="O1557" s="30" t="n">
        <v>21</v>
      </c>
      <c r="P1557" s="30" t="str">
        <f aca="false">IF(N1557&lt;判定条件!$C$6,"判定不能",IF(O1557&gt;=判定条件!$C$7*N1557,"運転",IF(O1557&lt;=判定条件!$C$8*N1557,"停止","断続")))</f>
        <v>断続</v>
      </c>
      <c r="Q1557" s="30" t="n">
        <v>60</v>
      </c>
      <c r="R1557" s="30" t="n">
        <v>3</v>
      </c>
      <c r="S1557" s="30" t="str">
        <f aca="false">IF(Q1557&lt;判定条件!$C$6,"判定不能",IF(R1557&gt;=判定条件!$C$7*Q1557,"運転",IF(R1557&lt;=判定条件!$C$8*Q1557,"停止","断続")))</f>
        <v>停止</v>
      </c>
      <c r="T1557" s="30" t="n">
        <v>60</v>
      </c>
      <c r="U1557" s="30" t="n">
        <v>2</v>
      </c>
      <c r="V1557" s="30" t="str">
        <f aca="false">IF(T1557&lt;判定条件!$C$6,"判定不能",IF(U1557&gt;=判定条件!$C$7*T1557,"運転",IF(U1557&lt;=判定条件!$C$8*T1557,"停止","断続")))</f>
        <v>停止</v>
      </c>
      <c r="W1557" s="30" t="n">
        <v>60</v>
      </c>
      <c r="X1557" s="30" t="n">
        <v>47</v>
      </c>
      <c r="Y1557" s="30" t="str">
        <f aca="false">IF(W1557&lt;判定条件!$C$6,"判定不能",IF(X1557&gt;=判定条件!$C$7*W1557,"運転",IF(X1557&lt;=判定条件!$C$8*W1557,"停止","断続")))</f>
        <v>断続</v>
      </c>
      <c r="Z1557" s="30" t="n">
        <v>60</v>
      </c>
      <c r="AA1557" s="30" t="n">
        <v>30</v>
      </c>
      <c r="AB1557" s="30" t="str">
        <f aca="false">IF(Z1557&lt;判定条件!$C$6,"判定不能",IF(AA1557&gt;=判定条件!$C$7*Z1557,"運転",IF(AA1557&lt;=判定条件!$C$8*Z1557,"停止","断続")))</f>
        <v>断続</v>
      </c>
      <c r="AC1557" s="30" t="n">
        <v>60</v>
      </c>
      <c r="AD1557" s="30" t="n">
        <v>21</v>
      </c>
      <c r="AE1557" s="30" t="str">
        <f aca="false">IF(AC1557&lt;判定条件!$C$6,"判定不能",IF(AD1557&gt;=判定条件!$C$7*AC1557,"運転",IF(AD1557&lt;=判定条件!$C$8*AC1557,"停止","断続")))</f>
        <v>断続</v>
      </c>
      <c r="AF1557" s="30" t="n">
        <v>60</v>
      </c>
      <c r="AG1557" s="30" t="n">
        <v>21</v>
      </c>
      <c r="AH1557" s="30" t="str">
        <f aca="false">IF(OR(P1557="判定不能",G1557="判定不能"),"判定不能",IF(AG1557&gt;=判定条件!$C$9,"利用可",IF(AND(P1557="停止",G1557="停止"),"両方停止","運転がそろわない")))</f>
        <v>運転がそろわない</v>
      </c>
      <c r="AI1557" s="30" t="n">
        <v>60</v>
      </c>
      <c r="AJ1557" s="30" t="n">
        <v>3</v>
      </c>
      <c r="AK1557" s="30" t="str">
        <f aca="false">IF(OR(S1557="判定不能",J1557="判定不能"),"判定不能",IF(AJ1557&gt;=判定条件!$C$9,"利用可",IF(AND(S1557="停止",J1557="停止"),"両方停止","運転がそろわない")))</f>
        <v>運転がそろわない</v>
      </c>
      <c r="AL1557" s="30" t="n">
        <v>60</v>
      </c>
      <c r="AM1557" s="30" t="n">
        <v>2</v>
      </c>
      <c r="AN1557" s="30" t="str">
        <f aca="false">IF(OR(V1557="判定不能",M1557="判定不能"),"判定不能",IF(AM1557&gt;=判定条件!$C$9,"利用可",IF(AND(V1557="停止",M1557="停止"),"両方停止","運転がそろわない")))</f>
        <v>運転がそろわない</v>
      </c>
      <c r="AO1557" s="30" t="n">
        <v>60</v>
      </c>
      <c r="AP1557" s="30" t="n">
        <v>47</v>
      </c>
      <c r="AQ1557" s="30" t="str">
        <f aca="false">IF(OR(Y1557="判定不能",G1557="判定不能"),"判定不能",IF(AP1557&gt;=判定条件!$C$9,"利用可",IF(AND(Y1557="停止",G1557="停止"),"両方停止","運転がそろわない")))</f>
        <v>利用可</v>
      </c>
      <c r="AR1557" s="30" t="n">
        <v>60</v>
      </c>
      <c r="AS1557" s="30" t="n">
        <v>30</v>
      </c>
      <c r="AT1557" s="30" t="str">
        <f aca="false">IF(OR(AB1557="判定不能",J1557="判定不能"),"判定不能",IF(AS1557&gt;=判定条件!$C$9,"利用可",IF(AND(AB1557="停止",J1557="停止"),"両方停止","運転がそろわない")))</f>
        <v>利用可</v>
      </c>
      <c r="AU1557" s="30" t="n">
        <v>60</v>
      </c>
      <c r="AV1557" s="30" t="n">
        <v>21</v>
      </c>
      <c r="AW1557" s="30" t="str">
        <f aca="false">IF(OR(AE1557="判定不能",M1557="判定不能"),"判定不能",IF(AV1557&gt;=判定条件!$C$9,"利用可",IF(AND(AE1557="停止",M1557="停止"),"両方停止","運転がそろわない")))</f>
        <v>運転がそろわない</v>
      </c>
      <c r="AX1557" s="30" t="str">
        <f aca="false">IF(AND(AH1557="利用可",AK1557="利用可",AN1557="利用可"),"利用可","不可")</f>
        <v>不可</v>
      </c>
      <c r="AY1557" s="30" t="str">
        <f aca="false">IF(AND(AQ1557="利用可",AT1557="利用可",AW1557="利用可"),"利用可","不可")</f>
        <v>不可</v>
      </c>
    </row>
    <row r="1558" customFormat="false" ht="15" hidden="false" customHeight="false" outlineLevel="0" collapsed="false">
      <c r="A1558" s="29" t="n">
        <v>46296</v>
      </c>
      <c r="B1558" s="30" t="n">
        <v>19</v>
      </c>
      <c r="C1558" s="31" t="s">
        <v>61</v>
      </c>
      <c r="D1558" s="31" t="s">
        <v>59</v>
      </c>
      <c r="E1558" s="30" t="n">
        <v>60</v>
      </c>
      <c r="F1558" s="30" t="n">
        <v>47</v>
      </c>
      <c r="G1558" s="30" t="str">
        <f aca="false">IF(E1558&lt;判定条件!$C$6,"判定不能",IF(F1558&gt;=判定条件!$C$7*E1558,"運転",IF(F1558&lt;=判定条件!$C$8*E1558,"停止","断続")))</f>
        <v>断続</v>
      </c>
      <c r="H1558" s="30" t="n">
        <v>60</v>
      </c>
      <c r="I1558" s="30" t="n">
        <v>44</v>
      </c>
      <c r="J1558" s="30" t="str">
        <f aca="false">IF(H1558&lt;判定条件!$C$6,"判定不能",IF(I1558&gt;=判定条件!$C$7*H1558,"運転",IF(I1558&lt;=判定条件!$C$8*H1558,"停止","断続")))</f>
        <v>断続</v>
      </c>
      <c r="K1558" s="30" t="n">
        <v>60</v>
      </c>
      <c r="L1558" s="30" t="n">
        <v>60</v>
      </c>
      <c r="M1558" s="30" t="str">
        <f aca="false">IF(K1558&lt;判定条件!$C$6,"判定不能",IF(L1558&gt;=判定条件!$C$7*K1558,"運転",IF(L1558&lt;=判定条件!$C$8*K1558,"停止","断続")))</f>
        <v>運転</v>
      </c>
      <c r="N1558" s="30" t="n">
        <v>60</v>
      </c>
      <c r="O1558" s="30" t="n">
        <v>40</v>
      </c>
      <c r="P1558" s="30" t="str">
        <f aca="false">IF(N1558&lt;判定条件!$C$6,"判定不能",IF(O1558&gt;=判定条件!$C$7*N1558,"運転",IF(O1558&lt;=判定条件!$C$8*N1558,"停止","断続")))</f>
        <v>断続</v>
      </c>
      <c r="Q1558" s="30" t="n">
        <v>60</v>
      </c>
      <c r="R1558" s="30" t="n">
        <v>0</v>
      </c>
      <c r="S1558" s="30" t="str">
        <f aca="false">IF(Q1558&lt;判定条件!$C$6,"判定不能",IF(R1558&gt;=判定条件!$C$7*Q1558,"運転",IF(R1558&lt;=判定条件!$C$8*Q1558,"停止","断続")))</f>
        <v>停止</v>
      </c>
      <c r="T1558" s="30" t="n">
        <v>60</v>
      </c>
      <c r="U1558" s="30" t="n">
        <v>0</v>
      </c>
      <c r="V1558" s="30" t="str">
        <f aca="false">IF(T1558&lt;判定条件!$C$6,"判定不能",IF(U1558&gt;=判定条件!$C$7*T1558,"運転",IF(U1558&lt;=判定条件!$C$8*T1558,"停止","断続")))</f>
        <v>停止</v>
      </c>
      <c r="W1558" s="30" t="n">
        <v>60</v>
      </c>
      <c r="X1558" s="30" t="n">
        <v>0</v>
      </c>
      <c r="Y1558" s="30" t="str">
        <f aca="false">IF(W1558&lt;判定条件!$C$6,"判定不能",IF(X1558&gt;=判定条件!$C$7*W1558,"運転",IF(X1558&lt;=判定条件!$C$8*W1558,"停止","断続")))</f>
        <v>停止</v>
      </c>
      <c r="Z1558" s="30" t="n">
        <v>60</v>
      </c>
      <c r="AA1558" s="30" t="n">
        <v>3</v>
      </c>
      <c r="AB1558" s="30" t="str">
        <f aca="false">IF(Z1558&lt;判定条件!$C$6,"判定不能",IF(AA1558&gt;=判定条件!$C$7*Z1558,"運転",IF(AA1558&lt;=判定条件!$C$8*Z1558,"停止","断続")))</f>
        <v>停止</v>
      </c>
      <c r="AC1558" s="30" t="n">
        <v>60</v>
      </c>
      <c r="AD1558" s="30" t="n">
        <v>6</v>
      </c>
      <c r="AE1558" s="30" t="str">
        <f aca="false">IF(AC1558&lt;判定条件!$C$6,"判定不能",IF(AD1558&gt;=判定条件!$C$7*AC1558,"運転",IF(AD1558&lt;=判定条件!$C$8*AC1558,"停止","断続")))</f>
        <v>停止</v>
      </c>
      <c r="AF1558" s="30" t="n">
        <v>60</v>
      </c>
      <c r="AG1558" s="30" t="n">
        <v>28</v>
      </c>
      <c r="AH1558" s="30" t="str">
        <f aca="false">IF(OR(P1558="判定不能",G1558="判定不能"),"判定不能",IF(AG1558&gt;=判定条件!$C$9,"利用可",IF(AND(P1558="停止",G1558="停止"),"両方停止","運転がそろわない")))</f>
        <v>運転がそろわない</v>
      </c>
      <c r="AI1558" s="30" t="n">
        <v>60</v>
      </c>
      <c r="AJ1558" s="30" t="n">
        <v>0</v>
      </c>
      <c r="AK1558" s="30" t="str">
        <f aca="false">IF(OR(S1558="判定不能",J1558="判定不能"),"判定不能",IF(AJ1558&gt;=判定条件!$C$9,"利用可",IF(AND(S1558="停止",J1558="停止"),"両方停止","運転がそろわない")))</f>
        <v>運転がそろわない</v>
      </c>
      <c r="AL1558" s="30" t="n">
        <v>60</v>
      </c>
      <c r="AM1558" s="30" t="n">
        <v>0</v>
      </c>
      <c r="AN1558" s="30" t="str">
        <f aca="false">IF(OR(V1558="判定不能",M1558="判定不能"),"判定不能",IF(AM1558&gt;=判定条件!$C$9,"利用可",IF(AND(V1558="停止",M1558="停止"),"両方停止","運転がそろわない")))</f>
        <v>運転がそろわない</v>
      </c>
      <c r="AO1558" s="30" t="n">
        <v>60</v>
      </c>
      <c r="AP1558" s="30" t="n">
        <v>0</v>
      </c>
      <c r="AQ1558" s="30" t="str">
        <f aca="false">IF(OR(Y1558="判定不能",G1558="判定不能"),"判定不能",IF(AP1558&gt;=判定条件!$C$9,"利用可",IF(AND(Y1558="停止",G1558="停止"),"両方停止","運転がそろわない")))</f>
        <v>運転がそろわない</v>
      </c>
      <c r="AR1558" s="30" t="n">
        <v>60</v>
      </c>
      <c r="AS1558" s="30" t="n">
        <v>3</v>
      </c>
      <c r="AT1558" s="30" t="str">
        <f aca="false">IF(OR(AB1558="判定不能",J1558="判定不能"),"判定不能",IF(AS1558&gt;=判定条件!$C$9,"利用可",IF(AND(AB1558="停止",J1558="停止"),"両方停止","運転がそろわない")))</f>
        <v>運転がそろわない</v>
      </c>
      <c r="AU1558" s="30" t="n">
        <v>60</v>
      </c>
      <c r="AV1558" s="30" t="n">
        <v>6</v>
      </c>
      <c r="AW1558" s="30" t="str">
        <f aca="false">IF(OR(AE1558="判定不能",M1558="判定不能"),"判定不能",IF(AV1558&gt;=判定条件!$C$9,"利用可",IF(AND(AE1558="停止",M1558="停止"),"両方停止","運転がそろわない")))</f>
        <v>運転がそろわない</v>
      </c>
      <c r="AX1558" s="30" t="str">
        <f aca="false">IF(AND(AH1558="利用可",AK1558="利用可",AN1558="利用可"),"利用可","不可")</f>
        <v>不可</v>
      </c>
      <c r="AY1558" s="30" t="str">
        <f aca="false">IF(AND(AQ1558="利用可",AT1558="利用可",AW1558="利用可"),"利用可","不可")</f>
        <v>不可</v>
      </c>
    </row>
    <row r="1559" customFormat="false" ht="15" hidden="false" customHeight="false" outlineLevel="0" collapsed="false">
      <c r="A1559" s="29" t="n">
        <v>46296</v>
      </c>
      <c r="B1559" s="30" t="n">
        <v>20</v>
      </c>
      <c r="C1559" s="31" t="s">
        <v>61</v>
      </c>
      <c r="D1559" s="31" t="s">
        <v>59</v>
      </c>
      <c r="E1559" s="30" t="n">
        <v>60</v>
      </c>
      <c r="F1559" s="30" t="n">
        <v>45</v>
      </c>
      <c r="G1559" s="30" t="str">
        <f aca="false">IF(E1559&lt;判定条件!$C$6,"判定不能",IF(F1559&gt;=判定条件!$C$7*E1559,"運転",IF(F1559&lt;=判定条件!$C$8*E1559,"停止","断続")))</f>
        <v>断続</v>
      </c>
      <c r="H1559" s="30" t="n">
        <v>60</v>
      </c>
      <c r="I1559" s="30" t="n">
        <v>45</v>
      </c>
      <c r="J1559" s="30" t="str">
        <f aca="false">IF(H1559&lt;判定条件!$C$6,"判定不能",IF(I1559&gt;=判定条件!$C$7*H1559,"運転",IF(I1559&lt;=判定条件!$C$8*H1559,"停止","断続")))</f>
        <v>断続</v>
      </c>
      <c r="K1559" s="30" t="n">
        <v>60</v>
      </c>
      <c r="L1559" s="30" t="n">
        <v>46</v>
      </c>
      <c r="M1559" s="30" t="str">
        <f aca="false">IF(K1559&lt;判定条件!$C$6,"判定不能",IF(L1559&gt;=判定条件!$C$7*K1559,"運転",IF(L1559&lt;=判定条件!$C$8*K1559,"停止","断続")))</f>
        <v>断続</v>
      </c>
      <c r="N1559" s="30" t="n">
        <v>60</v>
      </c>
      <c r="O1559" s="30" t="n">
        <v>0</v>
      </c>
      <c r="P1559" s="30" t="str">
        <f aca="false">IF(N1559&lt;判定条件!$C$6,"判定不能",IF(O1559&gt;=判定条件!$C$7*N1559,"運転",IF(O1559&lt;=判定条件!$C$8*N1559,"停止","断続")))</f>
        <v>停止</v>
      </c>
      <c r="Q1559" s="30" t="n">
        <v>60</v>
      </c>
      <c r="R1559" s="30" t="n">
        <v>0</v>
      </c>
      <c r="S1559" s="30" t="str">
        <f aca="false">IF(Q1559&lt;判定条件!$C$6,"判定不能",IF(R1559&gt;=判定条件!$C$7*Q1559,"運転",IF(R1559&lt;=判定条件!$C$8*Q1559,"停止","断続")))</f>
        <v>停止</v>
      </c>
      <c r="T1559" s="30" t="n">
        <v>60</v>
      </c>
      <c r="U1559" s="30" t="n">
        <v>0</v>
      </c>
      <c r="V1559" s="30" t="str">
        <f aca="false">IF(T1559&lt;判定条件!$C$6,"判定不能",IF(U1559&gt;=判定条件!$C$7*T1559,"運転",IF(U1559&lt;=判定条件!$C$8*T1559,"停止","断続")))</f>
        <v>停止</v>
      </c>
      <c r="W1559" s="30" t="n">
        <v>60</v>
      </c>
      <c r="X1559" s="30" t="n">
        <v>39</v>
      </c>
      <c r="Y1559" s="30" t="str">
        <f aca="false">IF(W1559&lt;判定条件!$C$6,"判定不能",IF(X1559&gt;=判定条件!$C$7*W1559,"運転",IF(X1559&lt;=判定条件!$C$8*W1559,"停止","断続")))</f>
        <v>断続</v>
      </c>
      <c r="Z1559" s="30" t="n">
        <v>60</v>
      </c>
      <c r="AA1559" s="30" t="n">
        <v>4</v>
      </c>
      <c r="AB1559" s="30" t="str">
        <f aca="false">IF(Z1559&lt;判定条件!$C$6,"判定不能",IF(AA1559&gt;=判定条件!$C$7*Z1559,"運転",IF(AA1559&lt;=判定条件!$C$8*Z1559,"停止","断続")))</f>
        <v>停止</v>
      </c>
      <c r="AC1559" s="30" t="n">
        <v>60</v>
      </c>
      <c r="AD1559" s="30" t="n">
        <v>0</v>
      </c>
      <c r="AE1559" s="30" t="str">
        <f aca="false">IF(AC1559&lt;判定条件!$C$6,"判定不能",IF(AD1559&gt;=判定条件!$C$7*AC1559,"運転",IF(AD1559&lt;=判定条件!$C$8*AC1559,"停止","断続")))</f>
        <v>停止</v>
      </c>
      <c r="AF1559" s="30" t="n">
        <v>60</v>
      </c>
      <c r="AG1559" s="30" t="n">
        <v>0</v>
      </c>
      <c r="AH1559" s="30" t="str">
        <f aca="false">IF(OR(P1559="判定不能",G1559="判定不能"),"判定不能",IF(AG1559&gt;=判定条件!$C$9,"利用可",IF(AND(P1559="停止",G1559="停止"),"両方停止","運転がそろわない")))</f>
        <v>運転がそろわない</v>
      </c>
      <c r="AI1559" s="30" t="n">
        <v>60</v>
      </c>
      <c r="AJ1559" s="30" t="n">
        <v>0</v>
      </c>
      <c r="AK1559" s="30" t="str">
        <f aca="false">IF(OR(S1559="判定不能",J1559="判定不能"),"判定不能",IF(AJ1559&gt;=判定条件!$C$9,"利用可",IF(AND(S1559="停止",J1559="停止"),"両方停止","運転がそろわない")))</f>
        <v>運転がそろわない</v>
      </c>
      <c r="AL1559" s="30" t="n">
        <v>60</v>
      </c>
      <c r="AM1559" s="30" t="n">
        <v>0</v>
      </c>
      <c r="AN1559" s="30" t="str">
        <f aca="false">IF(OR(V1559="判定不能",M1559="判定不能"),"判定不能",IF(AM1559&gt;=判定条件!$C$9,"利用可",IF(AND(V1559="停止",M1559="停止"),"両方停止","運転がそろわない")))</f>
        <v>運転がそろわない</v>
      </c>
      <c r="AO1559" s="30" t="n">
        <v>60</v>
      </c>
      <c r="AP1559" s="30" t="n">
        <v>24</v>
      </c>
      <c r="AQ1559" s="30" t="str">
        <f aca="false">IF(OR(Y1559="判定不能",G1559="判定不能"),"判定不能",IF(AP1559&gt;=判定条件!$C$9,"利用可",IF(AND(Y1559="停止",G1559="停止"),"両方停止","運転がそろわない")))</f>
        <v>運転がそろわない</v>
      </c>
      <c r="AR1559" s="30" t="n">
        <v>60</v>
      </c>
      <c r="AS1559" s="30" t="n">
        <v>4</v>
      </c>
      <c r="AT1559" s="30" t="str">
        <f aca="false">IF(OR(AB1559="判定不能",J1559="判定不能"),"判定不能",IF(AS1559&gt;=判定条件!$C$9,"利用可",IF(AND(AB1559="停止",J1559="停止"),"両方停止","運転がそろわない")))</f>
        <v>運転がそろわない</v>
      </c>
      <c r="AU1559" s="30" t="n">
        <v>60</v>
      </c>
      <c r="AV1559" s="30" t="n">
        <v>0</v>
      </c>
      <c r="AW1559" s="30" t="str">
        <f aca="false">IF(OR(AE1559="判定不能",M1559="判定不能"),"判定不能",IF(AV1559&gt;=判定条件!$C$9,"利用可",IF(AND(AE1559="停止",M1559="停止"),"両方停止","運転がそろわない")))</f>
        <v>運転がそろわない</v>
      </c>
      <c r="AX1559" s="30" t="str">
        <f aca="false">IF(AND(AH1559="利用可",AK1559="利用可",AN1559="利用可"),"利用可","不可")</f>
        <v>不可</v>
      </c>
      <c r="AY1559" s="30" t="str">
        <f aca="false">IF(AND(AQ1559="利用可",AT1559="利用可",AW1559="利用可"),"利用可","不可")</f>
        <v>不可</v>
      </c>
    </row>
    <row r="1560" customFormat="false" ht="15" hidden="false" customHeight="false" outlineLevel="0" collapsed="false">
      <c r="A1560" s="29" t="n">
        <v>46296</v>
      </c>
      <c r="B1560" s="30" t="n">
        <v>21</v>
      </c>
      <c r="C1560" s="31" t="s">
        <v>61</v>
      </c>
      <c r="D1560" s="31" t="s">
        <v>59</v>
      </c>
      <c r="E1560" s="30" t="n">
        <v>60</v>
      </c>
      <c r="F1560" s="30" t="n">
        <v>0</v>
      </c>
      <c r="G1560" s="30" t="str">
        <f aca="false">IF(E1560&lt;判定条件!$C$6,"判定不能",IF(F1560&gt;=判定条件!$C$7*E1560,"運転",IF(F1560&lt;=判定条件!$C$8*E1560,"停止","断続")))</f>
        <v>停止</v>
      </c>
      <c r="H1560" s="30" t="n">
        <v>60</v>
      </c>
      <c r="I1560" s="30" t="n">
        <v>0</v>
      </c>
      <c r="J1560" s="30" t="str">
        <f aca="false">IF(H1560&lt;判定条件!$C$6,"判定不能",IF(I1560&gt;=判定条件!$C$7*H1560,"運転",IF(I1560&lt;=判定条件!$C$8*H1560,"停止","断続")))</f>
        <v>停止</v>
      </c>
      <c r="K1560" s="30" t="n">
        <v>60</v>
      </c>
      <c r="L1560" s="30" t="n">
        <v>0</v>
      </c>
      <c r="M1560" s="30" t="str">
        <f aca="false">IF(K1560&lt;判定条件!$C$6,"判定不能",IF(L1560&gt;=判定条件!$C$7*K1560,"運転",IF(L1560&lt;=判定条件!$C$8*K1560,"停止","断続")))</f>
        <v>停止</v>
      </c>
      <c r="N1560" s="30" t="n">
        <v>60</v>
      </c>
      <c r="O1560" s="30" t="n">
        <v>0</v>
      </c>
      <c r="P1560" s="30" t="str">
        <f aca="false">IF(N1560&lt;判定条件!$C$6,"判定不能",IF(O1560&gt;=判定条件!$C$7*N1560,"運転",IF(O1560&lt;=判定条件!$C$8*N1560,"停止","断続")))</f>
        <v>停止</v>
      </c>
      <c r="Q1560" s="30" t="n">
        <v>60</v>
      </c>
      <c r="R1560" s="30" t="n">
        <v>0</v>
      </c>
      <c r="S1560" s="30" t="str">
        <f aca="false">IF(Q1560&lt;判定条件!$C$6,"判定不能",IF(R1560&gt;=判定条件!$C$7*Q1560,"運転",IF(R1560&lt;=判定条件!$C$8*Q1560,"停止","断続")))</f>
        <v>停止</v>
      </c>
      <c r="T1560" s="30" t="n">
        <v>60</v>
      </c>
      <c r="U1560" s="30" t="n">
        <v>0</v>
      </c>
      <c r="V1560" s="30" t="str">
        <f aca="false">IF(T1560&lt;判定条件!$C$6,"判定不能",IF(U1560&gt;=判定条件!$C$7*T1560,"運転",IF(U1560&lt;=判定条件!$C$8*T1560,"停止","断続")))</f>
        <v>停止</v>
      </c>
      <c r="W1560" s="30" t="n">
        <v>60</v>
      </c>
      <c r="X1560" s="30" t="n">
        <v>8</v>
      </c>
      <c r="Y1560" s="30" t="str">
        <f aca="false">IF(W1560&lt;判定条件!$C$6,"判定不能",IF(X1560&gt;=判定条件!$C$7*W1560,"運転",IF(X1560&lt;=判定条件!$C$8*W1560,"停止","断続")))</f>
        <v>停止</v>
      </c>
      <c r="Z1560" s="30" t="n">
        <v>60</v>
      </c>
      <c r="AA1560" s="30" t="n">
        <v>26</v>
      </c>
      <c r="AB1560" s="30" t="str">
        <f aca="false">IF(Z1560&lt;判定条件!$C$6,"判定不能",IF(AA1560&gt;=判定条件!$C$7*Z1560,"運転",IF(AA1560&lt;=判定条件!$C$8*Z1560,"停止","断続")))</f>
        <v>断続</v>
      </c>
      <c r="AC1560" s="30" t="n">
        <v>60</v>
      </c>
      <c r="AD1560" s="30" t="n">
        <v>0</v>
      </c>
      <c r="AE1560" s="30" t="str">
        <f aca="false">IF(AC1560&lt;判定条件!$C$6,"判定不能",IF(AD1560&gt;=判定条件!$C$7*AC1560,"運転",IF(AD1560&lt;=判定条件!$C$8*AC1560,"停止","断続")))</f>
        <v>停止</v>
      </c>
      <c r="AF1560" s="30" t="n">
        <v>60</v>
      </c>
      <c r="AG1560" s="30" t="n">
        <v>0</v>
      </c>
      <c r="AH1560" s="30" t="str">
        <f aca="false">IF(OR(P1560="判定不能",G1560="判定不能"),"判定不能",IF(AG1560&gt;=判定条件!$C$9,"利用可",IF(AND(P1560="停止",G1560="停止"),"両方停止","運転がそろわない")))</f>
        <v>両方停止</v>
      </c>
      <c r="AI1560" s="30" t="n">
        <v>60</v>
      </c>
      <c r="AJ1560" s="30" t="n">
        <v>0</v>
      </c>
      <c r="AK1560" s="30" t="str">
        <f aca="false">IF(OR(S1560="判定不能",J1560="判定不能"),"判定不能",IF(AJ1560&gt;=判定条件!$C$9,"利用可",IF(AND(S1560="停止",J1560="停止"),"両方停止","運転がそろわない")))</f>
        <v>両方停止</v>
      </c>
      <c r="AL1560" s="30" t="n">
        <v>60</v>
      </c>
      <c r="AM1560" s="30" t="n">
        <v>0</v>
      </c>
      <c r="AN1560" s="30" t="str">
        <f aca="false">IF(OR(V1560="判定不能",M1560="判定不能"),"判定不能",IF(AM1560&gt;=判定条件!$C$9,"利用可",IF(AND(V1560="停止",M1560="停止"),"両方停止","運転がそろわない")))</f>
        <v>両方停止</v>
      </c>
      <c r="AO1560" s="30" t="n">
        <v>60</v>
      </c>
      <c r="AP1560" s="30" t="n">
        <v>0</v>
      </c>
      <c r="AQ1560" s="30" t="str">
        <f aca="false">IF(OR(Y1560="判定不能",G1560="判定不能"),"判定不能",IF(AP1560&gt;=判定条件!$C$9,"利用可",IF(AND(Y1560="停止",G1560="停止"),"両方停止","運転がそろわない")))</f>
        <v>両方停止</v>
      </c>
      <c r="AR1560" s="30" t="n">
        <v>60</v>
      </c>
      <c r="AS1560" s="30" t="n">
        <v>0</v>
      </c>
      <c r="AT1560" s="30" t="str">
        <f aca="false">IF(OR(AB1560="判定不能",J1560="判定不能"),"判定不能",IF(AS1560&gt;=判定条件!$C$9,"利用可",IF(AND(AB1560="停止",J1560="停止"),"両方停止","運転がそろわない")))</f>
        <v>運転がそろわない</v>
      </c>
      <c r="AU1560" s="30" t="n">
        <v>60</v>
      </c>
      <c r="AV1560" s="30" t="n">
        <v>0</v>
      </c>
      <c r="AW1560" s="30" t="str">
        <f aca="false">IF(OR(AE1560="判定不能",M1560="判定不能"),"判定不能",IF(AV1560&gt;=判定条件!$C$9,"利用可",IF(AND(AE1560="停止",M1560="停止"),"両方停止","運転がそろわない")))</f>
        <v>両方停止</v>
      </c>
      <c r="AX1560" s="30" t="str">
        <f aca="false">IF(AND(AH1560="利用可",AK1560="利用可",AN1560="利用可"),"利用可","不可")</f>
        <v>不可</v>
      </c>
      <c r="AY1560" s="30" t="str">
        <f aca="false">IF(AND(AQ1560="利用可",AT1560="利用可",AW1560="利用可"),"利用可","不可")</f>
        <v>不可</v>
      </c>
    </row>
    <row r="1561" customFormat="false" ht="15" hidden="false" customHeight="false" outlineLevel="0" collapsed="false">
      <c r="A1561" s="29" t="n">
        <v>46296</v>
      </c>
      <c r="B1561" s="30" t="n">
        <v>22</v>
      </c>
      <c r="C1561" s="31" t="s">
        <v>61</v>
      </c>
      <c r="D1561" s="31" t="s">
        <v>59</v>
      </c>
      <c r="E1561" s="30" t="n">
        <v>60</v>
      </c>
      <c r="F1561" s="30" t="n">
        <v>0</v>
      </c>
      <c r="G1561" s="30" t="str">
        <f aca="false">IF(E1561&lt;判定条件!$C$6,"判定不能",IF(F1561&gt;=判定条件!$C$7*E1561,"運転",IF(F1561&lt;=判定条件!$C$8*E1561,"停止","断続")))</f>
        <v>停止</v>
      </c>
      <c r="H1561" s="30" t="n">
        <v>60</v>
      </c>
      <c r="I1561" s="30" t="n">
        <v>0</v>
      </c>
      <c r="J1561" s="30" t="str">
        <f aca="false">IF(H1561&lt;判定条件!$C$6,"判定不能",IF(I1561&gt;=判定条件!$C$7*H1561,"運転",IF(I1561&lt;=判定条件!$C$8*H1561,"停止","断続")))</f>
        <v>停止</v>
      </c>
      <c r="K1561" s="30" t="n">
        <v>60</v>
      </c>
      <c r="L1561" s="30" t="n">
        <v>0</v>
      </c>
      <c r="M1561" s="30" t="str">
        <f aca="false">IF(K1561&lt;判定条件!$C$6,"判定不能",IF(L1561&gt;=判定条件!$C$7*K1561,"運転",IF(L1561&lt;=判定条件!$C$8*K1561,"停止","断続")))</f>
        <v>停止</v>
      </c>
      <c r="N1561" s="30" t="n">
        <v>60</v>
      </c>
      <c r="O1561" s="30" t="n">
        <v>0</v>
      </c>
      <c r="P1561" s="30" t="str">
        <f aca="false">IF(N1561&lt;判定条件!$C$6,"判定不能",IF(O1561&gt;=判定条件!$C$7*N1561,"運転",IF(O1561&lt;=判定条件!$C$8*N1561,"停止","断続")))</f>
        <v>停止</v>
      </c>
      <c r="Q1561" s="30" t="n">
        <v>60</v>
      </c>
      <c r="R1561" s="30" t="n">
        <v>0</v>
      </c>
      <c r="S1561" s="30" t="str">
        <f aca="false">IF(Q1561&lt;判定条件!$C$6,"判定不能",IF(R1561&gt;=判定条件!$C$7*Q1561,"運転",IF(R1561&lt;=判定条件!$C$8*Q1561,"停止","断続")))</f>
        <v>停止</v>
      </c>
      <c r="T1561" s="30" t="n">
        <v>60</v>
      </c>
      <c r="U1561" s="30" t="n">
        <v>0</v>
      </c>
      <c r="V1561" s="30" t="str">
        <f aca="false">IF(T1561&lt;判定条件!$C$6,"判定不能",IF(U1561&gt;=判定条件!$C$7*T1561,"運転",IF(U1561&lt;=判定条件!$C$8*T1561,"停止","断続")))</f>
        <v>停止</v>
      </c>
      <c r="W1561" s="30" t="n">
        <v>60</v>
      </c>
      <c r="X1561" s="30" t="n">
        <v>24</v>
      </c>
      <c r="Y1561" s="30" t="str">
        <f aca="false">IF(W1561&lt;判定条件!$C$6,"判定不能",IF(X1561&gt;=判定条件!$C$7*W1561,"運転",IF(X1561&lt;=判定条件!$C$8*W1561,"停止","断続")))</f>
        <v>断続</v>
      </c>
      <c r="Z1561" s="30" t="n">
        <v>60</v>
      </c>
      <c r="AA1561" s="30" t="n">
        <v>20</v>
      </c>
      <c r="AB1561" s="30" t="str">
        <f aca="false">IF(Z1561&lt;判定条件!$C$6,"判定不能",IF(AA1561&gt;=判定条件!$C$7*Z1561,"運転",IF(AA1561&lt;=判定条件!$C$8*Z1561,"停止","断続")))</f>
        <v>断続</v>
      </c>
      <c r="AC1561" s="30" t="n">
        <v>60</v>
      </c>
      <c r="AD1561" s="30" t="n">
        <v>0</v>
      </c>
      <c r="AE1561" s="30" t="str">
        <f aca="false">IF(AC1561&lt;判定条件!$C$6,"判定不能",IF(AD1561&gt;=判定条件!$C$7*AC1561,"運転",IF(AD1561&lt;=判定条件!$C$8*AC1561,"停止","断続")))</f>
        <v>停止</v>
      </c>
      <c r="AF1561" s="30" t="n">
        <v>60</v>
      </c>
      <c r="AG1561" s="30" t="n">
        <v>0</v>
      </c>
      <c r="AH1561" s="30" t="str">
        <f aca="false">IF(OR(P1561="判定不能",G1561="判定不能"),"判定不能",IF(AG1561&gt;=判定条件!$C$9,"利用可",IF(AND(P1561="停止",G1561="停止"),"両方停止","運転がそろわない")))</f>
        <v>両方停止</v>
      </c>
      <c r="AI1561" s="30" t="n">
        <v>60</v>
      </c>
      <c r="AJ1561" s="30" t="n">
        <v>0</v>
      </c>
      <c r="AK1561" s="30" t="str">
        <f aca="false">IF(OR(S1561="判定不能",J1561="判定不能"),"判定不能",IF(AJ1561&gt;=判定条件!$C$9,"利用可",IF(AND(S1561="停止",J1561="停止"),"両方停止","運転がそろわない")))</f>
        <v>両方停止</v>
      </c>
      <c r="AL1561" s="30" t="n">
        <v>60</v>
      </c>
      <c r="AM1561" s="30" t="n">
        <v>0</v>
      </c>
      <c r="AN1561" s="30" t="str">
        <f aca="false">IF(OR(V1561="判定不能",M1561="判定不能"),"判定不能",IF(AM1561&gt;=判定条件!$C$9,"利用可",IF(AND(V1561="停止",M1561="停止"),"両方停止","運転がそろわない")))</f>
        <v>両方停止</v>
      </c>
      <c r="AO1561" s="30" t="n">
        <v>60</v>
      </c>
      <c r="AP1561" s="30" t="n">
        <v>0</v>
      </c>
      <c r="AQ1561" s="30" t="str">
        <f aca="false">IF(OR(Y1561="判定不能",G1561="判定不能"),"判定不能",IF(AP1561&gt;=判定条件!$C$9,"利用可",IF(AND(Y1561="停止",G1561="停止"),"両方停止","運転がそろわない")))</f>
        <v>運転がそろわない</v>
      </c>
      <c r="AR1561" s="30" t="n">
        <v>60</v>
      </c>
      <c r="AS1561" s="30" t="n">
        <v>0</v>
      </c>
      <c r="AT1561" s="30" t="str">
        <f aca="false">IF(OR(AB1561="判定不能",J1561="判定不能"),"判定不能",IF(AS1561&gt;=判定条件!$C$9,"利用可",IF(AND(AB1561="停止",J1561="停止"),"両方停止","運転がそろわない")))</f>
        <v>運転がそろわない</v>
      </c>
      <c r="AU1561" s="30" t="n">
        <v>60</v>
      </c>
      <c r="AV1561" s="30" t="n">
        <v>0</v>
      </c>
      <c r="AW1561" s="30" t="str">
        <f aca="false">IF(OR(AE1561="判定不能",M1561="判定不能"),"判定不能",IF(AV1561&gt;=判定条件!$C$9,"利用可",IF(AND(AE1561="停止",M1561="停止"),"両方停止","運転がそろわない")))</f>
        <v>両方停止</v>
      </c>
      <c r="AX1561" s="30" t="str">
        <f aca="false">IF(AND(AH1561="利用可",AK1561="利用可",AN1561="利用可"),"利用可","不可")</f>
        <v>不可</v>
      </c>
      <c r="AY1561" s="30" t="str">
        <f aca="false">IF(AND(AQ1561="利用可",AT1561="利用可",AW1561="利用可"),"利用可","不可")</f>
        <v>不可</v>
      </c>
    </row>
    <row r="1562" customFormat="false" ht="15" hidden="false" customHeight="false" outlineLevel="0" collapsed="false">
      <c r="A1562" s="29" t="n">
        <v>46296</v>
      </c>
      <c r="B1562" s="30" t="n">
        <v>23</v>
      </c>
      <c r="C1562" s="31" t="s">
        <v>61</v>
      </c>
      <c r="D1562" s="31" t="s">
        <v>59</v>
      </c>
      <c r="E1562" s="30" t="n">
        <v>60</v>
      </c>
      <c r="F1562" s="30" t="n">
        <v>0</v>
      </c>
      <c r="G1562" s="30" t="str">
        <f aca="false">IF(E1562&lt;判定条件!$C$6,"判定不能",IF(F1562&gt;=判定条件!$C$7*E1562,"運転",IF(F1562&lt;=判定条件!$C$8*E1562,"停止","断続")))</f>
        <v>停止</v>
      </c>
      <c r="H1562" s="30" t="n">
        <v>60</v>
      </c>
      <c r="I1562" s="30" t="n">
        <v>0</v>
      </c>
      <c r="J1562" s="30" t="str">
        <f aca="false">IF(H1562&lt;判定条件!$C$6,"判定不能",IF(I1562&gt;=判定条件!$C$7*H1562,"運転",IF(I1562&lt;=判定条件!$C$8*H1562,"停止","断続")))</f>
        <v>停止</v>
      </c>
      <c r="K1562" s="30" t="n">
        <v>60</v>
      </c>
      <c r="L1562" s="30" t="n">
        <v>0</v>
      </c>
      <c r="M1562" s="30" t="str">
        <f aca="false">IF(K1562&lt;判定条件!$C$6,"判定不能",IF(L1562&gt;=判定条件!$C$7*K1562,"運転",IF(L1562&lt;=判定条件!$C$8*K1562,"停止","断続")))</f>
        <v>停止</v>
      </c>
      <c r="N1562" s="30" t="n">
        <v>60</v>
      </c>
      <c r="O1562" s="30" t="n">
        <v>0</v>
      </c>
      <c r="P1562" s="30" t="str">
        <f aca="false">IF(N1562&lt;判定条件!$C$6,"判定不能",IF(O1562&gt;=判定条件!$C$7*N1562,"運転",IF(O1562&lt;=判定条件!$C$8*N1562,"停止","断続")))</f>
        <v>停止</v>
      </c>
      <c r="Q1562" s="30" t="n">
        <v>60</v>
      </c>
      <c r="R1562" s="30" t="n">
        <v>0</v>
      </c>
      <c r="S1562" s="30" t="str">
        <f aca="false">IF(Q1562&lt;判定条件!$C$6,"判定不能",IF(R1562&gt;=判定条件!$C$7*Q1562,"運転",IF(R1562&lt;=判定条件!$C$8*Q1562,"停止","断続")))</f>
        <v>停止</v>
      </c>
      <c r="T1562" s="30" t="n">
        <v>60</v>
      </c>
      <c r="U1562" s="30" t="n">
        <v>0</v>
      </c>
      <c r="V1562" s="30" t="str">
        <f aca="false">IF(T1562&lt;判定条件!$C$6,"判定不能",IF(U1562&gt;=判定条件!$C$7*T1562,"運転",IF(U1562&lt;=判定条件!$C$8*T1562,"停止","断続")))</f>
        <v>停止</v>
      </c>
      <c r="W1562" s="30" t="n">
        <v>60</v>
      </c>
      <c r="X1562" s="30" t="n">
        <v>0</v>
      </c>
      <c r="Y1562" s="30" t="str">
        <f aca="false">IF(W1562&lt;判定条件!$C$6,"判定不能",IF(X1562&gt;=判定条件!$C$7*W1562,"運転",IF(X1562&lt;=判定条件!$C$8*W1562,"停止","断続")))</f>
        <v>停止</v>
      </c>
      <c r="Z1562" s="30" t="n">
        <v>60</v>
      </c>
      <c r="AA1562" s="30" t="n">
        <v>0</v>
      </c>
      <c r="AB1562" s="30" t="str">
        <f aca="false">IF(Z1562&lt;判定条件!$C$6,"判定不能",IF(AA1562&gt;=判定条件!$C$7*Z1562,"運転",IF(AA1562&lt;=判定条件!$C$8*Z1562,"停止","断続")))</f>
        <v>停止</v>
      </c>
      <c r="AC1562" s="30" t="n">
        <v>60</v>
      </c>
      <c r="AD1562" s="30" t="n">
        <v>0</v>
      </c>
      <c r="AE1562" s="30" t="str">
        <f aca="false">IF(AC1562&lt;判定条件!$C$6,"判定不能",IF(AD1562&gt;=判定条件!$C$7*AC1562,"運転",IF(AD1562&lt;=判定条件!$C$8*AC1562,"停止","断続")))</f>
        <v>停止</v>
      </c>
      <c r="AF1562" s="30" t="n">
        <v>60</v>
      </c>
      <c r="AG1562" s="30" t="n">
        <v>0</v>
      </c>
      <c r="AH1562" s="30" t="str">
        <f aca="false">IF(OR(P1562="判定不能",G1562="判定不能"),"判定不能",IF(AG1562&gt;=判定条件!$C$9,"利用可",IF(AND(P1562="停止",G1562="停止"),"両方停止","運転がそろわない")))</f>
        <v>両方停止</v>
      </c>
      <c r="AI1562" s="30" t="n">
        <v>60</v>
      </c>
      <c r="AJ1562" s="30" t="n">
        <v>0</v>
      </c>
      <c r="AK1562" s="30" t="str">
        <f aca="false">IF(OR(S1562="判定不能",J1562="判定不能"),"判定不能",IF(AJ1562&gt;=判定条件!$C$9,"利用可",IF(AND(S1562="停止",J1562="停止"),"両方停止","運転がそろわない")))</f>
        <v>両方停止</v>
      </c>
      <c r="AL1562" s="30" t="n">
        <v>60</v>
      </c>
      <c r="AM1562" s="30" t="n">
        <v>0</v>
      </c>
      <c r="AN1562" s="30" t="str">
        <f aca="false">IF(OR(V1562="判定不能",M1562="判定不能"),"判定不能",IF(AM1562&gt;=判定条件!$C$9,"利用可",IF(AND(V1562="停止",M1562="停止"),"両方停止","運転がそろわない")))</f>
        <v>両方停止</v>
      </c>
      <c r="AO1562" s="30" t="n">
        <v>60</v>
      </c>
      <c r="AP1562" s="30" t="n">
        <v>0</v>
      </c>
      <c r="AQ1562" s="30" t="str">
        <f aca="false">IF(OR(Y1562="判定不能",G1562="判定不能"),"判定不能",IF(AP1562&gt;=判定条件!$C$9,"利用可",IF(AND(Y1562="停止",G1562="停止"),"両方停止","運転がそろわない")))</f>
        <v>両方停止</v>
      </c>
      <c r="AR1562" s="30" t="n">
        <v>60</v>
      </c>
      <c r="AS1562" s="30" t="n">
        <v>0</v>
      </c>
      <c r="AT1562" s="30" t="str">
        <f aca="false">IF(OR(AB1562="判定不能",J1562="判定不能"),"判定不能",IF(AS1562&gt;=判定条件!$C$9,"利用可",IF(AND(AB1562="停止",J1562="停止"),"両方停止","運転がそろわない")))</f>
        <v>両方停止</v>
      </c>
      <c r="AU1562" s="30" t="n">
        <v>60</v>
      </c>
      <c r="AV1562" s="30" t="n">
        <v>0</v>
      </c>
      <c r="AW1562" s="30" t="str">
        <f aca="false">IF(OR(AE1562="判定不能",M1562="判定不能"),"判定不能",IF(AV1562&gt;=判定条件!$C$9,"利用可",IF(AND(AE1562="停止",M1562="停止"),"両方停止","運転がそろわない")))</f>
        <v>両方停止</v>
      </c>
      <c r="AX1562" s="30" t="str">
        <f aca="false">IF(AND(AH1562="利用可",AK1562="利用可",AN1562="利用可"),"利用可","不可")</f>
        <v>不可</v>
      </c>
      <c r="AY1562" s="30" t="str">
        <f aca="false">IF(AND(AQ1562="利用可",AT1562="利用可",AW1562="利用可"),"利用可","不可")</f>
        <v>不可</v>
      </c>
    </row>
    <row r="1563" customFormat="false" ht="15" hidden="false" customHeight="false" outlineLevel="0" collapsed="false">
      <c r="A1563" s="29" t="n">
        <v>46297</v>
      </c>
      <c r="B1563" s="30" t="n">
        <v>0</v>
      </c>
      <c r="C1563" s="31" t="s">
        <v>62</v>
      </c>
      <c r="D1563" s="31" t="s">
        <v>59</v>
      </c>
      <c r="E1563" s="30" t="n">
        <v>60</v>
      </c>
      <c r="F1563" s="30" t="n">
        <v>0</v>
      </c>
      <c r="G1563" s="30" t="str">
        <f aca="false">IF(E1563&lt;判定条件!$C$6,"判定不能",IF(F1563&gt;=判定条件!$C$7*E1563,"運転",IF(F1563&lt;=判定条件!$C$8*E1563,"停止","断続")))</f>
        <v>停止</v>
      </c>
      <c r="H1563" s="30" t="n">
        <v>60</v>
      </c>
      <c r="I1563" s="30" t="n">
        <v>0</v>
      </c>
      <c r="J1563" s="30" t="str">
        <f aca="false">IF(H1563&lt;判定条件!$C$6,"判定不能",IF(I1563&gt;=判定条件!$C$7*H1563,"運転",IF(I1563&lt;=判定条件!$C$8*H1563,"停止","断続")))</f>
        <v>停止</v>
      </c>
      <c r="K1563" s="30" t="n">
        <v>60</v>
      </c>
      <c r="L1563" s="30" t="n">
        <v>0</v>
      </c>
      <c r="M1563" s="30" t="str">
        <f aca="false">IF(K1563&lt;判定条件!$C$6,"判定不能",IF(L1563&gt;=判定条件!$C$7*K1563,"運転",IF(L1563&lt;=判定条件!$C$8*K1563,"停止","断続")))</f>
        <v>停止</v>
      </c>
      <c r="N1563" s="30" t="n">
        <v>60</v>
      </c>
      <c r="O1563" s="30" t="n">
        <v>0</v>
      </c>
      <c r="P1563" s="30" t="str">
        <f aca="false">IF(N1563&lt;判定条件!$C$6,"判定不能",IF(O1563&gt;=判定条件!$C$7*N1563,"運転",IF(O1563&lt;=判定条件!$C$8*N1563,"停止","断続")))</f>
        <v>停止</v>
      </c>
      <c r="Q1563" s="30" t="n">
        <v>60</v>
      </c>
      <c r="R1563" s="30" t="n">
        <v>0</v>
      </c>
      <c r="S1563" s="30" t="str">
        <f aca="false">IF(Q1563&lt;判定条件!$C$6,"判定不能",IF(R1563&gt;=判定条件!$C$7*Q1563,"運転",IF(R1563&lt;=判定条件!$C$8*Q1563,"停止","断続")))</f>
        <v>停止</v>
      </c>
      <c r="T1563" s="30" t="n">
        <v>60</v>
      </c>
      <c r="U1563" s="30" t="n">
        <v>0</v>
      </c>
      <c r="V1563" s="30" t="str">
        <f aca="false">IF(T1563&lt;判定条件!$C$6,"判定不能",IF(U1563&gt;=判定条件!$C$7*T1563,"運転",IF(U1563&lt;=判定条件!$C$8*T1563,"停止","断続")))</f>
        <v>停止</v>
      </c>
      <c r="W1563" s="30" t="n">
        <v>60</v>
      </c>
      <c r="X1563" s="30" t="n">
        <v>0</v>
      </c>
      <c r="Y1563" s="30" t="str">
        <f aca="false">IF(W1563&lt;判定条件!$C$6,"判定不能",IF(X1563&gt;=判定条件!$C$7*W1563,"運転",IF(X1563&lt;=判定条件!$C$8*W1563,"停止","断続")))</f>
        <v>停止</v>
      </c>
      <c r="Z1563" s="30" t="n">
        <v>60</v>
      </c>
      <c r="AA1563" s="30" t="n">
        <v>0</v>
      </c>
      <c r="AB1563" s="30" t="str">
        <f aca="false">IF(Z1563&lt;判定条件!$C$6,"判定不能",IF(AA1563&gt;=判定条件!$C$7*Z1563,"運転",IF(AA1563&lt;=判定条件!$C$8*Z1563,"停止","断続")))</f>
        <v>停止</v>
      </c>
      <c r="AC1563" s="30" t="n">
        <v>60</v>
      </c>
      <c r="AD1563" s="30" t="n">
        <v>0</v>
      </c>
      <c r="AE1563" s="30" t="str">
        <f aca="false">IF(AC1563&lt;判定条件!$C$6,"判定不能",IF(AD1563&gt;=判定条件!$C$7*AC1563,"運転",IF(AD1563&lt;=判定条件!$C$8*AC1563,"停止","断続")))</f>
        <v>停止</v>
      </c>
      <c r="AF1563" s="30" t="n">
        <v>60</v>
      </c>
      <c r="AG1563" s="30" t="n">
        <v>0</v>
      </c>
      <c r="AH1563" s="30" t="str">
        <f aca="false">IF(OR(P1563="判定不能",G1563="判定不能"),"判定不能",IF(AG1563&gt;=判定条件!$C$9,"利用可",IF(AND(P1563="停止",G1563="停止"),"両方停止","運転がそろわない")))</f>
        <v>両方停止</v>
      </c>
      <c r="AI1563" s="30" t="n">
        <v>60</v>
      </c>
      <c r="AJ1563" s="30" t="n">
        <v>0</v>
      </c>
      <c r="AK1563" s="30" t="str">
        <f aca="false">IF(OR(S1563="判定不能",J1563="判定不能"),"判定不能",IF(AJ1563&gt;=判定条件!$C$9,"利用可",IF(AND(S1563="停止",J1563="停止"),"両方停止","運転がそろわない")))</f>
        <v>両方停止</v>
      </c>
      <c r="AL1563" s="30" t="n">
        <v>60</v>
      </c>
      <c r="AM1563" s="30" t="n">
        <v>0</v>
      </c>
      <c r="AN1563" s="30" t="str">
        <f aca="false">IF(OR(V1563="判定不能",M1563="判定不能"),"判定不能",IF(AM1563&gt;=判定条件!$C$9,"利用可",IF(AND(V1563="停止",M1563="停止"),"両方停止","運転がそろわない")))</f>
        <v>両方停止</v>
      </c>
      <c r="AO1563" s="30" t="n">
        <v>60</v>
      </c>
      <c r="AP1563" s="30" t="n">
        <v>0</v>
      </c>
      <c r="AQ1563" s="30" t="str">
        <f aca="false">IF(OR(Y1563="判定不能",G1563="判定不能"),"判定不能",IF(AP1563&gt;=判定条件!$C$9,"利用可",IF(AND(Y1563="停止",G1563="停止"),"両方停止","運転がそろわない")))</f>
        <v>両方停止</v>
      </c>
      <c r="AR1563" s="30" t="n">
        <v>60</v>
      </c>
      <c r="AS1563" s="30" t="n">
        <v>0</v>
      </c>
      <c r="AT1563" s="30" t="str">
        <f aca="false">IF(OR(AB1563="判定不能",J1563="判定不能"),"判定不能",IF(AS1563&gt;=判定条件!$C$9,"利用可",IF(AND(AB1563="停止",J1563="停止"),"両方停止","運転がそろわない")))</f>
        <v>両方停止</v>
      </c>
      <c r="AU1563" s="30" t="n">
        <v>60</v>
      </c>
      <c r="AV1563" s="30" t="n">
        <v>0</v>
      </c>
      <c r="AW1563" s="30" t="str">
        <f aca="false">IF(OR(AE1563="判定不能",M1563="判定不能"),"判定不能",IF(AV1563&gt;=判定条件!$C$9,"利用可",IF(AND(AE1563="停止",M1563="停止"),"両方停止","運転がそろわない")))</f>
        <v>両方停止</v>
      </c>
      <c r="AX1563" s="30" t="str">
        <f aca="false">IF(AND(AH1563="利用可",AK1563="利用可",AN1563="利用可"),"利用可","不可")</f>
        <v>不可</v>
      </c>
      <c r="AY1563" s="30" t="str">
        <f aca="false">IF(AND(AQ1563="利用可",AT1563="利用可",AW1563="利用可"),"利用可","不可")</f>
        <v>不可</v>
      </c>
    </row>
    <row r="1564" customFormat="false" ht="15" hidden="false" customHeight="false" outlineLevel="0" collapsed="false">
      <c r="A1564" s="29" t="n">
        <v>46297</v>
      </c>
      <c r="B1564" s="30" t="n">
        <v>1</v>
      </c>
      <c r="C1564" s="31" t="s">
        <v>62</v>
      </c>
      <c r="D1564" s="31" t="s">
        <v>59</v>
      </c>
      <c r="E1564" s="30" t="n">
        <v>60</v>
      </c>
      <c r="F1564" s="30" t="n">
        <v>0</v>
      </c>
      <c r="G1564" s="30" t="str">
        <f aca="false">IF(E1564&lt;判定条件!$C$6,"判定不能",IF(F1564&gt;=判定条件!$C$7*E1564,"運転",IF(F1564&lt;=判定条件!$C$8*E1564,"停止","断続")))</f>
        <v>停止</v>
      </c>
      <c r="H1564" s="30" t="n">
        <v>60</v>
      </c>
      <c r="I1564" s="30" t="n">
        <v>0</v>
      </c>
      <c r="J1564" s="30" t="str">
        <f aca="false">IF(H1564&lt;判定条件!$C$6,"判定不能",IF(I1564&gt;=判定条件!$C$7*H1564,"運転",IF(I1564&lt;=判定条件!$C$8*H1564,"停止","断続")))</f>
        <v>停止</v>
      </c>
      <c r="K1564" s="30" t="n">
        <v>60</v>
      </c>
      <c r="L1564" s="30" t="n">
        <v>0</v>
      </c>
      <c r="M1564" s="30" t="str">
        <f aca="false">IF(K1564&lt;判定条件!$C$6,"判定不能",IF(L1564&gt;=判定条件!$C$7*K1564,"運転",IF(L1564&lt;=判定条件!$C$8*K1564,"停止","断続")))</f>
        <v>停止</v>
      </c>
      <c r="N1564" s="30" t="n">
        <v>60</v>
      </c>
      <c r="O1564" s="30" t="n">
        <v>0</v>
      </c>
      <c r="P1564" s="30" t="str">
        <f aca="false">IF(N1564&lt;判定条件!$C$6,"判定不能",IF(O1564&gt;=判定条件!$C$7*N1564,"運転",IF(O1564&lt;=判定条件!$C$8*N1564,"停止","断続")))</f>
        <v>停止</v>
      </c>
      <c r="Q1564" s="30" t="n">
        <v>60</v>
      </c>
      <c r="R1564" s="30" t="n">
        <v>0</v>
      </c>
      <c r="S1564" s="30" t="str">
        <f aca="false">IF(Q1564&lt;判定条件!$C$6,"判定不能",IF(R1564&gt;=判定条件!$C$7*Q1564,"運転",IF(R1564&lt;=判定条件!$C$8*Q1564,"停止","断続")))</f>
        <v>停止</v>
      </c>
      <c r="T1564" s="30" t="n">
        <v>60</v>
      </c>
      <c r="U1564" s="30" t="n">
        <v>0</v>
      </c>
      <c r="V1564" s="30" t="str">
        <f aca="false">IF(T1564&lt;判定条件!$C$6,"判定不能",IF(U1564&gt;=判定条件!$C$7*T1564,"運転",IF(U1564&lt;=判定条件!$C$8*T1564,"停止","断続")))</f>
        <v>停止</v>
      </c>
      <c r="W1564" s="30" t="n">
        <v>60</v>
      </c>
      <c r="X1564" s="30" t="n">
        <v>0</v>
      </c>
      <c r="Y1564" s="30" t="str">
        <f aca="false">IF(W1564&lt;判定条件!$C$6,"判定不能",IF(X1564&gt;=判定条件!$C$7*W1564,"運転",IF(X1564&lt;=判定条件!$C$8*W1564,"停止","断続")))</f>
        <v>停止</v>
      </c>
      <c r="Z1564" s="30" t="n">
        <v>60</v>
      </c>
      <c r="AA1564" s="30" t="n">
        <v>0</v>
      </c>
      <c r="AB1564" s="30" t="str">
        <f aca="false">IF(Z1564&lt;判定条件!$C$6,"判定不能",IF(AA1564&gt;=判定条件!$C$7*Z1564,"運転",IF(AA1564&lt;=判定条件!$C$8*Z1564,"停止","断続")))</f>
        <v>停止</v>
      </c>
      <c r="AC1564" s="30" t="n">
        <v>60</v>
      </c>
      <c r="AD1564" s="30" t="n">
        <v>0</v>
      </c>
      <c r="AE1564" s="30" t="str">
        <f aca="false">IF(AC1564&lt;判定条件!$C$6,"判定不能",IF(AD1564&gt;=判定条件!$C$7*AC1564,"運転",IF(AD1564&lt;=判定条件!$C$8*AC1564,"停止","断続")))</f>
        <v>停止</v>
      </c>
      <c r="AF1564" s="30" t="n">
        <v>60</v>
      </c>
      <c r="AG1564" s="30" t="n">
        <v>0</v>
      </c>
      <c r="AH1564" s="30" t="str">
        <f aca="false">IF(OR(P1564="判定不能",G1564="判定不能"),"判定不能",IF(AG1564&gt;=判定条件!$C$9,"利用可",IF(AND(P1564="停止",G1564="停止"),"両方停止","運転がそろわない")))</f>
        <v>両方停止</v>
      </c>
      <c r="AI1564" s="30" t="n">
        <v>60</v>
      </c>
      <c r="AJ1564" s="30" t="n">
        <v>0</v>
      </c>
      <c r="AK1564" s="30" t="str">
        <f aca="false">IF(OR(S1564="判定不能",J1564="判定不能"),"判定不能",IF(AJ1564&gt;=判定条件!$C$9,"利用可",IF(AND(S1564="停止",J1564="停止"),"両方停止","運転がそろわない")))</f>
        <v>両方停止</v>
      </c>
      <c r="AL1564" s="30" t="n">
        <v>60</v>
      </c>
      <c r="AM1564" s="30" t="n">
        <v>0</v>
      </c>
      <c r="AN1564" s="30" t="str">
        <f aca="false">IF(OR(V1564="判定不能",M1564="判定不能"),"判定不能",IF(AM1564&gt;=判定条件!$C$9,"利用可",IF(AND(V1564="停止",M1564="停止"),"両方停止","運転がそろわない")))</f>
        <v>両方停止</v>
      </c>
      <c r="AO1564" s="30" t="n">
        <v>60</v>
      </c>
      <c r="AP1564" s="30" t="n">
        <v>0</v>
      </c>
      <c r="AQ1564" s="30" t="str">
        <f aca="false">IF(OR(Y1564="判定不能",G1564="判定不能"),"判定不能",IF(AP1564&gt;=判定条件!$C$9,"利用可",IF(AND(Y1564="停止",G1564="停止"),"両方停止","運転がそろわない")))</f>
        <v>両方停止</v>
      </c>
      <c r="AR1564" s="30" t="n">
        <v>60</v>
      </c>
      <c r="AS1564" s="30" t="n">
        <v>0</v>
      </c>
      <c r="AT1564" s="30" t="str">
        <f aca="false">IF(OR(AB1564="判定不能",J1564="判定不能"),"判定不能",IF(AS1564&gt;=判定条件!$C$9,"利用可",IF(AND(AB1564="停止",J1564="停止"),"両方停止","運転がそろわない")))</f>
        <v>両方停止</v>
      </c>
      <c r="AU1564" s="30" t="n">
        <v>60</v>
      </c>
      <c r="AV1564" s="30" t="n">
        <v>0</v>
      </c>
      <c r="AW1564" s="30" t="str">
        <f aca="false">IF(OR(AE1564="判定不能",M1564="判定不能"),"判定不能",IF(AV1564&gt;=判定条件!$C$9,"利用可",IF(AND(AE1564="停止",M1564="停止"),"両方停止","運転がそろわない")))</f>
        <v>両方停止</v>
      </c>
      <c r="AX1564" s="30" t="str">
        <f aca="false">IF(AND(AH1564="利用可",AK1564="利用可",AN1564="利用可"),"利用可","不可")</f>
        <v>不可</v>
      </c>
      <c r="AY1564" s="30" t="str">
        <f aca="false">IF(AND(AQ1564="利用可",AT1564="利用可",AW1564="利用可"),"利用可","不可")</f>
        <v>不可</v>
      </c>
    </row>
    <row r="1565" customFormat="false" ht="15" hidden="false" customHeight="false" outlineLevel="0" collapsed="false">
      <c r="A1565" s="29" t="n">
        <v>46297</v>
      </c>
      <c r="B1565" s="30" t="n">
        <v>2</v>
      </c>
      <c r="C1565" s="31" t="s">
        <v>62</v>
      </c>
      <c r="D1565" s="31" t="s">
        <v>59</v>
      </c>
      <c r="E1565" s="30" t="n">
        <v>60</v>
      </c>
      <c r="F1565" s="30" t="n">
        <v>0</v>
      </c>
      <c r="G1565" s="30" t="str">
        <f aca="false">IF(E1565&lt;判定条件!$C$6,"判定不能",IF(F1565&gt;=判定条件!$C$7*E1565,"運転",IF(F1565&lt;=判定条件!$C$8*E1565,"停止","断続")))</f>
        <v>停止</v>
      </c>
      <c r="H1565" s="30" t="n">
        <v>60</v>
      </c>
      <c r="I1565" s="30" t="n">
        <v>0</v>
      </c>
      <c r="J1565" s="30" t="str">
        <f aca="false">IF(H1565&lt;判定条件!$C$6,"判定不能",IF(I1565&gt;=判定条件!$C$7*H1565,"運転",IF(I1565&lt;=判定条件!$C$8*H1565,"停止","断続")))</f>
        <v>停止</v>
      </c>
      <c r="K1565" s="30" t="n">
        <v>60</v>
      </c>
      <c r="L1565" s="30" t="n">
        <v>0</v>
      </c>
      <c r="M1565" s="30" t="str">
        <f aca="false">IF(K1565&lt;判定条件!$C$6,"判定不能",IF(L1565&gt;=判定条件!$C$7*K1565,"運転",IF(L1565&lt;=判定条件!$C$8*K1565,"停止","断続")))</f>
        <v>停止</v>
      </c>
      <c r="N1565" s="30" t="n">
        <v>60</v>
      </c>
      <c r="O1565" s="30" t="n">
        <v>0</v>
      </c>
      <c r="P1565" s="30" t="str">
        <f aca="false">IF(N1565&lt;判定条件!$C$6,"判定不能",IF(O1565&gt;=判定条件!$C$7*N1565,"運転",IF(O1565&lt;=判定条件!$C$8*N1565,"停止","断続")))</f>
        <v>停止</v>
      </c>
      <c r="Q1565" s="30" t="n">
        <v>60</v>
      </c>
      <c r="R1565" s="30" t="n">
        <v>0</v>
      </c>
      <c r="S1565" s="30" t="str">
        <f aca="false">IF(Q1565&lt;判定条件!$C$6,"判定不能",IF(R1565&gt;=判定条件!$C$7*Q1565,"運転",IF(R1565&lt;=判定条件!$C$8*Q1565,"停止","断続")))</f>
        <v>停止</v>
      </c>
      <c r="T1565" s="30" t="n">
        <v>60</v>
      </c>
      <c r="U1565" s="30" t="n">
        <v>0</v>
      </c>
      <c r="V1565" s="30" t="str">
        <f aca="false">IF(T1565&lt;判定条件!$C$6,"判定不能",IF(U1565&gt;=判定条件!$C$7*T1565,"運転",IF(U1565&lt;=判定条件!$C$8*T1565,"停止","断続")))</f>
        <v>停止</v>
      </c>
      <c r="W1565" s="30" t="n">
        <v>60</v>
      </c>
      <c r="X1565" s="30" t="n">
        <v>0</v>
      </c>
      <c r="Y1565" s="30" t="str">
        <f aca="false">IF(W1565&lt;判定条件!$C$6,"判定不能",IF(X1565&gt;=判定条件!$C$7*W1565,"運転",IF(X1565&lt;=判定条件!$C$8*W1565,"停止","断続")))</f>
        <v>停止</v>
      </c>
      <c r="Z1565" s="30" t="n">
        <v>60</v>
      </c>
      <c r="AA1565" s="30" t="n">
        <v>0</v>
      </c>
      <c r="AB1565" s="30" t="str">
        <f aca="false">IF(Z1565&lt;判定条件!$C$6,"判定不能",IF(AA1565&gt;=判定条件!$C$7*Z1565,"運転",IF(AA1565&lt;=判定条件!$C$8*Z1565,"停止","断続")))</f>
        <v>停止</v>
      </c>
      <c r="AC1565" s="30" t="n">
        <v>60</v>
      </c>
      <c r="AD1565" s="30" t="n">
        <v>0</v>
      </c>
      <c r="AE1565" s="30" t="str">
        <f aca="false">IF(AC1565&lt;判定条件!$C$6,"判定不能",IF(AD1565&gt;=判定条件!$C$7*AC1565,"運転",IF(AD1565&lt;=判定条件!$C$8*AC1565,"停止","断続")))</f>
        <v>停止</v>
      </c>
      <c r="AF1565" s="30" t="n">
        <v>60</v>
      </c>
      <c r="AG1565" s="30" t="n">
        <v>0</v>
      </c>
      <c r="AH1565" s="30" t="str">
        <f aca="false">IF(OR(P1565="判定不能",G1565="判定不能"),"判定不能",IF(AG1565&gt;=判定条件!$C$9,"利用可",IF(AND(P1565="停止",G1565="停止"),"両方停止","運転がそろわない")))</f>
        <v>両方停止</v>
      </c>
      <c r="AI1565" s="30" t="n">
        <v>60</v>
      </c>
      <c r="AJ1565" s="30" t="n">
        <v>0</v>
      </c>
      <c r="AK1565" s="30" t="str">
        <f aca="false">IF(OR(S1565="判定不能",J1565="判定不能"),"判定不能",IF(AJ1565&gt;=判定条件!$C$9,"利用可",IF(AND(S1565="停止",J1565="停止"),"両方停止","運転がそろわない")))</f>
        <v>両方停止</v>
      </c>
      <c r="AL1565" s="30" t="n">
        <v>60</v>
      </c>
      <c r="AM1565" s="30" t="n">
        <v>0</v>
      </c>
      <c r="AN1565" s="30" t="str">
        <f aca="false">IF(OR(V1565="判定不能",M1565="判定不能"),"判定不能",IF(AM1565&gt;=判定条件!$C$9,"利用可",IF(AND(V1565="停止",M1565="停止"),"両方停止","運転がそろわない")))</f>
        <v>両方停止</v>
      </c>
      <c r="AO1565" s="30" t="n">
        <v>60</v>
      </c>
      <c r="AP1565" s="30" t="n">
        <v>0</v>
      </c>
      <c r="AQ1565" s="30" t="str">
        <f aca="false">IF(OR(Y1565="判定不能",G1565="判定不能"),"判定不能",IF(AP1565&gt;=判定条件!$C$9,"利用可",IF(AND(Y1565="停止",G1565="停止"),"両方停止","運転がそろわない")))</f>
        <v>両方停止</v>
      </c>
      <c r="AR1565" s="30" t="n">
        <v>60</v>
      </c>
      <c r="AS1565" s="30" t="n">
        <v>0</v>
      </c>
      <c r="AT1565" s="30" t="str">
        <f aca="false">IF(OR(AB1565="判定不能",J1565="判定不能"),"判定不能",IF(AS1565&gt;=判定条件!$C$9,"利用可",IF(AND(AB1565="停止",J1565="停止"),"両方停止","運転がそろわない")))</f>
        <v>両方停止</v>
      </c>
      <c r="AU1565" s="30" t="n">
        <v>60</v>
      </c>
      <c r="AV1565" s="30" t="n">
        <v>0</v>
      </c>
      <c r="AW1565" s="30" t="str">
        <f aca="false">IF(OR(AE1565="判定不能",M1565="判定不能"),"判定不能",IF(AV1565&gt;=判定条件!$C$9,"利用可",IF(AND(AE1565="停止",M1565="停止"),"両方停止","運転がそろわない")))</f>
        <v>両方停止</v>
      </c>
      <c r="AX1565" s="30" t="str">
        <f aca="false">IF(AND(AH1565="利用可",AK1565="利用可",AN1565="利用可"),"利用可","不可")</f>
        <v>不可</v>
      </c>
      <c r="AY1565" s="30" t="str">
        <f aca="false">IF(AND(AQ1565="利用可",AT1565="利用可",AW1565="利用可"),"利用可","不可")</f>
        <v>不可</v>
      </c>
    </row>
    <row r="1566" customFormat="false" ht="15" hidden="false" customHeight="false" outlineLevel="0" collapsed="false">
      <c r="A1566" s="29" t="n">
        <v>46297</v>
      </c>
      <c r="B1566" s="30" t="n">
        <v>3</v>
      </c>
      <c r="C1566" s="31" t="s">
        <v>62</v>
      </c>
      <c r="D1566" s="31" t="s">
        <v>59</v>
      </c>
      <c r="E1566" s="30" t="n">
        <v>60</v>
      </c>
      <c r="F1566" s="30" t="n">
        <v>0</v>
      </c>
      <c r="G1566" s="30" t="str">
        <f aca="false">IF(E1566&lt;判定条件!$C$6,"判定不能",IF(F1566&gt;=判定条件!$C$7*E1566,"運転",IF(F1566&lt;=判定条件!$C$8*E1566,"停止","断続")))</f>
        <v>停止</v>
      </c>
      <c r="H1566" s="30" t="n">
        <v>60</v>
      </c>
      <c r="I1566" s="30" t="n">
        <v>0</v>
      </c>
      <c r="J1566" s="30" t="str">
        <f aca="false">IF(H1566&lt;判定条件!$C$6,"判定不能",IF(I1566&gt;=判定条件!$C$7*H1566,"運転",IF(I1566&lt;=判定条件!$C$8*H1566,"停止","断続")))</f>
        <v>停止</v>
      </c>
      <c r="K1566" s="30" t="n">
        <v>60</v>
      </c>
      <c r="L1566" s="30" t="n">
        <v>0</v>
      </c>
      <c r="M1566" s="30" t="str">
        <f aca="false">IF(K1566&lt;判定条件!$C$6,"判定不能",IF(L1566&gt;=判定条件!$C$7*K1566,"運転",IF(L1566&lt;=判定条件!$C$8*K1566,"停止","断続")))</f>
        <v>停止</v>
      </c>
      <c r="N1566" s="30" t="n">
        <v>60</v>
      </c>
      <c r="O1566" s="30" t="n">
        <v>0</v>
      </c>
      <c r="P1566" s="30" t="str">
        <f aca="false">IF(N1566&lt;判定条件!$C$6,"判定不能",IF(O1566&gt;=判定条件!$C$7*N1566,"運転",IF(O1566&lt;=判定条件!$C$8*N1566,"停止","断続")))</f>
        <v>停止</v>
      </c>
      <c r="Q1566" s="30" t="n">
        <v>60</v>
      </c>
      <c r="R1566" s="30" t="n">
        <v>0</v>
      </c>
      <c r="S1566" s="30" t="str">
        <f aca="false">IF(Q1566&lt;判定条件!$C$6,"判定不能",IF(R1566&gt;=判定条件!$C$7*Q1566,"運転",IF(R1566&lt;=判定条件!$C$8*Q1566,"停止","断続")))</f>
        <v>停止</v>
      </c>
      <c r="T1566" s="30" t="n">
        <v>60</v>
      </c>
      <c r="U1566" s="30" t="n">
        <v>0</v>
      </c>
      <c r="V1566" s="30" t="str">
        <f aca="false">IF(T1566&lt;判定条件!$C$6,"判定不能",IF(U1566&gt;=判定条件!$C$7*T1566,"運転",IF(U1566&lt;=判定条件!$C$8*T1566,"停止","断続")))</f>
        <v>停止</v>
      </c>
      <c r="W1566" s="30" t="n">
        <v>60</v>
      </c>
      <c r="X1566" s="30" t="n">
        <v>0</v>
      </c>
      <c r="Y1566" s="30" t="str">
        <f aca="false">IF(W1566&lt;判定条件!$C$6,"判定不能",IF(X1566&gt;=判定条件!$C$7*W1566,"運転",IF(X1566&lt;=判定条件!$C$8*W1566,"停止","断続")))</f>
        <v>停止</v>
      </c>
      <c r="Z1566" s="30" t="n">
        <v>60</v>
      </c>
      <c r="AA1566" s="30" t="n">
        <v>0</v>
      </c>
      <c r="AB1566" s="30" t="str">
        <f aca="false">IF(Z1566&lt;判定条件!$C$6,"判定不能",IF(AA1566&gt;=判定条件!$C$7*Z1566,"運転",IF(AA1566&lt;=判定条件!$C$8*Z1566,"停止","断続")))</f>
        <v>停止</v>
      </c>
      <c r="AC1566" s="30" t="n">
        <v>60</v>
      </c>
      <c r="AD1566" s="30" t="n">
        <v>0</v>
      </c>
      <c r="AE1566" s="30" t="str">
        <f aca="false">IF(AC1566&lt;判定条件!$C$6,"判定不能",IF(AD1566&gt;=判定条件!$C$7*AC1566,"運転",IF(AD1566&lt;=判定条件!$C$8*AC1566,"停止","断続")))</f>
        <v>停止</v>
      </c>
      <c r="AF1566" s="30" t="n">
        <v>60</v>
      </c>
      <c r="AG1566" s="30" t="n">
        <v>0</v>
      </c>
      <c r="AH1566" s="30" t="str">
        <f aca="false">IF(OR(P1566="判定不能",G1566="判定不能"),"判定不能",IF(AG1566&gt;=判定条件!$C$9,"利用可",IF(AND(P1566="停止",G1566="停止"),"両方停止","運転がそろわない")))</f>
        <v>両方停止</v>
      </c>
      <c r="AI1566" s="30" t="n">
        <v>60</v>
      </c>
      <c r="AJ1566" s="30" t="n">
        <v>0</v>
      </c>
      <c r="AK1566" s="30" t="str">
        <f aca="false">IF(OR(S1566="判定不能",J1566="判定不能"),"判定不能",IF(AJ1566&gt;=判定条件!$C$9,"利用可",IF(AND(S1566="停止",J1566="停止"),"両方停止","運転がそろわない")))</f>
        <v>両方停止</v>
      </c>
      <c r="AL1566" s="30" t="n">
        <v>60</v>
      </c>
      <c r="AM1566" s="30" t="n">
        <v>0</v>
      </c>
      <c r="AN1566" s="30" t="str">
        <f aca="false">IF(OR(V1566="判定不能",M1566="判定不能"),"判定不能",IF(AM1566&gt;=判定条件!$C$9,"利用可",IF(AND(V1566="停止",M1566="停止"),"両方停止","運転がそろわない")))</f>
        <v>両方停止</v>
      </c>
      <c r="AO1566" s="30" t="n">
        <v>60</v>
      </c>
      <c r="AP1566" s="30" t="n">
        <v>0</v>
      </c>
      <c r="AQ1566" s="30" t="str">
        <f aca="false">IF(OR(Y1566="判定不能",G1566="判定不能"),"判定不能",IF(AP1566&gt;=判定条件!$C$9,"利用可",IF(AND(Y1566="停止",G1566="停止"),"両方停止","運転がそろわない")))</f>
        <v>両方停止</v>
      </c>
      <c r="AR1566" s="30" t="n">
        <v>60</v>
      </c>
      <c r="AS1566" s="30" t="n">
        <v>0</v>
      </c>
      <c r="AT1566" s="30" t="str">
        <f aca="false">IF(OR(AB1566="判定不能",J1566="判定不能"),"判定不能",IF(AS1566&gt;=判定条件!$C$9,"利用可",IF(AND(AB1566="停止",J1566="停止"),"両方停止","運転がそろわない")))</f>
        <v>両方停止</v>
      </c>
      <c r="AU1566" s="30" t="n">
        <v>60</v>
      </c>
      <c r="AV1566" s="30" t="n">
        <v>0</v>
      </c>
      <c r="AW1566" s="30" t="str">
        <f aca="false">IF(OR(AE1566="判定不能",M1566="判定不能"),"判定不能",IF(AV1566&gt;=判定条件!$C$9,"利用可",IF(AND(AE1566="停止",M1566="停止"),"両方停止","運転がそろわない")))</f>
        <v>両方停止</v>
      </c>
      <c r="AX1566" s="30" t="str">
        <f aca="false">IF(AND(AH1566="利用可",AK1566="利用可",AN1566="利用可"),"利用可","不可")</f>
        <v>不可</v>
      </c>
      <c r="AY1566" s="30" t="str">
        <f aca="false">IF(AND(AQ1566="利用可",AT1566="利用可",AW1566="利用可"),"利用可","不可")</f>
        <v>不可</v>
      </c>
    </row>
    <row r="1567" customFormat="false" ht="15" hidden="false" customHeight="false" outlineLevel="0" collapsed="false">
      <c r="A1567" s="29" t="n">
        <v>46297</v>
      </c>
      <c r="B1567" s="30" t="n">
        <v>4</v>
      </c>
      <c r="C1567" s="31" t="s">
        <v>62</v>
      </c>
      <c r="D1567" s="31" t="s">
        <v>59</v>
      </c>
      <c r="E1567" s="30" t="n">
        <v>60</v>
      </c>
      <c r="F1567" s="30" t="n">
        <v>0</v>
      </c>
      <c r="G1567" s="30" t="str">
        <f aca="false">IF(E1567&lt;判定条件!$C$6,"判定不能",IF(F1567&gt;=判定条件!$C$7*E1567,"運転",IF(F1567&lt;=判定条件!$C$8*E1567,"停止","断続")))</f>
        <v>停止</v>
      </c>
      <c r="H1567" s="30" t="n">
        <v>60</v>
      </c>
      <c r="I1567" s="30" t="n">
        <v>0</v>
      </c>
      <c r="J1567" s="30" t="str">
        <f aca="false">IF(H1567&lt;判定条件!$C$6,"判定不能",IF(I1567&gt;=判定条件!$C$7*H1567,"運転",IF(I1567&lt;=判定条件!$C$8*H1567,"停止","断続")))</f>
        <v>停止</v>
      </c>
      <c r="K1567" s="30" t="n">
        <v>60</v>
      </c>
      <c r="L1567" s="30" t="n">
        <v>0</v>
      </c>
      <c r="M1567" s="30" t="str">
        <f aca="false">IF(K1567&lt;判定条件!$C$6,"判定不能",IF(L1567&gt;=判定条件!$C$7*K1567,"運転",IF(L1567&lt;=判定条件!$C$8*K1567,"停止","断続")))</f>
        <v>停止</v>
      </c>
      <c r="N1567" s="30" t="n">
        <v>60</v>
      </c>
      <c r="O1567" s="30" t="n">
        <v>0</v>
      </c>
      <c r="P1567" s="30" t="str">
        <f aca="false">IF(N1567&lt;判定条件!$C$6,"判定不能",IF(O1567&gt;=判定条件!$C$7*N1567,"運転",IF(O1567&lt;=判定条件!$C$8*N1567,"停止","断続")))</f>
        <v>停止</v>
      </c>
      <c r="Q1567" s="30" t="n">
        <v>60</v>
      </c>
      <c r="R1567" s="30" t="n">
        <v>0</v>
      </c>
      <c r="S1567" s="30" t="str">
        <f aca="false">IF(Q1567&lt;判定条件!$C$6,"判定不能",IF(R1567&gt;=判定条件!$C$7*Q1567,"運転",IF(R1567&lt;=判定条件!$C$8*Q1567,"停止","断続")))</f>
        <v>停止</v>
      </c>
      <c r="T1567" s="30" t="n">
        <v>60</v>
      </c>
      <c r="U1567" s="30" t="n">
        <v>0</v>
      </c>
      <c r="V1567" s="30" t="str">
        <f aca="false">IF(T1567&lt;判定条件!$C$6,"判定不能",IF(U1567&gt;=判定条件!$C$7*T1567,"運転",IF(U1567&lt;=判定条件!$C$8*T1567,"停止","断続")))</f>
        <v>停止</v>
      </c>
      <c r="W1567" s="30" t="n">
        <v>60</v>
      </c>
      <c r="X1567" s="30" t="n">
        <v>0</v>
      </c>
      <c r="Y1567" s="30" t="str">
        <f aca="false">IF(W1567&lt;判定条件!$C$6,"判定不能",IF(X1567&gt;=判定条件!$C$7*W1567,"運転",IF(X1567&lt;=判定条件!$C$8*W1567,"停止","断続")))</f>
        <v>停止</v>
      </c>
      <c r="Z1567" s="30" t="n">
        <v>60</v>
      </c>
      <c r="AA1567" s="30" t="n">
        <v>0</v>
      </c>
      <c r="AB1567" s="30" t="str">
        <f aca="false">IF(Z1567&lt;判定条件!$C$6,"判定不能",IF(AA1567&gt;=判定条件!$C$7*Z1567,"運転",IF(AA1567&lt;=判定条件!$C$8*Z1567,"停止","断続")))</f>
        <v>停止</v>
      </c>
      <c r="AC1567" s="30" t="n">
        <v>60</v>
      </c>
      <c r="AD1567" s="30" t="n">
        <v>0</v>
      </c>
      <c r="AE1567" s="30" t="str">
        <f aca="false">IF(AC1567&lt;判定条件!$C$6,"判定不能",IF(AD1567&gt;=判定条件!$C$7*AC1567,"運転",IF(AD1567&lt;=判定条件!$C$8*AC1567,"停止","断続")))</f>
        <v>停止</v>
      </c>
      <c r="AF1567" s="30" t="n">
        <v>60</v>
      </c>
      <c r="AG1567" s="30" t="n">
        <v>0</v>
      </c>
      <c r="AH1567" s="30" t="str">
        <f aca="false">IF(OR(P1567="判定不能",G1567="判定不能"),"判定不能",IF(AG1567&gt;=判定条件!$C$9,"利用可",IF(AND(P1567="停止",G1567="停止"),"両方停止","運転がそろわない")))</f>
        <v>両方停止</v>
      </c>
      <c r="AI1567" s="30" t="n">
        <v>60</v>
      </c>
      <c r="AJ1567" s="30" t="n">
        <v>0</v>
      </c>
      <c r="AK1567" s="30" t="str">
        <f aca="false">IF(OR(S1567="判定不能",J1567="判定不能"),"判定不能",IF(AJ1567&gt;=判定条件!$C$9,"利用可",IF(AND(S1567="停止",J1567="停止"),"両方停止","運転がそろわない")))</f>
        <v>両方停止</v>
      </c>
      <c r="AL1567" s="30" t="n">
        <v>60</v>
      </c>
      <c r="AM1567" s="30" t="n">
        <v>0</v>
      </c>
      <c r="AN1567" s="30" t="str">
        <f aca="false">IF(OR(V1567="判定不能",M1567="判定不能"),"判定不能",IF(AM1567&gt;=判定条件!$C$9,"利用可",IF(AND(V1567="停止",M1567="停止"),"両方停止","運転がそろわない")))</f>
        <v>両方停止</v>
      </c>
      <c r="AO1567" s="30" t="n">
        <v>60</v>
      </c>
      <c r="AP1567" s="30" t="n">
        <v>0</v>
      </c>
      <c r="AQ1567" s="30" t="str">
        <f aca="false">IF(OR(Y1567="判定不能",G1567="判定不能"),"判定不能",IF(AP1567&gt;=判定条件!$C$9,"利用可",IF(AND(Y1567="停止",G1567="停止"),"両方停止","運転がそろわない")))</f>
        <v>両方停止</v>
      </c>
      <c r="AR1567" s="30" t="n">
        <v>60</v>
      </c>
      <c r="AS1567" s="30" t="n">
        <v>0</v>
      </c>
      <c r="AT1567" s="30" t="str">
        <f aca="false">IF(OR(AB1567="判定不能",J1567="判定不能"),"判定不能",IF(AS1567&gt;=判定条件!$C$9,"利用可",IF(AND(AB1567="停止",J1567="停止"),"両方停止","運転がそろわない")))</f>
        <v>両方停止</v>
      </c>
      <c r="AU1567" s="30" t="n">
        <v>60</v>
      </c>
      <c r="AV1567" s="30" t="n">
        <v>0</v>
      </c>
      <c r="AW1567" s="30" t="str">
        <f aca="false">IF(OR(AE1567="判定不能",M1567="判定不能"),"判定不能",IF(AV1567&gt;=判定条件!$C$9,"利用可",IF(AND(AE1567="停止",M1567="停止"),"両方停止","運転がそろわない")))</f>
        <v>両方停止</v>
      </c>
      <c r="AX1567" s="30" t="str">
        <f aca="false">IF(AND(AH1567="利用可",AK1567="利用可",AN1567="利用可"),"利用可","不可")</f>
        <v>不可</v>
      </c>
      <c r="AY1567" s="30" t="str">
        <f aca="false">IF(AND(AQ1567="利用可",AT1567="利用可",AW1567="利用可"),"利用可","不可")</f>
        <v>不可</v>
      </c>
    </row>
    <row r="1568" customFormat="false" ht="15" hidden="false" customHeight="false" outlineLevel="0" collapsed="false">
      <c r="A1568" s="29" t="n">
        <v>46297</v>
      </c>
      <c r="B1568" s="30" t="n">
        <v>5</v>
      </c>
      <c r="C1568" s="31" t="s">
        <v>62</v>
      </c>
      <c r="D1568" s="31" t="s">
        <v>59</v>
      </c>
      <c r="E1568" s="30" t="n">
        <v>60</v>
      </c>
      <c r="F1568" s="30" t="n">
        <v>0</v>
      </c>
      <c r="G1568" s="30" t="str">
        <f aca="false">IF(E1568&lt;判定条件!$C$6,"判定不能",IF(F1568&gt;=判定条件!$C$7*E1568,"運転",IF(F1568&lt;=判定条件!$C$8*E1568,"停止","断続")))</f>
        <v>停止</v>
      </c>
      <c r="H1568" s="30" t="n">
        <v>60</v>
      </c>
      <c r="I1568" s="30" t="n">
        <v>0</v>
      </c>
      <c r="J1568" s="30" t="str">
        <f aca="false">IF(H1568&lt;判定条件!$C$6,"判定不能",IF(I1568&gt;=判定条件!$C$7*H1568,"運転",IF(I1568&lt;=判定条件!$C$8*H1568,"停止","断続")))</f>
        <v>停止</v>
      </c>
      <c r="K1568" s="30" t="n">
        <v>60</v>
      </c>
      <c r="L1568" s="30" t="n">
        <v>0</v>
      </c>
      <c r="M1568" s="30" t="str">
        <f aca="false">IF(K1568&lt;判定条件!$C$6,"判定不能",IF(L1568&gt;=判定条件!$C$7*K1568,"運転",IF(L1568&lt;=判定条件!$C$8*K1568,"停止","断続")))</f>
        <v>停止</v>
      </c>
      <c r="N1568" s="30" t="n">
        <v>60</v>
      </c>
      <c r="O1568" s="30" t="n">
        <v>0</v>
      </c>
      <c r="P1568" s="30" t="str">
        <f aca="false">IF(N1568&lt;判定条件!$C$6,"判定不能",IF(O1568&gt;=判定条件!$C$7*N1568,"運転",IF(O1568&lt;=判定条件!$C$8*N1568,"停止","断続")))</f>
        <v>停止</v>
      </c>
      <c r="Q1568" s="30" t="n">
        <v>60</v>
      </c>
      <c r="R1568" s="30" t="n">
        <v>0</v>
      </c>
      <c r="S1568" s="30" t="str">
        <f aca="false">IF(Q1568&lt;判定条件!$C$6,"判定不能",IF(R1568&gt;=判定条件!$C$7*Q1568,"運転",IF(R1568&lt;=判定条件!$C$8*Q1568,"停止","断続")))</f>
        <v>停止</v>
      </c>
      <c r="T1568" s="30" t="n">
        <v>60</v>
      </c>
      <c r="U1568" s="30" t="n">
        <v>0</v>
      </c>
      <c r="V1568" s="30" t="str">
        <f aca="false">IF(T1568&lt;判定条件!$C$6,"判定不能",IF(U1568&gt;=判定条件!$C$7*T1568,"運転",IF(U1568&lt;=判定条件!$C$8*T1568,"停止","断続")))</f>
        <v>停止</v>
      </c>
      <c r="W1568" s="30" t="n">
        <v>60</v>
      </c>
      <c r="X1568" s="30" t="n">
        <v>0</v>
      </c>
      <c r="Y1568" s="30" t="str">
        <f aca="false">IF(W1568&lt;判定条件!$C$6,"判定不能",IF(X1568&gt;=判定条件!$C$7*W1568,"運転",IF(X1568&lt;=判定条件!$C$8*W1568,"停止","断続")))</f>
        <v>停止</v>
      </c>
      <c r="Z1568" s="30" t="n">
        <v>60</v>
      </c>
      <c r="AA1568" s="30" t="n">
        <v>0</v>
      </c>
      <c r="AB1568" s="30" t="str">
        <f aca="false">IF(Z1568&lt;判定条件!$C$6,"判定不能",IF(AA1568&gt;=判定条件!$C$7*Z1568,"運転",IF(AA1568&lt;=判定条件!$C$8*Z1568,"停止","断続")))</f>
        <v>停止</v>
      </c>
      <c r="AC1568" s="30" t="n">
        <v>60</v>
      </c>
      <c r="AD1568" s="30" t="n">
        <v>0</v>
      </c>
      <c r="AE1568" s="30" t="str">
        <f aca="false">IF(AC1568&lt;判定条件!$C$6,"判定不能",IF(AD1568&gt;=判定条件!$C$7*AC1568,"運転",IF(AD1568&lt;=判定条件!$C$8*AC1568,"停止","断続")))</f>
        <v>停止</v>
      </c>
      <c r="AF1568" s="30" t="n">
        <v>60</v>
      </c>
      <c r="AG1568" s="30" t="n">
        <v>0</v>
      </c>
      <c r="AH1568" s="30" t="str">
        <f aca="false">IF(OR(P1568="判定不能",G1568="判定不能"),"判定不能",IF(AG1568&gt;=判定条件!$C$9,"利用可",IF(AND(P1568="停止",G1568="停止"),"両方停止","運転がそろわない")))</f>
        <v>両方停止</v>
      </c>
      <c r="AI1568" s="30" t="n">
        <v>60</v>
      </c>
      <c r="AJ1568" s="30" t="n">
        <v>0</v>
      </c>
      <c r="AK1568" s="30" t="str">
        <f aca="false">IF(OR(S1568="判定不能",J1568="判定不能"),"判定不能",IF(AJ1568&gt;=判定条件!$C$9,"利用可",IF(AND(S1568="停止",J1568="停止"),"両方停止","運転がそろわない")))</f>
        <v>両方停止</v>
      </c>
      <c r="AL1568" s="30" t="n">
        <v>60</v>
      </c>
      <c r="AM1568" s="30" t="n">
        <v>0</v>
      </c>
      <c r="AN1568" s="30" t="str">
        <f aca="false">IF(OR(V1568="判定不能",M1568="判定不能"),"判定不能",IF(AM1568&gt;=判定条件!$C$9,"利用可",IF(AND(V1568="停止",M1568="停止"),"両方停止","運転がそろわない")))</f>
        <v>両方停止</v>
      </c>
      <c r="AO1568" s="30" t="n">
        <v>60</v>
      </c>
      <c r="AP1568" s="30" t="n">
        <v>0</v>
      </c>
      <c r="AQ1568" s="30" t="str">
        <f aca="false">IF(OR(Y1568="判定不能",G1568="判定不能"),"判定不能",IF(AP1568&gt;=判定条件!$C$9,"利用可",IF(AND(Y1568="停止",G1568="停止"),"両方停止","運転がそろわない")))</f>
        <v>両方停止</v>
      </c>
      <c r="AR1568" s="30" t="n">
        <v>60</v>
      </c>
      <c r="AS1568" s="30" t="n">
        <v>0</v>
      </c>
      <c r="AT1568" s="30" t="str">
        <f aca="false">IF(OR(AB1568="判定不能",J1568="判定不能"),"判定不能",IF(AS1568&gt;=判定条件!$C$9,"利用可",IF(AND(AB1568="停止",J1568="停止"),"両方停止","運転がそろわない")))</f>
        <v>両方停止</v>
      </c>
      <c r="AU1568" s="30" t="n">
        <v>60</v>
      </c>
      <c r="AV1568" s="30" t="n">
        <v>0</v>
      </c>
      <c r="AW1568" s="30" t="str">
        <f aca="false">IF(OR(AE1568="判定不能",M1568="判定不能"),"判定不能",IF(AV1568&gt;=判定条件!$C$9,"利用可",IF(AND(AE1568="停止",M1568="停止"),"両方停止","運転がそろわない")))</f>
        <v>両方停止</v>
      </c>
      <c r="AX1568" s="30" t="str">
        <f aca="false">IF(AND(AH1568="利用可",AK1568="利用可",AN1568="利用可"),"利用可","不可")</f>
        <v>不可</v>
      </c>
      <c r="AY1568" s="30" t="str">
        <f aca="false">IF(AND(AQ1568="利用可",AT1568="利用可",AW1568="利用可"),"利用可","不可")</f>
        <v>不可</v>
      </c>
    </row>
    <row r="1569" customFormat="false" ht="15" hidden="false" customHeight="false" outlineLevel="0" collapsed="false">
      <c r="A1569" s="29" t="n">
        <v>46297</v>
      </c>
      <c r="B1569" s="30" t="n">
        <v>6</v>
      </c>
      <c r="C1569" s="31" t="s">
        <v>62</v>
      </c>
      <c r="D1569" s="31" t="s">
        <v>59</v>
      </c>
      <c r="E1569" s="30" t="n">
        <v>60</v>
      </c>
      <c r="F1569" s="30" t="n">
        <v>0</v>
      </c>
      <c r="G1569" s="30" t="str">
        <f aca="false">IF(E1569&lt;判定条件!$C$6,"判定不能",IF(F1569&gt;=判定条件!$C$7*E1569,"運転",IF(F1569&lt;=判定条件!$C$8*E1569,"停止","断続")))</f>
        <v>停止</v>
      </c>
      <c r="H1569" s="30" t="n">
        <v>60</v>
      </c>
      <c r="I1569" s="30" t="n">
        <v>0</v>
      </c>
      <c r="J1569" s="30" t="str">
        <f aca="false">IF(H1569&lt;判定条件!$C$6,"判定不能",IF(I1569&gt;=判定条件!$C$7*H1569,"運転",IF(I1569&lt;=判定条件!$C$8*H1569,"停止","断続")))</f>
        <v>停止</v>
      </c>
      <c r="K1569" s="30" t="n">
        <v>60</v>
      </c>
      <c r="L1569" s="30" t="n">
        <v>0</v>
      </c>
      <c r="M1569" s="30" t="str">
        <f aca="false">IF(K1569&lt;判定条件!$C$6,"判定不能",IF(L1569&gt;=判定条件!$C$7*K1569,"運転",IF(L1569&lt;=判定条件!$C$8*K1569,"停止","断続")))</f>
        <v>停止</v>
      </c>
      <c r="N1569" s="30" t="n">
        <v>60</v>
      </c>
      <c r="O1569" s="30" t="n">
        <v>0</v>
      </c>
      <c r="P1569" s="30" t="str">
        <f aca="false">IF(N1569&lt;判定条件!$C$6,"判定不能",IF(O1569&gt;=判定条件!$C$7*N1569,"運転",IF(O1569&lt;=判定条件!$C$8*N1569,"停止","断続")))</f>
        <v>停止</v>
      </c>
      <c r="Q1569" s="30" t="n">
        <v>60</v>
      </c>
      <c r="R1569" s="30" t="n">
        <v>0</v>
      </c>
      <c r="S1569" s="30" t="str">
        <f aca="false">IF(Q1569&lt;判定条件!$C$6,"判定不能",IF(R1569&gt;=判定条件!$C$7*Q1569,"運転",IF(R1569&lt;=判定条件!$C$8*Q1569,"停止","断続")))</f>
        <v>停止</v>
      </c>
      <c r="T1569" s="30" t="n">
        <v>60</v>
      </c>
      <c r="U1569" s="30" t="n">
        <v>0</v>
      </c>
      <c r="V1569" s="30" t="str">
        <f aca="false">IF(T1569&lt;判定条件!$C$6,"判定不能",IF(U1569&gt;=判定条件!$C$7*T1569,"運転",IF(U1569&lt;=判定条件!$C$8*T1569,"停止","断続")))</f>
        <v>停止</v>
      </c>
      <c r="W1569" s="30" t="n">
        <v>60</v>
      </c>
      <c r="X1569" s="30" t="n">
        <v>0</v>
      </c>
      <c r="Y1569" s="30" t="str">
        <f aca="false">IF(W1569&lt;判定条件!$C$6,"判定不能",IF(X1569&gt;=判定条件!$C$7*W1569,"運転",IF(X1569&lt;=判定条件!$C$8*W1569,"停止","断続")))</f>
        <v>停止</v>
      </c>
      <c r="Z1569" s="30" t="n">
        <v>60</v>
      </c>
      <c r="AA1569" s="30" t="n">
        <v>0</v>
      </c>
      <c r="AB1569" s="30" t="str">
        <f aca="false">IF(Z1569&lt;判定条件!$C$6,"判定不能",IF(AA1569&gt;=判定条件!$C$7*Z1569,"運転",IF(AA1569&lt;=判定条件!$C$8*Z1569,"停止","断続")))</f>
        <v>停止</v>
      </c>
      <c r="AC1569" s="30" t="n">
        <v>60</v>
      </c>
      <c r="AD1569" s="30" t="n">
        <v>0</v>
      </c>
      <c r="AE1569" s="30" t="str">
        <f aca="false">IF(AC1569&lt;判定条件!$C$6,"判定不能",IF(AD1569&gt;=判定条件!$C$7*AC1569,"運転",IF(AD1569&lt;=判定条件!$C$8*AC1569,"停止","断続")))</f>
        <v>停止</v>
      </c>
      <c r="AF1569" s="30" t="n">
        <v>60</v>
      </c>
      <c r="AG1569" s="30" t="n">
        <v>0</v>
      </c>
      <c r="AH1569" s="30" t="str">
        <f aca="false">IF(OR(P1569="判定不能",G1569="判定不能"),"判定不能",IF(AG1569&gt;=判定条件!$C$9,"利用可",IF(AND(P1569="停止",G1569="停止"),"両方停止","運転がそろわない")))</f>
        <v>両方停止</v>
      </c>
      <c r="AI1569" s="30" t="n">
        <v>60</v>
      </c>
      <c r="AJ1569" s="30" t="n">
        <v>0</v>
      </c>
      <c r="AK1569" s="30" t="str">
        <f aca="false">IF(OR(S1569="判定不能",J1569="判定不能"),"判定不能",IF(AJ1569&gt;=判定条件!$C$9,"利用可",IF(AND(S1569="停止",J1569="停止"),"両方停止","運転がそろわない")))</f>
        <v>両方停止</v>
      </c>
      <c r="AL1569" s="30" t="n">
        <v>60</v>
      </c>
      <c r="AM1569" s="30" t="n">
        <v>0</v>
      </c>
      <c r="AN1569" s="30" t="str">
        <f aca="false">IF(OR(V1569="判定不能",M1569="判定不能"),"判定不能",IF(AM1569&gt;=判定条件!$C$9,"利用可",IF(AND(V1569="停止",M1569="停止"),"両方停止","運転がそろわない")))</f>
        <v>両方停止</v>
      </c>
      <c r="AO1569" s="30" t="n">
        <v>60</v>
      </c>
      <c r="AP1569" s="30" t="n">
        <v>0</v>
      </c>
      <c r="AQ1569" s="30" t="str">
        <f aca="false">IF(OR(Y1569="判定不能",G1569="判定不能"),"判定不能",IF(AP1569&gt;=判定条件!$C$9,"利用可",IF(AND(Y1569="停止",G1569="停止"),"両方停止","運転がそろわない")))</f>
        <v>両方停止</v>
      </c>
      <c r="AR1569" s="30" t="n">
        <v>60</v>
      </c>
      <c r="AS1569" s="30" t="n">
        <v>0</v>
      </c>
      <c r="AT1569" s="30" t="str">
        <f aca="false">IF(OR(AB1569="判定不能",J1569="判定不能"),"判定不能",IF(AS1569&gt;=判定条件!$C$9,"利用可",IF(AND(AB1569="停止",J1569="停止"),"両方停止","運転がそろわない")))</f>
        <v>両方停止</v>
      </c>
      <c r="AU1569" s="30" t="n">
        <v>60</v>
      </c>
      <c r="AV1569" s="30" t="n">
        <v>0</v>
      </c>
      <c r="AW1569" s="30" t="str">
        <f aca="false">IF(OR(AE1569="判定不能",M1569="判定不能"),"判定不能",IF(AV1569&gt;=判定条件!$C$9,"利用可",IF(AND(AE1569="停止",M1569="停止"),"両方停止","運転がそろわない")))</f>
        <v>両方停止</v>
      </c>
      <c r="AX1569" s="30" t="str">
        <f aca="false">IF(AND(AH1569="利用可",AK1569="利用可",AN1569="利用可"),"利用可","不可")</f>
        <v>不可</v>
      </c>
      <c r="AY1569" s="30" t="str">
        <f aca="false">IF(AND(AQ1569="利用可",AT1569="利用可",AW1569="利用可"),"利用可","不可")</f>
        <v>不可</v>
      </c>
    </row>
    <row r="1570" customFormat="false" ht="15" hidden="false" customHeight="false" outlineLevel="0" collapsed="false">
      <c r="A1570" s="29" t="n">
        <v>46297</v>
      </c>
      <c r="B1570" s="30" t="n">
        <v>7</v>
      </c>
      <c r="C1570" s="31" t="s">
        <v>62</v>
      </c>
      <c r="D1570" s="31" t="s">
        <v>59</v>
      </c>
      <c r="E1570" s="30" t="n">
        <v>60</v>
      </c>
      <c r="F1570" s="30" t="n">
        <v>0</v>
      </c>
      <c r="G1570" s="30" t="str">
        <f aca="false">IF(E1570&lt;判定条件!$C$6,"判定不能",IF(F1570&gt;=判定条件!$C$7*E1570,"運転",IF(F1570&lt;=判定条件!$C$8*E1570,"停止","断続")))</f>
        <v>停止</v>
      </c>
      <c r="H1570" s="30" t="n">
        <v>60</v>
      </c>
      <c r="I1570" s="30" t="n">
        <v>0</v>
      </c>
      <c r="J1570" s="30" t="str">
        <f aca="false">IF(H1570&lt;判定条件!$C$6,"判定不能",IF(I1570&gt;=判定条件!$C$7*H1570,"運転",IF(I1570&lt;=判定条件!$C$8*H1570,"停止","断続")))</f>
        <v>停止</v>
      </c>
      <c r="K1570" s="30" t="n">
        <v>60</v>
      </c>
      <c r="L1570" s="30" t="n">
        <v>0</v>
      </c>
      <c r="M1570" s="30" t="str">
        <f aca="false">IF(K1570&lt;判定条件!$C$6,"判定不能",IF(L1570&gt;=判定条件!$C$7*K1570,"運転",IF(L1570&lt;=判定条件!$C$8*K1570,"停止","断続")))</f>
        <v>停止</v>
      </c>
      <c r="N1570" s="30" t="n">
        <v>60</v>
      </c>
      <c r="O1570" s="30" t="n">
        <v>0</v>
      </c>
      <c r="P1570" s="30" t="str">
        <f aca="false">IF(N1570&lt;判定条件!$C$6,"判定不能",IF(O1570&gt;=判定条件!$C$7*N1570,"運転",IF(O1570&lt;=判定条件!$C$8*N1570,"停止","断続")))</f>
        <v>停止</v>
      </c>
      <c r="Q1570" s="30" t="n">
        <v>60</v>
      </c>
      <c r="R1570" s="30" t="n">
        <v>28</v>
      </c>
      <c r="S1570" s="30" t="str">
        <f aca="false">IF(Q1570&lt;判定条件!$C$6,"判定不能",IF(R1570&gt;=判定条件!$C$7*Q1570,"運転",IF(R1570&lt;=判定条件!$C$8*Q1570,"停止","断続")))</f>
        <v>断続</v>
      </c>
      <c r="T1570" s="30" t="n">
        <v>60</v>
      </c>
      <c r="U1570" s="30" t="n">
        <v>7</v>
      </c>
      <c r="V1570" s="30" t="str">
        <f aca="false">IF(T1570&lt;判定条件!$C$6,"判定不能",IF(U1570&gt;=判定条件!$C$7*T1570,"運転",IF(U1570&lt;=判定条件!$C$8*T1570,"停止","断続")))</f>
        <v>停止</v>
      </c>
      <c r="W1570" s="30" t="n">
        <v>60</v>
      </c>
      <c r="X1570" s="30" t="n">
        <v>39</v>
      </c>
      <c r="Y1570" s="30" t="str">
        <f aca="false">IF(W1570&lt;判定条件!$C$6,"判定不能",IF(X1570&gt;=判定条件!$C$7*W1570,"運転",IF(X1570&lt;=判定条件!$C$8*W1570,"停止","断続")))</f>
        <v>断続</v>
      </c>
      <c r="Z1570" s="30" t="n">
        <v>60</v>
      </c>
      <c r="AA1570" s="30" t="n">
        <v>18</v>
      </c>
      <c r="AB1570" s="30" t="str">
        <f aca="false">IF(Z1570&lt;判定条件!$C$6,"判定不能",IF(AA1570&gt;=判定条件!$C$7*Z1570,"運転",IF(AA1570&lt;=判定条件!$C$8*Z1570,"停止","断続")))</f>
        <v>断続</v>
      </c>
      <c r="AC1570" s="30" t="n">
        <v>60</v>
      </c>
      <c r="AD1570" s="30" t="n">
        <v>56</v>
      </c>
      <c r="AE1570" s="30" t="str">
        <f aca="false">IF(AC1570&lt;判定条件!$C$6,"判定不能",IF(AD1570&gt;=判定条件!$C$7*AC1570,"運転",IF(AD1570&lt;=判定条件!$C$8*AC1570,"停止","断続")))</f>
        <v>運転</v>
      </c>
      <c r="AF1570" s="30" t="n">
        <v>60</v>
      </c>
      <c r="AG1570" s="30" t="n">
        <v>0</v>
      </c>
      <c r="AH1570" s="30" t="str">
        <f aca="false">IF(OR(P1570="判定不能",G1570="判定不能"),"判定不能",IF(AG1570&gt;=判定条件!$C$9,"利用可",IF(AND(P1570="停止",G1570="停止"),"両方停止","運転がそろわない")))</f>
        <v>両方停止</v>
      </c>
      <c r="AI1570" s="30" t="n">
        <v>60</v>
      </c>
      <c r="AJ1570" s="30" t="n">
        <v>0</v>
      </c>
      <c r="AK1570" s="30" t="str">
        <f aca="false">IF(OR(S1570="判定不能",J1570="判定不能"),"判定不能",IF(AJ1570&gt;=判定条件!$C$9,"利用可",IF(AND(S1570="停止",J1570="停止"),"両方停止","運転がそろわない")))</f>
        <v>運転がそろわない</v>
      </c>
      <c r="AL1570" s="30" t="n">
        <v>60</v>
      </c>
      <c r="AM1570" s="30" t="n">
        <v>0</v>
      </c>
      <c r="AN1570" s="30" t="str">
        <f aca="false">IF(OR(V1570="判定不能",M1570="判定不能"),"判定不能",IF(AM1570&gt;=判定条件!$C$9,"利用可",IF(AND(V1570="停止",M1570="停止"),"両方停止","運転がそろわない")))</f>
        <v>両方停止</v>
      </c>
      <c r="AO1570" s="30" t="n">
        <v>60</v>
      </c>
      <c r="AP1570" s="30" t="n">
        <v>0</v>
      </c>
      <c r="AQ1570" s="30" t="str">
        <f aca="false">IF(OR(Y1570="判定不能",G1570="判定不能"),"判定不能",IF(AP1570&gt;=判定条件!$C$9,"利用可",IF(AND(Y1570="停止",G1570="停止"),"両方停止","運転がそろわない")))</f>
        <v>運転がそろわない</v>
      </c>
      <c r="AR1570" s="30" t="n">
        <v>60</v>
      </c>
      <c r="AS1570" s="30" t="n">
        <v>0</v>
      </c>
      <c r="AT1570" s="30" t="str">
        <f aca="false">IF(OR(AB1570="判定不能",J1570="判定不能"),"判定不能",IF(AS1570&gt;=判定条件!$C$9,"利用可",IF(AND(AB1570="停止",J1570="停止"),"両方停止","運転がそろわない")))</f>
        <v>運転がそろわない</v>
      </c>
      <c r="AU1570" s="30" t="n">
        <v>60</v>
      </c>
      <c r="AV1570" s="30" t="n">
        <v>0</v>
      </c>
      <c r="AW1570" s="30" t="str">
        <f aca="false">IF(OR(AE1570="判定不能",M1570="判定不能"),"判定不能",IF(AV1570&gt;=判定条件!$C$9,"利用可",IF(AND(AE1570="停止",M1570="停止"),"両方停止","運転がそろわない")))</f>
        <v>運転がそろわない</v>
      </c>
      <c r="AX1570" s="30" t="str">
        <f aca="false">IF(AND(AH1570="利用可",AK1570="利用可",AN1570="利用可"),"利用可","不可")</f>
        <v>不可</v>
      </c>
      <c r="AY1570" s="30" t="str">
        <f aca="false">IF(AND(AQ1570="利用可",AT1570="利用可",AW1570="利用可"),"利用可","不可")</f>
        <v>不可</v>
      </c>
    </row>
    <row r="1571" customFormat="false" ht="15" hidden="false" customHeight="false" outlineLevel="0" collapsed="false">
      <c r="A1571" s="29" t="n">
        <v>46297</v>
      </c>
      <c r="B1571" s="30" t="n">
        <v>8</v>
      </c>
      <c r="C1571" s="31" t="s">
        <v>62</v>
      </c>
      <c r="D1571" s="31" t="s">
        <v>59</v>
      </c>
      <c r="E1571" s="30" t="n">
        <v>60</v>
      </c>
      <c r="F1571" s="30" t="n">
        <v>0</v>
      </c>
      <c r="G1571" s="30" t="str">
        <f aca="false">IF(E1571&lt;判定条件!$C$6,"判定不能",IF(F1571&gt;=判定条件!$C$7*E1571,"運転",IF(F1571&lt;=判定条件!$C$8*E1571,"停止","断続")))</f>
        <v>停止</v>
      </c>
      <c r="H1571" s="30" t="n">
        <v>60</v>
      </c>
      <c r="I1571" s="30" t="n">
        <v>0</v>
      </c>
      <c r="J1571" s="30" t="str">
        <f aca="false">IF(H1571&lt;判定条件!$C$6,"判定不能",IF(I1571&gt;=判定条件!$C$7*H1571,"運転",IF(I1571&lt;=判定条件!$C$8*H1571,"停止","断続")))</f>
        <v>停止</v>
      </c>
      <c r="K1571" s="30" t="n">
        <v>60</v>
      </c>
      <c r="L1571" s="30" t="n">
        <v>0</v>
      </c>
      <c r="M1571" s="30" t="str">
        <f aca="false">IF(K1571&lt;判定条件!$C$6,"判定不能",IF(L1571&gt;=判定条件!$C$7*K1571,"運転",IF(L1571&lt;=判定条件!$C$8*K1571,"停止","断続")))</f>
        <v>停止</v>
      </c>
      <c r="N1571" s="30" t="n">
        <v>60</v>
      </c>
      <c r="O1571" s="30" t="n">
        <v>0</v>
      </c>
      <c r="P1571" s="30" t="str">
        <f aca="false">IF(N1571&lt;判定条件!$C$6,"判定不能",IF(O1571&gt;=判定条件!$C$7*N1571,"運転",IF(O1571&lt;=判定条件!$C$8*N1571,"停止","断続")))</f>
        <v>停止</v>
      </c>
      <c r="Q1571" s="30" t="n">
        <v>60</v>
      </c>
      <c r="R1571" s="30" t="n">
        <v>11</v>
      </c>
      <c r="S1571" s="30" t="str">
        <f aca="false">IF(Q1571&lt;判定条件!$C$6,"判定不能",IF(R1571&gt;=判定条件!$C$7*Q1571,"運転",IF(R1571&lt;=判定条件!$C$8*Q1571,"停止","断続")))</f>
        <v>停止</v>
      </c>
      <c r="T1571" s="30" t="n">
        <v>60</v>
      </c>
      <c r="U1571" s="30" t="n">
        <v>60</v>
      </c>
      <c r="V1571" s="30" t="str">
        <f aca="false">IF(T1571&lt;判定条件!$C$6,"判定不能",IF(U1571&gt;=判定条件!$C$7*T1571,"運転",IF(U1571&lt;=判定条件!$C$8*T1571,"停止","断続")))</f>
        <v>運転</v>
      </c>
      <c r="W1571" s="30" t="n">
        <v>60</v>
      </c>
      <c r="X1571" s="30" t="n">
        <v>55</v>
      </c>
      <c r="Y1571" s="30" t="str">
        <f aca="false">IF(W1571&lt;判定条件!$C$6,"判定不能",IF(X1571&gt;=判定条件!$C$7*W1571,"運転",IF(X1571&lt;=判定条件!$C$8*W1571,"停止","断続")))</f>
        <v>運転</v>
      </c>
      <c r="Z1571" s="30" t="n">
        <v>60</v>
      </c>
      <c r="AA1571" s="30" t="n">
        <v>49</v>
      </c>
      <c r="AB1571" s="30" t="str">
        <f aca="false">IF(Z1571&lt;判定条件!$C$6,"判定不能",IF(AA1571&gt;=判定条件!$C$7*Z1571,"運転",IF(AA1571&lt;=判定条件!$C$8*Z1571,"停止","断続")))</f>
        <v>運転</v>
      </c>
      <c r="AC1571" s="30" t="n">
        <v>60</v>
      </c>
      <c r="AD1571" s="30" t="n">
        <v>42</v>
      </c>
      <c r="AE1571" s="30" t="str">
        <f aca="false">IF(AC1571&lt;判定条件!$C$6,"判定不能",IF(AD1571&gt;=判定条件!$C$7*AC1571,"運転",IF(AD1571&lt;=判定条件!$C$8*AC1571,"停止","断続")))</f>
        <v>断続</v>
      </c>
      <c r="AF1571" s="30" t="n">
        <v>60</v>
      </c>
      <c r="AG1571" s="30" t="n">
        <v>0</v>
      </c>
      <c r="AH1571" s="30" t="str">
        <f aca="false">IF(OR(P1571="判定不能",G1571="判定不能"),"判定不能",IF(AG1571&gt;=判定条件!$C$9,"利用可",IF(AND(P1571="停止",G1571="停止"),"両方停止","運転がそろわない")))</f>
        <v>両方停止</v>
      </c>
      <c r="AI1571" s="30" t="n">
        <v>60</v>
      </c>
      <c r="AJ1571" s="30" t="n">
        <v>0</v>
      </c>
      <c r="AK1571" s="30" t="str">
        <f aca="false">IF(OR(S1571="判定不能",J1571="判定不能"),"判定不能",IF(AJ1571&gt;=判定条件!$C$9,"利用可",IF(AND(S1571="停止",J1571="停止"),"両方停止","運転がそろわない")))</f>
        <v>両方停止</v>
      </c>
      <c r="AL1571" s="30" t="n">
        <v>60</v>
      </c>
      <c r="AM1571" s="30" t="n">
        <v>0</v>
      </c>
      <c r="AN1571" s="30" t="str">
        <f aca="false">IF(OR(V1571="判定不能",M1571="判定不能"),"判定不能",IF(AM1571&gt;=判定条件!$C$9,"利用可",IF(AND(V1571="停止",M1571="停止"),"両方停止","運転がそろわない")))</f>
        <v>運転がそろわない</v>
      </c>
      <c r="AO1571" s="30" t="n">
        <v>60</v>
      </c>
      <c r="AP1571" s="30" t="n">
        <v>0</v>
      </c>
      <c r="AQ1571" s="30" t="str">
        <f aca="false">IF(OR(Y1571="判定不能",G1571="判定不能"),"判定不能",IF(AP1571&gt;=判定条件!$C$9,"利用可",IF(AND(Y1571="停止",G1571="停止"),"両方停止","運転がそろわない")))</f>
        <v>運転がそろわない</v>
      </c>
      <c r="AR1571" s="30" t="n">
        <v>60</v>
      </c>
      <c r="AS1571" s="30" t="n">
        <v>0</v>
      </c>
      <c r="AT1571" s="30" t="str">
        <f aca="false">IF(OR(AB1571="判定不能",J1571="判定不能"),"判定不能",IF(AS1571&gt;=判定条件!$C$9,"利用可",IF(AND(AB1571="停止",J1571="停止"),"両方停止","運転がそろわない")))</f>
        <v>運転がそろわない</v>
      </c>
      <c r="AU1571" s="30" t="n">
        <v>60</v>
      </c>
      <c r="AV1571" s="30" t="n">
        <v>0</v>
      </c>
      <c r="AW1571" s="30" t="str">
        <f aca="false">IF(OR(AE1571="判定不能",M1571="判定不能"),"判定不能",IF(AV1571&gt;=判定条件!$C$9,"利用可",IF(AND(AE1571="停止",M1571="停止"),"両方停止","運転がそろわない")))</f>
        <v>運転がそろわない</v>
      </c>
      <c r="AX1571" s="30" t="str">
        <f aca="false">IF(AND(AH1571="利用可",AK1571="利用可",AN1571="利用可"),"利用可","不可")</f>
        <v>不可</v>
      </c>
      <c r="AY1571" s="30" t="str">
        <f aca="false">IF(AND(AQ1571="利用可",AT1571="利用可",AW1571="利用可"),"利用可","不可")</f>
        <v>不可</v>
      </c>
    </row>
    <row r="1572" customFormat="false" ht="15" hidden="false" customHeight="false" outlineLevel="0" collapsed="false">
      <c r="A1572" s="29" t="n">
        <v>46297</v>
      </c>
      <c r="B1572" s="30" t="n">
        <v>9</v>
      </c>
      <c r="C1572" s="31" t="s">
        <v>62</v>
      </c>
      <c r="D1572" s="31" t="s">
        <v>59</v>
      </c>
      <c r="E1572" s="30" t="n">
        <v>60</v>
      </c>
      <c r="F1572" s="30" t="n">
        <v>9</v>
      </c>
      <c r="G1572" s="30" t="str">
        <f aca="false">IF(E1572&lt;判定条件!$C$6,"判定不能",IF(F1572&gt;=判定条件!$C$7*E1572,"運転",IF(F1572&lt;=判定条件!$C$8*E1572,"停止","断続")))</f>
        <v>停止</v>
      </c>
      <c r="H1572" s="30" t="n">
        <v>60</v>
      </c>
      <c r="I1572" s="30" t="n">
        <v>23</v>
      </c>
      <c r="J1572" s="30" t="str">
        <f aca="false">IF(H1572&lt;判定条件!$C$6,"判定不能",IF(I1572&gt;=判定条件!$C$7*H1572,"運転",IF(I1572&lt;=判定条件!$C$8*H1572,"停止","断続")))</f>
        <v>断続</v>
      </c>
      <c r="K1572" s="30" t="n">
        <v>60</v>
      </c>
      <c r="L1572" s="30" t="n">
        <v>8</v>
      </c>
      <c r="M1572" s="30" t="str">
        <f aca="false">IF(K1572&lt;判定条件!$C$6,"判定不能",IF(L1572&gt;=判定条件!$C$7*K1572,"運転",IF(L1572&lt;=判定条件!$C$8*K1572,"停止","断続")))</f>
        <v>停止</v>
      </c>
      <c r="N1572" s="30" t="n">
        <v>60</v>
      </c>
      <c r="O1572" s="30" t="n">
        <v>37</v>
      </c>
      <c r="P1572" s="30" t="str">
        <f aca="false">IF(N1572&lt;判定条件!$C$6,"判定不能",IF(O1572&gt;=判定条件!$C$7*N1572,"運転",IF(O1572&lt;=判定条件!$C$8*N1572,"停止","断続")))</f>
        <v>断続</v>
      </c>
      <c r="Q1572" s="30" t="n">
        <v>60</v>
      </c>
      <c r="R1572" s="30" t="n">
        <v>26</v>
      </c>
      <c r="S1572" s="30" t="str">
        <f aca="false">IF(Q1572&lt;判定条件!$C$6,"判定不能",IF(R1572&gt;=判定条件!$C$7*Q1572,"運転",IF(R1572&lt;=判定条件!$C$8*Q1572,"停止","断続")))</f>
        <v>断続</v>
      </c>
      <c r="T1572" s="30" t="n">
        <v>60</v>
      </c>
      <c r="U1572" s="30" t="n">
        <v>14</v>
      </c>
      <c r="V1572" s="30" t="str">
        <f aca="false">IF(T1572&lt;判定条件!$C$6,"判定不能",IF(U1572&gt;=判定条件!$C$7*T1572,"運転",IF(U1572&lt;=判定条件!$C$8*T1572,"停止","断続")))</f>
        <v>断続</v>
      </c>
      <c r="W1572" s="30" t="n">
        <v>60</v>
      </c>
      <c r="X1572" s="30" t="n">
        <v>38</v>
      </c>
      <c r="Y1572" s="30" t="str">
        <f aca="false">IF(W1572&lt;判定条件!$C$6,"判定不能",IF(X1572&gt;=判定条件!$C$7*W1572,"運転",IF(X1572&lt;=判定条件!$C$8*W1572,"停止","断続")))</f>
        <v>断続</v>
      </c>
      <c r="Z1572" s="30" t="n">
        <v>60</v>
      </c>
      <c r="AA1572" s="30" t="n">
        <v>44</v>
      </c>
      <c r="AB1572" s="30" t="str">
        <f aca="false">IF(Z1572&lt;判定条件!$C$6,"判定不能",IF(AA1572&gt;=判定条件!$C$7*Z1572,"運転",IF(AA1572&lt;=判定条件!$C$8*Z1572,"停止","断続")))</f>
        <v>断続</v>
      </c>
      <c r="AC1572" s="30" t="n">
        <v>60</v>
      </c>
      <c r="AD1572" s="30" t="n">
        <v>26</v>
      </c>
      <c r="AE1572" s="30" t="str">
        <f aca="false">IF(AC1572&lt;判定条件!$C$6,"判定不能",IF(AD1572&gt;=判定条件!$C$7*AC1572,"運転",IF(AD1572&lt;=判定条件!$C$8*AC1572,"停止","断続")))</f>
        <v>断続</v>
      </c>
      <c r="AF1572" s="30" t="n">
        <v>60</v>
      </c>
      <c r="AG1572" s="30" t="n">
        <v>9</v>
      </c>
      <c r="AH1572" s="30" t="str">
        <f aca="false">IF(OR(P1572="判定不能",G1572="判定不能"),"判定不能",IF(AG1572&gt;=判定条件!$C$9,"利用可",IF(AND(P1572="停止",G1572="停止"),"両方停止","運転がそろわない")))</f>
        <v>運転がそろわない</v>
      </c>
      <c r="AI1572" s="30" t="n">
        <v>60</v>
      </c>
      <c r="AJ1572" s="30" t="n">
        <v>4</v>
      </c>
      <c r="AK1572" s="30" t="str">
        <f aca="false">IF(OR(S1572="判定不能",J1572="判定不能"),"判定不能",IF(AJ1572&gt;=判定条件!$C$9,"利用可",IF(AND(S1572="停止",J1572="停止"),"両方停止","運転がそろわない")))</f>
        <v>運転がそろわない</v>
      </c>
      <c r="AL1572" s="30" t="n">
        <v>60</v>
      </c>
      <c r="AM1572" s="30" t="n">
        <v>0</v>
      </c>
      <c r="AN1572" s="30" t="str">
        <f aca="false">IF(OR(V1572="判定不能",M1572="判定不能"),"判定不能",IF(AM1572&gt;=判定条件!$C$9,"利用可",IF(AND(V1572="停止",M1572="停止"),"両方停止","運転がそろわない")))</f>
        <v>運転がそろわない</v>
      </c>
      <c r="AO1572" s="30" t="n">
        <v>60</v>
      </c>
      <c r="AP1572" s="30" t="n">
        <v>7</v>
      </c>
      <c r="AQ1572" s="30" t="str">
        <f aca="false">IF(OR(Y1572="判定不能",G1572="判定不能"),"判定不能",IF(AP1572&gt;=判定条件!$C$9,"利用可",IF(AND(Y1572="停止",G1572="停止"),"両方停止","運転がそろわない")))</f>
        <v>運転がそろわない</v>
      </c>
      <c r="AR1572" s="30" t="n">
        <v>60</v>
      </c>
      <c r="AS1572" s="30" t="n">
        <v>20</v>
      </c>
      <c r="AT1572" s="30" t="str">
        <f aca="false">IF(OR(AB1572="判定不能",J1572="判定不能"),"判定不能",IF(AS1572&gt;=判定条件!$C$9,"利用可",IF(AND(AB1572="停止",J1572="停止"),"両方停止","運転がそろわない")))</f>
        <v>運転がそろわない</v>
      </c>
      <c r="AU1572" s="30" t="n">
        <v>60</v>
      </c>
      <c r="AV1572" s="30" t="n">
        <v>4</v>
      </c>
      <c r="AW1572" s="30" t="str">
        <f aca="false">IF(OR(AE1572="判定不能",M1572="判定不能"),"判定不能",IF(AV1572&gt;=判定条件!$C$9,"利用可",IF(AND(AE1572="停止",M1572="停止"),"両方停止","運転がそろわない")))</f>
        <v>運転がそろわない</v>
      </c>
      <c r="AX1572" s="30" t="str">
        <f aca="false">IF(AND(AH1572="利用可",AK1572="利用可",AN1572="利用可"),"利用可","不可")</f>
        <v>不可</v>
      </c>
      <c r="AY1572" s="30" t="str">
        <f aca="false">IF(AND(AQ1572="利用可",AT1572="利用可",AW1572="利用可"),"利用可","不可")</f>
        <v>不可</v>
      </c>
    </row>
    <row r="1573" customFormat="false" ht="15" hidden="false" customHeight="false" outlineLevel="0" collapsed="false">
      <c r="A1573" s="29" t="n">
        <v>46297</v>
      </c>
      <c r="B1573" s="30" t="n">
        <v>10</v>
      </c>
      <c r="C1573" s="31" t="s">
        <v>62</v>
      </c>
      <c r="D1573" s="31" t="s">
        <v>59</v>
      </c>
      <c r="E1573" s="30" t="n">
        <v>60</v>
      </c>
      <c r="F1573" s="30" t="n">
        <v>2</v>
      </c>
      <c r="G1573" s="30" t="str">
        <f aca="false">IF(E1573&lt;判定条件!$C$6,"判定不能",IF(F1573&gt;=判定条件!$C$7*E1573,"運転",IF(F1573&lt;=判定条件!$C$8*E1573,"停止","断続")))</f>
        <v>停止</v>
      </c>
      <c r="H1573" s="30" t="n">
        <v>60</v>
      </c>
      <c r="I1573" s="30" t="n">
        <v>12</v>
      </c>
      <c r="J1573" s="30" t="str">
        <f aca="false">IF(H1573&lt;判定条件!$C$6,"判定不能",IF(I1573&gt;=判定条件!$C$7*H1573,"運転",IF(I1573&lt;=判定条件!$C$8*H1573,"停止","断続")))</f>
        <v>停止</v>
      </c>
      <c r="K1573" s="30" t="n">
        <v>60</v>
      </c>
      <c r="L1573" s="30" t="n">
        <v>23</v>
      </c>
      <c r="M1573" s="30" t="str">
        <f aca="false">IF(K1573&lt;判定条件!$C$6,"判定不能",IF(L1573&gt;=判定条件!$C$7*K1573,"運転",IF(L1573&lt;=判定条件!$C$8*K1573,"停止","断続")))</f>
        <v>断続</v>
      </c>
      <c r="N1573" s="30" t="n">
        <v>60</v>
      </c>
      <c r="O1573" s="30" t="n">
        <v>25</v>
      </c>
      <c r="P1573" s="30" t="str">
        <f aca="false">IF(N1573&lt;判定条件!$C$6,"判定不能",IF(O1573&gt;=判定条件!$C$7*N1573,"運転",IF(O1573&lt;=判定条件!$C$8*N1573,"停止","断続")))</f>
        <v>断続</v>
      </c>
      <c r="Q1573" s="30" t="n">
        <v>60</v>
      </c>
      <c r="R1573" s="30" t="n">
        <v>25</v>
      </c>
      <c r="S1573" s="30" t="str">
        <f aca="false">IF(Q1573&lt;判定条件!$C$6,"判定不能",IF(R1573&gt;=判定条件!$C$7*Q1573,"運転",IF(R1573&lt;=判定条件!$C$8*Q1573,"停止","断続")))</f>
        <v>断続</v>
      </c>
      <c r="T1573" s="30" t="n">
        <v>60</v>
      </c>
      <c r="U1573" s="30" t="n">
        <v>27</v>
      </c>
      <c r="V1573" s="30" t="str">
        <f aca="false">IF(T1573&lt;判定条件!$C$6,"判定不能",IF(U1573&gt;=判定条件!$C$7*T1573,"運転",IF(U1573&lt;=判定条件!$C$8*T1573,"停止","断続")))</f>
        <v>断続</v>
      </c>
      <c r="W1573" s="30" t="n">
        <v>60</v>
      </c>
      <c r="X1573" s="30" t="n">
        <v>55</v>
      </c>
      <c r="Y1573" s="30" t="str">
        <f aca="false">IF(W1573&lt;判定条件!$C$6,"判定不能",IF(X1573&gt;=判定条件!$C$7*W1573,"運転",IF(X1573&lt;=判定条件!$C$8*W1573,"停止","断続")))</f>
        <v>運転</v>
      </c>
      <c r="Z1573" s="30" t="n">
        <v>60</v>
      </c>
      <c r="AA1573" s="30" t="n">
        <v>40</v>
      </c>
      <c r="AB1573" s="30" t="str">
        <f aca="false">IF(Z1573&lt;判定条件!$C$6,"判定不能",IF(AA1573&gt;=判定条件!$C$7*Z1573,"運転",IF(AA1573&lt;=判定条件!$C$8*Z1573,"停止","断続")))</f>
        <v>断続</v>
      </c>
      <c r="AC1573" s="30" t="n">
        <v>60</v>
      </c>
      <c r="AD1573" s="30" t="n">
        <v>37</v>
      </c>
      <c r="AE1573" s="30" t="str">
        <f aca="false">IF(AC1573&lt;判定条件!$C$6,"判定不能",IF(AD1573&gt;=判定条件!$C$7*AC1573,"運転",IF(AD1573&lt;=判定条件!$C$8*AC1573,"停止","断続")))</f>
        <v>断続</v>
      </c>
      <c r="AF1573" s="30" t="n">
        <v>60</v>
      </c>
      <c r="AG1573" s="30" t="n">
        <v>0</v>
      </c>
      <c r="AH1573" s="30" t="str">
        <f aca="false">IF(OR(P1573="判定不能",G1573="判定不能"),"判定不能",IF(AG1573&gt;=判定条件!$C$9,"利用可",IF(AND(P1573="停止",G1573="停止"),"両方停止","運転がそろわない")))</f>
        <v>運転がそろわない</v>
      </c>
      <c r="AI1573" s="30" t="n">
        <v>60</v>
      </c>
      <c r="AJ1573" s="30" t="n">
        <v>2</v>
      </c>
      <c r="AK1573" s="30" t="str">
        <f aca="false">IF(OR(S1573="判定不能",J1573="判定不能"),"判定不能",IF(AJ1573&gt;=判定条件!$C$9,"利用可",IF(AND(S1573="停止",J1573="停止"),"両方停止","運転がそろわない")))</f>
        <v>運転がそろわない</v>
      </c>
      <c r="AL1573" s="30" t="n">
        <v>60</v>
      </c>
      <c r="AM1573" s="30" t="n">
        <v>19</v>
      </c>
      <c r="AN1573" s="30" t="str">
        <f aca="false">IF(OR(V1573="判定不能",M1573="判定不能"),"判定不能",IF(AM1573&gt;=判定条件!$C$9,"利用可",IF(AND(V1573="停止",M1573="停止"),"両方停止","運転がそろわない")))</f>
        <v>運転がそろわない</v>
      </c>
      <c r="AO1573" s="30" t="n">
        <v>60</v>
      </c>
      <c r="AP1573" s="30" t="n">
        <v>2</v>
      </c>
      <c r="AQ1573" s="30" t="str">
        <f aca="false">IF(OR(Y1573="判定不能",G1573="判定不能"),"判定不能",IF(AP1573&gt;=判定条件!$C$9,"利用可",IF(AND(Y1573="停止",G1573="停止"),"両方停止","運転がそろわない")))</f>
        <v>運転がそろわない</v>
      </c>
      <c r="AR1573" s="30" t="n">
        <v>60</v>
      </c>
      <c r="AS1573" s="30" t="n">
        <v>5</v>
      </c>
      <c r="AT1573" s="30" t="str">
        <f aca="false">IF(OR(AB1573="判定不能",J1573="判定不能"),"判定不能",IF(AS1573&gt;=判定条件!$C$9,"利用可",IF(AND(AB1573="停止",J1573="停止"),"両方停止","運転がそろわない")))</f>
        <v>運転がそろわない</v>
      </c>
      <c r="AU1573" s="30" t="n">
        <v>60</v>
      </c>
      <c r="AV1573" s="30" t="n">
        <v>7</v>
      </c>
      <c r="AW1573" s="30" t="str">
        <f aca="false">IF(OR(AE1573="判定不能",M1573="判定不能"),"判定不能",IF(AV1573&gt;=判定条件!$C$9,"利用可",IF(AND(AE1573="停止",M1573="停止"),"両方停止","運転がそろわない")))</f>
        <v>運転がそろわない</v>
      </c>
      <c r="AX1573" s="30" t="str">
        <f aca="false">IF(AND(AH1573="利用可",AK1573="利用可",AN1573="利用可"),"利用可","不可")</f>
        <v>不可</v>
      </c>
      <c r="AY1573" s="30" t="str">
        <f aca="false">IF(AND(AQ1573="利用可",AT1573="利用可",AW1573="利用可"),"利用可","不可")</f>
        <v>不可</v>
      </c>
    </row>
    <row r="1574" customFormat="false" ht="15" hidden="false" customHeight="false" outlineLevel="0" collapsed="false">
      <c r="A1574" s="29" t="n">
        <v>46297</v>
      </c>
      <c r="B1574" s="30" t="n">
        <v>11</v>
      </c>
      <c r="C1574" s="31" t="s">
        <v>62</v>
      </c>
      <c r="D1574" s="31" t="s">
        <v>59</v>
      </c>
      <c r="E1574" s="30" t="n">
        <v>60</v>
      </c>
      <c r="F1574" s="30" t="n">
        <v>0</v>
      </c>
      <c r="G1574" s="30" t="str">
        <f aca="false">IF(E1574&lt;判定条件!$C$6,"判定不能",IF(F1574&gt;=判定条件!$C$7*E1574,"運転",IF(F1574&lt;=判定条件!$C$8*E1574,"停止","断続")))</f>
        <v>停止</v>
      </c>
      <c r="H1574" s="30" t="n">
        <v>60</v>
      </c>
      <c r="I1574" s="30" t="n">
        <v>13</v>
      </c>
      <c r="J1574" s="30" t="str">
        <f aca="false">IF(H1574&lt;判定条件!$C$6,"判定不能",IF(I1574&gt;=判定条件!$C$7*H1574,"運転",IF(I1574&lt;=判定条件!$C$8*H1574,"停止","断続")))</f>
        <v>断続</v>
      </c>
      <c r="K1574" s="30" t="n">
        <v>60</v>
      </c>
      <c r="L1574" s="30" t="n">
        <v>35</v>
      </c>
      <c r="M1574" s="30" t="str">
        <f aca="false">IF(K1574&lt;判定条件!$C$6,"判定不能",IF(L1574&gt;=判定条件!$C$7*K1574,"運転",IF(L1574&lt;=判定条件!$C$8*K1574,"停止","断続")))</f>
        <v>断続</v>
      </c>
      <c r="N1574" s="30" t="n">
        <v>60</v>
      </c>
      <c r="O1574" s="30" t="n">
        <v>37</v>
      </c>
      <c r="P1574" s="30" t="str">
        <f aca="false">IF(N1574&lt;判定条件!$C$6,"判定不能",IF(O1574&gt;=判定条件!$C$7*N1574,"運転",IF(O1574&lt;=判定条件!$C$8*N1574,"停止","断続")))</f>
        <v>断続</v>
      </c>
      <c r="Q1574" s="30" t="n">
        <v>60</v>
      </c>
      <c r="R1574" s="30" t="n">
        <v>38</v>
      </c>
      <c r="S1574" s="30" t="str">
        <f aca="false">IF(Q1574&lt;判定条件!$C$6,"判定不能",IF(R1574&gt;=判定条件!$C$7*Q1574,"運転",IF(R1574&lt;=判定条件!$C$8*Q1574,"停止","断続")))</f>
        <v>断続</v>
      </c>
      <c r="T1574" s="30" t="n">
        <v>60</v>
      </c>
      <c r="U1574" s="30" t="n">
        <v>37</v>
      </c>
      <c r="V1574" s="30" t="str">
        <f aca="false">IF(T1574&lt;判定条件!$C$6,"判定不能",IF(U1574&gt;=判定条件!$C$7*T1574,"運転",IF(U1574&lt;=判定条件!$C$8*T1574,"停止","断続")))</f>
        <v>断続</v>
      </c>
      <c r="W1574" s="30" t="n">
        <v>60</v>
      </c>
      <c r="X1574" s="30" t="n">
        <v>45</v>
      </c>
      <c r="Y1574" s="30" t="str">
        <f aca="false">IF(W1574&lt;判定条件!$C$6,"判定不能",IF(X1574&gt;=判定条件!$C$7*W1574,"運転",IF(X1574&lt;=判定条件!$C$8*W1574,"停止","断続")))</f>
        <v>断続</v>
      </c>
      <c r="Z1574" s="30" t="n">
        <v>60</v>
      </c>
      <c r="AA1574" s="30" t="n">
        <v>38</v>
      </c>
      <c r="AB1574" s="30" t="str">
        <f aca="false">IF(Z1574&lt;判定条件!$C$6,"判定不能",IF(AA1574&gt;=判定条件!$C$7*Z1574,"運転",IF(AA1574&lt;=判定条件!$C$8*Z1574,"停止","断続")))</f>
        <v>断続</v>
      </c>
      <c r="AC1574" s="30" t="n">
        <v>60</v>
      </c>
      <c r="AD1574" s="30" t="n">
        <v>30</v>
      </c>
      <c r="AE1574" s="30" t="str">
        <f aca="false">IF(AC1574&lt;判定条件!$C$6,"判定不能",IF(AD1574&gt;=判定条件!$C$7*AC1574,"運転",IF(AD1574&lt;=判定条件!$C$8*AC1574,"停止","断続")))</f>
        <v>断続</v>
      </c>
      <c r="AF1574" s="30" t="n">
        <v>60</v>
      </c>
      <c r="AG1574" s="30" t="n">
        <v>0</v>
      </c>
      <c r="AH1574" s="30" t="str">
        <f aca="false">IF(OR(P1574="判定不能",G1574="判定不能"),"判定不能",IF(AG1574&gt;=判定条件!$C$9,"利用可",IF(AND(P1574="停止",G1574="停止"),"両方停止","運転がそろわない")))</f>
        <v>運転がそろわない</v>
      </c>
      <c r="AI1574" s="30" t="n">
        <v>60</v>
      </c>
      <c r="AJ1574" s="30" t="n">
        <v>5</v>
      </c>
      <c r="AK1574" s="30" t="str">
        <f aca="false">IF(OR(S1574="判定不能",J1574="判定不能"),"判定不能",IF(AJ1574&gt;=判定条件!$C$9,"利用可",IF(AND(S1574="停止",J1574="停止"),"両方停止","運転がそろわない")))</f>
        <v>運転がそろわない</v>
      </c>
      <c r="AL1574" s="30" t="n">
        <v>60</v>
      </c>
      <c r="AM1574" s="30" t="n">
        <v>14</v>
      </c>
      <c r="AN1574" s="30" t="str">
        <f aca="false">IF(OR(V1574="判定不能",M1574="判定不能"),"判定不能",IF(AM1574&gt;=判定条件!$C$9,"利用可",IF(AND(V1574="停止",M1574="停止"),"両方停止","運転がそろわない")))</f>
        <v>運転がそろわない</v>
      </c>
      <c r="AO1574" s="30" t="n">
        <v>60</v>
      </c>
      <c r="AP1574" s="30" t="n">
        <v>0</v>
      </c>
      <c r="AQ1574" s="30" t="str">
        <f aca="false">IF(OR(Y1574="判定不能",G1574="判定不能"),"判定不能",IF(AP1574&gt;=判定条件!$C$9,"利用可",IF(AND(Y1574="停止",G1574="停止"),"両方停止","運転がそろわない")))</f>
        <v>運転がそろわない</v>
      </c>
      <c r="AR1574" s="30" t="n">
        <v>60</v>
      </c>
      <c r="AS1574" s="30" t="n">
        <v>8</v>
      </c>
      <c r="AT1574" s="30" t="str">
        <f aca="false">IF(OR(AB1574="判定不能",J1574="判定不能"),"判定不能",IF(AS1574&gt;=判定条件!$C$9,"利用可",IF(AND(AB1574="停止",J1574="停止"),"両方停止","運転がそろわない")))</f>
        <v>運転がそろわない</v>
      </c>
      <c r="AU1574" s="30" t="n">
        <v>60</v>
      </c>
      <c r="AV1574" s="30" t="n">
        <v>9</v>
      </c>
      <c r="AW1574" s="30" t="str">
        <f aca="false">IF(OR(AE1574="判定不能",M1574="判定不能"),"判定不能",IF(AV1574&gt;=判定条件!$C$9,"利用可",IF(AND(AE1574="停止",M1574="停止"),"両方停止","運転がそろわない")))</f>
        <v>運転がそろわない</v>
      </c>
      <c r="AX1574" s="30" t="str">
        <f aca="false">IF(AND(AH1574="利用可",AK1574="利用可",AN1574="利用可"),"利用可","不可")</f>
        <v>不可</v>
      </c>
      <c r="AY1574" s="30" t="str">
        <f aca="false">IF(AND(AQ1574="利用可",AT1574="利用可",AW1574="利用可"),"利用可","不可")</f>
        <v>不可</v>
      </c>
    </row>
    <row r="1575" customFormat="false" ht="15" hidden="false" customHeight="false" outlineLevel="0" collapsed="false">
      <c r="A1575" s="29" t="n">
        <v>46297</v>
      </c>
      <c r="B1575" s="30" t="n">
        <v>12</v>
      </c>
      <c r="C1575" s="31" t="s">
        <v>62</v>
      </c>
      <c r="D1575" s="31" t="s">
        <v>59</v>
      </c>
      <c r="E1575" s="30" t="n">
        <v>60</v>
      </c>
      <c r="F1575" s="30" t="n">
        <v>9</v>
      </c>
      <c r="G1575" s="30" t="str">
        <f aca="false">IF(E1575&lt;判定条件!$C$6,"判定不能",IF(F1575&gt;=判定条件!$C$7*E1575,"運転",IF(F1575&lt;=判定条件!$C$8*E1575,"停止","断続")))</f>
        <v>停止</v>
      </c>
      <c r="H1575" s="30" t="n">
        <v>60</v>
      </c>
      <c r="I1575" s="30" t="n">
        <v>60</v>
      </c>
      <c r="J1575" s="30" t="str">
        <f aca="false">IF(H1575&lt;判定条件!$C$6,"判定不能",IF(I1575&gt;=判定条件!$C$7*H1575,"運転",IF(I1575&lt;=判定条件!$C$8*H1575,"停止","断続")))</f>
        <v>運転</v>
      </c>
      <c r="K1575" s="30" t="n">
        <v>60</v>
      </c>
      <c r="L1575" s="30" t="n">
        <v>45</v>
      </c>
      <c r="M1575" s="30" t="str">
        <f aca="false">IF(K1575&lt;判定条件!$C$6,"判定不能",IF(L1575&gt;=判定条件!$C$7*K1575,"運転",IF(L1575&lt;=判定条件!$C$8*K1575,"停止","断続")))</f>
        <v>断続</v>
      </c>
      <c r="N1575" s="30" t="n">
        <v>60</v>
      </c>
      <c r="O1575" s="30" t="n">
        <v>40</v>
      </c>
      <c r="P1575" s="30" t="str">
        <f aca="false">IF(N1575&lt;判定条件!$C$6,"判定不能",IF(O1575&gt;=判定条件!$C$7*N1575,"運転",IF(O1575&lt;=判定条件!$C$8*N1575,"停止","断続")))</f>
        <v>断続</v>
      </c>
      <c r="Q1575" s="30" t="n">
        <v>60</v>
      </c>
      <c r="R1575" s="30" t="n">
        <v>53</v>
      </c>
      <c r="S1575" s="30" t="str">
        <f aca="false">IF(Q1575&lt;判定条件!$C$6,"判定不能",IF(R1575&gt;=判定条件!$C$7*Q1575,"運転",IF(R1575&lt;=判定条件!$C$8*Q1575,"停止","断続")))</f>
        <v>運転</v>
      </c>
      <c r="T1575" s="30" t="n">
        <v>60</v>
      </c>
      <c r="U1575" s="30" t="n">
        <v>42</v>
      </c>
      <c r="V1575" s="30" t="str">
        <f aca="false">IF(T1575&lt;判定条件!$C$6,"判定不能",IF(U1575&gt;=判定条件!$C$7*T1575,"運転",IF(U1575&lt;=判定条件!$C$8*T1575,"停止","断続")))</f>
        <v>断続</v>
      </c>
      <c r="W1575" s="30" t="n">
        <v>60</v>
      </c>
      <c r="X1575" s="30" t="n">
        <v>47</v>
      </c>
      <c r="Y1575" s="30" t="str">
        <f aca="false">IF(W1575&lt;判定条件!$C$6,"判定不能",IF(X1575&gt;=判定条件!$C$7*W1575,"運転",IF(X1575&lt;=判定条件!$C$8*W1575,"停止","断続")))</f>
        <v>断続</v>
      </c>
      <c r="Z1575" s="30" t="n">
        <v>60</v>
      </c>
      <c r="AA1575" s="30" t="n">
        <v>56</v>
      </c>
      <c r="AB1575" s="30" t="str">
        <f aca="false">IF(Z1575&lt;判定条件!$C$6,"判定不能",IF(AA1575&gt;=判定条件!$C$7*Z1575,"運転",IF(AA1575&lt;=判定条件!$C$8*Z1575,"停止","断続")))</f>
        <v>運転</v>
      </c>
      <c r="AC1575" s="30" t="n">
        <v>60</v>
      </c>
      <c r="AD1575" s="30" t="n">
        <v>34</v>
      </c>
      <c r="AE1575" s="30" t="str">
        <f aca="false">IF(AC1575&lt;判定条件!$C$6,"判定不能",IF(AD1575&gt;=判定条件!$C$7*AC1575,"運転",IF(AD1575&lt;=判定条件!$C$8*AC1575,"停止","断続")))</f>
        <v>断続</v>
      </c>
      <c r="AF1575" s="30" t="n">
        <v>60</v>
      </c>
      <c r="AG1575" s="30" t="n">
        <v>9</v>
      </c>
      <c r="AH1575" s="30" t="str">
        <f aca="false">IF(OR(P1575="判定不能",G1575="判定不能"),"判定不能",IF(AG1575&gt;=判定条件!$C$9,"利用可",IF(AND(P1575="停止",G1575="停止"),"両方停止","運転がそろわない")))</f>
        <v>運転がそろわない</v>
      </c>
      <c r="AI1575" s="30" t="n">
        <v>60</v>
      </c>
      <c r="AJ1575" s="30" t="n">
        <v>53</v>
      </c>
      <c r="AK1575" s="30" t="str">
        <f aca="false">IF(OR(S1575="判定不能",J1575="判定不能"),"判定不能",IF(AJ1575&gt;=判定条件!$C$9,"利用可",IF(AND(S1575="停止",J1575="停止"),"両方停止","運転がそろわない")))</f>
        <v>利用可</v>
      </c>
      <c r="AL1575" s="30" t="n">
        <v>60</v>
      </c>
      <c r="AM1575" s="30" t="n">
        <v>27</v>
      </c>
      <c r="AN1575" s="30" t="str">
        <f aca="false">IF(OR(V1575="判定不能",M1575="判定不能"),"判定不能",IF(AM1575&gt;=判定条件!$C$9,"利用可",IF(AND(V1575="停止",M1575="停止"),"両方停止","運転がそろわない")))</f>
        <v>運転がそろわない</v>
      </c>
      <c r="AO1575" s="30" t="n">
        <v>60</v>
      </c>
      <c r="AP1575" s="30" t="n">
        <v>9</v>
      </c>
      <c r="AQ1575" s="30" t="str">
        <f aca="false">IF(OR(Y1575="判定不能",G1575="判定不能"),"判定不能",IF(AP1575&gt;=判定条件!$C$9,"利用可",IF(AND(Y1575="停止",G1575="停止"),"両方停止","運転がそろわない")))</f>
        <v>運転がそろわない</v>
      </c>
      <c r="AR1575" s="30" t="n">
        <v>60</v>
      </c>
      <c r="AS1575" s="30" t="n">
        <v>56</v>
      </c>
      <c r="AT1575" s="30" t="str">
        <f aca="false">IF(OR(AB1575="判定不能",J1575="判定不能"),"判定不能",IF(AS1575&gt;=判定条件!$C$9,"利用可",IF(AND(AB1575="停止",J1575="停止"),"両方停止","運転がそろわない")))</f>
        <v>利用可</v>
      </c>
      <c r="AU1575" s="30" t="n">
        <v>60</v>
      </c>
      <c r="AV1575" s="30" t="n">
        <v>32</v>
      </c>
      <c r="AW1575" s="30" t="str">
        <f aca="false">IF(OR(AE1575="判定不能",M1575="判定不能"),"判定不能",IF(AV1575&gt;=判定条件!$C$9,"利用可",IF(AND(AE1575="停止",M1575="停止"),"両方停止","運転がそろわない")))</f>
        <v>利用可</v>
      </c>
      <c r="AX1575" s="30" t="str">
        <f aca="false">IF(AND(AH1575="利用可",AK1575="利用可",AN1575="利用可"),"利用可","不可")</f>
        <v>不可</v>
      </c>
      <c r="AY1575" s="30" t="str">
        <f aca="false">IF(AND(AQ1575="利用可",AT1575="利用可",AW1575="利用可"),"利用可","不可")</f>
        <v>不可</v>
      </c>
    </row>
    <row r="1576" customFormat="false" ht="15" hidden="false" customHeight="false" outlineLevel="0" collapsed="false">
      <c r="A1576" s="29" t="n">
        <v>46297</v>
      </c>
      <c r="B1576" s="30" t="n">
        <v>13</v>
      </c>
      <c r="C1576" s="31" t="s">
        <v>62</v>
      </c>
      <c r="D1576" s="31" t="s">
        <v>59</v>
      </c>
      <c r="E1576" s="30" t="n">
        <v>60</v>
      </c>
      <c r="F1576" s="30" t="n">
        <v>0</v>
      </c>
      <c r="G1576" s="30" t="str">
        <f aca="false">IF(E1576&lt;判定条件!$C$6,"判定不能",IF(F1576&gt;=判定条件!$C$7*E1576,"運転",IF(F1576&lt;=判定条件!$C$8*E1576,"停止","断続")))</f>
        <v>停止</v>
      </c>
      <c r="H1576" s="30" t="n">
        <v>60</v>
      </c>
      <c r="I1576" s="30" t="n">
        <v>60</v>
      </c>
      <c r="J1576" s="30" t="str">
        <f aca="false">IF(H1576&lt;判定条件!$C$6,"判定不能",IF(I1576&gt;=判定条件!$C$7*H1576,"運転",IF(I1576&lt;=判定条件!$C$8*H1576,"停止","断続")))</f>
        <v>運転</v>
      </c>
      <c r="K1576" s="30" t="n">
        <v>60</v>
      </c>
      <c r="L1576" s="30" t="n">
        <v>60</v>
      </c>
      <c r="M1576" s="30" t="str">
        <f aca="false">IF(K1576&lt;判定条件!$C$6,"判定不能",IF(L1576&gt;=判定条件!$C$7*K1576,"運転",IF(L1576&lt;=判定条件!$C$8*K1576,"停止","断続")))</f>
        <v>運転</v>
      </c>
      <c r="N1576" s="30" t="n">
        <v>60</v>
      </c>
      <c r="O1576" s="30" t="n">
        <v>41</v>
      </c>
      <c r="P1576" s="30" t="str">
        <f aca="false">IF(N1576&lt;判定条件!$C$6,"判定不能",IF(O1576&gt;=判定条件!$C$7*N1576,"運転",IF(O1576&lt;=判定条件!$C$8*N1576,"停止","断続")))</f>
        <v>断続</v>
      </c>
      <c r="Q1576" s="30" t="n">
        <v>60</v>
      </c>
      <c r="R1576" s="30" t="n">
        <v>56</v>
      </c>
      <c r="S1576" s="30" t="str">
        <f aca="false">IF(Q1576&lt;判定条件!$C$6,"判定不能",IF(R1576&gt;=判定条件!$C$7*Q1576,"運転",IF(R1576&lt;=判定条件!$C$8*Q1576,"停止","断続")))</f>
        <v>運転</v>
      </c>
      <c r="T1576" s="30" t="n">
        <v>60</v>
      </c>
      <c r="U1576" s="30" t="n">
        <v>56</v>
      </c>
      <c r="V1576" s="30" t="str">
        <f aca="false">IF(T1576&lt;判定条件!$C$6,"判定不能",IF(U1576&gt;=判定条件!$C$7*T1576,"運転",IF(U1576&lt;=判定条件!$C$8*T1576,"停止","断続")))</f>
        <v>運転</v>
      </c>
      <c r="W1576" s="30" t="n">
        <v>60</v>
      </c>
      <c r="X1576" s="30" t="n">
        <v>13</v>
      </c>
      <c r="Y1576" s="30" t="str">
        <f aca="false">IF(W1576&lt;判定条件!$C$6,"判定不能",IF(X1576&gt;=判定条件!$C$7*W1576,"運転",IF(X1576&lt;=判定条件!$C$8*W1576,"停止","断続")))</f>
        <v>断続</v>
      </c>
      <c r="Z1576" s="30" t="n">
        <v>60</v>
      </c>
      <c r="AA1576" s="30" t="n">
        <v>28</v>
      </c>
      <c r="AB1576" s="30" t="str">
        <f aca="false">IF(Z1576&lt;判定条件!$C$6,"判定不能",IF(AA1576&gt;=判定条件!$C$7*Z1576,"運転",IF(AA1576&lt;=判定条件!$C$8*Z1576,"停止","断続")))</f>
        <v>断続</v>
      </c>
      <c r="AC1576" s="30" t="n">
        <v>60</v>
      </c>
      <c r="AD1576" s="30" t="n">
        <v>60</v>
      </c>
      <c r="AE1576" s="30" t="str">
        <f aca="false">IF(AC1576&lt;判定条件!$C$6,"判定不能",IF(AD1576&gt;=判定条件!$C$7*AC1576,"運転",IF(AD1576&lt;=判定条件!$C$8*AC1576,"停止","断続")))</f>
        <v>運転</v>
      </c>
      <c r="AF1576" s="30" t="n">
        <v>60</v>
      </c>
      <c r="AG1576" s="30" t="n">
        <v>0</v>
      </c>
      <c r="AH1576" s="30" t="str">
        <f aca="false">IF(OR(P1576="判定不能",G1576="判定不能"),"判定不能",IF(AG1576&gt;=判定条件!$C$9,"利用可",IF(AND(P1576="停止",G1576="停止"),"両方停止","運転がそろわない")))</f>
        <v>運転がそろわない</v>
      </c>
      <c r="AI1576" s="30" t="n">
        <v>60</v>
      </c>
      <c r="AJ1576" s="30" t="n">
        <v>56</v>
      </c>
      <c r="AK1576" s="30" t="str">
        <f aca="false">IF(OR(S1576="判定不能",J1576="判定不能"),"判定不能",IF(AJ1576&gt;=判定条件!$C$9,"利用可",IF(AND(S1576="停止",J1576="停止"),"両方停止","運転がそろわない")))</f>
        <v>利用可</v>
      </c>
      <c r="AL1576" s="30" t="n">
        <v>60</v>
      </c>
      <c r="AM1576" s="30" t="n">
        <v>56</v>
      </c>
      <c r="AN1576" s="30" t="str">
        <f aca="false">IF(OR(V1576="判定不能",M1576="判定不能"),"判定不能",IF(AM1576&gt;=判定条件!$C$9,"利用可",IF(AND(V1576="停止",M1576="停止"),"両方停止","運転がそろわない")))</f>
        <v>利用可</v>
      </c>
      <c r="AO1576" s="30" t="n">
        <v>60</v>
      </c>
      <c r="AP1576" s="30" t="n">
        <v>0</v>
      </c>
      <c r="AQ1576" s="30" t="str">
        <f aca="false">IF(OR(Y1576="判定不能",G1576="判定不能"),"判定不能",IF(AP1576&gt;=判定条件!$C$9,"利用可",IF(AND(Y1576="停止",G1576="停止"),"両方停止","運転がそろわない")))</f>
        <v>運転がそろわない</v>
      </c>
      <c r="AR1576" s="30" t="n">
        <v>60</v>
      </c>
      <c r="AS1576" s="30" t="n">
        <v>28</v>
      </c>
      <c r="AT1576" s="30" t="str">
        <f aca="false">IF(OR(AB1576="判定不能",J1576="判定不能"),"判定不能",IF(AS1576&gt;=判定条件!$C$9,"利用可",IF(AND(AB1576="停止",J1576="停止"),"両方停止","運転がそろわない")))</f>
        <v>運転がそろわない</v>
      </c>
      <c r="AU1576" s="30" t="n">
        <v>60</v>
      </c>
      <c r="AV1576" s="30" t="n">
        <v>60</v>
      </c>
      <c r="AW1576" s="30" t="str">
        <f aca="false">IF(OR(AE1576="判定不能",M1576="判定不能"),"判定不能",IF(AV1576&gt;=判定条件!$C$9,"利用可",IF(AND(AE1576="停止",M1576="停止"),"両方停止","運転がそろわない")))</f>
        <v>利用可</v>
      </c>
      <c r="AX1576" s="30" t="str">
        <f aca="false">IF(AND(AH1576="利用可",AK1576="利用可",AN1576="利用可"),"利用可","不可")</f>
        <v>不可</v>
      </c>
      <c r="AY1576" s="30" t="str">
        <f aca="false">IF(AND(AQ1576="利用可",AT1576="利用可",AW1576="利用可"),"利用可","不可")</f>
        <v>不可</v>
      </c>
    </row>
    <row r="1577" customFormat="false" ht="15" hidden="false" customHeight="false" outlineLevel="0" collapsed="false">
      <c r="A1577" s="29" t="n">
        <v>46297</v>
      </c>
      <c r="B1577" s="30" t="n">
        <v>14</v>
      </c>
      <c r="C1577" s="31" t="s">
        <v>62</v>
      </c>
      <c r="D1577" s="31" t="s">
        <v>59</v>
      </c>
      <c r="E1577" s="30" t="n">
        <v>60</v>
      </c>
      <c r="F1577" s="30" t="n">
        <v>2</v>
      </c>
      <c r="G1577" s="30" t="str">
        <f aca="false">IF(E1577&lt;判定条件!$C$6,"判定不能",IF(F1577&gt;=判定条件!$C$7*E1577,"運転",IF(F1577&lt;=判定条件!$C$8*E1577,"停止","断続")))</f>
        <v>停止</v>
      </c>
      <c r="H1577" s="30" t="n">
        <v>60</v>
      </c>
      <c r="I1577" s="30" t="n">
        <v>28</v>
      </c>
      <c r="J1577" s="30" t="str">
        <f aca="false">IF(H1577&lt;判定条件!$C$6,"判定不能",IF(I1577&gt;=判定条件!$C$7*H1577,"運転",IF(I1577&lt;=判定条件!$C$8*H1577,"停止","断続")))</f>
        <v>断続</v>
      </c>
      <c r="K1577" s="30" t="n">
        <v>60</v>
      </c>
      <c r="L1577" s="30" t="n">
        <v>44</v>
      </c>
      <c r="M1577" s="30" t="str">
        <f aca="false">IF(K1577&lt;判定条件!$C$6,"判定不能",IF(L1577&gt;=判定条件!$C$7*K1577,"運転",IF(L1577&lt;=判定条件!$C$8*K1577,"停止","断続")))</f>
        <v>断続</v>
      </c>
      <c r="N1577" s="30" t="n">
        <v>60</v>
      </c>
      <c r="O1577" s="30" t="n">
        <v>26</v>
      </c>
      <c r="P1577" s="30" t="str">
        <f aca="false">IF(N1577&lt;判定条件!$C$6,"判定不能",IF(O1577&gt;=判定条件!$C$7*N1577,"運転",IF(O1577&lt;=判定条件!$C$8*N1577,"停止","断続")))</f>
        <v>断続</v>
      </c>
      <c r="Q1577" s="30" t="n">
        <v>60</v>
      </c>
      <c r="R1577" s="30" t="n">
        <v>60</v>
      </c>
      <c r="S1577" s="30" t="str">
        <f aca="false">IF(Q1577&lt;判定条件!$C$6,"判定不能",IF(R1577&gt;=判定条件!$C$7*Q1577,"運転",IF(R1577&lt;=判定条件!$C$8*Q1577,"停止","断続")))</f>
        <v>運転</v>
      </c>
      <c r="T1577" s="30" t="n">
        <v>60</v>
      </c>
      <c r="U1577" s="30" t="n">
        <v>35</v>
      </c>
      <c r="V1577" s="30" t="str">
        <f aca="false">IF(T1577&lt;判定条件!$C$6,"判定不能",IF(U1577&gt;=判定条件!$C$7*T1577,"運転",IF(U1577&lt;=判定条件!$C$8*T1577,"停止","断続")))</f>
        <v>断続</v>
      </c>
      <c r="W1577" s="30" t="n">
        <v>60</v>
      </c>
      <c r="X1577" s="30" t="n">
        <v>47</v>
      </c>
      <c r="Y1577" s="30" t="str">
        <f aca="false">IF(W1577&lt;判定条件!$C$6,"判定不能",IF(X1577&gt;=判定条件!$C$7*W1577,"運転",IF(X1577&lt;=判定条件!$C$8*W1577,"停止","断続")))</f>
        <v>断続</v>
      </c>
      <c r="Z1577" s="30" t="n">
        <v>60</v>
      </c>
      <c r="AA1577" s="30" t="n">
        <v>39</v>
      </c>
      <c r="AB1577" s="30" t="str">
        <f aca="false">IF(Z1577&lt;判定条件!$C$6,"判定不能",IF(AA1577&gt;=判定条件!$C$7*Z1577,"運転",IF(AA1577&lt;=判定条件!$C$8*Z1577,"停止","断続")))</f>
        <v>断続</v>
      </c>
      <c r="AC1577" s="30" t="n">
        <v>60</v>
      </c>
      <c r="AD1577" s="30" t="n">
        <v>60</v>
      </c>
      <c r="AE1577" s="30" t="str">
        <f aca="false">IF(AC1577&lt;判定条件!$C$6,"判定不能",IF(AD1577&gt;=判定条件!$C$7*AC1577,"運転",IF(AD1577&lt;=判定条件!$C$8*AC1577,"停止","断続")))</f>
        <v>運転</v>
      </c>
      <c r="AF1577" s="30" t="n">
        <v>60</v>
      </c>
      <c r="AG1577" s="30" t="n">
        <v>0</v>
      </c>
      <c r="AH1577" s="30" t="str">
        <f aca="false">IF(OR(P1577="判定不能",G1577="判定不能"),"判定不能",IF(AG1577&gt;=判定条件!$C$9,"利用可",IF(AND(P1577="停止",G1577="停止"),"両方停止","運転がそろわない")))</f>
        <v>運転がそろわない</v>
      </c>
      <c r="AI1577" s="30" t="n">
        <v>60</v>
      </c>
      <c r="AJ1577" s="30" t="n">
        <v>28</v>
      </c>
      <c r="AK1577" s="30" t="str">
        <f aca="false">IF(OR(S1577="判定不能",J1577="判定不能"),"判定不能",IF(AJ1577&gt;=判定条件!$C$9,"利用可",IF(AND(S1577="停止",J1577="停止"),"両方停止","運転がそろわない")))</f>
        <v>運転がそろわない</v>
      </c>
      <c r="AL1577" s="30" t="n">
        <v>60</v>
      </c>
      <c r="AM1577" s="30" t="n">
        <v>23</v>
      </c>
      <c r="AN1577" s="30" t="str">
        <f aca="false">IF(OR(V1577="判定不能",M1577="判定不能"),"判定不能",IF(AM1577&gt;=判定条件!$C$9,"利用可",IF(AND(V1577="停止",M1577="停止"),"両方停止","運転がそろわない")))</f>
        <v>運転がそろわない</v>
      </c>
      <c r="AO1577" s="30" t="n">
        <v>60</v>
      </c>
      <c r="AP1577" s="30" t="n">
        <v>2</v>
      </c>
      <c r="AQ1577" s="30" t="str">
        <f aca="false">IF(OR(Y1577="判定不能",G1577="判定不能"),"判定不能",IF(AP1577&gt;=判定条件!$C$9,"利用可",IF(AND(Y1577="停止",G1577="停止"),"両方停止","運転がそろわない")))</f>
        <v>運転がそろわない</v>
      </c>
      <c r="AR1577" s="30" t="n">
        <v>60</v>
      </c>
      <c r="AS1577" s="30" t="n">
        <v>24</v>
      </c>
      <c r="AT1577" s="30" t="str">
        <f aca="false">IF(OR(AB1577="判定不能",J1577="判定不能"),"判定不能",IF(AS1577&gt;=判定条件!$C$9,"利用可",IF(AND(AB1577="停止",J1577="停止"),"両方停止","運転がそろわない")))</f>
        <v>運転がそろわない</v>
      </c>
      <c r="AU1577" s="30" t="n">
        <v>60</v>
      </c>
      <c r="AV1577" s="30" t="n">
        <v>44</v>
      </c>
      <c r="AW1577" s="30" t="str">
        <f aca="false">IF(OR(AE1577="判定不能",M1577="判定不能"),"判定不能",IF(AV1577&gt;=判定条件!$C$9,"利用可",IF(AND(AE1577="停止",M1577="停止"),"両方停止","運転がそろわない")))</f>
        <v>利用可</v>
      </c>
      <c r="AX1577" s="30" t="str">
        <f aca="false">IF(AND(AH1577="利用可",AK1577="利用可",AN1577="利用可"),"利用可","不可")</f>
        <v>不可</v>
      </c>
      <c r="AY1577" s="30" t="str">
        <f aca="false">IF(AND(AQ1577="利用可",AT1577="利用可",AW1577="利用可"),"利用可","不可")</f>
        <v>不可</v>
      </c>
    </row>
    <row r="1578" customFormat="false" ht="15" hidden="false" customHeight="false" outlineLevel="0" collapsed="false">
      <c r="A1578" s="29" t="n">
        <v>46297</v>
      </c>
      <c r="B1578" s="30" t="n">
        <v>15</v>
      </c>
      <c r="C1578" s="31" t="s">
        <v>62</v>
      </c>
      <c r="D1578" s="31" t="s">
        <v>59</v>
      </c>
      <c r="E1578" s="30" t="n">
        <v>60</v>
      </c>
      <c r="F1578" s="30" t="n">
        <v>34</v>
      </c>
      <c r="G1578" s="30" t="str">
        <f aca="false">IF(E1578&lt;判定条件!$C$6,"判定不能",IF(F1578&gt;=判定条件!$C$7*E1578,"運転",IF(F1578&lt;=判定条件!$C$8*E1578,"停止","断続")))</f>
        <v>断続</v>
      </c>
      <c r="H1578" s="30" t="n">
        <v>60</v>
      </c>
      <c r="I1578" s="30" t="n">
        <v>11</v>
      </c>
      <c r="J1578" s="30" t="str">
        <f aca="false">IF(H1578&lt;判定条件!$C$6,"判定不能",IF(I1578&gt;=判定条件!$C$7*H1578,"運転",IF(I1578&lt;=判定条件!$C$8*H1578,"停止","断続")))</f>
        <v>停止</v>
      </c>
      <c r="K1578" s="30" t="n">
        <v>60</v>
      </c>
      <c r="L1578" s="30" t="n">
        <v>25</v>
      </c>
      <c r="M1578" s="30" t="str">
        <f aca="false">IF(K1578&lt;判定条件!$C$6,"判定不能",IF(L1578&gt;=判定条件!$C$7*K1578,"運転",IF(L1578&lt;=判定条件!$C$8*K1578,"停止","断続")))</f>
        <v>断続</v>
      </c>
      <c r="N1578" s="30" t="n">
        <v>60</v>
      </c>
      <c r="O1578" s="30" t="n">
        <v>0</v>
      </c>
      <c r="P1578" s="30" t="str">
        <f aca="false">IF(N1578&lt;判定条件!$C$6,"判定不能",IF(O1578&gt;=判定条件!$C$7*N1578,"運転",IF(O1578&lt;=判定条件!$C$8*N1578,"停止","断続")))</f>
        <v>停止</v>
      </c>
      <c r="Q1578" s="30" t="n">
        <v>60</v>
      </c>
      <c r="R1578" s="30" t="n">
        <v>44</v>
      </c>
      <c r="S1578" s="30" t="str">
        <f aca="false">IF(Q1578&lt;判定条件!$C$6,"判定不能",IF(R1578&gt;=判定条件!$C$7*Q1578,"運転",IF(R1578&lt;=判定条件!$C$8*Q1578,"停止","断続")))</f>
        <v>断続</v>
      </c>
      <c r="T1578" s="30" t="n">
        <v>60</v>
      </c>
      <c r="U1578" s="30" t="n">
        <v>54</v>
      </c>
      <c r="V1578" s="30" t="str">
        <f aca="false">IF(T1578&lt;判定条件!$C$6,"判定不能",IF(U1578&gt;=判定条件!$C$7*T1578,"運転",IF(U1578&lt;=判定条件!$C$8*T1578,"停止","断続")))</f>
        <v>運転</v>
      </c>
      <c r="W1578" s="30" t="n">
        <v>60</v>
      </c>
      <c r="X1578" s="30" t="n">
        <v>50</v>
      </c>
      <c r="Y1578" s="30" t="str">
        <f aca="false">IF(W1578&lt;判定条件!$C$6,"判定不能",IF(X1578&gt;=判定条件!$C$7*W1578,"運転",IF(X1578&lt;=判定条件!$C$8*W1578,"停止","断続")))</f>
        <v>運転</v>
      </c>
      <c r="Z1578" s="30" t="n">
        <v>60</v>
      </c>
      <c r="AA1578" s="30" t="n">
        <v>42</v>
      </c>
      <c r="AB1578" s="30" t="str">
        <f aca="false">IF(Z1578&lt;判定条件!$C$6,"判定不能",IF(AA1578&gt;=判定条件!$C$7*Z1578,"運転",IF(AA1578&lt;=判定条件!$C$8*Z1578,"停止","断続")))</f>
        <v>断続</v>
      </c>
      <c r="AC1578" s="30" t="n">
        <v>60</v>
      </c>
      <c r="AD1578" s="30" t="n">
        <v>47</v>
      </c>
      <c r="AE1578" s="30" t="str">
        <f aca="false">IF(AC1578&lt;判定条件!$C$6,"判定不能",IF(AD1578&gt;=判定条件!$C$7*AC1578,"運転",IF(AD1578&lt;=判定条件!$C$8*AC1578,"停止","断続")))</f>
        <v>断続</v>
      </c>
      <c r="AF1578" s="30" t="n">
        <v>60</v>
      </c>
      <c r="AG1578" s="30" t="n">
        <v>0</v>
      </c>
      <c r="AH1578" s="30" t="str">
        <f aca="false">IF(OR(P1578="判定不能",G1578="判定不能"),"判定不能",IF(AG1578&gt;=判定条件!$C$9,"利用可",IF(AND(P1578="停止",G1578="停止"),"両方停止","運転がそろわない")))</f>
        <v>運転がそろわない</v>
      </c>
      <c r="AI1578" s="30" t="n">
        <v>60</v>
      </c>
      <c r="AJ1578" s="30" t="n">
        <v>11</v>
      </c>
      <c r="AK1578" s="30" t="str">
        <f aca="false">IF(OR(S1578="判定不能",J1578="判定不能"),"判定不能",IF(AJ1578&gt;=判定条件!$C$9,"利用可",IF(AND(S1578="停止",J1578="停止"),"両方停止","運転がそろわない")))</f>
        <v>運転がそろわない</v>
      </c>
      <c r="AL1578" s="30" t="n">
        <v>60</v>
      </c>
      <c r="AM1578" s="30" t="n">
        <v>19</v>
      </c>
      <c r="AN1578" s="30" t="str">
        <f aca="false">IF(OR(V1578="判定不能",M1578="判定不能"),"判定不能",IF(AM1578&gt;=判定条件!$C$9,"利用可",IF(AND(V1578="停止",M1578="停止"),"両方停止","運転がそろわない")))</f>
        <v>運転がそろわない</v>
      </c>
      <c r="AO1578" s="30" t="n">
        <v>60</v>
      </c>
      <c r="AP1578" s="30" t="n">
        <v>27</v>
      </c>
      <c r="AQ1578" s="30" t="str">
        <f aca="false">IF(OR(Y1578="判定不能",G1578="判定不能"),"判定不能",IF(AP1578&gt;=判定条件!$C$9,"利用可",IF(AND(Y1578="停止",G1578="停止"),"両方停止","運転がそろわない")))</f>
        <v>運転がそろわない</v>
      </c>
      <c r="AR1578" s="30" t="n">
        <v>60</v>
      </c>
      <c r="AS1578" s="30" t="n">
        <v>10</v>
      </c>
      <c r="AT1578" s="30" t="str">
        <f aca="false">IF(OR(AB1578="判定不能",J1578="判定不能"),"判定不能",IF(AS1578&gt;=判定条件!$C$9,"利用可",IF(AND(AB1578="停止",J1578="停止"),"両方停止","運転がそろわない")))</f>
        <v>運転がそろわない</v>
      </c>
      <c r="AU1578" s="30" t="n">
        <v>60</v>
      </c>
      <c r="AV1578" s="30" t="n">
        <v>21</v>
      </c>
      <c r="AW1578" s="30" t="str">
        <f aca="false">IF(OR(AE1578="判定不能",M1578="判定不能"),"判定不能",IF(AV1578&gt;=判定条件!$C$9,"利用可",IF(AND(AE1578="停止",M1578="停止"),"両方停止","運転がそろわない")))</f>
        <v>運転がそろわない</v>
      </c>
      <c r="AX1578" s="30" t="str">
        <f aca="false">IF(AND(AH1578="利用可",AK1578="利用可",AN1578="利用可"),"利用可","不可")</f>
        <v>不可</v>
      </c>
      <c r="AY1578" s="30" t="str">
        <f aca="false">IF(AND(AQ1578="利用可",AT1578="利用可",AW1578="利用可"),"利用可","不可")</f>
        <v>不可</v>
      </c>
    </row>
    <row r="1579" customFormat="false" ht="15" hidden="false" customHeight="false" outlineLevel="0" collapsed="false">
      <c r="A1579" s="29" t="n">
        <v>46297</v>
      </c>
      <c r="B1579" s="30" t="n">
        <v>16</v>
      </c>
      <c r="C1579" s="31" t="s">
        <v>62</v>
      </c>
      <c r="D1579" s="31" t="s">
        <v>59</v>
      </c>
      <c r="E1579" s="30" t="n">
        <v>60</v>
      </c>
      <c r="F1579" s="30" t="n">
        <v>26</v>
      </c>
      <c r="G1579" s="30" t="str">
        <f aca="false">IF(E1579&lt;判定条件!$C$6,"判定不能",IF(F1579&gt;=判定条件!$C$7*E1579,"運転",IF(F1579&lt;=判定条件!$C$8*E1579,"停止","断続")))</f>
        <v>断続</v>
      </c>
      <c r="H1579" s="30" t="n">
        <v>60</v>
      </c>
      <c r="I1579" s="30" t="n">
        <v>25</v>
      </c>
      <c r="J1579" s="30" t="str">
        <f aca="false">IF(H1579&lt;判定条件!$C$6,"判定不能",IF(I1579&gt;=判定条件!$C$7*H1579,"運転",IF(I1579&lt;=判定条件!$C$8*H1579,"停止","断続")))</f>
        <v>断続</v>
      </c>
      <c r="K1579" s="30" t="n">
        <v>60</v>
      </c>
      <c r="L1579" s="30" t="n">
        <v>41</v>
      </c>
      <c r="M1579" s="30" t="str">
        <f aca="false">IF(K1579&lt;判定条件!$C$6,"判定不能",IF(L1579&gt;=判定条件!$C$7*K1579,"運転",IF(L1579&lt;=判定条件!$C$8*K1579,"停止","断続")))</f>
        <v>断続</v>
      </c>
      <c r="N1579" s="30" t="n">
        <v>60</v>
      </c>
      <c r="O1579" s="30" t="n">
        <v>11</v>
      </c>
      <c r="P1579" s="30" t="str">
        <f aca="false">IF(N1579&lt;判定条件!$C$6,"判定不能",IF(O1579&gt;=判定条件!$C$7*N1579,"運転",IF(O1579&lt;=判定条件!$C$8*N1579,"停止","断続")))</f>
        <v>停止</v>
      </c>
      <c r="Q1579" s="30" t="n">
        <v>60</v>
      </c>
      <c r="R1579" s="30" t="n">
        <v>44</v>
      </c>
      <c r="S1579" s="30" t="str">
        <f aca="false">IF(Q1579&lt;判定条件!$C$6,"判定不能",IF(R1579&gt;=判定条件!$C$7*Q1579,"運転",IF(R1579&lt;=判定条件!$C$8*Q1579,"停止","断続")))</f>
        <v>断続</v>
      </c>
      <c r="T1579" s="30" t="n">
        <v>60</v>
      </c>
      <c r="U1579" s="30" t="n">
        <v>60</v>
      </c>
      <c r="V1579" s="30" t="str">
        <f aca="false">IF(T1579&lt;判定条件!$C$6,"判定不能",IF(U1579&gt;=判定条件!$C$7*T1579,"運転",IF(U1579&lt;=判定条件!$C$8*T1579,"停止","断続")))</f>
        <v>運転</v>
      </c>
      <c r="W1579" s="30" t="n">
        <v>60</v>
      </c>
      <c r="X1579" s="30" t="n">
        <v>44</v>
      </c>
      <c r="Y1579" s="30" t="str">
        <f aca="false">IF(W1579&lt;判定条件!$C$6,"判定不能",IF(X1579&gt;=判定条件!$C$7*W1579,"運転",IF(X1579&lt;=判定条件!$C$8*W1579,"停止","断続")))</f>
        <v>断続</v>
      </c>
      <c r="Z1579" s="30" t="n">
        <v>60</v>
      </c>
      <c r="AA1579" s="30" t="n">
        <v>32</v>
      </c>
      <c r="AB1579" s="30" t="str">
        <f aca="false">IF(Z1579&lt;判定条件!$C$6,"判定不能",IF(AA1579&gt;=判定条件!$C$7*Z1579,"運転",IF(AA1579&lt;=判定条件!$C$8*Z1579,"停止","断続")))</f>
        <v>断続</v>
      </c>
      <c r="AC1579" s="30" t="n">
        <v>60</v>
      </c>
      <c r="AD1579" s="30" t="n">
        <v>33</v>
      </c>
      <c r="AE1579" s="30" t="str">
        <f aca="false">IF(AC1579&lt;判定条件!$C$6,"判定不能",IF(AD1579&gt;=判定条件!$C$7*AC1579,"運転",IF(AD1579&lt;=判定条件!$C$8*AC1579,"停止","断続")))</f>
        <v>断続</v>
      </c>
      <c r="AF1579" s="30" t="n">
        <v>60</v>
      </c>
      <c r="AG1579" s="30" t="n">
        <v>8</v>
      </c>
      <c r="AH1579" s="30" t="str">
        <f aca="false">IF(OR(P1579="判定不能",G1579="判定不能"),"判定不能",IF(AG1579&gt;=判定条件!$C$9,"利用可",IF(AND(P1579="停止",G1579="停止"),"両方停止","運転がそろわない")))</f>
        <v>運転がそろわない</v>
      </c>
      <c r="AI1579" s="30" t="n">
        <v>60</v>
      </c>
      <c r="AJ1579" s="30" t="n">
        <v>17</v>
      </c>
      <c r="AK1579" s="30" t="str">
        <f aca="false">IF(OR(S1579="判定不能",J1579="判定不能"),"判定不能",IF(AJ1579&gt;=判定条件!$C$9,"利用可",IF(AND(S1579="停止",J1579="停止"),"両方停止","運転がそろわない")))</f>
        <v>運転がそろわない</v>
      </c>
      <c r="AL1579" s="30" t="n">
        <v>60</v>
      </c>
      <c r="AM1579" s="30" t="n">
        <v>41</v>
      </c>
      <c r="AN1579" s="30" t="str">
        <f aca="false">IF(OR(V1579="判定不能",M1579="判定不能"),"判定不能",IF(AM1579&gt;=判定条件!$C$9,"利用可",IF(AND(V1579="停止",M1579="停止"),"両方停止","運転がそろわない")))</f>
        <v>利用可</v>
      </c>
      <c r="AO1579" s="30" t="n">
        <v>60</v>
      </c>
      <c r="AP1579" s="30" t="n">
        <v>19</v>
      </c>
      <c r="AQ1579" s="30" t="str">
        <f aca="false">IF(OR(Y1579="判定不能",G1579="判定不能"),"判定不能",IF(AP1579&gt;=判定条件!$C$9,"利用可",IF(AND(Y1579="停止",G1579="停止"),"両方停止","運転がそろわない")))</f>
        <v>運転がそろわない</v>
      </c>
      <c r="AR1579" s="30" t="n">
        <v>60</v>
      </c>
      <c r="AS1579" s="30" t="n">
        <v>8</v>
      </c>
      <c r="AT1579" s="30" t="str">
        <f aca="false">IF(OR(AB1579="判定不能",J1579="判定不能"),"判定不能",IF(AS1579&gt;=判定条件!$C$9,"利用可",IF(AND(AB1579="停止",J1579="停止"),"両方停止","運転がそろわない")))</f>
        <v>運転がそろわない</v>
      </c>
      <c r="AU1579" s="30" t="n">
        <v>60</v>
      </c>
      <c r="AV1579" s="30" t="n">
        <v>21</v>
      </c>
      <c r="AW1579" s="30" t="str">
        <f aca="false">IF(OR(AE1579="判定不能",M1579="判定不能"),"判定不能",IF(AV1579&gt;=判定条件!$C$9,"利用可",IF(AND(AE1579="停止",M1579="停止"),"両方停止","運転がそろわない")))</f>
        <v>運転がそろわない</v>
      </c>
      <c r="AX1579" s="30" t="str">
        <f aca="false">IF(AND(AH1579="利用可",AK1579="利用可",AN1579="利用可"),"利用可","不可")</f>
        <v>不可</v>
      </c>
      <c r="AY1579" s="30" t="str">
        <f aca="false">IF(AND(AQ1579="利用可",AT1579="利用可",AW1579="利用可"),"利用可","不可")</f>
        <v>不可</v>
      </c>
    </row>
    <row r="1580" customFormat="false" ht="15" hidden="false" customHeight="false" outlineLevel="0" collapsed="false">
      <c r="A1580" s="29" t="n">
        <v>46297</v>
      </c>
      <c r="B1580" s="30" t="n">
        <v>17</v>
      </c>
      <c r="C1580" s="31" t="s">
        <v>62</v>
      </c>
      <c r="D1580" s="31" t="s">
        <v>59</v>
      </c>
      <c r="E1580" s="30" t="n">
        <v>60</v>
      </c>
      <c r="F1580" s="30" t="n">
        <v>19</v>
      </c>
      <c r="G1580" s="30" t="str">
        <f aca="false">IF(E1580&lt;判定条件!$C$6,"判定不能",IF(F1580&gt;=判定条件!$C$7*E1580,"運転",IF(F1580&lt;=判定条件!$C$8*E1580,"停止","断続")))</f>
        <v>断続</v>
      </c>
      <c r="H1580" s="30" t="n">
        <v>60</v>
      </c>
      <c r="I1580" s="30" t="n">
        <v>33</v>
      </c>
      <c r="J1580" s="30" t="str">
        <f aca="false">IF(H1580&lt;判定条件!$C$6,"判定不能",IF(I1580&gt;=判定条件!$C$7*H1580,"運転",IF(I1580&lt;=判定条件!$C$8*H1580,"停止","断続")))</f>
        <v>断続</v>
      </c>
      <c r="K1580" s="30" t="n">
        <v>60</v>
      </c>
      <c r="L1580" s="30" t="n">
        <v>21</v>
      </c>
      <c r="M1580" s="30" t="str">
        <f aca="false">IF(K1580&lt;判定条件!$C$6,"判定不能",IF(L1580&gt;=判定条件!$C$7*K1580,"運転",IF(L1580&lt;=判定条件!$C$8*K1580,"停止","断続")))</f>
        <v>断続</v>
      </c>
      <c r="N1580" s="30" t="n">
        <v>60</v>
      </c>
      <c r="O1580" s="30" t="n">
        <v>7</v>
      </c>
      <c r="P1580" s="30" t="str">
        <f aca="false">IF(N1580&lt;判定条件!$C$6,"判定不能",IF(O1580&gt;=判定条件!$C$7*N1580,"運転",IF(O1580&lt;=判定条件!$C$8*N1580,"停止","断続")))</f>
        <v>停止</v>
      </c>
      <c r="Q1580" s="30" t="n">
        <v>60</v>
      </c>
      <c r="R1580" s="30" t="n">
        <v>43</v>
      </c>
      <c r="S1580" s="30" t="str">
        <f aca="false">IF(Q1580&lt;判定条件!$C$6,"判定不能",IF(R1580&gt;=判定条件!$C$7*Q1580,"運転",IF(R1580&lt;=判定条件!$C$8*Q1580,"停止","断続")))</f>
        <v>断続</v>
      </c>
      <c r="T1580" s="30" t="n">
        <v>60</v>
      </c>
      <c r="U1580" s="30" t="n">
        <v>60</v>
      </c>
      <c r="V1580" s="30" t="str">
        <f aca="false">IF(T1580&lt;判定条件!$C$6,"判定不能",IF(U1580&gt;=判定条件!$C$7*T1580,"運転",IF(U1580&lt;=判定条件!$C$8*T1580,"停止","断続")))</f>
        <v>運転</v>
      </c>
      <c r="W1580" s="30" t="n">
        <v>60</v>
      </c>
      <c r="X1580" s="30" t="n">
        <v>27</v>
      </c>
      <c r="Y1580" s="30" t="str">
        <f aca="false">IF(W1580&lt;判定条件!$C$6,"判定不能",IF(X1580&gt;=判定条件!$C$7*W1580,"運転",IF(X1580&lt;=判定条件!$C$8*W1580,"停止","断続")))</f>
        <v>断続</v>
      </c>
      <c r="Z1580" s="30" t="n">
        <v>60</v>
      </c>
      <c r="AA1580" s="30" t="n">
        <v>48</v>
      </c>
      <c r="AB1580" s="30" t="str">
        <f aca="false">IF(Z1580&lt;判定条件!$C$6,"判定不能",IF(AA1580&gt;=判定条件!$C$7*Z1580,"運転",IF(AA1580&lt;=判定条件!$C$8*Z1580,"停止","断続")))</f>
        <v>運転</v>
      </c>
      <c r="AC1580" s="30" t="n">
        <v>60</v>
      </c>
      <c r="AD1580" s="30" t="n">
        <v>36</v>
      </c>
      <c r="AE1580" s="30" t="str">
        <f aca="false">IF(AC1580&lt;判定条件!$C$6,"判定不能",IF(AD1580&gt;=判定条件!$C$7*AC1580,"運転",IF(AD1580&lt;=判定条件!$C$8*AC1580,"停止","断続")))</f>
        <v>断続</v>
      </c>
      <c r="AF1580" s="30" t="n">
        <v>60</v>
      </c>
      <c r="AG1580" s="30" t="n">
        <v>1</v>
      </c>
      <c r="AH1580" s="30" t="str">
        <f aca="false">IF(OR(P1580="判定不能",G1580="判定不能"),"判定不能",IF(AG1580&gt;=判定条件!$C$9,"利用可",IF(AND(P1580="停止",G1580="停止"),"両方停止","運転がそろわない")))</f>
        <v>運転がそろわない</v>
      </c>
      <c r="AI1580" s="30" t="n">
        <v>60</v>
      </c>
      <c r="AJ1580" s="30" t="n">
        <v>21</v>
      </c>
      <c r="AK1580" s="30" t="str">
        <f aca="false">IF(OR(S1580="判定不能",J1580="判定不能"),"判定不能",IF(AJ1580&gt;=判定条件!$C$9,"利用可",IF(AND(S1580="停止",J1580="停止"),"両方停止","運転がそろわない")))</f>
        <v>運転がそろわない</v>
      </c>
      <c r="AL1580" s="30" t="n">
        <v>60</v>
      </c>
      <c r="AM1580" s="30" t="n">
        <v>21</v>
      </c>
      <c r="AN1580" s="30" t="str">
        <f aca="false">IF(OR(V1580="判定不能",M1580="判定不能"),"判定不能",IF(AM1580&gt;=判定条件!$C$9,"利用可",IF(AND(V1580="停止",M1580="停止"),"両方停止","運転がそろわない")))</f>
        <v>運転がそろわない</v>
      </c>
      <c r="AO1580" s="30" t="n">
        <v>60</v>
      </c>
      <c r="AP1580" s="30" t="n">
        <v>7</v>
      </c>
      <c r="AQ1580" s="30" t="str">
        <f aca="false">IF(OR(Y1580="判定不能",G1580="判定不能"),"判定不能",IF(AP1580&gt;=判定条件!$C$9,"利用可",IF(AND(Y1580="停止",G1580="停止"),"両方停止","運転がそろわない")))</f>
        <v>運転がそろわない</v>
      </c>
      <c r="AR1580" s="30" t="n">
        <v>60</v>
      </c>
      <c r="AS1580" s="30" t="n">
        <v>21</v>
      </c>
      <c r="AT1580" s="30" t="str">
        <f aca="false">IF(OR(AB1580="判定不能",J1580="判定不能"),"判定不能",IF(AS1580&gt;=判定条件!$C$9,"利用可",IF(AND(AB1580="停止",J1580="停止"),"両方停止","運転がそろわない")))</f>
        <v>運転がそろわない</v>
      </c>
      <c r="AU1580" s="30" t="n">
        <v>60</v>
      </c>
      <c r="AV1580" s="30" t="n">
        <v>21</v>
      </c>
      <c r="AW1580" s="30" t="str">
        <f aca="false">IF(OR(AE1580="判定不能",M1580="判定不能"),"判定不能",IF(AV1580&gt;=判定条件!$C$9,"利用可",IF(AND(AE1580="停止",M1580="停止"),"両方停止","運転がそろわない")))</f>
        <v>運転がそろわない</v>
      </c>
      <c r="AX1580" s="30" t="str">
        <f aca="false">IF(AND(AH1580="利用可",AK1580="利用可",AN1580="利用可"),"利用可","不可")</f>
        <v>不可</v>
      </c>
      <c r="AY1580" s="30" t="str">
        <f aca="false">IF(AND(AQ1580="利用可",AT1580="利用可",AW1580="利用可"),"利用可","不可")</f>
        <v>不可</v>
      </c>
    </row>
    <row r="1581" customFormat="false" ht="15" hidden="false" customHeight="false" outlineLevel="0" collapsed="false">
      <c r="A1581" s="29" t="n">
        <v>46297</v>
      </c>
      <c r="B1581" s="30" t="n">
        <v>18</v>
      </c>
      <c r="C1581" s="31" t="s">
        <v>62</v>
      </c>
      <c r="D1581" s="31" t="s">
        <v>59</v>
      </c>
      <c r="E1581" s="30" t="n">
        <v>60</v>
      </c>
      <c r="F1581" s="30" t="n">
        <v>40</v>
      </c>
      <c r="G1581" s="30" t="str">
        <f aca="false">IF(E1581&lt;判定条件!$C$6,"判定不能",IF(F1581&gt;=判定条件!$C$7*E1581,"運転",IF(F1581&lt;=判定条件!$C$8*E1581,"停止","断続")))</f>
        <v>断続</v>
      </c>
      <c r="H1581" s="30" t="n">
        <v>60</v>
      </c>
      <c r="I1581" s="30" t="n">
        <v>43</v>
      </c>
      <c r="J1581" s="30" t="str">
        <f aca="false">IF(H1581&lt;判定条件!$C$6,"判定不能",IF(I1581&gt;=判定条件!$C$7*H1581,"運転",IF(I1581&lt;=判定条件!$C$8*H1581,"停止","断続")))</f>
        <v>断続</v>
      </c>
      <c r="K1581" s="30" t="n">
        <v>60</v>
      </c>
      <c r="L1581" s="30" t="n">
        <v>7</v>
      </c>
      <c r="M1581" s="30" t="str">
        <f aca="false">IF(K1581&lt;判定条件!$C$6,"判定不能",IF(L1581&gt;=判定条件!$C$7*K1581,"運転",IF(L1581&lt;=判定条件!$C$8*K1581,"停止","断続")))</f>
        <v>停止</v>
      </c>
      <c r="N1581" s="30" t="n">
        <v>60</v>
      </c>
      <c r="O1581" s="30" t="n">
        <v>12</v>
      </c>
      <c r="P1581" s="30" t="str">
        <f aca="false">IF(N1581&lt;判定条件!$C$6,"判定不能",IF(O1581&gt;=判定条件!$C$7*N1581,"運転",IF(O1581&lt;=判定条件!$C$8*N1581,"停止","断続")))</f>
        <v>停止</v>
      </c>
      <c r="Q1581" s="30" t="n">
        <v>60</v>
      </c>
      <c r="R1581" s="30" t="n">
        <v>44</v>
      </c>
      <c r="S1581" s="30" t="str">
        <f aca="false">IF(Q1581&lt;判定条件!$C$6,"判定不能",IF(R1581&gt;=判定条件!$C$7*Q1581,"運転",IF(R1581&lt;=判定条件!$C$8*Q1581,"停止","断続")))</f>
        <v>断続</v>
      </c>
      <c r="T1581" s="30" t="n">
        <v>60</v>
      </c>
      <c r="U1581" s="30" t="n">
        <v>11</v>
      </c>
      <c r="V1581" s="30" t="str">
        <f aca="false">IF(T1581&lt;判定条件!$C$6,"判定不能",IF(U1581&gt;=判定条件!$C$7*T1581,"運転",IF(U1581&lt;=判定条件!$C$8*T1581,"停止","断続")))</f>
        <v>停止</v>
      </c>
      <c r="W1581" s="30" t="n">
        <v>60</v>
      </c>
      <c r="X1581" s="30" t="n">
        <v>39</v>
      </c>
      <c r="Y1581" s="30" t="str">
        <f aca="false">IF(W1581&lt;判定条件!$C$6,"判定不能",IF(X1581&gt;=判定条件!$C$7*W1581,"運転",IF(X1581&lt;=判定条件!$C$8*W1581,"停止","断続")))</f>
        <v>断続</v>
      </c>
      <c r="Z1581" s="30" t="n">
        <v>60</v>
      </c>
      <c r="AA1581" s="30" t="n">
        <v>12</v>
      </c>
      <c r="AB1581" s="30" t="str">
        <f aca="false">IF(Z1581&lt;判定条件!$C$6,"判定不能",IF(AA1581&gt;=判定条件!$C$7*Z1581,"運転",IF(AA1581&lt;=判定条件!$C$8*Z1581,"停止","断続")))</f>
        <v>停止</v>
      </c>
      <c r="AC1581" s="30" t="n">
        <v>60</v>
      </c>
      <c r="AD1581" s="30" t="n">
        <v>40</v>
      </c>
      <c r="AE1581" s="30" t="str">
        <f aca="false">IF(AC1581&lt;判定条件!$C$6,"判定不能",IF(AD1581&gt;=判定条件!$C$7*AC1581,"運転",IF(AD1581&lt;=判定条件!$C$8*AC1581,"停止","断続")))</f>
        <v>断続</v>
      </c>
      <c r="AF1581" s="30" t="n">
        <v>60</v>
      </c>
      <c r="AG1581" s="30" t="n">
        <v>11</v>
      </c>
      <c r="AH1581" s="30" t="str">
        <f aca="false">IF(OR(P1581="判定不能",G1581="判定不能"),"判定不能",IF(AG1581&gt;=判定条件!$C$9,"利用可",IF(AND(P1581="停止",G1581="停止"),"両方停止","運転がそろわない")))</f>
        <v>運転がそろわない</v>
      </c>
      <c r="AI1581" s="30" t="n">
        <v>60</v>
      </c>
      <c r="AJ1581" s="30" t="n">
        <v>27</v>
      </c>
      <c r="AK1581" s="30" t="str">
        <f aca="false">IF(OR(S1581="判定不能",J1581="判定不能"),"判定不能",IF(AJ1581&gt;=判定条件!$C$9,"利用可",IF(AND(S1581="停止",J1581="停止"),"両方停止","運転がそろわない")))</f>
        <v>運転がそろわない</v>
      </c>
      <c r="AL1581" s="30" t="n">
        <v>60</v>
      </c>
      <c r="AM1581" s="30" t="n">
        <v>2</v>
      </c>
      <c r="AN1581" s="30" t="str">
        <f aca="false">IF(OR(V1581="判定不能",M1581="判定不能"),"判定不能",IF(AM1581&gt;=判定条件!$C$9,"利用可",IF(AND(V1581="停止",M1581="停止"),"両方停止","運転がそろわない")))</f>
        <v>両方停止</v>
      </c>
      <c r="AO1581" s="30" t="n">
        <v>60</v>
      </c>
      <c r="AP1581" s="30" t="n">
        <v>32</v>
      </c>
      <c r="AQ1581" s="30" t="str">
        <f aca="false">IF(OR(Y1581="判定不能",G1581="判定不能"),"判定不能",IF(AP1581&gt;=判定条件!$C$9,"利用可",IF(AND(Y1581="停止",G1581="停止"),"両方停止","運転がそろわない")))</f>
        <v>利用可</v>
      </c>
      <c r="AR1581" s="30" t="n">
        <v>60</v>
      </c>
      <c r="AS1581" s="30" t="n">
        <v>9</v>
      </c>
      <c r="AT1581" s="30" t="str">
        <f aca="false">IF(OR(AB1581="判定不能",J1581="判定不能"),"判定不能",IF(AS1581&gt;=判定条件!$C$9,"利用可",IF(AND(AB1581="停止",J1581="停止"),"両方停止","運転がそろわない")))</f>
        <v>運転がそろわない</v>
      </c>
      <c r="AU1581" s="30" t="n">
        <v>60</v>
      </c>
      <c r="AV1581" s="30" t="n">
        <v>7</v>
      </c>
      <c r="AW1581" s="30" t="str">
        <f aca="false">IF(OR(AE1581="判定不能",M1581="判定不能"),"判定不能",IF(AV1581&gt;=判定条件!$C$9,"利用可",IF(AND(AE1581="停止",M1581="停止"),"両方停止","運転がそろわない")))</f>
        <v>運転がそろわない</v>
      </c>
      <c r="AX1581" s="30" t="str">
        <f aca="false">IF(AND(AH1581="利用可",AK1581="利用可",AN1581="利用可"),"利用可","不可")</f>
        <v>不可</v>
      </c>
      <c r="AY1581" s="30" t="str">
        <f aca="false">IF(AND(AQ1581="利用可",AT1581="利用可",AW1581="利用可"),"利用可","不可")</f>
        <v>不可</v>
      </c>
    </row>
    <row r="1582" customFormat="false" ht="15" hidden="false" customHeight="false" outlineLevel="0" collapsed="false">
      <c r="A1582" s="29" t="n">
        <v>46297</v>
      </c>
      <c r="B1582" s="30" t="n">
        <v>19</v>
      </c>
      <c r="C1582" s="31" t="s">
        <v>62</v>
      </c>
      <c r="D1582" s="31" t="s">
        <v>59</v>
      </c>
      <c r="E1582" s="30" t="n">
        <v>60</v>
      </c>
      <c r="F1582" s="30" t="n">
        <v>25</v>
      </c>
      <c r="G1582" s="30" t="str">
        <f aca="false">IF(E1582&lt;判定条件!$C$6,"判定不能",IF(F1582&gt;=判定条件!$C$7*E1582,"運転",IF(F1582&lt;=判定条件!$C$8*E1582,"停止","断続")))</f>
        <v>断続</v>
      </c>
      <c r="H1582" s="30" t="n">
        <v>60</v>
      </c>
      <c r="I1582" s="30" t="n">
        <v>17</v>
      </c>
      <c r="J1582" s="30" t="str">
        <f aca="false">IF(H1582&lt;判定条件!$C$6,"判定不能",IF(I1582&gt;=判定条件!$C$7*H1582,"運転",IF(I1582&lt;=判定条件!$C$8*H1582,"停止","断続")))</f>
        <v>断続</v>
      </c>
      <c r="K1582" s="30" t="n">
        <v>60</v>
      </c>
      <c r="L1582" s="30" t="n">
        <v>16</v>
      </c>
      <c r="M1582" s="30" t="str">
        <f aca="false">IF(K1582&lt;判定条件!$C$6,"判定不能",IF(L1582&gt;=判定条件!$C$7*K1582,"運転",IF(L1582&lt;=判定条件!$C$8*K1582,"停止","断続")))</f>
        <v>断続</v>
      </c>
      <c r="N1582" s="30" t="n">
        <v>60</v>
      </c>
      <c r="O1582" s="30" t="n">
        <v>0</v>
      </c>
      <c r="P1582" s="30" t="str">
        <f aca="false">IF(N1582&lt;判定条件!$C$6,"判定不能",IF(O1582&gt;=判定条件!$C$7*N1582,"運転",IF(O1582&lt;=判定条件!$C$8*N1582,"停止","断続")))</f>
        <v>停止</v>
      </c>
      <c r="Q1582" s="30" t="n">
        <v>60</v>
      </c>
      <c r="R1582" s="30" t="n">
        <v>22</v>
      </c>
      <c r="S1582" s="30" t="str">
        <f aca="false">IF(Q1582&lt;判定条件!$C$6,"判定不能",IF(R1582&gt;=判定条件!$C$7*Q1582,"運転",IF(R1582&lt;=判定条件!$C$8*Q1582,"停止","断続")))</f>
        <v>断続</v>
      </c>
      <c r="T1582" s="30" t="n">
        <v>60</v>
      </c>
      <c r="U1582" s="30" t="n">
        <v>22</v>
      </c>
      <c r="V1582" s="30" t="str">
        <f aca="false">IF(T1582&lt;判定条件!$C$6,"判定不能",IF(U1582&gt;=判定条件!$C$7*T1582,"運転",IF(U1582&lt;=判定条件!$C$8*T1582,"停止","断続")))</f>
        <v>断続</v>
      </c>
      <c r="W1582" s="30" t="n">
        <v>60</v>
      </c>
      <c r="X1582" s="30" t="n">
        <v>0</v>
      </c>
      <c r="Y1582" s="30" t="str">
        <f aca="false">IF(W1582&lt;判定条件!$C$6,"判定不能",IF(X1582&gt;=判定条件!$C$7*W1582,"運転",IF(X1582&lt;=判定条件!$C$8*W1582,"停止","断続")))</f>
        <v>停止</v>
      </c>
      <c r="Z1582" s="30" t="n">
        <v>60</v>
      </c>
      <c r="AA1582" s="30" t="n">
        <v>15</v>
      </c>
      <c r="AB1582" s="30" t="str">
        <f aca="false">IF(Z1582&lt;判定条件!$C$6,"判定不能",IF(AA1582&gt;=判定条件!$C$7*Z1582,"運転",IF(AA1582&lt;=判定条件!$C$8*Z1582,"停止","断続")))</f>
        <v>断続</v>
      </c>
      <c r="AC1582" s="30" t="n">
        <v>60</v>
      </c>
      <c r="AD1582" s="30" t="n">
        <v>10</v>
      </c>
      <c r="AE1582" s="30" t="str">
        <f aca="false">IF(AC1582&lt;判定条件!$C$6,"判定不能",IF(AD1582&gt;=判定条件!$C$7*AC1582,"運転",IF(AD1582&lt;=判定条件!$C$8*AC1582,"停止","断続")))</f>
        <v>停止</v>
      </c>
      <c r="AF1582" s="30" t="n">
        <v>60</v>
      </c>
      <c r="AG1582" s="30" t="n">
        <v>0</v>
      </c>
      <c r="AH1582" s="30" t="str">
        <f aca="false">IF(OR(P1582="判定不能",G1582="判定不能"),"判定不能",IF(AG1582&gt;=判定条件!$C$9,"利用可",IF(AND(P1582="停止",G1582="停止"),"両方停止","運転がそろわない")))</f>
        <v>運転がそろわない</v>
      </c>
      <c r="AI1582" s="30" t="n">
        <v>60</v>
      </c>
      <c r="AJ1582" s="30" t="n">
        <v>0</v>
      </c>
      <c r="AK1582" s="30" t="str">
        <f aca="false">IF(OR(S1582="判定不能",J1582="判定不能"),"判定不能",IF(AJ1582&gt;=判定条件!$C$9,"利用可",IF(AND(S1582="停止",J1582="停止"),"両方停止","運転がそろわない")))</f>
        <v>運転がそろわない</v>
      </c>
      <c r="AL1582" s="30" t="n">
        <v>60</v>
      </c>
      <c r="AM1582" s="30" t="n">
        <v>9</v>
      </c>
      <c r="AN1582" s="30" t="str">
        <f aca="false">IF(OR(V1582="判定不能",M1582="判定不能"),"判定不能",IF(AM1582&gt;=判定条件!$C$9,"利用可",IF(AND(V1582="停止",M1582="停止"),"両方停止","運転がそろわない")))</f>
        <v>運転がそろわない</v>
      </c>
      <c r="AO1582" s="30" t="n">
        <v>60</v>
      </c>
      <c r="AP1582" s="30" t="n">
        <v>0</v>
      </c>
      <c r="AQ1582" s="30" t="str">
        <f aca="false">IF(OR(Y1582="判定不能",G1582="判定不能"),"判定不能",IF(AP1582&gt;=判定条件!$C$9,"利用可",IF(AND(Y1582="停止",G1582="停止"),"両方停止","運転がそろわない")))</f>
        <v>運転がそろわない</v>
      </c>
      <c r="AR1582" s="30" t="n">
        <v>60</v>
      </c>
      <c r="AS1582" s="30" t="n">
        <v>6</v>
      </c>
      <c r="AT1582" s="30" t="str">
        <f aca="false">IF(OR(AB1582="判定不能",J1582="判定不能"),"判定不能",IF(AS1582&gt;=判定条件!$C$9,"利用可",IF(AND(AB1582="停止",J1582="停止"),"両方停止","運転がそろわない")))</f>
        <v>運転がそろわない</v>
      </c>
      <c r="AU1582" s="30" t="n">
        <v>60</v>
      </c>
      <c r="AV1582" s="30" t="n">
        <v>3</v>
      </c>
      <c r="AW1582" s="30" t="str">
        <f aca="false">IF(OR(AE1582="判定不能",M1582="判定不能"),"判定不能",IF(AV1582&gt;=判定条件!$C$9,"利用可",IF(AND(AE1582="停止",M1582="停止"),"両方停止","運転がそろわない")))</f>
        <v>運転がそろわない</v>
      </c>
      <c r="AX1582" s="30" t="str">
        <f aca="false">IF(AND(AH1582="利用可",AK1582="利用可",AN1582="利用可"),"利用可","不可")</f>
        <v>不可</v>
      </c>
      <c r="AY1582" s="30" t="str">
        <f aca="false">IF(AND(AQ1582="利用可",AT1582="利用可",AW1582="利用可"),"利用可","不可")</f>
        <v>不可</v>
      </c>
    </row>
    <row r="1583" customFormat="false" ht="15" hidden="false" customHeight="false" outlineLevel="0" collapsed="false">
      <c r="A1583" s="29" t="n">
        <v>46297</v>
      </c>
      <c r="B1583" s="30" t="n">
        <v>20</v>
      </c>
      <c r="C1583" s="31" t="s">
        <v>62</v>
      </c>
      <c r="D1583" s="31" t="s">
        <v>59</v>
      </c>
      <c r="E1583" s="30" t="n">
        <v>60</v>
      </c>
      <c r="F1583" s="30" t="n">
        <v>31</v>
      </c>
      <c r="G1583" s="30" t="str">
        <f aca="false">IF(E1583&lt;判定条件!$C$6,"判定不能",IF(F1583&gt;=判定条件!$C$7*E1583,"運転",IF(F1583&lt;=判定条件!$C$8*E1583,"停止","断続")))</f>
        <v>断続</v>
      </c>
      <c r="H1583" s="30" t="n">
        <v>60</v>
      </c>
      <c r="I1583" s="30" t="n">
        <v>10</v>
      </c>
      <c r="J1583" s="30" t="str">
        <f aca="false">IF(H1583&lt;判定条件!$C$6,"判定不能",IF(I1583&gt;=判定条件!$C$7*H1583,"運転",IF(I1583&lt;=判定条件!$C$8*H1583,"停止","断続")))</f>
        <v>停止</v>
      </c>
      <c r="K1583" s="30" t="n">
        <v>60</v>
      </c>
      <c r="L1583" s="30" t="n">
        <v>38</v>
      </c>
      <c r="M1583" s="30" t="str">
        <f aca="false">IF(K1583&lt;判定条件!$C$6,"判定不能",IF(L1583&gt;=判定条件!$C$7*K1583,"運転",IF(L1583&lt;=判定条件!$C$8*K1583,"停止","断続")))</f>
        <v>断続</v>
      </c>
      <c r="N1583" s="30" t="n">
        <v>60</v>
      </c>
      <c r="O1583" s="30" t="n">
        <v>0</v>
      </c>
      <c r="P1583" s="30" t="str">
        <f aca="false">IF(N1583&lt;判定条件!$C$6,"判定不能",IF(O1583&gt;=判定条件!$C$7*N1583,"運転",IF(O1583&lt;=判定条件!$C$8*N1583,"停止","断続")))</f>
        <v>停止</v>
      </c>
      <c r="Q1583" s="30" t="n">
        <v>60</v>
      </c>
      <c r="R1583" s="30" t="n">
        <v>7</v>
      </c>
      <c r="S1583" s="30" t="str">
        <f aca="false">IF(Q1583&lt;判定条件!$C$6,"判定不能",IF(R1583&gt;=判定条件!$C$7*Q1583,"運転",IF(R1583&lt;=判定条件!$C$8*Q1583,"停止","断続")))</f>
        <v>停止</v>
      </c>
      <c r="T1583" s="30" t="n">
        <v>60</v>
      </c>
      <c r="U1583" s="30" t="n">
        <v>20</v>
      </c>
      <c r="V1583" s="30" t="str">
        <f aca="false">IF(T1583&lt;判定条件!$C$6,"判定不能",IF(U1583&gt;=判定条件!$C$7*T1583,"運転",IF(U1583&lt;=判定条件!$C$8*T1583,"停止","断続")))</f>
        <v>断続</v>
      </c>
      <c r="W1583" s="30" t="n">
        <v>60</v>
      </c>
      <c r="X1583" s="30" t="n">
        <v>17</v>
      </c>
      <c r="Y1583" s="30" t="str">
        <f aca="false">IF(W1583&lt;判定条件!$C$6,"判定不能",IF(X1583&gt;=判定条件!$C$7*W1583,"運転",IF(X1583&lt;=判定条件!$C$8*W1583,"停止","断続")))</f>
        <v>断続</v>
      </c>
      <c r="Z1583" s="30" t="n">
        <v>60</v>
      </c>
      <c r="AA1583" s="30" t="n">
        <v>24</v>
      </c>
      <c r="AB1583" s="30" t="str">
        <f aca="false">IF(Z1583&lt;判定条件!$C$6,"判定不能",IF(AA1583&gt;=判定条件!$C$7*Z1583,"運転",IF(AA1583&lt;=判定条件!$C$8*Z1583,"停止","断続")))</f>
        <v>断続</v>
      </c>
      <c r="AC1583" s="30" t="n">
        <v>60</v>
      </c>
      <c r="AD1583" s="30" t="n">
        <v>0</v>
      </c>
      <c r="AE1583" s="30" t="str">
        <f aca="false">IF(AC1583&lt;判定条件!$C$6,"判定不能",IF(AD1583&gt;=判定条件!$C$7*AC1583,"運転",IF(AD1583&lt;=判定条件!$C$8*AC1583,"停止","断続")))</f>
        <v>停止</v>
      </c>
      <c r="AF1583" s="30" t="n">
        <v>60</v>
      </c>
      <c r="AG1583" s="30" t="n">
        <v>0</v>
      </c>
      <c r="AH1583" s="30" t="str">
        <f aca="false">IF(OR(P1583="判定不能",G1583="判定不能"),"判定不能",IF(AG1583&gt;=判定条件!$C$9,"利用可",IF(AND(P1583="停止",G1583="停止"),"両方停止","運転がそろわない")))</f>
        <v>運転がそろわない</v>
      </c>
      <c r="AI1583" s="30" t="n">
        <v>60</v>
      </c>
      <c r="AJ1583" s="30" t="n">
        <v>0</v>
      </c>
      <c r="AK1583" s="30" t="str">
        <f aca="false">IF(OR(S1583="判定不能",J1583="判定不能"),"判定不能",IF(AJ1583&gt;=判定条件!$C$9,"利用可",IF(AND(S1583="停止",J1583="停止"),"両方停止","運転がそろわない")))</f>
        <v>両方停止</v>
      </c>
      <c r="AL1583" s="30" t="n">
        <v>60</v>
      </c>
      <c r="AM1583" s="30" t="n">
        <v>8</v>
      </c>
      <c r="AN1583" s="30" t="str">
        <f aca="false">IF(OR(V1583="判定不能",M1583="判定不能"),"判定不能",IF(AM1583&gt;=判定条件!$C$9,"利用可",IF(AND(V1583="停止",M1583="停止"),"両方停止","運転がそろわない")))</f>
        <v>運転がそろわない</v>
      </c>
      <c r="AO1583" s="30" t="n">
        <v>60</v>
      </c>
      <c r="AP1583" s="30" t="n">
        <v>10</v>
      </c>
      <c r="AQ1583" s="30" t="str">
        <f aca="false">IF(OR(Y1583="判定不能",G1583="判定不能"),"判定不能",IF(AP1583&gt;=判定条件!$C$9,"利用可",IF(AND(Y1583="停止",G1583="停止"),"両方停止","運転がそろわない")))</f>
        <v>運転がそろわない</v>
      </c>
      <c r="AR1583" s="30" t="n">
        <v>60</v>
      </c>
      <c r="AS1583" s="30" t="n">
        <v>0</v>
      </c>
      <c r="AT1583" s="30" t="str">
        <f aca="false">IF(OR(AB1583="判定不能",J1583="判定不能"),"判定不能",IF(AS1583&gt;=判定条件!$C$9,"利用可",IF(AND(AB1583="停止",J1583="停止"),"両方停止","運転がそろわない")))</f>
        <v>運転がそろわない</v>
      </c>
      <c r="AU1583" s="30" t="n">
        <v>60</v>
      </c>
      <c r="AV1583" s="30" t="n">
        <v>0</v>
      </c>
      <c r="AW1583" s="30" t="str">
        <f aca="false">IF(OR(AE1583="判定不能",M1583="判定不能"),"判定不能",IF(AV1583&gt;=判定条件!$C$9,"利用可",IF(AND(AE1583="停止",M1583="停止"),"両方停止","運転がそろわない")))</f>
        <v>運転がそろわない</v>
      </c>
      <c r="AX1583" s="30" t="str">
        <f aca="false">IF(AND(AH1583="利用可",AK1583="利用可",AN1583="利用可"),"利用可","不可")</f>
        <v>不可</v>
      </c>
      <c r="AY1583" s="30" t="str">
        <f aca="false">IF(AND(AQ1583="利用可",AT1583="利用可",AW1583="利用可"),"利用可","不可")</f>
        <v>不可</v>
      </c>
    </row>
    <row r="1584" customFormat="false" ht="15" hidden="false" customHeight="false" outlineLevel="0" collapsed="false">
      <c r="A1584" s="29" t="n">
        <v>46297</v>
      </c>
      <c r="B1584" s="30" t="n">
        <v>21</v>
      </c>
      <c r="C1584" s="31" t="s">
        <v>62</v>
      </c>
      <c r="D1584" s="31" t="s">
        <v>59</v>
      </c>
      <c r="E1584" s="30" t="n">
        <v>60</v>
      </c>
      <c r="F1584" s="30" t="n">
        <v>0</v>
      </c>
      <c r="G1584" s="30" t="str">
        <f aca="false">IF(E1584&lt;判定条件!$C$6,"判定不能",IF(F1584&gt;=判定条件!$C$7*E1584,"運転",IF(F1584&lt;=判定条件!$C$8*E1584,"停止","断続")))</f>
        <v>停止</v>
      </c>
      <c r="H1584" s="30" t="n">
        <v>60</v>
      </c>
      <c r="I1584" s="30" t="n">
        <v>0</v>
      </c>
      <c r="J1584" s="30" t="str">
        <f aca="false">IF(H1584&lt;判定条件!$C$6,"判定不能",IF(I1584&gt;=判定条件!$C$7*H1584,"運転",IF(I1584&lt;=判定条件!$C$8*H1584,"停止","断続")))</f>
        <v>停止</v>
      </c>
      <c r="K1584" s="30" t="n">
        <v>60</v>
      </c>
      <c r="L1584" s="30" t="n">
        <v>0</v>
      </c>
      <c r="M1584" s="30" t="str">
        <f aca="false">IF(K1584&lt;判定条件!$C$6,"判定不能",IF(L1584&gt;=判定条件!$C$7*K1584,"運転",IF(L1584&lt;=判定条件!$C$8*K1584,"停止","断続")))</f>
        <v>停止</v>
      </c>
      <c r="N1584" s="30" t="n">
        <v>60</v>
      </c>
      <c r="O1584" s="30" t="n">
        <v>0</v>
      </c>
      <c r="P1584" s="30" t="str">
        <f aca="false">IF(N1584&lt;判定条件!$C$6,"判定不能",IF(O1584&gt;=判定条件!$C$7*N1584,"運転",IF(O1584&lt;=判定条件!$C$8*N1584,"停止","断続")))</f>
        <v>停止</v>
      </c>
      <c r="Q1584" s="30" t="n">
        <v>60</v>
      </c>
      <c r="R1584" s="30" t="n">
        <v>15</v>
      </c>
      <c r="S1584" s="30" t="str">
        <f aca="false">IF(Q1584&lt;判定条件!$C$6,"判定不能",IF(R1584&gt;=判定条件!$C$7*Q1584,"運転",IF(R1584&lt;=判定条件!$C$8*Q1584,"停止","断続")))</f>
        <v>断続</v>
      </c>
      <c r="T1584" s="30" t="n">
        <v>60</v>
      </c>
      <c r="U1584" s="30" t="n">
        <v>60</v>
      </c>
      <c r="V1584" s="30" t="str">
        <f aca="false">IF(T1584&lt;判定条件!$C$6,"判定不能",IF(U1584&gt;=判定条件!$C$7*T1584,"運転",IF(U1584&lt;=判定条件!$C$8*T1584,"停止","断続")))</f>
        <v>運転</v>
      </c>
      <c r="W1584" s="30" t="n">
        <v>60</v>
      </c>
      <c r="X1584" s="30" t="n">
        <v>52</v>
      </c>
      <c r="Y1584" s="30" t="str">
        <f aca="false">IF(W1584&lt;判定条件!$C$6,"判定不能",IF(X1584&gt;=判定条件!$C$7*W1584,"運転",IF(X1584&lt;=判定条件!$C$8*W1584,"停止","断続")))</f>
        <v>運転</v>
      </c>
      <c r="Z1584" s="30" t="n">
        <v>60</v>
      </c>
      <c r="AA1584" s="30" t="n">
        <v>28</v>
      </c>
      <c r="AB1584" s="30" t="str">
        <f aca="false">IF(Z1584&lt;判定条件!$C$6,"判定不能",IF(AA1584&gt;=判定条件!$C$7*Z1584,"運転",IF(AA1584&lt;=判定条件!$C$8*Z1584,"停止","断続")))</f>
        <v>断続</v>
      </c>
      <c r="AC1584" s="30" t="n">
        <v>60</v>
      </c>
      <c r="AD1584" s="30" t="n">
        <v>0</v>
      </c>
      <c r="AE1584" s="30" t="str">
        <f aca="false">IF(AC1584&lt;判定条件!$C$6,"判定不能",IF(AD1584&gt;=判定条件!$C$7*AC1584,"運転",IF(AD1584&lt;=判定条件!$C$8*AC1584,"停止","断続")))</f>
        <v>停止</v>
      </c>
      <c r="AF1584" s="30" t="n">
        <v>60</v>
      </c>
      <c r="AG1584" s="30" t="n">
        <v>0</v>
      </c>
      <c r="AH1584" s="30" t="str">
        <f aca="false">IF(OR(P1584="判定不能",G1584="判定不能"),"判定不能",IF(AG1584&gt;=判定条件!$C$9,"利用可",IF(AND(P1584="停止",G1584="停止"),"両方停止","運転がそろわない")))</f>
        <v>両方停止</v>
      </c>
      <c r="AI1584" s="30" t="n">
        <v>60</v>
      </c>
      <c r="AJ1584" s="30" t="n">
        <v>0</v>
      </c>
      <c r="AK1584" s="30" t="str">
        <f aca="false">IF(OR(S1584="判定不能",J1584="判定不能"),"判定不能",IF(AJ1584&gt;=判定条件!$C$9,"利用可",IF(AND(S1584="停止",J1584="停止"),"両方停止","運転がそろわない")))</f>
        <v>運転がそろわない</v>
      </c>
      <c r="AL1584" s="30" t="n">
        <v>60</v>
      </c>
      <c r="AM1584" s="30" t="n">
        <v>0</v>
      </c>
      <c r="AN1584" s="30" t="str">
        <f aca="false">IF(OR(V1584="判定不能",M1584="判定不能"),"判定不能",IF(AM1584&gt;=判定条件!$C$9,"利用可",IF(AND(V1584="停止",M1584="停止"),"両方停止","運転がそろわない")))</f>
        <v>運転がそろわない</v>
      </c>
      <c r="AO1584" s="30" t="n">
        <v>60</v>
      </c>
      <c r="AP1584" s="30" t="n">
        <v>0</v>
      </c>
      <c r="AQ1584" s="30" t="str">
        <f aca="false">IF(OR(Y1584="判定不能",G1584="判定不能"),"判定不能",IF(AP1584&gt;=判定条件!$C$9,"利用可",IF(AND(Y1584="停止",G1584="停止"),"両方停止","運転がそろわない")))</f>
        <v>運転がそろわない</v>
      </c>
      <c r="AR1584" s="30" t="n">
        <v>60</v>
      </c>
      <c r="AS1584" s="30" t="n">
        <v>0</v>
      </c>
      <c r="AT1584" s="30" t="str">
        <f aca="false">IF(OR(AB1584="判定不能",J1584="判定不能"),"判定不能",IF(AS1584&gt;=判定条件!$C$9,"利用可",IF(AND(AB1584="停止",J1584="停止"),"両方停止","運転がそろわない")))</f>
        <v>運転がそろわない</v>
      </c>
      <c r="AU1584" s="30" t="n">
        <v>60</v>
      </c>
      <c r="AV1584" s="30" t="n">
        <v>0</v>
      </c>
      <c r="AW1584" s="30" t="str">
        <f aca="false">IF(OR(AE1584="判定不能",M1584="判定不能"),"判定不能",IF(AV1584&gt;=判定条件!$C$9,"利用可",IF(AND(AE1584="停止",M1584="停止"),"両方停止","運転がそろわない")))</f>
        <v>両方停止</v>
      </c>
      <c r="AX1584" s="30" t="str">
        <f aca="false">IF(AND(AH1584="利用可",AK1584="利用可",AN1584="利用可"),"利用可","不可")</f>
        <v>不可</v>
      </c>
      <c r="AY1584" s="30" t="str">
        <f aca="false">IF(AND(AQ1584="利用可",AT1584="利用可",AW1584="利用可"),"利用可","不可")</f>
        <v>不可</v>
      </c>
    </row>
    <row r="1585" customFormat="false" ht="15" hidden="false" customHeight="false" outlineLevel="0" collapsed="false">
      <c r="A1585" s="29" t="n">
        <v>46297</v>
      </c>
      <c r="B1585" s="30" t="n">
        <v>22</v>
      </c>
      <c r="C1585" s="31" t="s">
        <v>62</v>
      </c>
      <c r="D1585" s="31" t="s">
        <v>59</v>
      </c>
      <c r="E1585" s="30" t="n">
        <v>60</v>
      </c>
      <c r="F1585" s="30" t="n">
        <v>0</v>
      </c>
      <c r="G1585" s="30" t="str">
        <f aca="false">IF(E1585&lt;判定条件!$C$6,"判定不能",IF(F1585&gt;=判定条件!$C$7*E1585,"運転",IF(F1585&lt;=判定条件!$C$8*E1585,"停止","断続")))</f>
        <v>停止</v>
      </c>
      <c r="H1585" s="30" t="n">
        <v>60</v>
      </c>
      <c r="I1585" s="30" t="n">
        <v>0</v>
      </c>
      <c r="J1585" s="30" t="str">
        <f aca="false">IF(H1585&lt;判定条件!$C$6,"判定不能",IF(I1585&gt;=判定条件!$C$7*H1585,"運転",IF(I1585&lt;=判定条件!$C$8*H1585,"停止","断続")))</f>
        <v>停止</v>
      </c>
      <c r="K1585" s="30" t="n">
        <v>60</v>
      </c>
      <c r="L1585" s="30" t="n">
        <v>0</v>
      </c>
      <c r="M1585" s="30" t="str">
        <f aca="false">IF(K1585&lt;判定条件!$C$6,"判定不能",IF(L1585&gt;=判定条件!$C$7*K1585,"運転",IF(L1585&lt;=判定条件!$C$8*K1585,"停止","断続")))</f>
        <v>停止</v>
      </c>
      <c r="N1585" s="30" t="n">
        <v>60</v>
      </c>
      <c r="O1585" s="30" t="n">
        <v>0</v>
      </c>
      <c r="P1585" s="30" t="str">
        <f aca="false">IF(N1585&lt;判定条件!$C$6,"判定不能",IF(O1585&gt;=判定条件!$C$7*N1585,"運転",IF(O1585&lt;=判定条件!$C$8*N1585,"停止","断続")))</f>
        <v>停止</v>
      </c>
      <c r="Q1585" s="30" t="n">
        <v>60</v>
      </c>
      <c r="R1585" s="30" t="n">
        <v>0</v>
      </c>
      <c r="S1585" s="30" t="str">
        <f aca="false">IF(Q1585&lt;判定条件!$C$6,"判定不能",IF(R1585&gt;=判定条件!$C$7*Q1585,"運転",IF(R1585&lt;=判定条件!$C$8*Q1585,"停止","断続")))</f>
        <v>停止</v>
      </c>
      <c r="T1585" s="30" t="n">
        <v>60</v>
      </c>
      <c r="U1585" s="30" t="n">
        <v>11</v>
      </c>
      <c r="V1585" s="30" t="str">
        <f aca="false">IF(T1585&lt;判定条件!$C$6,"判定不能",IF(U1585&gt;=判定条件!$C$7*T1585,"運転",IF(U1585&lt;=判定条件!$C$8*T1585,"停止","断続")))</f>
        <v>停止</v>
      </c>
      <c r="W1585" s="30" t="n">
        <v>60</v>
      </c>
      <c r="X1585" s="30" t="n">
        <v>35</v>
      </c>
      <c r="Y1585" s="30" t="str">
        <f aca="false">IF(W1585&lt;判定条件!$C$6,"判定不能",IF(X1585&gt;=判定条件!$C$7*W1585,"運転",IF(X1585&lt;=判定条件!$C$8*W1585,"停止","断続")))</f>
        <v>断続</v>
      </c>
      <c r="Z1585" s="30" t="n">
        <v>60</v>
      </c>
      <c r="AA1585" s="30" t="n">
        <v>27</v>
      </c>
      <c r="AB1585" s="30" t="str">
        <f aca="false">IF(Z1585&lt;判定条件!$C$6,"判定不能",IF(AA1585&gt;=判定条件!$C$7*Z1585,"運転",IF(AA1585&lt;=判定条件!$C$8*Z1585,"停止","断続")))</f>
        <v>断続</v>
      </c>
      <c r="AC1585" s="30" t="n">
        <v>60</v>
      </c>
      <c r="AD1585" s="30" t="n">
        <v>0</v>
      </c>
      <c r="AE1585" s="30" t="str">
        <f aca="false">IF(AC1585&lt;判定条件!$C$6,"判定不能",IF(AD1585&gt;=判定条件!$C$7*AC1585,"運転",IF(AD1585&lt;=判定条件!$C$8*AC1585,"停止","断続")))</f>
        <v>停止</v>
      </c>
      <c r="AF1585" s="30" t="n">
        <v>60</v>
      </c>
      <c r="AG1585" s="30" t="n">
        <v>0</v>
      </c>
      <c r="AH1585" s="30" t="str">
        <f aca="false">IF(OR(P1585="判定不能",G1585="判定不能"),"判定不能",IF(AG1585&gt;=判定条件!$C$9,"利用可",IF(AND(P1585="停止",G1585="停止"),"両方停止","運転がそろわない")))</f>
        <v>両方停止</v>
      </c>
      <c r="AI1585" s="30" t="n">
        <v>60</v>
      </c>
      <c r="AJ1585" s="30" t="n">
        <v>0</v>
      </c>
      <c r="AK1585" s="30" t="str">
        <f aca="false">IF(OR(S1585="判定不能",J1585="判定不能"),"判定不能",IF(AJ1585&gt;=判定条件!$C$9,"利用可",IF(AND(S1585="停止",J1585="停止"),"両方停止","運転がそろわない")))</f>
        <v>両方停止</v>
      </c>
      <c r="AL1585" s="30" t="n">
        <v>60</v>
      </c>
      <c r="AM1585" s="30" t="n">
        <v>0</v>
      </c>
      <c r="AN1585" s="30" t="str">
        <f aca="false">IF(OR(V1585="判定不能",M1585="判定不能"),"判定不能",IF(AM1585&gt;=判定条件!$C$9,"利用可",IF(AND(V1585="停止",M1585="停止"),"両方停止","運転がそろわない")))</f>
        <v>両方停止</v>
      </c>
      <c r="AO1585" s="30" t="n">
        <v>60</v>
      </c>
      <c r="AP1585" s="30" t="n">
        <v>0</v>
      </c>
      <c r="AQ1585" s="30" t="str">
        <f aca="false">IF(OR(Y1585="判定不能",G1585="判定不能"),"判定不能",IF(AP1585&gt;=判定条件!$C$9,"利用可",IF(AND(Y1585="停止",G1585="停止"),"両方停止","運転がそろわない")))</f>
        <v>運転がそろわない</v>
      </c>
      <c r="AR1585" s="30" t="n">
        <v>60</v>
      </c>
      <c r="AS1585" s="30" t="n">
        <v>0</v>
      </c>
      <c r="AT1585" s="30" t="str">
        <f aca="false">IF(OR(AB1585="判定不能",J1585="判定不能"),"判定不能",IF(AS1585&gt;=判定条件!$C$9,"利用可",IF(AND(AB1585="停止",J1585="停止"),"両方停止","運転がそろわない")))</f>
        <v>運転がそろわない</v>
      </c>
      <c r="AU1585" s="30" t="n">
        <v>60</v>
      </c>
      <c r="AV1585" s="30" t="n">
        <v>0</v>
      </c>
      <c r="AW1585" s="30" t="str">
        <f aca="false">IF(OR(AE1585="判定不能",M1585="判定不能"),"判定不能",IF(AV1585&gt;=判定条件!$C$9,"利用可",IF(AND(AE1585="停止",M1585="停止"),"両方停止","運転がそろわない")))</f>
        <v>両方停止</v>
      </c>
      <c r="AX1585" s="30" t="str">
        <f aca="false">IF(AND(AH1585="利用可",AK1585="利用可",AN1585="利用可"),"利用可","不可")</f>
        <v>不可</v>
      </c>
      <c r="AY1585" s="30" t="str">
        <f aca="false">IF(AND(AQ1585="利用可",AT1585="利用可",AW1585="利用可"),"利用可","不可")</f>
        <v>不可</v>
      </c>
    </row>
    <row r="1586" customFormat="false" ht="15" hidden="false" customHeight="false" outlineLevel="0" collapsed="false">
      <c r="A1586" s="29" t="n">
        <v>46297</v>
      </c>
      <c r="B1586" s="30" t="n">
        <v>23</v>
      </c>
      <c r="C1586" s="31" t="s">
        <v>62</v>
      </c>
      <c r="D1586" s="31" t="s">
        <v>59</v>
      </c>
      <c r="E1586" s="30" t="n">
        <v>60</v>
      </c>
      <c r="F1586" s="30" t="n">
        <v>0</v>
      </c>
      <c r="G1586" s="30" t="str">
        <f aca="false">IF(E1586&lt;判定条件!$C$6,"判定不能",IF(F1586&gt;=判定条件!$C$7*E1586,"運転",IF(F1586&lt;=判定条件!$C$8*E1586,"停止","断続")))</f>
        <v>停止</v>
      </c>
      <c r="H1586" s="30" t="n">
        <v>60</v>
      </c>
      <c r="I1586" s="30" t="n">
        <v>0</v>
      </c>
      <c r="J1586" s="30" t="str">
        <f aca="false">IF(H1586&lt;判定条件!$C$6,"判定不能",IF(I1586&gt;=判定条件!$C$7*H1586,"運転",IF(I1586&lt;=判定条件!$C$8*H1586,"停止","断続")))</f>
        <v>停止</v>
      </c>
      <c r="K1586" s="30" t="n">
        <v>60</v>
      </c>
      <c r="L1586" s="30" t="n">
        <v>0</v>
      </c>
      <c r="M1586" s="30" t="str">
        <f aca="false">IF(K1586&lt;判定条件!$C$6,"判定不能",IF(L1586&gt;=判定条件!$C$7*K1586,"運転",IF(L1586&lt;=判定条件!$C$8*K1586,"停止","断続")))</f>
        <v>停止</v>
      </c>
      <c r="N1586" s="30" t="n">
        <v>60</v>
      </c>
      <c r="O1586" s="30" t="n">
        <v>0</v>
      </c>
      <c r="P1586" s="30" t="str">
        <f aca="false">IF(N1586&lt;判定条件!$C$6,"判定不能",IF(O1586&gt;=判定条件!$C$7*N1586,"運転",IF(O1586&lt;=判定条件!$C$8*N1586,"停止","断続")))</f>
        <v>停止</v>
      </c>
      <c r="Q1586" s="30" t="n">
        <v>60</v>
      </c>
      <c r="R1586" s="30" t="n">
        <v>0</v>
      </c>
      <c r="S1586" s="30" t="str">
        <f aca="false">IF(Q1586&lt;判定条件!$C$6,"判定不能",IF(R1586&gt;=判定条件!$C$7*Q1586,"運転",IF(R1586&lt;=判定条件!$C$8*Q1586,"停止","断続")))</f>
        <v>停止</v>
      </c>
      <c r="T1586" s="30" t="n">
        <v>60</v>
      </c>
      <c r="U1586" s="30" t="n">
        <v>0</v>
      </c>
      <c r="V1586" s="30" t="str">
        <f aca="false">IF(T1586&lt;判定条件!$C$6,"判定不能",IF(U1586&gt;=判定条件!$C$7*T1586,"運転",IF(U1586&lt;=判定条件!$C$8*T1586,"停止","断続")))</f>
        <v>停止</v>
      </c>
      <c r="W1586" s="30" t="n">
        <v>60</v>
      </c>
      <c r="X1586" s="30" t="n">
        <v>0</v>
      </c>
      <c r="Y1586" s="30" t="str">
        <f aca="false">IF(W1586&lt;判定条件!$C$6,"判定不能",IF(X1586&gt;=判定条件!$C$7*W1586,"運転",IF(X1586&lt;=判定条件!$C$8*W1586,"停止","断続")))</f>
        <v>停止</v>
      </c>
      <c r="Z1586" s="30" t="n">
        <v>60</v>
      </c>
      <c r="AA1586" s="30" t="n">
        <v>13</v>
      </c>
      <c r="AB1586" s="30" t="str">
        <f aca="false">IF(Z1586&lt;判定条件!$C$6,"判定不能",IF(AA1586&gt;=判定条件!$C$7*Z1586,"運転",IF(AA1586&lt;=判定条件!$C$8*Z1586,"停止","断続")))</f>
        <v>断続</v>
      </c>
      <c r="AC1586" s="30" t="n">
        <v>60</v>
      </c>
      <c r="AD1586" s="30" t="n">
        <v>0</v>
      </c>
      <c r="AE1586" s="30" t="str">
        <f aca="false">IF(AC1586&lt;判定条件!$C$6,"判定不能",IF(AD1586&gt;=判定条件!$C$7*AC1586,"運転",IF(AD1586&lt;=判定条件!$C$8*AC1586,"停止","断続")))</f>
        <v>停止</v>
      </c>
      <c r="AF1586" s="30" t="n">
        <v>60</v>
      </c>
      <c r="AG1586" s="30" t="n">
        <v>0</v>
      </c>
      <c r="AH1586" s="30" t="str">
        <f aca="false">IF(OR(P1586="判定不能",G1586="判定不能"),"判定不能",IF(AG1586&gt;=判定条件!$C$9,"利用可",IF(AND(P1586="停止",G1586="停止"),"両方停止","運転がそろわない")))</f>
        <v>両方停止</v>
      </c>
      <c r="AI1586" s="30" t="n">
        <v>60</v>
      </c>
      <c r="AJ1586" s="30" t="n">
        <v>0</v>
      </c>
      <c r="AK1586" s="30" t="str">
        <f aca="false">IF(OR(S1586="判定不能",J1586="判定不能"),"判定不能",IF(AJ1586&gt;=判定条件!$C$9,"利用可",IF(AND(S1586="停止",J1586="停止"),"両方停止","運転がそろわない")))</f>
        <v>両方停止</v>
      </c>
      <c r="AL1586" s="30" t="n">
        <v>60</v>
      </c>
      <c r="AM1586" s="30" t="n">
        <v>0</v>
      </c>
      <c r="AN1586" s="30" t="str">
        <f aca="false">IF(OR(V1586="判定不能",M1586="判定不能"),"判定不能",IF(AM1586&gt;=判定条件!$C$9,"利用可",IF(AND(V1586="停止",M1586="停止"),"両方停止","運転がそろわない")))</f>
        <v>両方停止</v>
      </c>
      <c r="AO1586" s="30" t="n">
        <v>60</v>
      </c>
      <c r="AP1586" s="30" t="n">
        <v>0</v>
      </c>
      <c r="AQ1586" s="30" t="str">
        <f aca="false">IF(OR(Y1586="判定不能",G1586="判定不能"),"判定不能",IF(AP1586&gt;=判定条件!$C$9,"利用可",IF(AND(Y1586="停止",G1586="停止"),"両方停止","運転がそろわない")))</f>
        <v>両方停止</v>
      </c>
      <c r="AR1586" s="30" t="n">
        <v>60</v>
      </c>
      <c r="AS1586" s="30" t="n">
        <v>0</v>
      </c>
      <c r="AT1586" s="30" t="str">
        <f aca="false">IF(OR(AB1586="判定不能",J1586="判定不能"),"判定不能",IF(AS1586&gt;=判定条件!$C$9,"利用可",IF(AND(AB1586="停止",J1586="停止"),"両方停止","運転がそろわない")))</f>
        <v>運転がそろわない</v>
      </c>
      <c r="AU1586" s="30" t="n">
        <v>60</v>
      </c>
      <c r="AV1586" s="30" t="n">
        <v>0</v>
      </c>
      <c r="AW1586" s="30" t="str">
        <f aca="false">IF(OR(AE1586="判定不能",M1586="判定不能"),"判定不能",IF(AV1586&gt;=判定条件!$C$9,"利用可",IF(AND(AE1586="停止",M1586="停止"),"両方停止","運転がそろわない")))</f>
        <v>両方停止</v>
      </c>
      <c r="AX1586" s="30" t="str">
        <f aca="false">IF(AND(AH1586="利用可",AK1586="利用可",AN1586="利用可"),"利用可","不可")</f>
        <v>不可</v>
      </c>
      <c r="AY1586" s="30" t="str">
        <f aca="false">IF(AND(AQ1586="利用可",AT1586="利用可",AW1586="利用可"),"利用可","不可")</f>
        <v>不可</v>
      </c>
    </row>
    <row r="1587" customFormat="false" ht="15" hidden="false" customHeight="false" outlineLevel="0" collapsed="false">
      <c r="A1587" s="29" t="n">
        <v>46298</v>
      </c>
      <c r="B1587" s="30" t="n">
        <v>0</v>
      </c>
      <c r="C1587" s="31" t="s">
        <v>63</v>
      </c>
      <c r="D1587" s="31" t="s">
        <v>64</v>
      </c>
      <c r="E1587" s="30" t="n">
        <v>60</v>
      </c>
      <c r="F1587" s="30" t="n">
        <v>0</v>
      </c>
      <c r="G1587" s="30" t="str">
        <f aca="false">IF(E1587&lt;判定条件!$C$6,"判定不能",IF(F1587&gt;=判定条件!$C$7*E1587,"運転",IF(F1587&lt;=判定条件!$C$8*E1587,"停止","断続")))</f>
        <v>停止</v>
      </c>
      <c r="H1587" s="30" t="n">
        <v>60</v>
      </c>
      <c r="I1587" s="30" t="n">
        <v>0</v>
      </c>
      <c r="J1587" s="30" t="str">
        <f aca="false">IF(H1587&lt;判定条件!$C$6,"判定不能",IF(I1587&gt;=判定条件!$C$7*H1587,"運転",IF(I1587&lt;=判定条件!$C$8*H1587,"停止","断続")))</f>
        <v>停止</v>
      </c>
      <c r="K1587" s="30" t="n">
        <v>60</v>
      </c>
      <c r="L1587" s="30" t="n">
        <v>0</v>
      </c>
      <c r="M1587" s="30" t="str">
        <f aca="false">IF(K1587&lt;判定条件!$C$6,"判定不能",IF(L1587&gt;=判定条件!$C$7*K1587,"運転",IF(L1587&lt;=判定条件!$C$8*K1587,"停止","断続")))</f>
        <v>停止</v>
      </c>
      <c r="N1587" s="30" t="n">
        <v>60</v>
      </c>
      <c r="O1587" s="30" t="n">
        <v>0</v>
      </c>
      <c r="P1587" s="30" t="str">
        <f aca="false">IF(N1587&lt;判定条件!$C$6,"判定不能",IF(O1587&gt;=判定条件!$C$7*N1587,"運転",IF(O1587&lt;=判定条件!$C$8*N1587,"停止","断続")))</f>
        <v>停止</v>
      </c>
      <c r="Q1587" s="30" t="n">
        <v>60</v>
      </c>
      <c r="R1587" s="30" t="n">
        <v>0</v>
      </c>
      <c r="S1587" s="30" t="str">
        <f aca="false">IF(Q1587&lt;判定条件!$C$6,"判定不能",IF(R1587&gt;=判定条件!$C$7*Q1587,"運転",IF(R1587&lt;=判定条件!$C$8*Q1587,"停止","断続")))</f>
        <v>停止</v>
      </c>
      <c r="T1587" s="30" t="n">
        <v>60</v>
      </c>
      <c r="U1587" s="30" t="n">
        <v>0</v>
      </c>
      <c r="V1587" s="30" t="str">
        <f aca="false">IF(T1587&lt;判定条件!$C$6,"判定不能",IF(U1587&gt;=判定条件!$C$7*T1587,"運転",IF(U1587&lt;=判定条件!$C$8*T1587,"停止","断続")))</f>
        <v>停止</v>
      </c>
      <c r="W1587" s="30" t="n">
        <v>60</v>
      </c>
      <c r="X1587" s="30" t="n">
        <v>0</v>
      </c>
      <c r="Y1587" s="30" t="str">
        <f aca="false">IF(W1587&lt;判定条件!$C$6,"判定不能",IF(X1587&gt;=判定条件!$C$7*W1587,"運転",IF(X1587&lt;=判定条件!$C$8*W1587,"停止","断続")))</f>
        <v>停止</v>
      </c>
      <c r="Z1587" s="30" t="n">
        <v>60</v>
      </c>
      <c r="AA1587" s="30" t="n">
        <v>0</v>
      </c>
      <c r="AB1587" s="30" t="str">
        <f aca="false">IF(Z1587&lt;判定条件!$C$6,"判定不能",IF(AA1587&gt;=判定条件!$C$7*Z1587,"運転",IF(AA1587&lt;=判定条件!$C$8*Z1587,"停止","断続")))</f>
        <v>停止</v>
      </c>
      <c r="AC1587" s="30" t="n">
        <v>60</v>
      </c>
      <c r="AD1587" s="30" t="n">
        <v>0</v>
      </c>
      <c r="AE1587" s="30" t="str">
        <f aca="false">IF(AC1587&lt;判定条件!$C$6,"判定不能",IF(AD1587&gt;=判定条件!$C$7*AC1587,"運転",IF(AD1587&lt;=判定条件!$C$8*AC1587,"停止","断続")))</f>
        <v>停止</v>
      </c>
      <c r="AF1587" s="30" t="n">
        <v>60</v>
      </c>
      <c r="AG1587" s="30" t="n">
        <v>0</v>
      </c>
      <c r="AH1587" s="30" t="str">
        <f aca="false">IF(OR(P1587="判定不能",G1587="判定不能"),"判定不能",IF(AG1587&gt;=判定条件!$C$9,"利用可",IF(AND(P1587="停止",G1587="停止"),"両方停止","運転がそろわない")))</f>
        <v>両方停止</v>
      </c>
      <c r="AI1587" s="30" t="n">
        <v>60</v>
      </c>
      <c r="AJ1587" s="30" t="n">
        <v>0</v>
      </c>
      <c r="AK1587" s="30" t="str">
        <f aca="false">IF(OR(S1587="判定不能",J1587="判定不能"),"判定不能",IF(AJ1587&gt;=判定条件!$C$9,"利用可",IF(AND(S1587="停止",J1587="停止"),"両方停止","運転がそろわない")))</f>
        <v>両方停止</v>
      </c>
      <c r="AL1587" s="30" t="n">
        <v>60</v>
      </c>
      <c r="AM1587" s="30" t="n">
        <v>0</v>
      </c>
      <c r="AN1587" s="30" t="str">
        <f aca="false">IF(OR(V1587="判定不能",M1587="判定不能"),"判定不能",IF(AM1587&gt;=判定条件!$C$9,"利用可",IF(AND(V1587="停止",M1587="停止"),"両方停止","運転がそろわない")))</f>
        <v>両方停止</v>
      </c>
      <c r="AO1587" s="30" t="n">
        <v>60</v>
      </c>
      <c r="AP1587" s="30" t="n">
        <v>0</v>
      </c>
      <c r="AQ1587" s="30" t="str">
        <f aca="false">IF(OR(Y1587="判定不能",G1587="判定不能"),"判定不能",IF(AP1587&gt;=判定条件!$C$9,"利用可",IF(AND(Y1587="停止",G1587="停止"),"両方停止","運転がそろわない")))</f>
        <v>両方停止</v>
      </c>
      <c r="AR1587" s="30" t="n">
        <v>60</v>
      </c>
      <c r="AS1587" s="30" t="n">
        <v>0</v>
      </c>
      <c r="AT1587" s="30" t="str">
        <f aca="false">IF(OR(AB1587="判定不能",J1587="判定不能"),"判定不能",IF(AS1587&gt;=判定条件!$C$9,"利用可",IF(AND(AB1587="停止",J1587="停止"),"両方停止","運転がそろわない")))</f>
        <v>両方停止</v>
      </c>
      <c r="AU1587" s="30" t="n">
        <v>60</v>
      </c>
      <c r="AV1587" s="30" t="n">
        <v>0</v>
      </c>
      <c r="AW1587" s="30" t="str">
        <f aca="false">IF(OR(AE1587="判定不能",M1587="判定不能"),"判定不能",IF(AV1587&gt;=判定条件!$C$9,"利用可",IF(AND(AE1587="停止",M1587="停止"),"両方停止","運転がそろわない")))</f>
        <v>両方停止</v>
      </c>
      <c r="AX1587" s="30" t="str">
        <f aca="false">IF(AND(AH1587="利用可",AK1587="利用可",AN1587="利用可"),"利用可","不可")</f>
        <v>不可</v>
      </c>
      <c r="AY1587" s="30" t="str">
        <f aca="false">IF(AND(AQ1587="利用可",AT1587="利用可",AW1587="利用可"),"利用可","不可")</f>
        <v>不可</v>
      </c>
    </row>
    <row r="1588" customFormat="false" ht="15" hidden="false" customHeight="false" outlineLevel="0" collapsed="false">
      <c r="A1588" s="29" t="n">
        <v>46298</v>
      </c>
      <c r="B1588" s="30" t="n">
        <v>1</v>
      </c>
      <c r="C1588" s="31" t="s">
        <v>63</v>
      </c>
      <c r="D1588" s="31" t="s">
        <v>64</v>
      </c>
      <c r="E1588" s="30" t="n">
        <v>60</v>
      </c>
      <c r="F1588" s="30" t="n">
        <v>0</v>
      </c>
      <c r="G1588" s="30" t="str">
        <f aca="false">IF(E1588&lt;判定条件!$C$6,"判定不能",IF(F1588&gt;=判定条件!$C$7*E1588,"運転",IF(F1588&lt;=判定条件!$C$8*E1588,"停止","断続")))</f>
        <v>停止</v>
      </c>
      <c r="H1588" s="30" t="n">
        <v>60</v>
      </c>
      <c r="I1588" s="30" t="n">
        <v>0</v>
      </c>
      <c r="J1588" s="30" t="str">
        <f aca="false">IF(H1588&lt;判定条件!$C$6,"判定不能",IF(I1588&gt;=判定条件!$C$7*H1588,"運転",IF(I1588&lt;=判定条件!$C$8*H1588,"停止","断続")))</f>
        <v>停止</v>
      </c>
      <c r="K1588" s="30" t="n">
        <v>60</v>
      </c>
      <c r="L1588" s="30" t="n">
        <v>0</v>
      </c>
      <c r="M1588" s="30" t="str">
        <f aca="false">IF(K1588&lt;判定条件!$C$6,"判定不能",IF(L1588&gt;=判定条件!$C$7*K1588,"運転",IF(L1588&lt;=判定条件!$C$8*K1588,"停止","断続")))</f>
        <v>停止</v>
      </c>
      <c r="N1588" s="30" t="n">
        <v>60</v>
      </c>
      <c r="O1588" s="30" t="n">
        <v>0</v>
      </c>
      <c r="P1588" s="30" t="str">
        <f aca="false">IF(N1588&lt;判定条件!$C$6,"判定不能",IF(O1588&gt;=判定条件!$C$7*N1588,"運転",IF(O1588&lt;=判定条件!$C$8*N1588,"停止","断続")))</f>
        <v>停止</v>
      </c>
      <c r="Q1588" s="30" t="n">
        <v>60</v>
      </c>
      <c r="R1588" s="30" t="n">
        <v>0</v>
      </c>
      <c r="S1588" s="30" t="str">
        <f aca="false">IF(Q1588&lt;判定条件!$C$6,"判定不能",IF(R1588&gt;=判定条件!$C$7*Q1588,"運転",IF(R1588&lt;=判定条件!$C$8*Q1588,"停止","断続")))</f>
        <v>停止</v>
      </c>
      <c r="T1588" s="30" t="n">
        <v>60</v>
      </c>
      <c r="U1588" s="30" t="n">
        <v>0</v>
      </c>
      <c r="V1588" s="30" t="str">
        <f aca="false">IF(T1588&lt;判定条件!$C$6,"判定不能",IF(U1588&gt;=判定条件!$C$7*T1588,"運転",IF(U1588&lt;=判定条件!$C$8*T1588,"停止","断続")))</f>
        <v>停止</v>
      </c>
      <c r="W1588" s="30" t="n">
        <v>60</v>
      </c>
      <c r="X1588" s="30" t="n">
        <v>0</v>
      </c>
      <c r="Y1588" s="30" t="str">
        <f aca="false">IF(W1588&lt;判定条件!$C$6,"判定不能",IF(X1588&gt;=判定条件!$C$7*W1588,"運転",IF(X1588&lt;=判定条件!$C$8*W1588,"停止","断続")))</f>
        <v>停止</v>
      </c>
      <c r="Z1588" s="30" t="n">
        <v>60</v>
      </c>
      <c r="AA1588" s="30" t="n">
        <v>0</v>
      </c>
      <c r="AB1588" s="30" t="str">
        <f aca="false">IF(Z1588&lt;判定条件!$C$6,"判定不能",IF(AA1588&gt;=判定条件!$C$7*Z1588,"運転",IF(AA1588&lt;=判定条件!$C$8*Z1588,"停止","断続")))</f>
        <v>停止</v>
      </c>
      <c r="AC1588" s="30" t="n">
        <v>60</v>
      </c>
      <c r="AD1588" s="30" t="n">
        <v>0</v>
      </c>
      <c r="AE1588" s="30" t="str">
        <f aca="false">IF(AC1588&lt;判定条件!$C$6,"判定不能",IF(AD1588&gt;=判定条件!$C$7*AC1588,"運転",IF(AD1588&lt;=判定条件!$C$8*AC1588,"停止","断続")))</f>
        <v>停止</v>
      </c>
      <c r="AF1588" s="30" t="n">
        <v>60</v>
      </c>
      <c r="AG1588" s="30" t="n">
        <v>0</v>
      </c>
      <c r="AH1588" s="30" t="str">
        <f aca="false">IF(OR(P1588="判定不能",G1588="判定不能"),"判定不能",IF(AG1588&gt;=判定条件!$C$9,"利用可",IF(AND(P1588="停止",G1588="停止"),"両方停止","運転がそろわない")))</f>
        <v>両方停止</v>
      </c>
      <c r="AI1588" s="30" t="n">
        <v>60</v>
      </c>
      <c r="AJ1588" s="30" t="n">
        <v>0</v>
      </c>
      <c r="AK1588" s="30" t="str">
        <f aca="false">IF(OR(S1588="判定不能",J1588="判定不能"),"判定不能",IF(AJ1588&gt;=判定条件!$C$9,"利用可",IF(AND(S1588="停止",J1588="停止"),"両方停止","運転がそろわない")))</f>
        <v>両方停止</v>
      </c>
      <c r="AL1588" s="30" t="n">
        <v>60</v>
      </c>
      <c r="AM1588" s="30" t="n">
        <v>0</v>
      </c>
      <c r="AN1588" s="30" t="str">
        <f aca="false">IF(OR(V1588="判定不能",M1588="判定不能"),"判定不能",IF(AM1588&gt;=判定条件!$C$9,"利用可",IF(AND(V1588="停止",M1588="停止"),"両方停止","運転がそろわない")))</f>
        <v>両方停止</v>
      </c>
      <c r="AO1588" s="30" t="n">
        <v>60</v>
      </c>
      <c r="AP1588" s="30" t="n">
        <v>0</v>
      </c>
      <c r="AQ1588" s="30" t="str">
        <f aca="false">IF(OR(Y1588="判定不能",G1588="判定不能"),"判定不能",IF(AP1588&gt;=判定条件!$C$9,"利用可",IF(AND(Y1588="停止",G1588="停止"),"両方停止","運転がそろわない")))</f>
        <v>両方停止</v>
      </c>
      <c r="AR1588" s="30" t="n">
        <v>60</v>
      </c>
      <c r="AS1588" s="30" t="n">
        <v>0</v>
      </c>
      <c r="AT1588" s="30" t="str">
        <f aca="false">IF(OR(AB1588="判定不能",J1588="判定不能"),"判定不能",IF(AS1588&gt;=判定条件!$C$9,"利用可",IF(AND(AB1588="停止",J1588="停止"),"両方停止","運転がそろわない")))</f>
        <v>両方停止</v>
      </c>
      <c r="AU1588" s="30" t="n">
        <v>60</v>
      </c>
      <c r="AV1588" s="30" t="n">
        <v>0</v>
      </c>
      <c r="AW1588" s="30" t="str">
        <f aca="false">IF(OR(AE1588="判定不能",M1588="判定不能"),"判定不能",IF(AV1588&gt;=判定条件!$C$9,"利用可",IF(AND(AE1588="停止",M1588="停止"),"両方停止","運転がそろわない")))</f>
        <v>両方停止</v>
      </c>
      <c r="AX1588" s="30" t="str">
        <f aca="false">IF(AND(AH1588="利用可",AK1588="利用可",AN1588="利用可"),"利用可","不可")</f>
        <v>不可</v>
      </c>
      <c r="AY1588" s="30" t="str">
        <f aca="false">IF(AND(AQ1588="利用可",AT1588="利用可",AW1588="利用可"),"利用可","不可")</f>
        <v>不可</v>
      </c>
    </row>
    <row r="1589" customFormat="false" ht="15" hidden="false" customHeight="false" outlineLevel="0" collapsed="false">
      <c r="A1589" s="29" t="n">
        <v>46298</v>
      </c>
      <c r="B1589" s="30" t="n">
        <v>2</v>
      </c>
      <c r="C1589" s="31" t="s">
        <v>63</v>
      </c>
      <c r="D1589" s="31" t="s">
        <v>64</v>
      </c>
      <c r="E1589" s="30" t="n">
        <v>60</v>
      </c>
      <c r="F1589" s="30" t="n">
        <v>0</v>
      </c>
      <c r="G1589" s="30" t="str">
        <f aca="false">IF(E1589&lt;判定条件!$C$6,"判定不能",IF(F1589&gt;=判定条件!$C$7*E1589,"運転",IF(F1589&lt;=判定条件!$C$8*E1589,"停止","断続")))</f>
        <v>停止</v>
      </c>
      <c r="H1589" s="30" t="n">
        <v>60</v>
      </c>
      <c r="I1589" s="30" t="n">
        <v>0</v>
      </c>
      <c r="J1589" s="30" t="str">
        <f aca="false">IF(H1589&lt;判定条件!$C$6,"判定不能",IF(I1589&gt;=判定条件!$C$7*H1589,"運転",IF(I1589&lt;=判定条件!$C$8*H1589,"停止","断続")))</f>
        <v>停止</v>
      </c>
      <c r="K1589" s="30" t="n">
        <v>60</v>
      </c>
      <c r="L1589" s="30" t="n">
        <v>0</v>
      </c>
      <c r="M1589" s="30" t="str">
        <f aca="false">IF(K1589&lt;判定条件!$C$6,"判定不能",IF(L1589&gt;=判定条件!$C$7*K1589,"運転",IF(L1589&lt;=判定条件!$C$8*K1589,"停止","断続")))</f>
        <v>停止</v>
      </c>
      <c r="N1589" s="30" t="n">
        <v>60</v>
      </c>
      <c r="O1589" s="30" t="n">
        <v>0</v>
      </c>
      <c r="P1589" s="30" t="str">
        <f aca="false">IF(N1589&lt;判定条件!$C$6,"判定不能",IF(O1589&gt;=判定条件!$C$7*N1589,"運転",IF(O1589&lt;=判定条件!$C$8*N1589,"停止","断続")))</f>
        <v>停止</v>
      </c>
      <c r="Q1589" s="30" t="n">
        <v>60</v>
      </c>
      <c r="R1589" s="30" t="n">
        <v>0</v>
      </c>
      <c r="S1589" s="30" t="str">
        <f aca="false">IF(Q1589&lt;判定条件!$C$6,"判定不能",IF(R1589&gt;=判定条件!$C$7*Q1589,"運転",IF(R1589&lt;=判定条件!$C$8*Q1589,"停止","断続")))</f>
        <v>停止</v>
      </c>
      <c r="T1589" s="30" t="n">
        <v>60</v>
      </c>
      <c r="U1589" s="30" t="n">
        <v>0</v>
      </c>
      <c r="V1589" s="30" t="str">
        <f aca="false">IF(T1589&lt;判定条件!$C$6,"判定不能",IF(U1589&gt;=判定条件!$C$7*T1589,"運転",IF(U1589&lt;=判定条件!$C$8*T1589,"停止","断続")))</f>
        <v>停止</v>
      </c>
      <c r="W1589" s="30" t="n">
        <v>60</v>
      </c>
      <c r="X1589" s="30" t="n">
        <v>0</v>
      </c>
      <c r="Y1589" s="30" t="str">
        <f aca="false">IF(W1589&lt;判定条件!$C$6,"判定不能",IF(X1589&gt;=判定条件!$C$7*W1589,"運転",IF(X1589&lt;=判定条件!$C$8*W1589,"停止","断続")))</f>
        <v>停止</v>
      </c>
      <c r="Z1589" s="30" t="n">
        <v>60</v>
      </c>
      <c r="AA1589" s="30" t="n">
        <v>0</v>
      </c>
      <c r="AB1589" s="30" t="str">
        <f aca="false">IF(Z1589&lt;判定条件!$C$6,"判定不能",IF(AA1589&gt;=判定条件!$C$7*Z1589,"運転",IF(AA1589&lt;=判定条件!$C$8*Z1589,"停止","断続")))</f>
        <v>停止</v>
      </c>
      <c r="AC1589" s="30" t="n">
        <v>60</v>
      </c>
      <c r="AD1589" s="30" t="n">
        <v>0</v>
      </c>
      <c r="AE1589" s="30" t="str">
        <f aca="false">IF(AC1589&lt;判定条件!$C$6,"判定不能",IF(AD1589&gt;=判定条件!$C$7*AC1589,"運転",IF(AD1589&lt;=判定条件!$C$8*AC1589,"停止","断続")))</f>
        <v>停止</v>
      </c>
      <c r="AF1589" s="30" t="n">
        <v>60</v>
      </c>
      <c r="AG1589" s="30" t="n">
        <v>0</v>
      </c>
      <c r="AH1589" s="30" t="str">
        <f aca="false">IF(OR(P1589="判定不能",G1589="判定不能"),"判定不能",IF(AG1589&gt;=判定条件!$C$9,"利用可",IF(AND(P1589="停止",G1589="停止"),"両方停止","運転がそろわない")))</f>
        <v>両方停止</v>
      </c>
      <c r="AI1589" s="30" t="n">
        <v>60</v>
      </c>
      <c r="AJ1589" s="30" t="n">
        <v>0</v>
      </c>
      <c r="AK1589" s="30" t="str">
        <f aca="false">IF(OR(S1589="判定不能",J1589="判定不能"),"判定不能",IF(AJ1589&gt;=判定条件!$C$9,"利用可",IF(AND(S1589="停止",J1589="停止"),"両方停止","運転がそろわない")))</f>
        <v>両方停止</v>
      </c>
      <c r="AL1589" s="30" t="n">
        <v>60</v>
      </c>
      <c r="AM1589" s="30" t="n">
        <v>0</v>
      </c>
      <c r="AN1589" s="30" t="str">
        <f aca="false">IF(OR(V1589="判定不能",M1589="判定不能"),"判定不能",IF(AM1589&gt;=判定条件!$C$9,"利用可",IF(AND(V1589="停止",M1589="停止"),"両方停止","運転がそろわない")))</f>
        <v>両方停止</v>
      </c>
      <c r="AO1589" s="30" t="n">
        <v>60</v>
      </c>
      <c r="AP1589" s="30" t="n">
        <v>0</v>
      </c>
      <c r="AQ1589" s="30" t="str">
        <f aca="false">IF(OR(Y1589="判定不能",G1589="判定不能"),"判定不能",IF(AP1589&gt;=判定条件!$C$9,"利用可",IF(AND(Y1589="停止",G1589="停止"),"両方停止","運転がそろわない")))</f>
        <v>両方停止</v>
      </c>
      <c r="AR1589" s="30" t="n">
        <v>60</v>
      </c>
      <c r="AS1589" s="30" t="n">
        <v>0</v>
      </c>
      <c r="AT1589" s="30" t="str">
        <f aca="false">IF(OR(AB1589="判定不能",J1589="判定不能"),"判定不能",IF(AS1589&gt;=判定条件!$C$9,"利用可",IF(AND(AB1589="停止",J1589="停止"),"両方停止","運転がそろわない")))</f>
        <v>両方停止</v>
      </c>
      <c r="AU1589" s="30" t="n">
        <v>60</v>
      </c>
      <c r="AV1589" s="30" t="n">
        <v>0</v>
      </c>
      <c r="AW1589" s="30" t="str">
        <f aca="false">IF(OR(AE1589="判定不能",M1589="判定不能"),"判定不能",IF(AV1589&gt;=判定条件!$C$9,"利用可",IF(AND(AE1589="停止",M1589="停止"),"両方停止","運転がそろわない")))</f>
        <v>両方停止</v>
      </c>
      <c r="AX1589" s="30" t="str">
        <f aca="false">IF(AND(AH1589="利用可",AK1589="利用可",AN1589="利用可"),"利用可","不可")</f>
        <v>不可</v>
      </c>
      <c r="AY1589" s="30" t="str">
        <f aca="false">IF(AND(AQ1589="利用可",AT1589="利用可",AW1589="利用可"),"利用可","不可")</f>
        <v>不可</v>
      </c>
    </row>
    <row r="1590" customFormat="false" ht="15" hidden="false" customHeight="false" outlineLevel="0" collapsed="false">
      <c r="A1590" s="29" t="n">
        <v>46298</v>
      </c>
      <c r="B1590" s="30" t="n">
        <v>3</v>
      </c>
      <c r="C1590" s="31" t="s">
        <v>63</v>
      </c>
      <c r="D1590" s="31" t="s">
        <v>64</v>
      </c>
      <c r="E1590" s="30" t="n">
        <v>60</v>
      </c>
      <c r="F1590" s="30" t="n">
        <v>0</v>
      </c>
      <c r="G1590" s="30" t="str">
        <f aca="false">IF(E1590&lt;判定条件!$C$6,"判定不能",IF(F1590&gt;=判定条件!$C$7*E1590,"運転",IF(F1590&lt;=判定条件!$C$8*E1590,"停止","断続")))</f>
        <v>停止</v>
      </c>
      <c r="H1590" s="30" t="n">
        <v>60</v>
      </c>
      <c r="I1590" s="30" t="n">
        <v>0</v>
      </c>
      <c r="J1590" s="30" t="str">
        <f aca="false">IF(H1590&lt;判定条件!$C$6,"判定不能",IF(I1590&gt;=判定条件!$C$7*H1590,"運転",IF(I1590&lt;=判定条件!$C$8*H1590,"停止","断続")))</f>
        <v>停止</v>
      </c>
      <c r="K1590" s="30" t="n">
        <v>60</v>
      </c>
      <c r="L1590" s="30" t="n">
        <v>0</v>
      </c>
      <c r="M1590" s="30" t="str">
        <f aca="false">IF(K1590&lt;判定条件!$C$6,"判定不能",IF(L1590&gt;=判定条件!$C$7*K1590,"運転",IF(L1590&lt;=判定条件!$C$8*K1590,"停止","断続")))</f>
        <v>停止</v>
      </c>
      <c r="N1590" s="30" t="n">
        <v>60</v>
      </c>
      <c r="O1590" s="30" t="n">
        <v>0</v>
      </c>
      <c r="P1590" s="30" t="str">
        <f aca="false">IF(N1590&lt;判定条件!$C$6,"判定不能",IF(O1590&gt;=判定条件!$C$7*N1590,"運転",IF(O1590&lt;=判定条件!$C$8*N1590,"停止","断続")))</f>
        <v>停止</v>
      </c>
      <c r="Q1590" s="30" t="n">
        <v>60</v>
      </c>
      <c r="R1590" s="30" t="n">
        <v>0</v>
      </c>
      <c r="S1590" s="30" t="str">
        <f aca="false">IF(Q1590&lt;判定条件!$C$6,"判定不能",IF(R1590&gt;=判定条件!$C$7*Q1590,"運転",IF(R1590&lt;=判定条件!$C$8*Q1590,"停止","断続")))</f>
        <v>停止</v>
      </c>
      <c r="T1590" s="30" t="n">
        <v>60</v>
      </c>
      <c r="U1590" s="30" t="n">
        <v>0</v>
      </c>
      <c r="V1590" s="30" t="str">
        <f aca="false">IF(T1590&lt;判定条件!$C$6,"判定不能",IF(U1590&gt;=判定条件!$C$7*T1590,"運転",IF(U1590&lt;=判定条件!$C$8*T1590,"停止","断続")))</f>
        <v>停止</v>
      </c>
      <c r="W1590" s="30" t="n">
        <v>60</v>
      </c>
      <c r="X1590" s="30" t="n">
        <v>0</v>
      </c>
      <c r="Y1590" s="30" t="str">
        <f aca="false">IF(W1590&lt;判定条件!$C$6,"判定不能",IF(X1590&gt;=判定条件!$C$7*W1590,"運転",IF(X1590&lt;=判定条件!$C$8*W1590,"停止","断続")))</f>
        <v>停止</v>
      </c>
      <c r="Z1590" s="30" t="n">
        <v>60</v>
      </c>
      <c r="AA1590" s="30" t="n">
        <v>0</v>
      </c>
      <c r="AB1590" s="30" t="str">
        <f aca="false">IF(Z1590&lt;判定条件!$C$6,"判定不能",IF(AA1590&gt;=判定条件!$C$7*Z1590,"運転",IF(AA1590&lt;=判定条件!$C$8*Z1590,"停止","断続")))</f>
        <v>停止</v>
      </c>
      <c r="AC1590" s="30" t="n">
        <v>60</v>
      </c>
      <c r="AD1590" s="30" t="n">
        <v>0</v>
      </c>
      <c r="AE1590" s="30" t="str">
        <f aca="false">IF(AC1590&lt;判定条件!$C$6,"判定不能",IF(AD1590&gt;=判定条件!$C$7*AC1590,"運転",IF(AD1590&lt;=判定条件!$C$8*AC1590,"停止","断続")))</f>
        <v>停止</v>
      </c>
      <c r="AF1590" s="30" t="n">
        <v>60</v>
      </c>
      <c r="AG1590" s="30" t="n">
        <v>0</v>
      </c>
      <c r="AH1590" s="30" t="str">
        <f aca="false">IF(OR(P1590="判定不能",G1590="判定不能"),"判定不能",IF(AG1590&gt;=判定条件!$C$9,"利用可",IF(AND(P1590="停止",G1590="停止"),"両方停止","運転がそろわない")))</f>
        <v>両方停止</v>
      </c>
      <c r="AI1590" s="30" t="n">
        <v>60</v>
      </c>
      <c r="AJ1590" s="30" t="n">
        <v>0</v>
      </c>
      <c r="AK1590" s="30" t="str">
        <f aca="false">IF(OR(S1590="判定不能",J1590="判定不能"),"判定不能",IF(AJ1590&gt;=判定条件!$C$9,"利用可",IF(AND(S1590="停止",J1590="停止"),"両方停止","運転がそろわない")))</f>
        <v>両方停止</v>
      </c>
      <c r="AL1590" s="30" t="n">
        <v>60</v>
      </c>
      <c r="AM1590" s="30" t="n">
        <v>0</v>
      </c>
      <c r="AN1590" s="30" t="str">
        <f aca="false">IF(OR(V1590="判定不能",M1590="判定不能"),"判定不能",IF(AM1590&gt;=判定条件!$C$9,"利用可",IF(AND(V1590="停止",M1590="停止"),"両方停止","運転がそろわない")))</f>
        <v>両方停止</v>
      </c>
      <c r="AO1590" s="30" t="n">
        <v>60</v>
      </c>
      <c r="AP1590" s="30" t="n">
        <v>0</v>
      </c>
      <c r="AQ1590" s="30" t="str">
        <f aca="false">IF(OR(Y1590="判定不能",G1590="判定不能"),"判定不能",IF(AP1590&gt;=判定条件!$C$9,"利用可",IF(AND(Y1590="停止",G1590="停止"),"両方停止","運転がそろわない")))</f>
        <v>両方停止</v>
      </c>
      <c r="AR1590" s="30" t="n">
        <v>60</v>
      </c>
      <c r="AS1590" s="30" t="n">
        <v>0</v>
      </c>
      <c r="AT1590" s="30" t="str">
        <f aca="false">IF(OR(AB1590="判定不能",J1590="判定不能"),"判定不能",IF(AS1590&gt;=判定条件!$C$9,"利用可",IF(AND(AB1590="停止",J1590="停止"),"両方停止","運転がそろわない")))</f>
        <v>両方停止</v>
      </c>
      <c r="AU1590" s="30" t="n">
        <v>60</v>
      </c>
      <c r="AV1590" s="30" t="n">
        <v>0</v>
      </c>
      <c r="AW1590" s="30" t="str">
        <f aca="false">IF(OR(AE1590="判定不能",M1590="判定不能"),"判定不能",IF(AV1590&gt;=判定条件!$C$9,"利用可",IF(AND(AE1590="停止",M1590="停止"),"両方停止","運転がそろわない")))</f>
        <v>両方停止</v>
      </c>
      <c r="AX1590" s="30" t="str">
        <f aca="false">IF(AND(AH1590="利用可",AK1590="利用可",AN1590="利用可"),"利用可","不可")</f>
        <v>不可</v>
      </c>
      <c r="AY1590" s="30" t="str">
        <f aca="false">IF(AND(AQ1590="利用可",AT1590="利用可",AW1590="利用可"),"利用可","不可")</f>
        <v>不可</v>
      </c>
    </row>
    <row r="1591" customFormat="false" ht="15" hidden="false" customHeight="false" outlineLevel="0" collapsed="false">
      <c r="A1591" s="29" t="n">
        <v>46298</v>
      </c>
      <c r="B1591" s="30" t="n">
        <v>4</v>
      </c>
      <c r="C1591" s="31" t="s">
        <v>63</v>
      </c>
      <c r="D1591" s="31" t="s">
        <v>64</v>
      </c>
      <c r="E1591" s="30" t="n">
        <v>60</v>
      </c>
      <c r="F1591" s="30" t="n">
        <v>0</v>
      </c>
      <c r="G1591" s="30" t="str">
        <f aca="false">IF(E1591&lt;判定条件!$C$6,"判定不能",IF(F1591&gt;=判定条件!$C$7*E1591,"運転",IF(F1591&lt;=判定条件!$C$8*E1591,"停止","断続")))</f>
        <v>停止</v>
      </c>
      <c r="H1591" s="30" t="n">
        <v>60</v>
      </c>
      <c r="I1591" s="30" t="n">
        <v>0</v>
      </c>
      <c r="J1591" s="30" t="str">
        <f aca="false">IF(H1591&lt;判定条件!$C$6,"判定不能",IF(I1591&gt;=判定条件!$C$7*H1591,"運転",IF(I1591&lt;=判定条件!$C$8*H1591,"停止","断続")))</f>
        <v>停止</v>
      </c>
      <c r="K1591" s="30" t="n">
        <v>60</v>
      </c>
      <c r="L1591" s="30" t="n">
        <v>0</v>
      </c>
      <c r="M1591" s="30" t="str">
        <f aca="false">IF(K1591&lt;判定条件!$C$6,"判定不能",IF(L1591&gt;=判定条件!$C$7*K1591,"運転",IF(L1591&lt;=判定条件!$C$8*K1591,"停止","断続")))</f>
        <v>停止</v>
      </c>
      <c r="N1591" s="30" t="n">
        <v>60</v>
      </c>
      <c r="O1591" s="30" t="n">
        <v>0</v>
      </c>
      <c r="P1591" s="30" t="str">
        <f aca="false">IF(N1591&lt;判定条件!$C$6,"判定不能",IF(O1591&gt;=判定条件!$C$7*N1591,"運転",IF(O1591&lt;=判定条件!$C$8*N1591,"停止","断続")))</f>
        <v>停止</v>
      </c>
      <c r="Q1591" s="30" t="n">
        <v>60</v>
      </c>
      <c r="R1591" s="30" t="n">
        <v>0</v>
      </c>
      <c r="S1591" s="30" t="str">
        <f aca="false">IF(Q1591&lt;判定条件!$C$6,"判定不能",IF(R1591&gt;=判定条件!$C$7*Q1591,"運転",IF(R1591&lt;=判定条件!$C$8*Q1591,"停止","断続")))</f>
        <v>停止</v>
      </c>
      <c r="T1591" s="30" t="n">
        <v>60</v>
      </c>
      <c r="U1591" s="30" t="n">
        <v>0</v>
      </c>
      <c r="V1591" s="30" t="str">
        <f aca="false">IF(T1591&lt;判定条件!$C$6,"判定不能",IF(U1591&gt;=判定条件!$C$7*T1591,"運転",IF(U1591&lt;=判定条件!$C$8*T1591,"停止","断続")))</f>
        <v>停止</v>
      </c>
      <c r="W1591" s="30" t="n">
        <v>60</v>
      </c>
      <c r="X1591" s="30" t="n">
        <v>0</v>
      </c>
      <c r="Y1591" s="30" t="str">
        <f aca="false">IF(W1591&lt;判定条件!$C$6,"判定不能",IF(X1591&gt;=判定条件!$C$7*W1591,"運転",IF(X1591&lt;=判定条件!$C$8*W1591,"停止","断続")))</f>
        <v>停止</v>
      </c>
      <c r="Z1591" s="30" t="n">
        <v>60</v>
      </c>
      <c r="AA1591" s="30" t="n">
        <v>0</v>
      </c>
      <c r="AB1591" s="30" t="str">
        <f aca="false">IF(Z1591&lt;判定条件!$C$6,"判定不能",IF(AA1591&gt;=判定条件!$C$7*Z1591,"運転",IF(AA1591&lt;=判定条件!$C$8*Z1591,"停止","断続")))</f>
        <v>停止</v>
      </c>
      <c r="AC1591" s="30" t="n">
        <v>60</v>
      </c>
      <c r="AD1591" s="30" t="n">
        <v>0</v>
      </c>
      <c r="AE1591" s="30" t="str">
        <f aca="false">IF(AC1591&lt;判定条件!$C$6,"判定不能",IF(AD1591&gt;=判定条件!$C$7*AC1591,"運転",IF(AD1591&lt;=判定条件!$C$8*AC1591,"停止","断続")))</f>
        <v>停止</v>
      </c>
      <c r="AF1591" s="30" t="n">
        <v>60</v>
      </c>
      <c r="AG1591" s="30" t="n">
        <v>0</v>
      </c>
      <c r="AH1591" s="30" t="str">
        <f aca="false">IF(OR(P1591="判定不能",G1591="判定不能"),"判定不能",IF(AG1591&gt;=判定条件!$C$9,"利用可",IF(AND(P1591="停止",G1591="停止"),"両方停止","運転がそろわない")))</f>
        <v>両方停止</v>
      </c>
      <c r="AI1591" s="30" t="n">
        <v>60</v>
      </c>
      <c r="AJ1591" s="30" t="n">
        <v>0</v>
      </c>
      <c r="AK1591" s="30" t="str">
        <f aca="false">IF(OR(S1591="判定不能",J1591="判定不能"),"判定不能",IF(AJ1591&gt;=判定条件!$C$9,"利用可",IF(AND(S1591="停止",J1591="停止"),"両方停止","運転がそろわない")))</f>
        <v>両方停止</v>
      </c>
      <c r="AL1591" s="30" t="n">
        <v>60</v>
      </c>
      <c r="AM1591" s="30" t="n">
        <v>0</v>
      </c>
      <c r="AN1591" s="30" t="str">
        <f aca="false">IF(OR(V1591="判定不能",M1591="判定不能"),"判定不能",IF(AM1591&gt;=判定条件!$C$9,"利用可",IF(AND(V1591="停止",M1591="停止"),"両方停止","運転がそろわない")))</f>
        <v>両方停止</v>
      </c>
      <c r="AO1591" s="30" t="n">
        <v>60</v>
      </c>
      <c r="AP1591" s="30" t="n">
        <v>0</v>
      </c>
      <c r="AQ1591" s="30" t="str">
        <f aca="false">IF(OR(Y1591="判定不能",G1591="判定不能"),"判定不能",IF(AP1591&gt;=判定条件!$C$9,"利用可",IF(AND(Y1591="停止",G1591="停止"),"両方停止","運転がそろわない")))</f>
        <v>両方停止</v>
      </c>
      <c r="AR1591" s="30" t="n">
        <v>60</v>
      </c>
      <c r="AS1591" s="30" t="n">
        <v>0</v>
      </c>
      <c r="AT1591" s="30" t="str">
        <f aca="false">IF(OR(AB1591="判定不能",J1591="判定不能"),"判定不能",IF(AS1591&gt;=判定条件!$C$9,"利用可",IF(AND(AB1591="停止",J1591="停止"),"両方停止","運転がそろわない")))</f>
        <v>両方停止</v>
      </c>
      <c r="AU1591" s="30" t="n">
        <v>60</v>
      </c>
      <c r="AV1591" s="30" t="n">
        <v>0</v>
      </c>
      <c r="AW1591" s="30" t="str">
        <f aca="false">IF(OR(AE1591="判定不能",M1591="判定不能"),"判定不能",IF(AV1591&gt;=判定条件!$C$9,"利用可",IF(AND(AE1591="停止",M1591="停止"),"両方停止","運転がそろわない")))</f>
        <v>両方停止</v>
      </c>
      <c r="AX1591" s="30" t="str">
        <f aca="false">IF(AND(AH1591="利用可",AK1591="利用可",AN1591="利用可"),"利用可","不可")</f>
        <v>不可</v>
      </c>
      <c r="AY1591" s="30" t="str">
        <f aca="false">IF(AND(AQ1591="利用可",AT1591="利用可",AW1591="利用可"),"利用可","不可")</f>
        <v>不可</v>
      </c>
    </row>
    <row r="1592" customFormat="false" ht="15" hidden="false" customHeight="false" outlineLevel="0" collapsed="false">
      <c r="A1592" s="29" t="n">
        <v>46298</v>
      </c>
      <c r="B1592" s="30" t="n">
        <v>5</v>
      </c>
      <c r="C1592" s="31" t="s">
        <v>63</v>
      </c>
      <c r="D1592" s="31" t="s">
        <v>64</v>
      </c>
      <c r="E1592" s="30" t="n">
        <v>60</v>
      </c>
      <c r="F1592" s="30" t="n">
        <v>0</v>
      </c>
      <c r="G1592" s="30" t="str">
        <f aca="false">IF(E1592&lt;判定条件!$C$6,"判定不能",IF(F1592&gt;=判定条件!$C$7*E1592,"運転",IF(F1592&lt;=判定条件!$C$8*E1592,"停止","断続")))</f>
        <v>停止</v>
      </c>
      <c r="H1592" s="30" t="n">
        <v>60</v>
      </c>
      <c r="I1592" s="30" t="n">
        <v>0</v>
      </c>
      <c r="J1592" s="30" t="str">
        <f aca="false">IF(H1592&lt;判定条件!$C$6,"判定不能",IF(I1592&gt;=判定条件!$C$7*H1592,"運転",IF(I1592&lt;=判定条件!$C$8*H1592,"停止","断続")))</f>
        <v>停止</v>
      </c>
      <c r="K1592" s="30" t="n">
        <v>60</v>
      </c>
      <c r="L1592" s="30" t="n">
        <v>0</v>
      </c>
      <c r="M1592" s="30" t="str">
        <f aca="false">IF(K1592&lt;判定条件!$C$6,"判定不能",IF(L1592&gt;=判定条件!$C$7*K1592,"運転",IF(L1592&lt;=判定条件!$C$8*K1592,"停止","断続")))</f>
        <v>停止</v>
      </c>
      <c r="N1592" s="30" t="n">
        <v>60</v>
      </c>
      <c r="O1592" s="30" t="n">
        <v>0</v>
      </c>
      <c r="P1592" s="30" t="str">
        <f aca="false">IF(N1592&lt;判定条件!$C$6,"判定不能",IF(O1592&gt;=判定条件!$C$7*N1592,"運転",IF(O1592&lt;=判定条件!$C$8*N1592,"停止","断続")))</f>
        <v>停止</v>
      </c>
      <c r="Q1592" s="30" t="n">
        <v>60</v>
      </c>
      <c r="R1592" s="30" t="n">
        <v>0</v>
      </c>
      <c r="S1592" s="30" t="str">
        <f aca="false">IF(Q1592&lt;判定条件!$C$6,"判定不能",IF(R1592&gt;=判定条件!$C$7*Q1592,"運転",IF(R1592&lt;=判定条件!$C$8*Q1592,"停止","断続")))</f>
        <v>停止</v>
      </c>
      <c r="T1592" s="30" t="n">
        <v>60</v>
      </c>
      <c r="U1592" s="30" t="n">
        <v>0</v>
      </c>
      <c r="V1592" s="30" t="str">
        <f aca="false">IF(T1592&lt;判定条件!$C$6,"判定不能",IF(U1592&gt;=判定条件!$C$7*T1592,"運転",IF(U1592&lt;=判定条件!$C$8*T1592,"停止","断続")))</f>
        <v>停止</v>
      </c>
      <c r="W1592" s="30" t="n">
        <v>60</v>
      </c>
      <c r="X1592" s="30" t="n">
        <v>0</v>
      </c>
      <c r="Y1592" s="30" t="str">
        <f aca="false">IF(W1592&lt;判定条件!$C$6,"判定不能",IF(X1592&gt;=判定条件!$C$7*W1592,"運転",IF(X1592&lt;=判定条件!$C$8*W1592,"停止","断続")))</f>
        <v>停止</v>
      </c>
      <c r="Z1592" s="30" t="n">
        <v>60</v>
      </c>
      <c r="AA1592" s="30" t="n">
        <v>0</v>
      </c>
      <c r="AB1592" s="30" t="str">
        <f aca="false">IF(Z1592&lt;判定条件!$C$6,"判定不能",IF(AA1592&gt;=判定条件!$C$7*Z1592,"運転",IF(AA1592&lt;=判定条件!$C$8*Z1592,"停止","断続")))</f>
        <v>停止</v>
      </c>
      <c r="AC1592" s="30" t="n">
        <v>60</v>
      </c>
      <c r="AD1592" s="30" t="n">
        <v>0</v>
      </c>
      <c r="AE1592" s="30" t="str">
        <f aca="false">IF(AC1592&lt;判定条件!$C$6,"判定不能",IF(AD1592&gt;=判定条件!$C$7*AC1592,"運転",IF(AD1592&lt;=判定条件!$C$8*AC1592,"停止","断続")))</f>
        <v>停止</v>
      </c>
      <c r="AF1592" s="30" t="n">
        <v>60</v>
      </c>
      <c r="AG1592" s="30" t="n">
        <v>0</v>
      </c>
      <c r="AH1592" s="30" t="str">
        <f aca="false">IF(OR(P1592="判定不能",G1592="判定不能"),"判定不能",IF(AG1592&gt;=判定条件!$C$9,"利用可",IF(AND(P1592="停止",G1592="停止"),"両方停止","運転がそろわない")))</f>
        <v>両方停止</v>
      </c>
      <c r="AI1592" s="30" t="n">
        <v>60</v>
      </c>
      <c r="AJ1592" s="30" t="n">
        <v>0</v>
      </c>
      <c r="AK1592" s="30" t="str">
        <f aca="false">IF(OR(S1592="判定不能",J1592="判定不能"),"判定不能",IF(AJ1592&gt;=判定条件!$C$9,"利用可",IF(AND(S1592="停止",J1592="停止"),"両方停止","運転がそろわない")))</f>
        <v>両方停止</v>
      </c>
      <c r="AL1592" s="30" t="n">
        <v>60</v>
      </c>
      <c r="AM1592" s="30" t="n">
        <v>0</v>
      </c>
      <c r="AN1592" s="30" t="str">
        <f aca="false">IF(OR(V1592="判定不能",M1592="判定不能"),"判定不能",IF(AM1592&gt;=判定条件!$C$9,"利用可",IF(AND(V1592="停止",M1592="停止"),"両方停止","運転がそろわない")))</f>
        <v>両方停止</v>
      </c>
      <c r="AO1592" s="30" t="n">
        <v>60</v>
      </c>
      <c r="AP1592" s="30" t="n">
        <v>0</v>
      </c>
      <c r="AQ1592" s="30" t="str">
        <f aca="false">IF(OR(Y1592="判定不能",G1592="判定不能"),"判定不能",IF(AP1592&gt;=判定条件!$C$9,"利用可",IF(AND(Y1592="停止",G1592="停止"),"両方停止","運転がそろわない")))</f>
        <v>両方停止</v>
      </c>
      <c r="AR1592" s="30" t="n">
        <v>60</v>
      </c>
      <c r="AS1592" s="30" t="n">
        <v>0</v>
      </c>
      <c r="AT1592" s="30" t="str">
        <f aca="false">IF(OR(AB1592="判定不能",J1592="判定不能"),"判定不能",IF(AS1592&gt;=判定条件!$C$9,"利用可",IF(AND(AB1592="停止",J1592="停止"),"両方停止","運転がそろわない")))</f>
        <v>両方停止</v>
      </c>
      <c r="AU1592" s="30" t="n">
        <v>60</v>
      </c>
      <c r="AV1592" s="30" t="n">
        <v>0</v>
      </c>
      <c r="AW1592" s="30" t="str">
        <f aca="false">IF(OR(AE1592="判定不能",M1592="判定不能"),"判定不能",IF(AV1592&gt;=判定条件!$C$9,"利用可",IF(AND(AE1592="停止",M1592="停止"),"両方停止","運転がそろわない")))</f>
        <v>両方停止</v>
      </c>
      <c r="AX1592" s="30" t="str">
        <f aca="false">IF(AND(AH1592="利用可",AK1592="利用可",AN1592="利用可"),"利用可","不可")</f>
        <v>不可</v>
      </c>
      <c r="AY1592" s="30" t="str">
        <f aca="false">IF(AND(AQ1592="利用可",AT1592="利用可",AW1592="利用可"),"利用可","不可")</f>
        <v>不可</v>
      </c>
    </row>
    <row r="1593" customFormat="false" ht="15" hidden="false" customHeight="false" outlineLevel="0" collapsed="false">
      <c r="A1593" s="29" t="n">
        <v>46298</v>
      </c>
      <c r="B1593" s="30" t="n">
        <v>6</v>
      </c>
      <c r="C1593" s="31" t="s">
        <v>63</v>
      </c>
      <c r="D1593" s="31" t="s">
        <v>64</v>
      </c>
      <c r="E1593" s="30" t="n">
        <v>60</v>
      </c>
      <c r="F1593" s="30" t="n">
        <v>0</v>
      </c>
      <c r="G1593" s="30" t="str">
        <f aca="false">IF(E1593&lt;判定条件!$C$6,"判定不能",IF(F1593&gt;=判定条件!$C$7*E1593,"運転",IF(F1593&lt;=判定条件!$C$8*E1593,"停止","断続")))</f>
        <v>停止</v>
      </c>
      <c r="H1593" s="30" t="n">
        <v>60</v>
      </c>
      <c r="I1593" s="30" t="n">
        <v>0</v>
      </c>
      <c r="J1593" s="30" t="str">
        <f aca="false">IF(H1593&lt;判定条件!$C$6,"判定不能",IF(I1593&gt;=判定条件!$C$7*H1593,"運転",IF(I1593&lt;=判定条件!$C$8*H1593,"停止","断続")))</f>
        <v>停止</v>
      </c>
      <c r="K1593" s="30" t="n">
        <v>60</v>
      </c>
      <c r="L1593" s="30" t="n">
        <v>0</v>
      </c>
      <c r="M1593" s="30" t="str">
        <f aca="false">IF(K1593&lt;判定条件!$C$6,"判定不能",IF(L1593&gt;=判定条件!$C$7*K1593,"運転",IF(L1593&lt;=判定条件!$C$8*K1593,"停止","断続")))</f>
        <v>停止</v>
      </c>
      <c r="N1593" s="30" t="n">
        <v>60</v>
      </c>
      <c r="O1593" s="30" t="n">
        <v>0</v>
      </c>
      <c r="P1593" s="30" t="str">
        <f aca="false">IF(N1593&lt;判定条件!$C$6,"判定不能",IF(O1593&gt;=判定条件!$C$7*N1593,"運転",IF(O1593&lt;=判定条件!$C$8*N1593,"停止","断続")))</f>
        <v>停止</v>
      </c>
      <c r="Q1593" s="30" t="n">
        <v>60</v>
      </c>
      <c r="R1593" s="30" t="n">
        <v>0</v>
      </c>
      <c r="S1593" s="30" t="str">
        <f aca="false">IF(Q1593&lt;判定条件!$C$6,"判定不能",IF(R1593&gt;=判定条件!$C$7*Q1593,"運転",IF(R1593&lt;=判定条件!$C$8*Q1593,"停止","断続")))</f>
        <v>停止</v>
      </c>
      <c r="T1593" s="30" t="n">
        <v>60</v>
      </c>
      <c r="U1593" s="30" t="n">
        <v>0</v>
      </c>
      <c r="V1593" s="30" t="str">
        <f aca="false">IF(T1593&lt;判定条件!$C$6,"判定不能",IF(U1593&gt;=判定条件!$C$7*T1593,"運転",IF(U1593&lt;=判定条件!$C$8*T1593,"停止","断続")))</f>
        <v>停止</v>
      </c>
      <c r="W1593" s="30" t="n">
        <v>60</v>
      </c>
      <c r="X1593" s="30" t="n">
        <v>0</v>
      </c>
      <c r="Y1593" s="30" t="str">
        <f aca="false">IF(W1593&lt;判定条件!$C$6,"判定不能",IF(X1593&gt;=判定条件!$C$7*W1593,"運転",IF(X1593&lt;=判定条件!$C$8*W1593,"停止","断続")))</f>
        <v>停止</v>
      </c>
      <c r="Z1593" s="30" t="n">
        <v>60</v>
      </c>
      <c r="AA1593" s="30" t="n">
        <v>0</v>
      </c>
      <c r="AB1593" s="30" t="str">
        <f aca="false">IF(Z1593&lt;判定条件!$C$6,"判定不能",IF(AA1593&gt;=判定条件!$C$7*Z1593,"運転",IF(AA1593&lt;=判定条件!$C$8*Z1593,"停止","断続")))</f>
        <v>停止</v>
      </c>
      <c r="AC1593" s="30" t="n">
        <v>60</v>
      </c>
      <c r="AD1593" s="30" t="n">
        <v>0</v>
      </c>
      <c r="AE1593" s="30" t="str">
        <f aca="false">IF(AC1593&lt;判定条件!$C$6,"判定不能",IF(AD1593&gt;=判定条件!$C$7*AC1593,"運転",IF(AD1593&lt;=判定条件!$C$8*AC1593,"停止","断続")))</f>
        <v>停止</v>
      </c>
      <c r="AF1593" s="30" t="n">
        <v>60</v>
      </c>
      <c r="AG1593" s="30" t="n">
        <v>0</v>
      </c>
      <c r="AH1593" s="30" t="str">
        <f aca="false">IF(OR(P1593="判定不能",G1593="判定不能"),"判定不能",IF(AG1593&gt;=判定条件!$C$9,"利用可",IF(AND(P1593="停止",G1593="停止"),"両方停止","運転がそろわない")))</f>
        <v>両方停止</v>
      </c>
      <c r="AI1593" s="30" t="n">
        <v>60</v>
      </c>
      <c r="AJ1593" s="30" t="n">
        <v>0</v>
      </c>
      <c r="AK1593" s="30" t="str">
        <f aca="false">IF(OR(S1593="判定不能",J1593="判定不能"),"判定不能",IF(AJ1593&gt;=判定条件!$C$9,"利用可",IF(AND(S1593="停止",J1593="停止"),"両方停止","運転がそろわない")))</f>
        <v>両方停止</v>
      </c>
      <c r="AL1593" s="30" t="n">
        <v>60</v>
      </c>
      <c r="AM1593" s="30" t="n">
        <v>0</v>
      </c>
      <c r="AN1593" s="30" t="str">
        <f aca="false">IF(OR(V1593="判定不能",M1593="判定不能"),"判定不能",IF(AM1593&gt;=判定条件!$C$9,"利用可",IF(AND(V1593="停止",M1593="停止"),"両方停止","運転がそろわない")))</f>
        <v>両方停止</v>
      </c>
      <c r="AO1593" s="30" t="n">
        <v>60</v>
      </c>
      <c r="AP1593" s="30" t="n">
        <v>0</v>
      </c>
      <c r="AQ1593" s="30" t="str">
        <f aca="false">IF(OR(Y1593="判定不能",G1593="判定不能"),"判定不能",IF(AP1593&gt;=判定条件!$C$9,"利用可",IF(AND(Y1593="停止",G1593="停止"),"両方停止","運転がそろわない")))</f>
        <v>両方停止</v>
      </c>
      <c r="AR1593" s="30" t="n">
        <v>60</v>
      </c>
      <c r="AS1593" s="30" t="n">
        <v>0</v>
      </c>
      <c r="AT1593" s="30" t="str">
        <f aca="false">IF(OR(AB1593="判定不能",J1593="判定不能"),"判定不能",IF(AS1593&gt;=判定条件!$C$9,"利用可",IF(AND(AB1593="停止",J1593="停止"),"両方停止","運転がそろわない")))</f>
        <v>両方停止</v>
      </c>
      <c r="AU1593" s="30" t="n">
        <v>60</v>
      </c>
      <c r="AV1593" s="30" t="n">
        <v>0</v>
      </c>
      <c r="AW1593" s="30" t="str">
        <f aca="false">IF(OR(AE1593="判定不能",M1593="判定不能"),"判定不能",IF(AV1593&gt;=判定条件!$C$9,"利用可",IF(AND(AE1593="停止",M1593="停止"),"両方停止","運転がそろわない")))</f>
        <v>両方停止</v>
      </c>
      <c r="AX1593" s="30" t="str">
        <f aca="false">IF(AND(AH1593="利用可",AK1593="利用可",AN1593="利用可"),"利用可","不可")</f>
        <v>不可</v>
      </c>
      <c r="AY1593" s="30" t="str">
        <f aca="false">IF(AND(AQ1593="利用可",AT1593="利用可",AW1593="利用可"),"利用可","不可")</f>
        <v>不可</v>
      </c>
    </row>
    <row r="1594" customFormat="false" ht="15" hidden="false" customHeight="false" outlineLevel="0" collapsed="false">
      <c r="A1594" s="29" t="n">
        <v>46298</v>
      </c>
      <c r="B1594" s="30" t="n">
        <v>7</v>
      </c>
      <c r="C1594" s="31" t="s">
        <v>63</v>
      </c>
      <c r="D1594" s="31" t="s">
        <v>64</v>
      </c>
      <c r="E1594" s="30" t="n">
        <v>60</v>
      </c>
      <c r="F1594" s="30" t="n">
        <v>0</v>
      </c>
      <c r="G1594" s="30" t="str">
        <f aca="false">IF(E1594&lt;判定条件!$C$6,"判定不能",IF(F1594&gt;=判定条件!$C$7*E1594,"運転",IF(F1594&lt;=判定条件!$C$8*E1594,"停止","断続")))</f>
        <v>停止</v>
      </c>
      <c r="H1594" s="30" t="n">
        <v>60</v>
      </c>
      <c r="I1594" s="30" t="n">
        <v>0</v>
      </c>
      <c r="J1594" s="30" t="str">
        <f aca="false">IF(H1594&lt;判定条件!$C$6,"判定不能",IF(I1594&gt;=判定条件!$C$7*H1594,"運転",IF(I1594&lt;=判定条件!$C$8*H1594,"停止","断続")))</f>
        <v>停止</v>
      </c>
      <c r="K1594" s="30" t="n">
        <v>60</v>
      </c>
      <c r="L1594" s="30" t="n">
        <v>0</v>
      </c>
      <c r="M1594" s="30" t="str">
        <f aca="false">IF(K1594&lt;判定条件!$C$6,"判定不能",IF(L1594&gt;=判定条件!$C$7*K1594,"運転",IF(L1594&lt;=判定条件!$C$8*K1594,"停止","断続")))</f>
        <v>停止</v>
      </c>
      <c r="N1594" s="30" t="n">
        <v>60</v>
      </c>
      <c r="O1594" s="30" t="n">
        <v>3</v>
      </c>
      <c r="P1594" s="30" t="str">
        <f aca="false">IF(N1594&lt;判定条件!$C$6,"判定不能",IF(O1594&gt;=判定条件!$C$7*N1594,"運転",IF(O1594&lt;=判定条件!$C$8*N1594,"停止","断続")))</f>
        <v>停止</v>
      </c>
      <c r="Q1594" s="30" t="n">
        <v>60</v>
      </c>
      <c r="R1594" s="30" t="n">
        <v>2</v>
      </c>
      <c r="S1594" s="30" t="str">
        <f aca="false">IF(Q1594&lt;判定条件!$C$6,"判定不能",IF(R1594&gt;=判定条件!$C$7*Q1594,"運転",IF(R1594&lt;=判定条件!$C$8*Q1594,"停止","断続")))</f>
        <v>停止</v>
      </c>
      <c r="T1594" s="30" t="n">
        <v>60</v>
      </c>
      <c r="U1594" s="30" t="n">
        <v>2</v>
      </c>
      <c r="V1594" s="30" t="str">
        <f aca="false">IF(T1594&lt;判定条件!$C$6,"判定不能",IF(U1594&gt;=判定条件!$C$7*T1594,"運転",IF(U1594&lt;=判定条件!$C$8*T1594,"停止","断続")))</f>
        <v>停止</v>
      </c>
      <c r="W1594" s="30" t="n">
        <v>60</v>
      </c>
      <c r="X1594" s="30" t="n">
        <v>10</v>
      </c>
      <c r="Y1594" s="30" t="str">
        <f aca="false">IF(W1594&lt;判定条件!$C$6,"判定不能",IF(X1594&gt;=判定条件!$C$7*W1594,"運転",IF(X1594&lt;=判定条件!$C$8*W1594,"停止","断続")))</f>
        <v>停止</v>
      </c>
      <c r="Z1594" s="30" t="n">
        <v>60</v>
      </c>
      <c r="AA1594" s="30" t="n">
        <v>9</v>
      </c>
      <c r="AB1594" s="30" t="str">
        <f aca="false">IF(Z1594&lt;判定条件!$C$6,"判定不能",IF(AA1594&gt;=判定条件!$C$7*Z1594,"運転",IF(AA1594&lt;=判定条件!$C$8*Z1594,"停止","断続")))</f>
        <v>停止</v>
      </c>
      <c r="AC1594" s="30" t="n">
        <v>60</v>
      </c>
      <c r="AD1594" s="30" t="n">
        <v>2</v>
      </c>
      <c r="AE1594" s="30" t="str">
        <f aca="false">IF(AC1594&lt;判定条件!$C$6,"判定不能",IF(AD1594&gt;=判定条件!$C$7*AC1594,"運転",IF(AD1594&lt;=判定条件!$C$8*AC1594,"停止","断続")))</f>
        <v>停止</v>
      </c>
      <c r="AF1594" s="30" t="n">
        <v>60</v>
      </c>
      <c r="AG1594" s="30" t="n">
        <v>0</v>
      </c>
      <c r="AH1594" s="30" t="str">
        <f aca="false">IF(OR(P1594="判定不能",G1594="判定不能"),"判定不能",IF(AG1594&gt;=判定条件!$C$9,"利用可",IF(AND(P1594="停止",G1594="停止"),"両方停止","運転がそろわない")))</f>
        <v>両方停止</v>
      </c>
      <c r="AI1594" s="30" t="n">
        <v>60</v>
      </c>
      <c r="AJ1594" s="30" t="n">
        <v>0</v>
      </c>
      <c r="AK1594" s="30" t="str">
        <f aca="false">IF(OR(S1594="判定不能",J1594="判定不能"),"判定不能",IF(AJ1594&gt;=判定条件!$C$9,"利用可",IF(AND(S1594="停止",J1594="停止"),"両方停止","運転がそろわない")))</f>
        <v>両方停止</v>
      </c>
      <c r="AL1594" s="30" t="n">
        <v>60</v>
      </c>
      <c r="AM1594" s="30" t="n">
        <v>0</v>
      </c>
      <c r="AN1594" s="30" t="str">
        <f aca="false">IF(OR(V1594="判定不能",M1594="判定不能"),"判定不能",IF(AM1594&gt;=判定条件!$C$9,"利用可",IF(AND(V1594="停止",M1594="停止"),"両方停止","運転がそろわない")))</f>
        <v>両方停止</v>
      </c>
      <c r="AO1594" s="30" t="n">
        <v>60</v>
      </c>
      <c r="AP1594" s="30" t="n">
        <v>0</v>
      </c>
      <c r="AQ1594" s="30" t="str">
        <f aca="false">IF(OR(Y1594="判定不能",G1594="判定不能"),"判定不能",IF(AP1594&gt;=判定条件!$C$9,"利用可",IF(AND(Y1594="停止",G1594="停止"),"両方停止","運転がそろわない")))</f>
        <v>両方停止</v>
      </c>
      <c r="AR1594" s="30" t="n">
        <v>60</v>
      </c>
      <c r="AS1594" s="30" t="n">
        <v>0</v>
      </c>
      <c r="AT1594" s="30" t="str">
        <f aca="false">IF(OR(AB1594="判定不能",J1594="判定不能"),"判定不能",IF(AS1594&gt;=判定条件!$C$9,"利用可",IF(AND(AB1594="停止",J1594="停止"),"両方停止","運転がそろわない")))</f>
        <v>両方停止</v>
      </c>
      <c r="AU1594" s="30" t="n">
        <v>60</v>
      </c>
      <c r="AV1594" s="30" t="n">
        <v>0</v>
      </c>
      <c r="AW1594" s="30" t="str">
        <f aca="false">IF(OR(AE1594="判定不能",M1594="判定不能"),"判定不能",IF(AV1594&gt;=判定条件!$C$9,"利用可",IF(AND(AE1594="停止",M1594="停止"),"両方停止","運転がそろわない")))</f>
        <v>両方停止</v>
      </c>
      <c r="AX1594" s="30" t="str">
        <f aca="false">IF(AND(AH1594="利用可",AK1594="利用可",AN1594="利用可"),"利用可","不可")</f>
        <v>不可</v>
      </c>
      <c r="AY1594" s="30" t="str">
        <f aca="false">IF(AND(AQ1594="利用可",AT1594="利用可",AW1594="利用可"),"利用可","不可")</f>
        <v>不可</v>
      </c>
    </row>
    <row r="1595" customFormat="false" ht="15" hidden="false" customHeight="false" outlineLevel="0" collapsed="false">
      <c r="A1595" s="29" t="n">
        <v>46298</v>
      </c>
      <c r="B1595" s="30" t="n">
        <v>8</v>
      </c>
      <c r="C1595" s="31" t="s">
        <v>63</v>
      </c>
      <c r="D1595" s="31" t="s">
        <v>64</v>
      </c>
      <c r="E1595" s="30" t="n">
        <v>60</v>
      </c>
      <c r="F1595" s="30" t="n">
        <v>45</v>
      </c>
      <c r="G1595" s="30" t="str">
        <f aca="false">IF(E1595&lt;判定条件!$C$6,"判定不能",IF(F1595&gt;=判定条件!$C$7*E1595,"運転",IF(F1595&lt;=判定条件!$C$8*E1595,"停止","断続")))</f>
        <v>断続</v>
      </c>
      <c r="H1595" s="30" t="n">
        <v>60</v>
      </c>
      <c r="I1595" s="30" t="n">
        <v>14</v>
      </c>
      <c r="J1595" s="30" t="str">
        <f aca="false">IF(H1595&lt;判定条件!$C$6,"判定不能",IF(I1595&gt;=判定条件!$C$7*H1595,"運転",IF(I1595&lt;=判定条件!$C$8*H1595,"停止","断続")))</f>
        <v>断続</v>
      </c>
      <c r="K1595" s="30" t="n">
        <v>60</v>
      </c>
      <c r="L1595" s="30" t="n">
        <v>0</v>
      </c>
      <c r="M1595" s="30" t="str">
        <f aca="false">IF(K1595&lt;判定条件!$C$6,"判定不能",IF(L1595&gt;=判定条件!$C$7*K1595,"運転",IF(L1595&lt;=判定条件!$C$8*K1595,"停止","断続")))</f>
        <v>停止</v>
      </c>
      <c r="N1595" s="30" t="n">
        <v>60</v>
      </c>
      <c r="O1595" s="30" t="n">
        <v>60</v>
      </c>
      <c r="P1595" s="30" t="str">
        <f aca="false">IF(N1595&lt;判定条件!$C$6,"判定不能",IF(O1595&gt;=判定条件!$C$7*N1595,"運転",IF(O1595&lt;=判定条件!$C$8*N1595,"停止","断続")))</f>
        <v>運転</v>
      </c>
      <c r="Q1595" s="30" t="n">
        <v>60</v>
      </c>
      <c r="R1595" s="30" t="n">
        <v>51</v>
      </c>
      <c r="S1595" s="30" t="str">
        <f aca="false">IF(Q1595&lt;判定条件!$C$6,"判定不能",IF(R1595&gt;=判定条件!$C$7*Q1595,"運転",IF(R1595&lt;=判定条件!$C$8*Q1595,"停止","断続")))</f>
        <v>運転</v>
      </c>
      <c r="T1595" s="30" t="n">
        <v>60</v>
      </c>
      <c r="U1595" s="30" t="n">
        <v>60</v>
      </c>
      <c r="V1595" s="30" t="str">
        <f aca="false">IF(T1595&lt;判定条件!$C$6,"判定不能",IF(U1595&gt;=判定条件!$C$7*T1595,"運転",IF(U1595&lt;=判定条件!$C$8*T1595,"停止","断続")))</f>
        <v>運転</v>
      </c>
      <c r="W1595" s="30" t="n">
        <v>60</v>
      </c>
      <c r="X1595" s="30" t="n">
        <v>60</v>
      </c>
      <c r="Y1595" s="30" t="str">
        <f aca="false">IF(W1595&lt;判定条件!$C$6,"判定不能",IF(X1595&gt;=判定条件!$C$7*W1595,"運転",IF(X1595&lt;=判定条件!$C$8*W1595,"停止","断続")))</f>
        <v>運転</v>
      </c>
      <c r="Z1595" s="30" t="n">
        <v>60</v>
      </c>
      <c r="AA1595" s="30" t="n">
        <v>60</v>
      </c>
      <c r="AB1595" s="30" t="str">
        <f aca="false">IF(Z1595&lt;判定条件!$C$6,"判定不能",IF(AA1595&gt;=判定条件!$C$7*Z1595,"運転",IF(AA1595&lt;=判定条件!$C$8*Z1595,"停止","断続")))</f>
        <v>運転</v>
      </c>
      <c r="AC1595" s="30" t="n">
        <v>60</v>
      </c>
      <c r="AD1595" s="30" t="n">
        <v>60</v>
      </c>
      <c r="AE1595" s="30" t="str">
        <f aca="false">IF(AC1595&lt;判定条件!$C$6,"判定不能",IF(AD1595&gt;=判定条件!$C$7*AC1595,"運転",IF(AD1595&lt;=判定条件!$C$8*AC1595,"停止","断続")))</f>
        <v>運転</v>
      </c>
      <c r="AF1595" s="30" t="n">
        <v>60</v>
      </c>
      <c r="AG1595" s="30" t="n">
        <v>45</v>
      </c>
      <c r="AH1595" s="30" t="str">
        <f aca="false">IF(OR(P1595="判定不能",G1595="判定不能"),"判定不能",IF(AG1595&gt;=判定条件!$C$9,"利用可",IF(AND(P1595="停止",G1595="停止"),"両方停止","運転がそろわない")))</f>
        <v>利用可</v>
      </c>
      <c r="AI1595" s="30" t="n">
        <v>60</v>
      </c>
      <c r="AJ1595" s="30" t="n">
        <v>14</v>
      </c>
      <c r="AK1595" s="30" t="str">
        <f aca="false">IF(OR(S1595="判定不能",J1595="判定不能"),"判定不能",IF(AJ1595&gt;=判定条件!$C$9,"利用可",IF(AND(S1595="停止",J1595="停止"),"両方停止","運転がそろわない")))</f>
        <v>運転がそろわない</v>
      </c>
      <c r="AL1595" s="30" t="n">
        <v>60</v>
      </c>
      <c r="AM1595" s="30" t="n">
        <v>0</v>
      </c>
      <c r="AN1595" s="30" t="str">
        <f aca="false">IF(OR(V1595="判定不能",M1595="判定不能"),"判定不能",IF(AM1595&gt;=判定条件!$C$9,"利用可",IF(AND(V1595="停止",M1595="停止"),"両方停止","運転がそろわない")))</f>
        <v>運転がそろわない</v>
      </c>
      <c r="AO1595" s="30" t="n">
        <v>60</v>
      </c>
      <c r="AP1595" s="30" t="n">
        <v>45</v>
      </c>
      <c r="AQ1595" s="30" t="str">
        <f aca="false">IF(OR(Y1595="判定不能",G1595="判定不能"),"判定不能",IF(AP1595&gt;=判定条件!$C$9,"利用可",IF(AND(Y1595="停止",G1595="停止"),"両方停止","運転がそろわない")))</f>
        <v>利用可</v>
      </c>
      <c r="AR1595" s="30" t="n">
        <v>60</v>
      </c>
      <c r="AS1595" s="30" t="n">
        <v>14</v>
      </c>
      <c r="AT1595" s="30" t="str">
        <f aca="false">IF(OR(AB1595="判定不能",J1595="判定不能"),"判定不能",IF(AS1595&gt;=判定条件!$C$9,"利用可",IF(AND(AB1595="停止",J1595="停止"),"両方停止","運転がそろわない")))</f>
        <v>運転がそろわない</v>
      </c>
      <c r="AU1595" s="30" t="n">
        <v>60</v>
      </c>
      <c r="AV1595" s="30" t="n">
        <v>0</v>
      </c>
      <c r="AW1595" s="30" t="str">
        <f aca="false">IF(OR(AE1595="判定不能",M1595="判定不能"),"判定不能",IF(AV1595&gt;=判定条件!$C$9,"利用可",IF(AND(AE1595="停止",M1595="停止"),"両方停止","運転がそろわない")))</f>
        <v>運転がそろわない</v>
      </c>
      <c r="AX1595" s="30" t="str">
        <f aca="false">IF(AND(AH1595="利用可",AK1595="利用可",AN1595="利用可"),"利用可","不可")</f>
        <v>不可</v>
      </c>
      <c r="AY1595" s="30" t="str">
        <f aca="false">IF(AND(AQ1595="利用可",AT1595="利用可",AW1595="利用可"),"利用可","不可")</f>
        <v>不可</v>
      </c>
    </row>
    <row r="1596" customFormat="false" ht="15" hidden="false" customHeight="false" outlineLevel="0" collapsed="false">
      <c r="A1596" s="29" t="n">
        <v>46298</v>
      </c>
      <c r="B1596" s="30" t="n">
        <v>9</v>
      </c>
      <c r="C1596" s="31" t="s">
        <v>63</v>
      </c>
      <c r="D1596" s="31" t="s">
        <v>64</v>
      </c>
      <c r="E1596" s="30" t="n">
        <v>60</v>
      </c>
      <c r="F1596" s="30" t="n">
        <v>50</v>
      </c>
      <c r="G1596" s="30" t="str">
        <f aca="false">IF(E1596&lt;判定条件!$C$6,"判定不能",IF(F1596&gt;=判定条件!$C$7*E1596,"運転",IF(F1596&lt;=判定条件!$C$8*E1596,"停止","断続")))</f>
        <v>運転</v>
      </c>
      <c r="H1596" s="30" t="n">
        <v>60</v>
      </c>
      <c r="I1596" s="30" t="n">
        <v>29</v>
      </c>
      <c r="J1596" s="30" t="str">
        <f aca="false">IF(H1596&lt;判定条件!$C$6,"判定不能",IF(I1596&gt;=判定条件!$C$7*H1596,"運転",IF(I1596&lt;=判定条件!$C$8*H1596,"停止","断続")))</f>
        <v>断続</v>
      </c>
      <c r="K1596" s="30" t="n">
        <v>60</v>
      </c>
      <c r="L1596" s="30" t="n">
        <v>42</v>
      </c>
      <c r="M1596" s="30" t="str">
        <f aca="false">IF(K1596&lt;判定条件!$C$6,"判定不能",IF(L1596&gt;=判定条件!$C$7*K1596,"運転",IF(L1596&lt;=判定条件!$C$8*K1596,"停止","断続")))</f>
        <v>断続</v>
      </c>
      <c r="N1596" s="30" t="n">
        <v>60</v>
      </c>
      <c r="O1596" s="30" t="n">
        <v>60</v>
      </c>
      <c r="P1596" s="30" t="str">
        <f aca="false">IF(N1596&lt;判定条件!$C$6,"判定不能",IF(O1596&gt;=判定条件!$C$7*N1596,"運転",IF(O1596&lt;=判定条件!$C$8*N1596,"停止","断続")))</f>
        <v>運転</v>
      </c>
      <c r="Q1596" s="30" t="n">
        <v>60</v>
      </c>
      <c r="R1596" s="30" t="n">
        <v>60</v>
      </c>
      <c r="S1596" s="30" t="str">
        <f aca="false">IF(Q1596&lt;判定条件!$C$6,"判定不能",IF(R1596&gt;=判定条件!$C$7*Q1596,"運転",IF(R1596&lt;=判定条件!$C$8*Q1596,"停止","断続")))</f>
        <v>運転</v>
      </c>
      <c r="T1596" s="30" t="n">
        <v>60</v>
      </c>
      <c r="U1596" s="30" t="n">
        <v>60</v>
      </c>
      <c r="V1596" s="30" t="str">
        <f aca="false">IF(T1596&lt;判定条件!$C$6,"判定不能",IF(U1596&gt;=判定条件!$C$7*T1596,"運転",IF(U1596&lt;=判定条件!$C$8*T1596,"停止","断続")))</f>
        <v>運転</v>
      </c>
      <c r="W1596" s="30" t="n">
        <v>60</v>
      </c>
      <c r="X1596" s="30" t="n">
        <v>60</v>
      </c>
      <c r="Y1596" s="30" t="str">
        <f aca="false">IF(W1596&lt;判定条件!$C$6,"判定不能",IF(X1596&gt;=判定条件!$C$7*W1596,"運転",IF(X1596&lt;=判定条件!$C$8*W1596,"停止","断続")))</f>
        <v>運転</v>
      </c>
      <c r="Z1596" s="30" t="n">
        <v>60</v>
      </c>
      <c r="AA1596" s="30" t="n">
        <v>60</v>
      </c>
      <c r="AB1596" s="30" t="str">
        <f aca="false">IF(Z1596&lt;判定条件!$C$6,"判定不能",IF(AA1596&gt;=判定条件!$C$7*Z1596,"運転",IF(AA1596&lt;=判定条件!$C$8*Z1596,"停止","断続")))</f>
        <v>運転</v>
      </c>
      <c r="AC1596" s="30" t="n">
        <v>60</v>
      </c>
      <c r="AD1596" s="30" t="n">
        <v>60</v>
      </c>
      <c r="AE1596" s="30" t="str">
        <f aca="false">IF(AC1596&lt;判定条件!$C$6,"判定不能",IF(AD1596&gt;=判定条件!$C$7*AC1596,"運転",IF(AD1596&lt;=判定条件!$C$8*AC1596,"停止","断続")))</f>
        <v>運転</v>
      </c>
      <c r="AF1596" s="30" t="n">
        <v>60</v>
      </c>
      <c r="AG1596" s="30" t="n">
        <v>50</v>
      </c>
      <c r="AH1596" s="30" t="str">
        <f aca="false">IF(OR(P1596="判定不能",G1596="判定不能"),"判定不能",IF(AG1596&gt;=判定条件!$C$9,"利用可",IF(AND(P1596="停止",G1596="停止"),"両方停止","運転がそろわない")))</f>
        <v>利用可</v>
      </c>
      <c r="AI1596" s="30" t="n">
        <v>60</v>
      </c>
      <c r="AJ1596" s="30" t="n">
        <v>29</v>
      </c>
      <c r="AK1596" s="30" t="str">
        <f aca="false">IF(OR(S1596="判定不能",J1596="判定不能"),"判定不能",IF(AJ1596&gt;=判定条件!$C$9,"利用可",IF(AND(S1596="停止",J1596="停止"),"両方停止","運転がそろわない")))</f>
        <v>運転がそろわない</v>
      </c>
      <c r="AL1596" s="30" t="n">
        <v>60</v>
      </c>
      <c r="AM1596" s="30" t="n">
        <v>42</v>
      </c>
      <c r="AN1596" s="30" t="str">
        <f aca="false">IF(OR(V1596="判定不能",M1596="判定不能"),"判定不能",IF(AM1596&gt;=判定条件!$C$9,"利用可",IF(AND(V1596="停止",M1596="停止"),"両方停止","運転がそろわない")))</f>
        <v>利用可</v>
      </c>
      <c r="AO1596" s="30" t="n">
        <v>60</v>
      </c>
      <c r="AP1596" s="30" t="n">
        <v>50</v>
      </c>
      <c r="AQ1596" s="30" t="str">
        <f aca="false">IF(OR(Y1596="判定不能",G1596="判定不能"),"判定不能",IF(AP1596&gt;=判定条件!$C$9,"利用可",IF(AND(Y1596="停止",G1596="停止"),"両方停止","運転がそろわない")))</f>
        <v>利用可</v>
      </c>
      <c r="AR1596" s="30" t="n">
        <v>60</v>
      </c>
      <c r="AS1596" s="30" t="n">
        <v>29</v>
      </c>
      <c r="AT1596" s="30" t="str">
        <f aca="false">IF(OR(AB1596="判定不能",J1596="判定不能"),"判定不能",IF(AS1596&gt;=判定条件!$C$9,"利用可",IF(AND(AB1596="停止",J1596="停止"),"両方停止","運転がそろわない")))</f>
        <v>運転がそろわない</v>
      </c>
      <c r="AU1596" s="30" t="n">
        <v>60</v>
      </c>
      <c r="AV1596" s="30" t="n">
        <v>42</v>
      </c>
      <c r="AW1596" s="30" t="str">
        <f aca="false">IF(OR(AE1596="判定不能",M1596="判定不能"),"判定不能",IF(AV1596&gt;=判定条件!$C$9,"利用可",IF(AND(AE1596="停止",M1596="停止"),"両方停止","運転がそろわない")))</f>
        <v>利用可</v>
      </c>
      <c r="AX1596" s="30" t="str">
        <f aca="false">IF(AND(AH1596="利用可",AK1596="利用可",AN1596="利用可"),"利用可","不可")</f>
        <v>不可</v>
      </c>
      <c r="AY1596" s="30" t="str">
        <f aca="false">IF(AND(AQ1596="利用可",AT1596="利用可",AW1596="利用可"),"利用可","不可")</f>
        <v>不可</v>
      </c>
    </row>
    <row r="1597" customFormat="false" ht="15" hidden="false" customHeight="false" outlineLevel="0" collapsed="false">
      <c r="A1597" s="29" t="n">
        <v>46298</v>
      </c>
      <c r="B1597" s="30" t="n">
        <v>10</v>
      </c>
      <c r="C1597" s="31" t="s">
        <v>63</v>
      </c>
      <c r="D1597" s="31" t="s">
        <v>64</v>
      </c>
      <c r="E1597" s="30" t="n">
        <v>60</v>
      </c>
      <c r="F1597" s="30" t="n">
        <v>60</v>
      </c>
      <c r="G1597" s="30" t="str">
        <f aca="false">IF(E1597&lt;判定条件!$C$6,"判定不能",IF(F1597&gt;=判定条件!$C$7*E1597,"運転",IF(F1597&lt;=判定条件!$C$8*E1597,"停止","断続")))</f>
        <v>運転</v>
      </c>
      <c r="H1597" s="30" t="n">
        <v>60</v>
      </c>
      <c r="I1597" s="30" t="n">
        <v>58</v>
      </c>
      <c r="J1597" s="30" t="str">
        <f aca="false">IF(H1597&lt;判定条件!$C$6,"判定不能",IF(I1597&gt;=判定条件!$C$7*H1597,"運転",IF(I1597&lt;=判定条件!$C$8*H1597,"停止","断続")))</f>
        <v>運転</v>
      </c>
      <c r="K1597" s="30" t="n">
        <v>60</v>
      </c>
      <c r="L1597" s="30" t="n">
        <v>54</v>
      </c>
      <c r="M1597" s="30" t="str">
        <f aca="false">IF(K1597&lt;判定条件!$C$6,"判定不能",IF(L1597&gt;=判定条件!$C$7*K1597,"運転",IF(L1597&lt;=判定条件!$C$8*K1597,"停止","断続")))</f>
        <v>運転</v>
      </c>
      <c r="N1597" s="30" t="n">
        <v>60</v>
      </c>
      <c r="O1597" s="30" t="n">
        <v>60</v>
      </c>
      <c r="P1597" s="30" t="str">
        <f aca="false">IF(N1597&lt;判定条件!$C$6,"判定不能",IF(O1597&gt;=判定条件!$C$7*N1597,"運転",IF(O1597&lt;=判定条件!$C$8*N1597,"停止","断続")))</f>
        <v>運転</v>
      </c>
      <c r="Q1597" s="30" t="n">
        <v>60</v>
      </c>
      <c r="R1597" s="30" t="n">
        <v>60</v>
      </c>
      <c r="S1597" s="30" t="str">
        <f aca="false">IF(Q1597&lt;判定条件!$C$6,"判定不能",IF(R1597&gt;=判定条件!$C$7*Q1597,"運転",IF(R1597&lt;=判定条件!$C$8*Q1597,"停止","断続")))</f>
        <v>運転</v>
      </c>
      <c r="T1597" s="30" t="n">
        <v>60</v>
      </c>
      <c r="U1597" s="30" t="n">
        <v>60</v>
      </c>
      <c r="V1597" s="30" t="str">
        <f aca="false">IF(T1597&lt;判定条件!$C$6,"判定不能",IF(U1597&gt;=判定条件!$C$7*T1597,"運転",IF(U1597&lt;=判定条件!$C$8*T1597,"停止","断続")))</f>
        <v>運転</v>
      </c>
      <c r="W1597" s="30" t="n">
        <v>60</v>
      </c>
      <c r="X1597" s="30" t="n">
        <v>60</v>
      </c>
      <c r="Y1597" s="30" t="str">
        <f aca="false">IF(W1597&lt;判定条件!$C$6,"判定不能",IF(X1597&gt;=判定条件!$C$7*W1597,"運転",IF(X1597&lt;=判定条件!$C$8*W1597,"停止","断続")))</f>
        <v>運転</v>
      </c>
      <c r="Z1597" s="30" t="n">
        <v>60</v>
      </c>
      <c r="AA1597" s="30" t="n">
        <v>60</v>
      </c>
      <c r="AB1597" s="30" t="str">
        <f aca="false">IF(Z1597&lt;判定条件!$C$6,"判定不能",IF(AA1597&gt;=判定条件!$C$7*Z1597,"運転",IF(AA1597&lt;=判定条件!$C$8*Z1597,"停止","断続")))</f>
        <v>運転</v>
      </c>
      <c r="AC1597" s="30" t="n">
        <v>60</v>
      </c>
      <c r="AD1597" s="30" t="n">
        <v>60</v>
      </c>
      <c r="AE1597" s="30" t="str">
        <f aca="false">IF(AC1597&lt;判定条件!$C$6,"判定不能",IF(AD1597&gt;=判定条件!$C$7*AC1597,"運転",IF(AD1597&lt;=判定条件!$C$8*AC1597,"停止","断続")))</f>
        <v>運転</v>
      </c>
      <c r="AF1597" s="30" t="n">
        <v>60</v>
      </c>
      <c r="AG1597" s="30" t="n">
        <v>60</v>
      </c>
      <c r="AH1597" s="30" t="str">
        <f aca="false">IF(OR(P1597="判定不能",G1597="判定不能"),"判定不能",IF(AG1597&gt;=判定条件!$C$9,"利用可",IF(AND(P1597="停止",G1597="停止"),"両方停止","運転がそろわない")))</f>
        <v>利用可</v>
      </c>
      <c r="AI1597" s="30" t="n">
        <v>60</v>
      </c>
      <c r="AJ1597" s="30" t="n">
        <v>58</v>
      </c>
      <c r="AK1597" s="30" t="str">
        <f aca="false">IF(OR(S1597="判定不能",J1597="判定不能"),"判定不能",IF(AJ1597&gt;=判定条件!$C$9,"利用可",IF(AND(S1597="停止",J1597="停止"),"両方停止","運転がそろわない")))</f>
        <v>利用可</v>
      </c>
      <c r="AL1597" s="30" t="n">
        <v>60</v>
      </c>
      <c r="AM1597" s="30" t="n">
        <v>54</v>
      </c>
      <c r="AN1597" s="30" t="str">
        <f aca="false">IF(OR(V1597="判定不能",M1597="判定不能"),"判定不能",IF(AM1597&gt;=判定条件!$C$9,"利用可",IF(AND(V1597="停止",M1597="停止"),"両方停止","運転がそろわない")))</f>
        <v>利用可</v>
      </c>
      <c r="AO1597" s="30" t="n">
        <v>60</v>
      </c>
      <c r="AP1597" s="30" t="n">
        <v>60</v>
      </c>
      <c r="AQ1597" s="30" t="str">
        <f aca="false">IF(OR(Y1597="判定不能",G1597="判定不能"),"判定不能",IF(AP1597&gt;=判定条件!$C$9,"利用可",IF(AND(Y1597="停止",G1597="停止"),"両方停止","運転がそろわない")))</f>
        <v>利用可</v>
      </c>
      <c r="AR1597" s="30" t="n">
        <v>60</v>
      </c>
      <c r="AS1597" s="30" t="n">
        <v>58</v>
      </c>
      <c r="AT1597" s="30" t="str">
        <f aca="false">IF(OR(AB1597="判定不能",J1597="判定不能"),"判定不能",IF(AS1597&gt;=判定条件!$C$9,"利用可",IF(AND(AB1597="停止",J1597="停止"),"両方停止","運転がそろわない")))</f>
        <v>利用可</v>
      </c>
      <c r="AU1597" s="30" t="n">
        <v>60</v>
      </c>
      <c r="AV1597" s="30" t="n">
        <v>54</v>
      </c>
      <c r="AW1597" s="30" t="str">
        <f aca="false">IF(OR(AE1597="判定不能",M1597="判定不能"),"判定不能",IF(AV1597&gt;=判定条件!$C$9,"利用可",IF(AND(AE1597="停止",M1597="停止"),"両方停止","運転がそろわない")))</f>
        <v>利用可</v>
      </c>
      <c r="AX1597" s="30" t="str">
        <f aca="false">IF(AND(AH1597="利用可",AK1597="利用可",AN1597="利用可"),"利用可","不可")</f>
        <v>利用可</v>
      </c>
      <c r="AY1597" s="30" t="str">
        <f aca="false">IF(AND(AQ1597="利用可",AT1597="利用可",AW1597="利用可"),"利用可","不可")</f>
        <v>利用可</v>
      </c>
    </row>
    <row r="1598" customFormat="false" ht="15" hidden="false" customHeight="false" outlineLevel="0" collapsed="false">
      <c r="A1598" s="29" t="n">
        <v>46298</v>
      </c>
      <c r="B1598" s="30" t="n">
        <v>11</v>
      </c>
      <c r="C1598" s="31" t="s">
        <v>63</v>
      </c>
      <c r="D1598" s="31" t="s">
        <v>64</v>
      </c>
      <c r="E1598" s="30" t="n">
        <v>60</v>
      </c>
      <c r="F1598" s="30" t="n">
        <v>52</v>
      </c>
      <c r="G1598" s="30" t="str">
        <f aca="false">IF(E1598&lt;判定条件!$C$6,"判定不能",IF(F1598&gt;=判定条件!$C$7*E1598,"運転",IF(F1598&lt;=判定条件!$C$8*E1598,"停止","断続")))</f>
        <v>運転</v>
      </c>
      <c r="H1598" s="30" t="n">
        <v>60</v>
      </c>
      <c r="I1598" s="30" t="n">
        <v>60</v>
      </c>
      <c r="J1598" s="30" t="str">
        <f aca="false">IF(H1598&lt;判定条件!$C$6,"判定不能",IF(I1598&gt;=判定条件!$C$7*H1598,"運転",IF(I1598&lt;=判定条件!$C$8*H1598,"停止","断続")))</f>
        <v>運転</v>
      </c>
      <c r="K1598" s="30" t="n">
        <v>60</v>
      </c>
      <c r="L1598" s="30" t="n">
        <v>53</v>
      </c>
      <c r="M1598" s="30" t="str">
        <f aca="false">IF(K1598&lt;判定条件!$C$6,"判定不能",IF(L1598&gt;=判定条件!$C$7*K1598,"運転",IF(L1598&lt;=判定条件!$C$8*K1598,"停止","断続")))</f>
        <v>運転</v>
      </c>
      <c r="N1598" s="30" t="n">
        <v>60</v>
      </c>
      <c r="O1598" s="30" t="n">
        <v>52</v>
      </c>
      <c r="P1598" s="30" t="str">
        <f aca="false">IF(N1598&lt;判定条件!$C$6,"判定不能",IF(O1598&gt;=判定条件!$C$7*N1598,"運転",IF(O1598&lt;=判定条件!$C$8*N1598,"停止","断続")))</f>
        <v>運転</v>
      </c>
      <c r="Q1598" s="30" t="n">
        <v>60</v>
      </c>
      <c r="R1598" s="30" t="n">
        <v>51</v>
      </c>
      <c r="S1598" s="30" t="str">
        <f aca="false">IF(Q1598&lt;判定条件!$C$6,"判定不能",IF(R1598&gt;=判定条件!$C$7*Q1598,"運転",IF(R1598&lt;=判定条件!$C$8*Q1598,"停止","断続")))</f>
        <v>運転</v>
      </c>
      <c r="T1598" s="30" t="n">
        <v>60</v>
      </c>
      <c r="U1598" s="30" t="n">
        <v>60</v>
      </c>
      <c r="V1598" s="30" t="str">
        <f aca="false">IF(T1598&lt;判定条件!$C$6,"判定不能",IF(U1598&gt;=判定条件!$C$7*T1598,"運転",IF(U1598&lt;=判定条件!$C$8*T1598,"停止","断続")))</f>
        <v>運転</v>
      </c>
      <c r="W1598" s="30" t="n">
        <v>60</v>
      </c>
      <c r="X1598" s="30" t="n">
        <v>60</v>
      </c>
      <c r="Y1598" s="30" t="str">
        <f aca="false">IF(W1598&lt;判定条件!$C$6,"判定不能",IF(X1598&gt;=判定条件!$C$7*W1598,"運転",IF(X1598&lt;=判定条件!$C$8*W1598,"停止","断続")))</f>
        <v>運転</v>
      </c>
      <c r="Z1598" s="30" t="n">
        <v>60</v>
      </c>
      <c r="AA1598" s="30" t="n">
        <v>60</v>
      </c>
      <c r="AB1598" s="30" t="str">
        <f aca="false">IF(Z1598&lt;判定条件!$C$6,"判定不能",IF(AA1598&gt;=判定条件!$C$7*Z1598,"運転",IF(AA1598&lt;=判定条件!$C$8*Z1598,"停止","断続")))</f>
        <v>運転</v>
      </c>
      <c r="AC1598" s="30" t="n">
        <v>60</v>
      </c>
      <c r="AD1598" s="30" t="n">
        <v>60</v>
      </c>
      <c r="AE1598" s="30" t="str">
        <f aca="false">IF(AC1598&lt;判定条件!$C$6,"判定不能",IF(AD1598&gt;=判定条件!$C$7*AC1598,"運転",IF(AD1598&lt;=判定条件!$C$8*AC1598,"停止","断続")))</f>
        <v>運転</v>
      </c>
      <c r="AF1598" s="30" t="n">
        <v>60</v>
      </c>
      <c r="AG1598" s="30" t="n">
        <v>44</v>
      </c>
      <c r="AH1598" s="30" t="str">
        <f aca="false">IF(OR(P1598="判定不能",G1598="判定不能"),"判定不能",IF(AG1598&gt;=判定条件!$C$9,"利用可",IF(AND(P1598="停止",G1598="停止"),"両方停止","運転がそろわない")))</f>
        <v>利用可</v>
      </c>
      <c r="AI1598" s="30" t="n">
        <v>60</v>
      </c>
      <c r="AJ1598" s="30" t="n">
        <v>51</v>
      </c>
      <c r="AK1598" s="30" t="str">
        <f aca="false">IF(OR(S1598="判定不能",J1598="判定不能"),"判定不能",IF(AJ1598&gt;=判定条件!$C$9,"利用可",IF(AND(S1598="停止",J1598="停止"),"両方停止","運転がそろわない")))</f>
        <v>利用可</v>
      </c>
      <c r="AL1598" s="30" t="n">
        <v>60</v>
      </c>
      <c r="AM1598" s="30" t="n">
        <v>53</v>
      </c>
      <c r="AN1598" s="30" t="str">
        <f aca="false">IF(OR(V1598="判定不能",M1598="判定不能"),"判定不能",IF(AM1598&gt;=判定条件!$C$9,"利用可",IF(AND(V1598="停止",M1598="停止"),"両方停止","運転がそろわない")))</f>
        <v>利用可</v>
      </c>
      <c r="AO1598" s="30" t="n">
        <v>60</v>
      </c>
      <c r="AP1598" s="30" t="n">
        <v>52</v>
      </c>
      <c r="AQ1598" s="30" t="str">
        <f aca="false">IF(OR(Y1598="判定不能",G1598="判定不能"),"判定不能",IF(AP1598&gt;=判定条件!$C$9,"利用可",IF(AND(Y1598="停止",G1598="停止"),"両方停止","運転がそろわない")))</f>
        <v>利用可</v>
      </c>
      <c r="AR1598" s="30" t="n">
        <v>60</v>
      </c>
      <c r="AS1598" s="30" t="n">
        <v>60</v>
      </c>
      <c r="AT1598" s="30" t="str">
        <f aca="false">IF(OR(AB1598="判定不能",J1598="判定不能"),"判定不能",IF(AS1598&gt;=判定条件!$C$9,"利用可",IF(AND(AB1598="停止",J1598="停止"),"両方停止","運転がそろわない")))</f>
        <v>利用可</v>
      </c>
      <c r="AU1598" s="30" t="n">
        <v>60</v>
      </c>
      <c r="AV1598" s="30" t="n">
        <v>53</v>
      </c>
      <c r="AW1598" s="30" t="str">
        <f aca="false">IF(OR(AE1598="判定不能",M1598="判定不能"),"判定不能",IF(AV1598&gt;=判定条件!$C$9,"利用可",IF(AND(AE1598="停止",M1598="停止"),"両方停止","運転がそろわない")))</f>
        <v>利用可</v>
      </c>
      <c r="AX1598" s="30" t="str">
        <f aca="false">IF(AND(AH1598="利用可",AK1598="利用可",AN1598="利用可"),"利用可","不可")</f>
        <v>利用可</v>
      </c>
      <c r="AY1598" s="30" t="str">
        <f aca="false">IF(AND(AQ1598="利用可",AT1598="利用可",AW1598="利用可"),"利用可","不可")</f>
        <v>利用可</v>
      </c>
    </row>
    <row r="1599" customFormat="false" ht="15" hidden="false" customHeight="false" outlineLevel="0" collapsed="false">
      <c r="A1599" s="29" t="n">
        <v>46298</v>
      </c>
      <c r="B1599" s="30" t="n">
        <v>12</v>
      </c>
      <c r="C1599" s="31" t="s">
        <v>63</v>
      </c>
      <c r="D1599" s="31" t="s">
        <v>64</v>
      </c>
      <c r="E1599" s="30" t="n">
        <v>60</v>
      </c>
      <c r="F1599" s="30" t="n">
        <v>21</v>
      </c>
      <c r="G1599" s="30" t="str">
        <f aca="false">IF(E1599&lt;判定条件!$C$6,"判定不能",IF(F1599&gt;=判定条件!$C$7*E1599,"運転",IF(F1599&lt;=判定条件!$C$8*E1599,"停止","断続")))</f>
        <v>断続</v>
      </c>
      <c r="H1599" s="30" t="n">
        <v>60</v>
      </c>
      <c r="I1599" s="30" t="n">
        <v>37</v>
      </c>
      <c r="J1599" s="30" t="str">
        <f aca="false">IF(H1599&lt;判定条件!$C$6,"判定不能",IF(I1599&gt;=判定条件!$C$7*H1599,"運転",IF(I1599&lt;=判定条件!$C$8*H1599,"停止","断続")))</f>
        <v>断続</v>
      </c>
      <c r="K1599" s="30" t="n">
        <v>60</v>
      </c>
      <c r="L1599" s="30" t="n">
        <v>60</v>
      </c>
      <c r="M1599" s="30" t="str">
        <f aca="false">IF(K1599&lt;判定条件!$C$6,"判定不能",IF(L1599&gt;=判定条件!$C$7*K1599,"運転",IF(L1599&lt;=判定条件!$C$8*K1599,"停止","断続")))</f>
        <v>運転</v>
      </c>
      <c r="N1599" s="30" t="n">
        <v>60</v>
      </c>
      <c r="O1599" s="30" t="n">
        <v>56</v>
      </c>
      <c r="P1599" s="30" t="str">
        <f aca="false">IF(N1599&lt;判定条件!$C$6,"判定不能",IF(O1599&gt;=判定条件!$C$7*N1599,"運転",IF(O1599&lt;=判定条件!$C$8*N1599,"停止","断続")))</f>
        <v>運転</v>
      </c>
      <c r="Q1599" s="30" t="n">
        <v>60</v>
      </c>
      <c r="R1599" s="30" t="n">
        <v>35</v>
      </c>
      <c r="S1599" s="30" t="str">
        <f aca="false">IF(Q1599&lt;判定条件!$C$6,"判定不能",IF(R1599&gt;=判定条件!$C$7*Q1599,"運転",IF(R1599&lt;=判定条件!$C$8*Q1599,"停止","断続")))</f>
        <v>断続</v>
      </c>
      <c r="T1599" s="30" t="n">
        <v>60</v>
      </c>
      <c r="U1599" s="30" t="n">
        <v>46</v>
      </c>
      <c r="V1599" s="30" t="str">
        <f aca="false">IF(T1599&lt;判定条件!$C$6,"判定不能",IF(U1599&gt;=判定条件!$C$7*T1599,"運転",IF(U1599&lt;=判定条件!$C$8*T1599,"停止","断続")))</f>
        <v>断続</v>
      </c>
      <c r="W1599" s="30" t="n">
        <v>60</v>
      </c>
      <c r="X1599" s="30" t="n">
        <v>46</v>
      </c>
      <c r="Y1599" s="30" t="str">
        <f aca="false">IF(W1599&lt;判定条件!$C$6,"判定不能",IF(X1599&gt;=判定条件!$C$7*W1599,"運転",IF(X1599&lt;=判定条件!$C$8*W1599,"停止","断続")))</f>
        <v>断続</v>
      </c>
      <c r="Z1599" s="30" t="n">
        <v>60</v>
      </c>
      <c r="AA1599" s="30" t="n">
        <v>54</v>
      </c>
      <c r="AB1599" s="30" t="str">
        <f aca="false">IF(Z1599&lt;判定条件!$C$6,"判定不能",IF(AA1599&gt;=判定条件!$C$7*Z1599,"運転",IF(AA1599&lt;=判定条件!$C$8*Z1599,"停止","断続")))</f>
        <v>運転</v>
      </c>
      <c r="AC1599" s="30" t="n">
        <v>60</v>
      </c>
      <c r="AD1599" s="30" t="n">
        <v>60</v>
      </c>
      <c r="AE1599" s="30" t="str">
        <f aca="false">IF(AC1599&lt;判定条件!$C$6,"判定不能",IF(AD1599&gt;=判定条件!$C$7*AC1599,"運転",IF(AD1599&lt;=判定条件!$C$8*AC1599,"停止","断続")))</f>
        <v>運転</v>
      </c>
      <c r="AF1599" s="30" t="n">
        <v>60</v>
      </c>
      <c r="AG1599" s="30" t="n">
        <v>21</v>
      </c>
      <c r="AH1599" s="30" t="str">
        <f aca="false">IF(OR(P1599="判定不能",G1599="判定不能"),"判定不能",IF(AG1599&gt;=判定条件!$C$9,"利用可",IF(AND(P1599="停止",G1599="停止"),"両方停止","運転がそろわない")))</f>
        <v>運転がそろわない</v>
      </c>
      <c r="AI1599" s="30" t="n">
        <v>60</v>
      </c>
      <c r="AJ1599" s="30" t="n">
        <v>29</v>
      </c>
      <c r="AK1599" s="30" t="str">
        <f aca="false">IF(OR(S1599="判定不能",J1599="判定不能"),"判定不能",IF(AJ1599&gt;=判定条件!$C$9,"利用可",IF(AND(S1599="停止",J1599="停止"),"両方停止","運転がそろわない")))</f>
        <v>運転がそろわない</v>
      </c>
      <c r="AL1599" s="30" t="n">
        <v>60</v>
      </c>
      <c r="AM1599" s="30" t="n">
        <v>46</v>
      </c>
      <c r="AN1599" s="30" t="str">
        <f aca="false">IF(OR(V1599="判定不能",M1599="判定不能"),"判定不能",IF(AM1599&gt;=判定条件!$C$9,"利用可",IF(AND(V1599="停止",M1599="停止"),"両方停止","運転がそろわない")))</f>
        <v>利用可</v>
      </c>
      <c r="AO1599" s="30" t="n">
        <v>60</v>
      </c>
      <c r="AP1599" s="30" t="n">
        <v>21</v>
      </c>
      <c r="AQ1599" s="30" t="str">
        <f aca="false">IF(OR(Y1599="判定不能",G1599="判定不能"),"判定不能",IF(AP1599&gt;=判定条件!$C$9,"利用可",IF(AND(Y1599="停止",G1599="停止"),"両方停止","運転がそろわない")))</f>
        <v>運転がそろわない</v>
      </c>
      <c r="AR1599" s="30" t="n">
        <v>60</v>
      </c>
      <c r="AS1599" s="30" t="n">
        <v>36</v>
      </c>
      <c r="AT1599" s="30" t="str">
        <f aca="false">IF(OR(AB1599="判定不能",J1599="判定不能"),"判定不能",IF(AS1599&gt;=判定条件!$C$9,"利用可",IF(AND(AB1599="停止",J1599="停止"),"両方停止","運転がそろわない")))</f>
        <v>利用可</v>
      </c>
      <c r="AU1599" s="30" t="n">
        <v>60</v>
      </c>
      <c r="AV1599" s="30" t="n">
        <v>60</v>
      </c>
      <c r="AW1599" s="30" t="str">
        <f aca="false">IF(OR(AE1599="判定不能",M1599="判定不能"),"判定不能",IF(AV1599&gt;=判定条件!$C$9,"利用可",IF(AND(AE1599="停止",M1599="停止"),"両方停止","運転がそろわない")))</f>
        <v>利用可</v>
      </c>
      <c r="AX1599" s="30" t="str">
        <f aca="false">IF(AND(AH1599="利用可",AK1599="利用可",AN1599="利用可"),"利用可","不可")</f>
        <v>不可</v>
      </c>
      <c r="AY1599" s="30" t="str">
        <f aca="false">IF(AND(AQ1599="利用可",AT1599="利用可",AW1599="利用可"),"利用可","不可")</f>
        <v>不可</v>
      </c>
    </row>
    <row r="1600" customFormat="false" ht="15" hidden="false" customHeight="false" outlineLevel="0" collapsed="false">
      <c r="A1600" s="29" t="n">
        <v>46298</v>
      </c>
      <c r="B1600" s="30" t="n">
        <v>13</v>
      </c>
      <c r="C1600" s="31" t="s">
        <v>63</v>
      </c>
      <c r="D1600" s="31" t="s">
        <v>64</v>
      </c>
      <c r="E1600" s="30" t="n">
        <v>60</v>
      </c>
      <c r="F1600" s="30" t="n">
        <v>43</v>
      </c>
      <c r="G1600" s="30" t="str">
        <f aca="false">IF(E1600&lt;判定条件!$C$6,"判定不能",IF(F1600&gt;=判定条件!$C$7*E1600,"運転",IF(F1600&lt;=判定条件!$C$8*E1600,"停止","断続")))</f>
        <v>断続</v>
      </c>
      <c r="H1600" s="30" t="n">
        <v>60</v>
      </c>
      <c r="I1600" s="30" t="n">
        <v>19</v>
      </c>
      <c r="J1600" s="30" t="str">
        <f aca="false">IF(H1600&lt;判定条件!$C$6,"判定不能",IF(I1600&gt;=判定条件!$C$7*H1600,"運転",IF(I1600&lt;=判定条件!$C$8*H1600,"停止","断続")))</f>
        <v>断続</v>
      </c>
      <c r="K1600" s="30" t="n">
        <v>60</v>
      </c>
      <c r="L1600" s="30" t="n">
        <v>25</v>
      </c>
      <c r="M1600" s="30" t="str">
        <f aca="false">IF(K1600&lt;判定条件!$C$6,"判定不能",IF(L1600&gt;=判定条件!$C$7*K1600,"運転",IF(L1600&lt;=判定条件!$C$8*K1600,"停止","断続")))</f>
        <v>断続</v>
      </c>
      <c r="N1600" s="30" t="n">
        <v>60</v>
      </c>
      <c r="O1600" s="30" t="n">
        <v>16</v>
      </c>
      <c r="P1600" s="30" t="str">
        <f aca="false">IF(N1600&lt;判定条件!$C$6,"判定不能",IF(O1600&gt;=判定条件!$C$7*N1600,"運転",IF(O1600&lt;=判定条件!$C$8*N1600,"停止","断続")))</f>
        <v>断続</v>
      </c>
      <c r="Q1600" s="30" t="n">
        <v>60</v>
      </c>
      <c r="R1600" s="30" t="n">
        <v>10</v>
      </c>
      <c r="S1600" s="30" t="str">
        <f aca="false">IF(Q1600&lt;判定条件!$C$6,"判定不能",IF(R1600&gt;=判定条件!$C$7*Q1600,"運転",IF(R1600&lt;=判定条件!$C$8*Q1600,"停止","断続")))</f>
        <v>停止</v>
      </c>
      <c r="T1600" s="30" t="n">
        <v>60</v>
      </c>
      <c r="U1600" s="30" t="n">
        <v>47</v>
      </c>
      <c r="V1600" s="30" t="str">
        <f aca="false">IF(T1600&lt;判定条件!$C$6,"判定不能",IF(U1600&gt;=判定条件!$C$7*T1600,"運転",IF(U1600&lt;=判定条件!$C$8*T1600,"停止","断続")))</f>
        <v>断続</v>
      </c>
      <c r="W1600" s="30" t="n">
        <v>60</v>
      </c>
      <c r="X1600" s="30" t="n">
        <v>45</v>
      </c>
      <c r="Y1600" s="30" t="str">
        <f aca="false">IF(W1600&lt;判定条件!$C$6,"判定不能",IF(X1600&gt;=判定条件!$C$7*W1600,"運転",IF(X1600&lt;=判定条件!$C$8*W1600,"停止","断続")))</f>
        <v>断続</v>
      </c>
      <c r="Z1600" s="30" t="n">
        <v>60</v>
      </c>
      <c r="AA1600" s="30" t="n">
        <v>24</v>
      </c>
      <c r="AB1600" s="30" t="str">
        <f aca="false">IF(Z1600&lt;判定条件!$C$6,"判定不能",IF(AA1600&gt;=判定条件!$C$7*Z1600,"運転",IF(AA1600&lt;=判定条件!$C$8*Z1600,"停止","断続")))</f>
        <v>断続</v>
      </c>
      <c r="AC1600" s="30" t="n">
        <v>60</v>
      </c>
      <c r="AD1600" s="30" t="n">
        <v>60</v>
      </c>
      <c r="AE1600" s="30" t="str">
        <f aca="false">IF(AC1600&lt;判定条件!$C$6,"判定不能",IF(AD1600&gt;=判定条件!$C$7*AC1600,"運転",IF(AD1600&lt;=判定条件!$C$8*AC1600,"停止","断続")))</f>
        <v>運転</v>
      </c>
      <c r="AF1600" s="30" t="n">
        <v>60</v>
      </c>
      <c r="AG1600" s="30" t="n">
        <v>16</v>
      </c>
      <c r="AH1600" s="30" t="str">
        <f aca="false">IF(OR(P1600="判定不能",G1600="判定不能"),"判定不能",IF(AG1600&gt;=判定条件!$C$9,"利用可",IF(AND(P1600="停止",G1600="停止"),"両方停止","運転がそろわない")))</f>
        <v>運転がそろわない</v>
      </c>
      <c r="AI1600" s="30" t="n">
        <v>60</v>
      </c>
      <c r="AJ1600" s="30" t="n">
        <v>0</v>
      </c>
      <c r="AK1600" s="30" t="str">
        <f aca="false">IF(OR(S1600="判定不能",J1600="判定不能"),"判定不能",IF(AJ1600&gt;=判定条件!$C$9,"利用可",IF(AND(S1600="停止",J1600="停止"),"両方停止","運転がそろわない")))</f>
        <v>運転がそろわない</v>
      </c>
      <c r="AL1600" s="30" t="n">
        <v>60</v>
      </c>
      <c r="AM1600" s="30" t="n">
        <v>25</v>
      </c>
      <c r="AN1600" s="30" t="str">
        <f aca="false">IF(OR(V1600="判定不能",M1600="判定不能"),"判定不能",IF(AM1600&gt;=判定条件!$C$9,"利用可",IF(AND(V1600="停止",M1600="停止"),"両方停止","運転がそろわない")))</f>
        <v>運転がそろわない</v>
      </c>
      <c r="AO1600" s="30" t="n">
        <v>60</v>
      </c>
      <c r="AP1600" s="30" t="n">
        <v>35</v>
      </c>
      <c r="AQ1600" s="30" t="str">
        <f aca="false">IF(OR(Y1600="判定不能",G1600="判定不能"),"判定不能",IF(AP1600&gt;=判定条件!$C$9,"利用可",IF(AND(Y1600="停止",G1600="停止"),"両方停止","運転がそろわない")))</f>
        <v>利用可</v>
      </c>
      <c r="AR1600" s="30" t="n">
        <v>60</v>
      </c>
      <c r="AS1600" s="30" t="n">
        <v>15</v>
      </c>
      <c r="AT1600" s="30" t="str">
        <f aca="false">IF(OR(AB1600="判定不能",J1600="判定不能"),"判定不能",IF(AS1600&gt;=判定条件!$C$9,"利用可",IF(AND(AB1600="停止",J1600="停止"),"両方停止","運転がそろわない")))</f>
        <v>運転がそろわない</v>
      </c>
      <c r="AU1600" s="30" t="n">
        <v>60</v>
      </c>
      <c r="AV1600" s="30" t="n">
        <v>25</v>
      </c>
      <c r="AW1600" s="30" t="str">
        <f aca="false">IF(OR(AE1600="判定不能",M1600="判定不能"),"判定不能",IF(AV1600&gt;=判定条件!$C$9,"利用可",IF(AND(AE1600="停止",M1600="停止"),"両方停止","運転がそろわない")))</f>
        <v>運転がそろわない</v>
      </c>
      <c r="AX1600" s="30" t="str">
        <f aca="false">IF(AND(AH1600="利用可",AK1600="利用可",AN1600="利用可"),"利用可","不可")</f>
        <v>不可</v>
      </c>
      <c r="AY1600" s="30" t="str">
        <f aca="false">IF(AND(AQ1600="利用可",AT1600="利用可",AW1600="利用可"),"利用可","不可")</f>
        <v>不可</v>
      </c>
    </row>
    <row r="1601" customFormat="false" ht="15" hidden="false" customHeight="false" outlineLevel="0" collapsed="false">
      <c r="A1601" s="29" t="n">
        <v>46298</v>
      </c>
      <c r="B1601" s="30" t="n">
        <v>14</v>
      </c>
      <c r="C1601" s="31" t="s">
        <v>63</v>
      </c>
      <c r="D1601" s="31" t="s">
        <v>64</v>
      </c>
      <c r="E1601" s="30" t="n">
        <v>60</v>
      </c>
      <c r="F1601" s="30" t="n">
        <v>60</v>
      </c>
      <c r="G1601" s="30" t="str">
        <f aca="false">IF(E1601&lt;判定条件!$C$6,"判定不能",IF(F1601&gt;=判定条件!$C$7*E1601,"運転",IF(F1601&lt;=判定条件!$C$8*E1601,"停止","断続")))</f>
        <v>運転</v>
      </c>
      <c r="H1601" s="30" t="n">
        <v>60</v>
      </c>
      <c r="I1601" s="30" t="n">
        <v>54</v>
      </c>
      <c r="J1601" s="30" t="str">
        <f aca="false">IF(H1601&lt;判定条件!$C$6,"判定不能",IF(I1601&gt;=判定条件!$C$7*H1601,"運転",IF(I1601&lt;=判定条件!$C$8*H1601,"停止","断続")))</f>
        <v>運転</v>
      </c>
      <c r="K1601" s="30" t="n">
        <v>60</v>
      </c>
      <c r="L1601" s="30" t="n">
        <v>24</v>
      </c>
      <c r="M1601" s="30" t="str">
        <f aca="false">IF(K1601&lt;判定条件!$C$6,"判定不能",IF(L1601&gt;=判定条件!$C$7*K1601,"運転",IF(L1601&lt;=判定条件!$C$8*K1601,"停止","断続")))</f>
        <v>断続</v>
      </c>
      <c r="N1601" s="30" t="n">
        <v>60</v>
      </c>
      <c r="O1601" s="30" t="n">
        <v>0</v>
      </c>
      <c r="P1601" s="30" t="str">
        <f aca="false">IF(N1601&lt;判定条件!$C$6,"判定不能",IF(O1601&gt;=判定条件!$C$7*N1601,"運転",IF(O1601&lt;=判定条件!$C$8*N1601,"停止","断続")))</f>
        <v>停止</v>
      </c>
      <c r="Q1601" s="30" t="n">
        <v>60</v>
      </c>
      <c r="R1601" s="30" t="n">
        <v>31</v>
      </c>
      <c r="S1601" s="30" t="str">
        <f aca="false">IF(Q1601&lt;判定条件!$C$6,"判定不能",IF(R1601&gt;=判定条件!$C$7*Q1601,"運転",IF(R1601&lt;=判定条件!$C$8*Q1601,"停止","断続")))</f>
        <v>断続</v>
      </c>
      <c r="T1601" s="30" t="n">
        <v>60</v>
      </c>
      <c r="U1601" s="30" t="n">
        <v>41</v>
      </c>
      <c r="V1601" s="30" t="str">
        <f aca="false">IF(T1601&lt;判定条件!$C$6,"判定不能",IF(U1601&gt;=判定条件!$C$7*T1601,"運転",IF(U1601&lt;=判定条件!$C$8*T1601,"停止","断続")))</f>
        <v>断続</v>
      </c>
      <c r="W1601" s="30" t="n">
        <v>60</v>
      </c>
      <c r="X1601" s="30" t="n">
        <v>40</v>
      </c>
      <c r="Y1601" s="30" t="str">
        <f aca="false">IF(W1601&lt;判定条件!$C$6,"判定不能",IF(X1601&gt;=判定条件!$C$7*W1601,"運転",IF(X1601&lt;=判定条件!$C$8*W1601,"停止","断続")))</f>
        <v>断続</v>
      </c>
      <c r="Z1601" s="30" t="n">
        <v>60</v>
      </c>
      <c r="AA1601" s="30" t="n">
        <v>35</v>
      </c>
      <c r="AB1601" s="30" t="str">
        <f aca="false">IF(Z1601&lt;判定条件!$C$6,"判定不能",IF(AA1601&gt;=判定条件!$C$7*Z1601,"運転",IF(AA1601&lt;=判定条件!$C$8*Z1601,"停止","断続")))</f>
        <v>断続</v>
      </c>
      <c r="AC1601" s="30" t="n">
        <v>60</v>
      </c>
      <c r="AD1601" s="30" t="n">
        <v>57</v>
      </c>
      <c r="AE1601" s="30" t="str">
        <f aca="false">IF(AC1601&lt;判定条件!$C$6,"判定不能",IF(AD1601&gt;=判定条件!$C$7*AC1601,"運転",IF(AD1601&lt;=判定条件!$C$8*AC1601,"停止","断続")))</f>
        <v>運転</v>
      </c>
      <c r="AF1601" s="30" t="n">
        <v>60</v>
      </c>
      <c r="AG1601" s="30" t="n">
        <v>0</v>
      </c>
      <c r="AH1601" s="30" t="str">
        <f aca="false">IF(OR(P1601="判定不能",G1601="判定不能"),"判定不能",IF(AG1601&gt;=判定条件!$C$9,"利用可",IF(AND(P1601="停止",G1601="停止"),"両方停止","運転がそろわない")))</f>
        <v>運転がそろわない</v>
      </c>
      <c r="AI1601" s="30" t="n">
        <v>60</v>
      </c>
      <c r="AJ1601" s="30" t="n">
        <v>27</v>
      </c>
      <c r="AK1601" s="30" t="str">
        <f aca="false">IF(OR(S1601="判定不能",J1601="判定不能"),"判定不能",IF(AJ1601&gt;=判定条件!$C$9,"利用可",IF(AND(S1601="停止",J1601="停止"),"両方停止","運転がそろわない")))</f>
        <v>運転がそろわない</v>
      </c>
      <c r="AL1601" s="30" t="n">
        <v>60</v>
      </c>
      <c r="AM1601" s="30" t="n">
        <v>20</v>
      </c>
      <c r="AN1601" s="30" t="str">
        <f aca="false">IF(OR(V1601="判定不能",M1601="判定不能"),"判定不能",IF(AM1601&gt;=判定条件!$C$9,"利用可",IF(AND(V1601="停止",M1601="停止"),"両方停止","運転がそろわない")))</f>
        <v>運転がそろわない</v>
      </c>
      <c r="AO1601" s="30" t="n">
        <v>60</v>
      </c>
      <c r="AP1601" s="30" t="n">
        <v>40</v>
      </c>
      <c r="AQ1601" s="30" t="str">
        <f aca="false">IF(OR(Y1601="判定不能",G1601="判定不能"),"判定不能",IF(AP1601&gt;=判定条件!$C$9,"利用可",IF(AND(Y1601="停止",G1601="停止"),"両方停止","運転がそろわない")))</f>
        <v>利用可</v>
      </c>
      <c r="AR1601" s="30" t="n">
        <v>60</v>
      </c>
      <c r="AS1601" s="30" t="n">
        <v>35</v>
      </c>
      <c r="AT1601" s="30" t="str">
        <f aca="false">IF(OR(AB1601="判定不能",J1601="判定不能"),"判定不能",IF(AS1601&gt;=判定条件!$C$9,"利用可",IF(AND(AB1601="停止",J1601="停止"),"両方停止","運転がそろわない")))</f>
        <v>利用可</v>
      </c>
      <c r="AU1601" s="30" t="n">
        <v>60</v>
      </c>
      <c r="AV1601" s="30" t="n">
        <v>24</v>
      </c>
      <c r="AW1601" s="30" t="str">
        <f aca="false">IF(OR(AE1601="判定不能",M1601="判定不能"),"判定不能",IF(AV1601&gt;=判定条件!$C$9,"利用可",IF(AND(AE1601="停止",M1601="停止"),"両方停止","運転がそろわない")))</f>
        <v>運転がそろわない</v>
      </c>
      <c r="AX1601" s="30" t="str">
        <f aca="false">IF(AND(AH1601="利用可",AK1601="利用可",AN1601="利用可"),"利用可","不可")</f>
        <v>不可</v>
      </c>
      <c r="AY1601" s="30" t="str">
        <f aca="false">IF(AND(AQ1601="利用可",AT1601="利用可",AW1601="利用可"),"利用可","不可")</f>
        <v>不可</v>
      </c>
    </row>
    <row r="1602" customFormat="false" ht="15" hidden="false" customHeight="false" outlineLevel="0" collapsed="false">
      <c r="A1602" s="29" t="n">
        <v>46298</v>
      </c>
      <c r="B1602" s="30" t="n">
        <v>15</v>
      </c>
      <c r="C1602" s="31" t="s">
        <v>63</v>
      </c>
      <c r="D1602" s="31" t="s">
        <v>64</v>
      </c>
      <c r="E1602" s="30" t="n">
        <v>60</v>
      </c>
      <c r="F1602" s="30" t="n">
        <v>54</v>
      </c>
      <c r="G1602" s="30" t="str">
        <f aca="false">IF(E1602&lt;判定条件!$C$6,"判定不能",IF(F1602&gt;=判定条件!$C$7*E1602,"運転",IF(F1602&lt;=判定条件!$C$8*E1602,"停止","断続")))</f>
        <v>運転</v>
      </c>
      <c r="H1602" s="30" t="n">
        <v>60</v>
      </c>
      <c r="I1602" s="30" t="n">
        <v>39</v>
      </c>
      <c r="J1602" s="30" t="str">
        <f aca="false">IF(H1602&lt;判定条件!$C$6,"判定不能",IF(I1602&gt;=判定条件!$C$7*H1602,"運転",IF(I1602&lt;=判定条件!$C$8*H1602,"停止","断続")))</f>
        <v>断続</v>
      </c>
      <c r="K1602" s="30" t="n">
        <v>60</v>
      </c>
      <c r="L1602" s="30" t="n">
        <v>40</v>
      </c>
      <c r="M1602" s="30" t="str">
        <f aca="false">IF(K1602&lt;判定条件!$C$6,"判定不能",IF(L1602&gt;=判定条件!$C$7*K1602,"運転",IF(L1602&lt;=判定条件!$C$8*K1602,"停止","断続")))</f>
        <v>断続</v>
      </c>
      <c r="N1602" s="30" t="n">
        <v>60</v>
      </c>
      <c r="O1602" s="30" t="n">
        <v>8</v>
      </c>
      <c r="P1602" s="30" t="str">
        <f aca="false">IF(N1602&lt;判定条件!$C$6,"判定不能",IF(O1602&gt;=判定条件!$C$7*N1602,"運転",IF(O1602&lt;=判定条件!$C$8*N1602,"停止","断続")))</f>
        <v>停止</v>
      </c>
      <c r="Q1602" s="30" t="n">
        <v>60</v>
      </c>
      <c r="R1602" s="30" t="n">
        <v>29</v>
      </c>
      <c r="S1602" s="30" t="str">
        <f aca="false">IF(Q1602&lt;判定条件!$C$6,"判定不能",IF(R1602&gt;=判定条件!$C$7*Q1602,"運転",IF(R1602&lt;=判定条件!$C$8*Q1602,"停止","断続")))</f>
        <v>断続</v>
      </c>
      <c r="T1602" s="30" t="n">
        <v>60</v>
      </c>
      <c r="U1602" s="30" t="n">
        <v>30</v>
      </c>
      <c r="V1602" s="30" t="str">
        <f aca="false">IF(T1602&lt;判定条件!$C$6,"判定不能",IF(U1602&gt;=判定条件!$C$7*T1602,"運転",IF(U1602&lt;=判定条件!$C$8*T1602,"停止","断続")))</f>
        <v>断続</v>
      </c>
      <c r="W1602" s="30" t="n">
        <v>60</v>
      </c>
      <c r="X1602" s="30" t="n">
        <v>8</v>
      </c>
      <c r="Y1602" s="30" t="str">
        <f aca="false">IF(W1602&lt;判定条件!$C$6,"判定不能",IF(X1602&gt;=判定条件!$C$7*W1602,"運転",IF(X1602&lt;=判定条件!$C$8*W1602,"停止","断続")))</f>
        <v>停止</v>
      </c>
      <c r="Z1602" s="30" t="n">
        <v>60</v>
      </c>
      <c r="AA1602" s="30" t="n">
        <v>26</v>
      </c>
      <c r="AB1602" s="30" t="str">
        <f aca="false">IF(Z1602&lt;判定条件!$C$6,"判定不能",IF(AA1602&gt;=判定条件!$C$7*Z1602,"運転",IF(AA1602&lt;=判定条件!$C$8*Z1602,"停止","断続")))</f>
        <v>断続</v>
      </c>
      <c r="AC1602" s="30" t="n">
        <v>60</v>
      </c>
      <c r="AD1602" s="30" t="n">
        <v>47</v>
      </c>
      <c r="AE1602" s="30" t="str">
        <f aca="false">IF(AC1602&lt;判定条件!$C$6,"判定不能",IF(AD1602&gt;=判定条件!$C$7*AC1602,"運転",IF(AD1602&lt;=判定条件!$C$8*AC1602,"停止","断続")))</f>
        <v>断続</v>
      </c>
      <c r="AF1602" s="30" t="n">
        <v>60</v>
      </c>
      <c r="AG1602" s="30" t="n">
        <v>8</v>
      </c>
      <c r="AH1602" s="30" t="str">
        <f aca="false">IF(OR(P1602="判定不能",G1602="判定不能"),"判定不能",IF(AG1602&gt;=判定条件!$C$9,"利用可",IF(AND(P1602="停止",G1602="停止"),"両方停止","運転がそろわない")))</f>
        <v>運転がそろわない</v>
      </c>
      <c r="AI1602" s="30" t="n">
        <v>60</v>
      </c>
      <c r="AJ1602" s="30" t="n">
        <v>16</v>
      </c>
      <c r="AK1602" s="30" t="str">
        <f aca="false">IF(OR(S1602="判定不能",J1602="判定不能"),"判定不能",IF(AJ1602&gt;=判定条件!$C$9,"利用可",IF(AND(S1602="停止",J1602="停止"),"両方停止","運転がそろわない")))</f>
        <v>運転がそろわない</v>
      </c>
      <c r="AL1602" s="30" t="n">
        <v>60</v>
      </c>
      <c r="AM1602" s="30" t="n">
        <v>10</v>
      </c>
      <c r="AN1602" s="30" t="str">
        <f aca="false">IF(OR(V1602="判定不能",M1602="判定不能"),"判定不能",IF(AM1602&gt;=判定条件!$C$9,"利用可",IF(AND(V1602="停止",M1602="停止"),"両方停止","運転がそろわない")))</f>
        <v>運転がそろわない</v>
      </c>
      <c r="AO1602" s="30" t="n">
        <v>60</v>
      </c>
      <c r="AP1602" s="30" t="n">
        <v>8</v>
      </c>
      <c r="AQ1602" s="30" t="str">
        <f aca="false">IF(OR(Y1602="判定不能",G1602="判定不能"),"判定不能",IF(AP1602&gt;=判定条件!$C$9,"利用可",IF(AND(Y1602="停止",G1602="停止"),"両方停止","運転がそろわない")))</f>
        <v>運転がそろわない</v>
      </c>
      <c r="AR1602" s="30" t="n">
        <v>60</v>
      </c>
      <c r="AS1602" s="30" t="n">
        <v>24</v>
      </c>
      <c r="AT1602" s="30" t="str">
        <f aca="false">IF(OR(AB1602="判定不能",J1602="判定不能"),"判定不能",IF(AS1602&gt;=判定条件!$C$9,"利用可",IF(AND(AB1602="停止",J1602="停止"),"両方停止","運転がそろわない")))</f>
        <v>運転がそろわない</v>
      </c>
      <c r="AU1602" s="30" t="n">
        <v>60</v>
      </c>
      <c r="AV1602" s="30" t="n">
        <v>28</v>
      </c>
      <c r="AW1602" s="30" t="str">
        <f aca="false">IF(OR(AE1602="判定不能",M1602="判定不能"),"判定不能",IF(AV1602&gt;=判定条件!$C$9,"利用可",IF(AND(AE1602="停止",M1602="停止"),"両方停止","運転がそろわない")))</f>
        <v>運転がそろわない</v>
      </c>
      <c r="AX1602" s="30" t="str">
        <f aca="false">IF(AND(AH1602="利用可",AK1602="利用可",AN1602="利用可"),"利用可","不可")</f>
        <v>不可</v>
      </c>
      <c r="AY1602" s="30" t="str">
        <f aca="false">IF(AND(AQ1602="利用可",AT1602="利用可",AW1602="利用可"),"利用可","不可")</f>
        <v>不可</v>
      </c>
    </row>
    <row r="1603" customFormat="false" ht="15" hidden="false" customHeight="false" outlineLevel="0" collapsed="false">
      <c r="A1603" s="29" t="n">
        <v>46298</v>
      </c>
      <c r="B1603" s="30" t="n">
        <v>16</v>
      </c>
      <c r="C1603" s="31" t="s">
        <v>63</v>
      </c>
      <c r="D1603" s="31" t="s">
        <v>64</v>
      </c>
      <c r="E1603" s="30" t="n">
        <v>60</v>
      </c>
      <c r="F1603" s="30" t="n">
        <v>45</v>
      </c>
      <c r="G1603" s="30" t="str">
        <f aca="false">IF(E1603&lt;判定条件!$C$6,"判定不能",IF(F1603&gt;=判定条件!$C$7*E1603,"運転",IF(F1603&lt;=判定条件!$C$8*E1603,"停止","断続")))</f>
        <v>断続</v>
      </c>
      <c r="H1603" s="30" t="n">
        <v>60</v>
      </c>
      <c r="I1603" s="30" t="n">
        <v>14</v>
      </c>
      <c r="J1603" s="30" t="str">
        <f aca="false">IF(H1603&lt;判定条件!$C$6,"判定不能",IF(I1603&gt;=判定条件!$C$7*H1603,"運転",IF(I1603&lt;=判定条件!$C$8*H1603,"停止","断続")))</f>
        <v>断続</v>
      </c>
      <c r="K1603" s="30" t="n">
        <v>60</v>
      </c>
      <c r="L1603" s="30" t="n">
        <v>34</v>
      </c>
      <c r="M1603" s="30" t="str">
        <f aca="false">IF(K1603&lt;判定条件!$C$6,"判定不能",IF(L1603&gt;=判定条件!$C$7*K1603,"運転",IF(L1603&lt;=判定条件!$C$8*K1603,"停止","断続")))</f>
        <v>断続</v>
      </c>
      <c r="N1603" s="30" t="n">
        <v>60</v>
      </c>
      <c r="O1603" s="30" t="n">
        <v>0</v>
      </c>
      <c r="P1603" s="30" t="str">
        <f aca="false">IF(N1603&lt;判定条件!$C$6,"判定不能",IF(O1603&gt;=判定条件!$C$7*N1603,"運転",IF(O1603&lt;=判定条件!$C$8*N1603,"停止","断続")))</f>
        <v>停止</v>
      </c>
      <c r="Q1603" s="30" t="n">
        <v>60</v>
      </c>
      <c r="R1603" s="30" t="n">
        <v>8</v>
      </c>
      <c r="S1603" s="30" t="str">
        <f aca="false">IF(Q1603&lt;判定条件!$C$6,"判定不能",IF(R1603&gt;=判定条件!$C$7*Q1603,"運転",IF(R1603&lt;=判定条件!$C$8*Q1603,"停止","断続")))</f>
        <v>停止</v>
      </c>
      <c r="T1603" s="30" t="n">
        <v>60</v>
      </c>
      <c r="U1603" s="30" t="n">
        <v>25</v>
      </c>
      <c r="V1603" s="30" t="str">
        <f aca="false">IF(T1603&lt;判定条件!$C$6,"判定不能",IF(U1603&gt;=判定条件!$C$7*T1603,"運転",IF(U1603&lt;=判定条件!$C$8*T1603,"停止","断続")))</f>
        <v>断続</v>
      </c>
      <c r="W1603" s="30" t="n">
        <v>60</v>
      </c>
      <c r="X1603" s="30" t="n">
        <v>0</v>
      </c>
      <c r="Y1603" s="30" t="str">
        <f aca="false">IF(W1603&lt;判定条件!$C$6,"判定不能",IF(X1603&gt;=判定条件!$C$7*W1603,"運転",IF(X1603&lt;=判定条件!$C$8*W1603,"停止","断続")))</f>
        <v>停止</v>
      </c>
      <c r="Z1603" s="30" t="n">
        <v>60</v>
      </c>
      <c r="AA1603" s="30" t="n">
        <v>32</v>
      </c>
      <c r="AB1603" s="30" t="str">
        <f aca="false">IF(Z1603&lt;判定条件!$C$6,"判定不能",IF(AA1603&gt;=判定条件!$C$7*Z1603,"運転",IF(AA1603&lt;=判定条件!$C$8*Z1603,"停止","断続")))</f>
        <v>断続</v>
      </c>
      <c r="AC1603" s="30" t="n">
        <v>60</v>
      </c>
      <c r="AD1603" s="30" t="n">
        <v>35</v>
      </c>
      <c r="AE1603" s="30" t="str">
        <f aca="false">IF(AC1603&lt;判定条件!$C$6,"判定不能",IF(AD1603&gt;=判定条件!$C$7*AC1603,"運転",IF(AD1603&lt;=判定条件!$C$8*AC1603,"停止","断続")))</f>
        <v>断続</v>
      </c>
      <c r="AF1603" s="30" t="n">
        <v>60</v>
      </c>
      <c r="AG1603" s="30" t="n">
        <v>0</v>
      </c>
      <c r="AH1603" s="30" t="str">
        <f aca="false">IF(OR(P1603="判定不能",G1603="判定不能"),"判定不能",IF(AG1603&gt;=判定条件!$C$9,"利用可",IF(AND(P1603="停止",G1603="停止"),"両方停止","運転がそろわない")))</f>
        <v>運転がそろわない</v>
      </c>
      <c r="AI1603" s="30" t="n">
        <v>60</v>
      </c>
      <c r="AJ1603" s="30" t="n">
        <v>0</v>
      </c>
      <c r="AK1603" s="30" t="str">
        <f aca="false">IF(OR(S1603="判定不能",J1603="判定不能"),"判定不能",IF(AJ1603&gt;=判定条件!$C$9,"利用可",IF(AND(S1603="停止",J1603="停止"),"両方停止","運転がそろわない")))</f>
        <v>運転がそろわない</v>
      </c>
      <c r="AL1603" s="30" t="n">
        <v>60</v>
      </c>
      <c r="AM1603" s="30" t="n">
        <v>19</v>
      </c>
      <c r="AN1603" s="30" t="str">
        <f aca="false">IF(OR(V1603="判定不能",M1603="判定不能"),"判定不能",IF(AM1603&gt;=判定条件!$C$9,"利用可",IF(AND(V1603="停止",M1603="停止"),"両方停止","運転がそろわない")))</f>
        <v>運転がそろわない</v>
      </c>
      <c r="AO1603" s="30" t="n">
        <v>60</v>
      </c>
      <c r="AP1603" s="30" t="n">
        <v>0</v>
      </c>
      <c r="AQ1603" s="30" t="str">
        <f aca="false">IF(OR(Y1603="判定不能",G1603="判定不能"),"判定不能",IF(AP1603&gt;=判定条件!$C$9,"利用可",IF(AND(Y1603="停止",G1603="停止"),"両方停止","運転がそろわない")))</f>
        <v>運転がそろわない</v>
      </c>
      <c r="AR1603" s="30" t="n">
        <v>60</v>
      </c>
      <c r="AS1603" s="30" t="n">
        <v>14</v>
      </c>
      <c r="AT1603" s="30" t="str">
        <f aca="false">IF(OR(AB1603="判定不能",J1603="判定不能"),"判定不能",IF(AS1603&gt;=判定条件!$C$9,"利用可",IF(AND(AB1603="停止",J1603="停止"),"両方停止","運転がそろわない")))</f>
        <v>運転がそろわない</v>
      </c>
      <c r="AU1603" s="30" t="n">
        <v>60</v>
      </c>
      <c r="AV1603" s="30" t="n">
        <v>25</v>
      </c>
      <c r="AW1603" s="30" t="str">
        <f aca="false">IF(OR(AE1603="判定不能",M1603="判定不能"),"判定不能",IF(AV1603&gt;=判定条件!$C$9,"利用可",IF(AND(AE1603="停止",M1603="停止"),"両方停止","運転がそろわない")))</f>
        <v>運転がそろわない</v>
      </c>
      <c r="AX1603" s="30" t="str">
        <f aca="false">IF(AND(AH1603="利用可",AK1603="利用可",AN1603="利用可"),"利用可","不可")</f>
        <v>不可</v>
      </c>
      <c r="AY1603" s="30" t="str">
        <f aca="false">IF(AND(AQ1603="利用可",AT1603="利用可",AW1603="利用可"),"利用可","不可")</f>
        <v>不可</v>
      </c>
    </row>
    <row r="1604" customFormat="false" ht="15" hidden="false" customHeight="false" outlineLevel="0" collapsed="false">
      <c r="A1604" s="29" t="n">
        <v>46298</v>
      </c>
      <c r="B1604" s="30" t="n">
        <v>17</v>
      </c>
      <c r="C1604" s="31" t="s">
        <v>63</v>
      </c>
      <c r="D1604" s="31" t="s">
        <v>64</v>
      </c>
      <c r="E1604" s="30" t="n">
        <v>60</v>
      </c>
      <c r="F1604" s="30" t="n">
        <v>29</v>
      </c>
      <c r="G1604" s="30" t="str">
        <f aca="false">IF(E1604&lt;判定条件!$C$6,"判定不能",IF(F1604&gt;=判定条件!$C$7*E1604,"運転",IF(F1604&lt;=判定条件!$C$8*E1604,"停止","断続")))</f>
        <v>断続</v>
      </c>
      <c r="H1604" s="30" t="n">
        <v>60</v>
      </c>
      <c r="I1604" s="30" t="n">
        <v>13</v>
      </c>
      <c r="J1604" s="30" t="str">
        <f aca="false">IF(H1604&lt;判定条件!$C$6,"判定不能",IF(I1604&gt;=判定条件!$C$7*H1604,"運転",IF(I1604&lt;=判定条件!$C$8*H1604,"停止","断続")))</f>
        <v>断続</v>
      </c>
      <c r="K1604" s="30" t="n">
        <v>60</v>
      </c>
      <c r="L1604" s="30" t="n">
        <v>5</v>
      </c>
      <c r="M1604" s="30" t="str">
        <f aca="false">IF(K1604&lt;判定条件!$C$6,"判定不能",IF(L1604&gt;=判定条件!$C$7*K1604,"運転",IF(L1604&lt;=判定条件!$C$8*K1604,"停止","断続")))</f>
        <v>停止</v>
      </c>
      <c r="N1604" s="30" t="n">
        <v>60</v>
      </c>
      <c r="O1604" s="30" t="n">
        <v>0</v>
      </c>
      <c r="P1604" s="30" t="str">
        <f aca="false">IF(N1604&lt;判定条件!$C$6,"判定不能",IF(O1604&gt;=判定条件!$C$7*N1604,"運転",IF(O1604&lt;=判定条件!$C$8*N1604,"停止","断続")))</f>
        <v>停止</v>
      </c>
      <c r="Q1604" s="30" t="n">
        <v>60</v>
      </c>
      <c r="R1604" s="30" t="n">
        <v>35</v>
      </c>
      <c r="S1604" s="30" t="str">
        <f aca="false">IF(Q1604&lt;判定条件!$C$6,"判定不能",IF(R1604&gt;=判定条件!$C$7*Q1604,"運転",IF(R1604&lt;=判定条件!$C$8*Q1604,"停止","断続")))</f>
        <v>断続</v>
      </c>
      <c r="T1604" s="30" t="n">
        <v>60</v>
      </c>
      <c r="U1604" s="30" t="n">
        <v>0</v>
      </c>
      <c r="V1604" s="30" t="str">
        <f aca="false">IF(T1604&lt;判定条件!$C$6,"判定不能",IF(U1604&gt;=判定条件!$C$7*T1604,"運転",IF(U1604&lt;=判定条件!$C$8*T1604,"停止","断続")))</f>
        <v>停止</v>
      </c>
      <c r="W1604" s="30" t="n">
        <v>60</v>
      </c>
      <c r="X1604" s="30" t="n">
        <v>30</v>
      </c>
      <c r="Y1604" s="30" t="str">
        <f aca="false">IF(W1604&lt;判定条件!$C$6,"判定不能",IF(X1604&gt;=判定条件!$C$7*W1604,"運転",IF(X1604&lt;=判定条件!$C$8*W1604,"停止","断続")))</f>
        <v>断続</v>
      </c>
      <c r="Z1604" s="30" t="n">
        <v>60</v>
      </c>
      <c r="AA1604" s="30" t="n">
        <v>20</v>
      </c>
      <c r="AB1604" s="30" t="str">
        <f aca="false">IF(Z1604&lt;判定条件!$C$6,"判定不能",IF(AA1604&gt;=判定条件!$C$7*Z1604,"運転",IF(AA1604&lt;=判定条件!$C$8*Z1604,"停止","断続")))</f>
        <v>断続</v>
      </c>
      <c r="AC1604" s="30" t="n">
        <v>60</v>
      </c>
      <c r="AD1604" s="30" t="n">
        <v>38</v>
      </c>
      <c r="AE1604" s="30" t="str">
        <f aca="false">IF(AC1604&lt;判定条件!$C$6,"判定不能",IF(AD1604&gt;=判定条件!$C$7*AC1604,"運転",IF(AD1604&lt;=判定条件!$C$8*AC1604,"停止","断続")))</f>
        <v>断続</v>
      </c>
      <c r="AF1604" s="30" t="n">
        <v>60</v>
      </c>
      <c r="AG1604" s="30" t="n">
        <v>0</v>
      </c>
      <c r="AH1604" s="30" t="str">
        <f aca="false">IF(OR(P1604="判定不能",G1604="判定不能"),"判定不能",IF(AG1604&gt;=判定条件!$C$9,"利用可",IF(AND(P1604="停止",G1604="停止"),"両方停止","運転がそろわない")))</f>
        <v>運転がそろわない</v>
      </c>
      <c r="AI1604" s="30" t="n">
        <v>60</v>
      </c>
      <c r="AJ1604" s="30" t="n">
        <v>4</v>
      </c>
      <c r="AK1604" s="30" t="str">
        <f aca="false">IF(OR(S1604="判定不能",J1604="判定不能"),"判定不能",IF(AJ1604&gt;=判定条件!$C$9,"利用可",IF(AND(S1604="停止",J1604="停止"),"両方停止","運転がそろわない")))</f>
        <v>運転がそろわない</v>
      </c>
      <c r="AL1604" s="30" t="n">
        <v>60</v>
      </c>
      <c r="AM1604" s="30" t="n">
        <v>0</v>
      </c>
      <c r="AN1604" s="30" t="str">
        <f aca="false">IF(OR(V1604="判定不能",M1604="判定不能"),"判定不能",IF(AM1604&gt;=判定条件!$C$9,"利用可",IF(AND(V1604="停止",M1604="停止"),"両方停止","運転がそろわない")))</f>
        <v>両方停止</v>
      </c>
      <c r="AO1604" s="30" t="n">
        <v>60</v>
      </c>
      <c r="AP1604" s="30" t="n">
        <v>18</v>
      </c>
      <c r="AQ1604" s="30" t="str">
        <f aca="false">IF(OR(Y1604="判定不能",G1604="判定不能"),"判定不能",IF(AP1604&gt;=判定条件!$C$9,"利用可",IF(AND(Y1604="停止",G1604="停止"),"両方停止","運転がそろわない")))</f>
        <v>運転がそろわない</v>
      </c>
      <c r="AR1604" s="30" t="n">
        <v>60</v>
      </c>
      <c r="AS1604" s="30" t="n">
        <v>4</v>
      </c>
      <c r="AT1604" s="30" t="str">
        <f aca="false">IF(OR(AB1604="判定不能",J1604="判定不能"),"判定不能",IF(AS1604&gt;=判定条件!$C$9,"利用可",IF(AND(AB1604="停止",J1604="停止"),"両方停止","運転がそろわない")))</f>
        <v>運転がそろわない</v>
      </c>
      <c r="AU1604" s="30" t="n">
        <v>60</v>
      </c>
      <c r="AV1604" s="30" t="n">
        <v>1</v>
      </c>
      <c r="AW1604" s="30" t="str">
        <f aca="false">IF(OR(AE1604="判定不能",M1604="判定不能"),"判定不能",IF(AV1604&gt;=判定条件!$C$9,"利用可",IF(AND(AE1604="停止",M1604="停止"),"両方停止","運転がそろわない")))</f>
        <v>運転がそろわない</v>
      </c>
      <c r="AX1604" s="30" t="str">
        <f aca="false">IF(AND(AH1604="利用可",AK1604="利用可",AN1604="利用可"),"利用可","不可")</f>
        <v>不可</v>
      </c>
      <c r="AY1604" s="30" t="str">
        <f aca="false">IF(AND(AQ1604="利用可",AT1604="利用可",AW1604="利用可"),"利用可","不可")</f>
        <v>不可</v>
      </c>
    </row>
    <row r="1605" customFormat="false" ht="15" hidden="false" customHeight="false" outlineLevel="0" collapsed="false">
      <c r="A1605" s="29" t="n">
        <v>46298</v>
      </c>
      <c r="B1605" s="30" t="n">
        <v>18</v>
      </c>
      <c r="C1605" s="31" t="s">
        <v>63</v>
      </c>
      <c r="D1605" s="31" t="s">
        <v>64</v>
      </c>
      <c r="E1605" s="30" t="n">
        <v>60</v>
      </c>
      <c r="F1605" s="30" t="n">
        <v>41</v>
      </c>
      <c r="G1605" s="30" t="str">
        <f aca="false">IF(E1605&lt;判定条件!$C$6,"判定不能",IF(F1605&gt;=判定条件!$C$7*E1605,"運転",IF(F1605&lt;=判定条件!$C$8*E1605,"停止","断続")))</f>
        <v>断続</v>
      </c>
      <c r="H1605" s="30" t="n">
        <v>60</v>
      </c>
      <c r="I1605" s="30" t="n">
        <v>33</v>
      </c>
      <c r="J1605" s="30" t="str">
        <f aca="false">IF(H1605&lt;判定条件!$C$6,"判定不能",IF(I1605&gt;=判定条件!$C$7*H1605,"運転",IF(I1605&lt;=判定条件!$C$8*H1605,"停止","断続")))</f>
        <v>断続</v>
      </c>
      <c r="K1605" s="30" t="n">
        <v>60</v>
      </c>
      <c r="L1605" s="30" t="n">
        <v>41</v>
      </c>
      <c r="M1605" s="30" t="str">
        <f aca="false">IF(K1605&lt;判定条件!$C$6,"判定不能",IF(L1605&gt;=判定条件!$C$7*K1605,"運転",IF(L1605&lt;=判定条件!$C$8*K1605,"停止","断続")))</f>
        <v>断続</v>
      </c>
      <c r="N1605" s="30" t="n">
        <v>60</v>
      </c>
      <c r="O1605" s="30" t="n">
        <v>0</v>
      </c>
      <c r="P1605" s="30" t="str">
        <f aca="false">IF(N1605&lt;判定条件!$C$6,"判定不能",IF(O1605&gt;=判定条件!$C$7*N1605,"運転",IF(O1605&lt;=判定条件!$C$8*N1605,"停止","断続")))</f>
        <v>停止</v>
      </c>
      <c r="Q1605" s="30" t="n">
        <v>60</v>
      </c>
      <c r="R1605" s="30" t="n">
        <v>0</v>
      </c>
      <c r="S1605" s="30" t="str">
        <f aca="false">IF(Q1605&lt;判定条件!$C$6,"判定不能",IF(R1605&gt;=判定条件!$C$7*Q1605,"運転",IF(R1605&lt;=判定条件!$C$8*Q1605,"停止","断続")))</f>
        <v>停止</v>
      </c>
      <c r="T1605" s="30" t="n">
        <v>60</v>
      </c>
      <c r="U1605" s="30" t="n">
        <v>0</v>
      </c>
      <c r="V1605" s="30" t="str">
        <f aca="false">IF(T1605&lt;判定条件!$C$6,"判定不能",IF(U1605&gt;=判定条件!$C$7*T1605,"運転",IF(U1605&lt;=判定条件!$C$8*T1605,"停止","断続")))</f>
        <v>停止</v>
      </c>
      <c r="W1605" s="30" t="n">
        <v>60</v>
      </c>
      <c r="X1605" s="30" t="n">
        <v>0</v>
      </c>
      <c r="Y1605" s="30" t="str">
        <f aca="false">IF(W1605&lt;判定条件!$C$6,"判定不能",IF(X1605&gt;=判定条件!$C$7*W1605,"運転",IF(X1605&lt;=判定条件!$C$8*W1605,"停止","断続")))</f>
        <v>停止</v>
      </c>
      <c r="Z1605" s="30" t="n">
        <v>60</v>
      </c>
      <c r="AA1605" s="30" t="n">
        <v>0</v>
      </c>
      <c r="AB1605" s="30" t="str">
        <f aca="false">IF(Z1605&lt;判定条件!$C$6,"判定不能",IF(AA1605&gt;=判定条件!$C$7*Z1605,"運転",IF(AA1605&lt;=判定条件!$C$8*Z1605,"停止","断続")))</f>
        <v>停止</v>
      </c>
      <c r="AC1605" s="30" t="n">
        <v>60</v>
      </c>
      <c r="AD1605" s="30" t="n">
        <v>0</v>
      </c>
      <c r="AE1605" s="30" t="str">
        <f aca="false">IF(AC1605&lt;判定条件!$C$6,"判定不能",IF(AD1605&gt;=判定条件!$C$7*AC1605,"運転",IF(AD1605&lt;=判定条件!$C$8*AC1605,"停止","断続")))</f>
        <v>停止</v>
      </c>
      <c r="AF1605" s="30" t="n">
        <v>60</v>
      </c>
      <c r="AG1605" s="30" t="n">
        <v>0</v>
      </c>
      <c r="AH1605" s="30" t="str">
        <f aca="false">IF(OR(P1605="判定不能",G1605="判定不能"),"判定不能",IF(AG1605&gt;=判定条件!$C$9,"利用可",IF(AND(P1605="停止",G1605="停止"),"両方停止","運転がそろわない")))</f>
        <v>運転がそろわない</v>
      </c>
      <c r="AI1605" s="30" t="n">
        <v>60</v>
      </c>
      <c r="AJ1605" s="30" t="n">
        <v>0</v>
      </c>
      <c r="AK1605" s="30" t="str">
        <f aca="false">IF(OR(S1605="判定不能",J1605="判定不能"),"判定不能",IF(AJ1605&gt;=判定条件!$C$9,"利用可",IF(AND(S1605="停止",J1605="停止"),"両方停止","運転がそろわない")))</f>
        <v>運転がそろわない</v>
      </c>
      <c r="AL1605" s="30" t="n">
        <v>60</v>
      </c>
      <c r="AM1605" s="30" t="n">
        <v>0</v>
      </c>
      <c r="AN1605" s="30" t="str">
        <f aca="false">IF(OR(V1605="判定不能",M1605="判定不能"),"判定不能",IF(AM1605&gt;=判定条件!$C$9,"利用可",IF(AND(V1605="停止",M1605="停止"),"両方停止","運転がそろわない")))</f>
        <v>運転がそろわない</v>
      </c>
      <c r="AO1605" s="30" t="n">
        <v>60</v>
      </c>
      <c r="AP1605" s="30" t="n">
        <v>0</v>
      </c>
      <c r="AQ1605" s="30" t="str">
        <f aca="false">IF(OR(Y1605="判定不能",G1605="判定不能"),"判定不能",IF(AP1605&gt;=判定条件!$C$9,"利用可",IF(AND(Y1605="停止",G1605="停止"),"両方停止","運転がそろわない")))</f>
        <v>運転がそろわない</v>
      </c>
      <c r="AR1605" s="30" t="n">
        <v>60</v>
      </c>
      <c r="AS1605" s="30" t="n">
        <v>0</v>
      </c>
      <c r="AT1605" s="30" t="str">
        <f aca="false">IF(OR(AB1605="判定不能",J1605="判定不能"),"判定不能",IF(AS1605&gt;=判定条件!$C$9,"利用可",IF(AND(AB1605="停止",J1605="停止"),"両方停止","運転がそろわない")))</f>
        <v>運転がそろわない</v>
      </c>
      <c r="AU1605" s="30" t="n">
        <v>60</v>
      </c>
      <c r="AV1605" s="30" t="n">
        <v>0</v>
      </c>
      <c r="AW1605" s="30" t="str">
        <f aca="false">IF(OR(AE1605="判定不能",M1605="判定不能"),"判定不能",IF(AV1605&gt;=判定条件!$C$9,"利用可",IF(AND(AE1605="停止",M1605="停止"),"両方停止","運転がそろわない")))</f>
        <v>運転がそろわない</v>
      </c>
      <c r="AX1605" s="30" t="str">
        <f aca="false">IF(AND(AH1605="利用可",AK1605="利用可",AN1605="利用可"),"利用可","不可")</f>
        <v>不可</v>
      </c>
      <c r="AY1605" s="30" t="str">
        <f aca="false">IF(AND(AQ1605="利用可",AT1605="利用可",AW1605="利用可"),"利用可","不可")</f>
        <v>不可</v>
      </c>
    </row>
    <row r="1606" customFormat="false" ht="15" hidden="false" customHeight="false" outlineLevel="0" collapsed="false">
      <c r="A1606" s="29" t="n">
        <v>46298</v>
      </c>
      <c r="B1606" s="30" t="n">
        <v>19</v>
      </c>
      <c r="C1606" s="31" t="s">
        <v>63</v>
      </c>
      <c r="D1606" s="31" t="s">
        <v>64</v>
      </c>
      <c r="E1606" s="30" t="n">
        <v>60</v>
      </c>
      <c r="F1606" s="30" t="n">
        <v>39</v>
      </c>
      <c r="G1606" s="30" t="str">
        <f aca="false">IF(E1606&lt;判定条件!$C$6,"判定不能",IF(F1606&gt;=判定条件!$C$7*E1606,"運転",IF(F1606&lt;=判定条件!$C$8*E1606,"停止","断続")))</f>
        <v>断続</v>
      </c>
      <c r="H1606" s="30" t="n">
        <v>60</v>
      </c>
      <c r="I1606" s="30" t="n">
        <v>25</v>
      </c>
      <c r="J1606" s="30" t="str">
        <f aca="false">IF(H1606&lt;判定条件!$C$6,"判定不能",IF(I1606&gt;=判定条件!$C$7*H1606,"運転",IF(I1606&lt;=判定条件!$C$8*H1606,"停止","断続")))</f>
        <v>断続</v>
      </c>
      <c r="K1606" s="30" t="n">
        <v>60</v>
      </c>
      <c r="L1606" s="30" t="n">
        <v>25</v>
      </c>
      <c r="M1606" s="30" t="str">
        <f aca="false">IF(K1606&lt;判定条件!$C$6,"判定不能",IF(L1606&gt;=判定条件!$C$7*K1606,"運転",IF(L1606&lt;=判定条件!$C$8*K1606,"停止","断続")))</f>
        <v>断続</v>
      </c>
      <c r="N1606" s="30" t="n">
        <v>60</v>
      </c>
      <c r="O1606" s="30" t="n">
        <v>0</v>
      </c>
      <c r="P1606" s="30" t="str">
        <f aca="false">IF(N1606&lt;判定条件!$C$6,"判定不能",IF(O1606&gt;=判定条件!$C$7*N1606,"運転",IF(O1606&lt;=判定条件!$C$8*N1606,"停止","断続")))</f>
        <v>停止</v>
      </c>
      <c r="Q1606" s="30" t="n">
        <v>60</v>
      </c>
      <c r="R1606" s="30" t="n">
        <v>0</v>
      </c>
      <c r="S1606" s="30" t="str">
        <f aca="false">IF(Q1606&lt;判定条件!$C$6,"判定不能",IF(R1606&gt;=判定条件!$C$7*Q1606,"運転",IF(R1606&lt;=判定条件!$C$8*Q1606,"停止","断続")))</f>
        <v>停止</v>
      </c>
      <c r="T1606" s="30" t="n">
        <v>60</v>
      </c>
      <c r="U1606" s="30" t="n">
        <v>0</v>
      </c>
      <c r="V1606" s="30" t="str">
        <f aca="false">IF(T1606&lt;判定条件!$C$6,"判定不能",IF(U1606&gt;=判定条件!$C$7*T1606,"運転",IF(U1606&lt;=判定条件!$C$8*T1606,"停止","断続")))</f>
        <v>停止</v>
      </c>
      <c r="W1606" s="30" t="n">
        <v>60</v>
      </c>
      <c r="X1606" s="30" t="n">
        <v>0</v>
      </c>
      <c r="Y1606" s="30" t="str">
        <f aca="false">IF(W1606&lt;判定条件!$C$6,"判定不能",IF(X1606&gt;=判定条件!$C$7*W1606,"運転",IF(X1606&lt;=判定条件!$C$8*W1606,"停止","断続")))</f>
        <v>停止</v>
      </c>
      <c r="Z1606" s="30" t="n">
        <v>60</v>
      </c>
      <c r="AA1606" s="30" t="n">
        <v>0</v>
      </c>
      <c r="AB1606" s="30" t="str">
        <f aca="false">IF(Z1606&lt;判定条件!$C$6,"判定不能",IF(AA1606&gt;=判定条件!$C$7*Z1606,"運転",IF(AA1606&lt;=判定条件!$C$8*Z1606,"停止","断続")))</f>
        <v>停止</v>
      </c>
      <c r="AC1606" s="30" t="n">
        <v>60</v>
      </c>
      <c r="AD1606" s="30" t="n">
        <v>0</v>
      </c>
      <c r="AE1606" s="30" t="str">
        <f aca="false">IF(AC1606&lt;判定条件!$C$6,"判定不能",IF(AD1606&gt;=判定条件!$C$7*AC1606,"運転",IF(AD1606&lt;=判定条件!$C$8*AC1606,"停止","断続")))</f>
        <v>停止</v>
      </c>
      <c r="AF1606" s="30" t="n">
        <v>60</v>
      </c>
      <c r="AG1606" s="30" t="n">
        <v>0</v>
      </c>
      <c r="AH1606" s="30" t="str">
        <f aca="false">IF(OR(P1606="判定不能",G1606="判定不能"),"判定不能",IF(AG1606&gt;=判定条件!$C$9,"利用可",IF(AND(P1606="停止",G1606="停止"),"両方停止","運転がそろわない")))</f>
        <v>運転がそろわない</v>
      </c>
      <c r="AI1606" s="30" t="n">
        <v>60</v>
      </c>
      <c r="AJ1606" s="30" t="n">
        <v>0</v>
      </c>
      <c r="AK1606" s="30" t="str">
        <f aca="false">IF(OR(S1606="判定不能",J1606="判定不能"),"判定不能",IF(AJ1606&gt;=判定条件!$C$9,"利用可",IF(AND(S1606="停止",J1606="停止"),"両方停止","運転がそろわない")))</f>
        <v>運転がそろわない</v>
      </c>
      <c r="AL1606" s="30" t="n">
        <v>60</v>
      </c>
      <c r="AM1606" s="30" t="n">
        <v>0</v>
      </c>
      <c r="AN1606" s="30" t="str">
        <f aca="false">IF(OR(V1606="判定不能",M1606="判定不能"),"判定不能",IF(AM1606&gt;=判定条件!$C$9,"利用可",IF(AND(V1606="停止",M1606="停止"),"両方停止","運転がそろわない")))</f>
        <v>運転がそろわない</v>
      </c>
      <c r="AO1606" s="30" t="n">
        <v>60</v>
      </c>
      <c r="AP1606" s="30" t="n">
        <v>0</v>
      </c>
      <c r="AQ1606" s="30" t="str">
        <f aca="false">IF(OR(Y1606="判定不能",G1606="判定不能"),"判定不能",IF(AP1606&gt;=判定条件!$C$9,"利用可",IF(AND(Y1606="停止",G1606="停止"),"両方停止","運転がそろわない")))</f>
        <v>運転がそろわない</v>
      </c>
      <c r="AR1606" s="30" t="n">
        <v>60</v>
      </c>
      <c r="AS1606" s="30" t="n">
        <v>0</v>
      </c>
      <c r="AT1606" s="30" t="str">
        <f aca="false">IF(OR(AB1606="判定不能",J1606="判定不能"),"判定不能",IF(AS1606&gt;=判定条件!$C$9,"利用可",IF(AND(AB1606="停止",J1606="停止"),"両方停止","運転がそろわない")))</f>
        <v>運転がそろわない</v>
      </c>
      <c r="AU1606" s="30" t="n">
        <v>60</v>
      </c>
      <c r="AV1606" s="30" t="n">
        <v>0</v>
      </c>
      <c r="AW1606" s="30" t="str">
        <f aca="false">IF(OR(AE1606="判定不能",M1606="判定不能"),"判定不能",IF(AV1606&gt;=判定条件!$C$9,"利用可",IF(AND(AE1606="停止",M1606="停止"),"両方停止","運転がそろわない")))</f>
        <v>運転がそろわない</v>
      </c>
      <c r="AX1606" s="30" t="str">
        <f aca="false">IF(AND(AH1606="利用可",AK1606="利用可",AN1606="利用可"),"利用可","不可")</f>
        <v>不可</v>
      </c>
      <c r="AY1606" s="30" t="str">
        <f aca="false">IF(AND(AQ1606="利用可",AT1606="利用可",AW1606="利用可"),"利用可","不可")</f>
        <v>不可</v>
      </c>
    </row>
    <row r="1607" customFormat="false" ht="15" hidden="false" customHeight="false" outlineLevel="0" collapsed="false">
      <c r="A1607" s="29" t="n">
        <v>46298</v>
      </c>
      <c r="B1607" s="30" t="n">
        <v>20</v>
      </c>
      <c r="C1607" s="31" t="s">
        <v>63</v>
      </c>
      <c r="D1607" s="31" t="s">
        <v>64</v>
      </c>
      <c r="E1607" s="30" t="n">
        <v>60</v>
      </c>
      <c r="F1607" s="30" t="n">
        <v>34</v>
      </c>
      <c r="G1607" s="30" t="str">
        <f aca="false">IF(E1607&lt;判定条件!$C$6,"判定不能",IF(F1607&gt;=判定条件!$C$7*E1607,"運転",IF(F1607&lt;=判定条件!$C$8*E1607,"停止","断続")))</f>
        <v>断続</v>
      </c>
      <c r="H1607" s="30" t="n">
        <v>60</v>
      </c>
      <c r="I1607" s="30" t="n">
        <v>27</v>
      </c>
      <c r="J1607" s="30" t="str">
        <f aca="false">IF(H1607&lt;判定条件!$C$6,"判定不能",IF(I1607&gt;=判定条件!$C$7*H1607,"運転",IF(I1607&lt;=判定条件!$C$8*H1607,"停止","断続")))</f>
        <v>断続</v>
      </c>
      <c r="K1607" s="30" t="n">
        <v>60</v>
      </c>
      <c r="L1607" s="30" t="n">
        <v>36</v>
      </c>
      <c r="M1607" s="30" t="str">
        <f aca="false">IF(K1607&lt;判定条件!$C$6,"判定不能",IF(L1607&gt;=判定条件!$C$7*K1607,"運転",IF(L1607&lt;=判定条件!$C$8*K1607,"停止","断続")))</f>
        <v>断続</v>
      </c>
      <c r="N1607" s="30" t="n">
        <v>60</v>
      </c>
      <c r="O1607" s="30" t="n">
        <v>0</v>
      </c>
      <c r="P1607" s="30" t="str">
        <f aca="false">IF(N1607&lt;判定条件!$C$6,"判定不能",IF(O1607&gt;=判定条件!$C$7*N1607,"運転",IF(O1607&lt;=判定条件!$C$8*N1607,"停止","断続")))</f>
        <v>停止</v>
      </c>
      <c r="Q1607" s="30" t="n">
        <v>60</v>
      </c>
      <c r="R1607" s="30" t="n">
        <v>0</v>
      </c>
      <c r="S1607" s="30" t="str">
        <f aca="false">IF(Q1607&lt;判定条件!$C$6,"判定不能",IF(R1607&gt;=判定条件!$C$7*Q1607,"運転",IF(R1607&lt;=判定条件!$C$8*Q1607,"停止","断続")))</f>
        <v>停止</v>
      </c>
      <c r="T1607" s="30" t="n">
        <v>60</v>
      </c>
      <c r="U1607" s="30" t="n">
        <v>0</v>
      </c>
      <c r="V1607" s="30" t="str">
        <f aca="false">IF(T1607&lt;判定条件!$C$6,"判定不能",IF(U1607&gt;=判定条件!$C$7*T1607,"運転",IF(U1607&lt;=判定条件!$C$8*T1607,"停止","断続")))</f>
        <v>停止</v>
      </c>
      <c r="W1607" s="30" t="n">
        <v>60</v>
      </c>
      <c r="X1607" s="30" t="n">
        <v>0</v>
      </c>
      <c r="Y1607" s="30" t="str">
        <f aca="false">IF(W1607&lt;判定条件!$C$6,"判定不能",IF(X1607&gt;=判定条件!$C$7*W1607,"運転",IF(X1607&lt;=判定条件!$C$8*W1607,"停止","断続")))</f>
        <v>停止</v>
      </c>
      <c r="Z1607" s="30" t="n">
        <v>60</v>
      </c>
      <c r="AA1607" s="30" t="n">
        <v>0</v>
      </c>
      <c r="AB1607" s="30" t="str">
        <f aca="false">IF(Z1607&lt;判定条件!$C$6,"判定不能",IF(AA1607&gt;=判定条件!$C$7*Z1607,"運転",IF(AA1607&lt;=判定条件!$C$8*Z1607,"停止","断続")))</f>
        <v>停止</v>
      </c>
      <c r="AC1607" s="30" t="n">
        <v>60</v>
      </c>
      <c r="AD1607" s="30" t="n">
        <v>0</v>
      </c>
      <c r="AE1607" s="30" t="str">
        <f aca="false">IF(AC1607&lt;判定条件!$C$6,"判定不能",IF(AD1607&gt;=判定条件!$C$7*AC1607,"運転",IF(AD1607&lt;=判定条件!$C$8*AC1607,"停止","断続")))</f>
        <v>停止</v>
      </c>
      <c r="AF1607" s="30" t="n">
        <v>60</v>
      </c>
      <c r="AG1607" s="30" t="n">
        <v>0</v>
      </c>
      <c r="AH1607" s="30" t="str">
        <f aca="false">IF(OR(P1607="判定不能",G1607="判定不能"),"判定不能",IF(AG1607&gt;=判定条件!$C$9,"利用可",IF(AND(P1607="停止",G1607="停止"),"両方停止","運転がそろわない")))</f>
        <v>運転がそろわない</v>
      </c>
      <c r="AI1607" s="30" t="n">
        <v>60</v>
      </c>
      <c r="AJ1607" s="30" t="n">
        <v>0</v>
      </c>
      <c r="AK1607" s="30" t="str">
        <f aca="false">IF(OR(S1607="判定不能",J1607="判定不能"),"判定不能",IF(AJ1607&gt;=判定条件!$C$9,"利用可",IF(AND(S1607="停止",J1607="停止"),"両方停止","運転がそろわない")))</f>
        <v>運転がそろわない</v>
      </c>
      <c r="AL1607" s="30" t="n">
        <v>60</v>
      </c>
      <c r="AM1607" s="30" t="n">
        <v>0</v>
      </c>
      <c r="AN1607" s="30" t="str">
        <f aca="false">IF(OR(V1607="判定不能",M1607="判定不能"),"判定不能",IF(AM1607&gt;=判定条件!$C$9,"利用可",IF(AND(V1607="停止",M1607="停止"),"両方停止","運転がそろわない")))</f>
        <v>運転がそろわない</v>
      </c>
      <c r="AO1607" s="30" t="n">
        <v>60</v>
      </c>
      <c r="AP1607" s="30" t="n">
        <v>0</v>
      </c>
      <c r="AQ1607" s="30" t="str">
        <f aca="false">IF(OR(Y1607="判定不能",G1607="判定不能"),"判定不能",IF(AP1607&gt;=判定条件!$C$9,"利用可",IF(AND(Y1607="停止",G1607="停止"),"両方停止","運転がそろわない")))</f>
        <v>運転がそろわない</v>
      </c>
      <c r="AR1607" s="30" t="n">
        <v>60</v>
      </c>
      <c r="AS1607" s="30" t="n">
        <v>0</v>
      </c>
      <c r="AT1607" s="30" t="str">
        <f aca="false">IF(OR(AB1607="判定不能",J1607="判定不能"),"判定不能",IF(AS1607&gt;=判定条件!$C$9,"利用可",IF(AND(AB1607="停止",J1607="停止"),"両方停止","運転がそろわない")))</f>
        <v>運転がそろわない</v>
      </c>
      <c r="AU1607" s="30" t="n">
        <v>60</v>
      </c>
      <c r="AV1607" s="30" t="n">
        <v>0</v>
      </c>
      <c r="AW1607" s="30" t="str">
        <f aca="false">IF(OR(AE1607="判定不能",M1607="判定不能"),"判定不能",IF(AV1607&gt;=判定条件!$C$9,"利用可",IF(AND(AE1607="停止",M1607="停止"),"両方停止","運転がそろわない")))</f>
        <v>運転がそろわない</v>
      </c>
      <c r="AX1607" s="30" t="str">
        <f aca="false">IF(AND(AH1607="利用可",AK1607="利用可",AN1607="利用可"),"利用可","不可")</f>
        <v>不可</v>
      </c>
      <c r="AY1607" s="30" t="str">
        <f aca="false">IF(AND(AQ1607="利用可",AT1607="利用可",AW1607="利用可"),"利用可","不可")</f>
        <v>不可</v>
      </c>
    </row>
    <row r="1608" customFormat="false" ht="15" hidden="false" customHeight="false" outlineLevel="0" collapsed="false">
      <c r="A1608" s="29" t="n">
        <v>46298</v>
      </c>
      <c r="B1608" s="30" t="n">
        <v>21</v>
      </c>
      <c r="C1608" s="31" t="s">
        <v>63</v>
      </c>
      <c r="D1608" s="31" t="s">
        <v>64</v>
      </c>
      <c r="E1608" s="30" t="n">
        <v>60</v>
      </c>
      <c r="F1608" s="30" t="n">
        <v>7</v>
      </c>
      <c r="G1608" s="30" t="str">
        <f aca="false">IF(E1608&lt;判定条件!$C$6,"判定不能",IF(F1608&gt;=判定条件!$C$7*E1608,"運転",IF(F1608&lt;=判定条件!$C$8*E1608,"停止","断続")))</f>
        <v>停止</v>
      </c>
      <c r="H1608" s="30" t="n">
        <v>60</v>
      </c>
      <c r="I1608" s="30" t="n">
        <v>0</v>
      </c>
      <c r="J1608" s="30" t="str">
        <f aca="false">IF(H1608&lt;判定条件!$C$6,"判定不能",IF(I1608&gt;=判定条件!$C$7*H1608,"運転",IF(I1608&lt;=判定条件!$C$8*H1608,"停止","断続")))</f>
        <v>停止</v>
      </c>
      <c r="K1608" s="30" t="n">
        <v>60</v>
      </c>
      <c r="L1608" s="30" t="n">
        <v>15</v>
      </c>
      <c r="M1608" s="30" t="str">
        <f aca="false">IF(K1608&lt;判定条件!$C$6,"判定不能",IF(L1608&gt;=判定条件!$C$7*K1608,"運転",IF(L1608&lt;=判定条件!$C$8*K1608,"停止","断続")))</f>
        <v>断続</v>
      </c>
      <c r="N1608" s="30" t="n">
        <v>60</v>
      </c>
      <c r="O1608" s="30" t="n">
        <v>0</v>
      </c>
      <c r="P1608" s="30" t="str">
        <f aca="false">IF(N1608&lt;判定条件!$C$6,"判定不能",IF(O1608&gt;=判定条件!$C$7*N1608,"運転",IF(O1608&lt;=判定条件!$C$8*N1608,"停止","断続")))</f>
        <v>停止</v>
      </c>
      <c r="Q1608" s="30" t="n">
        <v>60</v>
      </c>
      <c r="R1608" s="30" t="n">
        <v>0</v>
      </c>
      <c r="S1608" s="30" t="str">
        <f aca="false">IF(Q1608&lt;判定条件!$C$6,"判定不能",IF(R1608&gt;=判定条件!$C$7*Q1608,"運転",IF(R1608&lt;=判定条件!$C$8*Q1608,"停止","断続")))</f>
        <v>停止</v>
      </c>
      <c r="T1608" s="30" t="n">
        <v>60</v>
      </c>
      <c r="U1608" s="30" t="n">
        <v>0</v>
      </c>
      <c r="V1608" s="30" t="str">
        <f aca="false">IF(T1608&lt;判定条件!$C$6,"判定不能",IF(U1608&gt;=判定条件!$C$7*T1608,"運転",IF(U1608&lt;=判定条件!$C$8*T1608,"停止","断続")))</f>
        <v>停止</v>
      </c>
      <c r="W1608" s="30" t="n">
        <v>60</v>
      </c>
      <c r="X1608" s="30" t="n">
        <v>0</v>
      </c>
      <c r="Y1608" s="30" t="str">
        <f aca="false">IF(W1608&lt;判定条件!$C$6,"判定不能",IF(X1608&gt;=判定条件!$C$7*W1608,"運転",IF(X1608&lt;=判定条件!$C$8*W1608,"停止","断続")))</f>
        <v>停止</v>
      </c>
      <c r="Z1608" s="30" t="n">
        <v>60</v>
      </c>
      <c r="AA1608" s="30" t="n">
        <v>0</v>
      </c>
      <c r="AB1608" s="30" t="str">
        <f aca="false">IF(Z1608&lt;判定条件!$C$6,"判定不能",IF(AA1608&gt;=判定条件!$C$7*Z1608,"運転",IF(AA1608&lt;=判定条件!$C$8*Z1608,"停止","断続")))</f>
        <v>停止</v>
      </c>
      <c r="AC1608" s="30" t="n">
        <v>60</v>
      </c>
      <c r="AD1608" s="30" t="n">
        <v>0</v>
      </c>
      <c r="AE1608" s="30" t="str">
        <f aca="false">IF(AC1608&lt;判定条件!$C$6,"判定不能",IF(AD1608&gt;=判定条件!$C$7*AC1608,"運転",IF(AD1608&lt;=判定条件!$C$8*AC1608,"停止","断続")))</f>
        <v>停止</v>
      </c>
      <c r="AF1608" s="30" t="n">
        <v>60</v>
      </c>
      <c r="AG1608" s="30" t="n">
        <v>0</v>
      </c>
      <c r="AH1608" s="30" t="str">
        <f aca="false">IF(OR(P1608="判定不能",G1608="判定不能"),"判定不能",IF(AG1608&gt;=判定条件!$C$9,"利用可",IF(AND(P1608="停止",G1608="停止"),"両方停止","運転がそろわない")))</f>
        <v>両方停止</v>
      </c>
      <c r="AI1608" s="30" t="n">
        <v>60</v>
      </c>
      <c r="AJ1608" s="30" t="n">
        <v>0</v>
      </c>
      <c r="AK1608" s="30" t="str">
        <f aca="false">IF(OR(S1608="判定不能",J1608="判定不能"),"判定不能",IF(AJ1608&gt;=判定条件!$C$9,"利用可",IF(AND(S1608="停止",J1608="停止"),"両方停止","運転がそろわない")))</f>
        <v>両方停止</v>
      </c>
      <c r="AL1608" s="30" t="n">
        <v>60</v>
      </c>
      <c r="AM1608" s="30" t="n">
        <v>0</v>
      </c>
      <c r="AN1608" s="30" t="str">
        <f aca="false">IF(OR(V1608="判定不能",M1608="判定不能"),"判定不能",IF(AM1608&gt;=判定条件!$C$9,"利用可",IF(AND(V1608="停止",M1608="停止"),"両方停止","運転がそろわない")))</f>
        <v>運転がそろわない</v>
      </c>
      <c r="AO1608" s="30" t="n">
        <v>60</v>
      </c>
      <c r="AP1608" s="30" t="n">
        <v>0</v>
      </c>
      <c r="AQ1608" s="30" t="str">
        <f aca="false">IF(OR(Y1608="判定不能",G1608="判定不能"),"判定不能",IF(AP1608&gt;=判定条件!$C$9,"利用可",IF(AND(Y1608="停止",G1608="停止"),"両方停止","運転がそろわない")))</f>
        <v>両方停止</v>
      </c>
      <c r="AR1608" s="30" t="n">
        <v>60</v>
      </c>
      <c r="AS1608" s="30" t="n">
        <v>0</v>
      </c>
      <c r="AT1608" s="30" t="str">
        <f aca="false">IF(OR(AB1608="判定不能",J1608="判定不能"),"判定不能",IF(AS1608&gt;=判定条件!$C$9,"利用可",IF(AND(AB1608="停止",J1608="停止"),"両方停止","運転がそろわない")))</f>
        <v>両方停止</v>
      </c>
      <c r="AU1608" s="30" t="n">
        <v>60</v>
      </c>
      <c r="AV1608" s="30" t="n">
        <v>0</v>
      </c>
      <c r="AW1608" s="30" t="str">
        <f aca="false">IF(OR(AE1608="判定不能",M1608="判定不能"),"判定不能",IF(AV1608&gt;=判定条件!$C$9,"利用可",IF(AND(AE1608="停止",M1608="停止"),"両方停止","運転がそろわない")))</f>
        <v>運転がそろわない</v>
      </c>
      <c r="AX1608" s="30" t="str">
        <f aca="false">IF(AND(AH1608="利用可",AK1608="利用可",AN1608="利用可"),"利用可","不可")</f>
        <v>不可</v>
      </c>
      <c r="AY1608" s="30" t="str">
        <f aca="false">IF(AND(AQ1608="利用可",AT1608="利用可",AW1608="利用可"),"利用可","不可")</f>
        <v>不可</v>
      </c>
    </row>
    <row r="1609" customFormat="false" ht="15" hidden="false" customHeight="false" outlineLevel="0" collapsed="false">
      <c r="A1609" s="29" t="n">
        <v>46298</v>
      </c>
      <c r="B1609" s="30" t="n">
        <v>22</v>
      </c>
      <c r="C1609" s="31" t="s">
        <v>63</v>
      </c>
      <c r="D1609" s="31" t="s">
        <v>64</v>
      </c>
      <c r="E1609" s="30" t="n">
        <v>60</v>
      </c>
      <c r="F1609" s="30" t="n">
        <v>0</v>
      </c>
      <c r="G1609" s="30" t="str">
        <f aca="false">IF(E1609&lt;判定条件!$C$6,"判定不能",IF(F1609&gt;=判定条件!$C$7*E1609,"運転",IF(F1609&lt;=判定条件!$C$8*E1609,"停止","断続")))</f>
        <v>停止</v>
      </c>
      <c r="H1609" s="30" t="n">
        <v>60</v>
      </c>
      <c r="I1609" s="30" t="n">
        <v>0</v>
      </c>
      <c r="J1609" s="30" t="str">
        <f aca="false">IF(H1609&lt;判定条件!$C$6,"判定不能",IF(I1609&gt;=判定条件!$C$7*H1609,"運転",IF(I1609&lt;=判定条件!$C$8*H1609,"停止","断続")))</f>
        <v>停止</v>
      </c>
      <c r="K1609" s="30" t="n">
        <v>60</v>
      </c>
      <c r="L1609" s="30" t="n">
        <v>0</v>
      </c>
      <c r="M1609" s="30" t="str">
        <f aca="false">IF(K1609&lt;判定条件!$C$6,"判定不能",IF(L1609&gt;=判定条件!$C$7*K1609,"運転",IF(L1609&lt;=判定条件!$C$8*K1609,"停止","断続")))</f>
        <v>停止</v>
      </c>
      <c r="N1609" s="30" t="n">
        <v>60</v>
      </c>
      <c r="O1609" s="30" t="n">
        <v>0</v>
      </c>
      <c r="P1609" s="30" t="str">
        <f aca="false">IF(N1609&lt;判定条件!$C$6,"判定不能",IF(O1609&gt;=判定条件!$C$7*N1609,"運転",IF(O1609&lt;=判定条件!$C$8*N1609,"停止","断続")))</f>
        <v>停止</v>
      </c>
      <c r="Q1609" s="30" t="n">
        <v>60</v>
      </c>
      <c r="R1609" s="30" t="n">
        <v>0</v>
      </c>
      <c r="S1609" s="30" t="str">
        <f aca="false">IF(Q1609&lt;判定条件!$C$6,"判定不能",IF(R1609&gt;=判定条件!$C$7*Q1609,"運転",IF(R1609&lt;=判定条件!$C$8*Q1609,"停止","断続")))</f>
        <v>停止</v>
      </c>
      <c r="T1609" s="30" t="n">
        <v>60</v>
      </c>
      <c r="U1609" s="30" t="n">
        <v>0</v>
      </c>
      <c r="V1609" s="30" t="str">
        <f aca="false">IF(T1609&lt;判定条件!$C$6,"判定不能",IF(U1609&gt;=判定条件!$C$7*T1609,"運転",IF(U1609&lt;=判定条件!$C$8*T1609,"停止","断続")))</f>
        <v>停止</v>
      </c>
      <c r="W1609" s="30" t="n">
        <v>60</v>
      </c>
      <c r="X1609" s="30" t="n">
        <v>0</v>
      </c>
      <c r="Y1609" s="30" t="str">
        <f aca="false">IF(W1609&lt;判定条件!$C$6,"判定不能",IF(X1609&gt;=判定条件!$C$7*W1609,"運転",IF(X1609&lt;=判定条件!$C$8*W1609,"停止","断続")))</f>
        <v>停止</v>
      </c>
      <c r="Z1609" s="30" t="n">
        <v>60</v>
      </c>
      <c r="AA1609" s="30" t="n">
        <v>0</v>
      </c>
      <c r="AB1609" s="30" t="str">
        <f aca="false">IF(Z1609&lt;判定条件!$C$6,"判定不能",IF(AA1609&gt;=判定条件!$C$7*Z1609,"運転",IF(AA1609&lt;=判定条件!$C$8*Z1609,"停止","断続")))</f>
        <v>停止</v>
      </c>
      <c r="AC1609" s="30" t="n">
        <v>60</v>
      </c>
      <c r="AD1609" s="30" t="n">
        <v>0</v>
      </c>
      <c r="AE1609" s="30" t="str">
        <f aca="false">IF(AC1609&lt;判定条件!$C$6,"判定不能",IF(AD1609&gt;=判定条件!$C$7*AC1609,"運転",IF(AD1609&lt;=判定条件!$C$8*AC1609,"停止","断続")))</f>
        <v>停止</v>
      </c>
      <c r="AF1609" s="30" t="n">
        <v>60</v>
      </c>
      <c r="AG1609" s="30" t="n">
        <v>0</v>
      </c>
      <c r="AH1609" s="30" t="str">
        <f aca="false">IF(OR(P1609="判定不能",G1609="判定不能"),"判定不能",IF(AG1609&gt;=判定条件!$C$9,"利用可",IF(AND(P1609="停止",G1609="停止"),"両方停止","運転がそろわない")))</f>
        <v>両方停止</v>
      </c>
      <c r="AI1609" s="30" t="n">
        <v>60</v>
      </c>
      <c r="AJ1609" s="30" t="n">
        <v>0</v>
      </c>
      <c r="AK1609" s="30" t="str">
        <f aca="false">IF(OR(S1609="判定不能",J1609="判定不能"),"判定不能",IF(AJ1609&gt;=判定条件!$C$9,"利用可",IF(AND(S1609="停止",J1609="停止"),"両方停止","運転がそろわない")))</f>
        <v>両方停止</v>
      </c>
      <c r="AL1609" s="30" t="n">
        <v>60</v>
      </c>
      <c r="AM1609" s="30" t="n">
        <v>0</v>
      </c>
      <c r="AN1609" s="30" t="str">
        <f aca="false">IF(OR(V1609="判定不能",M1609="判定不能"),"判定不能",IF(AM1609&gt;=判定条件!$C$9,"利用可",IF(AND(V1609="停止",M1609="停止"),"両方停止","運転がそろわない")))</f>
        <v>両方停止</v>
      </c>
      <c r="AO1609" s="30" t="n">
        <v>60</v>
      </c>
      <c r="AP1609" s="30" t="n">
        <v>0</v>
      </c>
      <c r="AQ1609" s="30" t="str">
        <f aca="false">IF(OR(Y1609="判定不能",G1609="判定不能"),"判定不能",IF(AP1609&gt;=判定条件!$C$9,"利用可",IF(AND(Y1609="停止",G1609="停止"),"両方停止","運転がそろわない")))</f>
        <v>両方停止</v>
      </c>
      <c r="AR1609" s="30" t="n">
        <v>60</v>
      </c>
      <c r="AS1609" s="30" t="n">
        <v>0</v>
      </c>
      <c r="AT1609" s="30" t="str">
        <f aca="false">IF(OR(AB1609="判定不能",J1609="判定不能"),"判定不能",IF(AS1609&gt;=判定条件!$C$9,"利用可",IF(AND(AB1609="停止",J1609="停止"),"両方停止","運転がそろわない")))</f>
        <v>両方停止</v>
      </c>
      <c r="AU1609" s="30" t="n">
        <v>60</v>
      </c>
      <c r="AV1609" s="30" t="n">
        <v>0</v>
      </c>
      <c r="AW1609" s="30" t="str">
        <f aca="false">IF(OR(AE1609="判定不能",M1609="判定不能"),"判定不能",IF(AV1609&gt;=判定条件!$C$9,"利用可",IF(AND(AE1609="停止",M1609="停止"),"両方停止","運転がそろわない")))</f>
        <v>両方停止</v>
      </c>
      <c r="AX1609" s="30" t="str">
        <f aca="false">IF(AND(AH1609="利用可",AK1609="利用可",AN1609="利用可"),"利用可","不可")</f>
        <v>不可</v>
      </c>
      <c r="AY1609" s="30" t="str">
        <f aca="false">IF(AND(AQ1609="利用可",AT1609="利用可",AW1609="利用可"),"利用可","不可")</f>
        <v>不可</v>
      </c>
    </row>
    <row r="1610" customFormat="false" ht="15" hidden="false" customHeight="false" outlineLevel="0" collapsed="false">
      <c r="A1610" s="29" t="n">
        <v>46298</v>
      </c>
      <c r="B1610" s="30" t="n">
        <v>23</v>
      </c>
      <c r="C1610" s="31" t="s">
        <v>63</v>
      </c>
      <c r="D1610" s="31" t="s">
        <v>64</v>
      </c>
      <c r="E1610" s="30" t="n">
        <v>60</v>
      </c>
      <c r="F1610" s="30" t="n">
        <v>0</v>
      </c>
      <c r="G1610" s="30" t="str">
        <f aca="false">IF(E1610&lt;判定条件!$C$6,"判定不能",IF(F1610&gt;=判定条件!$C$7*E1610,"運転",IF(F1610&lt;=判定条件!$C$8*E1610,"停止","断続")))</f>
        <v>停止</v>
      </c>
      <c r="H1610" s="30" t="n">
        <v>60</v>
      </c>
      <c r="I1610" s="30" t="n">
        <v>0</v>
      </c>
      <c r="J1610" s="30" t="str">
        <f aca="false">IF(H1610&lt;判定条件!$C$6,"判定不能",IF(I1610&gt;=判定条件!$C$7*H1610,"運転",IF(I1610&lt;=判定条件!$C$8*H1610,"停止","断続")))</f>
        <v>停止</v>
      </c>
      <c r="K1610" s="30" t="n">
        <v>60</v>
      </c>
      <c r="L1610" s="30" t="n">
        <v>0</v>
      </c>
      <c r="M1610" s="30" t="str">
        <f aca="false">IF(K1610&lt;判定条件!$C$6,"判定不能",IF(L1610&gt;=判定条件!$C$7*K1610,"運転",IF(L1610&lt;=判定条件!$C$8*K1610,"停止","断続")))</f>
        <v>停止</v>
      </c>
      <c r="N1610" s="30" t="n">
        <v>60</v>
      </c>
      <c r="O1610" s="30" t="n">
        <v>0</v>
      </c>
      <c r="P1610" s="30" t="str">
        <f aca="false">IF(N1610&lt;判定条件!$C$6,"判定不能",IF(O1610&gt;=判定条件!$C$7*N1610,"運転",IF(O1610&lt;=判定条件!$C$8*N1610,"停止","断続")))</f>
        <v>停止</v>
      </c>
      <c r="Q1610" s="30" t="n">
        <v>60</v>
      </c>
      <c r="R1610" s="30" t="n">
        <v>0</v>
      </c>
      <c r="S1610" s="30" t="str">
        <f aca="false">IF(Q1610&lt;判定条件!$C$6,"判定不能",IF(R1610&gt;=判定条件!$C$7*Q1610,"運転",IF(R1610&lt;=判定条件!$C$8*Q1610,"停止","断続")))</f>
        <v>停止</v>
      </c>
      <c r="T1610" s="30" t="n">
        <v>60</v>
      </c>
      <c r="U1610" s="30" t="n">
        <v>0</v>
      </c>
      <c r="V1610" s="30" t="str">
        <f aca="false">IF(T1610&lt;判定条件!$C$6,"判定不能",IF(U1610&gt;=判定条件!$C$7*T1610,"運転",IF(U1610&lt;=判定条件!$C$8*T1610,"停止","断続")))</f>
        <v>停止</v>
      </c>
      <c r="W1610" s="30" t="n">
        <v>60</v>
      </c>
      <c r="X1610" s="30" t="n">
        <v>0</v>
      </c>
      <c r="Y1610" s="30" t="str">
        <f aca="false">IF(W1610&lt;判定条件!$C$6,"判定不能",IF(X1610&gt;=判定条件!$C$7*W1610,"運転",IF(X1610&lt;=判定条件!$C$8*W1610,"停止","断続")))</f>
        <v>停止</v>
      </c>
      <c r="Z1610" s="30" t="n">
        <v>60</v>
      </c>
      <c r="AA1610" s="30" t="n">
        <v>0</v>
      </c>
      <c r="AB1610" s="30" t="str">
        <f aca="false">IF(Z1610&lt;判定条件!$C$6,"判定不能",IF(AA1610&gt;=判定条件!$C$7*Z1610,"運転",IF(AA1610&lt;=判定条件!$C$8*Z1610,"停止","断続")))</f>
        <v>停止</v>
      </c>
      <c r="AC1610" s="30" t="n">
        <v>60</v>
      </c>
      <c r="AD1610" s="30" t="n">
        <v>0</v>
      </c>
      <c r="AE1610" s="30" t="str">
        <f aca="false">IF(AC1610&lt;判定条件!$C$6,"判定不能",IF(AD1610&gt;=判定条件!$C$7*AC1610,"運転",IF(AD1610&lt;=判定条件!$C$8*AC1610,"停止","断続")))</f>
        <v>停止</v>
      </c>
      <c r="AF1610" s="30" t="n">
        <v>60</v>
      </c>
      <c r="AG1610" s="30" t="n">
        <v>0</v>
      </c>
      <c r="AH1610" s="30" t="str">
        <f aca="false">IF(OR(P1610="判定不能",G1610="判定不能"),"判定不能",IF(AG1610&gt;=判定条件!$C$9,"利用可",IF(AND(P1610="停止",G1610="停止"),"両方停止","運転がそろわない")))</f>
        <v>両方停止</v>
      </c>
      <c r="AI1610" s="30" t="n">
        <v>60</v>
      </c>
      <c r="AJ1610" s="30" t="n">
        <v>0</v>
      </c>
      <c r="AK1610" s="30" t="str">
        <f aca="false">IF(OR(S1610="判定不能",J1610="判定不能"),"判定不能",IF(AJ1610&gt;=判定条件!$C$9,"利用可",IF(AND(S1610="停止",J1610="停止"),"両方停止","運転がそろわない")))</f>
        <v>両方停止</v>
      </c>
      <c r="AL1610" s="30" t="n">
        <v>60</v>
      </c>
      <c r="AM1610" s="30" t="n">
        <v>0</v>
      </c>
      <c r="AN1610" s="30" t="str">
        <f aca="false">IF(OR(V1610="判定不能",M1610="判定不能"),"判定不能",IF(AM1610&gt;=判定条件!$C$9,"利用可",IF(AND(V1610="停止",M1610="停止"),"両方停止","運転がそろわない")))</f>
        <v>両方停止</v>
      </c>
      <c r="AO1610" s="30" t="n">
        <v>60</v>
      </c>
      <c r="AP1610" s="30" t="n">
        <v>0</v>
      </c>
      <c r="AQ1610" s="30" t="str">
        <f aca="false">IF(OR(Y1610="判定不能",G1610="判定不能"),"判定不能",IF(AP1610&gt;=判定条件!$C$9,"利用可",IF(AND(Y1610="停止",G1610="停止"),"両方停止","運転がそろわない")))</f>
        <v>両方停止</v>
      </c>
      <c r="AR1610" s="30" t="n">
        <v>60</v>
      </c>
      <c r="AS1610" s="30" t="n">
        <v>0</v>
      </c>
      <c r="AT1610" s="30" t="str">
        <f aca="false">IF(OR(AB1610="判定不能",J1610="判定不能"),"判定不能",IF(AS1610&gt;=判定条件!$C$9,"利用可",IF(AND(AB1610="停止",J1610="停止"),"両方停止","運転がそろわない")))</f>
        <v>両方停止</v>
      </c>
      <c r="AU1610" s="30" t="n">
        <v>60</v>
      </c>
      <c r="AV1610" s="30" t="n">
        <v>0</v>
      </c>
      <c r="AW1610" s="30" t="str">
        <f aca="false">IF(OR(AE1610="判定不能",M1610="判定不能"),"判定不能",IF(AV1610&gt;=判定条件!$C$9,"利用可",IF(AND(AE1610="停止",M1610="停止"),"両方停止","運転がそろわない")))</f>
        <v>両方停止</v>
      </c>
      <c r="AX1610" s="30" t="str">
        <f aca="false">IF(AND(AH1610="利用可",AK1610="利用可",AN1610="利用可"),"利用可","不可")</f>
        <v>不可</v>
      </c>
      <c r="AY1610" s="30" t="str">
        <f aca="false">IF(AND(AQ1610="利用可",AT1610="利用可",AW1610="利用可"),"利用可","不可")</f>
        <v>不可</v>
      </c>
    </row>
    <row r="1611" customFormat="false" ht="15" hidden="false" customHeight="false" outlineLevel="0" collapsed="false">
      <c r="A1611" s="29" t="n">
        <v>46299</v>
      </c>
      <c r="B1611" s="30" t="n">
        <v>0</v>
      </c>
      <c r="C1611" s="31" t="s">
        <v>65</v>
      </c>
      <c r="D1611" s="31" t="s">
        <v>64</v>
      </c>
      <c r="E1611" s="30" t="n">
        <v>60</v>
      </c>
      <c r="F1611" s="30" t="n">
        <v>0</v>
      </c>
      <c r="G1611" s="30" t="str">
        <f aca="false">IF(E1611&lt;判定条件!$C$6,"判定不能",IF(F1611&gt;=判定条件!$C$7*E1611,"運転",IF(F1611&lt;=判定条件!$C$8*E1611,"停止","断続")))</f>
        <v>停止</v>
      </c>
      <c r="H1611" s="30" t="n">
        <v>60</v>
      </c>
      <c r="I1611" s="30" t="n">
        <v>0</v>
      </c>
      <c r="J1611" s="30" t="str">
        <f aca="false">IF(H1611&lt;判定条件!$C$6,"判定不能",IF(I1611&gt;=判定条件!$C$7*H1611,"運転",IF(I1611&lt;=判定条件!$C$8*H1611,"停止","断続")))</f>
        <v>停止</v>
      </c>
      <c r="K1611" s="30" t="n">
        <v>60</v>
      </c>
      <c r="L1611" s="30" t="n">
        <v>0</v>
      </c>
      <c r="M1611" s="30" t="str">
        <f aca="false">IF(K1611&lt;判定条件!$C$6,"判定不能",IF(L1611&gt;=判定条件!$C$7*K1611,"運転",IF(L1611&lt;=判定条件!$C$8*K1611,"停止","断続")))</f>
        <v>停止</v>
      </c>
      <c r="N1611" s="30" t="n">
        <v>60</v>
      </c>
      <c r="O1611" s="30" t="n">
        <v>0</v>
      </c>
      <c r="P1611" s="30" t="str">
        <f aca="false">IF(N1611&lt;判定条件!$C$6,"判定不能",IF(O1611&gt;=判定条件!$C$7*N1611,"運転",IF(O1611&lt;=判定条件!$C$8*N1611,"停止","断続")))</f>
        <v>停止</v>
      </c>
      <c r="Q1611" s="30" t="n">
        <v>60</v>
      </c>
      <c r="R1611" s="30" t="n">
        <v>0</v>
      </c>
      <c r="S1611" s="30" t="str">
        <f aca="false">IF(Q1611&lt;判定条件!$C$6,"判定不能",IF(R1611&gt;=判定条件!$C$7*Q1611,"運転",IF(R1611&lt;=判定条件!$C$8*Q1611,"停止","断続")))</f>
        <v>停止</v>
      </c>
      <c r="T1611" s="30" t="n">
        <v>60</v>
      </c>
      <c r="U1611" s="30" t="n">
        <v>0</v>
      </c>
      <c r="V1611" s="30" t="str">
        <f aca="false">IF(T1611&lt;判定条件!$C$6,"判定不能",IF(U1611&gt;=判定条件!$C$7*T1611,"運転",IF(U1611&lt;=判定条件!$C$8*T1611,"停止","断続")))</f>
        <v>停止</v>
      </c>
      <c r="W1611" s="30" t="n">
        <v>60</v>
      </c>
      <c r="X1611" s="30" t="n">
        <v>0</v>
      </c>
      <c r="Y1611" s="30" t="str">
        <f aca="false">IF(W1611&lt;判定条件!$C$6,"判定不能",IF(X1611&gt;=判定条件!$C$7*W1611,"運転",IF(X1611&lt;=判定条件!$C$8*W1611,"停止","断続")))</f>
        <v>停止</v>
      </c>
      <c r="Z1611" s="30" t="n">
        <v>60</v>
      </c>
      <c r="AA1611" s="30" t="n">
        <v>0</v>
      </c>
      <c r="AB1611" s="30" t="str">
        <f aca="false">IF(Z1611&lt;判定条件!$C$6,"判定不能",IF(AA1611&gt;=判定条件!$C$7*Z1611,"運転",IF(AA1611&lt;=判定条件!$C$8*Z1611,"停止","断続")))</f>
        <v>停止</v>
      </c>
      <c r="AC1611" s="30" t="n">
        <v>60</v>
      </c>
      <c r="AD1611" s="30" t="n">
        <v>0</v>
      </c>
      <c r="AE1611" s="30" t="str">
        <f aca="false">IF(AC1611&lt;判定条件!$C$6,"判定不能",IF(AD1611&gt;=判定条件!$C$7*AC1611,"運転",IF(AD1611&lt;=判定条件!$C$8*AC1611,"停止","断続")))</f>
        <v>停止</v>
      </c>
      <c r="AF1611" s="30" t="n">
        <v>60</v>
      </c>
      <c r="AG1611" s="30" t="n">
        <v>0</v>
      </c>
      <c r="AH1611" s="30" t="str">
        <f aca="false">IF(OR(P1611="判定不能",G1611="判定不能"),"判定不能",IF(AG1611&gt;=判定条件!$C$9,"利用可",IF(AND(P1611="停止",G1611="停止"),"両方停止","運転がそろわない")))</f>
        <v>両方停止</v>
      </c>
      <c r="AI1611" s="30" t="n">
        <v>60</v>
      </c>
      <c r="AJ1611" s="30" t="n">
        <v>0</v>
      </c>
      <c r="AK1611" s="30" t="str">
        <f aca="false">IF(OR(S1611="判定不能",J1611="判定不能"),"判定不能",IF(AJ1611&gt;=判定条件!$C$9,"利用可",IF(AND(S1611="停止",J1611="停止"),"両方停止","運転がそろわない")))</f>
        <v>両方停止</v>
      </c>
      <c r="AL1611" s="30" t="n">
        <v>60</v>
      </c>
      <c r="AM1611" s="30" t="n">
        <v>0</v>
      </c>
      <c r="AN1611" s="30" t="str">
        <f aca="false">IF(OR(V1611="判定不能",M1611="判定不能"),"判定不能",IF(AM1611&gt;=判定条件!$C$9,"利用可",IF(AND(V1611="停止",M1611="停止"),"両方停止","運転がそろわない")))</f>
        <v>両方停止</v>
      </c>
      <c r="AO1611" s="30" t="n">
        <v>60</v>
      </c>
      <c r="AP1611" s="30" t="n">
        <v>0</v>
      </c>
      <c r="AQ1611" s="30" t="str">
        <f aca="false">IF(OR(Y1611="判定不能",G1611="判定不能"),"判定不能",IF(AP1611&gt;=判定条件!$C$9,"利用可",IF(AND(Y1611="停止",G1611="停止"),"両方停止","運転がそろわない")))</f>
        <v>両方停止</v>
      </c>
      <c r="AR1611" s="30" t="n">
        <v>60</v>
      </c>
      <c r="AS1611" s="30" t="n">
        <v>0</v>
      </c>
      <c r="AT1611" s="30" t="str">
        <f aca="false">IF(OR(AB1611="判定不能",J1611="判定不能"),"判定不能",IF(AS1611&gt;=判定条件!$C$9,"利用可",IF(AND(AB1611="停止",J1611="停止"),"両方停止","運転がそろわない")))</f>
        <v>両方停止</v>
      </c>
      <c r="AU1611" s="30" t="n">
        <v>60</v>
      </c>
      <c r="AV1611" s="30" t="n">
        <v>0</v>
      </c>
      <c r="AW1611" s="30" t="str">
        <f aca="false">IF(OR(AE1611="判定不能",M1611="判定不能"),"判定不能",IF(AV1611&gt;=判定条件!$C$9,"利用可",IF(AND(AE1611="停止",M1611="停止"),"両方停止","運転がそろわない")))</f>
        <v>両方停止</v>
      </c>
      <c r="AX1611" s="30" t="str">
        <f aca="false">IF(AND(AH1611="利用可",AK1611="利用可",AN1611="利用可"),"利用可","不可")</f>
        <v>不可</v>
      </c>
      <c r="AY1611" s="30" t="str">
        <f aca="false">IF(AND(AQ1611="利用可",AT1611="利用可",AW1611="利用可"),"利用可","不可")</f>
        <v>不可</v>
      </c>
    </row>
    <row r="1612" customFormat="false" ht="15" hidden="false" customHeight="false" outlineLevel="0" collapsed="false">
      <c r="A1612" s="29" t="n">
        <v>46299</v>
      </c>
      <c r="B1612" s="30" t="n">
        <v>1</v>
      </c>
      <c r="C1612" s="31" t="s">
        <v>65</v>
      </c>
      <c r="D1612" s="31" t="s">
        <v>64</v>
      </c>
      <c r="E1612" s="30" t="n">
        <v>60</v>
      </c>
      <c r="F1612" s="30" t="n">
        <v>0</v>
      </c>
      <c r="G1612" s="30" t="str">
        <f aca="false">IF(E1612&lt;判定条件!$C$6,"判定不能",IF(F1612&gt;=判定条件!$C$7*E1612,"運転",IF(F1612&lt;=判定条件!$C$8*E1612,"停止","断続")))</f>
        <v>停止</v>
      </c>
      <c r="H1612" s="30" t="n">
        <v>60</v>
      </c>
      <c r="I1612" s="30" t="n">
        <v>0</v>
      </c>
      <c r="J1612" s="30" t="str">
        <f aca="false">IF(H1612&lt;判定条件!$C$6,"判定不能",IF(I1612&gt;=判定条件!$C$7*H1612,"運転",IF(I1612&lt;=判定条件!$C$8*H1612,"停止","断続")))</f>
        <v>停止</v>
      </c>
      <c r="K1612" s="30" t="n">
        <v>60</v>
      </c>
      <c r="L1612" s="30" t="n">
        <v>0</v>
      </c>
      <c r="M1612" s="30" t="str">
        <f aca="false">IF(K1612&lt;判定条件!$C$6,"判定不能",IF(L1612&gt;=判定条件!$C$7*K1612,"運転",IF(L1612&lt;=判定条件!$C$8*K1612,"停止","断続")))</f>
        <v>停止</v>
      </c>
      <c r="N1612" s="30" t="n">
        <v>60</v>
      </c>
      <c r="O1612" s="30" t="n">
        <v>0</v>
      </c>
      <c r="P1612" s="30" t="str">
        <f aca="false">IF(N1612&lt;判定条件!$C$6,"判定不能",IF(O1612&gt;=判定条件!$C$7*N1612,"運転",IF(O1612&lt;=判定条件!$C$8*N1612,"停止","断続")))</f>
        <v>停止</v>
      </c>
      <c r="Q1612" s="30" t="n">
        <v>60</v>
      </c>
      <c r="R1612" s="30" t="n">
        <v>0</v>
      </c>
      <c r="S1612" s="30" t="str">
        <f aca="false">IF(Q1612&lt;判定条件!$C$6,"判定不能",IF(R1612&gt;=判定条件!$C$7*Q1612,"運転",IF(R1612&lt;=判定条件!$C$8*Q1612,"停止","断続")))</f>
        <v>停止</v>
      </c>
      <c r="T1612" s="30" t="n">
        <v>60</v>
      </c>
      <c r="U1612" s="30" t="n">
        <v>0</v>
      </c>
      <c r="V1612" s="30" t="str">
        <f aca="false">IF(T1612&lt;判定条件!$C$6,"判定不能",IF(U1612&gt;=判定条件!$C$7*T1612,"運転",IF(U1612&lt;=判定条件!$C$8*T1612,"停止","断続")))</f>
        <v>停止</v>
      </c>
      <c r="W1612" s="30" t="n">
        <v>60</v>
      </c>
      <c r="X1612" s="30" t="n">
        <v>0</v>
      </c>
      <c r="Y1612" s="30" t="str">
        <f aca="false">IF(W1612&lt;判定条件!$C$6,"判定不能",IF(X1612&gt;=判定条件!$C$7*W1612,"運転",IF(X1612&lt;=判定条件!$C$8*W1612,"停止","断続")))</f>
        <v>停止</v>
      </c>
      <c r="Z1612" s="30" t="n">
        <v>60</v>
      </c>
      <c r="AA1612" s="30" t="n">
        <v>0</v>
      </c>
      <c r="AB1612" s="30" t="str">
        <f aca="false">IF(Z1612&lt;判定条件!$C$6,"判定不能",IF(AA1612&gt;=判定条件!$C$7*Z1612,"運転",IF(AA1612&lt;=判定条件!$C$8*Z1612,"停止","断続")))</f>
        <v>停止</v>
      </c>
      <c r="AC1612" s="30" t="n">
        <v>60</v>
      </c>
      <c r="AD1612" s="30" t="n">
        <v>0</v>
      </c>
      <c r="AE1612" s="30" t="str">
        <f aca="false">IF(AC1612&lt;判定条件!$C$6,"判定不能",IF(AD1612&gt;=判定条件!$C$7*AC1612,"運転",IF(AD1612&lt;=判定条件!$C$8*AC1612,"停止","断続")))</f>
        <v>停止</v>
      </c>
      <c r="AF1612" s="30" t="n">
        <v>60</v>
      </c>
      <c r="AG1612" s="30" t="n">
        <v>0</v>
      </c>
      <c r="AH1612" s="30" t="str">
        <f aca="false">IF(OR(P1612="判定不能",G1612="判定不能"),"判定不能",IF(AG1612&gt;=判定条件!$C$9,"利用可",IF(AND(P1612="停止",G1612="停止"),"両方停止","運転がそろわない")))</f>
        <v>両方停止</v>
      </c>
      <c r="AI1612" s="30" t="n">
        <v>60</v>
      </c>
      <c r="AJ1612" s="30" t="n">
        <v>0</v>
      </c>
      <c r="AK1612" s="30" t="str">
        <f aca="false">IF(OR(S1612="判定不能",J1612="判定不能"),"判定不能",IF(AJ1612&gt;=判定条件!$C$9,"利用可",IF(AND(S1612="停止",J1612="停止"),"両方停止","運転がそろわない")))</f>
        <v>両方停止</v>
      </c>
      <c r="AL1612" s="30" t="n">
        <v>60</v>
      </c>
      <c r="AM1612" s="30" t="n">
        <v>0</v>
      </c>
      <c r="AN1612" s="30" t="str">
        <f aca="false">IF(OR(V1612="判定不能",M1612="判定不能"),"判定不能",IF(AM1612&gt;=判定条件!$C$9,"利用可",IF(AND(V1612="停止",M1612="停止"),"両方停止","運転がそろわない")))</f>
        <v>両方停止</v>
      </c>
      <c r="AO1612" s="30" t="n">
        <v>60</v>
      </c>
      <c r="AP1612" s="30" t="n">
        <v>0</v>
      </c>
      <c r="AQ1612" s="30" t="str">
        <f aca="false">IF(OR(Y1612="判定不能",G1612="判定不能"),"判定不能",IF(AP1612&gt;=判定条件!$C$9,"利用可",IF(AND(Y1612="停止",G1612="停止"),"両方停止","運転がそろわない")))</f>
        <v>両方停止</v>
      </c>
      <c r="AR1612" s="30" t="n">
        <v>60</v>
      </c>
      <c r="AS1612" s="30" t="n">
        <v>0</v>
      </c>
      <c r="AT1612" s="30" t="str">
        <f aca="false">IF(OR(AB1612="判定不能",J1612="判定不能"),"判定不能",IF(AS1612&gt;=判定条件!$C$9,"利用可",IF(AND(AB1612="停止",J1612="停止"),"両方停止","運転がそろわない")))</f>
        <v>両方停止</v>
      </c>
      <c r="AU1612" s="30" t="n">
        <v>60</v>
      </c>
      <c r="AV1612" s="30" t="n">
        <v>0</v>
      </c>
      <c r="AW1612" s="30" t="str">
        <f aca="false">IF(OR(AE1612="判定不能",M1612="判定不能"),"判定不能",IF(AV1612&gt;=判定条件!$C$9,"利用可",IF(AND(AE1612="停止",M1612="停止"),"両方停止","運転がそろわない")))</f>
        <v>両方停止</v>
      </c>
      <c r="AX1612" s="30" t="str">
        <f aca="false">IF(AND(AH1612="利用可",AK1612="利用可",AN1612="利用可"),"利用可","不可")</f>
        <v>不可</v>
      </c>
      <c r="AY1612" s="30" t="str">
        <f aca="false">IF(AND(AQ1612="利用可",AT1612="利用可",AW1612="利用可"),"利用可","不可")</f>
        <v>不可</v>
      </c>
    </row>
    <row r="1613" customFormat="false" ht="15" hidden="false" customHeight="false" outlineLevel="0" collapsed="false">
      <c r="A1613" s="29" t="n">
        <v>46299</v>
      </c>
      <c r="B1613" s="30" t="n">
        <v>2</v>
      </c>
      <c r="C1613" s="31" t="s">
        <v>65</v>
      </c>
      <c r="D1613" s="31" t="s">
        <v>64</v>
      </c>
      <c r="E1613" s="30" t="n">
        <v>60</v>
      </c>
      <c r="F1613" s="30" t="n">
        <v>0</v>
      </c>
      <c r="G1613" s="30" t="str">
        <f aca="false">IF(E1613&lt;判定条件!$C$6,"判定不能",IF(F1613&gt;=判定条件!$C$7*E1613,"運転",IF(F1613&lt;=判定条件!$C$8*E1613,"停止","断続")))</f>
        <v>停止</v>
      </c>
      <c r="H1613" s="30" t="n">
        <v>60</v>
      </c>
      <c r="I1613" s="30" t="n">
        <v>0</v>
      </c>
      <c r="J1613" s="30" t="str">
        <f aca="false">IF(H1613&lt;判定条件!$C$6,"判定不能",IF(I1613&gt;=判定条件!$C$7*H1613,"運転",IF(I1613&lt;=判定条件!$C$8*H1613,"停止","断続")))</f>
        <v>停止</v>
      </c>
      <c r="K1613" s="30" t="n">
        <v>60</v>
      </c>
      <c r="L1613" s="30" t="n">
        <v>0</v>
      </c>
      <c r="M1613" s="30" t="str">
        <f aca="false">IF(K1613&lt;判定条件!$C$6,"判定不能",IF(L1613&gt;=判定条件!$C$7*K1613,"運転",IF(L1613&lt;=判定条件!$C$8*K1613,"停止","断続")))</f>
        <v>停止</v>
      </c>
      <c r="N1613" s="30" t="n">
        <v>60</v>
      </c>
      <c r="O1613" s="30" t="n">
        <v>0</v>
      </c>
      <c r="P1613" s="30" t="str">
        <f aca="false">IF(N1613&lt;判定条件!$C$6,"判定不能",IF(O1613&gt;=判定条件!$C$7*N1613,"運転",IF(O1613&lt;=判定条件!$C$8*N1613,"停止","断続")))</f>
        <v>停止</v>
      </c>
      <c r="Q1613" s="30" t="n">
        <v>60</v>
      </c>
      <c r="R1613" s="30" t="n">
        <v>0</v>
      </c>
      <c r="S1613" s="30" t="str">
        <f aca="false">IF(Q1613&lt;判定条件!$C$6,"判定不能",IF(R1613&gt;=判定条件!$C$7*Q1613,"運転",IF(R1613&lt;=判定条件!$C$8*Q1613,"停止","断続")))</f>
        <v>停止</v>
      </c>
      <c r="T1613" s="30" t="n">
        <v>60</v>
      </c>
      <c r="U1613" s="30" t="n">
        <v>0</v>
      </c>
      <c r="V1613" s="30" t="str">
        <f aca="false">IF(T1613&lt;判定条件!$C$6,"判定不能",IF(U1613&gt;=判定条件!$C$7*T1613,"運転",IF(U1613&lt;=判定条件!$C$8*T1613,"停止","断続")))</f>
        <v>停止</v>
      </c>
      <c r="W1613" s="30" t="n">
        <v>60</v>
      </c>
      <c r="X1613" s="30" t="n">
        <v>0</v>
      </c>
      <c r="Y1613" s="30" t="str">
        <f aca="false">IF(W1613&lt;判定条件!$C$6,"判定不能",IF(X1613&gt;=判定条件!$C$7*W1613,"運転",IF(X1613&lt;=判定条件!$C$8*W1613,"停止","断続")))</f>
        <v>停止</v>
      </c>
      <c r="Z1613" s="30" t="n">
        <v>60</v>
      </c>
      <c r="AA1613" s="30" t="n">
        <v>0</v>
      </c>
      <c r="AB1613" s="30" t="str">
        <f aca="false">IF(Z1613&lt;判定条件!$C$6,"判定不能",IF(AA1613&gt;=判定条件!$C$7*Z1613,"運転",IF(AA1613&lt;=判定条件!$C$8*Z1613,"停止","断続")))</f>
        <v>停止</v>
      </c>
      <c r="AC1613" s="30" t="n">
        <v>60</v>
      </c>
      <c r="AD1613" s="30" t="n">
        <v>0</v>
      </c>
      <c r="AE1613" s="30" t="str">
        <f aca="false">IF(AC1613&lt;判定条件!$C$6,"判定不能",IF(AD1613&gt;=判定条件!$C$7*AC1613,"運転",IF(AD1613&lt;=判定条件!$C$8*AC1613,"停止","断続")))</f>
        <v>停止</v>
      </c>
      <c r="AF1613" s="30" t="n">
        <v>60</v>
      </c>
      <c r="AG1613" s="30" t="n">
        <v>0</v>
      </c>
      <c r="AH1613" s="30" t="str">
        <f aca="false">IF(OR(P1613="判定不能",G1613="判定不能"),"判定不能",IF(AG1613&gt;=判定条件!$C$9,"利用可",IF(AND(P1613="停止",G1613="停止"),"両方停止","運転がそろわない")))</f>
        <v>両方停止</v>
      </c>
      <c r="AI1613" s="30" t="n">
        <v>60</v>
      </c>
      <c r="AJ1613" s="30" t="n">
        <v>0</v>
      </c>
      <c r="AK1613" s="30" t="str">
        <f aca="false">IF(OR(S1613="判定不能",J1613="判定不能"),"判定不能",IF(AJ1613&gt;=判定条件!$C$9,"利用可",IF(AND(S1613="停止",J1613="停止"),"両方停止","運転がそろわない")))</f>
        <v>両方停止</v>
      </c>
      <c r="AL1613" s="30" t="n">
        <v>60</v>
      </c>
      <c r="AM1613" s="30" t="n">
        <v>0</v>
      </c>
      <c r="AN1613" s="30" t="str">
        <f aca="false">IF(OR(V1613="判定不能",M1613="判定不能"),"判定不能",IF(AM1613&gt;=判定条件!$C$9,"利用可",IF(AND(V1613="停止",M1613="停止"),"両方停止","運転がそろわない")))</f>
        <v>両方停止</v>
      </c>
      <c r="AO1613" s="30" t="n">
        <v>60</v>
      </c>
      <c r="AP1613" s="30" t="n">
        <v>0</v>
      </c>
      <c r="AQ1613" s="30" t="str">
        <f aca="false">IF(OR(Y1613="判定不能",G1613="判定不能"),"判定不能",IF(AP1613&gt;=判定条件!$C$9,"利用可",IF(AND(Y1613="停止",G1613="停止"),"両方停止","運転がそろわない")))</f>
        <v>両方停止</v>
      </c>
      <c r="AR1613" s="30" t="n">
        <v>60</v>
      </c>
      <c r="AS1613" s="30" t="n">
        <v>0</v>
      </c>
      <c r="AT1613" s="30" t="str">
        <f aca="false">IF(OR(AB1613="判定不能",J1613="判定不能"),"判定不能",IF(AS1613&gt;=判定条件!$C$9,"利用可",IF(AND(AB1613="停止",J1613="停止"),"両方停止","運転がそろわない")))</f>
        <v>両方停止</v>
      </c>
      <c r="AU1613" s="30" t="n">
        <v>60</v>
      </c>
      <c r="AV1613" s="30" t="n">
        <v>0</v>
      </c>
      <c r="AW1613" s="30" t="str">
        <f aca="false">IF(OR(AE1613="判定不能",M1613="判定不能"),"判定不能",IF(AV1613&gt;=判定条件!$C$9,"利用可",IF(AND(AE1613="停止",M1613="停止"),"両方停止","運転がそろわない")))</f>
        <v>両方停止</v>
      </c>
      <c r="AX1613" s="30" t="str">
        <f aca="false">IF(AND(AH1613="利用可",AK1613="利用可",AN1613="利用可"),"利用可","不可")</f>
        <v>不可</v>
      </c>
      <c r="AY1613" s="30" t="str">
        <f aca="false">IF(AND(AQ1613="利用可",AT1613="利用可",AW1613="利用可"),"利用可","不可")</f>
        <v>不可</v>
      </c>
    </row>
    <row r="1614" customFormat="false" ht="15" hidden="false" customHeight="false" outlineLevel="0" collapsed="false">
      <c r="A1614" s="29" t="n">
        <v>46299</v>
      </c>
      <c r="B1614" s="30" t="n">
        <v>3</v>
      </c>
      <c r="C1614" s="31" t="s">
        <v>65</v>
      </c>
      <c r="D1614" s="31" t="s">
        <v>64</v>
      </c>
      <c r="E1614" s="30" t="n">
        <v>60</v>
      </c>
      <c r="F1614" s="30" t="n">
        <v>0</v>
      </c>
      <c r="G1614" s="30" t="str">
        <f aca="false">IF(E1614&lt;判定条件!$C$6,"判定不能",IF(F1614&gt;=判定条件!$C$7*E1614,"運転",IF(F1614&lt;=判定条件!$C$8*E1614,"停止","断続")))</f>
        <v>停止</v>
      </c>
      <c r="H1614" s="30" t="n">
        <v>60</v>
      </c>
      <c r="I1614" s="30" t="n">
        <v>0</v>
      </c>
      <c r="J1614" s="30" t="str">
        <f aca="false">IF(H1614&lt;判定条件!$C$6,"判定不能",IF(I1614&gt;=判定条件!$C$7*H1614,"運転",IF(I1614&lt;=判定条件!$C$8*H1614,"停止","断続")))</f>
        <v>停止</v>
      </c>
      <c r="K1614" s="30" t="n">
        <v>60</v>
      </c>
      <c r="L1614" s="30" t="n">
        <v>0</v>
      </c>
      <c r="M1614" s="30" t="str">
        <f aca="false">IF(K1614&lt;判定条件!$C$6,"判定不能",IF(L1614&gt;=判定条件!$C$7*K1614,"運転",IF(L1614&lt;=判定条件!$C$8*K1614,"停止","断続")))</f>
        <v>停止</v>
      </c>
      <c r="N1614" s="30" t="n">
        <v>60</v>
      </c>
      <c r="O1614" s="30" t="n">
        <v>0</v>
      </c>
      <c r="P1614" s="30" t="str">
        <f aca="false">IF(N1614&lt;判定条件!$C$6,"判定不能",IF(O1614&gt;=判定条件!$C$7*N1614,"運転",IF(O1614&lt;=判定条件!$C$8*N1614,"停止","断続")))</f>
        <v>停止</v>
      </c>
      <c r="Q1614" s="30" t="n">
        <v>60</v>
      </c>
      <c r="R1614" s="30" t="n">
        <v>0</v>
      </c>
      <c r="S1614" s="30" t="str">
        <f aca="false">IF(Q1614&lt;判定条件!$C$6,"判定不能",IF(R1614&gt;=判定条件!$C$7*Q1614,"運転",IF(R1614&lt;=判定条件!$C$8*Q1614,"停止","断続")))</f>
        <v>停止</v>
      </c>
      <c r="T1614" s="30" t="n">
        <v>60</v>
      </c>
      <c r="U1614" s="30" t="n">
        <v>0</v>
      </c>
      <c r="V1614" s="30" t="str">
        <f aca="false">IF(T1614&lt;判定条件!$C$6,"判定不能",IF(U1614&gt;=判定条件!$C$7*T1614,"運転",IF(U1614&lt;=判定条件!$C$8*T1614,"停止","断続")))</f>
        <v>停止</v>
      </c>
      <c r="W1614" s="30" t="n">
        <v>60</v>
      </c>
      <c r="X1614" s="30" t="n">
        <v>0</v>
      </c>
      <c r="Y1614" s="30" t="str">
        <f aca="false">IF(W1614&lt;判定条件!$C$6,"判定不能",IF(X1614&gt;=判定条件!$C$7*W1614,"運転",IF(X1614&lt;=判定条件!$C$8*W1614,"停止","断続")))</f>
        <v>停止</v>
      </c>
      <c r="Z1614" s="30" t="n">
        <v>60</v>
      </c>
      <c r="AA1614" s="30" t="n">
        <v>0</v>
      </c>
      <c r="AB1614" s="30" t="str">
        <f aca="false">IF(Z1614&lt;判定条件!$C$6,"判定不能",IF(AA1614&gt;=判定条件!$C$7*Z1614,"運転",IF(AA1614&lt;=判定条件!$C$8*Z1614,"停止","断続")))</f>
        <v>停止</v>
      </c>
      <c r="AC1614" s="30" t="n">
        <v>60</v>
      </c>
      <c r="AD1614" s="30" t="n">
        <v>0</v>
      </c>
      <c r="AE1614" s="30" t="str">
        <f aca="false">IF(AC1614&lt;判定条件!$C$6,"判定不能",IF(AD1614&gt;=判定条件!$C$7*AC1614,"運転",IF(AD1614&lt;=判定条件!$C$8*AC1614,"停止","断続")))</f>
        <v>停止</v>
      </c>
      <c r="AF1614" s="30" t="n">
        <v>60</v>
      </c>
      <c r="AG1614" s="30" t="n">
        <v>0</v>
      </c>
      <c r="AH1614" s="30" t="str">
        <f aca="false">IF(OR(P1614="判定不能",G1614="判定不能"),"判定不能",IF(AG1614&gt;=判定条件!$C$9,"利用可",IF(AND(P1614="停止",G1614="停止"),"両方停止","運転がそろわない")))</f>
        <v>両方停止</v>
      </c>
      <c r="AI1614" s="30" t="n">
        <v>60</v>
      </c>
      <c r="AJ1614" s="30" t="n">
        <v>0</v>
      </c>
      <c r="AK1614" s="30" t="str">
        <f aca="false">IF(OR(S1614="判定不能",J1614="判定不能"),"判定不能",IF(AJ1614&gt;=判定条件!$C$9,"利用可",IF(AND(S1614="停止",J1614="停止"),"両方停止","運転がそろわない")))</f>
        <v>両方停止</v>
      </c>
      <c r="AL1614" s="30" t="n">
        <v>60</v>
      </c>
      <c r="AM1614" s="30" t="n">
        <v>0</v>
      </c>
      <c r="AN1614" s="30" t="str">
        <f aca="false">IF(OR(V1614="判定不能",M1614="判定不能"),"判定不能",IF(AM1614&gt;=判定条件!$C$9,"利用可",IF(AND(V1614="停止",M1614="停止"),"両方停止","運転がそろわない")))</f>
        <v>両方停止</v>
      </c>
      <c r="AO1614" s="30" t="n">
        <v>60</v>
      </c>
      <c r="AP1614" s="30" t="n">
        <v>0</v>
      </c>
      <c r="AQ1614" s="30" t="str">
        <f aca="false">IF(OR(Y1614="判定不能",G1614="判定不能"),"判定不能",IF(AP1614&gt;=判定条件!$C$9,"利用可",IF(AND(Y1614="停止",G1614="停止"),"両方停止","運転がそろわない")))</f>
        <v>両方停止</v>
      </c>
      <c r="AR1614" s="30" t="n">
        <v>60</v>
      </c>
      <c r="AS1614" s="30" t="n">
        <v>0</v>
      </c>
      <c r="AT1614" s="30" t="str">
        <f aca="false">IF(OR(AB1614="判定不能",J1614="判定不能"),"判定不能",IF(AS1614&gt;=判定条件!$C$9,"利用可",IF(AND(AB1614="停止",J1614="停止"),"両方停止","運転がそろわない")))</f>
        <v>両方停止</v>
      </c>
      <c r="AU1614" s="30" t="n">
        <v>60</v>
      </c>
      <c r="AV1614" s="30" t="n">
        <v>0</v>
      </c>
      <c r="AW1614" s="30" t="str">
        <f aca="false">IF(OR(AE1614="判定不能",M1614="判定不能"),"判定不能",IF(AV1614&gt;=判定条件!$C$9,"利用可",IF(AND(AE1614="停止",M1614="停止"),"両方停止","運転がそろわない")))</f>
        <v>両方停止</v>
      </c>
      <c r="AX1614" s="30" t="str">
        <f aca="false">IF(AND(AH1614="利用可",AK1614="利用可",AN1614="利用可"),"利用可","不可")</f>
        <v>不可</v>
      </c>
      <c r="AY1614" s="30" t="str">
        <f aca="false">IF(AND(AQ1614="利用可",AT1614="利用可",AW1614="利用可"),"利用可","不可")</f>
        <v>不可</v>
      </c>
    </row>
    <row r="1615" customFormat="false" ht="15" hidden="false" customHeight="false" outlineLevel="0" collapsed="false">
      <c r="A1615" s="29" t="n">
        <v>46299</v>
      </c>
      <c r="B1615" s="30" t="n">
        <v>4</v>
      </c>
      <c r="C1615" s="31" t="s">
        <v>65</v>
      </c>
      <c r="D1615" s="31" t="s">
        <v>64</v>
      </c>
      <c r="E1615" s="30" t="n">
        <v>60</v>
      </c>
      <c r="F1615" s="30" t="n">
        <v>0</v>
      </c>
      <c r="G1615" s="30" t="str">
        <f aca="false">IF(E1615&lt;判定条件!$C$6,"判定不能",IF(F1615&gt;=判定条件!$C$7*E1615,"運転",IF(F1615&lt;=判定条件!$C$8*E1615,"停止","断続")))</f>
        <v>停止</v>
      </c>
      <c r="H1615" s="30" t="n">
        <v>60</v>
      </c>
      <c r="I1615" s="30" t="n">
        <v>0</v>
      </c>
      <c r="J1615" s="30" t="str">
        <f aca="false">IF(H1615&lt;判定条件!$C$6,"判定不能",IF(I1615&gt;=判定条件!$C$7*H1615,"運転",IF(I1615&lt;=判定条件!$C$8*H1615,"停止","断続")))</f>
        <v>停止</v>
      </c>
      <c r="K1615" s="30" t="n">
        <v>60</v>
      </c>
      <c r="L1615" s="30" t="n">
        <v>0</v>
      </c>
      <c r="M1615" s="30" t="str">
        <f aca="false">IF(K1615&lt;判定条件!$C$6,"判定不能",IF(L1615&gt;=判定条件!$C$7*K1615,"運転",IF(L1615&lt;=判定条件!$C$8*K1615,"停止","断続")))</f>
        <v>停止</v>
      </c>
      <c r="N1615" s="30" t="n">
        <v>60</v>
      </c>
      <c r="O1615" s="30" t="n">
        <v>0</v>
      </c>
      <c r="P1615" s="30" t="str">
        <f aca="false">IF(N1615&lt;判定条件!$C$6,"判定不能",IF(O1615&gt;=判定条件!$C$7*N1615,"運転",IF(O1615&lt;=判定条件!$C$8*N1615,"停止","断続")))</f>
        <v>停止</v>
      </c>
      <c r="Q1615" s="30" t="n">
        <v>60</v>
      </c>
      <c r="R1615" s="30" t="n">
        <v>0</v>
      </c>
      <c r="S1615" s="30" t="str">
        <f aca="false">IF(Q1615&lt;判定条件!$C$6,"判定不能",IF(R1615&gt;=判定条件!$C$7*Q1615,"運転",IF(R1615&lt;=判定条件!$C$8*Q1615,"停止","断続")))</f>
        <v>停止</v>
      </c>
      <c r="T1615" s="30" t="n">
        <v>60</v>
      </c>
      <c r="U1615" s="30" t="n">
        <v>0</v>
      </c>
      <c r="V1615" s="30" t="str">
        <f aca="false">IF(T1615&lt;判定条件!$C$6,"判定不能",IF(U1615&gt;=判定条件!$C$7*T1615,"運転",IF(U1615&lt;=判定条件!$C$8*T1615,"停止","断続")))</f>
        <v>停止</v>
      </c>
      <c r="W1615" s="30" t="n">
        <v>60</v>
      </c>
      <c r="X1615" s="30" t="n">
        <v>0</v>
      </c>
      <c r="Y1615" s="30" t="str">
        <f aca="false">IF(W1615&lt;判定条件!$C$6,"判定不能",IF(X1615&gt;=判定条件!$C$7*W1615,"運転",IF(X1615&lt;=判定条件!$C$8*W1615,"停止","断続")))</f>
        <v>停止</v>
      </c>
      <c r="Z1615" s="30" t="n">
        <v>60</v>
      </c>
      <c r="AA1615" s="30" t="n">
        <v>0</v>
      </c>
      <c r="AB1615" s="30" t="str">
        <f aca="false">IF(Z1615&lt;判定条件!$C$6,"判定不能",IF(AA1615&gt;=判定条件!$C$7*Z1615,"運転",IF(AA1615&lt;=判定条件!$C$8*Z1615,"停止","断続")))</f>
        <v>停止</v>
      </c>
      <c r="AC1615" s="30" t="n">
        <v>60</v>
      </c>
      <c r="AD1615" s="30" t="n">
        <v>0</v>
      </c>
      <c r="AE1615" s="30" t="str">
        <f aca="false">IF(AC1615&lt;判定条件!$C$6,"判定不能",IF(AD1615&gt;=判定条件!$C$7*AC1615,"運転",IF(AD1615&lt;=判定条件!$C$8*AC1615,"停止","断続")))</f>
        <v>停止</v>
      </c>
      <c r="AF1615" s="30" t="n">
        <v>60</v>
      </c>
      <c r="AG1615" s="30" t="n">
        <v>0</v>
      </c>
      <c r="AH1615" s="30" t="str">
        <f aca="false">IF(OR(P1615="判定不能",G1615="判定不能"),"判定不能",IF(AG1615&gt;=判定条件!$C$9,"利用可",IF(AND(P1615="停止",G1615="停止"),"両方停止","運転がそろわない")))</f>
        <v>両方停止</v>
      </c>
      <c r="AI1615" s="30" t="n">
        <v>60</v>
      </c>
      <c r="AJ1615" s="30" t="n">
        <v>0</v>
      </c>
      <c r="AK1615" s="30" t="str">
        <f aca="false">IF(OR(S1615="判定不能",J1615="判定不能"),"判定不能",IF(AJ1615&gt;=判定条件!$C$9,"利用可",IF(AND(S1615="停止",J1615="停止"),"両方停止","運転がそろわない")))</f>
        <v>両方停止</v>
      </c>
      <c r="AL1615" s="30" t="n">
        <v>60</v>
      </c>
      <c r="AM1615" s="30" t="n">
        <v>0</v>
      </c>
      <c r="AN1615" s="30" t="str">
        <f aca="false">IF(OR(V1615="判定不能",M1615="判定不能"),"判定不能",IF(AM1615&gt;=判定条件!$C$9,"利用可",IF(AND(V1615="停止",M1615="停止"),"両方停止","運転がそろわない")))</f>
        <v>両方停止</v>
      </c>
      <c r="AO1615" s="30" t="n">
        <v>60</v>
      </c>
      <c r="AP1615" s="30" t="n">
        <v>0</v>
      </c>
      <c r="AQ1615" s="30" t="str">
        <f aca="false">IF(OR(Y1615="判定不能",G1615="判定不能"),"判定不能",IF(AP1615&gt;=判定条件!$C$9,"利用可",IF(AND(Y1615="停止",G1615="停止"),"両方停止","運転がそろわない")))</f>
        <v>両方停止</v>
      </c>
      <c r="AR1615" s="30" t="n">
        <v>60</v>
      </c>
      <c r="AS1615" s="30" t="n">
        <v>0</v>
      </c>
      <c r="AT1615" s="30" t="str">
        <f aca="false">IF(OR(AB1615="判定不能",J1615="判定不能"),"判定不能",IF(AS1615&gt;=判定条件!$C$9,"利用可",IF(AND(AB1615="停止",J1615="停止"),"両方停止","運転がそろわない")))</f>
        <v>両方停止</v>
      </c>
      <c r="AU1615" s="30" t="n">
        <v>60</v>
      </c>
      <c r="AV1615" s="30" t="n">
        <v>0</v>
      </c>
      <c r="AW1615" s="30" t="str">
        <f aca="false">IF(OR(AE1615="判定不能",M1615="判定不能"),"判定不能",IF(AV1615&gt;=判定条件!$C$9,"利用可",IF(AND(AE1615="停止",M1615="停止"),"両方停止","運転がそろわない")))</f>
        <v>両方停止</v>
      </c>
      <c r="AX1615" s="30" t="str">
        <f aca="false">IF(AND(AH1615="利用可",AK1615="利用可",AN1615="利用可"),"利用可","不可")</f>
        <v>不可</v>
      </c>
      <c r="AY1615" s="30" t="str">
        <f aca="false">IF(AND(AQ1615="利用可",AT1615="利用可",AW1615="利用可"),"利用可","不可")</f>
        <v>不可</v>
      </c>
    </row>
    <row r="1616" customFormat="false" ht="15" hidden="false" customHeight="false" outlineLevel="0" collapsed="false">
      <c r="A1616" s="29" t="n">
        <v>46299</v>
      </c>
      <c r="B1616" s="30" t="n">
        <v>5</v>
      </c>
      <c r="C1616" s="31" t="s">
        <v>65</v>
      </c>
      <c r="D1616" s="31" t="s">
        <v>64</v>
      </c>
      <c r="E1616" s="30" t="n">
        <v>60</v>
      </c>
      <c r="F1616" s="30" t="n">
        <v>0</v>
      </c>
      <c r="G1616" s="30" t="str">
        <f aca="false">IF(E1616&lt;判定条件!$C$6,"判定不能",IF(F1616&gt;=判定条件!$C$7*E1616,"運転",IF(F1616&lt;=判定条件!$C$8*E1616,"停止","断続")))</f>
        <v>停止</v>
      </c>
      <c r="H1616" s="30" t="n">
        <v>60</v>
      </c>
      <c r="I1616" s="30" t="n">
        <v>0</v>
      </c>
      <c r="J1616" s="30" t="str">
        <f aca="false">IF(H1616&lt;判定条件!$C$6,"判定不能",IF(I1616&gt;=判定条件!$C$7*H1616,"運転",IF(I1616&lt;=判定条件!$C$8*H1616,"停止","断続")))</f>
        <v>停止</v>
      </c>
      <c r="K1616" s="30" t="n">
        <v>60</v>
      </c>
      <c r="L1616" s="30" t="n">
        <v>0</v>
      </c>
      <c r="M1616" s="30" t="str">
        <f aca="false">IF(K1616&lt;判定条件!$C$6,"判定不能",IF(L1616&gt;=判定条件!$C$7*K1616,"運転",IF(L1616&lt;=判定条件!$C$8*K1616,"停止","断続")))</f>
        <v>停止</v>
      </c>
      <c r="N1616" s="30" t="n">
        <v>60</v>
      </c>
      <c r="O1616" s="30" t="n">
        <v>0</v>
      </c>
      <c r="P1616" s="30" t="str">
        <f aca="false">IF(N1616&lt;判定条件!$C$6,"判定不能",IF(O1616&gt;=判定条件!$C$7*N1616,"運転",IF(O1616&lt;=判定条件!$C$8*N1616,"停止","断続")))</f>
        <v>停止</v>
      </c>
      <c r="Q1616" s="30" t="n">
        <v>60</v>
      </c>
      <c r="R1616" s="30" t="n">
        <v>0</v>
      </c>
      <c r="S1616" s="30" t="str">
        <f aca="false">IF(Q1616&lt;判定条件!$C$6,"判定不能",IF(R1616&gt;=判定条件!$C$7*Q1616,"運転",IF(R1616&lt;=判定条件!$C$8*Q1616,"停止","断続")))</f>
        <v>停止</v>
      </c>
      <c r="T1616" s="30" t="n">
        <v>60</v>
      </c>
      <c r="U1616" s="30" t="n">
        <v>0</v>
      </c>
      <c r="V1616" s="30" t="str">
        <f aca="false">IF(T1616&lt;判定条件!$C$6,"判定不能",IF(U1616&gt;=判定条件!$C$7*T1616,"運転",IF(U1616&lt;=判定条件!$C$8*T1616,"停止","断続")))</f>
        <v>停止</v>
      </c>
      <c r="W1616" s="30" t="n">
        <v>60</v>
      </c>
      <c r="X1616" s="30" t="n">
        <v>0</v>
      </c>
      <c r="Y1616" s="30" t="str">
        <f aca="false">IF(W1616&lt;判定条件!$C$6,"判定不能",IF(X1616&gt;=判定条件!$C$7*W1616,"運転",IF(X1616&lt;=判定条件!$C$8*W1616,"停止","断続")))</f>
        <v>停止</v>
      </c>
      <c r="Z1616" s="30" t="n">
        <v>60</v>
      </c>
      <c r="AA1616" s="30" t="n">
        <v>0</v>
      </c>
      <c r="AB1616" s="30" t="str">
        <f aca="false">IF(Z1616&lt;判定条件!$C$6,"判定不能",IF(AA1616&gt;=判定条件!$C$7*Z1616,"運転",IF(AA1616&lt;=判定条件!$C$8*Z1616,"停止","断続")))</f>
        <v>停止</v>
      </c>
      <c r="AC1616" s="30" t="n">
        <v>60</v>
      </c>
      <c r="AD1616" s="30" t="n">
        <v>0</v>
      </c>
      <c r="AE1616" s="30" t="str">
        <f aca="false">IF(AC1616&lt;判定条件!$C$6,"判定不能",IF(AD1616&gt;=判定条件!$C$7*AC1616,"運転",IF(AD1616&lt;=判定条件!$C$8*AC1616,"停止","断続")))</f>
        <v>停止</v>
      </c>
      <c r="AF1616" s="30" t="n">
        <v>60</v>
      </c>
      <c r="AG1616" s="30" t="n">
        <v>0</v>
      </c>
      <c r="AH1616" s="30" t="str">
        <f aca="false">IF(OR(P1616="判定不能",G1616="判定不能"),"判定不能",IF(AG1616&gt;=判定条件!$C$9,"利用可",IF(AND(P1616="停止",G1616="停止"),"両方停止","運転がそろわない")))</f>
        <v>両方停止</v>
      </c>
      <c r="AI1616" s="30" t="n">
        <v>60</v>
      </c>
      <c r="AJ1616" s="30" t="n">
        <v>0</v>
      </c>
      <c r="AK1616" s="30" t="str">
        <f aca="false">IF(OR(S1616="判定不能",J1616="判定不能"),"判定不能",IF(AJ1616&gt;=判定条件!$C$9,"利用可",IF(AND(S1616="停止",J1616="停止"),"両方停止","運転がそろわない")))</f>
        <v>両方停止</v>
      </c>
      <c r="AL1616" s="30" t="n">
        <v>60</v>
      </c>
      <c r="AM1616" s="30" t="n">
        <v>0</v>
      </c>
      <c r="AN1616" s="30" t="str">
        <f aca="false">IF(OR(V1616="判定不能",M1616="判定不能"),"判定不能",IF(AM1616&gt;=判定条件!$C$9,"利用可",IF(AND(V1616="停止",M1616="停止"),"両方停止","運転がそろわない")))</f>
        <v>両方停止</v>
      </c>
      <c r="AO1616" s="30" t="n">
        <v>60</v>
      </c>
      <c r="AP1616" s="30" t="n">
        <v>0</v>
      </c>
      <c r="AQ1616" s="30" t="str">
        <f aca="false">IF(OR(Y1616="判定不能",G1616="判定不能"),"判定不能",IF(AP1616&gt;=判定条件!$C$9,"利用可",IF(AND(Y1616="停止",G1616="停止"),"両方停止","運転がそろわない")))</f>
        <v>両方停止</v>
      </c>
      <c r="AR1616" s="30" t="n">
        <v>60</v>
      </c>
      <c r="AS1616" s="30" t="n">
        <v>0</v>
      </c>
      <c r="AT1616" s="30" t="str">
        <f aca="false">IF(OR(AB1616="判定不能",J1616="判定不能"),"判定不能",IF(AS1616&gt;=判定条件!$C$9,"利用可",IF(AND(AB1616="停止",J1616="停止"),"両方停止","運転がそろわない")))</f>
        <v>両方停止</v>
      </c>
      <c r="AU1616" s="30" t="n">
        <v>60</v>
      </c>
      <c r="AV1616" s="30" t="n">
        <v>0</v>
      </c>
      <c r="AW1616" s="30" t="str">
        <f aca="false">IF(OR(AE1616="判定不能",M1616="判定不能"),"判定不能",IF(AV1616&gt;=判定条件!$C$9,"利用可",IF(AND(AE1616="停止",M1616="停止"),"両方停止","運転がそろわない")))</f>
        <v>両方停止</v>
      </c>
      <c r="AX1616" s="30" t="str">
        <f aca="false">IF(AND(AH1616="利用可",AK1616="利用可",AN1616="利用可"),"利用可","不可")</f>
        <v>不可</v>
      </c>
      <c r="AY1616" s="30" t="str">
        <f aca="false">IF(AND(AQ1616="利用可",AT1616="利用可",AW1616="利用可"),"利用可","不可")</f>
        <v>不可</v>
      </c>
    </row>
    <row r="1617" customFormat="false" ht="15" hidden="false" customHeight="false" outlineLevel="0" collapsed="false">
      <c r="A1617" s="29" t="n">
        <v>46299</v>
      </c>
      <c r="B1617" s="30" t="n">
        <v>6</v>
      </c>
      <c r="C1617" s="31" t="s">
        <v>65</v>
      </c>
      <c r="D1617" s="31" t="s">
        <v>64</v>
      </c>
      <c r="E1617" s="30" t="n">
        <v>60</v>
      </c>
      <c r="F1617" s="30" t="n">
        <v>0</v>
      </c>
      <c r="G1617" s="30" t="str">
        <f aca="false">IF(E1617&lt;判定条件!$C$6,"判定不能",IF(F1617&gt;=判定条件!$C$7*E1617,"運転",IF(F1617&lt;=判定条件!$C$8*E1617,"停止","断続")))</f>
        <v>停止</v>
      </c>
      <c r="H1617" s="30" t="n">
        <v>60</v>
      </c>
      <c r="I1617" s="30" t="n">
        <v>0</v>
      </c>
      <c r="J1617" s="30" t="str">
        <f aca="false">IF(H1617&lt;判定条件!$C$6,"判定不能",IF(I1617&gt;=判定条件!$C$7*H1617,"運転",IF(I1617&lt;=判定条件!$C$8*H1617,"停止","断続")))</f>
        <v>停止</v>
      </c>
      <c r="K1617" s="30" t="n">
        <v>60</v>
      </c>
      <c r="L1617" s="30" t="n">
        <v>5</v>
      </c>
      <c r="M1617" s="30" t="str">
        <f aca="false">IF(K1617&lt;判定条件!$C$6,"判定不能",IF(L1617&gt;=判定条件!$C$7*K1617,"運転",IF(L1617&lt;=判定条件!$C$8*K1617,"停止","断続")))</f>
        <v>停止</v>
      </c>
      <c r="N1617" s="30" t="n">
        <v>60</v>
      </c>
      <c r="O1617" s="30" t="n">
        <v>2</v>
      </c>
      <c r="P1617" s="30" t="str">
        <f aca="false">IF(N1617&lt;判定条件!$C$6,"判定不能",IF(O1617&gt;=判定条件!$C$7*N1617,"運転",IF(O1617&lt;=判定条件!$C$8*N1617,"停止","断続")))</f>
        <v>停止</v>
      </c>
      <c r="Q1617" s="30" t="n">
        <v>60</v>
      </c>
      <c r="R1617" s="30" t="n">
        <v>0</v>
      </c>
      <c r="S1617" s="30" t="str">
        <f aca="false">IF(Q1617&lt;判定条件!$C$6,"判定不能",IF(R1617&gt;=判定条件!$C$7*Q1617,"運転",IF(R1617&lt;=判定条件!$C$8*Q1617,"停止","断続")))</f>
        <v>停止</v>
      </c>
      <c r="T1617" s="30" t="n">
        <v>60</v>
      </c>
      <c r="U1617" s="30" t="n">
        <v>0</v>
      </c>
      <c r="V1617" s="30" t="str">
        <f aca="false">IF(T1617&lt;判定条件!$C$6,"判定不能",IF(U1617&gt;=判定条件!$C$7*T1617,"運転",IF(U1617&lt;=判定条件!$C$8*T1617,"停止","断続")))</f>
        <v>停止</v>
      </c>
      <c r="W1617" s="30" t="n">
        <v>60</v>
      </c>
      <c r="X1617" s="30" t="n">
        <v>0</v>
      </c>
      <c r="Y1617" s="30" t="str">
        <f aca="false">IF(W1617&lt;判定条件!$C$6,"判定不能",IF(X1617&gt;=判定条件!$C$7*W1617,"運転",IF(X1617&lt;=判定条件!$C$8*W1617,"停止","断続")))</f>
        <v>停止</v>
      </c>
      <c r="Z1617" s="30" t="n">
        <v>60</v>
      </c>
      <c r="AA1617" s="30" t="n">
        <v>0</v>
      </c>
      <c r="AB1617" s="30" t="str">
        <f aca="false">IF(Z1617&lt;判定条件!$C$6,"判定不能",IF(AA1617&gt;=判定条件!$C$7*Z1617,"運転",IF(AA1617&lt;=判定条件!$C$8*Z1617,"停止","断続")))</f>
        <v>停止</v>
      </c>
      <c r="AC1617" s="30" t="n">
        <v>60</v>
      </c>
      <c r="AD1617" s="30" t="n">
        <v>0</v>
      </c>
      <c r="AE1617" s="30" t="str">
        <f aca="false">IF(AC1617&lt;判定条件!$C$6,"判定不能",IF(AD1617&gt;=判定条件!$C$7*AC1617,"運転",IF(AD1617&lt;=判定条件!$C$8*AC1617,"停止","断続")))</f>
        <v>停止</v>
      </c>
      <c r="AF1617" s="30" t="n">
        <v>60</v>
      </c>
      <c r="AG1617" s="30" t="n">
        <v>0</v>
      </c>
      <c r="AH1617" s="30" t="str">
        <f aca="false">IF(OR(P1617="判定不能",G1617="判定不能"),"判定不能",IF(AG1617&gt;=判定条件!$C$9,"利用可",IF(AND(P1617="停止",G1617="停止"),"両方停止","運転がそろわない")))</f>
        <v>両方停止</v>
      </c>
      <c r="AI1617" s="30" t="n">
        <v>60</v>
      </c>
      <c r="AJ1617" s="30" t="n">
        <v>0</v>
      </c>
      <c r="AK1617" s="30" t="str">
        <f aca="false">IF(OR(S1617="判定不能",J1617="判定不能"),"判定不能",IF(AJ1617&gt;=判定条件!$C$9,"利用可",IF(AND(S1617="停止",J1617="停止"),"両方停止","運転がそろわない")))</f>
        <v>両方停止</v>
      </c>
      <c r="AL1617" s="30" t="n">
        <v>60</v>
      </c>
      <c r="AM1617" s="30" t="n">
        <v>0</v>
      </c>
      <c r="AN1617" s="30" t="str">
        <f aca="false">IF(OR(V1617="判定不能",M1617="判定不能"),"判定不能",IF(AM1617&gt;=判定条件!$C$9,"利用可",IF(AND(V1617="停止",M1617="停止"),"両方停止","運転がそろわない")))</f>
        <v>両方停止</v>
      </c>
      <c r="AO1617" s="30" t="n">
        <v>60</v>
      </c>
      <c r="AP1617" s="30" t="n">
        <v>0</v>
      </c>
      <c r="AQ1617" s="30" t="str">
        <f aca="false">IF(OR(Y1617="判定不能",G1617="判定不能"),"判定不能",IF(AP1617&gt;=判定条件!$C$9,"利用可",IF(AND(Y1617="停止",G1617="停止"),"両方停止","運転がそろわない")))</f>
        <v>両方停止</v>
      </c>
      <c r="AR1617" s="30" t="n">
        <v>60</v>
      </c>
      <c r="AS1617" s="30" t="n">
        <v>0</v>
      </c>
      <c r="AT1617" s="30" t="str">
        <f aca="false">IF(OR(AB1617="判定不能",J1617="判定不能"),"判定不能",IF(AS1617&gt;=判定条件!$C$9,"利用可",IF(AND(AB1617="停止",J1617="停止"),"両方停止","運転がそろわない")))</f>
        <v>両方停止</v>
      </c>
      <c r="AU1617" s="30" t="n">
        <v>60</v>
      </c>
      <c r="AV1617" s="30" t="n">
        <v>0</v>
      </c>
      <c r="AW1617" s="30" t="str">
        <f aca="false">IF(OR(AE1617="判定不能",M1617="判定不能"),"判定不能",IF(AV1617&gt;=判定条件!$C$9,"利用可",IF(AND(AE1617="停止",M1617="停止"),"両方停止","運転がそろわない")))</f>
        <v>両方停止</v>
      </c>
      <c r="AX1617" s="30" t="str">
        <f aca="false">IF(AND(AH1617="利用可",AK1617="利用可",AN1617="利用可"),"利用可","不可")</f>
        <v>不可</v>
      </c>
      <c r="AY1617" s="30" t="str">
        <f aca="false">IF(AND(AQ1617="利用可",AT1617="利用可",AW1617="利用可"),"利用可","不可")</f>
        <v>不可</v>
      </c>
    </row>
    <row r="1618" customFormat="false" ht="15" hidden="false" customHeight="false" outlineLevel="0" collapsed="false">
      <c r="A1618" s="29" t="n">
        <v>46299</v>
      </c>
      <c r="B1618" s="30" t="n">
        <v>7</v>
      </c>
      <c r="C1618" s="31" t="s">
        <v>65</v>
      </c>
      <c r="D1618" s="31" t="s">
        <v>64</v>
      </c>
      <c r="E1618" s="30" t="n">
        <v>60</v>
      </c>
      <c r="F1618" s="30" t="n">
        <v>0</v>
      </c>
      <c r="G1618" s="30" t="str">
        <f aca="false">IF(E1618&lt;判定条件!$C$6,"判定不能",IF(F1618&gt;=判定条件!$C$7*E1618,"運転",IF(F1618&lt;=判定条件!$C$8*E1618,"停止","断続")))</f>
        <v>停止</v>
      </c>
      <c r="H1618" s="30" t="n">
        <v>60</v>
      </c>
      <c r="I1618" s="30" t="n">
        <v>0</v>
      </c>
      <c r="J1618" s="30" t="str">
        <f aca="false">IF(H1618&lt;判定条件!$C$6,"判定不能",IF(I1618&gt;=判定条件!$C$7*H1618,"運転",IF(I1618&lt;=判定条件!$C$8*H1618,"停止","断続")))</f>
        <v>停止</v>
      </c>
      <c r="K1618" s="30" t="n">
        <v>60</v>
      </c>
      <c r="L1618" s="30" t="n">
        <v>0</v>
      </c>
      <c r="M1618" s="30" t="str">
        <f aca="false">IF(K1618&lt;判定条件!$C$6,"判定不能",IF(L1618&gt;=判定条件!$C$7*K1618,"運転",IF(L1618&lt;=判定条件!$C$8*K1618,"停止","断続")))</f>
        <v>停止</v>
      </c>
      <c r="N1618" s="30" t="n">
        <v>60</v>
      </c>
      <c r="O1618" s="30" t="n">
        <v>0</v>
      </c>
      <c r="P1618" s="30" t="str">
        <f aca="false">IF(N1618&lt;判定条件!$C$6,"判定不能",IF(O1618&gt;=判定条件!$C$7*N1618,"運転",IF(O1618&lt;=判定条件!$C$8*N1618,"停止","断続")))</f>
        <v>停止</v>
      </c>
      <c r="Q1618" s="30" t="n">
        <v>60</v>
      </c>
      <c r="R1618" s="30" t="n">
        <v>0</v>
      </c>
      <c r="S1618" s="30" t="str">
        <f aca="false">IF(Q1618&lt;判定条件!$C$6,"判定不能",IF(R1618&gt;=判定条件!$C$7*Q1618,"運転",IF(R1618&lt;=判定条件!$C$8*Q1618,"停止","断続")))</f>
        <v>停止</v>
      </c>
      <c r="T1618" s="30" t="n">
        <v>60</v>
      </c>
      <c r="U1618" s="30" t="n">
        <v>0</v>
      </c>
      <c r="V1618" s="30" t="str">
        <f aca="false">IF(T1618&lt;判定条件!$C$6,"判定不能",IF(U1618&gt;=判定条件!$C$7*T1618,"運転",IF(U1618&lt;=判定条件!$C$8*T1618,"停止","断続")))</f>
        <v>停止</v>
      </c>
      <c r="W1618" s="30" t="n">
        <v>60</v>
      </c>
      <c r="X1618" s="30" t="n">
        <v>13</v>
      </c>
      <c r="Y1618" s="30" t="str">
        <f aca="false">IF(W1618&lt;判定条件!$C$6,"判定不能",IF(X1618&gt;=判定条件!$C$7*W1618,"運転",IF(X1618&lt;=判定条件!$C$8*W1618,"停止","断続")))</f>
        <v>断続</v>
      </c>
      <c r="Z1618" s="30" t="n">
        <v>60</v>
      </c>
      <c r="AA1618" s="30" t="n">
        <v>25</v>
      </c>
      <c r="AB1618" s="30" t="str">
        <f aca="false">IF(Z1618&lt;判定条件!$C$6,"判定不能",IF(AA1618&gt;=判定条件!$C$7*Z1618,"運転",IF(AA1618&lt;=判定条件!$C$8*Z1618,"停止","断続")))</f>
        <v>断続</v>
      </c>
      <c r="AC1618" s="30" t="n">
        <v>60</v>
      </c>
      <c r="AD1618" s="30" t="n">
        <v>0</v>
      </c>
      <c r="AE1618" s="30" t="str">
        <f aca="false">IF(AC1618&lt;判定条件!$C$6,"判定不能",IF(AD1618&gt;=判定条件!$C$7*AC1618,"運転",IF(AD1618&lt;=判定条件!$C$8*AC1618,"停止","断続")))</f>
        <v>停止</v>
      </c>
      <c r="AF1618" s="30" t="n">
        <v>60</v>
      </c>
      <c r="AG1618" s="30" t="n">
        <v>0</v>
      </c>
      <c r="AH1618" s="30" t="str">
        <f aca="false">IF(OR(P1618="判定不能",G1618="判定不能"),"判定不能",IF(AG1618&gt;=判定条件!$C$9,"利用可",IF(AND(P1618="停止",G1618="停止"),"両方停止","運転がそろわない")))</f>
        <v>両方停止</v>
      </c>
      <c r="AI1618" s="30" t="n">
        <v>60</v>
      </c>
      <c r="AJ1618" s="30" t="n">
        <v>0</v>
      </c>
      <c r="AK1618" s="30" t="str">
        <f aca="false">IF(OR(S1618="判定不能",J1618="判定不能"),"判定不能",IF(AJ1618&gt;=判定条件!$C$9,"利用可",IF(AND(S1618="停止",J1618="停止"),"両方停止","運転がそろわない")))</f>
        <v>両方停止</v>
      </c>
      <c r="AL1618" s="30" t="n">
        <v>60</v>
      </c>
      <c r="AM1618" s="30" t="n">
        <v>0</v>
      </c>
      <c r="AN1618" s="30" t="str">
        <f aca="false">IF(OR(V1618="判定不能",M1618="判定不能"),"判定不能",IF(AM1618&gt;=判定条件!$C$9,"利用可",IF(AND(V1618="停止",M1618="停止"),"両方停止","運転がそろわない")))</f>
        <v>両方停止</v>
      </c>
      <c r="AO1618" s="30" t="n">
        <v>60</v>
      </c>
      <c r="AP1618" s="30" t="n">
        <v>0</v>
      </c>
      <c r="AQ1618" s="30" t="str">
        <f aca="false">IF(OR(Y1618="判定不能",G1618="判定不能"),"判定不能",IF(AP1618&gt;=判定条件!$C$9,"利用可",IF(AND(Y1618="停止",G1618="停止"),"両方停止","運転がそろわない")))</f>
        <v>運転がそろわない</v>
      </c>
      <c r="AR1618" s="30" t="n">
        <v>60</v>
      </c>
      <c r="AS1618" s="30" t="n">
        <v>0</v>
      </c>
      <c r="AT1618" s="30" t="str">
        <f aca="false">IF(OR(AB1618="判定不能",J1618="判定不能"),"判定不能",IF(AS1618&gt;=判定条件!$C$9,"利用可",IF(AND(AB1618="停止",J1618="停止"),"両方停止","運転がそろわない")))</f>
        <v>運転がそろわない</v>
      </c>
      <c r="AU1618" s="30" t="n">
        <v>60</v>
      </c>
      <c r="AV1618" s="30" t="n">
        <v>0</v>
      </c>
      <c r="AW1618" s="30" t="str">
        <f aca="false">IF(OR(AE1618="判定不能",M1618="判定不能"),"判定不能",IF(AV1618&gt;=判定条件!$C$9,"利用可",IF(AND(AE1618="停止",M1618="停止"),"両方停止","運転がそろわない")))</f>
        <v>両方停止</v>
      </c>
      <c r="AX1618" s="30" t="str">
        <f aca="false">IF(AND(AH1618="利用可",AK1618="利用可",AN1618="利用可"),"利用可","不可")</f>
        <v>不可</v>
      </c>
      <c r="AY1618" s="30" t="str">
        <f aca="false">IF(AND(AQ1618="利用可",AT1618="利用可",AW1618="利用可"),"利用可","不可")</f>
        <v>不可</v>
      </c>
    </row>
    <row r="1619" customFormat="false" ht="15" hidden="false" customHeight="false" outlineLevel="0" collapsed="false">
      <c r="A1619" s="29" t="n">
        <v>46299</v>
      </c>
      <c r="B1619" s="30" t="n">
        <v>8</v>
      </c>
      <c r="C1619" s="31" t="s">
        <v>65</v>
      </c>
      <c r="D1619" s="31" t="s">
        <v>64</v>
      </c>
      <c r="E1619" s="30" t="n">
        <v>60</v>
      </c>
      <c r="F1619" s="30" t="n">
        <v>0</v>
      </c>
      <c r="G1619" s="30" t="str">
        <f aca="false">IF(E1619&lt;判定条件!$C$6,"判定不能",IF(F1619&gt;=判定条件!$C$7*E1619,"運転",IF(F1619&lt;=判定条件!$C$8*E1619,"停止","断続")))</f>
        <v>停止</v>
      </c>
      <c r="H1619" s="30" t="n">
        <v>60</v>
      </c>
      <c r="I1619" s="30" t="n">
        <v>0</v>
      </c>
      <c r="J1619" s="30" t="str">
        <f aca="false">IF(H1619&lt;判定条件!$C$6,"判定不能",IF(I1619&gt;=判定条件!$C$7*H1619,"運転",IF(I1619&lt;=判定条件!$C$8*H1619,"停止","断続")))</f>
        <v>停止</v>
      </c>
      <c r="K1619" s="30" t="n">
        <v>60</v>
      </c>
      <c r="L1619" s="30" t="n">
        <v>0</v>
      </c>
      <c r="M1619" s="30" t="str">
        <f aca="false">IF(K1619&lt;判定条件!$C$6,"判定不能",IF(L1619&gt;=判定条件!$C$7*K1619,"運転",IF(L1619&lt;=判定条件!$C$8*K1619,"停止","断続")))</f>
        <v>停止</v>
      </c>
      <c r="N1619" s="30" t="n">
        <v>60</v>
      </c>
      <c r="O1619" s="30" t="n">
        <v>40</v>
      </c>
      <c r="P1619" s="30" t="str">
        <f aca="false">IF(N1619&lt;判定条件!$C$6,"判定不能",IF(O1619&gt;=判定条件!$C$7*N1619,"運転",IF(O1619&lt;=判定条件!$C$8*N1619,"停止","断続")))</f>
        <v>断続</v>
      </c>
      <c r="Q1619" s="30" t="n">
        <v>60</v>
      </c>
      <c r="R1619" s="30" t="n">
        <v>14</v>
      </c>
      <c r="S1619" s="30" t="str">
        <f aca="false">IF(Q1619&lt;判定条件!$C$6,"判定不能",IF(R1619&gt;=判定条件!$C$7*Q1619,"運転",IF(R1619&lt;=判定条件!$C$8*Q1619,"停止","断続")))</f>
        <v>断続</v>
      </c>
      <c r="T1619" s="30" t="n">
        <v>60</v>
      </c>
      <c r="U1619" s="30" t="n">
        <v>42</v>
      </c>
      <c r="V1619" s="30" t="str">
        <f aca="false">IF(T1619&lt;判定条件!$C$6,"判定不能",IF(U1619&gt;=判定条件!$C$7*T1619,"運転",IF(U1619&lt;=判定条件!$C$8*T1619,"停止","断続")))</f>
        <v>断続</v>
      </c>
      <c r="W1619" s="30" t="n">
        <v>60</v>
      </c>
      <c r="X1619" s="30" t="n">
        <v>51</v>
      </c>
      <c r="Y1619" s="30" t="str">
        <f aca="false">IF(W1619&lt;判定条件!$C$6,"判定不能",IF(X1619&gt;=判定条件!$C$7*W1619,"運転",IF(X1619&lt;=判定条件!$C$8*W1619,"停止","断続")))</f>
        <v>運転</v>
      </c>
      <c r="Z1619" s="30" t="n">
        <v>60</v>
      </c>
      <c r="AA1619" s="30" t="n">
        <v>53</v>
      </c>
      <c r="AB1619" s="30" t="str">
        <f aca="false">IF(Z1619&lt;判定条件!$C$6,"判定不能",IF(AA1619&gt;=判定条件!$C$7*Z1619,"運転",IF(AA1619&lt;=判定条件!$C$8*Z1619,"停止","断続")))</f>
        <v>運転</v>
      </c>
      <c r="AC1619" s="30" t="n">
        <v>60</v>
      </c>
      <c r="AD1619" s="30" t="n">
        <v>58</v>
      </c>
      <c r="AE1619" s="30" t="str">
        <f aca="false">IF(AC1619&lt;判定条件!$C$6,"判定不能",IF(AD1619&gt;=判定条件!$C$7*AC1619,"運転",IF(AD1619&lt;=判定条件!$C$8*AC1619,"停止","断続")))</f>
        <v>運転</v>
      </c>
      <c r="AF1619" s="30" t="n">
        <v>60</v>
      </c>
      <c r="AG1619" s="30" t="n">
        <v>0</v>
      </c>
      <c r="AH1619" s="30" t="str">
        <f aca="false">IF(OR(P1619="判定不能",G1619="判定不能"),"判定不能",IF(AG1619&gt;=判定条件!$C$9,"利用可",IF(AND(P1619="停止",G1619="停止"),"両方停止","運転がそろわない")))</f>
        <v>運転がそろわない</v>
      </c>
      <c r="AI1619" s="30" t="n">
        <v>60</v>
      </c>
      <c r="AJ1619" s="30" t="n">
        <v>0</v>
      </c>
      <c r="AK1619" s="30" t="str">
        <f aca="false">IF(OR(S1619="判定不能",J1619="判定不能"),"判定不能",IF(AJ1619&gt;=判定条件!$C$9,"利用可",IF(AND(S1619="停止",J1619="停止"),"両方停止","運転がそろわない")))</f>
        <v>運転がそろわない</v>
      </c>
      <c r="AL1619" s="30" t="n">
        <v>60</v>
      </c>
      <c r="AM1619" s="30" t="n">
        <v>0</v>
      </c>
      <c r="AN1619" s="30" t="str">
        <f aca="false">IF(OR(V1619="判定不能",M1619="判定不能"),"判定不能",IF(AM1619&gt;=判定条件!$C$9,"利用可",IF(AND(V1619="停止",M1619="停止"),"両方停止","運転がそろわない")))</f>
        <v>運転がそろわない</v>
      </c>
      <c r="AO1619" s="30" t="n">
        <v>60</v>
      </c>
      <c r="AP1619" s="30" t="n">
        <v>0</v>
      </c>
      <c r="AQ1619" s="30" t="str">
        <f aca="false">IF(OR(Y1619="判定不能",G1619="判定不能"),"判定不能",IF(AP1619&gt;=判定条件!$C$9,"利用可",IF(AND(Y1619="停止",G1619="停止"),"両方停止","運転がそろわない")))</f>
        <v>運転がそろわない</v>
      </c>
      <c r="AR1619" s="30" t="n">
        <v>60</v>
      </c>
      <c r="AS1619" s="30" t="n">
        <v>0</v>
      </c>
      <c r="AT1619" s="30" t="str">
        <f aca="false">IF(OR(AB1619="判定不能",J1619="判定不能"),"判定不能",IF(AS1619&gt;=判定条件!$C$9,"利用可",IF(AND(AB1619="停止",J1619="停止"),"両方停止","運転がそろわない")))</f>
        <v>運転がそろわない</v>
      </c>
      <c r="AU1619" s="30" t="n">
        <v>60</v>
      </c>
      <c r="AV1619" s="30" t="n">
        <v>0</v>
      </c>
      <c r="AW1619" s="30" t="str">
        <f aca="false">IF(OR(AE1619="判定不能",M1619="判定不能"),"判定不能",IF(AV1619&gt;=判定条件!$C$9,"利用可",IF(AND(AE1619="停止",M1619="停止"),"両方停止","運転がそろわない")))</f>
        <v>運転がそろわない</v>
      </c>
      <c r="AX1619" s="30" t="str">
        <f aca="false">IF(AND(AH1619="利用可",AK1619="利用可",AN1619="利用可"),"利用可","不可")</f>
        <v>不可</v>
      </c>
      <c r="AY1619" s="30" t="str">
        <f aca="false">IF(AND(AQ1619="利用可",AT1619="利用可",AW1619="利用可"),"利用可","不可")</f>
        <v>不可</v>
      </c>
    </row>
    <row r="1620" customFormat="false" ht="15" hidden="false" customHeight="false" outlineLevel="0" collapsed="false">
      <c r="A1620" s="29" t="n">
        <v>46299</v>
      </c>
      <c r="B1620" s="30" t="n">
        <v>9</v>
      </c>
      <c r="C1620" s="31" t="s">
        <v>65</v>
      </c>
      <c r="D1620" s="31" t="s">
        <v>64</v>
      </c>
      <c r="E1620" s="30" t="n">
        <v>60</v>
      </c>
      <c r="F1620" s="30" t="n">
        <v>20</v>
      </c>
      <c r="G1620" s="30" t="str">
        <f aca="false">IF(E1620&lt;判定条件!$C$6,"判定不能",IF(F1620&gt;=判定条件!$C$7*E1620,"運転",IF(F1620&lt;=判定条件!$C$8*E1620,"停止","断続")))</f>
        <v>断続</v>
      </c>
      <c r="H1620" s="30" t="n">
        <v>60</v>
      </c>
      <c r="I1620" s="30" t="n">
        <v>0</v>
      </c>
      <c r="J1620" s="30" t="str">
        <f aca="false">IF(H1620&lt;判定条件!$C$6,"判定不能",IF(I1620&gt;=判定条件!$C$7*H1620,"運転",IF(I1620&lt;=判定条件!$C$8*H1620,"停止","断続")))</f>
        <v>停止</v>
      </c>
      <c r="K1620" s="30" t="n">
        <v>60</v>
      </c>
      <c r="L1620" s="30" t="n">
        <v>0</v>
      </c>
      <c r="M1620" s="30" t="str">
        <f aca="false">IF(K1620&lt;判定条件!$C$6,"判定不能",IF(L1620&gt;=判定条件!$C$7*K1620,"運転",IF(L1620&lt;=判定条件!$C$8*K1620,"停止","断続")))</f>
        <v>停止</v>
      </c>
      <c r="N1620" s="30" t="n">
        <v>60</v>
      </c>
      <c r="O1620" s="30" t="n">
        <v>60</v>
      </c>
      <c r="P1620" s="30" t="str">
        <f aca="false">IF(N1620&lt;判定条件!$C$6,"判定不能",IF(O1620&gt;=判定条件!$C$7*N1620,"運転",IF(O1620&lt;=判定条件!$C$8*N1620,"停止","断続")))</f>
        <v>運転</v>
      </c>
      <c r="Q1620" s="30" t="n">
        <v>60</v>
      </c>
      <c r="R1620" s="30" t="n">
        <v>59</v>
      </c>
      <c r="S1620" s="30" t="str">
        <f aca="false">IF(Q1620&lt;判定条件!$C$6,"判定不能",IF(R1620&gt;=判定条件!$C$7*Q1620,"運転",IF(R1620&lt;=判定条件!$C$8*Q1620,"停止","断続")))</f>
        <v>運転</v>
      </c>
      <c r="T1620" s="30" t="n">
        <v>60</v>
      </c>
      <c r="U1620" s="30" t="n">
        <v>59</v>
      </c>
      <c r="V1620" s="30" t="str">
        <f aca="false">IF(T1620&lt;判定条件!$C$6,"判定不能",IF(U1620&gt;=判定条件!$C$7*T1620,"運転",IF(U1620&lt;=判定条件!$C$8*T1620,"停止","断続")))</f>
        <v>運転</v>
      </c>
      <c r="W1620" s="30" t="n">
        <v>60</v>
      </c>
      <c r="X1620" s="30" t="n">
        <v>60</v>
      </c>
      <c r="Y1620" s="30" t="str">
        <f aca="false">IF(W1620&lt;判定条件!$C$6,"判定不能",IF(X1620&gt;=判定条件!$C$7*W1620,"運転",IF(X1620&lt;=判定条件!$C$8*W1620,"停止","断続")))</f>
        <v>運転</v>
      </c>
      <c r="Z1620" s="30" t="n">
        <v>60</v>
      </c>
      <c r="AA1620" s="30" t="n">
        <v>60</v>
      </c>
      <c r="AB1620" s="30" t="str">
        <f aca="false">IF(Z1620&lt;判定条件!$C$6,"判定不能",IF(AA1620&gt;=判定条件!$C$7*Z1620,"運転",IF(AA1620&lt;=判定条件!$C$8*Z1620,"停止","断続")))</f>
        <v>運転</v>
      </c>
      <c r="AC1620" s="30" t="n">
        <v>60</v>
      </c>
      <c r="AD1620" s="30" t="n">
        <v>60</v>
      </c>
      <c r="AE1620" s="30" t="str">
        <f aca="false">IF(AC1620&lt;判定条件!$C$6,"判定不能",IF(AD1620&gt;=判定条件!$C$7*AC1620,"運転",IF(AD1620&lt;=判定条件!$C$8*AC1620,"停止","断続")))</f>
        <v>運転</v>
      </c>
      <c r="AF1620" s="30" t="n">
        <v>60</v>
      </c>
      <c r="AG1620" s="30" t="n">
        <v>20</v>
      </c>
      <c r="AH1620" s="30" t="str">
        <f aca="false">IF(OR(P1620="判定不能",G1620="判定不能"),"判定不能",IF(AG1620&gt;=判定条件!$C$9,"利用可",IF(AND(P1620="停止",G1620="停止"),"両方停止","運転がそろわない")))</f>
        <v>運転がそろわない</v>
      </c>
      <c r="AI1620" s="30" t="n">
        <v>60</v>
      </c>
      <c r="AJ1620" s="30" t="n">
        <v>0</v>
      </c>
      <c r="AK1620" s="30" t="str">
        <f aca="false">IF(OR(S1620="判定不能",J1620="判定不能"),"判定不能",IF(AJ1620&gt;=判定条件!$C$9,"利用可",IF(AND(S1620="停止",J1620="停止"),"両方停止","運転がそろわない")))</f>
        <v>運転がそろわない</v>
      </c>
      <c r="AL1620" s="30" t="n">
        <v>60</v>
      </c>
      <c r="AM1620" s="30" t="n">
        <v>0</v>
      </c>
      <c r="AN1620" s="30" t="str">
        <f aca="false">IF(OR(V1620="判定不能",M1620="判定不能"),"判定不能",IF(AM1620&gt;=判定条件!$C$9,"利用可",IF(AND(V1620="停止",M1620="停止"),"両方停止","運転がそろわない")))</f>
        <v>運転がそろわない</v>
      </c>
      <c r="AO1620" s="30" t="n">
        <v>60</v>
      </c>
      <c r="AP1620" s="30" t="n">
        <v>20</v>
      </c>
      <c r="AQ1620" s="30" t="str">
        <f aca="false">IF(OR(Y1620="判定不能",G1620="判定不能"),"判定不能",IF(AP1620&gt;=判定条件!$C$9,"利用可",IF(AND(Y1620="停止",G1620="停止"),"両方停止","運転がそろわない")))</f>
        <v>運転がそろわない</v>
      </c>
      <c r="AR1620" s="30" t="n">
        <v>60</v>
      </c>
      <c r="AS1620" s="30" t="n">
        <v>0</v>
      </c>
      <c r="AT1620" s="30" t="str">
        <f aca="false">IF(OR(AB1620="判定不能",J1620="判定不能"),"判定不能",IF(AS1620&gt;=判定条件!$C$9,"利用可",IF(AND(AB1620="停止",J1620="停止"),"両方停止","運転がそろわない")))</f>
        <v>運転がそろわない</v>
      </c>
      <c r="AU1620" s="30" t="n">
        <v>60</v>
      </c>
      <c r="AV1620" s="30" t="n">
        <v>0</v>
      </c>
      <c r="AW1620" s="30" t="str">
        <f aca="false">IF(OR(AE1620="判定不能",M1620="判定不能"),"判定不能",IF(AV1620&gt;=判定条件!$C$9,"利用可",IF(AND(AE1620="停止",M1620="停止"),"両方停止","運転がそろわない")))</f>
        <v>運転がそろわない</v>
      </c>
      <c r="AX1620" s="30" t="str">
        <f aca="false">IF(AND(AH1620="利用可",AK1620="利用可",AN1620="利用可"),"利用可","不可")</f>
        <v>不可</v>
      </c>
      <c r="AY1620" s="30" t="str">
        <f aca="false">IF(AND(AQ1620="利用可",AT1620="利用可",AW1620="利用可"),"利用可","不可")</f>
        <v>不可</v>
      </c>
    </row>
    <row r="1621" customFormat="false" ht="15" hidden="false" customHeight="false" outlineLevel="0" collapsed="false">
      <c r="A1621" s="29" t="n">
        <v>46299</v>
      </c>
      <c r="B1621" s="30" t="n">
        <v>10</v>
      </c>
      <c r="C1621" s="31" t="s">
        <v>65</v>
      </c>
      <c r="D1621" s="31" t="s">
        <v>64</v>
      </c>
      <c r="E1621" s="30" t="n">
        <v>60</v>
      </c>
      <c r="F1621" s="30" t="n">
        <v>14</v>
      </c>
      <c r="G1621" s="30" t="str">
        <f aca="false">IF(E1621&lt;判定条件!$C$6,"判定不能",IF(F1621&gt;=判定条件!$C$7*E1621,"運転",IF(F1621&lt;=判定条件!$C$8*E1621,"停止","断続")))</f>
        <v>断続</v>
      </c>
      <c r="H1621" s="30" t="n">
        <v>60</v>
      </c>
      <c r="I1621" s="30" t="n">
        <v>0</v>
      </c>
      <c r="J1621" s="30" t="str">
        <f aca="false">IF(H1621&lt;判定条件!$C$6,"判定不能",IF(I1621&gt;=判定条件!$C$7*H1621,"運転",IF(I1621&lt;=判定条件!$C$8*H1621,"停止","断続")))</f>
        <v>停止</v>
      </c>
      <c r="K1621" s="30" t="n">
        <v>60</v>
      </c>
      <c r="L1621" s="30" t="n">
        <v>0</v>
      </c>
      <c r="M1621" s="30" t="str">
        <f aca="false">IF(K1621&lt;判定条件!$C$6,"判定不能",IF(L1621&gt;=判定条件!$C$7*K1621,"運転",IF(L1621&lt;=判定条件!$C$8*K1621,"停止","断続")))</f>
        <v>停止</v>
      </c>
      <c r="N1621" s="30" t="n">
        <v>60</v>
      </c>
      <c r="O1621" s="30" t="n">
        <v>35</v>
      </c>
      <c r="P1621" s="30" t="str">
        <f aca="false">IF(N1621&lt;判定条件!$C$6,"判定不能",IF(O1621&gt;=判定条件!$C$7*N1621,"運転",IF(O1621&lt;=判定条件!$C$8*N1621,"停止","断続")))</f>
        <v>断続</v>
      </c>
      <c r="Q1621" s="30" t="n">
        <v>60</v>
      </c>
      <c r="R1621" s="30" t="n">
        <v>44</v>
      </c>
      <c r="S1621" s="30" t="str">
        <f aca="false">IF(Q1621&lt;判定条件!$C$6,"判定不能",IF(R1621&gt;=判定条件!$C$7*Q1621,"運転",IF(R1621&lt;=判定条件!$C$8*Q1621,"停止","断続")))</f>
        <v>断続</v>
      </c>
      <c r="T1621" s="30" t="n">
        <v>60</v>
      </c>
      <c r="U1621" s="30" t="n">
        <v>55</v>
      </c>
      <c r="V1621" s="30" t="str">
        <f aca="false">IF(T1621&lt;判定条件!$C$6,"判定不能",IF(U1621&gt;=判定条件!$C$7*T1621,"運転",IF(U1621&lt;=判定条件!$C$8*T1621,"停止","断続")))</f>
        <v>運転</v>
      </c>
      <c r="W1621" s="30" t="n">
        <v>60</v>
      </c>
      <c r="X1621" s="30" t="n">
        <v>55</v>
      </c>
      <c r="Y1621" s="30" t="str">
        <f aca="false">IF(W1621&lt;判定条件!$C$6,"判定不能",IF(X1621&gt;=判定条件!$C$7*W1621,"運転",IF(X1621&lt;=判定条件!$C$8*W1621,"停止","断続")))</f>
        <v>運転</v>
      </c>
      <c r="Z1621" s="30" t="n">
        <v>60</v>
      </c>
      <c r="AA1621" s="30" t="n">
        <v>60</v>
      </c>
      <c r="AB1621" s="30" t="str">
        <f aca="false">IF(Z1621&lt;判定条件!$C$6,"判定不能",IF(AA1621&gt;=判定条件!$C$7*Z1621,"運転",IF(AA1621&lt;=判定条件!$C$8*Z1621,"停止","断続")))</f>
        <v>運転</v>
      </c>
      <c r="AC1621" s="30" t="n">
        <v>60</v>
      </c>
      <c r="AD1621" s="30" t="n">
        <v>60</v>
      </c>
      <c r="AE1621" s="30" t="str">
        <f aca="false">IF(AC1621&lt;判定条件!$C$6,"判定不能",IF(AD1621&gt;=判定条件!$C$7*AC1621,"運転",IF(AD1621&lt;=判定条件!$C$8*AC1621,"停止","断続")))</f>
        <v>運転</v>
      </c>
      <c r="AF1621" s="30" t="n">
        <v>60</v>
      </c>
      <c r="AG1621" s="30" t="n">
        <v>14</v>
      </c>
      <c r="AH1621" s="30" t="str">
        <f aca="false">IF(OR(P1621="判定不能",G1621="判定不能"),"判定不能",IF(AG1621&gt;=判定条件!$C$9,"利用可",IF(AND(P1621="停止",G1621="停止"),"両方停止","運転がそろわない")))</f>
        <v>運転がそろわない</v>
      </c>
      <c r="AI1621" s="30" t="n">
        <v>60</v>
      </c>
      <c r="AJ1621" s="30" t="n">
        <v>0</v>
      </c>
      <c r="AK1621" s="30" t="str">
        <f aca="false">IF(OR(S1621="判定不能",J1621="判定不能"),"判定不能",IF(AJ1621&gt;=判定条件!$C$9,"利用可",IF(AND(S1621="停止",J1621="停止"),"両方停止","運転がそろわない")))</f>
        <v>運転がそろわない</v>
      </c>
      <c r="AL1621" s="30" t="n">
        <v>60</v>
      </c>
      <c r="AM1621" s="30" t="n">
        <v>0</v>
      </c>
      <c r="AN1621" s="30" t="str">
        <f aca="false">IF(OR(V1621="判定不能",M1621="判定不能"),"判定不能",IF(AM1621&gt;=判定条件!$C$9,"利用可",IF(AND(V1621="停止",M1621="停止"),"両方停止","運転がそろわない")))</f>
        <v>運転がそろわない</v>
      </c>
      <c r="AO1621" s="30" t="n">
        <v>60</v>
      </c>
      <c r="AP1621" s="30" t="n">
        <v>14</v>
      </c>
      <c r="AQ1621" s="30" t="str">
        <f aca="false">IF(OR(Y1621="判定不能",G1621="判定不能"),"判定不能",IF(AP1621&gt;=判定条件!$C$9,"利用可",IF(AND(Y1621="停止",G1621="停止"),"両方停止","運転がそろわない")))</f>
        <v>運転がそろわない</v>
      </c>
      <c r="AR1621" s="30" t="n">
        <v>60</v>
      </c>
      <c r="AS1621" s="30" t="n">
        <v>0</v>
      </c>
      <c r="AT1621" s="30" t="str">
        <f aca="false">IF(OR(AB1621="判定不能",J1621="判定不能"),"判定不能",IF(AS1621&gt;=判定条件!$C$9,"利用可",IF(AND(AB1621="停止",J1621="停止"),"両方停止","運転がそろわない")))</f>
        <v>運転がそろわない</v>
      </c>
      <c r="AU1621" s="30" t="n">
        <v>60</v>
      </c>
      <c r="AV1621" s="30" t="n">
        <v>0</v>
      </c>
      <c r="AW1621" s="30" t="str">
        <f aca="false">IF(OR(AE1621="判定不能",M1621="判定不能"),"判定不能",IF(AV1621&gt;=判定条件!$C$9,"利用可",IF(AND(AE1621="停止",M1621="停止"),"両方停止","運転がそろわない")))</f>
        <v>運転がそろわない</v>
      </c>
      <c r="AX1621" s="30" t="str">
        <f aca="false">IF(AND(AH1621="利用可",AK1621="利用可",AN1621="利用可"),"利用可","不可")</f>
        <v>不可</v>
      </c>
      <c r="AY1621" s="30" t="str">
        <f aca="false">IF(AND(AQ1621="利用可",AT1621="利用可",AW1621="利用可"),"利用可","不可")</f>
        <v>不可</v>
      </c>
    </row>
    <row r="1622" customFormat="false" ht="15" hidden="false" customHeight="false" outlineLevel="0" collapsed="false">
      <c r="A1622" s="29" t="n">
        <v>46299</v>
      </c>
      <c r="B1622" s="30" t="n">
        <v>11</v>
      </c>
      <c r="C1622" s="31" t="s">
        <v>65</v>
      </c>
      <c r="D1622" s="31" t="s">
        <v>64</v>
      </c>
      <c r="E1622" s="30" t="n">
        <v>60</v>
      </c>
      <c r="F1622" s="30" t="n">
        <v>15</v>
      </c>
      <c r="G1622" s="30" t="str">
        <f aca="false">IF(E1622&lt;判定条件!$C$6,"判定不能",IF(F1622&gt;=判定条件!$C$7*E1622,"運転",IF(F1622&lt;=判定条件!$C$8*E1622,"停止","断続")))</f>
        <v>断続</v>
      </c>
      <c r="H1622" s="30" t="n">
        <v>60</v>
      </c>
      <c r="I1622" s="30" t="n">
        <v>0</v>
      </c>
      <c r="J1622" s="30" t="str">
        <f aca="false">IF(H1622&lt;判定条件!$C$6,"判定不能",IF(I1622&gt;=判定条件!$C$7*H1622,"運転",IF(I1622&lt;=判定条件!$C$8*H1622,"停止","断続")))</f>
        <v>停止</v>
      </c>
      <c r="K1622" s="30" t="n">
        <v>60</v>
      </c>
      <c r="L1622" s="30" t="n">
        <v>0</v>
      </c>
      <c r="M1622" s="30" t="str">
        <f aca="false">IF(K1622&lt;判定条件!$C$6,"判定不能",IF(L1622&gt;=判定条件!$C$7*K1622,"運転",IF(L1622&lt;=判定条件!$C$8*K1622,"停止","断続")))</f>
        <v>停止</v>
      </c>
      <c r="N1622" s="30" t="n">
        <v>60</v>
      </c>
      <c r="O1622" s="30" t="n">
        <v>55</v>
      </c>
      <c r="P1622" s="30" t="str">
        <f aca="false">IF(N1622&lt;判定条件!$C$6,"判定不能",IF(O1622&gt;=判定条件!$C$7*N1622,"運転",IF(O1622&lt;=判定条件!$C$8*N1622,"停止","断続")))</f>
        <v>運転</v>
      </c>
      <c r="Q1622" s="30" t="n">
        <v>60</v>
      </c>
      <c r="R1622" s="30" t="n">
        <v>38</v>
      </c>
      <c r="S1622" s="30" t="str">
        <f aca="false">IF(Q1622&lt;判定条件!$C$6,"判定不能",IF(R1622&gt;=判定条件!$C$7*Q1622,"運転",IF(R1622&lt;=判定条件!$C$8*Q1622,"停止","断続")))</f>
        <v>断続</v>
      </c>
      <c r="T1622" s="30" t="n">
        <v>60</v>
      </c>
      <c r="U1622" s="30" t="n">
        <v>23</v>
      </c>
      <c r="V1622" s="30" t="str">
        <f aca="false">IF(T1622&lt;判定条件!$C$6,"判定不能",IF(U1622&gt;=判定条件!$C$7*T1622,"運転",IF(U1622&lt;=判定条件!$C$8*T1622,"停止","断続")))</f>
        <v>断続</v>
      </c>
      <c r="W1622" s="30" t="n">
        <v>60</v>
      </c>
      <c r="X1622" s="30" t="n">
        <v>50</v>
      </c>
      <c r="Y1622" s="30" t="str">
        <f aca="false">IF(W1622&lt;判定条件!$C$6,"判定不能",IF(X1622&gt;=判定条件!$C$7*W1622,"運転",IF(X1622&lt;=判定条件!$C$8*W1622,"停止","断続")))</f>
        <v>運転</v>
      </c>
      <c r="Z1622" s="30" t="n">
        <v>60</v>
      </c>
      <c r="AA1622" s="30" t="n">
        <v>60</v>
      </c>
      <c r="AB1622" s="30" t="str">
        <f aca="false">IF(Z1622&lt;判定条件!$C$6,"判定不能",IF(AA1622&gt;=判定条件!$C$7*Z1622,"運転",IF(AA1622&lt;=判定条件!$C$8*Z1622,"停止","断続")))</f>
        <v>運転</v>
      </c>
      <c r="AC1622" s="30" t="n">
        <v>60</v>
      </c>
      <c r="AD1622" s="30" t="n">
        <v>60</v>
      </c>
      <c r="AE1622" s="30" t="str">
        <f aca="false">IF(AC1622&lt;判定条件!$C$6,"判定不能",IF(AD1622&gt;=判定条件!$C$7*AC1622,"運転",IF(AD1622&lt;=判定条件!$C$8*AC1622,"停止","断続")))</f>
        <v>運転</v>
      </c>
      <c r="AF1622" s="30" t="n">
        <v>60</v>
      </c>
      <c r="AG1622" s="30" t="n">
        <v>14</v>
      </c>
      <c r="AH1622" s="30" t="str">
        <f aca="false">IF(OR(P1622="判定不能",G1622="判定不能"),"判定不能",IF(AG1622&gt;=判定条件!$C$9,"利用可",IF(AND(P1622="停止",G1622="停止"),"両方停止","運転がそろわない")))</f>
        <v>運転がそろわない</v>
      </c>
      <c r="AI1622" s="30" t="n">
        <v>60</v>
      </c>
      <c r="AJ1622" s="30" t="n">
        <v>0</v>
      </c>
      <c r="AK1622" s="30" t="str">
        <f aca="false">IF(OR(S1622="判定不能",J1622="判定不能"),"判定不能",IF(AJ1622&gt;=判定条件!$C$9,"利用可",IF(AND(S1622="停止",J1622="停止"),"両方停止","運転がそろわない")))</f>
        <v>運転がそろわない</v>
      </c>
      <c r="AL1622" s="30" t="n">
        <v>60</v>
      </c>
      <c r="AM1622" s="30" t="n">
        <v>0</v>
      </c>
      <c r="AN1622" s="30" t="str">
        <f aca="false">IF(OR(V1622="判定不能",M1622="判定不能"),"判定不能",IF(AM1622&gt;=判定条件!$C$9,"利用可",IF(AND(V1622="停止",M1622="停止"),"両方停止","運転がそろわない")))</f>
        <v>運転がそろわない</v>
      </c>
      <c r="AO1622" s="30" t="n">
        <v>60</v>
      </c>
      <c r="AP1622" s="30" t="n">
        <v>12</v>
      </c>
      <c r="AQ1622" s="30" t="str">
        <f aca="false">IF(OR(Y1622="判定不能",G1622="判定不能"),"判定不能",IF(AP1622&gt;=判定条件!$C$9,"利用可",IF(AND(Y1622="停止",G1622="停止"),"両方停止","運転がそろわない")))</f>
        <v>運転がそろわない</v>
      </c>
      <c r="AR1622" s="30" t="n">
        <v>60</v>
      </c>
      <c r="AS1622" s="30" t="n">
        <v>0</v>
      </c>
      <c r="AT1622" s="30" t="str">
        <f aca="false">IF(OR(AB1622="判定不能",J1622="判定不能"),"判定不能",IF(AS1622&gt;=判定条件!$C$9,"利用可",IF(AND(AB1622="停止",J1622="停止"),"両方停止","運転がそろわない")))</f>
        <v>運転がそろわない</v>
      </c>
      <c r="AU1622" s="30" t="n">
        <v>60</v>
      </c>
      <c r="AV1622" s="30" t="n">
        <v>0</v>
      </c>
      <c r="AW1622" s="30" t="str">
        <f aca="false">IF(OR(AE1622="判定不能",M1622="判定不能"),"判定不能",IF(AV1622&gt;=判定条件!$C$9,"利用可",IF(AND(AE1622="停止",M1622="停止"),"両方停止","運転がそろわない")))</f>
        <v>運転がそろわない</v>
      </c>
      <c r="AX1622" s="30" t="str">
        <f aca="false">IF(AND(AH1622="利用可",AK1622="利用可",AN1622="利用可"),"利用可","不可")</f>
        <v>不可</v>
      </c>
      <c r="AY1622" s="30" t="str">
        <f aca="false">IF(AND(AQ1622="利用可",AT1622="利用可",AW1622="利用可"),"利用可","不可")</f>
        <v>不可</v>
      </c>
    </row>
    <row r="1623" customFormat="false" ht="15" hidden="false" customHeight="false" outlineLevel="0" collapsed="false">
      <c r="A1623" s="29" t="n">
        <v>46299</v>
      </c>
      <c r="B1623" s="30" t="n">
        <v>12</v>
      </c>
      <c r="C1623" s="31" t="s">
        <v>65</v>
      </c>
      <c r="D1623" s="31" t="s">
        <v>64</v>
      </c>
      <c r="E1623" s="30" t="n">
        <v>60</v>
      </c>
      <c r="F1623" s="30" t="n">
        <v>5</v>
      </c>
      <c r="G1623" s="30" t="str">
        <f aca="false">IF(E1623&lt;判定条件!$C$6,"判定不能",IF(F1623&gt;=判定条件!$C$7*E1623,"運転",IF(F1623&lt;=判定条件!$C$8*E1623,"停止","断続")))</f>
        <v>停止</v>
      </c>
      <c r="H1623" s="30" t="n">
        <v>60</v>
      </c>
      <c r="I1623" s="30" t="n">
        <v>0</v>
      </c>
      <c r="J1623" s="30" t="str">
        <f aca="false">IF(H1623&lt;判定条件!$C$6,"判定不能",IF(I1623&gt;=判定条件!$C$7*H1623,"運転",IF(I1623&lt;=判定条件!$C$8*H1623,"停止","断続")))</f>
        <v>停止</v>
      </c>
      <c r="K1623" s="30" t="n">
        <v>60</v>
      </c>
      <c r="L1623" s="30" t="n">
        <v>0</v>
      </c>
      <c r="M1623" s="30" t="str">
        <f aca="false">IF(K1623&lt;判定条件!$C$6,"判定不能",IF(L1623&gt;=判定条件!$C$7*K1623,"運転",IF(L1623&lt;=判定条件!$C$8*K1623,"停止","断続")))</f>
        <v>停止</v>
      </c>
      <c r="N1623" s="30" t="n">
        <v>60</v>
      </c>
      <c r="O1623" s="30" t="n">
        <v>31</v>
      </c>
      <c r="P1623" s="30" t="str">
        <f aca="false">IF(N1623&lt;判定条件!$C$6,"判定不能",IF(O1623&gt;=判定条件!$C$7*N1623,"運転",IF(O1623&lt;=判定条件!$C$8*N1623,"停止","断続")))</f>
        <v>断続</v>
      </c>
      <c r="Q1623" s="30" t="n">
        <v>60</v>
      </c>
      <c r="R1623" s="30" t="n">
        <v>15</v>
      </c>
      <c r="S1623" s="30" t="str">
        <f aca="false">IF(Q1623&lt;判定条件!$C$6,"判定不能",IF(R1623&gt;=判定条件!$C$7*Q1623,"運転",IF(R1623&lt;=判定条件!$C$8*Q1623,"停止","断続")))</f>
        <v>断続</v>
      </c>
      <c r="T1623" s="30" t="n">
        <v>60</v>
      </c>
      <c r="U1623" s="30" t="n">
        <v>13</v>
      </c>
      <c r="V1623" s="30" t="str">
        <f aca="false">IF(T1623&lt;判定条件!$C$6,"判定不能",IF(U1623&gt;=判定条件!$C$7*T1623,"運転",IF(U1623&lt;=判定条件!$C$8*T1623,"停止","断続")))</f>
        <v>断続</v>
      </c>
      <c r="W1623" s="30" t="n">
        <v>60</v>
      </c>
      <c r="X1623" s="30" t="n">
        <v>36</v>
      </c>
      <c r="Y1623" s="30" t="str">
        <f aca="false">IF(W1623&lt;判定条件!$C$6,"判定不能",IF(X1623&gt;=判定条件!$C$7*W1623,"運転",IF(X1623&lt;=判定条件!$C$8*W1623,"停止","断続")))</f>
        <v>断続</v>
      </c>
      <c r="Z1623" s="30" t="n">
        <v>60</v>
      </c>
      <c r="AA1623" s="30" t="n">
        <v>60</v>
      </c>
      <c r="AB1623" s="30" t="str">
        <f aca="false">IF(Z1623&lt;判定条件!$C$6,"判定不能",IF(AA1623&gt;=判定条件!$C$7*Z1623,"運転",IF(AA1623&lt;=判定条件!$C$8*Z1623,"停止","断続")))</f>
        <v>運転</v>
      </c>
      <c r="AC1623" s="30" t="n">
        <v>60</v>
      </c>
      <c r="AD1623" s="30" t="n">
        <v>49</v>
      </c>
      <c r="AE1623" s="30" t="str">
        <f aca="false">IF(AC1623&lt;判定条件!$C$6,"判定不能",IF(AD1623&gt;=判定条件!$C$7*AC1623,"運転",IF(AD1623&lt;=判定条件!$C$8*AC1623,"停止","断続")))</f>
        <v>運転</v>
      </c>
      <c r="AF1623" s="30" t="n">
        <v>60</v>
      </c>
      <c r="AG1623" s="30" t="n">
        <v>5</v>
      </c>
      <c r="AH1623" s="30" t="str">
        <f aca="false">IF(OR(P1623="判定不能",G1623="判定不能"),"判定不能",IF(AG1623&gt;=判定条件!$C$9,"利用可",IF(AND(P1623="停止",G1623="停止"),"両方停止","運転がそろわない")))</f>
        <v>運転がそろわない</v>
      </c>
      <c r="AI1623" s="30" t="n">
        <v>60</v>
      </c>
      <c r="AJ1623" s="30" t="n">
        <v>0</v>
      </c>
      <c r="AK1623" s="30" t="str">
        <f aca="false">IF(OR(S1623="判定不能",J1623="判定不能"),"判定不能",IF(AJ1623&gt;=判定条件!$C$9,"利用可",IF(AND(S1623="停止",J1623="停止"),"両方停止","運転がそろわない")))</f>
        <v>運転がそろわない</v>
      </c>
      <c r="AL1623" s="30" t="n">
        <v>60</v>
      </c>
      <c r="AM1623" s="30" t="n">
        <v>0</v>
      </c>
      <c r="AN1623" s="30" t="str">
        <f aca="false">IF(OR(V1623="判定不能",M1623="判定不能"),"判定不能",IF(AM1623&gt;=判定条件!$C$9,"利用可",IF(AND(V1623="停止",M1623="停止"),"両方停止","運転がそろわない")))</f>
        <v>運転がそろわない</v>
      </c>
      <c r="AO1623" s="30" t="n">
        <v>60</v>
      </c>
      <c r="AP1623" s="30" t="n">
        <v>2</v>
      </c>
      <c r="AQ1623" s="30" t="str">
        <f aca="false">IF(OR(Y1623="判定不能",G1623="判定不能"),"判定不能",IF(AP1623&gt;=判定条件!$C$9,"利用可",IF(AND(Y1623="停止",G1623="停止"),"両方停止","運転がそろわない")))</f>
        <v>運転がそろわない</v>
      </c>
      <c r="AR1623" s="30" t="n">
        <v>60</v>
      </c>
      <c r="AS1623" s="30" t="n">
        <v>0</v>
      </c>
      <c r="AT1623" s="30" t="str">
        <f aca="false">IF(OR(AB1623="判定不能",J1623="判定不能"),"判定不能",IF(AS1623&gt;=判定条件!$C$9,"利用可",IF(AND(AB1623="停止",J1623="停止"),"両方停止","運転がそろわない")))</f>
        <v>運転がそろわない</v>
      </c>
      <c r="AU1623" s="30" t="n">
        <v>60</v>
      </c>
      <c r="AV1623" s="30" t="n">
        <v>0</v>
      </c>
      <c r="AW1623" s="30" t="str">
        <f aca="false">IF(OR(AE1623="判定不能",M1623="判定不能"),"判定不能",IF(AV1623&gt;=判定条件!$C$9,"利用可",IF(AND(AE1623="停止",M1623="停止"),"両方停止","運転がそろわない")))</f>
        <v>運転がそろわない</v>
      </c>
      <c r="AX1623" s="30" t="str">
        <f aca="false">IF(AND(AH1623="利用可",AK1623="利用可",AN1623="利用可"),"利用可","不可")</f>
        <v>不可</v>
      </c>
      <c r="AY1623" s="30" t="str">
        <f aca="false">IF(AND(AQ1623="利用可",AT1623="利用可",AW1623="利用可"),"利用可","不可")</f>
        <v>不可</v>
      </c>
    </row>
    <row r="1624" customFormat="false" ht="15" hidden="false" customHeight="false" outlineLevel="0" collapsed="false">
      <c r="A1624" s="29" t="n">
        <v>46299</v>
      </c>
      <c r="B1624" s="30" t="n">
        <v>13</v>
      </c>
      <c r="C1624" s="31" t="s">
        <v>65</v>
      </c>
      <c r="D1624" s="31" t="s">
        <v>64</v>
      </c>
      <c r="E1624" s="30" t="n">
        <v>60</v>
      </c>
      <c r="F1624" s="30" t="n">
        <v>33</v>
      </c>
      <c r="G1624" s="30" t="str">
        <f aca="false">IF(E1624&lt;判定条件!$C$6,"判定不能",IF(F1624&gt;=判定条件!$C$7*E1624,"運転",IF(F1624&lt;=判定条件!$C$8*E1624,"停止","断続")))</f>
        <v>断続</v>
      </c>
      <c r="H1624" s="30" t="n">
        <v>60</v>
      </c>
      <c r="I1624" s="30" t="n">
        <v>46</v>
      </c>
      <c r="J1624" s="30" t="str">
        <f aca="false">IF(H1624&lt;判定条件!$C$6,"判定不能",IF(I1624&gt;=判定条件!$C$7*H1624,"運転",IF(I1624&lt;=判定条件!$C$8*H1624,"停止","断続")))</f>
        <v>断続</v>
      </c>
      <c r="K1624" s="30" t="n">
        <v>60</v>
      </c>
      <c r="L1624" s="30" t="n">
        <v>26</v>
      </c>
      <c r="M1624" s="30" t="str">
        <f aca="false">IF(K1624&lt;判定条件!$C$6,"判定不能",IF(L1624&gt;=判定条件!$C$7*K1624,"運転",IF(L1624&lt;=判定条件!$C$8*K1624,"停止","断続")))</f>
        <v>断続</v>
      </c>
      <c r="N1624" s="30" t="n">
        <v>60</v>
      </c>
      <c r="O1624" s="30" t="n">
        <v>49</v>
      </c>
      <c r="P1624" s="30" t="str">
        <f aca="false">IF(N1624&lt;判定条件!$C$6,"判定不能",IF(O1624&gt;=判定条件!$C$7*N1624,"運転",IF(O1624&lt;=判定条件!$C$8*N1624,"停止","断続")))</f>
        <v>運転</v>
      </c>
      <c r="Q1624" s="30" t="n">
        <v>60</v>
      </c>
      <c r="R1624" s="30" t="n">
        <v>31</v>
      </c>
      <c r="S1624" s="30" t="str">
        <f aca="false">IF(Q1624&lt;判定条件!$C$6,"判定不能",IF(R1624&gt;=判定条件!$C$7*Q1624,"運転",IF(R1624&lt;=判定条件!$C$8*Q1624,"停止","断続")))</f>
        <v>断続</v>
      </c>
      <c r="T1624" s="30" t="n">
        <v>60</v>
      </c>
      <c r="U1624" s="30" t="n">
        <v>26</v>
      </c>
      <c r="V1624" s="30" t="str">
        <f aca="false">IF(T1624&lt;判定条件!$C$6,"判定不能",IF(U1624&gt;=判定条件!$C$7*T1624,"運転",IF(U1624&lt;=判定条件!$C$8*T1624,"停止","断続")))</f>
        <v>断続</v>
      </c>
      <c r="W1624" s="30" t="n">
        <v>60</v>
      </c>
      <c r="X1624" s="30" t="n">
        <v>51</v>
      </c>
      <c r="Y1624" s="30" t="str">
        <f aca="false">IF(W1624&lt;判定条件!$C$6,"判定不能",IF(X1624&gt;=判定条件!$C$7*W1624,"運転",IF(X1624&lt;=判定条件!$C$8*W1624,"停止","断続")))</f>
        <v>運転</v>
      </c>
      <c r="Z1624" s="30" t="n">
        <v>60</v>
      </c>
      <c r="AA1624" s="30" t="n">
        <v>55</v>
      </c>
      <c r="AB1624" s="30" t="str">
        <f aca="false">IF(Z1624&lt;判定条件!$C$6,"判定不能",IF(AA1624&gt;=判定条件!$C$7*Z1624,"運転",IF(AA1624&lt;=判定条件!$C$8*Z1624,"停止","断続")))</f>
        <v>運転</v>
      </c>
      <c r="AC1624" s="30" t="n">
        <v>60</v>
      </c>
      <c r="AD1624" s="30" t="n">
        <v>29</v>
      </c>
      <c r="AE1624" s="30" t="str">
        <f aca="false">IF(AC1624&lt;判定条件!$C$6,"判定不能",IF(AD1624&gt;=判定条件!$C$7*AC1624,"運転",IF(AD1624&lt;=判定条件!$C$8*AC1624,"停止","断続")))</f>
        <v>断続</v>
      </c>
      <c r="AF1624" s="30" t="n">
        <v>60</v>
      </c>
      <c r="AG1624" s="30" t="n">
        <v>25</v>
      </c>
      <c r="AH1624" s="30" t="str">
        <f aca="false">IF(OR(P1624="判定不能",G1624="判定不能"),"判定不能",IF(AG1624&gt;=判定条件!$C$9,"利用可",IF(AND(P1624="停止",G1624="停止"),"両方停止","運転がそろわない")))</f>
        <v>運転がそろわない</v>
      </c>
      <c r="AI1624" s="30" t="n">
        <v>60</v>
      </c>
      <c r="AJ1624" s="30" t="n">
        <v>23</v>
      </c>
      <c r="AK1624" s="30" t="str">
        <f aca="false">IF(OR(S1624="判定不能",J1624="判定不能"),"判定不能",IF(AJ1624&gt;=判定条件!$C$9,"利用可",IF(AND(S1624="停止",J1624="停止"),"両方停止","運転がそろわない")))</f>
        <v>運転がそろわない</v>
      </c>
      <c r="AL1624" s="30" t="n">
        <v>60</v>
      </c>
      <c r="AM1624" s="30" t="n">
        <v>11</v>
      </c>
      <c r="AN1624" s="30" t="str">
        <f aca="false">IF(OR(V1624="判定不能",M1624="判定不能"),"判定不能",IF(AM1624&gt;=判定条件!$C$9,"利用可",IF(AND(V1624="停止",M1624="停止"),"両方停止","運転がそろわない")))</f>
        <v>運転がそろわない</v>
      </c>
      <c r="AO1624" s="30" t="n">
        <v>60</v>
      </c>
      <c r="AP1624" s="30" t="n">
        <v>30</v>
      </c>
      <c r="AQ1624" s="30" t="str">
        <f aca="false">IF(OR(Y1624="判定不能",G1624="判定不能"),"判定不能",IF(AP1624&gt;=判定条件!$C$9,"利用可",IF(AND(Y1624="停止",G1624="停止"),"両方停止","運転がそろわない")))</f>
        <v>利用可</v>
      </c>
      <c r="AR1624" s="30" t="n">
        <v>60</v>
      </c>
      <c r="AS1624" s="30" t="n">
        <v>42</v>
      </c>
      <c r="AT1624" s="30" t="str">
        <f aca="false">IF(OR(AB1624="判定不能",J1624="判定不能"),"判定不能",IF(AS1624&gt;=判定条件!$C$9,"利用可",IF(AND(AB1624="停止",J1624="停止"),"両方停止","運転がそろわない")))</f>
        <v>利用可</v>
      </c>
      <c r="AU1624" s="30" t="n">
        <v>60</v>
      </c>
      <c r="AV1624" s="30" t="n">
        <v>7</v>
      </c>
      <c r="AW1624" s="30" t="str">
        <f aca="false">IF(OR(AE1624="判定不能",M1624="判定不能"),"判定不能",IF(AV1624&gt;=判定条件!$C$9,"利用可",IF(AND(AE1624="停止",M1624="停止"),"両方停止","運転がそろわない")))</f>
        <v>運転がそろわない</v>
      </c>
      <c r="AX1624" s="30" t="str">
        <f aca="false">IF(AND(AH1624="利用可",AK1624="利用可",AN1624="利用可"),"利用可","不可")</f>
        <v>不可</v>
      </c>
      <c r="AY1624" s="30" t="str">
        <f aca="false">IF(AND(AQ1624="利用可",AT1624="利用可",AW1624="利用可"),"利用可","不可")</f>
        <v>不可</v>
      </c>
    </row>
    <row r="1625" customFormat="false" ht="15" hidden="false" customHeight="false" outlineLevel="0" collapsed="false">
      <c r="A1625" s="29" t="n">
        <v>46299</v>
      </c>
      <c r="B1625" s="30" t="n">
        <v>14</v>
      </c>
      <c r="C1625" s="31" t="s">
        <v>65</v>
      </c>
      <c r="D1625" s="31" t="s">
        <v>64</v>
      </c>
      <c r="E1625" s="30" t="n">
        <v>60</v>
      </c>
      <c r="F1625" s="30" t="n">
        <v>18</v>
      </c>
      <c r="G1625" s="30" t="str">
        <f aca="false">IF(E1625&lt;判定条件!$C$6,"判定不能",IF(F1625&gt;=判定条件!$C$7*E1625,"運転",IF(F1625&lt;=判定条件!$C$8*E1625,"停止","断続")))</f>
        <v>断続</v>
      </c>
      <c r="H1625" s="30" t="n">
        <v>60</v>
      </c>
      <c r="I1625" s="30" t="n">
        <v>45</v>
      </c>
      <c r="J1625" s="30" t="str">
        <f aca="false">IF(H1625&lt;判定条件!$C$6,"判定不能",IF(I1625&gt;=判定条件!$C$7*H1625,"運転",IF(I1625&lt;=判定条件!$C$8*H1625,"停止","断続")))</f>
        <v>断続</v>
      </c>
      <c r="K1625" s="30" t="n">
        <v>60</v>
      </c>
      <c r="L1625" s="30" t="n">
        <v>0</v>
      </c>
      <c r="M1625" s="30" t="str">
        <f aca="false">IF(K1625&lt;判定条件!$C$6,"判定不能",IF(L1625&gt;=判定条件!$C$7*K1625,"運転",IF(L1625&lt;=判定条件!$C$8*K1625,"停止","断続")))</f>
        <v>停止</v>
      </c>
      <c r="N1625" s="30" t="n">
        <v>60</v>
      </c>
      <c r="O1625" s="30" t="n">
        <v>44</v>
      </c>
      <c r="P1625" s="30" t="str">
        <f aca="false">IF(N1625&lt;判定条件!$C$6,"判定不能",IF(O1625&gt;=判定条件!$C$7*N1625,"運転",IF(O1625&lt;=判定条件!$C$8*N1625,"停止","断続")))</f>
        <v>断続</v>
      </c>
      <c r="Q1625" s="30" t="n">
        <v>60</v>
      </c>
      <c r="R1625" s="30" t="n">
        <v>10</v>
      </c>
      <c r="S1625" s="30" t="str">
        <f aca="false">IF(Q1625&lt;判定条件!$C$6,"判定不能",IF(R1625&gt;=判定条件!$C$7*Q1625,"運転",IF(R1625&lt;=判定条件!$C$8*Q1625,"停止","断続")))</f>
        <v>停止</v>
      </c>
      <c r="T1625" s="30" t="n">
        <v>60</v>
      </c>
      <c r="U1625" s="30" t="n">
        <v>60</v>
      </c>
      <c r="V1625" s="30" t="str">
        <f aca="false">IF(T1625&lt;判定条件!$C$6,"判定不能",IF(U1625&gt;=判定条件!$C$7*T1625,"運転",IF(U1625&lt;=判定条件!$C$8*T1625,"停止","断続")))</f>
        <v>運転</v>
      </c>
      <c r="W1625" s="30" t="n">
        <v>60</v>
      </c>
      <c r="X1625" s="30" t="n">
        <v>45</v>
      </c>
      <c r="Y1625" s="30" t="str">
        <f aca="false">IF(W1625&lt;判定条件!$C$6,"判定不能",IF(X1625&gt;=判定条件!$C$7*W1625,"運転",IF(X1625&lt;=判定条件!$C$8*W1625,"停止","断続")))</f>
        <v>断続</v>
      </c>
      <c r="Z1625" s="30" t="n">
        <v>60</v>
      </c>
      <c r="AA1625" s="30" t="n">
        <v>45</v>
      </c>
      <c r="AB1625" s="30" t="str">
        <f aca="false">IF(Z1625&lt;判定条件!$C$6,"判定不能",IF(AA1625&gt;=判定条件!$C$7*Z1625,"運転",IF(AA1625&lt;=判定条件!$C$8*Z1625,"停止","断続")))</f>
        <v>断続</v>
      </c>
      <c r="AC1625" s="30" t="n">
        <v>60</v>
      </c>
      <c r="AD1625" s="30" t="n">
        <v>21</v>
      </c>
      <c r="AE1625" s="30" t="str">
        <f aca="false">IF(AC1625&lt;判定条件!$C$6,"判定不能",IF(AD1625&gt;=判定条件!$C$7*AC1625,"運転",IF(AD1625&lt;=判定条件!$C$8*AC1625,"停止","断続")))</f>
        <v>断続</v>
      </c>
      <c r="AF1625" s="30" t="n">
        <v>60</v>
      </c>
      <c r="AG1625" s="30" t="n">
        <v>17</v>
      </c>
      <c r="AH1625" s="30" t="str">
        <f aca="false">IF(OR(P1625="判定不能",G1625="判定不能"),"判定不能",IF(AG1625&gt;=判定条件!$C$9,"利用可",IF(AND(P1625="停止",G1625="停止"),"両方停止","運転がそろわない")))</f>
        <v>運転がそろわない</v>
      </c>
      <c r="AI1625" s="30" t="n">
        <v>60</v>
      </c>
      <c r="AJ1625" s="30" t="n">
        <v>10</v>
      </c>
      <c r="AK1625" s="30" t="str">
        <f aca="false">IF(OR(S1625="判定不能",J1625="判定不能"),"判定不能",IF(AJ1625&gt;=判定条件!$C$9,"利用可",IF(AND(S1625="停止",J1625="停止"),"両方停止","運転がそろわない")))</f>
        <v>運転がそろわない</v>
      </c>
      <c r="AL1625" s="30" t="n">
        <v>60</v>
      </c>
      <c r="AM1625" s="30" t="n">
        <v>0</v>
      </c>
      <c r="AN1625" s="30" t="str">
        <f aca="false">IF(OR(V1625="判定不能",M1625="判定不能"),"判定不能",IF(AM1625&gt;=判定条件!$C$9,"利用可",IF(AND(V1625="停止",M1625="停止"),"両方停止","運転がそろわない")))</f>
        <v>運転がそろわない</v>
      </c>
      <c r="AO1625" s="30" t="n">
        <v>60</v>
      </c>
      <c r="AP1625" s="30" t="n">
        <v>18</v>
      </c>
      <c r="AQ1625" s="30" t="str">
        <f aca="false">IF(OR(Y1625="判定不能",G1625="判定不能"),"判定不能",IF(AP1625&gt;=判定条件!$C$9,"利用可",IF(AND(Y1625="停止",G1625="停止"),"両方停止","運転がそろわない")))</f>
        <v>運転がそろわない</v>
      </c>
      <c r="AR1625" s="30" t="n">
        <v>60</v>
      </c>
      <c r="AS1625" s="30" t="n">
        <v>41</v>
      </c>
      <c r="AT1625" s="30" t="str">
        <f aca="false">IF(OR(AB1625="判定不能",J1625="判定不能"),"判定不能",IF(AS1625&gt;=判定条件!$C$9,"利用可",IF(AND(AB1625="停止",J1625="停止"),"両方停止","運転がそろわない")))</f>
        <v>利用可</v>
      </c>
      <c r="AU1625" s="30" t="n">
        <v>60</v>
      </c>
      <c r="AV1625" s="30" t="n">
        <v>0</v>
      </c>
      <c r="AW1625" s="30" t="str">
        <f aca="false">IF(OR(AE1625="判定不能",M1625="判定不能"),"判定不能",IF(AV1625&gt;=判定条件!$C$9,"利用可",IF(AND(AE1625="停止",M1625="停止"),"両方停止","運転がそろわない")))</f>
        <v>運転がそろわない</v>
      </c>
      <c r="AX1625" s="30" t="str">
        <f aca="false">IF(AND(AH1625="利用可",AK1625="利用可",AN1625="利用可"),"利用可","不可")</f>
        <v>不可</v>
      </c>
      <c r="AY1625" s="30" t="str">
        <f aca="false">IF(AND(AQ1625="利用可",AT1625="利用可",AW1625="利用可"),"利用可","不可")</f>
        <v>不可</v>
      </c>
    </row>
    <row r="1626" customFormat="false" ht="15" hidden="false" customHeight="false" outlineLevel="0" collapsed="false">
      <c r="A1626" s="29" t="n">
        <v>46299</v>
      </c>
      <c r="B1626" s="30" t="n">
        <v>15</v>
      </c>
      <c r="C1626" s="31" t="s">
        <v>65</v>
      </c>
      <c r="D1626" s="31" t="s">
        <v>64</v>
      </c>
      <c r="E1626" s="30" t="n">
        <v>60</v>
      </c>
      <c r="F1626" s="30" t="n">
        <v>10</v>
      </c>
      <c r="G1626" s="30" t="str">
        <f aca="false">IF(E1626&lt;判定条件!$C$6,"判定不能",IF(F1626&gt;=判定条件!$C$7*E1626,"運転",IF(F1626&lt;=判定条件!$C$8*E1626,"停止","断続")))</f>
        <v>停止</v>
      </c>
      <c r="H1626" s="30" t="n">
        <v>60</v>
      </c>
      <c r="I1626" s="30" t="n">
        <v>37</v>
      </c>
      <c r="J1626" s="30" t="str">
        <f aca="false">IF(H1626&lt;判定条件!$C$6,"判定不能",IF(I1626&gt;=判定条件!$C$7*H1626,"運転",IF(I1626&lt;=判定条件!$C$8*H1626,"停止","断続")))</f>
        <v>断続</v>
      </c>
      <c r="K1626" s="30" t="n">
        <v>60</v>
      </c>
      <c r="L1626" s="30" t="n">
        <v>17</v>
      </c>
      <c r="M1626" s="30" t="str">
        <f aca="false">IF(K1626&lt;判定条件!$C$6,"判定不能",IF(L1626&gt;=判定条件!$C$7*K1626,"運転",IF(L1626&lt;=判定条件!$C$8*K1626,"停止","断続")))</f>
        <v>断続</v>
      </c>
      <c r="N1626" s="30" t="n">
        <v>60</v>
      </c>
      <c r="O1626" s="30" t="n">
        <v>13</v>
      </c>
      <c r="P1626" s="30" t="str">
        <f aca="false">IF(N1626&lt;判定条件!$C$6,"判定不能",IF(O1626&gt;=判定条件!$C$7*N1626,"運転",IF(O1626&lt;=判定条件!$C$8*N1626,"停止","断続")))</f>
        <v>断続</v>
      </c>
      <c r="Q1626" s="30" t="n">
        <v>60</v>
      </c>
      <c r="R1626" s="30" t="n">
        <v>0</v>
      </c>
      <c r="S1626" s="30" t="str">
        <f aca="false">IF(Q1626&lt;判定条件!$C$6,"判定不能",IF(R1626&gt;=判定条件!$C$7*Q1626,"運転",IF(R1626&lt;=判定条件!$C$8*Q1626,"停止","断続")))</f>
        <v>停止</v>
      </c>
      <c r="T1626" s="30" t="n">
        <v>60</v>
      </c>
      <c r="U1626" s="30" t="n">
        <v>60</v>
      </c>
      <c r="V1626" s="30" t="str">
        <f aca="false">IF(T1626&lt;判定条件!$C$6,"判定不能",IF(U1626&gt;=判定条件!$C$7*T1626,"運転",IF(U1626&lt;=判定条件!$C$8*T1626,"停止","断続")))</f>
        <v>運転</v>
      </c>
      <c r="W1626" s="30" t="n">
        <v>60</v>
      </c>
      <c r="X1626" s="30" t="n">
        <v>38</v>
      </c>
      <c r="Y1626" s="30" t="str">
        <f aca="false">IF(W1626&lt;判定条件!$C$6,"判定不能",IF(X1626&gt;=判定条件!$C$7*W1626,"運転",IF(X1626&lt;=判定条件!$C$8*W1626,"停止","断続")))</f>
        <v>断続</v>
      </c>
      <c r="Z1626" s="30" t="n">
        <v>60</v>
      </c>
      <c r="AA1626" s="30" t="n">
        <v>28</v>
      </c>
      <c r="AB1626" s="30" t="str">
        <f aca="false">IF(Z1626&lt;判定条件!$C$6,"判定不能",IF(AA1626&gt;=判定条件!$C$7*Z1626,"運転",IF(AA1626&lt;=判定条件!$C$8*Z1626,"停止","断続")))</f>
        <v>断続</v>
      </c>
      <c r="AC1626" s="30" t="n">
        <v>60</v>
      </c>
      <c r="AD1626" s="30" t="n">
        <v>32</v>
      </c>
      <c r="AE1626" s="30" t="str">
        <f aca="false">IF(AC1626&lt;判定条件!$C$6,"判定不能",IF(AD1626&gt;=判定条件!$C$7*AC1626,"運転",IF(AD1626&lt;=判定条件!$C$8*AC1626,"停止","断続")))</f>
        <v>断続</v>
      </c>
      <c r="AF1626" s="30" t="n">
        <v>60</v>
      </c>
      <c r="AG1626" s="30" t="n">
        <v>0</v>
      </c>
      <c r="AH1626" s="30" t="str">
        <f aca="false">IF(OR(P1626="判定不能",G1626="判定不能"),"判定不能",IF(AG1626&gt;=判定条件!$C$9,"利用可",IF(AND(P1626="停止",G1626="停止"),"両方停止","運転がそろわない")))</f>
        <v>運転がそろわない</v>
      </c>
      <c r="AI1626" s="30" t="n">
        <v>60</v>
      </c>
      <c r="AJ1626" s="30" t="n">
        <v>0</v>
      </c>
      <c r="AK1626" s="30" t="str">
        <f aca="false">IF(OR(S1626="判定不能",J1626="判定不能"),"判定不能",IF(AJ1626&gt;=判定条件!$C$9,"利用可",IF(AND(S1626="停止",J1626="停止"),"両方停止","運転がそろわない")))</f>
        <v>運転がそろわない</v>
      </c>
      <c r="AL1626" s="30" t="n">
        <v>60</v>
      </c>
      <c r="AM1626" s="30" t="n">
        <v>17</v>
      </c>
      <c r="AN1626" s="30" t="str">
        <f aca="false">IF(OR(V1626="判定不能",M1626="判定不能"),"判定不能",IF(AM1626&gt;=判定条件!$C$9,"利用可",IF(AND(V1626="停止",M1626="停止"),"両方停止","運転がそろわない")))</f>
        <v>運転がそろわない</v>
      </c>
      <c r="AO1626" s="30" t="n">
        <v>60</v>
      </c>
      <c r="AP1626" s="30" t="n">
        <v>10</v>
      </c>
      <c r="AQ1626" s="30" t="str">
        <f aca="false">IF(OR(Y1626="判定不能",G1626="判定不能"),"判定不能",IF(AP1626&gt;=判定条件!$C$9,"利用可",IF(AND(Y1626="停止",G1626="停止"),"両方停止","運転がそろわない")))</f>
        <v>運転がそろわない</v>
      </c>
      <c r="AR1626" s="30" t="n">
        <v>60</v>
      </c>
      <c r="AS1626" s="30" t="n">
        <v>14</v>
      </c>
      <c r="AT1626" s="30" t="str">
        <f aca="false">IF(OR(AB1626="判定不能",J1626="判定不能"),"判定不能",IF(AS1626&gt;=判定条件!$C$9,"利用可",IF(AND(AB1626="停止",J1626="停止"),"両方停止","運転がそろわない")))</f>
        <v>運転がそろわない</v>
      </c>
      <c r="AU1626" s="30" t="n">
        <v>60</v>
      </c>
      <c r="AV1626" s="30" t="n">
        <v>3</v>
      </c>
      <c r="AW1626" s="30" t="str">
        <f aca="false">IF(OR(AE1626="判定不能",M1626="判定不能"),"判定不能",IF(AV1626&gt;=判定条件!$C$9,"利用可",IF(AND(AE1626="停止",M1626="停止"),"両方停止","運転がそろわない")))</f>
        <v>運転がそろわない</v>
      </c>
      <c r="AX1626" s="30" t="str">
        <f aca="false">IF(AND(AH1626="利用可",AK1626="利用可",AN1626="利用可"),"利用可","不可")</f>
        <v>不可</v>
      </c>
      <c r="AY1626" s="30" t="str">
        <f aca="false">IF(AND(AQ1626="利用可",AT1626="利用可",AW1626="利用可"),"利用可","不可")</f>
        <v>不可</v>
      </c>
    </row>
    <row r="1627" customFormat="false" ht="15" hidden="false" customHeight="false" outlineLevel="0" collapsed="false">
      <c r="A1627" s="29" t="n">
        <v>46299</v>
      </c>
      <c r="B1627" s="30" t="n">
        <v>16</v>
      </c>
      <c r="C1627" s="31" t="s">
        <v>65</v>
      </c>
      <c r="D1627" s="31" t="s">
        <v>64</v>
      </c>
      <c r="E1627" s="30" t="n">
        <v>60</v>
      </c>
      <c r="F1627" s="30" t="n">
        <v>0</v>
      </c>
      <c r="G1627" s="30" t="str">
        <f aca="false">IF(E1627&lt;判定条件!$C$6,"判定不能",IF(F1627&gt;=判定条件!$C$7*E1627,"運転",IF(F1627&lt;=判定条件!$C$8*E1627,"停止","断続")))</f>
        <v>停止</v>
      </c>
      <c r="H1627" s="30" t="n">
        <v>60</v>
      </c>
      <c r="I1627" s="30" t="n">
        <v>18</v>
      </c>
      <c r="J1627" s="30" t="str">
        <f aca="false">IF(H1627&lt;判定条件!$C$6,"判定不能",IF(I1627&gt;=判定条件!$C$7*H1627,"運転",IF(I1627&lt;=判定条件!$C$8*H1627,"停止","断続")))</f>
        <v>断続</v>
      </c>
      <c r="K1627" s="30" t="n">
        <v>60</v>
      </c>
      <c r="L1627" s="30" t="n">
        <v>60</v>
      </c>
      <c r="M1627" s="30" t="str">
        <f aca="false">IF(K1627&lt;判定条件!$C$6,"判定不能",IF(L1627&gt;=判定条件!$C$7*K1627,"運転",IF(L1627&lt;=判定条件!$C$8*K1627,"停止","断続")))</f>
        <v>運転</v>
      </c>
      <c r="N1627" s="30" t="n">
        <v>60</v>
      </c>
      <c r="O1627" s="30" t="n">
        <v>23</v>
      </c>
      <c r="P1627" s="30" t="str">
        <f aca="false">IF(N1627&lt;判定条件!$C$6,"判定不能",IF(O1627&gt;=判定条件!$C$7*N1627,"運転",IF(O1627&lt;=判定条件!$C$8*N1627,"停止","断続")))</f>
        <v>断続</v>
      </c>
      <c r="Q1627" s="30" t="n">
        <v>60</v>
      </c>
      <c r="R1627" s="30" t="n">
        <v>0</v>
      </c>
      <c r="S1627" s="30" t="str">
        <f aca="false">IF(Q1627&lt;判定条件!$C$6,"判定不能",IF(R1627&gt;=判定条件!$C$7*Q1627,"運転",IF(R1627&lt;=判定条件!$C$8*Q1627,"停止","断続")))</f>
        <v>停止</v>
      </c>
      <c r="T1627" s="30" t="n">
        <v>60</v>
      </c>
      <c r="U1627" s="30" t="n">
        <v>60</v>
      </c>
      <c r="V1627" s="30" t="str">
        <f aca="false">IF(T1627&lt;判定条件!$C$6,"判定不能",IF(U1627&gt;=判定条件!$C$7*T1627,"運転",IF(U1627&lt;=判定条件!$C$8*T1627,"停止","断続")))</f>
        <v>運転</v>
      </c>
      <c r="W1627" s="30" t="n">
        <v>60</v>
      </c>
      <c r="X1627" s="30" t="n">
        <v>0</v>
      </c>
      <c r="Y1627" s="30" t="str">
        <f aca="false">IF(W1627&lt;判定条件!$C$6,"判定不能",IF(X1627&gt;=判定条件!$C$7*W1627,"運転",IF(X1627&lt;=判定条件!$C$8*W1627,"停止","断続")))</f>
        <v>停止</v>
      </c>
      <c r="Z1627" s="30" t="n">
        <v>60</v>
      </c>
      <c r="AA1627" s="30" t="n">
        <v>22</v>
      </c>
      <c r="AB1627" s="30" t="str">
        <f aca="false">IF(Z1627&lt;判定条件!$C$6,"判定不能",IF(AA1627&gt;=判定条件!$C$7*Z1627,"運転",IF(AA1627&lt;=判定条件!$C$8*Z1627,"停止","断続")))</f>
        <v>断続</v>
      </c>
      <c r="AC1627" s="30" t="n">
        <v>60</v>
      </c>
      <c r="AD1627" s="30" t="n">
        <v>18</v>
      </c>
      <c r="AE1627" s="30" t="str">
        <f aca="false">IF(AC1627&lt;判定条件!$C$6,"判定不能",IF(AD1627&gt;=判定条件!$C$7*AC1627,"運転",IF(AD1627&lt;=判定条件!$C$8*AC1627,"停止","断続")))</f>
        <v>断続</v>
      </c>
      <c r="AF1627" s="30" t="n">
        <v>60</v>
      </c>
      <c r="AG1627" s="30" t="n">
        <v>0</v>
      </c>
      <c r="AH1627" s="30" t="str">
        <f aca="false">IF(OR(P1627="判定不能",G1627="判定不能"),"判定不能",IF(AG1627&gt;=判定条件!$C$9,"利用可",IF(AND(P1627="停止",G1627="停止"),"両方停止","運転がそろわない")))</f>
        <v>運転がそろわない</v>
      </c>
      <c r="AI1627" s="30" t="n">
        <v>60</v>
      </c>
      <c r="AJ1627" s="30" t="n">
        <v>0</v>
      </c>
      <c r="AK1627" s="30" t="str">
        <f aca="false">IF(OR(S1627="判定不能",J1627="判定不能"),"判定不能",IF(AJ1627&gt;=判定条件!$C$9,"利用可",IF(AND(S1627="停止",J1627="停止"),"両方停止","運転がそろわない")))</f>
        <v>運転がそろわない</v>
      </c>
      <c r="AL1627" s="30" t="n">
        <v>60</v>
      </c>
      <c r="AM1627" s="30" t="n">
        <v>60</v>
      </c>
      <c r="AN1627" s="30" t="str">
        <f aca="false">IF(OR(V1627="判定不能",M1627="判定不能"),"判定不能",IF(AM1627&gt;=判定条件!$C$9,"利用可",IF(AND(V1627="停止",M1627="停止"),"両方停止","運転がそろわない")))</f>
        <v>利用可</v>
      </c>
      <c r="AO1627" s="30" t="n">
        <v>60</v>
      </c>
      <c r="AP1627" s="30" t="n">
        <v>0</v>
      </c>
      <c r="AQ1627" s="30" t="str">
        <f aca="false">IF(OR(Y1627="判定不能",G1627="判定不能"),"判定不能",IF(AP1627&gt;=判定条件!$C$9,"利用可",IF(AND(Y1627="停止",G1627="停止"),"両方停止","運転がそろわない")))</f>
        <v>両方停止</v>
      </c>
      <c r="AR1627" s="30" t="n">
        <v>60</v>
      </c>
      <c r="AS1627" s="30" t="n">
        <v>1</v>
      </c>
      <c r="AT1627" s="30" t="str">
        <f aca="false">IF(OR(AB1627="判定不能",J1627="判定不能"),"判定不能",IF(AS1627&gt;=判定条件!$C$9,"利用可",IF(AND(AB1627="停止",J1627="停止"),"両方停止","運転がそろわない")))</f>
        <v>運転がそろわない</v>
      </c>
      <c r="AU1627" s="30" t="n">
        <v>60</v>
      </c>
      <c r="AV1627" s="30" t="n">
        <v>18</v>
      </c>
      <c r="AW1627" s="30" t="str">
        <f aca="false">IF(OR(AE1627="判定不能",M1627="判定不能"),"判定不能",IF(AV1627&gt;=判定条件!$C$9,"利用可",IF(AND(AE1627="停止",M1627="停止"),"両方停止","運転がそろわない")))</f>
        <v>運転がそろわない</v>
      </c>
      <c r="AX1627" s="30" t="str">
        <f aca="false">IF(AND(AH1627="利用可",AK1627="利用可",AN1627="利用可"),"利用可","不可")</f>
        <v>不可</v>
      </c>
      <c r="AY1627" s="30" t="str">
        <f aca="false">IF(AND(AQ1627="利用可",AT1627="利用可",AW1627="利用可"),"利用可","不可")</f>
        <v>不可</v>
      </c>
    </row>
    <row r="1628" customFormat="false" ht="15" hidden="false" customHeight="false" outlineLevel="0" collapsed="false">
      <c r="A1628" s="29" t="n">
        <v>46299</v>
      </c>
      <c r="B1628" s="30" t="n">
        <v>17</v>
      </c>
      <c r="C1628" s="31" t="s">
        <v>65</v>
      </c>
      <c r="D1628" s="31" t="s">
        <v>64</v>
      </c>
      <c r="E1628" s="30" t="n">
        <v>60</v>
      </c>
      <c r="F1628" s="30" t="n">
        <v>0</v>
      </c>
      <c r="G1628" s="30" t="str">
        <f aca="false">IF(E1628&lt;判定条件!$C$6,"判定不能",IF(F1628&gt;=判定条件!$C$7*E1628,"運転",IF(F1628&lt;=判定条件!$C$8*E1628,"停止","断続")))</f>
        <v>停止</v>
      </c>
      <c r="H1628" s="30" t="n">
        <v>60</v>
      </c>
      <c r="I1628" s="30" t="n">
        <v>13</v>
      </c>
      <c r="J1628" s="30" t="str">
        <f aca="false">IF(H1628&lt;判定条件!$C$6,"判定不能",IF(I1628&gt;=判定条件!$C$7*H1628,"運転",IF(I1628&lt;=判定条件!$C$8*H1628,"停止","断続")))</f>
        <v>断続</v>
      </c>
      <c r="K1628" s="30" t="n">
        <v>60</v>
      </c>
      <c r="L1628" s="30" t="n">
        <v>38</v>
      </c>
      <c r="M1628" s="30" t="str">
        <f aca="false">IF(K1628&lt;判定条件!$C$6,"判定不能",IF(L1628&gt;=判定条件!$C$7*K1628,"運転",IF(L1628&lt;=判定条件!$C$8*K1628,"停止","断続")))</f>
        <v>断続</v>
      </c>
      <c r="N1628" s="30" t="n">
        <v>60</v>
      </c>
      <c r="O1628" s="30" t="n">
        <v>11</v>
      </c>
      <c r="P1628" s="30" t="str">
        <f aca="false">IF(N1628&lt;判定条件!$C$6,"判定不能",IF(O1628&gt;=判定条件!$C$7*N1628,"運転",IF(O1628&lt;=判定条件!$C$8*N1628,"停止","断続")))</f>
        <v>停止</v>
      </c>
      <c r="Q1628" s="30" t="n">
        <v>60</v>
      </c>
      <c r="R1628" s="30" t="n">
        <v>0</v>
      </c>
      <c r="S1628" s="30" t="str">
        <f aca="false">IF(Q1628&lt;判定条件!$C$6,"判定不能",IF(R1628&gt;=判定条件!$C$7*Q1628,"運転",IF(R1628&lt;=判定条件!$C$8*Q1628,"停止","断続")))</f>
        <v>停止</v>
      </c>
      <c r="T1628" s="30" t="n">
        <v>60</v>
      </c>
      <c r="U1628" s="30" t="n">
        <v>60</v>
      </c>
      <c r="V1628" s="30" t="str">
        <f aca="false">IF(T1628&lt;判定条件!$C$6,"判定不能",IF(U1628&gt;=判定条件!$C$7*T1628,"運転",IF(U1628&lt;=判定条件!$C$8*T1628,"停止","断続")))</f>
        <v>運転</v>
      </c>
      <c r="W1628" s="30" t="n">
        <v>60</v>
      </c>
      <c r="X1628" s="30" t="n">
        <v>35</v>
      </c>
      <c r="Y1628" s="30" t="str">
        <f aca="false">IF(W1628&lt;判定条件!$C$6,"判定不能",IF(X1628&gt;=判定条件!$C$7*W1628,"運転",IF(X1628&lt;=判定条件!$C$8*W1628,"停止","断続")))</f>
        <v>断続</v>
      </c>
      <c r="Z1628" s="30" t="n">
        <v>60</v>
      </c>
      <c r="AA1628" s="30" t="n">
        <v>24</v>
      </c>
      <c r="AB1628" s="30" t="str">
        <f aca="false">IF(Z1628&lt;判定条件!$C$6,"判定不能",IF(AA1628&gt;=判定条件!$C$7*Z1628,"運転",IF(AA1628&lt;=判定条件!$C$8*Z1628,"停止","断続")))</f>
        <v>断続</v>
      </c>
      <c r="AC1628" s="30" t="n">
        <v>60</v>
      </c>
      <c r="AD1628" s="30" t="n">
        <v>28</v>
      </c>
      <c r="AE1628" s="30" t="str">
        <f aca="false">IF(AC1628&lt;判定条件!$C$6,"判定不能",IF(AD1628&gt;=判定条件!$C$7*AC1628,"運転",IF(AD1628&lt;=判定条件!$C$8*AC1628,"停止","断続")))</f>
        <v>断続</v>
      </c>
      <c r="AF1628" s="30" t="n">
        <v>60</v>
      </c>
      <c r="AG1628" s="30" t="n">
        <v>0</v>
      </c>
      <c r="AH1628" s="30" t="str">
        <f aca="false">IF(OR(P1628="判定不能",G1628="判定不能"),"判定不能",IF(AG1628&gt;=判定条件!$C$9,"利用可",IF(AND(P1628="停止",G1628="停止"),"両方停止","運転がそろわない")))</f>
        <v>両方停止</v>
      </c>
      <c r="AI1628" s="30" t="n">
        <v>60</v>
      </c>
      <c r="AJ1628" s="30" t="n">
        <v>0</v>
      </c>
      <c r="AK1628" s="30" t="str">
        <f aca="false">IF(OR(S1628="判定不能",J1628="判定不能"),"判定不能",IF(AJ1628&gt;=判定条件!$C$9,"利用可",IF(AND(S1628="停止",J1628="停止"),"両方停止","運転がそろわない")))</f>
        <v>運転がそろわない</v>
      </c>
      <c r="AL1628" s="30" t="n">
        <v>60</v>
      </c>
      <c r="AM1628" s="30" t="n">
        <v>38</v>
      </c>
      <c r="AN1628" s="30" t="str">
        <f aca="false">IF(OR(V1628="判定不能",M1628="判定不能"),"判定不能",IF(AM1628&gt;=判定条件!$C$9,"利用可",IF(AND(V1628="停止",M1628="停止"),"両方停止","運転がそろわない")))</f>
        <v>利用可</v>
      </c>
      <c r="AO1628" s="30" t="n">
        <v>60</v>
      </c>
      <c r="AP1628" s="30" t="n">
        <v>0</v>
      </c>
      <c r="AQ1628" s="30" t="str">
        <f aca="false">IF(OR(Y1628="判定不能",G1628="判定不能"),"判定不能",IF(AP1628&gt;=判定条件!$C$9,"利用可",IF(AND(Y1628="停止",G1628="停止"),"両方停止","運転がそろわない")))</f>
        <v>運転がそろわない</v>
      </c>
      <c r="AR1628" s="30" t="n">
        <v>60</v>
      </c>
      <c r="AS1628" s="30" t="n">
        <v>0</v>
      </c>
      <c r="AT1628" s="30" t="str">
        <f aca="false">IF(OR(AB1628="判定不能",J1628="判定不能"),"判定不能",IF(AS1628&gt;=判定条件!$C$9,"利用可",IF(AND(AB1628="停止",J1628="停止"),"両方停止","運転がそろわない")))</f>
        <v>運転がそろわない</v>
      </c>
      <c r="AU1628" s="30" t="n">
        <v>60</v>
      </c>
      <c r="AV1628" s="30" t="n">
        <v>11</v>
      </c>
      <c r="AW1628" s="30" t="str">
        <f aca="false">IF(OR(AE1628="判定不能",M1628="判定不能"),"判定不能",IF(AV1628&gt;=判定条件!$C$9,"利用可",IF(AND(AE1628="停止",M1628="停止"),"両方停止","運転がそろわない")))</f>
        <v>運転がそろわない</v>
      </c>
      <c r="AX1628" s="30" t="str">
        <f aca="false">IF(AND(AH1628="利用可",AK1628="利用可",AN1628="利用可"),"利用可","不可")</f>
        <v>不可</v>
      </c>
      <c r="AY1628" s="30" t="str">
        <f aca="false">IF(AND(AQ1628="利用可",AT1628="利用可",AW1628="利用可"),"利用可","不可")</f>
        <v>不可</v>
      </c>
    </row>
    <row r="1629" customFormat="false" ht="15" hidden="false" customHeight="false" outlineLevel="0" collapsed="false">
      <c r="A1629" s="29" t="n">
        <v>46299</v>
      </c>
      <c r="B1629" s="30" t="n">
        <v>18</v>
      </c>
      <c r="C1629" s="31" t="s">
        <v>65</v>
      </c>
      <c r="D1629" s="31" t="s">
        <v>64</v>
      </c>
      <c r="E1629" s="30" t="n">
        <v>60</v>
      </c>
      <c r="F1629" s="30" t="n">
        <v>9</v>
      </c>
      <c r="G1629" s="30" t="str">
        <f aca="false">IF(E1629&lt;判定条件!$C$6,"判定不能",IF(F1629&gt;=判定条件!$C$7*E1629,"運転",IF(F1629&lt;=判定条件!$C$8*E1629,"停止","断続")))</f>
        <v>停止</v>
      </c>
      <c r="H1629" s="30" t="n">
        <v>60</v>
      </c>
      <c r="I1629" s="30" t="n">
        <v>11</v>
      </c>
      <c r="J1629" s="30" t="str">
        <f aca="false">IF(H1629&lt;判定条件!$C$6,"判定不能",IF(I1629&gt;=判定条件!$C$7*H1629,"運転",IF(I1629&lt;=判定条件!$C$8*H1629,"停止","断続")))</f>
        <v>停止</v>
      </c>
      <c r="K1629" s="30" t="n">
        <v>60</v>
      </c>
      <c r="L1629" s="30" t="n">
        <v>31</v>
      </c>
      <c r="M1629" s="30" t="str">
        <f aca="false">IF(K1629&lt;判定条件!$C$6,"判定不能",IF(L1629&gt;=判定条件!$C$7*K1629,"運転",IF(L1629&lt;=判定条件!$C$8*K1629,"停止","断続")))</f>
        <v>断続</v>
      </c>
      <c r="N1629" s="30" t="n">
        <v>60</v>
      </c>
      <c r="O1629" s="30" t="n">
        <v>6</v>
      </c>
      <c r="P1629" s="30" t="str">
        <f aca="false">IF(N1629&lt;判定条件!$C$6,"判定不能",IF(O1629&gt;=判定条件!$C$7*N1629,"運転",IF(O1629&lt;=判定条件!$C$8*N1629,"停止","断続")))</f>
        <v>停止</v>
      </c>
      <c r="Q1629" s="30" t="n">
        <v>60</v>
      </c>
      <c r="R1629" s="30" t="n">
        <v>0</v>
      </c>
      <c r="S1629" s="30" t="str">
        <f aca="false">IF(Q1629&lt;判定条件!$C$6,"判定不能",IF(R1629&gt;=判定条件!$C$7*Q1629,"運転",IF(R1629&lt;=判定条件!$C$8*Q1629,"停止","断続")))</f>
        <v>停止</v>
      </c>
      <c r="T1629" s="30" t="n">
        <v>60</v>
      </c>
      <c r="U1629" s="30" t="n">
        <v>18</v>
      </c>
      <c r="V1629" s="30" t="str">
        <f aca="false">IF(T1629&lt;判定条件!$C$6,"判定不能",IF(U1629&gt;=判定条件!$C$7*T1629,"運転",IF(U1629&lt;=判定条件!$C$8*T1629,"停止","断続")))</f>
        <v>断続</v>
      </c>
      <c r="W1629" s="30" t="n">
        <v>60</v>
      </c>
      <c r="X1629" s="30" t="n">
        <v>0</v>
      </c>
      <c r="Y1629" s="30" t="str">
        <f aca="false">IF(W1629&lt;判定条件!$C$6,"判定不能",IF(X1629&gt;=判定条件!$C$7*W1629,"運転",IF(X1629&lt;=判定条件!$C$8*W1629,"停止","断続")))</f>
        <v>停止</v>
      </c>
      <c r="Z1629" s="30" t="n">
        <v>60</v>
      </c>
      <c r="AA1629" s="30" t="n">
        <v>22</v>
      </c>
      <c r="AB1629" s="30" t="str">
        <f aca="false">IF(Z1629&lt;判定条件!$C$6,"判定不能",IF(AA1629&gt;=判定条件!$C$7*Z1629,"運転",IF(AA1629&lt;=判定条件!$C$8*Z1629,"停止","断続")))</f>
        <v>断続</v>
      </c>
      <c r="AC1629" s="30" t="n">
        <v>60</v>
      </c>
      <c r="AD1629" s="30" t="n">
        <v>0</v>
      </c>
      <c r="AE1629" s="30" t="str">
        <f aca="false">IF(AC1629&lt;判定条件!$C$6,"判定不能",IF(AD1629&gt;=判定条件!$C$7*AC1629,"運転",IF(AD1629&lt;=判定条件!$C$8*AC1629,"停止","断続")))</f>
        <v>停止</v>
      </c>
      <c r="AF1629" s="30" t="n">
        <v>60</v>
      </c>
      <c r="AG1629" s="30" t="n">
        <v>0</v>
      </c>
      <c r="AH1629" s="30" t="str">
        <f aca="false">IF(OR(P1629="判定不能",G1629="判定不能"),"判定不能",IF(AG1629&gt;=判定条件!$C$9,"利用可",IF(AND(P1629="停止",G1629="停止"),"両方停止","運転がそろわない")))</f>
        <v>両方停止</v>
      </c>
      <c r="AI1629" s="30" t="n">
        <v>60</v>
      </c>
      <c r="AJ1629" s="30" t="n">
        <v>0</v>
      </c>
      <c r="AK1629" s="30" t="str">
        <f aca="false">IF(OR(S1629="判定不能",J1629="判定不能"),"判定不能",IF(AJ1629&gt;=判定条件!$C$9,"利用可",IF(AND(S1629="停止",J1629="停止"),"両方停止","運転がそろわない")))</f>
        <v>両方停止</v>
      </c>
      <c r="AL1629" s="30" t="n">
        <v>60</v>
      </c>
      <c r="AM1629" s="30" t="n">
        <v>0</v>
      </c>
      <c r="AN1629" s="30" t="str">
        <f aca="false">IF(OR(V1629="判定不能",M1629="判定不能"),"判定不能",IF(AM1629&gt;=判定条件!$C$9,"利用可",IF(AND(V1629="停止",M1629="停止"),"両方停止","運転がそろわない")))</f>
        <v>運転がそろわない</v>
      </c>
      <c r="AO1629" s="30" t="n">
        <v>60</v>
      </c>
      <c r="AP1629" s="30" t="n">
        <v>0</v>
      </c>
      <c r="AQ1629" s="30" t="str">
        <f aca="false">IF(OR(Y1629="判定不能",G1629="判定不能"),"判定不能",IF(AP1629&gt;=判定条件!$C$9,"利用可",IF(AND(Y1629="停止",G1629="停止"),"両方停止","運転がそろわない")))</f>
        <v>両方停止</v>
      </c>
      <c r="AR1629" s="30" t="n">
        <v>60</v>
      </c>
      <c r="AS1629" s="30" t="n">
        <v>5</v>
      </c>
      <c r="AT1629" s="30" t="str">
        <f aca="false">IF(OR(AB1629="判定不能",J1629="判定不能"),"判定不能",IF(AS1629&gt;=判定条件!$C$9,"利用可",IF(AND(AB1629="停止",J1629="停止"),"両方停止","運転がそろわない")))</f>
        <v>運転がそろわない</v>
      </c>
      <c r="AU1629" s="30" t="n">
        <v>60</v>
      </c>
      <c r="AV1629" s="30" t="n">
        <v>0</v>
      </c>
      <c r="AW1629" s="30" t="str">
        <f aca="false">IF(OR(AE1629="判定不能",M1629="判定不能"),"判定不能",IF(AV1629&gt;=判定条件!$C$9,"利用可",IF(AND(AE1629="停止",M1629="停止"),"両方停止","運転がそろわない")))</f>
        <v>運転がそろわない</v>
      </c>
      <c r="AX1629" s="30" t="str">
        <f aca="false">IF(AND(AH1629="利用可",AK1629="利用可",AN1629="利用可"),"利用可","不可")</f>
        <v>不可</v>
      </c>
      <c r="AY1629" s="30" t="str">
        <f aca="false">IF(AND(AQ1629="利用可",AT1629="利用可",AW1629="利用可"),"利用可","不可")</f>
        <v>不可</v>
      </c>
    </row>
    <row r="1630" customFormat="false" ht="15" hidden="false" customHeight="false" outlineLevel="0" collapsed="false">
      <c r="A1630" s="29" t="n">
        <v>46299</v>
      </c>
      <c r="B1630" s="30" t="n">
        <v>19</v>
      </c>
      <c r="C1630" s="31" t="s">
        <v>65</v>
      </c>
      <c r="D1630" s="31" t="s">
        <v>64</v>
      </c>
      <c r="E1630" s="30" t="n">
        <v>60</v>
      </c>
      <c r="F1630" s="30" t="n">
        <v>0</v>
      </c>
      <c r="G1630" s="30" t="str">
        <f aca="false">IF(E1630&lt;判定条件!$C$6,"判定不能",IF(F1630&gt;=判定条件!$C$7*E1630,"運転",IF(F1630&lt;=判定条件!$C$8*E1630,"停止","断続")))</f>
        <v>停止</v>
      </c>
      <c r="H1630" s="30" t="n">
        <v>60</v>
      </c>
      <c r="I1630" s="30" t="n">
        <v>0</v>
      </c>
      <c r="J1630" s="30" t="str">
        <f aca="false">IF(H1630&lt;判定条件!$C$6,"判定不能",IF(I1630&gt;=判定条件!$C$7*H1630,"運転",IF(I1630&lt;=判定条件!$C$8*H1630,"停止","断続")))</f>
        <v>停止</v>
      </c>
      <c r="K1630" s="30" t="n">
        <v>60</v>
      </c>
      <c r="L1630" s="30" t="n">
        <v>41</v>
      </c>
      <c r="M1630" s="30" t="str">
        <f aca="false">IF(K1630&lt;判定条件!$C$6,"判定不能",IF(L1630&gt;=判定条件!$C$7*K1630,"運転",IF(L1630&lt;=判定条件!$C$8*K1630,"停止","断続")))</f>
        <v>断続</v>
      </c>
      <c r="N1630" s="30" t="n">
        <v>60</v>
      </c>
      <c r="O1630" s="30" t="n">
        <v>0</v>
      </c>
      <c r="P1630" s="30" t="str">
        <f aca="false">IF(N1630&lt;判定条件!$C$6,"判定不能",IF(O1630&gt;=判定条件!$C$7*N1630,"運転",IF(O1630&lt;=判定条件!$C$8*N1630,"停止","断続")))</f>
        <v>停止</v>
      </c>
      <c r="Q1630" s="30" t="n">
        <v>60</v>
      </c>
      <c r="R1630" s="30" t="n">
        <v>0</v>
      </c>
      <c r="S1630" s="30" t="str">
        <f aca="false">IF(Q1630&lt;判定条件!$C$6,"判定不能",IF(R1630&gt;=判定条件!$C$7*Q1630,"運転",IF(R1630&lt;=判定条件!$C$8*Q1630,"停止","断続")))</f>
        <v>停止</v>
      </c>
      <c r="T1630" s="30" t="n">
        <v>60</v>
      </c>
      <c r="U1630" s="30" t="n">
        <v>0</v>
      </c>
      <c r="V1630" s="30" t="str">
        <f aca="false">IF(T1630&lt;判定条件!$C$6,"判定不能",IF(U1630&gt;=判定条件!$C$7*T1630,"運転",IF(U1630&lt;=判定条件!$C$8*T1630,"停止","断続")))</f>
        <v>停止</v>
      </c>
      <c r="W1630" s="30" t="n">
        <v>60</v>
      </c>
      <c r="X1630" s="30" t="n">
        <v>0</v>
      </c>
      <c r="Y1630" s="30" t="str">
        <f aca="false">IF(W1630&lt;判定条件!$C$6,"判定不能",IF(X1630&gt;=判定条件!$C$7*W1630,"運転",IF(X1630&lt;=判定条件!$C$8*W1630,"停止","断続")))</f>
        <v>停止</v>
      </c>
      <c r="Z1630" s="30" t="n">
        <v>60</v>
      </c>
      <c r="AA1630" s="30" t="n">
        <v>0</v>
      </c>
      <c r="AB1630" s="30" t="str">
        <f aca="false">IF(Z1630&lt;判定条件!$C$6,"判定不能",IF(AA1630&gt;=判定条件!$C$7*Z1630,"運転",IF(AA1630&lt;=判定条件!$C$8*Z1630,"停止","断続")))</f>
        <v>停止</v>
      </c>
      <c r="AC1630" s="30" t="n">
        <v>60</v>
      </c>
      <c r="AD1630" s="30" t="n">
        <v>0</v>
      </c>
      <c r="AE1630" s="30" t="str">
        <f aca="false">IF(AC1630&lt;判定条件!$C$6,"判定不能",IF(AD1630&gt;=判定条件!$C$7*AC1630,"運転",IF(AD1630&lt;=判定条件!$C$8*AC1630,"停止","断続")))</f>
        <v>停止</v>
      </c>
      <c r="AF1630" s="30" t="n">
        <v>60</v>
      </c>
      <c r="AG1630" s="30" t="n">
        <v>0</v>
      </c>
      <c r="AH1630" s="30" t="str">
        <f aca="false">IF(OR(P1630="判定不能",G1630="判定不能"),"判定不能",IF(AG1630&gt;=判定条件!$C$9,"利用可",IF(AND(P1630="停止",G1630="停止"),"両方停止","運転がそろわない")))</f>
        <v>両方停止</v>
      </c>
      <c r="AI1630" s="30" t="n">
        <v>60</v>
      </c>
      <c r="AJ1630" s="30" t="n">
        <v>0</v>
      </c>
      <c r="AK1630" s="30" t="str">
        <f aca="false">IF(OR(S1630="判定不能",J1630="判定不能"),"判定不能",IF(AJ1630&gt;=判定条件!$C$9,"利用可",IF(AND(S1630="停止",J1630="停止"),"両方停止","運転がそろわない")))</f>
        <v>両方停止</v>
      </c>
      <c r="AL1630" s="30" t="n">
        <v>60</v>
      </c>
      <c r="AM1630" s="30" t="n">
        <v>0</v>
      </c>
      <c r="AN1630" s="30" t="str">
        <f aca="false">IF(OR(V1630="判定不能",M1630="判定不能"),"判定不能",IF(AM1630&gt;=判定条件!$C$9,"利用可",IF(AND(V1630="停止",M1630="停止"),"両方停止","運転がそろわない")))</f>
        <v>運転がそろわない</v>
      </c>
      <c r="AO1630" s="30" t="n">
        <v>60</v>
      </c>
      <c r="AP1630" s="30" t="n">
        <v>0</v>
      </c>
      <c r="AQ1630" s="30" t="str">
        <f aca="false">IF(OR(Y1630="判定不能",G1630="判定不能"),"判定不能",IF(AP1630&gt;=判定条件!$C$9,"利用可",IF(AND(Y1630="停止",G1630="停止"),"両方停止","運転がそろわない")))</f>
        <v>両方停止</v>
      </c>
      <c r="AR1630" s="30" t="n">
        <v>60</v>
      </c>
      <c r="AS1630" s="30" t="n">
        <v>0</v>
      </c>
      <c r="AT1630" s="30" t="str">
        <f aca="false">IF(OR(AB1630="判定不能",J1630="判定不能"),"判定不能",IF(AS1630&gt;=判定条件!$C$9,"利用可",IF(AND(AB1630="停止",J1630="停止"),"両方停止","運転がそろわない")))</f>
        <v>両方停止</v>
      </c>
      <c r="AU1630" s="30" t="n">
        <v>60</v>
      </c>
      <c r="AV1630" s="30" t="n">
        <v>0</v>
      </c>
      <c r="AW1630" s="30" t="str">
        <f aca="false">IF(OR(AE1630="判定不能",M1630="判定不能"),"判定不能",IF(AV1630&gt;=判定条件!$C$9,"利用可",IF(AND(AE1630="停止",M1630="停止"),"両方停止","運転がそろわない")))</f>
        <v>運転がそろわない</v>
      </c>
      <c r="AX1630" s="30" t="str">
        <f aca="false">IF(AND(AH1630="利用可",AK1630="利用可",AN1630="利用可"),"利用可","不可")</f>
        <v>不可</v>
      </c>
      <c r="AY1630" s="30" t="str">
        <f aca="false">IF(AND(AQ1630="利用可",AT1630="利用可",AW1630="利用可"),"利用可","不可")</f>
        <v>不可</v>
      </c>
    </row>
    <row r="1631" customFormat="false" ht="15" hidden="false" customHeight="false" outlineLevel="0" collapsed="false">
      <c r="A1631" s="29" t="n">
        <v>46299</v>
      </c>
      <c r="B1631" s="30" t="n">
        <v>20</v>
      </c>
      <c r="C1631" s="31" t="s">
        <v>65</v>
      </c>
      <c r="D1631" s="31" t="s">
        <v>64</v>
      </c>
      <c r="E1631" s="30" t="n">
        <v>60</v>
      </c>
      <c r="F1631" s="30" t="n">
        <v>0</v>
      </c>
      <c r="G1631" s="30" t="str">
        <f aca="false">IF(E1631&lt;判定条件!$C$6,"判定不能",IF(F1631&gt;=判定条件!$C$7*E1631,"運転",IF(F1631&lt;=判定条件!$C$8*E1631,"停止","断続")))</f>
        <v>停止</v>
      </c>
      <c r="H1631" s="30" t="n">
        <v>60</v>
      </c>
      <c r="I1631" s="30" t="n">
        <v>0</v>
      </c>
      <c r="J1631" s="30" t="str">
        <f aca="false">IF(H1631&lt;判定条件!$C$6,"判定不能",IF(I1631&gt;=判定条件!$C$7*H1631,"運転",IF(I1631&lt;=判定条件!$C$8*H1631,"停止","断続")))</f>
        <v>停止</v>
      </c>
      <c r="K1631" s="30" t="n">
        <v>60</v>
      </c>
      <c r="L1631" s="30" t="n">
        <v>46</v>
      </c>
      <c r="M1631" s="30" t="str">
        <f aca="false">IF(K1631&lt;判定条件!$C$6,"判定不能",IF(L1631&gt;=判定条件!$C$7*K1631,"運転",IF(L1631&lt;=判定条件!$C$8*K1631,"停止","断続")))</f>
        <v>断続</v>
      </c>
      <c r="N1631" s="30" t="n">
        <v>60</v>
      </c>
      <c r="O1631" s="30" t="n">
        <v>0</v>
      </c>
      <c r="P1631" s="30" t="str">
        <f aca="false">IF(N1631&lt;判定条件!$C$6,"判定不能",IF(O1631&gt;=判定条件!$C$7*N1631,"運転",IF(O1631&lt;=判定条件!$C$8*N1631,"停止","断続")))</f>
        <v>停止</v>
      </c>
      <c r="Q1631" s="30" t="n">
        <v>60</v>
      </c>
      <c r="R1631" s="30" t="n">
        <v>0</v>
      </c>
      <c r="S1631" s="30" t="str">
        <f aca="false">IF(Q1631&lt;判定条件!$C$6,"判定不能",IF(R1631&gt;=判定条件!$C$7*Q1631,"運転",IF(R1631&lt;=判定条件!$C$8*Q1631,"停止","断続")))</f>
        <v>停止</v>
      </c>
      <c r="T1631" s="30" t="n">
        <v>60</v>
      </c>
      <c r="U1631" s="30" t="n">
        <v>0</v>
      </c>
      <c r="V1631" s="30" t="str">
        <f aca="false">IF(T1631&lt;判定条件!$C$6,"判定不能",IF(U1631&gt;=判定条件!$C$7*T1631,"運転",IF(U1631&lt;=判定条件!$C$8*T1631,"停止","断続")))</f>
        <v>停止</v>
      </c>
      <c r="W1631" s="30" t="n">
        <v>60</v>
      </c>
      <c r="X1631" s="30" t="n">
        <v>0</v>
      </c>
      <c r="Y1631" s="30" t="str">
        <f aca="false">IF(W1631&lt;判定条件!$C$6,"判定不能",IF(X1631&gt;=判定条件!$C$7*W1631,"運転",IF(X1631&lt;=判定条件!$C$8*W1631,"停止","断続")))</f>
        <v>停止</v>
      </c>
      <c r="Z1631" s="30" t="n">
        <v>60</v>
      </c>
      <c r="AA1631" s="30" t="n">
        <v>0</v>
      </c>
      <c r="AB1631" s="30" t="str">
        <f aca="false">IF(Z1631&lt;判定条件!$C$6,"判定不能",IF(AA1631&gt;=判定条件!$C$7*Z1631,"運転",IF(AA1631&lt;=判定条件!$C$8*Z1631,"停止","断続")))</f>
        <v>停止</v>
      </c>
      <c r="AC1631" s="30" t="n">
        <v>60</v>
      </c>
      <c r="AD1631" s="30" t="n">
        <v>0</v>
      </c>
      <c r="AE1631" s="30" t="str">
        <f aca="false">IF(AC1631&lt;判定条件!$C$6,"判定不能",IF(AD1631&gt;=判定条件!$C$7*AC1631,"運転",IF(AD1631&lt;=判定条件!$C$8*AC1631,"停止","断続")))</f>
        <v>停止</v>
      </c>
      <c r="AF1631" s="30" t="n">
        <v>60</v>
      </c>
      <c r="AG1631" s="30" t="n">
        <v>0</v>
      </c>
      <c r="AH1631" s="30" t="str">
        <f aca="false">IF(OR(P1631="判定不能",G1631="判定不能"),"判定不能",IF(AG1631&gt;=判定条件!$C$9,"利用可",IF(AND(P1631="停止",G1631="停止"),"両方停止","運転がそろわない")))</f>
        <v>両方停止</v>
      </c>
      <c r="AI1631" s="30" t="n">
        <v>60</v>
      </c>
      <c r="AJ1631" s="30" t="n">
        <v>0</v>
      </c>
      <c r="AK1631" s="30" t="str">
        <f aca="false">IF(OR(S1631="判定不能",J1631="判定不能"),"判定不能",IF(AJ1631&gt;=判定条件!$C$9,"利用可",IF(AND(S1631="停止",J1631="停止"),"両方停止","運転がそろわない")))</f>
        <v>両方停止</v>
      </c>
      <c r="AL1631" s="30" t="n">
        <v>60</v>
      </c>
      <c r="AM1631" s="30" t="n">
        <v>0</v>
      </c>
      <c r="AN1631" s="30" t="str">
        <f aca="false">IF(OR(V1631="判定不能",M1631="判定不能"),"判定不能",IF(AM1631&gt;=判定条件!$C$9,"利用可",IF(AND(V1631="停止",M1631="停止"),"両方停止","運転がそろわない")))</f>
        <v>運転がそろわない</v>
      </c>
      <c r="AO1631" s="30" t="n">
        <v>60</v>
      </c>
      <c r="AP1631" s="30" t="n">
        <v>0</v>
      </c>
      <c r="AQ1631" s="30" t="str">
        <f aca="false">IF(OR(Y1631="判定不能",G1631="判定不能"),"判定不能",IF(AP1631&gt;=判定条件!$C$9,"利用可",IF(AND(Y1631="停止",G1631="停止"),"両方停止","運転がそろわない")))</f>
        <v>両方停止</v>
      </c>
      <c r="AR1631" s="30" t="n">
        <v>60</v>
      </c>
      <c r="AS1631" s="30" t="n">
        <v>0</v>
      </c>
      <c r="AT1631" s="30" t="str">
        <f aca="false">IF(OR(AB1631="判定不能",J1631="判定不能"),"判定不能",IF(AS1631&gt;=判定条件!$C$9,"利用可",IF(AND(AB1631="停止",J1631="停止"),"両方停止","運転がそろわない")))</f>
        <v>両方停止</v>
      </c>
      <c r="AU1631" s="30" t="n">
        <v>60</v>
      </c>
      <c r="AV1631" s="30" t="n">
        <v>0</v>
      </c>
      <c r="AW1631" s="30" t="str">
        <f aca="false">IF(OR(AE1631="判定不能",M1631="判定不能"),"判定不能",IF(AV1631&gt;=判定条件!$C$9,"利用可",IF(AND(AE1631="停止",M1631="停止"),"両方停止","運転がそろわない")))</f>
        <v>運転がそろわない</v>
      </c>
      <c r="AX1631" s="30" t="str">
        <f aca="false">IF(AND(AH1631="利用可",AK1631="利用可",AN1631="利用可"),"利用可","不可")</f>
        <v>不可</v>
      </c>
      <c r="AY1631" s="30" t="str">
        <f aca="false">IF(AND(AQ1631="利用可",AT1631="利用可",AW1631="利用可"),"利用可","不可")</f>
        <v>不可</v>
      </c>
    </row>
    <row r="1632" customFormat="false" ht="15" hidden="false" customHeight="false" outlineLevel="0" collapsed="false">
      <c r="A1632" s="29" t="n">
        <v>46299</v>
      </c>
      <c r="B1632" s="30" t="n">
        <v>21</v>
      </c>
      <c r="C1632" s="31" t="s">
        <v>65</v>
      </c>
      <c r="D1632" s="31" t="s">
        <v>64</v>
      </c>
      <c r="E1632" s="30" t="n">
        <v>60</v>
      </c>
      <c r="F1632" s="30" t="n">
        <v>0</v>
      </c>
      <c r="G1632" s="30" t="str">
        <f aca="false">IF(E1632&lt;判定条件!$C$6,"判定不能",IF(F1632&gt;=判定条件!$C$7*E1632,"運転",IF(F1632&lt;=判定条件!$C$8*E1632,"停止","断続")))</f>
        <v>停止</v>
      </c>
      <c r="H1632" s="30" t="n">
        <v>60</v>
      </c>
      <c r="I1632" s="30" t="n">
        <v>0</v>
      </c>
      <c r="J1632" s="30" t="str">
        <f aca="false">IF(H1632&lt;判定条件!$C$6,"判定不能",IF(I1632&gt;=判定条件!$C$7*H1632,"運転",IF(I1632&lt;=判定条件!$C$8*H1632,"停止","断続")))</f>
        <v>停止</v>
      </c>
      <c r="K1632" s="30" t="n">
        <v>60</v>
      </c>
      <c r="L1632" s="30" t="n">
        <v>0</v>
      </c>
      <c r="M1632" s="30" t="str">
        <f aca="false">IF(K1632&lt;判定条件!$C$6,"判定不能",IF(L1632&gt;=判定条件!$C$7*K1632,"運転",IF(L1632&lt;=判定条件!$C$8*K1632,"停止","断続")))</f>
        <v>停止</v>
      </c>
      <c r="N1632" s="30" t="n">
        <v>60</v>
      </c>
      <c r="O1632" s="30" t="n">
        <v>0</v>
      </c>
      <c r="P1632" s="30" t="str">
        <f aca="false">IF(N1632&lt;判定条件!$C$6,"判定不能",IF(O1632&gt;=判定条件!$C$7*N1632,"運転",IF(O1632&lt;=判定条件!$C$8*N1632,"停止","断続")))</f>
        <v>停止</v>
      </c>
      <c r="Q1632" s="30" t="n">
        <v>60</v>
      </c>
      <c r="R1632" s="30" t="n">
        <v>0</v>
      </c>
      <c r="S1632" s="30" t="str">
        <f aca="false">IF(Q1632&lt;判定条件!$C$6,"判定不能",IF(R1632&gt;=判定条件!$C$7*Q1632,"運転",IF(R1632&lt;=判定条件!$C$8*Q1632,"停止","断続")))</f>
        <v>停止</v>
      </c>
      <c r="T1632" s="30" t="n">
        <v>60</v>
      </c>
      <c r="U1632" s="30" t="n">
        <v>0</v>
      </c>
      <c r="V1632" s="30" t="str">
        <f aca="false">IF(T1632&lt;判定条件!$C$6,"判定不能",IF(U1632&gt;=判定条件!$C$7*T1632,"運転",IF(U1632&lt;=判定条件!$C$8*T1632,"停止","断続")))</f>
        <v>停止</v>
      </c>
      <c r="W1632" s="30" t="n">
        <v>60</v>
      </c>
      <c r="X1632" s="30" t="n">
        <v>0</v>
      </c>
      <c r="Y1632" s="30" t="str">
        <f aca="false">IF(W1632&lt;判定条件!$C$6,"判定不能",IF(X1632&gt;=判定条件!$C$7*W1632,"運転",IF(X1632&lt;=判定条件!$C$8*W1632,"停止","断続")))</f>
        <v>停止</v>
      </c>
      <c r="Z1632" s="30" t="n">
        <v>60</v>
      </c>
      <c r="AA1632" s="30" t="n">
        <v>0</v>
      </c>
      <c r="AB1632" s="30" t="str">
        <f aca="false">IF(Z1632&lt;判定条件!$C$6,"判定不能",IF(AA1632&gt;=判定条件!$C$7*Z1632,"運転",IF(AA1632&lt;=判定条件!$C$8*Z1632,"停止","断続")))</f>
        <v>停止</v>
      </c>
      <c r="AC1632" s="30" t="n">
        <v>60</v>
      </c>
      <c r="AD1632" s="30" t="n">
        <v>0</v>
      </c>
      <c r="AE1632" s="30" t="str">
        <f aca="false">IF(AC1632&lt;判定条件!$C$6,"判定不能",IF(AD1632&gt;=判定条件!$C$7*AC1632,"運転",IF(AD1632&lt;=判定条件!$C$8*AC1632,"停止","断続")))</f>
        <v>停止</v>
      </c>
      <c r="AF1632" s="30" t="n">
        <v>60</v>
      </c>
      <c r="AG1632" s="30" t="n">
        <v>0</v>
      </c>
      <c r="AH1632" s="30" t="str">
        <f aca="false">IF(OR(P1632="判定不能",G1632="判定不能"),"判定不能",IF(AG1632&gt;=判定条件!$C$9,"利用可",IF(AND(P1632="停止",G1632="停止"),"両方停止","運転がそろわない")))</f>
        <v>両方停止</v>
      </c>
      <c r="AI1632" s="30" t="n">
        <v>60</v>
      </c>
      <c r="AJ1632" s="30" t="n">
        <v>0</v>
      </c>
      <c r="AK1632" s="30" t="str">
        <f aca="false">IF(OR(S1632="判定不能",J1632="判定不能"),"判定不能",IF(AJ1632&gt;=判定条件!$C$9,"利用可",IF(AND(S1632="停止",J1632="停止"),"両方停止","運転がそろわない")))</f>
        <v>両方停止</v>
      </c>
      <c r="AL1632" s="30" t="n">
        <v>60</v>
      </c>
      <c r="AM1632" s="30" t="n">
        <v>0</v>
      </c>
      <c r="AN1632" s="30" t="str">
        <f aca="false">IF(OR(V1632="判定不能",M1632="判定不能"),"判定不能",IF(AM1632&gt;=判定条件!$C$9,"利用可",IF(AND(V1632="停止",M1632="停止"),"両方停止","運転がそろわない")))</f>
        <v>両方停止</v>
      </c>
      <c r="AO1632" s="30" t="n">
        <v>60</v>
      </c>
      <c r="AP1632" s="30" t="n">
        <v>0</v>
      </c>
      <c r="AQ1632" s="30" t="str">
        <f aca="false">IF(OR(Y1632="判定不能",G1632="判定不能"),"判定不能",IF(AP1632&gt;=判定条件!$C$9,"利用可",IF(AND(Y1632="停止",G1632="停止"),"両方停止","運転がそろわない")))</f>
        <v>両方停止</v>
      </c>
      <c r="AR1632" s="30" t="n">
        <v>60</v>
      </c>
      <c r="AS1632" s="30" t="n">
        <v>0</v>
      </c>
      <c r="AT1632" s="30" t="str">
        <f aca="false">IF(OR(AB1632="判定不能",J1632="判定不能"),"判定不能",IF(AS1632&gt;=判定条件!$C$9,"利用可",IF(AND(AB1632="停止",J1632="停止"),"両方停止","運転がそろわない")))</f>
        <v>両方停止</v>
      </c>
      <c r="AU1632" s="30" t="n">
        <v>60</v>
      </c>
      <c r="AV1632" s="30" t="n">
        <v>0</v>
      </c>
      <c r="AW1632" s="30" t="str">
        <f aca="false">IF(OR(AE1632="判定不能",M1632="判定不能"),"判定不能",IF(AV1632&gt;=判定条件!$C$9,"利用可",IF(AND(AE1632="停止",M1632="停止"),"両方停止","運転がそろわない")))</f>
        <v>両方停止</v>
      </c>
      <c r="AX1632" s="30" t="str">
        <f aca="false">IF(AND(AH1632="利用可",AK1632="利用可",AN1632="利用可"),"利用可","不可")</f>
        <v>不可</v>
      </c>
      <c r="AY1632" s="30" t="str">
        <f aca="false">IF(AND(AQ1632="利用可",AT1632="利用可",AW1632="利用可"),"利用可","不可")</f>
        <v>不可</v>
      </c>
    </row>
    <row r="1633" customFormat="false" ht="15" hidden="false" customHeight="false" outlineLevel="0" collapsed="false">
      <c r="A1633" s="29" t="n">
        <v>46299</v>
      </c>
      <c r="B1633" s="30" t="n">
        <v>22</v>
      </c>
      <c r="C1633" s="31" t="s">
        <v>65</v>
      </c>
      <c r="D1633" s="31" t="s">
        <v>64</v>
      </c>
      <c r="E1633" s="30" t="n">
        <v>60</v>
      </c>
      <c r="F1633" s="30" t="n">
        <v>0</v>
      </c>
      <c r="G1633" s="30" t="str">
        <f aca="false">IF(E1633&lt;判定条件!$C$6,"判定不能",IF(F1633&gt;=判定条件!$C$7*E1633,"運転",IF(F1633&lt;=判定条件!$C$8*E1633,"停止","断続")))</f>
        <v>停止</v>
      </c>
      <c r="H1633" s="30" t="n">
        <v>60</v>
      </c>
      <c r="I1633" s="30" t="n">
        <v>0</v>
      </c>
      <c r="J1633" s="30" t="str">
        <f aca="false">IF(H1633&lt;判定条件!$C$6,"判定不能",IF(I1633&gt;=判定条件!$C$7*H1633,"運転",IF(I1633&lt;=判定条件!$C$8*H1633,"停止","断続")))</f>
        <v>停止</v>
      </c>
      <c r="K1633" s="30" t="n">
        <v>60</v>
      </c>
      <c r="L1633" s="30" t="n">
        <v>0</v>
      </c>
      <c r="M1633" s="30" t="str">
        <f aca="false">IF(K1633&lt;判定条件!$C$6,"判定不能",IF(L1633&gt;=判定条件!$C$7*K1633,"運転",IF(L1633&lt;=判定条件!$C$8*K1633,"停止","断続")))</f>
        <v>停止</v>
      </c>
      <c r="N1633" s="30" t="n">
        <v>60</v>
      </c>
      <c r="O1633" s="30" t="n">
        <v>0</v>
      </c>
      <c r="P1633" s="30" t="str">
        <f aca="false">IF(N1633&lt;判定条件!$C$6,"判定不能",IF(O1633&gt;=判定条件!$C$7*N1633,"運転",IF(O1633&lt;=判定条件!$C$8*N1633,"停止","断続")))</f>
        <v>停止</v>
      </c>
      <c r="Q1633" s="30" t="n">
        <v>60</v>
      </c>
      <c r="R1633" s="30" t="n">
        <v>0</v>
      </c>
      <c r="S1633" s="30" t="str">
        <f aca="false">IF(Q1633&lt;判定条件!$C$6,"判定不能",IF(R1633&gt;=判定条件!$C$7*Q1633,"運転",IF(R1633&lt;=判定条件!$C$8*Q1633,"停止","断続")))</f>
        <v>停止</v>
      </c>
      <c r="T1633" s="30" t="n">
        <v>60</v>
      </c>
      <c r="U1633" s="30" t="n">
        <v>0</v>
      </c>
      <c r="V1633" s="30" t="str">
        <f aca="false">IF(T1633&lt;判定条件!$C$6,"判定不能",IF(U1633&gt;=判定条件!$C$7*T1633,"運転",IF(U1633&lt;=判定条件!$C$8*T1633,"停止","断続")))</f>
        <v>停止</v>
      </c>
      <c r="W1633" s="30" t="n">
        <v>60</v>
      </c>
      <c r="X1633" s="30" t="n">
        <v>0</v>
      </c>
      <c r="Y1633" s="30" t="str">
        <f aca="false">IF(W1633&lt;判定条件!$C$6,"判定不能",IF(X1633&gt;=判定条件!$C$7*W1633,"運転",IF(X1633&lt;=判定条件!$C$8*W1633,"停止","断続")))</f>
        <v>停止</v>
      </c>
      <c r="Z1633" s="30" t="n">
        <v>60</v>
      </c>
      <c r="AA1633" s="30" t="n">
        <v>0</v>
      </c>
      <c r="AB1633" s="30" t="str">
        <f aca="false">IF(Z1633&lt;判定条件!$C$6,"判定不能",IF(AA1633&gt;=判定条件!$C$7*Z1633,"運転",IF(AA1633&lt;=判定条件!$C$8*Z1633,"停止","断続")))</f>
        <v>停止</v>
      </c>
      <c r="AC1633" s="30" t="n">
        <v>60</v>
      </c>
      <c r="AD1633" s="30" t="n">
        <v>0</v>
      </c>
      <c r="AE1633" s="30" t="str">
        <f aca="false">IF(AC1633&lt;判定条件!$C$6,"判定不能",IF(AD1633&gt;=判定条件!$C$7*AC1633,"運転",IF(AD1633&lt;=判定条件!$C$8*AC1633,"停止","断続")))</f>
        <v>停止</v>
      </c>
      <c r="AF1633" s="30" t="n">
        <v>60</v>
      </c>
      <c r="AG1633" s="30" t="n">
        <v>0</v>
      </c>
      <c r="AH1633" s="30" t="str">
        <f aca="false">IF(OR(P1633="判定不能",G1633="判定不能"),"判定不能",IF(AG1633&gt;=判定条件!$C$9,"利用可",IF(AND(P1633="停止",G1633="停止"),"両方停止","運転がそろわない")))</f>
        <v>両方停止</v>
      </c>
      <c r="AI1633" s="30" t="n">
        <v>60</v>
      </c>
      <c r="AJ1633" s="30" t="n">
        <v>0</v>
      </c>
      <c r="AK1633" s="30" t="str">
        <f aca="false">IF(OR(S1633="判定不能",J1633="判定不能"),"判定不能",IF(AJ1633&gt;=判定条件!$C$9,"利用可",IF(AND(S1633="停止",J1633="停止"),"両方停止","運転がそろわない")))</f>
        <v>両方停止</v>
      </c>
      <c r="AL1633" s="30" t="n">
        <v>60</v>
      </c>
      <c r="AM1633" s="30" t="n">
        <v>0</v>
      </c>
      <c r="AN1633" s="30" t="str">
        <f aca="false">IF(OR(V1633="判定不能",M1633="判定不能"),"判定不能",IF(AM1633&gt;=判定条件!$C$9,"利用可",IF(AND(V1633="停止",M1633="停止"),"両方停止","運転がそろわない")))</f>
        <v>両方停止</v>
      </c>
      <c r="AO1633" s="30" t="n">
        <v>60</v>
      </c>
      <c r="AP1633" s="30" t="n">
        <v>0</v>
      </c>
      <c r="AQ1633" s="30" t="str">
        <f aca="false">IF(OR(Y1633="判定不能",G1633="判定不能"),"判定不能",IF(AP1633&gt;=判定条件!$C$9,"利用可",IF(AND(Y1633="停止",G1633="停止"),"両方停止","運転がそろわない")))</f>
        <v>両方停止</v>
      </c>
      <c r="AR1633" s="30" t="n">
        <v>60</v>
      </c>
      <c r="AS1633" s="30" t="n">
        <v>0</v>
      </c>
      <c r="AT1633" s="30" t="str">
        <f aca="false">IF(OR(AB1633="判定不能",J1633="判定不能"),"判定不能",IF(AS1633&gt;=判定条件!$C$9,"利用可",IF(AND(AB1633="停止",J1633="停止"),"両方停止","運転がそろわない")))</f>
        <v>両方停止</v>
      </c>
      <c r="AU1633" s="30" t="n">
        <v>60</v>
      </c>
      <c r="AV1633" s="30" t="n">
        <v>0</v>
      </c>
      <c r="AW1633" s="30" t="str">
        <f aca="false">IF(OR(AE1633="判定不能",M1633="判定不能"),"判定不能",IF(AV1633&gt;=判定条件!$C$9,"利用可",IF(AND(AE1633="停止",M1633="停止"),"両方停止","運転がそろわない")))</f>
        <v>両方停止</v>
      </c>
      <c r="AX1633" s="30" t="str">
        <f aca="false">IF(AND(AH1633="利用可",AK1633="利用可",AN1633="利用可"),"利用可","不可")</f>
        <v>不可</v>
      </c>
      <c r="AY1633" s="30" t="str">
        <f aca="false">IF(AND(AQ1633="利用可",AT1633="利用可",AW1633="利用可"),"利用可","不可")</f>
        <v>不可</v>
      </c>
    </row>
    <row r="1634" customFormat="false" ht="15" hidden="false" customHeight="false" outlineLevel="0" collapsed="false">
      <c r="A1634" s="29" t="n">
        <v>46299</v>
      </c>
      <c r="B1634" s="30" t="n">
        <v>23</v>
      </c>
      <c r="C1634" s="31" t="s">
        <v>65</v>
      </c>
      <c r="D1634" s="31" t="s">
        <v>64</v>
      </c>
      <c r="E1634" s="30" t="n">
        <v>60</v>
      </c>
      <c r="F1634" s="30" t="n">
        <v>0</v>
      </c>
      <c r="G1634" s="30" t="str">
        <f aca="false">IF(E1634&lt;判定条件!$C$6,"判定不能",IF(F1634&gt;=判定条件!$C$7*E1634,"運転",IF(F1634&lt;=判定条件!$C$8*E1634,"停止","断続")))</f>
        <v>停止</v>
      </c>
      <c r="H1634" s="30" t="n">
        <v>60</v>
      </c>
      <c r="I1634" s="30" t="n">
        <v>0</v>
      </c>
      <c r="J1634" s="30" t="str">
        <f aca="false">IF(H1634&lt;判定条件!$C$6,"判定不能",IF(I1634&gt;=判定条件!$C$7*H1634,"運転",IF(I1634&lt;=判定条件!$C$8*H1634,"停止","断続")))</f>
        <v>停止</v>
      </c>
      <c r="K1634" s="30" t="n">
        <v>60</v>
      </c>
      <c r="L1634" s="30" t="n">
        <v>0</v>
      </c>
      <c r="M1634" s="30" t="str">
        <f aca="false">IF(K1634&lt;判定条件!$C$6,"判定不能",IF(L1634&gt;=判定条件!$C$7*K1634,"運転",IF(L1634&lt;=判定条件!$C$8*K1634,"停止","断続")))</f>
        <v>停止</v>
      </c>
      <c r="N1634" s="30" t="n">
        <v>60</v>
      </c>
      <c r="O1634" s="30" t="n">
        <v>0</v>
      </c>
      <c r="P1634" s="30" t="str">
        <f aca="false">IF(N1634&lt;判定条件!$C$6,"判定不能",IF(O1634&gt;=判定条件!$C$7*N1634,"運転",IF(O1634&lt;=判定条件!$C$8*N1634,"停止","断続")))</f>
        <v>停止</v>
      </c>
      <c r="Q1634" s="30" t="n">
        <v>60</v>
      </c>
      <c r="R1634" s="30" t="n">
        <v>0</v>
      </c>
      <c r="S1634" s="30" t="str">
        <f aca="false">IF(Q1634&lt;判定条件!$C$6,"判定不能",IF(R1634&gt;=判定条件!$C$7*Q1634,"運転",IF(R1634&lt;=判定条件!$C$8*Q1634,"停止","断続")))</f>
        <v>停止</v>
      </c>
      <c r="T1634" s="30" t="n">
        <v>60</v>
      </c>
      <c r="U1634" s="30" t="n">
        <v>0</v>
      </c>
      <c r="V1634" s="30" t="str">
        <f aca="false">IF(T1634&lt;判定条件!$C$6,"判定不能",IF(U1634&gt;=判定条件!$C$7*T1634,"運転",IF(U1634&lt;=判定条件!$C$8*T1634,"停止","断続")))</f>
        <v>停止</v>
      </c>
      <c r="W1634" s="30" t="n">
        <v>60</v>
      </c>
      <c r="X1634" s="30" t="n">
        <v>0</v>
      </c>
      <c r="Y1634" s="30" t="str">
        <f aca="false">IF(W1634&lt;判定条件!$C$6,"判定不能",IF(X1634&gt;=判定条件!$C$7*W1634,"運転",IF(X1634&lt;=判定条件!$C$8*W1634,"停止","断続")))</f>
        <v>停止</v>
      </c>
      <c r="Z1634" s="30" t="n">
        <v>60</v>
      </c>
      <c r="AA1634" s="30" t="n">
        <v>0</v>
      </c>
      <c r="AB1634" s="30" t="str">
        <f aca="false">IF(Z1634&lt;判定条件!$C$6,"判定不能",IF(AA1634&gt;=判定条件!$C$7*Z1634,"運転",IF(AA1634&lt;=判定条件!$C$8*Z1634,"停止","断続")))</f>
        <v>停止</v>
      </c>
      <c r="AC1634" s="30" t="n">
        <v>60</v>
      </c>
      <c r="AD1634" s="30" t="n">
        <v>0</v>
      </c>
      <c r="AE1634" s="30" t="str">
        <f aca="false">IF(AC1634&lt;判定条件!$C$6,"判定不能",IF(AD1634&gt;=判定条件!$C$7*AC1634,"運転",IF(AD1634&lt;=判定条件!$C$8*AC1634,"停止","断続")))</f>
        <v>停止</v>
      </c>
      <c r="AF1634" s="30" t="n">
        <v>60</v>
      </c>
      <c r="AG1634" s="30" t="n">
        <v>0</v>
      </c>
      <c r="AH1634" s="30" t="str">
        <f aca="false">IF(OR(P1634="判定不能",G1634="判定不能"),"判定不能",IF(AG1634&gt;=判定条件!$C$9,"利用可",IF(AND(P1634="停止",G1634="停止"),"両方停止","運転がそろわない")))</f>
        <v>両方停止</v>
      </c>
      <c r="AI1634" s="30" t="n">
        <v>60</v>
      </c>
      <c r="AJ1634" s="30" t="n">
        <v>0</v>
      </c>
      <c r="AK1634" s="30" t="str">
        <f aca="false">IF(OR(S1634="判定不能",J1634="判定不能"),"判定不能",IF(AJ1634&gt;=判定条件!$C$9,"利用可",IF(AND(S1634="停止",J1634="停止"),"両方停止","運転がそろわない")))</f>
        <v>両方停止</v>
      </c>
      <c r="AL1634" s="30" t="n">
        <v>60</v>
      </c>
      <c r="AM1634" s="30" t="n">
        <v>0</v>
      </c>
      <c r="AN1634" s="30" t="str">
        <f aca="false">IF(OR(V1634="判定不能",M1634="判定不能"),"判定不能",IF(AM1634&gt;=判定条件!$C$9,"利用可",IF(AND(V1634="停止",M1634="停止"),"両方停止","運転がそろわない")))</f>
        <v>両方停止</v>
      </c>
      <c r="AO1634" s="30" t="n">
        <v>60</v>
      </c>
      <c r="AP1634" s="30" t="n">
        <v>0</v>
      </c>
      <c r="AQ1634" s="30" t="str">
        <f aca="false">IF(OR(Y1634="判定不能",G1634="判定不能"),"判定不能",IF(AP1634&gt;=判定条件!$C$9,"利用可",IF(AND(Y1634="停止",G1634="停止"),"両方停止","運転がそろわない")))</f>
        <v>両方停止</v>
      </c>
      <c r="AR1634" s="30" t="n">
        <v>60</v>
      </c>
      <c r="AS1634" s="30" t="n">
        <v>0</v>
      </c>
      <c r="AT1634" s="30" t="str">
        <f aca="false">IF(OR(AB1634="判定不能",J1634="判定不能"),"判定不能",IF(AS1634&gt;=判定条件!$C$9,"利用可",IF(AND(AB1634="停止",J1634="停止"),"両方停止","運転がそろわない")))</f>
        <v>両方停止</v>
      </c>
      <c r="AU1634" s="30" t="n">
        <v>60</v>
      </c>
      <c r="AV1634" s="30" t="n">
        <v>0</v>
      </c>
      <c r="AW1634" s="30" t="str">
        <f aca="false">IF(OR(AE1634="判定不能",M1634="判定不能"),"判定不能",IF(AV1634&gt;=判定条件!$C$9,"利用可",IF(AND(AE1634="停止",M1634="停止"),"両方停止","運転がそろわない")))</f>
        <v>両方停止</v>
      </c>
      <c r="AX1634" s="30" t="str">
        <f aca="false">IF(AND(AH1634="利用可",AK1634="利用可",AN1634="利用可"),"利用可","不可")</f>
        <v>不可</v>
      </c>
      <c r="AY1634" s="30" t="str">
        <f aca="false">IF(AND(AQ1634="利用可",AT1634="利用可",AW1634="利用可"),"利用可","不可")</f>
        <v>不可</v>
      </c>
    </row>
    <row r="1635" customFormat="false" ht="15" hidden="false" customHeight="false" outlineLevel="0" collapsed="false">
      <c r="A1635" s="29" t="n">
        <v>46300</v>
      </c>
      <c r="B1635" s="30" t="n">
        <v>0</v>
      </c>
      <c r="C1635" s="31" t="s">
        <v>66</v>
      </c>
      <c r="D1635" s="31" t="s">
        <v>59</v>
      </c>
      <c r="E1635" s="30" t="n">
        <v>60</v>
      </c>
      <c r="F1635" s="30" t="n">
        <v>0</v>
      </c>
      <c r="G1635" s="30" t="str">
        <f aca="false">IF(E1635&lt;判定条件!$C$6,"判定不能",IF(F1635&gt;=判定条件!$C$7*E1635,"運転",IF(F1635&lt;=判定条件!$C$8*E1635,"停止","断続")))</f>
        <v>停止</v>
      </c>
      <c r="H1635" s="30" t="n">
        <v>60</v>
      </c>
      <c r="I1635" s="30" t="n">
        <v>0</v>
      </c>
      <c r="J1635" s="30" t="str">
        <f aca="false">IF(H1635&lt;判定条件!$C$6,"判定不能",IF(I1635&gt;=判定条件!$C$7*H1635,"運転",IF(I1635&lt;=判定条件!$C$8*H1635,"停止","断続")))</f>
        <v>停止</v>
      </c>
      <c r="K1635" s="30" t="n">
        <v>60</v>
      </c>
      <c r="L1635" s="30" t="n">
        <v>0</v>
      </c>
      <c r="M1635" s="30" t="str">
        <f aca="false">IF(K1635&lt;判定条件!$C$6,"判定不能",IF(L1635&gt;=判定条件!$C$7*K1635,"運転",IF(L1635&lt;=判定条件!$C$8*K1635,"停止","断続")))</f>
        <v>停止</v>
      </c>
      <c r="N1635" s="30" t="n">
        <v>60</v>
      </c>
      <c r="O1635" s="30" t="n">
        <v>0</v>
      </c>
      <c r="P1635" s="30" t="str">
        <f aca="false">IF(N1635&lt;判定条件!$C$6,"判定不能",IF(O1635&gt;=判定条件!$C$7*N1635,"運転",IF(O1635&lt;=判定条件!$C$8*N1635,"停止","断続")))</f>
        <v>停止</v>
      </c>
      <c r="Q1635" s="30" t="n">
        <v>60</v>
      </c>
      <c r="R1635" s="30" t="n">
        <v>0</v>
      </c>
      <c r="S1635" s="30" t="str">
        <f aca="false">IF(Q1635&lt;判定条件!$C$6,"判定不能",IF(R1635&gt;=判定条件!$C$7*Q1635,"運転",IF(R1635&lt;=判定条件!$C$8*Q1635,"停止","断続")))</f>
        <v>停止</v>
      </c>
      <c r="T1635" s="30" t="n">
        <v>60</v>
      </c>
      <c r="U1635" s="30" t="n">
        <v>0</v>
      </c>
      <c r="V1635" s="30" t="str">
        <f aca="false">IF(T1635&lt;判定条件!$C$6,"判定不能",IF(U1635&gt;=判定条件!$C$7*T1635,"運転",IF(U1635&lt;=判定条件!$C$8*T1635,"停止","断続")))</f>
        <v>停止</v>
      </c>
      <c r="W1635" s="30" t="n">
        <v>60</v>
      </c>
      <c r="X1635" s="30" t="n">
        <v>0</v>
      </c>
      <c r="Y1635" s="30" t="str">
        <f aca="false">IF(W1635&lt;判定条件!$C$6,"判定不能",IF(X1635&gt;=判定条件!$C$7*W1635,"運転",IF(X1635&lt;=判定条件!$C$8*W1635,"停止","断続")))</f>
        <v>停止</v>
      </c>
      <c r="Z1635" s="30" t="n">
        <v>60</v>
      </c>
      <c r="AA1635" s="30" t="n">
        <v>0</v>
      </c>
      <c r="AB1635" s="30" t="str">
        <f aca="false">IF(Z1635&lt;判定条件!$C$6,"判定不能",IF(AA1635&gt;=判定条件!$C$7*Z1635,"運転",IF(AA1635&lt;=判定条件!$C$8*Z1635,"停止","断続")))</f>
        <v>停止</v>
      </c>
      <c r="AC1635" s="30" t="n">
        <v>60</v>
      </c>
      <c r="AD1635" s="30" t="n">
        <v>0</v>
      </c>
      <c r="AE1635" s="30" t="str">
        <f aca="false">IF(AC1635&lt;判定条件!$C$6,"判定不能",IF(AD1635&gt;=判定条件!$C$7*AC1635,"運転",IF(AD1635&lt;=判定条件!$C$8*AC1635,"停止","断続")))</f>
        <v>停止</v>
      </c>
      <c r="AF1635" s="30" t="n">
        <v>60</v>
      </c>
      <c r="AG1635" s="30" t="n">
        <v>0</v>
      </c>
      <c r="AH1635" s="30" t="str">
        <f aca="false">IF(OR(P1635="判定不能",G1635="判定不能"),"判定不能",IF(AG1635&gt;=判定条件!$C$9,"利用可",IF(AND(P1635="停止",G1635="停止"),"両方停止","運転がそろわない")))</f>
        <v>両方停止</v>
      </c>
      <c r="AI1635" s="30" t="n">
        <v>60</v>
      </c>
      <c r="AJ1635" s="30" t="n">
        <v>0</v>
      </c>
      <c r="AK1635" s="30" t="str">
        <f aca="false">IF(OR(S1635="判定不能",J1635="判定不能"),"判定不能",IF(AJ1635&gt;=判定条件!$C$9,"利用可",IF(AND(S1635="停止",J1635="停止"),"両方停止","運転がそろわない")))</f>
        <v>両方停止</v>
      </c>
      <c r="AL1635" s="30" t="n">
        <v>60</v>
      </c>
      <c r="AM1635" s="30" t="n">
        <v>0</v>
      </c>
      <c r="AN1635" s="30" t="str">
        <f aca="false">IF(OR(V1635="判定不能",M1635="判定不能"),"判定不能",IF(AM1635&gt;=判定条件!$C$9,"利用可",IF(AND(V1635="停止",M1635="停止"),"両方停止","運転がそろわない")))</f>
        <v>両方停止</v>
      </c>
      <c r="AO1635" s="30" t="n">
        <v>60</v>
      </c>
      <c r="AP1635" s="30" t="n">
        <v>0</v>
      </c>
      <c r="AQ1635" s="30" t="str">
        <f aca="false">IF(OR(Y1635="判定不能",G1635="判定不能"),"判定不能",IF(AP1635&gt;=判定条件!$C$9,"利用可",IF(AND(Y1635="停止",G1635="停止"),"両方停止","運転がそろわない")))</f>
        <v>両方停止</v>
      </c>
      <c r="AR1635" s="30" t="n">
        <v>60</v>
      </c>
      <c r="AS1635" s="30" t="n">
        <v>0</v>
      </c>
      <c r="AT1635" s="30" t="str">
        <f aca="false">IF(OR(AB1635="判定不能",J1635="判定不能"),"判定不能",IF(AS1635&gt;=判定条件!$C$9,"利用可",IF(AND(AB1635="停止",J1635="停止"),"両方停止","運転がそろわない")))</f>
        <v>両方停止</v>
      </c>
      <c r="AU1635" s="30" t="n">
        <v>60</v>
      </c>
      <c r="AV1635" s="30" t="n">
        <v>0</v>
      </c>
      <c r="AW1635" s="30" t="str">
        <f aca="false">IF(OR(AE1635="判定不能",M1635="判定不能"),"判定不能",IF(AV1635&gt;=判定条件!$C$9,"利用可",IF(AND(AE1635="停止",M1635="停止"),"両方停止","運転がそろわない")))</f>
        <v>両方停止</v>
      </c>
      <c r="AX1635" s="30" t="str">
        <f aca="false">IF(AND(AH1635="利用可",AK1635="利用可",AN1635="利用可"),"利用可","不可")</f>
        <v>不可</v>
      </c>
      <c r="AY1635" s="30" t="str">
        <f aca="false">IF(AND(AQ1635="利用可",AT1635="利用可",AW1635="利用可"),"利用可","不可")</f>
        <v>不可</v>
      </c>
    </row>
    <row r="1636" customFormat="false" ht="15" hidden="false" customHeight="false" outlineLevel="0" collapsed="false">
      <c r="A1636" s="29" t="n">
        <v>46300</v>
      </c>
      <c r="B1636" s="30" t="n">
        <v>1</v>
      </c>
      <c r="C1636" s="31" t="s">
        <v>66</v>
      </c>
      <c r="D1636" s="31" t="s">
        <v>59</v>
      </c>
      <c r="E1636" s="30" t="n">
        <v>60</v>
      </c>
      <c r="F1636" s="30" t="n">
        <v>0</v>
      </c>
      <c r="G1636" s="30" t="str">
        <f aca="false">IF(E1636&lt;判定条件!$C$6,"判定不能",IF(F1636&gt;=判定条件!$C$7*E1636,"運転",IF(F1636&lt;=判定条件!$C$8*E1636,"停止","断続")))</f>
        <v>停止</v>
      </c>
      <c r="H1636" s="30" t="n">
        <v>60</v>
      </c>
      <c r="I1636" s="30" t="n">
        <v>0</v>
      </c>
      <c r="J1636" s="30" t="str">
        <f aca="false">IF(H1636&lt;判定条件!$C$6,"判定不能",IF(I1636&gt;=判定条件!$C$7*H1636,"運転",IF(I1636&lt;=判定条件!$C$8*H1636,"停止","断続")))</f>
        <v>停止</v>
      </c>
      <c r="K1636" s="30" t="n">
        <v>60</v>
      </c>
      <c r="L1636" s="30" t="n">
        <v>0</v>
      </c>
      <c r="M1636" s="30" t="str">
        <f aca="false">IF(K1636&lt;判定条件!$C$6,"判定不能",IF(L1636&gt;=判定条件!$C$7*K1636,"運転",IF(L1636&lt;=判定条件!$C$8*K1636,"停止","断続")))</f>
        <v>停止</v>
      </c>
      <c r="N1636" s="30" t="n">
        <v>60</v>
      </c>
      <c r="O1636" s="30" t="n">
        <v>0</v>
      </c>
      <c r="P1636" s="30" t="str">
        <f aca="false">IF(N1636&lt;判定条件!$C$6,"判定不能",IF(O1636&gt;=判定条件!$C$7*N1636,"運転",IF(O1636&lt;=判定条件!$C$8*N1636,"停止","断続")))</f>
        <v>停止</v>
      </c>
      <c r="Q1636" s="30" t="n">
        <v>60</v>
      </c>
      <c r="R1636" s="30" t="n">
        <v>0</v>
      </c>
      <c r="S1636" s="30" t="str">
        <f aca="false">IF(Q1636&lt;判定条件!$C$6,"判定不能",IF(R1636&gt;=判定条件!$C$7*Q1636,"運転",IF(R1636&lt;=判定条件!$C$8*Q1636,"停止","断続")))</f>
        <v>停止</v>
      </c>
      <c r="T1636" s="30" t="n">
        <v>60</v>
      </c>
      <c r="U1636" s="30" t="n">
        <v>0</v>
      </c>
      <c r="V1636" s="30" t="str">
        <f aca="false">IF(T1636&lt;判定条件!$C$6,"判定不能",IF(U1636&gt;=判定条件!$C$7*T1636,"運転",IF(U1636&lt;=判定条件!$C$8*T1636,"停止","断続")))</f>
        <v>停止</v>
      </c>
      <c r="W1636" s="30" t="n">
        <v>60</v>
      </c>
      <c r="X1636" s="30" t="n">
        <v>0</v>
      </c>
      <c r="Y1636" s="30" t="str">
        <f aca="false">IF(W1636&lt;判定条件!$C$6,"判定不能",IF(X1636&gt;=判定条件!$C$7*W1636,"運転",IF(X1636&lt;=判定条件!$C$8*W1636,"停止","断続")))</f>
        <v>停止</v>
      </c>
      <c r="Z1636" s="30" t="n">
        <v>60</v>
      </c>
      <c r="AA1636" s="30" t="n">
        <v>0</v>
      </c>
      <c r="AB1636" s="30" t="str">
        <f aca="false">IF(Z1636&lt;判定条件!$C$6,"判定不能",IF(AA1636&gt;=判定条件!$C$7*Z1636,"運転",IF(AA1636&lt;=判定条件!$C$8*Z1636,"停止","断続")))</f>
        <v>停止</v>
      </c>
      <c r="AC1636" s="30" t="n">
        <v>60</v>
      </c>
      <c r="AD1636" s="30" t="n">
        <v>0</v>
      </c>
      <c r="AE1636" s="30" t="str">
        <f aca="false">IF(AC1636&lt;判定条件!$C$6,"判定不能",IF(AD1636&gt;=判定条件!$C$7*AC1636,"運転",IF(AD1636&lt;=判定条件!$C$8*AC1636,"停止","断続")))</f>
        <v>停止</v>
      </c>
      <c r="AF1636" s="30" t="n">
        <v>60</v>
      </c>
      <c r="AG1636" s="30" t="n">
        <v>0</v>
      </c>
      <c r="AH1636" s="30" t="str">
        <f aca="false">IF(OR(P1636="判定不能",G1636="判定不能"),"判定不能",IF(AG1636&gt;=判定条件!$C$9,"利用可",IF(AND(P1636="停止",G1636="停止"),"両方停止","運転がそろわない")))</f>
        <v>両方停止</v>
      </c>
      <c r="AI1636" s="30" t="n">
        <v>60</v>
      </c>
      <c r="AJ1636" s="30" t="n">
        <v>0</v>
      </c>
      <c r="AK1636" s="30" t="str">
        <f aca="false">IF(OR(S1636="判定不能",J1636="判定不能"),"判定不能",IF(AJ1636&gt;=判定条件!$C$9,"利用可",IF(AND(S1636="停止",J1636="停止"),"両方停止","運転がそろわない")))</f>
        <v>両方停止</v>
      </c>
      <c r="AL1636" s="30" t="n">
        <v>60</v>
      </c>
      <c r="AM1636" s="30" t="n">
        <v>0</v>
      </c>
      <c r="AN1636" s="30" t="str">
        <f aca="false">IF(OR(V1636="判定不能",M1636="判定不能"),"判定不能",IF(AM1636&gt;=判定条件!$C$9,"利用可",IF(AND(V1636="停止",M1636="停止"),"両方停止","運転がそろわない")))</f>
        <v>両方停止</v>
      </c>
      <c r="AO1636" s="30" t="n">
        <v>60</v>
      </c>
      <c r="AP1636" s="30" t="n">
        <v>0</v>
      </c>
      <c r="AQ1636" s="30" t="str">
        <f aca="false">IF(OR(Y1636="判定不能",G1636="判定不能"),"判定不能",IF(AP1636&gt;=判定条件!$C$9,"利用可",IF(AND(Y1636="停止",G1636="停止"),"両方停止","運転がそろわない")))</f>
        <v>両方停止</v>
      </c>
      <c r="AR1636" s="30" t="n">
        <v>60</v>
      </c>
      <c r="AS1636" s="30" t="n">
        <v>0</v>
      </c>
      <c r="AT1636" s="30" t="str">
        <f aca="false">IF(OR(AB1636="判定不能",J1636="判定不能"),"判定不能",IF(AS1636&gt;=判定条件!$C$9,"利用可",IF(AND(AB1636="停止",J1636="停止"),"両方停止","運転がそろわない")))</f>
        <v>両方停止</v>
      </c>
      <c r="AU1636" s="30" t="n">
        <v>60</v>
      </c>
      <c r="AV1636" s="30" t="n">
        <v>0</v>
      </c>
      <c r="AW1636" s="30" t="str">
        <f aca="false">IF(OR(AE1636="判定不能",M1636="判定不能"),"判定不能",IF(AV1636&gt;=判定条件!$C$9,"利用可",IF(AND(AE1636="停止",M1636="停止"),"両方停止","運転がそろわない")))</f>
        <v>両方停止</v>
      </c>
      <c r="AX1636" s="30" t="str">
        <f aca="false">IF(AND(AH1636="利用可",AK1636="利用可",AN1636="利用可"),"利用可","不可")</f>
        <v>不可</v>
      </c>
      <c r="AY1636" s="30" t="str">
        <f aca="false">IF(AND(AQ1636="利用可",AT1636="利用可",AW1636="利用可"),"利用可","不可")</f>
        <v>不可</v>
      </c>
    </row>
    <row r="1637" customFormat="false" ht="15" hidden="false" customHeight="false" outlineLevel="0" collapsed="false">
      <c r="A1637" s="29" t="n">
        <v>46300</v>
      </c>
      <c r="B1637" s="30" t="n">
        <v>2</v>
      </c>
      <c r="C1637" s="31" t="s">
        <v>66</v>
      </c>
      <c r="D1637" s="31" t="s">
        <v>59</v>
      </c>
      <c r="E1637" s="30" t="n">
        <v>60</v>
      </c>
      <c r="F1637" s="30" t="n">
        <v>0</v>
      </c>
      <c r="G1637" s="30" t="str">
        <f aca="false">IF(E1637&lt;判定条件!$C$6,"判定不能",IF(F1637&gt;=判定条件!$C$7*E1637,"運転",IF(F1637&lt;=判定条件!$C$8*E1637,"停止","断続")))</f>
        <v>停止</v>
      </c>
      <c r="H1637" s="30" t="n">
        <v>60</v>
      </c>
      <c r="I1637" s="30" t="n">
        <v>0</v>
      </c>
      <c r="J1637" s="30" t="str">
        <f aca="false">IF(H1637&lt;判定条件!$C$6,"判定不能",IF(I1637&gt;=判定条件!$C$7*H1637,"運転",IF(I1637&lt;=判定条件!$C$8*H1637,"停止","断続")))</f>
        <v>停止</v>
      </c>
      <c r="K1637" s="30" t="n">
        <v>60</v>
      </c>
      <c r="L1637" s="30" t="n">
        <v>0</v>
      </c>
      <c r="M1637" s="30" t="str">
        <f aca="false">IF(K1637&lt;判定条件!$C$6,"判定不能",IF(L1637&gt;=判定条件!$C$7*K1637,"運転",IF(L1637&lt;=判定条件!$C$8*K1637,"停止","断続")))</f>
        <v>停止</v>
      </c>
      <c r="N1637" s="30" t="n">
        <v>60</v>
      </c>
      <c r="O1637" s="30" t="n">
        <v>0</v>
      </c>
      <c r="P1637" s="30" t="str">
        <f aca="false">IF(N1637&lt;判定条件!$C$6,"判定不能",IF(O1637&gt;=判定条件!$C$7*N1637,"運転",IF(O1637&lt;=判定条件!$C$8*N1637,"停止","断続")))</f>
        <v>停止</v>
      </c>
      <c r="Q1637" s="30" t="n">
        <v>60</v>
      </c>
      <c r="R1637" s="30" t="n">
        <v>0</v>
      </c>
      <c r="S1637" s="30" t="str">
        <f aca="false">IF(Q1637&lt;判定条件!$C$6,"判定不能",IF(R1637&gt;=判定条件!$C$7*Q1637,"運転",IF(R1637&lt;=判定条件!$C$8*Q1637,"停止","断続")))</f>
        <v>停止</v>
      </c>
      <c r="T1637" s="30" t="n">
        <v>60</v>
      </c>
      <c r="U1637" s="30" t="n">
        <v>0</v>
      </c>
      <c r="V1637" s="30" t="str">
        <f aca="false">IF(T1637&lt;判定条件!$C$6,"判定不能",IF(U1637&gt;=判定条件!$C$7*T1637,"運転",IF(U1637&lt;=判定条件!$C$8*T1637,"停止","断続")))</f>
        <v>停止</v>
      </c>
      <c r="W1637" s="30" t="n">
        <v>60</v>
      </c>
      <c r="X1637" s="30" t="n">
        <v>0</v>
      </c>
      <c r="Y1637" s="30" t="str">
        <f aca="false">IF(W1637&lt;判定条件!$C$6,"判定不能",IF(X1637&gt;=判定条件!$C$7*W1637,"運転",IF(X1637&lt;=判定条件!$C$8*W1637,"停止","断続")))</f>
        <v>停止</v>
      </c>
      <c r="Z1637" s="30" t="n">
        <v>60</v>
      </c>
      <c r="AA1637" s="30" t="n">
        <v>0</v>
      </c>
      <c r="AB1637" s="30" t="str">
        <f aca="false">IF(Z1637&lt;判定条件!$C$6,"判定不能",IF(AA1637&gt;=判定条件!$C$7*Z1637,"運転",IF(AA1637&lt;=判定条件!$C$8*Z1637,"停止","断続")))</f>
        <v>停止</v>
      </c>
      <c r="AC1637" s="30" t="n">
        <v>60</v>
      </c>
      <c r="AD1637" s="30" t="n">
        <v>0</v>
      </c>
      <c r="AE1637" s="30" t="str">
        <f aca="false">IF(AC1637&lt;判定条件!$C$6,"判定不能",IF(AD1637&gt;=判定条件!$C$7*AC1637,"運転",IF(AD1637&lt;=判定条件!$C$8*AC1637,"停止","断続")))</f>
        <v>停止</v>
      </c>
      <c r="AF1637" s="30" t="n">
        <v>60</v>
      </c>
      <c r="AG1637" s="30" t="n">
        <v>0</v>
      </c>
      <c r="AH1637" s="30" t="str">
        <f aca="false">IF(OR(P1637="判定不能",G1637="判定不能"),"判定不能",IF(AG1637&gt;=判定条件!$C$9,"利用可",IF(AND(P1637="停止",G1637="停止"),"両方停止","運転がそろわない")))</f>
        <v>両方停止</v>
      </c>
      <c r="AI1637" s="30" t="n">
        <v>60</v>
      </c>
      <c r="AJ1637" s="30" t="n">
        <v>0</v>
      </c>
      <c r="AK1637" s="30" t="str">
        <f aca="false">IF(OR(S1637="判定不能",J1637="判定不能"),"判定不能",IF(AJ1637&gt;=判定条件!$C$9,"利用可",IF(AND(S1637="停止",J1637="停止"),"両方停止","運転がそろわない")))</f>
        <v>両方停止</v>
      </c>
      <c r="AL1637" s="30" t="n">
        <v>60</v>
      </c>
      <c r="AM1637" s="30" t="n">
        <v>0</v>
      </c>
      <c r="AN1637" s="30" t="str">
        <f aca="false">IF(OR(V1637="判定不能",M1637="判定不能"),"判定不能",IF(AM1637&gt;=判定条件!$C$9,"利用可",IF(AND(V1637="停止",M1637="停止"),"両方停止","運転がそろわない")))</f>
        <v>両方停止</v>
      </c>
      <c r="AO1637" s="30" t="n">
        <v>60</v>
      </c>
      <c r="AP1637" s="30" t="n">
        <v>0</v>
      </c>
      <c r="AQ1637" s="30" t="str">
        <f aca="false">IF(OR(Y1637="判定不能",G1637="判定不能"),"判定不能",IF(AP1637&gt;=判定条件!$C$9,"利用可",IF(AND(Y1637="停止",G1637="停止"),"両方停止","運転がそろわない")))</f>
        <v>両方停止</v>
      </c>
      <c r="AR1637" s="30" t="n">
        <v>60</v>
      </c>
      <c r="AS1637" s="30" t="n">
        <v>0</v>
      </c>
      <c r="AT1637" s="30" t="str">
        <f aca="false">IF(OR(AB1637="判定不能",J1637="判定不能"),"判定不能",IF(AS1637&gt;=判定条件!$C$9,"利用可",IF(AND(AB1637="停止",J1637="停止"),"両方停止","運転がそろわない")))</f>
        <v>両方停止</v>
      </c>
      <c r="AU1637" s="30" t="n">
        <v>60</v>
      </c>
      <c r="AV1637" s="30" t="n">
        <v>0</v>
      </c>
      <c r="AW1637" s="30" t="str">
        <f aca="false">IF(OR(AE1637="判定不能",M1637="判定不能"),"判定不能",IF(AV1637&gt;=判定条件!$C$9,"利用可",IF(AND(AE1637="停止",M1637="停止"),"両方停止","運転がそろわない")))</f>
        <v>両方停止</v>
      </c>
      <c r="AX1637" s="30" t="str">
        <f aca="false">IF(AND(AH1637="利用可",AK1637="利用可",AN1637="利用可"),"利用可","不可")</f>
        <v>不可</v>
      </c>
      <c r="AY1637" s="30" t="str">
        <f aca="false">IF(AND(AQ1637="利用可",AT1637="利用可",AW1637="利用可"),"利用可","不可")</f>
        <v>不可</v>
      </c>
    </row>
    <row r="1638" customFormat="false" ht="15" hidden="false" customHeight="false" outlineLevel="0" collapsed="false">
      <c r="A1638" s="29" t="n">
        <v>46300</v>
      </c>
      <c r="B1638" s="30" t="n">
        <v>3</v>
      </c>
      <c r="C1638" s="31" t="s">
        <v>66</v>
      </c>
      <c r="D1638" s="31" t="s">
        <v>59</v>
      </c>
      <c r="E1638" s="30" t="n">
        <v>60</v>
      </c>
      <c r="F1638" s="30" t="n">
        <v>0</v>
      </c>
      <c r="G1638" s="30" t="str">
        <f aca="false">IF(E1638&lt;判定条件!$C$6,"判定不能",IF(F1638&gt;=判定条件!$C$7*E1638,"運転",IF(F1638&lt;=判定条件!$C$8*E1638,"停止","断続")))</f>
        <v>停止</v>
      </c>
      <c r="H1638" s="30" t="n">
        <v>60</v>
      </c>
      <c r="I1638" s="30" t="n">
        <v>0</v>
      </c>
      <c r="J1638" s="30" t="str">
        <f aca="false">IF(H1638&lt;判定条件!$C$6,"判定不能",IF(I1638&gt;=判定条件!$C$7*H1638,"運転",IF(I1638&lt;=判定条件!$C$8*H1638,"停止","断続")))</f>
        <v>停止</v>
      </c>
      <c r="K1638" s="30" t="n">
        <v>60</v>
      </c>
      <c r="L1638" s="30" t="n">
        <v>0</v>
      </c>
      <c r="M1638" s="30" t="str">
        <f aca="false">IF(K1638&lt;判定条件!$C$6,"判定不能",IF(L1638&gt;=判定条件!$C$7*K1638,"運転",IF(L1638&lt;=判定条件!$C$8*K1638,"停止","断続")))</f>
        <v>停止</v>
      </c>
      <c r="N1638" s="30" t="n">
        <v>60</v>
      </c>
      <c r="O1638" s="30" t="n">
        <v>0</v>
      </c>
      <c r="P1638" s="30" t="str">
        <f aca="false">IF(N1638&lt;判定条件!$C$6,"判定不能",IF(O1638&gt;=判定条件!$C$7*N1638,"運転",IF(O1638&lt;=判定条件!$C$8*N1638,"停止","断続")))</f>
        <v>停止</v>
      </c>
      <c r="Q1638" s="30" t="n">
        <v>60</v>
      </c>
      <c r="R1638" s="30" t="n">
        <v>0</v>
      </c>
      <c r="S1638" s="30" t="str">
        <f aca="false">IF(Q1638&lt;判定条件!$C$6,"判定不能",IF(R1638&gt;=判定条件!$C$7*Q1638,"運転",IF(R1638&lt;=判定条件!$C$8*Q1638,"停止","断続")))</f>
        <v>停止</v>
      </c>
      <c r="T1638" s="30" t="n">
        <v>60</v>
      </c>
      <c r="U1638" s="30" t="n">
        <v>0</v>
      </c>
      <c r="V1638" s="30" t="str">
        <f aca="false">IF(T1638&lt;判定条件!$C$6,"判定不能",IF(U1638&gt;=判定条件!$C$7*T1638,"運転",IF(U1638&lt;=判定条件!$C$8*T1638,"停止","断続")))</f>
        <v>停止</v>
      </c>
      <c r="W1638" s="30" t="n">
        <v>60</v>
      </c>
      <c r="X1638" s="30" t="n">
        <v>0</v>
      </c>
      <c r="Y1638" s="30" t="str">
        <f aca="false">IF(W1638&lt;判定条件!$C$6,"判定不能",IF(X1638&gt;=判定条件!$C$7*W1638,"運転",IF(X1638&lt;=判定条件!$C$8*W1638,"停止","断続")))</f>
        <v>停止</v>
      </c>
      <c r="Z1638" s="30" t="n">
        <v>60</v>
      </c>
      <c r="AA1638" s="30" t="n">
        <v>0</v>
      </c>
      <c r="AB1638" s="30" t="str">
        <f aca="false">IF(Z1638&lt;判定条件!$C$6,"判定不能",IF(AA1638&gt;=判定条件!$C$7*Z1638,"運転",IF(AA1638&lt;=判定条件!$C$8*Z1638,"停止","断続")))</f>
        <v>停止</v>
      </c>
      <c r="AC1638" s="30" t="n">
        <v>60</v>
      </c>
      <c r="AD1638" s="30" t="n">
        <v>0</v>
      </c>
      <c r="AE1638" s="30" t="str">
        <f aca="false">IF(AC1638&lt;判定条件!$C$6,"判定不能",IF(AD1638&gt;=判定条件!$C$7*AC1638,"運転",IF(AD1638&lt;=判定条件!$C$8*AC1638,"停止","断続")))</f>
        <v>停止</v>
      </c>
      <c r="AF1638" s="30" t="n">
        <v>60</v>
      </c>
      <c r="AG1638" s="30" t="n">
        <v>0</v>
      </c>
      <c r="AH1638" s="30" t="str">
        <f aca="false">IF(OR(P1638="判定不能",G1638="判定不能"),"判定不能",IF(AG1638&gt;=判定条件!$C$9,"利用可",IF(AND(P1638="停止",G1638="停止"),"両方停止","運転がそろわない")))</f>
        <v>両方停止</v>
      </c>
      <c r="AI1638" s="30" t="n">
        <v>60</v>
      </c>
      <c r="AJ1638" s="30" t="n">
        <v>0</v>
      </c>
      <c r="AK1638" s="30" t="str">
        <f aca="false">IF(OR(S1638="判定不能",J1638="判定不能"),"判定不能",IF(AJ1638&gt;=判定条件!$C$9,"利用可",IF(AND(S1638="停止",J1638="停止"),"両方停止","運転がそろわない")))</f>
        <v>両方停止</v>
      </c>
      <c r="AL1638" s="30" t="n">
        <v>60</v>
      </c>
      <c r="AM1638" s="30" t="n">
        <v>0</v>
      </c>
      <c r="AN1638" s="30" t="str">
        <f aca="false">IF(OR(V1638="判定不能",M1638="判定不能"),"判定不能",IF(AM1638&gt;=判定条件!$C$9,"利用可",IF(AND(V1638="停止",M1638="停止"),"両方停止","運転がそろわない")))</f>
        <v>両方停止</v>
      </c>
      <c r="AO1638" s="30" t="n">
        <v>60</v>
      </c>
      <c r="AP1638" s="30" t="n">
        <v>0</v>
      </c>
      <c r="AQ1638" s="30" t="str">
        <f aca="false">IF(OR(Y1638="判定不能",G1638="判定不能"),"判定不能",IF(AP1638&gt;=判定条件!$C$9,"利用可",IF(AND(Y1638="停止",G1638="停止"),"両方停止","運転がそろわない")))</f>
        <v>両方停止</v>
      </c>
      <c r="AR1638" s="30" t="n">
        <v>60</v>
      </c>
      <c r="AS1638" s="30" t="n">
        <v>0</v>
      </c>
      <c r="AT1638" s="30" t="str">
        <f aca="false">IF(OR(AB1638="判定不能",J1638="判定不能"),"判定不能",IF(AS1638&gt;=判定条件!$C$9,"利用可",IF(AND(AB1638="停止",J1638="停止"),"両方停止","運転がそろわない")))</f>
        <v>両方停止</v>
      </c>
      <c r="AU1638" s="30" t="n">
        <v>60</v>
      </c>
      <c r="AV1638" s="30" t="n">
        <v>0</v>
      </c>
      <c r="AW1638" s="30" t="str">
        <f aca="false">IF(OR(AE1638="判定不能",M1638="判定不能"),"判定不能",IF(AV1638&gt;=判定条件!$C$9,"利用可",IF(AND(AE1638="停止",M1638="停止"),"両方停止","運転がそろわない")))</f>
        <v>両方停止</v>
      </c>
      <c r="AX1638" s="30" t="str">
        <f aca="false">IF(AND(AH1638="利用可",AK1638="利用可",AN1638="利用可"),"利用可","不可")</f>
        <v>不可</v>
      </c>
      <c r="AY1638" s="30" t="str">
        <f aca="false">IF(AND(AQ1638="利用可",AT1638="利用可",AW1638="利用可"),"利用可","不可")</f>
        <v>不可</v>
      </c>
    </row>
    <row r="1639" customFormat="false" ht="15" hidden="false" customHeight="false" outlineLevel="0" collapsed="false">
      <c r="A1639" s="29" t="n">
        <v>46300</v>
      </c>
      <c r="B1639" s="30" t="n">
        <v>4</v>
      </c>
      <c r="C1639" s="31" t="s">
        <v>66</v>
      </c>
      <c r="D1639" s="31" t="s">
        <v>59</v>
      </c>
      <c r="E1639" s="30" t="n">
        <v>60</v>
      </c>
      <c r="F1639" s="30" t="n">
        <v>0</v>
      </c>
      <c r="G1639" s="30" t="str">
        <f aca="false">IF(E1639&lt;判定条件!$C$6,"判定不能",IF(F1639&gt;=判定条件!$C$7*E1639,"運転",IF(F1639&lt;=判定条件!$C$8*E1639,"停止","断続")))</f>
        <v>停止</v>
      </c>
      <c r="H1639" s="30" t="n">
        <v>60</v>
      </c>
      <c r="I1639" s="30" t="n">
        <v>0</v>
      </c>
      <c r="J1639" s="30" t="str">
        <f aca="false">IF(H1639&lt;判定条件!$C$6,"判定不能",IF(I1639&gt;=判定条件!$C$7*H1639,"運転",IF(I1639&lt;=判定条件!$C$8*H1639,"停止","断続")))</f>
        <v>停止</v>
      </c>
      <c r="K1639" s="30" t="n">
        <v>60</v>
      </c>
      <c r="L1639" s="30" t="n">
        <v>0</v>
      </c>
      <c r="M1639" s="30" t="str">
        <f aca="false">IF(K1639&lt;判定条件!$C$6,"判定不能",IF(L1639&gt;=判定条件!$C$7*K1639,"運転",IF(L1639&lt;=判定条件!$C$8*K1639,"停止","断続")))</f>
        <v>停止</v>
      </c>
      <c r="N1639" s="30" t="n">
        <v>60</v>
      </c>
      <c r="O1639" s="30" t="n">
        <v>0</v>
      </c>
      <c r="P1639" s="30" t="str">
        <f aca="false">IF(N1639&lt;判定条件!$C$6,"判定不能",IF(O1639&gt;=判定条件!$C$7*N1639,"運転",IF(O1639&lt;=判定条件!$C$8*N1639,"停止","断続")))</f>
        <v>停止</v>
      </c>
      <c r="Q1639" s="30" t="n">
        <v>60</v>
      </c>
      <c r="R1639" s="30" t="n">
        <v>0</v>
      </c>
      <c r="S1639" s="30" t="str">
        <f aca="false">IF(Q1639&lt;判定条件!$C$6,"判定不能",IF(R1639&gt;=判定条件!$C$7*Q1639,"運転",IF(R1639&lt;=判定条件!$C$8*Q1639,"停止","断続")))</f>
        <v>停止</v>
      </c>
      <c r="T1639" s="30" t="n">
        <v>60</v>
      </c>
      <c r="U1639" s="30" t="n">
        <v>0</v>
      </c>
      <c r="V1639" s="30" t="str">
        <f aca="false">IF(T1639&lt;判定条件!$C$6,"判定不能",IF(U1639&gt;=判定条件!$C$7*T1639,"運転",IF(U1639&lt;=判定条件!$C$8*T1639,"停止","断続")))</f>
        <v>停止</v>
      </c>
      <c r="W1639" s="30" t="n">
        <v>60</v>
      </c>
      <c r="X1639" s="30" t="n">
        <v>0</v>
      </c>
      <c r="Y1639" s="30" t="str">
        <f aca="false">IF(W1639&lt;判定条件!$C$6,"判定不能",IF(X1639&gt;=判定条件!$C$7*W1639,"運転",IF(X1639&lt;=判定条件!$C$8*W1639,"停止","断続")))</f>
        <v>停止</v>
      </c>
      <c r="Z1639" s="30" t="n">
        <v>60</v>
      </c>
      <c r="AA1639" s="30" t="n">
        <v>0</v>
      </c>
      <c r="AB1639" s="30" t="str">
        <f aca="false">IF(Z1639&lt;判定条件!$C$6,"判定不能",IF(AA1639&gt;=判定条件!$C$7*Z1639,"運転",IF(AA1639&lt;=判定条件!$C$8*Z1639,"停止","断続")))</f>
        <v>停止</v>
      </c>
      <c r="AC1639" s="30" t="n">
        <v>60</v>
      </c>
      <c r="AD1639" s="30" t="n">
        <v>0</v>
      </c>
      <c r="AE1639" s="30" t="str">
        <f aca="false">IF(AC1639&lt;判定条件!$C$6,"判定不能",IF(AD1639&gt;=判定条件!$C$7*AC1639,"運転",IF(AD1639&lt;=判定条件!$C$8*AC1639,"停止","断続")))</f>
        <v>停止</v>
      </c>
      <c r="AF1639" s="30" t="n">
        <v>60</v>
      </c>
      <c r="AG1639" s="30" t="n">
        <v>0</v>
      </c>
      <c r="AH1639" s="30" t="str">
        <f aca="false">IF(OR(P1639="判定不能",G1639="判定不能"),"判定不能",IF(AG1639&gt;=判定条件!$C$9,"利用可",IF(AND(P1639="停止",G1639="停止"),"両方停止","運転がそろわない")))</f>
        <v>両方停止</v>
      </c>
      <c r="AI1639" s="30" t="n">
        <v>60</v>
      </c>
      <c r="AJ1639" s="30" t="n">
        <v>0</v>
      </c>
      <c r="AK1639" s="30" t="str">
        <f aca="false">IF(OR(S1639="判定不能",J1639="判定不能"),"判定不能",IF(AJ1639&gt;=判定条件!$C$9,"利用可",IF(AND(S1639="停止",J1639="停止"),"両方停止","運転がそろわない")))</f>
        <v>両方停止</v>
      </c>
      <c r="AL1639" s="30" t="n">
        <v>60</v>
      </c>
      <c r="AM1639" s="30" t="n">
        <v>0</v>
      </c>
      <c r="AN1639" s="30" t="str">
        <f aca="false">IF(OR(V1639="判定不能",M1639="判定不能"),"判定不能",IF(AM1639&gt;=判定条件!$C$9,"利用可",IF(AND(V1639="停止",M1639="停止"),"両方停止","運転がそろわない")))</f>
        <v>両方停止</v>
      </c>
      <c r="AO1639" s="30" t="n">
        <v>60</v>
      </c>
      <c r="AP1639" s="30" t="n">
        <v>0</v>
      </c>
      <c r="AQ1639" s="30" t="str">
        <f aca="false">IF(OR(Y1639="判定不能",G1639="判定不能"),"判定不能",IF(AP1639&gt;=判定条件!$C$9,"利用可",IF(AND(Y1639="停止",G1639="停止"),"両方停止","運転がそろわない")))</f>
        <v>両方停止</v>
      </c>
      <c r="AR1639" s="30" t="n">
        <v>60</v>
      </c>
      <c r="AS1639" s="30" t="n">
        <v>0</v>
      </c>
      <c r="AT1639" s="30" t="str">
        <f aca="false">IF(OR(AB1639="判定不能",J1639="判定不能"),"判定不能",IF(AS1639&gt;=判定条件!$C$9,"利用可",IF(AND(AB1639="停止",J1639="停止"),"両方停止","運転がそろわない")))</f>
        <v>両方停止</v>
      </c>
      <c r="AU1639" s="30" t="n">
        <v>60</v>
      </c>
      <c r="AV1639" s="30" t="n">
        <v>0</v>
      </c>
      <c r="AW1639" s="30" t="str">
        <f aca="false">IF(OR(AE1639="判定不能",M1639="判定不能"),"判定不能",IF(AV1639&gt;=判定条件!$C$9,"利用可",IF(AND(AE1639="停止",M1639="停止"),"両方停止","運転がそろわない")))</f>
        <v>両方停止</v>
      </c>
      <c r="AX1639" s="30" t="str">
        <f aca="false">IF(AND(AH1639="利用可",AK1639="利用可",AN1639="利用可"),"利用可","不可")</f>
        <v>不可</v>
      </c>
      <c r="AY1639" s="30" t="str">
        <f aca="false">IF(AND(AQ1639="利用可",AT1639="利用可",AW1639="利用可"),"利用可","不可")</f>
        <v>不可</v>
      </c>
    </row>
    <row r="1640" customFormat="false" ht="15" hidden="false" customHeight="false" outlineLevel="0" collapsed="false">
      <c r="A1640" s="29" t="n">
        <v>46300</v>
      </c>
      <c r="B1640" s="30" t="n">
        <v>5</v>
      </c>
      <c r="C1640" s="31" t="s">
        <v>66</v>
      </c>
      <c r="D1640" s="31" t="s">
        <v>59</v>
      </c>
      <c r="E1640" s="30" t="n">
        <v>60</v>
      </c>
      <c r="F1640" s="30" t="n">
        <v>0</v>
      </c>
      <c r="G1640" s="30" t="str">
        <f aca="false">IF(E1640&lt;判定条件!$C$6,"判定不能",IF(F1640&gt;=判定条件!$C$7*E1640,"運転",IF(F1640&lt;=判定条件!$C$8*E1640,"停止","断続")))</f>
        <v>停止</v>
      </c>
      <c r="H1640" s="30" t="n">
        <v>60</v>
      </c>
      <c r="I1640" s="30" t="n">
        <v>0</v>
      </c>
      <c r="J1640" s="30" t="str">
        <f aca="false">IF(H1640&lt;判定条件!$C$6,"判定不能",IF(I1640&gt;=判定条件!$C$7*H1640,"運転",IF(I1640&lt;=判定条件!$C$8*H1640,"停止","断続")))</f>
        <v>停止</v>
      </c>
      <c r="K1640" s="30" t="n">
        <v>60</v>
      </c>
      <c r="L1640" s="30" t="n">
        <v>0</v>
      </c>
      <c r="M1640" s="30" t="str">
        <f aca="false">IF(K1640&lt;判定条件!$C$6,"判定不能",IF(L1640&gt;=判定条件!$C$7*K1640,"運転",IF(L1640&lt;=判定条件!$C$8*K1640,"停止","断続")))</f>
        <v>停止</v>
      </c>
      <c r="N1640" s="30" t="n">
        <v>60</v>
      </c>
      <c r="O1640" s="30" t="n">
        <v>0</v>
      </c>
      <c r="P1640" s="30" t="str">
        <f aca="false">IF(N1640&lt;判定条件!$C$6,"判定不能",IF(O1640&gt;=判定条件!$C$7*N1640,"運転",IF(O1640&lt;=判定条件!$C$8*N1640,"停止","断続")))</f>
        <v>停止</v>
      </c>
      <c r="Q1640" s="30" t="n">
        <v>60</v>
      </c>
      <c r="R1640" s="30" t="n">
        <v>0</v>
      </c>
      <c r="S1640" s="30" t="str">
        <f aca="false">IF(Q1640&lt;判定条件!$C$6,"判定不能",IF(R1640&gt;=判定条件!$C$7*Q1640,"運転",IF(R1640&lt;=判定条件!$C$8*Q1640,"停止","断続")))</f>
        <v>停止</v>
      </c>
      <c r="T1640" s="30" t="n">
        <v>60</v>
      </c>
      <c r="U1640" s="30" t="n">
        <v>0</v>
      </c>
      <c r="V1640" s="30" t="str">
        <f aca="false">IF(T1640&lt;判定条件!$C$6,"判定不能",IF(U1640&gt;=判定条件!$C$7*T1640,"運転",IF(U1640&lt;=判定条件!$C$8*T1640,"停止","断続")))</f>
        <v>停止</v>
      </c>
      <c r="W1640" s="30" t="n">
        <v>60</v>
      </c>
      <c r="X1640" s="30" t="n">
        <v>0</v>
      </c>
      <c r="Y1640" s="30" t="str">
        <f aca="false">IF(W1640&lt;判定条件!$C$6,"判定不能",IF(X1640&gt;=判定条件!$C$7*W1640,"運転",IF(X1640&lt;=判定条件!$C$8*W1640,"停止","断続")))</f>
        <v>停止</v>
      </c>
      <c r="Z1640" s="30" t="n">
        <v>60</v>
      </c>
      <c r="AA1640" s="30" t="n">
        <v>0</v>
      </c>
      <c r="AB1640" s="30" t="str">
        <f aca="false">IF(Z1640&lt;判定条件!$C$6,"判定不能",IF(AA1640&gt;=判定条件!$C$7*Z1640,"運転",IF(AA1640&lt;=判定条件!$C$8*Z1640,"停止","断続")))</f>
        <v>停止</v>
      </c>
      <c r="AC1640" s="30" t="n">
        <v>60</v>
      </c>
      <c r="AD1640" s="30" t="n">
        <v>27</v>
      </c>
      <c r="AE1640" s="30" t="str">
        <f aca="false">IF(AC1640&lt;判定条件!$C$6,"判定不能",IF(AD1640&gt;=判定条件!$C$7*AC1640,"運転",IF(AD1640&lt;=判定条件!$C$8*AC1640,"停止","断続")))</f>
        <v>断続</v>
      </c>
      <c r="AF1640" s="30" t="n">
        <v>60</v>
      </c>
      <c r="AG1640" s="30" t="n">
        <v>0</v>
      </c>
      <c r="AH1640" s="30" t="str">
        <f aca="false">IF(OR(P1640="判定不能",G1640="判定不能"),"判定不能",IF(AG1640&gt;=判定条件!$C$9,"利用可",IF(AND(P1640="停止",G1640="停止"),"両方停止","運転がそろわない")))</f>
        <v>両方停止</v>
      </c>
      <c r="AI1640" s="30" t="n">
        <v>60</v>
      </c>
      <c r="AJ1640" s="30" t="n">
        <v>0</v>
      </c>
      <c r="AK1640" s="30" t="str">
        <f aca="false">IF(OR(S1640="判定不能",J1640="判定不能"),"判定不能",IF(AJ1640&gt;=判定条件!$C$9,"利用可",IF(AND(S1640="停止",J1640="停止"),"両方停止","運転がそろわない")))</f>
        <v>両方停止</v>
      </c>
      <c r="AL1640" s="30" t="n">
        <v>60</v>
      </c>
      <c r="AM1640" s="30" t="n">
        <v>0</v>
      </c>
      <c r="AN1640" s="30" t="str">
        <f aca="false">IF(OR(V1640="判定不能",M1640="判定不能"),"判定不能",IF(AM1640&gt;=判定条件!$C$9,"利用可",IF(AND(V1640="停止",M1640="停止"),"両方停止","運転がそろわない")))</f>
        <v>両方停止</v>
      </c>
      <c r="AO1640" s="30" t="n">
        <v>60</v>
      </c>
      <c r="AP1640" s="30" t="n">
        <v>0</v>
      </c>
      <c r="AQ1640" s="30" t="str">
        <f aca="false">IF(OR(Y1640="判定不能",G1640="判定不能"),"判定不能",IF(AP1640&gt;=判定条件!$C$9,"利用可",IF(AND(Y1640="停止",G1640="停止"),"両方停止","運転がそろわない")))</f>
        <v>両方停止</v>
      </c>
      <c r="AR1640" s="30" t="n">
        <v>60</v>
      </c>
      <c r="AS1640" s="30" t="n">
        <v>0</v>
      </c>
      <c r="AT1640" s="30" t="str">
        <f aca="false">IF(OR(AB1640="判定不能",J1640="判定不能"),"判定不能",IF(AS1640&gt;=判定条件!$C$9,"利用可",IF(AND(AB1640="停止",J1640="停止"),"両方停止","運転がそろわない")))</f>
        <v>両方停止</v>
      </c>
      <c r="AU1640" s="30" t="n">
        <v>60</v>
      </c>
      <c r="AV1640" s="30" t="n">
        <v>0</v>
      </c>
      <c r="AW1640" s="30" t="str">
        <f aca="false">IF(OR(AE1640="判定不能",M1640="判定不能"),"判定不能",IF(AV1640&gt;=判定条件!$C$9,"利用可",IF(AND(AE1640="停止",M1640="停止"),"両方停止","運転がそろわない")))</f>
        <v>運転がそろわない</v>
      </c>
      <c r="AX1640" s="30" t="str">
        <f aca="false">IF(AND(AH1640="利用可",AK1640="利用可",AN1640="利用可"),"利用可","不可")</f>
        <v>不可</v>
      </c>
      <c r="AY1640" s="30" t="str">
        <f aca="false">IF(AND(AQ1640="利用可",AT1640="利用可",AW1640="利用可"),"利用可","不可")</f>
        <v>不可</v>
      </c>
    </row>
    <row r="1641" customFormat="false" ht="15" hidden="false" customHeight="false" outlineLevel="0" collapsed="false">
      <c r="A1641" s="29" t="n">
        <v>46300</v>
      </c>
      <c r="B1641" s="30" t="n">
        <v>6</v>
      </c>
      <c r="C1641" s="31" t="s">
        <v>66</v>
      </c>
      <c r="D1641" s="31" t="s">
        <v>59</v>
      </c>
      <c r="E1641" s="30" t="n">
        <v>60</v>
      </c>
      <c r="F1641" s="30" t="n">
        <v>0</v>
      </c>
      <c r="G1641" s="30" t="str">
        <f aca="false">IF(E1641&lt;判定条件!$C$6,"判定不能",IF(F1641&gt;=判定条件!$C$7*E1641,"運転",IF(F1641&lt;=判定条件!$C$8*E1641,"停止","断続")))</f>
        <v>停止</v>
      </c>
      <c r="H1641" s="30" t="n">
        <v>60</v>
      </c>
      <c r="I1641" s="30" t="n">
        <v>0</v>
      </c>
      <c r="J1641" s="30" t="str">
        <f aca="false">IF(H1641&lt;判定条件!$C$6,"判定不能",IF(I1641&gt;=判定条件!$C$7*H1641,"運転",IF(I1641&lt;=判定条件!$C$8*H1641,"停止","断続")))</f>
        <v>停止</v>
      </c>
      <c r="K1641" s="30" t="n">
        <v>60</v>
      </c>
      <c r="L1641" s="30" t="n">
        <v>0</v>
      </c>
      <c r="M1641" s="30" t="str">
        <f aca="false">IF(K1641&lt;判定条件!$C$6,"判定不能",IF(L1641&gt;=判定条件!$C$7*K1641,"運転",IF(L1641&lt;=判定条件!$C$8*K1641,"停止","断続")))</f>
        <v>停止</v>
      </c>
      <c r="N1641" s="30" t="n">
        <v>60</v>
      </c>
      <c r="O1641" s="30" t="n">
        <v>0</v>
      </c>
      <c r="P1641" s="30" t="str">
        <f aca="false">IF(N1641&lt;判定条件!$C$6,"判定不能",IF(O1641&gt;=判定条件!$C$7*N1641,"運転",IF(O1641&lt;=判定条件!$C$8*N1641,"停止","断続")))</f>
        <v>停止</v>
      </c>
      <c r="Q1641" s="30" t="n">
        <v>60</v>
      </c>
      <c r="R1641" s="30" t="n">
        <v>4</v>
      </c>
      <c r="S1641" s="30" t="str">
        <f aca="false">IF(Q1641&lt;判定条件!$C$6,"判定不能",IF(R1641&gt;=判定条件!$C$7*Q1641,"運転",IF(R1641&lt;=判定条件!$C$8*Q1641,"停止","断続")))</f>
        <v>停止</v>
      </c>
      <c r="T1641" s="30" t="n">
        <v>60</v>
      </c>
      <c r="U1641" s="30" t="n">
        <v>0</v>
      </c>
      <c r="V1641" s="30" t="str">
        <f aca="false">IF(T1641&lt;判定条件!$C$6,"判定不能",IF(U1641&gt;=判定条件!$C$7*T1641,"運転",IF(U1641&lt;=判定条件!$C$8*T1641,"停止","断続")))</f>
        <v>停止</v>
      </c>
      <c r="W1641" s="30" t="n">
        <v>60</v>
      </c>
      <c r="X1641" s="30" t="n">
        <v>0</v>
      </c>
      <c r="Y1641" s="30" t="str">
        <f aca="false">IF(W1641&lt;判定条件!$C$6,"判定不能",IF(X1641&gt;=判定条件!$C$7*W1641,"運転",IF(X1641&lt;=判定条件!$C$8*W1641,"停止","断続")))</f>
        <v>停止</v>
      </c>
      <c r="Z1641" s="30" t="n">
        <v>60</v>
      </c>
      <c r="AA1641" s="30" t="n">
        <v>0</v>
      </c>
      <c r="AB1641" s="30" t="str">
        <f aca="false">IF(Z1641&lt;判定条件!$C$6,"判定不能",IF(AA1641&gt;=判定条件!$C$7*Z1641,"運転",IF(AA1641&lt;=判定条件!$C$8*Z1641,"停止","断続")))</f>
        <v>停止</v>
      </c>
      <c r="AC1641" s="30" t="n">
        <v>60</v>
      </c>
      <c r="AD1641" s="30" t="n">
        <v>32</v>
      </c>
      <c r="AE1641" s="30" t="str">
        <f aca="false">IF(AC1641&lt;判定条件!$C$6,"判定不能",IF(AD1641&gt;=判定条件!$C$7*AC1641,"運転",IF(AD1641&lt;=判定条件!$C$8*AC1641,"停止","断続")))</f>
        <v>断続</v>
      </c>
      <c r="AF1641" s="30" t="n">
        <v>60</v>
      </c>
      <c r="AG1641" s="30" t="n">
        <v>0</v>
      </c>
      <c r="AH1641" s="30" t="str">
        <f aca="false">IF(OR(P1641="判定不能",G1641="判定不能"),"判定不能",IF(AG1641&gt;=判定条件!$C$9,"利用可",IF(AND(P1641="停止",G1641="停止"),"両方停止","運転がそろわない")))</f>
        <v>両方停止</v>
      </c>
      <c r="AI1641" s="30" t="n">
        <v>60</v>
      </c>
      <c r="AJ1641" s="30" t="n">
        <v>0</v>
      </c>
      <c r="AK1641" s="30" t="str">
        <f aca="false">IF(OR(S1641="判定不能",J1641="判定不能"),"判定不能",IF(AJ1641&gt;=判定条件!$C$9,"利用可",IF(AND(S1641="停止",J1641="停止"),"両方停止","運転がそろわない")))</f>
        <v>両方停止</v>
      </c>
      <c r="AL1641" s="30" t="n">
        <v>60</v>
      </c>
      <c r="AM1641" s="30" t="n">
        <v>0</v>
      </c>
      <c r="AN1641" s="30" t="str">
        <f aca="false">IF(OR(V1641="判定不能",M1641="判定不能"),"判定不能",IF(AM1641&gt;=判定条件!$C$9,"利用可",IF(AND(V1641="停止",M1641="停止"),"両方停止","運転がそろわない")))</f>
        <v>両方停止</v>
      </c>
      <c r="AO1641" s="30" t="n">
        <v>60</v>
      </c>
      <c r="AP1641" s="30" t="n">
        <v>0</v>
      </c>
      <c r="AQ1641" s="30" t="str">
        <f aca="false">IF(OR(Y1641="判定不能",G1641="判定不能"),"判定不能",IF(AP1641&gt;=判定条件!$C$9,"利用可",IF(AND(Y1641="停止",G1641="停止"),"両方停止","運転がそろわない")))</f>
        <v>両方停止</v>
      </c>
      <c r="AR1641" s="30" t="n">
        <v>60</v>
      </c>
      <c r="AS1641" s="30" t="n">
        <v>0</v>
      </c>
      <c r="AT1641" s="30" t="str">
        <f aca="false">IF(OR(AB1641="判定不能",J1641="判定不能"),"判定不能",IF(AS1641&gt;=判定条件!$C$9,"利用可",IF(AND(AB1641="停止",J1641="停止"),"両方停止","運転がそろわない")))</f>
        <v>両方停止</v>
      </c>
      <c r="AU1641" s="30" t="n">
        <v>60</v>
      </c>
      <c r="AV1641" s="30" t="n">
        <v>0</v>
      </c>
      <c r="AW1641" s="30" t="str">
        <f aca="false">IF(OR(AE1641="判定不能",M1641="判定不能"),"判定不能",IF(AV1641&gt;=判定条件!$C$9,"利用可",IF(AND(AE1641="停止",M1641="停止"),"両方停止","運転がそろわない")))</f>
        <v>運転がそろわない</v>
      </c>
      <c r="AX1641" s="30" t="str">
        <f aca="false">IF(AND(AH1641="利用可",AK1641="利用可",AN1641="利用可"),"利用可","不可")</f>
        <v>不可</v>
      </c>
      <c r="AY1641" s="30" t="str">
        <f aca="false">IF(AND(AQ1641="利用可",AT1641="利用可",AW1641="利用可"),"利用可","不可")</f>
        <v>不可</v>
      </c>
    </row>
    <row r="1642" customFormat="false" ht="15" hidden="false" customHeight="false" outlineLevel="0" collapsed="false">
      <c r="A1642" s="29" t="n">
        <v>46300</v>
      </c>
      <c r="B1642" s="30" t="n">
        <v>7</v>
      </c>
      <c r="C1642" s="31" t="s">
        <v>66</v>
      </c>
      <c r="D1642" s="31" t="s">
        <v>59</v>
      </c>
      <c r="E1642" s="30" t="n">
        <v>60</v>
      </c>
      <c r="F1642" s="30" t="n">
        <v>0</v>
      </c>
      <c r="G1642" s="30" t="str">
        <f aca="false">IF(E1642&lt;判定条件!$C$6,"判定不能",IF(F1642&gt;=判定条件!$C$7*E1642,"運転",IF(F1642&lt;=判定条件!$C$8*E1642,"停止","断続")))</f>
        <v>停止</v>
      </c>
      <c r="H1642" s="30" t="n">
        <v>60</v>
      </c>
      <c r="I1642" s="30" t="n">
        <v>0</v>
      </c>
      <c r="J1642" s="30" t="str">
        <f aca="false">IF(H1642&lt;判定条件!$C$6,"判定不能",IF(I1642&gt;=判定条件!$C$7*H1642,"運転",IF(I1642&lt;=判定条件!$C$8*H1642,"停止","断続")))</f>
        <v>停止</v>
      </c>
      <c r="K1642" s="30" t="n">
        <v>60</v>
      </c>
      <c r="L1642" s="30" t="n">
        <v>0</v>
      </c>
      <c r="M1642" s="30" t="str">
        <f aca="false">IF(K1642&lt;判定条件!$C$6,"判定不能",IF(L1642&gt;=判定条件!$C$7*K1642,"運転",IF(L1642&lt;=判定条件!$C$8*K1642,"停止","断続")))</f>
        <v>停止</v>
      </c>
      <c r="N1642" s="30" t="n">
        <v>60</v>
      </c>
      <c r="O1642" s="30" t="n">
        <v>9</v>
      </c>
      <c r="P1642" s="30" t="str">
        <f aca="false">IF(N1642&lt;判定条件!$C$6,"判定不能",IF(O1642&gt;=判定条件!$C$7*N1642,"運転",IF(O1642&lt;=判定条件!$C$8*N1642,"停止","断続")))</f>
        <v>停止</v>
      </c>
      <c r="Q1642" s="30" t="n">
        <v>60</v>
      </c>
      <c r="R1642" s="30" t="n">
        <v>27</v>
      </c>
      <c r="S1642" s="30" t="str">
        <f aca="false">IF(Q1642&lt;判定条件!$C$6,"判定不能",IF(R1642&gt;=判定条件!$C$7*Q1642,"運転",IF(R1642&lt;=判定条件!$C$8*Q1642,"停止","断続")))</f>
        <v>断続</v>
      </c>
      <c r="T1642" s="30" t="n">
        <v>60</v>
      </c>
      <c r="U1642" s="30" t="n">
        <v>19</v>
      </c>
      <c r="V1642" s="30" t="str">
        <f aca="false">IF(T1642&lt;判定条件!$C$6,"判定不能",IF(U1642&gt;=判定条件!$C$7*T1642,"運転",IF(U1642&lt;=判定条件!$C$8*T1642,"停止","断続")))</f>
        <v>断続</v>
      </c>
      <c r="W1642" s="30" t="n">
        <v>60</v>
      </c>
      <c r="X1642" s="30" t="n">
        <v>0</v>
      </c>
      <c r="Y1642" s="30" t="str">
        <f aca="false">IF(W1642&lt;判定条件!$C$6,"判定不能",IF(X1642&gt;=判定条件!$C$7*W1642,"運転",IF(X1642&lt;=判定条件!$C$8*W1642,"停止","断続")))</f>
        <v>停止</v>
      </c>
      <c r="Z1642" s="30" t="n">
        <v>60</v>
      </c>
      <c r="AA1642" s="30" t="n">
        <v>0</v>
      </c>
      <c r="AB1642" s="30" t="str">
        <f aca="false">IF(Z1642&lt;判定条件!$C$6,"判定不能",IF(AA1642&gt;=判定条件!$C$7*Z1642,"運転",IF(AA1642&lt;=判定条件!$C$8*Z1642,"停止","断続")))</f>
        <v>停止</v>
      </c>
      <c r="AC1642" s="30" t="n">
        <v>60</v>
      </c>
      <c r="AD1642" s="30" t="n">
        <v>35</v>
      </c>
      <c r="AE1642" s="30" t="str">
        <f aca="false">IF(AC1642&lt;判定条件!$C$6,"判定不能",IF(AD1642&gt;=判定条件!$C$7*AC1642,"運転",IF(AD1642&lt;=判定条件!$C$8*AC1642,"停止","断続")))</f>
        <v>断続</v>
      </c>
      <c r="AF1642" s="30" t="n">
        <v>60</v>
      </c>
      <c r="AG1642" s="30" t="n">
        <v>0</v>
      </c>
      <c r="AH1642" s="30" t="str">
        <f aca="false">IF(OR(P1642="判定不能",G1642="判定不能"),"判定不能",IF(AG1642&gt;=判定条件!$C$9,"利用可",IF(AND(P1642="停止",G1642="停止"),"両方停止","運転がそろわない")))</f>
        <v>両方停止</v>
      </c>
      <c r="AI1642" s="30" t="n">
        <v>60</v>
      </c>
      <c r="AJ1642" s="30" t="n">
        <v>0</v>
      </c>
      <c r="AK1642" s="30" t="str">
        <f aca="false">IF(OR(S1642="判定不能",J1642="判定不能"),"判定不能",IF(AJ1642&gt;=判定条件!$C$9,"利用可",IF(AND(S1642="停止",J1642="停止"),"両方停止","運転がそろわない")))</f>
        <v>運転がそろわない</v>
      </c>
      <c r="AL1642" s="30" t="n">
        <v>60</v>
      </c>
      <c r="AM1642" s="30" t="n">
        <v>0</v>
      </c>
      <c r="AN1642" s="30" t="str">
        <f aca="false">IF(OR(V1642="判定不能",M1642="判定不能"),"判定不能",IF(AM1642&gt;=判定条件!$C$9,"利用可",IF(AND(V1642="停止",M1642="停止"),"両方停止","運転がそろわない")))</f>
        <v>運転がそろわない</v>
      </c>
      <c r="AO1642" s="30" t="n">
        <v>60</v>
      </c>
      <c r="AP1642" s="30" t="n">
        <v>0</v>
      </c>
      <c r="AQ1642" s="30" t="str">
        <f aca="false">IF(OR(Y1642="判定不能",G1642="判定不能"),"判定不能",IF(AP1642&gt;=判定条件!$C$9,"利用可",IF(AND(Y1642="停止",G1642="停止"),"両方停止","運転がそろわない")))</f>
        <v>両方停止</v>
      </c>
      <c r="AR1642" s="30" t="n">
        <v>60</v>
      </c>
      <c r="AS1642" s="30" t="n">
        <v>0</v>
      </c>
      <c r="AT1642" s="30" t="str">
        <f aca="false">IF(OR(AB1642="判定不能",J1642="判定不能"),"判定不能",IF(AS1642&gt;=判定条件!$C$9,"利用可",IF(AND(AB1642="停止",J1642="停止"),"両方停止","運転がそろわない")))</f>
        <v>両方停止</v>
      </c>
      <c r="AU1642" s="30" t="n">
        <v>60</v>
      </c>
      <c r="AV1642" s="30" t="n">
        <v>0</v>
      </c>
      <c r="AW1642" s="30" t="str">
        <f aca="false">IF(OR(AE1642="判定不能",M1642="判定不能"),"判定不能",IF(AV1642&gt;=判定条件!$C$9,"利用可",IF(AND(AE1642="停止",M1642="停止"),"両方停止","運転がそろわない")))</f>
        <v>運転がそろわない</v>
      </c>
      <c r="AX1642" s="30" t="str">
        <f aca="false">IF(AND(AH1642="利用可",AK1642="利用可",AN1642="利用可"),"利用可","不可")</f>
        <v>不可</v>
      </c>
      <c r="AY1642" s="30" t="str">
        <f aca="false">IF(AND(AQ1642="利用可",AT1642="利用可",AW1642="利用可"),"利用可","不可")</f>
        <v>不可</v>
      </c>
    </row>
    <row r="1643" customFormat="false" ht="15" hidden="false" customHeight="false" outlineLevel="0" collapsed="false">
      <c r="A1643" s="29" t="n">
        <v>46300</v>
      </c>
      <c r="B1643" s="30" t="n">
        <v>8</v>
      </c>
      <c r="C1643" s="31" t="s">
        <v>66</v>
      </c>
      <c r="D1643" s="31" t="s">
        <v>59</v>
      </c>
      <c r="E1643" s="30" t="n">
        <v>60</v>
      </c>
      <c r="F1643" s="30" t="n">
        <v>0</v>
      </c>
      <c r="G1643" s="30" t="str">
        <f aca="false">IF(E1643&lt;判定条件!$C$6,"判定不能",IF(F1643&gt;=判定条件!$C$7*E1643,"運転",IF(F1643&lt;=判定条件!$C$8*E1643,"停止","断続")))</f>
        <v>停止</v>
      </c>
      <c r="H1643" s="30" t="n">
        <v>60</v>
      </c>
      <c r="I1643" s="30" t="n">
        <v>0</v>
      </c>
      <c r="J1643" s="30" t="str">
        <f aca="false">IF(H1643&lt;判定条件!$C$6,"判定不能",IF(I1643&gt;=判定条件!$C$7*H1643,"運転",IF(I1643&lt;=判定条件!$C$8*H1643,"停止","断続")))</f>
        <v>停止</v>
      </c>
      <c r="K1643" s="30" t="n">
        <v>60</v>
      </c>
      <c r="L1643" s="30" t="n">
        <v>0</v>
      </c>
      <c r="M1643" s="30" t="str">
        <f aca="false">IF(K1643&lt;判定条件!$C$6,"判定不能",IF(L1643&gt;=判定条件!$C$7*K1643,"運転",IF(L1643&lt;=判定条件!$C$8*K1643,"停止","断続")))</f>
        <v>停止</v>
      </c>
      <c r="N1643" s="30" t="n">
        <v>60</v>
      </c>
      <c r="O1643" s="30" t="n">
        <v>17</v>
      </c>
      <c r="P1643" s="30" t="str">
        <f aca="false">IF(N1643&lt;判定条件!$C$6,"判定不能",IF(O1643&gt;=判定条件!$C$7*N1643,"運転",IF(O1643&lt;=判定条件!$C$8*N1643,"停止","断続")))</f>
        <v>断続</v>
      </c>
      <c r="Q1643" s="30" t="n">
        <v>60</v>
      </c>
      <c r="R1643" s="30" t="n">
        <v>28</v>
      </c>
      <c r="S1643" s="30" t="str">
        <f aca="false">IF(Q1643&lt;判定条件!$C$6,"判定不能",IF(R1643&gt;=判定条件!$C$7*Q1643,"運転",IF(R1643&lt;=判定条件!$C$8*Q1643,"停止","断続")))</f>
        <v>断続</v>
      </c>
      <c r="T1643" s="30" t="n">
        <v>60</v>
      </c>
      <c r="U1643" s="30" t="n">
        <v>0</v>
      </c>
      <c r="V1643" s="30" t="str">
        <f aca="false">IF(T1643&lt;判定条件!$C$6,"判定不能",IF(U1643&gt;=判定条件!$C$7*T1643,"運転",IF(U1643&lt;=判定条件!$C$8*T1643,"停止","断続")))</f>
        <v>停止</v>
      </c>
      <c r="W1643" s="30" t="n">
        <v>60</v>
      </c>
      <c r="X1643" s="30" t="n">
        <v>48</v>
      </c>
      <c r="Y1643" s="30" t="str">
        <f aca="false">IF(W1643&lt;判定条件!$C$6,"判定不能",IF(X1643&gt;=判定条件!$C$7*W1643,"運転",IF(X1643&lt;=判定条件!$C$8*W1643,"停止","断続")))</f>
        <v>運転</v>
      </c>
      <c r="Z1643" s="30" t="n">
        <v>60</v>
      </c>
      <c r="AA1643" s="30" t="n">
        <v>53</v>
      </c>
      <c r="AB1643" s="30" t="str">
        <f aca="false">IF(Z1643&lt;判定条件!$C$6,"判定不能",IF(AA1643&gt;=判定条件!$C$7*Z1643,"運転",IF(AA1643&lt;=判定条件!$C$8*Z1643,"停止","断続")))</f>
        <v>運転</v>
      </c>
      <c r="AC1643" s="30" t="n">
        <v>60</v>
      </c>
      <c r="AD1643" s="30" t="n">
        <v>53</v>
      </c>
      <c r="AE1643" s="30" t="str">
        <f aca="false">IF(AC1643&lt;判定条件!$C$6,"判定不能",IF(AD1643&gt;=判定条件!$C$7*AC1643,"運転",IF(AD1643&lt;=判定条件!$C$8*AC1643,"停止","断続")))</f>
        <v>運転</v>
      </c>
      <c r="AF1643" s="30" t="n">
        <v>60</v>
      </c>
      <c r="AG1643" s="30" t="n">
        <v>0</v>
      </c>
      <c r="AH1643" s="30" t="str">
        <f aca="false">IF(OR(P1643="判定不能",G1643="判定不能"),"判定不能",IF(AG1643&gt;=判定条件!$C$9,"利用可",IF(AND(P1643="停止",G1643="停止"),"両方停止","運転がそろわない")))</f>
        <v>運転がそろわない</v>
      </c>
      <c r="AI1643" s="30" t="n">
        <v>60</v>
      </c>
      <c r="AJ1643" s="30" t="n">
        <v>0</v>
      </c>
      <c r="AK1643" s="30" t="str">
        <f aca="false">IF(OR(S1643="判定不能",J1643="判定不能"),"判定不能",IF(AJ1643&gt;=判定条件!$C$9,"利用可",IF(AND(S1643="停止",J1643="停止"),"両方停止","運転がそろわない")))</f>
        <v>運転がそろわない</v>
      </c>
      <c r="AL1643" s="30" t="n">
        <v>60</v>
      </c>
      <c r="AM1643" s="30" t="n">
        <v>0</v>
      </c>
      <c r="AN1643" s="30" t="str">
        <f aca="false">IF(OR(V1643="判定不能",M1643="判定不能"),"判定不能",IF(AM1643&gt;=判定条件!$C$9,"利用可",IF(AND(V1643="停止",M1643="停止"),"両方停止","運転がそろわない")))</f>
        <v>両方停止</v>
      </c>
      <c r="AO1643" s="30" t="n">
        <v>60</v>
      </c>
      <c r="AP1643" s="30" t="n">
        <v>0</v>
      </c>
      <c r="AQ1643" s="30" t="str">
        <f aca="false">IF(OR(Y1643="判定不能",G1643="判定不能"),"判定不能",IF(AP1643&gt;=判定条件!$C$9,"利用可",IF(AND(Y1643="停止",G1643="停止"),"両方停止","運転がそろわない")))</f>
        <v>運転がそろわない</v>
      </c>
      <c r="AR1643" s="30" t="n">
        <v>60</v>
      </c>
      <c r="AS1643" s="30" t="n">
        <v>0</v>
      </c>
      <c r="AT1643" s="30" t="str">
        <f aca="false">IF(OR(AB1643="判定不能",J1643="判定不能"),"判定不能",IF(AS1643&gt;=判定条件!$C$9,"利用可",IF(AND(AB1643="停止",J1643="停止"),"両方停止","運転がそろわない")))</f>
        <v>運転がそろわない</v>
      </c>
      <c r="AU1643" s="30" t="n">
        <v>60</v>
      </c>
      <c r="AV1643" s="30" t="n">
        <v>0</v>
      </c>
      <c r="AW1643" s="30" t="str">
        <f aca="false">IF(OR(AE1643="判定不能",M1643="判定不能"),"判定不能",IF(AV1643&gt;=判定条件!$C$9,"利用可",IF(AND(AE1643="停止",M1643="停止"),"両方停止","運転がそろわない")))</f>
        <v>運転がそろわない</v>
      </c>
      <c r="AX1643" s="30" t="str">
        <f aca="false">IF(AND(AH1643="利用可",AK1643="利用可",AN1643="利用可"),"利用可","不可")</f>
        <v>不可</v>
      </c>
      <c r="AY1643" s="30" t="str">
        <f aca="false">IF(AND(AQ1643="利用可",AT1643="利用可",AW1643="利用可"),"利用可","不可")</f>
        <v>不可</v>
      </c>
    </row>
    <row r="1644" customFormat="false" ht="15" hidden="false" customHeight="false" outlineLevel="0" collapsed="false">
      <c r="A1644" s="29" t="n">
        <v>46300</v>
      </c>
      <c r="B1644" s="30" t="n">
        <v>9</v>
      </c>
      <c r="C1644" s="31" t="s">
        <v>66</v>
      </c>
      <c r="D1644" s="31" t="s">
        <v>59</v>
      </c>
      <c r="E1644" s="30" t="n">
        <v>60</v>
      </c>
      <c r="F1644" s="30" t="n">
        <v>0</v>
      </c>
      <c r="G1644" s="30" t="str">
        <f aca="false">IF(E1644&lt;判定条件!$C$6,"判定不能",IF(F1644&gt;=判定条件!$C$7*E1644,"運転",IF(F1644&lt;=判定条件!$C$8*E1644,"停止","断続")))</f>
        <v>停止</v>
      </c>
      <c r="H1644" s="30" t="n">
        <v>60</v>
      </c>
      <c r="I1644" s="30" t="n">
        <v>0</v>
      </c>
      <c r="J1644" s="30" t="str">
        <f aca="false">IF(H1644&lt;判定条件!$C$6,"判定不能",IF(I1644&gt;=判定条件!$C$7*H1644,"運転",IF(I1644&lt;=判定条件!$C$8*H1644,"停止","断続")))</f>
        <v>停止</v>
      </c>
      <c r="K1644" s="30" t="n">
        <v>60</v>
      </c>
      <c r="L1644" s="30" t="n">
        <v>0</v>
      </c>
      <c r="M1644" s="30" t="str">
        <f aca="false">IF(K1644&lt;判定条件!$C$6,"判定不能",IF(L1644&gt;=判定条件!$C$7*K1644,"運転",IF(L1644&lt;=判定条件!$C$8*K1644,"停止","断続")))</f>
        <v>停止</v>
      </c>
      <c r="N1644" s="30" t="n">
        <v>60</v>
      </c>
      <c r="O1644" s="30" t="n">
        <v>3</v>
      </c>
      <c r="P1644" s="30" t="str">
        <f aca="false">IF(N1644&lt;判定条件!$C$6,"判定不能",IF(O1644&gt;=判定条件!$C$7*N1644,"運転",IF(O1644&lt;=判定条件!$C$8*N1644,"停止","断続")))</f>
        <v>停止</v>
      </c>
      <c r="Q1644" s="30" t="n">
        <v>60</v>
      </c>
      <c r="R1644" s="30" t="n">
        <v>33</v>
      </c>
      <c r="S1644" s="30" t="str">
        <f aca="false">IF(Q1644&lt;判定条件!$C$6,"判定不能",IF(R1644&gt;=判定条件!$C$7*Q1644,"運転",IF(R1644&lt;=判定条件!$C$8*Q1644,"停止","断続")))</f>
        <v>断続</v>
      </c>
      <c r="T1644" s="30" t="n">
        <v>60</v>
      </c>
      <c r="U1644" s="30" t="n">
        <v>23</v>
      </c>
      <c r="V1644" s="30" t="str">
        <f aca="false">IF(T1644&lt;判定条件!$C$6,"判定不能",IF(U1644&gt;=判定条件!$C$7*T1644,"運転",IF(U1644&lt;=判定条件!$C$8*T1644,"停止","断続")))</f>
        <v>断続</v>
      </c>
      <c r="W1644" s="30" t="n">
        <v>60</v>
      </c>
      <c r="X1644" s="30" t="n">
        <v>33</v>
      </c>
      <c r="Y1644" s="30" t="str">
        <f aca="false">IF(W1644&lt;判定条件!$C$6,"判定不能",IF(X1644&gt;=判定条件!$C$7*W1644,"運転",IF(X1644&lt;=判定条件!$C$8*W1644,"停止","断続")))</f>
        <v>断続</v>
      </c>
      <c r="Z1644" s="30" t="n">
        <v>60</v>
      </c>
      <c r="AA1644" s="30" t="n">
        <v>51</v>
      </c>
      <c r="AB1644" s="30" t="str">
        <f aca="false">IF(Z1644&lt;判定条件!$C$6,"判定不能",IF(AA1644&gt;=判定条件!$C$7*Z1644,"運転",IF(AA1644&lt;=判定条件!$C$8*Z1644,"停止","断続")))</f>
        <v>運転</v>
      </c>
      <c r="AC1644" s="30" t="n">
        <v>60</v>
      </c>
      <c r="AD1644" s="30" t="n">
        <v>36</v>
      </c>
      <c r="AE1644" s="30" t="str">
        <f aca="false">IF(AC1644&lt;判定条件!$C$6,"判定不能",IF(AD1644&gt;=判定条件!$C$7*AC1644,"運転",IF(AD1644&lt;=判定条件!$C$8*AC1644,"停止","断続")))</f>
        <v>断続</v>
      </c>
      <c r="AF1644" s="30" t="n">
        <v>60</v>
      </c>
      <c r="AG1644" s="30" t="n">
        <v>0</v>
      </c>
      <c r="AH1644" s="30" t="str">
        <f aca="false">IF(OR(P1644="判定不能",G1644="判定不能"),"判定不能",IF(AG1644&gt;=判定条件!$C$9,"利用可",IF(AND(P1644="停止",G1644="停止"),"両方停止","運転がそろわない")))</f>
        <v>両方停止</v>
      </c>
      <c r="AI1644" s="30" t="n">
        <v>60</v>
      </c>
      <c r="AJ1644" s="30" t="n">
        <v>0</v>
      </c>
      <c r="AK1644" s="30" t="str">
        <f aca="false">IF(OR(S1644="判定不能",J1644="判定不能"),"判定不能",IF(AJ1644&gt;=判定条件!$C$9,"利用可",IF(AND(S1644="停止",J1644="停止"),"両方停止","運転がそろわない")))</f>
        <v>運転がそろわない</v>
      </c>
      <c r="AL1644" s="30" t="n">
        <v>60</v>
      </c>
      <c r="AM1644" s="30" t="n">
        <v>0</v>
      </c>
      <c r="AN1644" s="30" t="str">
        <f aca="false">IF(OR(V1644="判定不能",M1644="判定不能"),"判定不能",IF(AM1644&gt;=判定条件!$C$9,"利用可",IF(AND(V1644="停止",M1644="停止"),"両方停止","運転がそろわない")))</f>
        <v>運転がそろわない</v>
      </c>
      <c r="AO1644" s="30" t="n">
        <v>60</v>
      </c>
      <c r="AP1644" s="30" t="n">
        <v>0</v>
      </c>
      <c r="AQ1644" s="30" t="str">
        <f aca="false">IF(OR(Y1644="判定不能",G1644="判定不能"),"判定不能",IF(AP1644&gt;=判定条件!$C$9,"利用可",IF(AND(Y1644="停止",G1644="停止"),"両方停止","運転がそろわない")))</f>
        <v>運転がそろわない</v>
      </c>
      <c r="AR1644" s="30" t="n">
        <v>60</v>
      </c>
      <c r="AS1644" s="30" t="n">
        <v>0</v>
      </c>
      <c r="AT1644" s="30" t="str">
        <f aca="false">IF(OR(AB1644="判定不能",J1644="判定不能"),"判定不能",IF(AS1644&gt;=判定条件!$C$9,"利用可",IF(AND(AB1644="停止",J1644="停止"),"両方停止","運転がそろわない")))</f>
        <v>運転がそろわない</v>
      </c>
      <c r="AU1644" s="30" t="n">
        <v>60</v>
      </c>
      <c r="AV1644" s="30" t="n">
        <v>0</v>
      </c>
      <c r="AW1644" s="30" t="str">
        <f aca="false">IF(OR(AE1644="判定不能",M1644="判定不能"),"判定不能",IF(AV1644&gt;=判定条件!$C$9,"利用可",IF(AND(AE1644="停止",M1644="停止"),"両方停止","運転がそろわない")))</f>
        <v>運転がそろわない</v>
      </c>
      <c r="AX1644" s="30" t="str">
        <f aca="false">IF(AND(AH1644="利用可",AK1644="利用可",AN1644="利用可"),"利用可","不可")</f>
        <v>不可</v>
      </c>
      <c r="AY1644" s="30" t="str">
        <f aca="false">IF(AND(AQ1644="利用可",AT1644="利用可",AW1644="利用可"),"利用可","不可")</f>
        <v>不可</v>
      </c>
    </row>
    <row r="1645" customFormat="false" ht="15" hidden="false" customHeight="false" outlineLevel="0" collapsed="false">
      <c r="A1645" s="29" t="n">
        <v>46300</v>
      </c>
      <c r="B1645" s="30" t="n">
        <v>10</v>
      </c>
      <c r="C1645" s="31" t="s">
        <v>66</v>
      </c>
      <c r="D1645" s="31" t="s">
        <v>59</v>
      </c>
      <c r="E1645" s="30" t="n">
        <v>60</v>
      </c>
      <c r="F1645" s="30" t="n">
        <v>0</v>
      </c>
      <c r="G1645" s="30" t="str">
        <f aca="false">IF(E1645&lt;判定条件!$C$6,"判定不能",IF(F1645&gt;=判定条件!$C$7*E1645,"運転",IF(F1645&lt;=判定条件!$C$8*E1645,"停止","断続")))</f>
        <v>停止</v>
      </c>
      <c r="H1645" s="30" t="n">
        <v>60</v>
      </c>
      <c r="I1645" s="30" t="n">
        <v>11</v>
      </c>
      <c r="J1645" s="30" t="str">
        <f aca="false">IF(H1645&lt;判定条件!$C$6,"判定不能",IF(I1645&gt;=判定条件!$C$7*H1645,"運転",IF(I1645&lt;=判定条件!$C$8*H1645,"停止","断続")))</f>
        <v>停止</v>
      </c>
      <c r="K1645" s="30" t="n">
        <v>60</v>
      </c>
      <c r="L1645" s="30" t="n">
        <v>0</v>
      </c>
      <c r="M1645" s="30" t="str">
        <f aca="false">IF(K1645&lt;判定条件!$C$6,"判定不能",IF(L1645&gt;=判定条件!$C$7*K1645,"運転",IF(L1645&lt;=判定条件!$C$8*K1645,"停止","断続")))</f>
        <v>停止</v>
      </c>
      <c r="N1645" s="30" t="n">
        <v>60</v>
      </c>
      <c r="O1645" s="30" t="n">
        <v>14</v>
      </c>
      <c r="P1645" s="30" t="str">
        <f aca="false">IF(N1645&lt;判定条件!$C$6,"判定不能",IF(O1645&gt;=判定条件!$C$7*N1645,"運転",IF(O1645&lt;=判定条件!$C$8*N1645,"停止","断続")))</f>
        <v>断続</v>
      </c>
      <c r="Q1645" s="30" t="n">
        <v>60</v>
      </c>
      <c r="R1645" s="30" t="n">
        <v>32</v>
      </c>
      <c r="S1645" s="30" t="str">
        <f aca="false">IF(Q1645&lt;判定条件!$C$6,"判定不能",IF(R1645&gt;=判定条件!$C$7*Q1645,"運転",IF(R1645&lt;=判定条件!$C$8*Q1645,"停止","断続")))</f>
        <v>断続</v>
      </c>
      <c r="T1645" s="30" t="n">
        <v>60</v>
      </c>
      <c r="U1645" s="30" t="n">
        <v>47</v>
      </c>
      <c r="V1645" s="30" t="str">
        <f aca="false">IF(T1645&lt;判定条件!$C$6,"判定不能",IF(U1645&gt;=判定条件!$C$7*T1645,"運転",IF(U1645&lt;=判定条件!$C$8*T1645,"停止","断続")))</f>
        <v>断続</v>
      </c>
      <c r="W1645" s="30" t="n">
        <v>60</v>
      </c>
      <c r="X1645" s="30" t="n">
        <v>58</v>
      </c>
      <c r="Y1645" s="30" t="str">
        <f aca="false">IF(W1645&lt;判定条件!$C$6,"判定不能",IF(X1645&gt;=判定条件!$C$7*W1645,"運転",IF(X1645&lt;=判定条件!$C$8*W1645,"停止","断続")))</f>
        <v>運転</v>
      </c>
      <c r="Z1645" s="30" t="n">
        <v>60</v>
      </c>
      <c r="AA1645" s="30" t="n">
        <v>38</v>
      </c>
      <c r="AB1645" s="30" t="str">
        <f aca="false">IF(Z1645&lt;判定条件!$C$6,"判定不能",IF(AA1645&gt;=判定条件!$C$7*Z1645,"運転",IF(AA1645&lt;=判定条件!$C$8*Z1645,"停止","断続")))</f>
        <v>断続</v>
      </c>
      <c r="AC1645" s="30" t="n">
        <v>60</v>
      </c>
      <c r="AD1645" s="30" t="n">
        <v>40</v>
      </c>
      <c r="AE1645" s="30" t="str">
        <f aca="false">IF(AC1645&lt;判定条件!$C$6,"判定不能",IF(AD1645&gt;=判定条件!$C$7*AC1645,"運転",IF(AD1645&lt;=判定条件!$C$8*AC1645,"停止","断続")))</f>
        <v>断続</v>
      </c>
      <c r="AF1645" s="30" t="n">
        <v>60</v>
      </c>
      <c r="AG1645" s="30" t="n">
        <v>0</v>
      </c>
      <c r="AH1645" s="30" t="str">
        <f aca="false">IF(OR(P1645="判定不能",G1645="判定不能"),"判定不能",IF(AG1645&gt;=判定条件!$C$9,"利用可",IF(AND(P1645="停止",G1645="停止"),"両方停止","運転がそろわない")))</f>
        <v>運転がそろわない</v>
      </c>
      <c r="AI1645" s="30" t="n">
        <v>60</v>
      </c>
      <c r="AJ1645" s="30" t="n">
        <v>9</v>
      </c>
      <c r="AK1645" s="30" t="str">
        <f aca="false">IF(OR(S1645="判定不能",J1645="判定不能"),"判定不能",IF(AJ1645&gt;=判定条件!$C$9,"利用可",IF(AND(S1645="停止",J1645="停止"),"両方停止","運転がそろわない")))</f>
        <v>運転がそろわない</v>
      </c>
      <c r="AL1645" s="30" t="n">
        <v>60</v>
      </c>
      <c r="AM1645" s="30" t="n">
        <v>0</v>
      </c>
      <c r="AN1645" s="30" t="str">
        <f aca="false">IF(OR(V1645="判定不能",M1645="判定不能"),"判定不能",IF(AM1645&gt;=判定条件!$C$9,"利用可",IF(AND(V1645="停止",M1645="停止"),"両方停止","運転がそろわない")))</f>
        <v>運転がそろわない</v>
      </c>
      <c r="AO1645" s="30" t="n">
        <v>60</v>
      </c>
      <c r="AP1645" s="30" t="n">
        <v>0</v>
      </c>
      <c r="AQ1645" s="30" t="str">
        <f aca="false">IF(OR(Y1645="判定不能",G1645="判定不能"),"判定不能",IF(AP1645&gt;=判定条件!$C$9,"利用可",IF(AND(Y1645="停止",G1645="停止"),"両方停止","運転がそろわない")))</f>
        <v>運転がそろわない</v>
      </c>
      <c r="AR1645" s="30" t="n">
        <v>60</v>
      </c>
      <c r="AS1645" s="30" t="n">
        <v>11</v>
      </c>
      <c r="AT1645" s="30" t="str">
        <f aca="false">IF(OR(AB1645="判定不能",J1645="判定不能"),"判定不能",IF(AS1645&gt;=判定条件!$C$9,"利用可",IF(AND(AB1645="停止",J1645="停止"),"両方停止","運転がそろわない")))</f>
        <v>運転がそろわない</v>
      </c>
      <c r="AU1645" s="30" t="n">
        <v>60</v>
      </c>
      <c r="AV1645" s="30" t="n">
        <v>0</v>
      </c>
      <c r="AW1645" s="30" t="str">
        <f aca="false">IF(OR(AE1645="判定不能",M1645="判定不能"),"判定不能",IF(AV1645&gt;=判定条件!$C$9,"利用可",IF(AND(AE1645="停止",M1645="停止"),"両方停止","運転がそろわない")))</f>
        <v>運転がそろわない</v>
      </c>
      <c r="AX1645" s="30" t="str">
        <f aca="false">IF(AND(AH1645="利用可",AK1645="利用可",AN1645="利用可"),"利用可","不可")</f>
        <v>不可</v>
      </c>
      <c r="AY1645" s="30" t="str">
        <f aca="false">IF(AND(AQ1645="利用可",AT1645="利用可",AW1645="利用可"),"利用可","不可")</f>
        <v>不可</v>
      </c>
    </row>
    <row r="1646" customFormat="false" ht="15" hidden="false" customHeight="false" outlineLevel="0" collapsed="false">
      <c r="A1646" s="29" t="n">
        <v>46300</v>
      </c>
      <c r="B1646" s="30" t="n">
        <v>11</v>
      </c>
      <c r="C1646" s="31" t="s">
        <v>66</v>
      </c>
      <c r="D1646" s="31" t="s">
        <v>59</v>
      </c>
      <c r="E1646" s="30" t="n">
        <v>60</v>
      </c>
      <c r="F1646" s="30" t="n">
        <v>0</v>
      </c>
      <c r="G1646" s="30" t="str">
        <f aca="false">IF(E1646&lt;判定条件!$C$6,"判定不能",IF(F1646&gt;=判定条件!$C$7*E1646,"運転",IF(F1646&lt;=判定条件!$C$8*E1646,"停止","断続")))</f>
        <v>停止</v>
      </c>
      <c r="H1646" s="30" t="n">
        <v>60</v>
      </c>
      <c r="I1646" s="30" t="n">
        <v>0</v>
      </c>
      <c r="J1646" s="30" t="str">
        <f aca="false">IF(H1646&lt;判定条件!$C$6,"判定不能",IF(I1646&gt;=判定条件!$C$7*H1646,"運転",IF(I1646&lt;=判定条件!$C$8*H1646,"停止","断続")))</f>
        <v>停止</v>
      </c>
      <c r="K1646" s="30" t="n">
        <v>60</v>
      </c>
      <c r="L1646" s="30" t="n">
        <v>22</v>
      </c>
      <c r="M1646" s="30" t="str">
        <f aca="false">IF(K1646&lt;判定条件!$C$6,"判定不能",IF(L1646&gt;=判定条件!$C$7*K1646,"運転",IF(L1646&lt;=判定条件!$C$8*K1646,"停止","断続")))</f>
        <v>断続</v>
      </c>
      <c r="N1646" s="30" t="n">
        <v>60</v>
      </c>
      <c r="O1646" s="30" t="n">
        <v>35</v>
      </c>
      <c r="P1646" s="30" t="str">
        <f aca="false">IF(N1646&lt;判定条件!$C$6,"判定不能",IF(O1646&gt;=判定条件!$C$7*N1646,"運転",IF(O1646&lt;=判定条件!$C$8*N1646,"停止","断続")))</f>
        <v>断続</v>
      </c>
      <c r="Q1646" s="30" t="n">
        <v>60</v>
      </c>
      <c r="R1646" s="30" t="n">
        <v>45</v>
      </c>
      <c r="S1646" s="30" t="str">
        <f aca="false">IF(Q1646&lt;判定条件!$C$6,"判定不能",IF(R1646&gt;=判定条件!$C$7*Q1646,"運転",IF(R1646&lt;=判定条件!$C$8*Q1646,"停止","断続")))</f>
        <v>断続</v>
      </c>
      <c r="T1646" s="30" t="n">
        <v>60</v>
      </c>
      <c r="U1646" s="30" t="n">
        <v>47</v>
      </c>
      <c r="V1646" s="30" t="str">
        <f aca="false">IF(T1646&lt;判定条件!$C$6,"判定不能",IF(U1646&gt;=判定条件!$C$7*T1646,"運転",IF(U1646&lt;=判定条件!$C$8*T1646,"停止","断続")))</f>
        <v>断続</v>
      </c>
      <c r="W1646" s="30" t="n">
        <v>60</v>
      </c>
      <c r="X1646" s="30" t="n">
        <v>50</v>
      </c>
      <c r="Y1646" s="30" t="str">
        <f aca="false">IF(W1646&lt;判定条件!$C$6,"判定不能",IF(X1646&gt;=判定条件!$C$7*W1646,"運転",IF(X1646&lt;=判定条件!$C$8*W1646,"停止","断続")))</f>
        <v>運転</v>
      </c>
      <c r="Z1646" s="30" t="n">
        <v>60</v>
      </c>
      <c r="AA1646" s="30" t="n">
        <v>53</v>
      </c>
      <c r="AB1646" s="30" t="str">
        <f aca="false">IF(Z1646&lt;判定条件!$C$6,"判定不能",IF(AA1646&gt;=判定条件!$C$7*Z1646,"運転",IF(AA1646&lt;=判定条件!$C$8*Z1646,"停止","断続")))</f>
        <v>運転</v>
      </c>
      <c r="AC1646" s="30" t="n">
        <v>60</v>
      </c>
      <c r="AD1646" s="30" t="n">
        <v>32</v>
      </c>
      <c r="AE1646" s="30" t="str">
        <f aca="false">IF(AC1646&lt;判定条件!$C$6,"判定不能",IF(AD1646&gt;=判定条件!$C$7*AC1646,"運転",IF(AD1646&lt;=判定条件!$C$8*AC1646,"停止","断続")))</f>
        <v>断続</v>
      </c>
      <c r="AF1646" s="30" t="n">
        <v>60</v>
      </c>
      <c r="AG1646" s="30" t="n">
        <v>0</v>
      </c>
      <c r="AH1646" s="30" t="str">
        <f aca="false">IF(OR(P1646="判定不能",G1646="判定不能"),"判定不能",IF(AG1646&gt;=判定条件!$C$9,"利用可",IF(AND(P1646="停止",G1646="停止"),"両方停止","運転がそろわない")))</f>
        <v>運転がそろわない</v>
      </c>
      <c r="AI1646" s="30" t="n">
        <v>60</v>
      </c>
      <c r="AJ1646" s="30" t="n">
        <v>0</v>
      </c>
      <c r="AK1646" s="30" t="str">
        <f aca="false">IF(OR(S1646="判定不能",J1646="判定不能"),"判定不能",IF(AJ1646&gt;=判定条件!$C$9,"利用可",IF(AND(S1646="停止",J1646="停止"),"両方停止","運転がそろわない")))</f>
        <v>運転がそろわない</v>
      </c>
      <c r="AL1646" s="30" t="n">
        <v>60</v>
      </c>
      <c r="AM1646" s="30" t="n">
        <v>22</v>
      </c>
      <c r="AN1646" s="30" t="str">
        <f aca="false">IF(OR(V1646="判定不能",M1646="判定不能"),"判定不能",IF(AM1646&gt;=判定条件!$C$9,"利用可",IF(AND(V1646="停止",M1646="停止"),"両方停止","運転がそろわない")))</f>
        <v>運転がそろわない</v>
      </c>
      <c r="AO1646" s="30" t="n">
        <v>60</v>
      </c>
      <c r="AP1646" s="30" t="n">
        <v>0</v>
      </c>
      <c r="AQ1646" s="30" t="str">
        <f aca="false">IF(OR(Y1646="判定不能",G1646="判定不能"),"判定不能",IF(AP1646&gt;=判定条件!$C$9,"利用可",IF(AND(Y1646="停止",G1646="停止"),"両方停止","運転がそろわない")))</f>
        <v>運転がそろわない</v>
      </c>
      <c r="AR1646" s="30" t="n">
        <v>60</v>
      </c>
      <c r="AS1646" s="30" t="n">
        <v>0</v>
      </c>
      <c r="AT1646" s="30" t="str">
        <f aca="false">IF(OR(AB1646="判定不能",J1646="判定不能"),"判定不能",IF(AS1646&gt;=判定条件!$C$9,"利用可",IF(AND(AB1646="停止",J1646="停止"),"両方停止","運転がそろわない")))</f>
        <v>運転がそろわない</v>
      </c>
      <c r="AU1646" s="30" t="n">
        <v>60</v>
      </c>
      <c r="AV1646" s="30" t="n">
        <v>12</v>
      </c>
      <c r="AW1646" s="30" t="str">
        <f aca="false">IF(OR(AE1646="判定不能",M1646="判定不能"),"判定不能",IF(AV1646&gt;=判定条件!$C$9,"利用可",IF(AND(AE1646="停止",M1646="停止"),"両方停止","運転がそろわない")))</f>
        <v>運転がそろわない</v>
      </c>
      <c r="AX1646" s="30" t="str">
        <f aca="false">IF(AND(AH1646="利用可",AK1646="利用可",AN1646="利用可"),"利用可","不可")</f>
        <v>不可</v>
      </c>
      <c r="AY1646" s="30" t="str">
        <f aca="false">IF(AND(AQ1646="利用可",AT1646="利用可",AW1646="利用可"),"利用可","不可")</f>
        <v>不可</v>
      </c>
    </row>
    <row r="1647" customFormat="false" ht="15" hidden="false" customHeight="false" outlineLevel="0" collapsed="false">
      <c r="A1647" s="29" t="n">
        <v>46300</v>
      </c>
      <c r="B1647" s="30" t="n">
        <v>12</v>
      </c>
      <c r="C1647" s="31" t="s">
        <v>66</v>
      </c>
      <c r="D1647" s="31" t="s">
        <v>59</v>
      </c>
      <c r="E1647" s="30" t="n">
        <v>60</v>
      </c>
      <c r="F1647" s="30" t="n">
        <v>0</v>
      </c>
      <c r="G1647" s="30" t="str">
        <f aca="false">IF(E1647&lt;判定条件!$C$6,"判定不能",IF(F1647&gt;=判定条件!$C$7*E1647,"運転",IF(F1647&lt;=判定条件!$C$8*E1647,"停止","断続")))</f>
        <v>停止</v>
      </c>
      <c r="H1647" s="30" t="n">
        <v>60</v>
      </c>
      <c r="I1647" s="30" t="n">
        <v>0</v>
      </c>
      <c r="J1647" s="30" t="str">
        <f aca="false">IF(H1647&lt;判定条件!$C$6,"判定不能",IF(I1647&gt;=判定条件!$C$7*H1647,"運転",IF(I1647&lt;=判定条件!$C$8*H1647,"停止","断続")))</f>
        <v>停止</v>
      </c>
      <c r="K1647" s="30" t="n">
        <v>60</v>
      </c>
      <c r="L1647" s="30" t="n">
        <v>40</v>
      </c>
      <c r="M1647" s="30" t="str">
        <f aca="false">IF(K1647&lt;判定条件!$C$6,"判定不能",IF(L1647&gt;=判定条件!$C$7*K1647,"運転",IF(L1647&lt;=判定条件!$C$8*K1647,"停止","断続")))</f>
        <v>断続</v>
      </c>
      <c r="N1647" s="30" t="n">
        <v>60</v>
      </c>
      <c r="O1647" s="30" t="n">
        <v>25</v>
      </c>
      <c r="P1647" s="30" t="str">
        <f aca="false">IF(N1647&lt;判定条件!$C$6,"判定不能",IF(O1647&gt;=判定条件!$C$7*N1647,"運転",IF(O1647&lt;=判定条件!$C$8*N1647,"停止","断続")))</f>
        <v>断続</v>
      </c>
      <c r="Q1647" s="30" t="n">
        <v>60</v>
      </c>
      <c r="R1647" s="30" t="n">
        <v>60</v>
      </c>
      <c r="S1647" s="30" t="str">
        <f aca="false">IF(Q1647&lt;判定条件!$C$6,"判定不能",IF(R1647&gt;=判定条件!$C$7*Q1647,"運転",IF(R1647&lt;=判定条件!$C$8*Q1647,"停止","断続")))</f>
        <v>運転</v>
      </c>
      <c r="T1647" s="30" t="n">
        <v>60</v>
      </c>
      <c r="U1647" s="30" t="n">
        <v>59</v>
      </c>
      <c r="V1647" s="30" t="str">
        <f aca="false">IF(T1647&lt;判定条件!$C$6,"判定不能",IF(U1647&gt;=判定条件!$C$7*T1647,"運転",IF(U1647&lt;=判定条件!$C$8*T1647,"停止","断続")))</f>
        <v>運転</v>
      </c>
      <c r="W1647" s="30" t="n">
        <v>60</v>
      </c>
      <c r="X1647" s="30" t="n">
        <v>57</v>
      </c>
      <c r="Y1647" s="30" t="str">
        <f aca="false">IF(W1647&lt;判定条件!$C$6,"判定不能",IF(X1647&gt;=判定条件!$C$7*W1647,"運転",IF(X1647&lt;=判定条件!$C$8*W1647,"停止","断続")))</f>
        <v>運転</v>
      </c>
      <c r="Z1647" s="30" t="n">
        <v>60</v>
      </c>
      <c r="AA1647" s="30" t="n">
        <v>47</v>
      </c>
      <c r="AB1647" s="30" t="str">
        <f aca="false">IF(Z1647&lt;判定条件!$C$6,"判定不能",IF(AA1647&gt;=判定条件!$C$7*Z1647,"運転",IF(AA1647&lt;=判定条件!$C$8*Z1647,"停止","断続")))</f>
        <v>断続</v>
      </c>
      <c r="AC1647" s="30" t="n">
        <v>60</v>
      </c>
      <c r="AD1647" s="30" t="n">
        <v>59</v>
      </c>
      <c r="AE1647" s="30" t="str">
        <f aca="false">IF(AC1647&lt;判定条件!$C$6,"判定不能",IF(AD1647&gt;=判定条件!$C$7*AC1647,"運転",IF(AD1647&lt;=判定条件!$C$8*AC1647,"停止","断続")))</f>
        <v>運転</v>
      </c>
      <c r="AF1647" s="30" t="n">
        <v>60</v>
      </c>
      <c r="AG1647" s="30" t="n">
        <v>0</v>
      </c>
      <c r="AH1647" s="30" t="str">
        <f aca="false">IF(OR(P1647="判定不能",G1647="判定不能"),"判定不能",IF(AG1647&gt;=判定条件!$C$9,"利用可",IF(AND(P1647="停止",G1647="停止"),"両方停止","運転がそろわない")))</f>
        <v>運転がそろわない</v>
      </c>
      <c r="AI1647" s="30" t="n">
        <v>60</v>
      </c>
      <c r="AJ1647" s="30" t="n">
        <v>0</v>
      </c>
      <c r="AK1647" s="30" t="str">
        <f aca="false">IF(OR(S1647="判定不能",J1647="判定不能"),"判定不能",IF(AJ1647&gt;=判定条件!$C$9,"利用可",IF(AND(S1647="停止",J1647="停止"),"両方停止","運転がそろわない")))</f>
        <v>運転がそろわない</v>
      </c>
      <c r="AL1647" s="30" t="n">
        <v>60</v>
      </c>
      <c r="AM1647" s="30" t="n">
        <v>39</v>
      </c>
      <c r="AN1647" s="30" t="str">
        <f aca="false">IF(OR(V1647="判定不能",M1647="判定不能"),"判定不能",IF(AM1647&gt;=判定条件!$C$9,"利用可",IF(AND(V1647="停止",M1647="停止"),"両方停止","運転がそろわない")))</f>
        <v>利用可</v>
      </c>
      <c r="AO1647" s="30" t="n">
        <v>60</v>
      </c>
      <c r="AP1647" s="30" t="n">
        <v>0</v>
      </c>
      <c r="AQ1647" s="30" t="str">
        <f aca="false">IF(OR(Y1647="判定不能",G1647="判定不能"),"判定不能",IF(AP1647&gt;=判定条件!$C$9,"利用可",IF(AND(Y1647="停止",G1647="停止"),"両方停止","運転がそろわない")))</f>
        <v>運転がそろわない</v>
      </c>
      <c r="AR1647" s="30" t="n">
        <v>60</v>
      </c>
      <c r="AS1647" s="30" t="n">
        <v>0</v>
      </c>
      <c r="AT1647" s="30" t="str">
        <f aca="false">IF(OR(AB1647="判定不能",J1647="判定不能"),"判定不能",IF(AS1647&gt;=判定条件!$C$9,"利用可",IF(AND(AB1647="停止",J1647="停止"),"両方停止","運転がそろわない")))</f>
        <v>運転がそろわない</v>
      </c>
      <c r="AU1647" s="30" t="n">
        <v>60</v>
      </c>
      <c r="AV1647" s="30" t="n">
        <v>39</v>
      </c>
      <c r="AW1647" s="30" t="str">
        <f aca="false">IF(OR(AE1647="判定不能",M1647="判定不能"),"判定不能",IF(AV1647&gt;=判定条件!$C$9,"利用可",IF(AND(AE1647="停止",M1647="停止"),"両方停止","運転がそろわない")))</f>
        <v>利用可</v>
      </c>
      <c r="AX1647" s="30" t="str">
        <f aca="false">IF(AND(AH1647="利用可",AK1647="利用可",AN1647="利用可"),"利用可","不可")</f>
        <v>不可</v>
      </c>
      <c r="AY1647" s="30" t="str">
        <f aca="false">IF(AND(AQ1647="利用可",AT1647="利用可",AW1647="利用可"),"利用可","不可")</f>
        <v>不可</v>
      </c>
    </row>
    <row r="1648" customFormat="false" ht="15" hidden="false" customHeight="false" outlineLevel="0" collapsed="false">
      <c r="A1648" s="29" t="n">
        <v>46300</v>
      </c>
      <c r="B1648" s="30" t="n">
        <v>13</v>
      </c>
      <c r="C1648" s="31" t="s">
        <v>66</v>
      </c>
      <c r="D1648" s="31" t="s">
        <v>59</v>
      </c>
      <c r="E1648" s="30" t="n">
        <v>60</v>
      </c>
      <c r="F1648" s="30" t="n">
        <v>0</v>
      </c>
      <c r="G1648" s="30" t="str">
        <f aca="false">IF(E1648&lt;判定条件!$C$6,"判定不能",IF(F1648&gt;=判定条件!$C$7*E1648,"運転",IF(F1648&lt;=判定条件!$C$8*E1648,"停止","断続")))</f>
        <v>停止</v>
      </c>
      <c r="H1648" s="30" t="n">
        <v>60</v>
      </c>
      <c r="I1648" s="30" t="n">
        <v>24</v>
      </c>
      <c r="J1648" s="30" t="str">
        <f aca="false">IF(H1648&lt;判定条件!$C$6,"判定不能",IF(I1648&gt;=判定条件!$C$7*H1648,"運転",IF(I1648&lt;=判定条件!$C$8*H1648,"停止","断続")))</f>
        <v>断続</v>
      </c>
      <c r="K1648" s="30" t="n">
        <v>60</v>
      </c>
      <c r="L1648" s="30" t="n">
        <v>60</v>
      </c>
      <c r="M1648" s="30" t="str">
        <f aca="false">IF(K1648&lt;判定条件!$C$6,"判定不能",IF(L1648&gt;=判定条件!$C$7*K1648,"運転",IF(L1648&lt;=判定条件!$C$8*K1648,"停止","断続")))</f>
        <v>運転</v>
      </c>
      <c r="N1648" s="30" t="n">
        <v>60</v>
      </c>
      <c r="O1648" s="30" t="n">
        <v>11</v>
      </c>
      <c r="P1648" s="30" t="str">
        <f aca="false">IF(N1648&lt;判定条件!$C$6,"判定不能",IF(O1648&gt;=判定条件!$C$7*N1648,"運転",IF(O1648&lt;=判定条件!$C$8*N1648,"停止","断続")))</f>
        <v>停止</v>
      </c>
      <c r="Q1648" s="30" t="n">
        <v>60</v>
      </c>
      <c r="R1648" s="30" t="n">
        <v>46</v>
      </c>
      <c r="S1648" s="30" t="str">
        <f aca="false">IF(Q1648&lt;判定条件!$C$6,"判定不能",IF(R1648&gt;=判定条件!$C$7*Q1648,"運転",IF(R1648&lt;=判定条件!$C$8*Q1648,"停止","断続")))</f>
        <v>断続</v>
      </c>
      <c r="T1648" s="30" t="n">
        <v>60</v>
      </c>
      <c r="U1648" s="30" t="n">
        <v>60</v>
      </c>
      <c r="V1648" s="30" t="str">
        <f aca="false">IF(T1648&lt;判定条件!$C$6,"判定不能",IF(U1648&gt;=判定条件!$C$7*T1648,"運転",IF(U1648&lt;=判定条件!$C$8*T1648,"停止","断続")))</f>
        <v>運転</v>
      </c>
      <c r="W1648" s="30" t="n">
        <v>60</v>
      </c>
      <c r="X1648" s="30" t="n">
        <v>50</v>
      </c>
      <c r="Y1648" s="30" t="str">
        <f aca="false">IF(W1648&lt;判定条件!$C$6,"判定不能",IF(X1648&gt;=判定条件!$C$7*W1648,"運転",IF(X1648&lt;=判定条件!$C$8*W1648,"停止","断続")))</f>
        <v>運転</v>
      </c>
      <c r="Z1648" s="30" t="n">
        <v>60</v>
      </c>
      <c r="AA1648" s="30" t="n">
        <v>51</v>
      </c>
      <c r="AB1648" s="30" t="str">
        <f aca="false">IF(Z1648&lt;判定条件!$C$6,"判定不能",IF(AA1648&gt;=判定条件!$C$7*Z1648,"運転",IF(AA1648&lt;=判定条件!$C$8*Z1648,"停止","断続")))</f>
        <v>運転</v>
      </c>
      <c r="AC1648" s="30" t="n">
        <v>60</v>
      </c>
      <c r="AD1648" s="30" t="n">
        <v>56</v>
      </c>
      <c r="AE1648" s="30" t="str">
        <f aca="false">IF(AC1648&lt;判定条件!$C$6,"判定不能",IF(AD1648&gt;=判定条件!$C$7*AC1648,"運転",IF(AD1648&lt;=判定条件!$C$8*AC1648,"停止","断続")))</f>
        <v>運転</v>
      </c>
      <c r="AF1648" s="30" t="n">
        <v>60</v>
      </c>
      <c r="AG1648" s="30" t="n">
        <v>0</v>
      </c>
      <c r="AH1648" s="30" t="str">
        <f aca="false">IF(OR(P1648="判定不能",G1648="判定不能"),"判定不能",IF(AG1648&gt;=判定条件!$C$9,"利用可",IF(AND(P1648="停止",G1648="停止"),"両方停止","運転がそろわない")))</f>
        <v>両方停止</v>
      </c>
      <c r="AI1648" s="30" t="n">
        <v>60</v>
      </c>
      <c r="AJ1648" s="30" t="n">
        <v>17</v>
      </c>
      <c r="AK1648" s="30" t="str">
        <f aca="false">IF(OR(S1648="判定不能",J1648="判定不能"),"判定不能",IF(AJ1648&gt;=判定条件!$C$9,"利用可",IF(AND(S1648="停止",J1648="停止"),"両方停止","運転がそろわない")))</f>
        <v>運転がそろわない</v>
      </c>
      <c r="AL1648" s="30" t="n">
        <v>60</v>
      </c>
      <c r="AM1648" s="30" t="n">
        <v>60</v>
      </c>
      <c r="AN1648" s="30" t="str">
        <f aca="false">IF(OR(V1648="判定不能",M1648="判定不能"),"判定不能",IF(AM1648&gt;=判定条件!$C$9,"利用可",IF(AND(V1648="停止",M1648="停止"),"両方停止","運転がそろわない")))</f>
        <v>利用可</v>
      </c>
      <c r="AO1648" s="30" t="n">
        <v>60</v>
      </c>
      <c r="AP1648" s="30" t="n">
        <v>0</v>
      </c>
      <c r="AQ1648" s="30" t="str">
        <f aca="false">IF(OR(Y1648="判定不能",G1648="判定不能"),"判定不能",IF(AP1648&gt;=判定条件!$C$9,"利用可",IF(AND(Y1648="停止",G1648="停止"),"両方停止","運転がそろわない")))</f>
        <v>運転がそろわない</v>
      </c>
      <c r="AR1648" s="30" t="n">
        <v>60</v>
      </c>
      <c r="AS1648" s="30" t="n">
        <v>24</v>
      </c>
      <c r="AT1648" s="30" t="str">
        <f aca="false">IF(OR(AB1648="判定不能",J1648="判定不能"),"判定不能",IF(AS1648&gt;=判定条件!$C$9,"利用可",IF(AND(AB1648="停止",J1648="停止"),"両方停止","運転がそろわない")))</f>
        <v>運転がそろわない</v>
      </c>
      <c r="AU1648" s="30" t="n">
        <v>60</v>
      </c>
      <c r="AV1648" s="30" t="n">
        <v>56</v>
      </c>
      <c r="AW1648" s="30" t="str">
        <f aca="false">IF(OR(AE1648="判定不能",M1648="判定不能"),"判定不能",IF(AV1648&gt;=判定条件!$C$9,"利用可",IF(AND(AE1648="停止",M1648="停止"),"両方停止","運転がそろわない")))</f>
        <v>利用可</v>
      </c>
      <c r="AX1648" s="30" t="str">
        <f aca="false">IF(AND(AH1648="利用可",AK1648="利用可",AN1648="利用可"),"利用可","不可")</f>
        <v>不可</v>
      </c>
      <c r="AY1648" s="30" t="str">
        <f aca="false">IF(AND(AQ1648="利用可",AT1648="利用可",AW1648="利用可"),"利用可","不可")</f>
        <v>不可</v>
      </c>
    </row>
    <row r="1649" customFormat="false" ht="15" hidden="false" customHeight="false" outlineLevel="0" collapsed="false">
      <c r="A1649" s="29" t="n">
        <v>46300</v>
      </c>
      <c r="B1649" s="30" t="n">
        <v>14</v>
      </c>
      <c r="C1649" s="31" t="s">
        <v>66</v>
      </c>
      <c r="D1649" s="31" t="s">
        <v>59</v>
      </c>
      <c r="E1649" s="30" t="n">
        <v>60</v>
      </c>
      <c r="F1649" s="30" t="n">
        <v>0</v>
      </c>
      <c r="G1649" s="30" t="str">
        <f aca="false">IF(E1649&lt;判定条件!$C$6,"判定不能",IF(F1649&gt;=判定条件!$C$7*E1649,"運転",IF(F1649&lt;=判定条件!$C$8*E1649,"停止","断続")))</f>
        <v>停止</v>
      </c>
      <c r="H1649" s="30" t="n">
        <v>60</v>
      </c>
      <c r="I1649" s="30" t="n">
        <v>43</v>
      </c>
      <c r="J1649" s="30" t="str">
        <f aca="false">IF(H1649&lt;判定条件!$C$6,"判定不能",IF(I1649&gt;=判定条件!$C$7*H1649,"運転",IF(I1649&lt;=判定条件!$C$8*H1649,"停止","断続")))</f>
        <v>断続</v>
      </c>
      <c r="K1649" s="30" t="n">
        <v>60</v>
      </c>
      <c r="L1649" s="30" t="n">
        <v>60</v>
      </c>
      <c r="M1649" s="30" t="str">
        <f aca="false">IF(K1649&lt;判定条件!$C$6,"判定不能",IF(L1649&gt;=判定条件!$C$7*K1649,"運転",IF(L1649&lt;=判定条件!$C$8*K1649,"停止","断続")))</f>
        <v>運転</v>
      </c>
      <c r="N1649" s="30" t="n">
        <v>60</v>
      </c>
      <c r="O1649" s="30" t="n">
        <v>32</v>
      </c>
      <c r="P1649" s="30" t="str">
        <f aca="false">IF(N1649&lt;判定条件!$C$6,"判定不能",IF(O1649&gt;=判定条件!$C$7*N1649,"運転",IF(O1649&lt;=判定条件!$C$8*N1649,"停止","断続")))</f>
        <v>断続</v>
      </c>
      <c r="Q1649" s="30" t="n">
        <v>60</v>
      </c>
      <c r="R1649" s="30" t="n">
        <v>60</v>
      </c>
      <c r="S1649" s="30" t="str">
        <f aca="false">IF(Q1649&lt;判定条件!$C$6,"判定不能",IF(R1649&gt;=判定条件!$C$7*Q1649,"運転",IF(R1649&lt;=判定条件!$C$8*Q1649,"停止","断続")))</f>
        <v>運転</v>
      </c>
      <c r="T1649" s="30" t="n">
        <v>60</v>
      </c>
      <c r="U1649" s="30" t="n">
        <v>60</v>
      </c>
      <c r="V1649" s="30" t="str">
        <f aca="false">IF(T1649&lt;判定条件!$C$6,"判定不能",IF(U1649&gt;=判定条件!$C$7*T1649,"運転",IF(U1649&lt;=判定条件!$C$8*T1649,"停止","断続")))</f>
        <v>運転</v>
      </c>
      <c r="W1649" s="30" t="n">
        <v>60</v>
      </c>
      <c r="X1649" s="30" t="n">
        <v>57</v>
      </c>
      <c r="Y1649" s="30" t="str">
        <f aca="false">IF(W1649&lt;判定条件!$C$6,"判定不能",IF(X1649&gt;=判定条件!$C$7*W1649,"運転",IF(X1649&lt;=判定条件!$C$8*W1649,"停止","断続")))</f>
        <v>運転</v>
      </c>
      <c r="Z1649" s="30" t="n">
        <v>60</v>
      </c>
      <c r="AA1649" s="30" t="n">
        <v>60</v>
      </c>
      <c r="AB1649" s="30" t="str">
        <f aca="false">IF(Z1649&lt;判定条件!$C$6,"判定不能",IF(AA1649&gt;=判定条件!$C$7*Z1649,"運転",IF(AA1649&lt;=判定条件!$C$8*Z1649,"停止","断続")))</f>
        <v>運転</v>
      </c>
      <c r="AC1649" s="30" t="n">
        <v>60</v>
      </c>
      <c r="AD1649" s="30" t="n">
        <v>49</v>
      </c>
      <c r="AE1649" s="30" t="str">
        <f aca="false">IF(AC1649&lt;判定条件!$C$6,"判定不能",IF(AD1649&gt;=判定条件!$C$7*AC1649,"運転",IF(AD1649&lt;=判定条件!$C$8*AC1649,"停止","断続")))</f>
        <v>運転</v>
      </c>
      <c r="AF1649" s="30" t="n">
        <v>60</v>
      </c>
      <c r="AG1649" s="30" t="n">
        <v>0</v>
      </c>
      <c r="AH1649" s="30" t="str">
        <f aca="false">IF(OR(P1649="判定不能",G1649="判定不能"),"判定不能",IF(AG1649&gt;=判定条件!$C$9,"利用可",IF(AND(P1649="停止",G1649="停止"),"両方停止","運転がそろわない")))</f>
        <v>運転がそろわない</v>
      </c>
      <c r="AI1649" s="30" t="n">
        <v>60</v>
      </c>
      <c r="AJ1649" s="30" t="n">
        <v>43</v>
      </c>
      <c r="AK1649" s="30" t="str">
        <f aca="false">IF(OR(S1649="判定不能",J1649="判定不能"),"判定不能",IF(AJ1649&gt;=判定条件!$C$9,"利用可",IF(AND(S1649="停止",J1649="停止"),"両方停止","運転がそろわない")))</f>
        <v>利用可</v>
      </c>
      <c r="AL1649" s="30" t="n">
        <v>60</v>
      </c>
      <c r="AM1649" s="30" t="n">
        <v>60</v>
      </c>
      <c r="AN1649" s="30" t="str">
        <f aca="false">IF(OR(V1649="判定不能",M1649="判定不能"),"判定不能",IF(AM1649&gt;=判定条件!$C$9,"利用可",IF(AND(V1649="停止",M1649="停止"),"両方停止","運転がそろわない")))</f>
        <v>利用可</v>
      </c>
      <c r="AO1649" s="30" t="n">
        <v>60</v>
      </c>
      <c r="AP1649" s="30" t="n">
        <v>0</v>
      </c>
      <c r="AQ1649" s="30" t="str">
        <f aca="false">IF(OR(Y1649="判定不能",G1649="判定不能"),"判定不能",IF(AP1649&gt;=判定条件!$C$9,"利用可",IF(AND(Y1649="停止",G1649="停止"),"両方停止","運転がそろわない")))</f>
        <v>運転がそろわない</v>
      </c>
      <c r="AR1649" s="30" t="n">
        <v>60</v>
      </c>
      <c r="AS1649" s="30" t="n">
        <v>43</v>
      </c>
      <c r="AT1649" s="30" t="str">
        <f aca="false">IF(OR(AB1649="判定不能",J1649="判定不能"),"判定不能",IF(AS1649&gt;=判定条件!$C$9,"利用可",IF(AND(AB1649="停止",J1649="停止"),"両方停止","運転がそろわない")))</f>
        <v>利用可</v>
      </c>
      <c r="AU1649" s="30" t="n">
        <v>60</v>
      </c>
      <c r="AV1649" s="30" t="n">
        <v>49</v>
      </c>
      <c r="AW1649" s="30" t="str">
        <f aca="false">IF(OR(AE1649="判定不能",M1649="判定不能"),"判定不能",IF(AV1649&gt;=判定条件!$C$9,"利用可",IF(AND(AE1649="停止",M1649="停止"),"両方停止","運転がそろわない")))</f>
        <v>利用可</v>
      </c>
      <c r="AX1649" s="30" t="str">
        <f aca="false">IF(AND(AH1649="利用可",AK1649="利用可",AN1649="利用可"),"利用可","不可")</f>
        <v>不可</v>
      </c>
      <c r="AY1649" s="30" t="str">
        <f aca="false">IF(AND(AQ1649="利用可",AT1649="利用可",AW1649="利用可"),"利用可","不可")</f>
        <v>不可</v>
      </c>
    </row>
    <row r="1650" customFormat="false" ht="15" hidden="false" customHeight="false" outlineLevel="0" collapsed="false">
      <c r="A1650" s="29" t="n">
        <v>46300</v>
      </c>
      <c r="B1650" s="30" t="n">
        <v>15</v>
      </c>
      <c r="C1650" s="31" t="s">
        <v>66</v>
      </c>
      <c r="D1650" s="31" t="s">
        <v>59</v>
      </c>
      <c r="E1650" s="30" t="n">
        <v>60</v>
      </c>
      <c r="F1650" s="30" t="n">
        <v>0</v>
      </c>
      <c r="G1650" s="30" t="str">
        <f aca="false">IF(E1650&lt;判定条件!$C$6,"判定不能",IF(F1650&gt;=判定条件!$C$7*E1650,"運転",IF(F1650&lt;=判定条件!$C$8*E1650,"停止","断続")))</f>
        <v>停止</v>
      </c>
      <c r="H1650" s="30" t="n">
        <v>60</v>
      </c>
      <c r="I1650" s="30" t="n">
        <v>22</v>
      </c>
      <c r="J1650" s="30" t="str">
        <f aca="false">IF(H1650&lt;判定条件!$C$6,"判定不能",IF(I1650&gt;=判定条件!$C$7*H1650,"運転",IF(I1650&lt;=判定条件!$C$8*H1650,"停止","断続")))</f>
        <v>断続</v>
      </c>
      <c r="K1650" s="30" t="n">
        <v>60</v>
      </c>
      <c r="L1650" s="30" t="n">
        <v>60</v>
      </c>
      <c r="M1650" s="30" t="str">
        <f aca="false">IF(K1650&lt;判定条件!$C$6,"判定不能",IF(L1650&gt;=判定条件!$C$7*K1650,"運転",IF(L1650&lt;=判定条件!$C$8*K1650,"停止","断続")))</f>
        <v>運転</v>
      </c>
      <c r="N1650" s="30" t="n">
        <v>60</v>
      </c>
      <c r="O1650" s="30" t="n">
        <v>0</v>
      </c>
      <c r="P1650" s="30" t="str">
        <f aca="false">IF(N1650&lt;判定条件!$C$6,"判定不能",IF(O1650&gt;=判定条件!$C$7*N1650,"運転",IF(O1650&lt;=判定条件!$C$8*N1650,"停止","断続")))</f>
        <v>停止</v>
      </c>
      <c r="Q1650" s="30" t="n">
        <v>60</v>
      </c>
      <c r="R1650" s="30" t="n">
        <v>21</v>
      </c>
      <c r="S1650" s="30" t="str">
        <f aca="false">IF(Q1650&lt;判定条件!$C$6,"判定不能",IF(R1650&gt;=判定条件!$C$7*Q1650,"運転",IF(R1650&lt;=判定条件!$C$8*Q1650,"停止","断続")))</f>
        <v>断続</v>
      </c>
      <c r="T1650" s="30" t="n">
        <v>60</v>
      </c>
      <c r="U1650" s="30" t="n">
        <v>60</v>
      </c>
      <c r="V1650" s="30" t="str">
        <f aca="false">IF(T1650&lt;判定条件!$C$6,"判定不能",IF(U1650&gt;=判定条件!$C$7*T1650,"運転",IF(U1650&lt;=判定条件!$C$8*T1650,"停止","断続")))</f>
        <v>運転</v>
      </c>
      <c r="W1650" s="30" t="n">
        <v>60</v>
      </c>
      <c r="X1650" s="30" t="n">
        <v>44</v>
      </c>
      <c r="Y1650" s="30" t="str">
        <f aca="false">IF(W1650&lt;判定条件!$C$6,"判定不能",IF(X1650&gt;=判定条件!$C$7*W1650,"運転",IF(X1650&lt;=判定条件!$C$8*W1650,"停止","断続")))</f>
        <v>断続</v>
      </c>
      <c r="Z1650" s="30" t="n">
        <v>60</v>
      </c>
      <c r="AA1650" s="30" t="n">
        <v>50</v>
      </c>
      <c r="AB1650" s="30" t="str">
        <f aca="false">IF(Z1650&lt;判定条件!$C$6,"判定不能",IF(AA1650&gt;=判定条件!$C$7*Z1650,"運転",IF(AA1650&lt;=判定条件!$C$8*Z1650,"停止","断続")))</f>
        <v>運転</v>
      </c>
      <c r="AC1650" s="30" t="n">
        <v>60</v>
      </c>
      <c r="AD1650" s="30" t="n">
        <v>20</v>
      </c>
      <c r="AE1650" s="30" t="str">
        <f aca="false">IF(AC1650&lt;判定条件!$C$6,"判定不能",IF(AD1650&gt;=判定条件!$C$7*AC1650,"運転",IF(AD1650&lt;=判定条件!$C$8*AC1650,"停止","断続")))</f>
        <v>断続</v>
      </c>
      <c r="AF1650" s="30" t="n">
        <v>60</v>
      </c>
      <c r="AG1650" s="30" t="n">
        <v>0</v>
      </c>
      <c r="AH1650" s="30" t="str">
        <f aca="false">IF(OR(P1650="判定不能",G1650="判定不能"),"判定不能",IF(AG1650&gt;=判定条件!$C$9,"利用可",IF(AND(P1650="停止",G1650="停止"),"両方停止","運転がそろわない")))</f>
        <v>両方停止</v>
      </c>
      <c r="AI1650" s="30" t="n">
        <v>60</v>
      </c>
      <c r="AJ1650" s="30" t="n">
        <v>11</v>
      </c>
      <c r="AK1650" s="30" t="str">
        <f aca="false">IF(OR(S1650="判定不能",J1650="判定不能"),"判定不能",IF(AJ1650&gt;=判定条件!$C$9,"利用可",IF(AND(S1650="停止",J1650="停止"),"両方停止","運転がそろわない")))</f>
        <v>運転がそろわない</v>
      </c>
      <c r="AL1650" s="30" t="n">
        <v>60</v>
      </c>
      <c r="AM1650" s="30" t="n">
        <v>60</v>
      </c>
      <c r="AN1650" s="30" t="str">
        <f aca="false">IF(OR(V1650="判定不能",M1650="判定不能"),"判定不能",IF(AM1650&gt;=判定条件!$C$9,"利用可",IF(AND(V1650="停止",M1650="停止"),"両方停止","運転がそろわない")))</f>
        <v>利用可</v>
      </c>
      <c r="AO1650" s="30" t="n">
        <v>60</v>
      </c>
      <c r="AP1650" s="30" t="n">
        <v>0</v>
      </c>
      <c r="AQ1650" s="30" t="str">
        <f aca="false">IF(OR(Y1650="判定不能",G1650="判定不能"),"判定不能",IF(AP1650&gt;=判定条件!$C$9,"利用可",IF(AND(Y1650="停止",G1650="停止"),"両方停止","運転がそろわない")))</f>
        <v>運転がそろわない</v>
      </c>
      <c r="AR1650" s="30" t="n">
        <v>60</v>
      </c>
      <c r="AS1650" s="30" t="n">
        <v>17</v>
      </c>
      <c r="AT1650" s="30" t="str">
        <f aca="false">IF(OR(AB1650="判定不能",J1650="判定不能"),"判定不能",IF(AS1650&gt;=判定条件!$C$9,"利用可",IF(AND(AB1650="停止",J1650="停止"),"両方停止","運転がそろわない")))</f>
        <v>運転がそろわない</v>
      </c>
      <c r="AU1650" s="30" t="n">
        <v>60</v>
      </c>
      <c r="AV1650" s="30" t="n">
        <v>20</v>
      </c>
      <c r="AW1650" s="30" t="str">
        <f aca="false">IF(OR(AE1650="判定不能",M1650="判定不能"),"判定不能",IF(AV1650&gt;=判定条件!$C$9,"利用可",IF(AND(AE1650="停止",M1650="停止"),"両方停止","運転がそろわない")))</f>
        <v>運転がそろわない</v>
      </c>
      <c r="AX1650" s="30" t="str">
        <f aca="false">IF(AND(AH1650="利用可",AK1650="利用可",AN1650="利用可"),"利用可","不可")</f>
        <v>不可</v>
      </c>
      <c r="AY1650" s="30" t="str">
        <f aca="false">IF(AND(AQ1650="利用可",AT1650="利用可",AW1650="利用可"),"利用可","不可")</f>
        <v>不可</v>
      </c>
    </row>
    <row r="1651" customFormat="false" ht="15" hidden="false" customHeight="false" outlineLevel="0" collapsed="false">
      <c r="A1651" s="29" t="n">
        <v>46300</v>
      </c>
      <c r="B1651" s="30" t="n">
        <v>16</v>
      </c>
      <c r="C1651" s="31" t="s">
        <v>66</v>
      </c>
      <c r="D1651" s="31" t="s">
        <v>59</v>
      </c>
      <c r="E1651" s="30" t="n">
        <v>60</v>
      </c>
      <c r="F1651" s="30" t="n">
        <v>0</v>
      </c>
      <c r="G1651" s="30" t="str">
        <f aca="false">IF(E1651&lt;判定条件!$C$6,"判定不能",IF(F1651&gt;=判定条件!$C$7*E1651,"運転",IF(F1651&lt;=判定条件!$C$8*E1651,"停止","断続")))</f>
        <v>停止</v>
      </c>
      <c r="H1651" s="30" t="n">
        <v>60</v>
      </c>
      <c r="I1651" s="30" t="n">
        <v>33</v>
      </c>
      <c r="J1651" s="30" t="str">
        <f aca="false">IF(H1651&lt;判定条件!$C$6,"判定不能",IF(I1651&gt;=判定条件!$C$7*H1651,"運転",IF(I1651&lt;=判定条件!$C$8*H1651,"停止","断続")))</f>
        <v>断続</v>
      </c>
      <c r="K1651" s="30" t="n">
        <v>60</v>
      </c>
      <c r="L1651" s="30" t="n">
        <v>41</v>
      </c>
      <c r="M1651" s="30" t="str">
        <f aca="false">IF(K1651&lt;判定条件!$C$6,"判定不能",IF(L1651&gt;=判定条件!$C$7*K1651,"運転",IF(L1651&lt;=判定条件!$C$8*K1651,"停止","断続")))</f>
        <v>断続</v>
      </c>
      <c r="N1651" s="30" t="n">
        <v>60</v>
      </c>
      <c r="O1651" s="30" t="n">
        <v>34</v>
      </c>
      <c r="P1651" s="30" t="str">
        <f aca="false">IF(N1651&lt;判定条件!$C$6,"判定不能",IF(O1651&gt;=判定条件!$C$7*N1651,"運転",IF(O1651&lt;=判定条件!$C$8*N1651,"停止","断続")))</f>
        <v>断続</v>
      </c>
      <c r="Q1651" s="30" t="n">
        <v>60</v>
      </c>
      <c r="R1651" s="30" t="n">
        <v>44</v>
      </c>
      <c r="S1651" s="30" t="str">
        <f aca="false">IF(Q1651&lt;判定条件!$C$6,"判定不能",IF(R1651&gt;=判定条件!$C$7*Q1651,"運転",IF(R1651&lt;=判定条件!$C$8*Q1651,"停止","断続")))</f>
        <v>断続</v>
      </c>
      <c r="T1651" s="30" t="n">
        <v>60</v>
      </c>
      <c r="U1651" s="30" t="n">
        <v>45</v>
      </c>
      <c r="V1651" s="30" t="str">
        <f aca="false">IF(T1651&lt;判定条件!$C$6,"判定不能",IF(U1651&gt;=判定条件!$C$7*T1651,"運転",IF(U1651&lt;=判定条件!$C$8*T1651,"停止","断続")))</f>
        <v>断続</v>
      </c>
      <c r="W1651" s="30" t="n">
        <v>60</v>
      </c>
      <c r="X1651" s="30" t="n">
        <v>54</v>
      </c>
      <c r="Y1651" s="30" t="str">
        <f aca="false">IF(W1651&lt;判定条件!$C$6,"判定不能",IF(X1651&gt;=判定条件!$C$7*W1651,"運転",IF(X1651&lt;=判定条件!$C$8*W1651,"停止","断続")))</f>
        <v>運転</v>
      </c>
      <c r="Z1651" s="30" t="n">
        <v>60</v>
      </c>
      <c r="AA1651" s="30" t="n">
        <v>60</v>
      </c>
      <c r="AB1651" s="30" t="str">
        <f aca="false">IF(Z1651&lt;判定条件!$C$6,"判定不能",IF(AA1651&gt;=判定条件!$C$7*Z1651,"運転",IF(AA1651&lt;=判定条件!$C$8*Z1651,"停止","断続")))</f>
        <v>運転</v>
      </c>
      <c r="AC1651" s="30" t="n">
        <v>60</v>
      </c>
      <c r="AD1651" s="30" t="n">
        <v>23</v>
      </c>
      <c r="AE1651" s="30" t="str">
        <f aca="false">IF(AC1651&lt;判定条件!$C$6,"判定不能",IF(AD1651&gt;=判定条件!$C$7*AC1651,"運転",IF(AD1651&lt;=判定条件!$C$8*AC1651,"停止","断続")))</f>
        <v>断続</v>
      </c>
      <c r="AF1651" s="30" t="n">
        <v>60</v>
      </c>
      <c r="AG1651" s="30" t="n">
        <v>0</v>
      </c>
      <c r="AH1651" s="30" t="str">
        <f aca="false">IF(OR(P1651="判定不能",G1651="判定不能"),"判定不能",IF(AG1651&gt;=判定条件!$C$9,"利用可",IF(AND(P1651="停止",G1651="停止"),"両方停止","運転がそろわない")))</f>
        <v>運転がそろわない</v>
      </c>
      <c r="AI1651" s="30" t="n">
        <v>60</v>
      </c>
      <c r="AJ1651" s="30" t="n">
        <v>32</v>
      </c>
      <c r="AK1651" s="30" t="str">
        <f aca="false">IF(OR(S1651="判定不能",J1651="判定不能"),"判定不能",IF(AJ1651&gt;=判定条件!$C$9,"利用可",IF(AND(S1651="停止",J1651="停止"),"両方停止","運転がそろわない")))</f>
        <v>利用可</v>
      </c>
      <c r="AL1651" s="30" t="n">
        <v>60</v>
      </c>
      <c r="AM1651" s="30" t="n">
        <v>26</v>
      </c>
      <c r="AN1651" s="30" t="str">
        <f aca="false">IF(OR(V1651="判定不能",M1651="判定不能"),"判定不能",IF(AM1651&gt;=判定条件!$C$9,"利用可",IF(AND(V1651="停止",M1651="停止"),"両方停止","運転がそろわない")))</f>
        <v>運転がそろわない</v>
      </c>
      <c r="AO1651" s="30" t="n">
        <v>60</v>
      </c>
      <c r="AP1651" s="30" t="n">
        <v>0</v>
      </c>
      <c r="AQ1651" s="30" t="str">
        <f aca="false">IF(OR(Y1651="判定不能",G1651="判定不能"),"判定不能",IF(AP1651&gt;=判定条件!$C$9,"利用可",IF(AND(Y1651="停止",G1651="停止"),"両方停止","運転がそろわない")))</f>
        <v>運転がそろわない</v>
      </c>
      <c r="AR1651" s="30" t="n">
        <v>60</v>
      </c>
      <c r="AS1651" s="30" t="n">
        <v>33</v>
      </c>
      <c r="AT1651" s="30" t="str">
        <f aca="false">IF(OR(AB1651="判定不能",J1651="判定不能"),"判定不能",IF(AS1651&gt;=判定条件!$C$9,"利用可",IF(AND(AB1651="停止",J1651="停止"),"両方停止","運転がそろわない")))</f>
        <v>利用可</v>
      </c>
      <c r="AU1651" s="30" t="n">
        <v>60</v>
      </c>
      <c r="AV1651" s="30" t="n">
        <v>20</v>
      </c>
      <c r="AW1651" s="30" t="str">
        <f aca="false">IF(OR(AE1651="判定不能",M1651="判定不能"),"判定不能",IF(AV1651&gt;=判定条件!$C$9,"利用可",IF(AND(AE1651="停止",M1651="停止"),"両方停止","運転がそろわない")))</f>
        <v>運転がそろわない</v>
      </c>
      <c r="AX1651" s="30" t="str">
        <f aca="false">IF(AND(AH1651="利用可",AK1651="利用可",AN1651="利用可"),"利用可","不可")</f>
        <v>不可</v>
      </c>
      <c r="AY1651" s="30" t="str">
        <f aca="false">IF(AND(AQ1651="利用可",AT1651="利用可",AW1651="利用可"),"利用可","不可")</f>
        <v>不可</v>
      </c>
    </row>
    <row r="1652" customFormat="false" ht="15" hidden="false" customHeight="false" outlineLevel="0" collapsed="false">
      <c r="A1652" s="29" t="n">
        <v>46300</v>
      </c>
      <c r="B1652" s="30" t="n">
        <v>17</v>
      </c>
      <c r="C1652" s="31" t="s">
        <v>66</v>
      </c>
      <c r="D1652" s="31" t="s">
        <v>59</v>
      </c>
      <c r="E1652" s="30" t="n">
        <v>60</v>
      </c>
      <c r="F1652" s="30" t="n">
        <v>0</v>
      </c>
      <c r="G1652" s="30" t="str">
        <f aca="false">IF(E1652&lt;判定条件!$C$6,"判定不能",IF(F1652&gt;=判定条件!$C$7*E1652,"運転",IF(F1652&lt;=判定条件!$C$8*E1652,"停止","断続")))</f>
        <v>停止</v>
      </c>
      <c r="H1652" s="30" t="n">
        <v>60</v>
      </c>
      <c r="I1652" s="30" t="n">
        <v>38</v>
      </c>
      <c r="J1652" s="30" t="str">
        <f aca="false">IF(H1652&lt;判定条件!$C$6,"判定不能",IF(I1652&gt;=判定条件!$C$7*H1652,"運転",IF(I1652&lt;=判定条件!$C$8*H1652,"停止","断続")))</f>
        <v>断続</v>
      </c>
      <c r="K1652" s="30" t="n">
        <v>60</v>
      </c>
      <c r="L1652" s="30" t="n">
        <v>14</v>
      </c>
      <c r="M1652" s="30" t="str">
        <f aca="false">IF(K1652&lt;判定条件!$C$6,"判定不能",IF(L1652&gt;=判定条件!$C$7*K1652,"運転",IF(L1652&lt;=判定条件!$C$8*K1652,"停止","断続")))</f>
        <v>断続</v>
      </c>
      <c r="N1652" s="30" t="n">
        <v>60</v>
      </c>
      <c r="O1652" s="30" t="n">
        <v>6</v>
      </c>
      <c r="P1652" s="30" t="str">
        <f aca="false">IF(N1652&lt;判定条件!$C$6,"判定不能",IF(O1652&gt;=判定条件!$C$7*N1652,"運転",IF(O1652&lt;=判定条件!$C$8*N1652,"停止","断続")))</f>
        <v>停止</v>
      </c>
      <c r="Q1652" s="30" t="n">
        <v>60</v>
      </c>
      <c r="R1652" s="30" t="n">
        <v>45</v>
      </c>
      <c r="S1652" s="30" t="str">
        <f aca="false">IF(Q1652&lt;判定条件!$C$6,"判定不能",IF(R1652&gt;=判定条件!$C$7*Q1652,"運転",IF(R1652&lt;=判定条件!$C$8*Q1652,"停止","断続")))</f>
        <v>断続</v>
      </c>
      <c r="T1652" s="30" t="n">
        <v>60</v>
      </c>
      <c r="U1652" s="30" t="n">
        <v>44</v>
      </c>
      <c r="V1652" s="30" t="str">
        <f aca="false">IF(T1652&lt;判定条件!$C$6,"判定不能",IF(U1652&gt;=判定条件!$C$7*T1652,"運転",IF(U1652&lt;=判定条件!$C$8*T1652,"停止","断続")))</f>
        <v>断続</v>
      </c>
      <c r="W1652" s="30" t="n">
        <v>60</v>
      </c>
      <c r="X1652" s="30" t="n">
        <v>33</v>
      </c>
      <c r="Y1652" s="30" t="str">
        <f aca="false">IF(W1652&lt;判定条件!$C$6,"判定不能",IF(X1652&gt;=判定条件!$C$7*W1652,"運転",IF(X1652&lt;=判定条件!$C$8*W1652,"停止","断続")))</f>
        <v>断続</v>
      </c>
      <c r="Z1652" s="30" t="n">
        <v>60</v>
      </c>
      <c r="AA1652" s="30" t="n">
        <v>50</v>
      </c>
      <c r="AB1652" s="30" t="str">
        <f aca="false">IF(Z1652&lt;判定条件!$C$6,"判定不能",IF(AA1652&gt;=判定条件!$C$7*Z1652,"運転",IF(AA1652&lt;=判定条件!$C$8*Z1652,"停止","断続")))</f>
        <v>運転</v>
      </c>
      <c r="AC1652" s="30" t="n">
        <v>60</v>
      </c>
      <c r="AD1652" s="30" t="n">
        <v>43</v>
      </c>
      <c r="AE1652" s="30" t="str">
        <f aca="false">IF(AC1652&lt;判定条件!$C$6,"判定不能",IF(AD1652&gt;=判定条件!$C$7*AC1652,"運転",IF(AD1652&lt;=判定条件!$C$8*AC1652,"停止","断続")))</f>
        <v>断続</v>
      </c>
      <c r="AF1652" s="30" t="n">
        <v>60</v>
      </c>
      <c r="AG1652" s="30" t="n">
        <v>0</v>
      </c>
      <c r="AH1652" s="30" t="str">
        <f aca="false">IF(OR(P1652="判定不能",G1652="判定不能"),"判定不能",IF(AG1652&gt;=判定条件!$C$9,"利用可",IF(AND(P1652="停止",G1652="停止"),"両方停止","運転がそろわない")))</f>
        <v>両方停止</v>
      </c>
      <c r="AI1652" s="30" t="n">
        <v>60</v>
      </c>
      <c r="AJ1652" s="30" t="n">
        <v>27</v>
      </c>
      <c r="AK1652" s="30" t="str">
        <f aca="false">IF(OR(S1652="判定不能",J1652="判定不能"),"判定不能",IF(AJ1652&gt;=判定条件!$C$9,"利用可",IF(AND(S1652="停止",J1652="停止"),"両方停止","運転がそろわない")))</f>
        <v>運転がそろわない</v>
      </c>
      <c r="AL1652" s="30" t="n">
        <v>60</v>
      </c>
      <c r="AM1652" s="30" t="n">
        <v>14</v>
      </c>
      <c r="AN1652" s="30" t="str">
        <f aca="false">IF(OR(V1652="判定不能",M1652="判定不能"),"判定不能",IF(AM1652&gt;=判定条件!$C$9,"利用可",IF(AND(V1652="停止",M1652="停止"),"両方停止","運転がそろわない")))</f>
        <v>運転がそろわない</v>
      </c>
      <c r="AO1652" s="30" t="n">
        <v>60</v>
      </c>
      <c r="AP1652" s="30" t="n">
        <v>0</v>
      </c>
      <c r="AQ1652" s="30" t="str">
        <f aca="false">IF(OR(Y1652="判定不能",G1652="判定不能"),"判定不能",IF(AP1652&gt;=判定条件!$C$9,"利用可",IF(AND(Y1652="停止",G1652="停止"),"両方停止","運転がそろわない")))</f>
        <v>運転がそろわない</v>
      </c>
      <c r="AR1652" s="30" t="n">
        <v>60</v>
      </c>
      <c r="AS1652" s="30" t="n">
        <v>28</v>
      </c>
      <c r="AT1652" s="30" t="str">
        <f aca="false">IF(OR(AB1652="判定不能",J1652="判定不能"),"判定不能",IF(AS1652&gt;=判定条件!$C$9,"利用可",IF(AND(AB1652="停止",J1652="停止"),"両方停止","運転がそろわない")))</f>
        <v>運転がそろわない</v>
      </c>
      <c r="AU1652" s="30" t="n">
        <v>60</v>
      </c>
      <c r="AV1652" s="30" t="n">
        <v>14</v>
      </c>
      <c r="AW1652" s="30" t="str">
        <f aca="false">IF(OR(AE1652="判定不能",M1652="判定不能"),"判定不能",IF(AV1652&gt;=判定条件!$C$9,"利用可",IF(AND(AE1652="停止",M1652="停止"),"両方停止","運転がそろわない")))</f>
        <v>運転がそろわない</v>
      </c>
      <c r="AX1652" s="30" t="str">
        <f aca="false">IF(AND(AH1652="利用可",AK1652="利用可",AN1652="利用可"),"利用可","不可")</f>
        <v>不可</v>
      </c>
      <c r="AY1652" s="30" t="str">
        <f aca="false">IF(AND(AQ1652="利用可",AT1652="利用可",AW1652="利用可"),"利用可","不可")</f>
        <v>不可</v>
      </c>
    </row>
    <row r="1653" customFormat="false" ht="15" hidden="false" customHeight="false" outlineLevel="0" collapsed="false">
      <c r="A1653" s="29" t="n">
        <v>46300</v>
      </c>
      <c r="B1653" s="30" t="n">
        <v>18</v>
      </c>
      <c r="C1653" s="31" t="s">
        <v>66</v>
      </c>
      <c r="D1653" s="31" t="s">
        <v>59</v>
      </c>
      <c r="E1653" s="30" t="n">
        <v>60</v>
      </c>
      <c r="F1653" s="30" t="n">
        <v>0</v>
      </c>
      <c r="G1653" s="30" t="str">
        <f aca="false">IF(E1653&lt;判定条件!$C$6,"判定不能",IF(F1653&gt;=判定条件!$C$7*E1653,"運転",IF(F1653&lt;=判定条件!$C$8*E1653,"停止","断続")))</f>
        <v>停止</v>
      </c>
      <c r="H1653" s="30" t="n">
        <v>60</v>
      </c>
      <c r="I1653" s="30" t="n">
        <v>18</v>
      </c>
      <c r="J1653" s="30" t="str">
        <f aca="false">IF(H1653&lt;判定条件!$C$6,"判定不能",IF(I1653&gt;=判定条件!$C$7*H1653,"運転",IF(I1653&lt;=判定条件!$C$8*H1653,"停止","断続")))</f>
        <v>断続</v>
      </c>
      <c r="K1653" s="30" t="n">
        <v>60</v>
      </c>
      <c r="L1653" s="30" t="n">
        <v>38</v>
      </c>
      <c r="M1653" s="30" t="str">
        <f aca="false">IF(K1653&lt;判定条件!$C$6,"判定不能",IF(L1653&gt;=判定条件!$C$7*K1653,"運転",IF(L1653&lt;=判定条件!$C$8*K1653,"停止","断続")))</f>
        <v>断続</v>
      </c>
      <c r="N1653" s="30" t="n">
        <v>60</v>
      </c>
      <c r="O1653" s="30" t="n">
        <v>4</v>
      </c>
      <c r="P1653" s="30" t="str">
        <f aca="false">IF(N1653&lt;判定条件!$C$6,"判定不能",IF(O1653&gt;=判定条件!$C$7*N1653,"運転",IF(O1653&lt;=判定条件!$C$8*N1653,"停止","断続")))</f>
        <v>停止</v>
      </c>
      <c r="Q1653" s="30" t="n">
        <v>60</v>
      </c>
      <c r="R1653" s="30" t="n">
        <v>6</v>
      </c>
      <c r="S1653" s="30" t="str">
        <f aca="false">IF(Q1653&lt;判定条件!$C$6,"判定不能",IF(R1653&gt;=判定条件!$C$7*Q1653,"運転",IF(R1653&lt;=判定条件!$C$8*Q1653,"停止","断続")))</f>
        <v>停止</v>
      </c>
      <c r="T1653" s="30" t="n">
        <v>60</v>
      </c>
      <c r="U1653" s="30" t="n">
        <v>0</v>
      </c>
      <c r="V1653" s="30" t="str">
        <f aca="false">IF(T1653&lt;判定条件!$C$6,"判定不能",IF(U1653&gt;=判定条件!$C$7*T1653,"運転",IF(U1653&lt;=判定条件!$C$8*T1653,"停止","断続")))</f>
        <v>停止</v>
      </c>
      <c r="W1653" s="30" t="n">
        <v>60</v>
      </c>
      <c r="X1653" s="30" t="n">
        <v>10</v>
      </c>
      <c r="Y1653" s="30" t="str">
        <f aca="false">IF(W1653&lt;判定条件!$C$6,"判定不能",IF(X1653&gt;=判定条件!$C$7*W1653,"運転",IF(X1653&lt;=判定条件!$C$8*W1653,"停止","断続")))</f>
        <v>停止</v>
      </c>
      <c r="Z1653" s="30" t="n">
        <v>60</v>
      </c>
      <c r="AA1653" s="30" t="n">
        <v>27</v>
      </c>
      <c r="AB1653" s="30" t="str">
        <f aca="false">IF(Z1653&lt;判定条件!$C$6,"判定不能",IF(AA1653&gt;=判定条件!$C$7*Z1653,"運転",IF(AA1653&lt;=判定条件!$C$8*Z1653,"停止","断続")))</f>
        <v>断続</v>
      </c>
      <c r="AC1653" s="30" t="n">
        <v>60</v>
      </c>
      <c r="AD1653" s="30" t="n">
        <v>40</v>
      </c>
      <c r="AE1653" s="30" t="str">
        <f aca="false">IF(AC1653&lt;判定条件!$C$6,"判定不能",IF(AD1653&gt;=判定条件!$C$7*AC1653,"運転",IF(AD1653&lt;=判定条件!$C$8*AC1653,"停止","断続")))</f>
        <v>断続</v>
      </c>
      <c r="AF1653" s="30" t="n">
        <v>60</v>
      </c>
      <c r="AG1653" s="30" t="n">
        <v>0</v>
      </c>
      <c r="AH1653" s="30" t="str">
        <f aca="false">IF(OR(P1653="判定不能",G1653="判定不能"),"判定不能",IF(AG1653&gt;=判定条件!$C$9,"利用可",IF(AND(P1653="停止",G1653="停止"),"両方停止","運転がそろわない")))</f>
        <v>両方停止</v>
      </c>
      <c r="AI1653" s="30" t="n">
        <v>60</v>
      </c>
      <c r="AJ1653" s="30" t="n">
        <v>1</v>
      </c>
      <c r="AK1653" s="30" t="str">
        <f aca="false">IF(OR(S1653="判定不能",J1653="判定不能"),"判定不能",IF(AJ1653&gt;=判定条件!$C$9,"利用可",IF(AND(S1653="停止",J1653="停止"),"両方停止","運転がそろわない")))</f>
        <v>運転がそろわない</v>
      </c>
      <c r="AL1653" s="30" t="n">
        <v>60</v>
      </c>
      <c r="AM1653" s="30" t="n">
        <v>0</v>
      </c>
      <c r="AN1653" s="30" t="str">
        <f aca="false">IF(OR(V1653="判定不能",M1653="判定不能"),"判定不能",IF(AM1653&gt;=判定条件!$C$9,"利用可",IF(AND(V1653="停止",M1653="停止"),"両方停止","運転がそろわない")))</f>
        <v>運転がそろわない</v>
      </c>
      <c r="AO1653" s="30" t="n">
        <v>60</v>
      </c>
      <c r="AP1653" s="30" t="n">
        <v>0</v>
      </c>
      <c r="AQ1653" s="30" t="str">
        <f aca="false">IF(OR(Y1653="判定不能",G1653="判定不能"),"判定不能",IF(AP1653&gt;=判定条件!$C$9,"利用可",IF(AND(Y1653="停止",G1653="停止"),"両方停止","運転がそろわない")))</f>
        <v>両方停止</v>
      </c>
      <c r="AR1653" s="30" t="n">
        <v>60</v>
      </c>
      <c r="AS1653" s="30" t="n">
        <v>5</v>
      </c>
      <c r="AT1653" s="30" t="str">
        <f aca="false">IF(OR(AB1653="判定不能",J1653="判定不能"),"判定不能",IF(AS1653&gt;=判定条件!$C$9,"利用可",IF(AND(AB1653="停止",J1653="停止"),"両方停止","運転がそろわない")))</f>
        <v>運転がそろわない</v>
      </c>
      <c r="AU1653" s="30" t="n">
        <v>60</v>
      </c>
      <c r="AV1653" s="30" t="n">
        <v>23</v>
      </c>
      <c r="AW1653" s="30" t="str">
        <f aca="false">IF(OR(AE1653="判定不能",M1653="判定不能"),"判定不能",IF(AV1653&gt;=判定条件!$C$9,"利用可",IF(AND(AE1653="停止",M1653="停止"),"両方停止","運転がそろわない")))</f>
        <v>運転がそろわない</v>
      </c>
      <c r="AX1653" s="30" t="str">
        <f aca="false">IF(AND(AH1653="利用可",AK1653="利用可",AN1653="利用可"),"利用可","不可")</f>
        <v>不可</v>
      </c>
      <c r="AY1653" s="30" t="str">
        <f aca="false">IF(AND(AQ1653="利用可",AT1653="利用可",AW1653="利用可"),"利用可","不可")</f>
        <v>不可</v>
      </c>
    </row>
    <row r="1654" customFormat="false" ht="15" hidden="false" customHeight="false" outlineLevel="0" collapsed="false">
      <c r="A1654" s="29" t="n">
        <v>46300</v>
      </c>
      <c r="B1654" s="30" t="n">
        <v>19</v>
      </c>
      <c r="C1654" s="31" t="s">
        <v>66</v>
      </c>
      <c r="D1654" s="31" t="s">
        <v>59</v>
      </c>
      <c r="E1654" s="30" t="n">
        <v>60</v>
      </c>
      <c r="F1654" s="30" t="n">
        <v>16</v>
      </c>
      <c r="G1654" s="30" t="str">
        <f aca="false">IF(E1654&lt;判定条件!$C$6,"判定不能",IF(F1654&gt;=判定条件!$C$7*E1654,"運転",IF(F1654&lt;=判定条件!$C$8*E1654,"停止","断続")))</f>
        <v>断続</v>
      </c>
      <c r="H1654" s="30" t="n">
        <v>60</v>
      </c>
      <c r="I1654" s="30" t="n">
        <v>20</v>
      </c>
      <c r="J1654" s="30" t="str">
        <f aca="false">IF(H1654&lt;判定条件!$C$6,"判定不能",IF(I1654&gt;=判定条件!$C$7*H1654,"運転",IF(I1654&lt;=判定条件!$C$8*H1654,"停止","断続")))</f>
        <v>断続</v>
      </c>
      <c r="K1654" s="30" t="n">
        <v>60</v>
      </c>
      <c r="L1654" s="30" t="n">
        <v>40</v>
      </c>
      <c r="M1654" s="30" t="str">
        <f aca="false">IF(K1654&lt;判定条件!$C$6,"判定不能",IF(L1654&gt;=判定条件!$C$7*K1654,"運転",IF(L1654&lt;=判定条件!$C$8*K1654,"停止","断続")))</f>
        <v>断続</v>
      </c>
      <c r="N1654" s="30" t="n">
        <v>60</v>
      </c>
      <c r="O1654" s="30" t="n">
        <v>0</v>
      </c>
      <c r="P1654" s="30" t="str">
        <f aca="false">IF(N1654&lt;判定条件!$C$6,"判定不能",IF(O1654&gt;=判定条件!$C$7*N1654,"運転",IF(O1654&lt;=判定条件!$C$8*N1654,"停止","断続")))</f>
        <v>停止</v>
      </c>
      <c r="Q1654" s="30" t="n">
        <v>60</v>
      </c>
      <c r="R1654" s="30" t="n">
        <v>0</v>
      </c>
      <c r="S1654" s="30" t="str">
        <f aca="false">IF(Q1654&lt;判定条件!$C$6,"判定不能",IF(R1654&gt;=判定条件!$C$7*Q1654,"運転",IF(R1654&lt;=判定条件!$C$8*Q1654,"停止","断続")))</f>
        <v>停止</v>
      </c>
      <c r="T1654" s="30" t="n">
        <v>60</v>
      </c>
      <c r="U1654" s="30" t="n">
        <v>0</v>
      </c>
      <c r="V1654" s="30" t="str">
        <f aca="false">IF(T1654&lt;判定条件!$C$6,"判定不能",IF(U1654&gt;=判定条件!$C$7*T1654,"運転",IF(U1654&lt;=判定条件!$C$8*T1654,"停止","断続")))</f>
        <v>停止</v>
      </c>
      <c r="W1654" s="30" t="n">
        <v>60</v>
      </c>
      <c r="X1654" s="30" t="n">
        <v>0</v>
      </c>
      <c r="Y1654" s="30" t="str">
        <f aca="false">IF(W1654&lt;判定条件!$C$6,"判定不能",IF(X1654&gt;=判定条件!$C$7*W1654,"運転",IF(X1654&lt;=判定条件!$C$8*W1654,"停止","断続")))</f>
        <v>停止</v>
      </c>
      <c r="Z1654" s="30" t="n">
        <v>60</v>
      </c>
      <c r="AA1654" s="30" t="n">
        <v>31</v>
      </c>
      <c r="AB1654" s="30" t="str">
        <f aca="false">IF(Z1654&lt;判定条件!$C$6,"判定不能",IF(AA1654&gt;=判定条件!$C$7*Z1654,"運転",IF(AA1654&lt;=判定条件!$C$8*Z1654,"停止","断続")))</f>
        <v>断続</v>
      </c>
      <c r="AC1654" s="30" t="n">
        <v>60</v>
      </c>
      <c r="AD1654" s="30" t="n">
        <v>0</v>
      </c>
      <c r="AE1654" s="30" t="str">
        <f aca="false">IF(AC1654&lt;判定条件!$C$6,"判定不能",IF(AD1654&gt;=判定条件!$C$7*AC1654,"運転",IF(AD1654&lt;=判定条件!$C$8*AC1654,"停止","断続")))</f>
        <v>停止</v>
      </c>
      <c r="AF1654" s="30" t="n">
        <v>60</v>
      </c>
      <c r="AG1654" s="30" t="n">
        <v>0</v>
      </c>
      <c r="AH1654" s="30" t="str">
        <f aca="false">IF(OR(P1654="判定不能",G1654="判定不能"),"判定不能",IF(AG1654&gt;=判定条件!$C$9,"利用可",IF(AND(P1654="停止",G1654="停止"),"両方停止","運転がそろわない")))</f>
        <v>運転がそろわない</v>
      </c>
      <c r="AI1654" s="30" t="n">
        <v>60</v>
      </c>
      <c r="AJ1654" s="30" t="n">
        <v>0</v>
      </c>
      <c r="AK1654" s="30" t="str">
        <f aca="false">IF(OR(S1654="判定不能",J1654="判定不能"),"判定不能",IF(AJ1654&gt;=判定条件!$C$9,"利用可",IF(AND(S1654="停止",J1654="停止"),"両方停止","運転がそろわない")))</f>
        <v>運転がそろわない</v>
      </c>
      <c r="AL1654" s="30" t="n">
        <v>60</v>
      </c>
      <c r="AM1654" s="30" t="n">
        <v>0</v>
      </c>
      <c r="AN1654" s="30" t="str">
        <f aca="false">IF(OR(V1654="判定不能",M1654="判定不能"),"判定不能",IF(AM1654&gt;=判定条件!$C$9,"利用可",IF(AND(V1654="停止",M1654="停止"),"両方停止","運転がそろわない")))</f>
        <v>運転がそろわない</v>
      </c>
      <c r="AO1654" s="30" t="n">
        <v>60</v>
      </c>
      <c r="AP1654" s="30" t="n">
        <v>0</v>
      </c>
      <c r="AQ1654" s="30" t="str">
        <f aca="false">IF(OR(Y1654="判定不能",G1654="判定不能"),"判定不能",IF(AP1654&gt;=判定条件!$C$9,"利用可",IF(AND(Y1654="停止",G1654="停止"),"両方停止","運転がそろわない")))</f>
        <v>運転がそろわない</v>
      </c>
      <c r="AR1654" s="30" t="n">
        <v>60</v>
      </c>
      <c r="AS1654" s="30" t="n">
        <v>10</v>
      </c>
      <c r="AT1654" s="30" t="str">
        <f aca="false">IF(OR(AB1654="判定不能",J1654="判定不能"),"判定不能",IF(AS1654&gt;=判定条件!$C$9,"利用可",IF(AND(AB1654="停止",J1654="停止"),"両方停止","運転がそろわない")))</f>
        <v>運転がそろわない</v>
      </c>
      <c r="AU1654" s="30" t="n">
        <v>60</v>
      </c>
      <c r="AV1654" s="30" t="n">
        <v>0</v>
      </c>
      <c r="AW1654" s="30" t="str">
        <f aca="false">IF(OR(AE1654="判定不能",M1654="判定不能"),"判定不能",IF(AV1654&gt;=判定条件!$C$9,"利用可",IF(AND(AE1654="停止",M1654="停止"),"両方停止","運転がそろわない")))</f>
        <v>運転がそろわない</v>
      </c>
      <c r="AX1654" s="30" t="str">
        <f aca="false">IF(AND(AH1654="利用可",AK1654="利用可",AN1654="利用可"),"利用可","不可")</f>
        <v>不可</v>
      </c>
      <c r="AY1654" s="30" t="str">
        <f aca="false">IF(AND(AQ1654="利用可",AT1654="利用可",AW1654="利用可"),"利用可","不可")</f>
        <v>不可</v>
      </c>
    </row>
    <row r="1655" customFormat="false" ht="15" hidden="false" customHeight="false" outlineLevel="0" collapsed="false">
      <c r="A1655" s="29" t="n">
        <v>46300</v>
      </c>
      <c r="B1655" s="30" t="n">
        <v>20</v>
      </c>
      <c r="C1655" s="31" t="s">
        <v>66</v>
      </c>
      <c r="D1655" s="31" t="s">
        <v>59</v>
      </c>
      <c r="E1655" s="30" t="n">
        <v>60</v>
      </c>
      <c r="F1655" s="30" t="n">
        <v>0</v>
      </c>
      <c r="G1655" s="30" t="str">
        <f aca="false">IF(E1655&lt;判定条件!$C$6,"判定不能",IF(F1655&gt;=判定条件!$C$7*E1655,"運転",IF(F1655&lt;=判定条件!$C$8*E1655,"停止","断続")))</f>
        <v>停止</v>
      </c>
      <c r="H1655" s="30" t="n">
        <v>60</v>
      </c>
      <c r="I1655" s="30" t="n">
        <v>0</v>
      </c>
      <c r="J1655" s="30" t="str">
        <f aca="false">IF(H1655&lt;判定条件!$C$6,"判定不能",IF(I1655&gt;=判定条件!$C$7*H1655,"運転",IF(I1655&lt;=判定条件!$C$8*H1655,"停止","断続")))</f>
        <v>停止</v>
      </c>
      <c r="K1655" s="30" t="n">
        <v>60</v>
      </c>
      <c r="L1655" s="30" t="n">
        <v>51</v>
      </c>
      <c r="M1655" s="30" t="str">
        <f aca="false">IF(K1655&lt;判定条件!$C$6,"判定不能",IF(L1655&gt;=判定条件!$C$7*K1655,"運転",IF(L1655&lt;=判定条件!$C$8*K1655,"停止","断続")))</f>
        <v>運転</v>
      </c>
      <c r="N1655" s="30" t="n">
        <v>60</v>
      </c>
      <c r="O1655" s="30" t="n">
        <v>0</v>
      </c>
      <c r="P1655" s="30" t="str">
        <f aca="false">IF(N1655&lt;判定条件!$C$6,"判定不能",IF(O1655&gt;=判定条件!$C$7*N1655,"運転",IF(O1655&lt;=判定条件!$C$8*N1655,"停止","断続")))</f>
        <v>停止</v>
      </c>
      <c r="Q1655" s="30" t="n">
        <v>60</v>
      </c>
      <c r="R1655" s="30" t="n">
        <v>0</v>
      </c>
      <c r="S1655" s="30" t="str">
        <f aca="false">IF(Q1655&lt;判定条件!$C$6,"判定不能",IF(R1655&gt;=判定条件!$C$7*Q1655,"運転",IF(R1655&lt;=判定条件!$C$8*Q1655,"停止","断続")))</f>
        <v>停止</v>
      </c>
      <c r="T1655" s="30" t="n">
        <v>60</v>
      </c>
      <c r="U1655" s="30" t="n">
        <v>0</v>
      </c>
      <c r="V1655" s="30" t="str">
        <f aca="false">IF(T1655&lt;判定条件!$C$6,"判定不能",IF(U1655&gt;=判定条件!$C$7*T1655,"運転",IF(U1655&lt;=判定条件!$C$8*T1655,"停止","断続")))</f>
        <v>停止</v>
      </c>
      <c r="W1655" s="30" t="n">
        <v>60</v>
      </c>
      <c r="X1655" s="30" t="n">
        <v>0</v>
      </c>
      <c r="Y1655" s="30" t="str">
        <f aca="false">IF(W1655&lt;判定条件!$C$6,"判定不能",IF(X1655&gt;=判定条件!$C$7*W1655,"運転",IF(X1655&lt;=判定条件!$C$8*W1655,"停止","断続")))</f>
        <v>停止</v>
      </c>
      <c r="Z1655" s="30" t="n">
        <v>60</v>
      </c>
      <c r="AA1655" s="30" t="n">
        <v>0</v>
      </c>
      <c r="AB1655" s="30" t="str">
        <f aca="false">IF(Z1655&lt;判定条件!$C$6,"判定不能",IF(AA1655&gt;=判定条件!$C$7*Z1655,"運転",IF(AA1655&lt;=判定条件!$C$8*Z1655,"停止","断続")))</f>
        <v>停止</v>
      </c>
      <c r="AC1655" s="30" t="n">
        <v>60</v>
      </c>
      <c r="AD1655" s="30" t="n">
        <v>0</v>
      </c>
      <c r="AE1655" s="30" t="str">
        <f aca="false">IF(AC1655&lt;判定条件!$C$6,"判定不能",IF(AD1655&gt;=判定条件!$C$7*AC1655,"運転",IF(AD1655&lt;=判定条件!$C$8*AC1655,"停止","断続")))</f>
        <v>停止</v>
      </c>
      <c r="AF1655" s="30" t="n">
        <v>60</v>
      </c>
      <c r="AG1655" s="30" t="n">
        <v>0</v>
      </c>
      <c r="AH1655" s="30" t="str">
        <f aca="false">IF(OR(P1655="判定不能",G1655="判定不能"),"判定不能",IF(AG1655&gt;=判定条件!$C$9,"利用可",IF(AND(P1655="停止",G1655="停止"),"両方停止","運転がそろわない")))</f>
        <v>両方停止</v>
      </c>
      <c r="AI1655" s="30" t="n">
        <v>60</v>
      </c>
      <c r="AJ1655" s="30" t="n">
        <v>0</v>
      </c>
      <c r="AK1655" s="30" t="str">
        <f aca="false">IF(OR(S1655="判定不能",J1655="判定不能"),"判定不能",IF(AJ1655&gt;=判定条件!$C$9,"利用可",IF(AND(S1655="停止",J1655="停止"),"両方停止","運転がそろわない")))</f>
        <v>両方停止</v>
      </c>
      <c r="AL1655" s="30" t="n">
        <v>60</v>
      </c>
      <c r="AM1655" s="30" t="n">
        <v>0</v>
      </c>
      <c r="AN1655" s="30" t="str">
        <f aca="false">IF(OR(V1655="判定不能",M1655="判定不能"),"判定不能",IF(AM1655&gt;=判定条件!$C$9,"利用可",IF(AND(V1655="停止",M1655="停止"),"両方停止","運転がそろわない")))</f>
        <v>運転がそろわない</v>
      </c>
      <c r="AO1655" s="30" t="n">
        <v>60</v>
      </c>
      <c r="AP1655" s="30" t="n">
        <v>0</v>
      </c>
      <c r="AQ1655" s="30" t="str">
        <f aca="false">IF(OR(Y1655="判定不能",G1655="判定不能"),"判定不能",IF(AP1655&gt;=判定条件!$C$9,"利用可",IF(AND(Y1655="停止",G1655="停止"),"両方停止","運転がそろわない")))</f>
        <v>両方停止</v>
      </c>
      <c r="AR1655" s="30" t="n">
        <v>60</v>
      </c>
      <c r="AS1655" s="30" t="n">
        <v>0</v>
      </c>
      <c r="AT1655" s="30" t="str">
        <f aca="false">IF(OR(AB1655="判定不能",J1655="判定不能"),"判定不能",IF(AS1655&gt;=判定条件!$C$9,"利用可",IF(AND(AB1655="停止",J1655="停止"),"両方停止","運転がそろわない")))</f>
        <v>両方停止</v>
      </c>
      <c r="AU1655" s="30" t="n">
        <v>60</v>
      </c>
      <c r="AV1655" s="30" t="n">
        <v>0</v>
      </c>
      <c r="AW1655" s="30" t="str">
        <f aca="false">IF(OR(AE1655="判定不能",M1655="判定不能"),"判定不能",IF(AV1655&gt;=判定条件!$C$9,"利用可",IF(AND(AE1655="停止",M1655="停止"),"両方停止","運転がそろわない")))</f>
        <v>運転がそろわない</v>
      </c>
      <c r="AX1655" s="30" t="str">
        <f aca="false">IF(AND(AH1655="利用可",AK1655="利用可",AN1655="利用可"),"利用可","不可")</f>
        <v>不可</v>
      </c>
      <c r="AY1655" s="30" t="str">
        <f aca="false">IF(AND(AQ1655="利用可",AT1655="利用可",AW1655="利用可"),"利用可","不可")</f>
        <v>不可</v>
      </c>
    </row>
    <row r="1656" customFormat="false" ht="15" hidden="false" customHeight="false" outlineLevel="0" collapsed="false">
      <c r="A1656" s="29" t="n">
        <v>46300</v>
      </c>
      <c r="B1656" s="30" t="n">
        <v>21</v>
      </c>
      <c r="C1656" s="31" t="s">
        <v>66</v>
      </c>
      <c r="D1656" s="31" t="s">
        <v>59</v>
      </c>
      <c r="E1656" s="30" t="n">
        <v>60</v>
      </c>
      <c r="F1656" s="30" t="n">
        <v>0</v>
      </c>
      <c r="G1656" s="30" t="str">
        <f aca="false">IF(E1656&lt;判定条件!$C$6,"判定不能",IF(F1656&gt;=判定条件!$C$7*E1656,"運転",IF(F1656&lt;=判定条件!$C$8*E1656,"停止","断続")))</f>
        <v>停止</v>
      </c>
      <c r="H1656" s="30" t="n">
        <v>60</v>
      </c>
      <c r="I1656" s="30" t="n">
        <v>0</v>
      </c>
      <c r="J1656" s="30" t="str">
        <f aca="false">IF(H1656&lt;判定条件!$C$6,"判定不能",IF(I1656&gt;=判定条件!$C$7*H1656,"運転",IF(I1656&lt;=判定条件!$C$8*H1656,"停止","断続")))</f>
        <v>停止</v>
      </c>
      <c r="K1656" s="30" t="n">
        <v>60</v>
      </c>
      <c r="L1656" s="30" t="n">
        <v>0</v>
      </c>
      <c r="M1656" s="30" t="str">
        <f aca="false">IF(K1656&lt;判定条件!$C$6,"判定不能",IF(L1656&gt;=判定条件!$C$7*K1656,"運転",IF(L1656&lt;=判定条件!$C$8*K1656,"停止","断続")))</f>
        <v>停止</v>
      </c>
      <c r="N1656" s="30" t="n">
        <v>60</v>
      </c>
      <c r="O1656" s="30" t="n">
        <v>0</v>
      </c>
      <c r="P1656" s="30" t="str">
        <f aca="false">IF(N1656&lt;判定条件!$C$6,"判定不能",IF(O1656&gt;=判定条件!$C$7*N1656,"運転",IF(O1656&lt;=判定条件!$C$8*N1656,"停止","断続")))</f>
        <v>停止</v>
      </c>
      <c r="Q1656" s="30" t="n">
        <v>60</v>
      </c>
      <c r="R1656" s="30" t="n">
        <v>0</v>
      </c>
      <c r="S1656" s="30" t="str">
        <f aca="false">IF(Q1656&lt;判定条件!$C$6,"判定不能",IF(R1656&gt;=判定条件!$C$7*Q1656,"運転",IF(R1656&lt;=判定条件!$C$8*Q1656,"停止","断続")))</f>
        <v>停止</v>
      </c>
      <c r="T1656" s="30" t="n">
        <v>60</v>
      </c>
      <c r="U1656" s="30" t="n">
        <v>0</v>
      </c>
      <c r="V1656" s="30" t="str">
        <f aca="false">IF(T1656&lt;判定条件!$C$6,"判定不能",IF(U1656&gt;=判定条件!$C$7*T1656,"運転",IF(U1656&lt;=判定条件!$C$8*T1656,"停止","断続")))</f>
        <v>停止</v>
      </c>
      <c r="W1656" s="30" t="n">
        <v>60</v>
      </c>
      <c r="X1656" s="30" t="n">
        <v>0</v>
      </c>
      <c r="Y1656" s="30" t="str">
        <f aca="false">IF(W1656&lt;判定条件!$C$6,"判定不能",IF(X1656&gt;=判定条件!$C$7*W1656,"運転",IF(X1656&lt;=判定条件!$C$8*W1656,"停止","断続")))</f>
        <v>停止</v>
      </c>
      <c r="Z1656" s="30" t="n">
        <v>60</v>
      </c>
      <c r="AA1656" s="30" t="n">
        <v>0</v>
      </c>
      <c r="AB1656" s="30" t="str">
        <f aca="false">IF(Z1656&lt;判定条件!$C$6,"判定不能",IF(AA1656&gt;=判定条件!$C$7*Z1656,"運転",IF(AA1656&lt;=判定条件!$C$8*Z1656,"停止","断続")))</f>
        <v>停止</v>
      </c>
      <c r="AC1656" s="30" t="n">
        <v>60</v>
      </c>
      <c r="AD1656" s="30" t="n">
        <v>0</v>
      </c>
      <c r="AE1656" s="30" t="str">
        <f aca="false">IF(AC1656&lt;判定条件!$C$6,"判定不能",IF(AD1656&gt;=判定条件!$C$7*AC1656,"運転",IF(AD1656&lt;=判定条件!$C$8*AC1656,"停止","断続")))</f>
        <v>停止</v>
      </c>
      <c r="AF1656" s="30" t="n">
        <v>60</v>
      </c>
      <c r="AG1656" s="30" t="n">
        <v>0</v>
      </c>
      <c r="AH1656" s="30" t="str">
        <f aca="false">IF(OR(P1656="判定不能",G1656="判定不能"),"判定不能",IF(AG1656&gt;=判定条件!$C$9,"利用可",IF(AND(P1656="停止",G1656="停止"),"両方停止","運転がそろわない")))</f>
        <v>両方停止</v>
      </c>
      <c r="AI1656" s="30" t="n">
        <v>60</v>
      </c>
      <c r="AJ1656" s="30" t="n">
        <v>0</v>
      </c>
      <c r="AK1656" s="30" t="str">
        <f aca="false">IF(OR(S1656="判定不能",J1656="判定不能"),"判定不能",IF(AJ1656&gt;=判定条件!$C$9,"利用可",IF(AND(S1656="停止",J1656="停止"),"両方停止","運転がそろわない")))</f>
        <v>両方停止</v>
      </c>
      <c r="AL1656" s="30" t="n">
        <v>60</v>
      </c>
      <c r="AM1656" s="30" t="n">
        <v>0</v>
      </c>
      <c r="AN1656" s="30" t="str">
        <f aca="false">IF(OR(V1656="判定不能",M1656="判定不能"),"判定不能",IF(AM1656&gt;=判定条件!$C$9,"利用可",IF(AND(V1656="停止",M1656="停止"),"両方停止","運転がそろわない")))</f>
        <v>両方停止</v>
      </c>
      <c r="AO1656" s="30" t="n">
        <v>60</v>
      </c>
      <c r="AP1656" s="30" t="n">
        <v>0</v>
      </c>
      <c r="AQ1656" s="30" t="str">
        <f aca="false">IF(OR(Y1656="判定不能",G1656="判定不能"),"判定不能",IF(AP1656&gt;=判定条件!$C$9,"利用可",IF(AND(Y1656="停止",G1656="停止"),"両方停止","運転がそろわない")))</f>
        <v>両方停止</v>
      </c>
      <c r="AR1656" s="30" t="n">
        <v>60</v>
      </c>
      <c r="AS1656" s="30" t="n">
        <v>0</v>
      </c>
      <c r="AT1656" s="30" t="str">
        <f aca="false">IF(OR(AB1656="判定不能",J1656="判定不能"),"判定不能",IF(AS1656&gt;=判定条件!$C$9,"利用可",IF(AND(AB1656="停止",J1656="停止"),"両方停止","運転がそろわない")))</f>
        <v>両方停止</v>
      </c>
      <c r="AU1656" s="30" t="n">
        <v>60</v>
      </c>
      <c r="AV1656" s="30" t="n">
        <v>0</v>
      </c>
      <c r="AW1656" s="30" t="str">
        <f aca="false">IF(OR(AE1656="判定不能",M1656="判定不能"),"判定不能",IF(AV1656&gt;=判定条件!$C$9,"利用可",IF(AND(AE1656="停止",M1656="停止"),"両方停止","運転がそろわない")))</f>
        <v>両方停止</v>
      </c>
      <c r="AX1656" s="30" t="str">
        <f aca="false">IF(AND(AH1656="利用可",AK1656="利用可",AN1656="利用可"),"利用可","不可")</f>
        <v>不可</v>
      </c>
      <c r="AY1656" s="30" t="str">
        <f aca="false">IF(AND(AQ1656="利用可",AT1656="利用可",AW1656="利用可"),"利用可","不可")</f>
        <v>不可</v>
      </c>
    </row>
    <row r="1657" customFormat="false" ht="15" hidden="false" customHeight="false" outlineLevel="0" collapsed="false">
      <c r="A1657" s="29" t="n">
        <v>46300</v>
      </c>
      <c r="B1657" s="30" t="n">
        <v>22</v>
      </c>
      <c r="C1657" s="31" t="s">
        <v>66</v>
      </c>
      <c r="D1657" s="31" t="s">
        <v>59</v>
      </c>
      <c r="E1657" s="30" t="n">
        <v>60</v>
      </c>
      <c r="F1657" s="30" t="n">
        <v>0</v>
      </c>
      <c r="G1657" s="30" t="str">
        <f aca="false">IF(E1657&lt;判定条件!$C$6,"判定不能",IF(F1657&gt;=判定条件!$C$7*E1657,"運転",IF(F1657&lt;=判定条件!$C$8*E1657,"停止","断続")))</f>
        <v>停止</v>
      </c>
      <c r="H1657" s="30" t="n">
        <v>60</v>
      </c>
      <c r="I1657" s="30" t="n">
        <v>0</v>
      </c>
      <c r="J1657" s="30" t="str">
        <f aca="false">IF(H1657&lt;判定条件!$C$6,"判定不能",IF(I1657&gt;=判定条件!$C$7*H1657,"運転",IF(I1657&lt;=判定条件!$C$8*H1657,"停止","断続")))</f>
        <v>停止</v>
      </c>
      <c r="K1657" s="30" t="n">
        <v>60</v>
      </c>
      <c r="L1657" s="30" t="n">
        <v>0</v>
      </c>
      <c r="M1657" s="30" t="str">
        <f aca="false">IF(K1657&lt;判定条件!$C$6,"判定不能",IF(L1657&gt;=判定条件!$C$7*K1657,"運転",IF(L1657&lt;=判定条件!$C$8*K1657,"停止","断続")))</f>
        <v>停止</v>
      </c>
      <c r="N1657" s="30" t="n">
        <v>60</v>
      </c>
      <c r="O1657" s="30" t="n">
        <v>0</v>
      </c>
      <c r="P1657" s="30" t="str">
        <f aca="false">IF(N1657&lt;判定条件!$C$6,"判定不能",IF(O1657&gt;=判定条件!$C$7*N1657,"運転",IF(O1657&lt;=判定条件!$C$8*N1657,"停止","断続")))</f>
        <v>停止</v>
      </c>
      <c r="Q1657" s="30" t="n">
        <v>60</v>
      </c>
      <c r="R1657" s="30" t="n">
        <v>0</v>
      </c>
      <c r="S1657" s="30" t="str">
        <f aca="false">IF(Q1657&lt;判定条件!$C$6,"判定不能",IF(R1657&gt;=判定条件!$C$7*Q1657,"運転",IF(R1657&lt;=判定条件!$C$8*Q1657,"停止","断続")))</f>
        <v>停止</v>
      </c>
      <c r="T1657" s="30" t="n">
        <v>60</v>
      </c>
      <c r="U1657" s="30" t="n">
        <v>0</v>
      </c>
      <c r="V1657" s="30" t="str">
        <f aca="false">IF(T1657&lt;判定条件!$C$6,"判定不能",IF(U1657&gt;=判定条件!$C$7*T1657,"運転",IF(U1657&lt;=判定条件!$C$8*T1657,"停止","断続")))</f>
        <v>停止</v>
      </c>
      <c r="W1657" s="30" t="n">
        <v>60</v>
      </c>
      <c r="X1657" s="30" t="n">
        <v>0</v>
      </c>
      <c r="Y1657" s="30" t="str">
        <f aca="false">IF(W1657&lt;判定条件!$C$6,"判定不能",IF(X1657&gt;=判定条件!$C$7*W1657,"運転",IF(X1657&lt;=判定条件!$C$8*W1657,"停止","断続")))</f>
        <v>停止</v>
      </c>
      <c r="Z1657" s="30" t="n">
        <v>60</v>
      </c>
      <c r="AA1657" s="30" t="n">
        <v>0</v>
      </c>
      <c r="AB1657" s="30" t="str">
        <f aca="false">IF(Z1657&lt;判定条件!$C$6,"判定不能",IF(AA1657&gt;=判定条件!$C$7*Z1657,"運転",IF(AA1657&lt;=判定条件!$C$8*Z1657,"停止","断続")))</f>
        <v>停止</v>
      </c>
      <c r="AC1657" s="30" t="n">
        <v>60</v>
      </c>
      <c r="AD1657" s="30" t="n">
        <v>0</v>
      </c>
      <c r="AE1657" s="30" t="str">
        <f aca="false">IF(AC1657&lt;判定条件!$C$6,"判定不能",IF(AD1657&gt;=判定条件!$C$7*AC1657,"運転",IF(AD1657&lt;=判定条件!$C$8*AC1657,"停止","断続")))</f>
        <v>停止</v>
      </c>
      <c r="AF1657" s="30" t="n">
        <v>60</v>
      </c>
      <c r="AG1657" s="30" t="n">
        <v>0</v>
      </c>
      <c r="AH1657" s="30" t="str">
        <f aca="false">IF(OR(P1657="判定不能",G1657="判定不能"),"判定不能",IF(AG1657&gt;=判定条件!$C$9,"利用可",IF(AND(P1657="停止",G1657="停止"),"両方停止","運転がそろわない")))</f>
        <v>両方停止</v>
      </c>
      <c r="AI1657" s="30" t="n">
        <v>60</v>
      </c>
      <c r="AJ1657" s="30" t="n">
        <v>0</v>
      </c>
      <c r="AK1657" s="30" t="str">
        <f aca="false">IF(OR(S1657="判定不能",J1657="判定不能"),"判定不能",IF(AJ1657&gt;=判定条件!$C$9,"利用可",IF(AND(S1657="停止",J1657="停止"),"両方停止","運転がそろわない")))</f>
        <v>両方停止</v>
      </c>
      <c r="AL1657" s="30" t="n">
        <v>60</v>
      </c>
      <c r="AM1657" s="30" t="n">
        <v>0</v>
      </c>
      <c r="AN1657" s="30" t="str">
        <f aca="false">IF(OR(V1657="判定不能",M1657="判定不能"),"判定不能",IF(AM1657&gt;=判定条件!$C$9,"利用可",IF(AND(V1657="停止",M1657="停止"),"両方停止","運転がそろわない")))</f>
        <v>両方停止</v>
      </c>
      <c r="AO1657" s="30" t="n">
        <v>60</v>
      </c>
      <c r="AP1657" s="30" t="n">
        <v>0</v>
      </c>
      <c r="AQ1657" s="30" t="str">
        <f aca="false">IF(OR(Y1657="判定不能",G1657="判定不能"),"判定不能",IF(AP1657&gt;=判定条件!$C$9,"利用可",IF(AND(Y1657="停止",G1657="停止"),"両方停止","運転がそろわない")))</f>
        <v>両方停止</v>
      </c>
      <c r="AR1657" s="30" t="n">
        <v>60</v>
      </c>
      <c r="AS1657" s="30" t="n">
        <v>0</v>
      </c>
      <c r="AT1657" s="30" t="str">
        <f aca="false">IF(OR(AB1657="判定不能",J1657="判定不能"),"判定不能",IF(AS1657&gt;=判定条件!$C$9,"利用可",IF(AND(AB1657="停止",J1657="停止"),"両方停止","運転がそろわない")))</f>
        <v>両方停止</v>
      </c>
      <c r="AU1657" s="30" t="n">
        <v>60</v>
      </c>
      <c r="AV1657" s="30" t="n">
        <v>0</v>
      </c>
      <c r="AW1657" s="30" t="str">
        <f aca="false">IF(OR(AE1657="判定不能",M1657="判定不能"),"判定不能",IF(AV1657&gt;=判定条件!$C$9,"利用可",IF(AND(AE1657="停止",M1657="停止"),"両方停止","運転がそろわない")))</f>
        <v>両方停止</v>
      </c>
      <c r="AX1657" s="30" t="str">
        <f aca="false">IF(AND(AH1657="利用可",AK1657="利用可",AN1657="利用可"),"利用可","不可")</f>
        <v>不可</v>
      </c>
      <c r="AY1657" s="30" t="str">
        <f aca="false">IF(AND(AQ1657="利用可",AT1657="利用可",AW1657="利用可"),"利用可","不可")</f>
        <v>不可</v>
      </c>
    </row>
    <row r="1658" customFormat="false" ht="15" hidden="false" customHeight="false" outlineLevel="0" collapsed="false">
      <c r="A1658" s="29" t="n">
        <v>46300</v>
      </c>
      <c r="B1658" s="30" t="n">
        <v>23</v>
      </c>
      <c r="C1658" s="31" t="s">
        <v>66</v>
      </c>
      <c r="D1658" s="31" t="s">
        <v>59</v>
      </c>
      <c r="E1658" s="30" t="n">
        <v>60</v>
      </c>
      <c r="F1658" s="30" t="n">
        <v>0</v>
      </c>
      <c r="G1658" s="30" t="str">
        <f aca="false">IF(E1658&lt;判定条件!$C$6,"判定不能",IF(F1658&gt;=判定条件!$C$7*E1658,"運転",IF(F1658&lt;=判定条件!$C$8*E1658,"停止","断続")))</f>
        <v>停止</v>
      </c>
      <c r="H1658" s="30" t="n">
        <v>60</v>
      </c>
      <c r="I1658" s="30" t="n">
        <v>0</v>
      </c>
      <c r="J1658" s="30" t="str">
        <f aca="false">IF(H1658&lt;判定条件!$C$6,"判定不能",IF(I1658&gt;=判定条件!$C$7*H1658,"運転",IF(I1658&lt;=判定条件!$C$8*H1658,"停止","断続")))</f>
        <v>停止</v>
      </c>
      <c r="K1658" s="30" t="n">
        <v>60</v>
      </c>
      <c r="L1658" s="30" t="n">
        <v>0</v>
      </c>
      <c r="M1658" s="30" t="str">
        <f aca="false">IF(K1658&lt;判定条件!$C$6,"判定不能",IF(L1658&gt;=判定条件!$C$7*K1658,"運転",IF(L1658&lt;=判定条件!$C$8*K1658,"停止","断続")))</f>
        <v>停止</v>
      </c>
      <c r="N1658" s="30" t="n">
        <v>60</v>
      </c>
      <c r="O1658" s="30" t="n">
        <v>0</v>
      </c>
      <c r="P1658" s="30" t="str">
        <f aca="false">IF(N1658&lt;判定条件!$C$6,"判定不能",IF(O1658&gt;=判定条件!$C$7*N1658,"運転",IF(O1658&lt;=判定条件!$C$8*N1658,"停止","断続")))</f>
        <v>停止</v>
      </c>
      <c r="Q1658" s="30" t="n">
        <v>60</v>
      </c>
      <c r="R1658" s="30" t="n">
        <v>0</v>
      </c>
      <c r="S1658" s="30" t="str">
        <f aca="false">IF(Q1658&lt;判定条件!$C$6,"判定不能",IF(R1658&gt;=判定条件!$C$7*Q1658,"運転",IF(R1658&lt;=判定条件!$C$8*Q1658,"停止","断続")))</f>
        <v>停止</v>
      </c>
      <c r="T1658" s="30" t="n">
        <v>60</v>
      </c>
      <c r="U1658" s="30" t="n">
        <v>0</v>
      </c>
      <c r="V1658" s="30" t="str">
        <f aca="false">IF(T1658&lt;判定条件!$C$6,"判定不能",IF(U1658&gt;=判定条件!$C$7*T1658,"運転",IF(U1658&lt;=判定条件!$C$8*T1658,"停止","断続")))</f>
        <v>停止</v>
      </c>
      <c r="W1658" s="30" t="n">
        <v>60</v>
      </c>
      <c r="X1658" s="30" t="n">
        <v>0</v>
      </c>
      <c r="Y1658" s="30" t="str">
        <f aca="false">IF(W1658&lt;判定条件!$C$6,"判定不能",IF(X1658&gt;=判定条件!$C$7*W1658,"運転",IF(X1658&lt;=判定条件!$C$8*W1658,"停止","断続")))</f>
        <v>停止</v>
      </c>
      <c r="Z1658" s="30" t="n">
        <v>60</v>
      </c>
      <c r="AA1658" s="30" t="n">
        <v>0</v>
      </c>
      <c r="AB1658" s="30" t="str">
        <f aca="false">IF(Z1658&lt;判定条件!$C$6,"判定不能",IF(AA1658&gt;=判定条件!$C$7*Z1658,"運転",IF(AA1658&lt;=判定条件!$C$8*Z1658,"停止","断続")))</f>
        <v>停止</v>
      </c>
      <c r="AC1658" s="30" t="n">
        <v>60</v>
      </c>
      <c r="AD1658" s="30" t="n">
        <v>0</v>
      </c>
      <c r="AE1658" s="30" t="str">
        <f aca="false">IF(AC1658&lt;判定条件!$C$6,"判定不能",IF(AD1658&gt;=判定条件!$C$7*AC1658,"運転",IF(AD1658&lt;=判定条件!$C$8*AC1658,"停止","断続")))</f>
        <v>停止</v>
      </c>
      <c r="AF1658" s="30" t="n">
        <v>60</v>
      </c>
      <c r="AG1658" s="30" t="n">
        <v>0</v>
      </c>
      <c r="AH1658" s="30" t="str">
        <f aca="false">IF(OR(P1658="判定不能",G1658="判定不能"),"判定不能",IF(AG1658&gt;=判定条件!$C$9,"利用可",IF(AND(P1658="停止",G1658="停止"),"両方停止","運転がそろわない")))</f>
        <v>両方停止</v>
      </c>
      <c r="AI1658" s="30" t="n">
        <v>60</v>
      </c>
      <c r="AJ1658" s="30" t="n">
        <v>0</v>
      </c>
      <c r="AK1658" s="30" t="str">
        <f aca="false">IF(OR(S1658="判定不能",J1658="判定不能"),"判定不能",IF(AJ1658&gt;=判定条件!$C$9,"利用可",IF(AND(S1658="停止",J1658="停止"),"両方停止","運転がそろわない")))</f>
        <v>両方停止</v>
      </c>
      <c r="AL1658" s="30" t="n">
        <v>60</v>
      </c>
      <c r="AM1658" s="30" t="n">
        <v>0</v>
      </c>
      <c r="AN1658" s="30" t="str">
        <f aca="false">IF(OR(V1658="判定不能",M1658="判定不能"),"判定不能",IF(AM1658&gt;=判定条件!$C$9,"利用可",IF(AND(V1658="停止",M1658="停止"),"両方停止","運転がそろわない")))</f>
        <v>両方停止</v>
      </c>
      <c r="AO1658" s="30" t="n">
        <v>60</v>
      </c>
      <c r="AP1658" s="30" t="n">
        <v>0</v>
      </c>
      <c r="AQ1658" s="30" t="str">
        <f aca="false">IF(OR(Y1658="判定不能",G1658="判定不能"),"判定不能",IF(AP1658&gt;=判定条件!$C$9,"利用可",IF(AND(Y1658="停止",G1658="停止"),"両方停止","運転がそろわない")))</f>
        <v>両方停止</v>
      </c>
      <c r="AR1658" s="30" t="n">
        <v>60</v>
      </c>
      <c r="AS1658" s="30" t="n">
        <v>0</v>
      </c>
      <c r="AT1658" s="30" t="str">
        <f aca="false">IF(OR(AB1658="判定不能",J1658="判定不能"),"判定不能",IF(AS1658&gt;=判定条件!$C$9,"利用可",IF(AND(AB1658="停止",J1658="停止"),"両方停止","運転がそろわない")))</f>
        <v>両方停止</v>
      </c>
      <c r="AU1658" s="30" t="n">
        <v>60</v>
      </c>
      <c r="AV1658" s="30" t="n">
        <v>0</v>
      </c>
      <c r="AW1658" s="30" t="str">
        <f aca="false">IF(OR(AE1658="判定不能",M1658="判定不能"),"判定不能",IF(AV1658&gt;=判定条件!$C$9,"利用可",IF(AND(AE1658="停止",M1658="停止"),"両方停止","運転がそろわない")))</f>
        <v>両方停止</v>
      </c>
      <c r="AX1658" s="30" t="str">
        <f aca="false">IF(AND(AH1658="利用可",AK1658="利用可",AN1658="利用可"),"利用可","不可")</f>
        <v>不可</v>
      </c>
      <c r="AY1658" s="30" t="str">
        <f aca="false">IF(AND(AQ1658="利用可",AT1658="利用可",AW1658="利用可"),"利用可","不可")</f>
        <v>不可</v>
      </c>
    </row>
    <row r="1659" customFormat="false" ht="15" hidden="false" customHeight="false" outlineLevel="0" collapsed="false">
      <c r="A1659" s="29" t="n">
        <v>46301</v>
      </c>
      <c r="B1659" s="30" t="n">
        <v>0</v>
      </c>
      <c r="C1659" s="31" t="s">
        <v>67</v>
      </c>
      <c r="D1659" s="31" t="s">
        <v>59</v>
      </c>
      <c r="E1659" s="30" t="n">
        <v>60</v>
      </c>
      <c r="F1659" s="30" t="n">
        <v>0</v>
      </c>
      <c r="G1659" s="30" t="str">
        <f aca="false">IF(E1659&lt;判定条件!$C$6,"判定不能",IF(F1659&gt;=判定条件!$C$7*E1659,"運転",IF(F1659&lt;=判定条件!$C$8*E1659,"停止","断続")))</f>
        <v>停止</v>
      </c>
      <c r="H1659" s="30" t="n">
        <v>60</v>
      </c>
      <c r="I1659" s="30" t="n">
        <v>0</v>
      </c>
      <c r="J1659" s="30" t="str">
        <f aca="false">IF(H1659&lt;判定条件!$C$6,"判定不能",IF(I1659&gt;=判定条件!$C$7*H1659,"運転",IF(I1659&lt;=判定条件!$C$8*H1659,"停止","断続")))</f>
        <v>停止</v>
      </c>
      <c r="K1659" s="30" t="n">
        <v>60</v>
      </c>
      <c r="L1659" s="30" t="n">
        <v>0</v>
      </c>
      <c r="M1659" s="30" t="str">
        <f aca="false">IF(K1659&lt;判定条件!$C$6,"判定不能",IF(L1659&gt;=判定条件!$C$7*K1659,"運転",IF(L1659&lt;=判定条件!$C$8*K1659,"停止","断続")))</f>
        <v>停止</v>
      </c>
      <c r="N1659" s="30" t="n">
        <v>60</v>
      </c>
      <c r="O1659" s="30" t="n">
        <v>0</v>
      </c>
      <c r="P1659" s="30" t="str">
        <f aca="false">IF(N1659&lt;判定条件!$C$6,"判定不能",IF(O1659&gt;=判定条件!$C$7*N1659,"運転",IF(O1659&lt;=判定条件!$C$8*N1659,"停止","断続")))</f>
        <v>停止</v>
      </c>
      <c r="Q1659" s="30" t="n">
        <v>60</v>
      </c>
      <c r="R1659" s="30" t="n">
        <v>0</v>
      </c>
      <c r="S1659" s="30" t="str">
        <f aca="false">IF(Q1659&lt;判定条件!$C$6,"判定不能",IF(R1659&gt;=判定条件!$C$7*Q1659,"運転",IF(R1659&lt;=判定条件!$C$8*Q1659,"停止","断続")))</f>
        <v>停止</v>
      </c>
      <c r="T1659" s="30" t="n">
        <v>60</v>
      </c>
      <c r="U1659" s="30" t="n">
        <v>0</v>
      </c>
      <c r="V1659" s="30" t="str">
        <f aca="false">IF(T1659&lt;判定条件!$C$6,"判定不能",IF(U1659&gt;=判定条件!$C$7*T1659,"運転",IF(U1659&lt;=判定条件!$C$8*T1659,"停止","断続")))</f>
        <v>停止</v>
      </c>
      <c r="W1659" s="30" t="n">
        <v>60</v>
      </c>
      <c r="X1659" s="30" t="n">
        <v>0</v>
      </c>
      <c r="Y1659" s="30" t="str">
        <f aca="false">IF(W1659&lt;判定条件!$C$6,"判定不能",IF(X1659&gt;=判定条件!$C$7*W1659,"運転",IF(X1659&lt;=判定条件!$C$8*W1659,"停止","断続")))</f>
        <v>停止</v>
      </c>
      <c r="Z1659" s="30" t="n">
        <v>60</v>
      </c>
      <c r="AA1659" s="30" t="n">
        <v>0</v>
      </c>
      <c r="AB1659" s="30" t="str">
        <f aca="false">IF(Z1659&lt;判定条件!$C$6,"判定不能",IF(AA1659&gt;=判定条件!$C$7*Z1659,"運転",IF(AA1659&lt;=判定条件!$C$8*Z1659,"停止","断続")))</f>
        <v>停止</v>
      </c>
      <c r="AC1659" s="30" t="n">
        <v>60</v>
      </c>
      <c r="AD1659" s="30" t="n">
        <v>0</v>
      </c>
      <c r="AE1659" s="30" t="str">
        <f aca="false">IF(AC1659&lt;判定条件!$C$6,"判定不能",IF(AD1659&gt;=判定条件!$C$7*AC1659,"運転",IF(AD1659&lt;=判定条件!$C$8*AC1659,"停止","断続")))</f>
        <v>停止</v>
      </c>
      <c r="AF1659" s="30" t="n">
        <v>60</v>
      </c>
      <c r="AG1659" s="30" t="n">
        <v>0</v>
      </c>
      <c r="AH1659" s="30" t="str">
        <f aca="false">IF(OR(P1659="判定不能",G1659="判定不能"),"判定不能",IF(AG1659&gt;=判定条件!$C$9,"利用可",IF(AND(P1659="停止",G1659="停止"),"両方停止","運転がそろわない")))</f>
        <v>両方停止</v>
      </c>
      <c r="AI1659" s="30" t="n">
        <v>60</v>
      </c>
      <c r="AJ1659" s="30" t="n">
        <v>0</v>
      </c>
      <c r="AK1659" s="30" t="str">
        <f aca="false">IF(OR(S1659="判定不能",J1659="判定不能"),"判定不能",IF(AJ1659&gt;=判定条件!$C$9,"利用可",IF(AND(S1659="停止",J1659="停止"),"両方停止","運転がそろわない")))</f>
        <v>両方停止</v>
      </c>
      <c r="AL1659" s="30" t="n">
        <v>60</v>
      </c>
      <c r="AM1659" s="30" t="n">
        <v>0</v>
      </c>
      <c r="AN1659" s="30" t="str">
        <f aca="false">IF(OR(V1659="判定不能",M1659="判定不能"),"判定不能",IF(AM1659&gt;=判定条件!$C$9,"利用可",IF(AND(V1659="停止",M1659="停止"),"両方停止","運転がそろわない")))</f>
        <v>両方停止</v>
      </c>
      <c r="AO1659" s="30" t="n">
        <v>60</v>
      </c>
      <c r="AP1659" s="30" t="n">
        <v>0</v>
      </c>
      <c r="AQ1659" s="30" t="str">
        <f aca="false">IF(OR(Y1659="判定不能",G1659="判定不能"),"判定不能",IF(AP1659&gt;=判定条件!$C$9,"利用可",IF(AND(Y1659="停止",G1659="停止"),"両方停止","運転がそろわない")))</f>
        <v>両方停止</v>
      </c>
      <c r="AR1659" s="30" t="n">
        <v>60</v>
      </c>
      <c r="AS1659" s="30" t="n">
        <v>0</v>
      </c>
      <c r="AT1659" s="30" t="str">
        <f aca="false">IF(OR(AB1659="判定不能",J1659="判定不能"),"判定不能",IF(AS1659&gt;=判定条件!$C$9,"利用可",IF(AND(AB1659="停止",J1659="停止"),"両方停止","運転がそろわない")))</f>
        <v>両方停止</v>
      </c>
      <c r="AU1659" s="30" t="n">
        <v>60</v>
      </c>
      <c r="AV1659" s="30" t="n">
        <v>0</v>
      </c>
      <c r="AW1659" s="30" t="str">
        <f aca="false">IF(OR(AE1659="判定不能",M1659="判定不能"),"判定不能",IF(AV1659&gt;=判定条件!$C$9,"利用可",IF(AND(AE1659="停止",M1659="停止"),"両方停止","運転がそろわない")))</f>
        <v>両方停止</v>
      </c>
      <c r="AX1659" s="30" t="str">
        <f aca="false">IF(AND(AH1659="利用可",AK1659="利用可",AN1659="利用可"),"利用可","不可")</f>
        <v>不可</v>
      </c>
      <c r="AY1659" s="30" t="str">
        <f aca="false">IF(AND(AQ1659="利用可",AT1659="利用可",AW1659="利用可"),"利用可","不可")</f>
        <v>不可</v>
      </c>
    </row>
    <row r="1660" customFormat="false" ht="15" hidden="false" customHeight="false" outlineLevel="0" collapsed="false">
      <c r="A1660" s="29" t="n">
        <v>46301</v>
      </c>
      <c r="B1660" s="30" t="n">
        <v>1</v>
      </c>
      <c r="C1660" s="31" t="s">
        <v>67</v>
      </c>
      <c r="D1660" s="31" t="s">
        <v>59</v>
      </c>
      <c r="E1660" s="30" t="n">
        <v>60</v>
      </c>
      <c r="F1660" s="30" t="n">
        <v>0</v>
      </c>
      <c r="G1660" s="30" t="str">
        <f aca="false">IF(E1660&lt;判定条件!$C$6,"判定不能",IF(F1660&gt;=判定条件!$C$7*E1660,"運転",IF(F1660&lt;=判定条件!$C$8*E1660,"停止","断続")))</f>
        <v>停止</v>
      </c>
      <c r="H1660" s="30" t="n">
        <v>60</v>
      </c>
      <c r="I1660" s="30" t="n">
        <v>0</v>
      </c>
      <c r="J1660" s="30" t="str">
        <f aca="false">IF(H1660&lt;判定条件!$C$6,"判定不能",IF(I1660&gt;=判定条件!$C$7*H1660,"運転",IF(I1660&lt;=判定条件!$C$8*H1660,"停止","断続")))</f>
        <v>停止</v>
      </c>
      <c r="K1660" s="30" t="n">
        <v>60</v>
      </c>
      <c r="L1660" s="30" t="n">
        <v>0</v>
      </c>
      <c r="M1660" s="30" t="str">
        <f aca="false">IF(K1660&lt;判定条件!$C$6,"判定不能",IF(L1660&gt;=判定条件!$C$7*K1660,"運転",IF(L1660&lt;=判定条件!$C$8*K1660,"停止","断続")))</f>
        <v>停止</v>
      </c>
      <c r="N1660" s="30" t="n">
        <v>60</v>
      </c>
      <c r="O1660" s="30" t="n">
        <v>0</v>
      </c>
      <c r="P1660" s="30" t="str">
        <f aca="false">IF(N1660&lt;判定条件!$C$6,"判定不能",IF(O1660&gt;=判定条件!$C$7*N1660,"運転",IF(O1660&lt;=判定条件!$C$8*N1660,"停止","断続")))</f>
        <v>停止</v>
      </c>
      <c r="Q1660" s="30" t="n">
        <v>60</v>
      </c>
      <c r="R1660" s="30" t="n">
        <v>0</v>
      </c>
      <c r="S1660" s="30" t="str">
        <f aca="false">IF(Q1660&lt;判定条件!$C$6,"判定不能",IF(R1660&gt;=判定条件!$C$7*Q1660,"運転",IF(R1660&lt;=判定条件!$C$8*Q1660,"停止","断続")))</f>
        <v>停止</v>
      </c>
      <c r="T1660" s="30" t="n">
        <v>60</v>
      </c>
      <c r="U1660" s="30" t="n">
        <v>0</v>
      </c>
      <c r="V1660" s="30" t="str">
        <f aca="false">IF(T1660&lt;判定条件!$C$6,"判定不能",IF(U1660&gt;=判定条件!$C$7*T1660,"運転",IF(U1660&lt;=判定条件!$C$8*T1660,"停止","断続")))</f>
        <v>停止</v>
      </c>
      <c r="W1660" s="30" t="n">
        <v>60</v>
      </c>
      <c r="X1660" s="30" t="n">
        <v>0</v>
      </c>
      <c r="Y1660" s="30" t="str">
        <f aca="false">IF(W1660&lt;判定条件!$C$6,"判定不能",IF(X1660&gt;=判定条件!$C$7*W1660,"運転",IF(X1660&lt;=判定条件!$C$8*W1660,"停止","断続")))</f>
        <v>停止</v>
      </c>
      <c r="Z1660" s="30" t="n">
        <v>60</v>
      </c>
      <c r="AA1660" s="30" t="n">
        <v>0</v>
      </c>
      <c r="AB1660" s="30" t="str">
        <f aca="false">IF(Z1660&lt;判定条件!$C$6,"判定不能",IF(AA1660&gt;=判定条件!$C$7*Z1660,"運転",IF(AA1660&lt;=判定条件!$C$8*Z1660,"停止","断続")))</f>
        <v>停止</v>
      </c>
      <c r="AC1660" s="30" t="n">
        <v>60</v>
      </c>
      <c r="AD1660" s="30" t="n">
        <v>0</v>
      </c>
      <c r="AE1660" s="30" t="str">
        <f aca="false">IF(AC1660&lt;判定条件!$C$6,"判定不能",IF(AD1660&gt;=判定条件!$C$7*AC1660,"運転",IF(AD1660&lt;=判定条件!$C$8*AC1660,"停止","断続")))</f>
        <v>停止</v>
      </c>
      <c r="AF1660" s="30" t="n">
        <v>60</v>
      </c>
      <c r="AG1660" s="30" t="n">
        <v>0</v>
      </c>
      <c r="AH1660" s="30" t="str">
        <f aca="false">IF(OR(P1660="判定不能",G1660="判定不能"),"判定不能",IF(AG1660&gt;=判定条件!$C$9,"利用可",IF(AND(P1660="停止",G1660="停止"),"両方停止","運転がそろわない")))</f>
        <v>両方停止</v>
      </c>
      <c r="AI1660" s="30" t="n">
        <v>60</v>
      </c>
      <c r="AJ1660" s="30" t="n">
        <v>0</v>
      </c>
      <c r="AK1660" s="30" t="str">
        <f aca="false">IF(OR(S1660="判定不能",J1660="判定不能"),"判定不能",IF(AJ1660&gt;=判定条件!$C$9,"利用可",IF(AND(S1660="停止",J1660="停止"),"両方停止","運転がそろわない")))</f>
        <v>両方停止</v>
      </c>
      <c r="AL1660" s="30" t="n">
        <v>60</v>
      </c>
      <c r="AM1660" s="30" t="n">
        <v>0</v>
      </c>
      <c r="AN1660" s="30" t="str">
        <f aca="false">IF(OR(V1660="判定不能",M1660="判定不能"),"判定不能",IF(AM1660&gt;=判定条件!$C$9,"利用可",IF(AND(V1660="停止",M1660="停止"),"両方停止","運転がそろわない")))</f>
        <v>両方停止</v>
      </c>
      <c r="AO1660" s="30" t="n">
        <v>60</v>
      </c>
      <c r="AP1660" s="30" t="n">
        <v>0</v>
      </c>
      <c r="AQ1660" s="30" t="str">
        <f aca="false">IF(OR(Y1660="判定不能",G1660="判定不能"),"判定不能",IF(AP1660&gt;=判定条件!$C$9,"利用可",IF(AND(Y1660="停止",G1660="停止"),"両方停止","運転がそろわない")))</f>
        <v>両方停止</v>
      </c>
      <c r="AR1660" s="30" t="n">
        <v>60</v>
      </c>
      <c r="AS1660" s="30" t="n">
        <v>0</v>
      </c>
      <c r="AT1660" s="30" t="str">
        <f aca="false">IF(OR(AB1660="判定不能",J1660="判定不能"),"判定不能",IF(AS1660&gt;=判定条件!$C$9,"利用可",IF(AND(AB1660="停止",J1660="停止"),"両方停止","運転がそろわない")))</f>
        <v>両方停止</v>
      </c>
      <c r="AU1660" s="30" t="n">
        <v>60</v>
      </c>
      <c r="AV1660" s="30" t="n">
        <v>0</v>
      </c>
      <c r="AW1660" s="30" t="str">
        <f aca="false">IF(OR(AE1660="判定不能",M1660="判定不能"),"判定不能",IF(AV1660&gt;=判定条件!$C$9,"利用可",IF(AND(AE1660="停止",M1660="停止"),"両方停止","運転がそろわない")))</f>
        <v>両方停止</v>
      </c>
      <c r="AX1660" s="30" t="str">
        <f aca="false">IF(AND(AH1660="利用可",AK1660="利用可",AN1660="利用可"),"利用可","不可")</f>
        <v>不可</v>
      </c>
      <c r="AY1660" s="30" t="str">
        <f aca="false">IF(AND(AQ1660="利用可",AT1660="利用可",AW1660="利用可"),"利用可","不可")</f>
        <v>不可</v>
      </c>
    </row>
    <row r="1661" customFormat="false" ht="15" hidden="false" customHeight="false" outlineLevel="0" collapsed="false">
      <c r="A1661" s="29" t="n">
        <v>46301</v>
      </c>
      <c r="B1661" s="30" t="n">
        <v>2</v>
      </c>
      <c r="C1661" s="31" t="s">
        <v>67</v>
      </c>
      <c r="D1661" s="31" t="s">
        <v>59</v>
      </c>
      <c r="E1661" s="30" t="n">
        <v>60</v>
      </c>
      <c r="F1661" s="30" t="n">
        <v>0</v>
      </c>
      <c r="G1661" s="30" t="str">
        <f aca="false">IF(E1661&lt;判定条件!$C$6,"判定不能",IF(F1661&gt;=判定条件!$C$7*E1661,"運転",IF(F1661&lt;=判定条件!$C$8*E1661,"停止","断続")))</f>
        <v>停止</v>
      </c>
      <c r="H1661" s="30" t="n">
        <v>60</v>
      </c>
      <c r="I1661" s="30" t="n">
        <v>0</v>
      </c>
      <c r="J1661" s="30" t="str">
        <f aca="false">IF(H1661&lt;判定条件!$C$6,"判定不能",IF(I1661&gt;=判定条件!$C$7*H1661,"運転",IF(I1661&lt;=判定条件!$C$8*H1661,"停止","断続")))</f>
        <v>停止</v>
      </c>
      <c r="K1661" s="30" t="n">
        <v>60</v>
      </c>
      <c r="L1661" s="30" t="n">
        <v>0</v>
      </c>
      <c r="M1661" s="30" t="str">
        <f aca="false">IF(K1661&lt;判定条件!$C$6,"判定不能",IF(L1661&gt;=判定条件!$C$7*K1661,"運転",IF(L1661&lt;=判定条件!$C$8*K1661,"停止","断続")))</f>
        <v>停止</v>
      </c>
      <c r="N1661" s="30" t="n">
        <v>60</v>
      </c>
      <c r="O1661" s="30" t="n">
        <v>0</v>
      </c>
      <c r="P1661" s="30" t="str">
        <f aca="false">IF(N1661&lt;判定条件!$C$6,"判定不能",IF(O1661&gt;=判定条件!$C$7*N1661,"運転",IF(O1661&lt;=判定条件!$C$8*N1661,"停止","断続")))</f>
        <v>停止</v>
      </c>
      <c r="Q1661" s="30" t="n">
        <v>60</v>
      </c>
      <c r="R1661" s="30" t="n">
        <v>0</v>
      </c>
      <c r="S1661" s="30" t="str">
        <f aca="false">IF(Q1661&lt;判定条件!$C$6,"判定不能",IF(R1661&gt;=判定条件!$C$7*Q1661,"運転",IF(R1661&lt;=判定条件!$C$8*Q1661,"停止","断続")))</f>
        <v>停止</v>
      </c>
      <c r="T1661" s="30" t="n">
        <v>60</v>
      </c>
      <c r="U1661" s="30" t="n">
        <v>0</v>
      </c>
      <c r="V1661" s="30" t="str">
        <f aca="false">IF(T1661&lt;判定条件!$C$6,"判定不能",IF(U1661&gt;=判定条件!$C$7*T1661,"運転",IF(U1661&lt;=判定条件!$C$8*T1661,"停止","断続")))</f>
        <v>停止</v>
      </c>
      <c r="W1661" s="30" t="n">
        <v>60</v>
      </c>
      <c r="X1661" s="30" t="n">
        <v>0</v>
      </c>
      <c r="Y1661" s="30" t="str">
        <f aca="false">IF(W1661&lt;判定条件!$C$6,"判定不能",IF(X1661&gt;=判定条件!$C$7*W1661,"運転",IF(X1661&lt;=判定条件!$C$8*W1661,"停止","断続")))</f>
        <v>停止</v>
      </c>
      <c r="Z1661" s="30" t="n">
        <v>60</v>
      </c>
      <c r="AA1661" s="30" t="n">
        <v>0</v>
      </c>
      <c r="AB1661" s="30" t="str">
        <f aca="false">IF(Z1661&lt;判定条件!$C$6,"判定不能",IF(AA1661&gt;=判定条件!$C$7*Z1661,"運転",IF(AA1661&lt;=判定条件!$C$8*Z1661,"停止","断続")))</f>
        <v>停止</v>
      </c>
      <c r="AC1661" s="30" t="n">
        <v>60</v>
      </c>
      <c r="AD1661" s="30" t="n">
        <v>0</v>
      </c>
      <c r="AE1661" s="30" t="str">
        <f aca="false">IF(AC1661&lt;判定条件!$C$6,"判定不能",IF(AD1661&gt;=判定条件!$C$7*AC1661,"運転",IF(AD1661&lt;=判定条件!$C$8*AC1661,"停止","断続")))</f>
        <v>停止</v>
      </c>
      <c r="AF1661" s="30" t="n">
        <v>60</v>
      </c>
      <c r="AG1661" s="30" t="n">
        <v>0</v>
      </c>
      <c r="AH1661" s="30" t="str">
        <f aca="false">IF(OR(P1661="判定不能",G1661="判定不能"),"判定不能",IF(AG1661&gt;=判定条件!$C$9,"利用可",IF(AND(P1661="停止",G1661="停止"),"両方停止","運転がそろわない")))</f>
        <v>両方停止</v>
      </c>
      <c r="AI1661" s="30" t="n">
        <v>60</v>
      </c>
      <c r="AJ1661" s="30" t="n">
        <v>0</v>
      </c>
      <c r="AK1661" s="30" t="str">
        <f aca="false">IF(OR(S1661="判定不能",J1661="判定不能"),"判定不能",IF(AJ1661&gt;=判定条件!$C$9,"利用可",IF(AND(S1661="停止",J1661="停止"),"両方停止","運転がそろわない")))</f>
        <v>両方停止</v>
      </c>
      <c r="AL1661" s="30" t="n">
        <v>60</v>
      </c>
      <c r="AM1661" s="30" t="n">
        <v>0</v>
      </c>
      <c r="AN1661" s="30" t="str">
        <f aca="false">IF(OR(V1661="判定不能",M1661="判定不能"),"判定不能",IF(AM1661&gt;=判定条件!$C$9,"利用可",IF(AND(V1661="停止",M1661="停止"),"両方停止","運転がそろわない")))</f>
        <v>両方停止</v>
      </c>
      <c r="AO1661" s="30" t="n">
        <v>60</v>
      </c>
      <c r="AP1661" s="30" t="n">
        <v>0</v>
      </c>
      <c r="AQ1661" s="30" t="str">
        <f aca="false">IF(OR(Y1661="判定不能",G1661="判定不能"),"判定不能",IF(AP1661&gt;=判定条件!$C$9,"利用可",IF(AND(Y1661="停止",G1661="停止"),"両方停止","運転がそろわない")))</f>
        <v>両方停止</v>
      </c>
      <c r="AR1661" s="30" t="n">
        <v>60</v>
      </c>
      <c r="AS1661" s="30" t="n">
        <v>0</v>
      </c>
      <c r="AT1661" s="30" t="str">
        <f aca="false">IF(OR(AB1661="判定不能",J1661="判定不能"),"判定不能",IF(AS1661&gt;=判定条件!$C$9,"利用可",IF(AND(AB1661="停止",J1661="停止"),"両方停止","運転がそろわない")))</f>
        <v>両方停止</v>
      </c>
      <c r="AU1661" s="30" t="n">
        <v>60</v>
      </c>
      <c r="AV1661" s="30" t="n">
        <v>0</v>
      </c>
      <c r="AW1661" s="30" t="str">
        <f aca="false">IF(OR(AE1661="判定不能",M1661="判定不能"),"判定不能",IF(AV1661&gt;=判定条件!$C$9,"利用可",IF(AND(AE1661="停止",M1661="停止"),"両方停止","運転がそろわない")))</f>
        <v>両方停止</v>
      </c>
      <c r="AX1661" s="30" t="str">
        <f aca="false">IF(AND(AH1661="利用可",AK1661="利用可",AN1661="利用可"),"利用可","不可")</f>
        <v>不可</v>
      </c>
      <c r="AY1661" s="30" t="str">
        <f aca="false">IF(AND(AQ1661="利用可",AT1661="利用可",AW1661="利用可"),"利用可","不可")</f>
        <v>不可</v>
      </c>
    </row>
    <row r="1662" customFormat="false" ht="15" hidden="false" customHeight="false" outlineLevel="0" collapsed="false">
      <c r="A1662" s="29" t="n">
        <v>46301</v>
      </c>
      <c r="B1662" s="30" t="n">
        <v>3</v>
      </c>
      <c r="C1662" s="31" t="s">
        <v>67</v>
      </c>
      <c r="D1662" s="31" t="s">
        <v>59</v>
      </c>
      <c r="E1662" s="30" t="n">
        <v>60</v>
      </c>
      <c r="F1662" s="30" t="n">
        <v>0</v>
      </c>
      <c r="G1662" s="30" t="str">
        <f aca="false">IF(E1662&lt;判定条件!$C$6,"判定不能",IF(F1662&gt;=判定条件!$C$7*E1662,"運転",IF(F1662&lt;=判定条件!$C$8*E1662,"停止","断続")))</f>
        <v>停止</v>
      </c>
      <c r="H1662" s="30" t="n">
        <v>60</v>
      </c>
      <c r="I1662" s="30" t="n">
        <v>0</v>
      </c>
      <c r="J1662" s="30" t="str">
        <f aca="false">IF(H1662&lt;判定条件!$C$6,"判定不能",IF(I1662&gt;=判定条件!$C$7*H1662,"運転",IF(I1662&lt;=判定条件!$C$8*H1662,"停止","断続")))</f>
        <v>停止</v>
      </c>
      <c r="K1662" s="30" t="n">
        <v>60</v>
      </c>
      <c r="L1662" s="30" t="n">
        <v>0</v>
      </c>
      <c r="M1662" s="30" t="str">
        <f aca="false">IF(K1662&lt;判定条件!$C$6,"判定不能",IF(L1662&gt;=判定条件!$C$7*K1662,"運転",IF(L1662&lt;=判定条件!$C$8*K1662,"停止","断続")))</f>
        <v>停止</v>
      </c>
      <c r="N1662" s="30" t="n">
        <v>60</v>
      </c>
      <c r="O1662" s="30" t="n">
        <v>0</v>
      </c>
      <c r="P1662" s="30" t="str">
        <f aca="false">IF(N1662&lt;判定条件!$C$6,"判定不能",IF(O1662&gt;=判定条件!$C$7*N1662,"運転",IF(O1662&lt;=判定条件!$C$8*N1662,"停止","断続")))</f>
        <v>停止</v>
      </c>
      <c r="Q1662" s="30" t="n">
        <v>60</v>
      </c>
      <c r="R1662" s="30" t="n">
        <v>0</v>
      </c>
      <c r="S1662" s="30" t="str">
        <f aca="false">IF(Q1662&lt;判定条件!$C$6,"判定不能",IF(R1662&gt;=判定条件!$C$7*Q1662,"運転",IF(R1662&lt;=判定条件!$C$8*Q1662,"停止","断続")))</f>
        <v>停止</v>
      </c>
      <c r="T1662" s="30" t="n">
        <v>60</v>
      </c>
      <c r="U1662" s="30" t="n">
        <v>0</v>
      </c>
      <c r="V1662" s="30" t="str">
        <f aca="false">IF(T1662&lt;判定条件!$C$6,"判定不能",IF(U1662&gt;=判定条件!$C$7*T1662,"運転",IF(U1662&lt;=判定条件!$C$8*T1662,"停止","断続")))</f>
        <v>停止</v>
      </c>
      <c r="W1662" s="30" t="n">
        <v>60</v>
      </c>
      <c r="X1662" s="30" t="n">
        <v>0</v>
      </c>
      <c r="Y1662" s="30" t="str">
        <f aca="false">IF(W1662&lt;判定条件!$C$6,"判定不能",IF(X1662&gt;=判定条件!$C$7*W1662,"運転",IF(X1662&lt;=判定条件!$C$8*W1662,"停止","断続")))</f>
        <v>停止</v>
      </c>
      <c r="Z1662" s="30" t="n">
        <v>60</v>
      </c>
      <c r="AA1662" s="30" t="n">
        <v>0</v>
      </c>
      <c r="AB1662" s="30" t="str">
        <f aca="false">IF(Z1662&lt;判定条件!$C$6,"判定不能",IF(AA1662&gt;=判定条件!$C$7*Z1662,"運転",IF(AA1662&lt;=判定条件!$C$8*Z1662,"停止","断続")))</f>
        <v>停止</v>
      </c>
      <c r="AC1662" s="30" t="n">
        <v>60</v>
      </c>
      <c r="AD1662" s="30" t="n">
        <v>0</v>
      </c>
      <c r="AE1662" s="30" t="str">
        <f aca="false">IF(AC1662&lt;判定条件!$C$6,"判定不能",IF(AD1662&gt;=判定条件!$C$7*AC1662,"運転",IF(AD1662&lt;=判定条件!$C$8*AC1662,"停止","断続")))</f>
        <v>停止</v>
      </c>
      <c r="AF1662" s="30" t="n">
        <v>60</v>
      </c>
      <c r="AG1662" s="30" t="n">
        <v>0</v>
      </c>
      <c r="AH1662" s="30" t="str">
        <f aca="false">IF(OR(P1662="判定不能",G1662="判定不能"),"判定不能",IF(AG1662&gt;=判定条件!$C$9,"利用可",IF(AND(P1662="停止",G1662="停止"),"両方停止","運転がそろわない")))</f>
        <v>両方停止</v>
      </c>
      <c r="AI1662" s="30" t="n">
        <v>60</v>
      </c>
      <c r="AJ1662" s="30" t="n">
        <v>0</v>
      </c>
      <c r="AK1662" s="30" t="str">
        <f aca="false">IF(OR(S1662="判定不能",J1662="判定不能"),"判定不能",IF(AJ1662&gt;=判定条件!$C$9,"利用可",IF(AND(S1662="停止",J1662="停止"),"両方停止","運転がそろわない")))</f>
        <v>両方停止</v>
      </c>
      <c r="AL1662" s="30" t="n">
        <v>60</v>
      </c>
      <c r="AM1662" s="30" t="n">
        <v>0</v>
      </c>
      <c r="AN1662" s="30" t="str">
        <f aca="false">IF(OR(V1662="判定不能",M1662="判定不能"),"判定不能",IF(AM1662&gt;=判定条件!$C$9,"利用可",IF(AND(V1662="停止",M1662="停止"),"両方停止","運転がそろわない")))</f>
        <v>両方停止</v>
      </c>
      <c r="AO1662" s="30" t="n">
        <v>60</v>
      </c>
      <c r="AP1662" s="30" t="n">
        <v>0</v>
      </c>
      <c r="AQ1662" s="30" t="str">
        <f aca="false">IF(OR(Y1662="判定不能",G1662="判定不能"),"判定不能",IF(AP1662&gt;=判定条件!$C$9,"利用可",IF(AND(Y1662="停止",G1662="停止"),"両方停止","運転がそろわない")))</f>
        <v>両方停止</v>
      </c>
      <c r="AR1662" s="30" t="n">
        <v>60</v>
      </c>
      <c r="AS1662" s="30" t="n">
        <v>0</v>
      </c>
      <c r="AT1662" s="30" t="str">
        <f aca="false">IF(OR(AB1662="判定不能",J1662="判定不能"),"判定不能",IF(AS1662&gt;=判定条件!$C$9,"利用可",IF(AND(AB1662="停止",J1662="停止"),"両方停止","運転がそろわない")))</f>
        <v>両方停止</v>
      </c>
      <c r="AU1662" s="30" t="n">
        <v>60</v>
      </c>
      <c r="AV1662" s="30" t="n">
        <v>0</v>
      </c>
      <c r="AW1662" s="30" t="str">
        <f aca="false">IF(OR(AE1662="判定不能",M1662="判定不能"),"判定不能",IF(AV1662&gt;=判定条件!$C$9,"利用可",IF(AND(AE1662="停止",M1662="停止"),"両方停止","運転がそろわない")))</f>
        <v>両方停止</v>
      </c>
      <c r="AX1662" s="30" t="str">
        <f aca="false">IF(AND(AH1662="利用可",AK1662="利用可",AN1662="利用可"),"利用可","不可")</f>
        <v>不可</v>
      </c>
      <c r="AY1662" s="30" t="str">
        <f aca="false">IF(AND(AQ1662="利用可",AT1662="利用可",AW1662="利用可"),"利用可","不可")</f>
        <v>不可</v>
      </c>
    </row>
    <row r="1663" customFormat="false" ht="15" hidden="false" customHeight="false" outlineLevel="0" collapsed="false">
      <c r="A1663" s="29" t="n">
        <v>46301</v>
      </c>
      <c r="B1663" s="30" t="n">
        <v>4</v>
      </c>
      <c r="C1663" s="31" t="s">
        <v>67</v>
      </c>
      <c r="D1663" s="31" t="s">
        <v>59</v>
      </c>
      <c r="E1663" s="30" t="n">
        <v>60</v>
      </c>
      <c r="F1663" s="30" t="n">
        <v>0</v>
      </c>
      <c r="G1663" s="30" t="str">
        <f aca="false">IF(E1663&lt;判定条件!$C$6,"判定不能",IF(F1663&gt;=判定条件!$C$7*E1663,"運転",IF(F1663&lt;=判定条件!$C$8*E1663,"停止","断続")))</f>
        <v>停止</v>
      </c>
      <c r="H1663" s="30" t="n">
        <v>60</v>
      </c>
      <c r="I1663" s="30" t="n">
        <v>0</v>
      </c>
      <c r="J1663" s="30" t="str">
        <f aca="false">IF(H1663&lt;判定条件!$C$6,"判定不能",IF(I1663&gt;=判定条件!$C$7*H1663,"運転",IF(I1663&lt;=判定条件!$C$8*H1663,"停止","断続")))</f>
        <v>停止</v>
      </c>
      <c r="K1663" s="30" t="n">
        <v>60</v>
      </c>
      <c r="L1663" s="30" t="n">
        <v>0</v>
      </c>
      <c r="M1663" s="30" t="str">
        <f aca="false">IF(K1663&lt;判定条件!$C$6,"判定不能",IF(L1663&gt;=判定条件!$C$7*K1663,"運転",IF(L1663&lt;=判定条件!$C$8*K1663,"停止","断続")))</f>
        <v>停止</v>
      </c>
      <c r="N1663" s="30" t="n">
        <v>60</v>
      </c>
      <c r="O1663" s="30" t="n">
        <v>0</v>
      </c>
      <c r="P1663" s="30" t="str">
        <f aca="false">IF(N1663&lt;判定条件!$C$6,"判定不能",IF(O1663&gt;=判定条件!$C$7*N1663,"運転",IF(O1663&lt;=判定条件!$C$8*N1663,"停止","断続")))</f>
        <v>停止</v>
      </c>
      <c r="Q1663" s="30" t="n">
        <v>60</v>
      </c>
      <c r="R1663" s="30" t="n">
        <v>0</v>
      </c>
      <c r="S1663" s="30" t="str">
        <f aca="false">IF(Q1663&lt;判定条件!$C$6,"判定不能",IF(R1663&gt;=判定条件!$C$7*Q1663,"運転",IF(R1663&lt;=判定条件!$C$8*Q1663,"停止","断続")))</f>
        <v>停止</v>
      </c>
      <c r="T1663" s="30" t="n">
        <v>60</v>
      </c>
      <c r="U1663" s="30" t="n">
        <v>0</v>
      </c>
      <c r="V1663" s="30" t="str">
        <f aca="false">IF(T1663&lt;判定条件!$C$6,"判定不能",IF(U1663&gt;=判定条件!$C$7*T1663,"運転",IF(U1663&lt;=判定条件!$C$8*T1663,"停止","断続")))</f>
        <v>停止</v>
      </c>
      <c r="W1663" s="30" t="n">
        <v>60</v>
      </c>
      <c r="X1663" s="30" t="n">
        <v>0</v>
      </c>
      <c r="Y1663" s="30" t="str">
        <f aca="false">IF(W1663&lt;判定条件!$C$6,"判定不能",IF(X1663&gt;=判定条件!$C$7*W1663,"運転",IF(X1663&lt;=判定条件!$C$8*W1663,"停止","断続")))</f>
        <v>停止</v>
      </c>
      <c r="Z1663" s="30" t="n">
        <v>60</v>
      </c>
      <c r="AA1663" s="30" t="n">
        <v>0</v>
      </c>
      <c r="AB1663" s="30" t="str">
        <f aca="false">IF(Z1663&lt;判定条件!$C$6,"判定不能",IF(AA1663&gt;=判定条件!$C$7*Z1663,"運転",IF(AA1663&lt;=判定条件!$C$8*Z1663,"停止","断続")))</f>
        <v>停止</v>
      </c>
      <c r="AC1663" s="30" t="n">
        <v>60</v>
      </c>
      <c r="AD1663" s="30" t="n">
        <v>0</v>
      </c>
      <c r="AE1663" s="30" t="str">
        <f aca="false">IF(AC1663&lt;判定条件!$C$6,"判定不能",IF(AD1663&gt;=判定条件!$C$7*AC1663,"運転",IF(AD1663&lt;=判定条件!$C$8*AC1663,"停止","断続")))</f>
        <v>停止</v>
      </c>
      <c r="AF1663" s="30" t="n">
        <v>60</v>
      </c>
      <c r="AG1663" s="30" t="n">
        <v>0</v>
      </c>
      <c r="AH1663" s="30" t="str">
        <f aca="false">IF(OR(P1663="判定不能",G1663="判定不能"),"判定不能",IF(AG1663&gt;=判定条件!$C$9,"利用可",IF(AND(P1663="停止",G1663="停止"),"両方停止","運転がそろわない")))</f>
        <v>両方停止</v>
      </c>
      <c r="AI1663" s="30" t="n">
        <v>60</v>
      </c>
      <c r="AJ1663" s="30" t="n">
        <v>0</v>
      </c>
      <c r="AK1663" s="30" t="str">
        <f aca="false">IF(OR(S1663="判定不能",J1663="判定不能"),"判定不能",IF(AJ1663&gt;=判定条件!$C$9,"利用可",IF(AND(S1663="停止",J1663="停止"),"両方停止","運転がそろわない")))</f>
        <v>両方停止</v>
      </c>
      <c r="AL1663" s="30" t="n">
        <v>60</v>
      </c>
      <c r="AM1663" s="30" t="n">
        <v>0</v>
      </c>
      <c r="AN1663" s="30" t="str">
        <f aca="false">IF(OR(V1663="判定不能",M1663="判定不能"),"判定不能",IF(AM1663&gt;=判定条件!$C$9,"利用可",IF(AND(V1663="停止",M1663="停止"),"両方停止","運転がそろわない")))</f>
        <v>両方停止</v>
      </c>
      <c r="AO1663" s="30" t="n">
        <v>60</v>
      </c>
      <c r="AP1663" s="30" t="n">
        <v>0</v>
      </c>
      <c r="AQ1663" s="30" t="str">
        <f aca="false">IF(OR(Y1663="判定不能",G1663="判定不能"),"判定不能",IF(AP1663&gt;=判定条件!$C$9,"利用可",IF(AND(Y1663="停止",G1663="停止"),"両方停止","運転がそろわない")))</f>
        <v>両方停止</v>
      </c>
      <c r="AR1663" s="30" t="n">
        <v>60</v>
      </c>
      <c r="AS1663" s="30" t="n">
        <v>0</v>
      </c>
      <c r="AT1663" s="30" t="str">
        <f aca="false">IF(OR(AB1663="判定不能",J1663="判定不能"),"判定不能",IF(AS1663&gt;=判定条件!$C$9,"利用可",IF(AND(AB1663="停止",J1663="停止"),"両方停止","運転がそろわない")))</f>
        <v>両方停止</v>
      </c>
      <c r="AU1663" s="30" t="n">
        <v>60</v>
      </c>
      <c r="AV1663" s="30" t="n">
        <v>0</v>
      </c>
      <c r="AW1663" s="30" t="str">
        <f aca="false">IF(OR(AE1663="判定不能",M1663="判定不能"),"判定不能",IF(AV1663&gt;=判定条件!$C$9,"利用可",IF(AND(AE1663="停止",M1663="停止"),"両方停止","運転がそろわない")))</f>
        <v>両方停止</v>
      </c>
      <c r="AX1663" s="30" t="str">
        <f aca="false">IF(AND(AH1663="利用可",AK1663="利用可",AN1663="利用可"),"利用可","不可")</f>
        <v>不可</v>
      </c>
      <c r="AY1663" s="30" t="str">
        <f aca="false">IF(AND(AQ1663="利用可",AT1663="利用可",AW1663="利用可"),"利用可","不可")</f>
        <v>不可</v>
      </c>
    </row>
    <row r="1664" customFormat="false" ht="15" hidden="false" customHeight="false" outlineLevel="0" collapsed="false">
      <c r="A1664" s="29" t="n">
        <v>46301</v>
      </c>
      <c r="B1664" s="30" t="n">
        <v>5</v>
      </c>
      <c r="C1664" s="31" t="s">
        <v>67</v>
      </c>
      <c r="D1664" s="31" t="s">
        <v>59</v>
      </c>
      <c r="E1664" s="30" t="n">
        <v>60</v>
      </c>
      <c r="F1664" s="30" t="n">
        <v>0</v>
      </c>
      <c r="G1664" s="30" t="str">
        <f aca="false">IF(E1664&lt;判定条件!$C$6,"判定不能",IF(F1664&gt;=判定条件!$C$7*E1664,"運転",IF(F1664&lt;=判定条件!$C$8*E1664,"停止","断続")))</f>
        <v>停止</v>
      </c>
      <c r="H1664" s="30" t="n">
        <v>60</v>
      </c>
      <c r="I1664" s="30" t="n">
        <v>0</v>
      </c>
      <c r="J1664" s="30" t="str">
        <f aca="false">IF(H1664&lt;判定条件!$C$6,"判定不能",IF(I1664&gt;=判定条件!$C$7*H1664,"運転",IF(I1664&lt;=判定条件!$C$8*H1664,"停止","断続")))</f>
        <v>停止</v>
      </c>
      <c r="K1664" s="30" t="n">
        <v>60</v>
      </c>
      <c r="L1664" s="30" t="n">
        <v>0</v>
      </c>
      <c r="M1664" s="30" t="str">
        <f aca="false">IF(K1664&lt;判定条件!$C$6,"判定不能",IF(L1664&gt;=判定条件!$C$7*K1664,"運転",IF(L1664&lt;=判定条件!$C$8*K1664,"停止","断続")))</f>
        <v>停止</v>
      </c>
      <c r="N1664" s="30" t="n">
        <v>60</v>
      </c>
      <c r="O1664" s="30" t="n">
        <v>0</v>
      </c>
      <c r="P1664" s="30" t="str">
        <f aca="false">IF(N1664&lt;判定条件!$C$6,"判定不能",IF(O1664&gt;=判定条件!$C$7*N1664,"運転",IF(O1664&lt;=判定条件!$C$8*N1664,"停止","断続")))</f>
        <v>停止</v>
      </c>
      <c r="Q1664" s="30" t="n">
        <v>60</v>
      </c>
      <c r="R1664" s="30" t="n">
        <v>0</v>
      </c>
      <c r="S1664" s="30" t="str">
        <f aca="false">IF(Q1664&lt;判定条件!$C$6,"判定不能",IF(R1664&gt;=判定条件!$C$7*Q1664,"運転",IF(R1664&lt;=判定条件!$C$8*Q1664,"停止","断続")))</f>
        <v>停止</v>
      </c>
      <c r="T1664" s="30" t="n">
        <v>60</v>
      </c>
      <c r="U1664" s="30" t="n">
        <v>0</v>
      </c>
      <c r="V1664" s="30" t="str">
        <f aca="false">IF(T1664&lt;判定条件!$C$6,"判定不能",IF(U1664&gt;=判定条件!$C$7*T1664,"運転",IF(U1664&lt;=判定条件!$C$8*T1664,"停止","断続")))</f>
        <v>停止</v>
      </c>
      <c r="W1664" s="30" t="n">
        <v>60</v>
      </c>
      <c r="X1664" s="30" t="n">
        <v>0</v>
      </c>
      <c r="Y1664" s="30" t="str">
        <f aca="false">IF(W1664&lt;判定条件!$C$6,"判定不能",IF(X1664&gt;=判定条件!$C$7*W1664,"運転",IF(X1664&lt;=判定条件!$C$8*W1664,"停止","断続")))</f>
        <v>停止</v>
      </c>
      <c r="Z1664" s="30" t="n">
        <v>60</v>
      </c>
      <c r="AA1664" s="30" t="n">
        <v>0</v>
      </c>
      <c r="AB1664" s="30" t="str">
        <f aca="false">IF(Z1664&lt;判定条件!$C$6,"判定不能",IF(AA1664&gt;=判定条件!$C$7*Z1664,"運転",IF(AA1664&lt;=判定条件!$C$8*Z1664,"停止","断続")))</f>
        <v>停止</v>
      </c>
      <c r="AC1664" s="30" t="n">
        <v>60</v>
      </c>
      <c r="AD1664" s="30" t="n">
        <v>0</v>
      </c>
      <c r="AE1664" s="30" t="str">
        <f aca="false">IF(AC1664&lt;判定条件!$C$6,"判定不能",IF(AD1664&gt;=判定条件!$C$7*AC1664,"運転",IF(AD1664&lt;=判定条件!$C$8*AC1664,"停止","断続")))</f>
        <v>停止</v>
      </c>
      <c r="AF1664" s="30" t="n">
        <v>60</v>
      </c>
      <c r="AG1664" s="30" t="n">
        <v>0</v>
      </c>
      <c r="AH1664" s="30" t="str">
        <f aca="false">IF(OR(P1664="判定不能",G1664="判定不能"),"判定不能",IF(AG1664&gt;=判定条件!$C$9,"利用可",IF(AND(P1664="停止",G1664="停止"),"両方停止","運転がそろわない")))</f>
        <v>両方停止</v>
      </c>
      <c r="AI1664" s="30" t="n">
        <v>60</v>
      </c>
      <c r="AJ1664" s="30" t="n">
        <v>0</v>
      </c>
      <c r="AK1664" s="30" t="str">
        <f aca="false">IF(OR(S1664="判定不能",J1664="判定不能"),"判定不能",IF(AJ1664&gt;=判定条件!$C$9,"利用可",IF(AND(S1664="停止",J1664="停止"),"両方停止","運転がそろわない")))</f>
        <v>両方停止</v>
      </c>
      <c r="AL1664" s="30" t="n">
        <v>60</v>
      </c>
      <c r="AM1664" s="30" t="n">
        <v>0</v>
      </c>
      <c r="AN1664" s="30" t="str">
        <f aca="false">IF(OR(V1664="判定不能",M1664="判定不能"),"判定不能",IF(AM1664&gt;=判定条件!$C$9,"利用可",IF(AND(V1664="停止",M1664="停止"),"両方停止","運転がそろわない")))</f>
        <v>両方停止</v>
      </c>
      <c r="AO1664" s="30" t="n">
        <v>60</v>
      </c>
      <c r="AP1664" s="30" t="n">
        <v>0</v>
      </c>
      <c r="AQ1664" s="30" t="str">
        <f aca="false">IF(OR(Y1664="判定不能",G1664="判定不能"),"判定不能",IF(AP1664&gt;=判定条件!$C$9,"利用可",IF(AND(Y1664="停止",G1664="停止"),"両方停止","運転がそろわない")))</f>
        <v>両方停止</v>
      </c>
      <c r="AR1664" s="30" t="n">
        <v>60</v>
      </c>
      <c r="AS1664" s="30" t="n">
        <v>0</v>
      </c>
      <c r="AT1664" s="30" t="str">
        <f aca="false">IF(OR(AB1664="判定不能",J1664="判定不能"),"判定不能",IF(AS1664&gt;=判定条件!$C$9,"利用可",IF(AND(AB1664="停止",J1664="停止"),"両方停止","運転がそろわない")))</f>
        <v>両方停止</v>
      </c>
      <c r="AU1664" s="30" t="n">
        <v>60</v>
      </c>
      <c r="AV1664" s="30" t="n">
        <v>0</v>
      </c>
      <c r="AW1664" s="30" t="str">
        <f aca="false">IF(OR(AE1664="判定不能",M1664="判定不能"),"判定不能",IF(AV1664&gt;=判定条件!$C$9,"利用可",IF(AND(AE1664="停止",M1664="停止"),"両方停止","運転がそろわない")))</f>
        <v>両方停止</v>
      </c>
      <c r="AX1664" s="30" t="str">
        <f aca="false">IF(AND(AH1664="利用可",AK1664="利用可",AN1664="利用可"),"利用可","不可")</f>
        <v>不可</v>
      </c>
      <c r="AY1664" s="30" t="str">
        <f aca="false">IF(AND(AQ1664="利用可",AT1664="利用可",AW1664="利用可"),"利用可","不可")</f>
        <v>不可</v>
      </c>
    </row>
    <row r="1665" customFormat="false" ht="15" hidden="false" customHeight="false" outlineLevel="0" collapsed="false">
      <c r="A1665" s="29" t="n">
        <v>46301</v>
      </c>
      <c r="B1665" s="30" t="n">
        <v>6</v>
      </c>
      <c r="C1665" s="31" t="s">
        <v>67</v>
      </c>
      <c r="D1665" s="31" t="s">
        <v>59</v>
      </c>
      <c r="E1665" s="30" t="n">
        <v>60</v>
      </c>
      <c r="F1665" s="30" t="n">
        <v>0</v>
      </c>
      <c r="G1665" s="30" t="str">
        <f aca="false">IF(E1665&lt;判定条件!$C$6,"判定不能",IF(F1665&gt;=判定条件!$C$7*E1665,"運転",IF(F1665&lt;=判定条件!$C$8*E1665,"停止","断続")))</f>
        <v>停止</v>
      </c>
      <c r="H1665" s="30" t="n">
        <v>60</v>
      </c>
      <c r="I1665" s="30" t="n">
        <v>0</v>
      </c>
      <c r="J1665" s="30" t="str">
        <f aca="false">IF(H1665&lt;判定条件!$C$6,"判定不能",IF(I1665&gt;=判定条件!$C$7*H1665,"運転",IF(I1665&lt;=判定条件!$C$8*H1665,"停止","断続")))</f>
        <v>停止</v>
      </c>
      <c r="K1665" s="30" t="n">
        <v>60</v>
      </c>
      <c r="L1665" s="30" t="n">
        <v>0</v>
      </c>
      <c r="M1665" s="30" t="str">
        <f aca="false">IF(K1665&lt;判定条件!$C$6,"判定不能",IF(L1665&gt;=判定条件!$C$7*K1665,"運転",IF(L1665&lt;=判定条件!$C$8*K1665,"停止","断続")))</f>
        <v>停止</v>
      </c>
      <c r="N1665" s="30" t="n">
        <v>60</v>
      </c>
      <c r="O1665" s="30" t="n">
        <v>0</v>
      </c>
      <c r="P1665" s="30" t="str">
        <f aca="false">IF(N1665&lt;判定条件!$C$6,"判定不能",IF(O1665&gt;=判定条件!$C$7*N1665,"運転",IF(O1665&lt;=判定条件!$C$8*N1665,"停止","断続")))</f>
        <v>停止</v>
      </c>
      <c r="Q1665" s="30" t="n">
        <v>60</v>
      </c>
      <c r="R1665" s="30" t="n">
        <v>0</v>
      </c>
      <c r="S1665" s="30" t="str">
        <f aca="false">IF(Q1665&lt;判定条件!$C$6,"判定不能",IF(R1665&gt;=判定条件!$C$7*Q1665,"運転",IF(R1665&lt;=判定条件!$C$8*Q1665,"停止","断続")))</f>
        <v>停止</v>
      </c>
      <c r="T1665" s="30" t="n">
        <v>60</v>
      </c>
      <c r="U1665" s="30" t="n">
        <v>0</v>
      </c>
      <c r="V1665" s="30" t="str">
        <f aca="false">IF(T1665&lt;判定条件!$C$6,"判定不能",IF(U1665&gt;=判定条件!$C$7*T1665,"運転",IF(U1665&lt;=判定条件!$C$8*T1665,"停止","断続")))</f>
        <v>停止</v>
      </c>
      <c r="W1665" s="30" t="n">
        <v>60</v>
      </c>
      <c r="X1665" s="30" t="n">
        <v>0</v>
      </c>
      <c r="Y1665" s="30" t="str">
        <f aca="false">IF(W1665&lt;判定条件!$C$6,"判定不能",IF(X1665&gt;=判定条件!$C$7*W1665,"運転",IF(X1665&lt;=判定条件!$C$8*W1665,"停止","断続")))</f>
        <v>停止</v>
      </c>
      <c r="Z1665" s="30" t="n">
        <v>60</v>
      </c>
      <c r="AA1665" s="30" t="n">
        <v>0</v>
      </c>
      <c r="AB1665" s="30" t="str">
        <f aca="false">IF(Z1665&lt;判定条件!$C$6,"判定不能",IF(AA1665&gt;=判定条件!$C$7*Z1665,"運転",IF(AA1665&lt;=判定条件!$C$8*Z1665,"停止","断続")))</f>
        <v>停止</v>
      </c>
      <c r="AC1665" s="30" t="n">
        <v>60</v>
      </c>
      <c r="AD1665" s="30" t="n">
        <v>0</v>
      </c>
      <c r="AE1665" s="30" t="str">
        <f aca="false">IF(AC1665&lt;判定条件!$C$6,"判定不能",IF(AD1665&gt;=判定条件!$C$7*AC1665,"運転",IF(AD1665&lt;=判定条件!$C$8*AC1665,"停止","断続")))</f>
        <v>停止</v>
      </c>
      <c r="AF1665" s="30" t="n">
        <v>60</v>
      </c>
      <c r="AG1665" s="30" t="n">
        <v>0</v>
      </c>
      <c r="AH1665" s="30" t="str">
        <f aca="false">IF(OR(P1665="判定不能",G1665="判定不能"),"判定不能",IF(AG1665&gt;=判定条件!$C$9,"利用可",IF(AND(P1665="停止",G1665="停止"),"両方停止","運転がそろわない")))</f>
        <v>両方停止</v>
      </c>
      <c r="AI1665" s="30" t="n">
        <v>60</v>
      </c>
      <c r="AJ1665" s="30" t="n">
        <v>0</v>
      </c>
      <c r="AK1665" s="30" t="str">
        <f aca="false">IF(OR(S1665="判定不能",J1665="判定不能"),"判定不能",IF(AJ1665&gt;=判定条件!$C$9,"利用可",IF(AND(S1665="停止",J1665="停止"),"両方停止","運転がそろわない")))</f>
        <v>両方停止</v>
      </c>
      <c r="AL1665" s="30" t="n">
        <v>60</v>
      </c>
      <c r="AM1665" s="30" t="n">
        <v>0</v>
      </c>
      <c r="AN1665" s="30" t="str">
        <f aca="false">IF(OR(V1665="判定不能",M1665="判定不能"),"判定不能",IF(AM1665&gt;=判定条件!$C$9,"利用可",IF(AND(V1665="停止",M1665="停止"),"両方停止","運転がそろわない")))</f>
        <v>両方停止</v>
      </c>
      <c r="AO1665" s="30" t="n">
        <v>60</v>
      </c>
      <c r="AP1665" s="30" t="n">
        <v>0</v>
      </c>
      <c r="AQ1665" s="30" t="str">
        <f aca="false">IF(OR(Y1665="判定不能",G1665="判定不能"),"判定不能",IF(AP1665&gt;=判定条件!$C$9,"利用可",IF(AND(Y1665="停止",G1665="停止"),"両方停止","運転がそろわない")))</f>
        <v>両方停止</v>
      </c>
      <c r="AR1665" s="30" t="n">
        <v>60</v>
      </c>
      <c r="AS1665" s="30" t="n">
        <v>0</v>
      </c>
      <c r="AT1665" s="30" t="str">
        <f aca="false">IF(OR(AB1665="判定不能",J1665="判定不能"),"判定不能",IF(AS1665&gt;=判定条件!$C$9,"利用可",IF(AND(AB1665="停止",J1665="停止"),"両方停止","運転がそろわない")))</f>
        <v>両方停止</v>
      </c>
      <c r="AU1665" s="30" t="n">
        <v>60</v>
      </c>
      <c r="AV1665" s="30" t="n">
        <v>0</v>
      </c>
      <c r="AW1665" s="30" t="str">
        <f aca="false">IF(OR(AE1665="判定不能",M1665="判定不能"),"判定不能",IF(AV1665&gt;=判定条件!$C$9,"利用可",IF(AND(AE1665="停止",M1665="停止"),"両方停止","運転がそろわない")))</f>
        <v>両方停止</v>
      </c>
      <c r="AX1665" s="30" t="str">
        <f aca="false">IF(AND(AH1665="利用可",AK1665="利用可",AN1665="利用可"),"利用可","不可")</f>
        <v>不可</v>
      </c>
      <c r="AY1665" s="30" t="str">
        <f aca="false">IF(AND(AQ1665="利用可",AT1665="利用可",AW1665="利用可"),"利用可","不可")</f>
        <v>不可</v>
      </c>
    </row>
    <row r="1666" customFormat="false" ht="15" hidden="false" customHeight="false" outlineLevel="0" collapsed="false">
      <c r="A1666" s="29" t="n">
        <v>46301</v>
      </c>
      <c r="B1666" s="30" t="n">
        <v>7</v>
      </c>
      <c r="C1666" s="31" t="s">
        <v>67</v>
      </c>
      <c r="D1666" s="31" t="s">
        <v>59</v>
      </c>
      <c r="E1666" s="30" t="n">
        <v>60</v>
      </c>
      <c r="F1666" s="30" t="n">
        <v>0</v>
      </c>
      <c r="G1666" s="30" t="str">
        <f aca="false">IF(E1666&lt;判定条件!$C$6,"判定不能",IF(F1666&gt;=判定条件!$C$7*E1666,"運転",IF(F1666&lt;=判定条件!$C$8*E1666,"停止","断続")))</f>
        <v>停止</v>
      </c>
      <c r="H1666" s="30" t="n">
        <v>60</v>
      </c>
      <c r="I1666" s="30" t="n">
        <v>0</v>
      </c>
      <c r="J1666" s="30" t="str">
        <f aca="false">IF(H1666&lt;判定条件!$C$6,"判定不能",IF(I1666&gt;=判定条件!$C$7*H1666,"運転",IF(I1666&lt;=判定条件!$C$8*H1666,"停止","断続")))</f>
        <v>停止</v>
      </c>
      <c r="K1666" s="30" t="n">
        <v>60</v>
      </c>
      <c r="L1666" s="30" t="n">
        <v>0</v>
      </c>
      <c r="M1666" s="30" t="str">
        <f aca="false">IF(K1666&lt;判定条件!$C$6,"判定不能",IF(L1666&gt;=判定条件!$C$7*K1666,"運転",IF(L1666&lt;=判定条件!$C$8*K1666,"停止","断続")))</f>
        <v>停止</v>
      </c>
      <c r="N1666" s="30" t="n">
        <v>60</v>
      </c>
      <c r="O1666" s="30" t="n">
        <v>0</v>
      </c>
      <c r="P1666" s="30" t="str">
        <f aca="false">IF(N1666&lt;判定条件!$C$6,"判定不能",IF(O1666&gt;=判定条件!$C$7*N1666,"運転",IF(O1666&lt;=判定条件!$C$8*N1666,"停止","断続")))</f>
        <v>停止</v>
      </c>
      <c r="Q1666" s="30" t="n">
        <v>60</v>
      </c>
      <c r="R1666" s="30" t="n">
        <v>24</v>
      </c>
      <c r="S1666" s="30" t="str">
        <f aca="false">IF(Q1666&lt;判定条件!$C$6,"判定不能",IF(R1666&gt;=判定条件!$C$7*Q1666,"運転",IF(R1666&lt;=判定条件!$C$8*Q1666,"停止","断続")))</f>
        <v>断続</v>
      </c>
      <c r="T1666" s="30" t="n">
        <v>60</v>
      </c>
      <c r="U1666" s="30" t="n">
        <v>27</v>
      </c>
      <c r="V1666" s="30" t="str">
        <f aca="false">IF(T1666&lt;判定条件!$C$6,"判定不能",IF(U1666&gt;=判定条件!$C$7*T1666,"運転",IF(U1666&lt;=判定条件!$C$8*T1666,"停止","断続")))</f>
        <v>断続</v>
      </c>
      <c r="W1666" s="30" t="n">
        <v>60</v>
      </c>
      <c r="X1666" s="30" t="n">
        <v>20</v>
      </c>
      <c r="Y1666" s="30" t="str">
        <f aca="false">IF(W1666&lt;判定条件!$C$6,"判定不能",IF(X1666&gt;=判定条件!$C$7*W1666,"運転",IF(X1666&lt;=判定条件!$C$8*W1666,"停止","断続")))</f>
        <v>断続</v>
      </c>
      <c r="Z1666" s="30" t="n">
        <v>60</v>
      </c>
      <c r="AA1666" s="30" t="n">
        <v>18</v>
      </c>
      <c r="AB1666" s="30" t="str">
        <f aca="false">IF(Z1666&lt;判定条件!$C$6,"判定不能",IF(AA1666&gt;=判定条件!$C$7*Z1666,"運転",IF(AA1666&lt;=判定条件!$C$8*Z1666,"停止","断続")))</f>
        <v>断続</v>
      </c>
      <c r="AC1666" s="30" t="n">
        <v>60</v>
      </c>
      <c r="AD1666" s="30" t="n">
        <v>56</v>
      </c>
      <c r="AE1666" s="30" t="str">
        <f aca="false">IF(AC1666&lt;判定条件!$C$6,"判定不能",IF(AD1666&gt;=判定条件!$C$7*AC1666,"運転",IF(AD1666&lt;=判定条件!$C$8*AC1666,"停止","断続")))</f>
        <v>運転</v>
      </c>
      <c r="AF1666" s="30" t="n">
        <v>60</v>
      </c>
      <c r="AG1666" s="30" t="n">
        <v>0</v>
      </c>
      <c r="AH1666" s="30" t="str">
        <f aca="false">IF(OR(P1666="判定不能",G1666="判定不能"),"判定不能",IF(AG1666&gt;=判定条件!$C$9,"利用可",IF(AND(P1666="停止",G1666="停止"),"両方停止","運転がそろわない")))</f>
        <v>両方停止</v>
      </c>
      <c r="AI1666" s="30" t="n">
        <v>60</v>
      </c>
      <c r="AJ1666" s="30" t="n">
        <v>0</v>
      </c>
      <c r="AK1666" s="30" t="str">
        <f aca="false">IF(OR(S1666="判定不能",J1666="判定不能"),"判定不能",IF(AJ1666&gt;=判定条件!$C$9,"利用可",IF(AND(S1666="停止",J1666="停止"),"両方停止","運転がそろわない")))</f>
        <v>運転がそろわない</v>
      </c>
      <c r="AL1666" s="30" t="n">
        <v>60</v>
      </c>
      <c r="AM1666" s="30" t="n">
        <v>0</v>
      </c>
      <c r="AN1666" s="30" t="str">
        <f aca="false">IF(OR(V1666="判定不能",M1666="判定不能"),"判定不能",IF(AM1666&gt;=判定条件!$C$9,"利用可",IF(AND(V1666="停止",M1666="停止"),"両方停止","運転がそろわない")))</f>
        <v>運転がそろわない</v>
      </c>
      <c r="AO1666" s="30" t="n">
        <v>60</v>
      </c>
      <c r="AP1666" s="30" t="n">
        <v>0</v>
      </c>
      <c r="AQ1666" s="30" t="str">
        <f aca="false">IF(OR(Y1666="判定不能",G1666="判定不能"),"判定不能",IF(AP1666&gt;=判定条件!$C$9,"利用可",IF(AND(Y1666="停止",G1666="停止"),"両方停止","運転がそろわない")))</f>
        <v>運転がそろわない</v>
      </c>
      <c r="AR1666" s="30" t="n">
        <v>60</v>
      </c>
      <c r="AS1666" s="30" t="n">
        <v>0</v>
      </c>
      <c r="AT1666" s="30" t="str">
        <f aca="false">IF(OR(AB1666="判定不能",J1666="判定不能"),"判定不能",IF(AS1666&gt;=判定条件!$C$9,"利用可",IF(AND(AB1666="停止",J1666="停止"),"両方停止","運転がそろわない")))</f>
        <v>運転がそろわない</v>
      </c>
      <c r="AU1666" s="30" t="n">
        <v>60</v>
      </c>
      <c r="AV1666" s="30" t="n">
        <v>0</v>
      </c>
      <c r="AW1666" s="30" t="str">
        <f aca="false">IF(OR(AE1666="判定不能",M1666="判定不能"),"判定不能",IF(AV1666&gt;=判定条件!$C$9,"利用可",IF(AND(AE1666="停止",M1666="停止"),"両方停止","運転がそろわない")))</f>
        <v>運転がそろわない</v>
      </c>
      <c r="AX1666" s="30" t="str">
        <f aca="false">IF(AND(AH1666="利用可",AK1666="利用可",AN1666="利用可"),"利用可","不可")</f>
        <v>不可</v>
      </c>
      <c r="AY1666" s="30" t="str">
        <f aca="false">IF(AND(AQ1666="利用可",AT1666="利用可",AW1666="利用可"),"利用可","不可")</f>
        <v>不可</v>
      </c>
    </row>
    <row r="1667" customFormat="false" ht="15" hidden="false" customHeight="false" outlineLevel="0" collapsed="false">
      <c r="A1667" s="29" t="n">
        <v>46301</v>
      </c>
      <c r="B1667" s="30" t="n">
        <v>8</v>
      </c>
      <c r="C1667" s="31" t="s">
        <v>67</v>
      </c>
      <c r="D1667" s="31" t="s">
        <v>59</v>
      </c>
      <c r="E1667" s="30" t="n">
        <v>60</v>
      </c>
      <c r="F1667" s="30" t="n">
        <v>0</v>
      </c>
      <c r="G1667" s="30" t="str">
        <f aca="false">IF(E1667&lt;判定条件!$C$6,"判定不能",IF(F1667&gt;=判定条件!$C$7*E1667,"運転",IF(F1667&lt;=判定条件!$C$8*E1667,"停止","断続")))</f>
        <v>停止</v>
      </c>
      <c r="H1667" s="30" t="n">
        <v>60</v>
      </c>
      <c r="I1667" s="30" t="n">
        <v>0</v>
      </c>
      <c r="J1667" s="30" t="str">
        <f aca="false">IF(H1667&lt;判定条件!$C$6,"判定不能",IF(I1667&gt;=判定条件!$C$7*H1667,"運転",IF(I1667&lt;=判定条件!$C$8*H1667,"停止","断続")))</f>
        <v>停止</v>
      </c>
      <c r="K1667" s="30" t="n">
        <v>60</v>
      </c>
      <c r="L1667" s="30" t="n">
        <v>0</v>
      </c>
      <c r="M1667" s="30" t="str">
        <f aca="false">IF(K1667&lt;判定条件!$C$6,"判定不能",IF(L1667&gt;=判定条件!$C$7*K1667,"運転",IF(L1667&lt;=判定条件!$C$8*K1667,"停止","断続")))</f>
        <v>停止</v>
      </c>
      <c r="N1667" s="30" t="n">
        <v>60</v>
      </c>
      <c r="O1667" s="30" t="n">
        <v>51</v>
      </c>
      <c r="P1667" s="30" t="str">
        <f aca="false">IF(N1667&lt;判定条件!$C$6,"判定不能",IF(O1667&gt;=判定条件!$C$7*N1667,"運転",IF(O1667&lt;=判定条件!$C$8*N1667,"停止","断続")))</f>
        <v>運転</v>
      </c>
      <c r="Q1667" s="30" t="n">
        <v>60</v>
      </c>
      <c r="R1667" s="30" t="n">
        <v>60</v>
      </c>
      <c r="S1667" s="30" t="str">
        <f aca="false">IF(Q1667&lt;判定条件!$C$6,"判定不能",IF(R1667&gt;=判定条件!$C$7*Q1667,"運転",IF(R1667&lt;=判定条件!$C$8*Q1667,"停止","断続")))</f>
        <v>運転</v>
      </c>
      <c r="T1667" s="30" t="n">
        <v>60</v>
      </c>
      <c r="U1667" s="30" t="n">
        <v>52</v>
      </c>
      <c r="V1667" s="30" t="str">
        <f aca="false">IF(T1667&lt;判定条件!$C$6,"判定不能",IF(U1667&gt;=判定条件!$C$7*T1667,"運転",IF(U1667&lt;=判定条件!$C$8*T1667,"停止","断続")))</f>
        <v>運転</v>
      </c>
      <c r="W1667" s="30" t="n">
        <v>60</v>
      </c>
      <c r="X1667" s="30" t="n">
        <v>49</v>
      </c>
      <c r="Y1667" s="30" t="str">
        <f aca="false">IF(W1667&lt;判定条件!$C$6,"判定不能",IF(X1667&gt;=判定条件!$C$7*W1667,"運転",IF(X1667&lt;=判定条件!$C$8*W1667,"停止","断続")))</f>
        <v>運転</v>
      </c>
      <c r="Z1667" s="30" t="n">
        <v>60</v>
      </c>
      <c r="AA1667" s="30" t="n">
        <v>57</v>
      </c>
      <c r="AB1667" s="30" t="str">
        <f aca="false">IF(Z1667&lt;判定条件!$C$6,"判定不能",IF(AA1667&gt;=判定条件!$C$7*Z1667,"運転",IF(AA1667&lt;=判定条件!$C$8*Z1667,"停止","断続")))</f>
        <v>運転</v>
      </c>
      <c r="AC1667" s="30" t="n">
        <v>60</v>
      </c>
      <c r="AD1667" s="30" t="n">
        <v>60</v>
      </c>
      <c r="AE1667" s="30" t="str">
        <f aca="false">IF(AC1667&lt;判定条件!$C$6,"判定不能",IF(AD1667&gt;=判定条件!$C$7*AC1667,"運転",IF(AD1667&lt;=判定条件!$C$8*AC1667,"停止","断続")))</f>
        <v>運転</v>
      </c>
      <c r="AF1667" s="30" t="n">
        <v>60</v>
      </c>
      <c r="AG1667" s="30" t="n">
        <v>0</v>
      </c>
      <c r="AH1667" s="30" t="str">
        <f aca="false">IF(OR(P1667="判定不能",G1667="判定不能"),"判定不能",IF(AG1667&gt;=判定条件!$C$9,"利用可",IF(AND(P1667="停止",G1667="停止"),"両方停止","運転がそろわない")))</f>
        <v>運転がそろわない</v>
      </c>
      <c r="AI1667" s="30" t="n">
        <v>60</v>
      </c>
      <c r="AJ1667" s="30" t="n">
        <v>0</v>
      </c>
      <c r="AK1667" s="30" t="str">
        <f aca="false">IF(OR(S1667="判定不能",J1667="判定不能"),"判定不能",IF(AJ1667&gt;=判定条件!$C$9,"利用可",IF(AND(S1667="停止",J1667="停止"),"両方停止","運転がそろわない")))</f>
        <v>運転がそろわない</v>
      </c>
      <c r="AL1667" s="30" t="n">
        <v>60</v>
      </c>
      <c r="AM1667" s="30" t="n">
        <v>0</v>
      </c>
      <c r="AN1667" s="30" t="str">
        <f aca="false">IF(OR(V1667="判定不能",M1667="判定不能"),"判定不能",IF(AM1667&gt;=判定条件!$C$9,"利用可",IF(AND(V1667="停止",M1667="停止"),"両方停止","運転がそろわない")))</f>
        <v>運転がそろわない</v>
      </c>
      <c r="AO1667" s="30" t="n">
        <v>60</v>
      </c>
      <c r="AP1667" s="30" t="n">
        <v>0</v>
      </c>
      <c r="AQ1667" s="30" t="str">
        <f aca="false">IF(OR(Y1667="判定不能",G1667="判定不能"),"判定不能",IF(AP1667&gt;=判定条件!$C$9,"利用可",IF(AND(Y1667="停止",G1667="停止"),"両方停止","運転がそろわない")))</f>
        <v>運転がそろわない</v>
      </c>
      <c r="AR1667" s="30" t="n">
        <v>60</v>
      </c>
      <c r="AS1667" s="30" t="n">
        <v>0</v>
      </c>
      <c r="AT1667" s="30" t="str">
        <f aca="false">IF(OR(AB1667="判定不能",J1667="判定不能"),"判定不能",IF(AS1667&gt;=判定条件!$C$9,"利用可",IF(AND(AB1667="停止",J1667="停止"),"両方停止","運転がそろわない")))</f>
        <v>運転がそろわない</v>
      </c>
      <c r="AU1667" s="30" t="n">
        <v>60</v>
      </c>
      <c r="AV1667" s="30" t="n">
        <v>0</v>
      </c>
      <c r="AW1667" s="30" t="str">
        <f aca="false">IF(OR(AE1667="判定不能",M1667="判定不能"),"判定不能",IF(AV1667&gt;=判定条件!$C$9,"利用可",IF(AND(AE1667="停止",M1667="停止"),"両方停止","運転がそろわない")))</f>
        <v>運転がそろわない</v>
      </c>
      <c r="AX1667" s="30" t="str">
        <f aca="false">IF(AND(AH1667="利用可",AK1667="利用可",AN1667="利用可"),"利用可","不可")</f>
        <v>不可</v>
      </c>
      <c r="AY1667" s="30" t="str">
        <f aca="false">IF(AND(AQ1667="利用可",AT1667="利用可",AW1667="利用可"),"利用可","不可")</f>
        <v>不可</v>
      </c>
    </row>
    <row r="1668" customFormat="false" ht="15" hidden="false" customHeight="false" outlineLevel="0" collapsed="false">
      <c r="A1668" s="29" t="n">
        <v>46301</v>
      </c>
      <c r="B1668" s="30" t="n">
        <v>9</v>
      </c>
      <c r="C1668" s="31" t="s">
        <v>67</v>
      </c>
      <c r="D1668" s="31" t="s">
        <v>59</v>
      </c>
      <c r="E1668" s="30" t="n">
        <v>60</v>
      </c>
      <c r="F1668" s="30" t="n">
        <v>23</v>
      </c>
      <c r="G1668" s="30" t="str">
        <f aca="false">IF(E1668&lt;判定条件!$C$6,"判定不能",IF(F1668&gt;=判定条件!$C$7*E1668,"運転",IF(F1668&lt;=判定条件!$C$8*E1668,"停止","断続")))</f>
        <v>断続</v>
      </c>
      <c r="H1668" s="30" t="n">
        <v>60</v>
      </c>
      <c r="I1668" s="30" t="n">
        <v>28</v>
      </c>
      <c r="J1668" s="30" t="str">
        <f aca="false">IF(H1668&lt;判定条件!$C$6,"判定不能",IF(I1668&gt;=判定条件!$C$7*H1668,"運転",IF(I1668&lt;=判定条件!$C$8*H1668,"停止","断続")))</f>
        <v>断続</v>
      </c>
      <c r="K1668" s="30" t="n">
        <v>60</v>
      </c>
      <c r="L1668" s="30" t="n">
        <v>45</v>
      </c>
      <c r="M1668" s="30" t="str">
        <f aca="false">IF(K1668&lt;判定条件!$C$6,"判定不能",IF(L1668&gt;=判定条件!$C$7*K1668,"運転",IF(L1668&lt;=判定条件!$C$8*K1668,"停止","断続")))</f>
        <v>断続</v>
      </c>
      <c r="N1668" s="30" t="n">
        <v>60</v>
      </c>
      <c r="O1668" s="30" t="n">
        <v>54</v>
      </c>
      <c r="P1668" s="30" t="str">
        <f aca="false">IF(N1668&lt;判定条件!$C$6,"判定不能",IF(O1668&gt;=判定条件!$C$7*N1668,"運転",IF(O1668&lt;=判定条件!$C$8*N1668,"停止","断続")))</f>
        <v>運転</v>
      </c>
      <c r="Q1668" s="30" t="n">
        <v>60</v>
      </c>
      <c r="R1668" s="30" t="n">
        <v>60</v>
      </c>
      <c r="S1668" s="30" t="str">
        <f aca="false">IF(Q1668&lt;判定条件!$C$6,"判定不能",IF(R1668&gt;=判定条件!$C$7*Q1668,"運転",IF(R1668&lt;=判定条件!$C$8*Q1668,"停止","断続")))</f>
        <v>運転</v>
      </c>
      <c r="T1668" s="30" t="n">
        <v>60</v>
      </c>
      <c r="U1668" s="30" t="n">
        <v>60</v>
      </c>
      <c r="V1668" s="30" t="str">
        <f aca="false">IF(T1668&lt;判定条件!$C$6,"判定不能",IF(U1668&gt;=判定条件!$C$7*T1668,"運転",IF(U1668&lt;=判定条件!$C$8*T1668,"停止","断続")))</f>
        <v>運転</v>
      </c>
      <c r="W1668" s="30" t="n">
        <v>60</v>
      </c>
      <c r="X1668" s="30" t="n">
        <v>60</v>
      </c>
      <c r="Y1668" s="30" t="str">
        <f aca="false">IF(W1668&lt;判定条件!$C$6,"判定不能",IF(X1668&gt;=判定条件!$C$7*W1668,"運転",IF(X1668&lt;=判定条件!$C$8*W1668,"停止","断続")))</f>
        <v>運転</v>
      </c>
      <c r="Z1668" s="30" t="n">
        <v>60</v>
      </c>
      <c r="AA1668" s="30" t="n">
        <v>60</v>
      </c>
      <c r="AB1668" s="30" t="str">
        <f aca="false">IF(Z1668&lt;判定条件!$C$6,"判定不能",IF(AA1668&gt;=判定条件!$C$7*Z1668,"運転",IF(AA1668&lt;=判定条件!$C$8*Z1668,"停止","断続")))</f>
        <v>運転</v>
      </c>
      <c r="AC1668" s="30" t="n">
        <v>60</v>
      </c>
      <c r="AD1668" s="30" t="n">
        <v>60</v>
      </c>
      <c r="AE1668" s="30" t="str">
        <f aca="false">IF(AC1668&lt;判定条件!$C$6,"判定不能",IF(AD1668&gt;=判定条件!$C$7*AC1668,"運転",IF(AD1668&lt;=判定条件!$C$8*AC1668,"停止","断続")))</f>
        <v>運転</v>
      </c>
      <c r="AF1668" s="30" t="n">
        <v>60</v>
      </c>
      <c r="AG1668" s="30" t="n">
        <v>20</v>
      </c>
      <c r="AH1668" s="30" t="str">
        <f aca="false">IF(OR(P1668="判定不能",G1668="判定不能"),"判定不能",IF(AG1668&gt;=判定条件!$C$9,"利用可",IF(AND(P1668="停止",G1668="停止"),"両方停止","運転がそろわない")))</f>
        <v>運転がそろわない</v>
      </c>
      <c r="AI1668" s="30" t="n">
        <v>60</v>
      </c>
      <c r="AJ1668" s="30" t="n">
        <v>28</v>
      </c>
      <c r="AK1668" s="30" t="str">
        <f aca="false">IF(OR(S1668="判定不能",J1668="判定不能"),"判定不能",IF(AJ1668&gt;=判定条件!$C$9,"利用可",IF(AND(S1668="停止",J1668="停止"),"両方停止","運転がそろわない")))</f>
        <v>運転がそろわない</v>
      </c>
      <c r="AL1668" s="30" t="n">
        <v>60</v>
      </c>
      <c r="AM1668" s="30" t="n">
        <v>45</v>
      </c>
      <c r="AN1668" s="30" t="str">
        <f aca="false">IF(OR(V1668="判定不能",M1668="判定不能"),"判定不能",IF(AM1668&gt;=判定条件!$C$9,"利用可",IF(AND(V1668="停止",M1668="停止"),"両方停止","運転がそろわない")))</f>
        <v>利用可</v>
      </c>
      <c r="AO1668" s="30" t="n">
        <v>60</v>
      </c>
      <c r="AP1668" s="30" t="n">
        <v>23</v>
      </c>
      <c r="AQ1668" s="30" t="str">
        <f aca="false">IF(OR(Y1668="判定不能",G1668="判定不能"),"判定不能",IF(AP1668&gt;=判定条件!$C$9,"利用可",IF(AND(Y1668="停止",G1668="停止"),"両方停止","運転がそろわない")))</f>
        <v>運転がそろわない</v>
      </c>
      <c r="AR1668" s="30" t="n">
        <v>60</v>
      </c>
      <c r="AS1668" s="30" t="n">
        <v>28</v>
      </c>
      <c r="AT1668" s="30" t="str">
        <f aca="false">IF(OR(AB1668="判定不能",J1668="判定不能"),"判定不能",IF(AS1668&gt;=判定条件!$C$9,"利用可",IF(AND(AB1668="停止",J1668="停止"),"両方停止","運転がそろわない")))</f>
        <v>運転がそろわない</v>
      </c>
      <c r="AU1668" s="30" t="n">
        <v>60</v>
      </c>
      <c r="AV1668" s="30" t="n">
        <v>45</v>
      </c>
      <c r="AW1668" s="30" t="str">
        <f aca="false">IF(OR(AE1668="判定不能",M1668="判定不能"),"判定不能",IF(AV1668&gt;=判定条件!$C$9,"利用可",IF(AND(AE1668="停止",M1668="停止"),"両方停止","運転がそろわない")))</f>
        <v>利用可</v>
      </c>
      <c r="AX1668" s="30" t="str">
        <f aca="false">IF(AND(AH1668="利用可",AK1668="利用可",AN1668="利用可"),"利用可","不可")</f>
        <v>不可</v>
      </c>
      <c r="AY1668" s="30" t="str">
        <f aca="false">IF(AND(AQ1668="利用可",AT1668="利用可",AW1668="利用可"),"利用可","不可")</f>
        <v>不可</v>
      </c>
    </row>
    <row r="1669" customFormat="false" ht="15" hidden="false" customHeight="false" outlineLevel="0" collapsed="false">
      <c r="A1669" s="29" t="n">
        <v>46301</v>
      </c>
      <c r="B1669" s="30" t="n">
        <v>10</v>
      </c>
      <c r="C1669" s="31" t="s">
        <v>67</v>
      </c>
      <c r="D1669" s="31" t="s">
        <v>59</v>
      </c>
      <c r="E1669" s="30" t="n">
        <v>60</v>
      </c>
      <c r="F1669" s="30" t="n">
        <v>40</v>
      </c>
      <c r="G1669" s="30" t="str">
        <f aca="false">IF(E1669&lt;判定条件!$C$6,"判定不能",IF(F1669&gt;=判定条件!$C$7*E1669,"運転",IF(F1669&lt;=判定条件!$C$8*E1669,"停止","断続")))</f>
        <v>断続</v>
      </c>
      <c r="H1669" s="30" t="n">
        <v>60</v>
      </c>
      <c r="I1669" s="30" t="n">
        <v>45</v>
      </c>
      <c r="J1669" s="30" t="str">
        <f aca="false">IF(H1669&lt;判定条件!$C$6,"判定不能",IF(I1669&gt;=判定条件!$C$7*H1669,"運転",IF(I1669&lt;=判定条件!$C$8*H1669,"停止","断続")))</f>
        <v>断続</v>
      </c>
      <c r="K1669" s="30" t="n">
        <v>60</v>
      </c>
      <c r="L1669" s="30" t="n">
        <v>60</v>
      </c>
      <c r="M1669" s="30" t="str">
        <f aca="false">IF(K1669&lt;判定条件!$C$6,"判定不能",IF(L1669&gt;=判定条件!$C$7*K1669,"運転",IF(L1669&lt;=判定条件!$C$8*K1669,"停止","断続")))</f>
        <v>運転</v>
      </c>
      <c r="N1669" s="30" t="n">
        <v>60</v>
      </c>
      <c r="O1669" s="30" t="n">
        <v>60</v>
      </c>
      <c r="P1669" s="30" t="str">
        <f aca="false">IF(N1669&lt;判定条件!$C$6,"判定不能",IF(O1669&gt;=判定条件!$C$7*N1669,"運転",IF(O1669&lt;=判定条件!$C$8*N1669,"停止","断続")))</f>
        <v>運転</v>
      </c>
      <c r="Q1669" s="30" t="n">
        <v>60</v>
      </c>
      <c r="R1669" s="30" t="n">
        <v>60</v>
      </c>
      <c r="S1669" s="30" t="str">
        <f aca="false">IF(Q1669&lt;判定条件!$C$6,"判定不能",IF(R1669&gt;=判定条件!$C$7*Q1669,"運転",IF(R1669&lt;=判定条件!$C$8*Q1669,"停止","断続")))</f>
        <v>運転</v>
      </c>
      <c r="T1669" s="30" t="n">
        <v>60</v>
      </c>
      <c r="U1669" s="30" t="n">
        <v>60</v>
      </c>
      <c r="V1669" s="30" t="str">
        <f aca="false">IF(T1669&lt;判定条件!$C$6,"判定不能",IF(U1669&gt;=判定条件!$C$7*T1669,"運転",IF(U1669&lt;=判定条件!$C$8*T1669,"停止","断続")))</f>
        <v>運転</v>
      </c>
      <c r="W1669" s="30" t="n">
        <v>60</v>
      </c>
      <c r="X1669" s="30" t="n">
        <v>60</v>
      </c>
      <c r="Y1669" s="30" t="str">
        <f aca="false">IF(W1669&lt;判定条件!$C$6,"判定不能",IF(X1669&gt;=判定条件!$C$7*W1669,"運転",IF(X1669&lt;=判定条件!$C$8*W1669,"停止","断続")))</f>
        <v>運転</v>
      </c>
      <c r="Z1669" s="30" t="n">
        <v>60</v>
      </c>
      <c r="AA1669" s="30" t="n">
        <v>60</v>
      </c>
      <c r="AB1669" s="30" t="str">
        <f aca="false">IF(Z1669&lt;判定条件!$C$6,"判定不能",IF(AA1669&gt;=判定条件!$C$7*Z1669,"運転",IF(AA1669&lt;=判定条件!$C$8*Z1669,"停止","断続")))</f>
        <v>運転</v>
      </c>
      <c r="AC1669" s="30" t="n">
        <v>60</v>
      </c>
      <c r="AD1669" s="30" t="n">
        <v>60</v>
      </c>
      <c r="AE1669" s="30" t="str">
        <f aca="false">IF(AC1669&lt;判定条件!$C$6,"判定不能",IF(AD1669&gt;=判定条件!$C$7*AC1669,"運転",IF(AD1669&lt;=判定条件!$C$8*AC1669,"停止","断続")))</f>
        <v>運転</v>
      </c>
      <c r="AF1669" s="30" t="n">
        <v>60</v>
      </c>
      <c r="AG1669" s="30" t="n">
        <v>40</v>
      </c>
      <c r="AH1669" s="30" t="str">
        <f aca="false">IF(OR(P1669="判定不能",G1669="判定不能"),"判定不能",IF(AG1669&gt;=判定条件!$C$9,"利用可",IF(AND(P1669="停止",G1669="停止"),"両方停止","運転がそろわない")))</f>
        <v>利用可</v>
      </c>
      <c r="AI1669" s="30" t="n">
        <v>60</v>
      </c>
      <c r="AJ1669" s="30" t="n">
        <v>45</v>
      </c>
      <c r="AK1669" s="30" t="str">
        <f aca="false">IF(OR(S1669="判定不能",J1669="判定不能"),"判定不能",IF(AJ1669&gt;=判定条件!$C$9,"利用可",IF(AND(S1669="停止",J1669="停止"),"両方停止","運転がそろわない")))</f>
        <v>利用可</v>
      </c>
      <c r="AL1669" s="30" t="n">
        <v>60</v>
      </c>
      <c r="AM1669" s="30" t="n">
        <v>60</v>
      </c>
      <c r="AN1669" s="30" t="str">
        <f aca="false">IF(OR(V1669="判定不能",M1669="判定不能"),"判定不能",IF(AM1669&gt;=判定条件!$C$9,"利用可",IF(AND(V1669="停止",M1669="停止"),"両方停止","運転がそろわない")))</f>
        <v>利用可</v>
      </c>
      <c r="AO1669" s="30" t="n">
        <v>60</v>
      </c>
      <c r="AP1669" s="30" t="n">
        <v>40</v>
      </c>
      <c r="AQ1669" s="30" t="str">
        <f aca="false">IF(OR(Y1669="判定不能",G1669="判定不能"),"判定不能",IF(AP1669&gt;=判定条件!$C$9,"利用可",IF(AND(Y1669="停止",G1669="停止"),"両方停止","運転がそろわない")))</f>
        <v>利用可</v>
      </c>
      <c r="AR1669" s="30" t="n">
        <v>60</v>
      </c>
      <c r="AS1669" s="30" t="n">
        <v>45</v>
      </c>
      <c r="AT1669" s="30" t="str">
        <f aca="false">IF(OR(AB1669="判定不能",J1669="判定不能"),"判定不能",IF(AS1669&gt;=判定条件!$C$9,"利用可",IF(AND(AB1669="停止",J1669="停止"),"両方停止","運転がそろわない")))</f>
        <v>利用可</v>
      </c>
      <c r="AU1669" s="30" t="n">
        <v>60</v>
      </c>
      <c r="AV1669" s="30" t="n">
        <v>60</v>
      </c>
      <c r="AW1669" s="30" t="str">
        <f aca="false">IF(OR(AE1669="判定不能",M1669="判定不能"),"判定不能",IF(AV1669&gt;=判定条件!$C$9,"利用可",IF(AND(AE1669="停止",M1669="停止"),"両方停止","運転がそろわない")))</f>
        <v>利用可</v>
      </c>
      <c r="AX1669" s="30" t="str">
        <f aca="false">IF(AND(AH1669="利用可",AK1669="利用可",AN1669="利用可"),"利用可","不可")</f>
        <v>利用可</v>
      </c>
      <c r="AY1669" s="30" t="str">
        <f aca="false">IF(AND(AQ1669="利用可",AT1669="利用可",AW1669="利用可"),"利用可","不可")</f>
        <v>利用可</v>
      </c>
    </row>
    <row r="1670" customFormat="false" ht="15" hidden="false" customHeight="false" outlineLevel="0" collapsed="false">
      <c r="A1670" s="29" t="n">
        <v>46301</v>
      </c>
      <c r="B1670" s="30" t="n">
        <v>11</v>
      </c>
      <c r="C1670" s="31" t="s">
        <v>67</v>
      </c>
      <c r="D1670" s="31" t="s">
        <v>59</v>
      </c>
      <c r="E1670" s="30" t="n">
        <v>60</v>
      </c>
      <c r="F1670" s="30" t="n">
        <v>60</v>
      </c>
      <c r="G1670" s="30" t="str">
        <f aca="false">IF(E1670&lt;判定条件!$C$6,"判定不能",IF(F1670&gt;=判定条件!$C$7*E1670,"運転",IF(F1670&lt;=判定条件!$C$8*E1670,"停止","断続")))</f>
        <v>運転</v>
      </c>
      <c r="H1670" s="30" t="n">
        <v>60</v>
      </c>
      <c r="I1670" s="30" t="n">
        <v>58</v>
      </c>
      <c r="J1670" s="30" t="str">
        <f aca="false">IF(H1670&lt;判定条件!$C$6,"判定不能",IF(I1670&gt;=判定条件!$C$7*H1670,"運転",IF(I1670&lt;=判定条件!$C$8*H1670,"停止","断続")))</f>
        <v>運転</v>
      </c>
      <c r="K1670" s="30" t="n">
        <v>60</v>
      </c>
      <c r="L1670" s="30" t="n">
        <v>60</v>
      </c>
      <c r="M1670" s="30" t="str">
        <f aca="false">IF(K1670&lt;判定条件!$C$6,"判定不能",IF(L1670&gt;=判定条件!$C$7*K1670,"運転",IF(L1670&lt;=判定条件!$C$8*K1670,"停止","断続")))</f>
        <v>運転</v>
      </c>
      <c r="N1670" s="30" t="n">
        <v>60</v>
      </c>
      <c r="O1670" s="30" t="n">
        <v>55</v>
      </c>
      <c r="P1670" s="30" t="str">
        <f aca="false">IF(N1670&lt;判定条件!$C$6,"判定不能",IF(O1670&gt;=判定条件!$C$7*N1670,"運転",IF(O1670&lt;=判定条件!$C$8*N1670,"停止","断続")))</f>
        <v>運転</v>
      </c>
      <c r="Q1670" s="30" t="n">
        <v>60</v>
      </c>
      <c r="R1670" s="30" t="n">
        <v>60</v>
      </c>
      <c r="S1670" s="30" t="str">
        <f aca="false">IF(Q1670&lt;判定条件!$C$6,"判定不能",IF(R1670&gt;=判定条件!$C$7*Q1670,"運転",IF(R1670&lt;=判定条件!$C$8*Q1670,"停止","断続")))</f>
        <v>運転</v>
      </c>
      <c r="T1670" s="30" t="n">
        <v>60</v>
      </c>
      <c r="U1670" s="30" t="n">
        <v>60</v>
      </c>
      <c r="V1670" s="30" t="str">
        <f aca="false">IF(T1670&lt;判定条件!$C$6,"判定不能",IF(U1670&gt;=判定条件!$C$7*T1670,"運転",IF(U1670&lt;=判定条件!$C$8*T1670,"停止","断続")))</f>
        <v>運転</v>
      </c>
      <c r="W1670" s="30" t="n">
        <v>60</v>
      </c>
      <c r="X1670" s="30" t="n">
        <v>54</v>
      </c>
      <c r="Y1670" s="30" t="str">
        <f aca="false">IF(W1670&lt;判定条件!$C$6,"判定不能",IF(X1670&gt;=判定条件!$C$7*W1670,"運転",IF(X1670&lt;=判定条件!$C$8*W1670,"停止","断続")))</f>
        <v>運転</v>
      </c>
      <c r="Z1670" s="30" t="n">
        <v>60</v>
      </c>
      <c r="AA1670" s="30" t="n">
        <v>60</v>
      </c>
      <c r="AB1670" s="30" t="str">
        <f aca="false">IF(Z1670&lt;判定条件!$C$6,"判定不能",IF(AA1670&gt;=判定条件!$C$7*Z1670,"運転",IF(AA1670&lt;=判定条件!$C$8*Z1670,"停止","断続")))</f>
        <v>運転</v>
      </c>
      <c r="AC1670" s="30" t="n">
        <v>60</v>
      </c>
      <c r="AD1670" s="30" t="n">
        <v>60</v>
      </c>
      <c r="AE1670" s="30" t="str">
        <f aca="false">IF(AC1670&lt;判定条件!$C$6,"判定不能",IF(AD1670&gt;=判定条件!$C$7*AC1670,"運転",IF(AD1670&lt;=判定条件!$C$8*AC1670,"停止","断続")))</f>
        <v>運転</v>
      </c>
      <c r="AF1670" s="30" t="n">
        <v>60</v>
      </c>
      <c r="AG1670" s="30" t="n">
        <v>55</v>
      </c>
      <c r="AH1670" s="30" t="str">
        <f aca="false">IF(OR(P1670="判定不能",G1670="判定不能"),"判定不能",IF(AG1670&gt;=判定条件!$C$9,"利用可",IF(AND(P1670="停止",G1670="停止"),"両方停止","運転がそろわない")))</f>
        <v>利用可</v>
      </c>
      <c r="AI1670" s="30" t="n">
        <v>60</v>
      </c>
      <c r="AJ1670" s="30" t="n">
        <v>58</v>
      </c>
      <c r="AK1670" s="30" t="str">
        <f aca="false">IF(OR(S1670="判定不能",J1670="判定不能"),"判定不能",IF(AJ1670&gt;=判定条件!$C$9,"利用可",IF(AND(S1670="停止",J1670="停止"),"両方停止","運転がそろわない")))</f>
        <v>利用可</v>
      </c>
      <c r="AL1670" s="30" t="n">
        <v>60</v>
      </c>
      <c r="AM1670" s="30" t="n">
        <v>60</v>
      </c>
      <c r="AN1670" s="30" t="str">
        <f aca="false">IF(OR(V1670="判定不能",M1670="判定不能"),"判定不能",IF(AM1670&gt;=判定条件!$C$9,"利用可",IF(AND(V1670="停止",M1670="停止"),"両方停止","運転がそろわない")))</f>
        <v>利用可</v>
      </c>
      <c r="AO1670" s="30" t="n">
        <v>60</v>
      </c>
      <c r="AP1670" s="30" t="n">
        <v>54</v>
      </c>
      <c r="AQ1670" s="30" t="str">
        <f aca="false">IF(OR(Y1670="判定不能",G1670="判定不能"),"判定不能",IF(AP1670&gt;=判定条件!$C$9,"利用可",IF(AND(Y1670="停止",G1670="停止"),"両方停止","運転がそろわない")))</f>
        <v>利用可</v>
      </c>
      <c r="AR1670" s="30" t="n">
        <v>60</v>
      </c>
      <c r="AS1670" s="30" t="n">
        <v>58</v>
      </c>
      <c r="AT1670" s="30" t="str">
        <f aca="false">IF(OR(AB1670="判定不能",J1670="判定不能"),"判定不能",IF(AS1670&gt;=判定条件!$C$9,"利用可",IF(AND(AB1670="停止",J1670="停止"),"両方停止","運転がそろわない")))</f>
        <v>利用可</v>
      </c>
      <c r="AU1670" s="30" t="n">
        <v>60</v>
      </c>
      <c r="AV1670" s="30" t="n">
        <v>60</v>
      </c>
      <c r="AW1670" s="30" t="str">
        <f aca="false">IF(OR(AE1670="判定不能",M1670="判定不能"),"判定不能",IF(AV1670&gt;=判定条件!$C$9,"利用可",IF(AND(AE1670="停止",M1670="停止"),"両方停止","運転がそろわない")))</f>
        <v>利用可</v>
      </c>
      <c r="AX1670" s="30" t="str">
        <f aca="false">IF(AND(AH1670="利用可",AK1670="利用可",AN1670="利用可"),"利用可","不可")</f>
        <v>利用可</v>
      </c>
      <c r="AY1670" s="30" t="str">
        <f aca="false">IF(AND(AQ1670="利用可",AT1670="利用可",AW1670="利用可"),"利用可","不可")</f>
        <v>利用可</v>
      </c>
    </row>
    <row r="1671" customFormat="false" ht="15" hidden="false" customHeight="false" outlineLevel="0" collapsed="false">
      <c r="A1671" s="29" t="n">
        <v>46301</v>
      </c>
      <c r="B1671" s="30" t="n">
        <v>12</v>
      </c>
      <c r="C1671" s="31" t="s">
        <v>67</v>
      </c>
      <c r="D1671" s="31" t="s">
        <v>59</v>
      </c>
      <c r="E1671" s="30" t="n">
        <v>60</v>
      </c>
      <c r="F1671" s="30" t="n">
        <v>39</v>
      </c>
      <c r="G1671" s="30" t="str">
        <f aca="false">IF(E1671&lt;判定条件!$C$6,"判定不能",IF(F1671&gt;=判定条件!$C$7*E1671,"運転",IF(F1671&lt;=判定条件!$C$8*E1671,"停止","断続")))</f>
        <v>断続</v>
      </c>
      <c r="H1671" s="30" t="n">
        <v>60</v>
      </c>
      <c r="I1671" s="30" t="n">
        <v>52</v>
      </c>
      <c r="J1671" s="30" t="str">
        <f aca="false">IF(H1671&lt;判定条件!$C$6,"判定不能",IF(I1671&gt;=判定条件!$C$7*H1671,"運転",IF(I1671&lt;=判定条件!$C$8*H1671,"停止","断続")))</f>
        <v>運転</v>
      </c>
      <c r="K1671" s="30" t="n">
        <v>60</v>
      </c>
      <c r="L1671" s="30" t="n">
        <v>60</v>
      </c>
      <c r="M1671" s="30" t="str">
        <f aca="false">IF(K1671&lt;判定条件!$C$6,"判定不能",IF(L1671&gt;=判定条件!$C$7*K1671,"運転",IF(L1671&lt;=判定条件!$C$8*K1671,"停止","断続")))</f>
        <v>運転</v>
      </c>
      <c r="N1671" s="30" t="n">
        <v>60</v>
      </c>
      <c r="O1671" s="30" t="n">
        <v>43</v>
      </c>
      <c r="P1671" s="30" t="str">
        <f aca="false">IF(N1671&lt;判定条件!$C$6,"判定不能",IF(O1671&gt;=判定条件!$C$7*N1671,"運転",IF(O1671&lt;=判定条件!$C$8*N1671,"停止","断続")))</f>
        <v>断続</v>
      </c>
      <c r="Q1671" s="30" t="n">
        <v>60</v>
      </c>
      <c r="R1671" s="30" t="n">
        <v>60</v>
      </c>
      <c r="S1671" s="30" t="str">
        <f aca="false">IF(Q1671&lt;判定条件!$C$6,"判定不能",IF(R1671&gt;=判定条件!$C$7*Q1671,"運転",IF(R1671&lt;=判定条件!$C$8*Q1671,"停止","断続")))</f>
        <v>運転</v>
      </c>
      <c r="T1671" s="30" t="n">
        <v>60</v>
      </c>
      <c r="U1671" s="30" t="n">
        <v>60</v>
      </c>
      <c r="V1671" s="30" t="str">
        <f aca="false">IF(T1671&lt;判定条件!$C$6,"判定不能",IF(U1671&gt;=判定条件!$C$7*T1671,"運転",IF(U1671&lt;=判定条件!$C$8*T1671,"停止","断続")))</f>
        <v>運転</v>
      </c>
      <c r="W1671" s="30" t="n">
        <v>60</v>
      </c>
      <c r="X1671" s="30" t="n">
        <v>46</v>
      </c>
      <c r="Y1671" s="30" t="str">
        <f aca="false">IF(W1671&lt;判定条件!$C$6,"判定不能",IF(X1671&gt;=判定条件!$C$7*W1671,"運転",IF(X1671&lt;=判定条件!$C$8*W1671,"停止","断続")))</f>
        <v>断続</v>
      </c>
      <c r="Z1671" s="30" t="n">
        <v>60</v>
      </c>
      <c r="AA1671" s="30" t="n">
        <v>60</v>
      </c>
      <c r="AB1671" s="30" t="str">
        <f aca="false">IF(Z1671&lt;判定条件!$C$6,"判定不能",IF(AA1671&gt;=判定条件!$C$7*Z1671,"運転",IF(AA1671&lt;=判定条件!$C$8*Z1671,"停止","断続")))</f>
        <v>運転</v>
      </c>
      <c r="AC1671" s="30" t="n">
        <v>60</v>
      </c>
      <c r="AD1671" s="30" t="n">
        <v>60</v>
      </c>
      <c r="AE1671" s="30" t="str">
        <f aca="false">IF(AC1671&lt;判定条件!$C$6,"判定不能",IF(AD1671&gt;=判定条件!$C$7*AC1671,"運転",IF(AD1671&lt;=判定条件!$C$8*AC1671,"停止","断続")))</f>
        <v>運転</v>
      </c>
      <c r="AF1671" s="30" t="n">
        <v>60</v>
      </c>
      <c r="AG1671" s="30" t="n">
        <v>27</v>
      </c>
      <c r="AH1671" s="30" t="str">
        <f aca="false">IF(OR(P1671="判定不能",G1671="判定不能"),"判定不能",IF(AG1671&gt;=判定条件!$C$9,"利用可",IF(AND(P1671="停止",G1671="停止"),"両方停止","運転がそろわない")))</f>
        <v>運転がそろわない</v>
      </c>
      <c r="AI1671" s="30" t="n">
        <v>60</v>
      </c>
      <c r="AJ1671" s="30" t="n">
        <v>52</v>
      </c>
      <c r="AK1671" s="30" t="str">
        <f aca="false">IF(OR(S1671="判定不能",J1671="判定不能"),"判定不能",IF(AJ1671&gt;=判定条件!$C$9,"利用可",IF(AND(S1671="停止",J1671="停止"),"両方停止","運転がそろわない")))</f>
        <v>利用可</v>
      </c>
      <c r="AL1671" s="30" t="n">
        <v>60</v>
      </c>
      <c r="AM1671" s="30" t="n">
        <v>60</v>
      </c>
      <c r="AN1671" s="30" t="str">
        <f aca="false">IF(OR(V1671="判定不能",M1671="判定不能"),"判定不能",IF(AM1671&gt;=判定条件!$C$9,"利用可",IF(AND(V1671="停止",M1671="停止"),"両方停止","運転がそろわない")))</f>
        <v>利用可</v>
      </c>
      <c r="AO1671" s="30" t="n">
        <v>60</v>
      </c>
      <c r="AP1671" s="30" t="n">
        <v>32</v>
      </c>
      <c r="AQ1671" s="30" t="str">
        <f aca="false">IF(OR(Y1671="判定不能",G1671="判定不能"),"判定不能",IF(AP1671&gt;=判定条件!$C$9,"利用可",IF(AND(Y1671="停止",G1671="停止"),"両方停止","運転がそろわない")))</f>
        <v>利用可</v>
      </c>
      <c r="AR1671" s="30" t="n">
        <v>60</v>
      </c>
      <c r="AS1671" s="30" t="n">
        <v>52</v>
      </c>
      <c r="AT1671" s="30" t="str">
        <f aca="false">IF(OR(AB1671="判定不能",J1671="判定不能"),"判定不能",IF(AS1671&gt;=判定条件!$C$9,"利用可",IF(AND(AB1671="停止",J1671="停止"),"両方停止","運転がそろわない")))</f>
        <v>利用可</v>
      </c>
      <c r="AU1671" s="30" t="n">
        <v>60</v>
      </c>
      <c r="AV1671" s="30" t="n">
        <v>60</v>
      </c>
      <c r="AW1671" s="30" t="str">
        <f aca="false">IF(OR(AE1671="判定不能",M1671="判定不能"),"判定不能",IF(AV1671&gt;=判定条件!$C$9,"利用可",IF(AND(AE1671="停止",M1671="停止"),"両方停止","運転がそろわない")))</f>
        <v>利用可</v>
      </c>
      <c r="AX1671" s="30" t="str">
        <f aca="false">IF(AND(AH1671="利用可",AK1671="利用可",AN1671="利用可"),"利用可","不可")</f>
        <v>不可</v>
      </c>
      <c r="AY1671" s="30" t="str">
        <f aca="false">IF(AND(AQ1671="利用可",AT1671="利用可",AW1671="利用可"),"利用可","不可")</f>
        <v>利用可</v>
      </c>
    </row>
    <row r="1672" customFormat="false" ht="15" hidden="false" customHeight="false" outlineLevel="0" collapsed="false">
      <c r="A1672" s="29" t="n">
        <v>46301</v>
      </c>
      <c r="B1672" s="30" t="n">
        <v>13</v>
      </c>
      <c r="C1672" s="31" t="s">
        <v>67</v>
      </c>
      <c r="D1672" s="31" t="s">
        <v>59</v>
      </c>
      <c r="E1672" s="30" t="n">
        <v>60</v>
      </c>
      <c r="F1672" s="30" t="n">
        <v>36</v>
      </c>
      <c r="G1672" s="30" t="str">
        <f aca="false">IF(E1672&lt;判定条件!$C$6,"判定不能",IF(F1672&gt;=判定条件!$C$7*E1672,"運転",IF(F1672&lt;=判定条件!$C$8*E1672,"停止","断続")))</f>
        <v>断続</v>
      </c>
      <c r="H1672" s="30" t="n">
        <v>60</v>
      </c>
      <c r="I1672" s="30" t="n">
        <v>50</v>
      </c>
      <c r="J1672" s="30" t="str">
        <f aca="false">IF(H1672&lt;判定条件!$C$6,"判定不能",IF(I1672&gt;=判定条件!$C$7*H1672,"運転",IF(I1672&lt;=判定条件!$C$8*H1672,"停止","断続")))</f>
        <v>運転</v>
      </c>
      <c r="K1672" s="30" t="n">
        <v>60</v>
      </c>
      <c r="L1672" s="30" t="n">
        <v>60</v>
      </c>
      <c r="M1672" s="30" t="str">
        <f aca="false">IF(K1672&lt;判定条件!$C$6,"判定不能",IF(L1672&gt;=判定条件!$C$7*K1672,"運転",IF(L1672&lt;=判定条件!$C$8*K1672,"停止","断続")))</f>
        <v>運転</v>
      </c>
      <c r="N1672" s="30" t="n">
        <v>60</v>
      </c>
      <c r="O1672" s="30" t="n">
        <v>41</v>
      </c>
      <c r="P1672" s="30" t="str">
        <f aca="false">IF(N1672&lt;判定条件!$C$6,"判定不能",IF(O1672&gt;=判定条件!$C$7*N1672,"運転",IF(O1672&lt;=判定条件!$C$8*N1672,"停止","断続")))</f>
        <v>断続</v>
      </c>
      <c r="Q1672" s="30" t="n">
        <v>60</v>
      </c>
      <c r="R1672" s="30" t="n">
        <v>60</v>
      </c>
      <c r="S1672" s="30" t="str">
        <f aca="false">IF(Q1672&lt;判定条件!$C$6,"判定不能",IF(R1672&gt;=判定条件!$C$7*Q1672,"運転",IF(R1672&lt;=判定条件!$C$8*Q1672,"停止","断続")))</f>
        <v>運転</v>
      </c>
      <c r="T1672" s="30" t="n">
        <v>60</v>
      </c>
      <c r="U1672" s="30" t="n">
        <v>60</v>
      </c>
      <c r="V1672" s="30" t="str">
        <f aca="false">IF(T1672&lt;判定条件!$C$6,"判定不能",IF(U1672&gt;=判定条件!$C$7*T1672,"運転",IF(U1672&lt;=判定条件!$C$8*T1672,"停止","断続")))</f>
        <v>運転</v>
      </c>
      <c r="W1672" s="30" t="n">
        <v>60</v>
      </c>
      <c r="X1672" s="30" t="n">
        <v>54</v>
      </c>
      <c r="Y1672" s="30" t="str">
        <f aca="false">IF(W1672&lt;判定条件!$C$6,"判定不能",IF(X1672&gt;=判定条件!$C$7*W1672,"運転",IF(X1672&lt;=判定条件!$C$8*W1672,"停止","断続")))</f>
        <v>運転</v>
      </c>
      <c r="Z1672" s="30" t="n">
        <v>60</v>
      </c>
      <c r="AA1672" s="30" t="n">
        <v>60</v>
      </c>
      <c r="AB1672" s="30" t="str">
        <f aca="false">IF(Z1672&lt;判定条件!$C$6,"判定不能",IF(AA1672&gt;=判定条件!$C$7*Z1672,"運転",IF(AA1672&lt;=判定条件!$C$8*Z1672,"停止","断続")))</f>
        <v>運転</v>
      </c>
      <c r="AC1672" s="30" t="n">
        <v>60</v>
      </c>
      <c r="AD1672" s="30" t="n">
        <v>60</v>
      </c>
      <c r="AE1672" s="30" t="str">
        <f aca="false">IF(AC1672&lt;判定条件!$C$6,"判定不能",IF(AD1672&gt;=判定条件!$C$7*AC1672,"運転",IF(AD1672&lt;=判定条件!$C$8*AC1672,"停止","断続")))</f>
        <v>運転</v>
      </c>
      <c r="AF1672" s="30" t="n">
        <v>60</v>
      </c>
      <c r="AG1672" s="30" t="n">
        <v>27</v>
      </c>
      <c r="AH1672" s="30" t="str">
        <f aca="false">IF(OR(P1672="判定不能",G1672="判定不能"),"判定不能",IF(AG1672&gt;=判定条件!$C$9,"利用可",IF(AND(P1672="停止",G1672="停止"),"両方停止","運転がそろわない")))</f>
        <v>運転がそろわない</v>
      </c>
      <c r="AI1672" s="30" t="n">
        <v>60</v>
      </c>
      <c r="AJ1672" s="30" t="n">
        <v>50</v>
      </c>
      <c r="AK1672" s="30" t="str">
        <f aca="false">IF(OR(S1672="判定不能",J1672="判定不能"),"判定不能",IF(AJ1672&gt;=判定条件!$C$9,"利用可",IF(AND(S1672="停止",J1672="停止"),"両方停止","運転がそろわない")))</f>
        <v>利用可</v>
      </c>
      <c r="AL1672" s="30" t="n">
        <v>60</v>
      </c>
      <c r="AM1672" s="30" t="n">
        <v>60</v>
      </c>
      <c r="AN1672" s="30" t="str">
        <f aca="false">IF(OR(V1672="判定不能",M1672="判定不能"),"判定不能",IF(AM1672&gt;=判定条件!$C$9,"利用可",IF(AND(V1672="停止",M1672="停止"),"両方停止","運転がそろわない")))</f>
        <v>利用可</v>
      </c>
      <c r="AO1672" s="30" t="n">
        <v>60</v>
      </c>
      <c r="AP1672" s="30" t="n">
        <v>33</v>
      </c>
      <c r="AQ1672" s="30" t="str">
        <f aca="false">IF(OR(Y1672="判定不能",G1672="判定不能"),"判定不能",IF(AP1672&gt;=判定条件!$C$9,"利用可",IF(AND(Y1672="停止",G1672="停止"),"両方停止","運転がそろわない")))</f>
        <v>利用可</v>
      </c>
      <c r="AR1672" s="30" t="n">
        <v>60</v>
      </c>
      <c r="AS1672" s="30" t="n">
        <v>50</v>
      </c>
      <c r="AT1672" s="30" t="str">
        <f aca="false">IF(OR(AB1672="判定不能",J1672="判定不能"),"判定不能",IF(AS1672&gt;=判定条件!$C$9,"利用可",IF(AND(AB1672="停止",J1672="停止"),"両方停止","運転がそろわない")))</f>
        <v>利用可</v>
      </c>
      <c r="AU1672" s="30" t="n">
        <v>60</v>
      </c>
      <c r="AV1672" s="30" t="n">
        <v>60</v>
      </c>
      <c r="AW1672" s="30" t="str">
        <f aca="false">IF(OR(AE1672="判定不能",M1672="判定不能"),"判定不能",IF(AV1672&gt;=判定条件!$C$9,"利用可",IF(AND(AE1672="停止",M1672="停止"),"両方停止","運転がそろわない")))</f>
        <v>利用可</v>
      </c>
      <c r="AX1672" s="30" t="str">
        <f aca="false">IF(AND(AH1672="利用可",AK1672="利用可",AN1672="利用可"),"利用可","不可")</f>
        <v>不可</v>
      </c>
      <c r="AY1672" s="30" t="str">
        <f aca="false">IF(AND(AQ1672="利用可",AT1672="利用可",AW1672="利用可"),"利用可","不可")</f>
        <v>利用可</v>
      </c>
    </row>
    <row r="1673" customFormat="false" ht="15" hidden="false" customHeight="false" outlineLevel="0" collapsed="false">
      <c r="A1673" s="29" t="n">
        <v>46301</v>
      </c>
      <c r="B1673" s="30" t="n">
        <v>14</v>
      </c>
      <c r="C1673" s="31" t="s">
        <v>67</v>
      </c>
      <c r="D1673" s="31" t="s">
        <v>59</v>
      </c>
      <c r="E1673" s="30" t="n">
        <v>60</v>
      </c>
      <c r="F1673" s="30" t="n">
        <v>60</v>
      </c>
      <c r="G1673" s="30" t="str">
        <f aca="false">IF(E1673&lt;判定条件!$C$6,"判定不能",IF(F1673&gt;=判定条件!$C$7*E1673,"運転",IF(F1673&lt;=判定条件!$C$8*E1673,"停止","断続")))</f>
        <v>運転</v>
      </c>
      <c r="H1673" s="30" t="n">
        <v>60</v>
      </c>
      <c r="I1673" s="30" t="n">
        <v>57</v>
      </c>
      <c r="J1673" s="30" t="str">
        <f aca="false">IF(H1673&lt;判定条件!$C$6,"判定不能",IF(I1673&gt;=判定条件!$C$7*H1673,"運転",IF(I1673&lt;=判定条件!$C$8*H1673,"停止","断続")))</f>
        <v>運転</v>
      </c>
      <c r="K1673" s="30" t="n">
        <v>60</v>
      </c>
      <c r="L1673" s="30" t="n">
        <v>60</v>
      </c>
      <c r="M1673" s="30" t="str">
        <f aca="false">IF(K1673&lt;判定条件!$C$6,"判定不能",IF(L1673&gt;=判定条件!$C$7*K1673,"運転",IF(L1673&lt;=判定条件!$C$8*K1673,"停止","断続")))</f>
        <v>運転</v>
      </c>
      <c r="N1673" s="30" t="n">
        <v>60</v>
      </c>
      <c r="O1673" s="30" t="n">
        <v>23</v>
      </c>
      <c r="P1673" s="30" t="str">
        <f aca="false">IF(N1673&lt;判定条件!$C$6,"判定不能",IF(O1673&gt;=判定条件!$C$7*N1673,"運転",IF(O1673&lt;=判定条件!$C$8*N1673,"停止","断続")))</f>
        <v>断続</v>
      </c>
      <c r="Q1673" s="30" t="n">
        <v>60</v>
      </c>
      <c r="R1673" s="30" t="n">
        <v>60</v>
      </c>
      <c r="S1673" s="30" t="str">
        <f aca="false">IF(Q1673&lt;判定条件!$C$6,"判定不能",IF(R1673&gt;=判定条件!$C$7*Q1673,"運転",IF(R1673&lt;=判定条件!$C$8*Q1673,"停止","断続")))</f>
        <v>運転</v>
      </c>
      <c r="T1673" s="30" t="n">
        <v>60</v>
      </c>
      <c r="U1673" s="30" t="n">
        <v>60</v>
      </c>
      <c r="V1673" s="30" t="str">
        <f aca="false">IF(T1673&lt;判定条件!$C$6,"判定不能",IF(U1673&gt;=判定条件!$C$7*T1673,"運転",IF(U1673&lt;=判定条件!$C$8*T1673,"停止","断続")))</f>
        <v>運転</v>
      </c>
      <c r="W1673" s="30" t="n">
        <v>60</v>
      </c>
      <c r="X1673" s="30" t="n">
        <v>39</v>
      </c>
      <c r="Y1673" s="30" t="str">
        <f aca="false">IF(W1673&lt;判定条件!$C$6,"判定不能",IF(X1673&gt;=判定条件!$C$7*W1673,"運転",IF(X1673&lt;=判定条件!$C$8*W1673,"停止","断続")))</f>
        <v>断続</v>
      </c>
      <c r="Z1673" s="30" t="n">
        <v>60</v>
      </c>
      <c r="AA1673" s="30" t="n">
        <v>60</v>
      </c>
      <c r="AB1673" s="30" t="str">
        <f aca="false">IF(Z1673&lt;判定条件!$C$6,"判定不能",IF(AA1673&gt;=判定条件!$C$7*Z1673,"運転",IF(AA1673&lt;=判定条件!$C$8*Z1673,"停止","断続")))</f>
        <v>運転</v>
      </c>
      <c r="AC1673" s="30" t="n">
        <v>60</v>
      </c>
      <c r="AD1673" s="30" t="n">
        <v>60</v>
      </c>
      <c r="AE1673" s="30" t="str">
        <f aca="false">IF(AC1673&lt;判定条件!$C$6,"判定不能",IF(AD1673&gt;=判定条件!$C$7*AC1673,"運転",IF(AD1673&lt;=判定条件!$C$8*AC1673,"停止","断続")))</f>
        <v>運転</v>
      </c>
      <c r="AF1673" s="30" t="n">
        <v>60</v>
      </c>
      <c r="AG1673" s="30" t="n">
        <v>23</v>
      </c>
      <c r="AH1673" s="30" t="str">
        <f aca="false">IF(OR(P1673="判定不能",G1673="判定不能"),"判定不能",IF(AG1673&gt;=判定条件!$C$9,"利用可",IF(AND(P1673="停止",G1673="停止"),"両方停止","運転がそろわない")))</f>
        <v>運転がそろわない</v>
      </c>
      <c r="AI1673" s="30" t="n">
        <v>60</v>
      </c>
      <c r="AJ1673" s="30" t="n">
        <v>57</v>
      </c>
      <c r="AK1673" s="30" t="str">
        <f aca="false">IF(OR(S1673="判定不能",J1673="判定不能"),"判定不能",IF(AJ1673&gt;=判定条件!$C$9,"利用可",IF(AND(S1673="停止",J1673="停止"),"両方停止","運転がそろわない")))</f>
        <v>利用可</v>
      </c>
      <c r="AL1673" s="30" t="n">
        <v>60</v>
      </c>
      <c r="AM1673" s="30" t="n">
        <v>60</v>
      </c>
      <c r="AN1673" s="30" t="str">
        <f aca="false">IF(OR(V1673="判定不能",M1673="判定不能"),"判定不能",IF(AM1673&gt;=判定条件!$C$9,"利用可",IF(AND(V1673="停止",M1673="停止"),"両方停止","運転がそろわない")))</f>
        <v>利用可</v>
      </c>
      <c r="AO1673" s="30" t="n">
        <v>60</v>
      </c>
      <c r="AP1673" s="30" t="n">
        <v>39</v>
      </c>
      <c r="AQ1673" s="30" t="str">
        <f aca="false">IF(OR(Y1673="判定不能",G1673="判定不能"),"判定不能",IF(AP1673&gt;=判定条件!$C$9,"利用可",IF(AND(Y1673="停止",G1673="停止"),"両方停止","運転がそろわない")))</f>
        <v>利用可</v>
      </c>
      <c r="AR1673" s="30" t="n">
        <v>60</v>
      </c>
      <c r="AS1673" s="30" t="n">
        <v>57</v>
      </c>
      <c r="AT1673" s="30" t="str">
        <f aca="false">IF(OR(AB1673="判定不能",J1673="判定不能"),"判定不能",IF(AS1673&gt;=判定条件!$C$9,"利用可",IF(AND(AB1673="停止",J1673="停止"),"両方停止","運転がそろわない")))</f>
        <v>利用可</v>
      </c>
      <c r="AU1673" s="30" t="n">
        <v>60</v>
      </c>
      <c r="AV1673" s="30" t="n">
        <v>60</v>
      </c>
      <c r="AW1673" s="30" t="str">
        <f aca="false">IF(OR(AE1673="判定不能",M1673="判定不能"),"判定不能",IF(AV1673&gt;=判定条件!$C$9,"利用可",IF(AND(AE1673="停止",M1673="停止"),"両方停止","運転がそろわない")))</f>
        <v>利用可</v>
      </c>
      <c r="AX1673" s="30" t="str">
        <f aca="false">IF(AND(AH1673="利用可",AK1673="利用可",AN1673="利用可"),"利用可","不可")</f>
        <v>不可</v>
      </c>
      <c r="AY1673" s="30" t="str">
        <f aca="false">IF(AND(AQ1673="利用可",AT1673="利用可",AW1673="利用可"),"利用可","不可")</f>
        <v>利用可</v>
      </c>
    </row>
    <row r="1674" customFormat="false" ht="15" hidden="false" customHeight="false" outlineLevel="0" collapsed="false">
      <c r="A1674" s="29" t="n">
        <v>46301</v>
      </c>
      <c r="B1674" s="30" t="n">
        <v>15</v>
      </c>
      <c r="C1674" s="31" t="s">
        <v>67</v>
      </c>
      <c r="D1674" s="31" t="s">
        <v>59</v>
      </c>
      <c r="E1674" s="30" t="n">
        <v>60</v>
      </c>
      <c r="F1674" s="30" t="n">
        <v>60</v>
      </c>
      <c r="G1674" s="30" t="str">
        <f aca="false">IF(E1674&lt;判定条件!$C$6,"判定不能",IF(F1674&gt;=判定条件!$C$7*E1674,"運転",IF(F1674&lt;=判定条件!$C$8*E1674,"停止","断続")))</f>
        <v>運転</v>
      </c>
      <c r="H1674" s="30" t="n">
        <v>60</v>
      </c>
      <c r="I1674" s="30" t="n">
        <v>57</v>
      </c>
      <c r="J1674" s="30" t="str">
        <f aca="false">IF(H1674&lt;判定条件!$C$6,"判定不能",IF(I1674&gt;=判定条件!$C$7*H1674,"運転",IF(I1674&lt;=判定条件!$C$8*H1674,"停止","断続")))</f>
        <v>運転</v>
      </c>
      <c r="K1674" s="30" t="n">
        <v>60</v>
      </c>
      <c r="L1674" s="30" t="n">
        <v>60</v>
      </c>
      <c r="M1674" s="30" t="str">
        <f aca="false">IF(K1674&lt;判定条件!$C$6,"判定不能",IF(L1674&gt;=判定条件!$C$7*K1674,"運転",IF(L1674&lt;=判定条件!$C$8*K1674,"停止","断続")))</f>
        <v>運転</v>
      </c>
      <c r="N1674" s="30" t="n">
        <v>60</v>
      </c>
      <c r="O1674" s="30" t="n">
        <v>46</v>
      </c>
      <c r="P1674" s="30" t="str">
        <f aca="false">IF(N1674&lt;判定条件!$C$6,"判定不能",IF(O1674&gt;=判定条件!$C$7*N1674,"運転",IF(O1674&lt;=判定条件!$C$8*N1674,"停止","断続")))</f>
        <v>断続</v>
      </c>
      <c r="Q1674" s="30" t="n">
        <v>60</v>
      </c>
      <c r="R1674" s="30" t="n">
        <v>60</v>
      </c>
      <c r="S1674" s="30" t="str">
        <f aca="false">IF(Q1674&lt;判定条件!$C$6,"判定不能",IF(R1674&gt;=判定条件!$C$7*Q1674,"運転",IF(R1674&lt;=判定条件!$C$8*Q1674,"停止","断続")))</f>
        <v>運転</v>
      </c>
      <c r="T1674" s="30" t="n">
        <v>60</v>
      </c>
      <c r="U1674" s="30" t="n">
        <v>60</v>
      </c>
      <c r="V1674" s="30" t="str">
        <f aca="false">IF(T1674&lt;判定条件!$C$6,"判定不能",IF(U1674&gt;=判定条件!$C$7*T1674,"運転",IF(U1674&lt;=判定条件!$C$8*T1674,"停止","断続")))</f>
        <v>運転</v>
      </c>
      <c r="W1674" s="30" t="n">
        <v>60</v>
      </c>
      <c r="X1674" s="30" t="n">
        <v>60</v>
      </c>
      <c r="Y1674" s="30" t="str">
        <f aca="false">IF(W1674&lt;判定条件!$C$6,"判定不能",IF(X1674&gt;=判定条件!$C$7*W1674,"運転",IF(X1674&lt;=判定条件!$C$8*W1674,"停止","断続")))</f>
        <v>運転</v>
      </c>
      <c r="Z1674" s="30" t="n">
        <v>60</v>
      </c>
      <c r="AA1674" s="30" t="n">
        <v>60</v>
      </c>
      <c r="AB1674" s="30" t="str">
        <f aca="false">IF(Z1674&lt;判定条件!$C$6,"判定不能",IF(AA1674&gt;=判定条件!$C$7*Z1674,"運転",IF(AA1674&lt;=判定条件!$C$8*Z1674,"停止","断続")))</f>
        <v>運転</v>
      </c>
      <c r="AC1674" s="30" t="n">
        <v>60</v>
      </c>
      <c r="AD1674" s="30" t="n">
        <v>38</v>
      </c>
      <c r="AE1674" s="30" t="str">
        <f aca="false">IF(AC1674&lt;判定条件!$C$6,"判定不能",IF(AD1674&gt;=判定条件!$C$7*AC1674,"運転",IF(AD1674&lt;=判定条件!$C$8*AC1674,"停止","断続")))</f>
        <v>断続</v>
      </c>
      <c r="AF1674" s="30" t="n">
        <v>60</v>
      </c>
      <c r="AG1674" s="30" t="n">
        <v>46</v>
      </c>
      <c r="AH1674" s="30" t="str">
        <f aca="false">IF(OR(P1674="判定不能",G1674="判定不能"),"判定不能",IF(AG1674&gt;=判定条件!$C$9,"利用可",IF(AND(P1674="停止",G1674="停止"),"両方停止","運転がそろわない")))</f>
        <v>利用可</v>
      </c>
      <c r="AI1674" s="30" t="n">
        <v>60</v>
      </c>
      <c r="AJ1674" s="30" t="n">
        <v>57</v>
      </c>
      <c r="AK1674" s="30" t="str">
        <f aca="false">IF(OR(S1674="判定不能",J1674="判定不能"),"判定不能",IF(AJ1674&gt;=判定条件!$C$9,"利用可",IF(AND(S1674="停止",J1674="停止"),"両方停止","運転がそろわない")))</f>
        <v>利用可</v>
      </c>
      <c r="AL1674" s="30" t="n">
        <v>60</v>
      </c>
      <c r="AM1674" s="30" t="n">
        <v>60</v>
      </c>
      <c r="AN1674" s="30" t="str">
        <f aca="false">IF(OR(V1674="判定不能",M1674="判定不能"),"判定不能",IF(AM1674&gt;=判定条件!$C$9,"利用可",IF(AND(V1674="停止",M1674="停止"),"両方停止","運転がそろわない")))</f>
        <v>利用可</v>
      </c>
      <c r="AO1674" s="30" t="n">
        <v>60</v>
      </c>
      <c r="AP1674" s="30" t="n">
        <v>60</v>
      </c>
      <c r="AQ1674" s="30" t="str">
        <f aca="false">IF(OR(Y1674="判定不能",G1674="判定不能"),"判定不能",IF(AP1674&gt;=判定条件!$C$9,"利用可",IF(AND(Y1674="停止",G1674="停止"),"両方停止","運転がそろわない")))</f>
        <v>利用可</v>
      </c>
      <c r="AR1674" s="30" t="n">
        <v>60</v>
      </c>
      <c r="AS1674" s="30" t="n">
        <v>57</v>
      </c>
      <c r="AT1674" s="30" t="str">
        <f aca="false">IF(OR(AB1674="判定不能",J1674="判定不能"),"判定不能",IF(AS1674&gt;=判定条件!$C$9,"利用可",IF(AND(AB1674="停止",J1674="停止"),"両方停止","運転がそろわない")))</f>
        <v>利用可</v>
      </c>
      <c r="AU1674" s="30" t="n">
        <v>60</v>
      </c>
      <c r="AV1674" s="30" t="n">
        <v>38</v>
      </c>
      <c r="AW1674" s="30" t="str">
        <f aca="false">IF(OR(AE1674="判定不能",M1674="判定不能"),"判定不能",IF(AV1674&gt;=判定条件!$C$9,"利用可",IF(AND(AE1674="停止",M1674="停止"),"両方停止","運転がそろわない")))</f>
        <v>利用可</v>
      </c>
      <c r="AX1674" s="30" t="str">
        <f aca="false">IF(AND(AH1674="利用可",AK1674="利用可",AN1674="利用可"),"利用可","不可")</f>
        <v>利用可</v>
      </c>
      <c r="AY1674" s="30" t="str">
        <f aca="false">IF(AND(AQ1674="利用可",AT1674="利用可",AW1674="利用可"),"利用可","不可")</f>
        <v>利用可</v>
      </c>
    </row>
    <row r="1675" customFormat="false" ht="15" hidden="false" customHeight="false" outlineLevel="0" collapsed="false">
      <c r="A1675" s="29" t="n">
        <v>46301</v>
      </c>
      <c r="B1675" s="30" t="n">
        <v>16</v>
      </c>
      <c r="C1675" s="31" t="s">
        <v>67</v>
      </c>
      <c r="D1675" s="31" t="s">
        <v>59</v>
      </c>
      <c r="E1675" s="30" t="n">
        <v>60</v>
      </c>
      <c r="F1675" s="30" t="n">
        <v>36</v>
      </c>
      <c r="G1675" s="30" t="str">
        <f aca="false">IF(E1675&lt;判定条件!$C$6,"判定不能",IF(F1675&gt;=判定条件!$C$7*E1675,"運転",IF(F1675&lt;=判定条件!$C$8*E1675,"停止","断続")))</f>
        <v>断続</v>
      </c>
      <c r="H1675" s="30" t="n">
        <v>60</v>
      </c>
      <c r="I1675" s="30" t="n">
        <v>50</v>
      </c>
      <c r="J1675" s="30" t="str">
        <f aca="false">IF(H1675&lt;判定条件!$C$6,"判定不能",IF(I1675&gt;=判定条件!$C$7*H1675,"運転",IF(I1675&lt;=判定条件!$C$8*H1675,"停止","断続")))</f>
        <v>運転</v>
      </c>
      <c r="K1675" s="30" t="n">
        <v>60</v>
      </c>
      <c r="L1675" s="30" t="n">
        <v>60</v>
      </c>
      <c r="M1675" s="30" t="str">
        <f aca="false">IF(K1675&lt;判定条件!$C$6,"判定不能",IF(L1675&gt;=判定条件!$C$7*K1675,"運転",IF(L1675&lt;=判定条件!$C$8*K1675,"停止","断続")))</f>
        <v>運転</v>
      </c>
      <c r="N1675" s="30" t="n">
        <v>60</v>
      </c>
      <c r="O1675" s="30" t="n">
        <v>32</v>
      </c>
      <c r="P1675" s="30" t="str">
        <f aca="false">IF(N1675&lt;判定条件!$C$6,"判定不能",IF(O1675&gt;=判定条件!$C$7*N1675,"運転",IF(O1675&lt;=判定条件!$C$8*N1675,"停止","断続")))</f>
        <v>断続</v>
      </c>
      <c r="Q1675" s="30" t="n">
        <v>60</v>
      </c>
      <c r="R1675" s="30" t="n">
        <v>49</v>
      </c>
      <c r="S1675" s="30" t="str">
        <f aca="false">IF(Q1675&lt;判定条件!$C$6,"判定不能",IF(R1675&gt;=判定条件!$C$7*Q1675,"運転",IF(R1675&lt;=判定条件!$C$8*Q1675,"停止","断続")))</f>
        <v>運転</v>
      </c>
      <c r="T1675" s="30" t="n">
        <v>60</v>
      </c>
      <c r="U1675" s="30" t="n">
        <v>36</v>
      </c>
      <c r="V1675" s="30" t="str">
        <f aca="false">IF(T1675&lt;判定条件!$C$6,"判定不能",IF(U1675&gt;=判定条件!$C$7*T1675,"運転",IF(U1675&lt;=判定条件!$C$8*T1675,"停止","断続")))</f>
        <v>断続</v>
      </c>
      <c r="W1675" s="30" t="n">
        <v>60</v>
      </c>
      <c r="X1675" s="30" t="n">
        <v>30</v>
      </c>
      <c r="Y1675" s="30" t="str">
        <f aca="false">IF(W1675&lt;判定条件!$C$6,"判定不能",IF(X1675&gt;=判定条件!$C$7*W1675,"運転",IF(X1675&lt;=判定条件!$C$8*W1675,"停止","断続")))</f>
        <v>断続</v>
      </c>
      <c r="Z1675" s="30" t="n">
        <v>60</v>
      </c>
      <c r="AA1675" s="30" t="n">
        <v>53</v>
      </c>
      <c r="AB1675" s="30" t="str">
        <f aca="false">IF(Z1675&lt;判定条件!$C$6,"判定不能",IF(AA1675&gt;=判定条件!$C$7*Z1675,"運転",IF(AA1675&lt;=判定条件!$C$8*Z1675,"停止","断続")))</f>
        <v>運転</v>
      </c>
      <c r="AC1675" s="30" t="n">
        <v>60</v>
      </c>
      <c r="AD1675" s="30" t="n">
        <v>38</v>
      </c>
      <c r="AE1675" s="30" t="str">
        <f aca="false">IF(AC1675&lt;判定条件!$C$6,"判定不能",IF(AD1675&gt;=判定条件!$C$7*AC1675,"運転",IF(AD1675&lt;=判定条件!$C$8*AC1675,"停止","断続")))</f>
        <v>断続</v>
      </c>
      <c r="AF1675" s="30" t="n">
        <v>60</v>
      </c>
      <c r="AG1675" s="30" t="n">
        <v>9</v>
      </c>
      <c r="AH1675" s="30" t="str">
        <f aca="false">IF(OR(P1675="判定不能",G1675="判定不能"),"判定不能",IF(AG1675&gt;=判定条件!$C$9,"利用可",IF(AND(P1675="停止",G1675="停止"),"両方停止","運転がそろわない")))</f>
        <v>運転がそろわない</v>
      </c>
      <c r="AI1675" s="30" t="n">
        <v>60</v>
      </c>
      <c r="AJ1675" s="30" t="n">
        <v>39</v>
      </c>
      <c r="AK1675" s="30" t="str">
        <f aca="false">IF(OR(S1675="判定不能",J1675="判定不能"),"判定不能",IF(AJ1675&gt;=判定条件!$C$9,"利用可",IF(AND(S1675="停止",J1675="停止"),"両方停止","運転がそろわない")))</f>
        <v>利用可</v>
      </c>
      <c r="AL1675" s="30" t="n">
        <v>60</v>
      </c>
      <c r="AM1675" s="30" t="n">
        <v>36</v>
      </c>
      <c r="AN1675" s="30" t="str">
        <f aca="false">IF(OR(V1675="判定不能",M1675="判定不能"),"判定不能",IF(AM1675&gt;=判定条件!$C$9,"利用可",IF(AND(V1675="停止",M1675="停止"),"両方停止","運転がそろわない")))</f>
        <v>利用可</v>
      </c>
      <c r="AO1675" s="30" t="n">
        <v>60</v>
      </c>
      <c r="AP1675" s="30" t="n">
        <v>12</v>
      </c>
      <c r="AQ1675" s="30" t="str">
        <f aca="false">IF(OR(Y1675="判定不能",G1675="判定不能"),"判定不能",IF(AP1675&gt;=判定条件!$C$9,"利用可",IF(AND(Y1675="停止",G1675="停止"),"両方停止","運転がそろわない")))</f>
        <v>運転がそろわない</v>
      </c>
      <c r="AR1675" s="30" t="n">
        <v>60</v>
      </c>
      <c r="AS1675" s="30" t="n">
        <v>43</v>
      </c>
      <c r="AT1675" s="30" t="str">
        <f aca="false">IF(OR(AB1675="判定不能",J1675="判定不能"),"判定不能",IF(AS1675&gt;=判定条件!$C$9,"利用可",IF(AND(AB1675="停止",J1675="停止"),"両方停止","運転がそろわない")))</f>
        <v>利用可</v>
      </c>
      <c r="AU1675" s="30" t="n">
        <v>60</v>
      </c>
      <c r="AV1675" s="30" t="n">
        <v>38</v>
      </c>
      <c r="AW1675" s="30" t="str">
        <f aca="false">IF(OR(AE1675="判定不能",M1675="判定不能"),"判定不能",IF(AV1675&gt;=判定条件!$C$9,"利用可",IF(AND(AE1675="停止",M1675="停止"),"両方停止","運転がそろわない")))</f>
        <v>利用可</v>
      </c>
      <c r="AX1675" s="30" t="str">
        <f aca="false">IF(AND(AH1675="利用可",AK1675="利用可",AN1675="利用可"),"利用可","不可")</f>
        <v>不可</v>
      </c>
      <c r="AY1675" s="30" t="str">
        <f aca="false">IF(AND(AQ1675="利用可",AT1675="利用可",AW1675="利用可"),"利用可","不可")</f>
        <v>不可</v>
      </c>
    </row>
    <row r="1676" customFormat="false" ht="15" hidden="false" customHeight="false" outlineLevel="0" collapsed="false">
      <c r="A1676" s="29" t="n">
        <v>46301</v>
      </c>
      <c r="B1676" s="30" t="n">
        <v>17</v>
      </c>
      <c r="C1676" s="31" t="s">
        <v>67</v>
      </c>
      <c r="D1676" s="31" t="s">
        <v>59</v>
      </c>
      <c r="E1676" s="30" t="n">
        <v>60</v>
      </c>
      <c r="F1676" s="30" t="n">
        <v>55</v>
      </c>
      <c r="G1676" s="30" t="str">
        <f aca="false">IF(E1676&lt;判定条件!$C$6,"判定不能",IF(F1676&gt;=判定条件!$C$7*E1676,"運転",IF(F1676&lt;=判定条件!$C$8*E1676,"停止","断続")))</f>
        <v>運転</v>
      </c>
      <c r="H1676" s="30" t="n">
        <v>60</v>
      </c>
      <c r="I1676" s="30" t="n">
        <v>25</v>
      </c>
      <c r="J1676" s="30" t="str">
        <f aca="false">IF(H1676&lt;判定条件!$C$6,"判定不能",IF(I1676&gt;=判定条件!$C$7*H1676,"運転",IF(I1676&lt;=判定条件!$C$8*H1676,"停止","断続")))</f>
        <v>断続</v>
      </c>
      <c r="K1676" s="30" t="n">
        <v>60</v>
      </c>
      <c r="L1676" s="30" t="n">
        <v>60</v>
      </c>
      <c r="M1676" s="30" t="str">
        <f aca="false">IF(K1676&lt;判定条件!$C$6,"判定不能",IF(L1676&gt;=判定条件!$C$7*K1676,"運転",IF(L1676&lt;=判定条件!$C$8*K1676,"停止","断続")))</f>
        <v>運転</v>
      </c>
      <c r="N1676" s="30" t="n">
        <v>60</v>
      </c>
      <c r="O1676" s="30" t="n">
        <v>0</v>
      </c>
      <c r="P1676" s="30" t="str">
        <f aca="false">IF(N1676&lt;判定条件!$C$6,"判定不能",IF(O1676&gt;=判定条件!$C$7*N1676,"運転",IF(O1676&lt;=判定条件!$C$8*N1676,"停止","断続")))</f>
        <v>停止</v>
      </c>
      <c r="Q1676" s="30" t="n">
        <v>60</v>
      </c>
      <c r="R1676" s="30" t="n">
        <v>37</v>
      </c>
      <c r="S1676" s="30" t="str">
        <f aca="false">IF(Q1676&lt;判定条件!$C$6,"判定不能",IF(R1676&gt;=判定条件!$C$7*Q1676,"運転",IF(R1676&lt;=判定条件!$C$8*Q1676,"停止","断続")))</f>
        <v>断続</v>
      </c>
      <c r="T1676" s="30" t="n">
        <v>60</v>
      </c>
      <c r="U1676" s="30" t="n">
        <v>44</v>
      </c>
      <c r="V1676" s="30" t="str">
        <f aca="false">IF(T1676&lt;判定条件!$C$6,"判定不能",IF(U1676&gt;=判定条件!$C$7*T1676,"運転",IF(U1676&lt;=判定条件!$C$8*T1676,"停止","断続")))</f>
        <v>断続</v>
      </c>
      <c r="W1676" s="30" t="n">
        <v>60</v>
      </c>
      <c r="X1676" s="30" t="n">
        <v>29</v>
      </c>
      <c r="Y1676" s="30" t="str">
        <f aca="false">IF(W1676&lt;判定条件!$C$6,"判定不能",IF(X1676&gt;=判定条件!$C$7*W1676,"運転",IF(X1676&lt;=判定条件!$C$8*W1676,"停止","断続")))</f>
        <v>断続</v>
      </c>
      <c r="Z1676" s="30" t="n">
        <v>60</v>
      </c>
      <c r="AA1676" s="30" t="n">
        <v>59</v>
      </c>
      <c r="AB1676" s="30" t="str">
        <f aca="false">IF(Z1676&lt;判定条件!$C$6,"判定不能",IF(AA1676&gt;=判定条件!$C$7*Z1676,"運転",IF(AA1676&lt;=判定条件!$C$8*Z1676,"停止","断続")))</f>
        <v>運転</v>
      </c>
      <c r="AC1676" s="30" t="n">
        <v>60</v>
      </c>
      <c r="AD1676" s="30" t="n">
        <v>31</v>
      </c>
      <c r="AE1676" s="30" t="str">
        <f aca="false">IF(AC1676&lt;判定条件!$C$6,"判定不能",IF(AD1676&gt;=判定条件!$C$7*AC1676,"運転",IF(AD1676&lt;=判定条件!$C$8*AC1676,"停止","断続")))</f>
        <v>断続</v>
      </c>
      <c r="AF1676" s="30" t="n">
        <v>60</v>
      </c>
      <c r="AG1676" s="30" t="n">
        <v>0</v>
      </c>
      <c r="AH1676" s="30" t="str">
        <f aca="false">IF(OR(P1676="判定不能",G1676="判定不能"),"判定不能",IF(AG1676&gt;=判定条件!$C$9,"利用可",IF(AND(P1676="停止",G1676="停止"),"両方停止","運転がそろわない")))</f>
        <v>運転がそろわない</v>
      </c>
      <c r="AI1676" s="30" t="n">
        <v>60</v>
      </c>
      <c r="AJ1676" s="30" t="n">
        <v>11</v>
      </c>
      <c r="AK1676" s="30" t="str">
        <f aca="false">IF(OR(S1676="判定不能",J1676="判定不能"),"判定不能",IF(AJ1676&gt;=判定条件!$C$9,"利用可",IF(AND(S1676="停止",J1676="停止"),"両方停止","運転がそろわない")))</f>
        <v>運転がそろわない</v>
      </c>
      <c r="AL1676" s="30" t="n">
        <v>60</v>
      </c>
      <c r="AM1676" s="30" t="n">
        <v>44</v>
      </c>
      <c r="AN1676" s="30" t="str">
        <f aca="false">IF(OR(V1676="判定不能",M1676="判定不能"),"判定不能",IF(AM1676&gt;=判定条件!$C$9,"利用可",IF(AND(V1676="停止",M1676="停止"),"両方停止","運転がそろわない")))</f>
        <v>利用可</v>
      </c>
      <c r="AO1676" s="30" t="n">
        <v>60</v>
      </c>
      <c r="AP1676" s="30" t="n">
        <v>24</v>
      </c>
      <c r="AQ1676" s="30" t="str">
        <f aca="false">IF(OR(Y1676="判定不能",G1676="判定不能"),"判定不能",IF(AP1676&gt;=判定条件!$C$9,"利用可",IF(AND(Y1676="停止",G1676="停止"),"両方停止","運転がそろわない")))</f>
        <v>運転がそろわない</v>
      </c>
      <c r="AR1676" s="30" t="n">
        <v>60</v>
      </c>
      <c r="AS1676" s="30" t="n">
        <v>25</v>
      </c>
      <c r="AT1676" s="30" t="str">
        <f aca="false">IF(OR(AB1676="判定不能",J1676="判定不能"),"判定不能",IF(AS1676&gt;=判定条件!$C$9,"利用可",IF(AND(AB1676="停止",J1676="停止"),"両方停止","運転がそろわない")))</f>
        <v>運転がそろわない</v>
      </c>
      <c r="AU1676" s="30" t="n">
        <v>60</v>
      </c>
      <c r="AV1676" s="30" t="n">
        <v>31</v>
      </c>
      <c r="AW1676" s="30" t="str">
        <f aca="false">IF(OR(AE1676="判定不能",M1676="判定不能"),"判定不能",IF(AV1676&gt;=判定条件!$C$9,"利用可",IF(AND(AE1676="停止",M1676="停止"),"両方停止","運転がそろわない")))</f>
        <v>利用可</v>
      </c>
      <c r="AX1676" s="30" t="str">
        <f aca="false">IF(AND(AH1676="利用可",AK1676="利用可",AN1676="利用可"),"利用可","不可")</f>
        <v>不可</v>
      </c>
      <c r="AY1676" s="30" t="str">
        <f aca="false">IF(AND(AQ1676="利用可",AT1676="利用可",AW1676="利用可"),"利用可","不可")</f>
        <v>不可</v>
      </c>
    </row>
    <row r="1677" customFormat="false" ht="15" hidden="false" customHeight="false" outlineLevel="0" collapsed="false">
      <c r="A1677" s="29" t="n">
        <v>46301</v>
      </c>
      <c r="B1677" s="30" t="n">
        <v>18</v>
      </c>
      <c r="C1677" s="31" t="s">
        <v>67</v>
      </c>
      <c r="D1677" s="31" t="s">
        <v>59</v>
      </c>
      <c r="E1677" s="30" t="n">
        <v>60</v>
      </c>
      <c r="F1677" s="30" t="n">
        <v>13</v>
      </c>
      <c r="G1677" s="30" t="str">
        <f aca="false">IF(E1677&lt;判定条件!$C$6,"判定不能",IF(F1677&gt;=判定条件!$C$7*E1677,"運転",IF(F1677&lt;=判定条件!$C$8*E1677,"停止","断続")))</f>
        <v>断続</v>
      </c>
      <c r="H1677" s="30" t="n">
        <v>60</v>
      </c>
      <c r="I1677" s="30" t="n">
        <v>18</v>
      </c>
      <c r="J1677" s="30" t="str">
        <f aca="false">IF(H1677&lt;判定条件!$C$6,"判定不能",IF(I1677&gt;=判定条件!$C$7*H1677,"運転",IF(I1677&lt;=判定条件!$C$8*H1677,"停止","断続")))</f>
        <v>断続</v>
      </c>
      <c r="K1677" s="30" t="n">
        <v>60</v>
      </c>
      <c r="L1677" s="30" t="n">
        <v>19</v>
      </c>
      <c r="M1677" s="30" t="str">
        <f aca="false">IF(K1677&lt;判定条件!$C$6,"判定不能",IF(L1677&gt;=判定条件!$C$7*K1677,"運転",IF(L1677&lt;=判定条件!$C$8*K1677,"停止","断続")))</f>
        <v>断続</v>
      </c>
      <c r="N1677" s="30" t="n">
        <v>60</v>
      </c>
      <c r="O1677" s="30" t="n">
        <v>0</v>
      </c>
      <c r="P1677" s="30" t="str">
        <f aca="false">IF(N1677&lt;判定条件!$C$6,"判定不能",IF(O1677&gt;=判定条件!$C$7*N1677,"運転",IF(O1677&lt;=判定条件!$C$8*N1677,"停止","断続")))</f>
        <v>停止</v>
      </c>
      <c r="Q1677" s="30" t="n">
        <v>60</v>
      </c>
      <c r="R1677" s="30" t="n">
        <v>5</v>
      </c>
      <c r="S1677" s="30" t="str">
        <f aca="false">IF(Q1677&lt;判定条件!$C$6,"判定不能",IF(R1677&gt;=判定条件!$C$7*Q1677,"運転",IF(R1677&lt;=判定条件!$C$8*Q1677,"停止","断続")))</f>
        <v>停止</v>
      </c>
      <c r="T1677" s="30" t="n">
        <v>60</v>
      </c>
      <c r="U1677" s="30" t="n">
        <v>4</v>
      </c>
      <c r="V1677" s="30" t="str">
        <f aca="false">IF(T1677&lt;判定条件!$C$6,"判定不能",IF(U1677&gt;=判定条件!$C$7*T1677,"運転",IF(U1677&lt;=判定条件!$C$8*T1677,"停止","断続")))</f>
        <v>停止</v>
      </c>
      <c r="W1677" s="30" t="n">
        <v>60</v>
      </c>
      <c r="X1677" s="30" t="n">
        <v>36</v>
      </c>
      <c r="Y1677" s="30" t="str">
        <f aca="false">IF(W1677&lt;判定条件!$C$6,"判定不能",IF(X1677&gt;=判定条件!$C$7*W1677,"運転",IF(X1677&lt;=判定条件!$C$8*W1677,"停止","断続")))</f>
        <v>断続</v>
      </c>
      <c r="Z1677" s="30" t="n">
        <v>60</v>
      </c>
      <c r="AA1677" s="30" t="n">
        <v>41</v>
      </c>
      <c r="AB1677" s="30" t="str">
        <f aca="false">IF(Z1677&lt;判定条件!$C$6,"判定不能",IF(AA1677&gt;=判定条件!$C$7*Z1677,"運転",IF(AA1677&lt;=判定条件!$C$8*Z1677,"停止","断続")))</f>
        <v>断続</v>
      </c>
      <c r="AC1677" s="30" t="n">
        <v>60</v>
      </c>
      <c r="AD1677" s="30" t="n">
        <v>42</v>
      </c>
      <c r="AE1677" s="30" t="str">
        <f aca="false">IF(AC1677&lt;判定条件!$C$6,"判定不能",IF(AD1677&gt;=判定条件!$C$7*AC1677,"運転",IF(AD1677&lt;=判定条件!$C$8*AC1677,"停止","断続")))</f>
        <v>断続</v>
      </c>
      <c r="AF1677" s="30" t="n">
        <v>60</v>
      </c>
      <c r="AG1677" s="30" t="n">
        <v>0</v>
      </c>
      <c r="AH1677" s="30" t="str">
        <f aca="false">IF(OR(P1677="判定不能",G1677="判定不能"),"判定不能",IF(AG1677&gt;=判定条件!$C$9,"利用可",IF(AND(P1677="停止",G1677="停止"),"両方停止","運転がそろわない")))</f>
        <v>運転がそろわない</v>
      </c>
      <c r="AI1677" s="30" t="n">
        <v>60</v>
      </c>
      <c r="AJ1677" s="30" t="n">
        <v>5</v>
      </c>
      <c r="AK1677" s="30" t="str">
        <f aca="false">IF(OR(S1677="判定不能",J1677="判定不能"),"判定不能",IF(AJ1677&gt;=判定条件!$C$9,"利用可",IF(AND(S1677="停止",J1677="停止"),"両方停止","運転がそろわない")))</f>
        <v>運転がそろわない</v>
      </c>
      <c r="AL1677" s="30" t="n">
        <v>60</v>
      </c>
      <c r="AM1677" s="30" t="n">
        <v>4</v>
      </c>
      <c r="AN1677" s="30" t="str">
        <f aca="false">IF(OR(V1677="判定不能",M1677="判定不能"),"判定不能",IF(AM1677&gt;=判定条件!$C$9,"利用可",IF(AND(V1677="停止",M1677="停止"),"両方停止","運転がそろわない")))</f>
        <v>運転がそろわない</v>
      </c>
      <c r="AO1677" s="30" t="n">
        <v>60</v>
      </c>
      <c r="AP1677" s="30" t="n">
        <v>0</v>
      </c>
      <c r="AQ1677" s="30" t="str">
        <f aca="false">IF(OR(Y1677="判定不能",G1677="判定不能"),"判定不能",IF(AP1677&gt;=判定条件!$C$9,"利用可",IF(AND(Y1677="停止",G1677="停止"),"両方停止","運転がそろわない")))</f>
        <v>運転がそろわない</v>
      </c>
      <c r="AR1677" s="30" t="n">
        <v>60</v>
      </c>
      <c r="AS1677" s="30" t="n">
        <v>14</v>
      </c>
      <c r="AT1677" s="30" t="str">
        <f aca="false">IF(OR(AB1677="判定不能",J1677="判定不能"),"判定不能",IF(AS1677&gt;=判定条件!$C$9,"利用可",IF(AND(AB1677="停止",J1677="停止"),"両方停止","運転がそろわない")))</f>
        <v>運転がそろわない</v>
      </c>
      <c r="AU1677" s="30" t="n">
        <v>60</v>
      </c>
      <c r="AV1677" s="30" t="n">
        <v>8</v>
      </c>
      <c r="AW1677" s="30" t="str">
        <f aca="false">IF(OR(AE1677="判定不能",M1677="判定不能"),"判定不能",IF(AV1677&gt;=判定条件!$C$9,"利用可",IF(AND(AE1677="停止",M1677="停止"),"両方停止","運転がそろわない")))</f>
        <v>運転がそろわない</v>
      </c>
      <c r="AX1677" s="30" t="str">
        <f aca="false">IF(AND(AH1677="利用可",AK1677="利用可",AN1677="利用可"),"利用可","不可")</f>
        <v>不可</v>
      </c>
      <c r="AY1677" s="30" t="str">
        <f aca="false">IF(AND(AQ1677="利用可",AT1677="利用可",AW1677="利用可"),"利用可","不可")</f>
        <v>不可</v>
      </c>
    </row>
    <row r="1678" customFormat="false" ht="15" hidden="false" customHeight="false" outlineLevel="0" collapsed="false">
      <c r="A1678" s="29" t="n">
        <v>46301</v>
      </c>
      <c r="B1678" s="30" t="n">
        <v>19</v>
      </c>
      <c r="C1678" s="31" t="s">
        <v>67</v>
      </c>
      <c r="D1678" s="31" t="s">
        <v>59</v>
      </c>
      <c r="E1678" s="30" t="n">
        <v>60</v>
      </c>
      <c r="F1678" s="30" t="n">
        <v>3</v>
      </c>
      <c r="G1678" s="30" t="str">
        <f aca="false">IF(E1678&lt;判定条件!$C$6,"判定不能",IF(F1678&gt;=判定条件!$C$7*E1678,"運転",IF(F1678&lt;=判定条件!$C$8*E1678,"停止","断続")))</f>
        <v>停止</v>
      </c>
      <c r="H1678" s="30" t="n">
        <v>60</v>
      </c>
      <c r="I1678" s="30" t="n">
        <v>27</v>
      </c>
      <c r="J1678" s="30" t="str">
        <f aca="false">IF(H1678&lt;判定条件!$C$6,"判定不能",IF(I1678&gt;=判定条件!$C$7*H1678,"運転",IF(I1678&lt;=判定条件!$C$8*H1678,"停止","断続")))</f>
        <v>断続</v>
      </c>
      <c r="K1678" s="30" t="n">
        <v>60</v>
      </c>
      <c r="L1678" s="30" t="n">
        <v>60</v>
      </c>
      <c r="M1678" s="30" t="str">
        <f aca="false">IF(K1678&lt;判定条件!$C$6,"判定不能",IF(L1678&gt;=判定条件!$C$7*K1678,"運転",IF(L1678&lt;=判定条件!$C$8*K1678,"停止","断続")))</f>
        <v>運転</v>
      </c>
      <c r="N1678" s="30" t="n">
        <v>60</v>
      </c>
      <c r="O1678" s="30" t="n">
        <v>0</v>
      </c>
      <c r="P1678" s="30" t="str">
        <f aca="false">IF(N1678&lt;判定条件!$C$6,"判定不能",IF(O1678&gt;=判定条件!$C$7*N1678,"運転",IF(O1678&lt;=判定条件!$C$8*N1678,"停止","断続")))</f>
        <v>停止</v>
      </c>
      <c r="Q1678" s="30" t="n">
        <v>60</v>
      </c>
      <c r="R1678" s="30" t="n">
        <v>20</v>
      </c>
      <c r="S1678" s="30" t="str">
        <f aca="false">IF(Q1678&lt;判定条件!$C$6,"判定不能",IF(R1678&gt;=判定条件!$C$7*Q1678,"運転",IF(R1678&lt;=判定条件!$C$8*Q1678,"停止","断続")))</f>
        <v>断続</v>
      </c>
      <c r="T1678" s="30" t="n">
        <v>60</v>
      </c>
      <c r="U1678" s="30" t="n">
        <v>0</v>
      </c>
      <c r="V1678" s="30" t="str">
        <f aca="false">IF(T1678&lt;判定条件!$C$6,"判定不能",IF(U1678&gt;=判定条件!$C$7*T1678,"運転",IF(U1678&lt;=判定条件!$C$8*T1678,"停止","断続")))</f>
        <v>停止</v>
      </c>
      <c r="W1678" s="30" t="n">
        <v>60</v>
      </c>
      <c r="X1678" s="30" t="n">
        <v>0</v>
      </c>
      <c r="Y1678" s="30" t="str">
        <f aca="false">IF(W1678&lt;判定条件!$C$6,"判定不能",IF(X1678&gt;=判定条件!$C$7*W1678,"運転",IF(X1678&lt;=判定条件!$C$8*W1678,"停止","断続")))</f>
        <v>停止</v>
      </c>
      <c r="Z1678" s="30" t="n">
        <v>60</v>
      </c>
      <c r="AA1678" s="30" t="n">
        <v>0</v>
      </c>
      <c r="AB1678" s="30" t="str">
        <f aca="false">IF(Z1678&lt;判定条件!$C$6,"判定不能",IF(AA1678&gt;=判定条件!$C$7*Z1678,"運転",IF(AA1678&lt;=判定条件!$C$8*Z1678,"停止","断続")))</f>
        <v>停止</v>
      </c>
      <c r="AC1678" s="30" t="n">
        <v>60</v>
      </c>
      <c r="AD1678" s="30" t="n">
        <v>0</v>
      </c>
      <c r="AE1678" s="30" t="str">
        <f aca="false">IF(AC1678&lt;判定条件!$C$6,"判定不能",IF(AD1678&gt;=判定条件!$C$7*AC1678,"運転",IF(AD1678&lt;=判定条件!$C$8*AC1678,"停止","断続")))</f>
        <v>停止</v>
      </c>
      <c r="AF1678" s="30" t="n">
        <v>60</v>
      </c>
      <c r="AG1678" s="30" t="n">
        <v>0</v>
      </c>
      <c r="AH1678" s="30" t="str">
        <f aca="false">IF(OR(P1678="判定不能",G1678="判定不能"),"判定不能",IF(AG1678&gt;=判定条件!$C$9,"利用可",IF(AND(P1678="停止",G1678="停止"),"両方停止","運転がそろわない")))</f>
        <v>両方停止</v>
      </c>
      <c r="AI1678" s="30" t="n">
        <v>60</v>
      </c>
      <c r="AJ1678" s="30" t="n">
        <v>5</v>
      </c>
      <c r="AK1678" s="30" t="str">
        <f aca="false">IF(OR(S1678="判定不能",J1678="判定不能"),"判定不能",IF(AJ1678&gt;=判定条件!$C$9,"利用可",IF(AND(S1678="停止",J1678="停止"),"両方停止","運転がそろわない")))</f>
        <v>運転がそろわない</v>
      </c>
      <c r="AL1678" s="30" t="n">
        <v>60</v>
      </c>
      <c r="AM1678" s="30" t="n">
        <v>0</v>
      </c>
      <c r="AN1678" s="30" t="str">
        <f aca="false">IF(OR(V1678="判定不能",M1678="判定不能"),"判定不能",IF(AM1678&gt;=判定条件!$C$9,"利用可",IF(AND(V1678="停止",M1678="停止"),"両方停止","運転がそろわない")))</f>
        <v>運転がそろわない</v>
      </c>
      <c r="AO1678" s="30" t="n">
        <v>60</v>
      </c>
      <c r="AP1678" s="30" t="n">
        <v>0</v>
      </c>
      <c r="AQ1678" s="30" t="str">
        <f aca="false">IF(OR(Y1678="判定不能",G1678="判定不能"),"判定不能",IF(AP1678&gt;=判定条件!$C$9,"利用可",IF(AND(Y1678="停止",G1678="停止"),"両方停止","運転がそろわない")))</f>
        <v>両方停止</v>
      </c>
      <c r="AR1678" s="30" t="n">
        <v>60</v>
      </c>
      <c r="AS1678" s="30" t="n">
        <v>0</v>
      </c>
      <c r="AT1678" s="30" t="str">
        <f aca="false">IF(OR(AB1678="判定不能",J1678="判定不能"),"判定不能",IF(AS1678&gt;=判定条件!$C$9,"利用可",IF(AND(AB1678="停止",J1678="停止"),"両方停止","運転がそろわない")))</f>
        <v>運転がそろわない</v>
      </c>
      <c r="AU1678" s="30" t="n">
        <v>60</v>
      </c>
      <c r="AV1678" s="30" t="n">
        <v>0</v>
      </c>
      <c r="AW1678" s="30" t="str">
        <f aca="false">IF(OR(AE1678="判定不能",M1678="判定不能"),"判定不能",IF(AV1678&gt;=判定条件!$C$9,"利用可",IF(AND(AE1678="停止",M1678="停止"),"両方停止","運転がそろわない")))</f>
        <v>運転がそろわない</v>
      </c>
      <c r="AX1678" s="30" t="str">
        <f aca="false">IF(AND(AH1678="利用可",AK1678="利用可",AN1678="利用可"),"利用可","不可")</f>
        <v>不可</v>
      </c>
      <c r="AY1678" s="30" t="str">
        <f aca="false">IF(AND(AQ1678="利用可",AT1678="利用可",AW1678="利用可"),"利用可","不可")</f>
        <v>不可</v>
      </c>
    </row>
    <row r="1679" customFormat="false" ht="15" hidden="false" customHeight="false" outlineLevel="0" collapsed="false">
      <c r="A1679" s="29" t="n">
        <v>46301</v>
      </c>
      <c r="B1679" s="30" t="n">
        <v>20</v>
      </c>
      <c r="C1679" s="31" t="s">
        <v>67</v>
      </c>
      <c r="D1679" s="31" t="s">
        <v>59</v>
      </c>
      <c r="E1679" s="30" t="n">
        <v>60</v>
      </c>
      <c r="F1679" s="30" t="n">
        <v>0</v>
      </c>
      <c r="G1679" s="30" t="str">
        <f aca="false">IF(E1679&lt;判定条件!$C$6,"判定不能",IF(F1679&gt;=判定条件!$C$7*E1679,"運転",IF(F1679&lt;=判定条件!$C$8*E1679,"停止","断続")))</f>
        <v>停止</v>
      </c>
      <c r="H1679" s="30" t="n">
        <v>60</v>
      </c>
      <c r="I1679" s="30" t="n">
        <v>33</v>
      </c>
      <c r="J1679" s="30" t="str">
        <f aca="false">IF(H1679&lt;判定条件!$C$6,"判定不能",IF(I1679&gt;=判定条件!$C$7*H1679,"運転",IF(I1679&lt;=判定条件!$C$8*H1679,"停止","断続")))</f>
        <v>断続</v>
      </c>
      <c r="K1679" s="30" t="n">
        <v>60</v>
      </c>
      <c r="L1679" s="30" t="n">
        <v>52</v>
      </c>
      <c r="M1679" s="30" t="str">
        <f aca="false">IF(K1679&lt;判定条件!$C$6,"判定不能",IF(L1679&gt;=判定条件!$C$7*K1679,"運転",IF(L1679&lt;=判定条件!$C$8*K1679,"停止","断続")))</f>
        <v>運転</v>
      </c>
      <c r="N1679" s="30" t="n">
        <v>60</v>
      </c>
      <c r="O1679" s="30" t="n">
        <v>0</v>
      </c>
      <c r="P1679" s="30" t="str">
        <f aca="false">IF(N1679&lt;判定条件!$C$6,"判定不能",IF(O1679&gt;=判定条件!$C$7*N1679,"運転",IF(O1679&lt;=判定条件!$C$8*N1679,"停止","断続")))</f>
        <v>停止</v>
      </c>
      <c r="Q1679" s="30" t="n">
        <v>60</v>
      </c>
      <c r="R1679" s="30" t="n">
        <v>0</v>
      </c>
      <c r="S1679" s="30" t="str">
        <f aca="false">IF(Q1679&lt;判定条件!$C$6,"判定不能",IF(R1679&gt;=判定条件!$C$7*Q1679,"運転",IF(R1679&lt;=判定条件!$C$8*Q1679,"停止","断続")))</f>
        <v>停止</v>
      </c>
      <c r="T1679" s="30" t="n">
        <v>60</v>
      </c>
      <c r="U1679" s="30" t="n">
        <v>0</v>
      </c>
      <c r="V1679" s="30" t="str">
        <f aca="false">IF(T1679&lt;判定条件!$C$6,"判定不能",IF(U1679&gt;=判定条件!$C$7*T1679,"運転",IF(U1679&lt;=判定条件!$C$8*T1679,"停止","断続")))</f>
        <v>停止</v>
      </c>
      <c r="W1679" s="30" t="n">
        <v>60</v>
      </c>
      <c r="X1679" s="30" t="n">
        <v>0</v>
      </c>
      <c r="Y1679" s="30" t="str">
        <f aca="false">IF(W1679&lt;判定条件!$C$6,"判定不能",IF(X1679&gt;=判定条件!$C$7*W1679,"運転",IF(X1679&lt;=判定条件!$C$8*W1679,"停止","断続")))</f>
        <v>停止</v>
      </c>
      <c r="Z1679" s="30" t="n">
        <v>60</v>
      </c>
      <c r="AA1679" s="30" t="n">
        <v>0</v>
      </c>
      <c r="AB1679" s="30" t="str">
        <f aca="false">IF(Z1679&lt;判定条件!$C$6,"判定不能",IF(AA1679&gt;=判定条件!$C$7*Z1679,"運転",IF(AA1679&lt;=判定条件!$C$8*Z1679,"停止","断続")))</f>
        <v>停止</v>
      </c>
      <c r="AC1679" s="30" t="n">
        <v>60</v>
      </c>
      <c r="AD1679" s="30" t="n">
        <v>0</v>
      </c>
      <c r="AE1679" s="30" t="str">
        <f aca="false">IF(AC1679&lt;判定条件!$C$6,"判定不能",IF(AD1679&gt;=判定条件!$C$7*AC1679,"運転",IF(AD1679&lt;=判定条件!$C$8*AC1679,"停止","断続")))</f>
        <v>停止</v>
      </c>
      <c r="AF1679" s="30" t="n">
        <v>60</v>
      </c>
      <c r="AG1679" s="30" t="n">
        <v>0</v>
      </c>
      <c r="AH1679" s="30" t="str">
        <f aca="false">IF(OR(P1679="判定不能",G1679="判定不能"),"判定不能",IF(AG1679&gt;=判定条件!$C$9,"利用可",IF(AND(P1679="停止",G1679="停止"),"両方停止","運転がそろわない")))</f>
        <v>両方停止</v>
      </c>
      <c r="AI1679" s="30" t="n">
        <v>60</v>
      </c>
      <c r="AJ1679" s="30" t="n">
        <v>0</v>
      </c>
      <c r="AK1679" s="30" t="str">
        <f aca="false">IF(OR(S1679="判定不能",J1679="判定不能"),"判定不能",IF(AJ1679&gt;=判定条件!$C$9,"利用可",IF(AND(S1679="停止",J1679="停止"),"両方停止","運転がそろわない")))</f>
        <v>運転がそろわない</v>
      </c>
      <c r="AL1679" s="30" t="n">
        <v>60</v>
      </c>
      <c r="AM1679" s="30" t="n">
        <v>0</v>
      </c>
      <c r="AN1679" s="30" t="str">
        <f aca="false">IF(OR(V1679="判定不能",M1679="判定不能"),"判定不能",IF(AM1679&gt;=判定条件!$C$9,"利用可",IF(AND(V1679="停止",M1679="停止"),"両方停止","運転がそろわない")))</f>
        <v>運転がそろわない</v>
      </c>
      <c r="AO1679" s="30" t="n">
        <v>60</v>
      </c>
      <c r="AP1679" s="30" t="n">
        <v>0</v>
      </c>
      <c r="AQ1679" s="30" t="str">
        <f aca="false">IF(OR(Y1679="判定不能",G1679="判定不能"),"判定不能",IF(AP1679&gt;=判定条件!$C$9,"利用可",IF(AND(Y1679="停止",G1679="停止"),"両方停止","運転がそろわない")))</f>
        <v>両方停止</v>
      </c>
      <c r="AR1679" s="30" t="n">
        <v>60</v>
      </c>
      <c r="AS1679" s="30" t="n">
        <v>0</v>
      </c>
      <c r="AT1679" s="30" t="str">
        <f aca="false">IF(OR(AB1679="判定不能",J1679="判定不能"),"判定不能",IF(AS1679&gt;=判定条件!$C$9,"利用可",IF(AND(AB1679="停止",J1679="停止"),"両方停止","運転がそろわない")))</f>
        <v>運転がそろわない</v>
      </c>
      <c r="AU1679" s="30" t="n">
        <v>60</v>
      </c>
      <c r="AV1679" s="30" t="n">
        <v>0</v>
      </c>
      <c r="AW1679" s="30" t="str">
        <f aca="false">IF(OR(AE1679="判定不能",M1679="判定不能"),"判定不能",IF(AV1679&gt;=判定条件!$C$9,"利用可",IF(AND(AE1679="停止",M1679="停止"),"両方停止","運転がそろわない")))</f>
        <v>運転がそろわない</v>
      </c>
      <c r="AX1679" s="30" t="str">
        <f aca="false">IF(AND(AH1679="利用可",AK1679="利用可",AN1679="利用可"),"利用可","不可")</f>
        <v>不可</v>
      </c>
      <c r="AY1679" s="30" t="str">
        <f aca="false">IF(AND(AQ1679="利用可",AT1679="利用可",AW1679="利用可"),"利用可","不可")</f>
        <v>不可</v>
      </c>
    </row>
    <row r="1680" customFormat="false" ht="15" hidden="false" customHeight="false" outlineLevel="0" collapsed="false">
      <c r="A1680" s="29" t="n">
        <v>46301</v>
      </c>
      <c r="B1680" s="30" t="n">
        <v>21</v>
      </c>
      <c r="C1680" s="31" t="s">
        <v>67</v>
      </c>
      <c r="D1680" s="31" t="s">
        <v>59</v>
      </c>
      <c r="E1680" s="30" t="n">
        <v>60</v>
      </c>
      <c r="F1680" s="30" t="n">
        <v>0</v>
      </c>
      <c r="G1680" s="30" t="str">
        <f aca="false">IF(E1680&lt;判定条件!$C$6,"判定不能",IF(F1680&gt;=判定条件!$C$7*E1680,"運転",IF(F1680&lt;=判定条件!$C$8*E1680,"停止","断続")))</f>
        <v>停止</v>
      </c>
      <c r="H1680" s="30" t="n">
        <v>60</v>
      </c>
      <c r="I1680" s="30" t="n">
        <v>0</v>
      </c>
      <c r="J1680" s="30" t="str">
        <f aca="false">IF(H1680&lt;判定条件!$C$6,"判定不能",IF(I1680&gt;=判定条件!$C$7*H1680,"運転",IF(I1680&lt;=判定条件!$C$8*H1680,"停止","断続")))</f>
        <v>停止</v>
      </c>
      <c r="K1680" s="30" t="n">
        <v>60</v>
      </c>
      <c r="L1680" s="30" t="n">
        <v>0</v>
      </c>
      <c r="M1680" s="30" t="str">
        <f aca="false">IF(K1680&lt;判定条件!$C$6,"判定不能",IF(L1680&gt;=判定条件!$C$7*K1680,"運転",IF(L1680&lt;=判定条件!$C$8*K1680,"停止","断続")))</f>
        <v>停止</v>
      </c>
      <c r="N1680" s="30" t="n">
        <v>60</v>
      </c>
      <c r="O1680" s="30" t="n">
        <v>0</v>
      </c>
      <c r="P1680" s="30" t="str">
        <f aca="false">IF(N1680&lt;判定条件!$C$6,"判定不能",IF(O1680&gt;=判定条件!$C$7*N1680,"運転",IF(O1680&lt;=判定条件!$C$8*N1680,"停止","断続")))</f>
        <v>停止</v>
      </c>
      <c r="Q1680" s="30" t="n">
        <v>60</v>
      </c>
      <c r="R1680" s="30" t="n">
        <v>0</v>
      </c>
      <c r="S1680" s="30" t="str">
        <f aca="false">IF(Q1680&lt;判定条件!$C$6,"判定不能",IF(R1680&gt;=判定条件!$C$7*Q1680,"運転",IF(R1680&lt;=判定条件!$C$8*Q1680,"停止","断続")))</f>
        <v>停止</v>
      </c>
      <c r="T1680" s="30" t="n">
        <v>60</v>
      </c>
      <c r="U1680" s="30" t="n">
        <v>0</v>
      </c>
      <c r="V1680" s="30" t="str">
        <f aca="false">IF(T1680&lt;判定条件!$C$6,"判定不能",IF(U1680&gt;=判定条件!$C$7*T1680,"運転",IF(U1680&lt;=判定条件!$C$8*T1680,"停止","断続")))</f>
        <v>停止</v>
      </c>
      <c r="W1680" s="30" t="n">
        <v>60</v>
      </c>
      <c r="X1680" s="30" t="n">
        <v>0</v>
      </c>
      <c r="Y1680" s="30" t="str">
        <f aca="false">IF(W1680&lt;判定条件!$C$6,"判定不能",IF(X1680&gt;=判定条件!$C$7*W1680,"運転",IF(X1680&lt;=判定条件!$C$8*W1680,"停止","断続")))</f>
        <v>停止</v>
      </c>
      <c r="Z1680" s="30" t="n">
        <v>60</v>
      </c>
      <c r="AA1680" s="30" t="n">
        <v>0</v>
      </c>
      <c r="AB1680" s="30" t="str">
        <f aca="false">IF(Z1680&lt;判定条件!$C$6,"判定不能",IF(AA1680&gt;=判定条件!$C$7*Z1680,"運転",IF(AA1680&lt;=判定条件!$C$8*Z1680,"停止","断続")))</f>
        <v>停止</v>
      </c>
      <c r="AC1680" s="30" t="n">
        <v>60</v>
      </c>
      <c r="AD1680" s="30" t="n">
        <v>0</v>
      </c>
      <c r="AE1680" s="30" t="str">
        <f aca="false">IF(AC1680&lt;判定条件!$C$6,"判定不能",IF(AD1680&gt;=判定条件!$C$7*AC1680,"運転",IF(AD1680&lt;=判定条件!$C$8*AC1680,"停止","断続")))</f>
        <v>停止</v>
      </c>
      <c r="AF1680" s="30" t="n">
        <v>60</v>
      </c>
      <c r="AG1680" s="30" t="n">
        <v>0</v>
      </c>
      <c r="AH1680" s="30" t="str">
        <f aca="false">IF(OR(P1680="判定不能",G1680="判定不能"),"判定不能",IF(AG1680&gt;=判定条件!$C$9,"利用可",IF(AND(P1680="停止",G1680="停止"),"両方停止","運転がそろわない")))</f>
        <v>両方停止</v>
      </c>
      <c r="AI1680" s="30" t="n">
        <v>60</v>
      </c>
      <c r="AJ1680" s="30" t="n">
        <v>0</v>
      </c>
      <c r="AK1680" s="30" t="str">
        <f aca="false">IF(OR(S1680="判定不能",J1680="判定不能"),"判定不能",IF(AJ1680&gt;=判定条件!$C$9,"利用可",IF(AND(S1680="停止",J1680="停止"),"両方停止","運転がそろわない")))</f>
        <v>両方停止</v>
      </c>
      <c r="AL1680" s="30" t="n">
        <v>60</v>
      </c>
      <c r="AM1680" s="30" t="n">
        <v>0</v>
      </c>
      <c r="AN1680" s="30" t="str">
        <f aca="false">IF(OR(V1680="判定不能",M1680="判定不能"),"判定不能",IF(AM1680&gt;=判定条件!$C$9,"利用可",IF(AND(V1680="停止",M1680="停止"),"両方停止","運転がそろわない")))</f>
        <v>両方停止</v>
      </c>
      <c r="AO1680" s="30" t="n">
        <v>60</v>
      </c>
      <c r="AP1680" s="30" t="n">
        <v>0</v>
      </c>
      <c r="AQ1680" s="30" t="str">
        <f aca="false">IF(OR(Y1680="判定不能",G1680="判定不能"),"判定不能",IF(AP1680&gt;=判定条件!$C$9,"利用可",IF(AND(Y1680="停止",G1680="停止"),"両方停止","運転がそろわない")))</f>
        <v>両方停止</v>
      </c>
      <c r="AR1680" s="30" t="n">
        <v>60</v>
      </c>
      <c r="AS1680" s="30" t="n">
        <v>0</v>
      </c>
      <c r="AT1680" s="30" t="str">
        <f aca="false">IF(OR(AB1680="判定不能",J1680="判定不能"),"判定不能",IF(AS1680&gt;=判定条件!$C$9,"利用可",IF(AND(AB1680="停止",J1680="停止"),"両方停止","運転がそろわない")))</f>
        <v>両方停止</v>
      </c>
      <c r="AU1680" s="30" t="n">
        <v>60</v>
      </c>
      <c r="AV1680" s="30" t="n">
        <v>0</v>
      </c>
      <c r="AW1680" s="30" t="str">
        <f aca="false">IF(OR(AE1680="判定不能",M1680="判定不能"),"判定不能",IF(AV1680&gt;=判定条件!$C$9,"利用可",IF(AND(AE1680="停止",M1680="停止"),"両方停止","運転がそろわない")))</f>
        <v>両方停止</v>
      </c>
      <c r="AX1680" s="30" t="str">
        <f aca="false">IF(AND(AH1680="利用可",AK1680="利用可",AN1680="利用可"),"利用可","不可")</f>
        <v>不可</v>
      </c>
      <c r="AY1680" s="30" t="str">
        <f aca="false">IF(AND(AQ1680="利用可",AT1680="利用可",AW1680="利用可"),"利用可","不可")</f>
        <v>不可</v>
      </c>
    </row>
    <row r="1681" customFormat="false" ht="15" hidden="false" customHeight="false" outlineLevel="0" collapsed="false">
      <c r="A1681" s="29" t="n">
        <v>46301</v>
      </c>
      <c r="B1681" s="30" t="n">
        <v>22</v>
      </c>
      <c r="C1681" s="31" t="s">
        <v>67</v>
      </c>
      <c r="D1681" s="31" t="s">
        <v>59</v>
      </c>
      <c r="E1681" s="30" t="n">
        <v>60</v>
      </c>
      <c r="F1681" s="30" t="n">
        <v>0</v>
      </c>
      <c r="G1681" s="30" t="str">
        <f aca="false">IF(E1681&lt;判定条件!$C$6,"判定不能",IF(F1681&gt;=判定条件!$C$7*E1681,"運転",IF(F1681&lt;=判定条件!$C$8*E1681,"停止","断続")))</f>
        <v>停止</v>
      </c>
      <c r="H1681" s="30" t="n">
        <v>60</v>
      </c>
      <c r="I1681" s="30" t="n">
        <v>0</v>
      </c>
      <c r="J1681" s="30" t="str">
        <f aca="false">IF(H1681&lt;判定条件!$C$6,"判定不能",IF(I1681&gt;=判定条件!$C$7*H1681,"運転",IF(I1681&lt;=判定条件!$C$8*H1681,"停止","断続")))</f>
        <v>停止</v>
      </c>
      <c r="K1681" s="30" t="n">
        <v>60</v>
      </c>
      <c r="L1681" s="30" t="n">
        <v>0</v>
      </c>
      <c r="M1681" s="30" t="str">
        <f aca="false">IF(K1681&lt;判定条件!$C$6,"判定不能",IF(L1681&gt;=判定条件!$C$7*K1681,"運転",IF(L1681&lt;=判定条件!$C$8*K1681,"停止","断続")))</f>
        <v>停止</v>
      </c>
      <c r="N1681" s="30" t="n">
        <v>60</v>
      </c>
      <c r="O1681" s="30" t="n">
        <v>0</v>
      </c>
      <c r="P1681" s="30" t="str">
        <f aca="false">IF(N1681&lt;判定条件!$C$6,"判定不能",IF(O1681&gt;=判定条件!$C$7*N1681,"運転",IF(O1681&lt;=判定条件!$C$8*N1681,"停止","断続")))</f>
        <v>停止</v>
      </c>
      <c r="Q1681" s="30" t="n">
        <v>60</v>
      </c>
      <c r="R1681" s="30" t="n">
        <v>0</v>
      </c>
      <c r="S1681" s="30" t="str">
        <f aca="false">IF(Q1681&lt;判定条件!$C$6,"判定不能",IF(R1681&gt;=判定条件!$C$7*Q1681,"運転",IF(R1681&lt;=判定条件!$C$8*Q1681,"停止","断続")))</f>
        <v>停止</v>
      </c>
      <c r="T1681" s="30" t="n">
        <v>60</v>
      </c>
      <c r="U1681" s="30" t="n">
        <v>0</v>
      </c>
      <c r="V1681" s="30" t="str">
        <f aca="false">IF(T1681&lt;判定条件!$C$6,"判定不能",IF(U1681&gt;=判定条件!$C$7*T1681,"運転",IF(U1681&lt;=判定条件!$C$8*T1681,"停止","断続")))</f>
        <v>停止</v>
      </c>
      <c r="W1681" s="30" t="n">
        <v>60</v>
      </c>
      <c r="X1681" s="30" t="n">
        <v>0</v>
      </c>
      <c r="Y1681" s="30" t="str">
        <f aca="false">IF(W1681&lt;判定条件!$C$6,"判定不能",IF(X1681&gt;=判定条件!$C$7*W1681,"運転",IF(X1681&lt;=判定条件!$C$8*W1681,"停止","断続")))</f>
        <v>停止</v>
      </c>
      <c r="Z1681" s="30" t="n">
        <v>60</v>
      </c>
      <c r="AA1681" s="30" t="n">
        <v>0</v>
      </c>
      <c r="AB1681" s="30" t="str">
        <f aca="false">IF(Z1681&lt;判定条件!$C$6,"判定不能",IF(AA1681&gt;=判定条件!$C$7*Z1681,"運転",IF(AA1681&lt;=判定条件!$C$8*Z1681,"停止","断続")))</f>
        <v>停止</v>
      </c>
      <c r="AC1681" s="30" t="n">
        <v>60</v>
      </c>
      <c r="AD1681" s="30" t="n">
        <v>0</v>
      </c>
      <c r="AE1681" s="30" t="str">
        <f aca="false">IF(AC1681&lt;判定条件!$C$6,"判定不能",IF(AD1681&gt;=判定条件!$C$7*AC1681,"運転",IF(AD1681&lt;=判定条件!$C$8*AC1681,"停止","断続")))</f>
        <v>停止</v>
      </c>
      <c r="AF1681" s="30" t="n">
        <v>60</v>
      </c>
      <c r="AG1681" s="30" t="n">
        <v>0</v>
      </c>
      <c r="AH1681" s="30" t="str">
        <f aca="false">IF(OR(P1681="判定不能",G1681="判定不能"),"判定不能",IF(AG1681&gt;=判定条件!$C$9,"利用可",IF(AND(P1681="停止",G1681="停止"),"両方停止","運転がそろわない")))</f>
        <v>両方停止</v>
      </c>
      <c r="AI1681" s="30" t="n">
        <v>60</v>
      </c>
      <c r="AJ1681" s="30" t="n">
        <v>0</v>
      </c>
      <c r="AK1681" s="30" t="str">
        <f aca="false">IF(OR(S1681="判定不能",J1681="判定不能"),"判定不能",IF(AJ1681&gt;=判定条件!$C$9,"利用可",IF(AND(S1681="停止",J1681="停止"),"両方停止","運転がそろわない")))</f>
        <v>両方停止</v>
      </c>
      <c r="AL1681" s="30" t="n">
        <v>60</v>
      </c>
      <c r="AM1681" s="30" t="n">
        <v>0</v>
      </c>
      <c r="AN1681" s="30" t="str">
        <f aca="false">IF(OR(V1681="判定不能",M1681="判定不能"),"判定不能",IF(AM1681&gt;=判定条件!$C$9,"利用可",IF(AND(V1681="停止",M1681="停止"),"両方停止","運転がそろわない")))</f>
        <v>両方停止</v>
      </c>
      <c r="AO1681" s="30" t="n">
        <v>60</v>
      </c>
      <c r="AP1681" s="30" t="n">
        <v>0</v>
      </c>
      <c r="AQ1681" s="30" t="str">
        <f aca="false">IF(OR(Y1681="判定不能",G1681="判定不能"),"判定不能",IF(AP1681&gt;=判定条件!$C$9,"利用可",IF(AND(Y1681="停止",G1681="停止"),"両方停止","運転がそろわない")))</f>
        <v>両方停止</v>
      </c>
      <c r="AR1681" s="30" t="n">
        <v>60</v>
      </c>
      <c r="AS1681" s="30" t="n">
        <v>0</v>
      </c>
      <c r="AT1681" s="30" t="str">
        <f aca="false">IF(OR(AB1681="判定不能",J1681="判定不能"),"判定不能",IF(AS1681&gt;=判定条件!$C$9,"利用可",IF(AND(AB1681="停止",J1681="停止"),"両方停止","運転がそろわない")))</f>
        <v>両方停止</v>
      </c>
      <c r="AU1681" s="30" t="n">
        <v>60</v>
      </c>
      <c r="AV1681" s="30" t="n">
        <v>0</v>
      </c>
      <c r="AW1681" s="30" t="str">
        <f aca="false">IF(OR(AE1681="判定不能",M1681="判定不能"),"判定不能",IF(AV1681&gt;=判定条件!$C$9,"利用可",IF(AND(AE1681="停止",M1681="停止"),"両方停止","運転がそろわない")))</f>
        <v>両方停止</v>
      </c>
      <c r="AX1681" s="30" t="str">
        <f aca="false">IF(AND(AH1681="利用可",AK1681="利用可",AN1681="利用可"),"利用可","不可")</f>
        <v>不可</v>
      </c>
      <c r="AY1681" s="30" t="str">
        <f aca="false">IF(AND(AQ1681="利用可",AT1681="利用可",AW1681="利用可"),"利用可","不可")</f>
        <v>不可</v>
      </c>
    </row>
    <row r="1682" customFormat="false" ht="15" hidden="false" customHeight="false" outlineLevel="0" collapsed="false">
      <c r="A1682" s="29" t="n">
        <v>46301</v>
      </c>
      <c r="B1682" s="30" t="n">
        <v>23</v>
      </c>
      <c r="C1682" s="31" t="s">
        <v>67</v>
      </c>
      <c r="D1682" s="31" t="s">
        <v>59</v>
      </c>
      <c r="E1682" s="30" t="n">
        <v>60</v>
      </c>
      <c r="F1682" s="30" t="n">
        <v>0</v>
      </c>
      <c r="G1682" s="30" t="str">
        <f aca="false">IF(E1682&lt;判定条件!$C$6,"判定不能",IF(F1682&gt;=判定条件!$C$7*E1682,"運転",IF(F1682&lt;=判定条件!$C$8*E1682,"停止","断続")))</f>
        <v>停止</v>
      </c>
      <c r="H1682" s="30" t="n">
        <v>60</v>
      </c>
      <c r="I1682" s="30" t="n">
        <v>0</v>
      </c>
      <c r="J1682" s="30" t="str">
        <f aca="false">IF(H1682&lt;判定条件!$C$6,"判定不能",IF(I1682&gt;=判定条件!$C$7*H1682,"運転",IF(I1682&lt;=判定条件!$C$8*H1682,"停止","断続")))</f>
        <v>停止</v>
      </c>
      <c r="K1682" s="30" t="n">
        <v>60</v>
      </c>
      <c r="L1682" s="30" t="n">
        <v>0</v>
      </c>
      <c r="M1682" s="30" t="str">
        <f aca="false">IF(K1682&lt;判定条件!$C$6,"判定不能",IF(L1682&gt;=判定条件!$C$7*K1682,"運転",IF(L1682&lt;=判定条件!$C$8*K1682,"停止","断続")))</f>
        <v>停止</v>
      </c>
      <c r="N1682" s="30" t="n">
        <v>60</v>
      </c>
      <c r="O1682" s="30" t="n">
        <v>0</v>
      </c>
      <c r="P1682" s="30" t="str">
        <f aca="false">IF(N1682&lt;判定条件!$C$6,"判定不能",IF(O1682&gt;=判定条件!$C$7*N1682,"運転",IF(O1682&lt;=判定条件!$C$8*N1682,"停止","断続")))</f>
        <v>停止</v>
      </c>
      <c r="Q1682" s="30" t="n">
        <v>60</v>
      </c>
      <c r="R1682" s="30" t="n">
        <v>0</v>
      </c>
      <c r="S1682" s="30" t="str">
        <f aca="false">IF(Q1682&lt;判定条件!$C$6,"判定不能",IF(R1682&gt;=判定条件!$C$7*Q1682,"運転",IF(R1682&lt;=判定条件!$C$8*Q1682,"停止","断続")))</f>
        <v>停止</v>
      </c>
      <c r="T1682" s="30" t="n">
        <v>60</v>
      </c>
      <c r="U1682" s="30" t="n">
        <v>0</v>
      </c>
      <c r="V1682" s="30" t="str">
        <f aca="false">IF(T1682&lt;判定条件!$C$6,"判定不能",IF(U1682&gt;=判定条件!$C$7*T1682,"運転",IF(U1682&lt;=判定条件!$C$8*T1682,"停止","断続")))</f>
        <v>停止</v>
      </c>
      <c r="W1682" s="30" t="n">
        <v>60</v>
      </c>
      <c r="X1682" s="30" t="n">
        <v>0</v>
      </c>
      <c r="Y1682" s="30" t="str">
        <f aca="false">IF(W1682&lt;判定条件!$C$6,"判定不能",IF(X1682&gt;=判定条件!$C$7*W1682,"運転",IF(X1682&lt;=判定条件!$C$8*W1682,"停止","断続")))</f>
        <v>停止</v>
      </c>
      <c r="Z1682" s="30" t="n">
        <v>60</v>
      </c>
      <c r="AA1682" s="30" t="n">
        <v>0</v>
      </c>
      <c r="AB1682" s="30" t="str">
        <f aca="false">IF(Z1682&lt;判定条件!$C$6,"判定不能",IF(AA1682&gt;=判定条件!$C$7*Z1682,"運転",IF(AA1682&lt;=判定条件!$C$8*Z1682,"停止","断続")))</f>
        <v>停止</v>
      </c>
      <c r="AC1682" s="30" t="n">
        <v>60</v>
      </c>
      <c r="AD1682" s="30" t="n">
        <v>0</v>
      </c>
      <c r="AE1682" s="30" t="str">
        <f aca="false">IF(AC1682&lt;判定条件!$C$6,"判定不能",IF(AD1682&gt;=判定条件!$C$7*AC1682,"運転",IF(AD1682&lt;=判定条件!$C$8*AC1682,"停止","断続")))</f>
        <v>停止</v>
      </c>
      <c r="AF1682" s="30" t="n">
        <v>60</v>
      </c>
      <c r="AG1682" s="30" t="n">
        <v>0</v>
      </c>
      <c r="AH1682" s="30" t="str">
        <f aca="false">IF(OR(P1682="判定不能",G1682="判定不能"),"判定不能",IF(AG1682&gt;=判定条件!$C$9,"利用可",IF(AND(P1682="停止",G1682="停止"),"両方停止","運転がそろわない")))</f>
        <v>両方停止</v>
      </c>
      <c r="AI1682" s="30" t="n">
        <v>60</v>
      </c>
      <c r="AJ1682" s="30" t="n">
        <v>0</v>
      </c>
      <c r="AK1682" s="30" t="str">
        <f aca="false">IF(OR(S1682="判定不能",J1682="判定不能"),"判定不能",IF(AJ1682&gt;=判定条件!$C$9,"利用可",IF(AND(S1682="停止",J1682="停止"),"両方停止","運転がそろわない")))</f>
        <v>両方停止</v>
      </c>
      <c r="AL1682" s="30" t="n">
        <v>60</v>
      </c>
      <c r="AM1682" s="30" t="n">
        <v>0</v>
      </c>
      <c r="AN1682" s="30" t="str">
        <f aca="false">IF(OR(V1682="判定不能",M1682="判定不能"),"判定不能",IF(AM1682&gt;=判定条件!$C$9,"利用可",IF(AND(V1682="停止",M1682="停止"),"両方停止","運転がそろわない")))</f>
        <v>両方停止</v>
      </c>
      <c r="AO1682" s="30" t="n">
        <v>60</v>
      </c>
      <c r="AP1682" s="30" t="n">
        <v>0</v>
      </c>
      <c r="AQ1682" s="30" t="str">
        <f aca="false">IF(OR(Y1682="判定不能",G1682="判定不能"),"判定不能",IF(AP1682&gt;=判定条件!$C$9,"利用可",IF(AND(Y1682="停止",G1682="停止"),"両方停止","運転がそろわない")))</f>
        <v>両方停止</v>
      </c>
      <c r="AR1682" s="30" t="n">
        <v>60</v>
      </c>
      <c r="AS1682" s="30" t="n">
        <v>0</v>
      </c>
      <c r="AT1682" s="30" t="str">
        <f aca="false">IF(OR(AB1682="判定不能",J1682="判定不能"),"判定不能",IF(AS1682&gt;=判定条件!$C$9,"利用可",IF(AND(AB1682="停止",J1682="停止"),"両方停止","運転がそろわない")))</f>
        <v>両方停止</v>
      </c>
      <c r="AU1682" s="30" t="n">
        <v>60</v>
      </c>
      <c r="AV1682" s="30" t="n">
        <v>0</v>
      </c>
      <c r="AW1682" s="30" t="str">
        <f aca="false">IF(OR(AE1682="判定不能",M1682="判定不能"),"判定不能",IF(AV1682&gt;=判定条件!$C$9,"利用可",IF(AND(AE1682="停止",M1682="停止"),"両方停止","運転がそろわない")))</f>
        <v>両方停止</v>
      </c>
      <c r="AX1682" s="30" t="str">
        <f aca="false">IF(AND(AH1682="利用可",AK1682="利用可",AN1682="利用可"),"利用可","不可")</f>
        <v>不可</v>
      </c>
      <c r="AY1682" s="30" t="str">
        <f aca="false">IF(AND(AQ1682="利用可",AT1682="利用可",AW1682="利用可"),"利用可","不可")</f>
        <v>不可</v>
      </c>
    </row>
    <row r="1683" customFormat="false" ht="15" hidden="false" customHeight="false" outlineLevel="0" collapsed="false">
      <c r="A1683" s="29" t="n">
        <v>46302</v>
      </c>
      <c r="B1683" s="30" t="n">
        <v>0</v>
      </c>
      <c r="C1683" s="31" t="s">
        <v>58</v>
      </c>
      <c r="D1683" s="31" t="s">
        <v>59</v>
      </c>
      <c r="E1683" s="30" t="n">
        <v>60</v>
      </c>
      <c r="F1683" s="30" t="n">
        <v>0</v>
      </c>
      <c r="G1683" s="30" t="str">
        <f aca="false">IF(E1683&lt;判定条件!$C$6,"判定不能",IF(F1683&gt;=判定条件!$C$7*E1683,"運転",IF(F1683&lt;=判定条件!$C$8*E1683,"停止","断続")))</f>
        <v>停止</v>
      </c>
      <c r="H1683" s="30" t="n">
        <v>60</v>
      </c>
      <c r="I1683" s="30" t="n">
        <v>0</v>
      </c>
      <c r="J1683" s="30" t="str">
        <f aca="false">IF(H1683&lt;判定条件!$C$6,"判定不能",IF(I1683&gt;=判定条件!$C$7*H1683,"運転",IF(I1683&lt;=判定条件!$C$8*H1683,"停止","断続")))</f>
        <v>停止</v>
      </c>
      <c r="K1683" s="30" t="n">
        <v>60</v>
      </c>
      <c r="L1683" s="30" t="n">
        <v>0</v>
      </c>
      <c r="M1683" s="30" t="str">
        <f aca="false">IF(K1683&lt;判定条件!$C$6,"判定不能",IF(L1683&gt;=判定条件!$C$7*K1683,"運転",IF(L1683&lt;=判定条件!$C$8*K1683,"停止","断続")))</f>
        <v>停止</v>
      </c>
      <c r="N1683" s="30" t="n">
        <v>60</v>
      </c>
      <c r="O1683" s="30" t="n">
        <v>0</v>
      </c>
      <c r="P1683" s="30" t="str">
        <f aca="false">IF(N1683&lt;判定条件!$C$6,"判定不能",IF(O1683&gt;=判定条件!$C$7*N1683,"運転",IF(O1683&lt;=判定条件!$C$8*N1683,"停止","断続")))</f>
        <v>停止</v>
      </c>
      <c r="Q1683" s="30" t="n">
        <v>60</v>
      </c>
      <c r="R1683" s="30" t="n">
        <v>0</v>
      </c>
      <c r="S1683" s="30" t="str">
        <f aca="false">IF(Q1683&lt;判定条件!$C$6,"判定不能",IF(R1683&gt;=判定条件!$C$7*Q1683,"運転",IF(R1683&lt;=判定条件!$C$8*Q1683,"停止","断続")))</f>
        <v>停止</v>
      </c>
      <c r="T1683" s="30" t="n">
        <v>60</v>
      </c>
      <c r="U1683" s="30" t="n">
        <v>0</v>
      </c>
      <c r="V1683" s="30" t="str">
        <f aca="false">IF(T1683&lt;判定条件!$C$6,"判定不能",IF(U1683&gt;=判定条件!$C$7*T1683,"運転",IF(U1683&lt;=判定条件!$C$8*T1683,"停止","断続")))</f>
        <v>停止</v>
      </c>
      <c r="W1683" s="30" t="n">
        <v>60</v>
      </c>
      <c r="X1683" s="30" t="n">
        <v>0</v>
      </c>
      <c r="Y1683" s="30" t="str">
        <f aca="false">IF(W1683&lt;判定条件!$C$6,"判定不能",IF(X1683&gt;=判定条件!$C$7*W1683,"運転",IF(X1683&lt;=判定条件!$C$8*W1683,"停止","断続")))</f>
        <v>停止</v>
      </c>
      <c r="Z1683" s="30" t="n">
        <v>60</v>
      </c>
      <c r="AA1683" s="30" t="n">
        <v>0</v>
      </c>
      <c r="AB1683" s="30" t="str">
        <f aca="false">IF(Z1683&lt;判定条件!$C$6,"判定不能",IF(AA1683&gt;=判定条件!$C$7*Z1683,"運転",IF(AA1683&lt;=判定条件!$C$8*Z1683,"停止","断続")))</f>
        <v>停止</v>
      </c>
      <c r="AC1683" s="30" t="n">
        <v>60</v>
      </c>
      <c r="AD1683" s="30" t="n">
        <v>0</v>
      </c>
      <c r="AE1683" s="30" t="str">
        <f aca="false">IF(AC1683&lt;判定条件!$C$6,"判定不能",IF(AD1683&gt;=判定条件!$C$7*AC1683,"運転",IF(AD1683&lt;=判定条件!$C$8*AC1683,"停止","断続")))</f>
        <v>停止</v>
      </c>
      <c r="AF1683" s="30" t="n">
        <v>60</v>
      </c>
      <c r="AG1683" s="30" t="n">
        <v>0</v>
      </c>
      <c r="AH1683" s="30" t="str">
        <f aca="false">IF(OR(P1683="判定不能",G1683="判定不能"),"判定不能",IF(AG1683&gt;=判定条件!$C$9,"利用可",IF(AND(P1683="停止",G1683="停止"),"両方停止","運転がそろわない")))</f>
        <v>両方停止</v>
      </c>
      <c r="AI1683" s="30" t="n">
        <v>60</v>
      </c>
      <c r="AJ1683" s="30" t="n">
        <v>0</v>
      </c>
      <c r="AK1683" s="30" t="str">
        <f aca="false">IF(OR(S1683="判定不能",J1683="判定不能"),"判定不能",IF(AJ1683&gt;=判定条件!$C$9,"利用可",IF(AND(S1683="停止",J1683="停止"),"両方停止","運転がそろわない")))</f>
        <v>両方停止</v>
      </c>
      <c r="AL1683" s="30" t="n">
        <v>60</v>
      </c>
      <c r="AM1683" s="30" t="n">
        <v>0</v>
      </c>
      <c r="AN1683" s="30" t="str">
        <f aca="false">IF(OR(V1683="判定不能",M1683="判定不能"),"判定不能",IF(AM1683&gt;=判定条件!$C$9,"利用可",IF(AND(V1683="停止",M1683="停止"),"両方停止","運転がそろわない")))</f>
        <v>両方停止</v>
      </c>
      <c r="AO1683" s="30" t="n">
        <v>60</v>
      </c>
      <c r="AP1683" s="30" t="n">
        <v>0</v>
      </c>
      <c r="AQ1683" s="30" t="str">
        <f aca="false">IF(OR(Y1683="判定不能",G1683="判定不能"),"判定不能",IF(AP1683&gt;=判定条件!$C$9,"利用可",IF(AND(Y1683="停止",G1683="停止"),"両方停止","運転がそろわない")))</f>
        <v>両方停止</v>
      </c>
      <c r="AR1683" s="30" t="n">
        <v>60</v>
      </c>
      <c r="AS1683" s="30" t="n">
        <v>0</v>
      </c>
      <c r="AT1683" s="30" t="str">
        <f aca="false">IF(OR(AB1683="判定不能",J1683="判定不能"),"判定不能",IF(AS1683&gt;=判定条件!$C$9,"利用可",IF(AND(AB1683="停止",J1683="停止"),"両方停止","運転がそろわない")))</f>
        <v>両方停止</v>
      </c>
      <c r="AU1683" s="30" t="n">
        <v>60</v>
      </c>
      <c r="AV1683" s="30" t="n">
        <v>0</v>
      </c>
      <c r="AW1683" s="30" t="str">
        <f aca="false">IF(OR(AE1683="判定不能",M1683="判定不能"),"判定不能",IF(AV1683&gt;=判定条件!$C$9,"利用可",IF(AND(AE1683="停止",M1683="停止"),"両方停止","運転がそろわない")))</f>
        <v>両方停止</v>
      </c>
      <c r="AX1683" s="30" t="str">
        <f aca="false">IF(AND(AH1683="利用可",AK1683="利用可",AN1683="利用可"),"利用可","不可")</f>
        <v>不可</v>
      </c>
      <c r="AY1683" s="30" t="str">
        <f aca="false">IF(AND(AQ1683="利用可",AT1683="利用可",AW1683="利用可"),"利用可","不可")</f>
        <v>不可</v>
      </c>
    </row>
    <row r="1684" customFormat="false" ht="15" hidden="false" customHeight="false" outlineLevel="0" collapsed="false">
      <c r="A1684" s="29" t="n">
        <v>46302</v>
      </c>
      <c r="B1684" s="30" t="n">
        <v>1</v>
      </c>
      <c r="C1684" s="31" t="s">
        <v>58</v>
      </c>
      <c r="D1684" s="31" t="s">
        <v>59</v>
      </c>
      <c r="E1684" s="30" t="n">
        <v>60</v>
      </c>
      <c r="F1684" s="30" t="n">
        <v>0</v>
      </c>
      <c r="G1684" s="30" t="str">
        <f aca="false">IF(E1684&lt;判定条件!$C$6,"判定不能",IF(F1684&gt;=判定条件!$C$7*E1684,"運転",IF(F1684&lt;=判定条件!$C$8*E1684,"停止","断続")))</f>
        <v>停止</v>
      </c>
      <c r="H1684" s="30" t="n">
        <v>60</v>
      </c>
      <c r="I1684" s="30" t="n">
        <v>0</v>
      </c>
      <c r="J1684" s="30" t="str">
        <f aca="false">IF(H1684&lt;判定条件!$C$6,"判定不能",IF(I1684&gt;=判定条件!$C$7*H1684,"運転",IF(I1684&lt;=判定条件!$C$8*H1684,"停止","断続")))</f>
        <v>停止</v>
      </c>
      <c r="K1684" s="30" t="n">
        <v>60</v>
      </c>
      <c r="L1684" s="30" t="n">
        <v>0</v>
      </c>
      <c r="M1684" s="30" t="str">
        <f aca="false">IF(K1684&lt;判定条件!$C$6,"判定不能",IF(L1684&gt;=判定条件!$C$7*K1684,"運転",IF(L1684&lt;=判定条件!$C$8*K1684,"停止","断続")))</f>
        <v>停止</v>
      </c>
      <c r="N1684" s="30" t="n">
        <v>60</v>
      </c>
      <c r="O1684" s="30" t="n">
        <v>0</v>
      </c>
      <c r="P1684" s="30" t="str">
        <f aca="false">IF(N1684&lt;判定条件!$C$6,"判定不能",IF(O1684&gt;=判定条件!$C$7*N1684,"運転",IF(O1684&lt;=判定条件!$C$8*N1684,"停止","断続")))</f>
        <v>停止</v>
      </c>
      <c r="Q1684" s="30" t="n">
        <v>60</v>
      </c>
      <c r="R1684" s="30" t="n">
        <v>0</v>
      </c>
      <c r="S1684" s="30" t="str">
        <f aca="false">IF(Q1684&lt;判定条件!$C$6,"判定不能",IF(R1684&gt;=判定条件!$C$7*Q1684,"運転",IF(R1684&lt;=判定条件!$C$8*Q1684,"停止","断続")))</f>
        <v>停止</v>
      </c>
      <c r="T1684" s="30" t="n">
        <v>60</v>
      </c>
      <c r="U1684" s="30" t="n">
        <v>0</v>
      </c>
      <c r="V1684" s="30" t="str">
        <f aca="false">IF(T1684&lt;判定条件!$C$6,"判定不能",IF(U1684&gt;=判定条件!$C$7*T1684,"運転",IF(U1684&lt;=判定条件!$C$8*T1684,"停止","断続")))</f>
        <v>停止</v>
      </c>
      <c r="W1684" s="30" t="n">
        <v>60</v>
      </c>
      <c r="X1684" s="30" t="n">
        <v>0</v>
      </c>
      <c r="Y1684" s="30" t="str">
        <f aca="false">IF(W1684&lt;判定条件!$C$6,"判定不能",IF(X1684&gt;=判定条件!$C$7*W1684,"運転",IF(X1684&lt;=判定条件!$C$8*W1684,"停止","断続")))</f>
        <v>停止</v>
      </c>
      <c r="Z1684" s="30" t="n">
        <v>60</v>
      </c>
      <c r="AA1684" s="30" t="n">
        <v>0</v>
      </c>
      <c r="AB1684" s="30" t="str">
        <f aca="false">IF(Z1684&lt;判定条件!$C$6,"判定不能",IF(AA1684&gt;=判定条件!$C$7*Z1684,"運転",IF(AA1684&lt;=判定条件!$C$8*Z1684,"停止","断続")))</f>
        <v>停止</v>
      </c>
      <c r="AC1684" s="30" t="n">
        <v>60</v>
      </c>
      <c r="AD1684" s="30" t="n">
        <v>0</v>
      </c>
      <c r="AE1684" s="30" t="str">
        <f aca="false">IF(AC1684&lt;判定条件!$C$6,"判定不能",IF(AD1684&gt;=判定条件!$C$7*AC1684,"運転",IF(AD1684&lt;=判定条件!$C$8*AC1684,"停止","断続")))</f>
        <v>停止</v>
      </c>
      <c r="AF1684" s="30" t="n">
        <v>60</v>
      </c>
      <c r="AG1684" s="30" t="n">
        <v>0</v>
      </c>
      <c r="AH1684" s="30" t="str">
        <f aca="false">IF(OR(P1684="判定不能",G1684="判定不能"),"判定不能",IF(AG1684&gt;=判定条件!$C$9,"利用可",IF(AND(P1684="停止",G1684="停止"),"両方停止","運転がそろわない")))</f>
        <v>両方停止</v>
      </c>
      <c r="AI1684" s="30" t="n">
        <v>60</v>
      </c>
      <c r="AJ1684" s="30" t="n">
        <v>0</v>
      </c>
      <c r="AK1684" s="30" t="str">
        <f aca="false">IF(OR(S1684="判定不能",J1684="判定不能"),"判定不能",IF(AJ1684&gt;=判定条件!$C$9,"利用可",IF(AND(S1684="停止",J1684="停止"),"両方停止","運転がそろわない")))</f>
        <v>両方停止</v>
      </c>
      <c r="AL1684" s="30" t="n">
        <v>60</v>
      </c>
      <c r="AM1684" s="30" t="n">
        <v>0</v>
      </c>
      <c r="AN1684" s="30" t="str">
        <f aca="false">IF(OR(V1684="判定不能",M1684="判定不能"),"判定不能",IF(AM1684&gt;=判定条件!$C$9,"利用可",IF(AND(V1684="停止",M1684="停止"),"両方停止","運転がそろわない")))</f>
        <v>両方停止</v>
      </c>
      <c r="AO1684" s="30" t="n">
        <v>60</v>
      </c>
      <c r="AP1684" s="30" t="n">
        <v>0</v>
      </c>
      <c r="AQ1684" s="30" t="str">
        <f aca="false">IF(OR(Y1684="判定不能",G1684="判定不能"),"判定不能",IF(AP1684&gt;=判定条件!$C$9,"利用可",IF(AND(Y1684="停止",G1684="停止"),"両方停止","運転がそろわない")))</f>
        <v>両方停止</v>
      </c>
      <c r="AR1684" s="30" t="n">
        <v>60</v>
      </c>
      <c r="AS1684" s="30" t="n">
        <v>0</v>
      </c>
      <c r="AT1684" s="30" t="str">
        <f aca="false">IF(OR(AB1684="判定不能",J1684="判定不能"),"判定不能",IF(AS1684&gt;=判定条件!$C$9,"利用可",IF(AND(AB1684="停止",J1684="停止"),"両方停止","運転がそろわない")))</f>
        <v>両方停止</v>
      </c>
      <c r="AU1684" s="30" t="n">
        <v>60</v>
      </c>
      <c r="AV1684" s="30" t="n">
        <v>0</v>
      </c>
      <c r="AW1684" s="30" t="str">
        <f aca="false">IF(OR(AE1684="判定不能",M1684="判定不能"),"判定不能",IF(AV1684&gt;=判定条件!$C$9,"利用可",IF(AND(AE1684="停止",M1684="停止"),"両方停止","運転がそろわない")))</f>
        <v>両方停止</v>
      </c>
      <c r="AX1684" s="30" t="str">
        <f aca="false">IF(AND(AH1684="利用可",AK1684="利用可",AN1684="利用可"),"利用可","不可")</f>
        <v>不可</v>
      </c>
      <c r="AY1684" s="30" t="str">
        <f aca="false">IF(AND(AQ1684="利用可",AT1684="利用可",AW1684="利用可"),"利用可","不可")</f>
        <v>不可</v>
      </c>
    </row>
    <row r="1685" customFormat="false" ht="15" hidden="false" customHeight="false" outlineLevel="0" collapsed="false">
      <c r="A1685" s="29" t="n">
        <v>46302</v>
      </c>
      <c r="B1685" s="30" t="n">
        <v>2</v>
      </c>
      <c r="C1685" s="31" t="s">
        <v>58</v>
      </c>
      <c r="D1685" s="31" t="s">
        <v>59</v>
      </c>
      <c r="E1685" s="30" t="n">
        <v>60</v>
      </c>
      <c r="F1685" s="30" t="n">
        <v>0</v>
      </c>
      <c r="G1685" s="30" t="str">
        <f aca="false">IF(E1685&lt;判定条件!$C$6,"判定不能",IF(F1685&gt;=判定条件!$C$7*E1685,"運転",IF(F1685&lt;=判定条件!$C$8*E1685,"停止","断続")))</f>
        <v>停止</v>
      </c>
      <c r="H1685" s="30" t="n">
        <v>60</v>
      </c>
      <c r="I1685" s="30" t="n">
        <v>0</v>
      </c>
      <c r="J1685" s="30" t="str">
        <f aca="false">IF(H1685&lt;判定条件!$C$6,"判定不能",IF(I1685&gt;=判定条件!$C$7*H1685,"運転",IF(I1685&lt;=判定条件!$C$8*H1685,"停止","断続")))</f>
        <v>停止</v>
      </c>
      <c r="K1685" s="30" t="n">
        <v>60</v>
      </c>
      <c r="L1685" s="30" t="n">
        <v>0</v>
      </c>
      <c r="M1685" s="30" t="str">
        <f aca="false">IF(K1685&lt;判定条件!$C$6,"判定不能",IF(L1685&gt;=判定条件!$C$7*K1685,"運転",IF(L1685&lt;=判定条件!$C$8*K1685,"停止","断続")))</f>
        <v>停止</v>
      </c>
      <c r="N1685" s="30" t="n">
        <v>60</v>
      </c>
      <c r="O1685" s="30" t="n">
        <v>0</v>
      </c>
      <c r="P1685" s="30" t="str">
        <f aca="false">IF(N1685&lt;判定条件!$C$6,"判定不能",IF(O1685&gt;=判定条件!$C$7*N1685,"運転",IF(O1685&lt;=判定条件!$C$8*N1685,"停止","断続")))</f>
        <v>停止</v>
      </c>
      <c r="Q1685" s="30" t="n">
        <v>60</v>
      </c>
      <c r="R1685" s="30" t="n">
        <v>0</v>
      </c>
      <c r="S1685" s="30" t="str">
        <f aca="false">IF(Q1685&lt;判定条件!$C$6,"判定不能",IF(R1685&gt;=判定条件!$C$7*Q1685,"運転",IF(R1685&lt;=判定条件!$C$8*Q1685,"停止","断続")))</f>
        <v>停止</v>
      </c>
      <c r="T1685" s="30" t="n">
        <v>60</v>
      </c>
      <c r="U1685" s="30" t="n">
        <v>0</v>
      </c>
      <c r="V1685" s="30" t="str">
        <f aca="false">IF(T1685&lt;判定条件!$C$6,"判定不能",IF(U1685&gt;=判定条件!$C$7*T1685,"運転",IF(U1685&lt;=判定条件!$C$8*T1685,"停止","断続")))</f>
        <v>停止</v>
      </c>
      <c r="W1685" s="30" t="n">
        <v>60</v>
      </c>
      <c r="X1685" s="30" t="n">
        <v>0</v>
      </c>
      <c r="Y1685" s="30" t="str">
        <f aca="false">IF(W1685&lt;判定条件!$C$6,"判定不能",IF(X1685&gt;=判定条件!$C$7*W1685,"運転",IF(X1685&lt;=判定条件!$C$8*W1685,"停止","断続")))</f>
        <v>停止</v>
      </c>
      <c r="Z1685" s="30" t="n">
        <v>60</v>
      </c>
      <c r="AA1685" s="30" t="n">
        <v>0</v>
      </c>
      <c r="AB1685" s="30" t="str">
        <f aca="false">IF(Z1685&lt;判定条件!$C$6,"判定不能",IF(AA1685&gt;=判定条件!$C$7*Z1685,"運転",IF(AA1685&lt;=判定条件!$C$8*Z1685,"停止","断続")))</f>
        <v>停止</v>
      </c>
      <c r="AC1685" s="30" t="n">
        <v>60</v>
      </c>
      <c r="AD1685" s="30" t="n">
        <v>0</v>
      </c>
      <c r="AE1685" s="30" t="str">
        <f aca="false">IF(AC1685&lt;判定条件!$C$6,"判定不能",IF(AD1685&gt;=判定条件!$C$7*AC1685,"運転",IF(AD1685&lt;=判定条件!$C$8*AC1685,"停止","断続")))</f>
        <v>停止</v>
      </c>
      <c r="AF1685" s="30" t="n">
        <v>60</v>
      </c>
      <c r="AG1685" s="30" t="n">
        <v>0</v>
      </c>
      <c r="AH1685" s="30" t="str">
        <f aca="false">IF(OR(P1685="判定不能",G1685="判定不能"),"判定不能",IF(AG1685&gt;=判定条件!$C$9,"利用可",IF(AND(P1685="停止",G1685="停止"),"両方停止","運転がそろわない")))</f>
        <v>両方停止</v>
      </c>
      <c r="AI1685" s="30" t="n">
        <v>60</v>
      </c>
      <c r="AJ1685" s="30" t="n">
        <v>0</v>
      </c>
      <c r="AK1685" s="30" t="str">
        <f aca="false">IF(OR(S1685="判定不能",J1685="判定不能"),"判定不能",IF(AJ1685&gt;=判定条件!$C$9,"利用可",IF(AND(S1685="停止",J1685="停止"),"両方停止","運転がそろわない")))</f>
        <v>両方停止</v>
      </c>
      <c r="AL1685" s="30" t="n">
        <v>60</v>
      </c>
      <c r="AM1685" s="30" t="n">
        <v>0</v>
      </c>
      <c r="AN1685" s="30" t="str">
        <f aca="false">IF(OR(V1685="判定不能",M1685="判定不能"),"判定不能",IF(AM1685&gt;=判定条件!$C$9,"利用可",IF(AND(V1685="停止",M1685="停止"),"両方停止","運転がそろわない")))</f>
        <v>両方停止</v>
      </c>
      <c r="AO1685" s="30" t="n">
        <v>60</v>
      </c>
      <c r="AP1685" s="30" t="n">
        <v>0</v>
      </c>
      <c r="AQ1685" s="30" t="str">
        <f aca="false">IF(OR(Y1685="判定不能",G1685="判定不能"),"判定不能",IF(AP1685&gt;=判定条件!$C$9,"利用可",IF(AND(Y1685="停止",G1685="停止"),"両方停止","運転がそろわない")))</f>
        <v>両方停止</v>
      </c>
      <c r="AR1685" s="30" t="n">
        <v>60</v>
      </c>
      <c r="AS1685" s="30" t="n">
        <v>0</v>
      </c>
      <c r="AT1685" s="30" t="str">
        <f aca="false">IF(OR(AB1685="判定不能",J1685="判定不能"),"判定不能",IF(AS1685&gt;=判定条件!$C$9,"利用可",IF(AND(AB1685="停止",J1685="停止"),"両方停止","運転がそろわない")))</f>
        <v>両方停止</v>
      </c>
      <c r="AU1685" s="30" t="n">
        <v>60</v>
      </c>
      <c r="AV1685" s="30" t="n">
        <v>0</v>
      </c>
      <c r="AW1685" s="30" t="str">
        <f aca="false">IF(OR(AE1685="判定不能",M1685="判定不能"),"判定不能",IF(AV1685&gt;=判定条件!$C$9,"利用可",IF(AND(AE1685="停止",M1685="停止"),"両方停止","運転がそろわない")))</f>
        <v>両方停止</v>
      </c>
      <c r="AX1685" s="30" t="str">
        <f aca="false">IF(AND(AH1685="利用可",AK1685="利用可",AN1685="利用可"),"利用可","不可")</f>
        <v>不可</v>
      </c>
      <c r="AY1685" s="30" t="str">
        <f aca="false">IF(AND(AQ1685="利用可",AT1685="利用可",AW1685="利用可"),"利用可","不可")</f>
        <v>不可</v>
      </c>
    </row>
    <row r="1686" customFormat="false" ht="15" hidden="false" customHeight="false" outlineLevel="0" collapsed="false">
      <c r="A1686" s="29" t="n">
        <v>46302</v>
      </c>
      <c r="B1686" s="30" t="n">
        <v>3</v>
      </c>
      <c r="C1686" s="31" t="s">
        <v>58</v>
      </c>
      <c r="D1686" s="31" t="s">
        <v>59</v>
      </c>
      <c r="E1686" s="30" t="n">
        <v>60</v>
      </c>
      <c r="F1686" s="30" t="n">
        <v>0</v>
      </c>
      <c r="G1686" s="30" t="str">
        <f aca="false">IF(E1686&lt;判定条件!$C$6,"判定不能",IF(F1686&gt;=判定条件!$C$7*E1686,"運転",IF(F1686&lt;=判定条件!$C$8*E1686,"停止","断続")))</f>
        <v>停止</v>
      </c>
      <c r="H1686" s="30" t="n">
        <v>60</v>
      </c>
      <c r="I1686" s="30" t="n">
        <v>0</v>
      </c>
      <c r="J1686" s="30" t="str">
        <f aca="false">IF(H1686&lt;判定条件!$C$6,"判定不能",IF(I1686&gt;=判定条件!$C$7*H1686,"運転",IF(I1686&lt;=判定条件!$C$8*H1686,"停止","断続")))</f>
        <v>停止</v>
      </c>
      <c r="K1686" s="30" t="n">
        <v>60</v>
      </c>
      <c r="L1686" s="30" t="n">
        <v>0</v>
      </c>
      <c r="M1686" s="30" t="str">
        <f aca="false">IF(K1686&lt;判定条件!$C$6,"判定不能",IF(L1686&gt;=判定条件!$C$7*K1686,"運転",IF(L1686&lt;=判定条件!$C$8*K1686,"停止","断続")))</f>
        <v>停止</v>
      </c>
      <c r="N1686" s="30" t="n">
        <v>60</v>
      </c>
      <c r="O1686" s="30" t="n">
        <v>0</v>
      </c>
      <c r="P1686" s="30" t="str">
        <f aca="false">IF(N1686&lt;判定条件!$C$6,"判定不能",IF(O1686&gt;=判定条件!$C$7*N1686,"運転",IF(O1686&lt;=判定条件!$C$8*N1686,"停止","断続")))</f>
        <v>停止</v>
      </c>
      <c r="Q1686" s="30" t="n">
        <v>60</v>
      </c>
      <c r="R1686" s="30" t="n">
        <v>0</v>
      </c>
      <c r="S1686" s="30" t="str">
        <f aca="false">IF(Q1686&lt;判定条件!$C$6,"判定不能",IF(R1686&gt;=判定条件!$C$7*Q1686,"運転",IF(R1686&lt;=判定条件!$C$8*Q1686,"停止","断続")))</f>
        <v>停止</v>
      </c>
      <c r="T1686" s="30" t="n">
        <v>60</v>
      </c>
      <c r="U1686" s="30" t="n">
        <v>0</v>
      </c>
      <c r="V1686" s="30" t="str">
        <f aca="false">IF(T1686&lt;判定条件!$C$6,"判定不能",IF(U1686&gt;=判定条件!$C$7*T1686,"運転",IF(U1686&lt;=判定条件!$C$8*T1686,"停止","断続")))</f>
        <v>停止</v>
      </c>
      <c r="W1686" s="30" t="n">
        <v>60</v>
      </c>
      <c r="X1686" s="30" t="n">
        <v>0</v>
      </c>
      <c r="Y1686" s="30" t="str">
        <f aca="false">IF(W1686&lt;判定条件!$C$6,"判定不能",IF(X1686&gt;=判定条件!$C$7*W1686,"運転",IF(X1686&lt;=判定条件!$C$8*W1686,"停止","断続")))</f>
        <v>停止</v>
      </c>
      <c r="Z1686" s="30" t="n">
        <v>60</v>
      </c>
      <c r="AA1686" s="30" t="n">
        <v>0</v>
      </c>
      <c r="AB1686" s="30" t="str">
        <f aca="false">IF(Z1686&lt;判定条件!$C$6,"判定不能",IF(AA1686&gt;=判定条件!$C$7*Z1686,"運転",IF(AA1686&lt;=判定条件!$C$8*Z1686,"停止","断続")))</f>
        <v>停止</v>
      </c>
      <c r="AC1686" s="30" t="n">
        <v>60</v>
      </c>
      <c r="AD1686" s="30" t="n">
        <v>0</v>
      </c>
      <c r="AE1686" s="30" t="str">
        <f aca="false">IF(AC1686&lt;判定条件!$C$6,"判定不能",IF(AD1686&gt;=判定条件!$C$7*AC1686,"運転",IF(AD1686&lt;=判定条件!$C$8*AC1686,"停止","断続")))</f>
        <v>停止</v>
      </c>
      <c r="AF1686" s="30" t="n">
        <v>60</v>
      </c>
      <c r="AG1686" s="30" t="n">
        <v>0</v>
      </c>
      <c r="AH1686" s="30" t="str">
        <f aca="false">IF(OR(P1686="判定不能",G1686="判定不能"),"判定不能",IF(AG1686&gt;=判定条件!$C$9,"利用可",IF(AND(P1686="停止",G1686="停止"),"両方停止","運転がそろわない")))</f>
        <v>両方停止</v>
      </c>
      <c r="AI1686" s="30" t="n">
        <v>60</v>
      </c>
      <c r="AJ1686" s="30" t="n">
        <v>0</v>
      </c>
      <c r="AK1686" s="30" t="str">
        <f aca="false">IF(OR(S1686="判定不能",J1686="判定不能"),"判定不能",IF(AJ1686&gt;=判定条件!$C$9,"利用可",IF(AND(S1686="停止",J1686="停止"),"両方停止","運転がそろわない")))</f>
        <v>両方停止</v>
      </c>
      <c r="AL1686" s="30" t="n">
        <v>60</v>
      </c>
      <c r="AM1686" s="30" t="n">
        <v>0</v>
      </c>
      <c r="AN1686" s="30" t="str">
        <f aca="false">IF(OR(V1686="判定不能",M1686="判定不能"),"判定不能",IF(AM1686&gt;=判定条件!$C$9,"利用可",IF(AND(V1686="停止",M1686="停止"),"両方停止","運転がそろわない")))</f>
        <v>両方停止</v>
      </c>
      <c r="AO1686" s="30" t="n">
        <v>60</v>
      </c>
      <c r="AP1686" s="30" t="n">
        <v>0</v>
      </c>
      <c r="AQ1686" s="30" t="str">
        <f aca="false">IF(OR(Y1686="判定不能",G1686="判定不能"),"判定不能",IF(AP1686&gt;=判定条件!$C$9,"利用可",IF(AND(Y1686="停止",G1686="停止"),"両方停止","運転がそろわない")))</f>
        <v>両方停止</v>
      </c>
      <c r="AR1686" s="30" t="n">
        <v>60</v>
      </c>
      <c r="AS1686" s="30" t="n">
        <v>0</v>
      </c>
      <c r="AT1686" s="30" t="str">
        <f aca="false">IF(OR(AB1686="判定不能",J1686="判定不能"),"判定不能",IF(AS1686&gt;=判定条件!$C$9,"利用可",IF(AND(AB1686="停止",J1686="停止"),"両方停止","運転がそろわない")))</f>
        <v>両方停止</v>
      </c>
      <c r="AU1686" s="30" t="n">
        <v>60</v>
      </c>
      <c r="AV1686" s="30" t="n">
        <v>0</v>
      </c>
      <c r="AW1686" s="30" t="str">
        <f aca="false">IF(OR(AE1686="判定不能",M1686="判定不能"),"判定不能",IF(AV1686&gt;=判定条件!$C$9,"利用可",IF(AND(AE1686="停止",M1686="停止"),"両方停止","運転がそろわない")))</f>
        <v>両方停止</v>
      </c>
      <c r="AX1686" s="30" t="str">
        <f aca="false">IF(AND(AH1686="利用可",AK1686="利用可",AN1686="利用可"),"利用可","不可")</f>
        <v>不可</v>
      </c>
      <c r="AY1686" s="30" t="str">
        <f aca="false">IF(AND(AQ1686="利用可",AT1686="利用可",AW1686="利用可"),"利用可","不可")</f>
        <v>不可</v>
      </c>
    </row>
    <row r="1687" customFormat="false" ht="15" hidden="false" customHeight="false" outlineLevel="0" collapsed="false">
      <c r="A1687" s="29" t="n">
        <v>46302</v>
      </c>
      <c r="B1687" s="30" t="n">
        <v>4</v>
      </c>
      <c r="C1687" s="31" t="s">
        <v>58</v>
      </c>
      <c r="D1687" s="31" t="s">
        <v>59</v>
      </c>
      <c r="E1687" s="30" t="n">
        <v>60</v>
      </c>
      <c r="F1687" s="30" t="n">
        <v>0</v>
      </c>
      <c r="G1687" s="30" t="str">
        <f aca="false">IF(E1687&lt;判定条件!$C$6,"判定不能",IF(F1687&gt;=判定条件!$C$7*E1687,"運転",IF(F1687&lt;=判定条件!$C$8*E1687,"停止","断続")))</f>
        <v>停止</v>
      </c>
      <c r="H1687" s="30" t="n">
        <v>60</v>
      </c>
      <c r="I1687" s="30" t="n">
        <v>0</v>
      </c>
      <c r="J1687" s="30" t="str">
        <f aca="false">IF(H1687&lt;判定条件!$C$6,"判定不能",IF(I1687&gt;=判定条件!$C$7*H1687,"運転",IF(I1687&lt;=判定条件!$C$8*H1687,"停止","断続")))</f>
        <v>停止</v>
      </c>
      <c r="K1687" s="30" t="n">
        <v>60</v>
      </c>
      <c r="L1687" s="30" t="n">
        <v>0</v>
      </c>
      <c r="M1687" s="30" t="str">
        <f aca="false">IF(K1687&lt;判定条件!$C$6,"判定不能",IF(L1687&gt;=判定条件!$C$7*K1687,"運転",IF(L1687&lt;=判定条件!$C$8*K1687,"停止","断続")))</f>
        <v>停止</v>
      </c>
      <c r="N1687" s="30" t="n">
        <v>60</v>
      </c>
      <c r="O1687" s="30" t="n">
        <v>0</v>
      </c>
      <c r="P1687" s="30" t="str">
        <f aca="false">IF(N1687&lt;判定条件!$C$6,"判定不能",IF(O1687&gt;=判定条件!$C$7*N1687,"運転",IF(O1687&lt;=判定条件!$C$8*N1687,"停止","断続")))</f>
        <v>停止</v>
      </c>
      <c r="Q1687" s="30" t="n">
        <v>60</v>
      </c>
      <c r="R1687" s="30" t="n">
        <v>0</v>
      </c>
      <c r="S1687" s="30" t="str">
        <f aca="false">IF(Q1687&lt;判定条件!$C$6,"判定不能",IF(R1687&gt;=判定条件!$C$7*Q1687,"運転",IF(R1687&lt;=判定条件!$C$8*Q1687,"停止","断続")))</f>
        <v>停止</v>
      </c>
      <c r="T1687" s="30" t="n">
        <v>60</v>
      </c>
      <c r="U1687" s="30" t="n">
        <v>0</v>
      </c>
      <c r="V1687" s="30" t="str">
        <f aca="false">IF(T1687&lt;判定条件!$C$6,"判定不能",IF(U1687&gt;=判定条件!$C$7*T1687,"運転",IF(U1687&lt;=判定条件!$C$8*T1687,"停止","断続")))</f>
        <v>停止</v>
      </c>
      <c r="W1687" s="30" t="n">
        <v>60</v>
      </c>
      <c r="X1687" s="30" t="n">
        <v>0</v>
      </c>
      <c r="Y1687" s="30" t="str">
        <f aca="false">IF(W1687&lt;判定条件!$C$6,"判定不能",IF(X1687&gt;=判定条件!$C$7*W1687,"運転",IF(X1687&lt;=判定条件!$C$8*W1687,"停止","断続")))</f>
        <v>停止</v>
      </c>
      <c r="Z1687" s="30" t="n">
        <v>60</v>
      </c>
      <c r="AA1687" s="30" t="n">
        <v>0</v>
      </c>
      <c r="AB1687" s="30" t="str">
        <f aca="false">IF(Z1687&lt;判定条件!$C$6,"判定不能",IF(AA1687&gt;=判定条件!$C$7*Z1687,"運転",IF(AA1687&lt;=判定条件!$C$8*Z1687,"停止","断続")))</f>
        <v>停止</v>
      </c>
      <c r="AC1687" s="30" t="n">
        <v>60</v>
      </c>
      <c r="AD1687" s="30" t="n">
        <v>0</v>
      </c>
      <c r="AE1687" s="30" t="str">
        <f aca="false">IF(AC1687&lt;判定条件!$C$6,"判定不能",IF(AD1687&gt;=判定条件!$C$7*AC1687,"運転",IF(AD1687&lt;=判定条件!$C$8*AC1687,"停止","断続")))</f>
        <v>停止</v>
      </c>
      <c r="AF1687" s="30" t="n">
        <v>60</v>
      </c>
      <c r="AG1687" s="30" t="n">
        <v>0</v>
      </c>
      <c r="AH1687" s="30" t="str">
        <f aca="false">IF(OR(P1687="判定不能",G1687="判定不能"),"判定不能",IF(AG1687&gt;=判定条件!$C$9,"利用可",IF(AND(P1687="停止",G1687="停止"),"両方停止","運転がそろわない")))</f>
        <v>両方停止</v>
      </c>
      <c r="AI1687" s="30" t="n">
        <v>60</v>
      </c>
      <c r="AJ1687" s="30" t="n">
        <v>0</v>
      </c>
      <c r="AK1687" s="30" t="str">
        <f aca="false">IF(OR(S1687="判定不能",J1687="判定不能"),"判定不能",IF(AJ1687&gt;=判定条件!$C$9,"利用可",IF(AND(S1687="停止",J1687="停止"),"両方停止","運転がそろわない")))</f>
        <v>両方停止</v>
      </c>
      <c r="AL1687" s="30" t="n">
        <v>60</v>
      </c>
      <c r="AM1687" s="30" t="n">
        <v>0</v>
      </c>
      <c r="AN1687" s="30" t="str">
        <f aca="false">IF(OR(V1687="判定不能",M1687="判定不能"),"判定不能",IF(AM1687&gt;=判定条件!$C$9,"利用可",IF(AND(V1687="停止",M1687="停止"),"両方停止","運転がそろわない")))</f>
        <v>両方停止</v>
      </c>
      <c r="AO1687" s="30" t="n">
        <v>60</v>
      </c>
      <c r="AP1687" s="30" t="n">
        <v>0</v>
      </c>
      <c r="AQ1687" s="30" t="str">
        <f aca="false">IF(OR(Y1687="判定不能",G1687="判定不能"),"判定不能",IF(AP1687&gt;=判定条件!$C$9,"利用可",IF(AND(Y1687="停止",G1687="停止"),"両方停止","運転がそろわない")))</f>
        <v>両方停止</v>
      </c>
      <c r="AR1687" s="30" t="n">
        <v>60</v>
      </c>
      <c r="AS1687" s="30" t="n">
        <v>0</v>
      </c>
      <c r="AT1687" s="30" t="str">
        <f aca="false">IF(OR(AB1687="判定不能",J1687="判定不能"),"判定不能",IF(AS1687&gt;=判定条件!$C$9,"利用可",IF(AND(AB1687="停止",J1687="停止"),"両方停止","運転がそろわない")))</f>
        <v>両方停止</v>
      </c>
      <c r="AU1687" s="30" t="n">
        <v>60</v>
      </c>
      <c r="AV1687" s="30" t="n">
        <v>0</v>
      </c>
      <c r="AW1687" s="30" t="str">
        <f aca="false">IF(OR(AE1687="判定不能",M1687="判定不能"),"判定不能",IF(AV1687&gt;=判定条件!$C$9,"利用可",IF(AND(AE1687="停止",M1687="停止"),"両方停止","運転がそろわない")))</f>
        <v>両方停止</v>
      </c>
      <c r="AX1687" s="30" t="str">
        <f aca="false">IF(AND(AH1687="利用可",AK1687="利用可",AN1687="利用可"),"利用可","不可")</f>
        <v>不可</v>
      </c>
      <c r="AY1687" s="30" t="str">
        <f aca="false">IF(AND(AQ1687="利用可",AT1687="利用可",AW1687="利用可"),"利用可","不可")</f>
        <v>不可</v>
      </c>
    </row>
    <row r="1688" customFormat="false" ht="15" hidden="false" customHeight="false" outlineLevel="0" collapsed="false">
      <c r="A1688" s="29" t="n">
        <v>46302</v>
      </c>
      <c r="B1688" s="30" t="n">
        <v>5</v>
      </c>
      <c r="C1688" s="31" t="s">
        <v>58</v>
      </c>
      <c r="D1688" s="31" t="s">
        <v>59</v>
      </c>
      <c r="E1688" s="30" t="n">
        <v>60</v>
      </c>
      <c r="F1688" s="30" t="n">
        <v>0</v>
      </c>
      <c r="G1688" s="30" t="str">
        <f aca="false">IF(E1688&lt;判定条件!$C$6,"判定不能",IF(F1688&gt;=判定条件!$C$7*E1688,"運転",IF(F1688&lt;=判定条件!$C$8*E1688,"停止","断続")))</f>
        <v>停止</v>
      </c>
      <c r="H1688" s="30" t="n">
        <v>60</v>
      </c>
      <c r="I1688" s="30" t="n">
        <v>0</v>
      </c>
      <c r="J1688" s="30" t="str">
        <f aca="false">IF(H1688&lt;判定条件!$C$6,"判定不能",IF(I1688&gt;=判定条件!$C$7*H1688,"運転",IF(I1688&lt;=判定条件!$C$8*H1688,"停止","断続")))</f>
        <v>停止</v>
      </c>
      <c r="K1688" s="30" t="n">
        <v>60</v>
      </c>
      <c r="L1688" s="30" t="n">
        <v>0</v>
      </c>
      <c r="M1688" s="30" t="str">
        <f aca="false">IF(K1688&lt;判定条件!$C$6,"判定不能",IF(L1688&gt;=判定条件!$C$7*K1688,"運転",IF(L1688&lt;=判定条件!$C$8*K1688,"停止","断続")))</f>
        <v>停止</v>
      </c>
      <c r="N1688" s="30" t="n">
        <v>60</v>
      </c>
      <c r="O1688" s="30" t="n">
        <v>0</v>
      </c>
      <c r="P1688" s="30" t="str">
        <f aca="false">IF(N1688&lt;判定条件!$C$6,"判定不能",IF(O1688&gt;=判定条件!$C$7*N1688,"運転",IF(O1688&lt;=判定条件!$C$8*N1688,"停止","断続")))</f>
        <v>停止</v>
      </c>
      <c r="Q1688" s="30" t="n">
        <v>60</v>
      </c>
      <c r="R1688" s="30" t="n">
        <v>0</v>
      </c>
      <c r="S1688" s="30" t="str">
        <f aca="false">IF(Q1688&lt;判定条件!$C$6,"判定不能",IF(R1688&gt;=判定条件!$C$7*Q1688,"運転",IF(R1688&lt;=判定条件!$C$8*Q1688,"停止","断続")))</f>
        <v>停止</v>
      </c>
      <c r="T1688" s="30" t="n">
        <v>60</v>
      </c>
      <c r="U1688" s="30" t="n">
        <v>0</v>
      </c>
      <c r="V1688" s="30" t="str">
        <f aca="false">IF(T1688&lt;判定条件!$C$6,"判定不能",IF(U1688&gt;=判定条件!$C$7*T1688,"運転",IF(U1688&lt;=判定条件!$C$8*T1688,"停止","断続")))</f>
        <v>停止</v>
      </c>
      <c r="W1688" s="30" t="n">
        <v>60</v>
      </c>
      <c r="X1688" s="30" t="n">
        <v>0</v>
      </c>
      <c r="Y1688" s="30" t="str">
        <f aca="false">IF(W1688&lt;判定条件!$C$6,"判定不能",IF(X1688&gt;=判定条件!$C$7*W1688,"運転",IF(X1688&lt;=判定条件!$C$8*W1688,"停止","断続")))</f>
        <v>停止</v>
      </c>
      <c r="Z1688" s="30" t="n">
        <v>60</v>
      </c>
      <c r="AA1688" s="30" t="n">
        <v>0</v>
      </c>
      <c r="AB1688" s="30" t="str">
        <f aca="false">IF(Z1688&lt;判定条件!$C$6,"判定不能",IF(AA1688&gt;=判定条件!$C$7*Z1688,"運転",IF(AA1688&lt;=判定条件!$C$8*Z1688,"停止","断続")))</f>
        <v>停止</v>
      </c>
      <c r="AC1688" s="30" t="n">
        <v>60</v>
      </c>
      <c r="AD1688" s="30" t="n">
        <v>0</v>
      </c>
      <c r="AE1688" s="30" t="str">
        <f aca="false">IF(AC1688&lt;判定条件!$C$6,"判定不能",IF(AD1688&gt;=判定条件!$C$7*AC1688,"運転",IF(AD1688&lt;=判定条件!$C$8*AC1688,"停止","断続")))</f>
        <v>停止</v>
      </c>
      <c r="AF1688" s="30" t="n">
        <v>60</v>
      </c>
      <c r="AG1688" s="30" t="n">
        <v>0</v>
      </c>
      <c r="AH1688" s="30" t="str">
        <f aca="false">IF(OR(P1688="判定不能",G1688="判定不能"),"判定不能",IF(AG1688&gt;=判定条件!$C$9,"利用可",IF(AND(P1688="停止",G1688="停止"),"両方停止","運転がそろわない")))</f>
        <v>両方停止</v>
      </c>
      <c r="AI1688" s="30" t="n">
        <v>60</v>
      </c>
      <c r="AJ1688" s="30" t="n">
        <v>0</v>
      </c>
      <c r="AK1688" s="30" t="str">
        <f aca="false">IF(OR(S1688="判定不能",J1688="判定不能"),"判定不能",IF(AJ1688&gt;=判定条件!$C$9,"利用可",IF(AND(S1688="停止",J1688="停止"),"両方停止","運転がそろわない")))</f>
        <v>両方停止</v>
      </c>
      <c r="AL1688" s="30" t="n">
        <v>60</v>
      </c>
      <c r="AM1688" s="30" t="n">
        <v>0</v>
      </c>
      <c r="AN1688" s="30" t="str">
        <f aca="false">IF(OR(V1688="判定不能",M1688="判定不能"),"判定不能",IF(AM1688&gt;=判定条件!$C$9,"利用可",IF(AND(V1688="停止",M1688="停止"),"両方停止","運転がそろわない")))</f>
        <v>両方停止</v>
      </c>
      <c r="AO1688" s="30" t="n">
        <v>60</v>
      </c>
      <c r="AP1688" s="30" t="n">
        <v>0</v>
      </c>
      <c r="AQ1688" s="30" t="str">
        <f aca="false">IF(OR(Y1688="判定不能",G1688="判定不能"),"判定不能",IF(AP1688&gt;=判定条件!$C$9,"利用可",IF(AND(Y1688="停止",G1688="停止"),"両方停止","運転がそろわない")))</f>
        <v>両方停止</v>
      </c>
      <c r="AR1688" s="30" t="n">
        <v>60</v>
      </c>
      <c r="AS1688" s="30" t="n">
        <v>0</v>
      </c>
      <c r="AT1688" s="30" t="str">
        <f aca="false">IF(OR(AB1688="判定不能",J1688="判定不能"),"判定不能",IF(AS1688&gt;=判定条件!$C$9,"利用可",IF(AND(AB1688="停止",J1688="停止"),"両方停止","運転がそろわない")))</f>
        <v>両方停止</v>
      </c>
      <c r="AU1688" s="30" t="n">
        <v>60</v>
      </c>
      <c r="AV1688" s="30" t="n">
        <v>0</v>
      </c>
      <c r="AW1688" s="30" t="str">
        <f aca="false">IF(OR(AE1688="判定不能",M1688="判定不能"),"判定不能",IF(AV1688&gt;=判定条件!$C$9,"利用可",IF(AND(AE1688="停止",M1688="停止"),"両方停止","運転がそろわない")))</f>
        <v>両方停止</v>
      </c>
      <c r="AX1688" s="30" t="str">
        <f aca="false">IF(AND(AH1688="利用可",AK1688="利用可",AN1688="利用可"),"利用可","不可")</f>
        <v>不可</v>
      </c>
      <c r="AY1688" s="30" t="str">
        <f aca="false">IF(AND(AQ1688="利用可",AT1688="利用可",AW1688="利用可"),"利用可","不可")</f>
        <v>不可</v>
      </c>
    </row>
    <row r="1689" customFormat="false" ht="15" hidden="false" customHeight="false" outlineLevel="0" collapsed="false">
      <c r="A1689" s="29" t="n">
        <v>46302</v>
      </c>
      <c r="B1689" s="30" t="n">
        <v>6</v>
      </c>
      <c r="C1689" s="31" t="s">
        <v>58</v>
      </c>
      <c r="D1689" s="31" t="s">
        <v>59</v>
      </c>
      <c r="E1689" s="30" t="n">
        <v>60</v>
      </c>
      <c r="F1689" s="30" t="n">
        <v>0</v>
      </c>
      <c r="G1689" s="30" t="str">
        <f aca="false">IF(E1689&lt;判定条件!$C$6,"判定不能",IF(F1689&gt;=判定条件!$C$7*E1689,"運転",IF(F1689&lt;=判定条件!$C$8*E1689,"停止","断続")))</f>
        <v>停止</v>
      </c>
      <c r="H1689" s="30" t="n">
        <v>60</v>
      </c>
      <c r="I1689" s="30" t="n">
        <v>0</v>
      </c>
      <c r="J1689" s="30" t="str">
        <f aca="false">IF(H1689&lt;判定条件!$C$6,"判定不能",IF(I1689&gt;=判定条件!$C$7*H1689,"運転",IF(I1689&lt;=判定条件!$C$8*H1689,"停止","断続")))</f>
        <v>停止</v>
      </c>
      <c r="K1689" s="30" t="n">
        <v>60</v>
      </c>
      <c r="L1689" s="30" t="n">
        <v>0</v>
      </c>
      <c r="M1689" s="30" t="str">
        <f aca="false">IF(K1689&lt;判定条件!$C$6,"判定不能",IF(L1689&gt;=判定条件!$C$7*K1689,"運転",IF(L1689&lt;=判定条件!$C$8*K1689,"停止","断続")))</f>
        <v>停止</v>
      </c>
      <c r="N1689" s="30" t="n">
        <v>60</v>
      </c>
      <c r="O1689" s="30" t="n">
        <v>0</v>
      </c>
      <c r="P1689" s="30" t="str">
        <f aca="false">IF(N1689&lt;判定条件!$C$6,"判定不能",IF(O1689&gt;=判定条件!$C$7*N1689,"運転",IF(O1689&lt;=判定条件!$C$8*N1689,"停止","断続")))</f>
        <v>停止</v>
      </c>
      <c r="Q1689" s="30" t="n">
        <v>60</v>
      </c>
      <c r="R1689" s="30" t="n">
        <v>0</v>
      </c>
      <c r="S1689" s="30" t="str">
        <f aca="false">IF(Q1689&lt;判定条件!$C$6,"判定不能",IF(R1689&gt;=判定条件!$C$7*Q1689,"運転",IF(R1689&lt;=判定条件!$C$8*Q1689,"停止","断続")))</f>
        <v>停止</v>
      </c>
      <c r="T1689" s="30" t="n">
        <v>60</v>
      </c>
      <c r="U1689" s="30" t="n">
        <v>0</v>
      </c>
      <c r="V1689" s="30" t="str">
        <f aca="false">IF(T1689&lt;判定条件!$C$6,"判定不能",IF(U1689&gt;=判定条件!$C$7*T1689,"運転",IF(U1689&lt;=判定条件!$C$8*T1689,"停止","断続")))</f>
        <v>停止</v>
      </c>
      <c r="W1689" s="30" t="n">
        <v>60</v>
      </c>
      <c r="X1689" s="30" t="n">
        <v>16</v>
      </c>
      <c r="Y1689" s="30" t="str">
        <f aca="false">IF(W1689&lt;判定条件!$C$6,"判定不能",IF(X1689&gt;=判定条件!$C$7*W1689,"運転",IF(X1689&lt;=判定条件!$C$8*W1689,"停止","断続")))</f>
        <v>断続</v>
      </c>
      <c r="Z1689" s="30" t="n">
        <v>60</v>
      </c>
      <c r="AA1689" s="30" t="n">
        <v>22</v>
      </c>
      <c r="AB1689" s="30" t="str">
        <f aca="false">IF(Z1689&lt;判定条件!$C$6,"判定不能",IF(AA1689&gt;=判定条件!$C$7*Z1689,"運転",IF(AA1689&lt;=判定条件!$C$8*Z1689,"停止","断続")))</f>
        <v>断続</v>
      </c>
      <c r="AC1689" s="30" t="n">
        <v>60</v>
      </c>
      <c r="AD1689" s="30" t="n">
        <v>37</v>
      </c>
      <c r="AE1689" s="30" t="str">
        <f aca="false">IF(AC1689&lt;判定条件!$C$6,"判定不能",IF(AD1689&gt;=判定条件!$C$7*AC1689,"運転",IF(AD1689&lt;=判定条件!$C$8*AC1689,"停止","断続")))</f>
        <v>断続</v>
      </c>
      <c r="AF1689" s="30" t="n">
        <v>60</v>
      </c>
      <c r="AG1689" s="30" t="n">
        <v>0</v>
      </c>
      <c r="AH1689" s="30" t="str">
        <f aca="false">IF(OR(P1689="判定不能",G1689="判定不能"),"判定不能",IF(AG1689&gt;=判定条件!$C$9,"利用可",IF(AND(P1689="停止",G1689="停止"),"両方停止","運転がそろわない")))</f>
        <v>両方停止</v>
      </c>
      <c r="AI1689" s="30" t="n">
        <v>60</v>
      </c>
      <c r="AJ1689" s="30" t="n">
        <v>0</v>
      </c>
      <c r="AK1689" s="30" t="str">
        <f aca="false">IF(OR(S1689="判定不能",J1689="判定不能"),"判定不能",IF(AJ1689&gt;=判定条件!$C$9,"利用可",IF(AND(S1689="停止",J1689="停止"),"両方停止","運転がそろわない")))</f>
        <v>両方停止</v>
      </c>
      <c r="AL1689" s="30" t="n">
        <v>60</v>
      </c>
      <c r="AM1689" s="30" t="n">
        <v>0</v>
      </c>
      <c r="AN1689" s="30" t="str">
        <f aca="false">IF(OR(V1689="判定不能",M1689="判定不能"),"判定不能",IF(AM1689&gt;=判定条件!$C$9,"利用可",IF(AND(V1689="停止",M1689="停止"),"両方停止","運転がそろわない")))</f>
        <v>両方停止</v>
      </c>
      <c r="AO1689" s="30" t="n">
        <v>60</v>
      </c>
      <c r="AP1689" s="30" t="n">
        <v>0</v>
      </c>
      <c r="AQ1689" s="30" t="str">
        <f aca="false">IF(OR(Y1689="判定不能",G1689="判定不能"),"判定不能",IF(AP1689&gt;=判定条件!$C$9,"利用可",IF(AND(Y1689="停止",G1689="停止"),"両方停止","運転がそろわない")))</f>
        <v>運転がそろわない</v>
      </c>
      <c r="AR1689" s="30" t="n">
        <v>60</v>
      </c>
      <c r="AS1689" s="30" t="n">
        <v>0</v>
      </c>
      <c r="AT1689" s="30" t="str">
        <f aca="false">IF(OR(AB1689="判定不能",J1689="判定不能"),"判定不能",IF(AS1689&gt;=判定条件!$C$9,"利用可",IF(AND(AB1689="停止",J1689="停止"),"両方停止","運転がそろわない")))</f>
        <v>運転がそろわない</v>
      </c>
      <c r="AU1689" s="30" t="n">
        <v>60</v>
      </c>
      <c r="AV1689" s="30" t="n">
        <v>0</v>
      </c>
      <c r="AW1689" s="30" t="str">
        <f aca="false">IF(OR(AE1689="判定不能",M1689="判定不能"),"判定不能",IF(AV1689&gt;=判定条件!$C$9,"利用可",IF(AND(AE1689="停止",M1689="停止"),"両方停止","運転がそろわない")))</f>
        <v>運転がそろわない</v>
      </c>
      <c r="AX1689" s="30" t="str">
        <f aca="false">IF(AND(AH1689="利用可",AK1689="利用可",AN1689="利用可"),"利用可","不可")</f>
        <v>不可</v>
      </c>
      <c r="AY1689" s="30" t="str">
        <f aca="false">IF(AND(AQ1689="利用可",AT1689="利用可",AW1689="利用可"),"利用可","不可")</f>
        <v>不可</v>
      </c>
    </row>
    <row r="1690" customFormat="false" ht="15" hidden="false" customHeight="false" outlineLevel="0" collapsed="false">
      <c r="A1690" s="29" t="n">
        <v>46302</v>
      </c>
      <c r="B1690" s="30" t="n">
        <v>7</v>
      </c>
      <c r="C1690" s="31" t="s">
        <v>58</v>
      </c>
      <c r="D1690" s="31" t="s">
        <v>59</v>
      </c>
      <c r="E1690" s="30" t="n">
        <v>60</v>
      </c>
      <c r="F1690" s="30" t="n">
        <v>0</v>
      </c>
      <c r="G1690" s="30" t="str">
        <f aca="false">IF(E1690&lt;判定条件!$C$6,"判定不能",IF(F1690&gt;=判定条件!$C$7*E1690,"運転",IF(F1690&lt;=判定条件!$C$8*E1690,"停止","断続")))</f>
        <v>停止</v>
      </c>
      <c r="H1690" s="30" t="n">
        <v>60</v>
      </c>
      <c r="I1690" s="30" t="n">
        <v>0</v>
      </c>
      <c r="J1690" s="30" t="str">
        <f aca="false">IF(H1690&lt;判定条件!$C$6,"判定不能",IF(I1690&gt;=判定条件!$C$7*H1690,"運転",IF(I1690&lt;=判定条件!$C$8*H1690,"停止","断続")))</f>
        <v>停止</v>
      </c>
      <c r="K1690" s="30" t="n">
        <v>60</v>
      </c>
      <c r="L1690" s="30" t="n">
        <v>0</v>
      </c>
      <c r="M1690" s="30" t="str">
        <f aca="false">IF(K1690&lt;判定条件!$C$6,"判定不能",IF(L1690&gt;=判定条件!$C$7*K1690,"運転",IF(L1690&lt;=判定条件!$C$8*K1690,"停止","断続")))</f>
        <v>停止</v>
      </c>
      <c r="N1690" s="30" t="n">
        <v>60</v>
      </c>
      <c r="O1690" s="30" t="n">
        <v>0</v>
      </c>
      <c r="P1690" s="30" t="str">
        <f aca="false">IF(N1690&lt;判定条件!$C$6,"判定不能",IF(O1690&gt;=判定条件!$C$7*N1690,"運転",IF(O1690&lt;=判定条件!$C$8*N1690,"停止","断続")))</f>
        <v>停止</v>
      </c>
      <c r="Q1690" s="30" t="n">
        <v>60</v>
      </c>
      <c r="R1690" s="30" t="n">
        <v>2</v>
      </c>
      <c r="S1690" s="30" t="str">
        <f aca="false">IF(Q1690&lt;判定条件!$C$6,"判定不能",IF(R1690&gt;=判定条件!$C$7*Q1690,"運転",IF(R1690&lt;=判定条件!$C$8*Q1690,"停止","断続")))</f>
        <v>停止</v>
      </c>
      <c r="T1690" s="30" t="n">
        <v>60</v>
      </c>
      <c r="U1690" s="30" t="n">
        <v>0</v>
      </c>
      <c r="V1690" s="30" t="str">
        <f aca="false">IF(T1690&lt;判定条件!$C$6,"判定不能",IF(U1690&gt;=判定条件!$C$7*T1690,"運転",IF(U1690&lt;=判定条件!$C$8*T1690,"停止","断続")))</f>
        <v>停止</v>
      </c>
      <c r="W1690" s="30" t="n">
        <v>60</v>
      </c>
      <c r="X1690" s="30" t="n">
        <v>27</v>
      </c>
      <c r="Y1690" s="30" t="str">
        <f aca="false">IF(W1690&lt;判定条件!$C$6,"判定不能",IF(X1690&gt;=判定条件!$C$7*W1690,"運転",IF(X1690&lt;=判定条件!$C$8*W1690,"停止","断続")))</f>
        <v>断続</v>
      </c>
      <c r="Z1690" s="30" t="n">
        <v>60</v>
      </c>
      <c r="AA1690" s="30" t="n">
        <v>22</v>
      </c>
      <c r="AB1690" s="30" t="str">
        <f aca="false">IF(Z1690&lt;判定条件!$C$6,"判定不能",IF(AA1690&gt;=判定条件!$C$7*Z1690,"運転",IF(AA1690&lt;=判定条件!$C$8*Z1690,"停止","断続")))</f>
        <v>断続</v>
      </c>
      <c r="AC1690" s="30" t="n">
        <v>60</v>
      </c>
      <c r="AD1690" s="30" t="n">
        <v>60</v>
      </c>
      <c r="AE1690" s="30" t="str">
        <f aca="false">IF(AC1690&lt;判定条件!$C$6,"判定不能",IF(AD1690&gt;=判定条件!$C$7*AC1690,"運転",IF(AD1690&lt;=判定条件!$C$8*AC1690,"停止","断続")))</f>
        <v>運転</v>
      </c>
      <c r="AF1690" s="30" t="n">
        <v>60</v>
      </c>
      <c r="AG1690" s="30" t="n">
        <v>0</v>
      </c>
      <c r="AH1690" s="30" t="str">
        <f aca="false">IF(OR(P1690="判定不能",G1690="判定不能"),"判定不能",IF(AG1690&gt;=判定条件!$C$9,"利用可",IF(AND(P1690="停止",G1690="停止"),"両方停止","運転がそろわない")))</f>
        <v>両方停止</v>
      </c>
      <c r="AI1690" s="30" t="n">
        <v>60</v>
      </c>
      <c r="AJ1690" s="30" t="n">
        <v>0</v>
      </c>
      <c r="AK1690" s="30" t="str">
        <f aca="false">IF(OR(S1690="判定不能",J1690="判定不能"),"判定不能",IF(AJ1690&gt;=判定条件!$C$9,"利用可",IF(AND(S1690="停止",J1690="停止"),"両方停止","運転がそろわない")))</f>
        <v>両方停止</v>
      </c>
      <c r="AL1690" s="30" t="n">
        <v>60</v>
      </c>
      <c r="AM1690" s="30" t="n">
        <v>0</v>
      </c>
      <c r="AN1690" s="30" t="str">
        <f aca="false">IF(OR(V1690="判定不能",M1690="判定不能"),"判定不能",IF(AM1690&gt;=判定条件!$C$9,"利用可",IF(AND(V1690="停止",M1690="停止"),"両方停止","運転がそろわない")))</f>
        <v>両方停止</v>
      </c>
      <c r="AO1690" s="30" t="n">
        <v>60</v>
      </c>
      <c r="AP1690" s="30" t="n">
        <v>0</v>
      </c>
      <c r="AQ1690" s="30" t="str">
        <f aca="false">IF(OR(Y1690="判定不能",G1690="判定不能"),"判定不能",IF(AP1690&gt;=判定条件!$C$9,"利用可",IF(AND(Y1690="停止",G1690="停止"),"両方停止","運転がそろわない")))</f>
        <v>運転がそろわない</v>
      </c>
      <c r="AR1690" s="30" t="n">
        <v>60</v>
      </c>
      <c r="AS1690" s="30" t="n">
        <v>0</v>
      </c>
      <c r="AT1690" s="30" t="str">
        <f aca="false">IF(OR(AB1690="判定不能",J1690="判定不能"),"判定不能",IF(AS1690&gt;=判定条件!$C$9,"利用可",IF(AND(AB1690="停止",J1690="停止"),"両方停止","運転がそろわない")))</f>
        <v>運転がそろわない</v>
      </c>
      <c r="AU1690" s="30" t="n">
        <v>60</v>
      </c>
      <c r="AV1690" s="30" t="n">
        <v>0</v>
      </c>
      <c r="AW1690" s="30" t="str">
        <f aca="false">IF(OR(AE1690="判定不能",M1690="判定不能"),"判定不能",IF(AV1690&gt;=判定条件!$C$9,"利用可",IF(AND(AE1690="停止",M1690="停止"),"両方停止","運転がそろわない")))</f>
        <v>運転がそろわない</v>
      </c>
      <c r="AX1690" s="30" t="str">
        <f aca="false">IF(AND(AH1690="利用可",AK1690="利用可",AN1690="利用可"),"利用可","不可")</f>
        <v>不可</v>
      </c>
      <c r="AY1690" s="30" t="str">
        <f aca="false">IF(AND(AQ1690="利用可",AT1690="利用可",AW1690="利用可"),"利用可","不可")</f>
        <v>不可</v>
      </c>
    </row>
    <row r="1691" customFormat="false" ht="15" hidden="false" customHeight="false" outlineLevel="0" collapsed="false">
      <c r="A1691" s="29" t="n">
        <v>46302</v>
      </c>
      <c r="B1691" s="30" t="n">
        <v>8</v>
      </c>
      <c r="C1691" s="31" t="s">
        <v>58</v>
      </c>
      <c r="D1691" s="31" t="s">
        <v>59</v>
      </c>
      <c r="E1691" s="30" t="n">
        <v>60</v>
      </c>
      <c r="F1691" s="30" t="n">
        <v>0</v>
      </c>
      <c r="G1691" s="30" t="str">
        <f aca="false">IF(E1691&lt;判定条件!$C$6,"判定不能",IF(F1691&gt;=判定条件!$C$7*E1691,"運転",IF(F1691&lt;=判定条件!$C$8*E1691,"停止","断続")))</f>
        <v>停止</v>
      </c>
      <c r="H1691" s="30" t="n">
        <v>60</v>
      </c>
      <c r="I1691" s="30" t="n">
        <v>0</v>
      </c>
      <c r="J1691" s="30" t="str">
        <f aca="false">IF(H1691&lt;判定条件!$C$6,"判定不能",IF(I1691&gt;=判定条件!$C$7*H1691,"運転",IF(I1691&lt;=判定条件!$C$8*H1691,"停止","断続")))</f>
        <v>停止</v>
      </c>
      <c r="K1691" s="30" t="n">
        <v>60</v>
      </c>
      <c r="L1691" s="30" t="n">
        <v>0</v>
      </c>
      <c r="M1691" s="30" t="str">
        <f aca="false">IF(K1691&lt;判定条件!$C$6,"判定不能",IF(L1691&gt;=判定条件!$C$7*K1691,"運転",IF(L1691&lt;=判定条件!$C$8*K1691,"停止","断続")))</f>
        <v>停止</v>
      </c>
      <c r="N1691" s="30" t="n">
        <v>60</v>
      </c>
      <c r="O1691" s="30" t="n">
        <v>12</v>
      </c>
      <c r="P1691" s="30" t="str">
        <f aca="false">IF(N1691&lt;判定条件!$C$6,"判定不能",IF(O1691&gt;=判定条件!$C$7*N1691,"運転",IF(O1691&lt;=判定条件!$C$8*N1691,"停止","断続")))</f>
        <v>停止</v>
      </c>
      <c r="Q1691" s="30" t="n">
        <v>60</v>
      </c>
      <c r="R1691" s="30" t="n">
        <v>35</v>
      </c>
      <c r="S1691" s="30" t="str">
        <f aca="false">IF(Q1691&lt;判定条件!$C$6,"判定不能",IF(R1691&gt;=判定条件!$C$7*Q1691,"運転",IF(R1691&lt;=判定条件!$C$8*Q1691,"停止","断続")))</f>
        <v>断続</v>
      </c>
      <c r="T1691" s="30" t="n">
        <v>60</v>
      </c>
      <c r="U1691" s="30" t="n">
        <v>0</v>
      </c>
      <c r="V1691" s="30" t="str">
        <f aca="false">IF(T1691&lt;判定条件!$C$6,"判定不能",IF(U1691&gt;=判定条件!$C$7*T1691,"運転",IF(U1691&lt;=判定条件!$C$8*T1691,"停止","断続")))</f>
        <v>停止</v>
      </c>
      <c r="W1691" s="30" t="n">
        <v>60</v>
      </c>
      <c r="X1691" s="30" t="n">
        <v>0</v>
      </c>
      <c r="Y1691" s="30" t="str">
        <f aca="false">IF(W1691&lt;判定条件!$C$6,"判定不能",IF(X1691&gt;=判定条件!$C$7*W1691,"運転",IF(X1691&lt;=判定条件!$C$8*W1691,"停止","断続")))</f>
        <v>停止</v>
      </c>
      <c r="Z1691" s="30" t="n">
        <v>60</v>
      </c>
      <c r="AA1691" s="30" t="n">
        <v>19</v>
      </c>
      <c r="AB1691" s="30" t="str">
        <f aca="false">IF(Z1691&lt;判定条件!$C$6,"判定不能",IF(AA1691&gt;=判定条件!$C$7*Z1691,"運転",IF(AA1691&lt;=判定条件!$C$8*Z1691,"停止","断続")))</f>
        <v>断続</v>
      </c>
      <c r="AC1691" s="30" t="n">
        <v>60</v>
      </c>
      <c r="AD1691" s="30" t="n">
        <v>60</v>
      </c>
      <c r="AE1691" s="30" t="str">
        <f aca="false">IF(AC1691&lt;判定条件!$C$6,"判定不能",IF(AD1691&gt;=判定条件!$C$7*AC1691,"運転",IF(AD1691&lt;=判定条件!$C$8*AC1691,"停止","断続")))</f>
        <v>運転</v>
      </c>
      <c r="AF1691" s="30" t="n">
        <v>60</v>
      </c>
      <c r="AG1691" s="30" t="n">
        <v>0</v>
      </c>
      <c r="AH1691" s="30" t="str">
        <f aca="false">IF(OR(P1691="判定不能",G1691="判定不能"),"判定不能",IF(AG1691&gt;=判定条件!$C$9,"利用可",IF(AND(P1691="停止",G1691="停止"),"両方停止","運転がそろわない")))</f>
        <v>両方停止</v>
      </c>
      <c r="AI1691" s="30" t="n">
        <v>60</v>
      </c>
      <c r="AJ1691" s="30" t="n">
        <v>0</v>
      </c>
      <c r="AK1691" s="30" t="str">
        <f aca="false">IF(OR(S1691="判定不能",J1691="判定不能"),"判定不能",IF(AJ1691&gt;=判定条件!$C$9,"利用可",IF(AND(S1691="停止",J1691="停止"),"両方停止","運転がそろわない")))</f>
        <v>運転がそろわない</v>
      </c>
      <c r="AL1691" s="30" t="n">
        <v>60</v>
      </c>
      <c r="AM1691" s="30" t="n">
        <v>0</v>
      </c>
      <c r="AN1691" s="30" t="str">
        <f aca="false">IF(OR(V1691="判定不能",M1691="判定不能"),"判定不能",IF(AM1691&gt;=判定条件!$C$9,"利用可",IF(AND(V1691="停止",M1691="停止"),"両方停止","運転がそろわない")))</f>
        <v>両方停止</v>
      </c>
      <c r="AO1691" s="30" t="n">
        <v>60</v>
      </c>
      <c r="AP1691" s="30" t="n">
        <v>0</v>
      </c>
      <c r="AQ1691" s="30" t="str">
        <f aca="false">IF(OR(Y1691="判定不能",G1691="判定不能"),"判定不能",IF(AP1691&gt;=判定条件!$C$9,"利用可",IF(AND(Y1691="停止",G1691="停止"),"両方停止","運転がそろわない")))</f>
        <v>両方停止</v>
      </c>
      <c r="AR1691" s="30" t="n">
        <v>60</v>
      </c>
      <c r="AS1691" s="30" t="n">
        <v>0</v>
      </c>
      <c r="AT1691" s="30" t="str">
        <f aca="false">IF(OR(AB1691="判定不能",J1691="判定不能"),"判定不能",IF(AS1691&gt;=判定条件!$C$9,"利用可",IF(AND(AB1691="停止",J1691="停止"),"両方停止","運転がそろわない")))</f>
        <v>運転がそろわない</v>
      </c>
      <c r="AU1691" s="30" t="n">
        <v>60</v>
      </c>
      <c r="AV1691" s="30" t="n">
        <v>0</v>
      </c>
      <c r="AW1691" s="30" t="str">
        <f aca="false">IF(OR(AE1691="判定不能",M1691="判定不能"),"判定不能",IF(AV1691&gt;=判定条件!$C$9,"利用可",IF(AND(AE1691="停止",M1691="停止"),"両方停止","運転がそろわない")))</f>
        <v>運転がそろわない</v>
      </c>
      <c r="AX1691" s="30" t="str">
        <f aca="false">IF(AND(AH1691="利用可",AK1691="利用可",AN1691="利用可"),"利用可","不可")</f>
        <v>不可</v>
      </c>
      <c r="AY1691" s="30" t="str">
        <f aca="false">IF(AND(AQ1691="利用可",AT1691="利用可",AW1691="利用可"),"利用可","不可")</f>
        <v>不可</v>
      </c>
    </row>
    <row r="1692" customFormat="false" ht="15" hidden="false" customHeight="false" outlineLevel="0" collapsed="false">
      <c r="A1692" s="29" t="n">
        <v>46302</v>
      </c>
      <c r="B1692" s="30" t="n">
        <v>9</v>
      </c>
      <c r="C1692" s="31" t="s">
        <v>58</v>
      </c>
      <c r="D1692" s="31" t="s">
        <v>59</v>
      </c>
      <c r="E1692" s="30" t="n">
        <v>60</v>
      </c>
      <c r="F1692" s="30" t="n">
        <v>0</v>
      </c>
      <c r="G1692" s="30" t="str">
        <f aca="false">IF(E1692&lt;判定条件!$C$6,"判定不能",IF(F1692&gt;=判定条件!$C$7*E1692,"運転",IF(F1692&lt;=判定条件!$C$8*E1692,"停止","断続")))</f>
        <v>停止</v>
      </c>
      <c r="H1692" s="30" t="n">
        <v>60</v>
      </c>
      <c r="I1692" s="30" t="n">
        <v>0</v>
      </c>
      <c r="J1692" s="30" t="str">
        <f aca="false">IF(H1692&lt;判定条件!$C$6,"判定不能",IF(I1692&gt;=判定条件!$C$7*H1692,"運転",IF(I1692&lt;=判定条件!$C$8*H1692,"停止","断続")))</f>
        <v>停止</v>
      </c>
      <c r="K1692" s="30" t="n">
        <v>60</v>
      </c>
      <c r="L1692" s="30" t="n">
        <v>0</v>
      </c>
      <c r="M1692" s="30" t="str">
        <f aca="false">IF(K1692&lt;判定条件!$C$6,"判定不能",IF(L1692&gt;=判定条件!$C$7*K1692,"運転",IF(L1692&lt;=判定条件!$C$8*K1692,"停止","断続")))</f>
        <v>停止</v>
      </c>
      <c r="N1692" s="30" t="n">
        <v>60</v>
      </c>
      <c r="O1692" s="30" t="n">
        <v>20</v>
      </c>
      <c r="P1692" s="30" t="str">
        <f aca="false">IF(N1692&lt;判定条件!$C$6,"判定不能",IF(O1692&gt;=判定条件!$C$7*N1692,"運転",IF(O1692&lt;=判定条件!$C$8*N1692,"停止","断続")))</f>
        <v>断続</v>
      </c>
      <c r="Q1692" s="30" t="n">
        <v>60</v>
      </c>
      <c r="R1692" s="30" t="n">
        <v>37</v>
      </c>
      <c r="S1692" s="30" t="str">
        <f aca="false">IF(Q1692&lt;判定条件!$C$6,"判定不能",IF(R1692&gt;=判定条件!$C$7*Q1692,"運転",IF(R1692&lt;=判定条件!$C$8*Q1692,"停止","断続")))</f>
        <v>断続</v>
      </c>
      <c r="T1692" s="30" t="n">
        <v>60</v>
      </c>
      <c r="U1692" s="30" t="n">
        <v>43</v>
      </c>
      <c r="V1692" s="30" t="str">
        <f aca="false">IF(T1692&lt;判定条件!$C$6,"判定不能",IF(U1692&gt;=判定条件!$C$7*T1692,"運転",IF(U1692&lt;=判定条件!$C$8*T1692,"停止","断続")))</f>
        <v>断続</v>
      </c>
      <c r="W1692" s="30" t="n">
        <v>60</v>
      </c>
      <c r="X1692" s="30" t="n">
        <v>44</v>
      </c>
      <c r="Y1692" s="30" t="str">
        <f aca="false">IF(W1692&lt;判定条件!$C$6,"判定不能",IF(X1692&gt;=判定条件!$C$7*W1692,"運転",IF(X1692&lt;=判定条件!$C$8*W1692,"停止","断続")))</f>
        <v>断続</v>
      </c>
      <c r="Z1692" s="30" t="n">
        <v>60</v>
      </c>
      <c r="AA1692" s="30" t="n">
        <v>43</v>
      </c>
      <c r="AB1692" s="30" t="str">
        <f aca="false">IF(Z1692&lt;判定条件!$C$6,"判定不能",IF(AA1692&gt;=判定条件!$C$7*Z1692,"運転",IF(AA1692&lt;=判定条件!$C$8*Z1692,"停止","断続")))</f>
        <v>断続</v>
      </c>
      <c r="AC1692" s="30" t="n">
        <v>60</v>
      </c>
      <c r="AD1692" s="30" t="n">
        <v>55</v>
      </c>
      <c r="AE1692" s="30" t="str">
        <f aca="false">IF(AC1692&lt;判定条件!$C$6,"判定不能",IF(AD1692&gt;=判定条件!$C$7*AC1692,"運転",IF(AD1692&lt;=判定条件!$C$8*AC1692,"停止","断続")))</f>
        <v>運転</v>
      </c>
      <c r="AF1692" s="30" t="n">
        <v>60</v>
      </c>
      <c r="AG1692" s="30" t="n">
        <v>0</v>
      </c>
      <c r="AH1692" s="30" t="str">
        <f aca="false">IF(OR(P1692="判定不能",G1692="判定不能"),"判定不能",IF(AG1692&gt;=判定条件!$C$9,"利用可",IF(AND(P1692="停止",G1692="停止"),"両方停止","運転がそろわない")))</f>
        <v>運転がそろわない</v>
      </c>
      <c r="AI1692" s="30" t="n">
        <v>60</v>
      </c>
      <c r="AJ1692" s="30" t="n">
        <v>0</v>
      </c>
      <c r="AK1692" s="30" t="str">
        <f aca="false">IF(OR(S1692="判定不能",J1692="判定不能"),"判定不能",IF(AJ1692&gt;=判定条件!$C$9,"利用可",IF(AND(S1692="停止",J1692="停止"),"両方停止","運転がそろわない")))</f>
        <v>運転がそろわない</v>
      </c>
      <c r="AL1692" s="30" t="n">
        <v>60</v>
      </c>
      <c r="AM1692" s="30" t="n">
        <v>0</v>
      </c>
      <c r="AN1692" s="30" t="str">
        <f aca="false">IF(OR(V1692="判定不能",M1692="判定不能"),"判定不能",IF(AM1692&gt;=判定条件!$C$9,"利用可",IF(AND(V1692="停止",M1692="停止"),"両方停止","運転がそろわない")))</f>
        <v>運転がそろわない</v>
      </c>
      <c r="AO1692" s="30" t="n">
        <v>60</v>
      </c>
      <c r="AP1692" s="30" t="n">
        <v>0</v>
      </c>
      <c r="AQ1692" s="30" t="str">
        <f aca="false">IF(OR(Y1692="判定不能",G1692="判定不能"),"判定不能",IF(AP1692&gt;=判定条件!$C$9,"利用可",IF(AND(Y1692="停止",G1692="停止"),"両方停止","運転がそろわない")))</f>
        <v>運転がそろわない</v>
      </c>
      <c r="AR1692" s="30" t="n">
        <v>60</v>
      </c>
      <c r="AS1692" s="30" t="n">
        <v>0</v>
      </c>
      <c r="AT1692" s="30" t="str">
        <f aca="false">IF(OR(AB1692="判定不能",J1692="判定不能"),"判定不能",IF(AS1692&gt;=判定条件!$C$9,"利用可",IF(AND(AB1692="停止",J1692="停止"),"両方停止","運転がそろわない")))</f>
        <v>運転がそろわない</v>
      </c>
      <c r="AU1692" s="30" t="n">
        <v>60</v>
      </c>
      <c r="AV1692" s="30" t="n">
        <v>0</v>
      </c>
      <c r="AW1692" s="30" t="str">
        <f aca="false">IF(OR(AE1692="判定不能",M1692="判定不能"),"判定不能",IF(AV1692&gt;=判定条件!$C$9,"利用可",IF(AND(AE1692="停止",M1692="停止"),"両方停止","運転がそろわない")))</f>
        <v>運転がそろわない</v>
      </c>
      <c r="AX1692" s="30" t="str">
        <f aca="false">IF(AND(AH1692="利用可",AK1692="利用可",AN1692="利用可"),"利用可","不可")</f>
        <v>不可</v>
      </c>
      <c r="AY1692" s="30" t="str">
        <f aca="false">IF(AND(AQ1692="利用可",AT1692="利用可",AW1692="利用可"),"利用可","不可")</f>
        <v>不可</v>
      </c>
    </row>
    <row r="1693" customFormat="false" ht="15" hidden="false" customHeight="false" outlineLevel="0" collapsed="false">
      <c r="A1693" s="29" t="n">
        <v>46302</v>
      </c>
      <c r="B1693" s="30" t="n">
        <v>10</v>
      </c>
      <c r="C1693" s="31" t="s">
        <v>58</v>
      </c>
      <c r="D1693" s="31" t="s">
        <v>59</v>
      </c>
      <c r="E1693" s="30" t="n">
        <v>60</v>
      </c>
      <c r="F1693" s="30" t="n">
        <v>0</v>
      </c>
      <c r="G1693" s="30" t="str">
        <f aca="false">IF(E1693&lt;判定条件!$C$6,"判定不能",IF(F1693&gt;=判定条件!$C$7*E1693,"運転",IF(F1693&lt;=判定条件!$C$8*E1693,"停止","断続")))</f>
        <v>停止</v>
      </c>
      <c r="H1693" s="30" t="n">
        <v>60</v>
      </c>
      <c r="I1693" s="30" t="n">
        <v>0</v>
      </c>
      <c r="J1693" s="30" t="str">
        <f aca="false">IF(H1693&lt;判定条件!$C$6,"判定不能",IF(I1693&gt;=判定条件!$C$7*H1693,"運転",IF(I1693&lt;=判定条件!$C$8*H1693,"停止","断続")))</f>
        <v>停止</v>
      </c>
      <c r="K1693" s="30" t="n">
        <v>60</v>
      </c>
      <c r="L1693" s="30" t="n">
        <v>0</v>
      </c>
      <c r="M1693" s="30" t="str">
        <f aca="false">IF(K1693&lt;判定条件!$C$6,"判定不能",IF(L1693&gt;=判定条件!$C$7*K1693,"運転",IF(L1693&lt;=判定条件!$C$8*K1693,"停止","断続")))</f>
        <v>停止</v>
      </c>
      <c r="N1693" s="30" t="n">
        <v>60</v>
      </c>
      <c r="O1693" s="30" t="n">
        <v>30</v>
      </c>
      <c r="P1693" s="30" t="str">
        <f aca="false">IF(N1693&lt;判定条件!$C$6,"判定不能",IF(O1693&gt;=判定条件!$C$7*N1693,"運転",IF(O1693&lt;=判定条件!$C$8*N1693,"停止","断続")))</f>
        <v>断続</v>
      </c>
      <c r="Q1693" s="30" t="n">
        <v>60</v>
      </c>
      <c r="R1693" s="30" t="n">
        <v>39</v>
      </c>
      <c r="S1693" s="30" t="str">
        <f aca="false">IF(Q1693&lt;判定条件!$C$6,"判定不能",IF(R1693&gt;=判定条件!$C$7*Q1693,"運転",IF(R1693&lt;=判定条件!$C$8*Q1693,"停止","断続")))</f>
        <v>断続</v>
      </c>
      <c r="T1693" s="30" t="n">
        <v>60</v>
      </c>
      <c r="U1693" s="30" t="n">
        <v>59</v>
      </c>
      <c r="V1693" s="30" t="str">
        <f aca="false">IF(T1693&lt;判定条件!$C$6,"判定不能",IF(U1693&gt;=判定条件!$C$7*T1693,"運転",IF(U1693&lt;=判定条件!$C$8*T1693,"停止","断続")))</f>
        <v>運転</v>
      </c>
      <c r="W1693" s="30" t="n">
        <v>60</v>
      </c>
      <c r="X1693" s="30" t="n">
        <v>38</v>
      </c>
      <c r="Y1693" s="30" t="str">
        <f aca="false">IF(W1693&lt;判定条件!$C$6,"判定不能",IF(X1693&gt;=判定条件!$C$7*W1693,"運転",IF(X1693&lt;=判定条件!$C$8*W1693,"停止","断続")))</f>
        <v>断続</v>
      </c>
      <c r="Z1693" s="30" t="n">
        <v>60</v>
      </c>
      <c r="AA1693" s="30" t="n">
        <v>60</v>
      </c>
      <c r="AB1693" s="30" t="str">
        <f aca="false">IF(Z1693&lt;判定条件!$C$6,"判定不能",IF(AA1693&gt;=判定条件!$C$7*Z1693,"運転",IF(AA1693&lt;=判定条件!$C$8*Z1693,"停止","断続")))</f>
        <v>運転</v>
      </c>
      <c r="AC1693" s="30" t="n">
        <v>60</v>
      </c>
      <c r="AD1693" s="30" t="n">
        <v>58</v>
      </c>
      <c r="AE1693" s="30" t="str">
        <f aca="false">IF(AC1693&lt;判定条件!$C$6,"判定不能",IF(AD1693&gt;=判定条件!$C$7*AC1693,"運転",IF(AD1693&lt;=判定条件!$C$8*AC1693,"停止","断続")))</f>
        <v>運転</v>
      </c>
      <c r="AF1693" s="30" t="n">
        <v>60</v>
      </c>
      <c r="AG1693" s="30" t="n">
        <v>0</v>
      </c>
      <c r="AH1693" s="30" t="str">
        <f aca="false">IF(OR(P1693="判定不能",G1693="判定不能"),"判定不能",IF(AG1693&gt;=判定条件!$C$9,"利用可",IF(AND(P1693="停止",G1693="停止"),"両方停止","運転がそろわない")))</f>
        <v>運転がそろわない</v>
      </c>
      <c r="AI1693" s="30" t="n">
        <v>60</v>
      </c>
      <c r="AJ1693" s="30" t="n">
        <v>0</v>
      </c>
      <c r="AK1693" s="30" t="str">
        <f aca="false">IF(OR(S1693="判定不能",J1693="判定不能"),"判定不能",IF(AJ1693&gt;=判定条件!$C$9,"利用可",IF(AND(S1693="停止",J1693="停止"),"両方停止","運転がそろわない")))</f>
        <v>運転がそろわない</v>
      </c>
      <c r="AL1693" s="30" t="n">
        <v>60</v>
      </c>
      <c r="AM1693" s="30" t="n">
        <v>0</v>
      </c>
      <c r="AN1693" s="30" t="str">
        <f aca="false">IF(OR(V1693="判定不能",M1693="判定不能"),"判定不能",IF(AM1693&gt;=判定条件!$C$9,"利用可",IF(AND(V1693="停止",M1693="停止"),"両方停止","運転がそろわない")))</f>
        <v>運転がそろわない</v>
      </c>
      <c r="AO1693" s="30" t="n">
        <v>60</v>
      </c>
      <c r="AP1693" s="30" t="n">
        <v>0</v>
      </c>
      <c r="AQ1693" s="30" t="str">
        <f aca="false">IF(OR(Y1693="判定不能",G1693="判定不能"),"判定不能",IF(AP1693&gt;=判定条件!$C$9,"利用可",IF(AND(Y1693="停止",G1693="停止"),"両方停止","運転がそろわない")))</f>
        <v>運転がそろわない</v>
      </c>
      <c r="AR1693" s="30" t="n">
        <v>60</v>
      </c>
      <c r="AS1693" s="30" t="n">
        <v>0</v>
      </c>
      <c r="AT1693" s="30" t="str">
        <f aca="false">IF(OR(AB1693="判定不能",J1693="判定不能"),"判定不能",IF(AS1693&gt;=判定条件!$C$9,"利用可",IF(AND(AB1693="停止",J1693="停止"),"両方停止","運転がそろわない")))</f>
        <v>運転がそろわない</v>
      </c>
      <c r="AU1693" s="30" t="n">
        <v>60</v>
      </c>
      <c r="AV1693" s="30" t="n">
        <v>0</v>
      </c>
      <c r="AW1693" s="30" t="str">
        <f aca="false">IF(OR(AE1693="判定不能",M1693="判定不能"),"判定不能",IF(AV1693&gt;=判定条件!$C$9,"利用可",IF(AND(AE1693="停止",M1693="停止"),"両方停止","運転がそろわない")))</f>
        <v>運転がそろわない</v>
      </c>
      <c r="AX1693" s="30" t="str">
        <f aca="false">IF(AND(AH1693="利用可",AK1693="利用可",AN1693="利用可"),"利用可","不可")</f>
        <v>不可</v>
      </c>
      <c r="AY1693" s="30" t="str">
        <f aca="false">IF(AND(AQ1693="利用可",AT1693="利用可",AW1693="利用可"),"利用可","不可")</f>
        <v>不可</v>
      </c>
    </row>
    <row r="1694" customFormat="false" ht="15" hidden="false" customHeight="false" outlineLevel="0" collapsed="false">
      <c r="A1694" s="29" t="n">
        <v>46302</v>
      </c>
      <c r="B1694" s="30" t="n">
        <v>11</v>
      </c>
      <c r="C1694" s="31" t="s">
        <v>58</v>
      </c>
      <c r="D1694" s="31" t="s">
        <v>59</v>
      </c>
      <c r="E1694" s="30" t="n">
        <v>60</v>
      </c>
      <c r="F1694" s="30" t="n">
        <v>26</v>
      </c>
      <c r="G1694" s="30" t="str">
        <f aca="false">IF(E1694&lt;判定条件!$C$6,"判定不能",IF(F1694&gt;=判定条件!$C$7*E1694,"運転",IF(F1694&lt;=判定条件!$C$8*E1694,"停止","断続")))</f>
        <v>断続</v>
      </c>
      <c r="H1694" s="30" t="n">
        <v>60</v>
      </c>
      <c r="I1694" s="30" t="n">
        <v>0</v>
      </c>
      <c r="J1694" s="30" t="str">
        <f aca="false">IF(H1694&lt;判定条件!$C$6,"判定不能",IF(I1694&gt;=判定条件!$C$7*H1694,"運転",IF(I1694&lt;=判定条件!$C$8*H1694,"停止","断続")))</f>
        <v>停止</v>
      </c>
      <c r="K1694" s="30" t="n">
        <v>60</v>
      </c>
      <c r="L1694" s="30" t="n">
        <v>0</v>
      </c>
      <c r="M1694" s="30" t="str">
        <f aca="false">IF(K1694&lt;判定条件!$C$6,"判定不能",IF(L1694&gt;=判定条件!$C$7*K1694,"運転",IF(L1694&lt;=判定条件!$C$8*K1694,"停止","断続")))</f>
        <v>停止</v>
      </c>
      <c r="N1694" s="30" t="n">
        <v>60</v>
      </c>
      <c r="O1694" s="30" t="n">
        <v>60</v>
      </c>
      <c r="P1694" s="30" t="str">
        <f aca="false">IF(N1694&lt;判定条件!$C$6,"判定不能",IF(O1694&gt;=判定条件!$C$7*N1694,"運転",IF(O1694&lt;=判定条件!$C$8*N1694,"停止","断続")))</f>
        <v>運転</v>
      </c>
      <c r="Q1694" s="30" t="n">
        <v>60</v>
      </c>
      <c r="R1694" s="30" t="n">
        <v>52</v>
      </c>
      <c r="S1694" s="30" t="str">
        <f aca="false">IF(Q1694&lt;判定条件!$C$6,"判定不能",IF(R1694&gt;=判定条件!$C$7*Q1694,"運転",IF(R1694&lt;=判定条件!$C$8*Q1694,"停止","断続")))</f>
        <v>運転</v>
      </c>
      <c r="T1694" s="30" t="n">
        <v>60</v>
      </c>
      <c r="U1694" s="30" t="n">
        <v>60</v>
      </c>
      <c r="V1694" s="30" t="str">
        <f aca="false">IF(T1694&lt;判定条件!$C$6,"判定不能",IF(U1694&gt;=判定条件!$C$7*T1694,"運転",IF(U1694&lt;=判定条件!$C$8*T1694,"停止","断続")))</f>
        <v>運転</v>
      </c>
      <c r="W1694" s="30" t="n">
        <v>60</v>
      </c>
      <c r="X1694" s="30" t="n">
        <v>48</v>
      </c>
      <c r="Y1694" s="30" t="str">
        <f aca="false">IF(W1694&lt;判定条件!$C$6,"判定不能",IF(X1694&gt;=判定条件!$C$7*W1694,"運転",IF(X1694&lt;=判定条件!$C$8*W1694,"停止","断続")))</f>
        <v>運転</v>
      </c>
      <c r="Z1694" s="30" t="n">
        <v>60</v>
      </c>
      <c r="AA1694" s="30" t="n">
        <v>60</v>
      </c>
      <c r="AB1694" s="30" t="str">
        <f aca="false">IF(Z1694&lt;判定条件!$C$6,"判定不能",IF(AA1694&gt;=判定条件!$C$7*Z1694,"運転",IF(AA1694&lt;=判定条件!$C$8*Z1694,"停止","断続")))</f>
        <v>運転</v>
      </c>
      <c r="AC1694" s="30" t="n">
        <v>60</v>
      </c>
      <c r="AD1694" s="30" t="n">
        <v>60</v>
      </c>
      <c r="AE1694" s="30" t="str">
        <f aca="false">IF(AC1694&lt;判定条件!$C$6,"判定不能",IF(AD1694&gt;=判定条件!$C$7*AC1694,"運転",IF(AD1694&lt;=判定条件!$C$8*AC1694,"停止","断続")))</f>
        <v>運転</v>
      </c>
      <c r="AF1694" s="30" t="n">
        <v>60</v>
      </c>
      <c r="AG1694" s="30" t="n">
        <v>26</v>
      </c>
      <c r="AH1694" s="30" t="str">
        <f aca="false">IF(OR(P1694="判定不能",G1694="判定不能"),"判定不能",IF(AG1694&gt;=判定条件!$C$9,"利用可",IF(AND(P1694="停止",G1694="停止"),"両方停止","運転がそろわない")))</f>
        <v>運転がそろわない</v>
      </c>
      <c r="AI1694" s="30" t="n">
        <v>60</v>
      </c>
      <c r="AJ1694" s="30" t="n">
        <v>0</v>
      </c>
      <c r="AK1694" s="30" t="str">
        <f aca="false">IF(OR(S1694="判定不能",J1694="判定不能"),"判定不能",IF(AJ1694&gt;=判定条件!$C$9,"利用可",IF(AND(S1694="停止",J1694="停止"),"両方停止","運転がそろわない")))</f>
        <v>運転がそろわない</v>
      </c>
      <c r="AL1694" s="30" t="n">
        <v>60</v>
      </c>
      <c r="AM1694" s="30" t="n">
        <v>0</v>
      </c>
      <c r="AN1694" s="30" t="str">
        <f aca="false">IF(OR(V1694="判定不能",M1694="判定不能"),"判定不能",IF(AM1694&gt;=判定条件!$C$9,"利用可",IF(AND(V1694="停止",M1694="停止"),"両方停止","運転がそろわない")))</f>
        <v>運転がそろわない</v>
      </c>
      <c r="AO1694" s="30" t="n">
        <v>60</v>
      </c>
      <c r="AP1694" s="30" t="n">
        <v>26</v>
      </c>
      <c r="AQ1694" s="30" t="str">
        <f aca="false">IF(OR(Y1694="判定不能",G1694="判定不能"),"判定不能",IF(AP1694&gt;=判定条件!$C$9,"利用可",IF(AND(Y1694="停止",G1694="停止"),"両方停止","運転がそろわない")))</f>
        <v>運転がそろわない</v>
      </c>
      <c r="AR1694" s="30" t="n">
        <v>60</v>
      </c>
      <c r="AS1694" s="30" t="n">
        <v>0</v>
      </c>
      <c r="AT1694" s="30" t="str">
        <f aca="false">IF(OR(AB1694="判定不能",J1694="判定不能"),"判定不能",IF(AS1694&gt;=判定条件!$C$9,"利用可",IF(AND(AB1694="停止",J1694="停止"),"両方停止","運転がそろわない")))</f>
        <v>運転がそろわない</v>
      </c>
      <c r="AU1694" s="30" t="n">
        <v>60</v>
      </c>
      <c r="AV1694" s="30" t="n">
        <v>0</v>
      </c>
      <c r="AW1694" s="30" t="str">
        <f aca="false">IF(OR(AE1694="判定不能",M1694="判定不能"),"判定不能",IF(AV1694&gt;=判定条件!$C$9,"利用可",IF(AND(AE1694="停止",M1694="停止"),"両方停止","運転がそろわない")))</f>
        <v>運転がそろわない</v>
      </c>
      <c r="AX1694" s="30" t="str">
        <f aca="false">IF(AND(AH1694="利用可",AK1694="利用可",AN1694="利用可"),"利用可","不可")</f>
        <v>不可</v>
      </c>
      <c r="AY1694" s="30" t="str">
        <f aca="false">IF(AND(AQ1694="利用可",AT1694="利用可",AW1694="利用可"),"利用可","不可")</f>
        <v>不可</v>
      </c>
    </row>
    <row r="1695" customFormat="false" ht="15" hidden="false" customHeight="false" outlineLevel="0" collapsed="false">
      <c r="A1695" s="29" t="n">
        <v>46302</v>
      </c>
      <c r="B1695" s="30" t="n">
        <v>12</v>
      </c>
      <c r="C1695" s="31" t="s">
        <v>58</v>
      </c>
      <c r="D1695" s="31" t="s">
        <v>59</v>
      </c>
      <c r="E1695" s="30" t="n">
        <v>60</v>
      </c>
      <c r="F1695" s="30" t="n">
        <v>24</v>
      </c>
      <c r="G1695" s="30" t="str">
        <f aca="false">IF(E1695&lt;判定条件!$C$6,"判定不能",IF(F1695&gt;=判定条件!$C$7*E1695,"運転",IF(F1695&lt;=判定条件!$C$8*E1695,"停止","断続")))</f>
        <v>断続</v>
      </c>
      <c r="H1695" s="30" t="n">
        <v>60</v>
      </c>
      <c r="I1695" s="30" t="n">
        <v>41</v>
      </c>
      <c r="J1695" s="30" t="str">
        <f aca="false">IF(H1695&lt;判定条件!$C$6,"判定不能",IF(I1695&gt;=判定条件!$C$7*H1695,"運転",IF(I1695&lt;=判定条件!$C$8*H1695,"停止","断続")))</f>
        <v>断続</v>
      </c>
      <c r="K1695" s="30" t="n">
        <v>60</v>
      </c>
      <c r="L1695" s="30" t="n">
        <v>41</v>
      </c>
      <c r="M1695" s="30" t="str">
        <f aca="false">IF(K1695&lt;判定条件!$C$6,"判定不能",IF(L1695&gt;=判定条件!$C$7*K1695,"運転",IF(L1695&lt;=判定条件!$C$8*K1695,"停止","断続")))</f>
        <v>断続</v>
      </c>
      <c r="N1695" s="30" t="n">
        <v>60</v>
      </c>
      <c r="O1695" s="30" t="n">
        <v>43</v>
      </c>
      <c r="P1695" s="30" t="str">
        <f aca="false">IF(N1695&lt;判定条件!$C$6,"判定不能",IF(O1695&gt;=判定条件!$C$7*N1695,"運転",IF(O1695&lt;=判定条件!$C$8*N1695,"停止","断続")))</f>
        <v>断続</v>
      </c>
      <c r="Q1695" s="30" t="n">
        <v>60</v>
      </c>
      <c r="R1695" s="30" t="n">
        <v>60</v>
      </c>
      <c r="S1695" s="30" t="str">
        <f aca="false">IF(Q1695&lt;判定条件!$C$6,"判定不能",IF(R1695&gt;=判定条件!$C$7*Q1695,"運転",IF(R1695&lt;=判定条件!$C$8*Q1695,"停止","断続")))</f>
        <v>運転</v>
      </c>
      <c r="T1695" s="30" t="n">
        <v>60</v>
      </c>
      <c r="U1695" s="30" t="n">
        <v>60</v>
      </c>
      <c r="V1695" s="30" t="str">
        <f aca="false">IF(T1695&lt;判定条件!$C$6,"判定不能",IF(U1695&gt;=判定条件!$C$7*T1695,"運転",IF(U1695&lt;=判定条件!$C$8*T1695,"停止","断続")))</f>
        <v>運転</v>
      </c>
      <c r="W1695" s="30" t="n">
        <v>60</v>
      </c>
      <c r="X1695" s="30" t="n">
        <v>59</v>
      </c>
      <c r="Y1695" s="30" t="str">
        <f aca="false">IF(W1695&lt;判定条件!$C$6,"判定不能",IF(X1695&gt;=判定条件!$C$7*W1695,"運転",IF(X1695&lt;=判定条件!$C$8*W1695,"停止","断続")))</f>
        <v>運転</v>
      </c>
      <c r="Z1695" s="30" t="n">
        <v>60</v>
      </c>
      <c r="AA1695" s="30" t="n">
        <v>60</v>
      </c>
      <c r="AB1695" s="30" t="str">
        <f aca="false">IF(Z1695&lt;判定条件!$C$6,"判定不能",IF(AA1695&gt;=判定条件!$C$7*Z1695,"運転",IF(AA1695&lt;=判定条件!$C$8*Z1695,"停止","断続")))</f>
        <v>運転</v>
      </c>
      <c r="AC1695" s="30" t="n">
        <v>60</v>
      </c>
      <c r="AD1695" s="30" t="n">
        <v>57</v>
      </c>
      <c r="AE1695" s="30" t="str">
        <f aca="false">IF(AC1695&lt;判定条件!$C$6,"判定不能",IF(AD1695&gt;=判定条件!$C$7*AC1695,"運転",IF(AD1695&lt;=判定条件!$C$8*AC1695,"停止","断続")))</f>
        <v>運転</v>
      </c>
      <c r="AF1695" s="30" t="n">
        <v>60</v>
      </c>
      <c r="AG1695" s="30" t="n">
        <v>21</v>
      </c>
      <c r="AH1695" s="30" t="str">
        <f aca="false">IF(OR(P1695="判定不能",G1695="判定不能"),"判定不能",IF(AG1695&gt;=判定条件!$C$9,"利用可",IF(AND(P1695="停止",G1695="停止"),"両方停止","運転がそろわない")))</f>
        <v>運転がそろわない</v>
      </c>
      <c r="AI1695" s="30" t="n">
        <v>60</v>
      </c>
      <c r="AJ1695" s="30" t="n">
        <v>41</v>
      </c>
      <c r="AK1695" s="30" t="str">
        <f aca="false">IF(OR(S1695="判定不能",J1695="判定不能"),"判定不能",IF(AJ1695&gt;=判定条件!$C$9,"利用可",IF(AND(S1695="停止",J1695="停止"),"両方停止","運転がそろわない")))</f>
        <v>利用可</v>
      </c>
      <c r="AL1695" s="30" t="n">
        <v>60</v>
      </c>
      <c r="AM1695" s="30" t="n">
        <v>41</v>
      </c>
      <c r="AN1695" s="30" t="str">
        <f aca="false">IF(OR(V1695="判定不能",M1695="判定不能"),"判定不能",IF(AM1695&gt;=判定条件!$C$9,"利用可",IF(AND(V1695="停止",M1695="停止"),"両方停止","運転がそろわない")))</f>
        <v>利用可</v>
      </c>
      <c r="AO1695" s="30" t="n">
        <v>60</v>
      </c>
      <c r="AP1695" s="30" t="n">
        <v>23</v>
      </c>
      <c r="AQ1695" s="30" t="str">
        <f aca="false">IF(OR(Y1695="判定不能",G1695="判定不能"),"判定不能",IF(AP1695&gt;=判定条件!$C$9,"利用可",IF(AND(Y1695="停止",G1695="停止"),"両方停止","運転がそろわない")))</f>
        <v>運転がそろわない</v>
      </c>
      <c r="AR1695" s="30" t="n">
        <v>60</v>
      </c>
      <c r="AS1695" s="30" t="n">
        <v>41</v>
      </c>
      <c r="AT1695" s="30" t="str">
        <f aca="false">IF(OR(AB1695="判定不能",J1695="判定不能"),"判定不能",IF(AS1695&gt;=判定条件!$C$9,"利用可",IF(AND(AB1695="停止",J1695="停止"),"両方停止","運転がそろわない")))</f>
        <v>利用可</v>
      </c>
      <c r="AU1695" s="30" t="n">
        <v>60</v>
      </c>
      <c r="AV1695" s="30" t="n">
        <v>41</v>
      </c>
      <c r="AW1695" s="30" t="str">
        <f aca="false">IF(OR(AE1695="判定不能",M1695="判定不能"),"判定不能",IF(AV1695&gt;=判定条件!$C$9,"利用可",IF(AND(AE1695="停止",M1695="停止"),"両方停止","運転がそろわない")))</f>
        <v>利用可</v>
      </c>
      <c r="AX1695" s="30" t="str">
        <f aca="false">IF(AND(AH1695="利用可",AK1695="利用可",AN1695="利用可"),"利用可","不可")</f>
        <v>不可</v>
      </c>
      <c r="AY1695" s="30" t="str">
        <f aca="false">IF(AND(AQ1695="利用可",AT1695="利用可",AW1695="利用可"),"利用可","不可")</f>
        <v>不可</v>
      </c>
    </row>
    <row r="1696" customFormat="false" ht="15" hidden="false" customHeight="false" outlineLevel="0" collapsed="false">
      <c r="A1696" s="29" t="n">
        <v>46302</v>
      </c>
      <c r="B1696" s="30" t="n">
        <v>13</v>
      </c>
      <c r="C1696" s="31" t="s">
        <v>58</v>
      </c>
      <c r="D1696" s="31" t="s">
        <v>59</v>
      </c>
      <c r="E1696" s="30" t="n">
        <v>60</v>
      </c>
      <c r="F1696" s="30" t="n">
        <v>31</v>
      </c>
      <c r="G1696" s="30" t="str">
        <f aca="false">IF(E1696&lt;判定条件!$C$6,"判定不能",IF(F1696&gt;=判定条件!$C$7*E1696,"運転",IF(F1696&lt;=判定条件!$C$8*E1696,"停止","断続")))</f>
        <v>断続</v>
      </c>
      <c r="H1696" s="30" t="n">
        <v>60</v>
      </c>
      <c r="I1696" s="30" t="n">
        <v>60</v>
      </c>
      <c r="J1696" s="30" t="str">
        <f aca="false">IF(H1696&lt;判定条件!$C$6,"判定不能",IF(I1696&gt;=判定条件!$C$7*H1696,"運転",IF(I1696&lt;=判定条件!$C$8*H1696,"停止","断続")))</f>
        <v>運転</v>
      </c>
      <c r="K1696" s="30" t="n">
        <v>60</v>
      </c>
      <c r="L1696" s="30" t="n">
        <v>60</v>
      </c>
      <c r="M1696" s="30" t="str">
        <f aca="false">IF(K1696&lt;判定条件!$C$6,"判定不能",IF(L1696&gt;=判定条件!$C$7*K1696,"運転",IF(L1696&lt;=判定条件!$C$8*K1696,"停止","断続")))</f>
        <v>運転</v>
      </c>
      <c r="N1696" s="30" t="n">
        <v>60</v>
      </c>
      <c r="O1696" s="30" t="n">
        <v>42</v>
      </c>
      <c r="P1696" s="30" t="str">
        <f aca="false">IF(N1696&lt;判定条件!$C$6,"判定不能",IF(O1696&gt;=判定条件!$C$7*N1696,"運転",IF(O1696&lt;=判定条件!$C$8*N1696,"停止","断続")))</f>
        <v>断続</v>
      </c>
      <c r="Q1696" s="30" t="n">
        <v>60</v>
      </c>
      <c r="R1696" s="30" t="n">
        <v>49</v>
      </c>
      <c r="S1696" s="30" t="str">
        <f aca="false">IF(Q1696&lt;判定条件!$C$6,"判定不能",IF(R1696&gt;=判定条件!$C$7*Q1696,"運転",IF(R1696&lt;=判定条件!$C$8*Q1696,"停止","断続")))</f>
        <v>運転</v>
      </c>
      <c r="T1696" s="30" t="n">
        <v>60</v>
      </c>
      <c r="U1696" s="30" t="n">
        <v>60</v>
      </c>
      <c r="V1696" s="30" t="str">
        <f aca="false">IF(T1696&lt;判定条件!$C$6,"判定不能",IF(U1696&gt;=判定条件!$C$7*T1696,"運転",IF(U1696&lt;=判定条件!$C$8*T1696,"停止","断続")))</f>
        <v>運転</v>
      </c>
      <c r="W1696" s="30" t="n">
        <v>60</v>
      </c>
      <c r="X1696" s="30" t="n">
        <v>48</v>
      </c>
      <c r="Y1696" s="30" t="str">
        <f aca="false">IF(W1696&lt;判定条件!$C$6,"判定不能",IF(X1696&gt;=判定条件!$C$7*W1696,"運転",IF(X1696&lt;=判定条件!$C$8*W1696,"停止","断続")))</f>
        <v>運転</v>
      </c>
      <c r="Z1696" s="30" t="n">
        <v>60</v>
      </c>
      <c r="AA1696" s="30" t="n">
        <v>60</v>
      </c>
      <c r="AB1696" s="30" t="str">
        <f aca="false">IF(Z1696&lt;判定条件!$C$6,"判定不能",IF(AA1696&gt;=判定条件!$C$7*Z1696,"運転",IF(AA1696&lt;=判定条件!$C$8*Z1696,"停止","断続")))</f>
        <v>運転</v>
      </c>
      <c r="AC1696" s="30" t="n">
        <v>60</v>
      </c>
      <c r="AD1696" s="30" t="n">
        <v>60</v>
      </c>
      <c r="AE1696" s="30" t="str">
        <f aca="false">IF(AC1696&lt;判定条件!$C$6,"判定不能",IF(AD1696&gt;=判定条件!$C$7*AC1696,"運転",IF(AD1696&lt;=判定条件!$C$8*AC1696,"停止","断続")))</f>
        <v>運転</v>
      </c>
      <c r="AF1696" s="30" t="n">
        <v>60</v>
      </c>
      <c r="AG1696" s="30" t="n">
        <v>22</v>
      </c>
      <c r="AH1696" s="30" t="str">
        <f aca="false">IF(OR(P1696="判定不能",G1696="判定不能"),"判定不能",IF(AG1696&gt;=判定条件!$C$9,"利用可",IF(AND(P1696="停止",G1696="停止"),"両方停止","運転がそろわない")))</f>
        <v>運転がそろわない</v>
      </c>
      <c r="AI1696" s="30" t="n">
        <v>60</v>
      </c>
      <c r="AJ1696" s="30" t="n">
        <v>49</v>
      </c>
      <c r="AK1696" s="30" t="str">
        <f aca="false">IF(OR(S1696="判定不能",J1696="判定不能"),"判定不能",IF(AJ1696&gt;=判定条件!$C$9,"利用可",IF(AND(S1696="停止",J1696="停止"),"両方停止","運転がそろわない")))</f>
        <v>利用可</v>
      </c>
      <c r="AL1696" s="30" t="n">
        <v>60</v>
      </c>
      <c r="AM1696" s="30" t="n">
        <v>60</v>
      </c>
      <c r="AN1696" s="30" t="str">
        <f aca="false">IF(OR(V1696="判定不能",M1696="判定不能"),"判定不能",IF(AM1696&gt;=判定条件!$C$9,"利用可",IF(AND(V1696="停止",M1696="停止"),"両方停止","運転がそろわない")))</f>
        <v>利用可</v>
      </c>
      <c r="AO1696" s="30" t="n">
        <v>60</v>
      </c>
      <c r="AP1696" s="30" t="n">
        <v>23</v>
      </c>
      <c r="AQ1696" s="30" t="str">
        <f aca="false">IF(OR(Y1696="判定不能",G1696="判定不能"),"判定不能",IF(AP1696&gt;=判定条件!$C$9,"利用可",IF(AND(Y1696="停止",G1696="停止"),"両方停止","運転がそろわない")))</f>
        <v>運転がそろわない</v>
      </c>
      <c r="AR1696" s="30" t="n">
        <v>60</v>
      </c>
      <c r="AS1696" s="30" t="n">
        <v>60</v>
      </c>
      <c r="AT1696" s="30" t="str">
        <f aca="false">IF(OR(AB1696="判定不能",J1696="判定不能"),"判定不能",IF(AS1696&gt;=判定条件!$C$9,"利用可",IF(AND(AB1696="停止",J1696="停止"),"両方停止","運転がそろわない")))</f>
        <v>利用可</v>
      </c>
      <c r="AU1696" s="30" t="n">
        <v>60</v>
      </c>
      <c r="AV1696" s="30" t="n">
        <v>60</v>
      </c>
      <c r="AW1696" s="30" t="str">
        <f aca="false">IF(OR(AE1696="判定不能",M1696="判定不能"),"判定不能",IF(AV1696&gt;=判定条件!$C$9,"利用可",IF(AND(AE1696="停止",M1696="停止"),"両方停止","運転がそろわない")))</f>
        <v>利用可</v>
      </c>
      <c r="AX1696" s="30" t="str">
        <f aca="false">IF(AND(AH1696="利用可",AK1696="利用可",AN1696="利用可"),"利用可","不可")</f>
        <v>不可</v>
      </c>
      <c r="AY1696" s="30" t="str">
        <f aca="false">IF(AND(AQ1696="利用可",AT1696="利用可",AW1696="利用可"),"利用可","不可")</f>
        <v>不可</v>
      </c>
    </row>
    <row r="1697" customFormat="false" ht="15" hidden="false" customHeight="false" outlineLevel="0" collapsed="false">
      <c r="A1697" s="29" t="n">
        <v>46302</v>
      </c>
      <c r="B1697" s="30" t="n">
        <v>14</v>
      </c>
      <c r="C1697" s="31" t="s">
        <v>58</v>
      </c>
      <c r="D1697" s="31" t="s">
        <v>59</v>
      </c>
      <c r="E1697" s="30" t="n">
        <v>60</v>
      </c>
      <c r="F1697" s="30" t="n">
        <v>42</v>
      </c>
      <c r="G1697" s="30" t="str">
        <f aca="false">IF(E1697&lt;判定条件!$C$6,"判定不能",IF(F1697&gt;=判定条件!$C$7*E1697,"運転",IF(F1697&lt;=判定条件!$C$8*E1697,"停止","断続")))</f>
        <v>断続</v>
      </c>
      <c r="H1697" s="30" t="n">
        <v>60</v>
      </c>
      <c r="I1697" s="30" t="n">
        <v>52</v>
      </c>
      <c r="J1697" s="30" t="str">
        <f aca="false">IF(H1697&lt;判定条件!$C$6,"判定不能",IF(I1697&gt;=判定条件!$C$7*H1697,"運転",IF(I1697&lt;=判定条件!$C$8*H1697,"停止","断続")))</f>
        <v>運転</v>
      </c>
      <c r="K1697" s="30" t="n">
        <v>60</v>
      </c>
      <c r="L1697" s="30" t="n">
        <v>60</v>
      </c>
      <c r="M1697" s="30" t="str">
        <f aca="false">IF(K1697&lt;判定条件!$C$6,"判定不能",IF(L1697&gt;=判定条件!$C$7*K1697,"運転",IF(L1697&lt;=判定条件!$C$8*K1697,"停止","断続")))</f>
        <v>運転</v>
      </c>
      <c r="N1697" s="30" t="n">
        <v>60</v>
      </c>
      <c r="O1697" s="30" t="n">
        <v>55</v>
      </c>
      <c r="P1697" s="30" t="str">
        <f aca="false">IF(N1697&lt;判定条件!$C$6,"判定不能",IF(O1697&gt;=判定条件!$C$7*N1697,"運転",IF(O1697&lt;=判定条件!$C$8*N1697,"停止","断続")))</f>
        <v>運転</v>
      </c>
      <c r="Q1697" s="30" t="n">
        <v>60</v>
      </c>
      <c r="R1697" s="30" t="n">
        <v>50</v>
      </c>
      <c r="S1697" s="30" t="str">
        <f aca="false">IF(Q1697&lt;判定条件!$C$6,"判定不能",IF(R1697&gt;=判定条件!$C$7*Q1697,"運転",IF(R1697&lt;=判定条件!$C$8*Q1697,"停止","断続")))</f>
        <v>運転</v>
      </c>
      <c r="T1697" s="30" t="n">
        <v>60</v>
      </c>
      <c r="U1697" s="30" t="n">
        <v>53</v>
      </c>
      <c r="V1697" s="30" t="str">
        <f aca="false">IF(T1697&lt;判定条件!$C$6,"判定不能",IF(U1697&gt;=判定条件!$C$7*T1697,"運転",IF(U1697&lt;=判定条件!$C$8*T1697,"停止","断続")))</f>
        <v>運転</v>
      </c>
      <c r="W1697" s="30" t="n">
        <v>60</v>
      </c>
      <c r="X1697" s="30" t="n">
        <v>46</v>
      </c>
      <c r="Y1697" s="30" t="str">
        <f aca="false">IF(W1697&lt;判定条件!$C$6,"判定不能",IF(X1697&gt;=判定条件!$C$7*W1697,"運転",IF(X1697&lt;=判定条件!$C$8*W1697,"停止","断続")))</f>
        <v>断続</v>
      </c>
      <c r="Z1697" s="30" t="n">
        <v>60</v>
      </c>
      <c r="AA1697" s="30" t="n">
        <v>60</v>
      </c>
      <c r="AB1697" s="30" t="str">
        <f aca="false">IF(Z1697&lt;判定条件!$C$6,"判定不能",IF(AA1697&gt;=判定条件!$C$7*Z1697,"運転",IF(AA1697&lt;=判定条件!$C$8*Z1697,"停止","断続")))</f>
        <v>運転</v>
      </c>
      <c r="AC1697" s="30" t="n">
        <v>60</v>
      </c>
      <c r="AD1697" s="30" t="n">
        <v>60</v>
      </c>
      <c r="AE1697" s="30" t="str">
        <f aca="false">IF(AC1697&lt;判定条件!$C$6,"判定不能",IF(AD1697&gt;=判定条件!$C$7*AC1697,"運転",IF(AD1697&lt;=判定条件!$C$8*AC1697,"停止","断続")))</f>
        <v>運転</v>
      </c>
      <c r="AF1697" s="30" t="n">
        <v>60</v>
      </c>
      <c r="AG1697" s="30" t="n">
        <v>40</v>
      </c>
      <c r="AH1697" s="30" t="str">
        <f aca="false">IF(OR(P1697="判定不能",G1697="判定不能"),"判定不能",IF(AG1697&gt;=判定条件!$C$9,"利用可",IF(AND(P1697="停止",G1697="停止"),"両方停止","運転がそろわない")))</f>
        <v>利用可</v>
      </c>
      <c r="AI1697" s="30" t="n">
        <v>60</v>
      </c>
      <c r="AJ1697" s="30" t="n">
        <v>42</v>
      </c>
      <c r="AK1697" s="30" t="str">
        <f aca="false">IF(OR(S1697="判定不能",J1697="判定不能"),"判定不能",IF(AJ1697&gt;=判定条件!$C$9,"利用可",IF(AND(S1697="停止",J1697="停止"),"両方停止","運転がそろわない")))</f>
        <v>利用可</v>
      </c>
      <c r="AL1697" s="30" t="n">
        <v>60</v>
      </c>
      <c r="AM1697" s="30" t="n">
        <v>53</v>
      </c>
      <c r="AN1697" s="30" t="str">
        <f aca="false">IF(OR(V1697="判定不能",M1697="判定不能"),"判定不能",IF(AM1697&gt;=判定条件!$C$9,"利用可",IF(AND(V1697="停止",M1697="停止"),"両方停止","運転がそろわない")))</f>
        <v>利用可</v>
      </c>
      <c r="AO1697" s="30" t="n">
        <v>60</v>
      </c>
      <c r="AP1697" s="30" t="n">
        <v>35</v>
      </c>
      <c r="AQ1697" s="30" t="str">
        <f aca="false">IF(OR(Y1697="判定不能",G1697="判定不能"),"判定不能",IF(AP1697&gt;=判定条件!$C$9,"利用可",IF(AND(Y1697="停止",G1697="停止"),"両方停止","運転がそろわない")))</f>
        <v>利用可</v>
      </c>
      <c r="AR1697" s="30" t="n">
        <v>60</v>
      </c>
      <c r="AS1697" s="30" t="n">
        <v>52</v>
      </c>
      <c r="AT1697" s="30" t="str">
        <f aca="false">IF(OR(AB1697="判定不能",J1697="判定不能"),"判定不能",IF(AS1697&gt;=判定条件!$C$9,"利用可",IF(AND(AB1697="停止",J1697="停止"),"両方停止","運転がそろわない")))</f>
        <v>利用可</v>
      </c>
      <c r="AU1697" s="30" t="n">
        <v>60</v>
      </c>
      <c r="AV1697" s="30" t="n">
        <v>60</v>
      </c>
      <c r="AW1697" s="30" t="str">
        <f aca="false">IF(OR(AE1697="判定不能",M1697="判定不能"),"判定不能",IF(AV1697&gt;=判定条件!$C$9,"利用可",IF(AND(AE1697="停止",M1697="停止"),"両方停止","運転がそろわない")))</f>
        <v>利用可</v>
      </c>
      <c r="AX1697" s="30" t="str">
        <f aca="false">IF(AND(AH1697="利用可",AK1697="利用可",AN1697="利用可"),"利用可","不可")</f>
        <v>利用可</v>
      </c>
      <c r="AY1697" s="30" t="str">
        <f aca="false">IF(AND(AQ1697="利用可",AT1697="利用可",AW1697="利用可"),"利用可","不可")</f>
        <v>利用可</v>
      </c>
    </row>
    <row r="1698" customFormat="false" ht="15" hidden="false" customHeight="false" outlineLevel="0" collapsed="false">
      <c r="A1698" s="29" t="n">
        <v>46302</v>
      </c>
      <c r="B1698" s="30" t="n">
        <v>15</v>
      </c>
      <c r="C1698" s="31" t="s">
        <v>58</v>
      </c>
      <c r="D1698" s="31" t="s">
        <v>59</v>
      </c>
      <c r="E1698" s="30" t="n">
        <v>60</v>
      </c>
      <c r="F1698" s="30" t="n">
        <v>36</v>
      </c>
      <c r="G1698" s="30" t="str">
        <f aca="false">IF(E1698&lt;判定条件!$C$6,"判定不能",IF(F1698&gt;=判定条件!$C$7*E1698,"運転",IF(F1698&lt;=判定条件!$C$8*E1698,"停止","断続")))</f>
        <v>断続</v>
      </c>
      <c r="H1698" s="30" t="n">
        <v>60</v>
      </c>
      <c r="I1698" s="30" t="n">
        <v>52</v>
      </c>
      <c r="J1698" s="30" t="str">
        <f aca="false">IF(H1698&lt;判定条件!$C$6,"判定不能",IF(I1698&gt;=判定条件!$C$7*H1698,"運転",IF(I1698&lt;=判定条件!$C$8*H1698,"停止","断続")))</f>
        <v>運転</v>
      </c>
      <c r="K1698" s="30" t="n">
        <v>60</v>
      </c>
      <c r="L1698" s="30" t="n">
        <v>60</v>
      </c>
      <c r="M1698" s="30" t="str">
        <f aca="false">IF(K1698&lt;判定条件!$C$6,"判定不能",IF(L1698&gt;=判定条件!$C$7*K1698,"運転",IF(L1698&lt;=判定条件!$C$8*K1698,"停止","断続")))</f>
        <v>運転</v>
      </c>
      <c r="N1698" s="30" t="n">
        <v>60</v>
      </c>
      <c r="O1698" s="30" t="n">
        <v>35</v>
      </c>
      <c r="P1698" s="30" t="str">
        <f aca="false">IF(N1698&lt;判定条件!$C$6,"判定不能",IF(O1698&gt;=判定条件!$C$7*N1698,"運転",IF(O1698&lt;=判定条件!$C$8*N1698,"停止","断続")))</f>
        <v>断続</v>
      </c>
      <c r="Q1698" s="30" t="n">
        <v>60</v>
      </c>
      <c r="R1698" s="30" t="n">
        <v>47</v>
      </c>
      <c r="S1698" s="30" t="str">
        <f aca="false">IF(Q1698&lt;判定条件!$C$6,"判定不能",IF(R1698&gt;=判定条件!$C$7*Q1698,"運転",IF(R1698&lt;=判定条件!$C$8*Q1698,"停止","断続")))</f>
        <v>断続</v>
      </c>
      <c r="T1698" s="30" t="n">
        <v>60</v>
      </c>
      <c r="U1698" s="30" t="n">
        <v>60</v>
      </c>
      <c r="V1698" s="30" t="str">
        <f aca="false">IF(T1698&lt;判定条件!$C$6,"判定不能",IF(U1698&gt;=判定条件!$C$7*T1698,"運転",IF(U1698&lt;=判定条件!$C$8*T1698,"停止","断続")))</f>
        <v>運転</v>
      </c>
      <c r="W1698" s="30" t="n">
        <v>60</v>
      </c>
      <c r="X1698" s="30" t="n">
        <v>59</v>
      </c>
      <c r="Y1698" s="30" t="str">
        <f aca="false">IF(W1698&lt;判定条件!$C$6,"判定不能",IF(X1698&gt;=判定条件!$C$7*W1698,"運転",IF(X1698&lt;=判定条件!$C$8*W1698,"停止","断続")))</f>
        <v>運転</v>
      </c>
      <c r="Z1698" s="30" t="n">
        <v>60</v>
      </c>
      <c r="AA1698" s="30" t="n">
        <v>51</v>
      </c>
      <c r="AB1698" s="30" t="str">
        <f aca="false">IF(Z1698&lt;判定条件!$C$6,"判定不能",IF(AA1698&gt;=判定条件!$C$7*Z1698,"運転",IF(AA1698&lt;=判定条件!$C$8*Z1698,"停止","断続")))</f>
        <v>運転</v>
      </c>
      <c r="AC1698" s="30" t="n">
        <v>60</v>
      </c>
      <c r="AD1698" s="30" t="n">
        <v>60</v>
      </c>
      <c r="AE1698" s="30" t="str">
        <f aca="false">IF(AC1698&lt;判定条件!$C$6,"判定不能",IF(AD1698&gt;=判定条件!$C$7*AC1698,"運転",IF(AD1698&lt;=判定条件!$C$8*AC1698,"停止","断続")))</f>
        <v>運転</v>
      </c>
      <c r="AF1698" s="30" t="n">
        <v>60</v>
      </c>
      <c r="AG1698" s="30" t="n">
        <v>26</v>
      </c>
      <c r="AH1698" s="30" t="str">
        <f aca="false">IF(OR(P1698="判定不能",G1698="判定不能"),"判定不能",IF(AG1698&gt;=判定条件!$C$9,"利用可",IF(AND(P1698="停止",G1698="停止"),"両方停止","運転がそろわない")))</f>
        <v>運転がそろわない</v>
      </c>
      <c r="AI1698" s="30" t="n">
        <v>60</v>
      </c>
      <c r="AJ1698" s="30" t="n">
        <v>44</v>
      </c>
      <c r="AK1698" s="30" t="str">
        <f aca="false">IF(OR(S1698="判定不能",J1698="判定不能"),"判定不能",IF(AJ1698&gt;=判定条件!$C$9,"利用可",IF(AND(S1698="停止",J1698="停止"),"両方停止","運転がそろわない")))</f>
        <v>利用可</v>
      </c>
      <c r="AL1698" s="30" t="n">
        <v>60</v>
      </c>
      <c r="AM1698" s="30" t="n">
        <v>60</v>
      </c>
      <c r="AN1698" s="30" t="str">
        <f aca="false">IF(OR(V1698="判定不能",M1698="判定不能"),"判定不能",IF(AM1698&gt;=判定条件!$C$9,"利用可",IF(AND(V1698="停止",M1698="停止"),"両方停止","運転がそろわない")))</f>
        <v>利用可</v>
      </c>
      <c r="AO1698" s="30" t="n">
        <v>60</v>
      </c>
      <c r="AP1698" s="30" t="n">
        <v>36</v>
      </c>
      <c r="AQ1698" s="30" t="str">
        <f aca="false">IF(OR(Y1698="判定不能",G1698="判定不能"),"判定不能",IF(AP1698&gt;=判定条件!$C$9,"利用可",IF(AND(Y1698="停止",G1698="停止"),"両方停止","運転がそろわない")))</f>
        <v>利用可</v>
      </c>
      <c r="AR1698" s="30" t="n">
        <v>60</v>
      </c>
      <c r="AS1698" s="30" t="n">
        <v>43</v>
      </c>
      <c r="AT1698" s="30" t="str">
        <f aca="false">IF(OR(AB1698="判定不能",J1698="判定不能"),"判定不能",IF(AS1698&gt;=判定条件!$C$9,"利用可",IF(AND(AB1698="停止",J1698="停止"),"両方停止","運転がそろわない")))</f>
        <v>利用可</v>
      </c>
      <c r="AU1698" s="30" t="n">
        <v>60</v>
      </c>
      <c r="AV1698" s="30" t="n">
        <v>60</v>
      </c>
      <c r="AW1698" s="30" t="str">
        <f aca="false">IF(OR(AE1698="判定不能",M1698="判定不能"),"判定不能",IF(AV1698&gt;=判定条件!$C$9,"利用可",IF(AND(AE1698="停止",M1698="停止"),"両方停止","運転がそろわない")))</f>
        <v>利用可</v>
      </c>
      <c r="AX1698" s="30" t="str">
        <f aca="false">IF(AND(AH1698="利用可",AK1698="利用可",AN1698="利用可"),"利用可","不可")</f>
        <v>不可</v>
      </c>
      <c r="AY1698" s="30" t="str">
        <f aca="false">IF(AND(AQ1698="利用可",AT1698="利用可",AW1698="利用可"),"利用可","不可")</f>
        <v>利用可</v>
      </c>
    </row>
    <row r="1699" customFormat="false" ht="15" hidden="false" customHeight="false" outlineLevel="0" collapsed="false">
      <c r="A1699" s="29" t="n">
        <v>46302</v>
      </c>
      <c r="B1699" s="30" t="n">
        <v>16</v>
      </c>
      <c r="C1699" s="31" t="s">
        <v>58</v>
      </c>
      <c r="D1699" s="31" t="s">
        <v>59</v>
      </c>
      <c r="E1699" s="30" t="n">
        <v>60</v>
      </c>
      <c r="F1699" s="30" t="n">
        <v>0</v>
      </c>
      <c r="G1699" s="30" t="str">
        <f aca="false">IF(E1699&lt;判定条件!$C$6,"判定不能",IF(F1699&gt;=判定条件!$C$7*E1699,"運転",IF(F1699&lt;=判定条件!$C$8*E1699,"停止","断続")))</f>
        <v>停止</v>
      </c>
      <c r="H1699" s="30" t="n">
        <v>60</v>
      </c>
      <c r="I1699" s="30" t="n">
        <v>14</v>
      </c>
      <c r="J1699" s="30" t="str">
        <f aca="false">IF(H1699&lt;判定条件!$C$6,"判定不能",IF(I1699&gt;=判定条件!$C$7*H1699,"運転",IF(I1699&lt;=判定条件!$C$8*H1699,"停止","断続")))</f>
        <v>断続</v>
      </c>
      <c r="K1699" s="30" t="n">
        <v>60</v>
      </c>
      <c r="L1699" s="30" t="n">
        <v>21</v>
      </c>
      <c r="M1699" s="30" t="str">
        <f aca="false">IF(K1699&lt;判定条件!$C$6,"判定不能",IF(L1699&gt;=判定条件!$C$7*K1699,"運転",IF(L1699&lt;=判定条件!$C$8*K1699,"停止","断続")))</f>
        <v>断続</v>
      </c>
      <c r="N1699" s="30" t="n">
        <v>60</v>
      </c>
      <c r="O1699" s="30" t="n">
        <v>32</v>
      </c>
      <c r="P1699" s="30" t="str">
        <f aca="false">IF(N1699&lt;判定条件!$C$6,"判定不能",IF(O1699&gt;=判定条件!$C$7*N1699,"運転",IF(O1699&lt;=判定条件!$C$8*N1699,"停止","断続")))</f>
        <v>断続</v>
      </c>
      <c r="Q1699" s="30" t="n">
        <v>60</v>
      </c>
      <c r="R1699" s="30" t="n">
        <v>60</v>
      </c>
      <c r="S1699" s="30" t="str">
        <f aca="false">IF(Q1699&lt;判定条件!$C$6,"判定不能",IF(R1699&gt;=判定条件!$C$7*Q1699,"運転",IF(R1699&lt;=判定条件!$C$8*Q1699,"停止","断続")))</f>
        <v>運転</v>
      </c>
      <c r="T1699" s="30" t="n">
        <v>60</v>
      </c>
      <c r="U1699" s="30" t="n">
        <v>41</v>
      </c>
      <c r="V1699" s="30" t="str">
        <f aca="false">IF(T1699&lt;判定条件!$C$6,"判定不能",IF(U1699&gt;=判定条件!$C$7*T1699,"運転",IF(U1699&lt;=判定条件!$C$8*T1699,"停止","断続")))</f>
        <v>断続</v>
      </c>
      <c r="W1699" s="30" t="n">
        <v>60</v>
      </c>
      <c r="X1699" s="30" t="n">
        <v>41</v>
      </c>
      <c r="Y1699" s="30" t="str">
        <f aca="false">IF(W1699&lt;判定条件!$C$6,"判定不能",IF(X1699&gt;=判定条件!$C$7*W1699,"運転",IF(X1699&lt;=判定条件!$C$8*W1699,"停止","断続")))</f>
        <v>断続</v>
      </c>
      <c r="Z1699" s="30" t="n">
        <v>60</v>
      </c>
      <c r="AA1699" s="30" t="n">
        <v>51</v>
      </c>
      <c r="AB1699" s="30" t="str">
        <f aca="false">IF(Z1699&lt;判定条件!$C$6,"判定不能",IF(AA1699&gt;=判定条件!$C$7*Z1699,"運転",IF(AA1699&lt;=判定条件!$C$8*Z1699,"停止","断続")))</f>
        <v>運転</v>
      </c>
      <c r="AC1699" s="30" t="n">
        <v>60</v>
      </c>
      <c r="AD1699" s="30" t="n">
        <v>17</v>
      </c>
      <c r="AE1699" s="30" t="str">
        <f aca="false">IF(AC1699&lt;判定条件!$C$6,"判定不能",IF(AD1699&gt;=判定条件!$C$7*AC1699,"運転",IF(AD1699&lt;=判定条件!$C$8*AC1699,"停止","断続")))</f>
        <v>断続</v>
      </c>
      <c r="AF1699" s="30" t="n">
        <v>60</v>
      </c>
      <c r="AG1699" s="30" t="n">
        <v>0</v>
      </c>
      <c r="AH1699" s="30" t="str">
        <f aca="false">IF(OR(P1699="判定不能",G1699="判定不能"),"判定不能",IF(AG1699&gt;=判定条件!$C$9,"利用可",IF(AND(P1699="停止",G1699="停止"),"両方停止","運転がそろわない")))</f>
        <v>運転がそろわない</v>
      </c>
      <c r="AI1699" s="30" t="n">
        <v>60</v>
      </c>
      <c r="AJ1699" s="30" t="n">
        <v>14</v>
      </c>
      <c r="AK1699" s="30" t="str">
        <f aca="false">IF(OR(S1699="判定不能",J1699="判定不能"),"判定不能",IF(AJ1699&gt;=判定条件!$C$9,"利用可",IF(AND(S1699="停止",J1699="停止"),"両方停止","運転がそろわない")))</f>
        <v>運転がそろわない</v>
      </c>
      <c r="AL1699" s="30" t="n">
        <v>60</v>
      </c>
      <c r="AM1699" s="30" t="n">
        <v>21</v>
      </c>
      <c r="AN1699" s="30" t="str">
        <f aca="false">IF(OR(V1699="判定不能",M1699="判定不能"),"判定不能",IF(AM1699&gt;=判定条件!$C$9,"利用可",IF(AND(V1699="停止",M1699="停止"),"両方停止","運転がそろわない")))</f>
        <v>運転がそろわない</v>
      </c>
      <c r="AO1699" s="30" t="n">
        <v>60</v>
      </c>
      <c r="AP1699" s="30" t="n">
        <v>0</v>
      </c>
      <c r="AQ1699" s="30" t="str">
        <f aca="false">IF(OR(Y1699="判定不能",G1699="判定不能"),"判定不能",IF(AP1699&gt;=判定条件!$C$9,"利用可",IF(AND(Y1699="停止",G1699="停止"),"両方停止","運転がそろわない")))</f>
        <v>運転がそろわない</v>
      </c>
      <c r="AR1699" s="30" t="n">
        <v>60</v>
      </c>
      <c r="AS1699" s="30" t="n">
        <v>14</v>
      </c>
      <c r="AT1699" s="30" t="str">
        <f aca="false">IF(OR(AB1699="判定不能",J1699="判定不能"),"判定不能",IF(AS1699&gt;=判定条件!$C$9,"利用可",IF(AND(AB1699="停止",J1699="停止"),"両方停止","運転がそろわない")))</f>
        <v>運転がそろわない</v>
      </c>
      <c r="AU1699" s="30" t="n">
        <v>60</v>
      </c>
      <c r="AV1699" s="30" t="n">
        <v>3</v>
      </c>
      <c r="AW1699" s="30" t="str">
        <f aca="false">IF(OR(AE1699="判定不能",M1699="判定不能"),"判定不能",IF(AV1699&gt;=判定条件!$C$9,"利用可",IF(AND(AE1699="停止",M1699="停止"),"両方停止","運転がそろわない")))</f>
        <v>運転がそろわない</v>
      </c>
      <c r="AX1699" s="30" t="str">
        <f aca="false">IF(AND(AH1699="利用可",AK1699="利用可",AN1699="利用可"),"利用可","不可")</f>
        <v>不可</v>
      </c>
      <c r="AY1699" s="30" t="str">
        <f aca="false">IF(AND(AQ1699="利用可",AT1699="利用可",AW1699="利用可"),"利用可","不可")</f>
        <v>不可</v>
      </c>
    </row>
    <row r="1700" customFormat="false" ht="15" hidden="false" customHeight="false" outlineLevel="0" collapsed="false">
      <c r="A1700" s="29" t="n">
        <v>46302</v>
      </c>
      <c r="B1700" s="30" t="n">
        <v>17</v>
      </c>
      <c r="C1700" s="31" t="s">
        <v>58</v>
      </c>
      <c r="D1700" s="31" t="s">
        <v>59</v>
      </c>
      <c r="E1700" s="30" t="n">
        <v>60</v>
      </c>
      <c r="F1700" s="30" t="n">
        <v>41</v>
      </c>
      <c r="G1700" s="30" t="str">
        <f aca="false">IF(E1700&lt;判定条件!$C$6,"判定不能",IF(F1700&gt;=判定条件!$C$7*E1700,"運転",IF(F1700&lt;=判定条件!$C$8*E1700,"停止","断続")))</f>
        <v>断続</v>
      </c>
      <c r="H1700" s="30" t="n">
        <v>60</v>
      </c>
      <c r="I1700" s="30" t="n">
        <v>0</v>
      </c>
      <c r="J1700" s="30" t="str">
        <f aca="false">IF(H1700&lt;判定条件!$C$6,"判定不能",IF(I1700&gt;=判定条件!$C$7*H1700,"運転",IF(I1700&lt;=判定条件!$C$8*H1700,"停止","断続")))</f>
        <v>停止</v>
      </c>
      <c r="K1700" s="30" t="n">
        <v>60</v>
      </c>
      <c r="L1700" s="30" t="n">
        <v>57</v>
      </c>
      <c r="M1700" s="30" t="str">
        <f aca="false">IF(K1700&lt;判定条件!$C$6,"判定不能",IF(L1700&gt;=判定条件!$C$7*K1700,"運転",IF(L1700&lt;=判定条件!$C$8*K1700,"停止","断続")))</f>
        <v>運転</v>
      </c>
      <c r="N1700" s="30" t="n">
        <v>60</v>
      </c>
      <c r="O1700" s="30" t="n">
        <v>39</v>
      </c>
      <c r="P1700" s="30" t="str">
        <f aca="false">IF(N1700&lt;判定条件!$C$6,"判定不能",IF(O1700&gt;=判定条件!$C$7*N1700,"運転",IF(O1700&lt;=判定条件!$C$8*N1700,"停止","断続")))</f>
        <v>断続</v>
      </c>
      <c r="Q1700" s="30" t="n">
        <v>60</v>
      </c>
      <c r="R1700" s="30" t="n">
        <v>42</v>
      </c>
      <c r="S1700" s="30" t="str">
        <f aca="false">IF(Q1700&lt;判定条件!$C$6,"判定不能",IF(R1700&gt;=判定条件!$C$7*Q1700,"運転",IF(R1700&lt;=判定条件!$C$8*Q1700,"停止","断続")))</f>
        <v>断続</v>
      </c>
      <c r="T1700" s="30" t="n">
        <v>60</v>
      </c>
      <c r="U1700" s="30" t="n">
        <v>42</v>
      </c>
      <c r="V1700" s="30" t="str">
        <f aca="false">IF(T1700&lt;判定条件!$C$6,"判定不能",IF(U1700&gt;=判定条件!$C$7*T1700,"運転",IF(U1700&lt;=判定条件!$C$8*T1700,"停止","断続")))</f>
        <v>断続</v>
      </c>
      <c r="W1700" s="30" t="n">
        <v>60</v>
      </c>
      <c r="X1700" s="30" t="n">
        <v>41</v>
      </c>
      <c r="Y1700" s="30" t="str">
        <f aca="false">IF(W1700&lt;判定条件!$C$6,"判定不能",IF(X1700&gt;=判定条件!$C$7*W1700,"運転",IF(X1700&lt;=判定条件!$C$8*W1700,"停止","断続")))</f>
        <v>断続</v>
      </c>
      <c r="Z1700" s="30" t="n">
        <v>60</v>
      </c>
      <c r="AA1700" s="30" t="n">
        <v>47</v>
      </c>
      <c r="AB1700" s="30" t="str">
        <f aca="false">IF(Z1700&lt;判定条件!$C$6,"判定不能",IF(AA1700&gt;=判定条件!$C$7*Z1700,"運転",IF(AA1700&lt;=判定条件!$C$8*Z1700,"停止","断続")))</f>
        <v>断続</v>
      </c>
      <c r="AC1700" s="30" t="n">
        <v>60</v>
      </c>
      <c r="AD1700" s="30" t="n">
        <v>25</v>
      </c>
      <c r="AE1700" s="30" t="str">
        <f aca="false">IF(AC1700&lt;判定条件!$C$6,"判定不能",IF(AD1700&gt;=判定条件!$C$7*AC1700,"運転",IF(AD1700&lt;=判定条件!$C$8*AC1700,"停止","断続")))</f>
        <v>断続</v>
      </c>
      <c r="AF1700" s="30" t="n">
        <v>60</v>
      </c>
      <c r="AG1700" s="30" t="n">
        <v>29</v>
      </c>
      <c r="AH1700" s="30" t="str">
        <f aca="false">IF(OR(P1700="判定不能",G1700="判定不能"),"判定不能",IF(AG1700&gt;=判定条件!$C$9,"利用可",IF(AND(P1700="停止",G1700="停止"),"両方停止","運転がそろわない")))</f>
        <v>運転がそろわない</v>
      </c>
      <c r="AI1700" s="30" t="n">
        <v>60</v>
      </c>
      <c r="AJ1700" s="30" t="n">
        <v>0</v>
      </c>
      <c r="AK1700" s="30" t="str">
        <f aca="false">IF(OR(S1700="判定不能",J1700="判定不能"),"判定不能",IF(AJ1700&gt;=判定条件!$C$9,"利用可",IF(AND(S1700="停止",J1700="停止"),"両方停止","運転がそろわない")))</f>
        <v>運転がそろわない</v>
      </c>
      <c r="AL1700" s="30" t="n">
        <v>60</v>
      </c>
      <c r="AM1700" s="30" t="n">
        <v>39</v>
      </c>
      <c r="AN1700" s="30" t="str">
        <f aca="false">IF(OR(V1700="判定不能",M1700="判定不能"),"判定不能",IF(AM1700&gt;=判定条件!$C$9,"利用可",IF(AND(V1700="停止",M1700="停止"),"両方停止","運転がそろわない")))</f>
        <v>利用可</v>
      </c>
      <c r="AO1700" s="30" t="n">
        <v>60</v>
      </c>
      <c r="AP1700" s="30" t="n">
        <v>31</v>
      </c>
      <c r="AQ1700" s="30" t="str">
        <f aca="false">IF(OR(Y1700="判定不能",G1700="判定不能"),"判定不能",IF(AP1700&gt;=判定条件!$C$9,"利用可",IF(AND(Y1700="停止",G1700="停止"),"両方停止","運転がそろわない")))</f>
        <v>利用可</v>
      </c>
      <c r="AR1700" s="30" t="n">
        <v>60</v>
      </c>
      <c r="AS1700" s="30" t="n">
        <v>0</v>
      </c>
      <c r="AT1700" s="30" t="str">
        <f aca="false">IF(OR(AB1700="判定不能",J1700="判定不能"),"判定不能",IF(AS1700&gt;=判定条件!$C$9,"利用可",IF(AND(AB1700="停止",J1700="停止"),"両方停止","運転がそろわない")))</f>
        <v>運転がそろわない</v>
      </c>
      <c r="AU1700" s="30" t="n">
        <v>60</v>
      </c>
      <c r="AV1700" s="30" t="n">
        <v>24</v>
      </c>
      <c r="AW1700" s="30" t="str">
        <f aca="false">IF(OR(AE1700="判定不能",M1700="判定不能"),"判定不能",IF(AV1700&gt;=判定条件!$C$9,"利用可",IF(AND(AE1700="停止",M1700="停止"),"両方停止","運転がそろわない")))</f>
        <v>運転がそろわない</v>
      </c>
      <c r="AX1700" s="30" t="str">
        <f aca="false">IF(AND(AH1700="利用可",AK1700="利用可",AN1700="利用可"),"利用可","不可")</f>
        <v>不可</v>
      </c>
      <c r="AY1700" s="30" t="str">
        <f aca="false">IF(AND(AQ1700="利用可",AT1700="利用可",AW1700="利用可"),"利用可","不可")</f>
        <v>不可</v>
      </c>
    </row>
    <row r="1701" customFormat="false" ht="15" hidden="false" customHeight="false" outlineLevel="0" collapsed="false">
      <c r="A1701" s="29" t="n">
        <v>46302</v>
      </c>
      <c r="B1701" s="30" t="n">
        <v>18</v>
      </c>
      <c r="C1701" s="31" t="s">
        <v>58</v>
      </c>
      <c r="D1701" s="31" t="s">
        <v>59</v>
      </c>
      <c r="E1701" s="30" t="n">
        <v>60</v>
      </c>
      <c r="F1701" s="30" t="n">
        <v>40</v>
      </c>
      <c r="G1701" s="30" t="str">
        <f aca="false">IF(E1701&lt;判定条件!$C$6,"判定不能",IF(F1701&gt;=判定条件!$C$7*E1701,"運転",IF(F1701&lt;=判定条件!$C$8*E1701,"停止","断続")))</f>
        <v>断続</v>
      </c>
      <c r="H1701" s="30" t="n">
        <v>60</v>
      </c>
      <c r="I1701" s="30" t="n">
        <v>46</v>
      </c>
      <c r="J1701" s="30" t="str">
        <f aca="false">IF(H1701&lt;判定条件!$C$6,"判定不能",IF(I1701&gt;=判定条件!$C$7*H1701,"運転",IF(I1701&lt;=判定条件!$C$8*H1701,"停止","断続")))</f>
        <v>断続</v>
      </c>
      <c r="K1701" s="30" t="n">
        <v>60</v>
      </c>
      <c r="L1701" s="30" t="n">
        <v>55</v>
      </c>
      <c r="M1701" s="30" t="str">
        <f aca="false">IF(K1701&lt;判定条件!$C$6,"判定不能",IF(L1701&gt;=判定条件!$C$7*K1701,"運転",IF(L1701&lt;=判定条件!$C$8*K1701,"停止","断続")))</f>
        <v>運転</v>
      </c>
      <c r="N1701" s="30" t="n">
        <v>60</v>
      </c>
      <c r="O1701" s="30" t="n">
        <v>0</v>
      </c>
      <c r="P1701" s="30" t="str">
        <f aca="false">IF(N1701&lt;判定条件!$C$6,"判定不能",IF(O1701&gt;=判定条件!$C$7*N1701,"運転",IF(O1701&lt;=判定条件!$C$8*N1701,"停止","断続")))</f>
        <v>停止</v>
      </c>
      <c r="Q1701" s="30" t="n">
        <v>60</v>
      </c>
      <c r="R1701" s="30" t="n">
        <v>0</v>
      </c>
      <c r="S1701" s="30" t="str">
        <f aca="false">IF(Q1701&lt;判定条件!$C$6,"判定不能",IF(R1701&gt;=判定条件!$C$7*Q1701,"運転",IF(R1701&lt;=判定条件!$C$8*Q1701,"停止","断続")))</f>
        <v>停止</v>
      </c>
      <c r="T1701" s="30" t="n">
        <v>60</v>
      </c>
      <c r="U1701" s="30" t="n">
        <v>0</v>
      </c>
      <c r="V1701" s="30" t="str">
        <f aca="false">IF(T1701&lt;判定条件!$C$6,"判定不能",IF(U1701&gt;=判定条件!$C$7*T1701,"運転",IF(U1701&lt;=判定条件!$C$8*T1701,"停止","断続")))</f>
        <v>停止</v>
      </c>
      <c r="W1701" s="30" t="n">
        <v>60</v>
      </c>
      <c r="X1701" s="30" t="n">
        <v>33</v>
      </c>
      <c r="Y1701" s="30" t="str">
        <f aca="false">IF(W1701&lt;判定条件!$C$6,"判定不能",IF(X1701&gt;=判定条件!$C$7*W1701,"運転",IF(X1701&lt;=判定条件!$C$8*W1701,"停止","断続")))</f>
        <v>断続</v>
      </c>
      <c r="Z1701" s="30" t="n">
        <v>60</v>
      </c>
      <c r="AA1701" s="30" t="n">
        <v>26</v>
      </c>
      <c r="AB1701" s="30" t="str">
        <f aca="false">IF(Z1701&lt;判定条件!$C$6,"判定不能",IF(AA1701&gt;=判定条件!$C$7*Z1701,"運転",IF(AA1701&lt;=判定条件!$C$8*Z1701,"停止","断続")))</f>
        <v>断続</v>
      </c>
      <c r="AC1701" s="30" t="n">
        <v>60</v>
      </c>
      <c r="AD1701" s="30" t="n">
        <v>23</v>
      </c>
      <c r="AE1701" s="30" t="str">
        <f aca="false">IF(AC1701&lt;判定条件!$C$6,"判定不能",IF(AD1701&gt;=判定条件!$C$7*AC1701,"運転",IF(AD1701&lt;=判定条件!$C$8*AC1701,"停止","断続")))</f>
        <v>断続</v>
      </c>
      <c r="AF1701" s="30" t="n">
        <v>60</v>
      </c>
      <c r="AG1701" s="30" t="n">
        <v>0</v>
      </c>
      <c r="AH1701" s="30" t="str">
        <f aca="false">IF(OR(P1701="判定不能",G1701="判定不能"),"判定不能",IF(AG1701&gt;=判定条件!$C$9,"利用可",IF(AND(P1701="停止",G1701="停止"),"両方停止","運転がそろわない")))</f>
        <v>運転がそろわない</v>
      </c>
      <c r="AI1701" s="30" t="n">
        <v>60</v>
      </c>
      <c r="AJ1701" s="30" t="n">
        <v>0</v>
      </c>
      <c r="AK1701" s="30" t="str">
        <f aca="false">IF(OR(S1701="判定不能",J1701="判定不能"),"判定不能",IF(AJ1701&gt;=判定条件!$C$9,"利用可",IF(AND(S1701="停止",J1701="停止"),"両方停止","運転がそろわない")))</f>
        <v>運転がそろわない</v>
      </c>
      <c r="AL1701" s="30" t="n">
        <v>60</v>
      </c>
      <c r="AM1701" s="30" t="n">
        <v>0</v>
      </c>
      <c r="AN1701" s="30" t="str">
        <f aca="false">IF(OR(V1701="判定不能",M1701="判定不能"),"判定不能",IF(AM1701&gt;=判定条件!$C$9,"利用可",IF(AND(V1701="停止",M1701="停止"),"両方停止","運転がそろわない")))</f>
        <v>運転がそろわない</v>
      </c>
      <c r="AO1701" s="30" t="n">
        <v>60</v>
      </c>
      <c r="AP1701" s="30" t="n">
        <v>33</v>
      </c>
      <c r="AQ1701" s="30" t="str">
        <f aca="false">IF(OR(Y1701="判定不能",G1701="判定不能"),"判定不能",IF(AP1701&gt;=判定条件!$C$9,"利用可",IF(AND(Y1701="停止",G1701="停止"),"両方停止","運転がそろわない")))</f>
        <v>利用可</v>
      </c>
      <c r="AR1701" s="30" t="n">
        <v>60</v>
      </c>
      <c r="AS1701" s="30" t="n">
        <v>25</v>
      </c>
      <c r="AT1701" s="30" t="str">
        <f aca="false">IF(OR(AB1701="判定不能",J1701="判定不能"),"判定不能",IF(AS1701&gt;=判定条件!$C$9,"利用可",IF(AND(AB1701="停止",J1701="停止"),"両方停止","運転がそろわない")))</f>
        <v>運転がそろわない</v>
      </c>
      <c r="AU1701" s="30" t="n">
        <v>60</v>
      </c>
      <c r="AV1701" s="30" t="n">
        <v>23</v>
      </c>
      <c r="AW1701" s="30" t="str">
        <f aca="false">IF(OR(AE1701="判定不能",M1701="判定不能"),"判定不能",IF(AV1701&gt;=判定条件!$C$9,"利用可",IF(AND(AE1701="停止",M1701="停止"),"両方停止","運転がそろわない")))</f>
        <v>運転がそろわない</v>
      </c>
      <c r="AX1701" s="30" t="str">
        <f aca="false">IF(AND(AH1701="利用可",AK1701="利用可",AN1701="利用可"),"利用可","不可")</f>
        <v>不可</v>
      </c>
      <c r="AY1701" s="30" t="str">
        <f aca="false">IF(AND(AQ1701="利用可",AT1701="利用可",AW1701="利用可"),"利用可","不可")</f>
        <v>不可</v>
      </c>
    </row>
    <row r="1702" customFormat="false" ht="15" hidden="false" customHeight="false" outlineLevel="0" collapsed="false">
      <c r="A1702" s="29" t="n">
        <v>46302</v>
      </c>
      <c r="B1702" s="30" t="n">
        <v>19</v>
      </c>
      <c r="C1702" s="31" t="s">
        <v>58</v>
      </c>
      <c r="D1702" s="31" t="s">
        <v>59</v>
      </c>
      <c r="E1702" s="30" t="n">
        <v>60</v>
      </c>
      <c r="F1702" s="30" t="n">
        <v>31</v>
      </c>
      <c r="G1702" s="30" t="str">
        <f aca="false">IF(E1702&lt;判定条件!$C$6,"判定不能",IF(F1702&gt;=判定条件!$C$7*E1702,"運転",IF(F1702&lt;=判定条件!$C$8*E1702,"停止","断続")))</f>
        <v>断続</v>
      </c>
      <c r="H1702" s="30" t="n">
        <v>60</v>
      </c>
      <c r="I1702" s="30" t="n">
        <v>0</v>
      </c>
      <c r="J1702" s="30" t="str">
        <f aca="false">IF(H1702&lt;判定条件!$C$6,"判定不能",IF(I1702&gt;=判定条件!$C$7*H1702,"運転",IF(I1702&lt;=判定条件!$C$8*H1702,"停止","断続")))</f>
        <v>停止</v>
      </c>
      <c r="K1702" s="30" t="n">
        <v>60</v>
      </c>
      <c r="L1702" s="30" t="n">
        <v>56</v>
      </c>
      <c r="M1702" s="30" t="str">
        <f aca="false">IF(K1702&lt;判定条件!$C$6,"判定不能",IF(L1702&gt;=判定条件!$C$7*K1702,"運転",IF(L1702&lt;=判定条件!$C$8*K1702,"停止","断続")))</f>
        <v>運転</v>
      </c>
      <c r="N1702" s="30" t="n">
        <v>60</v>
      </c>
      <c r="O1702" s="30" t="n">
        <v>0</v>
      </c>
      <c r="P1702" s="30" t="str">
        <f aca="false">IF(N1702&lt;判定条件!$C$6,"判定不能",IF(O1702&gt;=判定条件!$C$7*N1702,"運転",IF(O1702&lt;=判定条件!$C$8*N1702,"停止","断続")))</f>
        <v>停止</v>
      </c>
      <c r="Q1702" s="30" t="n">
        <v>60</v>
      </c>
      <c r="R1702" s="30" t="n">
        <v>0</v>
      </c>
      <c r="S1702" s="30" t="str">
        <f aca="false">IF(Q1702&lt;判定条件!$C$6,"判定不能",IF(R1702&gt;=判定条件!$C$7*Q1702,"運転",IF(R1702&lt;=判定条件!$C$8*Q1702,"停止","断続")))</f>
        <v>停止</v>
      </c>
      <c r="T1702" s="30" t="n">
        <v>60</v>
      </c>
      <c r="U1702" s="30" t="n">
        <v>0</v>
      </c>
      <c r="V1702" s="30" t="str">
        <f aca="false">IF(T1702&lt;判定条件!$C$6,"判定不能",IF(U1702&gt;=判定条件!$C$7*T1702,"運転",IF(U1702&lt;=判定条件!$C$8*T1702,"停止","断続")))</f>
        <v>停止</v>
      </c>
      <c r="W1702" s="30" t="n">
        <v>60</v>
      </c>
      <c r="X1702" s="30" t="n">
        <v>40</v>
      </c>
      <c r="Y1702" s="30" t="str">
        <f aca="false">IF(W1702&lt;判定条件!$C$6,"判定不能",IF(X1702&gt;=判定条件!$C$7*W1702,"運転",IF(X1702&lt;=判定条件!$C$8*W1702,"停止","断続")))</f>
        <v>断続</v>
      </c>
      <c r="Z1702" s="30" t="n">
        <v>60</v>
      </c>
      <c r="AA1702" s="30" t="n">
        <v>4</v>
      </c>
      <c r="AB1702" s="30" t="str">
        <f aca="false">IF(Z1702&lt;判定条件!$C$6,"判定不能",IF(AA1702&gt;=判定条件!$C$7*Z1702,"運転",IF(AA1702&lt;=判定条件!$C$8*Z1702,"停止","断続")))</f>
        <v>停止</v>
      </c>
      <c r="AC1702" s="30" t="n">
        <v>60</v>
      </c>
      <c r="AD1702" s="30" t="n">
        <v>0</v>
      </c>
      <c r="AE1702" s="30" t="str">
        <f aca="false">IF(AC1702&lt;判定条件!$C$6,"判定不能",IF(AD1702&gt;=判定条件!$C$7*AC1702,"運転",IF(AD1702&lt;=判定条件!$C$8*AC1702,"停止","断続")))</f>
        <v>停止</v>
      </c>
      <c r="AF1702" s="30" t="n">
        <v>60</v>
      </c>
      <c r="AG1702" s="30" t="n">
        <v>0</v>
      </c>
      <c r="AH1702" s="30" t="str">
        <f aca="false">IF(OR(P1702="判定不能",G1702="判定不能"),"判定不能",IF(AG1702&gt;=判定条件!$C$9,"利用可",IF(AND(P1702="停止",G1702="停止"),"両方停止","運転がそろわない")))</f>
        <v>運転がそろわない</v>
      </c>
      <c r="AI1702" s="30" t="n">
        <v>60</v>
      </c>
      <c r="AJ1702" s="30" t="n">
        <v>0</v>
      </c>
      <c r="AK1702" s="30" t="str">
        <f aca="false">IF(OR(S1702="判定不能",J1702="判定不能"),"判定不能",IF(AJ1702&gt;=判定条件!$C$9,"利用可",IF(AND(S1702="停止",J1702="停止"),"両方停止","運転がそろわない")))</f>
        <v>両方停止</v>
      </c>
      <c r="AL1702" s="30" t="n">
        <v>60</v>
      </c>
      <c r="AM1702" s="30" t="n">
        <v>0</v>
      </c>
      <c r="AN1702" s="30" t="str">
        <f aca="false">IF(OR(V1702="判定不能",M1702="判定不能"),"判定不能",IF(AM1702&gt;=判定条件!$C$9,"利用可",IF(AND(V1702="停止",M1702="停止"),"両方停止","運転がそろわない")))</f>
        <v>運転がそろわない</v>
      </c>
      <c r="AO1702" s="30" t="n">
        <v>60</v>
      </c>
      <c r="AP1702" s="30" t="n">
        <v>16</v>
      </c>
      <c r="AQ1702" s="30" t="str">
        <f aca="false">IF(OR(Y1702="判定不能",G1702="判定不能"),"判定不能",IF(AP1702&gt;=判定条件!$C$9,"利用可",IF(AND(Y1702="停止",G1702="停止"),"両方停止","運転がそろわない")))</f>
        <v>運転がそろわない</v>
      </c>
      <c r="AR1702" s="30" t="n">
        <v>60</v>
      </c>
      <c r="AS1702" s="30" t="n">
        <v>0</v>
      </c>
      <c r="AT1702" s="30" t="str">
        <f aca="false">IF(OR(AB1702="判定不能",J1702="判定不能"),"判定不能",IF(AS1702&gt;=判定条件!$C$9,"利用可",IF(AND(AB1702="停止",J1702="停止"),"両方停止","運転がそろわない")))</f>
        <v>両方停止</v>
      </c>
      <c r="AU1702" s="30" t="n">
        <v>60</v>
      </c>
      <c r="AV1702" s="30" t="n">
        <v>0</v>
      </c>
      <c r="AW1702" s="30" t="str">
        <f aca="false">IF(OR(AE1702="判定不能",M1702="判定不能"),"判定不能",IF(AV1702&gt;=判定条件!$C$9,"利用可",IF(AND(AE1702="停止",M1702="停止"),"両方停止","運転がそろわない")))</f>
        <v>運転がそろわない</v>
      </c>
      <c r="AX1702" s="30" t="str">
        <f aca="false">IF(AND(AH1702="利用可",AK1702="利用可",AN1702="利用可"),"利用可","不可")</f>
        <v>不可</v>
      </c>
      <c r="AY1702" s="30" t="str">
        <f aca="false">IF(AND(AQ1702="利用可",AT1702="利用可",AW1702="利用可"),"利用可","不可")</f>
        <v>不可</v>
      </c>
    </row>
    <row r="1703" customFormat="false" ht="15" hidden="false" customHeight="false" outlineLevel="0" collapsed="false">
      <c r="A1703" s="29" t="n">
        <v>46302</v>
      </c>
      <c r="B1703" s="30" t="n">
        <v>20</v>
      </c>
      <c r="C1703" s="31" t="s">
        <v>58</v>
      </c>
      <c r="D1703" s="31" t="s">
        <v>59</v>
      </c>
      <c r="E1703" s="30" t="n">
        <v>60</v>
      </c>
      <c r="F1703" s="30" t="n">
        <v>0</v>
      </c>
      <c r="G1703" s="30" t="str">
        <f aca="false">IF(E1703&lt;判定条件!$C$6,"判定不能",IF(F1703&gt;=判定条件!$C$7*E1703,"運転",IF(F1703&lt;=判定条件!$C$8*E1703,"停止","断続")))</f>
        <v>停止</v>
      </c>
      <c r="H1703" s="30" t="n">
        <v>60</v>
      </c>
      <c r="I1703" s="30" t="n">
        <v>3</v>
      </c>
      <c r="J1703" s="30" t="str">
        <f aca="false">IF(H1703&lt;判定条件!$C$6,"判定不能",IF(I1703&gt;=判定条件!$C$7*H1703,"運転",IF(I1703&lt;=判定条件!$C$8*H1703,"停止","断続")))</f>
        <v>停止</v>
      </c>
      <c r="K1703" s="30" t="n">
        <v>60</v>
      </c>
      <c r="L1703" s="30" t="n">
        <v>28</v>
      </c>
      <c r="M1703" s="30" t="str">
        <f aca="false">IF(K1703&lt;判定条件!$C$6,"判定不能",IF(L1703&gt;=判定条件!$C$7*K1703,"運転",IF(L1703&lt;=判定条件!$C$8*K1703,"停止","断続")))</f>
        <v>断続</v>
      </c>
      <c r="N1703" s="30" t="n">
        <v>60</v>
      </c>
      <c r="O1703" s="30" t="n">
        <v>0</v>
      </c>
      <c r="P1703" s="30" t="str">
        <f aca="false">IF(N1703&lt;判定条件!$C$6,"判定不能",IF(O1703&gt;=判定条件!$C$7*N1703,"運転",IF(O1703&lt;=判定条件!$C$8*N1703,"停止","断続")))</f>
        <v>停止</v>
      </c>
      <c r="Q1703" s="30" t="n">
        <v>60</v>
      </c>
      <c r="R1703" s="30" t="n">
        <v>0</v>
      </c>
      <c r="S1703" s="30" t="str">
        <f aca="false">IF(Q1703&lt;判定条件!$C$6,"判定不能",IF(R1703&gt;=判定条件!$C$7*Q1703,"運転",IF(R1703&lt;=判定条件!$C$8*Q1703,"停止","断続")))</f>
        <v>停止</v>
      </c>
      <c r="T1703" s="30" t="n">
        <v>60</v>
      </c>
      <c r="U1703" s="30" t="n">
        <v>0</v>
      </c>
      <c r="V1703" s="30" t="str">
        <f aca="false">IF(T1703&lt;判定条件!$C$6,"判定不能",IF(U1703&gt;=判定条件!$C$7*T1703,"運転",IF(U1703&lt;=判定条件!$C$8*T1703,"停止","断続")))</f>
        <v>停止</v>
      </c>
      <c r="W1703" s="30" t="n">
        <v>60</v>
      </c>
      <c r="X1703" s="30" t="n">
        <v>4</v>
      </c>
      <c r="Y1703" s="30" t="str">
        <f aca="false">IF(W1703&lt;判定条件!$C$6,"判定不能",IF(X1703&gt;=判定条件!$C$7*W1703,"運転",IF(X1703&lt;=判定条件!$C$8*W1703,"停止","断続")))</f>
        <v>停止</v>
      </c>
      <c r="Z1703" s="30" t="n">
        <v>60</v>
      </c>
      <c r="AA1703" s="30" t="n">
        <v>0</v>
      </c>
      <c r="AB1703" s="30" t="str">
        <f aca="false">IF(Z1703&lt;判定条件!$C$6,"判定不能",IF(AA1703&gt;=判定条件!$C$7*Z1703,"運転",IF(AA1703&lt;=判定条件!$C$8*Z1703,"停止","断続")))</f>
        <v>停止</v>
      </c>
      <c r="AC1703" s="30" t="n">
        <v>60</v>
      </c>
      <c r="AD1703" s="30" t="n">
        <v>0</v>
      </c>
      <c r="AE1703" s="30" t="str">
        <f aca="false">IF(AC1703&lt;判定条件!$C$6,"判定不能",IF(AD1703&gt;=判定条件!$C$7*AC1703,"運転",IF(AD1703&lt;=判定条件!$C$8*AC1703,"停止","断続")))</f>
        <v>停止</v>
      </c>
      <c r="AF1703" s="30" t="n">
        <v>60</v>
      </c>
      <c r="AG1703" s="30" t="n">
        <v>0</v>
      </c>
      <c r="AH1703" s="30" t="str">
        <f aca="false">IF(OR(P1703="判定不能",G1703="判定不能"),"判定不能",IF(AG1703&gt;=判定条件!$C$9,"利用可",IF(AND(P1703="停止",G1703="停止"),"両方停止","運転がそろわない")))</f>
        <v>両方停止</v>
      </c>
      <c r="AI1703" s="30" t="n">
        <v>60</v>
      </c>
      <c r="AJ1703" s="30" t="n">
        <v>0</v>
      </c>
      <c r="AK1703" s="30" t="str">
        <f aca="false">IF(OR(S1703="判定不能",J1703="判定不能"),"判定不能",IF(AJ1703&gt;=判定条件!$C$9,"利用可",IF(AND(S1703="停止",J1703="停止"),"両方停止","運転がそろわない")))</f>
        <v>両方停止</v>
      </c>
      <c r="AL1703" s="30" t="n">
        <v>60</v>
      </c>
      <c r="AM1703" s="30" t="n">
        <v>0</v>
      </c>
      <c r="AN1703" s="30" t="str">
        <f aca="false">IF(OR(V1703="判定不能",M1703="判定不能"),"判定不能",IF(AM1703&gt;=判定条件!$C$9,"利用可",IF(AND(V1703="停止",M1703="停止"),"両方停止","運転がそろわない")))</f>
        <v>運転がそろわない</v>
      </c>
      <c r="AO1703" s="30" t="n">
        <v>60</v>
      </c>
      <c r="AP1703" s="30" t="n">
        <v>0</v>
      </c>
      <c r="AQ1703" s="30" t="str">
        <f aca="false">IF(OR(Y1703="判定不能",G1703="判定不能"),"判定不能",IF(AP1703&gt;=判定条件!$C$9,"利用可",IF(AND(Y1703="停止",G1703="停止"),"両方停止","運転がそろわない")))</f>
        <v>両方停止</v>
      </c>
      <c r="AR1703" s="30" t="n">
        <v>60</v>
      </c>
      <c r="AS1703" s="30" t="n">
        <v>0</v>
      </c>
      <c r="AT1703" s="30" t="str">
        <f aca="false">IF(OR(AB1703="判定不能",J1703="判定不能"),"判定不能",IF(AS1703&gt;=判定条件!$C$9,"利用可",IF(AND(AB1703="停止",J1703="停止"),"両方停止","運転がそろわない")))</f>
        <v>両方停止</v>
      </c>
      <c r="AU1703" s="30" t="n">
        <v>60</v>
      </c>
      <c r="AV1703" s="30" t="n">
        <v>0</v>
      </c>
      <c r="AW1703" s="30" t="str">
        <f aca="false">IF(OR(AE1703="判定不能",M1703="判定不能"),"判定不能",IF(AV1703&gt;=判定条件!$C$9,"利用可",IF(AND(AE1703="停止",M1703="停止"),"両方停止","運転がそろわない")))</f>
        <v>運転がそろわない</v>
      </c>
      <c r="AX1703" s="30" t="str">
        <f aca="false">IF(AND(AH1703="利用可",AK1703="利用可",AN1703="利用可"),"利用可","不可")</f>
        <v>不可</v>
      </c>
      <c r="AY1703" s="30" t="str">
        <f aca="false">IF(AND(AQ1703="利用可",AT1703="利用可",AW1703="利用可"),"利用可","不可")</f>
        <v>不可</v>
      </c>
    </row>
    <row r="1704" customFormat="false" ht="15" hidden="false" customHeight="false" outlineLevel="0" collapsed="false">
      <c r="A1704" s="29" t="n">
        <v>46302</v>
      </c>
      <c r="B1704" s="30" t="n">
        <v>21</v>
      </c>
      <c r="C1704" s="31" t="s">
        <v>58</v>
      </c>
      <c r="D1704" s="31" t="s">
        <v>59</v>
      </c>
      <c r="E1704" s="30" t="n">
        <v>60</v>
      </c>
      <c r="F1704" s="30" t="n">
        <v>0</v>
      </c>
      <c r="G1704" s="30" t="str">
        <f aca="false">IF(E1704&lt;判定条件!$C$6,"判定不能",IF(F1704&gt;=判定条件!$C$7*E1704,"運転",IF(F1704&lt;=判定条件!$C$8*E1704,"停止","断続")))</f>
        <v>停止</v>
      </c>
      <c r="H1704" s="30" t="n">
        <v>60</v>
      </c>
      <c r="I1704" s="30" t="n">
        <v>0</v>
      </c>
      <c r="J1704" s="30" t="str">
        <f aca="false">IF(H1704&lt;判定条件!$C$6,"判定不能",IF(I1704&gt;=判定条件!$C$7*H1704,"運転",IF(I1704&lt;=判定条件!$C$8*H1704,"停止","断続")))</f>
        <v>停止</v>
      </c>
      <c r="K1704" s="30" t="n">
        <v>60</v>
      </c>
      <c r="L1704" s="30" t="n">
        <v>0</v>
      </c>
      <c r="M1704" s="30" t="str">
        <f aca="false">IF(K1704&lt;判定条件!$C$6,"判定不能",IF(L1704&gt;=判定条件!$C$7*K1704,"運転",IF(L1704&lt;=判定条件!$C$8*K1704,"停止","断続")))</f>
        <v>停止</v>
      </c>
      <c r="N1704" s="30" t="n">
        <v>60</v>
      </c>
      <c r="O1704" s="30" t="n">
        <v>0</v>
      </c>
      <c r="P1704" s="30" t="str">
        <f aca="false">IF(N1704&lt;判定条件!$C$6,"判定不能",IF(O1704&gt;=判定条件!$C$7*N1704,"運転",IF(O1704&lt;=判定条件!$C$8*N1704,"停止","断続")))</f>
        <v>停止</v>
      </c>
      <c r="Q1704" s="30" t="n">
        <v>60</v>
      </c>
      <c r="R1704" s="30" t="n">
        <v>0</v>
      </c>
      <c r="S1704" s="30" t="str">
        <f aca="false">IF(Q1704&lt;判定条件!$C$6,"判定不能",IF(R1704&gt;=判定条件!$C$7*Q1704,"運転",IF(R1704&lt;=判定条件!$C$8*Q1704,"停止","断続")))</f>
        <v>停止</v>
      </c>
      <c r="T1704" s="30" t="n">
        <v>60</v>
      </c>
      <c r="U1704" s="30" t="n">
        <v>0</v>
      </c>
      <c r="V1704" s="30" t="str">
        <f aca="false">IF(T1704&lt;判定条件!$C$6,"判定不能",IF(U1704&gt;=判定条件!$C$7*T1704,"運転",IF(U1704&lt;=判定条件!$C$8*T1704,"停止","断続")))</f>
        <v>停止</v>
      </c>
      <c r="W1704" s="30" t="n">
        <v>60</v>
      </c>
      <c r="X1704" s="30" t="n">
        <v>0</v>
      </c>
      <c r="Y1704" s="30" t="str">
        <f aca="false">IF(W1704&lt;判定条件!$C$6,"判定不能",IF(X1704&gt;=判定条件!$C$7*W1704,"運転",IF(X1704&lt;=判定条件!$C$8*W1704,"停止","断続")))</f>
        <v>停止</v>
      </c>
      <c r="Z1704" s="30" t="n">
        <v>60</v>
      </c>
      <c r="AA1704" s="30" t="n">
        <v>0</v>
      </c>
      <c r="AB1704" s="30" t="str">
        <f aca="false">IF(Z1704&lt;判定条件!$C$6,"判定不能",IF(AA1704&gt;=判定条件!$C$7*Z1704,"運転",IF(AA1704&lt;=判定条件!$C$8*Z1704,"停止","断続")))</f>
        <v>停止</v>
      </c>
      <c r="AC1704" s="30" t="n">
        <v>60</v>
      </c>
      <c r="AD1704" s="30" t="n">
        <v>0</v>
      </c>
      <c r="AE1704" s="30" t="str">
        <f aca="false">IF(AC1704&lt;判定条件!$C$6,"判定不能",IF(AD1704&gt;=判定条件!$C$7*AC1704,"運転",IF(AD1704&lt;=判定条件!$C$8*AC1704,"停止","断続")))</f>
        <v>停止</v>
      </c>
      <c r="AF1704" s="30" t="n">
        <v>60</v>
      </c>
      <c r="AG1704" s="30" t="n">
        <v>0</v>
      </c>
      <c r="AH1704" s="30" t="str">
        <f aca="false">IF(OR(P1704="判定不能",G1704="判定不能"),"判定不能",IF(AG1704&gt;=判定条件!$C$9,"利用可",IF(AND(P1704="停止",G1704="停止"),"両方停止","運転がそろわない")))</f>
        <v>両方停止</v>
      </c>
      <c r="AI1704" s="30" t="n">
        <v>60</v>
      </c>
      <c r="AJ1704" s="30" t="n">
        <v>0</v>
      </c>
      <c r="AK1704" s="30" t="str">
        <f aca="false">IF(OR(S1704="判定不能",J1704="判定不能"),"判定不能",IF(AJ1704&gt;=判定条件!$C$9,"利用可",IF(AND(S1704="停止",J1704="停止"),"両方停止","運転がそろわない")))</f>
        <v>両方停止</v>
      </c>
      <c r="AL1704" s="30" t="n">
        <v>60</v>
      </c>
      <c r="AM1704" s="30" t="n">
        <v>0</v>
      </c>
      <c r="AN1704" s="30" t="str">
        <f aca="false">IF(OR(V1704="判定不能",M1704="判定不能"),"判定不能",IF(AM1704&gt;=判定条件!$C$9,"利用可",IF(AND(V1704="停止",M1704="停止"),"両方停止","運転がそろわない")))</f>
        <v>両方停止</v>
      </c>
      <c r="AO1704" s="30" t="n">
        <v>60</v>
      </c>
      <c r="AP1704" s="30" t="n">
        <v>0</v>
      </c>
      <c r="AQ1704" s="30" t="str">
        <f aca="false">IF(OR(Y1704="判定不能",G1704="判定不能"),"判定不能",IF(AP1704&gt;=判定条件!$C$9,"利用可",IF(AND(Y1704="停止",G1704="停止"),"両方停止","運転がそろわない")))</f>
        <v>両方停止</v>
      </c>
      <c r="AR1704" s="30" t="n">
        <v>60</v>
      </c>
      <c r="AS1704" s="30" t="n">
        <v>0</v>
      </c>
      <c r="AT1704" s="30" t="str">
        <f aca="false">IF(OR(AB1704="判定不能",J1704="判定不能"),"判定不能",IF(AS1704&gt;=判定条件!$C$9,"利用可",IF(AND(AB1704="停止",J1704="停止"),"両方停止","運転がそろわない")))</f>
        <v>両方停止</v>
      </c>
      <c r="AU1704" s="30" t="n">
        <v>60</v>
      </c>
      <c r="AV1704" s="30" t="n">
        <v>0</v>
      </c>
      <c r="AW1704" s="30" t="str">
        <f aca="false">IF(OR(AE1704="判定不能",M1704="判定不能"),"判定不能",IF(AV1704&gt;=判定条件!$C$9,"利用可",IF(AND(AE1704="停止",M1704="停止"),"両方停止","運転がそろわない")))</f>
        <v>両方停止</v>
      </c>
      <c r="AX1704" s="30" t="str">
        <f aca="false">IF(AND(AH1704="利用可",AK1704="利用可",AN1704="利用可"),"利用可","不可")</f>
        <v>不可</v>
      </c>
      <c r="AY1704" s="30" t="str">
        <f aca="false">IF(AND(AQ1704="利用可",AT1704="利用可",AW1704="利用可"),"利用可","不可")</f>
        <v>不可</v>
      </c>
    </row>
    <row r="1705" customFormat="false" ht="15" hidden="false" customHeight="false" outlineLevel="0" collapsed="false">
      <c r="A1705" s="29" t="n">
        <v>46302</v>
      </c>
      <c r="B1705" s="30" t="n">
        <v>22</v>
      </c>
      <c r="C1705" s="31" t="s">
        <v>58</v>
      </c>
      <c r="D1705" s="31" t="s">
        <v>59</v>
      </c>
      <c r="E1705" s="30" t="n">
        <v>60</v>
      </c>
      <c r="F1705" s="30" t="n">
        <v>0</v>
      </c>
      <c r="G1705" s="30" t="str">
        <f aca="false">IF(E1705&lt;判定条件!$C$6,"判定不能",IF(F1705&gt;=判定条件!$C$7*E1705,"運転",IF(F1705&lt;=判定条件!$C$8*E1705,"停止","断続")))</f>
        <v>停止</v>
      </c>
      <c r="H1705" s="30" t="n">
        <v>60</v>
      </c>
      <c r="I1705" s="30" t="n">
        <v>0</v>
      </c>
      <c r="J1705" s="30" t="str">
        <f aca="false">IF(H1705&lt;判定条件!$C$6,"判定不能",IF(I1705&gt;=判定条件!$C$7*H1705,"運転",IF(I1705&lt;=判定条件!$C$8*H1705,"停止","断続")))</f>
        <v>停止</v>
      </c>
      <c r="K1705" s="30" t="n">
        <v>60</v>
      </c>
      <c r="L1705" s="30" t="n">
        <v>0</v>
      </c>
      <c r="M1705" s="30" t="str">
        <f aca="false">IF(K1705&lt;判定条件!$C$6,"判定不能",IF(L1705&gt;=判定条件!$C$7*K1705,"運転",IF(L1705&lt;=判定条件!$C$8*K1705,"停止","断続")))</f>
        <v>停止</v>
      </c>
      <c r="N1705" s="30" t="n">
        <v>60</v>
      </c>
      <c r="O1705" s="30" t="n">
        <v>0</v>
      </c>
      <c r="P1705" s="30" t="str">
        <f aca="false">IF(N1705&lt;判定条件!$C$6,"判定不能",IF(O1705&gt;=判定条件!$C$7*N1705,"運転",IF(O1705&lt;=判定条件!$C$8*N1705,"停止","断続")))</f>
        <v>停止</v>
      </c>
      <c r="Q1705" s="30" t="n">
        <v>60</v>
      </c>
      <c r="R1705" s="30" t="n">
        <v>0</v>
      </c>
      <c r="S1705" s="30" t="str">
        <f aca="false">IF(Q1705&lt;判定条件!$C$6,"判定不能",IF(R1705&gt;=判定条件!$C$7*Q1705,"運転",IF(R1705&lt;=判定条件!$C$8*Q1705,"停止","断続")))</f>
        <v>停止</v>
      </c>
      <c r="T1705" s="30" t="n">
        <v>60</v>
      </c>
      <c r="U1705" s="30" t="n">
        <v>0</v>
      </c>
      <c r="V1705" s="30" t="str">
        <f aca="false">IF(T1705&lt;判定条件!$C$6,"判定不能",IF(U1705&gt;=判定条件!$C$7*T1705,"運転",IF(U1705&lt;=判定条件!$C$8*T1705,"停止","断続")))</f>
        <v>停止</v>
      </c>
      <c r="W1705" s="30" t="n">
        <v>60</v>
      </c>
      <c r="X1705" s="30" t="n">
        <v>0</v>
      </c>
      <c r="Y1705" s="30" t="str">
        <f aca="false">IF(W1705&lt;判定条件!$C$6,"判定不能",IF(X1705&gt;=判定条件!$C$7*W1705,"運転",IF(X1705&lt;=判定条件!$C$8*W1705,"停止","断続")))</f>
        <v>停止</v>
      </c>
      <c r="Z1705" s="30" t="n">
        <v>60</v>
      </c>
      <c r="AA1705" s="30" t="n">
        <v>0</v>
      </c>
      <c r="AB1705" s="30" t="str">
        <f aca="false">IF(Z1705&lt;判定条件!$C$6,"判定不能",IF(AA1705&gt;=判定条件!$C$7*Z1705,"運転",IF(AA1705&lt;=判定条件!$C$8*Z1705,"停止","断続")))</f>
        <v>停止</v>
      </c>
      <c r="AC1705" s="30" t="n">
        <v>60</v>
      </c>
      <c r="AD1705" s="30" t="n">
        <v>0</v>
      </c>
      <c r="AE1705" s="30" t="str">
        <f aca="false">IF(AC1705&lt;判定条件!$C$6,"判定不能",IF(AD1705&gt;=判定条件!$C$7*AC1705,"運転",IF(AD1705&lt;=判定条件!$C$8*AC1705,"停止","断続")))</f>
        <v>停止</v>
      </c>
      <c r="AF1705" s="30" t="n">
        <v>60</v>
      </c>
      <c r="AG1705" s="30" t="n">
        <v>0</v>
      </c>
      <c r="AH1705" s="30" t="str">
        <f aca="false">IF(OR(P1705="判定不能",G1705="判定不能"),"判定不能",IF(AG1705&gt;=判定条件!$C$9,"利用可",IF(AND(P1705="停止",G1705="停止"),"両方停止","運転がそろわない")))</f>
        <v>両方停止</v>
      </c>
      <c r="AI1705" s="30" t="n">
        <v>60</v>
      </c>
      <c r="AJ1705" s="30" t="n">
        <v>0</v>
      </c>
      <c r="AK1705" s="30" t="str">
        <f aca="false">IF(OR(S1705="判定不能",J1705="判定不能"),"判定不能",IF(AJ1705&gt;=判定条件!$C$9,"利用可",IF(AND(S1705="停止",J1705="停止"),"両方停止","運転がそろわない")))</f>
        <v>両方停止</v>
      </c>
      <c r="AL1705" s="30" t="n">
        <v>60</v>
      </c>
      <c r="AM1705" s="30" t="n">
        <v>0</v>
      </c>
      <c r="AN1705" s="30" t="str">
        <f aca="false">IF(OR(V1705="判定不能",M1705="判定不能"),"判定不能",IF(AM1705&gt;=判定条件!$C$9,"利用可",IF(AND(V1705="停止",M1705="停止"),"両方停止","運転がそろわない")))</f>
        <v>両方停止</v>
      </c>
      <c r="AO1705" s="30" t="n">
        <v>60</v>
      </c>
      <c r="AP1705" s="30" t="n">
        <v>0</v>
      </c>
      <c r="AQ1705" s="30" t="str">
        <f aca="false">IF(OR(Y1705="判定不能",G1705="判定不能"),"判定不能",IF(AP1705&gt;=判定条件!$C$9,"利用可",IF(AND(Y1705="停止",G1705="停止"),"両方停止","運転がそろわない")))</f>
        <v>両方停止</v>
      </c>
      <c r="AR1705" s="30" t="n">
        <v>60</v>
      </c>
      <c r="AS1705" s="30" t="n">
        <v>0</v>
      </c>
      <c r="AT1705" s="30" t="str">
        <f aca="false">IF(OR(AB1705="判定不能",J1705="判定不能"),"判定不能",IF(AS1705&gt;=判定条件!$C$9,"利用可",IF(AND(AB1705="停止",J1705="停止"),"両方停止","運転がそろわない")))</f>
        <v>両方停止</v>
      </c>
      <c r="AU1705" s="30" t="n">
        <v>60</v>
      </c>
      <c r="AV1705" s="30" t="n">
        <v>0</v>
      </c>
      <c r="AW1705" s="30" t="str">
        <f aca="false">IF(OR(AE1705="判定不能",M1705="判定不能"),"判定不能",IF(AV1705&gt;=判定条件!$C$9,"利用可",IF(AND(AE1705="停止",M1705="停止"),"両方停止","運転がそろわない")))</f>
        <v>両方停止</v>
      </c>
      <c r="AX1705" s="30" t="str">
        <f aca="false">IF(AND(AH1705="利用可",AK1705="利用可",AN1705="利用可"),"利用可","不可")</f>
        <v>不可</v>
      </c>
      <c r="AY1705" s="30" t="str">
        <f aca="false">IF(AND(AQ1705="利用可",AT1705="利用可",AW1705="利用可"),"利用可","不可")</f>
        <v>不可</v>
      </c>
    </row>
    <row r="1706" customFormat="false" ht="15" hidden="false" customHeight="false" outlineLevel="0" collapsed="false">
      <c r="A1706" s="29" t="n">
        <v>46302</v>
      </c>
      <c r="B1706" s="30" t="n">
        <v>23</v>
      </c>
      <c r="C1706" s="31" t="s">
        <v>58</v>
      </c>
      <c r="D1706" s="31" t="s">
        <v>59</v>
      </c>
      <c r="E1706" s="30" t="n">
        <v>60</v>
      </c>
      <c r="F1706" s="30" t="n">
        <v>0</v>
      </c>
      <c r="G1706" s="30" t="str">
        <f aca="false">IF(E1706&lt;判定条件!$C$6,"判定不能",IF(F1706&gt;=判定条件!$C$7*E1706,"運転",IF(F1706&lt;=判定条件!$C$8*E1706,"停止","断続")))</f>
        <v>停止</v>
      </c>
      <c r="H1706" s="30" t="n">
        <v>60</v>
      </c>
      <c r="I1706" s="30" t="n">
        <v>0</v>
      </c>
      <c r="J1706" s="30" t="str">
        <f aca="false">IF(H1706&lt;判定条件!$C$6,"判定不能",IF(I1706&gt;=判定条件!$C$7*H1706,"運転",IF(I1706&lt;=判定条件!$C$8*H1706,"停止","断続")))</f>
        <v>停止</v>
      </c>
      <c r="K1706" s="30" t="n">
        <v>60</v>
      </c>
      <c r="L1706" s="30" t="n">
        <v>0</v>
      </c>
      <c r="M1706" s="30" t="str">
        <f aca="false">IF(K1706&lt;判定条件!$C$6,"判定不能",IF(L1706&gt;=判定条件!$C$7*K1706,"運転",IF(L1706&lt;=判定条件!$C$8*K1706,"停止","断続")))</f>
        <v>停止</v>
      </c>
      <c r="N1706" s="30" t="n">
        <v>60</v>
      </c>
      <c r="O1706" s="30" t="n">
        <v>0</v>
      </c>
      <c r="P1706" s="30" t="str">
        <f aca="false">IF(N1706&lt;判定条件!$C$6,"判定不能",IF(O1706&gt;=判定条件!$C$7*N1706,"運転",IF(O1706&lt;=判定条件!$C$8*N1706,"停止","断続")))</f>
        <v>停止</v>
      </c>
      <c r="Q1706" s="30" t="n">
        <v>60</v>
      </c>
      <c r="R1706" s="30" t="n">
        <v>0</v>
      </c>
      <c r="S1706" s="30" t="str">
        <f aca="false">IF(Q1706&lt;判定条件!$C$6,"判定不能",IF(R1706&gt;=判定条件!$C$7*Q1706,"運転",IF(R1706&lt;=判定条件!$C$8*Q1706,"停止","断続")))</f>
        <v>停止</v>
      </c>
      <c r="T1706" s="30" t="n">
        <v>60</v>
      </c>
      <c r="U1706" s="30" t="n">
        <v>0</v>
      </c>
      <c r="V1706" s="30" t="str">
        <f aca="false">IF(T1706&lt;判定条件!$C$6,"判定不能",IF(U1706&gt;=判定条件!$C$7*T1706,"運転",IF(U1706&lt;=判定条件!$C$8*T1706,"停止","断続")))</f>
        <v>停止</v>
      </c>
      <c r="W1706" s="30" t="n">
        <v>60</v>
      </c>
      <c r="X1706" s="30" t="n">
        <v>0</v>
      </c>
      <c r="Y1706" s="30" t="str">
        <f aca="false">IF(W1706&lt;判定条件!$C$6,"判定不能",IF(X1706&gt;=判定条件!$C$7*W1706,"運転",IF(X1706&lt;=判定条件!$C$8*W1706,"停止","断続")))</f>
        <v>停止</v>
      </c>
      <c r="Z1706" s="30" t="n">
        <v>60</v>
      </c>
      <c r="AA1706" s="30" t="n">
        <v>0</v>
      </c>
      <c r="AB1706" s="30" t="str">
        <f aca="false">IF(Z1706&lt;判定条件!$C$6,"判定不能",IF(AA1706&gt;=判定条件!$C$7*Z1706,"運転",IF(AA1706&lt;=判定条件!$C$8*Z1706,"停止","断続")))</f>
        <v>停止</v>
      </c>
      <c r="AC1706" s="30" t="n">
        <v>60</v>
      </c>
      <c r="AD1706" s="30" t="n">
        <v>0</v>
      </c>
      <c r="AE1706" s="30" t="str">
        <f aca="false">IF(AC1706&lt;判定条件!$C$6,"判定不能",IF(AD1706&gt;=判定条件!$C$7*AC1706,"運転",IF(AD1706&lt;=判定条件!$C$8*AC1706,"停止","断続")))</f>
        <v>停止</v>
      </c>
      <c r="AF1706" s="30" t="n">
        <v>60</v>
      </c>
      <c r="AG1706" s="30" t="n">
        <v>0</v>
      </c>
      <c r="AH1706" s="30" t="str">
        <f aca="false">IF(OR(P1706="判定不能",G1706="判定不能"),"判定不能",IF(AG1706&gt;=判定条件!$C$9,"利用可",IF(AND(P1706="停止",G1706="停止"),"両方停止","運転がそろわない")))</f>
        <v>両方停止</v>
      </c>
      <c r="AI1706" s="30" t="n">
        <v>60</v>
      </c>
      <c r="AJ1706" s="30" t="n">
        <v>0</v>
      </c>
      <c r="AK1706" s="30" t="str">
        <f aca="false">IF(OR(S1706="判定不能",J1706="判定不能"),"判定不能",IF(AJ1706&gt;=判定条件!$C$9,"利用可",IF(AND(S1706="停止",J1706="停止"),"両方停止","運転がそろわない")))</f>
        <v>両方停止</v>
      </c>
      <c r="AL1706" s="30" t="n">
        <v>60</v>
      </c>
      <c r="AM1706" s="30" t="n">
        <v>0</v>
      </c>
      <c r="AN1706" s="30" t="str">
        <f aca="false">IF(OR(V1706="判定不能",M1706="判定不能"),"判定不能",IF(AM1706&gt;=判定条件!$C$9,"利用可",IF(AND(V1706="停止",M1706="停止"),"両方停止","運転がそろわない")))</f>
        <v>両方停止</v>
      </c>
      <c r="AO1706" s="30" t="n">
        <v>60</v>
      </c>
      <c r="AP1706" s="30" t="n">
        <v>0</v>
      </c>
      <c r="AQ1706" s="30" t="str">
        <f aca="false">IF(OR(Y1706="判定不能",G1706="判定不能"),"判定不能",IF(AP1706&gt;=判定条件!$C$9,"利用可",IF(AND(Y1706="停止",G1706="停止"),"両方停止","運転がそろわない")))</f>
        <v>両方停止</v>
      </c>
      <c r="AR1706" s="30" t="n">
        <v>60</v>
      </c>
      <c r="AS1706" s="30" t="n">
        <v>0</v>
      </c>
      <c r="AT1706" s="30" t="str">
        <f aca="false">IF(OR(AB1706="判定不能",J1706="判定不能"),"判定不能",IF(AS1706&gt;=判定条件!$C$9,"利用可",IF(AND(AB1706="停止",J1706="停止"),"両方停止","運転がそろわない")))</f>
        <v>両方停止</v>
      </c>
      <c r="AU1706" s="30" t="n">
        <v>60</v>
      </c>
      <c r="AV1706" s="30" t="n">
        <v>0</v>
      </c>
      <c r="AW1706" s="30" t="str">
        <f aca="false">IF(OR(AE1706="判定不能",M1706="判定不能"),"判定不能",IF(AV1706&gt;=判定条件!$C$9,"利用可",IF(AND(AE1706="停止",M1706="停止"),"両方停止","運転がそろわない")))</f>
        <v>両方停止</v>
      </c>
      <c r="AX1706" s="30" t="str">
        <f aca="false">IF(AND(AH1706="利用可",AK1706="利用可",AN1706="利用可"),"利用可","不可")</f>
        <v>不可</v>
      </c>
      <c r="AY1706" s="30" t="str">
        <f aca="false">IF(AND(AQ1706="利用可",AT1706="利用可",AW1706="利用可"),"利用可","不可")</f>
        <v>不可</v>
      </c>
    </row>
    <row r="1707" customFormat="false" ht="15" hidden="false" customHeight="false" outlineLevel="0" collapsed="false">
      <c r="A1707" s="29" t="n">
        <v>46303</v>
      </c>
      <c r="B1707" s="30" t="n">
        <v>0</v>
      </c>
      <c r="C1707" s="31" t="s">
        <v>61</v>
      </c>
      <c r="D1707" s="31" t="s">
        <v>59</v>
      </c>
      <c r="E1707" s="30" t="n">
        <v>60</v>
      </c>
      <c r="F1707" s="30" t="n">
        <v>0</v>
      </c>
      <c r="G1707" s="30" t="str">
        <f aca="false">IF(E1707&lt;判定条件!$C$6,"判定不能",IF(F1707&gt;=判定条件!$C$7*E1707,"運転",IF(F1707&lt;=判定条件!$C$8*E1707,"停止","断続")))</f>
        <v>停止</v>
      </c>
      <c r="H1707" s="30" t="n">
        <v>60</v>
      </c>
      <c r="I1707" s="30" t="n">
        <v>0</v>
      </c>
      <c r="J1707" s="30" t="str">
        <f aca="false">IF(H1707&lt;判定条件!$C$6,"判定不能",IF(I1707&gt;=判定条件!$C$7*H1707,"運転",IF(I1707&lt;=判定条件!$C$8*H1707,"停止","断続")))</f>
        <v>停止</v>
      </c>
      <c r="K1707" s="30" t="n">
        <v>60</v>
      </c>
      <c r="L1707" s="30" t="n">
        <v>0</v>
      </c>
      <c r="M1707" s="30" t="str">
        <f aca="false">IF(K1707&lt;判定条件!$C$6,"判定不能",IF(L1707&gt;=判定条件!$C$7*K1707,"運転",IF(L1707&lt;=判定条件!$C$8*K1707,"停止","断続")))</f>
        <v>停止</v>
      </c>
      <c r="N1707" s="30" t="n">
        <v>60</v>
      </c>
      <c r="O1707" s="30" t="n">
        <v>0</v>
      </c>
      <c r="P1707" s="30" t="str">
        <f aca="false">IF(N1707&lt;判定条件!$C$6,"判定不能",IF(O1707&gt;=判定条件!$C$7*N1707,"運転",IF(O1707&lt;=判定条件!$C$8*N1707,"停止","断続")))</f>
        <v>停止</v>
      </c>
      <c r="Q1707" s="30" t="n">
        <v>60</v>
      </c>
      <c r="R1707" s="30" t="n">
        <v>0</v>
      </c>
      <c r="S1707" s="30" t="str">
        <f aca="false">IF(Q1707&lt;判定条件!$C$6,"判定不能",IF(R1707&gt;=判定条件!$C$7*Q1707,"運転",IF(R1707&lt;=判定条件!$C$8*Q1707,"停止","断続")))</f>
        <v>停止</v>
      </c>
      <c r="T1707" s="30" t="n">
        <v>60</v>
      </c>
      <c r="U1707" s="30" t="n">
        <v>0</v>
      </c>
      <c r="V1707" s="30" t="str">
        <f aca="false">IF(T1707&lt;判定条件!$C$6,"判定不能",IF(U1707&gt;=判定条件!$C$7*T1707,"運転",IF(U1707&lt;=判定条件!$C$8*T1707,"停止","断続")))</f>
        <v>停止</v>
      </c>
      <c r="W1707" s="30" t="n">
        <v>60</v>
      </c>
      <c r="X1707" s="30" t="n">
        <v>0</v>
      </c>
      <c r="Y1707" s="30" t="str">
        <f aca="false">IF(W1707&lt;判定条件!$C$6,"判定不能",IF(X1707&gt;=判定条件!$C$7*W1707,"運転",IF(X1707&lt;=判定条件!$C$8*W1707,"停止","断続")))</f>
        <v>停止</v>
      </c>
      <c r="Z1707" s="30" t="n">
        <v>60</v>
      </c>
      <c r="AA1707" s="30" t="n">
        <v>0</v>
      </c>
      <c r="AB1707" s="30" t="str">
        <f aca="false">IF(Z1707&lt;判定条件!$C$6,"判定不能",IF(AA1707&gt;=判定条件!$C$7*Z1707,"運転",IF(AA1707&lt;=判定条件!$C$8*Z1707,"停止","断続")))</f>
        <v>停止</v>
      </c>
      <c r="AC1707" s="30" t="n">
        <v>60</v>
      </c>
      <c r="AD1707" s="30" t="n">
        <v>0</v>
      </c>
      <c r="AE1707" s="30" t="str">
        <f aca="false">IF(AC1707&lt;判定条件!$C$6,"判定不能",IF(AD1707&gt;=判定条件!$C$7*AC1707,"運転",IF(AD1707&lt;=判定条件!$C$8*AC1707,"停止","断続")))</f>
        <v>停止</v>
      </c>
      <c r="AF1707" s="30" t="n">
        <v>60</v>
      </c>
      <c r="AG1707" s="30" t="n">
        <v>0</v>
      </c>
      <c r="AH1707" s="30" t="str">
        <f aca="false">IF(OR(P1707="判定不能",G1707="判定不能"),"判定不能",IF(AG1707&gt;=判定条件!$C$9,"利用可",IF(AND(P1707="停止",G1707="停止"),"両方停止","運転がそろわない")))</f>
        <v>両方停止</v>
      </c>
      <c r="AI1707" s="30" t="n">
        <v>60</v>
      </c>
      <c r="AJ1707" s="30" t="n">
        <v>0</v>
      </c>
      <c r="AK1707" s="30" t="str">
        <f aca="false">IF(OR(S1707="判定不能",J1707="判定不能"),"判定不能",IF(AJ1707&gt;=判定条件!$C$9,"利用可",IF(AND(S1707="停止",J1707="停止"),"両方停止","運転がそろわない")))</f>
        <v>両方停止</v>
      </c>
      <c r="AL1707" s="30" t="n">
        <v>60</v>
      </c>
      <c r="AM1707" s="30" t="n">
        <v>0</v>
      </c>
      <c r="AN1707" s="30" t="str">
        <f aca="false">IF(OR(V1707="判定不能",M1707="判定不能"),"判定不能",IF(AM1707&gt;=判定条件!$C$9,"利用可",IF(AND(V1707="停止",M1707="停止"),"両方停止","運転がそろわない")))</f>
        <v>両方停止</v>
      </c>
      <c r="AO1707" s="30" t="n">
        <v>60</v>
      </c>
      <c r="AP1707" s="30" t="n">
        <v>0</v>
      </c>
      <c r="AQ1707" s="30" t="str">
        <f aca="false">IF(OR(Y1707="判定不能",G1707="判定不能"),"判定不能",IF(AP1707&gt;=判定条件!$C$9,"利用可",IF(AND(Y1707="停止",G1707="停止"),"両方停止","運転がそろわない")))</f>
        <v>両方停止</v>
      </c>
      <c r="AR1707" s="30" t="n">
        <v>60</v>
      </c>
      <c r="AS1707" s="30" t="n">
        <v>0</v>
      </c>
      <c r="AT1707" s="30" t="str">
        <f aca="false">IF(OR(AB1707="判定不能",J1707="判定不能"),"判定不能",IF(AS1707&gt;=判定条件!$C$9,"利用可",IF(AND(AB1707="停止",J1707="停止"),"両方停止","運転がそろわない")))</f>
        <v>両方停止</v>
      </c>
      <c r="AU1707" s="30" t="n">
        <v>60</v>
      </c>
      <c r="AV1707" s="30" t="n">
        <v>0</v>
      </c>
      <c r="AW1707" s="30" t="str">
        <f aca="false">IF(OR(AE1707="判定不能",M1707="判定不能"),"判定不能",IF(AV1707&gt;=判定条件!$C$9,"利用可",IF(AND(AE1707="停止",M1707="停止"),"両方停止","運転がそろわない")))</f>
        <v>両方停止</v>
      </c>
      <c r="AX1707" s="30" t="str">
        <f aca="false">IF(AND(AH1707="利用可",AK1707="利用可",AN1707="利用可"),"利用可","不可")</f>
        <v>不可</v>
      </c>
      <c r="AY1707" s="30" t="str">
        <f aca="false">IF(AND(AQ1707="利用可",AT1707="利用可",AW1707="利用可"),"利用可","不可")</f>
        <v>不可</v>
      </c>
    </row>
    <row r="1708" customFormat="false" ht="15" hidden="false" customHeight="false" outlineLevel="0" collapsed="false">
      <c r="A1708" s="29" t="n">
        <v>46303</v>
      </c>
      <c r="B1708" s="30" t="n">
        <v>1</v>
      </c>
      <c r="C1708" s="31" t="s">
        <v>61</v>
      </c>
      <c r="D1708" s="31" t="s">
        <v>59</v>
      </c>
      <c r="E1708" s="30" t="n">
        <v>60</v>
      </c>
      <c r="F1708" s="30" t="n">
        <v>0</v>
      </c>
      <c r="G1708" s="30" t="str">
        <f aca="false">IF(E1708&lt;判定条件!$C$6,"判定不能",IF(F1708&gt;=判定条件!$C$7*E1708,"運転",IF(F1708&lt;=判定条件!$C$8*E1708,"停止","断続")))</f>
        <v>停止</v>
      </c>
      <c r="H1708" s="30" t="n">
        <v>60</v>
      </c>
      <c r="I1708" s="30" t="n">
        <v>0</v>
      </c>
      <c r="J1708" s="30" t="str">
        <f aca="false">IF(H1708&lt;判定条件!$C$6,"判定不能",IF(I1708&gt;=判定条件!$C$7*H1708,"運転",IF(I1708&lt;=判定条件!$C$8*H1708,"停止","断続")))</f>
        <v>停止</v>
      </c>
      <c r="K1708" s="30" t="n">
        <v>60</v>
      </c>
      <c r="L1708" s="30" t="n">
        <v>0</v>
      </c>
      <c r="M1708" s="30" t="str">
        <f aca="false">IF(K1708&lt;判定条件!$C$6,"判定不能",IF(L1708&gt;=判定条件!$C$7*K1708,"運転",IF(L1708&lt;=判定条件!$C$8*K1708,"停止","断続")))</f>
        <v>停止</v>
      </c>
      <c r="N1708" s="30" t="n">
        <v>60</v>
      </c>
      <c r="O1708" s="30" t="n">
        <v>0</v>
      </c>
      <c r="P1708" s="30" t="str">
        <f aca="false">IF(N1708&lt;判定条件!$C$6,"判定不能",IF(O1708&gt;=判定条件!$C$7*N1708,"運転",IF(O1708&lt;=判定条件!$C$8*N1708,"停止","断続")))</f>
        <v>停止</v>
      </c>
      <c r="Q1708" s="30" t="n">
        <v>60</v>
      </c>
      <c r="R1708" s="30" t="n">
        <v>0</v>
      </c>
      <c r="S1708" s="30" t="str">
        <f aca="false">IF(Q1708&lt;判定条件!$C$6,"判定不能",IF(R1708&gt;=判定条件!$C$7*Q1708,"運転",IF(R1708&lt;=判定条件!$C$8*Q1708,"停止","断続")))</f>
        <v>停止</v>
      </c>
      <c r="T1708" s="30" t="n">
        <v>60</v>
      </c>
      <c r="U1708" s="30" t="n">
        <v>0</v>
      </c>
      <c r="V1708" s="30" t="str">
        <f aca="false">IF(T1708&lt;判定条件!$C$6,"判定不能",IF(U1708&gt;=判定条件!$C$7*T1708,"運転",IF(U1708&lt;=判定条件!$C$8*T1708,"停止","断続")))</f>
        <v>停止</v>
      </c>
      <c r="W1708" s="30" t="n">
        <v>60</v>
      </c>
      <c r="X1708" s="30" t="n">
        <v>0</v>
      </c>
      <c r="Y1708" s="30" t="str">
        <f aca="false">IF(W1708&lt;判定条件!$C$6,"判定不能",IF(X1708&gt;=判定条件!$C$7*W1708,"運転",IF(X1708&lt;=判定条件!$C$8*W1708,"停止","断続")))</f>
        <v>停止</v>
      </c>
      <c r="Z1708" s="30" t="n">
        <v>60</v>
      </c>
      <c r="AA1708" s="30" t="n">
        <v>0</v>
      </c>
      <c r="AB1708" s="30" t="str">
        <f aca="false">IF(Z1708&lt;判定条件!$C$6,"判定不能",IF(AA1708&gt;=判定条件!$C$7*Z1708,"運転",IF(AA1708&lt;=判定条件!$C$8*Z1708,"停止","断続")))</f>
        <v>停止</v>
      </c>
      <c r="AC1708" s="30" t="n">
        <v>60</v>
      </c>
      <c r="AD1708" s="30" t="n">
        <v>0</v>
      </c>
      <c r="AE1708" s="30" t="str">
        <f aca="false">IF(AC1708&lt;判定条件!$C$6,"判定不能",IF(AD1708&gt;=判定条件!$C$7*AC1708,"運転",IF(AD1708&lt;=判定条件!$C$8*AC1708,"停止","断続")))</f>
        <v>停止</v>
      </c>
      <c r="AF1708" s="30" t="n">
        <v>60</v>
      </c>
      <c r="AG1708" s="30" t="n">
        <v>0</v>
      </c>
      <c r="AH1708" s="30" t="str">
        <f aca="false">IF(OR(P1708="判定不能",G1708="判定不能"),"判定不能",IF(AG1708&gt;=判定条件!$C$9,"利用可",IF(AND(P1708="停止",G1708="停止"),"両方停止","運転がそろわない")))</f>
        <v>両方停止</v>
      </c>
      <c r="AI1708" s="30" t="n">
        <v>60</v>
      </c>
      <c r="AJ1708" s="30" t="n">
        <v>0</v>
      </c>
      <c r="AK1708" s="30" t="str">
        <f aca="false">IF(OR(S1708="判定不能",J1708="判定不能"),"判定不能",IF(AJ1708&gt;=判定条件!$C$9,"利用可",IF(AND(S1708="停止",J1708="停止"),"両方停止","運転がそろわない")))</f>
        <v>両方停止</v>
      </c>
      <c r="AL1708" s="30" t="n">
        <v>60</v>
      </c>
      <c r="AM1708" s="30" t="n">
        <v>0</v>
      </c>
      <c r="AN1708" s="30" t="str">
        <f aca="false">IF(OR(V1708="判定不能",M1708="判定不能"),"判定不能",IF(AM1708&gt;=判定条件!$C$9,"利用可",IF(AND(V1708="停止",M1708="停止"),"両方停止","運転がそろわない")))</f>
        <v>両方停止</v>
      </c>
      <c r="AO1708" s="30" t="n">
        <v>60</v>
      </c>
      <c r="AP1708" s="30" t="n">
        <v>0</v>
      </c>
      <c r="AQ1708" s="30" t="str">
        <f aca="false">IF(OR(Y1708="判定不能",G1708="判定不能"),"判定不能",IF(AP1708&gt;=判定条件!$C$9,"利用可",IF(AND(Y1708="停止",G1708="停止"),"両方停止","運転がそろわない")))</f>
        <v>両方停止</v>
      </c>
      <c r="AR1708" s="30" t="n">
        <v>60</v>
      </c>
      <c r="AS1708" s="30" t="n">
        <v>0</v>
      </c>
      <c r="AT1708" s="30" t="str">
        <f aca="false">IF(OR(AB1708="判定不能",J1708="判定不能"),"判定不能",IF(AS1708&gt;=判定条件!$C$9,"利用可",IF(AND(AB1708="停止",J1708="停止"),"両方停止","運転がそろわない")))</f>
        <v>両方停止</v>
      </c>
      <c r="AU1708" s="30" t="n">
        <v>60</v>
      </c>
      <c r="AV1708" s="30" t="n">
        <v>0</v>
      </c>
      <c r="AW1708" s="30" t="str">
        <f aca="false">IF(OR(AE1708="判定不能",M1708="判定不能"),"判定不能",IF(AV1708&gt;=判定条件!$C$9,"利用可",IF(AND(AE1708="停止",M1708="停止"),"両方停止","運転がそろわない")))</f>
        <v>両方停止</v>
      </c>
      <c r="AX1708" s="30" t="str">
        <f aca="false">IF(AND(AH1708="利用可",AK1708="利用可",AN1708="利用可"),"利用可","不可")</f>
        <v>不可</v>
      </c>
      <c r="AY1708" s="30" t="str">
        <f aca="false">IF(AND(AQ1708="利用可",AT1708="利用可",AW1708="利用可"),"利用可","不可")</f>
        <v>不可</v>
      </c>
    </row>
    <row r="1709" customFormat="false" ht="15" hidden="false" customHeight="false" outlineLevel="0" collapsed="false">
      <c r="A1709" s="29" t="n">
        <v>46303</v>
      </c>
      <c r="B1709" s="30" t="n">
        <v>2</v>
      </c>
      <c r="C1709" s="31" t="s">
        <v>61</v>
      </c>
      <c r="D1709" s="31" t="s">
        <v>59</v>
      </c>
      <c r="E1709" s="30" t="n">
        <v>60</v>
      </c>
      <c r="F1709" s="30" t="n">
        <v>0</v>
      </c>
      <c r="G1709" s="30" t="str">
        <f aca="false">IF(E1709&lt;判定条件!$C$6,"判定不能",IF(F1709&gt;=判定条件!$C$7*E1709,"運転",IF(F1709&lt;=判定条件!$C$8*E1709,"停止","断続")))</f>
        <v>停止</v>
      </c>
      <c r="H1709" s="30" t="n">
        <v>60</v>
      </c>
      <c r="I1709" s="30" t="n">
        <v>0</v>
      </c>
      <c r="J1709" s="30" t="str">
        <f aca="false">IF(H1709&lt;判定条件!$C$6,"判定不能",IF(I1709&gt;=判定条件!$C$7*H1709,"運転",IF(I1709&lt;=判定条件!$C$8*H1709,"停止","断続")))</f>
        <v>停止</v>
      </c>
      <c r="K1709" s="30" t="n">
        <v>60</v>
      </c>
      <c r="L1709" s="30" t="n">
        <v>0</v>
      </c>
      <c r="M1709" s="30" t="str">
        <f aca="false">IF(K1709&lt;判定条件!$C$6,"判定不能",IF(L1709&gt;=判定条件!$C$7*K1709,"運転",IF(L1709&lt;=判定条件!$C$8*K1709,"停止","断続")))</f>
        <v>停止</v>
      </c>
      <c r="N1709" s="30" t="n">
        <v>60</v>
      </c>
      <c r="O1709" s="30" t="n">
        <v>0</v>
      </c>
      <c r="P1709" s="30" t="str">
        <f aca="false">IF(N1709&lt;判定条件!$C$6,"判定不能",IF(O1709&gt;=判定条件!$C$7*N1709,"運転",IF(O1709&lt;=判定条件!$C$8*N1709,"停止","断続")))</f>
        <v>停止</v>
      </c>
      <c r="Q1709" s="30" t="n">
        <v>60</v>
      </c>
      <c r="R1709" s="30" t="n">
        <v>0</v>
      </c>
      <c r="S1709" s="30" t="str">
        <f aca="false">IF(Q1709&lt;判定条件!$C$6,"判定不能",IF(R1709&gt;=判定条件!$C$7*Q1709,"運転",IF(R1709&lt;=判定条件!$C$8*Q1709,"停止","断続")))</f>
        <v>停止</v>
      </c>
      <c r="T1709" s="30" t="n">
        <v>60</v>
      </c>
      <c r="U1709" s="30" t="n">
        <v>0</v>
      </c>
      <c r="V1709" s="30" t="str">
        <f aca="false">IF(T1709&lt;判定条件!$C$6,"判定不能",IF(U1709&gt;=判定条件!$C$7*T1709,"運転",IF(U1709&lt;=判定条件!$C$8*T1709,"停止","断続")))</f>
        <v>停止</v>
      </c>
      <c r="W1709" s="30" t="n">
        <v>60</v>
      </c>
      <c r="X1709" s="30" t="n">
        <v>0</v>
      </c>
      <c r="Y1709" s="30" t="str">
        <f aca="false">IF(W1709&lt;判定条件!$C$6,"判定不能",IF(X1709&gt;=判定条件!$C$7*W1709,"運転",IF(X1709&lt;=判定条件!$C$8*W1709,"停止","断続")))</f>
        <v>停止</v>
      </c>
      <c r="Z1709" s="30" t="n">
        <v>60</v>
      </c>
      <c r="AA1709" s="30" t="n">
        <v>0</v>
      </c>
      <c r="AB1709" s="30" t="str">
        <f aca="false">IF(Z1709&lt;判定条件!$C$6,"判定不能",IF(AA1709&gt;=判定条件!$C$7*Z1709,"運転",IF(AA1709&lt;=判定条件!$C$8*Z1709,"停止","断続")))</f>
        <v>停止</v>
      </c>
      <c r="AC1709" s="30" t="n">
        <v>60</v>
      </c>
      <c r="AD1709" s="30" t="n">
        <v>0</v>
      </c>
      <c r="AE1709" s="30" t="str">
        <f aca="false">IF(AC1709&lt;判定条件!$C$6,"判定不能",IF(AD1709&gt;=判定条件!$C$7*AC1709,"運転",IF(AD1709&lt;=判定条件!$C$8*AC1709,"停止","断続")))</f>
        <v>停止</v>
      </c>
      <c r="AF1709" s="30" t="n">
        <v>60</v>
      </c>
      <c r="AG1709" s="30" t="n">
        <v>0</v>
      </c>
      <c r="AH1709" s="30" t="str">
        <f aca="false">IF(OR(P1709="判定不能",G1709="判定不能"),"判定不能",IF(AG1709&gt;=判定条件!$C$9,"利用可",IF(AND(P1709="停止",G1709="停止"),"両方停止","運転がそろわない")))</f>
        <v>両方停止</v>
      </c>
      <c r="AI1709" s="30" t="n">
        <v>60</v>
      </c>
      <c r="AJ1709" s="30" t="n">
        <v>0</v>
      </c>
      <c r="AK1709" s="30" t="str">
        <f aca="false">IF(OR(S1709="判定不能",J1709="判定不能"),"判定不能",IF(AJ1709&gt;=判定条件!$C$9,"利用可",IF(AND(S1709="停止",J1709="停止"),"両方停止","運転がそろわない")))</f>
        <v>両方停止</v>
      </c>
      <c r="AL1709" s="30" t="n">
        <v>60</v>
      </c>
      <c r="AM1709" s="30" t="n">
        <v>0</v>
      </c>
      <c r="AN1709" s="30" t="str">
        <f aca="false">IF(OR(V1709="判定不能",M1709="判定不能"),"判定不能",IF(AM1709&gt;=判定条件!$C$9,"利用可",IF(AND(V1709="停止",M1709="停止"),"両方停止","運転がそろわない")))</f>
        <v>両方停止</v>
      </c>
      <c r="AO1709" s="30" t="n">
        <v>60</v>
      </c>
      <c r="AP1709" s="30" t="n">
        <v>0</v>
      </c>
      <c r="AQ1709" s="30" t="str">
        <f aca="false">IF(OR(Y1709="判定不能",G1709="判定不能"),"判定不能",IF(AP1709&gt;=判定条件!$C$9,"利用可",IF(AND(Y1709="停止",G1709="停止"),"両方停止","運転がそろわない")))</f>
        <v>両方停止</v>
      </c>
      <c r="AR1709" s="30" t="n">
        <v>60</v>
      </c>
      <c r="AS1709" s="30" t="n">
        <v>0</v>
      </c>
      <c r="AT1709" s="30" t="str">
        <f aca="false">IF(OR(AB1709="判定不能",J1709="判定不能"),"判定不能",IF(AS1709&gt;=判定条件!$C$9,"利用可",IF(AND(AB1709="停止",J1709="停止"),"両方停止","運転がそろわない")))</f>
        <v>両方停止</v>
      </c>
      <c r="AU1709" s="30" t="n">
        <v>60</v>
      </c>
      <c r="AV1709" s="30" t="n">
        <v>0</v>
      </c>
      <c r="AW1709" s="30" t="str">
        <f aca="false">IF(OR(AE1709="判定不能",M1709="判定不能"),"判定不能",IF(AV1709&gt;=判定条件!$C$9,"利用可",IF(AND(AE1709="停止",M1709="停止"),"両方停止","運転がそろわない")))</f>
        <v>両方停止</v>
      </c>
      <c r="AX1709" s="30" t="str">
        <f aca="false">IF(AND(AH1709="利用可",AK1709="利用可",AN1709="利用可"),"利用可","不可")</f>
        <v>不可</v>
      </c>
      <c r="AY1709" s="30" t="str">
        <f aca="false">IF(AND(AQ1709="利用可",AT1709="利用可",AW1709="利用可"),"利用可","不可")</f>
        <v>不可</v>
      </c>
    </row>
    <row r="1710" customFormat="false" ht="15" hidden="false" customHeight="false" outlineLevel="0" collapsed="false">
      <c r="A1710" s="29" t="n">
        <v>46303</v>
      </c>
      <c r="B1710" s="30" t="n">
        <v>3</v>
      </c>
      <c r="C1710" s="31" t="s">
        <v>61</v>
      </c>
      <c r="D1710" s="31" t="s">
        <v>59</v>
      </c>
      <c r="E1710" s="30" t="n">
        <v>60</v>
      </c>
      <c r="F1710" s="30" t="n">
        <v>0</v>
      </c>
      <c r="G1710" s="30" t="str">
        <f aca="false">IF(E1710&lt;判定条件!$C$6,"判定不能",IF(F1710&gt;=判定条件!$C$7*E1710,"運転",IF(F1710&lt;=判定条件!$C$8*E1710,"停止","断続")))</f>
        <v>停止</v>
      </c>
      <c r="H1710" s="30" t="n">
        <v>60</v>
      </c>
      <c r="I1710" s="30" t="n">
        <v>0</v>
      </c>
      <c r="J1710" s="30" t="str">
        <f aca="false">IF(H1710&lt;判定条件!$C$6,"判定不能",IF(I1710&gt;=判定条件!$C$7*H1710,"運転",IF(I1710&lt;=判定条件!$C$8*H1710,"停止","断続")))</f>
        <v>停止</v>
      </c>
      <c r="K1710" s="30" t="n">
        <v>60</v>
      </c>
      <c r="L1710" s="30" t="n">
        <v>0</v>
      </c>
      <c r="M1710" s="30" t="str">
        <f aca="false">IF(K1710&lt;判定条件!$C$6,"判定不能",IF(L1710&gt;=判定条件!$C$7*K1710,"運転",IF(L1710&lt;=判定条件!$C$8*K1710,"停止","断続")))</f>
        <v>停止</v>
      </c>
      <c r="N1710" s="30" t="n">
        <v>60</v>
      </c>
      <c r="O1710" s="30" t="n">
        <v>0</v>
      </c>
      <c r="P1710" s="30" t="str">
        <f aca="false">IF(N1710&lt;判定条件!$C$6,"判定不能",IF(O1710&gt;=判定条件!$C$7*N1710,"運転",IF(O1710&lt;=判定条件!$C$8*N1710,"停止","断続")))</f>
        <v>停止</v>
      </c>
      <c r="Q1710" s="30" t="n">
        <v>60</v>
      </c>
      <c r="R1710" s="30" t="n">
        <v>0</v>
      </c>
      <c r="S1710" s="30" t="str">
        <f aca="false">IF(Q1710&lt;判定条件!$C$6,"判定不能",IF(R1710&gt;=判定条件!$C$7*Q1710,"運転",IF(R1710&lt;=判定条件!$C$8*Q1710,"停止","断続")))</f>
        <v>停止</v>
      </c>
      <c r="T1710" s="30" t="n">
        <v>60</v>
      </c>
      <c r="U1710" s="30" t="n">
        <v>0</v>
      </c>
      <c r="V1710" s="30" t="str">
        <f aca="false">IF(T1710&lt;判定条件!$C$6,"判定不能",IF(U1710&gt;=判定条件!$C$7*T1710,"運転",IF(U1710&lt;=判定条件!$C$8*T1710,"停止","断続")))</f>
        <v>停止</v>
      </c>
      <c r="W1710" s="30" t="n">
        <v>60</v>
      </c>
      <c r="X1710" s="30" t="n">
        <v>0</v>
      </c>
      <c r="Y1710" s="30" t="str">
        <f aca="false">IF(W1710&lt;判定条件!$C$6,"判定不能",IF(X1710&gt;=判定条件!$C$7*W1710,"運転",IF(X1710&lt;=判定条件!$C$8*W1710,"停止","断続")))</f>
        <v>停止</v>
      </c>
      <c r="Z1710" s="30" t="n">
        <v>60</v>
      </c>
      <c r="AA1710" s="30" t="n">
        <v>0</v>
      </c>
      <c r="AB1710" s="30" t="str">
        <f aca="false">IF(Z1710&lt;判定条件!$C$6,"判定不能",IF(AA1710&gt;=判定条件!$C$7*Z1710,"運転",IF(AA1710&lt;=判定条件!$C$8*Z1710,"停止","断続")))</f>
        <v>停止</v>
      </c>
      <c r="AC1710" s="30" t="n">
        <v>60</v>
      </c>
      <c r="AD1710" s="30" t="n">
        <v>0</v>
      </c>
      <c r="AE1710" s="30" t="str">
        <f aca="false">IF(AC1710&lt;判定条件!$C$6,"判定不能",IF(AD1710&gt;=判定条件!$C$7*AC1710,"運転",IF(AD1710&lt;=判定条件!$C$8*AC1710,"停止","断続")))</f>
        <v>停止</v>
      </c>
      <c r="AF1710" s="30" t="n">
        <v>60</v>
      </c>
      <c r="AG1710" s="30" t="n">
        <v>0</v>
      </c>
      <c r="AH1710" s="30" t="str">
        <f aca="false">IF(OR(P1710="判定不能",G1710="判定不能"),"判定不能",IF(AG1710&gt;=判定条件!$C$9,"利用可",IF(AND(P1710="停止",G1710="停止"),"両方停止","運転がそろわない")))</f>
        <v>両方停止</v>
      </c>
      <c r="AI1710" s="30" t="n">
        <v>60</v>
      </c>
      <c r="AJ1710" s="30" t="n">
        <v>0</v>
      </c>
      <c r="AK1710" s="30" t="str">
        <f aca="false">IF(OR(S1710="判定不能",J1710="判定不能"),"判定不能",IF(AJ1710&gt;=判定条件!$C$9,"利用可",IF(AND(S1710="停止",J1710="停止"),"両方停止","運転がそろわない")))</f>
        <v>両方停止</v>
      </c>
      <c r="AL1710" s="30" t="n">
        <v>60</v>
      </c>
      <c r="AM1710" s="30" t="n">
        <v>0</v>
      </c>
      <c r="AN1710" s="30" t="str">
        <f aca="false">IF(OR(V1710="判定不能",M1710="判定不能"),"判定不能",IF(AM1710&gt;=判定条件!$C$9,"利用可",IF(AND(V1710="停止",M1710="停止"),"両方停止","運転がそろわない")))</f>
        <v>両方停止</v>
      </c>
      <c r="AO1710" s="30" t="n">
        <v>60</v>
      </c>
      <c r="AP1710" s="30" t="n">
        <v>0</v>
      </c>
      <c r="AQ1710" s="30" t="str">
        <f aca="false">IF(OR(Y1710="判定不能",G1710="判定不能"),"判定不能",IF(AP1710&gt;=判定条件!$C$9,"利用可",IF(AND(Y1710="停止",G1710="停止"),"両方停止","運転がそろわない")))</f>
        <v>両方停止</v>
      </c>
      <c r="AR1710" s="30" t="n">
        <v>60</v>
      </c>
      <c r="AS1710" s="30" t="n">
        <v>0</v>
      </c>
      <c r="AT1710" s="30" t="str">
        <f aca="false">IF(OR(AB1710="判定不能",J1710="判定不能"),"判定不能",IF(AS1710&gt;=判定条件!$C$9,"利用可",IF(AND(AB1710="停止",J1710="停止"),"両方停止","運転がそろわない")))</f>
        <v>両方停止</v>
      </c>
      <c r="AU1710" s="30" t="n">
        <v>60</v>
      </c>
      <c r="AV1710" s="30" t="n">
        <v>0</v>
      </c>
      <c r="AW1710" s="30" t="str">
        <f aca="false">IF(OR(AE1710="判定不能",M1710="判定不能"),"判定不能",IF(AV1710&gt;=判定条件!$C$9,"利用可",IF(AND(AE1710="停止",M1710="停止"),"両方停止","運転がそろわない")))</f>
        <v>両方停止</v>
      </c>
      <c r="AX1710" s="30" t="str">
        <f aca="false">IF(AND(AH1710="利用可",AK1710="利用可",AN1710="利用可"),"利用可","不可")</f>
        <v>不可</v>
      </c>
      <c r="AY1710" s="30" t="str">
        <f aca="false">IF(AND(AQ1710="利用可",AT1710="利用可",AW1710="利用可"),"利用可","不可")</f>
        <v>不可</v>
      </c>
    </row>
    <row r="1711" customFormat="false" ht="15" hidden="false" customHeight="false" outlineLevel="0" collapsed="false">
      <c r="A1711" s="29" t="n">
        <v>46303</v>
      </c>
      <c r="B1711" s="30" t="n">
        <v>4</v>
      </c>
      <c r="C1711" s="31" t="s">
        <v>61</v>
      </c>
      <c r="D1711" s="31" t="s">
        <v>59</v>
      </c>
      <c r="E1711" s="30" t="n">
        <v>60</v>
      </c>
      <c r="F1711" s="30" t="n">
        <v>0</v>
      </c>
      <c r="G1711" s="30" t="str">
        <f aca="false">IF(E1711&lt;判定条件!$C$6,"判定不能",IF(F1711&gt;=判定条件!$C$7*E1711,"運転",IF(F1711&lt;=判定条件!$C$8*E1711,"停止","断続")))</f>
        <v>停止</v>
      </c>
      <c r="H1711" s="30" t="n">
        <v>60</v>
      </c>
      <c r="I1711" s="30" t="n">
        <v>0</v>
      </c>
      <c r="J1711" s="30" t="str">
        <f aca="false">IF(H1711&lt;判定条件!$C$6,"判定不能",IF(I1711&gt;=判定条件!$C$7*H1711,"運転",IF(I1711&lt;=判定条件!$C$8*H1711,"停止","断続")))</f>
        <v>停止</v>
      </c>
      <c r="K1711" s="30" t="n">
        <v>60</v>
      </c>
      <c r="L1711" s="30" t="n">
        <v>0</v>
      </c>
      <c r="M1711" s="30" t="str">
        <f aca="false">IF(K1711&lt;判定条件!$C$6,"判定不能",IF(L1711&gt;=判定条件!$C$7*K1711,"運転",IF(L1711&lt;=判定条件!$C$8*K1711,"停止","断続")))</f>
        <v>停止</v>
      </c>
      <c r="N1711" s="30" t="n">
        <v>60</v>
      </c>
      <c r="O1711" s="30" t="n">
        <v>0</v>
      </c>
      <c r="P1711" s="30" t="str">
        <f aca="false">IF(N1711&lt;判定条件!$C$6,"判定不能",IF(O1711&gt;=判定条件!$C$7*N1711,"運転",IF(O1711&lt;=判定条件!$C$8*N1711,"停止","断続")))</f>
        <v>停止</v>
      </c>
      <c r="Q1711" s="30" t="n">
        <v>60</v>
      </c>
      <c r="R1711" s="30" t="n">
        <v>0</v>
      </c>
      <c r="S1711" s="30" t="str">
        <f aca="false">IF(Q1711&lt;判定条件!$C$6,"判定不能",IF(R1711&gt;=判定条件!$C$7*Q1711,"運転",IF(R1711&lt;=判定条件!$C$8*Q1711,"停止","断続")))</f>
        <v>停止</v>
      </c>
      <c r="T1711" s="30" t="n">
        <v>60</v>
      </c>
      <c r="U1711" s="30" t="n">
        <v>0</v>
      </c>
      <c r="V1711" s="30" t="str">
        <f aca="false">IF(T1711&lt;判定条件!$C$6,"判定不能",IF(U1711&gt;=判定条件!$C$7*T1711,"運転",IF(U1711&lt;=判定条件!$C$8*T1711,"停止","断続")))</f>
        <v>停止</v>
      </c>
      <c r="W1711" s="30" t="n">
        <v>60</v>
      </c>
      <c r="X1711" s="30" t="n">
        <v>0</v>
      </c>
      <c r="Y1711" s="30" t="str">
        <f aca="false">IF(W1711&lt;判定条件!$C$6,"判定不能",IF(X1711&gt;=判定条件!$C$7*W1711,"運転",IF(X1711&lt;=判定条件!$C$8*W1711,"停止","断続")))</f>
        <v>停止</v>
      </c>
      <c r="Z1711" s="30" t="n">
        <v>60</v>
      </c>
      <c r="AA1711" s="30" t="n">
        <v>0</v>
      </c>
      <c r="AB1711" s="30" t="str">
        <f aca="false">IF(Z1711&lt;判定条件!$C$6,"判定不能",IF(AA1711&gt;=判定条件!$C$7*Z1711,"運転",IF(AA1711&lt;=判定条件!$C$8*Z1711,"停止","断続")))</f>
        <v>停止</v>
      </c>
      <c r="AC1711" s="30" t="n">
        <v>60</v>
      </c>
      <c r="AD1711" s="30" t="n">
        <v>0</v>
      </c>
      <c r="AE1711" s="30" t="str">
        <f aca="false">IF(AC1711&lt;判定条件!$C$6,"判定不能",IF(AD1711&gt;=判定条件!$C$7*AC1711,"運転",IF(AD1711&lt;=判定条件!$C$8*AC1711,"停止","断続")))</f>
        <v>停止</v>
      </c>
      <c r="AF1711" s="30" t="n">
        <v>60</v>
      </c>
      <c r="AG1711" s="30" t="n">
        <v>0</v>
      </c>
      <c r="AH1711" s="30" t="str">
        <f aca="false">IF(OR(P1711="判定不能",G1711="判定不能"),"判定不能",IF(AG1711&gt;=判定条件!$C$9,"利用可",IF(AND(P1711="停止",G1711="停止"),"両方停止","運転がそろわない")))</f>
        <v>両方停止</v>
      </c>
      <c r="AI1711" s="30" t="n">
        <v>60</v>
      </c>
      <c r="AJ1711" s="30" t="n">
        <v>0</v>
      </c>
      <c r="AK1711" s="30" t="str">
        <f aca="false">IF(OR(S1711="判定不能",J1711="判定不能"),"判定不能",IF(AJ1711&gt;=判定条件!$C$9,"利用可",IF(AND(S1711="停止",J1711="停止"),"両方停止","運転がそろわない")))</f>
        <v>両方停止</v>
      </c>
      <c r="AL1711" s="30" t="n">
        <v>60</v>
      </c>
      <c r="AM1711" s="30" t="n">
        <v>0</v>
      </c>
      <c r="AN1711" s="30" t="str">
        <f aca="false">IF(OR(V1711="判定不能",M1711="判定不能"),"判定不能",IF(AM1711&gt;=判定条件!$C$9,"利用可",IF(AND(V1711="停止",M1711="停止"),"両方停止","運転がそろわない")))</f>
        <v>両方停止</v>
      </c>
      <c r="AO1711" s="30" t="n">
        <v>60</v>
      </c>
      <c r="AP1711" s="30" t="n">
        <v>0</v>
      </c>
      <c r="AQ1711" s="30" t="str">
        <f aca="false">IF(OR(Y1711="判定不能",G1711="判定不能"),"判定不能",IF(AP1711&gt;=判定条件!$C$9,"利用可",IF(AND(Y1711="停止",G1711="停止"),"両方停止","運転がそろわない")))</f>
        <v>両方停止</v>
      </c>
      <c r="AR1711" s="30" t="n">
        <v>60</v>
      </c>
      <c r="AS1711" s="30" t="n">
        <v>0</v>
      </c>
      <c r="AT1711" s="30" t="str">
        <f aca="false">IF(OR(AB1711="判定不能",J1711="判定不能"),"判定不能",IF(AS1711&gt;=判定条件!$C$9,"利用可",IF(AND(AB1711="停止",J1711="停止"),"両方停止","運転がそろわない")))</f>
        <v>両方停止</v>
      </c>
      <c r="AU1711" s="30" t="n">
        <v>60</v>
      </c>
      <c r="AV1711" s="30" t="n">
        <v>0</v>
      </c>
      <c r="AW1711" s="30" t="str">
        <f aca="false">IF(OR(AE1711="判定不能",M1711="判定不能"),"判定不能",IF(AV1711&gt;=判定条件!$C$9,"利用可",IF(AND(AE1711="停止",M1711="停止"),"両方停止","運転がそろわない")))</f>
        <v>両方停止</v>
      </c>
      <c r="AX1711" s="30" t="str">
        <f aca="false">IF(AND(AH1711="利用可",AK1711="利用可",AN1711="利用可"),"利用可","不可")</f>
        <v>不可</v>
      </c>
      <c r="AY1711" s="30" t="str">
        <f aca="false">IF(AND(AQ1711="利用可",AT1711="利用可",AW1711="利用可"),"利用可","不可")</f>
        <v>不可</v>
      </c>
    </row>
    <row r="1712" customFormat="false" ht="15" hidden="false" customHeight="false" outlineLevel="0" collapsed="false">
      <c r="A1712" s="29" t="n">
        <v>46303</v>
      </c>
      <c r="B1712" s="30" t="n">
        <v>5</v>
      </c>
      <c r="C1712" s="31" t="s">
        <v>61</v>
      </c>
      <c r="D1712" s="31" t="s">
        <v>59</v>
      </c>
      <c r="E1712" s="30" t="n">
        <v>60</v>
      </c>
      <c r="F1712" s="30" t="n">
        <v>0</v>
      </c>
      <c r="G1712" s="30" t="str">
        <f aca="false">IF(E1712&lt;判定条件!$C$6,"判定不能",IF(F1712&gt;=判定条件!$C$7*E1712,"運転",IF(F1712&lt;=判定条件!$C$8*E1712,"停止","断続")))</f>
        <v>停止</v>
      </c>
      <c r="H1712" s="30" t="n">
        <v>60</v>
      </c>
      <c r="I1712" s="30" t="n">
        <v>0</v>
      </c>
      <c r="J1712" s="30" t="str">
        <f aca="false">IF(H1712&lt;判定条件!$C$6,"判定不能",IF(I1712&gt;=判定条件!$C$7*H1712,"運転",IF(I1712&lt;=判定条件!$C$8*H1712,"停止","断続")))</f>
        <v>停止</v>
      </c>
      <c r="K1712" s="30" t="n">
        <v>60</v>
      </c>
      <c r="L1712" s="30" t="n">
        <v>0</v>
      </c>
      <c r="M1712" s="30" t="str">
        <f aca="false">IF(K1712&lt;判定条件!$C$6,"判定不能",IF(L1712&gt;=判定条件!$C$7*K1712,"運転",IF(L1712&lt;=判定条件!$C$8*K1712,"停止","断続")))</f>
        <v>停止</v>
      </c>
      <c r="N1712" s="30" t="n">
        <v>60</v>
      </c>
      <c r="O1712" s="30" t="n">
        <v>0</v>
      </c>
      <c r="P1712" s="30" t="str">
        <f aca="false">IF(N1712&lt;判定条件!$C$6,"判定不能",IF(O1712&gt;=判定条件!$C$7*N1712,"運転",IF(O1712&lt;=判定条件!$C$8*N1712,"停止","断続")))</f>
        <v>停止</v>
      </c>
      <c r="Q1712" s="30" t="n">
        <v>60</v>
      </c>
      <c r="R1712" s="30" t="n">
        <v>0</v>
      </c>
      <c r="S1712" s="30" t="str">
        <f aca="false">IF(Q1712&lt;判定条件!$C$6,"判定不能",IF(R1712&gt;=判定条件!$C$7*Q1712,"運転",IF(R1712&lt;=判定条件!$C$8*Q1712,"停止","断続")))</f>
        <v>停止</v>
      </c>
      <c r="T1712" s="30" t="n">
        <v>60</v>
      </c>
      <c r="U1712" s="30" t="n">
        <v>0</v>
      </c>
      <c r="V1712" s="30" t="str">
        <f aca="false">IF(T1712&lt;判定条件!$C$6,"判定不能",IF(U1712&gt;=判定条件!$C$7*T1712,"運転",IF(U1712&lt;=判定条件!$C$8*T1712,"停止","断続")))</f>
        <v>停止</v>
      </c>
      <c r="W1712" s="30" t="n">
        <v>60</v>
      </c>
      <c r="X1712" s="30" t="n">
        <v>0</v>
      </c>
      <c r="Y1712" s="30" t="str">
        <f aca="false">IF(W1712&lt;判定条件!$C$6,"判定不能",IF(X1712&gt;=判定条件!$C$7*W1712,"運転",IF(X1712&lt;=判定条件!$C$8*W1712,"停止","断続")))</f>
        <v>停止</v>
      </c>
      <c r="Z1712" s="30" t="n">
        <v>60</v>
      </c>
      <c r="AA1712" s="30" t="n">
        <v>0</v>
      </c>
      <c r="AB1712" s="30" t="str">
        <f aca="false">IF(Z1712&lt;判定条件!$C$6,"判定不能",IF(AA1712&gt;=判定条件!$C$7*Z1712,"運転",IF(AA1712&lt;=判定条件!$C$8*Z1712,"停止","断続")))</f>
        <v>停止</v>
      </c>
      <c r="AC1712" s="30" t="n">
        <v>60</v>
      </c>
      <c r="AD1712" s="30" t="n">
        <v>0</v>
      </c>
      <c r="AE1712" s="30" t="str">
        <f aca="false">IF(AC1712&lt;判定条件!$C$6,"判定不能",IF(AD1712&gt;=判定条件!$C$7*AC1712,"運転",IF(AD1712&lt;=判定条件!$C$8*AC1712,"停止","断続")))</f>
        <v>停止</v>
      </c>
      <c r="AF1712" s="30" t="n">
        <v>60</v>
      </c>
      <c r="AG1712" s="30" t="n">
        <v>0</v>
      </c>
      <c r="AH1712" s="30" t="str">
        <f aca="false">IF(OR(P1712="判定不能",G1712="判定不能"),"判定不能",IF(AG1712&gt;=判定条件!$C$9,"利用可",IF(AND(P1712="停止",G1712="停止"),"両方停止","運転がそろわない")))</f>
        <v>両方停止</v>
      </c>
      <c r="AI1712" s="30" t="n">
        <v>60</v>
      </c>
      <c r="AJ1712" s="30" t="n">
        <v>0</v>
      </c>
      <c r="AK1712" s="30" t="str">
        <f aca="false">IF(OR(S1712="判定不能",J1712="判定不能"),"判定不能",IF(AJ1712&gt;=判定条件!$C$9,"利用可",IF(AND(S1712="停止",J1712="停止"),"両方停止","運転がそろわない")))</f>
        <v>両方停止</v>
      </c>
      <c r="AL1712" s="30" t="n">
        <v>60</v>
      </c>
      <c r="AM1712" s="30" t="n">
        <v>0</v>
      </c>
      <c r="AN1712" s="30" t="str">
        <f aca="false">IF(OR(V1712="判定不能",M1712="判定不能"),"判定不能",IF(AM1712&gt;=判定条件!$C$9,"利用可",IF(AND(V1712="停止",M1712="停止"),"両方停止","運転がそろわない")))</f>
        <v>両方停止</v>
      </c>
      <c r="AO1712" s="30" t="n">
        <v>60</v>
      </c>
      <c r="AP1712" s="30" t="n">
        <v>0</v>
      </c>
      <c r="AQ1712" s="30" t="str">
        <f aca="false">IF(OR(Y1712="判定不能",G1712="判定不能"),"判定不能",IF(AP1712&gt;=判定条件!$C$9,"利用可",IF(AND(Y1712="停止",G1712="停止"),"両方停止","運転がそろわない")))</f>
        <v>両方停止</v>
      </c>
      <c r="AR1712" s="30" t="n">
        <v>60</v>
      </c>
      <c r="AS1712" s="30" t="n">
        <v>0</v>
      </c>
      <c r="AT1712" s="30" t="str">
        <f aca="false">IF(OR(AB1712="判定不能",J1712="判定不能"),"判定不能",IF(AS1712&gt;=判定条件!$C$9,"利用可",IF(AND(AB1712="停止",J1712="停止"),"両方停止","運転がそろわない")))</f>
        <v>両方停止</v>
      </c>
      <c r="AU1712" s="30" t="n">
        <v>60</v>
      </c>
      <c r="AV1712" s="30" t="n">
        <v>0</v>
      </c>
      <c r="AW1712" s="30" t="str">
        <f aca="false">IF(OR(AE1712="判定不能",M1712="判定不能"),"判定不能",IF(AV1712&gt;=判定条件!$C$9,"利用可",IF(AND(AE1712="停止",M1712="停止"),"両方停止","運転がそろわない")))</f>
        <v>両方停止</v>
      </c>
      <c r="AX1712" s="30" t="str">
        <f aca="false">IF(AND(AH1712="利用可",AK1712="利用可",AN1712="利用可"),"利用可","不可")</f>
        <v>不可</v>
      </c>
      <c r="AY1712" s="30" t="str">
        <f aca="false">IF(AND(AQ1712="利用可",AT1712="利用可",AW1712="利用可"),"利用可","不可")</f>
        <v>不可</v>
      </c>
    </row>
    <row r="1713" customFormat="false" ht="15" hidden="false" customHeight="false" outlineLevel="0" collapsed="false">
      <c r="A1713" s="29" t="n">
        <v>46303</v>
      </c>
      <c r="B1713" s="30" t="n">
        <v>6</v>
      </c>
      <c r="C1713" s="31" t="s">
        <v>61</v>
      </c>
      <c r="D1713" s="31" t="s">
        <v>59</v>
      </c>
      <c r="E1713" s="30" t="n">
        <v>60</v>
      </c>
      <c r="F1713" s="30" t="n">
        <v>0</v>
      </c>
      <c r="G1713" s="30" t="str">
        <f aca="false">IF(E1713&lt;判定条件!$C$6,"判定不能",IF(F1713&gt;=判定条件!$C$7*E1713,"運転",IF(F1713&lt;=判定条件!$C$8*E1713,"停止","断続")))</f>
        <v>停止</v>
      </c>
      <c r="H1713" s="30" t="n">
        <v>60</v>
      </c>
      <c r="I1713" s="30" t="n">
        <v>0</v>
      </c>
      <c r="J1713" s="30" t="str">
        <f aca="false">IF(H1713&lt;判定条件!$C$6,"判定不能",IF(I1713&gt;=判定条件!$C$7*H1713,"運転",IF(I1713&lt;=判定条件!$C$8*H1713,"停止","断続")))</f>
        <v>停止</v>
      </c>
      <c r="K1713" s="30" t="n">
        <v>60</v>
      </c>
      <c r="L1713" s="30" t="n">
        <v>0</v>
      </c>
      <c r="M1713" s="30" t="str">
        <f aca="false">IF(K1713&lt;判定条件!$C$6,"判定不能",IF(L1713&gt;=判定条件!$C$7*K1713,"運転",IF(L1713&lt;=判定条件!$C$8*K1713,"停止","断続")))</f>
        <v>停止</v>
      </c>
      <c r="N1713" s="30" t="n">
        <v>60</v>
      </c>
      <c r="O1713" s="30" t="n">
        <v>0</v>
      </c>
      <c r="P1713" s="30" t="str">
        <f aca="false">IF(N1713&lt;判定条件!$C$6,"判定不能",IF(O1713&gt;=判定条件!$C$7*N1713,"運転",IF(O1713&lt;=判定条件!$C$8*N1713,"停止","断続")))</f>
        <v>停止</v>
      </c>
      <c r="Q1713" s="30" t="n">
        <v>60</v>
      </c>
      <c r="R1713" s="30" t="n">
        <v>0</v>
      </c>
      <c r="S1713" s="30" t="str">
        <f aca="false">IF(Q1713&lt;判定条件!$C$6,"判定不能",IF(R1713&gt;=判定条件!$C$7*Q1713,"運転",IF(R1713&lt;=判定条件!$C$8*Q1713,"停止","断続")))</f>
        <v>停止</v>
      </c>
      <c r="T1713" s="30" t="n">
        <v>60</v>
      </c>
      <c r="U1713" s="30" t="n">
        <v>0</v>
      </c>
      <c r="V1713" s="30" t="str">
        <f aca="false">IF(T1713&lt;判定条件!$C$6,"判定不能",IF(U1713&gt;=判定条件!$C$7*T1713,"運転",IF(U1713&lt;=判定条件!$C$8*T1713,"停止","断続")))</f>
        <v>停止</v>
      </c>
      <c r="W1713" s="30" t="n">
        <v>60</v>
      </c>
      <c r="X1713" s="30" t="n">
        <v>0</v>
      </c>
      <c r="Y1713" s="30" t="str">
        <f aca="false">IF(W1713&lt;判定条件!$C$6,"判定不能",IF(X1713&gt;=判定条件!$C$7*W1713,"運転",IF(X1713&lt;=判定条件!$C$8*W1713,"停止","断続")))</f>
        <v>停止</v>
      </c>
      <c r="Z1713" s="30" t="n">
        <v>60</v>
      </c>
      <c r="AA1713" s="30" t="n">
        <v>40</v>
      </c>
      <c r="AB1713" s="30" t="str">
        <f aca="false">IF(Z1713&lt;判定条件!$C$6,"判定不能",IF(AA1713&gt;=判定条件!$C$7*Z1713,"運転",IF(AA1713&lt;=判定条件!$C$8*Z1713,"停止","断続")))</f>
        <v>断続</v>
      </c>
      <c r="AC1713" s="30" t="n">
        <v>60</v>
      </c>
      <c r="AD1713" s="30" t="n">
        <v>41</v>
      </c>
      <c r="AE1713" s="30" t="str">
        <f aca="false">IF(AC1713&lt;判定条件!$C$6,"判定不能",IF(AD1713&gt;=判定条件!$C$7*AC1713,"運転",IF(AD1713&lt;=判定条件!$C$8*AC1713,"停止","断続")))</f>
        <v>断続</v>
      </c>
      <c r="AF1713" s="30" t="n">
        <v>60</v>
      </c>
      <c r="AG1713" s="30" t="n">
        <v>0</v>
      </c>
      <c r="AH1713" s="30" t="str">
        <f aca="false">IF(OR(P1713="判定不能",G1713="判定不能"),"判定不能",IF(AG1713&gt;=判定条件!$C$9,"利用可",IF(AND(P1713="停止",G1713="停止"),"両方停止","運転がそろわない")))</f>
        <v>両方停止</v>
      </c>
      <c r="AI1713" s="30" t="n">
        <v>60</v>
      </c>
      <c r="AJ1713" s="30" t="n">
        <v>0</v>
      </c>
      <c r="AK1713" s="30" t="str">
        <f aca="false">IF(OR(S1713="判定不能",J1713="判定不能"),"判定不能",IF(AJ1713&gt;=判定条件!$C$9,"利用可",IF(AND(S1713="停止",J1713="停止"),"両方停止","運転がそろわない")))</f>
        <v>両方停止</v>
      </c>
      <c r="AL1713" s="30" t="n">
        <v>60</v>
      </c>
      <c r="AM1713" s="30" t="n">
        <v>0</v>
      </c>
      <c r="AN1713" s="30" t="str">
        <f aca="false">IF(OR(V1713="判定不能",M1713="判定不能"),"判定不能",IF(AM1713&gt;=判定条件!$C$9,"利用可",IF(AND(V1713="停止",M1713="停止"),"両方停止","運転がそろわない")))</f>
        <v>両方停止</v>
      </c>
      <c r="AO1713" s="30" t="n">
        <v>60</v>
      </c>
      <c r="AP1713" s="30" t="n">
        <v>0</v>
      </c>
      <c r="AQ1713" s="30" t="str">
        <f aca="false">IF(OR(Y1713="判定不能",G1713="判定不能"),"判定不能",IF(AP1713&gt;=判定条件!$C$9,"利用可",IF(AND(Y1713="停止",G1713="停止"),"両方停止","運転がそろわない")))</f>
        <v>両方停止</v>
      </c>
      <c r="AR1713" s="30" t="n">
        <v>60</v>
      </c>
      <c r="AS1713" s="30" t="n">
        <v>0</v>
      </c>
      <c r="AT1713" s="30" t="str">
        <f aca="false">IF(OR(AB1713="判定不能",J1713="判定不能"),"判定不能",IF(AS1713&gt;=判定条件!$C$9,"利用可",IF(AND(AB1713="停止",J1713="停止"),"両方停止","運転がそろわない")))</f>
        <v>運転がそろわない</v>
      </c>
      <c r="AU1713" s="30" t="n">
        <v>60</v>
      </c>
      <c r="AV1713" s="30" t="n">
        <v>0</v>
      </c>
      <c r="AW1713" s="30" t="str">
        <f aca="false">IF(OR(AE1713="判定不能",M1713="判定不能"),"判定不能",IF(AV1713&gt;=判定条件!$C$9,"利用可",IF(AND(AE1713="停止",M1713="停止"),"両方停止","運転がそろわない")))</f>
        <v>運転がそろわない</v>
      </c>
      <c r="AX1713" s="30" t="str">
        <f aca="false">IF(AND(AH1713="利用可",AK1713="利用可",AN1713="利用可"),"利用可","不可")</f>
        <v>不可</v>
      </c>
      <c r="AY1713" s="30" t="str">
        <f aca="false">IF(AND(AQ1713="利用可",AT1713="利用可",AW1713="利用可"),"利用可","不可")</f>
        <v>不可</v>
      </c>
    </row>
    <row r="1714" customFormat="false" ht="15" hidden="false" customHeight="false" outlineLevel="0" collapsed="false">
      <c r="A1714" s="29" t="n">
        <v>46303</v>
      </c>
      <c r="B1714" s="30" t="n">
        <v>7</v>
      </c>
      <c r="C1714" s="31" t="s">
        <v>61</v>
      </c>
      <c r="D1714" s="31" t="s">
        <v>59</v>
      </c>
      <c r="E1714" s="30" t="n">
        <v>60</v>
      </c>
      <c r="F1714" s="30" t="n">
        <v>0</v>
      </c>
      <c r="G1714" s="30" t="str">
        <f aca="false">IF(E1714&lt;判定条件!$C$6,"判定不能",IF(F1714&gt;=判定条件!$C$7*E1714,"運転",IF(F1714&lt;=判定条件!$C$8*E1714,"停止","断続")))</f>
        <v>停止</v>
      </c>
      <c r="H1714" s="30" t="n">
        <v>60</v>
      </c>
      <c r="I1714" s="30" t="n">
        <v>0</v>
      </c>
      <c r="J1714" s="30" t="str">
        <f aca="false">IF(H1714&lt;判定条件!$C$6,"判定不能",IF(I1714&gt;=判定条件!$C$7*H1714,"運転",IF(I1714&lt;=判定条件!$C$8*H1714,"停止","断続")))</f>
        <v>停止</v>
      </c>
      <c r="K1714" s="30" t="n">
        <v>60</v>
      </c>
      <c r="L1714" s="30" t="n">
        <v>0</v>
      </c>
      <c r="M1714" s="30" t="str">
        <f aca="false">IF(K1714&lt;判定条件!$C$6,"判定不能",IF(L1714&gt;=判定条件!$C$7*K1714,"運転",IF(L1714&lt;=判定条件!$C$8*K1714,"停止","断続")))</f>
        <v>停止</v>
      </c>
      <c r="N1714" s="30" t="n">
        <v>60</v>
      </c>
      <c r="O1714" s="30" t="n">
        <v>21</v>
      </c>
      <c r="P1714" s="30" t="str">
        <f aca="false">IF(N1714&lt;判定条件!$C$6,"判定不能",IF(O1714&gt;=判定条件!$C$7*N1714,"運転",IF(O1714&lt;=判定条件!$C$8*N1714,"停止","断続")))</f>
        <v>断続</v>
      </c>
      <c r="Q1714" s="30" t="n">
        <v>60</v>
      </c>
      <c r="R1714" s="30" t="n">
        <v>31</v>
      </c>
      <c r="S1714" s="30" t="str">
        <f aca="false">IF(Q1714&lt;判定条件!$C$6,"判定不能",IF(R1714&gt;=判定条件!$C$7*Q1714,"運転",IF(R1714&lt;=判定条件!$C$8*Q1714,"停止","断続")))</f>
        <v>断続</v>
      </c>
      <c r="T1714" s="30" t="n">
        <v>60</v>
      </c>
      <c r="U1714" s="30" t="n">
        <v>7</v>
      </c>
      <c r="V1714" s="30" t="str">
        <f aca="false">IF(T1714&lt;判定条件!$C$6,"判定不能",IF(U1714&gt;=判定条件!$C$7*T1714,"運転",IF(U1714&lt;=判定条件!$C$8*T1714,"停止","断続")))</f>
        <v>停止</v>
      </c>
      <c r="W1714" s="30" t="n">
        <v>60</v>
      </c>
      <c r="X1714" s="30" t="n">
        <v>38</v>
      </c>
      <c r="Y1714" s="30" t="str">
        <f aca="false">IF(W1714&lt;判定条件!$C$6,"判定不能",IF(X1714&gt;=判定条件!$C$7*W1714,"運転",IF(X1714&lt;=判定条件!$C$8*W1714,"停止","断続")))</f>
        <v>断続</v>
      </c>
      <c r="Z1714" s="30" t="n">
        <v>60</v>
      </c>
      <c r="AA1714" s="30" t="n">
        <v>41</v>
      </c>
      <c r="AB1714" s="30" t="str">
        <f aca="false">IF(Z1714&lt;判定条件!$C$6,"判定不能",IF(AA1714&gt;=判定条件!$C$7*Z1714,"運転",IF(AA1714&lt;=判定条件!$C$8*Z1714,"停止","断続")))</f>
        <v>断続</v>
      </c>
      <c r="AC1714" s="30" t="n">
        <v>60</v>
      </c>
      <c r="AD1714" s="30" t="n">
        <v>28</v>
      </c>
      <c r="AE1714" s="30" t="str">
        <f aca="false">IF(AC1714&lt;判定条件!$C$6,"判定不能",IF(AD1714&gt;=判定条件!$C$7*AC1714,"運転",IF(AD1714&lt;=判定条件!$C$8*AC1714,"停止","断続")))</f>
        <v>断続</v>
      </c>
      <c r="AF1714" s="30" t="n">
        <v>60</v>
      </c>
      <c r="AG1714" s="30" t="n">
        <v>0</v>
      </c>
      <c r="AH1714" s="30" t="str">
        <f aca="false">IF(OR(P1714="判定不能",G1714="判定不能"),"判定不能",IF(AG1714&gt;=判定条件!$C$9,"利用可",IF(AND(P1714="停止",G1714="停止"),"両方停止","運転がそろわない")))</f>
        <v>運転がそろわない</v>
      </c>
      <c r="AI1714" s="30" t="n">
        <v>60</v>
      </c>
      <c r="AJ1714" s="30" t="n">
        <v>0</v>
      </c>
      <c r="AK1714" s="30" t="str">
        <f aca="false">IF(OR(S1714="判定不能",J1714="判定不能"),"判定不能",IF(AJ1714&gt;=判定条件!$C$9,"利用可",IF(AND(S1714="停止",J1714="停止"),"両方停止","運転がそろわない")))</f>
        <v>運転がそろわない</v>
      </c>
      <c r="AL1714" s="30" t="n">
        <v>60</v>
      </c>
      <c r="AM1714" s="30" t="n">
        <v>0</v>
      </c>
      <c r="AN1714" s="30" t="str">
        <f aca="false">IF(OR(V1714="判定不能",M1714="判定不能"),"判定不能",IF(AM1714&gt;=判定条件!$C$9,"利用可",IF(AND(V1714="停止",M1714="停止"),"両方停止","運転がそろわない")))</f>
        <v>両方停止</v>
      </c>
      <c r="AO1714" s="30" t="n">
        <v>60</v>
      </c>
      <c r="AP1714" s="30" t="n">
        <v>0</v>
      </c>
      <c r="AQ1714" s="30" t="str">
        <f aca="false">IF(OR(Y1714="判定不能",G1714="判定不能"),"判定不能",IF(AP1714&gt;=判定条件!$C$9,"利用可",IF(AND(Y1714="停止",G1714="停止"),"両方停止","運転がそろわない")))</f>
        <v>運転がそろわない</v>
      </c>
      <c r="AR1714" s="30" t="n">
        <v>60</v>
      </c>
      <c r="AS1714" s="30" t="n">
        <v>0</v>
      </c>
      <c r="AT1714" s="30" t="str">
        <f aca="false">IF(OR(AB1714="判定不能",J1714="判定不能"),"判定不能",IF(AS1714&gt;=判定条件!$C$9,"利用可",IF(AND(AB1714="停止",J1714="停止"),"両方停止","運転がそろわない")))</f>
        <v>運転がそろわない</v>
      </c>
      <c r="AU1714" s="30" t="n">
        <v>60</v>
      </c>
      <c r="AV1714" s="30" t="n">
        <v>0</v>
      </c>
      <c r="AW1714" s="30" t="str">
        <f aca="false">IF(OR(AE1714="判定不能",M1714="判定不能"),"判定不能",IF(AV1714&gt;=判定条件!$C$9,"利用可",IF(AND(AE1714="停止",M1714="停止"),"両方停止","運転がそろわない")))</f>
        <v>運転がそろわない</v>
      </c>
      <c r="AX1714" s="30" t="str">
        <f aca="false">IF(AND(AH1714="利用可",AK1714="利用可",AN1714="利用可"),"利用可","不可")</f>
        <v>不可</v>
      </c>
      <c r="AY1714" s="30" t="str">
        <f aca="false">IF(AND(AQ1714="利用可",AT1714="利用可",AW1714="利用可"),"利用可","不可")</f>
        <v>不可</v>
      </c>
    </row>
    <row r="1715" customFormat="false" ht="15" hidden="false" customHeight="false" outlineLevel="0" collapsed="false">
      <c r="A1715" s="29" t="n">
        <v>46303</v>
      </c>
      <c r="B1715" s="30" t="n">
        <v>8</v>
      </c>
      <c r="C1715" s="31" t="s">
        <v>61</v>
      </c>
      <c r="D1715" s="31" t="s">
        <v>59</v>
      </c>
      <c r="E1715" s="30" t="n">
        <v>60</v>
      </c>
      <c r="F1715" s="30" t="n">
        <v>20</v>
      </c>
      <c r="G1715" s="30" t="str">
        <f aca="false">IF(E1715&lt;判定条件!$C$6,"判定不能",IF(F1715&gt;=判定条件!$C$7*E1715,"運転",IF(F1715&lt;=判定条件!$C$8*E1715,"停止","断続")))</f>
        <v>断続</v>
      </c>
      <c r="H1715" s="30" t="n">
        <v>60</v>
      </c>
      <c r="I1715" s="30" t="n">
        <v>0</v>
      </c>
      <c r="J1715" s="30" t="str">
        <f aca="false">IF(H1715&lt;判定条件!$C$6,"判定不能",IF(I1715&gt;=判定条件!$C$7*H1715,"運転",IF(I1715&lt;=判定条件!$C$8*H1715,"停止","断続")))</f>
        <v>停止</v>
      </c>
      <c r="K1715" s="30" t="n">
        <v>60</v>
      </c>
      <c r="L1715" s="30" t="n">
        <v>0</v>
      </c>
      <c r="M1715" s="30" t="str">
        <f aca="false">IF(K1715&lt;判定条件!$C$6,"判定不能",IF(L1715&gt;=判定条件!$C$7*K1715,"運転",IF(L1715&lt;=判定条件!$C$8*K1715,"停止","断続")))</f>
        <v>停止</v>
      </c>
      <c r="N1715" s="30" t="n">
        <v>60</v>
      </c>
      <c r="O1715" s="30" t="n">
        <v>57</v>
      </c>
      <c r="P1715" s="30" t="str">
        <f aca="false">IF(N1715&lt;判定条件!$C$6,"判定不能",IF(O1715&gt;=判定条件!$C$7*N1715,"運転",IF(O1715&lt;=判定条件!$C$8*N1715,"停止","断続")))</f>
        <v>運転</v>
      </c>
      <c r="Q1715" s="30" t="n">
        <v>60</v>
      </c>
      <c r="R1715" s="30" t="n">
        <v>34</v>
      </c>
      <c r="S1715" s="30" t="str">
        <f aca="false">IF(Q1715&lt;判定条件!$C$6,"判定不能",IF(R1715&gt;=判定条件!$C$7*Q1715,"運転",IF(R1715&lt;=判定条件!$C$8*Q1715,"停止","断続")))</f>
        <v>断続</v>
      </c>
      <c r="T1715" s="30" t="n">
        <v>60</v>
      </c>
      <c r="U1715" s="30" t="n">
        <v>60</v>
      </c>
      <c r="V1715" s="30" t="str">
        <f aca="false">IF(T1715&lt;判定条件!$C$6,"判定不能",IF(U1715&gt;=判定条件!$C$7*T1715,"運転",IF(U1715&lt;=判定条件!$C$8*T1715,"停止","断続")))</f>
        <v>運転</v>
      </c>
      <c r="W1715" s="30" t="n">
        <v>60</v>
      </c>
      <c r="X1715" s="30" t="n">
        <v>60</v>
      </c>
      <c r="Y1715" s="30" t="str">
        <f aca="false">IF(W1715&lt;判定条件!$C$6,"判定不能",IF(X1715&gt;=判定条件!$C$7*W1715,"運転",IF(X1715&lt;=判定条件!$C$8*W1715,"停止","断続")))</f>
        <v>運転</v>
      </c>
      <c r="Z1715" s="30" t="n">
        <v>60</v>
      </c>
      <c r="AA1715" s="30" t="n">
        <v>60</v>
      </c>
      <c r="AB1715" s="30" t="str">
        <f aca="false">IF(Z1715&lt;判定条件!$C$6,"判定不能",IF(AA1715&gt;=判定条件!$C$7*Z1715,"運転",IF(AA1715&lt;=判定条件!$C$8*Z1715,"停止","断続")))</f>
        <v>運転</v>
      </c>
      <c r="AC1715" s="30" t="n">
        <v>60</v>
      </c>
      <c r="AD1715" s="30" t="n">
        <v>60</v>
      </c>
      <c r="AE1715" s="30" t="str">
        <f aca="false">IF(AC1715&lt;判定条件!$C$6,"判定不能",IF(AD1715&gt;=判定条件!$C$7*AC1715,"運転",IF(AD1715&lt;=判定条件!$C$8*AC1715,"停止","断続")))</f>
        <v>運転</v>
      </c>
      <c r="AF1715" s="30" t="n">
        <v>60</v>
      </c>
      <c r="AG1715" s="30" t="n">
        <v>20</v>
      </c>
      <c r="AH1715" s="30" t="str">
        <f aca="false">IF(OR(P1715="判定不能",G1715="判定不能"),"判定不能",IF(AG1715&gt;=判定条件!$C$9,"利用可",IF(AND(P1715="停止",G1715="停止"),"両方停止","運転がそろわない")))</f>
        <v>運転がそろわない</v>
      </c>
      <c r="AI1715" s="30" t="n">
        <v>60</v>
      </c>
      <c r="AJ1715" s="30" t="n">
        <v>0</v>
      </c>
      <c r="AK1715" s="30" t="str">
        <f aca="false">IF(OR(S1715="判定不能",J1715="判定不能"),"判定不能",IF(AJ1715&gt;=判定条件!$C$9,"利用可",IF(AND(S1715="停止",J1715="停止"),"両方停止","運転がそろわない")))</f>
        <v>運転がそろわない</v>
      </c>
      <c r="AL1715" s="30" t="n">
        <v>60</v>
      </c>
      <c r="AM1715" s="30" t="n">
        <v>0</v>
      </c>
      <c r="AN1715" s="30" t="str">
        <f aca="false">IF(OR(V1715="判定不能",M1715="判定不能"),"判定不能",IF(AM1715&gt;=判定条件!$C$9,"利用可",IF(AND(V1715="停止",M1715="停止"),"両方停止","運転がそろわない")))</f>
        <v>運転がそろわない</v>
      </c>
      <c r="AO1715" s="30" t="n">
        <v>60</v>
      </c>
      <c r="AP1715" s="30" t="n">
        <v>20</v>
      </c>
      <c r="AQ1715" s="30" t="str">
        <f aca="false">IF(OR(Y1715="判定不能",G1715="判定不能"),"判定不能",IF(AP1715&gt;=判定条件!$C$9,"利用可",IF(AND(Y1715="停止",G1715="停止"),"両方停止","運転がそろわない")))</f>
        <v>運転がそろわない</v>
      </c>
      <c r="AR1715" s="30" t="n">
        <v>60</v>
      </c>
      <c r="AS1715" s="30" t="n">
        <v>0</v>
      </c>
      <c r="AT1715" s="30" t="str">
        <f aca="false">IF(OR(AB1715="判定不能",J1715="判定不能"),"判定不能",IF(AS1715&gt;=判定条件!$C$9,"利用可",IF(AND(AB1715="停止",J1715="停止"),"両方停止","運転がそろわない")))</f>
        <v>運転がそろわない</v>
      </c>
      <c r="AU1715" s="30" t="n">
        <v>60</v>
      </c>
      <c r="AV1715" s="30" t="n">
        <v>0</v>
      </c>
      <c r="AW1715" s="30" t="str">
        <f aca="false">IF(OR(AE1715="判定不能",M1715="判定不能"),"判定不能",IF(AV1715&gt;=判定条件!$C$9,"利用可",IF(AND(AE1715="停止",M1715="停止"),"両方停止","運転がそろわない")))</f>
        <v>運転がそろわない</v>
      </c>
      <c r="AX1715" s="30" t="str">
        <f aca="false">IF(AND(AH1715="利用可",AK1715="利用可",AN1715="利用可"),"利用可","不可")</f>
        <v>不可</v>
      </c>
      <c r="AY1715" s="30" t="str">
        <f aca="false">IF(AND(AQ1715="利用可",AT1715="利用可",AW1715="利用可"),"利用可","不可")</f>
        <v>不可</v>
      </c>
    </row>
    <row r="1716" customFormat="false" ht="15" hidden="false" customHeight="false" outlineLevel="0" collapsed="false">
      <c r="A1716" s="29" t="n">
        <v>46303</v>
      </c>
      <c r="B1716" s="30" t="n">
        <v>9</v>
      </c>
      <c r="C1716" s="31" t="s">
        <v>61</v>
      </c>
      <c r="D1716" s="31" t="s">
        <v>59</v>
      </c>
      <c r="E1716" s="30" t="n">
        <v>60</v>
      </c>
      <c r="F1716" s="30" t="n">
        <v>37</v>
      </c>
      <c r="G1716" s="30" t="str">
        <f aca="false">IF(E1716&lt;判定条件!$C$6,"判定不能",IF(F1716&gt;=判定条件!$C$7*E1716,"運転",IF(F1716&lt;=判定条件!$C$8*E1716,"停止","断続")))</f>
        <v>断続</v>
      </c>
      <c r="H1716" s="30" t="n">
        <v>60</v>
      </c>
      <c r="I1716" s="30" t="n">
        <v>0</v>
      </c>
      <c r="J1716" s="30" t="str">
        <f aca="false">IF(H1716&lt;判定条件!$C$6,"判定不能",IF(I1716&gt;=判定条件!$C$7*H1716,"運転",IF(I1716&lt;=判定条件!$C$8*H1716,"停止","断続")))</f>
        <v>停止</v>
      </c>
      <c r="K1716" s="30" t="n">
        <v>60</v>
      </c>
      <c r="L1716" s="30" t="n">
        <v>17</v>
      </c>
      <c r="M1716" s="30" t="str">
        <f aca="false">IF(K1716&lt;判定条件!$C$6,"判定不能",IF(L1716&gt;=判定条件!$C$7*K1716,"運転",IF(L1716&lt;=判定条件!$C$8*K1716,"停止","断続")))</f>
        <v>断続</v>
      </c>
      <c r="N1716" s="30" t="n">
        <v>60</v>
      </c>
      <c r="O1716" s="30" t="n">
        <v>57</v>
      </c>
      <c r="P1716" s="30" t="str">
        <f aca="false">IF(N1716&lt;判定条件!$C$6,"判定不能",IF(O1716&gt;=判定条件!$C$7*N1716,"運転",IF(O1716&lt;=判定条件!$C$8*N1716,"停止","断続")))</f>
        <v>運転</v>
      </c>
      <c r="Q1716" s="30" t="n">
        <v>60</v>
      </c>
      <c r="R1716" s="30" t="n">
        <v>60</v>
      </c>
      <c r="S1716" s="30" t="str">
        <f aca="false">IF(Q1716&lt;判定条件!$C$6,"判定不能",IF(R1716&gt;=判定条件!$C$7*Q1716,"運転",IF(R1716&lt;=判定条件!$C$8*Q1716,"停止","断続")))</f>
        <v>運転</v>
      </c>
      <c r="T1716" s="30" t="n">
        <v>60</v>
      </c>
      <c r="U1716" s="30" t="n">
        <v>60</v>
      </c>
      <c r="V1716" s="30" t="str">
        <f aca="false">IF(T1716&lt;判定条件!$C$6,"判定不能",IF(U1716&gt;=判定条件!$C$7*T1716,"運転",IF(U1716&lt;=判定条件!$C$8*T1716,"停止","断続")))</f>
        <v>運転</v>
      </c>
      <c r="W1716" s="30" t="n">
        <v>60</v>
      </c>
      <c r="X1716" s="30" t="n">
        <v>54</v>
      </c>
      <c r="Y1716" s="30" t="str">
        <f aca="false">IF(W1716&lt;判定条件!$C$6,"判定不能",IF(X1716&gt;=判定条件!$C$7*W1716,"運転",IF(X1716&lt;=判定条件!$C$8*W1716,"停止","断続")))</f>
        <v>運転</v>
      </c>
      <c r="Z1716" s="30" t="n">
        <v>60</v>
      </c>
      <c r="AA1716" s="30" t="n">
        <v>60</v>
      </c>
      <c r="AB1716" s="30" t="str">
        <f aca="false">IF(Z1716&lt;判定条件!$C$6,"判定不能",IF(AA1716&gt;=判定条件!$C$7*Z1716,"運転",IF(AA1716&lt;=判定条件!$C$8*Z1716,"停止","断続")))</f>
        <v>運転</v>
      </c>
      <c r="AC1716" s="30" t="n">
        <v>60</v>
      </c>
      <c r="AD1716" s="30" t="n">
        <v>60</v>
      </c>
      <c r="AE1716" s="30" t="str">
        <f aca="false">IF(AC1716&lt;判定条件!$C$6,"判定不能",IF(AD1716&gt;=判定条件!$C$7*AC1716,"運転",IF(AD1716&lt;=判定条件!$C$8*AC1716,"停止","断続")))</f>
        <v>運転</v>
      </c>
      <c r="AF1716" s="30" t="n">
        <v>60</v>
      </c>
      <c r="AG1716" s="30" t="n">
        <v>34</v>
      </c>
      <c r="AH1716" s="30" t="str">
        <f aca="false">IF(OR(P1716="判定不能",G1716="判定不能"),"判定不能",IF(AG1716&gt;=判定条件!$C$9,"利用可",IF(AND(P1716="停止",G1716="停止"),"両方停止","運転がそろわない")))</f>
        <v>利用可</v>
      </c>
      <c r="AI1716" s="30" t="n">
        <v>60</v>
      </c>
      <c r="AJ1716" s="30" t="n">
        <v>0</v>
      </c>
      <c r="AK1716" s="30" t="str">
        <f aca="false">IF(OR(S1716="判定不能",J1716="判定不能"),"判定不能",IF(AJ1716&gt;=判定条件!$C$9,"利用可",IF(AND(S1716="停止",J1716="停止"),"両方停止","運転がそろわない")))</f>
        <v>運転がそろわない</v>
      </c>
      <c r="AL1716" s="30" t="n">
        <v>60</v>
      </c>
      <c r="AM1716" s="30" t="n">
        <v>17</v>
      </c>
      <c r="AN1716" s="30" t="str">
        <f aca="false">IF(OR(V1716="判定不能",M1716="判定不能"),"判定不能",IF(AM1716&gt;=判定条件!$C$9,"利用可",IF(AND(V1716="停止",M1716="停止"),"両方停止","運転がそろわない")))</f>
        <v>運転がそろわない</v>
      </c>
      <c r="AO1716" s="30" t="n">
        <v>60</v>
      </c>
      <c r="AP1716" s="30" t="n">
        <v>37</v>
      </c>
      <c r="AQ1716" s="30" t="str">
        <f aca="false">IF(OR(Y1716="判定不能",G1716="判定不能"),"判定不能",IF(AP1716&gt;=判定条件!$C$9,"利用可",IF(AND(Y1716="停止",G1716="停止"),"両方停止","運転がそろわない")))</f>
        <v>利用可</v>
      </c>
      <c r="AR1716" s="30" t="n">
        <v>60</v>
      </c>
      <c r="AS1716" s="30" t="n">
        <v>0</v>
      </c>
      <c r="AT1716" s="30" t="str">
        <f aca="false">IF(OR(AB1716="判定不能",J1716="判定不能"),"判定不能",IF(AS1716&gt;=判定条件!$C$9,"利用可",IF(AND(AB1716="停止",J1716="停止"),"両方停止","運転がそろわない")))</f>
        <v>運転がそろわない</v>
      </c>
      <c r="AU1716" s="30" t="n">
        <v>60</v>
      </c>
      <c r="AV1716" s="30" t="n">
        <v>17</v>
      </c>
      <c r="AW1716" s="30" t="str">
        <f aca="false">IF(OR(AE1716="判定不能",M1716="判定不能"),"判定不能",IF(AV1716&gt;=判定条件!$C$9,"利用可",IF(AND(AE1716="停止",M1716="停止"),"両方停止","運転がそろわない")))</f>
        <v>運転がそろわない</v>
      </c>
      <c r="AX1716" s="30" t="str">
        <f aca="false">IF(AND(AH1716="利用可",AK1716="利用可",AN1716="利用可"),"利用可","不可")</f>
        <v>不可</v>
      </c>
      <c r="AY1716" s="30" t="str">
        <f aca="false">IF(AND(AQ1716="利用可",AT1716="利用可",AW1716="利用可"),"利用可","不可")</f>
        <v>不可</v>
      </c>
    </row>
    <row r="1717" customFormat="false" ht="15" hidden="false" customHeight="false" outlineLevel="0" collapsed="false">
      <c r="A1717" s="29" t="n">
        <v>46303</v>
      </c>
      <c r="B1717" s="30" t="n">
        <v>10</v>
      </c>
      <c r="C1717" s="31" t="s">
        <v>61</v>
      </c>
      <c r="D1717" s="31" t="s">
        <v>59</v>
      </c>
      <c r="E1717" s="30" t="n">
        <v>60</v>
      </c>
      <c r="F1717" s="30" t="n">
        <v>24</v>
      </c>
      <c r="G1717" s="30" t="str">
        <f aca="false">IF(E1717&lt;判定条件!$C$6,"判定不能",IF(F1717&gt;=判定条件!$C$7*E1717,"運転",IF(F1717&lt;=判定条件!$C$8*E1717,"停止","断続")))</f>
        <v>断続</v>
      </c>
      <c r="H1717" s="30" t="n">
        <v>60</v>
      </c>
      <c r="I1717" s="30" t="n">
        <v>50</v>
      </c>
      <c r="J1717" s="30" t="str">
        <f aca="false">IF(H1717&lt;判定条件!$C$6,"判定不能",IF(I1717&gt;=判定条件!$C$7*H1717,"運転",IF(I1717&lt;=判定条件!$C$8*H1717,"停止","断続")))</f>
        <v>運転</v>
      </c>
      <c r="K1717" s="30" t="n">
        <v>60</v>
      </c>
      <c r="L1717" s="30" t="n">
        <v>60</v>
      </c>
      <c r="M1717" s="30" t="str">
        <f aca="false">IF(K1717&lt;判定条件!$C$6,"判定不能",IF(L1717&gt;=判定条件!$C$7*K1717,"運転",IF(L1717&lt;=判定条件!$C$8*K1717,"停止","断続")))</f>
        <v>運転</v>
      </c>
      <c r="N1717" s="30" t="n">
        <v>60</v>
      </c>
      <c r="O1717" s="30" t="n">
        <v>60</v>
      </c>
      <c r="P1717" s="30" t="str">
        <f aca="false">IF(N1717&lt;判定条件!$C$6,"判定不能",IF(O1717&gt;=判定条件!$C$7*N1717,"運転",IF(O1717&lt;=判定条件!$C$8*N1717,"停止","断続")))</f>
        <v>運転</v>
      </c>
      <c r="Q1717" s="30" t="n">
        <v>60</v>
      </c>
      <c r="R1717" s="30" t="n">
        <v>60</v>
      </c>
      <c r="S1717" s="30" t="str">
        <f aca="false">IF(Q1717&lt;判定条件!$C$6,"判定不能",IF(R1717&gt;=判定条件!$C$7*Q1717,"運転",IF(R1717&lt;=判定条件!$C$8*Q1717,"停止","断続")))</f>
        <v>運転</v>
      </c>
      <c r="T1717" s="30" t="n">
        <v>60</v>
      </c>
      <c r="U1717" s="30" t="n">
        <v>60</v>
      </c>
      <c r="V1717" s="30" t="str">
        <f aca="false">IF(T1717&lt;判定条件!$C$6,"判定不能",IF(U1717&gt;=判定条件!$C$7*T1717,"運転",IF(U1717&lt;=判定条件!$C$8*T1717,"停止","断続")))</f>
        <v>運転</v>
      </c>
      <c r="W1717" s="30" t="n">
        <v>60</v>
      </c>
      <c r="X1717" s="30" t="n">
        <v>60</v>
      </c>
      <c r="Y1717" s="30" t="str">
        <f aca="false">IF(W1717&lt;判定条件!$C$6,"判定不能",IF(X1717&gt;=判定条件!$C$7*W1717,"運転",IF(X1717&lt;=判定条件!$C$8*W1717,"停止","断続")))</f>
        <v>運転</v>
      </c>
      <c r="Z1717" s="30" t="n">
        <v>60</v>
      </c>
      <c r="AA1717" s="30" t="n">
        <v>60</v>
      </c>
      <c r="AB1717" s="30" t="str">
        <f aca="false">IF(Z1717&lt;判定条件!$C$6,"判定不能",IF(AA1717&gt;=判定条件!$C$7*Z1717,"運転",IF(AA1717&lt;=判定条件!$C$8*Z1717,"停止","断続")))</f>
        <v>運転</v>
      </c>
      <c r="AC1717" s="30" t="n">
        <v>60</v>
      </c>
      <c r="AD1717" s="30" t="n">
        <v>60</v>
      </c>
      <c r="AE1717" s="30" t="str">
        <f aca="false">IF(AC1717&lt;判定条件!$C$6,"判定不能",IF(AD1717&gt;=判定条件!$C$7*AC1717,"運転",IF(AD1717&lt;=判定条件!$C$8*AC1717,"停止","断続")))</f>
        <v>運転</v>
      </c>
      <c r="AF1717" s="30" t="n">
        <v>60</v>
      </c>
      <c r="AG1717" s="30" t="n">
        <v>24</v>
      </c>
      <c r="AH1717" s="30" t="str">
        <f aca="false">IF(OR(P1717="判定不能",G1717="判定不能"),"判定不能",IF(AG1717&gt;=判定条件!$C$9,"利用可",IF(AND(P1717="停止",G1717="停止"),"両方停止","運転がそろわない")))</f>
        <v>運転がそろわない</v>
      </c>
      <c r="AI1717" s="30" t="n">
        <v>60</v>
      </c>
      <c r="AJ1717" s="30" t="n">
        <v>50</v>
      </c>
      <c r="AK1717" s="30" t="str">
        <f aca="false">IF(OR(S1717="判定不能",J1717="判定不能"),"判定不能",IF(AJ1717&gt;=判定条件!$C$9,"利用可",IF(AND(S1717="停止",J1717="停止"),"両方停止","運転がそろわない")))</f>
        <v>利用可</v>
      </c>
      <c r="AL1717" s="30" t="n">
        <v>60</v>
      </c>
      <c r="AM1717" s="30" t="n">
        <v>60</v>
      </c>
      <c r="AN1717" s="30" t="str">
        <f aca="false">IF(OR(V1717="判定不能",M1717="判定不能"),"判定不能",IF(AM1717&gt;=判定条件!$C$9,"利用可",IF(AND(V1717="停止",M1717="停止"),"両方停止","運転がそろわない")))</f>
        <v>利用可</v>
      </c>
      <c r="AO1717" s="30" t="n">
        <v>60</v>
      </c>
      <c r="AP1717" s="30" t="n">
        <v>24</v>
      </c>
      <c r="AQ1717" s="30" t="str">
        <f aca="false">IF(OR(Y1717="判定不能",G1717="判定不能"),"判定不能",IF(AP1717&gt;=判定条件!$C$9,"利用可",IF(AND(Y1717="停止",G1717="停止"),"両方停止","運転がそろわない")))</f>
        <v>運転がそろわない</v>
      </c>
      <c r="AR1717" s="30" t="n">
        <v>60</v>
      </c>
      <c r="AS1717" s="30" t="n">
        <v>50</v>
      </c>
      <c r="AT1717" s="30" t="str">
        <f aca="false">IF(OR(AB1717="判定不能",J1717="判定不能"),"判定不能",IF(AS1717&gt;=判定条件!$C$9,"利用可",IF(AND(AB1717="停止",J1717="停止"),"両方停止","運転がそろわない")))</f>
        <v>利用可</v>
      </c>
      <c r="AU1717" s="30" t="n">
        <v>60</v>
      </c>
      <c r="AV1717" s="30" t="n">
        <v>60</v>
      </c>
      <c r="AW1717" s="30" t="str">
        <f aca="false">IF(OR(AE1717="判定不能",M1717="判定不能"),"判定不能",IF(AV1717&gt;=判定条件!$C$9,"利用可",IF(AND(AE1717="停止",M1717="停止"),"両方停止","運転がそろわない")))</f>
        <v>利用可</v>
      </c>
      <c r="AX1717" s="30" t="str">
        <f aca="false">IF(AND(AH1717="利用可",AK1717="利用可",AN1717="利用可"),"利用可","不可")</f>
        <v>不可</v>
      </c>
      <c r="AY1717" s="30" t="str">
        <f aca="false">IF(AND(AQ1717="利用可",AT1717="利用可",AW1717="利用可"),"利用可","不可")</f>
        <v>不可</v>
      </c>
    </row>
    <row r="1718" customFormat="false" ht="15" hidden="false" customHeight="false" outlineLevel="0" collapsed="false">
      <c r="A1718" s="29" t="n">
        <v>46303</v>
      </c>
      <c r="B1718" s="30" t="n">
        <v>11</v>
      </c>
      <c r="C1718" s="31" t="s">
        <v>61</v>
      </c>
      <c r="D1718" s="31" t="s">
        <v>59</v>
      </c>
      <c r="E1718" s="30" t="n">
        <v>60</v>
      </c>
      <c r="F1718" s="30" t="n">
        <v>52</v>
      </c>
      <c r="G1718" s="30" t="str">
        <f aca="false">IF(E1718&lt;判定条件!$C$6,"判定不能",IF(F1718&gt;=判定条件!$C$7*E1718,"運転",IF(F1718&lt;=判定条件!$C$8*E1718,"停止","断続")))</f>
        <v>運転</v>
      </c>
      <c r="H1718" s="30" t="n">
        <v>60</v>
      </c>
      <c r="I1718" s="30" t="n">
        <v>60</v>
      </c>
      <c r="J1718" s="30" t="str">
        <f aca="false">IF(H1718&lt;判定条件!$C$6,"判定不能",IF(I1718&gt;=判定条件!$C$7*H1718,"運転",IF(I1718&lt;=判定条件!$C$8*H1718,"停止","断続")))</f>
        <v>運転</v>
      </c>
      <c r="K1718" s="30" t="n">
        <v>60</v>
      </c>
      <c r="L1718" s="30" t="n">
        <v>60</v>
      </c>
      <c r="M1718" s="30" t="str">
        <f aca="false">IF(K1718&lt;判定条件!$C$6,"判定不能",IF(L1718&gt;=判定条件!$C$7*K1718,"運転",IF(L1718&lt;=判定条件!$C$8*K1718,"停止","断続")))</f>
        <v>運転</v>
      </c>
      <c r="N1718" s="30" t="n">
        <v>60</v>
      </c>
      <c r="O1718" s="30" t="n">
        <v>60</v>
      </c>
      <c r="P1718" s="30" t="str">
        <f aca="false">IF(N1718&lt;判定条件!$C$6,"判定不能",IF(O1718&gt;=判定条件!$C$7*N1718,"運転",IF(O1718&lt;=判定条件!$C$8*N1718,"停止","断続")))</f>
        <v>運転</v>
      </c>
      <c r="Q1718" s="30" t="n">
        <v>60</v>
      </c>
      <c r="R1718" s="30" t="n">
        <v>60</v>
      </c>
      <c r="S1718" s="30" t="str">
        <f aca="false">IF(Q1718&lt;判定条件!$C$6,"判定不能",IF(R1718&gt;=判定条件!$C$7*Q1718,"運転",IF(R1718&lt;=判定条件!$C$8*Q1718,"停止","断続")))</f>
        <v>運転</v>
      </c>
      <c r="T1718" s="30" t="n">
        <v>60</v>
      </c>
      <c r="U1718" s="30" t="n">
        <v>57</v>
      </c>
      <c r="V1718" s="30" t="str">
        <f aca="false">IF(T1718&lt;判定条件!$C$6,"判定不能",IF(U1718&gt;=判定条件!$C$7*T1718,"運転",IF(U1718&lt;=判定条件!$C$8*T1718,"停止","断続")))</f>
        <v>運転</v>
      </c>
      <c r="W1718" s="30" t="n">
        <v>60</v>
      </c>
      <c r="X1718" s="30" t="n">
        <v>60</v>
      </c>
      <c r="Y1718" s="30" t="str">
        <f aca="false">IF(W1718&lt;判定条件!$C$6,"判定不能",IF(X1718&gt;=判定条件!$C$7*W1718,"運転",IF(X1718&lt;=判定条件!$C$8*W1718,"停止","断続")))</f>
        <v>運転</v>
      </c>
      <c r="Z1718" s="30" t="n">
        <v>60</v>
      </c>
      <c r="AA1718" s="30" t="n">
        <v>60</v>
      </c>
      <c r="AB1718" s="30" t="str">
        <f aca="false">IF(Z1718&lt;判定条件!$C$6,"判定不能",IF(AA1718&gt;=判定条件!$C$7*Z1718,"運転",IF(AA1718&lt;=判定条件!$C$8*Z1718,"停止","断続")))</f>
        <v>運転</v>
      </c>
      <c r="AC1718" s="30" t="n">
        <v>60</v>
      </c>
      <c r="AD1718" s="30" t="n">
        <v>55</v>
      </c>
      <c r="AE1718" s="30" t="str">
        <f aca="false">IF(AC1718&lt;判定条件!$C$6,"判定不能",IF(AD1718&gt;=判定条件!$C$7*AC1718,"運転",IF(AD1718&lt;=判定条件!$C$8*AC1718,"停止","断続")))</f>
        <v>運転</v>
      </c>
      <c r="AF1718" s="30" t="n">
        <v>60</v>
      </c>
      <c r="AG1718" s="30" t="n">
        <v>52</v>
      </c>
      <c r="AH1718" s="30" t="str">
        <f aca="false">IF(OR(P1718="判定不能",G1718="判定不能"),"判定不能",IF(AG1718&gt;=判定条件!$C$9,"利用可",IF(AND(P1718="停止",G1718="停止"),"両方停止","運転がそろわない")))</f>
        <v>利用可</v>
      </c>
      <c r="AI1718" s="30" t="n">
        <v>60</v>
      </c>
      <c r="AJ1718" s="30" t="n">
        <v>60</v>
      </c>
      <c r="AK1718" s="30" t="str">
        <f aca="false">IF(OR(S1718="判定不能",J1718="判定不能"),"判定不能",IF(AJ1718&gt;=判定条件!$C$9,"利用可",IF(AND(S1718="停止",J1718="停止"),"両方停止","運転がそろわない")))</f>
        <v>利用可</v>
      </c>
      <c r="AL1718" s="30" t="n">
        <v>60</v>
      </c>
      <c r="AM1718" s="30" t="n">
        <v>57</v>
      </c>
      <c r="AN1718" s="30" t="str">
        <f aca="false">IF(OR(V1718="判定不能",M1718="判定不能"),"判定不能",IF(AM1718&gt;=判定条件!$C$9,"利用可",IF(AND(V1718="停止",M1718="停止"),"両方停止","運転がそろわない")))</f>
        <v>利用可</v>
      </c>
      <c r="AO1718" s="30" t="n">
        <v>60</v>
      </c>
      <c r="AP1718" s="30" t="n">
        <v>52</v>
      </c>
      <c r="AQ1718" s="30" t="str">
        <f aca="false">IF(OR(Y1718="判定不能",G1718="判定不能"),"判定不能",IF(AP1718&gt;=判定条件!$C$9,"利用可",IF(AND(Y1718="停止",G1718="停止"),"両方停止","運転がそろわない")))</f>
        <v>利用可</v>
      </c>
      <c r="AR1718" s="30" t="n">
        <v>60</v>
      </c>
      <c r="AS1718" s="30" t="n">
        <v>60</v>
      </c>
      <c r="AT1718" s="30" t="str">
        <f aca="false">IF(OR(AB1718="判定不能",J1718="判定不能"),"判定不能",IF(AS1718&gt;=判定条件!$C$9,"利用可",IF(AND(AB1718="停止",J1718="停止"),"両方停止","運転がそろわない")))</f>
        <v>利用可</v>
      </c>
      <c r="AU1718" s="30" t="n">
        <v>60</v>
      </c>
      <c r="AV1718" s="30" t="n">
        <v>55</v>
      </c>
      <c r="AW1718" s="30" t="str">
        <f aca="false">IF(OR(AE1718="判定不能",M1718="判定不能"),"判定不能",IF(AV1718&gt;=判定条件!$C$9,"利用可",IF(AND(AE1718="停止",M1718="停止"),"両方停止","運転がそろわない")))</f>
        <v>利用可</v>
      </c>
      <c r="AX1718" s="30" t="str">
        <f aca="false">IF(AND(AH1718="利用可",AK1718="利用可",AN1718="利用可"),"利用可","不可")</f>
        <v>利用可</v>
      </c>
      <c r="AY1718" s="30" t="str">
        <f aca="false">IF(AND(AQ1718="利用可",AT1718="利用可",AW1718="利用可"),"利用可","不可")</f>
        <v>利用可</v>
      </c>
    </row>
    <row r="1719" customFormat="false" ht="15" hidden="false" customHeight="false" outlineLevel="0" collapsed="false">
      <c r="A1719" s="29" t="n">
        <v>46303</v>
      </c>
      <c r="B1719" s="30" t="n">
        <v>12</v>
      </c>
      <c r="C1719" s="31" t="s">
        <v>61</v>
      </c>
      <c r="D1719" s="31" t="s">
        <v>59</v>
      </c>
      <c r="E1719" s="30" t="n">
        <v>60</v>
      </c>
      <c r="F1719" s="30" t="n">
        <v>60</v>
      </c>
      <c r="G1719" s="30" t="str">
        <f aca="false">IF(E1719&lt;判定条件!$C$6,"判定不能",IF(F1719&gt;=判定条件!$C$7*E1719,"運転",IF(F1719&lt;=判定条件!$C$8*E1719,"停止","断続")))</f>
        <v>運転</v>
      </c>
      <c r="H1719" s="30" t="n">
        <v>60</v>
      </c>
      <c r="I1719" s="30" t="n">
        <v>60</v>
      </c>
      <c r="J1719" s="30" t="str">
        <f aca="false">IF(H1719&lt;判定条件!$C$6,"判定不能",IF(I1719&gt;=判定条件!$C$7*H1719,"運転",IF(I1719&lt;=判定条件!$C$8*H1719,"停止","断続")))</f>
        <v>運転</v>
      </c>
      <c r="K1719" s="30" t="n">
        <v>60</v>
      </c>
      <c r="L1719" s="30" t="n">
        <v>44</v>
      </c>
      <c r="M1719" s="30" t="str">
        <f aca="false">IF(K1719&lt;判定条件!$C$6,"判定不能",IF(L1719&gt;=判定条件!$C$7*K1719,"運転",IF(L1719&lt;=判定条件!$C$8*K1719,"停止","断続")))</f>
        <v>断続</v>
      </c>
      <c r="N1719" s="30" t="n">
        <v>60</v>
      </c>
      <c r="O1719" s="30" t="n">
        <v>60</v>
      </c>
      <c r="P1719" s="30" t="str">
        <f aca="false">IF(N1719&lt;判定条件!$C$6,"判定不能",IF(O1719&gt;=判定条件!$C$7*N1719,"運転",IF(O1719&lt;=判定条件!$C$8*N1719,"停止","断続")))</f>
        <v>運転</v>
      </c>
      <c r="Q1719" s="30" t="n">
        <v>60</v>
      </c>
      <c r="R1719" s="30" t="n">
        <v>60</v>
      </c>
      <c r="S1719" s="30" t="str">
        <f aca="false">IF(Q1719&lt;判定条件!$C$6,"判定不能",IF(R1719&gt;=判定条件!$C$7*Q1719,"運転",IF(R1719&lt;=判定条件!$C$8*Q1719,"停止","断続")))</f>
        <v>運転</v>
      </c>
      <c r="T1719" s="30" t="n">
        <v>60</v>
      </c>
      <c r="U1719" s="30" t="n">
        <v>60</v>
      </c>
      <c r="V1719" s="30" t="str">
        <f aca="false">IF(T1719&lt;判定条件!$C$6,"判定不能",IF(U1719&gt;=判定条件!$C$7*T1719,"運転",IF(U1719&lt;=判定条件!$C$8*T1719,"停止","断続")))</f>
        <v>運転</v>
      </c>
      <c r="W1719" s="30" t="n">
        <v>60</v>
      </c>
      <c r="X1719" s="30" t="n">
        <v>60</v>
      </c>
      <c r="Y1719" s="30" t="str">
        <f aca="false">IF(W1719&lt;判定条件!$C$6,"判定不能",IF(X1719&gt;=判定条件!$C$7*W1719,"運転",IF(X1719&lt;=判定条件!$C$8*W1719,"停止","断続")))</f>
        <v>運転</v>
      </c>
      <c r="Z1719" s="30" t="n">
        <v>60</v>
      </c>
      <c r="AA1719" s="30" t="n">
        <v>60</v>
      </c>
      <c r="AB1719" s="30" t="str">
        <f aca="false">IF(Z1719&lt;判定条件!$C$6,"判定不能",IF(AA1719&gt;=判定条件!$C$7*Z1719,"運転",IF(AA1719&lt;=判定条件!$C$8*Z1719,"停止","断続")))</f>
        <v>運転</v>
      </c>
      <c r="AC1719" s="30" t="n">
        <v>60</v>
      </c>
      <c r="AD1719" s="30" t="n">
        <v>54</v>
      </c>
      <c r="AE1719" s="30" t="str">
        <f aca="false">IF(AC1719&lt;判定条件!$C$6,"判定不能",IF(AD1719&gt;=判定条件!$C$7*AC1719,"運転",IF(AD1719&lt;=判定条件!$C$8*AC1719,"停止","断続")))</f>
        <v>運転</v>
      </c>
      <c r="AF1719" s="30" t="n">
        <v>60</v>
      </c>
      <c r="AG1719" s="30" t="n">
        <v>60</v>
      </c>
      <c r="AH1719" s="30" t="str">
        <f aca="false">IF(OR(P1719="判定不能",G1719="判定不能"),"判定不能",IF(AG1719&gt;=判定条件!$C$9,"利用可",IF(AND(P1719="停止",G1719="停止"),"両方停止","運転がそろわない")))</f>
        <v>利用可</v>
      </c>
      <c r="AI1719" s="30" t="n">
        <v>60</v>
      </c>
      <c r="AJ1719" s="30" t="n">
        <v>60</v>
      </c>
      <c r="AK1719" s="30" t="str">
        <f aca="false">IF(OR(S1719="判定不能",J1719="判定不能"),"判定不能",IF(AJ1719&gt;=判定条件!$C$9,"利用可",IF(AND(S1719="停止",J1719="停止"),"両方停止","運転がそろわない")))</f>
        <v>利用可</v>
      </c>
      <c r="AL1719" s="30" t="n">
        <v>60</v>
      </c>
      <c r="AM1719" s="30" t="n">
        <v>44</v>
      </c>
      <c r="AN1719" s="30" t="str">
        <f aca="false">IF(OR(V1719="判定不能",M1719="判定不能"),"判定不能",IF(AM1719&gt;=判定条件!$C$9,"利用可",IF(AND(V1719="停止",M1719="停止"),"両方停止","運転がそろわない")))</f>
        <v>利用可</v>
      </c>
      <c r="AO1719" s="30" t="n">
        <v>60</v>
      </c>
      <c r="AP1719" s="30" t="n">
        <v>60</v>
      </c>
      <c r="AQ1719" s="30" t="str">
        <f aca="false">IF(OR(Y1719="判定不能",G1719="判定不能"),"判定不能",IF(AP1719&gt;=判定条件!$C$9,"利用可",IF(AND(Y1719="停止",G1719="停止"),"両方停止","運転がそろわない")))</f>
        <v>利用可</v>
      </c>
      <c r="AR1719" s="30" t="n">
        <v>60</v>
      </c>
      <c r="AS1719" s="30" t="n">
        <v>60</v>
      </c>
      <c r="AT1719" s="30" t="str">
        <f aca="false">IF(OR(AB1719="判定不能",J1719="判定不能"),"判定不能",IF(AS1719&gt;=判定条件!$C$9,"利用可",IF(AND(AB1719="停止",J1719="停止"),"両方停止","運転がそろわない")))</f>
        <v>利用可</v>
      </c>
      <c r="AU1719" s="30" t="n">
        <v>60</v>
      </c>
      <c r="AV1719" s="30" t="n">
        <v>38</v>
      </c>
      <c r="AW1719" s="30" t="str">
        <f aca="false">IF(OR(AE1719="判定不能",M1719="判定不能"),"判定不能",IF(AV1719&gt;=判定条件!$C$9,"利用可",IF(AND(AE1719="停止",M1719="停止"),"両方停止","運転がそろわない")))</f>
        <v>利用可</v>
      </c>
      <c r="AX1719" s="30" t="str">
        <f aca="false">IF(AND(AH1719="利用可",AK1719="利用可",AN1719="利用可"),"利用可","不可")</f>
        <v>利用可</v>
      </c>
      <c r="AY1719" s="30" t="str">
        <f aca="false">IF(AND(AQ1719="利用可",AT1719="利用可",AW1719="利用可"),"利用可","不可")</f>
        <v>利用可</v>
      </c>
    </row>
    <row r="1720" customFormat="false" ht="15" hidden="false" customHeight="false" outlineLevel="0" collapsed="false">
      <c r="A1720" s="29" t="n">
        <v>46303</v>
      </c>
      <c r="B1720" s="30" t="n">
        <v>13</v>
      </c>
      <c r="C1720" s="31" t="s">
        <v>61</v>
      </c>
      <c r="D1720" s="31" t="s">
        <v>59</v>
      </c>
      <c r="E1720" s="30" t="n">
        <v>60</v>
      </c>
      <c r="F1720" s="30" t="n">
        <v>60</v>
      </c>
      <c r="G1720" s="30" t="str">
        <f aca="false">IF(E1720&lt;判定条件!$C$6,"判定不能",IF(F1720&gt;=判定条件!$C$7*E1720,"運転",IF(F1720&lt;=判定条件!$C$8*E1720,"停止","断続")))</f>
        <v>運転</v>
      </c>
      <c r="H1720" s="30" t="n">
        <v>60</v>
      </c>
      <c r="I1720" s="30" t="n">
        <v>60</v>
      </c>
      <c r="J1720" s="30" t="str">
        <f aca="false">IF(H1720&lt;判定条件!$C$6,"判定不能",IF(I1720&gt;=判定条件!$C$7*H1720,"運転",IF(I1720&lt;=判定条件!$C$8*H1720,"停止","断続")))</f>
        <v>運転</v>
      </c>
      <c r="K1720" s="30" t="n">
        <v>60</v>
      </c>
      <c r="L1720" s="30" t="n">
        <v>0</v>
      </c>
      <c r="M1720" s="30" t="str">
        <f aca="false">IF(K1720&lt;判定条件!$C$6,"判定不能",IF(L1720&gt;=判定条件!$C$7*K1720,"運転",IF(L1720&lt;=判定条件!$C$8*K1720,"停止","断続")))</f>
        <v>停止</v>
      </c>
      <c r="N1720" s="30" t="n">
        <v>60</v>
      </c>
      <c r="O1720" s="30" t="n">
        <v>60</v>
      </c>
      <c r="P1720" s="30" t="str">
        <f aca="false">IF(N1720&lt;判定条件!$C$6,"判定不能",IF(O1720&gt;=判定条件!$C$7*N1720,"運転",IF(O1720&lt;=判定条件!$C$8*N1720,"停止","断続")))</f>
        <v>運転</v>
      </c>
      <c r="Q1720" s="30" t="n">
        <v>60</v>
      </c>
      <c r="R1720" s="30" t="n">
        <v>60</v>
      </c>
      <c r="S1720" s="30" t="str">
        <f aca="false">IF(Q1720&lt;判定条件!$C$6,"判定不能",IF(R1720&gt;=判定条件!$C$7*Q1720,"運転",IF(R1720&lt;=判定条件!$C$8*Q1720,"停止","断続")))</f>
        <v>運転</v>
      </c>
      <c r="T1720" s="30" t="n">
        <v>60</v>
      </c>
      <c r="U1720" s="30" t="n">
        <v>60</v>
      </c>
      <c r="V1720" s="30" t="str">
        <f aca="false">IF(T1720&lt;判定条件!$C$6,"判定不能",IF(U1720&gt;=判定条件!$C$7*T1720,"運転",IF(U1720&lt;=判定条件!$C$8*T1720,"停止","断続")))</f>
        <v>運転</v>
      </c>
      <c r="W1720" s="30" t="n">
        <v>60</v>
      </c>
      <c r="X1720" s="30" t="n">
        <v>60</v>
      </c>
      <c r="Y1720" s="30" t="str">
        <f aca="false">IF(W1720&lt;判定条件!$C$6,"判定不能",IF(X1720&gt;=判定条件!$C$7*W1720,"運転",IF(X1720&lt;=判定条件!$C$8*W1720,"停止","断続")))</f>
        <v>運転</v>
      </c>
      <c r="Z1720" s="30" t="n">
        <v>60</v>
      </c>
      <c r="AA1720" s="30" t="n">
        <v>60</v>
      </c>
      <c r="AB1720" s="30" t="str">
        <f aca="false">IF(Z1720&lt;判定条件!$C$6,"判定不能",IF(AA1720&gt;=判定条件!$C$7*Z1720,"運転",IF(AA1720&lt;=判定条件!$C$8*Z1720,"停止","断続")))</f>
        <v>運転</v>
      </c>
      <c r="AC1720" s="30" t="n">
        <v>60</v>
      </c>
      <c r="AD1720" s="30" t="n">
        <v>59</v>
      </c>
      <c r="AE1720" s="30" t="str">
        <f aca="false">IF(AC1720&lt;判定条件!$C$6,"判定不能",IF(AD1720&gt;=判定条件!$C$7*AC1720,"運転",IF(AD1720&lt;=判定条件!$C$8*AC1720,"停止","断続")))</f>
        <v>運転</v>
      </c>
      <c r="AF1720" s="30" t="n">
        <v>60</v>
      </c>
      <c r="AG1720" s="30" t="n">
        <v>60</v>
      </c>
      <c r="AH1720" s="30" t="str">
        <f aca="false">IF(OR(P1720="判定不能",G1720="判定不能"),"判定不能",IF(AG1720&gt;=判定条件!$C$9,"利用可",IF(AND(P1720="停止",G1720="停止"),"両方停止","運転がそろわない")))</f>
        <v>利用可</v>
      </c>
      <c r="AI1720" s="30" t="n">
        <v>60</v>
      </c>
      <c r="AJ1720" s="30" t="n">
        <v>60</v>
      </c>
      <c r="AK1720" s="30" t="str">
        <f aca="false">IF(OR(S1720="判定不能",J1720="判定不能"),"判定不能",IF(AJ1720&gt;=判定条件!$C$9,"利用可",IF(AND(S1720="停止",J1720="停止"),"両方停止","運転がそろわない")))</f>
        <v>利用可</v>
      </c>
      <c r="AL1720" s="30" t="n">
        <v>60</v>
      </c>
      <c r="AM1720" s="30" t="n">
        <v>0</v>
      </c>
      <c r="AN1720" s="30" t="str">
        <f aca="false">IF(OR(V1720="判定不能",M1720="判定不能"),"判定不能",IF(AM1720&gt;=判定条件!$C$9,"利用可",IF(AND(V1720="停止",M1720="停止"),"両方停止","運転がそろわない")))</f>
        <v>運転がそろわない</v>
      </c>
      <c r="AO1720" s="30" t="n">
        <v>60</v>
      </c>
      <c r="AP1720" s="30" t="n">
        <v>60</v>
      </c>
      <c r="AQ1720" s="30" t="str">
        <f aca="false">IF(OR(Y1720="判定不能",G1720="判定不能"),"判定不能",IF(AP1720&gt;=判定条件!$C$9,"利用可",IF(AND(Y1720="停止",G1720="停止"),"両方停止","運転がそろわない")))</f>
        <v>利用可</v>
      </c>
      <c r="AR1720" s="30" t="n">
        <v>60</v>
      </c>
      <c r="AS1720" s="30" t="n">
        <v>60</v>
      </c>
      <c r="AT1720" s="30" t="str">
        <f aca="false">IF(OR(AB1720="判定不能",J1720="判定不能"),"判定不能",IF(AS1720&gt;=判定条件!$C$9,"利用可",IF(AND(AB1720="停止",J1720="停止"),"両方停止","運転がそろわない")))</f>
        <v>利用可</v>
      </c>
      <c r="AU1720" s="30" t="n">
        <v>60</v>
      </c>
      <c r="AV1720" s="30" t="n">
        <v>0</v>
      </c>
      <c r="AW1720" s="30" t="str">
        <f aca="false">IF(OR(AE1720="判定不能",M1720="判定不能"),"判定不能",IF(AV1720&gt;=判定条件!$C$9,"利用可",IF(AND(AE1720="停止",M1720="停止"),"両方停止","運転がそろわない")))</f>
        <v>運転がそろわない</v>
      </c>
      <c r="AX1720" s="30" t="str">
        <f aca="false">IF(AND(AH1720="利用可",AK1720="利用可",AN1720="利用可"),"利用可","不可")</f>
        <v>不可</v>
      </c>
      <c r="AY1720" s="30" t="str">
        <f aca="false">IF(AND(AQ1720="利用可",AT1720="利用可",AW1720="利用可"),"利用可","不可")</f>
        <v>不可</v>
      </c>
    </row>
    <row r="1721" customFormat="false" ht="15" hidden="false" customHeight="false" outlineLevel="0" collapsed="false">
      <c r="A1721" s="29" t="n">
        <v>46303</v>
      </c>
      <c r="B1721" s="30" t="n">
        <v>14</v>
      </c>
      <c r="C1721" s="31" t="s">
        <v>61</v>
      </c>
      <c r="D1721" s="31" t="s">
        <v>59</v>
      </c>
      <c r="E1721" s="30" t="n">
        <v>60</v>
      </c>
      <c r="F1721" s="30" t="n">
        <v>60</v>
      </c>
      <c r="G1721" s="30" t="str">
        <f aca="false">IF(E1721&lt;判定条件!$C$6,"判定不能",IF(F1721&gt;=判定条件!$C$7*E1721,"運転",IF(F1721&lt;=判定条件!$C$8*E1721,"停止","断続")))</f>
        <v>運転</v>
      </c>
      <c r="H1721" s="30" t="n">
        <v>60</v>
      </c>
      <c r="I1721" s="30" t="n">
        <v>60</v>
      </c>
      <c r="J1721" s="30" t="str">
        <f aca="false">IF(H1721&lt;判定条件!$C$6,"判定不能",IF(I1721&gt;=判定条件!$C$7*H1721,"運転",IF(I1721&lt;=判定条件!$C$8*H1721,"停止","断続")))</f>
        <v>運転</v>
      </c>
      <c r="K1721" s="30" t="n">
        <v>60</v>
      </c>
      <c r="L1721" s="30" t="n">
        <v>0</v>
      </c>
      <c r="M1721" s="30" t="str">
        <f aca="false">IF(K1721&lt;判定条件!$C$6,"判定不能",IF(L1721&gt;=判定条件!$C$7*K1721,"運転",IF(L1721&lt;=判定条件!$C$8*K1721,"停止","断続")))</f>
        <v>停止</v>
      </c>
      <c r="N1721" s="30" t="n">
        <v>60</v>
      </c>
      <c r="O1721" s="30" t="n">
        <v>60</v>
      </c>
      <c r="P1721" s="30" t="str">
        <f aca="false">IF(N1721&lt;判定条件!$C$6,"判定不能",IF(O1721&gt;=判定条件!$C$7*N1721,"運転",IF(O1721&lt;=判定条件!$C$8*N1721,"停止","断続")))</f>
        <v>運転</v>
      </c>
      <c r="Q1721" s="30" t="n">
        <v>60</v>
      </c>
      <c r="R1721" s="30" t="n">
        <v>60</v>
      </c>
      <c r="S1721" s="30" t="str">
        <f aca="false">IF(Q1721&lt;判定条件!$C$6,"判定不能",IF(R1721&gt;=判定条件!$C$7*Q1721,"運転",IF(R1721&lt;=判定条件!$C$8*Q1721,"停止","断続")))</f>
        <v>運転</v>
      </c>
      <c r="T1721" s="30" t="n">
        <v>60</v>
      </c>
      <c r="U1721" s="30" t="n">
        <v>55</v>
      </c>
      <c r="V1721" s="30" t="str">
        <f aca="false">IF(T1721&lt;判定条件!$C$6,"判定不能",IF(U1721&gt;=判定条件!$C$7*T1721,"運転",IF(U1721&lt;=判定条件!$C$8*T1721,"停止","断続")))</f>
        <v>運転</v>
      </c>
      <c r="W1721" s="30" t="n">
        <v>60</v>
      </c>
      <c r="X1721" s="30" t="n">
        <v>60</v>
      </c>
      <c r="Y1721" s="30" t="str">
        <f aca="false">IF(W1721&lt;判定条件!$C$6,"判定不能",IF(X1721&gt;=判定条件!$C$7*W1721,"運転",IF(X1721&lt;=判定条件!$C$8*W1721,"停止","断続")))</f>
        <v>運転</v>
      </c>
      <c r="Z1721" s="30" t="n">
        <v>60</v>
      </c>
      <c r="AA1721" s="30" t="n">
        <v>60</v>
      </c>
      <c r="AB1721" s="30" t="str">
        <f aca="false">IF(Z1721&lt;判定条件!$C$6,"判定不能",IF(AA1721&gt;=判定条件!$C$7*Z1721,"運転",IF(AA1721&lt;=判定条件!$C$8*Z1721,"停止","断続")))</f>
        <v>運転</v>
      </c>
      <c r="AC1721" s="30" t="n">
        <v>60</v>
      </c>
      <c r="AD1721" s="30" t="n">
        <v>57</v>
      </c>
      <c r="AE1721" s="30" t="str">
        <f aca="false">IF(AC1721&lt;判定条件!$C$6,"判定不能",IF(AD1721&gt;=判定条件!$C$7*AC1721,"運転",IF(AD1721&lt;=判定条件!$C$8*AC1721,"停止","断続")))</f>
        <v>運転</v>
      </c>
      <c r="AF1721" s="30" t="n">
        <v>60</v>
      </c>
      <c r="AG1721" s="30" t="n">
        <v>60</v>
      </c>
      <c r="AH1721" s="30" t="str">
        <f aca="false">IF(OR(P1721="判定不能",G1721="判定不能"),"判定不能",IF(AG1721&gt;=判定条件!$C$9,"利用可",IF(AND(P1721="停止",G1721="停止"),"両方停止","運転がそろわない")))</f>
        <v>利用可</v>
      </c>
      <c r="AI1721" s="30" t="n">
        <v>60</v>
      </c>
      <c r="AJ1721" s="30" t="n">
        <v>60</v>
      </c>
      <c r="AK1721" s="30" t="str">
        <f aca="false">IF(OR(S1721="判定不能",J1721="判定不能"),"判定不能",IF(AJ1721&gt;=判定条件!$C$9,"利用可",IF(AND(S1721="停止",J1721="停止"),"両方停止","運転がそろわない")))</f>
        <v>利用可</v>
      </c>
      <c r="AL1721" s="30" t="n">
        <v>60</v>
      </c>
      <c r="AM1721" s="30" t="n">
        <v>0</v>
      </c>
      <c r="AN1721" s="30" t="str">
        <f aca="false">IF(OR(V1721="判定不能",M1721="判定不能"),"判定不能",IF(AM1721&gt;=判定条件!$C$9,"利用可",IF(AND(V1721="停止",M1721="停止"),"両方停止","運転がそろわない")))</f>
        <v>運転がそろわない</v>
      </c>
      <c r="AO1721" s="30" t="n">
        <v>60</v>
      </c>
      <c r="AP1721" s="30" t="n">
        <v>60</v>
      </c>
      <c r="AQ1721" s="30" t="str">
        <f aca="false">IF(OR(Y1721="判定不能",G1721="判定不能"),"判定不能",IF(AP1721&gt;=判定条件!$C$9,"利用可",IF(AND(Y1721="停止",G1721="停止"),"両方停止","運転がそろわない")))</f>
        <v>利用可</v>
      </c>
      <c r="AR1721" s="30" t="n">
        <v>60</v>
      </c>
      <c r="AS1721" s="30" t="n">
        <v>60</v>
      </c>
      <c r="AT1721" s="30" t="str">
        <f aca="false">IF(OR(AB1721="判定不能",J1721="判定不能"),"判定不能",IF(AS1721&gt;=判定条件!$C$9,"利用可",IF(AND(AB1721="停止",J1721="停止"),"両方停止","運転がそろわない")))</f>
        <v>利用可</v>
      </c>
      <c r="AU1721" s="30" t="n">
        <v>60</v>
      </c>
      <c r="AV1721" s="30" t="n">
        <v>0</v>
      </c>
      <c r="AW1721" s="30" t="str">
        <f aca="false">IF(OR(AE1721="判定不能",M1721="判定不能"),"判定不能",IF(AV1721&gt;=判定条件!$C$9,"利用可",IF(AND(AE1721="停止",M1721="停止"),"両方停止","運転がそろわない")))</f>
        <v>運転がそろわない</v>
      </c>
      <c r="AX1721" s="30" t="str">
        <f aca="false">IF(AND(AH1721="利用可",AK1721="利用可",AN1721="利用可"),"利用可","不可")</f>
        <v>不可</v>
      </c>
      <c r="AY1721" s="30" t="str">
        <f aca="false">IF(AND(AQ1721="利用可",AT1721="利用可",AW1721="利用可"),"利用可","不可")</f>
        <v>不可</v>
      </c>
    </row>
    <row r="1722" customFormat="false" ht="15" hidden="false" customHeight="false" outlineLevel="0" collapsed="false">
      <c r="A1722" s="29" t="n">
        <v>46303</v>
      </c>
      <c r="B1722" s="30" t="n">
        <v>15</v>
      </c>
      <c r="C1722" s="31" t="s">
        <v>61</v>
      </c>
      <c r="D1722" s="31" t="s">
        <v>59</v>
      </c>
      <c r="E1722" s="30" t="n">
        <v>60</v>
      </c>
      <c r="F1722" s="30" t="n">
        <v>54</v>
      </c>
      <c r="G1722" s="30" t="str">
        <f aca="false">IF(E1722&lt;判定条件!$C$6,"判定不能",IF(F1722&gt;=判定条件!$C$7*E1722,"運転",IF(F1722&lt;=判定条件!$C$8*E1722,"停止","断続")))</f>
        <v>運転</v>
      </c>
      <c r="H1722" s="30" t="n">
        <v>60</v>
      </c>
      <c r="I1722" s="30" t="n">
        <v>56</v>
      </c>
      <c r="J1722" s="30" t="str">
        <f aca="false">IF(H1722&lt;判定条件!$C$6,"判定不能",IF(I1722&gt;=判定条件!$C$7*H1722,"運転",IF(I1722&lt;=判定条件!$C$8*H1722,"停止","断続")))</f>
        <v>運転</v>
      </c>
      <c r="K1722" s="30" t="n">
        <v>60</v>
      </c>
      <c r="L1722" s="30" t="n">
        <v>14</v>
      </c>
      <c r="M1722" s="30" t="str">
        <f aca="false">IF(K1722&lt;判定条件!$C$6,"判定不能",IF(L1722&gt;=判定条件!$C$7*K1722,"運転",IF(L1722&lt;=判定条件!$C$8*K1722,"停止","断続")))</f>
        <v>断続</v>
      </c>
      <c r="N1722" s="30" t="n">
        <v>60</v>
      </c>
      <c r="O1722" s="30" t="n">
        <v>60</v>
      </c>
      <c r="P1722" s="30" t="str">
        <f aca="false">IF(N1722&lt;判定条件!$C$6,"判定不能",IF(O1722&gt;=判定条件!$C$7*N1722,"運転",IF(O1722&lt;=判定条件!$C$8*N1722,"停止","断続")))</f>
        <v>運転</v>
      </c>
      <c r="Q1722" s="30" t="n">
        <v>60</v>
      </c>
      <c r="R1722" s="30" t="n">
        <v>60</v>
      </c>
      <c r="S1722" s="30" t="str">
        <f aca="false">IF(Q1722&lt;判定条件!$C$6,"判定不能",IF(R1722&gt;=判定条件!$C$7*Q1722,"運転",IF(R1722&lt;=判定条件!$C$8*Q1722,"停止","断続")))</f>
        <v>運転</v>
      </c>
      <c r="T1722" s="30" t="n">
        <v>60</v>
      </c>
      <c r="U1722" s="30" t="n">
        <v>33</v>
      </c>
      <c r="V1722" s="30" t="str">
        <f aca="false">IF(T1722&lt;判定条件!$C$6,"判定不能",IF(U1722&gt;=判定条件!$C$7*T1722,"運転",IF(U1722&lt;=判定条件!$C$8*T1722,"停止","断続")))</f>
        <v>断続</v>
      </c>
      <c r="W1722" s="30" t="n">
        <v>60</v>
      </c>
      <c r="X1722" s="30" t="n">
        <v>55</v>
      </c>
      <c r="Y1722" s="30" t="str">
        <f aca="false">IF(W1722&lt;判定条件!$C$6,"判定不能",IF(X1722&gt;=判定条件!$C$7*W1722,"運転",IF(X1722&lt;=判定条件!$C$8*W1722,"停止","断続")))</f>
        <v>運転</v>
      </c>
      <c r="Z1722" s="30" t="n">
        <v>60</v>
      </c>
      <c r="AA1722" s="30" t="n">
        <v>60</v>
      </c>
      <c r="AB1722" s="30" t="str">
        <f aca="false">IF(Z1722&lt;判定条件!$C$6,"判定不能",IF(AA1722&gt;=判定条件!$C$7*Z1722,"運転",IF(AA1722&lt;=判定条件!$C$8*Z1722,"停止","断続")))</f>
        <v>運転</v>
      </c>
      <c r="AC1722" s="30" t="n">
        <v>60</v>
      </c>
      <c r="AD1722" s="30" t="n">
        <v>57</v>
      </c>
      <c r="AE1722" s="30" t="str">
        <f aca="false">IF(AC1722&lt;判定条件!$C$6,"判定不能",IF(AD1722&gt;=判定条件!$C$7*AC1722,"運転",IF(AD1722&lt;=判定条件!$C$8*AC1722,"停止","断続")))</f>
        <v>運転</v>
      </c>
      <c r="AF1722" s="30" t="n">
        <v>60</v>
      </c>
      <c r="AG1722" s="30" t="n">
        <v>54</v>
      </c>
      <c r="AH1722" s="30" t="str">
        <f aca="false">IF(OR(P1722="判定不能",G1722="判定不能"),"判定不能",IF(AG1722&gt;=判定条件!$C$9,"利用可",IF(AND(P1722="停止",G1722="停止"),"両方停止","運転がそろわない")))</f>
        <v>利用可</v>
      </c>
      <c r="AI1722" s="30" t="n">
        <v>60</v>
      </c>
      <c r="AJ1722" s="30" t="n">
        <v>56</v>
      </c>
      <c r="AK1722" s="30" t="str">
        <f aca="false">IF(OR(S1722="判定不能",J1722="判定不能"),"判定不能",IF(AJ1722&gt;=判定条件!$C$9,"利用可",IF(AND(S1722="停止",J1722="停止"),"両方停止","運転がそろわない")))</f>
        <v>利用可</v>
      </c>
      <c r="AL1722" s="30" t="n">
        <v>60</v>
      </c>
      <c r="AM1722" s="30" t="n">
        <v>9</v>
      </c>
      <c r="AN1722" s="30" t="str">
        <f aca="false">IF(OR(V1722="判定不能",M1722="判定不能"),"判定不能",IF(AM1722&gt;=判定条件!$C$9,"利用可",IF(AND(V1722="停止",M1722="停止"),"両方停止","運転がそろわない")))</f>
        <v>運転がそろわない</v>
      </c>
      <c r="AO1722" s="30" t="n">
        <v>60</v>
      </c>
      <c r="AP1722" s="30" t="n">
        <v>49</v>
      </c>
      <c r="AQ1722" s="30" t="str">
        <f aca="false">IF(OR(Y1722="判定不能",G1722="判定不能"),"判定不能",IF(AP1722&gt;=判定条件!$C$9,"利用可",IF(AND(Y1722="停止",G1722="停止"),"両方停止","運転がそろわない")))</f>
        <v>利用可</v>
      </c>
      <c r="AR1722" s="30" t="n">
        <v>60</v>
      </c>
      <c r="AS1722" s="30" t="n">
        <v>56</v>
      </c>
      <c r="AT1722" s="30" t="str">
        <f aca="false">IF(OR(AB1722="判定不能",J1722="判定不能"),"判定不能",IF(AS1722&gt;=判定条件!$C$9,"利用可",IF(AND(AB1722="停止",J1722="停止"),"両方停止","運転がそろわない")))</f>
        <v>利用可</v>
      </c>
      <c r="AU1722" s="30" t="n">
        <v>60</v>
      </c>
      <c r="AV1722" s="30" t="n">
        <v>14</v>
      </c>
      <c r="AW1722" s="30" t="str">
        <f aca="false">IF(OR(AE1722="判定不能",M1722="判定不能"),"判定不能",IF(AV1722&gt;=判定条件!$C$9,"利用可",IF(AND(AE1722="停止",M1722="停止"),"両方停止","運転がそろわない")))</f>
        <v>運転がそろわない</v>
      </c>
      <c r="AX1722" s="30" t="str">
        <f aca="false">IF(AND(AH1722="利用可",AK1722="利用可",AN1722="利用可"),"利用可","不可")</f>
        <v>不可</v>
      </c>
      <c r="AY1722" s="30" t="str">
        <f aca="false">IF(AND(AQ1722="利用可",AT1722="利用可",AW1722="利用可"),"利用可","不可")</f>
        <v>不可</v>
      </c>
    </row>
    <row r="1723" customFormat="false" ht="15" hidden="false" customHeight="false" outlineLevel="0" collapsed="false">
      <c r="A1723" s="29" t="n">
        <v>46303</v>
      </c>
      <c r="B1723" s="30" t="n">
        <v>16</v>
      </c>
      <c r="C1723" s="31" t="s">
        <v>61</v>
      </c>
      <c r="D1723" s="31" t="s">
        <v>59</v>
      </c>
      <c r="E1723" s="30" t="n">
        <v>60</v>
      </c>
      <c r="F1723" s="30" t="n">
        <v>48</v>
      </c>
      <c r="G1723" s="30" t="str">
        <f aca="false">IF(E1723&lt;判定条件!$C$6,"判定不能",IF(F1723&gt;=判定条件!$C$7*E1723,"運転",IF(F1723&lt;=判定条件!$C$8*E1723,"停止","断続")))</f>
        <v>運転</v>
      </c>
      <c r="H1723" s="30" t="n">
        <v>60</v>
      </c>
      <c r="I1723" s="30" t="n">
        <v>21</v>
      </c>
      <c r="J1723" s="30" t="str">
        <f aca="false">IF(H1723&lt;判定条件!$C$6,"判定不能",IF(I1723&gt;=判定条件!$C$7*H1723,"運転",IF(I1723&lt;=判定条件!$C$8*H1723,"停止","断続")))</f>
        <v>断続</v>
      </c>
      <c r="K1723" s="30" t="n">
        <v>60</v>
      </c>
      <c r="L1723" s="30" t="n">
        <v>32</v>
      </c>
      <c r="M1723" s="30" t="str">
        <f aca="false">IF(K1723&lt;判定条件!$C$6,"判定不能",IF(L1723&gt;=判定条件!$C$7*K1723,"運転",IF(L1723&lt;=判定条件!$C$8*K1723,"停止","断続")))</f>
        <v>断続</v>
      </c>
      <c r="N1723" s="30" t="n">
        <v>60</v>
      </c>
      <c r="O1723" s="30" t="n">
        <v>34</v>
      </c>
      <c r="P1723" s="30" t="str">
        <f aca="false">IF(N1723&lt;判定条件!$C$6,"判定不能",IF(O1723&gt;=判定条件!$C$7*N1723,"運転",IF(O1723&lt;=判定条件!$C$8*N1723,"停止","断続")))</f>
        <v>断続</v>
      </c>
      <c r="Q1723" s="30" t="n">
        <v>60</v>
      </c>
      <c r="R1723" s="30" t="n">
        <v>40</v>
      </c>
      <c r="S1723" s="30" t="str">
        <f aca="false">IF(Q1723&lt;判定条件!$C$6,"判定不能",IF(R1723&gt;=判定条件!$C$7*Q1723,"運転",IF(R1723&lt;=判定条件!$C$8*Q1723,"停止","断続")))</f>
        <v>断続</v>
      </c>
      <c r="T1723" s="30" t="n">
        <v>60</v>
      </c>
      <c r="U1723" s="30" t="n">
        <v>41</v>
      </c>
      <c r="V1723" s="30" t="str">
        <f aca="false">IF(T1723&lt;判定条件!$C$6,"判定不能",IF(U1723&gt;=判定条件!$C$7*T1723,"運転",IF(U1723&lt;=判定条件!$C$8*T1723,"停止","断続")))</f>
        <v>断続</v>
      </c>
      <c r="W1723" s="30" t="n">
        <v>60</v>
      </c>
      <c r="X1723" s="30" t="n">
        <v>48</v>
      </c>
      <c r="Y1723" s="30" t="str">
        <f aca="false">IF(W1723&lt;判定条件!$C$6,"判定不能",IF(X1723&gt;=判定条件!$C$7*W1723,"運転",IF(X1723&lt;=判定条件!$C$8*W1723,"停止","断続")))</f>
        <v>運転</v>
      </c>
      <c r="Z1723" s="30" t="n">
        <v>60</v>
      </c>
      <c r="AA1723" s="30" t="n">
        <v>60</v>
      </c>
      <c r="AB1723" s="30" t="str">
        <f aca="false">IF(Z1723&lt;判定条件!$C$6,"判定不能",IF(AA1723&gt;=判定条件!$C$7*Z1723,"運転",IF(AA1723&lt;=判定条件!$C$8*Z1723,"停止","断続")))</f>
        <v>運転</v>
      </c>
      <c r="AC1723" s="30" t="n">
        <v>60</v>
      </c>
      <c r="AD1723" s="30" t="n">
        <v>49</v>
      </c>
      <c r="AE1723" s="30" t="str">
        <f aca="false">IF(AC1723&lt;判定条件!$C$6,"判定不能",IF(AD1723&gt;=判定条件!$C$7*AC1723,"運転",IF(AD1723&lt;=判定条件!$C$8*AC1723,"停止","断続")))</f>
        <v>運転</v>
      </c>
      <c r="AF1723" s="30" t="n">
        <v>60</v>
      </c>
      <c r="AG1723" s="30" t="n">
        <v>22</v>
      </c>
      <c r="AH1723" s="30" t="str">
        <f aca="false">IF(OR(P1723="判定不能",G1723="判定不能"),"判定不能",IF(AG1723&gt;=判定条件!$C$9,"利用可",IF(AND(P1723="停止",G1723="停止"),"両方停止","運転がそろわない")))</f>
        <v>運転がそろわない</v>
      </c>
      <c r="AI1723" s="30" t="n">
        <v>60</v>
      </c>
      <c r="AJ1723" s="30" t="n">
        <v>21</v>
      </c>
      <c r="AK1723" s="30" t="str">
        <f aca="false">IF(OR(S1723="判定不能",J1723="判定不能"),"判定不能",IF(AJ1723&gt;=判定条件!$C$9,"利用可",IF(AND(S1723="停止",J1723="停止"),"両方停止","運転がそろわない")))</f>
        <v>運転がそろわない</v>
      </c>
      <c r="AL1723" s="30" t="n">
        <v>60</v>
      </c>
      <c r="AM1723" s="30" t="n">
        <v>25</v>
      </c>
      <c r="AN1723" s="30" t="str">
        <f aca="false">IF(OR(V1723="判定不能",M1723="判定不能"),"判定不能",IF(AM1723&gt;=判定条件!$C$9,"利用可",IF(AND(V1723="停止",M1723="停止"),"両方停止","運転がそろわない")))</f>
        <v>運転がそろわない</v>
      </c>
      <c r="AO1723" s="30" t="n">
        <v>60</v>
      </c>
      <c r="AP1723" s="30" t="n">
        <v>37</v>
      </c>
      <c r="AQ1723" s="30" t="str">
        <f aca="false">IF(OR(Y1723="判定不能",G1723="判定不能"),"判定不能",IF(AP1723&gt;=判定条件!$C$9,"利用可",IF(AND(Y1723="停止",G1723="停止"),"両方停止","運転がそろわない")))</f>
        <v>利用可</v>
      </c>
      <c r="AR1723" s="30" t="n">
        <v>60</v>
      </c>
      <c r="AS1723" s="30" t="n">
        <v>21</v>
      </c>
      <c r="AT1723" s="30" t="str">
        <f aca="false">IF(OR(AB1723="判定不能",J1723="判定不能"),"判定不能",IF(AS1723&gt;=判定条件!$C$9,"利用可",IF(AND(AB1723="停止",J1723="停止"),"両方停止","運転がそろわない")))</f>
        <v>運転がそろわない</v>
      </c>
      <c r="AU1723" s="30" t="n">
        <v>60</v>
      </c>
      <c r="AV1723" s="30" t="n">
        <v>22</v>
      </c>
      <c r="AW1723" s="30" t="str">
        <f aca="false">IF(OR(AE1723="判定不能",M1723="判定不能"),"判定不能",IF(AV1723&gt;=判定条件!$C$9,"利用可",IF(AND(AE1723="停止",M1723="停止"),"両方停止","運転がそろわない")))</f>
        <v>運転がそろわない</v>
      </c>
      <c r="AX1723" s="30" t="str">
        <f aca="false">IF(AND(AH1723="利用可",AK1723="利用可",AN1723="利用可"),"利用可","不可")</f>
        <v>不可</v>
      </c>
      <c r="AY1723" s="30" t="str">
        <f aca="false">IF(AND(AQ1723="利用可",AT1723="利用可",AW1723="利用可"),"利用可","不可")</f>
        <v>不可</v>
      </c>
    </row>
    <row r="1724" customFormat="false" ht="15" hidden="false" customHeight="false" outlineLevel="0" collapsed="false">
      <c r="A1724" s="29" t="n">
        <v>46303</v>
      </c>
      <c r="B1724" s="30" t="n">
        <v>17</v>
      </c>
      <c r="C1724" s="31" t="s">
        <v>61</v>
      </c>
      <c r="D1724" s="31" t="s">
        <v>59</v>
      </c>
      <c r="E1724" s="30" t="n">
        <v>60</v>
      </c>
      <c r="F1724" s="30" t="n">
        <v>41</v>
      </c>
      <c r="G1724" s="30" t="str">
        <f aca="false">IF(E1724&lt;判定条件!$C$6,"判定不能",IF(F1724&gt;=判定条件!$C$7*E1724,"運転",IF(F1724&lt;=判定条件!$C$8*E1724,"停止","断続")))</f>
        <v>断続</v>
      </c>
      <c r="H1724" s="30" t="n">
        <v>60</v>
      </c>
      <c r="I1724" s="30" t="n">
        <v>4</v>
      </c>
      <c r="J1724" s="30" t="str">
        <f aca="false">IF(H1724&lt;判定条件!$C$6,"判定不能",IF(I1724&gt;=判定条件!$C$7*H1724,"運転",IF(I1724&lt;=判定条件!$C$8*H1724,"停止","断続")))</f>
        <v>停止</v>
      </c>
      <c r="K1724" s="30" t="n">
        <v>60</v>
      </c>
      <c r="L1724" s="30" t="n">
        <v>2</v>
      </c>
      <c r="M1724" s="30" t="str">
        <f aca="false">IF(K1724&lt;判定条件!$C$6,"判定不能",IF(L1724&gt;=判定条件!$C$7*K1724,"運転",IF(L1724&lt;=判定条件!$C$8*K1724,"停止","断続")))</f>
        <v>停止</v>
      </c>
      <c r="N1724" s="30" t="n">
        <v>60</v>
      </c>
      <c r="O1724" s="30" t="n">
        <v>29</v>
      </c>
      <c r="P1724" s="30" t="str">
        <f aca="false">IF(N1724&lt;判定条件!$C$6,"判定不能",IF(O1724&gt;=判定条件!$C$7*N1724,"運転",IF(O1724&lt;=判定条件!$C$8*N1724,"停止","断続")))</f>
        <v>断続</v>
      </c>
      <c r="Q1724" s="30" t="n">
        <v>60</v>
      </c>
      <c r="R1724" s="30" t="n">
        <v>8</v>
      </c>
      <c r="S1724" s="30" t="str">
        <f aca="false">IF(Q1724&lt;判定条件!$C$6,"判定不能",IF(R1724&gt;=判定条件!$C$7*Q1724,"運転",IF(R1724&lt;=判定条件!$C$8*Q1724,"停止","断続")))</f>
        <v>停止</v>
      </c>
      <c r="T1724" s="30" t="n">
        <v>60</v>
      </c>
      <c r="U1724" s="30" t="n">
        <v>33</v>
      </c>
      <c r="V1724" s="30" t="str">
        <f aca="false">IF(T1724&lt;判定条件!$C$6,"判定不能",IF(U1724&gt;=判定条件!$C$7*T1724,"運転",IF(U1724&lt;=判定条件!$C$8*T1724,"停止","断続")))</f>
        <v>断続</v>
      </c>
      <c r="W1724" s="30" t="n">
        <v>60</v>
      </c>
      <c r="X1724" s="30" t="n">
        <v>38</v>
      </c>
      <c r="Y1724" s="30" t="str">
        <f aca="false">IF(W1724&lt;判定条件!$C$6,"判定不能",IF(X1724&gt;=判定条件!$C$7*W1724,"運転",IF(X1724&lt;=判定条件!$C$8*W1724,"停止","断続")))</f>
        <v>断続</v>
      </c>
      <c r="Z1724" s="30" t="n">
        <v>60</v>
      </c>
      <c r="AA1724" s="30" t="n">
        <v>52</v>
      </c>
      <c r="AB1724" s="30" t="str">
        <f aca="false">IF(Z1724&lt;判定条件!$C$6,"判定不能",IF(AA1724&gt;=判定条件!$C$7*Z1724,"運転",IF(AA1724&lt;=判定条件!$C$8*Z1724,"停止","断続")))</f>
        <v>運転</v>
      </c>
      <c r="AC1724" s="30" t="n">
        <v>60</v>
      </c>
      <c r="AD1724" s="30" t="n">
        <v>34</v>
      </c>
      <c r="AE1724" s="30" t="str">
        <f aca="false">IF(AC1724&lt;判定条件!$C$6,"判定不能",IF(AD1724&gt;=判定条件!$C$7*AC1724,"運転",IF(AD1724&lt;=判定条件!$C$8*AC1724,"停止","断続")))</f>
        <v>断続</v>
      </c>
      <c r="AF1724" s="30" t="n">
        <v>60</v>
      </c>
      <c r="AG1724" s="30" t="n">
        <v>10</v>
      </c>
      <c r="AH1724" s="30" t="str">
        <f aca="false">IF(OR(P1724="判定不能",G1724="判定不能"),"判定不能",IF(AG1724&gt;=判定条件!$C$9,"利用可",IF(AND(P1724="停止",G1724="停止"),"両方停止","運転がそろわない")))</f>
        <v>運転がそろわない</v>
      </c>
      <c r="AI1724" s="30" t="n">
        <v>60</v>
      </c>
      <c r="AJ1724" s="30" t="n">
        <v>0</v>
      </c>
      <c r="AK1724" s="30" t="str">
        <f aca="false">IF(OR(S1724="判定不能",J1724="判定不能"),"判定不能",IF(AJ1724&gt;=判定条件!$C$9,"利用可",IF(AND(S1724="停止",J1724="停止"),"両方停止","運転がそろわない")))</f>
        <v>両方停止</v>
      </c>
      <c r="AL1724" s="30" t="n">
        <v>60</v>
      </c>
      <c r="AM1724" s="30" t="n">
        <v>2</v>
      </c>
      <c r="AN1724" s="30" t="str">
        <f aca="false">IF(OR(V1724="判定不能",M1724="判定不能"),"判定不能",IF(AM1724&gt;=判定条件!$C$9,"利用可",IF(AND(V1724="停止",M1724="停止"),"両方停止","運転がそろわない")))</f>
        <v>運転がそろわない</v>
      </c>
      <c r="AO1724" s="30" t="n">
        <v>60</v>
      </c>
      <c r="AP1724" s="30" t="n">
        <v>29</v>
      </c>
      <c r="AQ1724" s="30" t="str">
        <f aca="false">IF(OR(Y1724="判定不能",G1724="判定不能"),"判定不能",IF(AP1724&gt;=判定条件!$C$9,"利用可",IF(AND(Y1724="停止",G1724="停止"),"両方停止","運転がそろわない")))</f>
        <v>運転がそろわない</v>
      </c>
      <c r="AR1724" s="30" t="n">
        <v>60</v>
      </c>
      <c r="AS1724" s="30" t="n">
        <v>2</v>
      </c>
      <c r="AT1724" s="30" t="str">
        <f aca="false">IF(OR(AB1724="判定不能",J1724="判定不能"),"判定不能",IF(AS1724&gt;=判定条件!$C$9,"利用可",IF(AND(AB1724="停止",J1724="停止"),"両方停止","運転がそろわない")))</f>
        <v>運転がそろわない</v>
      </c>
      <c r="AU1724" s="30" t="n">
        <v>60</v>
      </c>
      <c r="AV1724" s="30" t="n">
        <v>2</v>
      </c>
      <c r="AW1724" s="30" t="str">
        <f aca="false">IF(OR(AE1724="判定不能",M1724="判定不能"),"判定不能",IF(AV1724&gt;=判定条件!$C$9,"利用可",IF(AND(AE1724="停止",M1724="停止"),"両方停止","運転がそろわない")))</f>
        <v>運転がそろわない</v>
      </c>
      <c r="AX1724" s="30" t="str">
        <f aca="false">IF(AND(AH1724="利用可",AK1724="利用可",AN1724="利用可"),"利用可","不可")</f>
        <v>不可</v>
      </c>
      <c r="AY1724" s="30" t="str">
        <f aca="false">IF(AND(AQ1724="利用可",AT1724="利用可",AW1724="利用可"),"利用可","不可")</f>
        <v>不可</v>
      </c>
    </row>
    <row r="1725" customFormat="false" ht="15" hidden="false" customHeight="false" outlineLevel="0" collapsed="false">
      <c r="A1725" s="29" t="n">
        <v>46303</v>
      </c>
      <c r="B1725" s="30" t="n">
        <v>18</v>
      </c>
      <c r="C1725" s="31" t="s">
        <v>61</v>
      </c>
      <c r="D1725" s="31" t="s">
        <v>59</v>
      </c>
      <c r="E1725" s="30" t="n">
        <v>60</v>
      </c>
      <c r="F1725" s="30" t="n">
        <v>36</v>
      </c>
      <c r="G1725" s="30" t="str">
        <f aca="false">IF(E1725&lt;判定条件!$C$6,"判定不能",IF(F1725&gt;=判定条件!$C$7*E1725,"運転",IF(F1725&lt;=判定条件!$C$8*E1725,"停止","断続")))</f>
        <v>断続</v>
      </c>
      <c r="H1725" s="30" t="n">
        <v>60</v>
      </c>
      <c r="I1725" s="30" t="n">
        <v>3</v>
      </c>
      <c r="J1725" s="30" t="str">
        <f aca="false">IF(H1725&lt;判定条件!$C$6,"判定不能",IF(I1725&gt;=判定条件!$C$7*H1725,"運転",IF(I1725&lt;=判定条件!$C$8*H1725,"停止","断続")))</f>
        <v>停止</v>
      </c>
      <c r="K1725" s="30" t="n">
        <v>60</v>
      </c>
      <c r="L1725" s="30" t="n">
        <v>0</v>
      </c>
      <c r="M1725" s="30" t="str">
        <f aca="false">IF(K1725&lt;判定条件!$C$6,"判定不能",IF(L1725&gt;=判定条件!$C$7*K1725,"運転",IF(L1725&lt;=判定条件!$C$8*K1725,"停止","断続")))</f>
        <v>停止</v>
      </c>
      <c r="N1725" s="30" t="n">
        <v>60</v>
      </c>
      <c r="O1725" s="30" t="n">
        <v>0</v>
      </c>
      <c r="P1725" s="30" t="str">
        <f aca="false">IF(N1725&lt;判定条件!$C$6,"判定不能",IF(O1725&gt;=判定条件!$C$7*N1725,"運転",IF(O1725&lt;=判定条件!$C$8*N1725,"停止","断続")))</f>
        <v>停止</v>
      </c>
      <c r="Q1725" s="30" t="n">
        <v>60</v>
      </c>
      <c r="R1725" s="30" t="n">
        <v>0</v>
      </c>
      <c r="S1725" s="30" t="str">
        <f aca="false">IF(Q1725&lt;判定条件!$C$6,"判定不能",IF(R1725&gt;=判定条件!$C$7*Q1725,"運転",IF(R1725&lt;=判定条件!$C$8*Q1725,"停止","断続")))</f>
        <v>停止</v>
      </c>
      <c r="T1725" s="30" t="n">
        <v>60</v>
      </c>
      <c r="U1725" s="30" t="n">
        <v>0</v>
      </c>
      <c r="V1725" s="30" t="str">
        <f aca="false">IF(T1725&lt;判定条件!$C$6,"判定不能",IF(U1725&gt;=判定条件!$C$7*T1725,"運転",IF(U1725&lt;=判定条件!$C$8*T1725,"停止","断続")))</f>
        <v>停止</v>
      </c>
      <c r="W1725" s="30" t="n">
        <v>60</v>
      </c>
      <c r="X1725" s="30" t="n">
        <v>2</v>
      </c>
      <c r="Y1725" s="30" t="str">
        <f aca="false">IF(W1725&lt;判定条件!$C$6,"判定不能",IF(X1725&gt;=判定条件!$C$7*W1725,"運転",IF(X1725&lt;=判定条件!$C$8*W1725,"停止","断続")))</f>
        <v>停止</v>
      </c>
      <c r="Z1725" s="30" t="n">
        <v>60</v>
      </c>
      <c r="AA1725" s="30" t="n">
        <v>35</v>
      </c>
      <c r="AB1725" s="30" t="str">
        <f aca="false">IF(Z1725&lt;判定条件!$C$6,"判定不能",IF(AA1725&gt;=判定条件!$C$7*Z1725,"運転",IF(AA1725&lt;=判定条件!$C$8*Z1725,"停止","断続")))</f>
        <v>断続</v>
      </c>
      <c r="AC1725" s="30" t="n">
        <v>60</v>
      </c>
      <c r="AD1725" s="30" t="n">
        <v>22</v>
      </c>
      <c r="AE1725" s="30" t="str">
        <f aca="false">IF(AC1725&lt;判定条件!$C$6,"判定不能",IF(AD1725&gt;=判定条件!$C$7*AC1725,"運転",IF(AD1725&lt;=判定条件!$C$8*AC1725,"停止","断続")))</f>
        <v>断続</v>
      </c>
      <c r="AF1725" s="30" t="n">
        <v>60</v>
      </c>
      <c r="AG1725" s="30" t="n">
        <v>0</v>
      </c>
      <c r="AH1725" s="30" t="str">
        <f aca="false">IF(OR(P1725="判定不能",G1725="判定不能"),"判定不能",IF(AG1725&gt;=判定条件!$C$9,"利用可",IF(AND(P1725="停止",G1725="停止"),"両方停止","運転がそろわない")))</f>
        <v>運転がそろわない</v>
      </c>
      <c r="AI1725" s="30" t="n">
        <v>60</v>
      </c>
      <c r="AJ1725" s="30" t="n">
        <v>0</v>
      </c>
      <c r="AK1725" s="30" t="str">
        <f aca="false">IF(OR(S1725="判定不能",J1725="判定不能"),"判定不能",IF(AJ1725&gt;=判定条件!$C$9,"利用可",IF(AND(S1725="停止",J1725="停止"),"両方停止","運転がそろわない")))</f>
        <v>両方停止</v>
      </c>
      <c r="AL1725" s="30" t="n">
        <v>60</v>
      </c>
      <c r="AM1725" s="30" t="n">
        <v>0</v>
      </c>
      <c r="AN1725" s="30" t="str">
        <f aca="false">IF(OR(V1725="判定不能",M1725="判定不能"),"判定不能",IF(AM1725&gt;=判定条件!$C$9,"利用可",IF(AND(V1725="停止",M1725="停止"),"両方停止","運転がそろわない")))</f>
        <v>両方停止</v>
      </c>
      <c r="AO1725" s="30" t="n">
        <v>60</v>
      </c>
      <c r="AP1725" s="30" t="n">
        <v>2</v>
      </c>
      <c r="AQ1725" s="30" t="str">
        <f aca="false">IF(OR(Y1725="判定不能",G1725="判定不能"),"判定不能",IF(AP1725&gt;=判定条件!$C$9,"利用可",IF(AND(Y1725="停止",G1725="停止"),"両方停止","運転がそろわない")))</f>
        <v>運転がそろわない</v>
      </c>
      <c r="AR1725" s="30" t="n">
        <v>60</v>
      </c>
      <c r="AS1725" s="30" t="n">
        <v>3</v>
      </c>
      <c r="AT1725" s="30" t="str">
        <f aca="false">IF(OR(AB1725="判定不能",J1725="判定不能"),"判定不能",IF(AS1725&gt;=判定条件!$C$9,"利用可",IF(AND(AB1725="停止",J1725="停止"),"両方停止","運転がそろわない")))</f>
        <v>運転がそろわない</v>
      </c>
      <c r="AU1725" s="30" t="n">
        <v>60</v>
      </c>
      <c r="AV1725" s="30" t="n">
        <v>0</v>
      </c>
      <c r="AW1725" s="30" t="str">
        <f aca="false">IF(OR(AE1725="判定不能",M1725="判定不能"),"判定不能",IF(AV1725&gt;=判定条件!$C$9,"利用可",IF(AND(AE1725="停止",M1725="停止"),"両方停止","運転がそろわない")))</f>
        <v>運転がそろわない</v>
      </c>
      <c r="AX1725" s="30" t="str">
        <f aca="false">IF(AND(AH1725="利用可",AK1725="利用可",AN1725="利用可"),"利用可","不可")</f>
        <v>不可</v>
      </c>
      <c r="AY1725" s="30" t="str">
        <f aca="false">IF(AND(AQ1725="利用可",AT1725="利用可",AW1725="利用可"),"利用可","不可")</f>
        <v>不可</v>
      </c>
    </row>
    <row r="1726" customFormat="false" ht="15" hidden="false" customHeight="false" outlineLevel="0" collapsed="false">
      <c r="A1726" s="29" t="n">
        <v>46303</v>
      </c>
      <c r="B1726" s="30" t="n">
        <v>19</v>
      </c>
      <c r="C1726" s="31" t="s">
        <v>61</v>
      </c>
      <c r="D1726" s="31" t="s">
        <v>59</v>
      </c>
      <c r="E1726" s="30" t="n">
        <v>60</v>
      </c>
      <c r="F1726" s="30" t="n">
        <v>41</v>
      </c>
      <c r="G1726" s="30" t="str">
        <f aca="false">IF(E1726&lt;判定条件!$C$6,"判定不能",IF(F1726&gt;=判定条件!$C$7*E1726,"運転",IF(F1726&lt;=判定条件!$C$8*E1726,"停止","断続")))</f>
        <v>断続</v>
      </c>
      <c r="H1726" s="30" t="n">
        <v>60</v>
      </c>
      <c r="I1726" s="30" t="n">
        <v>40</v>
      </c>
      <c r="J1726" s="30" t="str">
        <f aca="false">IF(H1726&lt;判定条件!$C$6,"判定不能",IF(I1726&gt;=判定条件!$C$7*H1726,"運転",IF(I1726&lt;=判定条件!$C$8*H1726,"停止","断続")))</f>
        <v>断続</v>
      </c>
      <c r="K1726" s="30" t="n">
        <v>60</v>
      </c>
      <c r="L1726" s="30" t="n">
        <v>0</v>
      </c>
      <c r="M1726" s="30" t="str">
        <f aca="false">IF(K1726&lt;判定条件!$C$6,"判定不能",IF(L1726&gt;=判定条件!$C$7*K1726,"運転",IF(L1726&lt;=判定条件!$C$8*K1726,"停止","断続")))</f>
        <v>停止</v>
      </c>
      <c r="N1726" s="30" t="n">
        <v>60</v>
      </c>
      <c r="O1726" s="30" t="n">
        <v>0</v>
      </c>
      <c r="P1726" s="30" t="str">
        <f aca="false">IF(N1726&lt;判定条件!$C$6,"判定不能",IF(O1726&gt;=判定条件!$C$7*N1726,"運転",IF(O1726&lt;=判定条件!$C$8*N1726,"停止","断続")))</f>
        <v>停止</v>
      </c>
      <c r="Q1726" s="30" t="n">
        <v>60</v>
      </c>
      <c r="R1726" s="30" t="n">
        <v>0</v>
      </c>
      <c r="S1726" s="30" t="str">
        <f aca="false">IF(Q1726&lt;判定条件!$C$6,"判定不能",IF(R1726&gt;=判定条件!$C$7*Q1726,"運転",IF(R1726&lt;=判定条件!$C$8*Q1726,"停止","断続")))</f>
        <v>停止</v>
      </c>
      <c r="T1726" s="30" t="n">
        <v>60</v>
      </c>
      <c r="U1726" s="30" t="n">
        <v>0</v>
      </c>
      <c r="V1726" s="30" t="str">
        <f aca="false">IF(T1726&lt;判定条件!$C$6,"判定不能",IF(U1726&gt;=判定条件!$C$7*T1726,"運転",IF(U1726&lt;=判定条件!$C$8*T1726,"停止","断続")))</f>
        <v>停止</v>
      </c>
      <c r="W1726" s="30" t="n">
        <v>60</v>
      </c>
      <c r="X1726" s="30" t="n">
        <v>0</v>
      </c>
      <c r="Y1726" s="30" t="str">
        <f aca="false">IF(W1726&lt;判定条件!$C$6,"判定不能",IF(X1726&gt;=判定条件!$C$7*W1726,"運転",IF(X1726&lt;=判定条件!$C$8*W1726,"停止","断続")))</f>
        <v>停止</v>
      </c>
      <c r="Z1726" s="30" t="n">
        <v>60</v>
      </c>
      <c r="AA1726" s="30" t="n">
        <v>7</v>
      </c>
      <c r="AB1726" s="30" t="str">
        <f aca="false">IF(Z1726&lt;判定条件!$C$6,"判定不能",IF(AA1726&gt;=判定条件!$C$7*Z1726,"運転",IF(AA1726&lt;=判定条件!$C$8*Z1726,"停止","断続")))</f>
        <v>停止</v>
      </c>
      <c r="AC1726" s="30" t="n">
        <v>60</v>
      </c>
      <c r="AD1726" s="30" t="n">
        <v>12</v>
      </c>
      <c r="AE1726" s="30" t="str">
        <f aca="false">IF(AC1726&lt;判定条件!$C$6,"判定不能",IF(AD1726&gt;=判定条件!$C$7*AC1726,"運転",IF(AD1726&lt;=判定条件!$C$8*AC1726,"停止","断続")))</f>
        <v>停止</v>
      </c>
      <c r="AF1726" s="30" t="n">
        <v>60</v>
      </c>
      <c r="AG1726" s="30" t="n">
        <v>0</v>
      </c>
      <c r="AH1726" s="30" t="str">
        <f aca="false">IF(OR(P1726="判定不能",G1726="判定不能"),"判定不能",IF(AG1726&gt;=判定条件!$C$9,"利用可",IF(AND(P1726="停止",G1726="停止"),"両方停止","運転がそろわない")))</f>
        <v>運転がそろわない</v>
      </c>
      <c r="AI1726" s="30" t="n">
        <v>60</v>
      </c>
      <c r="AJ1726" s="30" t="n">
        <v>0</v>
      </c>
      <c r="AK1726" s="30" t="str">
        <f aca="false">IF(OR(S1726="判定不能",J1726="判定不能"),"判定不能",IF(AJ1726&gt;=判定条件!$C$9,"利用可",IF(AND(S1726="停止",J1726="停止"),"両方停止","運転がそろわない")))</f>
        <v>運転がそろわない</v>
      </c>
      <c r="AL1726" s="30" t="n">
        <v>60</v>
      </c>
      <c r="AM1726" s="30" t="n">
        <v>0</v>
      </c>
      <c r="AN1726" s="30" t="str">
        <f aca="false">IF(OR(V1726="判定不能",M1726="判定不能"),"判定不能",IF(AM1726&gt;=判定条件!$C$9,"利用可",IF(AND(V1726="停止",M1726="停止"),"両方停止","運転がそろわない")))</f>
        <v>両方停止</v>
      </c>
      <c r="AO1726" s="30" t="n">
        <v>60</v>
      </c>
      <c r="AP1726" s="30" t="n">
        <v>0</v>
      </c>
      <c r="AQ1726" s="30" t="str">
        <f aca="false">IF(OR(Y1726="判定不能",G1726="判定不能"),"判定不能",IF(AP1726&gt;=判定条件!$C$9,"利用可",IF(AND(Y1726="停止",G1726="停止"),"両方停止","運転がそろわない")))</f>
        <v>運転がそろわない</v>
      </c>
      <c r="AR1726" s="30" t="n">
        <v>60</v>
      </c>
      <c r="AS1726" s="30" t="n">
        <v>0</v>
      </c>
      <c r="AT1726" s="30" t="str">
        <f aca="false">IF(OR(AB1726="判定不能",J1726="判定不能"),"判定不能",IF(AS1726&gt;=判定条件!$C$9,"利用可",IF(AND(AB1726="停止",J1726="停止"),"両方停止","運転がそろわない")))</f>
        <v>運転がそろわない</v>
      </c>
      <c r="AU1726" s="30" t="n">
        <v>60</v>
      </c>
      <c r="AV1726" s="30" t="n">
        <v>0</v>
      </c>
      <c r="AW1726" s="30" t="str">
        <f aca="false">IF(OR(AE1726="判定不能",M1726="判定不能"),"判定不能",IF(AV1726&gt;=判定条件!$C$9,"利用可",IF(AND(AE1726="停止",M1726="停止"),"両方停止","運転がそろわない")))</f>
        <v>両方停止</v>
      </c>
      <c r="AX1726" s="30" t="str">
        <f aca="false">IF(AND(AH1726="利用可",AK1726="利用可",AN1726="利用可"),"利用可","不可")</f>
        <v>不可</v>
      </c>
      <c r="AY1726" s="30" t="str">
        <f aca="false">IF(AND(AQ1726="利用可",AT1726="利用可",AW1726="利用可"),"利用可","不可")</f>
        <v>不可</v>
      </c>
    </row>
    <row r="1727" customFormat="false" ht="15" hidden="false" customHeight="false" outlineLevel="0" collapsed="false">
      <c r="A1727" s="29" t="n">
        <v>46303</v>
      </c>
      <c r="B1727" s="30" t="n">
        <v>20</v>
      </c>
      <c r="C1727" s="31" t="s">
        <v>61</v>
      </c>
      <c r="D1727" s="31" t="s">
        <v>59</v>
      </c>
      <c r="E1727" s="30" t="n">
        <v>60</v>
      </c>
      <c r="F1727" s="30" t="n">
        <v>26</v>
      </c>
      <c r="G1727" s="30" t="str">
        <f aca="false">IF(E1727&lt;判定条件!$C$6,"判定不能",IF(F1727&gt;=判定条件!$C$7*E1727,"運転",IF(F1727&lt;=判定条件!$C$8*E1727,"停止","断続")))</f>
        <v>断続</v>
      </c>
      <c r="H1727" s="30" t="n">
        <v>60</v>
      </c>
      <c r="I1727" s="30" t="n">
        <v>26</v>
      </c>
      <c r="J1727" s="30" t="str">
        <f aca="false">IF(H1727&lt;判定条件!$C$6,"判定不能",IF(I1727&gt;=判定条件!$C$7*H1727,"運転",IF(I1727&lt;=判定条件!$C$8*H1727,"停止","断続")))</f>
        <v>断続</v>
      </c>
      <c r="K1727" s="30" t="n">
        <v>60</v>
      </c>
      <c r="L1727" s="30" t="n">
        <v>3</v>
      </c>
      <c r="M1727" s="30" t="str">
        <f aca="false">IF(K1727&lt;判定条件!$C$6,"判定不能",IF(L1727&gt;=判定条件!$C$7*K1727,"運転",IF(L1727&lt;=判定条件!$C$8*K1727,"停止","断続")))</f>
        <v>停止</v>
      </c>
      <c r="N1727" s="30" t="n">
        <v>60</v>
      </c>
      <c r="O1727" s="30" t="n">
        <v>0</v>
      </c>
      <c r="P1727" s="30" t="str">
        <f aca="false">IF(N1727&lt;判定条件!$C$6,"判定不能",IF(O1727&gt;=判定条件!$C$7*N1727,"運転",IF(O1727&lt;=判定条件!$C$8*N1727,"停止","断続")))</f>
        <v>停止</v>
      </c>
      <c r="Q1727" s="30" t="n">
        <v>60</v>
      </c>
      <c r="R1727" s="30" t="n">
        <v>0</v>
      </c>
      <c r="S1727" s="30" t="str">
        <f aca="false">IF(Q1727&lt;判定条件!$C$6,"判定不能",IF(R1727&gt;=判定条件!$C$7*Q1727,"運転",IF(R1727&lt;=判定条件!$C$8*Q1727,"停止","断続")))</f>
        <v>停止</v>
      </c>
      <c r="T1727" s="30" t="n">
        <v>60</v>
      </c>
      <c r="U1727" s="30" t="n">
        <v>0</v>
      </c>
      <c r="V1727" s="30" t="str">
        <f aca="false">IF(T1727&lt;判定条件!$C$6,"判定不能",IF(U1727&gt;=判定条件!$C$7*T1727,"運転",IF(U1727&lt;=判定条件!$C$8*T1727,"停止","断続")))</f>
        <v>停止</v>
      </c>
      <c r="W1727" s="30" t="n">
        <v>60</v>
      </c>
      <c r="X1727" s="30" t="n">
        <v>0</v>
      </c>
      <c r="Y1727" s="30" t="str">
        <f aca="false">IF(W1727&lt;判定条件!$C$6,"判定不能",IF(X1727&gt;=判定条件!$C$7*W1727,"運転",IF(X1727&lt;=判定条件!$C$8*W1727,"停止","断続")))</f>
        <v>停止</v>
      </c>
      <c r="Z1727" s="30" t="n">
        <v>60</v>
      </c>
      <c r="AA1727" s="30" t="n">
        <v>0</v>
      </c>
      <c r="AB1727" s="30" t="str">
        <f aca="false">IF(Z1727&lt;判定条件!$C$6,"判定不能",IF(AA1727&gt;=判定条件!$C$7*Z1727,"運転",IF(AA1727&lt;=判定条件!$C$8*Z1727,"停止","断続")))</f>
        <v>停止</v>
      </c>
      <c r="AC1727" s="30" t="n">
        <v>60</v>
      </c>
      <c r="AD1727" s="30" t="n">
        <v>0</v>
      </c>
      <c r="AE1727" s="30" t="str">
        <f aca="false">IF(AC1727&lt;判定条件!$C$6,"判定不能",IF(AD1727&gt;=判定条件!$C$7*AC1727,"運転",IF(AD1727&lt;=判定条件!$C$8*AC1727,"停止","断続")))</f>
        <v>停止</v>
      </c>
      <c r="AF1727" s="30" t="n">
        <v>60</v>
      </c>
      <c r="AG1727" s="30" t="n">
        <v>0</v>
      </c>
      <c r="AH1727" s="30" t="str">
        <f aca="false">IF(OR(P1727="判定不能",G1727="判定不能"),"判定不能",IF(AG1727&gt;=判定条件!$C$9,"利用可",IF(AND(P1727="停止",G1727="停止"),"両方停止","運転がそろわない")))</f>
        <v>運転がそろわない</v>
      </c>
      <c r="AI1727" s="30" t="n">
        <v>60</v>
      </c>
      <c r="AJ1727" s="30" t="n">
        <v>0</v>
      </c>
      <c r="AK1727" s="30" t="str">
        <f aca="false">IF(OR(S1727="判定不能",J1727="判定不能"),"判定不能",IF(AJ1727&gt;=判定条件!$C$9,"利用可",IF(AND(S1727="停止",J1727="停止"),"両方停止","運転がそろわない")))</f>
        <v>運転がそろわない</v>
      </c>
      <c r="AL1727" s="30" t="n">
        <v>60</v>
      </c>
      <c r="AM1727" s="30" t="n">
        <v>0</v>
      </c>
      <c r="AN1727" s="30" t="str">
        <f aca="false">IF(OR(V1727="判定不能",M1727="判定不能"),"判定不能",IF(AM1727&gt;=判定条件!$C$9,"利用可",IF(AND(V1727="停止",M1727="停止"),"両方停止","運転がそろわない")))</f>
        <v>両方停止</v>
      </c>
      <c r="AO1727" s="30" t="n">
        <v>60</v>
      </c>
      <c r="AP1727" s="30" t="n">
        <v>0</v>
      </c>
      <c r="AQ1727" s="30" t="str">
        <f aca="false">IF(OR(Y1727="判定不能",G1727="判定不能"),"判定不能",IF(AP1727&gt;=判定条件!$C$9,"利用可",IF(AND(Y1727="停止",G1727="停止"),"両方停止","運転がそろわない")))</f>
        <v>運転がそろわない</v>
      </c>
      <c r="AR1727" s="30" t="n">
        <v>60</v>
      </c>
      <c r="AS1727" s="30" t="n">
        <v>0</v>
      </c>
      <c r="AT1727" s="30" t="str">
        <f aca="false">IF(OR(AB1727="判定不能",J1727="判定不能"),"判定不能",IF(AS1727&gt;=判定条件!$C$9,"利用可",IF(AND(AB1727="停止",J1727="停止"),"両方停止","運転がそろわない")))</f>
        <v>運転がそろわない</v>
      </c>
      <c r="AU1727" s="30" t="n">
        <v>60</v>
      </c>
      <c r="AV1727" s="30" t="n">
        <v>0</v>
      </c>
      <c r="AW1727" s="30" t="str">
        <f aca="false">IF(OR(AE1727="判定不能",M1727="判定不能"),"判定不能",IF(AV1727&gt;=判定条件!$C$9,"利用可",IF(AND(AE1727="停止",M1727="停止"),"両方停止","運転がそろわない")))</f>
        <v>両方停止</v>
      </c>
      <c r="AX1727" s="30" t="str">
        <f aca="false">IF(AND(AH1727="利用可",AK1727="利用可",AN1727="利用可"),"利用可","不可")</f>
        <v>不可</v>
      </c>
      <c r="AY1727" s="30" t="str">
        <f aca="false">IF(AND(AQ1727="利用可",AT1727="利用可",AW1727="利用可"),"利用可","不可")</f>
        <v>不可</v>
      </c>
    </row>
    <row r="1728" customFormat="false" ht="15" hidden="false" customHeight="false" outlineLevel="0" collapsed="false">
      <c r="A1728" s="29" t="n">
        <v>46303</v>
      </c>
      <c r="B1728" s="30" t="n">
        <v>21</v>
      </c>
      <c r="C1728" s="31" t="s">
        <v>61</v>
      </c>
      <c r="D1728" s="31" t="s">
        <v>59</v>
      </c>
      <c r="E1728" s="30" t="n">
        <v>60</v>
      </c>
      <c r="F1728" s="30" t="n">
        <v>0</v>
      </c>
      <c r="G1728" s="30" t="str">
        <f aca="false">IF(E1728&lt;判定条件!$C$6,"判定不能",IF(F1728&gt;=判定条件!$C$7*E1728,"運転",IF(F1728&lt;=判定条件!$C$8*E1728,"停止","断続")))</f>
        <v>停止</v>
      </c>
      <c r="H1728" s="30" t="n">
        <v>60</v>
      </c>
      <c r="I1728" s="30" t="n">
        <v>0</v>
      </c>
      <c r="J1728" s="30" t="str">
        <f aca="false">IF(H1728&lt;判定条件!$C$6,"判定不能",IF(I1728&gt;=判定条件!$C$7*H1728,"運転",IF(I1728&lt;=判定条件!$C$8*H1728,"停止","断続")))</f>
        <v>停止</v>
      </c>
      <c r="K1728" s="30" t="n">
        <v>60</v>
      </c>
      <c r="L1728" s="30" t="n">
        <v>0</v>
      </c>
      <c r="M1728" s="30" t="str">
        <f aca="false">IF(K1728&lt;判定条件!$C$6,"判定不能",IF(L1728&gt;=判定条件!$C$7*K1728,"運転",IF(L1728&lt;=判定条件!$C$8*K1728,"停止","断続")))</f>
        <v>停止</v>
      </c>
      <c r="N1728" s="30" t="n">
        <v>60</v>
      </c>
      <c r="O1728" s="30" t="n">
        <v>0</v>
      </c>
      <c r="P1728" s="30" t="str">
        <f aca="false">IF(N1728&lt;判定条件!$C$6,"判定不能",IF(O1728&gt;=判定条件!$C$7*N1728,"運転",IF(O1728&lt;=判定条件!$C$8*N1728,"停止","断続")))</f>
        <v>停止</v>
      </c>
      <c r="Q1728" s="30" t="n">
        <v>60</v>
      </c>
      <c r="R1728" s="30" t="n">
        <v>0</v>
      </c>
      <c r="S1728" s="30" t="str">
        <f aca="false">IF(Q1728&lt;判定条件!$C$6,"判定不能",IF(R1728&gt;=判定条件!$C$7*Q1728,"運転",IF(R1728&lt;=判定条件!$C$8*Q1728,"停止","断続")))</f>
        <v>停止</v>
      </c>
      <c r="T1728" s="30" t="n">
        <v>60</v>
      </c>
      <c r="U1728" s="30" t="n">
        <v>0</v>
      </c>
      <c r="V1728" s="30" t="str">
        <f aca="false">IF(T1728&lt;判定条件!$C$6,"判定不能",IF(U1728&gt;=判定条件!$C$7*T1728,"運転",IF(U1728&lt;=判定条件!$C$8*T1728,"停止","断続")))</f>
        <v>停止</v>
      </c>
      <c r="W1728" s="30" t="n">
        <v>60</v>
      </c>
      <c r="X1728" s="30" t="n">
        <v>0</v>
      </c>
      <c r="Y1728" s="30" t="str">
        <f aca="false">IF(W1728&lt;判定条件!$C$6,"判定不能",IF(X1728&gt;=判定条件!$C$7*W1728,"運転",IF(X1728&lt;=判定条件!$C$8*W1728,"停止","断続")))</f>
        <v>停止</v>
      </c>
      <c r="Z1728" s="30" t="n">
        <v>60</v>
      </c>
      <c r="AA1728" s="30" t="n">
        <v>0</v>
      </c>
      <c r="AB1728" s="30" t="str">
        <f aca="false">IF(Z1728&lt;判定条件!$C$6,"判定不能",IF(AA1728&gt;=判定条件!$C$7*Z1728,"運転",IF(AA1728&lt;=判定条件!$C$8*Z1728,"停止","断続")))</f>
        <v>停止</v>
      </c>
      <c r="AC1728" s="30" t="n">
        <v>60</v>
      </c>
      <c r="AD1728" s="30" t="n">
        <v>0</v>
      </c>
      <c r="AE1728" s="30" t="str">
        <f aca="false">IF(AC1728&lt;判定条件!$C$6,"判定不能",IF(AD1728&gt;=判定条件!$C$7*AC1728,"運転",IF(AD1728&lt;=判定条件!$C$8*AC1728,"停止","断続")))</f>
        <v>停止</v>
      </c>
      <c r="AF1728" s="30" t="n">
        <v>60</v>
      </c>
      <c r="AG1728" s="30" t="n">
        <v>0</v>
      </c>
      <c r="AH1728" s="30" t="str">
        <f aca="false">IF(OR(P1728="判定不能",G1728="判定不能"),"判定不能",IF(AG1728&gt;=判定条件!$C$9,"利用可",IF(AND(P1728="停止",G1728="停止"),"両方停止","運転がそろわない")))</f>
        <v>両方停止</v>
      </c>
      <c r="AI1728" s="30" t="n">
        <v>60</v>
      </c>
      <c r="AJ1728" s="30" t="n">
        <v>0</v>
      </c>
      <c r="AK1728" s="30" t="str">
        <f aca="false">IF(OR(S1728="判定不能",J1728="判定不能"),"判定不能",IF(AJ1728&gt;=判定条件!$C$9,"利用可",IF(AND(S1728="停止",J1728="停止"),"両方停止","運転がそろわない")))</f>
        <v>両方停止</v>
      </c>
      <c r="AL1728" s="30" t="n">
        <v>60</v>
      </c>
      <c r="AM1728" s="30" t="n">
        <v>0</v>
      </c>
      <c r="AN1728" s="30" t="str">
        <f aca="false">IF(OR(V1728="判定不能",M1728="判定不能"),"判定不能",IF(AM1728&gt;=判定条件!$C$9,"利用可",IF(AND(V1728="停止",M1728="停止"),"両方停止","運転がそろわない")))</f>
        <v>両方停止</v>
      </c>
      <c r="AO1728" s="30" t="n">
        <v>60</v>
      </c>
      <c r="AP1728" s="30" t="n">
        <v>0</v>
      </c>
      <c r="AQ1728" s="30" t="str">
        <f aca="false">IF(OR(Y1728="判定不能",G1728="判定不能"),"判定不能",IF(AP1728&gt;=判定条件!$C$9,"利用可",IF(AND(Y1728="停止",G1728="停止"),"両方停止","運転がそろわない")))</f>
        <v>両方停止</v>
      </c>
      <c r="AR1728" s="30" t="n">
        <v>60</v>
      </c>
      <c r="AS1728" s="30" t="n">
        <v>0</v>
      </c>
      <c r="AT1728" s="30" t="str">
        <f aca="false">IF(OR(AB1728="判定不能",J1728="判定不能"),"判定不能",IF(AS1728&gt;=判定条件!$C$9,"利用可",IF(AND(AB1728="停止",J1728="停止"),"両方停止","運転がそろわない")))</f>
        <v>両方停止</v>
      </c>
      <c r="AU1728" s="30" t="n">
        <v>60</v>
      </c>
      <c r="AV1728" s="30" t="n">
        <v>0</v>
      </c>
      <c r="AW1728" s="30" t="str">
        <f aca="false">IF(OR(AE1728="判定不能",M1728="判定不能"),"判定不能",IF(AV1728&gt;=判定条件!$C$9,"利用可",IF(AND(AE1728="停止",M1728="停止"),"両方停止","運転がそろわない")))</f>
        <v>両方停止</v>
      </c>
      <c r="AX1728" s="30" t="str">
        <f aca="false">IF(AND(AH1728="利用可",AK1728="利用可",AN1728="利用可"),"利用可","不可")</f>
        <v>不可</v>
      </c>
      <c r="AY1728" s="30" t="str">
        <f aca="false">IF(AND(AQ1728="利用可",AT1728="利用可",AW1728="利用可"),"利用可","不可")</f>
        <v>不可</v>
      </c>
    </row>
    <row r="1729" customFormat="false" ht="15" hidden="false" customHeight="false" outlineLevel="0" collapsed="false">
      <c r="A1729" s="29" t="n">
        <v>46303</v>
      </c>
      <c r="B1729" s="30" t="n">
        <v>22</v>
      </c>
      <c r="C1729" s="31" t="s">
        <v>61</v>
      </c>
      <c r="D1729" s="31" t="s">
        <v>59</v>
      </c>
      <c r="E1729" s="30" t="n">
        <v>60</v>
      </c>
      <c r="F1729" s="30" t="n">
        <v>0</v>
      </c>
      <c r="G1729" s="30" t="str">
        <f aca="false">IF(E1729&lt;判定条件!$C$6,"判定不能",IF(F1729&gt;=判定条件!$C$7*E1729,"運転",IF(F1729&lt;=判定条件!$C$8*E1729,"停止","断続")))</f>
        <v>停止</v>
      </c>
      <c r="H1729" s="30" t="n">
        <v>60</v>
      </c>
      <c r="I1729" s="30" t="n">
        <v>0</v>
      </c>
      <c r="J1729" s="30" t="str">
        <f aca="false">IF(H1729&lt;判定条件!$C$6,"判定不能",IF(I1729&gt;=判定条件!$C$7*H1729,"運転",IF(I1729&lt;=判定条件!$C$8*H1729,"停止","断続")))</f>
        <v>停止</v>
      </c>
      <c r="K1729" s="30" t="n">
        <v>60</v>
      </c>
      <c r="L1729" s="30" t="n">
        <v>0</v>
      </c>
      <c r="M1729" s="30" t="str">
        <f aca="false">IF(K1729&lt;判定条件!$C$6,"判定不能",IF(L1729&gt;=判定条件!$C$7*K1729,"運転",IF(L1729&lt;=判定条件!$C$8*K1729,"停止","断続")))</f>
        <v>停止</v>
      </c>
      <c r="N1729" s="30" t="n">
        <v>60</v>
      </c>
      <c r="O1729" s="30" t="n">
        <v>0</v>
      </c>
      <c r="P1729" s="30" t="str">
        <f aca="false">IF(N1729&lt;判定条件!$C$6,"判定不能",IF(O1729&gt;=判定条件!$C$7*N1729,"運転",IF(O1729&lt;=判定条件!$C$8*N1729,"停止","断続")))</f>
        <v>停止</v>
      </c>
      <c r="Q1729" s="30" t="n">
        <v>60</v>
      </c>
      <c r="R1729" s="30" t="n">
        <v>0</v>
      </c>
      <c r="S1729" s="30" t="str">
        <f aca="false">IF(Q1729&lt;判定条件!$C$6,"判定不能",IF(R1729&gt;=判定条件!$C$7*Q1729,"運転",IF(R1729&lt;=判定条件!$C$8*Q1729,"停止","断続")))</f>
        <v>停止</v>
      </c>
      <c r="T1729" s="30" t="n">
        <v>60</v>
      </c>
      <c r="U1729" s="30" t="n">
        <v>0</v>
      </c>
      <c r="V1729" s="30" t="str">
        <f aca="false">IF(T1729&lt;判定条件!$C$6,"判定不能",IF(U1729&gt;=判定条件!$C$7*T1729,"運転",IF(U1729&lt;=判定条件!$C$8*T1729,"停止","断続")))</f>
        <v>停止</v>
      </c>
      <c r="W1729" s="30" t="n">
        <v>60</v>
      </c>
      <c r="X1729" s="30" t="n">
        <v>0</v>
      </c>
      <c r="Y1729" s="30" t="str">
        <f aca="false">IF(W1729&lt;判定条件!$C$6,"判定不能",IF(X1729&gt;=判定条件!$C$7*W1729,"運転",IF(X1729&lt;=判定条件!$C$8*W1729,"停止","断続")))</f>
        <v>停止</v>
      </c>
      <c r="Z1729" s="30" t="n">
        <v>60</v>
      </c>
      <c r="AA1729" s="30" t="n">
        <v>0</v>
      </c>
      <c r="AB1729" s="30" t="str">
        <f aca="false">IF(Z1729&lt;判定条件!$C$6,"判定不能",IF(AA1729&gt;=判定条件!$C$7*Z1729,"運転",IF(AA1729&lt;=判定条件!$C$8*Z1729,"停止","断続")))</f>
        <v>停止</v>
      </c>
      <c r="AC1729" s="30" t="n">
        <v>60</v>
      </c>
      <c r="AD1729" s="30" t="n">
        <v>0</v>
      </c>
      <c r="AE1729" s="30" t="str">
        <f aca="false">IF(AC1729&lt;判定条件!$C$6,"判定不能",IF(AD1729&gt;=判定条件!$C$7*AC1729,"運転",IF(AD1729&lt;=判定条件!$C$8*AC1729,"停止","断続")))</f>
        <v>停止</v>
      </c>
      <c r="AF1729" s="30" t="n">
        <v>60</v>
      </c>
      <c r="AG1729" s="30" t="n">
        <v>0</v>
      </c>
      <c r="AH1729" s="30" t="str">
        <f aca="false">IF(OR(P1729="判定不能",G1729="判定不能"),"判定不能",IF(AG1729&gt;=判定条件!$C$9,"利用可",IF(AND(P1729="停止",G1729="停止"),"両方停止","運転がそろわない")))</f>
        <v>両方停止</v>
      </c>
      <c r="AI1729" s="30" t="n">
        <v>60</v>
      </c>
      <c r="AJ1729" s="30" t="n">
        <v>0</v>
      </c>
      <c r="AK1729" s="30" t="str">
        <f aca="false">IF(OR(S1729="判定不能",J1729="判定不能"),"判定不能",IF(AJ1729&gt;=判定条件!$C$9,"利用可",IF(AND(S1729="停止",J1729="停止"),"両方停止","運転がそろわない")))</f>
        <v>両方停止</v>
      </c>
      <c r="AL1729" s="30" t="n">
        <v>60</v>
      </c>
      <c r="AM1729" s="30" t="n">
        <v>0</v>
      </c>
      <c r="AN1729" s="30" t="str">
        <f aca="false">IF(OR(V1729="判定不能",M1729="判定不能"),"判定不能",IF(AM1729&gt;=判定条件!$C$9,"利用可",IF(AND(V1729="停止",M1729="停止"),"両方停止","運転がそろわない")))</f>
        <v>両方停止</v>
      </c>
      <c r="AO1729" s="30" t="n">
        <v>60</v>
      </c>
      <c r="AP1729" s="30" t="n">
        <v>0</v>
      </c>
      <c r="AQ1729" s="30" t="str">
        <f aca="false">IF(OR(Y1729="判定不能",G1729="判定不能"),"判定不能",IF(AP1729&gt;=判定条件!$C$9,"利用可",IF(AND(Y1729="停止",G1729="停止"),"両方停止","運転がそろわない")))</f>
        <v>両方停止</v>
      </c>
      <c r="AR1729" s="30" t="n">
        <v>60</v>
      </c>
      <c r="AS1729" s="30" t="n">
        <v>0</v>
      </c>
      <c r="AT1729" s="30" t="str">
        <f aca="false">IF(OR(AB1729="判定不能",J1729="判定不能"),"判定不能",IF(AS1729&gt;=判定条件!$C$9,"利用可",IF(AND(AB1729="停止",J1729="停止"),"両方停止","運転がそろわない")))</f>
        <v>両方停止</v>
      </c>
      <c r="AU1729" s="30" t="n">
        <v>60</v>
      </c>
      <c r="AV1729" s="30" t="n">
        <v>0</v>
      </c>
      <c r="AW1729" s="30" t="str">
        <f aca="false">IF(OR(AE1729="判定不能",M1729="判定不能"),"判定不能",IF(AV1729&gt;=判定条件!$C$9,"利用可",IF(AND(AE1729="停止",M1729="停止"),"両方停止","運転がそろわない")))</f>
        <v>両方停止</v>
      </c>
      <c r="AX1729" s="30" t="str">
        <f aca="false">IF(AND(AH1729="利用可",AK1729="利用可",AN1729="利用可"),"利用可","不可")</f>
        <v>不可</v>
      </c>
      <c r="AY1729" s="30" t="str">
        <f aca="false">IF(AND(AQ1729="利用可",AT1729="利用可",AW1729="利用可"),"利用可","不可")</f>
        <v>不可</v>
      </c>
    </row>
    <row r="1730" customFormat="false" ht="15" hidden="false" customHeight="false" outlineLevel="0" collapsed="false">
      <c r="A1730" s="29" t="n">
        <v>46303</v>
      </c>
      <c r="B1730" s="30" t="n">
        <v>23</v>
      </c>
      <c r="C1730" s="31" t="s">
        <v>61</v>
      </c>
      <c r="D1730" s="31" t="s">
        <v>59</v>
      </c>
      <c r="E1730" s="30" t="n">
        <v>60</v>
      </c>
      <c r="F1730" s="30" t="n">
        <v>0</v>
      </c>
      <c r="G1730" s="30" t="str">
        <f aca="false">IF(E1730&lt;判定条件!$C$6,"判定不能",IF(F1730&gt;=判定条件!$C$7*E1730,"運転",IF(F1730&lt;=判定条件!$C$8*E1730,"停止","断続")))</f>
        <v>停止</v>
      </c>
      <c r="H1730" s="30" t="n">
        <v>60</v>
      </c>
      <c r="I1730" s="30" t="n">
        <v>0</v>
      </c>
      <c r="J1730" s="30" t="str">
        <f aca="false">IF(H1730&lt;判定条件!$C$6,"判定不能",IF(I1730&gt;=判定条件!$C$7*H1730,"運転",IF(I1730&lt;=判定条件!$C$8*H1730,"停止","断続")))</f>
        <v>停止</v>
      </c>
      <c r="K1730" s="30" t="n">
        <v>60</v>
      </c>
      <c r="L1730" s="30" t="n">
        <v>0</v>
      </c>
      <c r="M1730" s="30" t="str">
        <f aca="false">IF(K1730&lt;判定条件!$C$6,"判定不能",IF(L1730&gt;=判定条件!$C$7*K1730,"運転",IF(L1730&lt;=判定条件!$C$8*K1730,"停止","断続")))</f>
        <v>停止</v>
      </c>
      <c r="N1730" s="30" t="n">
        <v>60</v>
      </c>
      <c r="O1730" s="30" t="n">
        <v>0</v>
      </c>
      <c r="P1730" s="30" t="str">
        <f aca="false">IF(N1730&lt;判定条件!$C$6,"判定不能",IF(O1730&gt;=判定条件!$C$7*N1730,"運転",IF(O1730&lt;=判定条件!$C$8*N1730,"停止","断続")))</f>
        <v>停止</v>
      </c>
      <c r="Q1730" s="30" t="n">
        <v>60</v>
      </c>
      <c r="R1730" s="30" t="n">
        <v>0</v>
      </c>
      <c r="S1730" s="30" t="str">
        <f aca="false">IF(Q1730&lt;判定条件!$C$6,"判定不能",IF(R1730&gt;=判定条件!$C$7*Q1730,"運転",IF(R1730&lt;=判定条件!$C$8*Q1730,"停止","断続")))</f>
        <v>停止</v>
      </c>
      <c r="T1730" s="30" t="n">
        <v>60</v>
      </c>
      <c r="U1730" s="30" t="n">
        <v>0</v>
      </c>
      <c r="V1730" s="30" t="str">
        <f aca="false">IF(T1730&lt;判定条件!$C$6,"判定不能",IF(U1730&gt;=判定条件!$C$7*T1730,"運転",IF(U1730&lt;=判定条件!$C$8*T1730,"停止","断続")))</f>
        <v>停止</v>
      </c>
      <c r="W1730" s="30" t="n">
        <v>60</v>
      </c>
      <c r="X1730" s="30" t="n">
        <v>0</v>
      </c>
      <c r="Y1730" s="30" t="str">
        <f aca="false">IF(W1730&lt;判定条件!$C$6,"判定不能",IF(X1730&gt;=判定条件!$C$7*W1730,"運転",IF(X1730&lt;=判定条件!$C$8*W1730,"停止","断続")))</f>
        <v>停止</v>
      </c>
      <c r="Z1730" s="30" t="n">
        <v>60</v>
      </c>
      <c r="AA1730" s="30" t="n">
        <v>0</v>
      </c>
      <c r="AB1730" s="30" t="str">
        <f aca="false">IF(Z1730&lt;判定条件!$C$6,"判定不能",IF(AA1730&gt;=判定条件!$C$7*Z1730,"運転",IF(AA1730&lt;=判定条件!$C$8*Z1730,"停止","断続")))</f>
        <v>停止</v>
      </c>
      <c r="AC1730" s="30" t="n">
        <v>60</v>
      </c>
      <c r="AD1730" s="30" t="n">
        <v>0</v>
      </c>
      <c r="AE1730" s="30" t="str">
        <f aca="false">IF(AC1730&lt;判定条件!$C$6,"判定不能",IF(AD1730&gt;=判定条件!$C$7*AC1730,"運転",IF(AD1730&lt;=判定条件!$C$8*AC1730,"停止","断続")))</f>
        <v>停止</v>
      </c>
      <c r="AF1730" s="30" t="n">
        <v>60</v>
      </c>
      <c r="AG1730" s="30" t="n">
        <v>0</v>
      </c>
      <c r="AH1730" s="30" t="str">
        <f aca="false">IF(OR(P1730="判定不能",G1730="判定不能"),"判定不能",IF(AG1730&gt;=判定条件!$C$9,"利用可",IF(AND(P1730="停止",G1730="停止"),"両方停止","運転がそろわない")))</f>
        <v>両方停止</v>
      </c>
      <c r="AI1730" s="30" t="n">
        <v>60</v>
      </c>
      <c r="AJ1730" s="30" t="n">
        <v>0</v>
      </c>
      <c r="AK1730" s="30" t="str">
        <f aca="false">IF(OR(S1730="判定不能",J1730="判定不能"),"判定不能",IF(AJ1730&gt;=判定条件!$C$9,"利用可",IF(AND(S1730="停止",J1730="停止"),"両方停止","運転がそろわない")))</f>
        <v>両方停止</v>
      </c>
      <c r="AL1730" s="30" t="n">
        <v>60</v>
      </c>
      <c r="AM1730" s="30" t="n">
        <v>0</v>
      </c>
      <c r="AN1730" s="30" t="str">
        <f aca="false">IF(OR(V1730="判定不能",M1730="判定不能"),"判定不能",IF(AM1730&gt;=判定条件!$C$9,"利用可",IF(AND(V1730="停止",M1730="停止"),"両方停止","運転がそろわない")))</f>
        <v>両方停止</v>
      </c>
      <c r="AO1730" s="30" t="n">
        <v>60</v>
      </c>
      <c r="AP1730" s="30" t="n">
        <v>0</v>
      </c>
      <c r="AQ1730" s="30" t="str">
        <f aca="false">IF(OR(Y1730="判定不能",G1730="判定不能"),"判定不能",IF(AP1730&gt;=判定条件!$C$9,"利用可",IF(AND(Y1730="停止",G1730="停止"),"両方停止","運転がそろわない")))</f>
        <v>両方停止</v>
      </c>
      <c r="AR1730" s="30" t="n">
        <v>60</v>
      </c>
      <c r="AS1730" s="30" t="n">
        <v>0</v>
      </c>
      <c r="AT1730" s="30" t="str">
        <f aca="false">IF(OR(AB1730="判定不能",J1730="判定不能"),"判定不能",IF(AS1730&gt;=判定条件!$C$9,"利用可",IF(AND(AB1730="停止",J1730="停止"),"両方停止","運転がそろわない")))</f>
        <v>両方停止</v>
      </c>
      <c r="AU1730" s="30" t="n">
        <v>60</v>
      </c>
      <c r="AV1730" s="30" t="n">
        <v>0</v>
      </c>
      <c r="AW1730" s="30" t="str">
        <f aca="false">IF(OR(AE1730="判定不能",M1730="判定不能"),"判定不能",IF(AV1730&gt;=判定条件!$C$9,"利用可",IF(AND(AE1730="停止",M1730="停止"),"両方停止","運転がそろわない")))</f>
        <v>両方停止</v>
      </c>
      <c r="AX1730" s="30" t="str">
        <f aca="false">IF(AND(AH1730="利用可",AK1730="利用可",AN1730="利用可"),"利用可","不可")</f>
        <v>不可</v>
      </c>
      <c r="AY1730" s="30" t="str">
        <f aca="false">IF(AND(AQ1730="利用可",AT1730="利用可",AW1730="利用可"),"利用可","不可")</f>
        <v>不可</v>
      </c>
    </row>
    <row r="1731" customFormat="false" ht="15" hidden="false" customHeight="false" outlineLevel="0" collapsed="false">
      <c r="A1731" s="29" t="n">
        <v>46304</v>
      </c>
      <c r="B1731" s="30" t="n">
        <v>0</v>
      </c>
      <c r="C1731" s="31" t="s">
        <v>62</v>
      </c>
      <c r="D1731" s="31" t="s">
        <v>59</v>
      </c>
      <c r="E1731" s="30" t="n">
        <v>60</v>
      </c>
      <c r="F1731" s="30" t="n">
        <v>0</v>
      </c>
      <c r="G1731" s="30" t="str">
        <f aca="false">IF(E1731&lt;判定条件!$C$6,"判定不能",IF(F1731&gt;=判定条件!$C$7*E1731,"運転",IF(F1731&lt;=判定条件!$C$8*E1731,"停止","断続")))</f>
        <v>停止</v>
      </c>
      <c r="H1731" s="30" t="n">
        <v>60</v>
      </c>
      <c r="I1731" s="30" t="n">
        <v>0</v>
      </c>
      <c r="J1731" s="30" t="str">
        <f aca="false">IF(H1731&lt;判定条件!$C$6,"判定不能",IF(I1731&gt;=判定条件!$C$7*H1731,"運転",IF(I1731&lt;=判定条件!$C$8*H1731,"停止","断続")))</f>
        <v>停止</v>
      </c>
      <c r="K1731" s="30" t="n">
        <v>60</v>
      </c>
      <c r="L1731" s="30" t="n">
        <v>0</v>
      </c>
      <c r="M1731" s="30" t="str">
        <f aca="false">IF(K1731&lt;判定条件!$C$6,"判定不能",IF(L1731&gt;=判定条件!$C$7*K1731,"運転",IF(L1731&lt;=判定条件!$C$8*K1731,"停止","断続")))</f>
        <v>停止</v>
      </c>
      <c r="N1731" s="30" t="n">
        <v>60</v>
      </c>
      <c r="O1731" s="30" t="n">
        <v>0</v>
      </c>
      <c r="P1731" s="30" t="str">
        <f aca="false">IF(N1731&lt;判定条件!$C$6,"判定不能",IF(O1731&gt;=判定条件!$C$7*N1731,"運転",IF(O1731&lt;=判定条件!$C$8*N1731,"停止","断続")))</f>
        <v>停止</v>
      </c>
      <c r="Q1731" s="30" t="n">
        <v>60</v>
      </c>
      <c r="R1731" s="30" t="n">
        <v>0</v>
      </c>
      <c r="S1731" s="30" t="str">
        <f aca="false">IF(Q1731&lt;判定条件!$C$6,"判定不能",IF(R1731&gt;=判定条件!$C$7*Q1731,"運転",IF(R1731&lt;=判定条件!$C$8*Q1731,"停止","断続")))</f>
        <v>停止</v>
      </c>
      <c r="T1731" s="30" t="n">
        <v>60</v>
      </c>
      <c r="U1731" s="30" t="n">
        <v>0</v>
      </c>
      <c r="V1731" s="30" t="str">
        <f aca="false">IF(T1731&lt;判定条件!$C$6,"判定不能",IF(U1731&gt;=判定条件!$C$7*T1731,"運転",IF(U1731&lt;=判定条件!$C$8*T1731,"停止","断続")))</f>
        <v>停止</v>
      </c>
      <c r="W1731" s="30" t="n">
        <v>60</v>
      </c>
      <c r="X1731" s="30" t="n">
        <v>0</v>
      </c>
      <c r="Y1731" s="30" t="str">
        <f aca="false">IF(W1731&lt;判定条件!$C$6,"判定不能",IF(X1731&gt;=判定条件!$C$7*W1731,"運転",IF(X1731&lt;=判定条件!$C$8*W1731,"停止","断続")))</f>
        <v>停止</v>
      </c>
      <c r="Z1731" s="30" t="n">
        <v>60</v>
      </c>
      <c r="AA1731" s="30" t="n">
        <v>0</v>
      </c>
      <c r="AB1731" s="30" t="str">
        <f aca="false">IF(Z1731&lt;判定条件!$C$6,"判定不能",IF(AA1731&gt;=判定条件!$C$7*Z1731,"運転",IF(AA1731&lt;=判定条件!$C$8*Z1731,"停止","断続")))</f>
        <v>停止</v>
      </c>
      <c r="AC1731" s="30" t="n">
        <v>60</v>
      </c>
      <c r="AD1731" s="30" t="n">
        <v>0</v>
      </c>
      <c r="AE1731" s="30" t="str">
        <f aca="false">IF(AC1731&lt;判定条件!$C$6,"判定不能",IF(AD1731&gt;=判定条件!$C$7*AC1731,"運転",IF(AD1731&lt;=判定条件!$C$8*AC1731,"停止","断続")))</f>
        <v>停止</v>
      </c>
      <c r="AF1731" s="30" t="n">
        <v>60</v>
      </c>
      <c r="AG1731" s="30" t="n">
        <v>0</v>
      </c>
      <c r="AH1731" s="30" t="str">
        <f aca="false">IF(OR(P1731="判定不能",G1731="判定不能"),"判定不能",IF(AG1731&gt;=判定条件!$C$9,"利用可",IF(AND(P1731="停止",G1731="停止"),"両方停止","運転がそろわない")))</f>
        <v>両方停止</v>
      </c>
      <c r="AI1731" s="30" t="n">
        <v>60</v>
      </c>
      <c r="AJ1731" s="30" t="n">
        <v>0</v>
      </c>
      <c r="AK1731" s="30" t="str">
        <f aca="false">IF(OR(S1731="判定不能",J1731="判定不能"),"判定不能",IF(AJ1731&gt;=判定条件!$C$9,"利用可",IF(AND(S1731="停止",J1731="停止"),"両方停止","運転がそろわない")))</f>
        <v>両方停止</v>
      </c>
      <c r="AL1731" s="30" t="n">
        <v>60</v>
      </c>
      <c r="AM1731" s="30" t="n">
        <v>0</v>
      </c>
      <c r="AN1731" s="30" t="str">
        <f aca="false">IF(OR(V1731="判定不能",M1731="判定不能"),"判定不能",IF(AM1731&gt;=判定条件!$C$9,"利用可",IF(AND(V1731="停止",M1731="停止"),"両方停止","運転がそろわない")))</f>
        <v>両方停止</v>
      </c>
      <c r="AO1731" s="30" t="n">
        <v>60</v>
      </c>
      <c r="AP1731" s="30" t="n">
        <v>0</v>
      </c>
      <c r="AQ1731" s="30" t="str">
        <f aca="false">IF(OR(Y1731="判定不能",G1731="判定不能"),"判定不能",IF(AP1731&gt;=判定条件!$C$9,"利用可",IF(AND(Y1731="停止",G1731="停止"),"両方停止","運転がそろわない")))</f>
        <v>両方停止</v>
      </c>
      <c r="AR1731" s="30" t="n">
        <v>60</v>
      </c>
      <c r="AS1731" s="30" t="n">
        <v>0</v>
      </c>
      <c r="AT1731" s="30" t="str">
        <f aca="false">IF(OR(AB1731="判定不能",J1731="判定不能"),"判定不能",IF(AS1731&gt;=判定条件!$C$9,"利用可",IF(AND(AB1731="停止",J1731="停止"),"両方停止","運転がそろわない")))</f>
        <v>両方停止</v>
      </c>
      <c r="AU1731" s="30" t="n">
        <v>60</v>
      </c>
      <c r="AV1731" s="30" t="n">
        <v>0</v>
      </c>
      <c r="AW1731" s="30" t="str">
        <f aca="false">IF(OR(AE1731="判定不能",M1731="判定不能"),"判定不能",IF(AV1731&gt;=判定条件!$C$9,"利用可",IF(AND(AE1731="停止",M1731="停止"),"両方停止","運転がそろわない")))</f>
        <v>両方停止</v>
      </c>
      <c r="AX1731" s="30" t="str">
        <f aca="false">IF(AND(AH1731="利用可",AK1731="利用可",AN1731="利用可"),"利用可","不可")</f>
        <v>不可</v>
      </c>
      <c r="AY1731" s="30" t="str">
        <f aca="false">IF(AND(AQ1731="利用可",AT1731="利用可",AW1731="利用可"),"利用可","不可")</f>
        <v>不可</v>
      </c>
    </row>
    <row r="1732" customFormat="false" ht="15" hidden="false" customHeight="false" outlineLevel="0" collapsed="false">
      <c r="A1732" s="29" t="n">
        <v>46304</v>
      </c>
      <c r="B1732" s="30" t="n">
        <v>1</v>
      </c>
      <c r="C1732" s="31" t="s">
        <v>62</v>
      </c>
      <c r="D1732" s="31" t="s">
        <v>59</v>
      </c>
      <c r="E1732" s="30" t="n">
        <v>60</v>
      </c>
      <c r="F1732" s="30" t="n">
        <v>0</v>
      </c>
      <c r="G1732" s="30" t="str">
        <f aca="false">IF(E1732&lt;判定条件!$C$6,"判定不能",IF(F1732&gt;=判定条件!$C$7*E1732,"運転",IF(F1732&lt;=判定条件!$C$8*E1732,"停止","断続")))</f>
        <v>停止</v>
      </c>
      <c r="H1732" s="30" t="n">
        <v>60</v>
      </c>
      <c r="I1732" s="30" t="n">
        <v>0</v>
      </c>
      <c r="J1732" s="30" t="str">
        <f aca="false">IF(H1732&lt;判定条件!$C$6,"判定不能",IF(I1732&gt;=判定条件!$C$7*H1732,"運転",IF(I1732&lt;=判定条件!$C$8*H1732,"停止","断続")))</f>
        <v>停止</v>
      </c>
      <c r="K1732" s="30" t="n">
        <v>60</v>
      </c>
      <c r="L1732" s="30" t="n">
        <v>0</v>
      </c>
      <c r="M1732" s="30" t="str">
        <f aca="false">IF(K1732&lt;判定条件!$C$6,"判定不能",IF(L1732&gt;=判定条件!$C$7*K1732,"運転",IF(L1732&lt;=判定条件!$C$8*K1732,"停止","断続")))</f>
        <v>停止</v>
      </c>
      <c r="N1732" s="30" t="n">
        <v>60</v>
      </c>
      <c r="O1732" s="30" t="n">
        <v>0</v>
      </c>
      <c r="P1732" s="30" t="str">
        <f aca="false">IF(N1732&lt;判定条件!$C$6,"判定不能",IF(O1732&gt;=判定条件!$C$7*N1732,"運転",IF(O1732&lt;=判定条件!$C$8*N1732,"停止","断続")))</f>
        <v>停止</v>
      </c>
      <c r="Q1732" s="30" t="n">
        <v>60</v>
      </c>
      <c r="R1732" s="30" t="n">
        <v>0</v>
      </c>
      <c r="S1732" s="30" t="str">
        <f aca="false">IF(Q1732&lt;判定条件!$C$6,"判定不能",IF(R1732&gt;=判定条件!$C$7*Q1732,"運転",IF(R1732&lt;=判定条件!$C$8*Q1732,"停止","断続")))</f>
        <v>停止</v>
      </c>
      <c r="T1732" s="30" t="n">
        <v>60</v>
      </c>
      <c r="U1732" s="30" t="n">
        <v>0</v>
      </c>
      <c r="V1732" s="30" t="str">
        <f aca="false">IF(T1732&lt;判定条件!$C$6,"判定不能",IF(U1732&gt;=判定条件!$C$7*T1732,"運転",IF(U1732&lt;=判定条件!$C$8*T1732,"停止","断続")))</f>
        <v>停止</v>
      </c>
      <c r="W1732" s="30" t="n">
        <v>60</v>
      </c>
      <c r="X1732" s="30" t="n">
        <v>0</v>
      </c>
      <c r="Y1732" s="30" t="str">
        <f aca="false">IF(W1732&lt;判定条件!$C$6,"判定不能",IF(X1732&gt;=判定条件!$C$7*W1732,"運転",IF(X1732&lt;=判定条件!$C$8*W1732,"停止","断続")))</f>
        <v>停止</v>
      </c>
      <c r="Z1732" s="30" t="n">
        <v>60</v>
      </c>
      <c r="AA1732" s="30" t="n">
        <v>0</v>
      </c>
      <c r="AB1732" s="30" t="str">
        <f aca="false">IF(Z1732&lt;判定条件!$C$6,"判定不能",IF(AA1732&gt;=判定条件!$C$7*Z1732,"運転",IF(AA1732&lt;=判定条件!$C$8*Z1732,"停止","断続")))</f>
        <v>停止</v>
      </c>
      <c r="AC1732" s="30" t="n">
        <v>60</v>
      </c>
      <c r="AD1732" s="30" t="n">
        <v>0</v>
      </c>
      <c r="AE1732" s="30" t="str">
        <f aca="false">IF(AC1732&lt;判定条件!$C$6,"判定不能",IF(AD1732&gt;=判定条件!$C$7*AC1732,"運転",IF(AD1732&lt;=判定条件!$C$8*AC1732,"停止","断続")))</f>
        <v>停止</v>
      </c>
      <c r="AF1732" s="30" t="n">
        <v>60</v>
      </c>
      <c r="AG1732" s="30" t="n">
        <v>0</v>
      </c>
      <c r="AH1732" s="30" t="str">
        <f aca="false">IF(OR(P1732="判定不能",G1732="判定不能"),"判定不能",IF(AG1732&gt;=判定条件!$C$9,"利用可",IF(AND(P1732="停止",G1732="停止"),"両方停止","運転がそろわない")))</f>
        <v>両方停止</v>
      </c>
      <c r="AI1732" s="30" t="n">
        <v>60</v>
      </c>
      <c r="AJ1732" s="30" t="n">
        <v>0</v>
      </c>
      <c r="AK1732" s="30" t="str">
        <f aca="false">IF(OR(S1732="判定不能",J1732="判定不能"),"判定不能",IF(AJ1732&gt;=判定条件!$C$9,"利用可",IF(AND(S1732="停止",J1732="停止"),"両方停止","運転がそろわない")))</f>
        <v>両方停止</v>
      </c>
      <c r="AL1732" s="30" t="n">
        <v>60</v>
      </c>
      <c r="AM1732" s="30" t="n">
        <v>0</v>
      </c>
      <c r="AN1732" s="30" t="str">
        <f aca="false">IF(OR(V1732="判定不能",M1732="判定不能"),"判定不能",IF(AM1732&gt;=判定条件!$C$9,"利用可",IF(AND(V1732="停止",M1732="停止"),"両方停止","運転がそろわない")))</f>
        <v>両方停止</v>
      </c>
      <c r="AO1732" s="30" t="n">
        <v>60</v>
      </c>
      <c r="AP1732" s="30" t="n">
        <v>0</v>
      </c>
      <c r="AQ1732" s="30" t="str">
        <f aca="false">IF(OR(Y1732="判定不能",G1732="判定不能"),"判定不能",IF(AP1732&gt;=判定条件!$C$9,"利用可",IF(AND(Y1732="停止",G1732="停止"),"両方停止","運転がそろわない")))</f>
        <v>両方停止</v>
      </c>
      <c r="AR1732" s="30" t="n">
        <v>60</v>
      </c>
      <c r="AS1732" s="30" t="n">
        <v>0</v>
      </c>
      <c r="AT1732" s="30" t="str">
        <f aca="false">IF(OR(AB1732="判定不能",J1732="判定不能"),"判定不能",IF(AS1732&gt;=判定条件!$C$9,"利用可",IF(AND(AB1732="停止",J1732="停止"),"両方停止","運転がそろわない")))</f>
        <v>両方停止</v>
      </c>
      <c r="AU1732" s="30" t="n">
        <v>60</v>
      </c>
      <c r="AV1732" s="30" t="n">
        <v>0</v>
      </c>
      <c r="AW1732" s="30" t="str">
        <f aca="false">IF(OR(AE1732="判定不能",M1732="判定不能"),"判定不能",IF(AV1732&gt;=判定条件!$C$9,"利用可",IF(AND(AE1732="停止",M1732="停止"),"両方停止","運転がそろわない")))</f>
        <v>両方停止</v>
      </c>
      <c r="AX1732" s="30" t="str">
        <f aca="false">IF(AND(AH1732="利用可",AK1732="利用可",AN1732="利用可"),"利用可","不可")</f>
        <v>不可</v>
      </c>
      <c r="AY1732" s="30" t="str">
        <f aca="false">IF(AND(AQ1732="利用可",AT1732="利用可",AW1732="利用可"),"利用可","不可")</f>
        <v>不可</v>
      </c>
    </row>
    <row r="1733" customFormat="false" ht="15" hidden="false" customHeight="false" outlineLevel="0" collapsed="false">
      <c r="A1733" s="29" t="n">
        <v>46304</v>
      </c>
      <c r="B1733" s="30" t="n">
        <v>2</v>
      </c>
      <c r="C1733" s="31" t="s">
        <v>62</v>
      </c>
      <c r="D1733" s="31" t="s">
        <v>59</v>
      </c>
      <c r="E1733" s="30" t="n">
        <v>60</v>
      </c>
      <c r="F1733" s="30" t="n">
        <v>0</v>
      </c>
      <c r="G1733" s="30" t="str">
        <f aca="false">IF(E1733&lt;判定条件!$C$6,"判定不能",IF(F1733&gt;=判定条件!$C$7*E1733,"運転",IF(F1733&lt;=判定条件!$C$8*E1733,"停止","断続")))</f>
        <v>停止</v>
      </c>
      <c r="H1733" s="30" t="n">
        <v>60</v>
      </c>
      <c r="I1733" s="30" t="n">
        <v>0</v>
      </c>
      <c r="J1733" s="30" t="str">
        <f aca="false">IF(H1733&lt;判定条件!$C$6,"判定不能",IF(I1733&gt;=判定条件!$C$7*H1733,"運転",IF(I1733&lt;=判定条件!$C$8*H1733,"停止","断続")))</f>
        <v>停止</v>
      </c>
      <c r="K1733" s="30" t="n">
        <v>60</v>
      </c>
      <c r="L1733" s="30" t="n">
        <v>0</v>
      </c>
      <c r="M1733" s="30" t="str">
        <f aca="false">IF(K1733&lt;判定条件!$C$6,"判定不能",IF(L1733&gt;=判定条件!$C$7*K1733,"運転",IF(L1733&lt;=判定条件!$C$8*K1733,"停止","断続")))</f>
        <v>停止</v>
      </c>
      <c r="N1733" s="30" t="n">
        <v>60</v>
      </c>
      <c r="O1733" s="30" t="n">
        <v>0</v>
      </c>
      <c r="P1733" s="30" t="str">
        <f aca="false">IF(N1733&lt;判定条件!$C$6,"判定不能",IF(O1733&gt;=判定条件!$C$7*N1733,"運転",IF(O1733&lt;=判定条件!$C$8*N1733,"停止","断続")))</f>
        <v>停止</v>
      </c>
      <c r="Q1733" s="30" t="n">
        <v>60</v>
      </c>
      <c r="R1733" s="30" t="n">
        <v>0</v>
      </c>
      <c r="S1733" s="30" t="str">
        <f aca="false">IF(Q1733&lt;判定条件!$C$6,"判定不能",IF(R1733&gt;=判定条件!$C$7*Q1733,"運転",IF(R1733&lt;=判定条件!$C$8*Q1733,"停止","断続")))</f>
        <v>停止</v>
      </c>
      <c r="T1733" s="30" t="n">
        <v>60</v>
      </c>
      <c r="U1733" s="30" t="n">
        <v>0</v>
      </c>
      <c r="V1733" s="30" t="str">
        <f aca="false">IF(T1733&lt;判定条件!$C$6,"判定不能",IF(U1733&gt;=判定条件!$C$7*T1733,"運転",IF(U1733&lt;=判定条件!$C$8*T1733,"停止","断続")))</f>
        <v>停止</v>
      </c>
      <c r="W1733" s="30" t="n">
        <v>60</v>
      </c>
      <c r="X1733" s="30" t="n">
        <v>0</v>
      </c>
      <c r="Y1733" s="30" t="str">
        <f aca="false">IF(W1733&lt;判定条件!$C$6,"判定不能",IF(X1733&gt;=判定条件!$C$7*W1733,"運転",IF(X1733&lt;=判定条件!$C$8*W1733,"停止","断続")))</f>
        <v>停止</v>
      </c>
      <c r="Z1733" s="30" t="n">
        <v>60</v>
      </c>
      <c r="AA1733" s="30" t="n">
        <v>0</v>
      </c>
      <c r="AB1733" s="30" t="str">
        <f aca="false">IF(Z1733&lt;判定条件!$C$6,"判定不能",IF(AA1733&gt;=判定条件!$C$7*Z1733,"運転",IF(AA1733&lt;=判定条件!$C$8*Z1733,"停止","断続")))</f>
        <v>停止</v>
      </c>
      <c r="AC1733" s="30" t="n">
        <v>60</v>
      </c>
      <c r="AD1733" s="30" t="n">
        <v>0</v>
      </c>
      <c r="AE1733" s="30" t="str">
        <f aca="false">IF(AC1733&lt;判定条件!$C$6,"判定不能",IF(AD1733&gt;=判定条件!$C$7*AC1733,"運転",IF(AD1733&lt;=判定条件!$C$8*AC1733,"停止","断続")))</f>
        <v>停止</v>
      </c>
      <c r="AF1733" s="30" t="n">
        <v>60</v>
      </c>
      <c r="AG1733" s="30" t="n">
        <v>0</v>
      </c>
      <c r="AH1733" s="30" t="str">
        <f aca="false">IF(OR(P1733="判定不能",G1733="判定不能"),"判定不能",IF(AG1733&gt;=判定条件!$C$9,"利用可",IF(AND(P1733="停止",G1733="停止"),"両方停止","運転がそろわない")))</f>
        <v>両方停止</v>
      </c>
      <c r="AI1733" s="30" t="n">
        <v>60</v>
      </c>
      <c r="AJ1733" s="30" t="n">
        <v>0</v>
      </c>
      <c r="AK1733" s="30" t="str">
        <f aca="false">IF(OR(S1733="判定不能",J1733="判定不能"),"判定不能",IF(AJ1733&gt;=判定条件!$C$9,"利用可",IF(AND(S1733="停止",J1733="停止"),"両方停止","運転がそろわない")))</f>
        <v>両方停止</v>
      </c>
      <c r="AL1733" s="30" t="n">
        <v>60</v>
      </c>
      <c r="AM1733" s="30" t="n">
        <v>0</v>
      </c>
      <c r="AN1733" s="30" t="str">
        <f aca="false">IF(OR(V1733="判定不能",M1733="判定不能"),"判定不能",IF(AM1733&gt;=判定条件!$C$9,"利用可",IF(AND(V1733="停止",M1733="停止"),"両方停止","運転がそろわない")))</f>
        <v>両方停止</v>
      </c>
      <c r="AO1733" s="30" t="n">
        <v>60</v>
      </c>
      <c r="AP1733" s="30" t="n">
        <v>0</v>
      </c>
      <c r="AQ1733" s="30" t="str">
        <f aca="false">IF(OR(Y1733="判定不能",G1733="判定不能"),"判定不能",IF(AP1733&gt;=判定条件!$C$9,"利用可",IF(AND(Y1733="停止",G1733="停止"),"両方停止","運転がそろわない")))</f>
        <v>両方停止</v>
      </c>
      <c r="AR1733" s="30" t="n">
        <v>60</v>
      </c>
      <c r="AS1733" s="30" t="n">
        <v>0</v>
      </c>
      <c r="AT1733" s="30" t="str">
        <f aca="false">IF(OR(AB1733="判定不能",J1733="判定不能"),"判定不能",IF(AS1733&gt;=判定条件!$C$9,"利用可",IF(AND(AB1733="停止",J1733="停止"),"両方停止","運転がそろわない")))</f>
        <v>両方停止</v>
      </c>
      <c r="AU1733" s="30" t="n">
        <v>60</v>
      </c>
      <c r="AV1733" s="30" t="n">
        <v>0</v>
      </c>
      <c r="AW1733" s="30" t="str">
        <f aca="false">IF(OR(AE1733="判定不能",M1733="判定不能"),"判定不能",IF(AV1733&gt;=判定条件!$C$9,"利用可",IF(AND(AE1733="停止",M1733="停止"),"両方停止","運転がそろわない")))</f>
        <v>両方停止</v>
      </c>
      <c r="AX1733" s="30" t="str">
        <f aca="false">IF(AND(AH1733="利用可",AK1733="利用可",AN1733="利用可"),"利用可","不可")</f>
        <v>不可</v>
      </c>
      <c r="AY1733" s="30" t="str">
        <f aca="false">IF(AND(AQ1733="利用可",AT1733="利用可",AW1733="利用可"),"利用可","不可")</f>
        <v>不可</v>
      </c>
    </row>
    <row r="1734" customFormat="false" ht="15" hidden="false" customHeight="false" outlineLevel="0" collapsed="false">
      <c r="A1734" s="29" t="n">
        <v>46304</v>
      </c>
      <c r="B1734" s="30" t="n">
        <v>3</v>
      </c>
      <c r="C1734" s="31" t="s">
        <v>62</v>
      </c>
      <c r="D1734" s="31" t="s">
        <v>59</v>
      </c>
      <c r="E1734" s="30" t="n">
        <v>60</v>
      </c>
      <c r="F1734" s="30" t="n">
        <v>0</v>
      </c>
      <c r="G1734" s="30" t="str">
        <f aca="false">IF(E1734&lt;判定条件!$C$6,"判定不能",IF(F1734&gt;=判定条件!$C$7*E1734,"運転",IF(F1734&lt;=判定条件!$C$8*E1734,"停止","断続")))</f>
        <v>停止</v>
      </c>
      <c r="H1734" s="30" t="n">
        <v>60</v>
      </c>
      <c r="I1734" s="30" t="n">
        <v>0</v>
      </c>
      <c r="J1734" s="30" t="str">
        <f aca="false">IF(H1734&lt;判定条件!$C$6,"判定不能",IF(I1734&gt;=判定条件!$C$7*H1734,"運転",IF(I1734&lt;=判定条件!$C$8*H1734,"停止","断続")))</f>
        <v>停止</v>
      </c>
      <c r="K1734" s="30" t="n">
        <v>60</v>
      </c>
      <c r="L1734" s="30" t="n">
        <v>0</v>
      </c>
      <c r="M1734" s="30" t="str">
        <f aca="false">IF(K1734&lt;判定条件!$C$6,"判定不能",IF(L1734&gt;=判定条件!$C$7*K1734,"運転",IF(L1734&lt;=判定条件!$C$8*K1734,"停止","断続")))</f>
        <v>停止</v>
      </c>
      <c r="N1734" s="30" t="n">
        <v>60</v>
      </c>
      <c r="O1734" s="30" t="n">
        <v>0</v>
      </c>
      <c r="P1734" s="30" t="str">
        <f aca="false">IF(N1734&lt;判定条件!$C$6,"判定不能",IF(O1734&gt;=判定条件!$C$7*N1734,"運転",IF(O1734&lt;=判定条件!$C$8*N1734,"停止","断続")))</f>
        <v>停止</v>
      </c>
      <c r="Q1734" s="30" t="n">
        <v>60</v>
      </c>
      <c r="R1734" s="30" t="n">
        <v>0</v>
      </c>
      <c r="S1734" s="30" t="str">
        <f aca="false">IF(Q1734&lt;判定条件!$C$6,"判定不能",IF(R1734&gt;=判定条件!$C$7*Q1734,"運転",IF(R1734&lt;=判定条件!$C$8*Q1734,"停止","断続")))</f>
        <v>停止</v>
      </c>
      <c r="T1734" s="30" t="n">
        <v>60</v>
      </c>
      <c r="U1734" s="30" t="n">
        <v>0</v>
      </c>
      <c r="V1734" s="30" t="str">
        <f aca="false">IF(T1734&lt;判定条件!$C$6,"判定不能",IF(U1734&gt;=判定条件!$C$7*T1734,"運転",IF(U1734&lt;=判定条件!$C$8*T1734,"停止","断続")))</f>
        <v>停止</v>
      </c>
      <c r="W1734" s="30" t="n">
        <v>60</v>
      </c>
      <c r="X1734" s="30" t="n">
        <v>0</v>
      </c>
      <c r="Y1734" s="30" t="str">
        <f aca="false">IF(W1734&lt;判定条件!$C$6,"判定不能",IF(X1734&gt;=判定条件!$C$7*W1734,"運転",IF(X1734&lt;=判定条件!$C$8*W1734,"停止","断続")))</f>
        <v>停止</v>
      </c>
      <c r="Z1734" s="30" t="n">
        <v>60</v>
      </c>
      <c r="AA1734" s="30" t="n">
        <v>0</v>
      </c>
      <c r="AB1734" s="30" t="str">
        <f aca="false">IF(Z1734&lt;判定条件!$C$6,"判定不能",IF(AA1734&gt;=判定条件!$C$7*Z1734,"運転",IF(AA1734&lt;=判定条件!$C$8*Z1734,"停止","断続")))</f>
        <v>停止</v>
      </c>
      <c r="AC1734" s="30" t="n">
        <v>60</v>
      </c>
      <c r="AD1734" s="30" t="n">
        <v>0</v>
      </c>
      <c r="AE1734" s="30" t="str">
        <f aca="false">IF(AC1734&lt;判定条件!$C$6,"判定不能",IF(AD1734&gt;=判定条件!$C$7*AC1734,"運転",IF(AD1734&lt;=判定条件!$C$8*AC1734,"停止","断続")))</f>
        <v>停止</v>
      </c>
      <c r="AF1734" s="30" t="n">
        <v>60</v>
      </c>
      <c r="AG1734" s="30" t="n">
        <v>0</v>
      </c>
      <c r="AH1734" s="30" t="str">
        <f aca="false">IF(OR(P1734="判定不能",G1734="判定不能"),"判定不能",IF(AG1734&gt;=判定条件!$C$9,"利用可",IF(AND(P1734="停止",G1734="停止"),"両方停止","運転がそろわない")))</f>
        <v>両方停止</v>
      </c>
      <c r="AI1734" s="30" t="n">
        <v>60</v>
      </c>
      <c r="AJ1734" s="30" t="n">
        <v>0</v>
      </c>
      <c r="AK1734" s="30" t="str">
        <f aca="false">IF(OR(S1734="判定不能",J1734="判定不能"),"判定不能",IF(AJ1734&gt;=判定条件!$C$9,"利用可",IF(AND(S1734="停止",J1734="停止"),"両方停止","運転がそろわない")))</f>
        <v>両方停止</v>
      </c>
      <c r="AL1734" s="30" t="n">
        <v>60</v>
      </c>
      <c r="AM1734" s="30" t="n">
        <v>0</v>
      </c>
      <c r="AN1734" s="30" t="str">
        <f aca="false">IF(OR(V1734="判定不能",M1734="判定不能"),"判定不能",IF(AM1734&gt;=判定条件!$C$9,"利用可",IF(AND(V1734="停止",M1734="停止"),"両方停止","運転がそろわない")))</f>
        <v>両方停止</v>
      </c>
      <c r="AO1734" s="30" t="n">
        <v>60</v>
      </c>
      <c r="AP1734" s="30" t="n">
        <v>0</v>
      </c>
      <c r="AQ1734" s="30" t="str">
        <f aca="false">IF(OR(Y1734="判定不能",G1734="判定不能"),"判定不能",IF(AP1734&gt;=判定条件!$C$9,"利用可",IF(AND(Y1734="停止",G1734="停止"),"両方停止","運転がそろわない")))</f>
        <v>両方停止</v>
      </c>
      <c r="AR1734" s="30" t="n">
        <v>60</v>
      </c>
      <c r="AS1734" s="30" t="n">
        <v>0</v>
      </c>
      <c r="AT1734" s="30" t="str">
        <f aca="false">IF(OR(AB1734="判定不能",J1734="判定不能"),"判定不能",IF(AS1734&gt;=判定条件!$C$9,"利用可",IF(AND(AB1734="停止",J1734="停止"),"両方停止","運転がそろわない")))</f>
        <v>両方停止</v>
      </c>
      <c r="AU1734" s="30" t="n">
        <v>60</v>
      </c>
      <c r="AV1734" s="30" t="n">
        <v>0</v>
      </c>
      <c r="AW1734" s="30" t="str">
        <f aca="false">IF(OR(AE1734="判定不能",M1734="判定不能"),"判定不能",IF(AV1734&gt;=判定条件!$C$9,"利用可",IF(AND(AE1734="停止",M1734="停止"),"両方停止","運転がそろわない")))</f>
        <v>両方停止</v>
      </c>
      <c r="AX1734" s="30" t="str">
        <f aca="false">IF(AND(AH1734="利用可",AK1734="利用可",AN1734="利用可"),"利用可","不可")</f>
        <v>不可</v>
      </c>
      <c r="AY1734" s="30" t="str">
        <f aca="false">IF(AND(AQ1734="利用可",AT1734="利用可",AW1734="利用可"),"利用可","不可")</f>
        <v>不可</v>
      </c>
    </row>
    <row r="1735" customFormat="false" ht="15" hidden="false" customHeight="false" outlineLevel="0" collapsed="false">
      <c r="A1735" s="29" t="n">
        <v>46304</v>
      </c>
      <c r="B1735" s="30" t="n">
        <v>4</v>
      </c>
      <c r="C1735" s="31" t="s">
        <v>62</v>
      </c>
      <c r="D1735" s="31" t="s">
        <v>59</v>
      </c>
      <c r="E1735" s="30" t="n">
        <v>60</v>
      </c>
      <c r="F1735" s="30" t="n">
        <v>0</v>
      </c>
      <c r="G1735" s="30" t="str">
        <f aca="false">IF(E1735&lt;判定条件!$C$6,"判定不能",IF(F1735&gt;=判定条件!$C$7*E1735,"運転",IF(F1735&lt;=判定条件!$C$8*E1735,"停止","断続")))</f>
        <v>停止</v>
      </c>
      <c r="H1735" s="30" t="n">
        <v>60</v>
      </c>
      <c r="I1735" s="30" t="n">
        <v>0</v>
      </c>
      <c r="J1735" s="30" t="str">
        <f aca="false">IF(H1735&lt;判定条件!$C$6,"判定不能",IF(I1735&gt;=判定条件!$C$7*H1735,"運転",IF(I1735&lt;=判定条件!$C$8*H1735,"停止","断続")))</f>
        <v>停止</v>
      </c>
      <c r="K1735" s="30" t="n">
        <v>60</v>
      </c>
      <c r="L1735" s="30" t="n">
        <v>0</v>
      </c>
      <c r="M1735" s="30" t="str">
        <f aca="false">IF(K1735&lt;判定条件!$C$6,"判定不能",IF(L1735&gt;=判定条件!$C$7*K1735,"運転",IF(L1735&lt;=判定条件!$C$8*K1735,"停止","断続")))</f>
        <v>停止</v>
      </c>
      <c r="N1735" s="30" t="n">
        <v>60</v>
      </c>
      <c r="O1735" s="30" t="n">
        <v>0</v>
      </c>
      <c r="P1735" s="30" t="str">
        <f aca="false">IF(N1735&lt;判定条件!$C$6,"判定不能",IF(O1735&gt;=判定条件!$C$7*N1735,"運転",IF(O1735&lt;=判定条件!$C$8*N1735,"停止","断続")))</f>
        <v>停止</v>
      </c>
      <c r="Q1735" s="30" t="n">
        <v>60</v>
      </c>
      <c r="R1735" s="30" t="n">
        <v>0</v>
      </c>
      <c r="S1735" s="30" t="str">
        <f aca="false">IF(Q1735&lt;判定条件!$C$6,"判定不能",IF(R1735&gt;=判定条件!$C$7*Q1735,"運転",IF(R1735&lt;=判定条件!$C$8*Q1735,"停止","断続")))</f>
        <v>停止</v>
      </c>
      <c r="T1735" s="30" t="n">
        <v>60</v>
      </c>
      <c r="U1735" s="30" t="n">
        <v>0</v>
      </c>
      <c r="V1735" s="30" t="str">
        <f aca="false">IF(T1735&lt;判定条件!$C$6,"判定不能",IF(U1735&gt;=判定条件!$C$7*T1735,"運転",IF(U1735&lt;=判定条件!$C$8*T1735,"停止","断続")))</f>
        <v>停止</v>
      </c>
      <c r="W1735" s="30" t="n">
        <v>60</v>
      </c>
      <c r="X1735" s="30" t="n">
        <v>0</v>
      </c>
      <c r="Y1735" s="30" t="str">
        <f aca="false">IF(W1735&lt;判定条件!$C$6,"判定不能",IF(X1735&gt;=判定条件!$C$7*W1735,"運転",IF(X1735&lt;=判定条件!$C$8*W1735,"停止","断続")))</f>
        <v>停止</v>
      </c>
      <c r="Z1735" s="30" t="n">
        <v>60</v>
      </c>
      <c r="AA1735" s="30" t="n">
        <v>0</v>
      </c>
      <c r="AB1735" s="30" t="str">
        <f aca="false">IF(Z1735&lt;判定条件!$C$6,"判定不能",IF(AA1735&gt;=判定条件!$C$7*Z1735,"運転",IF(AA1735&lt;=判定条件!$C$8*Z1735,"停止","断続")))</f>
        <v>停止</v>
      </c>
      <c r="AC1735" s="30" t="n">
        <v>60</v>
      </c>
      <c r="AD1735" s="30" t="n">
        <v>0</v>
      </c>
      <c r="AE1735" s="30" t="str">
        <f aca="false">IF(AC1735&lt;判定条件!$C$6,"判定不能",IF(AD1735&gt;=判定条件!$C$7*AC1735,"運転",IF(AD1735&lt;=判定条件!$C$8*AC1735,"停止","断続")))</f>
        <v>停止</v>
      </c>
      <c r="AF1735" s="30" t="n">
        <v>60</v>
      </c>
      <c r="AG1735" s="30" t="n">
        <v>0</v>
      </c>
      <c r="AH1735" s="30" t="str">
        <f aca="false">IF(OR(P1735="判定不能",G1735="判定不能"),"判定不能",IF(AG1735&gt;=判定条件!$C$9,"利用可",IF(AND(P1735="停止",G1735="停止"),"両方停止","運転がそろわない")))</f>
        <v>両方停止</v>
      </c>
      <c r="AI1735" s="30" t="n">
        <v>60</v>
      </c>
      <c r="AJ1735" s="30" t="n">
        <v>0</v>
      </c>
      <c r="AK1735" s="30" t="str">
        <f aca="false">IF(OR(S1735="判定不能",J1735="判定不能"),"判定不能",IF(AJ1735&gt;=判定条件!$C$9,"利用可",IF(AND(S1735="停止",J1735="停止"),"両方停止","運転がそろわない")))</f>
        <v>両方停止</v>
      </c>
      <c r="AL1735" s="30" t="n">
        <v>60</v>
      </c>
      <c r="AM1735" s="30" t="n">
        <v>0</v>
      </c>
      <c r="AN1735" s="30" t="str">
        <f aca="false">IF(OR(V1735="判定不能",M1735="判定不能"),"判定不能",IF(AM1735&gt;=判定条件!$C$9,"利用可",IF(AND(V1735="停止",M1735="停止"),"両方停止","運転がそろわない")))</f>
        <v>両方停止</v>
      </c>
      <c r="AO1735" s="30" t="n">
        <v>60</v>
      </c>
      <c r="AP1735" s="30" t="n">
        <v>0</v>
      </c>
      <c r="AQ1735" s="30" t="str">
        <f aca="false">IF(OR(Y1735="判定不能",G1735="判定不能"),"判定不能",IF(AP1735&gt;=判定条件!$C$9,"利用可",IF(AND(Y1735="停止",G1735="停止"),"両方停止","運転がそろわない")))</f>
        <v>両方停止</v>
      </c>
      <c r="AR1735" s="30" t="n">
        <v>60</v>
      </c>
      <c r="AS1735" s="30" t="n">
        <v>0</v>
      </c>
      <c r="AT1735" s="30" t="str">
        <f aca="false">IF(OR(AB1735="判定不能",J1735="判定不能"),"判定不能",IF(AS1735&gt;=判定条件!$C$9,"利用可",IF(AND(AB1735="停止",J1735="停止"),"両方停止","運転がそろわない")))</f>
        <v>両方停止</v>
      </c>
      <c r="AU1735" s="30" t="n">
        <v>60</v>
      </c>
      <c r="AV1735" s="30" t="n">
        <v>0</v>
      </c>
      <c r="AW1735" s="30" t="str">
        <f aca="false">IF(OR(AE1735="判定不能",M1735="判定不能"),"判定不能",IF(AV1735&gt;=判定条件!$C$9,"利用可",IF(AND(AE1735="停止",M1735="停止"),"両方停止","運転がそろわない")))</f>
        <v>両方停止</v>
      </c>
      <c r="AX1735" s="30" t="str">
        <f aca="false">IF(AND(AH1735="利用可",AK1735="利用可",AN1735="利用可"),"利用可","不可")</f>
        <v>不可</v>
      </c>
      <c r="AY1735" s="30" t="str">
        <f aca="false">IF(AND(AQ1735="利用可",AT1735="利用可",AW1735="利用可"),"利用可","不可")</f>
        <v>不可</v>
      </c>
    </row>
    <row r="1736" customFormat="false" ht="15" hidden="false" customHeight="false" outlineLevel="0" collapsed="false">
      <c r="A1736" s="29" t="n">
        <v>46304</v>
      </c>
      <c r="B1736" s="30" t="n">
        <v>5</v>
      </c>
      <c r="C1736" s="31" t="s">
        <v>62</v>
      </c>
      <c r="D1736" s="31" t="s">
        <v>59</v>
      </c>
      <c r="E1736" s="30" t="n">
        <v>60</v>
      </c>
      <c r="F1736" s="30" t="n">
        <v>0</v>
      </c>
      <c r="G1736" s="30" t="str">
        <f aca="false">IF(E1736&lt;判定条件!$C$6,"判定不能",IF(F1736&gt;=判定条件!$C$7*E1736,"運転",IF(F1736&lt;=判定条件!$C$8*E1736,"停止","断続")))</f>
        <v>停止</v>
      </c>
      <c r="H1736" s="30" t="n">
        <v>60</v>
      </c>
      <c r="I1736" s="30" t="n">
        <v>0</v>
      </c>
      <c r="J1736" s="30" t="str">
        <f aca="false">IF(H1736&lt;判定条件!$C$6,"判定不能",IF(I1736&gt;=判定条件!$C$7*H1736,"運転",IF(I1736&lt;=判定条件!$C$8*H1736,"停止","断続")))</f>
        <v>停止</v>
      </c>
      <c r="K1736" s="30" t="n">
        <v>60</v>
      </c>
      <c r="L1736" s="30" t="n">
        <v>0</v>
      </c>
      <c r="M1736" s="30" t="str">
        <f aca="false">IF(K1736&lt;判定条件!$C$6,"判定不能",IF(L1736&gt;=判定条件!$C$7*K1736,"運転",IF(L1736&lt;=判定条件!$C$8*K1736,"停止","断続")))</f>
        <v>停止</v>
      </c>
      <c r="N1736" s="30" t="n">
        <v>60</v>
      </c>
      <c r="O1736" s="30" t="n">
        <v>0</v>
      </c>
      <c r="P1736" s="30" t="str">
        <f aca="false">IF(N1736&lt;判定条件!$C$6,"判定不能",IF(O1736&gt;=判定条件!$C$7*N1736,"運転",IF(O1736&lt;=判定条件!$C$8*N1736,"停止","断続")))</f>
        <v>停止</v>
      </c>
      <c r="Q1736" s="30" t="n">
        <v>60</v>
      </c>
      <c r="R1736" s="30" t="n">
        <v>0</v>
      </c>
      <c r="S1736" s="30" t="str">
        <f aca="false">IF(Q1736&lt;判定条件!$C$6,"判定不能",IF(R1736&gt;=判定条件!$C$7*Q1736,"運転",IF(R1736&lt;=判定条件!$C$8*Q1736,"停止","断続")))</f>
        <v>停止</v>
      </c>
      <c r="T1736" s="30" t="n">
        <v>60</v>
      </c>
      <c r="U1736" s="30" t="n">
        <v>0</v>
      </c>
      <c r="V1736" s="30" t="str">
        <f aca="false">IF(T1736&lt;判定条件!$C$6,"判定不能",IF(U1736&gt;=判定条件!$C$7*T1736,"運転",IF(U1736&lt;=判定条件!$C$8*T1736,"停止","断続")))</f>
        <v>停止</v>
      </c>
      <c r="W1736" s="30" t="n">
        <v>60</v>
      </c>
      <c r="X1736" s="30" t="n">
        <v>0</v>
      </c>
      <c r="Y1736" s="30" t="str">
        <f aca="false">IF(W1736&lt;判定条件!$C$6,"判定不能",IF(X1736&gt;=判定条件!$C$7*W1736,"運転",IF(X1736&lt;=判定条件!$C$8*W1736,"停止","断続")))</f>
        <v>停止</v>
      </c>
      <c r="Z1736" s="30" t="n">
        <v>60</v>
      </c>
      <c r="AA1736" s="30" t="n">
        <v>0</v>
      </c>
      <c r="AB1736" s="30" t="str">
        <f aca="false">IF(Z1736&lt;判定条件!$C$6,"判定不能",IF(AA1736&gt;=判定条件!$C$7*Z1736,"運転",IF(AA1736&lt;=判定条件!$C$8*Z1736,"停止","断続")))</f>
        <v>停止</v>
      </c>
      <c r="AC1736" s="30" t="n">
        <v>60</v>
      </c>
      <c r="AD1736" s="30" t="n">
        <v>0</v>
      </c>
      <c r="AE1736" s="30" t="str">
        <f aca="false">IF(AC1736&lt;判定条件!$C$6,"判定不能",IF(AD1736&gt;=判定条件!$C$7*AC1736,"運転",IF(AD1736&lt;=判定条件!$C$8*AC1736,"停止","断続")))</f>
        <v>停止</v>
      </c>
      <c r="AF1736" s="30" t="n">
        <v>60</v>
      </c>
      <c r="AG1736" s="30" t="n">
        <v>0</v>
      </c>
      <c r="AH1736" s="30" t="str">
        <f aca="false">IF(OR(P1736="判定不能",G1736="判定不能"),"判定不能",IF(AG1736&gt;=判定条件!$C$9,"利用可",IF(AND(P1736="停止",G1736="停止"),"両方停止","運転がそろわない")))</f>
        <v>両方停止</v>
      </c>
      <c r="AI1736" s="30" t="n">
        <v>60</v>
      </c>
      <c r="AJ1736" s="30" t="n">
        <v>0</v>
      </c>
      <c r="AK1736" s="30" t="str">
        <f aca="false">IF(OR(S1736="判定不能",J1736="判定不能"),"判定不能",IF(AJ1736&gt;=判定条件!$C$9,"利用可",IF(AND(S1736="停止",J1736="停止"),"両方停止","運転がそろわない")))</f>
        <v>両方停止</v>
      </c>
      <c r="AL1736" s="30" t="n">
        <v>60</v>
      </c>
      <c r="AM1736" s="30" t="n">
        <v>0</v>
      </c>
      <c r="AN1736" s="30" t="str">
        <f aca="false">IF(OR(V1736="判定不能",M1736="判定不能"),"判定不能",IF(AM1736&gt;=判定条件!$C$9,"利用可",IF(AND(V1736="停止",M1736="停止"),"両方停止","運転がそろわない")))</f>
        <v>両方停止</v>
      </c>
      <c r="AO1736" s="30" t="n">
        <v>60</v>
      </c>
      <c r="AP1736" s="30" t="n">
        <v>0</v>
      </c>
      <c r="AQ1736" s="30" t="str">
        <f aca="false">IF(OR(Y1736="判定不能",G1736="判定不能"),"判定不能",IF(AP1736&gt;=判定条件!$C$9,"利用可",IF(AND(Y1736="停止",G1736="停止"),"両方停止","運転がそろわない")))</f>
        <v>両方停止</v>
      </c>
      <c r="AR1736" s="30" t="n">
        <v>60</v>
      </c>
      <c r="AS1736" s="30" t="n">
        <v>0</v>
      </c>
      <c r="AT1736" s="30" t="str">
        <f aca="false">IF(OR(AB1736="判定不能",J1736="判定不能"),"判定不能",IF(AS1736&gt;=判定条件!$C$9,"利用可",IF(AND(AB1736="停止",J1736="停止"),"両方停止","運転がそろわない")))</f>
        <v>両方停止</v>
      </c>
      <c r="AU1736" s="30" t="n">
        <v>60</v>
      </c>
      <c r="AV1736" s="30" t="n">
        <v>0</v>
      </c>
      <c r="AW1736" s="30" t="str">
        <f aca="false">IF(OR(AE1736="判定不能",M1736="判定不能"),"判定不能",IF(AV1736&gt;=判定条件!$C$9,"利用可",IF(AND(AE1736="停止",M1736="停止"),"両方停止","運転がそろわない")))</f>
        <v>両方停止</v>
      </c>
      <c r="AX1736" s="30" t="str">
        <f aca="false">IF(AND(AH1736="利用可",AK1736="利用可",AN1736="利用可"),"利用可","不可")</f>
        <v>不可</v>
      </c>
      <c r="AY1736" s="30" t="str">
        <f aca="false">IF(AND(AQ1736="利用可",AT1736="利用可",AW1736="利用可"),"利用可","不可")</f>
        <v>不可</v>
      </c>
    </row>
    <row r="1737" customFormat="false" ht="15" hidden="false" customHeight="false" outlineLevel="0" collapsed="false">
      <c r="A1737" s="29" t="n">
        <v>46304</v>
      </c>
      <c r="B1737" s="30" t="n">
        <v>6</v>
      </c>
      <c r="C1737" s="31" t="s">
        <v>62</v>
      </c>
      <c r="D1737" s="31" t="s">
        <v>59</v>
      </c>
      <c r="E1737" s="30" t="n">
        <v>60</v>
      </c>
      <c r="F1737" s="30" t="n">
        <v>0</v>
      </c>
      <c r="G1737" s="30" t="str">
        <f aca="false">IF(E1737&lt;判定条件!$C$6,"判定不能",IF(F1737&gt;=判定条件!$C$7*E1737,"運転",IF(F1737&lt;=判定条件!$C$8*E1737,"停止","断続")))</f>
        <v>停止</v>
      </c>
      <c r="H1737" s="30" t="n">
        <v>60</v>
      </c>
      <c r="I1737" s="30" t="n">
        <v>0</v>
      </c>
      <c r="J1737" s="30" t="str">
        <f aca="false">IF(H1737&lt;判定条件!$C$6,"判定不能",IF(I1737&gt;=判定条件!$C$7*H1737,"運転",IF(I1737&lt;=判定条件!$C$8*H1737,"停止","断続")))</f>
        <v>停止</v>
      </c>
      <c r="K1737" s="30" t="n">
        <v>60</v>
      </c>
      <c r="L1737" s="30" t="n">
        <v>0</v>
      </c>
      <c r="M1737" s="30" t="str">
        <f aca="false">IF(K1737&lt;判定条件!$C$6,"判定不能",IF(L1737&gt;=判定条件!$C$7*K1737,"運転",IF(L1737&lt;=判定条件!$C$8*K1737,"停止","断続")))</f>
        <v>停止</v>
      </c>
      <c r="N1737" s="30" t="n">
        <v>60</v>
      </c>
      <c r="O1737" s="30" t="n">
        <v>0</v>
      </c>
      <c r="P1737" s="30" t="str">
        <f aca="false">IF(N1737&lt;判定条件!$C$6,"判定不能",IF(O1737&gt;=判定条件!$C$7*N1737,"運転",IF(O1737&lt;=判定条件!$C$8*N1737,"停止","断続")))</f>
        <v>停止</v>
      </c>
      <c r="Q1737" s="30" t="n">
        <v>60</v>
      </c>
      <c r="R1737" s="30" t="n">
        <v>0</v>
      </c>
      <c r="S1737" s="30" t="str">
        <f aca="false">IF(Q1737&lt;判定条件!$C$6,"判定不能",IF(R1737&gt;=判定条件!$C$7*Q1737,"運転",IF(R1737&lt;=判定条件!$C$8*Q1737,"停止","断続")))</f>
        <v>停止</v>
      </c>
      <c r="T1737" s="30" t="n">
        <v>60</v>
      </c>
      <c r="U1737" s="30" t="n">
        <v>0</v>
      </c>
      <c r="V1737" s="30" t="str">
        <f aca="false">IF(T1737&lt;判定条件!$C$6,"判定不能",IF(U1737&gt;=判定条件!$C$7*T1737,"運転",IF(U1737&lt;=判定条件!$C$8*T1737,"停止","断続")))</f>
        <v>停止</v>
      </c>
      <c r="W1737" s="30" t="n">
        <v>60</v>
      </c>
      <c r="X1737" s="30" t="n">
        <v>0</v>
      </c>
      <c r="Y1737" s="30" t="str">
        <f aca="false">IF(W1737&lt;判定条件!$C$6,"判定不能",IF(X1737&gt;=判定条件!$C$7*W1737,"運転",IF(X1737&lt;=判定条件!$C$8*W1737,"停止","断続")))</f>
        <v>停止</v>
      </c>
      <c r="Z1737" s="30" t="n">
        <v>60</v>
      </c>
      <c r="AA1737" s="30" t="n">
        <v>25</v>
      </c>
      <c r="AB1737" s="30" t="str">
        <f aca="false">IF(Z1737&lt;判定条件!$C$6,"判定不能",IF(AA1737&gt;=判定条件!$C$7*Z1737,"運転",IF(AA1737&lt;=判定条件!$C$8*Z1737,"停止","断続")))</f>
        <v>断続</v>
      </c>
      <c r="AC1737" s="30" t="n">
        <v>60</v>
      </c>
      <c r="AD1737" s="30" t="n">
        <v>27</v>
      </c>
      <c r="AE1737" s="30" t="str">
        <f aca="false">IF(AC1737&lt;判定条件!$C$6,"判定不能",IF(AD1737&gt;=判定条件!$C$7*AC1737,"運転",IF(AD1737&lt;=判定条件!$C$8*AC1737,"停止","断続")))</f>
        <v>断続</v>
      </c>
      <c r="AF1737" s="30" t="n">
        <v>60</v>
      </c>
      <c r="AG1737" s="30" t="n">
        <v>0</v>
      </c>
      <c r="AH1737" s="30" t="str">
        <f aca="false">IF(OR(P1737="判定不能",G1737="判定不能"),"判定不能",IF(AG1737&gt;=判定条件!$C$9,"利用可",IF(AND(P1737="停止",G1737="停止"),"両方停止","運転がそろわない")))</f>
        <v>両方停止</v>
      </c>
      <c r="AI1737" s="30" t="n">
        <v>60</v>
      </c>
      <c r="AJ1737" s="30" t="n">
        <v>0</v>
      </c>
      <c r="AK1737" s="30" t="str">
        <f aca="false">IF(OR(S1737="判定不能",J1737="判定不能"),"判定不能",IF(AJ1737&gt;=判定条件!$C$9,"利用可",IF(AND(S1737="停止",J1737="停止"),"両方停止","運転がそろわない")))</f>
        <v>両方停止</v>
      </c>
      <c r="AL1737" s="30" t="n">
        <v>60</v>
      </c>
      <c r="AM1737" s="30" t="n">
        <v>0</v>
      </c>
      <c r="AN1737" s="30" t="str">
        <f aca="false">IF(OR(V1737="判定不能",M1737="判定不能"),"判定不能",IF(AM1737&gt;=判定条件!$C$9,"利用可",IF(AND(V1737="停止",M1737="停止"),"両方停止","運転がそろわない")))</f>
        <v>両方停止</v>
      </c>
      <c r="AO1737" s="30" t="n">
        <v>60</v>
      </c>
      <c r="AP1737" s="30" t="n">
        <v>0</v>
      </c>
      <c r="AQ1737" s="30" t="str">
        <f aca="false">IF(OR(Y1737="判定不能",G1737="判定不能"),"判定不能",IF(AP1737&gt;=判定条件!$C$9,"利用可",IF(AND(Y1737="停止",G1737="停止"),"両方停止","運転がそろわない")))</f>
        <v>両方停止</v>
      </c>
      <c r="AR1737" s="30" t="n">
        <v>60</v>
      </c>
      <c r="AS1737" s="30" t="n">
        <v>0</v>
      </c>
      <c r="AT1737" s="30" t="str">
        <f aca="false">IF(OR(AB1737="判定不能",J1737="判定不能"),"判定不能",IF(AS1737&gt;=判定条件!$C$9,"利用可",IF(AND(AB1737="停止",J1737="停止"),"両方停止","運転がそろわない")))</f>
        <v>運転がそろわない</v>
      </c>
      <c r="AU1737" s="30" t="n">
        <v>60</v>
      </c>
      <c r="AV1737" s="30" t="n">
        <v>0</v>
      </c>
      <c r="AW1737" s="30" t="str">
        <f aca="false">IF(OR(AE1737="判定不能",M1737="判定不能"),"判定不能",IF(AV1737&gt;=判定条件!$C$9,"利用可",IF(AND(AE1737="停止",M1737="停止"),"両方停止","運転がそろわない")))</f>
        <v>運転がそろわない</v>
      </c>
      <c r="AX1737" s="30" t="str">
        <f aca="false">IF(AND(AH1737="利用可",AK1737="利用可",AN1737="利用可"),"利用可","不可")</f>
        <v>不可</v>
      </c>
      <c r="AY1737" s="30" t="str">
        <f aca="false">IF(AND(AQ1737="利用可",AT1737="利用可",AW1737="利用可"),"利用可","不可")</f>
        <v>不可</v>
      </c>
    </row>
    <row r="1738" customFormat="false" ht="15" hidden="false" customHeight="false" outlineLevel="0" collapsed="false">
      <c r="A1738" s="29" t="n">
        <v>46304</v>
      </c>
      <c r="B1738" s="30" t="n">
        <v>7</v>
      </c>
      <c r="C1738" s="31" t="s">
        <v>62</v>
      </c>
      <c r="D1738" s="31" t="s">
        <v>59</v>
      </c>
      <c r="E1738" s="30" t="n">
        <v>60</v>
      </c>
      <c r="F1738" s="30" t="n">
        <v>0</v>
      </c>
      <c r="G1738" s="30" t="str">
        <f aca="false">IF(E1738&lt;判定条件!$C$6,"判定不能",IF(F1738&gt;=判定条件!$C$7*E1738,"運転",IF(F1738&lt;=判定条件!$C$8*E1738,"停止","断続")))</f>
        <v>停止</v>
      </c>
      <c r="H1738" s="30" t="n">
        <v>60</v>
      </c>
      <c r="I1738" s="30" t="n">
        <v>0</v>
      </c>
      <c r="J1738" s="30" t="str">
        <f aca="false">IF(H1738&lt;判定条件!$C$6,"判定不能",IF(I1738&gt;=判定条件!$C$7*H1738,"運転",IF(I1738&lt;=判定条件!$C$8*H1738,"停止","断続")))</f>
        <v>停止</v>
      </c>
      <c r="K1738" s="30" t="n">
        <v>60</v>
      </c>
      <c r="L1738" s="30" t="n">
        <v>0</v>
      </c>
      <c r="M1738" s="30" t="str">
        <f aca="false">IF(K1738&lt;判定条件!$C$6,"判定不能",IF(L1738&gt;=判定条件!$C$7*K1738,"運転",IF(L1738&lt;=判定条件!$C$8*K1738,"停止","断続")))</f>
        <v>停止</v>
      </c>
      <c r="N1738" s="30" t="n">
        <v>60</v>
      </c>
      <c r="O1738" s="30" t="n">
        <v>0</v>
      </c>
      <c r="P1738" s="30" t="str">
        <f aca="false">IF(N1738&lt;判定条件!$C$6,"判定不能",IF(O1738&gt;=判定条件!$C$7*N1738,"運転",IF(O1738&lt;=判定条件!$C$8*N1738,"停止","断続")))</f>
        <v>停止</v>
      </c>
      <c r="Q1738" s="30" t="n">
        <v>60</v>
      </c>
      <c r="R1738" s="30" t="n">
        <v>0</v>
      </c>
      <c r="S1738" s="30" t="str">
        <f aca="false">IF(Q1738&lt;判定条件!$C$6,"判定不能",IF(R1738&gt;=判定条件!$C$7*Q1738,"運転",IF(R1738&lt;=判定条件!$C$8*Q1738,"停止","断続")))</f>
        <v>停止</v>
      </c>
      <c r="T1738" s="30" t="n">
        <v>60</v>
      </c>
      <c r="U1738" s="30" t="n">
        <v>0</v>
      </c>
      <c r="V1738" s="30" t="str">
        <f aca="false">IF(T1738&lt;判定条件!$C$6,"判定不能",IF(U1738&gt;=判定条件!$C$7*T1738,"運転",IF(U1738&lt;=判定条件!$C$8*T1738,"停止","断続")))</f>
        <v>停止</v>
      </c>
      <c r="W1738" s="30" t="n">
        <v>60</v>
      </c>
      <c r="X1738" s="30" t="n">
        <v>13</v>
      </c>
      <c r="Y1738" s="30" t="str">
        <f aca="false">IF(W1738&lt;判定条件!$C$6,"判定不能",IF(X1738&gt;=判定条件!$C$7*W1738,"運転",IF(X1738&lt;=判定条件!$C$8*W1738,"停止","断続")))</f>
        <v>断続</v>
      </c>
      <c r="Z1738" s="30" t="n">
        <v>60</v>
      </c>
      <c r="AA1738" s="30" t="n">
        <v>15</v>
      </c>
      <c r="AB1738" s="30" t="str">
        <f aca="false">IF(Z1738&lt;判定条件!$C$6,"判定不能",IF(AA1738&gt;=判定条件!$C$7*Z1738,"運転",IF(AA1738&lt;=判定条件!$C$8*Z1738,"停止","断続")))</f>
        <v>断続</v>
      </c>
      <c r="AC1738" s="30" t="n">
        <v>60</v>
      </c>
      <c r="AD1738" s="30" t="n">
        <v>39</v>
      </c>
      <c r="AE1738" s="30" t="str">
        <f aca="false">IF(AC1738&lt;判定条件!$C$6,"判定不能",IF(AD1738&gt;=判定条件!$C$7*AC1738,"運転",IF(AD1738&lt;=判定条件!$C$8*AC1738,"停止","断続")))</f>
        <v>断続</v>
      </c>
      <c r="AF1738" s="30" t="n">
        <v>60</v>
      </c>
      <c r="AG1738" s="30" t="n">
        <v>0</v>
      </c>
      <c r="AH1738" s="30" t="str">
        <f aca="false">IF(OR(P1738="判定不能",G1738="判定不能"),"判定不能",IF(AG1738&gt;=判定条件!$C$9,"利用可",IF(AND(P1738="停止",G1738="停止"),"両方停止","運転がそろわない")))</f>
        <v>両方停止</v>
      </c>
      <c r="AI1738" s="30" t="n">
        <v>60</v>
      </c>
      <c r="AJ1738" s="30" t="n">
        <v>0</v>
      </c>
      <c r="AK1738" s="30" t="str">
        <f aca="false">IF(OR(S1738="判定不能",J1738="判定不能"),"判定不能",IF(AJ1738&gt;=判定条件!$C$9,"利用可",IF(AND(S1738="停止",J1738="停止"),"両方停止","運転がそろわない")))</f>
        <v>両方停止</v>
      </c>
      <c r="AL1738" s="30" t="n">
        <v>60</v>
      </c>
      <c r="AM1738" s="30" t="n">
        <v>0</v>
      </c>
      <c r="AN1738" s="30" t="str">
        <f aca="false">IF(OR(V1738="判定不能",M1738="判定不能"),"判定不能",IF(AM1738&gt;=判定条件!$C$9,"利用可",IF(AND(V1738="停止",M1738="停止"),"両方停止","運転がそろわない")))</f>
        <v>両方停止</v>
      </c>
      <c r="AO1738" s="30" t="n">
        <v>60</v>
      </c>
      <c r="AP1738" s="30" t="n">
        <v>0</v>
      </c>
      <c r="AQ1738" s="30" t="str">
        <f aca="false">IF(OR(Y1738="判定不能",G1738="判定不能"),"判定不能",IF(AP1738&gt;=判定条件!$C$9,"利用可",IF(AND(Y1738="停止",G1738="停止"),"両方停止","運転がそろわない")))</f>
        <v>運転がそろわない</v>
      </c>
      <c r="AR1738" s="30" t="n">
        <v>60</v>
      </c>
      <c r="AS1738" s="30" t="n">
        <v>0</v>
      </c>
      <c r="AT1738" s="30" t="str">
        <f aca="false">IF(OR(AB1738="判定不能",J1738="判定不能"),"判定不能",IF(AS1738&gt;=判定条件!$C$9,"利用可",IF(AND(AB1738="停止",J1738="停止"),"両方停止","運転がそろわない")))</f>
        <v>運転がそろわない</v>
      </c>
      <c r="AU1738" s="30" t="n">
        <v>60</v>
      </c>
      <c r="AV1738" s="30" t="n">
        <v>0</v>
      </c>
      <c r="AW1738" s="30" t="str">
        <f aca="false">IF(OR(AE1738="判定不能",M1738="判定不能"),"判定不能",IF(AV1738&gt;=判定条件!$C$9,"利用可",IF(AND(AE1738="停止",M1738="停止"),"両方停止","運転がそろわない")))</f>
        <v>運転がそろわない</v>
      </c>
      <c r="AX1738" s="30" t="str">
        <f aca="false">IF(AND(AH1738="利用可",AK1738="利用可",AN1738="利用可"),"利用可","不可")</f>
        <v>不可</v>
      </c>
      <c r="AY1738" s="30" t="str">
        <f aca="false">IF(AND(AQ1738="利用可",AT1738="利用可",AW1738="利用可"),"利用可","不可")</f>
        <v>不可</v>
      </c>
    </row>
    <row r="1739" customFormat="false" ht="15" hidden="false" customHeight="false" outlineLevel="0" collapsed="false">
      <c r="A1739" s="29" t="n">
        <v>46304</v>
      </c>
      <c r="B1739" s="30" t="n">
        <v>8</v>
      </c>
      <c r="C1739" s="31" t="s">
        <v>62</v>
      </c>
      <c r="D1739" s="31" t="s">
        <v>59</v>
      </c>
      <c r="E1739" s="30" t="n">
        <v>60</v>
      </c>
      <c r="F1739" s="30" t="n">
        <v>14</v>
      </c>
      <c r="G1739" s="30" t="str">
        <f aca="false">IF(E1739&lt;判定条件!$C$6,"判定不能",IF(F1739&gt;=判定条件!$C$7*E1739,"運転",IF(F1739&lt;=判定条件!$C$8*E1739,"停止","断続")))</f>
        <v>断続</v>
      </c>
      <c r="H1739" s="30" t="n">
        <v>60</v>
      </c>
      <c r="I1739" s="30" t="n">
        <v>0</v>
      </c>
      <c r="J1739" s="30" t="str">
        <f aca="false">IF(H1739&lt;判定条件!$C$6,"判定不能",IF(I1739&gt;=判定条件!$C$7*H1739,"運転",IF(I1739&lt;=判定条件!$C$8*H1739,"停止","断続")))</f>
        <v>停止</v>
      </c>
      <c r="K1739" s="30" t="n">
        <v>60</v>
      </c>
      <c r="L1739" s="30" t="n">
        <v>0</v>
      </c>
      <c r="M1739" s="30" t="str">
        <f aca="false">IF(K1739&lt;判定条件!$C$6,"判定不能",IF(L1739&gt;=判定条件!$C$7*K1739,"運転",IF(L1739&lt;=判定条件!$C$8*K1739,"停止","断続")))</f>
        <v>停止</v>
      </c>
      <c r="N1739" s="30" t="n">
        <v>60</v>
      </c>
      <c r="O1739" s="30" t="n">
        <v>29</v>
      </c>
      <c r="P1739" s="30" t="str">
        <f aca="false">IF(N1739&lt;判定条件!$C$6,"判定不能",IF(O1739&gt;=判定条件!$C$7*N1739,"運転",IF(O1739&lt;=判定条件!$C$8*N1739,"停止","断続")))</f>
        <v>断続</v>
      </c>
      <c r="Q1739" s="30" t="n">
        <v>60</v>
      </c>
      <c r="R1739" s="30" t="n">
        <v>53</v>
      </c>
      <c r="S1739" s="30" t="str">
        <f aca="false">IF(Q1739&lt;判定条件!$C$6,"判定不能",IF(R1739&gt;=判定条件!$C$7*Q1739,"運転",IF(R1739&lt;=判定条件!$C$8*Q1739,"停止","断続")))</f>
        <v>運転</v>
      </c>
      <c r="T1739" s="30" t="n">
        <v>60</v>
      </c>
      <c r="U1739" s="30" t="n">
        <v>60</v>
      </c>
      <c r="V1739" s="30" t="str">
        <f aca="false">IF(T1739&lt;判定条件!$C$6,"判定不能",IF(U1739&gt;=判定条件!$C$7*T1739,"運転",IF(U1739&lt;=判定条件!$C$8*T1739,"停止","断続")))</f>
        <v>運転</v>
      </c>
      <c r="W1739" s="30" t="n">
        <v>60</v>
      </c>
      <c r="X1739" s="30" t="n">
        <v>60</v>
      </c>
      <c r="Y1739" s="30" t="str">
        <f aca="false">IF(W1739&lt;判定条件!$C$6,"判定不能",IF(X1739&gt;=判定条件!$C$7*W1739,"運転",IF(X1739&lt;=判定条件!$C$8*W1739,"停止","断続")))</f>
        <v>運転</v>
      </c>
      <c r="Z1739" s="30" t="n">
        <v>60</v>
      </c>
      <c r="AA1739" s="30" t="n">
        <v>60</v>
      </c>
      <c r="AB1739" s="30" t="str">
        <f aca="false">IF(Z1739&lt;判定条件!$C$6,"判定不能",IF(AA1739&gt;=判定条件!$C$7*Z1739,"運転",IF(AA1739&lt;=判定条件!$C$8*Z1739,"停止","断続")))</f>
        <v>運転</v>
      </c>
      <c r="AC1739" s="30" t="n">
        <v>60</v>
      </c>
      <c r="AD1739" s="30" t="n">
        <v>60</v>
      </c>
      <c r="AE1739" s="30" t="str">
        <f aca="false">IF(AC1739&lt;判定条件!$C$6,"判定不能",IF(AD1739&gt;=判定条件!$C$7*AC1739,"運転",IF(AD1739&lt;=判定条件!$C$8*AC1739,"停止","断続")))</f>
        <v>運転</v>
      </c>
      <c r="AF1739" s="30" t="n">
        <v>60</v>
      </c>
      <c r="AG1739" s="30" t="n">
        <v>8</v>
      </c>
      <c r="AH1739" s="30" t="str">
        <f aca="false">IF(OR(P1739="判定不能",G1739="判定不能"),"判定不能",IF(AG1739&gt;=判定条件!$C$9,"利用可",IF(AND(P1739="停止",G1739="停止"),"両方停止","運転がそろわない")))</f>
        <v>運転がそろわない</v>
      </c>
      <c r="AI1739" s="30" t="n">
        <v>60</v>
      </c>
      <c r="AJ1739" s="30" t="n">
        <v>0</v>
      </c>
      <c r="AK1739" s="30" t="str">
        <f aca="false">IF(OR(S1739="判定不能",J1739="判定不能"),"判定不能",IF(AJ1739&gt;=判定条件!$C$9,"利用可",IF(AND(S1739="停止",J1739="停止"),"両方停止","運転がそろわない")))</f>
        <v>運転がそろわない</v>
      </c>
      <c r="AL1739" s="30" t="n">
        <v>60</v>
      </c>
      <c r="AM1739" s="30" t="n">
        <v>0</v>
      </c>
      <c r="AN1739" s="30" t="str">
        <f aca="false">IF(OR(V1739="判定不能",M1739="判定不能"),"判定不能",IF(AM1739&gt;=判定条件!$C$9,"利用可",IF(AND(V1739="停止",M1739="停止"),"両方停止","運転がそろわない")))</f>
        <v>運転がそろわない</v>
      </c>
      <c r="AO1739" s="30" t="n">
        <v>60</v>
      </c>
      <c r="AP1739" s="30" t="n">
        <v>14</v>
      </c>
      <c r="AQ1739" s="30" t="str">
        <f aca="false">IF(OR(Y1739="判定不能",G1739="判定不能"),"判定不能",IF(AP1739&gt;=判定条件!$C$9,"利用可",IF(AND(Y1739="停止",G1739="停止"),"両方停止","運転がそろわない")))</f>
        <v>運転がそろわない</v>
      </c>
      <c r="AR1739" s="30" t="n">
        <v>60</v>
      </c>
      <c r="AS1739" s="30" t="n">
        <v>0</v>
      </c>
      <c r="AT1739" s="30" t="str">
        <f aca="false">IF(OR(AB1739="判定不能",J1739="判定不能"),"判定不能",IF(AS1739&gt;=判定条件!$C$9,"利用可",IF(AND(AB1739="停止",J1739="停止"),"両方停止","運転がそろわない")))</f>
        <v>運転がそろわない</v>
      </c>
      <c r="AU1739" s="30" t="n">
        <v>60</v>
      </c>
      <c r="AV1739" s="30" t="n">
        <v>0</v>
      </c>
      <c r="AW1739" s="30" t="str">
        <f aca="false">IF(OR(AE1739="判定不能",M1739="判定不能"),"判定不能",IF(AV1739&gt;=判定条件!$C$9,"利用可",IF(AND(AE1739="停止",M1739="停止"),"両方停止","運転がそろわない")))</f>
        <v>運転がそろわない</v>
      </c>
      <c r="AX1739" s="30" t="str">
        <f aca="false">IF(AND(AH1739="利用可",AK1739="利用可",AN1739="利用可"),"利用可","不可")</f>
        <v>不可</v>
      </c>
      <c r="AY1739" s="30" t="str">
        <f aca="false">IF(AND(AQ1739="利用可",AT1739="利用可",AW1739="利用可"),"利用可","不可")</f>
        <v>不可</v>
      </c>
    </row>
    <row r="1740" customFormat="false" ht="15" hidden="false" customHeight="false" outlineLevel="0" collapsed="false">
      <c r="A1740" s="29" t="n">
        <v>46304</v>
      </c>
      <c r="B1740" s="30" t="n">
        <v>9</v>
      </c>
      <c r="C1740" s="31" t="s">
        <v>62</v>
      </c>
      <c r="D1740" s="31" t="s">
        <v>59</v>
      </c>
      <c r="E1740" s="30" t="n">
        <v>60</v>
      </c>
      <c r="F1740" s="30" t="n">
        <v>43</v>
      </c>
      <c r="G1740" s="30" t="str">
        <f aca="false">IF(E1740&lt;判定条件!$C$6,"判定不能",IF(F1740&gt;=判定条件!$C$7*E1740,"運転",IF(F1740&lt;=判定条件!$C$8*E1740,"停止","断続")))</f>
        <v>断続</v>
      </c>
      <c r="H1740" s="30" t="n">
        <v>60</v>
      </c>
      <c r="I1740" s="30" t="n">
        <v>11</v>
      </c>
      <c r="J1740" s="30" t="str">
        <f aca="false">IF(H1740&lt;判定条件!$C$6,"判定不能",IF(I1740&gt;=判定条件!$C$7*H1740,"運転",IF(I1740&lt;=判定条件!$C$8*H1740,"停止","断続")))</f>
        <v>停止</v>
      </c>
      <c r="K1740" s="30" t="n">
        <v>60</v>
      </c>
      <c r="L1740" s="30" t="n">
        <v>32</v>
      </c>
      <c r="M1740" s="30" t="str">
        <f aca="false">IF(K1740&lt;判定条件!$C$6,"判定不能",IF(L1740&gt;=判定条件!$C$7*K1740,"運転",IF(L1740&lt;=判定条件!$C$8*K1740,"停止","断続")))</f>
        <v>断続</v>
      </c>
      <c r="N1740" s="30" t="n">
        <v>60</v>
      </c>
      <c r="O1740" s="30" t="n">
        <v>60</v>
      </c>
      <c r="P1740" s="30" t="str">
        <f aca="false">IF(N1740&lt;判定条件!$C$6,"判定不能",IF(O1740&gt;=判定条件!$C$7*N1740,"運転",IF(O1740&lt;=判定条件!$C$8*N1740,"停止","断続")))</f>
        <v>運転</v>
      </c>
      <c r="Q1740" s="30" t="n">
        <v>60</v>
      </c>
      <c r="R1740" s="30" t="n">
        <v>54</v>
      </c>
      <c r="S1740" s="30" t="str">
        <f aca="false">IF(Q1740&lt;判定条件!$C$6,"判定不能",IF(R1740&gt;=判定条件!$C$7*Q1740,"運転",IF(R1740&lt;=判定条件!$C$8*Q1740,"停止","断続")))</f>
        <v>運転</v>
      </c>
      <c r="T1740" s="30" t="n">
        <v>60</v>
      </c>
      <c r="U1740" s="30" t="n">
        <v>60</v>
      </c>
      <c r="V1740" s="30" t="str">
        <f aca="false">IF(T1740&lt;判定条件!$C$6,"判定不能",IF(U1740&gt;=判定条件!$C$7*T1740,"運転",IF(U1740&lt;=判定条件!$C$8*T1740,"停止","断続")))</f>
        <v>運転</v>
      </c>
      <c r="W1740" s="30" t="n">
        <v>60</v>
      </c>
      <c r="X1740" s="30" t="n">
        <v>46</v>
      </c>
      <c r="Y1740" s="30" t="str">
        <f aca="false">IF(W1740&lt;判定条件!$C$6,"判定不能",IF(X1740&gt;=判定条件!$C$7*W1740,"運転",IF(X1740&lt;=判定条件!$C$8*W1740,"停止","断続")))</f>
        <v>断続</v>
      </c>
      <c r="Z1740" s="30" t="n">
        <v>60</v>
      </c>
      <c r="AA1740" s="30" t="n">
        <v>60</v>
      </c>
      <c r="AB1740" s="30" t="str">
        <f aca="false">IF(Z1740&lt;判定条件!$C$6,"判定不能",IF(AA1740&gt;=判定条件!$C$7*Z1740,"運転",IF(AA1740&lt;=判定条件!$C$8*Z1740,"停止","断続")))</f>
        <v>運転</v>
      </c>
      <c r="AC1740" s="30" t="n">
        <v>60</v>
      </c>
      <c r="AD1740" s="30" t="n">
        <v>60</v>
      </c>
      <c r="AE1740" s="30" t="str">
        <f aca="false">IF(AC1740&lt;判定条件!$C$6,"判定不能",IF(AD1740&gt;=判定条件!$C$7*AC1740,"運転",IF(AD1740&lt;=判定条件!$C$8*AC1740,"停止","断続")))</f>
        <v>運転</v>
      </c>
      <c r="AF1740" s="30" t="n">
        <v>60</v>
      </c>
      <c r="AG1740" s="30" t="n">
        <v>43</v>
      </c>
      <c r="AH1740" s="30" t="str">
        <f aca="false">IF(OR(P1740="判定不能",G1740="判定不能"),"判定不能",IF(AG1740&gt;=判定条件!$C$9,"利用可",IF(AND(P1740="停止",G1740="停止"),"両方停止","運転がそろわない")))</f>
        <v>利用可</v>
      </c>
      <c r="AI1740" s="30" t="n">
        <v>60</v>
      </c>
      <c r="AJ1740" s="30" t="n">
        <v>11</v>
      </c>
      <c r="AK1740" s="30" t="str">
        <f aca="false">IF(OR(S1740="判定不能",J1740="判定不能"),"判定不能",IF(AJ1740&gt;=判定条件!$C$9,"利用可",IF(AND(S1740="停止",J1740="停止"),"両方停止","運転がそろわない")))</f>
        <v>運転がそろわない</v>
      </c>
      <c r="AL1740" s="30" t="n">
        <v>60</v>
      </c>
      <c r="AM1740" s="30" t="n">
        <v>32</v>
      </c>
      <c r="AN1740" s="30" t="str">
        <f aca="false">IF(OR(V1740="判定不能",M1740="判定不能"),"判定不能",IF(AM1740&gt;=判定条件!$C$9,"利用可",IF(AND(V1740="停止",M1740="停止"),"両方停止","運転がそろわない")))</f>
        <v>利用可</v>
      </c>
      <c r="AO1740" s="30" t="n">
        <v>60</v>
      </c>
      <c r="AP1740" s="30" t="n">
        <v>34</v>
      </c>
      <c r="AQ1740" s="30" t="str">
        <f aca="false">IF(OR(Y1740="判定不能",G1740="判定不能"),"判定不能",IF(AP1740&gt;=判定条件!$C$9,"利用可",IF(AND(Y1740="停止",G1740="停止"),"両方停止","運転がそろわない")))</f>
        <v>利用可</v>
      </c>
      <c r="AR1740" s="30" t="n">
        <v>60</v>
      </c>
      <c r="AS1740" s="30" t="n">
        <v>11</v>
      </c>
      <c r="AT1740" s="30" t="str">
        <f aca="false">IF(OR(AB1740="判定不能",J1740="判定不能"),"判定不能",IF(AS1740&gt;=判定条件!$C$9,"利用可",IF(AND(AB1740="停止",J1740="停止"),"両方停止","運転がそろわない")))</f>
        <v>運転がそろわない</v>
      </c>
      <c r="AU1740" s="30" t="n">
        <v>60</v>
      </c>
      <c r="AV1740" s="30" t="n">
        <v>32</v>
      </c>
      <c r="AW1740" s="30" t="str">
        <f aca="false">IF(OR(AE1740="判定不能",M1740="判定不能"),"判定不能",IF(AV1740&gt;=判定条件!$C$9,"利用可",IF(AND(AE1740="停止",M1740="停止"),"両方停止","運転がそろわない")))</f>
        <v>利用可</v>
      </c>
      <c r="AX1740" s="30" t="str">
        <f aca="false">IF(AND(AH1740="利用可",AK1740="利用可",AN1740="利用可"),"利用可","不可")</f>
        <v>不可</v>
      </c>
      <c r="AY1740" s="30" t="str">
        <f aca="false">IF(AND(AQ1740="利用可",AT1740="利用可",AW1740="利用可"),"利用可","不可")</f>
        <v>不可</v>
      </c>
    </row>
    <row r="1741" customFormat="false" ht="15" hidden="false" customHeight="false" outlineLevel="0" collapsed="false">
      <c r="A1741" s="29" t="n">
        <v>46304</v>
      </c>
      <c r="B1741" s="30" t="n">
        <v>10</v>
      </c>
      <c r="C1741" s="31" t="s">
        <v>62</v>
      </c>
      <c r="D1741" s="31" t="s">
        <v>59</v>
      </c>
      <c r="E1741" s="30" t="n">
        <v>60</v>
      </c>
      <c r="F1741" s="30" t="n">
        <v>50</v>
      </c>
      <c r="G1741" s="30" t="str">
        <f aca="false">IF(E1741&lt;判定条件!$C$6,"判定不能",IF(F1741&gt;=判定条件!$C$7*E1741,"運転",IF(F1741&lt;=判定条件!$C$8*E1741,"停止","断続")))</f>
        <v>運転</v>
      </c>
      <c r="H1741" s="30" t="n">
        <v>60</v>
      </c>
      <c r="I1741" s="30" t="n">
        <v>60</v>
      </c>
      <c r="J1741" s="30" t="str">
        <f aca="false">IF(H1741&lt;判定条件!$C$6,"判定不能",IF(I1741&gt;=判定条件!$C$7*H1741,"運転",IF(I1741&lt;=判定条件!$C$8*H1741,"停止","断続")))</f>
        <v>運転</v>
      </c>
      <c r="K1741" s="30" t="n">
        <v>60</v>
      </c>
      <c r="L1741" s="30" t="n">
        <v>60</v>
      </c>
      <c r="M1741" s="30" t="str">
        <f aca="false">IF(K1741&lt;判定条件!$C$6,"判定不能",IF(L1741&gt;=判定条件!$C$7*K1741,"運転",IF(L1741&lt;=判定条件!$C$8*K1741,"停止","断続")))</f>
        <v>運転</v>
      </c>
      <c r="N1741" s="30" t="n">
        <v>60</v>
      </c>
      <c r="O1741" s="30" t="n">
        <v>60</v>
      </c>
      <c r="P1741" s="30" t="str">
        <f aca="false">IF(N1741&lt;判定条件!$C$6,"判定不能",IF(O1741&gt;=判定条件!$C$7*N1741,"運転",IF(O1741&lt;=判定条件!$C$8*N1741,"停止","断続")))</f>
        <v>運転</v>
      </c>
      <c r="Q1741" s="30" t="n">
        <v>60</v>
      </c>
      <c r="R1741" s="30" t="n">
        <v>60</v>
      </c>
      <c r="S1741" s="30" t="str">
        <f aca="false">IF(Q1741&lt;判定条件!$C$6,"判定不能",IF(R1741&gt;=判定条件!$C$7*Q1741,"運転",IF(R1741&lt;=判定条件!$C$8*Q1741,"停止","断続")))</f>
        <v>運転</v>
      </c>
      <c r="T1741" s="30" t="n">
        <v>60</v>
      </c>
      <c r="U1741" s="30" t="n">
        <v>60</v>
      </c>
      <c r="V1741" s="30" t="str">
        <f aca="false">IF(T1741&lt;判定条件!$C$6,"判定不能",IF(U1741&gt;=判定条件!$C$7*T1741,"運転",IF(U1741&lt;=判定条件!$C$8*T1741,"停止","断続")))</f>
        <v>運転</v>
      </c>
      <c r="W1741" s="30" t="n">
        <v>60</v>
      </c>
      <c r="X1741" s="30" t="n">
        <v>60</v>
      </c>
      <c r="Y1741" s="30" t="str">
        <f aca="false">IF(W1741&lt;判定条件!$C$6,"判定不能",IF(X1741&gt;=判定条件!$C$7*W1741,"運転",IF(X1741&lt;=判定条件!$C$8*W1741,"停止","断続")))</f>
        <v>運転</v>
      </c>
      <c r="Z1741" s="30" t="n">
        <v>60</v>
      </c>
      <c r="AA1741" s="30" t="n">
        <v>60</v>
      </c>
      <c r="AB1741" s="30" t="str">
        <f aca="false">IF(Z1741&lt;判定条件!$C$6,"判定不能",IF(AA1741&gt;=判定条件!$C$7*Z1741,"運転",IF(AA1741&lt;=判定条件!$C$8*Z1741,"停止","断続")))</f>
        <v>運転</v>
      </c>
      <c r="AC1741" s="30" t="n">
        <v>60</v>
      </c>
      <c r="AD1741" s="30" t="n">
        <v>54</v>
      </c>
      <c r="AE1741" s="30" t="str">
        <f aca="false">IF(AC1741&lt;判定条件!$C$6,"判定不能",IF(AD1741&gt;=判定条件!$C$7*AC1741,"運転",IF(AD1741&lt;=判定条件!$C$8*AC1741,"停止","断続")))</f>
        <v>運転</v>
      </c>
      <c r="AF1741" s="30" t="n">
        <v>60</v>
      </c>
      <c r="AG1741" s="30" t="n">
        <v>50</v>
      </c>
      <c r="AH1741" s="30" t="str">
        <f aca="false">IF(OR(P1741="判定不能",G1741="判定不能"),"判定不能",IF(AG1741&gt;=判定条件!$C$9,"利用可",IF(AND(P1741="停止",G1741="停止"),"両方停止","運転がそろわない")))</f>
        <v>利用可</v>
      </c>
      <c r="AI1741" s="30" t="n">
        <v>60</v>
      </c>
      <c r="AJ1741" s="30" t="n">
        <v>60</v>
      </c>
      <c r="AK1741" s="30" t="str">
        <f aca="false">IF(OR(S1741="判定不能",J1741="判定不能"),"判定不能",IF(AJ1741&gt;=判定条件!$C$9,"利用可",IF(AND(S1741="停止",J1741="停止"),"両方停止","運転がそろわない")))</f>
        <v>利用可</v>
      </c>
      <c r="AL1741" s="30" t="n">
        <v>60</v>
      </c>
      <c r="AM1741" s="30" t="n">
        <v>60</v>
      </c>
      <c r="AN1741" s="30" t="str">
        <f aca="false">IF(OR(V1741="判定不能",M1741="判定不能"),"判定不能",IF(AM1741&gt;=判定条件!$C$9,"利用可",IF(AND(V1741="停止",M1741="停止"),"両方停止","運転がそろわない")))</f>
        <v>利用可</v>
      </c>
      <c r="AO1741" s="30" t="n">
        <v>60</v>
      </c>
      <c r="AP1741" s="30" t="n">
        <v>50</v>
      </c>
      <c r="AQ1741" s="30" t="str">
        <f aca="false">IF(OR(Y1741="判定不能",G1741="判定不能"),"判定不能",IF(AP1741&gt;=判定条件!$C$9,"利用可",IF(AND(Y1741="停止",G1741="停止"),"両方停止","運転がそろわない")))</f>
        <v>利用可</v>
      </c>
      <c r="AR1741" s="30" t="n">
        <v>60</v>
      </c>
      <c r="AS1741" s="30" t="n">
        <v>60</v>
      </c>
      <c r="AT1741" s="30" t="str">
        <f aca="false">IF(OR(AB1741="判定不能",J1741="判定不能"),"判定不能",IF(AS1741&gt;=判定条件!$C$9,"利用可",IF(AND(AB1741="停止",J1741="停止"),"両方停止","運転がそろわない")))</f>
        <v>利用可</v>
      </c>
      <c r="AU1741" s="30" t="n">
        <v>60</v>
      </c>
      <c r="AV1741" s="30" t="n">
        <v>54</v>
      </c>
      <c r="AW1741" s="30" t="str">
        <f aca="false">IF(OR(AE1741="判定不能",M1741="判定不能"),"判定不能",IF(AV1741&gt;=判定条件!$C$9,"利用可",IF(AND(AE1741="停止",M1741="停止"),"両方停止","運転がそろわない")))</f>
        <v>利用可</v>
      </c>
      <c r="AX1741" s="30" t="str">
        <f aca="false">IF(AND(AH1741="利用可",AK1741="利用可",AN1741="利用可"),"利用可","不可")</f>
        <v>利用可</v>
      </c>
      <c r="AY1741" s="30" t="str">
        <f aca="false">IF(AND(AQ1741="利用可",AT1741="利用可",AW1741="利用可"),"利用可","不可")</f>
        <v>利用可</v>
      </c>
    </row>
    <row r="1742" customFormat="false" ht="15" hidden="false" customHeight="false" outlineLevel="0" collapsed="false">
      <c r="A1742" s="29" t="n">
        <v>46304</v>
      </c>
      <c r="B1742" s="30" t="n">
        <v>11</v>
      </c>
      <c r="C1742" s="31" t="s">
        <v>62</v>
      </c>
      <c r="D1742" s="31" t="s">
        <v>59</v>
      </c>
      <c r="E1742" s="30" t="n">
        <v>60</v>
      </c>
      <c r="F1742" s="30" t="n">
        <v>56</v>
      </c>
      <c r="G1742" s="30" t="str">
        <f aca="false">IF(E1742&lt;判定条件!$C$6,"判定不能",IF(F1742&gt;=判定条件!$C$7*E1742,"運転",IF(F1742&lt;=判定条件!$C$8*E1742,"停止","断続")))</f>
        <v>運転</v>
      </c>
      <c r="H1742" s="30" t="n">
        <v>60</v>
      </c>
      <c r="I1742" s="30" t="n">
        <v>60</v>
      </c>
      <c r="J1742" s="30" t="str">
        <f aca="false">IF(H1742&lt;判定条件!$C$6,"判定不能",IF(I1742&gt;=判定条件!$C$7*H1742,"運転",IF(I1742&lt;=判定条件!$C$8*H1742,"停止","断続")))</f>
        <v>運転</v>
      </c>
      <c r="K1742" s="30" t="n">
        <v>60</v>
      </c>
      <c r="L1742" s="30" t="n">
        <v>60</v>
      </c>
      <c r="M1742" s="30" t="str">
        <f aca="false">IF(K1742&lt;判定条件!$C$6,"判定不能",IF(L1742&gt;=判定条件!$C$7*K1742,"運転",IF(L1742&lt;=判定条件!$C$8*K1742,"停止","断続")))</f>
        <v>運転</v>
      </c>
      <c r="N1742" s="30" t="n">
        <v>60</v>
      </c>
      <c r="O1742" s="30" t="n">
        <v>60</v>
      </c>
      <c r="P1742" s="30" t="str">
        <f aca="false">IF(N1742&lt;判定条件!$C$6,"判定不能",IF(O1742&gt;=判定条件!$C$7*N1742,"運転",IF(O1742&lt;=判定条件!$C$8*N1742,"停止","断続")))</f>
        <v>運転</v>
      </c>
      <c r="Q1742" s="30" t="n">
        <v>60</v>
      </c>
      <c r="R1742" s="30" t="n">
        <v>60</v>
      </c>
      <c r="S1742" s="30" t="str">
        <f aca="false">IF(Q1742&lt;判定条件!$C$6,"判定不能",IF(R1742&gt;=判定条件!$C$7*Q1742,"運転",IF(R1742&lt;=判定条件!$C$8*Q1742,"停止","断続")))</f>
        <v>運転</v>
      </c>
      <c r="T1742" s="30" t="n">
        <v>60</v>
      </c>
      <c r="U1742" s="30" t="n">
        <v>60</v>
      </c>
      <c r="V1742" s="30" t="str">
        <f aca="false">IF(T1742&lt;判定条件!$C$6,"判定不能",IF(U1742&gt;=判定条件!$C$7*T1742,"運転",IF(U1742&lt;=判定条件!$C$8*T1742,"停止","断続")))</f>
        <v>運転</v>
      </c>
      <c r="W1742" s="30" t="n">
        <v>60</v>
      </c>
      <c r="X1742" s="30" t="n">
        <v>60</v>
      </c>
      <c r="Y1742" s="30" t="str">
        <f aca="false">IF(W1742&lt;判定条件!$C$6,"判定不能",IF(X1742&gt;=判定条件!$C$7*W1742,"運転",IF(X1742&lt;=判定条件!$C$8*W1742,"停止","断続")))</f>
        <v>運転</v>
      </c>
      <c r="Z1742" s="30" t="n">
        <v>60</v>
      </c>
      <c r="AA1742" s="30" t="n">
        <v>60</v>
      </c>
      <c r="AB1742" s="30" t="str">
        <f aca="false">IF(Z1742&lt;判定条件!$C$6,"判定不能",IF(AA1742&gt;=判定条件!$C$7*Z1742,"運転",IF(AA1742&lt;=判定条件!$C$8*Z1742,"停止","断続")))</f>
        <v>運転</v>
      </c>
      <c r="AC1742" s="30" t="n">
        <v>60</v>
      </c>
      <c r="AD1742" s="30" t="n">
        <v>60</v>
      </c>
      <c r="AE1742" s="30" t="str">
        <f aca="false">IF(AC1742&lt;判定条件!$C$6,"判定不能",IF(AD1742&gt;=判定条件!$C$7*AC1742,"運転",IF(AD1742&lt;=判定条件!$C$8*AC1742,"停止","断続")))</f>
        <v>運転</v>
      </c>
      <c r="AF1742" s="30" t="n">
        <v>60</v>
      </c>
      <c r="AG1742" s="30" t="n">
        <v>56</v>
      </c>
      <c r="AH1742" s="30" t="str">
        <f aca="false">IF(OR(P1742="判定不能",G1742="判定不能"),"判定不能",IF(AG1742&gt;=判定条件!$C$9,"利用可",IF(AND(P1742="停止",G1742="停止"),"両方停止","運転がそろわない")))</f>
        <v>利用可</v>
      </c>
      <c r="AI1742" s="30" t="n">
        <v>60</v>
      </c>
      <c r="AJ1742" s="30" t="n">
        <v>60</v>
      </c>
      <c r="AK1742" s="30" t="str">
        <f aca="false">IF(OR(S1742="判定不能",J1742="判定不能"),"判定不能",IF(AJ1742&gt;=判定条件!$C$9,"利用可",IF(AND(S1742="停止",J1742="停止"),"両方停止","運転がそろわない")))</f>
        <v>利用可</v>
      </c>
      <c r="AL1742" s="30" t="n">
        <v>60</v>
      </c>
      <c r="AM1742" s="30" t="n">
        <v>60</v>
      </c>
      <c r="AN1742" s="30" t="str">
        <f aca="false">IF(OR(V1742="判定不能",M1742="判定不能"),"判定不能",IF(AM1742&gt;=判定条件!$C$9,"利用可",IF(AND(V1742="停止",M1742="停止"),"両方停止","運転がそろわない")))</f>
        <v>利用可</v>
      </c>
      <c r="AO1742" s="30" t="n">
        <v>60</v>
      </c>
      <c r="AP1742" s="30" t="n">
        <v>56</v>
      </c>
      <c r="AQ1742" s="30" t="str">
        <f aca="false">IF(OR(Y1742="判定不能",G1742="判定不能"),"判定不能",IF(AP1742&gt;=判定条件!$C$9,"利用可",IF(AND(Y1742="停止",G1742="停止"),"両方停止","運転がそろわない")))</f>
        <v>利用可</v>
      </c>
      <c r="AR1742" s="30" t="n">
        <v>60</v>
      </c>
      <c r="AS1742" s="30" t="n">
        <v>60</v>
      </c>
      <c r="AT1742" s="30" t="str">
        <f aca="false">IF(OR(AB1742="判定不能",J1742="判定不能"),"判定不能",IF(AS1742&gt;=判定条件!$C$9,"利用可",IF(AND(AB1742="停止",J1742="停止"),"両方停止","運転がそろわない")))</f>
        <v>利用可</v>
      </c>
      <c r="AU1742" s="30" t="n">
        <v>60</v>
      </c>
      <c r="AV1742" s="30" t="n">
        <v>60</v>
      </c>
      <c r="AW1742" s="30" t="str">
        <f aca="false">IF(OR(AE1742="判定不能",M1742="判定不能"),"判定不能",IF(AV1742&gt;=判定条件!$C$9,"利用可",IF(AND(AE1742="停止",M1742="停止"),"両方停止","運転がそろわない")))</f>
        <v>利用可</v>
      </c>
      <c r="AX1742" s="30" t="str">
        <f aca="false">IF(AND(AH1742="利用可",AK1742="利用可",AN1742="利用可"),"利用可","不可")</f>
        <v>利用可</v>
      </c>
      <c r="AY1742" s="30" t="str">
        <f aca="false">IF(AND(AQ1742="利用可",AT1742="利用可",AW1742="利用可"),"利用可","不可")</f>
        <v>利用可</v>
      </c>
    </row>
    <row r="1743" customFormat="false" ht="15" hidden="false" customHeight="false" outlineLevel="0" collapsed="false">
      <c r="A1743" s="29" t="n">
        <v>46304</v>
      </c>
      <c r="B1743" s="30" t="n">
        <v>12</v>
      </c>
      <c r="C1743" s="31" t="s">
        <v>62</v>
      </c>
      <c r="D1743" s="31" t="s">
        <v>59</v>
      </c>
      <c r="E1743" s="30" t="n">
        <v>60</v>
      </c>
      <c r="F1743" s="30" t="n">
        <v>60</v>
      </c>
      <c r="G1743" s="30" t="str">
        <f aca="false">IF(E1743&lt;判定条件!$C$6,"判定不能",IF(F1743&gt;=判定条件!$C$7*E1743,"運転",IF(F1743&lt;=判定条件!$C$8*E1743,"停止","断続")))</f>
        <v>運転</v>
      </c>
      <c r="H1743" s="30" t="n">
        <v>60</v>
      </c>
      <c r="I1743" s="30" t="n">
        <v>60</v>
      </c>
      <c r="J1743" s="30" t="str">
        <f aca="false">IF(H1743&lt;判定条件!$C$6,"判定不能",IF(I1743&gt;=判定条件!$C$7*H1743,"運転",IF(I1743&lt;=判定条件!$C$8*H1743,"停止","断続")))</f>
        <v>運転</v>
      </c>
      <c r="K1743" s="30" t="n">
        <v>60</v>
      </c>
      <c r="L1743" s="30" t="n">
        <v>60</v>
      </c>
      <c r="M1743" s="30" t="str">
        <f aca="false">IF(K1743&lt;判定条件!$C$6,"判定不能",IF(L1743&gt;=判定条件!$C$7*K1743,"運転",IF(L1743&lt;=判定条件!$C$8*K1743,"停止","断続")))</f>
        <v>運転</v>
      </c>
      <c r="N1743" s="30" t="n">
        <v>60</v>
      </c>
      <c r="O1743" s="30" t="n">
        <v>60</v>
      </c>
      <c r="P1743" s="30" t="str">
        <f aca="false">IF(N1743&lt;判定条件!$C$6,"判定不能",IF(O1743&gt;=判定条件!$C$7*N1743,"運転",IF(O1743&lt;=判定条件!$C$8*N1743,"停止","断続")))</f>
        <v>運転</v>
      </c>
      <c r="Q1743" s="30" t="n">
        <v>60</v>
      </c>
      <c r="R1743" s="30" t="n">
        <v>60</v>
      </c>
      <c r="S1743" s="30" t="str">
        <f aca="false">IF(Q1743&lt;判定条件!$C$6,"判定不能",IF(R1743&gt;=判定条件!$C$7*Q1743,"運転",IF(R1743&lt;=判定条件!$C$8*Q1743,"停止","断続")))</f>
        <v>運転</v>
      </c>
      <c r="T1743" s="30" t="n">
        <v>60</v>
      </c>
      <c r="U1743" s="30" t="n">
        <v>60</v>
      </c>
      <c r="V1743" s="30" t="str">
        <f aca="false">IF(T1743&lt;判定条件!$C$6,"判定不能",IF(U1743&gt;=判定条件!$C$7*T1743,"運転",IF(U1743&lt;=判定条件!$C$8*T1743,"停止","断続")))</f>
        <v>運転</v>
      </c>
      <c r="W1743" s="30" t="n">
        <v>60</v>
      </c>
      <c r="X1743" s="30" t="n">
        <v>60</v>
      </c>
      <c r="Y1743" s="30" t="str">
        <f aca="false">IF(W1743&lt;判定条件!$C$6,"判定不能",IF(X1743&gt;=判定条件!$C$7*W1743,"運転",IF(X1743&lt;=判定条件!$C$8*W1743,"停止","断続")))</f>
        <v>運転</v>
      </c>
      <c r="Z1743" s="30" t="n">
        <v>60</v>
      </c>
      <c r="AA1743" s="30" t="n">
        <v>60</v>
      </c>
      <c r="AB1743" s="30" t="str">
        <f aca="false">IF(Z1743&lt;判定条件!$C$6,"判定不能",IF(AA1743&gt;=判定条件!$C$7*Z1743,"運転",IF(AA1743&lt;=判定条件!$C$8*Z1743,"停止","断続")))</f>
        <v>運転</v>
      </c>
      <c r="AC1743" s="30" t="n">
        <v>60</v>
      </c>
      <c r="AD1743" s="30" t="n">
        <v>60</v>
      </c>
      <c r="AE1743" s="30" t="str">
        <f aca="false">IF(AC1743&lt;判定条件!$C$6,"判定不能",IF(AD1743&gt;=判定条件!$C$7*AC1743,"運転",IF(AD1743&lt;=判定条件!$C$8*AC1743,"停止","断続")))</f>
        <v>運転</v>
      </c>
      <c r="AF1743" s="30" t="n">
        <v>60</v>
      </c>
      <c r="AG1743" s="30" t="n">
        <v>60</v>
      </c>
      <c r="AH1743" s="30" t="str">
        <f aca="false">IF(OR(P1743="判定不能",G1743="判定不能"),"判定不能",IF(AG1743&gt;=判定条件!$C$9,"利用可",IF(AND(P1743="停止",G1743="停止"),"両方停止","運転がそろわない")))</f>
        <v>利用可</v>
      </c>
      <c r="AI1743" s="30" t="n">
        <v>60</v>
      </c>
      <c r="AJ1743" s="30" t="n">
        <v>60</v>
      </c>
      <c r="AK1743" s="30" t="str">
        <f aca="false">IF(OR(S1743="判定不能",J1743="判定不能"),"判定不能",IF(AJ1743&gt;=判定条件!$C$9,"利用可",IF(AND(S1743="停止",J1743="停止"),"両方停止","運転がそろわない")))</f>
        <v>利用可</v>
      </c>
      <c r="AL1743" s="30" t="n">
        <v>60</v>
      </c>
      <c r="AM1743" s="30" t="n">
        <v>60</v>
      </c>
      <c r="AN1743" s="30" t="str">
        <f aca="false">IF(OR(V1743="判定不能",M1743="判定不能"),"判定不能",IF(AM1743&gt;=判定条件!$C$9,"利用可",IF(AND(V1743="停止",M1743="停止"),"両方停止","運転がそろわない")))</f>
        <v>利用可</v>
      </c>
      <c r="AO1743" s="30" t="n">
        <v>60</v>
      </c>
      <c r="AP1743" s="30" t="n">
        <v>60</v>
      </c>
      <c r="AQ1743" s="30" t="str">
        <f aca="false">IF(OR(Y1743="判定不能",G1743="判定不能"),"判定不能",IF(AP1743&gt;=判定条件!$C$9,"利用可",IF(AND(Y1743="停止",G1743="停止"),"両方停止","運転がそろわない")))</f>
        <v>利用可</v>
      </c>
      <c r="AR1743" s="30" t="n">
        <v>60</v>
      </c>
      <c r="AS1743" s="30" t="n">
        <v>60</v>
      </c>
      <c r="AT1743" s="30" t="str">
        <f aca="false">IF(OR(AB1743="判定不能",J1743="判定不能"),"判定不能",IF(AS1743&gt;=判定条件!$C$9,"利用可",IF(AND(AB1743="停止",J1743="停止"),"両方停止","運転がそろわない")))</f>
        <v>利用可</v>
      </c>
      <c r="AU1743" s="30" t="n">
        <v>60</v>
      </c>
      <c r="AV1743" s="30" t="n">
        <v>60</v>
      </c>
      <c r="AW1743" s="30" t="str">
        <f aca="false">IF(OR(AE1743="判定不能",M1743="判定不能"),"判定不能",IF(AV1743&gt;=判定条件!$C$9,"利用可",IF(AND(AE1743="停止",M1743="停止"),"両方停止","運転がそろわない")))</f>
        <v>利用可</v>
      </c>
      <c r="AX1743" s="30" t="str">
        <f aca="false">IF(AND(AH1743="利用可",AK1743="利用可",AN1743="利用可"),"利用可","不可")</f>
        <v>利用可</v>
      </c>
      <c r="AY1743" s="30" t="str">
        <f aca="false">IF(AND(AQ1743="利用可",AT1743="利用可",AW1743="利用可"),"利用可","不可")</f>
        <v>利用可</v>
      </c>
    </row>
    <row r="1744" customFormat="false" ht="15" hidden="false" customHeight="false" outlineLevel="0" collapsed="false">
      <c r="A1744" s="29" t="n">
        <v>46304</v>
      </c>
      <c r="B1744" s="30" t="n">
        <v>13</v>
      </c>
      <c r="C1744" s="31" t="s">
        <v>62</v>
      </c>
      <c r="D1744" s="31" t="s">
        <v>59</v>
      </c>
      <c r="E1744" s="30" t="n">
        <v>60</v>
      </c>
      <c r="F1744" s="30" t="n">
        <v>60</v>
      </c>
      <c r="G1744" s="30" t="str">
        <f aca="false">IF(E1744&lt;判定条件!$C$6,"判定不能",IF(F1744&gt;=判定条件!$C$7*E1744,"運転",IF(F1744&lt;=判定条件!$C$8*E1744,"停止","断続")))</f>
        <v>運転</v>
      </c>
      <c r="H1744" s="30" t="n">
        <v>60</v>
      </c>
      <c r="I1744" s="30" t="n">
        <v>57</v>
      </c>
      <c r="J1744" s="30" t="str">
        <f aca="false">IF(H1744&lt;判定条件!$C$6,"判定不能",IF(I1744&gt;=判定条件!$C$7*H1744,"運転",IF(I1744&lt;=判定条件!$C$8*H1744,"停止","断続")))</f>
        <v>運転</v>
      </c>
      <c r="K1744" s="30" t="n">
        <v>60</v>
      </c>
      <c r="L1744" s="30" t="n">
        <v>60</v>
      </c>
      <c r="M1744" s="30" t="str">
        <f aca="false">IF(K1744&lt;判定条件!$C$6,"判定不能",IF(L1744&gt;=判定条件!$C$7*K1744,"運転",IF(L1744&lt;=判定条件!$C$8*K1744,"停止","断続")))</f>
        <v>運転</v>
      </c>
      <c r="N1744" s="30" t="n">
        <v>60</v>
      </c>
      <c r="O1744" s="30" t="n">
        <v>60</v>
      </c>
      <c r="P1744" s="30" t="str">
        <f aca="false">IF(N1744&lt;判定条件!$C$6,"判定不能",IF(O1744&gt;=判定条件!$C$7*N1744,"運転",IF(O1744&lt;=判定条件!$C$8*N1744,"停止","断続")))</f>
        <v>運転</v>
      </c>
      <c r="Q1744" s="30" t="n">
        <v>60</v>
      </c>
      <c r="R1744" s="30" t="n">
        <v>60</v>
      </c>
      <c r="S1744" s="30" t="str">
        <f aca="false">IF(Q1744&lt;判定条件!$C$6,"判定不能",IF(R1744&gt;=判定条件!$C$7*Q1744,"運転",IF(R1744&lt;=判定条件!$C$8*Q1744,"停止","断続")))</f>
        <v>運転</v>
      </c>
      <c r="T1744" s="30" t="n">
        <v>60</v>
      </c>
      <c r="U1744" s="30" t="n">
        <v>60</v>
      </c>
      <c r="V1744" s="30" t="str">
        <f aca="false">IF(T1744&lt;判定条件!$C$6,"判定不能",IF(U1744&gt;=判定条件!$C$7*T1744,"運転",IF(U1744&lt;=判定条件!$C$8*T1744,"停止","断続")))</f>
        <v>運転</v>
      </c>
      <c r="W1744" s="30" t="n">
        <v>60</v>
      </c>
      <c r="X1744" s="30" t="n">
        <v>47</v>
      </c>
      <c r="Y1744" s="30" t="str">
        <f aca="false">IF(W1744&lt;判定条件!$C$6,"判定不能",IF(X1744&gt;=判定条件!$C$7*W1744,"運転",IF(X1744&lt;=判定条件!$C$8*W1744,"停止","断続")))</f>
        <v>断続</v>
      </c>
      <c r="Z1744" s="30" t="n">
        <v>60</v>
      </c>
      <c r="AA1744" s="30" t="n">
        <v>60</v>
      </c>
      <c r="AB1744" s="30" t="str">
        <f aca="false">IF(Z1744&lt;判定条件!$C$6,"判定不能",IF(AA1744&gt;=判定条件!$C$7*Z1744,"運転",IF(AA1744&lt;=判定条件!$C$8*Z1744,"停止","断続")))</f>
        <v>運転</v>
      </c>
      <c r="AC1744" s="30" t="n">
        <v>60</v>
      </c>
      <c r="AD1744" s="30" t="n">
        <v>60</v>
      </c>
      <c r="AE1744" s="30" t="str">
        <f aca="false">IF(AC1744&lt;判定条件!$C$6,"判定不能",IF(AD1744&gt;=判定条件!$C$7*AC1744,"運転",IF(AD1744&lt;=判定条件!$C$8*AC1744,"停止","断続")))</f>
        <v>運転</v>
      </c>
      <c r="AF1744" s="30" t="n">
        <v>60</v>
      </c>
      <c r="AG1744" s="30" t="n">
        <v>60</v>
      </c>
      <c r="AH1744" s="30" t="str">
        <f aca="false">IF(OR(P1744="判定不能",G1744="判定不能"),"判定不能",IF(AG1744&gt;=判定条件!$C$9,"利用可",IF(AND(P1744="停止",G1744="停止"),"両方停止","運転がそろわない")))</f>
        <v>利用可</v>
      </c>
      <c r="AI1744" s="30" t="n">
        <v>60</v>
      </c>
      <c r="AJ1744" s="30" t="n">
        <v>57</v>
      </c>
      <c r="AK1744" s="30" t="str">
        <f aca="false">IF(OR(S1744="判定不能",J1744="判定不能"),"判定不能",IF(AJ1744&gt;=判定条件!$C$9,"利用可",IF(AND(S1744="停止",J1744="停止"),"両方停止","運転がそろわない")))</f>
        <v>利用可</v>
      </c>
      <c r="AL1744" s="30" t="n">
        <v>60</v>
      </c>
      <c r="AM1744" s="30" t="n">
        <v>60</v>
      </c>
      <c r="AN1744" s="30" t="str">
        <f aca="false">IF(OR(V1744="判定不能",M1744="判定不能"),"判定不能",IF(AM1744&gt;=判定条件!$C$9,"利用可",IF(AND(V1744="停止",M1744="停止"),"両方停止","運転がそろわない")))</f>
        <v>利用可</v>
      </c>
      <c r="AO1744" s="30" t="n">
        <v>60</v>
      </c>
      <c r="AP1744" s="30" t="n">
        <v>47</v>
      </c>
      <c r="AQ1744" s="30" t="str">
        <f aca="false">IF(OR(Y1744="判定不能",G1744="判定不能"),"判定不能",IF(AP1744&gt;=判定条件!$C$9,"利用可",IF(AND(Y1744="停止",G1744="停止"),"両方停止","運転がそろわない")))</f>
        <v>利用可</v>
      </c>
      <c r="AR1744" s="30" t="n">
        <v>60</v>
      </c>
      <c r="AS1744" s="30" t="n">
        <v>57</v>
      </c>
      <c r="AT1744" s="30" t="str">
        <f aca="false">IF(OR(AB1744="判定不能",J1744="判定不能"),"判定不能",IF(AS1744&gt;=判定条件!$C$9,"利用可",IF(AND(AB1744="停止",J1744="停止"),"両方停止","運転がそろわない")))</f>
        <v>利用可</v>
      </c>
      <c r="AU1744" s="30" t="n">
        <v>60</v>
      </c>
      <c r="AV1744" s="30" t="n">
        <v>60</v>
      </c>
      <c r="AW1744" s="30" t="str">
        <f aca="false">IF(OR(AE1744="判定不能",M1744="判定不能"),"判定不能",IF(AV1744&gt;=判定条件!$C$9,"利用可",IF(AND(AE1744="停止",M1744="停止"),"両方停止","運転がそろわない")))</f>
        <v>利用可</v>
      </c>
      <c r="AX1744" s="30" t="str">
        <f aca="false">IF(AND(AH1744="利用可",AK1744="利用可",AN1744="利用可"),"利用可","不可")</f>
        <v>利用可</v>
      </c>
      <c r="AY1744" s="30" t="str">
        <f aca="false">IF(AND(AQ1744="利用可",AT1744="利用可",AW1744="利用可"),"利用可","不可")</f>
        <v>利用可</v>
      </c>
    </row>
    <row r="1745" customFormat="false" ht="15" hidden="false" customHeight="false" outlineLevel="0" collapsed="false">
      <c r="A1745" s="29" t="n">
        <v>46304</v>
      </c>
      <c r="B1745" s="30" t="n">
        <v>14</v>
      </c>
      <c r="C1745" s="31" t="s">
        <v>62</v>
      </c>
      <c r="D1745" s="31" t="s">
        <v>59</v>
      </c>
      <c r="E1745" s="30" t="n">
        <v>60</v>
      </c>
      <c r="F1745" s="30" t="n">
        <v>51</v>
      </c>
      <c r="G1745" s="30" t="str">
        <f aca="false">IF(E1745&lt;判定条件!$C$6,"判定不能",IF(F1745&gt;=判定条件!$C$7*E1745,"運転",IF(F1745&lt;=判定条件!$C$8*E1745,"停止","断続")))</f>
        <v>運転</v>
      </c>
      <c r="H1745" s="30" t="n">
        <v>60</v>
      </c>
      <c r="I1745" s="30" t="n">
        <v>55</v>
      </c>
      <c r="J1745" s="30" t="str">
        <f aca="false">IF(H1745&lt;判定条件!$C$6,"判定不能",IF(I1745&gt;=判定条件!$C$7*H1745,"運転",IF(I1745&lt;=判定条件!$C$8*H1745,"停止","断続")))</f>
        <v>運転</v>
      </c>
      <c r="K1745" s="30" t="n">
        <v>60</v>
      </c>
      <c r="L1745" s="30" t="n">
        <v>60</v>
      </c>
      <c r="M1745" s="30" t="str">
        <f aca="false">IF(K1745&lt;判定条件!$C$6,"判定不能",IF(L1745&gt;=判定条件!$C$7*K1745,"運転",IF(L1745&lt;=判定条件!$C$8*K1745,"停止","断続")))</f>
        <v>運転</v>
      </c>
      <c r="N1745" s="30" t="n">
        <v>60</v>
      </c>
      <c r="O1745" s="30" t="n">
        <v>52</v>
      </c>
      <c r="P1745" s="30" t="str">
        <f aca="false">IF(N1745&lt;判定条件!$C$6,"判定不能",IF(O1745&gt;=判定条件!$C$7*N1745,"運転",IF(O1745&lt;=判定条件!$C$8*N1745,"停止","断続")))</f>
        <v>運転</v>
      </c>
      <c r="Q1745" s="30" t="n">
        <v>60</v>
      </c>
      <c r="R1745" s="30" t="n">
        <v>60</v>
      </c>
      <c r="S1745" s="30" t="str">
        <f aca="false">IF(Q1745&lt;判定条件!$C$6,"判定不能",IF(R1745&gt;=判定条件!$C$7*Q1745,"運転",IF(R1745&lt;=判定条件!$C$8*Q1745,"停止","断続")))</f>
        <v>運転</v>
      </c>
      <c r="T1745" s="30" t="n">
        <v>60</v>
      </c>
      <c r="U1745" s="30" t="n">
        <v>47</v>
      </c>
      <c r="V1745" s="30" t="str">
        <f aca="false">IF(T1745&lt;判定条件!$C$6,"判定不能",IF(U1745&gt;=判定条件!$C$7*T1745,"運転",IF(U1745&lt;=判定条件!$C$8*T1745,"停止","断続")))</f>
        <v>断続</v>
      </c>
      <c r="W1745" s="30" t="n">
        <v>60</v>
      </c>
      <c r="X1745" s="30" t="n">
        <v>54</v>
      </c>
      <c r="Y1745" s="30" t="str">
        <f aca="false">IF(W1745&lt;判定条件!$C$6,"判定不能",IF(X1745&gt;=判定条件!$C$7*W1745,"運転",IF(X1745&lt;=判定条件!$C$8*W1745,"停止","断続")))</f>
        <v>運転</v>
      </c>
      <c r="Z1745" s="30" t="n">
        <v>60</v>
      </c>
      <c r="AA1745" s="30" t="n">
        <v>60</v>
      </c>
      <c r="AB1745" s="30" t="str">
        <f aca="false">IF(Z1745&lt;判定条件!$C$6,"判定不能",IF(AA1745&gt;=判定条件!$C$7*Z1745,"運転",IF(AA1745&lt;=判定条件!$C$8*Z1745,"停止","断続")))</f>
        <v>運転</v>
      </c>
      <c r="AC1745" s="30" t="n">
        <v>60</v>
      </c>
      <c r="AD1745" s="30" t="n">
        <v>39</v>
      </c>
      <c r="AE1745" s="30" t="str">
        <f aca="false">IF(AC1745&lt;判定条件!$C$6,"判定不能",IF(AD1745&gt;=判定条件!$C$7*AC1745,"運転",IF(AD1745&lt;=判定条件!$C$8*AC1745,"停止","断続")))</f>
        <v>断続</v>
      </c>
      <c r="AF1745" s="30" t="n">
        <v>60</v>
      </c>
      <c r="AG1745" s="30" t="n">
        <v>43</v>
      </c>
      <c r="AH1745" s="30" t="str">
        <f aca="false">IF(OR(P1745="判定不能",G1745="判定不能"),"判定不能",IF(AG1745&gt;=判定条件!$C$9,"利用可",IF(AND(P1745="停止",G1745="停止"),"両方停止","運転がそろわない")))</f>
        <v>利用可</v>
      </c>
      <c r="AI1745" s="30" t="n">
        <v>60</v>
      </c>
      <c r="AJ1745" s="30" t="n">
        <v>55</v>
      </c>
      <c r="AK1745" s="30" t="str">
        <f aca="false">IF(OR(S1745="判定不能",J1745="判定不能"),"判定不能",IF(AJ1745&gt;=判定条件!$C$9,"利用可",IF(AND(S1745="停止",J1745="停止"),"両方停止","運転がそろわない")))</f>
        <v>利用可</v>
      </c>
      <c r="AL1745" s="30" t="n">
        <v>60</v>
      </c>
      <c r="AM1745" s="30" t="n">
        <v>47</v>
      </c>
      <c r="AN1745" s="30" t="str">
        <f aca="false">IF(OR(V1745="判定不能",M1745="判定不能"),"判定不能",IF(AM1745&gt;=判定条件!$C$9,"利用可",IF(AND(V1745="停止",M1745="停止"),"両方停止","運転がそろわない")))</f>
        <v>利用可</v>
      </c>
      <c r="AO1745" s="30" t="n">
        <v>60</v>
      </c>
      <c r="AP1745" s="30" t="n">
        <v>45</v>
      </c>
      <c r="AQ1745" s="30" t="str">
        <f aca="false">IF(OR(Y1745="判定不能",G1745="判定不能"),"判定不能",IF(AP1745&gt;=判定条件!$C$9,"利用可",IF(AND(Y1745="停止",G1745="停止"),"両方停止","運転がそろわない")))</f>
        <v>利用可</v>
      </c>
      <c r="AR1745" s="30" t="n">
        <v>60</v>
      </c>
      <c r="AS1745" s="30" t="n">
        <v>55</v>
      </c>
      <c r="AT1745" s="30" t="str">
        <f aca="false">IF(OR(AB1745="判定不能",J1745="判定不能"),"判定不能",IF(AS1745&gt;=判定条件!$C$9,"利用可",IF(AND(AB1745="停止",J1745="停止"),"両方停止","運転がそろわない")))</f>
        <v>利用可</v>
      </c>
      <c r="AU1745" s="30" t="n">
        <v>60</v>
      </c>
      <c r="AV1745" s="30" t="n">
        <v>39</v>
      </c>
      <c r="AW1745" s="30" t="str">
        <f aca="false">IF(OR(AE1745="判定不能",M1745="判定不能"),"判定不能",IF(AV1745&gt;=判定条件!$C$9,"利用可",IF(AND(AE1745="停止",M1745="停止"),"両方停止","運転がそろわない")))</f>
        <v>利用可</v>
      </c>
      <c r="AX1745" s="30" t="str">
        <f aca="false">IF(AND(AH1745="利用可",AK1745="利用可",AN1745="利用可"),"利用可","不可")</f>
        <v>利用可</v>
      </c>
      <c r="AY1745" s="30" t="str">
        <f aca="false">IF(AND(AQ1745="利用可",AT1745="利用可",AW1745="利用可"),"利用可","不可")</f>
        <v>利用可</v>
      </c>
    </row>
    <row r="1746" customFormat="false" ht="15" hidden="false" customHeight="false" outlineLevel="0" collapsed="false">
      <c r="A1746" s="29" t="n">
        <v>46304</v>
      </c>
      <c r="B1746" s="30" t="n">
        <v>15</v>
      </c>
      <c r="C1746" s="31" t="s">
        <v>62</v>
      </c>
      <c r="D1746" s="31" t="s">
        <v>59</v>
      </c>
      <c r="E1746" s="30" t="n">
        <v>60</v>
      </c>
      <c r="F1746" s="30" t="n">
        <v>50</v>
      </c>
      <c r="G1746" s="30" t="str">
        <f aca="false">IF(E1746&lt;判定条件!$C$6,"判定不能",IF(F1746&gt;=判定条件!$C$7*E1746,"運転",IF(F1746&lt;=判定条件!$C$8*E1746,"停止","断続")))</f>
        <v>運転</v>
      </c>
      <c r="H1746" s="30" t="n">
        <v>60</v>
      </c>
      <c r="I1746" s="30" t="n">
        <v>58</v>
      </c>
      <c r="J1746" s="30" t="str">
        <f aca="false">IF(H1746&lt;判定条件!$C$6,"判定不能",IF(I1746&gt;=判定条件!$C$7*H1746,"運転",IF(I1746&lt;=判定条件!$C$8*H1746,"停止","断続")))</f>
        <v>運転</v>
      </c>
      <c r="K1746" s="30" t="n">
        <v>60</v>
      </c>
      <c r="L1746" s="30" t="n">
        <v>60</v>
      </c>
      <c r="M1746" s="30" t="str">
        <f aca="false">IF(K1746&lt;判定条件!$C$6,"判定不能",IF(L1746&gt;=判定条件!$C$7*K1746,"運転",IF(L1746&lt;=判定条件!$C$8*K1746,"停止","断続")))</f>
        <v>運転</v>
      </c>
      <c r="N1746" s="30" t="n">
        <v>60</v>
      </c>
      <c r="O1746" s="30" t="n">
        <v>56</v>
      </c>
      <c r="P1746" s="30" t="str">
        <f aca="false">IF(N1746&lt;判定条件!$C$6,"判定不能",IF(O1746&gt;=判定条件!$C$7*N1746,"運転",IF(O1746&lt;=判定条件!$C$8*N1746,"停止","断続")))</f>
        <v>運転</v>
      </c>
      <c r="Q1746" s="30" t="n">
        <v>60</v>
      </c>
      <c r="R1746" s="30" t="n">
        <v>60</v>
      </c>
      <c r="S1746" s="30" t="str">
        <f aca="false">IF(Q1746&lt;判定条件!$C$6,"判定不能",IF(R1746&gt;=判定条件!$C$7*Q1746,"運転",IF(R1746&lt;=判定条件!$C$8*Q1746,"停止","断続")))</f>
        <v>運転</v>
      </c>
      <c r="T1746" s="30" t="n">
        <v>60</v>
      </c>
      <c r="U1746" s="30" t="n">
        <v>48</v>
      </c>
      <c r="V1746" s="30" t="str">
        <f aca="false">IF(T1746&lt;判定条件!$C$6,"判定不能",IF(U1746&gt;=判定条件!$C$7*T1746,"運転",IF(U1746&lt;=判定条件!$C$8*T1746,"停止","断続")))</f>
        <v>運転</v>
      </c>
      <c r="W1746" s="30" t="n">
        <v>60</v>
      </c>
      <c r="X1746" s="30" t="n">
        <v>50</v>
      </c>
      <c r="Y1746" s="30" t="str">
        <f aca="false">IF(W1746&lt;判定条件!$C$6,"判定不能",IF(X1746&gt;=判定条件!$C$7*W1746,"運転",IF(X1746&lt;=判定条件!$C$8*W1746,"停止","断続")))</f>
        <v>運転</v>
      </c>
      <c r="Z1746" s="30" t="n">
        <v>60</v>
      </c>
      <c r="AA1746" s="30" t="n">
        <v>60</v>
      </c>
      <c r="AB1746" s="30" t="str">
        <f aca="false">IF(Z1746&lt;判定条件!$C$6,"判定不能",IF(AA1746&gt;=判定条件!$C$7*Z1746,"運転",IF(AA1746&lt;=判定条件!$C$8*Z1746,"停止","断続")))</f>
        <v>運転</v>
      </c>
      <c r="AC1746" s="30" t="n">
        <v>60</v>
      </c>
      <c r="AD1746" s="30" t="n">
        <v>48</v>
      </c>
      <c r="AE1746" s="30" t="str">
        <f aca="false">IF(AC1746&lt;判定条件!$C$6,"判定不能",IF(AD1746&gt;=判定条件!$C$7*AC1746,"運転",IF(AD1746&lt;=判定条件!$C$8*AC1746,"停止","断続")))</f>
        <v>運転</v>
      </c>
      <c r="AF1746" s="30" t="n">
        <v>60</v>
      </c>
      <c r="AG1746" s="30" t="n">
        <v>49</v>
      </c>
      <c r="AH1746" s="30" t="str">
        <f aca="false">IF(OR(P1746="判定不能",G1746="判定不能"),"判定不能",IF(AG1746&gt;=判定条件!$C$9,"利用可",IF(AND(P1746="停止",G1746="停止"),"両方停止","運転がそろわない")))</f>
        <v>利用可</v>
      </c>
      <c r="AI1746" s="30" t="n">
        <v>60</v>
      </c>
      <c r="AJ1746" s="30" t="n">
        <v>58</v>
      </c>
      <c r="AK1746" s="30" t="str">
        <f aca="false">IF(OR(S1746="判定不能",J1746="判定不能"),"判定不能",IF(AJ1746&gt;=判定条件!$C$9,"利用可",IF(AND(S1746="停止",J1746="停止"),"両方停止","運転がそろわない")))</f>
        <v>利用可</v>
      </c>
      <c r="AL1746" s="30" t="n">
        <v>60</v>
      </c>
      <c r="AM1746" s="30" t="n">
        <v>48</v>
      </c>
      <c r="AN1746" s="30" t="str">
        <f aca="false">IF(OR(V1746="判定不能",M1746="判定不能"),"判定不能",IF(AM1746&gt;=判定条件!$C$9,"利用可",IF(AND(V1746="停止",M1746="停止"),"両方停止","運転がそろわない")))</f>
        <v>利用可</v>
      </c>
      <c r="AO1746" s="30" t="n">
        <v>60</v>
      </c>
      <c r="AP1746" s="30" t="n">
        <v>50</v>
      </c>
      <c r="AQ1746" s="30" t="str">
        <f aca="false">IF(OR(Y1746="判定不能",G1746="判定不能"),"判定不能",IF(AP1746&gt;=判定条件!$C$9,"利用可",IF(AND(Y1746="停止",G1746="停止"),"両方停止","運転がそろわない")))</f>
        <v>利用可</v>
      </c>
      <c r="AR1746" s="30" t="n">
        <v>60</v>
      </c>
      <c r="AS1746" s="30" t="n">
        <v>58</v>
      </c>
      <c r="AT1746" s="30" t="str">
        <f aca="false">IF(OR(AB1746="判定不能",J1746="判定不能"),"判定不能",IF(AS1746&gt;=判定条件!$C$9,"利用可",IF(AND(AB1746="停止",J1746="停止"),"両方停止","運転がそろわない")))</f>
        <v>利用可</v>
      </c>
      <c r="AU1746" s="30" t="n">
        <v>60</v>
      </c>
      <c r="AV1746" s="30" t="n">
        <v>48</v>
      </c>
      <c r="AW1746" s="30" t="str">
        <f aca="false">IF(OR(AE1746="判定不能",M1746="判定不能"),"判定不能",IF(AV1746&gt;=判定条件!$C$9,"利用可",IF(AND(AE1746="停止",M1746="停止"),"両方停止","運転がそろわない")))</f>
        <v>利用可</v>
      </c>
      <c r="AX1746" s="30" t="str">
        <f aca="false">IF(AND(AH1746="利用可",AK1746="利用可",AN1746="利用可"),"利用可","不可")</f>
        <v>利用可</v>
      </c>
      <c r="AY1746" s="30" t="str">
        <f aca="false">IF(AND(AQ1746="利用可",AT1746="利用可",AW1746="利用可"),"利用可","不可")</f>
        <v>利用可</v>
      </c>
    </row>
    <row r="1747" customFormat="false" ht="15" hidden="false" customHeight="false" outlineLevel="0" collapsed="false">
      <c r="A1747" s="29" t="n">
        <v>46304</v>
      </c>
      <c r="B1747" s="30" t="n">
        <v>16</v>
      </c>
      <c r="C1747" s="31" t="s">
        <v>62</v>
      </c>
      <c r="D1747" s="31" t="s">
        <v>59</v>
      </c>
      <c r="E1747" s="30" t="n">
        <v>60</v>
      </c>
      <c r="F1747" s="30" t="n">
        <v>17</v>
      </c>
      <c r="G1747" s="30" t="str">
        <f aca="false">IF(E1747&lt;判定条件!$C$6,"判定不能",IF(F1747&gt;=判定条件!$C$7*E1747,"運転",IF(F1747&lt;=判定条件!$C$8*E1747,"停止","断続")))</f>
        <v>断続</v>
      </c>
      <c r="H1747" s="30" t="n">
        <v>60</v>
      </c>
      <c r="I1747" s="30" t="n">
        <v>8</v>
      </c>
      <c r="J1747" s="30" t="str">
        <f aca="false">IF(H1747&lt;判定条件!$C$6,"判定不能",IF(I1747&gt;=判定条件!$C$7*H1747,"運転",IF(I1747&lt;=判定条件!$C$8*H1747,"停止","断続")))</f>
        <v>停止</v>
      </c>
      <c r="K1747" s="30" t="n">
        <v>60</v>
      </c>
      <c r="L1747" s="30" t="n">
        <v>60</v>
      </c>
      <c r="M1747" s="30" t="str">
        <f aca="false">IF(K1747&lt;判定条件!$C$6,"判定不能",IF(L1747&gt;=判定条件!$C$7*K1747,"運転",IF(L1747&lt;=判定条件!$C$8*K1747,"停止","断続")))</f>
        <v>運転</v>
      </c>
      <c r="N1747" s="30" t="n">
        <v>60</v>
      </c>
      <c r="O1747" s="30" t="n">
        <v>15</v>
      </c>
      <c r="P1747" s="30" t="str">
        <f aca="false">IF(N1747&lt;判定条件!$C$6,"判定不能",IF(O1747&gt;=判定条件!$C$7*N1747,"運転",IF(O1747&lt;=判定条件!$C$8*N1747,"停止","断続")))</f>
        <v>断続</v>
      </c>
      <c r="Q1747" s="30" t="n">
        <v>60</v>
      </c>
      <c r="R1747" s="30" t="n">
        <v>34</v>
      </c>
      <c r="S1747" s="30" t="str">
        <f aca="false">IF(Q1747&lt;判定条件!$C$6,"判定不能",IF(R1747&gt;=判定条件!$C$7*Q1747,"運転",IF(R1747&lt;=判定条件!$C$8*Q1747,"停止","断続")))</f>
        <v>断続</v>
      </c>
      <c r="T1747" s="30" t="n">
        <v>60</v>
      </c>
      <c r="U1747" s="30" t="n">
        <v>42</v>
      </c>
      <c r="V1747" s="30" t="str">
        <f aca="false">IF(T1747&lt;判定条件!$C$6,"判定不能",IF(U1747&gt;=判定条件!$C$7*T1747,"運転",IF(U1747&lt;=判定条件!$C$8*T1747,"停止","断続")))</f>
        <v>断続</v>
      </c>
      <c r="W1747" s="30" t="n">
        <v>60</v>
      </c>
      <c r="X1747" s="30" t="n">
        <v>14</v>
      </c>
      <c r="Y1747" s="30" t="str">
        <f aca="false">IF(W1747&lt;判定条件!$C$6,"判定不能",IF(X1747&gt;=判定条件!$C$7*W1747,"運転",IF(X1747&lt;=判定条件!$C$8*W1747,"停止","断続")))</f>
        <v>断続</v>
      </c>
      <c r="Z1747" s="30" t="n">
        <v>60</v>
      </c>
      <c r="AA1747" s="30" t="n">
        <v>49</v>
      </c>
      <c r="AB1747" s="30" t="str">
        <f aca="false">IF(Z1747&lt;判定条件!$C$6,"判定不能",IF(AA1747&gt;=判定条件!$C$7*Z1747,"運転",IF(AA1747&lt;=判定条件!$C$8*Z1747,"停止","断続")))</f>
        <v>運転</v>
      </c>
      <c r="AC1747" s="30" t="n">
        <v>60</v>
      </c>
      <c r="AD1747" s="30" t="n">
        <v>55</v>
      </c>
      <c r="AE1747" s="30" t="str">
        <f aca="false">IF(AC1747&lt;判定条件!$C$6,"判定不能",IF(AD1747&gt;=判定条件!$C$7*AC1747,"運転",IF(AD1747&lt;=判定条件!$C$8*AC1747,"停止","断続")))</f>
        <v>運転</v>
      </c>
      <c r="AF1747" s="30" t="n">
        <v>60</v>
      </c>
      <c r="AG1747" s="30" t="n">
        <v>0</v>
      </c>
      <c r="AH1747" s="30" t="str">
        <f aca="false">IF(OR(P1747="判定不能",G1747="判定不能"),"判定不能",IF(AG1747&gt;=判定条件!$C$9,"利用可",IF(AND(P1747="停止",G1747="停止"),"両方停止","運転がそろわない")))</f>
        <v>運転がそろわない</v>
      </c>
      <c r="AI1747" s="30" t="n">
        <v>60</v>
      </c>
      <c r="AJ1747" s="30" t="n">
        <v>5</v>
      </c>
      <c r="AK1747" s="30" t="str">
        <f aca="false">IF(OR(S1747="判定不能",J1747="判定不能"),"判定不能",IF(AJ1747&gt;=判定条件!$C$9,"利用可",IF(AND(S1747="停止",J1747="停止"),"両方停止","運転がそろわない")))</f>
        <v>運転がそろわない</v>
      </c>
      <c r="AL1747" s="30" t="n">
        <v>60</v>
      </c>
      <c r="AM1747" s="30" t="n">
        <v>42</v>
      </c>
      <c r="AN1747" s="30" t="str">
        <f aca="false">IF(OR(V1747="判定不能",M1747="判定不能"),"判定不能",IF(AM1747&gt;=判定条件!$C$9,"利用可",IF(AND(V1747="停止",M1747="停止"),"両方停止","運転がそろわない")))</f>
        <v>利用可</v>
      </c>
      <c r="AO1747" s="30" t="n">
        <v>60</v>
      </c>
      <c r="AP1747" s="30" t="n">
        <v>0</v>
      </c>
      <c r="AQ1747" s="30" t="str">
        <f aca="false">IF(OR(Y1747="判定不能",G1747="判定不能"),"判定不能",IF(AP1747&gt;=判定条件!$C$9,"利用可",IF(AND(Y1747="停止",G1747="停止"),"両方停止","運転がそろわない")))</f>
        <v>運転がそろわない</v>
      </c>
      <c r="AR1747" s="30" t="n">
        <v>60</v>
      </c>
      <c r="AS1747" s="30" t="n">
        <v>7</v>
      </c>
      <c r="AT1747" s="30" t="str">
        <f aca="false">IF(OR(AB1747="判定不能",J1747="判定不能"),"判定不能",IF(AS1747&gt;=判定条件!$C$9,"利用可",IF(AND(AB1747="停止",J1747="停止"),"両方停止","運転がそろわない")))</f>
        <v>運転がそろわない</v>
      </c>
      <c r="AU1747" s="30" t="n">
        <v>60</v>
      </c>
      <c r="AV1747" s="30" t="n">
        <v>55</v>
      </c>
      <c r="AW1747" s="30" t="str">
        <f aca="false">IF(OR(AE1747="判定不能",M1747="判定不能"),"判定不能",IF(AV1747&gt;=判定条件!$C$9,"利用可",IF(AND(AE1747="停止",M1747="停止"),"両方停止","運転がそろわない")))</f>
        <v>利用可</v>
      </c>
      <c r="AX1747" s="30" t="str">
        <f aca="false">IF(AND(AH1747="利用可",AK1747="利用可",AN1747="利用可"),"利用可","不可")</f>
        <v>不可</v>
      </c>
      <c r="AY1747" s="30" t="str">
        <f aca="false">IF(AND(AQ1747="利用可",AT1747="利用可",AW1747="利用可"),"利用可","不可")</f>
        <v>不可</v>
      </c>
    </row>
    <row r="1748" customFormat="false" ht="15" hidden="false" customHeight="false" outlineLevel="0" collapsed="false">
      <c r="A1748" s="29" t="n">
        <v>46304</v>
      </c>
      <c r="B1748" s="30" t="n">
        <v>17</v>
      </c>
      <c r="C1748" s="31" t="s">
        <v>62</v>
      </c>
      <c r="D1748" s="31" t="s">
        <v>59</v>
      </c>
      <c r="E1748" s="30" t="n">
        <v>60</v>
      </c>
      <c r="F1748" s="30" t="n">
        <v>4</v>
      </c>
      <c r="G1748" s="30" t="str">
        <f aca="false">IF(E1748&lt;判定条件!$C$6,"判定不能",IF(F1748&gt;=判定条件!$C$7*E1748,"運転",IF(F1748&lt;=判定条件!$C$8*E1748,"停止","断続")))</f>
        <v>停止</v>
      </c>
      <c r="H1748" s="30" t="n">
        <v>60</v>
      </c>
      <c r="I1748" s="30" t="n">
        <v>9</v>
      </c>
      <c r="J1748" s="30" t="str">
        <f aca="false">IF(H1748&lt;判定条件!$C$6,"判定不能",IF(I1748&gt;=判定条件!$C$7*H1748,"運転",IF(I1748&lt;=判定条件!$C$8*H1748,"停止","断続")))</f>
        <v>停止</v>
      </c>
      <c r="K1748" s="30" t="n">
        <v>60</v>
      </c>
      <c r="L1748" s="30" t="n">
        <v>60</v>
      </c>
      <c r="M1748" s="30" t="str">
        <f aca="false">IF(K1748&lt;判定条件!$C$6,"判定不能",IF(L1748&gt;=判定条件!$C$7*K1748,"運転",IF(L1748&lt;=判定条件!$C$8*K1748,"停止","断続")))</f>
        <v>運転</v>
      </c>
      <c r="N1748" s="30" t="n">
        <v>60</v>
      </c>
      <c r="O1748" s="30" t="n">
        <v>18</v>
      </c>
      <c r="P1748" s="30" t="str">
        <f aca="false">IF(N1748&lt;判定条件!$C$6,"判定不能",IF(O1748&gt;=判定条件!$C$7*N1748,"運転",IF(O1748&lt;=判定条件!$C$8*N1748,"停止","断続")))</f>
        <v>断続</v>
      </c>
      <c r="Q1748" s="30" t="n">
        <v>60</v>
      </c>
      <c r="R1748" s="30" t="n">
        <v>22</v>
      </c>
      <c r="S1748" s="30" t="str">
        <f aca="false">IF(Q1748&lt;判定条件!$C$6,"判定不能",IF(R1748&gt;=判定条件!$C$7*Q1748,"運転",IF(R1748&lt;=判定条件!$C$8*Q1748,"停止","断続")))</f>
        <v>断続</v>
      </c>
      <c r="T1748" s="30" t="n">
        <v>60</v>
      </c>
      <c r="U1748" s="30" t="n">
        <v>51</v>
      </c>
      <c r="V1748" s="30" t="str">
        <f aca="false">IF(T1748&lt;判定条件!$C$6,"判定不能",IF(U1748&gt;=判定条件!$C$7*T1748,"運転",IF(U1748&lt;=判定条件!$C$8*T1748,"停止","断続")))</f>
        <v>運転</v>
      </c>
      <c r="W1748" s="30" t="n">
        <v>60</v>
      </c>
      <c r="X1748" s="30" t="n">
        <v>39</v>
      </c>
      <c r="Y1748" s="30" t="str">
        <f aca="false">IF(W1748&lt;判定条件!$C$6,"判定不能",IF(X1748&gt;=判定条件!$C$7*W1748,"運転",IF(X1748&lt;=判定条件!$C$8*W1748,"停止","断続")))</f>
        <v>断続</v>
      </c>
      <c r="Z1748" s="30" t="n">
        <v>60</v>
      </c>
      <c r="AA1748" s="30" t="n">
        <v>40</v>
      </c>
      <c r="AB1748" s="30" t="str">
        <f aca="false">IF(Z1748&lt;判定条件!$C$6,"判定不能",IF(AA1748&gt;=判定条件!$C$7*Z1748,"運転",IF(AA1748&lt;=判定条件!$C$8*Z1748,"停止","断続")))</f>
        <v>断続</v>
      </c>
      <c r="AC1748" s="30" t="n">
        <v>60</v>
      </c>
      <c r="AD1748" s="30" t="n">
        <v>40</v>
      </c>
      <c r="AE1748" s="30" t="str">
        <f aca="false">IF(AC1748&lt;判定条件!$C$6,"判定不能",IF(AD1748&gt;=判定条件!$C$7*AC1748,"運転",IF(AD1748&lt;=判定条件!$C$8*AC1748,"停止","断続")))</f>
        <v>断続</v>
      </c>
      <c r="AF1748" s="30" t="n">
        <v>60</v>
      </c>
      <c r="AG1748" s="30" t="n">
        <v>0</v>
      </c>
      <c r="AH1748" s="30" t="str">
        <f aca="false">IF(OR(P1748="判定不能",G1748="判定不能"),"判定不能",IF(AG1748&gt;=判定条件!$C$9,"利用可",IF(AND(P1748="停止",G1748="停止"),"両方停止","運転がそろわない")))</f>
        <v>運転がそろわない</v>
      </c>
      <c r="AI1748" s="30" t="n">
        <v>60</v>
      </c>
      <c r="AJ1748" s="30" t="n">
        <v>0</v>
      </c>
      <c r="AK1748" s="30" t="str">
        <f aca="false">IF(OR(S1748="判定不能",J1748="判定不能"),"判定不能",IF(AJ1748&gt;=判定条件!$C$9,"利用可",IF(AND(S1748="停止",J1748="停止"),"両方停止","運転がそろわない")))</f>
        <v>運転がそろわない</v>
      </c>
      <c r="AL1748" s="30" t="n">
        <v>60</v>
      </c>
      <c r="AM1748" s="30" t="n">
        <v>51</v>
      </c>
      <c r="AN1748" s="30" t="str">
        <f aca="false">IF(OR(V1748="判定不能",M1748="判定不能"),"判定不能",IF(AM1748&gt;=判定条件!$C$9,"利用可",IF(AND(V1748="停止",M1748="停止"),"両方停止","運転がそろわない")))</f>
        <v>利用可</v>
      </c>
      <c r="AO1748" s="30" t="n">
        <v>60</v>
      </c>
      <c r="AP1748" s="30" t="n">
        <v>4</v>
      </c>
      <c r="AQ1748" s="30" t="str">
        <f aca="false">IF(OR(Y1748="判定不能",G1748="判定不能"),"判定不能",IF(AP1748&gt;=判定条件!$C$9,"利用可",IF(AND(Y1748="停止",G1748="停止"),"両方停止","運転がそろわない")))</f>
        <v>運転がそろわない</v>
      </c>
      <c r="AR1748" s="30" t="n">
        <v>60</v>
      </c>
      <c r="AS1748" s="30" t="n">
        <v>0</v>
      </c>
      <c r="AT1748" s="30" t="str">
        <f aca="false">IF(OR(AB1748="判定不能",J1748="判定不能"),"判定不能",IF(AS1748&gt;=判定条件!$C$9,"利用可",IF(AND(AB1748="停止",J1748="停止"),"両方停止","運転がそろわない")))</f>
        <v>運転がそろわない</v>
      </c>
      <c r="AU1748" s="30" t="n">
        <v>60</v>
      </c>
      <c r="AV1748" s="30" t="n">
        <v>40</v>
      </c>
      <c r="AW1748" s="30" t="str">
        <f aca="false">IF(OR(AE1748="判定不能",M1748="判定不能"),"判定不能",IF(AV1748&gt;=判定条件!$C$9,"利用可",IF(AND(AE1748="停止",M1748="停止"),"両方停止","運転がそろわない")))</f>
        <v>利用可</v>
      </c>
      <c r="AX1748" s="30" t="str">
        <f aca="false">IF(AND(AH1748="利用可",AK1748="利用可",AN1748="利用可"),"利用可","不可")</f>
        <v>不可</v>
      </c>
      <c r="AY1748" s="30" t="str">
        <f aca="false">IF(AND(AQ1748="利用可",AT1748="利用可",AW1748="利用可"),"利用可","不可")</f>
        <v>不可</v>
      </c>
    </row>
    <row r="1749" customFormat="false" ht="15" hidden="false" customHeight="false" outlineLevel="0" collapsed="false">
      <c r="A1749" s="29" t="n">
        <v>46304</v>
      </c>
      <c r="B1749" s="30" t="n">
        <v>18</v>
      </c>
      <c r="C1749" s="31" t="s">
        <v>62</v>
      </c>
      <c r="D1749" s="31" t="s">
        <v>59</v>
      </c>
      <c r="E1749" s="30" t="n">
        <v>60</v>
      </c>
      <c r="F1749" s="30" t="n">
        <v>24</v>
      </c>
      <c r="G1749" s="30" t="str">
        <f aca="false">IF(E1749&lt;判定条件!$C$6,"判定不能",IF(F1749&gt;=判定条件!$C$7*E1749,"運転",IF(F1749&lt;=判定条件!$C$8*E1749,"停止","断続")))</f>
        <v>断続</v>
      </c>
      <c r="H1749" s="30" t="n">
        <v>60</v>
      </c>
      <c r="I1749" s="30" t="n">
        <v>36</v>
      </c>
      <c r="J1749" s="30" t="str">
        <f aca="false">IF(H1749&lt;判定条件!$C$6,"判定不能",IF(I1749&gt;=判定条件!$C$7*H1749,"運転",IF(I1749&lt;=判定条件!$C$8*H1749,"停止","断続")))</f>
        <v>断続</v>
      </c>
      <c r="K1749" s="30" t="n">
        <v>60</v>
      </c>
      <c r="L1749" s="30" t="n">
        <v>28</v>
      </c>
      <c r="M1749" s="30" t="str">
        <f aca="false">IF(K1749&lt;判定条件!$C$6,"判定不能",IF(L1749&gt;=判定条件!$C$7*K1749,"運転",IF(L1749&lt;=判定条件!$C$8*K1749,"停止","断続")))</f>
        <v>断続</v>
      </c>
      <c r="N1749" s="30" t="n">
        <v>60</v>
      </c>
      <c r="O1749" s="30" t="n">
        <v>0</v>
      </c>
      <c r="P1749" s="30" t="str">
        <f aca="false">IF(N1749&lt;判定条件!$C$6,"判定不能",IF(O1749&gt;=判定条件!$C$7*N1749,"運転",IF(O1749&lt;=判定条件!$C$8*N1749,"停止","断続")))</f>
        <v>停止</v>
      </c>
      <c r="Q1749" s="30" t="n">
        <v>60</v>
      </c>
      <c r="R1749" s="30" t="n">
        <v>29</v>
      </c>
      <c r="S1749" s="30" t="str">
        <f aca="false">IF(Q1749&lt;判定条件!$C$6,"判定不能",IF(R1749&gt;=判定条件!$C$7*Q1749,"運転",IF(R1749&lt;=判定条件!$C$8*Q1749,"停止","断続")))</f>
        <v>断続</v>
      </c>
      <c r="T1749" s="30" t="n">
        <v>60</v>
      </c>
      <c r="U1749" s="30" t="n">
        <v>3</v>
      </c>
      <c r="V1749" s="30" t="str">
        <f aca="false">IF(T1749&lt;判定条件!$C$6,"判定不能",IF(U1749&gt;=判定条件!$C$7*T1749,"運転",IF(U1749&lt;=判定条件!$C$8*T1749,"停止","断続")))</f>
        <v>停止</v>
      </c>
      <c r="W1749" s="30" t="n">
        <v>60</v>
      </c>
      <c r="X1749" s="30" t="n">
        <v>16</v>
      </c>
      <c r="Y1749" s="30" t="str">
        <f aca="false">IF(W1749&lt;判定条件!$C$6,"判定不能",IF(X1749&gt;=判定条件!$C$7*W1749,"運転",IF(X1749&lt;=判定条件!$C$8*W1749,"停止","断続")))</f>
        <v>断続</v>
      </c>
      <c r="Z1749" s="30" t="n">
        <v>60</v>
      </c>
      <c r="AA1749" s="30" t="n">
        <v>19</v>
      </c>
      <c r="AB1749" s="30" t="str">
        <f aca="false">IF(Z1749&lt;判定条件!$C$6,"判定不能",IF(AA1749&gt;=判定条件!$C$7*Z1749,"運転",IF(AA1749&lt;=判定条件!$C$8*Z1749,"停止","断続")))</f>
        <v>断続</v>
      </c>
      <c r="AC1749" s="30" t="n">
        <v>60</v>
      </c>
      <c r="AD1749" s="30" t="n">
        <v>28</v>
      </c>
      <c r="AE1749" s="30" t="str">
        <f aca="false">IF(AC1749&lt;判定条件!$C$6,"判定不能",IF(AD1749&gt;=判定条件!$C$7*AC1749,"運転",IF(AD1749&lt;=判定条件!$C$8*AC1749,"停止","断続")))</f>
        <v>断続</v>
      </c>
      <c r="AF1749" s="30" t="n">
        <v>60</v>
      </c>
      <c r="AG1749" s="30" t="n">
        <v>0</v>
      </c>
      <c r="AH1749" s="30" t="str">
        <f aca="false">IF(OR(P1749="判定不能",G1749="判定不能"),"判定不能",IF(AG1749&gt;=判定条件!$C$9,"利用可",IF(AND(P1749="停止",G1749="停止"),"両方停止","運転がそろわない")))</f>
        <v>運転がそろわない</v>
      </c>
      <c r="AI1749" s="30" t="n">
        <v>60</v>
      </c>
      <c r="AJ1749" s="30" t="n">
        <v>28</v>
      </c>
      <c r="AK1749" s="30" t="str">
        <f aca="false">IF(OR(S1749="判定不能",J1749="判定不能"),"判定不能",IF(AJ1749&gt;=判定条件!$C$9,"利用可",IF(AND(S1749="停止",J1749="停止"),"両方停止","運転がそろわない")))</f>
        <v>運転がそろわない</v>
      </c>
      <c r="AL1749" s="30" t="n">
        <v>60</v>
      </c>
      <c r="AM1749" s="30" t="n">
        <v>3</v>
      </c>
      <c r="AN1749" s="30" t="str">
        <f aca="false">IF(OR(V1749="判定不能",M1749="判定不能"),"判定不能",IF(AM1749&gt;=判定条件!$C$9,"利用可",IF(AND(V1749="停止",M1749="停止"),"両方停止","運転がそろわない")))</f>
        <v>運転がそろわない</v>
      </c>
      <c r="AO1749" s="30" t="n">
        <v>60</v>
      </c>
      <c r="AP1749" s="30" t="n">
        <v>2</v>
      </c>
      <c r="AQ1749" s="30" t="str">
        <f aca="false">IF(OR(Y1749="判定不能",G1749="判定不能"),"判定不能",IF(AP1749&gt;=判定条件!$C$9,"利用可",IF(AND(Y1749="停止",G1749="停止"),"両方停止","運転がそろわない")))</f>
        <v>運転がそろわない</v>
      </c>
      <c r="AR1749" s="30" t="n">
        <v>60</v>
      </c>
      <c r="AS1749" s="30" t="n">
        <v>11</v>
      </c>
      <c r="AT1749" s="30" t="str">
        <f aca="false">IF(OR(AB1749="判定不能",J1749="判定不能"),"判定不能",IF(AS1749&gt;=判定条件!$C$9,"利用可",IF(AND(AB1749="停止",J1749="停止"),"両方停止","運転がそろわない")))</f>
        <v>運転がそろわない</v>
      </c>
      <c r="AU1749" s="30" t="n">
        <v>60</v>
      </c>
      <c r="AV1749" s="30" t="n">
        <v>12</v>
      </c>
      <c r="AW1749" s="30" t="str">
        <f aca="false">IF(OR(AE1749="判定不能",M1749="判定不能"),"判定不能",IF(AV1749&gt;=判定条件!$C$9,"利用可",IF(AND(AE1749="停止",M1749="停止"),"両方停止","運転がそろわない")))</f>
        <v>運転がそろわない</v>
      </c>
      <c r="AX1749" s="30" t="str">
        <f aca="false">IF(AND(AH1749="利用可",AK1749="利用可",AN1749="利用可"),"利用可","不可")</f>
        <v>不可</v>
      </c>
      <c r="AY1749" s="30" t="str">
        <f aca="false">IF(AND(AQ1749="利用可",AT1749="利用可",AW1749="利用可"),"利用可","不可")</f>
        <v>不可</v>
      </c>
    </row>
    <row r="1750" customFormat="false" ht="15" hidden="false" customHeight="false" outlineLevel="0" collapsed="false">
      <c r="A1750" s="29" t="n">
        <v>46304</v>
      </c>
      <c r="B1750" s="30" t="n">
        <v>19</v>
      </c>
      <c r="C1750" s="31" t="s">
        <v>62</v>
      </c>
      <c r="D1750" s="31" t="s">
        <v>59</v>
      </c>
      <c r="E1750" s="30" t="n">
        <v>60</v>
      </c>
      <c r="F1750" s="30" t="n">
        <v>43</v>
      </c>
      <c r="G1750" s="30" t="str">
        <f aca="false">IF(E1750&lt;判定条件!$C$6,"判定不能",IF(F1750&gt;=判定条件!$C$7*E1750,"運転",IF(F1750&lt;=判定条件!$C$8*E1750,"停止","断続")))</f>
        <v>断続</v>
      </c>
      <c r="H1750" s="30" t="n">
        <v>60</v>
      </c>
      <c r="I1750" s="30" t="n">
        <v>33</v>
      </c>
      <c r="J1750" s="30" t="str">
        <f aca="false">IF(H1750&lt;判定条件!$C$6,"判定不能",IF(I1750&gt;=判定条件!$C$7*H1750,"運転",IF(I1750&lt;=判定条件!$C$8*H1750,"停止","断続")))</f>
        <v>断続</v>
      </c>
      <c r="K1750" s="30" t="n">
        <v>60</v>
      </c>
      <c r="L1750" s="30" t="n">
        <v>14</v>
      </c>
      <c r="M1750" s="30" t="str">
        <f aca="false">IF(K1750&lt;判定条件!$C$6,"判定不能",IF(L1750&gt;=判定条件!$C$7*K1750,"運転",IF(L1750&lt;=判定条件!$C$8*K1750,"停止","断続")))</f>
        <v>断続</v>
      </c>
      <c r="N1750" s="30" t="n">
        <v>60</v>
      </c>
      <c r="O1750" s="30" t="n">
        <v>0</v>
      </c>
      <c r="P1750" s="30" t="str">
        <f aca="false">IF(N1750&lt;判定条件!$C$6,"判定不能",IF(O1750&gt;=判定条件!$C$7*N1750,"運転",IF(O1750&lt;=判定条件!$C$8*N1750,"停止","断続")))</f>
        <v>停止</v>
      </c>
      <c r="Q1750" s="30" t="n">
        <v>60</v>
      </c>
      <c r="R1750" s="30" t="n">
        <v>43</v>
      </c>
      <c r="S1750" s="30" t="str">
        <f aca="false">IF(Q1750&lt;判定条件!$C$6,"判定不能",IF(R1750&gt;=判定条件!$C$7*Q1750,"運転",IF(R1750&lt;=判定条件!$C$8*Q1750,"停止","断続")))</f>
        <v>断続</v>
      </c>
      <c r="T1750" s="30" t="n">
        <v>60</v>
      </c>
      <c r="U1750" s="30" t="n">
        <v>9</v>
      </c>
      <c r="V1750" s="30" t="str">
        <f aca="false">IF(T1750&lt;判定条件!$C$6,"判定不能",IF(U1750&gt;=判定条件!$C$7*T1750,"運転",IF(U1750&lt;=判定条件!$C$8*T1750,"停止","断続")))</f>
        <v>停止</v>
      </c>
      <c r="W1750" s="30" t="n">
        <v>60</v>
      </c>
      <c r="X1750" s="30" t="n">
        <v>0</v>
      </c>
      <c r="Y1750" s="30" t="str">
        <f aca="false">IF(W1750&lt;判定条件!$C$6,"判定不能",IF(X1750&gt;=判定条件!$C$7*W1750,"運転",IF(X1750&lt;=判定条件!$C$8*W1750,"停止","断続")))</f>
        <v>停止</v>
      </c>
      <c r="Z1750" s="30" t="n">
        <v>60</v>
      </c>
      <c r="AA1750" s="30" t="n">
        <v>19</v>
      </c>
      <c r="AB1750" s="30" t="str">
        <f aca="false">IF(Z1750&lt;判定条件!$C$6,"判定不能",IF(AA1750&gt;=判定条件!$C$7*Z1750,"運転",IF(AA1750&lt;=判定条件!$C$8*Z1750,"停止","断続")))</f>
        <v>断続</v>
      </c>
      <c r="AC1750" s="30" t="n">
        <v>60</v>
      </c>
      <c r="AD1750" s="30" t="n">
        <v>0</v>
      </c>
      <c r="AE1750" s="30" t="str">
        <f aca="false">IF(AC1750&lt;判定条件!$C$6,"判定不能",IF(AD1750&gt;=判定条件!$C$7*AC1750,"運転",IF(AD1750&lt;=判定条件!$C$8*AC1750,"停止","断続")))</f>
        <v>停止</v>
      </c>
      <c r="AF1750" s="30" t="n">
        <v>60</v>
      </c>
      <c r="AG1750" s="30" t="n">
        <v>0</v>
      </c>
      <c r="AH1750" s="30" t="str">
        <f aca="false">IF(OR(P1750="判定不能",G1750="判定不能"),"判定不能",IF(AG1750&gt;=判定条件!$C$9,"利用可",IF(AND(P1750="停止",G1750="停止"),"両方停止","運転がそろわない")))</f>
        <v>運転がそろわない</v>
      </c>
      <c r="AI1750" s="30" t="n">
        <v>60</v>
      </c>
      <c r="AJ1750" s="30" t="n">
        <v>18</v>
      </c>
      <c r="AK1750" s="30" t="str">
        <f aca="false">IF(OR(S1750="判定不能",J1750="判定不能"),"判定不能",IF(AJ1750&gt;=判定条件!$C$9,"利用可",IF(AND(S1750="停止",J1750="停止"),"両方停止","運転がそろわない")))</f>
        <v>運転がそろわない</v>
      </c>
      <c r="AL1750" s="30" t="n">
        <v>60</v>
      </c>
      <c r="AM1750" s="30" t="n">
        <v>4</v>
      </c>
      <c r="AN1750" s="30" t="str">
        <f aca="false">IF(OR(V1750="判定不能",M1750="判定不能"),"判定不能",IF(AM1750&gt;=判定条件!$C$9,"利用可",IF(AND(V1750="停止",M1750="停止"),"両方停止","運転がそろわない")))</f>
        <v>運転がそろわない</v>
      </c>
      <c r="AO1750" s="30" t="n">
        <v>60</v>
      </c>
      <c r="AP1750" s="30" t="n">
        <v>0</v>
      </c>
      <c r="AQ1750" s="30" t="str">
        <f aca="false">IF(OR(Y1750="判定不能",G1750="判定不能"),"判定不能",IF(AP1750&gt;=判定条件!$C$9,"利用可",IF(AND(Y1750="停止",G1750="停止"),"両方停止","運転がそろわない")))</f>
        <v>運転がそろわない</v>
      </c>
      <c r="AR1750" s="30" t="n">
        <v>60</v>
      </c>
      <c r="AS1750" s="30" t="n">
        <v>1</v>
      </c>
      <c r="AT1750" s="30" t="str">
        <f aca="false">IF(OR(AB1750="判定不能",J1750="判定不能"),"判定不能",IF(AS1750&gt;=判定条件!$C$9,"利用可",IF(AND(AB1750="停止",J1750="停止"),"両方停止","運転がそろわない")))</f>
        <v>運転がそろわない</v>
      </c>
      <c r="AU1750" s="30" t="n">
        <v>60</v>
      </c>
      <c r="AV1750" s="30" t="n">
        <v>0</v>
      </c>
      <c r="AW1750" s="30" t="str">
        <f aca="false">IF(OR(AE1750="判定不能",M1750="判定不能"),"判定不能",IF(AV1750&gt;=判定条件!$C$9,"利用可",IF(AND(AE1750="停止",M1750="停止"),"両方停止","運転がそろわない")))</f>
        <v>運転がそろわない</v>
      </c>
      <c r="AX1750" s="30" t="str">
        <f aca="false">IF(AND(AH1750="利用可",AK1750="利用可",AN1750="利用可"),"利用可","不可")</f>
        <v>不可</v>
      </c>
      <c r="AY1750" s="30" t="str">
        <f aca="false">IF(AND(AQ1750="利用可",AT1750="利用可",AW1750="利用可"),"利用可","不可")</f>
        <v>不可</v>
      </c>
    </row>
    <row r="1751" customFormat="false" ht="15" hidden="false" customHeight="false" outlineLevel="0" collapsed="false">
      <c r="A1751" s="29" t="n">
        <v>46304</v>
      </c>
      <c r="B1751" s="30" t="n">
        <v>20</v>
      </c>
      <c r="C1751" s="31" t="s">
        <v>62</v>
      </c>
      <c r="D1751" s="31" t="s">
        <v>59</v>
      </c>
      <c r="E1751" s="30" t="n">
        <v>60</v>
      </c>
      <c r="F1751" s="30" t="n">
        <v>17</v>
      </c>
      <c r="G1751" s="30" t="str">
        <f aca="false">IF(E1751&lt;判定条件!$C$6,"判定不能",IF(F1751&gt;=判定条件!$C$7*E1751,"運転",IF(F1751&lt;=判定条件!$C$8*E1751,"停止","断続")))</f>
        <v>断続</v>
      </c>
      <c r="H1751" s="30" t="n">
        <v>60</v>
      </c>
      <c r="I1751" s="30" t="n">
        <v>12</v>
      </c>
      <c r="J1751" s="30" t="str">
        <f aca="false">IF(H1751&lt;判定条件!$C$6,"判定不能",IF(I1751&gt;=判定条件!$C$7*H1751,"運転",IF(I1751&lt;=判定条件!$C$8*H1751,"停止","断続")))</f>
        <v>停止</v>
      </c>
      <c r="K1751" s="30" t="n">
        <v>60</v>
      </c>
      <c r="L1751" s="30" t="n">
        <v>18</v>
      </c>
      <c r="M1751" s="30" t="str">
        <f aca="false">IF(K1751&lt;判定条件!$C$6,"判定不能",IF(L1751&gt;=判定条件!$C$7*K1751,"運転",IF(L1751&lt;=判定条件!$C$8*K1751,"停止","断続")))</f>
        <v>断続</v>
      </c>
      <c r="N1751" s="30" t="n">
        <v>60</v>
      </c>
      <c r="O1751" s="30" t="n">
        <v>0</v>
      </c>
      <c r="P1751" s="30" t="str">
        <f aca="false">IF(N1751&lt;判定条件!$C$6,"判定不能",IF(O1751&gt;=判定条件!$C$7*N1751,"運転",IF(O1751&lt;=判定条件!$C$8*N1751,"停止","断続")))</f>
        <v>停止</v>
      </c>
      <c r="Q1751" s="30" t="n">
        <v>60</v>
      </c>
      <c r="R1751" s="30" t="n">
        <v>12</v>
      </c>
      <c r="S1751" s="30" t="str">
        <f aca="false">IF(Q1751&lt;判定条件!$C$6,"判定不能",IF(R1751&gt;=判定条件!$C$7*Q1751,"運転",IF(R1751&lt;=判定条件!$C$8*Q1751,"停止","断続")))</f>
        <v>停止</v>
      </c>
      <c r="T1751" s="30" t="n">
        <v>60</v>
      </c>
      <c r="U1751" s="30" t="n">
        <v>16</v>
      </c>
      <c r="V1751" s="30" t="str">
        <f aca="false">IF(T1751&lt;判定条件!$C$6,"判定不能",IF(U1751&gt;=判定条件!$C$7*T1751,"運転",IF(U1751&lt;=判定条件!$C$8*T1751,"停止","断続")))</f>
        <v>断続</v>
      </c>
      <c r="W1751" s="30" t="n">
        <v>60</v>
      </c>
      <c r="X1751" s="30" t="n">
        <v>0</v>
      </c>
      <c r="Y1751" s="30" t="str">
        <f aca="false">IF(W1751&lt;判定条件!$C$6,"判定不能",IF(X1751&gt;=判定条件!$C$7*W1751,"運転",IF(X1751&lt;=判定条件!$C$8*W1751,"停止","断続")))</f>
        <v>停止</v>
      </c>
      <c r="Z1751" s="30" t="n">
        <v>60</v>
      </c>
      <c r="AA1751" s="30" t="n">
        <v>0</v>
      </c>
      <c r="AB1751" s="30" t="str">
        <f aca="false">IF(Z1751&lt;判定条件!$C$6,"判定不能",IF(AA1751&gt;=判定条件!$C$7*Z1751,"運転",IF(AA1751&lt;=判定条件!$C$8*Z1751,"停止","断続")))</f>
        <v>停止</v>
      </c>
      <c r="AC1751" s="30" t="n">
        <v>60</v>
      </c>
      <c r="AD1751" s="30" t="n">
        <v>0</v>
      </c>
      <c r="AE1751" s="30" t="str">
        <f aca="false">IF(AC1751&lt;判定条件!$C$6,"判定不能",IF(AD1751&gt;=判定条件!$C$7*AC1751,"運転",IF(AD1751&lt;=判定条件!$C$8*AC1751,"停止","断続")))</f>
        <v>停止</v>
      </c>
      <c r="AF1751" s="30" t="n">
        <v>60</v>
      </c>
      <c r="AG1751" s="30" t="n">
        <v>0</v>
      </c>
      <c r="AH1751" s="30" t="str">
        <f aca="false">IF(OR(P1751="判定不能",G1751="判定不能"),"判定不能",IF(AG1751&gt;=判定条件!$C$9,"利用可",IF(AND(P1751="停止",G1751="停止"),"両方停止","運転がそろわない")))</f>
        <v>運転がそろわない</v>
      </c>
      <c r="AI1751" s="30" t="n">
        <v>60</v>
      </c>
      <c r="AJ1751" s="30" t="n">
        <v>12</v>
      </c>
      <c r="AK1751" s="30" t="str">
        <f aca="false">IF(OR(S1751="判定不能",J1751="判定不能"),"判定不能",IF(AJ1751&gt;=判定条件!$C$9,"利用可",IF(AND(S1751="停止",J1751="停止"),"両方停止","運転がそろわない")))</f>
        <v>両方停止</v>
      </c>
      <c r="AL1751" s="30" t="n">
        <v>60</v>
      </c>
      <c r="AM1751" s="30" t="n">
        <v>9</v>
      </c>
      <c r="AN1751" s="30" t="str">
        <f aca="false">IF(OR(V1751="判定不能",M1751="判定不能"),"判定不能",IF(AM1751&gt;=判定条件!$C$9,"利用可",IF(AND(V1751="停止",M1751="停止"),"両方停止","運転がそろわない")))</f>
        <v>運転がそろわない</v>
      </c>
      <c r="AO1751" s="30" t="n">
        <v>60</v>
      </c>
      <c r="AP1751" s="30" t="n">
        <v>0</v>
      </c>
      <c r="AQ1751" s="30" t="str">
        <f aca="false">IF(OR(Y1751="判定不能",G1751="判定不能"),"判定不能",IF(AP1751&gt;=判定条件!$C$9,"利用可",IF(AND(Y1751="停止",G1751="停止"),"両方停止","運転がそろわない")))</f>
        <v>運転がそろわない</v>
      </c>
      <c r="AR1751" s="30" t="n">
        <v>60</v>
      </c>
      <c r="AS1751" s="30" t="n">
        <v>0</v>
      </c>
      <c r="AT1751" s="30" t="str">
        <f aca="false">IF(OR(AB1751="判定不能",J1751="判定不能"),"判定不能",IF(AS1751&gt;=判定条件!$C$9,"利用可",IF(AND(AB1751="停止",J1751="停止"),"両方停止","運転がそろわない")))</f>
        <v>両方停止</v>
      </c>
      <c r="AU1751" s="30" t="n">
        <v>60</v>
      </c>
      <c r="AV1751" s="30" t="n">
        <v>0</v>
      </c>
      <c r="AW1751" s="30" t="str">
        <f aca="false">IF(OR(AE1751="判定不能",M1751="判定不能"),"判定不能",IF(AV1751&gt;=判定条件!$C$9,"利用可",IF(AND(AE1751="停止",M1751="停止"),"両方停止","運転がそろわない")))</f>
        <v>運転がそろわない</v>
      </c>
      <c r="AX1751" s="30" t="str">
        <f aca="false">IF(AND(AH1751="利用可",AK1751="利用可",AN1751="利用可"),"利用可","不可")</f>
        <v>不可</v>
      </c>
      <c r="AY1751" s="30" t="str">
        <f aca="false">IF(AND(AQ1751="利用可",AT1751="利用可",AW1751="利用可"),"利用可","不可")</f>
        <v>不可</v>
      </c>
    </row>
    <row r="1752" customFormat="false" ht="15" hidden="false" customHeight="false" outlineLevel="0" collapsed="false">
      <c r="A1752" s="29" t="n">
        <v>46304</v>
      </c>
      <c r="B1752" s="30" t="n">
        <v>21</v>
      </c>
      <c r="C1752" s="31" t="s">
        <v>62</v>
      </c>
      <c r="D1752" s="31" t="s">
        <v>59</v>
      </c>
      <c r="E1752" s="30" t="n">
        <v>60</v>
      </c>
      <c r="F1752" s="30" t="n">
        <v>0</v>
      </c>
      <c r="G1752" s="30" t="str">
        <f aca="false">IF(E1752&lt;判定条件!$C$6,"判定不能",IF(F1752&gt;=判定条件!$C$7*E1752,"運転",IF(F1752&lt;=判定条件!$C$8*E1752,"停止","断続")))</f>
        <v>停止</v>
      </c>
      <c r="H1752" s="30" t="n">
        <v>60</v>
      </c>
      <c r="I1752" s="30" t="n">
        <v>0</v>
      </c>
      <c r="J1752" s="30" t="str">
        <f aca="false">IF(H1752&lt;判定条件!$C$6,"判定不能",IF(I1752&gt;=判定条件!$C$7*H1752,"運転",IF(I1752&lt;=判定条件!$C$8*H1752,"停止","断続")))</f>
        <v>停止</v>
      </c>
      <c r="K1752" s="30" t="n">
        <v>60</v>
      </c>
      <c r="L1752" s="30" t="n">
        <v>0</v>
      </c>
      <c r="M1752" s="30" t="str">
        <f aca="false">IF(K1752&lt;判定条件!$C$6,"判定不能",IF(L1752&gt;=判定条件!$C$7*K1752,"運転",IF(L1752&lt;=判定条件!$C$8*K1752,"停止","断続")))</f>
        <v>停止</v>
      </c>
      <c r="N1752" s="30" t="n">
        <v>60</v>
      </c>
      <c r="O1752" s="30" t="n">
        <v>0</v>
      </c>
      <c r="P1752" s="30" t="str">
        <f aca="false">IF(N1752&lt;判定条件!$C$6,"判定不能",IF(O1752&gt;=判定条件!$C$7*N1752,"運転",IF(O1752&lt;=判定条件!$C$8*N1752,"停止","断続")))</f>
        <v>停止</v>
      </c>
      <c r="Q1752" s="30" t="n">
        <v>60</v>
      </c>
      <c r="R1752" s="30" t="n">
        <v>0</v>
      </c>
      <c r="S1752" s="30" t="str">
        <f aca="false">IF(Q1752&lt;判定条件!$C$6,"判定不能",IF(R1752&gt;=判定条件!$C$7*Q1752,"運転",IF(R1752&lt;=判定条件!$C$8*Q1752,"停止","断続")))</f>
        <v>停止</v>
      </c>
      <c r="T1752" s="30" t="n">
        <v>60</v>
      </c>
      <c r="U1752" s="30" t="n">
        <v>0</v>
      </c>
      <c r="V1752" s="30" t="str">
        <f aca="false">IF(T1752&lt;判定条件!$C$6,"判定不能",IF(U1752&gt;=判定条件!$C$7*T1752,"運転",IF(U1752&lt;=判定条件!$C$8*T1752,"停止","断続")))</f>
        <v>停止</v>
      </c>
      <c r="W1752" s="30" t="n">
        <v>60</v>
      </c>
      <c r="X1752" s="30" t="n">
        <v>0</v>
      </c>
      <c r="Y1752" s="30" t="str">
        <f aca="false">IF(W1752&lt;判定条件!$C$6,"判定不能",IF(X1752&gt;=判定条件!$C$7*W1752,"運転",IF(X1752&lt;=判定条件!$C$8*W1752,"停止","断続")))</f>
        <v>停止</v>
      </c>
      <c r="Z1752" s="30" t="n">
        <v>60</v>
      </c>
      <c r="AA1752" s="30" t="n">
        <v>36</v>
      </c>
      <c r="AB1752" s="30" t="str">
        <f aca="false">IF(Z1752&lt;判定条件!$C$6,"判定不能",IF(AA1752&gt;=判定条件!$C$7*Z1752,"運転",IF(AA1752&lt;=判定条件!$C$8*Z1752,"停止","断続")))</f>
        <v>断続</v>
      </c>
      <c r="AC1752" s="30" t="n">
        <v>60</v>
      </c>
      <c r="AD1752" s="30" t="n">
        <v>0</v>
      </c>
      <c r="AE1752" s="30" t="str">
        <f aca="false">IF(AC1752&lt;判定条件!$C$6,"判定不能",IF(AD1752&gt;=判定条件!$C$7*AC1752,"運転",IF(AD1752&lt;=判定条件!$C$8*AC1752,"停止","断続")))</f>
        <v>停止</v>
      </c>
      <c r="AF1752" s="30" t="n">
        <v>60</v>
      </c>
      <c r="AG1752" s="30" t="n">
        <v>0</v>
      </c>
      <c r="AH1752" s="30" t="str">
        <f aca="false">IF(OR(P1752="判定不能",G1752="判定不能"),"判定不能",IF(AG1752&gt;=判定条件!$C$9,"利用可",IF(AND(P1752="停止",G1752="停止"),"両方停止","運転がそろわない")))</f>
        <v>両方停止</v>
      </c>
      <c r="AI1752" s="30" t="n">
        <v>60</v>
      </c>
      <c r="AJ1752" s="30" t="n">
        <v>0</v>
      </c>
      <c r="AK1752" s="30" t="str">
        <f aca="false">IF(OR(S1752="判定不能",J1752="判定不能"),"判定不能",IF(AJ1752&gt;=判定条件!$C$9,"利用可",IF(AND(S1752="停止",J1752="停止"),"両方停止","運転がそろわない")))</f>
        <v>両方停止</v>
      </c>
      <c r="AL1752" s="30" t="n">
        <v>60</v>
      </c>
      <c r="AM1752" s="30" t="n">
        <v>0</v>
      </c>
      <c r="AN1752" s="30" t="str">
        <f aca="false">IF(OR(V1752="判定不能",M1752="判定不能"),"判定不能",IF(AM1752&gt;=判定条件!$C$9,"利用可",IF(AND(V1752="停止",M1752="停止"),"両方停止","運転がそろわない")))</f>
        <v>両方停止</v>
      </c>
      <c r="AO1752" s="30" t="n">
        <v>60</v>
      </c>
      <c r="AP1752" s="30" t="n">
        <v>0</v>
      </c>
      <c r="AQ1752" s="30" t="str">
        <f aca="false">IF(OR(Y1752="判定不能",G1752="判定不能"),"判定不能",IF(AP1752&gt;=判定条件!$C$9,"利用可",IF(AND(Y1752="停止",G1752="停止"),"両方停止","運転がそろわない")))</f>
        <v>両方停止</v>
      </c>
      <c r="AR1752" s="30" t="n">
        <v>60</v>
      </c>
      <c r="AS1752" s="30" t="n">
        <v>0</v>
      </c>
      <c r="AT1752" s="30" t="str">
        <f aca="false">IF(OR(AB1752="判定不能",J1752="判定不能"),"判定不能",IF(AS1752&gt;=判定条件!$C$9,"利用可",IF(AND(AB1752="停止",J1752="停止"),"両方停止","運転がそろわない")))</f>
        <v>運転がそろわない</v>
      </c>
      <c r="AU1752" s="30" t="n">
        <v>60</v>
      </c>
      <c r="AV1752" s="30" t="n">
        <v>0</v>
      </c>
      <c r="AW1752" s="30" t="str">
        <f aca="false">IF(OR(AE1752="判定不能",M1752="判定不能"),"判定不能",IF(AV1752&gt;=判定条件!$C$9,"利用可",IF(AND(AE1752="停止",M1752="停止"),"両方停止","運転がそろわない")))</f>
        <v>両方停止</v>
      </c>
      <c r="AX1752" s="30" t="str">
        <f aca="false">IF(AND(AH1752="利用可",AK1752="利用可",AN1752="利用可"),"利用可","不可")</f>
        <v>不可</v>
      </c>
      <c r="AY1752" s="30" t="str">
        <f aca="false">IF(AND(AQ1752="利用可",AT1752="利用可",AW1752="利用可"),"利用可","不可")</f>
        <v>不可</v>
      </c>
    </row>
    <row r="1753" customFormat="false" ht="15" hidden="false" customHeight="false" outlineLevel="0" collapsed="false">
      <c r="A1753" s="29" t="n">
        <v>46304</v>
      </c>
      <c r="B1753" s="30" t="n">
        <v>22</v>
      </c>
      <c r="C1753" s="31" t="s">
        <v>62</v>
      </c>
      <c r="D1753" s="31" t="s">
        <v>59</v>
      </c>
      <c r="E1753" s="30" t="n">
        <v>60</v>
      </c>
      <c r="F1753" s="30" t="n">
        <v>0</v>
      </c>
      <c r="G1753" s="30" t="str">
        <f aca="false">IF(E1753&lt;判定条件!$C$6,"判定不能",IF(F1753&gt;=判定条件!$C$7*E1753,"運転",IF(F1753&lt;=判定条件!$C$8*E1753,"停止","断続")))</f>
        <v>停止</v>
      </c>
      <c r="H1753" s="30" t="n">
        <v>60</v>
      </c>
      <c r="I1753" s="30" t="n">
        <v>0</v>
      </c>
      <c r="J1753" s="30" t="str">
        <f aca="false">IF(H1753&lt;判定条件!$C$6,"判定不能",IF(I1753&gt;=判定条件!$C$7*H1753,"運転",IF(I1753&lt;=判定条件!$C$8*H1753,"停止","断続")))</f>
        <v>停止</v>
      </c>
      <c r="K1753" s="30" t="n">
        <v>60</v>
      </c>
      <c r="L1753" s="30" t="n">
        <v>0</v>
      </c>
      <c r="M1753" s="30" t="str">
        <f aca="false">IF(K1753&lt;判定条件!$C$6,"判定不能",IF(L1753&gt;=判定条件!$C$7*K1753,"運転",IF(L1753&lt;=判定条件!$C$8*K1753,"停止","断続")))</f>
        <v>停止</v>
      </c>
      <c r="N1753" s="30" t="n">
        <v>60</v>
      </c>
      <c r="O1753" s="30" t="n">
        <v>0</v>
      </c>
      <c r="P1753" s="30" t="str">
        <f aca="false">IF(N1753&lt;判定条件!$C$6,"判定不能",IF(O1753&gt;=判定条件!$C$7*N1753,"運転",IF(O1753&lt;=判定条件!$C$8*N1753,"停止","断続")))</f>
        <v>停止</v>
      </c>
      <c r="Q1753" s="30" t="n">
        <v>60</v>
      </c>
      <c r="R1753" s="30" t="n">
        <v>0</v>
      </c>
      <c r="S1753" s="30" t="str">
        <f aca="false">IF(Q1753&lt;判定条件!$C$6,"判定不能",IF(R1753&gt;=判定条件!$C$7*Q1753,"運転",IF(R1753&lt;=判定条件!$C$8*Q1753,"停止","断続")))</f>
        <v>停止</v>
      </c>
      <c r="T1753" s="30" t="n">
        <v>60</v>
      </c>
      <c r="U1753" s="30" t="n">
        <v>0</v>
      </c>
      <c r="V1753" s="30" t="str">
        <f aca="false">IF(T1753&lt;判定条件!$C$6,"判定不能",IF(U1753&gt;=判定条件!$C$7*T1753,"運転",IF(U1753&lt;=判定条件!$C$8*T1753,"停止","断続")))</f>
        <v>停止</v>
      </c>
      <c r="W1753" s="30" t="n">
        <v>60</v>
      </c>
      <c r="X1753" s="30" t="n">
        <v>0</v>
      </c>
      <c r="Y1753" s="30" t="str">
        <f aca="false">IF(W1753&lt;判定条件!$C$6,"判定不能",IF(X1753&gt;=判定条件!$C$7*W1753,"運転",IF(X1753&lt;=判定条件!$C$8*W1753,"停止","断続")))</f>
        <v>停止</v>
      </c>
      <c r="Z1753" s="30" t="n">
        <v>60</v>
      </c>
      <c r="AA1753" s="30" t="n">
        <v>46</v>
      </c>
      <c r="AB1753" s="30" t="str">
        <f aca="false">IF(Z1753&lt;判定条件!$C$6,"判定不能",IF(AA1753&gt;=判定条件!$C$7*Z1753,"運転",IF(AA1753&lt;=判定条件!$C$8*Z1753,"停止","断続")))</f>
        <v>断続</v>
      </c>
      <c r="AC1753" s="30" t="n">
        <v>60</v>
      </c>
      <c r="AD1753" s="30" t="n">
        <v>0</v>
      </c>
      <c r="AE1753" s="30" t="str">
        <f aca="false">IF(AC1753&lt;判定条件!$C$6,"判定不能",IF(AD1753&gt;=判定条件!$C$7*AC1753,"運転",IF(AD1753&lt;=判定条件!$C$8*AC1753,"停止","断続")))</f>
        <v>停止</v>
      </c>
      <c r="AF1753" s="30" t="n">
        <v>60</v>
      </c>
      <c r="AG1753" s="30" t="n">
        <v>0</v>
      </c>
      <c r="AH1753" s="30" t="str">
        <f aca="false">IF(OR(P1753="判定不能",G1753="判定不能"),"判定不能",IF(AG1753&gt;=判定条件!$C$9,"利用可",IF(AND(P1753="停止",G1753="停止"),"両方停止","運転がそろわない")))</f>
        <v>両方停止</v>
      </c>
      <c r="AI1753" s="30" t="n">
        <v>60</v>
      </c>
      <c r="AJ1753" s="30" t="n">
        <v>0</v>
      </c>
      <c r="AK1753" s="30" t="str">
        <f aca="false">IF(OR(S1753="判定不能",J1753="判定不能"),"判定不能",IF(AJ1753&gt;=判定条件!$C$9,"利用可",IF(AND(S1753="停止",J1753="停止"),"両方停止","運転がそろわない")))</f>
        <v>両方停止</v>
      </c>
      <c r="AL1753" s="30" t="n">
        <v>60</v>
      </c>
      <c r="AM1753" s="30" t="n">
        <v>0</v>
      </c>
      <c r="AN1753" s="30" t="str">
        <f aca="false">IF(OR(V1753="判定不能",M1753="判定不能"),"判定不能",IF(AM1753&gt;=判定条件!$C$9,"利用可",IF(AND(V1753="停止",M1753="停止"),"両方停止","運転がそろわない")))</f>
        <v>両方停止</v>
      </c>
      <c r="AO1753" s="30" t="n">
        <v>60</v>
      </c>
      <c r="AP1753" s="30" t="n">
        <v>0</v>
      </c>
      <c r="AQ1753" s="30" t="str">
        <f aca="false">IF(OR(Y1753="判定不能",G1753="判定不能"),"判定不能",IF(AP1753&gt;=判定条件!$C$9,"利用可",IF(AND(Y1753="停止",G1753="停止"),"両方停止","運転がそろわない")))</f>
        <v>両方停止</v>
      </c>
      <c r="AR1753" s="30" t="n">
        <v>60</v>
      </c>
      <c r="AS1753" s="30" t="n">
        <v>0</v>
      </c>
      <c r="AT1753" s="30" t="str">
        <f aca="false">IF(OR(AB1753="判定不能",J1753="判定不能"),"判定不能",IF(AS1753&gt;=判定条件!$C$9,"利用可",IF(AND(AB1753="停止",J1753="停止"),"両方停止","運転がそろわない")))</f>
        <v>運転がそろわない</v>
      </c>
      <c r="AU1753" s="30" t="n">
        <v>60</v>
      </c>
      <c r="AV1753" s="30" t="n">
        <v>0</v>
      </c>
      <c r="AW1753" s="30" t="str">
        <f aca="false">IF(OR(AE1753="判定不能",M1753="判定不能"),"判定不能",IF(AV1753&gt;=判定条件!$C$9,"利用可",IF(AND(AE1753="停止",M1753="停止"),"両方停止","運転がそろわない")))</f>
        <v>両方停止</v>
      </c>
      <c r="AX1753" s="30" t="str">
        <f aca="false">IF(AND(AH1753="利用可",AK1753="利用可",AN1753="利用可"),"利用可","不可")</f>
        <v>不可</v>
      </c>
      <c r="AY1753" s="30" t="str">
        <f aca="false">IF(AND(AQ1753="利用可",AT1753="利用可",AW1753="利用可"),"利用可","不可")</f>
        <v>不可</v>
      </c>
    </row>
    <row r="1754" customFormat="false" ht="15" hidden="false" customHeight="false" outlineLevel="0" collapsed="false">
      <c r="A1754" s="29" t="n">
        <v>46304</v>
      </c>
      <c r="B1754" s="30" t="n">
        <v>23</v>
      </c>
      <c r="C1754" s="31" t="s">
        <v>62</v>
      </c>
      <c r="D1754" s="31" t="s">
        <v>59</v>
      </c>
      <c r="E1754" s="30" t="n">
        <v>60</v>
      </c>
      <c r="F1754" s="30" t="n">
        <v>0</v>
      </c>
      <c r="G1754" s="30" t="str">
        <f aca="false">IF(E1754&lt;判定条件!$C$6,"判定不能",IF(F1754&gt;=判定条件!$C$7*E1754,"運転",IF(F1754&lt;=判定条件!$C$8*E1754,"停止","断続")))</f>
        <v>停止</v>
      </c>
      <c r="H1754" s="30" t="n">
        <v>60</v>
      </c>
      <c r="I1754" s="30" t="n">
        <v>0</v>
      </c>
      <c r="J1754" s="30" t="str">
        <f aca="false">IF(H1754&lt;判定条件!$C$6,"判定不能",IF(I1754&gt;=判定条件!$C$7*H1754,"運転",IF(I1754&lt;=判定条件!$C$8*H1754,"停止","断続")))</f>
        <v>停止</v>
      </c>
      <c r="K1754" s="30" t="n">
        <v>60</v>
      </c>
      <c r="L1754" s="30" t="n">
        <v>0</v>
      </c>
      <c r="M1754" s="30" t="str">
        <f aca="false">IF(K1754&lt;判定条件!$C$6,"判定不能",IF(L1754&gt;=判定条件!$C$7*K1754,"運転",IF(L1754&lt;=判定条件!$C$8*K1754,"停止","断続")))</f>
        <v>停止</v>
      </c>
      <c r="N1754" s="30" t="n">
        <v>60</v>
      </c>
      <c r="O1754" s="30" t="n">
        <v>0</v>
      </c>
      <c r="P1754" s="30" t="str">
        <f aca="false">IF(N1754&lt;判定条件!$C$6,"判定不能",IF(O1754&gt;=判定条件!$C$7*N1754,"運転",IF(O1754&lt;=判定条件!$C$8*N1754,"停止","断続")))</f>
        <v>停止</v>
      </c>
      <c r="Q1754" s="30" t="n">
        <v>60</v>
      </c>
      <c r="R1754" s="30" t="n">
        <v>0</v>
      </c>
      <c r="S1754" s="30" t="str">
        <f aca="false">IF(Q1754&lt;判定条件!$C$6,"判定不能",IF(R1754&gt;=判定条件!$C$7*Q1754,"運転",IF(R1754&lt;=判定条件!$C$8*Q1754,"停止","断続")))</f>
        <v>停止</v>
      </c>
      <c r="T1754" s="30" t="n">
        <v>60</v>
      </c>
      <c r="U1754" s="30" t="n">
        <v>0</v>
      </c>
      <c r="V1754" s="30" t="str">
        <f aca="false">IF(T1754&lt;判定条件!$C$6,"判定不能",IF(U1754&gt;=判定条件!$C$7*T1754,"運転",IF(U1754&lt;=判定条件!$C$8*T1754,"停止","断続")))</f>
        <v>停止</v>
      </c>
      <c r="W1754" s="30" t="n">
        <v>60</v>
      </c>
      <c r="X1754" s="30" t="n">
        <v>0</v>
      </c>
      <c r="Y1754" s="30" t="str">
        <f aca="false">IF(W1754&lt;判定条件!$C$6,"判定不能",IF(X1754&gt;=判定条件!$C$7*W1754,"運転",IF(X1754&lt;=判定条件!$C$8*W1754,"停止","断続")))</f>
        <v>停止</v>
      </c>
      <c r="Z1754" s="30" t="n">
        <v>60</v>
      </c>
      <c r="AA1754" s="30" t="n">
        <v>17</v>
      </c>
      <c r="AB1754" s="30" t="str">
        <f aca="false">IF(Z1754&lt;判定条件!$C$6,"判定不能",IF(AA1754&gt;=判定条件!$C$7*Z1754,"運転",IF(AA1754&lt;=判定条件!$C$8*Z1754,"停止","断続")))</f>
        <v>断続</v>
      </c>
      <c r="AC1754" s="30" t="n">
        <v>60</v>
      </c>
      <c r="AD1754" s="30" t="n">
        <v>0</v>
      </c>
      <c r="AE1754" s="30" t="str">
        <f aca="false">IF(AC1754&lt;判定条件!$C$6,"判定不能",IF(AD1754&gt;=判定条件!$C$7*AC1754,"運転",IF(AD1754&lt;=判定条件!$C$8*AC1754,"停止","断続")))</f>
        <v>停止</v>
      </c>
      <c r="AF1754" s="30" t="n">
        <v>60</v>
      </c>
      <c r="AG1754" s="30" t="n">
        <v>0</v>
      </c>
      <c r="AH1754" s="30" t="str">
        <f aca="false">IF(OR(P1754="判定不能",G1754="判定不能"),"判定不能",IF(AG1754&gt;=判定条件!$C$9,"利用可",IF(AND(P1754="停止",G1754="停止"),"両方停止","運転がそろわない")))</f>
        <v>両方停止</v>
      </c>
      <c r="AI1754" s="30" t="n">
        <v>60</v>
      </c>
      <c r="AJ1754" s="30" t="n">
        <v>0</v>
      </c>
      <c r="AK1754" s="30" t="str">
        <f aca="false">IF(OR(S1754="判定不能",J1754="判定不能"),"判定不能",IF(AJ1754&gt;=判定条件!$C$9,"利用可",IF(AND(S1754="停止",J1754="停止"),"両方停止","運転がそろわない")))</f>
        <v>両方停止</v>
      </c>
      <c r="AL1754" s="30" t="n">
        <v>60</v>
      </c>
      <c r="AM1754" s="30" t="n">
        <v>0</v>
      </c>
      <c r="AN1754" s="30" t="str">
        <f aca="false">IF(OR(V1754="判定不能",M1754="判定不能"),"判定不能",IF(AM1754&gt;=判定条件!$C$9,"利用可",IF(AND(V1754="停止",M1754="停止"),"両方停止","運転がそろわない")))</f>
        <v>両方停止</v>
      </c>
      <c r="AO1754" s="30" t="n">
        <v>60</v>
      </c>
      <c r="AP1754" s="30" t="n">
        <v>0</v>
      </c>
      <c r="AQ1754" s="30" t="str">
        <f aca="false">IF(OR(Y1754="判定不能",G1754="判定不能"),"判定不能",IF(AP1754&gt;=判定条件!$C$9,"利用可",IF(AND(Y1754="停止",G1754="停止"),"両方停止","運転がそろわない")))</f>
        <v>両方停止</v>
      </c>
      <c r="AR1754" s="30" t="n">
        <v>60</v>
      </c>
      <c r="AS1754" s="30" t="n">
        <v>0</v>
      </c>
      <c r="AT1754" s="30" t="str">
        <f aca="false">IF(OR(AB1754="判定不能",J1754="判定不能"),"判定不能",IF(AS1754&gt;=判定条件!$C$9,"利用可",IF(AND(AB1754="停止",J1754="停止"),"両方停止","運転がそろわない")))</f>
        <v>運転がそろわない</v>
      </c>
      <c r="AU1754" s="30" t="n">
        <v>60</v>
      </c>
      <c r="AV1754" s="30" t="n">
        <v>0</v>
      </c>
      <c r="AW1754" s="30" t="str">
        <f aca="false">IF(OR(AE1754="判定不能",M1754="判定不能"),"判定不能",IF(AV1754&gt;=判定条件!$C$9,"利用可",IF(AND(AE1754="停止",M1754="停止"),"両方停止","運転がそろわない")))</f>
        <v>両方停止</v>
      </c>
      <c r="AX1754" s="30" t="str">
        <f aca="false">IF(AND(AH1754="利用可",AK1754="利用可",AN1754="利用可"),"利用可","不可")</f>
        <v>不可</v>
      </c>
      <c r="AY1754" s="30" t="str">
        <f aca="false">IF(AND(AQ1754="利用可",AT1754="利用可",AW1754="利用可"),"利用可","不可")</f>
        <v>不可</v>
      </c>
    </row>
    <row r="1755" customFormat="false" ht="15" hidden="false" customHeight="false" outlineLevel="0" collapsed="false">
      <c r="A1755" s="29" t="n">
        <v>46305</v>
      </c>
      <c r="B1755" s="30" t="n">
        <v>0</v>
      </c>
      <c r="C1755" s="31" t="s">
        <v>63</v>
      </c>
      <c r="D1755" s="31" t="s">
        <v>64</v>
      </c>
      <c r="E1755" s="30" t="n">
        <v>60</v>
      </c>
      <c r="F1755" s="30" t="n">
        <v>0</v>
      </c>
      <c r="G1755" s="30" t="str">
        <f aca="false">IF(E1755&lt;判定条件!$C$6,"判定不能",IF(F1755&gt;=判定条件!$C$7*E1755,"運転",IF(F1755&lt;=判定条件!$C$8*E1755,"停止","断続")))</f>
        <v>停止</v>
      </c>
      <c r="H1755" s="30" t="n">
        <v>60</v>
      </c>
      <c r="I1755" s="30" t="n">
        <v>0</v>
      </c>
      <c r="J1755" s="30" t="str">
        <f aca="false">IF(H1755&lt;判定条件!$C$6,"判定不能",IF(I1755&gt;=判定条件!$C$7*H1755,"運転",IF(I1755&lt;=判定条件!$C$8*H1755,"停止","断続")))</f>
        <v>停止</v>
      </c>
      <c r="K1755" s="30" t="n">
        <v>60</v>
      </c>
      <c r="L1755" s="30" t="n">
        <v>0</v>
      </c>
      <c r="M1755" s="30" t="str">
        <f aca="false">IF(K1755&lt;判定条件!$C$6,"判定不能",IF(L1755&gt;=判定条件!$C$7*K1755,"運転",IF(L1755&lt;=判定条件!$C$8*K1755,"停止","断続")))</f>
        <v>停止</v>
      </c>
      <c r="N1755" s="30" t="n">
        <v>60</v>
      </c>
      <c r="O1755" s="30" t="n">
        <v>0</v>
      </c>
      <c r="P1755" s="30" t="str">
        <f aca="false">IF(N1755&lt;判定条件!$C$6,"判定不能",IF(O1755&gt;=判定条件!$C$7*N1755,"運転",IF(O1755&lt;=判定条件!$C$8*N1755,"停止","断続")))</f>
        <v>停止</v>
      </c>
      <c r="Q1755" s="30" t="n">
        <v>60</v>
      </c>
      <c r="R1755" s="30" t="n">
        <v>0</v>
      </c>
      <c r="S1755" s="30" t="str">
        <f aca="false">IF(Q1755&lt;判定条件!$C$6,"判定不能",IF(R1755&gt;=判定条件!$C$7*Q1755,"運転",IF(R1755&lt;=判定条件!$C$8*Q1755,"停止","断続")))</f>
        <v>停止</v>
      </c>
      <c r="T1755" s="30" t="n">
        <v>60</v>
      </c>
      <c r="U1755" s="30" t="n">
        <v>0</v>
      </c>
      <c r="V1755" s="30" t="str">
        <f aca="false">IF(T1755&lt;判定条件!$C$6,"判定不能",IF(U1755&gt;=判定条件!$C$7*T1755,"運転",IF(U1755&lt;=判定条件!$C$8*T1755,"停止","断続")))</f>
        <v>停止</v>
      </c>
      <c r="W1755" s="30" t="n">
        <v>60</v>
      </c>
      <c r="X1755" s="30" t="n">
        <v>0</v>
      </c>
      <c r="Y1755" s="30" t="str">
        <f aca="false">IF(W1755&lt;判定条件!$C$6,"判定不能",IF(X1755&gt;=判定条件!$C$7*W1755,"運転",IF(X1755&lt;=判定条件!$C$8*W1755,"停止","断続")))</f>
        <v>停止</v>
      </c>
      <c r="Z1755" s="30" t="n">
        <v>60</v>
      </c>
      <c r="AA1755" s="30" t="n">
        <v>0</v>
      </c>
      <c r="AB1755" s="30" t="str">
        <f aca="false">IF(Z1755&lt;判定条件!$C$6,"判定不能",IF(AA1755&gt;=判定条件!$C$7*Z1755,"運転",IF(AA1755&lt;=判定条件!$C$8*Z1755,"停止","断続")))</f>
        <v>停止</v>
      </c>
      <c r="AC1755" s="30" t="n">
        <v>60</v>
      </c>
      <c r="AD1755" s="30" t="n">
        <v>0</v>
      </c>
      <c r="AE1755" s="30" t="str">
        <f aca="false">IF(AC1755&lt;判定条件!$C$6,"判定不能",IF(AD1755&gt;=判定条件!$C$7*AC1755,"運転",IF(AD1755&lt;=判定条件!$C$8*AC1755,"停止","断続")))</f>
        <v>停止</v>
      </c>
      <c r="AF1755" s="30" t="n">
        <v>60</v>
      </c>
      <c r="AG1755" s="30" t="n">
        <v>0</v>
      </c>
      <c r="AH1755" s="30" t="str">
        <f aca="false">IF(OR(P1755="判定不能",G1755="判定不能"),"判定不能",IF(AG1755&gt;=判定条件!$C$9,"利用可",IF(AND(P1755="停止",G1755="停止"),"両方停止","運転がそろわない")))</f>
        <v>両方停止</v>
      </c>
      <c r="AI1755" s="30" t="n">
        <v>60</v>
      </c>
      <c r="AJ1755" s="30" t="n">
        <v>0</v>
      </c>
      <c r="AK1755" s="30" t="str">
        <f aca="false">IF(OR(S1755="判定不能",J1755="判定不能"),"判定不能",IF(AJ1755&gt;=判定条件!$C$9,"利用可",IF(AND(S1755="停止",J1755="停止"),"両方停止","運転がそろわない")))</f>
        <v>両方停止</v>
      </c>
      <c r="AL1755" s="30" t="n">
        <v>60</v>
      </c>
      <c r="AM1755" s="30" t="n">
        <v>0</v>
      </c>
      <c r="AN1755" s="30" t="str">
        <f aca="false">IF(OR(V1755="判定不能",M1755="判定不能"),"判定不能",IF(AM1755&gt;=判定条件!$C$9,"利用可",IF(AND(V1755="停止",M1755="停止"),"両方停止","運転がそろわない")))</f>
        <v>両方停止</v>
      </c>
      <c r="AO1755" s="30" t="n">
        <v>60</v>
      </c>
      <c r="AP1755" s="30" t="n">
        <v>0</v>
      </c>
      <c r="AQ1755" s="30" t="str">
        <f aca="false">IF(OR(Y1755="判定不能",G1755="判定不能"),"判定不能",IF(AP1755&gt;=判定条件!$C$9,"利用可",IF(AND(Y1755="停止",G1755="停止"),"両方停止","運転がそろわない")))</f>
        <v>両方停止</v>
      </c>
      <c r="AR1755" s="30" t="n">
        <v>60</v>
      </c>
      <c r="AS1755" s="30" t="n">
        <v>0</v>
      </c>
      <c r="AT1755" s="30" t="str">
        <f aca="false">IF(OR(AB1755="判定不能",J1755="判定不能"),"判定不能",IF(AS1755&gt;=判定条件!$C$9,"利用可",IF(AND(AB1755="停止",J1755="停止"),"両方停止","運転がそろわない")))</f>
        <v>両方停止</v>
      </c>
      <c r="AU1755" s="30" t="n">
        <v>60</v>
      </c>
      <c r="AV1755" s="30" t="n">
        <v>0</v>
      </c>
      <c r="AW1755" s="30" t="str">
        <f aca="false">IF(OR(AE1755="判定不能",M1755="判定不能"),"判定不能",IF(AV1755&gt;=判定条件!$C$9,"利用可",IF(AND(AE1755="停止",M1755="停止"),"両方停止","運転がそろわない")))</f>
        <v>両方停止</v>
      </c>
      <c r="AX1755" s="30" t="str">
        <f aca="false">IF(AND(AH1755="利用可",AK1755="利用可",AN1755="利用可"),"利用可","不可")</f>
        <v>不可</v>
      </c>
      <c r="AY1755" s="30" t="str">
        <f aca="false">IF(AND(AQ1755="利用可",AT1755="利用可",AW1755="利用可"),"利用可","不可")</f>
        <v>不可</v>
      </c>
    </row>
    <row r="1756" customFormat="false" ht="15" hidden="false" customHeight="false" outlineLevel="0" collapsed="false">
      <c r="A1756" s="29" t="n">
        <v>46305</v>
      </c>
      <c r="B1756" s="30" t="n">
        <v>1</v>
      </c>
      <c r="C1756" s="31" t="s">
        <v>63</v>
      </c>
      <c r="D1756" s="31" t="s">
        <v>64</v>
      </c>
      <c r="E1756" s="30" t="n">
        <v>60</v>
      </c>
      <c r="F1756" s="30" t="n">
        <v>0</v>
      </c>
      <c r="G1756" s="30" t="str">
        <f aca="false">IF(E1756&lt;判定条件!$C$6,"判定不能",IF(F1756&gt;=判定条件!$C$7*E1756,"運転",IF(F1756&lt;=判定条件!$C$8*E1756,"停止","断続")))</f>
        <v>停止</v>
      </c>
      <c r="H1756" s="30" t="n">
        <v>60</v>
      </c>
      <c r="I1756" s="30" t="n">
        <v>0</v>
      </c>
      <c r="J1756" s="30" t="str">
        <f aca="false">IF(H1756&lt;判定条件!$C$6,"判定不能",IF(I1756&gt;=判定条件!$C$7*H1756,"運転",IF(I1756&lt;=判定条件!$C$8*H1756,"停止","断続")))</f>
        <v>停止</v>
      </c>
      <c r="K1756" s="30" t="n">
        <v>60</v>
      </c>
      <c r="L1756" s="30" t="n">
        <v>0</v>
      </c>
      <c r="M1756" s="30" t="str">
        <f aca="false">IF(K1756&lt;判定条件!$C$6,"判定不能",IF(L1756&gt;=判定条件!$C$7*K1756,"運転",IF(L1756&lt;=判定条件!$C$8*K1756,"停止","断続")))</f>
        <v>停止</v>
      </c>
      <c r="N1756" s="30" t="n">
        <v>60</v>
      </c>
      <c r="O1756" s="30" t="n">
        <v>0</v>
      </c>
      <c r="P1756" s="30" t="str">
        <f aca="false">IF(N1756&lt;判定条件!$C$6,"判定不能",IF(O1756&gt;=判定条件!$C$7*N1756,"運転",IF(O1756&lt;=判定条件!$C$8*N1756,"停止","断続")))</f>
        <v>停止</v>
      </c>
      <c r="Q1756" s="30" t="n">
        <v>60</v>
      </c>
      <c r="R1756" s="30" t="n">
        <v>0</v>
      </c>
      <c r="S1756" s="30" t="str">
        <f aca="false">IF(Q1756&lt;判定条件!$C$6,"判定不能",IF(R1756&gt;=判定条件!$C$7*Q1756,"運転",IF(R1756&lt;=判定条件!$C$8*Q1756,"停止","断続")))</f>
        <v>停止</v>
      </c>
      <c r="T1756" s="30" t="n">
        <v>60</v>
      </c>
      <c r="U1756" s="30" t="n">
        <v>0</v>
      </c>
      <c r="V1756" s="30" t="str">
        <f aca="false">IF(T1756&lt;判定条件!$C$6,"判定不能",IF(U1756&gt;=判定条件!$C$7*T1756,"運転",IF(U1756&lt;=判定条件!$C$8*T1756,"停止","断続")))</f>
        <v>停止</v>
      </c>
      <c r="W1756" s="30" t="n">
        <v>60</v>
      </c>
      <c r="X1756" s="30" t="n">
        <v>0</v>
      </c>
      <c r="Y1756" s="30" t="str">
        <f aca="false">IF(W1756&lt;判定条件!$C$6,"判定不能",IF(X1756&gt;=判定条件!$C$7*W1756,"運転",IF(X1756&lt;=判定条件!$C$8*W1756,"停止","断続")))</f>
        <v>停止</v>
      </c>
      <c r="Z1756" s="30" t="n">
        <v>60</v>
      </c>
      <c r="AA1756" s="30" t="n">
        <v>0</v>
      </c>
      <c r="AB1756" s="30" t="str">
        <f aca="false">IF(Z1756&lt;判定条件!$C$6,"判定不能",IF(AA1756&gt;=判定条件!$C$7*Z1756,"運転",IF(AA1756&lt;=判定条件!$C$8*Z1756,"停止","断続")))</f>
        <v>停止</v>
      </c>
      <c r="AC1756" s="30" t="n">
        <v>60</v>
      </c>
      <c r="AD1756" s="30" t="n">
        <v>0</v>
      </c>
      <c r="AE1756" s="30" t="str">
        <f aca="false">IF(AC1756&lt;判定条件!$C$6,"判定不能",IF(AD1756&gt;=判定条件!$C$7*AC1756,"運転",IF(AD1756&lt;=判定条件!$C$8*AC1756,"停止","断続")))</f>
        <v>停止</v>
      </c>
      <c r="AF1756" s="30" t="n">
        <v>60</v>
      </c>
      <c r="AG1756" s="30" t="n">
        <v>0</v>
      </c>
      <c r="AH1756" s="30" t="str">
        <f aca="false">IF(OR(P1756="判定不能",G1756="判定不能"),"判定不能",IF(AG1756&gt;=判定条件!$C$9,"利用可",IF(AND(P1756="停止",G1756="停止"),"両方停止","運転がそろわない")))</f>
        <v>両方停止</v>
      </c>
      <c r="AI1756" s="30" t="n">
        <v>60</v>
      </c>
      <c r="AJ1756" s="30" t="n">
        <v>0</v>
      </c>
      <c r="AK1756" s="30" t="str">
        <f aca="false">IF(OR(S1756="判定不能",J1756="判定不能"),"判定不能",IF(AJ1756&gt;=判定条件!$C$9,"利用可",IF(AND(S1756="停止",J1756="停止"),"両方停止","運転がそろわない")))</f>
        <v>両方停止</v>
      </c>
      <c r="AL1756" s="30" t="n">
        <v>60</v>
      </c>
      <c r="AM1756" s="30" t="n">
        <v>0</v>
      </c>
      <c r="AN1756" s="30" t="str">
        <f aca="false">IF(OR(V1756="判定不能",M1756="判定不能"),"判定不能",IF(AM1756&gt;=判定条件!$C$9,"利用可",IF(AND(V1756="停止",M1756="停止"),"両方停止","運転がそろわない")))</f>
        <v>両方停止</v>
      </c>
      <c r="AO1756" s="30" t="n">
        <v>60</v>
      </c>
      <c r="AP1756" s="30" t="n">
        <v>0</v>
      </c>
      <c r="AQ1756" s="30" t="str">
        <f aca="false">IF(OR(Y1756="判定不能",G1756="判定不能"),"判定不能",IF(AP1756&gt;=判定条件!$C$9,"利用可",IF(AND(Y1756="停止",G1756="停止"),"両方停止","運転がそろわない")))</f>
        <v>両方停止</v>
      </c>
      <c r="AR1756" s="30" t="n">
        <v>60</v>
      </c>
      <c r="AS1756" s="30" t="n">
        <v>0</v>
      </c>
      <c r="AT1756" s="30" t="str">
        <f aca="false">IF(OR(AB1756="判定不能",J1756="判定不能"),"判定不能",IF(AS1756&gt;=判定条件!$C$9,"利用可",IF(AND(AB1756="停止",J1756="停止"),"両方停止","運転がそろわない")))</f>
        <v>両方停止</v>
      </c>
      <c r="AU1756" s="30" t="n">
        <v>60</v>
      </c>
      <c r="AV1756" s="30" t="n">
        <v>0</v>
      </c>
      <c r="AW1756" s="30" t="str">
        <f aca="false">IF(OR(AE1756="判定不能",M1756="判定不能"),"判定不能",IF(AV1756&gt;=判定条件!$C$9,"利用可",IF(AND(AE1756="停止",M1756="停止"),"両方停止","運転がそろわない")))</f>
        <v>両方停止</v>
      </c>
      <c r="AX1756" s="30" t="str">
        <f aca="false">IF(AND(AH1756="利用可",AK1756="利用可",AN1756="利用可"),"利用可","不可")</f>
        <v>不可</v>
      </c>
      <c r="AY1756" s="30" t="str">
        <f aca="false">IF(AND(AQ1756="利用可",AT1756="利用可",AW1756="利用可"),"利用可","不可")</f>
        <v>不可</v>
      </c>
    </row>
    <row r="1757" customFormat="false" ht="15" hidden="false" customHeight="false" outlineLevel="0" collapsed="false">
      <c r="A1757" s="29" t="n">
        <v>46305</v>
      </c>
      <c r="B1757" s="30" t="n">
        <v>2</v>
      </c>
      <c r="C1757" s="31" t="s">
        <v>63</v>
      </c>
      <c r="D1757" s="31" t="s">
        <v>64</v>
      </c>
      <c r="E1757" s="30" t="n">
        <v>60</v>
      </c>
      <c r="F1757" s="30" t="n">
        <v>0</v>
      </c>
      <c r="G1757" s="30" t="str">
        <f aca="false">IF(E1757&lt;判定条件!$C$6,"判定不能",IF(F1757&gt;=判定条件!$C$7*E1757,"運転",IF(F1757&lt;=判定条件!$C$8*E1757,"停止","断続")))</f>
        <v>停止</v>
      </c>
      <c r="H1757" s="30" t="n">
        <v>60</v>
      </c>
      <c r="I1757" s="30" t="n">
        <v>0</v>
      </c>
      <c r="J1757" s="30" t="str">
        <f aca="false">IF(H1757&lt;判定条件!$C$6,"判定不能",IF(I1757&gt;=判定条件!$C$7*H1757,"運転",IF(I1757&lt;=判定条件!$C$8*H1757,"停止","断続")))</f>
        <v>停止</v>
      </c>
      <c r="K1757" s="30" t="n">
        <v>60</v>
      </c>
      <c r="L1757" s="30" t="n">
        <v>0</v>
      </c>
      <c r="M1757" s="30" t="str">
        <f aca="false">IF(K1757&lt;判定条件!$C$6,"判定不能",IF(L1757&gt;=判定条件!$C$7*K1757,"運転",IF(L1757&lt;=判定条件!$C$8*K1757,"停止","断続")))</f>
        <v>停止</v>
      </c>
      <c r="N1757" s="30" t="n">
        <v>60</v>
      </c>
      <c r="O1757" s="30" t="n">
        <v>0</v>
      </c>
      <c r="P1757" s="30" t="str">
        <f aca="false">IF(N1757&lt;判定条件!$C$6,"判定不能",IF(O1757&gt;=判定条件!$C$7*N1757,"運転",IF(O1757&lt;=判定条件!$C$8*N1757,"停止","断続")))</f>
        <v>停止</v>
      </c>
      <c r="Q1757" s="30" t="n">
        <v>60</v>
      </c>
      <c r="R1757" s="30" t="n">
        <v>0</v>
      </c>
      <c r="S1757" s="30" t="str">
        <f aca="false">IF(Q1757&lt;判定条件!$C$6,"判定不能",IF(R1757&gt;=判定条件!$C$7*Q1757,"運転",IF(R1757&lt;=判定条件!$C$8*Q1757,"停止","断続")))</f>
        <v>停止</v>
      </c>
      <c r="T1757" s="30" t="n">
        <v>60</v>
      </c>
      <c r="U1757" s="30" t="n">
        <v>0</v>
      </c>
      <c r="V1757" s="30" t="str">
        <f aca="false">IF(T1757&lt;判定条件!$C$6,"判定不能",IF(U1757&gt;=判定条件!$C$7*T1757,"運転",IF(U1757&lt;=判定条件!$C$8*T1757,"停止","断続")))</f>
        <v>停止</v>
      </c>
      <c r="W1757" s="30" t="n">
        <v>60</v>
      </c>
      <c r="X1757" s="30" t="n">
        <v>0</v>
      </c>
      <c r="Y1757" s="30" t="str">
        <f aca="false">IF(W1757&lt;判定条件!$C$6,"判定不能",IF(X1757&gt;=判定条件!$C$7*W1757,"運転",IF(X1757&lt;=判定条件!$C$8*W1757,"停止","断続")))</f>
        <v>停止</v>
      </c>
      <c r="Z1757" s="30" t="n">
        <v>60</v>
      </c>
      <c r="AA1757" s="30" t="n">
        <v>0</v>
      </c>
      <c r="AB1757" s="30" t="str">
        <f aca="false">IF(Z1757&lt;判定条件!$C$6,"判定不能",IF(AA1757&gt;=判定条件!$C$7*Z1757,"運転",IF(AA1757&lt;=判定条件!$C$8*Z1757,"停止","断続")))</f>
        <v>停止</v>
      </c>
      <c r="AC1757" s="30" t="n">
        <v>60</v>
      </c>
      <c r="AD1757" s="30" t="n">
        <v>0</v>
      </c>
      <c r="AE1757" s="30" t="str">
        <f aca="false">IF(AC1757&lt;判定条件!$C$6,"判定不能",IF(AD1757&gt;=判定条件!$C$7*AC1757,"運転",IF(AD1757&lt;=判定条件!$C$8*AC1757,"停止","断続")))</f>
        <v>停止</v>
      </c>
      <c r="AF1757" s="30" t="n">
        <v>60</v>
      </c>
      <c r="AG1757" s="30" t="n">
        <v>0</v>
      </c>
      <c r="AH1757" s="30" t="str">
        <f aca="false">IF(OR(P1757="判定不能",G1757="判定不能"),"判定不能",IF(AG1757&gt;=判定条件!$C$9,"利用可",IF(AND(P1757="停止",G1757="停止"),"両方停止","運転がそろわない")))</f>
        <v>両方停止</v>
      </c>
      <c r="AI1757" s="30" t="n">
        <v>60</v>
      </c>
      <c r="AJ1757" s="30" t="n">
        <v>0</v>
      </c>
      <c r="AK1757" s="30" t="str">
        <f aca="false">IF(OR(S1757="判定不能",J1757="判定不能"),"判定不能",IF(AJ1757&gt;=判定条件!$C$9,"利用可",IF(AND(S1757="停止",J1757="停止"),"両方停止","運転がそろわない")))</f>
        <v>両方停止</v>
      </c>
      <c r="AL1757" s="30" t="n">
        <v>60</v>
      </c>
      <c r="AM1757" s="30" t="n">
        <v>0</v>
      </c>
      <c r="AN1757" s="30" t="str">
        <f aca="false">IF(OR(V1757="判定不能",M1757="判定不能"),"判定不能",IF(AM1757&gt;=判定条件!$C$9,"利用可",IF(AND(V1757="停止",M1757="停止"),"両方停止","運転がそろわない")))</f>
        <v>両方停止</v>
      </c>
      <c r="AO1757" s="30" t="n">
        <v>60</v>
      </c>
      <c r="AP1757" s="30" t="n">
        <v>0</v>
      </c>
      <c r="AQ1757" s="30" t="str">
        <f aca="false">IF(OR(Y1757="判定不能",G1757="判定不能"),"判定不能",IF(AP1757&gt;=判定条件!$C$9,"利用可",IF(AND(Y1757="停止",G1757="停止"),"両方停止","運転がそろわない")))</f>
        <v>両方停止</v>
      </c>
      <c r="AR1757" s="30" t="n">
        <v>60</v>
      </c>
      <c r="AS1757" s="30" t="n">
        <v>0</v>
      </c>
      <c r="AT1757" s="30" t="str">
        <f aca="false">IF(OR(AB1757="判定不能",J1757="判定不能"),"判定不能",IF(AS1757&gt;=判定条件!$C$9,"利用可",IF(AND(AB1757="停止",J1757="停止"),"両方停止","運転がそろわない")))</f>
        <v>両方停止</v>
      </c>
      <c r="AU1757" s="30" t="n">
        <v>60</v>
      </c>
      <c r="AV1757" s="30" t="n">
        <v>0</v>
      </c>
      <c r="AW1757" s="30" t="str">
        <f aca="false">IF(OR(AE1757="判定不能",M1757="判定不能"),"判定不能",IF(AV1757&gt;=判定条件!$C$9,"利用可",IF(AND(AE1757="停止",M1757="停止"),"両方停止","運転がそろわない")))</f>
        <v>両方停止</v>
      </c>
      <c r="AX1757" s="30" t="str">
        <f aca="false">IF(AND(AH1757="利用可",AK1757="利用可",AN1757="利用可"),"利用可","不可")</f>
        <v>不可</v>
      </c>
      <c r="AY1757" s="30" t="str">
        <f aca="false">IF(AND(AQ1757="利用可",AT1757="利用可",AW1757="利用可"),"利用可","不可")</f>
        <v>不可</v>
      </c>
    </row>
    <row r="1758" customFormat="false" ht="15" hidden="false" customHeight="false" outlineLevel="0" collapsed="false">
      <c r="A1758" s="29" t="n">
        <v>46305</v>
      </c>
      <c r="B1758" s="30" t="n">
        <v>3</v>
      </c>
      <c r="C1758" s="31" t="s">
        <v>63</v>
      </c>
      <c r="D1758" s="31" t="s">
        <v>64</v>
      </c>
      <c r="E1758" s="30" t="n">
        <v>60</v>
      </c>
      <c r="F1758" s="30" t="n">
        <v>0</v>
      </c>
      <c r="G1758" s="30" t="str">
        <f aca="false">IF(E1758&lt;判定条件!$C$6,"判定不能",IF(F1758&gt;=判定条件!$C$7*E1758,"運転",IF(F1758&lt;=判定条件!$C$8*E1758,"停止","断続")))</f>
        <v>停止</v>
      </c>
      <c r="H1758" s="30" t="n">
        <v>60</v>
      </c>
      <c r="I1758" s="30" t="n">
        <v>0</v>
      </c>
      <c r="J1758" s="30" t="str">
        <f aca="false">IF(H1758&lt;判定条件!$C$6,"判定不能",IF(I1758&gt;=判定条件!$C$7*H1758,"運転",IF(I1758&lt;=判定条件!$C$8*H1758,"停止","断続")))</f>
        <v>停止</v>
      </c>
      <c r="K1758" s="30" t="n">
        <v>60</v>
      </c>
      <c r="L1758" s="30" t="n">
        <v>0</v>
      </c>
      <c r="M1758" s="30" t="str">
        <f aca="false">IF(K1758&lt;判定条件!$C$6,"判定不能",IF(L1758&gt;=判定条件!$C$7*K1758,"運転",IF(L1758&lt;=判定条件!$C$8*K1758,"停止","断続")))</f>
        <v>停止</v>
      </c>
      <c r="N1758" s="30" t="n">
        <v>60</v>
      </c>
      <c r="O1758" s="30" t="n">
        <v>0</v>
      </c>
      <c r="P1758" s="30" t="str">
        <f aca="false">IF(N1758&lt;判定条件!$C$6,"判定不能",IF(O1758&gt;=判定条件!$C$7*N1758,"運転",IF(O1758&lt;=判定条件!$C$8*N1758,"停止","断続")))</f>
        <v>停止</v>
      </c>
      <c r="Q1758" s="30" t="n">
        <v>60</v>
      </c>
      <c r="R1758" s="30" t="n">
        <v>0</v>
      </c>
      <c r="S1758" s="30" t="str">
        <f aca="false">IF(Q1758&lt;判定条件!$C$6,"判定不能",IF(R1758&gt;=判定条件!$C$7*Q1758,"運転",IF(R1758&lt;=判定条件!$C$8*Q1758,"停止","断続")))</f>
        <v>停止</v>
      </c>
      <c r="T1758" s="30" t="n">
        <v>60</v>
      </c>
      <c r="U1758" s="30" t="n">
        <v>0</v>
      </c>
      <c r="V1758" s="30" t="str">
        <f aca="false">IF(T1758&lt;判定条件!$C$6,"判定不能",IF(U1758&gt;=判定条件!$C$7*T1758,"運転",IF(U1758&lt;=判定条件!$C$8*T1758,"停止","断続")))</f>
        <v>停止</v>
      </c>
      <c r="W1758" s="30" t="n">
        <v>60</v>
      </c>
      <c r="X1758" s="30" t="n">
        <v>0</v>
      </c>
      <c r="Y1758" s="30" t="str">
        <f aca="false">IF(W1758&lt;判定条件!$C$6,"判定不能",IF(X1758&gt;=判定条件!$C$7*W1758,"運転",IF(X1758&lt;=判定条件!$C$8*W1758,"停止","断続")))</f>
        <v>停止</v>
      </c>
      <c r="Z1758" s="30" t="n">
        <v>60</v>
      </c>
      <c r="AA1758" s="30" t="n">
        <v>0</v>
      </c>
      <c r="AB1758" s="30" t="str">
        <f aca="false">IF(Z1758&lt;判定条件!$C$6,"判定不能",IF(AA1758&gt;=判定条件!$C$7*Z1758,"運転",IF(AA1758&lt;=判定条件!$C$8*Z1758,"停止","断続")))</f>
        <v>停止</v>
      </c>
      <c r="AC1758" s="30" t="n">
        <v>60</v>
      </c>
      <c r="AD1758" s="30" t="n">
        <v>0</v>
      </c>
      <c r="AE1758" s="30" t="str">
        <f aca="false">IF(AC1758&lt;判定条件!$C$6,"判定不能",IF(AD1758&gt;=判定条件!$C$7*AC1758,"運転",IF(AD1758&lt;=判定条件!$C$8*AC1758,"停止","断続")))</f>
        <v>停止</v>
      </c>
      <c r="AF1758" s="30" t="n">
        <v>60</v>
      </c>
      <c r="AG1758" s="30" t="n">
        <v>0</v>
      </c>
      <c r="AH1758" s="30" t="str">
        <f aca="false">IF(OR(P1758="判定不能",G1758="判定不能"),"判定不能",IF(AG1758&gt;=判定条件!$C$9,"利用可",IF(AND(P1758="停止",G1758="停止"),"両方停止","運転がそろわない")))</f>
        <v>両方停止</v>
      </c>
      <c r="AI1758" s="30" t="n">
        <v>60</v>
      </c>
      <c r="AJ1758" s="30" t="n">
        <v>0</v>
      </c>
      <c r="AK1758" s="30" t="str">
        <f aca="false">IF(OR(S1758="判定不能",J1758="判定不能"),"判定不能",IF(AJ1758&gt;=判定条件!$C$9,"利用可",IF(AND(S1758="停止",J1758="停止"),"両方停止","運転がそろわない")))</f>
        <v>両方停止</v>
      </c>
      <c r="AL1758" s="30" t="n">
        <v>60</v>
      </c>
      <c r="AM1758" s="30" t="n">
        <v>0</v>
      </c>
      <c r="AN1758" s="30" t="str">
        <f aca="false">IF(OR(V1758="判定不能",M1758="判定不能"),"判定不能",IF(AM1758&gt;=判定条件!$C$9,"利用可",IF(AND(V1758="停止",M1758="停止"),"両方停止","運転がそろわない")))</f>
        <v>両方停止</v>
      </c>
      <c r="AO1758" s="30" t="n">
        <v>60</v>
      </c>
      <c r="AP1758" s="30" t="n">
        <v>0</v>
      </c>
      <c r="AQ1758" s="30" t="str">
        <f aca="false">IF(OR(Y1758="判定不能",G1758="判定不能"),"判定不能",IF(AP1758&gt;=判定条件!$C$9,"利用可",IF(AND(Y1758="停止",G1758="停止"),"両方停止","運転がそろわない")))</f>
        <v>両方停止</v>
      </c>
      <c r="AR1758" s="30" t="n">
        <v>60</v>
      </c>
      <c r="AS1758" s="30" t="n">
        <v>0</v>
      </c>
      <c r="AT1758" s="30" t="str">
        <f aca="false">IF(OR(AB1758="判定不能",J1758="判定不能"),"判定不能",IF(AS1758&gt;=判定条件!$C$9,"利用可",IF(AND(AB1758="停止",J1758="停止"),"両方停止","運転がそろわない")))</f>
        <v>両方停止</v>
      </c>
      <c r="AU1758" s="30" t="n">
        <v>60</v>
      </c>
      <c r="AV1758" s="30" t="n">
        <v>0</v>
      </c>
      <c r="AW1758" s="30" t="str">
        <f aca="false">IF(OR(AE1758="判定不能",M1758="判定不能"),"判定不能",IF(AV1758&gt;=判定条件!$C$9,"利用可",IF(AND(AE1758="停止",M1758="停止"),"両方停止","運転がそろわない")))</f>
        <v>両方停止</v>
      </c>
      <c r="AX1758" s="30" t="str">
        <f aca="false">IF(AND(AH1758="利用可",AK1758="利用可",AN1758="利用可"),"利用可","不可")</f>
        <v>不可</v>
      </c>
      <c r="AY1758" s="30" t="str">
        <f aca="false">IF(AND(AQ1758="利用可",AT1758="利用可",AW1758="利用可"),"利用可","不可")</f>
        <v>不可</v>
      </c>
    </row>
    <row r="1759" customFormat="false" ht="15" hidden="false" customHeight="false" outlineLevel="0" collapsed="false">
      <c r="A1759" s="29" t="n">
        <v>46305</v>
      </c>
      <c r="B1759" s="30" t="n">
        <v>4</v>
      </c>
      <c r="C1759" s="31" t="s">
        <v>63</v>
      </c>
      <c r="D1759" s="31" t="s">
        <v>64</v>
      </c>
      <c r="E1759" s="30" t="n">
        <v>60</v>
      </c>
      <c r="F1759" s="30" t="n">
        <v>0</v>
      </c>
      <c r="G1759" s="30" t="str">
        <f aca="false">IF(E1759&lt;判定条件!$C$6,"判定不能",IF(F1759&gt;=判定条件!$C$7*E1759,"運転",IF(F1759&lt;=判定条件!$C$8*E1759,"停止","断続")))</f>
        <v>停止</v>
      </c>
      <c r="H1759" s="30" t="n">
        <v>60</v>
      </c>
      <c r="I1759" s="30" t="n">
        <v>0</v>
      </c>
      <c r="J1759" s="30" t="str">
        <f aca="false">IF(H1759&lt;判定条件!$C$6,"判定不能",IF(I1759&gt;=判定条件!$C$7*H1759,"運転",IF(I1759&lt;=判定条件!$C$8*H1759,"停止","断続")))</f>
        <v>停止</v>
      </c>
      <c r="K1759" s="30" t="n">
        <v>60</v>
      </c>
      <c r="L1759" s="30" t="n">
        <v>0</v>
      </c>
      <c r="M1759" s="30" t="str">
        <f aca="false">IF(K1759&lt;判定条件!$C$6,"判定不能",IF(L1759&gt;=判定条件!$C$7*K1759,"運転",IF(L1759&lt;=判定条件!$C$8*K1759,"停止","断続")))</f>
        <v>停止</v>
      </c>
      <c r="N1759" s="30" t="n">
        <v>60</v>
      </c>
      <c r="O1759" s="30" t="n">
        <v>0</v>
      </c>
      <c r="P1759" s="30" t="str">
        <f aca="false">IF(N1759&lt;判定条件!$C$6,"判定不能",IF(O1759&gt;=判定条件!$C$7*N1759,"運転",IF(O1759&lt;=判定条件!$C$8*N1759,"停止","断続")))</f>
        <v>停止</v>
      </c>
      <c r="Q1759" s="30" t="n">
        <v>60</v>
      </c>
      <c r="R1759" s="30" t="n">
        <v>0</v>
      </c>
      <c r="S1759" s="30" t="str">
        <f aca="false">IF(Q1759&lt;判定条件!$C$6,"判定不能",IF(R1759&gt;=判定条件!$C$7*Q1759,"運転",IF(R1759&lt;=判定条件!$C$8*Q1759,"停止","断続")))</f>
        <v>停止</v>
      </c>
      <c r="T1759" s="30" t="n">
        <v>60</v>
      </c>
      <c r="U1759" s="30" t="n">
        <v>0</v>
      </c>
      <c r="V1759" s="30" t="str">
        <f aca="false">IF(T1759&lt;判定条件!$C$6,"判定不能",IF(U1759&gt;=判定条件!$C$7*T1759,"運転",IF(U1759&lt;=判定条件!$C$8*T1759,"停止","断続")))</f>
        <v>停止</v>
      </c>
      <c r="W1759" s="30" t="n">
        <v>60</v>
      </c>
      <c r="X1759" s="30" t="n">
        <v>0</v>
      </c>
      <c r="Y1759" s="30" t="str">
        <f aca="false">IF(W1759&lt;判定条件!$C$6,"判定不能",IF(X1759&gt;=判定条件!$C$7*W1759,"運転",IF(X1759&lt;=判定条件!$C$8*W1759,"停止","断続")))</f>
        <v>停止</v>
      </c>
      <c r="Z1759" s="30" t="n">
        <v>60</v>
      </c>
      <c r="AA1759" s="30" t="n">
        <v>0</v>
      </c>
      <c r="AB1759" s="30" t="str">
        <f aca="false">IF(Z1759&lt;判定条件!$C$6,"判定不能",IF(AA1759&gt;=判定条件!$C$7*Z1759,"運転",IF(AA1759&lt;=判定条件!$C$8*Z1759,"停止","断続")))</f>
        <v>停止</v>
      </c>
      <c r="AC1759" s="30" t="n">
        <v>60</v>
      </c>
      <c r="AD1759" s="30" t="n">
        <v>0</v>
      </c>
      <c r="AE1759" s="30" t="str">
        <f aca="false">IF(AC1759&lt;判定条件!$C$6,"判定不能",IF(AD1759&gt;=判定条件!$C$7*AC1759,"運転",IF(AD1759&lt;=判定条件!$C$8*AC1759,"停止","断続")))</f>
        <v>停止</v>
      </c>
      <c r="AF1759" s="30" t="n">
        <v>60</v>
      </c>
      <c r="AG1759" s="30" t="n">
        <v>0</v>
      </c>
      <c r="AH1759" s="30" t="str">
        <f aca="false">IF(OR(P1759="判定不能",G1759="判定不能"),"判定不能",IF(AG1759&gt;=判定条件!$C$9,"利用可",IF(AND(P1759="停止",G1759="停止"),"両方停止","運転がそろわない")))</f>
        <v>両方停止</v>
      </c>
      <c r="AI1759" s="30" t="n">
        <v>60</v>
      </c>
      <c r="AJ1759" s="30" t="n">
        <v>0</v>
      </c>
      <c r="AK1759" s="30" t="str">
        <f aca="false">IF(OR(S1759="判定不能",J1759="判定不能"),"判定不能",IF(AJ1759&gt;=判定条件!$C$9,"利用可",IF(AND(S1759="停止",J1759="停止"),"両方停止","運転がそろわない")))</f>
        <v>両方停止</v>
      </c>
      <c r="AL1759" s="30" t="n">
        <v>60</v>
      </c>
      <c r="AM1759" s="30" t="n">
        <v>0</v>
      </c>
      <c r="AN1759" s="30" t="str">
        <f aca="false">IF(OR(V1759="判定不能",M1759="判定不能"),"判定不能",IF(AM1759&gt;=判定条件!$C$9,"利用可",IF(AND(V1759="停止",M1759="停止"),"両方停止","運転がそろわない")))</f>
        <v>両方停止</v>
      </c>
      <c r="AO1759" s="30" t="n">
        <v>60</v>
      </c>
      <c r="AP1759" s="30" t="n">
        <v>0</v>
      </c>
      <c r="AQ1759" s="30" t="str">
        <f aca="false">IF(OR(Y1759="判定不能",G1759="判定不能"),"判定不能",IF(AP1759&gt;=判定条件!$C$9,"利用可",IF(AND(Y1759="停止",G1759="停止"),"両方停止","運転がそろわない")))</f>
        <v>両方停止</v>
      </c>
      <c r="AR1759" s="30" t="n">
        <v>60</v>
      </c>
      <c r="AS1759" s="30" t="n">
        <v>0</v>
      </c>
      <c r="AT1759" s="30" t="str">
        <f aca="false">IF(OR(AB1759="判定不能",J1759="判定不能"),"判定不能",IF(AS1759&gt;=判定条件!$C$9,"利用可",IF(AND(AB1759="停止",J1759="停止"),"両方停止","運転がそろわない")))</f>
        <v>両方停止</v>
      </c>
      <c r="AU1759" s="30" t="n">
        <v>60</v>
      </c>
      <c r="AV1759" s="30" t="n">
        <v>0</v>
      </c>
      <c r="AW1759" s="30" t="str">
        <f aca="false">IF(OR(AE1759="判定不能",M1759="判定不能"),"判定不能",IF(AV1759&gt;=判定条件!$C$9,"利用可",IF(AND(AE1759="停止",M1759="停止"),"両方停止","運転がそろわない")))</f>
        <v>両方停止</v>
      </c>
      <c r="AX1759" s="30" t="str">
        <f aca="false">IF(AND(AH1759="利用可",AK1759="利用可",AN1759="利用可"),"利用可","不可")</f>
        <v>不可</v>
      </c>
      <c r="AY1759" s="30" t="str">
        <f aca="false">IF(AND(AQ1759="利用可",AT1759="利用可",AW1759="利用可"),"利用可","不可")</f>
        <v>不可</v>
      </c>
    </row>
    <row r="1760" customFormat="false" ht="15" hidden="false" customHeight="false" outlineLevel="0" collapsed="false">
      <c r="A1760" s="29" t="n">
        <v>46305</v>
      </c>
      <c r="B1760" s="30" t="n">
        <v>5</v>
      </c>
      <c r="C1760" s="31" t="s">
        <v>63</v>
      </c>
      <c r="D1760" s="31" t="s">
        <v>64</v>
      </c>
      <c r="E1760" s="30" t="n">
        <v>60</v>
      </c>
      <c r="F1760" s="30" t="n">
        <v>0</v>
      </c>
      <c r="G1760" s="30" t="str">
        <f aca="false">IF(E1760&lt;判定条件!$C$6,"判定不能",IF(F1760&gt;=判定条件!$C$7*E1760,"運転",IF(F1760&lt;=判定条件!$C$8*E1760,"停止","断続")))</f>
        <v>停止</v>
      </c>
      <c r="H1760" s="30" t="n">
        <v>60</v>
      </c>
      <c r="I1760" s="30" t="n">
        <v>0</v>
      </c>
      <c r="J1760" s="30" t="str">
        <f aca="false">IF(H1760&lt;判定条件!$C$6,"判定不能",IF(I1760&gt;=判定条件!$C$7*H1760,"運転",IF(I1760&lt;=判定条件!$C$8*H1760,"停止","断続")))</f>
        <v>停止</v>
      </c>
      <c r="K1760" s="30" t="n">
        <v>60</v>
      </c>
      <c r="L1760" s="30" t="n">
        <v>0</v>
      </c>
      <c r="M1760" s="30" t="str">
        <f aca="false">IF(K1760&lt;判定条件!$C$6,"判定不能",IF(L1760&gt;=判定条件!$C$7*K1760,"運転",IF(L1760&lt;=判定条件!$C$8*K1760,"停止","断続")))</f>
        <v>停止</v>
      </c>
      <c r="N1760" s="30" t="n">
        <v>60</v>
      </c>
      <c r="O1760" s="30" t="n">
        <v>0</v>
      </c>
      <c r="P1760" s="30" t="str">
        <f aca="false">IF(N1760&lt;判定条件!$C$6,"判定不能",IF(O1760&gt;=判定条件!$C$7*N1760,"運転",IF(O1760&lt;=判定条件!$C$8*N1760,"停止","断続")))</f>
        <v>停止</v>
      </c>
      <c r="Q1760" s="30" t="n">
        <v>60</v>
      </c>
      <c r="R1760" s="30" t="n">
        <v>0</v>
      </c>
      <c r="S1760" s="30" t="str">
        <f aca="false">IF(Q1760&lt;判定条件!$C$6,"判定不能",IF(R1760&gt;=判定条件!$C$7*Q1760,"運転",IF(R1760&lt;=判定条件!$C$8*Q1760,"停止","断続")))</f>
        <v>停止</v>
      </c>
      <c r="T1760" s="30" t="n">
        <v>60</v>
      </c>
      <c r="U1760" s="30" t="n">
        <v>0</v>
      </c>
      <c r="V1760" s="30" t="str">
        <f aca="false">IF(T1760&lt;判定条件!$C$6,"判定不能",IF(U1760&gt;=判定条件!$C$7*T1760,"運転",IF(U1760&lt;=判定条件!$C$8*T1760,"停止","断続")))</f>
        <v>停止</v>
      </c>
      <c r="W1760" s="30" t="n">
        <v>60</v>
      </c>
      <c r="X1760" s="30" t="n">
        <v>0</v>
      </c>
      <c r="Y1760" s="30" t="str">
        <f aca="false">IF(W1760&lt;判定条件!$C$6,"判定不能",IF(X1760&gt;=判定条件!$C$7*W1760,"運転",IF(X1760&lt;=判定条件!$C$8*W1760,"停止","断続")))</f>
        <v>停止</v>
      </c>
      <c r="Z1760" s="30" t="n">
        <v>60</v>
      </c>
      <c r="AA1760" s="30" t="n">
        <v>0</v>
      </c>
      <c r="AB1760" s="30" t="str">
        <f aca="false">IF(Z1760&lt;判定条件!$C$6,"判定不能",IF(AA1760&gt;=判定条件!$C$7*Z1760,"運転",IF(AA1760&lt;=判定条件!$C$8*Z1760,"停止","断続")))</f>
        <v>停止</v>
      </c>
      <c r="AC1760" s="30" t="n">
        <v>60</v>
      </c>
      <c r="AD1760" s="30" t="n">
        <v>0</v>
      </c>
      <c r="AE1760" s="30" t="str">
        <f aca="false">IF(AC1760&lt;判定条件!$C$6,"判定不能",IF(AD1760&gt;=判定条件!$C$7*AC1760,"運転",IF(AD1760&lt;=判定条件!$C$8*AC1760,"停止","断続")))</f>
        <v>停止</v>
      </c>
      <c r="AF1760" s="30" t="n">
        <v>60</v>
      </c>
      <c r="AG1760" s="30" t="n">
        <v>0</v>
      </c>
      <c r="AH1760" s="30" t="str">
        <f aca="false">IF(OR(P1760="判定不能",G1760="判定不能"),"判定不能",IF(AG1760&gt;=判定条件!$C$9,"利用可",IF(AND(P1760="停止",G1760="停止"),"両方停止","運転がそろわない")))</f>
        <v>両方停止</v>
      </c>
      <c r="AI1760" s="30" t="n">
        <v>60</v>
      </c>
      <c r="AJ1760" s="30" t="n">
        <v>0</v>
      </c>
      <c r="AK1760" s="30" t="str">
        <f aca="false">IF(OR(S1760="判定不能",J1760="判定不能"),"判定不能",IF(AJ1760&gt;=判定条件!$C$9,"利用可",IF(AND(S1760="停止",J1760="停止"),"両方停止","運転がそろわない")))</f>
        <v>両方停止</v>
      </c>
      <c r="AL1760" s="30" t="n">
        <v>60</v>
      </c>
      <c r="AM1760" s="30" t="n">
        <v>0</v>
      </c>
      <c r="AN1760" s="30" t="str">
        <f aca="false">IF(OR(V1760="判定不能",M1760="判定不能"),"判定不能",IF(AM1760&gt;=判定条件!$C$9,"利用可",IF(AND(V1760="停止",M1760="停止"),"両方停止","運転がそろわない")))</f>
        <v>両方停止</v>
      </c>
      <c r="AO1760" s="30" t="n">
        <v>60</v>
      </c>
      <c r="AP1760" s="30" t="n">
        <v>0</v>
      </c>
      <c r="AQ1760" s="30" t="str">
        <f aca="false">IF(OR(Y1760="判定不能",G1760="判定不能"),"判定不能",IF(AP1760&gt;=判定条件!$C$9,"利用可",IF(AND(Y1760="停止",G1760="停止"),"両方停止","運転がそろわない")))</f>
        <v>両方停止</v>
      </c>
      <c r="AR1760" s="30" t="n">
        <v>60</v>
      </c>
      <c r="AS1760" s="30" t="n">
        <v>0</v>
      </c>
      <c r="AT1760" s="30" t="str">
        <f aca="false">IF(OR(AB1760="判定不能",J1760="判定不能"),"判定不能",IF(AS1760&gt;=判定条件!$C$9,"利用可",IF(AND(AB1760="停止",J1760="停止"),"両方停止","運転がそろわない")))</f>
        <v>両方停止</v>
      </c>
      <c r="AU1760" s="30" t="n">
        <v>60</v>
      </c>
      <c r="AV1760" s="30" t="n">
        <v>0</v>
      </c>
      <c r="AW1760" s="30" t="str">
        <f aca="false">IF(OR(AE1760="判定不能",M1760="判定不能"),"判定不能",IF(AV1760&gt;=判定条件!$C$9,"利用可",IF(AND(AE1760="停止",M1760="停止"),"両方停止","運転がそろわない")))</f>
        <v>両方停止</v>
      </c>
      <c r="AX1760" s="30" t="str">
        <f aca="false">IF(AND(AH1760="利用可",AK1760="利用可",AN1760="利用可"),"利用可","不可")</f>
        <v>不可</v>
      </c>
      <c r="AY1760" s="30" t="str">
        <f aca="false">IF(AND(AQ1760="利用可",AT1760="利用可",AW1760="利用可"),"利用可","不可")</f>
        <v>不可</v>
      </c>
    </row>
    <row r="1761" customFormat="false" ht="15" hidden="false" customHeight="false" outlineLevel="0" collapsed="false">
      <c r="A1761" s="29" t="n">
        <v>46305</v>
      </c>
      <c r="B1761" s="30" t="n">
        <v>6</v>
      </c>
      <c r="C1761" s="31" t="s">
        <v>63</v>
      </c>
      <c r="D1761" s="31" t="s">
        <v>64</v>
      </c>
      <c r="E1761" s="30" t="n">
        <v>60</v>
      </c>
      <c r="F1761" s="30" t="n">
        <v>0</v>
      </c>
      <c r="G1761" s="30" t="str">
        <f aca="false">IF(E1761&lt;判定条件!$C$6,"判定不能",IF(F1761&gt;=判定条件!$C$7*E1761,"運転",IF(F1761&lt;=判定条件!$C$8*E1761,"停止","断続")))</f>
        <v>停止</v>
      </c>
      <c r="H1761" s="30" t="n">
        <v>60</v>
      </c>
      <c r="I1761" s="30" t="n">
        <v>0</v>
      </c>
      <c r="J1761" s="30" t="str">
        <f aca="false">IF(H1761&lt;判定条件!$C$6,"判定不能",IF(I1761&gt;=判定条件!$C$7*H1761,"運転",IF(I1761&lt;=判定条件!$C$8*H1761,"停止","断続")))</f>
        <v>停止</v>
      </c>
      <c r="K1761" s="30" t="n">
        <v>60</v>
      </c>
      <c r="L1761" s="30" t="n">
        <v>0</v>
      </c>
      <c r="M1761" s="30" t="str">
        <f aca="false">IF(K1761&lt;判定条件!$C$6,"判定不能",IF(L1761&gt;=判定条件!$C$7*K1761,"運転",IF(L1761&lt;=判定条件!$C$8*K1761,"停止","断続")))</f>
        <v>停止</v>
      </c>
      <c r="N1761" s="30" t="n">
        <v>60</v>
      </c>
      <c r="O1761" s="30" t="n">
        <v>0</v>
      </c>
      <c r="P1761" s="30" t="str">
        <f aca="false">IF(N1761&lt;判定条件!$C$6,"判定不能",IF(O1761&gt;=判定条件!$C$7*N1761,"運転",IF(O1761&lt;=判定条件!$C$8*N1761,"停止","断続")))</f>
        <v>停止</v>
      </c>
      <c r="Q1761" s="30" t="n">
        <v>60</v>
      </c>
      <c r="R1761" s="30" t="n">
        <v>0</v>
      </c>
      <c r="S1761" s="30" t="str">
        <f aca="false">IF(Q1761&lt;判定条件!$C$6,"判定不能",IF(R1761&gt;=判定条件!$C$7*Q1761,"運転",IF(R1761&lt;=判定条件!$C$8*Q1761,"停止","断続")))</f>
        <v>停止</v>
      </c>
      <c r="T1761" s="30" t="n">
        <v>60</v>
      </c>
      <c r="U1761" s="30" t="n">
        <v>0</v>
      </c>
      <c r="V1761" s="30" t="str">
        <f aca="false">IF(T1761&lt;判定条件!$C$6,"判定不能",IF(U1761&gt;=判定条件!$C$7*T1761,"運転",IF(U1761&lt;=判定条件!$C$8*T1761,"停止","断続")))</f>
        <v>停止</v>
      </c>
      <c r="W1761" s="30" t="n">
        <v>60</v>
      </c>
      <c r="X1761" s="30" t="n">
        <v>0</v>
      </c>
      <c r="Y1761" s="30" t="str">
        <f aca="false">IF(W1761&lt;判定条件!$C$6,"判定不能",IF(X1761&gt;=判定条件!$C$7*W1761,"運転",IF(X1761&lt;=判定条件!$C$8*W1761,"停止","断続")))</f>
        <v>停止</v>
      </c>
      <c r="Z1761" s="30" t="n">
        <v>60</v>
      </c>
      <c r="AA1761" s="30" t="n">
        <v>0</v>
      </c>
      <c r="AB1761" s="30" t="str">
        <f aca="false">IF(Z1761&lt;判定条件!$C$6,"判定不能",IF(AA1761&gt;=判定条件!$C$7*Z1761,"運転",IF(AA1761&lt;=判定条件!$C$8*Z1761,"停止","断続")))</f>
        <v>停止</v>
      </c>
      <c r="AC1761" s="30" t="n">
        <v>60</v>
      </c>
      <c r="AD1761" s="30" t="n">
        <v>0</v>
      </c>
      <c r="AE1761" s="30" t="str">
        <f aca="false">IF(AC1761&lt;判定条件!$C$6,"判定不能",IF(AD1761&gt;=判定条件!$C$7*AC1761,"運転",IF(AD1761&lt;=判定条件!$C$8*AC1761,"停止","断続")))</f>
        <v>停止</v>
      </c>
      <c r="AF1761" s="30" t="n">
        <v>60</v>
      </c>
      <c r="AG1761" s="30" t="n">
        <v>0</v>
      </c>
      <c r="AH1761" s="30" t="str">
        <f aca="false">IF(OR(P1761="判定不能",G1761="判定不能"),"判定不能",IF(AG1761&gt;=判定条件!$C$9,"利用可",IF(AND(P1761="停止",G1761="停止"),"両方停止","運転がそろわない")))</f>
        <v>両方停止</v>
      </c>
      <c r="AI1761" s="30" t="n">
        <v>60</v>
      </c>
      <c r="AJ1761" s="30" t="n">
        <v>0</v>
      </c>
      <c r="AK1761" s="30" t="str">
        <f aca="false">IF(OR(S1761="判定不能",J1761="判定不能"),"判定不能",IF(AJ1761&gt;=判定条件!$C$9,"利用可",IF(AND(S1761="停止",J1761="停止"),"両方停止","運転がそろわない")))</f>
        <v>両方停止</v>
      </c>
      <c r="AL1761" s="30" t="n">
        <v>60</v>
      </c>
      <c r="AM1761" s="30" t="n">
        <v>0</v>
      </c>
      <c r="AN1761" s="30" t="str">
        <f aca="false">IF(OR(V1761="判定不能",M1761="判定不能"),"判定不能",IF(AM1761&gt;=判定条件!$C$9,"利用可",IF(AND(V1761="停止",M1761="停止"),"両方停止","運転がそろわない")))</f>
        <v>両方停止</v>
      </c>
      <c r="AO1761" s="30" t="n">
        <v>60</v>
      </c>
      <c r="AP1761" s="30" t="n">
        <v>0</v>
      </c>
      <c r="AQ1761" s="30" t="str">
        <f aca="false">IF(OR(Y1761="判定不能",G1761="判定不能"),"判定不能",IF(AP1761&gt;=判定条件!$C$9,"利用可",IF(AND(Y1761="停止",G1761="停止"),"両方停止","運転がそろわない")))</f>
        <v>両方停止</v>
      </c>
      <c r="AR1761" s="30" t="n">
        <v>60</v>
      </c>
      <c r="AS1761" s="30" t="n">
        <v>0</v>
      </c>
      <c r="AT1761" s="30" t="str">
        <f aca="false">IF(OR(AB1761="判定不能",J1761="判定不能"),"判定不能",IF(AS1761&gt;=判定条件!$C$9,"利用可",IF(AND(AB1761="停止",J1761="停止"),"両方停止","運転がそろわない")))</f>
        <v>両方停止</v>
      </c>
      <c r="AU1761" s="30" t="n">
        <v>60</v>
      </c>
      <c r="AV1761" s="30" t="n">
        <v>0</v>
      </c>
      <c r="AW1761" s="30" t="str">
        <f aca="false">IF(OR(AE1761="判定不能",M1761="判定不能"),"判定不能",IF(AV1761&gt;=判定条件!$C$9,"利用可",IF(AND(AE1761="停止",M1761="停止"),"両方停止","運転がそろわない")))</f>
        <v>両方停止</v>
      </c>
      <c r="AX1761" s="30" t="str">
        <f aca="false">IF(AND(AH1761="利用可",AK1761="利用可",AN1761="利用可"),"利用可","不可")</f>
        <v>不可</v>
      </c>
      <c r="AY1761" s="30" t="str">
        <f aca="false">IF(AND(AQ1761="利用可",AT1761="利用可",AW1761="利用可"),"利用可","不可")</f>
        <v>不可</v>
      </c>
    </row>
    <row r="1762" customFormat="false" ht="15" hidden="false" customHeight="false" outlineLevel="0" collapsed="false">
      <c r="A1762" s="29" t="n">
        <v>46305</v>
      </c>
      <c r="B1762" s="30" t="n">
        <v>7</v>
      </c>
      <c r="C1762" s="31" t="s">
        <v>63</v>
      </c>
      <c r="D1762" s="31" t="s">
        <v>64</v>
      </c>
      <c r="E1762" s="30" t="n">
        <v>60</v>
      </c>
      <c r="F1762" s="30" t="n">
        <v>0</v>
      </c>
      <c r="G1762" s="30" t="str">
        <f aca="false">IF(E1762&lt;判定条件!$C$6,"判定不能",IF(F1762&gt;=判定条件!$C$7*E1762,"運転",IF(F1762&lt;=判定条件!$C$8*E1762,"停止","断続")))</f>
        <v>停止</v>
      </c>
      <c r="H1762" s="30" t="n">
        <v>60</v>
      </c>
      <c r="I1762" s="30" t="n">
        <v>0</v>
      </c>
      <c r="J1762" s="30" t="str">
        <f aca="false">IF(H1762&lt;判定条件!$C$6,"判定不能",IF(I1762&gt;=判定条件!$C$7*H1762,"運転",IF(I1762&lt;=判定条件!$C$8*H1762,"停止","断続")))</f>
        <v>停止</v>
      </c>
      <c r="K1762" s="30" t="n">
        <v>60</v>
      </c>
      <c r="L1762" s="30" t="n">
        <v>0</v>
      </c>
      <c r="M1762" s="30" t="str">
        <f aca="false">IF(K1762&lt;判定条件!$C$6,"判定不能",IF(L1762&gt;=判定条件!$C$7*K1762,"運転",IF(L1762&lt;=判定条件!$C$8*K1762,"停止","断続")))</f>
        <v>停止</v>
      </c>
      <c r="N1762" s="30" t="n">
        <v>60</v>
      </c>
      <c r="O1762" s="30" t="n">
        <v>0</v>
      </c>
      <c r="P1762" s="30" t="str">
        <f aca="false">IF(N1762&lt;判定条件!$C$6,"判定不能",IF(O1762&gt;=判定条件!$C$7*N1762,"運転",IF(O1762&lt;=判定条件!$C$8*N1762,"停止","断続")))</f>
        <v>停止</v>
      </c>
      <c r="Q1762" s="30" t="n">
        <v>60</v>
      </c>
      <c r="R1762" s="30" t="n">
        <v>0</v>
      </c>
      <c r="S1762" s="30" t="str">
        <f aca="false">IF(Q1762&lt;判定条件!$C$6,"判定不能",IF(R1762&gt;=判定条件!$C$7*Q1762,"運転",IF(R1762&lt;=判定条件!$C$8*Q1762,"停止","断続")))</f>
        <v>停止</v>
      </c>
      <c r="T1762" s="30" t="n">
        <v>60</v>
      </c>
      <c r="U1762" s="30" t="n">
        <v>2</v>
      </c>
      <c r="V1762" s="30" t="str">
        <f aca="false">IF(T1762&lt;判定条件!$C$6,"判定不能",IF(U1762&gt;=判定条件!$C$7*T1762,"運転",IF(U1762&lt;=判定条件!$C$8*T1762,"停止","断続")))</f>
        <v>停止</v>
      </c>
      <c r="W1762" s="30" t="n">
        <v>60</v>
      </c>
      <c r="X1762" s="30" t="n">
        <v>0</v>
      </c>
      <c r="Y1762" s="30" t="str">
        <f aca="false">IF(W1762&lt;判定条件!$C$6,"判定不能",IF(X1762&gt;=判定条件!$C$7*W1762,"運転",IF(X1762&lt;=判定条件!$C$8*W1762,"停止","断続")))</f>
        <v>停止</v>
      </c>
      <c r="Z1762" s="30" t="n">
        <v>60</v>
      </c>
      <c r="AA1762" s="30" t="n">
        <v>1</v>
      </c>
      <c r="AB1762" s="30" t="str">
        <f aca="false">IF(Z1762&lt;判定条件!$C$6,"判定不能",IF(AA1762&gt;=判定条件!$C$7*Z1762,"運転",IF(AA1762&lt;=判定条件!$C$8*Z1762,"停止","断続")))</f>
        <v>停止</v>
      </c>
      <c r="AC1762" s="30" t="n">
        <v>60</v>
      </c>
      <c r="AD1762" s="30" t="n">
        <v>2</v>
      </c>
      <c r="AE1762" s="30" t="str">
        <f aca="false">IF(AC1762&lt;判定条件!$C$6,"判定不能",IF(AD1762&gt;=判定条件!$C$7*AC1762,"運転",IF(AD1762&lt;=判定条件!$C$8*AC1762,"停止","断続")))</f>
        <v>停止</v>
      </c>
      <c r="AF1762" s="30" t="n">
        <v>60</v>
      </c>
      <c r="AG1762" s="30" t="n">
        <v>0</v>
      </c>
      <c r="AH1762" s="30" t="str">
        <f aca="false">IF(OR(P1762="判定不能",G1762="判定不能"),"判定不能",IF(AG1762&gt;=判定条件!$C$9,"利用可",IF(AND(P1762="停止",G1762="停止"),"両方停止","運転がそろわない")))</f>
        <v>両方停止</v>
      </c>
      <c r="AI1762" s="30" t="n">
        <v>60</v>
      </c>
      <c r="AJ1762" s="30" t="n">
        <v>0</v>
      </c>
      <c r="AK1762" s="30" t="str">
        <f aca="false">IF(OR(S1762="判定不能",J1762="判定不能"),"判定不能",IF(AJ1762&gt;=判定条件!$C$9,"利用可",IF(AND(S1762="停止",J1762="停止"),"両方停止","運転がそろわない")))</f>
        <v>両方停止</v>
      </c>
      <c r="AL1762" s="30" t="n">
        <v>60</v>
      </c>
      <c r="AM1762" s="30" t="n">
        <v>0</v>
      </c>
      <c r="AN1762" s="30" t="str">
        <f aca="false">IF(OR(V1762="判定不能",M1762="判定不能"),"判定不能",IF(AM1762&gt;=判定条件!$C$9,"利用可",IF(AND(V1762="停止",M1762="停止"),"両方停止","運転がそろわない")))</f>
        <v>両方停止</v>
      </c>
      <c r="AO1762" s="30" t="n">
        <v>60</v>
      </c>
      <c r="AP1762" s="30" t="n">
        <v>0</v>
      </c>
      <c r="AQ1762" s="30" t="str">
        <f aca="false">IF(OR(Y1762="判定不能",G1762="判定不能"),"判定不能",IF(AP1762&gt;=判定条件!$C$9,"利用可",IF(AND(Y1762="停止",G1762="停止"),"両方停止","運転がそろわない")))</f>
        <v>両方停止</v>
      </c>
      <c r="AR1762" s="30" t="n">
        <v>60</v>
      </c>
      <c r="AS1762" s="30" t="n">
        <v>0</v>
      </c>
      <c r="AT1762" s="30" t="str">
        <f aca="false">IF(OR(AB1762="判定不能",J1762="判定不能"),"判定不能",IF(AS1762&gt;=判定条件!$C$9,"利用可",IF(AND(AB1762="停止",J1762="停止"),"両方停止","運転がそろわない")))</f>
        <v>両方停止</v>
      </c>
      <c r="AU1762" s="30" t="n">
        <v>60</v>
      </c>
      <c r="AV1762" s="30" t="n">
        <v>0</v>
      </c>
      <c r="AW1762" s="30" t="str">
        <f aca="false">IF(OR(AE1762="判定不能",M1762="判定不能"),"判定不能",IF(AV1762&gt;=判定条件!$C$9,"利用可",IF(AND(AE1762="停止",M1762="停止"),"両方停止","運転がそろわない")))</f>
        <v>両方停止</v>
      </c>
      <c r="AX1762" s="30" t="str">
        <f aca="false">IF(AND(AH1762="利用可",AK1762="利用可",AN1762="利用可"),"利用可","不可")</f>
        <v>不可</v>
      </c>
      <c r="AY1762" s="30" t="str">
        <f aca="false">IF(AND(AQ1762="利用可",AT1762="利用可",AW1762="利用可"),"利用可","不可")</f>
        <v>不可</v>
      </c>
    </row>
    <row r="1763" customFormat="false" ht="15" hidden="false" customHeight="false" outlineLevel="0" collapsed="false">
      <c r="A1763" s="29" t="n">
        <v>46305</v>
      </c>
      <c r="B1763" s="30" t="n">
        <v>8</v>
      </c>
      <c r="C1763" s="31" t="s">
        <v>63</v>
      </c>
      <c r="D1763" s="31" t="s">
        <v>64</v>
      </c>
      <c r="E1763" s="30" t="n">
        <v>60</v>
      </c>
      <c r="F1763" s="30" t="n">
        <v>24</v>
      </c>
      <c r="G1763" s="30" t="str">
        <f aca="false">IF(E1763&lt;判定条件!$C$6,"判定不能",IF(F1763&gt;=判定条件!$C$7*E1763,"運転",IF(F1763&lt;=判定条件!$C$8*E1763,"停止","断続")))</f>
        <v>断続</v>
      </c>
      <c r="H1763" s="30" t="n">
        <v>60</v>
      </c>
      <c r="I1763" s="30" t="n">
        <v>0</v>
      </c>
      <c r="J1763" s="30" t="str">
        <f aca="false">IF(H1763&lt;判定条件!$C$6,"判定不能",IF(I1763&gt;=判定条件!$C$7*H1763,"運転",IF(I1763&lt;=判定条件!$C$8*H1763,"停止","断続")))</f>
        <v>停止</v>
      </c>
      <c r="K1763" s="30" t="n">
        <v>60</v>
      </c>
      <c r="L1763" s="30" t="n">
        <v>0</v>
      </c>
      <c r="M1763" s="30" t="str">
        <f aca="false">IF(K1763&lt;判定条件!$C$6,"判定不能",IF(L1763&gt;=判定条件!$C$7*K1763,"運転",IF(L1763&lt;=判定条件!$C$8*K1763,"停止","断続")))</f>
        <v>停止</v>
      </c>
      <c r="N1763" s="30" t="n">
        <v>60</v>
      </c>
      <c r="O1763" s="30" t="n">
        <v>55</v>
      </c>
      <c r="P1763" s="30" t="str">
        <f aca="false">IF(N1763&lt;判定条件!$C$6,"判定不能",IF(O1763&gt;=判定条件!$C$7*N1763,"運転",IF(O1763&lt;=判定条件!$C$8*N1763,"停止","断続")))</f>
        <v>運転</v>
      </c>
      <c r="Q1763" s="30" t="n">
        <v>60</v>
      </c>
      <c r="R1763" s="30" t="n">
        <v>57</v>
      </c>
      <c r="S1763" s="30" t="str">
        <f aca="false">IF(Q1763&lt;判定条件!$C$6,"判定不能",IF(R1763&gt;=判定条件!$C$7*Q1763,"運転",IF(R1763&lt;=判定条件!$C$8*Q1763,"停止","断続")))</f>
        <v>運転</v>
      </c>
      <c r="T1763" s="30" t="n">
        <v>60</v>
      </c>
      <c r="U1763" s="30" t="n">
        <v>60</v>
      </c>
      <c r="V1763" s="30" t="str">
        <f aca="false">IF(T1763&lt;判定条件!$C$6,"判定不能",IF(U1763&gt;=判定条件!$C$7*T1763,"運転",IF(U1763&lt;=判定条件!$C$8*T1763,"停止","断続")))</f>
        <v>運転</v>
      </c>
      <c r="W1763" s="30" t="n">
        <v>60</v>
      </c>
      <c r="X1763" s="30" t="n">
        <v>60</v>
      </c>
      <c r="Y1763" s="30" t="str">
        <f aca="false">IF(W1763&lt;判定条件!$C$6,"判定不能",IF(X1763&gt;=判定条件!$C$7*W1763,"運転",IF(X1763&lt;=判定条件!$C$8*W1763,"停止","断続")))</f>
        <v>運転</v>
      </c>
      <c r="Z1763" s="30" t="n">
        <v>60</v>
      </c>
      <c r="AA1763" s="30" t="n">
        <v>60</v>
      </c>
      <c r="AB1763" s="30" t="str">
        <f aca="false">IF(Z1763&lt;判定条件!$C$6,"判定不能",IF(AA1763&gt;=判定条件!$C$7*Z1763,"運転",IF(AA1763&lt;=判定条件!$C$8*Z1763,"停止","断続")))</f>
        <v>運転</v>
      </c>
      <c r="AC1763" s="30" t="n">
        <v>60</v>
      </c>
      <c r="AD1763" s="30" t="n">
        <v>60</v>
      </c>
      <c r="AE1763" s="30" t="str">
        <f aca="false">IF(AC1763&lt;判定条件!$C$6,"判定不能",IF(AD1763&gt;=判定条件!$C$7*AC1763,"運転",IF(AD1763&lt;=判定条件!$C$8*AC1763,"停止","断続")))</f>
        <v>運転</v>
      </c>
      <c r="AF1763" s="30" t="n">
        <v>60</v>
      </c>
      <c r="AG1763" s="30" t="n">
        <v>24</v>
      </c>
      <c r="AH1763" s="30" t="str">
        <f aca="false">IF(OR(P1763="判定不能",G1763="判定不能"),"判定不能",IF(AG1763&gt;=判定条件!$C$9,"利用可",IF(AND(P1763="停止",G1763="停止"),"両方停止","運転がそろわない")))</f>
        <v>運転がそろわない</v>
      </c>
      <c r="AI1763" s="30" t="n">
        <v>60</v>
      </c>
      <c r="AJ1763" s="30" t="n">
        <v>0</v>
      </c>
      <c r="AK1763" s="30" t="str">
        <f aca="false">IF(OR(S1763="判定不能",J1763="判定不能"),"判定不能",IF(AJ1763&gt;=判定条件!$C$9,"利用可",IF(AND(S1763="停止",J1763="停止"),"両方停止","運転がそろわない")))</f>
        <v>運転がそろわない</v>
      </c>
      <c r="AL1763" s="30" t="n">
        <v>60</v>
      </c>
      <c r="AM1763" s="30" t="n">
        <v>0</v>
      </c>
      <c r="AN1763" s="30" t="str">
        <f aca="false">IF(OR(V1763="判定不能",M1763="判定不能"),"判定不能",IF(AM1763&gt;=判定条件!$C$9,"利用可",IF(AND(V1763="停止",M1763="停止"),"両方停止","運転がそろわない")))</f>
        <v>運転がそろわない</v>
      </c>
      <c r="AO1763" s="30" t="n">
        <v>60</v>
      </c>
      <c r="AP1763" s="30" t="n">
        <v>24</v>
      </c>
      <c r="AQ1763" s="30" t="str">
        <f aca="false">IF(OR(Y1763="判定不能",G1763="判定不能"),"判定不能",IF(AP1763&gt;=判定条件!$C$9,"利用可",IF(AND(Y1763="停止",G1763="停止"),"両方停止","運転がそろわない")))</f>
        <v>運転がそろわない</v>
      </c>
      <c r="AR1763" s="30" t="n">
        <v>60</v>
      </c>
      <c r="AS1763" s="30" t="n">
        <v>0</v>
      </c>
      <c r="AT1763" s="30" t="str">
        <f aca="false">IF(OR(AB1763="判定不能",J1763="判定不能"),"判定不能",IF(AS1763&gt;=判定条件!$C$9,"利用可",IF(AND(AB1763="停止",J1763="停止"),"両方停止","運転がそろわない")))</f>
        <v>運転がそろわない</v>
      </c>
      <c r="AU1763" s="30" t="n">
        <v>60</v>
      </c>
      <c r="AV1763" s="30" t="n">
        <v>0</v>
      </c>
      <c r="AW1763" s="30" t="str">
        <f aca="false">IF(OR(AE1763="判定不能",M1763="判定不能"),"判定不能",IF(AV1763&gt;=判定条件!$C$9,"利用可",IF(AND(AE1763="停止",M1763="停止"),"両方停止","運転がそろわない")))</f>
        <v>運転がそろわない</v>
      </c>
      <c r="AX1763" s="30" t="str">
        <f aca="false">IF(AND(AH1763="利用可",AK1763="利用可",AN1763="利用可"),"利用可","不可")</f>
        <v>不可</v>
      </c>
      <c r="AY1763" s="30" t="str">
        <f aca="false">IF(AND(AQ1763="利用可",AT1763="利用可",AW1763="利用可"),"利用可","不可")</f>
        <v>不可</v>
      </c>
    </row>
    <row r="1764" customFormat="false" ht="15" hidden="false" customHeight="false" outlineLevel="0" collapsed="false">
      <c r="A1764" s="29" t="n">
        <v>46305</v>
      </c>
      <c r="B1764" s="30" t="n">
        <v>9</v>
      </c>
      <c r="C1764" s="31" t="s">
        <v>63</v>
      </c>
      <c r="D1764" s="31" t="s">
        <v>64</v>
      </c>
      <c r="E1764" s="30" t="n">
        <v>60</v>
      </c>
      <c r="F1764" s="30" t="n">
        <v>53</v>
      </c>
      <c r="G1764" s="30" t="str">
        <f aca="false">IF(E1764&lt;判定条件!$C$6,"判定不能",IF(F1764&gt;=判定条件!$C$7*E1764,"運転",IF(F1764&lt;=判定条件!$C$8*E1764,"停止","断続")))</f>
        <v>運転</v>
      </c>
      <c r="H1764" s="30" t="n">
        <v>60</v>
      </c>
      <c r="I1764" s="30" t="n">
        <v>16</v>
      </c>
      <c r="J1764" s="30" t="str">
        <f aca="false">IF(H1764&lt;判定条件!$C$6,"判定不能",IF(I1764&gt;=判定条件!$C$7*H1764,"運転",IF(I1764&lt;=判定条件!$C$8*H1764,"停止","断続")))</f>
        <v>断続</v>
      </c>
      <c r="K1764" s="30" t="n">
        <v>60</v>
      </c>
      <c r="L1764" s="30" t="n">
        <v>50</v>
      </c>
      <c r="M1764" s="30" t="str">
        <f aca="false">IF(K1764&lt;判定条件!$C$6,"判定不能",IF(L1764&gt;=判定条件!$C$7*K1764,"運転",IF(L1764&lt;=判定条件!$C$8*K1764,"停止","断続")))</f>
        <v>運転</v>
      </c>
      <c r="N1764" s="30" t="n">
        <v>60</v>
      </c>
      <c r="O1764" s="30" t="n">
        <v>60</v>
      </c>
      <c r="P1764" s="30" t="str">
        <f aca="false">IF(N1764&lt;判定条件!$C$6,"判定不能",IF(O1764&gt;=判定条件!$C$7*N1764,"運転",IF(O1764&lt;=判定条件!$C$8*N1764,"停止","断続")))</f>
        <v>運転</v>
      </c>
      <c r="Q1764" s="30" t="n">
        <v>60</v>
      </c>
      <c r="R1764" s="30" t="n">
        <v>60</v>
      </c>
      <c r="S1764" s="30" t="str">
        <f aca="false">IF(Q1764&lt;判定条件!$C$6,"判定不能",IF(R1764&gt;=判定条件!$C$7*Q1764,"運転",IF(R1764&lt;=判定条件!$C$8*Q1764,"停止","断続")))</f>
        <v>運転</v>
      </c>
      <c r="T1764" s="30" t="n">
        <v>60</v>
      </c>
      <c r="U1764" s="30" t="n">
        <v>60</v>
      </c>
      <c r="V1764" s="30" t="str">
        <f aca="false">IF(T1764&lt;判定条件!$C$6,"判定不能",IF(U1764&gt;=判定条件!$C$7*T1764,"運転",IF(U1764&lt;=判定条件!$C$8*T1764,"停止","断続")))</f>
        <v>運転</v>
      </c>
      <c r="W1764" s="30" t="n">
        <v>60</v>
      </c>
      <c r="X1764" s="30" t="n">
        <v>60</v>
      </c>
      <c r="Y1764" s="30" t="str">
        <f aca="false">IF(W1764&lt;判定条件!$C$6,"判定不能",IF(X1764&gt;=判定条件!$C$7*W1764,"運転",IF(X1764&lt;=判定条件!$C$8*W1764,"停止","断続")))</f>
        <v>運転</v>
      </c>
      <c r="Z1764" s="30" t="n">
        <v>60</v>
      </c>
      <c r="AA1764" s="30" t="n">
        <v>60</v>
      </c>
      <c r="AB1764" s="30" t="str">
        <f aca="false">IF(Z1764&lt;判定条件!$C$6,"判定不能",IF(AA1764&gt;=判定条件!$C$7*Z1764,"運転",IF(AA1764&lt;=判定条件!$C$8*Z1764,"停止","断続")))</f>
        <v>運転</v>
      </c>
      <c r="AC1764" s="30" t="n">
        <v>60</v>
      </c>
      <c r="AD1764" s="30" t="n">
        <v>60</v>
      </c>
      <c r="AE1764" s="30" t="str">
        <f aca="false">IF(AC1764&lt;判定条件!$C$6,"判定不能",IF(AD1764&gt;=判定条件!$C$7*AC1764,"運転",IF(AD1764&lt;=判定条件!$C$8*AC1764,"停止","断続")))</f>
        <v>運転</v>
      </c>
      <c r="AF1764" s="30" t="n">
        <v>60</v>
      </c>
      <c r="AG1764" s="30" t="n">
        <v>53</v>
      </c>
      <c r="AH1764" s="30" t="str">
        <f aca="false">IF(OR(P1764="判定不能",G1764="判定不能"),"判定不能",IF(AG1764&gt;=判定条件!$C$9,"利用可",IF(AND(P1764="停止",G1764="停止"),"両方停止","運転がそろわない")))</f>
        <v>利用可</v>
      </c>
      <c r="AI1764" s="30" t="n">
        <v>60</v>
      </c>
      <c r="AJ1764" s="30" t="n">
        <v>16</v>
      </c>
      <c r="AK1764" s="30" t="str">
        <f aca="false">IF(OR(S1764="判定不能",J1764="判定不能"),"判定不能",IF(AJ1764&gt;=判定条件!$C$9,"利用可",IF(AND(S1764="停止",J1764="停止"),"両方停止","運転がそろわない")))</f>
        <v>運転がそろわない</v>
      </c>
      <c r="AL1764" s="30" t="n">
        <v>60</v>
      </c>
      <c r="AM1764" s="30" t="n">
        <v>50</v>
      </c>
      <c r="AN1764" s="30" t="str">
        <f aca="false">IF(OR(V1764="判定不能",M1764="判定不能"),"判定不能",IF(AM1764&gt;=判定条件!$C$9,"利用可",IF(AND(V1764="停止",M1764="停止"),"両方停止","運転がそろわない")))</f>
        <v>利用可</v>
      </c>
      <c r="AO1764" s="30" t="n">
        <v>60</v>
      </c>
      <c r="AP1764" s="30" t="n">
        <v>53</v>
      </c>
      <c r="AQ1764" s="30" t="str">
        <f aca="false">IF(OR(Y1764="判定不能",G1764="判定不能"),"判定不能",IF(AP1764&gt;=判定条件!$C$9,"利用可",IF(AND(Y1764="停止",G1764="停止"),"両方停止","運転がそろわない")))</f>
        <v>利用可</v>
      </c>
      <c r="AR1764" s="30" t="n">
        <v>60</v>
      </c>
      <c r="AS1764" s="30" t="n">
        <v>16</v>
      </c>
      <c r="AT1764" s="30" t="str">
        <f aca="false">IF(OR(AB1764="判定不能",J1764="判定不能"),"判定不能",IF(AS1764&gt;=判定条件!$C$9,"利用可",IF(AND(AB1764="停止",J1764="停止"),"両方停止","運転がそろわない")))</f>
        <v>運転がそろわない</v>
      </c>
      <c r="AU1764" s="30" t="n">
        <v>60</v>
      </c>
      <c r="AV1764" s="30" t="n">
        <v>50</v>
      </c>
      <c r="AW1764" s="30" t="str">
        <f aca="false">IF(OR(AE1764="判定不能",M1764="判定不能"),"判定不能",IF(AV1764&gt;=判定条件!$C$9,"利用可",IF(AND(AE1764="停止",M1764="停止"),"両方停止","運転がそろわない")))</f>
        <v>利用可</v>
      </c>
      <c r="AX1764" s="30" t="str">
        <f aca="false">IF(AND(AH1764="利用可",AK1764="利用可",AN1764="利用可"),"利用可","不可")</f>
        <v>不可</v>
      </c>
      <c r="AY1764" s="30" t="str">
        <f aca="false">IF(AND(AQ1764="利用可",AT1764="利用可",AW1764="利用可"),"利用可","不可")</f>
        <v>不可</v>
      </c>
    </row>
    <row r="1765" customFormat="false" ht="15" hidden="false" customHeight="false" outlineLevel="0" collapsed="false">
      <c r="A1765" s="29" t="n">
        <v>46305</v>
      </c>
      <c r="B1765" s="30" t="n">
        <v>10</v>
      </c>
      <c r="C1765" s="31" t="s">
        <v>63</v>
      </c>
      <c r="D1765" s="31" t="s">
        <v>64</v>
      </c>
      <c r="E1765" s="30" t="n">
        <v>60</v>
      </c>
      <c r="F1765" s="30" t="n">
        <v>22</v>
      </c>
      <c r="G1765" s="30" t="str">
        <f aca="false">IF(E1765&lt;判定条件!$C$6,"判定不能",IF(F1765&gt;=判定条件!$C$7*E1765,"運転",IF(F1765&lt;=判定条件!$C$8*E1765,"停止","断続")))</f>
        <v>断続</v>
      </c>
      <c r="H1765" s="30" t="n">
        <v>60</v>
      </c>
      <c r="I1765" s="30" t="n">
        <v>37</v>
      </c>
      <c r="J1765" s="30" t="str">
        <f aca="false">IF(H1765&lt;判定条件!$C$6,"判定不能",IF(I1765&gt;=判定条件!$C$7*H1765,"運転",IF(I1765&lt;=判定条件!$C$8*H1765,"停止","断続")))</f>
        <v>断続</v>
      </c>
      <c r="K1765" s="30" t="n">
        <v>60</v>
      </c>
      <c r="L1765" s="30" t="n">
        <v>60</v>
      </c>
      <c r="M1765" s="30" t="str">
        <f aca="false">IF(K1765&lt;判定条件!$C$6,"判定不能",IF(L1765&gt;=判定条件!$C$7*K1765,"運転",IF(L1765&lt;=判定条件!$C$8*K1765,"停止","断続")))</f>
        <v>運転</v>
      </c>
      <c r="N1765" s="30" t="n">
        <v>60</v>
      </c>
      <c r="O1765" s="30" t="n">
        <v>59</v>
      </c>
      <c r="P1765" s="30" t="str">
        <f aca="false">IF(N1765&lt;判定条件!$C$6,"判定不能",IF(O1765&gt;=判定条件!$C$7*N1765,"運転",IF(O1765&lt;=判定条件!$C$8*N1765,"停止","断続")))</f>
        <v>運転</v>
      </c>
      <c r="Q1765" s="30" t="n">
        <v>60</v>
      </c>
      <c r="R1765" s="30" t="n">
        <v>60</v>
      </c>
      <c r="S1765" s="30" t="str">
        <f aca="false">IF(Q1765&lt;判定条件!$C$6,"判定不能",IF(R1765&gt;=判定条件!$C$7*Q1765,"運転",IF(R1765&lt;=判定条件!$C$8*Q1765,"停止","断続")))</f>
        <v>運転</v>
      </c>
      <c r="T1765" s="30" t="n">
        <v>60</v>
      </c>
      <c r="U1765" s="30" t="n">
        <v>60</v>
      </c>
      <c r="V1765" s="30" t="str">
        <f aca="false">IF(T1765&lt;判定条件!$C$6,"判定不能",IF(U1765&gt;=判定条件!$C$7*T1765,"運転",IF(U1765&lt;=判定条件!$C$8*T1765,"停止","断続")))</f>
        <v>運転</v>
      </c>
      <c r="W1765" s="30" t="n">
        <v>60</v>
      </c>
      <c r="X1765" s="30" t="n">
        <v>60</v>
      </c>
      <c r="Y1765" s="30" t="str">
        <f aca="false">IF(W1765&lt;判定条件!$C$6,"判定不能",IF(X1765&gt;=判定条件!$C$7*W1765,"運転",IF(X1765&lt;=判定条件!$C$8*W1765,"停止","断続")))</f>
        <v>運転</v>
      </c>
      <c r="Z1765" s="30" t="n">
        <v>60</v>
      </c>
      <c r="AA1765" s="30" t="n">
        <v>60</v>
      </c>
      <c r="AB1765" s="30" t="str">
        <f aca="false">IF(Z1765&lt;判定条件!$C$6,"判定不能",IF(AA1765&gt;=判定条件!$C$7*Z1765,"運転",IF(AA1765&lt;=判定条件!$C$8*Z1765,"停止","断続")))</f>
        <v>運転</v>
      </c>
      <c r="AC1765" s="30" t="n">
        <v>60</v>
      </c>
      <c r="AD1765" s="30" t="n">
        <v>60</v>
      </c>
      <c r="AE1765" s="30" t="str">
        <f aca="false">IF(AC1765&lt;判定条件!$C$6,"判定不能",IF(AD1765&gt;=判定条件!$C$7*AC1765,"運転",IF(AD1765&lt;=判定条件!$C$8*AC1765,"停止","断続")))</f>
        <v>運転</v>
      </c>
      <c r="AF1765" s="30" t="n">
        <v>60</v>
      </c>
      <c r="AG1765" s="30" t="n">
        <v>22</v>
      </c>
      <c r="AH1765" s="30" t="str">
        <f aca="false">IF(OR(P1765="判定不能",G1765="判定不能"),"判定不能",IF(AG1765&gt;=判定条件!$C$9,"利用可",IF(AND(P1765="停止",G1765="停止"),"両方停止","運転がそろわない")))</f>
        <v>運転がそろわない</v>
      </c>
      <c r="AI1765" s="30" t="n">
        <v>60</v>
      </c>
      <c r="AJ1765" s="30" t="n">
        <v>37</v>
      </c>
      <c r="AK1765" s="30" t="str">
        <f aca="false">IF(OR(S1765="判定不能",J1765="判定不能"),"判定不能",IF(AJ1765&gt;=判定条件!$C$9,"利用可",IF(AND(S1765="停止",J1765="停止"),"両方停止","運転がそろわない")))</f>
        <v>利用可</v>
      </c>
      <c r="AL1765" s="30" t="n">
        <v>60</v>
      </c>
      <c r="AM1765" s="30" t="n">
        <v>60</v>
      </c>
      <c r="AN1765" s="30" t="str">
        <f aca="false">IF(OR(V1765="判定不能",M1765="判定不能"),"判定不能",IF(AM1765&gt;=判定条件!$C$9,"利用可",IF(AND(V1765="停止",M1765="停止"),"両方停止","運転がそろわない")))</f>
        <v>利用可</v>
      </c>
      <c r="AO1765" s="30" t="n">
        <v>60</v>
      </c>
      <c r="AP1765" s="30" t="n">
        <v>22</v>
      </c>
      <c r="AQ1765" s="30" t="str">
        <f aca="false">IF(OR(Y1765="判定不能",G1765="判定不能"),"判定不能",IF(AP1765&gt;=判定条件!$C$9,"利用可",IF(AND(Y1765="停止",G1765="停止"),"両方停止","運転がそろわない")))</f>
        <v>運転がそろわない</v>
      </c>
      <c r="AR1765" s="30" t="n">
        <v>60</v>
      </c>
      <c r="AS1765" s="30" t="n">
        <v>37</v>
      </c>
      <c r="AT1765" s="30" t="str">
        <f aca="false">IF(OR(AB1765="判定不能",J1765="判定不能"),"判定不能",IF(AS1765&gt;=判定条件!$C$9,"利用可",IF(AND(AB1765="停止",J1765="停止"),"両方停止","運転がそろわない")))</f>
        <v>利用可</v>
      </c>
      <c r="AU1765" s="30" t="n">
        <v>60</v>
      </c>
      <c r="AV1765" s="30" t="n">
        <v>60</v>
      </c>
      <c r="AW1765" s="30" t="str">
        <f aca="false">IF(OR(AE1765="判定不能",M1765="判定不能"),"判定不能",IF(AV1765&gt;=判定条件!$C$9,"利用可",IF(AND(AE1765="停止",M1765="停止"),"両方停止","運転がそろわない")))</f>
        <v>利用可</v>
      </c>
      <c r="AX1765" s="30" t="str">
        <f aca="false">IF(AND(AH1765="利用可",AK1765="利用可",AN1765="利用可"),"利用可","不可")</f>
        <v>不可</v>
      </c>
      <c r="AY1765" s="30" t="str">
        <f aca="false">IF(AND(AQ1765="利用可",AT1765="利用可",AW1765="利用可"),"利用可","不可")</f>
        <v>不可</v>
      </c>
    </row>
    <row r="1766" customFormat="false" ht="15" hidden="false" customHeight="false" outlineLevel="0" collapsed="false">
      <c r="A1766" s="29" t="n">
        <v>46305</v>
      </c>
      <c r="B1766" s="30" t="n">
        <v>11</v>
      </c>
      <c r="C1766" s="31" t="s">
        <v>63</v>
      </c>
      <c r="D1766" s="31" t="s">
        <v>64</v>
      </c>
      <c r="E1766" s="30" t="n">
        <v>60</v>
      </c>
      <c r="F1766" s="30" t="n">
        <v>49</v>
      </c>
      <c r="G1766" s="30" t="str">
        <f aca="false">IF(E1766&lt;判定条件!$C$6,"判定不能",IF(F1766&gt;=判定条件!$C$7*E1766,"運転",IF(F1766&lt;=判定条件!$C$8*E1766,"停止","断続")))</f>
        <v>運転</v>
      </c>
      <c r="H1766" s="30" t="n">
        <v>60</v>
      </c>
      <c r="I1766" s="30" t="n">
        <v>56</v>
      </c>
      <c r="J1766" s="30" t="str">
        <f aca="false">IF(H1766&lt;判定条件!$C$6,"判定不能",IF(I1766&gt;=判定条件!$C$7*H1766,"運転",IF(I1766&lt;=判定条件!$C$8*H1766,"停止","断続")))</f>
        <v>運転</v>
      </c>
      <c r="K1766" s="30" t="n">
        <v>60</v>
      </c>
      <c r="L1766" s="30" t="n">
        <v>60</v>
      </c>
      <c r="M1766" s="30" t="str">
        <f aca="false">IF(K1766&lt;判定条件!$C$6,"判定不能",IF(L1766&gt;=判定条件!$C$7*K1766,"運転",IF(L1766&lt;=判定条件!$C$8*K1766,"停止","断続")))</f>
        <v>運転</v>
      </c>
      <c r="N1766" s="30" t="n">
        <v>60</v>
      </c>
      <c r="O1766" s="30" t="n">
        <v>57</v>
      </c>
      <c r="P1766" s="30" t="str">
        <f aca="false">IF(N1766&lt;判定条件!$C$6,"判定不能",IF(O1766&gt;=判定条件!$C$7*N1766,"運転",IF(O1766&lt;=判定条件!$C$8*N1766,"停止","断続")))</f>
        <v>運転</v>
      </c>
      <c r="Q1766" s="30" t="n">
        <v>60</v>
      </c>
      <c r="R1766" s="30" t="n">
        <v>60</v>
      </c>
      <c r="S1766" s="30" t="str">
        <f aca="false">IF(Q1766&lt;判定条件!$C$6,"判定不能",IF(R1766&gt;=判定条件!$C$7*Q1766,"運転",IF(R1766&lt;=判定条件!$C$8*Q1766,"停止","断続")))</f>
        <v>運転</v>
      </c>
      <c r="T1766" s="30" t="n">
        <v>60</v>
      </c>
      <c r="U1766" s="30" t="n">
        <v>58</v>
      </c>
      <c r="V1766" s="30" t="str">
        <f aca="false">IF(T1766&lt;判定条件!$C$6,"判定不能",IF(U1766&gt;=判定条件!$C$7*T1766,"運転",IF(U1766&lt;=判定条件!$C$8*T1766,"停止","断続")))</f>
        <v>運転</v>
      </c>
      <c r="W1766" s="30" t="n">
        <v>60</v>
      </c>
      <c r="X1766" s="30" t="n">
        <v>60</v>
      </c>
      <c r="Y1766" s="30" t="str">
        <f aca="false">IF(W1766&lt;判定条件!$C$6,"判定不能",IF(X1766&gt;=判定条件!$C$7*W1766,"運転",IF(X1766&lt;=判定条件!$C$8*W1766,"停止","断続")))</f>
        <v>運転</v>
      </c>
      <c r="Z1766" s="30" t="n">
        <v>60</v>
      </c>
      <c r="AA1766" s="30" t="n">
        <v>60</v>
      </c>
      <c r="AB1766" s="30" t="str">
        <f aca="false">IF(Z1766&lt;判定条件!$C$6,"判定不能",IF(AA1766&gt;=判定条件!$C$7*Z1766,"運転",IF(AA1766&lt;=判定条件!$C$8*Z1766,"停止","断続")))</f>
        <v>運転</v>
      </c>
      <c r="AC1766" s="30" t="n">
        <v>60</v>
      </c>
      <c r="AD1766" s="30" t="n">
        <v>60</v>
      </c>
      <c r="AE1766" s="30" t="str">
        <f aca="false">IF(AC1766&lt;判定条件!$C$6,"判定不能",IF(AD1766&gt;=判定条件!$C$7*AC1766,"運転",IF(AD1766&lt;=判定条件!$C$8*AC1766,"停止","断続")))</f>
        <v>運転</v>
      </c>
      <c r="AF1766" s="30" t="n">
        <v>60</v>
      </c>
      <c r="AG1766" s="30" t="n">
        <v>49</v>
      </c>
      <c r="AH1766" s="30" t="str">
        <f aca="false">IF(OR(P1766="判定不能",G1766="判定不能"),"判定不能",IF(AG1766&gt;=判定条件!$C$9,"利用可",IF(AND(P1766="停止",G1766="停止"),"両方停止","運転がそろわない")))</f>
        <v>利用可</v>
      </c>
      <c r="AI1766" s="30" t="n">
        <v>60</v>
      </c>
      <c r="AJ1766" s="30" t="n">
        <v>56</v>
      </c>
      <c r="AK1766" s="30" t="str">
        <f aca="false">IF(OR(S1766="判定不能",J1766="判定不能"),"判定不能",IF(AJ1766&gt;=判定条件!$C$9,"利用可",IF(AND(S1766="停止",J1766="停止"),"両方停止","運転がそろわない")))</f>
        <v>利用可</v>
      </c>
      <c r="AL1766" s="30" t="n">
        <v>60</v>
      </c>
      <c r="AM1766" s="30" t="n">
        <v>58</v>
      </c>
      <c r="AN1766" s="30" t="str">
        <f aca="false">IF(OR(V1766="判定不能",M1766="判定不能"),"判定不能",IF(AM1766&gt;=判定条件!$C$9,"利用可",IF(AND(V1766="停止",M1766="停止"),"両方停止","運転がそろわない")))</f>
        <v>利用可</v>
      </c>
      <c r="AO1766" s="30" t="n">
        <v>60</v>
      </c>
      <c r="AP1766" s="30" t="n">
        <v>49</v>
      </c>
      <c r="AQ1766" s="30" t="str">
        <f aca="false">IF(OR(Y1766="判定不能",G1766="判定不能"),"判定不能",IF(AP1766&gt;=判定条件!$C$9,"利用可",IF(AND(Y1766="停止",G1766="停止"),"両方停止","運転がそろわない")))</f>
        <v>利用可</v>
      </c>
      <c r="AR1766" s="30" t="n">
        <v>60</v>
      </c>
      <c r="AS1766" s="30" t="n">
        <v>56</v>
      </c>
      <c r="AT1766" s="30" t="str">
        <f aca="false">IF(OR(AB1766="判定不能",J1766="判定不能"),"判定不能",IF(AS1766&gt;=判定条件!$C$9,"利用可",IF(AND(AB1766="停止",J1766="停止"),"両方停止","運転がそろわない")))</f>
        <v>利用可</v>
      </c>
      <c r="AU1766" s="30" t="n">
        <v>60</v>
      </c>
      <c r="AV1766" s="30" t="n">
        <v>60</v>
      </c>
      <c r="AW1766" s="30" t="str">
        <f aca="false">IF(OR(AE1766="判定不能",M1766="判定不能"),"判定不能",IF(AV1766&gt;=判定条件!$C$9,"利用可",IF(AND(AE1766="停止",M1766="停止"),"両方停止","運転がそろわない")))</f>
        <v>利用可</v>
      </c>
      <c r="AX1766" s="30" t="str">
        <f aca="false">IF(AND(AH1766="利用可",AK1766="利用可",AN1766="利用可"),"利用可","不可")</f>
        <v>利用可</v>
      </c>
      <c r="AY1766" s="30" t="str">
        <f aca="false">IF(AND(AQ1766="利用可",AT1766="利用可",AW1766="利用可"),"利用可","不可")</f>
        <v>利用可</v>
      </c>
    </row>
    <row r="1767" customFormat="false" ht="15" hidden="false" customHeight="false" outlineLevel="0" collapsed="false">
      <c r="A1767" s="29" t="n">
        <v>46305</v>
      </c>
      <c r="B1767" s="30" t="n">
        <v>12</v>
      </c>
      <c r="C1767" s="31" t="s">
        <v>63</v>
      </c>
      <c r="D1767" s="31" t="s">
        <v>64</v>
      </c>
      <c r="E1767" s="30" t="n">
        <v>60</v>
      </c>
      <c r="F1767" s="30" t="n">
        <v>60</v>
      </c>
      <c r="G1767" s="30" t="str">
        <f aca="false">IF(E1767&lt;判定条件!$C$6,"判定不能",IF(F1767&gt;=判定条件!$C$7*E1767,"運転",IF(F1767&lt;=判定条件!$C$8*E1767,"停止","断続")))</f>
        <v>運転</v>
      </c>
      <c r="H1767" s="30" t="n">
        <v>60</v>
      </c>
      <c r="I1767" s="30" t="n">
        <v>48</v>
      </c>
      <c r="J1767" s="30" t="str">
        <f aca="false">IF(H1767&lt;判定条件!$C$6,"判定不能",IF(I1767&gt;=判定条件!$C$7*H1767,"運転",IF(I1767&lt;=判定条件!$C$8*H1767,"停止","断続")))</f>
        <v>運転</v>
      </c>
      <c r="K1767" s="30" t="n">
        <v>60</v>
      </c>
      <c r="L1767" s="30" t="n">
        <v>60</v>
      </c>
      <c r="M1767" s="30" t="str">
        <f aca="false">IF(K1767&lt;判定条件!$C$6,"判定不能",IF(L1767&gt;=判定条件!$C$7*K1767,"運転",IF(L1767&lt;=判定条件!$C$8*K1767,"停止","断続")))</f>
        <v>運転</v>
      </c>
      <c r="N1767" s="30" t="n">
        <v>60</v>
      </c>
      <c r="O1767" s="30" t="n">
        <v>60</v>
      </c>
      <c r="P1767" s="30" t="str">
        <f aca="false">IF(N1767&lt;判定条件!$C$6,"判定不能",IF(O1767&gt;=判定条件!$C$7*N1767,"運転",IF(O1767&lt;=判定条件!$C$8*N1767,"停止","断続")))</f>
        <v>運転</v>
      </c>
      <c r="Q1767" s="30" t="n">
        <v>60</v>
      </c>
      <c r="R1767" s="30" t="n">
        <v>50</v>
      </c>
      <c r="S1767" s="30" t="str">
        <f aca="false">IF(Q1767&lt;判定条件!$C$6,"判定不能",IF(R1767&gt;=判定条件!$C$7*Q1767,"運転",IF(R1767&lt;=判定条件!$C$8*Q1767,"停止","断続")))</f>
        <v>運転</v>
      </c>
      <c r="T1767" s="30" t="n">
        <v>60</v>
      </c>
      <c r="U1767" s="30" t="n">
        <v>24</v>
      </c>
      <c r="V1767" s="30" t="str">
        <f aca="false">IF(T1767&lt;判定条件!$C$6,"判定不能",IF(U1767&gt;=判定条件!$C$7*T1767,"運転",IF(U1767&lt;=判定条件!$C$8*T1767,"停止","断続")))</f>
        <v>断続</v>
      </c>
      <c r="W1767" s="30" t="n">
        <v>60</v>
      </c>
      <c r="X1767" s="30" t="n">
        <v>60</v>
      </c>
      <c r="Y1767" s="30" t="str">
        <f aca="false">IF(W1767&lt;判定条件!$C$6,"判定不能",IF(X1767&gt;=判定条件!$C$7*W1767,"運転",IF(X1767&lt;=判定条件!$C$8*W1767,"停止","断続")))</f>
        <v>運転</v>
      </c>
      <c r="Z1767" s="30" t="n">
        <v>60</v>
      </c>
      <c r="AA1767" s="30" t="n">
        <v>60</v>
      </c>
      <c r="AB1767" s="30" t="str">
        <f aca="false">IF(Z1767&lt;判定条件!$C$6,"判定不能",IF(AA1767&gt;=判定条件!$C$7*Z1767,"運転",IF(AA1767&lt;=判定条件!$C$8*Z1767,"停止","断続")))</f>
        <v>運転</v>
      </c>
      <c r="AC1767" s="30" t="n">
        <v>60</v>
      </c>
      <c r="AD1767" s="30" t="n">
        <v>60</v>
      </c>
      <c r="AE1767" s="30" t="str">
        <f aca="false">IF(AC1767&lt;判定条件!$C$6,"判定不能",IF(AD1767&gt;=判定条件!$C$7*AC1767,"運転",IF(AD1767&lt;=判定条件!$C$8*AC1767,"停止","断続")))</f>
        <v>運転</v>
      </c>
      <c r="AF1767" s="30" t="n">
        <v>60</v>
      </c>
      <c r="AG1767" s="30" t="n">
        <v>60</v>
      </c>
      <c r="AH1767" s="30" t="str">
        <f aca="false">IF(OR(P1767="判定不能",G1767="判定不能"),"判定不能",IF(AG1767&gt;=判定条件!$C$9,"利用可",IF(AND(P1767="停止",G1767="停止"),"両方停止","運転がそろわない")))</f>
        <v>利用可</v>
      </c>
      <c r="AI1767" s="30" t="n">
        <v>60</v>
      </c>
      <c r="AJ1767" s="30" t="n">
        <v>43</v>
      </c>
      <c r="AK1767" s="30" t="str">
        <f aca="false">IF(OR(S1767="判定不能",J1767="判定不能"),"判定不能",IF(AJ1767&gt;=判定条件!$C$9,"利用可",IF(AND(S1767="停止",J1767="停止"),"両方停止","運転がそろわない")))</f>
        <v>利用可</v>
      </c>
      <c r="AL1767" s="30" t="n">
        <v>60</v>
      </c>
      <c r="AM1767" s="30" t="n">
        <v>24</v>
      </c>
      <c r="AN1767" s="30" t="str">
        <f aca="false">IF(OR(V1767="判定不能",M1767="判定不能"),"判定不能",IF(AM1767&gt;=判定条件!$C$9,"利用可",IF(AND(V1767="停止",M1767="停止"),"両方停止","運転がそろわない")))</f>
        <v>運転がそろわない</v>
      </c>
      <c r="AO1767" s="30" t="n">
        <v>60</v>
      </c>
      <c r="AP1767" s="30" t="n">
        <v>60</v>
      </c>
      <c r="AQ1767" s="30" t="str">
        <f aca="false">IF(OR(Y1767="判定不能",G1767="判定不能"),"判定不能",IF(AP1767&gt;=判定条件!$C$9,"利用可",IF(AND(Y1767="停止",G1767="停止"),"両方停止","運転がそろわない")))</f>
        <v>利用可</v>
      </c>
      <c r="AR1767" s="30" t="n">
        <v>60</v>
      </c>
      <c r="AS1767" s="30" t="n">
        <v>48</v>
      </c>
      <c r="AT1767" s="30" t="str">
        <f aca="false">IF(OR(AB1767="判定不能",J1767="判定不能"),"判定不能",IF(AS1767&gt;=判定条件!$C$9,"利用可",IF(AND(AB1767="停止",J1767="停止"),"両方停止","運転がそろわない")))</f>
        <v>利用可</v>
      </c>
      <c r="AU1767" s="30" t="n">
        <v>60</v>
      </c>
      <c r="AV1767" s="30" t="n">
        <v>60</v>
      </c>
      <c r="AW1767" s="30" t="str">
        <f aca="false">IF(OR(AE1767="判定不能",M1767="判定不能"),"判定不能",IF(AV1767&gt;=判定条件!$C$9,"利用可",IF(AND(AE1767="停止",M1767="停止"),"両方停止","運転がそろわない")))</f>
        <v>利用可</v>
      </c>
      <c r="AX1767" s="30" t="str">
        <f aca="false">IF(AND(AH1767="利用可",AK1767="利用可",AN1767="利用可"),"利用可","不可")</f>
        <v>不可</v>
      </c>
      <c r="AY1767" s="30" t="str">
        <f aca="false">IF(AND(AQ1767="利用可",AT1767="利用可",AW1767="利用可"),"利用可","不可")</f>
        <v>利用可</v>
      </c>
    </row>
    <row r="1768" customFormat="false" ht="15" hidden="false" customHeight="false" outlineLevel="0" collapsed="false">
      <c r="A1768" s="29" t="n">
        <v>46305</v>
      </c>
      <c r="B1768" s="30" t="n">
        <v>13</v>
      </c>
      <c r="C1768" s="31" t="s">
        <v>63</v>
      </c>
      <c r="D1768" s="31" t="s">
        <v>64</v>
      </c>
      <c r="E1768" s="30" t="n">
        <v>60</v>
      </c>
      <c r="F1768" s="30" t="n">
        <v>60</v>
      </c>
      <c r="G1768" s="30" t="str">
        <f aca="false">IF(E1768&lt;判定条件!$C$6,"判定不能",IF(F1768&gt;=判定条件!$C$7*E1768,"運転",IF(F1768&lt;=判定条件!$C$8*E1768,"停止","断続")))</f>
        <v>運転</v>
      </c>
      <c r="H1768" s="30" t="n">
        <v>60</v>
      </c>
      <c r="I1768" s="30" t="n">
        <v>60</v>
      </c>
      <c r="J1768" s="30" t="str">
        <f aca="false">IF(H1768&lt;判定条件!$C$6,"判定不能",IF(I1768&gt;=判定条件!$C$7*H1768,"運転",IF(I1768&lt;=判定条件!$C$8*H1768,"停止","断続")))</f>
        <v>運転</v>
      </c>
      <c r="K1768" s="30" t="n">
        <v>60</v>
      </c>
      <c r="L1768" s="30" t="n">
        <v>51</v>
      </c>
      <c r="M1768" s="30" t="str">
        <f aca="false">IF(K1768&lt;判定条件!$C$6,"判定不能",IF(L1768&gt;=判定条件!$C$7*K1768,"運転",IF(L1768&lt;=判定条件!$C$8*K1768,"停止","断続")))</f>
        <v>運転</v>
      </c>
      <c r="N1768" s="30" t="n">
        <v>60</v>
      </c>
      <c r="O1768" s="30" t="n">
        <v>60</v>
      </c>
      <c r="P1768" s="30" t="str">
        <f aca="false">IF(N1768&lt;判定条件!$C$6,"判定不能",IF(O1768&gt;=判定条件!$C$7*N1768,"運転",IF(O1768&lt;=判定条件!$C$8*N1768,"停止","断続")))</f>
        <v>運転</v>
      </c>
      <c r="Q1768" s="30" t="n">
        <v>60</v>
      </c>
      <c r="R1768" s="30" t="n">
        <v>60</v>
      </c>
      <c r="S1768" s="30" t="str">
        <f aca="false">IF(Q1768&lt;判定条件!$C$6,"判定不能",IF(R1768&gt;=判定条件!$C$7*Q1768,"運転",IF(R1768&lt;=判定条件!$C$8*Q1768,"停止","断続")))</f>
        <v>運転</v>
      </c>
      <c r="T1768" s="30" t="n">
        <v>60</v>
      </c>
      <c r="U1768" s="30" t="n">
        <v>60</v>
      </c>
      <c r="V1768" s="30" t="str">
        <f aca="false">IF(T1768&lt;判定条件!$C$6,"判定不能",IF(U1768&gt;=判定条件!$C$7*T1768,"運転",IF(U1768&lt;=判定条件!$C$8*T1768,"停止","断続")))</f>
        <v>運転</v>
      </c>
      <c r="W1768" s="30" t="n">
        <v>60</v>
      </c>
      <c r="X1768" s="30" t="n">
        <v>60</v>
      </c>
      <c r="Y1768" s="30" t="str">
        <f aca="false">IF(W1768&lt;判定条件!$C$6,"判定不能",IF(X1768&gt;=判定条件!$C$7*W1768,"運転",IF(X1768&lt;=判定条件!$C$8*W1768,"停止","断続")))</f>
        <v>運転</v>
      </c>
      <c r="Z1768" s="30" t="n">
        <v>60</v>
      </c>
      <c r="AA1768" s="30" t="n">
        <v>60</v>
      </c>
      <c r="AB1768" s="30" t="str">
        <f aca="false">IF(Z1768&lt;判定条件!$C$6,"判定不能",IF(AA1768&gt;=判定条件!$C$7*Z1768,"運転",IF(AA1768&lt;=判定条件!$C$8*Z1768,"停止","断続")))</f>
        <v>運転</v>
      </c>
      <c r="AC1768" s="30" t="n">
        <v>60</v>
      </c>
      <c r="AD1768" s="30" t="n">
        <v>46</v>
      </c>
      <c r="AE1768" s="30" t="str">
        <f aca="false">IF(AC1768&lt;判定条件!$C$6,"判定不能",IF(AD1768&gt;=判定条件!$C$7*AC1768,"運転",IF(AD1768&lt;=判定条件!$C$8*AC1768,"停止","断続")))</f>
        <v>断続</v>
      </c>
      <c r="AF1768" s="30" t="n">
        <v>60</v>
      </c>
      <c r="AG1768" s="30" t="n">
        <v>60</v>
      </c>
      <c r="AH1768" s="30" t="str">
        <f aca="false">IF(OR(P1768="判定不能",G1768="判定不能"),"判定不能",IF(AG1768&gt;=判定条件!$C$9,"利用可",IF(AND(P1768="停止",G1768="停止"),"両方停止","運転がそろわない")))</f>
        <v>利用可</v>
      </c>
      <c r="AI1768" s="30" t="n">
        <v>60</v>
      </c>
      <c r="AJ1768" s="30" t="n">
        <v>60</v>
      </c>
      <c r="AK1768" s="30" t="str">
        <f aca="false">IF(OR(S1768="判定不能",J1768="判定不能"),"判定不能",IF(AJ1768&gt;=判定条件!$C$9,"利用可",IF(AND(S1768="停止",J1768="停止"),"両方停止","運転がそろわない")))</f>
        <v>利用可</v>
      </c>
      <c r="AL1768" s="30" t="n">
        <v>60</v>
      </c>
      <c r="AM1768" s="30" t="n">
        <v>51</v>
      </c>
      <c r="AN1768" s="30" t="str">
        <f aca="false">IF(OR(V1768="判定不能",M1768="判定不能"),"判定不能",IF(AM1768&gt;=判定条件!$C$9,"利用可",IF(AND(V1768="停止",M1768="停止"),"両方停止","運転がそろわない")))</f>
        <v>利用可</v>
      </c>
      <c r="AO1768" s="30" t="n">
        <v>60</v>
      </c>
      <c r="AP1768" s="30" t="n">
        <v>60</v>
      </c>
      <c r="AQ1768" s="30" t="str">
        <f aca="false">IF(OR(Y1768="判定不能",G1768="判定不能"),"判定不能",IF(AP1768&gt;=判定条件!$C$9,"利用可",IF(AND(Y1768="停止",G1768="停止"),"両方停止","運転がそろわない")))</f>
        <v>利用可</v>
      </c>
      <c r="AR1768" s="30" t="n">
        <v>60</v>
      </c>
      <c r="AS1768" s="30" t="n">
        <v>60</v>
      </c>
      <c r="AT1768" s="30" t="str">
        <f aca="false">IF(OR(AB1768="判定不能",J1768="判定不能"),"判定不能",IF(AS1768&gt;=判定条件!$C$9,"利用可",IF(AND(AB1768="停止",J1768="停止"),"両方停止","運転がそろわない")))</f>
        <v>利用可</v>
      </c>
      <c r="AU1768" s="30" t="n">
        <v>60</v>
      </c>
      <c r="AV1768" s="30" t="n">
        <v>37</v>
      </c>
      <c r="AW1768" s="30" t="str">
        <f aca="false">IF(OR(AE1768="判定不能",M1768="判定不能"),"判定不能",IF(AV1768&gt;=判定条件!$C$9,"利用可",IF(AND(AE1768="停止",M1768="停止"),"両方停止","運転がそろわない")))</f>
        <v>利用可</v>
      </c>
      <c r="AX1768" s="30" t="str">
        <f aca="false">IF(AND(AH1768="利用可",AK1768="利用可",AN1768="利用可"),"利用可","不可")</f>
        <v>利用可</v>
      </c>
      <c r="AY1768" s="30" t="str">
        <f aca="false">IF(AND(AQ1768="利用可",AT1768="利用可",AW1768="利用可"),"利用可","不可")</f>
        <v>利用可</v>
      </c>
    </row>
    <row r="1769" customFormat="false" ht="15" hidden="false" customHeight="false" outlineLevel="0" collapsed="false">
      <c r="A1769" s="29" t="n">
        <v>46305</v>
      </c>
      <c r="B1769" s="30" t="n">
        <v>14</v>
      </c>
      <c r="C1769" s="31" t="s">
        <v>63</v>
      </c>
      <c r="D1769" s="31" t="s">
        <v>64</v>
      </c>
      <c r="E1769" s="30" t="n">
        <v>60</v>
      </c>
      <c r="F1769" s="30" t="n">
        <v>49</v>
      </c>
      <c r="G1769" s="30" t="str">
        <f aca="false">IF(E1769&lt;判定条件!$C$6,"判定不能",IF(F1769&gt;=判定条件!$C$7*E1769,"運転",IF(F1769&lt;=判定条件!$C$8*E1769,"停止","断続")))</f>
        <v>運転</v>
      </c>
      <c r="H1769" s="30" t="n">
        <v>60</v>
      </c>
      <c r="I1769" s="30" t="n">
        <v>60</v>
      </c>
      <c r="J1769" s="30" t="str">
        <f aca="false">IF(H1769&lt;判定条件!$C$6,"判定不能",IF(I1769&gt;=判定条件!$C$7*H1769,"運転",IF(I1769&lt;=判定条件!$C$8*H1769,"停止","断続")))</f>
        <v>運転</v>
      </c>
      <c r="K1769" s="30" t="n">
        <v>60</v>
      </c>
      <c r="L1769" s="30" t="n">
        <v>60</v>
      </c>
      <c r="M1769" s="30" t="str">
        <f aca="false">IF(K1769&lt;判定条件!$C$6,"判定不能",IF(L1769&gt;=判定条件!$C$7*K1769,"運転",IF(L1769&lt;=判定条件!$C$8*K1769,"停止","断続")))</f>
        <v>運転</v>
      </c>
      <c r="N1769" s="30" t="n">
        <v>60</v>
      </c>
      <c r="O1769" s="30" t="n">
        <v>49</v>
      </c>
      <c r="P1769" s="30" t="str">
        <f aca="false">IF(N1769&lt;判定条件!$C$6,"判定不能",IF(O1769&gt;=判定条件!$C$7*N1769,"運転",IF(O1769&lt;=判定条件!$C$8*N1769,"停止","断続")))</f>
        <v>運転</v>
      </c>
      <c r="Q1769" s="30" t="n">
        <v>60</v>
      </c>
      <c r="R1769" s="30" t="n">
        <v>27</v>
      </c>
      <c r="S1769" s="30" t="str">
        <f aca="false">IF(Q1769&lt;判定条件!$C$6,"判定不能",IF(R1769&gt;=判定条件!$C$7*Q1769,"運転",IF(R1769&lt;=判定条件!$C$8*Q1769,"停止","断続")))</f>
        <v>断続</v>
      </c>
      <c r="T1769" s="30" t="n">
        <v>60</v>
      </c>
      <c r="U1769" s="30" t="n">
        <v>55</v>
      </c>
      <c r="V1769" s="30" t="str">
        <f aca="false">IF(T1769&lt;判定条件!$C$6,"判定不能",IF(U1769&gt;=判定条件!$C$7*T1769,"運転",IF(U1769&lt;=判定条件!$C$8*T1769,"停止","断続")))</f>
        <v>運転</v>
      </c>
      <c r="W1769" s="30" t="n">
        <v>60</v>
      </c>
      <c r="X1769" s="30" t="n">
        <v>30</v>
      </c>
      <c r="Y1769" s="30" t="str">
        <f aca="false">IF(W1769&lt;判定条件!$C$6,"判定不能",IF(X1769&gt;=判定条件!$C$7*W1769,"運転",IF(X1769&lt;=判定条件!$C$8*W1769,"停止","断続")))</f>
        <v>断続</v>
      </c>
      <c r="Z1769" s="30" t="n">
        <v>60</v>
      </c>
      <c r="AA1769" s="30" t="n">
        <v>59</v>
      </c>
      <c r="AB1769" s="30" t="str">
        <f aca="false">IF(Z1769&lt;判定条件!$C$6,"判定不能",IF(AA1769&gt;=判定条件!$C$7*Z1769,"運転",IF(AA1769&lt;=判定条件!$C$8*Z1769,"停止","断続")))</f>
        <v>運転</v>
      </c>
      <c r="AC1769" s="30" t="n">
        <v>60</v>
      </c>
      <c r="AD1769" s="30" t="n">
        <v>53</v>
      </c>
      <c r="AE1769" s="30" t="str">
        <f aca="false">IF(AC1769&lt;判定条件!$C$6,"判定不能",IF(AD1769&gt;=判定条件!$C$7*AC1769,"運転",IF(AD1769&lt;=判定条件!$C$8*AC1769,"停止","断続")))</f>
        <v>運転</v>
      </c>
      <c r="AF1769" s="30" t="n">
        <v>60</v>
      </c>
      <c r="AG1769" s="30" t="n">
        <v>38</v>
      </c>
      <c r="AH1769" s="30" t="str">
        <f aca="false">IF(OR(P1769="判定不能",G1769="判定不能"),"判定不能",IF(AG1769&gt;=判定条件!$C$9,"利用可",IF(AND(P1769="停止",G1769="停止"),"両方停止","運転がそろわない")))</f>
        <v>利用可</v>
      </c>
      <c r="AI1769" s="30" t="n">
        <v>60</v>
      </c>
      <c r="AJ1769" s="30" t="n">
        <v>27</v>
      </c>
      <c r="AK1769" s="30" t="str">
        <f aca="false">IF(OR(S1769="判定不能",J1769="判定不能"),"判定不能",IF(AJ1769&gt;=判定条件!$C$9,"利用可",IF(AND(S1769="停止",J1769="停止"),"両方停止","運転がそろわない")))</f>
        <v>運転がそろわない</v>
      </c>
      <c r="AL1769" s="30" t="n">
        <v>60</v>
      </c>
      <c r="AM1769" s="30" t="n">
        <v>55</v>
      </c>
      <c r="AN1769" s="30" t="str">
        <f aca="false">IF(OR(V1769="判定不能",M1769="判定不能"),"判定不能",IF(AM1769&gt;=判定条件!$C$9,"利用可",IF(AND(V1769="停止",M1769="停止"),"両方停止","運転がそろわない")))</f>
        <v>利用可</v>
      </c>
      <c r="AO1769" s="30" t="n">
        <v>60</v>
      </c>
      <c r="AP1769" s="30" t="n">
        <v>30</v>
      </c>
      <c r="AQ1769" s="30" t="str">
        <f aca="false">IF(OR(Y1769="判定不能",G1769="判定不能"),"判定不能",IF(AP1769&gt;=判定条件!$C$9,"利用可",IF(AND(Y1769="停止",G1769="停止"),"両方停止","運転がそろわない")))</f>
        <v>利用可</v>
      </c>
      <c r="AR1769" s="30" t="n">
        <v>60</v>
      </c>
      <c r="AS1769" s="30" t="n">
        <v>59</v>
      </c>
      <c r="AT1769" s="30" t="str">
        <f aca="false">IF(OR(AB1769="判定不能",J1769="判定不能"),"判定不能",IF(AS1769&gt;=判定条件!$C$9,"利用可",IF(AND(AB1769="停止",J1769="停止"),"両方停止","運転がそろわない")))</f>
        <v>利用可</v>
      </c>
      <c r="AU1769" s="30" t="n">
        <v>60</v>
      </c>
      <c r="AV1769" s="30" t="n">
        <v>53</v>
      </c>
      <c r="AW1769" s="30" t="str">
        <f aca="false">IF(OR(AE1769="判定不能",M1769="判定不能"),"判定不能",IF(AV1769&gt;=判定条件!$C$9,"利用可",IF(AND(AE1769="停止",M1769="停止"),"両方停止","運転がそろわない")))</f>
        <v>利用可</v>
      </c>
      <c r="AX1769" s="30" t="str">
        <f aca="false">IF(AND(AH1769="利用可",AK1769="利用可",AN1769="利用可"),"利用可","不可")</f>
        <v>不可</v>
      </c>
      <c r="AY1769" s="30" t="str">
        <f aca="false">IF(AND(AQ1769="利用可",AT1769="利用可",AW1769="利用可"),"利用可","不可")</f>
        <v>利用可</v>
      </c>
    </row>
    <row r="1770" customFormat="false" ht="15" hidden="false" customHeight="false" outlineLevel="0" collapsed="false">
      <c r="A1770" s="29" t="n">
        <v>46305</v>
      </c>
      <c r="B1770" s="30" t="n">
        <v>15</v>
      </c>
      <c r="C1770" s="31" t="s">
        <v>63</v>
      </c>
      <c r="D1770" s="31" t="s">
        <v>64</v>
      </c>
      <c r="E1770" s="30" t="n">
        <v>60</v>
      </c>
      <c r="F1770" s="30" t="n">
        <v>52</v>
      </c>
      <c r="G1770" s="30" t="str">
        <f aca="false">IF(E1770&lt;判定条件!$C$6,"判定不能",IF(F1770&gt;=判定条件!$C$7*E1770,"運転",IF(F1770&lt;=判定条件!$C$8*E1770,"停止","断続")))</f>
        <v>運転</v>
      </c>
      <c r="H1770" s="30" t="n">
        <v>60</v>
      </c>
      <c r="I1770" s="30" t="n">
        <v>60</v>
      </c>
      <c r="J1770" s="30" t="str">
        <f aca="false">IF(H1770&lt;判定条件!$C$6,"判定不能",IF(I1770&gt;=判定条件!$C$7*H1770,"運転",IF(I1770&lt;=判定条件!$C$8*H1770,"停止","断続")))</f>
        <v>運転</v>
      </c>
      <c r="K1770" s="30" t="n">
        <v>60</v>
      </c>
      <c r="L1770" s="30" t="n">
        <v>60</v>
      </c>
      <c r="M1770" s="30" t="str">
        <f aca="false">IF(K1770&lt;判定条件!$C$6,"判定不能",IF(L1770&gt;=判定条件!$C$7*K1770,"運転",IF(L1770&lt;=判定条件!$C$8*K1770,"停止","断続")))</f>
        <v>運転</v>
      </c>
      <c r="N1770" s="30" t="n">
        <v>60</v>
      </c>
      <c r="O1770" s="30" t="n">
        <v>52</v>
      </c>
      <c r="P1770" s="30" t="str">
        <f aca="false">IF(N1770&lt;判定条件!$C$6,"判定不能",IF(O1770&gt;=判定条件!$C$7*N1770,"運転",IF(O1770&lt;=判定条件!$C$8*N1770,"停止","断続")))</f>
        <v>運転</v>
      </c>
      <c r="Q1770" s="30" t="n">
        <v>60</v>
      </c>
      <c r="R1770" s="30" t="n">
        <v>48</v>
      </c>
      <c r="S1770" s="30" t="str">
        <f aca="false">IF(Q1770&lt;判定条件!$C$6,"判定不能",IF(R1770&gt;=判定条件!$C$7*Q1770,"運転",IF(R1770&lt;=判定条件!$C$8*Q1770,"停止","断続")))</f>
        <v>運転</v>
      </c>
      <c r="T1770" s="30" t="n">
        <v>60</v>
      </c>
      <c r="U1770" s="30" t="n">
        <v>60</v>
      </c>
      <c r="V1770" s="30" t="str">
        <f aca="false">IF(T1770&lt;判定条件!$C$6,"判定不能",IF(U1770&gt;=判定条件!$C$7*T1770,"運転",IF(U1770&lt;=判定条件!$C$8*T1770,"停止","断続")))</f>
        <v>運転</v>
      </c>
      <c r="W1770" s="30" t="n">
        <v>60</v>
      </c>
      <c r="X1770" s="30" t="n">
        <v>57</v>
      </c>
      <c r="Y1770" s="30" t="str">
        <f aca="false">IF(W1770&lt;判定条件!$C$6,"判定不能",IF(X1770&gt;=判定条件!$C$7*W1770,"運転",IF(X1770&lt;=判定条件!$C$8*W1770,"停止","断続")))</f>
        <v>運転</v>
      </c>
      <c r="Z1770" s="30" t="n">
        <v>60</v>
      </c>
      <c r="AA1770" s="30" t="n">
        <v>53</v>
      </c>
      <c r="AB1770" s="30" t="str">
        <f aca="false">IF(Z1770&lt;判定条件!$C$6,"判定不能",IF(AA1770&gt;=判定条件!$C$7*Z1770,"運転",IF(AA1770&lt;=判定条件!$C$8*Z1770,"停止","断続")))</f>
        <v>運転</v>
      </c>
      <c r="AC1770" s="30" t="n">
        <v>60</v>
      </c>
      <c r="AD1770" s="30" t="n">
        <v>60</v>
      </c>
      <c r="AE1770" s="30" t="str">
        <f aca="false">IF(AC1770&lt;判定条件!$C$6,"判定不能",IF(AD1770&gt;=判定条件!$C$7*AC1770,"運転",IF(AD1770&lt;=判定条件!$C$8*AC1770,"停止","断続")))</f>
        <v>運転</v>
      </c>
      <c r="AF1770" s="30" t="n">
        <v>60</v>
      </c>
      <c r="AG1770" s="30" t="n">
        <v>44</v>
      </c>
      <c r="AH1770" s="30" t="str">
        <f aca="false">IF(OR(P1770="判定不能",G1770="判定不能"),"判定不能",IF(AG1770&gt;=判定条件!$C$9,"利用可",IF(AND(P1770="停止",G1770="停止"),"両方停止","運転がそろわない")))</f>
        <v>利用可</v>
      </c>
      <c r="AI1770" s="30" t="n">
        <v>60</v>
      </c>
      <c r="AJ1770" s="30" t="n">
        <v>48</v>
      </c>
      <c r="AK1770" s="30" t="str">
        <f aca="false">IF(OR(S1770="判定不能",J1770="判定不能"),"判定不能",IF(AJ1770&gt;=判定条件!$C$9,"利用可",IF(AND(S1770="停止",J1770="停止"),"両方停止","運転がそろわない")))</f>
        <v>利用可</v>
      </c>
      <c r="AL1770" s="30" t="n">
        <v>60</v>
      </c>
      <c r="AM1770" s="30" t="n">
        <v>60</v>
      </c>
      <c r="AN1770" s="30" t="str">
        <f aca="false">IF(OR(V1770="判定不能",M1770="判定不能"),"判定不能",IF(AM1770&gt;=判定条件!$C$9,"利用可",IF(AND(V1770="停止",M1770="停止"),"両方停止","運転がそろわない")))</f>
        <v>利用可</v>
      </c>
      <c r="AO1770" s="30" t="n">
        <v>60</v>
      </c>
      <c r="AP1770" s="30" t="n">
        <v>49</v>
      </c>
      <c r="AQ1770" s="30" t="str">
        <f aca="false">IF(OR(Y1770="判定不能",G1770="判定不能"),"判定不能",IF(AP1770&gt;=判定条件!$C$9,"利用可",IF(AND(Y1770="停止",G1770="停止"),"両方停止","運転がそろわない")))</f>
        <v>利用可</v>
      </c>
      <c r="AR1770" s="30" t="n">
        <v>60</v>
      </c>
      <c r="AS1770" s="30" t="n">
        <v>53</v>
      </c>
      <c r="AT1770" s="30" t="str">
        <f aca="false">IF(OR(AB1770="判定不能",J1770="判定不能"),"判定不能",IF(AS1770&gt;=判定条件!$C$9,"利用可",IF(AND(AB1770="停止",J1770="停止"),"両方停止","運転がそろわない")))</f>
        <v>利用可</v>
      </c>
      <c r="AU1770" s="30" t="n">
        <v>60</v>
      </c>
      <c r="AV1770" s="30" t="n">
        <v>60</v>
      </c>
      <c r="AW1770" s="30" t="str">
        <f aca="false">IF(OR(AE1770="判定不能",M1770="判定不能"),"判定不能",IF(AV1770&gt;=判定条件!$C$9,"利用可",IF(AND(AE1770="停止",M1770="停止"),"両方停止","運転がそろわない")))</f>
        <v>利用可</v>
      </c>
      <c r="AX1770" s="30" t="str">
        <f aca="false">IF(AND(AH1770="利用可",AK1770="利用可",AN1770="利用可"),"利用可","不可")</f>
        <v>利用可</v>
      </c>
      <c r="AY1770" s="30" t="str">
        <f aca="false">IF(AND(AQ1770="利用可",AT1770="利用可",AW1770="利用可"),"利用可","不可")</f>
        <v>利用可</v>
      </c>
    </row>
    <row r="1771" customFormat="false" ht="15" hidden="false" customHeight="false" outlineLevel="0" collapsed="false">
      <c r="A1771" s="29" t="n">
        <v>46305</v>
      </c>
      <c r="B1771" s="30" t="n">
        <v>16</v>
      </c>
      <c r="C1771" s="31" t="s">
        <v>63</v>
      </c>
      <c r="D1771" s="31" t="s">
        <v>64</v>
      </c>
      <c r="E1771" s="30" t="n">
        <v>60</v>
      </c>
      <c r="F1771" s="30" t="n">
        <v>15</v>
      </c>
      <c r="G1771" s="30" t="str">
        <f aca="false">IF(E1771&lt;判定条件!$C$6,"判定不能",IF(F1771&gt;=判定条件!$C$7*E1771,"運転",IF(F1771&lt;=判定条件!$C$8*E1771,"停止","断続")))</f>
        <v>断続</v>
      </c>
      <c r="H1771" s="30" t="n">
        <v>60</v>
      </c>
      <c r="I1771" s="30" t="n">
        <v>54</v>
      </c>
      <c r="J1771" s="30" t="str">
        <f aca="false">IF(H1771&lt;判定条件!$C$6,"判定不能",IF(I1771&gt;=判定条件!$C$7*H1771,"運転",IF(I1771&lt;=判定条件!$C$8*H1771,"停止","断続")))</f>
        <v>運転</v>
      </c>
      <c r="K1771" s="30" t="n">
        <v>60</v>
      </c>
      <c r="L1771" s="30" t="n">
        <v>60</v>
      </c>
      <c r="M1771" s="30" t="str">
        <f aca="false">IF(K1771&lt;判定条件!$C$6,"判定不能",IF(L1771&gt;=判定条件!$C$7*K1771,"運転",IF(L1771&lt;=判定条件!$C$8*K1771,"停止","断続")))</f>
        <v>運転</v>
      </c>
      <c r="N1771" s="30" t="n">
        <v>60</v>
      </c>
      <c r="O1771" s="30" t="n">
        <v>1</v>
      </c>
      <c r="P1771" s="30" t="str">
        <f aca="false">IF(N1771&lt;判定条件!$C$6,"判定不能",IF(O1771&gt;=判定条件!$C$7*N1771,"運転",IF(O1771&lt;=判定条件!$C$8*N1771,"停止","断続")))</f>
        <v>停止</v>
      </c>
      <c r="Q1771" s="30" t="n">
        <v>60</v>
      </c>
      <c r="R1771" s="30" t="n">
        <v>9</v>
      </c>
      <c r="S1771" s="30" t="str">
        <f aca="false">IF(Q1771&lt;判定条件!$C$6,"判定不能",IF(R1771&gt;=判定条件!$C$7*Q1771,"運転",IF(R1771&lt;=判定条件!$C$8*Q1771,"停止","断続")))</f>
        <v>停止</v>
      </c>
      <c r="T1771" s="30" t="n">
        <v>60</v>
      </c>
      <c r="U1771" s="30" t="n">
        <v>44</v>
      </c>
      <c r="V1771" s="30" t="str">
        <f aca="false">IF(T1771&lt;判定条件!$C$6,"判定不能",IF(U1771&gt;=判定条件!$C$7*T1771,"運転",IF(U1771&lt;=判定条件!$C$8*T1771,"停止","断続")))</f>
        <v>断続</v>
      </c>
      <c r="W1771" s="30" t="n">
        <v>60</v>
      </c>
      <c r="X1771" s="30" t="n">
        <v>0</v>
      </c>
      <c r="Y1771" s="30" t="str">
        <f aca="false">IF(W1771&lt;判定条件!$C$6,"判定不能",IF(X1771&gt;=判定条件!$C$7*W1771,"運転",IF(X1771&lt;=判定条件!$C$8*W1771,"停止","断続")))</f>
        <v>停止</v>
      </c>
      <c r="Z1771" s="30" t="n">
        <v>60</v>
      </c>
      <c r="AA1771" s="30" t="n">
        <v>45</v>
      </c>
      <c r="AB1771" s="30" t="str">
        <f aca="false">IF(Z1771&lt;判定条件!$C$6,"判定不能",IF(AA1771&gt;=判定条件!$C$7*Z1771,"運転",IF(AA1771&lt;=判定条件!$C$8*Z1771,"停止","断続")))</f>
        <v>断続</v>
      </c>
      <c r="AC1771" s="30" t="n">
        <v>60</v>
      </c>
      <c r="AD1771" s="30" t="n">
        <v>46</v>
      </c>
      <c r="AE1771" s="30" t="str">
        <f aca="false">IF(AC1771&lt;判定条件!$C$6,"判定不能",IF(AD1771&gt;=判定条件!$C$7*AC1771,"運転",IF(AD1771&lt;=判定条件!$C$8*AC1771,"停止","断続")))</f>
        <v>断続</v>
      </c>
      <c r="AF1771" s="30" t="n">
        <v>60</v>
      </c>
      <c r="AG1771" s="30" t="n">
        <v>0</v>
      </c>
      <c r="AH1771" s="30" t="str">
        <f aca="false">IF(OR(P1771="判定不能",G1771="判定不能"),"判定不能",IF(AG1771&gt;=判定条件!$C$9,"利用可",IF(AND(P1771="停止",G1771="停止"),"両方停止","運転がそろわない")))</f>
        <v>運転がそろわない</v>
      </c>
      <c r="AI1771" s="30" t="n">
        <v>60</v>
      </c>
      <c r="AJ1771" s="30" t="n">
        <v>9</v>
      </c>
      <c r="AK1771" s="30" t="str">
        <f aca="false">IF(OR(S1771="判定不能",J1771="判定不能"),"判定不能",IF(AJ1771&gt;=判定条件!$C$9,"利用可",IF(AND(S1771="停止",J1771="停止"),"両方停止","運転がそろわない")))</f>
        <v>運転がそろわない</v>
      </c>
      <c r="AL1771" s="30" t="n">
        <v>60</v>
      </c>
      <c r="AM1771" s="30" t="n">
        <v>44</v>
      </c>
      <c r="AN1771" s="30" t="str">
        <f aca="false">IF(OR(V1771="判定不能",M1771="判定不能"),"判定不能",IF(AM1771&gt;=判定条件!$C$9,"利用可",IF(AND(V1771="停止",M1771="停止"),"両方停止","運転がそろわない")))</f>
        <v>利用可</v>
      </c>
      <c r="AO1771" s="30" t="n">
        <v>60</v>
      </c>
      <c r="AP1771" s="30" t="n">
        <v>0</v>
      </c>
      <c r="AQ1771" s="30" t="str">
        <f aca="false">IF(OR(Y1771="判定不能",G1771="判定不能"),"判定不能",IF(AP1771&gt;=判定条件!$C$9,"利用可",IF(AND(Y1771="停止",G1771="停止"),"両方停止","運転がそろわない")))</f>
        <v>運転がそろわない</v>
      </c>
      <c r="AR1771" s="30" t="n">
        <v>60</v>
      </c>
      <c r="AS1771" s="30" t="n">
        <v>45</v>
      </c>
      <c r="AT1771" s="30" t="str">
        <f aca="false">IF(OR(AB1771="判定不能",J1771="判定不能"),"判定不能",IF(AS1771&gt;=判定条件!$C$9,"利用可",IF(AND(AB1771="停止",J1771="停止"),"両方停止","運転がそろわない")))</f>
        <v>利用可</v>
      </c>
      <c r="AU1771" s="30" t="n">
        <v>60</v>
      </c>
      <c r="AV1771" s="30" t="n">
        <v>46</v>
      </c>
      <c r="AW1771" s="30" t="str">
        <f aca="false">IF(OR(AE1771="判定不能",M1771="判定不能"),"判定不能",IF(AV1771&gt;=判定条件!$C$9,"利用可",IF(AND(AE1771="停止",M1771="停止"),"両方停止","運転がそろわない")))</f>
        <v>利用可</v>
      </c>
      <c r="AX1771" s="30" t="str">
        <f aca="false">IF(AND(AH1771="利用可",AK1771="利用可",AN1771="利用可"),"利用可","不可")</f>
        <v>不可</v>
      </c>
      <c r="AY1771" s="30" t="str">
        <f aca="false">IF(AND(AQ1771="利用可",AT1771="利用可",AW1771="利用可"),"利用可","不可")</f>
        <v>不可</v>
      </c>
    </row>
    <row r="1772" customFormat="false" ht="15" hidden="false" customHeight="false" outlineLevel="0" collapsed="false">
      <c r="A1772" s="29" t="n">
        <v>46305</v>
      </c>
      <c r="B1772" s="30" t="n">
        <v>17</v>
      </c>
      <c r="C1772" s="31" t="s">
        <v>63</v>
      </c>
      <c r="D1772" s="31" t="s">
        <v>64</v>
      </c>
      <c r="E1772" s="30" t="n">
        <v>60</v>
      </c>
      <c r="F1772" s="30" t="n">
        <v>7</v>
      </c>
      <c r="G1772" s="30" t="str">
        <f aca="false">IF(E1772&lt;判定条件!$C$6,"判定不能",IF(F1772&gt;=判定条件!$C$7*E1772,"運転",IF(F1772&lt;=判定条件!$C$8*E1772,"停止","断続")))</f>
        <v>停止</v>
      </c>
      <c r="H1772" s="30" t="n">
        <v>60</v>
      </c>
      <c r="I1772" s="30" t="n">
        <v>22</v>
      </c>
      <c r="J1772" s="30" t="str">
        <f aca="false">IF(H1772&lt;判定条件!$C$6,"判定不能",IF(I1772&gt;=判定条件!$C$7*H1772,"運転",IF(I1772&lt;=判定条件!$C$8*H1772,"停止","断続")))</f>
        <v>断続</v>
      </c>
      <c r="K1772" s="30" t="n">
        <v>60</v>
      </c>
      <c r="L1772" s="30" t="n">
        <v>60</v>
      </c>
      <c r="M1772" s="30" t="str">
        <f aca="false">IF(K1772&lt;判定条件!$C$6,"判定不能",IF(L1772&gt;=判定条件!$C$7*K1772,"運転",IF(L1772&lt;=判定条件!$C$8*K1772,"停止","断続")))</f>
        <v>運転</v>
      </c>
      <c r="N1772" s="30" t="n">
        <v>60</v>
      </c>
      <c r="O1772" s="30" t="n">
        <v>3</v>
      </c>
      <c r="P1772" s="30" t="str">
        <f aca="false">IF(N1772&lt;判定条件!$C$6,"判定不能",IF(O1772&gt;=判定条件!$C$7*N1772,"運転",IF(O1772&lt;=判定条件!$C$8*N1772,"停止","断続")))</f>
        <v>停止</v>
      </c>
      <c r="Q1772" s="30" t="n">
        <v>60</v>
      </c>
      <c r="R1772" s="30" t="n">
        <v>25</v>
      </c>
      <c r="S1772" s="30" t="str">
        <f aca="false">IF(Q1772&lt;判定条件!$C$6,"判定不能",IF(R1772&gt;=判定条件!$C$7*Q1772,"運転",IF(R1772&lt;=判定条件!$C$8*Q1772,"停止","断続")))</f>
        <v>断続</v>
      </c>
      <c r="T1772" s="30" t="n">
        <v>60</v>
      </c>
      <c r="U1772" s="30" t="n">
        <v>0</v>
      </c>
      <c r="V1772" s="30" t="str">
        <f aca="false">IF(T1772&lt;判定条件!$C$6,"判定不能",IF(U1772&gt;=判定条件!$C$7*T1772,"運転",IF(U1772&lt;=判定条件!$C$8*T1772,"停止","断続")))</f>
        <v>停止</v>
      </c>
      <c r="W1772" s="30" t="n">
        <v>60</v>
      </c>
      <c r="X1772" s="30" t="n">
        <v>11</v>
      </c>
      <c r="Y1772" s="30" t="str">
        <f aca="false">IF(W1772&lt;判定条件!$C$6,"判定不能",IF(X1772&gt;=判定条件!$C$7*W1772,"運転",IF(X1772&lt;=判定条件!$C$8*W1772,"停止","断続")))</f>
        <v>停止</v>
      </c>
      <c r="Z1772" s="30" t="n">
        <v>60</v>
      </c>
      <c r="AA1772" s="30" t="n">
        <v>34</v>
      </c>
      <c r="AB1772" s="30" t="str">
        <f aca="false">IF(Z1772&lt;判定条件!$C$6,"判定不能",IF(AA1772&gt;=判定条件!$C$7*Z1772,"運転",IF(AA1772&lt;=判定条件!$C$8*Z1772,"停止","断続")))</f>
        <v>断続</v>
      </c>
      <c r="AC1772" s="30" t="n">
        <v>60</v>
      </c>
      <c r="AD1772" s="30" t="n">
        <v>44</v>
      </c>
      <c r="AE1772" s="30" t="str">
        <f aca="false">IF(AC1772&lt;判定条件!$C$6,"判定不能",IF(AD1772&gt;=判定条件!$C$7*AC1772,"運転",IF(AD1772&lt;=判定条件!$C$8*AC1772,"停止","断続")))</f>
        <v>断続</v>
      </c>
      <c r="AF1772" s="30" t="n">
        <v>60</v>
      </c>
      <c r="AG1772" s="30" t="n">
        <v>0</v>
      </c>
      <c r="AH1772" s="30" t="str">
        <f aca="false">IF(OR(P1772="判定不能",G1772="判定不能"),"判定不能",IF(AG1772&gt;=判定条件!$C$9,"利用可",IF(AND(P1772="停止",G1772="停止"),"両方停止","運転がそろわない")))</f>
        <v>両方停止</v>
      </c>
      <c r="AI1772" s="30" t="n">
        <v>60</v>
      </c>
      <c r="AJ1772" s="30" t="n">
        <v>20</v>
      </c>
      <c r="AK1772" s="30" t="str">
        <f aca="false">IF(OR(S1772="判定不能",J1772="判定不能"),"判定不能",IF(AJ1772&gt;=判定条件!$C$9,"利用可",IF(AND(S1772="停止",J1772="停止"),"両方停止","運転がそろわない")))</f>
        <v>運転がそろわない</v>
      </c>
      <c r="AL1772" s="30" t="n">
        <v>60</v>
      </c>
      <c r="AM1772" s="30" t="n">
        <v>0</v>
      </c>
      <c r="AN1772" s="30" t="str">
        <f aca="false">IF(OR(V1772="判定不能",M1772="判定不能"),"判定不能",IF(AM1772&gt;=判定条件!$C$9,"利用可",IF(AND(V1772="停止",M1772="停止"),"両方停止","運転がそろわない")))</f>
        <v>運転がそろわない</v>
      </c>
      <c r="AO1772" s="30" t="n">
        <v>60</v>
      </c>
      <c r="AP1772" s="30" t="n">
        <v>0</v>
      </c>
      <c r="AQ1772" s="30" t="str">
        <f aca="false">IF(OR(Y1772="判定不能",G1772="判定不能"),"判定不能",IF(AP1772&gt;=判定条件!$C$9,"利用可",IF(AND(Y1772="停止",G1772="停止"),"両方停止","運転がそろわない")))</f>
        <v>両方停止</v>
      </c>
      <c r="AR1772" s="30" t="n">
        <v>60</v>
      </c>
      <c r="AS1772" s="30" t="n">
        <v>17</v>
      </c>
      <c r="AT1772" s="30" t="str">
        <f aca="false">IF(OR(AB1772="判定不能",J1772="判定不能"),"判定不能",IF(AS1772&gt;=判定条件!$C$9,"利用可",IF(AND(AB1772="停止",J1772="停止"),"両方停止","運転がそろわない")))</f>
        <v>運転がそろわない</v>
      </c>
      <c r="AU1772" s="30" t="n">
        <v>60</v>
      </c>
      <c r="AV1772" s="30" t="n">
        <v>44</v>
      </c>
      <c r="AW1772" s="30" t="str">
        <f aca="false">IF(OR(AE1772="判定不能",M1772="判定不能"),"判定不能",IF(AV1772&gt;=判定条件!$C$9,"利用可",IF(AND(AE1772="停止",M1772="停止"),"両方停止","運転がそろわない")))</f>
        <v>利用可</v>
      </c>
      <c r="AX1772" s="30" t="str">
        <f aca="false">IF(AND(AH1772="利用可",AK1772="利用可",AN1772="利用可"),"利用可","不可")</f>
        <v>不可</v>
      </c>
      <c r="AY1772" s="30" t="str">
        <f aca="false">IF(AND(AQ1772="利用可",AT1772="利用可",AW1772="利用可"),"利用可","不可")</f>
        <v>不可</v>
      </c>
    </row>
    <row r="1773" customFormat="false" ht="15" hidden="false" customHeight="false" outlineLevel="0" collapsed="false">
      <c r="A1773" s="29" t="n">
        <v>46305</v>
      </c>
      <c r="B1773" s="30" t="n">
        <v>18</v>
      </c>
      <c r="C1773" s="31" t="s">
        <v>63</v>
      </c>
      <c r="D1773" s="31" t="s">
        <v>64</v>
      </c>
      <c r="E1773" s="30" t="n">
        <v>60</v>
      </c>
      <c r="F1773" s="30" t="n">
        <v>0</v>
      </c>
      <c r="G1773" s="30" t="str">
        <f aca="false">IF(E1773&lt;判定条件!$C$6,"判定不能",IF(F1773&gt;=判定条件!$C$7*E1773,"運転",IF(F1773&lt;=判定条件!$C$8*E1773,"停止","断続")))</f>
        <v>停止</v>
      </c>
      <c r="H1773" s="30" t="n">
        <v>60</v>
      </c>
      <c r="I1773" s="30" t="n">
        <v>5</v>
      </c>
      <c r="J1773" s="30" t="str">
        <f aca="false">IF(H1773&lt;判定条件!$C$6,"判定不能",IF(I1773&gt;=判定条件!$C$7*H1773,"運転",IF(I1773&lt;=判定条件!$C$8*H1773,"停止","断続")))</f>
        <v>停止</v>
      </c>
      <c r="K1773" s="30" t="n">
        <v>60</v>
      </c>
      <c r="L1773" s="30" t="n">
        <v>12</v>
      </c>
      <c r="M1773" s="30" t="str">
        <f aca="false">IF(K1773&lt;判定条件!$C$6,"判定不能",IF(L1773&gt;=判定条件!$C$7*K1773,"運転",IF(L1773&lt;=判定条件!$C$8*K1773,"停止","断続")))</f>
        <v>停止</v>
      </c>
      <c r="N1773" s="30" t="n">
        <v>60</v>
      </c>
      <c r="O1773" s="30" t="n">
        <v>16</v>
      </c>
      <c r="P1773" s="30" t="str">
        <f aca="false">IF(N1773&lt;判定条件!$C$6,"判定不能",IF(O1773&gt;=判定条件!$C$7*N1773,"運転",IF(O1773&lt;=判定条件!$C$8*N1773,"停止","断続")))</f>
        <v>断続</v>
      </c>
      <c r="Q1773" s="30" t="n">
        <v>60</v>
      </c>
      <c r="R1773" s="30" t="n">
        <v>17</v>
      </c>
      <c r="S1773" s="30" t="str">
        <f aca="false">IF(Q1773&lt;判定条件!$C$6,"判定不能",IF(R1773&gt;=判定条件!$C$7*Q1773,"運転",IF(R1773&lt;=判定条件!$C$8*Q1773,"停止","断続")))</f>
        <v>断続</v>
      </c>
      <c r="T1773" s="30" t="n">
        <v>60</v>
      </c>
      <c r="U1773" s="30" t="n">
        <v>0</v>
      </c>
      <c r="V1773" s="30" t="str">
        <f aca="false">IF(T1773&lt;判定条件!$C$6,"判定不能",IF(U1773&gt;=判定条件!$C$7*T1773,"運転",IF(U1773&lt;=判定条件!$C$8*T1773,"停止","断続")))</f>
        <v>停止</v>
      </c>
      <c r="W1773" s="30" t="n">
        <v>60</v>
      </c>
      <c r="X1773" s="30" t="n">
        <v>0</v>
      </c>
      <c r="Y1773" s="30" t="str">
        <f aca="false">IF(W1773&lt;判定条件!$C$6,"判定不能",IF(X1773&gt;=判定条件!$C$7*W1773,"運転",IF(X1773&lt;=判定条件!$C$8*W1773,"停止","断続")))</f>
        <v>停止</v>
      </c>
      <c r="Z1773" s="30" t="n">
        <v>60</v>
      </c>
      <c r="AA1773" s="30" t="n">
        <v>0</v>
      </c>
      <c r="AB1773" s="30" t="str">
        <f aca="false">IF(Z1773&lt;判定条件!$C$6,"判定不能",IF(AA1773&gt;=判定条件!$C$7*Z1773,"運転",IF(AA1773&lt;=判定条件!$C$8*Z1773,"停止","断続")))</f>
        <v>停止</v>
      </c>
      <c r="AC1773" s="30" t="n">
        <v>60</v>
      </c>
      <c r="AD1773" s="30" t="n">
        <v>0</v>
      </c>
      <c r="AE1773" s="30" t="str">
        <f aca="false">IF(AC1773&lt;判定条件!$C$6,"判定不能",IF(AD1773&gt;=判定条件!$C$7*AC1773,"運転",IF(AD1773&lt;=判定条件!$C$8*AC1773,"停止","断続")))</f>
        <v>停止</v>
      </c>
      <c r="AF1773" s="30" t="n">
        <v>60</v>
      </c>
      <c r="AG1773" s="30" t="n">
        <v>0</v>
      </c>
      <c r="AH1773" s="30" t="str">
        <f aca="false">IF(OR(P1773="判定不能",G1773="判定不能"),"判定不能",IF(AG1773&gt;=判定条件!$C$9,"利用可",IF(AND(P1773="停止",G1773="停止"),"両方停止","運転がそろわない")))</f>
        <v>運転がそろわない</v>
      </c>
      <c r="AI1773" s="30" t="n">
        <v>60</v>
      </c>
      <c r="AJ1773" s="30" t="n">
        <v>0</v>
      </c>
      <c r="AK1773" s="30" t="str">
        <f aca="false">IF(OR(S1773="判定不能",J1773="判定不能"),"判定不能",IF(AJ1773&gt;=判定条件!$C$9,"利用可",IF(AND(S1773="停止",J1773="停止"),"両方停止","運転がそろわない")))</f>
        <v>運転がそろわない</v>
      </c>
      <c r="AL1773" s="30" t="n">
        <v>60</v>
      </c>
      <c r="AM1773" s="30" t="n">
        <v>0</v>
      </c>
      <c r="AN1773" s="30" t="str">
        <f aca="false">IF(OR(V1773="判定不能",M1773="判定不能"),"判定不能",IF(AM1773&gt;=判定条件!$C$9,"利用可",IF(AND(V1773="停止",M1773="停止"),"両方停止","運転がそろわない")))</f>
        <v>両方停止</v>
      </c>
      <c r="AO1773" s="30" t="n">
        <v>60</v>
      </c>
      <c r="AP1773" s="30" t="n">
        <v>0</v>
      </c>
      <c r="AQ1773" s="30" t="str">
        <f aca="false">IF(OR(Y1773="判定不能",G1773="判定不能"),"判定不能",IF(AP1773&gt;=判定条件!$C$9,"利用可",IF(AND(Y1773="停止",G1773="停止"),"両方停止","運転がそろわない")))</f>
        <v>両方停止</v>
      </c>
      <c r="AR1773" s="30" t="n">
        <v>60</v>
      </c>
      <c r="AS1773" s="30" t="n">
        <v>0</v>
      </c>
      <c r="AT1773" s="30" t="str">
        <f aca="false">IF(OR(AB1773="判定不能",J1773="判定不能"),"判定不能",IF(AS1773&gt;=判定条件!$C$9,"利用可",IF(AND(AB1773="停止",J1773="停止"),"両方停止","運転がそろわない")))</f>
        <v>両方停止</v>
      </c>
      <c r="AU1773" s="30" t="n">
        <v>60</v>
      </c>
      <c r="AV1773" s="30" t="n">
        <v>0</v>
      </c>
      <c r="AW1773" s="30" t="str">
        <f aca="false">IF(OR(AE1773="判定不能",M1773="判定不能"),"判定不能",IF(AV1773&gt;=判定条件!$C$9,"利用可",IF(AND(AE1773="停止",M1773="停止"),"両方停止","運転がそろわない")))</f>
        <v>両方停止</v>
      </c>
      <c r="AX1773" s="30" t="str">
        <f aca="false">IF(AND(AH1773="利用可",AK1773="利用可",AN1773="利用可"),"利用可","不可")</f>
        <v>不可</v>
      </c>
      <c r="AY1773" s="30" t="str">
        <f aca="false">IF(AND(AQ1773="利用可",AT1773="利用可",AW1773="利用可"),"利用可","不可")</f>
        <v>不可</v>
      </c>
    </row>
    <row r="1774" customFormat="false" ht="15" hidden="false" customHeight="false" outlineLevel="0" collapsed="false">
      <c r="A1774" s="29" t="n">
        <v>46305</v>
      </c>
      <c r="B1774" s="30" t="n">
        <v>19</v>
      </c>
      <c r="C1774" s="31" t="s">
        <v>63</v>
      </c>
      <c r="D1774" s="31" t="s">
        <v>64</v>
      </c>
      <c r="E1774" s="30" t="n">
        <v>60</v>
      </c>
      <c r="F1774" s="30" t="n">
        <v>25</v>
      </c>
      <c r="G1774" s="30" t="str">
        <f aca="false">IF(E1774&lt;判定条件!$C$6,"判定不能",IF(F1774&gt;=判定条件!$C$7*E1774,"運転",IF(F1774&lt;=判定条件!$C$8*E1774,"停止","断続")))</f>
        <v>断続</v>
      </c>
      <c r="H1774" s="30" t="n">
        <v>60</v>
      </c>
      <c r="I1774" s="30" t="n">
        <v>21</v>
      </c>
      <c r="J1774" s="30" t="str">
        <f aca="false">IF(H1774&lt;判定条件!$C$6,"判定不能",IF(I1774&gt;=判定条件!$C$7*H1774,"運転",IF(I1774&lt;=判定条件!$C$8*H1774,"停止","断続")))</f>
        <v>断続</v>
      </c>
      <c r="K1774" s="30" t="n">
        <v>60</v>
      </c>
      <c r="L1774" s="30" t="n">
        <v>0</v>
      </c>
      <c r="M1774" s="30" t="str">
        <f aca="false">IF(K1774&lt;判定条件!$C$6,"判定不能",IF(L1774&gt;=判定条件!$C$7*K1774,"運転",IF(L1774&lt;=判定条件!$C$8*K1774,"停止","断続")))</f>
        <v>停止</v>
      </c>
      <c r="N1774" s="30" t="n">
        <v>60</v>
      </c>
      <c r="O1774" s="30" t="n">
        <v>0</v>
      </c>
      <c r="P1774" s="30" t="str">
        <f aca="false">IF(N1774&lt;判定条件!$C$6,"判定不能",IF(O1774&gt;=判定条件!$C$7*N1774,"運転",IF(O1774&lt;=判定条件!$C$8*N1774,"停止","断続")))</f>
        <v>停止</v>
      </c>
      <c r="Q1774" s="30" t="n">
        <v>60</v>
      </c>
      <c r="R1774" s="30" t="n">
        <v>0</v>
      </c>
      <c r="S1774" s="30" t="str">
        <f aca="false">IF(Q1774&lt;判定条件!$C$6,"判定不能",IF(R1774&gt;=判定条件!$C$7*Q1774,"運転",IF(R1774&lt;=判定条件!$C$8*Q1774,"停止","断続")))</f>
        <v>停止</v>
      </c>
      <c r="T1774" s="30" t="n">
        <v>60</v>
      </c>
      <c r="U1774" s="30" t="n">
        <v>0</v>
      </c>
      <c r="V1774" s="30" t="str">
        <f aca="false">IF(T1774&lt;判定条件!$C$6,"判定不能",IF(U1774&gt;=判定条件!$C$7*T1774,"運転",IF(U1774&lt;=判定条件!$C$8*T1774,"停止","断続")))</f>
        <v>停止</v>
      </c>
      <c r="W1774" s="30" t="n">
        <v>60</v>
      </c>
      <c r="X1774" s="30" t="n">
        <v>0</v>
      </c>
      <c r="Y1774" s="30" t="str">
        <f aca="false">IF(W1774&lt;判定条件!$C$6,"判定不能",IF(X1774&gt;=判定条件!$C$7*W1774,"運転",IF(X1774&lt;=判定条件!$C$8*W1774,"停止","断続")))</f>
        <v>停止</v>
      </c>
      <c r="Z1774" s="30" t="n">
        <v>60</v>
      </c>
      <c r="AA1774" s="30" t="n">
        <v>0</v>
      </c>
      <c r="AB1774" s="30" t="str">
        <f aca="false">IF(Z1774&lt;判定条件!$C$6,"判定不能",IF(AA1774&gt;=判定条件!$C$7*Z1774,"運転",IF(AA1774&lt;=判定条件!$C$8*Z1774,"停止","断続")))</f>
        <v>停止</v>
      </c>
      <c r="AC1774" s="30" t="n">
        <v>60</v>
      </c>
      <c r="AD1774" s="30" t="n">
        <v>0</v>
      </c>
      <c r="AE1774" s="30" t="str">
        <f aca="false">IF(AC1774&lt;判定条件!$C$6,"判定不能",IF(AD1774&gt;=判定条件!$C$7*AC1774,"運転",IF(AD1774&lt;=判定条件!$C$8*AC1774,"停止","断続")))</f>
        <v>停止</v>
      </c>
      <c r="AF1774" s="30" t="n">
        <v>60</v>
      </c>
      <c r="AG1774" s="30" t="n">
        <v>0</v>
      </c>
      <c r="AH1774" s="30" t="str">
        <f aca="false">IF(OR(P1774="判定不能",G1774="判定不能"),"判定不能",IF(AG1774&gt;=判定条件!$C$9,"利用可",IF(AND(P1774="停止",G1774="停止"),"両方停止","運転がそろわない")))</f>
        <v>運転がそろわない</v>
      </c>
      <c r="AI1774" s="30" t="n">
        <v>60</v>
      </c>
      <c r="AJ1774" s="30" t="n">
        <v>0</v>
      </c>
      <c r="AK1774" s="30" t="str">
        <f aca="false">IF(OR(S1774="判定不能",J1774="判定不能"),"判定不能",IF(AJ1774&gt;=判定条件!$C$9,"利用可",IF(AND(S1774="停止",J1774="停止"),"両方停止","運転がそろわない")))</f>
        <v>運転がそろわない</v>
      </c>
      <c r="AL1774" s="30" t="n">
        <v>60</v>
      </c>
      <c r="AM1774" s="30" t="n">
        <v>0</v>
      </c>
      <c r="AN1774" s="30" t="str">
        <f aca="false">IF(OR(V1774="判定不能",M1774="判定不能"),"判定不能",IF(AM1774&gt;=判定条件!$C$9,"利用可",IF(AND(V1774="停止",M1774="停止"),"両方停止","運転がそろわない")))</f>
        <v>両方停止</v>
      </c>
      <c r="AO1774" s="30" t="n">
        <v>60</v>
      </c>
      <c r="AP1774" s="30" t="n">
        <v>0</v>
      </c>
      <c r="AQ1774" s="30" t="str">
        <f aca="false">IF(OR(Y1774="判定不能",G1774="判定不能"),"判定不能",IF(AP1774&gt;=判定条件!$C$9,"利用可",IF(AND(Y1774="停止",G1774="停止"),"両方停止","運転がそろわない")))</f>
        <v>運転がそろわない</v>
      </c>
      <c r="AR1774" s="30" t="n">
        <v>60</v>
      </c>
      <c r="AS1774" s="30" t="n">
        <v>0</v>
      </c>
      <c r="AT1774" s="30" t="str">
        <f aca="false">IF(OR(AB1774="判定不能",J1774="判定不能"),"判定不能",IF(AS1774&gt;=判定条件!$C$9,"利用可",IF(AND(AB1774="停止",J1774="停止"),"両方停止","運転がそろわない")))</f>
        <v>運転がそろわない</v>
      </c>
      <c r="AU1774" s="30" t="n">
        <v>60</v>
      </c>
      <c r="AV1774" s="30" t="n">
        <v>0</v>
      </c>
      <c r="AW1774" s="30" t="str">
        <f aca="false">IF(OR(AE1774="判定不能",M1774="判定不能"),"判定不能",IF(AV1774&gt;=判定条件!$C$9,"利用可",IF(AND(AE1774="停止",M1774="停止"),"両方停止","運転がそろわない")))</f>
        <v>両方停止</v>
      </c>
      <c r="AX1774" s="30" t="str">
        <f aca="false">IF(AND(AH1774="利用可",AK1774="利用可",AN1774="利用可"),"利用可","不可")</f>
        <v>不可</v>
      </c>
      <c r="AY1774" s="30" t="str">
        <f aca="false">IF(AND(AQ1774="利用可",AT1774="利用可",AW1774="利用可"),"利用可","不可")</f>
        <v>不可</v>
      </c>
    </row>
    <row r="1775" customFormat="false" ht="15" hidden="false" customHeight="false" outlineLevel="0" collapsed="false">
      <c r="A1775" s="29" t="n">
        <v>46305</v>
      </c>
      <c r="B1775" s="30" t="n">
        <v>20</v>
      </c>
      <c r="C1775" s="31" t="s">
        <v>63</v>
      </c>
      <c r="D1775" s="31" t="s">
        <v>64</v>
      </c>
      <c r="E1775" s="30" t="n">
        <v>60</v>
      </c>
      <c r="F1775" s="30" t="n">
        <v>14</v>
      </c>
      <c r="G1775" s="30" t="str">
        <f aca="false">IF(E1775&lt;判定条件!$C$6,"判定不能",IF(F1775&gt;=判定条件!$C$7*E1775,"運転",IF(F1775&lt;=判定条件!$C$8*E1775,"停止","断続")))</f>
        <v>断続</v>
      </c>
      <c r="H1775" s="30" t="n">
        <v>60</v>
      </c>
      <c r="I1775" s="30" t="n">
        <v>6</v>
      </c>
      <c r="J1775" s="30" t="str">
        <f aca="false">IF(H1775&lt;判定条件!$C$6,"判定不能",IF(I1775&gt;=判定条件!$C$7*H1775,"運転",IF(I1775&lt;=判定条件!$C$8*H1775,"停止","断続")))</f>
        <v>停止</v>
      </c>
      <c r="K1775" s="30" t="n">
        <v>60</v>
      </c>
      <c r="L1775" s="30" t="n">
        <v>17</v>
      </c>
      <c r="M1775" s="30" t="str">
        <f aca="false">IF(K1775&lt;判定条件!$C$6,"判定不能",IF(L1775&gt;=判定条件!$C$7*K1775,"運転",IF(L1775&lt;=判定条件!$C$8*K1775,"停止","断続")))</f>
        <v>断続</v>
      </c>
      <c r="N1775" s="30" t="n">
        <v>60</v>
      </c>
      <c r="O1775" s="30" t="n">
        <v>0</v>
      </c>
      <c r="P1775" s="30" t="str">
        <f aca="false">IF(N1775&lt;判定条件!$C$6,"判定不能",IF(O1775&gt;=判定条件!$C$7*N1775,"運転",IF(O1775&lt;=判定条件!$C$8*N1775,"停止","断続")))</f>
        <v>停止</v>
      </c>
      <c r="Q1775" s="30" t="n">
        <v>60</v>
      </c>
      <c r="R1775" s="30" t="n">
        <v>0</v>
      </c>
      <c r="S1775" s="30" t="str">
        <f aca="false">IF(Q1775&lt;判定条件!$C$6,"判定不能",IF(R1775&gt;=判定条件!$C$7*Q1775,"運転",IF(R1775&lt;=判定条件!$C$8*Q1775,"停止","断続")))</f>
        <v>停止</v>
      </c>
      <c r="T1775" s="30" t="n">
        <v>60</v>
      </c>
      <c r="U1775" s="30" t="n">
        <v>0</v>
      </c>
      <c r="V1775" s="30" t="str">
        <f aca="false">IF(T1775&lt;判定条件!$C$6,"判定不能",IF(U1775&gt;=判定条件!$C$7*T1775,"運転",IF(U1775&lt;=判定条件!$C$8*T1775,"停止","断続")))</f>
        <v>停止</v>
      </c>
      <c r="W1775" s="30" t="n">
        <v>60</v>
      </c>
      <c r="X1775" s="30" t="n">
        <v>0</v>
      </c>
      <c r="Y1775" s="30" t="str">
        <f aca="false">IF(W1775&lt;判定条件!$C$6,"判定不能",IF(X1775&gt;=判定条件!$C$7*W1775,"運転",IF(X1775&lt;=判定条件!$C$8*W1775,"停止","断続")))</f>
        <v>停止</v>
      </c>
      <c r="Z1775" s="30" t="n">
        <v>60</v>
      </c>
      <c r="AA1775" s="30" t="n">
        <v>0</v>
      </c>
      <c r="AB1775" s="30" t="str">
        <f aca="false">IF(Z1775&lt;判定条件!$C$6,"判定不能",IF(AA1775&gt;=判定条件!$C$7*Z1775,"運転",IF(AA1775&lt;=判定条件!$C$8*Z1775,"停止","断続")))</f>
        <v>停止</v>
      </c>
      <c r="AC1775" s="30" t="n">
        <v>60</v>
      </c>
      <c r="AD1775" s="30" t="n">
        <v>0</v>
      </c>
      <c r="AE1775" s="30" t="str">
        <f aca="false">IF(AC1775&lt;判定条件!$C$6,"判定不能",IF(AD1775&gt;=判定条件!$C$7*AC1775,"運転",IF(AD1775&lt;=判定条件!$C$8*AC1775,"停止","断続")))</f>
        <v>停止</v>
      </c>
      <c r="AF1775" s="30" t="n">
        <v>60</v>
      </c>
      <c r="AG1775" s="30" t="n">
        <v>0</v>
      </c>
      <c r="AH1775" s="30" t="str">
        <f aca="false">IF(OR(P1775="判定不能",G1775="判定不能"),"判定不能",IF(AG1775&gt;=判定条件!$C$9,"利用可",IF(AND(P1775="停止",G1775="停止"),"両方停止","運転がそろわない")))</f>
        <v>運転がそろわない</v>
      </c>
      <c r="AI1775" s="30" t="n">
        <v>60</v>
      </c>
      <c r="AJ1775" s="30" t="n">
        <v>0</v>
      </c>
      <c r="AK1775" s="30" t="str">
        <f aca="false">IF(OR(S1775="判定不能",J1775="判定不能"),"判定不能",IF(AJ1775&gt;=判定条件!$C$9,"利用可",IF(AND(S1775="停止",J1775="停止"),"両方停止","運転がそろわない")))</f>
        <v>両方停止</v>
      </c>
      <c r="AL1775" s="30" t="n">
        <v>60</v>
      </c>
      <c r="AM1775" s="30" t="n">
        <v>0</v>
      </c>
      <c r="AN1775" s="30" t="str">
        <f aca="false">IF(OR(V1775="判定不能",M1775="判定不能"),"判定不能",IF(AM1775&gt;=判定条件!$C$9,"利用可",IF(AND(V1775="停止",M1775="停止"),"両方停止","運転がそろわない")))</f>
        <v>運転がそろわない</v>
      </c>
      <c r="AO1775" s="30" t="n">
        <v>60</v>
      </c>
      <c r="AP1775" s="30" t="n">
        <v>0</v>
      </c>
      <c r="AQ1775" s="30" t="str">
        <f aca="false">IF(OR(Y1775="判定不能",G1775="判定不能"),"判定不能",IF(AP1775&gt;=判定条件!$C$9,"利用可",IF(AND(Y1775="停止",G1775="停止"),"両方停止","運転がそろわない")))</f>
        <v>運転がそろわない</v>
      </c>
      <c r="AR1775" s="30" t="n">
        <v>60</v>
      </c>
      <c r="AS1775" s="30" t="n">
        <v>0</v>
      </c>
      <c r="AT1775" s="30" t="str">
        <f aca="false">IF(OR(AB1775="判定不能",J1775="判定不能"),"判定不能",IF(AS1775&gt;=判定条件!$C$9,"利用可",IF(AND(AB1775="停止",J1775="停止"),"両方停止","運転がそろわない")))</f>
        <v>両方停止</v>
      </c>
      <c r="AU1775" s="30" t="n">
        <v>60</v>
      </c>
      <c r="AV1775" s="30" t="n">
        <v>0</v>
      </c>
      <c r="AW1775" s="30" t="str">
        <f aca="false">IF(OR(AE1775="判定不能",M1775="判定不能"),"判定不能",IF(AV1775&gt;=判定条件!$C$9,"利用可",IF(AND(AE1775="停止",M1775="停止"),"両方停止","運転がそろわない")))</f>
        <v>運転がそろわない</v>
      </c>
      <c r="AX1775" s="30" t="str">
        <f aca="false">IF(AND(AH1775="利用可",AK1775="利用可",AN1775="利用可"),"利用可","不可")</f>
        <v>不可</v>
      </c>
      <c r="AY1775" s="30" t="str">
        <f aca="false">IF(AND(AQ1775="利用可",AT1775="利用可",AW1775="利用可"),"利用可","不可")</f>
        <v>不可</v>
      </c>
    </row>
    <row r="1776" customFormat="false" ht="15" hidden="false" customHeight="false" outlineLevel="0" collapsed="false">
      <c r="A1776" s="29" t="n">
        <v>46305</v>
      </c>
      <c r="B1776" s="30" t="n">
        <v>21</v>
      </c>
      <c r="C1776" s="31" t="s">
        <v>63</v>
      </c>
      <c r="D1776" s="31" t="s">
        <v>64</v>
      </c>
      <c r="E1776" s="30" t="n">
        <v>60</v>
      </c>
      <c r="F1776" s="30" t="n">
        <v>0</v>
      </c>
      <c r="G1776" s="30" t="str">
        <f aca="false">IF(E1776&lt;判定条件!$C$6,"判定不能",IF(F1776&gt;=判定条件!$C$7*E1776,"運転",IF(F1776&lt;=判定条件!$C$8*E1776,"停止","断続")))</f>
        <v>停止</v>
      </c>
      <c r="H1776" s="30" t="n">
        <v>60</v>
      </c>
      <c r="I1776" s="30" t="n">
        <v>0</v>
      </c>
      <c r="J1776" s="30" t="str">
        <f aca="false">IF(H1776&lt;判定条件!$C$6,"判定不能",IF(I1776&gt;=判定条件!$C$7*H1776,"運転",IF(I1776&lt;=判定条件!$C$8*H1776,"停止","断続")))</f>
        <v>停止</v>
      </c>
      <c r="K1776" s="30" t="n">
        <v>60</v>
      </c>
      <c r="L1776" s="30" t="n">
        <v>14</v>
      </c>
      <c r="M1776" s="30" t="str">
        <f aca="false">IF(K1776&lt;判定条件!$C$6,"判定不能",IF(L1776&gt;=判定条件!$C$7*K1776,"運転",IF(L1776&lt;=判定条件!$C$8*K1776,"停止","断続")))</f>
        <v>断続</v>
      </c>
      <c r="N1776" s="30" t="n">
        <v>60</v>
      </c>
      <c r="O1776" s="30" t="n">
        <v>0</v>
      </c>
      <c r="P1776" s="30" t="str">
        <f aca="false">IF(N1776&lt;判定条件!$C$6,"判定不能",IF(O1776&gt;=判定条件!$C$7*N1776,"運転",IF(O1776&lt;=判定条件!$C$8*N1776,"停止","断続")))</f>
        <v>停止</v>
      </c>
      <c r="Q1776" s="30" t="n">
        <v>60</v>
      </c>
      <c r="R1776" s="30" t="n">
        <v>0</v>
      </c>
      <c r="S1776" s="30" t="str">
        <f aca="false">IF(Q1776&lt;判定条件!$C$6,"判定不能",IF(R1776&gt;=判定条件!$C$7*Q1776,"運転",IF(R1776&lt;=判定条件!$C$8*Q1776,"停止","断続")))</f>
        <v>停止</v>
      </c>
      <c r="T1776" s="30" t="n">
        <v>60</v>
      </c>
      <c r="U1776" s="30" t="n">
        <v>0</v>
      </c>
      <c r="V1776" s="30" t="str">
        <f aca="false">IF(T1776&lt;判定条件!$C$6,"判定不能",IF(U1776&gt;=判定条件!$C$7*T1776,"運転",IF(U1776&lt;=判定条件!$C$8*T1776,"停止","断続")))</f>
        <v>停止</v>
      </c>
      <c r="W1776" s="30" t="n">
        <v>60</v>
      </c>
      <c r="X1776" s="30" t="n">
        <v>0</v>
      </c>
      <c r="Y1776" s="30" t="str">
        <f aca="false">IF(W1776&lt;判定条件!$C$6,"判定不能",IF(X1776&gt;=判定条件!$C$7*W1776,"運転",IF(X1776&lt;=判定条件!$C$8*W1776,"停止","断続")))</f>
        <v>停止</v>
      </c>
      <c r="Z1776" s="30" t="n">
        <v>60</v>
      </c>
      <c r="AA1776" s="30" t="n">
        <v>0</v>
      </c>
      <c r="AB1776" s="30" t="str">
        <f aca="false">IF(Z1776&lt;判定条件!$C$6,"判定不能",IF(AA1776&gt;=判定条件!$C$7*Z1776,"運転",IF(AA1776&lt;=判定条件!$C$8*Z1776,"停止","断続")))</f>
        <v>停止</v>
      </c>
      <c r="AC1776" s="30" t="n">
        <v>60</v>
      </c>
      <c r="AD1776" s="30" t="n">
        <v>0</v>
      </c>
      <c r="AE1776" s="30" t="str">
        <f aca="false">IF(AC1776&lt;判定条件!$C$6,"判定不能",IF(AD1776&gt;=判定条件!$C$7*AC1776,"運転",IF(AD1776&lt;=判定条件!$C$8*AC1776,"停止","断続")))</f>
        <v>停止</v>
      </c>
      <c r="AF1776" s="30" t="n">
        <v>60</v>
      </c>
      <c r="AG1776" s="30" t="n">
        <v>0</v>
      </c>
      <c r="AH1776" s="30" t="str">
        <f aca="false">IF(OR(P1776="判定不能",G1776="判定不能"),"判定不能",IF(AG1776&gt;=判定条件!$C$9,"利用可",IF(AND(P1776="停止",G1776="停止"),"両方停止","運転がそろわない")))</f>
        <v>両方停止</v>
      </c>
      <c r="AI1776" s="30" t="n">
        <v>60</v>
      </c>
      <c r="AJ1776" s="30" t="n">
        <v>0</v>
      </c>
      <c r="AK1776" s="30" t="str">
        <f aca="false">IF(OR(S1776="判定不能",J1776="判定不能"),"判定不能",IF(AJ1776&gt;=判定条件!$C$9,"利用可",IF(AND(S1776="停止",J1776="停止"),"両方停止","運転がそろわない")))</f>
        <v>両方停止</v>
      </c>
      <c r="AL1776" s="30" t="n">
        <v>60</v>
      </c>
      <c r="AM1776" s="30" t="n">
        <v>0</v>
      </c>
      <c r="AN1776" s="30" t="str">
        <f aca="false">IF(OR(V1776="判定不能",M1776="判定不能"),"判定不能",IF(AM1776&gt;=判定条件!$C$9,"利用可",IF(AND(V1776="停止",M1776="停止"),"両方停止","運転がそろわない")))</f>
        <v>運転がそろわない</v>
      </c>
      <c r="AO1776" s="30" t="n">
        <v>60</v>
      </c>
      <c r="AP1776" s="30" t="n">
        <v>0</v>
      </c>
      <c r="AQ1776" s="30" t="str">
        <f aca="false">IF(OR(Y1776="判定不能",G1776="判定不能"),"判定不能",IF(AP1776&gt;=判定条件!$C$9,"利用可",IF(AND(Y1776="停止",G1776="停止"),"両方停止","運転がそろわない")))</f>
        <v>両方停止</v>
      </c>
      <c r="AR1776" s="30" t="n">
        <v>60</v>
      </c>
      <c r="AS1776" s="30" t="n">
        <v>0</v>
      </c>
      <c r="AT1776" s="30" t="str">
        <f aca="false">IF(OR(AB1776="判定不能",J1776="判定不能"),"判定不能",IF(AS1776&gt;=判定条件!$C$9,"利用可",IF(AND(AB1776="停止",J1776="停止"),"両方停止","運転がそろわない")))</f>
        <v>両方停止</v>
      </c>
      <c r="AU1776" s="30" t="n">
        <v>60</v>
      </c>
      <c r="AV1776" s="30" t="n">
        <v>0</v>
      </c>
      <c r="AW1776" s="30" t="str">
        <f aca="false">IF(OR(AE1776="判定不能",M1776="判定不能"),"判定不能",IF(AV1776&gt;=判定条件!$C$9,"利用可",IF(AND(AE1776="停止",M1776="停止"),"両方停止","運転がそろわない")))</f>
        <v>運転がそろわない</v>
      </c>
      <c r="AX1776" s="30" t="str">
        <f aca="false">IF(AND(AH1776="利用可",AK1776="利用可",AN1776="利用可"),"利用可","不可")</f>
        <v>不可</v>
      </c>
      <c r="AY1776" s="30" t="str">
        <f aca="false">IF(AND(AQ1776="利用可",AT1776="利用可",AW1776="利用可"),"利用可","不可")</f>
        <v>不可</v>
      </c>
    </row>
    <row r="1777" customFormat="false" ht="15" hidden="false" customHeight="false" outlineLevel="0" collapsed="false">
      <c r="A1777" s="29" t="n">
        <v>46305</v>
      </c>
      <c r="B1777" s="30" t="n">
        <v>22</v>
      </c>
      <c r="C1777" s="31" t="s">
        <v>63</v>
      </c>
      <c r="D1777" s="31" t="s">
        <v>64</v>
      </c>
      <c r="E1777" s="30" t="n">
        <v>60</v>
      </c>
      <c r="F1777" s="30" t="n">
        <v>0</v>
      </c>
      <c r="G1777" s="30" t="str">
        <f aca="false">IF(E1777&lt;判定条件!$C$6,"判定不能",IF(F1777&gt;=判定条件!$C$7*E1777,"運転",IF(F1777&lt;=判定条件!$C$8*E1777,"停止","断続")))</f>
        <v>停止</v>
      </c>
      <c r="H1777" s="30" t="n">
        <v>60</v>
      </c>
      <c r="I1777" s="30" t="n">
        <v>0</v>
      </c>
      <c r="J1777" s="30" t="str">
        <f aca="false">IF(H1777&lt;判定条件!$C$6,"判定不能",IF(I1777&gt;=判定条件!$C$7*H1777,"運転",IF(I1777&lt;=判定条件!$C$8*H1777,"停止","断続")))</f>
        <v>停止</v>
      </c>
      <c r="K1777" s="30" t="n">
        <v>60</v>
      </c>
      <c r="L1777" s="30" t="n">
        <v>0</v>
      </c>
      <c r="M1777" s="30" t="str">
        <f aca="false">IF(K1777&lt;判定条件!$C$6,"判定不能",IF(L1777&gt;=判定条件!$C$7*K1777,"運転",IF(L1777&lt;=判定条件!$C$8*K1777,"停止","断続")))</f>
        <v>停止</v>
      </c>
      <c r="N1777" s="30" t="n">
        <v>60</v>
      </c>
      <c r="O1777" s="30" t="n">
        <v>0</v>
      </c>
      <c r="P1777" s="30" t="str">
        <f aca="false">IF(N1777&lt;判定条件!$C$6,"判定不能",IF(O1777&gt;=判定条件!$C$7*N1777,"運転",IF(O1777&lt;=判定条件!$C$8*N1777,"停止","断続")))</f>
        <v>停止</v>
      </c>
      <c r="Q1777" s="30" t="n">
        <v>60</v>
      </c>
      <c r="R1777" s="30" t="n">
        <v>0</v>
      </c>
      <c r="S1777" s="30" t="str">
        <f aca="false">IF(Q1777&lt;判定条件!$C$6,"判定不能",IF(R1777&gt;=判定条件!$C$7*Q1777,"運転",IF(R1777&lt;=判定条件!$C$8*Q1777,"停止","断続")))</f>
        <v>停止</v>
      </c>
      <c r="T1777" s="30" t="n">
        <v>60</v>
      </c>
      <c r="U1777" s="30" t="n">
        <v>0</v>
      </c>
      <c r="V1777" s="30" t="str">
        <f aca="false">IF(T1777&lt;判定条件!$C$6,"判定不能",IF(U1777&gt;=判定条件!$C$7*T1777,"運転",IF(U1777&lt;=判定条件!$C$8*T1777,"停止","断続")))</f>
        <v>停止</v>
      </c>
      <c r="W1777" s="30" t="n">
        <v>60</v>
      </c>
      <c r="X1777" s="30" t="n">
        <v>0</v>
      </c>
      <c r="Y1777" s="30" t="str">
        <f aca="false">IF(W1777&lt;判定条件!$C$6,"判定不能",IF(X1777&gt;=判定条件!$C$7*W1777,"運転",IF(X1777&lt;=判定条件!$C$8*W1777,"停止","断続")))</f>
        <v>停止</v>
      </c>
      <c r="Z1777" s="30" t="n">
        <v>60</v>
      </c>
      <c r="AA1777" s="30" t="n">
        <v>0</v>
      </c>
      <c r="AB1777" s="30" t="str">
        <f aca="false">IF(Z1777&lt;判定条件!$C$6,"判定不能",IF(AA1777&gt;=判定条件!$C$7*Z1777,"運転",IF(AA1777&lt;=判定条件!$C$8*Z1777,"停止","断続")))</f>
        <v>停止</v>
      </c>
      <c r="AC1777" s="30" t="n">
        <v>60</v>
      </c>
      <c r="AD1777" s="30" t="n">
        <v>0</v>
      </c>
      <c r="AE1777" s="30" t="str">
        <f aca="false">IF(AC1777&lt;判定条件!$C$6,"判定不能",IF(AD1777&gt;=判定条件!$C$7*AC1777,"運転",IF(AD1777&lt;=判定条件!$C$8*AC1777,"停止","断続")))</f>
        <v>停止</v>
      </c>
      <c r="AF1777" s="30" t="n">
        <v>60</v>
      </c>
      <c r="AG1777" s="30" t="n">
        <v>0</v>
      </c>
      <c r="AH1777" s="30" t="str">
        <f aca="false">IF(OR(P1777="判定不能",G1777="判定不能"),"判定不能",IF(AG1777&gt;=判定条件!$C$9,"利用可",IF(AND(P1777="停止",G1777="停止"),"両方停止","運転がそろわない")))</f>
        <v>両方停止</v>
      </c>
      <c r="AI1777" s="30" t="n">
        <v>60</v>
      </c>
      <c r="AJ1777" s="30" t="n">
        <v>0</v>
      </c>
      <c r="AK1777" s="30" t="str">
        <f aca="false">IF(OR(S1777="判定不能",J1777="判定不能"),"判定不能",IF(AJ1777&gt;=判定条件!$C$9,"利用可",IF(AND(S1777="停止",J1777="停止"),"両方停止","運転がそろわない")))</f>
        <v>両方停止</v>
      </c>
      <c r="AL1777" s="30" t="n">
        <v>60</v>
      </c>
      <c r="AM1777" s="30" t="n">
        <v>0</v>
      </c>
      <c r="AN1777" s="30" t="str">
        <f aca="false">IF(OR(V1777="判定不能",M1777="判定不能"),"判定不能",IF(AM1777&gt;=判定条件!$C$9,"利用可",IF(AND(V1777="停止",M1777="停止"),"両方停止","運転がそろわない")))</f>
        <v>両方停止</v>
      </c>
      <c r="AO1777" s="30" t="n">
        <v>60</v>
      </c>
      <c r="AP1777" s="30" t="n">
        <v>0</v>
      </c>
      <c r="AQ1777" s="30" t="str">
        <f aca="false">IF(OR(Y1777="判定不能",G1777="判定不能"),"判定不能",IF(AP1777&gt;=判定条件!$C$9,"利用可",IF(AND(Y1777="停止",G1777="停止"),"両方停止","運転がそろわない")))</f>
        <v>両方停止</v>
      </c>
      <c r="AR1777" s="30" t="n">
        <v>60</v>
      </c>
      <c r="AS1777" s="30" t="n">
        <v>0</v>
      </c>
      <c r="AT1777" s="30" t="str">
        <f aca="false">IF(OR(AB1777="判定不能",J1777="判定不能"),"判定不能",IF(AS1777&gt;=判定条件!$C$9,"利用可",IF(AND(AB1777="停止",J1777="停止"),"両方停止","運転がそろわない")))</f>
        <v>両方停止</v>
      </c>
      <c r="AU1777" s="30" t="n">
        <v>60</v>
      </c>
      <c r="AV1777" s="30" t="n">
        <v>0</v>
      </c>
      <c r="AW1777" s="30" t="str">
        <f aca="false">IF(OR(AE1777="判定不能",M1777="判定不能"),"判定不能",IF(AV1777&gt;=判定条件!$C$9,"利用可",IF(AND(AE1777="停止",M1777="停止"),"両方停止","運転がそろわない")))</f>
        <v>両方停止</v>
      </c>
      <c r="AX1777" s="30" t="str">
        <f aca="false">IF(AND(AH1777="利用可",AK1777="利用可",AN1777="利用可"),"利用可","不可")</f>
        <v>不可</v>
      </c>
      <c r="AY1777" s="30" t="str">
        <f aca="false">IF(AND(AQ1777="利用可",AT1777="利用可",AW1777="利用可"),"利用可","不可")</f>
        <v>不可</v>
      </c>
    </row>
    <row r="1778" customFormat="false" ht="15" hidden="false" customHeight="false" outlineLevel="0" collapsed="false">
      <c r="A1778" s="29" t="n">
        <v>46305</v>
      </c>
      <c r="B1778" s="30" t="n">
        <v>23</v>
      </c>
      <c r="C1778" s="31" t="s">
        <v>63</v>
      </c>
      <c r="D1778" s="31" t="s">
        <v>64</v>
      </c>
      <c r="E1778" s="30" t="n">
        <v>60</v>
      </c>
      <c r="F1778" s="30" t="n">
        <v>0</v>
      </c>
      <c r="G1778" s="30" t="str">
        <f aca="false">IF(E1778&lt;判定条件!$C$6,"判定不能",IF(F1778&gt;=判定条件!$C$7*E1778,"運転",IF(F1778&lt;=判定条件!$C$8*E1778,"停止","断続")))</f>
        <v>停止</v>
      </c>
      <c r="H1778" s="30" t="n">
        <v>60</v>
      </c>
      <c r="I1778" s="30" t="n">
        <v>0</v>
      </c>
      <c r="J1778" s="30" t="str">
        <f aca="false">IF(H1778&lt;判定条件!$C$6,"判定不能",IF(I1778&gt;=判定条件!$C$7*H1778,"運転",IF(I1778&lt;=判定条件!$C$8*H1778,"停止","断続")))</f>
        <v>停止</v>
      </c>
      <c r="K1778" s="30" t="n">
        <v>60</v>
      </c>
      <c r="L1778" s="30" t="n">
        <v>0</v>
      </c>
      <c r="M1778" s="30" t="str">
        <f aca="false">IF(K1778&lt;判定条件!$C$6,"判定不能",IF(L1778&gt;=判定条件!$C$7*K1778,"運転",IF(L1778&lt;=判定条件!$C$8*K1778,"停止","断続")))</f>
        <v>停止</v>
      </c>
      <c r="N1778" s="30" t="n">
        <v>60</v>
      </c>
      <c r="O1778" s="30" t="n">
        <v>0</v>
      </c>
      <c r="P1778" s="30" t="str">
        <f aca="false">IF(N1778&lt;判定条件!$C$6,"判定不能",IF(O1778&gt;=判定条件!$C$7*N1778,"運転",IF(O1778&lt;=判定条件!$C$8*N1778,"停止","断続")))</f>
        <v>停止</v>
      </c>
      <c r="Q1778" s="30" t="n">
        <v>60</v>
      </c>
      <c r="R1778" s="30" t="n">
        <v>0</v>
      </c>
      <c r="S1778" s="30" t="str">
        <f aca="false">IF(Q1778&lt;判定条件!$C$6,"判定不能",IF(R1778&gt;=判定条件!$C$7*Q1778,"運転",IF(R1778&lt;=判定条件!$C$8*Q1778,"停止","断続")))</f>
        <v>停止</v>
      </c>
      <c r="T1778" s="30" t="n">
        <v>60</v>
      </c>
      <c r="U1778" s="30" t="n">
        <v>0</v>
      </c>
      <c r="V1778" s="30" t="str">
        <f aca="false">IF(T1778&lt;判定条件!$C$6,"判定不能",IF(U1778&gt;=判定条件!$C$7*T1778,"運転",IF(U1778&lt;=判定条件!$C$8*T1778,"停止","断続")))</f>
        <v>停止</v>
      </c>
      <c r="W1778" s="30" t="n">
        <v>60</v>
      </c>
      <c r="X1778" s="30" t="n">
        <v>0</v>
      </c>
      <c r="Y1778" s="30" t="str">
        <f aca="false">IF(W1778&lt;判定条件!$C$6,"判定不能",IF(X1778&gt;=判定条件!$C$7*W1778,"運転",IF(X1778&lt;=判定条件!$C$8*W1778,"停止","断続")))</f>
        <v>停止</v>
      </c>
      <c r="Z1778" s="30" t="n">
        <v>60</v>
      </c>
      <c r="AA1778" s="30" t="n">
        <v>0</v>
      </c>
      <c r="AB1778" s="30" t="str">
        <f aca="false">IF(Z1778&lt;判定条件!$C$6,"判定不能",IF(AA1778&gt;=判定条件!$C$7*Z1778,"運転",IF(AA1778&lt;=判定条件!$C$8*Z1778,"停止","断続")))</f>
        <v>停止</v>
      </c>
      <c r="AC1778" s="30" t="n">
        <v>60</v>
      </c>
      <c r="AD1778" s="30" t="n">
        <v>0</v>
      </c>
      <c r="AE1778" s="30" t="str">
        <f aca="false">IF(AC1778&lt;判定条件!$C$6,"判定不能",IF(AD1778&gt;=判定条件!$C$7*AC1778,"運転",IF(AD1778&lt;=判定条件!$C$8*AC1778,"停止","断続")))</f>
        <v>停止</v>
      </c>
      <c r="AF1778" s="30" t="n">
        <v>60</v>
      </c>
      <c r="AG1778" s="30" t="n">
        <v>0</v>
      </c>
      <c r="AH1778" s="30" t="str">
        <f aca="false">IF(OR(P1778="判定不能",G1778="判定不能"),"判定不能",IF(AG1778&gt;=判定条件!$C$9,"利用可",IF(AND(P1778="停止",G1778="停止"),"両方停止","運転がそろわない")))</f>
        <v>両方停止</v>
      </c>
      <c r="AI1778" s="30" t="n">
        <v>60</v>
      </c>
      <c r="AJ1778" s="30" t="n">
        <v>0</v>
      </c>
      <c r="AK1778" s="30" t="str">
        <f aca="false">IF(OR(S1778="判定不能",J1778="判定不能"),"判定不能",IF(AJ1778&gt;=判定条件!$C$9,"利用可",IF(AND(S1778="停止",J1778="停止"),"両方停止","運転がそろわない")))</f>
        <v>両方停止</v>
      </c>
      <c r="AL1778" s="30" t="n">
        <v>60</v>
      </c>
      <c r="AM1778" s="30" t="n">
        <v>0</v>
      </c>
      <c r="AN1778" s="30" t="str">
        <f aca="false">IF(OR(V1778="判定不能",M1778="判定不能"),"判定不能",IF(AM1778&gt;=判定条件!$C$9,"利用可",IF(AND(V1778="停止",M1778="停止"),"両方停止","運転がそろわない")))</f>
        <v>両方停止</v>
      </c>
      <c r="AO1778" s="30" t="n">
        <v>60</v>
      </c>
      <c r="AP1778" s="30" t="n">
        <v>0</v>
      </c>
      <c r="AQ1778" s="30" t="str">
        <f aca="false">IF(OR(Y1778="判定不能",G1778="判定不能"),"判定不能",IF(AP1778&gt;=判定条件!$C$9,"利用可",IF(AND(Y1778="停止",G1778="停止"),"両方停止","運転がそろわない")))</f>
        <v>両方停止</v>
      </c>
      <c r="AR1778" s="30" t="n">
        <v>60</v>
      </c>
      <c r="AS1778" s="30" t="n">
        <v>0</v>
      </c>
      <c r="AT1778" s="30" t="str">
        <f aca="false">IF(OR(AB1778="判定不能",J1778="判定不能"),"判定不能",IF(AS1778&gt;=判定条件!$C$9,"利用可",IF(AND(AB1778="停止",J1778="停止"),"両方停止","運転がそろわない")))</f>
        <v>両方停止</v>
      </c>
      <c r="AU1778" s="30" t="n">
        <v>60</v>
      </c>
      <c r="AV1778" s="30" t="n">
        <v>0</v>
      </c>
      <c r="AW1778" s="30" t="str">
        <f aca="false">IF(OR(AE1778="判定不能",M1778="判定不能"),"判定不能",IF(AV1778&gt;=判定条件!$C$9,"利用可",IF(AND(AE1778="停止",M1778="停止"),"両方停止","運転がそろわない")))</f>
        <v>両方停止</v>
      </c>
      <c r="AX1778" s="30" t="str">
        <f aca="false">IF(AND(AH1778="利用可",AK1778="利用可",AN1778="利用可"),"利用可","不可")</f>
        <v>不可</v>
      </c>
      <c r="AY1778" s="30" t="str">
        <f aca="false">IF(AND(AQ1778="利用可",AT1778="利用可",AW1778="利用可"),"利用可","不可")</f>
        <v>不可</v>
      </c>
    </row>
    <row r="1779" customFormat="false" ht="15" hidden="false" customHeight="false" outlineLevel="0" collapsed="false">
      <c r="A1779" s="29" t="n">
        <v>46306</v>
      </c>
      <c r="B1779" s="30" t="n">
        <v>0</v>
      </c>
      <c r="C1779" s="31" t="s">
        <v>65</v>
      </c>
      <c r="D1779" s="31" t="s">
        <v>64</v>
      </c>
      <c r="E1779" s="30" t="n">
        <v>60</v>
      </c>
      <c r="F1779" s="30" t="n">
        <v>0</v>
      </c>
      <c r="G1779" s="30" t="str">
        <f aca="false">IF(E1779&lt;判定条件!$C$6,"判定不能",IF(F1779&gt;=判定条件!$C$7*E1779,"運転",IF(F1779&lt;=判定条件!$C$8*E1779,"停止","断続")))</f>
        <v>停止</v>
      </c>
      <c r="H1779" s="30" t="n">
        <v>60</v>
      </c>
      <c r="I1779" s="30" t="n">
        <v>0</v>
      </c>
      <c r="J1779" s="30" t="str">
        <f aca="false">IF(H1779&lt;判定条件!$C$6,"判定不能",IF(I1779&gt;=判定条件!$C$7*H1779,"運転",IF(I1779&lt;=判定条件!$C$8*H1779,"停止","断続")))</f>
        <v>停止</v>
      </c>
      <c r="K1779" s="30" t="n">
        <v>60</v>
      </c>
      <c r="L1779" s="30" t="n">
        <v>0</v>
      </c>
      <c r="M1779" s="30" t="str">
        <f aca="false">IF(K1779&lt;判定条件!$C$6,"判定不能",IF(L1779&gt;=判定条件!$C$7*K1779,"運転",IF(L1779&lt;=判定条件!$C$8*K1779,"停止","断続")))</f>
        <v>停止</v>
      </c>
      <c r="N1779" s="30" t="n">
        <v>60</v>
      </c>
      <c r="O1779" s="30" t="n">
        <v>0</v>
      </c>
      <c r="P1779" s="30" t="str">
        <f aca="false">IF(N1779&lt;判定条件!$C$6,"判定不能",IF(O1779&gt;=判定条件!$C$7*N1779,"運転",IF(O1779&lt;=判定条件!$C$8*N1779,"停止","断続")))</f>
        <v>停止</v>
      </c>
      <c r="Q1779" s="30" t="n">
        <v>60</v>
      </c>
      <c r="R1779" s="30" t="n">
        <v>0</v>
      </c>
      <c r="S1779" s="30" t="str">
        <f aca="false">IF(Q1779&lt;判定条件!$C$6,"判定不能",IF(R1779&gt;=判定条件!$C$7*Q1779,"運転",IF(R1779&lt;=判定条件!$C$8*Q1779,"停止","断続")))</f>
        <v>停止</v>
      </c>
      <c r="T1779" s="30" t="n">
        <v>60</v>
      </c>
      <c r="U1779" s="30" t="n">
        <v>0</v>
      </c>
      <c r="V1779" s="30" t="str">
        <f aca="false">IF(T1779&lt;判定条件!$C$6,"判定不能",IF(U1779&gt;=判定条件!$C$7*T1779,"運転",IF(U1779&lt;=判定条件!$C$8*T1779,"停止","断続")))</f>
        <v>停止</v>
      </c>
      <c r="W1779" s="30" t="n">
        <v>60</v>
      </c>
      <c r="X1779" s="30" t="n">
        <v>0</v>
      </c>
      <c r="Y1779" s="30" t="str">
        <f aca="false">IF(W1779&lt;判定条件!$C$6,"判定不能",IF(X1779&gt;=判定条件!$C$7*W1779,"運転",IF(X1779&lt;=判定条件!$C$8*W1779,"停止","断続")))</f>
        <v>停止</v>
      </c>
      <c r="Z1779" s="30" t="n">
        <v>60</v>
      </c>
      <c r="AA1779" s="30" t="n">
        <v>0</v>
      </c>
      <c r="AB1779" s="30" t="str">
        <f aca="false">IF(Z1779&lt;判定条件!$C$6,"判定不能",IF(AA1779&gt;=判定条件!$C$7*Z1779,"運転",IF(AA1779&lt;=判定条件!$C$8*Z1779,"停止","断続")))</f>
        <v>停止</v>
      </c>
      <c r="AC1779" s="30" t="n">
        <v>60</v>
      </c>
      <c r="AD1779" s="30" t="n">
        <v>0</v>
      </c>
      <c r="AE1779" s="30" t="str">
        <f aca="false">IF(AC1779&lt;判定条件!$C$6,"判定不能",IF(AD1779&gt;=判定条件!$C$7*AC1779,"運転",IF(AD1779&lt;=判定条件!$C$8*AC1779,"停止","断続")))</f>
        <v>停止</v>
      </c>
      <c r="AF1779" s="30" t="n">
        <v>60</v>
      </c>
      <c r="AG1779" s="30" t="n">
        <v>0</v>
      </c>
      <c r="AH1779" s="30" t="str">
        <f aca="false">IF(OR(P1779="判定不能",G1779="判定不能"),"判定不能",IF(AG1779&gt;=判定条件!$C$9,"利用可",IF(AND(P1779="停止",G1779="停止"),"両方停止","運転がそろわない")))</f>
        <v>両方停止</v>
      </c>
      <c r="AI1779" s="30" t="n">
        <v>60</v>
      </c>
      <c r="AJ1779" s="30" t="n">
        <v>0</v>
      </c>
      <c r="AK1779" s="30" t="str">
        <f aca="false">IF(OR(S1779="判定不能",J1779="判定不能"),"判定不能",IF(AJ1779&gt;=判定条件!$C$9,"利用可",IF(AND(S1779="停止",J1779="停止"),"両方停止","運転がそろわない")))</f>
        <v>両方停止</v>
      </c>
      <c r="AL1779" s="30" t="n">
        <v>60</v>
      </c>
      <c r="AM1779" s="30" t="n">
        <v>0</v>
      </c>
      <c r="AN1779" s="30" t="str">
        <f aca="false">IF(OR(V1779="判定不能",M1779="判定不能"),"判定不能",IF(AM1779&gt;=判定条件!$C$9,"利用可",IF(AND(V1779="停止",M1779="停止"),"両方停止","運転がそろわない")))</f>
        <v>両方停止</v>
      </c>
      <c r="AO1779" s="30" t="n">
        <v>60</v>
      </c>
      <c r="AP1779" s="30" t="n">
        <v>0</v>
      </c>
      <c r="AQ1779" s="30" t="str">
        <f aca="false">IF(OR(Y1779="判定不能",G1779="判定不能"),"判定不能",IF(AP1779&gt;=判定条件!$C$9,"利用可",IF(AND(Y1779="停止",G1779="停止"),"両方停止","運転がそろわない")))</f>
        <v>両方停止</v>
      </c>
      <c r="AR1779" s="30" t="n">
        <v>60</v>
      </c>
      <c r="AS1779" s="30" t="n">
        <v>0</v>
      </c>
      <c r="AT1779" s="30" t="str">
        <f aca="false">IF(OR(AB1779="判定不能",J1779="判定不能"),"判定不能",IF(AS1779&gt;=判定条件!$C$9,"利用可",IF(AND(AB1779="停止",J1779="停止"),"両方停止","運転がそろわない")))</f>
        <v>両方停止</v>
      </c>
      <c r="AU1779" s="30" t="n">
        <v>60</v>
      </c>
      <c r="AV1779" s="30" t="n">
        <v>0</v>
      </c>
      <c r="AW1779" s="30" t="str">
        <f aca="false">IF(OR(AE1779="判定不能",M1779="判定不能"),"判定不能",IF(AV1779&gt;=判定条件!$C$9,"利用可",IF(AND(AE1779="停止",M1779="停止"),"両方停止","運転がそろわない")))</f>
        <v>両方停止</v>
      </c>
      <c r="AX1779" s="30" t="str">
        <f aca="false">IF(AND(AH1779="利用可",AK1779="利用可",AN1779="利用可"),"利用可","不可")</f>
        <v>不可</v>
      </c>
      <c r="AY1779" s="30" t="str">
        <f aca="false">IF(AND(AQ1779="利用可",AT1779="利用可",AW1779="利用可"),"利用可","不可")</f>
        <v>不可</v>
      </c>
    </row>
    <row r="1780" customFormat="false" ht="15" hidden="false" customHeight="false" outlineLevel="0" collapsed="false">
      <c r="A1780" s="29" t="n">
        <v>46306</v>
      </c>
      <c r="B1780" s="30" t="n">
        <v>1</v>
      </c>
      <c r="C1780" s="31" t="s">
        <v>65</v>
      </c>
      <c r="D1780" s="31" t="s">
        <v>64</v>
      </c>
      <c r="E1780" s="30" t="n">
        <v>60</v>
      </c>
      <c r="F1780" s="30" t="n">
        <v>0</v>
      </c>
      <c r="G1780" s="30" t="str">
        <f aca="false">IF(E1780&lt;判定条件!$C$6,"判定不能",IF(F1780&gt;=判定条件!$C$7*E1780,"運転",IF(F1780&lt;=判定条件!$C$8*E1780,"停止","断続")))</f>
        <v>停止</v>
      </c>
      <c r="H1780" s="30" t="n">
        <v>60</v>
      </c>
      <c r="I1780" s="30" t="n">
        <v>0</v>
      </c>
      <c r="J1780" s="30" t="str">
        <f aca="false">IF(H1780&lt;判定条件!$C$6,"判定不能",IF(I1780&gt;=判定条件!$C$7*H1780,"運転",IF(I1780&lt;=判定条件!$C$8*H1780,"停止","断続")))</f>
        <v>停止</v>
      </c>
      <c r="K1780" s="30" t="n">
        <v>60</v>
      </c>
      <c r="L1780" s="30" t="n">
        <v>0</v>
      </c>
      <c r="M1780" s="30" t="str">
        <f aca="false">IF(K1780&lt;判定条件!$C$6,"判定不能",IF(L1780&gt;=判定条件!$C$7*K1780,"運転",IF(L1780&lt;=判定条件!$C$8*K1780,"停止","断続")))</f>
        <v>停止</v>
      </c>
      <c r="N1780" s="30" t="n">
        <v>60</v>
      </c>
      <c r="O1780" s="30" t="n">
        <v>0</v>
      </c>
      <c r="P1780" s="30" t="str">
        <f aca="false">IF(N1780&lt;判定条件!$C$6,"判定不能",IF(O1780&gt;=判定条件!$C$7*N1780,"運転",IF(O1780&lt;=判定条件!$C$8*N1780,"停止","断続")))</f>
        <v>停止</v>
      </c>
      <c r="Q1780" s="30" t="n">
        <v>60</v>
      </c>
      <c r="R1780" s="30" t="n">
        <v>0</v>
      </c>
      <c r="S1780" s="30" t="str">
        <f aca="false">IF(Q1780&lt;判定条件!$C$6,"判定不能",IF(R1780&gt;=判定条件!$C$7*Q1780,"運転",IF(R1780&lt;=判定条件!$C$8*Q1780,"停止","断続")))</f>
        <v>停止</v>
      </c>
      <c r="T1780" s="30" t="n">
        <v>60</v>
      </c>
      <c r="U1780" s="30" t="n">
        <v>0</v>
      </c>
      <c r="V1780" s="30" t="str">
        <f aca="false">IF(T1780&lt;判定条件!$C$6,"判定不能",IF(U1780&gt;=判定条件!$C$7*T1780,"運転",IF(U1780&lt;=判定条件!$C$8*T1780,"停止","断続")))</f>
        <v>停止</v>
      </c>
      <c r="W1780" s="30" t="n">
        <v>60</v>
      </c>
      <c r="X1780" s="30" t="n">
        <v>0</v>
      </c>
      <c r="Y1780" s="30" t="str">
        <f aca="false">IF(W1780&lt;判定条件!$C$6,"判定不能",IF(X1780&gt;=判定条件!$C$7*W1780,"運転",IF(X1780&lt;=判定条件!$C$8*W1780,"停止","断続")))</f>
        <v>停止</v>
      </c>
      <c r="Z1780" s="30" t="n">
        <v>60</v>
      </c>
      <c r="AA1780" s="30" t="n">
        <v>0</v>
      </c>
      <c r="AB1780" s="30" t="str">
        <f aca="false">IF(Z1780&lt;判定条件!$C$6,"判定不能",IF(AA1780&gt;=判定条件!$C$7*Z1780,"運転",IF(AA1780&lt;=判定条件!$C$8*Z1780,"停止","断続")))</f>
        <v>停止</v>
      </c>
      <c r="AC1780" s="30" t="n">
        <v>60</v>
      </c>
      <c r="AD1780" s="30" t="n">
        <v>0</v>
      </c>
      <c r="AE1780" s="30" t="str">
        <f aca="false">IF(AC1780&lt;判定条件!$C$6,"判定不能",IF(AD1780&gt;=判定条件!$C$7*AC1780,"運転",IF(AD1780&lt;=判定条件!$C$8*AC1780,"停止","断続")))</f>
        <v>停止</v>
      </c>
      <c r="AF1780" s="30" t="n">
        <v>60</v>
      </c>
      <c r="AG1780" s="30" t="n">
        <v>0</v>
      </c>
      <c r="AH1780" s="30" t="str">
        <f aca="false">IF(OR(P1780="判定不能",G1780="判定不能"),"判定不能",IF(AG1780&gt;=判定条件!$C$9,"利用可",IF(AND(P1780="停止",G1780="停止"),"両方停止","運転がそろわない")))</f>
        <v>両方停止</v>
      </c>
      <c r="AI1780" s="30" t="n">
        <v>60</v>
      </c>
      <c r="AJ1780" s="30" t="n">
        <v>0</v>
      </c>
      <c r="AK1780" s="30" t="str">
        <f aca="false">IF(OR(S1780="判定不能",J1780="判定不能"),"判定不能",IF(AJ1780&gt;=判定条件!$C$9,"利用可",IF(AND(S1780="停止",J1780="停止"),"両方停止","運転がそろわない")))</f>
        <v>両方停止</v>
      </c>
      <c r="AL1780" s="30" t="n">
        <v>60</v>
      </c>
      <c r="AM1780" s="30" t="n">
        <v>0</v>
      </c>
      <c r="AN1780" s="30" t="str">
        <f aca="false">IF(OR(V1780="判定不能",M1780="判定不能"),"判定不能",IF(AM1780&gt;=判定条件!$C$9,"利用可",IF(AND(V1780="停止",M1780="停止"),"両方停止","運転がそろわない")))</f>
        <v>両方停止</v>
      </c>
      <c r="AO1780" s="30" t="n">
        <v>60</v>
      </c>
      <c r="AP1780" s="30" t="n">
        <v>0</v>
      </c>
      <c r="AQ1780" s="30" t="str">
        <f aca="false">IF(OR(Y1780="判定不能",G1780="判定不能"),"判定不能",IF(AP1780&gt;=判定条件!$C$9,"利用可",IF(AND(Y1780="停止",G1780="停止"),"両方停止","運転がそろわない")))</f>
        <v>両方停止</v>
      </c>
      <c r="AR1780" s="30" t="n">
        <v>60</v>
      </c>
      <c r="AS1780" s="30" t="n">
        <v>0</v>
      </c>
      <c r="AT1780" s="30" t="str">
        <f aca="false">IF(OR(AB1780="判定不能",J1780="判定不能"),"判定不能",IF(AS1780&gt;=判定条件!$C$9,"利用可",IF(AND(AB1780="停止",J1780="停止"),"両方停止","運転がそろわない")))</f>
        <v>両方停止</v>
      </c>
      <c r="AU1780" s="30" t="n">
        <v>60</v>
      </c>
      <c r="AV1780" s="30" t="n">
        <v>0</v>
      </c>
      <c r="AW1780" s="30" t="str">
        <f aca="false">IF(OR(AE1780="判定不能",M1780="判定不能"),"判定不能",IF(AV1780&gt;=判定条件!$C$9,"利用可",IF(AND(AE1780="停止",M1780="停止"),"両方停止","運転がそろわない")))</f>
        <v>両方停止</v>
      </c>
      <c r="AX1780" s="30" t="str">
        <f aca="false">IF(AND(AH1780="利用可",AK1780="利用可",AN1780="利用可"),"利用可","不可")</f>
        <v>不可</v>
      </c>
      <c r="AY1780" s="30" t="str">
        <f aca="false">IF(AND(AQ1780="利用可",AT1780="利用可",AW1780="利用可"),"利用可","不可")</f>
        <v>不可</v>
      </c>
    </row>
    <row r="1781" customFormat="false" ht="15" hidden="false" customHeight="false" outlineLevel="0" collapsed="false">
      <c r="A1781" s="29" t="n">
        <v>46306</v>
      </c>
      <c r="B1781" s="30" t="n">
        <v>2</v>
      </c>
      <c r="C1781" s="31" t="s">
        <v>65</v>
      </c>
      <c r="D1781" s="31" t="s">
        <v>64</v>
      </c>
      <c r="E1781" s="30" t="n">
        <v>60</v>
      </c>
      <c r="F1781" s="30" t="n">
        <v>0</v>
      </c>
      <c r="G1781" s="30" t="str">
        <f aca="false">IF(E1781&lt;判定条件!$C$6,"判定不能",IF(F1781&gt;=判定条件!$C$7*E1781,"運転",IF(F1781&lt;=判定条件!$C$8*E1781,"停止","断続")))</f>
        <v>停止</v>
      </c>
      <c r="H1781" s="30" t="n">
        <v>60</v>
      </c>
      <c r="I1781" s="30" t="n">
        <v>0</v>
      </c>
      <c r="J1781" s="30" t="str">
        <f aca="false">IF(H1781&lt;判定条件!$C$6,"判定不能",IF(I1781&gt;=判定条件!$C$7*H1781,"運転",IF(I1781&lt;=判定条件!$C$8*H1781,"停止","断続")))</f>
        <v>停止</v>
      </c>
      <c r="K1781" s="30" t="n">
        <v>60</v>
      </c>
      <c r="L1781" s="30" t="n">
        <v>0</v>
      </c>
      <c r="M1781" s="30" t="str">
        <f aca="false">IF(K1781&lt;判定条件!$C$6,"判定不能",IF(L1781&gt;=判定条件!$C$7*K1781,"運転",IF(L1781&lt;=判定条件!$C$8*K1781,"停止","断続")))</f>
        <v>停止</v>
      </c>
      <c r="N1781" s="30" t="n">
        <v>60</v>
      </c>
      <c r="O1781" s="30" t="n">
        <v>0</v>
      </c>
      <c r="P1781" s="30" t="str">
        <f aca="false">IF(N1781&lt;判定条件!$C$6,"判定不能",IF(O1781&gt;=判定条件!$C$7*N1781,"運転",IF(O1781&lt;=判定条件!$C$8*N1781,"停止","断続")))</f>
        <v>停止</v>
      </c>
      <c r="Q1781" s="30" t="n">
        <v>60</v>
      </c>
      <c r="R1781" s="30" t="n">
        <v>0</v>
      </c>
      <c r="S1781" s="30" t="str">
        <f aca="false">IF(Q1781&lt;判定条件!$C$6,"判定不能",IF(R1781&gt;=判定条件!$C$7*Q1781,"運転",IF(R1781&lt;=判定条件!$C$8*Q1781,"停止","断続")))</f>
        <v>停止</v>
      </c>
      <c r="T1781" s="30" t="n">
        <v>60</v>
      </c>
      <c r="U1781" s="30" t="n">
        <v>0</v>
      </c>
      <c r="V1781" s="30" t="str">
        <f aca="false">IF(T1781&lt;判定条件!$C$6,"判定不能",IF(U1781&gt;=判定条件!$C$7*T1781,"運転",IF(U1781&lt;=判定条件!$C$8*T1781,"停止","断続")))</f>
        <v>停止</v>
      </c>
      <c r="W1781" s="30" t="n">
        <v>60</v>
      </c>
      <c r="X1781" s="30" t="n">
        <v>0</v>
      </c>
      <c r="Y1781" s="30" t="str">
        <f aca="false">IF(W1781&lt;判定条件!$C$6,"判定不能",IF(X1781&gt;=判定条件!$C$7*W1781,"運転",IF(X1781&lt;=判定条件!$C$8*W1781,"停止","断続")))</f>
        <v>停止</v>
      </c>
      <c r="Z1781" s="30" t="n">
        <v>60</v>
      </c>
      <c r="AA1781" s="30" t="n">
        <v>0</v>
      </c>
      <c r="AB1781" s="30" t="str">
        <f aca="false">IF(Z1781&lt;判定条件!$C$6,"判定不能",IF(AA1781&gt;=判定条件!$C$7*Z1781,"運転",IF(AA1781&lt;=判定条件!$C$8*Z1781,"停止","断続")))</f>
        <v>停止</v>
      </c>
      <c r="AC1781" s="30" t="n">
        <v>60</v>
      </c>
      <c r="AD1781" s="30" t="n">
        <v>0</v>
      </c>
      <c r="AE1781" s="30" t="str">
        <f aca="false">IF(AC1781&lt;判定条件!$C$6,"判定不能",IF(AD1781&gt;=判定条件!$C$7*AC1781,"運転",IF(AD1781&lt;=判定条件!$C$8*AC1781,"停止","断続")))</f>
        <v>停止</v>
      </c>
      <c r="AF1781" s="30" t="n">
        <v>60</v>
      </c>
      <c r="AG1781" s="30" t="n">
        <v>0</v>
      </c>
      <c r="AH1781" s="30" t="str">
        <f aca="false">IF(OR(P1781="判定不能",G1781="判定不能"),"判定不能",IF(AG1781&gt;=判定条件!$C$9,"利用可",IF(AND(P1781="停止",G1781="停止"),"両方停止","運転がそろわない")))</f>
        <v>両方停止</v>
      </c>
      <c r="AI1781" s="30" t="n">
        <v>60</v>
      </c>
      <c r="AJ1781" s="30" t="n">
        <v>0</v>
      </c>
      <c r="AK1781" s="30" t="str">
        <f aca="false">IF(OR(S1781="判定不能",J1781="判定不能"),"判定不能",IF(AJ1781&gt;=判定条件!$C$9,"利用可",IF(AND(S1781="停止",J1781="停止"),"両方停止","運転がそろわない")))</f>
        <v>両方停止</v>
      </c>
      <c r="AL1781" s="30" t="n">
        <v>60</v>
      </c>
      <c r="AM1781" s="30" t="n">
        <v>0</v>
      </c>
      <c r="AN1781" s="30" t="str">
        <f aca="false">IF(OR(V1781="判定不能",M1781="判定不能"),"判定不能",IF(AM1781&gt;=判定条件!$C$9,"利用可",IF(AND(V1781="停止",M1781="停止"),"両方停止","運転がそろわない")))</f>
        <v>両方停止</v>
      </c>
      <c r="AO1781" s="30" t="n">
        <v>60</v>
      </c>
      <c r="AP1781" s="30" t="n">
        <v>0</v>
      </c>
      <c r="AQ1781" s="30" t="str">
        <f aca="false">IF(OR(Y1781="判定不能",G1781="判定不能"),"判定不能",IF(AP1781&gt;=判定条件!$C$9,"利用可",IF(AND(Y1781="停止",G1781="停止"),"両方停止","運転がそろわない")))</f>
        <v>両方停止</v>
      </c>
      <c r="AR1781" s="30" t="n">
        <v>60</v>
      </c>
      <c r="AS1781" s="30" t="n">
        <v>0</v>
      </c>
      <c r="AT1781" s="30" t="str">
        <f aca="false">IF(OR(AB1781="判定不能",J1781="判定不能"),"判定不能",IF(AS1781&gt;=判定条件!$C$9,"利用可",IF(AND(AB1781="停止",J1781="停止"),"両方停止","運転がそろわない")))</f>
        <v>両方停止</v>
      </c>
      <c r="AU1781" s="30" t="n">
        <v>60</v>
      </c>
      <c r="AV1781" s="30" t="n">
        <v>0</v>
      </c>
      <c r="AW1781" s="30" t="str">
        <f aca="false">IF(OR(AE1781="判定不能",M1781="判定不能"),"判定不能",IF(AV1781&gt;=判定条件!$C$9,"利用可",IF(AND(AE1781="停止",M1781="停止"),"両方停止","運転がそろわない")))</f>
        <v>両方停止</v>
      </c>
      <c r="AX1781" s="30" t="str">
        <f aca="false">IF(AND(AH1781="利用可",AK1781="利用可",AN1781="利用可"),"利用可","不可")</f>
        <v>不可</v>
      </c>
      <c r="AY1781" s="30" t="str">
        <f aca="false">IF(AND(AQ1781="利用可",AT1781="利用可",AW1781="利用可"),"利用可","不可")</f>
        <v>不可</v>
      </c>
    </row>
    <row r="1782" customFormat="false" ht="15" hidden="false" customHeight="false" outlineLevel="0" collapsed="false">
      <c r="A1782" s="29" t="n">
        <v>46306</v>
      </c>
      <c r="B1782" s="30" t="n">
        <v>3</v>
      </c>
      <c r="C1782" s="31" t="s">
        <v>65</v>
      </c>
      <c r="D1782" s="31" t="s">
        <v>64</v>
      </c>
      <c r="E1782" s="30" t="n">
        <v>60</v>
      </c>
      <c r="F1782" s="30" t="n">
        <v>0</v>
      </c>
      <c r="G1782" s="30" t="str">
        <f aca="false">IF(E1782&lt;判定条件!$C$6,"判定不能",IF(F1782&gt;=判定条件!$C$7*E1782,"運転",IF(F1782&lt;=判定条件!$C$8*E1782,"停止","断続")))</f>
        <v>停止</v>
      </c>
      <c r="H1782" s="30" t="n">
        <v>60</v>
      </c>
      <c r="I1782" s="30" t="n">
        <v>0</v>
      </c>
      <c r="J1782" s="30" t="str">
        <f aca="false">IF(H1782&lt;判定条件!$C$6,"判定不能",IF(I1782&gt;=判定条件!$C$7*H1782,"運転",IF(I1782&lt;=判定条件!$C$8*H1782,"停止","断続")))</f>
        <v>停止</v>
      </c>
      <c r="K1782" s="30" t="n">
        <v>60</v>
      </c>
      <c r="L1782" s="30" t="n">
        <v>0</v>
      </c>
      <c r="M1782" s="30" t="str">
        <f aca="false">IF(K1782&lt;判定条件!$C$6,"判定不能",IF(L1782&gt;=判定条件!$C$7*K1782,"運転",IF(L1782&lt;=判定条件!$C$8*K1782,"停止","断続")))</f>
        <v>停止</v>
      </c>
      <c r="N1782" s="30" t="n">
        <v>60</v>
      </c>
      <c r="O1782" s="30" t="n">
        <v>0</v>
      </c>
      <c r="P1782" s="30" t="str">
        <f aca="false">IF(N1782&lt;判定条件!$C$6,"判定不能",IF(O1782&gt;=判定条件!$C$7*N1782,"運転",IF(O1782&lt;=判定条件!$C$8*N1782,"停止","断続")))</f>
        <v>停止</v>
      </c>
      <c r="Q1782" s="30" t="n">
        <v>60</v>
      </c>
      <c r="R1782" s="30" t="n">
        <v>0</v>
      </c>
      <c r="S1782" s="30" t="str">
        <f aca="false">IF(Q1782&lt;判定条件!$C$6,"判定不能",IF(R1782&gt;=判定条件!$C$7*Q1782,"運転",IF(R1782&lt;=判定条件!$C$8*Q1782,"停止","断続")))</f>
        <v>停止</v>
      </c>
      <c r="T1782" s="30" t="n">
        <v>60</v>
      </c>
      <c r="U1782" s="30" t="n">
        <v>0</v>
      </c>
      <c r="V1782" s="30" t="str">
        <f aca="false">IF(T1782&lt;判定条件!$C$6,"判定不能",IF(U1782&gt;=判定条件!$C$7*T1782,"運転",IF(U1782&lt;=判定条件!$C$8*T1782,"停止","断続")))</f>
        <v>停止</v>
      </c>
      <c r="W1782" s="30" t="n">
        <v>60</v>
      </c>
      <c r="X1782" s="30" t="n">
        <v>0</v>
      </c>
      <c r="Y1782" s="30" t="str">
        <f aca="false">IF(W1782&lt;判定条件!$C$6,"判定不能",IF(X1782&gt;=判定条件!$C$7*W1782,"運転",IF(X1782&lt;=判定条件!$C$8*W1782,"停止","断続")))</f>
        <v>停止</v>
      </c>
      <c r="Z1782" s="30" t="n">
        <v>60</v>
      </c>
      <c r="AA1782" s="30" t="n">
        <v>0</v>
      </c>
      <c r="AB1782" s="30" t="str">
        <f aca="false">IF(Z1782&lt;判定条件!$C$6,"判定不能",IF(AA1782&gt;=判定条件!$C$7*Z1782,"運転",IF(AA1782&lt;=判定条件!$C$8*Z1782,"停止","断続")))</f>
        <v>停止</v>
      </c>
      <c r="AC1782" s="30" t="n">
        <v>60</v>
      </c>
      <c r="AD1782" s="30" t="n">
        <v>0</v>
      </c>
      <c r="AE1782" s="30" t="str">
        <f aca="false">IF(AC1782&lt;判定条件!$C$6,"判定不能",IF(AD1782&gt;=判定条件!$C$7*AC1782,"運転",IF(AD1782&lt;=判定条件!$C$8*AC1782,"停止","断続")))</f>
        <v>停止</v>
      </c>
      <c r="AF1782" s="30" t="n">
        <v>60</v>
      </c>
      <c r="AG1782" s="30" t="n">
        <v>0</v>
      </c>
      <c r="AH1782" s="30" t="str">
        <f aca="false">IF(OR(P1782="判定不能",G1782="判定不能"),"判定不能",IF(AG1782&gt;=判定条件!$C$9,"利用可",IF(AND(P1782="停止",G1782="停止"),"両方停止","運転がそろわない")))</f>
        <v>両方停止</v>
      </c>
      <c r="AI1782" s="30" t="n">
        <v>60</v>
      </c>
      <c r="AJ1782" s="30" t="n">
        <v>0</v>
      </c>
      <c r="AK1782" s="30" t="str">
        <f aca="false">IF(OR(S1782="判定不能",J1782="判定不能"),"判定不能",IF(AJ1782&gt;=判定条件!$C$9,"利用可",IF(AND(S1782="停止",J1782="停止"),"両方停止","運転がそろわない")))</f>
        <v>両方停止</v>
      </c>
      <c r="AL1782" s="30" t="n">
        <v>60</v>
      </c>
      <c r="AM1782" s="30" t="n">
        <v>0</v>
      </c>
      <c r="AN1782" s="30" t="str">
        <f aca="false">IF(OR(V1782="判定不能",M1782="判定不能"),"判定不能",IF(AM1782&gt;=判定条件!$C$9,"利用可",IF(AND(V1782="停止",M1782="停止"),"両方停止","運転がそろわない")))</f>
        <v>両方停止</v>
      </c>
      <c r="AO1782" s="30" t="n">
        <v>60</v>
      </c>
      <c r="AP1782" s="30" t="n">
        <v>0</v>
      </c>
      <c r="AQ1782" s="30" t="str">
        <f aca="false">IF(OR(Y1782="判定不能",G1782="判定不能"),"判定不能",IF(AP1782&gt;=判定条件!$C$9,"利用可",IF(AND(Y1782="停止",G1782="停止"),"両方停止","運転がそろわない")))</f>
        <v>両方停止</v>
      </c>
      <c r="AR1782" s="30" t="n">
        <v>60</v>
      </c>
      <c r="AS1782" s="30" t="n">
        <v>0</v>
      </c>
      <c r="AT1782" s="30" t="str">
        <f aca="false">IF(OR(AB1782="判定不能",J1782="判定不能"),"判定不能",IF(AS1782&gt;=判定条件!$C$9,"利用可",IF(AND(AB1782="停止",J1782="停止"),"両方停止","運転がそろわない")))</f>
        <v>両方停止</v>
      </c>
      <c r="AU1782" s="30" t="n">
        <v>60</v>
      </c>
      <c r="AV1782" s="30" t="n">
        <v>0</v>
      </c>
      <c r="AW1782" s="30" t="str">
        <f aca="false">IF(OR(AE1782="判定不能",M1782="判定不能"),"判定不能",IF(AV1782&gt;=判定条件!$C$9,"利用可",IF(AND(AE1782="停止",M1782="停止"),"両方停止","運転がそろわない")))</f>
        <v>両方停止</v>
      </c>
      <c r="AX1782" s="30" t="str">
        <f aca="false">IF(AND(AH1782="利用可",AK1782="利用可",AN1782="利用可"),"利用可","不可")</f>
        <v>不可</v>
      </c>
      <c r="AY1782" s="30" t="str">
        <f aca="false">IF(AND(AQ1782="利用可",AT1782="利用可",AW1782="利用可"),"利用可","不可")</f>
        <v>不可</v>
      </c>
    </row>
    <row r="1783" customFormat="false" ht="15" hidden="false" customHeight="false" outlineLevel="0" collapsed="false">
      <c r="A1783" s="29" t="n">
        <v>46306</v>
      </c>
      <c r="B1783" s="30" t="n">
        <v>4</v>
      </c>
      <c r="C1783" s="31" t="s">
        <v>65</v>
      </c>
      <c r="D1783" s="31" t="s">
        <v>64</v>
      </c>
      <c r="E1783" s="30" t="n">
        <v>60</v>
      </c>
      <c r="F1783" s="30" t="n">
        <v>0</v>
      </c>
      <c r="G1783" s="30" t="str">
        <f aca="false">IF(E1783&lt;判定条件!$C$6,"判定不能",IF(F1783&gt;=判定条件!$C$7*E1783,"運転",IF(F1783&lt;=判定条件!$C$8*E1783,"停止","断続")))</f>
        <v>停止</v>
      </c>
      <c r="H1783" s="30" t="n">
        <v>60</v>
      </c>
      <c r="I1783" s="30" t="n">
        <v>0</v>
      </c>
      <c r="J1783" s="30" t="str">
        <f aca="false">IF(H1783&lt;判定条件!$C$6,"判定不能",IF(I1783&gt;=判定条件!$C$7*H1783,"運転",IF(I1783&lt;=判定条件!$C$8*H1783,"停止","断続")))</f>
        <v>停止</v>
      </c>
      <c r="K1783" s="30" t="n">
        <v>60</v>
      </c>
      <c r="L1783" s="30" t="n">
        <v>0</v>
      </c>
      <c r="M1783" s="30" t="str">
        <f aca="false">IF(K1783&lt;判定条件!$C$6,"判定不能",IF(L1783&gt;=判定条件!$C$7*K1783,"運転",IF(L1783&lt;=判定条件!$C$8*K1783,"停止","断続")))</f>
        <v>停止</v>
      </c>
      <c r="N1783" s="30" t="n">
        <v>60</v>
      </c>
      <c r="O1783" s="30" t="n">
        <v>0</v>
      </c>
      <c r="P1783" s="30" t="str">
        <f aca="false">IF(N1783&lt;判定条件!$C$6,"判定不能",IF(O1783&gt;=判定条件!$C$7*N1783,"運転",IF(O1783&lt;=判定条件!$C$8*N1783,"停止","断続")))</f>
        <v>停止</v>
      </c>
      <c r="Q1783" s="30" t="n">
        <v>60</v>
      </c>
      <c r="R1783" s="30" t="n">
        <v>0</v>
      </c>
      <c r="S1783" s="30" t="str">
        <f aca="false">IF(Q1783&lt;判定条件!$C$6,"判定不能",IF(R1783&gt;=判定条件!$C$7*Q1783,"運転",IF(R1783&lt;=判定条件!$C$8*Q1783,"停止","断続")))</f>
        <v>停止</v>
      </c>
      <c r="T1783" s="30" t="n">
        <v>60</v>
      </c>
      <c r="U1783" s="30" t="n">
        <v>0</v>
      </c>
      <c r="V1783" s="30" t="str">
        <f aca="false">IF(T1783&lt;判定条件!$C$6,"判定不能",IF(U1783&gt;=判定条件!$C$7*T1783,"運転",IF(U1783&lt;=判定条件!$C$8*T1783,"停止","断続")))</f>
        <v>停止</v>
      </c>
      <c r="W1783" s="30" t="n">
        <v>60</v>
      </c>
      <c r="X1783" s="30" t="n">
        <v>0</v>
      </c>
      <c r="Y1783" s="30" t="str">
        <f aca="false">IF(W1783&lt;判定条件!$C$6,"判定不能",IF(X1783&gt;=判定条件!$C$7*W1783,"運転",IF(X1783&lt;=判定条件!$C$8*W1783,"停止","断続")))</f>
        <v>停止</v>
      </c>
      <c r="Z1783" s="30" t="n">
        <v>60</v>
      </c>
      <c r="AA1783" s="30" t="n">
        <v>0</v>
      </c>
      <c r="AB1783" s="30" t="str">
        <f aca="false">IF(Z1783&lt;判定条件!$C$6,"判定不能",IF(AA1783&gt;=判定条件!$C$7*Z1783,"運転",IF(AA1783&lt;=判定条件!$C$8*Z1783,"停止","断続")))</f>
        <v>停止</v>
      </c>
      <c r="AC1783" s="30" t="n">
        <v>60</v>
      </c>
      <c r="AD1783" s="30" t="n">
        <v>0</v>
      </c>
      <c r="AE1783" s="30" t="str">
        <f aca="false">IF(AC1783&lt;判定条件!$C$6,"判定不能",IF(AD1783&gt;=判定条件!$C$7*AC1783,"運転",IF(AD1783&lt;=判定条件!$C$8*AC1783,"停止","断続")))</f>
        <v>停止</v>
      </c>
      <c r="AF1783" s="30" t="n">
        <v>60</v>
      </c>
      <c r="AG1783" s="30" t="n">
        <v>0</v>
      </c>
      <c r="AH1783" s="30" t="str">
        <f aca="false">IF(OR(P1783="判定不能",G1783="判定不能"),"判定不能",IF(AG1783&gt;=判定条件!$C$9,"利用可",IF(AND(P1783="停止",G1783="停止"),"両方停止","運転がそろわない")))</f>
        <v>両方停止</v>
      </c>
      <c r="AI1783" s="30" t="n">
        <v>60</v>
      </c>
      <c r="AJ1783" s="30" t="n">
        <v>0</v>
      </c>
      <c r="AK1783" s="30" t="str">
        <f aca="false">IF(OR(S1783="判定不能",J1783="判定不能"),"判定不能",IF(AJ1783&gt;=判定条件!$C$9,"利用可",IF(AND(S1783="停止",J1783="停止"),"両方停止","運転がそろわない")))</f>
        <v>両方停止</v>
      </c>
      <c r="AL1783" s="30" t="n">
        <v>60</v>
      </c>
      <c r="AM1783" s="30" t="n">
        <v>0</v>
      </c>
      <c r="AN1783" s="30" t="str">
        <f aca="false">IF(OR(V1783="判定不能",M1783="判定不能"),"判定不能",IF(AM1783&gt;=判定条件!$C$9,"利用可",IF(AND(V1783="停止",M1783="停止"),"両方停止","運転がそろわない")))</f>
        <v>両方停止</v>
      </c>
      <c r="AO1783" s="30" t="n">
        <v>60</v>
      </c>
      <c r="AP1783" s="30" t="n">
        <v>0</v>
      </c>
      <c r="AQ1783" s="30" t="str">
        <f aca="false">IF(OR(Y1783="判定不能",G1783="判定不能"),"判定不能",IF(AP1783&gt;=判定条件!$C$9,"利用可",IF(AND(Y1783="停止",G1783="停止"),"両方停止","運転がそろわない")))</f>
        <v>両方停止</v>
      </c>
      <c r="AR1783" s="30" t="n">
        <v>60</v>
      </c>
      <c r="AS1783" s="30" t="n">
        <v>0</v>
      </c>
      <c r="AT1783" s="30" t="str">
        <f aca="false">IF(OR(AB1783="判定不能",J1783="判定不能"),"判定不能",IF(AS1783&gt;=判定条件!$C$9,"利用可",IF(AND(AB1783="停止",J1783="停止"),"両方停止","運転がそろわない")))</f>
        <v>両方停止</v>
      </c>
      <c r="AU1783" s="30" t="n">
        <v>60</v>
      </c>
      <c r="AV1783" s="30" t="n">
        <v>0</v>
      </c>
      <c r="AW1783" s="30" t="str">
        <f aca="false">IF(OR(AE1783="判定不能",M1783="判定不能"),"判定不能",IF(AV1783&gt;=判定条件!$C$9,"利用可",IF(AND(AE1783="停止",M1783="停止"),"両方停止","運転がそろわない")))</f>
        <v>両方停止</v>
      </c>
      <c r="AX1783" s="30" t="str">
        <f aca="false">IF(AND(AH1783="利用可",AK1783="利用可",AN1783="利用可"),"利用可","不可")</f>
        <v>不可</v>
      </c>
      <c r="AY1783" s="30" t="str">
        <f aca="false">IF(AND(AQ1783="利用可",AT1783="利用可",AW1783="利用可"),"利用可","不可")</f>
        <v>不可</v>
      </c>
    </row>
    <row r="1784" customFormat="false" ht="15" hidden="false" customHeight="false" outlineLevel="0" collapsed="false">
      <c r="A1784" s="29" t="n">
        <v>46306</v>
      </c>
      <c r="B1784" s="30" t="n">
        <v>5</v>
      </c>
      <c r="C1784" s="31" t="s">
        <v>65</v>
      </c>
      <c r="D1784" s="31" t="s">
        <v>64</v>
      </c>
      <c r="E1784" s="30" t="n">
        <v>60</v>
      </c>
      <c r="F1784" s="30" t="n">
        <v>0</v>
      </c>
      <c r="G1784" s="30" t="str">
        <f aca="false">IF(E1784&lt;判定条件!$C$6,"判定不能",IF(F1784&gt;=判定条件!$C$7*E1784,"運転",IF(F1784&lt;=判定条件!$C$8*E1784,"停止","断続")))</f>
        <v>停止</v>
      </c>
      <c r="H1784" s="30" t="n">
        <v>60</v>
      </c>
      <c r="I1784" s="30" t="n">
        <v>0</v>
      </c>
      <c r="J1784" s="30" t="str">
        <f aca="false">IF(H1784&lt;判定条件!$C$6,"判定不能",IF(I1784&gt;=判定条件!$C$7*H1784,"運転",IF(I1784&lt;=判定条件!$C$8*H1784,"停止","断続")))</f>
        <v>停止</v>
      </c>
      <c r="K1784" s="30" t="n">
        <v>60</v>
      </c>
      <c r="L1784" s="30" t="n">
        <v>0</v>
      </c>
      <c r="M1784" s="30" t="str">
        <f aca="false">IF(K1784&lt;判定条件!$C$6,"判定不能",IF(L1784&gt;=判定条件!$C$7*K1784,"運転",IF(L1784&lt;=判定条件!$C$8*K1784,"停止","断続")))</f>
        <v>停止</v>
      </c>
      <c r="N1784" s="30" t="n">
        <v>60</v>
      </c>
      <c r="O1784" s="30" t="n">
        <v>0</v>
      </c>
      <c r="P1784" s="30" t="str">
        <f aca="false">IF(N1784&lt;判定条件!$C$6,"判定不能",IF(O1784&gt;=判定条件!$C$7*N1784,"運転",IF(O1784&lt;=判定条件!$C$8*N1784,"停止","断続")))</f>
        <v>停止</v>
      </c>
      <c r="Q1784" s="30" t="n">
        <v>60</v>
      </c>
      <c r="R1784" s="30" t="n">
        <v>0</v>
      </c>
      <c r="S1784" s="30" t="str">
        <f aca="false">IF(Q1784&lt;判定条件!$C$6,"判定不能",IF(R1784&gt;=判定条件!$C$7*Q1784,"運転",IF(R1784&lt;=判定条件!$C$8*Q1784,"停止","断続")))</f>
        <v>停止</v>
      </c>
      <c r="T1784" s="30" t="n">
        <v>60</v>
      </c>
      <c r="U1784" s="30" t="n">
        <v>0</v>
      </c>
      <c r="V1784" s="30" t="str">
        <f aca="false">IF(T1784&lt;判定条件!$C$6,"判定不能",IF(U1784&gt;=判定条件!$C$7*T1784,"運転",IF(U1784&lt;=判定条件!$C$8*T1784,"停止","断続")))</f>
        <v>停止</v>
      </c>
      <c r="W1784" s="30" t="n">
        <v>60</v>
      </c>
      <c r="X1784" s="30" t="n">
        <v>0</v>
      </c>
      <c r="Y1784" s="30" t="str">
        <f aca="false">IF(W1784&lt;判定条件!$C$6,"判定不能",IF(X1784&gt;=判定条件!$C$7*W1784,"運転",IF(X1784&lt;=判定条件!$C$8*W1784,"停止","断続")))</f>
        <v>停止</v>
      </c>
      <c r="Z1784" s="30" t="n">
        <v>60</v>
      </c>
      <c r="AA1784" s="30" t="n">
        <v>0</v>
      </c>
      <c r="AB1784" s="30" t="str">
        <f aca="false">IF(Z1784&lt;判定条件!$C$6,"判定不能",IF(AA1784&gt;=判定条件!$C$7*Z1784,"運転",IF(AA1784&lt;=判定条件!$C$8*Z1784,"停止","断続")))</f>
        <v>停止</v>
      </c>
      <c r="AC1784" s="30" t="n">
        <v>60</v>
      </c>
      <c r="AD1784" s="30" t="n">
        <v>0</v>
      </c>
      <c r="AE1784" s="30" t="str">
        <f aca="false">IF(AC1784&lt;判定条件!$C$6,"判定不能",IF(AD1784&gt;=判定条件!$C$7*AC1784,"運転",IF(AD1784&lt;=判定条件!$C$8*AC1784,"停止","断続")))</f>
        <v>停止</v>
      </c>
      <c r="AF1784" s="30" t="n">
        <v>60</v>
      </c>
      <c r="AG1784" s="30" t="n">
        <v>0</v>
      </c>
      <c r="AH1784" s="30" t="str">
        <f aca="false">IF(OR(P1784="判定不能",G1784="判定不能"),"判定不能",IF(AG1784&gt;=判定条件!$C$9,"利用可",IF(AND(P1784="停止",G1784="停止"),"両方停止","運転がそろわない")))</f>
        <v>両方停止</v>
      </c>
      <c r="AI1784" s="30" t="n">
        <v>60</v>
      </c>
      <c r="AJ1784" s="30" t="n">
        <v>0</v>
      </c>
      <c r="AK1784" s="30" t="str">
        <f aca="false">IF(OR(S1784="判定不能",J1784="判定不能"),"判定不能",IF(AJ1784&gt;=判定条件!$C$9,"利用可",IF(AND(S1784="停止",J1784="停止"),"両方停止","運転がそろわない")))</f>
        <v>両方停止</v>
      </c>
      <c r="AL1784" s="30" t="n">
        <v>60</v>
      </c>
      <c r="AM1784" s="30" t="n">
        <v>0</v>
      </c>
      <c r="AN1784" s="30" t="str">
        <f aca="false">IF(OR(V1784="判定不能",M1784="判定不能"),"判定不能",IF(AM1784&gt;=判定条件!$C$9,"利用可",IF(AND(V1784="停止",M1784="停止"),"両方停止","運転がそろわない")))</f>
        <v>両方停止</v>
      </c>
      <c r="AO1784" s="30" t="n">
        <v>60</v>
      </c>
      <c r="AP1784" s="30" t="n">
        <v>0</v>
      </c>
      <c r="AQ1784" s="30" t="str">
        <f aca="false">IF(OR(Y1784="判定不能",G1784="判定不能"),"判定不能",IF(AP1784&gt;=判定条件!$C$9,"利用可",IF(AND(Y1784="停止",G1784="停止"),"両方停止","運転がそろわない")))</f>
        <v>両方停止</v>
      </c>
      <c r="AR1784" s="30" t="n">
        <v>60</v>
      </c>
      <c r="AS1784" s="30" t="n">
        <v>0</v>
      </c>
      <c r="AT1784" s="30" t="str">
        <f aca="false">IF(OR(AB1784="判定不能",J1784="判定不能"),"判定不能",IF(AS1784&gt;=判定条件!$C$9,"利用可",IF(AND(AB1784="停止",J1784="停止"),"両方停止","運転がそろわない")))</f>
        <v>両方停止</v>
      </c>
      <c r="AU1784" s="30" t="n">
        <v>60</v>
      </c>
      <c r="AV1784" s="30" t="n">
        <v>0</v>
      </c>
      <c r="AW1784" s="30" t="str">
        <f aca="false">IF(OR(AE1784="判定不能",M1784="判定不能"),"判定不能",IF(AV1784&gt;=判定条件!$C$9,"利用可",IF(AND(AE1784="停止",M1784="停止"),"両方停止","運転がそろわない")))</f>
        <v>両方停止</v>
      </c>
      <c r="AX1784" s="30" t="str">
        <f aca="false">IF(AND(AH1784="利用可",AK1784="利用可",AN1784="利用可"),"利用可","不可")</f>
        <v>不可</v>
      </c>
      <c r="AY1784" s="30" t="str">
        <f aca="false">IF(AND(AQ1784="利用可",AT1784="利用可",AW1784="利用可"),"利用可","不可")</f>
        <v>不可</v>
      </c>
    </row>
    <row r="1785" customFormat="false" ht="15" hidden="false" customHeight="false" outlineLevel="0" collapsed="false">
      <c r="A1785" s="29" t="n">
        <v>46306</v>
      </c>
      <c r="B1785" s="30" t="n">
        <v>6</v>
      </c>
      <c r="C1785" s="31" t="s">
        <v>65</v>
      </c>
      <c r="D1785" s="31" t="s">
        <v>64</v>
      </c>
      <c r="E1785" s="30" t="n">
        <v>60</v>
      </c>
      <c r="F1785" s="30" t="n">
        <v>0</v>
      </c>
      <c r="G1785" s="30" t="str">
        <f aca="false">IF(E1785&lt;判定条件!$C$6,"判定不能",IF(F1785&gt;=判定条件!$C$7*E1785,"運転",IF(F1785&lt;=判定条件!$C$8*E1785,"停止","断続")))</f>
        <v>停止</v>
      </c>
      <c r="H1785" s="30" t="n">
        <v>60</v>
      </c>
      <c r="I1785" s="30" t="n">
        <v>0</v>
      </c>
      <c r="J1785" s="30" t="str">
        <f aca="false">IF(H1785&lt;判定条件!$C$6,"判定不能",IF(I1785&gt;=判定条件!$C$7*H1785,"運転",IF(I1785&lt;=判定条件!$C$8*H1785,"停止","断続")))</f>
        <v>停止</v>
      </c>
      <c r="K1785" s="30" t="n">
        <v>60</v>
      </c>
      <c r="L1785" s="30" t="n">
        <v>0</v>
      </c>
      <c r="M1785" s="30" t="str">
        <f aca="false">IF(K1785&lt;判定条件!$C$6,"判定不能",IF(L1785&gt;=判定条件!$C$7*K1785,"運転",IF(L1785&lt;=判定条件!$C$8*K1785,"停止","断続")))</f>
        <v>停止</v>
      </c>
      <c r="N1785" s="30" t="n">
        <v>60</v>
      </c>
      <c r="O1785" s="30" t="n">
        <v>0</v>
      </c>
      <c r="P1785" s="30" t="str">
        <f aca="false">IF(N1785&lt;判定条件!$C$6,"判定不能",IF(O1785&gt;=判定条件!$C$7*N1785,"運転",IF(O1785&lt;=判定条件!$C$8*N1785,"停止","断続")))</f>
        <v>停止</v>
      </c>
      <c r="Q1785" s="30" t="n">
        <v>60</v>
      </c>
      <c r="R1785" s="30" t="n">
        <v>0</v>
      </c>
      <c r="S1785" s="30" t="str">
        <f aca="false">IF(Q1785&lt;判定条件!$C$6,"判定不能",IF(R1785&gt;=判定条件!$C$7*Q1785,"運転",IF(R1785&lt;=判定条件!$C$8*Q1785,"停止","断続")))</f>
        <v>停止</v>
      </c>
      <c r="T1785" s="30" t="n">
        <v>60</v>
      </c>
      <c r="U1785" s="30" t="n">
        <v>0</v>
      </c>
      <c r="V1785" s="30" t="str">
        <f aca="false">IF(T1785&lt;判定条件!$C$6,"判定不能",IF(U1785&gt;=判定条件!$C$7*T1785,"運転",IF(U1785&lt;=判定条件!$C$8*T1785,"停止","断続")))</f>
        <v>停止</v>
      </c>
      <c r="W1785" s="30" t="n">
        <v>60</v>
      </c>
      <c r="X1785" s="30" t="n">
        <v>0</v>
      </c>
      <c r="Y1785" s="30" t="str">
        <f aca="false">IF(W1785&lt;判定条件!$C$6,"判定不能",IF(X1785&gt;=判定条件!$C$7*W1785,"運転",IF(X1785&lt;=判定条件!$C$8*W1785,"停止","断続")))</f>
        <v>停止</v>
      </c>
      <c r="Z1785" s="30" t="n">
        <v>60</v>
      </c>
      <c r="AA1785" s="30" t="n">
        <v>0</v>
      </c>
      <c r="AB1785" s="30" t="str">
        <f aca="false">IF(Z1785&lt;判定条件!$C$6,"判定不能",IF(AA1785&gt;=判定条件!$C$7*Z1785,"運転",IF(AA1785&lt;=判定条件!$C$8*Z1785,"停止","断続")))</f>
        <v>停止</v>
      </c>
      <c r="AC1785" s="30" t="n">
        <v>60</v>
      </c>
      <c r="AD1785" s="30" t="n">
        <v>0</v>
      </c>
      <c r="AE1785" s="30" t="str">
        <f aca="false">IF(AC1785&lt;判定条件!$C$6,"判定不能",IF(AD1785&gt;=判定条件!$C$7*AC1785,"運転",IF(AD1785&lt;=判定条件!$C$8*AC1785,"停止","断続")))</f>
        <v>停止</v>
      </c>
      <c r="AF1785" s="30" t="n">
        <v>60</v>
      </c>
      <c r="AG1785" s="30" t="n">
        <v>0</v>
      </c>
      <c r="AH1785" s="30" t="str">
        <f aca="false">IF(OR(P1785="判定不能",G1785="判定不能"),"判定不能",IF(AG1785&gt;=判定条件!$C$9,"利用可",IF(AND(P1785="停止",G1785="停止"),"両方停止","運転がそろわない")))</f>
        <v>両方停止</v>
      </c>
      <c r="AI1785" s="30" t="n">
        <v>60</v>
      </c>
      <c r="AJ1785" s="30" t="n">
        <v>0</v>
      </c>
      <c r="AK1785" s="30" t="str">
        <f aca="false">IF(OR(S1785="判定不能",J1785="判定不能"),"判定不能",IF(AJ1785&gt;=判定条件!$C$9,"利用可",IF(AND(S1785="停止",J1785="停止"),"両方停止","運転がそろわない")))</f>
        <v>両方停止</v>
      </c>
      <c r="AL1785" s="30" t="n">
        <v>60</v>
      </c>
      <c r="AM1785" s="30" t="n">
        <v>0</v>
      </c>
      <c r="AN1785" s="30" t="str">
        <f aca="false">IF(OR(V1785="判定不能",M1785="判定不能"),"判定不能",IF(AM1785&gt;=判定条件!$C$9,"利用可",IF(AND(V1785="停止",M1785="停止"),"両方停止","運転がそろわない")))</f>
        <v>両方停止</v>
      </c>
      <c r="AO1785" s="30" t="n">
        <v>60</v>
      </c>
      <c r="AP1785" s="30" t="n">
        <v>0</v>
      </c>
      <c r="AQ1785" s="30" t="str">
        <f aca="false">IF(OR(Y1785="判定不能",G1785="判定不能"),"判定不能",IF(AP1785&gt;=判定条件!$C$9,"利用可",IF(AND(Y1785="停止",G1785="停止"),"両方停止","運転がそろわない")))</f>
        <v>両方停止</v>
      </c>
      <c r="AR1785" s="30" t="n">
        <v>60</v>
      </c>
      <c r="AS1785" s="30" t="n">
        <v>0</v>
      </c>
      <c r="AT1785" s="30" t="str">
        <f aca="false">IF(OR(AB1785="判定不能",J1785="判定不能"),"判定不能",IF(AS1785&gt;=判定条件!$C$9,"利用可",IF(AND(AB1785="停止",J1785="停止"),"両方停止","運転がそろわない")))</f>
        <v>両方停止</v>
      </c>
      <c r="AU1785" s="30" t="n">
        <v>60</v>
      </c>
      <c r="AV1785" s="30" t="n">
        <v>0</v>
      </c>
      <c r="AW1785" s="30" t="str">
        <f aca="false">IF(OR(AE1785="判定不能",M1785="判定不能"),"判定不能",IF(AV1785&gt;=判定条件!$C$9,"利用可",IF(AND(AE1785="停止",M1785="停止"),"両方停止","運転がそろわない")))</f>
        <v>両方停止</v>
      </c>
      <c r="AX1785" s="30" t="str">
        <f aca="false">IF(AND(AH1785="利用可",AK1785="利用可",AN1785="利用可"),"利用可","不可")</f>
        <v>不可</v>
      </c>
      <c r="AY1785" s="30" t="str">
        <f aca="false">IF(AND(AQ1785="利用可",AT1785="利用可",AW1785="利用可"),"利用可","不可")</f>
        <v>不可</v>
      </c>
    </row>
    <row r="1786" customFormat="false" ht="15" hidden="false" customHeight="false" outlineLevel="0" collapsed="false">
      <c r="A1786" s="29" t="n">
        <v>46306</v>
      </c>
      <c r="B1786" s="30" t="n">
        <v>7</v>
      </c>
      <c r="C1786" s="31" t="s">
        <v>65</v>
      </c>
      <c r="D1786" s="31" t="s">
        <v>64</v>
      </c>
      <c r="E1786" s="30" t="n">
        <v>60</v>
      </c>
      <c r="F1786" s="30" t="n">
        <v>0</v>
      </c>
      <c r="G1786" s="30" t="str">
        <f aca="false">IF(E1786&lt;判定条件!$C$6,"判定不能",IF(F1786&gt;=判定条件!$C$7*E1786,"運転",IF(F1786&lt;=判定条件!$C$8*E1786,"停止","断続")))</f>
        <v>停止</v>
      </c>
      <c r="H1786" s="30" t="n">
        <v>60</v>
      </c>
      <c r="I1786" s="30" t="n">
        <v>0</v>
      </c>
      <c r="J1786" s="30" t="str">
        <f aca="false">IF(H1786&lt;判定条件!$C$6,"判定不能",IF(I1786&gt;=判定条件!$C$7*H1786,"運転",IF(I1786&lt;=判定条件!$C$8*H1786,"停止","断続")))</f>
        <v>停止</v>
      </c>
      <c r="K1786" s="30" t="n">
        <v>60</v>
      </c>
      <c r="L1786" s="30" t="n">
        <v>0</v>
      </c>
      <c r="M1786" s="30" t="str">
        <f aca="false">IF(K1786&lt;判定条件!$C$6,"判定不能",IF(L1786&gt;=判定条件!$C$7*K1786,"運転",IF(L1786&lt;=判定条件!$C$8*K1786,"停止","断続")))</f>
        <v>停止</v>
      </c>
      <c r="N1786" s="30" t="n">
        <v>60</v>
      </c>
      <c r="O1786" s="30" t="n">
        <v>0</v>
      </c>
      <c r="P1786" s="30" t="str">
        <f aca="false">IF(N1786&lt;判定条件!$C$6,"判定不能",IF(O1786&gt;=判定条件!$C$7*N1786,"運転",IF(O1786&lt;=判定条件!$C$8*N1786,"停止","断続")))</f>
        <v>停止</v>
      </c>
      <c r="Q1786" s="30" t="n">
        <v>60</v>
      </c>
      <c r="R1786" s="30" t="n">
        <v>0</v>
      </c>
      <c r="S1786" s="30" t="str">
        <f aca="false">IF(Q1786&lt;判定条件!$C$6,"判定不能",IF(R1786&gt;=判定条件!$C$7*Q1786,"運転",IF(R1786&lt;=判定条件!$C$8*Q1786,"停止","断続")))</f>
        <v>停止</v>
      </c>
      <c r="T1786" s="30" t="n">
        <v>60</v>
      </c>
      <c r="U1786" s="30" t="n">
        <v>3</v>
      </c>
      <c r="V1786" s="30" t="str">
        <f aca="false">IF(T1786&lt;判定条件!$C$6,"判定不能",IF(U1786&gt;=判定条件!$C$7*T1786,"運転",IF(U1786&lt;=判定条件!$C$8*T1786,"停止","断続")))</f>
        <v>停止</v>
      </c>
      <c r="W1786" s="30" t="n">
        <v>60</v>
      </c>
      <c r="X1786" s="30" t="n">
        <v>0</v>
      </c>
      <c r="Y1786" s="30" t="str">
        <f aca="false">IF(W1786&lt;判定条件!$C$6,"判定不能",IF(X1786&gt;=判定条件!$C$7*W1786,"運転",IF(X1786&lt;=判定条件!$C$8*W1786,"停止","断続")))</f>
        <v>停止</v>
      </c>
      <c r="Z1786" s="30" t="n">
        <v>60</v>
      </c>
      <c r="AA1786" s="30" t="n">
        <v>0</v>
      </c>
      <c r="AB1786" s="30" t="str">
        <f aca="false">IF(Z1786&lt;判定条件!$C$6,"判定不能",IF(AA1786&gt;=判定条件!$C$7*Z1786,"運転",IF(AA1786&lt;=判定条件!$C$8*Z1786,"停止","断続")))</f>
        <v>停止</v>
      </c>
      <c r="AC1786" s="30" t="n">
        <v>60</v>
      </c>
      <c r="AD1786" s="30" t="n">
        <v>2</v>
      </c>
      <c r="AE1786" s="30" t="str">
        <f aca="false">IF(AC1786&lt;判定条件!$C$6,"判定不能",IF(AD1786&gt;=判定条件!$C$7*AC1786,"運転",IF(AD1786&lt;=判定条件!$C$8*AC1786,"停止","断続")))</f>
        <v>停止</v>
      </c>
      <c r="AF1786" s="30" t="n">
        <v>60</v>
      </c>
      <c r="AG1786" s="30" t="n">
        <v>0</v>
      </c>
      <c r="AH1786" s="30" t="str">
        <f aca="false">IF(OR(P1786="判定不能",G1786="判定不能"),"判定不能",IF(AG1786&gt;=判定条件!$C$9,"利用可",IF(AND(P1786="停止",G1786="停止"),"両方停止","運転がそろわない")))</f>
        <v>両方停止</v>
      </c>
      <c r="AI1786" s="30" t="n">
        <v>60</v>
      </c>
      <c r="AJ1786" s="30" t="n">
        <v>0</v>
      </c>
      <c r="AK1786" s="30" t="str">
        <f aca="false">IF(OR(S1786="判定不能",J1786="判定不能"),"判定不能",IF(AJ1786&gt;=判定条件!$C$9,"利用可",IF(AND(S1786="停止",J1786="停止"),"両方停止","運転がそろわない")))</f>
        <v>両方停止</v>
      </c>
      <c r="AL1786" s="30" t="n">
        <v>60</v>
      </c>
      <c r="AM1786" s="30" t="n">
        <v>0</v>
      </c>
      <c r="AN1786" s="30" t="str">
        <f aca="false">IF(OR(V1786="判定不能",M1786="判定不能"),"判定不能",IF(AM1786&gt;=判定条件!$C$9,"利用可",IF(AND(V1786="停止",M1786="停止"),"両方停止","運転がそろわない")))</f>
        <v>両方停止</v>
      </c>
      <c r="AO1786" s="30" t="n">
        <v>60</v>
      </c>
      <c r="AP1786" s="30" t="n">
        <v>0</v>
      </c>
      <c r="AQ1786" s="30" t="str">
        <f aca="false">IF(OR(Y1786="判定不能",G1786="判定不能"),"判定不能",IF(AP1786&gt;=判定条件!$C$9,"利用可",IF(AND(Y1786="停止",G1786="停止"),"両方停止","運転がそろわない")))</f>
        <v>両方停止</v>
      </c>
      <c r="AR1786" s="30" t="n">
        <v>60</v>
      </c>
      <c r="AS1786" s="30" t="n">
        <v>0</v>
      </c>
      <c r="AT1786" s="30" t="str">
        <f aca="false">IF(OR(AB1786="判定不能",J1786="判定不能"),"判定不能",IF(AS1786&gt;=判定条件!$C$9,"利用可",IF(AND(AB1786="停止",J1786="停止"),"両方停止","運転がそろわない")))</f>
        <v>両方停止</v>
      </c>
      <c r="AU1786" s="30" t="n">
        <v>60</v>
      </c>
      <c r="AV1786" s="30" t="n">
        <v>0</v>
      </c>
      <c r="AW1786" s="30" t="str">
        <f aca="false">IF(OR(AE1786="判定不能",M1786="判定不能"),"判定不能",IF(AV1786&gt;=判定条件!$C$9,"利用可",IF(AND(AE1786="停止",M1786="停止"),"両方停止","運転がそろわない")))</f>
        <v>両方停止</v>
      </c>
      <c r="AX1786" s="30" t="str">
        <f aca="false">IF(AND(AH1786="利用可",AK1786="利用可",AN1786="利用可"),"利用可","不可")</f>
        <v>不可</v>
      </c>
      <c r="AY1786" s="30" t="str">
        <f aca="false">IF(AND(AQ1786="利用可",AT1786="利用可",AW1786="利用可"),"利用可","不可")</f>
        <v>不可</v>
      </c>
    </row>
    <row r="1787" customFormat="false" ht="15" hidden="false" customHeight="false" outlineLevel="0" collapsed="false">
      <c r="A1787" s="29" t="n">
        <v>46306</v>
      </c>
      <c r="B1787" s="30" t="n">
        <v>8</v>
      </c>
      <c r="C1787" s="31" t="s">
        <v>65</v>
      </c>
      <c r="D1787" s="31" t="s">
        <v>64</v>
      </c>
      <c r="E1787" s="30" t="n">
        <v>60</v>
      </c>
      <c r="F1787" s="30" t="n">
        <v>41</v>
      </c>
      <c r="G1787" s="30" t="str">
        <f aca="false">IF(E1787&lt;判定条件!$C$6,"判定不能",IF(F1787&gt;=判定条件!$C$7*E1787,"運転",IF(F1787&lt;=判定条件!$C$8*E1787,"停止","断続")))</f>
        <v>断続</v>
      </c>
      <c r="H1787" s="30" t="n">
        <v>60</v>
      </c>
      <c r="I1787" s="30" t="n">
        <v>0</v>
      </c>
      <c r="J1787" s="30" t="str">
        <f aca="false">IF(H1787&lt;判定条件!$C$6,"判定不能",IF(I1787&gt;=判定条件!$C$7*H1787,"運転",IF(I1787&lt;=判定条件!$C$8*H1787,"停止","断続")))</f>
        <v>停止</v>
      </c>
      <c r="K1787" s="30" t="n">
        <v>60</v>
      </c>
      <c r="L1787" s="30" t="n">
        <v>0</v>
      </c>
      <c r="M1787" s="30" t="str">
        <f aca="false">IF(K1787&lt;判定条件!$C$6,"判定不能",IF(L1787&gt;=判定条件!$C$7*K1787,"運転",IF(L1787&lt;=判定条件!$C$8*K1787,"停止","断続")))</f>
        <v>停止</v>
      </c>
      <c r="N1787" s="30" t="n">
        <v>60</v>
      </c>
      <c r="O1787" s="30" t="n">
        <v>54</v>
      </c>
      <c r="P1787" s="30" t="str">
        <f aca="false">IF(N1787&lt;判定条件!$C$6,"判定不能",IF(O1787&gt;=判定条件!$C$7*N1787,"運転",IF(O1787&lt;=判定条件!$C$8*N1787,"停止","断続")))</f>
        <v>運転</v>
      </c>
      <c r="Q1787" s="30" t="n">
        <v>60</v>
      </c>
      <c r="R1787" s="30" t="n">
        <v>55</v>
      </c>
      <c r="S1787" s="30" t="str">
        <f aca="false">IF(Q1787&lt;判定条件!$C$6,"判定不能",IF(R1787&gt;=判定条件!$C$7*Q1787,"運転",IF(R1787&lt;=判定条件!$C$8*Q1787,"停止","断続")))</f>
        <v>運転</v>
      </c>
      <c r="T1787" s="30" t="n">
        <v>60</v>
      </c>
      <c r="U1787" s="30" t="n">
        <v>60</v>
      </c>
      <c r="V1787" s="30" t="str">
        <f aca="false">IF(T1787&lt;判定条件!$C$6,"判定不能",IF(U1787&gt;=判定条件!$C$7*T1787,"運転",IF(U1787&lt;=判定条件!$C$8*T1787,"停止","断続")))</f>
        <v>運転</v>
      </c>
      <c r="W1787" s="30" t="n">
        <v>60</v>
      </c>
      <c r="X1787" s="30" t="n">
        <v>57</v>
      </c>
      <c r="Y1787" s="30" t="str">
        <f aca="false">IF(W1787&lt;判定条件!$C$6,"判定不能",IF(X1787&gt;=判定条件!$C$7*W1787,"運転",IF(X1787&lt;=判定条件!$C$8*W1787,"停止","断続")))</f>
        <v>運転</v>
      </c>
      <c r="Z1787" s="30" t="n">
        <v>60</v>
      </c>
      <c r="AA1787" s="30" t="n">
        <v>58</v>
      </c>
      <c r="AB1787" s="30" t="str">
        <f aca="false">IF(Z1787&lt;判定条件!$C$6,"判定不能",IF(AA1787&gt;=判定条件!$C$7*Z1787,"運転",IF(AA1787&lt;=判定条件!$C$8*Z1787,"停止","断続")))</f>
        <v>運転</v>
      </c>
      <c r="AC1787" s="30" t="n">
        <v>60</v>
      </c>
      <c r="AD1787" s="30" t="n">
        <v>60</v>
      </c>
      <c r="AE1787" s="30" t="str">
        <f aca="false">IF(AC1787&lt;判定条件!$C$6,"判定不能",IF(AD1787&gt;=判定条件!$C$7*AC1787,"運転",IF(AD1787&lt;=判定条件!$C$8*AC1787,"停止","断続")))</f>
        <v>運転</v>
      </c>
      <c r="AF1787" s="30" t="n">
        <v>60</v>
      </c>
      <c r="AG1787" s="30" t="n">
        <v>41</v>
      </c>
      <c r="AH1787" s="30" t="str">
        <f aca="false">IF(OR(P1787="判定不能",G1787="判定不能"),"判定不能",IF(AG1787&gt;=判定条件!$C$9,"利用可",IF(AND(P1787="停止",G1787="停止"),"両方停止","運転がそろわない")))</f>
        <v>利用可</v>
      </c>
      <c r="AI1787" s="30" t="n">
        <v>60</v>
      </c>
      <c r="AJ1787" s="30" t="n">
        <v>0</v>
      </c>
      <c r="AK1787" s="30" t="str">
        <f aca="false">IF(OR(S1787="判定不能",J1787="判定不能"),"判定不能",IF(AJ1787&gt;=判定条件!$C$9,"利用可",IF(AND(S1787="停止",J1787="停止"),"両方停止","運転がそろわない")))</f>
        <v>運転がそろわない</v>
      </c>
      <c r="AL1787" s="30" t="n">
        <v>60</v>
      </c>
      <c r="AM1787" s="30" t="n">
        <v>0</v>
      </c>
      <c r="AN1787" s="30" t="str">
        <f aca="false">IF(OR(V1787="判定不能",M1787="判定不能"),"判定不能",IF(AM1787&gt;=判定条件!$C$9,"利用可",IF(AND(V1787="停止",M1787="停止"),"両方停止","運転がそろわない")))</f>
        <v>運転がそろわない</v>
      </c>
      <c r="AO1787" s="30" t="n">
        <v>60</v>
      </c>
      <c r="AP1787" s="30" t="n">
        <v>41</v>
      </c>
      <c r="AQ1787" s="30" t="str">
        <f aca="false">IF(OR(Y1787="判定不能",G1787="判定不能"),"判定不能",IF(AP1787&gt;=判定条件!$C$9,"利用可",IF(AND(Y1787="停止",G1787="停止"),"両方停止","運転がそろわない")))</f>
        <v>利用可</v>
      </c>
      <c r="AR1787" s="30" t="n">
        <v>60</v>
      </c>
      <c r="AS1787" s="30" t="n">
        <v>0</v>
      </c>
      <c r="AT1787" s="30" t="str">
        <f aca="false">IF(OR(AB1787="判定不能",J1787="判定不能"),"判定不能",IF(AS1787&gt;=判定条件!$C$9,"利用可",IF(AND(AB1787="停止",J1787="停止"),"両方停止","運転がそろわない")))</f>
        <v>運転がそろわない</v>
      </c>
      <c r="AU1787" s="30" t="n">
        <v>60</v>
      </c>
      <c r="AV1787" s="30" t="n">
        <v>0</v>
      </c>
      <c r="AW1787" s="30" t="str">
        <f aca="false">IF(OR(AE1787="判定不能",M1787="判定不能"),"判定不能",IF(AV1787&gt;=判定条件!$C$9,"利用可",IF(AND(AE1787="停止",M1787="停止"),"両方停止","運転がそろわない")))</f>
        <v>運転がそろわない</v>
      </c>
      <c r="AX1787" s="30" t="str">
        <f aca="false">IF(AND(AH1787="利用可",AK1787="利用可",AN1787="利用可"),"利用可","不可")</f>
        <v>不可</v>
      </c>
      <c r="AY1787" s="30" t="str">
        <f aca="false">IF(AND(AQ1787="利用可",AT1787="利用可",AW1787="利用可"),"利用可","不可")</f>
        <v>不可</v>
      </c>
    </row>
    <row r="1788" customFormat="false" ht="15" hidden="false" customHeight="false" outlineLevel="0" collapsed="false">
      <c r="A1788" s="29" t="n">
        <v>46306</v>
      </c>
      <c r="B1788" s="30" t="n">
        <v>9</v>
      </c>
      <c r="C1788" s="31" t="s">
        <v>65</v>
      </c>
      <c r="D1788" s="31" t="s">
        <v>64</v>
      </c>
      <c r="E1788" s="30" t="n">
        <v>60</v>
      </c>
      <c r="F1788" s="30" t="n">
        <v>60</v>
      </c>
      <c r="G1788" s="30" t="str">
        <f aca="false">IF(E1788&lt;判定条件!$C$6,"判定不能",IF(F1788&gt;=判定条件!$C$7*E1788,"運転",IF(F1788&lt;=判定条件!$C$8*E1788,"停止","断続")))</f>
        <v>運転</v>
      </c>
      <c r="H1788" s="30" t="n">
        <v>60</v>
      </c>
      <c r="I1788" s="30" t="n">
        <v>15</v>
      </c>
      <c r="J1788" s="30" t="str">
        <f aca="false">IF(H1788&lt;判定条件!$C$6,"判定不能",IF(I1788&gt;=判定条件!$C$7*H1788,"運転",IF(I1788&lt;=判定条件!$C$8*H1788,"停止","断続")))</f>
        <v>断続</v>
      </c>
      <c r="K1788" s="30" t="n">
        <v>60</v>
      </c>
      <c r="L1788" s="30" t="n">
        <v>46</v>
      </c>
      <c r="M1788" s="30" t="str">
        <f aca="false">IF(K1788&lt;判定条件!$C$6,"判定不能",IF(L1788&gt;=判定条件!$C$7*K1788,"運転",IF(L1788&lt;=判定条件!$C$8*K1788,"停止","断続")))</f>
        <v>断続</v>
      </c>
      <c r="N1788" s="30" t="n">
        <v>60</v>
      </c>
      <c r="O1788" s="30" t="n">
        <v>60</v>
      </c>
      <c r="P1788" s="30" t="str">
        <f aca="false">IF(N1788&lt;判定条件!$C$6,"判定不能",IF(O1788&gt;=判定条件!$C$7*N1788,"運転",IF(O1788&lt;=判定条件!$C$8*N1788,"停止","断続")))</f>
        <v>運転</v>
      </c>
      <c r="Q1788" s="30" t="n">
        <v>60</v>
      </c>
      <c r="R1788" s="30" t="n">
        <v>60</v>
      </c>
      <c r="S1788" s="30" t="str">
        <f aca="false">IF(Q1788&lt;判定条件!$C$6,"判定不能",IF(R1788&gt;=判定条件!$C$7*Q1788,"運転",IF(R1788&lt;=判定条件!$C$8*Q1788,"停止","断続")))</f>
        <v>運転</v>
      </c>
      <c r="T1788" s="30" t="n">
        <v>60</v>
      </c>
      <c r="U1788" s="30" t="n">
        <v>60</v>
      </c>
      <c r="V1788" s="30" t="str">
        <f aca="false">IF(T1788&lt;判定条件!$C$6,"判定不能",IF(U1788&gt;=判定条件!$C$7*T1788,"運転",IF(U1788&lt;=判定条件!$C$8*T1788,"停止","断続")))</f>
        <v>運転</v>
      </c>
      <c r="W1788" s="30" t="n">
        <v>60</v>
      </c>
      <c r="X1788" s="30" t="n">
        <v>60</v>
      </c>
      <c r="Y1788" s="30" t="str">
        <f aca="false">IF(W1788&lt;判定条件!$C$6,"判定不能",IF(X1788&gt;=判定条件!$C$7*W1788,"運転",IF(X1788&lt;=判定条件!$C$8*W1788,"停止","断続")))</f>
        <v>運転</v>
      </c>
      <c r="Z1788" s="30" t="n">
        <v>60</v>
      </c>
      <c r="AA1788" s="30" t="n">
        <v>60</v>
      </c>
      <c r="AB1788" s="30" t="str">
        <f aca="false">IF(Z1788&lt;判定条件!$C$6,"判定不能",IF(AA1788&gt;=判定条件!$C$7*Z1788,"運転",IF(AA1788&lt;=判定条件!$C$8*Z1788,"停止","断続")))</f>
        <v>運転</v>
      </c>
      <c r="AC1788" s="30" t="n">
        <v>60</v>
      </c>
      <c r="AD1788" s="30" t="n">
        <v>60</v>
      </c>
      <c r="AE1788" s="30" t="str">
        <f aca="false">IF(AC1788&lt;判定条件!$C$6,"判定不能",IF(AD1788&gt;=判定条件!$C$7*AC1788,"運転",IF(AD1788&lt;=判定条件!$C$8*AC1788,"停止","断続")))</f>
        <v>運転</v>
      </c>
      <c r="AF1788" s="30" t="n">
        <v>60</v>
      </c>
      <c r="AG1788" s="30" t="n">
        <v>60</v>
      </c>
      <c r="AH1788" s="30" t="str">
        <f aca="false">IF(OR(P1788="判定不能",G1788="判定不能"),"判定不能",IF(AG1788&gt;=判定条件!$C$9,"利用可",IF(AND(P1788="停止",G1788="停止"),"両方停止","運転がそろわない")))</f>
        <v>利用可</v>
      </c>
      <c r="AI1788" s="30" t="n">
        <v>60</v>
      </c>
      <c r="AJ1788" s="30" t="n">
        <v>15</v>
      </c>
      <c r="AK1788" s="30" t="str">
        <f aca="false">IF(OR(S1788="判定不能",J1788="判定不能"),"判定不能",IF(AJ1788&gt;=判定条件!$C$9,"利用可",IF(AND(S1788="停止",J1788="停止"),"両方停止","運転がそろわない")))</f>
        <v>運転がそろわない</v>
      </c>
      <c r="AL1788" s="30" t="n">
        <v>60</v>
      </c>
      <c r="AM1788" s="30" t="n">
        <v>46</v>
      </c>
      <c r="AN1788" s="30" t="str">
        <f aca="false">IF(OR(V1788="判定不能",M1788="判定不能"),"判定不能",IF(AM1788&gt;=判定条件!$C$9,"利用可",IF(AND(V1788="停止",M1788="停止"),"両方停止","運転がそろわない")))</f>
        <v>利用可</v>
      </c>
      <c r="AO1788" s="30" t="n">
        <v>60</v>
      </c>
      <c r="AP1788" s="30" t="n">
        <v>60</v>
      </c>
      <c r="AQ1788" s="30" t="str">
        <f aca="false">IF(OR(Y1788="判定不能",G1788="判定不能"),"判定不能",IF(AP1788&gt;=判定条件!$C$9,"利用可",IF(AND(Y1788="停止",G1788="停止"),"両方停止","運転がそろわない")))</f>
        <v>利用可</v>
      </c>
      <c r="AR1788" s="30" t="n">
        <v>60</v>
      </c>
      <c r="AS1788" s="30" t="n">
        <v>15</v>
      </c>
      <c r="AT1788" s="30" t="str">
        <f aca="false">IF(OR(AB1788="判定不能",J1788="判定不能"),"判定不能",IF(AS1788&gt;=判定条件!$C$9,"利用可",IF(AND(AB1788="停止",J1788="停止"),"両方停止","運転がそろわない")))</f>
        <v>運転がそろわない</v>
      </c>
      <c r="AU1788" s="30" t="n">
        <v>60</v>
      </c>
      <c r="AV1788" s="30" t="n">
        <v>46</v>
      </c>
      <c r="AW1788" s="30" t="str">
        <f aca="false">IF(OR(AE1788="判定不能",M1788="判定不能"),"判定不能",IF(AV1788&gt;=判定条件!$C$9,"利用可",IF(AND(AE1788="停止",M1788="停止"),"両方停止","運転がそろわない")))</f>
        <v>利用可</v>
      </c>
      <c r="AX1788" s="30" t="str">
        <f aca="false">IF(AND(AH1788="利用可",AK1788="利用可",AN1788="利用可"),"利用可","不可")</f>
        <v>不可</v>
      </c>
      <c r="AY1788" s="30" t="str">
        <f aca="false">IF(AND(AQ1788="利用可",AT1788="利用可",AW1788="利用可"),"利用可","不可")</f>
        <v>不可</v>
      </c>
    </row>
    <row r="1789" customFormat="false" ht="15" hidden="false" customHeight="false" outlineLevel="0" collapsed="false">
      <c r="A1789" s="29" t="n">
        <v>46306</v>
      </c>
      <c r="B1789" s="30" t="n">
        <v>10</v>
      </c>
      <c r="C1789" s="31" t="s">
        <v>65</v>
      </c>
      <c r="D1789" s="31" t="s">
        <v>64</v>
      </c>
      <c r="E1789" s="30" t="n">
        <v>60</v>
      </c>
      <c r="F1789" s="30" t="n">
        <v>24</v>
      </c>
      <c r="G1789" s="30" t="str">
        <f aca="false">IF(E1789&lt;判定条件!$C$6,"判定不能",IF(F1789&gt;=判定条件!$C$7*E1789,"運転",IF(F1789&lt;=判定条件!$C$8*E1789,"停止","断続")))</f>
        <v>断続</v>
      </c>
      <c r="H1789" s="30" t="n">
        <v>60</v>
      </c>
      <c r="I1789" s="30" t="n">
        <v>58</v>
      </c>
      <c r="J1789" s="30" t="str">
        <f aca="false">IF(H1789&lt;判定条件!$C$6,"判定不能",IF(I1789&gt;=判定条件!$C$7*H1789,"運転",IF(I1789&lt;=判定条件!$C$8*H1789,"停止","断続")))</f>
        <v>運転</v>
      </c>
      <c r="K1789" s="30" t="n">
        <v>60</v>
      </c>
      <c r="L1789" s="30" t="n">
        <v>60</v>
      </c>
      <c r="M1789" s="30" t="str">
        <f aca="false">IF(K1789&lt;判定条件!$C$6,"判定不能",IF(L1789&gt;=判定条件!$C$7*K1789,"運転",IF(L1789&lt;=判定条件!$C$8*K1789,"停止","断続")))</f>
        <v>運転</v>
      </c>
      <c r="N1789" s="30" t="n">
        <v>60</v>
      </c>
      <c r="O1789" s="30" t="n">
        <v>60</v>
      </c>
      <c r="P1789" s="30" t="str">
        <f aca="false">IF(N1789&lt;判定条件!$C$6,"判定不能",IF(O1789&gt;=判定条件!$C$7*N1789,"運転",IF(O1789&lt;=判定条件!$C$8*N1789,"停止","断続")))</f>
        <v>運転</v>
      </c>
      <c r="Q1789" s="30" t="n">
        <v>60</v>
      </c>
      <c r="R1789" s="30" t="n">
        <v>60</v>
      </c>
      <c r="S1789" s="30" t="str">
        <f aca="false">IF(Q1789&lt;判定条件!$C$6,"判定不能",IF(R1789&gt;=判定条件!$C$7*Q1789,"運転",IF(R1789&lt;=判定条件!$C$8*Q1789,"停止","断続")))</f>
        <v>運転</v>
      </c>
      <c r="T1789" s="30" t="n">
        <v>60</v>
      </c>
      <c r="U1789" s="30" t="n">
        <v>60</v>
      </c>
      <c r="V1789" s="30" t="str">
        <f aca="false">IF(T1789&lt;判定条件!$C$6,"判定不能",IF(U1789&gt;=判定条件!$C$7*T1789,"運転",IF(U1789&lt;=判定条件!$C$8*T1789,"停止","断続")))</f>
        <v>運転</v>
      </c>
      <c r="W1789" s="30" t="n">
        <v>60</v>
      </c>
      <c r="X1789" s="30" t="n">
        <v>60</v>
      </c>
      <c r="Y1789" s="30" t="str">
        <f aca="false">IF(W1789&lt;判定条件!$C$6,"判定不能",IF(X1789&gt;=判定条件!$C$7*W1789,"運転",IF(X1789&lt;=判定条件!$C$8*W1789,"停止","断続")))</f>
        <v>運転</v>
      </c>
      <c r="Z1789" s="30" t="n">
        <v>60</v>
      </c>
      <c r="AA1789" s="30" t="n">
        <v>60</v>
      </c>
      <c r="AB1789" s="30" t="str">
        <f aca="false">IF(Z1789&lt;判定条件!$C$6,"判定不能",IF(AA1789&gt;=判定条件!$C$7*Z1789,"運転",IF(AA1789&lt;=判定条件!$C$8*Z1789,"停止","断続")))</f>
        <v>運転</v>
      </c>
      <c r="AC1789" s="30" t="n">
        <v>60</v>
      </c>
      <c r="AD1789" s="30" t="n">
        <v>60</v>
      </c>
      <c r="AE1789" s="30" t="str">
        <f aca="false">IF(AC1789&lt;判定条件!$C$6,"判定不能",IF(AD1789&gt;=判定条件!$C$7*AC1789,"運転",IF(AD1789&lt;=判定条件!$C$8*AC1789,"停止","断続")))</f>
        <v>運転</v>
      </c>
      <c r="AF1789" s="30" t="n">
        <v>60</v>
      </c>
      <c r="AG1789" s="30" t="n">
        <v>24</v>
      </c>
      <c r="AH1789" s="30" t="str">
        <f aca="false">IF(OR(P1789="判定不能",G1789="判定不能"),"判定不能",IF(AG1789&gt;=判定条件!$C$9,"利用可",IF(AND(P1789="停止",G1789="停止"),"両方停止","運転がそろわない")))</f>
        <v>運転がそろわない</v>
      </c>
      <c r="AI1789" s="30" t="n">
        <v>60</v>
      </c>
      <c r="AJ1789" s="30" t="n">
        <v>58</v>
      </c>
      <c r="AK1789" s="30" t="str">
        <f aca="false">IF(OR(S1789="判定不能",J1789="判定不能"),"判定不能",IF(AJ1789&gt;=判定条件!$C$9,"利用可",IF(AND(S1789="停止",J1789="停止"),"両方停止","運転がそろわない")))</f>
        <v>利用可</v>
      </c>
      <c r="AL1789" s="30" t="n">
        <v>60</v>
      </c>
      <c r="AM1789" s="30" t="n">
        <v>60</v>
      </c>
      <c r="AN1789" s="30" t="str">
        <f aca="false">IF(OR(V1789="判定不能",M1789="判定不能"),"判定不能",IF(AM1789&gt;=判定条件!$C$9,"利用可",IF(AND(V1789="停止",M1789="停止"),"両方停止","運転がそろわない")))</f>
        <v>利用可</v>
      </c>
      <c r="AO1789" s="30" t="n">
        <v>60</v>
      </c>
      <c r="AP1789" s="30" t="n">
        <v>24</v>
      </c>
      <c r="AQ1789" s="30" t="str">
        <f aca="false">IF(OR(Y1789="判定不能",G1789="判定不能"),"判定不能",IF(AP1789&gt;=判定条件!$C$9,"利用可",IF(AND(Y1789="停止",G1789="停止"),"両方停止","運転がそろわない")))</f>
        <v>運転がそろわない</v>
      </c>
      <c r="AR1789" s="30" t="n">
        <v>60</v>
      </c>
      <c r="AS1789" s="30" t="n">
        <v>58</v>
      </c>
      <c r="AT1789" s="30" t="str">
        <f aca="false">IF(OR(AB1789="判定不能",J1789="判定不能"),"判定不能",IF(AS1789&gt;=判定条件!$C$9,"利用可",IF(AND(AB1789="停止",J1789="停止"),"両方停止","運転がそろわない")))</f>
        <v>利用可</v>
      </c>
      <c r="AU1789" s="30" t="n">
        <v>60</v>
      </c>
      <c r="AV1789" s="30" t="n">
        <v>60</v>
      </c>
      <c r="AW1789" s="30" t="str">
        <f aca="false">IF(OR(AE1789="判定不能",M1789="判定不能"),"判定不能",IF(AV1789&gt;=判定条件!$C$9,"利用可",IF(AND(AE1789="停止",M1789="停止"),"両方停止","運転がそろわない")))</f>
        <v>利用可</v>
      </c>
      <c r="AX1789" s="30" t="str">
        <f aca="false">IF(AND(AH1789="利用可",AK1789="利用可",AN1789="利用可"),"利用可","不可")</f>
        <v>不可</v>
      </c>
      <c r="AY1789" s="30" t="str">
        <f aca="false">IF(AND(AQ1789="利用可",AT1789="利用可",AW1789="利用可"),"利用可","不可")</f>
        <v>不可</v>
      </c>
    </row>
    <row r="1790" customFormat="false" ht="15" hidden="false" customHeight="false" outlineLevel="0" collapsed="false">
      <c r="A1790" s="29" t="n">
        <v>46306</v>
      </c>
      <c r="B1790" s="30" t="n">
        <v>11</v>
      </c>
      <c r="C1790" s="31" t="s">
        <v>65</v>
      </c>
      <c r="D1790" s="31" t="s">
        <v>64</v>
      </c>
      <c r="E1790" s="30" t="n">
        <v>60</v>
      </c>
      <c r="F1790" s="30" t="n">
        <v>33</v>
      </c>
      <c r="G1790" s="30" t="str">
        <f aca="false">IF(E1790&lt;判定条件!$C$6,"判定不能",IF(F1790&gt;=判定条件!$C$7*E1790,"運転",IF(F1790&lt;=判定条件!$C$8*E1790,"停止","断続")))</f>
        <v>断続</v>
      </c>
      <c r="H1790" s="30" t="n">
        <v>60</v>
      </c>
      <c r="I1790" s="30" t="n">
        <v>60</v>
      </c>
      <c r="J1790" s="30" t="str">
        <f aca="false">IF(H1790&lt;判定条件!$C$6,"判定不能",IF(I1790&gt;=判定条件!$C$7*H1790,"運転",IF(I1790&lt;=判定条件!$C$8*H1790,"停止","断続")))</f>
        <v>運転</v>
      </c>
      <c r="K1790" s="30" t="n">
        <v>60</v>
      </c>
      <c r="L1790" s="30" t="n">
        <v>60</v>
      </c>
      <c r="M1790" s="30" t="str">
        <f aca="false">IF(K1790&lt;判定条件!$C$6,"判定不能",IF(L1790&gt;=判定条件!$C$7*K1790,"運転",IF(L1790&lt;=判定条件!$C$8*K1790,"停止","断続")))</f>
        <v>運転</v>
      </c>
      <c r="N1790" s="30" t="n">
        <v>60</v>
      </c>
      <c r="O1790" s="30" t="n">
        <v>60</v>
      </c>
      <c r="P1790" s="30" t="str">
        <f aca="false">IF(N1790&lt;判定条件!$C$6,"判定不能",IF(O1790&gt;=判定条件!$C$7*N1790,"運転",IF(O1790&lt;=判定条件!$C$8*N1790,"停止","断続")))</f>
        <v>運転</v>
      </c>
      <c r="Q1790" s="30" t="n">
        <v>60</v>
      </c>
      <c r="R1790" s="30" t="n">
        <v>60</v>
      </c>
      <c r="S1790" s="30" t="str">
        <f aca="false">IF(Q1790&lt;判定条件!$C$6,"判定不能",IF(R1790&gt;=判定条件!$C$7*Q1790,"運転",IF(R1790&lt;=判定条件!$C$8*Q1790,"停止","断続")))</f>
        <v>運転</v>
      </c>
      <c r="T1790" s="30" t="n">
        <v>60</v>
      </c>
      <c r="U1790" s="30" t="n">
        <v>53</v>
      </c>
      <c r="V1790" s="30" t="str">
        <f aca="false">IF(T1790&lt;判定条件!$C$6,"判定不能",IF(U1790&gt;=判定条件!$C$7*T1790,"運転",IF(U1790&lt;=判定条件!$C$8*T1790,"停止","断続")))</f>
        <v>運転</v>
      </c>
      <c r="W1790" s="30" t="n">
        <v>60</v>
      </c>
      <c r="X1790" s="30" t="n">
        <v>60</v>
      </c>
      <c r="Y1790" s="30" t="str">
        <f aca="false">IF(W1790&lt;判定条件!$C$6,"判定不能",IF(X1790&gt;=判定条件!$C$7*W1790,"運転",IF(X1790&lt;=判定条件!$C$8*W1790,"停止","断続")))</f>
        <v>運転</v>
      </c>
      <c r="Z1790" s="30" t="n">
        <v>60</v>
      </c>
      <c r="AA1790" s="30" t="n">
        <v>60</v>
      </c>
      <c r="AB1790" s="30" t="str">
        <f aca="false">IF(Z1790&lt;判定条件!$C$6,"判定不能",IF(AA1790&gt;=判定条件!$C$7*Z1790,"運転",IF(AA1790&lt;=判定条件!$C$8*Z1790,"停止","断続")))</f>
        <v>運転</v>
      </c>
      <c r="AC1790" s="30" t="n">
        <v>60</v>
      </c>
      <c r="AD1790" s="30" t="n">
        <v>60</v>
      </c>
      <c r="AE1790" s="30" t="str">
        <f aca="false">IF(AC1790&lt;判定条件!$C$6,"判定不能",IF(AD1790&gt;=判定条件!$C$7*AC1790,"運転",IF(AD1790&lt;=判定条件!$C$8*AC1790,"停止","断続")))</f>
        <v>運転</v>
      </c>
      <c r="AF1790" s="30" t="n">
        <v>60</v>
      </c>
      <c r="AG1790" s="30" t="n">
        <v>33</v>
      </c>
      <c r="AH1790" s="30" t="str">
        <f aca="false">IF(OR(P1790="判定不能",G1790="判定不能"),"判定不能",IF(AG1790&gt;=判定条件!$C$9,"利用可",IF(AND(P1790="停止",G1790="停止"),"両方停止","運転がそろわない")))</f>
        <v>利用可</v>
      </c>
      <c r="AI1790" s="30" t="n">
        <v>60</v>
      </c>
      <c r="AJ1790" s="30" t="n">
        <v>60</v>
      </c>
      <c r="AK1790" s="30" t="str">
        <f aca="false">IF(OR(S1790="判定不能",J1790="判定不能"),"判定不能",IF(AJ1790&gt;=判定条件!$C$9,"利用可",IF(AND(S1790="停止",J1790="停止"),"両方停止","運転がそろわない")))</f>
        <v>利用可</v>
      </c>
      <c r="AL1790" s="30" t="n">
        <v>60</v>
      </c>
      <c r="AM1790" s="30" t="n">
        <v>53</v>
      </c>
      <c r="AN1790" s="30" t="str">
        <f aca="false">IF(OR(V1790="判定不能",M1790="判定不能"),"判定不能",IF(AM1790&gt;=判定条件!$C$9,"利用可",IF(AND(V1790="停止",M1790="停止"),"両方停止","運転がそろわない")))</f>
        <v>利用可</v>
      </c>
      <c r="AO1790" s="30" t="n">
        <v>60</v>
      </c>
      <c r="AP1790" s="30" t="n">
        <v>33</v>
      </c>
      <c r="AQ1790" s="30" t="str">
        <f aca="false">IF(OR(Y1790="判定不能",G1790="判定不能"),"判定不能",IF(AP1790&gt;=判定条件!$C$9,"利用可",IF(AND(Y1790="停止",G1790="停止"),"両方停止","運転がそろわない")))</f>
        <v>利用可</v>
      </c>
      <c r="AR1790" s="30" t="n">
        <v>60</v>
      </c>
      <c r="AS1790" s="30" t="n">
        <v>60</v>
      </c>
      <c r="AT1790" s="30" t="str">
        <f aca="false">IF(OR(AB1790="判定不能",J1790="判定不能"),"判定不能",IF(AS1790&gt;=判定条件!$C$9,"利用可",IF(AND(AB1790="停止",J1790="停止"),"両方停止","運転がそろわない")))</f>
        <v>利用可</v>
      </c>
      <c r="AU1790" s="30" t="n">
        <v>60</v>
      </c>
      <c r="AV1790" s="30" t="n">
        <v>60</v>
      </c>
      <c r="AW1790" s="30" t="str">
        <f aca="false">IF(OR(AE1790="判定不能",M1790="判定不能"),"判定不能",IF(AV1790&gt;=判定条件!$C$9,"利用可",IF(AND(AE1790="停止",M1790="停止"),"両方停止","運転がそろわない")))</f>
        <v>利用可</v>
      </c>
      <c r="AX1790" s="30" t="str">
        <f aca="false">IF(AND(AH1790="利用可",AK1790="利用可",AN1790="利用可"),"利用可","不可")</f>
        <v>利用可</v>
      </c>
      <c r="AY1790" s="30" t="str">
        <f aca="false">IF(AND(AQ1790="利用可",AT1790="利用可",AW1790="利用可"),"利用可","不可")</f>
        <v>利用可</v>
      </c>
    </row>
    <row r="1791" customFormat="false" ht="15" hidden="false" customHeight="false" outlineLevel="0" collapsed="false">
      <c r="A1791" s="29" t="n">
        <v>46306</v>
      </c>
      <c r="B1791" s="30" t="n">
        <v>12</v>
      </c>
      <c r="C1791" s="31" t="s">
        <v>65</v>
      </c>
      <c r="D1791" s="31" t="s">
        <v>64</v>
      </c>
      <c r="E1791" s="30" t="n">
        <v>60</v>
      </c>
      <c r="F1791" s="30" t="n">
        <v>47</v>
      </c>
      <c r="G1791" s="30" t="str">
        <f aca="false">IF(E1791&lt;判定条件!$C$6,"判定不能",IF(F1791&gt;=判定条件!$C$7*E1791,"運転",IF(F1791&lt;=判定条件!$C$8*E1791,"停止","断続")))</f>
        <v>断続</v>
      </c>
      <c r="H1791" s="30" t="n">
        <v>60</v>
      </c>
      <c r="I1791" s="30" t="n">
        <v>60</v>
      </c>
      <c r="J1791" s="30" t="str">
        <f aca="false">IF(H1791&lt;判定条件!$C$6,"判定不能",IF(I1791&gt;=判定条件!$C$7*H1791,"運転",IF(I1791&lt;=判定条件!$C$8*H1791,"停止","断続")))</f>
        <v>運転</v>
      </c>
      <c r="K1791" s="30" t="n">
        <v>60</v>
      </c>
      <c r="L1791" s="30" t="n">
        <v>60</v>
      </c>
      <c r="M1791" s="30" t="str">
        <f aca="false">IF(K1791&lt;判定条件!$C$6,"判定不能",IF(L1791&gt;=判定条件!$C$7*K1791,"運転",IF(L1791&lt;=判定条件!$C$8*K1791,"停止","断続")))</f>
        <v>運転</v>
      </c>
      <c r="N1791" s="30" t="n">
        <v>60</v>
      </c>
      <c r="O1791" s="30" t="n">
        <v>60</v>
      </c>
      <c r="P1791" s="30" t="str">
        <f aca="false">IF(N1791&lt;判定条件!$C$6,"判定不能",IF(O1791&gt;=判定条件!$C$7*N1791,"運転",IF(O1791&lt;=判定条件!$C$8*N1791,"停止","断続")))</f>
        <v>運転</v>
      </c>
      <c r="Q1791" s="30" t="n">
        <v>60</v>
      </c>
      <c r="R1791" s="30" t="n">
        <v>52</v>
      </c>
      <c r="S1791" s="30" t="str">
        <f aca="false">IF(Q1791&lt;判定条件!$C$6,"判定不能",IF(R1791&gt;=判定条件!$C$7*Q1791,"運転",IF(R1791&lt;=判定条件!$C$8*Q1791,"停止","断続")))</f>
        <v>運転</v>
      </c>
      <c r="T1791" s="30" t="n">
        <v>60</v>
      </c>
      <c r="U1791" s="30" t="n">
        <v>3</v>
      </c>
      <c r="V1791" s="30" t="str">
        <f aca="false">IF(T1791&lt;判定条件!$C$6,"判定不能",IF(U1791&gt;=判定条件!$C$7*T1791,"運転",IF(U1791&lt;=判定条件!$C$8*T1791,"停止","断続")))</f>
        <v>停止</v>
      </c>
      <c r="W1791" s="30" t="n">
        <v>60</v>
      </c>
      <c r="X1791" s="30" t="n">
        <v>60</v>
      </c>
      <c r="Y1791" s="30" t="str">
        <f aca="false">IF(W1791&lt;判定条件!$C$6,"判定不能",IF(X1791&gt;=判定条件!$C$7*W1791,"運転",IF(X1791&lt;=判定条件!$C$8*W1791,"停止","断続")))</f>
        <v>運転</v>
      </c>
      <c r="Z1791" s="30" t="n">
        <v>60</v>
      </c>
      <c r="AA1791" s="30" t="n">
        <v>60</v>
      </c>
      <c r="AB1791" s="30" t="str">
        <f aca="false">IF(Z1791&lt;判定条件!$C$6,"判定不能",IF(AA1791&gt;=判定条件!$C$7*Z1791,"運転",IF(AA1791&lt;=判定条件!$C$8*Z1791,"停止","断続")))</f>
        <v>運転</v>
      </c>
      <c r="AC1791" s="30" t="n">
        <v>60</v>
      </c>
      <c r="AD1791" s="30" t="n">
        <v>60</v>
      </c>
      <c r="AE1791" s="30" t="str">
        <f aca="false">IF(AC1791&lt;判定条件!$C$6,"判定不能",IF(AD1791&gt;=判定条件!$C$7*AC1791,"運転",IF(AD1791&lt;=判定条件!$C$8*AC1791,"停止","断続")))</f>
        <v>運転</v>
      </c>
      <c r="AF1791" s="30" t="n">
        <v>60</v>
      </c>
      <c r="AG1791" s="30" t="n">
        <v>47</v>
      </c>
      <c r="AH1791" s="30" t="str">
        <f aca="false">IF(OR(P1791="判定不能",G1791="判定不能"),"判定不能",IF(AG1791&gt;=判定条件!$C$9,"利用可",IF(AND(P1791="停止",G1791="停止"),"両方停止","運転がそろわない")))</f>
        <v>利用可</v>
      </c>
      <c r="AI1791" s="30" t="n">
        <v>60</v>
      </c>
      <c r="AJ1791" s="30" t="n">
        <v>52</v>
      </c>
      <c r="AK1791" s="30" t="str">
        <f aca="false">IF(OR(S1791="判定不能",J1791="判定不能"),"判定不能",IF(AJ1791&gt;=判定条件!$C$9,"利用可",IF(AND(S1791="停止",J1791="停止"),"両方停止","運転がそろわない")))</f>
        <v>利用可</v>
      </c>
      <c r="AL1791" s="30" t="n">
        <v>60</v>
      </c>
      <c r="AM1791" s="30" t="n">
        <v>3</v>
      </c>
      <c r="AN1791" s="30" t="str">
        <f aca="false">IF(OR(V1791="判定不能",M1791="判定不能"),"判定不能",IF(AM1791&gt;=判定条件!$C$9,"利用可",IF(AND(V1791="停止",M1791="停止"),"両方停止","運転がそろわない")))</f>
        <v>運転がそろわない</v>
      </c>
      <c r="AO1791" s="30" t="n">
        <v>60</v>
      </c>
      <c r="AP1791" s="30" t="n">
        <v>47</v>
      </c>
      <c r="AQ1791" s="30" t="str">
        <f aca="false">IF(OR(Y1791="判定不能",G1791="判定不能"),"判定不能",IF(AP1791&gt;=判定条件!$C$9,"利用可",IF(AND(Y1791="停止",G1791="停止"),"両方停止","運転がそろわない")))</f>
        <v>利用可</v>
      </c>
      <c r="AR1791" s="30" t="n">
        <v>60</v>
      </c>
      <c r="AS1791" s="30" t="n">
        <v>60</v>
      </c>
      <c r="AT1791" s="30" t="str">
        <f aca="false">IF(OR(AB1791="判定不能",J1791="判定不能"),"判定不能",IF(AS1791&gt;=判定条件!$C$9,"利用可",IF(AND(AB1791="停止",J1791="停止"),"両方停止","運転がそろわない")))</f>
        <v>利用可</v>
      </c>
      <c r="AU1791" s="30" t="n">
        <v>60</v>
      </c>
      <c r="AV1791" s="30" t="n">
        <v>60</v>
      </c>
      <c r="AW1791" s="30" t="str">
        <f aca="false">IF(OR(AE1791="判定不能",M1791="判定不能"),"判定不能",IF(AV1791&gt;=判定条件!$C$9,"利用可",IF(AND(AE1791="停止",M1791="停止"),"両方停止","運転がそろわない")))</f>
        <v>利用可</v>
      </c>
      <c r="AX1791" s="30" t="str">
        <f aca="false">IF(AND(AH1791="利用可",AK1791="利用可",AN1791="利用可"),"利用可","不可")</f>
        <v>不可</v>
      </c>
      <c r="AY1791" s="30" t="str">
        <f aca="false">IF(AND(AQ1791="利用可",AT1791="利用可",AW1791="利用可"),"利用可","不可")</f>
        <v>利用可</v>
      </c>
    </row>
    <row r="1792" customFormat="false" ht="15" hidden="false" customHeight="false" outlineLevel="0" collapsed="false">
      <c r="A1792" s="29" t="n">
        <v>46306</v>
      </c>
      <c r="B1792" s="30" t="n">
        <v>13</v>
      </c>
      <c r="C1792" s="31" t="s">
        <v>65</v>
      </c>
      <c r="D1792" s="31" t="s">
        <v>64</v>
      </c>
      <c r="E1792" s="30" t="n">
        <v>60</v>
      </c>
      <c r="F1792" s="30" t="n">
        <v>55</v>
      </c>
      <c r="G1792" s="30" t="str">
        <f aca="false">IF(E1792&lt;判定条件!$C$6,"判定不能",IF(F1792&gt;=判定条件!$C$7*E1792,"運転",IF(F1792&lt;=判定条件!$C$8*E1792,"停止","断続")))</f>
        <v>運転</v>
      </c>
      <c r="H1792" s="30" t="n">
        <v>60</v>
      </c>
      <c r="I1792" s="30" t="n">
        <v>60</v>
      </c>
      <c r="J1792" s="30" t="str">
        <f aca="false">IF(H1792&lt;判定条件!$C$6,"判定不能",IF(I1792&gt;=判定条件!$C$7*H1792,"運転",IF(I1792&lt;=判定条件!$C$8*H1792,"停止","断続")))</f>
        <v>運転</v>
      </c>
      <c r="K1792" s="30" t="n">
        <v>60</v>
      </c>
      <c r="L1792" s="30" t="n">
        <v>60</v>
      </c>
      <c r="M1792" s="30" t="str">
        <f aca="false">IF(K1792&lt;判定条件!$C$6,"判定不能",IF(L1792&gt;=判定条件!$C$7*K1792,"運転",IF(L1792&lt;=判定条件!$C$8*K1792,"停止","断続")))</f>
        <v>運転</v>
      </c>
      <c r="N1792" s="30" t="n">
        <v>60</v>
      </c>
      <c r="O1792" s="30" t="n">
        <v>60</v>
      </c>
      <c r="P1792" s="30" t="str">
        <f aca="false">IF(N1792&lt;判定条件!$C$6,"判定不能",IF(O1792&gt;=判定条件!$C$7*N1792,"運転",IF(O1792&lt;=判定条件!$C$8*N1792,"停止","断続")))</f>
        <v>運転</v>
      </c>
      <c r="Q1792" s="30" t="n">
        <v>60</v>
      </c>
      <c r="R1792" s="30" t="n">
        <v>60</v>
      </c>
      <c r="S1792" s="30" t="str">
        <f aca="false">IF(Q1792&lt;判定条件!$C$6,"判定不能",IF(R1792&gt;=判定条件!$C$7*Q1792,"運転",IF(R1792&lt;=判定条件!$C$8*Q1792,"停止","断続")))</f>
        <v>運転</v>
      </c>
      <c r="T1792" s="30" t="n">
        <v>60</v>
      </c>
      <c r="U1792" s="30" t="n">
        <v>18</v>
      </c>
      <c r="V1792" s="30" t="str">
        <f aca="false">IF(T1792&lt;判定条件!$C$6,"判定不能",IF(U1792&gt;=判定条件!$C$7*T1792,"運転",IF(U1792&lt;=判定条件!$C$8*T1792,"停止","断続")))</f>
        <v>断続</v>
      </c>
      <c r="W1792" s="30" t="n">
        <v>60</v>
      </c>
      <c r="X1792" s="30" t="n">
        <v>60</v>
      </c>
      <c r="Y1792" s="30" t="str">
        <f aca="false">IF(W1792&lt;判定条件!$C$6,"判定不能",IF(X1792&gt;=判定条件!$C$7*W1792,"運転",IF(X1792&lt;=判定条件!$C$8*W1792,"停止","断続")))</f>
        <v>運転</v>
      </c>
      <c r="Z1792" s="30" t="n">
        <v>60</v>
      </c>
      <c r="AA1792" s="30" t="n">
        <v>55</v>
      </c>
      <c r="AB1792" s="30" t="str">
        <f aca="false">IF(Z1792&lt;判定条件!$C$6,"判定不能",IF(AA1792&gt;=判定条件!$C$7*Z1792,"運転",IF(AA1792&lt;=判定条件!$C$8*Z1792,"停止","断続")))</f>
        <v>運転</v>
      </c>
      <c r="AC1792" s="30" t="n">
        <v>60</v>
      </c>
      <c r="AD1792" s="30" t="n">
        <v>52</v>
      </c>
      <c r="AE1792" s="30" t="str">
        <f aca="false">IF(AC1792&lt;判定条件!$C$6,"判定不能",IF(AD1792&gt;=判定条件!$C$7*AC1792,"運転",IF(AD1792&lt;=判定条件!$C$8*AC1792,"停止","断続")))</f>
        <v>運転</v>
      </c>
      <c r="AF1792" s="30" t="n">
        <v>60</v>
      </c>
      <c r="AG1792" s="30" t="n">
        <v>55</v>
      </c>
      <c r="AH1792" s="30" t="str">
        <f aca="false">IF(OR(P1792="判定不能",G1792="判定不能"),"判定不能",IF(AG1792&gt;=判定条件!$C$9,"利用可",IF(AND(P1792="停止",G1792="停止"),"両方停止","運転がそろわない")))</f>
        <v>利用可</v>
      </c>
      <c r="AI1792" s="30" t="n">
        <v>60</v>
      </c>
      <c r="AJ1792" s="30" t="n">
        <v>60</v>
      </c>
      <c r="AK1792" s="30" t="str">
        <f aca="false">IF(OR(S1792="判定不能",J1792="判定不能"),"判定不能",IF(AJ1792&gt;=判定条件!$C$9,"利用可",IF(AND(S1792="停止",J1792="停止"),"両方停止","運転がそろわない")))</f>
        <v>利用可</v>
      </c>
      <c r="AL1792" s="30" t="n">
        <v>60</v>
      </c>
      <c r="AM1792" s="30" t="n">
        <v>18</v>
      </c>
      <c r="AN1792" s="30" t="str">
        <f aca="false">IF(OR(V1792="判定不能",M1792="判定不能"),"判定不能",IF(AM1792&gt;=判定条件!$C$9,"利用可",IF(AND(V1792="停止",M1792="停止"),"両方停止","運転がそろわない")))</f>
        <v>運転がそろわない</v>
      </c>
      <c r="AO1792" s="30" t="n">
        <v>60</v>
      </c>
      <c r="AP1792" s="30" t="n">
        <v>55</v>
      </c>
      <c r="AQ1792" s="30" t="str">
        <f aca="false">IF(OR(Y1792="判定不能",G1792="判定不能"),"判定不能",IF(AP1792&gt;=判定条件!$C$9,"利用可",IF(AND(Y1792="停止",G1792="停止"),"両方停止","運転がそろわない")))</f>
        <v>利用可</v>
      </c>
      <c r="AR1792" s="30" t="n">
        <v>60</v>
      </c>
      <c r="AS1792" s="30" t="n">
        <v>55</v>
      </c>
      <c r="AT1792" s="30" t="str">
        <f aca="false">IF(OR(AB1792="判定不能",J1792="判定不能"),"判定不能",IF(AS1792&gt;=判定条件!$C$9,"利用可",IF(AND(AB1792="停止",J1792="停止"),"両方停止","運転がそろわない")))</f>
        <v>利用可</v>
      </c>
      <c r="AU1792" s="30" t="n">
        <v>60</v>
      </c>
      <c r="AV1792" s="30" t="n">
        <v>52</v>
      </c>
      <c r="AW1792" s="30" t="str">
        <f aca="false">IF(OR(AE1792="判定不能",M1792="判定不能"),"判定不能",IF(AV1792&gt;=判定条件!$C$9,"利用可",IF(AND(AE1792="停止",M1792="停止"),"両方停止","運転がそろわない")))</f>
        <v>利用可</v>
      </c>
      <c r="AX1792" s="30" t="str">
        <f aca="false">IF(AND(AH1792="利用可",AK1792="利用可",AN1792="利用可"),"利用可","不可")</f>
        <v>不可</v>
      </c>
      <c r="AY1792" s="30" t="str">
        <f aca="false">IF(AND(AQ1792="利用可",AT1792="利用可",AW1792="利用可"),"利用可","不可")</f>
        <v>利用可</v>
      </c>
    </row>
    <row r="1793" customFormat="false" ht="15" hidden="false" customHeight="false" outlineLevel="0" collapsed="false">
      <c r="A1793" s="29" t="n">
        <v>46306</v>
      </c>
      <c r="B1793" s="30" t="n">
        <v>14</v>
      </c>
      <c r="C1793" s="31" t="s">
        <v>65</v>
      </c>
      <c r="D1793" s="31" t="s">
        <v>64</v>
      </c>
      <c r="E1793" s="30" t="n">
        <v>60</v>
      </c>
      <c r="F1793" s="30" t="n">
        <v>60</v>
      </c>
      <c r="G1793" s="30" t="str">
        <f aca="false">IF(E1793&lt;判定条件!$C$6,"判定不能",IF(F1793&gt;=判定条件!$C$7*E1793,"運転",IF(F1793&lt;=判定条件!$C$8*E1793,"停止","断続")))</f>
        <v>運転</v>
      </c>
      <c r="H1793" s="30" t="n">
        <v>60</v>
      </c>
      <c r="I1793" s="30" t="n">
        <v>60</v>
      </c>
      <c r="J1793" s="30" t="str">
        <f aca="false">IF(H1793&lt;判定条件!$C$6,"判定不能",IF(I1793&gt;=判定条件!$C$7*H1793,"運転",IF(I1793&lt;=判定条件!$C$8*H1793,"停止","断続")))</f>
        <v>運転</v>
      </c>
      <c r="K1793" s="30" t="n">
        <v>60</v>
      </c>
      <c r="L1793" s="30" t="n">
        <v>60</v>
      </c>
      <c r="M1793" s="30" t="str">
        <f aca="false">IF(K1793&lt;判定条件!$C$6,"判定不能",IF(L1793&gt;=判定条件!$C$7*K1793,"運転",IF(L1793&lt;=判定条件!$C$8*K1793,"停止","断続")))</f>
        <v>運転</v>
      </c>
      <c r="N1793" s="30" t="n">
        <v>60</v>
      </c>
      <c r="O1793" s="30" t="n">
        <v>60</v>
      </c>
      <c r="P1793" s="30" t="str">
        <f aca="false">IF(N1793&lt;判定条件!$C$6,"判定不能",IF(O1793&gt;=判定条件!$C$7*N1793,"運転",IF(O1793&lt;=判定条件!$C$8*N1793,"停止","断続")))</f>
        <v>運転</v>
      </c>
      <c r="Q1793" s="30" t="n">
        <v>60</v>
      </c>
      <c r="R1793" s="30" t="n">
        <v>27</v>
      </c>
      <c r="S1793" s="30" t="str">
        <f aca="false">IF(Q1793&lt;判定条件!$C$6,"判定不能",IF(R1793&gt;=判定条件!$C$7*Q1793,"運転",IF(R1793&lt;=判定条件!$C$8*Q1793,"停止","断続")))</f>
        <v>断続</v>
      </c>
      <c r="T1793" s="30" t="n">
        <v>60</v>
      </c>
      <c r="U1793" s="30" t="n">
        <v>0</v>
      </c>
      <c r="V1793" s="30" t="str">
        <f aca="false">IF(T1793&lt;判定条件!$C$6,"判定不能",IF(U1793&gt;=判定条件!$C$7*T1793,"運転",IF(U1793&lt;=判定条件!$C$8*T1793,"停止","断続")))</f>
        <v>停止</v>
      </c>
      <c r="W1793" s="30" t="n">
        <v>60</v>
      </c>
      <c r="X1793" s="30" t="n">
        <v>49</v>
      </c>
      <c r="Y1793" s="30" t="str">
        <f aca="false">IF(W1793&lt;判定条件!$C$6,"判定不能",IF(X1793&gt;=判定条件!$C$7*W1793,"運転",IF(X1793&lt;=判定条件!$C$8*W1793,"停止","断続")))</f>
        <v>運転</v>
      </c>
      <c r="Z1793" s="30" t="n">
        <v>60</v>
      </c>
      <c r="AA1793" s="30" t="n">
        <v>60</v>
      </c>
      <c r="AB1793" s="30" t="str">
        <f aca="false">IF(Z1793&lt;判定条件!$C$6,"判定不能",IF(AA1793&gt;=判定条件!$C$7*Z1793,"運転",IF(AA1793&lt;=判定条件!$C$8*Z1793,"停止","断続")))</f>
        <v>運転</v>
      </c>
      <c r="AC1793" s="30" t="n">
        <v>60</v>
      </c>
      <c r="AD1793" s="30" t="n">
        <v>44</v>
      </c>
      <c r="AE1793" s="30" t="str">
        <f aca="false">IF(AC1793&lt;判定条件!$C$6,"判定不能",IF(AD1793&gt;=判定条件!$C$7*AC1793,"運転",IF(AD1793&lt;=判定条件!$C$8*AC1793,"停止","断続")))</f>
        <v>断続</v>
      </c>
      <c r="AF1793" s="30" t="n">
        <v>60</v>
      </c>
      <c r="AG1793" s="30" t="n">
        <v>60</v>
      </c>
      <c r="AH1793" s="30" t="str">
        <f aca="false">IF(OR(P1793="判定不能",G1793="判定不能"),"判定不能",IF(AG1793&gt;=判定条件!$C$9,"利用可",IF(AND(P1793="停止",G1793="停止"),"両方停止","運転がそろわない")))</f>
        <v>利用可</v>
      </c>
      <c r="AI1793" s="30" t="n">
        <v>60</v>
      </c>
      <c r="AJ1793" s="30" t="n">
        <v>27</v>
      </c>
      <c r="AK1793" s="30" t="str">
        <f aca="false">IF(OR(S1793="判定不能",J1793="判定不能"),"判定不能",IF(AJ1793&gt;=判定条件!$C$9,"利用可",IF(AND(S1793="停止",J1793="停止"),"両方停止","運転がそろわない")))</f>
        <v>運転がそろわない</v>
      </c>
      <c r="AL1793" s="30" t="n">
        <v>60</v>
      </c>
      <c r="AM1793" s="30" t="n">
        <v>0</v>
      </c>
      <c r="AN1793" s="30" t="str">
        <f aca="false">IF(OR(V1793="判定不能",M1793="判定不能"),"判定不能",IF(AM1793&gt;=判定条件!$C$9,"利用可",IF(AND(V1793="停止",M1793="停止"),"両方停止","運転がそろわない")))</f>
        <v>運転がそろわない</v>
      </c>
      <c r="AO1793" s="30" t="n">
        <v>60</v>
      </c>
      <c r="AP1793" s="30" t="n">
        <v>49</v>
      </c>
      <c r="AQ1793" s="30" t="str">
        <f aca="false">IF(OR(Y1793="判定不能",G1793="判定不能"),"判定不能",IF(AP1793&gt;=判定条件!$C$9,"利用可",IF(AND(Y1793="停止",G1793="停止"),"両方停止","運転がそろわない")))</f>
        <v>利用可</v>
      </c>
      <c r="AR1793" s="30" t="n">
        <v>60</v>
      </c>
      <c r="AS1793" s="30" t="n">
        <v>60</v>
      </c>
      <c r="AT1793" s="30" t="str">
        <f aca="false">IF(OR(AB1793="判定不能",J1793="判定不能"),"判定不能",IF(AS1793&gt;=判定条件!$C$9,"利用可",IF(AND(AB1793="停止",J1793="停止"),"両方停止","運転がそろわない")))</f>
        <v>利用可</v>
      </c>
      <c r="AU1793" s="30" t="n">
        <v>60</v>
      </c>
      <c r="AV1793" s="30" t="n">
        <v>44</v>
      </c>
      <c r="AW1793" s="30" t="str">
        <f aca="false">IF(OR(AE1793="判定不能",M1793="判定不能"),"判定不能",IF(AV1793&gt;=判定条件!$C$9,"利用可",IF(AND(AE1793="停止",M1793="停止"),"両方停止","運転がそろわない")))</f>
        <v>利用可</v>
      </c>
      <c r="AX1793" s="30" t="str">
        <f aca="false">IF(AND(AH1793="利用可",AK1793="利用可",AN1793="利用可"),"利用可","不可")</f>
        <v>不可</v>
      </c>
      <c r="AY1793" s="30" t="str">
        <f aca="false">IF(AND(AQ1793="利用可",AT1793="利用可",AW1793="利用可"),"利用可","不可")</f>
        <v>利用可</v>
      </c>
    </row>
    <row r="1794" customFormat="false" ht="15" hidden="false" customHeight="false" outlineLevel="0" collapsed="false">
      <c r="A1794" s="29" t="n">
        <v>46306</v>
      </c>
      <c r="B1794" s="30" t="n">
        <v>15</v>
      </c>
      <c r="C1794" s="31" t="s">
        <v>65</v>
      </c>
      <c r="D1794" s="31" t="s">
        <v>64</v>
      </c>
      <c r="E1794" s="30" t="n">
        <v>60</v>
      </c>
      <c r="F1794" s="30" t="n">
        <v>42</v>
      </c>
      <c r="G1794" s="30" t="str">
        <f aca="false">IF(E1794&lt;判定条件!$C$6,"判定不能",IF(F1794&gt;=判定条件!$C$7*E1794,"運転",IF(F1794&lt;=判定条件!$C$8*E1794,"停止","断続")))</f>
        <v>断続</v>
      </c>
      <c r="H1794" s="30" t="n">
        <v>60</v>
      </c>
      <c r="I1794" s="30" t="n">
        <v>60</v>
      </c>
      <c r="J1794" s="30" t="str">
        <f aca="false">IF(H1794&lt;判定条件!$C$6,"判定不能",IF(I1794&gt;=判定条件!$C$7*H1794,"運転",IF(I1794&lt;=判定条件!$C$8*H1794,"停止","断続")))</f>
        <v>運転</v>
      </c>
      <c r="K1794" s="30" t="n">
        <v>60</v>
      </c>
      <c r="L1794" s="30" t="n">
        <v>60</v>
      </c>
      <c r="M1794" s="30" t="str">
        <f aca="false">IF(K1794&lt;判定条件!$C$6,"判定不能",IF(L1794&gt;=判定条件!$C$7*K1794,"運転",IF(L1794&lt;=判定条件!$C$8*K1794,"停止","断続")))</f>
        <v>運転</v>
      </c>
      <c r="N1794" s="30" t="n">
        <v>60</v>
      </c>
      <c r="O1794" s="30" t="n">
        <v>54</v>
      </c>
      <c r="P1794" s="30" t="str">
        <f aca="false">IF(N1794&lt;判定条件!$C$6,"判定不能",IF(O1794&gt;=判定条件!$C$7*N1794,"運転",IF(O1794&lt;=判定条件!$C$8*N1794,"停止","断続")))</f>
        <v>運転</v>
      </c>
      <c r="Q1794" s="30" t="n">
        <v>60</v>
      </c>
      <c r="R1794" s="30" t="n">
        <v>48</v>
      </c>
      <c r="S1794" s="30" t="str">
        <f aca="false">IF(Q1794&lt;判定条件!$C$6,"判定不能",IF(R1794&gt;=判定条件!$C$7*Q1794,"運転",IF(R1794&lt;=判定条件!$C$8*Q1794,"停止","断続")))</f>
        <v>運転</v>
      </c>
      <c r="T1794" s="30" t="n">
        <v>60</v>
      </c>
      <c r="U1794" s="30" t="n">
        <v>0</v>
      </c>
      <c r="V1794" s="30" t="str">
        <f aca="false">IF(T1794&lt;判定条件!$C$6,"判定不能",IF(U1794&gt;=判定条件!$C$7*T1794,"運転",IF(U1794&lt;=判定条件!$C$8*T1794,"停止","断続")))</f>
        <v>停止</v>
      </c>
      <c r="W1794" s="30" t="n">
        <v>60</v>
      </c>
      <c r="X1794" s="30" t="n">
        <v>49</v>
      </c>
      <c r="Y1794" s="30" t="str">
        <f aca="false">IF(W1794&lt;判定条件!$C$6,"判定不能",IF(X1794&gt;=判定条件!$C$7*W1794,"運転",IF(X1794&lt;=判定条件!$C$8*W1794,"停止","断続")))</f>
        <v>運転</v>
      </c>
      <c r="Z1794" s="30" t="n">
        <v>60</v>
      </c>
      <c r="AA1794" s="30" t="n">
        <v>52</v>
      </c>
      <c r="AB1794" s="30" t="str">
        <f aca="false">IF(Z1794&lt;判定条件!$C$6,"判定不能",IF(AA1794&gt;=判定条件!$C$7*Z1794,"運転",IF(AA1794&lt;=判定条件!$C$8*Z1794,"停止","断続")))</f>
        <v>運転</v>
      </c>
      <c r="AC1794" s="30" t="n">
        <v>60</v>
      </c>
      <c r="AD1794" s="30" t="n">
        <v>60</v>
      </c>
      <c r="AE1794" s="30" t="str">
        <f aca="false">IF(AC1794&lt;判定条件!$C$6,"判定不能",IF(AD1794&gt;=判定条件!$C$7*AC1794,"運転",IF(AD1794&lt;=判定条件!$C$8*AC1794,"停止","断続")))</f>
        <v>運転</v>
      </c>
      <c r="AF1794" s="30" t="n">
        <v>60</v>
      </c>
      <c r="AG1794" s="30" t="n">
        <v>40</v>
      </c>
      <c r="AH1794" s="30" t="str">
        <f aca="false">IF(OR(P1794="判定不能",G1794="判定不能"),"判定不能",IF(AG1794&gt;=判定条件!$C$9,"利用可",IF(AND(P1794="停止",G1794="停止"),"両方停止","運転がそろわない")))</f>
        <v>利用可</v>
      </c>
      <c r="AI1794" s="30" t="n">
        <v>60</v>
      </c>
      <c r="AJ1794" s="30" t="n">
        <v>48</v>
      </c>
      <c r="AK1794" s="30" t="str">
        <f aca="false">IF(OR(S1794="判定不能",J1794="判定不能"),"判定不能",IF(AJ1794&gt;=判定条件!$C$9,"利用可",IF(AND(S1794="停止",J1794="停止"),"両方停止","運転がそろわない")))</f>
        <v>利用可</v>
      </c>
      <c r="AL1794" s="30" t="n">
        <v>60</v>
      </c>
      <c r="AM1794" s="30" t="n">
        <v>0</v>
      </c>
      <c r="AN1794" s="30" t="str">
        <f aca="false">IF(OR(V1794="判定不能",M1794="判定不能"),"判定不能",IF(AM1794&gt;=判定条件!$C$9,"利用可",IF(AND(V1794="停止",M1794="停止"),"両方停止","運転がそろわない")))</f>
        <v>運転がそろわない</v>
      </c>
      <c r="AO1794" s="30" t="n">
        <v>60</v>
      </c>
      <c r="AP1794" s="30" t="n">
        <v>31</v>
      </c>
      <c r="AQ1794" s="30" t="str">
        <f aca="false">IF(OR(Y1794="判定不能",G1794="判定不能"),"判定不能",IF(AP1794&gt;=判定条件!$C$9,"利用可",IF(AND(Y1794="停止",G1794="停止"),"両方停止","運転がそろわない")))</f>
        <v>利用可</v>
      </c>
      <c r="AR1794" s="30" t="n">
        <v>60</v>
      </c>
      <c r="AS1794" s="30" t="n">
        <v>52</v>
      </c>
      <c r="AT1794" s="30" t="str">
        <f aca="false">IF(OR(AB1794="判定不能",J1794="判定不能"),"判定不能",IF(AS1794&gt;=判定条件!$C$9,"利用可",IF(AND(AB1794="停止",J1794="停止"),"両方停止","運転がそろわない")))</f>
        <v>利用可</v>
      </c>
      <c r="AU1794" s="30" t="n">
        <v>60</v>
      </c>
      <c r="AV1794" s="30" t="n">
        <v>60</v>
      </c>
      <c r="AW1794" s="30" t="str">
        <f aca="false">IF(OR(AE1794="判定不能",M1794="判定不能"),"判定不能",IF(AV1794&gt;=判定条件!$C$9,"利用可",IF(AND(AE1794="停止",M1794="停止"),"両方停止","運転がそろわない")))</f>
        <v>利用可</v>
      </c>
      <c r="AX1794" s="30" t="str">
        <f aca="false">IF(AND(AH1794="利用可",AK1794="利用可",AN1794="利用可"),"利用可","不可")</f>
        <v>不可</v>
      </c>
      <c r="AY1794" s="30" t="str">
        <f aca="false">IF(AND(AQ1794="利用可",AT1794="利用可",AW1794="利用可"),"利用可","不可")</f>
        <v>利用可</v>
      </c>
    </row>
    <row r="1795" customFormat="false" ht="15" hidden="false" customHeight="false" outlineLevel="0" collapsed="false">
      <c r="A1795" s="29" t="n">
        <v>46306</v>
      </c>
      <c r="B1795" s="30" t="n">
        <v>16</v>
      </c>
      <c r="C1795" s="31" t="s">
        <v>65</v>
      </c>
      <c r="D1795" s="31" t="s">
        <v>64</v>
      </c>
      <c r="E1795" s="30" t="n">
        <v>60</v>
      </c>
      <c r="F1795" s="30" t="n">
        <v>47</v>
      </c>
      <c r="G1795" s="30" t="str">
        <f aca="false">IF(E1795&lt;判定条件!$C$6,"判定不能",IF(F1795&gt;=判定条件!$C$7*E1795,"運転",IF(F1795&lt;=判定条件!$C$8*E1795,"停止","断続")))</f>
        <v>断続</v>
      </c>
      <c r="H1795" s="30" t="n">
        <v>60</v>
      </c>
      <c r="I1795" s="30" t="n">
        <v>55</v>
      </c>
      <c r="J1795" s="30" t="str">
        <f aca="false">IF(H1795&lt;判定条件!$C$6,"判定不能",IF(I1795&gt;=判定条件!$C$7*H1795,"運転",IF(I1795&lt;=判定条件!$C$8*H1795,"停止","断続")))</f>
        <v>運転</v>
      </c>
      <c r="K1795" s="30" t="n">
        <v>60</v>
      </c>
      <c r="L1795" s="30" t="n">
        <v>60</v>
      </c>
      <c r="M1795" s="30" t="str">
        <f aca="false">IF(K1795&lt;判定条件!$C$6,"判定不能",IF(L1795&gt;=判定条件!$C$7*K1795,"運転",IF(L1795&lt;=判定条件!$C$8*K1795,"停止","断続")))</f>
        <v>運転</v>
      </c>
      <c r="N1795" s="30" t="n">
        <v>60</v>
      </c>
      <c r="O1795" s="30" t="n">
        <v>24</v>
      </c>
      <c r="P1795" s="30" t="str">
        <f aca="false">IF(N1795&lt;判定条件!$C$6,"判定不能",IF(O1795&gt;=判定条件!$C$7*N1795,"運転",IF(O1795&lt;=判定条件!$C$8*N1795,"停止","断続")))</f>
        <v>断続</v>
      </c>
      <c r="Q1795" s="30" t="n">
        <v>60</v>
      </c>
      <c r="R1795" s="30" t="n">
        <v>0</v>
      </c>
      <c r="S1795" s="30" t="str">
        <f aca="false">IF(Q1795&lt;判定条件!$C$6,"判定不能",IF(R1795&gt;=判定条件!$C$7*Q1795,"運転",IF(R1795&lt;=判定条件!$C$8*Q1795,"停止","断続")))</f>
        <v>停止</v>
      </c>
      <c r="T1795" s="30" t="n">
        <v>60</v>
      </c>
      <c r="U1795" s="30" t="n">
        <v>0</v>
      </c>
      <c r="V1795" s="30" t="str">
        <f aca="false">IF(T1795&lt;判定条件!$C$6,"判定不能",IF(U1795&gt;=判定条件!$C$7*T1795,"運転",IF(U1795&lt;=判定条件!$C$8*T1795,"停止","断続")))</f>
        <v>停止</v>
      </c>
      <c r="W1795" s="30" t="n">
        <v>60</v>
      </c>
      <c r="X1795" s="30" t="n">
        <v>22</v>
      </c>
      <c r="Y1795" s="30" t="str">
        <f aca="false">IF(W1795&lt;判定条件!$C$6,"判定不能",IF(X1795&gt;=判定条件!$C$7*W1795,"運転",IF(X1795&lt;=判定条件!$C$8*W1795,"停止","断続")))</f>
        <v>断続</v>
      </c>
      <c r="Z1795" s="30" t="n">
        <v>60</v>
      </c>
      <c r="AA1795" s="30" t="n">
        <v>34</v>
      </c>
      <c r="AB1795" s="30" t="str">
        <f aca="false">IF(Z1795&lt;判定条件!$C$6,"判定不能",IF(AA1795&gt;=判定条件!$C$7*Z1795,"運転",IF(AA1795&lt;=判定条件!$C$8*Z1795,"停止","断続")))</f>
        <v>断続</v>
      </c>
      <c r="AC1795" s="30" t="n">
        <v>60</v>
      </c>
      <c r="AD1795" s="30" t="n">
        <v>42</v>
      </c>
      <c r="AE1795" s="30" t="str">
        <f aca="false">IF(AC1795&lt;判定条件!$C$6,"判定不能",IF(AD1795&gt;=判定条件!$C$7*AC1795,"運転",IF(AD1795&lt;=判定条件!$C$8*AC1795,"停止","断続")))</f>
        <v>断続</v>
      </c>
      <c r="AF1795" s="30" t="n">
        <v>60</v>
      </c>
      <c r="AG1795" s="30" t="n">
        <v>17</v>
      </c>
      <c r="AH1795" s="30" t="str">
        <f aca="false">IF(OR(P1795="判定不能",G1795="判定不能"),"判定不能",IF(AG1795&gt;=判定条件!$C$9,"利用可",IF(AND(P1795="停止",G1795="停止"),"両方停止","運転がそろわない")))</f>
        <v>運転がそろわない</v>
      </c>
      <c r="AI1795" s="30" t="n">
        <v>60</v>
      </c>
      <c r="AJ1795" s="30" t="n">
        <v>0</v>
      </c>
      <c r="AK1795" s="30" t="str">
        <f aca="false">IF(OR(S1795="判定不能",J1795="判定不能"),"判定不能",IF(AJ1795&gt;=判定条件!$C$9,"利用可",IF(AND(S1795="停止",J1795="停止"),"両方停止","運転がそろわない")))</f>
        <v>運転がそろわない</v>
      </c>
      <c r="AL1795" s="30" t="n">
        <v>60</v>
      </c>
      <c r="AM1795" s="30" t="n">
        <v>0</v>
      </c>
      <c r="AN1795" s="30" t="str">
        <f aca="false">IF(OR(V1795="判定不能",M1795="判定不能"),"判定不能",IF(AM1795&gt;=判定条件!$C$9,"利用可",IF(AND(V1795="停止",M1795="停止"),"両方停止","運転がそろわない")))</f>
        <v>運転がそろわない</v>
      </c>
      <c r="AO1795" s="30" t="n">
        <v>60</v>
      </c>
      <c r="AP1795" s="30" t="n">
        <v>20</v>
      </c>
      <c r="AQ1795" s="30" t="str">
        <f aca="false">IF(OR(Y1795="判定不能",G1795="判定不能"),"判定不能",IF(AP1795&gt;=判定条件!$C$9,"利用可",IF(AND(Y1795="停止",G1795="停止"),"両方停止","運転がそろわない")))</f>
        <v>運転がそろわない</v>
      </c>
      <c r="AR1795" s="30" t="n">
        <v>60</v>
      </c>
      <c r="AS1795" s="30" t="n">
        <v>29</v>
      </c>
      <c r="AT1795" s="30" t="str">
        <f aca="false">IF(OR(AB1795="判定不能",J1795="判定不能"),"判定不能",IF(AS1795&gt;=判定条件!$C$9,"利用可",IF(AND(AB1795="停止",J1795="停止"),"両方停止","運転がそろわない")))</f>
        <v>運転がそろわない</v>
      </c>
      <c r="AU1795" s="30" t="n">
        <v>60</v>
      </c>
      <c r="AV1795" s="30" t="n">
        <v>42</v>
      </c>
      <c r="AW1795" s="30" t="str">
        <f aca="false">IF(OR(AE1795="判定不能",M1795="判定不能"),"判定不能",IF(AV1795&gt;=判定条件!$C$9,"利用可",IF(AND(AE1795="停止",M1795="停止"),"両方停止","運転がそろわない")))</f>
        <v>利用可</v>
      </c>
      <c r="AX1795" s="30" t="str">
        <f aca="false">IF(AND(AH1795="利用可",AK1795="利用可",AN1795="利用可"),"利用可","不可")</f>
        <v>不可</v>
      </c>
      <c r="AY1795" s="30" t="str">
        <f aca="false">IF(AND(AQ1795="利用可",AT1795="利用可",AW1795="利用可"),"利用可","不可")</f>
        <v>不可</v>
      </c>
    </row>
    <row r="1796" customFormat="false" ht="15" hidden="false" customHeight="false" outlineLevel="0" collapsed="false">
      <c r="A1796" s="29" t="n">
        <v>46306</v>
      </c>
      <c r="B1796" s="30" t="n">
        <v>17</v>
      </c>
      <c r="C1796" s="31" t="s">
        <v>65</v>
      </c>
      <c r="D1796" s="31" t="s">
        <v>64</v>
      </c>
      <c r="E1796" s="30" t="n">
        <v>60</v>
      </c>
      <c r="F1796" s="30" t="n">
        <v>28</v>
      </c>
      <c r="G1796" s="30" t="str">
        <f aca="false">IF(E1796&lt;判定条件!$C$6,"判定不能",IF(F1796&gt;=判定条件!$C$7*E1796,"運転",IF(F1796&lt;=判定条件!$C$8*E1796,"停止","断続")))</f>
        <v>断続</v>
      </c>
      <c r="H1796" s="30" t="n">
        <v>60</v>
      </c>
      <c r="I1796" s="30" t="n">
        <v>29</v>
      </c>
      <c r="J1796" s="30" t="str">
        <f aca="false">IF(H1796&lt;判定条件!$C$6,"判定不能",IF(I1796&gt;=判定条件!$C$7*H1796,"運転",IF(I1796&lt;=判定条件!$C$8*H1796,"停止","断続")))</f>
        <v>断続</v>
      </c>
      <c r="K1796" s="30" t="n">
        <v>60</v>
      </c>
      <c r="L1796" s="30" t="n">
        <v>31</v>
      </c>
      <c r="M1796" s="30" t="str">
        <f aca="false">IF(K1796&lt;判定条件!$C$6,"判定不能",IF(L1796&gt;=判定条件!$C$7*K1796,"運転",IF(L1796&lt;=判定条件!$C$8*K1796,"停止","断続")))</f>
        <v>断続</v>
      </c>
      <c r="N1796" s="30" t="n">
        <v>60</v>
      </c>
      <c r="O1796" s="30" t="n">
        <v>17</v>
      </c>
      <c r="P1796" s="30" t="str">
        <f aca="false">IF(N1796&lt;判定条件!$C$6,"判定不能",IF(O1796&gt;=判定条件!$C$7*N1796,"運転",IF(O1796&lt;=判定条件!$C$8*N1796,"停止","断続")))</f>
        <v>断続</v>
      </c>
      <c r="Q1796" s="30" t="n">
        <v>60</v>
      </c>
      <c r="R1796" s="30" t="n">
        <v>0</v>
      </c>
      <c r="S1796" s="30" t="str">
        <f aca="false">IF(Q1796&lt;判定条件!$C$6,"判定不能",IF(R1796&gt;=判定条件!$C$7*Q1796,"運転",IF(R1796&lt;=判定条件!$C$8*Q1796,"停止","断続")))</f>
        <v>停止</v>
      </c>
      <c r="T1796" s="30" t="n">
        <v>60</v>
      </c>
      <c r="U1796" s="30" t="n">
        <v>0</v>
      </c>
      <c r="V1796" s="30" t="str">
        <f aca="false">IF(T1796&lt;判定条件!$C$6,"判定不能",IF(U1796&gt;=判定条件!$C$7*T1796,"運転",IF(U1796&lt;=判定条件!$C$8*T1796,"停止","断続")))</f>
        <v>停止</v>
      </c>
      <c r="W1796" s="30" t="n">
        <v>60</v>
      </c>
      <c r="X1796" s="30" t="n">
        <v>23</v>
      </c>
      <c r="Y1796" s="30" t="str">
        <f aca="false">IF(W1796&lt;判定条件!$C$6,"判定不能",IF(X1796&gt;=判定条件!$C$7*W1796,"運転",IF(X1796&lt;=判定条件!$C$8*W1796,"停止","断続")))</f>
        <v>断続</v>
      </c>
      <c r="Z1796" s="30" t="n">
        <v>60</v>
      </c>
      <c r="AA1796" s="30" t="n">
        <v>27</v>
      </c>
      <c r="AB1796" s="30" t="str">
        <f aca="false">IF(Z1796&lt;判定条件!$C$6,"判定不能",IF(AA1796&gt;=判定条件!$C$7*Z1796,"運転",IF(AA1796&lt;=判定条件!$C$8*Z1796,"停止","断続")))</f>
        <v>断続</v>
      </c>
      <c r="AC1796" s="30" t="n">
        <v>60</v>
      </c>
      <c r="AD1796" s="30" t="n">
        <v>34</v>
      </c>
      <c r="AE1796" s="30" t="str">
        <f aca="false">IF(AC1796&lt;判定条件!$C$6,"判定不能",IF(AD1796&gt;=判定条件!$C$7*AC1796,"運転",IF(AD1796&lt;=判定条件!$C$8*AC1796,"停止","断続")))</f>
        <v>断続</v>
      </c>
      <c r="AF1796" s="30" t="n">
        <v>60</v>
      </c>
      <c r="AG1796" s="30" t="n">
        <v>12</v>
      </c>
      <c r="AH1796" s="30" t="str">
        <f aca="false">IF(OR(P1796="判定不能",G1796="判定不能"),"判定不能",IF(AG1796&gt;=判定条件!$C$9,"利用可",IF(AND(P1796="停止",G1796="停止"),"両方停止","運転がそろわない")))</f>
        <v>運転がそろわない</v>
      </c>
      <c r="AI1796" s="30" t="n">
        <v>60</v>
      </c>
      <c r="AJ1796" s="30" t="n">
        <v>0</v>
      </c>
      <c r="AK1796" s="30" t="str">
        <f aca="false">IF(OR(S1796="判定不能",J1796="判定不能"),"判定不能",IF(AJ1796&gt;=判定条件!$C$9,"利用可",IF(AND(S1796="停止",J1796="停止"),"両方停止","運転がそろわない")))</f>
        <v>運転がそろわない</v>
      </c>
      <c r="AL1796" s="30" t="n">
        <v>60</v>
      </c>
      <c r="AM1796" s="30" t="n">
        <v>0</v>
      </c>
      <c r="AN1796" s="30" t="str">
        <f aca="false">IF(OR(V1796="判定不能",M1796="判定不能"),"判定不能",IF(AM1796&gt;=判定条件!$C$9,"利用可",IF(AND(V1796="停止",M1796="停止"),"両方停止","運転がそろわない")))</f>
        <v>運転がそろわない</v>
      </c>
      <c r="AO1796" s="30" t="n">
        <v>60</v>
      </c>
      <c r="AP1796" s="30" t="n">
        <v>17</v>
      </c>
      <c r="AQ1796" s="30" t="str">
        <f aca="false">IF(OR(Y1796="判定不能",G1796="判定不能"),"判定不能",IF(AP1796&gt;=判定条件!$C$9,"利用可",IF(AND(Y1796="停止",G1796="停止"),"両方停止","運転がそろわない")))</f>
        <v>運転がそろわない</v>
      </c>
      <c r="AR1796" s="30" t="n">
        <v>60</v>
      </c>
      <c r="AS1796" s="30" t="n">
        <v>13</v>
      </c>
      <c r="AT1796" s="30" t="str">
        <f aca="false">IF(OR(AB1796="判定不能",J1796="判定不能"),"判定不能",IF(AS1796&gt;=判定条件!$C$9,"利用可",IF(AND(AB1796="停止",J1796="停止"),"両方停止","運転がそろわない")))</f>
        <v>運転がそろわない</v>
      </c>
      <c r="AU1796" s="30" t="n">
        <v>60</v>
      </c>
      <c r="AV1796" s="30" t="n">
        <v>22</v>
      </c>
      <c r="AW1796" s="30" t="str">
        <f aca="false">IF(OR(AE1796="判定不能",M1796="判定不能"),"判定不能",IF(AV1796&gt;=判定条件!$C$9,"利用可",IF(AND(AE1796="停止",M1796="停止"),"両方停止","運転がそろわない")))</f>
        <v>運転がそろわない</v>
      </c>
      <c r="AX1796" s="30" t="str">
        <f aca="false">IF(AND(AH1796="利用可",AK1796="利用可",AN1796="利用可"),"利用可","不可")</f>
        <v>不可</v>
      </c>
      <c r="AY1796" s="30" t="str">
        <f aca="false">IF(AND(AQ1796="利用可",AT1796="利用可",AW1796="利用可"),"利用可","不可")</f>
        <v>不可</v>
      </c>
    </row>
    <row r="1797" customFormat="false" ht="15" hidden="false" customHeight="false" outlineLevel="0" collapsed="false">
      <c r="A1797" s="29" t="n">
        <v>46306</v>
      </c>
      <c r="B1797" s="30" t="n">
        <v>18</v>
      </c>
      <c r="C1797" s="31" t="s">
        <v>65</v>
      </c>
      <c r="D1797" s="31" t="s">
        <v>64</v>
      </c>
      <c r="E1797" s="30" t="n">
        <v>60</v>
      </c>
      <c r="F1797" s="30" t="n">
        <v>25</v>
      </c>
      <c r="G1797" s="30" t="str">
        <f aca="false">IF(E1797&lt;判定条件!$C$6,"判定不能",IF(F1797&gt;=判定条件!$C$7*E1797,"運転",IF(F1797&lt;=判定条件!$C$8*E1797,"停止","断続")))</f>
        <v>断続</v>
      </c>
      <c r="H1797" s="30" t="n">
        <v>60</v>
      </c>
      <c r="I1797" s="30" t="n">
        <v>29</v>
      </c>
      <c r="J1797" s="30" t="str">
        <f aca="false">IF(H1797&lt;判定条件!$C$6,"判定不能",IF(I1797&gt;=判定条件!$C$7*H1797,"運転",IF(I1797&lt;=判定条件!$C$8*H1797,"停止","断続")))</f>
        <v>断続</v>
      </c>
      <c r="K1797" s="30" t="n">
        <v>60</v>
      </c>
      <c r="L1797" s="30" t="n">
        <v>0</v>
      </c>
      <c r="M1797" s="30" t="str">
        <f aca="false">IF(K1797&lt;判定条件!$C$6,"判定不能",IF(L1797&gt;=判定条件!$C$7*K1797,"運転",IF(L1797&lt;=判定条件!$C$8*K1797,"停止","断続")))</f>
        <v>停止</v>
      </c>
      <c r="N1797" s="30" t="n">
        <v>60</v>
      </c>
      <c r="O1797" s="30" t="n">
        <v>0</v>
      </c>
      <c r="P1797" s="30" t="str">
        <f aca="false">IF(N1797&lt;判定条件!$C$6,"判定不能",IF(O1797&gt;=判定条件!$C$7*N1797,"運転",IF(O1797&lt;=判定条件!$C$8*N1797,"停止","断続")))</f>
        <v>停止</v>
      </c>
      <c r="Q1797" s="30" t="n">
        <v>60</v>
      </c>
      <c r="R1797" s="30" t="n">
        <v>0</v>
      </c>
      <c r="S1797" s="30" t="str">
        <f aca="false">IF(Q1797&lt;判定条件!$C$6,"判定不能",IF(R1797&gt;=判定条件!$C$7*Q1797,"運転",IF(R1797&lt;=判定条件!$C$8*Q1797,"停止","断続")))</f>
        <v>停止</v>
      </c>
      <c r="T1797" s="30" t="n">
        <v>60</v>
      </c>
      <c r="U1797" s="30" t="n">
        <v>0</v>
      </c>
      <c r="V1797" s="30" t="str">
        <f aca="false">IF(T1797&lt;判定条件!$C$6,"判定不能",IF(U1797&gt;=判定条件!$C$7*T1797,"運転",IF(U1797&lt;=判定条件!$C$8*T1797,"停止","断続")))</f>
        <v>停止</v>
      </c>
      <c r="W1797" s="30" t="n">
        <v>60</v>
      </c>
      <c r="X1797" s="30" t="n">
        <v>0</v>
      </c>
      <c r="Y1797" s="30" t="str">
        <f aca="false">IF(W1797&lt;判定条件!$C$6,"判定不能",IF(X1797&gt;=判定条件!$C$7*W1797,"運転",IF(X1797&lt;=判定条件!$C$8*W1797,"停止","断続")))</f>
        <v>停止</v>
      </c>
      <c r="Z1797" s="30" t="n">
        <v>60</v>
      </c>
      <c r="AA1797" s="30" t="n">
        <v>23</v>
      </c>
      <c r="AB1797" s="30" t="str">
        <f aca="false">IF(Z1797&lt;判定条件!$C$6,"判定不能",IF(AA1797&gt;=判定条件!$C$7*Z1797,"運転",IF(AA1797&lt;=判定条件!$C$8*Z1797,"停止","断続")))</f>
        <v>断続</v>
      </c>
      <c r="AC1797" s="30" t="n">
        <v>60</v>
      </c>
      <c r="AD1797" s="30" t="n">
        <v>12</v>
      </c>
      <c r="AE1797" s="30" t="str">
        <f aca="false">IF(AC1797&lt;判定条件!$C$6,"判定不能",IF(AD1797&gt;=判定条件!$C$7*AC1797,"運転",IF(AD1797&lt;=判定条件!$C$8*AC1797,"停止","断続")))</f>
        <v>停止</v>
      </c>
      <c r="AF1797" s="30" t="n">
        <v>60</v>
      </c>
      <c r="AG1797" s="30" t="n">
        <v>0</v>
      </c>
      <c r="AH1797" s="30" t="str">
        <f aca="false">IF(OR(P1797="判定不能",G1797="判定不能"),"判定不能",IF(AG1797&gt;=判定条件!$C$9,"利用可",IF(AND(P1797="停止",G1797="停止"),"両方停止","運転がそろわない")))</f>
        <v>運転がそろわない</v>
      </c>
      <c r="AI1797" s="30" t="n">
        <v>60</v>
      </c>
      <c r="AJ1797" s="30" t="n">
        <v>0</v>
      </c>
      <c r="AK1797" s="30" t="str">
        <f aca="false">IF(OR(S1797="判定不能",J1797="判定不能"),"判定不能",IF(AJ1797&gt;=判定条件!$C$9,"利用可",IF(AND(S1797="停止",J1797="停止"),"両方停止","運転がそろわない")))</f>
        <v>運転がそろわない</v>
      </c>
      <c r="AL1797" s="30" t="n">
        <v>60</v>
      </c>
      <c r="AM1797" s="30" t="n">
        <v>0</v>
      </c>
      <c r="AN1797" s="30" t="str">
        <f aca="false">IF(OR(V1797="判定不能",M1797="判定不能"),"判定不能",IF(AM1797&gt;=判定条件!$C$9,"利用可",IF(AND(V1797="停止",M1797="停止"),"両方停止","運転がそろわない")))</f>
        <v>両方停止</v>
      </c>
      <c r="AO1797" s="30" t="n">
        <v>60</v>
      </c>
      <c r="AP1797" s="30" t="n">
        <v>0</v>
      </c>
      <c r="AQ1797" s="30" t="str">
        <f aca="false">IF(OR(Y1797="判定不能",G1797="判定不能"),"判定不能",IF(AP1797&gt;=判定条件!$C$9,"利用可",IF(AND(Y1797="停止",G1797="停止"),"両方停止","運転がそろわない")))</f>
        <v>運転がそろわない</v>
      </c>
      <c r="AR1797" s="30" t="n">
        <v>60</v>
      </c>
      <c r="AS1797" s="30" t="n">
        <v>11</v>
      </c>
      <c r="AT1797" s="30" t="str">
        <f aca="false">IF(OR(AB1797="判定不能",J1797="判定不能"),"判定不能",IF(AS1797&gt;=判定条件!$C$9,"利用可",IF(AND(AB1797="停止",J1797="停止"),"両方停止","運転がそろわない")))</f>
        <v>運転がそろわない</v>
      </c>
      <c r="AU1797" s="30" t="n">
        <v>60</v>
      </c>
      <c r="AV1797" s="30" t="n">
        <v>0</v>
      </c>
      <c r="AW1797" s="30" t="str">
        <f aca="false">IF(OR(AE1797="判定不能",M1797="判定不能"),"判定不能",IF(AV1797&gt;=判定条件!$C$9,"利用可",IF(AND(AE1797="停止",M1797="停止"),"両方停止","運転がそろわない")))</f>
        <v>両方停止</v>
      </c>
      <c r="AX1797" s="30" t="str">
        <f aca="false">IF(AND(AH1797="利用可",AK1797="利用可",AN1797="利用可"),"利用可","不可")</f>
        <v>不可</v>
      </c>
      <c r="AY1797" s="30" t="str">
        <f aca="false">IF(AND(AQ1797="利用可",AT1797="利用可",AW1797="利用可"),"利用可","不可")</f>
        <v>不可</v>
      </c>
    </row>
    <row r="1798" customFormat="false" ht="15" hidden="false" customHeight="false" outlineLevel="0" collapsed="false">
      <c r="A1798" s="29" t="n">
        <v>46306</v>
      </c>
      <c r="B1798" s="30" t="n">
        <v>19</v>
      </c>
      <c r="C1798" s="31" t="s">
        <v>65</v>
      </c>
      <c r="D1798" s="31" t="s">
        <v>64</v>
      </c>
      <c r="E1798" s="30" t="n">
        <v>60</v>
      </c>
      <c r="F1798" s="30" t="n">
        <v>9</v>
      </c>
      <c r="G1798" s="30" t="str">
        <f aca="false">IF(E1798&lt;判定条件!$C$6,"判定不能",IF(F1798&gt;=判定条件!$C$7*E1798,"運転",IF(F1798&lt;=判定条件!$C$8*E1798,"停止","断続")))</f>
        <v>停止</v>
      </c>
      <c r="H1798" s="30" t="n">
        <v>60</v>
      </c>
      <c r="I1798" s="30" t="n">
        <v>31</v>
      </c>
      <c r="J1798" s="30" t="str">
        <f aca="false">IF(H1798&lt;判定条件!$C$6,"判定不能",IF(I1798&gt;=判定条件!$C$7*H1798,"運転",IF(I1798&lt;=判定条件!$C$8*H1798,"停止","断続")))</f>
        <v>断続</v>
      </c>
      <c r="K1798" s="30" t="n">
        <v>60</v>
      </c>
      <c r="L1798" s="30" t="n">
        <v>0</v>
      </c>
      <c r="M1798" s="30" t="str">
        <f aca="false">IF(K1798&lt;判定条件!$C$6,"判定不能",IF(L1798&gt;=判定条件!$C$7*K1798,"運転",IF(L1798&lt;=判定条件!$C$8*K1798,"停止","断続")))</f>
        <v>停止</v>
      </c>
      <c r="N1798" s="30" t="n">
        <v>60</v>
      </c>
      <c r="O1798" s="30" t="n">
        <v>0</v>
      </c>
      <c r="P1798" s="30" t="str">
        <f aca="false">IF(N1798&lt;判定条件!$C$6,"判定不能",IF(O1798&gt;=判定条件!$C$7*N1798,"運転",IF(O1798&lt;=判定条件!$C$8*N1798,"停止","断続")))</f>
        <v>停止</v>
      </c>
      <c r="Q1798" s="30" t="n">
        <v>60</v>
      </c>
      <c r="R1798" s="30" t="n">
        <v>0</v>
      </c>
      <c r="S1798" s="30" t="str">
        <f aca="false">IF(Q1798&lt;判定条件!$C$6,"判定不能",IF(R1798&gt;=判定条件!$C$7*Q1798,"運転",IF(R1798&lt;=判定条件!$C$8*Q1798,"停止","断続")))</f>
        <v>停止</v>
      </c>
      <c r="T1798" s="30" t="n">
        <v>60</v>
      </c>
      <c r="U1798" s="30" t="n">
        <v>0</v>
      </c>
      <c r="V1798" s="30" t="str">
        <f aca="false">IF(T1798&lt;判定条件!$C$6,"判定不能",IF(U1798&gt;=判定条件!$C$7*T1798,"運転",IF(U1798&lt;=判定条件!$C$8*T1798,"停止","断続")))</f>
        <v>停止</v>
      </c>
      <c r="W1798" s="30" t="n">
        <v>60</v>
      </c>
      <c r="X1798" s="30" t="n">
        <v>0</v>
      </c>
      <c r="Y1798" s="30" t="str">
        <f aca="false">IF(W1798&lt;判定条件!$C$6,"判定不能",IF(X1798&gt;=判定条件!$C$7*W1798,"運転",IF(X1798&lt;=判定条件!$C$8*W1798,"停止","断続")))</f>
        <v>停止</v>
      </c>
      <c r="Z1798" s="30" t="n">
        <v>60</v>
      </c>
      <c r="AA1798" s="30" t="n">
        <v>0</v>
      </c>
      <c r="AB1798" s="30" t="str">
        <f aca="false">IF(Z1798&lt;判定条件!$C$6,"判定不能",IF(AA1798&gt;=判定条件!$C$7*Z1798,"運転",IF(AA1798&lt;=判定条件!$C$8*Z1798,"停止","断続")))</f>
        <v>停止</v>
      </c>
      <c r="AC1798" s="30" t="n">
        <v>60</v>
      </c>
      <c r="AD1798" s="30" t="n">
        <v>0</v>
      </c>
      <c r="AE1798" s="30" t="str">
        <f aca="false">IF(AC1798&lt;判定条件!$C$6,"判定不能",IF(AD1798&gt;=判定条件!$C$7*AC1798,"運転",IF(AD1798&lt;=判定条件!$C$8*AC1798,"停止","断続")))</f>
        <v>停止</v>
      </c>
      <c r="AF1798" s="30" t="n">
        <v>60</v>
      </c>
      <c r="AG1798" s="30" t="n">
        <v>0</v>
      </c>
      <c r="AH1798" s="30" t="str">
        <f aca="false">IF(OR(P1798="判定不能",G1798="判定不能"),"判定不能",IF(AG1798&gt;=判定条件!$C$9,"利用可",IF(AND(P1798="停止",G1798="停止"),"両方停止","運転がそろわない")))</f>
        <v>両方停止</v>
      </c>
      <c r="AI1798" s="30" t="n">
        <v>60</v>
      </c>
      <c r="AJ1798" s="30" t="n">
        <v>0</v>
      </c>
      <c r="AK1798" s="30" t="str">
        <f aca="false">IF(OR(S1798="判定不能",J1798="判定不能"),"判定不能",IF(AJ1798&gt;=判定条件!$C$9,"利用可",IF(AND(S1798="停止",J1798="停止"),"両方停止","運転がそろわない")))</f>
        <v>運転がそろわない</v>
      </c>
      <c r="AL1798" s="30" t="n">
        <v>60</v>
      </c>
      <c r="AM1798" s="30" t="n">
        <v>0</v>
      </c>
      <c r="AN1798" s="30" t="str">
        <f aca="false">IF(OR(V1798="判定不能",M1798="判定不能"),"判定不能",IF(AM1798&gt;=判定条件!$C$9,"利用可",IF(AND(V1798="停止",M1798="停止"),"両方停止","運転がそろわない")))</f>
        <v>両方停止</v>
      </c>
      <c r="AO1798" s="30" t="n">
        <v>60</v>
      </c>
      <c r="AP1798" s="30" t="n">
        <v>0</v>
      </c>
      <c r="AQ1798" s="30" t="str">
        <f aca="false">IF(OR(Y1798="判定不能",G1798="判定不能"),"判定不能",IF(AP1798&gt;=判定条件!$C$9,"利用可",IF(AND(Y1798="停止",G1798="停止"),"両方停止","運転がそろわない")))</f>
        <v>両方停止</v>
      </c>
      <c r="AR1798" s="30" t="n">
        <v>60</v>
      </c>
      <c r="AS1798" s="30" t="n">
        <v>0</v>
      </c>
      <c r="AT1798" s="30" t="str">
        <f aca="false">IF(OR(AB1798="判定不能",J1798="判定不能"),"判定不能",IF(AS1798&gt;=判定条件!$C$9,"利用可",IF(AND(AB1798="停止",J1798="停止"),"両方停止","運転がそろわない")))</f>
        <v>運転がそろわない</v>
      </c>
      <c r="AU1798" s="30" t="n">
        <v>60</v>
      </c>
      <c r="AV1798" s="30" t="n">
        <v>0</v>
      </c>
      <c r="AW1798" s="30" t="str">
        <f aca="false">IF(OR(AE1798="判定不能",M1798="判定不能"),"判定不能",IF(AV1798&gt;=判定条件!$C$9,"利用可",IF(AND(AE1798="停止",M1798="停止"),"両方停止","運転がそろわない")))</f>
        <v>両方停止</v>
      </c>
      <c r="AX1798" s="30" t="str">
        <f aca="false">IF(AND(AH1798="利用可",AK1798="利用可",AN1798="利用可"),"利用可","不可")</f>
        <v>不可</v>
      </c>
      <c r="AY1798" s="30" t="str">
        <f aca="false">IF(AND(AQ1798="利用可",AT1798="利用可",AW1798="利用可"),"利用可","不可")</f>
        <v>不可</v>
      </c>
    </row>
    <row r="1799" customFormat="false" ht="15" hidden="false" customHeight="false" outlineLevel="0" collapsed="false">
      <c r="A1799" s="29" t="n">
        <v>46306</v>
      </c>
      <c r="B1799" s="30" t="n">
        <v>20</v>
      </c>
      <c r="C1799" s="31" t="s">
        <v>65</v>
      </c>
      <c r="D1799" s="31" t="s">
        <v>64</v>
      </c>
      <c r="E1799" s="30" t="n">
        <v>60</v>
      </c>
      <c r="F1799" s="30" t="n">
        <v>0</v>
      </c>
      <c r="G1799" s="30" t="str">
        <f aca="false">IF(E1799&lt;判定条件!$C$6,"判定不能",IF(F1799&gt;=判定条件!$C$7*E1799,"運転",IF(F1799&lt;=判定条件!$C$8*E1799,"停止","断続")))</f>
        <v>停止</v>
      </c>
      <c r="H1799" s="30" t="n">
        <v>60</v>
      </c>
      <c r="I1799" s="30" t="n">
        <v>12</v>
      </c>
      <c r="J1799" s="30" t="str">
        <f aca="false">IF(H1799&lt;判定条件!$C$6,"判定不能",IF(I1799&gt;=判定条件!$C$7*H1799,"運転",IF(I1799&lt;=判定条件!$C$8*H1799,"停止","断続")))</f>
        <v>停止</v>
      </c>
      <c r="K1799" s="30" t="n">
        <v>60</v>
      </c>
      <c r="L1799" s="30" t="n">
        <v>10</v>
      </c>
      <c r="M1799" s="30" t="str">
        <f aca="false">IF(K1799&lt;判定条件!$C$6,"判定不能",IF(L1799&gt;=判定条件!$C$7*K1799,"運転",IF(L1799&lt;=判定条件!$C$8*K1799,"停止","断続")))</f>
        <v>停止</v>
      </c>
      <c r="N1799" s="30" t="n">
        <v>60</v>
      </c>
      <c r="O1799" s="30" t="n">
        <v>0</v>
      </c>
      <c r="P1799" s="30" t="str">
        <f aca="false">IF(N1799&lt;判定条件!$C$6,"判定不能",IF(O1799&gt;=判定条件!$C$7*N1799,"運転",IF(O1799&lt;=判定条件!$C$8*N1799,"停止","断続")))</f>
        <v>停止</v>
      </c>
      <c r="Q1799" s="30" t="n">
        <v>60</v>
      </c>
      <c r="R1799" s="30" t="n">
        <v>0</v>
      </c>
      <c r="S1799" s="30" t="str">
        <f aca="false">IF(Q1799&lt;判定条件!$C$6,"判定不能",IF(R1799&gt;=判定条件!$C$7*Q1799,"運転",IF(R1799&lt;=判定条件!$C$8*Q1799,"停止","断続")))</f>
        <v>停止</v>
      </c>
      <c r="T1799" s="30" t="n">
        <v>60</v>
      </c>
      <c r="U1799" s="30" t="n">
        <v>0</v>
      </c>
      <c r="V1799" s="30" t="str">
        <f aca="false">IF(T1799&lt;判定条件!$C$6,"判定不能",IF(U1799&gt;=判定条件!$C$7*T1799,"運転",IF(U1799&lt;=判定条件!$C$8*T1799,"停止","断続")))</f>
        <v>停止</v>
      </c>
      <c r="W1799" s="30" t="n">
        <v>60</v>
      </c>
      <c r="X1799" s="30" t="n">
        <v>0</v>
      </c>
      <c r="Y1799" s="30" t="str">
        <f aca="false">IF(W1799&lt;判定条件!$C$6,"判定不能",IF(X1799&gt;=判定条件!$C$7*W1799,"運転",IF(X1799&lt;=判定条件!$C$8*W1799,"停止","断続")))</f>
        <v>停止</v>
      </c>
      <c r="Z1799" s="30" t="n">
        <v>60</v>
      </c>
      <c r="AA1799" s="30" t="n">
        <v>0</v>
      </c>
      <c r="AB1799" s="30" t="str">
        <f aca="false">IF(Z1799&lt;判定条件!$C$6,"判定不能",IF(AA1799&gt;=判定条件!$C$7*Z1799,"運転",IF(AA1799&lt;=判定条件!$C$8*Z1799,"停止","断続")))</f>
        <v>停止</v>
      </c>
      <c r="AC1799" s="30" t="n">
        <v>60</v>
      </c>
      <c r="AD1799" s="30" t="n">
        <v>0</v>
      </c>
      <c r="AE1799" s="30" t="str">
        <f aca="false">IF(AC1799&lt;判定条件!$C$6,"判定不能",IF(AD1799&gt;=判定条件!$C$7*AC1799,"運転",IF(AD1799&lt;=判定条件!$C$8*AC1799,"停止","断続")))</f>
        <v>停止</v>
      </c>
      <c r="AF1799" s="30" t="n">
        <v>60</v>
      </c>
      <c r="AG1799" s="30" t="n">
        <v>0</v>
      </c>
      <c r="AH1799" s="30" t="str">
        <f aca="false">IF(OR(P1799="判定不能",G1799="判定不能"),"判定不能",IF(AG1799&gt;=判定条件!$C$9,"利用可",IF(AND(P1799="停止",G1799="停止"),"両方停止","運転がそろわない")))</f>
        <v>両方停止</v>
      </c>
      <c r="AI1799" s="30" t="n">
        <v>60</v>
      </c>
      <c r="AJ1799" s="30" t="n">
        <v>0</v>
      </c>
      <c r="AK1799" s="30" t="str">
        <f aca="false">IF(OR(S1799="判定不能",J1799="判定不能"),"判定不能",IF(AJ1799&gt;=判定条件!$C$9,"利用可",IF(AND(S1799="停止",J1799="停止"),"両方停止","運転がそろわない")))</f>
        <v>両方停止</v>
      </c>
      <c r="AL1799" s="30" t="n">
        <v>60</v>
      </c>
      <c r="AM1799" s="30" t="n">
        <v>0</v>
      </c>
      <c r="AN1799" s="30" t="str">
        <f aca="false">IF(OR(V1799="判定不能",M1799="判定不能"),"判定不能",IF(AM1799&gt;=判定条件!$C$9,"利用可",IF(AND(V1799="停止",M1799="停止"),"両方停止","運転がそろわない")))</f>
        <v>両方停止</v>
      </c>
      <c r="AO1799" s="30" t="n">
        <v>60</v>
      </c>
      <c r="AP1799" s="30" t="n">
        <v>0</v>
      </c>
      <c r="AQ1799" s="30" t="str">
        <f aca="false">IF(OR(Y1799="判定不能",G1799="判定不能"),"判定不能",IF(AP1799&gt;=判定条件!$C$9,"利用可",IF(AND(Y1799="停止",G1799="停止"),"両方停止","運転がそろわない")))</f>
        <v>両方停止</v>
      </c>
      <c r="AR1799" s="30" t="n">
        <v>60</v>
      </c>
      <c r="AS1799" s="30" t="n">
        <v>0</v>
      </c>
      <c r="AT1799" s="30" t="str">
        <f aca="false">IF(OR(AB1799="判定不能",J1799="判定不能"),"判定不能",IF(AS1799&gt;=判定条件!$C$9,"利用可",IF(AND(AB1799="停止",J1799="停止"),"両方停止","運転がそろわない")))</f>
        <v>両方停止</v>
      </c>
      <c r="AU1799" s="30" t="n">
        <v>60</v>
      </c>
      <c r="AV1799" s="30" t="n">
        <v>0</v>
      </c>
      <c r="AW1799" s="30" t="str">
        <f aca="false">IF(OR(AE1799="判定不能",M1799="判定不能"),"判定不能",IF(AV1799&gt;=判定条件!$C$9,"利用可",IF(AND(AE1799="停止",M1799="停止"),"両方停止","運転がそろわない")))</f>
        <v>両方停止</v>
      </c>
      <c r="AX1799" s="30" t="str">
        <f aca="false">IF(AND(AH1799="利用可",AK1799="利用可",AN1799="利用可"),"利用可","不可")</f>
        <v>不可</v>
      </c>
      <c r="AY1799" s="30" t="str">
        <f aca="false">IF(AND(AQ1799="利用可",AT1799="利用可",AW1799="利用可"),"利用可","不可")</f>
        <v>不可</v>
      </c>
    </row>
    <row r="1800" customFormat="false" ht="15" hidden="false" customHeight="false" outlineLevel="0" collapsed="false">
      <c r="A1800" s="29" t="n">
        <v>46306</v>
      </c>
      <c r="B1800" s="30" t="n">
        <v>21</v>
      </c>
      <c r="C1800" s="31" t="s">
        <v>65</v>
      </c>
      <c r="D1800" s="31" t="s">
        <v>64</v>
      </c>
      <c r="E1800" s="30" t="n">
        <v>60</v>
      </c>
      <c r="F1800" s="30" t="n">
        <v>0</v>
      </c>
      <c r="G1800" s="30" t="str">
        <f aca="false">IF(E1800&lt;判定条件!$C$6,"判定不能",IF(F1800&gt;=判定条件!$C$7*E1800,"運転",IF(F1800&lt;=判定条件!$C$8*E1800,"停止","断続")))</f>
        <v>停止</v>
      </c>
      <c r="H1800" s="30" t="n">
        <v>60</v>
      </c>
      <c r="I1800" s="30" t="n">
        <v>0</v>
      </c>
      <c r="J1800" s="30" t="str">
        <f aca="false">IF(H1800&lt;判定条件!$C$6,"判定不能",IF(I1800&gt;=判定条件!$C$7*H1800,"運転",IF(I1800&lt;=判定条件!$C$8*H1800,"停止","断続")))</f>
        <v>停止</v>
      </c>
      <c r="K1800" s="30" t="n">
        <v>60</v>
      </c>
      <c r="L1800" s="30" t="n">
        <v>0</v>
      </c>
      <c r="M1800" s="30" t="str">
        <f aca="false">IF(K1800&lt;判定条件!$C$6,"判定不能",IF(L1800&gt;=判定条件!$C$7*K1800,"運転",IF(L1800&lt;=判定条件!$C$8*K1800,"停止","断続")))</f>
        <v>停止</v>
      </c>
      <c r="N1800" s="30" t="n">
        <v>60</v>
      </c>
      <c r="O1800" s="30" t="n">
        <v>0</v>
      </c>
      <c r="P1800" s="30" t="str">
        <f aca="false">IF(N1800&lt;判定条件!$C$6,"判定不能",IF(O1800&gt;=判定条件!$C$7*N1800,"運転",IF(O1800&lt;=判定条件!$C$8*N1800,"停止","断続")))</f>
        <v>停止</v>
      </c>
      <c r="Q1800" s="30" t="n">
        <v>60</v>
      </c>
      <c r="R1800" s="30" t="n">
        <v>0</v>
      </c>
      <c r="S1800" s="30" t="str">
        <f aca="false">IF(Q1800&lt;判定条件!$C$6,"判定不能",IF(R1800&gt;=判定条件!$C$7*Q1800,"運転",IF(R1800&lt;=判定条件!$C$8*Q1800,"停止","断続")))</f>
        <v>停止</v>
      </c>
      <c r="T1800" s="30" t="n">
        <v>60</v>
      </c>
      <c r="U1800" s="30" t="n">
        <v>0</v>
      </c>
      <c r="V1800" s="30" t="str">
        <f aca="false">IF(T1800&lt;判定条件!$C$6,"判定不能",IF(U1800&gt;=判定条件!$C$7*T1800,"運転",IF(U1800&lt;=判定条件!$C$8*T1800,"停止","断続")))</f>
        <v>停止</v>
      </c>
      <c r="W1800" s="30" t="n">
        <v>60</v>
      </c>
      <c r="X1800" s="30" t="n">
        <v>0</v>
      </c>
      <c r="Y1800" s="30" t="str">
        <f aca="false">IF(W1800&lt;判定条件!$C$6,"判定不能",IF(X1800&gt;=判定条件!$C$7*W1800,"運転",IF(X1800&lt;=判定条件!$C$8*W1800,"停止","断続")))</f>
        <v>停止</v>
      </c>
      <c r="Z1800" s="30" t="n">
        <v>60</v>
      </c>
      <c r="AA1800" s="30" t="n">
        <v>0</v>
      </c>
      <c r="AB1800" s="30" t="str">
        <f aca="false">IF(Z1800&lt;判定条件!$C$6,"判定不能",IF(AA1800&gt;=判定条件!$C$7*Z1800,"運転",IF(AA1800&lt;=判定条件!$C$8*Z1800,"停止","断続")))</f>
        <v>停止</v>
      </c>
      <c r="AC1800" s="30" t="n">
        <v>60</v>
      </c>
      <c r="AD1800" s="30" t="n">
        <v>0</v>
      </c>
      <c r="AE1800" s="30" t="str">
        <f aca="false">IF(AC1800&lt;判定条件!$C$6,"判定不能",IF(AD1800&gt;=判定条件!$C$7*AC1800,"運転",IF(AD1800&lt;=判定条件!$C$8*AC1800,"停止","断続")))</f>
        <v>停止</v>
      </c>
      <c r="AF1800" s="30" t="n">
        <v>60</v>
      </c>
      <c r="AG1800" s="30" t="n">
        <v>0</v>
      </c>
      <c r="AH1800" s="30" t="str">
        <f aca="false">IF(OR(P1800="判定不能",G1800="判定不能"),"判定不能",IF(AG1800&gt;=判定条件!$C$9,"利用可",IF(AND(P1800="停止",G1800="停止"),"両方停止","運転がそろわない")))</f>
        <v>両方停止</v>
      </c>
      <c r="AI1800" s="30" t="n">
        <v>60</v>
      </c>
      <c r="AJ1800" s="30" t="n">
        <v>0</v>
      </c>
      <c r="AK1800" s="30" t="str">
        <f aca="false">IF(OR(S1800="判定不能",J1800="判定不能"),"判定不能",IF(AJ1800&gt;=判定条件!$C$9,"利用可",IF(AND(S1800="停止",J1800="停止"),"両方停止","運転がそろわない")))</f>
        <v>両方停止</v>
      </c>
      <c r="AL1800" s="30" t="n">
        <v>60</v>
      </c>
      <c r="AM1800" s="30" t="n">
        <v>0</v>
      </c>
      <c r="AN1800" s="30" t="str">
        <f aca="false">IF(OR(V1800="判定不能",M1800="判定不能"),"判定不能",IF(AM1800&gt;=判定条件!$C$9,"利用可",IF(AND(V1800="停止",M1800="停止"),"両方停止","運転がそろわない")))</f>
        <v>両方停止</v>
      </c>
      <c r="AO1800" s="30" t="n">
        <v>60</v>
      </c>
      <c r="AP1800" s="30" t="n">
        <v>0</v>
      </c>
      <c r="AQ1800" s="30" t="str">
        <f aca="false">IF(OR(Y1800="判定不能",G1800="判定不能"),"判定不能",IF(AP1800&gt;=判定条件!$C$9,"利用可",IF(AND(Y1800="停止",G1800="停止"),"両方停止","運転がそろわない")))</f>
        <v>両方停止</v>
      </c>
      <c r="AR1800" s="30" t="n">
        <v>60</v>
      </c>
      <c r="AS1800" s="30" t="n">
        <v>0</v>
      </c>
      <c r="AT1800" s="30" t="str">
        <f aca="false">IF(OR(AB1800="判定不能",J1800="判定不能"),"判定不能",IF(AS1800&gt;=判定条件!$C$9,"利用可",IF(AND(AB1800="停止",J1800="停止"),"両方停止","運転がそろわない")))</f>
        <v>両方停止</v>
      </c>
      <c r="AU1800" s="30" t="n">
        <v>60</v>
      </c>
      <c r="AV1800" s="30" t="n">
        <v>0</v>
      </c>
      <c r="AW1800" s="30" t="str">
        <f aca="false">IF(OR(AE1800="判定不能",M1800="判定不能"),"判定不能",IF(AV1800&gt;=判定条件!$C$9,"利用可",IF(AND(AE1800="停止",M1800="停止"),"両方停止","運転がそろわない")))</f>
        <v>両方停止</v>
      </c>
      <c r="AX1800" s="30" t="str">
        <f aca="false">IF(AND(AH1800="利用可",AK1800="利用可",AN1800="利用可"),"利用可","不可")</f>
        <v>不可</v>
      </c>
      <c r="AY1800" s="30" t="str">
        <f aca="false">IF(AND(AQ1800="利用可",AT1800="利用可",AW1800="利用可"),"利用可","不可")</f>
        <v>不可</v>
      </c>
    </row>
    <row r="1801" customFormat="false" ht="15" hidden="false" customHeight="false" outlineLevel="0" collapsed="false">
      <c r="A1801" s="29" t="n">
        <v>46306</v>
      </c>
      <c r="B1801" s="30" t="n">
        <v>22</v>
      </c>
      <c r="C1801" s="31" t="s">
        <v>65</v>
      </c>
      <c r="D1801" s="31" t="s">
        <v>64</v>
      </c>
      <c r="E1801" s="30" t="n">
        <v>60</v>
      </c>
      <c r="F1801" s="30" t="n">
        <v>0</v>
      </c>
      <c r="G1801" s="30" t="str">
        <f aca="false">IF(E1801&lt;判定条件!$C$6,"判定不能",IF(F1801&gt;=判定条件!$C$7*E1801,"運転",IF(F1801&lt;=判定条件!$C$8*E1801,"停止","断続")))</f>
        <v>停止</v>
      </c>
      <c r="H1801" s="30" t="n">
        <v>60</v>
      </c>
      <c r="I1801" s="30" t="n">
        <v>0</v>
      </c>
      <c r="J1801" s="30" t="str">
        <f aca="false">IF(H1801&lt;判定条件!$C$6,"判定不能",IF(I1801&gt;=判定条件!$C$7*H1801,"運転",IF(I1801&lt;=判定条件!$C$8*H1801,"停止","断続")))</f>
        <v>停止</v>
      </c>
      <c r="K1801" s="30" t="n">
        <v>60</v>
      </c>
      <c r="L1801" s="30" t="n">
        <v>0</v>
      </c>
      <c r="M1801" s="30" t="str">
        <f aca="false">IF(K1801&lt;判定条件!$C$6,"判定不能",IF(L1801&gt;=判定条件!$C$7*K1801,"運転",IF(L1801&lt;=判定条件!$C$8*K1801,"停止","断続")))</f>
        <v>停止</v>
      </c>
      <c r="N1801" s="30" t="n">
        <v>60</v>
      </c>
      <c r="O1801" s="30" t="n">
        <v>0</v>
      </c>
      <c r="P1801" s="30" t="str">
        <f aca="false">IF(N1801&lt;判定条件!$C$6,"判定不能",IF(O1801&gt;=判定条件!$C$7*N1801,"運転",IF(O1801&lt;=判定条件!$C$8*N1801,"停止","断続")))</f>
        <v>停止</v>
      </c>
      <c r="Q1801" s="30" t="n">
        <v>60</v>
      </c>
      <c r="R1801" s="30" t="n">
        <v>0</v>
      </c>
      <c r="S1801" s="30" t="str">
        <f aca="false">IF(Q1801&lt;判定条件!$C$6,"判定不能",IF(R1801&gt;=判定条件!$C$7*Q1801,"運転",IF(R1801&lt;=判定条件!$C$8*Q1801,"停止","断続")))</f>
        <v>停止</v>
      </c>
      <c r="T1801" s="30" t="n">
        <v>60</v>
      </c>
      <c r="U1801" s="30" t="n">
        <v>0</v>
      </c>
      <c r="V1801" s="30" t="str">
        <f aca="false">IF(T1801&lt;判定条件!$C$6,"判定不能",IF(U1801&gt;=判定条件!$C$7*T1801,"運転",IF(U1801&lt;=判定条件!$C$8*T1801,"停止","断続")))</f>
        <v>停止</v>
      </c>
      <c r="W1801" s="30" t="n">
        <v>60</v>
      </c>
      <c r="X1801" s="30" t="n">
        <v>0</v>
      </c>
      <c r="Y1801" s="30" t="str">
        <f aca="false">IF(W1801&lt;判定条件!$C$6,"判定不能",IF(X1801&gt;=判定条件!$C$7*W1801,"運転",IF(X1801&lt;=判定条件!$C$8*W1801,"停止","断続")))</f>
        <v>停止</v>
      </c>
      <c r="Z1801" s="30" t="n">
        <v>60</v>
      </c>
      <c r="AA1801" s="30" t="n">
        <v>0</v>
      </c>
      <c r="AB1801" s="30" t="str">
        <f aca="false">IF(Z1801&lt;判定条件!$C$6,"判定不能",IF(AA1801&gt;=判定条件!$C$7*Z1801,"運転",IF(AA1801&lt;=判定条件!$C$8*Z1801,"停止","断続")))</f>
        <v>停止</v>
      </c>
      <c r="AC1801" s="30" t="n">
        <v>60</v>
      </c>
      <c r="AD1801" s="30" t="n">
        <v>0</v>
      </c>
      <c r="AE1801" s="30" t="str">
        <f aca="false">IF(AC1801&lt;判定条件!$C$6,"判定不能",IF(AD1801&gt;=判定条件!$C$7*AC1801,"運転",IF(AD1801&lt;=判定条件!$C$8*AC1801,"停止","断続")))</f>
        <v>停止</v>
      </c>
      <c r="AF1801" s="30" t="n">
        <v>60</v>
      </c>
      <c r="AG1801" s="30" t="n">
        <v>0</v>
      </c>
      <c r="AH1801" s="30" t="str">
        <f aca="false">IF(OR(P1801="判定不能",G1801="判定不能"),"判定不能",IF(AG1801&gt;=判定条件!$C$9,"利用可",IF(AND(P1801="停止",G1801="停止"),"両方停止","運転がそろわない")))</f>
        <v>両方停止</v>
      </c>
      <c r="AI1801" s="30" t="n">
        <v>60</v>
      </c>
      <c r="AJ1801" s="30" t="n">
        <v>0</v>
      </c>
      <c r="AK1801" s="30" t="str">
        <f aca="false">IF(OR(S1801="判定不能",J1801="判定不能"),"判定不能",IF(AJ1801&gt;=判定条件!$C$9,"利用可",IF(AND(S1801="停止",J1801="停止"),"両方停止","運転がそろわない")))</f>
        <v>両方停止</v>
      </c>
      <c r="AL1801" s="30" t="n">
        <v>60</v>
      </c>
      <c r="AM1801" s="30" t="n">
        <v>0</v>
      </c>
      <c r="AN1801" s="30" t="str">
        <f aca="false">IF(OR(V1801="判定不能",M1801="判定不能"),"判定不能",IF(AM1801&gt;=判定条件!$C$9,"利用可",IF(AND(V1801="停止",M1801="停止"),"両方停止","運転がそろわない")))</f>
        <v>両方停止</v>
      </c>
      <c r="AO1801" s="30" t="n">
        <v>60</v>
      </c>
      <c r="AP1801" s="30" t="n">
        <v>0</v>
      </c>
      <c r="AQ1801" s="30" t="str">
        <f aca="false">IF(OR(Y1801="判定不能",G1801="判定不能"),"判定不能",IF(AP1801&gt;=判定条件!$C$9,"利用可",IF(AND(Y1801="停止",G1801="停止"),"両方停止","運転がそろわない")))</f>
        <v>両方停止</v>
      </c>
      <c r="AR1801" s="30" t="n">
        <v>60</v>
      </c>
      <c r="AS1801" s="30" t="n">
        <v>0</v>
      </c>
      <c r="AT1801" s="30" t="str">
        <f aca="false">IF(OR(AB1801="判定不能",J1801="判定不能"),"判定不能",IF(AS1801&gt;=判定条件!$C$9,"利用可",IF(AND(AB1801="停止",J1801="停止"),"両方停止","運転がそろわない")))</f>
        <v>両方停止</v>
      </c>
      <c r="AU1801" s="30" t="n">
        <v>60</v>
      </c>
      <c r="AV1801" s="30" t="n">
        <v>0</v>
      </c>
      <c r="AW1801" s="30" t="str">
        <f aca="false">IF(OR(AE1801="判定不能",M1801="判定不能"),"判定不能",IF(AV1801&gt;=判定条件!$C$9,"利用可",IF(AND(AE1801="停止",M1801="停止"),"両方停止","運転がそろわない")))</f>
        <v>両方停止</v>
      </c>
      <c r="AX1801" s="30" t="str">
        <f aca="false">IF(AND(AH1801="利用可",AK1801="利用可",AN1801="利用可"),"利用可","不可")</f>
        <v>不可</v>
      </c>
      <c r="AY1801" s="30" t="str">
        <f aca="false">IF(AND(AQ1801="利用可",AT1801="利用可",AW1801="利用可"),"利用可","不可")</f>
        <v>不可</v>
      </c>
    </row>
    <row r="1802" customFormat="false" ht="15" hidden="false" customHeight="false" outlineLevel="0" collapsed="false">
      <c r="A1802" s="29" t="n">
        <v>46306</v>
      </c>
      <c r="B1802" s="30" t="n">
        <v>23</v>
      </c>
      <c r="C1802" s="31" t="s">
        <v>65</v>
      </c>
      <c r="D1802" s="31" t="s">
        <v>64</v>
      </c>
      <c r="E1802" s="30" t="n">
        <v>60</v>
      </c>
      <c r="F1802" s="30" t="n">
        <v>0</v>
      </c>
      <c r="G1802" s="30" t="str">
        <f aca="false">IF(E1802&lt;判定条件!$C$6,"判定不能",IF(F1802&gt;=判定条件!$C$7*E1802,"運転",IF(F1802&lt;=判定条件!$C$8*E1802,"停止","断続")))</f>
        <v>停止</v>
      </c>
      <c r="H1802" s="30" t="n">
        <v>60</v>
      </c>
      <c r="I1802" s="30" t="n">
        <v>0</v>
      </c>
      <c r="J1802" s="30" t="str">
        <f aca="false">IF(H1802&lt;判定条件!$C$6,"判定不能",IF(I1802&gt;=判定条件!$C$7*H1802,"運転",IF(I1802&lt;=判定条件!$C$8*H1802,"停止","断続")))</f>
        <v>停止</v>
      </c>
      <c r="K1802" s="30" t="n">
        <v>60</v>
      </c>
      <c r="L1802" s="30" t="n">
        <v>0</v>
      </c>
      <c r="M1802" s="30" t="str">
        <f aca="false">IF(K1802&lt;判定条件!$C$6,"判定不能",IF(L1802&gt;=判定条件!$C$7*K1802,"運転",IF(L1802&lt;=判定条件!$C$8*K1802,"停止","断続")))</f>
        <v>停止</v>
      </c>
      <c r="N1802" s="30" t="n">
        <v>60</v>
      </c>
      <c r="O1802" s="30" t="n">
        <v>0</v>
      </c>
      <c r="P1802" s="30" t="str">
        <f aca="false">IF(N1802&lt;判定条件!$C$6,"判定不能",IF(O1802&gt;=判定条件!$C$7*N1802,"運転",IF(O1802&lt;=判定条件!$C$8*N1802,"停止","断続")))</f>
        <v>停止</v>
      </c>
      <c r="Q1802" s="30" t="n">
        <v>60</v>
      </c>
      <c r="R1802" s="30" t="n">
        <v>0</v>
      </c>
      <c r="S1802" s="30" t="str">
        <f aca="false">IF(Q1802&lt;判定条件!$C$6,"判定不能",IF(R1802&gt;=判定条件!$C$7*Q1802,"運転",IF(R1802&lt;=判定条件!$C$8*Q1802,"停止","断続")))</f>
        <v>停止</v>
      </c>
      <c r="T1802" s="30" t="n">
        <v>60</v>
      </c>
      <c r="U1802" s="30" t="n">
        <v>0</v>
      </c>
      <c r="V1802" s="30" t="str">
        <f aca="false">IF(T1802&lt;判定条件!$C$6,"判定不能",IF(U1802&gt;=判定条件!$C$7*T1802,"運転",IF(U1802&lt;=判定条件!$C$8*T1802,"停止","断続")))</f>
        <v>停止</v>
      </c>
      <c r="W1802" s="30" t="n">
        <v>60</v>
      </c>
      <c r="X1802" s="30" t="n">
        <v>0</v>
      </c>
      <c r="Y1802" s="30" t="str">
        <f aca="false">IF(W1802&lt;判定条件!$C$6,"判定不能",IF(X1802&gt;=判定条件!$C$7*W1802,"運転",IF(X1802&lt;=判定条件!$C$8*W1802,"停止","断続")))</f>
        <v>停止</v>
      </c>
      <c r="Z1802" s="30" t="n">
        <v>60</v>
      </c>
      <c r="AA1802" s="30" t="n">
        <v>0</v>
      </c>
      <c r="AB1802" s="30" t="str">
        <f aca="false">IF(Z1802&lt;判定条件!$C$6,"判定不能",IF(AA1802&gt;=判定条件!$C$7*Z1802,"運転",IF(AA1802&lt;=判定条件!$C$8*Z1802,"停止","断続")))</f>
        <v>停止</v>
      </c>
      <c r="AC1802" s="30" t="n">
        <v>60</v>
      </c>
      <c r="AD1802" s="30" t="n">
        <v>0</v>
      </c>
      <c r="AE1802" s="30" t="str">
        <f aca="false">IF(AC1802&lt;判定条件!$C$6,"判定不能",IF(AD1802&gt;=判定条件!$C$7*AC1802,"運転",IF(AD1802&lt;=判定条件!$C$8*AC1802,"停止","断続")))</f>
        <v>停止</v>
      </c>
      <c r="AF1802" s="30" t="n">
        <v>60</v>
      </c>
      <c r="AG1802" s="30" t="n">
        <v>0</v>
      </c>
      <c r="AH1802" s="30" t="str">
        <f aca="false">IF(OR(P1802="判定不能",G1802="判定不能"),"判定不能",IF(AG1802&gt;=判定条件!$C$9,"利用可",IF(AND(P1802="停止",G1802="停止"),"両方停止","運転がそろわない")))</f>
        <v>両方停止</v>
      </c>
      <c r="AI1802" s="30" t="n">
        <v>60</v>
      </c>
      <c r="AJ1802" s="30" t="n">
        <v>0</v>
      </c>
      <c r="AK1802" s="30" t="str">
        <f aca="false">IF(OR(S1802="判定不能",J1802="判定不能"),"判定不能",IF(AJ1802&gt;=判定条件!$C$9,"利用可",IF(AND(S1802="停止",J1802="停止"),"両方停止","運転がそろわない")))</f>
        <v>両方停止</v>
      </c>
      <c r="AL1802" s="30" t="n">
        <v>60</v>
      </c>
      <c r="AM1802" s="30" t="n">
        <v>0</v>
      </c>
      <c r="AN1802" s="30" t="str">
        <f aca="false">IF(OR(V1802="判定不能",M1802="判定不能"),"判定不能",IF(AM1802&gt;=判定条件!$C$9,"利用可",IF(AND(V1802="停止",M1802="停止"),"両方停止","運転がそろわない")))</f>
        <v>両方停止</v>
      </c>
      <c r="AO1802" s="30" t="n">
        <v>60</v>
      </c>
      <c r="AP1802" s="30" t="n">
        <v>0</v>
      </c>
      <c r="AQ1802" s="30" t="str">
        <f aca="false">IF(OR(Y1802="判定不能",G1802="判定不能"),"判定不能",IF(AP1802&gt;=判定条件!$C$9,"利用可",IF(AND(Y1802="停止",G1802="停止"),"両方停止","運転がそろわない")))</f>
        <v>両方停止</v>
      </c>
      <c r="AR1802" s="30" t="n">
        <v>60</v>
      </c>
      <c r="AS1802" s="30" t="n">
        <v>0</v>
      </c>
      <c r="AT1802" s="30" t="str">
        <f aca="false">IF(OR(AB1802="判定不能",J1802="判定不能"),"判定不能",IF(AS1802&gt;=判定条件!$C$9,"利用可",IF(AND(AB1802="停止",J1802="停止"),"両方停止","運転がそろわない")))</f>
        <v>両方停止</v>
      </c>
      <c r="AU1802" s="30" t="n">
        <v>60</v>
      </c>
      <c r="AV1802" s="30" t="n">
        <v>0</v>
      </c>
      <c r="AW1802" s="30" t="str">
        <f aca="false">IF(OR(AE1802="判定不能",M1802="判定不能"),"判定不能",IF(AV1802&gt;=判定条件!$C$9,"利用可",IF(AND(AE1802="停止",M1802="停止"),"両方停止","運転がそろわない")))</f>
        <v>両方停止</v>
      </c>
      <c r="AX1802" s="30" t="str">
        <f aca="false">IF(AND(AH1802="利用可",AK1802="利用可",AN1802="利用可"),"利用可","不可")</f>
        <v>不可</v>
      </c>
      <c r="AY1802" s="30" t="str">
        <f aca="false">IF(AND(AQ1802="利用可",AT1802="利用可",AW1802="利用可"),"利用可","不可")</f>
        <v>不可</v>
      </c>
    </row>
    <row r="1803" customFormat="false" ht="15" hidden="false" customHeight="false" outlineLevel="0" collapsed="false">
      <c r="A1803" s="29" t="n">
        <v>46307</v>
      </c>
      <c r="B1803" s="30" t="n">
        <v>0</v>
      </c>
      <c r="C1803" s="31" t="s">
        <v>66</v>
      </c>
      <c r="D1803" s="31" t="s">
        <v>101</v>
      </c>
      <c r="E1803" s="30" t="n">
        <v>60</v>
      </c>
      <c r="F1803" s="30" t="n">
        <v>0</v>
      </c>
      <c r="G1803" s="30" t="str">
        <f aca="false">IF(E1803&lt;判定条件!$C$6,"判定不能",IF(F1803&gt;=判定条件!$C$7*E1803,"運転",IF(F1803&lt;=判定条件!$C$8*E1803,"停止","断続")))</f>
        <v>停止</v>
      </c>
      <c r="H1803" s="30" t="n">
        <v>60</v>
      </c>
      <c r="I1803" s="30" t="n">
        <v>0</v>
      </c>
      <c r="J1803" s="30" t="str">
        <f aca="false">IF(H1803&lt;判定条件!$C$6,"判定不能",IF(I1803&gt;=判定条件!$C$7*H1803,"運転",IF(I1803&lt;=判定条件!$C$8*H1803,"停止","断続")))</f>
        <v>停止</v>
      </c>
      <c r="K1803" s="30" t="n">
        <v>60</v>
      </c>
      <c r="L1803" s="30" t="n">
        <v>0</v>
      </c>
      <c r="M1803" s="30" t="str">
        <f aca="false">IF(K1803&lt;判定条件!$C$6,"判定不能",IF(L1803&gt;=判定条件!$C$7*K1803,"運転",IF(L1803&lt;=判定条件!$C$8*K1803,"停止","断続")))</f>
        <v>停止</v>
      </c>
      <c r="N1803" s="30" t="n">
        <v>60</v>
      </c>
      <c r="O1803" s="30" t="n">
        <v>0</v>
      </c>
      <c r="P1803" s="30" t="str">
        <f aca="false">IF(N1803&lt;判定条件!$C$6,"判定不能",IF(O1803&gt;=判定条件!$C$7*N1803,"運転",IF(O1803&lt;=判定条件!$C$8*N1803,"停止","断続")))</f>
        <v>停止</v>
      </c>
      <c r="Q1803" s="30" t="n">
        <v>60</v>
      </c>
      <c r="R1803" s="30" t="n">
        <v>0</v>
      </c>
      <c r="S1803" s="30" t="str">
        <f aca="false">IF(Q1803&lt;判定条件!$C$6,"判定不能",IF(R1803&gt;=判定条件!$C$7*Q1803,"運転",IF(R1803&lt;=判定条件!$C$8*Q1803,"停止","断続")))</f>
        <v>停止</v>
      </c>
      <c r="T1803" s="30" t="n">
        <v>60</v>
      </c>
      <c r="U1803" s="30" t="n">
        <v>0</v>
      </c>
      <c r="V1803" s="30" t="str">
        <f aca="false">IF(T1803&lt;判定条件!$C$6,"判定不能",IF(U1803&gt;=判定条件!$C$7*T1803,"運転",IF(U1803&lt;=判定条件!$C$8*T1803,"停止","断続")))</f>
        <v>停止</v>
      </c>
      <c r="W1803" s="30" t="n">
        <v>60</v>
      </c>
      <c r="X1803" s="30" t="n">
        <v>0</v>
      </c>
      <c r="Y1803" s="30" t="str">
        <f aca="false">IF(W1803&lt;判定条件!$C$6,"判定不能",IF(X1803&gt;=判定条件!$C$7*W1803,"運転",IF(X1803&lt;=判定条件!$C$8*W1803,"停止","断続")))</f>
        <v>停止</v>
      </c>
      <c r="Z1803" s="30" t="n">
        <v>60</v>
      </c>
      <c r="AA1803" s="30" t="n">
        <v>0</v>
      </c>
      <c r="AB1803" s="30" t="str">
        <f aca="false">IF(Z1803&lt;判定条件!$C$6,"判定不能",IF(AA1803&gt;=判定条件!$C$7*Z1803,"運転",IF(AA1803&lt;=判定条件!$C$8*Z1803,"停止","断続")))</f>
        <v>停止</v>
      </c>
      <c r="AC1803" s="30" t="n">
        <v>60</v>
      </c>
      <c r="AD1803" s="30" t="n">
        <v>0</v>
      </c>
      <c r="AE1803" s="30" t="str">
        <f aca="false">IF(AC1803&lt;判定条件!$C$6,"判定不能",IF(AD1803&gt;=判定条件!$C$7*AC1803,"運転",IF(AD1803&lt;=判定条件!$C$8*AC1803,"停止","断続")))</f>
        <v>停止</v>
      </c>
      <c r="AF1803" s="30" t="n">
        <v>60</v>
      </c>
      <c r="AG1803" s="30" t="n">
        <v>0</v>
      </c>
      <c r="AH1803" s="30" t="str">
        <f aca="false">IF(OR(P1803="判定不能",G1803="判定不能"),"判定不能",IF(AG1803&gt;=判定条件!$C$9,"利用可",IF(AND(P1803="停止",G1803="停止"),"両方停止","運転がそろわない")))</f>
        <v>両方停止</v>
      </c>
      <c r="AI1803" s="30" t="n">
        <v>60</v>
      </c>
      <c r="AJ1803" s="30" t="n">
        <v>0</v>
      </c>
      <c r="AK1803" s="30" t="str">
        <f aca="false">IF(OR(S1803="判定不能",J1803="判定不能"),"判定不能",IF(AJ1803&gt;=判定条件!$C$9,"利用可",IF(AND(S1803="停止",J1803="停止"),"両方停止","運転がそろわない")))</f>
        <v>両方停止</v>
      </c>
      <c r="AL1803" s="30" t="n">
        <v>60</v>
      </c>
      <c r="AM1803" s="30" t="n">
        <v>0</v>
      </c>
      <c r="AN1803" s="30" t="str">
        <f aca="false">IF(OR(V1803="判定不能",M1803="判定不能"),"判定不能",IF(AM1803&gt;=判定条件!$C$9,"利用可",IF(AND(V1803="停止",M1803="停止"),"両方停止","運転がそろわない")))</f>
        <v>両方停止</v>
      </c>
      <c r="AO1803" s="30" t="n">
        <v>60</v>
      </c>
      <c r="AP1803" s="30" t="n">
        <v>0</v>
      </c>
      <c r="AQ1803" s="30" t="str">
        <f aca="false">IF(OR(Y1803="判定不能",G1803="判定不能"),"判定不能",IF(AP1803&gt;=判定条件!$C$9,"利用可",IF(AND(Y1803="停止",G1803="停止"),"両方停止","運転がそろわない")))</f>
        <v>両方停止</v>
      </c>
      <c r="AR1803" s="30" t="n">
        <v>60</v>
      </c>
      <c r="AS1803" s="30" t="n">
        <v>0</v>
      </c>
      <c r="AT1803" s="30" t="str">
        <f aca="false">IF(OR(AB1803="判定不能",J1803="判定不能"),"判定不能",IF(AS1803&gt;=判定条件!$C$9,"利用可",IF(AND(AB1803="停止",J1803="停止"),"両方停止","運転がそろわない")))</f>
        <v>両方停止</v>
      </c>
      <c r="AU1803" s="30" t="n">
        <v>60</v>
      </c>
      <c r="AV1803" s="30" t="n">
        <v>0</v>
      </c>
      <c r="AW1803" s="30" t="str">
        <f aca="false">IF(OR(AE1803="判定不能",M1803="判定不能"),"判定不能",IF(AV1803&gt;=判定条件!$C$9,"利用可",IF(AND(AE1803="停止",M1803="停止"),"両方停止","運転がそろわない")))</f>
        <v>両方停止</v>
      </c>
      <c r="AX1803" s="30" t="str">
        <f aca="false">IF(AND(AH1803="利用可",AK1803="利用可",AN1803="利用可"),"利用可","不可")</f>
        <v>不可</v>
      </c>
      <c r="AY1803" s="30" t="str">
        <f aca="false">IF(AND(AQ1803="利用可",AT1803="利用可",AW1803="利用可"),"利用可","不可")</f>
        <v>不可</v>
      </c>
    </row>
    <row r="1804" customFormat="false" ht="15" hidden="false" customHeight="false" outlineLevel="0" collapsed="false">
      <c r="A1804" s="29" t="n">
        <v>46307</v>
      </c>
      <c r="B1804" s="30" t="n">
        <v>1</v>
      </c>
      <c r="C1804" s="31" t="s">
        <v>66</v>
      </c>
      <c r="D1804" s="31" t="s">
        <v>101</v>
      </c>
      <c r="E1804" s="30" t="n">
        <v>60</v>
      </c>
      <c r="F1804" s="30" t="n">
        <v>0</v>
      </c>
      <c r="G1804" s="30" t="str">
        <f aca="false">IF(E1804&lt;判定条件!$C$6,"判定不能",IF(F1804&gt;=判定条件!$C$7*E1804,"運転",IF(F1804&lt;=判定条件!$C$8*E1804,"停止","断続")))</f>
        <v>停止</v>
      </c>
      <c r="H1804" s="30" t="n">
        <v>60</v>
      </c>
      <c r="I1804" s="30" t="n">
        <v>0</v>
      </c>
      <c r="J1804" s="30" t="str">
        <f aca="false">IF(H1804&lt;判定条件!$C$6,"判定不能",IF(I1804&gt;=判定条件!$C$7*H1804,"運転",IF(I1804&lt;=判定条件!$C$8*H1804,"停止","断続")))</f>
        <v>停止</v>
      </c>
      <c r="K1804" s="30" t="n">
        <v>60</v>
      </c>
      <c r="L1804" s="30" t="n">
        <v>0</v>
      </c>
      <c r="M1804" s="30" t="str">
        <f aca="false">IF(K1804&lt;判定条件!$C$6,"判定不能",IF(L1804&gt;=判定条件!$C$7*K1804,"運転",IF(L1804&lt;=判定条件!$C$8*K1804,"停止","断続")))</f>
        <v>停止</v>
      </c>
      <c r="N1804" s="30" t="n">
        <v>60</v>
      </c>
      <c r="O1804" s="30" t="n">
        <v>0</v>
      </c>
      <c r="P1804" s="30" t="str">
        <f aca="false">IF(N1804&lt;判定条件!$C$6,"判定不能",IF(O1804&gt;=判定条件!$C$7*N1804,"運転",IF(O1804&lt;=判定条件!$C$8*N1804,"停止","断続")))</f>
        <v>停止</v>
      </c>
      <c r="Q1804" s="30" t="n">
        <v>60</v>
      </c>
      <c r="R1804" s="30" t="n">
        <v>0</v>
      </c>
      <c r="S1804" s="30" t="str">
        <f aca="false">IF(Q1804&lt;判定条件!$C$6,"判定不能",IF(R1804&gt;=判定条件!$C$7*Q1804,"運転",IF(R1804&lt;=判定条件!$C$8*Q1804,"停止","断続")))</f>
        <v>停止</v>
      </c>
      <c r="T1804" s="30" t="n">
        <v>60</v>
      </c>
      <c r="U1804" s="30" t="n">
        <v>0</v>
      </c>
      <c r="V1804" s="30" t="str">
        <f aca="false">IF(T1804&lt;判定条件!$C$6,"判定不能",IF(U1804&gt;=判定条件!$C$7*T1804,"運転",IF(U1804&lt;=判定条件!$C$8*T1804,"停止","断続")))</f>
        <v>停止</v>
      </c>
      <c r="W1804" s="30" t="n">
        <v>60</v>
      </c>
      <c r="X1804" s="30" t="n">
        <v>0</v>
      </c>
      <c r="Y1804" s="30" t="str">
        <f aca="false">IF(W1804&lt;判定条件!$C$6,"判定不能",IF(X1804&gt;=判定条件!$C$7*W1804,"運転",IF(X1804&lt;=判定条件!$C$8*W1804,"停止","断続")))</f>
        <v>停止</v>
      </c>
      <c r="Z1804" s="30" t="n">
        <v>60</v>
      </c>
      <c r="AA1804" s="30" t="n">
        <v>0</v>
      </c>
      <c r="AB1804" s="30" t="str">
        <f aca="false">IF(Z1804&lt;判定条件!$C$6,"判定不能",IF(AA1804&gt;=判定条件!$C$7*Z1804,"運転",IF(AA1804&lt;=判定条件!$C$8*Z1804,"停止","断続")))</f>
        <v>停止</v>
      </c>
      <c r="AC1804" s="30" t="n">
        <v>60</v>
      </c>
      <c r="AD1804" s="30" t="n">
        <v>0</v>
      </c>
      <c r="AE1804" s="30" t="str">
        <f aca="false">IF(AC1804&lt;判定条件!$C$6,"判定不能",IF(AD1804&gt;=判定条件!$C$7*AC1804,"運転",IF(AD1804&lt;=判定条件!$C$8*AC1804,"停止","断続")))</f>
        <v>停止</v>
      </c>
      <c r="AF1804" s="30" t="n">
        <v>60</v>
      </c>
      <c r="AG1804" s="30" t="n">
        <v>0</v>
      </c>
      <c r="AH1804" s="30" t="str">
        <f aca="false">IF(OR(P1804="判定不能",G1804="判定不能"),"判定不能",IF(AG1804&gt;=判定条件!$C$9,"利用可",IF(AND(P1804="停止",G1804="停止"),"両方停止","運転がそろわない")))</f>
        <v>両方停止</v>
      </c>
      <c r="AI1804" s="30" t="n">
        <v>60</v>
      </c>
      <c r="AJ1804" s="30" t="n">
        <v>0</v>
      </c>
      <c r="AK1804" s="30" t="str">
        <f aca="false">IF(OR(S1804="判定不能",J1804="判定不能"),"判定不能",IF(AJ1804&gt;=判定条件!$C$9,"利用可",IF(AND(S1804="停止",J1804="停止"),"両方停止","運転がそろわない")))</f>
        <v>両方停止</v>
      </c>
      <c r="AL1804" s="30" t="n">
        <v>60</v>
      </c>
      <c r="AM1804" s="30" t="n">
        <v>0</v>
      </c>
      <c r="AN1804" s="30" t="str">
        <f aca="false">IF(OR(V1804="判定不能",M1804="判定不能"),"判定不能",IF(AM1804&gt;=判定条件!$C$9,"利用可",IF(AND(V1804="停止",M1804="停止"),"両方停止","運転がそろわない")))</f>
        <v>両方停止</v>
      </c>
      <c r="AO1804" s="30" t="n">
        <v>60</v>
      </c>
      <c r="AP1804" s="30" t="n">
        <v>0</v>
      </c>
      <c r="AQ1804" s="30" t="str">
        <f aca="false">IF(OR(Y1804="判定不能",G1804="判定不能"),"判定不能",IF(AP1804&gt;=判定条件!$C$9,"利用可",IF(AND(Y1804="停止",G1804="停止"),"両方停止","運転がそろわない")))</f>
        <v>両方停止</v>
      </c>
      <c r="AR1804" s="30" t="n">
        <v>60</v>
      </c>
      <c r="AS1804" s="30" t="n">
        <v>0</v>
      </c>
      <c r="AT1804" s="30" t="str">
        <f aca="false">IF(OR(AB1804="判定不能",J1804="判定不能"),"判定不能",IF(AS1804&gt;=判定条件!$C$9,"利用可",IF(AND(AB1804="停止",J1804="停止"),"両方停止","運転がそろわない")))</f>
        <v>両方停止</v>
      </c>
      <c r="AU1804" s="30" t="n">
        <v>60</v>
      </c>
      <c r="AV1804" s="30" t="n">
        <v>0</v>
      </c>
      <c r="AW1804" s="30" t="str">
        <f aca="false">IF(OR(AE1804="判定不能",M1804="判定不能"),"判定不能",IF(AV1804&gt;=判定条件!$C$9,"利用可",IF(AND(AE1804="停止",M1804="停止"),"両方停止","運転がそろわない")))</f>
        <v>両方停止</v>
      </c>
      <c r="AX1804" s="30" t="str">
        <f aca="false">IF(AND(AH1804="利用可",AK1804="利用可",AN1804="利用可"),"利用可","不可")</f>
        <v>不可</v>
      </c>
      <c r="AY1804" s="30" t="str">
        <f aca="false">IF(AND(AQ1804="利用可",AT1804="利用可",AW1804="利用可"),"利用可","不可")</f>
        <v>不可</v>
      </c>
    </row>
    <row r="1805" customFormat="false" ht="15" hidden="false" customHeight="false" outlineLevel="0" collapsed="false">
      <c r="A1805" s="29" t="n">
        <v>46307</v>
      </c>
      <c r="B1805" s="30" t="n">
        <v>2</v>
      </c>
      <c r="C1805" s="31" t="s">
        <v>66</v>
      </c>
      <c r="D1805" s="31" t="s">
        <v>101</v>
      </c>
      <c r="E1805" s="30" t="n">
        <v>60</v>
      </c>
      <c r="F1805" s="30" t="n">
        <v>0</v>
      </c>
      <c r="G1805" s="30" t="str">
        <f aca="false">IF(E1805&lt;判定条件!$C$6,"判定不能",IF(F1805&gt;=判定条件!$C$7*E1805,"運転",IF(F1805&lt;=判定条件!$C$8*E1805,"停止","断続")))</f>
        <v>停止</v>
      </c>
      <c r="H1805" s="30" t="n">
        <v>60</v>
      </c>
      <c r="I1805" s="30" t="n">
        <v>0</v>
      </c>
      <c r="J1805" s="30" t="str">
        <f aca="false">IF(H1805&lt;判定条件!$C$6,"判定不能",IF(I1805&gt;=判定条件!$C$7*H1805,"運転",IF(I1805&lt;=判定条件!$C$8*H1805,"停止","断続")))</f>
        <v>停止</v>
      </c>
      <c r="K1805" s="30" t="n">
        <v>60</v>
      </c>
      <c r="L1805" s="30" t="n">
        <v>0</v>
      </c>
      <c r="M1805" s="30" t="str">
        <f aca="false">IF(K1805&lt;判定条件!$C$6,"判定不能",IF(L1805&gt;=判定条件!$C$7*K1805,"運転",IF(L1805&lt;=判定条件!$C$8*K1805,"停止","断続")))</f>
        <v>停止</v>
      </c>
      <c r="N1805" s="30" t="n">
        <v>60</v>
      </c>
      <c r="O1805" s="30" t="n">
        <v>0</v>
      </c>
      <c r="P1805" s="30" t="str">
        <f aca="false">IF(N1805&lt;判定条件!$C$6,"判定不能",IF(O1805&gt;=判定条件!$C$7*N1805,"運転",IF(O1805&lt;=判定条件!$C$8*N1805,"停止","断続")))</f>
        <v>停止</v>
      </c>
      <c r="Q1805" s="30" t="n">
        <v>60</v>
      </c>
      <c r="R1805" s="30" t="n">
        <v>0</v>
      </c>
      <c r="S1805" s="30" t="str">
        <f aca="false">IF(Q1805&lt;判定条件!$C$6,"判定不能",IF(R1805&gt;=判定条件!$C$7*Q1805,"運転",IF(R1805&lt;=判定条件!$C$8*Q1805,"停止","断続")))</f>
        <v>停止</v>
      </c>
      <c r="T1805" s="30" t="n">
        <v>60</v>
      </c>
      <c r="U1805" s="30" t="n">
        <v>0</v>
      </c>
      <c r="V1805" s="30" t="str">
        <f aca="false">IF(T1805&lt;判定条件!$C$6,"判定不能",IF(U1805&gt;=判定条件!$C$7*T1805,"運転",IF(U1805&lt;=判定条件!$C$8*T1805,"停止","断続")))</f>
        <v>停止</v>
      </c>
      <c r="W1805" s="30" t="n">
        <v>60</v>
      </c>
      <c r="X1805" s="30" t="n">
        <v>0</v>
      </c>
      <c r="Y1805" s="30" t="str">
        <f aca="false">IF(W1805&lt;判定条件!$C$6,"判定不能",IF(X1805&gt;=判定条件!$C$7*W1805,"運転",IF(X1805&lt;=判定条件!$C$8*W1805,"停止","断続")))</f>
        <v>停止</v>
      </c>
      <c r="Z1805" s="30" t="n">
        <v>60</v>
      </c>
      <c r="AA1805" s="30" t="n">
        <v>0</v>
      </c>
      <c r="AB1805" s="30" t="str">
        <f aca="false">IF(Z1805&lt;判定条件!$C$6,"判定不能",IF(AA1805&gt;=判定条件!$C$7*Z1805,"運転",IF(AA1805&lt;=判定条件!$C$8*Z1805,"停止","断続")))</f>
        <v>停止</v>
      </c>
      <c r="AC1805" s="30" t="n">
        <v>60</v>
      </c>
      <c r="AD1805" s="30" t="n">
        <v>0</v>
      </c>
      <c r="AE1805" s="30" t="str">
        <f aca="false">IF(AC1805&lt;判定条件!$C$6,"判定不能",IF(AD1805&gt;=判定条件!$C$7*AC1805,"運転",IF(AD1805&lt;=判定条件!$C$8*AC1805,"停止","断続")))</f>
        <v>停止</v>
      </c>
      <c r="AF1805" s="30" t="n">
        <v>60</v>
      </c>
      <c r="AG1805" s="30" t="n">
        <v>0</v>
      </c>
      <c r="AH1805" s="30" t="str">
        <f aca="false">IF(OR(P1805="判定不能",G1805="判定不能"),"判定不能",IF(AG1805&gt;=判定条件!$C$9,"利用可",IF(AND(P1805="停止",G1805="停止"),"両方停止","運転がそろわない")))</f>
        <v>両方停止</v>
      </c>
      <c r="AI1805" s="30" t="n">
        <v>60</v>
      </c>
      <c r="AJ1805" s="30" t="n">
        <v>0</v>
      </c>
      <c r="AK1805" s="30" t="str">
        <f aca="false">IF(OR(S1805="判定不能",J1805="判定不能"),"判定不能",IF(AJ1805&gt;=判定条件!$C$9,"利用可",IF(AND(S1805="停止",J1805="停止"),"両方停止","運転がそろわない")))</f>
        <v>両方停止</v>
      </c>
      <c r="AL1805" s="30" t="n">
        <v>60</v>
      </c>
      <c r="AM1805" s="30" t="n">
        <v>0</v>
      </c>
      <c r="AN1805" s="30" t="str">
        <f aca="false">IF(OR(V1805="判定不能",M1805="判定不能"),"判定不能",IF(AM1805&gt;=判定条件!$C$9,"利用可",IF(AND(V1805="停止",M1805="停止"),"両方停止","運転がそろわない")))</f>
        <v>両方停止</v>
      </c>
      <c r="AO1805" s="30" t="n">
        <v>60</v>
      </c>
      <c r="AP1805" s="30" t="n">
        <v>0</v>
      </c>
      <c r="AQ1805" s="30" t="str">
        <f aca="false">IF(OR(Y1805="判定不能",G1805="判定不能"),"判定不能",IF(AP1805&gt;=判定条件!$C$9,"利用可",IF(AND(Y1805="停止",G1805="停止"),"両方停止","運転がそろわない")))</f>
        <v>両方停止</v>
      </c>
      <c r="AR1805" s="30" t="n">
        <v>60</v>
      </c>
      <c r="AS1805" s="30" t="n">
        <v>0</v>
      </c>
      <c r="AT1805" s="30" t="str">
        <f aca="false">IF(OR(AB1805="判定不能",J1805="判定不能"),"判定不能",IF(AS1805&gt;=判定条件!$C$9,"利用可",IF(AND(AB1805="停止",J1805="停止"),"両方停止","運転がそろわない")))</f>
        <v>両方停止</v>
      </c>
      <c r="AU1805" s="30" t="n">
        <v>60</v>
      </c>
      <c r="AV1805" s="30" t="n">
        <v>0</v>
      </c>
      <c r="AW1805" s="30" t="str">
        <f aca="false">IF(OR(AE1805="判定不能",M1805="判定不能"),"判定不能",IF(AV1805&gt;=判定条件!$C$9,"利用可",IF(AND(AE1805="停止",M1805="停止"),"両方停止","運転がそろわない")))</f>
        <v>両方停止</v>
      </c>
      <c r="AX1805" s="30" t="str">
        <f aca="false">IF(AND(AH1805="利用可",AK1805="利用可",AN1805="利用可"),"利用可","不可")</f>
        <v>不可</v>
      </c>
      <c r="AY1805" s="30" t="str">
        <f aca="false">IF(AND(AQ1805="利用可",AT1805="利用可",AW1805="利用可"),"利用可","不可")</f>
        <v>不可</v>
      </c>
    </row>
    <row r="1806" customFormat="false" ht="15" hidden="false" customHeight="false" outlineLevel="0" collapsed="false">
      <c r="A1806" s="29" t="n">
        <v>46307</v>
      </c>
      <c r="B1806" s="30" t="n">
        <v>3</v>
      </c>
      <c r="C1806" s="31" t="s">
        <v>66</v>
      </c>
      <c r="D1806" s="31" t="s">
        <v>101</v>
      </c>
      <c r="E1806" s="30" t="n">
        <v>60</v>
      </c>
      <c r="F1806" s="30" t="n">
        <v>0</v>
      </c>
      <c r="G1806" s="30" t="str">
        <f aca="false">IF(E1806&lt;判定条件!$C$6,"判定不能",IF(F1806&gt;=判定条件!$C$7*E1806,"運転",IF(F1806&lt;=判定条件!$C$8*E1806,"停止","断続")))</f>
        <v>停止</v>
      </c>
      <c r="H1806" s="30" t="n">
        <v>60</v>
      </c>
      <c r="I1806" s="30" t="n">
        <v>0</v>
      </c>
      <c r="J1806" s="30" t="str">
        <f aca="false">IF(H1806&lt;判定条件!$C$6,"判定不能",IF(I1806&gt;=判定条件!$C$7*H1806,"運転",IF(I1806&lt;=判定条件!$C$8*H1806,"停止","断続")))</f>
        <v>停止</v>
      </c>
      <c r="K1806" s="30" t="n">
        <v>60</v>
      </c>
      <c r="L1806" s="30" t="n">
        <v>0</v>
      </c>
      <c r="M1806" s="30" t="str">
        <f aca="false">IF(K1806&lt;判定条件!$C$6,"判定不能",IF(L1806&gt;=判定条件!$C$7*K1806,"運転",IF(L1806&lt;=判定条件!$C$8*K1806,"停止","断続")))</f>
        <v>停止</v>
      </c>
      <c r="N1806" s="30" t="n">
        <v>60</v>
      </c>
      <c r="O1806" s="30" t="n">
        <v>0</v>
      </c>
      <c r="P1806" s="30" t="str">
        <f aca="false">IF(N1806&lt;判定条件!$C$6,"判定不能",IF(O1806&gt;=判定条件!$C$7*N1806,"運転",IF(O1806&lt;=判定条件!$C$8*N1806,"停止","断続")))</f>
        <v>停止</v>
      </c>
      <c r="Q1806" s="30" t="n">
        <v>60</v>
      </c>
      <c r="R1806" s="30" t="n">
        <v>0</v>
      </c>
      <c r="S1806" s="30" t="str">
        <f aca="false">IF(Q1806&lt;判定条件!$C$6,"判定不能",IF(R1806&gt;=判定条件!$C$7*Q1806,"運転",IF(R1806&lt;=判定条件!$C$8*Q1806,"停止","断続")))</f>
        <v>停止</v>
      </c>
      <c r="T1806" s="30" t="n">
        <v>60</v>
      </c>
      <c r="U1806" s="30" t="n">
        <v>0</v>
      </c>
      <c r="V1806" s="30" t="str">
        <f aca="false">IF(T1806&lt;判定条件!$C$6,"判定不能",IF(U1806&gt;=判定条件!$C$7*T1806,"運転",IF(U1806&lt;=判定条件!$C$8*T1806,"停止","断続")))</f>
        <v>停止</v>
      </c>
      <c r="W1806" s="30" t="n">
        <v>60</v>
      </c>
      <c r="X1806" s="30" t="n">
        <v>0</v>
      </c>
      <c r="Y1806" s="30" t="str">
        <f aca="false">IF(W1806&lt;判定条件!$C$6,"判定不能",IF(X1806&gt;=判定条件!$C$7*W1806,"運転",IF(X1806&lt;=判定条件!$C$8*W1806,"停止","断続")))</f>
        <v>停止</v>
      </c>
      <c r="Z1806" s="30" t="n">
        <v>60</v>
      </c>
      <c r="AA1806" s="30" t="n">
        <v>0</v>
      </c>
      <c r="AB1806" s="30" t="str">
        <f aca="false">IF(Z1806&lt;判定条件!$C$6,"判定不能",IF(AA1806&gt;=判定条件!$C$7*Z1806,"運転",IF(AA1806&lt;=判定条件!$C$8*Z1806,"停止","断続")))</f>
        <v>停止</v>
      </c>
      <c r="AC1806" s="30" t="n">
        <v>60</v>
      </c>
      <c r="AD1806" s="30" t="n">
        <v>0</v>
      </c>
      <c r="AE1806" s="30" t="str">
        <f aca="false">IF(AC1806&lt;判定条件!$C$6,"判定不能",IF(AD1806&gt;=判定条件!$C$7*AC1806,"運転",IF(AD1806&lt;=判定条件!$C$8*AC1806,"停止","断続")))</f>
        <v>停止</v>
      </c>
      <c r="AF1806" s="30" t="n">
        <v>60</v>
      </c>
      <c r="AG1806" s="30" t="n">
        <v>0</v>
      </c>
      <c r="AH1806" s="30" t="str">
        <f aca="false">IF(OR(P1806="判定不能",G1806="判定不能"),"判定不能",IF(AG1806&gt;=判定条件!$C$9,"利用可",IF(AND(P1806="停止",G1806="停止"),"両方停止","運転がそろわない")))</f>
        <v>両方停止</v>
      </c>
      <c r="AI1806" s="30" t="n">
        <v>60</v>
      </c>
      <c r="AJ1806" s="30" t="n">
        <v>0</v>
      </c>
      <c r="AK1806" s="30" t="str">
        <f aca="false">IF(OR(S1806="判定不能",J1806="判定不能"),"判定不能",IF(AJ1806&gt;=判定条件!$C$9,"利用可",IF(AND(S1806="停止",J1806="停止"),"両方停止","運転がそろわない")))</f>
        <v>両方停止</v>
      </c>
      <c r="AL1806" s="30" t="n">
        <v>60</v>
      </c>
      <c r="AM1806" s="30" t="n">
        <v>0</v>
      </c>
      <c r="AN1806" s="30" t="str">
        <f aca="false">IF(OR(V1806="判定不能",M1806="判定不能"),"判定不能",IF(AM1806&gt;=判定条件!$C$9,"利用可",IF(AND(V1806="停止",M1806="停止"),"両方停止","運転がそろわない")))</f>
        <v>両方停止</v>
      </c>
      <c r="AO1806" s="30" t="n">
        <v>60</v>
      </c>
      <c r="AP1806" s="30" t="n">
        <v>0</v>
      </c>
      <c r="AQ1806" s="30" t="str">
        <f aca="false">IF(OR(Y1806="判定不能",G1806="判定不能"),"判定不能",IF(AP1806&gt;=判定条件!$C$9,"利用可",IF(AND(Y1806="停止",G1806="停止"),"両方停止","運転がそろわない")))</f>
        <v>両方停止</v>
      </c>
      <c r="AR1806" s="30" t="n">
        <v>60</v>
      </c>
      <c r="AS1806" s="30" t="n">
        <v>0</v>
      </c>
      <c r="AT1806" s="30" t="str">
        <f aca="false">IF(OR(AB1806="判定不能",J1806="判定不能"),"判定不能",IF(AS1806&gt;=判定条件!$C$9,"利用可",IF(AND(AB1806="停止",J1806="停止"),"両方停止","運転がそろわない")))</f>
        <v>両方停止</v>
      </c>
      <c r="AU1806" s="30" t="n">
        <v>60</v>
      </c>
      <c r="AV1806" s="30" t="n">
        <v>0</v>
      </c>
      <c r="AW1806" s="30" t="str">
        <f aca="false">IF(OR(AE1806="判定不能",M1806="判定不能"),"判定不能",IF(AV1806&gt;=判定条件!$C$9,"利用可",IF(AND(AE1806="停止",M1806="停止"),"両方停止","運転がそろわない")))</f>
        <v>両方停止</v>
      </c>
      <c r="AX1806" s="30" t="str">
        <f aca="false">IF(AND(AH1806="利用可",AK1806="利用可",AN1806="利用可"),"利用可","不可")</f>
        <v>不可</v>
      </c>
      <c r="AY1806" s="30" t="str">
        <f aca="false">IF(AND(AQ1806="利用可",AT1806="利用可",AW1806="利用可"),"利用可","不可")</f>
        <v>不可</v>
      </c>
    </row>
    <row r="1807" customFormat="false" ht="15" hidden="false" customHeight="false" outlineLevel="0" collapsed="false">
      <c r="A1807" s="29" t="n">
        <v>46307</v>
      </c>
      <c r="B1807" s="30" t="n">
        <v>4</v>
      </c>
      <c r="C1807" s="31" t="s">
        <v>66</v>
      </c>
      <c r="D1807" s="31" t="s">
        <v>101</v>
      </c>
      <c r="E1807" s="30" t="n">
        <v>60</v>
      </c>
      <c r="F1807" s="30" t="n">
        <v>0</v>
      </c>
      <c r="G1807" s="30" t="str">
        <f aca="false">IF(E1807&lt;判定条件!$C$6,"判定不能",IF(F1807&gt;=判定条件!$C$7*E1807,"運転",IF(F1807&lt;=判定条件!$C$8*E1807,"停止","断続")))</f>
        <v>停止</v>
      </c>
      <c r="H1807" s="30" t="n">
        <v>60</v>
      </c>
      <c r="I1807" s="30" t="n">
        <v>0</v>
      </c>
      <c r="J1807" s="30" t="str">
        <f aca="false">IF(H1807&lt;判定条件!$C$6,"判定不能",IF(I1807&gt;=判定条件!$C$7*H1807,"運転",IF(I1807&lt;=判定条件!$C$8*H1807,"停止","断続")))</f>
        <v>停止</v>
      </c>
      <c r="K1807" s="30" t="n">
        <v>60</v>
      </c>
      <c r="L1807" s="30" t="n">
        <v>0</v>
      </c>
      <c r="M1807" s="30" t="str">
        <f aca="false">IF(K1807&lt;判定条件!$C$6,"判定不能",IF(L1807&gt;=判定条件!$C$7*K1807,"運転",IF(L1807&lt;=判定条件!$C$8*K1807,"停止","断続")))</f>
        <v>停止</v>
      </c>
      <c r="N1807" s="30" t="n">
        <v>60</v>
      </c>
      <c r="O1807" s="30" t="n">
        <v>0</v>
      </c>
      <c r="P1807" s="30" t="str">
        <f aca="false">IF(N1807&lt;判定条件!$C$6,"判定不能",IF(O1807&gt;=判定条件!$C$7*N1807,"運転",IF(O1807&lt;=判定条件!$C$8*N1807,"停止","断続")))</f>
        <v>停止</v>
      </c>
      <c r="Q1807" s="30" t="n">
        <v>60</v>
      </c>
      <c r="R1807" s="30" t="n">
        <v>0</v>
      </c>
      <c r="S1807" s="30" t="str">
        <f aca="false">IF(Q1807&lt;判定条件!$C$6,"判定不能",IF(R1807&gt;=判定条件!$C$7*Q1807,"運転",IF(R1807&lt;=判定条件!$C$8*Q1807,"停止","断続")))</f>
        <v>停止</v>
      </c>
      <c r="T1807" s="30" t="n">
        <v>60</v>
      </c>
      <c r="U1807" s="30" t="n">
        <v>0</v>
      </c>
      <c r="V1807" s="30" t="str">
        <f aca="false">IF(T1807&lt;判定条件!$C$6,"判定不能",IF(U1807&gt;=判定条件!$C$7*T1807,"運転",IF(U1807&lt;=判定条件!$C$8*T1807,"停止","断続")))</f>
        <v>停止</v>
      </c>
      <c r="W1807" s="30" t="n">
        <v>60</v>
      </c>
      <c r="X1807" s="30" t="n">
        <v>0</v>
      </c>
      <c r="Y1807" s="30" t="str">
        <f aca="false">IF(W1807&lt;判定条件!$C$6,"判定不能",IF(X1807&gt;=判定条件!$C$7*W1807,"運転",IF(X1807&lt;=判定条件!$C$8*W1807,"停止","断続")))</f>
        <v>停止</v>
      </c>
      <c r="Z1807" s="30" t="n">
        <v>60</v>
      </c>
      <c r="AA1807" s="30" t="n">
        <v>0</v>
      </c>
      <c r="AB1807" s="30" t="str">
        <f aca="false">IF(Z1807&lt;判定条件!$C$6,"判定不能",IF(AA1807&gt;=判定条件!$C$7*Z1807,"運転",IF(AA1807&lt;=判定条件!$C$8*Z1807,"停止","断続")))</f>
        <v>停止</v>
      </c>
      <c r="AC1807" s="30" t="n">
        <v>60</v>
      </c>
      <c r="AD1807" s="30" t="n">
        <v>0</v>
      </c>
      <c r="AE1807" s="30" t="str">
        <f aca="false">IF(AC1807&lt;判定条件!$C$6,"判定不能",IF(AD1807&gt;=判定条件!$C$7*AC1807,"運転",IF(AD1807&lt;=判定条件!$C$8*AC1807,"停止","断続")))</f>
        <v>停止</v>
      </c>
      <c r="AF1807" s="30" t="n">
        <v>60</v>
      </c>
      <c r="AG1807" s="30" t="n">
        <v>0</v>
      </c>
      <c r="AH1807" s="30" t="str">
        <f aca="false">IF(OR(P1807="判定不能",G1807="判定不能"),"判定不能",IF(AG1807&gt;=判定条件!$C$9,"利用可",IF(AND(P1807="停止",G1807="停止"),"両方停止","運転がそろわない")))</f>
        <v>両方停止</v>
      </c>
      <c r="AI1807" s="30" t="n">
        <v>60</v>
      </c>
      <c r="AJ1807" s="30" t="n">
        <v>0</v>
      </c>
      <c r="AK1807" s="30" t="str">
        <f aca="false">IF(OR(S1807="判定不能",J1807="判定不能"),"判定不能",IF(AJ1807&gt;=判定条件!$C$9,"利用可",IF(AND(S1807="停止",J1807="停止"),"両方停止","運転がそろわない")))</f>
        <v>両方停止</v>
      </c>
      <c r="AL1807" s="30" t="n">
        <v>60</v>
      </c>
      <c r="AM1807" s="30" t="n">
        <v>0</v>
      </c>
      <c r="AN1807" s="30" t="str">
        <f aca="false">IF(OR(V1807="判定不能",M1807="判定不能"),"判定不能",IF(AM1807&gt;=判定条件!$C$9,"利用可",IF(AND(V1807="停止",M1807="停止"),"両方停止","運転がそろわない")))</f>
        <v>両方停止</v>
      </c>
      <c r="AO1807" s="30" t="n">
        <v>60</v>
      </c>
      <c r="AP1807" s="30" t="n">
        <v>0</v>
      </c>
      <c r="AQ1807" s="30" t="str">
        <f aca="false">IF(OR(Y1807="判定不能",G1807="判定不能"),"判定不能",IF(AP1807&gt;=判定条件!$C$9,"利用可",IF(AND(Y1807="停止",G1807="停止"),"両方停止","運転がそろわない")))</f>
        <v>両方停止</v>
      </c>
      <c r="AR1807" s="30" t="n">
        <v>60</v>
      </c>
      <c r="AS1807" s="30" t="n">
        <v>0</v>
      </c>
      <c r="AT1807" s="30" t="str">
        <f aca="false">IF(OR(AB1807="判定不能",J1807="判定不能"),"判定不能",IF(AS1807&gt;=判定条件!$C$9,"利用可",IF(AND(AB1807="停止",J1807="停止"),"両方停止","運転がそろわない")))</f>
        <v>両方停止</v>
      </c>
      <c r="AU1807" s="30" t="n">
        <v>60</v>
      </c>
      <c r="AV1807" s="30" t="n">
        <v>0</v>
      </c>
      <c r="AW1807" s="30" t="str">
        <f aca="false">IF(OR(AE1807="判定不能",M1807="判定不能"),"判定不能",IF(AV1807&gt;=判定条件!$C$9,"利用可",IF(AND(AE1807="停止",M1807="停止"),"両方停止","運転がそろわない")))</f>
        <v>両方停止</v>
      </c>
      <c r="AX1807" s="30" t="str">
        <f aca="false">IF(AND(AH1807="利用可",AK1807="利用可",AN1807="利用可"),"利用可","不可")</f>
        <v>不可</v>
      </c>
      <c r="AY1807" s="30" t="str">
        <f aca="false">IF(AND(AQ1807="利用可",AT1807="利用可",AW1807="利用可"),"利用可","不可")</f>
        <v>不可</v>
      </c>
    </row>
    <row r="1808" customFormat="false" ht="15" hidden="false" customHeight="false" outlineLevel="0" collapsed="false">
      <c r="A1808" s="29" t="n">
        <v>46307</v>
      </c>
      <c r="B1808" s="30" t="n">
        <v>5</v>
      </c>
      <c r="C1808" s="31" t="s">
        <v>66</v>
      </c>
      <c r="D1808" s="31" t="s">
        <v>101</v>
      </c>
      <c r="E1808" s="30" t="n">
        <v>60</v>
      </c>
      <c r="F1808" s="30" t="n">
        <v>0</v>
      </c>
      <c r="G1808" s="30" t="str">
        <f aca="false">IF(E1808&lt;判定条件!$C$6,"判定不能",IF(F1808&gt;=判定条件!$C$7*E1808,"運転",IF(F1808&lt;=判定条件!$C$8*E1808,"停止","断続")))</f>
        <v>停止</v>
      </c>
      <c r="H1808" s="30" t="n">
        <v>60</v>
      </c>
      <c r="I1808" s="30" t="n">
        <v>0</v>
      </c>
      <c r="J1808" s="30" t="str">
        <f aca="false">IF(H1808&lt;判定条件!$C$6,"判定不能",IF(I1808&gt;=判定条件!$C$7*H1808,"運転",IF(I1808&lt;=判定条件!$C$8*H1808,"停止","断続")))</f>
        <v>停止</v>
      </c>
      <c r="K1808" s="30" t="n">
        <v>60</v>
      </c>
      <c r="L1808" s="30" t="n">
        <v>0</v>
      </c>
      <c r="M1808" s="30" t="str">
        <f aca="false">IF(K1808&lt;判定条件!$C$6,"判定不能",IF(L1808&gt;=判定条件!$C$7*K1808,"運転",IF(L1808&lt;=判定条件!$C$8*K1808,"停止","断続")))</f>
        <v>停止</v>
      </c>
      <c r="N1808" s="30" t="n">
        <v>60</v>
      </c>
      <c r="O1808" s="30" t="n">
        <v>0</v>
      </c>
      <c r="P1808" s="30" t="str">
        <f aca="false">IF(N1808&lt;判定条件!$C$6,"判定不能",IF(O1808&gt;=判定条件!$C$7*N1808,"運転",IF(O1808&lt;=判定条件!$C$8*N1808,"停止","断続")))</f>
        <v>停止</v>
      </c>
      <c r="Q1808" s="30" t="n">
        <v>60</v>
      </c>
      <c r="R1808" s="30" t="n">
        <v>0</v>
      </c>
      <c r="S1808" s="30" t="str">
        <f aca="false">IF(Q1808&lt;判定条件!$C$6,"判定不能",IF(R1808&gt;=判定条件!$C$7*Q1808,"運転",IF(R1808&lt;=判定条件!$C$8*Q1808,"停止","断続")))</f>
        <v>停止</v>
      </c>
      <c r="T1808" s="30" t="n">
        <v>60</v>
      </c>
      <c r="U1808" s="30" t="n">
        <v>0</v>
      </c>
      <c r="V1808" s="30" t="str">
        <f aca="false">IF(T1808&lt;判定条件!$C$6,"判定不能",IF(U1808&gt;=判定条件!$C$7*T1808,"運転",IF(U1808&lt;=判定条件!$C$8*T1808,"停止","断続")))</f>
        <v>停止</v>
      </c>
      <c r="W1808" s="30" t="n">
        <v>60</v>
      </c>
      <c r="X1808" s="30" t="n">
        <v>8</v>
      </c>
      <c r="Y1808" s="30" t="str">
        <f aca="false">IF(W1808&lt;判定条件!$C$6,"判定不能",IF(X1808&gt;=判定条件!$C$7*W1808,"運転",IF(X1808&lt;=判定条件!$C$8*W1808,"停止","断続")))</f>
        <v>停止</v>
      </c>
      <c r="Z1808" s="30" t="n">
        <v>60</v>
      </c>
      <c r="AA1808" s="30" t="n">
        <v>0</v>
      </c>
      <c r="AB1808" s="30" t="str">
        <f aca="false">IF(Z1808&lt;判定条件!$C$6,"判定不能",IF(AA1808&gt;=判定条件!$C$7*Z1808,"運転",IF(AA1808&lt;=判定条件!$C$8*Z1808,"停止","断続")))</f>
        <v>停止</v>
      </c>
      <c r="AC1808" s="30" t="n">
        <v>60</v>
      </c>
      <c r="AD1808" s="30" t="n">
        <v>0</v>
      </c>
      <c r="AE1808" s="30" t="str">
        <f aca="false">IF(AC1808&lt;判定条件!$C$6,"判定不能",IF(AD1808&gt;=判定条件!$C$7*AC1808,"運転",IF(AD1808&lt;=判定条件!$C$8*AC1808,"停止","断続")))</f>
        <v>停止</v>
      </c>
      <c r="AF1808" s="30" t="n">
        <v>60</v>
      </c>
      <c r="AG1808" s="30" t="n">
        <v>0</v>
      </c>
      <c r="AH1808" s="30" t="str">
        <f aca="false">IF(OR(P1808="判定不能",G1808="判定不能"),"判定不能",IF(AG1808&gt;=判定条件!$C$9,"利用可",IF(AND(P1808="停止",G1808="停止"),"両方停止","運転がそろわない")))</f>
        <v>両方停止</v>
      </c>
      <c r="AI1808" s="30" t="n">
        <v>60</v>
      </c>
      <c r="AJ1808" s="30" t="n">
        <v>0</v>
      </c>
      <c r="AK1808" s="30" t="str">
        <f aca="false">IF(OR(S1808="判定不能",J1808="判定不能"),"判定不能",IF(AJ1808&gt;=判定条件!$C$9,"利用可",IF(AND(S1808="停止",J1808="停止"),"両方停止","運転がそろわない")))</f>
        <v>両方停止</v>
      </c>
      <c r="AL1808" s="30" t="n">
        <v>60</v>
      </c>
      <c r="AM1808" s="30" t="n">
        <v>0</v>
      </c>
      <c r="AN1808" s="30" t="str">
        <f aca="false">IF(OR(V1808="判定不能",M1808="判定不能"),"判定不能",IF(AM1808&gt;=判定条件!$C$9,"利用可",IF(AND(V1808="停止",M1808="停止"),"両方停止","運転がそろわない")))</f>
        <v>両方停止</v>
      </c>
      <c r="AO1808" s="30" t="n">
        <v>60</v>
      </c>
      <c r="AP1808" s="30" t="n">
        <v>0</v>
      </c>
      <c r="AQ1808" s="30" t="str">
        <f aca="false">IF(OR(Y1808="判定不能",G1808="判定不能"),"判定不能",IF(AP1808&gt;=判定条件!$C$9,"利用可",IF(AND(Y1808="停止",G1808="停止"),"両方停止","運転がそろわない")))</f>
        <v>両方停止</v>
      </c>
      <c r="AR1808" s="30" t="n">
        <v>60</v>
      </c>
      <c r="AS1808" s="30" t="n">
        <v>0</v>
      </c>
      <c r="AT1808" s="30" t="str">
        <f aca="false">IF(OR(AB1808="判定不能",J1808="判定不能"),"判定不能",IF(AS1808&gt;=判定条件!$C$9,"利用可",IF(AND(AB1808="停止",J1808="停止"),"両方停止","運転がそろわない")))</f>
        <v>両方停止</v>
      </c>
      <c r="AU1808" s="30" t="n">
        <v>60</v>
      </c>
      <c r="AV1808" s="30" t="n">
        <v>0</v>
      </c>
      <c r="AW1808" s="30" t="str">
        <f aca="false">IF(OR(AE1808="判定不能",M1808="判定不能"),"判定不能",IF(AV1808&gt;=判定条件!$C$9,"利用可",IF(AND(AE1808="停止",M1808="停止"),"両方停止","運転がそろわない")))</f>
        <v>両方停止</v>
      </c>
      <c r="AX1808" s="30" t="str">
        <f aca="false">IF(AND(AH1808="利用可",AK1808="利用可",AN1808="利用可"),"利用可","不可")</f>
        <v>不可</v>
      </c>
      <c r="AY1808" s="30" t="str">
        <f aca="false">IF(AND(AQ1808="利用可",AT1808="利用可",AW1808="利用可"),"利用可","不可")</f>
        <v>不可</v>
      </c>
    </row>
    <row r="1809" customFormat="false" ht="15" hidden="false" customHeight="false" outlineLevel="0" collapsed="false">
      <c r="A1809" s="29" t="n">
        <v>46307</v>
      </c>
      <c r="B1809" s="30" t="n">
        <v>6</v>
      </c>
      <c r="C1809" s="31" t="s">
        <v>66</v>
      </c>
      <c r="D1809" s="31" t="s">
        <v>101</v>
      </c>
      <c r="E1809" s="30" t="n">
        <v>60</v>
      </c>
      <c r="F1809" s="30" t="n">
        <v>0</v>
      </c>
      <c r="G1809" s="30" t="str">
        <f aca="false">IF(E1809&lt;判定条件!$C$6,"判定不能",IF(F1809&gt;=判定条件!$C$7*E1809,"運転",IF(F1809&lt;=判定条件!$C$8*E1809,"停止","断続")))</f>
        <v>停止</v>
      </c>
      <c r="H1809" s="30" t="n">
        <v>60</v>
      </c>
      <c r="I1809" s="30" t="n">
        <v>0</v>
      </c>
      <c r="J1809" s="30" t="str">
        <f aca="false">IF(H1809&lt;判定条件!$C$6,"判定不能",IF(I1809&gt;=判定条件!$C$7*H1809,"運転",IF(I1809&lt;=判定条件!$C$8*H1809,"停止","断続")))</f>
        <v>停止</v>
      </c>
      <c r="K1809" s="30" t="n">
        <v>60</v>
      </c>
      <c r="L1809" s="30" t="n">
        <v>0</v>
      </c>
      <c r="M1809" s="30" t="str">
        <f aca="false">IF(K1809&lt;判定条件!$C$6,"判定不能",IF(L1809&gt;=判定条件!$C$7*K1809,"運転",IF(L1809&lt;=判定条件!$C$8*K1809,"停止","断続")))</f>
        <v>停止</v>
      </c>
      <c r="N1809" s="30" t="n">
        <v>60</v>
      </c>
      <c r="O1809" s="30" t="n">
        <v>0</v>
      </c>
      <c r="P1809" s="30" t="str">
        <f aca="false">IF(N1809&lt;判定条件!$C$6,"判定不能",IF(O1809&gt;=判定条件!$C$7*N1809,"運転",IF(O1809&lt;=判定条件!$C$8*N1809,"停止","断続")))</f>
        <v>停止</v>
      </c>
      <c r="Q1809" s="30" t="n">
        <v>60</v>
      </c>
      <c r="R1809" s="30" t="n">
        <v>0</v>
      </c>
      <c r="S1809" s="30" t="str">
        <f aca="false">IF(Q1809&lt;判定条件!$C$6,"判定不能",IF(R1809&gt;=判定条件!$C$7*Q1809,"運転",IF(R1809&lt;=判定条件!$C$8*Q1809,"停止","断続")))</f>
        <v>停止</v>
      </c>
      <c r="T1809" s="30" t="n">
        <v>60</v>
      </c>
      <c r="U1809" s="30" t="n">
        <v>0</v>
      </c>
      <c r="V1809" s="30" t="str">
        <f aca="false">IF(T1809&lt;判定条件!$C$6,"判定不能",IF(U1809&gt;=判定条件!$C$7*T1809,"運転",IF(U1809&lt;=判定条件!$C$8*T1809,"停止","断続")))</f>
        <v>停止</v>
      </c>
      <c r="W1809" s="30" t="n">
        <v>60</v>
      </c>
      <c r="X1809" s="30" t="n">
        <v>1</v>
      </c>
      <c r="Y1809" s="30" t="str">
        <f aca="false">IF(W1809&lt;判定条件!$C$6,"判定不能",IF(X1809&gt;=判定条件!$C$7*W1809,"運転",IF(X1809&lt;=判定条件!$C$8*W1809,"停止","断続")))</f>
        <v>停止</v>
      </c>
      <c r="Z1809" s="30" t="n">
        <v>60</v>
      </c>
      <c r="AA1809" s="30" t="n">
        <v>0</v>
      </c>
      <c r="AB1809" s="30" t="str">
        <f aca="false">IF(Z1809&lt;判定条件!$C$6,"判定不能",IF(AA1809&gt;=判定条件!$C$7*Z1809,"運転",IF(AA1809&lt;=判定条件!$C$8*Z1809,"停止","断続")))</f>
        <v>停止</v>
      </c>
      <c r="AC1809" s="30" t="n">
        <v>60</v>
      </c>
      <c r="AD1809" s="30" t="n">
        <v>0</v>
      </c>
      <c r="AE1809" s="30" t="str">
        <f aca="false">IF(AC1809&lt;判定条件!$C$6,"判定不能",IF(AD1809&gt;=判定条件!$C$7*AC1809,"運転",IF(AD1809&lt;=判定条件!$C$8*AC1809,"停止","断続")))</f>
        <v>停止</v>
      </c>
      <c r="AF1809" s="30" t="n">
        <v>60</v>
      </c>
      <c r="AG1809" s="30" t="n">
        <v>0</v>
      </c>
      <c r="AH1809" s="30" t="str">
        <f aca="false">IF(OR(P1809="判定不能",G1809="判定不能"),"判定不能",IF(AG1809&gt;=判定条件!$C$9,"利用可",IF(AND(P1809="停止",G1809="停止"),"両方停止","運転がそろわない")))</f>
        <v>両方停止</v>
      </c>
      <c r="AI1809" s="30" t="n">
        <v>60</v>
      </c>
      <c r="AJ1809" s="30" t="n">
        <v>0</v>
      </c>
      <c r="AK1809" s="30" t="str">
        <f aca="false">IF(OR(S1809="判定不能",J1809="判定不能"),"判定不能",IF(AJ1809&gt;=判定条件!$C$9,"利用可",IF(AND(S1809="停止",J1809="停止"),"両方停止","運転がそろわない")))</f>
        <v>両方停止</v>
      </c>
      <c r="AL1809" s="30" t="n">
        <v>60</v>
      </c>
      <c r="AM1809" s="30" t="n">
        <v>0</v>
      </c>
      <c r="AN1809" s="30" t="str">
        <f aca="false">IF(OR(V1809="判定不能",M1809="判定不能"),"判定不能",IF(AM1809&gt;=判定条件!$C$9,"利用可",IF(AND(V1809="停止",M1809="停止"),"両方停止","運転がそろわない")))</f>
        <v>両方停止</v>
      </c>
      <c r="AO1809" s="30" t="n">
        <v>60</v>
      </c>
      <c r="AP1809" s="30" t="n">
        <v>0</v>
      </c>
      <c r="AQ1809" s="30" t="str">
        <f aca="false">IF(OR(Y1809="判定不能",G1809="判定不能"),"判定不能",IF(AP1809&gt;=判定条件!$C$9,"利用可",IF(AND(Y1809="停止",G1809="停止"),"両方停止","運転がそろわない")))</f>
        <v>両方停止</v>
      </c>
      <c r="AR1809" s="30" t="n">
        <v>60</v>
      </c>
      <c r="AS1809" s="30" t="n">
        <v>0</v>
      </c>
      <c r="AT1809" s="30" t="str">
        <f aca="false">IF(OR(AB1809="判定不能",J1809="判定不能"),"判定不能",IF(AS1809&gt;=判定条件!$C$9,"利用可",IF(AND(AB1809="停止",J1809="停止"),"両方停止","運転がそろわない")))</f>
        <v>両方停止</v>
      </c>
      <c r="AU1809" s="30" t="n">
        <v>60</v>
      </c>
      <c r="AV1809" s="30" t="n">
        <v>0</v>
      </c>
      <c r="AW1809" s="30" t="str">
        <f aca="false">IF(OR(AE1809="判定不能",M1809="判定不能"),"判定不能",IF(AV1809&gt;=判定条件!$C$9,"利用可",IF(AND(AE1809="停止",M1809="停止"),"両方停止","運転がそろわない")))</f>
        <v>両方停止</v>
      </c>
      <c r="AX1809" s="30" t="str">
        <f aca="false">IF(AND(AH1809="利用可",AK1809="利用可",AN1809="利用可"),"利用可","不可")</f>
        <v>不可</v>
      </c>
      <c r="AY1809" s="30" t="str">
        <f aca="false">IF(AND(AQ1809="利用可",AT1809="利用可",AW1809="利用可"),"利用可","不可")</f>
        <v>不可</v>
      </c>
    </row>
    <row r="1810" customFormat="false" ht="15" hidden="false" customHeight="false" outlineLevel="0" collapsed="false">
      <c r="A1810" s="29" t="n">
        <v>46307</v>
      </c>
      <c r="B1810" s="30" t="n">
        <v>7</v>
      </c>
      <c r="C1810" s="31" t="s">
        <v>66</v>
      </c>
      <c r="D1810" s="31" t="s">
        <v>101</v>
      </c>
      <c r="E1810" s="30" t="n">
        <v>60</v>
      </c>
      <c r="F1810" s="30" t="n">
        <v>0</v>
      </c>
      <c r="G1810" s="30" t="str">
        <f aca="false">IF(E1810&lt;判定条件!$C$6,"判定不能",IF(F1810&gt;=判定条件!$C$7*E1810,"運転",IF(F1810&lt;=判定条件!$C$8*E1810,"停止","断続")))</f>
        <v>停止</v>
      </c>
      <c r="H1810" s="30" t="n">
        <v>60</v>
      </c>
      <c r="I1810" s="30" t="n">
        <v>0</v>
      </c>
      <c r="J1810" s="30" t="str">
        <f aca="false">IF(H1810&lt;判定条件!$C$6,"判定不能",IF(I1810&gt;=判定条件!$C$7*H1810,"運転",IF(I1810&lt;=判定条件!$C$8*H1810,"停止","断続")))</f>
        <v>停止</v>
      </c>
      <c r="K1810" s="30" t="n">
        <v>60</v>
      </c>
      <c r="L1810" s="30" t="n">
        <v>0</v>
      </c>
      <c r="M1810" s="30" t="str">
        <f aca="false">IF(K1810&lt;判定条件!$C$6,"判定不能",IF(L1810&gt;=判定条件!$C$7*K1810,"運転",IF(L1810&lt;=判定条件!$C$8*K1810,"停止","断続")))</f>
        <v>停止</v>
      </c>
      <c r="N1810" s="30" t="n">
        <v>60</v>
      </c>
      <c r="O1810" s="30" t="n">
        <v>0</v>
      </c>
      <c r="P1810" s="30" t="str">
        <f aca="false">IF(N1810&lt;判定条件!$C$6,"判定不能",IF(O1810&gt;=判定条件!$C$7*N1810,"運転",IF(O1810&lt;=判定条件!$C$8*N1810,"停止","断続")))</f>
        <v>停止</v>
      </c>
      <c r="Q1810" s="30" t="n">
        <v>60</v>
      </c>
      <c r="R1810" s="30" t="n">
        <v>0</v>
      </c>
      <c r="S1810" s="30" t="str">
        <f aca="false">IF(Q1810&lt;判定条件!$C$6,"判定不能",IF(R1810&gt;=判定条件!$C$7*Q1810,"運転",IF(R1810&lt;=判定条件!$C$8*Q1810,"停止","断続")))</f>
        <v>停止</v>
      </c>
      <c r="T1810" s="30" t="n">
        <v>60</v>
      </c>
      <c r="U1810" s="30" t="n">
        <v>6</v>
      </c>
      <c r="V1810" s="30" t="str">
        <f aca="false">IF(T1810&lt;判定条件!$C$6,"判定不能",IF(U1810&gt;=判定条件!$C$7*T1810,"運転",IF(U1810&lt;=判定条件!$C$8*T1810,"停止","断続")))</f>
        <v>停止</v>
      </c>
      <c r="W1810" s="30" t="n">
        <v>60</v>
      </c>
      <c r="X1810" s="30" t="n">
        <v>50</v>
      </c>
      <c r="Y1810" s="30" t="str">
        <f aca="false">IF(W1810&lt;判定条件!$C$6,"判定不能",IF(X1810&gt;=判定条件!$C$7*W1810,"運転",IF(X1810&lt;=判定条件!$C$8*W1810,"停止","断続")))</f>
        <v>運転</v>
      </c>
      <c r="Z1810" s="30" t="n">
        <v>60</v>
      </c>
      <c r="AA1810" s="30" t="n">
        <v>42</v>
      </c>
      <c r="AB1810" s="30" t="str">
        <f aca="false">IF(Z1810&lt;判定条件!$C$6,"判定不能",IF(AA1810&gt;=判定条件!$C$7*Z1810,"運転",IF(AA1810&lt;=判定条件!$C$8*Z1810,"停止","断続")))</f>
        <v>断続</v>
      </c>
      <c r="AC1810" s="30" t="n">
        <v>60</v>
      </c>
      <c r="AD1810" s="30" t="n">
        <v>57</v>
      </c>
      <c r="AE1810" s="30" t="str">
        <f aca="false">IF(AC1810&lt;判定条件!$C$6,"判定不能",IF(AD1810&gt;=判定条件!$C$7*AC1810,"運転",IF(AD1810&lt;=判定条件!$C$8*AC1810,"停止","断続")))</f>
        <v>運転</v>
      </c>
      <c r="AF1810" s="30" t="n">
        <v>60</v>
      </c>
      <c r="AG1810" s="30" t="n">
        <v>0</v>
      </c>
      <c r="AH1810" s="30" t="str">
        <f aca="false">IF(OR(P1810="判定不能",G1810="判定不能"),"判定不能",IF(AG1810&gt;=判定条件!$C$9,"利用可",IF(AND(P1810="停止",G1810="停止"),"両方停止","運転がそろわない")))</f>
        <v>両方停止</v>
      </c>
      <c r="AI1810" s="30" t="n">
        <v>60</v>
      </c>
      <c r="AJ1810" s="30" t="n">
        <v>0</v>
      </c>
      <c r="AK1810" s="30" t="str">
        <f aca="false">IF(OR(S1810="判定不能",J1810="判定不能"),"判定不能",IF(AJ1810&gt;=判定条件!$C$9,"利用可",IF(AND(S1810="停止",J1810="停止"),"両方停止","運転がそろわない")))</f>
        <v>両方停止</v>
      </c>
      <c r="AL1810" s="30" t="n">
        <v>60</v>
      </c>
      <c r="AM1810" s="30" t="n">
        <v>0</v>
      </c>
      <c r="AN1810" s="30" t="str">
        <f aca="false">IF(OR(V1810="判定不能",M1810="判定不能"),"判定不能",IF(AM1810&gt;=判定条件!$C$9,"利用可",IF(AND(V1810="停止",M1810="停止"),"両方停止","運転がそろわない")))</f>
        <v>両方停止</v>
      </c>
      <c r="AO1810" s="30" t="n">
        <v>60</v>
      </c>
      <c r="AP1810" s="30" t="n">
        <v>0</v>
      </c>
      <c r="AQ1810" s="30" t="str">
        <f aca="false">IF(OR(Y1810="判定不能",G1810="判定不能"),"判定不能",IF(AP1810&gt;=判定条件!$C$9,"利用可",IF(AND(Y1810="停止",G1810="停止"),"両方停止","運転がそろわない")))</f>
        <v>運転がそろわない</v>
      </c>
      <c r="AR1810" s="30" t="n">
        <v>60</v>
      </c>
      <c r="AS1810" s="30" t="n">
        <v>0</v>
      </c>
      <c r="AT1810" s="30" t="str">
        <f aca="false">IF(OR(AB1810="判定不能",J1810="判定不能"),"判定不能",IF(AS1810&gt;=判定条件!$C$9,"利用可",IF(AND(AB1810="停止",J1810="停止"),"両方停止","運転がそろわない")))</f>
        <v>運転がそろわない</v>
      </c>
      <c r="AU1810" s="30" t="n">
        <v>60</v>
      </c>
      <c r="AV1810" s="30" t="n">
        <v>0</v>
      </c>
      <c r="AW1810" s="30" t="str">
        <f aca="false">IF(OR(AE1810="判定不能",M1810="判定不能"),"判定不能",IF(AV1810&gt;=判定条件!$C$9,"利用可",IF(AND(AE1810="停止",M1810="停止"),"両方停止","運転がそろわない")))</f>
        <v>運転がそろわない</v>
      </c>
      <c r="AX1810" s="30" t="str">
        <f aca="false">IF(AND(AH1810="利用可",AK1810="利用可",AN1810="利用可"),"利用可","不可")</f>
        <v>不可</v>
      </c>
      <c r="AY1810" s="30" t="str">
        <f aca="false">IF(AND(AQ1810="利用可",AT1810="利用可",AW1810="利用可"),"利用可","不可")</f>
        <v>不可</v>
      </c>
    </row>
    <row r="1811" customFormat="false" ht="15" hidden="false" customHeight="false" outlineLevel="0" collapsed="false">
      <c r="A1811" s="29" t="n">
        <v>46307</v>
      </c>
      <c r="B1811" s="30" t="n">
        <v>8</v>
      </c>
      <c r="C1811" s="31" t="s">
        <v>66</v>
      </c>
      <c r="D1811" s="31" t="s">
        <v>101</v>
      </c>
      <c r="E1811" s="30" t="n">
        <v>60</v>
      </c>
      <c r="F1811" s="30" t="n">
        <v>44</v>
      </c>
      <c r="G1811" s="30" t="str">
        <f aca="false">IF(E1811&lt;判定条件!$C$6,"判定不能",IF(F1811&gt;=判定条件!$C$7*E1811,"運転",IF(F1811&lt;=判定条件!$C$8*E1811,"停止","断続")))</f>
        <v>断続</v>
      </c>
      <c r="H1811" s="30" t="n">
        <v>60</v>
      </c>
      <c r="I1811" s="30" t="n">
        <v>0</v>
      </c>
      <c r="J1811" s="30" t="str">
        <f aca="false">IF(H1811&lt;判定条件!$C$6,"判定不能",IF(I1811&gt;=判定条件!$C$7*H1811,"運転",IF(I1811&lt;=判定条件!$C$8*H1811,"停止","断続")))</f>
        <v>停止</v>
      </c>
      <c r="K1811" s="30" t="n">
        <v>60</v>
      </c>
      <c r="L1811" s="30" t="n">
        <v>0</v>
      </c>
      <c r="M1811" s="30" t="str">
        <f aca="false">IF(K1811&lt;判定条件!$C$6,"判定不能",IF(L1811&gt;=判定条件!$C$7*K1811,"運転",IF(L1811&lt;=判定条件!$C$8*K1811,"停止","断続")))</f>
        <v>停止</v>
      </c>
      <c r="N1811" s="30" t="n">
        <v>60</v>
      </c>
      <c r="O1811" s="30" t="n">
        <v>54</v>
      </c>
      <c r="P1811" s="30" t="str">
        <f aca="false">IF(N1811&lt;判定条件!$C$6,"判定不能",IF(O1811&gt;=判定条件!$C$7*N1811,"運転",IF(O1811&lt;=判定条件!$C$8*N1811,"停止","断続")))</f>
        <v>運転</v>
      </c>
      <c r="Q1811" s="30" t="n">
        <v>60</v>
      </c>
      <c r="R1811" s="30" t="n">
        <v>59</v>
      </c>
      <c r="S1811" s="30" t="str">
        <f aca="false">IF(Q1811&lt;判定条件!$C$6,"判定不能",IF(R1811&gt;=判定条件!$C$7*Q1811,"運転",IF(R1811&lt;=判定条件!$C$8*Q1811,"停止","断続")))</f>
        <v>運転</v>
      </c>
      <c r="T1811" s="30" t="n">
        <v>60</v>
      </c>
      <c r="U1811" s="30" t="n">
        <v>60</v>
      </c>
      <c r="V1811" s="30" t="str">
        <f aca="false">IF(T1811&lt;判定条件!$C$6,"判定不能",IF(U1811&gt;=判定条件!$C$7*T1811,"運転",IF(U1811&lt;=判定条件!$C$8*T1811,"停止","断続")))</f>
        <v>運転</v>
      </c>
      <c r="W1811" s="30" t="n">
        <v>60</v>
      </c>
      <c r="X1811" s="30" t="n">
        <v>60</v>
      </c>
      <c r="Y1811" s="30" t="str">
        <f aca="false">IF(W1811&lt;判定条件!$C$6,"判定不能",IF(X1811&gt;=判定条件!$C$7*W1811,"運転",IF(X1811&lt;=判定条件!$C$8*W1811,"停止","断続")))</f>
        <v>運転</v>
      </c>
      <c r="Z1811" s="30" t="n">
        <v>60</v>
      </c>
      <c r="AA1811" s="30" t="n">
        <v>50</v>
      </c>
      <c r="AB1811" s="30" t="str">
        <f aca="false">IF(Z1811&lt;判定条件!$C$6,"判定不能",IF(AA1811&gt;=判定条件!$C$7*Z1811,"運転",IF(AA1811&lt;=判定条件!$C$8*Z1811,"停止","断続")))</f>
        <v>運転</v>
      </c>
      <c r="AC1811" s="30" t="n">
        <v>60</v>
      </c>
      <c r="AD1811" s="30" t="n">
        <v>60</v>
      </c>
      <c r="AE1811" s="30" t="str">
        <f aca="false">IF(AC1811&lt;判定条件!$C$6,"判定不能",IF(AD1811&gt;=判定条件!$C$7*AC1811,"運転",IF(AD1811&lt;=判定条件!$C$8*AC1811,"停止","断続")))</f>
        <v>運転</v>
      </c>
      <c r="AF1811" s="30" t="n">
        <v>60</v>
      </c>
      <c r="AG1811" s="30" t="n">
        <v>44</v>
      </c>
      <c r="AH1811" s="30" t="str">
        <f aca="false">IF(OR(P1811="判定不能",G1811="判定不能"),"判定不能",IF(AG1811&gt;=判定条件!$C$9,"利用可",IF(AND(P1811="停止",G1811="停止"),"両方停止","運転がそろわない")))</f>
        <v>利用可</v>
      </c>
      <c r="AI1811" s="30" t="n">
        <v>60</v>
      </c>
      <c r="AJ1811" s="30" t="n">
        <v>0</v>
      </c>
      <c r="AK1811" s="30" t="str">
        <f aca="false">IF(OR(S1811="判定不能",J1811="判定不能"),"判定不能",IF(AJ1811&gt;=判定条件!$C$9,"利用可",IF(AND(S1811="停止",J1811="停止"),"両方停止","運転がそろわない")))</f>
        <v>運転がそろわない</v>
      </c>
      <c r="AL1811" s="30" t="n">
        <v>60</v>
      </c>
      <c r="AM1811" s="30" t="n">
        <v>0</v>
      </c>
      <c r="AN1811" s="30" t="str">
        <f aca="false">IF(OR(V1811="判定不能",M1811="判定不能"),"判定不能",IF(AM1811&gt;=判定条件!$C$9,"利用可",IF(AND(V1811="停止",M1811="停止"),"両方停止","運転がそろわない")))</f>
        <v>運転がそろわない</v>
      </c>
      <c r="AO1811" s="30" t="n">
        <v>60</v>
      </c>
      <c r="AP1811" s="30" t="n">
        <v>44</v>
      </c>
      <c r="AQ1811" s="30" t="str">
        <f aca="false">IF(OR(Y1811="判定不能",G1811="判定不能"),"判定不能",IF(AP1811&gt;=判定条件!$C$9,"利用可",IF(AND(Y1811="停止",G1811="停止"),"両方停止","運転がそろわない")))</f>
        <v>利用可</v>
      </c>
      <c r="AR1811" s="30" t="n">
        <v>60</v>
      </c>
      <c r="AS1811" s="30" t="n">
        <v>0</v>
      </c>
      <c r="AT1811" s="30" t="str">
        <f aca="false">IF(OR(AB1811="判定不能",J1811="判定不能"),"判定不能",IF(AS1811&gt;=判定条件!$C$9,"利用可",IF(AND(AB1811="停止",J1811="停止"),"両方停止","運転がそろわない")))</f>
        <v>運転がそろわない</v>
      </c>
      <c r="AU1811" s="30" t="n">
        <v>60</v>
      </c>
      <c r="AV1811" s="30" t="n">
        <v>0</v>
      </c>
      <c r="AW1811" s="30" t="str">
        <f aca="false">IF(OR(AE1811="判定不能",M1811="判定不能"),"判定不能",IF(AV1811&gt;=判定条件!$C$9,"利用可",IF(AND(AE1811="停止",M1811="停止"),"両方停止","運転がそろわない")))</f>
        <v>運転がそろわない</v>
      </c>
      <c r="AX1811" s="30" t="str">
        <f aca="false">IF(AND(AH1811="利用可",AK1811="利用可",AN1811="利用可"),"利用可","不可")</f>
        <v>不可</v>
      </c>
      <c r="AY1811" s="30" t="str">
        <f aca="false">IF(AND(AQ1811="利用可",AT1811="利用可",AW1811="利用可"),"利用可","不可")</f>
        <v>不可</v>
      </c>
    </row>
    <row r="1812" customFormat="false" ht="15" hidden="false" customHeight="false" outlineLevel="0" collapsed="false">
      <c r="A1812" s="29" t="n">
        <v>46307</v>
      </c>
      <c r="B1812" s="30" t="n">
        <v>9</v>
      </c>
      <c r="C1812" s="31" t="s">
        <v>66</v>
      </c>
      <c r="D1812" s="31" t="s">
        <v>101</v>
      </c>
      <c r="E1812" s="30" t="n">
        <v>60</v>
      </c>
      <c r="F1812" s="30" t="n">
        <v>43</v>
      </c>
      <c r="G1812" s="30" t="str">
        <f aca="false">IF(E1812&lt;判定条件!$C$6,"判定不能",IF(F1812&gt;=判定条件!$C$7*E1812,"運転",IF(F1812&lt;=判定条件!$C$8*E1812,"停止","断続")))</f>
        <v>断続</v>
      </c>
      <c r="H1812" s="30" t="n">
        <v>60</v>
      </c>
      <c r="I1812" s="30" t="n">
        <v>14</v>
      </c>
      <c r="J1812" s="30" t="str">
        <f aca="false">IF(H1812&lt;判定条件!$C$6,"判定不能",IF(I1812&gt;=判定条件!$C$7*H1812,"運転",IF(I1812&lt;=判定条件!$C$8*H1812,"停止","断続")))</f>
        <v>断続</v>
      </c>
      <c r="K1812" s="30" t="n">
        <v>60</v>
      </c>
      <c r="L1812" s="30" t="n">
        <v>44</v>
      </c>
      <c r="M1812" s="30" t="str">
        <f aca="false">IF(K1812&lt;判定条件!$C$6,"判定不能",IF(L1812&gt;=判定条件!$C$7*K1812,"運転",IF(L1812&lt;=判定条件!$C$8*K1812,"停止","断続")))</f>
        <v>断続</v>
      </c>
      <c r="N1812" s="30" t="n">
        <v>60</v>
      </c>
      <c r="O1812" s="30" t="n">
        <v>60</v>
      </c>
      <c r="P1812" s="30" t="str">
        <f aca="false">IF(N1812&lt;判定条件!$C$6,"判定不能",IF(O1812&gt;=判定条件!$C$7*N1812,"運転",IF(O1812&lt;=判定条件!$C$8*N1812,"停止","断続")))</f>
        <v>運転</v>
      </c>
      <c r="Q1812" s="30" t="n">
        <v>60</v>
      </c>
      <c r="R1812" s="30" t="n">
        <v>60</v>
      </c>
      <c r="S1812" s="30" t="str">
        <f aca="false">IF(Q1812&lt;判定条件!$C$6,"判定不能",IF(R1812&gt;=判定条件!$C$7*Q1812,"運転",IF(R1812&lt;=判定条件!$C$8*Q1812,"停止","断続")))</f>
        <v>運転</v>
      </c>
      <c r="T1812" s="30" t="n">
        <v>60</v>
      </c>
      <c r="U1812" s="30" t="n">
        <v>60</v>
      </c>
      <c r="V1812" s="30" t="str">
        <f aca="false">IF(T1812&lt;判定条件!$C$6,"判定不能",IF(U1812&gt;=判定条件!$C$7*T1812,"運転",IF(U1812&lt;=判定条件!$C$8*T1812,"停止","断続")))</f>
        <v>運転</v>
      </c>
      <c r="W1812" s="30" t="n">
        <v>60</v>
      </c>
      <c r="X1812" s="30" t="n">
        <v>60</v>
      </c>
      <c r="Y1812" s="30" t="str">
        <f aca="false">IF(W1812&lt;判定条件!$C$6,"判定不能",IF(X1812&gt;=判定条件!$C$7*W1812,"運転",IF(X1812&lt;=判定条件!$C$8*W1812,"停止","断続")))</f>
        <v>運転</v>
      </c>
      <c r="Z1812" s="30" t="n">
        <v>60</v>
      </c>
      <c r="AA1812" s="30" t="n">
        <v>60</v>
      </c>
      <c r="AB1812" s="30" t="str">
        <f aca="false">IF(Z1812&lt;判定条件!$C$6,"判定不能",IF(AA1812&gt;=判定条件!$C$7*Z1812,"運転",IF(AA1812&lt;=判定条件!$C$8*Z1812,"停止","断続")))</f>
        <v>運転</v>
      </c>
      <c r="AC1812" s="30" t="n">
        <v>60</v>
      </c>
      <c r="AD1812" s="30" t="n">
        <v>60</v>
      </c>
      <c r="AE1812" s="30" t="str">
        <f aca="false">IF(AC1812&lt;判定条件!$C$6,"判定不能",IF(AD1812&gt;=判定条件!$C$7*AC1812,"運転",IF(AD1812&lt;=判定条件!$C$8*AC1812,"停止","断続")))</f>
        <v>運転</v>
      </c>
      <c r="AF1812" s="30" t="n">
        <v>60</v>
      </c>
      <c r="AG1812" s="30" t="n">
        <v>43</v>
      </c>
      <c r="AH1812" s="30" t="str">
        <f aca="false">IF(OR(P1812="判定不能",G1812="判定不能"),"判定不能",IF(AG1812&gt;=判定条件!$C$9,"利用可",IF(AND(P1812="停止",G1812="停止"),"両方停止","運転がそろわない")))</f>
        <v>利用可</v>
      </c>
      <c r="AI1812" s="30" t="n">
        <v>60</v>
      </c>
      <c r="AJ1812" s="30" t="n">
        <v>14</v>
      </c>
      <c r="AK1812" s="30" t="str">
        <f aca="false">IF(OR(S1812="判定不能",J1812="判定不能"),"判定不能",IF(AJ1812&gt;=判定条件!$C$9,"利用可",IF(AND(S1812="停止",J1812="停止"),"両方停止","運転がそろわない")))</f>
        <v>運転がそろわない</v>
      </c>
      <c r="AL1812" s="30" t="n">
        <v>60</v>
      </c>
      <c r="AM1812" s="30" t="n">
        <v>44</v>
      </c>
      <c r="AN1812" s="30" t="str">
        <f aca="false">IF(OR(V1812="判定不能",M1812="判定不能"),"判定不能",IF(AM1812&gt;=判定条件!$C$9,"利用可",IF(AND(V1812="停止",M1812="停止"),"両方停止","運転がそろわない")))</f>
        <v>利用可</v>
      </c>
      <c r="AO1812" s="30" t="n">
        <v>60</v>
      </c>
      <c r="AP1812" s="30" t="n">
        <v>43</v>
      </c>
      <c r="AQ1812" s="30" t="str">
        <f aca="false">IF(OR(Y1812="判定不能",G1812="判定不能"),"判定不能",IF(AP1812&gt;=判定条件!$C$9,"利用可",IF(AND(Y1812="停止",G1812="停止"),"両方停止","運転がそろわない")))</f>
        <v>利用可</v>
      </c>
      <c r="AR1812" s="30" t="n">
        <v>60</v>
      </c>
      <c r="AS1812" s="30" t="n">
        <v>14</v>
      </c>
      <c r="AT1812" s="30" t="str">
        <f aca="false">IF(OR(AB1812="判定不能",J1812="判定不能"),"判定不能",IF(AS1812&gt;=判定条件!$C$9,"利用可",IF(AND(AB1812="停止",J1812="停止"),"両方停止","運転がそろわない")))</f>
        <v>運転がそろわない</v>
      </c>
      <c r="AU1812" s="30" t="n">
        <v>60</v>
      </c>
      <c r="AV1812" s="30" t="n">
        <v>44</v>
      </c>
      <c r="AW1812" s="30" t="str">
        <f aca="false">IF(OR(AE1812="判定不能",M1812="判定不能"),"判定不能",IF(AV1812&gt;=判定条件!$C$9,"利用可",IF(AND(AE1812="停止",M1812="停止"),"両方停止","運転がそろわない")))</f>
        <v>利用可</v>
      </c>
      <c r="AX1812" s="30" t="str">
        <f aca="false">IF(AND(AH1812="利用可",AK1812="利用可",AN1812="利用可"),"利用可","不可")</f>
        <v>不可</v>
      </c>
      <c r="AY1812" s="30" t="str">
        <f aca="false">IF(AND(AQ1812="利用可",AT1812="利用可",AW1812="利用可"),"利用可","不可")</f>
        <v>不可</v>
      </c>
    </row>
    <row r="1813" customFormat="false" ht="15" hidden="false" customHeight="false" outlineLevel="0" collapsed="false">
      <c r="A1813" s="29" t="n">
        <v>46307</v>
      </c>
      <c r="B1813" s="30" t="n">
        <v>10</v>
      </c>
      <c r="C1813" s="31" t="s">
        <v>66</v>
      </c>
      <c r="D1813" s="31" t="s">
        <v>101</v>
      </c>
      <c r="E1813" s="30" t="n">
        <v>60</v>
      </c>
      <c r="F1813" s="30" t="n">
        <v>50</v>
      </c>
      <c r="G1813" s="30" t="str">
        <f aca="false">IF(E1813&lt;判定条件!$C$6,"判定不能",IF(F1813&gt;=判定条件!$C$7*E1813,"運転",IF(F1813&lt;=判定条件!$C$8*E1813,"停止","断続")))</f>
        <v>運転</v>
      </c>
      <c r="H1813" s="30" t="n">
        <v>60</v>
      </c>
      <c r="I1813" s="30" t="n">
        <v>40</v>
      </c>
      <c r="J1813" s="30" t="str">
        <f aca="false">IF(H1813&lt;判定条件!$C$6,"判定不能",IF(I1813&gt;=判定条件!$C$7*H1813,"運転",IF(I1813&lt;=判定条件!$C$8*H1813,"停止","断続")))</f>
        <v>断続</v>
      </c>
      <c r="K1813" s="30" t="n">
        <v>60</v>
      </c>
      <c r="L1813" s="30" t="n">
        <v>60</v>
      </c>
      <c r="M1813" s="30" t="str">
        <f aca="false">IF(K1813&lt;判定条件!$C$6,"判定不能",IF(L1813&gt;=判定条件!$C$7*K1813,"運転",IF(L1813&lt;=判定条件!$C$8*K1813,"停止","断続")))</f>
        <v>運転</v>
      </c>
      <c r="N1813" s="30" t="n">
        <v>60</v>
      </c>
      <c r="O1813" s="30" t="n">
        <v>60</v>
      </c>
      <c r="P1813" s="30" t="str">
        <f aca="false">IF(N1813&lt;判定条件!$C$6,"判定不能",IF(O1813&gt;=判定条件!$C$7*N1813,"運転",IF(O1813&lt;=判定条件!$C$8*N1813,"停止","断続")))</f>
        <v>運転</v>
      </c>
      <c r="Q1813" s="30" t="n">
        <v>60</v>
      </c>
      <c r="R1813" s="30" t="n">
        <v>58</v>
      </c>
      <c r="S1813" s="30" t="str">
        <f aca="false">IF(Q1813&lt;判定条件!$C$6,"判定不能",IF(R1813&gt;=判定条件!$C$7*Q1813,"運転",IF(R1813&lt;=判定条件!$C$8*Q1813,"停止","断続")))</f>
        <v>運転</v>
      </c>
      <c r="T1813" s="30" t="n">
        <v>60</v>
      </c>
      <c r="U1813" s="30" t="n">
        <v>59</v>
      </c>
      <c r="V1813" s="30" t="str">
        <f aca="false">IF(T1813&lt;判定条件!$C$6,"判定不能",IF(U1813&gt;=判定条件!$C$7*T1813,"運転",IF(U1813&lt;=判定条件!$C$8*T1813,"停止","断続")))</f>
        <v>運転</v>
      </c>
      <c r="W1813" s="30" t="n">
        <v>60</v>
      </c>
      <c r="X1813" s="30" t="n">
        <v>60</v>
      </c>
      <c r="Y1813" s="30" t="str">
        <f aca="false">IF(W1813&lt;判定条件!$C$6,"判定不能",IF(X1813&gt;=判定条件!$C$7*W1813,"運転",IF(X1813&lt;=判定条件!$C$8*W1813,"停止","断続")))</f>
        <v>運転</v>
      </c>
      <c r="Z1813" s="30" t="n">
        <v>60</v>
      </c>
      <c r="AA1813" s="30" t="n">
        <v>56</v>
      </c>
      <c r="AB1813" s="30" t="str">
        <f aca="false">IF(Z1813&lt;判定条件!$C$6,"判定不能",IF(AA1813&gt;=判定条件!$C$7*Z1813,"運転",IF(AA1813&lt;=判定条件!$C$8*Z1813,"停止","断続")))</f>
        <v>運転</v>
      </c>
      <c r="AC1813" s="30" t="n">
        <v>60</v>
      </c>
      <c r="AD1813" s="30" t="n">
        <v>60</v>
      </c>
      <c r="AE1813" s="30" t="str">
        <f aca="false">IF(AC1813&lt;判定条件!$C$6,"判定不能",IF(AD1813&gt;=判定条件!$C$7*AC1813,"運転",IF(AD1813&lt;=判定条件!$C$8*AC1813,"停止","断続")))</f>
        <v>運転</v>
      </c>
      <c r="AF1813" s="30" t="n">
        <v>60</v>
      </c>
      <c r="AG1813" s="30" t="n">
        <v>50</v>
      </c>
      <c r="AH1813" s="30" t="str">
        <f aca="false">IF(OR(P1813="判定不能",G1813="判定不能"),"判定不能",IF(AG1813&gt;=判定条件!$C$9,"利用可",IF(AND(P1813="停止",G1813="停止"),"両方停止","運転がそろわない")))</f>
        <v>利用可</v>
      </c>
      <c r="AI1813" s="30" t="n">
        <v>60</v>
      </c>
      <c r="AJ1813" s="30" t="n">
        <v>40</v>
      </c>
      <c r="AK1813" s="30" t="str">
        <f aca="false">IF(OR(S1813="判定不能",J1813="判定不能"),"判定不能",IF(AJ1813&gt;=判定条件!$C$9,"利用可",IF(AND(S1813="停止",J1813="停止"),"両方停止","運転がそろわない")))</f>
        <v>利用可</v>
      </c>
      <c r="AL1813" s="30" t="n">
        <v>60</v>
      </c>
      <c r="AM1813" s="30" t="n">
        <v>59</v>
      </c>
      <c r="AN1813" s="30" t="str">
        <f aca="false">IF(OR(V1813="判定不能",M1813="判定不能"),"判定不能",IF(AM1813&gt;=判定条件!$C$9,"利用可",IF(AND(V1813="停止",M1813="停止"),"両方停止","運転がそろわない")))</f>
        <v>利用可</v>
      </c>
      <c r="AO1813" s="30" t="n">
        <v>60</v>
      </c>
      <c r="AP1813" s="30" t="n">
        <v>50</v>
      </c>
      <c r="AQ1813" s="30" t="str">
        <f aca="false">IF(OR(Y1813="判定不能",G1813="判定不能"),"判定不能",IF(AP1813&gt;=判定条件!$C$9,"利用可",IF(AND(Y1813="停止",G1813="停止"),"両方停止","運転がそろわない")))</f>
        <v>利用可</v>
      </c>
      <c r="AR1813" s="30" t="n">
        <v>60</v>
      </c>
      <c r="AS1813" s="30" t="n">
        <v>40</v>
      </c>
      <c r="AT1813" s="30" t="str">
        <f aca="false">IF(OR(AB1813="判定不能",J1813="判定不能"),"判定不能",IF(AS1813&gt;=判定条件!$C$9,"利用可",IF(AND(AB1813="停止",J1813="停止"),"両方停止","運転がそろわない")))</f>
        <v>利用可</v>
      </c>
      <c r="AU1813" s="30" t="n">
        <v>60</v>
      </c>
      <c r="AV1813" s="30" t="n">
        <v>60</v>
      </c>
      <c r="AW1813" s="30" t="str">
        <f aca="false">IF(OR(AE1813="判定不能",M1813="判定不能"),"判定不能",IF(AV1813&gt;=判定条件!$C$9,"利用可",IF(AND(AE1813="停止",M1813="停止"),"両方停止","運転がそろわない")))</f>
        <v>利用可</v>
      </c>
      <c r="AX1813" s="30" t="str">
        <f aca="false">IF(AND(AH1813="利用可",AK1813="利用可",AN1813="利用可"),"利用可","不可")</f>
        <v>利用可</v>
      </c>
      <c r="AY1813" s="30" t="str">
        <f aca="false">IF(AND(AQ1813="利用可",AT1813="利用可",AW1813="利用可"),"利用可","不可")</f>
        <v>利用可</v>
      </c>
    </row>
    <row r="1814" customFormat="false" ht="15" hidden="false" customHeight="false" outlineLevel="0" collapsed="false">
      <c r="A1814" s="29" t="n">
        <v>46307</v>
      </c>
      <c r="B1814" s="30" t="n">
        <v>11</v>
      </c>
      <c r="C1814" s="31" t="s">
        <v>66</v>
      </c>
      <c r="D1814" s="31" t="s">
        <v>101</v>
      </c>
      <c r="E1814" s="30" t="n">
        <v>60</v>
      </c>
      <c r="F1814" s="30" t="n">
        <v>46</v>
      </c>
      <c r="G1814" s="30" t="str">
        <f aca="false">IF(E1814&lt;判定条件!$C$6,"判定不能",IF(F1814&gt;=判定条件!$C$7*E1814,"運転",IF(F1814&lt;=判定条件!$C$8*E1814,"停止","断続")))</f>
        <v>断続</v>
      </c>
      <c r="H1814" s="30" t="n">
        <v>60</v>
      </c>
      <c r="I1814" s="30" t="n">
        <v>56</v>
      </c>
      <c r="J1814" s="30" t="str">
        <f aca="false">IF(H1814&lt;判定条件!$C$6,"判定不能",IF(I1814&gt;=判定条件!$C$7*H1814,"運転",IF(I1814&lt;=判定条件!$C$8*H1814,"停止","断続")))</f>
        <v>運転</v>
      </c>
      <c r="K1814" s="30" t="n">
        <v>60</v>
      </c>
      <c r="L1814" s="30" t="n">
        <v>60</v>
      </c>
      <c r="M1814" s="30" t="str">
        <f aca="false">IF(K1814&lt;判定条件!$C$6,"判定不能",IF(L1814&gt;=判定条件!$C$7*K1814,"運転",IF(L1814&lt;=判定条件!$C$8*K1814,"停止","断続")))</f>
        <v>運転</v>
      </c>
      <c r="N1814" s="30" t="n">
        <v>60</v>
      </c>
      <c r="O1814" s="30" t="n">
        <v>60</v>
      </c>
      <c r="P1814" s="30" t="str">
        <f aca="false">IF(N1814&lt;判定条件!$C$6,"判定不能",IF(O1814&gt;=判定条件!$C$7*N1814,"運転",IF(O1814&lt;=判定条件!$C$8*N1814,"停止","断続")))</f>
        <v>運転</v>
      </c>
      <c r="Q1814" s="30" t="n">
        <v>60</v>
      </c>
      <c r="R1814" s="30" t="n">
        <v>60</v>
      </c>
      <c r="S1814" s="30" t="str">
        <f aca="false">IF(Q1814&lt;判定条件!$C$6,"判定不能",IF(R1814&gt;=判定条件!$C$7*Q1814,"運転",IF(R1814&lt;=判定条件!$C$8*Q1814,"停止","断続")))</f>
        <v>運転</v>
      </c>
      <c r="T1814" s="30" t="n">
        <v>60</v>
      </c>
      <c r="U1814" s="30" t="n">
        <v>59</v>
      </c>
      <c r="V1814" s="30" t="str">
        <f aca="false">IF(T1814&lt;判定条件!$C$6,"判定不能",IF(U1814&gt;=判定条件!$C$7*T1814,"運転",IF(U1814&lt;=判定条件!$C$8*T1814,"停止","断続")))</f>
        <v>運転</v>
      </c>
      <c r="W1814" s="30" t="n">
        <v>60</v>
      </c>
      <c r="X1814" s="30" t="n">
        <v>60</v>
      </c>
      <c r="Y1814" s="30" t="str">
        <f aca="false">IF(W1814&lt;判定条件!$C$6,"判定不能",IF(X1814&gt;=判定条件!$C$7*W1814,"運転",IF(X1814&lt;=判定条件!$C$8*W1814,"停止","断続")))</f>
        <v>運転</v>
      </c>
      <c r="Z1814" s="30" t="n">
        <v>60</v>
      </c>
      <c r="AA1814" s="30" t="n">
        <v>60</v>
      </c>
      <c r="AB1814" s="30" t="str">
        <f aca="false">IF(Z1814&lt;判定条件!$C$6,"判定不能",IF(AA1814&gt;=判定条件!$C$7*Z1814,"運転",IF(AA1814&lt;=判定条件!$C$8*Z1814,"停止","断続")))</f>
        <v>運転</v>
      </c>
      <c r="AC1814" s="30" t="n">
        <v>60</v>
      </c>
      <c r="AD1814" s="30" t="n">
        <v>60</v>
      </c>
      <c r="AE1814" s="30" t="str">
        <f aca="false">IF(AC1814&lt;判定条件!$C$6,"判定不能",IF(AD1814&gt;=判定条件!$C$7*AC1814,"運転",IF(AD1814&lt;=判定条件!$C$8*AC1814,"停止","断続")))</f>
        <v>運転</v>
      </c>
      <c r="AF1814" s="30" t="n">
        <v>60</v>
      </c>
      <c r="AG1814" s="30" t="n">
        <v>46</v>
      </c>
      <c r="AH1814" s="30" t="str">
        <f aca="false">IF(OR(P1814="判定不能",G1814="判定不能"),"判定不能",IF(AG1814&gt;=判定条件!$C$9,"利用可",IF(AND(P1814="停止",G1814="停止"),"両方停止","運転がそろわない")))</f>
        <v>利用可</v>
      </c>
      <c r="AI1814" s="30" t="n">
        <v>60</v>
      </c>
      <c r="AJ1814" s="30" t="n">
        <v>56</v>
      </c>
      <c r="AK1814" s="30" t="str">
        <f aca="false">IF(OR(S1814="判定不能",J1814="判定不能"),"判定不能",IF(AJ1814&gt;=判定条件!$C$9,"利用可",IF(AND(S1814="停止",J1814="停止"),"両方停止","運転がそろわない")))</f>
        <v>利用可</v>
      </c>
      <c r="AL1814" s="30" t="n">
        <v>60</v>
      </c>
      <c r="AM1814" s="30" t="n">
        <v>59</v>
      </c>
      <c r="AN1814" s="30" t="str">
        <f aca="false">IF(OR(V1814="判定不能",M1814="判定不能"),"判定不能",IF(AM1814&gt;=判定条件!$C$9,"利用可",IF(AND(V1814="停止",M1814="停止"),"両方停止","運転がそろわない")))</f>
        <v>利用可</v>
      </c>
      <c r="AO1814" s="30" t="n">
        <v>60</v>
      </c>
      <c r="AP1814" s="30" t="n">
        <v>46</v>
      </c>
      <c r="AQ1814" s="30" t="str">
        <f aca="false">IF(OR(Y1814="判定不能",G1814="判定不能"),"判定不能",IF(AP1814&gt;=判定条件!$C$9,"利用可",IF(AND(Y1814="停止",G1814="停止"),"両方停止","運転がそろわない")))</f>
        <v>利用可</v>
      </c>
      <c r="AR1814" s="30" t="n">
        <v>60</v>
      </c>
      <c r="AS1814" s="30" t="n">
        <v>56</v>
      </c>
      <c r="AT1814" s="30" t="str">
        <f aca="false">IF(OR(AB1814="判定不能",J1814="判定不能"),"判定不能",IF(AS1814&gt;=判定条件!$C$9,"利用可",IF(AND(AB1814="停止",J1814="停止"),"両方停止","運転がそろわない")))</f>
        <v>利用可</v>
      </c>
      <c r="AU1814" s="30" t="n">
        <v>60</v>
      </c>
      <c r="AV1814" s="30" t="n">
        <v>60</v>
      </c>
      <c r="AW1814" s="30" t="str">
        <f aca="false">IF(OR(AE1814="判定不能",M1814="判定不能"),"判定不能",IF(AV1814&gt;=判定条件!$C$9,"利用可",IF(AND(AE1814="停止",M1814="停止"),"両方停止","運転がそろわない")))</f>
        <v>利用可</v>
      </c>
      <c r="AX1814" s="30" t="str">
        <f aca="false">IF(AND(AH1814="利用可",AK1814="利用可",AN1814="利用可"),"利用可","不可")</f>
        <v>利用可</v>
      </c>
      <c r="AY1814" s="30" t="str">
        <f aca="false">IF(AND(AQ1814="利用可",AT1814="利用可",AW1814="利用可"),"利用可","不可")</f>
        <v>利用可</v>
      </c>
    </row>
    <row r="1815" customFormat="false" ht="15" hidden="false" customHeight="false" outlineLevel="0" collapsed="false">
      <c r="A1815" s="29" t="n">
        <v>46307</v>
      </c>
      <c r="B1815" s="30" t="n">
        <v>12</v>
      </c>
      <c r="C1815" s="31" t="s">
        <v>66</v>
      </c>
      <c r="D1815" s="31" t="s">
        <v>101</v>
      </c>
      <c r="E1815" s="30" t="n">
        <v>60</v>
      </c>
      <c r="F1815" s="30" t="n">
        <v>60</v>
      </c>
      <c r="G1815" s="30" t="str">
        <f aca="false">IF(E1815&lt;判定条件!$C$6,"判定不能",IF(F1815&gt;=判定条件!$C$7*E1815,"運転",IF(F1815&lt;=判定条件!$C$8*E1815,"停止","断続")))</f>
        <v>運転</v>
      </c>
      <c r="H1815" s="30" t="n">
        <v>60</v>
      </c>
      <c r="I1815" s="30" t="n">
        <v>60</v>
      </c>
      <c r="J1815" s="30" t="str">
        <f aca="false">IF(H1815&lt;判定条件!$C$6,"判定不能",IF(I1815&gt;=判定条件!$C$7*H1815,"運転",IF(I1815&lt;=判定条件!$C$8*H1815,"停止","断続")))</f>
        <v>運転</v>
      </c>
      <c r="K1815" s="30" t="n">
        <v>60</v>
      </c>
      <c r="L1815" s="30" t="n">
        <v>60</v>
      </c>
      <c r="M1815" s="30" t="str">
        <f aca="false">IF(K1815&lt;判定条件!$C$6,"判定不能",IF(L1815&gt;=判定条件!$C$7*K1815,"運転",IF(L1815&lt;=判定条件!$C$8*K1815,"停止","断続")))</f>
        <v>運転</v>
      </c>
      <c r="N1815" s="30" t="n">
        <v>60</v>
      </c>
      <c r="O1815" s="30" t="n">
        <v>60</v>
      </c>
      <c r="P1815" s="30" t="str">
        <f aca="false">IF(N1815&lt;判定条件!$C$6,"判定不能",IF(O1815&gt;=判定条件!$C$7*N1815,"運転",IF(O1815&lt;=判定条件!$C$8*N1815,"停止","断続")))</f>
        <v>運転</v>
      </c>
      <c r="Q1815" s="30" t="n">
        <v>60</v>
      </c>
      <c r="R1815" s="30" t="n">
        <v>44</v>
      </c>
      <c r="S1815" s="30" t="str">
        <f aca="false">IF(Q1815&lt;判定条件!$C$6,"判定不能",IF(R1815&gt;=判定条件!$C$7*Q1815,"運転",IF(R1815&lt;=判定条件!$C$8*Q1815,"停止","断続")))</f>
        <v>断続</v>
      </c>
      <c r="T1815" s="30" t="n">
        <v>60</v>
      </c>
      <c r="U1815" s="30" t="n">
        <v>43</v>
      </c>
      <c r="V1815" s="30" t="str">
        <f aca="false">IF(T1815&lt;判定条件!$C$6,"判定不能",IF(U1815&gt;=判定条件!$C$7*T1815,"運転",IF(U1815&lt;=判定条件!$C$8*T1815,"停止","断続")))</f>
        <v>断続</v>
      </c>
      <c r="W1815" s="30" t="n">
        <v>60</v>
      </c>
      <c r="X1815" s="30" t="n">
        <v>60</v>
      </c>
      <c r="Y1815" s="30" t="str">
        <f aca="false">IF(W1815&lt;判定条件!$C$6,"判定不能",IF(X1815&gt;=判定条件!$C$7*W1815,"運転",IF(X1815&lt;=判定条件!$C$8*W1815,"停止","断続")))</f>
        <v>運転</v>
      </c>
      <c r="Z1815" s="30" t="n">
        <v>60</v>
      </c>
      <c r="AA1815" s="30" t="n">
        <v>60</v>
      </c>
      <c r="AB1815" s="30" t="str">
        <f aca="false">IF(Z1815&lt;判定条件!$C$6,"判定不能",IF(AA1815&gt;=判定条件!$C$7*Z1815,"運転",IF(AA1815&lt;=判定条件!$C$8*Z1815,"停止","断続")))</f>
        <v>運転</v>
      </c>
      <c r="AC1815" s="30" t="n">
        <v>60</v>
      </c>
      <c r="AD1815" s="30" t="n">
        <v>53</v>
      </c>
      <c r="AE1815" s="30" t="str">
        <f aca="false">IF(AC1815&lt;判定条件!$C$6,"判定不能",IF(AD1815&gt;=判定条件!$C$7*AC1815,"運転",IF(AD1815&lt;=判定条件!$C$8*AC1815,"停止","断続")))</f>
        <v>運転</v>
      </c>
      <c r="AF1815" s="30" t="n">
        <v>60</v>
      </c>
      <c r="AG1815" s="30" t="n">
        <v>60</v>
      </c>
      <c r="AH1815" s="30" t="str">
        <f aca="false">IF(OR(P1815="判定不能",G1815="判定不能"),"判定不能",IF(AG1815&gt;=判定条件!$C$9,"利用可",IF(AND(P1815="停止",G1815="停止"),"両方停止","運転がそろわない")))</f>
        <v>利用可</v>
      </c>
      <c r="AI1815" s="30" t="n">
        <v>60</v>
      </c>
      <c r="AJ1815" s="30" t="n">
        <v>44</v>
      </c>
      <c r="AK1815" s="30" t="str">
        <f aca="false">IF(OR(S1815="判定不能",J1815="判定不能"),"判定不能",IF(AJ1815&gt;=判定条件!$C$9,"利用可",IF(AND(S1815="停止",J1815="停止"),"両方停止","運転がそろわない")))</f>
        <v>利用可</v>
      </c>
      <c r="AL1815" s="30" t="n">
        <v>60</v>
      </c>
      <c r="AM1815" s="30" t="n">
        <v>43</v>
      </c>
      <c r="AN1815" s="30" t="str">
        <f aca="false">IF(OR(V1815="判定不能",M1815="判定不能"),"判定不能",IF(AM1815&gt;=判定条件!$C$9,"利用可",IF(AND(V1815="停止",M1815="停止"),"両方停止","運転がそろわない")))</f>
        <v>利用可</v>
      </c>
      <c r="AO1815" s="30" t="n">
        <v>60</v>
      </c>
      <c r="AP1815" s="30" t="n">
        <v>60</v>
      </c>
      <c r="AQ1815" s="30" t="str">
        <f aca="false">IF(OR(Y1815="判定不能",G1815="判定不能"),"判定不能",IF(AP1815&gt;=判定条件!$C$9,"利用可",IF(AND(Y1815="停止",G1815="停止"),"両方停止","運転がそろわない")))</f>
        <v>利用可</v>
      </c>
      <c r="AR1815" s="30" t="n">
        <v>60</v>
      </c>
      <c r="AS1815" s="30" t="n">
        <v>60</v>
      </c>
      <c r="AT1815" s="30" t="str">
        <f aca="false">IF(OR(AB1815="判定不能",J1815="判定不能"),"判定不能",IF(AS1815&gt;=判定条件!$C$9,"利用可",IF(AND(AB1815="停止",J1815="停止"),"両方停止","運転がそろわない")))</f>
        <v>利用可</v>
      </c>
      <c r="AU1815" s="30" t="n">
        <v>60</v>
      </c>
      <c r="AV1815" s="30" t="n">
        <v>53</v>
      </c>
      <c r="AW1815" s="30" t="str">
        <f aca="false">IF(OR(AE1815="判定不能",M1815="判定不能"),"判定不能",IF(AV1815&gt;=判定条件!$C$9,"利用可",IF(AND(AE1815="停止",M1815="停止"),"両方停止","運転がそろわない")))</f>
        <v>利用可</v>
      </c>
      <c r="AX1815" s="30" t="str">
        <f aca="false">IF(AND(AH1815="利用可",AK1815="利用可",AN1815="利用可"),"利用可","不可")</f>
        <v>利用可</v>
      </c>
      <c r="AY1815" s="30" t="str">
        <f aca="false">IF(AND(AQ1815="利用可",AT1815="利用可",AW1815="利用可"),"利用可","不可")</f>
        <v>利用可</v>
      </c>
    </row>
    <row r="1816" customFormat="false" ht="15" hidden="false" customHeight="false" outlineLevel="0" collapsed="false">
      <c r="A1816" s="29" t="n">
        <v>46307</v>
      </c>
      <c r="B1816" s="30" t="n">
        <v>13</v>
      </c>
      <c r="C1816" s="31" t="s">
        <v>66</v>
      </c>
      <c r="D1816" s="31" t="s">
        <v>101</v>
      </c>
      <c r="E1816" s="30" t="n">
        <v>60</v>
      </c>
      <c r="F1816" s="30" t="n">
        <v>60</v>
      </c>
      <c r="G1816" s="30" t="str">
        <f aca="false">IF(E1816&lt;判定条件!$C$6,"判定不能",IF(F1816&gt;=判定条件!$C$7*E1816,"運転",IF(F1816&lt;=判定条件!$C$8*E1816,"停止","断続")))</f>
        <v>運転</v>
      </c>
      <c r="H1816" s="30" t="n">
        <v>60</v>
      </c>
      <c r="I1816" s="30" t="n">
        <v>60</v>
      </c>
      <c r="J1816" s="30" t="str">
        <f aca="false">IF(H1816&lt;判定条件!$C$6,"判定不能",IF(I1816&gt;=判定条件!$C$7*H1816,"運転",IF(I1816&lt;=判定条件!$C$8*H1816,"停止","断続")))</f>
        <v>運転</v>
      </c>
      <c r="K1816" s="30" t="n">
        <v>60</v>
      </c>
      <c r="L1816" s="30" t="n">
        <v>60</v>
      </c>
      <c r="M1816" s="30" t="str">
        <f aca="false">IF(K1816&lt;判定条件!$C$6,"判定不能",IF(L1816&gt;=判定条件!$C$7*K1816,"運転",IF(L1816&lt;=判定条件!$C$8*K1816,"停止","断続")))</f>
        <v>運転</v>
      </c>
      <c r="N1816" s="30" t="n">
        <v>60</v>
      </c>
      <c r="O1816" s="30" t="n">
        <v>58</v>
      </c>
      <c r="P1816" s="30" t="str">
        <f aca="false">IF(N1816&lt;判定条件!$C$6,"判定不能",IF(O1816&gt;=判定条件!$C$7*N1816,"運転",IF(O1816&lt;=判定条件!$C$8*N1816,"停止","断続")))</f>
        <v>運転</v>
      </c>
      <c r="Q1816" s="30" t="n">
        <v>60</v>
      </c>
      <c r="R1816" s="30" t="n">
        <v>27</v>
      </c>
      <c r="S1816" s="30" t="str">
        <f aca="false">IF(Q1816&lt;判定条件!$C$6,"判定不能",IF(R1816&gt;=判定条件!$C$7*Q1816,"運転",IF(R1816&lt;=判定条件!$C$8*Q1816,"停止","断続")))</f>
        <v>断続</v>
      </c>
      <c r="T1816" s="30" t="n">
        <v>60</v>
      </c>
      <c r="U1816" s="30" t="n">
        <v>60</v>
      </c>
      <c r="V1816" s="30" t="str">
        <f aca="false">IF(T1816&lt;判定条件!$C$6,"判定不能",IF(U1816&gt;=判定条件!$C$7*T1816,"運転",IF(U1816&lt;=判定条件!$C$8*T1816,"停止","断続")))</f>
        <v>運転</v>
      </c>
      <c r="W1816" s="30" t="n">
        <v>60</v>
      </c>
      <c r="X1816" s="30" t="n">
        <v>60</v>
      </c>
      <c r="Y1816" s="30" t="str">
        <f aca="false">IF(W1816&lt;判定条件!$C$6,"判定不能",IF(X1816&gt;=判定条件!$C$7*W1816,"運転",IF(X1816&lt;=判定条件!$C$8*W1816,"停止","断続")))</f>
        <v>運転</v>
      </c>
      <c r="Z1816" s="30" t="n">
        <v>60</v>
      </c>
      <c r="AA1816" s="30" t="n">
        <v>57</v>
      </c>
      <c r="AB1816" s="30" t="str">
        <f aca="false">IF(Z1816&lt;判定条件!$C$6,"判定不能",IF(AA1816&gt;=判定条件!$C$7*Z1816,"運転",IF(AA1816&lt;=判定条件!$C$8*Z1816,"停止","断続")))</f>
        <v>運転</v>
      </c>
      <c r="AC1816" s="30" t="n">
        <v>60</v>
      </c>
      <c r="AD1816" s="30" t="n">
        <v>46</v>
      </c>
      <c r="AE1816" s="30" t="str">
        <f aca="false">IF(AC1816&lt;判定条件!$C$6,"判定不能",IF(AD1816&gt;=判定条件!$C$7*AC1816,"運転",IF(AD1816&lt;=判定条件!$C$8*AC1816,"停止","断続")))</f>
        <v>断続</v>
      </c>
      <c r="AF1816" s="30" t="n">
        <v>60</v>
      </c>
      <c r="AG1816" s="30" t="n">
        <v>58</v>
      </c>
      <c r="AH1816" s="30" t="str">
        <f aca="false">IF(OR(P1816="判定不能",G1816="判定不能"),"判定不能",IF(AG1816&gt;=判定条件!$C$9,"利用可",IF(AND(P1816="停止",G1816="停止"),"両方停止","運転がそろわない")))</f>
        <v>利用可</v>
      </c>
      <c r="AI1816" s="30" t="n">
        <v>60</v>
      </c>
      <c r="AJ1816" s="30" t="n">
        <v>27</v>
      </c>
      <c r="AK1816" s="30" t="str">
        <f aca="false">IF(OR(S1816="判定不能",J1816="判定不能"),"判定不能",IF(AJ1816&gt;=判定条件!$C$9,"利用可",IF(AND(S1816="停止",J1816="停止"),"両方停止","運転がそろわない")))</f>
        <v>運転がそろわない</v>
      </c>
      <c r="AL1816" s="30" t="n">
        <v>60</v>
      </c>
      <c r="AM1816" s="30" t="n">
        <v>60</v>
      </c>
      <c r="AN1816" s="30" t="str">
        <f aca="false">IF(OR(V1816="判定不能",M1816="判定不能"),"判定不能",IF(AM1816&gt;=判定条件!$C$9,"利用可",IF(AND(V1816="停止",M1816="停止"),"両方停止","運転がそろわない")))</f>
        <v>利用可</v>
      </c>
      <c r="AO1816" s="30" t="n">
        <v>60</v>
      </c>
      <c r="AP1816" s="30" t="n">
        <v>60</v>
      </c>
      <c r="AQ1816" s="30" t="str">
        <f aca="false">IF(OR(Y1816="判定不能",G1816="判定不能"),"判定不能",IF(AP1816&gt;=判定条件!$C$9,"利用可",IF(AND(Y1816="停止",G1816="停止"),"両方停止","運転がそろわない")))</f>
        <v>利用可</v>
      </c>
      <c r="AR1816" s="30" t="n">
        <v>60</v>
      </c>
      <c r="AS1816" s="30" t="n">
        <v>57</v>
      </c>
      <c r="AT1816" s="30" t="str">
        <f aca="false">IF(OR(AB1816="判定不能",J1816="判定不能"),"判定不能",IF(AS1816&gt;=判定条件!$C$9,"利用可",IF(AND(AB1816="停止",J1816="停止"),"両方停止","運転がそろわない")))</f>
        <v>利用可</v>
      </c>
      <c r="AU1816" s="30" t="n">
        <v>60</v>
      </c>
      <c r="AV1816" s="30" t="n">
        <v>46</v>
      </c>
      <c r="AW1816" s="30" t="str">
        <f aca="false">IF(OR(AE1816="判定不能",M1816="判定不能"),"判定不能",IF(AV1816&gt;=判定条件!$C$9,"利用可",IF(AND(AE1816="停止",M1816="停止"),"両方停止","運転がそろわない")))</f>
        <v>利用可</v>
      </c>
      <c r="AX1816" s="30" t="str">
        <f aca="false">IF(AND(AH1816="利用可",AK1816="利用可",AN1816="利用可"),"利用可","不可")</f>
        <v>不可</v>
      </c>
      <c r="AY1816" s="30" t="str">
        <f aca="false">IF(AND(AQ1816="利用可",AT1816="利用可",AW1816="利用可"),"利用可","不可")</f>
        <v>利用可</v>
      </c>
    </row>
    <row r="1817" customFormat="false" ht="15" hidden="false" customHeight="false" outlineLevel="0" collapsed="false">
      <c r="A1817" s="29" t="n">
        <v>46307</v>
      </c>
      <c r="B1817" s="30" t="n">
        <v>14</v>
      </c>
      <c r="C1817" s="31" t="s">
        <v>66</v>
      </c>
      <c r="D1817" s="31" t="s">
        <v>101</v>
      </c>
      <c r="E1817" s="30" t="n">
        <v>60</v>
      </c>
      <c r="F1817" s="30" t="n">
        <v>50</v>
      </c>
      <c r="G1817" s="30" t="str">
        <f aca="false">IF(E1817&lt;判定条件!$C$6,"判定不能",IF(F1817&gt;=判定条件!$C$7*E1817,"運転",IF(F1817&lt;=判定条件!$C$8*E1817,"停止","断続")))</f>
        <v>運転</v>
      </c>
      <c r="H1817" s="30" t="n">
        <v>60</v>
      </c>
      <c r="I1817" s="30" t="n">
        <v>32</v>
      </c>
      <c r="J1817" s="30" t="str">
        <f aca="false">IF(H1817&lt;判定条件!$C$6,"判定不能",IF(I1817&gt;=判定条件!$C$7*H1817,"運転",IF(I1817&lt;=判定条件!$C$8*H1817,"停止","断続")))</f>
        <v>断続</v>
      </c>
      <c r="K1817" s="30" t="n">
        <v>60</v>
      </c>
      <c r="L1817" s="30" t="n">
        <v>60</v>
      </c>
      <c r="M1817" s="30" t="str">
        <f aca="false">IF(K1817&lt;判定条件!$C$6,"判定不能",IF(L1817&gt;=判定条件!$C$7*K1817,"運転",IF(L1817&lt;=判定条件!$C$8*K1817,"停止","断続")))</f>
        <v>運転</v>
      </c>
      <c r="N1817" s="30" t="n">
        <v>60</v>
      </c>
      <c r="O1817" s="30" t="n">
        <v>60</v>
      </c>
      <c r="P1817" s="30" t="str">
        <f aca="false">IF(N1817&lt;判定条件!$C$6,"判定不能",IF(O1817&gt;=判定条件!$C$7*N1817,"運転",IF(O1817&lt;=判定条件!$C$8*N1817,"停止","断続")))</f>
        <v>運転</v>
      </c>
      <c r="Q1817" s="30" t="n">
        <v>60</v>
      </c>
      <c r="R1817" s="30" t="n">
        <v>29</v>
      </c>
      <c r="S1817" s="30" t="str">
        <f aca="false">IF(Q1817&lt;判定条件!$C$6,"判定不能",IF(R1817&gt;=判定条件!$C$7*Q1817,"運転",IF(R1817&lt;=判定条件!$C$8*Q1817,"停止","断続")))</f>
        <v>断続</v>
      </c>
      <c r="T1817" s="30" t="n">
        <v>60</v>
      </c>
      <c r="U1817" s="30" t="n">
        <v>60</v>
      </c>
      <c r="V1817" s="30" t="str">
        <f aca="false">IF(T1817&lt;判定条件!$C$6,"判定不能",IF(U1817&gt;=判定条件!$C$7*T1817,"運転",IF(U1817&lt;=判定条件!$C$8*T1817,"停止","断続")))</f>
        <v>運転</v>
      </c>
      <c r="W1817" s="30" t="n">
        <v>60</v>
      </c>
      <c r="X1817" s="30" t="n">
        <v>50</v>
      </c>
      <c r="Y1817" s="30" t="str">
        <f aca="false">IF(W1817&lt;判定条件!$C$6,"判定不能",IF(X1817&gt;=判定条件!$C$7*W1817,"運転",IF(X1817&lt;=判定条件!$C$8*W1817,"停止","断続")))</f>
        <v>運転</v>
      </c>
      <c r="Z1817" s="30" t="n">
        <v>60</v>
      </c>
      <c r="AA1817" s="30" t="n">
        <v>60</v>
      </c>
      <c r="AB1817" s="30" t="str">
        <f aca="false">IF(Z1817&lt;判定条件!$C$6,"判定不能",IF(AA1817&gt;=判定条件!$C$7*Z1817,"運転",IF(AA1817&lt;=判定条件!$C$8*Z1817,"停止","断続")))</f>
        <v>運転</v>
      </c>
      <c r="AC1817" s="30" t="n">
        <v>60</v>
      </c>
      <c r="AD1817" s="30" t="n">
        <v>54</v>
      </c>
      <c r="AE1817" s="30" t="str">
        <f aca="false">IF(AC1817&lt;判定条件!$C$6,"判定不能",IF(AD1817&gt;=判定条件!$C$7*AC1817,"運転",IF(AD1817&lt;=判定条件!$C$8*AC1817,"停止","断続")))</f>
        <v>運転</v>
      </c>
      <c r="AF1817" s="30" t="n">
        <v>60</v>
      </c>
      <c r="AG1817" s="30" t="n">
        <v>50</v>
      </c>
      <c r="AH1817" s="30" t="str">
        <f aca="false">IF(OR(P1817="判定不能",G1817="判定不能"),"判定不能",IF(AG1817&gt;=判定条件!$C$9,"利用可",IF(AND(P1817="停止",G1817="停止"),"両方停止","運転がそろわない")))</f>
        <v>利用可</v>
      </c>
      <c r="AI1817" s="30" t="n">
        <v>60</v>
      </c>
      <c r="AJ1817" s="30" t="n">
        <v>19</v>
      </c>
      <c r="AK1817" s="30" t="str">
        <f aca="false">IF(OR(S1817="判定不能",J1817="判定不能"),"判定不能",IF(AJ1817&gt;=判定条件!$C$9,"利用可",IF(AND(S1817="停止",J1817="停止"),"両方停止","運転がそろわない")))</f>
        <v>運転がそろわない</v>
      </c>
      <c r="AL1817" s="30" t="n">
        <v>60</v>
      </c>
      <c r="AM1817" s="30" t="n">
        <v>60</v>
      </c>
      <c r="AN1817" s="30" t="str">
        <f aca="false">IF(OR(V1817="判定不能",M1817="判定不能"),"判定不能",IF(AM1817&gt;=判定条件!$C$9,"利用可",IF(AND(V1817="停止",M1817="停止"),"両方停止","運転がそろわない")))</f>
        <v>利用可</v>
      </c>
      <c r="AO1817" s="30" t="n">
        <v>60</v>
      </c>
      <c r="AP1817" s="30" t="n">
        <v>40</v>
      </c>
      <c r="AQ1817" s="30" t="str">
        <f aca="false">IF(OR(Y1817="判定不能",G1817="判定不能"),"判定不能",IF(AP1817&gt;=判定条件!$C$9,"利用可",IF(AND(Y1817="停止",G1817="停止"),"両方停止","運転がそろわない")))</f>
        <v>利用可</v>
      </c>
      <c r="AR1817" s="30" t="n">
        <v>60</v>
      </c>
      <c r="AS1817" s="30" t="n">
        <v>32</v>
      </c>
      <c r="AT1817" s="30" t="str">
        <f aca="false">IF(OR(AB1817="判定不能",J1817="判定不能"),"判定不能",IF(AS1817&gt;=判定条件!$C$9,"利用可",IF(AND(AB1817="停止",J1817="停止"),"両方停止","運転がそろわない")))</f>
        <v>利用可</v>
      </c>
      <c r="AU1817" s="30" t="n">
        <v>60</v>
      </c>
      <c r="AV1817" s="30" t="n">
        <v>54</v>
      </c>
      <c r="AW1817" s="30" t="str">
        <f aca="false">IF(OR(AE1817="判定不能",M1817="判定不能"),"判定不能",IF(AV1817&gt;=判定条件!$C$9,"利用可",IF(AND(AE1817="停止",M1817="停止"),"両方停止","運転がそろわない")))</f>
        <v>利用可</v>
      </c>
      <c r="AX1817" s="30" t="str">
        <f aca="false">IF(AND(AH1817="利用可",AK1817="利用可",AN1817="利用可"),"利用可","不可")</f>
        <v>不可</v>
      </c>
      <c r="AY1817" s="30" t="str">
        <f aca="false">IF(AND(AQ1817="利用可",AT1817="利用可",AW1817="利用可"),"利用可","不可")</f>
        <v>利用可</v>
      </c>
    </row>
    <row r="1818" customFormat="false" ht="15" hidden="false" customHeight="false" outlineLevel="0" collapsed="false">
      <c r="A1818" s="29" t="n">
        <v>46307</v>
      </c>
      <c r="B1818" s="30" t="n">
        <v>15</v>
      </c>
      <c r="C1818" s="31" t="s">
        <v>66</v>
      </c>
      <c r="D1818" s="31" t="s">
        <v>101</v>
      </c>
      <c r="E1818" s="30" t="n">
        <v>60</v>
      </c>
      <c r="F1818" s="30" t="n">
        <v>60</v>
      </c>
      <c r="G1818" s="30" t="str">
        <f aca="false">IF(E1818&lt;判定条件!$C$6,"判定不能",IF(F1818&gt;=判定条件!$C$7*E1818,"運転",IF(F1818&lt;=判定条件!$C$8*E1818,"停止","断続")))</f>
        <v>運転</v>
      </c>
      <c r="H1818" s="30" t="n">
        <v>60</v>
      </c>
      <c r="I1818" s="30" t="n">
        <v>60</v>
      </c>
      <c r="J1818" s="30" t="str">
        <f aca="false">IF(H1818&lt;判定条件!$C$6,"判定不能",IF(I1818&gt;=判定条件!$C$7*H1818,"運転",IF(I1818&lt;=判定条件!$C$8*H1818,"停止","断続")))</f>
        <v>運転</v>
      </c>
      <c r="K1818" s="30" t="n">
        <v>60</v>
      </c>
      <c r="L1818" s="30" t="n">
        <v>60</v>
      </c>
      <c r="M1818" s="30" t="str">
        <f aca="false">IF(K1818&lt;判定条件!$C$6,"判定不能",IF(L1818&gt;=判定条件!$C$7*K1818,"運転",IF(L1818&lt;=判定条件!$C$8*K1818,"停止","断続")))</f>
        <v>運転</v>
      </c>
      <c r="N1818" s="30" t="n">
        <v>60</v>
      </c>
      <c r="O1818" s="30" t="n">
        <v>47</v>
      </c>
      <c r="P1818" s="30" t="str">
        <f aca="false">IF(N1818&lt;判定条件!$C$6,"判定不能",IF(O1818&gt;=判定条件!$C$7*N1818,"運転",IF(O1818&lt;=判定条件!$C$8*N1818,"停止","断続")))</f>
        <v>断続</v>
      </c>
      <c r="Q1818" s="30" t="n">
        <v>60</v>
      </c>
      <c r="R1818" s="30" t="n">
        <v>57</v>
      </c>
      <c r="S1818" s="30" t="str">
        <f aca="false">IF(Q1818&lt;判定条件!$C$6,"判定不能",IF(R1818&gt;=判定条件!$C$7*Q1818,"運転",IF(R1818&lt;=判定条件!$C$8*Q1818,"停止","断続")))</f>
        <v>運転</v>
      </c>
      <c r="T1818" s="30" t="n">
        <v>60</v>
      </c>
      <c r="U1818" s="30" t="n">
        <v>52</v>
      </c>
      <c r="V1818" s="30" t="str">
        <f aca="false">IF(T1818&lt;判定条件!$C$6,"判定不能",IF(U1818&gt;=判定条件!$C$7*T1818,"運転",IF(U1818&lt;=判定条件!$C$8*T1818,"停止","断続")))</f>
        <v>運転</v>
      </c>
      <c r="W1818" s="30" t="n">
        <v>60</v>
      </c>
      <c r="X1818" s="30" t="n">
        <v>49</v>
      </c>
      <c r="Y1818" s="30" t="str">
        <f aca="false">IF(W1818&lt;判定条件!$C$6,"判定不能",IF(X1818&gt;=判定条件!$C$7*W1818,"運転",IF(X1818&lt;=判定条件!$C$8*W1818,"停止","断続")))</f>
        <v>運転</v>
      </c>
      <c r="Z1818" s="30" t="n">
        <v>60</v>
      </c>
      <c r="AA1818" s="30" t="n">
        <v>58</v>
      </c>
      <c r="AB1818" s="30" t="str">
        <f aca="false">IF(Z1818&lt;判定条件!$C$6,"判定不能",IF(AA1818&gt;=判定条件!$C$7*Z1818,"運転",IF(AA1818&lt;=判定条件!$C$8*Z1818,"停止","断続")))</f>
        <v>運転</v>
      </c>
      <c r="AC1818" s="30" t="n">
        <v>60</v>
      </c>
      <c r="AD1818" s="30" t="n">
        <v>49</v>
      </c>
      <c r="AE1818" s="30" t="str">
        <f aca="false">IF(AC1818&lt;判定条件!$C$6,"判定不能",IF(AD1818&gt;=判定条件!$C$7*AC1818,"運転",IF(AD1818&lt;=判定条件!$C$8*AC1818,"停止","断続")))</f>
        <v>運転</v>
      </c>
      <c r="AF1818" s="30" t="n">
        <v>60</v>
      </c>
      <c r="AG1818" s="30" t="n">
        <v>47</v>
      </c>
      <c r="AH1818" s="30" t="str">
        <f aca="false">IF(OR(P1818="判定不能",G1818="判定不能"),"判定不能",IF(AG1818&gt;=判定条件!$C$9,"利用可",IF(AND(P1818="停止",G1818="停止"),"両方停止","運転がそろわない")))</f>
        <v>利用可</v>
      </c>
      <c r="AI1818" s="30" t="n">
        <v>60</v>
      </c>
      <c r="AJ1818" s="30" t="n">
        <v>57</v>
      </c>
      <c r="AK1818" s="30" t="str">
        <f aca="false">IF(OR(S1818="判定不能",J1818="判定不能"),"判定不能",IF(AJ1818&gt;=判定条件!$C$9,"利用可",IF(AND(S1818="停止",J1818="停止"),"両方停止","運転がそろわない")))</f>
        <v>利用可</v>
      </c>
      <c r="AL1818" s="30" t="n">
        <v>60</v>
      </c>
      <c r="AM1818" s="30" t="n">
        <v>52</v>
      </c>
      <c r="AN1818" s="30" t="str">
        <f aca="false">IF(OR(V1818="判定不能",M1818="判定不能"),"判定不能",IF(AM1818&gt;=判定条件!$C$9,"利用可",IF(AND(V1818="停止",M1818="停止"),"両方停止","運転がそろわない")))</f>
        <v>利用可</v>
      </c>
      <c r="AO1818" s="30" t="n">
        <v>60</v>
      </c>
      <c r="AP1818" s="30" t="n">
        <v>49</v>
      </c>
      <c r="AQ1818" s="30" t="str">
        <f aca="false">IF(OR(Y1818="判定不能",G1818="判定不能"),"判定不能",IF(AP1818&gt;=判定条件!$C$9,"利用可",IF(AND(Y1818="停止",G1818="停止"),"両方停止","運転がそろわない")))</f>
        <v>利用可</v>
      </c>
      <c r="AR1818" s="30" t="n">
        <v>60</v>
      </c>
      <c r="AS1818" s="30" t="n">
        <v>58</v>
      </c>
      <c r="AT1818" s="30" t="str">
        <f aca="false">IF(OR(AB1818="判定不能",J1818="判定不能"),"判定不能",IF(AS1818&gt;=判定条件!$C$9,"利用可",IF(AND(AB1818="停止",J1818="停止"),"両方停止","運転がそろわない")))</f>
        <v>利用可</v>
      </c>
      <c r="AU1818" s="30" t="n">
        <v>60</v>
      </c>
      <c r="AV1818" s="30" t="n">
        <v>49</v>
      </c>
      <c r="AW1818" s="30" t="str">
        <f aca="false">IF(OR(AE1818="判定不能",M1818="判定不能"),"判定不能",IF(AV1818&gt;=判定条件!$C$9,"利用可",IF(AND(AE1818="停止",M1818="停止"),"両方停止","運転がそろわない")))</f>
        <v>利用可</v>
      </c>
      <c r="AX1818" s="30" t="str">
        <f aca="false">IF(AND(AH1818="利用可",AK1818="利用可",AN1818="利用可"),"利用可","不可")</f>
        <v>利用可</v>
      </c>
      <c r="AY1818" s="30" t="str">
        <f aca="false">IF(AND(AQ1818="利用可",AT1818="利用可",AW1818="利用可"),"利用可","不可")</f>
        <v>利用可</v>
      </c>
    </row>
    <row r="1819" customFormat="false" ht="15" hidden="false" customHeight="false" outlineLevel="0" collapsed="false">
      <c r="A1819" s="29" t="n">
        <v>46307</v>
      </c>
      <c r="B1819" s="30" t="n">
        <v>16</v>
      </c>
      <c r="C1819" s="31" t="s">
        <v>66</v>
      </c>
      <c r="D1819" s="31" t="s">
        <v>101</v>
      </c>
      <c r="E1819" s="30" t="n">
        <v>60</v>
      </c>
      <c r="F1819" s="30" t="n">
        <v>28</v>
      </c>
      <c r="G1819" s="30" t="str">
        <f aca="false">IF(E1819&lt;判定条件!$C$6,"判定不能",IF(F1819&gt;=判定条件!$C$7*E1819,"運転",IF(F1819&lt;=判定条件!$C$8*E1819,"停止","断続")))</f>
        <v>断続</v>
      </c>
      <c r="H1819" s="30" t="n">
        <v>60</v>
      </c>
      <c r="I1819" s="30" t="n">
        <v>20</v>
      </c>
      <c r="J1819" s="30" t="str">
        <f aca="false">IF(H1819&lt;判定条件!$C$6,"判定不能",IF(I1819&gt;=判定条件!$C$7*H1819,"運転",IF(I1819&lt;=判定条件!$C$8*H1819,"停止","断続")))</f>
        <v>断続</v>
      </c>
      <c r="K1819" s="30" t="n">
        <v>60</v>
      </c>
      <c r="L1819" s="30" t="n">
        <v>60</v>
      </c>
      <c r="M1819" s="30" t="str">
        <f aca="false">IF(K1819&lt;判定条件!$C$6,"判定不能",IF(L1819&gt;=判定条件!$C$7*K1819,"運転",IF(L1819&lt;=判定条件!$C$8*K1819,"停止","断続")))</f>
        <v>運転</v>
      </c>
      <c r="N1819" s="30" t="n">
        <v>60</v>
      </c>
      <c r="O1819" s="30" t="n">
        <v>0</v>
      </c>
      <c r="P1819" s="30" t="str">
        <f aca="false">IF(N1819&lt;判定条件!$C$6,"判定不能",IF(O1819&gt;=判定条件!$C$7*N1819,"運転",IF(O1819&lt;=判定条件!$C$8*N1819,"停止","断続")))</f>
        <v>停止</v>
      </c>
      <c r="Q1819" s="30" t="n">
        <v>60</v>
      </c>
      <c r="R1819" s="30" t="n">
        <v>3</v>
      </c>
      <c r="S1819" s="30" t="str">
        <f aca="false">IF(Q1819&lt;判定条件!$C$6,"判定不能",IF(R1819&gt;=判定条件!$C$7*Q1819,"運転",IF(R1819&lt;=判定条件!$C$8*Q1819,"停止","断続")))</f>
        <v>停止</v>
      </c>
      <c r="T1819" s="30" t="n">
        <v>60</v>
      </c>
      <c r="U1819" s="30" t="n">
        <v>11</v>
      </c>
      <c r="V1819" s="30" t="str">
        <f aca="false">IF(T1819&lt;判定条件!$C$6,"判定不能",IF(U1819&gt;=判定条件!$C$7*T1819,"運転",IF(U1819&lt;=判定条件!$C$8*T1819,"停止","断続")))</f>
        <v>停止</v>
      </c>
      <c r="W1819" s="30" t="n">
        <v>60</v>
      </c>
      <c r="X1819" s="30" t="n">
        <v>38</v>
      </c>
      <c r="Y1819" s="30" t="str">
        <f aca="false">IF(W1819&lt;判定条件!$C$6,"判定不能",IF(X1819&gt;=判定条件!$C$7*W1819,"運転",IF(X1819&lt;=判定条件!$C$8*W1819,"停止","断続")))</f>
        <v>断続</v>
      </c>
      <c r="Z1819" s="30" t="n">
        <v>60</v>
      </c>
      <c r="AA1819" s="30" t="n">
        <v>38</v>
      </c>
      <c r="AB1819" s="30" t="str">
        <f aca="false">IF(Z1819&lt;判定条件!$C$6,"判定不能",IF(AA1819&gt;=判定条件!$C$7*Z1819,"運転",IF(AA1819&lt;=判定条件!$C$8*Z1819,"停止","断続")))</f>
        <v>断続</v>
      </c>
      <c r="AC1819" s="30" t="n">
        <v>60</v>
      </c>
      <c r="AD1819" s="30" t="n">
        <v>44</v>
      </c>
      <c r="AE1819" s="30" t="str">
        <f aca="false">IF(AC1819&lt;判定条件!$C$6,"判定不能",IF(AD1819&gt;=判定条件!$C$7*AC1819,"運転",IF(AD1819&lt;=判定条件!$C$8*AC1819,"停止","断続")))</f>
        <v>断続</v>
      </c>
      <c r="AF1819" s="30" t="n">
        <v>60</v>
      </c>
      <c r="AG1819" s="30" t="n">
        <v>0</v>
      </c>
      <c r="AH1819" s="30" t="str">
        <f aca="false">IF(OR(P1819="判定不能",G1819="判定不能"),"判定不能",IF(AG1819&gt;=判定条件!$C$9,"利用可",IF(AND(P1819="停止",G1819="停止"),"両方停止","運転がそろわない")))</f>
        <v>運転がそろわない</v>
      </c>
      <c r="AI1819" s="30" t="n">
        <v>60</v>
      </c>
      <c r="AJ1819" s="30" t="n">
        <v>3</v>
      </c>
      <c r="AK1819" s="30" t="str">
        <f aca="false">IF(OR(S1819="判定不能",J1819="判定不能"),"判定不能",IF(AJ1819&gt;=判定条件!$C$9,"利用可",IF(AND(S1819="停止",J1819="停止"),"両方停止","運転がそろわない")))</f>
        <v>運転がそろわない</v>
      </c>
      <c r="AL1819" s="30" t="n">
        <v>60</v>
      </c>
      <c r="AM1819" s="30" t="n">
        <v>11</v>
      </c>
      <c r="AN1819" s="30" t="str">
        <f aca="false">IF(OR(V1819="判定不能",M1819="判定不能"),"判定不能",IF(AM1819&gt;=判定条件!$C$9,"利用可",IF(AND(V1819="停止",M1819="停止"),"両方停止","運転がそろわない")))</f>
        <v>運転がそろわない</v>
      </c>
      <c r="AO1819" s="30" t="n">
        <v>60</v>
      </c>
      <c r="AP1819" s="30" t="n">
        <v>16</v>
      </c>
      <c r="AQ1819" s="30" t="str">
        <f aca="false">IF(OR(Y1819="判定不能",G1819="判定不能"),"判定不能",IF(AP1819&gt;=判定条件!$C$9,"利用可",IF(AND(Y1819="停止",G1819="停止"),"両方停止","運転がそろわない")))</f>
        <v>運転がそろわない</v>
      </c>
      <c r="AR1819" s="30" t="n">
        <v>60</v>
      </c>
      <c r="AS1819" s="30" t="n">
        <v>11</v>
      </c>
      <c r="AT1819" s="30" t="str">
        <f aca="false">IF(OR(AB1819="判定不能",J1819="判定不能"),"判定不能",IF(AS1819&gt;=判定条件!$C$9,"利用可",IF(AND(AB1819="停止",J1819="停止"),"両方停止","運転がそろわない")))</f>
        <v>運転がそろわない</v>
      </c>
      <c r="AU1819" s="30" t="n">
        <v>60</v>
      </c>
      <c r="AV1819" s="30" t="n">
        <v>44</v>
      </c>
      <c r="AW1819" s="30" t="str">
        <f aca="false">IF(OR(AE1819="判定不能",M1819="判定不能"),"判定不能",IF(AV1819&gt;=判定条件!$C$9,"利用可",IF(AND(AE1819="停止",M1819="停止"),"両方停止","運転がそろわない")))</f>
        <v>利用可</v>
      </c>
      <c r="AX1819" s="30" t="str">
        <f aca="false">IF(AND(AH1819="利用可",AK1819="利用可",AN1819="利用可"),"利用可","不可")</f>
        <v>不可</v>
      </c>
      <c r="AY1819" s="30" t="str">
        <f aca="false">IF(AND(AQ1819="利用可",AT1819="利用可",AW1819="利用可"),"利用可","不可")</f>
        <v>不可</v>
      </c>
    </row>
    <row r="1820" customFormat="false" ht="15" hidden="false" customHeight="false" outlineLevel="0" collapsed="false">
      <c r="A1820" s="29" t="n">
        <v>46307</v>
      </c>
      <c r="B1820" s="30" t="n">
        <v>17</v>
      </c>
      <c r="C1820" s="31" t="s">
        <v>66</v>
      </c>
      <c r="D1820" s="31" t="s">
        <v>101</v>
      </c>
      <c r="E1820" s="30" t="n">
        <v>60</v>
      </c>
      <c r="F1820" s="30" t="n">
        <v>1</v>
      </c>
      <c r="G1820" s="30" t="str">
        <f aca="false">IF(E1820&lt;判定条件!$C$6,"判定不能",IF(F1820&gt;=判定条件!$C$7*E1820,"運転",IF(F1820&lt;=判定条件!$C$8*E1820,"停止","断続")))</f>
        <v>停止</v>
      </c>
      <c r="H1820" s="30" t="n">
        <v>60</v>
      </c>
      <c r="I1820" s="30" t="n">
        <v>19</v>
      </c>
      <c r="J1820" s="30" t="str">
        <f aca="false">IF(H1820&lt;判定条件!$C$6,"判定不能",IF(I1820&gt;=判定条件!$C$7*H1820,"運転",IF(I1820&lt;=判定条件!$C$8*H1820,"停止","断続")))</f>
        <v>断続</v>
      </c>
      <c r="K1820" s="30" t="n">
        <v>60</v>
      </c>
      <c r="L1820" s="30" t="n">
        <v>10</v>
      </c>
      <c r="M1820" s="30" t="str">
        <f aca="false">IF(K1820&lt;判定条件!$C$6,"判定不能",IF(L1820&gt;=判定条件!$C$7*K1820,"運転",IF(L1820&lt;=判定条件!$C$8*K1820,"停止","断続")))</f>
        <v>停止</v>
      </c>
      <c r="N1820" s="30" t="n">
        <v>60</v>
      </c>
      <c r="O1820" s="30" t="n">
        <v>0</v>
      </c>
      <c r="P1820" s="30" t="str">
        <f aca="false">IF(N1820&lt;判定条件!$C$6,"判定不能",IF(O1820&gt;=判定条件!$C$7*N1820,"運転",IF(O1820&lt;=判定条件!$C$8*N1820,"停止","断続")))</f>
        <v>停止</v>
      </c>
      <c r="Q1820" s="30" t="n">
        <v>60</v>
      </c>
      <c r="R1820" s="30" t="n">
        <v>0</v>
      </c>
      <c r="S1820" s="30" t="str">
        <f aca="false">IF(Q1820&lt;判定条件!$C$6,"判定不能",IF(R1820&gt;=判定条件!$C$7*Q1820,"運転",IF(R1820&lt;=判定条件!$C$8*Q1820,"停止","断続")))</f>
        <v>停止</v>
      </c>
      <c r="T1820" s="30" t="n">
        <v>60</v>
      </c>
      <c r="U1820" s="30" t="n">
        <v>0</v>
      </c>
      <c r="V1820" s="30" t="str">
        <f aca="false">IF(T1820&lt;判定条件!$C$6,"判定不能",IF(U1820&gt;=判定条件!$C$7*T1820,"運転",IF(U1820&lt;=判定条件!$C$8*T1820,"停止","断続")))</f>
        <v>停止</v>
      </c>
      <c r="W1820" s="30" t="n">
        <v>60</v>
      </c>
      <c r="X1820" s="30" t="n">
        <v>9</v>
      </c>
      <c r="Y1820" s="30" t="str">
        <f aca="false">IF(W1820&lt;判定条件!$C$6,"判定不能",IF(X1820&gt;=判定条件!$C$7*W1820,"運転",IF(X1820&lt;=判定条件!$C$8*W1820,"停止","断続")))</f>
        <v>停止</v>
      </c>
      <c r="Z1820" s="30" t="n">
        <v>60</v>
      </c>
      <c r="AA1820" s="30" t="n">
        <v>29</v>
      </c>
      <c r="AB1820" s="30" t="str">
        <f aca="false">IF(Z1820&lt;判定条件!$C$6,"判定不能",IF(AA1820&gt;=判定条件!$C$7*Z1820,"運転",IF(AA1820&lt;=判定条件!$C$8*Z1820,"停止","断続")))</f>
        <v>断続</v>
      </c>
      <c r="AC1820" s="30" t="n">
        <v>60</v>
      </c>
      <c r="AD1820" s="30" t="n">
        <v>41</v>
      </c>
      <c r="AE1820" s="30" t="str">
        <f aca="false">IF(AC1820&lt;判定条件!$C$6,"判定不能",IF(AD1820&gt;=判定条件!$C$7*AC1820,"運転",IF(AD1820&lt;=判定条件!$C$8*AC1820,"停止","断続")))</f>
        <v>断続</v>
      </c>
      <c r="AF1820" s="30" t="n">
        <v>60</v>
      </c>
      <c r="AG1820" s="30" t="n">
        <v>0</v>
      </c>
      <c r="AH1820" s="30" t="str">
        <f aca="false">IF(OR(P1820="判定不能",G1820="判定不能"),"判定不能",IF(AG1820&gt;=判定条件!$C$9,"利用可",IF(AND(P1820="停止",G1820="停止"),"両方停止","運転がそろわない")))</f>
        <v>両方停止</v>
      </c>
      <c r="AI1820" s="30" t="n">
        <v>60</v>
      </c>
      <c r="AJ1820" s="30" t="n">
        <v>0</v>
      </c>
      <c r="AK1820" s="30" t="str">
        <f aca="false">IF(OR(S1820="判定不能",J1820="判定不能"),"判定不能",IF(AJ1820&gt;=判定条件!$C$9,"利用可",IF(AND(S1820="停止",J1820="停止"),"両方停止","運転がそろわない")))</f>
        <v>運転がそろわない</v>
      </c>
      <c r="AL1820" s="30" t="n">
        <v>60</v>
      </c>
      <c r="AM1820" s="30" t="n">
        <v>0</v>
      </c>
      <c r="AN1820" s="30" t="str">
        <f aca="false">IF(OR(V1820="判定不能",M1820="判定不能"),"判定不能",IF(AM1820&gt;=判定条件!$C$9,"利用可",IF(AND(V1820="停止",M1820="停止"),"両方停止","運転がそろわない")))</f>
        <v>両方停止</v>
      </c>
      <c r="AO1820" s="30" t="n">
        <v>60</v>
      </c>
      <c r="AP1820" s="30" t="n">
        <v>0</v>
      </c>
      <c r="AQ1820" s="30" t="str">
        <f aca="false">IF(OR(Y1820="判定不能",G1820="判定不能"),"判定不能",IF(AP1820&gt;=判定条件!$C$9,"利用可",IF(AND(Y1820="停止",G1820="停止"),"両方停止","運転がそろわない")))</f>
        <v>両方停止</v>
      </c>
      <c r="AR1820" s="30" t="n">
        <v>60</v>
      </c>
      <c r="AS1820" s="30" t="n">
        <v>0</v>
      </c>
      <c r="AT1820" s="30" t="str">
        <f aca="false">IF(OR(AB1820="判定不能",J1820="判定不能"),"判定不能",IF(AS1820&gt;=判定条件!$C$9,"利用可",IF(AND(AB1820="停止",J1820="停止"),"両方停止","運転がそろわない")))</f>
        <v>運転がそろわない</v>
      </c>
      <c r="AU1820" s="30" t="n">
        <v>60</v>
      </c>
      <c r="AV1820" s="30" t="n">
        <v>10</v>
      </c>
      <c r="AW1820" s="30" t="str">
        <f aca="false">IF(OR(AE1820="判定不能",M1820="判定不能"),"判定不能",IF(AV1820&gt;=判定条件!$C$9,"利用可",IF(AND(AE1820="停止",M1820="停止"),"両方停止","運転がそろわない")))</f>
        <v>運転がそろわない</v>
      </c>
      <c r="AX1820" s="30" t="str">
        <f aca="false">IF(AND(AH1820="利用可",AK1820="利用可",AN1820="利用可"),"利用可","不可")</f>
        <v>不可</v>
      </c>
      <c r="AY1820" s="30" t="str">
        <f aca="false">IF(AND(AQ1820="利用可",AT1820="利用可",AW1820="利用可"),"利用可","不可")</f>
        <v>不可</v>
      </c>
    </row>
    <row r="1821" customFormat="false" ht="15" hidden="false" customHeight="false" outlineLevel="0" collapsed="false">
      <c r="A1821" s="29" t="n">
        <v>46307</v>
      </c>
      <c r="B1821" s="30" t="n">
        <v>18</v>
      </c>
      <c r="C1821" s="31" t="s">
        <v>66</v>
      </c>
      <c r="D1821" s="31" t="s">
        <v>101</v>
      </c>
      <c r="E1821" s="30" t="n">
        <v>60</v>
      </c>
      <c r="F1821" s="30" t="n">
        <v>24</v>
      </c>
      <c r="G1821" s="30" t="str">
        <f aca="false">IF(E1821&lt;判定条件!$C$6,"判定不能",IF(F1821&gt;=判定条件!$C$7*E1821,"運転",IF(F1821&lt;=判定条件!$C$8*E1821,"停止","断続")))</f>
        <v>断続</v>
      </c>
      <c r="H1821" s="30" t="n">
        <v>60</v>
      </c>
      <c r="I1821" s="30" t="n">
        <v>22</v>
      </c>
      <c r="J1821" s="30" t="str">
        <f aca="false">IF(H1821&lt;判定条件!$C$6,"判定不能",IF(I1821&gt;=判定条件!$C$7*H1821,"運転",IF(I1821&lt;=判定条件!$C$8*H1821,"停止","断続")))</f>
        <v>断続</v>
      </c>
      <c r="K1821" s="30" t="n">
        <v>60</v>
      </c>
      <c r="L1821" s="30" t="n">
        <v>0</v>
      </c>
      <c r="M1821" s="30" t="str">
        <f aca="false">IF(K1821&lt;判定条件!$C$6,"判定不能",IF(L1821&gt;=判定条件!$C$7*K1821,"運転",IF(L1821&lt;=判定条件!$C$8*K1821,"停止","断続")))</f>
        <v>停止</v>
      </c>
      <c r="N1821" s="30" t="n">
        <v>60</v>
      </c>
      <c r="O1821" s="30" t="n">
        <v>0</v>
      </c>
      <c r="P1821" s="30" t="str">
        <f aca="false">IF(N1821&lt;判定条件!$C$6,"判定不能",IF(O1821&gt;=判定条件!$C$7*N1821,"運転",IF(O1821&lt;=判定条件!$C$8*N1821,"停止","断続")))</f>
        <v>停止</v>
      </c>
      <c r="Q1821" s="30" t="n">
        <v>60</v>
      </c>
      <c r="R1821" s="30" t="n">
        <v>0</v>
      </c>
      <c r="S1821" s="30" t="str">
        <f aca="false">IF(Q1821&lt;判定条件!$C$6,"判定不能",IF(R1821&gt;=判定条件!$C$7*Q1821,"運転",IF(R1821&lt;=判定条件!$C$8*Q1821,"停止","断続")))</f>
        <v>停止</v>
      </c>
      <c r="T1821" s="30" t="n">
        <v>60</v>
      </c>
      <c r="U1821" s="30" t="n">
        <v>0</v>
      </c>
      <c r="V1821" s="30" t="str">
        <f aca="false">IF(T1821&lt;判定条件!$C$6,"判定不能",IF(U1821&gt;=判定条件!$C$7*T1821,"運転",IF(U1821&lt;=判定条件!$C$8*T1821,"停止","断続")))</f>
        <v>停止</v>
      </c>
      <c r="W1821" s="30" t="n">
        <v>60</v>
      </c>
      <c r="X1821" s="30" t="n">
        <v>0</v>
      </c>
      <c r="Y1821" s="30" t="str">
        <f aca="false">IF(W1821&lt;判定条件!$C$6,"判定不能",IF(X1821&gt;=判定条件!$C$7*W1821,"運転",IF(X1821&lt;=判定条件!$C$8*W1821,"停止","断続")))</f>
        <v>停止</v>
      </c>
      <c r="Z1821" s="30" t="n">
        <v>60</v>
      </c>
      <c r="AA1821" s="30" t="n">
        <v>27</v>
      </c>
      <c r="AB1821" s="30" t="str">
        <f aca="false">IF(Z1821&lt;判定条件!$C$6,"判定不能",IF(AA1821&gt;=判定条件!$C$7*Z1821,"運転",IF(AA1821&lt;=判定条件!$C$8*Z1821,"停止","断続")))</f>
        <v>断続</v>
      </c>
      <c r="AC1821" s="30" t="n">
        <v>60</v>
      </c>
      <c r="AD1821" s="30" t="n">
        <v>32</v>
      </c>
      <c r="AE1821" s="30" t="str">
        <f aca="false">IF(AC1821&lt;判定条件!$C$6,"判定不能",IF(AD1821&gt;=判定条件!$C$7*AC1821,"運転",IF(AD1821&lt;=判定条件!$C$8*AC1821,"停止","断続")))</f>
        <v>断続</v>
      </c>
      <c r="AF1821" s="30" t="n">
        <v>60</v>
      </c>
      <c r="AG1821" s="30" t="n">
        <v>0</v>
      </c>
      <c r="AH1821" s="30" t="str">
        <f aca="false">IF(OR(P1821="判定不能",G1821="判定不能"),"判定不能",IF(AG1821&gt;=判定条件!$C$9,"利用可",IF(AND(P1821="停止",G1821="停止"),"両方停止","運転がそろわない")))</f>
        <v>運転がそろわない</v>
      </c>
      <c r="AI1821" s="30" t="n">
        <v>60</v>
      </c>
      <c r="AJ1821" s="30" t="n">
        <v>0</v>
      </c>
      <c r="AK1821" s="30" t="str">
        <f aca="false">IF(OR(S1821="判定不能",J1821="判定不能"),"判定不能",IF(AJ1821&gt;=判定条件!$C$9,"利用可",IF(AND(S1821="停止",J1821="停止"),"両方停止","運転がそろわない")))</f>
        <v>運転がそろわない</v>
      </c>
      <c r="AL1821" s="30" t="n">
        <v>60</v>
      </c>
      <c r="AM1821" s="30" t="n">
        <v>0</v>
      </c>
      <c r="AN1821" s="30" t="str">
        <f aca="false">IF(OR(V1821="判定不能",M1821="判定不能"),"判定不能",IF(AM1821&gt;=判定条件!$C$9,"利用可",IF(AND(V1821="停止",M1821="停止"),"両方停止","運転がそろわない")))</f>
        <v>両方停止</v>
      </c>
      <c r="AO1821" s="30" t="n">
        <v>60</v>
      </c>
      <c r="AP1821" s="30" t="n">
        <v>0</v>
      </c>
      <c r="AQ1821" s="30" t="str">
        <f aca="false">IF(OR(Y1821="判定不能",G1821="判定不能"),"判定不能",IF(AP1821&gt;=判定条件!$C$9,"利用可",IF(AND(Y1821="停止",G1821="停止"),"両方停止","運転がそろわない")))</f>
        <v>運転がそろわない</v>
      </c>
      <c r="AR1821" s="30" t="n">
        <v>60</v>
      </c>
      <c r="AS1821" s="30" t="n">
        <v>10</v>
      </c>
      <c r="AT1821" s="30" t="str">
        <f aca="false">IF(OR(AB1821="判定不能",J1821="判定不能"),"判定不能",IF(AS1821&gt;=判定条件!$C$9,"利用可",IF(AND(AB1821="停止",J1821="停止"),"両方停止","運転がそろわない")))</f>
        <v>運転がそろわない</v>
      </c>
      <c r="AU1821" s="30" t="n">
        <v>60</v>
      </c>
      <c r="AV1821" s="30" t="n">
        <v>0</v>
      </c>
      <c r="AW1821" s="30" t="str">
        <f aca="false">IF(OR(AE1821="判定不能",M1821="判定不能"),"判定不能",IF(AV1821&gt;=判定条件!$C$9,"利用可",IF(AND(AE1821="停止",M1821="停止"),"両方停止","運転がそろわない")))</f>
        <v>運転がそろわない</v>
      </c>
      <c r="AX1821" s="30" t="str">
        <f aca="false">IF(AND(AH1821="利用可",AK1821="利用可",AN1821="利用可"),"利用可","不可")</f>
        <v>不可</v>
      </c>
      <c r="AY1821" s="30" t="str">
        <f aca="false">IF(AND(AQ1821="利用可",AT1821="利用可",AW1821="利用可"),"利用可","不可")</f>
        <v>不可</v>
      </c>
    </row>
    <row r="1822" customFormat="false" ht="15" hidden="false" customHeight="false" outlineLevel="0" collapsed="false">
      <c r="A1822" s="29" t="n">
        <v>46307</v>
      </c>
      <c r="B1822" s="30" t="n">
        <v>19</v>
      </c>
      <c r="C1822" s="31" t="s">
        <v>66</v>
      </c>
      <c r="D1822" s="31" t="s">
        <v>101</v>
      </c>
      <c r="E1822" s="30" t="n">
        <v>60</v>
      </c>
      <c r="F1822" s="30" t="n">
        <v>8</v>
      </c>
      <c r="G1822" s="30" t="str">
        <f aca="false">IF(E1822&lt;判定条件!$C$6,"判定不能",IF(F1822&gt;=判定条件!$C$7*E1822,"運転",IF(F1822&lt;=判定条件!$C$8*E1822,"停止","断続")))</f>
        <v>停止</v>
      </c>
      <c r="H1822" s="30" t="n">
        <v>60</v>
      </c>
      <c r="I1822" s="30" t="n">
        <v>0</v>
      </c>
      <c r="J1822" s="30" t="str">
        <f aca="false">IF(H1822&lt;判定条件!$C$6,"判定不能",IF(I1822&gt;=判定条件!$C$7*H1822,"運転",IF(I1822&lt;=判定条件!$C$8*H1822,"停止","断続")))</f>
        <v>停止</v>
      </c>
      <c r="K1822" s="30" t="n">
        <v>60</v>
      </c>
      <c r="L1822" s="30" t="n">
        <v>0</v>
      </c>
      <c r="M1822" s="30" t="str">
        <f aca="false">IF(K1822&lt;判定条件!$C$6,"判定不能",IF(L1822&gt;=判定条件!$C$7*K1822,"運転",IF(L1822&lt;=判定条件!$C$8*K1822,"停止","断続")))</f>
        <v>停止</v>
      </c>
      <c r="N1822" s="30" t="n">
        <v>60</v>
      </c>
      <c r="O1822" s="30" t="n">
        <v>0</v>
      </c>
      <c r="P1822" s="30" t="str">
        <f aca="false">IF(N1822&lt;判定条件!$C$6,"判定不能",IF(O1822&gt;=判定条件!$C$7*N1822,"運転",IF(O1822&lt;=判定条件!$C$8*N1822,"停止","断続")))</f>
        <v>停止</v>
      </c>
      <c r="Q1822" s="30" t="n">
        <v>60</v>
      </c>
      <c r="R1822" s="30" t="n">
        <v>0</v>
      </c>
      <c r="S1822" s="30" t="str">
        <f aca="false">IF(Q1822&lt;判定条件!$C$6,"判定不能",IF(R1822&gt;=判定条件!$C$7*Q1822,"運転",IF(R1822&lt;=判定条件!$C$8*Q1822,"停止","断続")))</f>
        <v>停止</v>
      </c>
      <c r="T1822" s="30" t="n">
        <v>60</v>
      </c>
      <c r="U1822" s="30" t="n">
        <v>0</v>
      </c>
      <c r="V1822" s="30" t="str">
        <f aca="false">IF(T1822&lt;判定条件!$C$6,"判定不能",IF(U1822&gt;=判定条件!$C$7*T1822,"運転",IF(U1822&lt;=判定条件!$C$8*T1822,"停止","断続")))</f>
        <v>停止</v>
      </c>
      <c r="W1822" s="30" t="n">
        <v>60</v>
      </c>
      <c r="X1822" s="30" t="n">
        <v>0</v>
      </c>
      <c r="Y1822" s="30" t="str">
        <f aca="false">IF(W1822&lt;判定条件!$C$6,"判定不能",IF(X1822&gt;=判定条件!$C$7*W1822,"運転",IF(X1822&lt;=判定条件!$C$8*W1822,"停止","断続")))</f>
        <v>停止</v>
      </c>
      <c r="Z1822" s="30" t="n">
        <v>60</v>
      </c>
      <c r="AA1822" s="30" t="n">
        <v>0</v>
      </c>
      <c r="AB1822" s="30" t="str">
        <f aca="false">IF(Z1822&lt;判定条件!$C$6,"判定不能",IF(AA1822&gt;=判定条件!$C$7*Z1822,"運転",IF(AA1822&lt;=判定条件!$C$8*Z1822,"停止","断続")))</f>
        <v>停止</v>
      </c>
      <c r="AC1822" s="30" t="n">
        <v>60</v>
      </c>
      <c r="AD1822" s="30" t="n">
        <v>1</v>
      </c>
      <c r="AE1822" s="30" t="str">
        <f aca="false">IF(AC1822&lt;判定条件!$C$6,"判定不能",IF(AD1822&gt;=判定条件!$C$7*AC1822,"運転",IF(AD1822&lt;=判定条件!$C$8*AC1822,"停止","断続")))</f>
        <v>停止</v>
      </c>
      <c r="AF1822" s="30" t="n">
        <v>60</v>
      </c>
      <c r="AG1822" s="30" t="n">
        <v>0</v>
      </c>
      <c r="AH1822" s="30" t="str">
        <f aca="false">IF(OR(P1822="判定不能",G1822="判定不能"),"判定不能",IF(AG1822&gt;=判定条件!$C$9,"利用可",IF(AND(P1822="停止",G1822="停止"),"両方停止","運転がそろわない")))</f>
        <v>両方停止</v>
      </c>
      <c r="AI1822" s="30" t="n">
        <v>60</v>
      </c>
      <c r="AJ1822" s="30" t="n">
        <v>0</v>
      </c>
      <c r="AK1822" s="30" t="str">
        <f aca="false">IF(OR(S1822="判定不能",J1822="判定不能"),"判定不能",IF(AJ1822&gt;=判定条件!$C$9,"利用可",IF(AND(S1822="停止",J1822="停止"),"両方停止","運転がそろわない")))</f>
        <v>両方停止</v>
      </c>
      <c r="AL1822" s="30" t="n">
        <v>60</v>
      </c>
      <c r="AM1822" s="30" t="n">
        <v>0</v>
      </c>
      <c r="AN1822" s="30" t="str">
        <f aca="false">IF(OR(V1822="判定不能",M1822="判定不能"),"判定不能",IF(AM1822&gt;=判定条件!$C$9,"利用可",IF(AND(V1822="停止",M1822="停止"),"両方停止","運転がそろわない")))</f>
        <v>両方停止</v>
      </c>
      <c r="AO1822" s="30" t="n">
        <v>60</v>
      </c>
      <c r="AP1822" s="30" t="n">
        <v>0</v>
      </c>
      <c r="AQ1822" s="30" t="str">
        <f aca="false">IF(OR(Y1822="判定不能",G1822="判定不能"),"判定不能",IF(AP1822&gt;=判定条件!$C$9,"利用可",IF(AND(Y1822="停止",G1822="停止"),"両方停止","運転がそろわない")))</f>
        <v>両方停止</v>
      </c>
      <c r="AR1822" s="30" t="n">
        <v>60</v>
      </c>
      <c r="AS1822" s="30" t="n">
        <v>0</v>
      </c>
      <c r="AT1822" s="30" t="str">
        <f aca="false">IF(OR(AB1822="判定不能",J1822="判定不能"),"判定不能",IF(AS1822&gt;=判定条件!$C$9,"利用可",IF(AND(AB1822="停止",J1822="停止"),"両方停止","運転がそろわない")))</f>
        <v>両方停止</v>
      </c>
      <c r="AU1822" s="30" t="n">
        <v>60</v>
      </c>
      <c r="AV1822" s="30" t="n">
        <v>0</v>
      </c>
      <c r="AW1822" s="30" t="str">
        <f aca="false">IF(OR(AE1822="判定不能",M1822="判定不能"),"判定不能",IF(AV1822&gt;=判定条件!$C$9,"利用可",IF(AND(AE1822="停止",M1822="停止"),"両方停止","運転がそろわない")))</f>
        <v>両方停止</v>
      </c>
      <c r="AX1822" s="30" t="str">
        <f aca="false">IF(AND(AH1822="利用可",AK1822="利用可",AN1822="利用可"),"利用可","不可")</f>
        <v>不可</v>
      </c>
      <c r="AY1822" s="30" t="str">
        <f aca="false">IF(AND(AQ1822="利用可",AT1822="利用可",AW1822="利用可"),"利用可","不可")</f>
        <v>不可</v>
      </c>
    </row>
    <row r="1823" customFormat="false" ht="15" hidden="false" customHeight="false" outlineLevel="0" collapsed="false">
      <c r="A1823" s="29" t="n">
        <v>46307</v>
      </c>
      <c r="B1823" s="30" t="n">
        <v>20</v>
      </c>
      <c r="C1823" s="31" t="s">
        <v>66</v>
      </c>
      <c r="D1823" s="31" t="s">
        <v>101</v>
      </c>
      <c r="E1823" s="30" t="n">
        <v>60</v>
      </c>
      <c r="F1823" s="30" t="n">
        <v>8</v>
      </c>
      <c r="G1823" s="30" t="str">
        <f aca="false">IF(E1823&lt;判定条件!$C$6,"判定不能",IF(F1823&gt;=判定条件!$C$7*E1823,"運転",IF(F1823&lt;=判定条件!$C$8*E1823,"停止","断続")))</f>
        <v>停止</v>
      </c>
      <c r="H1823" s="30" t="n">
        <v>60</v>
      </c>
      <c r="I1823" s="30" t="n">
        <v>10</v>
      </c>
      <c r="J1823" s="30" t="str">
        <f aca="false">IF(H1823&lt;判定条件!$C$6,"判定不能",IF(I1823&gt;=判定条件!$C$7*H1823,"運転",IF(I1823&lt;=判定条件!$C$8*H1823,"停止","断続")))</f>
        <v>停止</v>
      </c>
      <c r="K1823" s="30" t="n">
        <v>60</v>
      </c>
      <c r="L1823" s="30" t="n">
        <v>0</v>
      </c>
      <c r="M1823" s="30" t="str">
        <f aca="false">IF(K1823&lt;判定条件!$C$6,"判定不能",IF(L1823&gt;=判定条件!$C$7*K1823,"運転",IF(L1823&lt;=判定条件!$C$8*K1823,"停止","断続")))</f>
        <v>停止</v>
      </c>
      <c r="N1823" s="30" t="n">
        <v>60</v>
      </c>
      <c r="O1823" s="30" t="n">
        <v>0</v>
      </c>
      <c r="P1823" s="30" t="str">
        <f aca="false">IF(N1823&lt;判定条件!$C$6,"判定不能",IF(O1823&gt;=判定条件!$C$7*N1823,"運転",IF(O1823&lt;=判定条件!$C$8*N1823,"停止","断続")))</f>
        <v>停止</v>
      </c>
      <c r="Q1823" s="30" t="n">
        <v>60</v>
      </c>
      <c r="R1823" s="30" t="n">
        <v>0</v>
      </c>
      <c r="S1823" s="30" t="str">
        <f aca="false">IF(Q1823&lt;判定条件!$C$6,"判定不能",IF(R1823&gt;=判定条件!$C$7*Q1823,"運転",IF(R1823&lt;=判定条件!$C$8*Q1823,"停止","断続")))</f>
        <v>停止</v>
      </c>
      <c r="T1823" s="30" t="n">
        <v>60</v>
      </c>
      <c r="U1823" s="30" t="n">
        <v>0</v>
      </c>
      <c r="V1823" s="30" t="str">
        <f aca="false">IF(T1823&lt;判定条件!$C$6,"判定不能",IF(U1823&gt;=判定条件!$C$7*T1823,"運転",IF(U1823&lt;=判定条件!$C$8*T1823,"停止","断続")))</f>
        <v>停止</v>
      </c>
      <c r="W1823" s="30" t="n">
        <v>60</v>
      </c>
      <c r="X1823" s="30" t="n">
        <v>0</v>
      </c>
      <c r="Y1823" s="30" t="str">
        <f aca="false">IF(W1823&lt;判定条件!$C$6,"判定不能",IF(X1823&gt;=判定条件!$C$7*W1823,"運転",IF(X1823&lt;=判定条件!$C$8*W1823,"停止","断続")))</f>
        <v>停止</v>
      </c>
      <c r="Z1823" s="30" t="n">
        <v>60</v>
      </c>
      <c r="AA1823" s="30" t="n">
        <v>0</v>
      </c>
      <c r="AB1823" s="30" t="str">
        <f aca="false">IF(Z1823&lt;判定条件!$C$6,"判定不能",IF(AA1823&gt;=判定条件!$C$7*Z1823,"運転",IF(AA1823&lt;=判定条件!$C$8*Z1823,"停止","断続")))</f>
        <v>停止</v>
      </c>
      <c r="AC1823" s="30" t="n">
        <v>60</v>
      </c>
      <c r="AD1823" s="30" t="n">
        <v>0</v>
      </c>
      <c r="AE1823" s="30" t="str">
        <f aca="false">IF(AC1823&lt;判定条件!$C$6,"判定不能",IF(AD1823&gt;=判定条件!$C$7*AC1823,"運転",IF(AD1823&lt;=判定条件!$C$8*AC1823,"停止","断続")))</f>
        <v>停止</v>
      </c>
      <c r="AF1823" s="30" t="n">
        <v>60</v>
      </c>
      <c r="AG1823" s="30" t="n">
        <v>0</v>
      </c>
      <c r="AH1823" s="30" t="str">
        <f aca="false">IF(OR(P1823="判定不能",G1823="判定不能"),"判定不能",IF(AG1823&gt;=判定条件!$C$9,"利用可",IF(AND(P1823="停止",G1823="停止"),"両方停止","運転がそろわない")))</f>
        <v>両方停止</v>
      </c>
      <c r="AI1823" s="30" t="n">
        <v>60</v>
      </c>
      <c r="AJ1823" s="30" t="n">
        <v>0</v>
      </c>
      <c r="AK1823" s="30" t="str">
        <f aca="false">IF(OR(S1823="判定不能",J1823="判定不能"),"判定不能",IF(AJ1823&gt;=判定条件!$C$9,"利用可",IF(AND(S1823="停止",J1823="停止"),"両方停止","運転がそろわない")))</f>
        <v>両方停止</v>
      </c>
      <c r="AL1823" s="30" t="n">
        <v>60</v>
      </c>
      <c r="AM1823" s="30" t="n">
        <v>0</v>
      </c>
      <c r="AN1823" s="30" t="str">
        <f aca="false">IF(OR(V1823="判定不能",M1823="判定不能"),"判定不能",IF(AM1823&gt;=判定条件!$C$9,"利用可",IF(AND(V1823="停止",M1823="停止"),"両方停止","運転がそろわない")))</f>
        <v>両方停止</v>
      </c>
      <c r="AO1823" s="30" t="n">
        <v>60</v>
      </c>
      <c r="AP1823" s="30" t="n">
        <v>0</v>
      </c>
      <c r="AQ1823" s="30" t="str">
        <f aca="false">IF(OR(Y1823="判定不能",G1823="判定不能"),"判定不能",IF(AP1823&gt;=判定条件!$C$9,"利用可",IF(AND(Y1823="停止",G1823="停止"),"両方停止","運転がそろわない")))</f>
        <v>両方停止</v>
      </c>
      <c r="AR1823" s="30" t="n">
        <v>60</v>
      </c>
      <c r="AS1823" s="30" t="n">
        <v>0</v>
      </c>
      <c r="AT1823" s="30" t="str">
        <f aca="false">IF(OR(AB1823="判定不能",J1823="判定不能"),"判定不能",IF(AS1823&gt;=判定条件!$C$9,"利用可",IF(AND(AB1823="停止",J1823="停止"),"両方停止","運転がそろわない")))</f>
        <v>両方停止</v>
      </c>
      <c r="AU1823" s="30" t="n">
        <v>60</v>
      </c>
      <c r="AV1823" s="30" t="n">
        <v>0</v>
      </c>
      <c r="AW1823" s="30" t="str">
        <f aca="false">IF(OR(AE1823="判定不能",M1823="判定不能"),"判定不能",IF(AV1823&gt;=判定条件!$C$9,"利用可",IF(AND(AE1823="停止",M1823="停止"),"両方停止","運転がそろわない")))</f>
        <v>両方停止</v>
      </c>
      <c r="AX1823" s="30" t="str">
        <f aca="false">IF(AND(AH1823="利用可",AK1823="利用可",AN1823="利用可"),"利用可","不可")</f>
        <v>不可</v>
      </c>
      <c r="AY1823" s="30" t="str">
        <f aca="false">IF(AND(AQ1823="利用可",AT1823="利用可",AW1823="利用可"),"利用可","不可")</f>
        <v>不可</v>
      </c>
    </row>
    <row r="1824" customFormat="false" ht="15" hidden="false" customHeight="false" outlineLevel="0" collapsed="false">
      <c r="A1824" s="29" t="n">
        <v>46307</v>
      </c>
      <c r="B1824" s="30" t="n">
        <v>21</v>
      </c>
      <c r="C1824" s="31" t="s">
        <v>66</v>
      </c>
      <c r="D1824" s="31" t="s">
        <v>101</v>
      </c>
      <c r="E1824" s="30" t="n">
        <v>60</v>
      </c>
      <c r="F1824" s="30" t="n">
        <v>0</v>
      </c>
      <c r="G1824" s="30" t="str">
        <f aca="false">IF(E1824&lt;判定条件!$C$6,"判定不能",IF(F1824&gt;=判定条件!$C$7*E1824,"運転",IF(F1824&lt;=判定条件!$C$8*E1824,"停止","断続")))</f>
        <v>停止</v>
      </c>
      <c r="H1824" s="30" t="n">
        <v>60</v>
      </c>
      <c r="I1824" s="30" t="n">
        <v>0</v>
      </c>
      <c r="J1824" s="30" t="str">
        <f aca="false">IF(H1824&lt;判定条件!$C$6,"判定不能",IF(I1824&gt;=判定条件!$C$7*H1824,"運転",IF(I1824&lt;=判定条件!$C$8*H1824,"停止","断続")))</f>
        <v>停止</v>
      </c>
      <c r="K1824" s="30" t="n">
        <v>60</v>
      </c>
      <c r="L1824" s="30" t="n">
        <v>0</v>
      </c>
      <c r="M1824" s="30" t="str">
        <f aca="false">IF(K1824&lt;判定条件!$C$6,"判定不能",IF(L1824&gt;=判定条件!$C$7*K1824,"運転",IF(L1824&lt;=判定条件!$C$8*K1824,"停止","断続")))</f>
        <v>停止</v>
      </c>
      <c r="N1824" s="30" t="n">
        <v>60</v>
      </c>
      <c r="O1824" s="30" t="n">
        <v>0</v>
      </c>
      <c r="P1824" s="30" t="str">
        <f aca="false">IF(N1824&lt;判定条件!$C$6,"判定不能",IF(O1824&gt;=判定条件!$C$7*N1824,"運転",IF(O1824&lt;=判定条件!$C$8*N1824,"停止","断続")))</f>
        <v>停止</v>
      </c>
      <c r="Q1824" s="30" t="n">
        <v>60</v>
      </c>
      <c r="R1824" s="30" t="n">
        <v>0</v>
      </c>
      <c r="S1824" s="30" t="str">
        <f aca="false">IF(Q1824&lt;判定条件!$C$6,"判定不能",IF(R1824&gt;=判定条件!$C$7*Q1824,"運転",IF(R1824&lt;=判定条件!$C$8*Q1824,"停止","断続")))</f>
        <v>停止</v>
      </c>
      <c r="T1824" s="30" t="n">
        <v>60</v>
      </c>
      <c r="U1824" s="30" t="n">
        <v>0</v>
      </c>
      <c r="V1824" s="30" t="str">
        <f aca="false">IF(T1824&lt;判定条件!$C$6,"判定不能",IF(U1824&gt;=判定条件!$C$7*T1824,"運転",IF(U1824&lt;=判定条件!$C$8*T1824,"停止","断続")))</f>
        <v>停止</v>
      </c>
      <c r="W1824" s="30" t="n">
        <v>60</v>
      </c>
      <c r="X1824" s="30" t="n">
        <v>0</v>
      </c>
      <c r="Y1824" s="30" t="str">
        <f aca="false">IF(W1824&lt;判定条件!$C$6,"判定不能",IF(X1824&gt;=判定条件!$C$7*W1824,"運転",IF(X1824&lt;=判定条件!$C$8*W1824,"停止","断続")))</f>
        <v>停止</v>
      </c>
      <c r="Z1824" s="30" t="n">
        <v>60</v>
      </c>
      <c r="AA1824" s="30" t="n">
        <v>0</v>
      </c>
      <c r="AB1824" s="30" t="str">
        <f aca="false">IF(Z1824&lt;判定条件!$C$6,"判定不能",IF(AA1824&gt;=判定条件!$C$7*Z1824,"運転",IF(AA1824&lt;=判定条件!$C$8*Z1824,"停止","断続")))</f>
        <v>停止</v>
      </c>
      <c r="AC1824" s="30" t="n">
        <v>60</v>
      </c>
      <c r="AD1824" s="30" t="n">
        <v>0</v>
      </c>
      <c r="AE1824" s="30" t="str">
        <f aca="false">IF(AC1824&lt;判定条件!$C$6,"判定不能",IF(AD1824&gt;=判定条件!$C$7*AC1824,"運転",IF(AD1824&lt;=判定条件!$C$8*AC1824,"停止","断続")))</f>
        <v>停止</v>
      </c>
      <c r="AF1824" s="30" t="n">
        <v>60</v>
      </c>
      <c r="AG1824" s="30" t="n">
        <v>0</v>
      </c>
      <c r="AH1824" s="30" t="str">
        <f aca="false">IF(OR(P1824="判定不能",G1824="判定不能"),"判定不能",IF(AG1824&gt;=判定条件!$C$9,"利用可",IF(AND(P1824="停止",G1824="停止"),"両方停止","運転がそろわない")))</f>
        <v>両方停止</v>
      </c>
      <c r="AI1824" s="30" t="n">
        <v>60</v>
      </c>
      <c r="AJ1824" s="30" t="n">
        <v>0</v>
      </c>
      <c r="AK1824" s="30" t="str">
        <f aca="false">IF(OR(S1824="判定不能",J1824="判定不能"),"判定不能",IF(AJ1824&gt;=判定条件!$C$9,"利用可",IF(AND(S1824="停止",J1824="停止"),"両方停止","運転がそろわない")))</f>
        <v>両方停止</v>
      </c>
      <c r="AL1824" s="30" t="n">
        <v>60</v>
      </c>
      <c r="AM1824" s="30" t="n">
        <v>0</v>
      </c>
      <c r="AN1824" s="30" t="str">
        <f aca="false">IF(OR(V1824="判定不能",M1824="判定不能"),"判定不能",IF(AM1824&gt;=判定条件!$C$9,"利用可",IF(AND(V1824="停止",M1824="停止"),"両方停止","運転がそろわない")))</f>
        <v>両方停止</v>
      </c>
      <c r="AO1824" s="30" t="n">
        <v>60</v>
      </c>
      <c r="AP1824" s="30" t="n">
        <v>0</v>
      </c>
      <c r="AQ1824" s="30" t="str">
        <f aca="false">IF(OR(Y1824="判定不能",G1824="判定不能"),"判定不能",IF(AP1824&gt;=判定条件!$C$9,"利用可",IF(AND(Y1824="停止",G1824="停止"),"両方停止","運転がそろわない")))</f>
        <v>両方停止</v>
      </c>
      <c r="AR1824" s="30" t="n">
        <v>60</v>
      </c>
      <c r="AS1824" s="30" t="n">
        <v>0</v>
      </c>
      <c r="AT1824" s="30" t="str">
        <f aca="false">IF(OR(AB1824="判定不能",J1824="判定不能"),"判定不能",IF(AS1824&gt;=判定条件!$C$9,"利用可",IF(AND(AB1824="停止",J1824="停止"),"両方停止","運転がそろわない")))</f>
        <v>両方停止</v>
      </c>
      <c r="AU1824" s="30" t="n">
        <v>60</v>
      </c>
      <c r="AV1824" s="30" t="n">
        <v>0</v>
      </c>
      <c r="AW1824" s="30" t="str">
        <f aca="false">IF(OR(AE1824="判定不能",M1824="判定不能"),"判定不能",IF(AV1824&gt;=判定条件!$C$9,"利用可",IF(AND(AE1824="停止",M1824="停止"),"両方停止","運転がそろわない")))</f>
        <v>両方停止</v>
      </c>
      <c r="AX1824" s="30" t="str">
        <f aca="false">IF(AND(AH1824="利用可",AK1824="利用可",AN1824="利用可"),"利用可","不可")</f>
        <v>不可</v>
      </c>
      <c r="AY1824" s="30" t="str">
        <f aca="false">IF(AND(AQ1824="利用可",AT1824="利用可",AW1824="利用可"),"利用可","不可")</f>
        <v>不可</v>
      </c>
    </row>
    <row r="1825" customFormat="false" ht="15" hidden="false" customHeight="false" outlineLevel="0" collapsed="false">
      <c r="A1825" s="29" t="n">
        <v>46307</v>
      </c>
      <c r="B1825" s="30" t="n">
        <v>22</v>
      </c>
      <c r="C1825" s="31" t="s">
        <v>66</v>
      </c>
      <c r="D1825" s="31" t="s">
        <v>101</v>
      </c>
      <c r="E1825" s="30" t="n">
        <v>60</v>
      </c>
      <c r="F1825" s="30" t="n">
        <v>0</v>
      </c>
      <c r="G1825" s="30" t="str">
        <f aca="false">IF(E1825&lt;判定条件!$C$6,"判定不能",IF(F1825&gt;=判定条件!$C$7*E1825,"運転",IF(F1825&lt;=判定条件!$C$8*E1825,"停止","断続")))</f>
        <v>停止</v>
      </c>
      <c r="H1825" s="30" t="n">
        <v>60</v>
      </c>
      <c r="I1825" s="30" t="n">
        <v>0</v>
      </c>
      <c r="J1825" s="30" t="str">
        <f aca="false">IF(H1825&lt;判定条件!$C$6,"判定不能",IF(I1825&gt;=判定条件!$C$7*H1825,"運転",IF(I1825&lt;=判定条件!$C$8*H1825,"停止","断続")))</f>
        <v>停止</v>
      </c>
      <c r="K1825" s="30" t="n">
        <v>60</v>
      </c>
      <c r="L1825" s="30" t="n">
        <v>0</v>
      </c>
      <c r="M1825" s="30" t="str">
        <f aca="false">IF(K1825&lt;判定条件!$C$6,"判定不能",IF(L1825&gt;=判定条件!$C$7*K1825,"運転",IF(L1825&lt;=判定条件!$C$8*K1825,"停止","断続")))</f>
        <v>停止</v>
      </c>
      <c r="N1825" s="30" t="n">
        <v>60</v>
      </c>
      <c r="O1825" s="30" t="n">
        <v>0</v>
      </c>
      <c r="P1825" s="30" t="str">
        <f aca="false">IF(N1825&lt;判定条件!$C$6,"判定不能",IF(O1825&gt;=判定条件!$C$7*N1825,"運転",IF(O1825&lt;=判定条件!$C$8*N1825,"停止","断続")))</f>
        <v>停止</v>
      </c>
      <c r="Q1825" s="30" t="n">
        <v>60</v>
      </c>
      <c r="R1825" s="30" t="n">
        <v>0</v>
      </c>
      <c r="S1825" s="30" t="str">
        <f aca="false">IF(Q1825&lt;判定条件!$C$6,"判定不能",IF(R1825&gt;=判定条件!$C$7*Q1825,"運転",IF(R1825&lt;=判定条件!$C$8*Q1825,"停止","断続")))</f>
        <v>停止</v>
      </c>
      <c r="T1825" s="30" t="n">
        <v>60</v>
      </c>
      <c r="U1825" s="30" t="n">
        <v>0</v>
      </c>
      <c r="V1825" s="30" t="str">
        <f aca="false">IF(T1825&lt;判定条件!$C$6,"判定不能",IF(U1825&gt;=判定条件!$C$7*T1825,"運転",IF(U1825&lt;=判定条件!$C$8*T1825,"停止","断続")))</f>
        <v>停止</v>
      </c>
      <c r="W1825" s="30" t="n">
        <v>60</v>
      </c>
      <c r="X1825" s="30" t="n">
        <v>0</v>
      </c>
      <c r="Y1825" s="30" t="str">
        <f aca="false">IF(W1825&lt;判定条件!$C$6,"判定不能",IF(X1825&gt;=判定条件!$C$7*W1825,"運転",IF(X1825&lt;=判定条件!$C$8*W1825,"停止","断続")))</f>
        <v>停止</v>
      </c>
      <c r="Z1825" s="30" t="n">
        <v>60</v>
      </c>
      <c r="AA1825" s="30" t="n">
        <v>0</v>
      </c>
      <c r="AB1825" s="30" t="str">
        <f aca="false">IF(Z1825&lt;判定条件!$C$6,"判定不能",IF(AA1825&gt;=判定条件!$C$7*Z1825,"運転",IF(AA1825&lt;=判定条件!$C$8*Z1825,"停止","断続")))</f>
        <v>停止</v>
      </c>
      <c r="AC1825" s="30" t="n">
        <v>60</v>
      </c>
      <c r="AD1825" s="30" t="n">
        <v>0</v>
      </c>
      <c r="AE1825" s="30" t="str">
        <f aca="false">IF(AC1825&lt;判定条件!$C$6,"判定不能",IF(AD1825&gt;=判定条件!$C$7*AC1825,"運転",IF(AD1825&lt;=判定条件!$C$8*AC1825,"停止","断続")))</f>
        <v>停止</v>
      </c>
      <c r="AF1825" s="30" t="n">
        <v>60</v>
      </c>
      <c r="AG1825" s="30" t="n">
        <v>0</v>
      </c>
      <c r="AH1825" s="30" t="str">
        <f aca="false">IF(OR(P1825="判定不能",G1825="判定不能"),"判定不能",IF(AG1825&gt;=判定条件!$C$9,"利用可",IF(AND(P1825="停止",G1825="停止"),"両方停止","運転がそろわない")))</f>
        <v>両方停止</v>
      </c>
      <c r="AI1825" s="30" t="n">
        <v>60</v>
      </c>
      <c r="AJ1825" s="30" t="n">
        <v>0</v>
      </c>
      <c r="AK1825" s="30" t="str">
        <f aca="false">IF(OR(S1825="判定不能",J1825="判定不能"),"判定不能",IF(AJ1825&gt;=判定条件!$C$9,"利用可",IF(AND(S1825="停止",J1825="停止"),"両方停止","運転がそろわない")))</f>
        <v>両方停止</v>
      </c>
      <c r="AL1825" s="30" t="n">
        <v>60</v>
      </c>
      <c r="AM1825" s="30" t="n">
        <v>0</v>
      </c>
      <c r="AN1825" s="30" t="str">
        <f aca="false">IF(OR(V1825="判定不能",M1825="判定不能"),"判定不能",IF(AM1825&gt;=判定条件!$C$9,"利用可",IF(AND(V1825="停止",M1825="停止"),"両方停止","運転がそろわない")))</f>
        <v>両方停止</v>
      </c>
      <c r="AO1825" s="30" t="n">
        <v>60</v>
      </c>
      <c r="AP1825" s="30" t="n">
        <v>0</v>
      </c>
      <c r="AQ1825" s="30" t="str">
        <f aca="false">IF(OR(Y1825="判定不能",G1825="判定不能"),"判定不能",IF(AP1825&gt;=判定条件!$C$9,"利用可",IF(AND(Y1825="停止",G1825="停止"),"両方停止","運転がそろわない")))</f>
        <v>両方停止</v>
      </c>
      <c r="AR1825" s="30" t="n">
        <v>60</v>
      </c>
      <c r="AS1825" s="30" t="n">
        <v>0</v>
      </c>
      <c r="AT1825" s="30" t="str">
        <f aca="false">IF(OR(AB1825="判定不能",J1825="判定不能"),"判定不能",IF(AS1825&gt;=判定条件!$C$9,"利用可",IF(AND(AB1825="停止",J1825="停止"),"両方停止","運転がそろわない")))</f>
        <v>両方停止</v>
      </c>
      <c r="AU1825" s="30" t="n">
        <v>60</v>
      </c>
      <c r="AV1825" s="30" t="n">
        <v>0</v>
      </c>
      <c r="AW1825" s="30" t="str">
        <f aca="false">IF(OR(AE1825="判定不能",M1825="判定不能"),"判定不能",IF(AV1825&gt;=判定条件!$C$9,"利用可",IF(AND(AE1825="停止",M1825="停止"),"両方停止","運転がそろわない")))</f>
        <v>両方停止</v>
      </c>
      <c r="AX1825" s="30" t="str">
        <f aca="false">IF(AND(AH1825="利用可",AK1825="利用可",AN1825="利用可"),"利用可","不可")</f>
        <v>不可</v>
      </c>
      <c r="AY1825" s="30" t="str">
        <f aca="false">IF(AND(AQ1825="利用可",AT1825="利用可",AW1825="利用可"),"利用可","不可")</f>
        <v>不可</v>
      </c>
    </row>
    <row r="1826" customFormat="false" ht="15" hidden="false" customHeight="false" outlineLevel="0" collapsed="false">
      <c r="A1826" s="29" t="n">
        <v>46307</v>
      </c>
      <c r="B1826" s="30" t="n">
        <v>23</v>
      </c>
      <c r="C1826" s="31" t="s">
        <v>66</v>
      </c>
      <c r="D1826" s="31" t="s">
        <v>101</v>
      </c>
      <c r="E1826" s="30" t="n">
        <v>60</v>
      </c>
      <c r="F1826" s="30" t="n">
        <v>0</v>
      </c>
      <c r="G1826" s="30" t="str">
        <f aca="false">IF(E1826&lt;判定条件!$C$6,"判定不能",IF(F1826&gt;=判定条件!$C$7*E1826,"運転",IF(F1826&lt;=判定条件!$C$8*E1826,"停止","断続")))</f>
        <v>停止</v>
      </c>
      <c r="H1826" s="30" t="n">
        <v>60</v>
      </c>
      <c r="I1826" s="30" t="n">
        <v>12</v>
      </c>
      <c r="J1826" s="30" t="str">
        <f aca="false">IF(H1826&lt;判定条件!$C$6,"判定不能",IF(I1826&gt;=判定条件!$C$7*H1826,"運転",IF(I1826&lt;=判定条件!$C$8*H1826,"停止","断続")))</f>
        <v>停止</v>
      </c>
      <c r="K1826" s="30" t="n">
        <v>60</v>
      </c>
      <c r="L1826" s="30" t="n">
        <v>15</v>
      </c>
      <c r="M1826" s="30" t="str">
        <f aca="false">IF(K1826&lt;判定条件!$C$6,"判定不能",IF(L1826&gt;=判定条件!$C$7*K1826,"運転",IF(L1826&lt;=判定条件!$C$8*K1826,"停止","断続")))</f>
        <v>断続</v>
      </c>
      <c r="N1826" s="30" t="n">
        <v>60</v>
      </c>
      <c r="O1826" s="30" t="n">
        <v>0</v>
      </c>
      <c r="P1826" s="30" t="str">
        <f aca="false">IF(N1826&lt;判定条件!$C$6,"判定不能",IF(O1826&gt;=判定条件!$C$7*N1826,"運転",IF(O1826&lt;=判定条件!$C$8*N1826,"停止","断続")))</f>
        <v>停止</v>
      </c>
      <c r="Q1826" s="30" t="n">
        <v>60</v>
      </c>
      <c r="R1826" s="30" t="n">
        <v>0</v>
      </c>
      <c r="S1826" s="30" t="str">
        <f aca="false">IF(Q1826&lt;判定条件!$C$6,"判定不能",IF(R1826&gt;=判定条件!$C$7*Q1826,"運転",IF(R1826&lt;=判定条件!$C$8*Q1826,"停止","断続")))</f>
        <v>停止</v>
      </c>
      <c r="T1826" s="30" t="n">
        <v>60</v>
      </c>
      <c r="U1826" s="30" t="n">
        <v>0</v>
      </c>
      <c r="V1826" s="30" t="str">
        <f aca="false">IF(T1826&lt;判定条件!$C$6,"判定不能",IF(U1826&gt;=判定条件!$C$7*T1826,"運転",IF(U1826&lt;=判定条件!$C$8*T1826,"停止","断続")))</f>
        <v>停止</v>
      </c>
      <c r="W1826" s="30" t="n">
        <v>60</v>
      </c>
      <c r="X1826" s="30" t="n">
        <v>0</v>
      </c>
      <c r="Y1826" s="30" t="str">
        <f aca="false">IF(W1826&lt;判定条件!$C$6,"判定不能",IF(X1826&gt;=判定条件!$C$7*W1826,"運転",IF(X1826&lt;=判定条件!$C$8*W1826,"停止","断続")))</f>
        <v>停止</v>
      </c>
      <c r="Z1826" s="30" t="n">
        <v>60</v>
      </c>
      <c r="AA1826" s="30" t="n">
        <v>0</v>
      </c>
      <c r="AB1826" s="30" t="str">
        <f aca="false">IF(Z1826&lt;判定条件!$C$6,"判定不能",IF(AA1826&gt;=判定条件!$C$7*Z1826,"運転",IF(AA1826&lt;=判定条件!$C$8*Z1826,"停止","断続")))</f>
        <v>停止</v>
      </c>
      <c r="AC1826" s="30" t="n">
        <v>60</v>
      </c>
      <c r="AD1826" s="30" t="n">
        <v>0</v>
      </c>
      <c r="AE1826" s="30" t="str">
        <f aca="false">IF(AC1826&lt;判定条件!$C$6,"判定不能",IF(AD1826&gt;=判定条件!$C$7*AC1826,"運転",IF(AD1826&lt;=判定条件!$C$8*AC1826,"停止","断続")))</f>
        <v>停止</v>
      </c>
      <c r="AF1826" s="30" t="n">
        <v>60</v>
      </c>
      <c r="AG1826" s="30" t="n">
        <v>0</v>
      </c>
      <c r="AH1826" s="30" t="str">
        <f aca="false">IF(OR(P1826="判定不能",G1826="判定不能"),"判定不能",IF(AG1826&gt;=判定条件!$C$9,"利用可",IF(AND(P1826="停止",G1826="停止"),"両方停止","運転がそろわない")))</f>
        <v>両方停止</v>
      </c>
      <c r="AI1826" s="30" t="n">
        <v>60</v>
      </c>
      <c r="AJ1826" s="30" t="n">
        <v>0</v>
      </c>
      <c r="AK1826" s="30" t="str">
        <f aca="false">IF(OR(S1826="判定不能",J1826="判定不能"),"判定不能",IF(AJ1826&gt;=判定条件!$C$9,"利用可",IF(AND(S1826="停止",J1826="停止"),"両方停止","運転がそろわない")))</f>
        <v>両方停止</v>
      </c>
      <c r="AL1826" s="30" t="n">
        <v>60</v>
      </c>
      <c r="AM1826" s="30" t="n">
        <v>0</v>
      </c>
      <c r="AN1826" s="30" t="str">
        <f aca="false">IF(OR(V1826="判定不能",M1826="判定不能"),"判定不能",IF(AM1826&gt;=判定条件!$C$9,"利用可",IF(AND(V1826="停止",M1826="停止"),"両方停止","運転がそろわない")))</f>
        <v>運転がそろわない</v>
      </c>
      <c r="AO1826" s="30" t="n">
        <v>60</v>
      </c>
      <c r="AP1826" s="30" t="n">
        <v>0</v>
      </c>
      <c r="AQ1826" s="30" t="str">
        <f aca="false">IF(OR(Y1826="判定不能",G1826="判定不能"),"判定不能",IF(AP1826&gt;=判定条件!$C$9,"利用可",IF(AND(Y1826="停止",G1826="停止"),"両方停止","運転がそろわない")))</f>
        <v>両方停止</v>
      </c>
      <c r="AR1826" s="30" t="n">
        <v>60</v>
      </c>
      <c r="AS1826" s="30" t="n">
        <v>0</v>
      </c>
      <c r="AT1826" s="30" t="str">
        <f aca="false">IF(OR(AB1826="判定不能",J1826="判定不能"),"判定不能",IF(AS1826&gt;=判定条件!$C$9,"利用可",IF(AND(AB1826="停止",J1826="停止"),"両方停止","運転がそろわない")))</f>
        <v>両方停止</v>
      </c>
      <c r="AU1826" s="30" t="n">
        <v>60</v>
      </c>
      <c r="AV1826" s="30" t="n">
        <v>0</v>
      </c>
      <c r="AW1826" s="30" t="str">
        <f aca="false">IF(OR(AE1826="判定不能",M1826="判定不能"),"判定不能",IF(AV1826&gt;=判定条件!$C$9,"利用可",IF(AND(AE1826="停止",M1826="停止"),"両方停止","運転がそろわない")))</f>
        <v>運転がそろわない</v>
      </c>
      <c r="AX1826" s="30" t="str">
        <f aca="false">IF(AND(AH1826="利用可",AK1826="利用可",AN1826="利用可"),"利用可","不可")</f>
        <v>不可</v>
      </c>
      <c r="AY1826" s="30" t="str">
        <f aca="false">IF(AND(AQ1826="利用可",AT1826="利用可",AW1826="利用可"),"利用可","不可")</f>
        <v>不可</v>
      </c>
    </row>
    <row r="1827" customFormat="false" ht="15" hidden="false" customHeight="false" outlineLevel="0" collapsed="false">
      <c r="A1827" s="29" t="n">
        <v>46308</v>
      </c>
      <c r="B1827" s="30" t="n">
        <v>0</v>
      </c>
      <c r="C1827" s="31" t="s">
        <v>67</v>
      </c>
      <c r="D1827" s="31" t="s">
        <v>59</v>
      </c>
      <c r="E1827" s="30" t="n">
        <v>60</v>
      </c>
      <c r="F1827" s="30" t="n">
        <v>0</v>
      </c>
      <c r="G1827" s="30" t="str">
        <f aca="false">IF(E1827&lt;判定条件!$C$6,"判定不能",IF(F1827&gt;=判定条件!$C$7*E1827,"運転",IF(F1827&lt;=判定条件!$C$8*E1827,"停止","断続")))</f>
        <v>停止</v>
      </c>
      <c r="H1827" s="30" t="n">
        <v>60</v>
      </c>
      <c r="I1827" s="30" t="n">
        <v>15</v>
      </c>
      <c r="J1827" s="30" t="str">
        <f aca="false">IF(H1827&lt;判定条件!$C$6,"判定不能",IF(I1827&gt;=判定条件!$C$7*H1827,"運転",IF(I1827&lt;=判定条件!$C$8*H1827,"停止","断続")))</f>
        <v>断続</v>
      </c>
      <c r="K1827" s="30" t="n">
        <v>60</v>
      </c>
      <c r="L1827" s="30" t="n">
        <v>32</v>
      </c>
      <c r="M1827" s="30" t="str">
        <f aca="false">IF(K1827&lt;判定条件!$C$6,"判定不能",IF(L1827&gt;=判定条件!$C$7*K1827,"運転",IF(L1827&lt;=判定条件!$C$8*K1827,"停止","断続")))</f>
        <v>断続</v>
      </c>
      <c r="N1827" s="30" t="n">
        <v>60</v>
      </c>
      <c r="O1827" s="30" t="n">
        <v>0</v>
      </c>
      <c r="P1827" s="30" t="str">
        <f aca="false">IF(N1827&lt;判定条件!$C$6,"判定不能",IF(O1827&gt;=判定条件!$C$7*N1827,"運転",IF(O1827&lt;=判定条件!$C$8*N1827,"停止","断続")))</f>
        <v>停止</v>
      </c>
      <c r="Q1827" s="30" t="n">
        <v>60</v>
      </c>
      <c r="R1827" s="30" t="n">
        <v>0</v>
      </c>
      <c r="S1827" s="30" t="str">
        <f aca="false">IF(Q1827&lt;判定条件!$C$6,"判定不能",IF(R1827&gt;=判定条件!$C$7*Q1827,"運転",IF(R1827&lt;=判定条件!$C$8*Q1827,"停止","断続")))</f>
        <v>停止</v>
      </c>
      <c r="T1827" s="30" t="n">
        <v>60</v>
      </c>
      <c r="U1827" s="30" t="n">
        <v>0</v>
      </c>
      <c r="V1827" s="30" t="str">
        <f aca="false">IF(T1827&lt;判定条件!$C$6,"判定不能",IF(U1827&gt;=判定条件!$C$7*T1827,"運転",IF(U1827&lt;=判定条件!$C$8*T1827,"停止","断続")))</f>
        <v>停止</v>
      </c>
      <c r="W1827" s="30" t="n">
        <v>60</v>
      </c>
      <c r="X1827" s="30" t="n">
        <v>0</v>
      </c>
      <c r="Y1827" s="30" t="str">
        <f aca="false">IF(W1827&lt;判定条件!$C$6,"判定不能",IF(X1827&gt;=判定条件!$C$7*W1827,"運転",IF(X1827&lt;=判定条件!$C$8*W1827,"停止","断続")))</f>
        <v>停止</v>
      </c>
      <c r="Z1827" s="30" t="n">
        <v>60</v>
      </c>
      <c r="AA1827" s="30" t="n">
        <v>0</v>
      </c>
      <c r="AB1827" s="30" t="str">
        <f aca="false">IF(Z1827&lt;判定条件!$C$6,"判定不能",IF(AA1827&gt;=判定条件!$C$7*Z1827,"運転",IF(AA1827&lt;=判定条件!$C$8*Z1827,"停止","断続")))</f>
        <v>停止</v>
      </c>
      <c r="AC1827" s="30" t="n">
        <v>60</v>
      </c>
      <c r="AD1827" s="30" t="n">
        <v>0</v>
      </c>
      <c r="AE1827" s="30" t="str">
        <f aca="false">IF(AC1827&lt;判定条件!$C$6,"判定不能",IF(AD1827&gt;=判定条件!$C$7*AC1827,"運転",IF(AD1827&lt;=判定条件!$C$8*AC1827,"停止","断続")))</f>
        <v>停止</v>
      </c>
      <c r="AF1827" s="30" t="n">
        <v>60</v>
      </c>
      <c r="AG1827" s="30" t="n">
        <v>0</v>
      </c>
      <c r="AH1827" s="30" t="str">
        <f aca="false">IF(OR(P1827="判定不能",G1827="判定不能"),"判定不能",IF(AG1827&gt;=判定条件!$C$9,"利用可",IF(AND(P1827="停止",G1827="停止"),"両方停止","運転がそろわない")))</f>
        <v>両方停止</v>
      </c>
      <c r="AI1827" s="30" t="n">
        <v>60</v>
      </c>
      <c r="AJ1827" s="30" t="n">
        <v>0</v>
      </c>
      <c r="AK1827" s="30" t="str">
        <f aca="false">IF(OR(S1827="判定不能",J1827="判定不能"),"判定不能",IF(AJ1827&gt;=判定条件!$C$9,"利用可",IF(AND(S1827="停止",J1827="停止"),"両方停止","運転がそろわない")))</f>
        <v>運転がそろわない</v>
      </c>
      <c r="AL1827" s="30" t="n">
        <v>60</v>
      </c>
      <c r="AM1827" s="30" t="n">
        <v>0</v>
      </c>
      <c r="AN1827" s="30" t="str">
        <f aca="false">IF(OR(V1827="判定不能",M1827="判定不能"),"判定不能",IF(AM1827&gt;=判定条件!$C$9,"利用可",IF(AND(V1827="停止",M1827="停止"),"両方停止","運転がそろわない")))</f>
        <v>運転がそろわない</v>
      </c>
      <c r="AO1827" s="30" t="n">
        <v>60</v>
      </c>
      <c r="AP1827" s="30" t="n">
        <v>0</v>
      </c>
      <c r="AQ1827" s="30" t="str">
        <f aca="false">IF(OR(Y1827="判定不能",G1827="判定不能"),"判定不能",IF(AP1827&gt;=判定条件!$C$9,"利用可",IF(AND(Y1827="停止",G1827="停止"),"両方停止","運転がそろわない")))</f>
        <v>両方停止</v>
      </c>
      <c r="AR1827" s="30" t="n">
        <v>60</v>
      </c>
      <c r="AS1827" s="30" t="n">
        <v>0</v>
      </c>
      <c r="AT1827" s="30" t="str">
        <f aca="false">IF(OR(AB1827="判定不能",J1827="判定不能"),"判定不能",IF(AS1827&gt;=判定条件!$C$9,"利用可",IF(AND(AB1827="停止",J1827="停止"),"両方停止","運転がそろわない")))</f>
        <v>運転がそろわない</v>
      </c>
      <c r="AU1827" s="30" t="n">
        <v>60</v>
      </c>
      <c r="AV1827" s="30" t="n">
        <v>0</v>
      </c>
      <c r="AW1827" s="30" t="str">
        <f aca="false">IF(OR(AE1827="判定不能",M1827="判定不能"),"判定不能",IF(AV1827&gt;=判定条件!$C$9,"利用可",IF(AND(AE1827="停止",M1827="停止"),"両方停止","運転がそろわない")))</f>
        <v>運転がそろわない</v>
      </c>
      <c r="AX1827" s="30" t="str">
        <f aca="false">IF(AND(AH1827="利用可",AK1827="利用可",AN1827="利用可"),"利用可","不可")</f>
        <v>不可</v>
      </c>
      <c r="AY1827" s="30" t="str">
        <f aca="false">IF(AND(AQ1827="利用可",AT1827="利用可",AW1827="利用可"),"利用可","不可")</f>
        <v>不可</v>
      </c>
    </row>
    <row r="1828" customFormat="false" ht="15" hidden="false" customHeight="false" outlineLevel="0" collapsed="false">
      <c r="A1828" s="29" t="n">
        <v>46308</v>
      </c>
      <c r="B1828" s="30" t="n">
        <v>1</v>
      </c>
      <c r="C1828" s="31" t="s">
        <v>67</v>
      </c>
      <c r="D1828" s="31" t="s">
        <v>59</v>
      </c>
      <c r="E1828" s="30" t="n">
        <v>60</v>
      </c>
      <c r="F1828" s="30" t="n">
        <v>0</v>
      </c>
      <c r="G1828" s="30" t="str">
        <f aca="false">IF(E1828&lt;判定条件!$C$6,"判定不能",IF(F1828&gt;=判定条件!$C$7*E1828,"運転",IF(F1828&lt;=判定条件!$C$8*E1828,"停止","断続")))</f>
        <v>停止</v>
      </c>
      <c r="H1828" s="30" t="n">
        <v>60</v>
      </c>
      <c r="I1828" s="30" t="n">
        <v>9</v>
      </c>
      <c r="J1828" s="30" t="str">
        <f aca="false">IF(H1828&lt;判定条件!$C$6,"判定不能",IF(I1828&gt;=判定条件!$C$7*H1828,"運転",IF(I1828&lt;=判定条件!$C$8*H1828,"停止","断続")))</f>
        <v>停止</v>
      </c>
      <c r="K1828" s="30" t="n">
        <v>60</v>
      </c>
      <c r="L1828" s="30" t="n">
        <v>25</v>
      </c>
      <c r="M1828" s="30" t="str">
        <f aca="false">IF(K1828&lt;判定条件!$C$6,"判定不能",IF(L1828&gt;=判定条件!$C$7*K1828,"運転",IF(L1828&lt;=判定条件!$C$8*K1828,"停止","断続")))</f>
        <v>断続</v>
      </c>
      <c r="N1828" s="30" t="n">
        <v>60</v>
      </c>
      <c r="O1828" s="30" t="n">
        <v>0</v>
      </c>
      <c r="P1828" s="30" t="str">
        <f aca="false">IF(N1828&lt;判定条件!$C$6,"判定不能",IF(O1828&gt;=判定条件!$C$7*N1828,"運転",IF(O1828&lt;=判定条件!$C$8*N1828,"停止","断続")))</f>
        <v>停止</v>
      </c>
      <c r="Q1828" s="30" t="n">
        <v>60</v>
      </c>
      <c r="R1828" s="30" t="n">
        <v>0</v>
      </c>
      <c r="S1828" s="30" t="str">
        <f aca="false">IF(Q1828&lt;判定条件!$C$6,"判定不能",IF(R1828&gt;=判定条件!$C$7*Q1828,"運転",IF(R1828&lt;=判定条件!$C$8*Q1828,"停止","断続")))</f>
        <v>停止</v>
      </c>
      <c r="T1828" s="30" t="n">
        <v>60</v>
      </c>
      <c r="U1828" s="30" t="n">
        <v>0</v>
      </c>
      <c r="V1828" s="30" t="str">
        <f aca="false">IF(T1828&lt;判定条件!$C$6,"判定不能",IF(U1828&gt;=判定条件!$C$7*T1828,"運転",IF(U1828&lt;=判定条件!$C$8*T1828,"停止","断続")))</f>
        <v>停止</v>
      </c>
      <c r="W1828" s="30" t="n">
        <v>60</v>
      </c>
      <c r="X1828" s="30" t="n">
        <v>0</v>
      </c>
      <c r="Y1828" s="30" t="str">
        <f aca="false">IF(W1828&lt;判定条件!$C$6,"判定不能",IF(X1828&gt;=判定条件!$C$7*W1828,"運転",IF(X1828&lt;=判定条件!$C$8*W1828,"停止","断続")))</f>
        <v>停止</v>
      </c>
      <c r="Z1828" s="30" t="n">
        <v>60</v>
      </c>
      <c r="AA1828" s="30" t="n">
        <v>0</v>
      </c>
      <c r="AB1828" s="30" t="str">
        <f aca="false">IF(Z1828&lt;判定条件!$C$6,"判定不能",IF(AA1828&gt;=判定条件!$C$7*Z1828,"運転",IF(AA1828&lt;=判定条件!$C$8*Z1828,"停止","断続")))</f>
        <v>停止</v>
      </c>
      <c r="AC1828" s="30" t="n">
        <v>60</v>
      </c>
      <c r="AD1828" s="30" t="n">
        <v>0</v>
      </c>
      <c r="AE1828" s="30" t="str">
        <f aca="false">IF(AC1828&lt;判定条件!$C$6,"判定不能",IF(AD1828&gt;=判定条件!$C$7*AC1828,"運転",IF(AD1828&lt;=判定条件!$C$8*AC1828,"停止","断続")))</f>
        <v>停止</v>
      </c>
      <c r="AF1828" s="30" t="n">
        <v>60</v>
      </c>
      <c r="AG1828" s="30" t="n">
        <v>0</v>
      </c>
      <c r="AH1828" s="30" t="str">
        <f aca="false">IF(OR(P1828="判定不能",G1828="判定不能"),"判定不能",IF(AG1828&gt;=判定条件!$C$9,"利用可",IF(AND(P1828="停止",G1828="停止"),"両方停止","運転がそろわない")))</f>
        <v>両方停止</v>
      </c>
      <c r="AI1828" s="30" t="n">
        <v>60</v>
      </c>
      <c r="AJ1828" s="30" t="n">
        <v>0</v>
      </c>
      <c r="AK1828" s="30" t="str">
        <f aca="false">IF(OR(S1828="判定不能",J1828="判定不能"),"判定不能",IF(AJ1828&gt;=判定条件!$C$9,"利用可",IF(AND(S1828="停止",J1828="停止"),"両方停止","運転がそろわない")))</f>
        <v>両方停止</v>
      </c>
      <c r="AL1828" s="30" t="n">
        <v>60</v>
      </c>
      <c r="AM1828" s="30" t="n">
        <v>0</v>
      </c>
      <c r="AN1828" s="30" t="str">
        <f aca="false">IF(OR(V1828="判定不能",M1828="判定不能"),"判定不能",IF(AM1828&gt;=判定条件!$C$9,"利用可",IF(AND(V1828="停止",M1828="停止"),"両方停止","運転がそろわない")))</f>
        <v>運転がそろわない</v>
      </c>
      <c r="AO1828" s="30" t="n">
        <v>60</v>
      </c>
      <c r="AP1828" s="30" t="n">
        <v>0</v>
      </c>
      <c r="AQ1828" s="30" t="str">
        <f aca="false">IF(OR(Y1828="判定不能",G1828="判定不能"),"判定不能",IF(AP1828&gt;=判定条件!$C$9,"利用可",IF(AND(Y1828="停止",G1828="停止"),"両方停止","運転がそろわない")))</f>
        <v>両方停止</v>
      </c>
      <c r="AR1828" s="30" t="n">
        <v>60</v>
      </c>
      <c r="AS1828" s="30" t="n">
        <v>0</v>
      </c>
      <c r="AT1828" s="30" t="str">
        <f aca="false">IF(OR(AB1828="判定不能",J1828="判定不能"),"判定不能",IF(AS1828&gt;=判定条件!$C$9,"利用可",IF(AND(AB1828="停止",J1828="停止"),"両方停止","運転がそろわない")))</f>
        <v>両方停止</v>
      </c>
      <c r="AU1828" s="30" t="n">
        <v>60</v>
      </c>
      <c r="AV1828" s="30" t="n">
        <v>0</v>
      </c>
      <c r="AW1828" s="30" t="str">
        <f aca="false">IF(OR(AE1828="判定不能",M1828="判定不能"),"判定不能",IF(AV1828&gt;=判定条件!$C$9,"利用可",IF(AND(AE1828="停止",M1828="停止"),"両方停止","運転がそろわない")))</f>
        <v>運転がそろわない</v>
      </c>
      <c r="AX1828" s="30" t="str">
        <f aca="false">IF(AND(AH1828="利用可",AK1828="利用可",AN1828="利用可"),"利用可","不可")</f>
        <v>不可</v>
      </c>
      <c r="AY1828" s="30" t="str">
        <f aca="false">IF(AND(AQ1828="利用可",AT1828="利用可",AW1828="利用可"),"利用可","不可")</f>
        <v>不可</v>
      </c>
    </row>
    <row r="1829" customFormat="false" ht="15" hidden="false" customHeight="false" outlineLevel="0" collapsed="false">
      <c r="A1829" s="29" t="n">
        <v>46308</v>
      </c>
      <c r="B1829" s="30" t="n">
        <v>2</v>
      </c>
      <c r="C1829" s="31" t="s">
        <v>67</v>
      </c>
      <c r="D1829" s="31" t="s">
        <v>59</v>
      </c>
      <c r="E1829" s="30" t="n">
        <v>60</v>
      </c>
      <c r="F1829" s="30" t="n">
        <v>0</v>
      </c>
      <c r="G1829" s="30" t="str">
        <f aca="false">IF(E1829&lt;判定条件!$C$6,"判定不能",IF(F1829&gt;=判定条件!$C$7*E1829,"運転",IF(F1829&lt;=判定条件!$C$8*E1829,"停止","断続")))</f>
        <v>停止</v>
      </c>
      <c r="H1829" s="30" t="n">
        <v>60</v>
      </c>
      <c r="I1829" s="30" t="n">
        <v>10</v>
      </c>
      <c r="J1829" s="30" t="str">
        <f aca="false">IF(H1829&lt;判定条件!$C$6,"判定不能",IF(I1829&gt;=判定条件!$C$7*H1829,"運転",IF(I1829&lt;=判定条件!$C$8*H1829,"停止","断続")))</f>
        <v>停止</v>
      </c>
      <c r="K1829" s="30" t="n">
        <v>60</v>
      </c>
      <c r="L1829" s="30" t="n">
        <v>31</v>
      </c>
      <c r="M1829" s="30" t="str">
        <f aca="false">IF(K1829&lt;判定条件!$C$6,"判定不能",IF(L1829&gt;=判定条件!$C$7*K1829,"運転",IF(L1829&lt;=判定条件!$C$8*K1829,"停止","断続")))</f>
        <v>断続</v>
      </c>
      <c r="N1829" s="30" t="n">
        <v>60</v>
      </c>
      <c r="O1829" s="30" t="n">
        <v>0</v>
      </c>
      <c r="P1829" s="30" t="str">
        <f aca="false">IF(N1829&lt;判定条件!$C$6,"判定不能",IF(O1829&gt;=判定条件!$C$7*N1829,"運転",IF(O1829&lt;=判定条件!$C$8*N1829,"停止","断続")))</f>
        <v>停止</v>
      </c>
      <c r="Q1829" s="30" t="n">
        <v>60</v>
      </c>
      <c r="R1829" s="30" t="n">
        <v>0</v>
      </c>
      <c r="S1829" s="30" t="str">
        <f aca="false">IF(Q1829&lt;判定条件!$C$6,"判定不能",IF(R1829&gt;=判定条件!$C$7*Q1829,"運転",IF(R1829&lt;=判定条件!$C$8*Q1829,"停止","断続")))</f>
        <v>停止</v>
      </c>
      <c r="T1829" s="30" t="n">
        <v>60</v>
      </c>
      <c r="U1829" s="30" t="n">
        <v>0</v>
      </c>
      <c r="V1829" s="30" t="str">
        <f aca="false">IF(T1829&lt;判定条件!$C$6,"判定不能",IF(U1829&gt;=判定条件!$C$7*T1829,"運転",IF(U1829&lt;=判定条件!$C$8*T1829,"停止","断続")))</f>
        <v>停止</v>
      </c>
      <c r="W1829" s="30" t="n">
        <v>60</v>
      </c>
      <c r="X1829" s="30" t="n">
        <v>0</v>
      </c>
      <c r="Y1829" s="30" t="str">
        <f aca="false">IF(W1829&lt;判定条件!$C$6,"判定不能",IF(X1829&gt;=判定条件!$C$7*W1829,"運転",IF(X1829&lt;=判定条件!$C$8*W1829,"停止","断続")))</f>
        <v>停止</v>
      </c>
      <c r="Z1829" s="30" t="n">
        <v>60</v>
      </c>
      <c r="AA1829" s="30" t="n">
        <v>0</v>
      </c>
      <c r="AB1829" s="30" t="str">
        <f aca="false">IF(Z1829&lt;判定条件!$C$6,"判定不能",IF(AA1829&gt;=判定条件!$C$7*Z1829,"運転",IF(AA1829&lt;=判定条件!$C$8*Z1829,"停止","断続")))</f>
        <v>停止</v>
      </c>
      <c r="AC1829" s="30" t="n">
        <v>60</v>
      </c>
      <c r="AD1829" s="30" t="n">
        <v>0</v>
      </c>
      <c r="AE1829" s="30" t="str">
        <f aca="false">IF(AC1829&lt;判定条件!$C$6,"判定不能",IF(AD1829&gt;=判定条件!$C$7*AC1829,"運転",IF(AD1829&lt;=判定条件!$C$8*AC1829,"停止","断続")))</f>
        <v>停止</v>
      </c>
      <c r="AF1829" s="30" t="n">
        <v>60</v>
      </c>
      <c r="AG1829" s="30" t="n">
        <v>0</v>
      </c>
      <c r="AH1829" s="30" t="str">
        <f aca="false">IF(OR(P1829="判定不能",G1829="判定不能"),"判定不能",IF(AG1829&gt;=判定条件!$C$9,"利用可",IF(AND(P1829="停止",G1829="停止"),"両方停止","運転がそろわない")))</f>
        <v>両方停止</v>
      </c>
      <c r="AI1829" s="30" t="n">
        <v>60</v>
      </c>
      <c r="AJ1829" s="30" t="n">
        <v>0</v>
      </c>
      <c r="AK1829" s="30" t="str">
        <f aca="false">IF(OR(S1829="判定不能",J1829="判定不能"),"判定不能",IF(AJ1829&gt;=判定条件!$C$9,"利用可",IF(AND(S1829="停止",J1829="停止"),"両方停止","運転がそろわない")))</f>
        <v>両方停止</v>
      </c>
      <c r="AL1829" s="30" t="n">
        <v>60</v>
      </c>
      <c r="AM1829" s="30" t="n">
        <v>0</v>
      </c>
      <c r="AN1829" s="30" t="str">
        <f aca="false">IF(OR(V1829="判定不能",M1829="判定不能"),"判定不能",IF(AM1829&gt;=判定条件!$C$9,"利用可",IF(AND(V1829="停止",M1829="停止"),"両方停止","運転がそろわない")))</f>
        <v>運転がそろわない</v>
      </c>
      <c r="AO1829" s="30" t="n">
        <v>60</v>
      </c>
      <c r="AP1829" s="30" t="n">
        <v>0</v>
      </c>
      <c r="AQ1829" s="30" t="str">
        <f aca="false">IF(OR(Y1829="判定不能",G1829="判定不能"),"判定不能",IF(AP1829&gt;=判定条件!$C$9,"利用可",IF(AND(Y1829="停止",G1829="停止"),"両方停止","運転がそろわない")))</f>
        <v>両方停止</v>
      </c>
      <c r="AR1829" s="30" t="n">
        <v>60</v>
      </c>
      <c r="AS1829" s="30" t="n">
        <v>0</v>
      </c>
      <c r="AT1829" s="30" t="str">
        <f aca="false">IF(OR(AB1829="判定不能",J1829="判定不能"),"判定不能",IF(AS1829&gt;=判定条件!$C$9,"利用可",IF(AND(AB1829="停止",J1829="停止"),"両方停止","運転がそろわない")))</f>
        <v>両方停止</v>
      </c>
      <c r="AU1829" s="30" t="n">
        <v>60</v>
      </c>
      <c r="AV1829" s="30" t="n">
        <v>0</v>
      </c>
      <c r="AW1829" s="30" t="str">
        <f aca="false">IF(OR(AE1829="判定不能",M1829="判定不能"),"判定不能",IF(AV1829&gt;=判定条件!$C$9,"利用可",IF(AND(AE1829="停止",M1829="停止"),"両方停止","運転がそろわない")))</f>
        <v>運転がそろわない</v>
      </c>
      <c r="AX1829" s="30" t="str">
        <f aca="false">IF(AND(AH1829="利用可",AK1829="利用可",AN1829="利用可"),"利用可","不可")</f>
        <v>不可</v>
      </c>
      <c r="AY1829" s="30" t="str">
        <f aca="false">IF(AND(AQ1829="利用可",AT1829="利用可",AW1829="利用可"),"利用可","不可")</f>
        <v>不可</v>
      </c>
    </row>
    <row r="1830" customFormat="false" ht="15" hidden="false" customHeight="false" outlineLevel="0" collapsed="false">
      <c r="A1830" s="29" t="n">
        <v>46308</v>
      </c>
      <c r="B1830" s="30" t="n">
        <v>3</v>
      </c>
      <c r="C1830" s="31" t="s">
        <v>67</v>
      </c>
      <c r="D1830" s="31" t="s">
        <v>59</v>
      </c>
      <c r="E1830" s="30" t="n">
        <v>60</v>
      </c>
      <c r="F1830" s="30" t="n">
        <v>0</v>
      </c>
      <c r="G1830" s="30" t="str">
        <f aca="false">IF(E1830&lt;判定条件!$C$6,"判定不能",IF(F1830&gt;=判定条件!$C$7*E1830,"運転",IF(F1830&lt;=判定条件!$C$8*E1830,"停止","断続")))</f>
        <v>停止</v>
      </c>
      <c r="H1830" s="30" t="n">
        <v>60</v>
      </c>
      <c r="I1830" s="30" t="n">
        <v>0</v>
      </c>
      <c r="J1830" s="30" t="str">
        <f aca="false">IF(H1830&lt;判定条件!$C$6,"判定不能",IF(I1830&gt;=判定条件!$C$7*H1830,"運転",IF(I1830&lt;=判定条件!$C$8*H1830,"停止","断続")))</f>
        <v>停止</v>
      </c>
      <c r="K1830" s="30" t="n">
        <v>60</v>
      </c>
      <c r="L1830" s="30" t="n">
        <v>0</v>
      </c>
      <c r="M1830" s="30" t="str">
        <f aca="false">IF(K1830&lt;判定条件!$C$6,"判定不能",IF(L1830&gt;=判定条件!$C$7*K1830,"運転",IF(L1830&lt;=判定条件!$C$8*K1830,"停止","断続")))</f>
        <v>停止</v>
      </c>
      <c r="N1830" s="30" t="n">
        <v>60</v>
      </c>
      <c r="O1830" s="30" t="n">
        <v>0</v>
      </c>
      <c r="P1830" s="30" t="str">
        <f aca="false">IF(N1830&lt;判定条件!$C$6,"判定不能",IF(O1830&gt;=判定条件!$C$7*N1830,"運転",IF(O1830&lt;=判定条件!$C$8*N1830,"停止","断続")))</f>
        <v>停止</v>
      </c>
      <c r="Q1830" s="30" t="n">
        <v>60</v>
      </c>
      <c r="R1830" s="30" t="n">
        <v>0</v>
      </c>
      <c r="S1830" s="30" t="str">
        <f aca="false">IF(Q1830&lt;判定条件!$C$6,"判定不能",IF(R1830&gt;=判定条件!$C$7*Q1830,"運転",IF(R1830&lt;=判定条件!$C$8*Q1830,"停止","断続")))</f>
        <v>停止</v>
      </c>
      <c r="T1830" s="30" t="n">
        <v>60</v>
      </c>
      <c r="U1830" s="30" t="n">
        <v>0</v>
      </c>
      <c r="V1830" s="30" t="str">
        <f aca="false">IF(T1830&lt;判定条件!$C$6,"判定不能",IF(U1830&gt;=判定条件!$C$7*T1830,"運転",IF(U1830&lt;=判定条件!$C$8*T1830,"停止","断続")))</f>
        <v>停止</v>
      </c>
      <c r="W1830" s="30" t="n">
        <v>60</v>
      </c>
      <c r="X1830" s="30" t="n">
        <v>0</v>
      </c>
      <c r="Y1830" s="30" t="str">
        <f aca="false">IF(W1830&lt;判定条件!$C$6,"判定不能",IF(X1830&gt;=判定条件!$C$7*W1830,"運転",IF(X1830&lt;=判定条件!$C$8*W1830,"停止","断続")))</f>
        <v>停止</v>
      </c>
      <c r="Z1830" s="30" t="n">
        <v>60</v>
      </c>
      <c r="AA1830" s="30" t="n">
        <v>0</v>
      </c>
      <c r="AB1830" s="30" t="str">
        <f aca="false">IF(Z1830&lt;判定条件!$C$6,"判定不能",IF(AA1830&gt;=判定条件!$C$7*Z1830,"運転",IF(AA1830&lt;=判定条件!$C$8*Z1830,"停止","断続")))</f>
        <v>停止</v>
      </c>
      <c r="AC1830" s="30" t="n">
        <v>60</v>
      </c>
      <c r="AD1830" s="30" t="n">
        <v>0</v>
      </c>
      <c r="AE1830" s="30" t="str">
        <f aca="false">IF(AC1830&lt;判定条件!$C$6,"判定不能",IF(AD1830&gt;=判定条件!$C$7*AC1830,"運転",IF(AD1830&lt;=判定条件!$C$8*AC1830,"停止","断続")))</f>
        <v>停止</v>
      </c>
      <c r="AF1830" s="30" t="n">
        <v>60</v>
      </c>
      <c r="AG1830" s="30" t="n">
        <v>0</v>
      </c>
      <c r="AH1830" s="30" t="str">
        <f aca="false">IF(OR(P1830="判定不能",G1830="判定不能"),"判定不能",IF(AG1830&gt;=判定条件!$C$9,"利用可",IF(AND(P1830="停止",G1830="停止"),"両方停止","運転がそろわない")))</f>
        <v>両方停止</v>
      </c>
      <c r="AI1830" s="30" t="n">
        <v>60</v>
      </c>
      <c r="AJ1830" s="30" t="n">
        <v>0</v>
      </c>
      <c r="AK1830" s="30" t="str">
        <f aca="false">IF(OR(S1830="判定不能",J1830="判定不能"),"判定不能",IF(AJ1830&gt;=判定条件!$C$9,"利用可",IF(AND(S1830="停止",J1830="停止"),"両方停止","運転がそろわない")))</f>
        <v>両方停止</v>
      </c>
      <c r="AL1830" s="30" t="n">
        <v>60</v>
      </c>
      <c r="AM1830" s="30" t="n">
        <v>0</v>
      </c>
      <c r="AN1830" s="30" t="str">
        <f aca="false">IF(OR(V1830="判定不能",M1830="判定不能"),"判定不能",IF(AM1830&gt;=判定条件!$C$9,"利用可",IF(AND(V1830="停止",M1830="停止"),"両方停止","運転がそろわない")))</f>
        <v>両方停止</v>
      </c>
      <c r="AO1830" s="30" t="n">
        <v>60</v>
      </c>
      <c r="AP1830" s="30" t="n">
        <v>0</v>
      </c>
      <c r="AQ1830" s="30" t="str">
        <f aca="false">IF(OR(Y1830="判定不能",G1830="判定不能"),"判定不能",IF(AP1830&gt;=判定条件!$C$9,"利用可",IF(AND(Y1830="停止",G1830="停止"),"両方停止","運転がそろわない")))</f>
        <v>両方停止</v>
      </c>
      <c r="AR1830" s="30" t="n">
        <v>60</v>
      </c>
      <c r="AS1830" s="30" t="n">
        <v>0</v>
      </c>
      <c r="AT1830" s="30" t="str">
        <f aca="false">IF(OR(AB1830="判定不能",J1830="判定不能"),"判定不能",IF(AS1830&gt;=判定条件!$C$9,"利用可",IF(AND(AB1830="停止",J1830="停止"),"両方停止","運転がそろわない")))</f>
        <v>両方停止</v>
      </c>
      <c r="AU1830" s="30" t="n">
        <v>60</v>
      </c>
      <c r="AV1830" s="30" t="n">
        <v>0</v>
      </c>
      <c r="AW1830" s="30" t="str">
        <f aca="false">IF(OR(AE1830="判定不能",M1830="判定不能"),"判定不能",IF(AV1830&gt;=判定条件!$C$9,"利用可",IF(AND(AE1830="停止",M1830="停止"),"両方停止","運転がそろわない")))</f>
        <v>両方停止</v>
      </c>
      <c r="AX1830" s="30" t="str">
        <f aca="false">IF(AND(AH1830="利用可",AK1830="利用可",AN1830="利用可"),"利用可","不可")</f>
        <v>不可</v>
      </c>
      <c r="AY1830" s="30" t="str">
        <f aca="false">IF(AND(AQ1830="利用可",AT1830="利用可",AW1830="利用可"),"利用可","不可")</f>
        <v>不可</v>
      </c>
    </row>
    <row r="1831" customFormat="false" ht="15" hidden="false" customHeight="false" outlineLevel="0" collapsed="false">
      <c r="A1831" s="29" t="n">
        <v>46308</v>
      </c>
      <c r="B1831" s="30" t="n">
        <v>4</v>
      </c>
      <c r="C1831" s="31" t="s">
        <v>67</v>
      </c>
      <c r="D1831" s="31" t="s">
        <v>59</v>
      </c>
      <c r="E1831" s="30" t="n">
        <v>60</v>
      </c>
      <c r="F1831" s="30" t="n">
        <v>0</v>
      </c>
      <c r="G1831" s="30" t="str">
        <f aca="false">IF(E1831&lt;判定条件!$C$6,"判定不能",IF(F1831&gt;=判定条件!$C$7*E1831,"運転",IF(F1831&lt;=判定条件!$C$8*E1831,"停止","断続")))</f>
        <v>停止</v>
      </c>
      <c r="H1831" s="30" t="n">
        <v>60</v>
      </c>
      <c r="I1831" s="30" t="n">
        <v>0</v>
      </c>
      <c r="J1831" s="30" t="str">
        <f aca="false">IF(H1831&lt;判定条件!$C$6,"判定不能",IF(I1831&gt;=判定条件!$C$7*H1831,"運転",IF(I1831&lt;=判定条件!$C$8*H1831,"停止","断続")))</f>
        <v>停止</v>
      </c>
      <c r="K1831" s="30" t="n">
        <v>60</v>
      </c>
      <c r="L1831" s="30" t="n">
        <v>0</v>
      </c>
      <c r="M1831" s="30" t="str">
        <f aca="false">IF(K1831&lt;判定条件!$C$6,"判定不能",IF(L1831&gt;=判定条件!$C$7*K1831,"運転",IF(L1831&lt;=判定条件!$C$8*K1831,"停止","断続")))</f>
        <v>停止</v>
      </c>
      <c r="N1831" s="30" t="n">
        <v>60</v>
      </c>
      <c r="O1831" s="30" t="n">
        <v>0</v>
      </c>
      <c r="P1831" s="30" t="str">
        <f aca="false">IF(N1831&lt;判定条件!$C$6,"判定不能",IF(O1831&gt;=判定条件!$C$7*N1831,"運転",IF(O1831&lt;=判定条件!$C$8*N1831,"停止","断続")))</f>
        <v>停止</v>
      </c>
      <c r="Q1831" s="30" t="n">
        <v>60</v>
      </c>
      <c r="R1831" s="30" t="n">
        <v>0</v>
      </c>
      <c r="S1831" s="30" t="str">
        <f aca="false">IF(Q1831&lt;判定条件!$C$6,"判定不能",IF(R1831&gt;=判定条件!$C$7*Q1831,"運転",IF(R1831&lt;=判定条件!$C$8*Q1831,"停止","断続")))</f>
        <v>停止</v>
      </c>
      <c r="T1831" s="30" t="n">
        <v>60</v>
      </c>
      <c r="U1831" s="30" t="n">
        <v>0</v>
      </c>
      <c r="V1831" s="30" t="str">
        <f aca="false">IF(T1831&lt;判定条件!$C$6,"判定不能",IF(U1831&gt;=判定条件!$C$7*T1831,"運転",IF(U1831&lt;=判定条件!$C$8*T1831,"停止","断続")))</f>
        <v>停止</v>
      </c>
      <c r="W1831" s="30" t="n">
        <v>60</v>
      </c>
      <c r="X1831" s="30" t="n">
        <v>0</v>
      </c>
      <c r="Y1831" s="30" t="str">
        <f aca="false">IF(W1831&lt;判定条件!$C$6,"判定不能",IF(X1831&gt;=判定条件!$C$7*W1831,"運転",IF(X1831&lt;=判定条件!$C$8*W1831,"停止","断続")))</f>
        <v>停止</v>
      </c>
      <c r="Z1831" s="30" t="n">
        <v>60</v>
      </c>
      <c r="AA1831" s="30" t="n">
        <v>0</v>
      </c>
      <c r="AB1831" s="30" t="str">
        <f aca="false">IF(Z1831&lt;判定条件!$C$6,"判定不能",IF(AA1831&gt;=判定条件!$C$7*Z1831,"運転",IF(AA1831&lt;=判定条件!$C$8*Z1831,"停止","断続")))</f>
        <v>停止</v>
      </c>
      <c r="AC1831" s="30" t="n">
        <v>60</v>
      </c>
      <c r="AD1831" s="30" t="n">
        <v>0</v>
      </c>
      <c r="AE1831" s="30" t="str">
        <f aca="false">IF(AC1831&lt;判定条件!$C$6,"判定不能",IF(AD1831&gt;=判定条件!$C$7*AC1831,"運転",IF(AD1831&lt;=判定条件!$C$8*AC1831,"停止","断続")))</f>
        <v>停止</v>
      </c>
      <c r="AF1831" s="30" t="n">
        <v>60</v>
      </c>
      <c r="AG1831" s="30" t="n">
        <v>0</v>
      </c>
      <c r="AH1831" s="30" t="str">
        <f aca="false">IF(OR(P1831="判定不能",G1831="判定不能"),"判定不能",IF(AG1831&gt;=判定条件!$C$9,"利用可",IF(AND(P1831="停止",G1831="停止"),"両方停止","運転がそろわない")))</f>
        <v>両方停止</v>
      </c>
      <c r="AI1831" s="30" t="n">
        <v>60</v>
      </c>
      <c r="AJ1831" s="30" t="n">
        <v>0</v>
      </c>
      <c r="AK1831" s="30" t="str">
        <f aca="false">IF(OR(S1831="判定不能",J1831="判定不能"),"判定不能",IF(AJ1831&gt;=判定条件!$C$9,"利用可",IF(AND(S1831="停止",J1831="停止"),"両方停止","運転がそろわない")))</f>
        <v>両方停止</v>
      </c>
      <c r="AL1831" s="30" t="n">
        <v>60</v>
      </c>
      <c r="AM1831" s="30" t="n">
        <v>0</v>
      </c>
      <c r="AN1831" s="30" t="str">
        <f aca="false">IF(OR(V1831="判定不能",M1831="判定不能"),"判定不能",IF(AM1831&gt;=判定条件!$C$9,"利用可",IF(AND(V1831="停止",M1831="停止"),"両方停止","運転がそろわない")))</f>
        <v>両方停止</v>
      </c>
      <c r="AO1831" s="30" t="n">
        <v>60</v>
      </c>
      <c r="AP1831" s="30" t="n">
        <v>0</v>
      </c>
      <c r="AQ1831" s="30" t="str">
        <f aca="false">IF(OR(Y1831="判定不能",G1831="判定不能"),"判定不能",IF(AP1831&gt;=判定条件!$C$9,"利用可",IF(AND(Y1831="停止",G1831="停止"),"両方停止","運転がそろわない")))</f>
        <v>両方停止</v>
      </c>
      <c r="AR1831" s="30" t="n">
        <v>60</v>
      </c>
      <c r="AS1831" s="30" t="n">
        <v>0</v>
      </c>
      <c r="AT1831" s="30" t="str">
        <f aca="false">IF(OR(AB1831="判定不能",J1831="判定不能"),"判定不能",IF(AS1831&gt;=判定条件!$C$9,"利用可",IF(AND(AB1831="停止",J1831="停止"),"両方停止","運転がそろわない")))</f>
        <v>両方停止</v>
      </c>
      <c r="AU1831" s="30" t="n">
        <v>60</v>
      </c>
      <c r="AV1831" s="30" t="n">
        <v>0</v>
      </c>
      <c r="AW1831" s="30" t="str">
        <f aca="false">IF(OR(AE1831="判定不能",M1831="判定不能"),"判定不能",IF(AV1831&gt;=判定条件!$C$9,"利用可",IF(AND(AE1831="停止",M1831="停止"),"両方停止","運転がそろわない")))</f>
        <v>両方停止</v>
      </c>
      <c r="AX1831" s="30" t="str">
        <f aca="false">IF(AND(AH1831="利用可",AK1831="利用可",AN1831="利用可"),"利用可","不可")</f>
        <v>不可</v>
      </c>
      <c r="AY1831" s="30" t="str">
        <f aca="false">IF(AND(AQ1831="利用可",AT1831="利用可",AW1831="利用可"),"利用可","不可")</f>
        <v>不可</v>
      </c>
    </row>
    <row r="1832" customFormat="false" ht="15" hidden="false" customHeight="false" outlineLevel="0" collapsed="false">
      <c r="A1832" s="29" t="n">
        <v>46308</v>
      </c>
      <c r="B1832" s="30" t="n">
        <v>5</v>
      </c>
      <c r="C1832" s="31" t="s">
        <v>67</v>
      </c>
      <c r="D1832" s="31" t="s">
        <v>59</v>
      </c>
      <c r="E1832" s="30" t="n">
        <v>60</v>
      </c>
      <c r="F1832" s="30" t="n">
        <v>0</v>
      </c>
      <c r="G1832" s="30" t="str">
        <f aca="false">IF(E1832&lt;判定条件!$C$6,"判定不能",IF(F1832&gt;=判定条件!$C$7*E1832,"運転",IF(F1832&lt;=判定条件!$C$8*E1832,"停止","断続")))</f>
        <v>停止</v>
      </c>
      <c r="H1832" s="30" t="n">
        <v>60</v>
      </c>
      <c r="I1832" s="30" t="n">
        <v>0</v>
      </c>
      <c r="J1832" s="30" t="str">
        <f aca="false">IF(H1832&lt;判定条件!$C$6,"判定不能",IF(I1832&gt;=判定条件!$C$7*H1832,"運転",IF(I1832&lt;=判定条件!$C$8*H1832,"停止","断続")))</f>
        <v>停止</v>
      </c>
      <c r="K1832" s="30" t="n">
        <v>60</v>
      </c>
      <c r="L1832" s="30" t="n">
        <v>0</v>
      </c>
      <c r="M1832" s="30" t="str">
        <f aca="false">IF(K1832&lt;判定条件!$C$6,"判定不能",IF(L1832&gt;=判定条件!$C$7*K1832,"運転",IF(L1832&lt;=判定条件!$C$8*K1832,"停止","断続")))</f>
        <v>停止</v>
      </c>
      <c r="N1832" s="30" t="n">
        <v>60</v>
      </c>
      <c r="O1832" s="30" t="n">
        <v>0</v>
      </c>
      <c r="P1832" s="30" t="str">
        <f aca="false">IF(N1832&lt;判定条件!$C$6,"判定不能",IF(O1832&gt;=判定条件!$C$7*N1832,"運転",IF(O1832&lt;=判定条件!$C$8*N1832,"停止","断続")))</f>
        <v>停止</v>
      </c>
      <c r="Q1832" s="30" t="n">
        <v>60</v>
      </c>
      <c r="R1832" s="30" t="n">
        <v>0</v>
      </c>
      <c r="S1832" s="30" t="str">
        <f aca="false">IF(Q1832&lt;判定条件!$C$6,"判定不能",IF(R1832&gt;=判定条件!$C$7*Q1832,"運転",IF(R1832&lt;=判定条件!$C$8*Q1832,"停止","断続")))</f>
        <v>停止</v>
      </c>
      <c r="T1832" s="30" t="n">
        <v>60</v>
      </c>
      <c r="U1832" s="30" t="n">
        <v>0</v>
      </c>
      <c r="V1832" s="30" t="str">
        <f aca="false">IF(T1832&lt;判定条件!$C$6,"判定不能",IF(U1832&gt;=判定条件!$C$7*T1832,"運転",IF(U1832&lt;=判定条件!$C$8*T1832,"停止","断続")))</f>
        <v>停止</v>
      </c>
      <c r="W1832" s="30" t="n">
        <v>60</v>
      </c>
      <c r="X1832" s="30" t="n">
        <v>38</v>
      </c>
      <c r="Y1832" s="30" t="str">
        <f aca="false">IF(W1832&lt;判定条件!$C$6,"判定不能",IF(X1832&gt;=判定条件!$C$7*W1832,"運転",IF(X1832&lt;=判定条件!$C$8*W1832,"停止","断続")))</f>
        <v>断続</v>
      </c>
      <c r="Z1832" s="30" t="n">
        <v>60</v>
      </c>
      <c r="AA1832" s="30" t="n">
        <v>0</v>
      </c>
      <c r="AB1832" s="30" t="str">
        <f aca="false">IF(Z1832&lt;判定条件!$C$6,"判定不能",IF(AA1832&gt;=判定条件!$C$7*Z1832,"運転",IF(AA1832&lt;=判定条件!$C$8*Z1832,"停止","断続")))</f>
        <v>停止</v>
      </c>
      <c r="AC1832" s="30" t="n">
        <v>60</v>
      </c>
      <c r="AD1832" s="30" t="n">
        <v>0</v>
      </c>
      <c r="AE1832" s="30" t="str">
        <f aca="false">IF(AC1832&lt;判定条件!$C$6,"判定不能",IF(AD1832&gt;=判定条件!$C$7*AC1832,"運転",IF(AD1832&lt;=判定条件!$C$8*AC1832,"停止","断続")))</f>
        <v>停止</v>
      </c>
      <c r="AF1832" s="30" t="n">
        <v>60</v>
      </c>
      <c r="AG1832" s="30" t="n">
        <v>0</v>
      </c>
      <c r="AH1832" s="30" t="str">
        <f aca="false">IF(OR(P1832="判定不能",G1832="判定不能"),"判定不能",IF(AG1832&gt;=判定条件!$C$9,"利用可",IF(AND(P1832="停止",G1832="停止"),"両方停止","運転がそろわない")))</f>
        <v>両方停止</v>
      </c>
      <c r="AI1832" s="30" t="n">
        <v>60</v>
      </c>
      <c r="AJ1832" s="30" t="n">
        <v>0</v>
      </c>
      <c r="AK1832" s="30" t="str">
        <f aca="false">IF(OR(S1832="判定不能",J1832="判定不能"),"判定不能",IF(AJ1832&gt;=判定条件!$C$9,"利用可",IF(AND(S1832="停止",J1832="停止"),"両方停止","運転がそろわない")))</f>
        <v>両方停止</v>
      </c>
      <c r="AL1832" s="30" t="n">
        <v>60</v>
      </c>
      <c r="AM1832" s="30" t="n">
        <v>0</v>
      </c>
      <c r="AN1832" s="30" t="str">
        <f aca="false">IF(OR(V1832="判定不能",M1832="判定不能"),"判定不能",IF(AM1832&gt;=判定条件!$C$9,"利用可",IF(AND(V1832="停止",M1832="停止"),"両方停止","運転がそろわない")))</f>
        <v>両方停止</v>
      </c>
      <c r="AO1832" s="30" t="n">
        <v>60</v>
      </c>
      <c r="AP1832" s="30" t="n">
        <v>0</v>
      </c>
      <c r="AQ1832" s="30" t="str">
        <f aca="false">IF(OR(Y1832="判定不能",G1832="判定不能"),"判定不能",IF(AP1832&gt;=判定条件!$C$9,"利用可",IF(AND(Y1832="停止",G1832="停止"),"両方停止","運転がそろわない")))</f>
        <v>運転がそろわない</v>
      </c>
      <c r="AR1832" s="30" t="n">
        <v>60</v>
      </c>
      <c r="AS1832" s="30" t="n">
        <v>0</v>
      </c>
      <c r="AT1832" s="30" t="str">
        <f aca="false">IF(OR(AB1832="判定不能",J1832="判定不能"),"判定不能",IF(AS1832&gt;=判定条件!$C$9,"利用可",IF(AND(AB1832="停止",J1832="停止"),"両方停止","運転がそろわない")))</f>
        <v>両方停止</v>
      </c>
      <c r="AU1832" s="30" t="n">
        <v>60</v>
      </c>
      <c r="AV1832" s="30" t="n">
        <v>0</v>
      </c>
      <c r="AW1832" s="30" t="str">
        <f aca="false">IF(OR(AE1832="判定不能",M1832="判定不能"),"判定不能",IF(AV1832&gt;=判定条件!$C$9,"利用可",IF(AND(AE1832="停止",M1832="停止"),"両方停止","運転がそろわない")))</f>
        <v>両方停止</v>
      </c>
      <c r="AX1832" s="30" t="str">
        <f aca="false">IF(AND(AH1832="利用可",AK1832="利用可",AN1832="利用可"),"利用可","不可")</f>
        <v>不可</v>
      </c>
      <c r="AY1832" s="30" t="str">
        <f aca="false">IF(AND(AQ1832="利用可",AT1832="利用可",AW1832="利用可"),"利用可","不可")</f>
        <v>不可</v>
      </c>
    </row>
    <row r="1833" customFormat="false" ht="15" hidden="false" customHeight="false" outlineLevel="0" collapsed="false">
      <c r="A1833" s="29" t="n">
        <v>46308</v>
      </c>
      <c r="B1833" s="30" t="n">
        <v>6</v>
      </c>
      <c r="C1833" s="31" t="s">
        <v>67</v>
      </c>
      <c r="D1833" s="31" t="s">
        <v>59</v>
      </c>
      <c r="E1833" s="30" t="n">
        <v>60</v>
      </c>
      <c r="F1833" s="30" t="n">
        <v>0</v>
      </c>
      <c r="G1833" s="30" t="str">
        <f aca="false">IF(E1833&lt;判定条件!$C$6,"判定不能",IF(F1833&gt;=判定条件!$C$7*E1833,"運転",IF(F1833&lt;=判定条件!$C$8*E1833,"停止","断続")))</f>
        <v>停止</v>
      </c>
      <c r="H1833" s="30" t="n">
        <v>60</v>
      </c>
      <c r="I1833" s="30" t="n">
        <v>0</v>
      </c>
      <c r="J1833" s="30" t="str">
        <f aca="false">IF(H1833&lt;判定条件!$C$6,"判定不能",IF(I1833&gt;=判定条件!$C$7*H1833,"運転",IF(I1833&lt;=判定条件!$C$8*H1833,"停止","断続")))</f>
        <v>停止</v>
      </c>
      <c r="K1833" s="30" t="n">
        <v>60</v>
      </c>
      <c r="L1833" s="30" t="n">
        <v>0</v>
      </c>
      <c r="M1833" s="30" t="str">
        <f aca="false">IF(K1833&lt;判定条件!$C$6,"判定不能",IF(L1833&gt;=判定条件!$C$7*K1833,"運転",IF(L1833&lt;=判定条件!$C$8*K1833,"停止","断続")))</f>
        <v>停止</v>
      </c>
      <c r="N1833" s="30" t="n">
        <v>60</v>
      </c>
      <c r="O1833" s="30" t="n">
        <v>0</v>
      </c>
      <c r="P1833" s="30" t="str">
        <f aca="false">IF(N1833&lt;判定条件!$C$6,"判定不能",IF(O1833&gt;=判定条件!$C$7*N1833,"運転",IF(O1833&lt;=判定条件!$C$8*N1833,"停止","断続")))</f>
        <v>停止</v>
      </c>
      <c r="Q1833" s="30" t="n">
        <v>60</v>
      </c>
      <c r="R1833" s="30" t="n">
        <v>16</v>
      </c>
      <c r="S1833" s="30" t="str">
        <f aca="false">IF(Q1833&lt;判定条件!$C$6,"判定不能",IF(R1833&gt;=判定条件!$C$7*Q1833,"運転",IF(R1833&lt;=判定条件!$C$8*Q1833,"停止","断続")))</f>
        <v>断続</v>
      </c>
      <c r="T1833" s="30" t="n">
        <v>60</v>
      </c>
      <c r="U1833" s="30" t="n">
        <v>39</v>
      </c>
      <c r="V1833" s="30" t="str">
        <f aca="false">IF(T1833&lt;判定条件!$C$6,"判定不能",IF(U1833&gt;=判定条件!$C$7*T1833,"運転",IF(U1833&lt;=判定条件!$C$8*T1833,"停止","断続")))</f>
        <v>断続</v>
      </c>
      <c r="W1833" s="30" t="n">
        <v>60</v>
      </c>
      <c r="X1833" s="30" t="n">
        <v>10</v>
      </c>
      <c r="Y1833" s="30" t="str">
        <f aca="false">IF(W1833&lt;判定条件!$C$6,"判定不能",IF(X1833&gt;=判定条件!$C$7*W1833,"運転",IF(X1833&lt;=判定条件!$C$8*W1833,"停止","断続")))</f>
        <v>停止</v>
      </c>
      <c r="Z1833" s="30" t="n">
        <v>60</v>
      </c>
      <c r="AA1833" s="30" t="n">
        <v>16</v>
      </c>
      <c r="AB1833" s="30" t="str">
        <f aca="false">IF(Z1833&lt;判定条件!$C$6,"判定不能",IF(AA1833&gt;=判定条件!$C$7*Z1833,"運転",IF(AA1833&lt;=判定条件!$C$8*Z1833,"停止","断続")))</f>
        <v>断続</v>
      </c>
      <c r="AC1833" s="30" t="n">
        <v>60</v>
      </c>
      <c r="AD1833" s="30" t="n">
        <v>37</v>
      </c>
      <c r="AE1833" s="30" t="str">
        <f aca="false">IF(AC1833&lt;判定条件!$C$6,"判定不能",IF(AD1833&gt;=判定条件!$C$7*AC1833,"運転",IF(AD1833&lt;=判定条件!$C$8*AC1833,"停止","断続")))</f>
        <v>断続</v>
      </c>
      <c r="AF1833" s="30" t="n">
        <v>60</v>
      </c>
      <c r="AG1833" s="30" t="n">
        <v>0</v>
      </c>
      <c r="AH1833" s="30" t="str">
        <f aca="false">IF(OR(P1833="判定不能",G1833="判定不能"),"判定不能",IF(AG1833&gt;=判定条件!$C$9,"利用可",IF(AND(P1833="停止",G1833="停止"),"両方停止","運転がそろわない")))</f>
        <v>両方停止</v>
      </c>
      <c r="AI1833" s="30" t="n">
        <v>60</v>
      </c>
      <c r="AJ1833" s="30" t="n">
        <v>0</v>
      </c>
      <c r="AK1833" s="30" t="str">
        <f aca="false">IF(OR(S1833="判定不能",J1833="判定不能"),"判定不能",IF(AJ1833&gt;=判定条件!$C$9,"利用可",IF(AND(S1833="停止",J1833="停止"),"両方停止","運転がそろわない")))</f>
        <v>運転がそろわない</v>
      </c>
      <c r="AL1833" s="30" t="n">
        <v>60</v>
      </c>
      <c r="AM1833" s="30" t="n">
        <v>0</v>
      </c>
      <c r="AN1833" s="30" t="str">
        <f aca="false">IF(OR(V1833="判定不能",M1833="判定不能"),"判定不能",IF(AM1833&gt;=判定条件!$C$9,"利用可",IF(AND(V1833="停止",M1833="停止"),"両方停止","運転がそろわない")))</f>
        <v>運転がそろわない</v>
      </c>
      <c r="AO1833" s="30" t="n">
        <v>60</v>
      </c>
      <c r="AP1833" s="30" t="n">
        <v>0</v>
      </c>
      <c r="AQ1833" s="30" t="str">
        <f aca="false">IF(OR(Y1833="判定不能",G1833="判定不能"),"判定不能",IF(AP1833&gt;=判定条件!$C$9,"利用可",IF(AND(Y1833="停止",G1833="停止"),"両方停止","運転がそろわない")))</f>
        <v>両方停止</v>
      </c>
      <c r="AR1833" s="30" t="n">
        <v>60</v>
      </c>
      <c r="AS1833" s="30" t="n">
        <v>0</v>
      </c>
      <c r="AT1833" s="30" t="str">
        <f aca="false">IF(OR(AB1833="判定不能",J1833="判定不能"),"判定不能",IF(AS1833&gt;=判定条件!$C$9,"利用可",IF(AND(AB1833="停止",J1833="停止"),"両方停止","運転がそろわない")))</f>
        <v>運転がそろわない</v>
      </c>
      <c r="AU1833" s="30" t="n">
        <v>60</v>
      </c>
      <c r="AV1833" s="30" t="n">
        <v>0</v>
      </c>
      <c r="AW1833" s="30" t="str">
        <f aca="false">IF(OR(AE1833="判定不能",M1833="判定不能"),"判定不能",IF(AV1833&gt;=判定条件!$C$9,"利用可",IF(AND(AE1833="停止",M1833="停止"),"両方停止","運転がそろわない")))</f>
        <v>運転がそろわない</v>
      </c>
      <c r="AX1833" s="30" t="str">
        <f aca="false">IF(AND(AH1833="利用可",AK1833="利用可",AN1833="利用可"),"利用可","不可")</f>
        <v>不可</v>
      </c>
      <c r="AY1833" s="30" t="str">
        <f aca="false">IF(AND(AQ1833="利用可",AT1833="利用可",AW1833="利用可"),"利用可","不可")</f>
        <v>不可</v>
      </c>
    </row>
    <row r="1834" customFormat="false" ht="15" hidden="false" customHeight="false" outlineLevel="0" collapsed="false">
      <c r="A1834" s="29" t="n">
        <v>46308</v>
      </c>
      <c r="B1834" s="30" t="n">
        <v>7</v>
      </c>
      <c r="C1834" s="31" t="s">
        <v>67</v>
      </c>
      <c r="D1834" s="31" t="s">
        <v>59</v>
      </c>
      <c r="E1834" s="30" t="n">
        <v>60</v>
      </c>
      <c r="F1834" s="30" t="n">
        <v>0</v>
      </c>
      <c r="G1834" s="30" t="str">
        <f aca="false">IF(E1834&lt;判定条件!$C$6,"判定不能",IF(F1834&gt;=判定条件!$C$7*E1834,"運転",IF(F1834&lt;=判定条件!$C$8*E1834,"停止","断続")))</f>
        <v>停止</v>
      </c>
      <c r="H1834" s="30" t="n">
        <v>60</v>
      </c>
      <c r="I1834" s="30" t="n">
        <v>0</v>
      </c>
      <c r="J1834" s="30" t="str">
        <f aca="false">IF(H1834&lt;判定条件!$C$6,"判定不能",IF(I1834&gt;=判定条件!$C$7*H1834,"運転",IF(I1834&lt;=判定条件!$C$8*H1834,"停止","断続")))</f>
        <v>停止</v>
      </c>
      <c r="K1834" s="30" t="n">
        <v>60</v>
      </c>
      <c r="L1834" s="30" t="n">
        <v>0</v>
      </c>
      <c r="M1834" s="30" t="str">
        <f aca="false">IF(K1834&lt;判定条件!$C$6,"判定不能",IF(L1834&gt;=判定条件!$C$7*K1834,"運転",IF(L1834&lt;=判定条件!$C$8*K1834,"停止","断続")))</f>
        <v>停止</v>
      </c>
      <c r="N1834" s="30" t="n">
        <v>60</v>
      </c>
      <c r="O1834" s="30" t="n">
        <v>1</v>
      </c>
      <c r="P1834" s="30" t="str">
        <f aca="false">IF(N1834&lt;判定条件!$C$6,"判定不能",IF(O1834&gt;=判定条件!$C$7*N1834,"運転",IF(O1834&lt;=判定条件!$C$8*N1834,"停止","断続")))</f>
        <v>停止</v>
      </c>
      <c r="Q1834" s="30" t="n">
        <v>60</v>
      </c>
      <c r="R1834" s="30" t="n">
        <v>7</v>
      </c>
      <c r="S1834" s="30" t="str">
        <f aca="false">IF(Q1834&lt;判定条件!$C$6,"判定不能",IF(R1834&gt;=判定条件!$C$7*Q1834,"運転",IF(R1834&lt;=判定条件!$C$8*Q1834,"停止","断続")))</f>
        <v>停止</v>
      </c>
      <c r="T1834" s="30" t="n">
        <v>60</v>
      </c>
      <c r="U1834" s="30" t="n">
        <v>60</v>
      </c>
      <c r="V1834" s="30" t="str">
        <f aca="false">IF(T1834&lt;判定条件!$C$6,"判定不能",IF(U1834&gt;=判定条件!$C$7*T1834,"運転",IF(U1834&lt;=判定条件!$C$8*T1834,"停止","断続")))</f>
        <v>運転</v>
      </c>
      <c r="W1834" s="30" t="n">
        <v>60</v>
      </c>
      <c r="X1834" s="30" t="n">
        <v>0</v>
      </c>
      <c r="Y1834" s="30" t="str">
        <f aca="false">IF(W1834&lt;判定条件!$C$6,"判定不能",IF(X1834&gt;=判定条件!$C$7*W1834,"運転",IF(X1834&lt;=判定条件!$C$8*W1834,"停止","断続")))</f>
        <v>停止</v>
      </c>
      <c r="Z1834" s="30" t="n">
        <v>60</v>
      </c>
      <c r="AA1834" s="30" t="n">
        <v>52</v>
      </c>
      <c r="AB1834" s="30" t="str">
        <f aca="false">IF(Z1834&lt;判定条件!$C$6,"判定不能",IF(AA1834&gt;=判定条件!$C$7*Z1834,"運転",IF(AA1834&lt;=判定条件!$C$8*Z1834,"停止","断続")))</f>
        <v>運転</v>
      </c>
      <c r="AC1834" s="30" t="n">
        <v>60</v>
      </c>
      <c r="AD1834" s="30" t="n">
        <v>60</v>
      </c>
      <c r="AE1834" s="30" t="str">
        <f aca="false">IF(AC1834&lt;判定条件!$C$6,"判定不能",IF(AD1834&gt;=判定条件!$C$7*AC1834,"運転",IF(AD1834&lt;=判定条件!$C$8*AC1834,"停止","断続")))</f>
        <v>運転</v>
      </c>
      <c r="AF1834" s="30" t="n">
        <v>60</v>
      </c>
      <c r="AG1834" s="30" t="n">
        <v>0</v>
      </c>
      <c r="AH1834" s="30" t="str">
        <f aca="false">IF(OR(P1834="判定不能",G1834="判定不能"),"判定不能",IF(AG1834&gt;=判定条件!$C$9,"利用可",IF(AND(P1834="停止",G1834="停止"),"両方停止","運転がそろわない")))</f>
        <v>両方停止</v>
      </c>
      <c r="AI1834" s="30" t="n">
        <v>60</v>
      </c>
      <c r="AJ1834" s="30" t="n">
        <v>0</v>
      </c>
      <c r="AK1834" s="30" t="str">
        <f aca="false">IF(OR(S1834="判定不能",J1834="判定不能"),"判定不能",IF(AJ1834&gt;=判定条件!$C$9,"利用可",IF(AND(S1834="停止",J1834="停止"),"両方停止","運転がそろわない")))</f>
        <v>両方停止</v>
      </c>
      <c r="AL1834" s="30" t="n">
        <v>60</v>
      </c>
      <c r="AM1834" s="30" t="n">
        <v>0</v>
      </c>
      <c r="AN1834" s="30" t="str">
        <f aca="false">IF(OR(V1834="判定不能",M1834="判定不能"),"判定不能",IF(AM1834&gt;=判定条件!$C$9,"利用可",IF(AND(V1834="停止",M1834="停止"),"両方停止","運転がそろわない")))</f>
        <v>運転がそろわない</v>
      </c>
      <c r="AO1834" s="30" t="n">
        <v>60</v>
      </c>
      <c r="AP1834" s="30" t="n">
        <v>0</v>
      </c>
      <c r="AQ1834" s="30" t="str">
        <f aca="false">IF(OR(Y1834="判定不能",G1834="判定不能"),"判定不能",IF(AP1834&gt;=判定条件!$C$9,"利用可",IF(AND(Y1834="停止",G1834="停止"),"両方停止","運転がそろわない")))</f>
        <v>両方停止</v>
      </c>
      <c r="AR1834" s="30" t="n">
        <v>60</v>
      </c>
      <c r="AS1834" s="30" t="n">
        <v>0</v>
      </c>
      <c r="AT1834" s="30" t="str">
        <f aca="false">IF(OR(AB1834="判定不能",J1834="判定不能"),"判定不能",IF(AS1834&gt;=判定条件!$C$9,"利用可",IF(AND(AB1834="停止",J1834="停止"),"両方停止","運転がそろわない")))</f>
        <v>運転がそろわない</v>
      </c>
      <c r="AU1834" s="30" t="n">
        <v>60</v>
      </c>
      <c r="AV1834" s="30" t="n">
        <v>0</v>
      </c>
      <c r="AW1834" s="30" t="str">
        <f aca="false">IF(OR(AE1834="判定不能",M1834="判定不能"),"判定不能",IF(AV1834&gt;=判定条件!$C$9,"利用可",IF(AND(AE1834="停止",M1834="停止"),"両方停止","運転がそろわない")))</f>
        <v>運転がそろわない</v>
      </c>
      <c r="AX1834" s="30" t="str">
        <f aca="false">IF(AND(AH1834="利用可",AK1834="利用可",AN1834="利用可"),"利用可","不可")</f>
        <v>不可</v>
      </c>
      <c r="AY1834" s="30" t="str">
        <f aca="false">IF(AND(AQ1834="利用可",AT1834="利用可",AW1834="利用可"),"利用可","不可")</f>
        <v>不可</v>
      </c>
    </row>
    <row r="1835" customFormat="false" ht="15" hidden="false" customHeight="false" outlineLevel="0" collapsed="false">
      <c r="A1835" s="29" t="n">
        <v>46308</v>
      </c>
      <c r="B1835" s="30" t="n">
        <v>8</v>
      </c>
      <c r="C1835" s="31" t="s">
        <v>67</v>
      </c>
      <c r="D1835" s="31" t="s">
        <v>59</v>
      </c>
      <c r="E1835" s="30" t="n">
        <v>60</v>
      </c>
      <c r="F1835" s="30" t="n">
        <v>0</v>
      </c>
      <c r="G1835" s="30" t="str">
        <f aca="false">IF(E1835&lt;判定条件!$C$6,"判定不能",IF(F1835&gt;=判定条件!$C$7*E1835,"運転",IF(F1835&lt;=判定条件!$C$8*E1835,"停止","断続")))</f>
        <v>停止</v>
      </c>
      <c r="H1835" s="30" t="n">
        <v>60</v>
      </c>
      <c r="I1835" s="30" t="n">
        <v>0</v>
      </c>
      <c r="J1835" s="30" t="str">
        <f aca="false">IF(H1835&lt;判定条件!$C$6,"判定不能",IF(I1835&gt;=判定条件!$C$7*H1835,"運転",IF(I1835&lt;=判定条件!$C$8*H1835,"停止","断続")))</f>
        <v>停止</v>
      </c>
      <c r="K1835" s="30" t="n">
        <v>60</v>
      </c>
      <c r="L1835" s="30" t="n">
        <v>0</v>
      </c>
      <c r="M1835" s="30" t="str">
        <f aca="false">IF(K1835&lt;判定条件!$C$6,"判定不能",IF(L1835&gt;=判定条件!$C$7*K1835,"運転",IF(L1835&lt;=判定条件!$C$8*K1835,"停止","断続")))</f>
        <v>停止</v>
      </c>
      <c r="N1835" s="30" t="n">
        <v>60</v>
      </c>
      <c r="O1835" s="30" t="n">
        <v>25</v>
      </c>
      <c r="P1835" s="30" t="str">
        <f aca="false">IF(N1835&lt;判定条件!$C$6,"判定不能",IF(O1835&gt;=判定条件!$C$7*N1835,"運転",IF(O1835&lt;=判定条件!$C$8*N1835,"停止","断続")))</f>
        <v>断続</v>
      </c>
      <c r="Q1835" s="30" t="n">
        <v>60</v>
      </c>
      <c r="R1835" s="30" t="n">
        <v>34</v>
      </c>
      <c r="S1835" s="30" t="str">
        <f aca="false">IF(Q1835&lt;判定条件!$C$6,"判定不能",IF(R1835&gt;=判定条件!$C$7*Q1835,"運転",IF(R1835&lt;=判定条件!$C$8*Q1835,"停止","断続")))</f>
        <v>断続</v>
      </c>
      <c r="T1835" s="30" t="n">
        <v>60</v>
      </c>
      <c r="U1835" s="30" t="n">
        <v>60</v>
      </c>
      <c r="V1835" s="30" t="str">
        <f aca="false">IF(T1835&lt;判定条件!$C$6,"判定不能",IF(U1835&gt;=判定条件!$C$7*T1835,"運転",IF(U1835&lt;=判定条件!$C$8*T1835,"停止","断続")))</f>
        <v>運転</v>
      </c>
      <c r="W1835" s="30" t="n">
        <v>60</v>
      </c>
      <c r="X1835" s="30" t="n">
        <v>26</v>
      </c>
      <c r="Y1835" s="30" t="str">
        <f aca="false">IF(W1835&lt;判定条件!$C$6,"判定不能",IF(X1835&gt;=判定条件!$C$7*W1835,"運転",IF(X1835&lt;=判定条件!$C$8*W1835,"停止","断続")))</f>
        <v>断続</v>
      </c>
      <c r="Z1835" s="30" t="n">
        <v>60</v>
      </c>
      <c r="AA1835" s="30" t="n">
        <v>60</v>
      </c>
      <c r="AB1835" s="30" t="str">
        <f aca="false">IF(Z1835&lt;判定条件!$C$6,"判定不能",IF(AA1835&gt;=判定条件!$C$7*Z1835,"運転",IF(AA1835&lt;=判定条件!$C$8*Z1835,"停止","断続")))</f>
        <v>運転</v>
      </c>
      <c r="AC1835" s="30" t="n">
        <v>60</v>
      </c>
      <c r="AD1835" s="30" t="n">
        <v>60</v>
      </c>
      <c r="AE1835" s="30" t="str">
        <f aca="false">IF(AC1835&lt;判定条件!$C$6,"判定不能",IF(AD1835&gt;=判定条件!$C$7*AC1835,"運転",IF(AD1835&lt;=判定条件!$C$8*AC1835,"停止","断続")))</f>
        <v>運転</v>
      </c>
      <c r="AF1835" s="30" t="n">
        <v>60</v>
      </c>
      <c r="AG1835" s="30" t="n">
        <v>0</v>
      </c>
      <c r="AH1835" s="30" t="str">
        <f aca="false">IF(OR(P1835="判定不能",G1835="判定不能"),"判定不能",IF(AG1835&gt;=判定条件!$C$9,"利用可",IF(AND(P1835="停止",G1835="停止"),"両方停止","運転がそろわない")))</f>
        <v>運転がそろわない</v>
      </c>
      <c r="AI1835" s="30" t="n">
        <v>60</v>
      </c>
      <c r="AJ1835" s="30" t="n">
        <v>0</v>
      </c>
      <c r="AK1835" s="30" t="str">
        <f aca="false">IF(OR(S1835="判定不能",J1835="判定不能"),"判定不能",IF(AJ1835&gt;=判定条件!$C$9,"利用可",IF(AND(S1835="停止",J1835="停止"),"両方停止","運転がそろわない")))</f>
        <v>運転がそろわない</v>
      </c>
      <c r="AL1835" s="30" t="n">
        <v>60</v>
      </c>
      <c r="AM1835" s="30" t="n">
        <v>0</v>
      </c>
      <c r="AN1835" s="30" t="str">
        <f aca="false">IF(OR(V1835="判定不能",M1835="判定不能"),"判定不能",IF(AM1835&gt;=判定条件!$C$9,"利用可",IF(AND(V1835="停止",M1835="停止"),"両方停止","運転がそろわない")))</f>
        <v>運転がそろわない</v>
      </c>
      <c r="AO1835" s="30" t="n">
        <v>60</v>
      </c>
      <c r="AP1835" s="30" t="n">
        <v>0</v>
      </c>
      <c r="AQ1835" s="30" t="str">
        <f aca="false">IF(OR(Y1835="判定不能",G1835="判定不能"),"判定不能",IF(AP1835&gt;=判定条件!$C$9,"利用可",IF(AND(Y1835="停止",G1835="停止"),"両方停止","運転がそろわない")))</f>
        <v>運転がそろわない</v>
      </c>
      <c r="AR1835" s="30" t="n">
        <v>60</v>
      </c>
      <c r="AS1835" s="30" t="n">
        <v>0</v>
      </c>
      <c r="AT1835" s="30" t="str">
        <f aca="false">IF(OR(AB1835="判定不能",J1835="判定不能"),"判定不能",IF(AS1835&gt;=判定条件!$C$9,"利用可",IF(AND(AB1835="停止",J1835="停止"),"両方停止","運転がそろわない")))</f>
        <v>運転がそろわない</v>
      </c>
      <c r="AU1835" s="30" t="n">
        <v>60</v>
      </c>
      <c r="AV1835" s="30" t="n">
        <v>0</v>
      </c>
      <c r="AW1835" s="30" t="str">
        <f aca="false">IF(OR(AE1835="判定不能",M1835="判定不能"),"判定不能",IF(AV1835&gt;=判定条件!$C$9,"利用可",IF(AND(AE1835="停止",M1835="停止"),"両方停止","運転がそろわない")))</f>
        <v>運転がそろわない</v>
      </c>
      <c r="AX1835" s="30" t="str">
        <f aca="false">IF(AND(AH1835="利用可",AK1835="利用可",AN1835="利用可"),"利用可","不可")</f>
        <v>不可</v>
      </c>
      <c r="AY1835" s="30" t="str">
        <f aca="false">IF(AND(AQ1835="利用可",AT1835="利用可",AW1835="利用可"),"利用可","不可")</f>
        <v>不可</v>
      </c>
    </row>
    <row r="1836" customFormat="false" ht="15" hidden="false" customHeight="false" outlineLevel="0" collapsed="false">
      <c r="A1836" s="29" t="n">
        <v>46308</v>
      </c>
      <c r="B1836" s="30" t="n">
        <v>9</v>
      </c>
      <c r="C1836" s="31" t="s">
        <v>67</v>
      </c>
      <c r="D1836" s="31" t="s">
        <v>59</v>
      </c>
      <c r="E1836" s="30" t="n">
        <v>60</v>
      </c>
      <c r="F1836" s="30" t="n">
        <v>8</v>
      </c>
      <c r="G1836" s="30" t="str">
        <f aca="false">IF(E1836&lt;判定条件!$C$6,"判定不能",IF(F1836&gt;=判定条件!$C$7*E1836,"運転",IF(F1836&lt;=判定条件!$C$8*E1836,"停止","断続")))</f>
        <v>停止</v>
      </c>
      <c r="H1836" s="30" t="n">
        <v>60</v>
      </c>
      <c r="I1836" s="30" t="n">
        <v>7</v>
      </c>
      <c r="J1836" s="30" t="str">
        <f aca="false">IF(H1836&lt;判定条件!$C$6,"判定不能",IF(I1836&gt;=判定条件!$C$7*H1836,"運転",IF(I1836&lt;=判定条件!$C$8*H1836,"停止","断続")))</f>
        <v>停止</v>
      </c>
      <c r="K1836" s="30" t="n">
        <v>60</v>
      </c>
      <c r="L1836" s="30" t="n">
        <v>23</v>
      </c>
      <c r="M1836" s="30" t="str">
        <f aca="false">IF(K1836&lt;判定条件!$C$6,"判定不能",IF(L1836&gt;=判定条件!$C$7*K1836,"運転",IF(L1836&lt;=判定条件!$C$8*K1836,"停止","断続")))</f>
        <v>断続</v>
      </c>
      <c r="N1836" s="30" t="n">
        <v>60</v>
      </c>
      <c r="O1836" s="30" t="n">
        <v>13</v>
      </c>
      <c r="P1836" s="30" t="str">
        <f aca="false">IF(N1836&lt;判定条件!$C$6,"判定不能",IF(O1836&gt;=判定条件!$C$7*N1836,"運転",IF(O1836&lt;=判定条件!$C$8*N1836,"停止","断続")))</f>
        <v>断続</v>
      </c>
      <c r="Q1836" s="30" t="n">
        <v>60</v>
      </c>
      <c r="R1836" s="30" t="n">
        <v>60</v>
      </c>
      <c r="S1836" s="30" t="str">
        <f aca="false">IF(Q1836&lt;判定条件!$C$6,"判定不能",IF(R1836&gt;=判定条件!$C$7*Q1836,"運転",IF(R1836&lt;=判定条件!$C$8*Q1836,"停止","断続")))</f>
        <v>運転</v>
      </c>
      <c r="T1836" s="30" t="n">
        <v>60</v>
      </c>
      <c r="U1836" s="30" t="n">
        <v>60</v>
      </c>
      <c r="V1836" s="30" t="str">
        <f aca="false">IF(T1836&lt;判定条件!$C$6,"判定不能",IF(U1836&gt;=判定条件!$C$7*T1836,"運転",IF(U1836&lt;=判定条件!$C$8*T1836,"停止","断続")))</f>
        <v>運転</v>
      </c>
      <c r="W1836" s="30" t="n">
        <v>60</v>
      </c>
      <c r="X1836" s="30" t="n">
        <v>51</v>
      </c>
      <c r="Y1836" s="30" t="str">
        <f aca="false">IF(W1836&lt;判定条件!$C$6,"判定不能",IF(X1836&gt;=判定条件!$C$7*W1836,"運転",IF(X1836&lt;=判定条件!$C$8*W1836,"停止","断続")))</f>
        <v>運転</v>
      </c>
      <c r="Z1836" s="30" t="n">
        <v>60</v>
      </c>
      <c r="AA1836" s="30" t="n">
        <v>60</v>
      </c>
      <c r="AB1836" s="30" t="str">
        <f aca="false">IF(Z1836&lt;判定条件!$C$6,"判定不能",IF(AA1836&gt;=判定条件!$C$7*Z1836,"運転",IF(AA1836&lt;=判定条件!$C$8*Z1836,"停止","断続")))</f>
        <v>運転</v>
      </c>
      <c r="AC1836" s="30" t="n">
        <v>60</v>
      </c>
      <c r="AD1836" s="30" t="n">
        <v>60</v>
      </c>
      <c r="AE1836" s="30" t="str">
        <f aca="false">IF(AC1836&lt;判定条件!$C$6,"判定不能",IF(AD1836&gt;=判定条件!$C$7*AC1836,"運転",IF(AD1836&lt;=判定条件!$C$8*AC1836,"停止","断続")))</f>
        <v>運転</v>
      </c>
      <c r="AF1836" s="30" t="n">
        <v>60</v>
      </c>
      <c r="AG1836" s="30" t="n">
        <v>5</v>
      </c>
      <c r="AH1836" s="30" t="str">
        <f aca="false">IF(OR(P1836="判定不能",G1836="判定不能"),"判定不能",IF(AG1836&gt;=判定条件!$C$9,"利用可",IF(AND(P1836="停止",G1836="停止"),"両方停止","運転がそろわない")))</f>
        <v>運転がそろわない</v>
      </c>
      <c r="AI1836" s="30" t="n">
        <v>60</v>
      </c>
      <c r="AJ1836" s="30" t="n">
        <v>7</v>
      </c>
      <c r="AK1836" s="30" t="str">
        <f aca="false">IF(OR(S1836="判定不能",J1836="判定不能"),"判定不能",IF(AJ1836&gt;=判定条件!$C$9,"利用可",IF(AND(S1836="停止",J1836="停止"),"両方停止","運転がそろわない")))</f>
        <v>運転がそろわない</v>
      </c>
      <c r="AL1836" s="30" t="n">
        <v>60</v>
      </c>
      <c r="AM1836" s="30" t="n">
        <v>23</v>
      </c>
      <c r="AN1836" s="30" t="str">
        <f aca="false">IF(OR(V1836="判定不能",M1836="判定不能"),"判定不能",IF(AM1836&gt;=判定条件!$C$9,"利用可",IF(AND(V1836="停止",M1836="停止"),"両方停止","運転がそろわない")))</f>
        <v>運転がそろわない</v>
      </c>
      <c r="AO1836" s="30" t="n">
        <v>60</v>
      </c>
      <c r="AP1836" s="30" t="n">
        <v>5</v>
      </c>
      <c r="AQ1836" s="30" t="str">
        <f aca="false">IF(OR(Y1836="判定不能",G1836="判定不能"),"判定不能",IF(AP1836&gt;=判定条件!$C$9,"利用可",IF(AND(Y1836="停止",G1836="停止"),"両方停止","運転がそろわない")))</f>
        <v>運転がそろわない</v>
      </c>
      <c r="AR1836" s="30" t="n">
        <v>60</v>
      </c>
      <c r="AS1836" s="30" t="n">
        <v>7</v>
      </c>
      <c r="AT1836" s="30" t="str">
        <f aca="false">IF(OR(AB1836="判定不能",J1836="判定不能"),"判定不能",IF(AS1836&gt;=判定条件!$C$9,"利用可",IF(AND(AB1836="停止",J1836="停止"),"両方停止","運転がそろわない")))</f>
        <v>運転がそろわない</v>
      </c>
      <c r="AU1836" s="30" t="n">
        <v>60</v>
      </c>
      <c r="AV1836" s="30" t="n">
        <v>23</v>
      </c>
      <c r="AW1836" s="30" t="str">
        <f aca="false">IF(OR(AE1836="判定不能",M1836="判定不能"),"判定不能",IF(AV1836&gt;=判定条件!$C$9,"利用可",IF(AND(AE1836="停止",M1836="停止"),"両方停止","運転がそろわない")))</f>
        <v>運転がそろわない</v>
      </c>
      <c r="AX1836" s="30" t="str">
        <f aca="false">IF(AND(AH1836="利用可",AK1836="利用可",AN1836="利用可"),"利用可","不可")</f>
        <v>不可</v>
      </c>
      <c r="AY1836" s="30" t="str">
        <f aca="false">IF(AND(AQ1836="利用可",AT1836="利用可",AW1836="利用可"),"利用可","不可")</f>
        <v>不可</v>
      </c>
    </row>
    <row r="1837" customFormat="false" ht="15" hidden="false" customHeight="false" outlineLevel="0" collapsed="false">
      <c r="A1837" s="29" t="n">
        <v>46308</v>
      </c>
      <c r="B1837" s="30" t="n">
        <v>10</v>
      </c>
      <c r="C1837" s="31" t="s">
        <v>67</v>
      </c>
      <c r="D1837" s="31" t="s">
        <v>59</v>
      </c>
      <c r="E1837" s="30" t="n">
        <v>60</v>
      </c>
      <c r="F1837" s="30" t="n">
        <v>15</v>
      </c>
      <c r="G1837" s="30" t="str">
        <f aca="false">IF(E1837&lt;判定条件!$C$6,"判定不能",IF(F1837&gt;=判定条件!$C$7*E1837,"運転",IF(F1837&lt;=判定条件!$C$8*E1837,"停止","断続")))</f>
        <v>断続</v>
      </c>
      <c r="H1837" s="30" t="n">
        <v>60</v>
      </c>
      <c r="I1837" s="30" t="n">
        <v>27</v>
      </c>
      <c r="J1837" s="30" t="str">
        <f aca="false">IF(H1837&lt;判定条件!$C$6,"判定不能",IF(I1837&gt;=判定条件!$C$7*H1837,"運転",IF(I1837&lt;=判定条件!$C$8*H1837,"停止","断続")))</f>
        <v>断続</v>
      </c>
      <c r="K1837" s="30" t="n">
        <v>60</v>
      </c>
      <c r="L1837" s="30" t="n">
        <v>40</v>
      </c>
      <c r="M1837" s="30" t="str">
        <f aca="false">IF(K1837&lt;判定条件!$C$6,"判定不能",IF(L1837&gt;=判定条件!$C$7*K1837,"運転",IF(L1837&lt;=判定条件!$C$8*K1837,"停止","断続")))</f>
        <v>断続</v>
      </c>
      <c r="N1837" s="30" t="n">
        <v>60</v>
      </c>
      <c r="O1837" s="30" t="n">
        <v>10</v>
      </c>
      <c r="P1837" s="30" t="str">
        <f aca="false">IF(N1837&lt;判定条件!$C$6,"判定不能",IF(O1837&gt;=判定条件!$C$7*N1837,"運転",IF(O1837&lt;=判定条件!$C$8*N1837,"停止","断続")))</f>
        <v>停止</v>
      </c>
      <c r="Q1837" s="30" t="n">
        <v>60</v>
      </c>
      <c r="R1837" s="30" t="n">
        <v>60</v>
      </c>
      <c r="S1837" s="30" t="str">
        <f aca="false">IF(Q1837&lt;判定条件!$C$6,"判定不能",IF(R1837&gt;=判定条件!$C$7*Q1837,"運転",IF(R1837&lt;=判定条件!$C$8*Q1837,"停止","断続")))</f>
        <v>運転</v>
      </c>
      <c r="T1837" s="30" t="n">
        <v>60</v>
      </c>
      <c r="U1837" s="30" t="n">
        <v>60</v>
      </c>
      <c r="V1837" s="30" t="str">
        <f aca="false">IF(T1837&lt;判定条件!$C$6,"判定不能",IF(U1837&gt;=判定条件!$C$7*T1837,"運転",IF(U1837&lt;=判定条件!$C$8*T1837,"停止","断続")))</f>
        <v>運転</v>
      </c>
      <c r="W1837" s="30" t="n">
        <v>60</v>
      </c>
      <c r="X1837" s="30" t="n">
        <v>53</v>
      </c>
      <c r="Y1837" s="30" t="str">
        <f aca="false">IF(W1837&lt;判定条件!$C$6,"判定不能",IF(X1837&gt;=判定条件!$C$7*W1837,"運転",IF(X1837&lt;=判定条件!$C$8*W1837,"停止","断続")))</f>
        <v>運転</v>
      </c>
      <c r="Z1837" s="30" t="n">
        <v>60</v>
      </c>
      <c r="AA1837" s="30" t="n">
        <v>60</v>
      </c>
      <c r="AB1837" s="30" t="str">
        <f aca="false">IF(Z1837&lt;判定条件!$C$6,"判定不能",IF(AA1837&gt;=判定条件!$C$7*Z1837,"運転",IF(AA1837&lt;=判定条件!$C$8*Z1837,"停止","断続")))</f>
        <v>運転</v>
      </c>
      <c r="AC1837" s="30" t="n">
        <v>60</v>
      </c>
      <c r="AD1837" s="30" t="n">
        <v>60</v>
      </c>
      <c r="AE1837" s="30" t="str">
        <f aca="false">IF(AC1837&lt;判定条件!$C$6,"判定不能",IF(AD1837&gt;=判定条件!$C$7*AC1837,"運転",IF(AD1837&lt;=判定条件!$C$8*AC1837,"停止","断続")))</f>
        <v>運転</v>
      </c>
      <c r="AF1837" s="30" t="n">
        <v>60</v>
      </c>
      <c r="AG1837" s="30" t="n">
        <v>9</v>
      </c>
      <c r="AH1837" s="30" t="str">
        <f aca="false">IF(OR(P1837="判定不能",G1837="判定不能"),"判定不能",IF(AG1837&gt;=判定条件!$C$9,"利用可",IF(AND(P1837="停止",G1837="停止"),"両方停止","運転がそろわない")))</f>
        <v>運転がそろわない</v>
      </c>
      <c r="AI1837" s="30" t="n">
        <v>60</v>
      </c>
      <c r="AJ1837" s="30" t="n">
        <v>27</v>
      </c>
      <c r="AK1837" s="30" t="str">
        <f aca="false">IF(OR(S1837="判定不能",J1837="判定不能"),"判定不能",IF(AJ1837&gt;=判定条件!$C$9,"利用可",IF(AND(S1837="停止",J1837="停止"),"両方停止","運転がそろわない")))</f>
        <v>運転がそろわない</v>
      </c>
      <c r="AL1837" s="30" t="n">
        <v>60</v>
      </c>
      <c r="AM1837" s="30" t="n">
        <v>40</v>
      </c>
      <c r="AN1837" s="30" t="str">
        <f aca="false">IF(OR(V1837="判定不能",M1837="判定不能"),"判定不能",IF(AM1837&gt;=判定条件!$C$9,"利用可",IF(AND(V1837="停止",M1837="停止"),"両方停止","運転がそろわない")))</f>
        <v>利用可</v>
      </c>
      <c r="AO1837" s="30" t="n">
        <v>60</v>
      </c>
      <c r="AP1837" s="30" t="n">
        <v>15</v>
      </c>
      <c r="AQ1837" s="30" t="str">
        <f aca="false">IF(OR(Y1837="判定不能",G1837="判定不能"),"判定不能",IF(AP1837&gt;=判定条件!$C$9,"利用可",IF(AND(Y1837="停止",G1837="停止"),"両方停止","運転がそろわない")))</f>
        <v>運転がそろわない</v>
      </c>
      <c r="AR1837" s="30" t="n">
        <v>60</v>
      </c>
      <c r="AS1837" s="30" t="n">
        <v>27</v>
      </c>
      <c r="AT1837" s="30" t="str">
        <f aca="false">IF(OR(AB1837="判定不能",J1837="判定不能"),"判定不能",IF(AS1837&gt;=判定条件!$C$9,"利用可",IF(AND(AB1837="停止",J1837="停止"),"両方停止","運転がそろわない")))</f>
        <v>運転がそろわない</v>
      </c>
      <c r="AU1837" s="30" t="n">
        <v>60</v>
      </c>
      <c r="AV1837" s="30" t="n">
        <v>40</v>
      </c>
      <c r="AW1837" s="30" t="str">
        <f aca="false">IF(OR(AE1837="判定不能",M1837="判定不能"),"判定不能",IF(AV1837&gt;=判定条件!$C$9,"利用可",IF(AND(AE1837="停止",M1837="停止"),"両方停止","運転がそろわない")))</f>
        <v>利用可</v>
      </c>
      <c r="AX1837" s="30" t="str">
        <f aca="false">IF(AND(AH1837="利用可",AK1837="利用可",AN1837="利用可"),"利用可","不可")</f>
        <v>不可</v>
      </c>
      <c r="AY1837" s="30" t="str">
        <f aca="false">IF(AND(AQ1837="利用可",AT1837="利用可",AW1837="利用可"),"利用可","不可")</f>
        <v>不可</v>
      </c>
    </row>
    <row r="1838" customFormat="false" ht="15" hidden="false" customHeight="false" outlineLevel="0" collapsed="false">
      <c r="A1838" s="29" t="n">
        <v>46308</v>
      </c>
      <c r="B1838" s="30" t="n">
        <v>11</v>
      </c>
      <c r="C1838" s="31" t="s">
        <v>67</v>
      </c>
      <c r="D1838" s="31" t="s">
        <v>59</v>
      </c>
      <c r="E1838" s="30" t="n">
        <v>60</v>
      </c>
      <c r="F1838" s="30" t="n">
        <v>35</v>
      </c>
      <c r="G1838" s="30" t="str">
        <f aca="false">IF(E1838&lt;判定条件!$C$6,"判定不能",IF(F1838&gt;=判定条件!$C$7*E1838,"運転",IF(F1838&lt;=判定条件!$C$8*E1838,"停止","断続")))</f>
        <v>断続</v>
      </c>
      <c r="H1838" s="30" t="n">
        <v>60</v>
      </c>
      <c r="I1838" s="30" t="n">
        <v>31</v>
      </c>
      <c r="J1838" s="30" t="str">
        <f aca="false">IF(H1838&lt;判定条件!$C$6,"判定不能",IF(I1838&gt;=判定条件!$C$7*H1838,"運転",IF(I1838&lt;=判定条件!$C$8*H1838,"停止","断続")))</f>
        <v>断続</v>
      </c>
      <c r="K1838" s="30" t="n">
        <v>60</v>
      </c>
      <c r="L1838" s="30" t="n">
        <v>39</v>
      </c>
      <c r="M1838" s="30" t="str">
        <f aca="false">IF(K1838&lt;判定条件!$C$6,"判定不能",IF(L1838&gt;=判定条件!$C$7*K1838,"運転",IF(L1838&lt;=判定条件!$C$8*K1838,"停止","断続")))</f>
        <v>断続</v>
      </c>
      <c r="N1838" s="30" t="n">
        <v>60</v>
      </c>
      <c r="O1838" s="30" t="n">
        <v>52</v>
      </c>
      <c r="P1838" s="30" t="str">
        <f aca="false">IF(N1838&lt;判定条件!$C$6,"判定不能",IF(O1838&gt;=判定条件!$C$7*N1838,"運転",IF(O1838&lt;=判定条件!$C$8*N1838,"停止","断続")))</f>
        <v>運転</v>
      </c>
      <c r="Q1838" s="30" t="n">
        <v>60</v>
      </c>
      <c r="R1838" s="30" t="n">
        <v>60</v>
      </c>
      <c r="S1838" s="30" t="str">
        <f aca="false">IF(Q1838&lt;判定条件!$C$6,"判定不能",IF(R1838&gt;=判定条件!$C$7*Q1838,"運転",IF(R1838&lt;=判定条件!$C$8*Q1838,"停止","断続")))</f>
        <v>運転</v>
      </c>
      <c r="T1838" s="30" t="n">
        <v>60</v>
      </c>
      <c r="U1838" s="30" t="n">
        <v>60</v>
      </c>
      <c r="V1838" s="30" t="str">
        <f aca="false">IF(T1838&lt;判定条件!$C$6,"判定不能",IF(U1838&gt;=判定条件!$C$7*T1838,"運転",IF(U1838&lt;=判定条件!$C$8*T1838,"停止","断続")))</f>
        <v>運転</v>
      </c>
      <c r="W1838" s="30" t="n">
        <v>60</v>
      </c>
      <c r="X1838" s="30" t="n">
        <v>57</v>
      </c>
      <c r="Y1838" s="30" t="str">
        <f aca="false">IF(W1838&lt;判定条件!$C$6,"判定不能",IF(X1838&gt;=判定条件!$C$7*W1838,"運転",IF(X1838&lt;=判定条件!$C$8*W1838,"停止","断続")))</f>
        <v>運転</v>
      </c>
      <c r="Z1838" s="30" t="n">
        <v>60</v>
      </c>
      <c r="AA1838" s="30" t="n">
        <v>60</v>
      </c>
      <c r="AB1838" s="30" t="str">
        <f aca="false">IF(Z1838&lt;判定条件!$C$6,"判定不能",IF(AA1838&gt;=判定条件!$C$7*Z1838,"運転",IF(AA1838&lt;=判定条件!$C$8*Z1838,"停止","断続")))</f>
        <v>運転</v>
      </c>
      <c r="AC1838" s="30" t="n">
        <v>60</v>
      </c>
      <c r="AD1838" s="30" t="n">
        <v>60</v>
      </c>
      <c r="AE1838" s="30" t="str">
        <f aca="false">IF(AC1838&lt;判定条件!$C$6,"判定不能",IF(AD1838&gt;=判定条件!$C$7*AC1838,"運転",IF(AD1838&lt;=判定条件!$C$8*AC1838,"停止","断続")))</f>
        <v>運転</v>
      </c>
      <c r="AF1838" s="30" t="n">
        <v>60</v>
      </c>
      <c r="AG1838" s="30" t="n">
        <v>34</v>
      </c>
      <c r="AH1838" s="30" t="str">
        <f aca="false">IF(OR(P1838="判定不能",G1838="判定不能"),"判定不能",IF(AG1838&gt;=判定条件!$C$9,"利用可",IF(AND(P1838="停止",G1838="停止"),"両方停止","運転がそろわない")))</f>
        <v>利用可</v>
      </c>
      <c r="AI1838" s="30" t="n">
        <v>60</v>
      </c>
      <c r="AJ1838" s="30" t="n">
        <v>31</v>
      </c>
      <c r="AK1838" s="30" t="str">
        <f aca="false">IF(OR(S1838="判定不能",J1838="判定不能"),"判定不能",IF(AJ1838&gt;=判定条件!$C$9,"利用可",IF(AND(S1838="停止",J1838="停止"),"両方停止","運転がそろわない")))</f>
        <v>利用可</v>
      </c>
      <c r="AL1838" s="30" t="n">
        <v>60</v>
      </c>
      <c r="AM1838" s="30" t="n">
        <v>39</v>
      </c>
      <c r="AN1838" s="30" t="str">
        <f aca="false">IF(OR(V1838="判定不能",M1838="判定不能"),"判定不能",IF(AM1838&gt;=判定条件!$C$9,"利用可",IF(AND(V1838="停止",M1838="停止"),"両方停止","運転がそろわない")))</f>
        <v>利用可</v>
      </c>
      <c r="AO1838" s="30" t="n">
        <v>60</v>
      </c>
      <c r="AP1838" s="30" t="n">
        <v>35</v>
      </c>
      <c r="AQ1838" s="30" t="str">
        <f aca="false">IF(OR(Y1838="判定不能",G1838="判定不能"),"判定不能",IF(AP1838&gt;=判定条件!$C$9,"利用可",IF(AND(Y1838="停止",G1838="停止"),"両方停止","運転がそろわない")))</f>
        <v>利用可</v>
      </c>
      <c r="AR1838" s="30" t="n">
        <v>60</v>
      </c>
      <c r="AS1838" s="30" t="n">
        <v>31</v>
      </c>
      <c r="AT1838" s="30" t="str">
        <f aca="false">IF(OR(AB1838="判定不能",J1838="判定不能"),"判定不能",IF(AS1838&gt;=判定条件!$C$9,"利用可",IF(AND(AB1838="停止",J1838="停止"),"両方停止","運転がそろわない")))</f>
        <v>利用可</v>
      </c>
      <c r="AU1838" s="30" t="n">
        <v>60</v>
      </c>
      <c r="AV1838" s="30" t="n">
        <v>39</v>
      </c>
      <c r="AW1838" s="30" t="str">
        <f aca="false">IF(OR(AE1838="判定不能",M1838="判定不能"),"判定不能",IF(AV1838&gt;=判定条件!$C$9,"利用可",IF(AND(AE1838="停止",M1838="停止"),"両方停止","運転がそろわない")))</f>
        <v>利用可</v>
      </c>
      <c r="AX1838" s="30" t="str">
        <f aca="false">IF(AND(AH1838="利用可",AK1838="利用可",AN1838="利用可"),"利用可","不可")</f>
        <v>利用可</v>
      </c>
      <c r="AY1838" s="30" t="str">
        <f aca="false">IF(AND(AQ1838="利用可",AT1838="利用可",AW1838="利用可"),"利用可","不可")</f>
        <v>利用可</v>
      </c>
    </row>
    <row r="1839" customFormat="false" ht="15" hidden="false" customHeight="false" outlineLevel="0" collapsed="false">
      <c r="A1839" s="29" t="n">
        <v>46308</v>
      </c>
      <c r="B1839" s="30" t="n">
        <v>12</v>
      </c>
      <c r="C1839" s="31" t="s">
        <v>67</v>
      </c>
      <c r="D1839" s="31" t="s">
        <v>59</v>
      </c>
      <c r="E1839" s="30" t="n">
        <v>60</v>
      </c>
      <c r="F1839" s="30" t="n">
        <v>27</v>
      </c>
      <c r="G1839" s="30" t="str">
        <f aca="false">IF(E1839&lt;判定条件!$C$6,"判定不能",IF(F1839&gt;=判定条件!$C$7*E1839,"運転",IF(F1839&lt;=判定条件!$C$8*E1839,"停止","断続")))</f>
        <v>断続</v>
      </c>
      <c r="H1839" s="30" t="n">
        <v>60</v>
      </c>
      <c r="I1839" s="30" t="n">
        <v>39</v>
      </c>
      <c r="J1839" s="30" t="str">
        <f aca="false">IF(H1839&lt;判定条件!$C$6,"判定不能",IF(I1839&gt;=判定条件!$C$7*H1839,"運転",IF(I1839&lt;=判定条件!$C$8*H1839,"停止","断続")))</f>
        <v>断続</v>
      </c>
      <c r="K1839" s="30" t="n">
        <v>60</v>
      </c>
      <c r="L1839" s="30" t="n">
        <v>60</v>
      </c>
      <c r="M1839" s="30" t="str">
        <f aca="false">IF(K1839&lt;判定条件!$C$6,"判定不能",IF(L1839&gt;=判定条件!$C$7*K1839,"運転",IF(L1839&lt;=判定条件!$C$8*K1839,"停止","断続")))</f>
        <v>運転</v>
      </c>
      <c r="N1839" s="30" t="n">
        <v>60</v>
      </c>
      <c r="O1839" s="30" t="n">
        <v>60</v>
      </c>
      <c r="P1839" s="30" t="str">
        <f aca="false">IF(N1839&lt;判定条件!$C$6,"判定不能",IF(O1839&gt;=判定条件!$C$7*N1839,"運転",IF(O1839&lt;=判定条件!$C$8*N1839,"停止","断続")))</f>
        <v>運転</v>
      </c>
      <c r="Q1839" s="30" t="n">
        <v>60</v>
      </c>
      <c r="R1839" s="30" t="n">
        <v>60</v>
      </c>
      <c r="S1839" s="30" t="str">
        <f aca="false">IF(Q1839&lt;判定条件!$C$6,"判定不能",IF(R1839&gt;=判定条件!$C$7*Q1839,"運転",IF(R1839&lt;=判定条件!$C$8*Q1839,"停止","断続")))</f>
        <v>運転</v>
      </c>
      <c r="T1839" s="30" t="n">
        <v>60</v>
      </c>
      <c r="U1839" s="30" t="n">
        <v>54</v>
      </c>
      <c r="V1839" s="30" t="str">
        <f aca="false">IF(T1839&lt;判定条件!$C$6,"判定不能",IF(U1839&gt;=判定条件!$C$7*T1839,"運転",IF(U1839&lt;=判定条件!$C$8*T1839,"停止","断続")))</f>
        <v>運転</v>
      </c>
      <c r="W1839" s="30" t="n">
        <v>60</v>
      </c>
      <c r="X1839" s="30" t="n">
        <v>53</v>
      </c>
      <c r="Y1839" s="30" t="str">
        <f aca="false">IF(W1839&lt;判定条件!$C$6,"判定不能",IF(X1839&gt;=判定条件!$C$7*W1839,"運転",IF(X1839&lt;=判定条件!$C$8*W1839,"停止","断続")))</f>
        <v>運転</v>
      </c>
      <c r="Z1839" s="30" t="n">
        <v>60</v>
      </c>
      <c r="AA1839" s="30" t="n">
        <v>60</v>
      </c>
      <c r="AB1839" s="30" t="str">
        <f aca="false">IF(Z1839&lt;判定条件!$C$6,"判定不能",IF(AA1839&gt;=判定条件!$C$7*Z1839,"運転",IF(AA1839&lt;=判定条件!$C$8*Z1839,"停止","断続")))</f>
        <v>運転</v>
      </c>
      <c r="AC1839" s="30" t="n">
        <v>60</v>
      </c>
      <c r="AD1839" s="30" t="n">
        <v>56</v>
      </c>
      <c r="AE1839" s="30" t="str">
        <f aca="false">IF(AC1839&lt;判定条件!$C$6,"判定不能",IF(AD1839&gt;=判定条件!$C$7*AC1839,"運転",IF(AD1839&lt;=判定条件!$C$8*AC1839,"停止","断続")))</f>
        <v>運転</v>
      </c>
      <c r="AF1839" s="30" t="n">
        <v>60</v>
      </c>
      <c r="AG1839" s="30" t="n">
        <v>27</v>
      </c>
      <c r="AH1839" s="30" t="str">
        <f aca="false">IF(OR(P1839="判定不能",G1839="判定不能"),"判定不能",IF(AG1839&gt;=判定条件!$C$9,"利用可",IF(AND(P1839="停止",G1839="停止"),"両方停止","運転がそろわない")))</f>
        <v>運転がそろわない</v>
      </c>
      <c r="AI1839" s="30" t="n">
        <v>60</v>
      </c>
      <c r="AJ1839" s="30" t="n">
        <v>39</v>
      </c>
      <c r="AK1839" s="30" t="str">
        <f aca="false">IF(OR(S1839="判定不能",J1839="判定不能"),"判定不能",IF(AJ1839&gt;=判定条件!$C$9,"利用可",IF(AND(S1839="停止",J1839="停止"),"両方停止","運転がそろわない")))</f>
        <v>利用可</v>
      </c>
      <c r="AL1839" s="30" t="n">
        <v>60</v>
      </c>
      <c r="AM1839" s="30" t="n">
        <v>54</v>
      </c>
      <c r="AN1839" s="30" t="str">
        <f aca="false">IF(OR(V1839="判定不能",M1839="判定不能"),"判定不能",IF(AM1839&gt;=判定条件!$C$9,"利用可",IF(AND(V1839="停止",M1839="停止"),"両方停止","運転がそろわない")))</f>
        <v>利用可</v>
      </c>
      <c r="AO1839" s="30" t="n">
        <v>60</v>
      </c>
      <c r="AP1839" s="30" t="n">
        <v>27</v>
      </c>
      <c r="AQ1839" s="30" t="str">
        <f aca="false">IF(OR(Y1839="判定不能",G1839="判定不能"),"判定不能",IF(AP1839&gt;=判定条件!$C$9,"利用可",IF(AND(Y1839="停止",G1839="停止"),"両方停止","運転がそろわない")))</f>
        <v>運転がそろわない</v>
      </c>
      <c r="AR1839" s="30" t="n">
        <v>60</v>
      </c>
      <c r="AS1839" s="30" t="n">
        <v>39</v>
      </c>
      <c r="AT1839" s="30" t="str">
        <f aca="false">IF(OR(AB1839="判定不能",J1839="判定不能"),"判定不能",IF(AS1839&gt;=判定条件!$C$9,"利用可",IF(AND(AB1839="停止",J1839="停止"),"両方停止","運転がそろわない")))</f>
        <v>利用可</v>
      </c>
      <c r="AU1839" s="30" t="n">
        <v>60</v>
      </c>
      <c r="AV1839" s="30" t="n">
        <v>56</v>
      </c>
      <c r="AW1839" s="30" t="str">
        <f aca="false">IF(OR(AE1839="判定不能",M1839="判定不能"),"判定不能",IF(AV1839&gt;=判定条件!$C$9,"利用可",IF(AND(AE1839="停止",M1839="停止"),"両方停止","運転がそろわない")))</f>
        <v>利用可</v>
      </c>
      <c r="AX1839" s="30" t="str">
        <f aca="false">IF(AND(AH1839="利用可",AK1839="利用可",AN1839="利用可"),"利用可","不可")</f>
        <v>不可</v>
      </c>
      <c r="AY1839" s="30" t="str">
        <f aca="false">IF(AND(AQ1839="利用可",AT1839="利用可",AW1839="利用可"),"利用可","不可")</f>
        <v>不可</v>
      </c>
    </row>
    <row r="1840" customFormat="false" ht="15" hidden="false" customHeight="false" outlineLevel="0" collapsed="false">
      <c r="A1840" s="29" t="n">
        <v>46308</v>
      </c>
      <c r="B1840" s="30" t="n">
        <v>13</v>
      </c>
      <c r="C1840" s="31" t="s">
        <v>67</v>
      </c>
      <c r="D1840" s="31" t="s">
        <v>59</v>
      </c>
      <c r="E1840" s="30" t="n">
        <v>60</v>
      </c>
      <c r="F1840" s="30" t="n">
        <v>36</v>
      </c>
      <c r="G1840" s="30" t="str">
        <f aca="false">IF(E1840&lt;判定条件!$C$6,"判定不能",IF(F1840&gt;=判定条件!$C$7*E1840,"運転",IF(F1840&lt;=判定条件!$C$8*E1840,"停止","断続")))</f>
        <v>断続</v>
      </c>
      <c r="H1840" s="30" t="n">
        <v>60</v>
      </c>
      <c r="I1840" s="30" t="n">
        <v>55</v>
      </c>
      <c r="J1840" s="30" t="str">
        <f aca="false">IF(H1840&lt;判定条件!$C$6,"判定不能",IF(I1840&gt;=判定条件!$C$7*H1840,"運転",IF(I1840&lt;=判定条件!$C$8*H1840,"停止","断続")))</f>
        <v>運転</v>
      </c>
      <c r="K1840" s="30" t="n">
        <v>60</v>
      </c>
      <c r="L1840" s="30" t="n">
        <v>60</v>
      </c>
      <c r="M1840" s="30" t="str">
        <f aca="false">IF(K1840&lt;判定条件!$C$6,"判定不能",IF(L1840&gt;=判定条件!$C$7*K1840,"運転",IF(L1840&lt;=判定条件!$C$8*K1840,"停止","断続")))</f>
        <v>運転</v>
      </c>
      <c r="N1840" s="30" t="n">
        <v>44</v>
      </c>
      <c r="O1840" s="30" t="n">
        <v>24</v>
      </c>
      <c r="P1840" s="30" t="str">
        <f aca="false">IF(N1840&lt;判定条件!$C$6,"判定不能",IF(O1840&gt;=判定条件!$C$7*N1840,"運転",IF(O1840&lt;=判定条件!$C$8*N1840,"停止","断続")))</f>
        <v>判定不能</v>
      </c>
      <c r="Q1840" s="30" t="n">
        <v>44</v>
      </c>
      <c r="R1840" s="30" t="n">
        <v>25</v>
      </c>
      <c r="S1840" s="30" t="str">
        <f aca="false">IF(Q1840&lt;判定条件!$C$6,"判定不能",IF(R1840&gt;=判定条件!$C$7*Q1840,"運転",IF(R1840&lt;=判定条件!$C$8*Q1840,"停止","断続")))</f>
        <v>判定不能</v>
      </c>
      <c r="T1840" s="30" t="n">
        <v>44</v>
      </c>
      <c r="U1840" s="30" t="n">
        <v>29</v>
      </c>
      <c r="V1840" s="30" t="str">
        <f aca="false">IF(T1840&lt;判定条件!$C$6,"判定不能",IF(U1840&gt;=判定条件!$C$7*T1840,"運転",IF(U1840&lt;=判定条件!$C$8*T1840,"停止","断続")))</f>
        <v>判定不能</v>
      </c>
      <c r="W1840" s="30" t="n">
        <v>60</v>
      </c>
      <c r="X1840" s="30" t="n">
        <v>44</v>
      </c>
      <c r="Y1840" s="30" t="str">
        <f aca="false">IF(W1840&lt;判定条件!$C$6,"判定不能",IF(X1840&gt;=判定条件!$C$7*W1840,"運転",IF(X1840&lt;=判定条件!$C$8*W1840,"停止","断続")))</f>
        <v>断続</v>
      </c>
      <c r="Z1840" s="30" t="n">
        <v>60</v>
      </c>
      <c r="AA1840" s="30" t="n">
        <v>60</v>
      </c>
      <c r="AB1840" s="30" t="str">
        <f aca="false">IF(Z1840&lt;判定条件!$C$6,"判定不能",IF(AA1840&gt;=判定条件!$C$7*Z1840,"運転",IF(AA1840&lt;=判定条件!$C$8*Z1840,"停止","断続")))</f>
        <v>運転</v>
      </c>
      <c r="AC1840" s="30" t="n">
        <v>60</v>
      </c>
      <c r="AD1840" s="30" t="n">
        <v>46</v>
      </c>
      <c r="AE1840" s="30" t="str">
        <f aca="false">IF(AC1840&lt;判定条件!$C$6,"判定不能",IF(AD1840&gt;=判定条件!$C$7*AC1840,"運転",IF(AD1840&lt;=判定条件!$C$8*AC1840,"停止","断続")))</f>
        <v>断続</v>
      </c>
      <c r="AF1840" s="30" t="n">
        <v>44</v>
      </c>
      <c r="AG1840" s="30" t="n">
        <v>15</v>
      </c>
      <c r="AH1840" s="30" t="str">
        <f aca="false">IF(OR(P1840="判定不能",G1840="判定不能"),"判定不能",IF(AG1840&gt;=判定条件!$C$9,"利用可",IF(AND(P1840="停止",G1840="停止"),"両方停止","運転がそろわない")))</f>
        <v>判定不能</v>
      </c>
      <c r="AI1840" s="30" t="n">
        <v>44</v>
      </c>
      <c r="AJ1840" s="30" t="n">
        <v>25</v>
      </c>
      <c r="AK1840" s="30" t="str">
        <f aca="false">IF(OR(S1840="判定不能",J1840="判定不能"),"判定不能",IF(AJ1840&gt;=判定条件!$C$9,"利用可",IF(AND(S1840="停止",J1840="停止"),"両方停止","運転がそろわない")))</f>
        <v>判定不能</v>
      </c>
      <c r="AL1840" s="30" t="n">
        <v>44</v>
      </c>
      <c r="AM1840" s="30" t="n">
        <v>29</v>
      </c>
      <c r="AN1840" s="30" t="str">
        <f aca="false">IF(OR(V1840="判定不能",M1840="判定不能"),"判定不能",IF(AM1840&gt;=判定条件!$C$9,"利用可",IF(AND(V1840="停止",M1840="停止"),"両方停止","運転がそろわない")))</f>
        <v>判定不能</v>
      </c>
      <c r="AO1840" s="30" t="n">
        <v>60</v>
      </c>
      <c r="AP1840" s="30" t="n">
        <v>31</v>
      </c>
      <c r="AQ1840" s="30" t="str">
        <f aca="false">IF(OR(Y1840="判定不能",G1840="判定不能"),"判定不能",IF(AP1840&gt;=判定条件!$C$9,"利用可",IF(AND(Y1840="停止",G1840="停止"),"両方停止","運転がそろわない")))</f>
        <v>利用可</v>
      </c>
      <c r="AR1840" s="30" t="n">
        <v>60</v>
      </c>
      <c r="AS1840" s="30" t="n">
        <v>55</v>
      </c>
      <c r="AT1840" s="30" t="str">
        <f aca="false">IF(OR(AB1840="判定不能",J1840="判定不能"),"判定不能",IF(AS1840&gt;=判定条件!$C$9,"利用可",IF(AND(AB1840="停止",J1840="停止"),"両方停止","運転がそろわない")))</f>
        <v>利用可</v>
      </c>
      <c r="AU1840" s="30" t="n">
        <v>60</v>
      </c>
      <c r="AV1840" s="30" t="n">
        <v>46</v>
      </c>
      <c r="AW1840" s="30" t="str">
        <f aca="false">IF(OR(AE1840="判定不能",M1840="判定不能"),"判定不能",IF(AV1840&gt;=判定条件!$C$9,"利用可",IF(AND(AE1840="停止",M1840="停止"),"両方停止","運転がそろわない")))</f>
        <v>利用可</v>
      </c>
      <c r="AX1840" s="30" t="str">
        <f aca="false">IF(AND(AH1840="利用可",AK1840="利用可",AN1840="利用可"),"利用可","不可")</f>
        <v>不可</v>
      </c>
      <c r="AY1840" s="30" t="str">
        <f aca="false">IF(AND(AQ1840="利用可",AT1840="利用可",AW1840="利用可"),"利用可","不可")</f>
        <v>利用可</v>
      </c>
    </row>
    <row r="1841" customFormat="false" ht="15" hidden="false" customHeight="false" outlineLevel="0" collapsed="false">
      <c r="A1841" s="29" t="n">
        <v>46308</v>
      </c>
      <c r="B1841" s="30" t="n">
        <v>14</v>
      </c>
      <c r="C1841" s="31" t="s">
        <v>67</v>
      </c>
      <c r="D1841" s="31" t="s">
        <v>59</v>
      </c>
      <c r="E1841" s="30" t="n">
        <v>17</v>
      </c>
      <c r="F1841" s="30" t="n">
        <v>0</v>
      </c>
      <c r="G1841" s="30" t="str">
        <f aca="false">IF(E1841&lt;判定条件!$C$6,"判定不能",IF(F1841&gt;=判定条件!$C$7*E1841,"運転",IF(F1841&lt;=判定条件!$C$8*E1841,"停止","断続")))</f>
        <v>判定不能</v>
      </c>
      <c r="H1841" s="30" t="n">
        <v>17</v>
      </c>
      <c r="I1841" s="30" t="n">
        <v>9</v>
      </c>
      <c r="J1841" s="30" t="str">
        <f aca="false">IF(H1841&lt;判定条件!$C$6,"判定不能",IF(I1841&gt;=判定条件!$C$7*H1841,"運転",IF(I1841&lt;=判定条件!$C$8*H1841,"停止","断続")))</f>
        <v>判定不能</v>
      </c>
      <c r="K1841" s="30" t="n">
        <v>17</v>
      </c>
      <c r="L1841" s="30" t="n">
        <v>17</v>
      </c>
      <c r="M1841" s="30" t="str">
        <f aca="false">IF(K1841&lt;判定条件!$C$6,"判定不能",IF(L1841&gt;=判定条件!$C$7*K1841,"運転",IF(L1841&lt;=判定条件!$C$8*K1841,"停止","断続")))</f>
        <v>判定不能</v>
      </c>
      <c r="N1841" s="30" t="n">
        <v>0</v>
      </c>
      <c r="O1841" s="30" t="n">
        <v>0</v>
      </c>
      <c r="P1841" s="30" t="str">
        <f aca="false">IF(N1841&lt;判定条件!$C$6,"判定不能",IF(O1841&gt;=判定条件!$C$7*N1841,"運転",IF(O1841&lt;=判定条件!$C$8*N1841,"停止","断続")))</f>
        <v>判定不能</v>
      </c>
      <c r="Q1841" s="30" t="n">
        <v>0</v>
      </c>
      <c r="R1841" s="30" t="n">
        <v>0</v>
      </c>
      <c r="S1841" s="30" t="str">
        <f aca="false">IF(Q1841&lt;判定条件!$C$6,"判定不能",IF(R1841&gt;=判定条件!$C$7*Q1841,"運転",IF(R1841&lt;=判定条件!$C$8*Q1841,"停止","断続")))</f>
        <v>判定不能</v>
      </c>
      <c r="T1841" s="30" t="n">
        <v>0</v>
      </c>
      <c r="U1841" s="30" t="n">
        <v>0</v>
      </c>
      <c r="V1841" s="30" t="str">
        <f aca="false">IF(T1841&lt;判定条件!$C$6,"判定不能",IF(U1841&gt;=判定条件!$C$7*T1841,"運転",IF(U1841&lt;=判定条件!$C$8*T1841,"停止","断続")))</f>
        <v>判定不能</v>
      </c>
      <c r="W1841" s="30" t="n">
        <v>2</v>
      </c>
      <c r="X1841" s="30" t="n">
        <v>2</v>
      </c>
      <c r="Y1841" s="30" t="str">
        <f aca="false">IF(W1841&lt;判定条件!$C$6,"判定不能",IF(X1841&gt;=判定条件!$C$7*W1841,"運転",IF(X1841&lt;=判定条件!$C$8*W1841,"停止","断続")))</f>
        <v>判定不能</v>
      </c>
      <c r="Z1841" s="30" t="n">
        <v>2</v>
      </c>
      <c r="AA1841" s="30" t="n">
        <v>2</v>
      </c>
      <c r="AB1841" s="30" t="str">
        <f aca="false">IF(Z1841&lt;判定条件!$C$6,"判定不能",IF(AA1841&gt;=判定条件!$C$7*Z1841,"運転",IF(AA1841&lt;=判定条件!$C$8*Z1841,"停止","断続")))</f>
        <v>判定不能</v>
      </c>
      <c r="AC1841" s="30" t="n">
        <v>2</v>
      </c>
      <c r="AD1841" s="30" t="n">
        <v>0</v>
      </c>
      <c r="AE1841" s="30" t="str">
        <f aca="false">IF(AC1841&lt;判定条件!$C$6,"判定不能",IF(AD1841&gt;=判定条件!$C$7*AC1841,"運転",IF(AD1841&lt;=判定条件!$C$8*AC1841,"停止","断続")))</f>
        <v>判定不能</v>
      </c>
      <c r="AF1841" s="30" t="n">
        <v>0</v>
      </c>
      <c r="AG1841" s="30" t="n">
        <v>0</v>
      </c>
      <c r="AH1841" s="30" t="str">
        <f aca="false">IF(OR(P1841="判定不能",G1841="判定不能"),"判定不能",IF(AG1841&gt;=判定条件!$C$9,"利用可",IF(AND(P1841="停止",G1841="停止"),"両方停止","運転がそろわない")))</f>
        <v>判定不能</v>
      </c>
      <c r="AI1841" s="30" t="n">
        <v>0</v>
      </c>
      <c r="AJ1841" s="30" t="n">
        <v>0</v>
      </c>
      <c r="AK1841" s="30" t="str">
        <f aca="false">IF(OR(S1841="判定不能",J1841="判定不能"),"判定不能",IF(AJ1841&gt;=判定条件!$C$9,"利用可",IF(AND(S1841="停止",J1841="停止"),"両方停止","運転がそろわない")))</f>
        <v>判定不能</v>
      </c>
      <c r="AL1841" s="30" t="n">
        <v>0</v>
      </c>
      <c r="AM1841" s="30" t="n">
        <v>0</v>
      </c>
      <c r="AN1841" s="30" t="str">
        <f aca="false">IF(OR(V1841="判定不能",M1841="判定不能"),"判定不能",IF(AM1841&gt;=判定条件!$C$9,"利用可",IF(AND(V1841="停止",M1841="停止"),"両方停止","運転がそろわない")))</f>
        <v>判定不能</v>
      </c>
      <c r="AO1841" s="30" t="n">
        <v>2</v>
      </c>
      <c r="AP1841" s="30" t="n">
        <v>0</v>
      </c>
      <c r="AQ1841" s="30" t="str">
        <f aca="false">IF(OR(Y1841="判定不能",G1841="判定不能"),"判定不能",IF(AP1841&gt;=判定条件!$C$9,"利用可",IF(AND(Y1841="停止",G1841="停止"),"両方停止","運転がそろわない")))</f>
        <v>判定不能</v>
      </c>
      <c r="AR1841" s="30" t="n">
        <v>2</v>
      </c>
      <c r="AS1841" s="30" t="n">
        <v>1</v>
      </c>
      <c r="AT1841" s="30" t="str">
        <f aca="false">IF(OR(AB1841="判定不能",J1841="判定不能"),"判定不能",IF(AS1841&gt;=判定条件!$C$9,"利用可",IF(AND(AB1841="停止",J1841="停止"),"両方停止","運転がそろわない")))</f>
        <v>判定不能</v>
      </c>
      <c r="AU1841" s="30" t="n">
        <v>2</v>
      </c>
      <c r="AV1841" s="30" t="n">
        <v>0</v>
      </c>
      <c r="AW1841" s="30" t="str">
        <f aca="false">IF(OR(AE1841="判定不能",M1841="判定不能"),"判定不能",IF(AV1841&gt;=判定条件!$C$9,"利用可",IF(AND(AE1841="停止",M1841="停止"),"両方停止","運転がそろわない")))</f>
        <v>判定不能</v>
      </c>
      <c r="AX1841" s="30" t="str">
        <f aca="false">IF(AND(AH1841="利用可",AK1841="利用可",AN1841="利用可"),"利用可","不可")</f>
        <v>不可</v>
      </c>
      <c r="AY1841" s="30" t="str">
        <f aca="false">IF(AND(AQ1841="利用可",AT1841="利用可",AW1841="利用可"),"利用可","不可")</f>
        <v>不可</v>
      </c>
    </row>
    <row r="1842" customFormat="false" ht="15" hidden="false" customHeight="false" outlineLevel="0" collapsed="false">
      <c r="A1842" s="29" t="n">
        <v>46308</v>
      </c>
      <c r="B1842" s="30" t="n">
        <v>15</v>
      </c>
      <c r="C1842" s="31" t="s">
        <v>67</v>
      </c>
      <c r="D1842" s="31" t="s">
        <v>59</v>
      </c>
      <c r="E1842" s="30" t="n">
        <v>0</v>
      </c>
      <c r="F1842" s="30" t="n">
        <v>0</v>
      </c>
      <c r="G1842" s="30" t="str">
        <f aca="false">IF(E1842&lt;判定条件!$C$6,"判定不能",IF(F1842&gt;=判定条件!$C$7*E1842,"運転",IF(F1842&lt;=判定条件!$C$8*E1842,"停止","断続")))</f>
        <v>判定不能</v>
      </c>
      <c r="H1842" s="30" t="n">
        <v>0</v>
      </c>
      <c r="I1842" s="30" t="n">
        <v>0</v>
      </c>
      <c r="J1842" s="30" t="str">
        <f aca="false">IF(H1842&lt;判定条件!$C$6,"判定不能",IF(I1842&gt;=判定条件!$C$7*H1842,"運転",IF(I1842&lt;=判定条件!$C$8*H1842,"停止","断続")))</f>
        <v>判定不能</v>
      </c>
      <c r="K1842" s="30" t="n">
        <v>0</v>
      </c>
      <c r="L1842" s="30" t="n">
        <v>0</v>
      </c>
      <c r="M1842" s="30" t="str">
        <f aca="false">IF(K1842&lt;判定条件!$C$6,"判定不能",IF(L1842&gt;=判定条件!$C$7*K1842,"運転",IF(L1842&lt;=判定条件!$C$8*K1842,"停止","断続")))</f>
        <v>判定不能</v>
      </c>
      <c r="N1842" s="30" t="n">
        <v>0</v>
      </c>
      <c r="O1842" s="30" t="n">
        <v>0</v>
      </c>
      <c r="P1842" s="30" t="str">
        <f aca="false">IF(N1842&lt;判定条件!$C$6,"判定不能",IF(O1842&gt;=判定条件!$C$7*N1842,"運転",IF(O1842&lt;=判定条件!$C$8*N1842,"停止","断続")))</f>
        <v>判定不能</v>
      </c>
      <c r="Q1842" s="30" t="n">
        <v>0</v>
      </c>
      <c r="R1842" s="30" t="n">
        <v>0</v>
      </c>
      <c r="S1842" s="30" t="str">
        <f aca="false">IF(Q1842&lt;判定条件!$C$6,"判定不能",IF(R1842&gt;=判定条件!$C$7*Q1842,"運転",IF(R1842&lt;=判定条件!$C$8*Q1842,"停止","断続")))</f>
        <v>判定不能</v>
      </c>
      <c r="T1842" s="30" t="n">
        <v>0</v>
      </c>
      <c r="U1842" s="30" t="n">
        <v>0</v>
      </c>
      <c r="V1842" s="30" t="str">
        <f aca="false">IF(T1842&lt;判定条件!$C$6,"判定不能",IF(U1842&gt;=判定条件!$C$7*T1842,"運転",IF(U1842&lt;=判定条件!$C$8*T1842,"停止","断続")))</f>
        <v>判定不能</v>
      </c>
      <c r="W1842" s="30" t="n">
        <v>0</v>
      </c>
      <c r="X1842" s="30" t="n">
        <v>0</v>
      </c>
      <c r="Y1842" s="30" t="str">
        <f aca="false">IF(W1842&lt;判定条件!$C$6,"判定不能",IF(X1842&gt;=判定条件!$C$7*W1842,"運転",IF(X1842&lt;=判定条件!$C$8*W1842,"停止","断続")))</f>
        <v>判定不能</v>
      </c>
      <c r="Z1842" s="30" t="n">
        <v>0</v>
      </c>
      <c r="AA1842" s="30" t="n">
        <v>0</v>
      </c>
      <c r="AB1842" s="30" t="str">
        <f aca="false">IF(Z1842&lt;判定条件!$C$6,"判定不能",IF(AA1842&gt;=判定条件!$C$7*Z1842,"運転",IF(AA1842&lt;=判定条件!$C$8*Z1842,"停止","断続")))</f>
        <v>判定不能</v>
      </c>
      <c r="AC1842" s="30" t="n">
        <v>0</v>
      </c>
      <c r="AD1842" s="30" t="n">
        <v>0</v>
      </c>
      <c r="AE1842" s="30" t="str">
        <f aca="false">IF(AC1842&lt;判定条件!$C$6,"判定不能",IF(AD1842&gt;=判定条件!$C$7*AC1842,"運転",IF(AD1842&lt;=判定条件!$C$8*AC1842,"停止","断続")))</f>
        <v>判定不能</v>
      </c>
      <c r="AF1842" s="30" t="n">
        <v>0</v>
      </c>
      <c r="AG1842" s="30" t="n">
        <v>0</v>
      </c>
      <c r="AH1842" s="30" t="str">
        <f aca="false">IF(OR(P1842="判定不能",G1842="判定不能"),"判定不能",IF(AG1842&gt;=判定条件!$C$9,"利用可",IF(AND(P1842="停止",G1842="停止"),"両方停止","運転がそろわない")))</f>
        <v>判定不能</v>
      </c>
      <c r="AI1842" s="30" t="n">
        <v>0</v>
      </c>
      <c r="AJ1842" s="30" t="n">
        <v>0</v>
      </c>
      <c r="AK1842" s="30" t="str">
        <f aca="false">IF(OR(S1842="判定不能",J1842="判定不能"),"判定不能",IF(AJ1842&gt;=判定条件!$C$9,"利用可",IF(AND(S1842="停止",J1842="停止"),"両方停止","運転がそろわない")))</f>
        <v>判定不能</v>
      </c>
      <c r="AL1842" s="30" t="n">
        <v>0</v>
      </c>
      <c r="AM1842" s="30" t="n">
        <v>0</v>
      </c>
      <c r="AN1842" s="30" t="str">
        <f aca="false">IF(OR(V1842="判定不能",M1842="判定不能"),"判定不能",IF(AM1842&gt;=判定条件!$C$9,"利用可",IF(AND(V1842="停止",M1842="停止"),"両方停止","運転がそろわない")))</f>
        <v>判定不能</v>
      </c>
      <c r="AO1842" s="30" t="n">
        <v>0</v>
      </c>
      <c r="AP1842" s="30" t="n">
        <v>0</v>
      </c>
      <c r="AQ1842" s="30" t="str">
        <f aca="false">IF(OR(Y1842="判定不能",G1842="判定不能"),"判定不能",IF(AP1842&gt;=判定条件!$C$9,"利用可",IF(AND(Y1842="停止",G1842="停止"),"両方停止","運転がそろわない")))</f>
        <v>判定不能</v>
      </c>
      <c r="AR1842" s="30" t="n">
        <v>0</v>
      </c>
      <c r="AS1842" s="30" t="n">
        <v>0</v>
      </c>
      <c r="AT1842" s="30" t="str">
        <f aca="false">IF(OR(AB1842="判定不能",J1842="判定不能"),"判定不能",IF(AS1842&gt;=判定条件!$C$9,"利用可",IF(AND(AB1842="停止",J1842="停止"),"両方停止","運転がそろわない")))</f>
        <v>判定不能</v>
      </c>
      <c r="AU1842" s="30" t="n">
        <v>0</v>
      </c>
      <c r="AV1842" s="30" t="n">
        <v>0</v>
      </c>
      <c r="AW1842" s="30" t="str">
        <f aca="false">IF(OR(AE1842="判定不能",M1842="判定不能"),"判定不能",IF(AV1842&gt;=判定条件!$C$9,"利用可",IF(AND(AE1842="停止",M1842="停止"),"両方停止","運転がそろわない")))</f>
        <v>判定不能</v>
      </c>
      <c r="AX1842" s="30" t="str">
        <f aca="false">IF(AND(AH1842="利用可",AK1842="利用可",AN1842="利用可"),"利用可","不可")</f>
        <v>不可</v>
      </c>
      <c r="AY1842" s="30" t="str">
        <f aca="false">IF(AND(AQ1842="利用可",AT1842="利用可",AW1842="利用可"),"利用可","不可")</f>
        <v>不可</v>
      </c>
    </row>
    <row r="1843" customFormat="false" ht="15" hidden="false" customHeight="false" outlineLevel="0" collapsed="false">
      <c r="A1843" s="29" t="n">
        <v>46308</v>
      </c>
      <c r="B1843" s="30" t="n">
        <v>16</v>
      </c>
      <c r="C1843" s="31" t="s">
        <v>67</v>
      </c>
      <c r="D1843" s="31" t="s">
        <v>59</v>
      </c>
      <c r="E1843" s="30" t="n">
        <v>0</v>
      </c>
      <c r="F1843" s="30" t="n">
        <v>0</v>
      </c>
      <c r="G1843" s="30" t="str">
        <f aca="false">IF(E1843&lt;判定条件!$C$6,"判定不能",IF(F1843&gt;=判定条件!$C$7*E1843,"運転",IF(F1843&lt;=判定条件!$C$8*E1843,"停止","断続")))</f>
        <v>判定不能</v>
      </c>
      <c r="H1843" s="30" t="n">
        <v>0</v>
      </c>
      <c r="I1843" s="30" t="n">
        <v>0</v>
      </c>
      <c r="J1843" s="30" t="str">
        <f aca="false">IF(H1843&lt;判定条件!$C$6,"判定不能",IF(I1843&gt;=判定条件!$C$7*H1843,"運転",IF(I1843&lt;=判定条件!$C$8*H1843,"停止","断続")))</f>
        <v>判定不能</v>
      </c>
      <c r="K1843" s="30" t="n">
        <v>0</v>
      </c>
      <c r="L1843" s="30" t="n">
        <v>0</v>
      </c>
      <c r="M1843" s="30" t="str">
        <f aca="false">IF(K1843&lt;判定条件!$C$6,"判定不能",IF(L1843&gt;=判定条件!$C$7*K1843,"運転",IF(L1843&lt;=判定条件!$C$8*K1843,"停止","断続")))</f>
        <v>判定不能</v>
      </c>
      <c r="N1843" s="30" t="n">
        <v>0</v>
      </c>
      <c r="O1843" s="30" t="n">
        <v>0</v>
      </c>
      <c r="P1843" s="30" t="str">
        <f aca="false">IF(N1843&lt;判定条件!$C$6,"判定不能",IF(O1843&gt;=判定条件!$C$7*N1843,"運転",IF(O1843&lt;=判定条件!$C$8*N1843,"停止","断続")))</f>
        <v>判定不能</v>
      </c>
      <c r="Q1843" s="30" t="n">
        <v>0</v>
      </c>
      <c r="R1843" s="30" t="n">
        <v>0</v>
      </c>
      <c r="S1843" s="30" t="str">
        <f aca="false">IF(Q1843&lt;判定条件!$C$6,"判定不能",IF(R1843&gt;=判定条件!$C$7*Q1843,"運転",IF(R1843&lt;=判定条件!$C$8*Q1843,"停止","断続")))</f>
        <v>判定不能</v>
      </c>
      <c r="T1843" s="30" t="n">
        <v>0</v>
      </c>
      <c r="U1843" s="30" t="n">
        <v>0</v>
      </c>
      <c r="V1843" s="30" t="str">
        <f aca="false">IF(T1843&lt;判定条件!$C$6,"判定不能",IF(U1843&gt;=判定条件!$C$7*T1843,"運転",IF(U1843&lt;=判定条件!$C$8*T1843,"停止","断続")))</f>
        <v>判定不能</v>
      </c>
      <c r="W1843" s="30" t="n">
        <v>0</v>
      </c>
      <c r="X1843" s="30" t="n">
        <v>0</v>
      </c>
      <c r="Y1843" s="30" t="str">
        <f aca="false">IF(W1843&lt;判定条件!$C$6,"判定不能",IF(X1843&gt;=判定条件!$C$7*W1843,"運転",IF(X1843&lt;=判定条件!$C$8*W1843,"停止","断続")))</f>
        <v>判定不能</v>
      </c>
      <c r="Z1843" s="30" t="n">
        <v>0</v>
      </c>
      <c r="AA1843" s="30" t="n">
        <v>0</v>
      </c>
      <c r="AB1843" s="30" t="str">
        <f aca="false">IF(Z1843&lt;判定条件!$C$6,"判定不能",IF(AA1843&gt;=判定条件!$C$7*Z1843,"運転",IF(AA1843&lt;=判定条件!$C$8*Z1843,"停止","断続")))</f>
        <v>判定不能</v>
      </c>
      <c r="AC1843" s="30" t="n">
        <v>0</v>
      </c>
      <c r="AD1843" s="30" t="n">
        <v>0</v>
      </c>
      <c r="AE1843" s="30" t="str">
        <f aca="false">IF(AC1843&lt;判定条件!$C$6,"判定不能",IF(AD1843&gt;=判定条件!$C$7*AC1843,"運転",IF(AD1843&lt;=判定条件!$C$8*AC1843,"停止","断続")))</f>
        <v>判定不能</v>
      </c>
      <c r="AF1843" s="30" t="n">
        <v>0</v>
      </c>
      <c r="AG1843" s="30" t="n">
        <v>0</v>
      </c>
      <c r="AH1843" s="30" t="str">
        <f aca="false">IF(OR(P1843="判定不能",G1843="判定不能"),"判定不能",IF(AG1843&gt;=判定条件!$C$9,"利用可",IF(AND(P1843="停止",G1843="停止"),"両方停止","運転がそろわない")))</f>
        <v>判定不能</v>
      </c>
      <c r="AI1843" s="30" t="n">
        <v>0</v>
      </c>
      <c r="AJ1843" s="30" t="n">
        <v>0</v>
      </c>
      <c r="AK1843" s="30" t="str">
        <f aca="false">IF(OR(S1843="判定不能",J1843="判定不能"),"判定不能",IF(AJ1843&gt;=判定条件!$C$9,"利用可",IF(AND(S1843="停止",J1843="停止"),"両方停止","運転がそろわない")))</f>
        <v>判定不能</v>
      </c>
      <c r="AL1843" s="30" t="n">
        <v>0</v>
      </c>
      <c r="AM1843" s="30" t="n">
        <v>0</v>
      </c>
      <c r="AN1843" s="30" t="str">
        <f aca="false">IF(OR(V1843="判定不能",M1843="判定不能"),"判定不能",IF(AM1843&gt;=判定条件!$C$9,"利用可",IF(AND(V1843="停止",M1843="停止"),"両方停止","運転がそろわない")))</f>
        <v>判定不能</v>
      </c>
      <c r="AO1843" s="30" t="n">
        <v>0</v>
      </c>
      <c r="AP1843" s="30" t="n">
        <v>0</v>
      </c>
      <c r="AQ1843" s="30" t="str">
        <f aca="false">IF(OR(Y1843="判定不能",G1843="判定不能"),"判定不能",IF(AP1843&gt;=判定条件!$C$9,"利用可",IF(AND(Y1843="停止",G1843="停止"),"両方停止","運転がそろわない")))</f>
        <v>判定不能</v>
      </c>
      <c r="AR1843" s="30" t="n">
        <v>0</v>
      </c>
      <c r="AS1843" s="30" t="n">
        <v>0</v>
      </c>
      <c r="AT1843" s="30" t="str">
        <f aca="false">IF(OR(AB1843="判定不能",J1843="判定不能"),"判定不能",IF(AS1843&gt;=判定条件!$C$9,"利用可",IF(AND(AB1843="停止",J1843="停止"),"両方停止","運転がそろわない")))</f>
        <v>判定不能</v>
      </c>
      <c r="AU1843" s="30" t="n">
        <v>0</v>
      </c>
      <c r="AV1843" s="30" t="n">
        <v>0</v>
      </c>
      <c r="AW1843" s="30" t="str">
        <f aca="false">IF(OR(AE1843="判定不能",M1843="判定不能"),"判定不能",IF(AV1843&gt;=判定条件!$C$9,"利用可",IF(AND(AE1843="停止",M1843="停止"),"両方停止","運転がそろわない")))</f>
        <v>判定不能</v>
      </c>
      <c r="AX1843" s="30" t="str">
        <f aca="false">IF(AND(AH1843="利用可",AK1843="利用可",AN1843="利用可"),"利用可","不可")</f>
        <v>不可</v>
      </c>
      <c r="AY1843" s="30" t="str">
        <f aca="false">IF(AND(AQ1843="利用可",AT1843="利用可",AW1843="利用可"),"利用可","不可")</f>
        <v>不可</v>
      </c>
    </row>
    <row r="1844" customFormat="false" ht="15" hidden="false" customHeight="false" outlineLevel="0" collapsed="false">
      <c r="A1844" s="29" t="n">
        <v>46308</v>
      </c>
      <c r="B1844" s="30" t="n">
        <v>17</v>
      </c>
      <c r="C1844" s="31" t="s">
        <v>67</v>
      </c>
      <c r="D1844" s="31" t="s">
        <v>59</v>
      </c>
      <c r="E1844" s="30" t="n">
        <v>0</v>
      </c>
      <c r="F1844" s="30" t="n">
        <v>0</v>
      </c>
      <c r="G1844" s="30" t="str">
        <f aca="false">IF(E1844&lt;判定条件!$C$6,"判定不能",IF(F1844&gt;=判定条件!$C$7*E1844,"運転",IF(F1844&lt;=判定条件!$C$8*E1844,"停止","断続")))</f>
        <v>判定不能</v>
      </c>
      <c r="H1844" s="30" t="n">
        <v>0</v>
      </c>
      <c r="I1844" s="30" t="n">
        <v>0</v>
      </c>
      <c r="J1844" s="30" t="str">
        <f aca="false">IF(H1844&lt;判定条件!$C$6,"判定不能",IF(I1844&gt;=判定条件!$C$7*H1844,"運転",IF(I1844&lt;=判定条件!$C$8*H1844,"停止","断続")))</f>
        <v>判定不能</v>
      </c>
      <c r="K1844" s="30" t="n">
        <v>0</v>
      </c>
      <c r="L1844" s="30" t="n">
        <v>0</v>
      </c>
      <c r="M1844" s="30" t="str">
        <f aca="false">IF(K1844&lt;判定条件!$C$6,"判定不能",IF(L1844&gt;=判定条件!$C$7*K1844,"運転",IF(L1844&lt;=判定条件!$C$8*K1844,"停止","断続")))</f>
        <v>判定不能</v>
      </c>
      <c r="N1844" s="30" t="n">
        <v>0</v>
      </c>
      <c r="O1844" s="30" t="n">
        <v>0</v>
      </c>
      <c r="P1844" s="30" t="str">
        <f aca="false">IF(N1844&lt;判定条件!$C$6,"判定不能",IF(O1844&gt;=判定条件!$C$7*N1844,"運転",IF(O1844&lt;=判定条件!$C$8*N1844,"停止","断続")))</f>
        <v>判定不能</v>
      </c>
      <c r="Q1844" s="30" t="n">
        <v>0</v>
      </c>
      <c r="R1844" s="30" t="n">
        <v>0</v>
      </c>
      <c r="S1844" s="30" t="str">
        <f aca="false">IF(Q1844&lt;判定条件!$C$6,"判定不能",IF(R1844&gt;=判定条件!$C$7*Q1844,"運転",IF(R1844&lt;=判定条件!$C$8*Q1844,"停止","断続")))</f>
        <v>判定不能</v>
      </c>
      <c r="T1844" s="30" t="n">
        <v>0</v>
      </c>
      <c r="U1844" s="30" t="n">
        <v>0</v>
      </c>
      <c r="V1844" s="30" t="str">
        <f aca="false">IF(T1844&lt;判定条件!$C$6,"判定不能",IF(U1844&gt;=判定条件!$C$7*T1844,"運転",IF(U1844&lt;=判定条件!$C$8*T1844,"停止","断続")))</f>
        <v>判定不能</v>
      </c>
      <c r="W1844" s="30" t="n">
        <v>0</v>
      </c>
      <c r="X1844" s="30" t="n">
        <v>0</v>
      </c>
      <c r="Y1844" s="30" t="str">
        <f aca="false">IF(W1844&lt;判定条件!$C$6,"判定不能",IF(X1844&gt;=判定条件!$C$7*W1844,"運転",IF(X1844&lt;=判定条件!$C$8*W1844,"停止","断続")))</f>
        <v>判定不能</v>
      </c>
      <c r="Z1844" s="30" t="n">
        <v>0</v>
      </c>
      <c r="AA1844" s="30" t="n">
        <v>0</v>
      </c>
      <c r="AB1844" s="30" t="str">
        <f aca="false">IF(Z1844&lt;判定条件!$C$6,"判定不能",IF(AA1844&gt;=判定条件!$C$7*Z1844,"運転",IF(AA1844&lt;=判定条件!$C$8*Z1844,"停止","断続")))</f>
        <v>判定不能</v>
      </c>
      <c r="AC1844" s="30" t="n">
        <v>0</v>
      </c>
      <c r="AD1844" s="30" t="n">
        <v>0</v>
      </c>
      <c r="AE1844" s="30" t="str">
        <f aca="false">IF(AC1844&lt;判定条件!$C$6,"判定不能",IF(AD1844&gt;=判定条件!$C$7*AC1844,"運転",IF(AD1844&lt;=判定条件!$C$8*AC1844,"停止","断続")))</f>
        <v>判定不能</v>
      </c>
      <c r="AF1844" s="30" t="n">
        <v>0</v>
      </c>
      <c r="AG1844" s="30" t="n">
        <v>0</v>
      </c>
      <c r="AH1844" s="30" t="str">
        <f aca="false">IF(OR(P1844="判定不能",G1844="判定不能"),"判定不能",IF(AG1844&gt;=判定条件!$C$9,"利用可",IF(AND(P1844="停止",G1844="停止"),"両方停止","運転がそろわない")))</f>
        <v>判定不能</v>
      </c>
      <c r="AI1844" s="30" t="n">
        <v>0</v>
      </c>
      <c r="AJ1844" s="30" t="n">
        <v>0</v>
      </c>
      <c r="AK1844" s="30" t="str">
        <f aca="false">IF(OR(S1844="判定不能",J1844="判定不能"),"判定不能",IF(AJ1844&gt;=判定条件!$C$9,"利用可",IF(AND(S1844="停止",J1844="停止"),"両方停止","運転がそろわない")))</f>
        <v>判定不能</v>
      </c>
      <c r="AL1844" s="30" t="n">
        <v>0</v>
      </c>
      <c r="AM1844" s="30" t="n">
        <v>0</v>
      </c>
      <c r="AN1844" s="30" t="str">
        <f aca="false">IF(OR(V1844="判定不能",M1844="判定不能"),"判定不能",IF(AM1844&gt;=判定条件!$C$9,"利用可",IF(AND(V1844="停止",M1844="停止"),"両方停止","運転がそろわない")))</f>
        <v>判定不能</v>
      </c>
      <c r="AO1844" s="30" t="n">
        <v>0</v>
      </c>
      <c r="AP1844" s="30" t="n">
        <v>0</v>
      </c>
      <c r="AQ1844" s="30" t="str">
        <f aca="false">IF(OR(Y1844="判定不能",G1844="判定不能"),"判定不能",IF(AP1844&gt;=判定条件!$C$9,"利用可",IF(AND(Y1844="停止",G1844="停止"),"両方停止","運転がそろわない")))</f>
        <v>判定不能</v>
      </c>
      <c r="AR1844" s="30" t="n">
        <v>0</v>
      </c>
      <c r="AS1844" s="30" t="n">
        <v>0</v>
      </c>
      <c r="AT1844" s="30" t="str">
        <f aca="false">IF(OR(AB1844="判定不能",J1844="判定不能"),"判定不能",IF(AS1844&gt;=判定条件!$C$9,"利用可",IF(AND(AB1844="停止",J1844="停止"),"両方停止","運転がそろわない")))</f>
        <v>判定不能</v>
      </c>
      <c r="AU1844" s="30" t="n">
        <v>0</v>
      </c>
      <c r="AV1844" s="30" t="n">
        <v>0</v>
      </c>
      <c r="AW1844" s="30" t="str">
        <f aca="false">IF(OR(AE1844="判定不能",M1844="判定不能"),"判定不能",IF(AV1844&gt;=判定条件!$C$9,"利用可",IF(AND(AE1844="停止",M1844="停止"),"両方停止","運転がそろわない")))</f>
        <v>判定不能</v>
      </c>
      <c r="AX1844" s="30" t="str">
        <f aca="false">IF(AND(AH1844="利用可",AK1844="利用可",AN1844="利用可"),"利用可","不可")</f>
        <v>不可</v>
      </c>
      <c r="AY1844" s="30" t="str">
        <f aca="false">IF(AND(AQ1844="利用可",AT1844="利用可",AW1844="利用可"),"利用可","不可")</f>
        <v>不可</v>
      </c>
    </row>
    <row r="1845" customFormat="false" ht="15" hidden="false" customHeight="false" outlineLevel="0" collapsed="false">
      <c r="A1845" s="29" t="n">
        <v>46308</v>
      </c>
      <c r="B1845" s="30" t="n">
        <v>18</v>
      </c>
      <c r="C1845" s="31" t="s">
        <v>67</v>
      </c>
      <c r="D1845" s="31" t="s">
        <v>59</v>
      </c>
      <c r="E1845" s="30" t="n">
        <v>0</v>
      </c>
      <c r="F1845" s="30" t="n">
        <v>0</v>
      </c>
      <c r="G1845" s="30" t="str">
        <f aca="false">IF(E1845&lt;判定条件!$C$6,"判定不能",IF(F1845&gt;=判定条件!$C$7*E1845,"運転",IF(F1845&lt;=判定条件!$C$8*E1845,"停止","断続")))</f>
        <v>判定不能</v>
      </c>
      <c r="H1845" s="30" t="n">
        <v>0</v>
      </c>
      <c r="I1845" s="30" t="n">
        <v>0</v>
      </c>
      <c r="J1845" s="30" t="str">
        <f aca="false">IF(H1845&lt;判定条件!$C$6,"判定不能",IF(I1845&gt;=判定条件!$C$7*H1845,"運転",IF(I1845&lt;=判定条件!$C$8*H1845,"停止","断続")))</f>
        <v>判定不能</v>
      </c>
      <c r="K1845" s="30" t="n">
        <v>0</v>
      </c>
      <c r="L1845" s="30" t="n">
        <v>0</v>
      </c>
      <c r="M1845" s="30" t="str">
        <f aca="false">IF(K1845&lt;判定条件!$C$6,"判定不能",IF(L1845&gt;=判定条件!$C$7*K1845,"運転",IF(L1845&lt;=判定条件!$C$8*K1845,"停止","断続")))</f>
        <v>判定不能</v>
      </c>
      <c r="N1845" s="30" t="n">
        <v>0</v>
      </c>
      <c r="O1845" s="30" t="n">
        <v>0</v>
      </c>
      <c r="P1845" s="30" t="str">
        <f aca="false">IF(N1845&lt;判定条件!$C$6,"判定不能",IF(O1845&gt;=判定条件!$C$7*N1845,"運転",IF(O1845&lt;=判定条件!$C$8*N1845,"停止","断続")))</f>
        <v>判定不能</v>
      </c>
      <c r="Q1845" s="30" t="n">
        <v>0</v>
      </c>
      <c r="R1845" s="30" t="n">
        <v>0</v>
      </c>
      <c r="S1845" s="30" t="str">
        <f aca="false">IF(Q1845&lt;判定条件!$C$6,"判定不能",IF(R1845&gt;=判定条件!$C$7*Q1845,"運転",IF(R1845&lt;=判定条件!$C$8*Q1845,"停止","断続")))</f>
        <v>判定不能</v>
      </c>
      <c r="T1845" s="30" t="n">
        <v>0</v>
      </c>
      <c r="U1845" s="30" t="n">
        <v>0</v>
      </c>
      <c r="V1845" s="30" t="str">
        <f aca="false">IF(T1845&lt;判定条件!$C$6,"判定不能",IF(U1845&gt;=判定条件!$C$7*T1845,"運転",IF(U1845&lt;=判定条件!$C$8*T1845,"停止","断続")))</f>
        <v>判定不能</v>
      </c>
      <c r="W1845" s="30" t="n">
        <v>0</v>
      </c>
      <c r="X1845" s="30" t="n">
        <v>0</v>
      </c>
      <c r="Y1845" s="30" t="str">
        <f aca="false">IF(W1845&lt;判定条件!$C$6,"判定不能",IF(X1845&gt;=判定条件!$C$7*W1845,"運転",IF(X1845&lt;=判定条件!$C$8*W1845,"停止","断続")))</f>
        <v>判定不能</v>
      </c>
      <c r="Z1845" s="30" t="n">
        <v>0</v>
      </c>
      <c r="AA1845" s="30" t="n">
        <v>0</v>
      </c>
      <c r="AB1845" s="30" t="str">
        <f aca="false">IF(Z1845&lt;判定条件!$C$6,"判定不能",IF(AA1845&gt;=判定条件!$C$7*Z1845,"運転",IF(AA1845&lt;=判定条件!$C$8*Z1845,"停止","断続")))</f>
        <v>判定不能</v>
      </c>
      <c r="AC1845" s="30" t="n">
        <v>0</v>
      </c>
      <c r="AD1845" s="30" t="n">
        <v>0</v>
      </c>
      <c r="AE1845" s="30" t="str">
        <f aca="false">IF(AC1845&lt;判定条件!$C$6,"判定不能",IF(AD1845&gt;=判定条件!$C$7*AC1845,"運転",IF(AD1845&lt;=判定条件!$C$8*AC1845,"停止","断続")))</f>
        <v>判定不能</v>
      </c>
      <c r="AF1845" s="30" t="n">
        <v>0</v>
      </c>
      <c r="AG1845" s="30" t="n">
        <v>0</v>
      </c>
      <c r="AH1845" s="30" t="str">
        <f aca="false">IF(OR(P1845="判定不能",G1845="判定不能"),"判定不能",IF(AG1845&gt;=判定条件!$C$9,"利用可",IF(AND(P1845="停止",G1845="停止"),"両方停止","運転がそろわない")))</f>
        <v>判定不能</v>
      </c>
      <c r="AI1845" s="30" t="n">
        <v>0</v>
      </c>
      <c r="AJ1845" s="30" t="n">
        <v>0</v>
      </c>
      <c r="AK1845" s="30" t="str">
        <f aca="false">IF(OR(S1845="判定不能",J1845="判定不能"),"判定不能",IF(AJ1845&gt;=判定条件!$C$9,"利用可",IF(AND(S1845="停止",J1845="停止"),"両方停止","運転がそろわない")))</f>
        <v>判定不能</v>
      </c>
      <c r="AL1845" s="30" t="n">
        <v>0</v>
      </c>
      <c r="AM1845" s="30" t="n">
        <v>0</v>
      </c>
      <c r="AN1845" s="30" t="str">
        <f aca="false">IF(OR(V1845="判定不能",M1845="判定不能"),"判定不能",IF(AM1845&gt;=判定条件!$C$9,"利用可",IF(AND(V1845="停止",M1845="停止"),"両方停止","運転がそろわない")))</f>
        <v>判定不能</v>
      </c>
      <c r="AO1845" s="30" t="n">
        <v>0</v>
      </c>
      <c r="AP1845" s="30" t="n">
        <v>0</v>
      </c>
      <c r="AQ1845" s="30" t="str">
        <f aca="false">IF(OR(Y1845="判定不能",G1845="判定不能"),"判定不能",IF(AP1845&gt;=判定条件!$C$9,"利用可",IF(AND(Y1845="停止",G1845="停止"),"両方停止","運転がそろわない")))</f>
        <v>判定不能</v>
      </c>
      <c r="AR1845" s="30" t="n">
        <v>0</v>
      </c>
      <c r="AS1845" s="30" t="n">
        <v>0</v>
      </c>
      <c r="AT1845" s="30" t="str">
        <f aca="false">IF(OR(AB1845="判定不能",J1845="判定不能"),"判定不能",IF(AS1845&gt;=判定条件!$C$9,"利用可",IF(AND(AB1845="停止",J1845="停止"),"両方停止","運転がそろわない")))</f>
        <v>判定不能</v>
      </c>
      <c r="AU1845" s="30" t="n">
        <v>0</v>
      </c>
      <c r="AV1845" s="30" t="n">
        <v>0</v>
      </c>
      <c r="AW1845" s="30" t="str">
        <f aca="false">IF(OR(AE1845="判定不能",M1845="判定不能"),"判定不能",IF(AV1845&gt;=判定条件!$C$9,"利用可",IF(AND(AE1845="停止",M1845="停止"),"両方停止","運転がそろわない")))</f>
        <v>判定不能</v>
      </c>
      <c r="AX1845" s="30" t="str">
        <f aca="false">IF(AND(AH1845="利用可",AK1845="利用可",AN1845="利用可"),"利用可","不可")</f>
        <v>不可</v>
      </c>
      <c r="AY1845" s="30" t="str">
        <f aca="false">IF(AND(AQ1845="利用可",AT1845="利用可",AW1845="利用可"),"利用可","不可")</f>
        <v>不可</v>
      </c>
    </row>
    <row r="1846" customFormat="false" ht="15" hidden="false" customHeight="false" outlineLevel="0" collapsed="false">
      <c r="A1846" s="29" t="n">
        <v>46308</v>
      </c>
      <c r="B1846" s="30" t="n">
        <v>19</v>
      </c>
      <c r="C1846" s="31" t="s">
        <v>67</v>
      </c>
      <c r="D1846" s="31" t="s">
        <v>59</v>
      </c>
      <c r="E1846" s="30" t="n">
        <v>0</v>
      </c>
      <c r="F1846" s="30" t="n">
        <v>0</v>
      </c>
      <c r="G1846" s="30" t="str">
        <f aca="false">IF(E1846&lt;判定条件!$C$6,"判定不能",IF(F1846&gt;=判定条件!$C$7*E1846,"運転",IF(F1846&lt;=判定条件!$C$8*E1846,"停止","断続")))</f>
        <v>判定不能</v>
      </c>
      <c r="H1846" s="30" t="n">
        <v>0</v>
      </c>
      <c r="I1846" s="30" t="n">
        <v>0</v>
      </c>
      <c r="J1846" s="30" t="str">
        <f aca="false">IF(H1846&lt;判定条件!$C$6,"判定不能",IF(I1846&gt;=判定条件!$C$7*H1846,"運転",IF(I1846&lt;=判定条件!$C$8*H1846,"停止","断続")))</f>
        <v>判定不能</v>
      </c>
      <c r="K1846" s="30" t="n">
        <v>0</v>
      </c>
      <c r="L1846" s="30" t="n">
        <v>0</v>
      </c>
      <c r="M1846" s="30" t="str">
        <f aca="false">IF(K1846&lt;判定条件!$C$6,"判定不能",IF(L1846&gt;=判定条件!$C$7*K1846,"運転",IF(L1846&lt;=判定条件!$C$8*K1846,"停止","断続")))</f>
        <v>判定不能</v>
      </c>
      <c r="N1846" s="30" t="n">
        <v>0</v>
      </c>
      <c r="O1846" s="30" t="n">
        <v>0</v>
      </c>
      <c r="P1846" s="30" t="str">
        <f aca="false">IF(N1846&lt;判定条件!$C$6,"判定不能",IF(O1846&gt;=判定条件!$C$7*N1846,"運転",IF(O1846&lt;=判定条件!$C$8*N1846,"停止","断続")))</f>
        <v>判定不能</v>
      </c>
      <c r="Q1846" s="30" t="n">
        <v>0</v>
      </c>
      <c r="R1846" s="30" t="n">
        <v>0</v>
      </c>
      <c r="S1846" s="30" t="str">
        <f aca="false">IF(Q1846&lt;判定条件!$C$6,"判定不能",IF(R1846&gt;=判定条件!$C$7*Q1846,"運転",IF(R1846&lt;=判定条件!$C$8*Q1846,"停止","断続")))</f>
        <v>判定不能</v>
      </c>
      <c r="T1846" s="30" t="n">
        <v>0</v>
      </c>
      <c r="U1846" s="30" t="n">
        <v>0</v>
      </c>
      <c r="V1846" s="30" t="str">
        <f aca="false">IF(T1846&lt;判定条件!$C$6,"判定不能",IF(U1846&gt;=判定条件!$C$7*T1846,"運転",IF(U1846&lt;=判定条件!$C$8*T1846,"停止","断続")))</f>
        <v>判定不能</v>
      </c>
      <c r="W1846" s="30" t="n">
        <v>0</v>
      </c>
      <c r="X1846" s="30" t="n">
        <v>0</v>
      </c>
      <c r="Y1846" s="30" t="str">
        <f aca="false">IF(W1846&lt;判定条件!$C$6,"判定不能",IF(X1846&gt;=判定条件!$C$7*W1846,"運転",IF(X1846&lt;=判定条件!$C$8*W1846,"停止","断続")))</f>
        <v>判定不能</v>
      </c>
      <c r="Z1846" s="30" t="n">
        <v>0</v>
      </c>
      <c r="AA1846" s="30" t="n">
        <v>0</v>
      </c>
      <c r="AB1846" s="30" t="str">
        <f aca="false">IF(Z1846&lt;判定条件!$C$6,"判定不能",IF(AA1846&gt;=判定条件!$C$7*Z1846,"運転",IF(AA1846&lt;=判定条件!$C$8*Z1846,"停止","断続")))</f>
        <v>判定不能</v>
      </c>
      <c r="AC1846" s="30" t="n">
        <v>0</v>
      </c>
      <c r="AD1846" s="30" t="n">
        <v>0</v>
      </c>
      <c r="AE1846" s="30" t="str">
        <f aca="false">IF(AC1846&lt;判定条件!$C$6,"判定不能",IF(AD1846&gt;=判定条件!$C$7*AC1846,"運転",IF(AD1846&lt;=判定条件!$C$8*AC1846,"停止","断続")))</f>
        <v>判定不能</v>
      </c>
      <c r="AF1846" s="30" t="n">
        <v>0</v>
      </c>
      <c r="AG1846" s="30" t="n">
        <v>0</v>
      </c>
      <c r="AH1846" s="30" t="str">
        <f aca="false">IF(OR(P1846="判定不能",G1846="判定不能"),"判定不能",IF(AG1846&gt;=判定条件!$C$9,"利用可",IF(AND(P1846="停止",G1846="停止"),"両方停止","運転がそろわない")))</f>
        <v>判定不能</v>
      </c>
      <c r="AI1846" s="30" t="n">
        <v>0</v>
      </c>
      <c r="AJ1846" s="30" t="n">
        <v>0</v>
      </c>
      <c r="AK1846" s="30" t="str">
        <f aca="false">IF(OR(S1846="判定不能",J1846="判定不能"),"判定不能",IF(AJ1846&gt;=判定条件!$C$9,"利用可",IF(AND(S1846="停止",J1846="停止"),"両方停止","運転がそろわない")))</f>
        <v>判定不能</v>
      </c>
      <c r="AL1846" s="30" t="n">
        <v>0</v>
      </c>
      <c r="AM1846" s="30" t="n">
        <v>0</v>
      </c>
      <c r="AN1846" s="30" t="str">
        <f aca="false">IF(OR(V1846="判定不能",M1846="判定不能"),"判定不能",IF(AM1846&gt;=判定条件!$C$9,"利用可",IF(AND(V1846="停止",M1846="停止"),"両方停止","運転がそろわない")))</f>
        <v>判定不能</v>
      </c>
      <c r="AO1846" s="30" t="n">
        <v>0</v>
      </c>
      <c r="AP1846" s="30" t="n">
        <v>0</v>
      </c>
      <c r="AQ1846" s="30" t="str">
        <f aca="false">IF(OR(Y1846="判定不能",G1846="判定不能"),"判定不能",IF(AP1846&gt;=判定条件!$C$9,"利用可",IF(AND(Y1846="停止",G1846="停止"),"両方停止","運転がそろわない")))</f>
        <v>判定不能</v>
      </c>
      <c r="AR1846" s="30" t="n">
        <v>0</v>
      </c>
      <c r="AS1846" s="30" t="n">
        <v>0</v>
      </c>
      <c r="AT1846" s="30" t="str">
        <f aca="false">IF(OR(AB1846="判定不能",J1846="判定不能"),"判定不能",IF(AS1846&gt;=判定条件!$C$9,"利用可",IF(AND(AB1846="停止",J1846="停止"),"両方停止","運転がそろわない")))</f>
        <v>判定不能</v>
      </c>
      <c r="AU1846" s="30" t="n">
        <v>0</v>
      </c>
      <c r="AV1846" s="30" t="n">
        <v>0</v>
      </c>
      <c r="AW1846" s="30" t="str">
        <f aca="false">IF(OR(AE1846="判定不能",M1846="判定不能"),"判定不能",IF(AV1846&gt;=判定条件!$C$9,"利用可",IF(AND(AE1846="停止",M1846="停止"),"両方停止","運転がそろわない")))</f>
        <v>判定不能</v>
      </c>
      <c r="AX1846" s="30" t="str">
        <f aca="false">IF(AND(AH1846="利用可",AK1846="利用可",AN1846="利用可"),"利用可","不可")</f>
        <v>不可</v>
      </c>
      <c r="AY1846" s="30" t="str">
        <f aca="false">IF(AND(AQ1846="利用可",AT1846="利用可",AW1846="利用可"),"利用可","不可")</f>
        <v>不可</v>
      </c>
    </row>
    <row r="1847" customFormat="false" ht="15" hidden="false" customHeight="false" outlineLevel="0" collapsed="false">
      <c r="A1847" s="29" t="n">
        <v>46308</v>
      </c>
      <c r="B1847" s="30" t="n">
        <v>20</v>
      </c>
      <c r="C1847" s="31" t="s">
        <v>67</v>
      </c>
      <c r="D1847" s="31" t="s">
        <v>59</v>
      </c>
      <c r="E1847" s="30" t="n">
        <v>0</v>
      </c>
      <c r="F1847" s="30" t="n">
        <v>0</v>
      </c>
      <c r="G1847" s="30" t="str">
        <f aca="false">IF(E1847&lt;判定条件!$C$6,"判定不能",IF(F1847&gt;=判定条件!$C$7*E1847,"運転",IF(F1847&lt;=判定条件!$C$8*E1847,"停止","断続")))</f>
        <v>判定不能</v>
      </c>
      <c r="H1847" s="30" t="n">
        <v>0</v>
      </c>
      <c r="I1847" s="30" t="n">
        <v>0</v>
      </c>
      <c r="J1847" s="30" t="str">
        <f aca="false">IF(H1847&lt;判定条件!$C$6,"判定不能",IF(I1847&gt;=判定条件!$C$7*H1847,"運転",IF(I1847&lt;=判定条件!$C$8*H1847,"停止","断続")))</f>
        <v>判定不能</v>
      </c>
      <c r="K1847" s="30" t="n">
        <v>0</v>
      </c>
      <c r="L1847" s="30" t="n">
        <v>0</v>
      </c>
      <c r="M1847" s="30" t="str">
        <f aca="false">IF(K1847&lt;判定条件!$C$6,"判定不能",IF(L1847&gt;=判定条件!$C$7*K1847,"運転",IF(L1847&lt;=判定条件!$C$8*K1847,"停止","断続")))</f>
        <v>判定不能</v>
      </c>
      <c r="N1847" s="30" t="n">
        <v>0</v>
      </c>
      <c r="O1847" s="30" t="n">
        <v>0</v>
      </c>
      <c r="P1847" s="30" t="str">
        <f aca="false">IF(N1847&lt;判定条件!$C$6,"判定不能",IF(O1847&gt;=判定条件!$C$7*N1847,"運転",IF(O1847&lt;=判定条件!$C$8*N1847,"停止","断続")))</f>
        <v>判定不能</v>
      </c>
      <c r="Q1847" s="30" t="n">
        <v>0</v>
      </c>
      <c r="R1847" s="30" t="n">
        <v>0</v>
      </c>
      <c r="S1847" s="30" t="str">
        <f aca="false">IF(Q1847&lt;判定条件!$C$6,"判定不能",IF(R1847&gt;=判定条件!$C$7*Q1847,"運転",IF(R1847&lt;=判定条件!$C$8*Q1847,"停止","断続")))</f>
        <v>判定不能</v>
      </c>
      <c r="T1847" s="30" t="n">
        <v>0</v>
      </c>
      <c r="U1847" s="30" t="n">
        <v>0</v>
      </c>
      <c r="V1847" s="30" t="str">
        <f aca="false">IF(T1847&lt;判定条件!$C$6,"判定不能",IF(U1847&gt;=判定条件!$C$7*T1847,"運転",IF(U1847&lt;=判定条件!$C$8*T1847,"停止","断続")))</f>
        <v>判定不能</v>
      </c>
      <c r="W1847" s="30" t="n">
        <v>0</v>
      </c>
      <c r="X1847" s="30" t="n">
        <v>0</v>
      </c>
      <c r="Y1847" s="30" t="str">
        <f aca="false">IF(W1847&lt;判定条件!$C$6,"判定不能",IF(X1847&gt;=判定条件!$C$7*W1847,"運転",IF(X1847&lt;=判定条件!$C$8*W1847,"停止","断続")))</f>
        <v>判定不能</v>
      </c>
      <c r="Z1847" s="30" t="n">
        <v>0</v>
      </c>
      <c r="AA1847" s="30" t="n">
        <v>0</v>
      </c>
      <c r="AB1847" s="30" t="str">
        <f aca="false">IF(Z1847&lt;判定条件!$C$6,"判定不能",IF(AA1847&gt;=判定条件!$C$7*Z1847,"運転",IF(AA1847&lt;=判定条件!$C$8*Z1847,"停止","断続")))</f>
        <v>判定不能</v>
      </c>
      <c r="AC1847" s="30" t="n">
        <v>0</v>
      </c>
      <c r="AD1847" s="30" t="n">
        <v>0</v>
      </c>
      <c r="AE1847" s="30" t="str">
        <f aca="false">IF(AC1847&lt;判定条件!$C$6,"判定不能",IF(AD1847&gt;=判定条件!$C$7*AC1847,"運転",IF(AD1847&lt;=判定条件!$C$8*AC1847,"停止","断続")))</f>
        <v>判定不能</v>
      </c>
      <c r="AF1847" s="30" t="n">
        <v>0</v>
      </c>
      <c r="AG1847" s="30" t="n">
        <v>0</v>
      </c>
      <c r="AH1847" s="30" t="str">
        <f aca="false">IF(OR(P1847="判定不能",G1847="判定不能"),"判定不能",IF(AG1847&gt;=判定条件!$C$9,"利用可",IF(AND(P1847="停止",G1847="停止"),"両方停止","運転がそろわない")))</f>
        <v>判定不能</v>
      </c>
      <c r="AI1847" s="30" t="n">
        <v>0</v>
      </c>
      <c r="AJ1847" s="30" t="n">
        <v>0</v>
      </c>
      <c r="AK1847" s="30" t="str">
        <f aca="false">IF(OR(S1847="判定不能",J1847="判定不能"),"判定不能",IF(AJ1847&gt;=判定条件!$C$9,"利用可",IF(AND(S1847="停止",J1847="停止"),"両方停止","運転がそろわない")))</f>
        <v>判定不能</v>
      </c>
      <c r="AL1847" s="30" t="n">
        <v>0</v>
      </c>
      <c r="AM1847" s="30" t="n">
        <v>0</v>
      </c>
      <c r="AN1847" s="30" t="str">
        <f aca="false">IF(OR(V1847="判定不能",M1847="判定不能"),"判定不能",IF(AM1847&gt;=判定条件!$C$9,"利用可",IF(AND(V1847="停止",M1847="停止"),"両方停止","運転がそろわない")))</f>
        <v>判定不能</v>
      </c>
      <c r="AO1847" s="30" t="n">
        <v>0</v>
      </c>
      <c r="AP1847" s="30" t="n">
        <v>0</v>
      </c>
      <c r="AQ1847" s="30" t="str">
        <f aca="false">IF(OR(Y1847="判定不能",G1847="判定不能"),"判定不能",IF(AP1847&gt;=判定条件!$C$9,"利用可",IF(AND(Y1847="停止",G1847="停止"),"両方停止","運転がそろわない")))</f>
        <v>判定不能</v>
      </c>
      <c r="AR1847" s="30" t="n">
        <v>0</v>
      </c>
      <c r="AS1847" s="30" t="n">
        <v>0</v>
      </c>
      <c r="AT1847" s="30" t="str">
        <f aca="false">IF(OR(AB1847="判定不能",J1847="判定不能"),"判定不能",IF(AS1847&gt;=判定条件!$C$9,"利用可",IF(AND(AB1847="停止",J1847="停止"),"両方停止","運転がそろわない")))</f>
        <v>判定不能</v>
      </c>
      <c r="AU1847" s="30" t="n">
        <v>0</v>
      </c>
      <c r="AV1847" s="30" t="n">
        <v>0</v>
      </c>
      <c r="AW1847" s="30" t="str">
        <f aca="false">IF(OR(AE1847="判定不能",M1847="判定不能"),"判定不能",IF(AV1847&gt;=判定条件!$C$9,"利用可",IF(AND(AE1847="停止",M1847="停止"),"両方停止","運転がそろわない")))</f>
        <v>判定不能</v>
      </c>
      <c r="AX1847" s="30" t="str">
        <f aca="false">IF(AND(AH1847="利用可",AK1847="利用可",AN1847="利用可"),"利用可","不可")</f>
        <v>不可</v>
      </c>
      <c r="AY1847" s="30" t="str">
        <f aca="false">IF(AND(AQ1847="利用可",AT1847="利用可",AW1847="利用可"),"利用可","不可")</f>
        <v>不可</v>
      </c>
    </row>
    <row r="1848" customFormat="false" ht="15" hidden="false" customHeight="false" outlineLevel="0" collapsed="false">
      <c r="A1848" s="29" t="n">
        <v>46308</v>
      </c>
      <c r="B1848" s="30" t="n">
        <v>21</v>
      </c>
      <c r="C1848" s="31" t="s">
        <v>67</v>
      </c>
      <c r="D1848" s="31" t="s">
        <v>59</v>
      </c>
      <c r="E1848" s="30" t="n">
        <v>0</v>
      </c>
      <c r="F1848" s="30" t="n">
        <v>0</v>
      </c>
      <c r="G1848" s="30" t="str">
        <f aca="false">IF(E1848&lt;判定条件!$C$6,"判定不能",IF(F1848&gt;=判定条件!$C$7*E1848,"運転",IF(F1848&lt;=判定条件!$C$8*E1848,"停止","断続")))</f>
        <v>判定不能</v>
      </c>
      <c r="H1848" s="30" t="n">
        <v>0</v>
      </c>
      <c r="I1848" s="30" t="n">
        <v>0</v>
      </c>
      <c r="J1848" s="30" t="str">
        <f aca="false">IF(H1848&lt;判定条件!$C$6,"判定不能",IF(I1848&gt;=判定条件!$C$7*H1848,"運転",IF(I1848&lt;=判定条件!$C$8*H1848,"停止","断続")))</f>
        <v>判定不能</v>
      </c>
      <c r="K1848" s="30" t="n">
        <v>0</v>
      </c>
      <c r="L1848" s="30" t="n">
        <v>0</v>
      </c>
      <c r="M1848" s="30" t="str">
        <f aca="false">IF(K1848&lt;判定条件!$C$6,"判定不能",IF(L1848&gt;=判定条件!$C$7*K1848,"運転",IF(L1848&lt;=判定条件!$C$8*K1848,"停止","断続")))</f>
        <v>判定不能</v>
      </c>
      <c r="N1848" s="30" t="n">
        <v>0</v>
      </c>
      <c r="O1848" s="30" t="n">
        <v>0</v>
      </c>
      <c r="P1848" s="30" t="str">
        <f aca="false">IF(N1848&lt;判定条件!$C$6,"判定不能",IF(O1848&gt;=判定条件!$C$7*N1848,"運転",IF(O1848&lt;=判定条件!$C$8*N1848,"停止","断続")))</f>
        <v>判定不能</v>
      </c>
      <c r="Q1848" s="30" t="n">
        <v>0</v>
      </c>
      <c r="R1848" s="30" t="n">
        <v>0</v>
      </c>
      <c r="S1848" s="30" t="str">
        <f aca="false">IF(Q1848&lt;判定条件!$C$6,"判定不能",IF(R1848&gt;=判定条件!$C$7*Q1848,"運転",IF(R1848&lt;=判定条件!$C$8*Q1848,"停止","断続")))</f>
        <v>判定不能</v>
      </c>
      <c r="T1848" s="30" t="n">
        <v>0</v>
      </c>
      <c r="U1848" s="30" t="n">
        <v>0</v>
      </c>
      <c r="V1848" s="30" t="str">
        <f aca="false">IF(T1848&lt;判定条件!$C$6,"判定不能",IF(U1848&gt;=判定条件!$C$7*T1848,"運転",IF(U1848&lt;=判定条件!$C$8*T1848,"停止","断続")))</f>
        <v>判定不能</v>
      </c>
      <c r="W1848" s="30" t="n">
        <v>0</v>
      </c>
      <c r="X1848" s="30" t="n">
        <v>0</v>
      </c>
      <c r="Y1848" s="30" t="str">
        <f aca="false">IF(W1848&lt;判定条件!$C$6,"判定不能",IF(X1848&gt;=判定条件!$C$7*W1848,"運転",IF(X1848&lt;=判定条件!$C$8*W1848,"停止","断続")))</f>
        <v>判定不能</v>
      </c>
      <c r="Z1848" s="30" t="n">
        <v>0</v>
      </c>
      <c r="AA1848" s="30" t="n">
        <v>0</v>
      </c>
      <c r="AB1848" s="30" t="str">
        <f aca="false">IF(Z1848&lt;判定条件!$C$6,"判定不能",IF(AA1848&gt;=判定条件!$C$7*Z1848,"運転",IF(AA1848&lt;=判定条件!$C$8*Z1848,"停止","断続")))</f>
        <v>判定不能</v>
      </c>
      <c r="AC1848" s="30" t="n">
        <v>0</v>
      </c>
      <c r="AD1848" s="30" t="n">
        <v>0</v>
      </c>
      <c r="AE1848" s="30" t="str">
        <f aca="false">IF(AC1848&lt;判定条件!$C$6,"判定不能",IF(AD1848&gt;=判定条件!$C$7*AC1848,"運転",IF(AD1848&lt;=判定条件!$C$8*AC1848,"停止","断続")))</f>
        <v>判定不能</v>
      </c>
      <c r="AF1848" s="30" t="n">
        <v>0</v>
      </c>
      <c r="AG1848" s="30" t="n">
        <v>0</v>
      </c>
      <c r="AH1848" s="30" t="str">
        <f aca="false">IF(OR(P1848="判定不能",G1848="判定不能"),"判定不能",IF(AG1848&gt;=判定条件!$C$9,"利用可",IF(AND(P1848="停止",G1848="停止"),"両方停止","運転がそろわない")))</f>
        <v>判定不能</v>
      </c>
      <c r="AI1848" s="30" t="n">
        <v>0</v>
      </c>
      <c r="AJ1848" s="30" t="n">
        <v>0</v>
      </c>
      <c r="AK1848" s="30" t="str">
        <f aca="false">IF(OR(S1848="判定不能",J1848="判定不能"),"判定不能",IF(AJ1848&gt;=判定条件!$C$9,"利用可",IF(AND(S1848="停止",J1848="停止"),"両方停止","運転がそろわない")))</f>
        <v>判定不能</v>
      </c>
      <c r="AL1848" s="30" t="n">
        <v>0</v>
      </c>
      <c r="AM1848" s="30" t="n">
        <v>0</v>
      </c>
      <c r="AN1848" s="30" t="str">
        <f aca="false">IF(OR(V1848="判定不能",M1848="判定不能"),"判定不能",IF(AM1848&gt;=判定条件!$C$9,"利用可",IF(AND(V1848="停止",M1848="停止"),"両方停止","運転がそろわない")))</f>
        <v>判定不能</v>
      </c>
      <c r="AO1848" s="30" t="n">
        <v>0</v>
      </c>
      <c r="AP1848" s="30" t="n">
        <v>0</v>
      </c>
      <c r="AQ1848" s="30" t="str">
        <f aca="false">IF(OR(Y1848="判定不能",G1848="判定不能"),"判定不能",IF(AP1848&gt;=判定条件!$C$9,"利用可",IF(AND(Y1848="停止",G1848="停止"),"両方停止","運転がそろわない")))</f>
        <v>判定不能</v>
      </c>
      <c r="AR1848" s="30" t="n">
        <v>0</v>
      </c>
      <c r="AS1848" s="30" t="n">
        <v>0</v>
      </c>
      <c r="AT1848" s="30" t="str">
        <f aca="false">IF(OR(AB1848="判定不能",J1848="判定不能"),"判定不能",IF(AS1848&gt;=判定条件!$C$9,"利用可",IF(AND(AB1848="停止",J1848="停止"),"両方停止","運転がそろわない")))</f>
        <v>判定不能</v>
      </c>
      <c r="AU1848" s="30" t="n">
        <v>0</v>
      </c>
      <c r="AV1848" s="30" t="n">
        <v>0</v>
      </c>
      <c r="AW1848" s="30" t="str">
        <f aca="false">IF(OR(AE1848="判定不能",M1848="判定不能"),"判定不能",IF(AV1848&gt;=判定条件!$C$9,"利用可",IF(AND(AE1848="停止",M1848="停止"),"両方停止","運転がそろわない")))</f>
        <v>判定不能</v>
      </c>
      <c r="AX1848" s="30" t="str">
        <f aca="false">IF(AND(AH1848="利用可",AK1848="利用可",AN1848="利用可"),"利用可","不可")</f>
        <v>不可</v>
      </c>
      <c r="AY1848" s="30" t="str">
        <f aca="false">IF(AND(AQ1848="利用可",AT1848="利用可",AW1848="利用可"),"利用可","不可")</f>
        <v>不可</v>
      </c>
    </row>
    <row r="1849" customFormat="false" ht="15" hidden="false" customHeight="false" outlineLevel="0" collapsed="false">
      <c r="A1849" s="29" t="n">
        <v>46308</v>
      </c>
      <c r="B1849" s="30" t="n">
        <v>22</v>
      </c>
      <c r="C1849" s="31" t="s">
        <v>67</v>
      </c>
      <c r="D1849" s="31" t="s">
        <v>59</v>
      </c>
      <c r="E1849" s="30" t="n">
        <v>0</v>
      </c>
      <c r="F1849" s="30" t="n">
        <v>0</v>
      </c>
      <c r="G1849" s="30" t="str">
        <f aca="false">IF(E1849&lt;判定条件!$C$6,"判定不能",IF(F1849&gt;=判定条件!$C$7*E1849,"運転",IF(F1849&lt;=判定条件!$C$8*E1849,"停止","断続")))</f>
        <v>判定不能</v>
      </c>
      <c r="H1849" s="30" t="n">
        <v>0</v>
      </c>
      <c r="I1849" s="30" t="n">
        <v>0</v>
      </c>
      <c r="J1849" s="30" t="str">
        <f aca="false">IF(H1849&lt;判定条件!$C$6,"判定不能",IF(I1849&gt;=判定条件!$C$7*H1849,"運転",IF(I1849&lt;=判定条件!$C$8*H1849,"停止","断続")))</f>
        <v>判定不能</v>
      </c>
      <c r="K1849" s="30" t="n">
        <v>0</v>
      </c>
      <c r="L1849" s="30" t="n">
        <v>0</v>
      </c>
      <c r="M1849" s="30" t="str">
        <f aca="false">IF(K1849&lt;判定条件!$C$6,"判定不能",IF(L1849&gt;=判定条件!$C$7*K1849,"運転",IF(L1849&lt;=判定条件!$C$8*K1849,"停止","断続")))</f>
        <v>判定不能</v>
      </c>
      <c r="N1849" s="30" t="n">
        <v>0</v>
      </c>
      <c r="O1849" s="30" t="n">
        <v>0</v>
      </c>
      <c r="P1849" s="30" t="str">
        <f aca="false">IF(N1849&lt;判定条件!$C$6,"判定不能",IF(O1849&gt;=判定条件!$C$7*N1849,"運転",IF(O1849&lt;=判定条件!$C$8*N1849,"停止","断続")))</f>
        <v>判定不能</v>
      </c>
      <c r="Q1849" s="30" t="n">
        <v>0</v>
      </c>
      <c r="R1849" s="30" t="n">
        <v>0</v>
      </c>
      <c r="S1849" s="30" t="str">
        <f aca="false">IF(Q1849&lt;判定条件!$C$6,"判定不能",IF(R1849&gt;=判定条件!$C$7*Q1849,"運転",IF(R1849&lt;=判定条件!$C$8*Q1849,"停止","断続")))</f>
        <v>判定不能</v>
      </c>
      <c r="T1849" s="30" t="n">
        <v>0</v>
      </c>
      <c r="U1849" s="30" t="n">
        <v>0</v>
      </c>
      <c r="V1849" s="30" t="str">
        <f aca="false">IF(T1849&lt;判定条件!$C$6,"判定不能",IF(U1849&gt;=判定条件!$C$7*T1849,"運転",IF(U1849&lt;=判定条件!$C$8*T1849,"停止","断続")))</f>
        <v>判定不能</v>
      </c>
      <c r="W1849" s="30" t="n">
        <v>0</v>
      </c>
      <c r="X1849" s="30" t="n">
        <v>0</v>
      </c>
      <c r="Y1849" s="30" t="str">
        <f aca="false">IF(W1849&lt;判定条件!$C$6,"判定不能",IF(X1849&gt;=判定条件!$C$7*W1849,"運転",IF(X1849&lt;=判定条件!$C$8*W1849,"停止","断続")))</f>
        <v>判定不能</v>
      </c>
      <c r="Z1849" s="30" t="n">
        <v>0</v>
      </c>
      <c r="AA1849" s="30" t="n">
        <v>0</v>
      </c>
      <c r="AB1849" s="30" t="str">
        <f aca="false">IF(Z1849&lt;判定条件!$C$6,"判定不能",IF(AA1849&gt;=判定条件!$C$7*Z1849,"運転",IF(AA1849&lt;=判定条件!$C$8*Z1849,"停止","断続")))</f>
        <v>判定不能</v>
      </c>
      <c r="AC1849" s="30" t="n">
        <v>0</v>
      </c>
      <c r="AD1849" s="30" t="n">
        <v>0</v>
      </c>
      <c r="AE1849" s="30" t="str">
        <f aca="false">IF(AC1849&lt;判定条件!$C$6,"判定不能",IF(AD1849&gt;=判定条件!$C$7*AC1849,"運転",IF(AD1849&lt;=判定条件!$C$8*AC1849,"停止","断続")))</f>
        <v>判定不能</v>
      </c>
      <c r="AF1849" s="30" t="n">
        <v>0</v>
      </c>
      <c r="AG1849" s="30" t="n">
        <v>0</v>
      </c>
      <c r="AH1849" s="30" t="str">
        <f aca="false">IF(OR(P1849="判定不能",G1849="判定不能"),"判定不能",IF(AG1849&gt;=判定条件!$C$9,"利用可",IF(AND(P1849="停止",G1849="停止"),"両方停止","運転がそろわない")))</f>
        <v>判定不能</v>
      </c>
      <c r="AI1849" s="30" t="n">
        <v>0</v>
      </c>
      <c r="AJ1849" s="30" t="n">
        <v>0</v>
      </c>
      <c r="AK1849" s="30" t="str">
        <f aca="false">IF(OR(S1849="判定不能",J1849="判定不能"),"判定不能",IF(AJ1849&gt;=判定条件!$C$9,"利用可",IF(AND(S1849="停止",J1849="停止"),"両方停止","運転がそろわない")))</f>
        <v>判定不能</v>
      </c>
      <c r="AL1849" s="30" t="n">
        <v>0</v>
      </c>
      <c r="AM1849" s="30" t="n">
        <v>0</v>
      </c>
      <c r="AN1849" s="30" t="str">
        <f aca="false">IF(OR(V1849="判定不能",M1849="判定不能"),"判定不能",IF(AM1849&gt;=判定条件!$C$9,"利用可",IF(AND(V1849="停止",M1849="停止"),"両方停止","運転がそろわない")))</f>
        <v>判定不能</v>
      </c>
      <c r="AO1849" s="30" t="n">
        <v>0</v>
      </c>
      <c r="AP1849" s="30" t="n">
        <v>0</v>
      </c>
      <c r="AQ1849" s="30" t="str">
        <f aca="false">IF(OR(Y1849="判定不能",G1849="判定不能"),"判定不能",IF(AP1849&gt;=判定条件!$C$9,"利用可",IF(AND(Y1849="停止",G1849="停止"),"両方停止","運転がそろわない")))</f>
        <v>判定不能</v>
      </c>
      <c r="AR1849" s="30" t="n">
        <v>0</v>
      </c>
      <c r="AS1849" s="30" t="n">
        <v>0</v>
      </c>
      <c r="AT1849" s="30" t="str">
        <f aca="false">IF(OR(AB1849="判定不能",J1849="判定不能"),"判定不能",IF(AS1849&gt;=判定条件!$C$9,"利用可",IF(AND(AB1849="停止",J1849="停止"),"両方停止","運転がそろわない")))</f>
        <v>判定不能</v>
      </c>
      <c r="AU1849" s="30" t="n">
        <v>0</v>
      </c>
      <c r="AV1849" s="30" t="n">
        <v>0</v>
      </c>
      <c r="AW1849" s="30" t="str">
        <f aca="false">IF(OR(AE1849="判定不能",M1849="判定不能"),"判定不能",IF(AV1849&gt;=判定条件!$C$9,"利用可",IF(AND(AE1849="停止",M1849="停止"),"両方停止","運転がそろわない")))</f>
        <v>判定不能</v>
      </c>
      <c r="AX1849" s="30" t="str">
        <f aca="false">IF(AND(AH1849="利用可",AK1849="利用可",AN1849="利用可"),"利用可","不可")</f>
        <v>不可</v>
      </c>
      <c r="AY1849" s="30" t="str">
        <f aca="false">IF(AND(AQ1849="利用可",AT1849="利用可",AW1849="利用可"),"利用可","不可")</f>
        <v>不可</v>
      </c>
    </row>
    <row r="1850" customFormat="false" ht="15" hidden="false" customHeight="false" outlineLevel="0" collapsed="false">
      <c r="A1850" s="29" t="n">
        <v>46308</v>
      </c>
      <c r="B1850" s="30" t="n">
        <v>23</v>
      </c>
      <c r="C1850" s="31" t="s">
        <v>67</v>
      </c>
      <c r="D1850" s="31" t="s">
        <v>59</v>
      </c>
      <c r="E1850" s="30" t="n">
        <v>0</v>
      </c>
      <c r="F1850" s="30" t="n">
        <v>0</v>
      </c>
      <c r="G1850" s="30" t="str">
        <f aca="false">IF(E1850&lt;判定条件!$C$6,"判定不能",IF(F1850&gt;=判定条件!$C$7*E1850,"運転",IF(F1850&lt;=判定条件!$C$8*E1850,"停止","断続")))</f>
        <v>判定不能</v>
      </c>
      <c r="H1850" s="30" t="n">
        <v>0</v>
      </c>
      <c r="I1850" s="30" t="n">
        <v>0</v>
      </c>
      <c r="J1850" s="30" t="str">
        <f aca="false">IF(H1850&lt;判定条件!$C$6,"判定不能",IF(I1850&gt;=判定条件!$C$7*H1850,"運転",IF(I1850&lt;=判定条件!$C$8*H1850,"停止","断続")))</f>
        <v>判定不能</v>
      </c>
      <c r="K1850" s="30" t="n">
        <v>0</v>
      </c>
      <c r="L1850" s="30" t="n">
        <v>0</v>
      </c>
      <c r="M1850" s="30" t="str">
        <f aca="false">IF(K1850&lt;判定条件!$C$6,"判定不能",IF(L1850&gt;=判定条件!$C$7*K1850,"運転",IF(L1850&lt;=判定条件!$C$8*K1850,"停止","断続")))</f>
        <v>判定不能</v>
      </c>
      <c r="N1850" s="30" t="n">
        <v>0</v>
      </c>
      <c r="O1850" s="30" t="n">
        <v>0</v>
      </c>
      <c r="P1850" s="30" t="str">
        <f aca="false">IF(N1850&lt;判定条件!$C$6,"判定不能",IF(O1850&gt;=判定条件!$C$7*N1850,"運転",IF(O1850&lt;=判定条件!$C$8*N1850,"停止","断続")))</f>
        <v>判定不能</v>
      </c>
      <c r="Q1850" s="30" t="n">
        <v>0</v>
      </c>
      <c r="R1850" s="30" t="n">
        <v>0</v>
      </c>
      <c r="S1850" s="30" t="str">
        <f aca="false">IF(Q1850&lt;判定条件!$C$6,"判定不能",IF(R1850&gt;=判定条件!$C$7*Q1850,"運転",IF(R1850&lt;=判定条件!$C$8*Q1850,"停止","断続")))</f>
        <v>判定不能</v>
      </c>
      <c r="T1850" s="30" t="n">
        <v>0</v>
      </c>
      <c r="U1850" s="30" t="n">
        <v>0</v>
      </c>
      <c r="V1850" s="30" t="str">
        <f aca="false">IF(T1850&lt;判定条件!$C$6,"判定不能",IF(U1850&gt;=判定条件!$C$7*T1850,"運転",IF(U1850&lt;=判定条件!$C$8*T1850,"停止","断続")))</f>
        <v>判定不能</v>
      </c>
      <c r="W1850" s="30" t="n">
        <v>0</v>
      </c>
      <c r="X1850" s="30" t="n">
        <v>0</v>
      </c>
      <c r="Y1850" s="30" t="str">
        <f aca="false">IF(W1850&lt;判定条件!$C$6,"判定不能",IF(X1850&gt;=判定条件!$C$7*W1850,"運転",IF(X1850&lt;=判定条件!$C$8*W1850,"停止","断続")))</f>
        <v>判定不能</v>
      </c>
      <c r="Z1850" s="30" t="n">
        <v>0</v>
      </c>
      <c r="AA1850" s="30" t="n">
        <v>0</v>
      </c>
      <c r="AB1850" s="30" t="str">
        <f aca="false">IF(Z1850&lt;判定条件!$C$6,"判定不能",IF(AA1850&gt;=判定条件!$C$7*Z1850,"運転",IF(AA1850&lt;=判定条件!$C$8*Z1850,"停止","断続")))</f>
        <v>判定不能</v>
      </c>
      <c r="AC1850" s="30" t="n">
        <v>0</v>
      </c>
      <c r="AD1850" s="30" t="n">
        <v>0</v>
      </c>
      <c r="AE1850" s="30" t="str">
        <f aca="false">IF(AC1850&lt;判定条件!$C$6,"判定不能",IF(AD1850&gt;=判定条件!$C$7*AC1850,"運転",IF(AD1850&lt;=判定条件!$C$8*AC1850,"停止","断続")))</f>
        <v>判定不能</v>
      </c>
      <c r="AF1850" s="30" t="n">
        <v>0</v>
      </c>
      <c r="AG1850" s="30" t="n">
        <v>0</v>
      </c>
      <c r="AH1850" s="30" t="str">
        <f aca="false">IF(OR(P1850="判定不能",G1850="判定不能"),"判定不能",IF(AG1850&gt;=判定条件!$C$9,"利用可",IF(AND(P1850="停止",G1850="停止"),"両方停止","運転がそろわない")))</f>
        <v>判定不能</v>
      </c>
      <c r="AI1850" s="30" t="n">
        <v>0</v>
      </c>
      <c r="AJ1850" s="30" t="n">
        <v>0</v>
      </c>
      <c r="AK1850" s="30" t="str">
        <f aca="false">IF(OR(S1850="判定不能",J1850="判定不能"),"判定不能",IF(AJ1850&gt;=判定条件!$C$9,"利用可",IF(AND(S1850="停止",J1850="停止"),"両方停止","運転がそろわない")))</f>
        <v>判定不能</v>
      </c>
      <c r="AL1850" s="30" t="n">
        <v>0</v>
      </c>
      <c r="AM1850" s="30" t="n">
        <v>0</v>
      </c>
      <c r="AN1850" s="30" t="str">
        <f aca="false">IF(OR(V1850="判定不能",M1850="判定不能"),"判定不能",IF(AM1850&gt;=判定条件!$C$9,"利用可",IF(AND(V1850="停止",M1850="停止"),"両方停止","運転がそろわない")))</f>
        <v>判定不能</v>
      </c>
      <c r="AO1850" s="30" t="n">
        <v>0</v>
      </c>
      <c r="AP1850" s="30" t="n">
        <v>0</v>
      </c>
      <c r="AQ1850" s="30" t="str">
        <f aca="false">IF(OR(Y1850="判定不能",G1850="判定不能"),"判定不能",IF(AP1850&gt;=判定条件!$C$9,"利用可",IF(AND(Y1850="停止",G1850="停止"),"両方停止","運転がそろわない")))</f>
        <v>判定不能</v>
      </c>
      <c r="AR1850" s="30" t="n">
        <v>0</v>
      </c>
      <c r="AS1850" s="30" t="n">
        <v>0</v>
      </c>
      <c r="AT1850" s="30" t="str">
        <f aca="false">IF(OR(AB1850="判定不能",J1850="判定不能"),"判定不能",IF(AS1850&gt;=判定条件!$C$9,"利用可",IF(AND(AB1850="停止",J1850="停止"),"両方停止","運転がそろわない")))</f>
        <v>判定不能</v>
      </c>
      <c r="AU1850" s="30" t="n">
        <v>0</v>
      </c>
      <c r="AV1850" s="30" t="n">
        <v>0</v>
      </c>
      <c r="AW1850" s="30" t="str">
        <f aca="false">IF(OR(AE1850="判定不能",M1850="判定不能"),"判定不能",IF(AV1850&gt;=判定条件!$C$9,"利用可",IF(AND(AE1850="停止",M1850="停止"),"両方停止","運転がそろわない")))</f>
        <v>判定不能</v>
      </c>
      <c r="AX1850" s="30" t="str">
        <f aca="false">IF(AND(AH1850="利用可",AK1850="利用可",AN1850="利用可"),"利用可","不可")</f>
        <v>不可</v>
      </c>
      <c r="AY1850" s="30" t="str">
        <f aca="false">IF(AND(AQ1850="利用可",AT1850="利用可",AW1850="利用可"),"利用可","不可")</f>
        <v>不可</v>
      </c>
    </row>
  </sheetData>
  <autoFilter ref="A2:AY1850"/>
  <mergeCells count="21">
    <mergeCell ref="A1:A2"/>
    <mergeCell ref="B1:B2"/>
    <mergeCell ref="C1:C2"/>
    <mergeCell ref="D1:D2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X2"/>
    <mergeCell ref="AY1:AY2"/>
  </mergeCells>
  <conditionalFormatting sqref="E3:AY1850">
    <cfRule type="cellIs" priority="2" operator="equal" aboveAverage="0" equalAverage="0" bottom="0" percent="0" rank="0" text="" dxfId="0">
      <formula>"利用可"</formula>
    </cfRule>
    <cfRule type="cellIs" priority="3" operator="equal" aboveAverage="0" equalAverage="0" bottom="0" percent="0" rank="0" text="" dxfId="0">
      <formula>"運転"</formula>
    </cfRule>
    <cfRule type="cellIs" priority="4" operator="equal" aboveAverage="0" equalAverage="0" bottom="0" percent="0" rank="0" text="" dxfId="11">
      <formula>"両方停止"</formula>
    </cfRule>
    <cfRule type="cellIs" priority="5" operator="equal" aboveAverage="0" equalAverage="0" bottom="0" percent="0" rank="0" text="" dxfId="11">
      <formula>"停止"</formula>
    </cfRule>
    <cfRule type="cellIs" priority="6" operator="equal" aboveAverage="0" equalAverage="0" bottom="0" percent="0" rank="0" text="" dxfId="1">
      <formula>"運転がそろわない"</formula>
    </cfRule>
    <cfRule type="cellIs" priority="7" operator="equal" aboveAverage="0" equalAverage="0" bottom="0" percent="0" rank="0" text="" dxfId="1">
      <formula>"断続"</formula>
    </cfRule>
    <cfRule type="cellIs" priority="8" operator="equal" aboveAverage="0" equalAverage="0" bottom="0" percent="0" rank="0" text="" dxfId="12">
      <formula>"判定不能"</formula>
    </cfRule>
    <cfRule type="cellIs" priority="9" operator="equal" aboveAverage="0" equalAverage="0" bottom="0" percent="0" rank="0" text="" dxfId="1">
      <formula>"不可"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X8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"/>
    <col collapsed="false" customWidth="true" hidden="false" outlineLevel="0" max="26" min="3" style="0" width="2.6"/>
    <col collapsed="false" customWidth="true" hidden="false" outlineLevel="0" max="27" min="27" style="0" width="1.5"/>
    <col collapsed="false" customWidth="true" hidden="false" outlineLevel="0" max="51" min="28" style="0" width="2.6"/>
    <col collapsed="false" customWidth="true" hidden="false" outlineLevel="0" max="52" min="52" style="0" width="1.5"/>
    <col collapsed="false" customWidth="true" hidden="false" outlineLevel="0" max="76" min="53" style="0" width="2.6"/>
    <col collapsed="false" customWidth="true" hidden="false" outlineLevel="0" max="77" min="77" style="0" width="1.5"/>
  </cols>
  <sheetData>
    <row r="1" customFormat="false" ht="15" hidden="false" customHeight="false" outlineLevel="0" collapsed="false">
      <c r="A1" s="11" t="s">
        <v>102</v>
      </c>
    </row>
    <row r="2" customFormat="false" ht="15" hidden="false" customHeight="true" outlineLevel="0" collapsed="false">
      <c r="C2" s="18" t="s">
        <v>47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B2" s="18" t="s">
        <v>48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BA2" s="18" t="s">
        <v>49</v>
      </c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</row>
    <row r="3" customFormat="false" ht="15" hidden="false" customHeight="false" outlineLevel="0" collapsed="false">
      <c r="C3" s="32" t="n">
        <v>0</v>
      </c>
      <c r="D3" s="32" t="n">
        <v>1</v>
      </c>
      <c r="E3" s="32" t="n">
        <v>2</v>
      </c>
      <c r="F3" s="32" t="n">
        <v>3</v>
      </c>
      <c r="G3" s="32" t="n">
        <v>4</v>
      </c>
      <c r="H3" s="32" t="n">
        <v>5</v>
      </c>
      <c r="I3" s="32" t="n">
        <v>6</v>
      </c>
      <c r="J3" s="32" t="n">
        <v>7</v>
      </c>
      <c r="K3" s="32" t="n">
        <v>8</v>
      </c>
      <c r="L3" s="32" t="n">
        <v>9</v>
      </c>
      <c r="M3" s="32" t="n">
        <v>10</v>
      </c>
      <c r="N3" s="32" t="n">
        <v>11</v>
      </c>
      <c r="O3" s="32" t="n">
        <v>12</v>
      </c>
      <c r="P3" s="32" t="n">
        <v>13</v>
      </c>
      <c r="Q3" s="32" t="n">
        <v>14</v>
      </c>
      <c r="R3" s="32" t="n">
        <v>15</v>
      </c>
      <c r="S3" s="32" t="n">
        <v>16</v>
      </c>
      <c r="T3" s="32" t="n">
        <v>17</v>
      </c>
      <c r="U3" s="32" t="n">
        <v>18</v>
      </c>
      <c r="V3" s="32" t="n">
        <v>19</v>
      </c>
      <c r="W3" s="32" t="n">
        <v>20</v>
      </c>
      <c r="X3" s="32" t="n">
        <v>21</v>
      </c>
      <c r="Y3" s="32" t="n">
        <v>22</v>
      </c>
      <c r="Z3" s="32" t="n">
        <v>23</v>
      </c>
      <c r="AB3" s="32" t="n">
        <v>0</v>
      </c>
      <c r="AC3" s="32" t="n">
        <v>1</v>
      </c>
      <c r="AD3" s="32" t="n">
        <v>2</v>
      </c>
      <c r="AE3" s="32" t="n">
        <v>3</v>
      </c>
      <c r="AF3" s="32" t="n">
        <v>4</v>
      </c>
      <c r="AG3" s="32" t="n">
        <v>5</v>
      </c>
      <c r="AH3" s="32" t="n">
        <v>6</v>
      </c>
      <c r="AI3" s="32" t="n">
        <v>7</v>
      </c>
      <c r="AJ3" s="32" t="n">
        <v>8</v>
      </c>
      <c r="AK3" s="32" t="n">
        <v>9</v>
      </c>
      <c r="AL3" s="32" t="n">
        <v>10</v>
      </c>
      <c r="AM3" s="32" t="n">
        <v>11</v>
      </c>
      <c r="AN3" s="32" t="n">
        <v>12</v>
      </c>
      <c r="AO3" s="32" t="n">
        <v>13</v>
      </c>
      <c r="AP3" s="32" t="n">
        <v>14</v>
      </c>
      <c r="AQ3" s="32" t="n">
        <v>15</v>
      </c>
      <c r="AR3" s="32" t="n">
        <v>16</v>
      </c>
      <c r="AS3" s="32" t="n">
        <v>17</v>
      </c>
      <c r="AT3" s="32" t="n">
        <v>18</v>
      </c>
      <c r="AU3" s="32" t="n">
        <v>19</v>
      </c>
      <c r="AV3" s="32" t="n">
        <v>20</v>
      </c>
      <c r="AW3" s="32" t="n">
        <v>21</v>
      </c>
      <c r="AX3" s="32" t="n">
        <v>22</v>
      </c>
      <c r="AY3" s="32" t="n">
        <v>23</v>
      </c>
      <c r="BA3" s="32" t="n">
        <v>0</v>
      </c>
      <c r="BB3" s="32" t="n">
        <v>1</v>
      </c>
      <c r="BC3" s="32" t="n">
        <v>2</v>
      </c>
      <c r="BD3" s="32" t="n">
        <v>3</v>
      </c>
      <c r="BE3" s="32" t="n">
        <v>4</v>
      </c>
      <c r="BF3" s="32" t="n">
        <v>5</v>
      </c>
      <c r="BG3" s="32" t="n">
        <v>6</v>
      </c>
      <c r="BH3" s="32" t="n">
        <v>7</v>
      </c>
      <c r="BI3" s="32" t="n">
        <v>8</v>
      </c>
      <c r="BJ3" s="32" t="n">
        <v>9</v>
      </c>
      <c r="BK3" s="32" t="n">
        <v>10</v>
      </c>
      <c r="BL3" s="32" t="n">
        <v>11</v>
      </c>
      <c r="BM3" s="32" t="n">
        <v>12</v>
      </c>
      <c r="BN3" s="32" t="n">
        <v>13</v>
      </c>
      <c r="BO3" s="32" t="n">
        <v>14</v>
      </c>
      <c r="BP3" s="32" t="n">
        <v>15</v>
      </c>
      <c r="BQ3" s="32" t="n">
        <v>16</v>
      </c>
      <c r="BR3" s="32" t="n">
        <v>17</v>
      </c>
      <c r="BS3" s="32" t="n">
        <v>18</v>
      </c>
      <c r="BT3" s="32" t="n">
        <v>19</v>
      </c>
      <c r="BU3" s="32" t="n">
        <v>20</v>
      </c>
      <c r="BV3" s="32" t="n">
        <v>21</v>
      </c>
      <c r="BW3" s="32" t="n">
        <v>22</v>
      </c>
      <c r="BX3" s="32" t="n">
        <v>23</v>
      </c>
    </row>
    <row r="4" customFormat="false" ht="15" hidden="false" customHeight="false" outlineLevel="0" collapsed="false">
      <c r="A4" s="33" t="n">
        <v>46232</v>
      </c>
      <c r="B4" s="34" t="s">
        <v>58</v>
      </c>
      <c r="C4" s="35" t="str">
        <f aca="false">IFERROR(CHOOSE(MATCH(INDEX(時間ごとの判定!$AH$3:$AH$1850,1),{"利用可","両方停止","運転がそろわない","判定不能"},0),"○","停","×","－"),"")</f>
        <v>－</v>
      </c>
      <c r="D4" s="35" t="str">
        <f aca="false">IFERROR(CHOOSE(MATCH(INDEX(時間ごとの判定!$AH$3:$AH$1850,2),{"利用可","両方停止","運転がそろわない","判定不能"},0),"○","停","×","－"),"")</f>
        <v>－</v>
      </c>
      <c r="E4" s="35" t="str">
        <f aca="false">IFERROR(CHOOSE(MATCH(INDEX(時間ごとの判定!$AH$3:$AH$1850,3),{"利用可","両方停止","運転がそろわない","判定不能"},0),"○","停","×","－"),"")</f>
        <v>－</v>
      </c>
      <c r="F4" s="35" t="str">
        <f aca="false">IFERROR(CHOOSE(MATCH(INDEX(時間ごとの判定!$AH$3:$AH$1850,4),{"利用可","両方停止","運転がそろわない","判定不能"},0),"○","停","×","－"),"")</f>
        <v>－</v>
      </c>
      <c r="G4" s="35" t="str">
        <f aca="false">IFERROR(CHOOSE(MATCH(INDEX(時間ごとの判定!$AH$3:$AH$1850,5),{"利用可","両方停止","運転がそろわない","判定不能"},0),"○","停","×","－"),"")</f>
        <v>－</v>
      </c>
      <c r="H4" s="35" t="str">
        <f aca="false">IFERROR(CHOOSE(MATCH(INDEX(時間ごとの判定!$AH$3:$AH$1850,6),{"利用可","両方停止","運転がそろわない","判定不能"},0),"○","停","×","－"),"")</f>
        <v>－</v>
      </c>
      <c r="I4" s="35" t="str">
        <f aca="false">IFERROR(CHOOSE(MATCH(INDEX(時間ごとの判定!$AH$3:$AH$1850,7),{"利用可","両方停止","運転がそろわない","判定不能"},0),"○","停","×","－"),"")</f>
        <v>－</v>
      </c>
      <c r="J4" s="35" t="str">
        <f aca="false">IFERROR(CHOOSE(MATCH(INDEX(時間ごとの判定!$AH$3:$AH$1850,8),{"利用可","両方停止","運転がそろわない","判定不能"},0),"○","停","×","－"),"")</f>
        <v>－</v>
      </c>
      <c r="K4" s="35" t="str">
        <f aca="false">IFERROR(CHOOSE(MATCH(INDEX(時間ごとの判定!$AH$3:$AH$1850,9),{"利用可","両方停止","運転がそろわない","判定不能"},0),"○","停","×","－"),"")</f>
        <v>－</v>
      </c>
      <c r="L4" s="35" t="str">
        <f aca="false">IFERROR(CHOOSE(MATCH(INDEX(時間ごとの判定!$AH$3:$AH$1850,10),{"利用可","両方停止","運転がそろわない","判定不能"},0),"○","停","×","－"),"")</f>
        <v>－</v>
      </c>
      <c r="M4" s="35" t="str">
        <f aca="false">IFERROR(CHOOSE(MATCH(INDEX(時間ごとの判定!$AH$3:$AH$1850,11),{"利用可","両方停止","運転がそろわない","判定不能"},0),"○","停","×","－"),"")</f>
        <v>－</v>
      </c>
      <c r="N4" s="35" t="str">
        <f aca="false">IFERROR(CHOOSE(MATCH(INDEX(時間ごとの判定!$AH$3:$AH$1850,12),{"利用可","両方停止","運転がそろわない","判定不能"},0),"○","停","×","－"),"")</f>
        <v>－</v>
      </c>
      <c r="O4" s="35" t="str">
        <f aca="false">IFERROR(CHOOSE(MATCH(INDEX(時間ごとの判定!$AH$3:$AH$1850,13),{"利用可","両方停止","運転がそろわない","判定不能"},0),"○","停","×","－"),"")</f>
        <v>－</v>
      </c>
      <c r="P4" s="35" t="str">
        <f aca="false">IFERROR(CHOOSE(MATCH(INDEX(時間ごとの判定!$AH$3:$AH$1850,14),{"利用可","両方停止","運転がそろわない","判定不能"},0),"○","停","×","－"),"")</f>
        <v>－</v>
      </c>
      <c r="Q4" s="35" t="str">
        <f aca="false">IFERROR(CHOOSE(MATCH(INDEX(時間ごとの判定!$AH$3:$AH$1850,15),{"利用可","両方停止","運転がそろわない","判定不能"},0),"○","停","×","－"),"")</f>
        <v>－</v>
      </c>
      <c r="R4" s="35" t="str">
        <f aca="false">IFERROR(CHOOSE(MATCH(INDEX(時間ごとの判定!$AH$3:$AH$1850,16),{"利用可","両方停止","運転がそろわない","判定不能"},0),"○","停","×","－"),"")</f>
        <v>－</v>
      </c>
      <c r="S4" s="35" t="str">
        <f aca="false">IFERROR(CHOOSE(MATCH(INDEX(時間ごとの判定!$AH$3:$AH$1850,17),{"利用可","両方停止","運転がそろわない","判定不能"},0),"○","停","×","－"),"")</f>
        <v>－</v>
      </c>
      <c r="T4" s="35" t="str">
        <f aca="false">IFERROR(CHOOSE(MATCH(INDEX(時間ごとの判定!$AH$3:$AH$1850,18),{"利用可","両方停止","運転がそろわない","判定不能"},0),"○","停","×","－"),"")</f>
        <v>×</v>
      </c>
      <c r="U4" s="35" t="str">
        <f aca="false">IFERROR(CHOOSE(MATCH(INDEX(時間ごとの判定!$AH$3:$AH$1850,19),{"利用可","両方停止","運転がそろわない","判定不能"},0),"○","停","×","－"),"")</f>
        <v>×</v>
      </c>
      <c r="V4" s="35" t="str">
        <f aca="false">IFERROR(CHOOSE(MATCH(INDEX(時間ごとの判定!$AH$3:$AH$1850,20),{"利用可","両方停止","運転がそろわない","判定不能"},0),"○","停","×","－"),"")</f>
        <v>×</v>
      </c>
      <c r="W4" s="35" t="str">
        <f aca="false">IFERROR(CHOOSE(MATCH(INDEX(時間ごとの判定!$AH$3:$AH$1850,21),{"利用可","両方停止","運転がそろわない","判定不能"},0),"○","停","×","－"),"")</f>
        <v>×</v>
      </c>
      <c r="X4" s="35" t="str">
        <f aca="false">IFERROR(CHOOSE(MATCH(INDEX(時間ごとの判定!$AH$3:$AH$1850,22),{"利用可","両方停止","運転がそろわない","判定不能"},0),"○","停","×","－"),"")</f>
        <v>停</v>
      </c>
      <c r="Y4" s="35" t="str">
        <f aca="false">IFERROR(CHOOSE(MATCH(INDEX(時間ごとの判定!$AH$3:$AH$1850,23),{"利用可","両方停止","運転がそろわない","判定不能"},0),"○","停","×","－"),"")</f>
        <v>停</v>
      </c>
      <c r="Z4" s="35" t="str">
        <f aca="false">IFERROR(CHOOSE(MATCH(INDEX(時間ごとの判定!$AH$3:$AH$1850,24),{"利用可","両方停止","運転がそろわない","判定不能"},0),"○","停","×","－"),"")</f>
        <v>停</v>
      </c>
      <c r="AA4" s="35"/>
      <c r="AB4" s="35" t="str">
        <f aca="false">IFERROR(CHOOSE(MATCH(INDEX(時間ごとの判定!$AK$3:$AK$1850,1),{"利用可","両方停止","運転がそろわない","判定不能"},0),"○","停","×","－"),"")</f>
        <v>－</v>
      </c>
      <c r="AC4" s="35" t="str">
        <f aca="false">IFERROR(CHOOSE(MATCH(INDEX(時間ごとの判定!$AK$3:$AK$1850,2),{"利用可","両方停止","運転がそろわない","判定不能"},0),"○","停","×","－"),"")</f>
        <v>－</v>
      </c>
      <c r="AD4" s="35" t="str">
        <f aca="false">IFERROR(CHOOSE(MATCH(INDEX(時間ごとの判定!$AK$3:$AK$1850,3),{"利用可","両方停止","運転がそろわない","判定不能"},0),"○","停","×","－"),"")</f>
        <v>－</v>
      </c>
      <c r="AE4" s="35" t="str">
        <f aca="false">IFERROR(CHOOSE(MATCH(INDEX(時間ごとの判定!$AK$3:$AK$1850,4),{"利用可","両方停止","運転がそろわない","判定不能"},0),"○","停","×","－"),"")</f>
        <v>－</v>
      </c>
      <c r="AF4" s="35" t="str">
        <f aca="false">IFERROR(CHOOSE(MATCH(INDEX(時間ごとの判定!$AK$3:$AK$1850,5),{"利用可","両方停止","運転がそろわない","判定不能"},0),"○","停","×","－"),"")</f>
        <v>－</v>
      </c>
      <c r="AG4" s="35" t="str">
        <f aca="false">IFERROR(CHOOSE(MATCH(INDEX(時間ごとの判定!$AK$3:$AK$1850,6),{"利用可","両方停止","運転がそろわない","判定不能"},0),"○","停","×","－"),"")</f>
        <v>－</v>
      </c>
      <c r="AH4" s="35" t="str">
        <f aca="false">IFERROR(CHOOSE(MATCH(INDEX(時間ごとの判定!$AK$3:$AK$1850,7),{"利用可","両方停止","運転がそろわない","判定不能"},0),"○","停","×","－"),"")</f>
        <v>－</v>
      </c>
      <c r="AI4" s="35" t="str">
        <f aca="false">IFERROR(CHOOSE(MATCH(INDEX(時間ごとの判定!$AK$3:$AK$1850,8),{"利用可","両方停止","運転がそろわない","判定不能"},0),"○","停","×","－"),"")</f>
        <v>－</v>
      </c>
      <c r="AJ4" s="35" t="str">
        <f aca="false">IFERROR(CHOOSE(MATCH(INDEX(時間ごとの判定!$AK$3:$AK$1850,9),{"利用可","両方停止","運転がそろわない","判定不能"},0),"○","停","×","－"),"")</f>
        <v>－</v>
      </c>
      <c r="AK4" s="35" t="str">
        <f aca="false">IFERROR(CHOOSE(MATCH(INDEX(時間ごとの判定!$AK$3:$AK$1850,10),{"利用可","両方停止","運転がそろわない","判定不能"},0),"○","停","×","－"),"")</f>
        <v>－</v>
      </c>
      <c r="AL4" s="35" t="str">
        <f aca="false">IFERROR(CHOOSE(MATCH(INDEX(時間ごとの判定!$AK$3:$AK$1850,11),{"利用可","両方停止","運転がそろわない","判定不能"},0),"○","停","×","－"),"")</f>
        <v>－</v>
      </c>
      <c r="AM4" s="35" t="str">
        <f aca="false">IFERROR(CHOOSE(MATCH(INDEX(時間ごとの判定!$AK$3:$AK$1850,12),{"利用可","両方停止","運転がそろわない","判定不能"},0),"○","停","×","－"),"")</f>
        <v>－</v>
      </c>
      <c r="AN4" s="35" t="str">
        <f aca="false">IFERROR(CHOOSE(MATCH(INDEX(時間ごとの判定!$AK$3:$AK$1850,13),{"利用可","両方停止","運転がそろわない","判定不能"},0),"○","停","×","－"),"")</f>
        <v>－</v>
      </c>
      <c r="AO4" s="35" t="str">
        <f aca="false">IFERROR(CHOOSE(MATCH(INDEX(時間ごとの判定!$AK$3:$AK$1850,14),{"利用可","両方停止","運転がそろわない","判定不能"},0),"○","停","×","－"),"")</f>
        <v>－</v>
      </c>
      <c r="AP4" s="35" t="str">
        <f aca="false">IFERROR(CHOOSE(MATCH(INDEX(時間ごとの判定!$AK$3:$AK$1850,15),{"利用可","両方停止","運転がそろわない","判定不能"},0),"○","停","×","－"),"")</f>
        <v>－</v>
      </c>
      <c r="AQ4" s="35" t="str">
        <f aca="false">IFERROR(CHOOSE(MATCH(INDEX(時間ごとの判定!$AK$3:$AK$1850,16),{"利用可","両方停止","運転がそろわない","判定不能"},0),"○","停","×","－"),"")</f>
        <v>－</v>
      </c>
      <c r="AR4" s="35" t="str">
        <f aca="false">IFERROR(CHOOSE(MATCH(INDEX(時間ごとの判定!$AK$3:$AK$1850,17),{"利用可","両方停止","運転がそろわない","判定不能"},0),"○","停","×","－"),"")</f>
        <v>－</v>
      </c>
      <c r="AS4" s="35" t="str">
        <f aca="false">IFERROR(CHOOSE(MATCH(INDEX(時間ごとの判定!$AK$3:$AK$1850,18),{"利用可","両方停止","運転がそろわない","判定不能"},0),"○","停","×","－"),"")</f>
        <v>○</v>
      </c>
      <c r="AT4" s="35" t="str">
        <f aca="false">IFERROR(CHOOSE(MATCH(INDEX(時間ごとの判定!$AK$3:$AK$1850,19),{"利用可","両方停止","運転がそろわない","判定不能"},0),"○","停","×","－"),"")</f>
        <v>○</v>
      </c>
      <c r="AU4" s="35" t="str">
        <f aca="false">IFERROR(CHOOSE(MATCH(INDEX(時間ごとの判定!$AK$3:$AK$1850,20),{"利用可","両方停止","運転がそろわない","判定不能"},0),"○","停","×","－"),"")</f>
        <v>○</v>
      </c>
      <c r="AV4" s="35" t="str">
        <f aca="false">IFERROR(CHOOSE(MATCH(INDEX(時間ごとの判定!$AK$3:$AK$1850,21),{"利用可","両方停止","運転がそろわない","判定不能"},0),"○","停","×","－"),"")</f>
        <v>×</v>
      </c>
      <c r="AW4" s="35" t="str">
        <f aca="false">IFERROR(CHOOSE(MATCH(INDEX(時間ごとの判定!$AK$3:$AK$1850,22),{"利用可","両方停止","運転がそろわない","判定不能"},0),"○","停","×","－"),"")</f>
        <v>停</v>
      </c>
      <c r="AX4" s="35" t="str">
        <f aca="false">IFERROR(CHOOSE(MATCH(INDEX(時間ごとの判定!$AK$3:$AK$1850,23),{"利用可","両方停止","運転がそろわない","判定不能"},0),"○","停","×","－"),"")</f>
        <v>停</v>
      </c>
      <c r="AY4" s="35" t="str">
        <f aca="false">IFERROR(CHOOSE(MATCH(INDEX(時間ごとの判定!$AK$3:$AK$1850,24),{"利用可","両方停止","運転がそろわない","判定不能"},0),"○","停","×","－"),"")</f>
        <v>停</v>
      </c>
      <c r="AZ4" s="35"/>
      <c r="BA4" s="35" t="str">
        <f aca="false">IFERROR(CHOOSE(MATCH(INDEX(時間ごとの判定!$AN$3:$AN$1850,1),{"利用可","両方停止","運転がそろわない","判定不能"},0),"○","停","×","－"),"")</f>
        <v>－</v>
      </c>
      <c r="BB4" s="35" t="str">
        <f aca="false">IFERROR(CHOOSE(MATCH(INDEX(時間ごとの判定!$AN$3:$AN$1850,2),{"利用可","両方停止","運転がそろわない","判定不能"},0),"○","停","×","－"),"")</f>
        <v>－</v>
      </c>
      <c r="BC4" s="35" t="str">
        <f aca="false">IFERROR(CHOOSE(MATCH(INDEX(時間ごとの判定!$AN$3:$AN$1850,3),{"利用可","両方停止","運転がそろわない","判定不能"},0),"○","停","×","－"),"")</f>
        <v>－</v>
      </c>
      <c r="BD4" s="35" t="str">
        <f aca="false">IFERROR(CHOOSE(MATCH(INDEX(時間ごとの判定!$AN$3:$AN$1850,4),{"利用可","両方停止","運転がそろわない","判定不能"},0),"○","停","×","－"),"")</f>
        <v>－</v>
      </c>
      <c r="BE4" s="35" t="str">
        <f aca="false">IFERROR(CHOOSE(MATCH(INDEX(時間ごとの判定!$AN$3:$AN$1850,5),{"利用可","両方停止","運転がそろわない","判定不能"},0),"○","停","×","－"),"")</f>
        <v>－</v>
      </c>
      <c r="BF4" s="35" t="str">
        <f aca="false">IFERROR(CHOOSE(MATCH(INDEX(時間ごとの判定!$AN$3:$AN$1850,6),{"利用可","両方停止","運転がそろわない","判定不能"},0),"○","停","×","－"),"")</f>
        <v>－</v>
      </c>
      <c r="BG4" s="35" t="str">
        <f aca="false">IFERROR(CHOOSE(MATCH(INDEX(時間ごとの判定!$AN$3:$AN$1850,7),{"利用可","両方停止","運転がそろわない","判定不能"},0),"○","停","×","－"),"")</f>
        <v>－</v>
      </c>
      <c r="BH4" s="35" t="str">
        <f aca="false">IFERROR(CHOOSE(MATCH(INDEX(時間ごとの判定!$AN$3:$AN$1850,8),{"利用可","両方停止","運転がそろわない","判定不能"},0),"○","停","×","－"),"")</f>
        <v>－</v>
      </c>
      <c r="BI4" s="35" t="str">
        <f aca="false">IFERROR(CHOOSE(MATCH(INDEX(時間ごとの判定!$AN$3:$AN$1850,9),{"利用可","両方停止","運転がそろわない","判定不能"},0),"○","停","×","－"),"")</f>
        <v>－</v>
      </c>
      <c r="BJ4" s="35" t="str">
        <f aca="false">IFERROR(CHOOSE(MATCH(INDEX(時間ごとの判定!$AN$3:$AN$1850,10),{"利用可","両方停止","運転がそろわない","判定不能"},0),"○","停","×","－"),"")</f>
        <v>－</v>
      </c>
      <c r="BK4" s="35" t="str">
        <f aca="false">IFERROR(CHOOSE(MATCH(INDEX(時間ごとの判定!$AN$3:$AN$1850,11),{"利用可","両方停止","運転がそろわない","判定不能"},0),"○","停","×","－"),"")</f>
        <v>－</v>
      </c>
      <c r="BL4" s="35" t="str">
        <f aca="false">IFERROR(CHOOSE(MATCH(INDEX(時間ごとの判定!$AN$3:$AN$1850,12),{"利用可","両方停止","運転がそろわない","判定不能"},0),"○","停","×","－"),"")</f>
        <v>－</v>
      </c>
      <c r="BM4" s="35" t="str">
        <f aca="false">IFERROR(CHOOSE(MATCH(INDEX(時間ごとの判定!$AN$3:$AN$1850,13),{"利用可","両方停止","運転がそろわない","判定不能"},0),"○","停","×","－"),"")</f>
        <v>－</v>
      </c>
      <c r="BN4" s="35" t="str">
        <f aca="false">IFERROR(CHOOSE(MATCH(INDEX(時間ごとの判定!$AN$3:$AN$1850,14),{"利用可","両方停止","運転がそろわない","判定不能"},0),"○","停","×","－"),"")</f>
        <v>－</v>
      </c>
      <c r="BO4" s="35" t="str">
        <f aca="false">IFERROR(CHOOSE(MATCH(INDEX(時間ごとの判定!$AN$3:$AN$1850,15),{"利用可","両方停止","運転がそろわない","判定不能"},0),"○","停","×","－"),"")</f>
        <v>－</v>
      </c>
      <c r="BP4" s="35" t="str">
        <f aca="false">IFERROR(CHOOSE(MATCH(INDEX(時間ごとの判定!$AN$3:$AN$1850,16),{"利用可","両方停止","運転がそろわない","判定不能"},0),"○","停","×","－"),"")</f>
        <v>－</v>
      </c>
      <c r="BQ4" s="35" t="str">
        <f aca="false">IFERROR(CHOOSE(MATCH(INDEX(時間ごとの判定!$AN$3:$AN$1850,17),{"利用可","両方停止","運転がそろわない","判定不能"},0),"○","停","×","－"),"")</f>
        <v>－</v>
      </c>
      <c r="BR4" s="35" t="str">
        <f aca="false">IFERROR(CHOOSE(MATCH(INDEX(時間ごとの判定!$AN$3:$AN$1850,18),{"利用可","両方停止","運転がそろわない","判定不能"},0),"○","停","×","－"),"")</f>
        <v>○</v>
      </c>
      <c r="BS4" s="35" t="str">
        <f aca="false">IFERROR(CHOOSE(MATCH(INDEX(時間ごとの判定!$AN$3:$AN$1850,19),{"利用可","両方停止","運転がそろわない","判定不能"},0),"○","停","×","－"),"")</f>
        <v>×</v>
      </c>
      <c r="BT4" s="35" t="str">
        <f aca="false">IFERROR(CHOOSE(MATCH(INDEX(時間ごとの判定!$AN$3:$AN$1850,20),{"利用可","両方停止","運転がそろわない","判定不能"},0),"○","停","×","－"),"")</f>
        <v>×</v>
      </c>
      <c r="BU4" s="35" t="str">
        <f aca="false">IFERROR(CHOOSE(MATCH(INDEX(時間ごとの判定!$AN$3:$AN$1850,21),{"利用可","両方停止","運転がそろわない","判定不能"},0),"○","停","×","－"),"")</f>
        <v>×</v>
      </c>
      <c r="BV4" s="35" t="str">
        <f aca="false">IFERROR(CHOOSE(MATCH(INDEX(時間ごとの判定!$AN$3:$AN$1850,22),{"利用可","両方停止","運転がそろわない","判定不能"},0),"○","停","×","－"),"")</f>
        <v>×</v>
      </c>
      <c r="BW4" s="35" t="str">
        <f aca="false">IFERROR(CHOOSE(MATCH(INDEX(時間ごとの判定!$AN$3:$AN$1850,23),{"利用可","両方停止","運転がそろわない","判定不能"},0),"○","停","×","－"),"")</f>
        <v>×</v>
      </c>
      <c r="BX4" s="35" t="str">
        <f aca="false">IFERROR(CHOOSE(MATCH(INDEX(時間ごとの判定!$AN$3:$AN$1850,24),{"利用可","両方停止","運転がそろわない","判定不能"},0),"○","停","×","－"),"")</f>
        <v>×</v>
      </c>
    </row>
    <row r="5" customFormat="false" ht="15" hidden="false" customHeight="false" outlineLevel="0" collapsed="false">
      <c r="A5" s="33" t="n">
        <v>46233</v>
      </c>
      <c r="B5" s="34" t="s">
        <v>61</v>
      </c>
      <c r="C5" s="35" t="str">
        <f aca="false">IFERROR(CHOOSE(MATCH(INDEX(時間ごとの判定!$AH$3:$AH$1850,25),{"利用可","両方停止","運転がそろわない","判定不能"},0),"○","停","×","－"),"")</f>
        <v>停</v>
      </c>
      <c r="D5" s="35" t="str">
        <f aca="false">IFERROR(CHOOSE(MATCH(INDEX(時間ごとの判定!$AH$3:$AH$1850,26),{"利用可","両方停止","運転がそろわない","判定不能"},0),"○","停","×","－"),"")</f>
        <v>停</v>
      </c>
      <c r="E5" s="35" t="str">
        <f aca="false">IFERROR(CHOOSE(MATCH(INDEX(時間ごとの判定!$AH$3:$AH$1850,27),{"利用可","両方停止","運転がそろわない","判定不能"},0),"○","停","×","－"),"")</f>
        <v>停</v>
      </c>
      <c r="F5" s="35" t="str">
        <f aca="false">IFERROR(CHOOSE(MATCH(INDEX(時間ごとの判定!$AH$3:$AH$1850,28),{"利用可","両方停止","運転がそろわない","判定不能"},0),"○","停","×","－"),"")</f>
        <v>停</v>
      </c>
      <c r="G5" s="35" t="str">
        <f aca="false">IFERROR(CHOOSE(MATCH(INDEX(時間ごとの判定!$AH$3:$AH$1850,29),{"利用可","両方停止","運転がそろわない","判定不能"},0),"○","停","×","－"),"")</f>
        <v>停</v>
      </c>
      <c r="H5" s="35" t="str">
        <f aca="false">IFERROR(CHOOSE(MATCH(INDEX(時間ごとの判定!$AH$3:$AH$1850,30),{"利用可","両方停止","運転がそろわない","判定不能"},0),"○","停","×","－"),"")</f>
        <v>停</v>
      </c>
      <c r="I5" s="35" t="str">
        <f aca="false">IFERROR(CHOOSE(MATCH(INDEX(時間ごとの判定!$AH$3:$AH$1850,31),{"利用可","両方停止","運転がそろわない","判定不能"},0),"○","停","×","－"),"")</f>
        <v>停</v>
      </c>
      <c r="J5" s="35" t="str">
        <f aca="false">IFERROR(CHOOSE(MATCH(INDEX(時間ごとの判定!$AH$3:$AH$1850,32),{"利用可","両方停止","運転がそろわない","判定不能"},0),"○","停","×","－"),"")</f>
        <v>×</v>
      </c>
      <c r="K5" s="35" t="str">
        <f aca="false">IFERROR(CHOOSE(MATCH(INDEX(時間ごとの判定!$AH$3:$AH$1850,33),{"利用可","両方停止","運転がそろわない","判定不能"},0),"○","停","×","－"),"")</f>
        <v>○</v>
      </c>
      <c r="L5" s="35" t="str">
        <f aca="false">IFERROR(CHOOSE(MATCH(INDEX(時間ごとの判定!$AH$3:$AH$1850,34),{"利用可","両方停止","運転がそろわない","判定不能"},0),"○","停","×","－"),"")</f>
        <v>○</v>
      </c>
      <c r="M5" s="35" t="str">
        <f aca="false">IFERROR(CHOOSE(MATCH(INDEX(時間ごとの判定!$AH$3:$AH$1850,35),{"利用可","両方停止","運転がそろわない","判定不能"},0),"○","停","×","－"),"")</f>
        <v>○</v>
      </c>
      <c r="N5" s="35" t="str">
        <f aca="false">IFERROR(CHOOSE(MATCH(INDEX(時間ごとの判定!$AH$3:$AH$1850,36),{"利用可","両方停止","運転がそろわない","判定不能"},0),"○","停","×","－"),"")</f>
        <v>○</v>
      </c>
      <c r="O5" s="35" t="str">
        <f aca="false">IFERROR(CHOOSE(MATCH(INDEX(時間ごとの判定!$AH$3:$AH$1850,37),{"利用可","両方停止","運転がそろわない","判定不能"},0),"○","停","×","－"),"")</f>
        <v>○</v>
      </c>
      <c r="P5" s="35" t="str">
        <f aca="false">IFERROR(CHOOSE(MATCH(INDEX(時間ごとの判定!$AH$3:$AH$1850,38),{"利用可","両方停止","運転がそろわない","判定不能"},0),"○","停","×","－"),"")</f>
        <v>○</v>
      </c>
      <c r="Q5" s="35" t="str">
        <f aca="false">IFERROR(CHOOSE(MATCH(INDEX(時間ごとの判定!$AH$3:$AH$1850,39),{"利用可","両方停止","運転がそろわない","判定不能"},0),"○","停","×","－"),"")</f>
        <v>○</v>
      </c>
      <c r="R5" s="35" t="str">
        <f aca="false">IFERROR(CHOOSE(MATCH(INDEX(時間ごとの判定!$AH$3:$AH$1850,40),{"利用可","両方停止","運転がそろわない","判定不能"},0),"○","停","×","－"),"")</f>
        <v>○</v>
      </c>
      <c r="S5" s="35" t="str">
        <f aca="false">IFERROR(CHOOSE(MATCH(INDEX(時間ごとの判定!$AH$3:$AH$1850,41),{"利用可","両方停止","運転がそろわない","判定不能"},0),"○","停","×","－"),"")</f>
        <v>○</v>
      </c>
      <c r="T5" s="35" t="str">
        <f aca="false">IFERROR(CHOOSE(MATCH(INDEX(時間ごとの判定!$AH$3:$AH$1850,42),{"利用可","両方停止","運転がそろわない","判定不能"},0),"○","停","×","－"),"")</f>
        <v>○</v>
      </c>
      <c r="U5" s="35" t="str">
        <f aca="false">IFERROR(CHOOSE(MATCH(INDEX(時間ごとの判定!$AH$3:$AH$1850,43),{"利用可","両方停止","運転がそろわない","判定不能"},0),"○","停","×","－"),"")</f>
        <v>×</v>
      </c>
      <c r="V5" s="35" t="str">
        <f aca="false">IFERROR(CHOOSE(MATCH(INDEX(時間ごとの判定!$AH$3:$AH$1850,44),{"利用可","両方停止","運転がそろわない","判定不能"},0),"○","停","×","－"),"")</f>
        <v>×</v>
      </c>
      <c r="W5" s="35" t="str">
        <f aca="false">IFERROR(CHOOSE(MATCH(INDEX(時間ごとの判定!$AH$3:$AH$1850,45),{"利用可","両方停止","運転がそろわない","判定不能"},0),"○","停","×","－"),"")</f>
        <v>○</v>
      </c>
      <c r="X5" s="35" t="str">
        <f aca="false">IFERROR(CHOOSE(MATCH(INDEX(時間ごとの判定!$AH$3:$AH$1850,46),{"利用可","両方停止","運転がそろわない","判定不能"},0),"○","停","×","－"),"")</f>
        <v>×</v>
      </c>
      <c r="Y5" s="35" t="str">
        <f aca="false">IFERROR(CHOOSE(MATCH(INDEX(時間ごとの判定!$AH$3:$AH$1850,47),{"利用可","両方停止","運転がそろわない","判定不能"},0),"○","停","×","－"),"")</f>
        <v>×</v>
      </c>
      <c r="Z5" s="35" t="str">
        <f aca="false">IFERROR(CHOOSE(MATCH(INDEX(時間ごとの判定!$AH$3:$AH$1850,48),{"利用可","両方停止","運転がそろわない","判定不能"},0),"○","停","×","－"),"")</f>
        <v>×</v>
      </c>
      <c r="AA5" s="35"/>
      <c r="AB5" s="35" t="str">
        <f aca="false">IFERROR(CHOOSE(MATCH(INDEX(時間ごとの判定!$AK$3:$AK$1850,25),{"利用可","両方停止","運転がそろわない","判定不能"},0),"○","停","×","－"),"")</f>
        <v>停</v>
      </c>
      <c r="AC5" s="35" t="str">
        <f aca="false">IFERROR(CHOOSE(MATCH(INDEX(時間ごとの判定!$AK$3:$AK$1850,26),{"利用可","両方停止","運転がそろわない","判定不能"},0),"○","停","×","－"),"")</f>
        <v>停</v>
      </c>
      <c r="AD5" s="35" t="str">
        <f aca="false">IFERROR(CHOOSE(MATCH(INDEX(時間ごとの判定!$AK$3:$AK$1850,27),{"利用可","両方停止","運転がそろわない","判定不能"},0),"○","停","×","－"),"")</f>
        <v>停</v>
      </c>
      <c r="AE5" s="35" t="str">
        <f aca="false">IFERROR(CHOOSE(MATCH(INDEX(時間ごとの判定!$AK$3:$AK$1850,28),{"利用可","両方停止","運転がそろわない","判定不能"},0),"○","停","×","－"),"")</f>
        <v>停</v>
      </c>
      <c r="AF5" s="35" t="str">
        <f aca="false">IFERROR(CHOOSE(MATCH(INDEX(時間ごとの判定!$AK$3:$AK$1850,29),{"利用可","両方停止","運転がそろわない","判定不能"},0),"○","停","×","－"),"")</f>
        <v>停</v>
      </c>
      <c r="AG5" s="35" t="str">
        <f aca="false">IFERROR(CHOOSE(MATCH(INDEX(時間ごとの判定!$AK$3:$AK$1850,30),{"利用可","両方停止","運転がそろわない","判定不能"},0),"○","停","×","－"),"")</f>
        <v>停</v>
      </c>
      <c r="AH5" s="35" t="str">
        <f aca="false">IFERROR(CHOOSE(MATCH(INDEX(時間ごとの判定!$AK$3:$AK$1850,31),{"利用可","両方停止","運転がそろわない","判定不能"},0),"○","停","×","－"),"")</f>
        <v>停</v>
      </c>
      <c r="AI5" s="35" t="str">
        <f aca="false">IFERROR(CHOOSE(MATCH(INDEX(時間ごとの判定!$AK$3:$AK$1850,32),{"利用可","両方停止","運転がそろわない","判定不能"},0),"○","停","×","－"),"")</f>
        <v>×</v>
      </c>
      <c r="AJ5" s="35" t="str">
        <f aca="false">IFERROR(CHOOSE(MATCH(INDEX(時間ごとの判定!$AK$3:$AK$1850,33),{"利用可","両方停止","運転がそろわない","判定不能"},0),"○","停","×","－"),"")</f>
        <v>○</v>
      </c>
      <c r="AK5" s="35" t="str">
        <f aca="false">IFERROR(CHOOSE(MATCH(INDEX(時間ごとの判定!$AK$3:$AK$1850,34),{"利用可","両方停止","運転がそろわない","判定不能"},0),"○","停","×","－"),"")</f>
        <v>○</v>
      </c>
      <c r="AL5" s="35" t="str">
        <f aca="false">IFERROR(CHOOSE(MATCH(INDEX(時間ごとの判定!$AK$3:$AK$1850,35),{"利用可","両方停止","運転がそろわない","判定不能"},0),"○","停","×","－"),"")</f>
        <v>○</v>
      </c>
      <c r="AM5" s="35" t="str">
        <f aca="false">IFERROR(CHOOSE(MATCH(INDEX(時間ごとの判定!$AK$3:$AK$1850,36),{"利用可","両方停止","運転がそろわない","判定不能"},0),"○","停","×","－"),"")</f>
        <v>○</v>
      </c>
      <c r="AN5" s="35" t="str">
        <f aca="false">IFERROR(CHOOSE(MATCH(INDEX(時間ごとの判定!$AK$3:$AK$1850,37),{"利用可","両方停止","運転がそろわない","判定不能"},0),"○","停","×","－"),"")</f>
        <v>○</v>
      </c>
      <c r="AO5" s="35" t="str">
        <f aca="false">IFERROR(CHOOSE(MATCH(INDEX(時間ごとの判定!$AK$3:$AK$1850,38),{"利用可","両方停止","運転がそろわない","判定不能"},0),"○","停","×","－"),"")</f>
        <v>○</v>
      </c>
      <c r="AP5" s="35" t="str">
        <f aca="false">IFERROR(CHOOSE(MATCH(INDEX(時間ごとの判定!$AK$3:$AK$1850,39),{"利用可","両方停止","運転がそろわない","判定不能"},0),"○","停","×","－"),"")</f>
        <v>○</v>
      </c>
      <c r="AQ5" s="35" t="str">
        <f aca="false">IFERROR(CHOOSE(MATCH(INDEX(時間ごとの判定!$AK$3:$AK$1850,40),{"利用可","両方停止","運転がそろわない","判定不能"},0),"○","停","×","－"),"")</f>
        <v>○</v>
      </c>
      <c r="AR5" s="35" t="str">
        <f aca="false">IFERROR(CHOOSE(MATCH(INDEX(時間ごとの判定!$AK$3:$AK$1850,41),{"利用可","両方停止","運転がそろわない","判定不能"},0),"○","停","×","－"),"")</f>
        <v>○</v>
      </c>
      <c r="AS5" s="35" t="str">
        <f aca="false">IFERROR(CHOOSE(MATCH(INDEX(時間ごとの判定!$AK$3:$AK$1850,42),{"利用可","両方停止","運転がそろわない","判定不能"},0),"○","停","×","－"),"")</f>
        <v>○</v>
      </c>
      <c r="AT5" s="35" t="str">
        <f aca="false">IFERROR(CHOOSE(MATCH(INDEX(時間ごとの判定!$AK$3:$AK$1850,43),{"利用可","両方停止","運転がそろわない","判定不能"},0),"○","停","×","－"),"")</f>
        <v>○</v>
      </c>
      <c r="AU5" s="35" t="str">
        <f aca="false">IFERROR(CHOOSE(MATCH(INDEX(時間ごとの判定!$AK$3:$AK$1850,44),{"利用可","両方停止","運転がそろわない","判定不能"},0),"○","停","×","－"),"")</f>
        <v>○</v>
      </c>
      <c r="AV5" s="35" t="str">
        <f aca="false">IFERROR(CHOOSE(MATCH(INDEX(時間ごとの判定!$AK$3:$AK$1850,45),{"利用可","両方停止","運転がそろわない","判定不能"},0),"○","停","×","－"),"")</f>
        <v>○</v>
      </c>
      <c r="AW5" s="35" t="str">
        <f aca="false">IFERROR(CHOOSE(MATCH(INDEX(時間ごとの判定!$AK$3:$AK$1850,46),{"利用可","両方停止","運転がそろわない","判定不能"},0),"○","停","×","－"),"")</f>
        <v>×</v>
      </c>
      <c r="AX5" s="35" t="str">
        <f aca="false">IFERROR(CHOOSE(MATCH(INDEX(時間ごとの判定!$AK$3:$AK$1850,47),{"利用可","両方停止","運転がそろわない","判定不能"},0),"○","停","×","－"),"")</f>
        <v>停</v>
      </c>
      <c r="AY5" s="35" t="str">
        <f aca="false">IFERROR(CHOOSE(MATCH(INDEX(時間ごとの判定!$AK$3:$AK$1850,48),{"利用可","両方停止","運転がそろわない","判定不能"},0),"○","停","×","－"),"")</f>
        <v>停</v>
      </c>
      <c r="AZ5" s="35"/>
      <c r="BA5" s="35" t="str">
        <f aca="false">IFERROR(CHOOSE(MATCH(INDEX(時間ごとの判定!$AN$3:$AN$1850,25),{"利用可","両方停止","運転がそろわない","判定不能"},0),"○","停","×","－"),"")</f>
        <v>×</v>
      </c>
      <c r="BB5" s="35" t="str">
        <f aca="false">IFERROR(CHOOSE(MATCH(INDEX(時間ごとの判定!$AN$3:$AN$1850,26),{"利用可","両方停止","運転がそろわない","判定不能"},0),"○","停","×","－"),"")</f>
        <v>×</v>
      </c>
      <c r="BC5" s="35" t="str">
        <f aca="false">IFERROR(CHOOSE(MATCH(INDEX(時間ごとの判定!$AN$3:$AN$1850,27),{"利用可","両方停止","運転がそろわない","判定不能"},0),"○","停","×","－"),"")</f>
        <v>×</v>
      </c>
      <c r="BD5" s="35" t="str">
        <f aca="false">IFERROR(CHOOSE(MATCH(INDEX(時間ごとの判定!$AN$3:$AN$1850,28),{"利用可","両方停止","運転がそろわない","判定不能"},0),"○","停","×","－"),"")</f>
        <v>×</v>
      </c>
      <c r="BE5" s="35" t="str">
        <f aca="false">IFERROR(CHOOSE(MATCH(INDEX(時間ごとの判定!$AN$3:$AN$1850,29),{"利用可","両方停止","運転がそろわない","判定不能"},0),"○","停","×","－"),"")</f>
        <v>×</v>
      </c>
      <c r="BF5" s="35" t="str">
        <f aca="false">IFERROR(CHOOSE(MATCH(INDEX(時間ごとの判定!$AN$3:$AN$1850,30),{"利用可","両方停止","運転がそろわない","判定不能"},0),"○","停","×","－"),"")</f>
        <v>×</v>
      </c>
      <c r="BG5" s="35" t="str">
        <f aca="false">IFERROR(CHOOSE(MATCH(INDEX(時間ごとの判定!$AN$3:$AN$1850,31),{"利用可","両方停止","運転がそろわない","判定不能"},0),"○","停","×","－"),"")</f>
        <v>×</v>
      </c>
      <c r="BH5" s="35" t="str">
        <f aca="false">IFERROR(CHOOSE(MATCH(INDEX(時間ごとの判定!$AN$3:$AN$1850,32),{"利用可","両方停止","運転がそろわない","判定不能"},0),"○","停","×","－"),"")</f>
        <v>○</v>
      </c>
      <c r="BI5" s="35" t="str">
        <f aca="false">IFERROR(CHOOSE(MATCH(INDEX(時間ごとの判定!$AN$3:$AN$1850,33),{"利用可","両方停止","運転がそろわない","判定不能"},0),"○","停","×","－"),"")</f>
        <v>○</v>
      </c>
      <c r="BJ5" s="35" t="str">
        <f aca="false">IFERROR(CHOOSE(MATCH(INDEX(時間ごとの判定!$AN$3:$AN$1850,34),{"利用可","両方停止","運転がそろわない","判定不能"},0),"○","停","×","－"),"")</f>
        <v>○</v>
      </c>
      <c r="BK5" s="35" t="str">
        <f aca="false">IFERROR(CHOOSE(MATCH(INDEX(時間ごとの判定!$AN$3:$AN$1850,35),{"利用可","両方停止","運転がそろわない","判定不能"},0),"○","停","×","－"),"")</f>
        <v>○</v>
      </c>
      <c r="BL5" s="35" t="str">
        <f aca="false">IFERROR(CHOOSE(MATCH(INDEX(時間ごとの判定!$AN$3:$AN$1850,36),{"利用可","両方停止","運転がそろわない","判定不能"},0),"○","停","×","－"),"")</f>
        <v>○</v>
      </c>
      <c r="BM5" s="35" t="str">
        <f aca="false">IFERROR(CHOOSE(MATCH(INDEX(時間ごとの判定!$AN$3:$AN$1850,37),{"利用可","両方停止","運転がそろわない","判定不能"},0),"○","停","×","－"),"")</f>
        <v>○</v>
      </c>
      <c r="BN5" s="35" t="str">
        <f aca="false">IFERROR(CHOOSE(MATCH(INDEX(時間ごとの判定!$AN$3:$AN$1850,38),{"利用可","両方停止","運転がそろわない","判定不能"},0),"○","停","×","－"),"")</f>
        <v>○</v>
      </c>
      <c r="BO5" s="35" t="str">
        <f aca="false">IFERROR(CHOOSE(MATCH(INDEX(時間ごとの判定!$AN$3:$AN$1850,39),{"利用可","両方停止","運転がそろわない","判定不能"},0),"○","停","×","－"),"")</f>
        <v>○</v>
      </c>
      <c r="BP5" s="35" t="str">
        <f aca="false">IFERROR(CHOOSE(MATCH(INDEX(時間ごとの判定!$AN$3:$AN$1850,40),{"利用可","両方停止","運転がそろわない","判定不能"},0),"○","停","×","－"),"")</f>
        <v>○</v>
      </c>
      <c r="BQ5" s="35" t="str">
        <f aca="false">IFERROR(CHOOSE(MATCH(INDEX(時間ごとの判定!$AN$3:$AN$1850,41),{"利用可","両方停止","運転がそろわない","判定不能"},0),"○","停","×","－"),"")</f>
        <v>○</v>
      </c>
      <c r="BR5" s="35" t="str">
        <f aca="false">IFERROR(CHOOSE(MATCH(INDEX(時間ごとの判定!$AN$3:$AN$1850,42),{"利用可","両方停止","運転がそろわない","判定不能"},0),"○","停","×","－"),"")</f>
        <v>○</v>
      </c>
      <c r="BS5" s="35" t="str">
        <f aca="false">IFERROR(CHOOSE(MATCH(INDEX(時間ごとの判定!$AN$3:$AN$1850,43),{"利用可","両方停止","運転がそろわない","判定不能"},0),"○","停","×","－"),"")</f>
        <v>×</v>
      </c>
      <c r="BT5" s="35" t="str">
        <f aca="false">IFERROR(CHOOSE(MATCH(INDEX(時間ごとの判定!$AN$3:$AN$1850,44),{"利用可","両方停止","運転がそろわない","判定不能"},0),"○","停","×","－"),"")</f>
        <v>○</v>
      </c>
      <c r="BU5" s="35" t="str">
        <f aca="false">IFERROR(CHOOSE(MATCH(INDEX(時間ごとの判定!$AN$3:$AN$1850,45),{"利用可","両方停止","運転がそろわない","判定不能"},0),"○","停","×","－"),"")</f>
        <v>×</v>
      </c>
      <c r="BV5" s="35" t="str">
        <f aca="false">IFERROR(CHOOSE(MATCH(INDEX(時間ごとの判定!$AN$3:$AN$1850,46),{"利用可","両方停止","運転がそろわない","判定不能"},0),"○","停","×","－"),"")</f>
        <v>×</v>
      </c>
      <c r="BW5" s="35" t="str">
        <f aca="false">IFERROR(CHOOSE(MATCH(INDEX(時間ごとの判定!$AN$3:$AN$1850,47),{"利用可","両方停止","運転がそろわない","判定不能"},0),"○","停","×","－"),"")</f>
        <v>×</v>
      </c>
      <c r="BX5" s="35" t="str">
        <f aca="false">IFERROR(CHOOSE(MATCH(INDEX(時間ごとの判定!$AN$3:$AN$1850,48),{"利用可","両方停止","運転がそろわない","判定不能"},0),"○","停","×","－"),"")</f>
        <v>×</v>
      </c>
    </row>
    <row r="6" customFormat="false" ht="15" hidden="false" customHeight="false" outlineLevel="0" collapsed="false">
      <c r="A6" s="33" t="n">
        <v>46234</v>
      </c>
      <c r="B6" s="34" t="s">
        <v>62</v>
      </c>
      <c r="C6" s="35" t="str">
        <f aca="false">IFERROR(CHOOSE(MATCH(INDEX(時間ごとの判定!$AH$3:$AH$1850,49),{"利用可","両方停止","運転がそろわない","判定不能"},0),"○","停","×","－"),"")</f>
        <v>停</v>
      </c>
      <c r="D6" s="35" t="str">
        <f aca="false">IFERROR(CHOOSE(MATCH(INDEX(時間ごとの判定!$AH$3:$AH$1850,50),{"利用可","両方停止","運転がそろわない","判定不能"},0),"○","停","×","－"),"")</f>
        <v>停</v>
      </c>
      <c r="E6" s="35" t="str">
        <f aca="false">IFERROR(CHOOSE(MATCH(INDEX(時間ごとの判定!$AH$3:$AH$1850,51),{"利用可","両方停止","運転がそろわない","判定不能"},0),"○","停","×","－"),"")</f>
        <v>停</v>
      </c>
      <c r="F6" s="35" t="str">
        <f aca="false">IFERROR(CHOOSE(MATCH(INDEX(時間ごとの判定!$AH$3:$AH$1850,52),{"利用可","両方停止","運転がそろわない","判定不能"},0),"○","停","×","－"),"")</f>
        <v>停</v>
      </c>
      <c r="G6" s="35" t="str">
        <f aca="false">IFERROR(CHOOSE(MATCH(INDEX(時間ごとの判定!$AH$3:$AH$1850,53),{"利用可","両方停止","運転がそろわない","判定不能"},0),"○","停","×","－"),"")</f>
        <v>停</v>
      </c>
      <c r="H6" s="35" t="str">
        <f aca="false">IFERROR(CHOOSE(MATCH(INDEX(時間ごとの判定!$AH$3:$AH$1850,54),{"利用可","両方停止","運転がそろわない","判定不能"},0),"○","停","×","－"),"")</f>
        <v>停</v>
      </c>
      <c r="I6" s="35" t="str">
        <f aca="false">IFERROR(CHOOSE(MATCH(INDEX(時間ごとの判定!$AH$3:$AH$1850,55),{"利用可","両方停止","運転がそろわない","判定不能"},0),"○","停","×","－"),"")</f>
        <v>停</v>
      </c>
      <c r="J6" s="35" t="str">
        <f aca="false">IFERROR(CHOOSE(MATCH(INDEX(時間ごとの判定!$AH$3:$AH$1850,56),{"利用可","両方停止","運転がそろわない","判定不能"},0),"○","停","×","－"),"")</f>
        <v>×</v>
      </c>
      <c r="K6" s="35" t="str">
        <f aca="false">IFERROR(CHOOSE(MATCH(INDEX(時間ごとの判定!$AH$3:$AH$1850,57),{"利用可","両方停止","運転がそろわない","判定不能"},0),"○","停","×","－"),"")</f>
        <v>×</v>
      </c>
      <c r="L6" s="35" t="str">
        <f aca="false">IFERROR(CHOOSE(MATCH(INDEX(時間ごとの判定!$AH$3:$AH$1850,58),{"利用可","両方停止","運転がそろわない","判定不能"},0),"○","停","×","－"),"")</f>
        <v>○</v>
      </c>
      <c r="M6" s="35" t="str">
        <f aca="false">IFERROR(CHOOSE(MATCH(INDEX(時間ごとの判定!$AH$3:$AH$1850,59),{"利用可","両方停止","運転がそろわない","判定不能"},0),"○","停","×","－"),"")</f>
        <v>○</v>
      </c>
      <c r="N6" s="35" t="str">
        <f aca="false">IFERROR(CHOOSE(MATCH(INDEX(時間ごとの判定!$AH$3:$AH$1850,60),{"利用可","両方停止","運転がそろわない","判定不能"},0),"○","停","×","－"),"")</f>
        <v>×</v>
      </c>
      <c r="O6" s="35" t="str">
        <f aca="false">IFERROR(CHOOSE(MATCH(INDEX(時間ごとの判定!$AH$3:$AH$1850,61),{"利用可","両方停止","運転がそろわない","判定不能"},0),"○","停","×","－"),"")</f>
        <v>○</v>
      </c>
      <c r="P6" s="35" t="str">
        <f aca="false">IFERROR(CHOOSE(MATCH(INDEX(時間ごとの判定!$AH$3:$AH$1850,62),{"利用可","両方停止","運転がそろわない","判定不能"},0),"○","停","×","－"),"")</f>
        <v>○</v>
      </c>
      <c r="Q6" s="35" t="str">
        <f aca="false">IFERROR(CHOOSE(MATCH(INDEX(時間ごとの判定!$AH$3:$AH$1850,63),{"利用可","両方停止","運転がそろわない","判定不能"},0),"○","停","×","－"),"")</f>
        <v>○</v>
      </c>
      <c r="R6" s="35" t="str">
        <f aca="false">IFERROR(CHOOSE(MATCH(INDEX(時間ごとの判定!$AH$3:$AH$1850,64),{"利用可","両方停止","運転がそろわない","判定不能"},0),"○","停","×","－"),"")</f>
        <v>○</v>
      </c>
      <c r="S6" s="35" t="str">
        <f aca="false">IFERROR(CHOOSE(MATCH(INDEX(時間ごとの判定!$AH$3:$AH$1850,65),{"利用可","両方停止","運転がそろわない","判定不能"},0),"○","停","×","－"),"")</f>
        <v>○</v>
      </c>
      <c r="T6" s="35" t="str">
        <f aca="false">IFERROR(CHOOSE(MATCH(INDEX(時間ごとの判定!$AH$3:$AH$1850,66),{"利用可","両方停止","運転がそろわない","判定不能"},0),"○","停","×","－"),"")</f>
        <v>○</v>
      </c>
      <c r="U6" s="35" t="str">
        <f aca="false">IFERROR(CHOOSE(MATCH(INDEX(時間ごとの判定!$AH$3:$AH$1850,67),{"利用可","両方停止","運転がそろわない","判定不能"},0),"○","停","×","－"),"")</f>
        <v>○</v>
      </c>
      <c r="V6" s="35" t="str">
        <f aca="false">IFERROR(CHOOSE(MATCH(INDEX(時間ごとの判定!$AH$3:$AH$1850,68),{"利用可","両方停止","運転がそろわない","判定不能"},0),"○","停","×","－"),"")</f>
        <v>×</v>
      </c>
      <c r="W6" s="35" t="str">
        <f aca="false">IFERROR(CHOOSE(MATCH(INDEX(時間ごとの判定!$AH$3:$AH$1850,69),{"利用可","両方停止","運転がそろわない","判定不能"},0),"○","停","×","－"),"")</f>
        <v>×</v>
      </c>
      <c r="X6" s="35" t="str">
        <f aca="false">IFERROR(CHOOSE(MATCH(INDEX(時間ごとの判定!$AH$3:$AH$1850,70),{"利用可","両方停止","運転がそろわない","判定不能"},0),"○","停","×","－"),"")</f>
        <v>停</v>
      </c>
      <c r="Y6" s="35" t="str">
        <f aca="false">IFERROR(CHOOSE(MATCH(INDEX(時間ごとの判定!$AH$3:$AH$1850,71),{"利用可","両方停止","運転がそろわない","判定不能"},0),"○","停","×","－"),"")</f>
        <v>停</v>
      </c>
      <c r="Z6" s="35" t="str">
        <f aca="false">IFERROR(CHOOSE(MATCH(INDEX(時間ごとの判定!$AH$3:$AH$1850,72),{"利用可","両方停止","運転がそろわない","判定不能"},0),"○","停","×","－"),"")</f>
        <v>停</v>
      </c>
      <c r="AA6" s="35"/>
      <c r="AB6" s="35" t="str">
        <f aca="false">IFERROR(CHOOSE(MATCH(INDEX(時間ごとの判定!$AK$3:$AK$1850,49),{"利用可","両方停止","運転がそろわない","判定不能"},0),"○","停","×","－"),"")</f>
        <v>停</v>
      </c>
      <c r="AC6" s="35" t="str">
        <f aca="false">IFERROR(CHOOSE(MATCH(INDEX(時間ごとの判定!$AK$3:$AK$1850,50),{"利用可","両方停止","運転がそろわない","判定不能"},0),"○","停","×","－"),"")</f>
        <v>停</v>
      </c>
      <c r="AD6" s="35" t="str">
        <f aca="false">IFERROR(CHOOSE(MATCH(INDEX(時間ごとの判定!$AK$3:$AK$1850,51),{"利用可","両方停止","運転がそろわない","判定不能"},0),"○","停","×","－"),"")</f>
        <v>停</v>
      </c>
      <c r="AE6" s="35" t="str">
        <f aca="false">IFERROR(CHOOSE(MATCH(INDEX(時間ごとの判定!$AK$3:$AK$1850,52),{"利用可","両方停止","運転がそろわない","判定不能"},0),"○","停","×","－"),"")</f>
        <v>停</v>
      </c>
      <c r="AF6" s="35" t="str">
        <f aca="false">IFERROR(CHOOSE(MATCH(INDEX(時間ごとの判定!$AK$3:$AK$1850,53),{"利用可","両方停止","運転がそろわない","判定不能"},0),"○","停","×","－"),"")</f>
        <v>停</v>
      </c>
      <c r="AG6" s="35" t="str">
        <f aca="false">IFERROR(CHOOSE(MATCH(INDEX(時間ごとの判定!$AK$3:$AK$1850,54),{"利用可","両方停止","運転がそろわない","判定不能"},0),"○","停","×","－"),"")</f>
        <v>停</v>
      </c>
      <c r="AH6" s="35" t="str">
        <f aca="false">IFERROR(CHOOSE(MATCH(INDEX(時間ごとの判定!$AK$3:$AK$1850,55),{"利用可","両方停止","運転がそろわない","判定不能"},0),"○","停","×","－"),"")</f>
        <v>停</v>
      </c>
      <c r="AI6" s="35" t="str">
        <f aca="false">IFERROR(CHOOSE(MATCH(INDEX(時間ごとの判定!$AK$3:$AK$1850,56),{"利用可","両方停止","運転がそろわない","判定不能"},0),"○","停","×","－"),"")</f>
        <v>×</v>
      </c>
      <c r="AJ6" s="35" t="str">
        <f aca="false">IFERROR(CHOOSE(MATCH(INDEX(時間ごとの判定!$AK$3:$AK$1850,57),{"利用可","両方停止","運転がそろわない","判定不能"},0),"○","停","×","－"),"")</f>
        <v>×</v>
      </c>
      <c r="AK6" s="35" t="str">
        <f aca="false">IFERROR(CHOOSE(MATCH(INDEX(時間ごとの判定!$AK$3:$AK$1850,58),{"利用可","両方停止","運転がそろわない","判定不能"},0),"○","停","×","－"),"")</f>
        <v>○</v>
      </c>
      <c r="AL6" s="35" t="str">
        <f aca="false">IFERROR(CHOOSE(MATCH(INDEX(時間ごとの判定!$AK$3:$AK$1850,59),{"利用可","両方停止","運転がそろわない","判定不能"},0),"○","停","×","－"),"")</f>
        <v>○</v>
      </c>
      <c r="AM6" s="35" t="str">
        <f aca="false">IFERROR(CHOOSE(MATCH(INDEX(時間ごとの判定!$AK$3:$AK$1850,60),{"利用可","両方停止","運転がそろわない","判定不能"},0),"○","停","×","－"),"")</f>
        <v>○</v>
      </c>
      <c r="AN6" s="35" t="str">
        <f aca="false">IFERROR(CHOOSE(MATCH(INDEX(時間ごとの判定!$AK$3:$AK$1850,61),{"利用可","両方停止","運転がそろわない","判定不能"},0),"○","停","×","－"),"")</f>
        <v>○</v>
      </c>
      <c r="AO6" s="35" t="str">
        <f aca="false">IFERROR(CHOOSE(MATCH(INDEX(時間ごとの判定!$AK$3:$AK$1850,62),{"利用可","両方停止","運転がそろわない","判定不能"},0),"○","停","×","－"),"")</f>
        <v>○</v>
      </c>
      <c r="AP6" s="35" t="str">
        <f aca="false">IFERROR(CHOOSE(MATCH(INDEX(時間ごとの判定!$AK$3:$AK$1850,63),{"利用可","両方停止","運転がそろわない","判定不能"},0),"○","停","×","－"),"")</f>
        <v>○</v>
      </c>
      <c r="AQ6" s="35" t="str">
        <f aca="false">IFERROR(CHOOSE(MATCH(INDEX(時間ごとの判定!$AK$3:$AK$1850,64),{"利用可","両方停止","運転がそろわない","判定不能"},0),"○","停","×","－"),"")</f>
        <v>○</v>
      </c>
      <c r="AR6" s="35" t="str">
        <f aca="false">IFERROR(CHOOSE(MATCH(INDEX(時間ごとの判定!$AK$3:$AK$1850,65),{"利用可","両方停止","運転がそろわない","判定不能"},0),"○","停","×","－"),"")</f>
        <v>○</v>
      </c>
      <c r="AS6" s="35" t="str">
        <f aca="false">IFERROR(CHOOSE(MATCH(INDEX(時間ごとの判定!$AK$3:$AK$1850,66),{"利用可","両方停止","運転がそろわない","判定不能"},0),"○","停","×","－"),"")</f>
        <v>○</v>
      </c>
      <c r="AT6" s="35" t="str">
        <f aca="false">IFERROR(CHOOSE(MATCH(INDEX(時間ごとの判定!$AK$3:$AK$1850,67),{"利用可","両方停止","運転がそろわない","判定不能"},0),"○","停","×","－"),"")</f>
        <v>○</v>
      </c>
      <c r="AU6" s="35" t="str">
        <f aca="false">IFERROR(CHOOSE(MATCH(INDEX(時間ごとの判定!$AK$3:$AK$1850,68),{"利用可","両方停止","運転がそろわない","判定不能"},0),"○","停","×","－"),"")</f>
        <v>○</v>
      </c>
      <c r="AV6" s="35" t="str">
        <f aca="false">IFERROR(CHOOSE(MATCH(INDEX(時間ごとの判定!$AK$3:$AK$1850,69),{"利用可","両方停止","運転がそろわない","判定不能"},0),"○","停","×","－"),"")</f>
        <v>×</v>
      </c>
      <c r="AW6" s="35" t="str">
        <f aca="false">IFERROR(CHOOSE(MATCH(INDEX(時間ごとの判定!$AK$3:$AK$1850,70),{"利用可","両方停止","運転がそろわない","判定不能"},0),"○","停","×","－"),"")</f>
        <v>×</v>
      </c>
      <c r="AX6" s="35" t="str">
        <f aca="false">IFERROR(CHOOSE(MATCH(INDEX(時間ごとの判定!$AK$3:$AK$1850,71),{"利用可","両方停止","運転がそろわない","判定不能"},0),"○","停","×","－"),"")</f>
        <v>停</v>
      </c>
      <c r="AY6" s="35" t="str">
        <f aca="false">IFERROR(CHOOSE(MATCH(INDEX(時間ごとの判定!$AK$3:$AK$1850,72),{"利用可","両方停止","運転がそろわない","判定不能"},0),"○","停","×","－"),"")</f>
        <v>停</v>
      </c>
      <c r="AZ6" s="35"/>
      <c r="BA6" s="35" t="str">
        <f aca="false">IFERROR(CHOOSE(MATCH(INDEX(時間ごとの判定!$AN$3:$AN$1850,49),{"利用可","両方停止","運転がそろわない","判定不能"},0),"○","停","×","－"),"")</f>
        <v>×</v>
      </c>
      <c r="BB6" s="35" t="str">
        <f aca="false">IFERROR(CHOOSE(MATCH(INDEX(時間ごとの判定!$AN$3:$AN$1850,50),{"利用可","両方停止","運転がそろわない","判定不能"},0),"○","停","×","－"),"")</f>
        <v>×</v>
      </c>
      <c r="BC6" s="35" t="str">
        <f aca="false">IFERROR(CHOOSE(MATCH(INDEX(時間ごとの判定!$AN$3:$AN$1850,51),{"利用可","両方停止","運転がそろわない","判定不能"},0),"○","停","×","－"),"")</f>
        <v>×</v>
      </c>
      <c r="BD6" s="35" t="str">
        <f aca="false">IFERROR(CHOOSE(MATCH(INDEX(時間ごとの判定!$AN$3:$AN$1850,52),{"利用可","両方停止","運転がそろわない","判定不能"},0),"○","停","×","－"),"")</f>
        <v>×</v>
      </c>
      <c r="BE6" s="35" t="str">
        <f aca="false">IFERROR(CHOOSE(MATCH(INDEX(時間ごとの判定!$AN$3:$AN$1850,53),{"利用可","両方停止","運転がそろわない","判定不能"},0),"○","停","×","－"),"")</f>
        <v>×</v>
      </c>
      <c r="BF6" s="35" t="str">
        <f aca="false">IFERROR(CHOOSE(MATCH(INDEX(時間ごとの判定!$AN$3:$AN$1850,54),{"利用可","両方停止","運転がそろわない","判定不能"},0),"○","停","×","－"),"")</f>
        <v>×</v>
      </c>
      <c r="BG6" s="35" t="str">
        <f aca="false">IFERROR(CHOOSE(MATCH(INDEX(時間ごとの判定!$AN$3:$AN$1850,55),{"利用可","両方停止","運転がそろわない","判定不能"},0),"○","停","×","－"),"")</f>
        <v>×</v>
      </c>
      <c r="BH6" s="35" t="str">
        <f aca="false">IFERROR(CHOOSE(MATCH(INDEX(時間ごとの判定!$AN$3:$AN$1850,56),{"利用可","両方停止","運転がそろわない","判定不能"},0),"○","停","×","－"),"")</f>
        <v>○</v>
      </c>
      <c r="BI6" s="35" t="str">
        <f aca="false">IFERROR(CHOOSE(MATCH(INDEX(時間ごとの判定!$AN$3:$AN$1850,57),{"利用可","両方停止","運転がそろわない","判定不能"},0),"○","停","×","－"),"")</f>
        <v>○</v>
      </c>
      <c r="BJ6" s="35" t="str">
        <f aca="false">IFERROR(CHOOSE(MATCH(INDEX(時間ごとの判定!$AN$3:$AN$1850,58),{"利用可","両方停止","運転がそろわない","判定不能"},0),"○","停","×","－"),"")</f>
        <v>○</v>
      </c>
      <c r="BK6" s="35" t="str">
        <f aca="false">IFERROR(CHOOSE(MATCH(INDEX(時間ごとの判定!$AN$3:$AN$1850,59),{"利用可","両方停止","運転がそろわない","判定不能"},0),"○","停","×","－"),"")</f>
        <v>○</v>
      </c>
      <c r="BL6" s="35" t="str">
        <f aca="false">IFERROR(CHOOSE(MATCH(INDEX(時間ごとの判定!$AN$3:$AN$1850,60),{"利用可","両方停止","運転がそろわない","判定不能"},0),"○","停","×","－"),"")</f>
        <v>○</v>
      </c>
      <c r="BM6" s="35" t="str">
        <f aca="false">IFERROR(CHOOSE(MATCH(INDEX(時間ごとの判定!$AN$3:$AN$1850,61),{"利用可","両方停止","運転がそろわない","判定不能"},0),"○","停","×","－"),"")</f>
        <v>○</v>
      </c>
      <c r="BN6" s="35" t="str">
        <f aca="false">IFERROR(CHOOSE(MATCH(INDEX(時間ごとの判定!$AN$3:$AN$1850,62),{"利用可","両方停止","運転がそろわない","判定不能"},0),"○","停","×","－"),"")</f>
        <v>○</v>
      </c>
      <c r="BO6" s="35" t="str">
        <f aca="false">IFERROR(CHOOSE(MATCH(INDEX(時間ごとの判定!$AN$3:$AN$1850,63),{"利用可","両方停止","運転がそろわない","判定不能"},0),"○","停","×","－"),"")</f>
        <v>○</v>
      </c>
      <c r="BP6" s="35" t="str">
        <f aca="false">IFERROR(CHOOSE(MATCH(INDEX(時間ごとの判定!$AN$3:$AN$1850,64),{"利用可","両方停止","運転がそろわない","判定不能"},0),"○","停","×","－"),"")</f>
        <v>○</v>
      </c>
      <c r="BQ6" s="35" t="str">
        <f aca="false">IFERROR(CHOOSE(MATCH(INDEX(時間ごとの判定!$AN$3:$AN$1850,65),{"利用可","両方停止","運転がそろわない","判定不能"},0),"○","停","×","－"),"")</f>
        <v>○</v>
      </c>
      <c r="BR6" s="35" t="str">
        <f aca="false">IFERROR(CHOOSE(MATCH(INDEX(時間ごとの判定!$AN$3:$AN$1850,66),{"利用可","両方停止","運転がそろわない","判定不能"},0),"○","停","×","－"),"")</f>
        <v>○</v>
      </c>
      <c r="BS6" s="35" t="str">
        <f aca="false">IFERROR(CHOOSE(MATCH(INDEX(時間ごとの判定!$AN$3:$AN$1850,67),{"利用可","両方停止","運転がそろわない","判定不能"},0),"○","停","×","－"),"")</f>
        <v>×</v>
      </c>
      <c r="BT6" s="35" t="str">
        <f aca="false">IFERROR(CHOOSE(MATCH(INDEX(時間ごとの判定!$AN$3:$AN$1850,68),{"利用可","両方停止","運転がそろわない","判定不能"},0),"○","停","×","－"),"")</f>
        <v>○</v>
      </c>
      <c r="BU6" s="35" t="str">
        <f aca="false">IFERROR(CHOOSE(MATCH(INDEX(時間ごとの判定!$AN$3:$AN$1850,69),{"利用可","両方停止","運転がそろわない","判定不能"},0),"○","停","×","－"),"")</f>
        <v>×</v>
      </c>
      <c r="BV6" s="35" t="str">
        <f aca="false">IFERROR(CHOOSE(MATCH(INDEX(時間ごとの判定!$AN$3:$AN$1850,70),{"利用可","両方停止","運転がそろわない","判定不能"},0),"○","停","×","－"),"")</f>
        <v>○</v>
      </c>
      <c r="BW6" s="35" t="str">
        <f aca="false">IFERROR(CHOOSE(MATCH(INDEX(時間ごとの判定!$AN$3:$AN$1850,71),{"利用可","両方停止","運転がそろわない","判定不能"},0),"○","停","×","－"),"")</f>
        <v>×</v>
      </c>
      <c r="BX6" s="35" t="str">
        <f aca="false">IFERROR(CHOOSE(MATCH(INDEX(時間ごとの判定!$AN$3:$AN$1850,72),{"利用可","両方停止","運転がそろわない","判定不能"},0),"○","停","×","－"),"")</f>
        <v>×</v>
      </c>
    </row>
    <row r="7" customFormat="false" ht="15" hidden="false" customHeight="false" outlineLevel="0" collapsed="false">
      <c r="A7" s="33" t="n">
        <v>46235</v>
      </c>
      <c r="B7" s="36" t="s">
        <v>63</v>
      </c>
      <c r="C7" s="35" t="str">
        <f aca="false">IFERROR(CHOOSE(MATCH(INDEX(時間ごとの判定!$AH$3:$AH$1850,73),{"利用可","両方停止","運転がそろわない","判定不能"},0),"○","停","×","－"),"")</f>
        <v>停</v>
      </c>
      <c r="D7" s="35" t="str">
        <f aca="false">IFERROR(CHOOSE(MATCH(INDEX(時間ごとの判定!$AH$3:$AH$1850,74),{"利用可","両方停止","運転がそろわない","判定不能"},0),"○","停","×","－"),"")</f>
        <v>停</v>
      </c>
      <c r="E7" s="35" t="str">
        <f aca="false">IFERROR(CHOOSE(MATCH(INDEX(時間ごとの判定!$AH$3:$AH$1850,75),{"利用可","両方停止","運転がそろわない","判定不能"},0),"○","停","×","－"),"")</f>
        <v>停</v>
      </c>
      <c r="F7" s="35" t="str">
        <f aca="false">IFERROR(CHOOSE(MATCH(INDEX(時間ごとの判定!$AH$3:$AH$1850,76),{"利用可","両方停止","運転がそろわない","判定不能"},0),"○","停","×","－"),"")</f>
        <v>停</v>
      </c>
      <c r="G7" s="35" t="str">
        <f aca="false">IFERROR(CHOOSE(MATCH(INDEX(時間ごとの判定!$AH$3:$AH$1850,77),{"利用可","両方停止","運転がそろわない","判定不能"},0),"○","停","×","－"),"")</f>
        <v>停</v>
      </c>
      <c r="H7" s="35" t="str">
        <f aca="false">IFERROR(CHOOSE(MATCH(INDEX(時間ごとの判定!$AH$3:$AH$1850,78),{"利用可","両方停止","運転がそろわない","判定不能"},0),"○","停","×","－"),"")</f>
        <v>停</v>
      </c>
      <c r="I7" s="35" t="str">
        <f aca="false">IFERROR(CHOOSE(MATCH(INDEX(時間ごとの判定!$AH$3:$AH$1850,79),{"利用可","両方停止","運転がそろわない","判定不能"},0),"○","停","×","－"),"")</f>
        <v>停</v>
      </c>
      <c r="J7" s="35" t="str">
        <f aca="false">IFERROR(CHOOSE(MATCH(INDEX(時間ごとの判定!$AH$3:$AH$1850,80),{"利用可","両方停止","運転がそろわない","判定不能"},0),"○","停","×","－"),"")</f>
        <v>停</v>
      </c>
      <c r="K7" s="35" t="str">
        <f aca="false">IFERROR(CHOOSE(MATCH(INDEX(時間ごとの判定!$AH$3:$AH$1850,81),{"利用可","両方停止","運転がそろわない","判定不能"},0),"○","停","×","－"),"")</f>
        <v>×</v>
      </c>
      <c r="L7" s="35" t="str">
        <f aca="false">IFERROR(CHOOSE(MATCH(INDEX(時間ごとの判定!$AH$3:$AH$1850,82),{"利用可","両方停止","運転がそろわない","判定不能"},0),"○","停","×","－"),"")</f>
        <v>×</v>
      </c>
      <c r="M7" s="35" t="str">
        <f aca="false">IFERROR(CHOOSE(MATCH(INDEX(時間ごとの判定!$AH$3:$AH$1850,83),{"利用可","両方停止","運転がそろわない","判定不能"},0),"○","停","×","－"),"")</f>
        <v>×</v>
      </c>
      <c r="N7" s="35" t="str">
        <f aca="false">IFERROR(CHOOSE(MATCH(INDEX(時間ごとの判定!$AH$3:$AH$1850,84),{"利用可","両方停止","運転がそろわない","判定不能"},0),"○","停","×","－"),"")</f>
        <v>×</v>
      </c>
      <c r="O7" s="35" t="str">
        <f aca="false">IFERROR(CHOOSE(MATCH(INDEX(時間ごとの判定!$AH$3:$AH$1850,85),{"利用可","両方停止","運転がそろわない","判定不能"},0),"○","停","×","－"),"")</f>
        <v>○</v>
      </c>
      <c r="P7" s="35" t="str">
        <f aca="false">IFERROR(CHOOSE(MATCH(INDEX(時間ごとの判定!$AH$3:$AH$1850,86),{"利用可","両方停止","運転がそろわない","判定不能"},0),"○","停","×","－"),"")</f>
        <v>○</v>
      </c>
      <c r="Q7" s="35" t="str">
        <f aca="false">IFERROR(CHOOSE(MATCH(INDEX(時間ごとの判定!$AH$3:$AH$1850,87),{"利用可","両方停止","運転がそろわない","判定不能"},0),"○","停","×","－"),"")</f>
        <v>○</v>
      </c>
      <c r="R7" s="35" t="str">
        <f aca="false">IFERROR(CHOOSE(MATCH(INDEX(時間ごとの判定!$AH$3:$AH$1850,88),{"利用可","両方停止","運転がそろわない","判定不能"},0),"○","停","×","－"),"")</f>
        <v>○</v>
      </c>
      <c r="S7" s="35" t="str">
        <f aca="false">IFERROR(CHOOSE(MATCH(INDEX(時間ごとの判定!$AH$3:$AH$1850,89),{"利用可","両方停止","運転がそろわない","判定不能"},0),"○","停","×","－"),"")</f>
        <v>○</v>
      </c>
      <c r="T7" s="35" t="str">
        <f aca="false">IFERROR(CHOOSE(MATCH(INDEX(時間ごとの判定!$AH$3:$AH$1850,90),{"利用可","両方停止","運転がそろわない","判定不能"},0),"○","停","×","－"),"")</f>
        <v>○</v>
      </c>
      <c r="U7" s="35" t="str">
        <f aca="false">IFERROR(CHOOSE(MATCH(INDEX(時間ごとの判定!$AH$3:$AH$1850,91),{"利用可","両方停止","運転がそろわない","判定不能"},0),"○","停","×","－"),"")</f>
        <v>×</v>
      </c>
      <c r="V7" s="35" t="str">
        <f aca="false">IFERROR(CHOOSE(MATCH(INDEX(時間ごとの判定!$AH$3:$AH$1850,92),{"利用可","両方停止","運転がそろわない","判定不能"},0),"○","停","×","－"),"")</f>
        <v>×</v>
      </c>
      <c r="W7" s="35" t="str">
        <f aca="false">IFERROR(CHOOSE(MATCH(INDEX(時間ごとの判定!$AH$3:$AH$1850,93),{"利用可","両方停止","運転がそろわない","判定不能"},0),"○","停","×","－"),"")</f>
        <v>×</v>
      </c>
      <c r="X7" s="35" t="str">
        <f aca="false">IFERROR(CHOOSE(MATCH(INDEX(時間ごとの判定!$AH$3:$AH$1850,94),{"利用可","両方停止","運転がそろわない","判定不能"},0),"○","停","×","－"),"")</f>
        <v>停</v>
      </c>
      <c r="Y7" s="35" t="str">
        <f aca="false">IFERROR(CHOOSE(MATCH(INDEX(時間ごとの判定!$AH$3:$AH$1850,95),{"利用可","両方停止","運転がそろわない","判定不能"},0),"○","停","×","－"),"")</f>
        <v>停</v>
      </c>
      <c r="Z7" s="35" t="str">
        <f aca="false">IFERROR(CHOOSE(MATCH(INDEX(時間ごとの判定!$AH$3:$AH$1850,96),{"利用可","両方停止","運転がそろわない","判定不能"},0),"○","停","×","－"),"")</f>
        <v>停</v>
      </c>
      <c r="AA7" s="35"/>
      <c r="AB7" s="35" t="str">
        <f aca="false">IFERROR(CHOOSE(MATCH(INDEX(時間ごとの判定!$AK$3:$AK$1850,73),{"利用可","両方停止","運転がそろわない","判定不能"},0),"○","停","×","－"),"")</f>
        <v>停</v>
      </c>
      <c r="AC7" s="35" t="str">
        <f aca="false">IFERROR(CHOOSE(MATCH(INDEX(時間ごとの判定!$AK$3:$AK$1850,74),{"利用可","両方停止","運転がそろわない","判定不能"},0),"○","停","×","－"),"")</f>
        <v>停</v>
      </c>
      <c r="AD7" s="35" t="str">
        <f aca="false">IFERROR(CHOOSE(MATCH(INDEX(時間ごとの判定!$AK$3:$AK$1850,75),{"利用可","両方停止","運転がそろわない","判定不能"},0),"○","停","×","－"),"")</f>
        <v>停</v>
      </c>
      <c r="AE7" s="35" t="str">
        <f aca="false">IFERROR(CHOOSE(MATCH(INDEX(時間ごとの判定!$AK$3:$AK$1850,76),{"利用可","両方停止","運転がそろわない","判定不能"},0),"○","停","×","－"),"")</f>
        <v>停</v>
      </c>
      <c r="AF7" s="35" t="str">
        <f aca="false">IFERROR(CHOOSE(MATCH(INDEX(時間ごとの判定!$AK$3:$AK$1850,77),{"利用可","両方停止","運転がそろわない","判定不能"},0),"○","停","×","－"),"")</f>
        <v>停</v>
      </c>
      <c r="AG7" s="35" t="str">
        <f aca="false">IFERROR(CHOOSE(MATCH(INDEX(時間ごとの判定!$AK$3:$AK$1850,78),{"利用可","両方停止","運転がそろわない","判定不能"},0),"○","停","×","－"),"")</f>
        <v>停</v>
      </c>
      <c r="AH7" s="35" t="str">
        <f aca="false">IFERROR(CHOOSE(MATCH(INDEX(時間ごとの判定!$AK$3:$AK$1850,79),{"利用可","両方停止","運転がそろわない","判定不能"},0),"○","停","×","－"),"")</f>
        <v>停</v>
      </c>
      <c r="AI7" s="35" t="str">
        <f aca="false">IFERROR(CHOOSE(MATCH(INDEX(時間ごとの判定!$AK$3:$AK$1850,80),{"利用可","両方停止","運転がそろわない","判定不能"},0),"○","停","×","－"),"")</f>
        <v>停</v>
      </c>
      <c r="AJ7" s="35" t="str">
        <f aca="false">IFERROR(CHOOSE(MATCH(INDEX(時間ごとの判定!$AK$3:$AK$1850,81),{"利用可","両方停止","運転がそろわない","判定不能"},0),"○","停","×","－"),"")</f>
        <v>×</v>
      </c>
      <c r="AK7" s="35" t="str">
        <f aca="false">IFERROR(CHOOSE(MATCH(INDEX(時間ごとの判定!$AK$3:$AK$1850,82),{"利用可","両方停止","運転がそろわない","判定不能"},0),"○","停","×","－"),"")</f>
        <v>○</v>
      </c>
      <c r="AL7" s="35" t="str">
        <f aca="false">IFERROR(CHOOSE(MATCH(INDEX(時間ごとの判定!$AK$3:$AK$1850,83),{"利用可","両方停止","運転がそろわない","判定不能"},0),"○","停","×","－"),"")</f>
        <v>○</v>
      </c>
      <c r="AM7" s="35" t="str">
        <f aca="false">IFERROR(CHOOSE(MATCH(INDEX(時間ごとの判定!$AK$3:$AK$1850,84),{"利用可","両方停止","運転がそろわない","判定不能"},0),"○","停","×","－"),"")</f>
        <v>○</v>
      </c>
      <c r="AN7" s="35" t="str">
        <f aca="false">IFERROR(CHOOSE(MATCH(INDEX(時間ごとの判定!$AK$3:$AK$1850,85),{"利用可","両方停止","運転がそろわない","判定不能"},0),"○","停","×","－"),"")</f>
        <v>×</v>
      </c>
      <c r="AO7" s="35" t="str">
        <f aca="false">IFERROR(CHOOSE(MATCH(INDEX(時間ごとの判定!$AK$3:$AK$1850,86),{"利用可","両方停止","運転がそろわない","判定不能"},0),"○","停","×","－"),"")</f>
        <v>×</v>
      </c>
      <c r="AP7" s="35" t="str">
        <f aca="false">IFERROR(CHOOSE(MATCH(INDEX(時間ごとの判定!$AK$3:$AK$1850,87),{"利用可","両方停止","運転がそろわない","判定不能"},0),"○","停","×","－"),"")</f>
        <v>○</v>
      </c>
      <c r="AQ7" s="35" t="str">
        <f aca="false">IFERROR(CHOOSE(MATCH(INDEX(時間ごとの判定!$AK$3:$AK$1850,88),{"利用可","両方停止","運転がそろわない","判定不能"},0),"○","停","×","－"),"")</f>
        <v>○</v>
      </c>
      <c r="AR7" s="35" t="str">
        <f aca="false">IFERROR(CHOOSE(MATCH(INDEX(時間ごとの判定!$AK$3:$AK$1850,89),{"利用可","両方停止","運転がそろわない","判定不能"},0),"○","停","×","－"),"")</f>
        <v>○</v>
      </c>
      <c r="AS7" s="35" t="str">
        <f aca="false">IFERROR(CHOOSE(MATCH(INDEX(時間ごとの判定!$AK$3:$AK$1850,90),{"利用可","両方停止","運転がそろわない","判定不能"},0),"○","停","×","－"),"")</f>
        <v>○</v>
      </c>
      <c r="AT7" s="35" t="str">
        <f aca="false">IFERROR(CHOOSE(MATCH(INDEX(時間ごとの判定!$AK$3:$AK$1850,91),{"利用可","両方停止","運転がそろわない","判定不能"},0),"○","停","×","－"),"")</f>
        <v>○</v>
      </c>
      <c r="AU7" s="35" t="str">
        <f aca="false">IFERROR(CHOOSE(MATCH(INDEX(時間ごとの判定!$AK$3:$AK$1850,92),{"利用可","両方停止","運転がそろわない","判定不能"},0),"○","停","×","－"),"")</f>
        <v>○</v>
      </c>
      <c r="AV7" s="35" t="str">
        <f aca="false">IFERROR(CHOOSE(MATCH(INDEX(時間ごとの判定!$AK$3:$AK$1850,93),{"利用可","両方停止","運転がそろわない","判定不能"},0),"○","停","×","－"),"")</f>
        <v>×</v>
      </c>
      <c r="AW7" s="35" t="str">
        <f aca="false">IFERROR(CHOOSE(MATCH(INDEX(時間ごとの判定!$AK$3:$AK$1850,94),{"利用可","両方停止","運転がそろわない","判定不能"},0),"○","停","×","－"),"")</f>
        <v>×</v>
      </c>
      <c r="AX7" s="35" t="str">
        <f aca="false">IFERROR(CHOOSE(MATCH(INDEX(時間ごとの判定!$AK$3:$AK$1850,95),{"利用可","両方停止","運転がそろわない","判定不能"},0),"○","停","×","－"),"")</f>
        <v>停</v>
      </c>
      <c r="AY7" s="35" t="str">
        <f aca="false">IFERROR(CHOOSE(MATCH(INDEX(時間ごとの判定!$AK$3:$AK$1850,96),{"利用可","両方停止","運転がそろわない","判定不能"},0),"○","停","×","－"),"")</f>
        <v>停</v>
      </c>
      <c r="AZ7" s="35"/>
      <c r="BA7" s="35" t="str">
        <f aca="false">IFERROR(CHOOSE(MATCH(INDEX(時間ごとの判定!$AN$3:$AN$1850,73),{"利用可","両方停止","運転がそろわない","判定不能"},0),"○","停","×","－"),"")</f>
        <v>×</v>
      </c>
      <c r="BB7" s="35" t="str">
        <f aca="false">IFERROR(CHOOSE(MATCH(INDEX(時間ごとの判定!$AN$3:$AN$1850,74),{"利用可","両方停止","運転がそろわない","判定不能"},0),"○","停","×","－"),"")</f>
        <v>×</v>
      </c>
      <c r="BC7" s="35" t="str">
        <f aca="false">IFERROR(CHOOSE(MATCH(INDEX(時間ごとの判定!$AN$3:$AN$1850,75),{"利用可","両方停止","運転がそろわない","判定不能"},0),"○","停","×","－"),"")</f>
        <v>×</v>
      </c>
      <c r="BD7" s="35" t="str">
        <f aca="false">IFERROR(CHOOSE(MATCH(INDEX(時間ごとの判定!$AN$3:$AN$1850,76),{"利用可","両方停止","運転がそろわない","判定不能"},0),"○","停","×","－"),"")</f>
        <v>×</v>
      </c>
      <c r="BE7" s="35" t="str">
        <f aca="false">IFERROR(CHOOSE(MATCH(INDEX(時間ごとの判定!$AN$3:$AN$1850,77),{"利用可","両方停止","運転がそろわない","判定不能"},0),"○","停","×","－"),"")</f>
        <v>×</v>
      </c>
      <c r="BF7" s="35" t="str">
        <f aca="false">IFERROR(CHOOSE(MATCH(INDEX(時間ごとの判定!$AN$3:$AN$1850,78),{"利用可","両方停止","運転がそろわない","判定不能"},0),"○","停","×","－"),"")</f>
        <v>×</v>
      </c>
      <c r="BG7" s="35" t="str">
        <f aca="false">IFERROR(CHOOSE(MATCH(INDEX(時間ごとの判定!$AN$3:$AN$1850,79),{"利用可","両方停止","運転がそろわない","判定不能"},0),"○","停","×","－"),"")</f>
        <v>×</v>
      </c>
      <c r="BH7" s="35" t="str">
        <f aca="false">IFERROR(CHOOSE(MATCH(INDEX(時間ごとの判定!$AN$3:$AN$1850,80),{"利用可","両方停止","運転がそろわない","判定不能"},0),"○","停","×","－"),"")</f>
        <v>×</v>
      </c>
      <c r="BI7" s="35" t="str">
        <f aca="false">IFERROR(CHOOSE(MATCH(INDEX(時間ごとの判定!$AN$3:$AN$1850,81),{"利用可","両方停止","運転がそろわない","判定不能"},0),"○","停","×","－"),"")</f>
        <v>○</v>
      </c>
      <c r="BJ7" s="35" t="str">
        <f aca="false">IFERROR(CHOOSE(MATCH(INDEX(時間ごとの判定!$AN$3:$AN$1850,82),{"利用可","両方停止","運転がそろわない","判定不能"},0),"○","停","×","－"),"")</f>
        <v>○</v>
      </c>
      <c r="BK7" s="35" t="str">
        <f aca="false">IFERROR(CHOOSE(MATCH(INDEX(時間ごとの判定!$AN$3:$AN$1850,83),{"利用可","両方停止","運転がそろわない","判定不能"},0),"○","停","×","－"),"")</f>
        <v>○</v>
      </c>
      <c r="BL7" s="35" t="str">
        <f aca="false">IFERROR(CHOOSE(MATCH(INDEX(時間ごとの判定!$AN$3:$AN$1850,84),{"利用可","両方停止","運転がそろわない","判定不能"},0),"○","停","×","－"),"")</f>
        <v>○</v>
      </c>
      <c r="BM7" s="35" t="str">
        <f aca="false">IFERROR(CHOOSE(MATCH(INDEX(時間ごとの判定!$AN$3:$AN$1850,85),{"利用可","両方停止","運転がそろわない","判定不能"},0),"○","停","×","－"),"")</f>
        <v>×</v>
      </c>
      <c r="BN7" s="35" t="str">
        <f aca="false">IFERROR(CHOOSE(MATCH(INDEX(時間ごとの判定!$AN$3:$AN$1850,86),{"利用可","両方停止","運転がそろわない","判定不能"},0),"○","停","×","－"),"")</f>
        <v>×</v>
      </c>
      <c r="BO7" s="35" t="str">
        <f aca="false">IFERROR(CHOOSE(MATCH(INDEX(時間ごとの判定!$AN$3:$AN$1850,87),{"利用可","両方停止","運転がそろわない","判定不能"},0),"○","停","×","－"),"")</f>
        <v>○</v>
      </c>
      <c r="BP7" s="35" t="str">
        <f aca="false">IFERROR(CHOOSE(MATCH(INDEX(時間ごとの判定!$AN$3:$AN$1850,88),{"利用可","両方停止","運転がそろわない","判定不能"},0),"○","停","×","－"),"")</f>
        <v>○</v>
      </c>
      <c r="BQ7" s="35" t="str">
        <f aca="false">IFERROR(CHOOSE(MATCH(INDEX(時間ごとの判定!$AN$3:$AN$1850,89),{"利用可","両方停止","運転がそろわない","判定不能"},0),"○","停","×","－"),"")</f>
        <v>○</v>
      </c>
      <c r="BR7" s="35" t="str">
        <f aca="false">IFERROR(CHOOSE(MATCH(INDEX(時間ごとの判定!$AN$3:$AN$1850,90),{"利用可","両方停止","運転がそろわない","判定不能"},0),"○","停","×","－"),"")</f>
        <v>○</v>
      </c>
      <c r="BS7" s="35" t="str">
        <f aca="false">IFERROR(CHOOSE(MATCH(INDEX(時間ごとの判定!$AN$3:$AN$1850,91),{"利用可","両方停止","運転がそろわない","判定不能"},0),"○","停","×","－"),"")</f>
        <v>○</v>
      </c>
      <c r="BT7" s="35" t="str">
        <f aca="false">IFERROR(CHOOSE(MATCH(INDEX(時間ごとの判定!$AN$3:$AN$1850,92),{"利用可","両方停止","運転がそろわない","判定不能"},0),"○","停","×","－"),"")</f>
        <v>○</v>
      </c>
      <c r="BU7" s="35" t="str">
        <f aca="false">IFERROR(CHOOSE(MATCH(INDEX(時間ごとの判定!$AN$3:$AN$1850,93),{"利用可","両方停止","運転がそろわない","判定不能"},0),"○","停","×","－"),"")</f>
        <v>×</v>
      </c>
      <c r="BV7" s="35" t="str">
        <f aca="false">IFERROR(CHOOSE(MATCH(INDEX(時間ごとの判定!$AN$3:$AN$1850,94),{"利用可","両方停止","運転がそろわない","判定不能"},0),"○","停","×","－"),"")</f>
        <v>×</v>
      </c>
      <c r="BW7" s="35" t="str">
        <f aca="false">IFERROR(CHOOSE(MATCH(INDEX(時間ごとの判定!$AN$3:$AN$1850,95),{"利用可","両方停止","運転がそろわない","判定不能"},0),"○","停","×","－"),"")</f>
        <v>×</v>
      </c>
      <c r="BX7" s="35" t="str">
        <f aca="false">IFERROR(CHOOSE(MATCH(INDEX(時間ごとの判定!$AN$3:$AN$1850,96),{"利用可","両方停止","運転がそろわない","判定不能"},0),"○","停","×","－"),"")</f>
        <v>×</v>
      </c>
    </row>
    <row r="8" customFormat="false" ht="15" hidden="false" customHeight="false" outlineLevel="0" collapsed="false">
      <c r="A8" s="33" t="n">
        <v>46236</v>
      </c>
      <c r="B8" s="36" t="s">
        <v>65</v>
      </c>
      <c r="C8" s="35" t="str">
        <f aca="false">IFERROR(CHOOSE(MATCH(INDEX(時間ごとの判定!$AH$3:$AH$1850,97),{"利用可","両方停止","運転がそろわない","判定不能"},0),"○","停","×","－"),"")</f>
        <v>停</v>
      </c>
      <c r="D8" s="35" t="str">
        <f aca="false">IFERROR(CHOOSE(MATCH(INDEX(時間ごとの判定!$AH$3:$AH$1850,98),{"利用可","両方停止","運転がそろわない","判定不能"},0),"○","停","×","－"),"")</f>
        <v>停</v>
      </c>
      <c r="E8" s="35" t="str">
        <f aca="false">IFERROR(CHOOSE(MATCH(INDEX(時間ごとの判定!$AH$3:$AH$1850,99),{"利用可","両方停止","運転がそろわない","判定不能"},0),"○","停","×","－"),"")</f>
        <v>停</v>
      </c>
      <c r="F8" s="35" t="str">
        <f aca="false">IFERROR(CHOOSE(MATCH(INDEX(時間ごとの判定!$AH$3:$AH$1850,100),{"利用可","両方停止","運転がそろわない","判定不能"},0),"○","停","×","－"),"")</f>
        <v>停</v>
      </c>
      <c r="G8" s="35" t="str">
        <f aca="false">IFERROR(CHOOSE(MATCH(INDEX(時間ごとの判定!$AH$3:$AH$1850,101),{"利用可","両方停止","運転がそろわない","判定不能"},0),"○","停","×","－"),"")</f>
        <v>停</v>
      </c>
      <c r="H8" s="35" t="str">
        <f aca="false">IFERROR(CHOOSE(MATCH(INDEX(時間ごとの判定!$AH$3:$AH$1850,102),{"利用可","両方停止","運転がそろわない","判定不能"},0),"○","停","×","－"),"")</f>
        <v>停</v>
      </c>
      <c r="I8" s="35" t="str">
        <f aca="false">IFERROR(CHOOSE(MATCH(INDEX(時間ごとの判定!$AH$3:$AH$1850,103),{"利用可","両方停止","運転がそろわない","判定不能"},0),"○","停","×","－"),"")</f>
        <v>停</v>
      </c>
      <c r="J8" s="35" t="str">
        <f aca="false">IFERROR(CHOOSE(MATCH(INDEX(時間ごとの判定!$AH$3:$AH$1850,104),{"利用可","両方停止","運転がそろわない","判定不能"},0),"○","停","×","－"),"")</f>
        <v>×</v>
      </c>
      <c r="K8" s="35" t="str">
        <f aca="false">IFERROR(CHOOSE(MATCH(INDEX(時間ごとの判定!$AH$3:$AH$1850,105),{"利用可","両方停止","運転がそろわない","判定不能"},0),"○","停","×","－"),"")</f>
        <v>○</v>
      </c>
      <c r="L8" s="35" t="str">
        <f aca="false">IFERROR(CHOOSE(MATCH(INDEX(時間ごとの判定!$AH$3:$AH$1850,106),{"利用可","両方停止","運転がそろわない","判定不能"},0),"○","停","×","－"),"")</f>
        <v>○</v>
      </c>
      <c r="M8" s="35" t="str">
        <f aca="false">IFERROR(CHOOSE(MATCH(INDEX(時間ごとの判定!$AH$3:$AH$1850,107),{"利用可","両方停止","運転がそろわない","判定不能"},0),"○","停","×","－"),"")</f>
        <v>○</v>
      </c>
      <c r="N8" s="35" t="str">
        <f aca="false">IFERROR(CHOOSE(MATCH(INDEX(時間ごとの判定!$AH$3:$AH$1850,108),{"利用可","両方停止","運転がそろわない","判定不能"},0),"○","停","×","－"),"")</f>
        <v>○</v>
      </c>
      <c r="O8" s="35" t="str">
        <f aca="false">IFERROR(CHOOSE(MATCH(INDEX(時間ごとの判定!$AH$3:$AH$1850,109),{"利用可","両方停止","運転がそろわない","判定不能"},0),"○","停","×","－"),"")</f>
        <v>○</v>
      </c>
      <c r="P8" s="35" t="str">
        <f aca="false">IFERROR(CHOOSE(MATCH(INDEX(時間ごとの判定!$AH$3:$AH$1850,110),{"利用可","両方停止","運転がそろわない","判定不能"},0),"○","停","×","－"),"")</f>
        <v>○</v>
      </c>
      <c r="Q8" s="35" t="str">
        <f aca="false">IFERROR(CHOOSE(MATCH(INDEX(時間ごとの判定!$AH$3:$AH$1850,111),{"利用可","両方停止","運転がそろわない","判定不能"},0),"○","停","×","－"),"")</f>
        <v>○</v>
      </c>
      <c r="R8" s="35" t="str">
        <f aca="false">IFERROR(CHOOSE(MATCH(INDEX(時間ごとの判定!$AH$3:$AH$1850,112),{"利用可","両方停止","運転がそろわない","判定不能"},0),"○","停","×","－"),"")</f>
        <v>○</v>
      </c>
      <c r="S8" s="35" t="str">
        <f aca="false">IFERROR(CHOOSE(MATCH(INDEX(時間ごとの判定!$AH$3:$AH$1850,113),{"利用可","両方停止","運転がそろわない","判定不能"},0),"○","停","×","－"),"")</f>
        <v>○</v>
      </c>
      <c r="T8" s="35" t="str">
        <f aca="false">IFERROR(CHOOSE(MATCH(INDEX(時間ごとの判定!$AH$3:$AH$1850,114),{"利用可","両方停止","運転がそろわない","判定不能"},0),"○","停","×","－"),"")</f>
        <v>○</v>
      </c>
      <c r="U8" s="35" t="str">
        <f aca="false">IFERROR(CHOOSE(MATCH(INDEX(時間ごとの判定!$AH$3:$AH$1850,115),{"利用可","両方停止","運転がそろわない","判定不能"},0),"○","停","×","－"),"")</f>
        <v>×</v>
      </c>
      <c r="V8" s="35" t="str">
        <f aca="false">IFERROR(CHOOSE(MATCH(INDEX(時間ごとの判定!$AH$3:$AH$1850,116),{"利用可","両方停止","運転がそろわない","判定不能"},0),"○","停","×","－"),"")</f>
        <v>×</v>
      </c>
      <c r="W8" s="35" t="str">
        <f aca="false">IFERROR(CHOOSE(MATCH(INDEX(時間ごとの判定!$AH$3:$AH$1850,117),{"利用可","両方停止","運転がそろわない","判定不能"},0),"○","停","×","－"),"")</f>
        <v>×</v>
      </c>
      <c r="X8" s="35" t="str">
        <f aca="false">IFERROR(CHOOSE(MATCH(INDEX(時間ごとの判定!$AH$3:$AH$1850,118),{"利用可","両方停止","運転がそろわない","判定不能"},0),"○","停","×","－"),"")</f>
        <v>停</v>
      </c>
      <c r="Y8" s="35" t="str">
        <f aca="false">IFERROR(CHOOSE(MATCH(INDEX(時間ごとの判定!$AH$3:$AH$1850,119),{"利用可","両方停止","運転がそろわない","判定不能"},0),"○","停","×","－"),"")</f>
        <v>停</v>
      </c>
      <c r="Z8" s="35" t="str">
        <f aca="false">IFERROR(CHOOSE(MATCH(INDEX(時間ごとの判定!$AH$3:$AH$1850,120),{"利用可","両方停止","運転がそろわない","判定不能"},0),"○","停","×","－"),"")</f>
        <v>停</v>
      </c>
      <c r="AA8" s="35"/>
      <c r="AB8" s="35" t="str">
        <f aca="false">IFERROR(CHOOSE(MATCH(INDEX(時間ごとの判定!$AK$3:$AK$1850,97),{"利用可","両方停止","運転がそろわない","判定不能"},0),"○","停","×","－"),"")</f>
        <v>停</v>
      </c>
      <c r="AC8" s="35" t="str">
        <f aca="false">IFERROR(CHOOSE(MATCH(INDEX(時間ごとの判定!$AK$3:$AK$1850,98),{"利用可","両方停止","運転がそろわない","判定不能"},0),"○","停","×","－"),"")</f>
        <v>停</v>
      </c>
      <c r="AD8" s="35" t="str">
        <f aca="false">IFERROR(CHOOSE(MATCH(INDEX(時間ごとの判定!$AK$3:$AK$1850,99),{"利用可","両方停止","運転がそろわない","判定不能"},0),"○","停","×","－"),"")</f>
        <v>停</v>
      </c>
      <c r="AE8" s="35" t="str">
        <f aca="false">IFERROR(CHOOSE(MATCH(INDEX(時間ごとの判定!$AK$3:$AK$1850,100),{"利用可","両方停止","運転がそろわない","判定不能"},0),"○","停","×","－"),"")</f>
        <v>停</v>
      </c>
      <c r="AF8" s="35" t="str">
        <f aca="false">IFERROR(CHOOSE(MATCH(INDEX(時間ごとの判定!$AK$3:$AK$1850,101),{"利用可","両方停止","運転がそろわない","判定不能"},0),"○","停","×","－"),"")</f>
        <v>停</v>
      </c>
      <c r="AG8" s="35" t="str">
        <f aca="false">IFERROR(CHOOSE(MATCH(INDEX(時間ごとの判定!$AK$3:$AK$1850,102),{"利用可","両方停止","運転がそろわない","判定不能"},0),"○","停","×","－"),"")</f>
        <v>停</v>
      </c>
      <c r="AH8" s="35" t="str">
        <f aca="false">IFERROR(CHOOSE(MATCH(INDEX(時間ごとの判定!$AK$3:$AK$1850,103),{"利用可","両方停止","運転がそろわない","判定不能"},0),"○","停","×","－"),"")</f>
        <v>停</v>
      </c>
      <c r="AI8" s="35" t="str">
        <f aca="false">IFERROR(CHOOSE(MATCH(INDEX(時間ごとの判定!$AK$3:$AK$1850,104),{"利用可","両方停止","運転がそろわない","判定不能"},0),"○","停","×","－"),"")</f>
        <v>停</v>
      </c>
      <c r="AJ8" s="35" t="str">
        <f aca="false">IFERROR(CHOOSE(MATCH(INDEX(時間ごとの判定!$AK$3:$AK$1850,105),{"利用可","両方停止","運転がそろわない","判定不能"},0),"○","停","×","－"),"")</f>
        <v>○</v>
      </c>
      <c r="AK8" s="35" t="str">
        <f aca="false">IFERROR(CHOOSE(MATCH(INDEX(時間ごとの判定!$AK$3:$AK$1850,106),{"利用可","両方停止","運転がそろわない","判定不能"},0),"○","停","×","－"),"")</f>
        <v>○</v>
      </c>
      <c r="AL8" s="35" t="str">
        <f aca="false">IFERROR(CHOOSE(MATCH(INDEX(時間ごとの判定!$AK$3:$AK$1850,107),{"利用可","両方停止","運転がそろわない","判定不能"},0),"○","停","×","－"),"")</f>
        <v>×</v>
      </c>
      <c r="AM8" s="35" t="str">
        <f aca="false">IFERROR(CHOOSE(MATCH(INDEX(時間ごとの判定!$AK$3:$AK$1850,108),{"利用可","両方停止","運転がそろわない","判定不能"},0),"○","停","×","－"),"")</f>
        <v>○</v>
      </c>
      <c r="AN8" s="35" t="str">
        <f aca="false">IFERROR(CHOOSE(MATCH(INDEX(時間ごとの判定!$AK$3:$AK$1850,109),{"利用可","両方停止","運転がそろわない","判定不能"},0),"○","停","×","－"),"")</f>
        <v>○</v>
      </c>
      <c r="AO8" s="35" t="str">
        <f aca="false">IFERROR(CHOOSE(MATCH(INDEX(時間ごとの判定!$AK$3:$AK$1850,110),{"利用可","両方停止","運転がそろわない","判定不能"},0),"○","停","×","－"),"")</f>
        <v>×</v>
      </c>
      <c r="AP8" s="35" t="str">
        <f aca="false">IFERROR(CHOOSE(MATCH(INDEX(時間ごとの判定!$AK$3:$AK$1850,111),{"利用可","両方停止","運転がそろわない","判定不能"},0),"○","停","×","－"),"")</f>
        <v>×</v>
      </c>
      <c r="AQ8" s="35" t="str">
        <f aca="false">IFERROR(CHOOSE(MATCH(INDEX(時間ごとの判定!$AK$3:$AK$1850,112),{"利用可","両方停止","運転がそろわない","判定不能"},0),"○","停","×","－"),"")</f>
        <v>×</v>
      </c>
      <c r="AR8" s="35" t="str">
        <f aca="false">IFERROR(CHOOSE(MATCH(INDEX(時間ごとの判定!$AK$3:$AK$1850,113),{"利用可","両方停止","運転がそろわない","判定不能"},0),"○","停","×","－"),"")</f>
        <v>×</v>
      </c>
      <c r="AS8" s="35" t="str">
        <f aca="false">IFERROR(CHOOSE(MATCH(INDEX(時間ごとの判定!$AK$3:$AK$1850,114),{"利用可","両方停止","運転がそろわない","判定不能"},0),"○","停","×","－"),"")</f>
        <v>×</v>
      </c>
      <c r="AT8" s="35" t="str">
        <f aca="false">IFERROR(CHOOSE(MATCH(INDEX(時間ごとの判定!$AK$3:$AK$1850,115),{"利用可","両方停止","運転がそろわない","判定不能"},0),"○","停","×","－"),"")</f>
        <v>×</v>
      </c>
      <c r="AU8" s="35" t="str">
        <f aca="false">IFERROR(CHOOSE(MATCH(INDEX(時間ごとの判定!$AK$3:$AK$1850,116),{"利用可","両方停止","運転がそろわない","判定不能"},0),"○","停","×","－"),"")</f>
        <v>×</v>
      </c>
      <c r="AV8" s="35" t="str">
        <f aca="false">IFERROR(CHOOSE(MATCH(INDEX(時間ごとの判定!$AK$3:$AK$1850,117),{"利用可","両方停止","運転がそろわない","判定不能"},0),"○","停","×","－"),"")</f>
        <v>×</v>
      </c>
      <c r="AW8" s="35" t="str">
        <f aca="false">IFERROR(CHOOSE(MATCH(INDEX(時間ごとの判定!$AK$3:$AK$1850,118),{"利用可","両方停止","運転がそろわない","判定不能"},0),"○","停","×","－"),"")</f>
        <v>停</v>
      </c>
      <c r="AX8" s="35" t="str">
        <f aca="false">IFERROR(CHOOSE(MATCH(INDEX(時間ごとの判定!$AK$3:$AK$1850,119),{"利用可","両方停止","運転がそろわない","判定不能"},0),"○","停","×","－"),"")</f>
        <v>停</v>
      </c>
      <c r="AY8" s="35" t="str">
        <f aca="false">IFERROR(CHOOSE(MATCH(INDEX(時間ごとの判定!$AK$3:$AK$1850,120),{"利用可","両方停止","運転がそろわない","判定不能"},0),"○","停","×","－"),"")</f>
        <v>停</v>
      </c>
      <c r="AZ8" s="35"/>
      <c r="BA8" s="35" t="str">
        <f aca="false">IFERROR(CHOOSE(MATCH(INDEX(時間ごとの判定!$AN$3:$AN$1850,97),{"利用可","両方停止","運転がそろわない","判定不能"},0),"○","停","×","－"),"")</f>
        <v>×</v>
      </c>
      <c r="BB8" s="35" t="str">
        <f aca="false">IFERROR(CHOOSE(MATCH(INDEX(時間ごとの判定!$AN$3:$AN$1850,98),{"利用可","両方停止","運転がそろわない","判定不能"},0),"○","停","×","－"),"")</f>
        <v>×</v>
      </c>
      <c r="BC8" s="35" t="str">
        <f aca="false">IFERROR(CHOOSE(MATCH(INDEX(時間ごとの判定!$AN$3:$AN$1850,99),{"利用可","両方停止","運転がそろわない","判定不能"},0),"○","停","×","－"),"")</f>
        <v>×</v>
      </c>
      <c r="BD8" s="35" t="str">
        <f aca="false">IFERROR(CHOOSE(MATCH(INDEX(時間ごとの判定!$AN$3:$AN$1850,100),{"利用可","両方停止","運転がそろわない","判定不能"},0),"○","停","×","－"),"")</f>
        <v>×</v>
      </c>
      <c r="BE8" s="35" t="str">
        <f aca="false">IFERROR(CHOOSE(MATCH(INDEX(時間ごとの判定!$AN$3:$AN$1850,101),{"利用可","両方停止","運転がそろわない","判定不能"},0),"○","停","×","－"),"")</f>
        <v>×</v>
      </c>
      <c r="BF8" s="35" t="str">
        <f aca="false">IFERROR(CHOOSE(MATCH(INDEX(時間ごとの判定!$AN$3:$AN$1850,102),{"利用可","両方停止","運転がそろわない","判定不能"},0),"○","停","×","－"),"")</f>
        <v>×</v>
      </c>
      <c r="BG8" s="35" t="str">
        <f aca="false">IFERROR(CHOOSE(MATCH(INDEX(時間ごとの判定!$AN$3:$AN$1850,103),{"利用可","両方停止","運転がそろわない","判定不能"},0),"○","停","×","－"),"")</f>
        <v>×</v>
      </c>
      <c r="BH8" s="35" t="str">
        <f aca="false">IFERROR(CHOOSE(MATCH(INDEX(時間ごとの判定!$AN$3:$AN$1850,104),{"利用可","両方停止","運転がそろわない","判定不能"},0),"○","停","×","－"),"")</f>
        <v>×</v>
      </c>
      <c r="BI8" s="35" t="str">
        <f aca="false">IFERROR(CHOOSE(MATCH(INDEX(時間ごとの判定!$AN$3:$AN$1850,105),{"利用可","両方停止","運転がそろわない","判定不能"},0),"○","停","×","－"),"")</f>
        <v>○</v>
      </c>
      <c r="BJ8" s="35" t="str">
        <f aca="false">IFERROR(CHOOSE(MATCH(INDEX(時間ごとの判定!$AN$3:$AN$1850,106),{"利用可","両方停止","運転がそろわない","判定不能"},0),"○","停","×","－"),"")</f>
        <v>×</v>
      </c>
      <c r="BK8" s="35" t="str">
        <f aca="false">IFERROR(CHOOSE(MATCH(INDEX(時間ごとの判定!$AN$3:$AN$1850,107),{"利用可","両方停止","運転がそろわない","判定不能"},0),"○","停","×","－"),"")</f>
        <v>×</v>
      </c>
      <c r="BL8" s="35" t="str">
        <f aca="false">IFERROR(CHOOSE(MATCH(INDEX(時間ごとの判定!$AN$3:$AN$1850,108),{"利用可","両方停止","運転がそろわない","判定不能"},0),"○","停","×","－"),"")</f>
        <v>×</v>
      </c>
      <c r="BM8" s="35" t="str">
        <f aca="false">IFERROR(CHOOSE(MATCH(INDEX(時間ごとの判定!$AN$3:$AN$1850,109),{"利用可","両方停止","運転がそろわない","判定不能"},0),"○","停","×","－"),"")</f>
        <v>×</v>
      </c>
      <c r="BN8" s="35" t="str">
        <f aca="false">IFERROR(CHOOSE(MATCH(INDEX(時間ごとの判定!$AN$3:$AN$1850,110),{"利用可","両方停止","運転がそろわない","判定不能"},0),"○","停","×","－"),"")</f>
        <v>×</v>
      </c>
      <c r="BO8" s="35" t="str">
        <f aca="false">IFERROR(CHOOSE(MATCH(INDEX(時間ごとの判定!$AN$3:$AN$1850,111),{"利用可","両方停止","運転がそろわない","判定不能"},0),"○","停","×","－"),"")</f>
        <v>×</v>
      </c>
      <c r="BP8" s="35" t="str">
        <f aca="false">IFERROR(CHOOSE(MATCH(INDEX(時間ごとの判定!$AN$3:$AN$1850,112),{"利用可","両方停止","運転がそろわない","判定不能"},0),"○","停","×","－"),"")</f>
        <v>×</v>
      </c>
      <c r="BQ8" s="35" t="str">
        <f aca="false">IFERROR(CHOOSE(MATCH(INDEX(時間ごとの判定!$AN$3:$AN$1850,113),{"利用可","両方停止","運転がそろわない","判定不能"},0),"○","停","×","－"),"")</f>
        <v>×</v>
      </c>
      <c r="BR8" s="35" t="str">
        <f aca="false">IFERROR(CHOOSE(MATCH(INDEX(時間ごとの判定!$AN$3:$AN$1850,114),{"利用可","両方停止","運転がそろわない","判定不能"},0),"○","停","×","－"),"")</f>
        <v>×</v>
      </c>
      <c r="BS8" s="35" t="str">
        <f aca="false">IFERROR(CHOOSE(MATCH(INDEX(時間ごとの判定!$AN$3:$AN$1850,115),{"利用可","両方停止","運転がそろわない","判定不能"},0),"○","停","×","－"),"")</f>
        <v>×</v>
      </c>
      <c r="BT8" s="35" t="str">
        <f aca="false">IFERROR(CHOOSE(MATCH(INDEX(時間ごとの判定!$AN$3:$AN$1850,116),{"利用可","両方停止","運転がそろわない","判定不能"},0),"○","停","×","－"),"")</f>
        <v>×</v>
      </c>
      <c r="BU8" s="35" t="str">
        <f aca="false">IFERROR(CHOOSE(MATCH(INDEX(時間ごとの判定!$AN$3:$AN$1850,117),{"利用可","両方停止","運転がそろわない","判定不能"},0),"○","停","×","－"),"")</f>
        <v>×</v>
      </c>
      <c r="BV8" s="35" t="str">
        <f aca="false">IFERROR(CHOOSE(MATCH(INDEX(時間ごとの判定!$AN$3:$AN$1850,118),{"利用可","両方停止","運転がそろわない","判定不能"},0),"○","停","×","－"),"")</f>
        <v>×</v>
      </c>
      <c r="BW8" s="35" t="str">
        <f aca="false">IFERROR(CHOOSE(MATCH(INDEX(時間ごとの判定!$AN$3:$AN$1850,119),{"利用可","両方停止","運転がそろわない","判定不能"},0),"○","停","×","－"),"")</f>
        <v>×</v>
      </c>
      <c r="BX8" s="35" t="str">
        <f aca="false">IFERROR(CHOOSE(MATCH(INDEX(時間ごとの判定!$AN$3:$AN$1850,120),{"利用可","両方停止","運転がそろわない","判定不能"},0),"○","停","×","－"),"")</f>
        <v>×</v>
      </c>
    </row>
    <row r="9" customFormat="false" ht="15" hidden="false" customHeight="false" outlineLevel="0" collapsed="false">
      <c r="A9" s="33" t="n">
        <v>46237</v>
      </c>
      <c r="B9" s="34" t="s">
        <v>66</v>
      </c>
      <c r="C9" s="35" t="str">
        <f aca="false">IFERROR(CHOOSE(MATCH(INDEX(時間ごとの判定!$AH$3:$AH$1850,121),{"利用可","両方停止","運転がそろわない","判定不能"},0),"○","停","×","－"),"")</f>
        <v>停</v>
      </c>
      <c r="D9" s="35" t="str">
        <f aca="false">IFERROR(CHOOSE(MATCH(INDEX(時間ごとの判定!$AH$3:$AH$1850,122),{"利用可","両方停止","運転がそろわない","判定不能"},0),"○","停","×","－"),"")</f>
        <v>停</v>
      </c>
      <c r="E9" s="35" t="str">
        <f aca="false">IFERROR(CHOOSE(MATCH(INDEX(時間ごとの判定!$AH$3:$AH$1850,123),{"利用可","両方停止","運転がそろわない","判定不能"},0),"○","停","×","－"),"")</f>
        <v>停</v>
      </c>
      <c r="F9" s="35" t="str">
        <f aca="false">IFERROR(CHOOSE(MATCH(INDEX(時間ごとの判定!$AH$3:$AH$1850,124),{"利用可","両方停止","運転がそろわない","判定不能"},0),"○","停","×","－"),"")</f>
        <v>停</v>
      </c>
      <c r="G9" s="35" t="str">
        <f aca="false">IFERROR(CHOOSE(MATCH(INDEX(時間ごとの判定!$AH$3:$AH$1850,125),{"利用可","両方停止","運転がそろわない","判定不能"},0),"○","停","×","－"),"")</f>
        <v>停</v>
      </c>
      <c r="H9" s="35" t="str">
        <f aca="false">IFERROR(CHOOSE(MATCH(INDEX(時間ごとの判定!$AH$3:$AH$1850,126),{"利用可","両方停止","運転がそろわない","判定不能"},0),"○","停","×","－"),"")</f>
        <v>停</v>
      </c>
      <c r="I9" s="35" t="str">
        <f aca="false">IFERROR(CHOOSE(MATCH(INDEX(時間ごとの判定!$AH$3:$AH$1850,127),{"利用可","両方停止","運転がそろわない","判定不能"},0),"○","停","×","－"),"")</f>
        <v>停</v>
      </c>
      <c r="J9" s="35" t="str">
        <f aca="false">IFERROR(CHOOSE(MATCH(INDEX(時間ごとの判定!$AH$3:$AH$1850,128),{"利用可","両方停止","運転がそろわない","判定不能"},0),"○","停","×","－"),"")</f>
        <v>×</v>
      </c>
      <c r="K9" s="35" t="str">
        <f aca="false">IFERROR(CHOOSE(MATCH(INDEX(時間ごとの判定!$AH$3:$AH$1850,129),{"利用可","両方停止","運転がそろわない","判定不能"},0),"○","停","×","－"),"")</f>
        <v>○</v>
      </c>
      <c r="L9" s="35" t="str">
        <f aca="false">IFERROR(CHOOSE(MATCH(INDEX(時間ごとの判定!$AH$3:$AH$1850,130),{"利用可","両方停止","運転がそろわない","判定不能"},0),"○","停","×","－"),"")</f>
        <v>○</v>
      </c>
      <c r="M9" s="35" t="str">
        <f aca="false">IFERROR(CHOOSE(MATCH(INDEX(時間ごとの判定!$AH$3:$AH$1850,131),{"利用可","両方停止","運転がそろわない","判定不能"},0),"○","停","×","－"),"")</f>
        <v>○</v>
      </c>
      <c r="N9" s="35" t="str">
        <f aca="false">IFERROR(CHOOSE(MATCH(INDEX(時間ごとの判定!$AH$3:$AH$1850,132),{"利用可","両方停止","運転がそろわない","判定不能"},0),"○","停","×","－"),"")</f>
        <v>○</v>
      </c>
      <c r="O9" s="35" t="str">
        <f aca="false">IFERROR(CHOOSE(MATCH(INDEX(時間ごとの判定!$AH$3:$AH$1850,133),{"利用可","両方停止","運転がそろわない","判定不能"},0),"○","停","×","－"),"")</f>
        <v>○</v>
      </c>
      <c r="P9" s="35" t="str">
        <f aca="false">IFERROR(CHOOSE(MATCH(INDEX(時間ごとの判定!$AH$3:$AH$1850,134),{"利用可","両方停止","運転がそろわない","判定不能"},0),"○","停","×","－"),"")</f>
        <v>○</v>
      </c>
      <c r="Q9" s="35" t="str">
        <f aca="false">IFERROR(CHOOSE(MATCH(INDEX(時間ごとの判定!$AH$3:$AH$1850,135),{"利用可","両方停止","運転がそろわない","判定不能"},0),"○","停","×","－"),"")</f>
        <v>○</v>
      </c>
      <c r="R9" s="35" t="str">
        <f aca="false">IFERROR(CHOOSE(MATCH(INDEX(時間ごとの判定!$AH$3:$AH$1850,136),{"利用可","両方停止","運転がそろわない","判定不能"},0),"○","停","×","－"),"")</f>
        <v>○</v>
      </c>
      <c r="S9" s="35" t="str">
        <f aca="false">IFERROR(CHOOSE(MATCH(INDEX(時間ごとの判定!$AH$3:$AH$1850,137),{"利用可","両方停止","運転がそろわない","判定不能"},0),"○","停","×","－"),"")</f>
        <v>○</v>
      </c>
      <c r="T9" s="35" t="str">
        <f aca="false">IFERROR(CHOOSE(MATCH(INDEX(時間ごとの判定!$AH$3:$AH$1850,138),{"利用可","両方停止","運転がそろわない","判定不能"},0),"○","停","×","－"),"")</f>
        <v>○</v>
      </c>
      <c r="U9" s="35" t="str">
        <f aca="false">IFERROR(CHOOSE(MATCH(INDEX(時間ごとの判定!$AH$3:$AH$1850,139),{"利用可","両方停止","運転がそろわない","判定不能"},0),"○","停","×","－"),"")</f>
        <v>×</v>
      </c>
      <c r="V9" s="35" t="str">
        <f aca="false">IFERROR(CHOOSE(MATCH(INDEX(時間ごとの判定!$AH$3:$AH$1850,140),{"利用可","両方停止","運転がそろわない","判定不能"},0),"○","停","×","－"),"")</f>
        <v>×</v>
      </c>
      <c r="W9" s="35" t="str">
        <f aca="false">IFERROR(CHOOSE(MATCH(INDEX(時間ごとの判定!$AH$3:$AH$1850,141),{"利用可","両方停止","運転がそろわない","判定不能"},0),"○","停","×","－"),"")</f>
        <v>×</v>
      </c>
      <c r="X9" s="35" t="str">
        <f aca="false">IFERROR(CHOOSE(MATCH(INDEX(時間ごとの判定!$AH$3:$AH$1850,142),{"利用可","両方停止","運転がそろわない","判定不能"},0),"○","停","×","－"),"")</f>
        <v>×</v>
      </c>
      <c r="Y9" s="35" t="str">
        <f aca="false">IFERROR(CHOOSE(MATCH(INDEX(時間ごとの判定!$AH$3:$AH$1850,143),{"利用可","両方停止","運転がそろわない","判定不能"},0),"○","停","×","－"),"")</f>
        <v>停</v>
      </c>
      <c r="Z9" s="35" t="str">
        <f aca="false">IFERROR(CHOOSE(MATCH(INDEX(時間ごとの判定!$AH$3:$AH$1850,144),{"利用可","両方停止","運転がそろわない","判定不能"},0),"○","停","×","－"),"")</f>
        <v>停</v>
      </c>
      <c r="AA9" s="35"/>
      <c r="AB9" s="35" t="str">
        <f aca="false">IFERROR(CHOOSE(MATCH(INDEX(時間ごとの判定!$AK$3:$AK$1850,121),{"利用可","両方停止","運転がそろわない","判定不能"},0),"○","停","×","－"),"")</f>
        <v>停</v>
      </c>
      <c r="AC9" s="35" t="str">
        <f aca="false">IFERROR(CHOOSE(MATCH(INDEX(時間ごとの判定!$AK$3:$AK$1850,122),{"利用可","両方停止","運転がそろわない","判定不能"},0),"○","停","×","－"),"")</f>
        <v>停</v>
      </c>
      <c r="AD9" s="35" t="str">
        <f aca="false">IFERROR(CHOOSE(MATCH(INDEX(時間ごとの判定!$AK$3:$AK$1850,123),{"利用可","両方停止","運転がそろわない","判定不能"},0),"○","停","×","－"),"")</f>
        <v>停</v>
      </c>
      <c r="AE9" s="35" t="str">
        <f aca="false">IFERROR(CHOOSE(MATCH(INDEX(時間ごとの判定!$AK$3:$AK$1850,124),{"利用可","両方停止","運転がそろわない","判定不能"},0),"○","停","×","－"),"")</f>
        <v>停</v>
      </c>
      <c r="AF9" s="35" t="str">
        <f aca="false">IFERROR(CHOOSE(MATCH(INDEX(時間ごとの判定!$AK$3:$AK$1850,125),{"利用可","両方停止","運転がそろわない","判定不能"},0),"○","停","×","－"),"")</f>
        <v>停</v>
      </c>
      <c r="AG9" s="35" t="str">
        <f aca="false">IFERROR(CHOOSE(MATCH(INDEX(時間ごとの判定!$AK$3:$AK$1850,126),{"利用可","両方停止","運転がそろわない","判定不能"},0),"○","停","×","－"),"")</f>
        <v>停</v>
      </c>
      <c r="AH9" s="35" t="str">
        <f aca="false">IFERROR(CHOOSE(MATCH(INDEX(時間ごとの判定!$AK$3:$AK$1850,127),{"利用可","両方停止","運転がそろわない","判定不能"},0),"○","停","×","－"),"")</f>
        <v>停</v>
      </c>
      <c r="AI9" s="35" t="str">
        <f aca="false">IFERROR(CHOOSE(MATCH(INDEX(時間ごとの判定!$AK$3:$AK$1850,128),{"利用可","両方停止","運転がそろわない","判定不能"},0),"○","停","×","－"),"")</f>
        <v>×</v>
      </c>
      <c r="AJ9" s="35" t="str">
        <f aca="false">IFERROR(CHOOSE(MATCH(INDEX(時間ごとの判定!$AK$3:$AK$1850,129),{"利用可","両方停止","運転がそろわない","判定不能"},0),"○","停","×","－"),"")</f>
        <v>○</v>
      </c>
      <c r="AK9" s="35" t="str">
        <f aca="false">IFERROR(CHOOSE(MATCH(INDEX(時間ごとの判定!$AK$3:$AK$1850,130),{"利用可","両方停止","運転がそろわない","判定不能"},0),"○","停","×","－"),"")</f>
        <v>○</v>
      </c>
      <c r="AL9" s="35" t="str">
        <f aca="false">IFERROR(CHOOSE(MATCH(INDEX(時間ごとの判定!$AK$3:$AK$1850,131),{"利用可","両方停止","運転がそろわない","判定不能"},0),"○","停","×","－"),"")</f>
        <v>○</v>
      </c>
      <c r="AM9" s="35" t="str">
        <f aca="false">IFERROR(CHOOSE(MATCH(INDEX(時間ごとの判定!$AK$3:$AK$1850,132),{"利用可","両方停止","運転がそろわない","判定不能"},0),"○","停","×","－"),"")</f>
        <v>○</v>
      </c>
      <c r="AN9" s="35" t="str">
        <f aca="false">IFERROR(CHOOSE(MATCH(INDEX(時間ごとの判定!$AK$3:$AK$1850,133),{"利用可","両方停止","運転がそろわない","判定不能"},0),"○","停","×","－"),"")</f>
        <v>○</v>
      </c>
      <c r="AO9" s="35" t="str">
        <f aca="false">IFERROR(CHOOSE(MATCH(INDEX(時間ごとの判定!$AK$3:$AK$1850,134),{"利用可","両方停止","運転がそろわない","判定不能"},0),"○","停","×","－"),"")</f>
        <v>○</v>
      </c>
      <c r="AP9" s="35" t="str">
        <f aca="false">IFERROR(CHOOSE(MATCH(INDEX(時間ごとの判定!$AK$3:$AK$1850,135),{"利用可","両方停止","運転がそろわない","判定不能"},0),"○","停","×","－"),"")</f>
        <v>○</v>
      </c>
      <c r="AQ9" s="35" t="str">
        <f aca="false">IFERROR(CHOOSE(MATCH(INDEX(時間ごとの判定!$AK$3:$AK$1850,136),{"利用可","両方停止","運転がそろわない","判定不能"},0),"○","停","×","－"),"")</f>
        <v>○</v>
      </c>
      <c r="AR9" s="35" t="str">
        <f aca="false">IFERROR(CHOOSE(MATCH(INDEX(時間ごとの判定!$AK$3:$AK$1850,137),{"利用可","両方停止","運転がそろわない","判定不能"},0),"○","停","×","－"),"")</f>
        <v>○</v>
      </c>
      <c r="AS9" s="35" t="str">
        <f aca="false">IFERROR(CHOOSE(MATCH(INDEX(時間ごとの判定!$AK$3:$AK$1850,138),{"利用可","両方停止","運転がそろわない","判定不能"},0),"○","停","×","－"),"")</f>
        <v>○</v>
      </c>
      <c r="AT9" s="35" t="str">
        <f aca="false">IFERROR(CHOOSE(MATCH(INDEX(時間ごとの判定!$AK$3:$AK$1850,139),{"利用可","両方停止","運転がそろわない","判定不能"},0),"○","停","×","－"),"")</f>
        <v>×</v>
      </c>
      <c r="AU9" s="35" t="str">
        <f aca="false">IFERROR(CHOOSE(MATCH(INDEX(時間ごとの判定!$AK$3:$AK$1850,140),{"利用可","両方停止","運転がそろわない","判定不能"},0),"○","停","×","－"),"")</f>
        <v>×</v>
      </c>
      <c r="AV9" s="35" t="str">
        <f aca="false">IFERROR(CHOOSE(MATCH(INDEX(時間ごとの判定!$AK$3:$AK$1850,141),{"利用可","両方停止","運転がそろわない","判定不能"},0),"○","停","×","－"),"")</f>
        <v>×</v>
      </c>
      <c r="AW9" s="35" t="str">
        <f aca="false">IFERROR(CHOOSE(MATCH(INDEX(時間ごとの判定!$AK$3:$AK$1850,142),{"利用可","両方停止","運転がそろわない","判定不能"},0),"○","停","×","－"),"")</f>
        <v>停</v>
      </c>
      <c r="AX9" s="35" t="str">
        <f aca="false">IFERROR(CHOOSE(MATCH(INDEX(時間ごとの判定!$AK$3:$AK$1850,143),{"利用可","両方停止","運転がそろわない","判定不能"},0),"○","停","×","－"),"")</f>
        <v>停</v>
      </c>
      <c r="AY9" s="35" t="str">
        <f aca="false">IFERROR(CHOOSE(MATCH(INDEX(時間ごとの判定!$AK$3:$AK$1850,144),{"利用可","両方停止","運転がそろわない","判定不能"},0),"○","停","×","－"),"")</f>
        <v>停</v>
      </c>
      <c r="AZ9" s="35"/>
      <c r="BA9" s="35" t="str">
        <f aca="false">IFERROR(CHOOSE(MATCH(INDEX(時間ごとの判定!$AN$3:$AN$1850,121),{"利用可","両方停止","運転がそろわない","判定不能"},0),"○","停","×","－"),"")</f>
        <v>×</v>
      </c>
      <c r="BB9" s="35" t="str">
        <f aca="false">IFERROR(CHOOSE(MATCH(INDEX(時間ごとの判定!$AN$3:$AN$1850,122),{"利用可","両方停止","運転がそろわない","判定不能"},0),"○","停","×","－"),"")</f>
        <v>×</v>
      </c>
      <c r="BC9" s="35" t="str">
        <f aca="false">IFERROR(CHOOSE(MATCH(INDEX(時間ごとの判定!$AN$3:$AN$1850,123),{"利用可","両方停止","運転がそろわない","判定不能"},0),"○","停","×","－"),"")</f>
        <v>×</v>
      </c>
      <c r="BD9" s="35" t="str">
        <f aca="false">IFERROR(CHOOSE(MATCH(INDEX(時間ごとの判定!$AN$3:$AN$1850,124),{"利用可","両方停止","運転がそろわない","判定不能"},0),"○","停","×","－"),"")</f>
        <v>×</v>
      </c>
      <c r="BE9" s="35" t="str">
        <f aca="false">IFERROR(CHOOSE(MATCH(INDEX(時間ごとの判定!$AN$3:$AN$1850,125),{"利用可","両方停止","運転がそろわない","判定不能"},0),"○","停","×","－"),"")</f>
        <v>×</v>
      </c>
      <c r="BF9" s="35" t="str">
        <f aca="false">IFERROR(CHOOSE(MATCH(INDEX(時間ごとの判定!$AN$3:$AN$1850,126),{"利用可","両方停止","運転がそろわない","判定不能"},0),"○","停","×","－"),"")</f>
        <v>×</v>
      </c>
      <c r="BG9" s="35" t="str">
        <f aca="false">IFERROR(CHOOSE(MATCH(INDEX(時間ごとの判定!$AN$3:$AN$1850,127),{"利用可","両方停止","運転がそろわない","判定不能"},0),"○","停","×","－"),"")</f>
        <v>○</v>
      </c>
      <c r="BH9" s="35" t="str">
        <f aca="false">IFERROR(CHOOSE(MATCH(INDEX(時間ごとの判定!$AN$3:$AN$1850,128),{"利用可","両方停止","運転がそろわない","判定不能"},0),"○","停","×","－"),"")</f>
        <v>○</v>
      </c>
      <c r="BI9" s="35" t="str">
        <f aca="false">IFERROR(CHOOSE(MATCH(INDEX(時間ごとの判定!$AN$3:$AN$1850,129),{"利用可","両方停止","運転がそろわない","判定不能"},0),"○","停","×","－"),"")</f>
        <v>○</v>
      </c>
      <c r="BJ9" s="35" t="str">
        <f aca="false">IFERROR(CHOOSE(MATCH(INDEX(時間ごとの判定!$AN$3:$AN$1850,130),{"利用可","両方停止","運転がそろわない","判定不能"},0),"○","停","×","－"),"")</f>
        <v>○</v>
      </c>
      <c r="BK9" s="35" t="str">
        <f aca="false">IFERROR(CHOOSE(MATCH(INDEX(時間ごとの判定!$AN$3:$AN$1850,131),{"利用可","両方停止","運転がそろわない","判定不能"},0),"○","停","×","－"),"")</f>
        <v>○</v>
      </c>
      <c r="BL9" s="35" t="str">
        <f aca="false">IFERROR(CHOOSE(MATCH(INDEX(時間ごとの判定!$AN$3:$AN$1850,132),{"利用可","両方停止","運転がそろわない","判定不能"},0),"○","停","×","－"),"")</f>
        <v>○</v>
      </c>
      <c r="BM9" s="35" t="str">
        <f aca="false">IFERROR(CHOOSE(MATCH(INDEX(時間ごとの判定!$AN$3:$AN$1850,133),{"利用可","両方停止","運転がそろわない","判定不能"},0),"○","停","×","－"),"")</f>
        <v>○</v>
      </c>
      <c r="BN9" s="35" t="str">
        <f aca="false">IFERROR(CHOOSE(MATCH(INDEX(時間ごとの判定!$AN$3:$AN$1850,134),{"利用可","両方停止","運転がそろわない","判定不能"},0),"○","停","×","－"),"")</f>
        <v>○</v>
      </c>
      <c r="BO9" s="35" t="str">
        <f aca="false">IFERROR(CHOOSE(MATCH(INDEX(時間ごとの判定!$AN$3:$AN$1850,135),{"利用可","両方停止","運転がそろわない","判定不能"},0),"○","停","×","－"),"")</f>
        <v>○</v>
      </c>
      <c r="BP9" s="35" t="str">
        <f aca="false">IFERROR(CHOOSE(MATCH(INDEX(時間ごとの判定!$AN$3:$AN$1850,136),{"利用可","両方停止","運転がそろわない","判定不能"},0),"○","停","×","－"),"")</f>
        <v>○</v>
      </c>
      <c r="BQ9" s="35" t="str">
        <f aca="false">IFERROR(CHOOSE(MATCH(INDEX(時間ごとの判定!$AN$3:$AN$1850,137),{"利用可","両方停止","運転がそろわない","判定不能"},0),"○","停","×","－"),"")</f>
        <v>○</v>
      </c>
      <c r="BR9" s="35" t="str">
        <f aca="false">IFERROR(CHOOSE(MATCH(INDEX(時間ごとの判定!$AN$3:$AN$1850,138),{"利用可","両方停止","運転がそろわない","判定不能"},0),"○","停","×","－"),"")</f>
        <v>○</v>
      </c>
      <c r="BS9" s="35" t="str">
        <f aca="false">IFERROR(CHOOSE(MATCH(INDEX(時間ごとの判定!$AN$3:$AN$1850,139),{"利用可","両方停止","運転がそろわない","判定不能"},0),"○","停","×","－"),"")</f>
        <v>×</v>
      </c>
      <c r="BT9" s="35" t="str">
        <f aca="false">IFERROR(CHOOSE(MATCH(INDEX(時間ごとの判定!$AN$3:$AN$1850,140),{"利用可","両方停止","運転がそろわない","判定不能"},0),"○","停","×","－"),"")</f>
        <v>×</v>
      </c>
      <c r="BU9" s="35" t="str">
        <f aca="false">IFERROR(CHOOSE(MATCH(INDEX(時間ごとの判定!$AN$3:$AN$1850,141),{"利用可","両方停止","運転がそろわない","判定不能"},0),"○","停","×","－"),"")</f>
        <v>×</v>
      </c>
      <c r="BV9" s="35" t="str">
        <f aca="false">IFERROR(CHOOSE(MATCH(INDEX(時間ごとの判定!$AN$3:$AN$1850,142),{"利用可","両方停止","運転がそろわない","判定不能"},0),"○","停","×","－"),"")</f>
        <v>×</v>
      </c>
      <c r="BW9" s="35" t="str">
        <f aca="false">IFERROR(CHOOSE(MATCH(INDEX(時間ごとの判定!$AN$3:$AN$1850,143),{"利用可","両方停止","運転がそろわない","判定不能"},0),"○","停","×","－"),"")</f>
        <v>×</v>
      </c>
      <c r="BX9" s="35" t="str">
        <f aca="false">IFERROR(CHOOSE(MATCH(INDEX(時間ごとの判定!$AN$3:$AN$1850,144),{"利用可","両方停止","運転がそろわない","判定不能"},0),"○","停","×","－"),"")</f>
        <v>×</v>
      </c>
    </row>
    <row r="10" customFormat="false" ht="15" hidden="false" customHeight="false" outlineLevel="0" collapsed="false">
      <c r="A10" s="33" t="n">
        <v>46238</v>
      </c>
      <c r="B10" s="34" t="s">
        <v>67</v>
      </c>
      <c r="C10" s="35" t="str">
        <f aca="false">IFERROR(CHOOSE(MATCH(INDEX(時間ごとの判定!$AH$3:$AH$1850,145),{"利用可","両方停止","運転がそろわない","判定不能"},0),"○","停","×","－"),"")</f>
        <v>停</v>
      </c>
      <c r="D10" s="35" t="str">
        <f aca="false">IFERROR(CHOOSE(MATCH(INDEX(時間ごとの判定!$AH$3:$AH$1850,146),{"利用可","両方停止","運転がそろわない","判定不能"},0),"○","停","×","－"),"")</f>
        <v>停</v>
      </c>
      <c r="E10" s="35" t="str">
        <f aca="false">IFERROR(CHOOSE(MATCH(INDEX(時間ごとの判定!$AH$3:$AH$1850,147),{"利用可","両方停止","運転がそろわない","判定不能"},0),"○","停","×","－"),"")</f>
        <v>停</v>
      </c>
      <c r="F10" s="35" t="str">
        <f aca="false">IFERROR(CHOOSE(MATCH(INDEX(時間ごとの判定!$AH$3:$AH$1850,148),{"利用可","両方停止","運転がそろわない","判定不能"},0),"○","停","×","－"),"")</f>
        <v>停</v>
      </c>
      <c r="G10" s="35" t="str">
        <f aca="false">IFERROR(CHOOSE(MATCH(INDEX(時間ごとの判定!$AH$3:$AH$1850,149),{"利用可","両方停止","運転がそろわない","判定不能"},0),"○","停","×","－"),"")</f>
        <v>停</v>
      </c>
      <c r="H10" s="35" t="str">
        <f aca="false">IFERROR(CHOOSE(MATCH(INDEX(時間ごとの判定!$AH$3:$AH$1850,150),{"利用可","両方停止","運転がそろわない","判定不能"},0),"○","停","×","－"),"")</f>
        <v>停</v>
      </c>
      <c r="I10" s="35" t="str">
        <f aca="false">IFERROR(CHOOSE(MATCH(INDEX(時間ごとの判定!$AH$3:$AH$1850,151),{"利用可","両方停止","運転がそろわない","判定不能"},0),"○","停","×","－"),"")</f>
        <v>×</v>
      </c>
      <c r="J10" s="35" t="str">
        <f aca="false">IFERROR(CHOOSE(MATCH(INDEX(時間ごとの判定!$AH$3:$AH$1850,152),{"利用可","両方停止","運転がそろわない","判定不能"},0),"○","停","×","－"),"")</f>
        <v>×</v>
      </c>
      <c r="K10" s="35" t="str">
        <f aca="false">IFERROR(CHOOSE(MATCH(INDEX(時間ごとの判定!$AH$3:$AH$1850,153),{"利用可","両方停止","運転がそろわない","判定不能"},0),"○","停","×","－"),"")</f>
        <v>×</v>
      </c>
      <c r="L10" s="35" t="str">
        <f aca="false">IFERROR(CHOOSE(MATCH(INDEX(時間ごとの判定!$AH$3:$AH$1850,154),{"利用可","両方停止","運転がそろわない","判定不能"},0),"○","停","×","－"),"")</f>
        <v>○</v>
      </c>
      <c r="M10" s="35" t="str">
        <f aca="false">IFERROR(CHOOSE(MATCH(INDEX(時間ごとの判定!$AH$3:$AH$1850,155),{"利用可","両方停止","運転がそろわない","判定不能"},0),"○","停","×","－"),"")</f>
        <v>○</v>
      </c>
      <c r="N10" s="35" t="str">
        <f aca="false">IFERROR(CHOOSE(MATCH(INDEX(時間ごとの判定!$AH$3:$AH$1850,156),{"利用可","両方停止","運転がそろわない","判定不能"},0),"○","停","×","－"),"")</f>
        <v>○</v>
      </c>
      <c r="O10" s="35" t="str">
        <f aca="false">IFERROR(CHOOSE(MATCH(INDEX(時間ごとの判定!$AH$3:$AH$1850,157),{"利用可","両方停止","運転がそろわない","判定不能"},0),"○","停","×","－"),"")</f>
        <v>○</v>
      </c>
      <c r="P10" s="35" t="str">
        <f aca="false">IFERROR(CHOOSE(MATCH(INDEX(時間ごとの判定!$AH$3:$AH$1850,158),{"利用可","両方停止","運転がそろわない","判定不能"},0),"○","停","×","－"),"")</f>
        <v>○</v>
      </c>
      <c r="Q10" s="35" t="str">
        <f aca="false">IFERROR(CHOOSE(MATCH(INDEX(時間ごとの判定!$AH$3:$AH$1850,159),{"利用可","両方停止","運転がそろわない","判定不能"},0),"○","停","×","－"),"")</f>
        <v>○</v>
      </c>
      <c r="R10" s="35" t="str">
        <f aca="false">IFERROR(CHOOSE(MATCH(INDEX(時間ごとの判定!$AH$3:$AH$1850,160),{"利用可","両方停止","運転がそろわない","判定不能"},0),"○","停","×","－"),"")</f>
        <v>○</v>
      </c>
      <c r="S10" s="35" t="str">
        <f aca="false">IFERROR(CHOOSE(MATCH(INDEX(時間ごとの判定!$AH$3:$AH$1850,161),{"利用可","両方停止","運転がそろわない","判定不能"},0),"○","停","×","－"),"")</f>
        <v>○</v>
      </c>
      <c r="T10" s="35" t="str">
        <f aca="false">IFERROR(CHOOSE(MATCH(INDEX(時間ごとの判定!$AH$3:$AH$1850,162),{"利用可","両方停止","運転がそろわない","判定不能"},0),"○","停","×","－"),"")</f>
        <v>○</v>
      </c>
      <c r="U10" s="35" t="str">
        <f aca="false">IFERROR(CHOOSE(MATCH(INDEX(時間ごとの判定!$AH$3:$AH$1850,163),{"利用可","両方停止","運転がそろわない","判定不能"},0),"○","停","×","－"),"")</f>
        <v>×</v>
      </c>
      <c r="V10" s="35" t="str">
        <f aca="false">IFERROR(CHOOSE(MATCH(INDEX(時間ごとの判定!$AH$3:$AH$1850,164),{"利用可","両方停止","運転がそろわない","判定不能"},0),"○","停","×","－"),"")</f>
        <v>×</v>
      </c>
      <c r="W10" s="35" t="str">
        <f aca="false">IFERROR(CHOOSE(MATCH(INDEX(時間ごとの判定!$AH$3:$AH$1850,165),{"利用可","両方停止","運転がそろわない","判定不能"},0),"○","停","×","－"),"")</f>
        <v>×</v>
      </c>
      <c r="X10" s="35" t="str">
        <f aca="false">IFERROR(CHOOSE(MATCH(INDEX(時間ごとの判定!$AH$3:$AH$1850,166),{"利用可","両方停止","運転がそろわない","判定不能"},0),"○","停","×","－"),"")</f>
        <v>×</v>
      </c>
      <c r="Y10" s="35" t="str">
        <f aca="false">IFERROR(CHOOSE(MATCH(INDEX(時間ごとの判定!$AH$3:$AH$1850,167),{"利用可","両方停止","運転がそろわない","判定不能"},0),"○","停","×","－"),"")</f>
        <v>停</v>
      </c>
      <c r="Z10" s="35" t="str">
        <f aca="false">IFERROR(CHOOSE(MATCH(INDEX(時間ごとの判定!$AH$3:$AH$1850,168),{"利用可","両方停止","運転がそろわない","判定不能"},0),"○","停","×","－"),"")</f>
        <v>停</v>
      </c>
      <c r="AA10" s="35"/>
      <c r="AB10" s="35" t="str">
        <f aca="false">IFERROR(CHOOSE(MATCH(INDEX(時間ごとの判定!$AK$3:$AK$1850,145),{"利用可","両方停止","運転がそろわない","判定不能"},0),"○","停","×","－"),"")</f>
        <v>停</v>
      </c>
      <c r="AC10" s="35" t="str">
        <f aca="false">IFERROR(CHOOSE(MATCH(INDEX(時間ごとの判定!$AK$3:$AK$1850,146),{"利用可","両方停止","運転がそろわない","判定不能"},0),"○","停","×","－"),"")</f>
        <v>停</v>
      </c>
      <c r="AD10" s="35" t="str">
        <f aca="false">IFERROR(CHOOSE(MATCH(INDEX(時間ごとの判定!$AK$3:$AK$1850,147),{"利用可","両方停止","運転がそろわない","判定不能"},0),"○","停","×","－"),"")</f>
        <v>停</v>
      </c>
      <c r="AE10" s="35" t="str">
        <f aca="false">IFERROR(CHOOSE(MATCH(INDEX(時間ごとの判定!$AK$3:$AK$1850,148),{"利用可","両方停止","運転がそろわない","判定不能"},0),"○","停","×","－"),"")</f>
        <v>停</v>
      </c>
      <c r="AF10" s="35" t="str">
        <f aca="false">IFERROR(CHOOSE(MATCH(INDEX(時間ごとの判定!$AK$3:$AK$1850,149),{"利用可","両方停止","運転がそろわない","判定不能"},0),"○","停","×","－"),"")</f>
        <v>停</v>
      </c>
      <c r="AG10" s="35" t="str">
        <f aca="false">IFERROR(CHOOSE(MATCH(INDEX(時間ごとの判定!$AK$3:$AK$1850,150),{"利用可","両方停止","運転がそろわない","判定不能"},0),"○","停","×","－"),"")</f>
        <v>停</v>
      </c>
      <c r="AH10" s="35" t="str">
        <f aca="false">IFERROR(CHOOSE(MATCH(INDEX(時間ごとの判定!$AK$3:$AK$1850,151),{"利用可","両方停止","運転がそろわない","判定不能"},0),"○","停","×","－"),"")</f>
        <v>停</v>
      </c>
      <c r="AI10" s="35" t="str">
        <f aca="false">IFERROR(CHOOSE(MATCH(INDEX(時間ごとの判定!$AK$3:$AK$1850,152),{"利用可","両方停止","運転がそろわない","判定不能"},0),"○","停","×","－"),"")</f>
        <v>×</v>
      </c>
      <c r="AJ10" s="35" t="str">
        <f aca="false">IFERROR(CHOOSE(MATCH(INDEX(時間ごとの判定!$AK$3:$AK$1850,153),{"利用可","両方停止","運転がそろわない","判定不能"},0),"○","停","×","－"),"")</f>
        <v>×</v>
      </c>
      <c r="AK10" s="35" t="str">
        <f aca="false">IFERROR(CHOOSE(MATCH(INDEX(時間ごとの判定!$AK$3:$AK$1850,154),{"利用可","両方停止","運転がそろわない","判定不能"},0),"○","停","×","－"),"")</f>
        <v>○</v>
      </c>
      <c r="AL10" s="35" t="str">
        <f aca="false">IFERROR(CHOOSE(MATCH(INDEX(時間ごとの判定!$AK$3:$AK$1850,155),{"利用可","両方停止","運転がそろわない","判定不能"},0),"○","停","×","－"),"")</f>
        <v>○</v>
      </c>
      <c r="AM10" s="35" t="str">
        <f aca="false">IFERROR(CHOOSE(MATCH(INDEX(時間ごとの判定!$AK$3:$AK$1850,156),{"利用可","両方停止","運転がそろわない","判定不能"},0),"○","停","×","－"),"")</f>
        <v>○</v>
      </c>
      <c r="AN10" s="35" t="str">
        <f aca="false">IFERROR(CHOOSE(MATCH(INDEX(時間ごとの判定!$AK$3:$AK$1850,157),{"利用可","両方停止","運転がそろわない","判定不能"},0),"○","停","×","－"),"")</f>
        <v>○</v>
      </c>
      <c r="AO10" s="35" t="str">
        <f aca="false">IFERROR(CHOOSE(MATCH(INDEX(時間ごとの判定!$AK$3:$AK$1850,158),{"利用可","両方停止","運転がそろわない","判定不能"},0),"○","停","×","－"),"")</f>
        <v>○</v>
      </c>
      <c r="AP10" s="35" t="str">
        <f aca="false">IFERROR(CHOOSE(MATCH(INDEX(時間ごとの判定!$AK$3:$AK$1850,159),{"利用可","両方停止","運転がそろわない","判定不能"},0),"○","停","×","－"),"")</f>
        <v>○</v>
      </c>
      <c r="AQ10" s="35" t="str">
        <f aca="false">IFERROR(CHOOSE(MATCH(INDEX(時間ごとの判定!$AK$3:$AK$1850,160),{"利用可","両方停止","運転がそろわない","判定不能"},0),"○","停","×","－"),"")</f>
        <v>○</v>
      </c>
      <c r="AR10" s="35" t="str">
        <f aca="false">IFERROR(CHOOSE(MATCH(INDEX(時間ごとの判定!$AK$3:$AK$1850,161),{"利用可","両方停止","運転がそろわない","判定不能"},0),"○","停","×","－"),"")</f>
        <v>○</v>
      </c>
      <c r="AS10" s="35" t="str">
        <f aca="false">IFERROR(CHOOSE(MATCH(INDEX(時間ごとの判定!$AK$3:$AK$1850,162),{"利用可","両方停止","運転がそろわない","判定不能"},0),"○","停","×","－"),"")</f>
        <v>○</v>
      </c>
      <c r="AT10" s="35" t="str">
        <f aca="false">IFERROR(CHOOSE(MATCH(INDEX(時間ごとの判定!$AK$3:$AK$1850,163),{"利用可","両方停止","運転がそろわない","判定不能"},0),"○","停","×","－"),"")</f>
        <v>×</v>
      </c>
      <c r="AU10" s="35" t="str">
        <f aca="false">IFERROR(CHOOSE(MATCH(INDEX(時間ごとの判定!$AK$3:$AK$1850,164),{"利用可","両方停止","運転がそろわない","判定不能"},0),"○","停","×","－"),"")</f>
        <v>×</v>
      </c>
      <c r="AV10" s="35" t="str">
        <f aca="false">IFERROR(CHOOSE(MATCH(INDEX(時間ごとの判定!$AK$3:$AK$1850,165),{"利用可","両方停止","運転がそろわない","判定不能"},0),"○","停","×","－"),"")</f>
        <v>×</v>
      </c>
      <c r="AW10" s="35" t="str">
        <f aca="false">IFERROR(CHOOSE(MATCH(INDEX(時間ごとの判定!$AK$3:$AK$1850,166),{"利用可","両方停止","運転がそろわない","判定不能"},0),"○","停","×","－"),"")</f>
        <v>停</v>
      </c>
      <c r="AX10" s="35" t="str">
        <f aca="false">IFERROR(CHOOSE(MATCH(INDEX(時間ごとの判定!$AK$3:$AK$1850,167),{"利用可","両方停止","運転がそろわない","判定不能"},0),"○","停","×","－"),"")</f>
        <v>停</v>
      </c>
      <c r="AY10" s="35" t="str">
        <f aca="false">IFERROR(CHOOSE(MATCH(INDEX(時間ごとの判定!$AK$3:$AK$1850,168),{"利用可","両方停止","運転がそろわない","判定不能"},0),"○","停","×","－"),"")</f>
        <v>停</v>
      </c>
      <c r="AZ10" s="35"/>
      <c r="BA10" s="35" t="str">
        <f aca="false">IFERROR(CHOOSE(MATCH(INDEX(時間ごとの判定!$AN$3:$AN$1850,145),{"利用可","両方停止","運転がそろわない","判定不能"},0),"○","停","×","－"),"")</f>
        <v>×</v>
      </c>
      <c r="BB10" s="35" t="str">
        <f aca="false">IFERROR(CHOOSE(MATCH(INDEX(時間ごとの判定!$AN$3:$AN$1850,146),{"利用可","両方停止","運転がそろわない","判定不能"},0),"○","停","×","－"),"")</f>
        <v>×</v>
      </c>
      <c r="BC10" s="35" t="str">
        <f aca="false">IFERROR(CHOOSE(MATCH(INDEX(時間ごとの判定!$AN$3:$AN$1850,147),{"利用可","両方停止","運転がそろわない","判定不能"},0),"○","停","×","－"),"")</f>
        <v>×</v>
      </c>
      <c r="BD10" s="35" t="str">
        <f aca="false">IFERROR(CHOOSE(MATCH(INDEX(時間ごとの判定!$AN$3:$AN$1850,148),{"利用可","両方停止","運転がそろわない","判定不能"},0),"○","停","×","－"),"")</f>
        <v>×</v>
      </c>
      <c r="BE10" s="35" t="str">
        <f aca="false">IFERROR(CHOOSE(MATCH(INDEX(時間ごとの判定!$AN$3:$AN$1850,149),{"利用可","両方停止","運転がそろわない","判定不能"},0),"○","停","×","－"),"")</f>
        <v>×</v>
      </c>
      <c r="BF10" s="35" t="str">
        <f aca="false">IFERROR(CHOOSE(MATCH(INDEX(時間ごとの判定!$AN$3:$AN$1850,150),{"利用可","両方停止","運転がそろわない","判定不能"},0),"○","停","×","－"),"")</f>
        <v>×</v>
      </c>
      <c r="BG10" s="35" t="str">
        <f aca="false">IFERROR(CHOOSE(MATCH(INDEX(時間ごとの判定!$AN$3:$AN$1850,151),{"利用可","両方停止","運転がそろわない","判定不能"},0),"○","停","×","－"),"")</f>
        <v>×</v>
      </c>
      <c r="BH10" s="35" t="str">
        <f aca="false">IFERROR(CHOOSE(MATCH(INDEX(時間ごとの判定!$AN$3:$AN$1850,152),{"利用可","両方停止","運転がそろわない","判定不能"},0),"○","停","×","－"),"")</f>
        <v>○</v>
      </c>
      <c r="BI10" s="35" t="str">
        <f aca="false">IFERROR(CHOOSE(MATCH(INDEX(時間ごとの判定!$AN$3:$AN$1850,153),{"利用可","両方停止","運転がそろわない","判定不能"},0),"○","停","×","－"),"")</f>
        <v>○</v>
      </c>
      <c r="BJ10" s="35" t="str">
        <f aca="false">IFERROR(CHOOSE(MATCH(INDEX(時間ごとの判定!$AN$3:$AN$1850,154),{"利用可","両方停止","運転がそろわない","判定不能"},0),"○","停","×","－"),"")</f>
        <v>○</v>
      </c>
      <c r="BK10" s="35" t="str">
        <f aca="false">IFERROR(CHOOSE(MATCH(INDEX(時間ごとの判定!$AN$3:$AN$1850,155),{"利用可","両方停止","運転がそろわない","判定不能"},0),"○","停","×","－"),"")</f>
        <v>○</v>
      </c>
      <c r="BL10" s="35" t="str">
        <f aca="false">IFERROR(CHOOSE(MATCH(INDEX(時間ごとの判定!$AN$3:$AN$1850,156),{"利用可","両方停止","運転がそろわない","判定不能"},0),"○","停","×","－"),"")</f>
        <v>○</v>
      </c>
      <c r="BM10" s="35" t="str">
        <f aca="false">IFERROR(CHOOSE(MATCH(INDEX(時間ごとの判定!$AN$3:$AN$1850,157),{"利用可","両方停止","運転がそろわない","判定不能"},0),"○","停","×","－"),"")</f>
        <v>○</v>
      </c>
      <c r="BN10" s="35" t="str">
        <f aca="false">IFERROR(CHOOSE(MATCH(INDEX(時間ごとの判定!$AN$3:$AN$1850,158),{"利用可","両方停止","運転がそろわない","判定不能"},0),"○","停","×","－"),"")</f>
        <v>○</v>
      </c>
      <c r="BO10" s="35" t="str">
        <f aca="false">IFERROR(CHOOSE(MATCH(INDEX(時間ごとの判定!$AN$3:$AN$1850,159),{"利用可","両方停止","運転がそろわない","判定不能"},0),"○","停","×","－"),"")</f>
        <v>○</v>
      </c>
      <c r="BP10" s="35" t="str">
        <f aca="false">IFERROR(CHOOSE(MATCH(INDEX(時間ごとの判定!$AN$3:$AN$1850,160),{"利用可","両方停止","運転がそろわない","判定不能"},0),"○","停","×","－"),"")</f>
        <v>○</v>
      </c>
      <c r="BQ10" s="35" t="str">
        <f aca="false">IFERROR(CHOOSE(MATCH(INDEX(時間ごとの判定!$AN$3:$AN$1850,161),{"利用可","両方停止","運転がそろわない","判定不能"},0),"○","停","×","－"),"")</f>
        <v>○</v>
      </c>
      <c r="BR10" s="35" t="str">
        <f aca="false">IFERROR(CHOOSE(MATCH(INDEX(時間ごとの判定!$AN$3:$AN$1850,162),{"利用可","両方停止","運転がそろわない","判定不能"},0),"○","停","×","－"),"")</f>
        <v>○</v>
      </c>
      <c r="BS10" s="35" t="str">
        <f aca="false">IFERROR(CHOOSE(MATCH(INDEX(時間ごとの判定!$AN$3:$AN$1850,163),{"利用可","両方停止","運転がそろわない","判定不能"},0),"○","停","×","－"),"")</f>
        <v>×</v>
      </c>
      <c r="BT10" s="35" t="str">
        <f aca="false">IFERROR(CHOOSE(MATCH(INDEX(時間ごとの判定!$AN$3:$AN$1850,164),{"利用可","両方停止","運転がそろわない","判定不能"},0),"○","停","×","－"),"")</f>
        <v>○</v>
      </c>
      <c r="BU10" s="35" t="str">
        <f aca="false">IFERROR(CHOOSE(MATCH(INDEX(時間ごとの判定!$AN$3:$AN$1850,165),{"利用可","両方停止","運転がそろわない","判定不能"},0),"○","停","×","－"),"")</f>
        <v>×</v>
      </c>
      <c r="BV10" s="35" t="str">
        <f aca="false">IFERROR(CHOOSE(MATCH(INDEX(時間ごとの判定!$AN$3:$AN$1850,166),{"利用可","両方停止","運転がそろわない","判定不能"},0),"○","停","×","－"),"")</f>
        <v>×</v>
      </c>
      <c r="BW10" s="35" t="str">
        <f aca="false">IFERROR(CHOOSE(MATCH(INDEX(時間ごとの判定!$AN$3:$AN$1850,167),{"利用可","両方停止","運転がそろわない","判定不能"},0),"○","停","×","－"),"")</f>
        <v>×</v>
      </c>
      <c r="BX10" s="35" t="str">
        <f aca="false">IFERROR(CHOOSE(MATCH(INDEX(時間ごとの判定!$AN$3:$AN$1850,168),{"利用可","両方停止","運転がそろわない","判定不能"},0),"○","停","×","－"),"")</f>
        <v>×</v>
      </c>
    </row>
    <row r="11" customFormat="false" ht="15" hidden="false" customHeight="false" outlineLevel="0" collapsed="false">
      <c r="A11" s="33" t="n">
        <v>46239</v>
      </c>
      <c r="B11" s="34" t="s">
        <v>58</v>
      </c>
      <c r="C11" s="35" t="str">
        <f aca="false">IFERROR(CHOOSE(MATCH(INDEX(時間ごとの判定!$AH$3:$AH$1850,169),{"利用可","両方停止","運転がそろわない","判定不能"},0),"○","停","×","－"),"")</f>
        <v>停</v>
      </c>
      <c r="D11" s="35" t="str">
        <f aca="false">IFERROR(CHOOSE(MATCH(INDEX(時間ごとの判定!$AH$3:$AH$1850,170),{"利用可","両方停止","運転がそろわない","判定不能"},0),"○","停","×","－"),"")</f>
        <v>停</v>
      </c>
      <c r="E11" s="35" t="str">
        <f aca="false">IFERROR(CHOOSE(MATCH(INDEX(時間ごとの判定!$AH$3:$AH$1850,171),{"利用可","両方停止","運転がそろわない","判定不能"},0),"○","停","×","－"),"")</f>
        <v>停</v>
      </c>
      <c r="F11" s="35" t="str">
        <f aca="false">IFERROR(CHOOSE(MATCH(INDEX(時間ごとの判定!$AH$3:$AH$1850,172),{"利用可","両方停止","運転がそろわない","判定不能"},0),"○","停","×","－"),"")</f>
        <v>停</v>
      </c>
      <c r="G11" s="35" t="str">
        <f aca="false">IFERROR(CHOOSE(MATCH(INDEX(時間ごとの判定!$AH$3:$AH$1850,173),{"利用可","両方停止","運転がそろわない","判定不能"},0),"○","停","×","－"),"")</f>
        <v>停</v>
      </c>
      <c r="H11" s="35" t="str">
        <f aca="false">IFERROR(CHOOSE(MATCH(INDEX(時間ごとの判定!$AH$3:$AH$1850,174),{"利用可","両方停止","運転がそろわない","判定不能"},0),"○","停","×","－"),"")</f>
        <v>停</v>
      </c>
      <c r="I11" s="35" t="str">
        <f aca="false">IFERROR(CHOOSE(MATCH(INDEX(時間ごとの判定!$AH$3:$AH$1850,175),{"利用可","両方停止","運転がそろわない","判定不能"},0),"○","停","×","－"),"")</f>
        <v>停</v>
      </c>
      <c r="J11" s="35" t="str">
        <f aca="false">IFERROR(CHOOSE(MATCH(INDEX(時間ごとの判定!$AH$3:$AH$1850,176),{"利用可","両方停止","運転がそろわない","判定不能"},0),"○","停","×","－"),"")</f>
        <v>×</v>
      </c>
      <c r="K11" s="35" t="str">
        <f aca="false">IFERROR(CHOOSE(MATCH(INDEX(時間ごとの判定!$AH$3:$AH$1850,177),{"利用可","両方停止","運転がそろわない","判定不能"},0),"○","停","×","－"),"")</f>
        <v>×</v>
      </c>
      <c r="L11" s="35" t="str">
        <f aca="false">IFERROR(CHOOSE(MATCH(INDEX(時間ごとの判定!$AH$3:$AH$1850,178),{"利用可","両方停止","運転がそろわない","判定不能"},0),"○","停","×","－"),"")</f>
        <v>○</v>
      </c>
      <c r="M11" s="35" t="str">
        <f aca="false">IFERROR(CHOOSE(MATCH(INDEX(時間ごとの判定!$AH$3:$AH$1850,179),{"利用可","両方停止","運転がそろわない","判定不能"},0),"○","停","×","－"),"")</f>
        <v>○</v>
      </c>
      <c r="N11" s="35" t="str">
        <f aca="false">IFERROR(CHOOSE(MATCH(INDEX(時間ごとの判定!$AH$3:$AH$1850,180),{"利用可","両方停止","運転がそろわない","判定不能"},0),"○","停","×","－"),"")</f>
        <v>○</v>
      </c>
      <c r="O11" s="35" t="str">
        <f aca="false">IFERROR(CHOOSE(MATCH(INDEX(時間ごとの判定!$AH$3:$AH$1850,181),{"利用可","両方停止","運転がそろわない","判定不能"},0),"○","停","×","－"),"")</f>
        <v>○</v>
      </c>
      <c r="P11" s="35" t="str">
        <f aca="false">IFERROR(CHOOSE(MATCH(INDEX(時間ごとの判定!$AH$3:$AH$1850,182),{"利用可","両方停止","運転がそろわない","判定不能"},0),"○","停","×","－"),"")</f>
        <v>○</v>
      </c>
      <c r="Q11" s="35" t="str">
        <f aca="false">IFERROR(CHOOSE(MATCH(INDEX(時間ごとの判定!$AH$3:$AH$1850,183),{"利用可","両方停止","運転がそろわない","判定不能"},0),"○","停","×","－"),"")</f>
        <v>○</v>
      </c>
      <c r="R11" s="35" t="str">
        <f aca="false">IFERROR(CHOOSE(MATCH(INDEX(時間ごとの判定!$AH$3:$AH$1850,184),{"利用可","両方停止","運転がそろわない","判定不能"},0),"○","停","×","－"),"")</f>
        <v>○</v>
      </c>
      <c r="S11" s="35" t="str">
        <f aca="false">IFERROR(CHOOSE(MATCH(INDEX(時間ごとの判定!$AH$3:$AH$1850,185),{"利用可","両方停止","運転がそろわない","判定不能"},0),"○","停","×","－"),"")</f>
        <v>○</v>
      </c>
      <c r="T11" s="35" t="str">
        <f aca="false">IFERROR(CHOOSE(MATCH(INDEX(時間ごとの判定!$AH$3:$AH$1850,186),{"利用可","両方停止","運転がそろわない","判定不能"},0),"○","停","×","－"),"")</f>
        <v>○</v>
      </c>
      <c r="U11" s="35" t="str">
        <f aca="false">IFERROR(CHOOSE(MATCH(INDEX(時間ごとの判定!$AH$3:$AH$1850,187),{"利用可","両方停止","運転がそろわない","判定不能"},0),"○","停","×","－"),"")</f>
        <v>×</v>
      </c>
      <c r="V11" s="35" t="str">
        <f aca="false">IFERROR(CHOOSE(MATCH(INDEX(時間ごとの判定!$AH$3:$AH$1850,188),{"利用可","両方停止","運転がそろわない","判定不能"},0),"○","停","×","－"),"")</f>
        <v>×</v>
      </c>
      <c r="W11" s="35" t="str">
        <f aca="false">IFERROR(CHOOSE(MATCH(INDEX(時間ごとの判定!$AH$3:$AH$1850,189),{"利用可","両方停止","運転がそろわない","判定不能"},0),"○","停","×","－"),"")</f>
        <v>×</v>
      </c>
      <c r="X11" s="35" t="str">
        <f aca="false">IFERROR(CHOOSE(MATCH(INDEX(時間ごとの判定!$AH$3:$AH$1850,190),{"利用可","両方停止","運転がそろわない","判定不能"},0),"○","停","×","－"),"")</f>
        <v>×</v>
      </c>
      <c r="Y11" s="35" t="str">
        <f aca="false">IFERROR(CHOOSE(MATCH(INDEX(時間ごとの判定!$AH$3:$AH$1850,191),{"利用可","両方停止","運転がそろわない","判定不能"},0),"○","停","×","－"),"")</f>
        <v>×</v>
      </c>
      <c r="Z11" s="35" t="str">
        <f aca="false">IFERROR(CHOOSE(MATCH(INDEX(時間ごとの判定!$AH$3:$AH$1850,192),{"利用可","両方停止","運転がそろわない","判定不能"},0),"○","停","×","－"),"")</f>
        <v>停</v>
      </c>
      <c r="AA11" s="35"/>
      <c r="AB11" s="35" t="str">
        <f aca="false">IFERROR(CHOOSE(MATCH(INDEX(時間ごとの判定!$AK$3:$AK$1850,169),{"利用可","両方停止","運転がそろわない","判定不能"},0),"○","停","×","－"),"")</f>
        <v>停</v>
      </c>
      <c r="AC11" s="35" t="str">
        <f aca="false">IFERROR(CHOOSE(MATCH(INDEX(時間ごとの判定!$AK$3:$AK$1850,170),{"利用可","両方停止","運転がそろわない","判定不能"},0),"○","停","×","－"),"")</f>
        <v>停</v>
      </c>
      <c r="AD11" s="35" t="str">
        <f aca="false">IFERROR(CHOOSE(MATCH(INDEX(時間ごとの判定!$AK$3:$AK$1850,171),{"利用可","両方停止","運転がそろわない","判定不能"},0),"○","停","×","－"),"")</f>
        <v>停</v>
      </c>
      <c r="AE11" s="35" t="str">
        <f aca="false">IFERROR(CHOOSE(MATCH(INDEX(時間ごとの判定!$AK$3:$AK$1850,172),{"利用可","両方停止","運転がそろわない","判定不能"},0),"○","停","×","－"),"")</f>
        <v>停</v>
      </c>
      <c r="AF11" s="35" t="str">
        <f aca="false">IFERROR(CHOOSE(MATCH(INDEX(時間ごとの判定!$AK$3:$AK$1850,173),{"利用可","両方停止","運転がそろわない","判定不能"},0),"○","停","×","－"),"")</f>
        <v>停</v>
      </c>
      <c r="AG11" s="35" t="str">
        <f aca="false">IFERROR(CHOOSE(MATCH(INDEX(時間ごとの判定!$AK$3:$AK$1850,174),{"利用可","両方停止","運転がそろわない","判定不能"},0),"○","停","×","－"),"")</f>
        <v>停</v>
      </c>
      <c r="AH11" s="35" t="str">
        <f aca="false">IFERROR(CHOOSE(MATCH(INDEX(時間ごとの判定!$AK$3:$AK$1850,175),{"利用可","両方停止","運転がそろわない","判定不能"},0),"○","停","×","－"),"")</f>
        <v>停</v>
      </c>
      <c r="AI11" s="35" t="str">
        <f aca="false">IFERROR(CHOOSE(MATCH(INDEX(時間ごとの判定!$AK$3:$AK$1850,176),{"利用可","両方停止","運転がそろわない","判定不能"},0),"○","停","×","－"),"")</f>
        <v>停</v>
      </c>
      <c r="AJ11" s="35" t="str">
        <f aca="false">IFERROR(CHOOSE(MATCH(INDEX(時間ごとの判定!$AK$3:$AK$1850,177),{"利用可","両方停止","運転がそろわない","判定不能"},0),"○","停","×","－"),"")</f>
        <v>×</v>
      </c>
      <c r="AK11" s="35" t="str">
        <f aca="false">IFERROR(CHOOSE(MATCH(INDEX(時間ごとの判定!$AK$3:$AK$1850,178),{"利用可","両方停止","運転がそろわない","判定不能"},0),"○","停","×","－"),"")</f>
        <v>○</v>
      </c>
      <c r="AL11" s="35" t="str">
        <f aca="false">IFERROR(CHOOSE(MATCH(INDEX(時間ごとの判定!$AK$3:$AK$1850,179),{"利用可","両方停止","運転がそろわない","判定不能"},0),"○","停","×","－"),"")</f>
        <v>○</v>
      </c>
      <c r="AM11" s="35" t="str">
        <f aca="false">IFERROR(CHOOSE(MATCH(INDEX(時間ごとの判定!$AK$3:$AK$1850,180),{"利用可","両方停止","運転がそろわない","判定不能"},0),"○","停","×","－"),"")</f>
        <v>○</v>
      </c>
      <c r="AN11" s="35" t="str">
        <f aca="false">IFERROR(CHOOSE(MATCH(INDEX(時間ごとの判定!$AK$3:$AK$1850,181),{"利用可","両方停止","運転がそろわない","判定不能"},0),"○","停","×","－"),"")</f>
        <v>○</v>
      </c>
      <c r="AO11" s="35" t="str">
        <f aca="false">IFERROR(CHOOSE(MATCH(INDEX(時間ごとの判定!$AK$3:$AK$1850,182),{"利用可","両方停止","運転がそろわない","判定不能"},0),"○","停","×","－"),"")</f>
        <v>○</v>
      </c>
      <c r="AP11" s="35" t="str">
        <f aca="false">IFERROR(CHOOSE(MATCH(INDEX(時間ごとの判定!$AK$3:$AK$1850,183),{"利用可","両方停止","運転がそろわない","判定不能"},0),"○","停","×","－"),"")</f>
        <v>○</v>
      </c>
      <c r="AQ11" s="35" t="str">
        <f aca="false">IFERROR(CHOOSE(MATCH(INDEX(時間ごとの判定!$AK$3:$AK$1850,184),{"利用可","両方停止","運転がそろわない","判定不能"},0),"○","停","×","－"),"")</f>
        <v>○</v>
      </c>
      <c r="AR11" s="35" t="str">
        <f aca="false">IFERROR(CHOOSE(MATCH(INDEX(時間ごとの判定!$AK$3:$AK$1850,185),{"利用可","両方停止","運転がそろわない","判定不能"},0),"○","停","×","－"),"")</f>
        <v>○</v>
      </c>
      <c r="AS11" s="35" t="str">
        <f aca="false">IFERROR(CHOOSE(MATCH(INDEX(時間ごとの判定!$AK$3:$AK$1850,186),{"利用可","両方停止","運転がそろわない","判定不能"},0),"○","停","×","－"),"")</f>
        <v>○</v>
      </c>
      <c r="AT11" s="35" t="str">
        <f aca="false">IFERROR(CHOOSE(MATCH(INDEX(時間ごとの判定!$AK$3:$AK$1850,187),{"利用可","両方停止","運転がそろわない","判定不能"},0),"○","停","×","－"),"")</f>
        <v>×</v>
      </c>
      <c r="AU11" s="35" t="str">
        <f aca="false">IFERROR(CHOOSE(MATCH(INDEX(時間ごとの判定!$AK$3:$AK$1850,188),{"利用可","両方停止","運転がそろわない","判定不能"},0),"○","停","×","－"),"")</f>
        <v>○</v>
      </c>
      <c r="AV11" s="35" t="str">
        <f aca="false">IFERROR(CHOOSE(MATCH(INDEX(時間ごとの判定!$AK$3:$AK$1850,189),{"利用可","両方停止","運転がそろわない","判定不能"},0),"○","停","×","－"),"")</f>
        <v>×</v>
      </c>
      <c r="AW11" s="35" t="str">
        <f aca="false">IFERROR(CHOOSE(MATCH(INDEX(時間ごとの判定!$AK$3:$AK$1850,190),{"利用可","両方停止","運転がそろわない","判定不能"},0),"○","停","×","－"),"")</f>
        <v>×</v>
      </c>
      <c r="AX11" s="35" t="str">
        <f aca="false">IFERROR(CHOOSE(MATCH(INDEX(時間ごとの判定!$AK$3:$AK$1850,191),{"利用可","両方停止","運転がそろわない","判定不能"},0),"○","停","×","－"),"")</f>
        <v>×</v>
      </c>
      <c r="AY11" s="35" t="str">
        <f aca="false">IFERROR(CHOOSE(MATCH(INDEX(時間ごとの判定!$AK$3:$AK$1850,192),{"利用可","両方停止","運転がそろわない","判定不能"},0),"○","停","×","－"),"")</f>
        <v>×</v>
      </c>
      <c r="AZ11" s="35"/>
      <c r="BA11" s="35" t="str">
        <f aca="false">IFERROR(CHOOSE(MATCH(INDEX(時間ごとの判定!$AN$3:$AN$1850,169),{"利用可","両方停止","運転がそろわない","判定不能"},0),"○","停","×","－"),"")</f>
        <v>×</v>
      </c>
      <c r="BB11" s="35" t="str">
        <f aca="false">IFERROR(CHOOSE(MATCH(INDEX(時間ごとの判定!$AN$3:$AN$1850,170),{"利用可","両方停止","運転がそろわない","判定不能"},0),"○","停","×","－"),"")</f>
        <v>×</v>
      </c>
      <c r="BC11" s="35" t="str">
        <f aca="false">IFERROR(CHOOSE(MATCH(INDEX(時間ごとの判定!$AN$3:$AN$1850,171),{"利用可","両方停止","運転がそろわない","判定不能"},0),"○","停","×","－"),"")</f>
        <v>×</v>
      </c>
      <c r="BD11" s="35" t="str">
        <f aca="false">IFERROR(CHOOSE(MATCH(INDEX(時間ごとの判定!$AN$3:$AN$1850,172),{"利用可","両方停止","運転がそろわない","判定不能"},0),"○","停","×","－"),"")</f>
        <v>×</v>
      </c>
      <c r="BE11" s="35" t="str">
        <f aca="false">IFERROR(CHOOSE(MATCH(INDEX(時間ごとの判定!$AN$3:$AN$1850,173),{"利用可","両方停止","運転がそろわない","判定不能"},0),"○","停","×","－"),"")</f>
        <v>×</v>
      </c>
      <c r="BF11" s="35" t="str">
        <f aca="false">IFERROR(CHOOSE(MATCH(INDEX(時間ごとの判定!$AN$3:$AN$1850,174),{"利用可","両方停止","運転がそろわない","判定不能"},0),"○","停","×","－"),"")</f>
        <v>×</v>
      </c>
      <c r="BG11" s="35" t="str">
        <f aca="false">IFERROR(CHOOSE(MATCH(INDEX(時間ごとの判定!$AN$3:$AN$1850,175),{"利用可","両方停止","運転がそろわない","判定不能"},0),"○","停","×","－"),"")</f>
        <v>×</v>
      </c>
      <c r="BH11" s="35" t="str">
        <f aca="false">IFERROR(CHOOSE(MATCH(INDEX(時間ごとの判定!$AN$3:$AN$1850,176),{"利用可","両方停止","運転がそろわない","判定不能"},0),"○","停","×","－"),"")</f>
        <v>×</v>
      </c>
      <c r="BI11" s="35" t="str">
        <f aca="false">IFERROR(CHOOSE(MATCH(INDEX(時間ごとの判定!$AN$3:$AN$1850,177),{"利用可","両方停止","運転がそろわない","判定不能"},0),"○","停","×","－"),"")</f>
        <v>○</v>
      </c>
      <c r="BJ11" s="35" t="str">
        <f aca="false">IFERROR(CHOOSE(MATCH(INDEX(時間ごとの判定!$AN$3:$AN$1850,178),{"利用可","両方停止","運転がそろわない","判定不能"},0),"○","停","×","－"),"")</f>
        <v>○</v>
      </c>
      <c r="BK11" s="35" t="str">
        <f aca="false">IFERROR(CHOOSE(MATCH(INDEX(時間ごとの判定!$AN$3:$AN$1850,179),{"利用可","両方停止","運転がそろわない","判定不能"},0),"○","停","×","－"),"")</f>
        <v>○</v>
      </c>
      <c r="BL11" s="35" t="str">
        <f aca="false">IFERROR(CHOOSE(MATCH(INDEX(時間ごとの判定!$AN$3:$AN$1850,180),{"利用可","両方停止","運転がそろわない","判定不能"},0),"○","停","×","－"),"")</f>
        <v>○</v>
      </c>
      <c r="BM11" s="35" t="str">
        <f aca="false">IFERROR(CHOOSE(MATCH(INDEX(時間ごとの判定!$AN$3:$AN$1850,181),{"利用可","両方停止","運転がそろわない","判定不能"},0),"○","停","×","－"),"")</f>
        <v>○</v>
      </c>
      <c r="BN11" s="35" t="str">
        <f aca="false">IFERROR(CHOOSE(MATCH(INDEX(時間ごとの判定!$AN$3:$AN$1850,182),{"利用可","両方停止","運転がそろわない","判定不能"},0),"○","停","×","－"),"")</f>
        <v>○</v>
      </c>
      <c r="BO11" s="35" t="str">
        <f aca="false">IFERROR(CHOOSE(MATCH(INDEX(時間ごとの判定!$AN$3:$AN$1850,183),{"利用可","両方停止","運転がそろわない","判定不能"},0),"○","停","×","－"),"")</f>
        <v>○</v>
      </c>
      <c r="BP11" s="35" t="str">
        <f aca="false">IFERROR(CHOOSE(MATCH(INDEX(時間ごとの判定!$AN$3:$AN$1850,184),{"利用可","両方停止","運転がそろわない","判定不能"},0),"○","停","×","－"),"")</f>
        <v>○</v>
      </c>
      <c r="BQ11" s="35" t="str">
        <f aca="false">IFERROR(CHOOSE(MATCH(INDEX(時間ごとの判定!$AN$3:$AN$1850,185),{"利用可","両方停止","運転がそろわない","判定不能"},0),"○","停","×","－"),"")</f>
        <v>○</v>
      </c>
      <c r="BR11" s="35" t="str">
        <f aca="false">IFERROR(CHOOSE(MATCH(INDEX(時間ごとの判定!$AN$3:$AN$1850,186),{"利用可","両方停止","運転がそろわない","判定不能"},0),"○","停","×","－"),"")</f>
        <v>○</v>
      </c>
      <c r="BS11" s="35" t="str">
        <f aca="false">IFERROR(CHOOSE(MATCH(INDEX(時間ごとの判定!$AN$3:$AN$1850,187),{"利用可","両方停止","運転がそろわない","判定不能"},0),"○","停","×","－"),"")</f>
        <v>○</v>
      </c>
      <c r="BT11" s="35" t="str">
        <f aca="false">IFERROR(CHOOSE(MATCH(INDEX(時間ごとの判定!$AN$3:$AN$1850,188),{"利用可","両方停止","運転がそろわない","判定不能"},0),"○","停","×","－"),"")</f>
        <v>○</v>
      </c>
      <c r="BU11" s="35" t="str">
        <f aca="false">IFERROR(CHOOSE(MATCH(INDEX(時間ごとの判定!$AN$3:$AN$1850,189),{"利用可","両方停止","運転がそろわない","判定不能"},0),"○","停","×","－"),"")</f>
        <v>○</v>
      </c>
      <c r="BV11" s="35" t="str">
        <f aca="false">IFERROR(CHOOSE(MATCH(INDEX(時間ごとの判定!$AN$3:$AN$1850,190),{"利用可","両方停止","運転がそろわない","判定不能"},0),"○","停","×","－"),"")</f>
        <v>○</v>
      </c>
      <c r="BW11" s="35" t="str">
        <f aca="false">IFERROR(CHOOSE(MATCH(INDEX(時間ごとの判定!$AN$3:$AN$1850,191),{"利用可","両方停止","運転がそろわない","判定不能"},0),"○","停","×","－"),"")</f>
        <v>×</v>
      </c>
      <c r="BX11" s="35" t="str">
        <f aca="false">IFERROR(CHOOSE(MATCH(INDEX(時間ごとの判定!$AN$3:$AN$1850,192),{"利用可","両方停止","運転がそろわない","判定不能"},0),"○","停","×","－"),"")</f>
        <v>○</v>
      </c>
    </row>
    <row r="12" customFormat="false" ht="15" hidden="false" customHeight="false" outlineLevel="0" collapsed="false">
      <c r="A12" s="33" t="n">
        <v>46240</v>
      </c>
      <c r="B12" s="34" t="s">
        <v>61</v>
      </c>
      <c r="C12" s="35" t="str">
        <f aca="false">IFERROR(CHOOSE(MATCH(INDEX(時間ごとの判定!$AH$3:$AH$1850,193),{"利用可","両方停止","運転がそろわない","判定不能"},0),"○","停","×","－"),"")</f>
        <v>停</v>
      </c>
      <c r="D12" s="35" t="str">
        <f aca="false">IFERROR(CHOOSE(MATCH(INDEX(時間ごとの判定!$AH$3:$AH$1850,194),{"利用可","両方停止","運転がそろわない","判定不能"},0),"○","停","×","－"),"")</f>
        <v>停</v>
      </c>
      <c r="E12" s="35" t="str">
        <f aca="false">IFERROR(CHOOSE(MATCH(INDEX(時間ごとの判定!$AH$3:$AH$1850,195),{"利用可","両方停止","運転がそろわない","判定不能"},0),"○","停","×","－"),"")</f>
        <v>停</v>
      </c>
      <c r="F12" s="35" t="str">
        <f aca="false">IFERROR(CHOOSE(MATCH(INDEX(時間ごとの判定!$AH$3:$AH$1850,196),{"利用可","両方停止","運転がそろわない","判定不能"},0),"○","停","×","－"),"")</f>
        <v>停</v>
      </c>
      <c r="G12" s="35" t="str">
        <f aca="false">IFERROR(CHOOSE(MATCH(INDEX(時間ごとの判定!$AH$3:$AH$1850,197),{"利用可","両方停止","運転がそろわない","判定不能"},0),"○","停","×","－"),"")</f>
        <v>停</v>
      </c>
      <c r="H12" s="35" t="str">
        <f aca="false">IFERROR(CHOOSE(MATCH(INDEX(時間ごとの判定!$AH$3:$AH$1850,198),{"利用可","両方停止","運転がそろわない","判定不能"},0),"○","停","×","－"),"")</f>
        <v>停</v>
      </c>
      <c r="I12" s="35" t="str">
        <f aca="false">IFERROR(CHOOSE(MATCH(INDEX(時間ごとの判定!$AH$3:$AH$1850,199),{"利用可","両方停止","運転がそろわない","判定不能"},0),"○","停","×","－"),"")</f>
        <v>停</v>
      </c>
      <c r="J12" s="35" t="str">
        <f aca="false">IFERROR(CHOOSE(MATCH(INDEX(時間ごとの判定!$AH$3:$AH$1850,200),{"利用可","両方停止","運転がそろわない","判定不能"},0),"○","停","×","－"),"")</f>
        <v>停</v>
      </c>
      <c r="K12" s="35" t="str">
        <f aca="false">IFERROR(CHOOSE(MATCH(INDEX(時間ごとの判定!$AH$3:$AH$1850,201),{"利用可","両方停止","運転がそろわない","判定不能"},0),"○","停","×","－"),"")</f>
        <v>×</v>
      </c>
      <c r="L12" s="35" t="str">
        <f aca="false">IFERROR(CHOOSE(MATCH(INDEX(時間ごとの判定!$AH$3:$AH$1850,202),{"利用可","両方停止","運転がそろわない","判定不能"},0),"○","停","×","－"),"")</f>
        <v>○</v>
      </c>
      <c r="M12" s="35" t="str">
        <f aca="false">IFERROR(CHOOSE(MATCH(INDEX(時間ごとの判定!$AH$3:$AH$1850,203),{"利用可","両方停止","運転がそろわない","判定不能"},0),"○","停","×","－"),"")</f>
        <v>○</v>
      </c>
      <c r="N12" s="35" t="str">
        <f aca="false">IFERROR(CHOOSE(MATCH(INDEX(時間ごとの判定!$AH$3:$AH$1850,204),{"利用可","両方停止","運転がそろわない","判定不能"},0),"○","停","×","－"),"")</f>
        <v>○</v>
      </c>
      <c r="O12" s="35" t="str">
        <f aca="false">IFERROR(CHOOSE(MATCH(INDEX(時間ごとの判定!$AH$3:$AH$1850,205),{"利用可","両方停止","運転がそろわない","判定不能"},0),"○","停","×","－"),"")</f>
        <v>○</v>
      </c>
      <c r="P12" s="35" t="str">
        <f aca="false">IFERROR(CHOOSE(MATCH(INDEX(時間ごとの判定!$AH$3:$AH$1850,206),{"利用可","両方停止","運転がそろわない","判定不能"},0),"○","停","×","－"),"")</f>
        <v>○</v>
      </c>
      <c r="Q12" s="35" t="str">
        <f aca="false">IFERROR(CHOOSE(MATCH(INDEX(時間ごとの判定!$AH$3:$AH$1850,207),{"利用可","両方停止","運転がそろわない","判定不能"},0),"○","停","×","－"),"")</f>
        <v>○</v>
      </c>
      <c r="R12" s="35" t="str">
        <f aca="false">IFERROR(CHOOSE(MATCH(INDEX(時間ごとの判定!$AH$3:$AH$1850,208),{"利用可","両方停止","運転がそろわない","判定不能"},0),"○","停","×","－"),"")</f>
        <v>○</v>
      </c>
      <c r="S12" s="35" t="str">
        <f aca="false">IFERROR(CHOOSE(MATCH(INDEX(時間ごとの判定!$AH$3:$AH$1850,209),{"利用可","両方停止","運転がそろわない","判定不能"},0),"○","停","×","－"),"")</f>
        <v>○</v>
      </c>
      <c r="T12" s="35" t="str">
        <f aca="false">IFERROR(CHOOSE(MATCH(INDEX(時間ごとの判定!$AH$3:$AH$1850,210),{"利用可","両方停止","運転がそろわない","判定不能"},0),"○","停","×","－"),"")</f>
        <v>○</v>
      </c>
      <c r="U12" s="35" t="str">
        <f aca="false">IFERROR(CHOOSE(MATCH(INDEX(時間ごとの判定!$AH$3:$AH$1850,211),{"利用可","両方停止","運転がそろわない","判定不能"},0),"○","停","×","－"),"")</f>
        <v>×</v>
      </c>
      <c r="V12" s="35" t="str">
        <f aca="false">IFERROR(CHOOSE(MATCH(INDEX(時間ごとの判定!$AH$3:$AH$1850,212),{"利用可","両方停止","運転がそろわない","判定不能"},0),"○","停","×","－"),"")</f>
        <v>×</v>
      </c>
      <c r="W12" s="35" t="str">
        <f aca="false">IFERROR(CHOOSE(MATCH(INDEX(時間ごとの判定!$AH$3:$AH$1850,213),{"利用可","両方停止","運転がそろわない","判定不能"},0),"○","停","×","－"),"")</f>
        <v>×</v>
      </c>
      <c r="X12" s="35" t="str">
        <f aca="false">IFERROR(CHOOSE(MATCH(INDEX(時間ごとの判定!$AH$3:$AH$1850,214),{"利用可","両方停止","運転がそろわない","判定不能"},0),"○","停","×","－"),"")</f>
        <v>停</v>
      </c>
      <c r="Y12" s="35" t="str">
        <f aca="false">IFERROR(CHOOSE(MATCH(INDEX(時間ごとの判定!$AH$3:$AH$1850,215),{"利用可","両方停止","運転がそろわない","判定不能"},0),"○","停","×","－"),"")</f>
        <v>停</v>
      </c>
      <c r="Z12" s="35" t="str">
        <f aca="false">IFERROR(CHOOSE(MATCH(INDEX(時間ごとの判定!$AH$3:$AH$1850,216),{"利用可","両方停止","運転がそろわない","判定不能"},0),"○","停","×","－"),"")</f>
        <v>停</v>
      </c>
      <c r="AA12" s="35"/>
      <c r="AB12" s="35" t="str">
        <f aca="false">IFERROR(CHOOSE(MATCH(INDEX(時間ごとの判定!$AK$3:$AK$1850,193),{"利用可","両方停止","運転がそろわない","判定不能"},0),"○","停","×","－"),"")</f>
        <v>停</v>
      </c>
      <c r="AC12" s="35" t="str">
        <f aca="false">IFERROR(CHOOSE(MATCH(INDEX(時間ごとの判定!$AK$3:$AK$1850,194),{"利用可","両方停止","運転がそろわない","判定不能"},0),"○","停","×","－"),"")</f>
        <v>停</v>
      </c>
      <c r="AD12" s="35" t="str">
        <f aca="false">IFERROR(CHOOSE(MATCH(INDEX(時間ごとの判定!$AK$3:$AK$1850,195),{"利用可","両方停止","運転がそろわない","判定不能"},0),"○","停","×","－"),"")</f>
        <v>停</v>
      </c>
      <c r="AE12" s="35" t="str">
        <f aca="false">IFERROR(CHOOSE(MATCH(INDEX(時間ごとの判定!$AK$3:$AK$1850,196),{"利用可","両方停止","運転がそろわない","判定不能"},0),"○","停","×","－"),"")</f>
        <v>停</v>
      </c>
      <c r="AF12" s="35" t="str">
        <f aca="false">IFERROR(CHOOSE(MATCH(INDEX(時間ごとの判定!$AK$3:$AK$1850,197),{"利用可","両方停止","運転がそろわない","判定不能"},0),"○","停","×","－"),"")</f>
        <v>停</v>
      </c>
      <c r="AG12" s="35" t="str">
        <f aca="false">IFERROR(CHOOSE(MATCH(INDEX(時間ごとの判定!$AK$3:$AK$1850,198),{"利用可","両方停止","運転がそろわない","判定不能"},0),"○","停","×","－"),"")</f>
        <v>停</v>
      </c>
      <c r="AH12" s="35" t="str">
        <f aca="false">IFERROR(CHOOSE(MATCH(INDEX(時間ごとの判定!$AK$3:$AK$1850,199),{"利用可","両方停止","運転がそろわない","判定不能"},0),"○","停","×","－"),"")</f>
        <v>停</v>
      </c>
      <c r="AI12" s="35" t="str">
        <f aca="false">IFERROR(CHOOSE(MATCH(INDEX(時間ごとの判定!$AK$3:$AK$1850,200),{"利用可","両方停止","運転がそろわない","判定不能"},0),"○","停","×","－"),"")</f>
        <v>×</v>
      </c>
      <c r="AJ12" s="35" t="str">
        <f aca="false">IFERROR(CHOOSE(MATCH(INDEX(時間ごとの判定!$AK$3:$AK$1850,201),{"利用可","両方停止","運転がそろわない","判定不能"},0),"○","停","×","－"),"")</f>
        <v>×</v>
      </c>
      <c r="AK12" s="35" t="str">
        <f aca="false">IFERROR(CHOOSE(MATCH(INDEX(時間ごとの判定!$AK$3:$AK$1850,202),{"利用可","両方停止","運転がそろわない","判定不能"},0),"○","停","×","－"),"")</f>
        <v>○</v>
      </c>
      <c r="AL12" s="35" t="str">
        <f aca="false">IFERROR(CHOOSE(MATCH(INDEX(時間ごとの判定!$AK$3:$AK$1850,203),{"利用可","両方停止","運転がそろわない","判定不能"},0),"○","停","×","－"),"")</f>
        <v>○</v>
      </c>
      <c r="AM12" s="35" t="str">
        <f aca="false">IFERROR(CHOOSE(MATCH(INDEX(時間ごとの判定!$AK$3:$AK$1850,204),{"利用可","両方停止","運転がそろわない","判定不能"},0),"○","停","×","－"),"")</f>
        <v>○</v>
      </c>
      <c r="AN12" s="35" t="str">
        <f aca="false">IFERROR(CHOOSE(MATCH(INDEX(時間ごとの判定!$AK$3:$AK$1850,205),{"利用可","両方停止","運転がそろわない","判定不能"},0),"○","停","×","－"),"")</f>
        <v>○</v>
      </c>
      <c r="AO12" s="35" t="str">
        <f aca="false">IFERROR(CHOOSE(MATCH(INDEX(時間ごとの判定!$AK$3:$AK$1850,206),{"利用可","両方停止","運転がそろわない","判定不能"},0),"○","停","×","－"),"")</f>
        <v>○</v>
      </c>
      <c r="AP12" s="35" t="str">
        <f aca="false">IFERROR(CHOOSE(MATCH(INDEX(時間ごとの判定!$AK$3:$AK$1850,207),{"利用可","両方停止","運転がそろわない","判定不能"},0),"○","停","×","－"),"")</f>
        <v>○</v>
      </c>
      <c r="AQ12" s="35" t="str">
        <f aca="false">IFERROR(CHOOSE(MATCH(INDEX(時間ごとの判定!$AK$3:$AK$1850,208),{"利用可","両方停止","運転がそろわない","判定不能"},0),"○","停","×","－"),"")</f>
        <v>○</v>
      </c>
      <c r="AR12" s="35" t="str">
        <f aca="false">IFERROR(CHOOSE(MATCH(INDEX(時間ごとの判定!$AK$3:$AK$1850,209),{"利用可","両方停止","運転がそろわない","判定不能"},0),"○","停","×","－"),"")</f>
        <v>○</v>
      </c>
      <c r="AS12" s="35" t="str">
        <f aca="false">IFERROR(CHOOSE(MATCH(INDEX(時間ごとの判定!$AK$3:$AK$1850,210),{"利用可","両方停止","運転がそろわない","判定不能"},0),"○","停","×","－"),"")</f>
        <v>○</v>
      </c>
      <c r="AT12" s="35" t="str">
        <f aca="false">IFERROR(CHOOSE(MATCH(INDEX(時間ごとの判定!$AK$3:$AK$1850,211),{"利用可","両方停止","運転がそろわない","判定不能"},0),"○","停","×","－"),"")</f>
        <v>×</v>
      </c>
      <c r="AU12" s="35" t="str">
        <f aca="false">IFERROR(CHOOSE(MATCH(INDEX(時間ごとの判定!$AK$3:$AK$1850,212),{"利用可","両方停止","運転がそろわない","判定不能"},0),"○","停","×","－"),"")</f>
        <v>×</v>
      </c>
      <c r="AV12" s="35" t="str">
        <f aca="false">IFERROR(CHOOSE(MATCH(INDEX(時間ごとの判定!$AK$3:$AK$1850,213),{"利用可","両方停止","運転がそろわない","判定不能"},0),"○","停","×","－"),"")</f>
        <v>×</v>
      </c>
      <c r="AW12" s="35" t="str">
        <f aca="false">IFERROR(CHOOSE(MATCH(INDEX(時間ごとの判定!$AK$3:$AK$1850,214),{"利用可","両方停止","運転がそろわない","判定不能"},0),"○","停","×","－"),"")</f>
        <v>停</v>
      </c>
      <c r="AX12" s="35" t="str">
        <f aca="false">IFERROR(CHOOSE(MATCH(INDEX(時間ごとの判定!$AK$3:$AK$1850,215),{"利用可","両方停止","運転がそろわない","判定不能"},0),"○","停","×","－"),"")</f>
        <v>停</v>
      </c>
      <c r="AY12" s="35" t="str">
        <f aca="false">IFERROR(CHOOSE(MATCH(INDEX(時間ごとの判定!$AK$3:$AK$1850,216),{"利用可","両方停止","運転がそろわない","判定不能"},0),"○","停","×","－"),"")</f>
        <v>停</v>
      </c>
      <c r="AZ12" s="35"/>
      <c r="BA12" s="35" t="str">
        <f aca="false">IFERROR(CHOOSE(MATCH(INDEX(時間ごとの判定!$AN$3:$AN$1850,193),{"利用可","両方停止","運転がそろわない","判定不能"},0),"○","停","×","－"),"")</f>
        <v>×</v>
      </c>
      <c r="BB12" s="35" t="str">
        <f aca="false">IFERROR(CHOOSE(MATCH(INDEX(時間ごとの判定!$AN$3:$AN$1850,194),{"利用可","両方停止","運転がそろわない","判定不能"},0),"○","停","×","－"),"")</f>
        <v>×</v>
      </c>
      <c r="BC12" s="35" t="str">
        <f aca="false">IFERROR(CHOOSE(MATCH(INDEX(時間ごとの判定!$AN$3:$AN$1850,195),{"利用可","両方停止","運転がそろわない","判定不能"},0),"○","停","×","－"),"")</f>
        <v>×</v>
      </c>
      <c r="BD12" s="35" t="str">
        <f aca="false">IFERROR(CHOOSE(MATCH(INDEX(時間ごとの判定!$AN$3:$AN$1850,196),{"利用可","両方停止","運転がそろわない","判定不能"},0),"○","停","×","－"),"")</f>
        <v>×</v>
      </c>
      <c r="BE12" s="35" t="str">
        <f aca="false">IFERROR(CHOOSE(MATCH(INDEX(時間ごとの判定!$AN$3:$AN$1850,197),{"利用可","両方停止","運転がそろわない","判定不能"},0),"○","停","×","－"),"")</f>
        <v>×</v>
      </c>
      <c r="BF12" s="35" t="str">
        <f aca="false">IFERROR(CHOOSE(MATCH(INDEX(時間ごとの判定!$AN$3:$AN$1850,198),{"利用可","両方停止","運転がそろわない","判定不能"},0),"○","停","×","－"),"")</f>
        <v>×</v>
      </c>
      <c r="BG12" s="35" t="str">
        <f aca="false">IFERROR(CHOOSE(MATCH(INDEX(時間ごとの判定!$AN$3:$AN$1850,199),{"利用可","両方停止","運転がそろわない","判定不能"},0),"○","停","×","－"),"")</f>
        <v>×</v>
      </c>
      <c r="BH12" s="35" t="str">
        <f aca="false">IFERROR(CHOOSE(MATCH(INDEX(時間ごとの判定!$AN$3:$AN$1850,200),{"利用可","両方停止","運転がそろわない","判定不能"},0),"○","停","×","－"),"")</f>
        <v>○</v>
      </c>
      <c r="BI12" s="35" t="str">
        <f aca="false">IFERROR(CHOOSE(MATCH(INDEX(時間ごとの判定!$AN$3:$AN$1850,201),{"利用可","両方停止","運転がそろわない","判定不能"},0),"○","停","×","－"),"")</f>
        <v>○</v>
      </c>
      <c r="BJ12" s="35" t="str">
        <f aca="false">IFERROR(CHOOSE(MATCH(INDEX(時間ごとの判定!$AN$3:$AN$1850,202),{"利用可","両方停止","運転がそろわない","判定不能"},0),"○","停","×","－"),"")</f>
        <v>○</v>
      </c>
      <c r="BK12" s="35" t="str">
        <f aca="false">IFERROR(CHOOSE(MATCH(INDEX(時間ごとの判定!$AN$3:$AN$1850,203),{"利用可","両方停止","運転がそろわない","判定不能"},0),"○","停","×","－"),"")</f>
        <v>○</v>
      </c>
      <c r="BL12" s="35" t="str">
        <f aca="false">IFERROR(CHOOSE(MATCH(INDEX(時間ごとの判定!$AN$3:$AN$1850,204),{"利用可","両方停止","運転がそろわない","判定不能"},0),"○","停","×","－"),"")</f>
        <v>○</v>
      </c>
      <c r="BM12" s="35" t="str">
        <f aca="false">IFERROR(CHOOSE(MATCH(INDEX(時間ごとの判定!$AN$3:$AN$1850,205),{"利用可","両方停止","運転がそろわない","判定不能"},0),"○","停","×","－"),"")</f>
        <v>○</v>
      </c>
      <c r="BN12" s="35" t="str">
        <f aca="false">IFERROR(CHOOSE(MATCH(INDEX(時間ごとの判定!$AN$3:$AN$1850,206),{"利用可","両方停止","運転がそろわない","判定不能"},0),"○","停","×","－"),"")</f>
        <v>○</v>
      </c>
      <c r="BO12" s="35" t="str">
        <f aca="false">IFERROR(CHOOSE(MATCH(INDEX(時間ごとの判定!$AN$3:$AN$1850,207),{"利用可","両方停止","運転がそろわない","判定不能"},0),"○","停","×","－"),"")</f>
        <v>○</v>
      </c>
      <c r="BP12" s="35" t="str">
        <f aca="false">IFERROR(CHOOSE(MATCH(INDEX(時間ごとの判定!$AN$3:$AN$1850,208),{"利用可","両方停止","運転がそろわない","判定不能"},0),"○","停","×","－"),"")</f>
        <v>○</v>
      </c>
      <c r="BQ12" s="35" t="str">
        <f aca="false">IFERROR(CHOOSE(MATCH(INDEX(時間ごとの判定!$AN$3:$AN$1850,209),{"利用可","両方停止","運転がそろわない","判定不能"},0),"○","停","×","－"),"")</f>
        <v>○</v>
      </c>
      <c r="BR12" s="35" t="str">
        <f aca="false">IFERROR(CHOOSE(MATCH(INDEX(時間ごとの判定!$AN$3:$AN$1850,210),{"利用可","両方停止","運転がそろわない","判定不能"},0),"○","停","×","－"),"")</f>
        <v>○</v>
      </c>
      <c r="BS12" s="35" t="str">
        <f aca="false">IFERROR(CHOOSE(MATCH(INDEX(時間ごとの判定!$AN$3:$AN$1850,211),{"利用可","両方停止","運転がそろわない","判定不能"},0),"○","停","×","－"),"")</f>
        <v>×</v>
      </c>
      <c r="BT12" s="35" t="str">
        <f aca="false">IFERROR(CHOOSE(MATCH(INDEX(時間ごとの判定!$AN$3:$AN$1850,212),{"利用可","両方停止","運転がそろわない","判定不能"},0),"○","停","×","－"),"")</f>
        <v>○</v>
      </c>
      <c r="BU12" s="35" t="str">
        <f aca="false">IFERROR(CHOOSE(MATCH(INDEX(時間ごとの判定!$AN$3:$AN$1850,213),{"利用可","両方停止","運転がそろわない","判定不能"},0),"○","停","×","－"),"")</f>
        <v>×</v>
      </c>
      <c r="BV12" s="35" t="str">
        <f aca="false">IFERROR(CHOOSE(MATCH(INDEX(時間ごとの判定!$AN$3:$AN$1850,214),{"利用可","両方停止","運転がそろわない","判定不能"},0),"○","停","×","－"),"")</f>
        <v>×</v>
      </c>
      <c r="BW12" s="35" t="str">
        <f aca="false">IFERROR(CHOOSE(MATCH(INDEX(時間ごとの判定!$AN$3:$AN$1850,215),{"利用可","両方停止","運転がそろわない","判定不能"},0),"○","停","×","－"),"")</f>
        <v>×</v>
      </c>
      <c r="BX12" s="35" t="str">
        <f aca="false">IFERROR(CHOOSE(MATCH(INDEX(時間ごとの判定!$AN$3:$AN$1850,216),{"利用可","両方停止","運転がそろわない","判定不能"},0),"○","停","×","－"),"")</f>
        <v>×</v>
      </c>
    </row>
    <row r="13" customFormat="false" ht="15" hidden="false" customHeight="false" outlineLevel="0" collapsed="false">
      <c r="A13" s="33" t="n">
        <v>46241</v>
      </c>
      <c r="B13" s="34" t="s">
        <v>62</v>
      </c>
      <c r="C13" s="35" t="str">
        <f aca="false">IFERROR(CHOOSE(MATCH(INDEX(時間ごとの判定!$AH$3:$AH$1850,217),{"利用可","両方停止","運転がそろわない","判定不能"},0),"○","停","×","－"),"")</f>
        <v>停</v>
      </c>
      <c r="D13" s="35" t="str">
        <f aca="false">IFERROR(CHOOSE(MATCH(INDEX(時間ごとの判定!$AH$3:$AH$1850,218),{"利用可","両方停止","運転がそろわない","判定不能"},0),"○","停","×","－"),"")</f>
        <v>停</v>
      </c>
      <c r="E13" s="35" t="str">
        <f aca="false">IFERROR(CHOOSE(MATCH(INDEX(時間ごとの判定!$AH$3:$AH$1850,219),{"利用可","両方停止","運転がそろわない","判定不能"},0),"○","停","×","－"),"")</f>
        <v>停</v>
      </c>
      <c r="F13" s="35" t="str">
        <f aca="false">IFERROR(CHOOSE(MATCH(INDEX(時間ごとの判定!$AH$3:$AH$1850,220),{"利用可","両方停止","運転がそろわない","判定不能"},0),"○","停","×","－"),"")</f>
        <v>停</v>
      </c>
      <c r="G13" s="35" t="str">
        <f aca="false">IFERROR(CHOOSE(MATCH(INDEX(時間ごとの判定!$AH$3:$AH$1850,221),{"利用可","両方停止","運転がそろわない","判定不能"},0),"○","停","×","－"),"")</f>
        <v>停</v>
      </c>
      <c r="H13" s="35" t="str">
        <f aca="false">IFERROR(CHOOSE(MATCH(INDEX(時間ごとの判定!$AH$3:$AH$1850,222),{"利用可","両方停止","運転がそろわない","判定不能"},0),"○","停","×","－"),"")</f>
        <v>停</v>
      </c>
      <c r="I13" s="35" t="str">
        <f aca="false">IFERROR(CHOOSE(MATCH(INDEX(時間ごとの判定!$AH$3:$AH$1850,223),{"利用可","両方停止","運転がそろわない","判定不能"},0),"○","停","×","－"),"")</f>
        <v>停</v>
      </c>
      <c r="J13" s="35" t="str">
        <f aca="false">IFERROR(CHOOSE(MATCH(INDEX(時間ごとの判定!$AH$3:$AH$1850,224),{"利用可","両方停止","運転がそろわない","判定不能"},0),"○","停","×","－"),"")</f>
        <v>×</v>
      </c>
      <c r="K13" s="35" t="str">
        <f aca="false">IFERROR(CHOOSE(MATCH(INDEX(時間ごとの判定!$AH$3:$AH$1850,225),{"利用可","両方停止","運転がそろわない","判定不能"},0),"○","停","×","－"),"")</f>
        <v>○</v>
      </c>
      <c r="L13" s="35" t="str">
        <f aca="false">IFERROR(CHOOSE(MATCH(INDEX(時間ごとの判定!$AH$3:$AH$1850,226),{"利用可","両方停止","運転がそろわない","判定不能"},0),"○","停","×","－"),"")</f>
        <v>○</v>
      </c>
      <c r="M13" s="35" t="str">
        <f aca="false">IFERROR(CHOOSE(MATCH(INDEX(時間ごとの判定!$AH$3:$AH$1850,227),{"利用可","両方停止","運転がそろわない","判定不能"},0),"○","停","×","－"),"")</f>
        <v>○</v>
      </c>
      <c r="N13" s="35" t="str">
        <f aca="false">IFERROR(CHOOSE(MATCH(INDEX(時間ごとの判定!$AH$3:$AH$1850,228),{"利用可","両方停止","運転がそろわない","判定不能"},0),"○","停","×","－"),"")</f>
        <v>○</v>
      </c>
      <c r="O13" s="35" t="str">
        <f aca="false">IFERROR(CHOOSE(MATCH(INDEX(時間ごとの判定!$AH$3:$AH$1850,229),{"利用可","両方停止","運転がそろわない","判定不能"},0),"○","停","×","－"),"")</f>
        <v>○</v>
      </c>
      <c r="P13" s="35" t="str">
        <f aca="false">IFERROR(CHOOSE(MATCH(INDEX(時間ごとの判定!$AH$3:$AH$1850,230),{"利用可","両方停止","運転がそろわない","判定不能"},0),"○","停","×","－"),"")</f>
        <v>○</v>
      </c>
      <c r="Q13" s="35" t="str">
        <f aca="false">IFERROR(CHOOSE(MATCH(INDEX(時間ごとの判定!$AH$3:$AH$1850,231),{"利用可","両方停止","運転がそろわない","判定不能"},0),"○","停","×","－"),"")</f>
        <v>○</v>
      </c>
      <c r="R13" s="35" t="str">
        <f aca="false">IFERROR(CHOOSE(MATCH(INDEX(時間ごとの判定!$AH$3:$AH$1850,232),{"利用可","両方停止","運転がそろわない","判定不能"},0),"○","停","×","－"),"")</f>
        <v>○</v>
      </c>
      <c r="S13" s="35" t="str">
        <f aca="false">IFERROR(CHOOSE(MATCH(INDEX(時間ごとの判定!$AH$3:$AH$1850,233),{"利用可","両方停止","運転がそろわない","判定不能"},0),"○","停","×","－"),"")</f>
        <v>○</v>
      </c>
      <c r="T13" s="35" t="str">
        <f aca="false">IFERROR(CHOOSE(MATCH(INDEX(時間ごとの判定!$AH$3:$AH$1850,234),{"利用可","両方停止","運転がそろわない","判定不能"},0),"○","停","×","－"),"")</f>
        <v>○</v>
      </c>
      <c r="U13" s="35" t="str">
        <f aca="false">IFERROR(CHOOSE(MATCH(INDEX(時間ごとの判定!$AH$3:$AH$1850,235),{"利用可","両方停止","運転がそろわない","判定不能"},0),"○","停","×","－"),"")</f>
        <v>×</v>
      </c>
      <c r="V13" s="35" t="str">
        <f aca="false">IFERROR(CHOOSE(MATCH(INDEX(時間ごとの判定!$AH$3:$AH$1850,236),{"利用可","両方停止","運転がそろわない","判定不能"},0),"○","停","×","－"),"")</f>
        <v>×</v>
      </c>
      <c r="W13" s="35" t="str">
        <f aca="false">IFERROR(CHOOSE(MATCH(INDEX(時間ごとの判定!$AH$3:$AH$1850,237),{"利用可","両方停止","運転がそろわない","判定不能"},0),"○","停","×","－"),"")</f>
        <v>×</v>
      </c>
      <c r="X13" s="35" t="str">
        <f aca="false">IFERROR(CHOOSE(MATCH(INDEX(時間ごとの判定!$AH$3:$AH$1850,238),{"利用可","両方停止","運転がそろわない","判定不能"},0),"○","停","×","－"),"")</f>
        <v>停</v>
      </c>
      <c r="Y13" s="35" t="str">
        <f aca="false">IFERROR(CHOOSE(MATCH(INDEX(時間ごとの判定!$AH$3:$AH$1850,239),{"利用可","両方停止","運転がそろわない","判定不能"},0),"○","停","×","－"),"")</f>
        <v>停</v>
      </c>
      <c r="Z13" s="35" t="str">
        <f aca="false">IFERROR(CHOOSE(MATCH(INDEX(時間ごとの判定!$AH$3:$AH$1850,240),{"利用可","両方停止","運転がそろわない","判定不能"},0),"○","停","×","－"),"")</f>
        <v>停</v>
      </c>
      <c r="AA13" s="35"/>
      <c r="AB13" s="35" t="str">
        <f aca="false">IFERROR(CHOOSE(MATCH(INDEX(時間ごとの判定!$AK$3:$AK$1850,217),{"利用可","両方停止","運転がそろわない","判定不能"},0),"○","停","×","－"),"")</f>
        <v>停</v>
      </c>
      <c r="AC13" s="35" t="str">
        <f aca="false">IFERROR(CHOOSE(MATCH(INDEX(時間ごとの判定!$AK$3:$AK$1850,218),{"利用可","両方停止","運転がそろわない","判定不能"},0),"○","停","×","－"),"")</f>
        <v>停</v>
      </c>
      <c r="AD13" s="35" t="str">
        <f aca="false">IFERROR(CHOOSE(MATCH(INDEX(時間ごとの判定!$AK$3:$AK$1850,219),{"利用可","両方停止","運転がそろわない","判定不能"},0),"○","停","×","－"),"")</f>
        <v>停</v>
      </c>
      <c r="AE13" s="35" t="str">
        <f aca="false">IFERROR(CHOOSE(MATCH(INDEX(時間ごとの判定!$AK$3:$AK$1850,220),{"利用可","両方停止","運転がそろわない","判定不能"},0),"○","停","×","－"),"")</f>
        <v>停</v>
      </c>
      <c r="AF13" s="35" t="str">
        <f aca="false">IFERROR(CHOOSE(MATCH(INDEX(時間ごとの判定!$AK$3:$AK$1850,221),{"利用可","両方停止","運転がそろわない","判定不能"},0),"○","停","×","－"),"")</f>
        <v>停</v>
      </c>
      <c r="AG13" s="35" t="str">
        <f aca="false">IFERROR(CHOOSE(MATCH(INDEX(時間ごとの判定!$AK$3:$AK$1850,222),{"利用可","両方停止","運転がそろわない","判定不能"},0),"○","停","×","－"),"")</f>
        <v>停</v>
      </c>
      <c r="AH13" s="35" t="str">
        <f aca="false">IFERROR(CHOOSE(MATCH(INDEX(時間ごとの判定!$AK$3:$AK$1850,223),{"利用可","両方停止","運転がそろわない","判定不能"},0),"○","停","×","－"),"")</f>
        <v>停</v>
      </c>
      <c r="AI13" s="35" t="str">
        <f aca="false">IFERROR(CHOOSE(MATCH(INDEX(時間ごとの判定!$AK$3:$AK$1850,224),{"利用可","両方停止","運転がそろわない","判定不能"},0),"○","停","×","－"),"")</f>
        <v>×</v>
      </c>
      <c r="AJ13" s="35" t="str">
        <f aca="false">IFERROR(CHOOSE(MATCH(INDEX(時間ごとの判定!$AK$3:$AK$1850,225),{"利用可","両方停止","運転がそろわない","判定不能"},0),"○","停","×","－"),"")</f>
        <v>○</v>
      </c>
      <c r="AK13" s="35" t="str">
        <f aca="false">IFERROR(CHOOSE(MATCH(INDEX(時間ごとの判定!$AK$3:$AK$1850,226),{"利用可","両方停止","運転がそろわない","判定不能"},0),"○","停","×","－"),"")</f>
        <v>○</v>
      </c>
      <c r="AL13" s="35" t="str">
        <f aca="false">IFERROR(CHOOSE(MATCH(INDEX(時間ごとの判定!$AK$3:$AK$1850,227),{"利用可","両方停止","運転がそろわない","判定不能"},0),"○","停","×","－"),"")</f>
        <v>○</v>
      </c>
      <c r="AM13" s="35" t="str">
        <f aca="false">IFERROR(CHOOSE(MATCH(INDEX(時間ごとの判定!$AK$3:$AK$1850,228),{"利用可","両方停止","運転がそろわない","判定不能"},0),"○","停","×","－"),"")</f>
        <v>○</v>
      </c>
      <c r="AN13" s="35" t="str">
        <f aca="false">IFERROR(CHOOSE(MATCH(INDEX(時間ごとの判定!$AK$3:$AK$1850,229),{"利用可","両方停止","運転がそろわない","判定不能"},0),"○","停","×","－"),"")</f>
        <v>○</v>
      </c>
      <c r="AO13" s="35" t="str">
        <f aca="false">IFERROR(CHOOSE(MATCH(INDEX(時間ごとの判定!$AK$3:$AK$1850,230),{"利用可","両方停止","運転がそろわない","判定不能"},0),"○","停","×","－"),"")</f>
        <v>○</v>
      </c>
      <c r="AP13" s="35" t="str">
        <f aca="false">IFERROR(CHOOSE(MATCH(INDEX(時間ごとの判定!$AK$3:$AK$1850,231),{"利用可","両方停止","運転がそろわない","判定不能"},0),"○","停","×","－"),"")</f>
        <v>○</v>
      </c>
      <c r="AQ13" s="35" t="str">
        <f aca="false">IFERROR(CHOOSE(MATCH(INDEX(時間ごとの判定!$AK$3:$AK$1850,232),{"利用可","両方停止","運転がそろわない","判定不能"},0),"○","停","×","－"),"")</f>
        <v>○</v>
      </c>
      <c r="AR13" s="35" t="str">
        <f aca="false">IFERROR(CHOOSE(MATCH(INDEX(時間ごとの判定!$AK$3:$AK$1850,233),{"利用可","両方停止","運転がそろわない","判定不能"},0),"○","停","×","－"),"")</f>
        <v>○</v>
      </c>
      <c r="AS13" s="35" t="str">
        <f aca="false">IFERROR(CHOOSE(MATCH(INDEX(時間ごとの判定!$AK$3:$AK$1850,234),{"利用可","両方停止","運転がそろわない","判定不能"},0),"○","停","×","－"),"")</f>
        <v>○</v>
      </c>
      <c r="AT13" s="35" t="str">
        <f aca="false">IFERROR(CHOOSE(MATCH(INDEX(時間ごとの判定!$AK$3:$AK$1850,235),{"利用可","両方停止","運転がそろわない","判定不能"},0),"○","停","×","－"),"")</f>
        <v>×</v>
      </c>
      <c r="AU13" s="35" t="str">
        <f aca="false">IFERROR(CHOOSE(MATCH(INDEX(時間ごとの判定!$AK$3:$AK$1850,236),{"利用可","両方停止","運転がそろわない","判定不能"},0),"○","停","×","－"),"")</f>
        <v>×</v>
      </c>
      <c r="AV13" s="35" t="str">
        <f aca="false">IFERROR(CHOOSE(MATCH(INDEX(時間ごとの判定!$AK$3:$AK$1850,237),{"利用可","両方停止","運転がそろわない","判定不能"},0),"○","停","×","－"),"")</f>
        <v>○</v>
      </c>
      <c r="AW13" s="35" t="str">
        <f aca="false">IFERROR(CHOOSE(MATCH(INDEX(時間ごとの判定!$AK$3:$AK$1850,238),{"利用可","両方停止","運転がそろわない","判定不能"},0),"○","停","×","－"),"")</f>
        <v>停</v>
      </c>
      <c r="AX13" s="35" t="str">
        <f aca="false">IFERROR(CHOOSE(MATCH(INDEX(時間ごとの判定!$AK$3:$AK$1850,239),{"利用可","両方停止","運転がそろわない","判定不能"},0),"○","停","×","－"),"")</f>
        <v>停</v>
      </c>
      <c r="AY13" s="35" t="str">
        <f aca="false">IFERROR(CHOOSE(MATCH(INDEX(時間ごとの判定!$AK$3:$AK$1850,240),{"利用可","両方停止","運転がそろわない","判定不能"},0),"○","停","×","－"),"")</f>
        <v>停</v>
      </c>
      <c r="AZ13" s="35"/>
      <c r="BA13" s="35" t="str">
        <f aca="false">IFERROR(CHOOSE(MATCH(INDEX(時間ごとの判定!$AN$3:$AN$1850,217),{"利用可","両方停止","運転がそろわない","判定不能"},0),"○","停","×","－"),"")</f>
        <v>×</v>
      </c>
      <c r="BB13" s="35" t="str">
        <f aca="false">IFERROR(CHOOSE(MATCH(INDEX(時間ごとの判定!$AN$3:$AN$1850,218),{"利用可","両方停止","運転がそろわない","判定不能"},0),"○","停","×","－"),"")</f>
        <v>×</v>
      </c>
      <c r="BC13" s="35" t="str">
        <f aca="false">IFERROR(CHOOSE(MATCH(INDEX(時間ごとの判定!$AN$3:$AN$1850,219),{"利用可","両方停止","運転がそろわない","判定不能"},0),"○","停","×","－"),"")</f>
        <v>×</v>
      </c>
      <c r="BD13" s="35" t="str">
        <f aca="false">IFERROR(CHOOSE(MATCH(INDEX(時間ごとの判定!$AN$3:$AN$1850,220),{"利用可","両方停止","運転がそろわない","判定不能"},0),"○","停","×","－"),"")</f>
        <v>×</v>
      </c>
      <c r="BE13" s="35" t="str">
        <f aca="false">IFERROR(CHOOSE(MATCH(INDEX(時間ごとの判定!$AN$3:$AN$1850,221),{"利用可","両方停止","運転がそろわない","判定不能"},0),"○","停","×","－"),"")</f>
        <v>×</v>
      </c>
      <c r="BF13" s="35" t="str">
        <f aca="false">IFERROR(CHOOSE(MATCH(INDEX(時間ごとの判定!$AN$3:$AN$1850,222),{"利用可","両方停止","運転がそろわない","判定不能"},0),"○","停","×","－"),"")</f>
        <v>×</v>
      </c>
      <c r="BG13" s="35" t="str">
        <f aca="false">IFERROR(CHOOSE(MATCH(INDEX(時間ごとの判定!$AN$3:$AN$1850,223),{"利用可","両方停止","運転がそろわない","判定不能"},0),"○","停","×","－"),"")</f>
        <v>×</v>
      </c>
      <c r="BH13" s="35" t="str">
        <f aca="false">IFERROR(CHOOSE(MATCH(INDEX(時間ごとの判定!$AN$3:$AN$1850,224),{"利用可","両方停止","運転がそろわない","判定不能"},0),"○","停","×","－"),"")</f>
        <v>○</v>
      </c>
      <c r="BI13" s="35" t="str">
        <f aca="false">IFERROR(CHOOSE(MATCH(INDEX(時間ごとの判定!$AN$3:$AN$1850,225),{"利用可","両方停止","運転がそろわない","判定不能"},0),"○","停","×","－"),"")</f>
        <v>○</v>
      </c>
      <c r="BJ13" s="35" t="str">
        <f aca="false">IFERROR(CHOOSE(MATCH(INDEX(時間ごとの判定!$AN$3:$AN$1850,226),{"利用可","両方停止","運転がそろわない","判定不能"},0),"○","停","×","－"),"")</f>
        <v>○</v>
      </c>
      <c r="BK13" s="35" t="str">
        <f aca="false">IFERROR(CHOOSE(MATCH(INDEX(時間ごとの判定!$AN$3:$AN$1850,227),{"利用可","両方停止","運転がそろわない","判定不能"},0),"○","停","×","－"),"")</f>
        <v>○</v>
      </c>
      <c r="BL13" s="35" t="str">
        <f aca="false">IFERROR(CHOOSE(MATCH(INDEX(時間ごとの判定!$AN$3:$AN$1850,228),{"利用可","両方停止","運転がそろわない","判定不能"},0),"○","停","×","－"),"")</f>
        <v>○</v>
      </c>
      <c r="BM13" s="35" t="str">
        <f aca="false">IFERROR(CHOOSE(MATCH(INDEX(時間ごとの判定!$AN$3:$AN$1850,229),{"利用可","両方停止","運転がそろわない","判定不能"},0),"○","停","×","－"),"")</f>
        <v>○</v>
      </c>
      <c r="BN13" s="35" t="str">
        <f aca="false">IFERROR(CHOOSE(MATCH(INDEX(時間ごとの判定!$AN$3:$AN$1850,230),{"利用可","両方停止","運転がそろわない","判定不能"},0),"○","停","×","－"),"")</f>
        <v>○</v>
      </c>
      <c r="BO13" s="35" t="str">
        <f aca="false">IFERROR(CHOOSE(MATCH(INDEX(時間ごとの判定!$AN$3:$AN$1850,231),{"利用可","両方停止","運転がそろわない","判定不能"},0),"○","停","×","－"),"")</f>
        <v>○</v>
      </c>
      <c r="BP13" s="35" t="str">
        <f aca="false">IFERROR(CHOOSE(MATCH(INDEX(時間ごとの判定!$AN$3:$AN$1850,232),{"利用可","両方停止","運転がそろわない","判定不能"},0),"○","停","×","－"),"")</f>
        <v>○</v>
      </c>
      <c r="BQ13" s="35" t="str">
        <f aca="false">IFERROR(CHOOSE(MATCH(INDEX(時間ごとの判定!$AN$3:$AN$1850,233),{"利用可","両方停止","運転がそろわない","判定不能"},0),"○","停","×","－"),"")</f>
        <v>○</v>
      </c>
      <c r="BR13" s="35" t="str">
        <f aca="false">IFERROR(CHOOSE(MATCH(INDEX(時間ごとの判定!$AN$3:$AN$1850,234),{"利用可","両方停止","運転がそろわない","判定不能"},0),"○","停","×","－"),"")</f>
        <v>○</v>
      </c>
      <c r="BS13" s="35" t="str">
        <f aca="false">IFERROR(CHOOSE(MATCH(INDEX(時間ごとの判定!$AN$3:$AN$1850,235),{"利用可","両方停止","運転がそろわない","判定不能"},0),"○","停","×","－"),"")</f>
        <v>×</v>
      </c>
      <c r="BT13" s="35" t="str">
        <f aca="false">IFERROR(CHOOSE(MATCH(INDEX(時間ごとの判定!$AN$3:$AN$1850,236),{"利用可","両方停止","運転がそろわない","判定不能"},0),"○","停","×","－"),"")</f>
        <v>×</v>
      </c>
      <c r="BU13" s="35" t="str">
        <f aca="false">IFERROR(CHOOSE(MATCH(INDEX(時間ごとの判定!$AN$3:$AN$1850,237),{"利用可","両方停止","運転がそろわない","判定不能"},0),"○","停","×","－"),"")</f>
        <v>○</v>
      </c>
      <c r="BV13" s="35" t="str">
        <f aca="false">IFERROR(CHOOSE(MATCH(INDEX(時間ごとの判定!$AN$3:$AN$1850,238),{"利用可","両方停止","運転がそろわない","判定不能"},0),"○","停","×","－"),"")</f>
        <v>○</v>
      </c>
      <c r="BW13" s="35" t="str">
        <f aca="false">IFERROR(CHOOSE(MATCH(INDEX(時間ごとの判定!$AN$3:$AN$1850,239),{"利用可","両方停止","運転がそろわない","判定不能"},0),"○","停","×","－"),"")</f>
        <v>○</v>
      </c>
      <c r="BX13" s="35" t="str">
        <f aca="false">IFERROR(CHOOSE(MATCH(INDEX(時間ごとの判定!$AN$3:$AN$1850,240),{"利用可","両方停止","運転がそろわない","判定不能"},0),"○","停","×","－"),"")</f>
        <v>×</v>
      </c>
    </row>
    <row r="14" customFormat="false" ht="15" hidden="false" customHeight="false" outlineLevel="0" collapsed="false">
      <c r="A14" s="33" t="n">
        <v>46242</v>
      </c>
      <c r="B14" s="36" t="s">
        <v>63</v>
      </c>
      <c r="C14" s="35" t="str">
        <f aca="false">IFERROR(CHOOSE(MATCH(INDEX(時間ごとの判定!$AH$3:$AH$1850,241),{"利用可","両方停止","運転がそろわない","判定不能"},0),"○","停","×","－"),"")</f>
        <v>停</v>
      </c>
      <c r="D14" s="35" t="str">
        <f aca="false">IFERROR(CHOOSE(MATCH(INDEX(時間ごとの判定!$AH$3:$AH$1850,242),{"利用可","両方停止","運転がそろわない","判定不能"},0),"○","停","×","－"),"")</f>
        <v>停</v>
      </c>
      <c r="E14" s="35" t="str">
        <f aca="false">IFERROR(CHOOSE(MATCH(INDEX(時間ごとの判定!$AH$3:$AH$1850,243),{"利用可","両方停止","運転がそろわない","判定不能"},0),"○","停","×","－"),"")</f>
        <v>停</v>
      </c>
      <c r="F14" s="35" t="str">
        <f aca="false">IFERROR(CHOOSE(MATCH(INDEX(時間ごとの判定!$AH$3:$AH$1850,244),{"利用可","両方停止","運転がそろわない","判定不能"},0),"○","停","×","－"),"")</f>
        <v>停</v>
      </c>
      <c r="G14" s="35" t="str">
        <f aca="false">IFERROR(CHOOSE(MATCH(INDEX(時間ごとの判定!$AH$3:$AH$1850,245),{"利用可","両方停止","運転がそろわない","判定不能"},0),"○","停","×","－"),"")</f>
        <v>停</v>
      </c>
      <c r="H14" s="35" t="str">
        <f aca="false">IFERROR(CHOOSE(MATCH(INDEX(時間ごとの判定!$AH$3:$AH$1850,246),{"利用可","両方停止","運転がそろわない","判定不能"},0),"○","停","×","－"),"")</f>
        <v>停</v>
      </c>
      <c r="I14" s="35" t="str">
        <f aca="false">IFERROR(CHOOSE(MATCH(INDEX(時間ごとの判定!$AH$3:$AH$1850,247),{"利用可","両方停止","運転がそろわない","判定不能"},0),"○","停","×","－"),"")</f>
        <v>停</v>
      </c>
      <c r="J14" s="35" t="str">
        <f aca="false">IFERROR(CHOOSE(MATCH(INDEX(時間ごとの判定!$AH$3:$AH$1850,248),{"利用可","両方停止","運転がそろわない","判定不能"},0),"○","停","×","－"),"")</f>
        <v>×</v>
      </c>
      <c r="K14" s="35" t="str">
        <f aca="false">IFERROR(CHOOSE(MATCH(INDEX(時間ごとの判定!$AH$3:$AH$1850,249),{"利用可","両方停止","運転がそろわない","判定不能"},0),"○","停","×","－"),"")</f>
        <v>○</v>
      </c>
      <c r="L14" s="35" t="str">
        <f aca="false">IFERROR(CHOOSE(MATCH(INDEX(時間ごとの判定!$AH$3:$AH$1850,250),{"利用可","両方停止","運転がそろわない","判定不能"},0),"○","停","×","－"),"")</f>
        <v>○</v>
      </c>
      <c r="M14" s="35" t="str">
        <f aca="false">IFERROR(CHOOSE(MATCH(INDEX(時間ごとの判定!$AH$3:$AH$1850,251),{"利用可","両方停止","運転がそろわない","判定不能"},0),"○","停","×","－"),"")</f>
        <v>○</v>
      </c>
      <c r="N14" s="35" t="str">
        <f aca="false">IFERROR(CHOOSE(MATCH(INDEX(時間ごとの判定!$AH$3:$AH$1850,252),{"利用可","両方停止","運転がそろわない","判定不能"},0),"○","停","×","－"),"")</f>
        <v>○</v>
      </c>
      <c r="O14" s="35" t="str">
        <f aca="false">IFERROR(CHOOSE(MATCH(INDEX(時間ごとの判定!$AH$3:$AH$1850,253),{"利用可","両方停止","運転がそろわない","判定不能"},0),"○","停","×","－"),"")</f>
        <v>○</v>
      </c>
      <c r="P14" s="35" t="str">
        <f aca="false">IFERROR(CHOOSE(MATCH(INDEX(時間ごとの判定!$AH$3:$AH$1850,254),{"利用可","両方停止","運転がそろわない","判定不能"},0),"○","停","×","－"),"")</f>
        <v>○</v>
      </c>
      <c r="Q14" s="35" t="str">
        <f aca="false">IFERROR(CHOOSE(MATCH(INDEX(時間ごとの判定!$AH$3:$AH$1850,255),{"利用可","両方停止","運転がそろわない","判定不能"},0),"○","停","×","－"),"")</f>
        <v>○</v>
      </c>
      <c r="R14" s="35" t="str">
        <f aca="false">IFERROR(CHOOSE(MATCH(INDEX(時間ごとの判定!$AH$3:$AH$1850,256),{"利用可","両方停止","運転がそろわない","判定不能"},0),"○","停","×","－"),"")</f>
        <v>○</v>
      </c>
      <c r="S14" s="35" t="str">
        <f aca="false">IFERROR(CHOOSE(MATCH(INDEX(時間ごとの判定!$AH$3:$AH$1850,257),{"利用可","両方停止","運転がそろわない","判定不能"},0),"○","停","×","－"),"")</f>
        <v>○</v>
      </c>
      <c r="T14" s="35" t="str">
        <f aca="false">IFERROR(CHOOSE(MATCH(INDEX(時間ごとの判定!$AH$3:$AH$1850,258),{"利用可","両方停止","運転がそろわない","判定不能"},0),"○","停","×","－"),"")</f>
        <v>○</v>
      </c>
      <c r="U14" s="35" t="str">
        <f aca="false">IFERROR(CHOOSE(MATCH(INDEX(時間ごとの判定!$AH$3:$AH$1850,259),{"利用可","両方停止","運転がそろわない","判定不能"},0),"○","停","×","－"),"")</f>
        <v>×</v>
      </c>
      <c r="V14" s="35" t="str">
        <f aca="false">IFERROR(CHOOSE(MATCH(INDEX(時間ごとの判定!$AH$3:$AH$1850,260),{"利用可","両方停止","運転がそろわない","判定不能"},0),"○","停","×","－"),"")</f>
        <v>×</v>
      </c>
      <c r="W14" s="35" t="str">
        <f aca="false">IFERROR(CHOOSE(MATCH(INDEX(時間ごとの判定!$AH$3:$AH$1850,261),{"利用可","両方停止","運転がそろわない","判定不能"},0),"○","停","×","－"),"")</f>
        <v>×</v>
      </c>
      <c r="X14" s="35" t="str">
        <f aca="false">IFERROR(CHOOSE(MATCH(INDEX(時間ごとの判定!$AH$3:$AH$1850,262),{"利用可","両方停止","運転がそろわない","判定不能"},0),"○","停","×","－"),"")</f>
        <v>停</v>
      </c>
      <c r="Y14" s="35" t="str">
        <f aca="false">IFERROR(CHOOSE(MATCH(INDEX(時間ごとの判定!$AH$3:$AH$1850,263),{"利用可","両方停止","運転がそろわない","判定不能"},0),"○","停","×","－"),"")</f>
        <v>停</v>
      </c>
      <c r="Z14" s="35" t="str">
        <f aca="false">IFERROR(CHOOSE(MATCH(INDEX(時間ごとの判定!$AH$3:$AH$1850,264),{"利用可","両方停止","運転がそろわない","判定不能"},0),"○","停","×","－"),"")</f>
        <v>停</v>
      </c>
      <c r="AA14" s="35"/>
      <c r="AB14" s="35" t="str">
        <f aca="false">IFERROR(CHOOSE(MATCH(INDEX(時間ごとの判定!$AK$3:$AK$1850,241),{"利用可","両方停止","運転がそろわない","判定不能"},0),"○","停","×","－"),"")</f>
        <v>停</v>
      </c>
      <c r="AC14" s="35" t="str">
        <f aca="false">IFERROR(CHOOSE(MATCH(INDEX(時間ごとの判定!$AK$3:$AK$1850,242),{"利用可","両方停止","運転がそろわない","判定不能"},0),"○","停","×","－"),"")</f>
        <v>停</v>
      </c>
      <c r="AD14" s="35" t="str">
        <f aca="false">IFERROR(CHOOSE(MATCH(INDEX(時間ごとの判定!$AK$3:$AK$1850,243),{"利用可","両方停止","運転がそろわない","判定不能"},0),"○","停","×","－"),"")</f>
        <v>停</v>
      </c>
      <c r="AE14" s="35" t="str">
        <f aca="false">IFERROR(CHOOSE(MATCH(INDEX(時間ごとの判定!$AK$3:$AK$1850,244),{"利用可","両方停止","運転がそろわない","判定不能"},0),"○","停","×","－"),"")</f>
        <v>停</v>
      </c>
      <c r="AF14" s="35" t="str">
        <f aca="false">IFERROR(CHOOSE(MATCH(INDEX(時間ごとの判定!$AK$3:$AK$1850,245),{"利用可","両方停止","運転がそろわない","判定不能"},0),"○","停","×","－"),"")</f>
        <v>停</v>
      </c>
      <c r="AG14" s="35" t="str">
        <f aca="false">IFERROR(CHOOSE(MATCH(INDEX(時間ごとの判定!$AK$3:$AK$1850,246),{"利用可","両方停止","運転がそろわない","判定不能"},0),"○","停","×","－"),"")</f>
        <v>停</v>
      </c>
      <c r="AH14" s="35" t="str">
        <f aca="false">IFERROR(CHOOSE(MATCH(INDEX(時間ごとの判定!$AK$3:$AK$1850,247),{"利用可","両方停止","運転がそろわない","判定不能"},0),"○","停","×","－"),"")</f>
        <v>停</v>
      </c>
      <c r="AI14" s="35" t="str">
        <f aca="false">IFERROR(CHOOSE(MATCH(INDEX(時間ごとの判定!$AK$3:$AK$1850,248),{"利用可","両方停止","運転がそろわない","判定不能"},0),"○","停","×","－"),"")</f>
        <v>停</v>
      </c>
      <c r="AJ14" s="35" t="str">
        <f aca="false">IFERROR(CHOOSE(MATCH(INDEX(時間ごとの判定!$AK$3:$AK$1850,249),{"利用可","両方停止","運転がそろわない","判定不能"},0),"○","停","×","－"),"")</f>
        <v>×</v>
      </c>
      <c r="AK14" s="35" t="str">
        <f aca="false">IFERROR(CHOOSE(MATCH(INDEX(時間ごとの判定!$AK$3:$AK$1850,250),{"利用可","両方停止","運転がそろわない","判定不能"},0),"○","停","×","－"),"")</f>
        <v>×</v>
      </c>
      <c r="AL14" s="35" t="str">
        <f aca="false">IFERROR(CHOOSE(MATCH(INDEX(時間ごとの判定!$AK$3:$AK$1850,251),{"利用可","両方停止","運転がそろわない","判定不能"},0),"○","停","×","－"),"")</f>
        <v>×</v>
      </c>
      <c r="AM14" s="35" t="str">
        <f aca="false">IFERROR(CHOOSE(MATCH(INDEX(時間ごとの判定!$AK$3:$AK$1850,252),{"利用可","両方停止","運転がそろわない","判定不能"},0),"○","停","×","－"),"")</f>
        <v>×</v>
      </c>
      <c r="AN14" s="35" t="str">
        <f aca="false">IFERROR(CHOOSE(MATCH(INDEX(時間ごとの判定!$AK$3:$AK$1850,253),{"利用可","両方停止","運転がそろわない","判定不能"},0),"○","停","×","－"),"")</f>
        <v>×</v>
      </c>
      <c r="AO14" s="35" t="str">
        <f aca="false">IFERROR(CHOOSE(MATCH(INDEX(時間ごとの判定!$AK$3:$AK$1850,254),{"利用可","両方停止","運転がそろわない","判定不能"},0),"○","停","×","－"),"")</f>
        <v>×</v>
      </c>
      <c r="AP14" s="35" t="str">
        <f aca="false">IFERROR(CHOOSE(MATCH(INDEX(時間ごとの判定!$AK$3:$AK$1850,255),{"利用可","両方停止","運転がそろわない","判定不能"},0),"○","停","×","－"),"")</f>
        <v>×</v>
      </c>
      <c r="AQ14" s="35" t="str">
        <f aca="false">IFERROR(CHOOSE(MATCH(INDEX(時間ごとの判定!$AK$3:$AK$1850,256),{"利用可","両方停止","運転がそろわない","判定不能"},0),"○","停","×","－"),"")</f>
        <v>×</v>
      </c>
      <c r="AR14" s="35" t="str">
        <f aca="false">IFERROR(CHOOSE(MATCH(INDEX(時間ごとの判定!$AK$3:$AK$1850,257),{"利用可","両方停止","運転がそろわない","判定不能"},0),"○","停","×","－"),"")</f>
        <v>×</v>
      </c>
      <c r="AS14" s="35" t="str">
        <f aca="false">IFERROR(CHOOSE(MATCH(INDEX(時間ごとの判定!$AK$3:$AK$1850,258),{"利用可","両方停止","運転がそろわない","判定不能"},0),"○","停","×","－"),"")</f>
        <v>×</v>
      </c>
      <c r="AT14" s="35" t="str">
        <f aca="false">IFERROR(CHOOSE(MATCH(INDEX(時間ごとの判定!$AK$3:$AK$1850,259),{"利用可","両方停止","運転がそろわない","判定不能"},0),"○","停","×","－"),"")</f>
        <v>×</v>
      </c>
      <c r="AU14" s="35" t="str">
        <f aca="false">IFERROR(CHOOSE(MATCH(INDEX(時間ごとの判定!$AK$3:$AK$1850,260),{"利用可","両方停止","運転がそろわない","判定不能"},0),"○","停","×","－"),"")</f>
        <v>×</v>
      </c>
      <c r="AV14" s="35" t="str">
        <f aca="false">IFERROR(CHOOSE(MATCH(INDEX(時間ごとの判定!$AK$3:$AK$1850,261),{"利用可","両方停止","運転がそろわない","判定不能"},0),"○","停","×","－"),"")</f>
        <v>×</v>
      </c>
      <c r="AW14" s="35" t="str">
        <f aca="false">IFERROR(CHOOSE(MATCH(INDEX(時間ごとの判定!$AK$3:$AK$1850,262),{"利用可","両方停止","運転がそろわない","判定不能"},0),"○","停","×","－"),"")</f>
        <v>停</v>
      </c>
      <c r="AX14" s="35" t="str">
        <f aca="false">IFERROR(CHOOSE(MATCH(INDEX(時間ごとの判定!$AK$3:$AK$1850,263),{"利用可","両方停止","運転がそろわない","判定不能"},0),"○","停","×","－"),"")</f>
        <v>停</v>
      </c>
      <c r="AY14" s="35" t="str">
        <f aca="false">IFERROR(CHOOSE(MATCH(INDEX(時間ごとの判定!$AK$3:$AK$1850,264),{"利用可","両方停止","運転がそろわない","判定不能"},0),"○","停","×","－"),"")</f>
        <v>停</v>
      </c>
      <c r="AZ14" s="35"/>
      <c r="BA14" s="35" t="str">
        <f aca="false">IFERROR(CHOOSE(MATCH(INDEX(時間ごとの判定!$AN$3:$AN$1850,241),{"利用可","両方停止","運転がそろわない","判定不能"},0),"○","停","×","－"),"")</f>
        <v>×</v>
      </c>
      <c r="BB14" s="35" t="str">
        <f aca="false">IFERROR(CHOOSE(MATCH(INDEX(時間ごとの判定!$AN$3:$AN$1850,242),{"利用可","両方停止","運転がそろわない","判定不能"},0),"○","停","×","－"),"")</f>
        <v>×</v>
      </c>
      <c r="BC14" s="35" t="str">
        <f aca="false">IFERROR(CHOOSE(MATCH(INDEX(時間ごとの判定!$AN$3:$AN$1850,243),{"利用可","両方停止","運転がそろわない","判定不能"},0),"○","停","×","－"),"")</f>
        <v>×</v>
      </c>
      <c r="BD14" s="35" t="str">
        <f aca="false">IFERROR(CHOOSE(MATCH(INDEX(時間ごとの判定!$AN$3:$AN$1850,244),{"利用可","両方停止","運転がそろわない","判定不能"},0),"○","停","×","－"),"")</f>
        <v>×</v>
      </c>
      <c r="BE14" s="35" t="str">
        <f aca="false">IFERROR(CHOOSE(MATCH(INDEX(時間ごとの判定!$AN$3:$AN$1850,245),{"利用可","両方停止","運転がそろわない","判定不能"},0),"○","停","×","－"),"")</f>
        <v>×</v>
      </c>
      <c r="BF14" s="35" t="str">
        <f aca="false">IFERROR(CHOOSE(MATCH(INDEX(時間ごとの判定!$AN$3:$AN$1850,246),{"利用可","両方停止","運転がそろわない","判定不能"},0),"○","停","×","－"),"")</f>
        <v>×</v>
      </c>
      <c r="BG14" s="35" t="str">
        <f aca="false">IFERROR(CHOOSE(MATCH(INDEX(時間ごとの判定!$AN$3:$AN$1850,247),{"利用可","両方停止","運転がそろわない","判定不能"},0),"○","停","×","－"),"")</f>
        <v>×</v>
      </c>
      <c r="BH14" s="35" t="str">
        <f aca="false">IFERROR(CHOOSE(MATCH(INDEX(時間ごとの判定!$AN$3:$AN$1850,248),{"利用可","両方停止","運転がそろわない","判定不能"},0),"○","停","×","－"),"")</f>
        <v>×</v>
      </c>
      <c r="BI14" s="35" t="str">
        <f aca="false">IFERROR(CHOOSE(MATCH(INDEX(時間ごとの判定!$AN$3:$AN$1850,249),{"利用可","両方停止","運転がそろわない","判定不能"},0),"○","停","×","－"),"")</f>
        <v>○</v>
      </c>
      <c r="BJ14" s="35" t="str">
        <f aca="false">IFERROR(CHOOSE(MATCH(INDEX(時間ごとの判定!$AN$3:$AN$1850,250),{"利用可","両方停止","運転がそろわない","判定不能"},0),"○","停","×","－"),"")</f>
        <v>×</v>
      </c>
      <c r="BK14" s="35" t="str">
        <f aca="false">IFERROR(CHOOSE(MATCH(INDEX(時間ごとの判定!$AN$3:$AN$1850,251),{"利用可","両方停止","運転がそろわない","判定不能"},0),"○","停","×","－"),"")</f>
        <v>×</v>
      </c>
      <c r="BL14" s="35" t="str">
        <f aca="false">IFERROR(CHOOSE(MATCH(INDEX(時間ごとの判定!$AN$3:$AN$1850,252),{"利用可","両方停止","運転がそろわない","判定不能"},0),"○","停","×","－"),"")</f>
        <v>×</v>
      </c>
      <c r="BM14" s="35" t="str">
        <f aca="false">IFERROR(CHOOSE(MATCH(INDEX(時間ごとの判定!$AN$3:$AN$1850,253),{"利用可","両方停止","運転がそろわない","判定不能"},0),"○","停","×","－"),"")</f>
        <v>×</v>
      </c>
      <c r="BN14" s="35" t="str">
        <f aca="false">IFERROR(CHOOSE(MATCH(INDEX(時間ごとの判定!$AN$3:$AN$1850,254),{"利用可","両方停止","運転がそろわない","判定不能"},0),"○","停","×","－"),"")</f>
        <v>○</v>
      </c>
      <c r="BO14" s="35" t="str">
        <f aca="false">IFERROR(CHOOSE(MATCH(INDEX(時間ごとの判定!$AN$3:$AN$1850,255),{"利用可","両方停止","運転がそろわない","判定不能"},0),"○","停","×","－"),"")</f>
        <v>○</v>
      </c>
      <c r="BP14" s="35" t="str">
        <f aca="false">IFERROR(CHOOSE(MATCH(INDEX(時間ごとの判定!$AN$3:$AN$1850,256),{"利用可","両方停止","運転がそろわない","判定不能"},0),"○","停","×","－"),"")</f>
        <v>○</v>
      </c>
      <c r="BQ14" s="35" t="str">
        <f aca="false">IFERROR(CHOOSE(MATCH(INDEX(時間ごとの判定!$AN$3:$AN$1850,257),{"利用可","両方停止","運転がそろわない","判定不能"},0),"○","停","×","－"),"")</f>
        <v>○</v>
      </c>
      <c r="BR14" s="35" t="str">
        <f aca="false">IFERROR(CHOOSE(MATCH(INDEX(時間ごとの判定!$AN$3:$AN$1850,258),{"利用可","両方停止","運転がそろわない","判定不能"},0),"○","停","×","－"),"")</f>
        <v>○</v>
      </c>
      <c r="BS14" s="35" t="str">
        <f aca="false">IFERROR(CHOOSE(MATCH(INDEX(時間ごとの判定!$AN$3:$AN$1850,259),{"利用可","両方停止","運転がそろわない","判定不能"},0),"○","停","×","－"),"")</f>
        <v>×</v>
      </c>
      <c r="BT14" s="35" t="str">
        <f aca="false">IFERROR(CHOOSE(MATCH(INDEX(時間ごとの判定!$AN$3:$AN$1850,260),{"利用可","両方停止","運転がそろわない","判定不能"},0),"○","停","×","－"),"")</f>
        <v>○</v>
      </c>
      <c r="BU14" s="35" t="str">
        <f aca="false">IFERROR(CHOOSE(MATCH(INDEX(時間ごとの判定!$AN$3:$AN$1850,261),{"利用可","両方停止","運転がそろわない","判定不能"},0),"○","停","×","－"),"")</f>
        <v>×</v>
      </c>
      <c r="BV14" s="35" t="str">
        <f aca="false">IFERROR(CHOOSE(MATCH(INDEX(時間ごとの判定!$AN$3:$AN$1850,262),{"利用可","両方停止","運転がそろわない","判定不能"},0),"○","停","×","－"),"")</f>
        <v>×</v>
      </c>
      <c r="BW14" s="35" t="str">
        <f aca="false">IFERROR(CHOOSE(MATCH(INDEX(時間ごとの判定!$AN$3:$AN$1850,263),{"利用可","両方停止","運転がそろわない","判定不能"},0),"○","停","×","－"),"")</f>
        <v>×</v>
      </c>
      <c r="BX14" s="35" t="str">
        <f aca="false">IFERROR(CHOOSE(MATCH(INDEX(時間ごとの判定!$AN$3:$AN$1850,264),{"利用可","両方停止","運転がそろわない","判定不能"},0),"○","停","×","－"),"")</f>
        <v>×</v>
      </c>
    </row>
    <row r="15" customFormat="false" ht="15" hidden="false" customHeight="false" outlineLevel="0" collapsed="false">
      <c r="A15" s="33" t="n">
        <v>46243</v>
      </c>
      <c r="B15" s="36" t="s">
        <v>65</v>
      </c>
      <c r="C15" s="35" t="str">
        <f aca="false">IFERROR(CHOOSE(MATCH(INDEX(時間ごとの判定!$AH$3:$AH$1850,265),{"利用可","両方停止","運転がそろわない","判定不能"},0),"○","停","×","－"),"")</f>
        <v>停</v>
      </c>
      <c r="D15" s="35" t="str">
        <f aca="false">IFERROR(CHOOSE(MATCH(INDEX(時間ごとの判定!$AH$3:$AH$1850,266),{"利用可","両方停止","運転がそろわない","判定不能"},0),"○","停","×","－"),"")</f>
        <v>停</v>
      </c>
      <c r="E15" s="35" t="str">
        <f aca="false">IFERROR(CHOOSE(MATCH(INDEX(時間ごとの判定!$AH$3:$AH$1850,267),{"利用可","両方停止","運転がそろわない","判定不能"},0),"○","停","×","－"),"")</f>
        <v>停</v>
      </c>
      <c r="F15" s="35" t="str">
        <f aca="false">IFERROR(CHOOSE(MATCH(INDEX(時間ごとの判定!$AH$3:$AH$1850,268),{"利用可","両方停止","運転がそろわない","判定不能"},0),"○","停","×","－"),"")</f>
        <v>停</v>
      </c>
      <c r="G15" s="35" t="str">
        <f aca="false">IFERROR(CHOOSE(MATCH(INDEX(時間ごとの判定!$AH$3:$AH$1850,269),{"利用可","両方停止","運転がそろわない","判定不能"},0),"○","停","×","－"),"")</f>
        <v>停</v>
      </c>
      <c r="H15" s="35" t="str">
        <f aca="false">IFERROR(CHOOSE(MATCH(INDEX(時間ごとの判定!$AH$3:$AH$1850,270),{"利用可","両方停止","運転がそろわない","判定不能"},0),"○","停","×","－"),"")</f>
        <v>停</v>
      </c>
      <c r="I15" s="35" t="str">
        <f aca="false">IFERROR(CHOOSE(MATCH(INDEX(時間ごとの判定!$AH$3:$AH$1850,271),{"利用可","両方停止","運転がそろわない","判定不能"},0),"○","停","×","－"),"")</f>
        <v>停</v>
      </c>
      <c r="J15" s="35" t="str">
        <f aca="false">IFERROR(CHOOSE(MATCH(INDEX(時間ごとの判定!$AH$3:$AH$1850,272),{"利用可","両方停止","運転がそろわない","判定不能"},0),"○","停","×","－"),"")</f>
        <v>×</v>
      </c>
      <c r="K15" s="35" t="str">
        <f aca="false">IFERROR(CHOOSE(MATCH(INDEX(時間ごとの判定!$AH$3:$AH$1850,273),{"利用可","両方停止","運転がそろわない","判定不能"},0),"○","停","×","－"),"")</f>
        <v>×</v>
      </c>
      <c r="L15" s="35" t="str">
        <f aca="false">IFERROR(CHOOSE(MATCH(INDEX(時間ごとの判定!$AH$3:$AH$1850,274),{"利用可","両方停止","運転がそろわない","判定不能"},0),"○","停","×","－"),"")</f>
        <v>○</v>
      </c>
      <c r="M15" s="35" t="str">
        <f aca="false">IFERROR(CHOOSE(MATCH(INDEX(時間ごとの判定!$AH$3:$AH$1850,275),{"利用可","両方停止","運転がそろわない","判定不能"},0),"○","停","×","－"),"")</f>
        <v>○</v>
      </c>
      <c r="N15" s="35" t="str">
        <f aca="false">IFERROR(CHOOSE(MATCH(INDEX(時間ごとの判定!$AH$3:$AH$1850,276),{"利用可","両方停止","運転がそろわない","判定不能"},0),"○","停","×","－"),"")</f>
        <v>○</v>
      </c>
      <c r="O15" s="35" t="str">
        <f aca="false">IFERROR(CHOOSE(MATCH(INDEX(時間ごとの判定!$AH$3:$AH$1850,277),{"利用可","両方停止","運転がそろわない","判定不能"},0),"○","停","×","－"),"")</f>
        <v>○</v>
      </c>
      <c r="P15" s="35" t="str">
        <f aca="false">IFERROR(CHOOSE(MATCH(INDEX(時間ごとの判定!$AH$3:$AH$1850,278),{"利用可","両方停止","運転がそろわない","判定不能"},0),"○","停","×","－"),"")</f>
        <v>○</v>
      </c>
      <c r="Q15" s="35" t="str">
        <f aca="false">IFERROR(CHOOSE(MATCH(INDEX(時間ごとの判定!$AH$3:$AH$1850,279),{"利用可","両方停止","運転がそろわない","判定不能"},0),"○","停","×","－"),"")</f>
        <v>○</v>
      </c>
      <c r="R15" s="35" t="str">
        <f aca="false">IFERROR(CHOOSE(MATCH(INDEX(時間ごとの判定!$AH$3:$AH$1850,280),{"利用可","両方停止","運転がそろわない","判定不能"},0),"○","停","×","－"),"")</f>
        <v>○</v>
      </c>
      <c r="S15" s="35" t="str">
        <f aca="false">IFERROR(CHOOSE(MATCH(INDEX(時間ごとの判定!$AH$3:$AH$1850,281),{"利用可","両方停止","運転がそろわない","判定不能"},0),"○","停","×","－"),"")</f>
        <v>○</v>
      </c>
      <c r="T15" s="35" t="str">
        <f aca="false">IFERROR(CHOOSE(MATCH(INDEX(時間ごとの判定!$AH$3:$AH$1850,282),{"利用可","両方停止","運転がそろわない","判定不能"},0),"○","停","×","－"),"")</f>
        <v>○</v>
      </c>
      <c r="U15" s="35" t="str">
        <f aca="false">IFERROR(CHOOSE(MATCH(INDEX(時間ごとの判定!$AH$3:$AH$1850,283),{"利用可","両方停止","運転がそろわない","判定不能"},0),"○","停","×","－"),"")</f>
        <v>×</v>
      </c>
      <c r="V15" s="35" t="str">
        <f aca="false">IFERROR(CHOOSE(MATCH(INDEX(時間ごとの判定!$AH$3:$AH$1850,284),{"利用可","両方停止","運転がそろわない","判定不能"},0),"○","停","×","－"),"")</f>
        <v>×</v>
      </c>
      <c r="W15" s="35" t="str">
        <f aca="false">IFERROR(CHOOSE(MATCH(INDEX(時間ごとの判定!$AH$3:$AH$1850,285),{"利用可","両方停止","運転がそろわない","判定不能"},0),"○","停","×","－"),"")</f>
        <v>×</v>
      </c>
      <c r="X15" s="35" t="str">
        <f aca="false">IFERROR(CHOOSE(MATCH(INDEX(時間ごとの判定!$AH$3:$AH$1850,286),{"利用可","両方停止","運転がそろわない","判定不能"},0),"○","停","×","－"),"")</f>
        <v>停</v>
      </c>
      <c r="Y15" s="35" t="str">
        <f aca="false">IFERROR(CHOOSE(MATCH(INDEX(時間ごとの判定!$AH$3:$AH$1850,287),{"利用可","両方停止","運転がそろわない","判定不能"},0),"○","停","×","－"),"")</f>
        <v>停</v>
      </c>
      <c r="Z15" s="35" t="str">
        <f aca="false">IFERROR(CHOOSE(MATCH(INDEX(時間ごとの判定!$AH$3:$AH$1850,288),{"利用可","両方停止","運転がそろわない","判定不能"},0),"○","停","×","－"),"")</f>
        <v>停</v>
      </c>
      <c r="AA15" s="35"/>
      <c r="AB15" s="35" t="str">
        <f aca="false">IFERROR(CHOOSE(MATCH(INDEX(時間ごとの判定!$AK$3:$AK$1850,265),{"利用可","両方停止","運転がそろわない","判定不能"},0),"○","停","×","－"),"")</f>
        <v>停</v>
      </c>
      <c r="AC15" s="35" t="str">
        <f aca="false">IFERROR(CHOOSE(MATCH(INDEX(時間ごとの判定!$AK$3:$AK$1850,266),{"利用可","両方停止","運転がそろわない","判定不能"},0),"○","停","×","－"),"")</f>
        <v>停</v>
      </c>
      <c r="AD15" s="35" t="str">
        <f aca="false">IFERROR(CHOOSE(MATCH(INDEX(時間ごとの判定!$AK$3:$AK$1850,267),{"利用可","両方停止","運転がそろわない","判定不能"},0),"○","停","×","－"),"")</f>
        <v>停</v>
      </c>
      <c r="AE15" s="35" t="str">
        <f aca="false">IFERROR(CHOOSE(MATCH(INDEX(時間ごとの判定!$AK$3:$AK$1850,268),{"利用可","両方停止","運転がそろわない","判定不能"},0),"○","停","×","－"),"")</f>
        <v>停</v>
      </c>
      <c r="AF15" s="35" t="str">
        <f aca="false">IFERROR(CHOOSE(MATCH(INDEX(時間ごとの判定!$AK$3:$AK$1850,269),{"利用可","両方停止","運転がそろわない","判定不能"},0),"○","停","×","－"),"")</f>
        <v>停</v>
      </c>
      <c r="AG15" s="35" t="str">
        <f aca="false">IFERROR(CHOOSE(MATCH(INDEX(時間ごとの判定!$AK$3:$AK$1850,270),{"利用可","両方停止","運転がそろわない","判定不能"},0),"○","停","×","－"),"")</f>
        <v>停</v>
      </c>
      <c r="AH15" s="35" t="str">
        <f aca="false">IFERROR(CHOOSE(MATCH(INDEX(時間ごとの判定!$AK$3:$AK$1850,271),{"利用可","両方停止","運転がそろわない","判定不能"},0),"○","停","×","－"),"")</f>
        <v>停</v>
      </c>
      <c r="AI15" s="35" t="str">
        <f aca="false">IFERROR(CHOOSE(MATCH(INDEX(時間ごとの判定!$AK$3:$AK$1850,272),{"利用可","両方停止","運転がそろわない","判定不能"},0),"○","停","×","－"),"")</f>
        <v>停</v>
      </c>
      <c r="AJ15" s="35" t="str">
        <f aca="false">IFERROR(CHOOSE(MATCH(INDEX(時間ごとの判定!$AK$3:$AK$1850,273),{"利用可","両方停止","運転がそろわない","判定不能"},0),"○","停","×","－"),"")</f>
        <v>停</v>
      </c>
      <c r="AK15" s="35" t="str">
        <f aca="false">IFERROR(CHOOSE(MATCH(INDEX(時間ごとの判定!$AK$3:$AK$1850,274),{"利用可","両方停止","運転がそろわない","判定不能"},0),"○","停","×","－"),"")</f>
        <v>×</v>
      </c>
      <c r="AL15" s="35" t="str">
        <f aca="false">IFERROR(CHOOSE(MATCH(INDEX(時間ごとの判定!$AK$3:$AK$1850,275),{"利用可","両方停止","運転がそろわない","判定不能"},0),"○","停","×","－"),"")</f>
        <v>×</v>
      </c>
      <c r="AM15" s="35" t="str">
        <f aca="false">IFERROR(CHOOSE(MATCH(INDEX(時間ごとの判定!$AK$3:$AK$1850,276),{"利用可","両方停止","運転がそろわない","判定不能"},0),"○","停","×","－"),"")</f>
        <v>×</v>
      </c>
      <c r="AN15" s="35" t="str">
        <f aca="false">IFERROR(CHOOSE(MATCH(INDEX(時間ごとの判定!$AK$3:$AK$1850,277),{"利用可","両方停止","運転がそろわない","判定不能"},0),"○","停","×","－"),"")</f>
        <v>×</v>
      </c>
      <c r="AO15" s="35" t="str">
        <f aca="false">IFERROR(CHOOSE(MATCH(INDEX(時間ごとの判定!$AK$3:$AK$1850,278),{"利用可","両方停止","運転がそろわない","判定不能"},0),"○","停","×","－"),"")</f>
        <v>×</v>
      </c>
      <c r="AP15" s="35" t="str">
        <f aca="false">IFERROR(CHOOSE(MATCH(INDEX(時間ごとの判定!$AK$3:$AK$1850,279),{"利用可","両方停止","運転がそろわない","判定不能"},0),"○","停","×","－"),"")</f>
        <v>×</v>
      </c>
      <c r="AQ15" s="35" t="str">
        <f aca="false">IFERROR(CHOOSE(MATCH(INDEX(時間ごとの判定!$AK$3:$AK$1850,280),{"利用可","両方停止","運転がそろわない","判定不能"},0),"○","停","×","－"),"")</f>
        <v>×</v>
      </c>
      <c r="AR15" s="35" t="str">
        <f aca="false">IFERROR(CHOOSE(MATCH(INDEX(時間ごとの判定!$AK$3:$AK$1850,281),{"利用可","両方停止","運転がそろわない","判定不能"},0),"○","停","×","－"),"")</f>
        <v>×</v>
      </c>
      <c r="AS15" s="35" t="str">
        <f aca="false">IFERROR(CHOOSE(MATCH(INDEX(時間ごとの判定!$AK$3:$AK$1850,282),{"利用可","両方停止","運転がそろわない","判定不能"},0),"○","停","×","－"),"")</f>
        <v>×</v>
      </c>
      <c r="AT15" s="35" t="str">
        <f aca="false">IFERROR(CHOOSE(MATCH(INDEX(時間ごとの判定!$AK$3:$AK$1850,283),{"利用可","両方停止","運転がそろわない","判定不能"},0),"○","停","×","－"),"")</f>
        <v>×</v>
      </c>
      <c r="AU15" s="35" t="str">
        <f aca="false">IFERROR(CHOOSE(MATCH(INDEX(時間ごとの判定!$AK$3:$AK$1850,284),{"利用可","両方停止","運転がそろわない","判定不能"},0),"○","停","×","－"),"")</f>
        <v>×</v>
      </c>
      <c r="AV15" s="35" t="str">
        <f aca="false">IFERROR(CHOOSE(MATCH(INDEX(時間ごとの判定!$AK$3:$AK$1850,285),{"利用可","両方停止","運転がそろわない","判定不能"},0),"○","停","×","－"),"")</f>
        <v>×</v>
      </c>
      <c r="AW15" s="35" t="str">
        <f aca="false">IFERROR(CHOOSE(MATCH(INDEX(時間ごとの判定!$AK$3:$AK$1850,286),{"利用可","両方停止","運転がそろわない","判定不能"},0),"○","停","×","－"),"")</f>
        <v>停</v>
      </c>
      <c r="AX15" s="35" t="str">
        <f aca="false">IFERROR(CHOOSE(MATCH(INDEX(時間ごとの判定!$AK$3:$AK$1850,287),{"利用可","両方停止","運転がそろわない","判定不能"},0),"○","停","×","－"),"")</f>
        <v>停</v>
      </c>
      <c r="AY15" s="35" t="str">
        <f aca="false">IFERROR(CHOOSE(MATCH(INDEX(時間ごとの判定!$AK$3:$AK$1850,288),{"利用可","両方停止","運転がそろわない","判定不能"},0),"○","停","×","－"),"")</f>
        <v>停</v>
      </c>
      <c r="AZ15" s="35"/>
      <c r="BA15" s="35" t="str">
        <f aca="false">IFERROR(CHOOSE(MATCH(INDEX(時間ごとの判定!$AN$3:$AN$1850,265),{"利用可","両方停止","運転がそろわない","判定不能"},0),"○","停","×","－"),"")</f>
        <v>×</v>
      </c>
      <c r="BB15" s="35" t="str">
        <f aca="false">IFERROR(CHOOSE(MATCH(INDEX(時間ごとの判定!$AN$3:$AN$1850,266),{"利用可","両方停止","運転がそろわない","判定不能"},0),"○","停","×","－"),"")</f>
        <v>×</v>
      </c>
      <c r="BC15" s="35" t="str">
        <f aca="false">IFERROR(CHOOSE(MATCH(INDEX(時間ごとの判定!$AN$3:$AN$1850,267),{"利用可","両方停止","運転がそろわない","判定不能"},0),"○","停","×","－"),"")</f>
        <v>×</v>
      </c>
      <c r="BD15" s="35" t="str">
        <f aca="false">IFERROR(CHOOSE(MATCH(INDEX(時間ごとの判定!$AN$3:$AN$1850,268),{"利用可","両方停止","運転がそろわない","判定不能"},0),"○","停","×","－"),"")</f>
        <v>×</v>
      </c>
      <c r="BE15" s="35" t="str">
        <f aca="false">IFERROR(CHOOSE(MATCH(INDEX(時間ごとの判定!$AN$3:$AN$1850,269),{"利用可","両方停止","運転がそろわない","判定不能"},0),"○","停","×","－"),"")</f>
        <v>×</v>
      </c>
      <c r="BF15" s="35" t="str">
        <f aca="false">IFERROR(CHOOSE(MATCH(INDEX(時間ごとの判定!$AN$3:$AN$1850,270),{"利用可","両方停止","運転がそろわない","判定不能"},0),"○","停","×","－"),"")</f>
        <v>×</v>
      </c>
      <c r="BG15" s="35" t="str">
        <f aca="false">IFERROR(CHOOSE(MATCH(INDEX(時間ごとの判定!$AN$3:$AN$1850,271),{"利用可","両方停止","運転がそろわない","判定不能"},0),"○","停","×","－"),"")</f>
        <v>×</v>
      </c>
      <c r="BH15" s="35" t="str">
        <f aca="false">IFERROR(CHOOSE(MATCH(INDEX(時間ごとの判定!$AN$3:$AN$1850,272),{"利用可","両方停止","運転がそろわない","判定不能"},0),"○","停","×","－"),"")</f>
        <v>×</v>
      </c>
      <c r="BI15" s="35" t="str">
        <f aca="false">IFERROR(CHOOSE(MATCH(INDEX(時間ごとの判定!$AN$3:$AN$1850,273),{"利用可","両方停止","運転がそろわない","判定不能"},0),"○","停","×","－"),"")</f>
        <v>×</v>
      </c>
      <c r="BJ15" s="35" t="str">
        <f aca="false">IFERROR(CHOOSE(MATCH(INDEX(時間ごとの判定!$AN$3:$AN$1850,274),{"利用可","両方停止","運転がそろわない","判定不能"},0),"○","停","×","－"),"")</f>
        <v>×</v>
      </c>
      <c r="BK15" s="35" t="str">
        <f aca="false">IFERROR(CHOOSE(MATCH(INDEX(時間ごとの判定!$AN$3:$AN$1850,275),{"利用可","両方停止","運転がそろわない","判定不能"},0),"○","停","×","－"),"")</f>
        <v>×</v>
      </c>
      <c r="BL15" s="35" t="str">
        <f aca="false">IFERROR(CHOOSE(MATCH(INDEX(時間ごとの判定!$AN$3:$AN$1850,276),{"利用可","両方停止","運転がそろわない","判定不能"},0),"○","停","×","－"),"")</f>
        <v>×</v>
      </c>
      <c r="BM15" s="35" t="str">
        <f aca="false">IFERROR(CHOOSE(MATCH(INDEX(時間ごとの判定!$AN$3:$AN$1850,277),{"利用可","両方停止","運転がそろわない","判定不能"},0),"○","停","×","－"),"")</f>
        <v>×</v>
      </c>
      <c r="BN15" s="35" t="str">
        <f aca="false">IFERROR(CHOOSE(MATCH(INDEX(時間ごとの判定!$AN$3:$AN$1850,278),{"利用可","両方停止","運転がそろわない","判定不能"},0),"○","停","×","－"),"")</f>
        <v>×</v>
      </c>
      <c r="BO15" s="35" t="str">
        <f aca="false">IFERROR(CHOOSE(MATCH(INDEX(時間ごとの判定!$AN$3:$AN$1850,279),{"利用可","両方停止","運転がそろわない","判定不能"},0),"○","停","×","－"),"")</f>
        <v>×</v>
      </c>
      <c r="BP15" s="35" t="str">
        <f aca="false">IFERROR(CHOOSE(MATCH(INDEX(時間ごとの判定!$AN$3:$AN$1850,280),{"利用可","両方停止","運転がそろわない","判定不能"},0),"○","停","×","－"),"")</f>
        <v>×</v>
      </c>
      <c r="BQ15" s="35" t="str">
        <f aca="false">IFERROR(CHOOSE(MATCH(INDEX(時間ごとの判定!$AN$3:$AN$1850,281),{"利用可","両方停止","運転がそろわない","判定不能"},0),"○","停","×","－"),"")</f>
        <v>×</v>
      </c>
      <c r="BR15" s="35" t="str">
        <f aca="false">IFERROR(CHOOSE(MATCH(INDEX(時間ごとの判定!$AN$3:$AN$1850,282),{"利用可","両方停止","運転がそろわない","判定不能"},0),"○","停","×","－"),"")</f>
        <v>×</v>
      </c>
      <c r="BS15" s="35" t="str">
        <f aca="false">IFERROR(CHOOSE(MATCH(INDEX(時間ごとの判定!$AN$3:$AN$1850,283),{"利用可","両方停止","運転がそろわない","判定不能"},0),"○","停","×","－"),"")</f>
        <v>×</v>
      </c>
      <c r="BT15" s="35" t="str">
        <f aca="false">IFERROR(CHOOSE(MATCH(INDEX(時間ごとの判定!$AN$3:$AN$1850,284),{"利用可","両方停止","運転がそろわない","判定不能"},0),"○","停","×","－"),"")</f>
        <v>×</v>
      </c>
      <c r="BU15" s="35" t="str">
        <f aca="false">IFERROR(CHOOSE(MATCH(INDEX(時間ごとの判定!$AN$3:$AN$1850,285),{"利用可","両方停止","運転がそろわない","判定不能"},0),"○","停","×","－"),"")</f>
        <v>×</v>
      </c>
      <c r="BV15" s="35" t="str">
        <f aca="false">IFERROR(CHOOSE(MATCH(INDEX(時間ごとの判定!$AN$3:$AN$1850,286),{"利用可","両方停止","運転がそろわない","判定不能"},0),"○","停","×","－"),"")</f>
        <v>×</v>
      </c>
      <c r="BW15" s="35" t="str">
        <f aca="false">IFERROR(CHOOSE(MATCH(INDEX(時間ごとの判定!$AN$3:$AN$1850,287),{"利用可","両方停止","運転がそろわない","判定不能"},0),"○","停","×","－"),"")</f>
        <v>×</v>
      </c>
      <c r="BX15" s="35" t="str">
        <f aca="false">IFERROR(CHOOSE(MATCH(INDEX(時間ごとの判定!$AN$3:$AN$1850,288),{"利用可","両方停止","運転がそろわない","判定不能"},0),"○","停","×","－"),"")</f>
        <v>×</v>
      </c>
    </row>
    <row r="16" customFormat="false" ht="15" hidden="false" customHeight="false" outlineLevel="0" collapsed="false">
      <c r="A16" s="33" t="n">
        <v>46244</v>
      </c>
      <c r="B16" s="34" t="s">
        <v>66</v>
      </c>
      <c r="C16" s="35" t="str">
        <f aca="false">IFERROR(CHOOSE(MATCH(INDEX(時間ごとの判定!$AH$3:$AH$1850,289),{"利用可","両方停止","運転がそろわない","判定不能"},0),"○","停","×","－"),"")</f>
        <v>停</v>
      </c>
      <c r="D16" s="35" t="str">
        <f aca="false">IFERROR(CHOOSE(MATCH(INDEX(時間ごとの判定!$AH$3:$AH$1850,290),{"利用可","両方停止","運転がそろわない","判定不能"},0),"○","停","×","－"),"")</f>
        <v>停</v>
      </c>
      <c r="E16" s="35" t="str">
        <f aca="false">IFERROR(CHOOSE(MATCH(INDEX(時間ごとの判定!$AH$3:$AH$1850,291),{"利用可","両方停止","運転がそろわない","判定不能"},0),"○","停","×","－"),"")</f>
        <v>停</v>
      </c>
      <c r="F16" s="35" t="str">
        <f aca="false">IFERROR(CHOOSE(MATCH(INDEX(時間ごとの判定!$AH$3:$AH$1850,292),{"利用可","両方停止","運転がそろわない","判定不能"},0),"○","停","×","－"),"")</f>
        <v>停</v>
      </c>
      <c r="G16" s="35" t="str">
        <f aca="false">IFERROR(CHOOSE(MATCH(INDEX(時間ごとの判定!$AH$3:$AH$1850,293),{"利用可","両方停止","運転がそろわない","判定不能"},0),"○","停","×","－"),"")</f>
        <v>停</v>
      </c>
      <c r="H16" s="35" t="str">
        <f aca="false">IFERROR(CHOOSE(MATCH(INDEX(時間ごとの判定!$AH$3:$AH$1850,294),{"利用可","両方停止","運転がそろわない","判定不能"},0),"○","停","×","－"),"")</f>
        <v>停</v>
      </c>
      <c r="I16" s="35" t="str">
        <f aca="false">IFERROR(CHOOSE(MATCH(INDEX(時間ごとの判定!$AH$3:$AH$1850,295),{"利用可","両方停止","運転がそろわない","判定不能"},0),"○","停","×","－"),"")</f>
        <v>停</v>
      </c>
      <c r="J16" s="35" t="str">
        <f aca="false">IFERROR(CHOOSE(MATCH(INDEX(時間ごとの判定!$AH$3:$AH$1850,296),{"利用可","両方停止","運転がそろわない","判定不能"},0),"○","停","×","－"),"")</f>
        <v>停</v>
      </c>
      <c r="K16" s="35" t="str">
        <f aca="false">IFERROR(CHOOSE(MATCH(INDEX(時間ごとの判定!$AH$3:$AH$1850,297),{"利用可","両方停止","運転がそろわない","判定不能"},0),"○","停","×","－"),"")</f>
        <v>×</v>
      </c>
      <c r="L16" s="35" t="str">
        <f aca="false">IFERROR(CHOOSE(MATCH(INDEX(時間ごとの判定!$AH$3:$AH$1850,298),{"利用可","両方停止","運転がそろわない","判定不能"},0),"○","停","×","－"),"")</f>
        <v>○</v>
      </c>
      <c r="M16" s="35" t="str">
        <f aca="false">IFERROR(CHOOSE(MATCH(INDEX(時間ごとの判定!$AH$3:$AH$1850,299),{"利用可","両方停止","運転がそろわない","判定不能"},0),"○","停","×","－"),"")</f>
        <v>○</v>
      </c>
      <c r="N16" s="35" t="str">
        <f aca="false">IFERROR(CHOOSE(MATCH(INDEX(時間ごとの判定!$AH$3:$AH$1850,300),{"利用可","両方停止","運転がそろわない","判定不能"},0),"○","停","×","－"),"")</f>
        <v>○</v>
      </c>
      <c r="O16" s="35" t="str">
        <f aca="false">IFERROR(CHOOSE(MATCH(INDEX(時間ごとの判定!$AH$3:$AH$1850,301),{"利用可","両方停止","運転がそろわない","判定不能"},0),"○","停","×","－"),"")</f>
        <v>○</v>
      </c>
      <c r="P16" s="35" t="str">
        <f aca="false">IFERROR(CHOOSE(MATCH(INDEX(時間ごとの判定!$AH$3:$AH$1850,302),{"利用可","両方停止","運転がそろわない","判定不能"},0),"○","停","×","－"),"")</f>
        <v>○</v>
      </c>
      <c r="Q16" s="35" t="str">
        <f aca="false">IFERROR(CHOOSE(MATCH(INDEX(時間ごとの判定!$AH$3:$AH$1850,303),{"利用可","両方停止","運転がそろわない","判定不能"},0),"○","停","×","－"),"")</f>
        <v>○</v>
      </c>
      <c r="R16" s="35" t="str">
        <f aca="false">IFERROR(CHOOSE(MATCH(INDEX(時間ごとの判定!$AH$3:$AH$1850,304),{"利用可","両方停止","運転がそろわない","判定不能"},0),"○","停","×","－"),"")</f>
        <v>○</v>
      </c>
      <c r="S16" s="35" t="str">
        <f aca="false">IFERROR(CHOOSE(MATCH(INDEX(時間ごとの判定!$AH$3:$AH$1850,305),{"利用可","両方停止","運転がそろわない","判定不能"},0),"○","停","×","－"),"")</f>
        <v>○</v>
      </c>
      <c r="T16" s="35" t="str">
        <f aca="false">IFERROR(CHOOSE(MATCH(INDEX(時間ごとの判定!$AH$3:$AH$1850,306),{"利用可","両方停止","運転がそろわない","判定不能"},0),"○","停","×","－"),"")</f>
        <v>○</v>
      </c>
      <c r="U16" s="35" t="str">
        <f aca="false">IFERROR(CHOOSE(MATCH(INDEX(時間ごとの判定!$AH$3:$AH$1850,307),{"利用可","両方停止","運転がそろわない","判定不能"},0),"○","停","×","－"),"")</f>
        <v>×</v>
      </c>
      <c r="V16" s="35" t="str">
        <f aca="false">IFERROR(CHOOSE(MATCH(INDEX(時間ごとの判定!$AH$3:$AH$1850,308),{"利用可","両方停止","運転がそろわない","判定不能"},0),"○","停","×","－"),"")</f>
        <v>×</v>
      </c>
      <c r="W16" s="35" t="str">
        <f aca="false">IFERROR(CHOOSE(MATCH(INDEX(時間ごとの判定!$AH$3:$AH$1850,309),{"利用可","両方停止","運転がそろわない","判定不能"},0),"○","停","×","－"),"")</f>
        <v>×</v>
      </c>
      <c r="X16" s="35" t="str">
        <f aca="false">IFERROR(CHOOSE(MATCH(INDEX(時間ごとの判定!$AH$3:$AH$1850,310),{"利用可","両方停止","運転がそろわない","判定不能"},0),"○","停","×","－"),"")</f>
        <v>停</v>
      </c>
      <c r="Y16" s="35" t="str">
        <f aca="false">IFERROR(CHOOSE(MATCH(INDEX(時間ごとの判定!$AH$3:$AH$1850,311),{"利用可","両方停止","運転がそろわない","判定不能"},0),"○","停","×","－"),"")</f>
        <v>停</v>
      </c>
      <c r="Z16" s="35" t="str">
        <f aca="false">IFERROR(CHOOSE(MATCH(INDEX(時間ごとの判定!$AH$3:$AH$1850,312),{"利用可","両方停止","運転がそろわない","判定不能"},0),"○","停","×","－"),"")</f>
        <v>停</v>
      </c>
      <c r="AA16" s="35"/>
      <c r="AB16" s="35" t="str">
        <f aca="false">IFERROR(CHOOSE(MATCH(INDEX(時間ごとの判定!$AK$3:$AK$1850,289),{"利用可","両方停止","運転がそろわない","判定不能"},0),"○","停","×","－"),"")</f>
        <v>停</v>
      </c>
      <c r="AC16" s="35" t="str">
        <f aca="false">IFERROR(CHOOSE(MATCH(INDEX(時間ごとの判定!$AK$3:$AK$1850,290),{"利用可","両方停止","運転がそろわない","判定不能"},0),"○","停","×","－"),"")</f>
        <v>停</v>
      </c>
      <c r="AD16" s="35" t="str">
        <f aca="false">IFERROR(CHOOSE(MATCH(INDEX(時間ごとの判定!$AK$3:$AK$1850,291),{"利用可","両方停止","運転がそろわない","判定不能"},0),"○","停","×","－"),"")</f>
        <v>停</v>
      </c>
      <c r="AE16" s="35" t="str">
        <f aca="false">IFERROR(CHOOSE(MATCH(INDEX(時間ごとの判定!$AK$3:$AK$1850,292),{"利用可","両方停止","運転がそろわない","判定不能"},0),"○","停","×","－"),"")</f>
        <v>停</v>
      </c>
      <c r="AF16" s="35" t="str">
        <f aca="false">IFERROR(CHOOSE(MATCH(INDEX(時間ごとの判定!$AK$3:$AK$1850,293),{"利用可","両方停止","運転がそろわない","判定不能"},0),"○","停","×","－"),"")</f>
        <v>停</v>
      </c>
      <c r="AG16" s="35" t="str">
        <f aca="false">IFERROR(CHOOSE(MATCH(INDEX(時間ごとの判定!$AK$3:$AK$1850,294),{"利用可","両方停止","運転がそろわない","判定不能"},0),"○","停","×","－"),"")</f>
        <v>停</v>
      </c>
      <c r="AH16" s="35" t="str">
        <f aca="false">IFERROR(CHOOSE(MATCH(INDEX(時間ごとの判定!$AK$3:$AK$1850,295),{"利用可","両方停止","運転がそろわない","判定不能"},0),"○","停","×","－"),"")</f>
        <v>停</v>
      </c>
      <c r="AI16" s="35" t="str">
        <f aca="false">IFERROR(CHOOSE(MATCH(INDEX(時間ごとの判定!$AK$3:$AK$1850,296),{"利用可","両方停止","運転がそろわない","判定不能"},0),"○","停","×","－"),"")</f>
        <v>停</v>
      </c>
      <c r="AJ16" s="35" t="str">
        <f aca="false">IFERROR(CHOOSE(MATCH(INDEX(時間ごとの判定!$AK$3:$AK$1850,297),{"利用可","両方停止","運転がそろわない","判定不能"},0),"○","停","×","－"),"")</f>
        <v>×</v>
      </c>
      <c r="AK16" s="35" t="str">
        <f aca="false">IFERROR(CHOOSE(MATCH(INDEX(時間ごとの判定!$AK$3:$AK$1850,298),{"利用可","両方停止","運転がそろわない","判定不能"},0),"○","停","×","－"),"")</f>
        <v>×</v>
      </c>
      <c r="AL16" s="35" t="str">
        <f aca="false">IFERROR(CHOOSE(MATCH(INDEX(時間ごとの判定!$AK$3:$AK$1850,299),{"利用可","両方停止","運転がそろわない","判定不能"},0),"○","停","×","－"),"")</f>
        <v>×</v>
      </c>
      <c r="AM16" s="35" t="str">
        <f aca="false">IFERROR(CHOOSE(MATCH(INDEX(時間ごとの判定!$AK$3:$AK$1850,300),{"利用可","両方停止","運転がそろわない","判定不能"},0),"○","停","×","－"),"")</f>
        <v>×</v>
      </c>
      <c r="AN16" s="35" t="str">
        <f aca="false">IFERROR(CHOOSE(MATCH(INDEX(時間ごとの判定!$AK$3:$AK$1850,301),{"利用可","両方停止","運転がそろわない","判定不能"},0),"○","停","×","－"),"")</f>
        <v>×</v>
      </c>
      <c r="AO16" s="35" t="str">
        <f aca="false">IFERROR(CHOOSE(MATCH(INDEX(時間ごとの判定!$AK$3:$AK$1850,302),{"利用可","両方停止","運転がそろわない","判定不能"},0),"○","停","×","－"),"")</f>
        <v>×</v>
      </c>
      <c r="AP16" s="35" t="str">
        <f aca="false">IFERROR(CHOOSE(MATCH(INDEX(時間ごとの判定!$AK$3:$AK$1850,303),{"利用可","両方停止","運転がそろわない","判定不能"},0),"○","停","×","－"),"")</f>
        <v>×</v>
      </c>
      <c r="AQ16" s="35" t="str">
        <f aca="false">IFERROR(CHOOSE(MATCH(INDEX(時間ごとの判定!$AK$3:$AK$1850,304),{"利用可","両方停止","運転がそろわない","判定不能"},0),"○","停","×","－"),"")</f>
        <v>×</v>
      </c>
      <c r="AR16" s="35" t="str">
        <f aca="false">IFERROR(CHOOSE(MATCH(INDEX(時間ごとの判定!$AK$3:$AK$1850,305),{"利用可","両方停止","運転がそろわない","判定不能"},0),"○","停","×","－"),"")</f>
        <v>×</v>
      </c>
      <c r="AS16" s="35" t="str">
        <f aca="false">IFERROR(CHOOSE(MATCH(INDEX(時間ごとの判定!$AK$3:$AK$1850,306),{"利用可","両方停止","運転がそろわない","判定不能"},0),"○","停","×","－"),"")</f>
        <v>×</v>
      </c>
      <c r="AT16" s="35" t="str">
        <f aca="false">IFERROR(CHOOSE(MATCH(INDEX(時間ごとの判定!$AK$3:$AK$1850,307),{"利用可","両方停止","運転がそろわない","判定不能"},0),"○","停","×","－"),"")</f>
        <v>×</v>
      </c>
      <c r="AU16" s="35" t="str">
        <f aca="false">IFERROR(CHOOSE(MATCH(INDEX(時間ごとの判定!$AK$3:$AK$1850,308),{"利用可","両方停止","運転がそろわない","判定不能"},0),"○","停","×","－"),"")</f>
        <v>×</v>
      </c>
      <c r="AV16" s="35" t="str">
        <f aca="false">IFERROR(CHOOSE(MATCH(INDEX(時間ごとの判定!$AK$3:$AK$1850,309),{"利用可","両方停止","運転がそろわない","判定不能"},0),"○","停","×","－"),"")</f>
        <v>×</v>
      </c>
      <c r="AW16" s="35" t="str">
        <f aca="false">IFERROR(CHOOSE(MATCH(INDEX(時間ごとの判定!$AK$3:$AK$1850,310),{"利用可","両方停止","運転がそろわない","判定不能"},0),"○","停","×","－"),"")</f>
        <v>停</v>
      </c>
      <c r="AX16" s="35" t="str">
        <f aca="false">IFERROR(CHOOSE(MATCH(INDEX(時間ごとの判定!$AK$3:$AK$1850,311),{"利用可","両方停止","運転がそろわない","判定不能"},0),"○","停","×","－"),"")</f>
        <v>停</v>
      </c>
      <c r="AY16" s="35" t="str">
        <f aca="false">IFERROR(CHOOSE(MATCH(INDEX(時間ごとの判定!$AK$3:$AK$1850,312),{"利用可","両方停止","運転がそろわない","判定不能"},0),"○","停","×","－"),"")</f>
        <v>停</v>
      </c>
      <c r="AZ16" s="35"/>
      <c r="BA16" s="35" t="str">
        <f aca="false">IFERROR(CHOOSE(MATCH(INDEX(時間ごとの判定!$AN$3:$AN$1850,289),{"利用可","両方停止","運転がそろわない","判定不能"},0),"○","停","×","－"),"")</f>
        <v>×</v>
      </c>
      <c r="BB16" s="35" t="str">
        <f aca="false">IFERROR(CHOOSE(MATCH(INDEX(時間ごとの判定!$AN$3:$AN$1850,290),{"利用可","両方停止","運転がそろわない","判定不能"},0),"○","停","×","－"),"")</f>
        <v>×</v>
      </c>
      <c r="BC16" s="35" t="str">
        <f aca="false">IFERROR(CHOOSE(MATCH(INDEX(時間ごとの判定!$AN$3:$AN$1850,291),{"利用可","両方停止","運転がそろわない","判定不能"},0),"○","停","×","－"),"")</f>
        <v>×</v>
      </c>
      <c r="BD16" s="35" t="str">
        <f aca="false">IFERROR(CHOOSE(MATCH(INDEX(時間ごとの判定!$AN$3:$AN$1850,292),{"利用可","両方停止","運転がそろわない","判定不能"},0),"○","停","×","－"),"")</f>
        <v>×</v>
      </c>
      <c r="BE16" s="35" t="str">
        <f aca="false">IFERROR(CHOOSE(MATCH(INDEX(時間ごとの判定!$AN$3:$AN$1850,293),{"利用可","両方停止","運転がそろわない","判定不能"},0),"○","停","×","－"),"")</f>
        <v>×</v>
      </c>
      <c r="BF16" s="35" t="str">
        <f aca="false">IFERROR(CHOOSE(MATCH(INDEX(時間ごとの判定!$AN$3:$AN$1850,294),{"利用可","両方停止","運転がそろわない","判定不能"},0),"○","停","×","－"),"")</f>
        <v>×</v>
      </c>
      <c r="BG16" s="35" t="str">
        <f aca="false">IFERROR(CHOOSE(MATCH(INDEX(時間ごとの判定!$AN$3:$AN$1850,295),{"利用可","両方停止","運転がそろわない","判定不能"},0),"○","停","×","－"),"")</f>
        <v>×</v>
      </c>
      <c r="BH16" s="35" t="str">
        <f aca="false">IFERROR(CHOOSE(MATCH(INDEX(時間ごとの判定!$AN$3:$AN$1850,296),{"利用可","両方停止","運転がそろわない","判定不能"},0),"○","停","×","－"),"")</f>
        <v>○</v>
      </c>
      <c r="BI16" s="35" t="str">
        <f aca="false">IFERROR(CHOOSE(MATCH(INDEX(時間ごとの判定!$AN$3:$AN$1850,297),{"利用可","両方停止","運転がそろわない","判定不能"},0),"○","停","×","－"),"")</f>
        <v>○</v>
      </c>
      <c r="BJ16" s="35" t="str">
        <f aca="false">IFERROR(CHOOSE(MATCH(INDEX(時間ごとの判定!$AN$3:$AN$1850,298),{"利用可","両方停止","運転がそろわない","判定不能"},0),"○","停","×","－"),"")</f>
        <v>○</v>
      </c>
      <c r="BK16" s="35" t="str">
        <f aca="false">IFERROR(CHOOSE(MATCH(INDEX(時間ごとの判定!$AN$3:$AN$1850,299),{"利用可","両方停止","運転がそろわない","判定不能"},0),"○","停","×","－"),"")</f>
        <v>○</v>
      </c>
      <c r="BL16" s="35" t="str">
        <f aca="false">IFERROR(CHOOSE(MATCH(INDEX(時間ごとの判定!$AN$3:$AN$1850,300),{"利用可","両方停止","運転がそろわない","判定不能"},0),"○","停","×","－"),"")</f>
        <v>○</v>
      </c>
      <c r="BM16" s="35" t="str">
        <f aca="false">IFERROR(CHOOSE(MATCH(INDEX(時間ごとの判定!$AN$3:$AN$1850,301),{"利用可","両方停止","運転がそろわない","判定不能"},0),"○","停","×","－"),"")</f>
        <v>○</v>
      </c>
      <c r="BN16" s="35" t="str">
        <f aca="false">IFERROR(CHOOSE(MATCH(INDEX(時間ごとの判定!$AN$3:$AN$1850,302),{"利用可","両方停止","運転がそろわない","判定不能"},0),"○","停","×","－"),"")</f>
        <v>○</v>
      </c>
      <c r="BO16" s="35" t="str">
        <f aca="false">IFERROR(CHOOSE(MATCH(INDEX(時間ごとの判定!$AN$3:$AN$1850,303),{"利用可","両方停止","運転がそろわない","判定不能"},0),"○","停","×","－"),"")</f>
        <v>○</v>
      </c>
      <c r="BP16" s="35" t="str">
        <f aca="false">IFERROR(CHOOSE(MATCH(INDEX(時間ごとの判定!$AN$3:$AN$1850,304),{"利用可","両方停止","運転がそろわない","判定不能"},0),"○","停","×","－"),"")</f>
        <v>○</v>
      </c>
      <c r="BQ16" s="35" t="str">
        <f aca="false">IFERROR(CHOOSE(MATCH(INDEX(時間ごとの判定!$AN$3:$AN$1850,305),{"利用可","両方停止","運転がそろわない","判定不能"},0),"○","停","×","－"),"")</f>
        <v>○</v>
      </c>
      <c r="BR16" s="35" t="str">
        <f aca="false">IFERROR(CHOOSE(MATCH(INDEX(時間ごとの判定!$AN$3:$AN$1850,306),{"利用可","両方停止","運転がそろわない","判定不能"},0),"○","停","×","－"),"")</f>
        <v>○</v>
      </c>
      <c r="BS16" s="35" t="str">
        <f aca="false">IFERROR(CHOOSE(MATCH(INDEX(時間ごとの判定!$AN$3:$AN$1850,307),{"利用可","両方停止","運転がそろわない","判定不能"},0),"○","停","×","－"),"")</f>
        <v>×</v>
      </c>
      <c r="BT16" s="35" t="str">
        <f aca="false">IFERROR(CHOOSE(MATCH(INDEX(時間ごとの判定!$AN$3:$AN$1850,308),{"利用可","両方停止","運転がそろわない","判定不能"},0),"○","停","×","－"),"")</f>
        <v>○</v>
      </c>
      <c r="BU16" s="35" t="str">
        <f aca="false">IFERROR(CHOOSE(MATCH(INDEX(時間ごとの判定!$AN$3:$AN$1850,309),{"利用可","両方停止","運転がそろわない","判定不能"},0),"○","停","×","－"),"")</f>
        <v>×</v>
      </c>
      <c r="BV16" s="35" t="str">
        <f aca="false">IFERROR(CHOOSE(MATCH(INDEX(時間ごとの判定!$AN$3:$AN$1850,310),{"利用可","両方停止","運転がそろわない","判定不能"},0),"○","停","×","－"),"")</f>
        <v>×</v>
      </c>
      <c r="BW16" s="35" t="str">
        <f aca="false">IFERROR(CHOOSE(MATCH(INDEX(時間ごとの判定!$AN$3:$AN$1850,311),{"利用可","両方停止","運転がそろわない","判定不能"},0),"○","停","×","－"),"")</f>
        <v>×</v>
      </c>
      <c r="BX16" s="35" t="str">
        <f aca="false">IFERROR(CHOOSE(MATCH(INDEX(時間ごとの判定!$AN$3:$AN$1850,312),{"利用可","両方停止","運転がそろわない","判定不能"},0),"○","停","×","－"),"")</f>
        <v>×</v>
      </c>
    </row>
    <row r="17" customFormat="false" ht="15" hidden="false" customHeight="false" outlineLevel="0" collapsed="false">
      <c r="A17" s="33" t="n">
        <v>46245</v>
      </c>
      <c r="B17" s="36" t="s">
        <v>67</v>
      </c>
      <c r="C17" s="35" t="str">
        <f aca="false">IFERROR(CHOOSE(MATCH(INDEX(時間ごとの判定!$AH$3:$AH$1850,313),{"利用可","両方停止","運転がそろわない","判定不能"},0),"○","停","×","－"),"")</f>
        <v>停</v>
      </c>
      <c r="D17" s="35" t="str">
        <f aca="false">IFERROR(CHOOSE(MATCH(INDEX(時間ごとの判定!$AH$3:$AH$1850,314),{"利用可","両方停止","運転がそろわない","判定不能"},0),"○","停","×","－"),"")</f>
        <v>停</v>
      </c>
      <c r="E17" s="35" t="str">
        <f aca="false">IFERROR(CHOOSE(MATCH(INDEX(時間ごとの判定!$AH$3:$AH$1850,315),{"利用可","両方停止","運転がそろわない","判定不能"},0),"○","停","×","－"),"")</f>
        <v>停</v>
      </c>
      <c r="F17" s="35" t="str">
        <f aca="false">IFERROR(CHOOSE(MATCH(INDEX(時間ごとの判定!$AH$3:$AH$1850,316),{"利用可","両方停止","運転がそろわない","判定不能"},0),"○","停","×","－"),"")</f>
        <v>停</v>
      </c>
      <c r="G17" s="35" t="str">
        <f aca="false">IFERROR(CHOOSE(MATCH(INDEX(時間ごとの判定!$AH$3:$AH$1850,317),{"利用可","両方停止","運転がそろわない","判定不能"},0),"○","停","×","－"),"")</f>
        <v>停</v>
      </c>
      <c r="H17" s="35" t="str">
        <f aca="false">IFERROR(CHOOSE(MATCH(INDEX(時間ごとの判定!$AH$3:$AH$1850,318),{"利用可","両方停止","運転がそろわない","判定不能"},0),"○","停","×","－"),"")</f>
        <v>停</v>
      </c>
      <c r="I17" s="35" t="str">
        <f aca="false">IFERROR(CHOOSE(MATCH(INDEX(時間ごとの判定!$AH$3:$AH$1850,319),{"利用可","両方停止","運転がそろわない","判定不能"},0),"○","停","×","－"),"")</f>
        <v>停</v>
      </c>
      <c r="J17" s="35" t="str">
        <f aca="false">IFERROR(CHOOSE(MATCH(INDEX(時間ごとの判定!$AH$3:$AH$1850,320),{"利用可","両方停止","運転がそろわない","判定不能"},0),"○","停","×","－"),"")</f>
        <v>×</v>
      </c>
      <c r="K17" s="35" t="str">
        <f aca="false">IFERROR(CHOOSE(MATCH(INDEX(時間ごとの判定!$AH$3:$AH$1850,321),{"利用可","両方停止","運転がそろわない","判定不能"},0),"○","停","×","－"),"")</f>
        <v>×</v>
      </c>
      <c r="L17" s="35" t="str">
        <f aca="false">IFERROR(CHOOSE(MATCH(INDEX(時間ごとの判定!$AH$3:$AH$1850,322),{"利用可","両方停止","運転がそろわない","判定不能"},0),"○","停","×","－"),"")</f>
        <v>×</v>
      </c>
      <c r="M17" s="35" t="str">
        <f aca="false">IFERROR(CHOOSE(MATCH(INDEX(時間ごとの判定!$AH$3:$AH$1850,323),{"利用可","両方停止","運転がそろわない","判定不能"},0),"○","停","×","－"),"")</f>
        <v>×</v>
      </c>
      <c r="N17" s="35" t="str">
        <f aca="false">IFERROR(CHOOSE(MATCH(INDEX(時間ごとの判定!$AH$3:$AH$1850,324),{"利用可","両方停止","運転がそろわない","判定不能"},0),"○","停","×","－"),"")</f>
        <v>○</v>
      </c>
      <c r="O17" s="35" t="str">
        <f aca="false">IFERROR(CHOOSE(MATCH(INDEX(時間ごとの判定!$AH$3:$AH$1850,325),{"利用可","両方停止","運転がそろわない","判定不能"},0),"○","停","×","－"),"")</f>
        <v>×</v>
      </c>
      <c r="P17" s="35" t="str">
        <f aca="false">IFERROR(CHOOSE(MATCH(INDEX(時間ごとの判定!$AH$3:$AH$1850,326),{"利用可","両方停止","運転がそろわない","判定不能"},0),"○","停","×","－"),"")</f>
        <v>×</v>
      </c>
      <c r="Q17" s="35" t="str">
        <f aca="false">IFERROR(CHOOSE(MATCH(INDEX(時間ごとの判定!$AH$3:$AH$1850,327),{"利用可","両方停止","運転がそろわない","判定不能"},0),"○","停","×","－"),"")</f>
        <v>×</v>
      </c>
      <c r="R17" s="35" t="str">
        <f aca="false">IFERROR(CHOOSE(MATCH(INDEX(時間ごとの判定!$AH$3:$AH$1850,328),{"利用可","両方停止","運転がそろわない","判定不能"},0),"○","停","×","－"),"")</f>
        <v>×</v>
      </c>
      <c r="S17" s="35" t="str">
        <f aca="false">IFERROR(CHOOSE(MATCH(INDEX(時間ごとの判定!$AH$3:$AH$1850,329),{"利用可","両方停止","運転がそろわない","判定不能"},0),"○","停","×","－"),"")</f>
        <v>×</v>
      </c>
      <c r="T17" s="35" t="str">
        <f aca="false">IFERROR(CHOOSE(MATCH(INDEX(時間ごとの判定!$AH$3:$AH$1850,330),{"利用可","両方停止","運転がそろわない","判定不能"},0),"○","停","×","－"),"")</f>
        <v>×</v>
      </c>
      <c r="U17" s="35" t="str">
        <f aca="false">IFERROR(CHOOSE(MATCH(INDEX(時間ごとの判定!$AH$3:$AH$1850,331),{"利用可","両方停止","運転がそろわない","判定不能"},0),"○","停","×","－"),"")</f>
        <v>×</v>
      </c>
      <c r="V17" s="35" t="str">
        <f aca="false">IFERROR(CHOOSE(MATCH(INDEX(時間ごとの判定!$AH$3:$AH$1850,332),{"利用可","両方停止","運転がそろわない","判定不能"},0),"○","停","×","－"),"")</f>
        <v>×</v>
      </c>
      <c r="W17" s="35" t="str">
        <f aca="false">IFERROR(CHOOSE(MATCH(INDEX(時間ごとの判定!$AH$3:$AH$1850,333),{"利用可","両方停止","運転がそろわない","判定不能"},0),"○","停","×","－"),"")</f>
        <v>×</v>
      </c>
      <c r="X17" s="35" t="str">
        <f aca="false">IFERROR(CHOOSE(MATCH(INDEX(時間ごとの判定!$AH$3:$AH$1850,334),{"利用可","両方停止","運転がそろわない","判定不能"},0),"○","停","×","－"),"")</f>
        <v>停</v>
      </c>
      <c r="Y17" s="35" t="str">
        <f aca="false">IFERROR(CHOOSE(MATCH(INDEX(時間ごとの判定!$AH$3:$AH$1850,335),{"利用可","両方停止","運転がそろわない","判定不能"},0),"○","停","×","－"),"")</f>
        <v>停</v>
      </c>
      <c r="Z17" s="35" t="str">
        <f aca="false">IFERROR(CHOOSE(MATCH(INDEX(時間ごとの判定!$AH$3:$AH$1850,336),{"利用可","両方停止","運転がそろわない","判定不能"},0),"○","停","×","－"),"")</f>
        <v>停</v>
      </c>
      <c r="AA17" s="35"/>
      <c r="AB17" s="35" t="str">
        <f aca="false">IFERROR(CHOOSE(MATCH(INDEX(時間ごとの判定!$AK$3:$AK$1850,313),{"利用可","両方停止","運転がそろわない","判定不能"},0),"○","停","×","－"),"")</f>
        <v>停</v>
      </c>
      <c r="AC17" s="35" t="str">
        <f aca="false">IFERROR(CHOOSE(MATCH(INDEX(時間ごとの判定!$AK$3:$AK$1850,314),{"利用可","両方停止","運転がそろわない","判定不能"},0),"○","停","×","－"),"")</f>
        <v>停</v>
      </c>
      <c r="AD17" s="35" t="str">
        <f aca="false">IFERROR(CHOOSE(MATCH(INDEX(時間ごとの判定!$AK$3:$AK$1850,315),{"利用可","両方停止","運転がそろわない","判定不能"},0),"○","停","×","－"),"")</f>
        <v>停</v>
      </c>
      <c r="AE17" s="35" t="str">
        <f aca="false">IFERROR(CHOOSE(MATCH(INDEX(時間ごとの判定!$AK$3:$AK$1850,316),{"利用可","両方停止","運転がそろわない","判定不能"},0),"○","停","×","－"),"")</f>
        <v>停</v>
      </c>
      <c r="AF17" s="35" t="str">
        <f aca="false">IFERROR(CHOOSE(MATCH(INDEX(時間ごとの判定!$AK$3:$AK$1850,317),{"利用可","両方停止","運転がそろわない","判定不能"},0),"○","停","×","－"),"")</f>
        <v>停</v>
      </c>
      <c r="AG17" s="35" t="str">
        <f aca="false">IFERROR(CHOOSE(MATCH(INDEX(時間ごとの判定!$AK$3:$AK$1850,318),{"利用可","両方停止","運転がそろわない","判定不能"},0),"○","停","×","－"),"")</f>
        <v>停</v>
      </c>
      <c r="AH17" s="35" t="str">
        <f aca="false">IFERROR(CHOOSE(MATCH(INDEX(時間ごとの判定!$AK$3:$AK$1850,319),{"利用可","両方停止","運転がそろわない","判定不能"},0),"○","停","×","－"),"")</f>
        <v>停</v>
      </c>
      <c r="AI17" s="35" t="str">
        <f aca="false">IFERROR(CHOOSE(MATCH(INDEX(時間ごとの判定!$AK$3:$AK$1850,320),{"利用可","両方停止","運転がそろわない","判定不能"},0),"○","停","×","－"),"")</f>
        <v>停</v>
      </c>
      <c r="AJ17" s="35" t="str">
        <f aca="false">IFERROR(CHOOSE(MATCH(INDEX(時間ごとの判定!$AK$3:$AK$1850,321),{"利用可","両方停止","運転がそろわない","判定不能"},0),"○","停","×","－"),"")</f>
        <v>停</v>
      </c>
      <c r="AK17" s="35" t="str">
        <f aca="false">IFERROR(CHOOSE(MATCH(INDEX(時間ごとの判定!$AK$3:$AK$1850,322),{"利用可","両方停止","運転がそろわない","判定不能"},0),"○","停","×","－"),"")</f>
        <v>×</v>
      </c>
      <c r="AL17" s="35" t="str">
        <f aca="false">IFERROR(CHOOSE(MATCH(INDEX(時間ごとの判定!$AK$3:$AK$1850,323),{"利用可","両方停止","運転がそろわない","判定不能"},0),"○","停","×","－"),"")</f>
        <v>×</v>
      </c>
      <c r="AM17" s="35" t="str">
        <f aca="false">IFERROR(CHOOSE(MATCH(INDEX(時間ごとの判定!$AK$3:$AK$1850,324),{"利用可","両方停止","運転がそろわない","判定不能"},0),"○","停","×","－"),"")</f>
        <v>×</v>
      </c>
      <c r="AN17" s="35" t="str">
        <f aca="false">IFERROR(CHOOSE(MATCH(INDEX(時間ごとの判定!$AK$3:$AK$1850,325),{"利用可","両方停止","運転がそろわない","判定不能"},0),"○","停","×","－"),"")</f>
        <v>×</v>
      </c>
      <c r="AO17" s="35" t="str">
        <f aca="false">IFERROR(CHOOSE(MATCH(INDEX(時間ごとの判定!$AK$3:$AK$1850,326),{"利用可","両方停止","運転がそろわない","判定不能"},0),"○","停","×","－"),"")</f>
        <v>×</v>
      </c>
      <c r="AP17" s="35" t="str">
        <f aca="false">IFERROR(CHOOSE(MATCH(INDEX(時間ごとの判定!$AK$3:$AK$1850,327),{"利用可","両方停止","運転がそろわない","判定不能"},0),"○","停","×","－"),"")</f>
        <v>×</v>
      </c>
      <c r="AQ17" s="35" t="str">
        <f aca="false">IFERROR(CHOOSE(MATCH(INDEX(時間ごとの判定!$AK$3:$AK$1850,328),{"利用可","両方停止","運転がそろわない","判定不能"},0),"○","停","×","－"),"")</f>
        <v>×</v>
      </c>
      <c r="AR17" s="35" t="str">
        <f aca="false">IFERROR(CHOOSE(MATCH(INDEX(時間ごとの判定!$AK$3:$AK$1850,329),{"利用可","両方停止","運転がそろわない","判定不能"},0),"○","停","×","－"),"")</f>
        <v>×</v>
      </c>
      <c r="AS17" s="35" t="str">
        <f aca="false">IFERROR(CHOOSE(MATCH(INDEX(時間ごとの判定!$AK$3:$AK$1850,330),{"利用可","両方停止","運転がそろわない","判定不能"},0),"○","停","×","－"),"")</f>
        <v>×</v>
      </c>
      <c r="AT17" s="35" t="str">
        <f aca="false">IFERROR(CHOOSE(MATCH(INDEX(時間ごとの判定!$AK$3:$AK$1850,331),{"利用可","両方停止","運転がそろわない","判定不能"},0),"○","停","×","－"),"")</f>
        <v>×</v>
      </c>
      <c r="AU17" s="35" t="str">
        <f aca="false">IFERROR(CHOOSE(MATCH(INDEX(時間ごとの判定!$AK$3:$AK$1850,332),{"利用可","両方停止","運転がそろわない","判定不能"},0),"○","停","×","－"),"")</f>
        <v>×</v>
      </c>
      <c r="AV17" s="35" t="str">
        <f aca="false">IFERROR(CHOOSE(MATCH(INDEX(時間ごとの判定!$AK$3:$AK$1850,333),{"利用可","両方停止","運転がそろわない","判定不能"},0),"○","停","×","－"),"")</f>
        <v>×</v>
      </c>
      <c r="AW17" s="35" t="str">
        <f aca="false">IFERROR(CHOOSE(MATCH(INDEX(時間ごとの判定!$AK$3:$AK$1850,334),{"利用可","両方停止","運転がそろわない","判定不能"},0),"○","停","×","－"),"")</f>
        <v>停</v>
      </c>
      <c r="AX17" s="35" t="str">
        <f aca="false">IFERROR(CHOOSE(MATCH(INDEX(時間ごとの判定!$AK$3:$AK$1850,335),{"利用可","両方停止","運転がそろわない","判定不能"},0),"○","停","×","－"),"")</f>
        <v>停</v>
      </c>
      <c r="AY17" s="35" t="str">
        <f aca="false">IFERROR(CHOOSE(MATCH(INDEX(時間ごとの判定!$AK$3:$AK$1850,336),{"利用可","両方停止","運転がそろわない","判定不能"},0),"○","停","×","－"),"")</f>
        <v>停</v>
      </c>
      <c r="AZ17" s="35"/>
      <c r="BA17" s="35" t="str">
        <f aca="false">IFERROR(CHOOSE(MATCH(INDEX(時間ごとの判定!$AN$3:$AN$1850,313),{"利用可","両方停止","運転がそろわない","判定不能"},0),"○","停","×","－"),"")</f>
        <v>×</v>
      </c>
      <c r="BB17" s="35" t="str">
        <f aca="false">IFERROR(CHOOSE(MATCH(INDEX(時間ごとの判定!$AN$3:$AN$1850,314),{"利用可","両方停止","運転がそろわない","判定不能"},0),"○","停","×","－"),"")</f>
        <v>×</v>
      </c>
      <c r="BC17" s="35" t="str">
        <f aca="false">IFERROR(CHOOSE(MATCH(INDEX(時間ごとの判定!$AN$3:$AN$1850,315),{"利用可","両方停止","運転がそろわない","判定不能"},0),"○","停","×","－"),"")</f>
        <v>×</v>
      </c>
      <c r="BD17" s="35" t="str">
        <f aca="false">IFERROR(CHOOSE(MATCH(INDEX(時間ごとの判定!$AN$3:$AN$1850,316),{"利用可","両方停止","運転がそろわない","判定不能"},0),"○","停","×","－"),"")</f>
        <v>×</v>
      </c>
      <c r="BE17" s="35" t="str">
        <f aca="false">IFERROR(CHOOSE(MATCH(INDEX(時間ごとの判定!$AN$3:$AN$1850,317),{"利用可","両方停止","運転がそろわない","判定不能"},0),"○","停","×","－"),"")</f>
        <v>×</v>
      </c>
      <c r="BF17" s="35" t="str">
        <f aca="false">IFERROR(CHOOSE(MATCH(INDEX(時間ごとの判定!$AN$3:$AN$1850,318),{"利用可","両方停止","運転がそろわない","判定不能"},0),"○","停","×","－"),"")</f>
        <v>×</v>
      </c>
      <c r="BG17" s="35" t="str">
        <f aca="false">IFERROR(CHOOSE(MATCH(INDEX(時間ごとの判定!$AN$3:$AN$1850,319),{"利用可","両方停止","運転がそろわない","判定不能"},0),"○","停","×","－"),"")</f>
        <v>×</v>
      </c>
      <c r="BH17" s="35" t="str">
        <f aca="false">IFERROR(CHOOSE(MATCH(INDEX(時間ごとの判定!$AN$3:$AN$1850,320),{"利用可","両方停止","運転がそろわない","判定不能"},0),"○","停","×","－"),"")</f>
        <v>×</v>
      </c>
      <c r="BI17" s="35" t="str">
        <f aca="false">IFERROR(CHOOSE(MATCH(INDEX(時間ごとの判定!$AN$3:$AN$1850,321),{"利用可","両方停止","運転がそろわない","判定不能"},0),"○","停","×","－"),"")</f>
        <v>○</v>
      </c>
      <c r="BJ17" s="35" t="str">
        <f aca="false">IFERROR(CHOOSE(MATCH(INDEX(時間ごとの判定!$AN$3:$AN$1850,322),{"利用可","両方停止","運転がそろわない","判定不能"},0),"○","停","×","－"),"")</f>
        <v>○</v>
      </c>
      <c r="BK17" s="35" t="str">
        <f aca="false">IFERROR(CHOOSE(MATCH(INDEX(時間ごとの判定!$AN$3:$AN$1850,323),{"利用可","両方停止","運転がそろわない","判定不能"},0),"○","停","×","－"),"")</f>
        <v>○</v>
      </c>
      <c r="BL17" s="35" t="str">
        <f aca="false">IFERROR(CHOOSE(MATCH(INDEX(時間ごとの判定!$AN$3:$AN$1850,324),{"利用可","両方停止","運転がそろわない","判定不能"},0),"○","停","×","－"),"")</f>
        <v>○</v>
      </c>
      <c r="BM17" s="35" t="str">
        <f aca="false">IFERROR(CHOOSE(MATCH(INDEX(時間ごとの判定!$AN$3:$AN$1850,325),{"利用可","両方停止","運転がそろわない","判定不能"},0),"○","停","×","－"),"")</f>
        <v>×</v>
      </c>
      <c r="BN17" s="35" t="str">
        <f aca="false">IFERROR(CHOOSE(MATCH(INDEX(時間ごとの判定!$AN$3:$AN$1850,326),{"利用可","両方停止","運転がそろわない","判定不能"},0),"○","停","×","－"),"")</f>
        <v>×</v>
      </c>
      <c r="BO17" s="35" t="str">
        <f aca="false">IFERROR(CHOOSE(MATCH(INDEX(時間ごとの判定!$AN$3:$AN$1850,327),{"利用可","両方停止","運転がそろわない","判定不能"},0),"○","停","×","－"),"")</f>
        <v>×</v>
      </c>
      <c r="BP17" s="35" t="str">
        <f aca="false">IFERROR(CHOOSE(MATCH(INDEX(時間ごとの判定!$AN$3:$AN$1850,328),{"利用可","両方停止","運転がそろわない","判定不能"},0),"○","停","×","－"),"")</f>
        <v>×</v>
      </c>
      <c r="BQ17" s="35" t="str">
        <f aca="false">IFERROR(CHOOSE(MATCH(INDEX(時間ごとの判定!$AN$3:$AN$1850,329),{"利用可","両方停止","運転がそろわない","判定不能"},0),"○","停","×","－"),"")</f>
        <v>×</v>
      </c>
      <c r="BR17" s="35" t="str">
        <f aca="false">IFERROR(CHOOSE(MATCH(INDEX(時間ごとの判定!$AN$3:$AN$1850,330),{"利用可","両方停止","運転がそろわない","判定不能"},0),"○","停","×","－"),"")</f>
        <v>×</v>
      </c>
      <c r="BS17" s="35" t="str">
        <f aca="false">IFERROR(CHOOSE(MATCH(INDEX(時間ごとの判定!$AN$3:$AN$1850,331),{"利用可","両方停止","運転がそろわない","判定不能"},0),"○","停","×","－"),"")</f>
        <v>×</v>
      </c>
      <c r="BT17" s="35" t="str">
        <f aca="false">IFERROR(CHOOSE(MATCH(INDEX(時間ごとの判定!$AN$3:$AN$1850,332),{"利用可","両方停止","運転がそろわない","判定不能"},0),"○","停","×","－"),"")</f>
        <v>×</v>
      </c>
      <c r="BU17" s="35" t="str">
        <f aca="false">IFERROR(CHOOSE(MATCH(INDEX(時間ごとの判定!$AN$3:$AN$1850,333),{"利用可","両方停止","運転がそろわない","判定不能"},0),"○","停","×","－"),"")</f>
        <v>×</v>
      </c>
      <c r="BV17" s="35" t="str">
        <f aca="false">IFERROR(CHOOSE(MATCH(INDEX(時間ごとの判定!$AN$3:$AN$1850,334),{"利用可","両方停止","運転がそろわない","判定不能"},0),"○","停","×","－"),"")</f>
        <v>×</v>
      </c>
      <c r="BW17" s="35" t="str">
        <f aca="false">IFERROR(CHOOSE(MATCH(INDEX(時間ごとの判定!$AN$3:$AN$1850,335),{"利用可","両方停止","運転がそろわない","判定不能"},0),"○","停","×","－"),"")</f>
        <v>×</v>
      </c>
      <c r="BX17" s="35" t="str">
        <f aca="false">IFERROR(CHOOSE(MATCH(INDEX(時間ごとの判定!$AN$3:$AN$1850,336),{"利用可","両方停止","運転がそろわない","判定不能"},0),"○","停","×","－"),"")</f>
        <v>×</v>
      </c>
    </row>
    <row r="18" customFormat="false" ht="15" hidden="false" customHeight="false" outlineLevel="0" collapsed="false">
      <c r="A18" s="33" t="n">
        <v>46246</v>
      </c>
      <c r="B18" s="34" t="s">
        <v>58</v>
      </c>
      <c r="C18" s="35" t="str">
        <f aca="false">IFERROR(CHOOSE(MATCH(INDEX(時間ごとの判定!$AH$3:$AH$1850,337),{"利用可","両方停止","運転がそろわない","判定不能"},0),"○","停","×","－"),"")</f>
        <v>停</v>
      </c>
      <c r="D18" s="35" t="str">
        <f aca="false">IFERROR(CHOOSE(MATCH(INDEX(時間ごとの判定!$AH$3:$AH$1850,338),{"利用可","両方停止","運転がそろわない","判定不能"},0),"○","停","×","－"),"")</f>
        <v>停</v>
      </c>
      <c r="E18" s="35" t="str">
        <f aca="false">IFERROR(CHOOSE(MATCH(INDEX(時間ごとの判定!$AH$3:$AH$1850,339),{"利用可","両方停止","運転がそろわない","判定不能"},0),"○","停","×","－"),"")</f>
        <v>停</v>
      </c>
      <c r="F18" s="35" t="str">
        <f aca="false">IFERROR(CHOOSE(MATCH(INDEX(時間ごとの判定!$AH$3:$AH$1850,340),{"利用可","両方停止","運転がそろわない","判定不能"},0),"○","停","×","－"),"")</f>
        <v>停</v>
      </c>
      <c r="G18" s="35" t="str">
        <f aca="false">IFERROR(CHOOSE(MATCH(INDEX(時間ごとの判定!$AH$3:$AH$1850,341),{"利用可","両方停止","運転がそろわない","判定不能"},0),"○","停","×","－"),"")</f>
        <v>停</v>
      </c>
      <c r="H18" s="35" t="str">
        <f aca="false">IFERROR(CHOOSE(MATCH(INDEX(時間ごとの判定!$AH$3:$AH$1850,342),{"利用可","両方停止","運転がそろわない","判定不能"},0),"○","停","×","－"),"")</f>
        <v>停</v>
      </c>
      <c r="I18" s="35" t="str">
        <f aca="false">IFERROR(CHOOSE(MATCH(INDEX(時間ごとの判定!$AH$3:$AH$1850,343),{"利用可","両方停止","運転がそろわない","判定不能"},0),"○","停","×","－"),"")</f>
        <v>停</v>
      </c>
      <c r="J18" s="35" t="str">
        <f aca="false">IFERROR(CHOOSE(MATCH(INDEX(時間ごとの判定!$AH$3:$AH$1850,344),{"利用可","両方停止","運転がそろわない","判定不能"},0),"○","停","×","－"),"")</f>
        <v>×</v>
      </c>
      <c r="K18" s="35" t="str">
        <f aca="false">IFERROR(CHOOSE(MATCH(INDEX(時間ごとの判定!$AH$3:$AH$1850,345),{"利用可","両方停止","運転がそろわない","判定不能"},0),"○","停","×","－"),"")</f>
        <v>○</v>
      </c>
      <c r="L18" s="35" t="str">
        <f aca="false">IFERROR(CHOOSE(MATCH(INDEX(時間ごとの判定!$AH$3:$AH$1850,346),{"利用可","両方停止","運転がそろわない","判定不能"},0),"○","停","×","－"),"")</f>
        <v>○</v>
      </c>
      <c r="M18" s="35" t="str">
        <f aca="false">IFERROR(CHOOSE(MATCH(INDEX(時間ごとの判定!$AH$3:$AH$1850,347),{"利用可","両方停止","運転がそろわない","判定不能"},0),"○","停","×","－"),"")</f>
        <v>○</v>
      </c>
      <c r="N18" s="35" t="str">
        <f aca="false">IFERROR(CHOOSE(MATCH(INDEX(時間ごとの判定!$AH$3:$AH$1850,348),{"利用可","両方停止","運転がそろわない","判定不能"},0),"○","停","×","－"),"")</f>
        <v>○</v>
      </c>
      <c r="O18" s="35" t="str">
        <f aca="false">IFERROR(CHOOSE(MATCH(INDEX(時間ごとの判定!$AH$3:$AH$1850,349),{"利用可","両方停止","運転がそろわない","判定不能"},0),"○","停","×","－"),"")</f>
        <v>○</v>
      </c>
      <c r="P18" s="35" t="str">
        <f aca="false">IFERROR(CHOOSE(MATCH(INDEX(時間ごとの判定!$AH$3:$AH$1850,350),{"利用可","両方停止","運転がそろわない","判定不能"},0),"○","停","×","－"),"")</f>
        <v>○</v>
      </c>
      <c r="Q18" s="35" t="str">
        <f aca="false">IFERROR(CHOOSE(MATCH(INDEX(時間ごとの判定!$AH$3:$AH$1850,351),{"利用可","両方停止","運転がそろわない","判定不能"},0),"○","停","×","－"),"")</f>
        <v>○</v>
      </c>
      <c r="R18" s="35" t="str">
        <f aca="false">IFERROR(CHOOSE(MATCH(INDEX(時間ごとの判定!$AH$3:$AH$1850,352),{"利用可","両方停止","運転がそろわない","判定不能"},0),"○","停","×","－"),"")</f>
        <v>○</v>
      </c>
      <c r="S18" s="35" t="str">
        <f aca="false">IFERROR(CHOOSE(MATCH(INDEX(時間ごとの判定!$AH$3:$AH$1850,353),{"利用可","両方停止","運転がそろわない","判定不能"},0),"○","停","×","－"),"")</f>
        <v>○</v>
      </c>
      <c r="T18" s="35" t="str">
        <f aca="false">IFERROR(CHOOSE(MATCH(INDEX(時間ごとの判定!$AH$3:$AH$1850,354),{"利用可","両方停止","運転がそろわない","判定不能"},0),"○","停","×","－"),"")</f>
        <v>○</v>
      </c>
      <c r="U18" s="35" t="str">
        <f aca="false">IFERROR(CHOOSE(MATCH(INDEX(時間ごとの判定!$AH$3:$AH$1850,355),{"利用可","両方停止","運転がそろわない","判定不能"},0),"○","停","×","－"),"")</f>
        <v>×</v>
      </c>
      <c r="V18" s="35" t="str">
        <f aca="false">IFERROR(CHOOSE(MATCH(INDEX(時間ごとの判定!$AH$3:$AH$1850,356),{"利用可","両方停止","運転がそろわない","判定不能"},0),"○","停","×","－"),"")</f>
        <v>×</v>
      </c>
      <c r="W18" s="35" t="str">
        <f aca="false">IFERROR(CHOOSE(MATCH(INDEX(時間ごとの判定!$AH$3:$AH$1850,357),{"利用可","両方停止","運転がそろわない","判定不能"},0),"○","停","×","－"),"")</f>
        <v>×</v>
      </c>
      <c r="X18" s="35" t="str">
        <f aca="false">IFERROR(CHOOSE(MATCH(INDEX(時間ごとの判定!$AH$3:$AH$1850,358),{"利用可","両方停止","運転がそろわない","判定不能"},0),"○","停","×","－"),"")</f>
        <v>停</v>
      </c>
      <c r="Y18" s="35" t="str">
        <f aca="false">IFERROR(CHOOSE(MATCH(INDEX(時間ごとの判定!$AH$3:$AH$1850,359),{"利用可","両方停止","運転がそろわない","判定不能"},0),"○","停","×","－"),"")</f>
        <v>停</v>
      </c>
      <c r="Z18" s="35" t="str">
        <f aca="false">IFERROR(CHOOSE(MATCH(INDEX(時間ごとの判定!$AH$3:$AH$1850,360),{"利用可","両方停止","運転がそろわない","判定不能"},0),"○","停","×","－"),"")</f>
        <v>停</v>
      </c>
      <c r="AA18" s="35"/>
      <c r="AB18" s="35" t="str">
        <f aca="false">IFERROR(CHOOSE(MATCH(INDEX(時間ごとの判定!$AK$3:$AK$1850,337),{"利用可","両方停止","運転がそろわない","判定不能"},0),"○","停","×","－"),"")</f>
        <v>停</v>
      </c>
      <c r="AC18" s="35" t="str">
        <f aca="false">IFERROR(CHOOSE(MATCH(INDEX(時間ごとの判定!$AK$3:$AK$1850,338),{"利用可","両方停止","運転がそろわない","判定不能"},0),"○","停","×","－"),"")</f>
        <v>停</v>
      </c>
      <c r="AD18" s="35" t="str">
        <f aca="false">IFERROR(CHOOSE(MATCH(INDEX(時間ごとの判定!$AK$3:$AK$1850,339),{"利用可","両方停止","運転がそろわない","判定不能"},0),"○","停","×","－"),"")</f>
        <v>停</v>
      </c>
      <c r="AE18" s="35" t="str">
        <f aca="false">IFERROR(CHOOSE(MATCH(INDEX(時間ごとの判定!$AK$3:$AK$1850,340),{"利用可","両方停止","運転がそろわない","判定不能"},0),"○","停","×","－"),"")</f>
        <v>停</v>
      </c>
      <c r="AF18" s="35" t="str">
        <f aca="false">IFERROR(CHOOSE(MATCH(INDEX(時間ごとの判定!$AK$3:$AK$1850,341),{"利用可","両方停止","運転がそろわない","判定不能"},0),"○","停","×","－"),"")</f>
        <v>停</v>
      </c>
      <c r="AG18" s="35" t="str">
        <f aca="false">IFERROR(CHOOSE(MATCH(INDEX(時間ごとの判定!$AK$3:$AK$1850,342),{"利用可","両方停止","運転がそろわない","判定不能"},0),"○","停","×","－"),"")</f>
        <v>停</v>
      </c>
      <c r="AH18" s="35" t="str">
        <f aca="false">IFERROR(CHOOSE(MATCH(INDEX(時間ごとの判定!$AK$3:$AK$1850,343),{"利用可","両方停止","運転がそろわない","判定不能"},0),"○","停","×","－"),"")</f>
        <v>停</v>
      </c>
      <c r="AI18" s="35" t="str">
        <f aca="false">IFERROR(CHOOSE(MATCH(INDEX(時間ごとの判定!$AK$3:$AK$1850,344),{"利用可","両方停止","運転がそろわない","判定不能"},0),"○","停","×","－"),"")</f>
        <v>停</v>
      </c>
      <c r="AJ18" s="35" t="str">
        <f aca="false">IFERROR(CHOOSE(MATCH(INDEX(時間ごとの判定!$AK$3:$AK$1850,345),{"利用可","両方停止","運転がそろわない","判定不能"},0),"○","停","×","－"),"")</f>
        <v>×</v>
      </c>
      <c r="AK18" s="35" t="str">
        <f aca="false">IFERROR(CHOOSE(MATCH(INDEX(時間ごとの判定!$AK$3:$AK$1850,346),{"利用可","両方停止","運転がそろわない","判定不能"},0),"○","停","×","－"),"")</f>
        <v>○</v>
      </c>
      <c r="AL18" s="35" t="str">
        <f aca="false">IFERROR(CHOOSE(MATCH(INDEX(時間ごとの判定!$AK$3:$AK$1850,347),{"利用可","両方停止","運転がそろわない","判定不能"},0),"○","停","×","－"),"")</f>
        <v>○</v>
      </c>
      <c r="AM18" s="35" t="str">
        <f aca="false">IFERROR(CHOOSE(MATCH(INDEX(時間ごとの判定!$AK$3:$AK$1850,348),{"利用可","両方停止","運転がそろわない","判定不能"},0),"○","停","×","－"),"")</f>
        <v>○</v>
      </c>
      <c r="AN18" s="35" t="str">
        <f aca="false">IFERROR(CHOOSE(MATCH(INDEX(時間ごとの判定!$AK$3:$AK$1850,349),{"利用可","両方停止","運転がそろわない","判定不能"},0),"○","停","×","－"),"")</f>
        <v>×</v>
      </c>
      <c r="AO18" s="35" t="str">
        <f aca="false">IFERROR(CHOOSE(MATCH(INDEX(時間ごとの判定!$AK$3:$AK$1850,350),{"利用可","両方停止","運転がそろわない","判定不能"},0),"○","停","×","－"),"")</f>
        <v>×</v>
      </c>
      <c r="AP18" s="35" t="str">
        <f aca="false">IFERROR(CHOOSE(MATCH(INDEX(時間ごとの判定!$AK$3:$AK$1850,351),{"利用可","両方停止","運転がそろわない","判定不能"},0),"○","停","×","－"),"")</f>
        <v>×</v>
      </c>
      <c r="AQ18" s="35" t="str">
        <f aca="false">IFERROR(CHOOSE(MATCH(INDEX(時間ごとの判定!$AK$3:$AK$1850,352),{"利用可","両方停止","運転がそろわない","判定不能"},0),"○","停","×","－"),"")</f>
        <v>×</v>
      </c>
      <c r="AR18" s="35" t="str">
        <f aca="false">IFERROR(CHOOSE(MATCH(INDEX(時間ごとの判定!$AK$3:$AK$1850,353),{"利用可","両方停止","運転がそろわない","判定不能"},0),"○","停","×","－"),"")</f>
        <v>×</v>
      </c>
      <c r="AS18" s="35" t="str">
        <f aca="false">IFERROR(CHOOSE(MATCH(INDEX(時間ごとの判定!$AK$3:$AK$1850,354),{"利用可","両方停止","運転がそろわない","判定不能"},0),"○","停","×","－"),"")</f>
        <v>×</v>
      </c>
      <c r="AT18" s="35" t="str">
        <f aca="false">IFERROR(CHOOSE(MATCH(INDEX(時間ごとの判定!$AK$3:$AK$1850,355),{"利用可","両方停止","運転がそろわない","判定不能"},0),"○","停","×","－"),"")</f>
        <v>×</v>
      </c>
      <c r="AU18" s="35" t="str">
        <f aca="false">IFERROR(CHOOSE(MATCH(INDEX(時間ごとの判定!$AK$3:$AK$1850,356),{"利用可","両方停止","運転がそろわない","判定不能"},0),"○","停","×","－"),"")</f>
        <v>×</v>
      </c>
      <c r="AV18" s="35" t="str">
        <f aca="false">IFERROR(CHOOSE(MATCH(INDEX(時間ごとの判定!$AK$3:$AK$1850,357),{"利用可","両方停止","運転がそろわない","判定不能"},0),"○","停","×","－"),"")</f>
        <v>×</v>
      </c>
      <c r="AW18" s="35" t="str">
        <f aca="false">IFERROR(CHOOSE(MATCH(INDEX(時間ごとの判定!$AK$3:$AK$1850,358),{"利用可","両方停止","運転がそろわない","判定不能"},0),"○","停","×","－"),"")</f>
        <v>停</v>
      </c>
      <c r="AX18" s="35" t="str">
        <f aca="false">IFERROR(CHOOSE(MATCH(INDEX(時間ごとの判定!$AK$3:$AK$1850,359),{"利用可","両方停止","運転がそろわない","判定不能"},0),"○","停","×","－"),"")</f>
        <v>停</v>
      </c>
      <c r="AY18" s="35" t="str">
        <f aca="false">IFERROR(CHOOSE(MATCH(INDEX(時間ごとの判定!$AK$3:$AK$1850,360),{"利用可","両方停止","運転がそろわない","判定不能"},0),"○","停","×","－"),"")</f>
        <v>停</v>
      </c>
      <c r="AZ18" s="35"/>
      <c r="BA18" s="35" t="str">
        <f aca="false">IFERROR(CHOOSE(MATCH(INDEX(時間ごとの判定!$AN$3:$AN$1850,337),{"利用可","両方停止","運転がそろわない","判定不能"},0),"○","停","×","－"),"")</f>
        <v>×</v>
      </c>
      <c r="BB18" s="35" t="str">
        <f aca="false">IFERROR(CHOOSE(MATCH(INDEX(時間ごとの判定!$AN$3:$AN$1850,338),{"利用可","両方停止","運転がそろわない","判定不能"},0),"○","停","×","－"),"")</f>
        <v>×</v>
      </c>
      <c r="BC18" s="35" t="str">
        <f aca="false">IFERROR(CHOOSE(MATCH(INDEX(時間ごとの判定!$AN$3:$AN$1850,339),{"利用可","両方停止","運転がそろわない","判定不能"},0),"○","停","×","－"),"")</f>
        <v>×</v>
      </c>
      <c r="BD18" s="35" t="str">
        <f aca="false">IFERROR(CHOOSE(MATCH(INDEX(時間ごとの判定!$AN$3:$AN$1850,340),{"利用可","両方停止","運転がそろわない","判定不能"},0),"○","停","×","－"),"")</f>
        <v>×</v>
      </c>
      <c r="BE18" s="35" t="str">
        <f aca="false">IFERROR(CHOOSE(MATCH(INDEX(時間ごとの判定!$AN$3:$AN$1850,341),{"利用可","両方停止","運転がそろわない","判定不能"},0),"○","停","×","－"),"")</f>
        <v>×</v>
      </c>
      <c r="BF18" s="35" t="str">
        <f aca="false">IFERROR(CHOOSE(MATCH(INDEX(時間ごとの判定!$AN$3:$AN$1850,342),{"利用可","両方停止","運転がそろわない","判定不能"},0),"○","停","×","－"),"")</f>
        <v>×</v>
      </c>
      <c r="BG18" s="35" t="str">
        <f aca="false">IFERROR(CHOOSE(MATCH(INDEX(時間ごとの判定!$AN$3:$AN$1850,343),{"利用可","両方停止","運転がそろわない","判定不能"},0),"○","停","×","－"),"")</f>
        <v>×</v>
      </c>
      <c r="BH18" s="35" t="str">
        <f aca="false">IFERROR(CHOOSE(MATCH(INDEX(時間ごとの判定!$AN$3:$AN$1850,344),{"利用可","両方停止","運転がそろわない","判定不能"},0),"○","停","×","－"),"")</f>
        <v>×</v>
      </c>
      <c r="BI18" s="35" t="str">
        <f aca="false">IFERROR(CHOOSE(MATCH(INDEX(時間ごとの判定!$AN$3:$AN$1850,345),{"利用可","両方停止","運転がそろわない","判定不能"},0),"○","停","×","－"),"")</f>
        <v>○</v>
      </c>
      <c r="BJ18" s="35" t="str">
        <f aca="false">IFERROR(CHOOSE(MATCH(INDEX(時間ごとの判定!$AN$3:$AN$1850,346),{"利用可","両方停止","運転がそろわない","判定不能"},0),"○","停","×","－"),"")</f>
        <v>○</v>
      </c>
      <c r="BK18" s="35" t="str">
        <f aca="false">IFERROR(CHOOSE(MATCH(INDEX(時間ごとの判定!$AN$3:$AN$1850,347),{"利用可","両方停止","運転がそろわない","判定不能"},0),"○","停","×","－"),"")</f>
        <v>○</v>
      </c>
      <c r="BL18" s="35" t="str">
        <f aca="false">IFERROR(CHOOSE(MATCH(INDEX(時間ごとの判定!$AN$3:$AN$1850,348),{"利用可","両方停止","運転がそろわない","判定不能"},0),"○","停","×","－"),"")</f>
        <v>○</v>
      </c>
      <c r="BM18" s="35" t="str">
        <f aca="false">IFERROR(CHOOSE(MATCH(INDEX(時間ごとの判定!$AN$3:$AN$1850,349),{"利用可","両方停止","運転がそろわない","判定不能"},0),"○","停","×","－"),"")</f>
        <v>○</v>
      </c>
      <c r="BN18" s="35" t="str">
        <f aca="false">IFERROR(CHOOSE(MATCH(INDEX(時間ごとの判定!$AN$3:$AN$1850,350),{"利用可","両方停止","運転がそろわない","判定不能"},0),"○","停","×","－"),"")</f>
        <v>○</v>
      </c>
      <c r="BO18" s="35" t="str">
        <f aca="false">IFERROR(CHOOSE(MATCH(INDEX(時間ごとの判定!$AN$3:$AN$1850,351),{"利用可","両方停止","運転がそろわない","判定不能"},0),"○","停","×","－"),"")</f>
        <v>○</v>
      </c>
      <c r="BP18" s="35" t="str">
        <f aca="false">IFERROR(CHOOSE(MATCH(INDEX(時間ごとの判定!$AN$3:$AN$1850,352),{"利用可","両方停止","運転がそろわない","判定不能"},0),"○","停","×","－"),"")</f>
        <v>○</v>
      </c>
      <c r="BQ18" s="35" t="str">
        <f aca="false">IFERROR(CHOOSE(MATCH(INDEX(時間ごとの判定!$AN$3:$AN$1850,353),{"利用可","両方停止","運転がそろわない","判定不能"},0),"○","停","×","－"),"")</f>
        <v>○</v>
      </c>
      <c r="BR18" s="35" t="str">
        <f aca="false">IFERROR(CHOOSE(MATCH(INDEX(時間ごとの判定!$AN$3:$AN$1850,354),{"利用可","両方停止","運転がそろわない","判定不能"},0),"○","停","×","－"),"")</f>
        <v>○</v>
      </c>
      <c r="BS18" s="35" t="str">
        <f aca="false">IFERROR(CHOOSE(MATCH(INDEX(時間ごとの判定!$AN$3:$AN$1850,355),{"利用可","両方停止","運転がそろわない","判定不能"},0),"○","停","×","－"),"")</f>
        <v>×</v>
      </c>
      <c r="BT18" s="35" t="str">
        <f aca="false">IFERROR(CHOOSE(MATCH(INDEX(時間ごとの判定!$AN$3:$AN$1850,356),{"利用可","両方停止","運転がそろわない","判定不能"},0),"○","停","×","－"),"")</f>
        <v>○</v>
      </c>
      <c r="BU18" s="35" t="str">
        <f aca="false">IFERROR(CHOOSE(MATCH(INDEX(時間ごとの判定!$AN$3:$AN$1850,357),{"利用可","両方停止","運転がそろわない","判定不能"},0),"○","停","×","－"),"")</f>
        <v>×</v>
      </c>
      <c r="BV18" s="35" t="str">
        <f aca="false">IFERROR(CHOOSE(MATCH(INDEX(時間ごとの判定!$AN$3:$AN$1850,358),{"利用可","両方停止","運転がそろわない","判定不能"},0),"○","停","×","－"),"")</f>
        <v>×</v>
      </c>
      <c r="BW18" s="35" t="str">
        <f aca="false">IFERROR(CHOOSE(MATCH(INDEX(時間ごとの判定!$AN$3:$AN$1850,359),{"利用可","両方停止","運転がそろわない","判定不能"},0),"○","停","×","－"),"")</f>
        <v>×</v>
      </c>
      <c r="BX18" s="35" t="str">
        <f aca="false">IFERROR(CHOOSE(MATCH(INDEX(時間ごとの判定!$AN$3:$AN$1850,360),{"利用可","両方停止","運転がそろわない","判定不能"},0),"○","停","×","－"),"")</f>
        <v>×</v>
      </c>
    </row>
    <row r="19" customFormat="false" ht="15" hidden="false" customHeight="false" outlineLevel="0" collapsed="false">
      <c r="A19" s="33" t="n">
        <v>46247</v>
      </c>
      <c r="B19" s="34" t="s">
        <v>61</v>
      </c>
      <c r="C19" s="35" t="str">
        <f aca="false">IFERROR(CHOOSE(MATCH(INDEX(時間ごとの判定!$AH$3:$AH$1850,361),{"利用可","両方停止","運転がそろわない","判定不能"},0),"○","停","×","－"),"")</f>
        <v>停</v>
      </c>
      <c r="D19" s="35" t="str">
        <f aca="false">IFERROR(CHOOSE(MATCH(INDEX(時間ごとの判定!$AH$3:$AH$1850,362),{"利用可","両方停止","運転がそろわない","判定不能"},0),"○","停","×","－"),"")</f>
        <v>停</v>
      </c>
      <c r="E19" s="35" t="str">
        <f aca="false">IFERROR(CHOOSE(MATCH(INDEX(時間ごとの判定!$AH$3:$AH$1850,363),{"利用可","両方停止","運転がそろわない","判定不能"},0),"○","停","×","－"),"")</f>
        <v>停</v>
      </c>
      <c r="F19" s="35" t="str">
        <f aca="false">IFERROR(CHOOSE(MATCH(INDEX(時間ごとの判定!$AH$3:$AH$1850,364),{"利用可","両方停止","運転がそろわない","判定不能"},0),"○","停","×","－"),"")</f>
        <v>停</v>
      </c>
      <c r="G19" s="35" t="str">
        <f aca="false">IFERROR(CHOOSE(MATCH(INDEX(時間ごとの判定!$AH$3:$AH$1850,365),{"利用可","両方停止","運転がそろわない","判定不能"},0),"○","停","×","－"),"")</f>
        <v>停</v>
      </c>
      <c r="H19" s="35" t="str">
        <f aca="false">IFERROR(CHOOSE(MATCH(INDEX(時間ごとの判定!$AH$3:$AH$1850,366),{"利用可","両方停止","運転がそろわない","判定不能"},0),"○","停","×","－"),"")</f>
        <v>停</v>
      </c>
      <c r="I19" s="35" t="str">
        <f aca="false">IFERROR(CHOOSE(MATCH(INDEX(時間ごとの判定!$AH$3:$AH$1850,367),{"利用可","両方停止","運転がそろわない","判定不能"},0),"○","停","×","－"),"")</f>
        <v>停</v>
      </c>
      <c r="J19" s="35" t="str">
        <f aca="false">IFERROR(CHOOSE(MATCH(INDEX(時間ごとの判定!$AH$3:$AH$1850,368),{"利用可","両方停止","運転がそろわない","判定不能"},0),"○","停","×","－"),"")</f>
        <v>停</v>
      </c>
      <c r="K19" s="35" t="str">
        <f aca="false">IFERROR(CHOOSE(MATCH(INDEX(時間ごとの判定!$AH$3:$AH$1850,369),{"利用可","両方停止","運転がそろわない","判定不能"},0),"○","停","×","－"),"")</f>
        <v>×</v>
      </c>
      <c r="L19" s="35" t="str">
        <f aca="false">IFERROR(CHOOSE(MATCH(INDEX(時間ごとの判定!$AH$3:$AH$1850,370),{"利用可","両方停止","運転がそろわない","判定不能"},0),"○","停","×","－"),"")</f>
        <v>○</v>
      </c>
      <c r="M19" s="35" t="str">
        <f aca="false">IFERROR(CHOOSE(MATCH(INDEX(時間ごとの判定!$AH$3:$AH$1850,371),{"利用可","両方停止","運転がそろわない","判定不能"},0),"○","停","×","－"),"")</f>
        <v>○</v>
      </c>
      <c r="N19" s="35" t="str">
        <f aca="false">IFERROR(CHOOSE(MATCH(INDEX(時間ごとの判定!$AH$3:$AH$1850,372),{"利用可","両方停止","運転がそろわない","判定不能"},0),"○","停","×","－"),"")</f>
        <v>○</v>
      </c>
      <c r="O19" s="35" t="str">
        <f aca="false">IFERROR(CHOOSE(MATCH(INDEX(時間ごとの判定!$AH$3:$AH$1850,373),{"利用可","両方停止","運転がそろわない","判定不能"},0),"○","停","×","－"),"")</f>
        <v>○</v>
      </c>
      <c r="P19" s="35" t="str">
        <f aca="false">IFERROR(CHOOSE(MATCH(INDEX(時間ごとの判定!$AH$3:$AH$1850,374),{"利用可","両方停止","運転がそろわない","判定不能"},0),"○","停","×","－"),"")</f>
        <v>○</v>
      </c>
      <c r="Q19" s="35" t="str">
        <f aca="false">IFERROR(CHOOSE(MATCH(INDEX(時間ごとの判定!$AH$3:$AH$1850,375),{"利用可","両方停止","運転がそろわない","判定不能"},0),"○","停","×","－"),"")</f>
        <v>○</v>
      </c>
      <c r="R19" s="35" t="str">
        <f aca="false">IFERROR(CHOOSE(MATCH(INDEX(時間ごとの判定!$AH$3:$AH$1850,376),{"利用可","両方停止","運転がそろわない","判定不能"},0),"○","停","×","－"),"")</f>
        <v>×</v>
      </c>
      <c r="S19" s="35" t="str">
        <f aca="false">IFERROR(CHOOSE(MATCH(INDEX(時間ごとの判定!$AH$3:$AH$1850,377),{"利用可","両方停止","運転がそろわない","判定不能"},0),"○","停","×","－"),"")</f>
        <v>○</v>
      </c>
      <c r="T19" s="35" t="str">
        <f aca="false">IFERROR(CHOOSE(MATCH(INDEX(時間ごとの判定!$AH$3:$AH$1850,378),{"利用可","両方停止","運転がそろわない","判定不能"},0),"○","停","×","－"),"")</f>
        <v>×</v>
      </c>
      <c r="U19" s="35" t="str">
        <f aca="false">IFERROR(CHOOSE(MATCH(INDEX(時間ごとの判定!$AH$3:$AH$1850,379),{"利用可","両方停止","運転がそろわない","判定不能"},0),"○","停","×","－"),"")</f>
        <v>×</v>
      </c>
      <c r="V19" s="35" t="str">
        <f aca="false">IFERROR(CHOOSE(MATCH(INDEX(時間ごとの判定!$AH$3:$AH$1850,380),{"利用可","両方停止","運転がそろわない","判定不能"},0),"○","停","×","－"),"")</f>
        <v>×</v>
      </c>
      <c r="W19" s="35" t="str">
        <f aca="false">IFERROR(CHOOSE(MATCH(INDEX(時間ごとの判定!$AH$3:$AH$1850,381),{"利用可","両方停止","運転がそろわない","判定不能"},0),"○","停","×","－"),"")</f>
        <v>×</v>
      </c>
      <c r="X19" s="35" t="str">
        <f aca="false">IFERROR(CHOOSE(MATCH(INDEX(時間ごとの判定!$AH$3:$AH$1850,382),{"利用可","両方停止","運転がそろわない","判定不能"},0),"○","停","×","－"),"")</f>
        <v>停</v>
      </c>
      <c r="Y19" s="35" t="str">
        <f aca="false">IFERROR(CHOOSE(MATCH(INDEX(時間ごとの判定!$AH$3:$AH$1850,383),{"利用可","両方停止","運転がそろわない","判定不能"},0),"○","停","×","－"),"")</f>
        <v>停</v>
      </c>
      <c r="Z19" s="35" t="str">
        <f aca="false">IFERROR(CHOOSE(MATCH(INDEX(時間ごとの判定!$AH$3:$AH$1850,384),{"利用可","両方停止","運転がそろわない","判定不能"},0),"○","停","×","－"),"")</f>
        <v>停</v>
      </c>
      <c r="AA19" s="35"/>
      <c r="AB19" s="35" t="str">
        <f aca="false">IFERROR(CHOOSE(MATCH(INDEX(時間ごとの判定!$AK$3:$AK$1850,361),{"利用可","両方停止","運転がそろわない","判定不能"},0),"○","停","×","－"),"")</f>
        <v>停</v>
      </c>
      <c r="AC19" s="35" t="str">
        <f aca="false">IFERROR(CHOOSE(MATCH(INDEX(時間ごとの判定!$AK$3:$AK$1850,362),{"利用可","両方停止","運転がそろわない","判定不能"},0),"○","停","×","－"),"")</f>
        <v>停</v>
      </c>
      <c r="AD19" s="35" t="str">
        <f aca="false">IFERROR(CHOOSE(MATCH(INDEX(時間ごとの判定!$AK$3:$AK$1850,363),{"利用可","両方停止","運転がそろわない","判定不能"},0),"○","停","×","－"),"")</f>
        <v>停</v>
      </c>
      <c r="AE19" s="35" t="str">
        <f aca="false">IFERROR(CHOOSE(MATCH(INDEX(時間ごとの判定!$AK$3:$AK$1850,364),{"利用可","両方停止","運転がそろわない","判定不能"},0),"○","停","×","－"),"")</f>
        <v>停</v>
      </c>
      <c r="AF19" s="35" t="str">
        <f aca="false">IFERROR(CHOOSE(MATCH(INDEX(時間ごとの判定!$AK$3:$AK$1850,365),{"利用可","両方停止","運転がそろわない","判定不能"},0),"○","停","×","－"),"")</f>
        <v>停</v>
      </c>
      <c r="AG19" s="35" t="str">
        <f aca="false">IFERROR(CHOOSE(MATCH(INDEX(時間ごとの判定!$AK$3:$AK$1850,366),{"利用可","両方停止","運転がそろわない","判定不能"},0),"○","停","×","－"),"")</f>
        <v>停</v>
      </c>
      <c r="AH19" s="35" t="str">
        <f aca="false">IFERROR(CHOOSE(MATCH(INDEX(時間ごとの判定!$AK$3:$AK$1850,367),{"利用可","両方停止","運転がそろわない","判定不能"},0),"○","停","×","－"),"")</f>
        <v>停</v>
      </c>
      <c r="AI19" s="35" t="str">
        <f aca="false">IFERROR(CHOOSE(MATCH(INDEX(時間ごとの判定!$AK$3:$AK$1850,368),{"利用可","両方停止","運転がそろわない","判定不能"},0),"○","停","×","－"),"")</f>
        <v>停</v>
      </c>
      <c r="AJ19" s="35" t="str">
        <f aca="false">IFERROR(CHOOSE(MATCH(INDEX(時間ごとの判定!$AK$3:$AK$1850,369),{"利用可","両方停止","運転がそろわない","判定不能"},0),"○","停","×","－"),"")</f>
        <v>×</v>
      </c>
      <c r="AK19" s="35" t="str">
        <f aca="false">IFERROR(CHOOSE(MATCH(INDEX(時間ごとの判定!$AK$3:$AK$1850,370),{"利用可","両方停止","運転がそろわない","判定不能"},0),"○","停","×","－"),"")</f>
        <v>×</v>
      </c>
      <c r="AL19" s="35" t="str">
        <f aca="false">IFERROR(CHOOSE(MATCH(INDEX(時間ごとの判定!$AK$3:$AK$1850,371),{"利用可","両方停止","運転がそろわない","判定不能"},0),"○","停","×","－"),"")</f>
        <v>×</v>
      </c>
      <c r="AM19" s="35" t="str">
        <f aca="false">IFERROR(CHOOSE(MATCH(INDEX(時間ごとの判定!$AK$3:$AK$1850,372),{"利用可","両方停止","運転がそろわない","判定不能"},0),"○","停","×","－"),"")</f>
        <v>×</v>
      </c>
      <c r="AN19" s="35" t="str">
        <f aca="false">IFERROR(CHOOSE(MATCH(INDEX(時間ごとの判定!$AK$3:$AK$1850,373),{"利用可","両方停止","運転がそろわない","判定不能"},0),"○","停","×","－"),"")</f>
        <v>×</v>
      </c>
      <c r="AO19" s="35" t="str">
        <f aca="false">IFERROR(CHOOSE(MATCH(INDEX(時間ごとの判定!$AK$3:$AK$1850,374),{"利用可","両方停止","運転がそろわない","判定不能"},0),"○","停","×","－"),"")</f>
        <v>×</v>
      </c>
      <c r="AP19" s="35" t="str">
        <f aca="false">IFERROR(CHOOSE(MATCH(INDEX(時間ごとの判定!$AK$3:$AK$1850,375),{"利用可","両方停止","運転がそろわない","判定不能"},0),"○","停","×","－"),"")</f>
        <v>×</v>
      </c>
      <c r="AQ19" s="35" t="str">
        <f aca="false">IFERROR(CHOOSE(MATCH(INDEX(時間ごとの判定!$AK$3:$AK$1850,376),{"利用可","両方停止","運転がそろわない","判定不能"},0),"○","停","×","－"),"")</f>
        <v>×</v>
      </c>
      <c r="AR19" s="35" t="str">
        <f aca="false">IFERROR(CHOOSE(MATCH(INDEX(時間ごとの判定!$AK$3:$AK$1850,377),{"利用可","両方停止","運転がそろわない","判定不能"},0),"○","停","×","－"),"")</f>
        <v>×</v>
      </c>
      <c r="AS19" s="35" t="str">
        <f aca="false">IFERROR(CHOOSE(MATCH(INDEX(時間ごとの判定!$AK$3:$AK$1850,378),{"利用可","両方停止","運転がそろわない","判定不能"},0),"○","停","×","－"),"")</f>
        <v>×</v>
      </c>
      <c r="AT19" s="35" t="str">
        <f aca="false">IFERROR(CHOOSE(MATCH(INDEX(時間ごとの判定!$AK$3:$AK$1850,379),{"利用可","両方停止","運転がそろわない","判定不能"},0),"○","停","×","－"),"")</f>
        <v>×</v>
      </c>
      <c r="AU19" s="35" t="str">
        <f aca="false">IFERROR(CHOOSE(MATCH(INDEX(時間ごとの判定!$AK$3:$AK$1850,380),{"利用可","両方停止","運転がそろわない","判定不能"},0),"○","停","×","－"),"")</f>
        <v>×</v>
      </c>
      <c r="AV19" s="35" t="str">
        <f aca="false">IFERROR(CHOOSE(MATCH(INDEX(時間ごとの判定!$AK$3:$AK$1850,381),{"利用可","両方停止","運転がそろわない","判定不能"},0),"○","停","×","－"),"")</f>
        <v>×</v>
      </c>
      <c r="AW19" s="35" t="str">
        <f aca="false">IFERROR(CHOOSE(MATCH(INDEX(時間ごとの判定!$AK$3:$AK$1850,382),{"利用可","両方停止","運転がそろわない","判定不能"},0),"○","停","×","－"),"")</f>
        <v>停</v>
      </c>
      <c r="AX19" s="35" t="str">
        <f aca="false">IFERROR(CHOOSE(MATCH(INDEX(時間ごとの判定!$AK$3:$AK$1850,383),{"利用可","両方停止","運転がそろわない","判定不能"},0),"○","停","×","－"),"")</f>
        <v>停</v>
      </c>
      <c r="AY19" s="35" t="str">
        <f aca="false">IFERROR(CHOOSE(MATCH(INDEX(時間ごとの判定!$AK$3:$AK$1850,384),{"利用可","両方停止","運転がそろわない","判定不能"},0),"○","停","×","－"),"")</f>
        <v>停</v>
      </c>
      <c r="AZ19" s="35"/>
      <c r="BA19" s="35" t="str">
        <f aca="false">IFERROR(CHOOSE(MATCH(INDEX(時間ごとの判定!$AN$3:$AN$1850,361),{"利用可","両方停止","運転がそろわない","判定不能"},0),"○","停","×","－"),"")</f>
        <v>×</v>
      </c>
      <c r="BB19" s="35" t="str">
        <f aca="false">IFERROR(CHOOSE(MATCH(INDEX(時間ごとの判定!$AN$3:$AN$1850,362),{"利用可","両方停止","運転がそろわない","判定不能"},0),"○","停","×","－"),"")</f>
        <v>×</v>
      </c>
      <c r="BC19" s="35" t="str">
        <f aca="false">IFERROR(CHOOSE(MATCH(INDEX(時間ごとの判定!$AN$3:$AN$1850,363),{"利用可","両方停止","運転がそろわない","判定不能"},0),"○","停","×","－"),"")</f>
        <v>×</v>
      </c>
      <c r="BD19" s="35" t="str">
        <f aca="false">IFERROR(CHOOSE(MATCH(INDEX(時間ごとの判定!$AN$3:$AN$1850,364),{"利用可","両方停止","運転がそろわない","判定不能"},0),"○","停","×","－"),"")</f>
        <v>×</v>
      </c>
      <c r="BE19" s="35" t="str">
        <f aca="false">IFERROR(CHOOSE(MATCH(INDEX(時間ごとの判定!$AN$3:$AN$1850,365),{"利用可","両方停止","運転がそろわない","判定不能"},0),"○","停","×","－"),"")</f>
        <v>×</v>
      </c>
      <c r="BF19" s="35" t="str">
        <f aca="false">IFERROR(CHOOSE(MATCH(INDEX(時間ごとの判定!$AN$3:$AN$1850,366),{"利用可","両方停止","運転がそろわない","判定不能"},0),"○","停","×","－"),"")</f>
        <v>×</v>
      </c>
      <c r="BG19" s="35" t="str">
        <f aca="false">IFERROR(CHOOSE(MATCH(INDEX(時間ごとの判定!$AN$3:$AN$1850,367),{"利用可","両方停止","運転がそろわない","判定不能"},0),"○","停","×","－"),"")</f>
        <v>×</v>
      </c>
      <c r="BH19" s="35" t="str">
        <f aca="false">IFERROR(CHOOSE(MATCH(INDEX(時間ごとの判定!$AN$3:$AN$1850,368),{"利用可","両方停止","運転がそろわない","判定不能"},0),"○","停","×","－"),"")</f>
        <v>○</v>
      </c>
      <c r="BI19" s="35" t="str">
        <f aca="false">IFERROR(CHOOSE(MATCH(INDEX(時間ごとの判定!$AN$3:$AN$1850,369),{"利用可","両方停止","運転がそろわない","判定不能"},0),"○","停","×","－"),"")</f>
        <v>○</v>
      </c>
      <c r="BJ19" s="35" t="str">
        <f aca="false">IFERROR(CHOOSE(MATCH(INDEX(時間ごとの判定!$AN$3:$AN$1850,370),{"利用可","両方停止","運転がそろわない","判定不能"},0),"○","停","×","－"),"")</f>
        <v>○</v>
      </c>
      <c r="BK19" s="35" t="str">
        <f aca="false">IFERROR(CHOOSE(MATCH(INDEX(時間ごとの判定!$AN$3:$AN$1850,371),{"利用可","両方停止","運転がそろわない","判定不能"},0),"○","停","×","－"),"")</f>
        <v>○</v>
      </c>
      <c r="BL19" s="35" t="str">
        <f aca="false">IFERROR(CHOOSE(MATCH(INDEX(時間ごとの判定!$AN$3:$AN$1850,372),{"利用可","両方停止","運転がそろわない","判定不能"},0),"○","停","×","－"),"")</f>
        <v>○</v>
      </c>
      <c r="BM19" s="35" t="str">
        <f aca="false">IFERROR(CHOOSE(MATCH(INDEX(時間ごとの判定!$AN$3:$AN$1850,373),{"利用可","両方停止","運転がそろわない","判定不能"},0),"○","停","×","－"),"")</f>
        <v>○</v>
      </c>
      <c r="BN19" s="35" t="str">
        <f aca="false">IFERROR(CHOOSE(MATCH(INDEX(時間ごとの判定!$AN$3:$AN$1850,374),{"利用可","両方停止","運転がそろわない","判定不能"},0),"○","停","×","－"),"")</f>
        <v>○</v>
      </c>
      <c r="BO19" s="35" t="str">
        <f aca="false">IFERROR(CHOOSE(MATCH(INDEX(時間ごとの判定!$AN$3:$AN$1850,375),{"利用可","両方停止","運転がそろわない","判定不能"},0),"○","停","×","－"),"")</f>
        <v>○</v>
      </c>
      <c r="BP19" s="35" t="str">
        <f aca="false">IFERROR(CHOOSE(MATCH(INDEX(時間ごとの判定!$AN$3:$AN$1850,376),{"利用可","両方停止","運転がそろわない","判定不能"},0),"○","停","×","－"),"")</f>
        <v>○</v>
      </c>
      <c r="BQ19" s="35" t="str">
        <f aca="false">IFERROR(CHOOSE(MATCH(INDEX(時間ごとの判定!$AN$3:$AN$1850,377),{"利用可","両方停止","運転がそろわない","判定不能"},0),"○","停","×","－"),"")</f>
        <v>○</v>
      </c>
      <c r="BR19" s="35" t="str">
        <f aca="false">IFERROR(CHOOSE(MATCH(INDEX(時間ごとの判定!$AN$3:$AN$1850,378),{"利用可","両方停止","運転がそろわない","判定不能"},0),"○","停","×","－"),"")</f>
        <v>○</v>
      </c>
      <c r="BS19" s="35" t="str">
        <f aca="false">IFERROR(CHOOSE(MATCH(INDEX(時間ごとの判定!$AN$3:$AN$1850,379),{"利用可","両方停止","運転がそろわない","判定不能"},0),"○","停","×","－"),"")</f>
        <v>×</v>
      </c>
      <c r="BT19" s="35" t="str">
        <f aca="false">IFERROR(CHOOSE(MATCH(INDEX(時間ごとの判定!$AN$3:$AN$1850,380),{"利用可","両方停止","運転がそろわない","判定不能"},0),"○","停","×","－"),"")</f>
        <v>○</v>
      </c>
      <c r="BU19" s="35" t="str">
        <f aca="false">IFERROR(CHOOSE(MATCH(INDEX(時間ごとの判定!$AN$3:$AN$1850,381),{"利用可","両方停止","運転がそろわない","判定不能"},0),"○","停","×","－"),"")</f>
        <v>×</v>
      </c>
      <c r="BV19" s="35" t="str">
        <f aca="false">IFERROR(CHOOSE(MATCH(INDEX(時間ごとの判定!$AN$3:$AN$1850,382),{"利用可","両方停止","運転がそろわない","判定不能"},0),"○","停","×","－"),"")</f>
        <v>○</v>
      </c>
      <c r="BW19" s="35" t="str">
        <f aca="false">IFERROR(CHOOSE(MATCH(INDEX(時間ごとの判定!$AN$3:$AN$1850,383),{"利用可","両方停止","運転がそろわない","判定不能"},0),"○","停","×","－"),"")</f>
        <v>×</v>
      </c>
      <c r="BX19" s="35" t="str">
        <f aca="false">IFERROR(CHOOSE(MATCH(INDEX(時間ごとの判定!$AN$3:$AN$1850,384),{"利用可","両方停止","運転がそろわない","判定不能"},0),"○","停","×","－"),"")</f>
        <v>×</v>
      </c>
    </row>
    <row r="20" customFormat="false" ht="15" hidden="false" customHeight="false" outlineLevel="0" collapsed="false">
      <c r="A20" s="33" t="n">
        <v>46248</v>
      </c>
      <c r="B20" s="34" t="s">
        <v>62</v>
      </c>
      <c r="C20" s="35" t="str">
        <f aca="false">IFERROR(CHOOSE(MATCH(INDEX(時間ごとの判定!$AH$3:$AH$1850,385),{"利用可","両方停止","運転がそろわない","判定不能"},0),"○","停","×","－"),"")</f>
        <v>停</v>
      </c>
      <c r="D20" s="35" t="str">
        <f aca="false">IFERROR(CHOOSE(MATCH(INDEX(時間ごとの判定!$AH$3:$AH$1850,386),{"利用可","両方停止","運転がそろわない","判定不能"},0),"○","停","×","－"),"")</f>
        <v>停</v>
      </c>
      <c r="E20" s="35" t="str">
        <f aca="false">IFERROR(CHOOSE(MATCH(INDEX(時間ごとの判定!$AH$3:$AH$1850,387),{"利用可","両方停止","運転がそろわない","判定不能"},0),"○","停","×","－"),"")</f>
        <v>停</v>
      </c>
      <c r="F20" s="35" t="str">
        <f aca="false">IFERROR(CHOOSE(MATCH(INDEX(時間ごとの判定!$AH$3:$AH$1850,388),{"利用可","両方停止","運転がそろわない","判定不能"},0),"○","停","×","－"),"")</f>
        <v>停</v>
      </c>
      <c r="G20" s="35" t="str">
        <f aca="false">IFERROR(CHOOSE(MATCH(INDEX(時間ごとの判定!$AH$3:$AH$1850,389),{"利用可","両方停止","運転がそろわない","判定不能"},0),"○","停","×","－"),"")</f>
        <v>停</v>
      </c>
      <c r="H20" s="35" t="str">
        <f aca="false">IFERROR(CHOOSE(MATCH(INDEX(時間ごとの判定!$AH$3:$AH$1850,390),{"利用可","両方停止","運転がそろわない","判定不能"},0),"○","停","×","－"),"")</f>
        <v>停</v>
      </c>
      <c r="I20" s="35" t="str">
        <f aca="false">IFERROR(CHOOSE(MATCH(INDEX(時間ごとの判定!$AH$3:$AH$1850,391),{"利用可","両方停止","運転がそろわない","判定不能"},0),"○","停","×","－"),"")</f>
        <v>停</v>
      </c>
      <c r="J20" s="35" t="str">
        <f aca="false">IFERROR(CHOOSE(MATCH(INDEX(時間ごとの判定!$AH$3:$AH$1850,392),{"利用可","両方停止","運転がそろわない","判定不能"},0),"○","停","×","－"),"")</f>
        <v>×</v>
      </c>
      <c r="K20" s="35" t="str">
        <f aca="false">IFERROR(CHOOSE(MATCH(INDEX(時間ごとの判定!$AH$3:$AH$1850,393),{"利用可","両方停止","運転がそろわない","判定不能"},0),"○","停","×","－"),"")</f>
        <v>×</v>
      </c>
      <c r="L20" s="35" t="str">
        <f aca="false">IFERROR(CHOOSE(MATCH(INDEX(時間ごとの判定!$AH$3:$AH$1850,394),{"利用可","両方停止","運転がそろわない","判定不能"},0),"○","停","×","－"),"")</f>
        <v>○</v>
      </c>
      <c r="M20" s="35" t="str">
        <f aca="false">IFERROR(CHOOSE(MATCH(INDEX(時間ごとの判定!$AH$3:$AH$1850,395),{"利用可","両方停止","運転がそろわない","判定不能"},0),"○","停","×","－"),"")</f>
        <v>○</v>
      </c>
      <c r="N20" s="35" t="str">
        <f aca="false">IFERROR(CHOOSE(MATCH(INDEX(時間ごとの判定!$AH$3:$AH$1850,396),{"利用可","両方停止","運転がそろわない","判定不能"},0),"○","停","×","－"),"")</f>
        <v>○</v>
      </c>
      <c r="O20" s="35" t="str">
        <f aca="false">IFERROR(CHOOSE(MATCH(INDEX(時間ごとの判定!$AH$3:$AH$1850,397),{"利用可","両方停止","運転がそろわない","判定不能"},0),"○","停","×","－"),"")</f>
        <v>○</v>
      </c>
      <c r="P20" s="35" t="str">
        <f aca="false">IFERROR(CHOOSE(MATCH(INDEX(時間ごとの判定!$AH$3:$AH$1850,398),{"利用可","両方停止","運転がそろわない","判定不能"},0),"○","停","×","－"),"")</f>
        <v>○</v>
      </c>
      <c r="Q20" s="35" t="str">
        <f aca="false">IFERROR(CHOOSE(MATCH(INDEX(時間ごとの判定!$AH$3:$AH$1850,399),{"利用可","両方停止","運転がそろわない","判定不能"},0),"○","停","×","－"),"")</f>
        <v>－</v>
      </c>
      <c r="R20" s="35" t="str">
        <f aca="false">IFERROR(CHOOSE(MATCH(INDEX(時間ごとの判定!$AH$3:$AH$1850,400),{"利用可","両方停止","運転がそろわない","判定不能"},0),"○","停","×","－"),"")</f>
        <v>○</v>
      </c>
      <c r="S20" s="35" t="str">
        <f aca="false">IFERROR(CHOOSE(MATCH(INDEX(時間ごとの判定!$AH$3:$AH$1850,401),{"利用可","両方停止","運転がそろわない","判定不能"},0),"○","停","×","－"),"")</f>
        <v>○</v>
      </c>
      <c r="T20" s="35" t="str">
        <f aca="false">IFERROR(CHOOSE(MATCH(INDEX(時間ごとの判定!$AH$3:$AH$1850,402),{"利用可","両方停止","運転がそろわない","判定不能"},0),"○","停","×","－"),"")</f>
        <v>○</v>
      </c>
      <c r="U20" s="35" t="str">
        <f aca="false">IFERROR(CHOOSE(MATCH(INDEX(時間ごとの判定!$AH$3:$AH$1850,403),{"利用可","両方停止","運転がそろわない","判定不能"},0),"○","停","×","－"),"")</f>
        <v>×</v>
      </c>
      <c r="V20" s="35" t="str">
        <f aca="false">IFERROR(CHOOSE(MATCH(INDEX(時間ごとの判定!$AH$3:$AH$1850,404),{"利用可","両方停止","運転がそろわない","判定不能"},0),"○","停","×","－"),"")</f>
        <v>○</v>
      </c>
      <c r="W20" s="35" t="str">
        <f aca="false">IFERROR(CHOOSE(MATCH(INDEX(時間ごとの判定!$AH$3:$AH$1850,405),{"利用可","両方停止","運転がそろわない","判定不能"},0),"○","停","×","－"),"")</f>
        <v>×</v>
      </c>
      <c r="X20" s="35" t="str">
        <f aca="false">IFERROR(CHOOSE(MATCH(INDEX(時間ごとの判定!$AH$3:$AH$1850,406),{"利用可","両方停止","運転がそろわない","判定不能"},0),"○","停","×","－"),"")</f>
        <v>×</v>
      </c>
      <c r="Y20" s="35" t="str">
        <f aca="false">IFERROR(CHOOSE(MATCH(INDEX(時間ごとの判定!$AH$3:$AH$1850,407),{"利用可","両方停止","運転がそろわない","判定不能"},0),"○","停","×","－"),"")</f>
        <v>停</v>
      </c>
      <c r="Z20" s="35" t="str">
        <f aca="false">IFERROR(CHOOSE(MATCH(INDEX(時間ごとの判定!$AH$3:$AH$1850,408),{"利用可","両方停止","運転がそろわない","判定不能"},0),"○","停","×","－"),"")</f>
        <v>停</v>
      </c>
      <c r="AA20" s="35"/>
      <c r="AB20" s="35" t="str">
        <f aca="false">IFERROR(CHOOSE(MATCH(INDEX(時間ごとの判定!$AK$3:$AK$1850,385),{"利用可","両方停止","運転がそろわない","判定不能"},0),"○","停","×","－"),"")</f>
        <v>停</v>
      </c>
      <c r="AC20" s="35" t="str">
        <f aca="false">IFERROR(CHOOSE(MATCH(INDEX(時間ごとの判定!$AK$3:$AK$1850,386),{"利用可","両方停止","運転がそろわない","判定不能"},0),"○","停","×","－"),"")</f>
        <v>停</v>
      </c>
      <c r="AD20" s="35" t="str">
        <f aca="false">IFERROR(CHOOSE(MATCH(INDEX(時間ごとの判定!$AK$3:$AK$1850,387),{"利用可","両方停止","運転がそろわない","判定不能"},0),"○","停","×","－"),"")</f>
        <v>停</v>
      </c>
      <c r="AE20" s="35" t="str">
        <f aca="false">IFERROR(CHOOSE(MATCH(INDEX(時間ごとの判定!$AK$3:$AK$1850,388),{"利用可","両方停止","運転がそろわない","判定不能"},0),"○","停","×","－"),"")</f>
        <v>停</v>
      </c>
      <c r="AF20" s="35" t="str">
        <f aca="false">IFERROR(CHOOSE(MATCH(INDEX(時間ごとの判定!$AK$3:$AK$1850,389),{"利用可","両方停止","運転がそろわない","判定不能"},0),"○","停","×","－"),"")</f>
        <v>停</v>
      </c>
      <c r="AG20" s="35" t="str">
        <f aca="false">IFERROR(CHOOSE(MATCH(INDEX(時間ごとの判定!$AK$3:$AK$1850,390),{"利用可","両方停止","運転がそろわない","判定不能"},0),"○","停","×","－"),"")</f>
        <v>停</v>
      </c>
      <c r="AH20" s="35" t="str">
        <f aca="false">IFERROR(CHOOSE(MATCH(INDEX(時間ごとの判定!$AK$3:$AK$1850,391),{"利用可","両方停止","運転がそろわない","判定不能"},0),"○","停","×","－"),"")</f>
        <v>停</v>
      </c>
      <c r="AI20" s="35" t="str">
        <f aca="false">IFERROR(CHOOSE(MATCH(INDEX(時間ごとの判定!$AK$3:$AK$1850,392),{"利用可","両方停止","運転がそろわない","判定不能"},0),"○","停","×","－"),"")</f>
        <v>停</v>
      </c>
      <c r="AJ20" s="35" t="str">
        <f aca="false">IFERROR(CHOOSE(MATCH(INDEX(時間ごとの判定!$AK$3:$AK$1850,393),{"利用可","両方停止","運転がそろわない","判定不能"},0),"○","停","×","－"),"")</f>
        <v>×</v>
      </c>
      <c r="AK20" s="35" t="str">
        <f aca="false">IFERROR(CHOOSE(MATCH(INDEX(時間ごとの判定!$AK$3:$AK$1850,394),{"利用可","両方停止","運転がそろわない","判定不能"},0),"○","停","×","－"),"")</f>
        <v>×</v>
      </c>
      <c r="AL20" s="35" t="str">
        <f aca="false">IFERROR(CHOOSE(MATCH(INDEX(時間ごとの判定!$AK$3:$AK$1850,395),{"利用可","両方停止","運転がそろわない","判定不能"},0),"○","停","×","－"),"")</f>
        <v>○</v>
      </c>
      <c r="AM20" s="35" t="str">
        <f aca="false">IFERROR(CHOOSE(MATCH(INDEX(時間ごとの判定!$AK$3:$AK$1850,396),{"利用可","両方停止","運転がそろわない","判定不能"},0),"○","停","×","－"),"")</f>
        <v>×</v>
      </c>
      <c r="AN20" s="35" t="str">
        <f aca="false">IFERROR(CHOOSE(MATCH(INDEX(時間ごとの判定!$AK$3:$AK$1850,397),{"利用可","両方停止","運転がそろわない","判定不能"},0),"○","停","×","－"),"")</f>
        <v>×</v>
      </c>
      <c r="AO20" s="35" t="str">
        <f aca="false">IFERROR(CHOOSE(MATCH(INDEX(時間ごとの判定!$AK$3:$AK$1850,398),{"利用可","両方停止","運転がそろわない","判定不能"},0),"○","停","×","－"),"")</f>
        <v>×</v>
      </c>
      <c r="AP20" s="35" t="str">
        <f aca="false">IFERROR(CHOOSE(MATCH(INDEX(時間ごとの判定!$AK$3:$AK$1850,399),{"利用可","両方停止","運転がそろわない","判定不能"},0),"○","停","×","－"),"")</f>
        <v>－</v>
      </c>
      <c r="AQ20" s="35" t="str">
        <f aca="false">IFERROR(CHOOSE(MATCH(INDEX(時間ごとの判定!$AK$3:$AK$1850,400),{"利用可","両方停止","運転がそろわない","判定不能"},0),"○","停","×","－"),"")</f>
        <v>－</v>
      </c>
      <c r="AR20" s="35" t="str">
        <f aca="false">IFERROR(CHOOSE(MATCH(INDEX(時間ごとの判定!$AK$3:$AK$1850,401),{"利用可","両方停止","運転がそろわない","判定不能"},0),"○","停","×","－"),"")</f>
        <v>－</v>
      </c>
      <c r="AS20" s="35" t="str">
        <f aca="false">IFERROR(CHOOSE(MATCH(INDEX(時間ごとの判定!$AK$3:$AK$1850,402),{"利用可","両方停止","運転がそろわない","判定不能"},0),"○","停","×","－"),"")</f>
        <v>－</v>
      </c>
      <c r="AT20" s="35" t="str">
        <f aca="false">IFERROR(CHOOSE(MATCH(INDEX(時間ごとの判定!$AK$3:$AK$1850,403),{"利用可","両方停止","運転がそろわない","判定不能"},0),"○","停","×","－"),"")</f>
        <v>－</v>
      </c>
      <c r="AU20" s="35" t="str">
        <f aca="false">IFERROR(CHOOSE(MATCH(INDEX(時間ごとの判定!$AK$3:$AK$1850,404),{"利用可","両方停止","運転がそろわない","判定不能"},0),"○","停","×","－"),"")</f>
        <v>－</v>
      </c>
      <c r="AV20" s="35" t="str">
        <f aca="false">IFERROR(CHOOSE(MATCH(INDEX(時間ごとの判定!$AK$3:$AK$1850,405),{"利用可","両方停止","運転がそろわない","判定不能"},0),"○","停","×","－"),"")</f>
        <v>－</v>
      </c>
      <c r="AW20" s="35" t="str">
        <f aca="false">IFERROR(CHOOSE(MATCH(INDEX(時間ごとの判定!$AK$3:$AK$1850,406),{"利用可","両方停止","運転がそろわない","判定不能"},0),"○","停","×","－"),"")</f>
        <v>－</v>
      </c>
      <c r="AX20" s="35" t="str">
        <f aca="false">IFERROR(CHOOSE(MATCH(INDEX(時間ごとの判定!$AK$3:$AK$1850,407),{"利用可","両方停止","運転がそろわない","判定不能"},0),"○","停","×","－"),"")</f>
        <v>－</v>
      </c>
      <c r="AY20" s="35" t="str">
        <f aca="false">IFERROR(CHOOSE(MATCH(INDEX(時間ごとの判定!$AK$3:$AK$1850,408),{"利用可","両方停止","運転がそろわない","判定不能"},0),"○","停","×","－"),"")</f>
        <v>－</v>
      </c>
      <c r="AZ20" s="35"/>
      <c r="BA20" s="35" t="str">
        <f aca="false">IFERROR(CHOOSE(MATCH(INDEX(時間ごとの判定!$AN$3:$AN$1850,385),{"利用可","両方停止","運転がそろわない","判定不能"},0),"○","停","×","－"),"")</f>
        <v>×</v>
      </c>
      <c r="BB20" s="35" t="str">
        <f aca="false">IFERROR(CHOOSE(MATCH(INDEX(時間ごとの判定!$AN$3:$AN$1850,386),{"利用可","両方停止","運転がそろわない","判定不能"},0),"○","停","×","－"),"")</f>
        <v>×</v>
      </c>
      <c r="BC20" s="35" t="str">
        <f aca="false">IFERROR(CHOOSE(MATCH(INDEX(時間ごとの判定!$AN$3:$AN$1850,387),{"利用可","両方停止","運転がそろわない","判定不能"},0),"○","停","×","－"),"")</f>
        <v>×</v>
      </c>
      <c r="BD20" s="35" t="str">
        <f aca="false">IFERROR(CHOOSE(MATCH(INDEX(時間ごとの判定!$AN$3:$AN$1850,388),{"利用可","両方停止","運転がそろわない","判定不能"},0),"○","停","×","－"),"")</f>
        <v>×</v>
      </c>
      <c r="BE20" s="35" t="str">
        <f aca="false">IFERROR(CHOOSE(MATCH(INDEX(時間ごとの判定!$AN$3:$AN$1850,389),{"利用可","両方停止","運転がそろわない","判定不能"},0),"○","停","×","－"),"")</f>
        <v>×</v>
      </c>
      <c r="BF20" s="35" t="str">
        <f aca="false">IFERROR(CHOOSE(MATCH(INDEX(時間ごとの判定!$AN$3:$AN$1850,390),{"利用可","両方停止","運転がそろわない","判定不能"},0),"○","停","×","－"),"")</f>
        <v>×</v>
      </c>
      <c r="BG20" s="35" t="str">
        <f aca="false">IFERROR(CHOOSE(MATCH(INDEX(時間ごとの判定!$AN$3:$AN$1850,391),{"利用可","両方停止","運転がそろわない","判定不能"},0),"○","停","×","－"),"")</f>
        <v>×</v>
      </c>
      <c r="BH20" s="35" t="str">
        <f aca="false">IFERROR(CHOOSE(MATCH(INDEX(時間ごとの判定!$AN$3:$AN$1850,392),{"利用可","両方停止","運転がそろわない","判定不能"},0),"○","停","×","－"),"")</f>
        <v>○</v>
      </c>
      <c r="BI20" s="35" t="str">
        <f aca="false">IFERROR(CHOOSE(MATCH(INDEX(時間ごとの判定!$AN$3:$AN$1850,393),{"利用可","両方停止","運転がそろわない","判定不能"},0),"○","停","×","－"),"")</f>
        <v>○</v>
      </c>
      <c r="BJ20" s="35" t="str">
        <f aca="false">IFERROR(CHOOSE(MATCH(INDEX(時間ごとの判定!$AN$3:$AN$1850,394),{"利用可","両方停止","運転がそろわない","判定不能"},0),"○","停","×","－"),"")</f>
        <v>○</v>
      </c>
      <c r="BK20" s="35" t="str">
        <f aca="false">IFERROR(CHOOSE(MATCH(INDEX(時間ごとの判定!$AN$3:$AN$1850,395),{"利用可","両方停止","運転がそろわない","判定不能"},0),"○","停","×","－"),"")</f>
        <v>○</v>
      </c>
      <c r="BL20" s="35" t="str">
        <f aca="false">IFERROR(CHOOSE(MATCH(INDEX(時間ごとの判定!$AN$3:$AN$1850,396),{"利用可","両方停止","運転がそろわない","判定不能"},0),"○","停","×","－"),"")</f>
        <v>○</v>
      </c>
      <c r="BM20" s="35" t="str">
        <f aca="false">IFERROR(CHOOSE(MATCH(INDEX(時間ごとの判定!$AN$3:$AN$1850,397),{"利用可","両方停止","運転がそろわない","判定不能"},0),"○","停","×","－"),"")</f>
        <v>○</v>
      </c>
      <c r="BN20" s="35" t="str">
        <f aca="false">IFERROR(CHOOSE(MATCH(INDEX(時間ごとの判定!$AN$3:$AN$1850,398),{"利用可","両方停止","運転がそろわない","判定不能"},0),"○","停","×","－"),"")</f>
        <v>○</v>
      </c>
      <c r="BO20" s="35" t="str">
        <f aca="false">IFERROR(CHOOSE(MATCH(INDEX(時間ごとの判定!$AN$3:$AN$1850,399),{"利用可","両方停止","運転がそろわない","判定不能"},0),"○","停","×","－"),"")</f>
        <v>－</v>
      </c>
      <c r="BP20" s="35" t="str">
        <f aca="false">IFERROR(CHOOSE(MATCH(INDEX(時間ごとの判定!$AN$3:$AN$1850,400),{"利用可","両方停止","運転がそろわない","判定不能"},0),"○","停","×","－"),"")</f>
        <v>×</v>
      </c>
      <c r="BQ20" s="35" t="str">
        <f aca="false">IFERROR(CHOOSE(MATCH(INDEX(時間ごとの判定!$AN$3:$AN$1850,401),{"利用可","両方停止","運転がそろわない","判定不能"},0),"○","停","×","－"),"")</f>
        <v>○</v>
      </c>
      <c r="BR20" s="35" t="str">
        <f aca="false">IFERROR(CHOOSE(MATCH(INDEX(時間ごとの判定!$AN$3:$AN$1850,402),{"利用可","両方停止","運転がそろわない","判定不能"},0),"○","停","×","－"),"")</f>
        <v>○</v>
      </c>
      <c r="BS20" s="35" t="str">
        <f aca="false">IFERROR(CHOOSE(MATCH(INDEX(時間ごとの判定!$AN$3:$AN$1850,403),{"利用可","両方停止","運転がそろわない","判定不能"},0),"○","停","×","－"),"")</f>
        <v>○</v>
      </c>
      <c r="BT20" s="35" t="str">
        <f aca="false">IFERROR(CHOOSE(MATCH(INDEX(時間ごとの判定!$AN$3:$AN$1850,404),{"利用可","両方停止","運転がそろわない","判定不能"},0),"○","停","×","－"),"")</f>
        <v>○</v>
      </c>
      <c r="BU20" s="35" t="str">
        <f aca="false">IFERROR(CHOOSE(MATCH(INDEX(時間ごとの判定!$AN$3:$AN$1850,405),{"利用可","両方停止","運転がそろわない","判定不能"},0),"○","停","×","－"),"")</f>
        <v>○</v>
      </c>
      <c r="BV20" s="35" t="str">
        <f aca="false">IFERROR(CHOOSE(MATCH(INDEX(時間ごとの判定!$AN$3:$AN$1850,406),{"利用可","両方停止","運転がそろわない","判定不能"},0),"○","停","×","－"),"")</f>
        <v>×</v>
      </c>
      <c r="BW20" s="35" t="str">
        <f aca="false">IFERROR(CHOOSE(MATCH(INDEX(時間ごとの判定!$AN$3:$AN$1850,407),{"利用可","両方停止","運転がそろわない","判定不能"},0),"○","停","×","－"),"")</f>
        <v>停</v>
      </c>
      <c r="BX20" s="35" t="str">
        <f aca="false">IFERROR(CHOOSE(MATCH(INDEX(時間ごとの判定!$AN$3:$AN$1850,408),{"利用可","両方停止","運転がそろわない","判定不能"},0),"○","停","×","－"),"")</f>
        <v>停</v>
      </c>
    </row>
    <row r="21" customFormat="false" ht="15" hidden="false" customHeight="false" outlineLevel="0" collapsed="false">
      <c r="A21" s="33" t="n">
        <v>46249</v>
      </c>
      <c r="B21" s="36" t="s">
        <v>63</v>
      </c>
      <c r="C21" s="35" t="str">
        <f aca="false">IFERROR(CHOOSE(MATCH(INDEX(時間ごとの判定!$AH$3:$AH$1850,409),{"利用可","両方停止","運転がそろわない","判定不能"},0),"○","停","×","－"),"")</f>
        <v>停</v>
      </c>
      <c r="D21" s="35" t="str">
        <f aca="false">IFERROR(CHOOSE(MATCH(INDEX(時間ごとの判定!$AH$3:$AH$1850,410),{"利用可","両方停止","運転がそろわない","判定不能"},0),"○","停","×","－"),"")</f>
        <v>停</v>
      </c>
      <c r="E21" s="35" t="str">
        <f aca="false">IFERROR(CHOOSE(MATCH(INDEX(時間ごとの判定!$AH$3:$AH$1850,411),{"利用可","両方停止","運転がそろわない","判定不能"},0),"○","停","×","－"),"")</f>
        <v>停</v>
      </c>
      <c r="F21" s="35" t="str">
        <f aca="false">IFERROR(CHOOSE(MATCH(INDEX(時間ごとの判定!$AH$3:$AH$1850,412),{"利用可","両方停止","運転がそろわない","判定不能"},0),"○","停","×","－"),"")</f>
        <v>停</v>
      </c>
      <c r="G21" s="35" t="str">
        <f aca="false">IFERROR(CHOOSE(MATCH(INDEX(時間ごとの判定!$AH$3:$AH$1850,413),{"利用可","両方停止","運転がそろわない","判定不能"},0),"○","停","×","－"),"")</f>
        <v>停</v>
      </c>
      <c r="H21" s="35" t="str">
        <f aca="false">IFERROR(CHOOSE(MATCH(INDEX(時間ごとの判定!$AH$3:$AH$1850,414),{"利用可","両方停止","運転がそろわない","判定不能"},0),"○","停","×","－"),"")</f>
        <v>停</v>
      </c>
      <c r="I21" s="35" t="str">
        <f aca="false">IFERROR(CHOOSE(MATCH(INDEX(時間ごとの判定!$AH$3:$AH$1850,415),{"利用可","両方停止","運転がそろわない","判定不能"},0),"○","停","×","－"),"")</f>
        <v>停</v>
      </c>
      <c r="J21" s="35" t="str">
        <f aca="false">IFERROR(CHOOSE(MATCH(INDEX(時間ごとの判定!$AH$3:$AH$1850,416),{"利用可","両方停止","運転がそろわない","判定不能"},0),"○","停","×","－"),"")</f>
        <v>停</v>
      </c>
      <c r="K21" s="35" t="str">
        <f aca="false">IFERROR(CHOOSE(MATCH(INDEX(時間ごとの判定!$AH$3:$AH$1850,417),{"利用可","両方停止","運転がそろわない","判定不能"},0),"○","停","×","－"),"")</f>
        <v>○</v>
      </c>
      <c r="L21" s="35" t="str">
        <f aca="false">IFERROR(CHOOSE(MATCH(INDEX(時間ごとの判定!$AH$3:$AH$1850,418),{"利用可","両方停止","運転がそろわない","判定不能"},0),"○","停","×","－"),"")</f>
        <v>○</v>
      </c>
      <c r="M21" s="35" t="str">
        <f aca="false">IFERROR(CHOOSE(MATCH(INDEX(時間ごとの判定!$AH$3:$AH$1850,419),{"利用可","両方停止","運転がそろわない","判定不能"},0),"○","停","×","－"),"")</f>
        <v>○</v>
      </c>
      <c r="N21" s="35" t="str">
        <f aca="false">IFERROR(CHOOSE(MATCH(INDEX(時間ごとの判定!$AH$3:$AH$1850,420),{"利用可","両方停止","運転がそろわない","判定不能"},0),"○","停","×","－"),"")</f>
        <v>○</v>
      </c>
      <c r="O21" s="35" t="str">
        <f aca="false">IFERROR(CHOOSE(MATCH(INDEX(時間ごとの判定!$AH$3:$AH$1850,421),{"利用可","両方停止","運転がそろわない","判定不能"},0),"○","停","×","－"),"")</f>
        <v>○</v>
      </c>
      <c r="P21" s="35" t="str">
        <f aca="false">IFERROR(CHOOSE(MATCH(INDEX(時間ごとの判定!$AH$3:$AH$1850,422),{"利用可","両方停止","運転がそろわない","判定不能"},0),"○","停","×","－"),"")</f>
        <v>×</v>
      </c>
      <c r="Q21" s="35" t="str">
        <f aca="false">IFERROR(CHOOSE(MATCH(INDEX(時間ごとの判定!$AH$3:$AH$1850,423),{"利用可","両方停止","運転がそろわない","判定不能"},0),"○","停","×","－"),"")</f>
        <v>×</v>
      </c>
      <c r="R21" s="35" t="str">
        <f aca="false">IFERROR(CHOOSE(MATCH(INDEX(時間ごとの判定!$AH$3:$AH$1850,424),{"利用可","両方停止","運転がそろわない","判定不能"},0),"○","停","×","－"),"")</f>
        <v>×</v>
      </c>
      <c r="S21" s="35" t="str">
        <f aca="false">IFERROR(CHOOSE(MATCH(INDEX(時間ごとの判定!$AH$3:$AH$1850,425),{"利用可","両方停止","運転がそろわない","判定不能"},0),"○","停","×","－"),"")</f>
        <v>×</v>
      </c>
      <c r="T21" s="35" t="str">
        <f aca="false">IFERROR(CHOOSE(MATCH(INDEX(時間ごとの判定!$AH$3:$AH$1850,426),{"利用可","両方停止","運転がそろわない","判定不能"},0),"○","停","×","－"),"")</f>
        <v>×</v>
      </c>
      <c r="U21" s="35" t="str">
        <f aca="false">IFERROR(CHOOSE(MATCH(INDEX(時間ごとの判定!$AH$3:$AH$1850,427),{"利用可","両方停止","運転がそろわない","判定不能"},0),"○","停","×","－"),"")</f>
        <v>×</v>
      </c>
      <c r="V21" s="35" t="str">
        <f aca="false">IFERROR(CHOOSE(MATCH(INDEX(時間ごとの判定!$AH$3:$AH$1850,428),{"利用可","両方停止","運転がそろわない","判定不能"},0),"○","停","×","－"),"")</f>
        <v>○</v>
      </c>
      <c r="W21" s="35" t="str">
        <f aca="false">IFERROR(CHOOSE(MATCH(INDEX(時間ごとの判定!$AH$3:$AH$1850,429),{"利用可","両方停止","運転がそろわない","判定不能"},0),"○","停","×","－"),"")</f>
        <v>×</v>
      </c>
      <c r="X21" s="35" t="str">
        <f aca="false">IFERROR(CHOOSE(MATCH(INDEX(時間ごとの判定!$AH$3:$AH$1850,430),{"利用可","両方停止","運転がそろわない","判定不能"},0),"○","停","×","－"),"")</f>
        <v>停</v>
      </c>
      <c r="Y21" s="35" t="str">
        <f aca="false">IFERROR(CHOOSE(MATCH(INDEX(時間ごとの判定!$AH$3:$AH$1850,431),{"利用可","両方停止","運転がそろわない","判定不能"},0),"○","停","×","－"),"")</f>
        <v>停</v>
      </c>
      <c r="Z21" s="35" t="str">
        <f aca="false">IFERROR(CHOOSE(MATCH(INDEX(時間ごとの判定!$AH$3:$AH$1850,432),{"利用可","両方停止","運転がそろわない","判定不能"},0),"○","停","×","－"),"")</f>
        <v>停</v>
      </c>
      <c r="AA21" s="35"/>
      <c r="AB21" s="35" t="str">
        <f aca="false">IFERROR(CHOOSE(MATCH(INDEX(時間ごとの判定!$AK$3:$AK$1850,409),{"利用可","両方停止","運転がそろわない","判定不能"},0),"○","停","×","－"),"")</f>
        <v>－</v>
      </c>
      <c r="AC21" s="35" t="str">
        <f aca="false">IFERROR(CHOOSE(MATCH(INDEX(時間ごとの判定!$AK$3:$AK$1850,410),{"利用可","両方停止","運転がそろわない","判定不能"},0),"○","停","×","－"),"")</f>
        <v>－</v>
      </c>
      <c r="AD21" s="35" t="str">
        <f aca="false">IFERROR(CHOOSE(MATCH(INDEX(時間ごとの判定!$AK$3:$AK$1850,411),{"利用可","両方停止","運転がそろわない","判定不能"},0),"○","停","×","－"),"")</f>
        <v>－</v>
      </c>
      <c r="AE21" s="35" t="str">
        <f aca="false">IFERROR(CHOOSE(MATCH(INDEX(時間ごとの判定!$AK$3:$AK$1850,412),{"利用可","両方停止","運転がそろわない","判定不能"},0),"○","停","×","－"),"")</f>
        <v>－</v>
      </c>
      <c r="AF21" s="35" t="str">
        <f aca="false">IFERROR(CHOOSE(MATCH(INDEX(時間ごとの判定!$AK$3:$AK$1850,413),{"利用可","両方停止","運転がそろわない","判定不能"},0),"○","停","×","－"),"")</f>
        <v>－</v>
      </c>
      <c r="AG21" s="35" t="str">
        <f aca="false">IFERROR(CHOOSE(MATCH(INDEX(時間ごとの判定!$AK$3:$AK$1850,414),{"利用可","両方停止","運転がそろわない","判定不能"},0),"○","停","×","－"),"")</f>
        <v>－</v>
      </c>
      <c r="AH21" s="35" t="str">
        <f aca="false">IFERROR(CHOOSE(MATCH(INDEX(時間ごとの判定!$AK$3:$AK$1850,415),{"利用可","両方停止","運転がそろわない","判定不能"},0),"○","停","×","－"),"")</f>
        <v>－</v>
      </c>
      <c r="AI21" s="35" t="str">
        <f aca="false">IFERROR(CHOOSE(MATCH(INDEX(時間ごとの判定!$AK$3:$AK$1850,416),{"利用可","両方停止","運転がそろわない","判定不能"},0),"○","停","×","－"),"")</f>
        <v>－</v>
      </c>
      <c r="AJ21" s="35" t="str">
        <f aca="false">IFERROR(CHOOSE(MATCH(INDEX(時間ごとの判定!$AK$3:$AK$1850,417),{"利用可","両方停止","運転がそろわない","判定不能"},0),"○","停","×","－"),"")</f>
        <v>－</v>
      </c>
      <c r="AK21" s="35" t="str">
        <f aca="false">IFERROR(CHOOSE(MATCH(INDEX(時間ごとの判定!$AK$3:$AK$1850,418),{"利用可","両方停止","運転がそろわない","判定不能"},0),"○","停","×","－"),"")</f>
        <v>－</v>
      </c>
      <c r="AL21" s="35" t="str">
        <f aca="false">IFERROR(CHOOSE(MATCH(INDEX(時間ごとの判定!$AK$3:$AK$1850,419),{"利用可","両方停止","運転がそろわない","判定不能"},0),"○","停","×","－"),"")</f>
        <v>－</v>
      </c>
      <c r="AM21" s="35" t="str">
        <f aca="false">IFERROR(CHOOSE(MATCH(INDEX(時間ごとの判定!$AK$3:$AK$1850,420),{"利用可","両方停止","運転がそろわない","判定不能"},0),"○","停","×","－"),"")</f>
        <v>－</v>
      </c>
      <c r="AN21" s="35" t="str">
        <f aca="false">IFERROR(CHOOSE(MATCH(INDEX(時間ごとの判定!$AK$3:$AK$1850,421),{"利用可","両方停止","運転がそろわない","判定不能"},0),"○","停","×","－"),"")</f>
        <v>－</v>
      </c>
      <c r="AO21" s="35" t="str">
        <f aca="false">IFERROR(CHOOSE(MATCH(INDEX(時間ごとの判定!$AK$3:$AK$1850,422),{"利用可","両方停止","運転がそろわない","判定不能"},0),"○","停","×","－"),"")</f>
        <v>－</v>
      </c>
      <c r="AP21" s="35" t="str">
        <f aca="false">IFERROR(CHOOSE(MATCH(INDEX(時間ごとの判定!$AK$3:$AK$1850,423),{"利用可","両方停止","運転がそろわない","判定不能"},0),"○","停","×","－"),"")</f>
        <v>－</v>
      </c>
      <c r="AQ21" s="35" t="str">
        <f aca="false">IFERROR(CHOOSE(MATCH(INDEX(時間ごとの判定!$AK$3:$AK$1850,424),{"利用可","両方停止","運転がそろわない","判定不能"},0),"○","停","×","－"),"")</f>
        <v>－</v>
      </c>
      <c r="AR21" s="35" t="str">
        <f aca="false">IFERROR(CHOOSE(MATCH(INDEX(時間ごとの判定!$AK$3:$AK$1850,425),{"利用可","両方停止","運転がそろわない","判定不能"},0),"○","停","×","－"),"")</f>
        <v>－</v>
      </c>
      <c r="AS21" s="35" t="str">
        <f aca="false">IFERROR(CHOOSE(MATCH(INDEX(時間ごとの判定!$AK$3:$AK$1850,426),{"利用可","両方停止","運転がそろわない","判定不能"},0),"○","停","×","－"),"")</f>
        <v>－</v>
      </c>
      <c r="AT21" s="35" t="str">
        <f aca="false">IFERROR(CHOOSE(MATCH(INDEX(時間ごとの判定!$AK$3:$AK$1850,427),{"利用可","両方停止","運転がそろわない","判定不能"},0),"○","停","×","－"),"")</f>
        <v>－</v>
      </c>
      <c r="AU21" s="35" t="str">
        <f aca="false">IFERROR(CHOOSE(MATCH(INDEX(時間ごとの判定!$AK$3:$AK$1850,428),{"利用可","両方停止","運転がそろわない","判定不能"},0),"○","停","×","－"),"")</f>
        <v>－</v>
      </c>
      <c r="AV21" s="35" t="str">
        <f aca="false">IFERROR(CHOOSE(MATCH(INDEX(時間ごとの判定!$AK$3:$AK$1850,429),{"利用可","両方停止","運転がそろわない","判定不能"},0),"○","停","×","－"),"")</f>
        <v>－</v>
      </c>
      <c r="AW21" s="35" t="str">
        <f aca="false">IFERROR(CHOOSE(MATCH(INDEX(時間ごとの判定!$AK$3:$AK$1850,430),{"利用可","両方停止","運転がそろわない","判定不能"},0),"○","停","×","－"),"")</f>
        <v>－</v>
      </c>
      <c r="AX21" s="35" t="str">
        <f aca="false">IFERROR(CHOOSE(MATCH(INDEX(時間ごとの判定!$AK$3:$AK$1850,431),{"利用可","両方停止","運転がそろわない","判定不能"},0),"○","停","×","－"),"")</f>
        <v>－</v>
      </c>
      <c r="AY21" s="35" t="str">
        <f aca="false">IFERROR(CHOOSE(MATCH(INDEX(時間ごとの判定!$AK$3:$AK$1850,432),{"利用可","両方停止","運転がそろわない","判定不能"},0),"○","停","×","－"),"")</f>
        <v>－</v>
      </c>
      <c r="AZ21" s="35"/>
      <c r="BA21" s="35" t="str">
        <f aca="false">IFERROR(CHOOSE(MATCH(INDEX(時間ごとの判定!$AN$3:$AN$1850,409),{"利用可","両方停止","運転がそろわない","判定不能"},0),"○","停","×","－"),"")</f>
        <v>停</v>
      </c>
      <c r="BB21" s="35" t="str">
        <f aca="false">IFERROR(CHOOSE(MATCH(INDEX(時間ごとの判定!$AN$3:$AN$1850,410),{"利用可","両方停止","運転がそろわない","判定不能"},0),"○","停","×","－"),"")</f>
        <v>停</v>
      </c>
      <c r="BC21" s="35" t="str">
        <f aca="false">IFERROR(CHOOSE(MATCH(INDEX(時間ごとの判定!$AN$3:$AN$1850,411),{"利用可","両方停止","運転がそろわない","判定不能"},0),"○","停","×","－"),"")</f>
        <v>停</v>
      </c>
      <c r="BD21" s="35" t="str">
        <f aca="false">IFERROR(CHOOSE(MATCH(INDEX(時間ごとの判定!$AN$3:$AN$1850,412),{"利用可","両方停止","運転がそろわない","判定不能"},0),"○","停","×","－"),"")</f>
        <v>停</v>
      </c>
      <c r="BE21" s="35" t="str">
        <f aca="false">IFERROR(CHOOSE(MATCH(INDEX(時間ごとの判定!$AN$3:$AN$1850,413),{"利用可","両方停止","運転がそろわない","判定不能"},0),"○","停","×","－"),"")</f>
        <v>停</v>
      </c>
      <c r="BF21" s="35" t="str">
        <f aca="false">IFERROR(CHOOSE(MATCH(INDEX(時間ごとの判定!$AN$3:$AN$1850,414),{"利用可","両方停止","運転がそろわない","判定不能"},0),"○","停","×","－"),"")</f>
        <v>停</v>
      </c>
      <c r="BG21" s="35" t="str">
        <f aca="false">IFERROR(CHOOSE(MATCH(INDEX(時間ごとの判定!$AN$3:$AN$1850,415),{"利用可","両方停止","運転がそろわない","判定不能"},0),"○","停","×","－"),"")</f>
        <v>停</v>
      </c>
      <c r="BH21" s="35" t="str">
        <f aca="false">IFERROR(CHOOSE(MATCH(INDEX(時間ごとの判定!$AN$3:$AN$1850,416),{"利用可","両方停止","運転がそろわない","判定不能"},0),"○","停","×","－"),"")</f>
        <v>×</v>
      </c>
      <c r="BI21" s="35" t="str">
        <f aca="false">IFERROR(CHOOSE(MATCH(INDEX(時間ごとの判定!$AN$3:$AN$1850,417),{"利用可","両方停止","運転がそろわない","判定不能"},0),"○","停","×","－"),"")</f>
        <v>×</v>
      </c>
      <c r="BJ21" s="35" t="str">
        <f aca="false">IFERROR(CHOOSE(MATCH(INDEX(時間ごとの判定!$AN$3:$AN$1850,418),{"利用可","両方停止","運転がそろわない","判定不能"},0),"○","停","×","－"),"")</f>
        <v>×</v>
      </c>
      <c r="BK21" s="35" t="str">
        <f aca="false">IFERROR(CHOOSE(MATCH(INDEX(時間ごとの判定!$AN$3:$AN$1850,419),{"利用可","両方停止","運転がそろわない","判定不能"},0),"○","停","×","－"),"")</f>
        <v>×</v>
      </c>
      <c r="BL21" s="35" t="str">
        <f aca="false">IFERROR(CHOOSE(MATCH(INDEX(時間ごとの判定!$AN$3:$AN$1850,420),{"利用可","両方停止","運転がそろわない","判定不能"},0),"○","停","×","－"),"")</f>
        <v>×</v>
      </c>
      <c r="BM21" s="35" t="str">
        <f aca="false">IFERROR(CHOOSE(MATCH(INDEX(時間ごとの判定!$AN$3:$AN$1850,421),{"利用可","両方停止","運転がそろわない","判定不能"},0),"○","停","×","－"),"")</f>
        <v>×</v>
      </c>
      <c r="BN21" s="35" t="str">
        <f aca="false">IFERROR(CHOOSE(MATCH(INDEX(時間ごとの判定!$AN$3:$AN$1850,422),{"利用可","両方停止","運転がそろわない","判定不能"},0),"○","停","×","－"),"")</f>
        <v>×</v>
      </c>
      <c r="BO21" s="35" t="str">
        <f aca="false">IFERROR(CHOOSE(MATCH(INDEX(時間ごとの判定!$AN$3:$AN$1850,423),{"利用可","両方停止","運転がそろわない","判定不能"},0),"○","停","×","－"),"")</f>
        <v>×</v>
      </c>
      <c r="BP21" s="35" t="str">
        <f aca="false">IFERROR(CHOOSE(MATCH(INDEX(時間ごとの判定!$AN$3:$AN$1850,424),{"利用可","両方停止","運転がそろわない","判定不能"},0),"○","停","×","－"),"")</f>
        <v>×</v>
      </c>
      <c r="BQ21" s="35" t="str">
        <f aca="false">IFERROR(CHOOSE(MATCH(INDEX(時間ごとの判定!$AN$3:$AN$1850,425),{"利用可","両方停止","運転がそろわない","判定不能"},0),"○","停","×","－"),"")</f>
        <v>×</v>
      </c>
      <c r="BR21" s="35" t="str">
        <f aca="false">IFERROR(CHOOSE(MATCH(INDEX(時間ごとの判定!$AN$3:$AN$1850,426),{"利用可","両方停止","運転がそろわない","判定不能"},0),"○","停","×","－"),"")</f>
        <v>×</v>
      </c>
      <c r="BS21" s="35" t="str">
        <f aca="false">IFERROR(CHOOSE(MATCH(INDEX(時間ごとの判定!$AN$3:$AN$1850,427),{"利用可","両方停止","運転がそろわない","判定不能"},0),"○","停","×","－"),"")</f>
        <v>×</v>
      </c>
      <c r="BT21" s="35" t="str">
        <f aca="false">IFERROR(CHOOSE(MATCH(INDEX(時間ごとの判定!$AN$3:$AN$1850,428),{"利用可","両方停止","運転がそろわない","判定不能"},0),"○","停","×","－"),"")</f>
        <v>×</v>
      </c>
      <c r="BU21" s="35" t="str">
        <f aca="false">IFERROR(CHOOSE(MATCH(INDEX(時間ごとの判定!$AN$3:$AN$1850,429),{"利用可","両方停止","運転がそろわない","判定不能"},0),"○","停","×","－"),"")</f>
        <v>×</v>
      </c>
      <c r="BV21" s="35" t="str">
        <f aca="false">IFERROR(CHOOSE(MATCH(INDEX(時間ごとの判定!$AN$3:$AN$1850,430),{"利用可","両方停止","運転がそろわない","判定不能"},0),"○","停","×","－"),"")</f>
        <v>停</v>
      </c>
      <c r="BW21" s="35" t="str">
        <f aca="false">IFERROR(CHOOSE(MATCH(INDEX(時間ごとの判定!$AN$3:$AN$1850,431),{"利用可","両方停止","運転がそろわない","判定不能"},0),"○","停","×","－"),"")</f>
        <v>停</v>
      </c>
      <c r="BX21" s="35" t="str">
        <f aca="false">IFERROR(CHOOSE(MATCH(INDEX(時間ごとの判定!$AN$3:$AN$1850,432),{"利用可","両方停止","運転がそろわない","判定不能"},0),"○","停","×","－"),"")</f>
        <v>停</v>
      </c>
    </row>
    <row r="22" customFormat="false" ht="15" hidden="false" customHeight="false" outlineLevel="0" collapsed="false">
      <c r="A22" s="33" t="n">
        <v>46250</v>
      </c>
      <c r="B22" s="36" t="s">
        <v>65</v>
      </c>
      <c r="C22" s="35" t="str">
        <f aca="false">IFERROR(CHOOSE(MATCH(INDEX(時間ごとの判定!$AH$3:$AH$1850,433),{"利用可","両方停止","運転がそろわない","判定不能"},0),"○","停","×","－"),"")</f>
        <v>停</v>
      </c>
      <c r="D22" s="35" t="str">
        <f aca="false">IFERROR(CHOOSE(MATCH(INDEX(時間ごとの判定!$AH$3:$AH$1850,434),{"利用可","両方停止","運転がそろわない","判定不能"},0),"○","停","×","－"),"")</f>
        <v>停</v>
      </c>
      <c r="E22" s="35" t="str">
        <f aca="false">IFERROR(CHOOSE(MATCH(INDEX(時間ごとの判定!$AH$3:$AH$1850,435),{"利用可","両方停止","運転がそろわない","判定不能"},0),"○","停","×","－"),"")</f>
        <v>停</v>
      </c>
      <c r="F22" s="35" t="str">
        <f aca="false">IFERROR(CHOOSE(MATCH(INDEX(時間ごとの判定!$AH$3:$AH$1850,436),{"利用可","両方停止","運転がそろわない","判定不能"},0),"○","停","×","－"),"")</f>
        <v>停</v>
      </c>
      <c r="G22" s="35" t="str">
        <f aca="false">IFERROR(CHOOSE(MATCH(INDEX(時間ごとの判定!$AH$3:$AH$1850,437),{"利用可","両方停止","運転がそろわない","判定不能"},0),"○","停","×","－"),"")</f>
        <v>停</v>
      </c>
      <c r="H22" s="35" t="str">
        <f aca="false">IFERROR(CHOOSE(MATCH(INDEX(時間ごとの判定!$AH$3:$AH$1850,438),{"利用可","両方停止","運転がそろわない","判定不能"},0),"○","停","×","－"),"")</f>
        <v>停</v>
      </c>
      <c r="I22" s="35" t="str">
        <f aca="false">IFERROR(CHOOSE(MATCH(INDEX(時間ごとの判定!$AH$3:$AH$1850,439),{"利用可","両方停止","運転がそろわない","判定不能"},0),"○","停","×","－"),"")</f>
        <v>×</v>
      </c>
      <c r="J22" s="35" t="str">
        <f aca="false">IFERROR(CHOOSE(MATCH(INDEX(時間ごとの判定!$AH$3:$AH$1850,440),{"利用可","両方停止","運転がそろわない","判定不能"},0),"○","停","×","－"),"")</f>
        <v>×</v>
      </c>
      <c r="K22" s="35" t="str">
        <f aca="false">IFERROR(CHOOSE(MATCH(INDEX(時間ごとの判定!$AH$3:$AH$1850,441),{"利用可","両方停止","運転がそろわない","判定不能"},0),"○","停","×","－"),"")</f>
        <v>×</v>
      </c>
      <c r="L22" s="35" t="str">
        <f aca="false">IFERROR(CHOOSE(MATCH(INDEX(時間ごとの判定!$AH$3:$AH$1850,442),{"利用可","両方停止","運転がそろわない","判定不能"},0),"○","停","×","－"),"")</f>
        <v>×</v>
      </c>
      <c r="M22" s="35" t="str">
        <f aca="false">IFERROR(CHOOSE(MATCH(INDEX(時間ごとの判定!$AH$3:$AH$1850,443),{"利用可","両方停止","運転がそろわない","判定不能"},0),"○","停","×","－"),"")</f>
        <v>×</v>
      </c>
      <c r="N22" s="35" t="str">
        <f aca="false">IFERROR(CHOOSE(MATCH(INDEX(時間ごとの判定!$AH$3:$AH$1850,444),{"利用可","両方停止","運転がそろわない","判定不能"},0),"○","停","×","－"),"")</f>
        <v>×</v>
      </c>
      <c r="O22" s="35" t="str">
        <f aca="false">IFERROR(CHOOSE(MATCH(INDEX(時間ごとの判定!$AH$3:$AH$1850,445),{"利用可","両方停止","運転がそろわない","判定不能"},0),"○","停","×","－"),"")</f>
        <v>×</v>
      </c>
      <c r="P22" s="35" t="str">
        <f aca="false">IFERROR(CHOOSE(MATCH(INDEX(時間ごとの判定!$AH$3:$AH$1850,446),{"利用可","両方停止","運転がそろわない","判定不能"},0),"○","停","×","－"),"")</f>
        <v>×</v>
      </c>
      <c r="Q22" s="35" t="str">
        <f aca="false">IFERROR(CHOOSE(MATCH(INDEX(時間ごとの判定!$AH$3:$AH$1850,447),{"利用可","両方停止","運転がそろわない","判定不能"},0),"○","停","×","－"),"")</f>
        <v>×</v>
      </c>
      <c r="R22" s="35" t="str">
        <f aca="false">IFERROR(CHOOSE(MATCH(INDEX(時間ごとの判定!$AH$3:$AH$1850,448),{"利用可","両方停止","運転がそろわない","判定不能"},0),"○","停","×","－"),"")</f>
        <v>×</v>
      </c>
      <c r="S22" s="35" t="str">
        <f aca="false">IFERROR(CHOOSE(MATCH(INDEX(時間ごとの判定!$AH$3:$AH$1850,449),{"利用可","両方停止","運転がそろわない","判定不能"},0),"○","停","×","－"),"")</f>
        <v>×</v>
      </c>
      <c r="T22" s="35" t="str">
        <f aca="false">IFERROR(CHOOSE(MATCH(INDEX(時間ごとの判定!$AH$3:$AH$1850,450),{"利用可","両方停止","運転がそろわない","判定不能"},0),"○","停","×","－"),"")</f>
        <v>×</v>
      </c>
      <c r="U22" s="35" t="str">
        <f aca="false">IFERROR(CHOOSE(MATCH(INDEX(時間ごとの判定!$AH$3:$AH$1850,451),{"利用可","両方停止","運転がそろわない","判定不能"},0),"○","停","×","－"),"")</f>
        <v>×</v>
      </c>
      <c r="V22" s="35" t="str">
        <f aca="false">IFERROR(CHOOSE(MATCH(INDEX(時間ごとの判定!$AH$3:$AH$1850,452),{"利用可","両方停止","運転がそろわない","判定不能"},0),"○","停","×","－"),"")</f>
        <v>×</v>
      </c>
      <c r="W22" s="35" t="str">
        <f aca="false">IFERROR(CHOOSE(MATCH(INDEX(時間ごとの判定!$AH$3:$AH$1850,453),{"利用可","両方停止","運転がそろわない","判定不能"},0),"○","停","×","－"),"")</f>
        <v>×</v>
      </c>
      <c r="X22" s="35" t="str">
        <f aca="false">IFERROR(CHOOSE(MATCH(INDEX(時間ごとの判定!$AH$3:$AH$1850,454),{"利用可","両方停止","運転がそろわない","判定不能"},0),"○","停","×","－"),"")</f>
        <v>×</v>
      </c>
      <c r="Y22" s="35" t="str">
        <f aca="false">IFERROR(CHOOSE(MATCH(INDEX(時間ごとの判定!$AH$3:$AH$1850,455),{"利用可","両方停止","運転がそろわない","判定不能"},0),"○","停","×","－"),"")</f>
        <v>停</v>
      </c>
      <c r="Z22" s="35" t="str">
        <f aca="false">IFERROR(CHOOSE(MATCH(INDEX(時間ごとの判定!$AH$3:$AH$1850,456),{"利用可","両方停止","運転がそろわない","判定不能"},0),"○","停","×","－"),"")</f>
        <v>停</v>
      </c>
      <c r="AA22" s="35"/>
      <c r="AB22" s="35" t="str">
        <f aca="false">IFERROR(CHOOSE(MATCH(INDEX(時間ごとの判定!$AK$3:$AK$1850,433),{"利用可","両方停止","運転がそろわない","判定不能"},0),"○","停","×","－"),"")</f>
        <v>－</v>
      </c>
      <c r="AC22" s="35" t="str">
        <f aca="false">IFERROR(CHOOSE(MATCH(INDEX(時間ごとの判定!$AK$3:$AK$1850,434),{"利用可","両方停止","運転がそろわない","判定不能"},0),"○","停","×","－"),"")</f>
        <v>－</v>
      </c>
      <c r="AD22" s="35" t="str">
        <f aca="false">IFERROR(CHOOSE(MATCH(INDEX(時間ごとの判定!$AK$3:$AK$1850,435),{"利用可","両方停止","運転がそろわない","判定不能"},0),"○","停","×","－"),"")</f>
        <v>－</v>
      </c>
      <c r="AE22" s="35" t="str">
        <f aca="false">IFERROR(CHOOSE(MATCH(INDEX(時間ごとの判定!$AK$3:$AK$1850,436),{"利用可","両方停止","運転がそろわない","判定不能"},0),"○","停","×","－"),"")</f>
        <v>－</v>
      </c>
      <c r="AF22" s="35" t="str">
        <f aca="false">IFERROR(CHOOSE(MATCH(INDEX(時間ごとの判定!$AK$3:$AK$1850,437),{"利用可","両方停止","運転がそろわない","判定不能"},0),"○","停","×","－"),"")</f>
        <v>－</v>
      </c>
      <c r="AG22" s="35" t="str">
        <f aca="false">IFERROR(CHOOSE(MATCH(INDEX(時間ごとの判定!$AK$3:$AK$1850,438),{"利用可","両方停止","運転がそろわない","判定不能"},0),"○","停","×","－"),"")</f>
        <v>－</v>
      </c>
      <c r="AH22" s="35" t="str">
        <f aca="false">IFERROR(CHOOSE(MATCH(INDEX(時間ごとの判定!$AK$3:$AK$1850,439),{"利用可","両方停止","運転がそろわない","判定不能"},0),"○","停","×","－"),"")</f>
        <v>－</v>
      </c>
      <c r="AI22" s="35" t="str">
        <f aca="false">IFERROR(CHOOSE(MATCH(INDEX(時間ごとの判定!$AK$3:$AK$1850,440),{"利用可","両方停止","運転がそろわない","判定不能"},0),"○","停","×","－"),"")</f>
        <v>－</v>
      </c>
      <c r="AJ22" s="35" t="str">
        <f aca="false">IFERROR(CHOOSE(MATCH(INDEX(時間ごとの判定!$AK$3:$AK$1850,441),{"利用可","両方停止","運転がそろわない","判定不能"},0),"○","停","×","－"),"")</f>
        <v>－</v>
      </c>
      <c r="AK22" s="35" t="str">
        <f aca="false">IFERROR(CHOOSE(MATCH(INDEX(時間ごとの判定!$AK$3:$AK$1850,442),{"利用可","両方停止","運転がそろわない","判定不能"},0),"○","停","×","－"),"")</f>
        <v>－</v>
      </c>
      <c r="AL22" s="35" t="str">
        <f aca="false">IFERROR(CHOOSE(MATCH(INDEX(時間ごとの判定!$AK$3:$AK$1850,443),{"利用可","両方停止","運転がそろわない","判定不能"},0),"○","停","×","－"),"")</f>
        <v>－</v>
      </c>
      <c r="AM22" s="35" t="str">
        <f aca="false">IFERROR(CHOOSE(MATCH(INDEX(時間ごとの判定!$AK$3:$AK$1850,444),{"利用可","両方停止","運転がそろわない","判定不能"},0),"○","停","×","－"),"")</f>
        <v>－</v>
      </c>
      <c r="AN22" s="35" t="str">
        <f aca="false">IFERROR(CHOOSE(MATCH(INDEX(時間ごとの判定!$AK$3:$AK$1850,445),{"利用可","両方停止","運転がそろわない","判定不能"},0),"○","停","×","－"),"")</f>
        <v>－</v>
      </c>
      <c r="AO22" s="35" t="str">
        <f aca="false">IFERROR(CHOOSE(MATCH(INDEX(時間ごとの判定!$AK$3:$AK$1850,446),{"利用可","両方停止","運転がそろわない","判定不能"},0),"○","停","×","－"),"")</f>
        <v>－</v>
      </c>
      <c r="AP22" s="35" t="str">
        <f aca="false">IFERROR(CHOOSE(MATCH(INDEX(時間ごとの判定!$AK$3:$AK$1850,447),{"利用可","両方停止","運転がそろわない","判定不能"},0),"○","停","×","－"),"")</f>
        <v>－</v>
      </c>
      <c r="AQ22" s="35" t="str">
        <f aca="false">IFERROR(CHOOSE(MATCH(INDEX(時間ごとの判定!$AK$3:$AK$1850,448),{"利用可","両方停止","運転がそろわない","判定不能"},0),"○","停","×","－"),"")</f>
        <v>－</v>
      </c>
      <c r="AR22" s="35" t="str">
        <f aca="false">IFERROR(CHOOSE(MATCH(INDEX(時間ごとの判定!$AK$3:$AK$1850,449),{"利用可","両方停止","運転がそろわない","判定不能"},0),"○","停","×","－"),"")</f>
        <v>－</v>
      </c>
      <c r="AS22" s="35" t="str">
        <f aca="false">IFERROR(CHOOSE(MATCH(INDEX(時間ごとの判定!$AK$3:$AK$1850,450),{"利用可","両方停止","運転がそろわない","判定不能"},0),"○","停","×","－"),"")</f>
        <v>－</v>
      </c>
      <c r="AT22" s="35" t="str">
        <f aca="false">IFERROR(CHOOSE(MATCH(INDEX(時間ごとの判定!$AK$3:$AK$1850,451),{"利用可","両方停止","運転がそろわない","判定不能"},0),"○","停","×","－"),"")</f>
        <v>－</v>
      </c>
      <c r="AU22" s="35" t="str">
        <f aca="false">IFERROR(CHOOSE(MATCH(INDEX(時間ごとの判定!$AK$3:$AK$1850,452),{"利用可","両方停止","運転がそろわない","判定不能"},0),"○","停","×","－"),"")</f>
        <v>－</v>
      </c>
      <c r="AV22" s="35" t="str">
        <f aca="false">IFERROR(CHOOSE(MATCH(INDEX(時間ごとの判定!$AK$3:$AK$1850,453),{"利用可","両方停止","運転がそろわない","判定不能"},0),"○","停","×","－"),"")</f>
        <v>－</v>
      </c>
      <c r="AW22" s="35" t="str">
        <f aca="false">IFERROR(CHOOSE(MATCH(INDEX(時間ごとの判定!$AK$3:$AK$1850,454),{"利用可","両方停止","運転がそろわない","判定不能"},0),"○","停","×","－"),"")</f>
        <v>－</v>
      </c>
      <c r="AX22" s="35" t="str">
        <f aca="false">IFERROR(CHOOSE(MATCH(INDEX(時間ごとの判定!$AK$3:$AK$1850,455),{"利用可","両方停止","運転がそろわない","判定不能"},0),"○","停","×","－"),"")</f>
        <v>－</v>
      </c>
      <c r="AY22" s="35" t="str">
        <f aca="false">IFERROR(CHOOSE(MATCH(INDEX(時間ごとの判定!$AK$3:$AK$1850,456),{"利用可","両方停止","運転がそろわない","判定不能"},0),"○","停","×","－"),"")</f>
        <v>－</v>
      </c>
      <c r="AZ22" s="35"/>
      <c r="BA22" s="35" t="str">
        <f aca="false">IFERROR(CHOOSE(MATCH(INDEX(時間ごとの判定!$AN$3:$AN$1850,433),{"利用可","両方停止","運転がそろわない","判定不能"},0),"○","停","×","－"),"")</f>
        <v>停</v>
      </c>
      <c r="BB22" s="35" t="str">
        <f aca="false">IFERROR(CHOOSE(MATCH(INDEX(時間ごとの判定!$AN$3:$AN$1850,434),{"利用可","両方停止","運転がそろわない","判定不能"},0),"○","停","×","－"),"")</f>
        <v>停</v>
      </c>
      <c r="BC22" s="35" t="str">
        <f aca="false">IFERROR(CHOOSE(MATCH(INDEX(時間ごとの判定!$AN$3:$AN$1850,435),{"利用可","両方停止","運転がそろわない","判定不能"},0),"○","停","×","－"),"")</f>
        <v>停</v>
      </c>
      <c r="BD22" s="35" t="str">
        <f aca="false">IFERROR(CHOOSE(MATCH(INDEX(時間ごとの判定!$AN$3:$AN$1850,436),{"利用可","両方停止","運転がそろわない","判定不能"},0),"○","停","×","－"),"")</f>
        <v>停</v>
      </c>
      <c r="BE22" s="35" t="str">
        <f aca="false">IFERROR(CHOOSE(MATCH(INDEX(時間ごとの判定!$AN$3:$AN$1850,437),{"利用可","両方停止","運転がそろわない","判定不能"},0),"○","停","×","－"),"")</f>
        <v>停</v>
      </c>
      <c r="BF22" s="35" t="str">
        <f aca="false">IFERROR(CHOOSE(MATCH(INDEX(時間ごとの判定!$AN$3:$AN$1850,438),{"利用可","両方停止","運転がそろわない","判定不能"},0),"○","停","×","－"),"")</f>
        <v>停</v>
      </c>
      <c r="BG22" s="35" t="str">
        <f aca="false">IFERROR(CHOOSE(MATCH(INDEX(時間ごとの判定!$AN$3:$AN$1850,439),{"利用可","両方停止","運転がそろわない","判定不能"},0),"○","停","×","－"),"")</f>
        <v>停</v>
      </c>
      <c r="BH22" s="35" t="str">
        <f aca="false">IFERROR(CHOOSE(MATCH(INDEX(時間ごとの判定!$AN$3:$AN$1850,440),{"利用可","両方停止","運転がそろわない","判定不能"},0),"○","停","×","－"),"")</f>
        <v>×</v>
      </c>
      <c r="BI22" s="35" t="str">
        <f aca="false">IFERROR(CHOOSE(MATCH(INDEX(時間ごとの判定!$AN$3:$AN$1850,441),{"利用可","両方停止","運転がそろわない","判定不能"},0),"○","停","×","－"),"")</f>
        <v>×</v>
      </c>
      <c r="BJ22" s="35" t="str">
        <f aca="false">IFERROR(CHOOSE(MATCH(INDEX(時間ごとの判定!$AN$3:$AN$1850,442),{"利用可","両方停止","運転がそろわない","判定不能"},0),"○","停","×","－"),"")</f>
        <v>×</v>
      </c>
      <c r="BK22" s="35" t="str">
        <f aca="false">IFERROR(CHOOSE(MATCH(INDEX(時間ごとの判定!$AN$3:$AN$1850,443),{"利用可","両方停止","運転がそろわない","判定不能"},0),"○","停","×","－"),"")</f>
        <v>○</v>
      </c>
      <c r="BL22" s="35" t="str">
        <f aca="false">IFERROR(CHOOSE(MATCH(INDEX(時間ごとの判定!$AN$3:$AN$1850,444),{"利用可","両方停止","運転がそろわない","判定不能"},0),"○","停","×","－"),"")</f>
        <v>×</v>
      </c>
      <c r="BM22" s="35" t="str">
        <f aca="false">IFERROR(CHOOSE(MATCH(INDEX(時間ごとの判定!$AN$3:$AN$1850,445),{"利用可","両方停止","運転がそろわない","判定不能"},0),"○","停","×","－"),"")</f>
        <v>×</v>
      </c>
      <c r="BN22" s="35" t="str">
        <f aca="false">IFERROR(CHOOSE(MATCH(INDEX(時間ごとの判定!$AN$3:$AN$1850,446),{"利用可","両方停止","運転がそろわない","判定不能"},0),"○","停","×","－"),"")</f>
        <v>×</v>
      </c>
      <c r="BO22" s="35" t="str">
        <f aca="false">IFERROR(CHOOSE(MATCH(INDEX(時間ごとの判定!$AN$3:$AN$1850,447),{"利用可","両方停止","運転がそろわない","判定不能"},0),"○","停","×","－"),"")</f>
        <v>×</v>
      </c>
      <c r="BP22" s="35" t="str">
        <f aca="false">IFERROR(CHOOSE(MATCH(INDEX(時間ごとの判定!$AN$3:$AN$1850,448),{"利用可","両方停止","運転がそろわない","判定不能"},0),"○","停","×","－"),"")</f>
        <v>×</v>
      </c>
      <c r="BQ22" s="35" t="str">
        <f aca="false">IFERROR(CHOOSE(MATCH(INDEX(時間ごとの判定!$AN$3:$AN$1850,449),{"利用可","両方停止","運転がそろわない","判定不能"},0),"○","停","×","－"),"")</f>
        <v>×</v>
      </c>
      <c r="BR22" s="35" t="str">
        <f aca="false">IFERROR(CHOOSE(MATCH(INDEX(時間ごとの判定!$AN$3:$AN$1850,450),{"利用可","両方停止","運転がそろわない","判定不能"},0),"○","停","×","－"),"")</f>
        <v>×</v>
      </c>
      <c r="BS22" s="35" t="str">
        <f aca="false">IFERROR(CHOOSE(MATCH(INDEX(時間ごとの判定!$AN$3:$AN$1850,451),{"利用可","両方停止","運転がそろわない","判定不能"},0),"○","停","×","－"),"")</f>
        <v>×</v>
      </c>
      <c r="BT22" s="35" t="str">
        <f aca="false">IFERROR(CHOOSE(MATCH(INDEX(時間ごとの判定!$AN$3:$AN$1850,452),{"利用可","両方停止","運転がそろわない","判定不能"},0),"○","停","×","－"),"")</f>
        <v>×</v>
      </c>
      <c r="BU22" s="35" t="str">
        <f aca="false">IFERROR(CHOOSE(MATCH(INDEX(時間ごとの判定!$AN$3:$AN$1850,453),{"利用可","両方停止","運転がそろわない","判定不能"},0),"○","停","×","－"),"")</f>
        <v>×</v>
      </c>
      <c r="BV22" s="35" t="str">
        <f aca="false">IFERROR(CHOOSE(MATCH(INDEX(時間ごとの判定!$AN$3:$AN$1850,454),{"利用可","両方停止","運転がそろわない","判定不能"},0),"○","停","×","－"),"")</f>
        <v>停</v>
      </c>
      <c r="BW22" s="35" t="str">
        <f aca="false">IFERROR(CHOOSE(MATCH(INDEX(時間ごとの判定!$AN$3:$AN$1850,455),{"利用可","両方停止","運転がそろわない","判定不能"},0),"○","停","×","－"),"")</f>
        <v>停</v>
      </c>
      <c r="BX22" s="35" t="str">
        <f aca="false">IFERROR(CHOOSE(MATCH(INDEX(時間ごとの判定!$AN$3:$AN$1850,456),{"利用可","両方停止","運転がそろわない","判定不能"},0),"○","停","×","－"),"")</f>
        <v>停</v>
      </c>
    </row>
    <row r="23" customFormat="false" ht="15" hidden="false" customHeight="false" outlineLevel="0" collapsed="false">
      <c r="A23" s="33" t="n">
        <v>46251</v>
      </c>
      <c r="B23" s="34" t="s">
        <v>66</v>
      </c>
      <c r="C23" s="35" t="str">
        <f aca="false">IFERROR(CHOOSE(MATCH(INDEX(時間ごとの判定!$AH$3:$AH$1850,457),{"利用可","両方停止","運転がそろわない","判定不能"},0),"○","停","×","－"),"")</f>
        <v>停</v>
      </c>
      <c r="D23" s="35" t="str">
        <f aca="false">IFERROR(CHOOSE(MATCH(INDEX(時間ごとの判定!$AH$3:$AH$1850,458),{"利用可","両方停止","運転がそろわない","判定不能"},0),"○","停","×","－"),"")</f>
        <v>停</v>
      </c>
      <c r="E23" s="35" t="str">
        <f aca="false">IFERROR(CHOOSE(MATCH(INDEX(時間ごとの判定!$AH$3:$AH$1850,459),{"利用可","両方停止","運転がそろわない","判定不能"},0),"○","停","×","－"),"")</f>
        <v>停</v>
      </c>
      <c r="F23" s="35" t="str">
        <f aca="false">IFERROR(CHOOSE(MATCH(INDEX(時間ごとの判定!$AH$3:$AH$1850,460),{"利用可","両方停止","運転がそろわない","判定不能"},0),"○","停","×","－"),"")</f>
        <v>停</v>
      </c>
      <c r="G23" s="35" t="str">
        <f aca="false">IFERROR(CHOOSE(MATCH(INDEX(時間ごとの判定!$AH$3:$AH$1850,461),{"利用可","両方停止","運転がそろわない","判定不能"},0),"○","停","×","－"),"")</f>
        <v>停</v>
      </c>
      <c r="H23" s="35" t="str">
        <f aca="false">IFERROR(CHOOSE(MATCH(INDEX(時間ごとの判定!$AH$3:$AH$1850,462),{"利用可","両方停止","運転がそろわない","判定不能"},0),"○","停","×","－"),"")</f>
        <v>停</v>
      </c>
      <c r="I23" s="35" t="str">
        <f aca="false">IFERROR(CHOOSE(MATCH(INDEX(時間ごとの判定!$AH$3:$AH$1850,463),{"利用可","両方停止","運転がそろわない","判定不能"},0),"○","停","×","－"),"")</f>
        <v>停</v>
      </c>
      <c r="J23" s="35" t="str">
        <f aca="false">IFERROR(CHOOSE(MATCH(INDEX(時間ごとの判定!$AH$3:$AH$1850,464),{"利用可","両方停止","運転がそろわない","判定不能"},0),"○","停","×","－"),"")</f>
        <v>×</v>
      </c>
      <c r="K23" s="35" t="str">
        <f aca="false">IFERROR(CHOOSE(MATCH(INDEX(時間ごとの判定!$AH$3:$AH$1850,465),{"利用可","両方停止","運転がそろわない","判定不能"},0),"○","停","×","－"),"")</f>
        <v>×</v>
      </c>
      <c r="L23" s="35" t="str">
        <f aca="false">IFERROR(CHOOSE(MATCH(INDEX(時間ごとの判定!$AH$3:$AH$1850,466),{"利用可","両方停止","運転がそろわない","判定不能"},0),"○","停","×","－"),"")</f>
        <v>○</v>
      </c>
      <c r="M23" s="35" t="str">
        <f aca="false">IFERROR(CHOOSE(MATCH(INDEX(時間ごとの判定!$AH$3:$AH$1850,467),{"利用可","両方停止","運転がそろわない","判定不能"},0),"○","停","×","－"),"")</f>
        <v>○</v>
      </c>
      <c r="N23" s="35" t="str">
        <f aca="false">IFERROR(CHOOSE(MATCH(INDEX(時間ごとの判定!$AH$3:$AH$1850,468),{"利用可","両方停止","運転がそろわない","判定不能"},0),"○","停","×","－"),"")</f>
        <v>○</v>
      </c>
      <c r="O23" s="35" t="str">
        <f aca="false">IFERROR(CHOOSE(MATCH(INDEX(時間ごとの判定!$AH$3:$AH$1850,469),{"利用可","両方停止","運転がそろわない","判定不能"},0),"○","停","×","－"),"")</f>
        <v>○</v>
      </c>
      <c r="P23" s="35" t="str">
        <f aca="false">IFERROR(CHOOSE(MATCH(INDEX(時間ごとの判定!$AH$3:$AH$1850,470),{"利用可","両方停止","運転がそろわない","判定不能"},0),"○","停","×","－"),"")</f>
        <v>○</v>
      </c>
      <c r="Q23" s="35" t="str">
        <f aca="false">IFERROR(CHOOSE(MATCH(INDEX(時間ごとの判定!$AH$3:$AH$1850,471),{"利用可","両方停止","運転がそろわない","判定不能"},0),"○","停","×","－"),"")</f>
        <v>○</v>
      </c>
      <c r="R23" s="35" t="str">
        <f aca="false">IFERROR(CHOOSE(MATCH(INDEX(時間ごとの判定!$AH$3:$AH$1850,472),{"利用可","両方停止","運転がそろわない","判定不能"},0),"○","停","×","－"),"")</f>
        <v>○</v>
      </c>
      <c r="S23" s="35" t="str">
        <f aca="false">IFERROR(CHOOSE(MATCH(INDEX(時間ごとの判定!$AH$3:$AH$1850,473),{"利用可","両方停止","運転がそろわない","判定不能"},0),"○","停","×","－"),"")</f>
        <v>○</v>
      </c>
      <c r="T23" s="35" t="str">
        <f aca="false">IFERROR(CHOOSE(MATCH(INDEX(時間ごとの判定!$AH$3:$AH$1850,474),{"利用可","両方停止","運転がそろわない","判定不能"},0),"○","停","×","－"),"")</f>
        <v>○</v>
      </c>
      <c r="U23" s="35" t="str">
        <f aca="false">IFERROR(CHOOSE(MATCH(INDEX(時間ごとの判定!$AH$3:$AH$1850,475),{"利用可","両方停止","運転がそろわない","判定不能"},0),"○","停","×","－"),"")</f>
        <v>×</v>
      </c>
      <c r="V23" s="35" t="str">
        <f aca="false">IFERROR(CHOOSE(MATCH(INDEX(時間ごとの判定!$AH$3:$AH$1850,476),{"利用可","両方停止","運転がそろわない","判定不能"},0),"○","停","×","－"),"")</f>
        <v>×</v>
      </c>
      <c r="W23" s="35" t="str">
        <f aca="false">IFERROR(CHOOSE(MATCH(INDEX(時間ごとの判定!$AH$3:$AH$1850,477),{"利用可","両方停止","運転がそろわない","判定不能"},0),"○","停","×","－"),"")</f>
        <v>×</v>
      </c>
      <c r="X23" s="35" t="str">
        <f aca="false">IFERROR(CHOOSE(MATCH(INDEX(時間ごとの判定!$AH$3:$AH$1850,478),{"利用可","両方停止","運転がそろわない","判定不能"},0),"○","停","×","－"),"")</f>
        <v>停</v>
      </c>
      <c r="Y23" s="35" t="str">
        <f aca="false">IFERROR(CHOOSE(MATCH(INDEX(時間ごとの判定!$AH$3:$AH$1850,479),{"利用可","両方停止","運転がそろわない","判定不能"},0),"○","停","×","－"),"")</f>
        <v>停</v>
      </c>
      <c r="Z23" s="35" t="str">
        <f aca="false">IFERROR(CHOOSE(MATCH(INDEX(時間ごとの判定!$AH$3:$AH$1850,480),{"利用可","両方停止","運転がそろわない","判定不能"},0),"○","停","×","－"),"")</f>
        <v>停</v>
      </c>
      <c r="AA23" s="35"/>
      <c r="AB23" s="35" t="str">
        <f aca="false">IFERROR(CHOOSE(MATCH(INDEX(時間ごとの判定!$AK$3:$AK$1850,457),{"利用可","両方停止","運転がそろわない","判定不能"},0),"○","停","×","－"),"")</f>
        <v>－</v>
      </c>
      <c r="AC23" s="35" t="str">
        <f aca="false">IFERROR(CHOOSE(MATCH(INDEX(時間ごとの判定!$AK$3:$AK$1850,458),{"利用可","両方停止","運転がそろわない","判定不能"},0),"○","停","×","－"),"")</f>
        <v>－</v>
      </c>
      <c r="AD23" s="35" t="str">
        <f aca="false">IFERROR(CHOOSE(MATCH(INDEX(時間ごとの判定!$AK$3:$AK$1850,459),{"利用可","両方停止","運転がそろわない","判定不能"},0),"○","停","×","－"),"")</f>
        <v>－</v>
      </c>
      <c r="AE23" s="35" t="str">
        <f aca="false">IFERROR(CHOOSE(MATCH(INDEX(時間ごとの判定!$AK$3:$AK$1850,460),{"利用可","両方停止","運転がそろわない","判定不能"},0),"○","停","×","－"),"")</f>
        <v>－</v>
      </c>
      <c r="AF23" s="35" t="str">
        <f aca="false">IFERROR(CHOOSE(MATCH(INDEX(時間ごとの判定!$AK$3:$AK$1850,461),{"利用可","両方停止","運転がそろわない","判定不能"},0),"○","停","×","－"),"")</f>
        <v>－</v>
      </c>
      <c r="AG23" s="35" t="str">
        <f aca="false">IFERROR(CHOOSE(MATCH(INDEX(時間ごとの判定!$AK$3:$AK$1850,462),{"利用可","両方停止","運転がそろわない","判定不能"},0),"○","停","×","－"),"")</f>
        <v>－</v>
      </c>
      <c r="AH23" s="35" t="str">
        <f aca="false">IFERROR(CHOOSE(MATCH(INDEX(時間ごとの判定!$AK$3:$AK$1850,463),{"利用可","両方停止","運転がそろわない","判定不能"},0),"○","停","×","－"),"")</f>
        <v>－</v>
      </c>
      <c r="AI23" s="35" t="str">
        <f aca="false">IFERROR(CHOOSE(MATCH(INDEX(時間ごとの判定!$AK$3:$AK$1850,464),{"利用可","両方停止","運転がそろわない","判定不能"},0),"○","停","×","－"),"")</f>
        <v>－</v>
      </c>
      <c r="AJ23" s="35" t="str">
        <f aca="false">IFERROR(CHOOSE(MATCH(INDEX(時間ごとの判定!$AK$3:$AK$1850,465),{"利用可","両方停止","運転がそろわない","判定不能"},0),"○","停","×","－"),"")</f>
        <v>－</v>
      </c>
      <c r="AK23" s="35" t="str">
        <f aca="false">IFERROR(CHOOSE(MATCH(INDEX(時間ごとの判定!$AK$3:$AK$1850,466),{"利用可","両方停止","運転がそろわない","判定不能"},0),"○","停","×","－"),"")</f>
        <v>－</v>
      </c>
      <c r="AL23" s="35" t="str">
        <f aca="false">IFERROR(CHOOSE(MATCH(INDEX(時間ごとの判定!$AK$3:$AK$1850,467),{"利用可","両方停止","運転がそろわない","判定不能"},0),"○","停","×","－"),"")</f>
        <v>－</v>
      </c>
      <c r="AM23" s="35" t="str">
        <f aca="false">IFERROR(CHOOSE(MATCH(INDEX(時間ごとの判定!$AK$3:$AK$1850,468),{"利用可","両方停止","運転がそろわない","判定不能"},0),"○","停","×","－"),"")</f>
        <v>－</v>
      </c>
      <c r="AN23" s="35" t="str">
        <f aca="false">IFERROR(CHOOSE(MATCH(INDEX(時間ごとの判定!$AK$3:$AK$1850,469),{"利用可","両方停止","運転がそろわない","判定不能"},0),"○","停","×","－"),"")</f>
        <v>－</v>
      </c>
      <c r="AO23" s="35" t="str">
        <f aca="false">IFERROR(CHOOSE(MATCH(INDEX(時間ごとの判定!$AK$3:$AK$1850,470),{"利用可","両方停止","運転がそろわない","判定不能"},0),"○","停","×","－"),"")</f>
        <v>－</v>
      </c>
      <c r="AP23" s="35" t="str">
        <f aca="false">IFERROR(CHOOSE(MATCH(INDEX(時間ごとの判定!$AK$3:$AK$1850,471),{"利用可","両方停止","運転がそろわない","判定不能"},0),"○","停","×","－"),"")</f>
        <v>－</v>
      </c>
      <c r="AQ23" s="35" t="str">
        <f aca="false">IFERROR(CHOOSE(MATCH(INDEX(時間ごとの判定!$AK$3:$AK$1850,472),{"利用可","両方停止","運転がそろわない","判定不能"},0),"○","停","×","－"),"")</f>
        <v>－</v>
      </c>
      <c r="AR23" s="35" t="str">
        <f aca="false">IFERROR(CHOOSE(MATCH(INDEX(時間ごとの判定!$AK$3:$AK$1850,473),{"利用可","両方停止","運転がそろわない","判定不能"},0),"○","停","×","－"),"")</f>
        <v>－</v>
      </c>
      <c r="AS23" s="35" t="str">
        <f aca="false">IFERROR(CHOOSE(MATCH(INDEX(時間ごとの判定!$AK$3:$AK$1850,474),{"利用可","両方停止","運転がそろわない","判定不能"},0),"○","停","×","－"),"")</f>
        <v>－</v>
      </c>
      <c r="AT23" s="35" t="str">
        <f aca="false">IFERROR(CHOOSE(MATCH(INDEX(時間ごとの判定!$AK$3:$AK$1850,475),{"利用可","両方停止","運転がそろわない","判定不能"},0),"○","停","×","－"),"")</f>
        <v>－</v>
      </c>
      <c r="AU23" s="35" t="str">
        <f aca="false">IFERROR(CHOOSE(MATCH(INDEX(時間ごとの判定!$AK$3:$AK$1850,476),{"利用可","両方停止","運転がそろわない","判定不能"},0),"○","停","×","－"),"")</f>
        <v>－</v>
      </c>
      <c r="AV23" s="35" t="str">
        <f aca="false">IFERROR(CHOOSE(MATCH(INDEX(時間ごとの判定!$AK$3:$AK$1850,477),{"利用可","両方停止","運転がそろわない","判定不能"},0),"○","停","×","－"),"")</f>
        <v>－</v>
      </c>
      <c r="AW23" s="35" t="str">
        <f aca="false">IFERROR(CHOOSE(MATCH(INDEX(時間ごとの判定!$AK$3:$AK$1850,478),{"利用可","両方停止","運転がそろわない","判定不能"},0),"○","停","×","－"),"")</f>
        <v>－</v>
      </c>
      <c r="AX23" s="35" t="str">
        <f aca="false">IFERROR(CHOOSE(MATCH(INDEX(時間ごとの判定!$AK$3:$AK$1850,479),{"利用可","両方停止","運転がそろわない","判定不能"},0),"○","停","×","－"),"")</f>
        <v>－</v>
      </c>
      <c r="AY23" s="35" t="str">
        <f aca="false">IFERROR(CHOOSE(MATCH(INDEX(時間ごとの判定!$AK$3:$AK$1850,480),{"利用可","両方停止","運転がそろわない","判定不能"},0),"○","停","×","－"),"")</f>
        <v>－</v>
      </c>
      <c r="AZ23" s="35"/>
      <c r="BA23" s="35" t="str">
        <f aca="false">IFERROR(CHOOSE(MATCH(INDEX(時間ごとの判定!$AN$3:$AN$1850,457),{"利用可","両方停止","運転がそろわない","判定不能"},0),"○","停","×","－"),"")</f>
        <v>停</v>
      </c>
      <c r="BB23" s="35" t="str">
        <f aca="false">IFERROR(CHOOSE(MATCH(INDEX(時間ごとの判定!$AN$3:$AN$1850,458),{"利用可","両方停止","運転がそろわない","判定不能"},0),"○","停","×","－"),"")</f>
        <v>停</v>
      </c>
      <c r="BC23" s="35" t="str">
        <f aca="false">IFERROR(CHOOSE(MATCH(INDEX(時間ごとの判定!$AN$3:$AN$1850,459),{"利用可","両方停止","運転がそろわない","判定不能"},0),"○","停","×","－"),"")</f>
        <v>停</v>
      </c>
      <c r="BD23" s="35" t="str">
        <f aca="false">IFERROR(CHOOSE(MATCH(INDEX(時間ごとの判定!$AN$3:$AN$1850,460),{"利用可","両方停止","運転がそろわない","判定不能"},0),"○","停","×","－"),"")</f>
        <v>停</v>
      </c>
      <c r="BE23" s="35" t="str">
        <f aca="false">IFERROR(CHOOSE(MATCH(INDEX(時間ごとの判定!$AN$3:$AN$1850,461),{"利用可","両方停止","運転がそろわない","判定不能"},0),"○","停","×","－"),"")</f>
        <v>停</v>
      </c>
      <c r="BF23" s="35" t="str">
        <f aca="false">IFERROR(CHOOSE(MATCH(INDEX(時間ごとの判定!$AN$3:$AN$1850,462),{"利用可","両方停止","運転がそろわない","判定不能"},0),"○","停","×","－"),"")</f>
        <v>停</v>
      </c>
      <c r="BG23" s="35" t="str">
        <f aca="false">IFERROR(CHOOSE(MATCH(INDEX(時間ごとの判定!$AN$3:$AN$1850,463),{"利用可","両方停止","運転がそろわない","判定不能"},0),"○","停","×","－"),"")</f>
        <v>停</v>
      </c>
      <c r="BH23" s="35" t="str">
        <f aca="false">IFERROR(CHOOSE(MATCH(INDEX(時間ごとの判定!$AN$3:$AN$1850,464),{"利用可","両方停止","運転がそろわない","判定不能"},0),"○","停","×","－"),"")</f>
        <v>×</v>
      </c>
      <c r="BI23" s="35" t="str">
        <f aca="false">IFERROR(CHOOSE(MATCH(INDEX(時間ごとの判定!$AN$3:$AN$1850,465),{"利用可","両方停止","運転がそろわない","判定不能"},0),"○","停","×","－"),"")</f>
        <v>×</v>
      </c>
      <c r="BJ23" s="35" t="str">
        <f aca="false">IFERROR(CHOOSE(MATCH(INDEX(時間ごとの判定!$AN$3:$AN$1850,466),{"利用可","両方停止","運転がそろわない","判定不能"},0),"○","停","×","－"),"")</f>
        <v>○</v>
      </c>
      <c r="BK23" s="35" t="str">
        <f aca="false">IFERROR(CHOOSE(MATCH(INDEX(時間ごとの判定!$AN$3:$AN$1850,467),{"利用可","両方停止","運転がそろわない","判定不能"},0),"○","停","×","－"),"")</f>
        <v>○</v>
      </c>
      <c r="BL23" s="35" t="str">
        <f aca="false">IFERROR(CHOOSE(MATCH(INDEX(時間ごとの判定!$AN$3:$AN$1850,468),{"利用可","両方停止","運転がそろわない","判定不能"},0),"○","停","×","－"),"")</f>
        <v>○</v>
      </c>
      <c r="BM23" s="35" t="str">
        <f aca="false">IFERROR(CHOOSE(MATCH(INDEX(時間ごとの判定!$AN$3:$AN$1850,469),{"利用可","両方停止","運転がそろわない","判定不能"},0),"○","停","×","－"),"")</f>
        <v>○</v>
      </c>
      <c r="BN23" s="35" t="str">
        <f aca="false">IFERROR(CHOOSE(MATCH(INDEX(時間ごとの判定!$AN$3:$AN$1850,470),{"利用可","両方停止","運転がそろわない","判定不能"},0),"○","停","×","－"),"")</f>
        <v>○</v>
      </c>
      <c r="BO23" s="35" t="str">
        <f aca="false">IFERROR(CHOOSE(MATCH(INDEX(時間ごとの判定!$AN$3:$AN$1850,471),{"利用可","両方停止","運転がそろわない","判定不能"},0),"○","停","×","－"),"")</f>
        <v>○</v>
      </c>
      <c r="BP23" s="35" t="str">
        <f aca="false">IFERROR(CHOOSE(MATCH(INDEX(時間ごとの判定!$AN$3:$AN$1850,472),{"利用可","両方停止","運転がそろわない","判定不能"},0),"○","停","×","－"),"")</f>
        <v>○</v>
      </c>
      <c r="BQ23" s="35" t="str">
        <f aca="false">IFERROR(CHOOSE(MATCH(INDEX(時間ごとの判定!$AN$3:$AN$1850,473),{"利用可","両方停止","運転がそろわない","判定不能"},0),"○","停","×","－"),"")</f>
        <v>○</v>
      </c>
      <c r="BR23" s="35" t="str">
        <f aca="false">IFERROR(CHOOSE(MATCH(INDEX(時間ごとの判定!$AN$3:$AN$1850,474),{"利用可","両方停止","運転がそろわない","判定不能"},0),"○","停","×","－"),"")</f>
        <v>○</v>
      </c>
      <c r="BS23" s="35" t="str">
        <f aca="false">IFERROR(CHOOSE(MATCH(INDEX(時間ごとの判定!$AN$3:$AN$1850,475),{"利用可","両方停止","運転がそろわない","判定不能"},0),"○","停","×","－"),"")</f>
        <v>×</v>
      </c>
      <c r="BT23" s="35" t="str">
        <f aca="false">IFERROR(CHOOSE(MATCH(INDEX(時間ごとの判定!$AN$3:$AN$1850,476),{"利用可","両方停止","運転がそろわない","判定不能"},0),"○","停","×","－"),"")</f>
        <v>○</v>
      </c>
      <c r="BU23" s="35" t="str">
        <f aca="false">IFERROR(CHOOSE(MATCH(INDEX(時間ごとの判定!$AN$3:$AN$1850,477),{"利用可","両方停止","運転がそろわない","判定不能"},0),"○","停","×","－"),"")</f>
        <v>×</v>
      </c>
      <c r="BV23" s="35" t="str">
        <f aca="false">IFERROR(CHOOSE(MATCH(INDEX(時間ごとの判定!$AN$3:$AN$1850,478),{"利用可","両方停止","運転がそろわない","判定不能"},0),"○","停","×","－"),"")</f>
        <v>停</v>
      </c>
      <c r="BW23" s="35" t="str">
        <f aca="false">IFERROR(CHOOSE(MATCH(INDEX(時間ごとの判定!$AN$3:$AN$1850,479),{"利用可","両方停止","運転がそろわない","判定不能"},0),"○","停","×","－"),"")</f>
        <v>停</v>
      </c>
      <c r="BX23" s="35" t="str">
        <f aca="false">IFERROR(CHOOSE(MATCH(INDEX(時間ごとの判定!$AN$3:$AN$1850,480),{"利用可","両方停止","運転がそろわない","判定不能"},0),"○","停","×","－"),"")</f>
        <v>停</v>
      </c>
    </row>
    <row r="24" customFormat="false" ht="15" hidden="false" customHeight="false" outlineLevel="0" collapsed="false">
      <c r="A24" s="33" t="n">
        <v>46252</v>
      </c>
      <c r="B24" s="34" t="s">
        <v>67</v>
      </c>
      <c r="C24" s="35" t="str">
        <f aca="false">IFERROR(CHOOSE(MATCH(INDEX(時間ごとの判定!$AH$3:$AH$1850,481),{"利用可","両方停止","運転がそろわない","判定不能"},0),"○","停","×","－"),"")</f>
        <v>停</v>
      </c>
      <c r="D24" s="35" t="str">
        <f aca="false">IFERROR(CHOOSE(MATCH(INDEX(時間ごとの判定!$AH$3:$AH$1850,482),{"利用可","両方停止","運転がそろわない","判定不能"},0),"○","停","×","－"),"")</f>
        <v>停</v>
      </c>
      <c r="E24" s="35" t="str">
        <f aca="false">IFERROR(CHOOSE(MATCH(INDEX(時間ごとの判定!$AH$3:$AH$1850,483),{"利用可","両方停止","運転がそろわない","判定不能"},0),"○","停","×","－"),"")</f>
        <v>停</v>
      </c>
      <c r="F24" s="35" t="str">
        <f aca="false">IFERROR(CHOOSE(MATCH(INDEX(時間ごとの判定!$AH$3:$AH$1850,484),{"利用可","両方停止","運転がそろわない","判定不能"},0),"○","停","×","－"),"")</f>
        <v>停</v>
      </c>
      <c r="G24" s="35" t="str">
        <f aca="false">IFERROR(CHOOSE(MATCH(INDEX(時間ごとの判定!$AH$3:$AH$1850,485),{"利用可","両方停止","運転がそろわない","判定不能"},0),"○","停","×","－"),"")</f>
        <v>停</v>
      </c>
      <c r="H24" s="35" t="str">
        <f aca="false">IFERROR(CHOOSE(MATCH(INDEX(時間ごとの判定!$AH$3:$AH$1850,486),{"利用可","両方停止","運転がそろわない","判定不能"},0),"○","停","×","－"),"")</f>
        <v>停</v>
      </c>
      <c r="I24" s="35" t="str">
        <f aca="false">IFERROR(CHOOSE(MATCH(INDEX(時間ごとの判定!$AH$3:$AH$1850,487),{"利用可","両方停止","運転がそろわない","判定不能"},0),"○","停","×","－"),"")</f>
        <v>×</v>
      </c>
      <c r="J24" s="35" t="str">
        <f aca="false">IFERROR(CHOOSE(MATCH(INDEX(時間ごとの判定!$AH$3:$AH$1850,488),{"利用可","両方停止","運転がそろわない","判定不能"},0),"○","停","×","－"),"")</f>
        <v>×</v>
      </c>
      <c r="K24" s="35" t="str">
        <f aca="false">IFERROR(CHOOSE(MATCH(INDEX(時間ごとの判定!$AH$3:$AH$1850,489),{"利用可","両方停止","運転がそろわない","判定不能"},0),"○","停","×","－"),"")</f>
        <v>○</v>
      </c>
      <c r="L24" s="35" t="str">
        <f aca="false">IFERROR(CHOOSE(MATCH(INDEX(時間ごとの判定!$AH$3:$AH$1850,490),{"利用可","両方停止","運転がそろわない","判定不能"},0),"○","停","×","－"),"")</f>
        <v>○</v>
      </c>
      <c r="M24" s="35" t="str">
        <f aca="false">IFERROR(CHOOSE(MATCH(INDEX(時間ごとの判定!$AH$3:$AH$1850,491),{"利用可","両方停止","運転がそろわない","判定不能"},0),"○","停","×","－"),"")</f>
        <v>○</v>
      </c>
      <c r="N24" s="35" t="str">
        <f aca="false">IFERROR(CHOOSE(MATCH(INDEX(時間ごとの判定!$AH$3:$AH$1850,492),{"利用可","両方停止","運転がそろわない","判定不能"},0),"○","停","×","－"),"")</f>
        <v>○</v>
      </c>
      <c r="O24" s="35" t="str">
        <f aca="false">IFERROR(CHOOSE(MATCH(INDEX(時間ごとの判定!$AH$3:$AH$1850,493),{"利用可","両方停止","運転がそろわない","判定不能"},0),"○","停","×","－"),"")</f>
        <v>○</v>
      </c>
      <c r="P24" s="35" t="str">
        <f aca="false">IFERROR(CHOOSE(MATCH(INDEX(時間ごとの判定!$AH$3:$AH$1850,494),{"利用可","両方停止","運転がそろわない","判定不能"},0),"○","停","×","－"),"")</f>
        <v>○</v>
      </c>
      <c r="Q24" s="35" t="str">
        <f aca="false">IFERROR(CHOOSE(MATCH(INDEX(時間ごとの判定!$AH$3:$AH$1850,495),{"利用可","両方停止","運転がそろわない","判定不能"},0),"○","停","×","－"),"")</f>
        <v>○</v>
      </c>
      <c r="R24" s="35" t="str">
        <f aca="false">IFERROR(CHOOSE(MATCH(INDEX(時間ごとの判定!$AH$3:$AH$1850,496),{"利用可","両方停止","運転がそろわない","判定不能"},0),"○","停","×","－"),"")</f>
        <v>○</v>
      </c>
      <c r="S24" s="35" t="str">
        <f aca="false">IFERROR(CHOOSE(MATCH(INDEX(時間ごとの判定!$AH$3:$AH$1850,497),{"利用可","両方停止","運転がそろわない","判定不能"},0),"○","停","×","－"),"")</f>
        <v>○</v>
      </c>
      <c r="T24" s="35" t="str">
        <f aca="false">IFERROR(CHOOSE(MATCH(INDEX(時間ごとの判定!$AH$3:$AH$1850,498),{"利用可","両方停止","運転がそろわない","判定不能"},0),"○","停","×","－"),"")</f>
        <v>○</v>
      </c>
      <c r="U24" s="35" t="str">
        <f aca="false">IFERROR(CHOOSE(MATCH(INDEX(時間ごとの判定!$AH$3:$AH$1850,499),{"利用可","両方停止","運転がそろわない","判定不能"},0),"○","停","×","－"),"")</f>
        <v>×</v>
      </c>
      <c r="V24" s="35" t="str">
        <f aca="false">IFERROR(CHOOSE(MATCH(INDEX(時間ごとの判定!$AH$3:$AH$1850,500),{"利用可","両方停止","運転がそろわない","判定不能"},0),"○","停","×","－"),"")</f>
        <v>×</v>
      </c>
      <c r="W24" s="35" t="str">
        <f aca="false">IFERROR(CHOOSE(MATCH(INDEX(時間ごとの判定!$AH$3:$AH$1850,501),{"利用可","両方停止","運転がそろわない","判定不能"},0),"○","停","×","－"),"")</f>
        <v>×</v>
      </c>
      <c r="X24" s="35" t="str">
        <f aca="false">IFERROR(CHOOSE(MATCH(INDEX(時間ごとの判定!$AH$3:$AH$1850,502),{"利用可","両方停止","運転がそろわない","判定不能"},0),"○","停","×","－"),"")</f>
        <v>停</v>
      </c>
      <c r="Y24" s="35" t="str">
        <f aca="false">IFERROR(CHOOSE(MATCH(INDEX(時間ごとの判定!$AH$3:$AH$1850,503),{"利用可","両方停止","運転がそろわない","判定不能"},0),"○","停","×","－"),"")</f>
        <v>停</v>
      </c>
      <c r="Z24" s="35" t="str">
        <f aca="false">IFERROR(CHOOSE(MATCH(INDEX(時間ごとの判定!$AH$3:$AH$1850,504),{"利用可","両方停止","運転がそろわない","判定不能"},0),"○","停","×","－"),"")</f>
        <v>停</v>
      </c>
      <c r="AA24" s="35"/>
      <c r="AB24" s="35" t="str">
        <f aca="false">IFERROR(CHOOSE(MATCH(INDEX(時間ごとの判定!$AK$3:$AK$1850,481),{"利用可","両方停止","運転がそろわない","判定不能"},0),"○","停","×","－"),"")</f>
        <v>－</v>
      </c>
      <c r="AC24" s="35" t="str">
        <f aca="false">IFERROR(CHOOSE(MATCH(INDEX(時間ごとの判定!$AK$3:$AK$1850,482),{"利用可","両方停止","運転がそろわない","判定不能"},0),"○","停","×","－"),"")</f>
        <v>－</v>
      </c>
      <c r="AD24" s="35" t="str">
        <f aca="false">IFERROR(CHOOSE(MATCH(INDEX(時間ごとの判定!$AK$3:$AK$1850,483),{"利用可","両方停止","運転がそろわない","判定不能"},0),"○","停","×","－"),"")</f>
        <v>－</v>
      </c>
      <c r="AE24" s="35" t="str">
        <f aca="false">IFERROR(CHOOSE(MATCH(INDEX(時間ごとの判定!$AK$3:$AK$1850,484),{"利用可","両方停止","運転がそろわない","判定不能"},0),"○","停","×","－"),"")</f>
        <v>－</v>
      </c>
      <c r="AF24" s="35" t="str">
        <f aca="false">IFERROR(CHOOSE(MATCH(INDEX(時間ごとの判定!$AK$3:$AK$1850,485),{"利用可","両方停止","運転がそろわない","判定不能"},0),"○","停","×","－"),"")</f>
        <v>－</v>
      </c>
      <c r="AG24" s="35" t="str">
        <f aca="false">IFERROR(CHOOSE(MATCH(INDEX(時間ごとの判定!$AK$3:$AK$1850,486),{"利用可","両方停止","運転がそろわない","判定不能"},0),"○","停","×","－"),"")</f>
        <v>－</v>
      </c>
      <c r="AH24" s="35" t="str">
        <f aca="false">IFERROR(CHOOSE(MATCH(INDEX(時間ごとの判定!$AK$3:$AK$1850,487),{"利用可","両方停止","運転がそろわない","判定不能"},0),"○","停","×","－"),"")</f>
        <v>－</v>
      </c>
      <c r="AI24" s="35" t="str">
        <f aca="false">IFERROR(CHOOSE(MATCH(INDEX(時間ごとの判定!$AK$3:$AK$1850,488),{"利用可","両方停止","運転がそろわない","判定不能"},0),"○","停","×","－"),"")</f>
        <v>－</v>
      </c>
      <c r="AJ24" s="35" t="str">
        <f aca="false">IFERROR(CHOOSE(MATCH(INDEX(時間ごとの判定!$AK$3:$AK$1850,489),{"利用可","両方停止","運転がそろわない","判定不能"},0),"○","停","×","－"),"")</f>
        <v>－</v>
      </c>
      <c r="AK24" s="35" t="str">
        <f aca="false">IFERROR(CHOOSE(MATCH(INDEX(時間ごとの判定!$AK$3:$AK$1850,490),{"利用可","両方停止","運転がそろわない","判定不能"},0),"○","停","×","－"),"")</f>
        <v>－</v>
      </c>
      <c r="AL24" s="35" t="str">
        <f aca="false">IFERROR(CHOOSE(MATCH(INDEX(時間ごとの判定!$AK$3:$AK$1850,491),{"利用可","両方停止","運転がそろわない","判定不能"},0),"○","停","×","－"),"")</f>
        <v>－</v>
      </c>
      <c r="AM24" s="35" t="str">
        <f aca="false">IFERROR(CHOOSE(MATCH(INDEX(時間ごとの判定!$AK$3:$AK$1850,492),{"利用可","両方停止","運転がそろわない","判定不能"},0),"○","停","×","－"),"")</f>
        <v>－</v>
      </c>
      <c r="AN24" s="35" t="str">
        <f aca="false">IFERROR(CHOOSE(MATCH(INDEX(時間ごとの判定!$AK$3:$AK$1850,493),{"利用可","両方停止","運転がそろわない","判定不能"},0),"○","停","×","－"),"")</f>
        <v>－</v>
      </c>
      <c r="AO24" s="35" t="str">
        <f aca="false">IFERROR(CHOOSE(MATCH(INDEX(時間ごとの判定!$AK$3:$AK$1850,494),{"利用可","両方停止","運転がそろわない","判定不能"},0),"○","停","×","－"),"")</f>
        <v>－</v>
      </c>
      <c r="AP24" s="35" t="str">
        <f aca="false">IFERROR(CHOOSE(MATCH(INDEX(時間ごとの判定!$AK$3:$AK$1850,495),{"利用可","両方停止","運転がそろわない","判定不能"},0),"○","停","×","－"),"")</f>
        <v>－</v>
      </c>
      <c r="AQ24" s="35" t="str">
        <f aca="false">IFERROR(CHOOSE(MATCH(INDEX(時間ごとの判定!$AK$3:$AK$1850,496),{"利用可","両方停止","運転がそろわない","判定不能"},0),"○","停","×","－"),"")</f>
        <v>－</v>
      </c>
      <c r="AR24" s="35" t="str">
        <f aca="false">IFERROR(CHOOSE(MATCH(INDEX(時間ごとの判定!$AK$3:$AK$1850,497),{"利用可","両方停止","運転がそろわない","判定不能"},0),"○","停","×","－"),"")</f>
        <v>－</v>
      </c>
      <c r="AS24" s="35" t="str">
        <f aca="false">IFERROR(CHOOSE(MATCH(INDEX(時間ごとの判定!$AK$3:$AK$1850,498),{"利用可","両方停止","運転がそろわない","判定不能"},0),"○","停","×","－"),"")</f>
        <v>－</v>
      </c>
      <c r="AT24" s="35" t="str">
        <f aca="false">IFERROR(CHOOSE(MATCH(INDEX(時間ごとの判定!$AK$3:$AK$1850,499),{"利用可","両方停止","運転がそろわない","判定不能"},0),"○","停","×","－"),"")</f>
        <v>－</v>
      </c>
      <c r="AU24" s="35" t="str">
        <f aca="false">IFERROR(CHOOSE(MATCH(INDEX(時間ごとの判定!$AK$3:$AK$1850,500),{"利用可","両方停止","運転がそろわない","判定不能"},0),"○","停","×","－"),"")</f>
        <v>－</v>
      </c>
      <c r="AV24" s="35" t="str">
        <f aca="false">IFERROR(CHOOSE(MATCH(INDEX(時間ごとの判定!$AK$3:$AK$1850,501),{"利用可","両方停止","運転がそろわない","判定不能"},0),"○","停","×","－"),"")</f>
        <v>－</v>
      </c>
      <c r="AW24" s="35" t="str">
        <f aca="false">IFERROR(CHOOSE(MATCH(INDEX(時間ごとの判定!$AK$3:$AK$1850,502),{"利用可","両方停止","運転がそろわない","判定不能"},0),"○","停","×","－"),"")</f>
        <v>－</v>
      </c>
      <c r="AX24" s="35" t="str">
        <f aca="false">IFERROR(CHOOSE(MATCH(INDEX(時間ごとの判定!$AK$3:$AK$1850,503),{"利用可","両方停止","運転がそろわない","判定不能"},0),"○","停","×","－"),"")</f>
        <v>－</v>
      </c>
      <c r="AY24" s="35" t="str">
        <f aca="false">IFERROR(CHOOSE(MATCH(INDEX(時間ごとの判定!$AK$3:$AK$1850,504),{"利用可","両方停止","運転がそろわない","判定不能"},0),"○","停","×","－"),"")</f>
        <v>－</v>
      </c>
      <c r="AZ24" s="35"/>
      <c r="BA24" s="35" t="str">
        <f aca="false">IFERROR(CHOOSE(MATCH(INDEX(時間ごとの判定!$AN$3:$AN$1850,481),{"利用可","両方停止","運転がそろわない","判定不能"},0),"○","停","×","－"),"")</f>
        <v>停</v>
      </c>
      <c r="BB24" s="35" t="str">
        <f aca="false">IFERROR(CHOOSE(MATCH(INDEX(時間ごとの判定!$AN$3:$AN$1850,482),{"利用可","両方停止","運転がそろわない","判定不能"},0),"○","停","×","－"),"")</f>
        <v>停</v>
      </c>
      <c r="BC24" s="35" t="str">
        <f aca="false">IFERROR(CHOOSE(MATCH(INDEX(時間ごとの判定!$AN$3:$AN$1850,483),{"利用可","両方停止","運転がそろわない","判定不能"},0),"○","停","×","－"),"")</f>
        <v>停</v>
      </c>
      <c r="BD24" s="35" t="str">
        <f aca="false">IFERROR(CHOOSE(MATCH(INDEX(時間ごとの判定!$AN$3:$AN$1850,484),{"利用可","両方停止","運転がそろわない","判定不能"},0),"○","停","×","－"),"")</f>
        <v>停</v>
      </c>
      <c r="BE24" s="35" t="str">
        <f aca="false">IFERROR(CHOOSE(MATCH(INDEX(時間ごとの判定!$AN$3:$AN$1850,485),{"利用可","両方停止","運転がそろわない","判定不能"},0),"○","停","×","－"),"")</f>
        <v>停</v>
      </c>
      <c r="BF24" s="35" t="str">
        <f aca="false">IFERROR(CHOOSE(MATCH(INDEX(時間ごとの判定!$AN$3:$AN$1850,486),{"利用可","両方停止","運転がそろわない","判定不能"},0),"○","停","×","－"),"")</f>
        <v>停</v>
      </c>
      <c r="BG24" s="35" t="str">
        <f aca="false">IFERROR(CHOOSE(MATCH(INDEX(時間ごとの判定!$AN$3:$AN$1850,487),{"利用可","両方停止","運転がそろわない","判定不能"},0),"○","停","×","－"),"")</f>
        <v>×</v>
      </c>
      <c r="BH24" s="35" t="str">
        <f aca="false">IFERROR(CHOOSE(MATCH(INDEX(時間ごとの判定!$AN$3:$AN$1850,488),{"利用可","両方停止","運転がそろわない","判定不能"},0),"○","停","×","－"),"")</f>
        <v>×</v>
      </c>
      <c r="BI24" s="35" t="str">
        <f aca="false">IFERROR(CHOOSE(MATCH(INDEX(時間ごとの判定!$AN$3:$AN$1850,489),{"利用可","両方停止","運転がそろわない","判定不能"},0),"○","停","×","－"),"")</f>
        <v>○</v>
      </c>
      <c r="BJ24" s="35" t="str">
        <f aca="false">IFERROR(CHOOSE(MATCH(INDEX(時間ごとの判定!$AN$3:$AN$1850,490),{"利用可","両方停止","運転がそろわない","判定不能"},0),"○","停","×","－"),"")</f>
        <v>○</v>
      </c>
      <c r="BK24" s="35" t="str">
        <f aca="false">IFERROR(CHOOSE(MATCH(INDEX(時間ごとの判定!$AN$3:$AN$1850,491),{"利用可","両方停止","運転がそろわない","判定不能"},0),"○","停","×","－"),"")</f>
        <v>○</v>
      </c>
      <c r="BL24" s="35" t="str">
        <f aca="false">IFERROR(CHOOSE(MATCH(INDEX(時間ごとの判定!$AN$3:$AN$1850,492),{"利用可","両方停止","運転がそろわない","判定不能"},0),"○","停","×","－"),"")</f>
        <v>○</v>
      </c>
      <c r="BM24" s="35" t="str">
        <f aca="false">IFERROR(CHOOSE(MATCH(INDEX(時間ごとの判定!$AN$3:$AN$1850,493),{"利用可","両方停止","運転がそろわない","判定不能"},0),"○","停","×","－"),"")</f>
        <v>○</v>
      </c>
      <c r="BN24" s="35" t="str">
        <f aca="false">IFERROR(CHOOSE(MATCH(INDEX(時間ごとの判定!$AN$3:$AN$1850,494),{"利用可","両方停止","運転がそろわない","判定不能"},0),"○","停","×","－"),"")</f>
        <v>○</v>
      </c>
      <c r="BO24" s="35" t="str">
        <f aca="false">IFERROR(CHOOSE(MATCH(INDEX(時間ごとの判定!$AN$3:$AN$1850,495),{"利用可","両方停止","運転がそろわない","判定不能"},0),"○","停","×","－"),"")</f>
        <v>○</v>
      </c>
      <c r="BP24" s="35" t="str">
        <f aca="false">IFERROR(CHOOSE(MATCH(INDEX(時間ごとの判定!$AN$3:$AN$1850,496),{"利用可","両方停止","運転がそろわない","判定不能"},0),"○","停","×","－"),"")</f>
        <v>○</v>
      </c>
      <c r="BQ24" s="35" t="str">
        <f aca="false">IFERROR(CHOOSE(MATCH(INDEX(時間ごとの判定!$AN$3:$AN$1850,497),{"利用可","両方停止","運転がそろわない","判定不能"},0),"○","停","×","－"),"")</f>
        <v>○</v>
      </c>
      <c r="BR24" s="35" t="str">
        <f aca="false">IFERROR(CHOOSE(MATCH(INDEX(時間ごとの判定!$AN$3:$AN$1850,498),{"利用可","両方停止","運転がそろわない","判定不能"},0),"○","停","×","－"),"")</f>
        <v>○</v>
      </c>
      <c r="BS24" s="35" t="str">
        <f aca="false">IFERROR(CHOOSE(MATCH(INDEX(時間ごとの判定!$AN$3:$AN$1850,499),{"利用可","両方停止","運転がそろわない","判定不能"},0),"○","停","×","－"),"")</f>
        <v>×</v>
      </c>
      <c r="BT24" s="35" t="str">
        <f aca="false">IFERROR(CHOOSE(MATCH(INDEX(時間ごとの判定!$AN$3:$AN$1850,500),{"利用可","両方停止","運転がそろわない","判定不能"},0),"○","停","×","－"),"")</f>
        <v>○</v>
      </c>
      <c r="BU24" s="35" t="str">
        <f aca="false">IFERROR(CHOOSE(MATCH(INDEX(時間ごとの判定!$AN$3:$AN$1850,501),{"利用可","両方停止","運転がそろわない","判定不能"},0),"○","停","×","－"),"")</f>
        <v>×</v>
      </c>
      <c r="BV24" s="35" t="str">
        <f aca="false">IFERROR(CHOOSE(MATCH(INDEX(時間ごとの判定!$AN$3:$AN$1850,502),{"利用可","両方停止","運転がそろわない","判定不能"},0),"○","停","×","－"),"")</f>
        <v>停</v>
      </c>
      <c r="BW24" s="35" t="str">
        <f aca="false">IFERROR(CHOOSE(MATCH(INDEX(時間ごとの判定!$AN$3:$AN$1850,503),{"利用可","両方停止","運転がそろわない","判定不能"},0),"○","停","×","－"),"")</f>
        <v>停</v>
      </c>
      <c r="BX24" s="35" t="str">
        <f aca="false">IFERROR(CHOOSE(MATCH(INDEX(時間ごとの判定!$AN$3:$AN$1850,504),{"利用可","両方停止","運転がそろわない","判定不能"},0),"○","停","×","－"),"")</f>
        <v>停</v>
      </c>
    </row>
    <row r="25" customFormat="false" ht="15" hidden="false" customHeight="false" outlineLevel="0" collapsed="false">
      <c r="A25" s="33" t="n">
        <v>46253</v>
      </c>
      <c r="B25" s="34" t="s">
        <v>58</v>
      </c>
      <c r="C25" s="35" t="str">
        <f aca="false">IFERROR(CHOOSE(MATCH(INDEX(時間ごとの判定!$AH$3:$AH$1850,505),{"利用可","両方停止","運転がそろわない","判定不能"},0),"○","停","×","－"),"")</f>
        <v>停</v>
      </c>
      <c r="D25" s="35" t="str">
        <f aca="false">IFERROR(CHOOSE(MATCH(INDEX(時間ごとの判定!$AH$3:$AH$1850,506),{"利用可","両方停止","運転がそろわない","判定不能"},0),"○","停","×","－"),"")</f>
        <v>停</v>
      </c>
      <c r="E25" s="35" t="str">
        <f aca="false">IFERROR(CHOOSE(MATCH(INDEX(時間ごとの判定!$AH$3:$AH$1850,507),{"利用可","両方停止","運転がそろわない","判定不能"},0),"○","停","×","－"),"")</f>
        <v>停</v>
      </c>
      <c r="F25" s="35" t="str">
        <f aca="false">IFERROR(CHOOSE(MATCH(INDEX(時間ごとの判定!$AH$3:$AH$1850,508),{"利用可","両方停止","運転がそろわない","判定不能"},0),"○","停","×","－"),"")</f>
        <v>停</v>
      </c>
      <c r="G25" s="35" t="str">
        <f aca="false">IFERROR(CHOOSE(MATCH(INDEX(時間ごとの判定!$AH$3:$AH$1850,509),{"利用可","両方停止","運転がそろわない","判定不能"},0),"○","停","×","－"),"")</f>
        <v>停</v>
      </c>
      <c r="H25" s="35" t="str">
        <f aca="false">IFERROR(CHOOSE(MATCH(INDEX(時間ごとの判定!$AH$3:$AH$1850,510),{"利用可","両方停止","運転がそろわない","判定不能"},0),"○","停","×","－"),"")</f>
        <v>停</v>
      </c>
      <c r="I25" s="35" t="str">
        <f aca="false">IFERROR(CHOOSE(MATCH(INDEX(時間ごとの判定!$AH$3:$AH$1850,511),{"利用可","両方停止","運転がそろわない","判定不能"},0),"○","停","×","－"),"")</f>
        <v>停</v>
      </c>
      <c r="J25" s="35" t="str">
        <f aca="false">IFERROR(CHOOSE(MATCH(INDEX(時間ごとの判定!$AH$3:$AH$1850,512),{"利用可","両方停止","運転がそろわない","判定不能"},0),"○","停","×","－"),"")</f>
        <v>×</v>
      </c>
      <c r="K25" s="35" t="str">
        <f aca="false">IFERROR(CHOOSE(MATCH(INDEX(時間ごとの判定!$AH$3:$AH$1850,513),{"利用可","両方停止","運転がそろわない","判定不能"},0),"○","停","×","－"),"")</f>
        <v>○</v>
      </c>
      <c r="L25" s="35" t="str">
        <f aca="false">IFERROR(CHOOSE(MATCH(INDEX(時間ごとの判定!$AH$3:$AH$1850,514),{"利用可","両方停止","運転がそろわない","判定不能"},0),"○","停","×","－"),"")</f>
        <v>○</v>
      </c>
      <c r="M25" s="35" t="str">
        <f aca="false">IFERROR(CHOOSE(MATCH(INDEX(時間ごとの判定!$AH$3:$AH$1850,515),{"利用可","両方停止","運転がそろわない","判定不能"},0),"○","停","×","－"),"")</f>
        <v>○</v>
      </c>
      <c r="N25" s="35" t="str">
        <f aca="false">IFERROR(CHOOSE(MATCH(INDEX(時間ごとの判定!$AH$3:$AH$1850,516),{"利用可","両方停止","運転がそろわない","判定不能"},0),"○","停","×","－"),"")</f>
        <v>○</v>
      </c>
      <c r="O25" s="35" t="str">
        <f aca="false">IFERROR(CHOOSE(MATCH(INDEX(時間ごとの判定!$AH$3:$AH$1850,517),{"利用可","両方停止","運転がそろわない","判定不能"},0),"○","停","×","－"),"")</f>
        <v>○</v>
      </c>
      <c r="P25" s="35" t="str">
        <f aca="false">IFERROR(CHOOSE(MATCH(INDEX(時間ごとの判定!$AH$3:$AH$1850,518),{"利用可","両方停止","運転がそろわない","判定不能"},0),"○","停","×","－"),"")</f>
        <v>○</v>
      </c>
      <c r="Q25" s="35" t="str">
        <f aca="false">IFERROR(CHOOSE(MATCH(INDEX(時間ごとの判定!$AH$3:$AH$1850,519),{"利用可","両方停止","運転がそろわない","判定不能"},0),"○","停","×","－"),"")</f>
        <v>○</v>
      </c>
      <c r="R25" s="35" t="str">
        <f aca="false">IFERROR(CHOOSE(MATCH(INDEX(時間ごとの判定!$AH$3:$AH$1850,520),{"利用可","両方停止","運転がそろわない","判定不能"},0),"○","停","×","－"),"")</f>
        <v>○</v>
      </c>
      <c r="S25" s="35" t="str">
        <f aca="false">IFERROR(CHOOSE(MATCH(INDEX(時間ごとの判定!$AH$3:$AH$1850,521),{"利用可","両方停止","運転がそろわない","判定不能"},0),"○","停","×","－"),"")</f>
        <v>○</v>
      </c>
      <c r="T25" s="35" t="str">
        <f aca="false">IFERROR(CHOOSE(MATCH(INDEX(時間ごとの判定!$AH$3:$AH$1850,522),{"利用可","両方停止","運転がそろわない","判定不能"},0),"○","停","×","－"),"")</f>
        <v>○</v>
      </c>
      <c r="U25" s="35" t="str">
        <f aca="false">IFERROR(CHOOSE(MATCH(INDEX(時間ごとの判定!$AH$3:$AH$1850,523),{"利用可","両方停止","運転がそろわない","判定不能"},0),"○","停","×","－"),"")</f>
        <v>×</v>
      </c>
      <c r="V25" s="35" t="str">
        <f aca="false">IFERROR(CHOOSE(MATCH(INDEX(時間ごとの判定!$AH$3:$AH$1850,524),{"利用可","両方停止","運転がそろわない","判定不能"},0),"○","停","×","－"),"")</f>
        <v>×</v>
      </c>
      <c r="W25" s="35" t="str">
        <f aca="false">IFERROR(CHOOSE(MATCH(INDEX(時間ごとの判定!$AH$3:$AH$1850,525),{"利用可","両方停止","運転がそろわない","判定不能"},0),"○","停","×","－"),"")</f>
        <v>×</v>
      </c>
      <c r="X25" s="35" t="str">
        <f aca="false">IFERROR(CHOOSE(MATCH(INDEX(時間ごとの判定!$AH$3:$AH$1850,526),{"利用可","両方停止","運転がそろわない","判定不能"},0),"○","停","×","－"),"")</f>
        <v>×</v>
      </c>
      <c r="Y25" s="35" t="str">
        <f aca="false">IFERROR(CHOOSE(MATCH(INDEX(時間ごとの判定!$AH$3:$AH$1850,527),{"利用可","両方停止","運転がそろわない","判定不能"},0),"○","停","×","－"),"")</f>
        <v>×</v>
      </c>
      <c r="Z25" s="35" t="str">
        <f aca="false">IFERROR(CHOOSE(MATCH(INDEX(時間ごとの判定!$AH$3:$AH$1850,528),{"利用可","両方停止","運転がそろわない","判定不能"},0),"○","停","×","－"),"")</f>
        <v>停</v>
      </c>
      <c r="AA25" s="35"/>
      <c r="AB25" s="35" t="str">
        <f aca="false">IFERROR(CHOOSE(MATCH(INDEX(時間ごとの判定!$AK$3:$AK$1850,505),{"利用可","両方停止","運転がそろわない","判定不能"},0),"○","停","×","－"),"")</f>
        <v>－</v>
      </c>
      <c r="AC25" s="35" t="str">
        <f aca="false">IFERROR(CHOOSE(MATCH(INDEX(時間ごとの判定!$AK$3:$AK$1850,506),{"利用可","両方停止","運転がそろわない","判定不能"},0),"○","停","×","－"),"")</f>
        <v>－</v>
      </c>
      <c r="AD25" s="35" t="str">
        <f aca="false">IFERROR(CHOOSE(MATCH(INDEX(時間ごとの判定!$AK$3:$AK$1850,507),{"利用可","両方停止","運転がそろわない","判定不能"},0),"○","停","×","－"),"")</f>
        <v>－</v>
      </c>
      <c r="AE25" s="35" t="str">
        <f aca="false">IFERROR(CHOOSE(MATCH(INDEX(時間ごとの判定!$AK$3:$AK$1850,508),{"利用可","両方停止","運転がそろわない","判定不能"},0),"○","停","×","－"),"")</f>
        <v>－</v>
      </c>
      <c r="AF25" s="35" t="str">
        <f aca="false">IFERROR(CHOOSE(MATCH(INDEX(時間ごとの判定!$AK$3:$AK$1850,509),{"利用可","両方停止","運転がそろわない","判定不能"},0),"○","停","×","－"),"")</f>
        <v>－</v>
      </c>
      <c r="AG25" s="35" t="str">
        <f aca="false">IFERROR(CHOOSE(MATCH(INDEX(時間ごとの判定!$AK$3:$AK$1850,510),{"利用可","両方停止","運転がそろわない","判定不能"},0),"○","停","×","－"),"")</f>
        <v>－</v>
      </c>
      <c r="AH25" s="35" t="str">
        <f aca="false">IFERROR(CHOOSE(MATCH(INDEX(時間ごとの判定!$AK$3:$AK$1850,511),{"利用可","両方停止","運転がそろわない","判定不能"},0),"○","停","×","－"),"")</f>
        <v>－</v>
      </c>
      <c r="AI25" s="35" t="str">
        <f aca="false">IFERROR(CHOOSE(MATCH(INDEX(時間ごとの判定!$AK$3:$AK$1850,512),{"利用可","両方停止","運転がそろわない","判定不能"},0),"○","停","×","－"),"")</f>
        <v>－</v>
      </c>
      <c r="AJ25" s="35" t="str">
        <f aca="false">IFERROR(CHOOSE(MATCH(INDEX(時間ごとの判定!$AK$3:$AK$1850,513),{"利用可","両方停止","運転がそろわない","判定不能"},0),"○","停","×","－"),"")</f>
        <v>－</v>
      </c>
      <c r="AK25" s="35" t="str">
        <f aca="false">IFERROR(CHOOSE(MATCH(INDEX(時間ごとの判定!$AK$3:$AK$1850,514),{"利用可","両方停止","運転がそろわない","判定不能"},0),"○","停","×","－"),"")</f>
        <v>－</v>
      </c>
      <c r="AL25" s="35" t="str">
        <f aca="false">IFERROR(CHOOSE(MATCH(INDEX(時間ごとの判定!$AK$3:$AK$1850,515),{"利用可","両方停止","運転がそろわない","判定不能"},0),"○","停","×","－"),"")</f>
        <v>－</v>
      </c>
      <c r="AM25" s="35" t="str">
        <f aca="false">IFERROR(CHOOSE(MATCH(INDEX(時間ごとの判定!$AK$3:$AK$1850,516),{"利用可","両方停止","運転がそろわない","判定不能"},0),"○","停","×","－"),"")</f>
        <v>－</v>
      </c>
      <c r="AN25" s="35" t="str">
        <f aca="false">IFERROR(CHOOSE(MATCH(INDEX(時間ごとの判定!$AK$3:$AK$1850,517),{"利用可","両方停止","運転がそろわない","判定不能"},0),"○","停","×","－"),"")</f>
        <v>－</v>
      </c>
      <c r="AO25" s="35" t="str">
        <f aca="false">IFERROR(CHOOSE(MATCH(INDEX(時間ごとの判定!$AK$3:$AK$1850,518),{"利用可","両方停止","運転がそろわない","判定不能"},0),"○","停","×","－"),"")</f>
        <v>－</v>
      </c>
      <c r="AP25" s="35" t="str">
        <f aca="false">IFERROR(CHOOSE(MATCH(INDEX(時間ごとの判定!$AK$3:$AK$1850,519),{"利用可","両方停止","運転がそろわない","判定不能"},0),"○","停","×","－"),"")</f>
        <v>－</v>
      </c>
      <c r="AQ25" s="35" t="str">
        <f aca="false">IFERROR(CHOOSE(MATCH(INDEX(時間ごとの判定!$AK$3:$AK$1850,520),{"利用可","両方停止","運転がそろわない","判定不能"},0),"○","停","×","－"),"")</f>
        <v>－</v>
      </c>
      <c r="AR25" s="35" t="str">
        <f aca="false">IFERROR(CHOOSE(MATCH(INDEX(時間ごとの判定!$AK$3:$AK$1850,521),{"利用可","両方停止","運転がそろわない","判定不能"},0),"○","停","×","－"),"")</f>
        <v>－</v>
      </c>
      <c r="AS25" s="35" t="str">
        <f aca="false">IFERROR(CHOOSE(MATCH(INDEX(時間ごとの判定!$AK$3:$AK$1850,522),{"利用可","両方停止","運転がそろわない","判定不能"},0),"○","停","×","－"),"")</f>
        <v>－</v>
      </c>
      <c r="AT25" s="35" t="str">
        <f aca="false">IFERROR(CHOOSE(MATCH(INDEX(時間ごとの判定!$AK$3:$AK$1850,523),{"利用可","両方停止","運転がそろわない","判定不能"},0),"○","停","×","－"),"")</f>
        <v>－</v>
      </c>
      <c r="AU25" s="35" t="str">
        <f aca="false">IFERROR(CHOOSE(MATCH(INDEX(時間ごとの判定!$AK$3:$AK$1850,524),{"利用可","両方停止","運転がそろわない","判定不能"},0),"○","停","×","－"),"")</f>
        <v>－</v>
      </c>
      <c r="AV25" s="35" t="str">
        <f aca="false">IFERROR(CHOOSE(MATCH(INDEX(時間ごとの判定!$AK$3:$AK$1850,525),{"利用可","両方停止","運転がそろわない","判定不能"},0),"○","停","×","－"),"")</f>
        <v>－</v>
      </c>
      <c r="AW25" s="35" t="str">
        <f aca="false">IFERROR(CHOOSE(MATCH(INDEX(時間ごとの判定!$AK$3:$AK$1850,526),{"利用可","両方停止","運転がそろわない","判定不能"},0),"○","停","×","－"),"")</f>
        <v>－</v>
      </c>
      <c r="AX25" s="35" t="str">
        <f aca="false">IFERROR(CHOOSE(MATCH(INDEX(時間ごとの判定!$AK$3:$AK$1850,527),{"利用可","両方停止","運転がそろわない","判定不能"},0),"○","停","×","－"),"")</f>
        <v>－</v>
      </c>
      <c r="AY25" s="35" t="str">
        <f aca="false">IFERROR(CHOOSE(MATCH(INDEX(時間ごとの判定!$AK$3:$AK$1850,528),{"利用可","両方停止","運転がそろわない","判定不能"},0),"○","停","×","－"),"")</f>
        <v>－</v>
      </c>
      <c r="AZ25" s="35"/>
      <c r="BA25" s="35" t="str">
        <f aca="false">IFERROR(CHOOSE(MATCH(INDEX(時間ごとの判定!$AN$3:$AN$1850,505),{"利用可","両方停止","運転がそろわない","判定不能"},0),"○","停","×","－"),"")</f>
        <v>停</v>
      </c>
      <c r="BB25" s="35" t="str">
        <f aca="false">IFERROR(CHOOSE(MATCH(INDEX(時間ごとの判定!$AN$3:$AN$1850,506),{"利用可","両方停止","運転がそろわない","判定不能"},0),"○","停","×","－"),"")</f>
        <v>停</v>
      </c>
      <c r="BC25" s="35" t="str">
        <f aca="false">IFERROR(CHOOSE(MATCH(INDEX(時間ごとの判定!$AN$3:$AN$1850,507),{"利用可","両方停止","運転がそろわない","判定不能"},0),"○","停","×","－"),"")</f>
        <v>停</v>
      </c>
      <c r="BD25" s="35" t="str">
        <f aca="false">IFERROR(CHOOSE(MATCH(INDEX(時間ごとの判定!$AN$3:$AN$1850,508),{"利用可","両方停止","運転がそろわない","判定不能"},0),"○","停","×","－"),"")</f>
        <v>停</v>
      </c>
      <c r="BE25" s="35" t="str">
        <f aca="false">IFERROR(CHOOSE(MATCH(INDEX(時間ごとの判定!$AN$3:$AN$1850,509),{"利用可","両方停止","運転がそろわない","判定不能"},0),"○","停","×","－"),"")</f>
        <v>停</v>
      </c>
      <c r="BF25" s="35" t="str">
        <f aca="false">IFERROR(CHOOSE(MATCH(INDEX(時間ごとの判定!$AN$3:$AN$1850,510),{"利用可","両方停止","運転がそろわない","判定不能"},0),"○","停","×","－"),"")</f>
        <v>停</v>
      </c>
      <c r="BG25" s="35" t="str">
        <f aca="false">IFERROR(CHOOSE(MATCH(INDEX(時間ごとの判定!$AN$3:$AN$1850,511),{"利用可","両方停止","運転がそろわない","判定不能"},0),"○","停","×","－"),"")</f>
        <v>停</v>
      </c>
      <c r="BH25" s="35" t="str">
        <f aca="false">IFERROR(CHOOSE(MATCH(INDEX(時間ごとの判定!$AN$3:$AN$1850,512),{"利用可","両方停止","運転がそろわない","判定不能"},0),"○","停","×","－"),"")</f>
        <v>×</v>
      </c>
      <c r="BI25" s="35" t="str">
        <f aca="false">IFERROR(CHOOSE(MATCH(INDEX(時間ごとの判定!$AN$3:$AN$1850,513),{"利用可","両方停止","運転がそろわない","判定不能"},0),"○","停","×","－"),"")</f>
        <v>○</v>
      </c>
      <c r="BJ25" s="35" t="str">
        <f aca="false">IFERROR(CHOOSE(MATCH(INDEX(時間ごとの判定!$AN$3:$AN$1850,514),{"利用可","両方停止","運転がそろわない","判定不能"},0),"○","停","×","－"),"")</f>
        <v>×</v>
      </c>
      <c r="BK25" s="35" t="str">
        <f aca="false">IFERROR(CHOOSE(MATCH(INDEX(時間ごとの判定!$AN$3:$AN$1850,515),{"利用可","両方停止","運転がそろわない","判定不能"},0),"○","停","×","－"),"")</f>
        <v>○</v>
      </c>
      <c r="BL25" s="35" t="str">
        <f aca="false">IFERROR(CHOOSE(MATCH(INDEX(時間ごとの判定!$AN$3:$AN$1850,516),{"利用可","両方停止","運転がそろわない","判定不能"},0),"○","停","×","－"),"")</f>
        <v>○</v>
      </c>
      <c r="BM25" s="35" t="str">
        <f aca="false">IFERROR(CHOOSE(MATCH(INDEX(時間ごとの判定!$AN$3:$AN$1850,517),{"利用可","両方停止","運転がそろわない","判定不能"},0),"○","停","×","－"),"")</f>
        <v>○</v>
      </c>
      <c r="BN25" s="35" t="str">
        <f aca="false">IFERROR(CHOOSE(MATCH(INDEX(時間ごとの判定!$AN$3:$AN$1850,518),{"利用可","両方停止","運転がそろわない","判定不能"},0),"○","停","×","－"),"")</f>
        <v>○</v>
      </c>
      <c r="BO25" s="35" t="str">
        <f aca="false">IFERROR(CHOOSE(MATCH(INDEX(時間ごとの判定!$AN$3:$AN$1850,519),{"利用可","両方停止","運転がそろわない","判定不能"},0),"○","停","×","－"),"")</f>
        <v>○</v>
      </c>
      <c r="BP25" s="35" t="str">
        <f aca="false">IFERROR(CHOOSE(MATCH(INDEX(時間ごとの判定!$AN$3:$AN$1850,520),{"利用可","両方停止","運転がそろわない","判定不能"},0),"○","停","×","－"),"")</f>
        <v>○</v>
      </c>
      <c r="BQ25" s="35" t="str">
        <f aca="false">IFERROR(CHOOSE(MATCH(INDEX(時間ごとの判定!$AN$3:$AN$1850,521),{"利用可","両方停止","運転がそろわない","判定不能"},0),"○","停","×","－"),"")</f>
        <v>○</v>
      </c>
      <c r="BR25" s="35" t="str">
        <f aca="false">IFERROR(CHOOSE(MATCH(INDEX(時間ごとの判定!$AN$3:$AN$1850,522),{"利用可","両方停止","運転がそろわない","判定不能"},0),"○","停","×","－"),"")</f>
        <v>○</v>
      </c>
      <c r="BS25" s="35" t="str">
        <f aca="false">IFERROR(CHOOSE(MATCH(INDEX(時間ごとの判定!$AN$3:$AN$1850,523),{"利用可","両方停止","運転がそろわない","判定不能"},0),"○","停","×","－"),"")</f>
        <v>×</v>
      </c>
      <c r="BT25" s="35" t="str">
        <f aca="false">IFERROR(CHOOSE(MATCH(INDEX(時間ごとの判定!$AN$3:$AN$1850,524),{"利用可","両方停止","運転がそろわない","判定不能"},0),"○","停","×","－"),"")</f>
        <v>×</v>
      </c>
      <c r="BU25" s="35" t="str">
        <f aca="false">IFERROR(CHOOSE(MATCH(INDEX(時間ごとの判定!$AN$3:$AN$1850,525),{"利用可","両方停止","運転がそろわない","判定不能"},0),"○","停","×","－"),"")</f>
        <v>×</v>
      </c>
      <c r="BV25" s="35" t="str">
        <f aca="false">IFERROR(CHOOSE(MATCH(INDEX(時間ごとの判定!$AN$3:$AN$1850,526),{"利用可","両方停止","運転がそろわない","判定不能"},0),"○","停","×","－"),"")</f>
        <v>停</v>
      </c>
      <c r="BW25" s="35" t="str">
        <f aca="false">IFERROR(CHOOSE(MATCH(INDEX(時間ごとの判定!$AN$3:$AN$1850,527),{"利用可","両方停止","運転がそろわない","判定不能"},0),"○","停","×","－"),"")</f>
        <v>停</v>
      </c>
      <c r="BX25" s="35" t="str">
        <f aca="false">IFERROR(CHOOSE(MATCH(INDEX(時間ごとの判定!$AN$3:$AN$1850,528),{"利用可","両方停止","運転がそろわない","判定不能"},0),"○","停","×","－"),"")</f>
        <v>停</v>
      </c>
    </row>
    <row r="26" customFormat="false" ht="15" hidden="false" customHeight="false" outlineLevel="0" collapsed="false">
      <c r="A26" s="33" t="n">
        <v>46254</v>
      </c>
      <c r="B26" s="34" t="s">
        <v>61</v>
      </c>
      <c r="C26" s="35" t="str">
        <f aca="false">IFERROR(CHOOSE(MATCH(INDEX(時間ごとの判定!$AH$3:$AH$1850,529),{"利用可","両方停止","運転がそろわない","判定不能"},0),"○","停","×","－"),"")</f>
        <v>停</v>
      </c>
      <c r="D26" s="35" t="str">
        <f aca="false">IFERROR(CHOOSE(MATCH(INDEX(時間ごとの判定!$AH$3:$AH$1850,530),{"利用可","両方停止","運転がそろわない","判定不能"},0),"○","停","×","－"),"")</f>
        <v>停</v>
      </c>
      <c r="E26" s="35" t="str">
        <f aca="false">IFERROR(CHOOSE(MATCH(INDEX(時間ごとの判定!$AH$3:$AH$1850,531),{"利用可","両方停止","運転がそろわない","判定不能"},0),"○","停","×","－"),"")</f>
        <v>停</v>
      </c>
      <c r="F26" s="35" t="str">
        <f aca="false">IFERROR(CHOOSE(MATCH(INDEX(時間ごとの判定!$AH$3:$AH$1850,532),{"利用可","両方停止","運転がそろわない","判定不能"},0),"○","停","×","－"),"")</f>
        <v>停</v>
      </c>
      <c r="G26" s="35" t="str">
        <f aca="false">IFERROR(CHOOSE(MATCH(INDEX(時間ごとの判定!$AH$3:$AH$1850,533),{"利用可","両方停止","運転がそろわない","判定不能"},0),"○","停","×","－"),"")</f>
        <v>停</v>
      </c>
      <c r="H26" s="35" t="str">
        <f aca="false">IFERROR(CHOOSE(MATCH(INDEX(時間ごとの判定!$AH$3:$AH$1850,534),{"利用可","両方停止","運転がそろわない","判定不能"},0),"○","停","×","－"),"")</f>
        <v>停</v>
      </c>
      <c r="I26" s="35" t="str">
        <f aca="false">IFERROR(CHOOSE(MATCH(INDEX(時間ごとの判定!$AH$3:$AH$1850,535),{"利用可","両方停止","運転がそろわない","判定不能"},0),"○","停","×","－"),"")</f>
        <v>停</v>
      </c>
      <c r="J26" s="35" t="str">
        <f aca="false">IFERROR(CHOOSE(MATCH(INDEX(時間ごとの判定!$AH$3:$AH$1850,536),{"利用可","両方停止","運転がそろわない","判定不能"},0),"○","停","×","－"),"")</f>
        <v>×</v>
      </c>
      <c r="K26" s="35" t="str">
        <f aca="false">IFERROR(CHOOSE(MATCH(INDEX(時間ごとの判定!$AH$3:$AH$1850,537),{"利用可","両方停止","運転がそろわない","判定不能"},0),"○","停","×","－"),"")</f>
        <v>○</v>
      </c>
      <c r="L26" s="35" t="str">
        <f aca="false">IFERROR(CHOOSE(MATCH(INDEX(時間ごとの判定!$AH$3:$AH$1850,538),{"利用可","両方停止","運転がそろわない","判定不能"},0),"○","停","×","－"),"")</f>
        <v>○</v>
      </c>
      <c r="M26" s="35" t="str">
        <f aca="false">IFERROR(CHOOSE(MATCH(INDEX(時間ごとの判定!$AH$3:$AH$1850,539),{"利用可","両方停止","運転がそろわない","判定不能"},0),"○","停","×","－"),"")</f>
        <v>○</v>
      </c>
      <c r="N26" s="35" t="str">
        <f aca="false">IFERROR(CHOOSE(MATCH(INDEX(時間ごとの判定!$AH$3:$AH$1850,540),{"利用可","両方停止","運転がそろわない","判定不能"},0),"○","停","×","－"),"")</f>
        <v>○</v>
      </c>
      <c r="O26" s="35" t="str">
        <f aca="false">IFERROR(CHOOSE(MATCH(INDEX(時間ごとの判定!$AH$3:$AH$1850,541),{"利用可","両方停止","運転がそろわない","判定不能"},0),"○","停","×","－"),"")</f>
        <v>○</v>
      </c>
      <c r="P26" s="35" t="str">
        <f aca="false">IFERROR(CHOOSE(MATCH(INDEX(時間ごとの判定!$AH$3:$AH$1850,542),{"利用可","両方停止","運転がそろわない","判定不能"},0),"○","停","×","－"),"")</f>
        <v>○</v>
      </c>
      <c r="Q26" s="35" t="str">
        <f aca="false">IFERROR(CHOOSE(MATCH(INDEX(時間ごとの判定!$AH$3:$AH$1850,543),{"利用可","両方停止","運転がそろわない","判定不能"},0),"○","停","×","－"),"")</f>
        <v>○</v>
      </c>
      <c r="R26" s="35" t="str">
        <f aca="false">IFERROR(CHOOSE(MATCH(INDEX(時間ごとの判定!$AH$3:$AH$1850,544),{"利用可","両方停止","運転がそろわない","判定不能"},0),"○","停","×","－"),"")</f>
        <v>○</v>
      </c>
      <c r="S26" s="35" t="str">
        <f aca="false">IFERROR(CHOOSE(MATCH(INDEX(時間ごとの判定!$AH$3:$AH$1850,545),{"利用可","両方停止","運転がそろわない","判定不能"},0),"○","停","×","－"),"")</f>
        <v>○</v>
      </c>
      <c r="T26" s="35" t="str">
        <f aca="false">IFERROR(CHOOSE(MATCH(INDEX(時間ごとの判定!$AH$3:$AH$1850,546),{"利用可","両方停止","運転がそろわない","判定不能"},0),"○","停","×","－"),"")</f>
        <v>○</v>
      </c>
      <c r="U26" s="35" t="str">
        <f aca="false">IFERROR(CHOOSE(MATCH(INDEX(時間ごとの判定!$AH$3:$AH$1850,547),{"利用可","両方停止","運転がそろわない","判定不能"},0),"○","停","×","－"),"")</f>
        <v>×</v>
      </c>
      <c r="V26" s="35" t="str">
        <f aca="false">IFERROR(CHOOSE(MATCH(INDEX(時間ごとの判定!$AH$3:$AH$1850,548),{"利用可","両方停止","運転がそろわない","判定不能"},0),"○","停","×","－"),"")</f>
        <v>○</v>
      </c>
      <c r="W26" s="35" t="str">
        <f aca="false">IFERROR(CHOOSE(MATCH(INDEX(時間ごとの判定!$AH$3:$AH$1850,549),{"利用可","両方停止","運転がそろわない","判定不能"},0),"○","停","×","－"),"")</f>
        <v>×</v>
      </c>
      <c r="X26" s="35" t="str">
        <f aca="false">IFERROR(CHOOSE(MATCH(INDEX(時間ごとの判定!$AH$3:$AH$1850,550),{"利用可","両方停止","運転がそろわない","判定不能"},0),"○","停","×","－"),"")</f>
        <v>停</v>
      </c>
      <c r="Y26" s="35" t="str">
        <f aca="false">IFERROR(CHOOSE(MATCH(INDEX(時間ごとの判定!$AH$3:$AH$1850,551),{"利用可","両方停止","運転がそろわない","判定不能"},0),"○","停","×","－"),"")</f>
        <v>停</v>
      </c>
      <c r="Z26" s="35" t="str">
        <f aca="false">IFERROR(CHOOSE(MATCH(INDEX(時間ごとの判定!$AH$3:$AH$1850,552),{"利用可","両方停止","運転がそろわない","判定不能"},0),"○","停","×","－"),"")</f>
        <v>停</v>
      </c>
      <c r="AA26" s="35"/>
      <c r="AB26" s="35" t="str">
        <f aca="false">IFERROR(CHOOSE(MATCH(INDEX(時間ごとの判定!$AK$3:$AK$1850,529),{"利用可","両方停止","運転がそろわない","判定不能"},0),"○","停","×","－"),"")</f>
        <v>－</v>
      </c>
      <c r="AC26" s="35" t="str">
        <f aca="false">IFERROR(CHOOSE(MATCH(INDEX(時間ごとの判定!$AK$3:$AK$1850,530),{"利用可","両方停止","運転がそろわない","判定不能"},0),"○","停","×","－"),"")</f>
        <v>－</v>
      </c>
      <c r="AD26" s="35" t="str">
        <f aca="false">IFERROR(CHOOSE(MATCH(INDEX(時間ごとの判定!$AK$3:$AK$1850,531),{"利用可","両方停止","運転がそろわない","判定不能"},0),"○","停","×","－"),"")</f>
        <v>－</v>
      </c>
      <c r="AE26" s="35" t="str">
        <f aca="false">IFERROR(CHOOSE(MATCH(INDEX(時間ごとの判定!$AK$3:$AK$1850,532),{"利用可","両方停止","運転がそろわない","判定不能"},0),"○","停","×","－"),"")</f>
        <v>－</v>
      </c>
      <c r="AF26" s="35" t="str">
        <f aca="false">IFERROR(CHOOSE(MATCH(INDEX(時間ごとの判定!$AK$3:$AK$1850,533),{"利用可","両方停止","運転がそろわない","判定不能"},0),"○","停","×","－"),"")</f>
        <v>－</v>
      </c>
      <c r="AG26" s="35" t="str">
        <f aca="false">IFERROR(CHOOSE(MATCH(INDEX(時間ごとの判定!$AK$3:$AK$1850,534),{"利用可","両方停止","運転がそろわない","判定不能"},0),"○","停","×","－"),"")</f>
        <v>－</v>
      </c>
      <c r="AH26" s="35" t="str">
        <f aca="false">IFERROR(CHOOSE(MATCH(INDEX(時間ごとの判定!$AK$3:$AK$1850,535),{"利用可","両方停止","運転がそろわない","判定不能"},0),"○","停","×","－"),"")</f>
        <v>－</v>
      </c>
      <c r="AI26" s="35" t="str">
        <f aca="false">IFERROR(CHOOSE(MATCH(INDEX(時間ごとの判定!$AK$3:$AK$1850,536),{"利用可","両方停止","運転がそろわない","判定不能"},0),"○","停","×","－"),"")</f>
        <v>－</v>
      </c>
      <c r="AJ26" s="35" t="str">
        <f aca="false">IFERROR(CHOOSE(MATCH(INDEX(時間ごとの判定!$AK$3:$AK$1850,537),{"利用可","両方停止","運転がそろわない","判定不能"},0),"○","停","×","－"),"")</f>
        <v>－</v>
      </c>
      <c r="AK26" s="35" t="str">
        <f aca="false">IFERROR(CHOOSE(MATCH(INDEX(時間ごとの判定!$AK$3:$AK$1850,538),{"利用可","両方停止","運転がそろわない","判定不能"},0),"○","停","×","－"),"")</f>
        <v>－</v>
      </c>
      <c r="AL26" s="35" t="str">
        <f aca="false">IFERROR(CHOOSE(MATCH(INDEX(時間ごとの判定!$AK$3:$AK$1850,539),{"利用可","両方停止","運転がそろわない","判定不能"},0),"○","停","×","－"),"")</f>
        <v>－</v>
      </c>
      <c r="AM26" s="35" t="str">
        <f aca="false">IFERROR(CHOOSE(MATCH(INDEX(時間ごとの判定!$AK$3:$AK$1850,540),{"利用可","両方停止","運転がそろわない","判定不能"},0),"○","停","×","－"),"")</f>
        <v>－</v>
      </c>
      <c r="AN26" s="35" t="str">
        <f aca="false">IFERROR(CHOOSE(MATCH(INDEX(時間ごとの判定!$AK$3:$AK$1850,541),{"利用可","両方停止","運転がそろわない","判定不能"},0),"○","停","×","－"),"")</f>
        <v>－</v>
      </c>
      <c r="AO26" s="35" t="str">
        <f aca="false">IFERROR(CHOOSE(MATCH(INDEX(時間ごとの判定!$AK$3:$AK$1850,542),{"利用可","両方停止","運転がそろわない","判定不能"},0),"○","停","×","－"),"")</f>
        <v>－</v>
      </c>
      <c r="AP26" s="35" t="str">
        <f aca="false">IFERROR(CHOOSE(MATCH(INDEX(時間ごとの判定!$AK$3:$AK$1850,543),{"利用可","両方停止","運転がそろわない","判定不能"},0),"○","停","×","－"),"")</f>
        <v>－</v>
      </c>
      <c r="AQ26" s="35" t="str">
        <f aca="false">IFERROR(CHOOSE(MATCH(INDEX(時間ごとの判定!$AK$3:$AK$1850,544),{"利用可","両方停止","運転がそろわない","判定不能"},0),"○","停","×","－"),"")</f>
        <v>－</v>
      </c>
      <c r="AR26" s="35" t="str">
        <f aca="false">IFERROR(CHOOSE(MATCH(INDEX(時間ごとの判定!$AK$3:$AK$1850,545),{"利用可","両方停止","運転がそろわない","判定不能"},0),"○","停","×","－"),"")</f>
        <v>－</v>
      </c>
      <c r="AS26" s="35" t="str">
        <f aca="false">IFERROR(CHOOSE(MATCH(INDEX(時間ごとの判定!$AK$3:$AK$1850,546),{"利用可","両方停止","運転がそろわない","判定不能"},0),"○","停","×","－"),"")</f>
        <v>－</v>
      </c>
      <c r="AT26" s="35" t="str">
        <f aca="false">IFERROR(CHOOSE(MATCH(INDEX(時間ごとの判定!$AK$3:$AK$1850,547),{"利用可","両方停止","運転がそろわない","判定不能"},0),"○","停","×","－"),"")</f>
        <v>－</v>
      </c>
      <c r="AU26" s="35" t="str">
        <f aca="false">IFERROR(CHOOSE(MATCH(INDEX(時間ごとの判定!$AK$3:$AK$1850,548),{"利用可","両方停止","運転がそろわない","判定不能"},0),"○","停","×","－"),"")</f>
        <v>－</v>
      </c>
      <c r="AV26" s="35" t="str">
        <f aca="false">IFERROR(CHOOSE(MATCH(INDEX(時間ごとの判定!$AK$3:$AK$1850,549),{"利用可","両方停止","運転がそろわない","判定不能"},0),"○","停","×","－"),"")</f>
        <v>－</v>
      </c>
      <c r="AW26" s="35" t="str">
        <f aca="false">IFERROR(CHOOSE(MATCH(INDEX(時間ごとの判定!$AK$3:$AK$1850,550),{"利用可","両方停止","運転がそろわない","判定不能"},0),"○","停","×","－"),"")</f>
        <v>－</v>
      </c>
      <c r="AX26" s="35" t="str">
        <f aca="false">IFERROR(CHOOSE(MATCH(INDEX(時間ごとの判定!$AK$3:$AK$1850,551),{"利用可","両方停止","運転がそろわない","判定不能"},0),"○","停","×","－"),"")</f>
        <v>－</v>
      </c>
      <c r="AY26" s="35" t="str">
        <f aca="false">IFERROR(CHOOSE(MATCH(INDEX(時間ごとの判定!$AK$3:$AK$1850,552),{"利用可","両方停止","運転がそろわない","判定不能"},0),"○","停","×","－"),"")</f>
        <v>－</v>
      </c>
      <c r="AZ26" s="35"/>
      <c r="BA26" s="35" t="str">
        <f aca="false">IFERROR(CHOOSE(MATCH(INDEX(時間ごとの判定!$AN$3:$AN$1850,529),{"利用可","両方停止","運転がそろわない","判定不能"},0),"○","停","×","－"),"")</f>
        <v>停</v>
      </c>
      <c r="BB26" s="35" t="str">
        <f aca="false">IFERROR(CHOOSE(MATCH(INDEX(時間ごとの判定!$AN$3:$AN$1850,530),{"利用可","両方停止","運転がそろわない","判定不能"},0),"○","停","×","－"),"")</f>
        <v>停</v>
      </c>
      <c r="BC26" s="35" t="str">
        <f aca="false">IFERROR(CHOOSE(MATCH(INDEX(時間ごとの判定!$AN$3:$AN$1850,531),{"利用可","両方停止","運転がそろわない","判定不能"},0),"○","停","×","－"),"")</f>
        <v>停</v>
      </c>
      <c r="BD26" s="35" t="str">
        <f aca="false">IFERROR(CHOOSE(MATCH(INDEX(時間ごとの判定!$AN$3:$AN$1850,532),{"利用可","両方停止","運転がそろわない","判定不能"},0),"○","停","×","－"),"")</f>
        <v>停</v>
      </c>
      <c r="BE26" s="35" t="str">
        <f aca="false">IFERROR(CHOOSE(MATCH(INDEX(時間ごとの判定!$AN$3:$AN$1850,533),{"利用可","両方停止","運転がそろわない","判定不能"},0),"○","停","×","－"),"")</f>
        <v>停</v>
      </c>
      <c r="BF26" s="35" t="str">
        <f aca="false">IFERROR(CHOOSE(MATCH(INDEX(時間ごとの判定!$AN$3:$AN$1850,534),{"利用可","両方停止","運転がそろわない","判定不能"},0),"○","停","×","－"),"")</f>
        <v>停</v>
      </c>
      <c r="BG26" s="35" t="str">
        <f aca="false">IFERROR(CHOOSE(MATCH(INDEX(時間ごとの判定!$AN$3:$AN$1850,535),{"利用可","両方停止","運転がそろわない","判定不能"},0),"○","停","×","－"),"")</f>
        <v>停</v>
      </c>
      <c r="BH26" s="35" t="str">
        <f aca="false">IFERROR(CHOOSE(MATCH(INDEX(時間ごとの判定!$AN$3:$AN$1850,536),{"利用可","両方停止","運転がそろわない","判定不能"},0),"○","停","×","－"),"")</f>
        <v>×</v>
      </c>
      <c r="BI26" s="35" t="str">
        <f aca="false">IFERROR(CHOOSE(MATCH(INDEX(時間ごとの判定!$AN$3:$AN$1850,537),{"利用可","両方停止","運転がそろわない","判定不能"},0),"○","停","×","－"),"")</f>
        <v>○</v>
      </c>
      <c r="BJ26" s="35" t="str">
        <f aca="false">IFERROR(CHOOSE(MATCH(INDEX(時間ごとの判定!$AN$3:$AN$1850,538),{"利用可","両方停止","運転がそろわない","判定不能"},0),"○","停","×","－"),"")</f>
        <v>○</v>
      </c>
      <c r="BK26" s="35" t="str">
        <f aca="false">IFERROR(CHOOSE(MATCH(INDEX(時間ごとの判定!$AN$3:$AN$1850,539),{"利用可","両方停止","運転がそろわない","判定不能"},0),"○","停","×","－"),"")</f>
        <v>○</v>
      </c>
      <c r="BL26" s="35" t="str">
        <f aca="false">IFERROR(CHOOSE(MATCH(INDEX(時間ごとの判定!$AN$3:$AN$1850,540),{"利用可","両方停止","運転がそろわない","判定不能"},0),"○","停","×","－"),"")</f>
        <v>○</v>
      </c>
      <c r="BM26" s="35" t="str">
        <f aca="false">IFERROR(CHOOSE(MATCH(INDEX(時間ごとの判定!$AN$3:$AN$1850,541),{"利用可","両方停止","運転がそろわない","判定不能"},0),"○","停","×","－"),"")</f>
        <v>○</v>
      </c>
      <c r="BN26" s="35" t="str">
        <f aca="false">IFERROR(CHOOSE(MATCH(INDEX(時間ごとの判定!$AN$3:$AN$1850,542),{"利用可","両方停止","運転がそろわない","判定不能"},0),"○","停","×","－"),"")</f>
        <v>○</v>
      </c>
      <c r="BO26" s="35" t="str">
        <f aca="false">IFERROR(CHOOSE(MATCH(INDEX(時間ごとの判定!$AN$3:$AN$1850,543),{"利用可","両方停止","運転がそろわない","判定不能"},0),"○","停","×","－"),"")</f>
        <v>○</v>
      </c>
      <c r="BP26" s="35" t="str">
        <f aca="false">IFERROR(CHOOSE(MATCH(INDEX(時間ごとの判定!$AN$3:$AN$1850,544),{"利用可","両方停止","運転がそろわない","判定不能"},0),"○","停","×","－"),"")</f>
        <v>○</v>
      </c>
      <c r="BQ26" s="35" t="str">
        <f aca="false">IFERROR(CHOOSE(MATCH(INDEX(時間ごとの判定!$AN$3:$AN$1850,545),{"利用可","両方停止","運転がそろわない","判定不能"},0),"○","停","×","－"),"")</f>
        <v>○</v>
      </c>
      <c r="BR26" s="35" t="str">
        <f aca="false">IFERROR(CHOOSE(MATCH(INDEX(時間ごとの判定!$AN$3:$AN$1850,546),{"利用可","両方停止","運転がそろわない","判定不能"},0),"○","停","×","－"),"")</f>
        <v>○</v>
      </c>
      <c r="BS26" s="35" t="str">
        <f aca="false">IFERROR(CHOOSE(MATCH(INDEX(時間ごとの判定!$AN$3:$AN$1850,547),{"利用可","両方停止","運転がそろわない","判定不能"},0),"○","停","×","－"),"")</f>
        <v>×</v>
      </c>
      <c r="BT26" s="35" t="str">
        <f aca="false">IFERROR(CHOOSE(MATCH(INDEX(時間ごとの判定!$AN$3:$AN$1850,548),{"利用可","両方停止","運転がそろわない","判定不能"},0),"○","停","×","－"),"")</f>
        <v>×</v>
      </c>
      <c r="BU26" s="35" t="str">
        <f aca="false">IFERROR(CHOOSE(MATCH(INDEX(時間ごとの判定!$AN$3:$AN$1850,549),{"利用可","両方停止","運転がそろわない","判定不能"},0),"○","停","×","－"),"")</f>
        <v>○</v>
      </c>
      <c r="BV26" s="35" t="str">
        <f aca="false">IFERROR(CHOOSE(MATCH(INDEX(時間ごとの判定!$AN$3:$AN$1850,550),{"利用可","両方停止","運転がそろわない","判定不能"},0),"○","停","×","－"),"")</f>
        <v>×</v>
      </c>
      <c r="BW26" s="35" t="str">
        <f aca="false">IFERROR(CHOOSE(MATCH(INDEX(時間ごとの判定!$AN$3:$AN$1850,551),{"利用可","両方停止","運転がそろわない","判定不能"},0),"○","停","×","－"),"")</f>
        <v>停</v>
      </c>
      <c r="BX26" s="35" t="str">
        <f aca="false">IFERROR(CHOOSE(MATCH(INDEX(時間ごとの判定!$AN$3:$AN$1850,552),{"利用可","両方停止","運転がそろわない","判定不能"},0),"○","停","×","－"),"")</f>
        <v>停</v>
      </c>
    </row>
    <row r="27" customFormat="false" ht="15" hidden="false" customHeight="false" outlineLevel="0" collapsed="false">
      <c r="A27" s="33" t="n">
        <v>46255</v>
      </c>
      <c r="B27" s="34" t="s">
        <v>62</v>
      </c>
      <c r="C27" s="35" t="str">
        <f aca="false">IFERROR(CHOOSE(MATCH(INDEX(時間ごとの判定!$AH$3:$AH$1850,553),{"利用可","両方停止","運転がそろわない","判定不能"},0),"○","停","×","－"),"")</f>
        <v>停</v>
      </c>
      <c r="D27" s="35" t="str">
        <f aca="false">IFERROR(CHOOSE(MATCH(INDEX(時間ごとの判定!$AH$3:$AH$1850,554),{"利用可","両方停止","運転がそろわない","判定不能"},0),"○","停","×","－"),"")</f>
        <v>停</v>
      </c>
      <c r="E27" s="35" t="str">
        <f aca="false">IFERROR(CHOOSE(MATCH(INDEX(時間ごとの判定!$AH$3:$AH$1850,555),{"利用可","両方停止","運転がそろわない","判定不能"},0),"○","停","×","－"),"")</f>
        <v>停</v>
      </c>
      <c r="F27" s="35" t="str">
        <f aca="false">IFERROR(CHOOSE(MATCH(INDEX(時間ごとの判定!$AH$3:$AH$1850,556),{"利用可","両方停止","運転がそろわない","判定不能"},0),"○","停","×","－"),"")</f>
        <v>停</v>
      </c>
      <c r="G27" s="35" t="str">
        <f aca="false">IFERROR(CHOOSE(MATCH(INDEX(時間ごとの判定!$AH$3:$AH$1850,557),{"利用可","両方停止","運転がそろわない","判定不能"},0),"○","停","×","－"),"")</f>
        <v>停</v>
      </c>
      <c r="H27" s="35" t="str">
        <f aca="false">IFERROR(CHOOSE(MATCH(INDEX(時間ごとの判定!$AH$3:$AH$1850,558),{"利用可","両方停止","運転がそろわない","判定不能"},0),"○","停","×","－"),"")</f>
        <v>停</v>
      </c>
      <c r="I27" s="35" t="str">
        <f aca="false">IFERROR(CHOOSE(MATCH(INDEX(時間ごとの判定!$AH$3:$AH$1850,559),{"利用可","両方停止","運転がそろわない","判定不能"},0),"○","停","×","－"),"")</f>
        <v>停</v>
      </c>
      <c r="J27" s="35" t="str">
        <f aca="false">IFERROR(CHOOSE(MATCH(INDEX(時間ごとの判定!$AH$3:$AH$1850,560),{"利用可","両方停止","運転がそろわない","判定不能"},0),"○","停","×","－"),"")</f>
        <v>×</v>
      </c>
      <c r="K27" s="35" t="str">
        <f aca="false">IFERROR(CHOOSE(MATCH(INDEX(時間ごとの判定!$AH$3:$AH$1850,561),{"利用可","両方停止","運転がそろわない","判定不能"},0),"○","停","×","－"),"")</f>
        <v>○</v>
      </c>
      <c r="L27" s="35" t="str">
        <f aca="false">IFERROR(CHOOSE(MATCH(INDEX(時間ごとの判定!$AH$3:$AH$1850,562),{"利用可","両方停止","運転がそろわない","判定不能"},0),"○","停","×","－"),"")</f>
        <v>○</v>
      </c>
      <c r="M27" s="35" t="str">
        <f aca="false">IFERROR(CHOOSE(MATCH(INDEX(時間ごとの判定!$AH$3:$AH$1850,563),{"利用可","両方停止","運転がそろわない","判定不能"},0),"○","停","×","－"),"")</f>
        <v>○</v>
      </c>
      <c r="N27" s="35" t="str">
        <f aca="false">IFERROR(CHOOSE(MATCH(INDEX(時間ごとの判定!$AH$3:$AH$1850,564),{"利用可","両方停止","運転がそろわない","判定不能"},0),"○","停","×","－"),"")</f>
        <v>○</v>
      </c>
      <c r="O27" s="35" t="str">
        <f aca="false">IFERROR(CHOOSE(MATCH(INDEX(時間ごとの判定!$AH$3:$AH$1850,565),{"利用可","両方停止","運転がそろわない","判定不能"},0),"○","停","×","－"),"")</f>
        <v>○</v>
      </c>
      <c r="P27" s="35" t="str">
        <f aca="false">IFERROR(CHOOSE(MATCH(INDEX(時間ごとの判定!$AH$3:$AH$1850,566),{"利用可","両方停止","運転がそろわない","判定不能"},0),"○","停","×","－"),"")</f>
        <v>○</v>
      </c>
      <c r="Q27" s="35" t="str">
        <f aca="false">IFERROR(CHOOSE(MATCH(INDEX(時間ごとの判定!$AH$3:$AH$1850,567),{"利用可","両方停止","運転がそろわない","判定不能"},0),"○","停","×","－"),"")</f>
        <v>○</v>
      </c>
      <c r="R27" s="35" t="str">
        <f aca="false">IFERROR(CHOOSE(MATCH(INDEX(時間ごとの判定!$AH$3:$AH$1850,568),{"利用可","両方停止","運転がそろわない","判定不能"},0),"○","停","×","－"),"")</f>
        <v>○</v>
      </c>
      <c r="S27" s="35" t="str">
        <f aca="false">IFERROR(CHOOSE(MATCH(INDEX(時間ごとの判定!$AH$3:$AH$1850,569),{"利用可","両方停止","運転がそろわない","判定不能"},0),"○","停","×","－"),"")</f>
        <v>○</v>
      </c>
      <c r="T27" s="35" t="str">
        <f aca="false">IFERROR(CHOOSE(MATCH(INDEX(時間ごとの判定!$AH$3:$AH$1850,570),{"利用可","両方停止","運転がそろわない","判定不能"},0),"○","停","×","－"),"")</f>
        <v>○</v>
      </c>
      <c r="U27" s="35" t="str">
        <f aca="false">IFERROR(CHOOSE(MATCH(INDEX(時間ごとの判定!$AH$3:$AH$1850,571),{"利用可","両方停止","運転がそろわない","判定不能"},0),"○","停","×","－"),"")</f>
        <v>×</v>
      </c>
      <c r="V27" s="35" t="str">
        <f aca="false">IFERROR(CHOOSE(MATCH(INDEX(時間ごとの判定!$AH$3:$AH$1850,572),{"利用可","両方停止","運転がそろわない","判定不能"},0),"○","停","×","－"),"")</f>
        <v>○</v>
      </c>
      <c r="W27" s="35" t="str">
        <f aca="false">IFERROR(CHOOSE(MATCH(INDEX(時間ごとの判定!$AH$3:$AH$1850,573),{"利用可","両方停止","運転がそろわない","判定不能"},0),"○","停","×","－"),"")</f>
        <v>×</v>
      </c>
      <c r="X27" s="35" t="str">
        <f aca="false">IFERROR(CHOOSE(MATCH(INDEX(時間ごとの判定!$AH$3:$AH$1850,574),{"利用可","両方停止","運転がそろわない","判定不能"},0),"○","停","×","－"),"")</f>
        <v>停</v>
      </c>
      <c r="Y27" s="35" t="str">
        <f aca="false">IFERROR(CHOOSE(MATCH(INDEX(時間ごとの判定!$AH$3:$AH$1850,575),{"利用可","両方停止","運転がそろわない","判定不能"},0),"○","停","×","－"),"")</f>
        <v>停</v>
      </c>
      <c r="Z27" s="35" t="str">
        <f aca="false">IFERROR(CHOOSE(MATCH(INDEX(時間ごとの判定!$AH$3:$AH$1850,576),{"利用可","両方停止","運転がそろわない","判定不能"},0),"○","停","×","－"),"")</f>
        <v>停</v>
      </c>
      <c r="AA27" s="35"/>
      <c r="AB27" s="35" t="str">
        <f aca="false">IFERROR(CHOOSE(MATCH(INDEX(時間ごとの判定!$AK$3:$AK$1850,553),{"利用可","両方停止","運転がそろわない","判定不能"},0),"○","停","×","－"),"")</f>
        <v>－</v>
      </c>
      <c r="AC27" s="35" t="str">
        <f aca="false">IFERROR(CHOOSE(MATCH(INDEX(時間ごとの判定!$AK$3:$AK$1850,554),{"利用可","両方停止","運転がそろわない","判定不能"},0),"○","停","×","－"),"")</f>
        <v>－</v>
      </c>
      <c r="AD27" s="35" t="str">
        <f aca="false">IFERROR(CHOOSE(MATCH(INDEX(時間ごとの判定!$AK$3:$AK$1850,555),{"利用可","両方停止","運転がそろわない","判定不能"},0),"○","停","×","－"),"")</f>
        <v>－</v>
      </c>
      <c r="AE27" s="35" t="str">
        <f aca="false">IFERROR(CHOOSE(MATCH(INDEX(時間ごとの判定!$AK$3:$AK$1850,556),{"利用可","両方停止","運転がそろわない","判定不能"},0),"○","停","×","－"),"")</f>
        <v>－</v>
      </c>
      <c r="AF27" s="35" t="str">
        <f aca="false">IFERROR(CHOOSE(MATCH(INDEX(時間ごとの判定!$AK$3:$AK$1850,557),{"利用可","両方停止","運転がそろわない","判定不能"},0),"○","停","×","－"),"")</f>
        <v>－</v>
      </c>
      <c r="AG27" s="35" t="str">
        <f aca="false">IFERROR(CHOOSE(MATCH(INDEX(時間ごとの判定!$AK$3:$AK$1850,558),{"利用可","両方停止","運転がそろわない","判定不能"},0),"○","停","×","－"),"")</f>
        <v>－</v>
      </c>
      <c r="AH27" s="35" t="str">
        <f aca="false">IFERROR(CHOOSE(MATCH(INDEX(時間ごとの判定!$AK$3:$AK$1850,559),{"利用可","両方停止","運転がそろわない","判定不能"},0),"○","停","×","－"),"")</f>
        <v>－</v>
      </c>
      <c r="AI27" s="35" t="str">
        <f aca="false">IFERROR(CHOOSE(MATCH(INDEX(時間ごとの判定!$AK$3:$AK$1850,560),{"利用可","両方停止","運転がそろわない","判定不能"},0),"○","停","×","－"),"")</f>
        <v>－</v>
      </c>
      <c r="AJ27" s="35" t="str">
        <f aca="false">IFERROR(CHOOSE(MATCH(INDEX(時間ごとの判定!$AK$3:$AK$1850,561),{"利用可","両方停止","運転がそろわない","判定不能"},0),"○","停","×","－"),"")</f>
        <v>－</v>
      </c>
      <c r="AK27" s="35" t="str">
        <f aca="false">IFERROR(CHOOSE(MATCH(INDEX(時間ごとの判定!$AK$3:$AK$1850,562),{"利用可","両方停止","運転がそろわない","判定不能"},0),"○","停","×","－"),"")</f>
        <v>－</v>
      </c>
      <c r="AL27" s="35" t="str">
        <f aca="false">IFERROR(CHOOSE(MATCH(INDEX(時間ごとの判定!$AK$3:$AK$1850,563),{"利用可","両方停止","運転がそろわない","判定不能"},0),"○","停","×","－"),"")</f>
        <v>－</v>
      </c>
      <c r="AM27" s="35" t="str">
        <f aca="false">IFERROR(CHOOSE(MATCH(INDEX(時間ごとの判定!$AK$3:$AK$1850,564),{"利用可","両方停止","運転がそろわない","判定不能"},0),"○","停","×","－"),"")</f>
        <v>－</v>
      </c>
      <c r="AN27" s="35" t="str">
        <f aca="false">IFERROR(CHOOSE(MATCH(INDEX(時間ごとの判定!$AK$3:$AK$1850,565),{"利用可","両方停止","運転がそろわない","判定不能"},0),"○","停","×","－"),"")</f>
        <v>－</v>
      </c>
      <c r="AO27" s="35" t="str">
        <f aca="false">IFERROR(CHOOSE(MATCH(INDEX(時間ごとの判定!$AK$3:$AK$1850,566),{"利用可","両方停止","運転がそろわない","判定不能"},0),"○","停","×","－"),"")</f>
        <v>－</v>
      </c>
      <c r="AP27" s="35" t="str">
        <f aca="false">IFERROR(CHOOSE(MATCH(INDEX(時間ごとの判定!$AK$3:$AK$1850,567),{"利用可","両方停止","運転がそろわない","判定不能"},0),"○","停","×","－"),"")</f>
        <v>－</v>
      </c>
      <c r="AQ27" s="35" t="str">
        <f aca="false">IFERROR(CHOOSE(MATCH(INDEX(時間ごとの判定!$AK$3:$AK$1850,568),{"利用可","両方停止","運転がそろわない","判定不能"},0),"○","停","×","－"),"")</f>
        <v>－</v>
      </c>
      <c r="AR27" s="35" t="str">
        <f aca="false">IFERROR(CHOOSE(MATCH(INDEX(時間ごとの判定!$AK$3:$AK$1850,569),{"利用可","両方停止","運転がそろわない","判定不能"},0),"○","停","×","－"),"")</f>
        <v>－</v>
      </c>
      <c r="AS27" s="35" t="str">
        <f aca="false">IFERROR(CHOOSE(MATCH(INDEX(時間ごとの判定!$AK$3:$AK$1850,570),{"利用可","両方停止","運転がそろわない","判定不能"},0),"○","停","×","－"),"")</f>
        <v>－</v>
      </c>
      <c r="AT27" s="35" t="str">
        <f aca="false">IFERROR(CHOOSE(MATCH(INDEX(時間ごとの判定!$AK$3:$AK$1850,571),{"利用可","両方停止","運転がそろわない","判定不能"},0),"○","停","×","－"),"")</f>
        <v>－</v>
      </c>
      <c r="AU27" s="35" t="str">
        <f aca="false">IFERROR(CHOOSE(MATCH(INDEX(時間ごとの判定!$AK$3:$AK$1850,572),{"利用可","両方停止","運転がそろわない","判定不能"},0),"○","停","×","－"),"")</f>
        <v>－</v>
      </c>
      <c r="AV27" s="35" t="str">
        <f aca="false">IFERROR(CHOOSE(MATCH(INDEX(時間ごとの判定!$AK$3:$AK$1850,573),{"利用可","両方停止","運転がそろわない","判定不能"},0),"○","停","×","－"),"")</f>
        <v>－</v>
      </c>
      <c r="AW27" s="35" t="str">
        <f aca="false">IFERROR(CHOOSE(MATCH(INDEX(時間ごとの判定!$AK$3:$AK$1850,574),{"利用可","両方停止","運転がそろわない","判定不能"},0),"○","停","×","－"),"")</f>
        <v>－</v>
      </c>
      <c r="AX27" s="35" t="str">
        <f aca="false">IFERROR(CHOOSE(MATCH(INDEX(時間ごとの判定!$AK$3:$AK$1850,575),{"利用可","両方停止","運転がそろわない","判定不能"},0),"○","停","×","－"),"")</f>
        <v>－</v>
      </c>
      <c r="AY27" s="35" t="str">
        <f aca="false">IFERROR(CHOOSE(MATCH(INDEX(時間ごとの判定!$AK$3:$AK$1850,576),{"利用可","両方停止","運転がそろわない","判定不能"},0),"○","停","×","－"),"")</f>
        <v>－</v>
      </c>
      <c r="AZ27" s="35"/>
      <c r="BA27" s="35" t="str">
        <f aca="false">IFERROR(CHOOSE(MATCH(INDEX(時間ごとの判定!$AN$3:$AN$1850,553),{"利用可","両方停止","運転がそろわない","判定不能"},0),"○","停","×","－"),"")</f>
        <v>停</v>
      </c>
      <c r="BB27" s="35" t="str">
        <f aca="false">IFERROR(CHOOSE(MATCH(INDEX(時間ごとの判定!$AN$3:$AN$1850,554),{"利用可","両方停止","運転がそろわない","判定不能"},0),"○","停","×","－"),"")</f>
        <v>停</v>
      </c>
      <c r="BC27" s="35" t="str">
        <f aca="false">IFERROR(CHOOSE(MATCH(INDEX(時間ごとの判定!$AN$3:$AN$1850,555),{"利用可","両方停止","運転がそろわない","判定不能"},0),"○","停","×","－"),"")</f>
        <v>停</v>
      </c>
      <c r="BD27" s="35" t="str">
        <f aca="false">IFERROR(CHOOSE(MATCH(INDEX(時間ごとの判定!$AN$3:$AN$1850,556),{"利用可","両方停止","運転がそろわない","判定不能"},0),"○","停","×","－"),"")</f>
        <v>停</v>
      </c>
      <c r="BE27" s="35" t="str">
        <f aca="false">IFERROR(CHOOSE(MATCH(INDEX(時間ごとの判定!$AN$3:$AN$1850,557),{"利用可","両方停止","運転がそろわない","判定不能"},0),"○","停","×","－"),"")</f>
        <v>停</v>
      </c>
      <c r="BF27" s="35" t="str">
        <f aca="false">IFERROR(CHOOSE(MATCH(INDEX(時間ごとの判定!$AN$3:$AN$1850,558),{"利用可","両方停止","運転がそろわない","判定不能"},0),"○","停","×","－"),"")</f>
        <v>停</v>
      </c>
      <c r="BG27" s="35" t="str">
        <f aca="false">IFERROR(CHOOSE(MATCH(INDEX(時間ごとの判定!$AN$3:$AN$1850,559),{"利用可","両方停止","運転がそろわない","判定不能"},0),"○","停","×","－"),"")</f>
        <v>停</v>
      </c>
      <c r="BH27" s="35" t="str">
        <f aca="false">IFERROR(CHOOSE(MATCH(INDEX(時間ごとの判定!$AN$3:$AN$1850,560),{"利用可","両方停止","運転がそろわない","判定不能"},0),"○","停","×","－"),"")</f>
        <v>×</v>
      </c>
      <c r="BI27" s="35" t="str">
        <f aca="false">IFERROR(CHOOSE(MATCH(INDEX(時間ごとの判定!$AN$3:$AN$1850,561),{"利用可","両方停止","運転がそろわない","判定不能"},0),"○","停","×","－"),"")</f>
        <v>×</v>
      </c>
      <c r="BJ27" s="35" t="str">
        <f aca="false">IFERROR(CHOOSE(MATCH(INDEX(時間ごとの判定!$AN$3:$AN$1850,562),{"利用可","両方停止","運転がそろわない","判定不能"},0),"○","停","×","－"),"")</f>
        <v>○</v>
      </c>
      <c r="BK27" s="35" t="str">
        <f aca="false">IFERROR(CHOOSE(MATCH(INDEX(時間ごとの判定!$AN$3:$AN$1850,563),{"利用可","両方停止","運転がそろわない","判定不能"},0),"○","停","×","－"),"")</f>
        <v>○</v>
      </c>
      <c r="BL27" s="35" t="str">
        <f aca="false">IFERROR(CHOOSE(MATCH(INDEX(時間ごとの判定!$AN$3:$AN$1850,564),{"利用可","両方停止","運転がそろわない","判定不能"},0),"○","停","×","－"),"")</f>
        <v>○</v>
      </c>
      <c r="BM27" s="35" t="str">
        <f aca="false">IFERROR(CHOOSE(MATCH(INDEX(時間ごとの判定!$AN$3:$AN$1850,565),{"利用可","両方停止","運転がそろわない","判定不能"},0),"○","停","×","－"),"")</f>
        <v>○</v>
      </c>
      <c r="BN27" s="35" t="str">
        <f aca="false">IFERROR(CHOOSE(MATCH(INDEX(時間ごとの判定!$AN$3:$AN$1850,566),{"利用可","両方停止","運転がそろわない","判定不能"},0),"○","停","×","－"),"")</f>
        <v>○</v>
      </c>
      <c r="BO27" s="35" t="str">
        <f aca="false">IFERROR(CHOOSE(MATCH(INDEX(時間ごとの判定!$AN$3:$AN$1850,567),{"利用可","両方停止","運転がそろわない","判定不能"},0),"○","停","×","－"),"")</f>
        <v>○</v>
      </c>
      <c r="BP27" s="35" t="str">
        <f aca="false">IFERROR(CHOOSE(MATCH(INDEX(時間ごとの判定!$AN$3:$AN$1850,568),{"利用可","両方停止","運転がそろわない","判定不能"},0),"○","停","×","－"),"")</f>
        <v>○</v>
      </c>
      <c r="BQ27" s="35" t="str">
        <f aca="false">IFERROR(CHOOSE(MATCH(INDEX(時間ごとの判定!$AN$3:$AN$1850,569),{"利用可","両方停止","運転がそろわない","判定不能"},0),"○","停","×","－"),"")</f>
        <v>○</v>
      </c>
      <c r="BR27" s="35" t="str">
        <f aca="false">IFERROR(CHOOSE(MATCH(INDEX(時間ごとの判定!$AN$3:$AN$1850,570),{"利用可","両方停止","運転がそろわない","判定不能"},0),"○","停","×","－"),"")</f>
        <v>○</v>
      </c>
      <c r="BS27" s="35" t="str">
        <f aca="false">IFERROR(CHOOSE(MATCH(INDEX(時間ごとの判定!$AN$3:$AN$1850,571),{"利用可","両方停止","運転がそろわない","判定不能"},0),"○","停","×","－"),"")</f>
        <v>×</v>
      </c>
      <c r="BT27" s="35" t="str">
        <f aca="false">IFERROR(CHOOSE(MATCH(INDEX(時間ごとの判定!$AN$3:$AN$1850,572),{"利用可","両方停止","運転がそろわない","判定不能"},0),"○","停","×","－"),"")</f>
        <v>○</v>
      </c>
      <c r="BU27" s="35" t="str">
        <f aca="false">IFERROR(CHOOSE(MATCH(INDEX(時間ごとの判定!$AN$3:$AN$1850,573),{"利用可","両方停止","運転がそろわない","判定不能"},0),"○","停","×","－"),"")</f>
        <v>○</v>
      </c>
      <c r="BV27" s="35" t="str">
        <f aca="false">IFERROR(CHOOSE(MATCH(INDEX(時間ごとの判定!$AN$3:$AN$1850,574),{"利用可","両方停止","運転がそろわない","判定不能"},0),"○","停","×","－"),"")</f>
        <v>×</v>
      </c>
      <c r="BW27" s="35" t="str">
        <f aca="false">IFERROR(CHOOSE(MATCH(INDEX(時間ごとの判定!$AN$3:$AN$1850,575),{"利用可","両方停止","運転がそろわない","判定不能"},0),"○","停","×","－"),"")</f>
        <v>停</v>
      </c>
      <c r="BX27" s="35" t="str">
        <f aca="false">IFERROR(CHOOSE(MATCH(INDEX(時間ごとの判定!$AN$3:$AN$1850,576),{"利用可","両方停止","運転がそろわない","判定不能"},0),"○","停","×","－"),"")</f>
        <v>停</v>
      </c>
    </row>
    <row r="28" customFormat="false" ht="15" hidden="false" customHeight="false" outlineLevel="0" collapsed="false">
      <c r="A28" s="33" t="n">
        <v>46256</v>
      </c>
      <c r="B28" s="36" t="s">
        <v>63</v>
      </c>
      <c r="C28" s="35" t="str">
        <f aca="false">IFERROR(CHOOSE(MATCH(INDEX(時間ごとの判定!$AH$3:$AH$1850,577),{"利用可","両方停止","運転がそろわない","判定不能"},0),"○","停","×","－"),"")</f>
        <v>停</v>
      </c>
      <c r="D28" s="35" t="str">
        <f aca="false">IFERROR(CHOOSE(MATCH(INDEX(時間ごとの判定!$AH$3:$AH$1850,578),{"利用可","両方停止","運転がそろわない","判定不能"},0),"○","停","×","－"),"")</f>
        <v>停</v>
      </c>
      <c r="E28" s="35" t="str">
        <f aca="false">IFERROR(CHOOSE(MATCH(INDEX(時間ごとの判定!$AH$3:$AH$1850,579),{"利用可","両方停止","運転がそろわない","判定不能"},0),"○","停","×","－"),"")</f>
        <v>停</v>
      </c>
      <c r="F28" s="35" t="str">
        <f aca="false">IFERROR(CHOOSE(MATCH(INDEX(時間ごとの判定!$AH$3:$AH$1850,580),{"利用可","両方停止","運転がそろわない","判定不能"},0),"○","停","×","－"),"")</f>
        <v>停</v>
      </c>
      <c r="G28" s="35" t="str">
        <f aca="false">IFERROR(CHOOSE(MATCH(INDEX(時間ごとの判定!$AH$3:$AH$1850,581),{"利用可","両方停止","運転がそろわない","判定不能"},0),"○","停","×","－"),"")</f>
        <v>停</v>
      </c>
      <c r="H28" s="35" t="str">
        <f aca="false">IFERROR(CHOOSE(MATCH(INDEX(時間ごとの判定!$AH$3:$AH$1850,582),{"利用可","両方停止","運転がそろわない","判定不能"},0),"○","停","×","－"),"")</f>
        <v>停</v>
      </c>
      <c r="I28" s="35" t="str">
        <f aca="false">IFERROR(CHOOSE(MATCH(INDEX(時間ごとの判定!$AH$3:$AH$1850,583),{"利用可","両方停止","運転がそろわない","判定不能"},0),"○","停","×","－"),"")</f>
        <v>停</v>
      </c>
      <c r="J28" s="35" t="str">
        <f aca="false">IFERROR(CHOOSE(MATCH(INDEX(時間ごとの判定!$AH$3:$AH$1850,584),{"利用可","両方停止","運転がそろわない","判定不能"},0),"○","停","×","－"),"")</f>
        <v>×</v>
      </c>
      <c r="K28" s="35" t="str">
        <f aca="false">IFERROR(CHOOSE(MATCH(INDEX(時間ごとの判定!$AH$3:$AH$1850,585),{"利用可","両方停止","運転がそろわない","判定不能"},0),"○","停","×","－"),"")</f>
        <v>×</v>
      </c>
      <c r="L28" s="35" t="str">
        <f aca="false">IFERROR(CHOOSE(MATCH(INDEX(時間ごとの判定!$AH$3:$AH$1850,586),{"利用可","両方停止","運転がそろわない","判定不能"},0),"○","停","×","－"),"")</f>
        <v>○</v>
      </c>
      <c r="M28" s="35" t="str">
        <f aca="false">IFERROR(CHOOSE(MATCH(INDEX(時間ごとの判定!$AH$3:$AH$1850,587),{"利用可","両方停止","運転がそろわない","判定不能"},0),"○","停","×","－"),"")</f>
        <v>○</v>
      </c>
      <c r="N28" s="35" t="str">
        <f aca="false">IFERROR(CHOOSE(MATCH(INDEX(時間ごとの判定!$AH$3:$AH$1850,588),{"利用可","両方停止","運転がそろわない","判定不能"},0),"○","停","×","－"),"")</f>
        <v>○</v>
      </c>
      <c r="O28" s="35" t="str">
        <f aca="false">IFERROR(CHOOSE(MATCH(INDEX(時間ごとの判定!$AH$3:$AH$1850,589),{"利用可","両方停止","運転がそろわない","判定不能"},0),"○","停","×","－"),"")</f>
        <v>○</v>
      </c>
      <c r="P28" s="35" t="str">
        <f aca="false">IFERROR(CHOOSE(MATCH(INDEX(時間ごとの判定!$AH$3:$AH$1850,590),{"利用可","両方停止","運転がそろわない","判定不能"},0),"○","停","×","－"),"")</f>
        <v>○</v>
      </c>
      <c r="Q28" s="35" t="str">
        <f aca="false">IFERROR(CHOOSE(MATCH(INDEX(時間ごとの判定!$AH$3:$AH$1850,591),{"利用可","両方停止","運転がそろわない","判定不能"},0),"○","停","×","－"),"")</f>
        <v>○</v>
      </c>
      <c r="R28" s="35" t="str">
        <f aca="false">IFERROR(CHOOSE(MATCH(INDEX(時間ごとの判定!$AH$3:$AH$1850,592),{"利用可","両方停止","運転がそろわない","判定不能"},0),"○","停","×","－"),"")</f>
        <v>○</v>
      </c>
      <c r="S28" s="35" t="str">
        <f aca="false">IFERROR(CHOOSE(MATCH(INDEX(時間ごとの判定!$AH$3:$AH$1850,593),{"利用可","両方停止","運転がそろわない","判定不能"},0),"○","停","×","－"),"")</f>
        <v>×</v>
      </c>
      <c r="T28" s="35" t="str">
        <f aca="false">IFERROR(CHOOSE(MATCH(INDEX(時間ごとの判定!$AH$3:$AH$1850,594),{"利用可","両方停止","運転がそろわない","判定不能"},0),"○","停","×","－"),"")</f>
        <v>×</v>
      </c>
      <c r="U28" s="35" t="str">
        <f aca="false">IFERROR(CHOOSE(MATCH(INDEX(時間ごとの判定!$AH$3:$AH$1850,595),{"利用可","両方停止","運転がそろわない","判定不能"},0),"○","停","×","－"),"")</f>
        <v>×</v>
      </c>
      <c r="V28" s="35" t="str">
        <f aca="false">IFERROR(CHOOSE(MATCH(INDEX(時間ごとの判定!$AH$3:$AH$1850,596),{"利用可","両方停止","運転がそろわない","判定不能"},0),"○","停","×","－"),"")</f>
        <v>×</v>
      </c>
      <c r="W28" s="35" t="str">
        <f aca="false">IFERROR(CHOOSE(MATCH(INDEX(時間ごとの判定!$AH$3:$AH$1850,597),{"利用可","両方停止","運転がそろわない","判定不能"},0),"○","停","×","－"),"")</f>
        <v>×</v>
      </c>
      <c r="X28" s="35" t="str">
        <f aca="false">IFERROR(CHOOSE(MATCH(INDEX(時間ごとの判定!$AH$3:$AH$1850,598),{"利用可","両方停止","運転がそろわない","判定不能"},0),"○","停","×","－"),"")</f>
        <v>停</v>
      </c>
      <c r="Y28" s="35" t="str">
        <f aca="false">IFERROR(CHOOSE(MATCH(INDEX(時間ごとの判定!$AH$3:$AH$1850,599),{"利用可","両方停止","運転がそろわない","判定不能"},0),"○","停","×","－"),"")</f>
        <v>停</v>
      </c>
      <c r="Z28" s="35" t="str">
        <f aca="false">IFERROR(CHOOSE(MATCH(INDEX(時間ごとの判定!$AH$3:$AH$1850,600),{"利用可","両方停止","運転がそろわない","判定不能"},0),"○","停","×","－"),"")</f>
        <v>停</v>
      </c>
      <c r="AA28" s="35"/>
      <c r="AB28" s="35" t="str">
        <f aca="false">IFERROR(CHOOSE(MATCH(INDEX(時間ごとの判定!$AK$3:$AK$1850,577),{"利用可","両方停止","運転がそろわない","判定不能"},0),"○","停","×","－"),"")</f>
        <v>－</v>
      </c>
      <c r="AC28" s="35" t="str">
        <f aca="false">IFERROR(CHOOSE(MATCH(INDEX(時間ごとの判定!$AK$3:$AK$1850,578),{"利用可","両方停止","運転がそろわない","判定不能"},0),"○","停","×","－"),"")</f>
        <v>－</v>
      </c>
      <c r="AD28" s="35" t="str">
        <f aca="false">IFERROR(CHOOSE(MATCH(INDEX(時間ごとの判定!$AK$3:$AK$1850,579),{"利用可","両方停止","運転がそろわない","判定不能"},0),"○","停","×","－"),"")</f>
        <v>－</v>
      </c>
      <c r="AE28" s="35" t="str">
        <f aca="false">IFERROR(CHOOSE(MATCH(INDEX(時間ごとの判定!$AK$3:$AK$1850,580),{"利用可","両方停止","運転がそろわない","判定不能"},0),"○","停","×","－"),"")</f>
        <v>－</v>
      </c>
      <c r="AF28" s="35" t="str">
        <f aca="false">IFERROR(CHOOSE(MATCH(INDEX(時間ごとの判定!$AK$3:$AK$1850,581),{"利用可","両方停止","運転がそろわない","判定不能"},0),"○","停","×","－"),"")</f>
        <v>－</v>
      </c>
      <c r="AG28" s="35" t="str">
        <f aca="false">IFERROR(CHOOSE(MATCH(INDEX(時間ごとの判定!$AK$3:$AK$1850,582),{"利用可","両方停止","運転がそろわない","判定不能"},0),"○","停","×","－"),"")</f>
        <v>－</v>
      </c>
      <c r="AH28" s="35" t="str">
        <f aca="false">IFERROR(CHOOSE(MATCH(INDEX(時間ごとの判定!$AK$3:$AK$1850,583),{"利用可","両方停止","運転がそろわない","判定不能"},0),"○","停","×","－"),"")</f>
        <v>－</v>
      </c>
      <c r="AI28" s="35" t="str">
        <f aca="false">IFERROR(CHOOSE(MATCH(INDEX(時間ごとの判定!$AK$3:$AK$1850,584),{"利用可","両方停止","運転がそろわない","判定不能"},0),"○","停","×","－"),"")</f>
        <v>－</v>
      </c>
      <c r="AJ28" s="35" t="str">
        <f aca="false">IFERROR(CHOOSE(MATCH(INDEX(時間ごとの判定!$AK$3:$AK$1850,585),{"利用可","両方停止","運転がそろわない","判定不能"},0),"○","停","×","－"),"")</f>
        <v>－</v>
      </c>
      <c r="AK28" s="35" t="str">
        <f aca="false">IFERROR(CHOOSE(MATCH(INDEX(時間ごとの判定!$AK$3:$AK$1850,586),{"利用可","両方停止","運転がそろわない","判定不能"},0),"○","停","×","－"),"")</f>
        <v>－</v>
      </c>
      <c r="AL28" s="35" t="str">
        <f aca="false">IFERROR(CHOOSE(MATCH(INDEX(時間ごとの判定!$AK$3:$AK$1850,587),{"利用可","両方停止","運転がそろわない","判定不能"},0),"○","停","×","－"),"")</f>
        <v>－</v>
      </c>
      <c r="AM28" s="35" t="str">
        <f aca="false">IFERROR(CHOOSE(MATCH(INDEX(時間ごとの判定!$AK$3:$AK$1850,588),{"利用可","両方停止","運転がそろわない","判定不能"},0),"○","停","×","－"),"")</f>
        <v>－</v>
      </c>
      <c r="AN28" s="35" t="str">
        <f aca="false">IFERROR(CHOOSE(MATCH(INDEX(時間ごとの判定!$AK$3:$AK$1850,589),{"利用可","両方停止","運転がそろわない","判定不能"},0),"○","停","×","－"),"")</f>
        <v>－</v>
      </c>
      <c r="AO28" s="35" t="str">
        <f aca="false">IFERROR(CHOOSE(MATCH(INDEX(時間ごとの判定!$AK$3:$AK$1850,590),{"利用可","両方停止","運転がそろわない","判定不能"},0),"○","停","×","－"),"")</f>
        <v>－</v>
      </c>
      <c r="AP28" s="35" t="str">
        <f aca="false">IFERROR(CHOOSE(MATCH(INDEX(時間ごとの判定!$AK$3:$AK$1850,591),{"利用可","両方停止","運転がそろわない","判定不能"},0),"○","停","×","－"),"")</f>
        <v>－</v>
      </c>
      <c r="AQ28" s="35" t="str">
        <f aca="false">IFERROR(CHOOSE(MATCH(INDEX(時間ごとの判定!$AK$3:$AK$1850,592),{"利用可","両方停止","運転がそろわない","判定不能"},0),"○","停","×","－"),"")</f>
        <v>－</v>
      </c>
      <c r="AR28" s="35" t="str">
        <f aca="false">IFERROR(CHOOSE(MATCH(INDEX(時間ごとの判定!$AK$3:$AK$1850,593),{"利用可","両方停止","運転がそろわない","判定不能"},0),"○","停","×","－"),"")</f>
        <v>－</v>
      </c>
      <c r="AS28" s="35" t="str">
        <f aca="false">IFERROR(CHOOSE(MATCH(INDEX(時間ごとの判定!$AK$3:$AK$1850,594),{"利用可","両方停止","運転がそろわない","判定不能"},0),"○","停","×","－"),"")</f>
        <v>－</v>
      </c>
      <c r="AT28" s="35" t="str">
        <f aca="false">IFERROR(CHOOSE(MATCH(INDEX(時間ごとの判定!$AK$3:$AK$1850,595),{"利用可","両方停止","運転がそろわない","判定不能"},0),"○","停","×","－"),"")</f>
        <v>－</v>
      </c>
      <c r="AU28" s="35" t="str">
        <f aca="false">IFERROR(CHOOSE(MATCH(INDEX(時間ごとの判定!$AK$3:$AK$1850,596),{"利用可","両方停止","運転がそろわない","判定不能"},0),"○","停","×","－"),"")</f>
        <v>－</v>
      </c>
      <c r="AV28" s="35" t="str">
        <f aca="false">IFERROR(CHOOSE(MATCH(INDEX(時間ごとの判定!$AK$3:$AK$1850,597),{"利用可","両方停止","運転がそろわない","判定不能"},0),"○","停","×","－"),"")</f>
        <v>－</v>
      </c>
      <c r="AW28" s="35" t="str">
        <f aca="false">IFERROR(CHOOSE(MATCH(INDEX(時間ごとの判定!$AK$3:$AK$1850,598),{"利用可","両方停止","運転がそろわない","判定不能"},0),"○","停","×","－"),"")</f>
        <v>－</v>
      </c>
      <c r="AX28" s="35" t="str">
        <f aca="false">IFERROR(CHOOSE(MATCH(INDEX(時間ごとの判定!$AK$3:$AK$1850,599),{"利用可","両方停止","運転がそろわない","判定不能"},0),"○","停","×","－"),"")</f>
        <v>－</v>
      </c>
      <c r="AY28" s="35" t="str">
        <f aca="false">IFERROR(CHOOSE(MATCH(INDEX(時間ごとの判定!$AK$3:$AK$1850,600),{"利用可","両方停止","運転がそろわない","判定不能"},0),"○","停","×","－"),"")</f>
        <v>－</v>
      </c>
      <c r="AZ28" s="35"/>
      <c r="BA28" s="35" t="str">
        <f aca="false">IFERROR(CHOOSE(MATCH(INDEX(時間ごとの判定!$AN$3:$AN$1850,577),{"利用可","両方停止","運転がそろわない","判定不能"},0),"○","停","×","－"),"")</f>
        <v>停</v>
      </c>
      <c r="BB28" s="35" t="str">
        <f aca="false">IFERROR(CHOOSE(MATCH(INDEX(時間ごとの判定!$AN$3:$AN$1850,578),{"利用可","両方停止","運転がそろわない","判定不能"},0),"○","停","×","－"),"")</f>
        <v>停</v>
      </c>
      <c r="BC28" s="35" t="str">
        <f aca="false">IFERROR(CHOOSE(MATCH(INDEX(時間ごとの判定!$AN$3:$AN$1850,579),{"利用可","両方停止","運転がそろわない","判定不能"},0),"○","停","×","－"),"")</f>
        <v>停</v>
      </c>
      <c r="BD28" s="35" t="str">
        <f aca="false">IFERROR(CHOOSE(MATCH(INDEX(時間ごとの判定!$AN$3:$AN$1850,580),{"利用可","両方停止","運転がそろわない","判定不能"},0),"○","停","×","－"),"")</f>
        <v>停</v>
      </c>
      <c r="BE28" s="35" t="str">
        <f aca="false">IFERROR(CHOOSE(MATCH(INDEX(時間ごとの判定!$AN$3:$AN$1850,581),{"利用可","両方停止","運転がそろわない","判定不能"},0),"○","停","×","－"),"")</f>
        <v>停</v>
      </c>
      <c r="BF28" s="35" t="str">
        <f aca="false">IFERROR(CHOOSE(MATCH(INDEX(時間ごとの判定!$AN$3:$AN$1850,582),{"利用可","両方停止","運転がそろわない","判定不能"},0),"○","停","×","－"),"")</f>
        <v>停</v>
      </c>
      <c r="BG28" s="35" t="str">
        <f aca="false">IFERROR(CHOOSE(MATCH(INDEX(時間ごとの判定!$AN$3:$AN$1850,583),{"利用可","両方停止","運転がそろわない","判定不能"},0),"○","停","×","－"),"")</f>
        <v>×</v>
      </c>
      <c r="BH28" s="35" t="str">
        <f aca="false">IFERROR(CHOOSE(MATCH(INDEX(時間ごとの判定!$AN$3:$AN$1850,584),{"利用可","両方停止","運転がそろわない","判定不能"},0),"○","停","×","－"),"")</f>
        <v>×</v>
      </c>
      <c r="BI28" s="35" t="str">
        <f aca="false">IFERROR(CHOOSE(MATCH(INDEX(時間ごとの判定!$AN$3:$AN$1850,585),{"利用可","両方停止","運転がそろわない","判定不能"},0),"○","停","×","－"),"")</f>
        <v>×</v>
      </c>
      <c r="BJ28" s="35" t="str">
        <f aca="false">IFERROR(CHOOSE(MATCH(INDEX(時間ごとの判定!$AN$3:$AN$1850,586),{"利用可","両方停止","運転がそろわない","判定不能"},0),"○","停","×","－"),"")</f>
        <v>×</v>
      </c>
      <c r="BK28" s="35" t="str">
        <f aca="false">IFERROR(CHOOSE(MATCH(INDEX(時間ごとの判定!$AN$3:$AN$1850,587),{"利用可","両方停止","運転がそろわない","判定不能"},0),"○","停","×","－"),"")</f>
        <v>×</v>
      </c>
      <c r="BL28" s="35" t="str">
        <f aca="false">IFERROR(CHOOSE(MATCH(INDEX(時間ごとの判定!$AN$3:$AN$1850,588),{"利用可","両方停止","運転がそろわない","判定不能"},0),"○","停","×","－"),"")</f>
        <v>×</v>
      </c>
      <c r="BM28" s="35" t="str">
        <f aca="false">IFERROR(CHOOSE(MATCH(INDEX(時間ごとの判定!$AN$3:$AN$1850,589),{"利用可","両方停止","運転がそろわない","判定不能"},0),"○","停","×","－"),"")</f>
        <v>×</v>
      </c>
      <c r="BN28" s="35" t="str">
        <f aca="false">IFERROR(CHOOSE(MATCH(INDEX(時間ごとの判定!$AN$3:$AN$1850,590),{"利用可","両方停止","運転がそろわない","判定不能"},0),"○","停","×","－"),"")</f>
        <v>○</v>
      </c>
      <c r="BO28" s="35" t="str">
        <f aca="false">IFERROR(CHOOSE(MATCH(INDEX(時間ごとの判定!$AN$3:$AN$1850,591),{"利用可","両方停止","運転がそろわない","判定不能"},0),"○","停","×","－"),"")</f>
        <v>○</v>
      </c>
      <c r="BP28" s="35" t="str">
        <f aca="false">IFERROR(CHOOSE(MATCH(INDEX(時間ごとの判定!$AN$3:$AN$1850,592),{"利用可","両方停止","運転がそろわない","判定不能"},0),"○","停","×","－"),"")</f>
        <v>×</v>
      </c>
      <c r="BQ28" s="35" t="str">
        <f aca="false">IFERROR(CHOOSE(MATCH(INDEX(時間ごとの判定!$AN$3:$AN$1850,593),{"利用可","両方停止","運転がそろわない","判定不能"},0),"○","停","×","－"),"")</f>
        <v>○</v>
      </c>
      <c r="BR28" s="35" t="str">
        <f aca="false">IFERROR(CHOOSE(MATCH(INDEX(時間ごとの判定!$AN$3:$AN$1850,594),{"利用可","両方停止","運転がそろわない","判定不能"},0),"○","停","×","－"),"")</f>
        <v>○</v>
      </c>
      <c r="BS28" s="35" t="str">
        <f aca="false">IFERROR(CHOOSE(MATCH(INDEX(時間ごとの判定!$AN$3:$AN$1850,595),{"利用可","両方停止","運転がそろわない","判定不能"},0),"○","停","×","－"),"")</f>
        <v>×</v>
      </c>
      <c r="BT28" s="35" t="str">
        <f aca="false">IFERROR(CHOOSE(MATCH(INDEX(時間ごとの判定!$AN$3:$AN$1850,596),{"利用可","両方停止","運転がそろわない","判定不能"},0),"○","停","×","－"),"")</f>
        <v>×</v>
      </c>
      <c r="BU28" s="35" t="str">
        <f aca="false">IFERROR(CHOOSE(MATCH(INDEX(時間ごとの判定!$AN$3:$AN$1850,597),{"利用可","両方停止","運転がそろわない","判定不能"},0),"○","停","×","－"),"")</f>
        <v>×</v>
      </c>
      <c r="BV28" s="35" t="str">
        <f aca="false">IFERROR(CHOOSE(MATCH(INDEX(時間ごとの判定!$AN$3:$AN$1850,598),{"利用可","両方停止","運転がそろわない","判定不能"},0),"○","停","×","－"),"")</f>
        <v>×</v>
      </c>
      <c r="BW28" s="35" t="str">
        <f aca="false">IFERROR(CHOOSE(MATCH(INDEX(時間ごとの判定!$AN$3:$AN$1850,599),{"利用可","両方停止","運転がそろわない","判定不能"},0),"○","停","×","－"),"")</f>
        <v>停</v>
      </c>
      <c r="BX28" s="35" t="str">
        <f aca="false">IFERROR(CHOOSE(MATCH(INDEX(時間ごとの判定!$AN$3:$AN$1850,600),{"利用可","両方停止","運転がそろわない","判定不能"},0),"○","停","×","－"),"")</f>
        <v>停</v>
      </c>
    </row>
    <row r="29" customFormat="false" ht="15" hidden="false" customHeight="false" outlineLevel="0" collapsed="false">
      <c r="A29" s="33" t="n">
        <v>46257</v>
      </c>
      <c r="B29" s="36" t="s">
        <v>65</v>
      </c>
      <c r="C29" s="35" t="str">
        <f aca="false">IFERROR(CHOOSE(MATCH(INDEX(時間ごとの判定!$AH$3:$AH$1850,601),{"利用可","両方停止","運転がそろわない","判定不能"},0),"○","停","×","－"),"")</f>
        <v>停</v>
      </c>
      <c r="D29" s="35" t="str">
        <f aca="false">IFERROR(CHOOSE(MATCH(INDEX(時間ごとの判定!$AH$3:$AH$1850,602),{"利用可","両方停止","運転がそろわない","判定不能"},0),"○","停","×","－"),"")</f>
        <v>停</v>
      </c>
      <c r="E29" s="35" t="str">
        <f aca="false">IFERROR(CHOOSE(MATCH(INDEX(時間ごとの判定!$AH$3:$AH$1850,603),{"利用可","両方停止","運転がそろわない","判定不能"},0),"○","停","×","－"),"")</f>
        <v>停</v>
      </c>
      <c r="F29" s="35" t="str">
        <f aca="false">IFERROR(CHOOSE(MATCH(INDEX(時間ごとの判定!$AH$3:$AH$1850,604),{"利用可","両方停止","運転がそろわない","判定不能"},0),"○","停","×","－"),"")</f>
        <v>停</v>
      </c>
      <c r="G29" s="35" t="str">
        <f aca="false">IFERROR(CHOOSE(MATCH(INDEX(時間ごとの判定!$AH$3:$AH$1850,605),{"利用可","両方停止","運転がそろわない","判定不能"},0),"○","停","×","－"),"")</f>
        <v>停</v>
      </c>
      <c r="H29" s="35" t="str">
        <f aca="false">IFERROR(CHOOSE(MATCH(INDEX(時間ごとの判定!$AH$3:$AH$1850,606),{"利用可","両方停止","運転がそろわない","判定不能"},0),"○","停","×","－"),"")</f>
        <v>停</v>
      </c>
      <c r="I29" s="35" t="str">
        <f aca="false">IFERROR(CHOOSE(MATCH(INDEX(時間ごとの判定!$AH$3:$AH$1850,607),{"利用可","両方停止","運転がそろわない","判定不能"},0),"○","停","×","－"),"")</f>
        <v>停</v>
      </c>
      <c r="J29" s="35" t="str">
        <f aca="false">IFERROR(CHOOSE(MATCH(INDEX(時間ごとの判定!$AH$3:$AH$1850,608),{"利用可","両方停止","運転がそろわない","判定不能"},0),"○","停","×","－"),"")</f>
        <v>停</v>
      </c>
      <c r="K29" s="35" t="str">
        <f aca="false">IFERROR(CHOOSE(MATCH(INDEX(時間ごとの判定!$AH$3:$AH$1850,609),{"利用可","両方停止","運転がそろわない","判定不能"},0),"○","停","×","－"),"")</f>
        <v>×</v>
      </c>
      <c r="L29" s="35" t="str">
        <f aca="false">IFERROR(CHOOSE(MATCH(INDEX(時間ごとの判定!$AH$3:$AH$1850,610),{"利用可","両方停止","運転がそろわない","判定不能"},0),"○","停","×","－"),"")</f>
        <v>×</v>
      </c>
      <c r="M29" s="35" t="str">
        <f aca="false">IFERROR(CHOOSE(MATCH(INDEX(時間ごとの判定!$AH$3:$AH$1850,611),{"利用可","両方停止","運転がそろわない","判定不能"},0),"○","停","×","－"),"")</f>
        <v>×</v>
      </c>
      <c r="N29" s="35" t="str">
        <f aca="false">IFERROR(CHOOSE(MATCH(INDEX(時間ごとの判定!$AH$3:$AH$1850,612),{"利用可","両方停止","運転がそろわない","判定不能"},0),"○","停","×","－"),"")</f>
        <v>○</v>
      </c>
      <c r="O29" s="35" t="str">
        <f aca="false">IFERROR(CHOOSE(MATCH(INDEX(時間ごとの判定!$AH$3:$AH$1850,613),{"利用可","両方停止","運転がそろわない","判定不能"},0),"○","停","×","－"),"")</f>
        <v>○</v>
      </c>
      <c r="P29" s="35" t="str">
        <f aca="false">IFERROR(CHOOSE(MATCH(INDEX(時間ごとの判定!$AH$3:$AH$1850,614),{"利用可","両方停止","運転がそろわない","判定不能"},0),"○","停","×","－"),"")</f>
        <v>○</v>
      </c>
      <c r="Q29" s="35" t="str">
        <f aca="false">IFERROR(CHOOSE(MATCH(INDEX(時間ごとの判定!$AH$3:$AH$1850,615),{"利用可","両方停止","運転がそろわない","判定不能"},0),"○","停","×","－"),"")</f>
        <v>○</v>
      </c>
      <c r="R29" s="35" t="str">
        <f aca="false">IFERROR(CHOOSE(MATCH(INDEX(時間ごとの判定!$AH$3:$AH$1850,616),{"利用可","両方停止","運転がそろわない","判定不能"},0),"○","停","×","－"),"")</f>
        <v>○</v>
      </c>
      <c r="S29" s="35" t="str">
        <f aca="false">IFERROR(CHOOSE(MATCH(INDEX(時間ごとの判定!$AH$3:$AH$1850,617),{"利用可","両方停止","運転がそろわない","判定不能"},0),"○","停","×","－"),"")</f>
        <v>○</v>
      </c>
      <c r="T29" s="35" t="str">
        <f aca="false">IFERROR(CHOOSE(MATCH(INDEX(時間ごとの判定!$AH$3:$AH$1850,618),{"利用可","両方停止","運転がそろわない","判定不能"},0),"○","停","×","－"),"")</f>
        <v>○</v>
      </c>
      <c r="U29" s="35" t="str">
        <f aca="false">IFERROR(CHOOSE(MATCH(INDEX(時間ごとの判定!$AH$3:$AH$1850,619),{"利用可","両方停止","運転がそろわない","判定不能"},0),"○","停","×","－"),"")</f>
        <v>×</v>
      </c>
      <c r="V29" s="35" t="str">
        <f aca="false">IFERROR(CHOOSE(MATCH(INDEX(時間ごとの判定!$AH$3:$AH$1850,620),{"利用可","両方停止","運転がそろわない","判定不能"},0),"○","停","×","－"),"")</f>
        <v>×</v>
      </c>
      <c r="W29" s="35" t="str">
        <f aca="false">IFERROR(CHOOSE(MATCH(INDEX(時間ごとの判定!$AH$3:$AH$1850,621),{"利用可","両方停止","運転がそろわない","判定不能"},0),"○","停","×","－"),"")</f>
        <v>×</v>
      </c>
      <c r="X29" s="35" t="str">
        <f aca="false">IFERROR(CHOOSE(MATCH(INDEX(時間ごとの判定!$AH$3:$AH$1850,622),{"利用可","両方停止","運転がそろわない","判定不能"},0),"○","停","×","－"),"")</f>
        <v>停</v>
      </c>
      <c r="Y29" s="35" t="str">
        <f aca="false">IFERROR(CHOOSE(MATCH(INDEX(時間ごとの判定!$AH$3:$AH$1850,623),{"利用可","両方停止","運転がそろわない","判定不能"},0),"○","停","×","－"),"")</f>
        <v>停</v>
      </c>
      <c r="Z29" s="35" t="str">
        <f aca="false">IFERROR(CHOOSE(MATCH(INDEX(時間ごとの判定!$AH$3:$AH$1850,624),{"利用可","両方停止","運転がそろわない","判定不能"},0),"○","停","×","－"),"")</f>
        <v>停</v>
      </c>
      <c r="AA29" s="35"/>
      <c r="AB29" s="35" t="str">
        <f aca="false">IFERROR(CHOOSE(MATCH(INDEX(時間ごとの判定!$AK$3:$AK$1850,601),{"利用可","両方停止","運転がそろわない","判定不能"},0),"○","停","×","－"),"")</f>
        <v>－</v>
      </c>
      <c r="AC29" s="35" t="str">
        <f aca="false">IFERROR(CHOOSE(MATCH(INDEX(時間ごとの判定!$AK$3:$AK$1850,602),{"利用可","両方停止","運転がそろわない","判定不能"},0),"○","停","×","－"),"")</f>
        <v>－</v>
      </c>
      <c r="AD29" s="35" t="str">
        <f aca="false">IFERROR(CHOOSE(MATCH(INDEX(時間ごとの判定!$AK$3:$AK$1850,603),{"利用可","両方停止","運転がそろわない","判定不能"},0),"○","停","×","－"),"")</f>
        <v>－</v>
      </c>
      <c r="AE29" s="35" t="str">
        <f aca="false">IFERROR(CHOOSE(MATCH(INDEX(時間ごとの判定!$AK$3:$AK$1850,604),{"利用可","両方停止","運転がそろわない","判定不能"},0),"○","停","×","－"),"")</f>
        <v>－</v>
      </c>
      <c r="AF29" s="35" t="str">
        <f aca="false">IFERROR(CHOOSE(MATCH(INDEX(時間ごとの判定!$AK$3:$AK$1850,605),{"利用可","両方停止","運転がそろわない","判定不能"},0),"○","停","×","－"),"")</f>
        <v>－</v>
      </c>
      <c r="AG29" s="35" t="str">
        <f aca="false">IFERROR(CHOOSE(MATCH(INDEX(時間ごとの判定!$AK$3:$AK$1850,606),{"利用可","両方停止","運転がそろわない","判定不能"},0),"○","停","×","－"),"")</f>
        <v>－</v>
      </c>
      <c r="AH29" s="35" t="str">
        <f aca="false">IFERROR(CHOOSE(MATCH(INDEX(時間ごとの判定!$AK$3:$AK$1850,607),{"利用可","両方停止","運転がそろわない","判定不能"},0),"○","停","×","－"),"")</f>
        <v>－</v>
      </c>
      <c r="AI29" s="35" t="str">
        <f aca="false">IFERROR(CHOOSE(MATCH(INDEX(時間ごとの判定!$AK$3:$AK$1850,608),{"利用可","両方停止","運転がそろわない","判定不能"},0),"○","停","×","－"),"")</f>
        <v>－</v>
      </c>
      <c r="AJ29" s="35" t="str">
        <f aca="false">IFERROR(CHOOSE(MATCH(INDEX(時間ごとの判定!$AK$3:$AK$1850,609),{"利用可","両方停止","運転がそろわない","判定不能"},0),"○","停","×","－"),"")</f>
        <v>－</v>
      </c>
      <c r="AK29" s="35" t="str">
        <f aca="false">IFERROR(CHOOSE(MATCH(INDEX(時間ごとの判定!$AK$3:$AK$1850,610),{"利用可","両方停止","運転がそろわない","判定不能"},0),"○","停","×","－"),"")</f>
        <v>－</v>
      </c>
      <c r="AL29" s="35" t="str">
        <f aca="false">IFERROR(CHOOSE(MATCH(INDEX(時間ごとの判定!$AK$3:$AK$1850,611),{"利用可","両方停止","運転がそろわない","判定不能"},0),"○","停","×","－"),"")</f>
        <v>－</v>
      </c>
      <c r="AM29" s="35" t="str">
        <f aca="false">IFERROR(CHOOSE(MATCH(INDEX(時間ごとの判定!$AK$3:$AK$1850,612),{"利用可","両方停止","運転がそろわない","判定不能"},0),"○","停","×","－"),"")</f>
        <v>－</v>
      </c>
      <c r="AN29" s="35" t="str">
        <f aca="false">IFERROR(CHOOSE(MATCH(INDEX(時間ごとの判定!$AK$3:$AK$1850,613),{"利用可","両方停止","運転がそろわない","判定不能"},0),"○","停","×","－"),"")</f>
        <v>－</v>
      </c>
      <c r="AO29" s="35" t="str">
        <f aca="false">IFERROR(CHOOSE(MATCH(INDEX(時間ごとの判定!$AK$3:$AK$1850,614),{"利用可","両方停止","運転がそろわない","判定不能"},0),"○","停","×","－"),"")</f>
        <v>－</v>
      </c>
      <c r="AP29" s="35" t="str">
        <f aca="false">IFERROR(CHOOSE(MATCH(INDEX(時間ごとの判定!$AK$3:$AK$1850,615),{"利用可","両方停止","運転がそろわない","判定不能"},0),"○","停","×","－"),"")</f>
        <v>－</v>
      </c>
      <c r="AQ29" s="35" t="str">
        <f aca="false">IFERROR(CHOOSE(MATCH(INDEX(時間ごとの判定!$AK$3:$AK$1850,616),{"利用可","両方停止","運転がそろわない","判定不能"},0),"○","停","×","－"),"")</f>
        <v>－</v>
      </c>
      <c r="AR29" s="35" t="str">
        <f aca="false">IFERROR(CHOOSE(MATCH(INDEX(時間ごとの判定!$AK$3:$AK$1850,617),{"利用可","両方停止","運転がそろわない","判定不能"},0),"○","停","×","－"),"")</f>
        <v>－</v>
      </c>
      <c r="AS29" s="35" t="str">
        <f aca="false">IFERROR(CHOOSE(MATCH(INDEX(時間ごとの判定!$AK$3:$AK$1850,618),{"利用可","両方停止","運転がそろわない","判定不能"},0),"○","停","×","－"),"")</f>
        <v>－</v>
      </c>
      <c r="AT29" s="35" t="str">
        <f aca="false">IFERROR(CHOOSE(MATCH(INDEX(時間ごとの判定!$AK$3:$AK$1850,619),{"利用可","両方停止","運転がそろわない","判定不能"},0),"○","停","×","－"),"")</f>
        <v>－</v>
      </c>
      <c r="AU29" s="35" t="str">
        <f aca="false">IFERROR(CHOOSE(MATCH(INDEX(時間ごとの判定!$AK$3:$AK$1850,620),{"利用可","両方停止","運転がそろわない","判定不能"},0),"○","停","×","－"),"")</f>
        <v>－</v>
      </c>
      <c r="AV29" s="35" t="str">
        <f aca="false">IFERROR(CHOOSE(MATCH(INDEX(時間ごとの判定!$AK$3:$AK$1850,621),{"利用可","両方停止","運転がそろわない","判定不能"},0),"○","停","×","－"),"")</f>
        <v>－</v>
      </c>
      <c r="AW29" s="35" t="str">
        <f aca="false">IFERROR(CHOOSE(MATCH(INDEX(時間ごとの判定!$AK$3:$AK$1850,622),{"利用可","両方停止","運転がそろわない","判定不能"},0),"○","停","×","－"),"")</f>
        <v>－</v>
      </c>
      <c r="AX29" s="35" t="str">
        <f aca="false">IFERROR(CHOOSE(MATCH(INDEX(時間ごとの判定!$AK$3:$AK$1850,623),{"利用可","両方停止","運転がそろわない","判定不能"},0),"○","停","×","－"),"")</f>
        <v>－</v>
      </c>
      <c r="AY29" s="35" t="str">
        <f aca="false">IFERROR(CHOOSE(MATCH(INDEX(時間ごとの判定!$AK$3:$AK$1850,624),{"利用可","両方停止","運転がそろわない","判定不能"},0),"○","停","×","－"),"")</f>
        <v>－</v>
      </c>
      <c r="AZ29" s="35"/>
      <c r="BA29" s="35" t="str">
        <f aca="false">IFERROR(CHOOSE(MATCH(INDEX(時間ごとの判定!$AN$3:$AN$1850,601),{"利用可","両方停止","運転がそろわない","判定不能"},0),"○","停","×","－"),"")</f>
        <v>停</v>
      </c>
      <c r="BB29" s="35" t="str">
        <f aca="false">IFERROR(CHOOSE(MATCH(INDEX(時間ごとの判定!$AN$3:$AN$1850,602),{"利用可","両方停止","運転がそろわない","判定不能"},0),"○","停","×","－"),"")</f>
        <v>停</v>
      </c>
      <c r="BC29" s="35" t="str">
        <f aca="false">IFERROR(CHOOSE(MATCH(INDEX(時間ごとの判定!$AN$3:$AN$1850,603),{"利用可","両方停止","運転がそろわない","判定不能"},0),"○","停","×","－"),"")</f>
        <v>停</v>
      </c>
      <c r="BD29" s="35" t="str">
        <f aca="false">IFERROR(CHOOSE(MATCH(INDEX(時間ごとの判定!$AN$3:$AN$1850,604),{"利用可","両方停止","運転がそろわない","判定不能"},0),"○","停","×","－"),"")</f>
        <v>停</v>
      </c>
      <c r="BE29" s="35" t="str">
        <f aca="false">IFERROR(CHOOSE(MATCH(INDEX(時間ごとの判定!$AN$3:$AN$1850,605),{"利用可","両方停止","運転がそろわない","判定不能"},0),"○","停","×","－"),"")</f>
        <v>停</v>
      </c>
      <c r="BF29" s="35" t="str">
        <f aca="false">IFERROR(CHOOSE(MATCH(INDEX(時間ごとの判定!$AN$3:$AN$1850,606),{"利用可","両方停止","運転がそろわない","判定不能"},0),"○","停","×","－"),"")</f>
        <v>停</v>
      </c>
      <c r="BG29" s="35" t="str">
        <f aca="false">IFERROR(CHOOSE(MATCH(INDEX(時間ごとの判定!$AN$3:$AN$1850,607),{"利用可","両方停止","運転がそろわない","判定不能"},0),"○","停","×","－"),"")</f>
        <v>停</v>
      </c>
      <c r="BH29" s="35" t="str">
        <f aca="false">IFERROR(CHOOSE(MATCH(INDEX(時間ごとの判定!$AN$3:$AN$1850,608),{"利用可","両方停止","運転がそろわない","判定不能"},0),"○","停","×","－"),"")</f>
        <v>停</v>
      </c>
      <c r="BI29" s="35" t="str">
        <f aca="false">IFERROR(CHOOSE(MATCH(INDEX(時間ごとの判定!$AN$3:$AN$1850,609),{"利用可","両方停止","運転がそろわない","判定不能"},0),"○","停","×","－"),"")</f>
        <v>×</v>
      </c>
      <c r="BJ29" s="35" t="str">
        <f aca="false">IFERROR(CHOOSE(MATCH(INDEX(時間ごとの判定!$AN$3:$AN$1850,610),{"利用可","両方停止","運転がそろわない","判定不能"},0),"○","停","×","－"),"")</f>
        <v>○</v>
      </c>
      <c r="BK29" s="35" t="str">
        <f aca="false">IFERROR(CHOOSE(MATCH(INDEX(時間ごとの判定!$AN$3:$AN$1850,611),{"利用可","両方停止","運転がそろわない","判定不能"},0),"○","停","×","－"),"")</f>
        <v>○</v>
      </c>
      <c r="BL29" s="35" t="str">
        <f aca="false">IFERROR(CHOOSE(MATCH(INDEX(時間ごとの判定!$AN$3:$AN$1850,612),{"利用可","両方停止","運転がそろわない","判定不能"},0),"○","停","×","－"),"")</f>
        <v>○</v>
      </c>
      <c r="BM29" s="35" t="str">
        <f aca="false">IFERROR(CHOOSE(MATCH(INDEX(時間ごとの判定!$AN$3:$AN$1850,613),{"利用可","両方停止","運転がそろわない","判定不能"},0),"○","停","×","－"),"")</f>
        <v>×</v>
      </c>
      <c r="BN29" s="35" t="str">
        <f aca="false">IFERROR(CHOOSE(MATCH(INDEX(時間ごとの判定!$AN$3:$AN$1850,614),{"利用可","両方停止","運転がそろわない","判定不能"},0),"○","停","×","－"),"")</f>
        <v>×</v>
      </c>
      <c r="BO29" s="35" t="str">
        <f aca="false">IFERROR(CHOOSE(MATCH(INDEX(時間ごとの判定!$AN$3:$AN$1850,615),{"利用可","両方停止","運転がそろわない","判定不能"},0),"○","停","×","－"),"")</f>
        <v>×</v>
      </c>
      <c r="BP29" s="35" t="str">
        <f aca="false">IFERROR(CHOOSE(MATCH(INDEX(時間ごとの判定!$AN$3:$AN$1850,616),{"利用可","両方停止","運転がそろわない","判定不能"},0),"○","停","×","－"),"")</f>
        <v>×</v>
      </c>
      <c r="BQ29" s="35" t="str">
        <f aca="false">IFERROR(CHOOSE(MATCH(INDEX(時間ごとの判定!$AN$3:$AN$1850,617),{"利用可","両方停止","運転がそろわない","判定不能"},0),"○","停","×","－"),"")</f>
        <v>×</v>
      </c>
      <c r="BR29" s="35" t="str">
        <f aca="false">IFERROR(CHOOSE(MATCH(INDEX(時間ごとの判定!$AN$3:$AN$1850,618),{"利用可","両方停止","運転がそろわない","判定不能"},0),"○","停","×","－"),"")</f>
        <v>×</v>
      </c>
      <c r="BS29" s="35" t="str">
        <f aca="false">IFERROR(CHOOSE(MATCH(INDEX(時間ごとの判定!$AN$3:$AN$1850,619),{"利用可","両方停止","運転がそろわない","判定不能"},0),"○","停","×","－"),"")</f>
        <v>×</v>
      </c>
      <c r="BT29" s="35" t="str">
        <f aca="false">IFERROR(CHOOSE(MATCH(INDEX(時間ごとの判定!$AN$3:$AN$1850,620),{"利用可","両方停止","運転がそろわない","判定不能"},0),"○","停","×","－"),"")</f>
        <v>×</v>
      </c>
      <c r="BU29" s="35" t="str">
        <f aca="false">IFERROR(CHOOSE(MATCH(INDEX(時間ごとの判定!$AN$3:$AN$1850,621),{"利用可","両方停止","運転がそろわない","判定不能"},0),"○","停","×","－"),"")</f>
        <v>×</v>
      </c>
      <c r="BV29" s="35" t="str">
        <f aca="false">IFERROR(CHOOSE(MATCH(INDEX(時間ごとの判定!$AN$3:$AN$1850,622),{"利用可","両方停止","運転がそろわない","判定不能"},0),"○","停","×","－"),"")</f>
        <v>停</v>
      </c>
      <c r="BW29" s="35" t="str">
        <f aca="false">IFERROR(CHOOSE(MATCH(INDEX(時間ごとの判定!$AN$3:$AN$1850,623),{"利用可","両方停止","運転がそろわない","判定不能"},0),"○","停","×","－"),"")</f>
        <v>停</v>
      </c>
      <c r="BX29" s="35" t="str">
        <f aca="false">IFERROR(CHOOSE(MATCH(INDEX(時間ごとの判定!$AN$3:$AN$1850,624),{"利用可","両方停止","運転がそろわない","判定不能"},0),"○","停","×","－"),"")</f>
        <v>停</v>
      </c>
    </row>
    <row r="30" customFormat="false" ht="15" hidden="false" customHeight="false" outlineLevel="0" collapsed="false">
      <c r="A30" s="33" t="n">
        <v>46258</v>
      </c>
      <c r="B30" s="34" t="s">
        <v>66</v>
      </c>
      <c r="C30" s="35" t="str">
        <f aca="false">IFERROR(CHOOSE(MATCH(INDEX(時間ごとの判定!$AH$3:$AH$1850,625),{"利用可","両方停止","運転がそろわない","判定不能"},0),"○","停","×","－"),"")</f>
        <v>停</v>
      </c>
      <c r="D30" s="35" t="str">
        <f aca="false">IFERROR(CHOOSE(MATCH(INDEX(時間ごとの判定!$AH$3:$AH$1850,626),{"利用可","両方停止","運転がそろわない","判定不能"},0),"○","停","×","－"),"")</f>
        <v>停</v>
      </c>
      <c r="E30" s="35" t="str">
        <f aca="false">IFERROR(CHOOSE(MATCH(INDEX(時間ごとの判定!$AH$3:$AH$1850,627),{"利用可","両方停止","運転がそろわない","判定不能"},0),"○","停","×","－"),"")</f>
        <v>停</v>
      </c>
      <c r="F30" s="35" t="str">
        <f aca="false">IFERROR(CHOOSE(MATCH(INDEX(時間ごとの判定!$AH$3:$AH$1850,628),{"利用可","両方停止","運転がそろわない","判定不能"},0),"○","停","×","－"),"")</f>
        <v>停</v>
      </c>
      <c r="G30" s="35" t="str">
        <f aca="false">IFERROR(CHOOSE(MATCH(INDEX(時間ごとの判定!$AH$3:$AH$1850,629),{"利用可","両方停止","運転がそろわない","判定不能"},0),"○","停","×","－"),"")</f>
        <v>停</v>
      </c>
      <c r="H30" s="35" t="str">
        <f aca="false">IFERROR(CHOOSE(MATCH(INDEX(時間ごとの判定!$AH$3:$AH$1850,630),{"利用可","両方停止","運転がそろわない","判定不能"},0),"○","停","×","－"),"")</f>
        <v>停</v>
      </c>
      <c r="I30" s="35" t="str">
        <f aca="false">IFERROR(CHOOSE(MATCH(INDEX(時間ごとの判定!$AH$3:$AH$1850,631),{"利用可","両方停止","運転がそろわない","判定不能"},0),"○","停","×","－"),"")</f>
        <v>停</v>
      </c>
      <c r="J30" s="35" t="str">
        <f aca="false">IFERROR(CHOOSE(MATCH(INDEX(時間ごとの判定!$AH$3:$AH$1850,632),{"利用可","両方停止","運転がそろわない","判定不能"},0),"○","停","×","－"),"")</f>
        <v>×</v>
      </c>
      <c r="K30" s="35" t="str">
        <f aca="false">IFERROR(CHOOSE(MATCH(INDEX(時間ごとの判定!$AH$3:$AH$1850,633),{"利用可","両方停止","運転がそろわない","判定不能"},0),"○","停","×","－"),"")</f>
        <v>○</v>
      </c>
      <c r="L30" s="35" t="str">
        <f aca="false">IFERROR(CHOOSE(MATCH(INDEX(時間ごとの判定!$AH$3:$AH$1850,634),{"利用可","両方停止","運転がそろわない","判定不能"},0),"○","停","×","－"),"")</f>
        <v>○</v>
      </c>
      <c r="M30" s="35" t="str">
        <f aca="false">IFERROR(CHOOSE(MATCH(INDEX(時間ごとの判定!$AH$3:$AH$1850,635),{"利用可","両方停止","運転がそろわない","判定不能"},0),"○","停","×","－"),"")</f>
        <v>○</v>
      </c>
      <c r="N30" s="35" t="str">
        <f aca="false">IFERROR(CHOOSE(MATCH(INDEX(時間ごとの判定!$AH$3:$AH$1850,636),{"利用可","両方停止","運転がそろわない","判定不能"},0),"○","停","×","－"),"")</f>
        <v>○</v>
      </c>
      <c r="O30" s="35" t="str">
        <f aca="false">IFERROR(CHOOSE(MATCH(INDEX(時間ごとの判定!$AH$3:$AH$1850,637),{"利用可","両方停止","運転がそろわない","判定不能"},0),"○","停","×","－"),"")</f>
        <v>○</v>
      </c>
      <c r="P30" s="35" t="str">
        <f aca="false">IFERROR(CHOOSE(MATCH(INDEX(時間ごとの判定!$AH$3:$AH$1850,638),{"利用可","両方停止","運転がそろわない","判定不能"},0),"○","停","×","－"),"")</f>
        <v>○</v>
      </c>
      <c r="Q30" s="35" t="str">
        <f aca="false">IFERROR(CHOOSE(MATCH(INDEX(時間ごとの判定!$AH$3:$AH$1850,639),{"利用可","両方停止","運転がそろわない","判定不能"},0),"○","停","×","－"),"")</f>
        <v>○</v>
      </c>
      <c r="R30" s="35" t="str">
        <f aca="false">IFERROR(CHOOSE(MATCH(INDEX(時間ごとの判定!$AH$3:$AH$1850,640),{"利用可","両方停止","運転がそろわない","判定不能"},0),"○","停","×","－"),"")</f>
        <v>○</v>
      </c>
      <c r="S30" s="35" t="str">
        <f aca="false">IFERROR(CHOOSE(MATCH(INDEX(時間ごとの判定!$AH$3:$AH$1850,641),{"利用可","両方停止","運転がそろわない","判定不能"},0),"○","停","×","－"),"")</f>
        <v>○</v>
      </c>
      <c r="T30" s="35" t="str">
        <f aca="false">IFERROR(CHOOSE(MATCH(INDEX(時間ごとの判定!$AH$3:$AH$1850,642),{"利用可","両方停止","運転がそろわない","判定不能"},0),"○","停","×","－"),"")</f>
        <v>○</v>
      </c>
      <c r="U30" s="35" t="str">
        <f aca="false">IFERROR(CHOOSE(MATCH(INDEX(時間ごとの判定!$AH$3:$AH$1850,643),{"利用可","両方停止","運転がそろわない","判定不能"},0),"○","停","×","－"),"")</f>
        <v>○</v>
      </c>
      <c r="V30" s="35" t="str">
        <f aca="false">IFERROR(CHOOSE(MATCH(INDEX(時間ごとの判定!$AH$3:$AH$1850,644),{"利用可","両方停止","運転がそろわない","判定不能"},0),"○","停","×","－"),"")</f>
        <v>×</v>
      </c>
      <c r="W30" s="35" t="str">
        <f aca="false">IFERROR(CHOOSE(MATCH(INDEX(時間ごとの判定!$AH$3:$AH$1850,645),{"利用可","両方停止","運転がそろわない","判定不能"},0),"○","停","×","－"),"")</f>
        <v>×</v>
      </c>
      <c r="X30" s="35" t="str">
        <f aca="false">IFERROR(CHOOSE(MATCH(INDEX(時間ごとの判定!$AH$3:$AH$1850,646),{"利用可","両方停止","運転がそろわない","判定不能"},0),"○","停","×","－"),"")</f>
        <v>停</v>
      </c>
      <c r="Y30" s="35" t="str">
        <f aca="false">IFERROR(CHOOSE(MATCH(INDEX(時間ごとの判定!$AH$3:$AH$1850,647),{"利用可","両方停止","運転がそろわない","判定不能"},0),"○","停","×","－"),"")</f>
        <v>停</v>
      </c>
      <c r="Z30" s="35" t="str">
        <f aca="false">IFERROR(CHOOSE(MATCH(INDEX(時間ごとの判定!$AH$3:$AH$1850,648),{"利用可","両方停止","運転がそろわない","判定不能"},0),"○","停","×","－"),"")</f>
        <v>停</v>
      </c>
      <c r="AA30" s="35"/>
      <c r="AB30" s="35" t="str">
        <f aca="false">IFERROR(CHOOSE(MATCH(INDEX(時間ごとの判定!$AK$3:$AK$1850,625),{"利用可","両方停止","運転がそろわない","判定不能"},0),"○","停","×","－"),"")</f>
        <v>－</v>
      </c>
      <c r="AC30" s="35" t="str">
        <f aca="false">IFERROR(CHOOSE(MATCH(INDEX(時間ごとの判定!$AK$3:$AK$1850,626),{"利用可","両方停止","運転がそろわない","判定不能"},0),"○","停","×","－"),"")</f>
        <v>－</v>
      </c>
      <c r="AD30" s="35" t="str">
        <f aca="false">IFERROR(CHOOSE(MATCH(INDEX(時間ごとの判定!$AK$3:$AK$1850,627),{"利用可","両方停止","運転がそろわない","判定不能"},0),"○","停","×","－"),"")</f>
        <v>－</v>
      </c>
      <c r="AE30" s="35" t="str">
        <f aca="false">IFERROR(CHOOSE(MATCH(INDEX(時間ごとの判定!$AK$3:$AK$1850,628),{"利用可","両方停止","運転がそろわない","判定不能"},0),"○","停","×","－"),"")</f>
        <v>－</v>
      </c>
      <c r="AF30" s="35" t="str">
        <f aca="false">IFERROR(CHOOSE(MATCH(INDEX(時間ごとの判定!$AK$3:$AK$1850,629),{"利用可","両方停止","運転がそろわない","判定不能"},0),"○","停","×","－"),"")</f>
        <v>－</v>
      </c>
      <c r="AG30" s="35" t="str">
        <f aca="false">IFERROR(CHOOSE(MATCH(INDEX(時間ごとの判定!$AK$3:$AK$1850,630),{"利用可","両方停止","運転がそろわない","判定不能"},0),"○","停","×","－"),"")</f>
        <v>－</v>
      </c>
      <c r="AH30" s="35" t="str">
        <f aca="false">IFERROR(CHOOSE(MATCH(INDEX(時間ごとの判定!$AK$3:$AK$1850,631),{"利用可","両方停止","運転がそろわない","判定不能"},0),"○","停","×","－"),"")</f>
        <v>－</v>
      </c>
      <c r="AI30" s="35" t="str">
        <f aca="false">IFERROR(CHOOSE(MATCH(INDEX(時間ごとの判定!$AK$3:$AK$1850,632),{"利用可","両方停止","運転がそろわない","判定不能"},0),"○","停","×","－"),"")</f>
        <v>－</v>
      </c>
      <c r="AJ30" s="35" t="str">
        <f aca="false">IFERROR(CHOOSE(MATCH(INDEX(時間ごとの判定!$AK$3:$AK$1850,633),{"利用可","両方停止","運転がそろわない","判定不能"},0),"○","停","×","－"),"")</f>
        <v>－</v>
      </c>
      <c r="AK30" s="35" t="str">
        <f aca="false">IFERROR(CHOOSE(MATCH(INDEX(時間ごとの判定!$AK$3:$AK$1850,634),{"利用可","両方停止","運転がそろわない","判定不能"},0),"○","停","×","－"),"")</f>
        <v>－</v>
      </c>
      <c r="AL30" s="35" t="str">
        <f aca="false">IFERROR(CHOOSE(MATCH(INDEX(時間ごとの判定!$AK$3:$AK$1850,635),{"利用可","両方停止","運転がそろわない","判定不能"},0),"○","停","×","－"),"")</f>
        <v>－</v>
      </c>
      <c r="AM30" s="35" t="str">
        <f aca="false">IFERROR(CHOOSE(MATCH(INDEX(時間ごとの判定!$AK$3:$AK$1850,636),{"利用可","両方停止","運転がそろわない","判定不能"},0),"○","停","×","－"),"")</f>
        <v>－</v>
      </c>
      <c r="AN30" s="35" t="str">
        <f aca="false">IFERROR(CHOOSE(MATCH(INDEX(時間ごとの判定!$AK$3:$AK$1850,637),{"利用可","両方停止","運転がそろわない","判定不能"},0),"○","停","×","－"),"")</f>
        <v>－</v>
      </c>
      <c r="AO30" s="35" t="str">
        <f aca="false">IFERROR(CHOOSE(MATCH(INDEX(時間ごとの判定!$AK$3:$AK$1850,638),{"利用可","両方停止","運転がそろわない","判定不能"},0),"○","停","×","－"),"")</f>
        <v>－</v>
      </c>
      <c r="AP30" s="35" t="str">
        <f aca="false">IFERROR(CHOOSE(MATCH(INDEX(時間ごとの判定!$AK$3:$AK$1850,639),{"利用可","両方停止","運転がそろわない","判定不能"},0),"○","停","×","－"),"")</f>
        <v>－</v>
      </c>
      <c r="AQ30" s="35" t="str">
        <f aca="false">IFERROR(CHOOSE(MATCH(INDEX(時間ごとの判定!$AK$3:$AK$1850,640),{"利用可","両方停止","運転がそろわない","判定不能"},0),"○","停","×","－"),"")</f>
        <v>－</v>
      </c>
      <c r="AR30" s="35" t="str">
        <f aca="false">IFERROR(CHOOSE(MATCH(INDEX(時間ごとの判定!$AK$3:$AK$1850,641),{"利用可","両方停止","運転がそろわない","判定不能"},0),"○","停","×","－"),"")</f>
        <v>－</v>
      </c>
      <c r="AS30" s="35" t="str">
        <f aca="false">IFERROR(CHOOSE(MATCH(INDEX(時間ごとの判定!$AK$3:$AK$1850,642),{"利用可","両方停止","運転がそろわない","判定不能"},0),"○","停","×","－"),"")</f>
        <v>－</v>
      </c>
      <c r="AT30" s="35" t="str">
        <f aca="false">IFERROR(CHOOSE(MATCH(INDEX(時間ごとの判定!$AK$3:$AK$1850,643),{"利用可","両方停止","運転がそろわない","判定不能"},0),"○","停","×","－"),"")</f>
        <v>－</v>
      </c>
      <c r="AU30" s="35" t="str">
        <f aca="false">IFERROR(CHOOSE(MATCH(INDEX(時間ごとの判定!$AK$3:$AK$1850,644),{"利用可","両方停止","運転がそろわない","判定不能"},0),"○","停","×","－"),"")</f>
        <v>－</v>
      </c>
      <c r="AV30" s="35" t="str">
        <f aca="false">IFERROR(CHOOSE(MATCH(INDEX(時間ごとの判定!$AK$3:$AK$1850,645),{"利用可","両方停止","運転がそろわない","判定不能"},0),"○","停","×","－"),"")</f>
        <v>－</v>
      </c>
      <c r="AW30" s="35" t="str">
        <f aca="false">IFERROR(CHOOSE(MATCH(INDEX(時間ごとの判定!$AK$3:$AK$1850,646),{"利用可","両方停止","運転がそろわない","判定不能"},0),"○","停","×","－"),"")</f>
        <v>－</v>
      </c>
      <c r="AX30" s="35" t="str">
        <f aca="false">IFERROR(CHOOSE(MATCH(INDEX(時間ごとの判定!$AK$3:$AK$1850,647),{"利用可","両方停止","運転がそろわない","判定不能"},0),"○","停","×","－"),"")</f>
        <v>－</v>
      </c>
      <c r="AY30" s="35" t="str">
        <f aca="false">IFERROR(CHOOSE(MATCH(INDEX(時間ごとの判定!$AK$3:$AK$1850,648),{"利用可","両方停止","運転がそろわない","判定不能"},0),"○","停","×","－"),"")</f>
        <v>－</v>
      </c>
      <c r="AZ30" s="35"/>
      <c r="BA30" s="35" t="str">
        <f aca="false">IFERROR(CHOOSE(MATCH(INDEX(時間ごとの判定!$AN$3:$AN$1850,625),{"利用可","両方停止","運転がそろわない","判定不能"},0),"○","停","×","－"),"")</f>
        <v>停</v>
      </c>
      <c r="BB30" s="35" t="str">
        <f aca="false">IFERROR(CHOOSE(MATCH(INDEX(時間ごとの判定!$AN$3:$AN$1850,626),{"利用可","両方停止","運転がそろわない","判定不能"},0),"○","停","×","－"),"")</f>
        <v>停</v>
      </c>
      <c r="BC30" s="35" t="str">
        <f aca="false">IFERROR(CHOOSE(MATCH(INDEX(時間ごとの判定!$AN$3:$AN$1850,627),{"利用可","両方停止","運転がそろわない","判定不能"},0),"○","停","×","－"),"")</f>
        <v>停</v>
      </c>
      <c r="BD30" s="35" t="str">
        <f aca="false">IFERROR(CHOOSE(MATCH(INDEX(時間ごとの判定!$AN$3:$AN$1850,628),{"利用可","両方停止","運転がそろわない","判定不能"},0),"○","停","×","－"),"")</f>
        <v>停</v>
      </c>
      <c r="BE30" s="35" t="str">
        <f aca="false">IFERROR(CHOOSE(MATCH(INDEX(時間ごとの判定!$AN$3:$AN$1850,629),{"利用可","両方停止","運転がそろわない","判定不能"},0),"○","停","×","－"),"")</f>
        <v>停</v>
      </c>
      <c r="BF30" s="35" t="str">
        <f aca="false">IFERROR(CHOOSE(MATCH(INDEX(時間ごとの判定!$AN$3:$AN$1850,630),{"利用可","両方停止","運転がそろわない","判定不能"},0),"○","停","×","－"),"")</f>
        <v>停</v>
      </c>
      <c r="BG30" s="35" t="str">
        <f aca="false">IFERROR(CHOOSE(MATCH(INDEX(時間ごとの判定!$AN$3:$AN$1850,631),{"利用可","両方停止","運転がそろわない","判定不能"},0),"○","停","×","－"),"")</f>
        <v>×</v>
      </c>
      <c r="BH30" s="35" t="str">
        <f aca="false">IFERROR(CHOOSE(MATCH(INDEX(時間ごとの判定!$AN$3:$AN$1850,632),{"利用可","両方停止","運転がそろわない","判定不能"},0),"○","停","×","－"),"")</f>
        <v>×</v>
      </c>
      <c r="BI30" s="35" t="str">
        <f aca="false">IFERROR(CHOOSE(MATCH(INDEX(時間ごとの判定!$AN$3:$AN$1850,633),{"利用可","両方停止","運転がそろわない","判定不能"},0),"○","停","×","－"),"")</f>
        <v>×</v>
      </c>
      <c r="BJ30" s="35" t="str">
        <f aca="false">IFERROR(CHOOSE(MATCH(INDEX(時間ごとの判定!$AN$3:$AN$1850,634),{"利用可","両方停止","運転がそろわない","判定不能"},0),"○","停","×","－"),"")</f>
        <v>○</v>
      </c>
      <c r="BK30" s="35" t="str">
        <f aca="false">IFERROR(CHOOSE(MATCH(INDEX(時間ごとの判定!$AN$3:$AN$1850,635),{"利用可","両方停止","運転がそろわない","判定不能"},0),"○","停","×","－"),"")</f>
        <v>○</v>
      </c>
      <c r="BL30" s="35" t="str">
        <f aca="false">IFERROR(CHOOSE(MATCH(INDEX(時間ごとの判定!$AN$3:$AN$1850,636),{"利用可","両方停止","運転がそろわない","判定不能"},0),"○","停","×","－"),"")</f>
        <v>○</v>
      </c>
      <c r="BM30" s="35" t="str">
        <f aca="false">IFERROR(CHOOSE(MATCH(INDEX(時間ごとの判定!$AN$3:$AN$1850,637),{"利用可","両方停止","運転がそろわない","判定不能"},0),"○","停","×","－"),"")</f>
        <v>○</v>
      </c>
      <c r="BN30" s="35" t="str">
        <f aca="false">IFERROR(CHOOSE(MATCH(INDEX(時間ごとの判定!$AN$3:$AN$1850,638),{"利用可","両方停止","運転がそろわない","判定不能"},0),"○","停","×","－"),"")</f>
        <v>○</v>
      </c>
      <c r="BO30" s="35" t="str">
        <f aca="false">IFERROR(CHOOSE(MATCH(INDEX(時間ごとの判定!$AN$3:$AN$1850,639),{"利用可","両方停止","運転がそろわない","判定不能"},0),"○","停","×","－"),"")</f>
        <v>○</v>
      </c>
      <c r="BP30" s="35" t="str">
        <f aca="false">IFERROR(CHOOSE(MATCH(INDEX(時間ごとの判定!$AN$3:$AN$1850,640),{"利用可","両方停止","運転がそろわない","判定不能"},0),"○","停","×","－"),"")</f>
        <v>○</v>
      </c>
      <c r="BQ30" s="35" t="str">
        <f aca="false">IFERROR(CHOOSE(MATCH(INDEX(時間ごとの判定!$AN$3:$AN$1850,641),{"利用可","両方停止","運転がそろわない","判定不能"},0),"○","停","×","－"),"")</f>
        <v>○</v>
      </c>
      <c r="BR30" s="35" t="str">
        <f aca="false">IFERROR(CHOOSE(MATCH(INDEX(時間ごとの判定!$AN$3:$AN$1850,642),{"利用可","両方停止","運転がそろわない","判定不能"},0),"○","停","×","－"),"")</f>
        <v>○</v>
      </c>
      <c r="BS30" s="35" t="str">
        <f aca="false">IFERROR(CHOOSE(MATCH(INDEX(時間ごとの判定!$AN$3:$AN$1850,643),{"利用可","両方停止","運転がそろわない","判定不能"},0),"○","停","×","－"),"")</f>
        <v>×</v>
      </c>
      <c r="BT30" s="35" t="str">
        <f aca="false">IFERROR(CHOOSE(MATCH(INDEX(時間ごとの判定!$AN$3:$AN$1850,644),{"利用可","両方停止","運転がそろわない","判定不能"},0),"○","停","×","－"),"")</f>
        <v>×</v>
      </c>
      <c r="BU30" s="35" t="str">
        <f aca="false">IFERROR(CHOOSE(MATCH(INDEX(時間ごとの判定!$AN$3:$AN$1850,645),{"利用可","両方停止","運転がそろわない","判定不能"},0),"○","停","×","－"),"")</f>
        <v>×</v>
      </c>
      <c r="BV30" s="35" t="str">
        <f aca="false">IFERROR(CHOOSE(MATCH(INDEX(時間ごとの判定!$AN$3:$AN$1850,646),{"利用可","両方停止","運転がそろわない","判定不能"},0),"○","停","×","－"),"")</f>
        <v>×</v>
      </c>
      <c r="BW30" s="35" t="str">
        <f aca="false">IFERROR(CHOOSE(MATCH(INDEX(時間ごとの判定!$AN$3:$AN$1850,647),{"利用可","両方停止","運転がそろわない","判定不能"},0),"○","停","×","－"),"")</f>
        <v>停</v>
      </c>
      <c r="BX30" s="35" t="str">
        <f aca="false">IFERROR(CHOOSE(MATCH(INDEX(時間ごとの判定!$AN$3:$AN$1850,648),{"利用可","両方停止","運転がそろわない","判定不能"},0),"○","停","×","－"),"")</f>
        <v>停</v>
      </c>
    </row>
    <row r="31" customFormat="false" ht="15" hidden="false" customHeight="false" outlineLevel="0" collapsed="false">
      <c r="A31" s="33" t="n">
        <v>46259</v>
      </c>
      <c r="B31" s="34" t="s">
        <v>67</v>
      </c>
      <c r="C31" s="35" t="str">
        <f aca="false">IFERROR(CHOOSE(MATCH(INDEX(時間ごとの判定!$AH$3:$AH$1850,649),{"利用可","両方停止","運転がそろわない","判定不能"},0),"○","停","×","－"),"")</f>
        <v>停</v>
      </c>
      <c r="D31" s="35" t="str">
        <f aca="false">IFERROR(CHOOSE(MATCH(INDEX(時間ごとの判定!$AH$3:$AH$1850,650),{"利用可","両方停止","運転がそろわない","判定不能"},0),"○","停","×","－"),"")</f>
        <v>停</v>
      </c>
      <c r="E31" s="35" t="str">
        <f aca="false">IFERROR(CHOOSE(MATCH(INDEX(時間ごとの判定!$AH$3:$AH$1850,651),{"利用可","両方停止","運転がそろわない","判定不能"},0),"○","停","×","－"),"")</f>
        <v>停</v>
      </c>
      <c r="F31" s="35" t="str">
        <f aca="false">IFERROR(CHOOSE(MATCH(INDEX(時間ごとの判定!$AH$3:$AH$1850,652),{"利用可","両方停止","運転がそろわない","判定不能"},0),"○","停","×","－"),"")</f>
        <v>停</v>
      </c>
      <c r="G31" s="35" t="str">
        <f aca="false">IFERROR(CHOOSE(MATCH(INDEX(時間ごとの判定!$AH$3:$AH$1850,653),{"利用可","両方停止","運転がそろわない","判定不能"},0),"○","停","×","－"),"")</f>
        <v>停</v>
      </c>
      <c r="H31" s="35" t="str">
        <f aca="false">IFERROR(CHOOSE(MATCH(INDEX(時間ごとの判定!$AH$3:$AH$1850,654),{"利用可","両方停止","運転がそろわない","判定不能"},0),"○","停","×","－"),"")</f>
        <v>停</v>
      </c>
      <c r="I31" s="35" t="str">
        <f aca="false">IFERROR(CHOOSE(MATCH(INDEX(時間ごとの判定!$AH$3:$AH$1850,655),{"利用可","両方停止","運転がそろわない","判定不能"},0),"○","停","×","－"),"")</f>
        <v>停</v>
      </c>
      <c r="J31" s="35" t="str">
        <f aca="false">IFERROR(CHOOSE(MATCH(INDEX(時間ごとの判定!$AH$3:$AH$1850,656),{"利用可","両方停止","運転がそろわない","判定不能"},0),"○","停","×","－"),"")</f>
        <v>×</v>
      </c>
      <c r="K31" s="35" t="str">
        <f aca="false">IFERROR(CHOOSE(MATCH(INDEX(時間ごとの判定!$AH$3:$AH$1850,657),{"利用可","両方停止","運転がそろわない","判定不能"},0),"○","停","×","－"),"")</f>
        <v>○</v>
      </c>
      <c r="L31" s="35" t="str">
        <f aca="false">IFERROR(CHOOSE(MATCH(INDEX(時間ごとの判定!$AH$3:$AH$1850,658),{"利用可","両方停止","運転がそろわない","判定不能"},0),"○","停","×","－"),"")</f>
        <v>○</v>
      </c>
      <c r="M31" s="35" t="str">
        <f aca="false">IFERROR(CHOOSE(MATCH(INDEX(時間ごとの判定!$AH$3:$AH$1850,659),{"利用可","両方停止","運転がそろわない","判定不能"},0),"○","停","×","－"),"")</f>
        <v>○</v>
      </c>
      <c r="N31" s="35" t="str">
        <f aca="false">IFERROR(CHOOSE(MATCH(INDEX(時間ごとの判定!$AH$3:$AH$1850,660),{"利用可","両方停止","運転がそろわない","判定不能"},0),"○","停","×","－"),"")</f>
        <v>○</v>
      </c>
      <c r="O31" s="35" t="str">
        <f aca="false">IFERROR(CHOOSE(MATCH(INDEX(時間ごとの判定!$AH$3:$AH$1850,661),{"利用可","両方停止","運転がそろわない","判定不能"},0),"○","停","×","－"),"")</f>
        <v>○</v>
      </c>
      <c r="P31" s="35" t="str">
        <f aca="false">IFERROR(CHOOSE(MATCH(INDEX(時間ごとの判定!$AH$3:$AH$1850,662),{"利用可","両方停止","運転がそろわない","判定不能"},0),"○","停","×","－"),"")</f>
        <v>○</v>
      </c>
      <c r="Q31" s="35" t="str">
        <f aca="false">IFERROR(CHOOSE(MATCH(INDEX(時間ごとの判定!$AH$3:$AH$1850,663),{"利用可","両方停止","運転がそろわない","判定不能"},0),"○","停","×","－"),"")</f>
        <v>○</v>
      </c>
      <c r="R31" s="35" t="str">
        <f aca="false">IFERROR(CHOOSE(MATCH(INDEX(時間ごとの判定!$AH$3:$AH$1850,664),{"利用可","両方停止","運転がそろわない","判定不能"},0),"○","停","×","－"),"")</f>
        <v>○</v>
      </c>
      <c r="S31" s="35" t="str">
        <f aca="false">IFERROR(CHOOSE(MATCH(INDEX(時間ごとの判定!$AH$3:$AH$1850,665),{"利用可","両方停止","運転がそろわない","判定不能"},0),"○","停","×","－"),"")</f>
        <v>○</v>
      </c>
      <c r="T31" s="35" t="str">
        <f aca="false">IFERROR(CHOOSE(MATCH(INDEX(時間ごとの判定!$AH$3:$AH$1850,666),{"利用可","両方停止","運転がそろわない","判定不能"},0),"○","停","×","－"),"")</f>
        <v>○</v>
      </c>
      <c r="U31" s="35" t="str">
        <f aca="false">IFERROR(CHOOSE(MATCH(INDEX(時間ごとの判定!$AH$3:$AH$1850,667),{"利用可","両方停止","運転がそろわない","判定不能"},0),"○","停","×","－"),"")</f>
        <v>○</v>
      </c>
      <c r="V31" s="35" t="str">
        <f aca="false">IFERROR(CHOOSE(MATCH(INDEX(時間ごとの判定!$AH$3:$AH$1850,668),{"利用可","両方停止","運転がそろわない","判定不能"},0),"○","停","×","－"),"")</f>
        <v>○</v>
      </c>
      <c r="W31" s="35" t="str">
        <f aca="false">IFERROR(CHOOSE(MATCH(INDEX(時間ごとの判定!$AH$3:$AH$1850,669),{"利用可","両方停止","運転がそろわない","判定不能"},0),"○","停","×","－"),"")</f>
        <v>×</v>
      </c>
      <c r="X31" s="35" t="str">
        <f aca="false">IFERROR(CHOOSE(MATCH(INDEX(時間ごとの判定!$AH$3:$AH$1850,670),{"利用可","両方停止","運転がそろわない","判定不能"},0),"○","停","×","－"),"")</f>
        <v>停</v>
      </c>
      <c r="Y31" s="35" t="str">
        <f aca="false">IFERROR(CHOOSE(MATCH(INDEX(時間ごとの判定!$AH$3:$AH$1850,671),{"利用可","両方停止","運転がそろわない","判定不能"},0),"○","停","×","－"),"")</f>
        <v>停</v>
      </c>
      <c r="Z31" s="35" t="str">
        <f aca="false">IFERROR(CHOOSE(MATCH(INDEX(時間ごとの判定!$AH$3:$AH$1850,672),{"利用可","両方停止","運転がそろわない","判定不能"},0),"○","停","×","－"),"")</f>
        <v>停</v>
      </c>
      <c r="AA31" s="35"/>
      <c r="AB31" s="35" t="str">
        <f aca="false">IFERROR(CHOOSE(MATCH(INDEX(時間ごとの判定!$AK$3:$AK$1850,649),{"利用可","両方停止","運転がそろわない","判定不能"},0),"○","停","×","－"),"")</f>
        <v>－</v>
      </c>
      <c r="AC31" s="35" t="str">
        <f aca="false">IFERROR(CHOOSE(MATCH(INDEX(時間ごとの判定!$AK$3:$AK$1850,650),{"利用可","両方停止","運転がそろわない","判定不能"},0),"○","停","×","－"),"")</f>
        <v>－</v>
      </c>
      <c r="AD31" s="35" t="str">
        <f aca="false">IFERROR(CHOOSE(MATCH(INDEX(時間ごとの判定!$AK$3:$AK$1850,651),{"利用可","両方停止","運転がそろわない","判定不能"},0),"○","停","×","－"),"")</f>
        <v>－</v>
      </c>
      <c r="AE31" s="35" t="str">
        <f aca="false">IFERROR(CHOOSE(MATCH(INDEX(時間ごとの判定!$AK$3:$AK$1850,652),{"利用可","両方停止","運転がそろわない","判定不能"},0),"○","停","×","－"),"")</f>
        <v>－</v>
      </c>
      <c r="AF31" s="35" t="str">
        <f aca="false">IFERROR(CHOOSE(MATCH(INDEX(時間ごとの判定!$AK$3:$AK$1850,653),{"利用可","両方停止","運転がそろわない","判定不能"},0),"○","停","×","－"),"")</f>
        <v>－</v>
      </c>
      <c r="AG31" s="35" t="str">
        <f aca="false">IFERROR(CHOOSE(MATCH(INDEX(時間ごとの判定!$AK$3:$AK$1850,654),{"利用可","両方停止","運転がそろわない","判定不能"},0),"○","停","×","－"),"")</f>
        <v>－</v>
      </c>
      <c r="AH31" s="35" t="str">
        <f aca="false">IFERROR(CHOOSE(MATCH(INDEX(時間ごとの判定!$AK$3:$AK$1850,655),{"利用可","両方停止","運転がそろわない","判定不能"},0),"○","停","×","－"),"")</f>
        <v>－</v>
      </c>
      <c r="AI31" s="35" t="str">
        <f aca="false">IFERROR(CHOOSE(MATCH(INDEX(時間ごとの判定!$AK$3:$AK$1850,656),{"利用可","両方停止","運転がそろわない","判定不能"},0),"○","停","×","－"),"")</f>
        <v>－</v>
      </c>
      <c r="AJ31" s="35" t="str">
        <f aca="false">IFERROR(CHOOSE(MATCH(INDEX(時間ごとの判定!$AK$3:$AK$1850,657),{"利用可","両方停止","運転がそろわない","判定不能"},0),"○","停","×","－"),"")</f>
        <v>－</v>
      </c>
      <c r="AK31" s="35" t="str">
        <f aca="false">IFERROR(CHOOSE(MATCH(INDEX(時間ごとの判定!$AK$3:$AK$1850,658),{"利用可","両方停止","運転がそろわない","判定不能"},0),"○","停","×","－"),"")</f>
        <v>－</v>
      </c>
      <c r="AL31" s="35" t="str">
        <f aca="false">IFERROR(CHOOSE(MATCH(INDEX(時間ごとの判定!$AK$3:$AK$1850,659),{"利用可","両方停止","運転がそろわない","判定不能"},0),"○","停","×","－"),"")</f>
        <v>－</v>
      </c>
      <c r="AM31" s="35" t="str">
        <f aca="false">IFERROR(CHOOSE(MATCH(INDEX(時間ごとの判定!$AK$3:$AK$1850,660),{"利用可","両方停止","運転がそろわない","判定不能"},0),"○","停","×","－"),"")</f>
        <v>－</v>
      </c>
      <c r="AN31" s="35" t="str">
        <f aca="false">IFERROR(CHOOSE(MATCH(INDEX(時間ごとの判定!$AK$3:$AK$1850,661),{"利用可","両方停止","運転がそろわない","判定不能"},0),"○","停","×","－"),"")</f>
        <v>－</v>
      </c>
      <c r="AO31" s="35" t="str">
        <f aca="false">IFERROR(CHOOSE(MATCH(INDEX(時間ごとの判定!$AK$3:$AK$1850,662),{"利用可","両方停止","運転がそろわない","判定不能"},0),"○","停","×","－"),"")</f>
        <v>－</v>
      </c>
      <c r="AP31" s="35" t="str">
        <f aca="false">IFERROR(CHOOSE(MATCH(INDEX(時間ごとの判定!$AK$3:$AK$1850,663),{"利用可","両方停止","運転がそろわない","判定不能"},0),"○","停","×","－"),"")</f>
        <v>－</v>
      </c>
      <c r="AQ31" s="35" t="str">
        <f aca="false">IFERROR(CHOOSE(MATCH(INDEX(時間ごとの判定!$AK$3:$AK$1850,664),{"利用可","両方停止","運転がそろわない","判定不能"},0),"○","停","×","－"),"")</f>
        <v>－</v>
      </c>
      <c r="AR31" s="35" t="str">
        <f aca="false">IFERROR(CHOOSE(MATCH(INDEX(時間ごとの判定!$AK$3:$AK$1850,665),{"利用可","両方停止","運転がそろわない","判定不能"},0),"○","停","×","－"),"")</f>
        <v>－</v>
      </c>
      <c r="AS31" s="35" t="str">
        <f aca="false">IFERROR(CHOOSE(MATCH(INDEX(時間ごとの判定!$AK$3:$AK$1850,666),{"利用可","両方停止","運転がそろわない","判定不能"},0),"○","停","×","－"),"")</f>
        <v>－</v>
      </c>
      <c r="AT31" s="35" t="str">
        <f aca="false">IFERROR(CHOOSE(MATCH(INDEX(時間ごとの判定!$AK$3:$AK$1850,667),{"利用可","両方停止","運転がそろわない","判定不能"},0),"○","停","×","－"),"")</f>
        <v>－</v>
      </c>
      <c r="AU31" s="35" t="str">
        <f aca="false">IFERROR(CHOOSE(MATCH(INDEX(時間ごとの判定!$AK$3:$AK$1850,668),{"利用可","両方停止","運転がそろわない","判定不能"},0),"○","停","×","－"),"")</f>
        <v>－</v>
      </c>
      <c r="AV31" s="35" t="str">
        <f aca="false">IFERROR(CHOOSE(MATCH(INDEX(時間ごとの判定!$AK$3:$AK$1850,669),{"利用可","両方停止","運転がそろわない","判定不能"},0),"○","停","×","－"),"")</f>
        <v>－</v>
      </c>
      <c r="AW31" s="35" t="str">
        <f aca="false">IFERROR(CHOOSE(MATCH(INDEX(時間ごとの判定!$AK$3:$AK$1850,670),{"利用可","両方停止","運転がそろわない","判定不能"},0),"○","停","×","－"),"")</f>
        <v>－</v>
      </c>
      <c r="AX31" s="35" t="str">
        <f aca="false">IFERROR(CHOOSE(MATCH(INDEX(時間ごとの判定!$AK$3:$AK$1850,671),{"利用可","両方停止","運転がそろわない","判定不能"},0),"○","停","×","－"),"")</f>
        <v>－</v>
      </c>
      <c r="AY31" s="35" t="str">
        <f aca="false">IFERROR(CHOOSE(MATCH(INDEX(時間ごとの判定!$AK$3:$AK$1850,672),{"利用可","両方停止","運転がそろわない","判定不能"},0),"○","停","×","－"),"")</f>
        <v>－</v>
      </c>
      <c r="AZ31" s="35"/>
      <c r="BA31" s="35" t="str">
        <f aca="false">IFERROR(CHOOSE(MATCH(INDEX(時間ごとの判定!$AN$3:$AN$1850,649),{"利用可","両方停止","運転がそろわない","判定不能"},0),"○","停","×","－"),"")</f>
        <v>停</v>
      </c>
      <c r="BB31" s="35" t="str">
        <f aca="false">IFERROR(CHOOSE(MATCH(INDEX(時間ごとの判定!$AN$3:$AN$1850,650),{"利用可","両方停止","運転がそろわない","判定不能"},0),"○","停","×","－"),"")</f>
        <v>停</v>
      </c>
      <c r="BC31" s="35" t="str">
        <f aca="false">IFERROR(CHOOSE(MATCH(INDEX(時間ごとの判定!$AN$3:$AN$1850,651),{"利用可","両方停止","運転がそろわない","判定不能"},0),"○","停","×","－"),"")</f>
        <v>停</v>
      </c>
      <c r="BD31" s="35" t="str">
        <f aca="false">IFERROR(CHOOSE(MATCH(INDEX(時間ごとの判定!$AN$3:$AN$1850,652),{"利用可","両方停止","運転がそろわない","判定不能"},0),"○","停","×","－"),"")</f>
        <v>停</v>
      </c>
      <c r="BE31" s="35" t="str">
        <f aca="false">IFERROR(CHOOSE(MATCH(INDEX(時間ごとの判定!$AN$3:$AN$1850,653),{"利用可","両方停止","運転がそろわない","判定不能"},0),"○","停","×","－"),"")</f>
        <v>停</v>
      </c>
      <c r="BF31" s="35" t="str">
        <f aca="false">IFERROR(CHOOSE(MATCH(INDEX(時間ごとの判定!$AN$3:$AN$1850,654),{"利用可","両方停止","運転がそろわない","判定不能"},0),"○","停","×","－"),"")</f>
        <v>停</v>
      </c>
      <c r="BG31" s="35" t="str">
        <f aca="false">IFERROR(CHOOSE(MATCH(INDEX(時間ごとの判定!$AN$3:$AN$1850,655),{"利用可","両方停止","運転がそろわない","判定不能"},0),"○","停","×","－"),"")</f>
        <v>×</v>
      </c>
      <c r="BH31" s="35" t="str">
        <f aca="false">IFERROR(CHOOSE(MATCH(INDEX(時間ごとの判定!$AN$3:$AN$1850,656),{"利用可","両方停止","運転がそろわない","判定不能"},0),"○","停","×","－"),"")</f>
        <v>×</v>
      </c>
      <c r="BI31" s="35" t="str">
        <f aca="false">IFERROR(CHOOSE(MATCH(INDEX(時間ごとの判定!$AN$3:$AN$1850,657),{"利用可","両方停止","運転がそろわない","判定不能"},0),"○","停","×","－"),"")</f>
        <v>○</v>
      </c>
      <c r="BJ31" s="35" t="str">
        <f aca="false">IFERROR(CHOOSE(MATCH(INDEX(時間ごとの判定!$AN$3:$AN$1850,658),{"利用可","両方停止","運転がそろわない","判定不能"},0),"○","停","×","－"),"")</f>
        <v>○</v>
      </c>
      <c r="BK31" s="35" t="str">
        <f aca="false">IFERROR(CHOOSE(MATCH(INDEX(時間ごとの判定!$AN$3:$AN$1850,659),{"利用可","両方停止","運転がそろわない","判定不能"},0),"○","停","×","－"),"")</f>
        <v>○</v>
      </c>
      <c r="BL31" s="35" t="str">
        <f aca="false">IFERROR(CHOOSE(MATCH(INDEX(時間ごとの判定!$AN$3:$AN$1850,660),{"利用可","両方停止","運転がそろわない","判定不能"},0),"○","停","×","－"),"")</f>
        <v>○</v>
      </c>
      <c r="BM31" s="35" t="str">
        <f aca="false">IFERROR(CHOOSE(MATCH(INDEX(時間ごとの判定!$AN$3:$AN$1850,661),{"利用可","両方停止","運転がそろわない","判定不能"},0),"○","停","×","－"),"")</f>
        <v>○</v>
      </c>
      <c r="BN31" s="35" t="str">
        <f aca="false">IFERROR(CHOOSE(MATCH(INDEX(時間ごとの判定!$AN$3:$AN$1850,662),{"利用可","両方停止","運転がそろわない","判定不能"},0),"○","停","×","－"),"")</f>
        <v>○</v>
      </c>
      <c r="BO31" s="35" t="str">
        <f aca="false">IFERROR(CHOOSE(MATCH(INDEX(時間ごとの判定!$AN$3:$AN$1850,663),{"利用可","両方停止","運転がそろわない","判定不能"},0),"○","停","×","－"),"")</f>
        <v>○</v>
      </c>
      <c r="BP31" s="35" t="str">
        <f aca="false">IFERROR(CHOOSE(MATCH(INDEX(時間ごとの判定!$AN$3:$AN$1850,664),{"利用可","両方停止","運転がそろわない","判定不能"},0),"○","停","×","－"),"")</f>
        <v>○</v>
      </c>
      <c r="BQ31" s="35" t="str">
        <f aca="false">IFERROR(CHOOSE(MATCH(INDEX(時間ごとの判定!$AN$3:$AN$1850,665),{"利用可","両方停止","運転がそろわない","判定不能"},0),"○","停","×","－"),"")</f>
        <v>○</v>
      </c>
      <c r="BR31" s="35" t="str">
        <f aca="false">IFERROR(CHOOSE(MATCH(INDEX(時間ごとの判定!$AN$3:$AN$1850,666),{"利用可","両方停止","運転がそろわない","判定不能"},0),"○","停","×","－"),"")</f>
        <v>○</v>
      </c>
      <c r="BS31" s="35" t="str">
        <f aca="false">IFERROR(CHOOSE(MATCH(INDEX(時間ごとの判定!$AN$3:$AN$1850,667),{"利用可","両方停止","運転がそろわない","判定不能"},0),"○","停","×","－"),"")</f>
        <v>×</v>
      </c>
      <c r="BT31" s="35" t="str">
        <f aca="false">IFERROR(CHOOSE(MATCH(INDEX(時間ごとの判定!$AN$3:$AN$1850,668),{"利用可","両方停止","運転がそろわない","判定不能"},0),"○","停","×","－"),"")</f>
        <v>○</v>
      </c>
      <c r="BU31" s="35" t="str">
        <f aca="false">IFERROR(CHOOSE(MATCH(INDEX(時間ごとの判定!$AN$3:$AN$1850,669),{"利用可","両方停止","運転がそろわない","判定不能"},0),"○","停","×","－"),"")</f>
        <v>×</v>
      </c>
      <c r="BV31" s="35" t="str">
        <f aca="false">IFERROR(CHOOSE(MATCH(INDEX(時間ごとの判定!$AN$3:$AN$1850,670),{"利用可","両方停止","運転がそろわない","判定不能"},0),"○","停","×","－"),"")</f>
        <v>×</v>
      </c>
      <c r="BW31" s="35" t="str">
        <f aca="false">IFERROR(CHOOSE(MATCH(INDEX(時間ごとの判定!$AN$3:$AN$1850,671),{"利用可","両方停止","運転がそろわない","判定不能"},0),"○","停","×","－"),"")</f>
        <v>×</v>
      </c>
      <c r="BX31" s="35" t="str">
        <f aca="false">IFERROR(CHOOSE(MATCH(INDEX(時間ごとの判定!$AN$3:$AN$1850,672),{"利用可","両方停止","運転がそろわない","判定不能"},0),"○","停","×","－"),"")</f>
        <v>×</v>
      </c>
    </row>
    <row r="32" customFormat="false" ht="15" hidden="false" customHeight="false" outlineLevel="0" collapsed="false">
      <c r="A32" s="33" t="n">
        <v>46260</v>
      </c>
      <c r="B32" s="34" t="s">
        <v>58</v>
      </c>
      <c r="C32" s="35" t="str">
        <f aca="false">IFERROR(CHOOSE(MATCH(INDEX(時間ごとの判定!$AH$3:$AH$1850,673),{"利用可","両方停止","運転がそろわない","判定不能"},0),"○","停","×","－"),"")</f>
        <v>停</v>
      </c>
      <c r="D32" s="35" t="str">
        <f aca="false">IFERROR(CHOOSE(MATCH(INDEX(時間ごとの判定!$AH$3:$AH$1850,674),{"利用可","両方停止","運転がそろわない","判定不能"},0),"○","停","×","－"),"")</f>
        <v>停</v>
      </c>
      <c r="E32" s="35" t="str">
        <f aca="false">IFERROR(CHOOSE(MATCH(INDEX(時間ごとの判定!$AH$3:$AH$1850,675),{"利用可","両方停止","運転がそろわない","判定不能"},0),"○","停","×","－"),"")</f>
        <v>停</v>
      </c>
      <c r="F32" s="35" t="str">
        <f aca="false">IFERROR(CHOOSE(MATCH(INDEX(時間ごとの判定!$AH$3:$AH$1850,676),{"利用可","両方停止","運転がそろわない","判定不能"},0),"○","停","×","－"),"")</f>
        <v>停</v>
      </c>
      <c r="G32" s="35" t="str">
        <f aca="false">IFERROR(CHOOSE(MATCH(INDEX(時間ごとの判定!$AH$3:$AH$1850,677),{"利用可","両方停止","運転がそろわない","判定不能"},0),"○","停","×","－"),"")</f>
        <v>停</v>
      </c>
      <c r="H32" s="35" t="str">
        <f aca="false">IFERROR(CHOOSE(MATCH(INDEX(時間ごとの判定!$AH$3:$AH$1850,678),{"利用可","両方停止","運転がそろわない","判定不能"},0),"○","停","×","－"),"")</f>
        <v>停</v>
      </c>
      <c r="I32" s="35" t="str">
        <f aca="false">IFERROR(CHOOSE(MATCH(INDEX(時間ごとの判定!$AH$3:$AH$1850,679),{"利用可","両方停止","運転がそろわない","判定不能"},0),"○","停","×","－"),"")</f>
        <v>停</v>
      </c>
      <c r="J32" s="35" t="str">
        <f aca="false">IFERROR(CHOOSE(MATCH(INDEX(時間ごとの判定!$AH$3:$AH$1850,680),{"利用可","両方停止","運転がそろわない","判定不能"},0),"○","停","×","－"),"")</f>
        <v>×</v>
      </c>
      <c r="K32" s="35" t="str">
        <f aca="false">IFERROR(CHOOSE(MATCH(INDEX(時間ごとの判定!$AH$3:$AH$1850,681),{"利用可","両方停止","運転がそろわない","判定不能"},0),"○","停","×","－"),"")</f>
        <v>○</v>
      </c>
      <c r="L32" s="35" t="str">
        <f aca="false">IFERROR(CHOOSE(MATCH(INDEX(時間ごとの判定!$AH$3:$AH$1850,682),{"利用可","両方停止","運転がそろわない","判定不能"},0),"○","停","×","－"),"")</f>
        <v>○</v>
      </c>
      <c r="M32" s="35" t="str">
        <f aca="false">IFERROR(CHOOSE(MATCH(INDEX(時間ごとの判定!$AH$3:$AH$1850,683),{"利用可","両方停止","運転がそろわない","判定不能"},0),"○","停","×","－"),"")</f>
        <v>○</v>
      </c>
      <c r="N32" s="35" t="str">
        <f aca="false">IFERROR(CHOOSE(MATCH(INDEX(時間ごとの判定!$AH$3:$AH$1850,684),{"利用可","両方停止","運転がそろわない","判定不能"},0),"○","停","×","－"),"")</f>
        <v>○</v>
      </c>
      <c r="O32" s="35" t="str">
        <f aca="false">IFERROR(CHOOSE(MATCH(INDEX(時間ごとの判定!$AH$3:$AH$1850,685),{"利用可","両方停止","運転がそろわない","判定不能"},0),"○","停","×","－"),"")</f>
        <v>○</v>
      </c>
      <c r="P32" s="35" t="str">
        <f aca="false">IFERROR(CHOOSE(MATCH(INDEX(時間ごとの判定!$AH$3:$AH$1850,686),{"利用可","両方停止","運転がそろわない","判定不能"},0),"○","停","×","－"),"")</f>
        <v>○</v>
      </c>
      <c r="Q32" s="35" t="str">
        <f aca="false">IFERROR(CHOOSE(MATCH(INDEX(時間ごとの判定!$AH$3:$AH$1850,687),{"利用可","両方停止","運転がそろわない","判定不能"},0),"○","停","×","－"),"")</f>
        <v>○</v>
      </c>
      <c r="R32" s="35" t="str">
        <f aca="false">IFERROR(CHOOSE(MATCH(INDEX(時間ごとの判定!$AH$3:$AH$1850,688),{"利用可","両方停止","運転がそろわない","判定不能"},0),"○","停","×","－"),"")</f>
        <v>○</v>
      </c>
      <c r="S32" s="35" t="str">
        <f aca="false">IFERROR(CHOOSE(MATCH(INDEX(時間ごとの判定!$AH$3:$AH$1850,689),{"利用可","両方停止","運転がそろわない","判定不能"},0),"○","停","×","－"),"")</f>
        <v>○</v>
      </c>
      <c r="T32" s="35" t="str">
        <f aca="false">IFERROR(CHOOSE(MATCH(INDEX(時間ごとの判定!$AH$3:$AH$1850,690),{"利用可","両方停止","運転がそろわない","判定不能"},0),"○","停","×","－"),"")</f>
        <v>○</v>
      </c>
      <c r="U32" s="35" t="str">
        <f aca="false">IFERROR(CHOOSE(MATCH(INDEX(時間ごとの判定!$AH$3:$AH$1850,691),{"利用可","両方停止","運転がそろわない","判定不能"},0),"○","停","×","－"),"")</f>
        <v>×</v>
      </c>
      <c r="V32" s="35" t="str">
        <f aca="false">IFERROR(CHOOSE(MATCH(INDEX(時間ごとの判定!$AH$3:$AH$1850,692),{"利用可","両方停止","運転がそろわない","判定不能"},0),"○","停","×","－"),"")</f>
        <v>○</v>
      </c>
      <c r="W32" s="35" t="str">
        <f aca="false">IFERROR(CHOOSE(MATCH(INDEX(時間ごとの判定!$AH$3:$AH$1850,693),{"利用可","両方停止","運転がそろわない","判定不能"},0),"○","停","×","－"),"")</f>
        <v>×</v>
      </c>
      <c r="X32" s="35" t="str">
        <f aca="false">IFERROR(CHOOSE(MATCH(INDEX(時間ごとの判定!$AH$3:$AH$1850,694),{"利用可","両方停止","運転がそろわない","判定不能"},0),"○","停","×","－"),"")</f>
        <v>停</v>
      </c>
      <c r="Y32" s="35" t="str">
        <f aca="false">IFERROR(CHOOSE(MATCH(INDEX(時間ごとの判定!$AH$3:$AH$1850,695),{"利用可","両方停止","運転がそろわない","判定不能"},0),"○","停","×","－"),"")</f>
        <v>停</v>
      </c>
      <c r="Z32" s="35" t="str">
        <f aca="false">IFERROR(CHOOSE(MATCH(INDEX(時間ごとの判定!$AH$3:$AH$1850,696),{"利用可","両方停止","運転がそろわない","判定不能"},0),"○","停","×","－"),"")</f>
        <v>停</v>
      </c>
      <c r="AA32" s="35"/>
      <c r="AB32" s="35" t="str">
        <f aca="false">IFERROR(CHOOSE(MATCH(INDEX(時間ごとの判定!$AK$3:$AK$1850,673),{"利用可","両方停止","運転がそろわない","判定不能"},0),"○","停","×","－"),"")</f>
        <v>－</v>
      </c>
      <c r="AC32" s="35" t="str">
        <f aca="false">IFERROR(CHOOSE(MATCH(INDEX(時間ごとの判定!$AK$3:$AK$1850,674),{"利用可","両方停止","運転がそろわない","判定不能"},0),"○","停","×","－"),"")</f>
        <v>－</v>
      </c>
      <c r="AD32" s="35" t="str">
        <f aca="false">IFERROR(CHOOSE(MATCH(INDEX(時間ごとの判定!$AK$3:$AK$1850,675),{"利用可","両方停止","運転がそろわない","判定不能"},0),"○","停","×","－"),"")</f>
        <v>－</v>
      </c>
      <c r="AE32" s="35" t="str">
        <f aca="false">IFERROR(CHOOSE(MATCH(INDEX(時間ごとの判定!$AK$3:$AK$1850,676),{"利用可","両方停止","運転がそろわない","判定不能"},0),"○","停","×","－"),"")</f>
        <v>－</v>
      </c>
      <c r="AF32" s="35" t="str">
        <f aca="false">IFERROR(CHOOSE(MATCH(INDEX(時間ごとの判定!$AK$3:$AK$1850,677),{"利用可","両方停止","運転がそろわない","判定不能"},0),"○","停","×","－"),"")</f>
        <v>－</v>
      </c>
      <c r="AG32" s="35" t="str">
        <f aca="false">IFERROR(CHOOSE(MATCH(INDEX(時間ごとの判定!$AK$3:$AK$1850,678),{"利用可","両方停止","運転がそろわない","判定不能"},0),"○","停","×","－"),"")</f>
        <v>－</v>
      </c>
      <c r="AH32" s="35" t="str">
        <f aca="false">IFERROR(CHOOSE(MATCH(INDEX(時間ごとの判定!$AK$3:$AK$1850,679),{"利用可","両方停止","運転がそろわない","判定不能"},0),"○","停","×","－"),"")</f>
        <v>－</v>
      </c>
      <c r="AI32" s="35" t="str">
        <f aca="false">IFERROR(CHOOSE(MATCH(INDEX(時間ごとの判定!$AK$3:$AK$1850,680),{"利用可","両方停止","運転がそろわない","判定不能"},0),"○","停","×","－"),"")</f>
        <v>－</v>
      </c>
      <c r="AJ32" s="35" t="str">
        <f aca="false">IFERROR(CHOOSE(MATCH(INDEX(時間ごとの判定!$AK$3:$AK$1850,681),{"利用可","両方停止","運転がそろわない","判定不能"},0),"○","停","×","－"),"")</f>
        <v>－</v>
      </c>
      <c r="AK32" s="35" t="str">
        <f aca="false">IFERROR(CHOOSE(MATCH(INDEX(時間ごとの判定!$AK$3:$AK$1850,682),{"利用可","両方停止","運転がそろわない","判定不能"},0),"○","停","×","－"),"")</f>
        <v>－</v>
      </c>
      <c r="AL32" s="35" t="str">
        <f aca="false">IFERROR(CHOOSE(MATCH(INDEX(時間ごとの判定!$AK$3:$AK$1850,683),{"利用可","両方停止","運転がそろわない","判定不能"},0),"○","停","×","－"),"")</f>
        <v>－</v>
      </c>
      <c r="AM32" s="35" t="str">
        <f aca="false">IFERROR(CHOOSE(MATCH(INDEX(時間ごとの判定!$AK$3:$AK$1850,684),{"利用可","両方停止","運転がそろわない","判定不能"},0),"○","停","×","－"),"")</f>
        <v>－</v>
      </c>
      <c r="AN32" s="35" t="str">
        <f aca="false">IFERROR(CHOOSE(MATCH(INDEX(時間ごとの判定!$AK$3:$AK$1850,685),{"利用可","両方停止","運転がそろわない","判定不能"},0),"○","停","×","－"),"")</f>
        <v>－</v>
      </c>
      <c r="AO32" s="35" t="str">
        <f aca="false">IFERROR(CHOOSE(MATCH(INDEX(時間ごとの判定!$AK$3:$AK$1850,686),{"利用可","両方停止","運転がそろわない","判定不能"},0),"○","停","×","－"),"")</f>
        <v>－</v>
      </c>
      <c r="AP32" s="35" t="str">
        <f aca="false">IFERROR(CHOOSE(MATCH(INDEX(時間ごとの判定!$AK$3:$AK$1850,687),{"利用可","両方停止","運転がそろわない","判定不能"},0),"○","停","×","－"),"")</f>
        <v>－</v>
      </c>
      <c r="AQ32" s="35" t="str">
        <f aca="false">IFERROR(CHOOSE(MATCH(INDEX(時間ごとの判定!$AK$3:$AK$1850,688),{"利用可","両方停止","運転がそろわない","判定不能"},0),"○","停","×","－"),"")</f>
        <v>－</v>
      </c>
      <c r="AR32" s="35" t="str">
        <f aca="false">IFERROR(CHOOSE(MATCH(INDEX(時間ごとの判定!$AK$3:$AK$1850,689),{"利用可","両方停止","運転がそろわない","判定不能"},0),"○","停","×","－"),"")</f>
        <v>－</v>
      </c>
      <c r="AS32" s="35" t="str">
        <f aca="false">IFERROR(CHOOSE(MATCH(INDEX(時間ごとの判定!$AK$3:$AK$1850,690),{"利用可","両方停止","運転がそろわない","判定不能"},0),"○","停","×","－"),"")</f>
        <v>－</v>
      </c>
      <c r="AT32" s="35" t="str">
        <f aca="false">IFERROR(CHOOSE(MATCH(INDEX(時間ごとの判定!$AK$3:$AK$1850,691),{"利用可","両方停止","運転がそろわない","判定不能"},0),"○","停","×","－"),"")</f>
        <v>－</v>
      </c>
      <c r="AU32" s="35" t="str">
        <f aca="false">IFERROR(CHOOSE(MATCH(INDEX(時間ごとの判定!$AK$3:$AK$1850,692),{"利用可","両方停止","運転がそろわない","判定不能"},0),"○","停","×","－"),"")</f>
        <v>－</v>
      </c>
      <c r="AV32" s="35" t="str">
        <f aca="false">IFERROR(CHOOSE(MATCH(INDEX(時間ごとの判定!$AK$3:$AK$1850,693),{"利用可","両方停止","運転がそろわない","判定不能"},0),"○","停","×","－"),"")</f>
        <v>－</v>
      </c>
      <c r="AW32" s="35" t="str">
        <f aca="false">IFERROR(CHOOSE(MATCH(INDEX(時間ごとの判定!$AK$3:$AK$1850,694),{"利用可","両方停止","運転がそろわない","判定不能"},0),"○","停","×","－"),"")</f>
        <v>－</v>
      </c>
      <c r="AX32" s="35" t="str">
        <f aca="false">IFERROR(CHOOSE(MATCH(INDEX(時間ごとの判定!$AK$3:$AK$1850,695),{"利用可","両方停止","運転がそろわない","判定不能"},0),"○","停","×","－"),"")</f>
        <v>－</v>
      </c>
      <c r="AY32" s="35" t="str">
        <f aca="false">IFERROR(CHOOSE(MATCH(INDEX(時間ごとの判定!$AK$3:$AK$1850,696),{"利用可","両方停止","運転がそろわない","判定不能"},0),"○","停","×","－"),"")</f>
        <v>－</v>
      </c>
      <c r="AZ32" s="35"/>
      <c r="BA32" s="35" t="str">
        <f aca="false">IFERROR(CHOOSE(MATCH(INDEX(時間ごとの判定!$AN$3:$AN$1850,673),{"利用可","両方停止","運転がそろわない","判定不能"},0),"○","停","×","－"),"")</f>
        <v>×</v>
      </c>
      <c r="BB32" s="35" t="str">
        <f aca="false">IFERROR(CHOOSE(MATCH(INDEX(時間ごとの判定!$AN$3:$AN$1850,674),{"利用可","両方停止","運転がそろわない","判定不能"},0),"○","停","×","－"),"")</f>
        <v>停</v>
      </c>
      <c r="BC32" s="35" t="str">
        <f aca="false">IFERROR(CHOOSE(MATCH(INDEX(時間ごとの判定!$AN$3:$AN$1850,675),{"利用可","両方停止","運転がそろわない","判定不能"},0),"○","停","×","－"),"")</f>
        <v>停</v>
      </c>
      <c r="BD32" s="35" t="str">
        <f aca="false">IFERROR(CHOOSE(MATCH(INDEX(時間ごとの判定!$AN$3:$AN$1850,676),{"利用可","両方停止","運転がそろわない","判定不能"},0),"○","停","×","－"),"")</f>
        <v>停</v>
      </c>
      <c r="BE32" s="35" t="str">
        <f aca="false">IFERROR(CHOOSE(MATCH(INDEX(時間ごとの判定!$AN$3:$AN$1850,677),{"利用可","両方停止","運転がそろわない","判定不能"},0),"○","停","×","－"),"")</f>
        <v>停</v>
      </c>
      <c r="BF32" s="35" t="str">
        <f aca="false">IFERROR(CHOOSE(MATCH(INDEX(時間ごとの判定!$AN$3:$AN$1850,678),{"利用可","両方停止","運転がそろわない","判定不能"},0),"○","停","×","－"),"")</f>
        <v>停</v>
      </c>
      <c r="BG32" s="35" t="str">
        <f aca="false">IFERROR(CHOOSE(MATCH(INDEX(時間ごとの判定!$AN$3:$AN$1850,679),{"利用可","両方停止","運転がそろわない","判定不能"},0),"○","停","×","－"),"")</f>
        <v>停</v>
      </c>
      <c r="BH32" s="35" t="str">
        <f aca="false">IFERROR(CHOOSE(MATCH(INDEX(時間ごとの判定!$AN$3:$AN$1850,680),{"利用可","両方停止","運転がそろわない","判定不能"},0),"○","停","×","－"),"")</f>
        <v>×</v>
      </c>
      <c r="BI32" s="35" t="str">
        <f aca="false">IFERROR(CHOOSE(MATCH(INDEX(時間ごとの判定!$AN$3:$AN$1850,681),{"利用可","両方停止","運転がそろわない","判定不能"},0),"○","停","×","－"),"")</f>
        <v>○</v>
      </c>
      <c r="BJ32" s="35" t="str">
        <f aca="false">IFERROR(CHOOSE(MATCH(INDEX(時間ごとの判定!$AN$3:$AN$1850,682),{"利用可","両方停止","運転がそろわない","判定不能"},0),"○","停","×","－"),"")</f>
        <v>○</v>
      </c>
      <c r="BK32" s="35" t="str">
        <f aca="false">IFERROR(CHOOSE(MATCH(INDEX(時間ごとの判定!$AN$3:$AN$1850,683),{"利用可","両方停止","運転がそろわない","判定不能"},0),"○","停","×","－"),"")</f>
        <v>○</v>
      </c>
      <c r="BL32" s="35" t="str">
        <f aca="false">IFERROR(CHOOSE(MATCH(INDEX(時間ごとの判定!$AN$3:$AN$1850,684),{"利用可","両方停止","運転がそろわない","判定不能"},0),"○","停","×","－"),"")</f>
        <v>○</v>
      </c>
      <c r="BM32" s="35" t="str">
        <f aca="false">IFERROR(CHOOSE(MATCH(INDEX(時間ごとの判定!$AN$3:$AN$1850,685),{"利用可","両方停止","運転がそろわない","判定不能"},0),"○","停","×","－"),"")</f>
        <v>○</v>
      </c>
      <c r="BN32" s="35" t="str">
        <f aca="false">IFERROR(CHOOSE(MATCH(INDEX(時間ごとの判定!$AN$3:$AN$1850,686),{"利用可","両方停止","運転がそろわない","判定不能"},0),"○","停","×","－"),"")</f>
        <v>○</v>
      </c>
      <c r="BO32" s="35" t="str">
        <f aca="false">IFERROR(CHOOSE(MATCH(INDEX(時間ごとの判定!$AN$3:$AN$1850,687),{"利用可","両方停止","運転がそろわない","判定不能"},0),"○","停","×","－"),"")</f>
        <v>○</v>
      </c>
      <c r="BP32" s="35" t="str">
        <f aca="false">IFERROR(CHOOSE(MATCH(INDEX(時間ごとの判定!$AN$3:$AN$1850,688),{"利用可","両方停止","運転がそろわない","判定不能"},0),"○","停","×","－"),"")</f>
        <v>○</v>
      </c>
      <c r="BQ32" s="35" t="str">
        <f aca="false">IFERROR(CHOOSE(MATCH(INDEX(時間ごとの判定!$AN$3:$AN$1850,689),{"利用可","両方停止","運転がそろわない","判定不能"},0),"○","停","×","－"),"")</f>
        <v>○</v>
      </c>
      <c r="BR32" s="35" t="str">
        <f aca="false">IFERROR(CHOOSE(MATCH(INDEX(時間ごとの判定!$AN$3:$AN$1850,690),{"利用可","両方停止","運転がそろわない","判定不能"},0),"○","停","×","－"),"")</f>
        <v>○</v>
      </c>
      <c r="BS32" s="35" t="str">
        <f aca="false">IFERROR(CHOOSE(MATCH(INDEX(時間ごとの判定!$AN$3:$AN$1850,691),{"利用可","両方停止","運転がそろわない","判定不能"},0),"○","停","×","－"),"")</f>
        <v>×</v>
      </c>
      <c r="BT32" s="35" t="str">
        <f aca="false">IFERROR(CHOOSE(MATCH(INDEX(時間ごとの判定!$AN$3:$AN$1850,692),{"利用可","両方停止","運転がそろわない","判定不能"},0),"○","停","×","－"),"")</f>
        <v>○</v>
      </c>
      <c r="BU32" s="35" t="str">
        <f aca="false">IFERROR(CHOOSE(MATCH(INDEX(時間ごとの判定!$AN$3:$AN$1850,693),{"利用可","両方停止","運転がそろわない","判定不能"},0),"○","停","×","－"),"")</f>
        <v>×</v>
      </c>
      <c r="BV32" s="35" t="str">
        <f aca="false">IFERROR(CHOOSE(MATCH(INDEX(時間ごとの判定!$AN$3:$AN$1850,694),{"利用可","両方停止","運転がそろわない","判定不能"},0),"○","停","×","－"),"")</f>
        <v>停</v>
      </c>
      <c r="BW32" s="35" t="str">
        <f aca="false">IFERROR(CHOOSE(MATCH(INDEX(時間ごとの判定!$AN$3:$AN$1850,695),{"利用可","両方停止","運転がそろわない","判定不能"},0),"○","停","×","－"),"")</f>
        <v>停</v>
      </c>
      <c r="BX32" s="35" t="str">
        <f aca="false">IFERROR(CHOOSE(MATCH(INDEX(時間ごとの判定!$AN$3:$AN$1850,696),{"利用可","両方停止","運転がそろわない","判定不能"},0),"○","停","×","－"),"")</f>
        <v>停</v>
      </c>
    </row>
    <row r="33" customFormat="false" ht="15" hidden="false" customHeight="false" outlineLevel="0" collapsed="false">
      <c r="A33" s="33" t="n">
        <v>46261</v>
      </c>
      <c r="B33" s="34" t="s">
        <v>61</v>
      </c>
      <c r="C33" s="35" t="str">
        <f aca="false">IFERROR(CHOOSE(MATCH(INDEX(時間ごとの判定!$AH$3:$AH$1850,697),{"利用可","両方停止","運転がそろわない","判定不能"},0),"○","停","×","－"),"")</f>
        <v>停</v>
      </c>
      <c r="D33" s="35" t="str">
        <f aca="false">IFERROR(CHOOSE(MATCH(INDEX(時間ごとの判定!$AH$3:$AH$1850,698),{"利用可","両方停止","運転がそろわない","判定不能"},0),"○","停","×","－"),"")</f>
        <v>停</v>
      </c>
      <c r="E33" s="35" t="str">
        <f aca="false">IFERROR(CHOOSE(MATCH(INDEX(時間ごとの判定!$AH$3:$AH$1850,699),{"利用可","両方停止","運転がそろわない","判定不能"},0),"○","停","×","－"),"")</f>
        <v>停</v>
      </c>
      <c r="F33" s="35" t="str">
        <f aca="false">IFERROR(CHOOSE(MATCH(INDEX(時間ごとの判定!$AH$3:$AH$1850,700),{"利用可","両方停止","運転がそろわない","判定不能"},0),"○","停","×","－"),"")</f>
        <v>停</v>
      </c>
      <c r="G33" s="35" t="str">
        <f aca="false">IFERROR(CHOOSE(MATCH(INDEX(時間ごとの判定!$AH$3:$AH$1850,701),{"利用可","両方停止","運転がそろわない","判定不能"},0),"○","停","×","－"),"")</f>
        <v>停</v>
      </c>
      <c r="H33" s="35" t="str">
        <f aca="false">IFERROR(CHOOSE(MATCH(INDEX(時間ごとの判定!$AH$3:$AH$1850,702),{"利用可","両方停止","運転がそろわない","判定不能"},0),"○","停","×","－"),"")</f>
        <v>停</v>
      </c>
      <c r="I33" s="35" t="str">
        <f aca="false">IFERROR(CHOOSE(MATCH(INDEX(時間ごとの判定!$AH$3:$AH$1850,703),{"利用可","両方停止","運転がそろわない","判定不能"},0),"○","停","×","－"),"")</f>
        <v>停</v>
      </c>
      <c r="J33" s="35" t="str">
        <f aca="false">IFERROR(CHOOSE(MATCH(INDEX(時間ごとの判定!$AH$3:$AH$1850,704),{"利用可","両方停止","運転がそろわない","判定不能"},0),"○","停","×","－"),"")</f>
        <v>停</v>
      </c>
      <c r="K33" s="35" t="str">
        <f aca="false">IFERROR(CHOOSE(MATCH(INDEX(時間ごとの判定!$AH$3:$AH$1850,705),{"利用可","両方停止","運転がそろわない","判定不能"},0),"○","停","×","－"),"")</f>
        <v>○</v>
      </c>
      <c r="L33" s="35" t="str">
        <f aca="false">IFERROR(CHOOSE(MATCH(INDEX(時間ごとの判定!$AH$3:$AH$1850,706),{"利用可","両方停止","運転がそろわない","判定不能"},0),"○","停","×","－"),"")</f>
        <v>○</v>
      </c>
      <c r="M33" s="35" t="str">
        <f aca="false">IFERROR(CHOOSE(MATCH(INDEX(時間ごとの判定!$AH$3:$AH$1850,707),{"利用可","両方停止","運転がそろわない","判定不能"},0),"○","停","×","－"),"")</f>
        <v>○</v>
      </c>
      <c r="N33" s="35" t="str">
        <f aca="false">IFERROR(CHOOSE(MATCH(INDEX(時間ごとの判定!$AH$3:$AH$1850,708),{"利用可","両方停止","運転がそろわない","判定不能"},0),"○","停","×","－"),"")</f>
        <v>○</v>
      </c>
      <c r="O33" s="35" t="str">
        <f aca="false">IFERROR(CHOOSE(MATCH(INDEX(時間ごとの判定!$AH$3:$AH$1850,709),{"利用可","両方停止","運転がそろわない","判定不能"},0),"○","停","×","－"),"")</f>
        <v>○</v>
      </c>
      <c r="P33" s="35" t="str">
        <f aca="false">IFERROR(CHOOSE(MATCH(INDEX(時間ごとの判定!$AH$3:$AH$1850,710),{"利用可","両方停止","運転がそろわない","判定不能"},0),"○","停","×","－"),"")</f>
        <v>○</v>
      </c>
      <c r="Q33" s="35" t="str">
        <f aca="false">IFERROR(CHOOSE(MATCH(INDEX(時間ごとの判定!$AH$3:$AH$1850,711),{"利用可","両方停止","運転がそろわない","判定不能"},0),"○","停","×","－"),"")</f>
        <v>○</v>
      </c>
      <c r="R33" s="35" t="str">
        <f aca="false">IFERROR(CHOOSE(MATCH(INDEX(時間ごとの判定!$AH$3:$AH$1850,712),{"利用可","両方停止","運転がそろわない","判定不能"},0),"○","停","×","－"),"")</f>
        <v>○</v>
      </c>
      <c r="S33" s="35" t="str">
        <f aca="false">IFERROR(CHOOSE(MATCH(INDEX(時間ごとの判定!$AH$3:$AH$1850,713),{"利用可","両方停止","運転がそろわない","判定不能"},0),"○","停","×","－"),"")</f>
        <v>×</v>
      </c>
      <c r="T33" s="35" t="str">
        <f aca="false">IFERROR(CHOOSE(MATCH(INDEX(時間ごとの判定!$AH$3:$AH$1850,714),{"利用可","両方停止","運転がそろわない","判定不能"},0),"○","停","×","－"),"")</f>
        <v>○</v>
      </c>
      <c r="U33" s="35" t="str">
        <f aca="false">IFERROR(CHOOSE(MATCH(INDEX(時間ごとの判定!$AH$3:$AH$1850,715),{"利用可","両方停止","運転がそろわない","判定不能"},0),"○","停","×","－"),"")</f>
        <v>○</v>
      </c>
      <c r="V33" s="35" t="str">
        <f aca="false">IFERROR(CHOOSE(MATCH(INDEX(時間ごとの判定!$AH$3:$AH$1850,716),{"利用可","両方停止","運転がそろわない","判定不能"},0),"○","停","×","－"),"")</f>
        <v>○</v>
      </c>
      <c r="W33" s="35" t="str">
        <f aca="false">IFERROR(CHOOSE(MATCH(INDEX(時間ごとの判定!$AH$3:$AH$1850,717),{"利用可","両方停止","運転がそろわない","判定不能"},0),"○","停","×","－"),"")</f>
        <v>×</v>
      </c>
      <c r="X33" s="35" t="str">
        <f aca="false">IFERROR(CHOOSE(MATCH(INDEX(時間ごとの判定!$AH$3:$AH$1850,718),{"利用可","両方停止","運転がそろわない","判定不能"},0),"○","停","×","－"),"")</f>
        <v>×</v>
      </c>
      <c r="Y33" s="35" t="str">
        <f aca="false">IFERROR(CHOOSE(MATCH(INDEX(時間ごとの判定!$AH$3:$AH$1850,719),{"利用可","両方停止","運転がそろわない","判定不能"},0),"○","停","×","－"),"")</f>
        <v>停</v>
      </c>
      <c r="Z33" s="35" t="str">
        <f aca="false">IFERROR(CHOOSE(MATCH(INDEX(時間ごとの判定!$AH$3:$AH$1850,720),{"利用可","両方停止","運転がそろわない","判定不能"},0),"○","停","×","－"),"")</f>
        <v>停</v>
      </c>
      <c r="AA33" s="35"/>
      <c r="AB33" s="35" t="str">
        <f aca="false">IFERROR(CHOOSE(MATCH(INDEX(時間ごとの判定!$AK$3:$AK$1850,697),{"利用可","両方停止","運転がそろわない","判定不能"},0),"○","停","×","－"),"")</f>
        <v>－</v>
      </c>
      <c r="AC33" s="35" t="str">
        <f aca="false">IFERROR(CHOOSE(MATCH(INDEX(時間ごとの判定!$AK$3:$AK$1850,698),{"利用可","両方停止","運転がそろわない","判定不能"},0),"○","停","×","－"),"")</f>
        <v>－</v>
      </c>
      <c r="AD33" s="35" t="str">
        <f aca="false">IFERROR(CHOOSE(MATCH(INDEX(時間ごとの判定!$AK$3:$AK$1850,699),{"利用可","両方停止","運転がそろわない","判定不能"},0),"○","停","×","－"),"")</f>
        <v>－</v>
      </c>
      <c r="AE33" s="35" t="str">
        <f aca="false">IFERROR(CHOOSE(MATCH(INDEX(時間ごとの判定!$AK$3:$AK$1850,700),{"利用可","両方停止","運転がそろわない","判定不能"},0),"○","停","×","－"),"")</f>
        <v>－</v>
      </c>
      <c r="AF33" s="35" t="str">
        <f aca="false">IFERROR(CHOOSE(MATCH(INDEX(時間ごとの判定!$AK$3:$AK$1850,701),{"利用可","両方停止","運転がそろわない","判定不能"},0),"○","停","×","－"),"")</f>
        <v>－</v>
      </c>
      <c r="AG33" s="35" t="str">
        <f aca="false">IFERROR(CHOOSE(MATCH(INDEX(時間ごとの判定!$AK$3:$AK$1850,702),{"利用可","両方停止","運転がそろわない","判定不能"},0),"○","停","×","－"),"")</f>
        <v>－</v>
      </c>
      <c r="AH33" s="35" t="str">
        <f aca="false">IFERROR(CHOOSE(MATCH(INDEX(時間ごとの判定!$AK$3:$AK$1850,703),{"利用可","両方停止","運転がそろわない","判定不能"},0),"○","停","×","－"),"")</f>
        <v>－</v>
      </c>
      <c r="AI33" s="35" t="str">
        <f aca="false">IFERROR(CHOOSE(MATCH(INDEX(時間ごとの判定!$AK$3:$AK$1850,704),{"利用可","両方停止","運転がそろわない","判定不能"},0),"○","停","×","－"),"")</f>
        <v>－</v>
      </c>
      <c r="AJ33" s="35" t="str">
        <f aca="false">IFERROR(CHOOSE(MATCH(INDEX(時間ごとの判定!$AK$3:$AK$1850,705),{"利用可","両方停止","運転がそろわない","判定不能"},0),"○","停","×","－"),"")</f>
        <v>－</v>
      </c>
      <c r="AK33" s="35" t="str">
        <f aca="false">IFERROR(CHOOSE(MATCH(INDEX(時間ごとの判定!$AK$3:$AK$1850,706),{"利用可","両方停止","運転がそろわない","判定不能"},0),"○","停","×","－"),"")</f>
        <v>－</v>
      </c>
      <c r="AL33" s="35" t="str">
        <f aca="false">IFERROR(CHOOSE(MATCH(INDEX(時間ごとの判定!$AK$3:$AK$1850,707),{"利用可","両方停止","運転がそろわない","判定不能"},0),"○","停","×","－"),"")</f>
        <v>－</v>
      </c>
      <c r="AM33" s="35" t="str">
        <f aca="false">IFERROR(CHOOSE(MATCH(INDEX(時間ごとの判定!$AK$3:$AK$1850,708),{"利用可","両方停止","運転がそろわない","判定不能"},0),"○","停","×","－"),"")</f>
        <v>－</v>
      </c>
      <c r="AN33" s="35" t="str">
        <f aca="false">IFERROR(CHOOSE(MATCH(INDEX(時間ごとの判定!$AK$3:$AK$1850,709),{"利用可","両方停止","運転がそろわない","判定不能"},0),"○","停","×","－"),"")</f>
        <v>－</v>
      </c>
      <c r="AO33" s="35" t="str">
        <f aca="false">IFERROR(CHOOSE(MATCH(INDEX(時間ごとの判定!$AK$3:$AK$1850,710),{"利用可","両方停止","運転がそろわない","判定不能"},0),"○","停","×","－"),"")</f>
        <v>－</v>
      </c>
      <c r="AP33" s="35" t="str">
        <f aca="false">IFERROR(CHOOSE(MATCH(INDEX(時間ごとの判定!$AK$3:$AK$1850,711),{"利用可","両方停止","運転がそろわない","判定不能"},0),"○","停","×","－"),"")</f>
        <v>－</v>
      </c>
      <c r="AQ33" s="35" t="str">
        <f aca="false">IFERROR(CHOOSE(MATCH(INDEX(時間ごとの判定!$AK$3:$AK$1850,712),{"利用可","両方停止","運転がそろわない","判定不能"},0),"○","停","×","－"),"")</f>
        <v>－</v>
      </c>
      <c r="AR33" s="35" t="str">
        <f aca="false">IFERROR(CHOOSE(MATCH(INDEX(時間ごとの判定!$AK$3:$AK$1850,713),{"利用可","両方停止","運転がそろわない","判定不能"},0),"○","停","×","－"),"")</f>
        <v>－</v>
      </c>
      <c r="AS33" s="35" t="str">
        <f aca="false">IFERROR(CHOOSE(MATCH(INDEX(時間ごとの判定!$AK$3:$AK$1850,714),{"利用可","両方停止","運転がそろわない","判定不能"},0),"○","停","×","－"),"")</f>
        <v>－</v>
      </c>
      <c r="AT33" s="35" t="str">
        <f aca="false">IFERROR(CHOOSE(MATCH(INDEX(時間ごとの判定!$AK$3:$AK$1850,715),{"利用可","両方停止","運転がそろわない","判定不能"},0),"○","停","×","－"),"")</f>
        <v>－</v>
      </c>
      <c r="AU33" s="35" t="str">
        <f aca="false">IFERROR(CHOOSE(MATCH(INDEX(時間ごとの判定!$AK$3:$AK$1850,716),{"利用可","両方停止","運転がそろわない","判定不能"},0),"○","停","×","－"),"")</f>
        <v>－</v>
      </c>
      <c r="AV33" s="35" t="str">
        <f aca="false">IFERROR(CHOOSE(MATCH(INDEX(時間ごとの判定!$AK$3:$AK$1850,717),{"利用可","両方停止","運転がそろわない","判定不能"},0),"○","停","×","－"),"")</f>
        <v>－</v>
      </c>
      <c r="AW33" s="35" t="str">
        <f aca="false">IFERROR(CHOOSE(MATCH(INDEX(時間ごとの判定!$AK$3:$AK$1850,718),{"利用可","両方停止","運転がそろわない","判定不能"},0),"○","停","×","－"),"")</f>
        <v>－</v>
      </c>
      <c r="AX33" s="35" t="str">
        <f aca="false">IFERROR(CHOOSE(MATCH(INDEX(時間ごとの判定!$AK$3:$AK$1850,719),{"利用可","両方停止","運転がそろわない","判定不能"},0),"○","停","×","－"),"")</f>
        <v>－</v>
      </c>
      <c r="AY33" s="35" t="str">
        <f aca="false">IFERROR(CHOOSE(MATCH(INDEX(時間ごとの判定!$AK$3:$AK$1850,720),{"利用可","両方停止","運転がそろわない","判定不能"},0),"○","停","×","－"),"")</f>
        <v>－</v>
      </c>
      <c r="AZ33" s="35"/>
      <c r="BA33" s="35" t="str">
        <f aca="false">IFERROR(CHOOSE(MATCH(INDEX(時間ごとの判定!$AN$3:$AN$1850,697),{"利用可","両方停止","運転がそろわない","判定不能"},0),"○","停","×","－"),"")</f>
        <v>停</v>
      </c>
      <c r="BB33" s="35" t="str">
        <f aca="false">IFERROR(CHOOSE(MATCH(INDEX(時間ごとの判定!$AN$3:$AN$1850,698),{"利用可","両方停止","運転がそろわない","判定不能"},0),"○","停","×","－"),"")</f>
        <v>停</v>
      </c>
      <c r="BC33" s="35" t="str">
        <f aca="false">IFERROR(CHOOSE(MATCH(INDEX(時間ごとの判定!$AN$3:$AN$1850,699),{"利用可","両方停止","運転がそろわない","判定不能"},0),"○","停","×","－"),"")</f>
        <v>停</v>
      </c>
      <c r="BD33" s="35" t="str">
        <f aca="false">IFERROR(CHOOSE(MATCH(INDEX(時間ごとの判定!$AN$3:$AN$1850,700),{"利用可","両方停止","運転がそろわない","判定不能"},0),"○","停","×","－"),"")</f>
        <v>停</v>
      </c>
      <c r="BE33" s="35" t="str">
        <f aca="false">IFERROR(CHOOSE(MATCH(INDEX(時間ごとの判定!$AN$3:$AN$1850,701),{"利用可","両方停止","運転がそろわない","判定不能"},0),"○","停","×","－"),"")</f>
        <v>停</v>
      </c>
      <c r="BF33" s="35" t="str">
        <f aca="false">IFERROR(CHOOSE(MATCH(INDEX(時間ごとの判定!$AN$3:$AN$1850,702),{"利用可","両方停止","運転がそろわない","判定不能"},0),"○","停","×","－"),"")</f>
        <v>停</v>
      </c>
      <c r="BG33" s="35" t="str">
        <f aca="false">IFERROR(CHOOSE(MATCH(INDEX(時間ごとの判定!$AN$3:$AN$1850,703),{"利用可","両方停止","運転がそろわない","判定不能"},0),"○","停","×","－"),"")</f>
        <v>停</v>
      </c>
      <c r="BH33" s="35" t="str">
        <f aca="false">IFERROR(CHOOSE(MATCH(INDEX(時間ごとの判定!$AN$3:$AN$1850,704),{"利用可","両方停止","運転がそろわない","判定不能"},0),"○","停","×","－"),"")</f>
        <v>×</v>
      </c>
      <c r="BI33" s="35" t="str">
        <f aca="false">IFERROR(CHOOSE(MATCH(INDEX(時間ごとの判定!$AN$3:$AN$1850,705),{"利用可","両方停止","運転がそろわない","判定不能"},0),"○","停","×","－"),"")</f>
        <v>×</v>
      </c>
      <c r="BJ33" s="35" t="str">
        <f aca="false">IFERROR(CHOOSE(MATCH(INDEX(時間ごとの判定!$AN$3:$AN$1850,706),{"利用可","両方停止","運転がそろわない","判定不能"},0),"○","停","×","－"),"")</f>
        <v>○</v>
      </c>
      <c r="BK33" s="35" t="str">
        <f aca="false">IFERROR(CHOOSE(MATCH(INDEX(時間ごとの判定!$AN$3:$AN$1850,707),{"利用可","両方停止","運転がそろわない","判定不能"},0),"○","停","×","－"),"")</f>
        <v>○</v>
      </c>
      <c r="BL33" s="35" t="str">
        <f aca="false">IFERROR(CHOOSE(MATCH(INDEX(時間ごとの判定!$AN$3:$AN$1850,708),{"利用可","両方停止","運転がそろわない","判定不能"},0),"○","停","×","－"),"")</f>
        <v>○</v>
      </c>
      <c r="BM33" s="35" t="str">
        <f aca="false">IFERROR(CHOOSE(MATCH(INDEX(時間ごとの判定!$AN$3:$AN$1850,709),{"利用可","両方停止","運転がそろわない","判定不能"},0),"○","停","×","－"),"")</f>
        <v>○</v>
      </c>
      <c r="BN33" s="35" t="str">
        <f aca="false">IFERROR(CHOOSE(MATCH(INDEX(時間ごとの判定!$AN$3:$AN$1850,710),{"利用可","両方停止","運転がそろわない","判定不能"},0),"○","停","×","－"),"")</f>
        <v>○</v>
      </c>
      <c r="BO33" s="35" t="str">
        <f aca="false">IFERROR(CHOOSE(MATCH(INDEX(時間ごとの判定!$AN$3:$AN$1850,711),{"利用可","両方停止","運転がそろわない","判定不能"},0),"○","停","×","－"),"")</f>
        <v>○</v>
      </c>
      <c r="BP33" s="35" t="str">
        <f aca="false">IFERROR(CHOOSE(MATCH(INDEX(時間ごとの判定!$AN$3:$AN$1850,712),{"利用可","両方停止","運転がそろわない","判定不能"},0),"○","停","×","－"),"")</f>
        <v>○</v>
      </c>
      <c r="BQ33" s="35" t="str">
        <f aca="false">IFERROR(CHOOSE(MATCH(INDEX(時間ごとの判定!$AN$3:$AN$1850,713),{"利用可","両方停止","運転がそろわない","判定不能"},0),"○","停","×","－"),"")</f>
        <v>○</v>
      </c>
      <c r="BR33" s="35" t="str">
        <f aca="false">IFERROR(CHOOSE(MATCH(INDEX(時間ごとの判定!$AN$3:$AN$1850,714),{"利用可","両方停止","運転がそろわない","判定不能"},0),"○","停","×","－"),"")</f>
        <v>○</v>
      </c>
      <c r="BS33" s="35" t="str">
        <f aca="false">IFERROR(CHOOSE(MATCH(INDEX(時間ごとの判定!$AN$3:$AN$1850,715),{"利用可","両方停止","運転がそろわない","判定不能"},0),"○","停","×","－"),"")</f>
        <v>×</v>
      </c>
      <c r="BT33" s="35" t="str">
        <f aca="false">IFERROR(CHOOSE(MATCH(INDEX(時間ごとの判定!$AN$3:$AN$1850,716),{"利用可","両方停止","運転がそろわない","判定不能"},0),"○","停","×","－"),"")</f>
        <v>○</v>
      </c>
      <c r="BU33" s="35" t="str">
        <f aca="false">IFERROR(CHOOSE(MATCH(INDEX(時間ごとの判定!$AN$3:$AN$1850,717),{"利用可","両方停止","運転がそろわない","判定不能"},0),"○","停","×","－"),"")</f>
        <v>×</v>
      </c>
      <c r="BV33" s="35" t="str">
        <f aca="false">IFERROR(CHOOSE(MATCH(INDEX(時間ごとの判定!$AN$3:$AN$1850,718),{"利用可","両方停止","運転がそろわない","判定不能"},0),"○","停","×","－"),"")</f>
        <v>×</v>
      </c>
      <c r="BW33" s="35" t="str">
        <f aca="false">IFERROR(CHOOSE(MATCH(INDEX(時間ごとの判定!$AN$3:$AN$1850,719),{"利用可","両方停止","運転がそろわない","判定不能"},0),"○","停","×","－"),"")</f>
        <v>×</v>
      </c>
      <c r="BX33" s="35" t="str">
        <f aca="false">IFERROR(CHOOSE(MATCH(INDEX(時間ごとの判定!$AN$3:$AN$1850,720),{"利用可","両方停止","運転がそろわない","判定不能"},0),"○","停","×","－"),"")</f>
        <v>停</v>
      </c>
    </row>
    <row r="34" customFormat="false" ht="15" hidden="false" customHeight="false" outlineLevel="0" collapsed="false">
      <c r="A34" s="33" t="n">
        <v>46262</v>
      </c>
      <c r="B34" s="34" t="s">
        <v>62</v>
      </c>
      <c r="C34" s="35" t="str">
        <f aca="false">IFERROR(CHOOSE(MATCH(INDEX(時間ごとの判定!$AH$3:$AH$1850,721),{"利用可","両方停止","運転がそろわない","判定不能"},0),"○","停","×","－"),"")</f>
        <v>停</v>
      </c>
      <c r="D34" s="35" t="str">
        <f aca="false">IFERROR(CHOOSE(MATCH(INDEX(時間ごとの判定!$AH$3:$AH$1850,722),{"利用可","両方停止","運転がそろわない","判定不能"},0),"○","停","×","－"),"")</f>
        <v>停</v>
      </c>
      <c r="E34" s="35" t="str">
        <f aca="false">IFERROR(CHOOSE(MATCH(INDEX(時間ごとの判定!$AH$3:$AH$1850,723),{"利用可","両方停止","運転がそろわない","判定不能"},0),"○","停","×","－"),"")</f>
        <v>停</v>
      </c>
      <c r="F34" s="35" t="str">
        <f aca="false">IFERROR(CHOOSE(MATCH(INDEX(時間ごとの判定!$AH$3:$AH$1850,724),{"利用可","両方停止","運転がそろわない","判定不能"},0),"○","停","×","－"),"")</f>
        <v>停</v>
      </c>
      <c r="G34" s="35" t="str">
        <f aca="false">IFERROR(CHOOSE(MATCH(INDEX(時間ごとの判定!$AH$3:$AH$1850,725),{"利用可","両方停止","運転がそろわない","判定不能"},0),"○","停","×","－"),"")</f>
        <v>停</v>
      </c>
      <c r="H34" s="35" t="str">
        <f aca="false">IFERROR(CHOOSE(MATCH(INDEX(時間ごとの判定!$AH$3:$AH$1850,726),{"利用可","両方停止","運転がそろわない","判定不能"},0),"○","停","×","－"),"")</f>
        <v>停</v>
      </c>
      <c r="I34" s="35" t="str">
        <f aca="false">IFERROR(CHOOSE(MATCH(INDEX(時間ごとの判定!$AH$3:$AH$1850,727),{"利用可","両方停止","運転がそろわない","判定不能"},0),"○","停","×","－"),"")</f>
        <v>停</v>
      </c>
      <c r="J34" s="35" t="str">
        <f aca="false">IFERROR(CHOOSE(MATCH(INDEX(時間ごとの判定!$AH$3:$AH$1850,728),{"利用可","両方停止","運転がそろわない","判定不能"},0),"○","停","×","－"),"")</f>
        <v>×</v>
      </c>
      <c r="K34" s="35" t="str">
        <f aca="false">IFERROR(CHOOSE(MATCH(INDEX(時間ごとの判定!$AH$3:$AH$1850,729),{"利用可","両方停止","運転がそろわない","判定不能"},0),"○","停","×","－"),"")</f>
        <v>×</v>
      </c>
      <c r="L34" s="35" t="str">
        <f aca="false">IFERROR(CHOOSE(MATCH(INDEX(時間ごとの判定!$AH$3:$AH$1850,730),{"利用可","両方停止","運転がそろわない","判定不能"},0),"○","停","×","－"),"")</f>
        <v>×</v>
      </c>
      <c r="M34" s="35" t="str">
        <f aca="false">IFERROR(CHOOSE(MATCH(INDEX(時間ごとの判定!$AH$3:$AH$1850,731),{"利用可","両方停止","運転がそろわない","判定不能"},0),"○","停","×","－"),"")</f>
        <v>－</v>
      </c>
      <c r="N34" s="35" t="str">
        <f aca="false">IFERROR(CHOOSE(MATCH(INDEX(時間ごとの判定!$AH$3:$AH$1850,732),{"利用可","両方停止","運転がそろわない","判定不能"},0),"○","停","×","－"),"")</f>
        <v>－</v>
      </c>
      <c r="O34" s="35" t="str">
        <f aca="false">IFERROR(CHOOSE(MATCH(INDEX(時間ごとの判定!$AH$3:$AH$1850,733),{"利用可","両方停止","運転がそろわない","判定不能"},0),"○","停","×","－"),"")</f>
        <v>○</v>
      </c>
      <c r="P34" s="35" t="str">
        <f aca="false">IFERROR(CHOOSE(MATCH(INDEX(時間ごとの判定!$AH$3:$AH$1850,734),{"利用可","両方停止","運転がそろわない","判定不能"},0),"○","停","×","－"),"")</f>
        <v>○</v>
      </c>
      <c r="Q34" s="35" t="str">
        <f aca="false">IFERROR(CHOOSE(MATCH(INDEX(時間ごとの判定!$AH$3:$AH$1850,735),{"利用可","両方停止","運転がそろわない","判定不能"},0),"○","停","×","－"),"")</f>
        <v>○</v>
      </c>
      <c r="R34" s="35" t="str">
        <f aca="false">IFERROR(CHOOSE(MATCH(INDEX(時間ごとの判定!$AH$3:$AH$1850,736),{"利用可","両方停止","運転がそろわない","判定不能"},0),"○","停","×","－"),"")</f>
        <v>○</v>
      </c>
      <c r="S34" s="35" t="str">
        <f aca="false">IFERROR(CHOOSE(MATCH(INDEX(時間ごとの判定!$AH$3:$AH$1850,737),{"利用可","両方停止","運転がそろわない","判定不能"},0),"○","停","×","－"),"")</f>
        <v>○</v>
      </c>
      <c r="T34" s="35" t="str">
        <f aca="false">IFERROR(CHOOSE(MATCH(INDEX(時間ごとの判定!$AH$3:$AH$1850,738),{"利用可","両方停止","運転がそろわない","判定不能"},0),"○","停","×","－"),"")</f>
        <v>○</v>
      </c>
      <c r="U34" s="35" t="str">
        <f aca="false">IFERROR(CHOOSE(MATCH(INDEX(時間ごとの判定!$AH$3:$AH$1850,739),{"利用可","両方停止","運転がそろわない","判定不能"},0),"○","停","×","－"),"")</f>
        <v>○</v>
      </c>
      <c r="V34" s="35" t="str">
        <f aca="false">IFERROR(CHOOSE(MATCH(INDEX(時間ごとの判定!$AH$3:$AH$1850,740),{"利用可","両方停止","運転がそろわない","判定不能"},0),"○","停","×","－"),"")</f>
        <v>○</v>
      </c>
      <c r="W34" s="35" t="str">
        <f aca="false">IFERROR(CHOOSE(MATCH(INDEX(時間ごとの判定!$AH$3:$AH$1850,741),{"利用可","両方停止","運転がそろわない","判定不能"},0),"○","停","×","－"),"")</f>
        <v>○</v>
      </c>
      <c r="X34" s="35" t="str">
        <f aca="false">IFERROR(CHOOSE(MATCH(INDEX(時間ごとの判定!$AH$3:$AH$1850,742),{"利用可","両方停止","運転がそろわない","判定不能"},0),"○","停","×","－"),"")</f>
        <v>×</v>
      </c>
      <c r="Y34" s="35" t="str">
        <f aca="false">IFERROR(CHOOSE(MATCH(INDEX(時間ごとの判定!$AH$3:$AH$1850,743),{"利用可","両方停止","運転がそろわない","判定不能"},0),"○","停","×","－"),"")</f>
        <v>停</v>
      </c>
      <c r="Z34" s="35" t="str">
        <f aca="false">IFERROR(CHOOSE(MATCH(INDEX(時間ごとの判定!$AH$3:$AH$1850,744),{"利用可","両方停止","運転がそろわない","判定不能"},0),"○","停","×","－"),"")</f>
        <v>停</v>
      </c>
      <c r="AA34" s="35"/>
      <c r="AB34" s="35" t="str">
        <f aca="false">IFERROR(CHOOSE(MATCH(INDEX(時間ごとの判定!$AK$3:$AK$1850,721),{"利用可","両方停止","運転がそろわない","判定不能"},0),"○","停","×","－"),"")</f>
        <v>－</v>
      </c>
      <c r="AC34" s="35" t="str">
        <f aca="false">IFERROR(CHOOSE(MATCH(INDEX(時間ごとの判定!$AK$3:$AK$1850,722),{"利用可","両方停止","運転がそろわない","判定不能"},0),"○","停","×","－"),"")</f>
        <v>－</v>
      </c>
      <c r="AD34" s="35" t="str">
        <f aca="false">IFERROR(CHOOSE(MATCH(INDEX(時間ごとの判定!$AK$3:$AK$1850,723),{"利用可","両方停止","運転がそろわない","判定不能"},0),"○","停","×","－"),"")</f>
        <v>－</v>
      </c>
      <c r="AE34" s="35" t="str">
        <f aca="false">IFERROR(CHOOSE(MATCH(INDEX(時間ごとの判定!$AK$3:$AK$1850,724),{"利用可","両方停止","運転がそろわない","判定不能"},0),"○","停","×","－"),"")</f>
        <v>－</v>
      </c>
      <c r="AF34" s="35" t="str">
        <f aca="false">IFERROR(CHOOSE(MATCH(INDEX(時間ごとの判定!$AK$3:$AK$1850,725),{"利用可","両方停止","運転がそろわない","判定不能"},0),"○","停","×","－"),"")</f>
        <v>－</v>
      </c>
      <c r="AG34" s="35" t="str">
        <f aca="false">IFERROR(CHOOSE(MATCH(INDEX(時間ごとの判定!$AK$3:$AK$1850,726),{"利用可","両方停止","運転がそろわない","判定不能"},0),"○","停","×","－"),"")</f>
        <v>－</v>
      </c>
      <c r="AH34" s="35" t="str">
        <f aca="false">IFERROR(CHOOSE(MATCH(INDEX(時間ごとの判定!$AK$3:$AK$1850,727),{"利用可","両方停止","運転がそろわない","判定不能"},0),"○","停","×","－"),"")</f>
        <v>－</v>
      </c>
      <c r="AI34" s="35" t="str">
        <f aca="false">IFERROR(CHOOSE(MATCH(INDEX(時間ごとの判定!$AK$3:$AK$1850,728),{"利用可","両方停止","運転がそろわない","判定不能"},0),"○","停","×","－"),"")</f>
        <v>－</v>
      </c>
      <c r="AJ34" s="35" t="str">
        <f aca="false">IFERROR(CHOOSE(MATCH(INDEX(時間ごとの判定!$AK$3:$AK$1850,729),{"利用可","両方停止","運転がそろわない","判定不能"},0),"○","停","×","－"),"")</f>
        <v>－</v>
      </c>
      <c r="AK34" s="35" t="str">
        <f aca="false">IFERROR(CHOOSE(MATCH(INDEX(時間ごとの判定!$AK$3:$AK$1850,730),{"利用可","両方停止","運転がそろわない","判定不能"},0),"○","停","×","－"),"")</f>
        <v>－</v>
      </c>
      <c r="AL34" s="35" t="str">
        <f aca="false">IFERROR(CHOOSE(MATCH(INDEX(時間ごとの判定!$AK$3:$AK$1850,731),{"利用可","両方停止","運転がそろわない","判定不能"},0),"○","停","×","－"),"")</f>
        <v>－</v>
      </c>
      <c r="AM34" s="35" t="str">
        <f aca="false">IFERROR(CHOOSE(MATCH(INDEX(時間ごとの判定!$AK$3:$AK$1850,732),{"利用可","両方停止","運転がそろわない","判定不能"},0),"○","停","×","－"),"")</f>
        <v>－</v>
      </c>
      <c r="AN34" s="35" t="str">
        <f aca="false">IFERROR(CHOOSE(MATCH(INDEX(時間ごとの判定!$AK$3:$AK$1850,733),{"利用可","両方停止","運転がそろわない","判定不能"},0),"○","停","×","－"),"")</f>
        <v>○</v>
      </c>
      <c r="AO34" s="35" t="str">
        <f aca="false">IFERROR(CHOOSE(MATCH(INDEX(時間ごとの判定!$AK$3:$AK$1850,734),{"利用可","両方停止","運転がそろわない","判定不能"},0),"○","停","×","－"),"")</f>
        <v>○</v>
      </c>
      <c r="AP34" s="35" t="str">
        <f aca="false">IFERROR(CHOOSE(MATCH(INDEX(時間ごとの判定!$AK$3:$AK$1850,735),{"利用可","両方停止","運転がそろわない","判定不能"},0),"○","停","×","－"),"")</f>
        <v>○</v>
      </c>
      <c r="AQ34" s="35" t="str">
        <f aca="false">IFERROR(CHOOSE(MATCH(INDEX(時間ごとの判定!$AK$3:$AK$1850,736),{"利用可","両方停止","運転がそろわない","判定不能"},0),"○","停","×","－"),"")</f>
        <v>○</v>
      </c>
      <c r="AR34" s="35" t="str">
        <f aca="false">IFERROR(CHOOSE(MATCH(INDEX(時間ごとの判定!$AK$3:$AK$1850,737),{"利用可","両方停止","運転がそろわない","判定不能"},0),"○","停","×","－"),"")</f>
        <v>○</v>
      </c>
      <c r="AS34" s="35" t="str">
        <f aca="false">IFERROR(CHOOSE(MATCH(INDEX(時間ごとの判定!$AK$3:$AK$1850,738),{"利用可","両方停止","運転がそろわない","判定不能"},0),"○","停","×","－"),"")</f>
        <v>○</v>
      </c>
      <c r="AT34" s="35" t="str">
        <f aca="false">IFERROR(CHOOSE(MATCH(INDEX(時間ごとの判定!$AK$3:$AK$1850,739),{"利用可","両方停止","運転がそろわない","判定不能"},0),"○","停","×","－"),"")</f>
        <v>○</v>
      </c>
      <c r="AU34" s="35" t="str">
        <f aca="false">IFERROR(CHOOSE(MATCH(INDEX(時間ごとの判定!$AK$3:$AK$1850,740),{"利用可","両方停止","運転がそろわない","判定不能"},0),"○","停","×","－"),"")</f>
        <v>○</v>
      </c>
      <c r="AV34" s="35" t="str">
        <f aca="false">IFERROR(CHOOSE(MATCH(INDEX(時間ごとの判定!$AK$3:$AK$1850,741),{"利用可","両方停止","運転がそろわない","判定不能"},0),"○","停","×","－"),"")</f>
        <v>×</v>
      </c>
      <c r="AW34" s="35" t="str">
        <f aca="false">IFERROR(CHOOSE(MATCH(INDEX(時間ごとの判定!$AK$3:$AK$1850,742),{"利用可","両方停止","運転がそろわない","判定不能"},0),"○","停","×","－"),"")</f>
        <v>×</v>
      </c>
      <c r="AX34" s="35" t="str">
        <f aca="false">IFERROR(CHOOSE(MATCH(INDEX(時間ごとの判定!$AK$3:$AK$1850,743),{"利用可","両方停止","運転がそろわない","判定不能"},0),"○","停","×","－"),"")</f>
        <v>停</v>
      </c>
      <c r="AY34" s="35" t="str">
        <f aca="false">IFERROR(CHOOSE(MATCH(INDEX(時間ごとの判定!$AK$3:$AK$1850,744),{"利用可","両方停止","運転がそろわない","判定不能"},0),"○","停","×","－"),"")</f>
        <v>停</v>
      </c>
      <c r="AZ34" s="35"/>
      <c r="BA34" s="35" t="str">
        <f aca="false">IFERROR(CHOOSE(MATCH(INDEX(時間ごとの判定!$AN$3:$AN$1850,721),{"利用可","両方停止","運転がそろわない","判定不能"},0),"○","停","×","－"),"")</f>
        <v>停</v>
      </c>
      <c r="BB34" s="35" t="str">
        <f aca="false">IFERROR(CHOOSE(MATCH(INDEX(時間ごとの判定!$AN$3:$AN$1850,722),{"利用可","両方停止","運転がそろわない","判定不能"},0),"○","停","×","－"),"")</f>
        <v>停</v>
      </c>
      <c r="BC34" s="35" t="str">
        <f aca="false">IFERROR(CHOOSE(MATCH(INDEX(時間ごとの判定!$AN$3:$AN$1850,723),{"利用可","両方停止","運転がそろわない","判定不能"},0),"○","停","×","－"),"")</f>
        <v>停</v>
      </c>
      <c r="BD34" s="35" t="str">
        <f aca="false">IFERROR(CHOOSE(MATCH(INDEX(時間ごとの判定!$AN$3:$AN$1850,724),{"利用可","両方停止","運転がそろわない","判定不能"},0),"○","停","×","－"),"")</f>
        <v>停</v>
      </c>
      <c r="BE34" s="35" t="str">
        <f aca="false">IFERROR(CHOOSE(MATCH(INDEX(時間ごとの判定!$AN$3:$AN$1850,725),{"利用可","両方停止","運転がそろわない","判定不能"},0),"○","停","×","－"),"")</f>
        <v>停</v>
      </c>
      <c r="BF34" s="35" t="str">
        <f aca="false">IFERROR(CHOOSE(MATCH(INDEX(時間ごとの判定!$AN$3:$AN$1850,726),{"利用可","両方停止","運転がそろわない","判定不能"},0),"○","停","×","－"),"")</f>
        <v>停</v>
      </c>
      <c r="BG34" s="35" t="str">
        <f aca="false">IFERROR(CHOOSE(MATCH(INDEX(時間ごとの判定!$AN$3:$AN$1850,727),{"利用可","両方停止","運転がそろわない","判定不能"},0),"○","停","×","－"),"")</f>
        <v>停</v>
      </c>
      <c r="BH34" s="35" t="str">
        <f aca="false">IFERROR(CHOOSE(MATCH(INDEX(時間ごとの判定!$AN$3:$AN$1850,728),{"利用可","両方停止","運転がそろわない","判定不能"},0),"○","停","×","－"),"")</f>
        <v>×</v>
      </c>
      <c r="BI34" s="35" t="str">
        <f aca="false">IFERROR(CHOOSE(MATCH(INDEX(時間ごとの判定!$AN$3:$AN$1850,729),{"利用可","両方停止","運転がそろわない","判定不能"},0),"○","停","×","－"),"")</f>
        <v>×</v>
      </c>
      <c r="BJ34" s="35" t="str">
        <f aca="false">IFERROR(CHOOSE(MATCH(INDEX(時間ごとの判定!$AN$3:$AN$1850,730),{"利用可","両方停止","運転がそろわない","判定不能"},0),"○","停","×","－"),"")</f>
        <v>○</v>
      </c>
      <c r="BK34" s="35" t="str">
        <f aca="false">IFERROR(CHOOSE(MATCH(INDEX(時間ごとの判定!$AN$3:$AN$1850,731),{"利用可","両方停止","運転がそろわない","判定不能"},0),"○","停","×","－"),"")</f>
        <v>－</v>
      </c>
      <c r="BL34" s="35" t="str">
        <f aca="false">IFERROR(CHOOSE(MATCH(INDEX(時間ごとの判定!$AN$3:$AN$1850,732),{"利用可","両方停止","運転がそろわない","判定不能"},0),"○","停","×","－"),"")</f>
        <v>－</v>
      </c>
      <c r="BM34" s="35" t="str">
        <f aca="false">IFERROR(CHOOSE(MATCH(INDEX(時間ごとの判定!$AN$3:$AN$1850,733),{"利用可","両方停止","運転がそろわない","判定不能"},0),"○","停","×","－"),"")</f>
        <v>○</v>
      </c>
      <c r="BN34" s="35" t="str">
        <f aca="false">IFERROR(CHOOSE(MATCH(INDEX(時間ごとの判定!$AN$3:$AN$1850,734),{"利用可","両方停止","運転がそろわない","判定不能"},0),"○","停","×","－"),"")</f>
        <v>○</v>
      </c>
      <c r="BO34" s="35" t="str">
        <f aca="false">IFERROR(CHOOSE(MATCH(INDEX(時間ごとの判定!$AN$3:$AN$1850,735),{"利用可","両方停止","運転がそろわない","判定不能"},0),"○","停","×","－"),"")</f>
        <v>○</v>
      </c>
      <c r="BP34" s="35" t="str">
        <f aca="false">IFERROR(CHOOSE(MATCH(INDEX(時間ごとの判定!$AN$3:$AN$1850,736),{"利用可","両方停止","運転がそろわない","判定不能"},0),"○","停","×","－"),"")</f>
        <v>○</v>
      </c>
      <c r="BQ34" s="35" t="str">
        <f aca="false">IFERROR(CHOOSE(MATCH(INDEX(時間ごとの判定!$AN$3:$AN$1850,737),{"利用可","両方停止","運転がそろわない","判定不能"},0),"○","停","×","－"),"")</f>
        <v>○</v>
      </c>
      <c r="BR34" s="35" t="str">
        <f aca="false">IFERROR(CHOOSE(MATCH(INDEX(時間ごとの判定!$AN$3:$AN$1850,738),{"利用可","両方停止","運転がそろわない","判定不能"},0),"○","停","×","－"),"")</f>
        <v>○</v>
      </c>
      <c r="BS34" s="35" t="str">
        <f aca="false">IFERROR(CHOOSE(MATCH(INDEX(時間ごとの判定!$AN$3:$AN$1850,739),{"利用可","両方停止","運転がそろわない","判定不能"},0),"○","停","×","－"),"")</f>
        <v>×</v>
      </c>
      <c r="BT34" s="35" t="str">
        <f aca="false">IFERROR(CHOOSE(MATCH(INDEX(時間ごとの判定!$AN$3:$AN$1850,740),{"利用可","両方停止","運転がそろわない","判定不能"},0),"○","停","×","－"),"")</f>
        <v>○</v>
      </c>
      <c r="BU34" s="35" t="str">
        <f aca="false">IFERROR(CHOOSE(MATCH(INDEX(時間ごとの判定!$AN$3:$AN$1850,741),{"利用可","両方停止","運転がそろわない","判定不能"},0),"○","停","×","－"),"")</f>
        <v>×</v>
      </c>
      <c r="BV34" s="35" t="str">
        <f aca="false">IFERROR(CHOOSE(MATCH(INDEX(時間ごとの判定!$AN$3:$AN$1850,742),{"利用可","両方停止","運転がそろわない","判定不能"},0),"○","停","×","－"),"")</f>
        <v>×</v>
      </c>
      <c r="BW34" s="35" t="str">
        <f aca="false">IFERROR(CHOOSE(MATCH(INDEX(時間ごとの判定!$AN$3:$AN$1850,743),{"利用可","両方停止","運転がそろわない","判定不能"},0),"○","停","×","－"),"")</f>
        <v>停</v>
      </c>
      <c r="BX34" s="35" t="str">
        <f aca="false">IFERROR(CHOOSE(MATCH(INDEX(時間ごとの判定!$AN$3:$AN$1850,744),{"利用可","両方停止","運転がそろわない","判定不能"},0),"○","停","×","－"),"")</f>
        <v>停</v>
      </c>
    </row>
    <row r="35" customFormat="false" ht="15" hidden="false" customHeight="false" outlineLevel="0" collapsed="false">
      <c r="A35" s="33" t="n">
        <v>46263</v>
      </c>
      <c r="B35" s="36" t="s">
        <v>63</v>
      </c>
      <c r="C35" s="35" t="str">
        <f aca="false">IFERROR(CHOOSE(MATCH(INDEX(時間ごとの判定!$AH$3:$AH$1850,745),{"利用可","両方停止","運転がそろわない","判定不能"},0),"○","停","×","－"),"")</f>
        <v>停</v>
      </c>
      <c r="D35" s="35" t="str">
        <f aca="false">IFERROR(CHOOSE(MATCH(INDEX(時間ごとの判定!$AH$3:$AH$1850,746),{"利用可","両方停止","運転がそろわない","判定不能"},0),"○","停","×","－"),"")</f>
        <v>停</v>
      </c>
      <c r="E35" s="35" t="str">
        <f aca="false">IFERROR(CHOOSE(MATCH(INDEX(時間ごとの判定!$AH$3:$AH$1850,747),{"利用可","両方停止","運転がそろわない","判定不能"},0),"○","停","×","－"),"")</f>
        <v>停</v>
      </c>
      <c r="F35" s="35" t="str">
        <f aca="false">IFERROR(CHOOSE(MATCH(INDEX(時間ごとの判定!$AH$3:$AH$1850,748),{"利用可","両方停止","運転がそろわない","判定不能"},0),"○","停","×","－"),"")</f>
        <v>停</v>
      </c>
      <c r="G35" s="35" t="str">
        <f aca="false">IFERROR(CHOOSE(MATCH(INDEX(時間ごとの判定!$AH$3:$AH$1850,749),{"利用可","両方停止","運転がそろわない","判定不能"},0),"○","停","×","－"),"")</f>
        <v>停</v>
      </c>
      <c r="H35" s="35" t="str">
        <f aca="false">IFERROR(CHOOSE(MATCH(INDEX(時間ごとの判定!$AH$3:$AH$1850,750),{"利用可","両方停止","運転がそろわない","判定不能"},0),"○","停","×","－"),"")</f>
        <v>停</v>
      </c>
      <c r="I35" s="35" t="str">
        <f aca="false">IFERROR(CHOOSE(MATCH(INDEX(時間ごとの判定!$AH$3:$AH$1850,751),{"利用可","両方停止","運転がそろわない","判定不能"},0),"○","停","×","－"),"")</f>
        <v>停</v>
      </c>
      <c r="J35" s="35" t="str">
        <f aca="false">IFERROR(CHOOSE(MATCH(INDEX(時間ごとの判定!$AH$3:$AH$1850,752),{"利用可","両方停止","運転がそろわない","判定不能"},0),"○","停","×","－"),"")</f>
        <v>停</v>
      </c>
      <c r="K35" s="35" t="str">
        <f aca="false">IFERROR(CHOOSE(MATCH(INDEX(時間ごとの判定!$AH$3:$AH$1850,753),{"利用可","両方停止","運転がそろわない","判定不能"},0),"○","停","×","－"),"")</f>
        <v>停</v>
      </c>
      <c r="L35" s="35" t="str">
        <f aca="false">IFERROR(CHOOSE(MATCH(INDEX(時間ごとの判定!$AH$3:$AH$1850,754),{"利用可","両方停止","運転がそろわない","判定不能"},0),"○","停","×","－"),"")</f>
        <v>×</v>
      </c>
      <c r="M35" s="35" t="str">
        <f aca="false">IFERROR(CHOOSE(MATCH(INDEX(時間ごとの判定!$AH$3:$AH$1850,755),{"利用可","両方停止","運転がそろわない","判定不能"},0),"○","停","×","－"),"")</f>
        <v>×</v>
      </c>
      <c r="N35" s="35" t="str">
        <f aca="false">IFERROR(CHOOSE(MATCH(INDEX(時間ごとの判定!$AH$3:$AH$1850,756),{"利用可","両方停止","運転がそろわない","判定不能"},0),"○","停","×","－"),"")</f>
        <v>×</v>
      </c>
      <c r="O35" s="35" t="str">
        <f aca="false">IFERROR(CHOOSE(MATCH(INDEX(時間ごとの判定!$AH$3:$AH$1850,757),{"利用可","両方停止","運転がそろわない","判定不能"},0),"○","停","×","－"),"")</f>
        <v>×</v>
      </c>
      <c r="P35" s="35" t="str">
        <f aca="false">IFERROR(CHOOSE(MATCH(INDEX(時間ごとの判定!$AH$3:$AH$1850,758),{"利用可","両方停止","運転がそろわない","判定不能"},0),"○","停","×","－"),"")</f>
        <v>×</v>
      </c>
      <c r="Q35" s="35" t="str">
        <f aca="false">IFERROR(CHOOSE(MATCH(INDEX(時間ごとの判定!$AH$3:$AH$1850,759),{"利用可","両方停止","運転がそろわない","判定不能"},0),"○","停","×","－"),"")</f>
        <v>×</v>
      </c>
      <c r="R35" s="35" t="str">
        <f aca="false">IFERROR(CHOOSE(MATCH(INDEX(時間ごとの判定!$AH$3:$AH$1850,760),{"利用可","両方停止","運転がそろわない","判定不能"},0),"○","停","×","－"),"")</f>
        <v>×</v>
      </c>
      <c r="S35" s="35" t="str">
        <f aca="false">IFERROR(CHOOSE(MATCH(INDEX(時間ごとの判定!$AH$3:$AH$1850,761),{"利用可","両方停止","運転がそろわない","判定不能"},0),"○","停","×","－"),"")</f>
        <v>×</v>
      </c>
      <c r="T35" s="35" t="str">
        <f aca="false">IFERROR(CHOOSE(MATCH(INDEX(時間ごとの判定!$AH$3:$AH$1850,762),{"利用可","両方停止","運転がそろわない","判定不能"},0),"○","停","×","－"),"")</f>
        <v>×</v>
      </c>
      <c r="U35" s="35" t="str">
        <f aca="false">IFERROR(CHOOSE(MATCH(INDEX(時間ごとの判定!$AH$3:$AH$1850,763),{"利用可","両方停止","運転がそろわない","判定不能"},0),"○","停","×","－"),"")</f>
        <v>×</v>
      </c>
      <c r="V35" s="35" t="str">
        <f aca="false">IFERROR(CHOOSE(MATCH(INDEX(時間ごとの判定!$AH$3:$AH$1850,764),{"利用可","両方停止","運転がそろわない","判定不能"},0),"○","停","×","－"),"")</f>
        <v>×</v>
      </c>
      <c r="W35" s="35" t="str">
        <f aca="false">IFERROR(CHOOSE(MATCH(INDEX(時間ごとの判定!$AH$3:$AH$1850,765),{"利用可","両方停止","運転がそろわない","判定不能"},0),"○","停","×","－"),"")</f>
        <v>停</v>
      </c>
      <c r="X35" s="35" t="str">
        <f aca="false">IFERROR(CHOOSE(MATCH(INDEX(時間ごとの判定!$AH$3:$AH$1850,766),{"利用可","両方停止","運転がそろわない","判定不能"},0),"○","停","×","－"),"")</f>
        <v>停</v>
      </c>
      <c r="Y35" s="35" t="str">
        <f aca="false">IFERROR(CHOOSE(MATCH(INDEX(時間ごとの判定!$AH$3:$AH$1850,767),{"利用可","両方停止","運転がそろわない","判定不能"},0),"○","停","×","－"),"")</f>
        <v>停</v>
      </c>
      <c r="Z35" s="35" t="str">
        <f aca="false">IFERROR(CHOOSE(MATCH(INDEX(時間ごとの判定!$AH$3:$AH$1850,768),{"利用可","両方停止","運転がそろわない","判定不能"},0),"○","停","×","－"),"")</f>
        <v>停</v>
      </c>
      <c r="AA35" s="35"/>
      <c r="AB35" s="35" t="str">
        <f aca="false">IFERROR(CHOOSE(MATCH(INDEX(時間ごとの判定!$AK$3:$AK$1850,745),{"利用可","両方停止","運転がそろわない","判定不能"},0),"○","停","×","－"),"")</f>
        <v>停</v>
      </c>
      <c r="AC35" s="35" t="str">
        <f aca="false">IFERROR(CHOOSE(MATCH(INDEX(時間ごとの判定!$AK$3:$AK$1850,746),{"利用可","両方停止","運転がそろわない","判定不能"},0),"○","停","×","－"),"")</f>
        <v>停</v>
      </c>
      <c r="AD35" s="35" t="str">
        <f aca="false">IFERROR(CHOOSE(MATCH(INDEX(時間ごとの判定!$AK$3:$AK$1850,747),{"利用可","両方停止","運転がそろわない","判定不能"},0),"○","停","×","－"),"")</f>
        <v>停</v>
      </c>
      <c r="AE35" s="35" t="str">
        <f aca="false">IFERROR(CHOOSE(MATCH(INDEX(時間ごとの判定!$AK$3:$AK$1850,748),{"利用可","両方停止","運転がそろわない","判定不能"},0),"○","停","×","－"),"")</f>
        <v>停</v>
      </c>
      <c r="AF35" s="35" t="str">
        <f aca="false">IFERROR(CHOOSE(MATCH(INDEX(時間ごとの判定!$AK$3:$AK$1850,749),{"利用可","両方停止","運転がそろわない","判定不能"},0),"○","停","×","－"),"")</f>
        <v>停</v>
      </c>
      <c r="AG35" s="35" t="str">
        <f aca="false">IFERROR(CHOOSE(MATCH(INDEX(時間ごとの判定!$AK$3:$AK$1850,750),{"利用可","両方停止","運転がそろわない","判定不能"},0),"○","停","×","－"),"")</f>
        <v>停</v>
      </c>
      <c r="AH35" s="35" t="str">
        <f aca="false">IFERROR(CHOOSE(MATCH(INDEX(時間ごとの判定!$AK$3:$AK$1850,751),{"利用可","両方停止","運転がそろわない","判定不能"},0),"○","停","×","－"),"")</f>
        <v>停</v>
      </c>
      <c r="AI35" s="35" t="str">
        <f aca="false">IFERROR(CHOOSE(MATCH(INDEX(時間ごとの判定!$AK$3:$AK$1850,752),{"利用可","両方停止","運転がそろわない","判定不能"},0),"○","停","×","－"),"")</f>
        <v>停</v>
      </c>
      <c r="AJ35" s="35" t="str">
        <f aca="false">IFERROR(CHOOSE(MATCH(INDEX(時間ごとの判定!$AK$3:$AK$1850,753),{"利用可","両方停止","運転がそろわない","判定不能"},0),"○","停","×","－"),"")</f>
        <v>停</v>
      </c>
      <c r="AK35" s="35" t="str">
        <f aca="false">IFERROR(CHOOSE(MATCH(INDEX(時間ごとの判定!$AK$3:$AK$1850,754),{"利用可","両方停止","運転がそろわない","判定不能"},0),"○","停","×","－"),"")</f>
        <v>○</v>
      </c>
      <c r="AL35" s="35" t="str">
        <f aca="false">IFERROR(CHOOSE(MATCH(INDEX(時間ごとの判定!$AK$3:$AK$1850,755),{"利用可","両方停止","運転がそろわない","判定不能"},0),"○","停","×","－"),"")</f>
        <v>○</v>
      </c>
      <c r="AM35" s="35" t="str">
        <f aca="false">IFERROR(CHOOSE(MATCH(INDEX(時間ごとの判定!$AK$3:$AK$1850,756),{"利用可","両方停止","運転がそろわない","判定不能"},0),"○","停","×","－"),"")</f>
        <v>×</v>
      </c>
      <c r="AN35" s="35" t="str">
        <f aca="false">IFERROR(CHOOSE(MATCH(INDEX(時間ごとの判定!$AK$3:$AK$1850,757),{"利用可","両方停止","運転がそろわない","判定不能"},0),"○","停","×","－"),"")</f>
        <v>○</v>
      </c>
      <c r="AO35" s="35" t="str">
        <f aca="false">IFERROR(CHOOSE(MATCH(INDEX(時間ごとの判定!$AK$3:$AK$1850,758),{"利用可","両方停止","運転がそろわない","判定不能"},0),"○","停","×","－"),"")</f>
        <v>○</v>
      </c>
      <c r="AP35" s="35" t="str">
        <f aca="false">IFERROR(CHOOSE(MATCH(INDEX(時間ごとの判定!$AK$3:$AK$1850,759),{"利用可","両方停止","運転がそろわない","判定不能"},0),"○","停","×","－"),"")</f>
        <v>×</v>
      </c>
      <c r="AQ35" s="35" t="str">
        <f aca="false">IFERROR(CHOOSE(MATCH(INDEX(時間ごとの判定!$AK$3:$AK$1850,760),{"利用可","両方停止","運転がそろわない","判定不能"},0),"○","停","×","－"),"")</f>
        <v>×</v>
      </c>
      <c r="AR35" s="35" t="str">
        <f aca="false">IFERROR(CHOOSE(MATCH(INDEX(時間ごとの判定!$AK$3:$AK$1850,761),{"利用可","両方停止","運転がそろわない","判定不能"},0),"○","停","×","－"),"")</f>
        <v>×</v>
      </c>
      <c r="AS35" s="35" t="str">
        <f aca="false">IFERROR(CHOOSE(MATCH(INDEX(時間ごとの判定!$AK$3:$AK$1850,762),{"利用可","両方停止","運転がそろわない","判定不能"},0),"○","停","×","－"),"")</f>
        <v>×</v>
      </c>
      <c r="AT35" s="35" t="str">
        <f aca="false">IFERROR(CHOOSE(MATCH(INDEX(時間ごとの判定!$AK$3:$AK$1850,763),{"利用可","両方停止","運転がそろわない","判定不能"},0),"○","停","×","－"),"")</f>
        <v>○</v>
      </c>
      <c r="AU35" s="35" t="str">
        <f aca="false">IFERROR(CHOOSE(MATCH(INDEX(時間ごとの判定!$AK$3:$AK$1850,764),{"利用可","両方停止","運転がそろわない","判定不能"},0),"○","停","×","－"),"")</f>
        <v>×</v>
      </c>
      <c r="AV35" s="35" t="str">
        <f aca="false">IFERROR(CHOOSE(MATCH(INDEX(時間ごとの判定!$AK$3:$AK$1850,765),{"利用可","両方停止","運転がそろわない","判定不能"},0),"○","停","×","－"),"")</f>
        <v>×</v>
      </c>
      <c r="AW35" s="35" t="str">
        <f aca="false">IFERROR(CHOOSE(MATCH(INDEX(時間ごとの判定!$AK$3:$AK$1850,766),{"利用可","両方停止","運転がそろわない","判定不能"},0),"○","停","×","－"),"")</f>
        <v>停</v>
      </c>
      <c r="AX35" s="35" t="str">
        <f aca="false">IFERROR(CHOOSE(MATCH(INDEX(時間ごとの判定!$AK$3:$AK$1850,767),{"利用可","両方停止","運転がそろわない","判定不能"},0),"○","停","×","－"),"")</f>
        <v>停</v>
      </c>
      <c r="AY35" s="35" t="str">
        <f aca="false">IFERROR(CHOOSE(MATCH(INDEX(時間ごとの判定!$AK$3:$AK$1850,768),{"利用可","両方停止","運転がそろわない","判定不能"},0),"○","停","×","－"),"")</f>
        <v>停</v>
      </c>
      <c r="AZ35" s="35"/>
      <c r="BA35" s="35" t="str">
        <f aca="false">IFERROR(CHOOSE(MATCH(INDEX(時間ごとの判定!$AN$3:$AN$1850,745),{"利用可","両方停止","運転がそろわない","判定不能"},0),"○","停","×","－"),"")</f>
        <v>停</v>
      </c>
      <c r="BB35" s="35" t="str">
        <f aca="false">IFERROR(CHOOSE(MATCH(INDEX(時間ごとの判定!$AN$3:$AN$1850,746),{"利用可","両方停止","運転がそろわない","判定不能"},0),"○","停","×","－"),"")</f>
        <v>停</v>
      </c>
      <c r="BC35" s="35" t="str">
        <f aca="false">IFERROR(CHOOSE(MATCH(INDEX(時間ごとの判定!$AN$3:$AN$1850,747),{"利用可","両方停止","運転がそろわない","判定不能"},0),"○","停","×","－"),"")</f>
        <v>停</v>
      </c>
      <c r="BD35" s="35" t="str">
        <f aca="false">IFERROR(CHOOSE(MATCH(INDEX(時間ごとの判定!$AN$3:$AN$1850,748),{"利用可","両方停止","運転がそろわない","判定不能"},0),"○","停","×","－"),"")</f>
        <v>停</v>
      </c>
      <c r="BE35" s="35" t="str">
        <f aca="false">IFERROR(CHOOSE(MATCH(INDEX(時間ごとの判定!$AN$3:$AN$1850,749),{"利用可","両方停止","運転がそろわない","判定不能"},0),"○","停","×","－"),"")</f>
        <v>停</v>
      </c>
      <c r="BF35" s="35" t="str">
        <f aca="false">IFERROR(CHOOSE(MATCH(INDEX(時間ごとの判定!$AN$3:$AN$1850,750),{"利用可","両方停止","運転がそろわない","判定不能"},0),"○","停","×","－"),"")</f>
        <v>停</v>
      </c>
      <c r="BG35" s="35" t="str">
        <f aca="false">IFERROR(CHOOSE(MATCH(INDEX(時間ごとの判定!$AN$3:$AN$1850,751),{"利用可","両方停止","運転がそろわない","判定不能"},0),"○","停","×","－"),"")</f>
        <v>停</v>
      </c>
      <c r="BH35" s="35" t="str">
        <f aca="false">IFERROR(CHOOSE(MATCH(INDEX(時間ごとの判定!$AN$3:$AN$1850,752),{"利用可","両方停止","運転がそろわない","判定不能"},0),"○","停","×","－"),"")</f>
        <v>停</v>
      </c>
      <c r="BI35" s="35" t="str">
        <f aca="false">IFERROR(CHOOSE(MATCH(INDEX(時間ごとの判定!$AN$3:$AN$1850,753),{"利用可","両方停止","運転がそろわない","判定不能"},0),"○","停","×","－"),"")</f>
        <v>停</v>
      </c>
      <c r="BJ35" s="35" t="str">
        <f aca="false">IFERROR(CHOOSE(MATCH(INDEX(時間ごとの判定!$AN$3:$AN$1850,754),{"利用可","両方停止","運転がそろわない","判定不能"},0),"○","停","×","－"),"")</f>
        <v>×</v>
      </c>
      <c r="BK35" s="35" t="str">
        <f aca="false">IFERROR(CHOOSE(MATCH(INDEX(時間ごとの判定!$AN$3:$AN$1850,755),{"利用可","両方停止","運転がそろわない","判定不能"},0),"○","停","×","－"),"")</f>
        <v>○</v>
      </c>
      <c r="BL35" s="35" t="str">
        <f aca="false">IFERROR(CHOOSE(MATCH(INDEX(時間ごとの判定!$AN$3:$AN$1850,756),{"利用可","両方停止","運転がそろわない","判定不能"},0),"○","停","×","－"),"")</f>
        <v>○</v>
      </c>
      <c r="BM35" s="35" t="str">
        <f aca="false">IFERROR(CHOOSE(MATCH(INDEX(時間ごとの判定!$AN$3:$AN$1850,757),{"利用可","両方停止","運転がそろわない","判定不能"},0),"○","停","×","－"),"")</f>
        <v>○</v>
      </c>
      <c r="BN35" s="35" t="str">
        <f aca="false">IFERROR(CHOOSE(MATCH(INDEX(時間ごとの判定!$AN$3:$AN$1850,758),{"利用可","両方停止","運転がそろわない","判定不能"},0),"○","停","×","－"),"")</f>
        <v>×</v>
      </c>
      <c r="BO35" s="35" t="str">
        <f aca="false">IFERROR(CHOOSE(MATCH(INDEX(時間ごとの判定!$AN$3:$AN$1850,759),{"利用可","両方停止","運転がそろわない","判定不能"},0),"○","停","×","－"),"")</f>
        <v>×</v>
      </c>
      <c r="BP35" s="35" t="str">
        <f aca="false">IFERROR(CHOOSE(MATCH(INDEX(時間ごとの判定!$AN$3:$AN$1850,760),{"利用可","両方停止","運転がそろわない","判定不能"},0),"○","停","×","－"),"")</f>
        <v>○</v>
      </c>
      <c r="BQ35" s="35" t="str">
        <f aca="false">IFERROR(CHOOSE(MATCH(INDEX(時間ごとの判定!$AN$3:$AN$1850,761),{"利用可","両方停止","運転がそろわない","判定不能"},0),"○","停","×","－"),"")</f>
        <v>○</v>
      </c>
      <c r="BR35" s="35" t="str">
        <f aca="false">IFERROR(CHOOSE(MATCH(INDEX(時間ごとの判定!$AN$3:$AN$1850,762),{"利用可","両方停止","運転がそろわない","判定不能"},0),"○","停","×","－"),"")</f>
        <v>○</v>
      </c>
      <c r="BS35" s="35" t="str">
        <f aca="false">IFERROR(CHOOSE(MATCH(INDEX(時間ごとの判定!$AN$3:$AN$1850,763),{"利用可","両方停止","運転がそろわない","判定不能"},0),"○","停","×","－"),"")</f>
        <v>○</v>
      </c>
      <c r="BT35" s="35" t="str">
        <f aca="false">IFERROR(CHOOSE(MATCH(INDEX(時間ごとの判定!$AN$3:$AN$1850,764),{"利用可","両方停止","運転がそろわない","判定不能"},0),"○","停","×","－"),"")</f>
        <v>○</v>
      </c>
      <c r="BU35" s="35" t="str">
        <f aca="false">IFERROR(CHOOSE(MATCH(INDEX(時間ごとの判定!$AN$3:$AN$1850,765),{"利用可","両方停止","運転がそろわない","判定不能"},0),"○","停","×","－"),"")</f>
        <v>×</v>
      </c>
      <c r="BV35" s="35" t="str">
        <f aca="false">IFERROR(CHOOSE(MATCH(INDEX(時間ごとの判定!$AN$3:$AN$1850,766),{"利用可","両方停止","運転がそろわない","判定不能"},0),"○","停","×","－"),"")</f>
        <v>停</v>
      </c>
      <c r="BW35" s="35" t="str">
        <f aca="false">IFERROR(CHOOSE(MATCH(INDEX(時間ごとの判定!$AN$3:$AN$1850,767),{"利用可","両方停止","運転がそろわない","判定不能"},0),"○","停","×","－"),"")</f>
        <v>停</v>
      </c>
      <c r="BX35" s="35" t="str">
        <f aca="false">IFERROR(CHOOSE(MATCH(INDEX(時間ごとの判定!$AN$3:$AN$1850,768),{"利用可","両方停止","運転がそろわない","判定不能"},0),"○","停","×","－"),"")</f>
        <v>停</v>
      </c>
    </row>
    <row r="36" customFormat="false" ht="15" hidden="false" customHeight="false" outlineLevel="0" collapsed="false">
      <c r="A36" s="33" t="n">
        <v>46264</v>
      </c>
      <c r="B36" s="36" t="s">
        <v>65</v>
      </c>
      <c r="C36" s="35" t="str">
        <f aca="false">IFERROR(CHOOSE(MATCH(INDEX(時間ごとの判定!$AH$3:$AH$1850,769),{"利用可","両方停止","運転がそろわない","判定不能"},0),"○","停","×","－"),"")</f>
        <v>停</v>
      </c>
      <c r="D36" s="35" t="str">
        <f aca="false">IFERROR(CHOOSE(MATCH(INDEX(時間ごとの判定!$AH$3:$AH$1850,770),{"利用可","両方停止","運転がそろわない","判定不能"},0),"○","停","×","－"),"")</f>
        <v>停</v>
      </c>
      <c r="E36" s="35" t="str">
        <f aca="false">IFERROR(CHOOSE(MATCH(INDEX(時間ごとの判定!$AH$3:$AH$1850,771),{"利用可","両方停止","運転がそろわない","判定不能"},0),"○","停","×","－"),"")</f>
        <v>停</v>
      </c>
      <c r="F36" s="35" t="str">
        <f aca="false">IFERROR(CHOOSE(MATCH(INDEX(時間ごとの判定!$AH$3:$AH$1850,772),{"利用可","両方停止","運転がそろわない","判定不能"},0),"○","停","×","－"),"")</f>
        <v>停</v>
      </c>
      <c r="G36" s="35" t="str">
        <f aca="false">IFERROR(CHOOSE(MATCH(INDEX(時間ごとの判定!$AH$3:$AH$1850,773),{"利用可","両方停止","運転がそろわない","判定不能"},0),"○","停","×","－"),"")</f>
        <v>停</v>
      </c>
      <c r="H36" s="35" t="str">
        <f aca="false">IFERROR(CHOOSE(MATCH(INDEX(時間ごとの判定!$AH$3:$AH$1850,774),{"利用可","両方停止","運転がそろわない","判定不能"},0),"○","停","×","－"),"")</f>
        <v>停</v>
      </c>
      <c r="I36" s="35" t="str">
        <f aca="false">IFERROR(CHOOSE(MATCH(INDEX(時間ごとの判定!$AH$3:$AH$1850,775),{"利用可","両方停止","運転がそろわない","判定不能"},0),"○","停","×","－"),"")</f>
        <v>停</v>
      </c>
      <c r="J36" s="35" t="str">
        <f aca="false">IFERROR(CHOOSE(MATCH(INDEX(時間ごとの判定!$AH$3:$AH$1850,776),{"利用可","両方停止","運転がそろわない","判定不能"},0),"○","停","×","－"),"")</f>
        <v>停</v>
      </c>
      <c r="K36" s="35" t="str">
        <f aca="false">IFERROR(CHOOSE(MATCH(INDEX(時間ごとの判定!$AH$3:$AH$1850,777),{"利用可","両方停止","運転がそろわない","判定不能"},0),"○","停","×","－"),"")</f>
        <v>×</v>
      </c>
      <c r="L36" s="35" t="str">
        <f aca="false">IFERROR(CHOOSE(MATCH(INDEX(時間ごとの判定!$AH$3:$AH$1850,778),{"利用可","両方停止","運転がそろわない","判定不能"},0),"○","停","×","－"),"")</f>
        <v>×</v>
      </c>
      <c r="M36" s="35" t="str">
        <f aca="false">IFERROR(CHOOSE(MATCH(INDEX(時間ごとの判定!$AH$3:$AH$1850,779),{"利用可","両方停止","運転がそろわない","判定不能"},0),"○","停","×","－"),"")</f>
        <v>○</v>
      </c>
      <c r="N36" s="35" t="str">
        <f aca="false">IFERROR(CHOOSE(MATCH(INDEX(時間ごとの判定!$AH$3:$AH$1850,780),{"利用可","両方停止","運転がそろわない","判定不能"},0),"○","停","×","－"),"")</f>
        <v>×</v>
      </c>
      <c r="O36" s="35" t="str">
        <f aca="false">IFERROR(CHOOSE(MATCH(INDEX(時間ごとの判定!$AH$3:$AH$1850,781),{"利用可","両方停止","運転がそろわない","判定不能"},0),"○","停","×","－"),"")</f>
        <v>○</v>
      </c>
      <c r="P36" s="35" t="str">
        <f aca="false">IFERROR(CHOOSE(MATCH(INDEX(時間ごとの判定!$AH$3:$AH$1850,782),{"利用可","両方停止","運転がそろわない","判定不能"},0),"○","停","×","－"),"")</f>
        <v>○</v>
      </c>
      <c r="Q36" s="35" t="str">
        <f aca="false">IFERROR(CHOOSE(MATCH(INDEX(時間ごとの判定!$AH$3:$AH$1850,783),{"利用可","両方停止","運転がそろわない","判定不能"},0),"○","停","×","－"),"")</f>
        <v>○</v>
      </c>
      <c r="R36" s="35" t="str">
        <f aca="false">IFERROR(CHOOSE(MATCH(INDEX(時間ごとの判定!$AH$3:$AH$1850,784),{"利用可","両方停止","運転がそろわない","判定不能"},0),"○","停","×","－"),"")</f>
        <v>○</v>
      </c>
      <c r="S36" s="35" t="str">
        <f aca="false">IFERROR(CHOOSE(MATCH(INDEX(時間ごとの判定!$AH$3:$AH$1850,785),{"利用可","両方停止","運転がそろわない","判定不能"},0),"○","停","×","－"),"")</f>
        <v>○</v>
      </c>
      <c r="T36" s="35" t="str">
        <f aca="false">IFERROR(CHOOSE(MATCH(INDEX(時間ごとの判定!$AH$3:$AH$1850,786),{"利用可","両方停止","運転がそろわない","判定不能"},0),"○","停","×","－"),"")</f>
        <v>○</v>
      </c>
      <c r="U36" s="35" t="str">
        <f aca="false">IFERROR(CHOOSE(MATCH(INDEX(時間ごとの判定!$AH$3:$AH$1850,787),{"利用可","両方停止","運転がそろわない","判定不能"},0),"○","停","×","－"),"")</f>
        <v>×</v>
      </c>
      <c r="V36" s="35" t="str">
        <f aca="false">IFERROR(CHOOSE(MATCH(INDEX(時間ごとの判定!$AH$3:$AH$1850,788),{"利用可","両方停止","運転がそろわない","判定不能"},0),"○","停","×","－"),"")</f>
        <v>×</v>
      </c>
      <c r="W36" s="35" t="str">
        <f aca="false">IFERROR(CHOOSE(MATCH(INDEX(時間ごとの判定!$AH$3:$AH$1850,789),{"利用可","両方停止","運転がそろわない","判定不能"},0),"○","停","×","－"),"")</f>
        <v>×</v>
      </c>
      <c r="X36" s="35" t="str">
        <f aca="false">IFERROR(CHOOSE(MATCH(INDEX(時間ごとの判定!$AH$3:$AH$1850,790),{"利用可","両方停止","運転がそろわない","判定不能"},0),"○","停","×","－"),"")</f>
        <v>×</v>
      </c>
      <c r="Y36" s="35" t="str">
        <f aca="false">IFERROR(CHOOSE(MATCH(INDEX(時間ごとの判定!$AH$3:$AH$1850,791),{"利用可","両方停止","運転がそろわない","判定不能"},0),"○","停","×","－"),"")</f>
        <v>停</v>
      </c>
      <c r="Z36" s="35" t="str">
        <f aca="false">IFERROR(CHOOSE(MATCH(INDEX(時間ごとの判定!$AH$3:$AH$1850,792),{"利用可","両方停止","運転がそろわない","判定不能"},0),"○","停","×","－"),"")</f>
        <v>停</v>
      </c>
      <c r="AA36" s="35"/>
      <c r="AB36" s="35" t="str">
        <f aca="false">IFERROR(CHOOSE(MATCH(INDEX(時間ごとの判定!$AK$3:$AK$1850,769),{"利用可","両方停止","運転がそろわない","判定不能"},0),"○","停","×","－"),"")</f>
        <v>停</v>
      </c>
      <c r="AC36" s="35" t="str">
        <f aca="false">IFERROR(CHOOSE(MATCH(INDEX(時間ごとの判定!$AK$3:$AK$1850,770),{"利用可","両方停止","運転がそろわない","判定不能"},0),"○","停","×","－"),"")</f>
        <v>停</v>
      </c>
      <c r="AD36" s="35" t="str">
        <f aca="false">IFERROR(CHOOSE(MATCH(INDEX(時間ごとの判定!$AK$3:$AK$1850,771),{"利用可","両方停止","運転がそろわない","判定不能"},0),"○","停","×","－"),"")</f>
        <v>停</v>
      </c>
      <c r="AE36" s="35" t="str">
        <f aca="false">IFERROR(CHOOSE(MATCH(INDEX(時間ごとの判定!$AK$3:$AK$1850,772),{"利用可","両方停止","運転がそろわない","判定不能"},0),"○","停","×","－"),"")</f>
        <v>停</v>
      </c>
      <c r="AF36" s="35" t="str">
        <f aca="false">IFERROR(CHOOSE(MATCH(INDEX(時間ごとの判定!$AK$3:$AK$1850,773),{"利用可","両方停止","運転がそろわない","判定不能"},0),"○","停","×","－"),"")</f>
        <v>－</v>
      </c>
      <c r="AG36" s="35" t="str">
        <f aca="false">IFERROR(CHOOSE(MATCH(INDEX(時間ごとの判定!$AK$3:$AK$1850,774),{"利用可","両方停止","運転がそろわない","判定不能"},0),"○","停","×","－"),"")</f>
        <v>－</v>
      </c>
      <c r="AH36" s="35" t="str">
        <f aca="false">IFERROR(CHOOSE(MATCH(INDEX(時間ごとの判定!$AK$3:$AK$1850,775),{"利用可","両方停止","運転がそろわない","判定不能"},0),"○","停","×","－"),"")</f>
        <v>－</v>
      </c>
      <c r="AI36" s="35" t="str">
        <f aca="false">IFERROR(CHOOSE(MATCH(INDEX(時間ごとの判定!$AK$3:$AK$1850,776),{"利用可","両方停止","運転がそろわない","判定不能"},0),"○","停","×","－"),"")</f>
        <v>－</v>
      </c>
      <c r="AJ36" s="35" t="str">
        <f aca="false">IFERROR(CHOOSE(MATCH(INDEX(時間ごとの判定!$AK$3:$AK$1850,777),{"利用可","両方停止","運転がそろわない","判定不能"},0),"○","停","×","－"),"")</f>
        <v>－</v>
      </c>
      <c r="AK36" s="35" t="str">
        <f aca="false">IFERROR(CHOOSE(MATCH(INDEX(時間ごとの判定!$AK$3:$AK$1850,778),{"利用可","両方停止","運転がそろわない","判定不能"},0),"○","停","×","－"),"")</f>
        <v>－</v>
      </c>
      <c r="AL36" s="35" t="str">
        <f aca="false">IFERROR(CHOOSE(MATCH(INDEX(時間ごとの判定!$AK$3:$AK$1850,779),{"利用可","両方停止","運転がそろわない","判定不能"},0),"○","停","×","－"),"")</f>
        <v>－</v>
      </c>
      <c r="AM36" s="35" t="str">
        <f aca="false">IFERROR(CHOOSE(MATCH(INDEX(時間ごとの判定!$AK$3:$AK$1850,780),{"利用可","両方停止","運転がそろわない","判定不能"},0),"○","停","×","－"),"")</f>
        <v>－</v>
      </c>
      <c r="AN36" s="35" t="str">
        <f aca="false">IFERROR(CHOOSE(MATCH(INDEX(時間ごとの判定!$AK$3:$AK$1850,781),{"利用可","両方停止","運転がそろわない","判定不能"},0),"○","停","×","－"),"")</f>
        <v>－</v>
      </c>
      <c r="AO36" s="35" t="str">
        <f aca="false">IFERROR(CHOOSE(MATCH(INDEX(時間ごとの判定!$AK$3:$AK$1850,782),{"利用可","両方停止","運転がそろわない","判定不能"},0),"○","停","×","－"),"")</f>
        <v>－</v>
      </c>
      <c r="AP36" s="35" t="str">
        <f aca="false">IFERROR(CHOOSE(MATCH(INDEX(時間ごとの判定!$AK$3:$AK$1850,783),{"利用可","両方停止","運転がそろわない","判定不能"},0),"○","停","×","－"),"")</f>
        <v>－</v>
      </c>
      <c r="AQ36" s="35" t="str">
        <f aca="false">IFERROR(CHOOSE(MATCH(INDEX(時間ごとの判定!$AK$3:$AK$1850,784),{"利用可","両方停止","運転がそろわない","判定不能"},0),"○","停","×","－"),"")</f>
        <v>－</v>
      </c>
      <c r="AR36" s="35" t="str">
        <f aca="false">IFERROR(CHOOSE(MATCH(INDEX(時間ごとの判定!$AK$3:$AK$1850,785),{"利用可","両方停止","運転がそろわない","判定不能"},0),"○","停","×","－"),"")</f>
        <v>－</v>
      </c>
      <c r="AS36" s="35" t="str">
        <f aca="false">IFERROR(CHOOSE(MATCH(INDEX(時間ごとの判定!$AK$3:$AK$1850,786),{"利用可","両方停止","運転がそろわない","判定不能"},0),"○","停","×","－"),"")</f>
        <v>－</v>
      </c>
      <c r="AT36" s="35" t="str">
        <f aca="false">IFERROR(CHOOSE(MATCH(INDEX(時間ごとの判定!$AK$3:$AK$1850,787),{"利用可","両方停止","運転がそろわない","判定不能"},0),"○","停","×","－"),"")</f>
        <v>－</v>
      </c>
      <c r="AU36" s="35" t="str">
        <f aca="false">IFERROR(CHOOSE(MATCH(INDEX(時間ごとの判定!$AK$3:$AK$1850,788),{"利用可","両方停止","運転がそろわない","判定不能"},0),"○","停","×","－"),"")</f>
        <v>－</v>
      </c>
      <c r="AV36" s="35" t="str">
        <f aca="false">IFERROR(CHOOSE(MATCH(INDEX(時間ごとの判定!$AK$3:$AK$1850,789),{"利用可","両方停止","運転がそろわない","判定不能"},0),"○","停","×","－"),"")</f>
        <v>－</v>
      </c>
      <c r="AW36" s="35" t="str">
        <f aca="false">IFERROR(CHOOSE(MATCH(INDEX(時間ごとの判定!$AK$3:$AK$1850,790),{"利用可","両方停止","運転がそろわない","判定不能"},0),"○","停","×","－"),"")</f>
        <v>－</v>
      </c>
      <c r="AX36" s="35" t="str">
        <f aca="false">IFERROR(CHOOSE(MATCH(INDEX(時間ごとの判定!$AK$3:$AK$1850,791),{"利用可","両方停止","運転がそろわない","判定不能"},0),"○","停","×","－"),"")</f>
        <v>－</v>
      </c>
      <c r="AY36" s="35" t="str">
        <f aca="false">IFERROR(CHOOSE(MATCH(INDEX(時間ごとの判定!$AK$3:$AK$1850,792),{"利用可","両方停止","運転がそろわない","判定不能"},0),"○","停","×","－"),"")</f>
        <v>－</v>
      </c>
      <c r="AZ36" s="35"/>
      <c r="BA36" s="35" t="str">
        <f aca="false">IFERROR(CHOOSE(MATCH(INDEX(時間ごとの判定!$AN$3:$AN$1850,769),{"利用可","両方停止","運転がそろわない","判定不能"},0),"○","停","×","－"),"")</f>
        <v>停</v>
      </c>
      <c r="BB36" s="35" t="str">
        <f aca="false">IFERROR(CHOOSE(MATCH(INDEX(時間ごとの判定!$AN$3:$AN$1850,770),{"利用可","両方停止","運転がそろわない","判定不能"},0),"○","停","×","－"),"")</f>
        <v>停</v>
      </c>
      <c r="BC36" s="35" t="str">
        <f aca="false">IFERROR(CHOOSE(MATCH(INDEX(時間ごとの判定!$AN$3:$AN$1850,771),{"利用可","両方停止","運転がそろわない","判定不能"},0),"○","停","×","－"),"")</f>
        <v>停</v>
      </c>
      <c r="BD36" s="35" t="str">
        <f aca="false">IFERROR(CHOOSE(MATCH(INDEX(時間ごとの判定!$AN$3:$AN$1850,772),{"利用可","両方停止","運転がそろわない","判定不能"},0),"○","停","×","－"),"")</f>
        <v>停</v>
      </c>
      <c r="BE36" s="35" t="str">
        <f aca="false">IFERROR(CHOOSE(MATCH(INDEX(時間ごとの判定!$AN$3:$AN$1850,773),{"利用可","両方停止","運転がそろわない","判定不能"},0),"○","停","×","－"),"")</f>
        <v>停</v>
      </c>
      <c r="BF36" s="35" t="str">
        <f aca="false">IFERROR(CHOOSE(MATCH(INDEX(時間ごとの判定!$AN$3:$AN$1850,774),{"利用可","両方停止","運転がそろわない","判定不能"},0),"○","停","×","－"),"")</f>
        <v>停</v>
      </c>
      <c r="BG36" s="35" t="str">
        <f aca="false">IFERROR(CHOOSE(MATCH(INDEX(時間ごとの判定!$AN$3:$AN$1850,775),{"利用可","両方停止","運転がそろわない","判定不能"},0),"○","停","×","－"),"")</f>
        <v>停</v>
      </c>
      <c r="BH36" s="35" t="str">
        <f aca="false">IFERROR(CHOOSE(MATCH(INDEX(時間ごとの判定!$AN$3:$AN$1850,776),{"利用可","両方停止","運転がそろわない","判定不能"},0),"○","停","×","－"),"")</f>
        <v>×</v>
      </c>
      <c r="BI36" s="35" t="str">
        <f aca="false">IFERROR(CHOOSE(MATCH(INDEX(時間ごとの判定!$AN$3:$AN$1850,777),{"利用可","両方停止","運転がそろわない","判定不能"},0),"○","停","×","－"),"")</f>
        <v>×</v>
      </c>
      <c r="BJ36" s="35" t="str">
        <f aca="false">IFERROR(CHOOSE(MATCH(INDEX(時間ごとの判定!$AN$3:$AN$1850,778),{"利用可","両方停止","運転がそろわない","判定不能"},0),"○","停","×","－"),"")</f>
        <v>○</v>
      </c>
      <c r="BK36" s="35" t="str">
        <f aca="false">IFERROR(CHOOSE(MATCH(INDEX(時間ごとの判定!$AN$3:$AN$1850,779),{"利用可","両方停止","運転がそろわない","判定不能"},0),"○","停","×","－"),"")</f>
        <v>○</v>
      </c>
      <c r="BL36" s="35" t="str">
        <f aca="false">IFERROR(CHOOSE(MATCH(INDEX(時間ごとの判定!$AN$3:$AN$1850,780),{"利用可","両方停止","運転がそろわない","判定不能"},0),"○","停","×","－"),"")</f>
        <v>○</v>
      </c>
      <c r="BM36" s="35" t="str">
        <f aca="false">IFERROR(CHOOSE(MATCH(INDEX(時間ごとの判定!$AN$3:$AN$1850,781),{"利用可","両方停止","運転がそろわない","判定不能"},0),"○","停","×","－"),"")</f>
        <v>○</v>
      </c>
      <c r="BN36" s="35" t="str">
        <f aca="false">IFERROR(CHOOSE(MATCH(INDEX(時間ごとの判定!$AN$3:$AN$1850,782),{"利用可","両方停止","運転がそろわない","判定不能"},0),"○","停","×","－"),"")</f>
        <v>○</v>
      </c>
      <c r="BO36" s="35" t="str">
        <f aca="false">IFERROR(CHOOSE(MATCH(INDEX(時間ごとの判定!$AN$3:$AN$1850,783),{"利用可","両方停止","運転がそろわない","判定不能"},0),"○","停","×","－"),"")</f>
        <v>×</v>
      </c>
      <c r="BP36" s="35" t="str">
        <f aca="false">IFERROR(CHOOSE(MATCH(INDEX(時間ごとの判定!$AN$3:$AN$1850,784),{"利用可","両方停止","運転がそろわない","判定不能"},0),"○","停","×","－"),"")</f>
        <v>×</v>
      </c>
      <c r="BQ36" s="35" t="str">
        <f aca="false">IFERROR(CHOOSE(MATCH(INDEX(時間ごとの判定!$AN$3:$AN$1850,785),{"利用可","両方停止","運転がそろわない","判定不能"},0),"○","停","×","－"),"")</f>
        <v>×</v>
      </c>
      <c r="BR36" s="35" t="str">
        <f aca="false">IFERROR(CHOOSE(MATCH(INDEX(時間ごとの判定!$AN$3:$AN$1850,786),{"利用可","両方停止","運転がそろわない","判定不能"},0),"○","停","×","－"),"")</f>
        <v>×</v>
      </c>
      <c r="BS36" s="35" t="str">
        <f aca="false">IFERROR(CHOOSE(MATCH(INDEX(時間ごとの判定!$AN$3:$AN$1850,787),{"利用可","両方停止","運転がそろわない","判定不能"},0),"○","停","×","－"),"")</f>
        <v>×</v>
      </c>
      <c r="BT36" s="35" t="str">
        <f aca="false">IFERROR(CHOOSE(MATCH(INDEX(時間ごとの判定!$AN$3:$AN$1850,788),{"利用可","両方停止","運転がそろわない","判定不能"},0),"○","停","×","－"),"")</f>
        <v>×</v>
      </c>
      <c r="BU36" s="35" t="str">
        <f aca="false">IFERROR(CHOOSE(MATCH(INDEX(時間ごとの判定!$AN$3:$AN$1850,789),{"利用可","両方停止","運転がそろわない","判定不能"},0),"○","停","×","－"),"")</f>
        <v>×</v>
      </c>
      <c r="BV36" s="35" t="str">
        <f aca="false">IFERROR(CHOOSE(MATCH(INDEX(時間ごとの判定!$AN$3:$AN$1850,790),{"利用可","両方停止","運転がそろわない","判定不能"},0),"○","停","×","－"),"")</f>
        <v>×</v>
      </c>
      <c r="BW36" s="35" t="str">
        <f aca="false">IFERROR(CHOOSE(MATCH(INDEX(時間ごとの判定!$AN$3:$AN$1850,791),{"利用可","両方停止","運転がそろわない","判定不能"},0),"○","停","×","－"),"")</f>
        <v>停</v>
      </c>
      <c r="BX36" s="35" t="str">
        <f aca="false">IFERROR(CHOOSE(MATCH(INDEX(時間ごとの判定!$AN$3:$AN$1850,792),{"利用可","両方停止","運転がそろわない","判定不能"},0),"○","停","×","－"),"")</f>
        <v>停</v>
      </c>
    </row>
    <row r="37" customFormat="false" ht="15" hidden="false" customHeight="false" outlineLevel="0" collapsed="false">
      <c r="A37" s="33" t="n">
        <v>46265</v>
      </c>
      <c r="B37" s="34" t="s">
        <v>66</v>
      </c>
      <c r="C37" s="35" t="str">
        <f aca="false">IFERROR(CHOOSE(MATCH(INDEX(時間ごとの判定!$AH$3:$AH$1850,793),{"利用可","両方停止","運転がそろわない","判定不能"},0),"○","停","×","－"),"")</f>
        <v>停</v>
      </c>
      <c r="D37" s="35" t="str">
        <f aca="false">IFERROR(CHOOSE(MATCH(INDEX(時間ごとの判定!$AH$3:$AH$1850,794),{"利用可","両方停止","運転がそろわない","判定不能"},0),"○","停","×","－"),"")</f>
        <v>停</v>
      </c>
      <c r="E37" s="35" t="str">
        <f aca="false">IFERROR(CHOOSE(MATCH(INDEX(時間ごとの判定!$AH$3:$AH$1850,795),{"利用可","両方停止","運転がそろわない","判定不能"},0),"○","停","×","－"),"")</f>
        <v>停</v>
      </c>
      <c r="F37" s="35" t="str">
        <f aca="false">IFERROR(CHOOSE(MATCH(INDEX(時間ごとの判定!$AH$3:$AH$1850,796),{"利用可","両方停止","運転がそろわない","判定不能"},0),"○","停","×","－"),"")</f>
        <v>停</v>
      </c>
      <c r="G37" s="35" t="str">
        <f aca="false">IFERROR(CHOOSE(MATCH(INDEX(時間ごとの判定!$AH$3:$AH$1850,797),{"利用可","両方停止","運転がそろわない","判定不能"},0),"○","停","×","－"),"")</f>
        <v>停</v>
      </c>
      <c r="H37" s="35" t="str">
        <f aca="false">IFERROR(CHOOSE(MATCH(INDEX(時間ごとの判定!$AH$3:$AH$1850,798),{"利用可","両方停止","運転がそろわない","判定不能"},0),"○","停","×","－"),"")</f>
        <v>停</v>
      </c>
      <c r="I37" s="35" t="str">
        <f aca="false">IFERROR(CHOOSE(MATCH(INDEX(時間ごとの判定!$AH$3:$AH$1850,799),{"利用可","両方停止","運転がそろわない","判定不能"},0),"○","停","×","－"),"")</f>
        <v>停</v>
      </c>
      <c r="J37" s="35" t="str">
        <f aca="false">IFERROR(CHOOSE(MATCH(INDEX(時間ごとの判定!$AH$3:$AH$1850,800),{"利用可","両方停止","運転がそろわない","判定不能"},0),"○","停","×","－"),"")</f>
        <v>×</v>
      </c>
      <c r="K37" s="35" t="str">
        <f aca="false">IFERROR(CHOOSE(MATCH(INDEX(時間ごとの判定!$AH$3:$AH$1850,801),{"利用可","両方停止","運転がそろわない","判定不能"},0),"○","停","×","－"),"")</f>
        <v>停</v>
      </c>
      <c r="L37" s="35" t="str">
        <f aca="false">IFERROR(CHOOSE(MATCH(INDEX(時間ごとの判定!$AH$3:$AH$1850,802),{"利用可","両方停止","運転がそろわない","判定不能"},0),"○","停","×","－"),"")</f>
        <v>×</v>
      </c>
      <c r="M37" s="35" t="str">
        <f aca="false">IFERROR(CHOOSE(MATCH(INDEX(時間ごとの判定!$AH$3:$AH$1850,803),{"利用可","両方停止","運転がそろわない","判定不能"},0),"○","停","×","－"),"")</f>
        <v>○</v>
      </c>
      <c r="N37" s="35" t="str">
        <f aca="false">IFERROR(CHOOSE(MATCH(INDEX(時間ごとの判定!$AH$3:$AH$1850,804),{"利用可","両方停止","運転がそろわない","判定不能"},0),"○","停","×","－"),"")</f>
        <v>○</v>
      </c>
      <c r="O37" s="35" t="str">
        <f aca="false">IFERROR(CHOOSE(MATCH(INDEX(時間ごとの判定!$AH$3:$AH$1850,805),{"利用可","両方停止","運転がそろわない","判定不能"},0),"○","停","×","－"),"")</f>
        <v>○</v>
      </c>
      <c r="P37" s="35" t="str">
        <f aca="false">IFERROR(CHOOSE(MATCH(INDEX(時間ごとの判定!$AH$3:$AH$1850,806),{"利用可","両方停止","運転がそろわない","判定不能"},0),"○","停","×","－"),"")</f>
        <v>○</v>
      </c>
      <c r="Q37" s="35" t="str">
        <f aca="false">IFERROR(CHOOSE(MATCH(INDEX(時間ごとの判定!$AH$3:$AH$1850,807),{"利用可","両方停止","運転がそろわない","判定不能"},0),"○","停","×","－"),"")</f>
        <v>○</v>
      </c>
      <c r="R37" s="35" t="str">
        <f aca="false">IFERROR(CHOOSE(MATCH(INDEX(時間ごとの判定!$AH$3:$AH$1850,808),{"利用可","両方停止","運転がそろわない","判定不能"},0),"○","停","×","－"),"")</f>
        <v>○</v>
      </c>
      <c r="S37" s="35" t="str">
        <f aca="false">IFERROR(CHOOSE(MATCH(INDEX(時間ごとの判定!$AH$3:$AH$1850,809),{"利用可","両方停止","運転がそろわない","判定不能"},0),"○","停","×","－"),"")</f>
        <v>○</v>
      </c>
      <c r="T37" s="35" t="str">
        <f aca="false">IFERROR(CHOOSE(MATCH(INDEX(時間ごとの判定!$AH$3:$AH$1850,810),{"利用可","両方停止","運転がそろわない","判定不能"},0),"○","停","×","－"),"")</f>
        <v>○</v>
      </c>
      <c r="U37" s="35" t="str">
        <f aca="false">IFERROR(CHOOSE(MATCH(INDEX(時間ごとの判定!$AH$3:$AH$1850,811),{"利用可","両方停止","運転がそろわない","判定不能"},0),"○","停","×","－"),"")</f>
        <v>×</v>
      </c>
      <c r="V37" s="35" t="str">
        <f aca="false">IFERROR(CHOOSE(MATCH(INDEX(時間ごとの判定!$AH$3:$AH$1850,812),{"利用可","両方停止","運転がそろわない","判定不能"},0),"○","停","×","－"),"")</f>
        <v>×</v>
      </c>
      <c r="W37" s="35" t="str">
        <f aca="false">IFERROR(CHOOSE(MATCH(INDEX(時間ごとの判定!$AH$3:$AH$1850,813),{"利用可","両方停止","運転がそろわない","判定不能"},0),"○","停","×","－"),"")</f>
        <v>×</v>
      </c>
      <c r="X37" s="35" t="str">
        <f aca="false">IFERROR(CHOOSE(MATCH(INDEX(時間ごとの判定!$AH$3:$AH$1850,814),{"利用可","両方停止","運転がそろわない","判定不能"},0),"○","停","×","－"),"")</f>
        <v>停</v>
      </c>
      <c r="Y37" s="35" t="str">
        <f aca="false">IFERROR(CHOOSE(MATCH(INDEX(時間ごとの判定!$AH$3:$AH$1850,815),{"利用可","両方停止","運転がそろわない","判定不能"},0),"○","停","×","－"),"")</f>
        <v>停</v>
      </c>
      <c r="Z37" s="35" t="str">
        <f aca="false">IFERROR(CHOOSE(MATCH(INDEX(時間ごとの判定!$AH$3:$AH$1850,816),{"利用可","両方停止","運転がそろわない","判定不能"},0),"○","停","×","－"),"")</f>
        <v>停</v>
      </c>
      <c r="AA37" s="35"/>
      <c r="AB37" s="35" t="str">
        <f aca="false">IFERROR(CHOOSE(MATCH(INDEX(時間ごとの判定!$AK$3:$AK$1850,793),{"利用可","両方停止","運転がそろわない","判定不能"},0),"○","停","×","－"),"")</f>
        <v>－</v>
      </c>
      <c r="AC37" s="35" t="str">
        <f aca="false">IFERROR(CHOOSE(MATCH(INDEX(時間ごとの判定!$AK$3:$AK$1850,794),{"利用可","両方停止","運転がそろわない","判定不能"},0),"○","停","×","－"),"")</f>
        <v>－</v>
      </c>
      <c r="AD37" s="35" t="str">
        <f aca="false">IFERROR(CHOOSE(MATCH(INDEX(時間ごとの判定!$AK$3:$AK$1850,795),{"利用可","両方停止","運転がそろわない","判定不能"},0),"○","停","×","－"),"")</f>
        <v>－</v>
      </c>
      <c r="AE37" s="35" t="str">
        <f aca="false">IFERROR(CHOOSE(MATCH(INDEX(時間ごとの判定!$AK$3:$AK$1850,796),{"利用可","両方停止","運転がそろわない","判定不能"},0),"○","停","×","－"),"")</f>
        <v>－</v>
      </c>
      <c r="AF37" s="35" t="str">
        <f aca="false">IFERROR(CHOOSE(MATCH(INDEX(時間ごとの判定!$AK$3:$AK$1850,797),{"利用可","両方停止","運転がそろわない","判定不能"},0),"○","停","×","－"),"")</f>
        <v>－</v>
      </c>
      <c r="AG37" s="35" t="str">
        <f aca="false">IFERROR(CHOOSE(MATCH(INDEX(時間ごとの判定!$AK$3:$AK$1850,798),{"利用可","両方停止","運転がそろわない","判定不能"},0),"○","停","×","－"),"")</f>
        <v>－</v>
      </c>
      <c r="AH37" s="35" t="str">
        <f aca="false">IFERROR(CHOOSE(MATCH(INDEX(時間ごとの判定!$AK$3:$AK$1850,799),{"利用可","両方停止","運転がそろわない","判定不能"},0),"○","停","×","－"),"")</f>
        <v>－</v>
      </c>
      <c r="AI37" s="35" t="str">
        <f aca="false">IFERROR(CHOOSE(MATCH(INDEX(時間ごとの判定!$AK$3:$AK$1850,800),{"利用可","両方停止","運転がそろわない","判定不能"},0),"○","停","×","－"),"")</f>
        <v>－</v>
      </c>
      <c r="AJ37" s="35" t="str">
        <f aca="false">IFERROR(CHOOSE(MATCH(INDEX(時間ごとの判定!$AK$3:$AK$1850,801),{"利用可","両方停止","運転がそろわない","判定不能"},0),"○","停","×","－"),"")</f>
        <v>－</v>
      </c>
      <c r="AK37" s="35" t="str">
        <f aca="false">IFERROR(CHOOSE(MATCH(INDEX(時間ごとの判定!$AK$3:$AK$1850,802),{"利用可","両方停止","運転がそろわない","判定不能"},0),"○","停","×","－"),"")</f>
        <v>－</v>
      </c>
      <c r="AL37" s="35" t="str">
        <f aca="false">IFERROR(CHOOSE(MATCH(INDEX(時間ごとの判定!$AK$3:$AK$1850,803),{"利用可","両方停止","運転がそろわない","判定不能"},0),"○","停","×","－"),"")</f>
        <v>－</v>
      </c>
      <c r="AM37" s="35" t="str">
        <f aca="false">IFERROR(CHOOSE(MATCH(INDEX(時間ごとの判定!$AK$3:$AK$1850,804),{"利用可","両方停止","運転がそろわない","判定不能"},0),"○","停","×","－"),"")</f>
        <v>－</v>
      </c>
      <c r="AN37" s="35" t="str">
        <f aca="false">IFERROR(CHOOSE(MATCH(INDEX(時間ごとの判定!$AK$3:$AK$1850,805),{"利用可","両方停止","運転がそろわない","判定不能"},0),"○","停","×","－"),"")</f>
        <v>－</v>
      </c>
      <c r="AO37" s="35" t="str">
        <f aca="false">IFERROR(CHOOSE(MATCH(INDEX(時間ごとの判定!$AK$3:$AK$1850,806),{"利用可","両方停止","運転がそろわない","判定不能"},0),"○","停","×","－"),"")</f>
        <v>－</v>
      </c>
      <c r="AP37" s="35" t="str">
        <f aca="false">IFERROR(CHOOSE(MATCH(INDEX(時間ごとの判定!$AK$3:$AK$1850,807),{"利用可","両方停止","運転がそろわない","判定不能"},0),"○","停","×","－"),"")</f>
        <v>－</v>
      </c>
      <c r="AQ37" s="35" t="str">
        <f aca="false">IFERROR(CHOOSE(MATCH(INDEX(時間ごとの判定!$AK$3:$AK$1850,808),{"利用可","両方停止","運転がそろわない","判定不能"},0),"○","停","×","－"),"")</f>
        <v>－</v>
      </c>
      <c r="AR37" s="35" t="str">
        <f aca="false">IFERROR(CHOOSE(MATCH(INDEX(時間ごとの判定!$AK$3:$AK$1850,809),{"利用可","両方停止","運転がそろわない","判定不能"},0),"○","停","×","－"),"")</f>
        <v>－</v>
      </c>
      <c r="AS37" s="35" t="str">
        <f aca="false">IFERROR(CHOOSE(MATCH(INDEX(時間ごとの判定!$AK$3:$AK$1850,810),{"利用可","両方停止","運転がそろわない","判定不能"},0),"○","停","×","－"),"")</f>
        <v>－</v>
      </c>
      <c r="AT37" s="35" t="str">
        <f aca="false">IFERROR(CHOOSE(MATCH(INDEX(時間ごとの判定!$AK$3:$AK$1850,811),{"利用可","両方停止","運転がそろわない","判定不能"},0),"○","停","×","－"),"")</f>
        <v>－</v>
      </c>
      <c r="AU37" s="35" t="str">
        <f aca="false">IFERROR(CHOOSE(MATCH(INDEX(時間ごとの判定!$AK$3:$AK$1850,812),{"利用可","両方停止","運転がそろわない","判定不能"},0),"○","停","×","－"),"")</f>
        <v>－</v>
      </c>
      <c r="AV37" s="35" t="str">
        <f aca="false">IFERROR(CHOOSE(MATCH(INDEX(時間ごとの判定!$AK$3:$AK$1850,813),{"利用可","両方停止","運転がそろわない","判定不能"},0),"○","停","×","－"),"")</f>
        <v>－</v>
      </c>
      <c r="AW37" s="35" t="str">
        <f aca="false">IFERROR(CHOOSE(MATCH(INDEX(時間ごとの判定!$AK$3:$AK$1850,814),{"利用可","両方停止","運転がそろわない","判定不能"},0),"○","停","×","－"),"")</f>
        <v>－</v>
      </c>
      <c r="AX37" s="35" t="str">
        <f aca="false">IFERROR(CHOOSE(MATCH(INDEX(時間ごとの判定!$AK$3:$AK$1850,815),{"利用可","両方停止","運転がそろわない","判定不能"},0),"○","停","×","－"),"")</f>
        <v>－</v>
      </c>
      <c r="AY37" s="35" t="str">
        <f aca="false">IFERROR(CHOOSE(MATCH(INDEX(時間ごとの判定!$AK$3:$AK$1850,816),{"利用可","両方停止","運転がそろわない","判定不能"},0),"○","停","×","－"),"")</f>
        <v>－</v>
      </c>
      <c r="AZ37" s="35"/>
      <c r="BA37" s="35" t="str">
        <f aca="false">IFERROR(CHOOSE(MATCH(INDEX(時間ごとの判定!$AN$3:$AN$1850,793),{"利用可","両方停止","運転がそろわない","判定不能"},0),"○","停","×","－"),"")</f>
        <v>停</v>
      </c>
      <c r="BB37" s="35" t="str">
        <f aca="false">IFERROR(CHOOSE(MATCH(INDEX(時間ごとの判定!$AN$3:$AN$1850,794),{"利用可","両方停止","運転がそろわない","判定不能"},0),"○","停","×","－"),"")</f>
        <v>停</v>
      </c>
      <c r="BC37" s="35" t="str">
        <f aca="false">IFERROR(CHOOSE(MATCH(INDEX(時間ごとの判定!$AN$3:$AN$1850,795),{"利用可","両方停止","運転がそろわない","判定不能"},0),"○","停","×","－"),"")</f>
        <v>停</v>
      </c>
      <c r="BD37" s="35" t="str">
        <f aca="false">IFERROR(CHOOSE(MATCH(INDEX(時間ごとの判定!$AN$3:$AN$1850,796),{"利用可","両方停止","運転がそろわない","判定不能"},0),"○","停","×","－"),"")</f>
        <v>停</v>
      </c>
      <c r="BE37" s="35" t="str">
        <f aca="false">IFERROR(CHOOSE(MATCH(INDEX(時間ごとの判定!$AN$3:$AN$1850,797),{"利用可","両方停止","運転がそろわない","判定不能"},0),"○","停","×","－"),"")</f>
        <v>停</v>
      </c>
      <c r="BF37" s="35" t="str">
        <f aca="false">IFERROR(CHOOSE(MATCH(INDEX(時間ごとの判定!$AN$3:$AN$1850,798),{"利用可","両方停止","運転がそろわない","判定不能"},0),"○","停","×","－"),"")</f>
        <v>停</v>
      </c>
      <c r="BG37" s="35" t="str">
        <f aca="false">IFERROR(CHOOSE(MATCH(INDEX(時間ごとの判定!$AN$3:$AN$1850,799),{"利用可","両方停止","運転がそろわない","判定不能"},0),"○","停","×","－"),"")</f>
        <v>停</v>
      </c>
      <c r="BH37" s="35" t="str">
        <f aca="false">IFERROR(CHOOSE(MATCH(INDEX(時間ごとの判定!$AN$3:$AN$1850,800),{"利用可","両方停止","運転がそろわない","判定不能"},0),"○","停","×","－"),"")</f>
        <v>×</v>
      </c>
      <c r="BI37" s="35" t="str">
        <f aca="false">IFERROR(CHOOSE(MATCH(INDEX(時間ごとの判定!$AN$3:$AN$1850,801),{"利用可","両方停止","運転がそろわない","判定不能"},0),"○","停","×","－"),"")</f>
        <v>×</v>
      </c>
      <c r="BJ37" s="35" t="str">
        <f aca="false">IFERROR(CHOOSE(MATCH(INDEX(時間ごとの判定!$AN$3:$AN$1850,802),{"利用可","両方停止","運転がそろわない","判定不能"},0),"○","停","×","－"),"")</f>
        <v>○</v>
      </c>
      <c r="BK37" s="35" t="str">
        <f aca="false">IFERROR(CHOOSE(MATCH(INDEX(時間ごとの判定!$AN$3:$AN$1850,803),{"利用可","両方停止","運転がそろわない","判定不能"},0),"○","停","×","－"),"")</f>
        <v>○</v>
      </c>
      <c r="BL37" s="35" t="str">
        <f aca="false">IFERROR(CHOOSE(MATCH(INDEX(時間ごとの判定!$AN$3:$AN$1850,804),{"利用可","両方停止","運転がそろわない","判定不能"},0),"○","停","×","－"),"")</f>
        <v>○</v>
      </c>
      <c r="BM37" s="35" t="str">
        <f aca="false">IFERROR(CHOOSE(MATCH(INDEX(時間ごとの判定!$AN$3:$AN$1850,805),{"利用可","両方停止","運転がそろわない","判定不能"},0),"○","停","×","－"),"")</f>
        <v>○</v>
      </c>
      <c r="BN37" s="35" t="str">
        <f aca="false">IFERROR(CHOOSE(MATCH(INDEX(時間ごとの判定!$AN$3:$AN$1850,806),{"利用可","両方停止","運転がそろわない","判定不能"},0),"○","停","×","－"),"")</f>
        <v>○</v>
      </c>
      <c r="BO37" s="35" t="str">
        <f aca="false">IFERROR(CHOOSE(MATCH(INDEX(時間ごとの判定!$AN$3:$AN$1850,807),{"利用可","両方停止","運転がそろわない","判定不能"},0),"○","停","×","－"),"")</f>
        <v>○</v>
      </c>
      <c r="BP37" s="35" t="str">
        <f aca="false">IFERROR(CHOOSE(MATCH(INDEX(時間ごとの判定!$AN$3:$AN$1850,808),{"利用可","両方停止","運転がそろわない","判定不能"},0),"○","停","×","－"),"")</f>
        <v>○</v>
      </c>
      <c r="BQ37" s="35" t="str">
        <f aca="false">IFERROR(CHOOSE(MATCH(INDEX(時間ごとの判定!$AN$3:$AN$1850,809),{"利用可","両方停止","運転がそろわない","判定不能"},0),"○","停","×","－"),"")</f>
        <v>○</v>
      </c>
      <c r="BR37" s="35" t="str">
        <f aca="false">IFERROR(CHOOSE(MATCH(INDEX(時間ごとの判定!$AN$3:$AN$1850,810),{"利用可","両方停止","運転がそろわない","判定不能"},0),"○","停","×","－"),"")</f>
        <v>×</v>
      </c>
      <c r="BS37" s="35" t="str">
        <f aca="false">IFERROR(CHOOSE(MATCH(INDEX(時間ごとの判定!$AN$3:$AN$1850,811),{"利用可","両方停止","運転がそろわない","判定不能"},0),"○","停","×","－"),"")</f>
        <v>×</v>
      </c>
      <c r="BT37" s="35" t="str">
        <f aca="false">IFERROR(CHOOSE(MATCH(INDEX(時間ごとの判定!$AN$3:$AN$1850,812),{"利用可","両方停止","運転がそろわない","判定不能"},0),"○","停","×","－"),"")</f>
        <v>×</v>
      </c>
      <c r="BU37" s="35" t="str">
        <f aca="false">IFERROR(CHOOSE(MATCH(INDEX(時間ごとの判定!$AN$3:$AN$1850,813),{"利用可","両方停止","運転がそろわない","判定不能"},0),"○","停","×","－"),"")</f>
        <v>×</v>
      </c>
      <c r="BV37" s="35" t="str">
        <f aca="false">IFERROR(CHOOSE(MATCH(INDEX(時間ごとの判定!$AN$3:$AN$1850,814),{"利用可","両方停止","運転がそろわない","判定不能"},0),"○","停","×","－"),"")</f>
        <v>停</v>
      </c>
      <c r="BW37" s="35" t="str">
        <f aca="false">IFERROR(CHOOSE(MATCH(INDEX(時間ごとの判定!$AN$3:$AN$1850,815),{"利用可","両方停止","運転がそろわない","判定不能"},0),"○","停","×","－"),"")</f>
        <v>停</v>
      </c>
      <c r="BX37" s="35" t="str">
        <f aca="false">IFERROR(CHOOSE(MATCH(INDEX(時間ごとの判定!$AN$3:$AN$1850,816),{"利用可","両方停止","運転がそろわない","判定不能"},0),"○","停","×","－"),"")</f>
        <v>停</v>
      </c>
    </row>
    <row r="38" customFormat="false" ht="15" hidden="false" customHeight="false" outlineLevel="0" collapsed="false">
      <c r="A38" s="33" t="n">
        <v>46266</v>
      </c>
      <c r="B38" s="34" t="s">
        <v>67</v>
      </c>
      <c r="C38" s="35" t="str">
        <f aca="false">IFERROR(CHOOSE(MATCH(INDEX(時間ごとの判定!$AH$3:$AH$1850,817),{"利用可","両方停止","運転がそろわない","判定不能"},0),"○","停","×","－"),"")</f>
        <v>停</v>
      </c>
      <c r="D38" s="35" t="str">
        <f aca="false">IFERROR(CHOOSE(MATCH(INDEX(時間ごとの判定!$AH$3:$AH$1850,818),{"利用可","両方停止","運転がそろわない","判定不能"},0),"○","停","×","－"),"")</f>
        <v>停</v>
      </c>
      <c r="E38" s="35" t="str">
        <f aca="false">IFERROR(CHOOSE(MATCH(INDEX(時間ごとの判定!$AH$3:$AH$1850,819),{"利用可","両方停止","運転がそろわない","判定不能"},0),"○","停","×","－"),"")</f>
        <v>停</v>
      </c>
      <c r="F38" s="35" t="str">
        <f aca="false">IFERROR(CHOOSE(MATCH(INDEX(時間ごとの判定!$AH$3:$AH$1850,820),{"利用可","両方停止","運転がそろわない","判定不能"},0),"○","停","×","－"),"")</f>
        <v>停</v>
      </c>
      <c r="G38" s="35" t="str">
        <f aca="false">IFERROR(CHOOSE(MATCH(INDEX(時間ごとの判定!$AH$3:$AH$1850,821),{"利用可","両方停止","運転がそろわない","判定不能"},0),"○","停","×","－"),"")</f>
        <v>停</v>
      </c>
      <c r="H38" s="35" t="str">
        <f aca="false">IFERROR(CHOOSE(MATCH(INDEX(時間ごとの判定!$AH$3:$AH$1850,822),{"利用可","両方停止","運転がそろわない","判定不能"},0),"○","停","×","－"),"")</f>
        <v>停</v>
      </c>
      <c r="I38" s="35" t="str">
        <f aca="false">IFERROR(CHOOSE(MATCH(INDEX(時間ごとの判定!$AH$3:$AH$1850,823),{"利用可","両方停止","運転がそろわない","判定不能"},0),"○","停","×","－"),"")</f>
        <v>停</v>
      </c>
      <c r="J38" s="35" t="str">
        <f aca="false">IFERROR(CHOOSE(MATCH(INDEX(時間ごとの判定!$AH$3:$AH$1850,824),{"利用可","両方停止","運転がそろわない","判定不能"},0),"○","停","×","－"),"")</f>
        <v>×</v>
      </c>
      <c r="K38" s="35" t="str">
        <f aca="false">IFERROR(CHOOSE(MATCH(INDEX(時間ごとの判定!$AH$3:$AH$1850,825),{"利用可","両方停止","運転がそろわない","判定不能"},0),"○","停","×","－"),"")</f>
        <v>×</v>
      </c>
      <c r="L38" s="35" t="str">
        <f aca="false">IFERROR(CHOOSE(MATCH(INDEX(時間ごとの判定!$AH$3:$AH$1850,826),{"利用可","両方停止","運転がそろわない","判定不能"},0),"○","停","×","－"),"")</f>
        <v>○</v>
      </c>
      <c r="M38" s="35" t="str">
        <f aca="false">IFERROR(CHOOSE(MATCH(INDEX(時間ごとの判定!$AH$3:$AH$1850,827),{"利用可","両方停止","運転がそろわない","判定不能"},0),"○","停","×","－"),"")</f>
        <v>○</v>
      </c>
      <c r="N38" s="35" t="str">
        <f aca="false">IFERROR(CHOOSE(MATCH(INDEX(時間ごとの判定!$AH$3:$AH$1850,828),{"利用可","両方停止","運転がそろわない","判定不能"},0),"○","停","×","－"),"")</f>
        <v>○</v>
      </c>
      <c r="O38" s="35" t="str">
        <f aca="false">IFERROR(CHOOSE(MATCH(INDEX(時間ごとの判定!$AH$3:$AH$1850,829),{"利用可","両方停止","運転がそろわない","判定不能"},0),"○","停","×","－"),"")</f>
        <v>○</v>
      </c>
      <c r="P38" s="35" t="str">
        <f aca="false">IFERROR(CHOOSE(MATCH(INDEX(時間ごとの判定!$AH$3:$AH$1850,830),{"利用可","両方停止","運転がそろわない","判定不能"},0),"○","停","×","－"),"")</f>
        <v>○</v>
      </c>
      <c r="Q38" s="35" t="str">
        <f aca="false">IFERROR(CHOOSE(MATCH(INDEX(時間ごとの判定!$AH$3:$AH$1850,831),{"利用可","両方停止","運転がそろわない","判定不能"},0),"○","停","×","－"),"")</f>
        <v>○</v>
      </c>
      <c r="R38" s="35" t="str">
        <f aca="false">IFERROR(CHOOSE(MATCH(INDEX(時間ごとの判定!$AH$3:$AH$1850,832),{"利用可","両方停止","運転がそろわない","判定不能"},0),"○","停","×","－"),"")</f>
        <v>○</v>
      </c>
      <c r="S38" s="35" t="str">
        <f aca="false">IFERROR(CHOOSE(MATCH(INDEX(時間ごとの判定!$AH$3:$AH$1850,833),{"利用可","両方停止","運転がそろわない","判定不能"},0),"○","停","×","－"),"")</f>
        <v>○</v>
      </c>
      <c r="T38" s="35" t="str">
        <f aca="false">IFERROR(CHOOSE(MATCH(INDEX(時間ごとの判定!$AH$3:$AH$1850,834),{"利用可","両方停止","運転がそろわない","判定不能"},0),"○","停","×","－"),"")</f>
        <v>×</v>
      </c>
      <c r="U38" s="35" t="str">
        <f aca="false">IFERROR(CHOOSE(MATCH(INDEX(時間ごとの判定!$AH$3:$AH$1850,835),{"利用可","両方停止","運転がそろわない","判定不能"},0),"○","停","×","－"),"")</f>
        <v>×</v>
      </c>
      <c r="V38" s="35" t="str">
        <f aca="false">IFERROR(CHOOSE(MATCH(INDEX(時間ごとの判定!$AH$3:$AH$1850,836),{"利用可","両方停止","運転がそろわない","判定不能"},0),"○","停","×","－"),"")</f>
        <v>×</v>
      </c>
      <c r="W38" s="35" t="str">
        <f aca="false">IFERROR(CHOOSE(MATCH(INDEX(時間ごとの判定!$AH$3:$AH$1850,837),{"利用可","両方停止","運転がそろわない","判定不能"},0),"○","停","×","－"),"")</f>
        <v>×</v>
      </c>
      <c r="X38" s="35" t="str">
        <f aca="false">IFERROR(CHOOSE(MATCH(INDEX(時間ごとの判定!$AH$3:$AH$1850,838),{"利用可","両方停止","運転がそろわない","判定不能"},0),"○","停","×","－"),"")</f>
        <v>停</v>
      </c>
      <c r="Y38" s="35" t="str">
        <f aca="false">IFERROR(CHOOSE(MATCH(INDEX(時間ごとの判定!$AH$3:$AH$1850,839),{"利用可","両方停止","運転がそろわない","判定不能"},0),"○","停","×","－"),"")</f>
        <v>停</v>
      </c>
      <c r="Z38" s="35" t="str">
        <f aca="false">IFERROR(CHOOSE(MATCH(INDEX(時間ごとの判定!$AH$3:$AH$1850,840),{"利用可","両方停止","運転がそろわない","判定不能"},0),"○","停","×","－"),"")</f>
        <v>停</v>
      </c>
      <c r="AA38" s="35"/>
      <c r="AB38" s="35" t="str">
        <f aca="false">IFERROR(CHOOSE(MATCH(INDEX(時間ごとの判定!$AK$3:$AK$1850,817),{"利用可","両方停止","運転がそろわない","判定不能"},0),"○","停","×","－"),"")</f>
        <v>－</v>
      </c>
      <c r="AC38" s="35" t="str">
        <f aca="false">IFERROR(CHOOSE(MATCH(INDEX(時間ごとの判定!$AK$3:$AK$1850,818),{"利用可","両方停止","運転がそろわない","判定不能"},0),"○","停","×","－"),"")</f>
        <v>－</v>
      </c>
      <c r="AD38" s="35" t="str">
        <f aca="false">IFERROR(CHOOSE(MATCH(INDEX(時間ごとの判定!$AK$3:$AK$1850,819),{"利用可","両方停止","運転がそろわない","判定不能"},0),"○","停","×","－"),"")</f>
        <v>－</v>
      </c>
      <c r="AE38" s="35" t="str">
        <f aca="false">IFERROR(CHOOSE(MATCH(INDEX(時間ごとの判定!$AK$3:$AK$1850,820),{"利用可","両方停止","運転がそろわない","判定不能"},0),"○","停","×","－"),"")</f>
        <v>－</v>
      </c>
      <c r="AF38" s="35" t="str">
        <f aca="false">IFERROR(CHOOSE(MATCH(INDEX(時間ごとの判定!$AK$3:$AK$1850,821),{"利用可","両方停止","運転がそろわない","判定不能"},0),"○","停","×","－"),"")</f>
        <v>－</v>
      </c>
      <c r="AG38" s="35" t="str">
        <f aca="false">IFERROR(CHOOSE(MATCH(INDEX(時間ごとの判定!$AK$3:$AK$1850,822),{"利用可","両方停止","運転がそろわない","判定不能"},0),"○","停","×","－"),"")</f>
        <v>－</v>
      </c>
      <c r="AH38" s="35" t="str">
        <f aca="false">IFERROR(CHOOSE(MATCH(INDEX(時間ごとの判定!$AK$3:$AK$1850,823),{"利用可","両方停止","運転がそろわない","判定不能"},0),"○","停","×","－"),"")</f>
        <v>－</v>
      </c>
      <c r="AI38" s="35" t="str">
        <f aca="false">IFERROR(CHOOSE(MATCH(INDEX(時間ごとの判定!$AK$3:$AK$1850,824),{"利用可","両方停止","運転がそろわない","判定不能"},0),"○","停","×","－"),"")</f>
        <v>－</v>
      </c>
      <c r="AJ38" s="35" t="str">
        <f aca="false">IFERROR(CHOOSE(MATCH(INDEX(時間ごとの判定!$AK$3:$AK$1850,825),{"利用可","両方停止","運転がそろわない","判定不能"},0),"○","停","×","－"),"")</f>
        <v>－</v>
      </c>
      <c r="AK38" s="35" t="str">
        <f aca="false">IFERROR(CHOOSE(MATCH(INDEX(時間ごとの判定!$AK$3:$AK$1850,826),{"利用可","両方停止","運転がそろわない","判定不能"},0),"○","停","×","－"),"")</f>
        <v>－</v>
      </c>
      <c r="AL38" s="35" t="str">
        <f aca="false">IFERROR(CHOOSE(MATCH(INDEX(時間ごとの判定!$AK$3:$AK$1850,827),{"利用可","両方停止","運転がそろわない","判定不能"},0),"○","停","×","－"),"")</f>
        <v>－</v>
      </c>
      <c r="AM38" s="35" t="str">
        <f aca="false">IFERROR(CHOOSE(MATCH(INDEX(時間ごとの判定!$AK$3:$AK$1850,828),{"利用可","両方停止","運転がそろわない","判定不能"},0),"○","停","×","－"),"")</f>
        <v>－</v>
      </c>
      <c r="AN38" s="35" t="str">
        <f aca="false">IFERROR(CHOOSE(MATCH(INDEX(時間ごとの判定!$AK$3:$AK$1850,829),{"利用可","両方停止","運転がそろわない","判定不能"},0),"○","停","×","－"),"")</f>
        <v>－</v>
      </c>
      <c r="AO38" s="35" t="str">
        <f aca="false">IFERROR(CHOOSE(MATCH(INDEX(時間ごとの判定!$AK$3:$AK$1850,830),{"利用可","両方停止","運転がそろわない","判定不能"},0),"○","停","×","－"),"")</f>
        <v>－</v>
      </c>
      <c r="AP38" s="35" t="str">
        <f aca="false">IFERROR(CHOOSE(MATCH(INDEX(時間ごとの判定!$AK$3:$AK$1850,831),{"利用可","両方停止","運転がそろわない","判定不能"},0),"○","停","×","－"),"")</f>
        <v>－</v>
      </c>
      <c r="AQ38" s="35" t="str">
        <f aca="false">IFERROR(CHOOSE(MATCH(INDEX(時間ごとの判定!$AK$3:$AK$1850,832),{"利用可","両方停止","運転がそろわない","判定不能"},0),"○","停","×","－"),"")</f>
        <v>－</v>
      </c>
      <c r="AR38" s="35" t="str">
        <f aca="false">IFERROR(CHOOSE(MATCH(INDEX(時間ごとの判定!$AK$3:$AK$1850,833),{"利用可","両方停止","運転がそろわない","判定不能"},0),"○","停","×","－"),"")</f>
        <v>－</v>
      </c>
      <c r="AS38" s="35" t="str">
        <f aca="false">IFERROR(CHOOSE(MATCH(INDEX(時間ごとの判定!$AK$3:$AK$1850,834),{"利用可","両方停止","運転がそろわない","判定不能"},0),"○","停","×","－"),"")</f>
        <v>－</v>
      </c>
      <c r="AT38" s="35" t="str">
        <f aca="false">IFERROR(CHOOSE(MATCH(INDEX(時間ごとの判定!$AK$3:$AK$1850,835),{"利用可","両方停止","運転がそろわない","判定不能"},0),"○","停","×","－"),"")</f>
        <v>－</v>
      </c>
      <c r="AU38" s="35" t="str">
        <f aca="false">IFERROR(CHOOSE(MATCH(INDEX(時間ごとの判定!$AK$3:$AK$1850,836),{"利用可","両方停止","運転がそろわない","判定不能"},0),"○","停","×","－"),"")</f>
        <v>－</v>
      </c>
      <c r="AV38" s="35" t="str">
        <f aca="false">IFERROR(CHOOSE(MATCH(INDEX(時間ごとの判定!$AK$3:$AK$1850,837),{"利用可","両方停止","運転がそろわない","判定不能"},0),"○","停","×","－"),"")</f>
        <v>－</v>
      </c>
      <c r="AW38" s="35" t="str">
        <f aca="false">IFERROR(CHOOSE(MATCH(INDEX(時間ごとの判定!$AK$3:$AK$1850,838),{"利用可","両方停止","運転がそろわない","判定不能"},0),"○","停","×","－"),"")</f>
        <v>－</v>
      </c>
      <c r="AX38" s="35" t="str">
        <f aca="false">IFERROR(CHOOSE(MATCH(INDEX(時間ごとの判定!$AK$3:$AK$1850,839),{"利用可","両方停止","運転がそろわない","判定不能"},0),"○","停","×","－"),"")</f>
        <v>－</v>
      </c>
      <c r="AY38" s="35" t="str">
        <f aca="false">IFERROR(CHOOSE(MATCH(INDEX(時間ごとの判定!$AK$3:$AK$1850,840),{"利用可","両方停止","運転がそろわない","判定不能"},0),"○","停","×","－"),"")</f>
        <v>－</v>
      </c>
      <c r="AZ38" s="35"/>
      <c r="BA38" s="35" t="str">
        <f aca="false">IFERROR(CHOOSE(MATCH(INDEX(時間ごとの判定!$AN$3:$AN$1850,817),{"利用可","両方停止","運転がそろわない","判定不能"},0),"○","停","×","－"),"")</f>
        <v>停</v>
      </c>
      <c r="BB38" s="35" t="str">
        <f aca="false">IFERROR(CHOOSE(MATCH(INDEX(時間ごとの判定!$AN$3:$AN$1850,818),{"利用可","両方停止","運転がそろわない","判定不能"},0),"○","停","×","－"),"")</f>
        <v>停</v>
      </c>
      <c r="BC38" s="35" t="str">
        <f aca="false">IFERROR(CHOOSE(MATCH(INDEX(時間ごとの判定!$AN$3:$AN$1850,819),{"利用可","両方停止","運転がそろわない","判定不能"},0),"○","停","×","－"),"")</f>
        <v>停</v>
      </c>
      <c r="BD38" s="35" t="str">
        <f aca="false">IFERROR(CHOOSE(MATCH(INDEX(時間ごとの判定!$AN$3:$AN$1850,820),{"利用可","両方停止","運転がそろわない","判定不能"},0),"○","停","×","－"),"")</f>
        <v>停</v>
      </c>
      <c r="BE38" s="35" t="str">
        <f aca="false">IFERROR(CHOOSE(MATCH(INDEX(時間ごとの判定!$AN$3:$AN$1850,821),{"利用可","両方停止","運転がそろわない","判定不能"},0),"○","停","×","－"),"")</f>
        <v>停</v>
      </c>
      <c r="BF38" s="35" t="str">
        <f aca="false">IFERROR(CHOOSE(MATCH(INDEX(時間ごとの判定!$AN$3:$AN$1850,822),{"利用可","両方停止","運転がそろわない","判定不能"},0),"○","停","×","－"),"")</f>
        <v>停</v>
      </c>
      <c r="BG38" s="35" t="str">
        <f aca="false">IFERROR(CHOOSE(MATCH(INDEX(時間ごとの判定!$AN$3:$AN$1850,823),{"利用可","両方停止","運転がそろわない","判定不能"},0),"○","停","×","－"),"")</f>
        <v>停</v>
      </c>
      <c r="BH38" s="35" t="str">
        <f aca="false">IFERROR(CHOOSE(MATCH(INDEX(時間ごとの判定!$AN$3:$AN$1850,824),{"利用可","両方停止","運転がそろわない","判定不能"},0),"○","停","×","－"),"")</f>
        <v>×</v>
      </c>
      <c r="BI38" s="35" t="str">
        <f aca="false">IFERROR(CHOOSE(MATCH(INDEX(時間ごとの判定!$AN$3:$AN$1850,825),{"利用可","両方停止","運転がそろわない","判定不能"},0),"○","停","×","－"),"")</f>
        <v>×</v>
      </c>
      <c r="BJ38" s="35" t="str">
        <f aca="false">IFERROR(CHOOSE(MATCH(INDEX(時間ごとの判定!$AN$3:$AN$1850,826),{"利用可","両方停止","運転がそろわない","判定不能"},0),"○","停","×","－"),"")</f>
        <v>○</v>
      </c>
      <c r="BK38" s="35" t="str">
        <f aca="false">IFERROR(CHOOSE(MATCH(INDEX(時間ごとの判定!$AN$3:$AN$1850,827),{"利用可","両方停止","運転がそろわない","判定不能"},0),"○","停","×","－"),"")</f>
        <v>○</v>
      </c>
      <c r="BL38" s="35" t="str">
        <f aca="false">IFERROR(CHOOSE(MATCH(INDEX(時間ごとの判定!$AN$3:$AN$1850,828),{"利用可","両方停止","運転がそろわない","判定不能"},0),"○","停","×","－"),"")</f>
        <v>○</v>
      </c>
      <c r="BM38" s="35" t="str">
        <f aca="false">IFERROR(CHOOSE(MATCH(INDEX(時間ごとの判定!$AN$3:$AN$1850,829),{"利用可","両方停止","運転がそろわない","判定不能"},0),"○","停","×","－"),"")</f>
        <v>○</v>
      </c>
      <c r="BN38" s="35" t="str">
        <f aca="false">IFERROR(CHOOSE(MATCH(INDEX(時間ごとの判定!$AN$3:$AN$1850,830),{"利用可","両方停止","運転がそろわない","判定不能"},0),"○","停","×","－"),"")</f>
        <v>○</v>
      </c>
      <c r="BO38" s="35" t="str">
        <f aca="false">IFERROR(CHOOSE(MATCH(INDEX(時間ごとの判定!$AN$3:$AN$1850,831),{"利用可","両方停止","運転がそろわない","判定不能"},0),"○","停","×","－"),"")</f>
        <v>○</v>
      </c>
      <c r="BP38" s="35" t="str">
        <f aca="false">IFERROR(CHOOSE(MATCH(INDEX(時間ごとの判定!$AN$3:$AN$1850,832),{"利用可","両方停止","運転がそろわない","判定不能"},0),"○","停","×","－"),"")</f>
        <v>○</v>
      </c>
      <c r="BQ38" s="35" t="str">
        <f aca="false">IFERROR(CHOOSE(MATCH(INDEX(時間ごとの判定!$AN$3:$AN$1850,833),{"利用可","両方停止","運転がそろわない","判定不能"},0),"○","停","×","－"),"")</f>
        <v>○</v>
      </c>
      <c r="BR38" s="35" t="str">
        <f aca="false">IFERROR(CHOOSE(MATCH(INDEX(時間ごとの判定!$AN$3:$AN$1850,834),{"利用可","両方停止","運転がそろわない","判定不能"},0),"○","停","×","－"),"")</f>
        <v>○</v>
      </c>
      <c r="BS38" s="35" t="str">
        <f aca="false">IFERROR(CHOOSE(MATCH(INDEX(時間ごとの判定!$AN$3:$AN$1850,835),{"利用可","両方停止","運転がそろわない","判定不能"},0),"○","停","×","－"),"")</f>
        <v>×</v>
      </c>
      <c r="BT38" s="35" t="str">
        <f aca="false">IFERROR(CHOOSE(MATCH(INDEX(時間ごとの判定!$AN$3:$AN$1850,836),{"利用可","両方停止","運転がそろわない","判定不能"},0),"○","停","×","－"),"")</f>
        <v>×</v>
      </c>
      <c r="BU38" s="35" t="str">
        <f aca="false">IFERROR(CHOOSE(MATCH(INDEX(時間ごとの判定!$AN$3:$AN$1850,837),{"利用可","両方停止","運転がそろわない","判定不能"},0),"○","停","×","－"),"")</f>
        <v>×</v>
      </c>
      <c r="BV38" s="35" t="str">
        <f aca="false">IFERROR(CHOOSE(MATCH(INDEX(時間ごとの判定!$AN$3:$AN$1850,838),{"利用可","両方停止","運転がそろわない","判定不能"},0),"○","停","×","－"),"")</f>
        <v>×</v>
      </c>
      <c r="BW38" s="35" t="str">
        <f aca="false">IFERROR(CHOOSE(MATCH(INDEX(時間ごとの判定!$AN$3:$AN$1850,839),{"利用可","両方停止","運転がそろわない","判定不能"},0),"○","停","×","－"),"")</f>
        <v>×</v>
      </c>
      <c r="BX38" s="35" t="str">
        <f aca="false">IFERROR(CHOOSE(MATCH(INDEX(時間ごとの判定!$AN$3:$AN$1850,840),{"利用可","両方停止","運転がそろわない","判定不能"},0),"○","停","×","－"),"")</f>
        <v>×</v>
      </c>
    </row>
    <row r="39" customFormat="false" ht="15" hidden="false" customHeight="false" outlineLevel="0" collapsed="false">
      <c r="A39" s="33" t="n">
        <v>46267</v>
      </c>
      <c r="B39" s="34" t="s">
        <v>58</v>
      </c>
      <c r="C39" s="35" t="str">
        <f aca="false">IFERROR(CHOOSE(MATCH(INDEX(時間ごとの判定!$AH$3:$AH$1850,841),{"利用可","両方停止","運転がそろわない","判定不能"},0),"○","停","×","－"),"")</f>
        <v>停</v>
      </c>
      <c r="D39" s="35" t="str">
        <f aca="false">IFERROR(CHOOSE(MATCH(INDEX(時間ごとの判定!$AH$3:$AH$1850,842),{"利用可","両方停止","運転がそろわない","判定不能"},0),"○","停","×","－"),"")</f>
        <v>停</v>
      </c>
      <c r="E39" s="35" t="str">
        <f aca="false">IFERROR(CHOOSE(MATCH(INDEX(時間ごとの判定!$AH$3:$AH$1850,843),{"利用可","両方停止","運転がそろわない","判定不能"},0),"○","停","×","－"),"")</f>
        <v>停</v>
      </c>
      <c r="F39" s="35" t="str">
        <f aca="false">IFERROR(CHOOSE(MATCH(INDEX(時間ごとの判定!$AH$3:$AH$1850,844),{"利用可","両方停止","運転がそろわない","判定不能"},0),"○","停","×","－"),"")</f>
        <v>停</v>
      </c>
      <c r="G39" s="35" t="str">
        <f aca="false">IFERROR(CHOOSE(MATCH(INDEX(時間ごとの判定!$AH$3:$AH$1850,845),{"利用可","両方停止","運転がそろわない","判定不能"},0),"○","停","×","－"),"")</f>
        <v>停</v>
      </c>
      <c r="H39" s="35" t="str">
        <f aca="false">IFERROR(CHOOSE(MATCH(INDEX(時間ごとの判定!$AH$3:$AH$1850,846),{"利用可","両方停止","運転がそろわない","判定不能"},0),"○","停","×","－"),"")</f>
        <v>停</v>
      </c>
      <c r="I39" s="35" t="str">
        <f aca="false">IFERROR(CHOOSE(MATCH(INDEX(時間ごとの判定!$AH$3:$AH$1850,847),{"利用可","両方停止","運転がそろわない","判定不能"},0),"○","停","×","－"),"")</f>
        <v>停</v>
      </c>
      <c r="J39" s="35" t="str">
        <f aca="false">IFERROR(CHOOSE(MATCH(INDEX(時間ごとの判定!$AH$3:$AH$1850,848),{"利用可","両方停止","運転がそろわない","判定不能"},0),"○","停","×","－"),"")</f>
        <v>×</v>
      </c>
      <c r="K39" s="35" t="str">
        <f aca="false">IFERROR(CHOOSE(MATCH(INDEX(時間ごとの判定!$AH$3:$AH$1850,849),{"利用可","両方停止","運転がそろわない","判定不能"},0),"○","停","×","－"),"")</f>
        <v>○</v>
      </c>
      <c r="L39" s="35" t="str">
        <f aca="false">IFERROR(CHOOSE(MATCH(INDEX(時間ごとの判定!$AH$3:$AH$1850,850),{"利用可","両方停止","運転がそろわない","判定不能"},0),"○","停","×","－"),"")</f>
        <v>○</v>
      </c>
      <c r="M39" s="35" t="str">
        <f aca="false">IFERROR(CHOOSE(MATCH(INDEX(時間ごとの判定!$AH$3:$AH$1850,851),{"利用可","両方停止","運転がそろわない","判定不能"},0),"○","停","×","－"),"")</f>
        <v>○</v>
      </c>
      <c r="N39" s="35" t="str">
        <f aca="false">IFERROR(CHOOSE(MATCH(INDEX(時間ごとの判定!$AH$3:$AH$1850,852),{"利用可","両方停止","運転がそろわない","判定不能"},0),"○","停","×","－"),"")</f>
        <v>○</v>
      </c>
      <c r="O39" s="35" t="str">
        <f aca="false">IFERROR(CHOOSE(MATCH(INDEX(時間ごとの判定!$AH$3:$AH$1850,853),{"利用可","両方停止","運転がそろわない","判定不能"},0),"○","停","×","－"),"")</f>
        <v>○</v>
      </c>
      <c r="P39" s="35" t="str">
        <f aca="false">IFERROR(CHOOSE(MATCH(INDEX(時間ごとの判定!$AH$3:$AH$1850,854),{"利用可","両方停止","運転がそろわない","判定不能"},0),"○","停","×","－"),"")</f>
        <v>○</v>
      </c>
      <c r="Q39" s="35" t="str">
        <f aca="false">IFERROR(CHOOSE(MATCH(INDEX(時間ごとの判定!$AH$3:$AH$1850,855),{"利用可","両方停止","運転がそろわない","判定不能"},0),"○","停","×","－"),"")</f>
        <v>○</v>
      </c>
      <c r="R39" s="35" t="str">
        <f aca="false">IFERROR(CHOOSE(MATCH(INDEX(時間ごとの判定!$AH$3:$AH$1850,856),{"利用可","両方停止","運転がそろわない","判定不能"},0),"○","停","×","－"),"")</f>
        <v>○</v>
      </c>
      <c r="S39" s="35" t="str">
        <f aca="false">IFERROR(CHOOSE(MATCH(INDEX(時間ごとの判定!$AH$3:$AH$1850,857),{"利用可","両方停止","運転がそろわない","判定不能"},0),"○","停","×","－"),"")</f>
        <v>○</v>
      </c>
      <c r="T39" s="35" t="str">
        <f aca="false">IFERROR(CHOOSE(MATCH(INDEX(時間ごとの判定!$AH$3:$AH$1850,858),{"利用可","両方停止","運転がそろわない","判定不能"},0),"○","停","×","－"),"")</f>
        <v>○</v>
      </c>
      <c r="U39" s="35" t="str">
        <f aca="false">IFERROR(CHOOSE(MATCH(INDEX(時間ごとの判定!$AH$3:$AH$1850,859),{"利用可","両方停止","運転がそろわない","判定不能"},0),"○","停","×","－"),"")</f>
        <v>○</v>
      </c>
      <c r="V39" s="35" t="str">
        <f aca="false">IFERROR(CHOOSE(MATCH(INDEX(時間ごとの判定!$AH$3:$AH$1850,860),{"利用可","両方停止","運転がそろわない","判定不能"},0),"○","停","×","－"),"")</f>
        <v>○</v>
      </c>
      <c r="W39" s="35" t="str">
        <f aca="false">IFERROR(CHOOSE(MATCH(INDEX(時間ごとの判定!$AH$3:$AH$1850,861),{"利用可","両方停止","運転がそろわない","判定不能"},0),"○","停","×","－"),"")</f>
        <v>×</v>
      </c>
      <c r="X39" s="35" t="str">
        <f aca="false">IFERROR(CHOOSE(MATCH(INDEX(時間ごとの判定!$AH$3:$AH$1850,862),{"利用可","両方停止","運転がそろわない","判定不能"},0),"○","停","×","－"),"")</f>
        <v>×</v>
      </c>
      <c r="Y39" s="35" t="str">
        <f aca="false">IFERROR(CHOOSE(MATCH(INDEX(時間ごとの判定!$AH$3:$AH$1850,863),{"利用可","両方停止","運転がそろわない","判定不能"},0),"○","停","×","－"),"")</f>
        <v>×</v>
      </c>
      <c r="Z39" s="35" t="str">
        <f aca="false">IFERROR(CHOOSE(MATCH(INDEX(時間ごとの判定!$AH$3:$AH$1850,864),{"利用可","両方停止","運転がそろわない","判定不能"},0),"○","停","×","－"),"")</f>
        <v>停</v>
      </c>
      <c r="AA39" s="35"/>
      <c r="AB39" s="35" t="str">
        <f aca="false">IFERROR(CHOOSE(MATCH(INDEX(時間ごとの判定!$AK$3:$AK$1850,841),{"利用可","両方停止","運転がそろわない","判定不能"},0),"○","停","×","－"),"")</f>
        <v>－</v>
      </c>
      <c r="AC39" s="35" t="str">
        <f aca="false">IFERROR(CHOOSE(MATCH(INDEX(時間ごとの判定!$AK$3:$AK$1850,842),{"利用可","両方停止","運転がそろわない","判定不能"},0),"○","停","×","－"),"")</f>
        <v>－</v>
      </c>
      <c r="AD39" s="35" t="str">
        <f aca="false">IFERROR(CHOOSE(MATCH(INDEX(時間ごとの判定!$AK$3:$AK$1850,843),{"利用可","両方停止","運転がそろわない","判定不能"},0),"○","停","×","－"),"")</f>
        <v>－</v>
      </c>
      <c r="AE39" s="35" t="str">
        <f aca="false">IFERROR(CHOOSE(MATCH(INDEX(時間ごとの判定!$AK$3:$AK$1850,844),{"利用可","両方停止","運転がそろわない","判定不能"},0),"○","停","×","－"),"")</f>
        <v>－</v>
      </c>
      <c r="AF39" s="35" t="str">
        <f aca="false">IFERROR(CHOOSE(MATCH(INDEX(時間ごとの判定!$AK$3:$AK$1850,845),{"利用可","両方停止","運転がそろわない","判定不能"},0),"○","停","×","－"),"")</f>
        <v>－</v>
      </c>
      <c r="AG39" s="35" t="str">
        <f aca="false">IFERROR(CHOOSE(MATCH(INDEX(時間ごとの判定!$AK$3:$AK$1850,846),{"利用可","両方停止","運転がそろわない","判定不能"},0),"○","停","×","－"),"")</f>
        <v>－</v>
      </c>
      <c r="AH39" s="35" t="str">
        <f aca="false">IFERROR(CHOOSE(MATCH(INDEX(時間ごとの判定!$AK$3:$AK$1850,847),{"利用可","両方停止","運転がそろわない","判定不能"},0),"○","停","×","－"),"")</f>
        <v>－</v>
      </c>
      <c r="AI39" s="35" t="str">
        <f aca="false">IFERROR(CHOOSE(MATCH(INDEX(時間ごとの判定!$AK$3:$AK$1850,848),{"利用可","両方停止","運転がそろわない","判定不能"},0),"○","停","×","－"),"")</f>
        <v>－</v>
      </c>
      <c r="AJ39" s="35" t="str">
        <f aca="false">IFERROR(CHOOSE(MATCH(INDEX(時間ごとの判定!$AK$3:$AK$1850,849),{"利用可","両方停止","運転がそろわない","判定不能"},0),"○","停","×","－"),"")</f>
        <v>－</v>
      </c>
      <c r="AK39" s="35" t="str">
        <f aca="false">IFERROR(CHOOSE(MATCH(INDEX(時間ごとの判定!$AK$3:$AK$1850,850),{"利用可","両方停止","運転がそろわない","判定不能"},0),"○","停","×","－"),"")</f>
        <v>－</v>
      </c>
      <c r="AL39" s="35" t="str">
        <f aca="false">IFERROR(CHOOSE(MATCH(INDEX(時間ごとの判定!$AK$3:$AK$1850,851),{"利用可","両方停止","運転がそろわない","判定不能"},0),"○","停","×","－"),"")</f>
        <v>－</v>
      </c>
      <c r="AM39" s="35" t="str">
        <f aca="false">IFERROR(CHOOSE(MATCH(INDEX(時間ごとの判定!$AK$3:$AK$1850,852),{"利用可","両方停止","運転がそろわない","判定不能"},0),"○","停","×","－"),"")</f>
        <v>－</v>
      </c>
      <c r="AN39" s="35" t="str">
        <f aca="false">IFERROR(CHOOSE(MATCH(INDEX(時間ごとの判定!$AK$3:$AK$1850,853),{"利用可","両方停止","運転がそろわない","判定不能"},0),"○","停","×","－"),"")</f>
        <v>－</v>
      </c>
      <c r="AO39" s="35" t="str">
        <f aca="false">IFERROR(CHOOSE(MATCH(INDEX(時間ごとの判定!$AK$3:$AK$1850,854),{"利用可","両方停止","運転がそろわない","判定不能"},0),"○","停","×","－"),"")</f>
        <v>－</v>
      </c>
      <c r="AP39" s="35" t="str">
        <f aca="false">IFERROR(CHOOSE(MATCH(INDEX(時間ごとの判定!$AK$3:$AK$1850,855),{"利用可","両方停止","運転がそろわない","判定不能"},0),"○","停","×","－"),"")</f>
        <v>－</v>
      </c>
      <c r="AQ39" s="35" t="str">
        <f aca="false">IFERROR(CHOOSE(MATCH(INDEX(時間ごとの判定!$AK$3:$AK$1850,856),{"利用可","両方停止","運転がそろわない","判定不能"},0),"○","停","×","－"),"")</f>
        <v>－</v>
      </c>
      <c r="AR39" s="35" t="str">
        <f aca="false">IFERROR(CHOOSE(MATCH(INDEX(時間ごとの判定!$AK$3:$AK$1850,857),{"利用可","両方停止","運転がそろわない","判定不能"},0),"○","停","×","－"),"")</f>
        <v>－</v>
      </c>
      <c r="AS39" s="35" t="str">
        <f aca="false">IFERROR(CHOOSE(MATCH(INDEX(時間ごとの判定!$AK$3:$AK$1850,858),{"利用可","両方停止","運転がそろわない","判定不能"},0),"○","停","×","－"),"")</f>
        <v>－</v>
      </c>
      <c r="AT39" s="35" t="str">
        <f aca="false">IFERROR(CHOOSE(MATCH(INDEX(時間ごとの判定!$AK$3:$AK$1850,859),{"利用可","両方停止","運転がそろわない","判定不能"},0),"○","停","×","－"),"")</f>
        <v>－</v>
      </c>
      <c r="AU39" s="35" t="str">
        <f aca="false">IFERROR(CHOOSE(MATCH(INDEX(時間ごとの判定!$AK$3:$AK$1850,860),{"利用可","両方停止","運転がそろわない","判定不能"},0),"○","停","×","－"),"")</f>
        <v>－</v>
      </c>
      <c r="AV39" s="35" t="str">
        <f aca="false">IFERROR(CHOOSE(MATCH(INDEX(時間ごとの判定!$AK$3:$AK$1850,861),{"利用可","両方停止","運転がそろわない","判定不能"},0),"○","停","×","－"),"")</f>
        <v>－</v>
      </c>
      <c r="AW39" s="35" t="str">
        <f aca="false">IFERROR(CHOOSE(MATCH(INDEX(時間ごとの判定!$AK$3:$AK$1850,862),{"利用可","両方停止","運転がそろわない","判定不能"},0),"○","停","×","－"),"")</f>
        <v>－</v>
      </c>
      <c r="AX39" s="35" t="str">
        <f aca="false">IFERROR(CHOOSE(MATCH(INDEX(時間ごとの判定!$AK$3:$AK$1850,863),{"利用可","両方停止","運転がそろわない","判定不能"},0),"○","停","×","－"),"")</f>
        <v>－</v>
      </c>
      <c r="AY39" s="35" t="str">
        <f aca="false">IFERROR(CHOOSE(MATCH(INDEX(時間ごとの判定!$AK$3:$AK$1850,864),{"利用可","両方停止","運転がそろわない","判定不能"},0),"○","停","×","－"),"")</f>
        <v>－</v>
      </c>
      <c r="AZ39" s="35"/>
      <c r="BA39" s="35" t="str">
        <f aca="false">IFERROR(CHOOSE(MATCH(INDEX(時間ごとの判定!$AN$3:$AN$1850,841),{"利用可","両方停止","運転がそろわない","判定不能"},0),"○","停","×","－"),"")</f>
        <v>×</v>
      </c>
      <c r="BB39" s="35" t="str">
        <f aca="false">IFERROR(CHOOSE(MATCH(INDEX(時間ごとの判定!$AN$3:$AN$1850,842),{"利用可","両方停止","運転がそろわない","判定不能"},0),"○","停","×","－"),"")</f>
        <v>×</v>
      </c>
      <c r="BC39" s="35" t="str">
        <f aca="false">IFERROR(CHOOSE(MATCH(INDEX(時間ごとの判定!$AN$3:$AN$1850,843),{"利用可","両方停止","運転がそろわない","判定不能"},0),"○","停","×","－"),"")</f>
        <v>×</v>
      </c>
      <c r="BD39" s="35" t="str">
        <f aca="false">IFERROR(CHOOSE(MATCH(INDEX(時間ごとの判定!$AN$3:$AN$1850,844),{"利用可","両方停止","運転がそろわない","判定不能"},0),"○","停","×","－"),"")</f>
        <v>×</v>
      </c>
      <c r="BE39" s="35" t="str">
        <f aca="false">IFERROR(CHOOSE(MATCH(INDEX(時間ごとの判定!$AN$3:$AN$1850,845),{"利用可","両方停止","運転がそろわない","判定不能"},0),"○","停","×","－"),"")</f>
        <v>×</v>
      </c>
      <c r="BF39" s="35" t="str">
        <f aca="false">IFERROR(CHOOSE(MATCH(INDEX(時間ごとの判定!$AN$3:$AN$1850,846),{"利用可","両方停止","運転がそろわない","判定不能"},0),"○","停","×","－"),"")</f>
        <v>×</v>
      </c>
      <c r="BG39" s="35" t="str">
        <f aca="false">IFERROR(CHOOSE(MATCH(INDEX(時間ごとの判定!$AN$3:$AN$1850,847),{"利用可","両方停止","運転がそろわない","判定不能"},0),"○","停","×","－"),"")</f>
        <v>×</v>
      </c>
      <c r="BH39" s="35" t="str">
        <f aca="false">IFERROR(CHOOSE(MATCH(INDEX(時間ごとの判定!$AN$3:$AN$1850,848),{"利用可","両方停止","運転がそろわない","判定不能"},0),"○","停","×","－"),"")</f>
        <v>○</v>
      </c>
      <c r="BI39" s="35" t="str">
        <f aca="false">IFERROR(CHOOSE(MATCH(INDEX(時間ごとの判定!$AN$3:$AN$1850,849),{"利用可","両方停止","運転がそろわない","判定不能"},0),"○","停","×","－"),"")</f>
        <v>○</v>
      </c>
      <c r="BJ39" s="35" t="str">
        <f aca="false">IFERROR(CHOOSE(MATCH(INDEX(時間ごとの判定!$AN$3:$AN$1850,850),{"利用可","両方停止","運転がそろわない","判定不能"},0),"○","停","×","－"),"")</f>
        <v>○</v>
      </c>
      <c r="BK39" s="35" t="str">
        <f aca="false">IFERROR(CHOOSE(MATCH(INDEX(時間ごとの判定!$AN$3:$AN$1850,851),{"利用可","両方停止","運転がそろわない","判定不能"},0),"○","停","×","－"),"")</f>
        <v>○</v>
      </c>
      <c r="BL39" s="35" t="str">
        <f aca="false">IFERROR(CHOOSE(MATCH(INDEX(時間ごとの判定!$AN$3:$AN$1850,852),{"利用可","両方停止","運転がそろわない","判定不能"},0),"○","停","×","－"),"")</f>
        <v>○</v>
      </c>
      <c r="BM39" s="35" t="str">
        <f aca="false">IFERROR(CHOOSE(MATCH(INDEX(時間ごとの判定!$AN$3:$AN$1850,853),{"利用可","両方停止","運転がそろわない","判定不能"},0),"○","停","×","－"),"")</f>
        <v>○</v>
      </c>
      <c r="BN39" s="35" t="str">
        <f aca="false">IFERROR(CHOOSE(MATCH(INDEX(時間ごとの判定!$AN$3:$AN$1850,854),{"利用可","両方停止","運転がそろわない","判定不能"},0),"○","停","×","－"),"")</f>
        <v>○</v>
      </c>
      <c r="BO39" s="35" t="str">
        <f aca="false">IFERROR(CHOOSE(MATCH(INDEX(時間ごとの判定!$AN$3:$AN$1850,855),{"利用可","両方停止","運転がそろわない","判定不能"},0),"○","停","×","－"),"")</f>
        <v>○</v>
      </c>
      <c r="BP39" s="35" t="str">
        <f aca="false">IFERROR(CHOOSE(MATCH(INDEX(時間ごとの判定!$AN$3:$AN$1850,856),{"利用可","両方停止","運転がそろわない","判定不能"},0),"○","停","×","－"),"")</f>
        <v>○</v>
      </c>
      <c r="BQ39" s="35" t="str">
        <f aca="false">IFERROR(CHOOSE(MATCH(INDEX(時間ごとの判定!$AN$3:$AN$1850,857),{"利用可","両方停止","運転がそろわない","判定不能"},0),"○","停","×","－"),"")</f>
        <v>○</v>
      </c>
      <c r="BR39" s="35" t="str">
        <f aca="false">IFERROR(CHOOSE(MATCH(INDEX(時間ごとの判定!$AN$3:$AN$1850,858),{"利用可","両方停止","運転がそろわない","判定不能"},0),"○","停","×","－"),"")</f>
        <v>○</v>
      </c>
      <c r="BS39" s="35" t="str">
        <f aca="false">IFERROR(CHOOSE(MATCH(INDEX(時間ごとの判定!$AN$3:$AN$1850,859),{"利用可","両方停止","運転がそろわない","判定不能"},0),"○","停","×","－"),"")</f>
        <v>×</v>
      </c>
      <c r="BT39" s="35" t="str">
        <f aca="false">IFERROR(CHOOSE(MATCH(INDEX(時間ごとの判定!$AN$3:$AN$1850,860),{"利用可","両方停止","運転がそろわない","判定不能"},0),"○","停","×","－"),"")</f>
        <v>×</v>
      </c>
      <c r="BU39" s="35" t="str">
        <f aca="false">IFERROR(CHOOSE(MATCH(INDEX(時間ごとの判定!$AN$3:$AN$1850,861),{"利用可","両方停止","運転がそろわない","判定不能"},0),"○","停","×","－"),"")</f>
        <v>×</v>
      </c>
      <c r="BV39" s="35" t="str">
        <f aca="false">IFERROR(CHOOSE(MATCH(INDEX(時間ごとの判定!$AN$3:$AN$1850,862),{"利用可","両方停止","運転がそろわない","判定不能"},0),"○","停","×","－"),"")</f>
        <v>×</v>
      </c>
      <c r="BW39" s="35" t="str">
        <f aca="false">IFERROR(CHOOSE(MATCH(INDEX(時間ごとの判定!$AN$3:$AN$1850,863),{"利用可","両方停止","運転がそろわない","判定不能"},0),"○","停","×","－"),"")</f>
        <v>×</v>
      </c>
      <c r="BX39" s="35" t="str">
        <f aca="false">IFERROR(CHOOSE(MATCH(INDEX(時間ごとの判定!$AN$3:$AN$1850,864),{"利用可","両方停止","運転がそろわない","判定不能"},0),"○","停","×","－"),"")</f>
        <v>×</v>
      </c>
    </row>
    <row r="40" customFormat="false" ht="15" hidden="false" customHeight="false" outlineLevel="0" collapsed="false">
      <c r="A40" s="33" t="n">
        <v>46268</v>
      </c>
      <c r="B40" s="34" t="s">
        <v>61</v>
      </c>
      <c r="C40" s="35" t="str">
        <f aca="false">IFERROR(CHOOSE(MATCH(INDEX(時間ごとの判定!$AH$3:$AH$1850,865),{"利用可","両方停止","運転がそろわない","判定不能"},0),"○","停","×","－"),"")</f>
        <v>停</v>
      </c>
      <c r="D40" s="35" t="str">
        <f aca="false">IFERROR(CHOOSE(MATCH(INDEX(時間ごとの判定!$AH$3:$AH$1850,866),{"利用可","両方停止","運転がそろわない","判定不能"},0),"○","停","×","－"),"")</f>
        <v>停</v>
      </c>
      <c r="E40" s="35" t="str">
        <f aca="false">IFERROR(CHOOSE(MATCH(INDEX(時間ごとの判定!$AH$3:$AH$1850,867),{"利用可","両方停止","運転がそろわない","判定不能"},0),"○","停","×","－"),"")</f>
        <v>停</v>
      </c>
      <c r="F40" s="35" t="str">
        <f aca="false">IFERROR(CHOOSE(MATCH(INDEX(時間ごとの判定!$AH$3:$AH$1850,868),{"利用可","両方停止","運転がそろわない","判定不能"},0),"○","停","×","－"),"")</f>
        <v>停</v>
      </c>
      <c r="G40" s="35" t="str">
        <f aca="false">IFERROR(CHOOSE(MATCH(INDEX(時間ごとの判定!$AH$3:$AH$1850,869),{"利用可","両方停止","運転がそろわない","判定不能"},0),"○","停","×","－"),"")</f>
        <v>停</v>
      </c>
      <c r="H40" s="35" t="str">
        <f aca="false">IFERROR(CHOOSE(MATCH(INDEX(時間ごとの判定!$AH$3:$AH$1850,870),{"利用可","両方停止","運転がそろわない","判定不能"},0),"○","停","×","－"),"")</f>
        <v>停</v>
      </c>
      <c r="I40" s="35" t="str">
        <f aca="false">IFERROR(CHOOSE(MATCH(INDEX(時間ごとの判定!$AH$3:$AH$1850,871),{"利用可","両方停止","運転がそろわない","判定不能"},0),"○","停","×","－"),"")</f>
        <v>停</v>
      </c>
      <c r="J40" s="35" t="str">
        <f aca="false">IFERROR(CHOOSE(MATCH(INDEX(時間ごとの判定!$AH$3:$AH$1850,872),{"利用可","両方停止","運転がそろわない","判定不能"},0),"○","停","×","－"),"")</f>
        <v>×</v>
      </c>
      <c r="K40" s="35" t="str">
        <f aca="false">IFERROR(CHOOSE(MATCH(INDEX(時間ごとの判定!$AH$3:$AH$1850,873),{"利用可","両方停止","運転がそろわない","判定不能"},0),"○","停","×","－"),"")</f>
        <v>×</v>
      </c>
      <c r="L40" s="35" t="str">
        <f aca="false">IFERROR(CHOOSE(MATCH(INDEX(時間ごとの判定!$AH$3:$AH$1850,874),{"利用可","両方停止","運転がそろわない","判定不能"},0),"○","停","×","－"),"")</f>
        <v>○</v>
      </c>
      <c r="M40" s="35" t="str">
        <f aca="false">IFERROR(CHOOSE(MATCH(INDEX(時間ごとの判定!$AH$3:$AH$1850,875),{"利用可","両方停止","運転がそろわない","判定不能"},0),"○","停","×","－"),"")</f>
        <v>○</v>
      </c>
      <c r="N40" s="35" t="str">
        <f aca="false">IFERROR(CHOOSE(MATCH(INDEX(時間ごとの判定!$AH$3:$AH$1850,876),{"利用可","両方停止","運転がそろわない","判定不能"},0),"○","停","×","－"),"")</f>
        <v>○</v>
      </c>
      <c r="O40" s="35" t="str">
        <f aca="false">IFERROR(CHOOSE(MATCH(INDEX(時間ごとの判定!$AH$3:$AH$1850,877),{"利用可","両方停止","運転がそろわない","判定不能"},0),"○","停","×","－"),"")</f>
        <v>○</v>
      </c>
      <c r="P40" s="35" t="str">
        <f aca="false">IFERROR(CHOOSE(MATCH(INDEX(時間ごとの判定!$AH$3:$AH$1850,878),{"利用可","両方停止","運転がそろわない","判定不能"},0),"○","停","×","－"),"")</f>
        <v>○</v>
      </c>
      <c r="Q40" s="35" t="str">
        <f aca="false">IFERROR(CHOOSE(MATCH(INDEX(時間ごとの判定!$AH$3:$AH$1850,879),{"利用可","両方停止","運転がそろわない","判定不能"},0),"○","停","×","－"),"")</f>
        <v>○</v>
      </c>
      <c r="R40" s="35" t="str">
        <f aca="false">IFERROR(CHOOSE(MATCH(INDEX(時間ごとの判定!$AH$3:$AH$1850,880),{"利用可","両方停止","運転がそろわない","判定不能"},0),"○","停","×","－"),"")</f>
        <v>○</v>
      </c>
      <c r="S40" s="35" t="str">
        <f aca="false">IFERROR(CHOOSE(MATCH(INDEX(時間ごとの判定!$AH$3:$AH$1850,881),{"利用可","両方停止","運転がそろわない","判定不能"},0),"○","停","×","－"),"")</f>
        <v>○</v>
      </c>
      <c r="T40" s="35" t="str">
        <f aca="false">IFERROR(CHOOSE(MATCH(INDEX(時間ごとの判定!$AH$3:$AH$1850,882),{"利用可","両方停止","運転がそろわない","判定不能"},0),"○","停","×","－"),"")</f>
        <v>○</v>
      </c>
      <c r="U40" s="35" t="str">
        <f aca="false">IFERROR(CHOOSE(MATCH(INDEX(時間ごとの判定!$AH$3:$AH$1850,883),{"利用可","両方停止","運転がそろわない","判定不能"},0),"○","停","×","－"),"")</f>
        <v>×</v>
      </c>
      <c r="V40" s="35" t="str">
        <f aca="false">IFERROR(CHOOSE(MATCH(INDEX(時間ごとの判定!$AH$3:$AH$1850,884),{"利用可","両方停止","運転がそろわない","判定不能"},0),"○","停","×","－"),"")</f>
        <v>○</v>
      </c>
      <c r="W40" s="35" t="str">
        <f aca="false">IFERROR(CHOOSE(MATCH(INDEX(時間ごとの判定!$AH$3:$AH$1850,885),{"利用可","両方停止","運転がそろわない","判定不能"},0),"○","停","×","－"),"")</f>
        <v>×</v>
      </c>
      <c r="X40" s="35" t="str">
        <f aca="false">IFERROR(CHOOSE(MATCH(INDEX(時間ごとの判定!$AH$3:$AH$1850,886),{"利用可","両方停止","運転がそろわない","判定不能"},0),"○","停","×","－"),"")</f>
        <v>停</v>
      </c>
      <c r="Y40" s="35" t="str">
        <f aca="false">IFERROR(CHOOSE(MATCH(INDEX(時間ごとの判定!$AH$3:$AH$1850,887),{"利用可","両方停止","運転がそろわない","判定不能"},0),"○","停","×","－"),"")</f>
        <v>停</v>
      </c>
      <c r="Z40" s="35" t="str">
        <f aca="false">IFERROR(CHOOSE(MATCH(INDEX(時間ごとの判定!$AH$3:$AH$1850,888),{"利用可","両方停止","運転がそろわない","判定不能"},0),"○","停","×","－"),"")</f>
        <v>×</v>
      </c>
      <c r="AA40" s="35"/>
      <c r="AB40" s="35" t="str">
        <f aca="false">IFERROR(CHOOSE(MATCH(INDEX(時間ごとの判定!$AK$3:$AK$1850,865),{"利用可","両方停止","運転がそろわない","判定不能"},0),"○","停","×","－"),"")</f>
        <v>－</v>
      </c>
      <c r="AC40" s="35" t="str">
        <f aca="false">IFERROR(CHOOSE(MATCH(INDEX(時間ごとの判定!$AK$3:$AK$1850,866),{"利用可","両方停止","運転がそろわない","判定不能"},0),"○","停","×","－"),"")</f>
        <v>－</v>
      </c>
      <c r="AD40" s="35" t="str">
        <f aca="false">IFERROR(CHOOSE(MATCH(INDEX(時間ごとの判定!$AK$3:$AK$1850,867),{"利用可","両方停止","運転がそろわない","判定不能"},0),"○","停","×","－"),"")</f>
        <v>－</v>
      </c>
      <c r="AE40" s="35" t="str">
        <f aca="false">IFERROR(CHOOSE(MATCH(INDEX(時間ごとの判定!$AK$3:$AK$1850,868),{"利用可","両方停止","運転がそろわない","判定不能"},0),"○","停","×","－"),"")</f>
        <v>－</v>
      </c>
      <c r="AF40" s="35" t="str">
        <f aca="false">IFERROR(CHOOSE(MATCH(INDEX(時間ごとの判定!$AK$3:$AK$1850,869),{"利用可","両方停止","運転がそろわない","判定不能"},0),"○","停","×","－"),"")</f>
        <v>－</v>
      </c>
      <c r="AG40" s="35" t="str">
        <f aca="false">IFERROR(CHOOSE(MATCH(INDEX(時間ごとの判定!$AK$3:$AK$1850,870),{"利用可","両方停止","運転がそろわない","判定不能"},0),"○","停","×","－"),"")</f>
        <v>－</v>
      </c>
      <c r="AH40" s="35" t="str">
        <f aca="false">IFERROR(CHOOSE(MATCH(INDEX(時間ごとの判定!$AK$3:$AK$1850,871),{"利用可","両方停止","運転がそろわない","判定不能"},0),"○","停","×","－"),"")</f>
        <v>－</v>
      </c>
      <c r="AI40" s="35" t="str">
        <f aca="false">IFERROR(CHOOSE(MATCH(INDEX(時間ごとの判定!$AK$3:$AK$1850,872),{"利用可","両方停止","運転がそろわない","判定不能"},0),"○","停","×","－"),"")</f>
        <v>－</v>
      </c>
      <c r="AJ40" s="35" t="str">
        <f aca="false">IFERROR(CHOOSE(MATCH(INDEX(時間ごとの判定!$AK$3:$AK$1850,873),{"利用可","両方停止","運転がそろわない","判定不能"},0),"○","停","×","－"),"")</f>
        <v>－</v>
      </c>
      <c r="AK40" s="35" t="str">
        <f aca="false">IFERROR(CHOOSE(MATCH(INDEX(時間ごとの判定!$AK$3:$AK$1850,874),{"利用可","両方停止","運転がそろわない","判定不能"},0),"○","停","×","－"),"")</f>
        <v>－</v>
      </c>
      <c r="AL40" s="35" t="str">
        <f aca="false">IFERROR(CHOOSE(MATCH(INDEX(時間ごとの判定!$AK$3:$AK$1850,875),{"利用可","両方停止","運転がそろわない","判定不能"},0),"○","停","×","－"),"")</f>
        <v>－</v>
      </c>
      <c r="AM40" s="35" t="str">
        <f aca="false">IFERROR(CHOOSE(MATCH(INDEX(時間ごとの判定!$AK$3:$AK$1850,876),{"利用可","両方停止","運転がそろわない","判定不能"},0),"○","停","×","－"),"")</f>
        <v>－</v>
      </c>
      <c r="AN40" s="35" t="str">
        <f aca="false">IFERROR(CHOOSE(MATCH(INDEX(時間ごとの判定!$AK$3:$AK$1850,877),{"利用可","両方停止","運転がそろわない","判定不能"},0),"○","停","×","－"),"")</f>
        <v>－</v>
      </c>
      <c r="AO40" s="35" t="str">
        <f aca="false">IFERROR(CHOOSE(MATCH(INDEX(時間ごとの判定!$AK$3:$AK$1850,878),{"利用可","両方停止","運転がそろわない","判定不能"},0),"○","停","×","－"),"")</f>
        <v>－</v>
      </c>
      <c r="AP40" s="35" t="str">
        <f aca="false">IFERROR(CHOOSE(MATCH(INDEX(時間ごとの判定!$AK$3:$AK$1850,879),{"利用可","両方停止","運転がそろわない","判定不能"},0),"○","停","×","－"),"")</f>
        <v>－</v>
      </c>
      <c r="AQ40" s="35" t="str">
        <f aca="false">IFERROR(CHOOSE(MATCH(INDEX(時間ごとの判定!$AK$3:$AK$1850,880),{"利用可","両方停止","運転がそろわない","判定不能"},0),"○","停","×","－"),"")</f>
        <v>－</v>
      </c>
      <c r="AR40" s="35" t="str">
        <f aca="false">IFERROR(CHOOSE(MATCH(INDEX(時間ごとの判定!$AK$3:$AK$1850,881),{"利用可","両方停止","運転がそろわない","判定不能"},0),"○","停","×","－"),"")</f>
        <v>－</v>
      </c>
      <c r="AS40" s="35" t="str">
        <f aca="false">IFERROR(CHOOSE(MATCH(INDEX(時間ごとの判定!$AK$3:$AK$1850,882),{"利用可","両方停止","運転がそろわない","判定不能"},0),"○","停","×","－"),"")</f>
        <v>－</v>
      </c>
      <c r="AT40" s="35" t="str">
        <f aca="false">IFERROR(CHOOSE(MATCH(INDEX(時間ごとの判定!$AK$3:$AK$1850,883),{"利用可","両方停止","運転がそろわない","判定不能"},0),"○","停","×","－"),"")</f>
        <v>－</v>
      </c>
      <c r="AU40" s="35" t="str">
        <f aca="false">IFERROR(CHOOSE(MATCH(INDEX(時間ごとの判定!$AK$3:$AK$1850,884),{"利用可","両方停止","運転がそろわない","判定不能"},0),"○","停","×","－"),"")</f>
        <v>－</v>
      </c>
      <c r="AV40" s="35" t="str">
        <f aca="false">IFERROR(CHOOSE(MATCH(INDEX(時間ごとの判定!$AK$3:$AK$1850,885),{"利用可","両方停止","運転がそろわない","判定不能"},0),"○","停","×","－"),"")</f>
        <v>－</v>
      </c>
      <c r="AW40" s="35" t="str">
        <f aca="false">IFERROR(CHOOSE(MATCH(INDEX(時間ごとの判定!$AK$3:$AK$1850,886),{"利用可","両方停止","運転がそろわない","判定不能"},0),"○","停","×","－"),"")</f>
        <v>－</v>
      </c>
      <c r="AX40" s="35" t="str">
        <f aca="false">IFERROR(CHOOSE(MATCH(INDEX(時間ごとの判定!$AK$3:$AK$1850,887),{"利用可","両方停止","運転がそろわない","判定不能"},0),"○","停","×","－"),"")</f>
        <v>－</v>
      </c>
      <c r="AY40" s="35" t="str">
        <f aca="false">IFERROR(CHOOSE(MATCH(INDEX(時間ごとの判定!$AK$3:$AK$1850,888),{"利用可","両方停止","運転がそろわない","判定不能"},0),"○","停","×","－"),"")</f>
        <v>－</v>
      </c>
      <c r="AZ40" s="35"/>
      <c r="BA40" s="35" t="str">
        <f aca="false">IFERROR(CHOOSE(MATCH(INDEX(時間ごとの判定!$AN$3:$AN$1850,865),{"利用可","両方停止","運転がそろわない","判定不能"},0),"○","停","×","－"),"")</f>
        <v>×</v>
      </c>
      <c r="BB40" s="35" t="str">
        <f aca="false">IFERROR(CHOOSE(MATCH(INDEX(時間ごとの判定!$AN$3:$AN$1850,866),{"利用可","両方停止","運転がそろわない","判定不能"},0),"○","停","×","－"),"")</f>
        <v>×</v>
      </c>
      <c r="BC40" s="35" t="str">
        <f aca="false">IFERROR(CHOOSE(MATCH(INDEX(時間ごとの判定!$AN$3:$AN$1850,867),{"利用可","両方停止","運転がそろわない","判定不能"},0),"○","停","×","－"),"")</f>
        <v>×</v>
      </c>
      <c r="BD40" s="35" t="str">
        <f aca="false">IFERROR(CHOOSE(MATCH(INDEX(時間ごとの判定!$AN$3:$AN$1850,868),{"利用可","両方停止","運転がそろわない","判定不能"},0),"○","停","×","－"),"")</f>
        <v>×</v>
      </c>
      <c r="BE40" s="35" t="str">
        <f aca="false">IFERROR(CHOOSE(MATCH(INDEX(時間ごとの判定!$AN$3:$AN$1850,869),{"利用可","両方停止","運転がそろわない","判定不能"},0),"○","停","×","－"),"")</f>
        <v>×</v>
      </c>
      <c r="BF40" s="35" t="str">
        <f aca="false">IFERROR(CHOOSE(MATCH(INDEX(時間ごとの判定!$AN$3:$AN$1850,870),{"利用可","両方停止","運転がそろわない","判定不能"},0),"○","停","×","－"),"")</f>
        <v>×</v>
      </c>
      <c r="BG40" s="35" t="str">
        <f aca="false">IFERROR(CHOOSE(MATCH(INDEX(時間ごとの判定!$AN$3:$AN$1850,871),{"利用可","両方停止","運転がそろわない","判定不能"},0),"○","停","×","－"),"")</f>
        <v>×</v>
      </c>
      <c r="BH40" s="35" t="str">
        <f aca="false">IFERROR(CHOOSE(MATCH(INDEX(時間ごとの判定!$AN$3:$AN$1850,872),{"利用可","両方停止","運転がそろわない","判定不能"},0),"○","停","×","－"),"")</f>
        <v>○</v>
      </c>
      <c r="BI40" s="35" t="str">
        <f aca="false">IFERROR(CHOOSE(MATCH(INDEX(時間ごとの判定!$AN$3:$AN$1850,873),{"利用可","両方停止","運転がそろわない","判定不能"},0),"○","停","×","－"),"")</f>
        <v>○</v>
      </c>
      <c r="BJ40" s="35" t="str">
        <f aca="false">IFERROR(CHOOSE(MATCH(INDEX(時間ごとの判定!$AN$3:$AN$1850,874),{"利用可","両方停止","運転がそろわない","判定不能"},0),"○","停","×","－"),"")</f>
        <v>○</v>
      </c>
      <c r="BK40" s="35" t="str">
        <f aca="false">IFERROR(CHOOSE(MATCH(INDEX(時間ごとの判定!$AN$3:$AN$1850,875),{"利用可","両方停止","運転がそろわない","判定不能"},0),"○","停","×","－"),"")</f>
        <v>○</v>
      </c>
      <c r="BL40" s="35" t="str">
        <f aca="false">IFERROR(CHOOSE(MATCH(INDEX(時間ごとの判定!$AN$3:$AN$1850,876),{"利用可","両方停止","運転がそろわない","判定不能"},0),"○","停","×","－"),"")</f>
        <v>○</v>
      </c>
      <c r="BM40" s="35" t="str">
        <f aca="false">IFERROR(CHOOSE(MATCH(INDEX(時間ごとの判定!$AN$3:$AN$1850,877),{"利用可","両方停止","運転がそろわない","判定不能"},0),"○","停","×","－"),"")</f>
        <v>○</v>
      </c>
      <c r="BN40" s="35" t="str">
        <f aca="false">IFERROR(CHOOSE(MATCH(INDEX(時間ごとの判定!$AN$3:$AN$1850,878),{"利用可","両方停止","運転がそろわない","判定不能"},0),"○","停","×","－"),"")</f>
        <v>○</v>
      </c>
      <c r="BO40" s="35" t="str">
        <f aca="false">IFERROR(CHOOSE(MATCH(INDEX(時間ごとの判定!$AN$3:$AN$1850,879),{"利用可","両方停止","運転がそろわない","判定不能"},0),"○","停","×","－"),"")</f>
        <v>○</v>
      </c>
      <c r="BP40" s="35" t="str">
        <f aca="false">IFERROR(CHOOSE(MATCH(INDEX(時間ごとの判定!$AN$3:$AN$1850,880),{"利用可","両方停止","運転がそろわない","判定不能"},0),"○","停","×","－"),"")</f>
        <v>○</v>
      </c>
      <c r="BQ40" s="35" t="str">
        <f aca="false">IFERROR(CHOOSE(MATCH(INDEX(時間ごとの判定!$AN$3:$AN$1850,881),{"利用可","両方停止","運転がそろわない","判定不能"},0),"○","停","×","－"),"")</f>
        <v>○</v>
      </c>
      <c r="BR40" s="35" t="str">
        <f aca="false">IFERROR(CHOOSE(MATCH(INDEX(時間ごとの判定!$AN$3:$AN$1850,882),{"利用可","両方停止","運転がそろわない","判定不能"},0),"○","停","×","－"),"")</f>
        <v>○</v>
      </c>
      <c r="BS40" s="35" t="str">
        <f aca="false">IFERROR(CHOOSE(MATCH(INDEX(時間ごとの判定!$AN$3:$AN$1850,883),{"利用可","両方停止","運転がそろわない","判定不能"},0),"○","停","×","－"),"")</f>
        <v>×</v>
      </c>
      <c r="BT40" s="35" t="str">
        <f aca="false">IFERROR(CHOOSE(MATCH(INDEX(時間ごとの判定!$AN$3:$AN$1850,884),{"利用可","両方停止","運転がそろわない","判定不能"},0),"○","停","×","－"),"")</f>
        <v>○</v>
      </c>
      <c r="BU40" s="35" t="str">
        <f aca="false">IFERROR(CHOOSE(MATCH(INDEX(時間ごとの判定!$AN$3:$AN$1850,885),{"利用可","両方停止","運転がそろわない","判定不能"},0),"○","停","×","－"),"")</f>
        <v>×</v>
      </c>
      <c r="BV40" s="35" t="str">
        <f aca="false">IFERROR(CHOOSE(MATCH(INDEX(時間ごとの判定!$AN$3:$AN$1850,886),{"利用可","両方停止","運転がそろわない","判定不能"},0),"○","停","×","－"),"")</f>
        <v>×</v>
      </c>
      <c r="BW40" s="35" t="str">
        <f aca="false">IFERROR(CHOOSE(MATCH(INDEX(時間ごとの判定!$AN$3:$AN$1850,887),{"利用可","両方停止","運転がそろわない","判定不能"},0),"○","停","×","－"),"")</f>
        <v>×</v>
      </c>
      <c r="BX40" s="35" t="str">
        <f aca="false">IFERROR(CHOOSE(MATCH(INDEX(時間ごとの判定!$AN$3:$AN$1850,888),{"利用可","両方停止","運転がそろわない","判定不能"},0),"○","停","×","－"),"")</f>
        <v>×</v>
      </c>
    </row>
    <row r="41" customFormat="false" ht="15" hidden="false" customHeight="false" outlineLevel="0" collapsed="false">
      <c r="A41" s="33" t="n">
        <v>46269</v>
      </c>
      <c r="B41" s="34" t="s">
        <v>62</v>
      </c>
      <c r="C41" s="35" t="str">
        <f aca="false">IFERROR(CHOOSE(MATCH(INDEX(時間ごとの判定!$AH$3:$AH$1850,889),{"利用可","両方停止","運転がそろわない","判定不能"},0),"○","停","×","－"),"")</f>
        <v>停</v>
      </c>
      <c r="D41" s="35" t="str">
        <f aca="false">IFERROR(CHOOSE(MATCH(INDEX(時間ごとの判定!$AH$3:$AH$1850,890),{"利用可","両方停止","運転がそろわない","判定不能"},0),"○","停","×","－"),"")</f>
        <v>×</v>
      </c>
      <c r="E41" s="35" t="str">
        <f aca="false">IFERROR(CHOOSE(MATCH(INDEX(時間ごとの判定!$AH$3:$AH$1850,891),{"利用可","両方停止","運転がそろわない","判定不能"},0),"○","停","×","－"),"")</f>
        <v>×</v>
      </c>
      <c r="F41" s="35" t="str">
        <f aca="false">IFERROR(CHOOSE(MATCH(INDEX(時間ごとの判定!$AH$3:$AH$1850,892),{"利用可","両方停止","運転がそろわない","判定不能"},0),"○","停","×","－"),"")</f>
        <v>停</v>
      </c>
      <c r="G41" s="35" t="str">
        <f aca="false">IFERROR(CHOOSE(MATCH(INDEX(時間ごとの判定!$AH$3:$AH$1850,893),{"利用可","両方停止","運転がそろわない","判定不能"},0),"○","停","×","－"),"")</f>
        <v>停</v>
      </c>
      <c r="H41" s="35" t="str">
        <f aca="false">IFERROR(CHOOSE(MATCH(INDEX(時間ごとの判定!$AH$3:$AH$1850,894),{"利用可","両方停止","運転がそろわない","判定不能"},0),"○","停","×","－"),"")</f>
        <v>停</v>
      </c>
      <c r="I41" s="35" t="str">
        <f aca="false">IFERROR(CHOOSE(MATCH(INDEX(時間ごとの判定!$AH$3:$AH$1850,895),{"利用可","両方停止","運転がそろわない","判定不能"},0),"○","停","×","－"),"")</f>
        <v>停</v>
      </c>
      <c r="J41" s="35" t="str">
        <f aca="false">IFERROR(CHOOSE(MATCH(INDEX(時間ごとの判定!$AH$3:$AH$1850,896),{"利用可","両方停止","運転がそろわない","判定不能"},0),"○","停","×","－"),"")</f>
        <v>×</v>
      </c>
      <c r="K41" s="35" t="str">
        <f aca="false">IFERROR(CHOOSE(MATCH(INDEX(時間ごとの判定!$AH$3:$AH$1850,897),{"利用可","両方停止","運転がそろわない","判定不能"},0),"○","停","×","－"),"")</f>
        <v>×</v>
      </c>
      <c r="L41" s="35" t="str">
        <f aca="false">IFERROR(CHOOSE(MATCH(INDEX(時間ごとの判定!$AH$3:$AH$1850,898),{"利用可","両方停止","運転がそろわない","判定不能"},0),"○","停","×","－"),"")</f>
        <v>×</v>
      </c>
      <c r="M41" s="35" t="str">
        <f aca="false">IFERROR(CHOOSE(MATCH(INDEX(時間ごとの判定!$AH$3:$AH$1850,899),{"利用可","両方停止","運転がそろわない","判定不能"},0),"○","停","×","－"),"")</f>
        <v>○</v>
      </c>
      <c r="N41" s="35" t="str">
        <f aca="false">IFERROR(CHOOSE(MATCH(INDEX(時間ごとの判定!$AH$3:$AH$1850,900),{"利用可","両方停止","運転がそろわない","判定不能"},0),"○","停","×","－"),"")</f>
        <v>×</v>
      </c>
      <c r="O41" s="35" t="str">
        <f aca="false">IFERROR(CHOOSE(MATCH(INDEX(時間ごとの判定!$AH$3:$AH$1850,901),{"利用可","両方停止","運転がそろわない","判定不能"},0),"○","停","×","－"),"")</f>
        <v>○</v>
      </c>
      <c r="P41" s="35" t="str">
        <f aca="false">IFERROR(CHOOSE(MATCH(INDEX(時間ごとの判定!$AH$3:$AH$1850,902),{"利用可","両方停止","運転がそろわない","判定不能"},0),"○","停","×","－"),"")</f>
        <v>○</v>
      </c>
      <c r="Q41" s="35" t="str">
        <f aca="false">IFERROR(CHOOSE(MATCH(INDEX(時間ごとの判定!$AH$3:$AH$1850,903),{"利用可","両方停止","運転がそろわない","判定不能"},0),"○","停","×","－"),"")</f>
        <v>○</v>
      </c>
      <c r="R41" s="35" t="str">
        <f aca="false">IFERROR(CHOOSE(MATCH(INDEX(時間ごとの判定!$AH$3:$AH$1850,904),{"利用可","両方停止","運転がそろわない","判定不能"},0),"○","停","×","－"),"")</f>
        <v>×</v>
      </c>
      <c r="S41" s="35" t="str">
        <f aca="false">IFERROR(CHOOSE(MATCH(INDEX(時間ごとの判定!$AH$3:$AH$1850,905),{"利用可","両方停止","運転がそろわない","判定不能"},0),"○","停","×","－"),"")</f>
        <v>○</v>
      </c>
      <c r="T41" s="35" t="str">
        <f aca="false">IFERROR(CHOOSE(MATCH(INDEX(時間ごとの判定!$AH$3:$AH$1850,906),{"利用可","両方停止","運転がそろわない","判定不能"},0),"○","停","×","－"),"")</f>
        <v>○</v>
      </c>
      <c r="U41" s="35" t="str">
        <f aca="false">IFERROR(CHOOSE(MATCH(INDEX(時間ごとの判定!$AH$3:$AH$1850,907),{"利用可","両方停止","運転がそろわない","判定不能"},0),"○","停","×","－"),"")</f>
        <v>×</v>
      </c>
      <c r="V41" s="35" t="str">
        <f aca="false">IFERROR(CHOOSE(MATCH(INDEX(時間ごとの判定!$AH$3:$AH$1850,908),{"利用可","両方停止","運転がそろわない","判定不能"},0),"○","停","×","－"),"")</f>
        <v>×</v>
      </c>
      <c r="W41" s="35" t="str">
        <f aca="false">IFERROR(CHOOSE(MATCH(INDEX(時間ごとの判定!$AH$3:$AH$1850,909),{"利用可","両方停止","運転がそろわない","判定不能"},0),"○","停","×","－"),"")</f>
        <v>×</v>
      </c>
      <c r="X41" s="35" t="str">
        <f aca="false">IFERROR(CHOOSE(MATCH(INDEX(時間ごとの判定!$AH$3:$AH$1850,910),{"利用可","両方停止","運転がそろわない","判定不能"},0),"○","停","×","－"),"")</f>
        <v>停</v>
      </c>
      <c r="Y41" s="35" t="str">
        <f aca="false">IFERROR(CHOOSE(MATCH(INDEX(時間ごとの判定!$AH$3:$AH$1850,911),{"利用可","両方停止","運転がそろわない","判定不能"},0),"○","停","×","－"),"")</f>
        <v>停</v>
      </c>
      <c r="Z41" s="35" t="str">
        <f aca="false">IFERROR(CHOOSE(MATCH(INDEX(時間ごとの判定!$AH$3:$AH$1850,912),{"利用可","両方停止","運転がそろわない","判定不能"},0),"○","停","×","－"),"")</f>
        <v>停</v>
      </c>
      <c r="AA41" s="35"/>
      <c r="AB41" s="35" t="str">
        <f aca="false">IFERROR(CHOOSE(MATCH(INDEX(時間ごとの判定!$AK$3:$AK$1850,889),{"利用可","両方停止","運転がそろわない","判定不能"},0),"○","停","×","－"),"")</f>
        <v>－</v>
      </c>
      <c r="AC41" s="35" t="str">
        <f aca="false">IFERROR(CHOOSE(MATCH(INDEX(時間ごとの判定!$AK$3:$AK$1850,890),{"利用可","両方停止","運転がそろわない","判定不能"},0),"○","停","×","－"),"")</f>
        <v>－</v>
      </c>
      <c r="AD41" s="35" t="str">
        <f aca="false">IFERROR(CHOOSE(MATCH(INDEX(時間ごとの判定!$AK$3:$AK$1850,891),{"利用可","両方停止","運転がそろわない","判定不能"},0),"○","停","×","－"),"")</f>
        <v>－</v>
      </c>
      <c r="AE41" s="35" t="str">
        <f aca="false">IFERROR(CHOOSE(MATCH(INDEX(時間ごとの判定!$AK$3:$AK$1850,892),{"利用可","両方停止","運転がそろわない","判定不能"},0),"○","停","×","－"),"")</f>
        <v>－</v>
      </c>
      <c r="AF41" s="35" t="str">
        <f aca="false">IFERROR(CHOOSE(MATCH(INDEX(時間ごとの判定!$AK$3:$AK$1850,893),{"利用可","両方停止","運転がそろわない","判定不能"},0),"○","停","×","－"),"")</f>
        <v>－</v>
      </c>
      <c r="AG41" s="35" t="str">
        <f aca="false">IFERROR(CHOOSE(MATCH(INDEX(時間ごとの判定!$AK$3:$AK$1850,894),{"利用可","両方停止","運転がそろわない","判定不能"},0),"○","停","×","－"),"")</f>
        <v>－</v>
      </c>
      <c r="AH41" s="35" t="str">
        <f aca="false">IFERROR(CHOOSE(MATCH(INDEX(時間ごとの判定!$AK$3:$AK$1850,895),{"利用可","両方停止","運転がそろわない","判定不能"},0),"○","停","×","－"),"")</f>
        <v>－</v>
      </c>
      <c r="AI41" s="35" t="str">
        <f aca="false">IFERROR(CHOOSE(MATCH(INDEX(時間ごとの判定!$AK$3:$AK$1850,896),{"利用可","両方停止","運転がそろわない","判定不能"},0),"○","停","×","－"),"")</f>
        <v>－</v>
      </c>
      <c r="AJ41" s="35" t="str">
        <f aca="false">IFERROR(CHOOSE(MATCH(INDEX(時間ごとの判定!$AK$3:$AK$1850,897),{"利用可","両方停止","運転がそろわない","判定不能"},0),"○","停","×","－"),"")</f>
        <v>－</v>
      </c>
      <c r="AK41" s="35" t="str">
        <f aca="false">IFERROR(CHOOSE(MATCH(INDEX(時間ごとの判定!$AK$3:$AK$1850,898),{"利用可","両方停止","運転がそろわない","判定不能"},0),"○","停","×","－"),"")</f>
        <v>－</v>
      </c>
      <c r="AL41" s="35" t="str">
        <f aca="false">IFERROR(CHOOSE(MATCH(INDEX(時間ごとの判定!$AK$3:$AK$1850,899),{"利用可","両方停止","運転がそろわない","判定不能"},0),"○","停","×","－"),"")</f>
        <v>－</v>
      </c>
      <c r="AM41" s="35" t="str">
        <f aca="false">IFERROR(CHOOSE(MATCH(INDEX(時間ごとの判定!$AK$3:$AK$1850,900),{"利用可","両方停止","運転がそろわない","判定不能"},0),"○","停","×","－"),"")</f>
        <v>－</v>
      </c>
      <c r="AN41" s="35" t="str">
        <f aca="false">IFERROR(CHOOSE(MATCH(INDEX(時間ごとの判定!$AK$3:$AK$1850,901),{"利用可","両方停止","運転がそろわない","判定不能"},0),"○","停","×","－"),"")</f>
        <v>－</v>
      </c>
      <c r="AO41" s="35" t="str">
        <f aca="false">IFERROR(CHOOSE(MATCH(INDEX(時間ごとの判定!$AK$3:$AK$1850,902),{"利用可","両方停止","運転がそろわない","判定不能"},0),"○","停","×","－"),"")</f>
        <v>－</v>
      </c>
      <c r="AP41" s="35" t="str">
        <f aca="false">IFERROR(CHOOSE(MATCH(INDEX(時間ごとの判定!$AK$3:$AK$1850,903),{"利用可","両方停止","運転がそろわない","判定不能"},0),"○","停","×","－"),"")</f>
        <v>－</v>
      </c>
      <c r="AQ41" s="35" t="str">
        <f aca="false">IFERROR(CHOOSE(MATCH(INDEX(時間ごとの判定!$AK$3:$AK$1850,904),{"利用可","両方停止","運転がそろわない","判定不能"},0),"○","停","×","－"),"")</f>
        <v>－</v>
      </c>
      <c r="AR41" s="35" t="str">
        <f aca="false">IFERROR(CHOOSE(MATCH(INDEX(時間ごとの判定!$AK$3:$AK$1850,905),{"利用可","両方停止","運転がそろわない","判定不能"},0),"○","停","×","－"),"")</f>
        <v>－</v>
      </c>
      <c r="AS41" s="35" t="str">
        <f aca="false">IFERROR(CHOOSE(MATCH(INDEX(時間ごとの判定!$AK$3:$AK$1850,906),{"利用可","両方停止","運転がそろわない","判定不能"},0),"○","停","×","－"),"")</f>
        <v>－</v>
      </c>
      <c r="AT41" s="35" t="str">
        <f aca="false">IFERROR(CHOOSE(MATCH(INDEX(時間ごとの判定!$AK$3:$AK$1850,907),{"利用可","両方停止","運転がそろわない","判定不能"},0),"○","停","×","－"),"")</f>
        <v>－</v>
      </c>
      <c r="AU41" s="35" t="str">
        <f aca="false">IFERROR(CHOOSE(MATCH(INDEX(時間ごとの判定!$AK$3:$AK$1850,908),{"利用可","両方停止","運転がそろわない","判定不能"},0),"○","停","×","－"),"")</f>
        <v>－</v>
      </c>
      <c r="AV41" s="35" t="str">
        <f aca="false">IFERROR(CHOOSE(MATCH(INDEX(時間ごとの判定!$AK$3:$AK$1850,909),{"利用可","両方停止","運転がそろわない","判定不能"},0),"○","停","×","－"),"")</f>
        <v>－</v>
      </c>
      <c r="AW41" s="35" t="str">
        <f aca="false">IFERROR(CHOOSE(MATCH(INDEX(時間ごとの判定!$AK$3:$AK$1850,910),{"利用可","両方停止","運転がそろわない","判定不能"},0),"○","停","×","－"),"")</f>
        <v>－</v>
      </c>
      <c r="AX41" s="35" t="str">
        <f aca="false">IFERROR(CHOOSE(MATCH(INDEX(時間ごとの判定!$AK$3:$AK$1850,911),{"利用可","両方停止","運転がそろわない","判定不能"},0),"○","停","×","－"),"")</f>
        <v>－</v>
      </c>
      <c r="AY41" s="35" t="str">
        <f aca="false">IFERROR(CHOOSE(MATCH(INDEX(時間ごとの判定!$AK$3:$AK$1850,912),{"利用可","両方停止","運転がそろわない","判定不能"},0),"○","停","×","－"),"")</f>
        <v>－</v>
      </c>
      <c r="AZ41" s="35"/>
      <c r="BA41" s="35" t="str">
        <f aca="false">IFERROR(CHOOSE(MATCH(INDEX(時間ごとの判定!$AN$3:$AN$1850,889),{"利用可","両方停止","運転がそろわない","判定不能"},0),"○","停","×","－"),"")</f>
        <v>×</v>
      </c>
      <c r="BB41" s="35" t="str">
        <f aca="false">IFERROR(CHOOSE(MATCH(INDEX(時間ごとの判定!$AN$3:$AN$1850,890),{"利用可","両方停止","運転がそろわない","判定不能"},0),"○","停","×","－"),"")</f>
        <v>×</v>
      </c>
      <c r="BC41" s="35" t="str">
        <f aca="false">IFERROR(CHOOSE(MATCH(INDEX(時間ごとの判定!$AN$3:$AN$1850,891),{"利用可","両方停止","運転がそろわない","判定不能"},0),"○","停","×","－"),"")</f>
        <v>×</v>
      </c>
      <c r="BD41" s="35" t="str">
        <f aca="false">IFERROR(CHOOSE(MATCH(INDEX(時間ごとの判定!$AN$3:$AN$1850,892),{"利用可","両方停止","運転がそろわない","判定不能"},0),"○","停","×","－"),"")</f>
        <v>×</v>
      </c>
      <c r="BE41" s="35" t="str">
        <f aca="false">IFERROR(CHOOSE(MATCH(INDEX(時間ごとの判定!$AN$3:$AN$1850,893),{"利用可","両方停止","運転がそろわない","判定不能"},0),"○","停","×","－"),"")</f>
        <v>×</v>
      </c>
      <c r="BF41" s="35" t="str">
        <f aca="false">IFERROR(CHOOSE(MATCH(INDEX(時間ごとの判定!$AN$3:$AN$1850,894),{"利用可","両方停止","運転がそろわない","判定不能"},0),"○","停","×","－"),"")</f>
        <v>×</v>
      </c>
      <c r="BG41" s="35" t="str">
        <f aca="false">IFERROR(CHOOSE(MATCH(INDEX(時間ごとの判定!$AN$3:$AN$1850,895),{"利用可","両方停止","運転がそろわない","判定不能"},0),"○","停","×","－"),"")</f>
        <v>×</v>
      </c>
      <c r="BH41" s="35" t="str">
        <f aca="false">IFERROR(CHOOSE(MATCH(INDEX(時間ごとの判定!$AN$3:$AN$1850,896),{"利用可","両方停止","運転がそろわない","判定不能"},0),"○","停","×","－"),"")</f>
        <v>○</v>
      </c>
      <c r="BI41" s="35" t="str">
        <f aca="false">IFERROR(CHOOSE(MATCH(INDEX(時間ごとの判定!$AN$3:$AN$1850,897),{"利用可","両方停止","運転がそろわない","判定不能"},0),"○","停","×","－"),"")</f>
        <v>○</v>
      </c>
      <c r="BJ41" s="35" t="str">
        <f aca="false">IFERROR(CHOOSE(MATCH(INDEX(時間ごとの判定!$AN$3:$AN$1850,898),{"利用可","両方停止","運転がそろわない","判定不能"},0),"○","停","×","－"),"")</f>
        <v>○</v>
      </c>
      <c r="BK41" s="35" t="str">
        <f aca="false">IFERROR(CHOOSE(MATCH(INDEX(時間ごとの判定!$AN$3:$AN$1850,899),{"利用可","両方停止","運転がそろわない","判定不能"},0),"○","停","×","－"),"")</f>
        <v>○</v>
      </c>
      <c r="BL41" s="35" t="str">
        <f aca="false">IFERROR(CHOOSE(MATCH(INDEX(時間ごとの判定!$AN$3:$AN$1850,900),{"利用可","両方停止","運転がそろわない","判定不能"},0),"○","停","×","－"),"")</f>
        <v>○</v>
      </c>
      <c r="BM41" s="35" t="str">
        <f aca="false">IFERROR(CHOOSE(MATCH(INDEX(時間ごとの判定!$AN$3:$AN$1850,901),{"利用可","両方停止","運転がそろわない","判定不能"},0),"○","停","×","－"),"")</f>
        <v>○</v>
      </c>
      <c r="BN41" s="35" t="str">
        <f aca="false">IFERROR(CHOOSE(MATCH(INDEX(時間ごとの判定!$AN$3:$AN$1850,902),{"利用可","両方停止","運転がそろわない","判定不能"},0),"○","停","×","－"),"")</f>
        <v>○</v>
      </c>
      <c r="BO41" s="35" t="str">
        <f aca="false">IFERROR(CHOOSE(MATCH(INDEX(時間ごとの判定!$AN$3:$AN$1850,903),{"利用可","両方停止","運転がそろわない","判定不能"},0),"○","停","×","－"),"")</f>
        <v>○</v>
      </c>
      <c r="BP41" s="35" t="str">
        <f aca="false">IFERROR(CHOOSE(MATCH(INDEX(時間ごとの判定!$AN$3:$AN$1850,904),{"利用可","両方停止","運転がそろわない","判定不能"},0),"○","停","×","－"),"")</f>
        <v>○</v>
      </c>
      <c r="BQ41" s="35" t="str">
        <f aca="false">IFERROR(CHOOSE(MATCH(INDEX(時間ごとの判定!$AN$3:$AN$1850,905),{"利用可","両方停止","運転がそろわない","判定不能"},0),"○","停","×","－"),"")</f>
        <v>○</v>
      </c>
      <c r="BR41" s="35" t="str">
        <f aca="false">IFERROR(CHOOSE(MATCH(INDEX(時間ごとの判定!$AN$3:$AN$1850,906),{"利用可","両方停止","運転がそろわない","判定不能"},0),"○","停","×","－"),"")</f>
        <v>○</v>
      </c>
      <c r="BS41" s="35" t="str">
        <f aca="false">IFERROR(CHOOSE(MATCH(INDEX(時間ごとの判定!$AN$3:$AN$1850,907),{"利用可","両方停止","運転がそろわない","判定不能"},0),"○","停","×","－"),"")</f>
        <v>×</v>
      </c>
      <c r="BT41" s="35" t="str">
        <f aca="false">IFERROR(CHOOSE(MATCH(INDEX(時間ごとの判定!$AN$3:$AN$1850,908),{"利用可","両方停止","運転がそろわない","判定不能"},0),"○","停","×","－"),"")</f>
        <v>×</v>
      </c>
      <c r="BU41" s="35" t="str">
        <f aca="false">IFERROR(CHOOSE(MATCH(INDEX(時間ごとの判定!$AN$3:$AN$1850,909),{"利用可","両方停止","運転がそろわない","判定不能"},0),"○","停","×","－"),"")</f>
        <v>○</v>
      </c>
      <c r="BV41" s="35" t="str">
        <f aca="false">IFERROR(CHOOSE(MATCH(INDEX(時間ごとの判定!$AN$3:$AN$1850,910),{"利用可","両方停止","運転がそろわない","判定不能"},0),"○","停","×","－"),"")</f>
        <v>○</v>
      </c>
      <c r="BW41" s="35" t="str">
        <f aca="false">IFERROR(CHOOSE(MATCH(INDEX(時間ごとの判定!$AN$3:$AN$1850,911),{"利用可","両方停止","運転がそろわない","判定不能"},0),"○","停","×","－"),"")</f>
        <v>×</v>
      </c>
      <c r="BX41" s="35" t="str">
        <f aca="false">IFERROR(CHOOSE(MATCH(INDEX(時間ごとの判定!$AN$3:$AN$1850,912),{"利用可","両方停止","運転がそろわない","判定不能"},0),"○","停","×","－"),"")</f>
        <v>×</v>
      </c>
    </row>
    <row r="42" customFormat="false" ht="15" hidden="false" customHeight="false" outlineLevel="0" collapsed="false">
      <c r="A42" s="33" t="n">
        <v>46270</v>
      </c>
      <c r="B42" s="36" t="s">
        <v>63</v>
      </c>
      <c r="C42" s="35" t="str">
        <f aca="false">IFERROR(CHOOSE(MATCH(INDEX(時間ごとの判定!$AH$3:$AH$1850,913),{"利用可","両方停止","運転がそろわない","判定不能"},0),"○","停","×","－"),"")</f>
        <v>停</v>
      </c>
      <c r="D42" s="35" t="str">
        <f aca="false">IFERROR(CHOOSE(MATCH(INDEX(時間ごとの判定!$AH$3:$AH$1850,914),{"利用可","両方停止","運転がそろわない","判定不能"},0),"○","停","×","－"),"")</f>
        <v>停</v>
      </c>
      <c r="E42" s="35" t="str">
        <f aca="false">IFERROR(CHOOSE(MATCH(INDEX(時間ごとの判定!$AH$3:$AH$1850,915),{"利用可","両方停止","運転がそろわない","判定不能"},0),"○","停","×","－"),"")</f>
        <v>停</v>
      </c>
      <c r="F42" s="35" t="str">
        <f aca="false">IFERROR(CHOOSE(MATCH(INDEX(時間ごとの判定!$AH$3:$AH$1850,916),{"利用可","両方停止","運転がそろわない","判定不能"},0),"○","停","×","－"),"")</f>
        <v>停</v>
      </c>
      <c r="G42" s="35" t="str">
        <f aca="false">IFERROR(CHOOSE(MATCH(INDEX(時間ごとの判定!$AH$3:$AH$1850,917),{"利用可","両方停止","運転がそろわない","判定不能"},0),"○","停","×","－"),"")</f>
        <v>停</v>
      </c>
      <c r="H42" s="35" t="str">
        <f aca="false">IFERROR(CHOOSE(MATCH(INDEX(時間ごとの判定!$AH$3:$AH$1850,918),{"利用可","両方停止","運転がそろわない","判定不能"},0),"○","停","×","－"),"")</f>
        <v>停</v>
      </c>
      <c r="I42" s="35" t="str">
        <f aca="false">IFERROR(CHOOSE(MATCH(INDEX(時間ごとの判定!$AH$3:$AH$1850,919),{"利用可","両方停止","運転がそろわない","判定不能"},0),"○","停","×","－"),"")</f>
        <v>停</v>
      </c>
      <c r="J42" s="35" t="str">
        <f aca="false">IFERROR(CHOOSE(MATCH(INDEX(時間ごとの判定!$AH$3:$AH$1850,920),{"利用可","両方停止","運転がそろわない","判定不能"},0),"○","停","×","－"),"")</f>
        <v>停</v>
      </c>
      <c r="K42" s="35" t="str">
        <f aca="false">IFERROR(CHOOSE(MATCH(INDEX(時間ごとの判定!$AH$3:$AH$1850,921),{"利用可","両方停止","運転がそろわない","判定不能"},0),"○","停","×","－"),"")</f>
        <v>停</v>
      </c>
      <c r="L42" s="35" t="str">
        <f aca="false">IFERROR(CHOOSE(MATCH(INDEX(時間ごとの判定!$AH$3:$AH$1850,922),{"利用可","両方停止","運転がそろわない","判定不能"},0),"○","停","×","－"),"")</f>
        <v>停</v>
      </c>
      <c r="M42" s="35" t="str">
        <f aca="false">IFERROR(CHOOSE(MATCH(INDEX(時間ごとの判定!$AH$3:$AH$1850,923),{"利用可","両方停止","運転がそろわない","判定不能"},0),"○","停","×","－"),"")</f>
        <v>停</v>
      </c>
      <c r="N42" s="35" t="str">
        <f aca="false">IFERROR(CHOOSE(MATCH(INDEX(時間ごとの判定!$AH$3:$AH$1850,924),{"利用可","両方停止","運転がそろわない","判定不能"},0),"○","停","×","－"),"")</f>
        <v>×</v>
      </c>
      <c r="O42" s="35" t="str">
        <f aca="false">IFERROR(CHOOSE(MATCH(INDEX(時間ごとの判定!$AH$3:$AH$1850,925),{"利用可","両方停止","運転がそろわない","判定不能"},0),"○","停","×","－"),"")</f>
        <v>○</v>
      </c>
      <c r="P42" s="35" t="str">
        <f aca="false">IFERROR(CHOOSE(MATCH(INDEX(時間ごとの判定!$AH$3:$AH$1850,926),{"利用可","両方停止","運転がそろわない","判定不能"},0),"○","停","×","－"),"")</f>
        <v>○</v>
      </c>
      <c r="Q42" s="35" t="str">
        <f aca="false">IFERROR(CHOOSE(MATCH(INDEX(時間ごとの判定!$AH$3:$AH$1850,927),{"利用可","両方停止","運転がそろわない","判定不能"},0),"○","停","×","－"),"")</f>
        <v>○</v>
      </c>
      <c r="R42" s="35" t="str">
        <f aca="false">IFERROR(CHOOSE(MATCH(INDEX(時間ごとの判定!$AH$3:$AH$1850,928),{"利用可","両方停止","運転がそろわない","判定不能"},0),"○","停","×","－"),"")</f>
        <v>○</v>
      </c>
      <c r="S42" s="35" t="str">
        <f aca="false">IFERROR(CHOOSE(MATCH(INDEX(時間ごとの判定!$AH$3:$AH$1850,929),{"利用可","両方停止","運転がそろわない","判定不能"},0),"○","停","×","－"),"")</f>
        <v>○</v>
      </c>
      <c r="T42" s="35" t="str">
        <f aca="false">IFERROR(CHOOSE(MATCH(INDEX(時間ごとの判定!$AH$3:$AH$1850,930),{"利用可","両方停止","運転がそろわない","判定不能"},0),"○","停","×","－"),"")</f>
        <v>○</v>
      </c>
      <c r="U42" s="35" t="str">
        <f aca="false">IFERROR(CHOOSE(MATCH(INDEX(時間ごとの判定!$AH$3:$AH$1850,931),{"利用可","両方停止","運転がそろわない","判定不能"},0),"○","停","×","－"),"")</f>
        <v>×</v>
      </c>
      <c r="V42" s="35" t="str">
        <f aca="false">IFERROR(CHOOSE(MATCH(INDEX(時間ごとの判定!$AH$3:$AH$1850,932),{"利用可","両方停止","運転がそろわない","判定不能"},0),"○","停","×","－"),"")</f>
        <v>×</v>
      </c>
      <c r="W42" s="35" t="str">
        <f aca="false">IFERROR(CHOOSE(MATCH(INDEX(時間ごとの判定!$AH$3:$AH$1850,933),{"利用可","両方停止","運転がそろわない","判定不能"},0),"○","停","×","－"),"")</f>
        <v>×</v>
      </c>
      <c r="X42" s="35" t="str">
        <f aca="false">IFERROR(CHOOSE(MATCH(INDEX(時間ごとの判定!$AH$3:$AH$1850,934),{"利用可","両方停止","運転がそろわない","判定不能"},0),"○","停","×","－"),"")</f>
        <v>停</v>
      </c>
      <c r="Y42" s="35" t="str">
        <f aca="false">IFERROR(CHOOSE(MATCH(INDEX(時間ごとの判定!$AH$3:$AH$1850,935),{"利用可","両方停止","運転がそろわない","判定不能"},0),"○","停","×","－"),"")</f>
        <v>停</v>
      </c>
      <c r="Z42" s="35" t="str">
        <f aca="false">IFERROR(CHOOSE(MATCH(INDEX(時間ごとの判定!$AH$3:$AH$1850,936),{"利用可","両方停止","運転がそろわない","判定不能"},0),"○","停","×","－"),"")</f>
        <v>停</v>
      </c>
      <c r="AA42" s="35"/>
      <c r="AB42" s="35" t="str">
        <f aca="false">IFERROR(CHOOSE(MATCH(INDEX(時間ごとの判定!$AK$3:$AK$1850,913),{"利用可","両方停止","運転がそろわない","判定不能"},0),"○","停","×","－"),"")</f>
        <v>－</v>
      </c>
      <c r="AC42" s="35" t="str">
        <f aca="false">IFERROR(CHOOSE(MATCH(INDEX(時間ごとの判定!$AK$3:$AK$1850,914),{"利用可","両方停止","運転がそろわない","判定不能"},0),"○","停","×","－"),"")</f>
        <v>－</v>
      </c>
      <c r="AD42" s="35" t="str">
        <f aca="false">IFERROR(CHOOSE(MATCH(INDEX(時間ごとの判定!$AK$3:$AK$1850,915),{"利用可","両方停止","運転がそろわない","判定不能"},0),"○","停","×","－"),"")</f>
        <v>－</v>
      </c>
      <c r="AE42" s="35" t="str">
        <f aca="false">IFERROR(CHOOSE(MATCH(INDEX(時間ごとの判定!$AK$3:$AK$1850,916),{"利用可","両方停止","運転がそろわない","判定不能"},0),"○","停","×","－"),"")</f>
        <v>－</v>
      </c>
      <c r="AF42" s="35" t="str">
        <f aca="false">IFERROR(CHOOSE(MATCH(INDEX(時間ごとの判定!$AK$3:$AK$1850,917),{"利用可","両方停止","運転がそろわない","判定不能"},0),"○","停","×","－"),"")</f>
        <v>停</v>
      </c>
      <c r="AG42" s="35" t="str">
        <f aca="false">IFERROR(CHOOSE(MATCH(INDEX(時間ごとの判定!$AK$3:$AK$1850,918),{"利用可","両方停止","運転がそろわない","判定不能"},0),"○","停","×","－"),"")</f>
        <v>停</v>
      </c>
      <c r="AH42" s="35" t="str">
        <f aca="false">IFERROR(CHOOSE(MATCH(INDEX(時間ごとの判定!$AK$3:$AK$1850,919),{"利用可","両方停止","運転がそろわない","判定不能"},0),"○","停","×","－"),"")</f>
        <v>停</v>
      </c>
      <c r="AI42" s="35" t="str">
        <f aca="false">IFERROR(CHOOSE(MATCH(INDEX(時間ごとの判定!$AK$3:$AK$1850,920),{"利用可","両方停止","運転がそろわない","判定不能"},0),"○","停","×","－"),"")</f>
        <v>停</v>
      </c>
      <c r="AJ42" s="35" t="str">
        <f aca="false">IFERROR(CHOOSE(MATCH(INDEX(時間ごとの判定!$AK$3:$AK$1850,921),{"利用可","両方停止","運転がそろわない","判定不能"},0),"○","停","×","－"),"")</f>
        <v>×</v>
      </c>
      <c r="AK42" s="35" t="str">
        <f aca="false">IFERROR(CHOOSE(MATCH(INDEX(時間ごとの判定!$AK$3:$AK$1850,922),{"利用可","両方停止","運転がそろわない","判定不能"},0),"○","停","×","－"),"")</f>
        <v>停</v>
      </c>
      <c r="AL42" s="35" t="str">
        <f aca="false">IFERROR(CHOOSE(MATCH(INDEX(時間ごとの判定!$AK$3:$AK$1850,923),{"利用可","両方停止","運転がそろわない","判定不能"},0),"○","停","×","－"),"")</f>
        <v>停</v>
      </c>
      <c r="AM42" s="35" t="str">
        <f aca="false">IFERROR(CHOOSE(MATCH(INDEX(時間ごとの判定!$AK$3:$AK$1850,924),{"利用可","両方停止","運転がそろわない","判定不能"},0),"○","停","×","－"),"")</f>
        <v>×</v>
      </c>
      <c r="AN42" s="35" t="str">
        <f aca="false">IFERROR(CHOOSE(MATCH(INDEX(時間ごとの判定!$AK$3:$AK$1850,925),{"利用可","両方停止","運転がそろわない","判定不能"},0),"○","停","×","－"),"")</f>
        <v>○</v>
      </c>
      <c r="AO42" s="35" t="str">
        <f aca="false">IFERROR(CHOOSE(MATCH(INDEX(時間ごとの判定!$AK$3:$AK$1850,926),{"利用可","両方停止","運転がそろわない","判定不能"},0),"○","停","×","－"),"")</f>
        <v>○</v>
      </c>
      <c r="AP42" s="35" t="str">
        <f aca="false">IFERROR(CHOOSE(MATCH(INDEX(時間ごとの判定!$AK$3:$AK$1850,927),{"利用可","両方停止","運転がそろわない","判定不能"},0),"○","停","×","－"),"")</f>
        <v>○</v>
      </c>
      <c r="AQ42" s="35" t="str">
        <f aca="false">IFERROR(CHOOSE(MATCH(INDEX(時間ごとの判定!$AK$3:$AK$1850,928),{"利用可","両方停止","運転がそろわない","判定不能"},0),"○","停","×","－"),"")</f>
        <v>○</v>
      </c>
      <c r="AR42" s="35" t="str">
        <f aca="false">IFERROR(CHOOSE(MATCH(INDEX(時間ごとの判定!$AK$3:$AK$1850,929),{"利用可","両方停止","運転がそろわない","判定不能"},0),"○","停","×","－"),"")</f>
        <v>○</v>
      </c>
      <c r="AS42" s="35" t="str">
        <f aca="false">IFERROR(CHOOSE(MATCH(INDEX(時間ごとの判定!$AK$3:$AK$1850,930),{"利用可","両方停止","運転がそろわない","判定不能"},0),"○","停","×","－"),"")</f>
        <v>×</v>
      </c>
      <c r="AT42" s="35" t="str">
        <f aca="false">IFERROR(CHOOSE(MATCH(INDEX(時間ごとの判定!$AK$3:$AK$1850,931),{"利用可","両方停止","運転がそろわない","判定不能"},0),"○","停","×","－"),"")</f>
        <v>×</v>
      </c>
      <c r="AU42" s="35" t="str">
        <f aca="false">IFERROR(CHOOSE(MATCH(INDEX(時間ごとの判定!$AK$3:$AK$1850,932),{"利用可","両方停止","運転がそろわない","判定不能"},0),"○","停","×","－"),"")</f>
        <v>○</v>
      </c>
      <c r="AV42" s="35" t="str">
        <f aca="false">IFERROR(CHOOSE(MATCH(INDEX(時間ごとの判定!$AK$3:$AK$1850,933),{"利用可","両方停止","運転がそろわない","判定不能"},0),"○","停","×","－"),"")</f>
        <v>×</v>
      </c>
      <c r="AW42" s="35" t="str">
        <f aca="false">IFERROR(CHOOSE(MATCH(INDEX(時間ごとの判定!$AK$3:$AK$1850,934),{"利用可","両方停止","運転がそろわない","判定不能"},0),"○","停","×","－"),"")</f>
        <v>停</v>
      </c>
      <c r="AX42" s="35" t="str">
        <f aca="false">IFERROR(CHOOSE(MATCH(INDEX(時間ごとの判定!$AK$3:$AK$1850,935),{"利用可","両方停止","運転がそろわない","判定不能"},0),"○","停","×","－"),"")</f>
        <v>停</v>
      </c>
      <c r="AY42" s="35" t="str">
        <f aca="false">IFERROR(CHOOSE(MATCH(INDEX(時間ごとの判定!$AK$3:$AK$1850,936),{"利用可","両方停止","運転がそろわない","判定不能"},0),"○","停","×","－"),"")</f>
        <v>停</v>
      </c>
      <c r="AZ42" s="35"/>
      <c r="BA42" s="35" t="str">
        <f aca="false">IFERROR(CHOOSE(MATCH(INDEX(時間ごとの判定!$AN$3:$AN$1850,913),{"利用可","両方停止","運転がそろわない","判定不能"},0),"○","停","×","－"),"")</f>
        <v>×</v>
      </c>
      <c r="BB42" s="35" t="str">
        <f aca="false">IFERROR(CHOOSE(MATCH(INDEX(時間ごとの判定!$AN$3:$AN$1850,914),{"利用可","両方停止","運転がそろわない","判定不能"},0),"○","停","×","－"),"")</f>
        <v>×</v>
      </c>
      <c r="BC42" s="35" t="str">
        <f aca="false">IFERROR(CHOOSE(MATCH(INDEX(時間ごとの判定!$AN$3:$AN$1850,915),{"利用可","両方停止","運転がそろわない","判定不能"},0),"○","停","×","－"),"")</f>
        <v>×</v>
      </c>
      <c r="BD42" s="35" t="str">
        <f aca="false">IFERROR(CHOOSE(MATCH(INDEX(時間ごとの判定!$AN$3:$AN$1850,916),{"利用可","両方停止","運転がそろわない","判定不能"},0),"○","停","×","－"),"")</f>
        <v>×</v>
      </c>
      <c r="BE42" s="35" t="str">
        <f aca="false">IFERROR(CHOOSE(MATCH(INDEX(時間ごとの判定!$AN$3:$AN$1850,917),{"利用可","両方停止","運転がそろわない","判定不能"},0),"○","停","×","－"),"")</f>
        <v>×</v>
      </c>
      <c r="BF42" s="35" t="str">
        <f aca="false">IFERROR(CHOOSE(MATCH(INDEX(時間ごとの判定!$AN$3:$AN$1850,918),{"利用可","両方停止","運転がそろわない","判定不能"},0),"○","停","×","－"),"")</f>
        <v>×</v>
      </c>
      <c r="BG42" s="35" t="str">
        <f aca="false">IFERROR(CHOOSE(MATCH(INDEX(時間ごとの判定!$AN$3:$AN$1850,919),{"利用可","両方停止","運転がそろわない","判定不能"},0),"○","停","×","－"),"")</f>
        <v>×</v>
      </c>
      <c r="BH42" s="35" t="str">
        <f aca="false">IFERROR(CHOOSE(MATCH(INDEX(時間ごとの判定!$AN$3:$AN$1850,920),{"利用可","両方停止","運転がそろわない","判定不能"},0),"○","停","×","－"),"")</f>
        <v>×</v>
      </c>
      <c r="BI42" s="35" t="str">
        <f aca="false">IFERROR(CHOOSE(MATCH(INDEX(時間ごとの判定!$AN$3:$AN$1850,921),{"利用可","両方停止","運転がそろわない","判定不能"},0),"○","停","×","－"),"")</f>
        <v>○</v>
      </c>
      <c r="BJ42" s="35" t="str">
        <f aca="false">IFERROR(CHOOSE(MATCH(INDEX(時間ごとの判定!$AN$3:$AN$1850,922),{"利用可","両方停止","運転がそろわない","判定不能"},0),"○","停","×","－"),"")</f>
        <v>×</v>
      </c>
      <c r="BK42" s="35" t="str">
        <f aca="false">IFERROR(CHOOSE(MATCH(INDEX(時間ごとの判定!$AN$3:$AN$1850,923),{"利用可","両方停止","運転がそろわない","判定不能"},0),"○","停","×","－"),"")</f>
        <v>×</v>
      </c>
      <c r="BL42" s="35" t="str">
        <f aca="false">IFERROR(CHOOSE(MATCH(INDEX(時間ごとの判定!$AN$3:$AN$1850,924),{"利用可","両方停止","運転がそろわない","判定不能"},0),"○","停","×","－"),"")</f>
        <v>○</v>
      </c>
      <c r="BM42" s="35" t="str">
        <f aca="false">IFERROR(CHOOSE(MATCH(INDEX(時間ごとの判定!$AN$3:$AN$1850,925),{"利用可","両方停止","運転がそろわない","判定不能"},0),"○","停","×","－"),"")</f>
        <v>○</v>
      </c>
      <c r="BN42" s="35" t="str">
        <f aca="false">IFERROR(CHOOSE(MATCH(INDEX(時間ごとの判定!$AN$3:$AN$1850,926),{"利用可","両方停止","運転がそろわない","判定不能"},0),"○","停","×","－"),"")</f>
        <v>○</v>
      </c>
      <c r="BO42" s="35" t="str">
        <f aca="false">IFERROR(CHOOSE(MATCH(INDEX(時間ごとの判定!$AN$3:$AN$1850,927),{"利用可","両方停止","運転がそろわない","判定不能"},0),"○","停","×","－"),"")</f>
        <v>○</v>
      </c>
      <c r="BP42" s="35" t="str">
        <f aca="false">IFERROR(CHOOSE(MATCH(INDEX(時間ごとの判定!$AN$3:$AN$1850,928),{"利用可","両方停止","運転がそろわない","判定不能"},0),"○","停","×","－"),"")</f>
        <v>○</v>
      </c>
      <c r="BQ42" s="35" t="str">
        <f aca="false">IFERROR(CHOOSE(MATCH(INDEX(時間ごとの判定!$AN$3:$AN$1850,929),{"利用可","両方停止","運転がそろわない","判定不能"},0),"○","停","×","－"),"")</f>
        <v>×</v>
      </c>
      <c r="BR42" s="35" t="str">
        <f aca="false">IFERROR(CHOOSE(MATCH(INDEX(時間ごとの判定!$AN$3:$AN$1850,930),{"利用可","両方停止","運転がそろわない","判定不能"},0),"○","停","×","－"),"")</f>
        <v>×</v>
      </c>
      <c r="BS42" s="35" t="str">
        <f aca="false">IFERROR(CHOOSE(MATCH(INDEX(時間ごとの判定!$AN$3:$AN$1850,931),{"利用可","両方停止","運転がそろわない","判定不能"},0),"○","停","×","－"),"")</f>
        <v>×</v>
      </c>
      <c r="BT42" s="35" t="str">
        <f aca="false">IFERROR(CHOOSE(MATCH(INDEX(時間ごとの判定!$AN$3:$AN$1850,932),{"利用可","両方停止","運転がそろわない","判定不能"},0),"○","停","×","－"),"")</f>
        <v>×</v>
      </c>
      <c r="BU42" s="35" t="str">
        <f aca="false">IFERROR(CHOOSE(MATCH(INDEX(時間ごとの判定!$AN$3:$AN$1850,933),{"利用可","両方停止","運転がそろわない","判定不能"},0),"○","停","×","－"),"")</f>
        <v>×</v>
      </c>
      <c r="BV42" s="35" t="str">
        <f aca="false">IFERROR(CHOOSE(MATCH(INDEX(時間ごとの判定!$AN$3:$AN$1850,934),{"利用可","両方停止","運転がそろわない","判定不能"},0),"○","停","×","－"),"")</f>
        <v>×</v>
      </c>
      <c r="BW42" s="35" t="str">
        <f aca="false">IFERROR(CHOOSE(MATCH(INDEX(時間ごとの判定!$AN$3:$AN$1850,935),{"利用可","両方停止","運転がそろわない","判定不能"},0),"○","停","×","－"),"")</f>
        <v>×</v>
      </c>
      <c r="BX42" s="35" t="str">
        <f aca="false">IFERROR(CHOOSE(MATCH(INDEX(時間ごとの判定!$AN$3:$AN$1850,936),{"利用可","両方停止","運転がそろわない","判定不能"},0),"○","停","×","－"),"")</f>
        <v>×</v>
      </c>
    </row>
    <row r="43" customFormat="false" ht="15" hidden="false" customHeight="false" outlineLevel="0" collapsed="false">
      <c r="A43" s="33" t="n">
        <v>46271</v>
      </c>
      <c r="B43" s="36" t="s">
        <v>65</v>
      </c>
      <c r="C43" s="35" t="str">
        <f aca="false">IFERROR(CHOOSE(MATCH(INDEX(時間ごとの判定!$AH$3:$AH$1850,937),{"利用可","両方停止","運転がそろわない","判定不能"},0),"○","停","×","－"),"")</f>
        <v>停</v>
      </c>
      <c r="D43" s="35" t="str">
        <f aca="false">IFERROR(CHOOSE(MATCH(INDEX(時間ごとの判定!$AH$3:$AH$1850,938),{"利用可","両方停止","運転がそろわない","判定不能"},0),"○","停","×","－"),"")</f>
        <v>停</v>
      </c>
      <c r="E43" s="35" t="str">
        <f aca="false">IFERROR(CHOOSE(MATCH(INDEX(時間ごとの判定!$AH$3:$AH$1850,939),{"利用可","両方停止","運転がそろわない","判定不能"},0),"○","停","×","－"),"")</f>
        <v>停</v>
      </c>
      <c r="F43" s="35" t="str">
        <f aca="false">IFERROR(CHOOSE(MATCH(INDEX(時間ごとの判定!$AH$3:$AH$1850,940),{"利用可","両方停止","運転がそろわない","判定不能"},0),"○","停","×","－"),"")</f>
        <v>停</v>
      </c>
      <c r="G43" s="35" t="str">
        <f aca="false">IFERROR(CHOOSE(MATCH(INDEX(時間ごとの判定!$AH$3:$AH$1850,941),{"利用可","両方停止","運転がそろわない","判定不能"},0),"○","停","×","－"),"")</f>
        <v>停</v>
      </c>
      <c r="H43" s="35" t="str">
        <f aca="false">IFERROR(CHOOSE(MATCH(INDEX(時間ごとの判定!$AH$3:$AH$1850,942),{"利用可","両方停止","運転がそろわない","判定不能"},0),"○","停","×","－"),"")</f>
        <v>停</v>
      </c>
      <c r="I43" s="35" t="str">
        <f aca="false">IFERROR(CHOOSE(MATCH(INDEX(時間ごとの判定!$AH$3:$AH$1850,943),{"利用可","両方停止","運転がそろわない","判定不能"},0),"○","停","×","－"),"")</f>
        <v>停</v>
      </c>
      <c r="J43" s="35" t="str">
        <f aca="false">IFERROR(CHOOSE(MATCH(INDEX(時間ごとの判定!$AH$3:$AH$1850,944),{"利用可","両方停止","運転がそろわない","判定不能"},0),"○","停","×","－"),"")</f>
        <v>停</v>
      </c>
      <c r="K43" s="35" t="str">
        <f aca="false">IFERROR(CHOOSE(MATCH(INDEX(時間ごとの判定!$AH$3:$AH$1850,945),{"利用可","両方停止","運転がそろわない","判定不能"},0),"○","停","×","－"),"")</f>
        <v>停</v>
      </c>
      <c r="L43" s="35" t="str">
        <f aca="false">IFERROR(CHOOSE(MATCH(INDEX(時間ごとの判定!$AH$3:$AH$1850,946),{"利用可","両方停止","運転がそろわない","判定不能"},0),"○","停","×","－"),"")</f>
        <v>停</v>
      </c>
      <c r="M43" s="35" t="str">
        <f aca="false">IFERROR(CHOOSE(MATCH(INDEX(時間ごとの判定!$AH$3:$AH$1850,947),{"利用可","両方停止","運転がそろわない","判定不能"},0),"○","停","×","－"),"")</f>
        <v>停</v>
      </c>
      <c r="N43" s="35" t="str">
        <f aca="false">IFERROR(CHOOSE(MATCH(INDEX(時間ごとの判定!$AH$3:$AH$1850,948),{"利用可","両方停止","運転がそろわない","判定不能"},0),"○","停","×","－"),"")</f>
        <v>停</v>
      </c>
      <c r="O43" s="35" t="str">
        <f aca="false">IFERROR(CHOOSE(MATCH(INDEX(時間ごとの判定!$AH$3:$AH$1850,949),{"利用可","両方停止","運転がそろわない","判定不能"},0),"○","停","×","－"),"")</f>
        <v>停</v>
      </c>
      <c r="P43" s="35" t="str">
        <f aca="false">IFERROR(CHOOSE(MATCH(INDEX(時間ごとの判定!$AH$3:$AH$1850,950),{"利用可","両方停止","運転がそろわない","判定不能"},0),"○","停","×","－"),"")</f>
        <v>停</v>
      </c>
      <c r="Q43" s="35" t="str">
        <f aca="false">IFERROR(CHOOSE(MATCH(INDEX(時間ごとの判定!$AH$3:$AH$1850,951),{"利用可","両方停止","運転がそろわない","判定不能"},0),"○","停","×","－"),"")</f>
        <v>停</v>
      </c>
      <c r="R43" s="35" t="str">
        <f aca="false">IFERROR(CHOOSE(MATCH(INDEX(時間ごとの判定!$AH$3:$AH$1850,952),{"利用可","両方停止","運転がそろわない","判定不能"},0),"○","停","×","－"),"")</f>
        <v>停</v>
      </c>
      <c r="S43" s="35" t="str">
        <f aca="false">IFERROR(CHOOSE(MATCH(INDEX(時間ごとの判定!$AH$3:$AH$1850,953),{"利用可","両方停止","運転がそろわない","判定不能"},0),"○","停","×","－"),"")</f>
        <v>停</v>
      </c>
      <c r="T43" s="35" t="str">
        <f aca="false">IFERROR(CHOOSE(MATCH(INDEX(時間ごとの判定!$AH$3:$AH$1850,954),{"利用可","両方停止","運転がそろわない","判定不能"},0),"○","停","×","－"),"")</f>
        <v>停</v>
      </c>
      <c r="U43" s="35" t="str">
        <f aca="false">IFERROR(CHOOSE(MATCH(INDEX(時間ごとの判定!$AH$3:$AH$1850,955),{"利用可","両方停止","運転がそろわない","判定不能"},0),"○","停","×","－"),"")</f>
        <v>停</v>
      </c>
      <c r="V43" s="35" t="str">
        <f aca="false">IFERROR(CHOOSE(MATCH(INDEX(時間ごとの判定!$AH$3:$AH$1850,956),{"利用可","両方停止","運転がそろわない","判定不能"},0),"○","停","×","－"),"")</f>
        <v>停</v>
      </c>
      <c r="W43" s="35" t="str">
        <f aca="false">IFERROR(CHOOSE(MATCH(INDEX(時間ごとの判定!$AH$3:$AH$1850,957),{"利用可","両方停止","運転がそろわない","判定不能"},0),"○","停","×","－"),"")</f>
        <v>停</v>
      </c>
      <c r="X43" s="35" t="str">
        <f aca="false">IFERROR(CHOOSE(MATCH(INDEX(時間ごとの判定!$AH$3:$AH$1850,958),{"利用可","両方停止","運転がそろわない","判定不能"},0),"○","停","×","－"),"")</f>
        <v>停</v>
      </c>
      <c r="Y43" s="35" t="str">
        <f aca="false">IFERROR(CHOOSE(MATCH(INDEX(時間ごとの判定!$AH$3:$AH$1850,959),{"利用可","両方停止","運転がそろわない","判定不能"},0),"○","停","×","－"),"")</f>
        <v>停</v>
      </c>
      <c r="Z43" s="35" t="str">
        <f aca="false">IFERROR(CHOOSE(MATCH(INDEX(時間ごとの判定!$AH$3:$AH$1850,960),{"利用可","両方停止","運転がそろわない","判定不能"},0),"○","停","×","－"),"")</f>
        <v>停</v>
      </c>
      <c r="AA43" s="35"/>
      <c r="AB43" s="35" t="str">
        <f aca="false">IFERROR(CHOOSE(MATCH(INDEX(時間ごとの判定!$AK$3:$AK$1850,937),{"利用可","両方停止","運転がそろわない","判定不能"},0),"○","停","×","－"),"")</f>
        <v>停</v>
      </c>
      <c r="AC43" s="35" t="str">
        <f aca="false">IFERROR(CHOOSE(MATCH(INDEX(時間ごとの判定!$AK$3:$AK$1850,938),{"利用可","両方停止","運転がそろわない","判定不能"},0),"○","停","×","－"),"")</f>
        <v>停</v>
      </c>
      <c r="AD43" s="35" t="str">
        <f aca="false">IFERROR(CHOOSE(MATCH(INDEX(時間ごとの判定!$AK$3:$AK$1850,939),{"利用可","両方停止","運転がそろわない","判定不能"},0),"○","停","×","－"),"")</f>
        <v>停</v>
      </c>
      <c r="AE43" s="35" t="str">
        <f aca="false">IFERROR(CHOOSE(MATCH(INDEX(時間ごとの判定!$AK$3:$AK$1850,940),{"利用可","両方停止","運転がそろわない","判定不能"},0),"○","停","×","－"),"")</f>
        <v>停</v>
      </c>
      <c r="AF43" s="35" t="str">
        <f aca="false">IFERROR(CHOOSE(MATCH(INDEX(時間ごとの判定!$AK$3:$AK$1850,941),{"利用可","両方停止","運転がそろわない","判定不能"},0),"○","停","×","－"),"")</f>
        <v>停</v>
      </c>
      <c r="AG43" s="35" t="str">
        <f aca="false">IFERROR(CHOOSE(MATCH(INDEX(時間ごとの判定!$AK$3:$AK$1850,942),{"利用可","両方停止","運転がそろわない","判定不能"},0),"○","停","×","－"),"")</f>
        <v>停</v>
      </c>
      <c r="AH43" s="35" t="str">
        <f aca="false">IFERROR(CHOOSE(MATCH(INDEX(時間ごとの判定!$AK$3:$AK$1850,943),{"利用可","両方停止","運転がそろわない","判定不能"},0),"○","停","×","－"),"")</f>
        <v>停</v>
      </c>
      <c r="AI43" s="35" t="str">
        <f aca="false">IFERROR(CHOOSE(MATCH(INDEX(時間ごとの判定!$AK$3:$AK$1850,944),{"利用可","両方停止","運転がそろわない","判定不能"},0),"○","停","×","－"),"")</f>
        <v>停</v>
      </c>
      <c r="AJ43" s="35" t="str">
        <f aca="false">IFERROR(CHOOSE(MATCH(INDEX(時間ごとの判定!$AK$3:$AK$1850,945),{"利用可","両方停止","運転がそろわない","判定不能"},0),"○","停","×","－"),"")</f>
        <v>停</v>
      </c>
      <c r="AK43" s="35" t="str">
        <f aca="false">IFERROR(CHOOSE(MATCH(INDEX(時間ごとの判定!$AK$3:$AK$1850,946),{"利用可","両方停止","運転がそろわない","判定不能"},0),"○","停","×","－"),"")</f>
        <v>×</v>
      </c>
      <c r="AL43" s="35" t="str">
        <f aca="false">IFERROR(CHOOSE(MATCH(INDEX(時間ごとの判定!$AK$3:$AK$1850,947),{"利用可","両方停止","運転がそろわない","判定不能"},0),"○","停","×","－"),"")</f>
        <v>－</v>
      </c>
      <c r="AM43" s="35" t="str">
        <f aca="false">IFERROR(CHOOSE(MATCH(INDEX(時間ごとの判定!$AK$3:$AK$1850,948),{"利用可","両方停止","運転がそろわない","判定不能"},0),"○","停","×","－"),"")</f>
        <v>－</v>
      </c>
      <c r="AN43" s="35" t="str">
        <f aca="false">IFERROR(CHOOSE(MATCH(INDEX(時間ごとの判定!$AK$3:$AK$1850,949),{"利用可","両方停止","運転がそろわない","判定不能"},0),"○","停","×","－"),"")</f>
        <v>－</v>
      </c>
      <c r="AO43" s="35" t="str">
        <f aca="false">IFERROR(CHOOSE(MATCH(INDEX(時間ごとの判定!$AK$3:$AK$1850,950),{"利用可","両方停止","運転がそろわない","判定不能"},0),"○","停","×","－"),"")</f>
        <v>－</v>
      </c>
      <c r="AP43" s="35" t="str">
        <f aca="false">IFERROR(CHOOSE(MATCH(INDEX(時間ごとの判定!$AK$3:$AK$1850,951),{"利用可","両方停止","運転がそろわない","判定不能"},0),"○","停","×","－"),"")</f>
        <v>－</v>
      </c>
      <c r="AQ43" s="35" t="str">
        <f aca="false">IFERROR(CHOOSE(MATCH(INDEX(時間ごとの判定!$AK$3:$AK$1850,952),{"利用可","両方停止","運転がそろわない","判定不能"},0),"○","停","×","－"),"")</f>
        <v>－</v>
      </c>
      <c r="AR43" s="35" t="str">
        <f aca="false">IFERROR(CHOOSE(MATCH(INDEX(時間ごとの判定!$AK$3:$AK$1850,953),{"利用可","両方停止","運転がそろわない","判定不能"},0),"○","停","×","－"),"")</f>
        <v>－</v>
      </c>
      <c r="AS43" s="35" t="str">
        <f aca="false">IFERROR(CHOOSE(MATCH(INDEX(時間ごとの判定!$AK$3:$AK$1850,954),{"利用可","両方停止","運転がそろわない","判定不能"},0),"○","停","×","－"),"")</f>
        <v>－</v>
      </c>
      <c r="AT43" s="35" t="str">
        <f aca="false">IFERROR(CHOOSE(MATCH(INDEX(時間ごとの判定!$AK$3:$AK$1850,955),{"利用可","両方停止","運転がそろわない","判定不能"},0),"○","停","×","－"),"")</f>
        <v>－</v>
      </c>
      <c r="AU43" s="35" t="str">
        <f aca="false">IFERROR(CHOOSE(MATCH(INDEX(時間ごとの判定!$AK$3:$AK$1850,956),{"利用可","両方停止","運転がそろわない","判定不能"},0),"○","停","×","－"),"")</f>
        <v>停</v>
      </c>
      <c r="AV43" s="35" t="str">
        <f aca="false">IFERROR(CHOOSE(MATCH(INDEX(時間ごとの判定!$AK$3:$AK$1850,957),{"利用可","両方停止","運転がそろわない","判定不能"},0),"○","停","×","－"),"")</f>
        <v>×</v>
      </c>
      <c r="AW43" s="35" t="str">
        <f aca="false">IFERROR(CHOOSE(MATCH(INDEX(時間ごとの判定!$AK$3:$AK$1850,958),{"利用可","両方停止","運転がそろわない","判定不能"},0),"○","停","×","－"),"")</f>
        <v>停</v>
      </c>
      <c r="AX43" s="35" t="str">
        <f aca="false">IFERROR(CHOOSE(MATCH(INDEX(時間ごとの判定!$AK$3:$AK$1850,959),{"利用可","両方停止","運転がそろわない","判定不能"},0),"○","停","×","－"),"")</f>
        <v>停</v>
      </c>
      <c r="AY43" s="35" t="str">
        <f aca="false">IFERROR(CHOOSE(MATCH(INDEX(時間ごとの判定!$AK$3:$AK$1850,960),{"利用可","両方停止","運転がそろわない","判定不能"},0),"○","停","×","－"),"")</f>
        <v>停</v>
      </c>
      <c r="AZ43" s="35"/>
      <c r="BA43" s="35" t="str">
        <f aca="false">IFERROR(CHOOSE(MATCH(INDEX(時間ごとの判定!$AN$3:$AN$1850,937),{"利用可","両方停止","運転がそろわない","判定不能"},0),"○","停","×","－"),"")</f>
        <v>×</v>
      </c>
      <c r="BB43" s="35" t="str">
        <f aca="false">IFERROR(CHOOSE(MATCH(INDEX(時間ごとの判定!$AN$3:$AN$1850,938),{"利用可","両方停止","運転がそろわない","判定不能"},0),"○","停","×","－"),"")</f>
        <v>×</v>
      </c>
      <c r="BC43" s="35" t="str">
        <f aca="false">IFERROR(CHOOSE(MATCH(INDEX(時間ごとの判定!$AN$3:$AN$1850,939),{"利用可","両方停止","運転がそろわない","判定不能"},0),"○","停","×","－"),"")</f>
        <v>×</v>
      </c>
      <c r="BD43" s="35" t="str">
        <f aca="false">IFERROR(CHOOSE(MATCH(INDEX(時間ごとの判定!$AN$3:$AN$1850,940),{"利用可","両方停止","運転がそろわない","判定不能"},0),"○","停","×","－"),"")</f>
        <v>×</v>
      </c>
      <c r="BE43" s="35" t="str">
        <f aca="false">IFERROR(CHOOSE(MATCH(INDEX(時間ごとの判定!$AN$3:$AN$1850,941),{"利用可","両方停止","運転がそろわない","判定不能"},0),"○","停","×","－"),"")</f>
        <v>×</v>
      </c>
      <c r="BF43" s="35" t="str">
        <f aca="false">IFERROR(CHOOSE(MATCH(INDEX(時間ごとの判定!$AN$3:$AN$1850,942),{"利用可","両方停止","運転がそろわない","判定不能"},0),"○","停","×","－"),"")</f>
        <v>×</v>
      </c>
      <c r="BG43" s="35" t="str">
        <f aca="false">IFERROR(CHOOSE(MATCH(INDEX(時間ごとの判定!$AN$3:$AN$1850,943),{"利用可","両方停止","運転がそろわない","判定不能"},0),"○","停","×","－"),"")</f>
        <v>×</v>
      </c>
      <c r="BH43" s="35" t="str">
        <f aca="false">IFERROR(CHOOSE(MATCH(INDEX(時間ごとの判定!$AN$3:$AN$1850,944),{"利用可","両方停止","運転がそろわない","判定不能"},0),"○","停","×","－"),"")</f>
        <v>×</v>
      </c>
      <c r="BI43" s="35" t="str">
        <f aca="false">IFERROR(CHOOSE(MATCH(INDEX(時間ごとの判定!$AN$3:$AN$1850,945),{"利用可","両方停止","運転がそろわない","判定不能"},0),"○","停","×","－"),"")</f>
        <v>×</v>
      </c>
      <c r="BJ43" s="35" t="str">
        <f aca="false">IFERROR(CHOOSE(MATCH(INDEX(時間ごとの判定!$AN$3:$AN$1850,946),{"利用可","両方停止","運転がそろわない","判定不能"},0),"○","停","×","－"),"")</f>
        <v>×</v>
      </c>
      <c r="BK43" s="35" t="str">
        <f aca="false">IFERROR(CHOOSE(MATCH(INDEX(時間ごとの判定!$AN$3:$AN$1850,947),{"利用可","両方停止","運転がそろわない","判定不能"},0),"○","停","×","－"),"")</f>
        <v>×</v>
      </c>
      <c r="BL43" s="35" t="str">
        <f aca="false">IFERROR(CHOOSE(MATCH(INDEX(時間ごとの判定!$AN$3:$AN$1850,948),{"利用可","両方停止","運転がそろわない","判定不能"},0),"○","停","×","－"),"")</f>
        <v>×</v>
      </c>
      <c r="BM43" s="35" t="str">
        <f aca="false">IFERROR(CHOOSE(MATCH(INDEX(時間ごとの判定!$AN$3:$AN$1850,949),{"利用可","両方停止","運転がそろわない","判定不能"},0),"○","停","×","－"),"")</f>
        <v>×</v>
      </c>
      <c r="BN43" s="35" t="str">
        <f aca="false">IFERROR(CHOOSE(MATCH(INDEX(時間ごとの判定!$AN$3:$AN$1850,950),{"利用可","両方停止","運転がそろわない","判定不能"},0),"○","停","×","－"),"")</f>
        <v>×</v>
      </c>
      <c r="BO43" s="35" t="str">
        <f aca="false">IFERROR(CHOOSE(MATCH(INDEX(時間ごとの判定!$AN$3:$AN$1850,951),{"利用可","両方停止","運転がそろわない","判定不能"},0),"○","停","×","－"),"")</f>
        <v>×</v>
      </c>
      <c r="BP43" s="35" t="str">
        <f aca="false">IFERROR(CHOOSE(MATCH(INDEX(時間ごとの判定!$AN$3:$AN$1850,952),{"利用可","両方停止","運転がそろわない","判定不能"},0),"○","停","×","－"),"")</f>
        <v>×</v>
      </c>
      <c r="BQ43" s="35" t="str">
        <f aca="false">IFERROR(CHOOSE(MATCH(INDEX(時間ごとの判定!$AN$3:$AN$1850,953),{"利用可","両方停止","運転がそろわない","判定不能"},0),"○","停","×","－"),"")</f>
        <v>×</v>
      </c>
      <c r="BR43" s="35" t="str">
        <f aca="false">IFERROR(CHOOSE(MATCH(INDEX(時間ごとの判定!$AN$3:$AN$1850,954),{"利用可","両方停止","運転がそろわない","判定不能"},0),"○","停","×","－"),"")</f>
        <v>×</v>
      </c>
      <c r="BS43" s="35" t="str">
        <f aca="false">IFERROR(CHOOSE(MATCH(INDEX(時間ごとの判定!$AN$3:$AN$1850,955),{"利用可","両方停止","運転がそろわない","判定不能"},0),"○","停","×","－"),"")</f>
        <v>×</v>
      </c>
      <c r="BT43" s="35" t="str">
        <f aca="false">IFERROR(CHOOSE(MATCH(INDEX(時間ごとの判定!$AN$3:$AN$1850,956),{"利用可","両方停止","運転がそろわない","判定不能"},0),"○","停","×","－"),"")</f>
        <v>×</v>
      </c>
      <c r="BU43" s="35" t="str">
        <f aca="false">IFERROR(CHOOSE(MATCH(INDEX(時間ごとの判定!$AN$3:$AN$1850,957),{"利用可","両方停止","運転がそろわない","判定不能"},0),"○","停","×","－"),"")</f>
        <v>×</v>
      </c>
      <c r="BV43" s="35" t="str">
        <f aca="false">IFERROR(CHOOSE(MATCH(INDEX(時間ごとの判定!$AN$3:$AN$1850,958),{"利用可","両方停止","運転がそろわない","判定不能"},0),"○","停","×","－"),"")</f>
        <v>×</v>
      </c>
      <c r="BW43" s="35" t="str">
        <f aca="false">IFERROR(CHOOSE(MATCH(INDEX(時間ごとの判定!$AN$3:$AN$1850,959),{"利用可","両方停止","運転がそろわない","判定不能"},0),"○","停","×","－"),"")</f>
        <v>×</v>
      </c>
      <c r="BX43" s="35" t="str">
        <f aca="false">IFERROR(CHOOSE(MATCH(INDEX(時間ごとの判定!$AN$3:$AN$1850,960),{"利用可","両方停止","運転がそろわない","判定不能"},0),"○","停","×","－"),"")</f>
        <v>×</v>
      </c>
    </row>
    <row r="44" customFormat="false" ht="15" hidden="false" customHeight="false" outlineLevel="0" collapsed="false">
      <c r="A44" s="33" t="n">
        <v>46272</v>
      </c>
      <c r="B44" s="34" t="s">
        <v>66</v>
      </c>
      <c r="C44" s="35" t="str">
        <f aca="false">IFERROR(CHOOSE(MATCH(INDEX(時間ごとの判定!$AH$3:$AH$1850,961),{"利用可","両方停止","運転がそろわない","判定不能"},0),"○","停","×","－"),"")</f>
        <v>停</v>
      </c>
      <c r="D44" s="35" t="str">
        <f aca="false">IFERROR(CHOOSE(MATCH(INDEX(時間ごとの判定!$AH$3:$AH$1850,962),{"利用可","両方停止","運転がそろわない","判定不能"},0),"○","停","×","－"),"")</f>
        <v>停</v>
      </c>
      <c r="E44" s="35" t="str">
        <f aca="false">IFERROR(CHOOSE(MATCH(INDEX(時間ごとの判定!$AH$3:$AH$1850,963),{"利用可","両方停止","運転がそろわない","判定不能"},0),"○","停","×","－"),"")</f>
        <v>停</v>
      </c>
      <c r="F44" s="35" t="str">
        <f aca="false">IFERROR(CHOOSE(MATCH(INDEX(時間ごとの判定!$AH$3:$AH$1850,964),{"利用可","両方停止","運転がそろわない","判定不能"},0),"○","停","×","－"),"")</f>
        <v>停</v>
      </c>
      <c r="G44" s="35" t="str">
        <f aca="false">IFERROR(CHOOSE(MATCH(INDEX(時間ごとの判定!$AH$3:$AH$1850,965),{"利用可","両方停止","運転がそろわない","判定不能"},0),"○","停","×","－"),"")</f>
        <v>停</v>
      </c>
      <c r="H44" s="35" t="str">
        <f aca="false">IFERROR(CHOOSE(MATCH(INDEX(時間ごとの判定!$AH$3:$AH$1850,966),{"利用可","両方停止","運転がそろわない","判定不能"},0),"○","停","×","－"),"")</f>
        <v>停</v>
      </c>
      <c r="I44" s="35" t="str">
        <f aca="false">IFERROR(CHOOSE(MATCH(INDEX(時間ごとの判定!$AH$3:$AH$1850,967),{"利用可","両方停止","運転がそろわない","判定不能"},0),"○","停","×","－"),"")</f>
        <v>停</v>
      </c>
      <c r="J44" s="35" t="str">
        <f aca="false">IFERROR(CHOOSE(MATCH(INDEX(時間ごとの判定!$AH$3:$AH$1850,968),{"利用可","両方停止","運転がそろわない","判定不能"},0),"○","停","×","－"),"")</f>
        <v>×</v>
      </c>
      <c r="K44" s="35" t="str">
        <f aca="false">IFERROR(CHOOSE(MATCH(INDEX(時間ごとの判定!$AH$3:$AH$1850,969),{"利用可","両方停止","運転がそろわない","判定不能"},0),"○","停","×","－"),"")</f>
        <v>×</v>
      </c>
      <c r="L44" s="35" t="str">
        <f aca="false">IFERROR(CHOOSE(MATCH(INDEX(時間ごとの判定!$AH$3:$AH$1850,970),{"利用可","両方停止","運転がそろわない","判定不能"},0),"○","停","×","－"),"")</f>
        <v>×</v>
      </c>
      <c r="M44" s="35" t="str">
        <f aca="false">IFERROR(CHOOSE(MATCH(INDEX(時間ごとの判定!$AH$3:$AH$1850,971),{"利用可","両方停止","運転がそろわない","判定不能"},0),"○","停","×","－"),"")</f>
        <v>○</v>
      </c>
      <c r="N44" s="35" t="str">
        <f aca="false">IFERROR(CHOOSE(MATCH(INDEX(時間ごとの判定!$AH$3:$AH$1850,972),{"利用可","両方停止","運転がそろわない","判定不能"},0),"○","停","×","－"),"")</f>
        <v>○</v>
      </c>
      <c r="O44" s="35" t="str">
        <f aca="false">IFERROR(CHOOSE(MATCH(INDEX(時間ごとの判定!$AH$3:$AH$1850,973),{"利用可","両方停止","運転がそろわない","判定不能"},0),"○","停","×","－"),"")</f>
        <v>○</v>
      </c>
      <c r="P44" s="35" t="str">
        <f aca="false">IFERROR(CHOOSE(MATCH(INDEX(時間ごとの判定!$AH$3:$AH$1850,974),{"利用可","両方停止","運転がそろわない","判定不能"},0),"○","停","×","－"),"")</f>
        <v>○</v>
      </c>
      <c r="Q44" s="35" t="str">
        <f aca="false">IFERROR(CHOOSE(MATCH(INDEX(時間ごとの判定!$AH$3:$AH$1850,975),{"利用可","両方停止","運転がそろわない","判定不能"},0),"○","停","×","－"),"")</f>
        <v>×</v>
      </c>
      <c r="R44" s="35" t="str">
        <f aca="false">IFERROR(CHOOSE(MATCH(INDEX(時間ごとの判定!$AH$3:$AH$1850,976),{"利用可","両方停止","運転がそろわない","判定不能"},0),"○","停","×","－"),"")</f>
        <v>×</v>
      </c>
      <c r="S44" s="35" t="str">
        <f aca="false">IFERROR(CHOOSE(MATCH(INDEX(時間ごとの判定!$AH$3:$AH$1850,977),{"利用可","両方停止","運転がそろわない","判定不能"},0),"○","停","×","－"),"")</f>
        <v>－</v>
      </c>
      <c r="T44" s="35" t="str">
        <f aca="false">IFERROR(CHOOSE(MATCH(INDEX(時間ごとの判定!$AH$3:$AH$1850,978),{"利用可","両方停止","運転がそろわない","判定不能"},0),"○","停","×","－"),"")</f>
        <v>－</v>
      </c>
      <c r="U44" s="35" t="str">
        <f aca="false">IFERROR(CHOOSE(MATCH(INDEX(時間ごとの判定!$AH$3:$AH$1850,979),{"利用可","両方停止","運転がそろわない","判定不能"},0),"○","停","×","－"),"")</f>
        <v>×</v>
      </c>
      <c r="V44" s="35" t="str">
        <f aca="false">IFERROR(CHOOSE(MATCH(INDEX(時間ごとの判定!$AH$3:$AH$1850,980),{"利用可","両方停止","運転がそろわない","判定不能"},0),"○","停","×","－"),"")</f>
        <v>×</v>
      </c>
      <c r="W44" s="35" t="str">
        <f aca="false">IFERROR(CHOOSE(MATCH(INDEX(時間ごとの判定!$AH$3:$AH$1850,981),{"利用可","両方停止","運転がそろわない","判定不能"},0),"○","停","×","－"),"")</f>
        <v>×</v>
      </c>
      <c r="X44" s="35" t="str">
        <f aca="false">IFERROR(CHOOSE(MATCH(INDEX(時間ごとの判定!$AH$3:$AH$1850,982),{"利用可","両方停止","運転がそろわない","判定不能"},0),"○","停","×","－"),"")</f>
        <v>停</v>
      </c>
      <c r="Y44" s="35" t="str">
        <f aca="false">IFERROR(CHOOSE(MATCH(INDEX(時間ごとの判定!$AH$3:$AH$1850,983),{"利用可","両方停止","運転がそろわない","判定不能"},0),"○","停","×","－"),"")</f>
        <v>停</v>
      </c>
      <c r="Z44" s="35" t="str">
        <f aca="false">IFERROR(CHOOSE(MATCH(INDEX(時間ごとの判定!$AH$3:$AH$1850,984),{"利用可","両方停止","運転がそろわない","判定不能"},0),"○","停","×","－"),"")</f>
        <v>停</v>
      </c>
      <c r="AA44" s="35"/>
      <c r="AB44" s="35" t="str">
        <f aca="false">IFERROR(CHOOSE(MATCH(INDEX(時間ごとの判定!$AK$3:$AK$1850,961),{"利用可","両方停止","運転がそろわない","判定不能"},0),"○","停","×","－"),"")</f>
        <v>停</v>
      </c>
      <c r="AC44" s="35" t="str">
        <f aca="false">IFERROR(CHOOSE(MATCH(INDEX(時間ごとの判定!$AK$3:$AK$1850,962),{"利用可","両方停止","運転がそろわない","判定不能"},0),"○","停","×","－"),"")</f>
        <v>停</v>
      </c>
      <c r="AD44" s="35" t="str">
        <f aca="false">IFERROR(CHOOSE(MATCH(INDEX(時間ごとの判定!$AK$3:$AK$1850,963),{"利用可","両方停止","運転がそろわない","判定不能"},0),"○","停","×","－"),"")</f>
        <v>停</v>
      </c>
      <c r="AE44" s="35" t="str">
        <f aca="false">IFERROR(CHOOSE(MATCH(INDEX(時間ごとの判定!$AK$3:$AK$1850,964),{"利用可","両方停止","運転がそろわない","判定不能"},0),"○","停","×","－"),"")</f>
        <v>停</v>
      </c>
      <c r="AF44" s="35" t="str">
        <f aca="false">IFERROR(CHOOSE(MATCH(INDEX(時間ごとの判定!$AK$3:$AK$1850,965),{"利用可","両方停止","運転がそろわない","判定不能"},0),"○","停","×","－"),"")</f>
        <v>停</v>
      </c>
      <c r="AG44" s="35" t="str">
        <f aca="false">IFERROR(CHOOSE(MATCH(INDEX(時間ごとの判定!$AK$3:$AK$1850,966),{"利用可","両方停止","運転がそろわない","判定不能"},0),"○","停","×","－"),"")</f>
        <v>停</v>
      </c>
      <c r="AH44" s="35" t="str">
        <f aca="false">IFERROR(CHOOSE(MATCH(INDEX(時間ごとの判定!$AK$3:$AK$1850,967),{"利用可","両方停止","運転がそろわない","判定不能"},0),"○","停","×","－"),"")</f>
        <v>停</v>
      </c>
      <c r="AI44" s="35" t="str">
        <f aca="false">IFERROR(CHOOSE(MATCH(INDEX(時間ごとの判定!$AK$3:$AK$1850,968),{"利用可","両方停止","運転がそろわない","判定不能"},0),"○","停","×","－"),"")</f>
        <v>×</v>
      </c>
      <c r="AJ44" s="35" t="str">
        <f aca="false">IFERROR(CHOOSE(MATCH(INDEX(時間ごとの判定!$AK$3:$AK$1850,969),{"利用可","両方停止","運転がそろわない","判定不能"},0),"○","停","×","－"),"")</f>
        <v>－</v>
      </c>
      <c r="AK44" s="35" t="str">
        <f aca="false">IFERROR(CHOOSE(MATCH(INDEX(時間ごとの判定!$AK$3:$AK$1850,970),{"利用可","両方停止","運転がそろわない","判定不能"},0),"○","停","×","－"),"")</f>
        <v>－</v>
      </c>
      <c r="AL44" s="35" t="str">
        <f aca="false">IFERROR(CHOOSE(MATCH(INDEX(時間ごとの判定!$AK$3:$AK$1850,971),{"利用可","両方停止","運転がそろわない","判定不能"},0),"○","停","×","－"),"")</f>
        <v>－</v>
      </c>
      <c r="AM44" s="35" t="str">
        <f aca="false">IFERROR(CHOOSE(MATCH(INDEX(時間ごとの判定!$AK$3:$AK$1850,972),{"利用可","両方停止","運転がそろわない","判定不能"},0),"○","停","×","－"),"")</f>
        <v>－</v>
      </c>
      <c r="AN44" s="35" t="str">
        <f aca="false">IFERROR(CHOOSE(MATCH(INDEX(時間ごとの判定!$AK$3:$AK$1850,973),{"利用可","両方停止","運転がそろわない","判定不能"},0),"○","停","×","－"),"")</f>
        <v>－</v>
      </c>
      <c r="AO44" s="35" t="str">
        <f aca="false">IFERROR(CHOOSE(MATCH(INDEX(時間ごとの判定!$AK$3:$AK$1850,974),{"利用可","両方停止","運転がそろわない","判定不能"},0),"○","停","×","－"),"")</f>
        <v>－</v>
      </c>
      <c r="AP44" s="35" t="str">
        <f aca="false">IFERROR(CHOOSE(MATCH(INDEX(時間ごとの判定!$AK$3:$AK$1850,975),{"利用可","両方停止","運転がそろわない","判定不能"},0),"○","停","×","－"),"")</f>
        <v>－</v>
      </c>
      <c r="AQ44" s="35" t="str">
        <f aca="false">IFERROR(CHOOSE(MATCH(INDEX(時間ごとの判定!$AK$3:$AK$1850,976),{"利用可","両方停止","運転がそろわない","判定不能"},0),"○","停","×","－"),"")</f>
        <v>－</v>
      </c>
      <c r="AR44" s="35" t="str">
        <f aca="false">IFERROR(CHOOSE(MATCH(INDEX(時間ごとの判定!$AK$3:$AK$1850,977),{"利用可","両方停止","運転がそろわない","判定不能"},0),"○","停","×","－"),"")</f>
        <v>－</v>
      </c>
      <c r="AS44" s="35" t="str">
        <f aca="false">IFERROR(CHOOSE(MATCH(INDEX(時間ごとの判定!$AK$3:$AK$1850,978),{"利用可","両方停止","運転がそろわない","判定不能"},0),"○","停","×","－"),"")</f>
        <v>－</v>
      </c>
      <c r="AT44" s="35" t="str">
        <f aca="false">IFERROR(CHOOSE(MATCH(INDEX(時間ごとの判定!$AK$3:$AK$1850,979),{"利用可","両方停止","運転がそろわない","判定不能"},0),"○","停","×","－"),"")</f>
        <v>－</v>
      </c>
      <c r="AU44" s="35" t="str">
        <f aca="false">IFERROR(CHOOSE(MATCH(INDEX(時間ごとの判定!$AK$3:$AK$1850,980),{"利用可","両方停止","運転がそろわない","判定不能"},0),"○","停","×","－"),"")</f>
        <v>－</v>
      </c>
      <c r="AV44" s="35" t="str">
        <f aca="false">IFERROR(CHOOSE(MATCH(INDEX(時間ごとの判定!$AK$3:$AK$1850,981),{"利用可","両方停止","運転がそろわない","判定不能"},0),"○","停","×","－"),"")</f>
        <v>－</v>
      </c>
      <c r="AW44" s="35" t="str">
        <f aca="false">IFERROR(CHOOSE(MATCH(INDEX(時間ごとの判定!$AK$3:$AK$1850,982),{"利用可","両方停止","運転がそろわない","判定不能"},0),"○","停","×","－"),"")</f>
        <v>－</v>
      </c>
      <c r="AX44" s="35" t="str">
        <f aca="false">IFERROR(CHOOSE(MATCH(INDEX(時間ごとの判定!$AK$3:$AK$1850,983),{"利用可","両方停止","運転がそろわない","判定不能"},0),"○","停","×","－"),"")</f>
        <v>－</v>
      </c>
      <c r="AY44" s="35" t="str">
        <f aca="false">IFERROR(CHOOSE(MATCH(INDEX(時間ごとの判定!$AK$3:$AK$1850,984),{"利用可","両方停止","運転がそろわない","判定不能"},0),"○","停","×","－"),"")</f>
        <v>－</v>
      </c>
      <c r="AZ44" s="35"/>
      <c r="BA44" s="35" t="str">
        <f aca="false">IFERROR(CHOOSE(MATCH(INDEX(時間ごとの判定!$AN$3:$AN$1850,961),{"利用可","両方停止","運転がそろわない","判定不能"},0),"○","停","×","－"),"")</f>
        <v>×</v>
      </c>
      <c r="BB44" s="35" t="str">
        <f aca="false">IFERROR(CHOOSE(MATCH(INDEX(時間ごとの判定!$AN$3:$AN$1850,962),{"利用可","両方停止","運転がそろわない","判定不能"},0),"○","停","×","－"),"")</f>
        <v>×</v>
      </c>
      <c r="BC44" s="35" t="str">
        <f aca="false">IFERROR(CHOOSE(MATCH(INDEX(時間ごとの判定!$AN$3:$AN$1850,963),{"利用可","両方停止","運転がそろわない","判定不能"},0),"○","停","×","－"),"")</f>
        <v>×</v>
      </c>
      <c r="BD44" s="35" t="str">
        <f aca="false">IFERROR(CHOOSE(MATCH(INDEX(時間ごとの判定!$AN$3:$AN$1850,964),{"利用可","両方停止","運転がそろわない","判定不能"},0),"○","停","×","－"),"")</f>
        <v>×</v>
      </c>
      <c r="BE44" s="35" t="str">
        <f aca="false">IFERROR(CHOOSE(MATCH(INDEX(時間ごとの判定!$AN$3:$AN$1850,965),{"利用可","両方停止","運転がそろわない","判定不能"},0),"○","停","×","－"),"")</f>
        <v>×</v>
      </c>
      <c r="BF44" s="35" t="str">
        <f aca="false">IFERROR(CHOOSE(MATCH(INDEX(時間ごとの判定!$AN$3:$AN$1850,966),{"利用可","両方停止","運転がそろわない","判定不能"},0),"○","停","×","－"),"")</f>
        <v>×</v>
      </c>
      <c r="BG44" s="35" t="str">
        <f aca="false">IFERROR(CHOOSE(MATCH(INDEX(時間ごとの判定!$AN$3:$AN$1850,967),{"利用可","両方停止","運転がそろわない","判定不能"},0),"○","停","×","－"),"")</f>
        <v>×</v>
      </c>
      <c r="BH44" s="35" t="str">
        <f aca="false">IFERROR(CHOOSE(MATCH(INDEX(時間ごとの判定!$AN$3:$AN$1850,968),{"利用可","両方停止","運転がそろわない","判定不能"},0),"○","停","×","－"),"")</f>
        <v>×</v>
      </c>
      <c r="BI44" s="35" t="str">
        <f aca="false">IFERROR(CHOOSE(MATCH(INDEX(時間ごとの判定!$AN$3:$AN$1850,969),{"利用可","両方停止","運転がそろわない","判定不能"},0),"○","停","×","－"),"")</f>
        <v>○</v>
      </c>
      <c r="BJ44" s="35" t="str">
        <f aca="false">IFERROR(CHOOSE(MATCH(INDEX(時間ごとの判定!$AN$3:$AN$1850,970),{"利用可","両方停止","運転がそろわない","判定不能"},0),"○","停","×","－"),"")</f>
        <v>○</v>
      </c>
      <c r="BK44" s="35" t="str">
        <f aca="false">IFERROR(CHOOSE(MATCH(INDEX(時間ごとの判定!$AN$3:$AN$1850,971),{"利用可","両方停止","運転がそろわない","判定不能"},0),"○","停","×","－"),"")</f>
        <v>○</v>
      </c>
      <c r="BL44" s="35" t="str">
        <f aca="false">IFERROR(CHOOSE(MATCH(INDEX(時間ごとの判定!$AN$3:$AN$1850,972),{"利用可","両方停止","運転がそろわない","判定不能"},0),"○","停","×","－"),"")</f>
        <v>×</v>
      </c>
      <c r="BM44" s="35" t="str">
        <f aca="false">IFERROR(CHOOSE(MATCH(INDEX(時間ごとの判定!$AN$3:$AN$1850,973),{"利用可","両方停止","運転がそろわない","判定不能"},0),"○","停","×","－"),"")</f>
        <v>○</v>
      </c>
      <c r="BN44" s="35" t="str">
        <f aca="false">IFERROR(CHOOSE(MATCH(INDEX(時間ごとの判定!$AN$3:$AN$1850,974),{"利用可","両方停止","運転がそろわない","判定不能"},0),"○","停","×","－"),"")</f>
        <v>○</v>
      </c>
      <c r="BO44" s="35" t="str">
        <f aca="false">IFERROR(CHOOSE(MATCH(INDEX(時間ごとの判定!$AN$3:$AN$1850,975),{"利用可","両方停止","運転がそろわない","判定不能"},0),"○","停","×","－"),"")</f>
        <v>×</v>
      </c>
      <c r="BP44" s="35" t="str">
        <f aca="false">IFERROR(CHOOSE(MATCH(INDEX(時間ごとの判定!$AN$3:$AN$1850,976),{"利用可","両方停止","運転がそろわない","判定不能"},0),"○","停","×","－"),"")</f>
        <v>○</v>
      </c>
      <c r="BQ44" s="35" t="str">
        <f aca="false">IFERROR(CHOOSE(MATCH(INDEX(時間ごとの判定!$AN$3:$AN$1850,977),{"利用可","両方停止","運転がそろわない","判定不能"},0),"○","停","×","－"),"")</f>
        <v>－</v>
      </c>
      <c r="BR44" s="35" t="str">
        <f aca="false">IFERROR(CHOOSE(MATCH(INDEX(時間ごとの判定!$AN$3:$AN$1850,978),{"利用可","両方停止","運転がそろわない","判定不能"},0),"○","停","×","－"),"")</f>
        <v>－</v>
      </c>
      <c r="BS44" s="35" t="str">
        <f aca="false">IFERROR(CHOOSE(MATCH(INDEX(時間ごとの判定!$AN$3:$AN$1850,979),{"利用可","両方停止","運転がそろわない","判定不能"},0),"○","停","×","－"),"")</f>
        <v>○</v>
      </c>
      <c r="BT44" s="35" t="str">
        <f aca="false">IFERROR(CHOOSE(MATCH(INDEX(時間ごとの判定!$AN$3:$AN$1850,980),{"利用可","両方停止","運転がそろわない","判定不能"},0),"○","停","×","－"),"")</f>
        <v>○</v>
      </c>
      <c r="BU44" s="35" t="str">
        <f aca="false">IFERROR(CHOOSE(MATCH(INDEX(時間ごとの判定!$AN$3:$AN$1850,981),{"利用可","両方停止","運転がそろわない","判定不能"},0),"○","停","×","－"),"")</f>
        <v>○</v>
      </c>
      <c r="BV44" s="35" t="str">
        <f aca="false">IFERROR(CHOOSE(MATCH(INDEX(時間ごとの判定!$AN$3:$AN$1850,982),{"利用可","両方停止","運転がそろわない","判定不能"},0),"○","停","×","－"),"")</f>
        <v>×</v>
      </c>
      <c r="BW44" s="35" t="str">
        <f aca="false">IFERROR(CHOOSE(MATCH(INDEX(時間ごとの判定!$AN$3:$AN$1850,983),{"利用可","両方停止","運転がそろわない","判定不能"},0),"○","停","×","－"),"")</f>
        <v>×</v>
      </c>
      <c r="BX44" s="35" t="str">
        <f aca="false">IFERROR(CHOOSE(MATCH(INDEX(時間ごとの判定!$AN$3:$AN$1850,984),{"利用可","両方停止","運転がそろわない","判定不能"},0),"○","停","×","－"),"")</f>
        <v>停</v>
      </c>
    </row>
    <row r="45" customFormat="false" ht="15" hidden="false" customHeight="false" outlineLevel="0" collapsed="false">
      <c r="A45" s="33" t="n">
        <v>46273</v>
      </c>
      <c r="B45" s="34" t="s">
        <v>67</v>
      </c>
      <c r="C45" s="35" t="str">
        <f aca="false">IFERROR(CHOOSE(MATCH(INDEX(時間ごとの判定!$AH$3:$AH$1850,985),{"利用可","両方停止","運転がそろわない","判定不能"},0),"○","停","×","－"),"")</f>
        <v>停</v>
      </c>
      <c r="D45" s="35" t="str">
        <f aca="false">IFERROR(CHOOSE(MATCH(INDEX(時間ごとの判定!$AH$3:$AH$1850,986),{"利用可","両方停止","運転がそろわない","判定不能"},0),"○","停","×","－"),"")</f>
        <v>停</v>
      </c>
      <c r="E45" s="35" t="str">
        <f aca="false">IFERROR(CHOOSE(MATCH(INDEX(時間ごとの判定!$AH$3:$AH$1850,987),{"利用可","両方停止","運転がそろわない","判定不能"},0),"○","停","×","－"),"")</f>
        <v>停</v>
      </c>
      <c r="F45" s="35" t="str">
        <f aca="false">IFERROR(CHOOSE(MATCH(INDEX(時間ごとの判定!$AH$3:$AH$1850,988),{"利用可","両方停止","運転がそろわない","判定不能"},0),"○","停","×","－"),"")</f>
        <v>停</v>
      </c>
      <c r="G45" s="35" t="str">
        <f aca="false">IFERROR(CHOOSE(MATCH(INDEX(時間ごとの判定!$AH$3:$AH$1850,989),{"利用可","両方停止","運転がそろわない","判定不能"},0),"○","停","×","－"),"")</f>
        <v>停</v>
      </c>
      <c r="H45" s="35" t="str">
        <f aca="false">IFERROR(CHOOSE(MATCH(INDEX(時間ごとの判定!$AH$3:$AH$1850,990),{"利用可","両方停止","運転がそろわない","判定不能"},0),"○","停","×","－"),"")</f>
        <v>停</v>
      </c>
      <c r="I45" s="35" t="str">
        <f aca="false">IFERROR(CHOOSE(MATCH(INDEX(時間ごとの判定!$AH$3:$AH$1850,991),{"利用可","両方停止","運転がそろわない","判定不能"},0),"○","停","×","－"),"")</f>
        <v>停</v>
      </c>
      <c r="J45" s="35" t="str">
        <f aca="false">IFERROR(CHOOSE(MATCH(INDEX(時間ごとの判定!$AH$3:$AH$1850,992),{"利用可","両方停止","運転がそろわない","判定不能"},0),"○","停","×","－"),"")</f>
        <v>停</v>
      </c>
      <c r="K45" s="35" t="str">
        <f aca="false">IFERROR(CHOOSE(MATCH(INDEX(時間ごとの判定!$AH$3:$AH$1850,993),{"利用可","両方停止","運転がそろわない","判定不能"},0),"○","停","×","－"),"")</f>
        <v>×</v>
      </c>
      <c r="L45" s="35" t="str">
        <f aca="false">IFERROR(CHOOSE(MATCH(INDEX(時間ごとの判定!$AH$3:$AH$1850,994),{"利用可","両方停止","運転がそろわない","判定不能"},0),"○","停","×","－"),"")</f>
        <v>×</v>
      </c>
      <c r="M45" s="35" t="str">
        <f aca="false">IFERROR(CHOOSE(MATCH(INDEX(時間ごとの判定!$AH$3:$AH$1850,995),{"利用可","両方停止","運転がそろわない","判定不能"},0),"○","停","×","－"),"")</f>
        <v>○</v>
      </c>
      <c r="N45" s="35" t="str">
        <f aca="false">IFERROR(CHOOSE(MATCH(INDEX(時間ごとの判定!$AH$3:$AH$1850,996),{"利用可","両方停止","運転がそろわない","判定不能"},0),"○","停","×","－"),"")</f>
        <v>○</v>
      </c>
      <c r="O45" s="35" t="str">
        <f aca="false">IFERROR(CHOOSE(MATCH(INDEX(時間ごとの判定!$AH$3:$AH$1850,997),{"利用可","両方停止","運転がそろわない","判定不能"},0),"○","停","×","－"),"")</f>
        <v>○</v>
      </c>
      <c r="P45" s="35" t="str">
        <f aca="false">IFERROR(CHOOSE(MATCH(INDEX(時間ごとの判定!$AH$3:$AH$1850,998),{"利用可","両方停止","運転がそろわない","判定不能"},0),"○","停","×","－"),"")</f>
        <v>○</v>
      </c>
      <c r="Q45" s="35" t="str">
        <f aca="false">IFERROR(CHOOSE(MATCH(INDEX(時間ごとの判定!$AH$3:$AH$1850,999),{"利用可","両方停止","運転がそろわない","判定不能"},0),"○","停","×","－"),"")</f>
        <v>○</v>
      </c>
      <c r="R45" s="35" t="str">
        <f aca="false">IFERROR(CHOOSE(MATCH(INDEX(時間ごとの判定!$AH$3:$AH$1850,1000),{"利用可","両方停止","運転がそろわない","判定不能"},0),"○","停","×","－"),"")</f>
        <v>×</v>
      </c>
      <c r="S45" s="35" t="str">
        <f aca="false">IFERROR(CHOOSE(MATCH(INDEX(時間ごとの判定!$AH$3:$AH$1850,1001),{"利用可","両方停止","運転がそろわない","判定不能"},0),"○","停","×","－"),"")</f>
        <v>○</v>
      </c>
      <c r="T45" s="35" t="str">
        <f aca="false">IFERROR(CHOOSE(MATCH(INDEX(時間ごとの判定!$AH$3:$AH$1850,1002),{"利用可","両方停止","運転がそろわない","判定不能"},0),"○","停","×","－"),"")</f>
        <v>○</v>
      </c>
      <c r="U45" s="35" t="str">
        <f aca="false">IFERROR(CHOOSE(MATCH(INDEX(時間ごとの判定!$AH$3:$AH$1850,1003),{"利用可","両方停止","運転がそろわない","判定不能"},0),"○","停","×","－"),"")</f>
        <v>×</v>
      </c>
      <c r="V45" s="35" t="str">
        <f aca="false">IFERROR(CHOOSE(MATCH(INDEX(時間ごとの判定!$AH$3:$AH$1850,1004),{"利用可","両方停止","運転がそろわない","判定不能"},0),"○","停","×","－"),"")</f>
        <v>○</v>
      </c>
      <c r="W45" s="35" t="str">
        <f aca="false">IFERROR(CHOOSE(MATCH(INDEX(時間ごとの判定!$AH$3:$AH$1850,1005),{"利用可","両方停止","運転がそろわない","判定不能"},0),"○","停","×","－"),"")</f>
        <v>○</v>
      </c>
      <c r="X45" s="35" t="str">
        <f aca="false">IFERROR(CHOOSE(MATCH(INDEX(時間ごとの判定!$AH$3:$AH$1850,1006),{"利用可","両方停止","運転がそろわない","判定不能"},0),"○","停","×","－"),"")</f>
        <v>×</v>
      </c>
      <c r="Y45" s="35" t="str">
        <f aca="false">IFERROR(CHOOSE(MATCH(INDEX(時間ごとの判定!$AH$3:$AH$1850,1007),{"利用可","両方停止","運転がそろわない","判定不能"},0),"○","停","×","－"),"")</f>
        <v>停</v>
      </c>
      <c r="Z45" s="35" t="str">
        <f aca="false">IFERROR(CHOOSE(MATCH(INDEX(時間ごとの判定!$AH$3:$AH$1850,1008),{"利用可","両方停止","運転がそろわない","判定不能"},0),"○","停","×","－"),"")</f>
        <v>停</v>
      </c>
      <c r="AA45" s="35"/>
      <c r="AB45" s="35" t="str">
        <f aca="false">IFERROR(CHOOSE(MATCH(INDEX(時間ごとの判定!$AK$3:$AK$1850,985),{"利用可","両方停止","運転がそろわない","判定不能"},0),"○","停","×","－"),"")</f>
        <v>－</v>
      </c>
      <c r="AC45" s="35" t="str">
        <f aca="false">IFERROR(CHOOSE(MATCH(INDEX(時間ごとの判定!$AK$3:$AK$1850,986),{"利用可","両方停止","運転がそろわない","判定不能"},0),"○","停","×","－"),"")</f>
        <v>停</v>
      </c>
      <c r="AD45" s="35" t="str">
        <f aca="false">IFERROR(CHOOSE(MATCH(INDEX(時間ごとの判定!$AK$3:$AK$1850,987),{"利用可","両方停止","運転がそろわない","判定不能"},0),"○","停","×","－"),"")</f>
        <v>停</v>
      </c>
      <c r="AE45" s="35" t="str">
        <f aca="false">IFERROR(CHOOSE(MATCH(INDEX(時間ごとの判定!$AK$3:$AK$1850,988),{"利用可","両方停止","運転がそろわない","判定不能"},0),"○","停","×","－"),"")</f>
        <v>停</v>
      </c>
      <c r="AF45" s="35" t="str">
        <f aca="false">IFERROR(CHOOSE(MATCH(INDEX(時間ごとの判定!$AK$3:$AK$1850,989),{"利用可","両方停止","運転がそろわない","判定不能"},0),"○","停","×","－"),"")</f>
        <v>停</v>
      </c>
      <c r="AG45" s="35" t="str">
        <f aca="false">IFERROR(CHOOSE(MATCH(INDEX(時間ごとの判定!$AK$3:$AK$1850,990),{"利用可","両方停止","運転がそろわない","判定不能"},0),"○","停","×","－"),"")</f>
        <v>停</v>
      </c>
      <c r="AH45" s="35" t="str">
        <f aca="false">IFERROR(CHOOSE(MATCH(INDEX(時間ごとの判定!$AK$3:$AK$1850,991),{"利用可","両方停止","運転がそろわない","判定不能"},0),"○","停","×","－"),"")</f>
        <v>停</v>
      </c>
      <c r="AI45" s="35" t="str">
        <f aca="false">IFERROR(CHOOSE(MATCH(INDEX(時間ごとの判定!$AK$3:$AK$1850,992),{"利用可","両方停止","運転がそろわない","判定不能"},0),"○","停","×","－"),"")</f>
        <v>×</v>
      </c>
      <c r="AJ45" s="35" t="str">
        <f aca="false">IFERROR(CHOOSE(MATCH(INDEX(時間ごとの判定!$AK$3:$AK$1850,993),{"利用可","両方停止","運転がそろわない","判定不能"},0),"○","停","×","－"),"")</f>
        <v>×</v>
      </c>
      <c r="AK45" s="35" t="str">
        <f aca="false">IFERROR(CHOOSE(MATCH(INDEX(時間ごとの判定!$AK$3:$AK$1850,994),{"利用可","両方停止","運転がそろわない","判定不能"},0),"○","停","×","－"),"")</f>
        <v>○</v>
      </c>
      <c r="AL45" s="35" t="str">
        <f aca="false">IFERROR(CHOOSE(MATCH(INDEX(時間ごとの判定!$AK$3:$AK$1850,995),{"利用可","両方停止","運転がそろわない","判定不能"},0),"○","停","×","－"),"")</f>
        <v>○</v>
      </c>
      <c r="AM45" s="35" t="str">
        <f aca="false">IFERROR(CHOOSE(MATCH(INDEX(時間ごとの判定!$AK$3:$AK$1850,996),{"利用可","両方停止","運転がそろわない","判定不能"},0),"○","停","×","－"),"")</f>
        <v>○</v>
      </c>
      <c r="AN45" s="35" t="str">
        <f aca="false">IFERROR(CHOOSE(MATCH(INDEX(時間ごとの判定!$AK$3:$AK$1850,997),{"利用可","両方停止","運転がそろわない","判定不能"},0),"○","停","×","－"),"")</f>
        <v>○</v>
      </c>
      <c r="AO45" s="35" t="str">
        <f aca="false">IFERROR(CHOOSE(MATCH(INDEX(時間ごとの判定!$AK$3:$AK$1850,998),{"利用可","両方停止","運転がそろわない","判定不能"},0),"○","停","×","－"),"")</f>
        <v>○</v>
      </c>
      <c r="AP45" s="35" t="str">
        <f aca="false">IFERROR(CHOOSE(MATCH(INDEX(時間ごとの判定!$AK$3:$AK$1850,999),{"利用可","両方停止","運転がそろわない","判定不能"},0),"○","停","×","－"),"")</f>
        <v>○</v>
      </c>
      <c r="AQ45" s="35" t="str">
        <f aca="false">IFERROR(CHOOSE(MATCH(INDEX(時間ごとの判定!$AK$3:$AK$1850,1000),{"利用可","両方停止","運転がそろわない","判定不能"},0),"○","停","×","－"),"")</f>
        <v>○</v>
      </c>
      <c r="AR45" s="35" t="str">
        <f aca="false">IFERROR(CHOOSE(MATCH(INDEX(時間ごとの判定!$AK$3:$AK$1850,1001),{"利用可","両方停止","運転がそろわない","判定不能"},0),"○","停","×","－"),"")</f>
        <v>○</v>
      </c>
      <c r="AS45" s="35" t="str">
        <f aca="false">IFERROR(CHOOSE(MATCH(INDEX(時間ごとの判定!$AK$3:$AK$1850,1002),{"利用可","両方停止","運転がそろわない","判定不能"},0),"○","停","×","－"),"")</f>
        <v>○</v>
      </c>
      <c r="AT45" s="35" t="str">
        <f aca="false">IFERROR(CHOOSE(MATCH(INDEX(時間ごとの判定!$AK$3:$AK$1850,1003),{"利用可","両方停止","運転がそろわない","判定不能"},0),"○","停","×","－"),"")</f>
        <v>○</v>
      </c>
      <c r="AU45" s="35" t="str">
        <f aca="false">IFERROR(CHOOSE(MATCH(INDEX(時間ごとの判定!$AK$3:$AK$1850,1004),{"利用可","両方停止","運転がそろわない","判定不能"},0),"○","停","×","－"),"")</f>
        <v>×</v>
      </c>
      <c r="AV45" s="35" t="str">
        <f aca="false">IFERROR(CHOOSE(MATCH(INDEX(時間ごとの判定!$AK$3:$AK$1850,1005),{"利用可","両方停止","運転がそろわない","判定不能"},0),"○","停","×","－"),"")</f>
        <v>×</v>
      </c>
      <c r="AW45" s="35" t="str">
        <f aca="false">IFERROR(CHOOSE(MATCH(INDEX(時間ごとの判定!$AK$3:$AK$1850,1006),{"利用可","両方停止","運転がそろわない","判定不能"},0),"○","停","×","－"),"")</f>
        <v>停</v>
      </c>
      <c r="AX45" s="35" t="str">
        <f aca="false">IFERROR(CHOOSE(MATCH(INDEX(時間ごとの判定!$AK$3:$AK$1850,1007),{"利用可","両方停止","運転がそろわない","判定不能"},0),"○","停","×","－"),"")</f>
        <v>停</v>
      </c>
      <c r="AY45" s="35" t="str">
        <f aca="false">IFERROR(CHOOSE(MATCH(INDEX(時間ごとの判定!$AK$3:$AK$1850,1008),{"利用可","両方停止","運転がそろわない","判定不能"},0),"○","停","×","－"),"")</f>
        <v>停</v>
      </c>
      <c r="AZ45" s="35"/>
      <c r="BA45" s="35" t="str">
        <f aca="false">IFERROR(CHOOSE(MATCH(INDEX(時間ごとの判定!$AN$3:$AN$1850,985),{"利用可","両方停止","運転がそろわない","判定不能"},0),"○","停","×","－"),"")</f>
        <v>停</v>
      </c>
      <c r="BB45" s="35" t="str">
        <f aca="false">IFERROR(CHOOSE(MATCH(INDEX(時間ごとの判定!$AN$3:$AN$1850,986),{"利用可","両方停止","運転がそろわない","判定不能"},0),"○","停","×","－"),"")</f>
        <v>停</v>
      </c>
      <c r="BC45" s="35" t="str">
        <f aca="false">IFERROR(CHOOSE(MATCH(INDEX(時間ごとの判定!$AN$3:$AN$1850,987),{"利用可","両方停止","運転がそろわない","判定不能"},0),"○","停","×","－"),"")</f>
        <v>停</v>
      </c>
      <c r="BD45" s="35" t="str">
        <f aca="false">IFERROR(CHOOSE(MATCH(INDEX(時間ごとの判定!$AN$3:$AN$1850,988),{"利用可","両方停止","運転がそろわない","判定不能"},0),"○","停","×","－"),"")</f>
        <v>停</v>
      </c>
      <c r="BE45" s="35" t="str">
        <f aca="false">IFERROR(CHOOSE(MATCH(INDEX(時間ごとの判定!$AN$3:$AN$1850,989),{"利用可","両方停止","運転がそろわない","判定不能"},0),"○","停","×","－"),"")</f>
        <v>停</v>
      </c>
      <c r="BF45" s="35" t="str">
        <f aca="false">IFERROR(CHOOSE(MATCH(INDEX(時間ごとの判定!$AN$3:$AN$1850,990),{"利用可","両方停止","運転がそろわない","判定不能"},0),"○","停","×","－"),"")</f>
        <v>停</v>
      </c>
      <c r="BG45" s="35" t="str">
        <f aca="false">IFERROR(CHOOSE(MATCH(INDEX(時間ごとの判定!$AN$3:$AN$1850,991),{"利用可","両方停止","運転がそろわない","判定不能"},0),"○","停","×","－"),"")</f>
        <v>停</v>
      </c>
      <c r="BH45" s="35" t="str">
        <f aca="false">IFERROR(CHOOSE(MATCH(INDEX(時間ごとの判定!$AN$3:$AN$1850,992),{"利用可","両方停止","運転がそろわない","判定不能"},0),"○","停","×","－"),"")</f>
        <v>×</v>
      </c>
      <c r="BI45" s="35" t="str">
        <f aca="false">IFERROR(CHOOSE(MATCH(INDEX(時間ごとの判定!$AN$3:$AN$1850,993),{"利用可","両方停止","運転がそろわない","判定不能"},0),"○","停","×","－"),"")</f>
        <v>○</v>
      </c>
      <c r="BJ45" s="35" t="str">
        <f aca="false">IFERROR(CHOOSE(MATCH(INDEX(時間ごとの判定!$AN$3:$AN$1850,994),{"利用可","両方停止","運転がそろわない","判定不能"},0),"○","停","×","－"),"")</f>
        <v>○</v>
      </c>
      <c r="BK45" s="35" t="str">
        <f aca="false">IFERROR(CHOOSE(MATCH(INDEX(時間ごとの判定!$AN$3:$AN$1850,995),{"利用可","両方停止","運転がそろわない","判定不能"},0),"○","停","×","－"),"")</f>
        <v>○</v>
      </c>
      <c r="BL45" s="35" t="str">
        <f aca="false">IFERROR(CHOOSE(MATCH(INDEX(時間ごとの判定!$AN$3:$AN$1850,996),{"利用可","両方停止","運転がそろわない","判定不能"},0),"○","停","×","－"),"")</f>
        <v>○</v>
      </c>
      <c r="BM45" s="35" t="str">
        <f aca="false">IFERROR(CHOOSE(MATCH(INDEX(時間ごとの判定!$AN$3:$AN$1850,997),{"利用可","両方停止","運転がそろわない","判定不能"},0),"○","停","×","－"),"")</f>
        <v>○</v>
      </c>
      <c r="BN45" s="35" t="str">
        <f aca="false">IFERROR(CHOOSE(MATCH(INDEX(時間ごとの判定!$AN$3:$AN$1850,998),{"利用可","両方停止","運転がそろわない","判定不能"},0),"○","停","×","－"),"")</f>
        <v>○</v>
      </c>
      <c r="BO45" s="35" t="str">
        <f aca="false">IFERROR(CHOOSE(MATCH(INDEX(時間ごとの判定!$AN$3:$AN$1850,999),{"利用可","両方停止","運転がそろわない","判定不能"},0),"○","停","×","－"),"")</f>
        <v>○</v>
      </c>
      <c r="BP45" s="35" t="str">
        <f aca="false">IFERROR(CHOOSE(MATCH(INDEX(時間ごとの判定!$AN$3:$AN$1850,1000),{"利用可","両方停止","運転がそろわない","判定不能"},0),"○","停","×","－"),"")</f>
        <v>○</v>
      </c>
      <c r="BQ45" s="35" t="str">
        <f aca="false">IFERROR(CHOOSE(MATCH(INDEX(時間ごとの判定!$AN$3:$AN$1850,1001),{"利用可","両方停止","運転がそろわない","判定不能"},0),"○","停","×","－"),"")</f>
        <v>○</v>
      </c>
      <c r="BR45" s="35" t="str">
        <f aca="false">IFERROR(CHOOSE(MATCH(INDEX(時間ごとの判定!$AN$3:$AN$1850,1002),{"利用可","両方停止","運転がそろわない","判定不能"},0),"○","停","×","－"),"")</f>
        <v>×</v>
      </c>
      <c r="BS45" s="35" t="str">
        <f aca="false">IFERROR(CHOOSE(MATCH(INDEX(時間ごとの判定!$AN$3:$AN$1850,1003),{"利用可","両方停止","運転がそろわない","判定不能"},0),"○","停","×","－"),"")</f>
        <v>×</v>
      </c>
      <c r="BT45" s="35" t="str">
        <f aca="false">IFERROR(CHOOSE(MATCH(INDEX(時間ごとの判定!$AN$3:$AN$1850,1004),{"利用可","両方停止","運転がそろわない","判定不能"},0),"○","停","×","－"),"")</f>
        <v>○</v>
      </c>
      <c r="BU45" s="35" t="str">
        <f aca="false">IFERROR(CHOOSE(MATCH(INDEX(時間ごとの判定!$AN$3:$AN$1850,1005),{"利用可","両方停止","運転がそろわない","判定不能"},0),"○","停","×","－"),"")</f>
        <v>×</v>
      </c>
      <c r="BV45" s="35" t="str">
        <f aca="false">IFERROR(CHOOSE(MATCH(INDEX(時間ごとの判定!$AN$3:$AN$1850,1006),{"利用可","両方停止","運転がそろわない","判定不能"},0),"○","停","×","－"),"")</f>
        <v>停</v>
      </c>
      <c r="BW45" s="35" t="str">
        <f aca="false">IFERROR(CHOOSE(MATCH(INDEX(時間ごとの判定!$AN$3:$AN$1850,1007),{"利用可","両方停止","運転がそろわない","判定不能"},0),"○","停","×","－"),"")</f>
        <v>停</v>
      </c>
      <c r="BX45" s="35" t="str">
        <f aca="false">IFERROR(CHOOSE(MATCH(INDEX(時間ごとの判定!$AN$3:$AN$1850,1008),{"利用可","両方停止","運転がそろわない","判定不能"},0),"○","停","×","－"),"")</f>
        <v>停</v>
      </c>
    </row>
    <row r="46" customFormat="false" ht="15" hidden="false" customHeight="false" outlineLevel="0" collapsed="false">
      <c r="A46" s="33" t="n">
        <v>46274</v>
      </c>
      <c r="B46" s="34" t="s">
        <v>58</v>
      </c>
      <c r="C46" s="35" t="str">
        <f aca="false">IFERROR(CHOOSE(MATCH(INDEX(時間ごとの判定!$AH$3:$AH$1850,1009),{"利用可","両方停止","運転がそろわない","判定不能"},0),"○","停","×","－"),"")</f>
        <v>停</v>
      </c>
      <c r="D46" s="35" t="str">
        <f aca="false">IFERROR(CHOOSE(MATCH(INDEX(時間ごとの判定!$AH$3:$AH$1850,1010),{"利用可","両方停止","運転がそろわない","判定不能"},0),"○","停","×","－"),"")</f>
        <v>停</v>
      </c>
      <c r="E46" s="35" t="str">
        <f aca="false">IFERROR(CHOOSE(MATCH(INDEX(時間ごとの判定!$AH$3:$AH$1850,1011),{"利用可","両方停止","運転がそろわない","判定不能"},0),"○","停","×","－"),"")</f>
        <v>停</v>
      </c>
      <c r="F46" s="35" t="str">
        <f aca="false">IFERROR(CHOOSE(MATCH(INDEX(時間ごとの判定!$AH$3:$AH$1850,1012),{"利用可","両方停止","運転がそろわない","判定不能"},0),"○","停","×","－"),"")</f>
        <v>停</v>
      </c>
      <c r="G46" s="35" t="str">
        <f aca="false">IFERROR(CHOOSE(MATCH(INDEX(時間ごとの判定!$AH$3:$AH$1850,1013),{"利用可","両方停止","運転がそろわない","判定不能"},0),"○","停","×","－"),"")</f>
        <v>停</v>
      </c>
      <c r="H46" s="35" t="str">
        <f aca="false">IFERROR(CHOOSE(MATCH(INDEX(時間ごとの判定!$AH$3:$AH$1850,1014),{"利用可","両方停止","運転がそろわない","判定不能"},0),"○","停","×","－"),"")</f>
        <v>停</v>
      </c>
      <c r="I46" s="35" t="str">
        <f aca="false">IFERROR(CHOOSE(MATCH(INDEX(時間ごとの判定!$AH$3:$AH$1850,1015),{"利用可","両方停止","運転がそろわない","判定不能"},0),"○","停","×","－"),"")</f>
        <v>停</v>
      </c>
      <c r="J46" s="35" t="str">
        <f aca="false">IFERROR(CHOOSE(MATCH(INDEX(時間ごとの判定!$AH$3:$AH$1850,1016),{"利用可","両方停止","運転がそろわない","判定不能"},0),"○","停","×","－"),"")</f>
        <v>×</v>
      </c>
      <c r="K46" s="35" t="str">
        <f aca="false">IFERROR(CHOOSE(MATCH(INDEX(時間ごとの判定!$AH$3:$AH$1850,1017),{"利用可","両方停止","運転がそろわない","判定不能"},0),"○","停","×","－"),"")</f>
        <v>○</v>
      </c>
      <c r="L46" s="35" t="str">
        <f aca="false">IFERROR(CHOOSE(MATCH(INDEX(時間ごとの判定!$AH$3:$AH$1850,1018),{"利用可","両方停止","運転がそろわない","判定不能"},0),"○","停","×","－"),"")</f>
        <v>○</v>
      </c>
      <c r="M46" s="35" t="str">
        <f aca="false">IFERROR(CHOOSE(MATCH(INDEX(時間ごとの判定!$AH$3:$AH$1850,1019),{"利用可","両方停止","運転がそろわない","判定不能"},0),"○","停","×","－"),"")</f>
        <v>○</v>
      </c>
      <c r="N46" s="35" t="str">
        <f aca="false">IFERROR(CHOOSE(MATCH(INDEX(時間ごとの判定!$AH$3:$AH$1850,1020),{"利用可","両方停止","運転がそろわない","判定不能"},0),"○","停","×","－"),"")</f>
        <v>○</v>
      </c>
      <c r="O46" s="35" t="str">
        <f aca="false">IFERROR(CHOOSE(MATCH(INDEX(時間ごとの判定!$AH$3:$AH$1850,1021),{"利用可","両方停止","運転がそろわない","判定不能"},0),"○","停","×","－"),"")</f>
        <v>○</v>
      </c>
      <c r="P46" s="35" t="str">
        <f aca="false">IFERROR(CHOOSE(MATCH(INDEX(時間ごとの判定!$AH$3:$AH$1850,1022),{"利用可","両方停止","運転がそろわない","判定不能"},0),"○","停","×","－"),"")</f>
        <v>○</v>
      </c>
      <c r="Q46" s="35" t="str">
        <f aca="false">IFERROR(CHOOSE(MATCH(INDEX(時間ごとの判定!$AH$3:$AH$1850,1023),{"利用可","両方停止","運転がそろわない","判定不能"},0),"○","停","×","－"),"")</f>
        <v>○</v>
      </c>
      <c r="R46" s="35" t="str">
        <f aca="false">IFERROR(CHOOSE(MATCH(INDEX(時間ごとの判定!$AH$3:$AH$1850,1024),{"利用可","両方停止","運転がそろわない","判定不能"},0),"○","停","×","－"),"")</f>
        <v>×</v>
      </c>
      <c r="S46" s="35" t="str">
        <f aca="false">IFERROR(CHOOSE(MATCH(INDEX(時間ごとの判定!$AH$3:$AH$1850,1025),{"利用可","両方停止","運転がそろわない","判定不能"},0),"○","停","×","－"),"")</f>
        <v>○</v>
      </c>
      <c r="T46" s="35" t="str">
        <f aca="false">IFERROR(CHOOSE(MATCH(INDEX(時間ごとの判定!$AH$3:$AH$1850,1026),{"利用可","両方停止","運転がそろわない","判定不能"},0),"○","停","×","－"),"")</f>
        <v>×</v>
      </c>
      <c r="U46" s="35" t="str">
        <f aca="false">IFERROR(CHOOSE(MATCH(INDEX(時間ごとの判定!$AH$3:$AH$1850,1027),{"利用可","両方停止","運転がそろわない","判定不能"},0),"○","停","×","－"),"")</f>
        <v>×</v>
      </c>
      <c r="V46" s="35" t="str">
        <f aca="false">IFERROR(CHOOSE(MATCH(INDEX(時間ごとの判定!$AH$3:$AH$1850,1028),{"利用可","両方停止","運転がそろわない","判定不能"},0),"○","停","×","－"),"")</f>
        <v>×</v>
      </c>
      <c r="W46" s="35" t="str">
        <f aca="false">IFERROR(CHOOSE(MATCH(INDEX(時間ごとの判定!$AH$3:$AH$1850,1029),{"利用可","両方停止","運転がそろわない","判定不能"},0),"○","停","×","－"),"")</f>
        <v>×</v>
      </c>
      <c r="X46" s="35" t="str">
        <f aca="false">IFERROR(CHOOSE(MATCH(INDEX(時間ごとの判定!$AH$3:$AH$1850,1030),{"利用可","両方停止","運転がそろわない","判定不能"},0),"○","停","×","－"),"")</f>
        <v>停</v>
      </c>
      <c r="Y46" s="35" t="str">
        <f aca="false">IFERROR(CHOOSE(MATCH(INDEX(時間ごとの判定!$AH$3:$AH$1850,1031),{"利用可","両方停止","運転がそろわない","判定不能"},0),"○","停","×","－"),"")</f>
        <v>停</v>
      </c>
      <c r="Z46" s="35" t="str">
        <f aca="false">IFERROR(CHOOSE(MATCH(INDEX(時間ごとの判定!$AH$3:$AH$1850,1032),{"利用可","両方停止","運転がそろわない","判定不能"},0),"○","停","×","－"),"")</f>
        <v>停</v>
      </c>
      <c r="AA46" s="35"/>
      <c r="AB46" s="35" t="str">
        <f aca="false">IFERROR(CHOOSE(MATCH(INDEX(時間ごとの判定!$AK$3:$AK$1850,1009),{"利用可","両方停止","運転がそろわない","判定不能"},0),"○","停","×","－"),"")</f>
        <v>停</v>
      </c>
      <c r="AC46" s="35" t="str">
        <f aca="false">IFERROR(CHOOSE(MATCH(INDEX(時間ごとの判定!$AK$3:$AK$1850,1010),{"利用可","両方停止","運転がそろわない","判定不能"},0),"○","停","×","－"),"")</f>
        <v>停</v>
      </c>
      <c r="AD46" s="35" t="str">
        <f aca="false">IFERROR(CHOOSE(MATCH(INDEX(時間ごとの判定!$AK$3:$AK$1850,1011),{"利用可","両方停止","運転がそろわない","判定不能"},0),"○","停","×","－"),"")</f>
        <v>停</v>
      </c>
      <c r="AE46" s="35" t="str">
        <f aca="false">IFERROR(CHOOSE(MATCH(INDEX(時間ごとの判定!$AK$3:$AK$1850,1012),{"利用可","両方停止","運転がそろわない","判定不能"},0),"○","停","×","－"),"")</f>
        <v>停</v>
      </c>
      <c r="AF46" s="35" t="str">
        <f aca="false">IFERROR(CHOOSE(MATCH(INDEX(時間ごとの判定!$AK$3:$AK$1850,1013),{"利用可","両方停止","運転がそろわない","判定不能"},0),"○","停","×","－"),"")</f>
        <v>停</v>
      </c>
      <c r="AG46" s="35" t="str">
        <f aca="false">IFERROR(CHOOSE(MATCH(INDEX(時間ごとの判定!$AK$3:$AK$1850,1014),{"利用可","両方停止","運転がそろわない","判定不能"},0),"○","停","×","－"),"")</f>
        <v>停</v>
      </c>
      <c r="AH46" s="35" t="str">
        <f aca="false">IFERROR(CHOOSE(MATCH(INDEX(時間ごとの判定!$AK$3:$AK$1850,1015),{"利用可","両方停止","運転がそろわない","判定不能"},0),"○","停","×","－"),"")</f>
        <v>×</v>
      </c>
      <c r="AI46" s="35" t="str">
        <f aca="false">IFERROR(CHOOSE(MATCH(INDEX(時間ごとの判定!$AK$3:$AK$1850,1016),{"利用可","両方停止","運転がそろわない","判定不能"},0),"○","停","×","－"),"")</f>
        <v>×</v>
      </c>
      <c r="AJ46" s="35" t="str">
        <f aca="false">IFERROR(CHOOSE(MATCH(INDEX(時間ごとの判定!$AK$3:$AK$1850,1017),{"利用可","両方停止","運転がそろわない","判定不能"},0),"○","停","×","－"),"")</f>
        <v>×</v>
      </c>
      <c r="AK46" s="35" t="str">
        <f aca="false">IFERROR(CHOOSE(MATCH(INDEX(時間ごとの判定!$AK$3:$AK$1850,1018),{"利用可","両方停止","運転がそろわない","判定不能"},0),"○","停","×","－"),"")</f>
        <v>○</v>
      </c>
      <c r="AL46" s="35" t="str">
        <f aca="false">IFERROR(CHOOSE(MATCH(INDEX(時間ごとの判定!$AK$3:$AK$1850,1019),{"利用可","両方停止","運転がそろわない","判定不能"},0),"○","停","×","－"),"")</f>
        <v>○</v>
      </c>
      <c r="AM46" s="35" t="str">
        <f aca="false">IFERROR(CHOOSE(MATCH(INDEX(時間ごとの判定!$AK$3:$AK$1850,1020),{"利用可","両方停止","運転がそろわない","判定不能"},0),"○","停","×","－"),"")</f>
        <v>○</v>
      </c>
      <c r="AN46" s="35" t="str">
        <f aca="false">IFERROR(CHOOSE(MATCH(INDEX(時間ごとの判定!$AK$3:$AK$1850,1021),{"利用可","両方停止","運転がそろわない","判定不能"},0),"○","停","×","－"),"")</f>
        <v>○</v>
      </c>
      <c r="AO46" s="35" t="str">
        <f aca="false">IFERROR(CHOOSE(MATCH(INDEX(時間ごとの判定!$AK$3:$AK$1850,1022),{"利用可","両方停止","運転がそろわない","判定不能"},0),"○","停","×","－"),"")</f>
        <v>○</v>
      </c>
      <c r="AP46" s="35" t="str">
        <f aca="false">IFERROR(CHOOSE(MATCH(INDEX(時間ごとの判定!$AK$3:$AK$1850,1023),{"利用可","両方停止","運転がそろわない","判定不能"},0),"○","停","×","－"),"")</f>
        <v>○</v>
      </c>
      <c r="AQ46" s="35" t="str">
        <f aca="false">IFERROR(CHOOSE(MATCH(INDEX(時間ごとの判定!$AK$3:$AK$1850,1024),{"利用可","両方停止","運転がそろわない","判定不能"},0),"○","停","×","－"),"")</f>
        <v>×</v>
      </c>
      <c r="AR46" s="35" t="str">
        <f aca="false">IFERROR(CHOOSE(MATCH(INDEX(時間ごとの判定!$AK$3:$AK$1850,1025),{"利用可","両方停止","運転がそろわない","判定不能"},0),"○","停","×","－"),"")</f>
        <v>○</v>
      </c>
      <c r="AS46" s="35" t="str">
        <f aca="false">IFERROR(CHOOSE(MATCH(INDEX(時間ごとの判定!$AK$3:$AK$1850,1026),{"利用可","両方停止","運転がそろわない","判定不能"},0),"○","停","×","－"),"")</f>
        <v>×</v>
      </c>
      <c r="AT46" s="35" t="str">
        <f aca="false">IFERROR(CHOOSE(MATCH(INDEX(時間ごとの判定!$AK$3:$AK$1850,1027),{"利用可","両方停止","運転がそろわない","判定不能"},0),"○","停","×","－"),"")</f>
        <v>×</v>
      </c>
      <c r="AU46" s="35" t="str">
        <f aca="false">IFERROR(CHOOSE(MATCH(INDEX(時間ごとの判定!$AK$3:$AK$1850,1028),{"利用可","両方停止","運転がそろわない","判定不能"},0),"○","停","×","－"),"")</f>
        <v>×</v>
      </c>
      <c r="AV46" s="35" t="str">
        <f aca="false">IFERROR(CHOOSE(MATCH(INDEX(時間ごとの判定!$AK$3:$AK$1850,1029),{"利用可","両方停止","運転がそろわない","判定不能"},0),"○","停","×","－"),"")</f>
        <v>×</v>
      </c>
      <c r="AW46" s="35" t="str">
        <f aca="false">IFERROR(CHOOSE(MATCH(INDEX(時間ごとの判定!$AK$3:$AK$1850,1030),{"利用可","両方停止","運転がそろわない","判定不能"},0),"○","停","×","－"),"")</f>
        <v>停</v>
      </c>
      <c r="AX46" s="35" t="str">
        <f aca="false">IFERROR(CHOOSE(MATCH(INDEX(時間ごとの判定!$AK$3:$AK$1850,1031),{"利用可","両方停止","運転がそろわない","判定不能"},0),"○","停","×","－"),"")</f>
        <v>停</v>
      </c>
      <c r="AY46" s="35" t="str">
        <f aca="false">IFERROR(CHOOSE(MATCH(INDEX(時間ごとの判定!$AK$3:$AK$1850,1032),{"利用可","両方停止","運転がそろわない","判定不能"},0),"○","停","×","－"),"")</f>
        <v>停</v>
      </c>
      <c r="AZ46" s="35"/>
      <c r="BA46" s="35" t="str">
        <f aca="false">IFERROR(CHOOSE(MATCH(INDEX(時間ごとの判定!$AN$3:$AN$1850,1009),{"利用可","両方停止","運転がそろわない","判定不能"},0),"○","停","×","－"),"")</f>
        <v>停</v>
      </c>
      <c r="BB46" s="35" t="str">
        <f aca="false">IFERROR(CHOOSE(MATCH(INDEX(時間ごとの判定!$AN$3:$AN$1850,1010),{"利用可","両方停止","運転がそろわない","判定不能"},0),"○","停","×","－"),"")</f>
        <v>停</v>
      </c>
      <c r="BC46" s="35" t="str">
        <f aca="false">IFERROR(CHOOSE(MATCH(INDEX(時間ごとの判定!$AN$3:$AN$1850,1011),{"利用可","両方停止","運転がそろわない","判定不能"},0),"○","停","×","－"),"")</f>
        <v>停</v>
      </c>
      <c r="BD46" s="35" t="str">
        <f aca="false">IFERROR(CHOOSE(MATCH(INDEX(時間ごとの判定!$AN$3:$AN$1850,1012),{"利用可","両方停止","運転がそろわない","判定不能"},0),"○","停","×","－"),"")</f>
        <v>停</v>
      </c>
      <c r="BE46" s="35" t="str">
        <f aca="false">IFERROR(CHOOSE(MATCH(INDEX(時間ごとの判定!$AN$3:$AN$1850,1013),{"利用可","両方停止","運転がそろわない","判定不能"},0),"○","停","×","－"),"")</f>
        <v>停</v>
      </c>
      <c r="BF46" s="35" t="str">
        <f aca="false">IFERROR(CHOOSE(MATCH(INDEX(時間ごとの判定!$AN$3:$AN$1850,1014),{"利用可","両方停止","運転がそろわない","判定不能"},0),"○","停","×","－"),"")</f>
        <v>停</v>
      </c>
      <c r="BG46" s="35" t="str">
        <f aca="false">IFERROR(CHOOSE(MATCH(INDEX(時間ごとの判定!$AN$3:$AN$1850,1015),{"利用可","両方停止","運転がそろわない","判定不能"},0),"○","停","×","－"),"")</f>
        <v>停</v>
      </c>
      <c r="BH46" s="35" t="str">
        <f aca="false">IFERROR(CHOOSE(MATCH(INDEX(時間ごとの判定!$AN$3:$AN$1850,1016),{"利用可","両方停止","運転がそろわない","判定不能"},0),"○","停","×","－"),"")</f>
        <v>×</v>
      </c>
      <c r="BI46" s="35" t="str">
        <f aca="false">IFERROR(CHOOSE(MATCH(INDEX(時間ごとの判定!$AN$3:$AN$1850,1017),{"利用可","両方停止","運転がそろわない","判定不能"},0),"○","停","×","－"),"")</f>
        <v>○</v>
      </c>
      <c r="BJ46" s="35" t="str">
        <f aca="false">IFERROR(CHOOSE(MATCH(INDEX(時間ごとの判定!$AN$3:$AN$1850,1018),{"利用可","両方停止","運転がそろわない","判定不能"},0),"○","停","×","－"),"")</f>
        <v>○</v>
      </c>
      <c r="BK46" s="35" t="str">
        <f aca="false">IFERROR(CHOOSE(MATCH(INDEX(時間ごとの判定!$AN$3:$AN$1850,1019),{"利用可","両方停止","運転がそろわない","判定不能"},0),"○","停","×","－"),"")</f>
        <v>○</v>
      </c>
      <c r="BL46" s="35" t="str">
        <f aca="false">IFERROR(CHOOSE(MATCH(INDEX(時間ごとの判定!$AN$3:$AN$1850,1020),{"利用可","両方停止","運転がそろわない","判定不能"},0),"○","停","×","－"),"")</f>
        <v>○</v>
      </c>
      <c r="BM46" s="35" t="str">
        <f aca="false">IFERROR(CHOOSE(MATCH(INDEX(時間ごとの判定!$AN$3:$AN$1850,1021),{"利用可","両方停止","運転がそろわない","判定不能"},0),"○","停","×","－"),"")</f>
        <v>○</v>
      </c>
      <c r="BN46" s="35" t="str">
        <f aca="false">IFERROR(CHOOSE(MATCH(INDEX(時間ごとの判定!$AN$3:$AN$1850,1022),{"利用可","両方停止","運転がそろわない","判定不能"},0),"○","停","×","－"),"")</f>
        <v>○</v>
      </c>
      <c r="BO46" s="35" t="str">
        <f aca="false">IFERROR(CHOOSE(MATCH(INDEX(時間ごとの判定!$AN$3:$AN$1850,1023),{"利用可","両方停止","運転がそろわない","判定不能"},0),"○","停","×","－"),"")</f>
        <v>×</v>
      </c>
      <c r="BP46" s="35" t="str">
        <f aca="false">IFERROR(CHOOSE(MATCH(INDEX(時間ごとの判定!$AN$3:$AN$1850,1024),{"利用可","両方停止","運転がそろわない","判定不能"},0),"○","停","×","－"),"")</f>
        <v>○</v>
      </c>
      <c r="BQ46" s="35" t="str">
        <f aca="false">IFERROR(CHOOSE(MATCH(INDEX(時間ごとの判定!$AN$3:$AN$1850,1025),{"利用可","両方停止","運転がそろわない","判定不能"},0),"○","停","×","－"),"")</f>
        <v>○</v>
      </c>
      <c r="BR46" s="35" t="str">
        <f aca="false">IFERROR(CHOOSE(MATCH(INDEX(時間ごとの判定!$AN$3:$AN$1850,1026),{"利用可","両方停止","運転がそろわない","判定不能"},0),"○","停","×","－"),"")</f>
        <v>○</v>
      </c>
      <c r="BS46" s="35" t="str">
        <f aca="false">IFERROR(CHOOSE(MATCH(INDEX(時間ごとの判定!$AN$3:$AN$1850,1027),{"利用可","両方停止","運転がそろわない","判定不能"},0),"○","停","×","－"),"")</f>
        <v>×</v>
      </c>
      <c r="BT46" s="35" t="str">
        <f aca="false">IFERROR(CHOOSE(MATCH(INDEX(時間ごとの判定!$AN$3:$AN$1850,1028),{"利用可","両方停止","運転がそろわない","判定不能"},0),"○","停","×","－"),"")</f>
        <v>×</v>
      </c>
      <c r="BU46" s="35" t="str">
        <f aca="false">IFERROR(CHOOSE(MATCH(INDEX(時間ごとの判定!$AN$3:$AN$1850,1029),{"利用可","両方停止","運転がそろわない","判定不能"},0),"○","停","×","－"),"")</f>
        <v>×</v>
      </c>
      <c r="BV46" s="35" t="str">
        <f aca="false">IFERROR(CHOOSE(MATCH(INDEX(時間ごとの判定!$AN$3:$AN$1850,1030),{"利用可","両方停止","運転がそろわない","判定不能"},0),"○","停","×","－"),"")</f>
        <v>停</v>
      </c>
      <c r="BW46" s="35" t="str">
        <f aca="false">IFERROR(CHOOSE(MATCH(INDEX(時間ごとの判定!$AN$3:$AN$1850,1031),{"利用可","両方停止","運転がそろわない","判定不能"},0),"○","停","×","－"),"")</f>
        <v>停</v>
      </c>
      <c r="BX46" s="35" t="str">
        <f aca="false">IFERROR(CHOOSE(MATCH(INDEX(時間ごとの判定!$AN$3:$AN$1850,1032),{"利用可","両方停止","運転がそろわない","判定不能"},0),"○","停","×","－"),"")</f>
        <v>停</v>
      </c>
    </row>
    <row r="47" customFormat="false" ht="15" hidden="false" customHeight="false" outlineLevel="0" collapsed="false">
      <c r="A47" s="33" t="n">
        <v>46275</v>
      </c>
      <c r="B47" s="34" t="s">
        <v>61</v>
      </c>
      <c r="C47" s="35" t="str">
        <f aca="false">IFERROR(CHOOSE(MATCH(INDEX(時間ごとの判定!$AH$3:$AH$1850,1033),{"利用可","両方停止","運転がそろわない","判定不能"},0),"○","停","×","－"),"")</f>
        <v>停</v>
      </c>
      <c r="D47" s="35" t="str">
        <f aca="false">IFERROR(CHOOSE(MATCH(INDEX(時間ごとの判定!$AH$3:$AH$1850,1034),{"利用可","両方停止","運転がそろわない","判定不能"},0),"○","停","×","－"),"")</f>
        <v>停</v>
      </c>
      <c r="E47" s="35" t="str">
        <f aca="false">IFERROR(CHOOSE(MATCH(INDEX(時間ごとの判定!$AH$3:$AH$1850,1035),{"利用可","両方停止","運転がそろわない","判定不能"},0),"○","停","×","－"),"")</f>
        <v>停</v>
      </c>
      <c r="F47" s="35" t="str">
        <f aca="false">IFERROR(CHOOSE(MATCH(INDEX(時間ごとの判定!$AH$3:$AH$1850,1036),{"利用可","両方停止","運転がそろわない","判定不能"},0),"○","停","×","－"),"")</f>
        <v>停</v>
      </c>
      <c r="G47" s="35" t="str">
        <f aca="false">IFERROR(CHOOSE(MATCH(INDEX(時間ごとの判定!$AH$3:$AH$1850,1037),{"利用可","両方停止","運転がそろわない","判定不能"},0),"○","停","×","－"),"")</f>
        <v>停</v>
      </c>
      <c r="H47" s="35" t="str">
        <f aca="false">IFERROR(CHOOSE(MATCH(INDEX(時間ごとの判定!$AH$3:$AH$1850,1038),{"利用可","両方停止","運転がそろわない","判定不能"},0),"○","停","×","－"),"")</f>
        <v>停</v>
      </c>
      <c r="I47" s="35" t="str">
        <f aca="false">IFERROR(CHOOSE(MATCH(INDEX(時間ごとの判定!$AH$3:$AH$1850,1039),{"利用可","両方停止","運転がそろわない","判定不能"},0),"○","停","×","－"),"")</f>
        <v>停</v>
      </c>
      <c r="J47" s="35" t="str">
        <f aca="false">IFERROR(CHOOSE(MATCH(INDEX(時間ごとの判定!$AH$3:$AH$1850,1040),{"利用可","両方停止","運転がそろわない","判定不能"},0),"○","停","×","－"),"")</f>
        <v>停</v>
      </c>
      <c r="K47" s="35" t="str">
        <f aca="false">IFERROR(CHOOSE(MATCH(INDEX(時間ごとの判定!$AH$3:$AH$1850,1041),{"利用可","両方停止","運転がそろわない","判定不能"},0),"○","停","×","－"),"")</f>
        <v>×</v>
      </c>
      <c r="L47" s="35" t="str">
        <f aca="false">IFERROR(CHOOSE(MATCH(INDEX(時間ごとの判定!$AH$3:$AH$1850,1042),{"利用可","両方停止","運転がそろわない","判定不能"},0),"○","停","×","－"),"")</f>
        <v>×</v>
      </c>
      <c r="M47" s="35" t="str">
        <f aca="false">IFERROR(CHOOSE(MATCH(INDEX(時間ごとの判定!$AH$3:$AH$1850,1043),{"利用可","両方停止","運転がそろわない","判定不能"},0),"○","停","×","－"),"")</f>
        <v>×</v>
      </c>
      <c r="N47" s="35" t="str">
        <f aca="false">IFERROR(CHOOSE(MATCH(INDEX(時間ごとの判定!$AH$3:$AH$1850,1044),{"利用可","両方停止","運転がそろわない","判定不能"},0),"○","停","×","－"),"")</f>
        <v>×</v>
      </c>
      <c r="O47" s="35" t="str">
        <f aca="false">IFERROR(CHOOSE(MATCH(INDEX(時間ごとの判定!$AH$3:$AH$1850,1045),{"利用可","両方停止","運転がそろわない","判定不能"},0),"○","停","×","－"),"")</f>
        <v>停</v>
      </c>
      <c r="P47" s="35" t="str">
        <f aca="false">IFERROR(CHOOSE(MATCH(INDEX(時間ごとの判定!$AH$3:$AH$1850,1046),{"利用可","両方停止","運転がそろわない","判定不能"},0),"○","停","×","－"),"")</f>
        <v>停</v>
      </c>
      <c r="Q47" s="35" t="str">
        <f aca="false">IFERROR(CHOOSE(MATCH(INDEX(時間ごとの判定!$AH$3:$AH$1850,1047),{"利用可","両方停止","運転がそろわない","判定不能"},0),"○","停","×","－"),"")</f>
        <v>×</v>
      </c>
      <c r="R47" s="35" t="str">
        <f aca="false">IFERROR(CHOOSE(MATCH(INDEX(時間ごとの判定!$AH$3:$AH$1850,1048),{"利用可","両方停止","運転がそろわない","判定不能"},0),"○","停","×","－"),"")</f>
        <v>停</v>
      </c>
      <c r="S47" s="35" t="str">
        <f aca="false">IFERROR(CHOOSE(MATCH(INDEX(時間ごとの判定!$AH$3:$AH$1850,1049),{"利用可","両方停止","運転がそろわない","判定不能"},0),"○","停","×","－"),"")</f>
        <v>×</v>
      </c>
      <c r="T47" s="35" t="str">
        <f aca="false">IFERROR(CHOOSE(MATCH(INDEX(時間ごとの判定!$AH$3:$AH$1850,1050),{"利用可","両方停止","運転がそろわない","判定不能"},0),"○","停","×","－"),"")</f>
        <v>停</v>
      </c>
      <c r="U47" s="35" t="str">
        <f aca="false">IFERROR(CHOOSE(MATCH(INDEX(時間ごとの判定!$AH$3:$AH$1850,1051),{"利用可","両方停止","運転がそろわない","判定不能"},0),"○","停","×","－"),"")</f>
        <v>停</v>
      </c>
      <c r="V47" s="35" t="str">
        <f aca="false">IFERROR(CHOOSE(MATCH(INDEX(時間ごとの判定!$AH$3:$AH$1850,1052),{"利用可","両方停止","運転がそろわない","判定不能"},0),"○","停","×","－"),"")</f>
        <v>×</v>
      </c>
      <c r="W47" s="35" t="str">
        <f aca="false">IFERROR(CHOOSE(MATCH(INDEX(時間ごとの判定!$AH$3:$AH$1850,1053),{"利用可","両方停止","運転がそろわない","判定不能"},0),"○","停","×","－"),"")</f>
        <v>×</v>
      </c>
      <c r="X47" s="35" t="str">
        <f aca="false">IFERROR(CHOOSE(MATCH(INDEX(時間ごとの判定!$AH$3:$AH$1850,1054),{"利用可","両方停止","運転がそろわない","判定不能"},0),"○","停","×","－"),"")</f>
        <v>停</v>
      </c>
      <c r="Y47" s="35" t="str">
        <f aca="false">IFERROR(CHOOSE(MATCH(INDEX(時間ごとの判定!$AH$3:$AH$1850,1055),{"利用可","両方停止","運転がそろわない","判定不能"},0),"○","停","×","－"),"")</f>
        <v>停</v>
      </c>
      <c r="Z47" s="35" t="str">
        <f aca="false">IFERROR(CHOOSE(MATCH(INDEX(時間ごとの判定!$AH$3:$AH$1850,1056),{"利用可","両方停止","運転がそろわない","判定不能"},0),"○","停","×","－"),"")</f>
        <v>停</v>
      </c>
      <c r="AA47" s="35"/>
      <c r="AB47" s="35" t="str">
        <f aca="false">IFERROR(CHOOSE(MATCH(INDEX(時間ごとの判定!$AK$3:$AK$1850,1033),{"利用可","両方停止","運転がそろわない","判定不能"},0),"○","停","×","－"),"")</f>
        <v>停</v>
      </c>
      <c r="AC47" s="35" t="str">
        <f aca="false">IFERROR(CHOOSE(MATCH(INDEX(時間ごとの判定!$AK$3:$AK$1850,1034),{"利用可","両方停止","運転がそろわない","判定不能"},0),"○","停","×","－"),"")</f>
        <v>停</v>
      </c>
      <c r="AD47" s="35" t="str">
        <f aca="false">IFERROR(CHOOSE(MATCH(INDEX(時間ごとの判定!$AK$3:$AK$1850,1035),{"利用可","両方停止","運転がそろわない","判定不能"},0),"○","停","×","－"),"")</f>
        <v>停</v>
      </c>
      <c r="AE47" s="35" t="str">
        <f aca="false">IFERROR(CHOOSE(MATCH(INDEX(時間ごとの判定!$AK$3:$AK$1850,1036),{"利用可","両方停止","運転がそろわない","判定不能"},0),"○","停","×","－"),"")</f>
        <v>停</v>
      </c>
      <c r="AF47" s="35" t="str">
        <f aca="false">IFERROR(CHOOSE(MATCH(INDEX(時間ごとの判定!$AK$3:$AK$1850,1037),{"利用可","両方停止","運転がそろわない","判定不能"},0),"○","停","×","－"),"")</f>
        <v>停</v>
      </c>
      <c r="AG47" s="35" t="str">
        <f aca="false">IFERROR(CHOOSE(MATCH(INDEX(時間ごとの判定!$AK$3:$AK$1850,1038),{"利用可","両方停止","運転がそろわない","判定不能"},0),"○","停","×","－"),"")</f>
        <v>停</v>
      </c>
      <c r="AH47" s="35" t="str">
        <f aca="false">IFERROR(CHOOSE(MATCH(INDEX(時間ごとの判定!$AK$3:$AK$1850,1039),{"利用可","両方停止","運転がそろわない","判定不能"},0),"○","停","×","－"),"")</f>
        <v>停</v>
      </c>
      <c r="AI47" s="35" t="str">
        <f aca="false">IFERROR(CHOOSE(MATCH(INDEX(時間ごとの判定!$AK$3:$AK$1850,1040),{"利用可","両方停止","運転がそろわない","判定不能"},0),"○","停","×","－"),"")</f>
        <v>停</v>
      </c>
      <c r="AJ47" s="35" t="str">
        <f aca="false">IFERROR(CHOOSE(MATCH(INDEX(時間ごとの判定!$AK$3:$AK$1850,1041),{"利用可","両方停止","運転がそろわない","判定不能"},0),"○","停","×","－"),"")</f>
        <v>×</v>
      </c>
      <c r="AK47" s="35" t="str">
        <f aca="false">IFERROR(CHOOSE(MATCH(INDEX(時間ごとの判定!$AK$3:$AK$1850,1042),{"利用可","両方停止","運転がそろわない","判定不能"},0),"○","停","×","－"),"")</f>
        <v>×</v>
      </c>
      <c r="AL47" s="35" t="str">
        <f aca="false">IFERROR(CHOOSE(MATCH(INDEX(時間ごとの判定!$AK$3:$AK$1850,1043),{"利用可","両方停止","運転がそろわない","判定不能"},0),"○","停","×","－"),"")</f>
        <v>○</v>
      </c>
      <c r="AM47" s="35" t="str">
        <f aca="false">IFERROR(CHOOSE(MATCH(INDEX(時間ごとの判定!$AK$3:$AK$1850,1044),{"利用可","両方停止","運転がそろわない","判定不能"},0),"○","停","×","－"),"")</f>
        <v>○</v>
      </c>
      <c r="AN47" s="35" t="str">
        <f aca="false">IFERROR(CHOOSE(MATCH(INDEX(時間ごとの判定!$AK$3:$AK$1850,1045),{"利用可","両方停止","運転がそろわない","判定不能"},0),"○","停","×","－"),"")</f>
        <v>×</v>
      </c>
      <c r="AO47" s="35" t="str">
        <f aca="false">IFERROR(CHOOSE(MATCH(INDEX(時間ごとの判定!$AK$3:$AK$1850,1046),{"利用可","両方停止","運転がそろわない","判定不能"},0),"○","停","×","－"),"")</f>
        <v>○</v>
      </c>
      <c r="AP47" s="35" t="str">
        <f aca="false">IFERROR(CHOOSE(MATCH(INDEX(時間ごとの判定!$AK$3:$AK$1850,1047),{"利用可","両方停止","運転がそろわない","判定不能"},0),"○","停","×","－"),"")</f>
        <v>×</v>
      </c>
      <c r="AQ47" s="35" t="str">
        <f aca="false">IFERROR(CHOOSE(MATCH(INDEX(時間ごとの判定!$AK$3:$AK$1850,1048),{"利用可","両方停止","運転がそろわない","判定不能"},0),"○","停","×","－"),"")</f>
        <v>○</v>
      </c>
      <c r="AR47" s="35" t="str">
        <f aca="false">IFERROR(CHOOSE(MATCH(INDEX(時間ごとの判定!$AK$3:$AK$1850,1049),{"利用可","両方停止","運転がそろわない","判定不能"},0),"○","停","×","－"),"")</f>
        <v>○</v>
      </c>
      <c r="AS47" s="35" t="str">
        <f aca="false">IFERROR(CHOOSE(MATCH(INDEX(時間ごとの判定!$AK$3:$AK$1850,1050),{"利用可","両方停止","運転がそろわない","判定不能"},0),"○","停","×","－"),"")</f>
        <v>×</v>
      </c>
      <c r="AT47" s="35" t="str">
        <f aca="false">IFERROR(CHOOSE(MATCH(INDEX(時間ごとの判定!$AK$3:$AK$1850,1051),{"利用可","両方停止","運転がそろわない","判定不能"},0),"○","停","×","－"),"")</f>
        <v>×</v>
      </c>
      <c r="AU47" s="35" t="str">
        <f aca="false">IFERROR(CHOOSE(MATCH(INDEX(時間ごとの判定!$AK$3:$AK$1850,1052),{"利用可","両方停止","運転がそろわない","判定不能"},0),"○","停","×","－"),"")</f>
        <v>×</v>
      </c>
      <c r="AV47" s="35" t="str">
        <f aca="false">IFERROR(CHOOSE(MATCH(INDEX(時間ごとの判定!$AK$3:$AK$1850,1053),{"利用可","両方停止","運転がそろわない","判定不能"},0),"○","停","×","－"),"")</f>
        <v>停</v>
      </c>
      <c r="AW47" s="35" t="str">
        <f aca="false">IFERROR(CHOOSE(MATCH(INDEX(時間ごとの判定!$AK$3:$AK$1850,1054),{"利用可","両方停止","運転がそろわない","判定不能"},0),"○","停","×","－"),"")</f>
        <v>×</v>
      </c>
      <c r="AX47" s="35" t="str">
        <f aca="false">IFERROR(CHOOSE(MATCH(INDEX(時間ごとの判定!$AK$3:$AK$1850,1055),{"利用可","両方停止","運転がそろわない","判定不能"},0),"○","停","×","－"),"")</f>
        <v>停</v>
      </c>
      <c r="AY47" s="35" t="str">
        <f aca="false">IFERROR(CHOOSE(MATCH(INDEX(時間ごとの判定!$AK$3:$AK$1850,1056),{"利用可","両方停止","運転がそろわない","判定不能"},0),"○","停","×","－"),"")</f>
        <v>停</v>
      </c>
      <c r="AZ47" s="35"/>
      <c r="BA47" s="35" t="str">
        <f aca="false">IFERROR(CHOOSE(MATCH(INDEX(時間ごとの判定!$AN$3:$AN$1850,1033),{"利用可","両方停止","運転がそろわない","判定不能"},0),"○","停","×","－"),"")</f>
        <v>停</v>
      </c>
      <c r="BB47" s="35" t="str">
        <f aca="false">IFERROR(CHOOSE(MATCH(INDEX(時間ごとの判定!$AN$3:$AN$1850,1034),{"利用可","両方停止","運転がそろわない","判定不能"},0),"○","停","×","－"),"")</f>
        <v>停</v>
      </c>
      <c r="BC47" s="35" t="str">
        <f aca="false">IFERROR(CHOOSE(MATCH(INDEX(時間ごとの判定!$AN$3:$AN$1850,1035),{"利用可","両方停止","運転がそろわない","判定不能"},0),"○","停","×","－"),"")</f>
        <v>停</v>
      </c>
      <c r="BD47" s="35" t="str">
        <f aca="false">IFERROR(CHOOSE(MATCH(INDEX(時間ごとの判定!$AN$3:$AN$1850,1036),{"利用可","両方停止","運転がそろわない","判定不能"},0),"○","停","×","－"),"")</f>
        <v>停</v>
      </c>
      <c r="BE47" s="35" t="str">
        <f aca="false">IFERROR(CHOOSE(MATCH(INDEX(時間ごとの判定!$AN$3:$AN$1850,1037),{"利用可","両方停止","運転がそろわない","判定不能"},0),"○","停","×","－"),"")</f>
        <v>停</v>
      </c>
      <c r="BF47" s="35" t="str">
        <f aca="false">IFERROR(CHOOSE(MATCH(INDEX(時間ごとの判定!$AN$3:$AN$1850,1038),{"利用可","両方停止","運転がそろわない","判定不能"},0),"○","停","×","－"),"")</f>
        <v>停</v>
      </c>
      <c r="BG47" s="35" t="str">
        <f aca="false">IFERROR(CHOOSE(MATCH(INDEX(時間ごとの判定!$AN$3:$AN$1850,1039),{"利用可","両方停止","運転がそろわない","判定不能"},0),"○","停","×","－"),"")</f>
        <v>停</v>
      </c>
      <c r="BH47" s="35" t="str">
        <f aca="false">IFERROR(CHOOSE(MATCH(INDEX(時間ごとの判定!$AN$3:$AN$1850,1040),{"利用可","両方停止","運転がそろわない","判定不能"},0),"○","停","×","－"),"")</f>
        <v>停</v>
      </c>
      <c r="BI47" s="35" t="str">
        <f aca="false">IFERROR(CHOOSE(MATCH(INDEX(時間ごとの判定!$AN$3:$AN$1850,1041),{"利用可","両方停止","運転がそろわない","判定不能"},0),"○","停","×","－"),"")</f>
        <v>×</v>
      </c>
      <c r="BJ47" s="35" t="str">
        <f aca="false">IFERROR(CHOOSE(MATCH(INDEX(時間ごとの判定!$AN$3:$AN$1850,1042),{"利用可","両方停止","運転がそろわない","判定不能"},0),"○","停","×","－"),"")</f>
        <v>×</v>
      </c>
      <c r="BK47" s="35" t="str">
        <f aca="false">IFERROR(CHOOSE(MATCH(INDEX(時間ごとの判定!$AN$3:$AN$1850,1043),{"利用可","両方停止","運転がそろわない","判定不能"},0),"○","停","×","－"),"")</f>
        <v>○</v>
      </c>
      <c r="BL47" s="35" t="str">
        <f aca="false">IFERROR(CHOOSE(MATCH(INDEX(時間ごとの判定!$AN$3:$AN$1850,1044),{"利用可","両方停止","運転がそろわない","判定不能"},0),"○","停","×","－"),"")</f>
        <v>○</v>
      </c>
      <c r="BM47" s="35" t="str">
        <f aca="false">IFERROR(CHOOSE(MATCH(INDEX(時間ごとの判定!$AN$3:$AN$1850,1045),{"利用可","両方停止","運転がそろわない","判定不能"},0),"○","停","×","－"),"")</f>
        <v>○</v>
      </c>
      <c r="BN47" s="35" t="str">
        <f aca="false">IFERROR(CHOOSE(MATCH(INDEX(時間ごとの判定!$AN$3:$AN$1850,1046),{"利用可","両方停止","運転がそろわない","判定不能"},0),"○","停","×","－"),"")</f>
        <v>○</v>
      </c>
      <c r="BO47" s="35" t="str">
        <f aca="false">IFERROR(CHOOSE(MATCH(INDEX(時間ごとの判定!$AN$3:$AN$1850,1047),{"利用可","両方停止","運転がそろわない","判定不能"},0),"○","停","×","－"),"")</f>
        <v>○</v>
      </c>
      <c r="BP47" s="35" t="str">
        <f aca="false">IFERROR(CHOOSE(MATCH(INDEX(時間ごとの判定!$AN$3:$AN$1850,1048),{"利用可","両方停止","運転がそろわない","判定不能"},0),"○","停","×","－"),"")</f>
        <v>○</v>
      </c>
      <c r="BQ47" s="35" t="str">
        <f aca="false">IFERROR(CHOOSE(MATCH(INDEX(時間ごとの判定!$AN$3:$AN$1850,1049),{"利用可","両方停止","運転がそろわない","判定不能"},0),"○","停","×","－"),"")</f>
        <v>○</v>
      </c>
      <c r="BR47" s="35" t="str">
        <f aca="false">IFERROR(CHOOSE(MATCH(INDEX(時間ごとの判定!$AN$3:$AN$1850,1050),{"利用可","両方停止","運転がそろわない","判定不能"},0),"○","停","×","－"),"")</f>
        <v>×</v>
      </c>
      <c r="BS47" s="35" t="str">
        <f aca="false">IFERROR(CHOOSE(MATCH(INDEX(時間ごとの判定!$AN$3:$AN$1850,1051),{"利用可","両方停止","運転がそろわない","判定不能"},0),"○","停","×","－"),"")</f>
        <v>停</v>
      </c>
      <c r="BT47" s="35" t="str">
        <f aca="false">IFERROR(CHOOSE(MATCH(INDEX(時間ごとの判定!$AN$3:$AN$1850,1052),{"利用可","両方停止","運転がそろわない","判定不能"},0),"○","停","×","－"),"")</f>
        <v>×</v>
      </c>
      <c r="BU47" s="35" t="str">
        <f aca="false">IFERROR(CHOOSE(MATCH(INDEX(時間ごとの判定!$AN$3:$AN$1850,1053),{"利用可","両方停止","運転がそろわない","判定不能"},0),"○","停","×","－"),"")</f>
        <v>×</v>
      </c>
      <c r="BV47" s="35" t="str">
        <f aca="false">IFERROR(CHOOSE(MATCH(INDEX(時間ごとの判定!$AN$3:$AN$1850,1054),{"利用可","両方停止","運転がそろわない","判定不能"},0),"○","停","×","－"),"")</f>
        <v>×</v>
      </c>
      <c r="BW47" s="35" t="str">
        <f aca="false">IFERROR(CHOOSE(MATCH(INDEX(時間ごとの判定!$AN$3:$AN$1850,1055),{"利用可","両方停止","運転がそろわない","判定不能"},0),"○","停","×","－"),"")</f>
        <v>停</v>
      </c>
      <c r="BX47" s="35" t="str">
        <f aca="false">IFERROR(CHOOSE(MATCH(INDEX(時間ごとの判定!$AN$3:$AN$1850,1056),{"利用可","両方停止","運転がそろわない","判定不能"},0),"○","停","×","－"),"")</f>
        <v>停</v>
      </c>
    </row>
    <row r="48" customFormat="false" ht="15" hidden="false" customHeight="false" outlineLevel="0" collapsed="false">
      <c r="A48" s="33" t="n">
        <v>46276</v>
      </c>
      <c r="B48" s="34" t="s">
        <v>62</v>
      </c>
      <c r="C48" s="35" t="str">
        <f aca="false">IFERROR(CHOOSE(MATCH(INDEX(時間ごとの判定!$AH$3:$AH$1850,1057),{"利用可","両方停止","運転がそろわない","判定不能"},0),"○","停","×","－"),"")</f>
        <v>停</v>
      </c>
      <c r="D48" s="35" t="str">
        <f aca="false">IFERROR(CHOOSE(MATCH(INDEX(時間ごとの判定!$AH$3:$AH$1850,1058),{"利用可","両方停止","運転がそろわない","判定不能"},0),"○","停","×","－"),"")</f>
        <v>停</v>
      </c>
      <c r="E48" s="35" t="str">
        <f aca="false">IFERROR(CHOOSE(MATCH(INDEX(時間ごとの判定!$AH$3:$AH$1850,1059),{"利用可","両方停止","運転がそろわない","判定不能"},0),"○","停","×","－"),"")</f>
        <v>停</v>
      </c>
      <c r="F48" s="35" t="str">
        <f aca="false">IFERROR(CHOOSE(MATCH(INDEX(時間ごとの判定!$AH$3:$AH$1850,1060),{"利用可","両方停止","運転がそろわない","判定不能"},0),"○","停","×","－"),"")</f>
        <v>停</v>
      </c>
      <c r="G48" s="35" t="str">
        <f aca="false">IFERROR(CHOOSE(MATCH(INDEX(時間ごとの判定!$AH$3:$AH$1850,1061),{"利用可","両方停止","運転がそろわない","判定不能"},0),"○","停","×","－"),"")</f>
        <v>停</v>
      </c>
      <c r="H48" s="35" t="str">
        <f aca="false">IFERROR(CHOOSE(MATCH(INDEX(時間ごとの判定!$AH$3:$AH$1850,1062),{"利用可","両方停止","運転がそろわない","判定不能"},0),"○","停","×","－"),"")</f>
        <v>停</v>
      </c>
      <c r="I48" s="35" t="str">
        <f aca="false">IFERROR(CHOOSE(MATCH(INDEX(時間ごとの判定!$AH$3:$AH$1850,1063),{"利用可","両方停止","運転がそろわない","判定不能"},0),"○","停","×","－"),"")</f>
        <v>停</v>
      </c>
      <c r="J48" s="35" t="str">
        <f aca="false">IFERROR(CHOOSE(MATCH(INDEX(時間ごとの判定!$AH$3:$AH$1850,1064),{"利用可","両方停止","運転がそろわない","判定不能"},0),"○","停","×","－"),"")</f>
        <v>停</v>
      </c>
      <c r="K48" s="35" t="str">
        <f aca="false">IFERROR(CHOOSE(MATCH(INDEX(時間ごとの判定!$AH$3:$AH$1850,1065),{"利用可","両方停止","運転がそろわない","判定不能"},0),"○","停","×","－"),"")</f>
        <v>停</v>
      </c>
      <c r="L48" s="35" t="str">
        <f aca="false">IFERROR(CHOOSE(MATCH(INDEX(時間ごとの判定!$AH$3:$AH$1850,1066),{"利用可","両方停止","運転がそろわない","判定不能"},0),"○","停","×","－"),"")</f>
        <v>×</v>
      </c>
      <c r="M48" s="35" t="str">
        <f aca="false">IFERROR(CHOOSE(MATCH(INDEX(時間ごとの判定!$AH$3:$AH$1850,1067),{"利用可","両方停止","運転がそろわない","判定不能"},0),"○","停","×","－"),"")</f>
        <v>×</v>
      </c>
      <c r="N48" s="35" t="str">
        <f aca="false">IFERROR(CHOOSE(MATCH(INDEX(時間ごとの判定!$AH$3:$AH$1850,1068),{"利用可","両方停止","運転がそろわない","判定不能"},0),"○","停","×","－"),"")</f>
        <v>×</v>
      </c>
      <c r="O48" s="35" t="str">
        <f aca="false">IFERROR(CHOOSE(MATCH(INDEX(時間ごとの判定!$AH$3:$AH$1850,1069),{"利用可","両方停止","運転がそろわない","判定不能"},0),"○","停","×","－"),"")</f>
        <v>×</v>
      </c>
      <c r="P48" s="35" t="str">
        <f aca="false">IFERROR(CHOOSE(MATCH(INDEX(時間ごとの判定!$AH$3:$AH$1850,1070),{"利用可","両方停止","運転がそろわない","判定不能"},0),"○","停","×","－"),"")</f>
        <v>×</v>
      </c>
      <c r="Q48" s="35" t="str">
        <f aca="false">IFERROR(CHOOSE(MATCH(INDEX(時間ごとの判定!$AH$3:$AH$1850,1071),{"利用可","両方停止","運転がそろわない","判定不能"},0),"○","停","×","－"),"")</f>
        <v>停</v>
      </c>
      <c r="R48" s="35" t="str">
        <f aca="false">IFERROR(CHOOSE(MATCH(INDEX(時間ごとの判定!$AH$3:$AH$1850,1072),{"利用可","両方停止","運転がそろわない","判定不能"},0),"○","停","×","－"),"")</f>
        <v>×</v>
      </c>
      <c r="S48" s="35" t="str">
        <f aca="false">IFERROR(CHOOSE(MATCH(INDEX(時間ごとの判定!$AH$3:$AH$1850,1073),{"利用可","両方停止","運転がそろわない","判定不能"},0),"○","停","×","－"),"")</f>
        <v>×</v>
      </c>
      <c r="T48" s="35" t="str">
        <f aca="false">IFERROR(CHOOSE(MATCH(INDEX(時間ごとの判定!$AH$3:$AH$1850,1074),{"利用可","両方停止","運転がそろわない","判定不能"},0),"○","停","×","－"),"")</f>
        <v>停</v>
      </c>
      <c r="U48" s="35" t="str">
        <f aca="false">IFERROR(CHOOSE(MATCH(INDEX(時間ごとの判定!$AH$3:$AH$1850,1075),{"利用可","両方停止","運転がそろわない","判定不能"},0),"○","停","×","－"),"")</f>
        <v>×</v>
      </c>
      <c r="V48" s="35" t="str">
        <f aca="false">IFERROR(CHOOSE(MATCH(INDEX(時間ごとの判定!$AH$3:$AH$1850,1076),{"利用可","両方停止","運転がそろわない","判定不能"},0),"○","停","×","－"),"")</f>
        <v>停</v>
      </c>
      <c r="W48" s="35" t="str">
        <f aca="false">IFERROR(CHOOSE(MATCH(INDEX(時間ごとの判定!$AH$3:$AH$1850,1077),{"利用可","両方停止","運転がそろわない","判定不能"},0),"○","停","×","－"),"")</f>
        <v>停</v>
      </c>
      <c r="X48" s="35" t="str">
        <f aca="false">IFERROR(CHOOSE(MATCH(INDEX(時間ごとの判定!$AH$3:$AH$1850,1078),{"利用可","両方停止","運転がそろわない","判定不能"},0),"○","停","×","－"),"")</f>
        <v>停</v>
      </c>
      <c r="Y48" s="35" t="str">
        <f aca="false">IFERROR(CHOOSE(MATCH(INDEX(時間ごとの判定!$AH$3:$AH$1850,1079),{"利用可","両方停止","運転がそろわない","判定不能"},0),"○","停","×","－"),"")</f>
        <v>停</v>
      </c>
      <c r="Z48" s="35" t="str">
        <f aca="false">IFERROR(CHOOSE(MATCH(INDEX(時間ごとの判定!$AH$3:$AH$1850,1080),{"利用可","両方停止","運転がそろわない","判定不能"},0),"○","停","×","－"),"")</f>
        <v>停</v>
      </c>
      <c r="AA48" s="35"/>
      <c r="AB48" s="35" t="str">
        <f aca="false">IFERROR(CHOOSE(MATCH(INDEX(時間ごとの判定!$AK$3:$AK$1850,1057),{"利用可","両方停止","運転がそろわない","判定不能"},0),"○","停","×","－"),"")</f>
        <v>停</v>
      </c>
      <c r="AC48" s="35" t="str">
        <f aca="false">IFERROR(CHOOSE(MATCH(INDEX(時間ごとの判定!$AK$3:$AK$1850,1058),{"利用可","両方停止","運転がそろわない","判定不能"},0),"○","停","×","－"),"")</f>
        <v>停</v>
      </c>
      <c r="AD48" s="35" t="str">
        <f aca="false">IFERROR(CHOOSE(MATCH(INDEX(時間ごとの判定!$AK$3:$AK$1850,1059),{"利用可","両方停止","運転がそろわない","判定不能"},0),"○","停","×","－"),"")</f>
        <v>停</v>
      </c>
      <c r="AE48" s="35" t="str">
        <f aca="false">IFERROR(CHOOSE(MATCH(INDEX(時間ごとの判定!$AK$3:$AK$1850,1060),{"利用可","両方停止","運転がそろわない","判定不能"},0),"○","停","×","－"),"")</f>
        <v>停</v>
      </c>
      <c r="AF48" s="35" t="str">
        <f aca="false">IFERROR(CHOOSE(MATCH(INDEX(時間ごとの判定!$AK$3:$AK$1850,1061),{"利用可","両方停止","運転がそろわない","判定不能"},0),"○","停","×","－"),"")</f>
        <v>停</v>
      </c>
      <c r="AG48" s="35" t="str">
        <f aca="false">IFERROR(CHOOSE(MATCH(INDEX(時間ごとの判定!$AK$3:$AK$1850,1062),{"利用可","両方停止","運転がそろわない","判定不能"},0),"○","停","×","－"),"")</f>
        <v>停</v>
      </c>
      <c r="AH48" s="35" t="str">
        <f aca="false">IFERROR(CHOOSE(MATCH(INDEX(時間ごとの判定!$AK$3:$AK$1850,1063),{"利用可","両方停止","運転がそろわない","判定不能"},0),"○","停","×","－"),"")</f>
        <v>停</v>
      </c>
      <c r="AI48" s="35" t="str">
        <f aca="false">IFERROR(CHOOSE(MATCH(INDEX(時間ごとの判定!$AK$3:$AK$1850,1064),{"利用可","両方停止","運転がそろわない","判定不能"},0),"○","停","×","－"),"")</f>
        <v>停</v>
      </c>
      <c r="AJ48" s="35" t="str">
        <f aca="false">IFERROR(CHOOSE(MATCH(INDEX(時間ごとの判定!$AK$3:$AK$1850,1065),{"利用可","両方停止","運転がそろわない","判定不能"},0),"○","停","×","－"),"")</f>
        <v>停</v>
      </c>
      <c r="AK48" s="35" t="str">
        <f aca="false">IFERROR(CHOOSE(MATCH(INDEX(時間ごとの判定!$AK$3:$AK$1850,1066),{"利用可","両方停止","運転がそろわない","判定不能"},0),"○","停","×","－"),"")</f>
        <v>×</v>
      </c>
      <c r="AL48" s="35" t="str">
        <f aca="false">IFERROR(CHOOSE(MATCH(INDEX(時間ごとの判定!$AK$3:$AK$1850,1067),{"利用可","両方停止","運転がそろわない","判定不能"},0),"○","停","×","－"),"")</f>
        <v>×</v>
      </c>
      <c r="AM48" s="35" t="str">
        <f aca="false">IFERROR(CHOOSE(MATCH(INDEX(時間ごとの判定!$AK$3:$AK$1850,1068),{"利用可","両方停止","運転がそろわない","判定不能"},0),"○","停","×","－"),"")</f>
        <v>×</v>
      </c>
      <c r="AN48" s="35" t="str">
        <f aca="false">IFERROR(CHOOSE(MATCH(INDEX(時間ごとの判定!$AK$3:$AK$1850,1069),{"利用可","両方停止","運転がそろわない","判定不能"},0),"○","停","×","－"),"")</f>
        <v>×</v>
      </c>
      <c r="AO48" s="35" t="str">
        <f aca="false">IFERROR(CHOOSE(MATCH(INDEX(時間ごとの判定!$AK$3:$AK$1850,1070),{"利用可","両方停止","運転がそろわない","判定不能"},0),"○","停","×","－"),"")</f>
        <v>×</v>
      </c>
      <c r="AP48" s="35" t="str">
        <f aca="false">IFERROR(CHOOSE(MATCH(INDEX(時間ごとの判定!$AK$3:$AK$1850,1071),{"利用可","両方停止","運転がそろわない","判定不能"},0),"○","停","×","－"),"")</f>
        <v>○</v>
      </c>
      <c r="AQ48" s="35" t="str">
        <f aca="false">IFERROR(CHOOSE(MATCH(INDEX(時間ごとの判定!$AK$3:$AK$1850,1072),{"利用可","両方停止","運転がそろわない","判定不能"},0),"○","停","×","－"),"")</f>
        <v>×</v>
      </c>
      <c r="AR48" s="35" t="str">
        <f aca="false">IFERROR(CHOOSE(MATCH(INDEX(時間ごとの判定!$AK$3:$AK$1850,1073),{"利用可","両方停止","運転がそろわない","判定不能"},0),"○","停","×","－"),"")</f>
        <v>×</v>
      </c>
      <c r="AS48" s="35" t="str">
        <f aca="false">IFERROR(CHOOSE(MATCH(INDEX(時間ごとの判定!$AK$3:$AK$1850,1074),{"利用可","両方停止","運転がそろわない","判定不能"},0),"○","停","×","－"),"")</f>
        <v>×</v>
      </c>
      <c r="AT48" s="35" t="str">
        <f aca="false">IFERROR(CHOOSE(MATCH(INDEX(時間ごとの判定!$AK$3:$AK$1850,1075),{"利用可","両方停止","運転がそろわない","判定不能"},0),"○","停","×","－"),"")</f>
        <v>×</v>
      </c>
      <c r="AU48" s="35" t="str">
        <f aca="false">IFERROR(CHOOSE(MATCH(INDEX(時間ごとの判定!$AK$3:$AK$1850,1076),{"利用可","両方停止","運転がそろわない","判定不能"},0),"○","停","×","－"),"")</f>
        <v>×</v>
      </c>
      <c r="AV48" s="35" t="str">
        <f aca="false">IFERROR(CHOOSE(MATCH(INDEX(時間ごとの判定!$AK$3:$AK$1850,1077),{"利用可","両方停止","運転がそろわない","判定不能"},0),"○","停","×","－"),"")</f>
        <v>停</v>
      </c>
      <c r="AW48" s="35" t="str">
        <f aca="false">IFERROR(CHOOSE(MATCH(INDEX(時間ごとの判定!$AK$3:$AK$1850,1078),{"利用可","両方停止","運転がそろわない","判定不能"},0),"○","停","×","－"),"")</f>
        <v>×</v>
      </c>
      <c r="AX48" s="35" t="str">
        <f aca="false">IFERROR(CHOOSE(MATCH(INDEX(時間ごとの判定!$AK$3:$AK$1850,1079),{"利用可","両方停止","運転がそろわない","判定不能"},0),"○","停","×","－"),"")</f>
        <v>停</v>
      </c>
      <c r="AY48" s="35" t="str">
        <f aca="false">IFERROR(CHOOSE(MATCH(INDEX(時間ごとの判定!$AK$3:$AK$1850,1080),{"利用可","両方停止","運転がそろわない","判定不能"},0),"○","停","×","－"),"")</f>
        <v>停</v>
      </c>
      <c r="AZ48" s="35"/>
      <c r="BA48" s="35" t="str">
        <f aca="false">IFERROR(CHOOSE(MATCH(INDEX(時間ごとの判定!$AN$3:$AN$1850,1057),{"利用可","両方停止","運転がそろわない","判定不能"},0),"○","停","×","－"),"")</f>
        <v>停</v>
      </c>
      <c r="BB48" s="35" t="str">
        <f aca="false">IFERROR(CHOOSE(MATCH(INDEX(時間ごとの判定!$AN$3:$AN$1850,1058),{"利用可","両方停止","運転がそろわない","判定不能"},0),"○","停","×","－"),"")</f>
        <v>停</v>
      </c>
      <c r="BC48" s="35" t="str">
        <f aca="false">IFERROR(CHOOSE(MATCH(INDEX(時間ごとの判定!$AN$3:$AN$1850,1059),{"利用可","両方停止","運転がそろわない","判定不能"},0),"○","停","×","－"),"")</f>
        <v>停</v>
      </c>
      <c r="BD48" s="35" t="str">
        <f aca="false">IFERROR(CHOOSE(MATCH(INDEX(時間ごとの判定!$AN$3:$AN$1850,1060),{"利用可","両方停止","運転がそろわない","判定不能"},0),"○","停","×","－"),"")</f>
        <v>停</v>
      </c>
      <c r="BE48" s="35" t="str">
        <f aca="false">IFERROR(CHOOSE(MATCH(INDEX(時間ごとの判定!$AN$3:$AN$1850,1061),{"利用可","両方停止","運転がそろわない","判定不能"},0),"○","停","×","－"),"")</f>
        <v>停</v>
      </c>
      <c r="BF48" s="35" t="str">
        <f aca="false">IFERROR(CHOOSE(MATCH(INDEX(時間ごとの判定!$AN$3:$AN$1850,1062),{"利用可","両方停止","運転がそろわない","判定不能"},0),"○","停","×","－"),"")</f>
        <v>停</v>
      </c>
      <c r="BG48" s="35" t="str">
        <f aca="false">IFERROR(CHOOSE(MATCH(INDEX(時間ごとの判定!$AN$3:$AN$1850,1063),{"利用可","両方停止","運転がそろわない","判定不能"},0),"○","停","×","－"),"")</f>
        <v>停</v>
      </c>
      <c r="BH48" s="35" t="str">
        <f aca="false">IFERROR(CHOOSE(MATCH(INDEX(時間ごとの判定!$AN$3:$AN$1850,1064),{"利用可","両方停止","運転がそろわない","判定不能"},0),"○","停","×","－"),"")</f>
        <v>停</v>
      </c>
      <c r="BI48" s="35" t="str">
        <f aca="false">IFERROR(CHOOSE(MATCH(INDEX(時間ごとの判定!$AN$3:$AN$1850,1065),{"利用可","両方停止","運転がそろわない","判定不能"},0),"○","停","×","－"),"")</f>
        <v>停</v>
      </c>
      <c r="BJ48" s="35" t="str">
        <f aca="false">IFERROR(CHOOSE(MATCH(INDEX(時間ごとの判定!$AN$3:$AN$1850,1066),{"利用可","両方停止","運転がそろわない","判定不能"},0),"○","停","×","－"),"")</f>
        <v>×</v>
      </c>
      <c r="BK48" s="35" t="str">
        <f aca="false">IFERROR(CHOOSE(MATCH(INDEX(時間ごとの判定!$AN$3:$AN$1850,1067),{"利用可","両方停止","運転がそろわない","判定不能"},0),"○","停","×","－"),"")</f>
        <v>×</v>
      </c>
      <c r="BL48" s="35" t="str">
        <f aca="false">IFERROR(CHOOSE(MATCH(INDEX(時間ごとの判定!$AN$3:$AN$1850,1068),{"利用可","両方停止","運転がそろわない","判定不能"},0),"○","停","×","－"),"")</f>
        <v>×</v>
      </c>
      <c r="BM48" s="35" t="str">
        <f aca="false">IFERROR(CHOOSE(MATCH(INDEX(時間ごとの判定!$AN$3:$AN$1850,1069),{"利用可","両方停止","運転がそろわない","判定不能"},0),"○","停","×","－"),"")</f>
        <v>○</v>
      </c>
      <c r="BN48" s="35" t="str">
        <f aca="false">IFERROR(CHOOSE(MATCH(INDEX(時間ごとの判定!$AN$3:$AN$1850,1070),{"利用可","両方停止","運転がそろわない","判定不能"},0),"○","停","×","－"),"")</f>
        <v>○</v>
      </c>
      <c r="BO48" s="35" t="str">
        <f aca="false">IFERROR(CHOOSE(MATCH(INDEX(時間ごとの判定!$AN$3:$AN$1850,1071),{"利用可","両方停止","運転がそろわない","判定不能"},0),"○","停","×","－"),"")</f>
        <v>○</v>
      </c>
      <c r="BP48" s="35" t="str">
        <f aca="false">IFERROR(CHOOSE(MATCH(INDEX(時間ごとの判定!$AN$3:$AN$1850,1072),{"利用可","両方停止","運転がそろわない","判定不能"},0),"○","停","×","－"),"")</f>
        <v>○</v>
      </c>
      <c r="BQ48" s="35" t="str">
        <f aca="false">IFERROR(CHOOSE(MATCH(INDEX(時間ごとの判定!$AN$3:$AN$1850,1073),{"利用可","両方停止","運転がそろわない","判定不能"},0),"○","停","×","－"),"")</f>
        <v>○</v>
      </c>
      <c r="BR48" s="35" t="str">
        <f aca="false">IFERROR(CHOOSE(MATCH(INDEX(時間ごとの判定!$AN$3:$AN$1850,1074),{"利用可","両方停止","運転がそろわない","判定不能"},0),"○","停","×","－"),"")</f>
        <v>○</v>
      </c>
      <c r="BS48" s="35" t="str">
        <f aca="false">IFERROR(CHOOSE(MATCH(INDEX(時間ごとの判定!$AN$3:$AN$1850,1075),{"利用可","両方停止","運転がそろわない","判定不能"},0),"○","停","×","－"),"")</f>
        <v>×</v>
      </c>
      <c r="BT48" s="35" t="str">
        <f aca="false">IFERROR(CHOOSE(MATCH(INDEX(時間ごとの判定!$AN$3:$AN$1850,1076),{"利用可","両方停止","運転がそろわない","判定不能"},0),"○","停","×","－"),"")</f>
        <v>×</v>
      </c>
      <c r="BU48" s="35" t="str">
        <f aca="false">IFERROR(CHOOSE(MATCH(INDEX(時間ごとの判定!$AN$3:$AN$1850,1077),{"利用可","両方停止","運転がそろわない","判定不能"},0),"○","停","×","－"),"")</f>
        <v>停</v>
      </c>
      <c r="BV48" s="35" t="str">
        <f aca="false">IFERROR(CHOOSE(MATCH(INDEX(時間ごとの判定!$AN$3:$AN$1850,1078),{"利用可","両方停止","運転がそろわない","判定不能"},0),"○","停","×","－"),"")</f>
        <v>停</v>
      </c>
      <c r="BW48" s="35" t="str">
        <f aca="false">IFERROR(CHOOSE(MATCH(INDEX(時間ごとの判定!$AN$3:$AN$1850,1079),{"利用可","両方停止","運転がそろわない","判定不能"},0),"○","停","×","－"),"")</f>
        <v>停</v>
      </c>
      <c r="BX48" s="35" t="str">
        <f aca="false">IFERROR(CHOOSE(MATCH(INDEX(時間ごとの判定!$AN$3:$AN$1850,1080),{"利用可","両方停止","運転がそろわない","判定不能"},0),"○","停","×","－"),"")</f>
        <v>停</v>
      </c>
    </row>
    <row r="49" customFormat="false" ht="15" hidden="false" customHeight="false" outlineLevel="0" collapsed="false">
      <c r="A49" s="33" t="n">
        <v>46277</v>
      </c>
      <c r="B49" s="36" t="s">
        <v>63</v>
      </c>
      <c r="C49" s="35" t="str">
        <f aca="false">IFERROR(CHOOSE(MATCH(INDEX(時間ごとの判定!$AH$3:$AH$1850,1081),{"利用可","両方停止","運転がそろわない","判定不能"},0),"○","停","×","－"),"")</f>
        <v>停</v>
      </c>
      <c r="D49" s="35" t="str">
        <f aca="false">IFERROR(CHOOSE(MATCH(INDEX(時間ごとの判定!$AH$3:$AH$1850,1082),{"利用可","両方停止","運転がそろわない","判定不能"},0),"○","停","×","－"),"")</f>
        <v>停</v>
      </c>
      <c r="E49" s="35" t="str">
        <f aca="false">IFERROR(CHOOSE(MATCH(INDEX(時間ごとの判定!$AH$3:$AH$1850,1083),{"利用可","両方停止","運転がそろわない","判定不能"},0),"○","停","×","－"),"")</f>
        <v>停</v>
      </c>
      <c r="F49" s="35" t="str">
        <f aca="false">IFERROR(CHOOSE(MATCH(INDEX(時間ごとの判定!$AH$3:$AH$1850,1084),{"利用可","両方停止","運転がそろわない","判定不能"},0),"○","停","×","－"),"")</f>
        <v>停</v>
      </c>
      <c r="G49" s="35" t="str">
        <f aca="false">IFERROR(CHOOSE(MATCH(INDEX(時間ごとの判定!$AH$3:$AH$1850,1085),{"利用可","両方停止","運転がそろわない","判定不能"},0),"○","停","×","－"),"")</f>
        <v>停</v>
      </c>
      <c r="H49" s="35" t="str">
        <f aca="false">IFERROR(CHOOSE(MATCH(INDEX(時間ごとの判定!$AH$3:$AH$1850,1086),{"利用可","両方停止","運転がそろわない","判定不能"},0),"○","停","×","－"),"")</f>
        <v>停</v>
      </c>
      <c r="I49" s="35" t="str">
        <f aca="false">IFERROR(CHOOSE(MATCH(INDEX(時間ごとの判定!$AH$3:$AH$1850,1087),{"利用可","両方停止","運転がそろわない","判定不能"},0),"○","停","×","－"),"")</f>
        <v>停</v>
      </c>
      <c r="J49" s="35" t="str">
        <f aca="false">IFERROR(CHOOSE(MATCH(INDEX(時間ごとの判定!$AH$3:$AH$1850,1088),{"利用可","両方停止","運転がそろわない","判定不能"},0),"○","停","×","－"),"")</f>
        <v>停</v>
      </c>
      <c r="K49" s="35" t="str">
        <f aca="false">IFERROR(CHOOSE(MATCH(INDEX(時間ごとの判定!$AH$3:$AH$1850,1089),{"利用可","両方停止","運転がそろわない","判定不能"},0),"○","停","×","－"),"")</f>
        <v>停</v>
      </c>
      <c r="L49" s="35" t="str">
        <f aca="false">IFERROR(CHOOSE(MATCH(INDEX(時間ごとの判定!$AH$3:$AH$1850,1090),{"利用可","両方停止","運転がそろわない","判定不能"},0),"○","停","×","－"),"")</f>
        <v>停</v>
      </c>
      <c r="M49" s="35" t="str">
        <f aca="false">IFERROR(CHOOSE(MATCH(INDEX(時間ごとの判定!$AH$3:$AH$1850,1091),{"利用可","両方停止","運転がそろわない","判定不能"},0),"○","停","×","－"),"")</f>
        <v>×</v>
      </c>
      <c r="N49" s="35" t="str">
        <f aca="false">IFERROR(CHOOSE(MATCH(INDEX(時間ごとの判定!$AH$3:$AH$1850,1092),{"利用可","両方停止","運転がそろわない","判定不能"},0),"○","停","×","－"),"")</f>
        <v>×</v>
      </c>
      <c r="O49" s="35" t="str">
        <f aca="false">IFERROR(CHOOSE(MATCH(INDEX(時間ごとの判定!$AH$3:$AH$1850,1093),{"利用可","両方停止","運転がそろわない","判定不能"},0),"○","停","×","－"),"")</f>
        <v>×</v>
      </c>
      <c r="P49" s="35" t="str">
        <f aca="false">IFERROR(CHOOSE(MATCH(INDEX(時間ごとの判定!$AH$3:$AH$1850,1094),{"利用可","両方停止","運転がそろわない","判定不能"},0),"○","停","×","－"),"")</f>
        <v>×</v>
      </c>
      <c r="Q49" s="35" t="str">
        <f aca="false">IFERROR(CHOOSE(MATCH(INDEX(時間ごとの判定!$AH$3:$AH$1850,1095),{"利用可","両方停止","運転がそろわない","判定不能"},0),"○","停","×","－"),"")</f>
        <v>○</v>
      </c>
      <c r="R49" s="35" t="str">
        <f aca="false">IFERROR(CHOOSE(MATCH(INDEX(時間ごとの判定!$AH$3:$AH$1850,1096),{"利用可","両方停止","運転がそろわない","判定不能"},0),"○","停","×","－"),"")</f>
        <v>○</v>
      </c>
      <c r="S49" s="35" t="str">
        <f aca="false">IFERROR(CHOOSE(MATCH(INDEX(時間ごとの判定!$AH$3:$AH$1850,1097),{"利用可","両方停止","運転がそろわない","判定不能"},0),"○","停","×","－"),"")</f>
        <v>×</v>
      </c>
      <c r="T49" s="35" t="str">
        <f aca="false">IFERROR(CHOOSE(MATCH(INDEX(時間ごとの判定!$AH$3:$AH$1850,1098),{"利用可","両方停止","運転がそろわない","判定不能"},0),"○","停","×","－"),"")</f>
        <v>×</v>
      </c>
      <c r="U49" s="35" t="str">
        <f aca="false">IFERROR(CHOOSE(MATCH(INDEX(時間ごとの判定!$AH$3:$AH$1850,1099),{"利用可","両方停止","運転がそろわない","判定不能"},0),"○","停","×","－"),"")</f>
        <v>停</v>
      </c>
      <c r="V49" s="35" t="str">
        <f aca="false">IFERROR(CHOOSE(MATCH(INDEX(時間ごとの判定!$AH$3:$AH$1850,1100),{"利用可","両方停止","運転がそろわない","判定不能"},0),"○","停","×","－"),"")</f>
        <v>×</v>
      </c>
      <c r="W49" s="35" t="str">
        <f aca="false">IFERROR(CHOOSE(MATCH(INDEX(時間ごとの判定!$AH$3:$AH$1850,1101),{"利用可","両方停止","運転がそろわない","判定不能"},0),"○","停","×","－"),"")</f>
        <v>×</v>
      </c>
      <c r="X49" s="35" t="str">
        <f aca="false">IFERROR(CHOOSE(MATCH(INDEX(時間ごとの判定!$AH$3:$AH$1850,1102),{"利用可","両方停止","運転がそろわない","判定不能"},0),"○","停","×","－"),"")</f>
        <v>停</v>
      </c>
      <c r="Y49" s="35" t="str">
        <f aca="false">IFERROR(CHOOSE(MATCH(INDEX(時間ごとの判定!$AH$3:$AH$1850,1103),{"利用可","両方停止","運転がそろわない","判定不能"},0),"○","停","×","－"),"")</f>
        <v>停</v>
      </c>
      <c r="Z49" s="35" t="str">
        <f aca="false">IFERROR(CHOOSE(MATCH(INDEX(時間ごとの判定!$AH$3:$AH$1850,1104),{"利用可","両方停止","運転がそろわない","判定不能"},0),"○","停","×","－"),"")</f>
        <v>停</v>
      </c>
      <c r="AA49" s="35"/>
      <c r="AB49" s="35" t="str">
        <f aca="false">IFERROR(CHOOSE(MATCH(INDEX(時間ごとの判定!$AK$3:$AK$1850,1081),{"利用可","両方停止","運転がそろわない","判定不能"},0),"○","停","×","－"),"")</f>
        <v>停</v>
      </c>
      <c r="AC49" s="35" t="str">
        <f aca="false">IFERROR(CHOOSE(MATCH(INDEX(時間ごとの判定!$AK$3:$AK$1850,1082),{"利用可","両方停止","運転がそろわない","判定不能"},0),"○","停","×","－"),"")</f>
        <v>停</v>
      </c>
      <c r="AD49" s="35" t="str">
        <f aca="false">IFERROR(CHOOSE(MATCH(INDEX(時間ごとの判定!$AK$3:$AK$1850,1083),{"利用可","両方停止","運転がそろわない","判定不能"},0),"○","停","×","－"),"")</f>
        <v>停</v>
      </c>
      <c r="AE49" s="35" t="str">
        <f aca="false">IFERROR(CHOOSE(MATCH(INDEX(時間ごとの判定!$AK$3:$AK$1850,1084),{"利用可","両方停止","運転がそろわない","判定不能"},0),"○","停","×","－"),"")</f>
        <v>停</v>
      </c>
      <c r="AF49" s="35" t="str">
        <f aca="false">IFERROR(CHOOSE(MATCH(INDEX(時間ごとの判定!$AK$3:$AK$1850,1085),{"利用可","両方停止","運転がそろわない","判定不能"},0),"○","停","×","－"),"")</f>
        <v>停</v>
      </c>
      <c r="AG49" s="35" t="str">
        <f aca="false">IFERROR(CHOOSE(MATCH(INDEX(時間ごとの判定!$AK$3:$AK$1850,1086),{"利用可","両方停止","運転がそろわない","判定不能"},0),"○","停","×","－"),"")</f>
        <v>停</v>
      </c>
      <c r="AH49" s="35" t="str">
        <f aca="false">IFERROR(CHOOSE(MATCH(INDEX(時間ごとの判定!$AK$3:$AK$1850,1087),{"利用可","両方停止","運転がそろわない","判定不能"},0),"○","停","×","－"),"")</f>
        <v>停</v>
      </c>
      <c r="AI49" s="35" t="str">
        <f aca="false">IFERROR(CHOOSE(MATCH(INDEX(時間ごとの判定!$AK$3:$AK$1850,1088),{"利用可","両方停止","運転がそろわない","判定不能"},0),"○","停","×","－"),"")</f>
        <v>停</v>
      </c>
      <c r="AJ49" s="35" t="str">
        <f aca="false">IFERROR(CHOOSE(MATCH(INDEX(時間ごとの判定!$AK$3:$AK$1850,1089),{"利用可","両方停止","運転がそろわない","判定不能"},0),"○","停","×","－"),"")</f>
        <v>停</v>
      </c>
      <c r="AK49" s="35" t="str">
        <f aca="false">IFERROR(CHOOSE(MATCH(INDEX(時間ごとの判定!$AK$3:$AK$1850,1090),{"利用可","両方停止","運転がそろわない","判定不能"},0),"○","停","×","－"),"")</f>
        <v>停</v>
      </c>
      <c r="AL49" s="35" t="str">
        <f aca="false">IFERROR(CHOOSE(MATCH(INDEX(時間ごとの判定!$AK$3:$AK$1850,1091),{"利用可","両方停止","運転がそろわない","判定不能"},0),"○","停","×","－"),"")</f>
        <v>×</v>
      </c>
      <c r="AM49" s="35" t="str">
        <f aca="false">IFERROR(CHOOSE(MATCH(INDEX(時間ごとの判定!$AK$3:$AK$1850,1092),{"利用可","両方停止","運転がそろわない","判定不能"},0),"○","停","×","－"),"")</f>
        <v>×</v>
      </c>
      <c r="AN49" s="35" t="str">
        <f aca="false">IFERROR(CHOOSE(MATCH(INDEX(時間ごとの判定!$AK$3:$AK$1850,1093),{"利用可","両方停止","運転がそろわない","判定不能"},0),"○","停","×","－"),"")</f>
        <v>×</v>
      </c>
      <c r="AO49" s="35" t="str">
        <f aca="false">IFERROR(CHOOSE(MATCH(INDEX(時間ごとの判定!$AK$3:$AK$1850,1094),{"利用可","両方停止","運転がそろわない","判定不能"},0),"○","停","×","－"),"")</f>
        <v>×</v>
      </c>
      <c r="AP49" s="35" t="str">
        <f aca="false">IFERROR(CHOOSE(MATCH(INDEX(時間ごとの判定!$AK$3:$AK$1850,1095),{"利用可","両方停止","運転がそろわない","判定不能"},0),"○","停","×","－"),"")</f>
        <v>×</v>
      </c>
      <c r="AQ49" s="35" t="str">
        <f aca="false">IFERROR(CHOOSE(MATCH(INDEX(時間ごとの判定!$AK$3:$AK$1850,1096),{"利用可","両方停止","運転がそろわない","判定不能"},0),"○","停","×","－"),"")</f>
        <v>×</v>
      </c>
      <c r="AR49" s="35" t="str">
        <f aca="false">IFERROR(CHOOSE(MATCH(INDEX(時間ごとの判定!$AK$3:$AK$1850,1097),{"利用可","両方停止","運転がそろわない","判定不能"},0),"○","停","×","－"),"")</f>
        <v>×</v>
      </c>
      <c r="AS49" s="35" t="str">
        <f aca="false">IFERROR(CHOOSE(MATCH(INDEX(時間ごとの判定!$AK$3:$AK$1850,1098),{"利用可","両方停止","運転がそろわない","判定不能"},0),"○","停","×","－"),"")</f>
        <v>×</v>
      </c>
      <c r="AT49" s="35" t="str">
        <f aca="false">IFERROR(CHOOSE(MATCH(INDEX(時間ごとの判定!$AK$3:$AK$1850,1099),{"利用可","両方停止","運転がそろわない","判定不能"},0),"○","停","×","－"),"")</f>
        <v>停</v>
      </c>
      <c r="AU49" s="35" t="str">
        <f aca="false">IFERROR(CHOOSE(MATCH(INDEX(時間ごとの判定!$AK$3:$AK$1850,1100),{"利用可","両方停止","運転がそろわない","判定不能"},0),"○","停","×","－"),"")</f>
        <v>×</v>
      </c>
      <c r="AV49" s="35" t="str">
        <f aca="false">IFERROR(CHOOSE(MATCH(INDEX(時間ごとの判定!$AK$3:$AK$1850,1101),{"利用可","両方停止","運転がそろわない","判定不能"},0),"○","停","×","－"),"")</f>
        <v>×</v>
      </c>
      <c r="AW49" s="35" t="str">
        <f aca="false">IFERROR(CHOOSE(MATCH(INDEX(時間ごとの判定!$AK$3:$AK$1850,1102),{"利用可","両方停止","運転がそろわない","判定不能"},0),"○","停","×","－"),"")</f>
        <v>×</v>
      </c>
      <c r="AX49" s="35" t="str">
        <f aca="false">IFERROR(CHOOSE(MATCH(INDEX(時間ごとの判定!$AK$3:$AK$1850,1103),{"利用可","両方停止","運転がそろわない","判定不能"},0),"○","停","×","－"),"")</f>
        <v>停</v>
      </c>
      <c r="AY49" s="35" t="str">
        <f aca="false">IFERROR(CHOOSE(MATCH(INDEX(時間ごとの判定!$AK$3:$AK$1850,1104),{"利用可","両方停止","運転がそろわない","判定不能"},0),"○","停","×","－"),"")</f>
        <v>停</v>
      </c>
      <c r="AZ49" s="35"/>
      <c r="BA49" s="35" t="str">
        <f aca="false">IFERROR(CHOOSE(MATCH(INDEX(時間ごとの判定!$AN$3:$AN$1850,1081),{"利用可","両方停止","運転がそろわない","判定不能"},0),"○","停","×","－"),"")</f>
        <v>停</v>
      </c>
      <c r="BB49" s="35" t="str">
        <f aca="false">IFERROR(CHOOSE(MATCH(INDEX(時間ごとの判定!$AN$3:$AN$1850,1082),{"利用可","両方停止","運転がそろわない","判定不能"},0),"○","停","×","－"),"")</f>
        <v>停</v>
      </c>
      <c r="BC49" s="35" t="str">
        <f aca="false">IFERROR(CHOOSE(MATCH(INDEX(時間ごとの判定!$AN$3:$AN$1850,1083),{"利用可","両方停止","運転がそろわない","判定不能"},0),"○","停","×","－"),"")</f>
        <v>停</v>
      </c>
      <c r="BD49" s="35" t="str">
        <f aca="false">IFERROR(CHOOSE(MATCH(INDEX(時間ごとの判定!$AN$3:$AN$1850,1084),{"利用可","両方停止","運転がそろわない","判定不能"},0),"○","停","×","－"),"")</f>
        <v>停</v>
      </c>
      <c r="BE49" s="35" t="str">
        <f aca="false">IFERROR(CHOOSE(MATCH(INDEX(時間ごとの判定!$AN$3:$AN$1850,1085),{"利用可","両方停止","運転がそろわない","判定不能"},0),"○","停","×","－"),"")</f>
        <v>停</v>
      </c>
      <c r="BF49" s="35" t="str">
        <f aca="false">IFERROR(CHOOSE(MATCH(INDEX(時間ごとの判定!$AN$3:$AN$1850,1086),{"利用可","両方停止","運転がそろわない","判定不能"},0),"○","停","×","－"),"")</f>
        <v>停</v>
      </c>
      <c r="BG49" s="35" t="str">
        <f aca="false">IFERROR(CHOOSE(MATCH(INDEX(時間ごとの判定!$AN$3:$AN$1850,1087),{"利用可","両方停止","運転がそろわない","判定不能"},0),"○","停","×","－"),"")</f>
        <v>停</v>
      </c>
      <c r="BH49" s="35" t="str">
        <f aca="false">IFERROR(CHOOSE(MATCH(INDEX(時間ごとの判定!$AN$3:$AN$1850,1088),{"利用可","両方停止","運転がそろわない","判定不能"},0),"○","停","×","－"),"")</f>
        <v>停</v>
      </c>
      <c r="BI49" s="35" t="str">
        <f aca="false">IFERROR(CHOOSE(MATCH(INDEX(時間ごとの判定!$AN$3:$AN$1850,1089),{"利用可","両方停止","運転がそろわない","判定不能"},0),"○","停","×","－"),"")</f>
        <v>停</v>
      </c>
      <c r="BJ49" s="35" t="str">
        <f aca="false">IFERROR(CHOOSE(MATCH(INDEX(時間ごとの判定!$AN$3:$AN$1850,1090),{"利用可","両方停止","運転がそろわない","判定不能"},0),"○","停","×","－"),"")</f>
        <v>×</v>
      </c>
      <c r="BK49" s="35" t="str">
        <f aca="false">IFERROR(CHOOSE(MATCH(INDEX(時間ごとの判定!$AN$3:$AN$1850,1091),{"利用可","両方停止","運転がそろわない","判定不能"},0),"○","停","×","－"),"")</f>
        <v>○</v>
      </c>
      <c r="BL49" s="35" t="str">
        <f aca="false">IFERROR(CHOOSE(MATCH(INDEX(時間ごとの判定!$AN$3:$AN$1850,1092),{"利用可","両方停止","運転がそろわない","判定不能"},0),"○","停","×","－"),"")</f>
        <v>○</v>
      </c>
      <c r="BM49" s="35" t="str">
        <f aca="false">IFERROR(CHOOSE(MATCH(INDEX(時間ごとの判定!$AN$3:$AN$1850,1093),{"利用可","両方停止","運転がそろわない","判定不能"},0),"○","停","×","－"),"")</f>
        <v>×</v>
      </c>
      <c r="BN49" s="35" t="str">
        <f aca="false">IFERROR(CHOOSE(MATCH(INDEX(時間ごとの判定!$AN$3:$AN$1850,1094),{"利用可","両方停止","運転がそろわない","判定不能"},0),"○","停","×","－"),"")</f>
        <v>○</v>
      </c>
      <c r="BO49" s="35" t="str">
        <f aca="false">IFERROR(CHOOSE(MATCH(INDEX(時間ごとの判定!$AN$3:$AN$1850,1095),{"利用可","両方停止","運転がそろわない","判定不能"},0),"○","停","×","－"),"")</f>
        <v>○</v>
      </c>
      <c r="BP49" s="35" t="str">
        <f aca="false">IFERROR(CHOOSE(MATCH(INDEX(時間ごとの判定!$AN$3:$AN$1850,1096),{"利用可","両方停止","運転がそろわない","判定不能"},0),"○","停","×","－"),"")</f>
        <v>×</v>
      </c>
      <c r="BQ49" s="35" t="str">
        <f aca="false">IFERROR(CHOOSE(MATCH(INDEX(時間ごとの判定!$AN$3:$AN$1850,1097),{"利用可","両方停止","運転がそろわない","判定不能"},0),"○","停","×","－"),"")</f>
        <v>×</v>
      </c>
      <c r="BR49" s="35" t="str">
        <f aca="false">IFERROR(CHOOSE(MATCH(INDEX(時間ごとの判定!$AN$3:$AN$1850,1098),{"利用可","両方停止","運転がそろわない","判定不能"},0),"○","停","×","－"),"")</f>
        <v>×</v>
      </c>
      <c r="BS49" s="35" t="str">
        <f aca="false">IFERROR(CHOOSE(MATCH(INDEX(時間ごとの判定!$AN$3:$AN$1850,1099),{"利用可","両方停止","運転がそろわない","判定不能"},0),"○","停","×","－"),"")</f>
        <v>×</v>
      </c>
      <c r="BT49" s="35" t="str">
        <f aca="false">IFERROR(CHOOSE(MATCH(INDEX(時間ごとの判定!$AN$3:$AN$1850,1100),{"利用可","両方停止","運転がそろわない","判定不能"},0),"○","停","×","－"),"")</f>
        <v>停</v>
      </c>
      <c r="BU49" s="35" t="str">
        <f aca="false">IFERROR(CHOOSE(MATCH(INDEX(時間ごとの判定!$AN$3:$AN$1850,1101),{"利用可","両方停止","運転がそろわない","判定不能"},0),"○","停","×","－"),"")</f>
        <v>×</v>
      </c>
      <c r="BV49" s="35" t="str">
        <f aca="false">IFERROR(CHOOSE(MATCH(INDEX(時間ごとの判定!$AN$3:$AN$1850,1102),{"利用可","両方停止","運転がそろわない","判定不能"},0),"○","停","×","－"),"")</f>
        <v>×</v>
      </c>
      <c r="BW49" s="35" t="str">
        <f aca="false">IFERROR(CHOOSE(MATCH(INDEX(時間ごとの判定!$AN$3:$AN$1850,1103),{"利用可","両方停止","運転がそろわない","判定不能"},0),"○","停","×","－"),"")</f>
        <v>停</v>
      </c>
      <c r="BX49" s="35" t="str">
        <f aca="false">IFERROR(CHOOSE(MATCH(INDEX(時間ごとの判定!$AN$3:$AN$1850,1104),{"利用可","両方停止","運転がそろわない","判定不能"},0),"○","停","×","－"),"")</f>
        <v>停</v>
      </c>
    </row>
    <row r="50" customFormat="false" ht="15" hidden="false" customHeight="false" outlineLevel="0" collapsed="false">
      <c r="A50" s="33" t="n">
        <v>46278</v>
      </c>
      <c r="B50" s="36" t="s">
        <v>65</v>
      </c>
      <c r="C50" s="35" t="str">
        <f aca="false">IFERROR(CHOOSE(MATCH(INDEX(時間ごとの判定!$AH$3:$AH$1850,1105),{"利用可","両方停止","運転がそろわない","判定不能"},0),"○","停","×","－"),"")</f>
        <v>停</v>
      </c>
      <c r="D50" s="35" t="str">
        <f aca="false">IFERROR(CHOOSE(MATCH(INDEX(時間ごとの判定!$AH$3:$AH$1850,1106),{"利用可","両方停止","運転がそろわない","判定不能"},0),"○","停","×","－"),"")</f>
        <v>停</v>
      </c>
      <c r="E50" s="35" t="str">
        <f aca="false">IFERROR(CHOOSE(MATCH(INDEX(時間ごとの判定!$AH$3:$AH$1850,1107),{"利用可","両方停止","運転がそろわない","判定不能"},0),"○","停","×","－"),"")</f>
        <v>×</v>
      </c>
      <c r="F50" s="35" t="str">
        <f aca="false">IFERROR(CHOOSE(MATCH(INDEX(時間ごとの判定!$AH$3:$AH$1850,1108),{"利用可","両方停止","運転がそろわない","判定不能"},0),"○","停","×","－"),"")</f>
        <v>×</v>
      </c>
      <c r="G50" s="35" t="str">
        <f aca="false">IFERROR(CHOOSE(MATCH(INDEX(時間ごとの判定!$AH$3:$AH$1850,1109),{"利用可","両方停止","運転がそろわない","判定不能"},0),"○","停","×","－"),"")</f>
        <v>×</v>
      </c>
      <c r="H50" s="35" t="str">
        <f aca="false">IFERROR(CHOOSE(MATCH(INDEX(時間ごとの判定!$AH$3:$AH$1850,1110),{"利用可","両方停止","運転がそろわない","判定不能"},0),"○","停","×","－"),"")</f>
        <v>停</v>
      </c>
      <c r="I50" s="35" t="str">
        <f aca="false">IFERROR(CHOOSE(MATCH(INDEX(時間ごとの判定!$AH$3:$AH$1850,1111),{"利用可","両方停止","運転がそろわない","判定不能"},0),"○","停","×","－"),"")</f>
        <v>停</v>
      </c>
      <c r="J50" s="35" t="str">
        <f aca="false">IFERROR(CHOOSE(MATCH(INDEX(時間ごとの判定!$AH$3:$AH$1850,1112),{"利用可","両方停止","運転がそろわない","判定不能"},0),"○","停","×","－"),"")</f>
        <v>×</v>
      </c>
      <c r="K50" s="35" t="str">
        <f aca="false">IFERROR(CHOOSE(MATCH(INDEX(時間ごとの判定!$AH$3:$AH$1850,1113),{"利用可","両方停止","運転がそろわない","判定不能"},0),"○","停","×","－"),"")</f>
        <v>×</v>
      </c>
      <c r="L50" s="35" t="str">
        <f aca="false">IFERROR(CHOOSE(MATCH(INDEX(時間ごとの判定!$AH$3:$AH$1850,1114),{"利用可","両方停止","運転がそろわない","判定不能"},0),"○","停","×","－"),"")</f>
        <v>×</v>
      </c>
      <c r="M50" s="35" t="str">
        <f aca="false">IFERROR(CHOOSE(MATCH(INDEX(時間ごとの判定!$AH$3:$AH$1850,1115),{"利用可","両方停止","運転がそろわない","判定不能"},0),"○","停","×","－"),"")</f>
        <v>停</v>
      </c>
      <c r="N50" s="35" t="str">
        <f aca="false">IFERROR(CHOOSE(MATCH(INDEX(時間ごとの判定!$AH$3:$AH$1850,1116),{"利用可","両方停止","運転がそろわない","判定不能"},0),"○","停","×","－"),"")</f>
        <v>×</v>
      </c>
      <c r="O50" s="35" t="str">
        <f aca="false">IFERROR(CHOOSE(MATCH(INDEX(時間ごとの判定!$AH$3:$AH$1850,1117),{"利用可","両方停止","運転がそろわない","判定不能"},0),"○","停","×","－"),"")</f>
        <v>○</v>
      </c>
      <c r="P50" s="35" t="str">
        <f aca="false">IFERROR(CHOOSE(MATCH(INDEX(時間ごとの判定!$AH$3:$AH$1850,1118),{"利用可","両方停止","運転がそろわない","判定不能"},0),"○","停","×","－"),"")</f>
        <v>○</v>
      </c>
      <c r="Q50" s="35" t="str">
        <f aca="false">IFERROR(CHOOSE(MATCH(INDEX(時間ごとの判定!$AH$3:$AH$1850,1119),{"利用可","両方停止","運転がそろわない","判定不能"},0),"○","停","×","－"),"")</f>
        <v>×</v>
      </c>
      <c r="R50" s="35" t="str">
        <f aca="false">IFERROR(CHOOSE(MATCH(INDEX(時間ごとの判定!$AH$3:$AH$1850,1120),{"利用可","両方停止","運転がそろわない","判定不能"},0),"○","停","×","－"),"")</f>
        <v>×</v>
      </c>
      <c r="S50" s="35" t="str">
        <f aca="false">IFERROR(CHOOSE(MATCH(INDEX(時間ごとの判定!$AH$3:$AH$1850,1121),{"利用可","両方停止","運転がそろわない","判定不能"},0),"○","停","×","－"),"")</f>
        <v>×</v>
      </c>
      <c r="T50" s="35" t="str">
        <f aca="false">IFERROR(CHOOSE(MATCH(INDEX(時間ごとの判定!$AH$3:$AH$1850,1122),{"利用可","両方停止","運転がそろわない","判定不能"},0),"○","停","×","－"),"")</f>
        <v>×</v>
      </c>
      <c r="U50" s="35" t="str">
        <f aca="false">IFERROR(CHOOSE(MATCH(INDEX(時間ごとの判定!$AH$3:$AH$1850,1123),{"利用可","両方停止","運転がそろわない","判定不能"},0),"○","停","×","－"),"")</f>
        <v>停</v>
      </c>
      <c r="V50" s="35" t="str">
        <f aca="false">IFERROR(CHOOSE(MATCH(INDEX(時間ごとの判定!$AH$3:$AH$1850,1124),{"利用可","両方停止","運転がそろわない","判定不能"},0),"○","停","×","－"),"")</f>
        <v>×</v>
      </c>
      <c r="W50" s="35" t="str">
        <f aca="false">IFERROR(CHOOSE(MATCH(INDEX(時間ごとの判定!$AH$3:$AH$1850,1125),{"利用可","両方停止","運転がそろわない","判定不能"},0),"○","停","×","－"),"")</f>
        <v>×</v>
      </c>
      <c r="X50" s="35" t="str">
        <f aca="false">IFERROR(CHOOSE(MATCH(INDEX(時間ごとの判定!$AH$3:$AH$1850,1126),{"利用可","両方停止","運転がそろわない","判定不能"},0),"○","停","×","－"),"")</f>
        <v>停</v>
      </c>
      <c r="Y50" s="35" t="str">
        <f aca="false">IFERROR(CHOOSE(MATCH(INDEX(時間ごとの判定!$AH$3:$AH$1850,1127),{"利用可","両方停止","運転がそろわない","判定不能"},0),"○","停","×","－"),"")</f>
        <v>停</v>
      </c>
      <c r="Z50" s="35" t="str">
        <f aca="false">IFERROR(CHOOSE(MATCH(INDEX(時間ごとの判定!$AH$3:$AH$1850,1128),{"利用可","両方停止","運転がそろわない","判定不能"},0),"○","停","×","－"),"")</f>
        <v>停</v>
      </c>
      <c r="AA50" s="35"/>
      <c r="AB50" s="35" t="str">
        <f aca="false">IFERROR(CHOOSE(MATCH(INDEX(時間ごとの判定!$AK$3:$AK$1850,1105),{"利用可","両方停止","運転がそろわない","判定不能"},0),"○","停","×","－"),"")</f>
        <v>停</v>
      </c>
      <c r="AC50" s="35" t="str">
        <f aca="false">IFERROR(CHOOSE(MATCH(INDEX(時間ごとの判定!$AK$3:$AK$1850,1106),{"利用可","両方停止","運転がそろわない","判定不能"},0),"○","停","×","－"),"")</f>
        <v>停</v>
      </c>
      <c r="AD50" s="35" t="str">
        <f aca="false">IFERROR(CHOOSE(MATCH(INDEX(時間ごとの判定!$AK$3:$AK$1850,1107),{"利用可","両方停止","運転がそろわない","判定不能"},0),"○","停","×","－"),"")</f>
        <v>停</v>
      </c>
      <c r="AE50" s="35" t="str">
        <f aca="false">IFERROR(CHOOSE(MATCH(INDEX(時間ごとの判定!$AK$3:$AK$1850,1108),{"利用可","両方停止","運転がそろわない","判定不能"},0),"○","停","×","－"),"")</f>
        <v>停</v>
      </c>
      <c r="AF50" s="35" t="str">
        <f aca="false">IFERROR(CHOOSE(MATCH(INDEX(時間ごとの判定!$AK$3:$AK$1850,1109),{"利用可","両方停止","運転がそろわない","判定不能"},0),"○","停","×","－"),"")</f>
        <v>停</v>
      </c>
      <c r="AG50" s="35" t="str">
        <f aca="false">IFERROR(CHOOSE(MATCH(INDEX(時間ごとの判定!$AK$3:$AK$1850,1110),{"利用可","両方停止","運転がそろわない","判定不能"},0),"○","停","×","－"),"")</f>
        <v>停</v>
      </c>
      <c r="AH50" s="35" t="str">
        <f aca="false">IFERROR(CHOOSE(MATCH(INDEX(時間ごとの判定!$AK$3:$AK$1850,1111),{"利用可","両方停止","運転がそろわない","判定不能"},0),"○","停","×","－"),"")</f>
        <v>×</v>
      </c>
      <c r="AI50" s="35" t="str">
        <f aca="false">IFERROR(CHOOSE(MATCH(INDEX(時間ごとの判定!$AK$3:$AK$1850,1112),{"利用可","両方停止","運転がそろわない","判定不能"},0),"○","停","×","－"),"")</f>
        <v>×</v>
      </c>
      <c r="AJ50" s="35" t="str">
        <f aca="false">IFERROR(CHOOSE(MATCH(INDEX(時間ごとの判定!$AK$3:$AK$1850,1113),{"利用可","両方停止","運転がそろわない","判定不能"},0),"○","停","×","－"),"")</f>
        <v>×</v>
      </c>
      <c r="AK50" s="35" t="str">
        <f aca="false">IFERROR(CHOOSE(MATCH(INDEX(時間ごとの判定!$AK$3:$AK$1850,1114),{"利用可","両方停止","運転がそろわない","判定不能"},0),"○","停","×","－"),"")</f>
        <v>×</v>
      </c>
      <c r="AL50" s="35" t="str">
        <f aca="false">IFERROR(CHOOSE(MATCH(INDEX(時間ごとの判定!$AK$3:$AK$1850,1115),{"利用可","両方停止","運転がそろわない","判定不能"},0),"○","停","×","－"),"")</f>
        <v>停</v>
      </c>
      <c r="AM50" s="35" t="str">
        <f aca="false">IFERROR(CHOOSE(MATCH(INDEX(時間ごとの判定!$AK$3:$AK$1850,1116),{"利用可","両方停止","運転がそろわない","判定不能"},0),"○","停","×","－"),"")</f>
        <v>×</v>
      </c>
      <c r="AN50" s="35" t="str">
        <f aca="false">IFERROR(CHOOSE(MATCH(INDEX(時間ごとの判定!$AK$3:$AK$1850,1117),{"利用可","両方停止","運転がそろわない","判定不能"},0),"○","停","×","－"),"")</f>
        <v>○</v>
      </c>
      <c r="AO50" s="35" t="str">
        <f aca="false">IFERROR(CHOOSE(MATCH(INDEX(時間ごとの判定!$AK$3:$AK$1850,1118),{"利用可","両方停止","運転がそろわない","判定不能"},0),"○","停","×","－"),"")</f>
        <v>○</v>
      </c>
      <c r="AP50" s="35" t="str">
        <f aca="false">IFERROR(CHOOSE(MATCH(INDEX(時間ごとの判定!$AK$3:$AK$1850,1119),{"利用可","両方停止","運転がそろわない","判定不能"},0),"○","停","×","－"),"")</f>
        <v>○</v>
      </c>
      <c r="AQ50" s="35" t="str">
        <f aca="false">IFERROR(CHOOSE(MATCH(INDEX(時間ごとの判定!$AK$3:$AK$1850,1120),{"利用可","両方停止","運転がそろわない","判定不能"},0),"○","停","×","－"),"")</f>
        <v>○</v>
      </c>
      <c r="AR50" s="35" t="str">
        <f aca="false">IFERROR(CHOOSE(MATCH(INDEX(時間ごとの判定!$AK$3:$AK$1850,1121),{"利用可","両方停止","運転がそろわない","判定不能"},0),"○","停","×","－"),"")</f>
        <v>×</v>
      </c>
      <c r="AS50" s="35" t="str">
        <f aca="false">IFERROR(CHOOSE(MATCH(INDEX(時間ごとの判定!$AK$3:$AK$1850,1122),{"利用可","両方停止","運転がそろわない","判定不能"},0),"○","停","×","－"),"")</f>
        <v>×</v>
      </c>
      <c r="AT50" s="35" t="str">
        <f aca="false">IFERROR(CHOOSE(MATCH(INDEX(時間ごとの判定!$AK$3:$AK$1850,1123),{"利用可","両方停止","運転がそろわない","判定不能"},0),"○","停","×","－"),"")</f>
        <v>停</v>
      </c>
      <c r="AU50" s="35" t="str">
        <f aca="false">IFERROR(CHOOSE(MATCH(INDEX(時間ごとの判定!$AK$3:$AK$1850,1124),{"利用可","両方停止","運転がそろわない","判定不能"},0),"○","停","×","－"),"")</f>
        <v>×</v>
      </c>
      <c r="AV50" s="35" t="str">
        <f aca="false">IFERROR(CHOOSE(MATCH(INDEX(時間ごとの判定!$AK$3:$AK$1850,1125),{"利用可","両方停止","運転がそろわない","判定不能"},0),"○","停","×","－"),"")</f>
        <v>×</v>
      </c>
      <c r="AW50" s="35" t="str">
        <f aca="false">IFERROR(CHOOSE(MATCH(INDEX(時間ごとの判定!$AK$3:$AK$1850,1126),{"利用可","両方停止","運転がそろわない","判定不能"},0),"○","停","×","－"),"")</f>
        <v>停</v>
      </c>
      <c r="AX50" s="35" t="str">
        <f aca="false">IFERROR(CHOOSE(MATCH(INDEX(時間ごとの判定!$AK$3:$AK$1850,1127),{"利用可","両方停止","運転がそろわない","判定不能"},0),"○","停","×","－"),"")</f>
        <v>停</v>
      </c>
      <c r="AY50" s="35" t="str">
        <f aca="false">IFERROR(CHOOSE(MATCH(INDEX(時間ごとの判定!$AK$3:$AK$1850,1128),{"利用可","両方停止","運転がそろわない","判定不能"},0),"○","停","×","－"),"")</f>
        <v>停</v>
      </c>
      <c r="AZ50" s="35"/>
      <c r="BA50" s="35" t="str">
        <f aca="false">IFERROR(CHOOSE(MATCH(INDEX(時間ごとの判定!$AN$3:$AN$1850,1105),{"利用可","両方停止","運転がそろわない","判定不能"},0),"○","停","×","－"),"")</f>
        <v>停</v>
      </c>
      <c r="BB50" s="35" t="str">
        <f aca="false">IFERROR(CHOOSE(MATCH(INDEX(時間ごとの判定!$AN$3:$AN$1850,1106),{"利用可","両方停止","運転がそろわない","判定不能"},0),"○","停","×","－"),"")</f>
        <v>停</v>
      </c>
      <c r="BC50" s="35" t="str">
        <f aca="false">IFERROR(CHOOSE(MATCH(INDEX(時間ごとの判定!$AN$3:$AN$1850,1107),{"利用可","両方停止","運転がそろわない","判定不能"},0),"○","停","×","－"),"")</f>
        <v>停</v>
      </c>
      <c r="BD50" s="35" t="str">
        <f aca="false">IFERROR(CHOOSE(MATCH(INDEX(時間ごとの判定!$AN$3:$AN$1850,1108),{"利用可","両方停止","運転がそろわない","判定不能"},0),"○","停","×","－"),"")</f>
        <v>停</v>
      </c>
      <c r="BE50" s="35" t="str">
        <f aca="false">IFERROR(CHOOSE(MATCH(INDEX(時間ごとの判定!$AN$3:$AN$1850,1109),{"利用可","両方停止","運転がそろわない","判定不能"},0),"○","停","×","－"),"")</f>
        <v>停</v>
      </c>
      <c r="BF50" s="35" t="str">
        <f aca="false">IFERROR(CHOOSE(MATCH(INDEX(時間ごとの判定!$AN$3:$AN$1850,1110),{"利用可","両方停止","運転がそろわない","判定不能"},0),"○","停","×","－"),"")</f>
        <v>停</v>
      </c>
      <c r="BG50" s="35" t="str">
        <f aca="false">IFERROR(CHOOSE(MATCH(INDEX(時間ごとの判定!$AN$3:$AN$1850,1111),{"利用可","両方停止","運転がそろわない","判定不能"},0),"○","停","×","－"),"")</f>
        <v>停</v>
      </c>
      <c r="BH50" s="35" t="str">
        <f aca="false">IFERROR(CHOOSE(MATCH(INDEX(時間ごとの判定!$AN$3:$AN$1850,1112),{"利用可","両方停止","運転がそろわない","判定不能"},0),"○","停","×","－"),"")</f>
        <v>停</v>
      </c>
      <c r="BI50" s="35" t="str">
        <f aca="false">IFERROR(CHOOSE(MATCH(INDEX(時間ごとの判定!$AN$3:$AN$1850,1113),{"利用可","両方停止","運転がそろわない","判定不能"},0),"○","停","×","－"),"")</f>
        <v>×</v>
      </c>
      <c r="BJ50" s="35" t="str">
        <f aca="false">IFERROR(CHOOSE(MATCH(INDEX(時間ごとの判定!$AN$3:$AN$1850,1114),{"利用可","両方停止","運転がそろわない","判定不能"},0),"○","停","×","－"),"")</f>
        <v>×</v>
      </c>
      <c r="BK50" s="35" t="str">
        <f aca="false">IFERROR(CHOOSE(MATCH(INDEX(時間ごとの判定!$AN$3:$AN$1850,1115),{"利用可","両方停止","運転がそろわない","判定不能"},0),"○","停","×","－"),"")</f>
        <v>停</v>
      </c>
      <c r="BL50" s="35" t="str">
        <f aca="false">IFERROR(CHOOSE(MATCH(INDEX(時間ごとの判定!$AN$3:$AN$1850,1116),{"利用可","両方停止","運転がそろわない","判定不能"},0),"○","停","×","－"),"")</f>
        <v>×</v>
      </c>
      <c r="BM50" s="35" t="str">
        <f aca="false">IFERROR(CHOOSE(MATCH(INDEX(時間ごとの判定!$AN$3:$AN$1850,1117),{"利用可","両方停止","運転がそろわない","判定不能"},0),"○","停","×","－"),"")</f>
        <v>○</v>
      </c>
      <c r="BN50" s="35" t="str">
        <f aca="false">IFERROR(CHOOSE(MATCH(INDEX(時間ごとの判定!$AN$3:$AN$1850,1118),{"利用可","両方停止","運転がそろわない","判定不能"},0),"○","停","×","－"),"")</f>
        <v>×</v>
      </c>
      <c r="BO50" s="35" t="str">
        <f aca="false">IFERROR(CHOOSE(MATCH(INDEX(時間ごとの判定!$AN$3:$AN$1850,1119),{"利用可","両方停止","運転がそろわない","判定不能"},0),"○","停","×","－"),"")</f>
        <v>○</v>
      </c>
      <c r="BP50" s="35" t="str">
        <f aca="false">IFERROR(CHOOSE(MATCH(INDEX(時間ごとの判定!$AN$3:$AN$1850,1120),{"利用可","両方停止","運転がそろわない","判定不能"},0),"○","停","×","－"),"")</f>
        <v>×</v>
      </c>
      <c r="BQ50" s="35" t="str">
        <f aca="false">IFERROR(CHOOSE(MATCH(INDEX(時間ごとの判定!$AN$3:$AN$1850,1121),{"利用可","両方停止","運転がそろわない","判定不能"},0),"○","停","×","－"),"")</f>
        <v>○</v>
      </c>
      <c r="BR50" s="35" t="str">
        <f aca="false">IFERROR(CHOOSE(MATCH(INDEX(時間ごとの判定!$AN$3:$AN$1850,1122),{"利用可","両方停止","運転がそろわない","判定不能"},0),"○","停","×","－"),"")</f>
        <v>×</v>
      </c>
      <c r="BS50" s="35" t="str">
        <f aca="false">IFERROR(CHOOSE(MATCH(INDEX(時間ごとの判定!$AN$3:$AN$1850,1123),{"利用可","両方停止","運転がそろわない","判定不能"},0),"○","停","×","－"),"")</f>
        <v>×</v>
      </c>
      <c r="BT50" s="35" t="str">
        <f aca="false">IFERROR(CHOOSE(MATCH(INDEX(時間ごとの判定!$AN$3:$AN$1850,1124),{"利用可","両方停止","運転がそろわない","判定不能"},0),"○","停","×","－"),"")</f>
        <v>×</v>
      </c>
      <c r="BU50" s="35" t="str">
        <f aca="false">IFERROR(CHOOSE(MATCH(INDEX(時間ごとの判定!$AN$3:$AN$1850,1125),{"利用可","両方停止","運転がそろわない","判定不能"},0),"○","停","×","－"),"")</f>
        <v>×</v>
      </c>
      <c r="BV50" s="35" t="str">
        <f aca="false">IFERROR(CHOOSE(MATCH(INDEX(時間ごとの判定!$AN$3:$AN$1850,1126),{"利用可","両方停止","運転がそろわない","判定不能"},0),"○","停","×","－"),"")</f>
        <v>停</v>
      </c>
      <c r="BW50" s="35" t="str">
        <f aca="false">IFERROR(CHOOSE(MATCH(INDEX(時間ごとの判定!$AN$3:$AN$1850,1127),{"利用可","両方停止","運転がそろわない","判定不能"},0),"○","停","×","－"),"")</f>
        <v>停</v>
      </c>
      <c r="BX50" s="35" t="str">
        <f aca="false">IFERROR(CHOOSE(MATCH(INDEX(時間ごとの判定!$AN$3:$AN$1850,1128),{"利用可","両方停止","運転がそろわない","判定不能"},0),"○","停","×","－"),"")</f>
        <v>停</v>
      </c>
    </row>
    <row r="51" customFormat="false" ht="15" hidden="false" customHeight="false" outlineLevel="0" collapsed="false">
      <c r="A51" s="33" t="n">
        <v>46279</v>
      </c>
      <c r="B51" s="34" t="s">
        <v>66</v>
      </c>
      <c r="C51" s="35" t="str">
        <f aca="false">IFERROR(CHOOSE(MATCH(INDEX(時間ごとの判定!$AH$3:$AH$1850,1129),{"利用可","両方停止","運転がそろわない","判定不能"},0),"○","停","×","－"),"")</f>
        <v>停</v>
      </c>
      <c r="D51" s="35" t="str">
        <f aca="false">IFERROR(CHOOSE(MATCH(INDEX(時間ごとの判定!$AH$3:$AH$1850,1130),{"利用可","両方停止","運転がそろわない","判定不能"},0),"○","停","×","－"),"")</f>
        <v>停</v>
      </c>
      <c r="E51" s="35" t="str">
        <f aca="false">IFERROR(CHOOSE(MATCH(INDEX(時間ごとの判定!$AH$3:$AH$1850,1131),{"利用可","両方停止","運転がそろわない","判定不能"},0),"○","停","×","－"),"")</f>
        <v>停</v>
      </c>
      <c r="F51" s="35" t="str">
        <f aca="false">IFERROR(CHOOSE(MATCH(INDEX(時間ごとの判定!$AH$3:$AH$1850,1132),{"利用可","両方停止","運転がそろわない","判定不能"},0),"○","停","×","－"),"")</f>
        <v>停</v>
      </c>
      <c r="G51" s="35" t="str">
        <f aca="false">IFERROR(CHOOSE(MATCH(INDEX(時間ごとの判定!$AH$3:$AH$1850,1133),{"利用可","両方停止","運転がそろわない","判定不能"},0),"○","停","×","－"),"")</f>
        <v>停</v>
      </c>
      <c r="H51" s="35" t="str">
        <f aca="false">IFERROR(CHOOSE(MATCH(INDEX(時間ごとの判定!$AH$3:$AH$1850,1134),{"利用可","両方停止","運転がそろわない","判定不能"},0),"○","停","×","－"),"")</f>
        <v>停</v>
      </c>
      <c r="I51" s="35" t="str">
        <f aca="false">IFERROR(CHOOSE(MATCH(INDEX(時間ごとの判定!$AH$3:$AH$1850,1135),{"利用可","両方停止","運転がそろわない","判定不能"},0),"○","停","×","－"),"")</f>
        <v>×</v>
      </c>
      <c r="J51" s="35" t="str">
        <f aca="false">IFERROR(CHOOSE(MATCH(INDEX(時間ごとの判定!$AH$3:$AH$1850,1136),{"利用可","両方停止","運転がそろわない","判定不能"},0),"○","停","×","－"),"")</f>
        <v>○</v>
      </c>
      <c r="K51" s="35" t="str">
        <f aca="false">IFERROR(CHOOSE(MATCH(INDEX(時間ごとの判定!$AH$3:$AH$1850,1137),{"利用可","両方停止","運転がそろわない","判定不能"},0),"○","停","×","－"),"")</f>
        <v>○</v>
      </c>
      <c r="L51" s="35" t="str">
        <f aca="false">IFERROR(CHOOSE(MATCH(INDEX(時間ごとの判定!$AH$3:$AH$1850,1138),{"利用可","両方停止","運転がそろわない","判定不能"},0),"○","停","×","－"),"")</f>
        <v>○</v>
      </c>
      <c r="M51" s="35" t="str">
        <f aca="false">IFERROR(CHOOSE(MATCH(INDEX(時間ごとの判定!$AH$3:$AH$1850,1139),{"利用可","両方停止","運転がそろわない","判定不能"},0),"○","停","×","－"),"")</f>
        <v>○</v>
      </c>
      <c r="N51" s="35" t="str">
        <f aca="false">IFERROR(CHOOSE(MATCH(INDEX(時間ごとの判定!$AH$3:$AH$1850,1140),{"利用可","両方停止","運転がそろわない","判定不能"},0),"○","停","×","－"),"")</f>
        <v>○</v>
      </c>
      <c r="O51" s="35" t="str">
        <f aca="false">IFERROR(CHOOSE(MATCH(INDEX(時間ごとの判定!$AH$3:$AH$1850,1141),{"利用可","両方停止","運転がそろわない","判定不能"},0),"○","停","×","－"),"")</f>
        <v>○</v>
      </c>
      <c r="P51" s="35" t="str">
        <f aca="false">IFERROR(CHOOSE(MATCH(INDEX(時間ごとの判定!$AH$3:$AH$1850,1142),{"利用可","両方停止","運転がそろわない","判定不能"},0),"○","停","×","－"),"")</f>
        <v>○</v>
      </c>
      <c r="Q51" s="35" t="str">
        <f aca="false">IFERROR(CHOOSE(MATCH(INDEX(時間ごとの判定!$AH$3:$AH$1850,1143),{"利用可","両方停止","運転がそろわない","判定不能"},0),"○","停","×","－"),"")</f>
        <v>○</v>
      </c>
      <c r="R51" s="35" t="str">
        <f aca="false">IFERROR(CHOOSE(MATCH(INDEX(時間ごとの判定!$AH$3:$AH$1850,1144),{"利用可","両方停止","運転がそろわない","判定不能"},0),"○","停","×","－"),"")</f>
        <v>○</v>
      </c>
      <c r="S51" s="35" t="str">
        <f aca="false">IFERROR(CHOOSE(MATCH(INDEX(時間ごとの判定!$AH$3:$AH$1850,1145),{"利用可","両方停止","運転がそろわない","判定不能"},0),"○","停","×","－"),"")</f>
        <v>○</v>
      </c>
      <c r="T51" s="35" t="str">
        <f aca="false">IFERROR(CHOOSE(MATCH(INDEX(時間ごとの判定!$AH$3:$AH$1850,1146),{"利用可","両方停止","運転がそろわない","判定不能"},0),"○","停","×","－"),"")</f>
        <v>－</v>
      </c>
      <c r="U51" s="35" t="str">
        <f aca="false">IFERROR(CHOOSE(MATCH(INDEX(時間ごとの判定!$AH$3:$AH$1850,1147),{"利用可","両方停止","運転がそろわない","判定不能"},0),"○","停","×","－"),"")</f>
        <v>×</v>
      </c>
      <c r="V51" s="35" t="str">
        <f aca="false">IFERROR(CHOOSE(MATCH(INDEX(時間ごとの判定!$AH$3:$AH$1850,1148),{"利用可","両方停止","運転がそろわない","判定不能"},0),"○","停","×","－"),"")</f>
        <v>×</v>
      </c>
      <c r="W51" s="35" t="str">
        <f aca="false">IFERROR(CHOOSE(MATCH(INDEX(時間ごとの判定!$AH$3:$AH$1850,1149),{"利用可","両方停止","運転がそろわない","判定不能"},0),"○","停","×","－"),"")</f>
        <v>×</v>
      </c>
      <c r="X51" s="35" t="str">
        <f aca="false">IFERROR(CHOOSE(MATCH(INDEX(時間ごとの判定!$AH$3:$AH$1850,1150),{"利用可","両方停止","運転がそろわない","判定不能"},0),"○","停","×","－"),"")</f>
        <v>停</v>
      </c>
      <c r="Y51" s="35" t="str">
        <f aca="false">IFERROR(CHOOSE(MATCH(INDEX(時間ごとの判定!$AH$3:$AH$1850,1151),{"利用可","両方停止","運転がそろわない","判定不能"},0),"○","停","×","－"),"")</f>
        <v>停</v>
      </c>
      <c r="Z51" s="35" t="str">
        <f aca="false">IFERROR(CHOOSE(MATCH(INDEX(時間ごとの判定!$AH$3:$AH$1850,1152),{"利用可","両方停止","運転がそろわない","判定不能"},0),"○","停","×","－"),"")</f>
        <v>停</v>
      </c>
      <c r="AA51" s="35"/>
      <c r="AB51" s="35" t="str">
        <f aca="false">IFERROR(CHOOSE(MATCH(INDEX(時間ごとの判定!$AK$3:$AK$1850,1129),{"利用可","両方停止","運転がそろわない","判定不能"},0),"○","停","×","－"),"")</f>
        <v>停</v>
      </c>
      <c r="AC51" s="35" t="str">
        <f aca="false">IFERROR(CHOOSE(MATCH(INDEX(時間ごとの判定!$AK$3:$AK$1850,1130),{"利用可","両方停止","運転がそろわない","判定不能"},0),"○","停","×","－"),"")</f>
        <v>停</v>
      </c>
      <c r="AD51" s="35" t="str">
        <f aca="false">IFERROR(CHOOSE(MATCH(INDEX(時間ごとの判定!$AK$3:$AK$1850,1131),{"利用可","両方停止","運転がそろわない","判定不能"},0),"○","停","×","－"),"")</f>
        <v>停</v>
      </c>
      <c r="AE51" s="35" t="str">
        <f aca="false">IFERROR(CHOOSE(MATCH(INDEX(時間ごとの判定!$AK$3:$AK$1850,1132),{"利用可","両方停止","運転がそろわない","判定不能"},0),"○","停","×","－"),"")</f>
        <v>停</v>
      </c>
      <c r="AF51" s="35" t="str">
        <f aca="false">IFERROR(CHOOSE(MATCH(INDEX(時間ごとの判定!$AK$3:$AK$1850,1133),{"利用可","両方停止","運転がそろわない","判定不能"},0),"○","停","×","－"),"")</f>
        <v>停</v>
      </c>
      <c r="AG51" s="35" t="str">
        <f aca="false">IFERROR(CHOOSE(MATCH(INDEX(時間ごとの判定!$AK$3:$AK$1850,1134),{"利用可","両方停止","運転がそろわない","判定不能"},0),"○","停","×","－"),"")</f>
        <v>停</v>
      </c>
      <c r="AH51" s="35" t="str">
        <f aca="false">IFERROR(CHOOSE(MATCH(INDEX(時間ごとの判定!$AK$3:$AK$1850,1135),{"利用可","両方停止","運転がそろわない","判定不能"},0),"○","停","×","－"),"")</f>
        <v>停</v>
      </c>
      <c r="AI51" s="35" t="str">
        <f aca="false">IFERROR(CHOOSE(MATCH(INDEX(時間ごとの判定!$AK$3:$AK$1850,1136),{"利用可","両方停止","運転がそろわない","判定不能"},0),"○","停","×","－"),"")</f>
        <v>○</v>
      </c>
      <c r="AJ51" s="35" t="str">
        <f aca="false">IFERROR(CHOOSE(MATCH(INDEX(時間ごとの判定!$AK$3:$AK$1850,1137),{"利用可","両方停止","運転がそろわない","判定不能"},0),"○","停","×","－"),"")</f>
        <v>○</v>
      </c>
      <c r="AK51" s="35" t="str">
        <f aca="false">IFERROR(CHOOSE(MATCH(INDEX(時間ごとの判定!$AK$3:$AK$1850,1138),{"利用可","両方停止","運転がそろわない","判定不能"},0),"○","停","×","－"),"")</f>
        <v>○</v>
      </c>
      <c r="AL51" s="35" t="str">
        <f aca="false">IFERROR(CHOOSE(MATCH(INDEX(時間ごとの判定!$AK$3:$AK$1850,1139),{"利用可","両方停止","運転がそろわない","判定不能"},0),"○","停","×","－"),"")</f>
        <v>○</v>
      </c>
      <c r="AM51" s="35" t="str">
        <f aca="false">IFERROR(CHOOSE(MATCH(INDEX(時間ごとの判定!$AK$3:$AK$1850,1140),{"利用可","両方停止","運転がそろわない","判定不能"},0),"○","停","×","－"),"")</f>
        <v>○</v>
      </c>
      <c r="AN51" s="35" t="str">
        <f aca="false">IFERROR(CHOOSE(MATCH(INDEX(時間ごとの判定!$AK$3:$AK$1850,1141),{"利用可","両方停止","運転がそろわない","判定不能"},0),"○","停","×","－"),"")</f>
        <v>○</v>
      </c>
      <c r="AO51" s="35" t="str">
        <f aca="false">IFERROR(CHOOSE(MATCH(INDEX(時間ごとの判定!$AK$3:$AK$1850,1142),{"利用可","両方停止","運転がそろわない","判定不能"},0),"○","停","×","－"),"")</f>
        <v>○</v>
      </c>
      <c r="AP51" s="35" t="str">
        <f aca="false">IFERROR(CHOOSE(MATCH(INDEX(時間ごとの判定!$AK$3:$AK$1850,1143),{"利用可","両方停止","運転がそろわない","判定不能"},0),"○","停","×","－"),"")</f>
        <v>○</v>
      </c>
      <c r="AQ51" s="35" t="str">
        <f aca="false">IFERROR(CHOOSE(MATCH(INDEX(時間ごとの判定!$AK$3:$AK$1850,1144),{"利用可","両方停止","運転がそろわない","判定不能"},0),"○","停","×","－"),"")</f>
        <v>○</v>
      </c>
      <c r="AR51" s="35" t="str">
        <f aca="false">IFERROR(CHOOSE(MATCH(INDEX(時間ごとの判定!$AK$3:$AK$1850,1145),{"利用可","両方停止","運転がそろわない","判定不能"},0),"○","停","×","－"),"")</f>
        <v>○</v>
      </c>
      <c r="AS51" s="35" t="str">
        <f aca="false">IFERROR(CHOOSE(MATCH(INDEX(時間ごとの判定!$AK$3:$AK$1850,1146),{"利用可","両方停止","運転がそろわない","判定不能"},0),"○","停","×","－"),"")</f>
        <v>－</v>
      </c>
      <c r="AT51" s="35" t="str">
        <f aca="false">IFERROR(CHOOSE(MATCH(INDEX(時間ごとの判定!$AK$3:$AK$1850,1147),{"利用可","両方停止","運転がそろわない","判定不能"},0),"○","停","×","－"),"")</f>
        <v>×</v>
      </c>
      <c r="AU51" s="35" t="str">
        <f aca="false">IFERROR(CHOOSE(MATCH(INDEX(時間ごとの判定!$AK$3:$AK$1850,1148),{"利用可","両方停止","運転がそろわない","判定不能"},0),"○","停","×","－"),"")</f>
        <v>×</v>
      </c>
      <c r="AV51" s="35" t="str">
        <f aca="false">IFERROR(CHOOSE(MATCH(INDEX(時間ごとの判定!$AK$3:$AK$1850,1149),{"利用可","両方停止","運転がそろわない","判定不能"},0),"○","停","×","－"),"")</f>
        <v>×</v>
      </c>
      <c r="AW51" s="35" t="str">
        <f aca="false">IFERROR(CHOOSE(MATCH(INDEX(時間ごとの判定!$AK$3:$AK$1850,1150),{"利用可","両方停止","運転がそろわない","判定不能"},0),"○","停","×","－"),"")</f>
        <v>－</v>
      </c>
      <c r="AX51" s="35" t="str">
        <f aca="false">IFERROR(CHOOSE(MATCH(INDEX(時間ごとの判定!$AK$3:$AK$1850,1151),{"利用可","両方停止","運転がそろわない","判定不能"},0),"○","停","×","－"),"")</f>
        <v>停</v>
      </c>
      <c r="AY51" s="35" t="str">
        <f aca="false">IFERROR(CHOOSE(MATCH(INDEX(時間ごとの判定!$AK$3:$AK$1850,1152),{"利用可","両方停止","運転がそろわない","判定不能"},0),"○","停","×","－"),"")</f>
        <v>－</v>
      </c>
      <c r="AZ51" s="35"/>
      <c r="BA51" s="35" t="str">
        <f aca="false">IFERROR(CHOOSE(MATCH(INDEX(時間ごとの判定!$AN$3:$AN$1850,1129),{"利用可","両方停止","運転がそろわない","判定不能"},0),"○","停","×","－"),"")</f>
        <v>停</v>
      </c>
      <c r="BB51" s="35" t="str">
        <f aca="false">IFERROR(CHOOSE(MATCH(INDEX(時間ごとの判定!$AN$3:$AN$1850,1130),{"利用可","両方停止","運転がそろわない","判定不能"},0),"○","停","×","－"),"")</f>
        <v>停</v>
      </c>
      <c r="BC51" s="35" t="str">
        <f aca="false">IFERROR(CHOOSE(MATCH(INDEX(時間ごとの判定!$AN$3:$AN$1850,1131),{"利用可","両方停止","運転がそろわない","判定不能"},0),"○","停","×","－"),"")</f>
        <v>停</v>
      </c>
      <c r="BD51" s="35" t="str">
        <f aca="false">IFERROR(CHOOSE(MATCH(INDEX(時間ごとの判定!$AN$3:$AN$1850,1132),{"利用可","両方停止","運転がそろわない","判定不能"},0),"○","停","×","－"),"")</f>
        <v>停</v>
      </c>
      <c r="BE51" s="35" t="str">
        <f aca="false">IFERROR(CHOOSE(MATCH(INDEX(時間ごとの判定!$AN$3:$AN$1850,1133),{"利用可","両方停止","運転がそろわない","判定不能"},0),"○","停","×","－"),"")</f>
        <v>停</v>
      </c>
      <c r="BF51" s="35" t="str">
        <f aca="false">IFERROR(CHOOSE(MATCH(INDEX(時間ごとの判定!$AN$3:$AN$1850,1134),{"利用可","両方停止","運転がそろわない","判定不能"},0),"○","停","×","－"),"")</f>
        <v>停</v>
      </c>
      <c r="BG51" s="35" t="str">
        <f aca="false">IFERROR(CHOOSE(MATCH(INDEX(時間ごとの判定!$AN$3:$AN$1850,1135),{"利用可","両方停止","運転がそろわない","判定不能"},0),"○","停","×","－"),"")</f>
        <v>×</v>
      </c>
      <c r="BH51" s="35" t="str">
        <f aca="false">IFERROR(CHOOSE(MATCH(INDEX(時間ごとの判定!$AN$3:$AN$1850,1136),{"利用可","両方停止","運転がそろわない","判定不能"},0),"○","停","×","－"),"")</f>
        <v>○</v>
      </c>
      <c r="BI51" s="35" t="str">
        <f aca="false">IFERROR(CHOOSE(MATCH(INDEX(時間ごとの判定!$AN$3:$AN$1850,1137),{"利用可","両方停止","運転がそろわない","判定不能"},0),"○","停","×","－"),"")</f>
        <v>○</v>
      </c>
      <c r="BJ51" s="35" t="str">
        <f aca="false">IFERROR(CHOOSE(MATCH(INDEX(時間ごとの判定!$AN$3:$AN$1850,1138),{"利用可","両方停止","運転がそろわない","判定不能"},0),"○","停","×","－"),"")</f>
        <v>○</v>
      </c>
      <c r="BK51" s="35" t="str">
        <f aca="false">IFERROR(CHOOSE(MATCH(INDEX(時間ごとの判定!$AN$3:$AN$1850,1139),{"利用可","両方停止","運転がそろわない","判定不能"},0),"○","停","×","－"),"")</f>
        <v>○</v>
      </c>
      <c r="BL51" s="35" t="str">
        <f aca="false">IFERROR(CHOOSE(MATCH(INDEX(時間ごとの判定!$AN$3:$AN$1850,1140),{"利用可","両方停止","運転がそろわない","判定不能"},0),"○","停","×","－"),"")</f>
        <v>○</v>
      </c>
      <c r="BM51" s="35" t="str">
        <f aca="false">IFERROR(CHOOSE(MATCH(INDEX(時間ごとの判定!$AN$3:$AN$1850,1141),{"利用可","両方停止","運転がそろわない","判定不能"},0),"○","停","×","－"),"")</f>
        <v>○</v>
      </c>
      <c r="BN51" s="35" t="str">
        <f aca="false">IFERROR(CHOOSE(MATCH(INDEX(時間ごとの判定!$AN$3:$AN$1850,1142),{"利用可","両方停止","運転がそろわない","判定不能"},0),"○","停","×","－"),"")</f>
        <v>○</v>
      </c>
      <c r="BO51" s="35" t="str">
        <f aca="false">IFERROR(CHOOSE(MATCH(INDEX(時間ごとの判定!$AN$3:$AN$1850,1143),{"利用可","両方停止","運転がそろわない","判定不能"},0),"○","停","×","－"),"")</f>
        <v>○</v>
      </c>
      <c r="BP51" s="35" t="str">
        <f aca="false">IFERROR(CHOOSE(MATCH(INDEX(時間ごとの判定!$AN$3:$AN$1850,1144),{"利用可","両方停止","運転がそろわない","判定不能"},0),"○","停","×","－"),"")</f>
        <v>○</v>
      </c>
      <c r="BQ51" s="35" t="str">
        <f aca="false">IFERROR(CHOOSE(MATCH(INDEX(時間ごとの判定!$AN$3:$AN$1850,1145),{"利用可","両方停止","運転がそろわない","判定不能"},0),"○","停","×","－"),"")</f>
        <v>○</v>
      </c>
      <c r="BR51" s="35" t="str">
        <f aca="false">IFERROR(CHOOSE(MATCH(INDEX(時間ごとの判定!$AN$3:$AN$1850,1146),{"利用可","両方停止","運転がそろわない","判定不能"},0),"○","停","×","－"),"")</f>
        <v>－</v>
      </c>
      <c r="BS51" s="35" t="str">
        <f aca="false">IFERROR(CHOOSE(MATCH(INDEX(時間ごとの判定!$AN$3:$AN$1850,1147),{"利用可","両方停止","運転がそろわない","判定不能"},0),"○","停","×","－"),"")</f>
        <v>×</v>
      </c>
      <c r="BT51" s="35" t="str">
        <f aca="false">IFERROR(CHOOSE(MATCH(INDEX(時間ごとの判定!$AN$3:$AN$1850,1148),{"利用可","両方停止","運転がそろわない","判定不能"},0),"○","停","×","－"),"")</f>
        <v>×</v>
      </c>
      <c r="BU51" s="35" t="str">
        <f aca="false">IFERROR(CHOOSE(MATCH(INDEX(時間ごとの判定!$AN$3:$AN$1850,1149),{"利用可","両方停止","運転がそろわない","判定不能"},0),"○","停","×","－"),"")</f>
        <v>×</v>
      </c>
      <c r="BV51" s="35" t="str">
        <f aca="false">IFERROR(CHOOSE(MATCH(INDEX(時間ごとの判定!$AN$3:$AN$1850,1150),{"利用可","両方停止","運転がそろわない","判定不能"},0),"○","停","×","－"),"")</f>
        <v>停</v>
      </c>
      <c r="BW51" s="35" t="str">
        <f aca="false">IFERROR(CHOOSE(MATCH(INDEX(時間ごとの判定!$AN$3:$AN$1850,1151),{"利用可","両方停止","運転がそろわない","判定不能"},0),"○","停","×","－"),"")</f>
        <v>停</v>
      </c>
      <c r="BX51" s="35" t="str">
        <f aca="false">IFERROR(CHOOSE(MATCH(INDEX(時間ごとの判定!$AN$3:$AN$1850,1152),{"利用可","両方停止","運転がそろわない","判定不能"},0),"○","停","×","－"),"")</f>
        <v>停</v>
      </c>
    </row>
    <row r="52" customFormat="false" ht="15" hidden="false" customHeight="false" outlineLevel="0" collapsed="false">
      <c r="A52" s="33" t="n">
        <v>46280</v>
      </c>
      <c r="B52" s="34" t="s">
        <v>67</v>
      </c>
      <c r="C52" s="35" t="str">
        <f aca="false">IFERROR(CHOOSE(MATCH(INDEX(時間ごとの判定!$AH$3:$AH$1850,1153),{"利用可","両方停止","運転がそろわない","判定不能"},0),"○","停","×","－"),"")</f>
        <v>停</v>
      </c>
      <c r="D52" s="35" t="str">
        <f aca="false">IFERROR(CHOOSE(MATCH(INDEX(時間ごとの判定!$AH$3:$AH$1850,1154),{"利用可","両方停止","運転がそろわない","判定不能"},0),"○","停","×","－"),"")</f>
        <v>停</v>
      </c>
      <c r="E52" s="35" t="str">
        <f aca="false">IFERROR(CHOOSE(MATCH(INDEX(時間ごとの判定!$AH$3:$AH$1850,1155),{"利用可","両方停止","運転がそろわない","判定不能"},0),"○","停","×","－"),"")</f>
        <v>停</v>
      </c>
      <c r="F52" s="35" t="str">
        <f aca="false">IFERROR(CHOOSE(MATCH(INDEX(時間ごとの判定!$AH$3:$AH$1850,1156),{"利用可","両方停止","運転がそろわない","判定不能"},0),"○","停","×","－"),"")</f>
        <v>停</v>
      </c>
      <c r="G52" s="35" t="str">
        <f aca="false">IFERROR(CHOOSE(MATCH(INDEX(時間ごとの判定!$AH$3:$AH$1850,1157),{"利用可","両方停止","運転がそろわない","判定不能"},0),"○","停","×","－"),"")</f>
        <v>停</v>
      </c>
      <c r="H52" s="35" t="str">
        <f aca="false">IFERROR(CHOOSE(MATCH(INDEX(時間ごとの判定!$AH$3:$AH$1850,1158),{"利用可","両方停止","運転がそろわない","判定不能"},0),"○","停","×","－"),"")</f>
        <v>停</v>
      </c>
      <c r="I52" s="35" t="str">
        <f aca="false">IFERROR(CHOOSE(MATCH(INDEX(時間ごとの判定!$AH$3:$AH$1850,1159),{"利用可","両方停止","運転がそろわない","判定不能"},0),"○","停","×","－"),"")</f>
        <v>停</v>
      </c>
      <c r="J52" s="35" t="str">
        <f aca="false">IFERROR(CHOOSE(MATCH(INDEX(時間ごとの判定!$AH$3:$AH$1850,1160),{"利用可","両方停止","運転がそろわない","判定不能"},0),"○","停","×","－"),"")</f>
        <v>×</v>
      </c>
      <c r="K52" s="35" t="str">
        <f aca="false">IFERROR(CHOOSE(MATCH(INDEX(時間ごとの判定!$AH$3:$AH$1850,1161),{"利用可","両方停止","運転がそろわない","判定不能"},0),"○","停","×","－"),"")</f>
        <v>×</v>
      </c>
      <c r="L52" s="35" t="str">
        <f aca="false">IFERROR(CHOOSE(MATCH(INDEX(時間ごとの判定!$AH$3:$AH$1850,1162),{"利用可","両方停止","運転がそろわない","判定不能"},0),"○","停","×","－"),"")</f>
        <v>○</v>
      </c>
      <c r="M52" s="35" t="str">
        <f aca="false">IFERROR(CHOOSE(MATCH(INDEX(時間ごとの判定!$AH$3:$AH$1850,1163),{"利用可","両方停止","運転がそろわない","判定不能"},0),"○","停","×","－"),"")</f>
        <v>○</v>
      </c>
      <c r="N52" s="35" t="str">
        <f aca="false">IFERROR(CHOOSE(MATCH(INDEX(時間ごとの判定!$AH$3:$AH$1850,1164),{"利用可","両方停止","運転がそろわない","判定不能"},0),"○","停","×","－"),"")</f>
        <v>○</v>
      </c>
      <c r="O52" s="35" t="str">
        <f aca="false">IFERROR(CHOOSE(MATCH(INDEX(時間ごとの判定!$AH$3:$AH$1850,1165),{"利用可","両方停止","運転がそろわない","判定不能"},0),"○","停","×","－"),"")</f>
        <v>○</v>
      </c>
      <c r="P52" s="35" t="str">
        <f aca="false">IFERROR(CHOOSE(MATCH(INDEX(時間ごとの判定!$AH$3:$AH$1850,1166),{"利用可","両方停止","運転がそろわない","判定不能"},0),"○","停","×","－"),"")</f>
        <v>○</v>
      </c>
      <c r="Q52" s="35" t="str">
        <f aca="false">IFERROR(CHOOSE(MATCH(INDEX(時間ごとの判定!$AH$3:$AH$1850,1167),{"利用可","両方停止","運転がそろわない","判定不能"},0),"○","停","×","－"),"")</f>
        <v>○</v>
      </c>
      <c r="R52" s="35" t="str">
        <f aca="false">IFERROR(CHOOSE(MATCH(INDEX(時間ごとの判定!$AH$3:$AH$1850,1168),{"利用可","両方停止","運転がそろわない","判定不能"},0),"○","停","×","－"),"")</f>
        <v>○</v>
      </c>
      <c r="S52" s="35" t="str">
        <f aca="false">IFERROR(CHOOSE(MATCH(INDEX(時間ごとの判定!$AH$3:$AH$1850,1169),{"利用可","両方停止","運転がそろわない","判定不能"},0),"○","停","×","－"),"")</f>
        <v>×</v>
      </c>
      <c r="T52" s="35" t="str">
        <f aca="false">IFERROR(CHOOSE(MATCH(INDEX(時間ごとの判定!$AH$3:$AH$1850,1170),{"利用可","両方停止","運転がそろわない","判定不能"},0),"○","停","×","－"),"")</f>
        <v>○</v>
      </c>
      <c r="U52" s="35" t="str">
        <f aca="false">IFERROR(CHOOSE(MATCH(INDEX(時間ごとの判定!$AH$3:$AH$1850,1171),{"利用可","両方停止","運転がそろわない","判定不能"},0),"○","停","×","－"),"")</f>
        <v>○</v>
      </c>
      <c r="V52" s="35" t="str">
        <f aca="false">IFERROR(CHOOSE(MATCH(INDEX(時間ごとの判定!$AH$3:$AH$1850,1172),{"利用可","両方停止","運転がそろわない","判定不能"},0),"○","停","×","－"),"")</f>
        <v>○</v>
      </c>
      <c r="W52" s="35" t="str">
        <f aca="false">IFERROR(CHOOSE(MATCH(INDEX(時間ごとの判定!$AH$3:$AH$1850,1173),{"利用可","両方停止","運転がそろわない","判定不能"},0),"○","停","×","－"),"")</f>
        <v>×</v>
      </c>
      <c r="X52" s="35" t="str">
        <f aca="false">IFERROR(CHOOSE(MATCH(INDEX(時間ごとの判定!$AH$3:$AH$1850,1174),{"利用可","両方停止","運転がそろわない","判定不能"},0),"○","停","×","－"),"")</f>
        <v>×</v>
      </c>
      <c r="Y52" s="35" t="str">
        <f aca="false">IFERROR(CHOOSE(MATCH(INDEX(時間ごとの判定!$AH$3:$AH$1850,1175),{"利用可","両方停止","運転がそろわない","判定不能"},0),"○","停","×","－"),"")</f>
        <v>×</v>
      </c>
      <c r="Z52" s="35" t="str">
        <f aca="false">IFERROR(CHOOSE(MATCH(INDEX(時間ごとの判定!$AH$3:$AH$1850,1176),{"利用可","両方停止","運転がそろわない","判定不能"},0),"○","停","×","－"),"")</f>
        <v>停</v>
      </c>
      <c r="AA52" s="35"/>
      <c r="AB52" s="35" t="str">
        <f aca="false">IFERROR(CHOOSE(MATCH(INDEX(時間ごとの判定!$AK$3:$AK$1850,1153),{"利用可","両方停止","運転がそろわない","判定不能"},0),"○","停","×","－"),"")</f>
        <v>停</v>
      </c>
      <c r="AC52" s="35" t="str">
        <f aca="false">IFERROR(CHOOSE(MATCH(INDEX(時間ごとの判定!$AK$3:$AK$1850,1154),{"利用可","両方停止","運転がそろわない","判定不能"},0),"○","停","×","－"),"")</f>
        <v>停</v>
      </c>
      <c r="AD52" s="35" t="str">
        <f aca="false">IFERROR(CHOOSE(MATCH(INDEX(時間ごとの判定!$AK$3:$AK$1850,1155),{"利用可","両方停止","運転がそろわない","判定不能"},0),"○","停","×","－"),"")</f>
        <v>停</v>
      </c>
      <c r="AE52" s="35" t="str">
        <f aca="false">IFERROR(CHOOSE(MATCH(INDEX(時間ごとの判定!$AK$3:$AK$1850,1156),{"利用可","両方停止","運転がそろわない","判定不能"},0),"○","停","×","－"),"")</f>
        <v>×</v>
      </c>
      <c r="AF52" s="35" t="str">
        <f aca="false">IFERROR(CHOOSE(MATCH(INDEX(時間ごとの判定!$AK$3:$AK$1850,1157),{"利用可","両方停止","運転がそろわない","判定不能"},0),"○","停","×","－"),"")</f>
        <v>停</v>
      </c>
      <c r="AG52" s="35" t="str">
        <f aca="false">IFERROR(CHOOSE(MATCH(INDEX(時間ごとの判定!$AK$3:$AK$1850,1158),{"利用可","両方停止","運転がそろわない","判定不能"},0),"○","停","×","－"),"")</f>
        <v>－</v>
      </c>
      <c r="AH52" s="35" t="str">
        <f aca="false">IFERROR(CHOOSE(MATCH(INDEX(時間ごとの判定!$AK$3:$AK$1850,1159),{"利用可","両方停止","運転がそろわない","判定不能"},0),"○","停","×","－"),"")</f>
        <v>－</v>
      </c>
      <c r="AI52" s="35" t="str">
        <f aca="false">IFERROR(CHOOSE(MATCH(INDEX(時間ごとの判定!$AK$3:$AK$1850,1160),{"利用可","両方停止","運転がそろわない","判定不能"},0),"○","停","×","－"),"")</f>
        <v>－</v>
      </c>
      <c r="AJ52" s="35" t="str">
        <f aca="false">IFERROR(CHOOSE(MATCH(INDEX(時間ごとの判定!$AK$3:$AK$1850,1161),{"利用可","両方停止","運転がそろわない","判定不能"},0),"○","停","×","－"),"")</f>
        <v>－</v>
      </c>
      <c r="AK52" s="35" t="str">
        <f aca="false">IFERROR(CHOOSE(MATCH(INDEX(時間ごとの判定!$AK$3:$AK$1850,1162),{"利用可","両方停止","運転がそろわない","判定不能"},0),"○","停","×","－"),"")</f>
        <v>－</v>
      </c>
      <c r="AL52" s="35" t="str">
        <f aca="false">IFERROR(CHOOSE(MATCH(INDEX(時間ごとの判定!$AK$3:$AK$1850,1163),{"利用可","両方停止","運転がそろわない","判定不能"},0),"○","停","×","－"),"")</f>
        <v>－</v>
      </c>
      <c r="AM52" s="35" t="str">
        <f aca="false">IFERROR(CHOOSE(MATCH(INDEX(時間ごとの判定!$AK$3:$AK$1850,1164),{"利用可","両方停止","運転がそろわない","判定不能"},0),"○","停","×","－"),"")</f>
        <v>－</v>
      </c>
      <c r="AN52" s="35" t="str">
        <f aca="false">IFERROR(CHOOSE(MATCH(INDEX(時間ごとの判定!$AK$3:$AK$1850,1165),{"利用可","両方停止","運転がそろわない","判定不能"},0),"○","停","×","－"),"")</f>
        <v>－</v>
      </c>
      <c r="AO52" s="35" t="str">
        <f aca="false">IFERROR(CHOOSE(MATCH(INDEX(時間ごとの判定!$AK$3:$AK$1850,1166),{"利用可","両方停止","運転がそろわない","判定不能"},0),"○","停","×","－"),"")</f>
        <v>－</v>
      </c>
      <c r="AP52" s="35" t="str">
        <f aca="false">IFERROR(CHOOSE(MATCH(INDEX(時間ごとの判定!$AK$3:$AK$1850,1167),{"利用可","両方停止","運転がそろわない","判定不能"},0),"○","停","×","－"),"")</f>
        <v>－</v>
      </c>
      <c r="AQ52" s="35" t="str">
        <f aca="false">IFERROR(CHOOSE(MATCH(INDEX(時間ごとの判定!$AK$3:$AK$1850,1168),{"利用可","両方停止","運転がそろわない","判定不能"},0),"○","停","×","－"),"")</f>
        <v>－</v>
      </c>
      <c r="AR52" s="35" t="str">
        <f aca="false">IFERROR(CHOOSE(MATCH(INDEX(時間ごとの判定!$AK$3:$AK$1850,1169),{"利用可","両方停止","運転がそろわない","判定不能"},0),"○","停","×","－"),"")</f>
        <v>－</v>
      </c>
      <c r="AS52" s="35" t="str">
        <f aca="false">IFERROR(CHOOSE(MATCH(INDEX(時間ごとの判定!$AK$3:$AK$1850,1170),{"利用可","両方停止","運転がそろわない","判定不能"},0),"○","停","×","－"),"")</f>
        <v>－</v>
      </c>
      <c r="AT52" s="35" t="str">
        <f aca="false">IFERROR(CHOOSE(MATCH(INDEX(時間ごとの判定!$AK$3:$AK$1850,1171),{"利用可","両方停止","運転がそろわない","判定不能"},0),"○","停","×","－"),"")</f>
        <v>－</v>
      </c>
      <c r="AU52" s="35" t="str">
        <f aca="false">IFERROR(CHOOSE(MATCH(INDEX(時間ごとの判定!$AK$3:$AK$1850,1172),{"利用可","両方停止","運転がそろわない","判定不能"},0),"○","停","×","－"),"")</f>
        <v>－</v>
      </c>
      <c r="AV52" s="35" t="str">
        <f aca="false">IFERROR(CHOOSE(MATCH(INDEX(時間ごとの判定!$AK$3:$AK$1850,1173),{"利用可","両方停止","運転がそろわない","判定不能"},0),"○","停","×","－"),"")</f>
        <v>－</v>
      </c>
      <c r="AW52" s="35" t="str">
        <f aca="false">IFERROR(CHOOSE(MATCH(INDEX(時間ごとの判定!$AK$3:$AK$1850,1174),{"利用可","両方停止","運転がそろわない","判定不能"},0),"○","停","×","－"),"")</f>
        <v>－</v>
      </c>
      <c r="AX52" s="35" t="str">
        <f aca="false">IFERROR(CHOOSE(MATCH(INDEX(時間ごとの判定!$AK$3:$AK$1850,1175),{"利用可","両方停止","運転がそろわない","判定不能"},0),"○","停","×","－"),"")</f>
        <v>－</v>
      </c>
      <c r="AY52" s="35" t="str">
        <f aca="false">IFERROR(CHOOSE(MATCH(INDEX(時間ごとの判定!$AK$3:$AK$1850,1176),{"利用可","両方停止","運転がそろわない","判定不能"},0),"○","停","×","－"),"")</f>
        <v>－</v>
      </c>
      <c r="AZ52" s="35"/>
      <c r="BA52" s="35" t="str">
        <f aca="false">IFERROR(CHOOSE(MATCH(INDEX(時間ごとの判定!$AN$3:$AN$1850,1153),{"利用可","両方停止","運転がそろわない","判定不能"},0),"○","停","×","－"),"")</f>
        <v>停</v>
      </c>
      <c r="BB52" s="35" t="str">
        <f aca="false">IFERROR(CHOOSE(MATCH(INDEX(時間ごとの判定!$AN$3:$AN$1850,1154),{"利用可","両方停止","運転がそろわない","判定不能"},0),"○","停","×","－"),"")</f>
        <v>停</v>
      </c>
      <c r="BC52" s="35" t="str">
        <f aca="false">IFERROR(CHOOSE(MATCH(INDEX(時間ごとの判定!$AN$3:$AN$1850,1155),{"利用可","両方停止","運転がそろわない","判定不能"},0),"○","停","×","－"),"")</f>
        <v>停</v>
      </c>
      <c r="BD52" s="35" t="str">
        <f aca="false">IFERROR(CHOOSE(MATCH(INDEX(時間ごとの判定!$AN$3:$AN$1850,1156),{"利用可","両方停止","運転がそろわない","判定不能"},0),"○","停","×","－"),"")</f>
        <v>停</v>
      </c>
      <c r="BE52" s="35" t="str">
        <f aca="false">IFERROR(CHOOSE(MATCH(INDEX(時間ごとの判定!$AN$3:$AN$1850,1157),{"利用可","両方停止","運転がそろわない","判定不能"},0),"○","停","×","－"),"")</f>
        <v>停</v>
      </c>
      <c r="BF52" s="35" t="str">
        <f aca="false">IFERROR(CHOOSE(MATCH(INDEX(時間ごとの判定!$AN$3:$AN$1850,1158),{"利用可","両方停止","運転がそろわない","判定不能"},0),"○","停","×","－"),"")</f>
        <v>停</v>
      </c>
      <c r="BG52" s="35" t="str">
        <f aca="false">IFERROR(CHOOSE(MATCH(INDEX(時間ごとの判定!$AN$3:$AN$1850,1159),{"利用可","両方停止","運転がそろわない","判定不能"},0),"○","停","×","－"),"")</f>
        <v>停</v>
      </c>
      <c r="BH52" s="35" t="str">
        <f aca="false">IFERROR(CHOOSE(MATCH(INDEX(時間ごとの判定!$AN$3:$AN$1850,1160),{"利用可","両方停止","運転がそろわない","判定不能"},0),"○","停","×","－"),"")</f>
        <v>×</v>
      </c>
      <c r="BI52" s="35" t="str">
        <f aca="false">IFERROR(CHOOSE(MATCH(INDEX(時間ごとの判定!$AN$3:$AN$1850,1161),{"利用可","両方停止","運転がそろわない","判定不能"},0),"○","停","×","－"),"")</f>
        <v>×</v>
      </c>
      <c r="BJ52" s="35" t="str">
        <f aca="false">IFERROR(CHOOSE(MATCH(INDEX(時間ごとの判定!$AN$3:$AN$1850,1162),{"利用可","両方停止","運転がそろわない","判定不能"},0),"○","停","×","－"),"")</f>
        <v>×</v>
      </c>
      <c r="BK52" s="35" t="str">
        <f aca="false">IFERROR(CHOOSE(MATCH(INDEX(時間ごとの判定!$AN$3:$AN$1850,1163),{"利用可","両方停止","運転がそろわない","判定不能"},0),"○","停","×","－"),"")</f>
        <v>○</v>
      </c>
      <c r="BL52" s="35" t="str">
        <f aca="false">IFERROR(CHOOSE(MATCH(INDEX(時間ごとの判定!$AN$3:$AN$1850,1164),{"利用可","両方停止","運転がそろわない","判定不能"},0),"○","停","×","－"),"")</f>
        <v>○</v>
      </c>
      <c r="BM52" s="35" t="str">
        <f aca="false">IFERROR(CHOOSE(MATCH(INDEX(時間ごとの判定!$AN$3:$AN$1850,1165),{"利用可","両方停止","運転がそろわない","判定不能"},0),"○","停","×","－"),"")</f>
        <v>○</v>
      </c>
      <c r="BN52" s="35" t="str">
        <f aca="false">IFERROR(CHOOSE(MATCH(INDEX(時間ごとの判定!$AN$3:$AN$1850,1166),{"利用可","両方停止","運転がそろわない","判定不能"},0),"○","停","×","－"),"")</f>
        <v>○</v>
      </c>
      <c r="BO52" s="35" t="str">
        <f aca="false">IFERROR(CHOOSE(MATCH(INDEX(時間ごとの判定!$AN$3:$AN$1850,1167),{"利用可","両方停止","運転がそろわない","判定不能"},0),"○","停","×","－"),"")</f>
        <v>×</v>
      </c>
      <c r="BP52" s="35" t="str">
        <f aca="false">IFERROR(CHOOSE(MATCH(INDEX(時間ごとの判定!$AN$3:$AN$1850,1168),{"利用可","両方停止","運転がそろわない","判定不能"},0),"○","停","×","－"),"")</f>
        <v>○</v>
      </c>
      <c r="BQ52" s="35" t="str">
        <f aca="false">IFERROR(CHOOSE(MATCH(INDEX(時間ごとの判定!$AN$3:$AN$1850,1169),{"利用可","両方停止","運転がそろわない","判定不能"},0),"○","停","×","－"),"")</f>
        <v>○</v>
      </c>
      <c r="BR52" s="35" t="str">
        <f aca="false">IFERROR(CHOOSE(MATCH(INDEX(時間ごとの判定!$AN$3:$AN$1850,1170),{"利用可","両方停止","運転がそろわない","判定不能"},0),"○","停","×","－"),"")</f>
        <v>○</v>
      </c>
      <c r="BS52" s="35" t="str">
        <f aca="false">IFERROR(CHOOSE(MATCH(INDEX(時間ごとの判定!$AN$3:$AN$1850,1171),{"利用可","両方停止","運転がそろわない","判定不能"},0),"○","停","×","－"),"")</f>
        <v>×</v>
      </c>
      <c r="BT52" s="35" t="str">
        <f aca="false">IFERROR(CHOOSE(MATCH(INDEX(時間ごとの判定!$AN$3:$AN$1850,1172),{"利用可","両方停止","運転がそろわない","判定不能"},0),"○","停","×","－"),"")</f>
        <v>○</v>
      </c>
      <c r="BU52" s="35" t="str">
        <f aca="false">IFERROR(CHOOSE(MATCH(INDEX(時間ごとの判定!$AN$3:$AN$1850,1173),{"利用可","両方停止","運転がそろわない","判定不能"},0),"○","停","×","－"),"")</f>
        <v>○</v>
      </c>
      <c r="BV52" s="35" t="str">
        <f aca="false">IFERROR(CHOOSE(MATCH(INDEX(時間ごとの判定!$AN$3:$AN$1850,1174),{"利用可","両方停止","運転がそろわない","判定不能"},0),"○","停","×","－"),"")</f>
        <v>停</v>
      </c>
      <c r="BW52" s="35" t="str">
        <f aca="false">IFERROR(CHOOSE(MATCH(INDEX(時間ごとの判定!$AN$3:$AN$1850,1175),{"利用可","両方停止","運転がそろわない","判定不能"},0),"○","停","×","－"),"")</f>
        <v>停</v>
      </c>
      <c r="BX52" s="35" t="str">
        <f aca="false">IFERROR(CHOOSE(MATCH(INDEX(時間ごとの判定!$AN$3:$AN$1850,1176),{"利用可","両方停止","運転がそろわない","判定不能"},0),"○","停","×","－"),"")</f>
        <v>停</v>
      </c>
    </row>
    <row r="53" customFormat="false" ht="15" hidden="false" customHeight="false" outlineLevel="0" collapsed="false">
      <c r="A53" s="33" t="n">
        <v>46281</v>
      </c>
      <c r="B53" s="34" t="s">
        <v>58</v>
      </c>
      <c r="C53" s="35" t="str">
        <f aca="false">IFERROR(CHOOSE(MATCH(INDEX(時間ごとの判定!$AH$3:$AH$1850,1177),{"利用可","両方停止","運転がそろわない","判定不能"},0),"○","停","×","－"),"")</f>
        <v>停</v>
      </c>
      <c r="D53" s="35" t="str">
        <f aca="false">IFERROR(CHOOSE(MATCH(INDEX(時間ごとの判定!$AH$3:$AH$1850,1178),{"利用可","両方停止","運転がそろわない","判定不能"},0),"○","停","×","－"),"")</f>
        <v>停</v>
      </c>
      <c r="E53" s="35" t="str">
        <f aca="false">IFERROR(CHOOSE(MATCH(INDEX(時間ごとの判定!$AH$3:$AH$1850,1179),{"利用可","両方停止","運転がそろわない","判定不能"},0),"○","停","×","－"),"")</f>
        <v>停</v>
      </c>
      <c r="F53" s="35" t="str">
        <f aca="false">IFERROR(CHOOSE(MATCH(INDEX(時間ごとの判定!$AH$3:$AH$1850,1180),{"利用可","両方停止","運転がそろわない","判定不能"},0),"○","停","×","－"),"")</f>
        <v>停</v>
      </c>
      <c r="G53" s="35" t="str">
        <f aca="false">IFERROR(CHOOSE(MATCH(INDEX(時間ごとの判定!$AH$3:$AH$1850,1181),{"利用可","両方停止","運転がそろわない","判定不能"},0),"○","停","×","－"),"")</f>
        <v>停</v>
      </c>
      <c r="H53" s="35" t="str">
        <f aca="false">IFERROR(CHOOSE(MATCH(INDEX(時間ごとの判定!$AH$3:$AH$1850,1182),{"利用可","両方停止","運転がそろわない","判定不能"},0),"○","停","×","－"),"")</f>
        <v>停</v>
      </c>
      <c r="I53" s="35" t="str">
        <f aca="false">IFERROR(CHOOSE(MATCH(INDEX(時間ごとの判定!$AH$3:$AH$1850,1183),{"利用可","両方停止","運転がそろわない","判定不能"},0),"○","停","×","－"),"")</f>
        <v>停</v>
      </c>
      <c r="J53" s="35" t="str">
        <f aca="false">IFERROR(CHOOSE(MATCH(INDEX(時間ごとの判定!$AH$3:$AH$1850,1184),{"利用可","両方停止","運転がそろわない","判定不能"},0),"○","停","×","－"),"")</f>
        <v>停</v>
      </c>
      <c r="K53" s="35" t="str">
        <f aca="false">IFERROR(CHOOSE(MATCH(INDEX(時間ごとの判定!$AH$3:$AH$1850,1185),{"利用可","両方停止","運転がそろわない","判定不能"},0),"○","停","×","－"),"")</f>
        <v>×</v>
      </c>
      <c r="L53" s="35" t="str">
        <f aca="false">IFERROR(CHOOSE(MATCH(INDEX(時間ごとの判定!$AH$3:$AH$1850,1186),{"利用可","両方停止","運転がそろわない","判定不能"},0),"○","停","×","－"),"")</f>
        <v>×</v>
      </c>
      <c r="M53" s="35" t="str">
        <f aca="false">IFERROR(CHOOSE(MATCH(INDEX(時間ごとの判定!$AH$3:$AH$1850,1187),{"利用可","両方停止","運転がそろわない","判定不能"},0),"○","停","×","－"),"")</f>
        <v>停</v>
      </c>
      <c r="N53" s="35" t="str">
        <f aca="false">IFERROR(CHOOSE(MATCH(INDEX(時間ごとの判定!$AH$3:$AH$1850,1188),{"利用可","両方停止","運転がそろわない","判定不能"},0),"○","停","×","－"),"")</f>
        <v>停</v>
      </c>
      <c r="O53" s="35" t="str">
        <f aca="false">IFERROR(CHOOSE(MATCH(INDEX(時間ごとの判定!$AH$3:$AH$1850,1189),{"利用可","両方停止","運転がそろわない","判定不能"},0),"○","停","×","－"),"")</f>
        <v>停</v>
      </c>
      <c r="P53" s="35" t="str">
        <f aca="false">IFERROR(CHOOSE(MATCH(INDEX(時間ごとの判定!$AH$3:$AH$1850,1190),{"利用可","両方停止","運転がそろわない","判定不能"},0),"○","停","×","－"),"")</f>
        <v>×</v>
      </c>
      <c r="Q53" s="35" t="str">
        <f aca="false">IFERROR(CHOOSE(MATCH(INDEX(時間ごとの判定!$AH$3:$AH$1850,1191),{"利用可","両方停止","運転がそろわない","判定不能"},0),"○","停","×","－"),"")</f>
        <v>停</v>
      </c>
      <c r="R53" s="35" t="str">
        <f aca="false">IFERROR(CHOOSE(MATCH(INDEX(時間ごとの判定!$AH$3:$AH$1850,1192),{"利用可","両方停止","運転がそろわない","判定不能"},0),"○","停","×","－"),"")</f>
        <v>×</v>
      </c>
      <c r="S53" s="35" t="str">
        <f aca="false">IFERROR(CHOOSE(MATCH(INDEX(時間ごとの判定!$AH$3:$AH$1850,1193),{"利用可","両方停止","運転がそろわない","判定不能"},0),"○","停","×","－"),"")</f>
        <v>停</v>
      </c>
      <c r="T53" s="35" t="str">
        <f aca="false">IFERROR(CHOOSE(MATCH(INDEX(時間ごとの判定!$AH$3:$AH$1850,1194),{"利用可","両方停止","運転がそろわない","判定不能"},0),"○","停","×","－"),"")</f>
        <v>×</v>
      </c>
      <c r="U53" s="35" t="str">
        <f aca="false">IFERROR(CHOOSE(MATCH(INDEX(時間ごとの判定!$AH$3:$AH$1850,1195),{"利用可","両方停止","運転がそろわない","判定不能"},0),"○","停","×","－"),"")</f>
        <v>×</v>
      </c>
      <c r="V53" s="35" t="str">
        <f aca="false">IFERROR(CHOOSE(MATCH(INDEX(時間ごとの判定!$AH$3:$AH$1850,1196),{"利用可","両方停止","運転がそろわない","判定不能"},0),"○","停","×","－"),"")</f>
        <v>停</v>
      </c>
      <c r="W53" s="35" t="str">
        <f aca="false">IFERROR(CHOOSE(MATCH(INDEX(時間ごとの判定!$AH$3:$AH$1850,1197),{"利用可","両方停止","運転がそろわない","判定不能"},0),"○","停","×","－"),"")</f>
        <v>停</v>
      </c>
      <c r="X53" s="35" t="str">
        <f aca="false">IFERROR(CHOOSE(MATCH(INDEX(時間ごとの判定!$AH$3:$AH$1850,1198),{"利用可","両方停止","運転がそろわない","判定不能"},0),"○","停","×","－"),"")</f>
        <v>停</v>
      </c>
      <c r="Y53" s="35" t="str">
        <f aca="false">IFERROR(CHOOSE(MATCH(INDEX(時間ごとの判定!$AH$3:$AH$1850,1199),{"利用可","両方停止","運転がそろわない","判定不能"},0),"○","停","×","－"),"")</f>
        <v>停</v>
      </c>
      <c r="Z53" s="35" t="str">
        <f aca="false">IFERROR(CHOOSE(MATCH(INDEX(時間ごとの判定!$AH$3:$AH$1850,1200),{"利用可","両方停止","運転がそろわない","判定不能"},0),"○","停","×","－"),"")</f>
        <v>停</v>
      </c>
      <c r="AA53" s="35"/>
      <c r="AB53" s="35" t="str">
        <f aca="false">IFERROR(CHOOSE(MATCH(INDEX(時間ごとの判定!$AK$3:$AK$1850,1177),{"利用可","両方停止","運転がそろわない","判定不能"},0),"○","停","×","－"),"")</f>
        <v>－</v>
      </c>
      <c r="AC53" s="35" t="str">
        <f aca="false">IFERROR(CHOOSE(MATCH(INDEX(時間ごとの判定!$AK$3:$AK$1850,1178),{"利用可","両方停止","運転がそろわない","判定不能"},0),"○","停","×","－"),"")</f>
        <v>－</v>
      </c>
      <c r="AD53" s="35" t="str">
        <f aca="false">IFERROR(CHOOSE(MATCH(INDEX(時間ごとの判定!$AK$3:$AK$1850,1179),{"利用可","両方停止","運転がそろわない","判定不能"},0),"○","停","×","－"),"")</f>
        <v>－</v>
      </c>
      <c r="AE53" s="35" t="str">
        <f aca="false">IFERROR(CHOOSE(MATCH(INDEX(時間ごとの判定!$AK$3:$AK$1850,1180),{"利用可","両方停止","運転がそろわない","判定不能"},0),"○","停","×","－"),"")</f>
        <v>－</v>
      </c>
      <c r="AF53" s="35" t="str">
        <f aca="false">IFERROR(CHOOSE(MATCH(INDEX(時間ごとの判定!$AK$3:$AK$1850,1181),{"利用可","両方停止","運転がそろわない","判定不能"},0),"○","停","×","－"),"")</f>
        <v>－</v>
      </c>
      <c r="AG53" s="35" t="str">
        <f aca="false">IFERROR(CHOOSE(MATCH(INDEX(時間ごとの判定!$AK$3:$AK$1850,1182),{"利用可","両方停止","運転がそろわない","判定不能"},0),"○","停","×","－"),"")</f>
        <v>－</v>
      </c>
      <c r="AH53" s="35" t="str">
        <f aca="false">IFERROR(CHOOSE(MATCH(INDEX(時間ごとの判定!$AK$3:$AK$1850,1183),{"利用可","両方停止","運転がそろわない","判定不能"},0),"○","停","×","－"),"")</f>
        <v>－</v>
      </c>
      <c r="AI53" s="35" t="str">
        <f aca="false">IFERROR(CHOOSE(MATCH(INDEX(時間ごとの判定!$AK$3:$AK$1850,1184),{"利用可","両方停止","運転がそろわない","判定不能"},0),"○","停","×","－"),"")</f>
        <v>－</v>
      </c>
      <c r="AJ53" s="35" t="str">
        <f aca="false">IFERROR(CHOOSE(MATCH(INDEX(時間ごとの判定!$AK$3:$AK$1850,1185),{"利用可","両方停止","運転がそろわない","判定不能"},0),"○","停","×","－"),"")</f>
        <v>－</v>
      </c>
      <c r="AK53" s="35" t="str">
        <f aca="false">IFERROR(CHOOSE(MATCH(INDEX(時間ごとの判定!$AK$3:$AK$1850,1186),{"利用可","両方停止","運転がそろわない","判定不能"},0),"○","停","×","－"),"")</f>
        <v>－</v>
      </c>
      <c r="AL53" s="35" t="str">
        <f aca="false">IFERROR(CHOOSE(MATCH(INDEX(時間ごとの判定!$AK$3:$AK$1850,1187),{"利用可","両方停止","運転がそろわない","判定不能"},0),"○","停","×","－"),"")</f>
        <v>－</v>
      </c>
      <c r="AM53" s="35" t="str">
        <f aca="false">IFERROR(CHOOSE(MATCH(INDEX(時間ごとの判定!$AK$3:$AK$1850,1188),{"利用可","両方停止","運転がそろわない","判定不能"},0),"○","停","×","－"),"")</f>
        <v>－</v>
      </c>
      <c r="AN53" s="35" t="str">
        <f aca="false">IFERROR(CHOOSE(MATCH(INDEX(時間ごとの判定!$AK$3:$AK$1850,1189),{"利用可","両方停止","運転がそろわない","判定不能"},0),"○","停","×","－"),"")</f>
        <v>－</v>
      </c>
      <c r="AO53" s="35" t="str">
        <f aca="false">IFERROR(CHOOSE(MATCH(INDEX(時間ごとの判定!$AK$3:$AK$1850,1190),{"利用可","両方停止","運転がそろわない","判定不能"},0),"○","停","×","－"),"")</f>
        <v>－</v>
      </c>
      <c r="AP53" s="35" t="str">
        <f aca="false">IFERROR(CHOOSE(MATCH(INDEX(時間ごとの判定!$AK$3:$AK$1850,1191),{"利用可","両方停止","運転がそろわない","判定不能"},0),"○","停","×","－"),"")</f>
        <v>－</v>
      </c>
      <c r="AQ53" s="35" t="str">
        <f aca="false">IFERROR(CHOOSE(MATCH(INDEX(時間ごとの判定!$AK$3:$AK$1850,1192),{"利用可","両方停止","運転がそろわない","判定不能"},0),"○","停","×","－"),"")</f>
        <v>－</v>
      </c>
      <c r="AR53" s="35" t="str">
        <f aca="false">IFERROR(CHOOSE(MATCH(INDEX(時間ごとの判定!$AK$3:$AK$1850,1193),{"利用可","両方停止","運転がそろわない","判定不能"},0),"○","停","×","－"),"")</f>
        <v>－</v>
      </c>
      <c r="AS53" s="35" t="str">
        <f aca="false">IFERROR(CHOOSE(MATCH(INDEX(時間ごとの判定!$AK$3:$AK$1850,1194),{"利用可","両方停止","運転がそろわない","判定不能"},0),"○","停","×","－"),"")</f>
        <v>－</v>
      </c>
      <c r="AT53" s="35" t="str">
        <f aca="false">IFERROR(CHOOSE(MATCH(INDEX(時間ごとの判定!$AK$3:$AK$1850,1195),{"利用可","両方停止","運転がそろわない","判定不能"},0),"○","停","×","－"),"")</f>
        <v>－</v>
      </c>
      <c r="AU53" s="35" t="str">
        <f aca="false">IFERROR(CHOOSE(MATCH(INDEX(時間ごとの判定!$AK$3:$AK$1850,1196),{"利用可","両方停止","運転がそろわない","判定不能"},0),"○","停","×","－"),"")</f>
        <v>－</v>
      </c>
      <c r="AV53" s="35" t="str">
        <f aca="false">IFERROR(CHOOSE(MATCH(INDEX(時間ごとの判定!$AK$3:$AK$1850,1197),{"利用可","両方停止","運転がそろわない","判定不能"},0),"○","停","×","－"),"")</f>
        <v>－</v>
      </c>
      <c r="AW53" s="35" t="str">
        <f aca="false">IFERROR(CHOOSE(MATCH(INDEX(時間ごとの判定!$AK$3:$AK$1850,1198),{"利用可","両方停止","運転がそろわない","判定不能"},0),"○","停","×","－"),"")</f>
        <v>－</v>
      </c>
      <c r="AX53" s="35" t="str">
        <f aca="false">IFERROR(CHOOSE(MATCH(INDEX(時間ごとの判定!$AK$3:$AK$1850,1199),{"利用可","両方停止","運転がそろわない","判定不能"},0),"○","停","×","－"),"")</f>
        <v>－</v>
      </c>
      <c r="AY53" s="35" t="str">
        <f aca="false">IFERROR(CHOOSE(MATCH(INDEX(時間ごとの判定!$AK$3:$AK$1850,1200),{"利用可","両方停止","運転がそろわない","判定不能"},0),"○","停","×","－"),"")</f>
        <v>－</v>
      </c>
      <c r="AZ53" s="35"/>
      <c r="BA53" s="35" t="str">
        <f aca="false">IFERROR(CHOOSE(MATCH(INDEX(時間ごとの判定!$AN$3:$AN$1850,1177),{"利用可","両方停止","運転がそろわない","判定不能"},0),"○","停","×","－"),"")</f>
        <v>停</v>
      </c>
      <c r="BB53" s="35" t="str">
        <f aca="false">IFERROR(CHOOSE(MATCH(INDEX(時間ごとの判定!$AN$3:$AN$1850,1178),{"利用可","両方停止","運転がそろわない","判定不能"},0),"○","停","×","－"),"")</f>
        <v>停</v>
      </c>
      <c r="BC53" s="35" t="str">
        <f aca="false">IFERROR(CHOOSE(MATCH(INDEX(時間ごとの判定!$AN$3:$AN$1850,1179),{"利用可","両方停止","運転がそろわない","判定不能"},0),"○","停","×","－"),"")</f>
        <v>停</v>
      </c>
      <c r="BD53" s="35" t="str">
        <f aca="false">IFERROR(CHOOSE(MATCH(INDEX(時間ごとの判定!$AN$3:$AN$1850,1180),{"利用可","両方停止","運転がそろわない","判定不能"},0),"○","停","×","－"),"")</f>
        <v>停</v>
      </c>
      <c r="BE53" s="35" t="str">
        <f aca="false">IFERROR(CHOOSE(MATCH(INDEX(時間ごとの判定!$AN$3:$AN$1850,1181),{"利用可","両方停止","運転がそろわない","判定不能"},0),"○","停","×","－"),"")</f>
        <v>停</v>
      </c>
      <c r="BF53" s="35" t="str">
        <f aca="false">IFERROR(CHOOSE(MATCH(INDEX(時間ごとの判定!$AN$3:$AN$1850,1182),{"利用可","両方停止","運転がそろわない","判定不能"},0),"○","停","×","－"),"")</f>
        <v>停</v>
      </c>
      <c r="BG53" s="35" t="str">
        <f aca="false">IFERROR(CHOOSE(MATCH(INDEX(時間ごとの判定!$AN$3:$AN$1850,1183),{"利用可","両方停止","運転がそろわない","判定不能"},0),"○","停","×","－"),"")</f>
        <v>停</v>
      </c>
      <c r="BH53" s="35" t="str">
        <f aca="false">IFERROR(CHOOSE(MATCH(INDEX(時間ごとの判定!$AN$3:$AN$1850,1184),{"利用可","両方停止","運転がそろわない","判定不能"},0),"○","停","×","－"),"")</f>
        <v>停</v>
      </c>
      <c r="BI53" s="35" t="str">
        <f aca="false">IFERROR(CHOOSE(MATCH(INDEX(時間ごとの判定!$AN$3:$AN$1850,1185),{"利用可","両方停止","運転がそろわない","判定不能"},0),"○","停","×","－"),"")</f>
        <v>×</v>
      </c>
      <c r="BJ53" s="35" t="str">
        <f aca="false">IFERROR(CHOOSE(MATCH(INDEX(時間ごとの判定!$AN$3:$AN$1850,1186),{"利用可","両方停止","運転がそろわない","判定不能"},0),"○","停","×","－"),"")</f>
        <v>×</v>
      </c>
      <c r="BK53" s="35" t="str">
        <f aca="false">IFERROR(CHOOSE(MATCH(INDEX(時間ごとの判定!$AN$3:$AN$1850,1187),{"利用可","両方停止","運転がそろわない","判定不能"},0),"○","停","×","－"),"")</f>
        <v>×</v>
      </c>
      <c r="BL53" s="35" t="str">
        <f aca="false">IFERROR(CHOOSE(MATCH(INDEX(時間ごとの判定!$AN$3:$AN$1850,1188),{"利用可","両方停止","運転がそろわない","判定不能"},0),"○","停","×","－"),"")</f>
        <v>×</v>
      </c>
      <c r="BM53" s="35" t="str">
        <f aca="false">IFERROR(CHOOSE(MATCH(INDEX(時間ごとの判定!$AN$3:$AN$1850,1189),{"利用可","両方停止","運転がそろわない","判定不能"},0),"○","停","×","－"),"")</f>
        <v>×</v>
      </c>
      <c r="BN53" s="35" t="str">
        <f aca="false">IFERROR(CHOOSE(MATCH(INDEX(時間ごとの判定!$AN$3:$AN$1850,1190),{"利用可","両方停止","運転がそろわない","判定不能"},0),"○","停","×","－"),"")</f>
        <v>×</v>
      </c>
      <c r="BO53" s="35" t="str">
        <f aca="false">IFERROR(CHOOSE(MATCH(INDEX(時間ごとの判定!$AN$3:$AN$1850,1191),{"利用可","両方停止","運転がそろわない","判定不能"},0),"○","停","×","－"),"")</f>
        <v>×</v>
      </c>
      <c r="BP53" s="35" t="str">
        <f aca="false">IFERROR(CHOOSE(MATCH(INDEX(時間ごとの判定!$AN$3:$AN$1850,1192),{"利用可","両方停止","運転がそろわない","判定不能"},0),"○","停","×","－"),"")</f>
        <v>×</v>
      </c>
      <c r="BQ53" s="35" t="str">
        <f aca="false">IFERROR(CHOOSE(MATCH(INDEX(時間ごとの判定!$AN$3:$AN$1850,1193),{"利用可","両方停止","運転がそろわない","判定不能"},0),"○","停","×","－"),"")</f>
        <v>×</v>
      </c>
      <c r="BR53" s="35" t="str">
        <f aca="false">IFERROR(CHOOSE(MATCH(INDEX(時間ごとの判定!$AN$3:$AN$1850,1194),{"利用可","両方停止","運転がそろわない","判定不能"},0),"○","停","×","－"),"")</f>
        <v>×</v>
      </c>
      <c r="BS53" s="35" t="str">
        <f aca="false">IFERROR(CHOOSE(MATCH(INDEX(時間ごとの判定!$AN$3:$AN$1850,1195),{"利用可","両方停止","運転がそろわない","判定不能"},0),"○","停","×","－"),"")</f>
        <v>停</v>
      </c>
      <c r="BT53" s="35" t="str">
        <f aca="false">IFERROR(CHOOSE(MATCH(INDEX(時間ごとの判定!$AN$3:$AN$1850,1196),{"利用可","両方停止","運転がそろわない","判定不能"},0),"○","停","×","－"),"")</f>
        <v>停</v>
      </c>
      <c r="BU53" s="35" t="str">
        <f aca="false">IFERROR(CHOOSE(MATCH(INDEX(時間ごとの判定!$AN$3:$AN$1850,1197),{"利用可","両方停止","運転がそろわない","判定不能"},0),"○","停","×","－"),"")</f>
        <v>停</v>
      </c>
      <c r="BV53" s="35" t="str">
        <f aca="false">IFERROR(CHOOSE(MATCH(INDEX(時間ごとの判定!$AN$3:$AN$1850,1198),{"利用可","両方停止","運転がそろわない","判定不能"},0),"○","停","×","－"),"")</f>
        <v>停</v>
      </c>
      <c r="BW53" s="35" t="str">
        <f aca="false">IFERROR(CHOOSE(MATCH(INDEX(時間ごとの判定!$AN$3:$AN$1850,1199),{"利用可","両方停止","運転がそろわない","判定不能"},0),"○","停","×","－"),"")</f>
        <v>停</v>
      </c>
      <c r="BX53" s="35" t="str">
        <f aca="false">IFERROR(CHOOSE(MATCH(INDEX(時間ごとの判定!$AN$3:$AN$1850,1200),{"利用可","両方停止","運転がそろわない","判定不能"},0),"○","停","×","－"),"")</f>
        <v>停</v>
      </c>
    </row>
    <row r="54" customFormat="false" ht="15" hidden="false" customHeight="false" outlineLevel="0" collapsed="false">
      <c r="A54" s="33" t="n">
        <v>46282</v>
      </c>
      <c r="B54" s="34" t="s">
        <v>61</v>
      </c>
      <c r="C54" s="35" t="str">
        <f aca="false">IFERROR(CHOOSE(MATCH(INDEX(時間ごとの判定!$AH$3:$AH$1850,1201),{"利用可","両方停止","運転がそろわない","判定不能"},0),"○","停","×","－"),"")</f>
        <v>停</v>
      </c>
      <c r="D54" s="35" t="str">
        <f aca="false">IFERROR(CHOOSE(MATCH(INDEX(時間ごとの判定!$AH$3:$AH$1850,1202),{"利用可","両方停止","運転がそろわない","判定不能"},0),"○","停","×","－"),"")</f>
        <v>停</v>
      </c>
      <c r="E54" s="35" t="str">
        <f aca="false">IFERROR(CHOOSE(MATCH(INDEX(時間ごとの判定!$AH$3:$AH$1850,1203),{"利用可","両方停止","運転がそろわない","判定不能"},0),"○","停","×","－"),"")</f>
        <v>停</v>
      </c>
      <c r="F54" s="35" t="str">
        <f aca="false">IFERROR(CHOOSE(MATCH(INDEX(時間ごとの判定!$AH$3:$AH$1850,1204),{"利用可","両方停止","運転がそろわない","判定不能"},0),"○","停","×","－"),"")</f>
        <v>停</v>
      </c>
      <c r="G54" s="35" t="str">
        <f aca="false">IFERROR(CHOOSE(MATCH(INDEX(時間ごとの判定!$AH$3:$AH$1850,1205),{"利用可","両方停止","運転がそろわない","判定不能"},0),"○","停","×","－"),"")</f>
        <v>停</v>
      </c>
      <c r="H54" s="35" t="str">
        <f aca="false">IFERROR(CHOOSE(MATCH(INDEX(時間ごとの判定!$AH$3:$AH$1850,1206),{"利用可","両方停止","運転がそろわない","判定不能"},0),"○","停","×","－"),"")</f>
        <v>停</v>
      </c>
      <c r="I54" s="35" t="str">
        <f aca="false">IFERROR(CHOOSE(MATCH(INDEX(時間ごとの判定!$AH$3:$AH$1850,1207),{"利用可","両方停止","運転がそろわない","判定不能"},0),"○","停","×","－"),"")</f>
        <v>停</v>
      </c>
      <c r="J54" s="35" t="str">
        <f aca="false">IFERROR(CHOOSE(MATCH(INDEX(時間ごとの判定!$AH$3:$AH$1850,1208),{"利用可","両方停止","運転がそろわない","判定不能"},0),"○","停","×","－"),"")</f>
        <v>停</v>
      </c>
      <c r="K54" s="35" t="str">
        <f aca="false">IFERROR(CHOOSE(MATCH(INDEX(時間ごとの判定!$AH$3:$AH$1850,1209),{"利用可","両方停止","運転がそろわない","判定不能"},0),"○","停","×","－"),"")</f>
        <v>停</v>
      </c>
      <c r="L54" s="35" t="str">
        <f aca="false">IFERROR(CHOOSE(MATCH(INDEX(時間ごとの判定!$AH$3:$AH$1850,1210),{"利用可","両方停止","運転がそろわない","判定不能"},0),"○","停","×","－"),"")</f>
        <v>×</v>
      </c>
      <c r="M54" s="35" t="str">
        <f aca="false">IFERROR(CHOOSE(MATCH(INDEX(時間ごとの判定!$AH$3:$AH$1850,1211),{"利用可","両方停止","運転がそろわない","判定不能"},0),"○","停","×","－"),"")</f>
        <v>×</v>
      </c>
      <c r="N54" s="35" t="str">
        <f aca="false">IFERROR(CHOOSE(MATCH(INDEX(時間ごとの判定!$AH$3:$AH$1850,1212),{"利用可","両方停止","運転がそろわない","判定不能"},0),"○","停","×","－"),"")</f>
        <v>○</v>
      </c>
      <c r="O54" s="35" t="str">
        <f aca="false">IFERROR(CHOOSE(MATCH(INDEX(時間ごとの判定!$AH$3:$AH$1850,1213),{"利用可","両方停止","運転がそろわない","判定不能"},0),"○","停","×","－"),"")</f>
        <v>○</v>
      </c>
      <c r="P54" s="35" t="str">
        <f aca="false">IFERROR(CHOOSE(MATCH(INDEX(時間ごとの判定!$AH$3:$AH$1850,1214),{"利用可","両方停止","運転がそろわない","判定不能"},0),"○","停","×","－"),"")</f>
        <v>○</v>
      </c>
      <c r="Q54" s="35" t="str">
        <f aca="false">IFERROR(CHOOSE(MATCH(INDEX(時間ごとの判定!$AH$3:$AH$1850,1215),{"利用可","両方停止","運転がそろわない","判定不能"},0),"○","停","×","－"),"")</f>
        <v>○</v>
      </c>
      <c r="R54" s="35" t="str">
        <f aca="false">IFERROR(CHOOSE(MATCH(INDEX(時間ごとの判定!$AH$3:$AH$1850,1216),{"利用可","両方停止","運転がそろわない","判定不能"},0),"○","停","×","－"),"")</f>
        <v>○</v>
      </c>
      <c r="S54" s="35" t="str">
        <f aca="false">IFERROR(CHOOSE(MATCH(INDEX(時間ごとの判定!$AH$3:$AH$1850,1217),{"利用可","両方停止","運転がそろわない","判定不能"},0),"○","停","×","－"),"")</f>
        <v>×</v>
      </c>
      <c r="T54" s="35" t="str">
        <f aca="false">IFERROR(CHOOSE(MATCH(INDEX(時間ごとの判定!$AH$3:$AH$1850,1218),{"利用可","両方停止","運転がそろわない","判定不能"},0),"○","停","×","－"),"")</f>
        <v>○</v>
      </c>
      <c r="U54" s="35" t="str">
        <f aca="false">IFERROR(CHOOSE(MATCH(INDEX(時間ごとの判定!$AH$3:$AH$1850,1219),{"利用可","両方停止","運転がそろわない","判定不能"},0),"○","停","×","－"),"")</f>
        <v>停</v>
      </c>
      <c r="V54" s="35" t="str">
        <f aca="false">IFERROR(CHOOSE(MATCH(INDEX(時間ごとの判定!$AH$3:$AH$1850,1220),{"利用可","両方停止","運転がそろわない","判定不能"},0),"○","停","×","－"),"")</f>
        <v>停</v>
      </c>
      <c r="W54" s="35" t="str">
        <f aca="false">IFERROR(CHOOSE(MATCH(INDEX(時間ごとの判定!$AH$3:$AH$1850,1221),{"利用可","両方停止","運転がそろわない","判定不能"},0),"○","停","×","－"),"")</f>
        <v>停</v>
      </c>
      <c r="X54" s="35" t="str">
        <f aca="false">IFERROR(CHOOSE(MATCH(INDEX(時間ごとの判定!$AH$3:$AH$1850,1222),{"利用可","両方停止","運転がそろわない","判定不能"},0),"○","停","×","－"),"")</f>
        <v>停</v>
      </c>
      <c r="Y54" s="35" t="str">
        <f aca="false">IFERROR(CHOOSE(MATCH(INDEX(時間ごとの判定!$AH$3:$AH$1850,1223),{"利用可","両方停止","運転がそろわない","判定不能"},0),"○","停","×","－"),"")</f>
        <v>停</v>
      </c>
      <c r="Z54" s="35" t="str">
        <f aca="false">IFERROR(CHOOSE(MATCH(INDEX(時間ごとの判定!$AH$3:$AH$1850,1224),{"利用可","両方停止","運転がそろわない","判定不能"},0),"○","停","×","－"),"")</f>
        <v>停</v>
      </c>
      <c r="AA54" s="35"/>
      <c r="AB54" s="35" t="str">
        <f aca="false">IFERROR(CHOOSE(MATCH(INDEX(時間ごとの判定!$AK$3:$AK$1850,1201),{"利用可","両方停止","運転がそろわない","判定不能"},0),"○","停","×","－"),"")</f>
        <v>－</v>
      </c>
      <c r="AC54" s="35" t="str">
        <f aca="false">IFERROR(CHOOSE(MATCH(INDEX(時間ごとの判定!$AK$3:$AK$1850,1202),{"利用可","両方停止","運転がそろわない","判定不能"},0),"○","停","×","－"),"")</f>
        <v>－</v>
      </c>
      <c r="AD54" s="35" t="str">
        <f aca="false">IFERROR(CHOOSE(MATCH(INDEX(時間ごとの判定!$AK$3:$AK$1850,1203),{"利用可","両方停止","運転がそろわない","判定不能"},0),"○","停","×","－"),"")</f>
        <v>－</v>
      </c>
      <c r="AE54" s="35" t="str">
        <f aca="false">IFERROR(CHOOSE(MATCH(INDEX(時間ごとの判定!$AK$3:$AK$1850,1204),{"利用可","両方停止","運転がそろわない","判定不能"},0),"○","停","×","－"),"")</f>
        <v>－</v>
      </c>
      <c r="AF54" s="35" t="str">
        <f aca="false">IFERROR(CHOOSE(MATCH(INDEX(時間ごとの判定!$AK$3:$AK$1850,1205),{"利用可","両方停止","運転がそろわない","判定不能"},0),"○","停","×","－"),"")</f>
        <v>－</v>
      </c>
      <c r="AG54" s="35" t="str">
        <f aca="false">IFERROR(CHOOSE(MATCH(INDEX(時間ごとの判定!$AK$3:$AK$1850,1206),{"利用可","両方停止","運転がそろわない","判定不能"},0),"○","停","×","－"),"")</f>
        <v>－</v>
      </c>
      <c r="AH54" s="35" t="str">
        <f aca="false">IFERROR(CHOOSE(MATCH(INDEX(時間ごとの判定!$AK$3:$AK$1850,1207),{"利用可","両方停止","運転がそろわない","判定不能"},0),"○","停","×","－"),"")</f>
        <v>－</v>
      </c>
      <c r="AI54" s="35" t="str">
        <f aca="false">IFERROR(CHOOSE(MATCH(INDEX(時間ごとの判定!$AK$3:$AK$1850,1208),{"利用可","両方停止","運転がそろわない","判定不能"},0),"○","停","×","－"),"")</f>
        <v>－</v>
      </c>
      <c r="AJ54" s="35" t="str">
        <f aca="false">IFERROR(CHOOSE(MATCH(INDEX(時間ごとの判定!$AK$3:$AK$1850,1209),{"利用可","両方停止","運転がそろわない","判定不能"},0),"○","停","×","－"),"")</f>
        <v>－</v>
      </c>
      <c r="AK54" s="35" t="str">
        <f aca="false">IFERROR(CHOOSE(MATCH(INDEX(時間ごとの判定!$AK$3:$AK$1850,1210),{"利用可","両方停止","運転がそろわない","判定不能"},0),"○","停","×","－"),"")</f>
        <v>－</v>
      </c>
      <c r="AL54" s="35" t="str">
        <f aca="false">IFERROR(CHOOSE(MATCH(INDEX(時間ごとの判定!$AK$3:$AK$1850,1211),{"利用可","両方停止","運転がそろわない","判定不能"},0),"○","停","×","－"),"")</f>
        <v>－</v>
      </c>
      <c r="AM54" s="35" t="str">
        <f aca="false">IFERROR(CHOOSE(MATCH(INDEX(時間ごとの判定!$AK$3:$AK$1850,1212),{"利用可","両方停止","運転がそろわない","判定不能"},0),"○","停","×","－"),"")</f>
        <v>－</v>
      </c>
      <c r="AN54" s="35" t="str">
        <f aca="false">IFERROR(CHOOSE(MATCH(INDEX(時間ごとの判定!$AK$3:$AK$1850,1213),{"利用可","両方停止","運転がそろわない","判定不能"},0),"○","停","×","－"),"")</f>
        <v>－</v>
      </c>
      <c r="AO54" s="35" t="str">
        <f aca="false">IFERROR(CHOOSE(MATCH(INDEX(時間ごとの判定!$AK$3:$AK$1850,1214),{"利用可","両方停止","運転がそろわない","判定不能"},0),"○","停","×","－"),"")</f>
        <v>－</v>
      </c>
      <c r="AP54" s="35" t="str">
        <f aca="false">IFERROR(CHOOSE(MATCH(INDEX(時間ごとの判定!$AK$3:$AK$1850,1215),{"利用可","両方停止","運転がそろわない","判定不能"},0),"○","停","×","－"),"")</f>
        <v>－</v>
      </c>
      <c r="AQ54" s="35" t="str">
        <f aca="false">IFERROR(CHOOSE(MATCH(INDEX(時間ごとの判定!$AK$3:$AK$1850,1216),{"利用可","両方停止","運転がそろわない","判定不能"},0),"○","停","×","－"),"")</f>
        <v>－</v>
      </c>
      <c r="AR54" s="35" t="str">
        <f aca="false">IFERROR(CHOOSE(MATCH(INDEX(時間ごとの判定!$AK$3:$AK$1850,1217),{"利用可","両方停止","運転がそろわない","判定不能"},0),"○","停","×","－"),"")</f>
        <v>－</v>
      </c>
      <c r="AS54" s="35" t="str">
        <f aca="false">IFERROR(CHOOSE(MATCH(INDEX(時間ごとの判定!$AK$3:$AK$1850,1218),{"利用可","両方停止","運転がそろわない","判定不能"},0),"○","停","×","－"),"")</f>
        <v>－</v>
      </c>
      <c r="AT54" s="35" t="str">
        <f aca="false">IFERROR(CHOOSE(MATCH(INDEX(時間ごとの判定!$AK$3:$AK$1850,1219),{"利用可","両方停止","運転がそろわない","判定不能"},0),"○","停","×","－"),"")</f>
        <v>－</v>
      </c>
      <c r="AU54" s="35" t="str">
        <f aca="false">IFERROR(CHOOSE(MATCH(INDEX(時間ごとの判定!$AK$3:$AK$1850,1220),{"利用可","両方停止","運転がそろわない","判定不能"},0),"○","停","×","－"),"")</f>
        <v>－</v>
      </c>
      <c r="AV54" s="35" t="str">
        <f aca="false">IFERROR(CHOOSE(MATCH(INDEX(時間ごとの判定!$AK$3:$AK$1850,1221),{"利用可","両方停止","運転がそろわない","判定不能"},0),"○","停","×","－"),"")</f>
        <v>－</v>
      </c>
      <c r="AW54" s="35" t="str">
        <f aca="false">IFERROR(CHOOSE(MATCH(INDEX(時間ごとの判定!$AK$3:$AK$1850,1222),{"利用可","両方停止","運転がそろわない","判定不能"},0),"○","停","×","－"),"")</f>
        <v>－</v>
      </c>
      <c r="AX54" s="35" t="str">
        <f aca="false">IFERROR(CHOOSE(MATCH(INDEX(時間ごとの判定!$AK$3:$AK$1850,1223),{"利用可","両方停止","運転がそろわない","判定不能"},0),"○","停","×","－"),"")</f>
        <v>－</v>
      </c>
      <c r="AY54" s="35" t="str">
        <f aca="false">IFERROR(CHOOSE(MATCH(INDEX(時間ごとの判定!$AK$3:$AK$1850,1224),{"利用可","両方停止","運転がそろわない","判定不能"},0),"○","停","×","－"),"")</f>
        <v>－</v>
      </c>
      <c r="AZ54" s="35"/>
      <c r="BA54" s="35" t="str">
        <f aca="false">IFERROR(CHOOSE(MATCH(INDEX(時間ごとの判定!$AN$3:$AN$1850,1201),{"利用可","両方停止","運転がそろわない","判定不能"},0),"○","停","×","－"),"")</f>
        <v>停</v>
      </c>
      <c r="BB54" s="35" t="str">
        <f aca="false">IFERROR(CHOOSE(MATCH(INDEX(時間ごとの判定!$AN$3:$AN$1850,1202),{"利用可","両方停止","運転がそろわない","判定不能"},0),"○","停","×","－"),"")</f>
        <v>停</v>
      </c>
      <c r="BC54" s="35" t="str">
        <f aca="false">IFERROR(CHOOSE(MATCH(INDEX(時間ごとの判定!$AN$3:$AN$1850,1203),{"利用可","両方停止","運転がそろわない","判定不能"},0),"○","停","×","－"),"")</f>
        <v>停</v>
      </c>
      <c r="BD54" s="35" t="str">
        <f aca="false">IFERROR(CHOOSE(MATCH(INDEX(時間ごとの判定!$AN$3:$AN$1850,1204),{"利用可","両方停止","運転がそろわない","判定不能"},0),"○","停","×","－"),"")</f>
        <v>停</v>
      </c>
      <c r="BE54" s="35" t="str">
        <f aca="false">IFERROR(CHOOSE(MATCH(INDEX(時間ごとの判定!$AN$3:$AN$1850,1205),{"利用可","両方停止","運転がそろわない","判定不能"},0),"○","停","×","－"),"")</f>
        <v>停</v>
      </c>
      <c r="BF54" s="35" t="str">
        <f aca="false">IFERROR(CHOOSE(MATCH(INDEX(時間ごとの判定!$AN$3:$AN$1850,1206),{"利用可","両方停止","運転がそろわない","判定不能"},0),"○","停","×","－"),"")</f>
        <v>停</v>
      </c>
      <c r="BG54" s="35" t="str">
        <f aca="false">IFERROR(CHOOSE(MATCH(INDEX(時間ごとの判定!$AN$3:$AN$1850,1207),{"利用可","両方停止","運転がそろわない","判定不能"},0),"○","停","×","－"),"")</f>
        <v>停</v>
      </c>
      <c r="BH54" s="35" t="str">
        <f aca="false">IFERROR(CHOOSE(MATCH(INDEX(時間ごとの判定!$AN$3:$AN$1850,1208),{"利用可","両方停止","運転がそろわない","判定不能"},0),"○","停","×","－"),"")</f>
        <v>停</v>
      </c>
      <c r="BI54" s="35" t="str">
        <f aca="false">IFERROR(CHOOSE(MATCH(INDEX(時間ごとの判定!$AN$3:$AN$1850,1209),{"利用可","両方停止","運転がそろわない","判定不能"},0),"○","停","×","－"),"")</f>
        <v>×</v>
      </c>
      <c r="BJ54" s="35" t="str">
        <f aca="false">IFERROR(CHOOSE(MATCH(INDEX(時間ごとの判定!$AN$3:$AN$1850,1210),{"利用可","両方停止","運転がそろわない","判定不能"},0),"○","停","×","－"),"")</f>
        <v>×</v>
      </c>
      <c r="BK54" s="35" t="str">
        <f aca="false">IFERROR(CHOOSE(MATCH(INDEX(時間ごとの判定!$AN$3:$AN$1850,1211),{"利用可","両方停止","運転がそろわない","判定不能"},0),"○","停","×","－"),"")</f>
        <v>×</v>
      </c>
      <c r="BL54" s="35" t="str">
        <f aca="false">IFERROR(CHOOSE(MATCH(INDEX(時間ごとの判定!$AN$3:$AN$1850,1212),{"利用可","両方停止","運転がそろわない","判定不能"},0),"○","停","×","－"),"")</f>
        <v>○</v>
      </c>
      <c r="BM54" s="35" t="str">
        <f aca="false">IFERROR(CHOOSE(MATCH(INDEX(時間ごとの判定!$AN$3:$AN$1850,1213),{"利用可","両方停止","運転がそろわない","判定不能"},0),"○","停","×","－"),"")</f>
        <v>○</v>
      </c>
      <c r="BN54" s="35" t="str">
        <f aca="false">IFERROR(CHOOSE(MATCH(INDEX(時間ごとの判定!$AN$3:$AN$1850,1214),{"利用可","両方停止","運転がそろわない","判定不能"},0),"○","停","×","－"),"")</f>
        <v>○</v>
      </c>
      <c r="BO54" s="35" t="str">
        <f aca="false">IFERROR(CHOOSE(MATCH(INDEX(時間ごとの判定!$AN$3:$AN$1850,1215),{"利用可","両方停止","運転がそろわない","判定不能"},0),"○","停","×","－"),"")</f>
        <v>○</v>
      </c>
      <c r="BP54" s="35" t="str">
        <f aca="false">IFERROR(CHOOSE(MATCH(INDEX(時間ごとの判定!$AN$3:$AN$1850,1216),{"利用可","両方停止","運転がそろわない","判定不能"},0),"○","停","×","－"),"")</f>
        <v>○</v>
      </c>
      <c r="BQ54" s="35" t="str">
        <f aca="false">IFERROR(CHOOSE(MATCH(INDEX(時間ごとの判定!$AN$3:$AN$1850,1217),{"利用可","両方停止","運転がそろわない","判定不能"},0),"○","停","×","－"),"")</f>
        <v>○</v>
      </c>
      <c r="BR54" s="35" t="str">
        <f aca="false">IFERROR(CHOOSE(MATCH(INDEX(時間ごとの判定!$AN$3:$AN$1850,1218),{"利用可","両方停止","運転がそろわない","判定不能"},0),"○","停","×","－"),"")</f>
        <v>○</v>
      </c>
      <c r="BS54" s="35" t="str">
        <f aca="false">IFERROR(CHOOSE(MATCH(INDEX(時間ごとの判定!$AN$3:$AN$1850,1219),{"利用可","両方停止","運転がそろわない","判定不能"},0),"○","停","×","－"),"")</f>
        <v>×</v>
      </c>
      <c r="BT54" s="35" t="str">
        <f aca="false">IFERROR(CHOOSE(MATCH(INDEX(時間ごとの判定!$AN$3:$AN$1850,1220),{"利用可","両方停止","運転がそろわない","判定不能"},0),"○","停","×","－"),"")</f>
        <v>×</v>
      </c>
      <c r="BU54" s="35" t="str">
        <f aca="false">IFERROR(CHOOSE(MATCH(INDEX(時間ごとの判定!$AN$3:$AN$1850,1221),{"利用可","両方停止","運転がそろわない","判定不能"},0),"○","停","×","－"),"")</f>
        <v>停</v>
      </c>
      <c r="BV54" s="35" t="str">
        <f aca="false">IFERROR(CHOOSE(MATCH(INDEX(時間ごとの判定!$AN$3:$AN$1850,1222),{"利用可","両方停止","運転がそろわない","判定不能"},0),"○","停","×","－"),"")</f>
        <v>停</v>
      </c>
      <c r="BW54" s="35" t="str">
        <f aca="false">IFERROR(CHOOSE(MATCH(INDEX(時間ごとの判定!$AN$3:$AN$1850,1223),{"利用可","両方停止","運転がそろわない","判定不能"},0),"○","停","×","－"),"")</f>
        <v>停</v>
      </c>
      <c r="BX54" s="35" t="str">
        <f aca="false">IFERROR(CHOOSE(MATCH(INDEX(時間ごとの判定!$AN$3:$AN$1850,1224),{"利用可","両方停止","運転がそろわない","判定不能"},0),"○","停","×","－"),"")</f>
        <v>停</v>
      </c>
    </row>
    <row r="55" customFormat="false" ht="15" hidden="false" customHeight="false" outlineLevel="0" collapsed="false">
      <c r="A55" s="33" t="n">
        <v>46283</v>
      </c>
      <c r="B55" s="34" t="s">
        <v>62</v>
      </c>
      <c r="C55" s="35" t="str">
        <f aca="false">IFERROR(CHOOSE(MATCH(INDEX(時間ごとの判定!$AH$3:$AH$1850,1225),{"利用可","両方停止","運転がそろわない","判定不能"},0),"○","停","×","－"),"")</f>
        <v>停</v>
      </c>
      <c r="D55" s="35" t="str">
        <f aca="false">IFERROR(CHOOSE(MATCH(INDEX(時間ごとの判定!$AH$3:$AH$1850,1226),{"利用可","両方停止","運転がそろわない","判定不能"},0),"○","停","×","－"),"")</f>
        <v>停</v>
      </c>
      <c r="E55" s="35" t="str">
        <f aca="false">IFERROR(CHOOSE(MATCH(INDEX(時間ごとの判定!$AH$3:$AH$1850,1227),{"利用可","両方停止","運転がそろわない","判定不能"},0),"○","停","×","－"),"")</f>
        <v>停</v>
      </c>
      <c r="F55" s="35" t="str">
        <f aca="false">IFERROR(CHOOSE(MATCH(INDEX(時間ごとの判定!$AH$3:$AH$1850,1228),{"利用可","両方停止","運転がそろわない","判定不能"},0),"○","停","×","－"),"")</f>
        <v>停</v>
      </c>
      <c r="G55" s="35" t="str">
        <f aca="false">IFERROR(CHOOSE(MATCH(INDEX(時間ごとの判定!$AH$3:$AH$1850,1229),{"利用可","両方停止","運転がそろわない","判定不能"},0),"○","停","×","－"),"")</f>
        <v>停</v>
      </c>
      <c r="H55" s="35" t="str">
        <f aca="false">IFERROR(CHOOSE(MATCH(INDEX(時間ごとの判定!$AH$3:$AH$1850,1230),{"利用可","両方停止","運転がそろわない","判定不能"},0),"○","停","×","－"),"")</f>
        <v>停</v>
      </c>
      <c r="I55" s="35" t="str">
        <f aca="false">IFERROR(CHOOSE(MATCH(INDEX(時間ごとの判定!$AH$3:$AH$1850,1231),{"利用可","両方停止","運転がそろわない","判定不能"},0),"○","停","×","－"),"")</f>
        <v>停</v>
      </c>
      <c r="J55" s="35" t="str">
        <f aca="false">IFERROR(CHOOSE(MATCH(INDEX(時間ごとの判定!$AH$3:$AH$1850,1232),{"利用可","両方停止","運転がそろわない","判定不能"},0),"○","停","×","－"),"")</f>
        <v>×</v>
      </c>
      <c r="K55" s="35" t="str">
        <f aca="false">IFERROR(CHOOSE(MATCH(INDEX(時間ごとの判定!$AH$3:$AH$1850,1233),{"利用可","両方停止","運転がそろわない","判定不能"},0),"○","停","×","－"),"")</f>
        <v>×</v>
      </c>
      <c r="L55" s="35" t="str">
        <f aca="false">IFERROR(CHOOSE(MATCH(INDEX(時間ごとの判定!$AH$3:$AH$1850,1234),{"利用可","両方停止","運転がそろわない","判定不能"},0),"○","停","×","－"),"")</f>
        <v>×</v>
      </c>
      <c r="M55" s="35" t="str">
        <f aca="false">IFERROR(CHOOSE(MATCH(INDEX(時間ごとの判定!$AH$3:$AH$1850,1235),{"利用可","両方停止","運転がそろわない","判定不能"},0),"○","停","×","－"),"")</f>
        <v>×</v>
      </c>
      <c r="N55" s="35" t="str">
        <f aca="false">IFERROR(CHOOSE(MATCH(INDEX(時間ごとの判定!$AH$3:$AH$1850,1236),{"利用可","両方停止","運転がそろわない","判定不能"},0),"○","停","×","－"),"")</f>
        <v>×</v>
      </c>
      <c r="O55" s="35" t="str">
        <f aca="false">IFERROR(CHOOSE(MATCH(INDEX(時間ごとの判定!$AH$3:$AH$1850,1237),{"利用可","両方停止","運転がそろわない","判定不能"},0),"○","停","×","－"),"")</f>
        <v>×</v>
      </c>
      <c r="P55" s="35" t="str">
        <f aca="false">IFERROR(CHOOSE(MATCH(INDEX(時間ごとの判定!$AH$3:$AH$1850,1238),{"利用可","両方停止","運転がそろわない","判定不能"},0),"○","停","×","－"),"")</f>
        <v>○</v>
      </c>
      <c r="Q55" s="35" t="str">
        <f aca="false">IFERROR(CHOOSE(MATCH(INDEX(時間ごとの判定!$AH$3:$AH$1850,1239),{"利用可","両方停止","運転がそろわない","判定不能"},0),"○","停","×","－"),"")</f>
        <v>×</v>
      </c>
      <c r="R55" s="35" t="str">
        <f aca="false">IFERROR(CHOOSE(MATCH(INDEX(時間ごとの判定!$AH$3:$AH$1850,1240),{"利用可","両方停止","運転がそろわない","判定不能"},0),"○","停","×","－"),"")</f>
        <v>×</v>
      </c>
      <c r="S55" s="35" t="str">
        <f aca="false">IFERROR(CHOOSE(MATCH(INDEX(時間ごとの判定!$AH$3:$AH$1850,1241),{"利用可","両方停止","運転がそろわない","判定不能"},0),"○","停","×","－"),"")</f>
        <v>○</v>
      </c>
      <c r="T55" s="35" t="str">
        <f aca="false">IFERROR(CHOOSE(MATCH(INDEX(時間ごとの判定!$AH$3:$AH$1850,1242),{"利用可","両方停止","運転がそろわない","判定不能"},0),"○","停","×","－"),"")</f>
        <v>×</v>
      </c>
      <c r="U55" s="35" t="str">
        <f aca="false">IFERROR(CHOOSE(MATCH(INDEX(時間ごとの判定!$AH$3:$AH$1850,1243),{"利用可","両方停止","運転がそろわない","判定不能"},0),"○","停","×","－"),"")</f>
        <v>×</v>
      </c>
      <c r="V55" s="35" t="str">
        <f aca="false">IFERROR(CHOOSE(MATCH(INDEX(時間ごとの判定!$AH$3:$AH$1850,1244),{"利用可","両方停止","運転がそろわない","判定不能"},0),"○","停","×","－"),"")</f>
        <v>×</v>
      </c>
      <c r="W55" s="35" t="str">
        <f aca="false">IFERROR(CHOOSE(MATCH(INDEX(時間ごとの判定!$AH$3:$AH$1850,1245),{"利用可","両方停止","運転がそろわない","判定不能"},0),"○","停","×","－"),"")</f>
        <v>停</v>
      </c>
      <c r="X55" s="35" t="str">
        <f aca="false">IFERROR(CHOOSE(MATCH(INDEX(時間ごとの判定!$AH$3:$AH$1850,1246),{"利用可","両方停止","運転がそろわない","判定不能"},0),"○","停","×","－"),"")</f>
        <v>停</v>
      </c>
      <c r="Y55" s="35" t="str">
        <f aca="false">IFERROR(CHOOSE(MATCH(INDEX(時間ごとの判定!$AH$3:$AH$1850,1247),{"利用可","両方停止","運転がそろわない","判定不能"},0),"○","停","×","－"),"")</f>
        <v>停</v>
      </c>
      <c r="Z55" s="35" t="str">
        <f aca="false">IFERROR(CHOOSE(MATCH(INDEX(時間ごとの判定!$AH$3:$AH$1850,1248),{"利用可","両方停止","運転がそろわない","判定不能"},0),"○","停","×","－"),"")</f>
        <v>停</v>
      </c>
      <c r="AA55" s="35"/>
      <c r="AB55" s="35" t="str">
        <f aca="false">IFERROR(CHOOSE(MATCH(INDEX(時間ごとの判定!$AK$3:$AK$1850,1225),{"利用可","両方停止","運転がそろわない","判定不能"},0),"○","停","×","－"),"")</f>
        <v>－</v>
      </c>
      <c r="AC55" s="35" t="str">
        <f aca="false">IFERROR(CHOOSE(MATCH(INDEX(時間ごとの判定!$AK$3:$AK$1850,1226),{"利用可","両方停止","運転がそろわない","判定不能"},0),"○","停","×","－"),"")</f>
        <v>－</v>
      </c>
      <c r="AD55" s="35" t="str">
        <f aca="false">IFERROR(CHOOSE(MATCH(INDEX(時間ごとの判定!$AK$3:$AK$1850,1227),{"利用可","両方停止","運転がそろわない","判定不能"},0),"○","停","×","－"),"")</f>
        <v>－</v>
      </c>
      <c r="AE55" s="35" t="str">
        <f aca="false">IFERROR(CHOOSE(MATCH(INDEX(時間ごとの判定!$AK$3:$AK$1850,1228),{"利用可","両方停止","運転がそろわない","判定不能"},0),"○","停","×","－"),"")</f>
        <v>－</v>
      </c>
      <c r="AF55" s="35" t="str">
        <f aca="false">IFERROR(CHOOSE(MATCH(INDEX(時間ごとの判定!$AK$3:$AK$1850,1229),{"利用可","両方停止","運転がそろわない","判定不能"},0),"○","停","×","－"),"")</f>
        <v>－</v>
      </c>
      <c r="AG55" s="35" t="str">
        <f aca="false">IFERROR(CHOOSE(MATCH(INDEX(時間ごとの判定!$AK$3:$AK$1850,1230),{"利用可","両方停止","運転がそろわない","判定不能"},0),"○","停","×","－"),"")</f>
        <v>－</v>
      </c>
      <c r="AH55" s="35" t="str">
        <f aca="false">IFERROR(CHOOSE(MATCH(INDEX(時間ごとの判定!$AK$3:$AK$1850,1231),{"利用可","両方停止","運転がそろわない","判定不能"},0),"○","停","×","－"),"")</f>
        <v>－</v>
      </c>
      <c r="AI55" s="35" t="str">
        <f aca="false">IFERROR(CHOOSE(MATCH(INDEX(時間ごとの判定!$AK$3:$AK$1850,1232),{"利用可","両方停止","運転がそろわない","判定不能"},0),"○","停","×","－"),"")</f>
        <v>－</v>
      </c>
      <c r="AJ55" s="35" t="str">
        <f aca="false">IFERROR(CHOOSE(MATCH(INDEX(時間ごとの判定!$AK$3:$AK$1850,1233),{"利用可","両方停止","運転がそろわない","判定不能"},0),"○","停","×","－"),"")</f>
        <v>－</v>
      </c>
      <c r="AK55" s="35" t="str">
        <f aca="false">IFERROR(CHOOSE(MATCH(INDEX(時間ごとの判定!$AK$3:$AK$1850,1234),{"利用可","両方停止","運転がそろわない","判定不能"},0),"○","停","×","－"),"")</f>
        <v>－</v>
      </c>
      <c r="AL55" s="35" t="str">
        <f aca="false">IFERROR(CHOOSE(MATCH(INDEX(時間ごとの判定!$AK$3:$AK$1850,1235),{"利用可","両方停止","運転がそろわない","判定不能"},0),"○","停","×","－"),"")</f>
        <v>－</v>
      </c>
      <c r="AM55" s="35" t="str">
        <f aca="false">IFERROR(CHOOSE(MATCH(INDEX(時間ごとの判定!$AK$3:$AK$1850,1236),{"利用可","両方停止","運転がそろわない","判定不能"},0),"○","停","×","－"),"")</f>
        <v>－</v>
      </c>
      <c r="AN55" s="35" t="str">
        <f aca="false">IFERROR(CHOOSE(MATCH(INDEX(時間ごとの判定!$AK$3:$AK$1850,1237),{"利用可","両方停止","運転がそろわない","判定不能"},0),"○","停","×","－"),"")</f>
        <v>－</v>
      </c>
      <c r="AO55" s="35" t="str">
        <f aca="false">IFERROR(CHOOSE(MATCH(INDEX(時間ごとの判定!$AK$3:$AK$1850,1238),{"利用可","両方停止","運転がそろわない","判定不能"},0),"○","停","×","－"),"")</f>
        <v>－</v>
      </c>
      <c r="AP55" s="35" t="str">
        <f aca="false">IFERROR(CHOOSE(MATCH(INDEX(時間ごとの判定!$AK$3:$AK$1850,1239),{"利用可","両方停止","運転がそろわない","判定不能"},0),"○","停","×","－"),"")</f>
        <v>－</v>
      </c>
      <c r="AQ55" s="35" t="str">
        <f aca="false">IFERROR(CHOOSE(MATCH(INDEX(時間ごとの判定!$AK$3:$AK$1850,1240),{"利用可","両方停止","運転がそろわない","判定不能"},0),"○","停","×","－"),"")</f>
        <v>－</v>
      </c>
      <c r="AR55" s="35" t="str">
        <f aca="false">IFERROR(CHOOSE(MATCH(INDEX(時間ごとの判定!$AK$3:$AK$1850,1241),{"利用可","両方停止","運転がそろわない","判定不能"},0),"○","停","×","－"),"")</f>
        <v>－</v>
      </c>
      <c r="AS55" s="35" t="str">
        <f aca="false">IFERROR(CHOOSE(MATCH(INDEX(時間ごとの判定!$AK$3:$AK$1850,1242),{"利用可","両方停止","運転がそろわない","判定不能"},0),"○","停","×","－"),"")</f>
        <v>－</v>
      </c>
      <c r="AT55" s="35" t="str">
        <f aca="false">IFERROR(CHOOSE(MATCH(INDEX(時間ごとの判定!$AK$3:$AK$1850,1243),{"利用可","両方停止","運転がそろわない","判定不能"},0),"○","停","×","－"),"")</f>
        <v>－</v>
      </c>
      <c r="AU55" s="35" t="str">
        <f aca="false">IFERROR(CHOOSE(MATCH(INDEX(時間ごとの判定!$AK$3:$AK$1850,1244),{"利用可","両方停止","運転がそろわない","判定不能"},0),"○","停","×","－"),"")</f>
        <v>－</v>
      </c>
      <c r="AV55" s="35" t="str">
        <f aca="false">IFERROR(CHOOSE(MATCH(INDEX(時間ごとの判定!$AK$3:$AK$1850,1245),{"利用可","両方停止","運転がそろわない","判定不能"},0),"○","停","×","－"),"")</f>
        <v>－</v>
      </c>
      <c r="AW55" s="35" t="str">
        <f aca="false">IFERROR(CHOOSE(MATCH(INDEX(時間ごとの判定!$AK$3:$AK$1850,1246),{"利用可","両方停止","運転がそろわない","判定不能"},0),"○","停","×","－"),"")</f>
        <v>－</v>
      </c>
      <c r="AX55" s="35" t="str">
        <f aca="false">IFERROR(CHOOSE(MATCH(INDEX(時間ごとの判定!$AK$3:$AK$1850,1247),{"利用可","両方停止","運転がそろわない","判定不能"},0),"○","停","×","－"),"")</f>
        <v>－</v>
      </c>
      <c r="AY55" s="35" t="str">
        <f aca="false">IFERROR(CHOOSE(MATCH(INDEX(時間ごとの判定!$AK$3:$AK$1850,1248),{"利用可","両方停止","運転がそろわない","判定不能"},0),"○","停","×","－"),"")</f>
        <v>－</v>
      </c>
      <c r="AZ55" s="35"/>
      <c r="BA55" s="35" t="str">
        <f aca="false">IFERROR(CHOOSE(MATCH(INDEX(時間ごとの判定!$AN$3:$AN$1850,1225),{"利用可","両方停止","運転がそろわない","判定不能"},0),"○","停","×","－"),"")</f>
        <v>停</v>
      </c>
      <c r="BB55" s="35" t="str">
        <f aca="false">IFERROR(CHOOSE(MATCH(INDEX(時間ごとの判定!$AN$3:$AN$1850,1226),{"利用可","両方停止","運転がそろわない","判定不能"},0),"○","停","×","－"),"")</f>
        <v>停</v>
      </c>
      <c r="BC55" s="35" t="str">
        <f aca="false">IFERROR(CHOOSE(MATCH(INDEX(時間ごとの判定!$AN$3:$AN$1850,1227),{"利用可","両方停止","運転がそろわない","判定不能"},0),"○","停","×","－"),"")</f>
        <v>停</v>
      </c>
      <c r="BD55" s="35" t="str">
        <f aca="false">IFERROR(CHOOSE(MATCH(INDEX(時間ごとの判定!$AN$3:$AN$1850,1228),{"利用可","両方停止","運転がそろわない","判定不能"},0),"○","停","×","－"),"")</f>
        <v>停</v>
      </c>
      <c r="BE55" s="35" t="str">
        <f aca="false">IFERROR(CHOOSE(MATCH(INDEX(時間ごとの判定!$AN$3:$AN$1850,1229),{"利用可","両方停止","運転がそろわない","判定不能"},0),"○","停","×","－"),"")</f>
        <v>停</v>
      </c>
      <c r="BF55" s="35" t="str">
        <f aca="false">IFERROR(CHOOSE(MATCH(INDEX(時間ごとの判定!$AN$3:$AN$1850,1230),{"利用可","両方停止","運転がそろわない","判定不能"},0),"○","停","×","－"),"")</f>
        <v>停</v>
      </c>
      <c r="BG55" s="35" t="str">
        <f aca="false">IFERROR(CHOOSE(MATCH(INDEX(時間ごとの判定!$AN$3:$AN$1850,1231),{"利用可","両方停止","運転がそろわない","判定不能"},0),"○","停","×","－"),"")</f>
        <v>×</v>
      </c>
      <c r="BH55" s="35" t="str">
        <f aca="false">IFERROR(CHOOSE(MATCH(INDEX(時間ごとの判定!$AN$3:$AN$1850,1232),{"利用可","両方停止","運転がそろわない","判定不能"},0),"○","停","×","－"),"")</f>
        <v>×</v>
      </c>
      <c r="BI55" s="35" t="str">
        <f aca="false">IFERROR(CHOOSE(MATCH(INDEX(時間ごとの判定!$AN$3:$AN$1850,1233),{"利用可","両方停止","運転がそろわない","判定不能"},0),"○","停","×","－"),"")</f>
        <v>×</v>
      </c>
      <c r="BJ55" s="35" t="str">
        <f aca="false">IFERROR(CHOOSE(MATCH(INDEX(時間ごとの判定!$AN$3:$AN$1850,1234),{"利用可","両方停止","運転がそろわない","判定不能"},0),"○","停","×","－"),"")</f>
        <v>○</v>
      </c>
      <c r="BK55" s="35" t="str">
        <f aca="false">IFERROR(CHOOSE(MATCH(INDEX(時間ごとの判定!$AN$3:$AN$1850,1235),{"利用可","両方停止","運転がそろわない","判定不能"},0),"○","停","×","－"),"")</f>
        <v>○</v>
      </c>
      <c r="BL55" s="35" t="str">
        <f aca="false">IFERROR(CHOOSE(MATCH(INDEX(時間ごとの判定!$AN$3:$AN$1850,1236),{"利用可","両方停止","運転がそろわない","判定不能"},0),"○","停","×","－"),"")</f>
        <v>○</v>
      </c>
      <c r="BM55" s="35" t="str">
        <f aca="false">IFERROR(CHOOSE(MATCH(INDEX(時間ごとの判定!$AN$3:$AN$1850,1237),{"利用可","両方停止","運転がそろわない","判定不能"},0),"○","停","×","－"),"")</f>
        <v>○</v>
      </c>
      <c r="BN55" s="35" t="str">
        <f aca="false">IFERROR(CHOOSE(MATCH(INDEX(時間ごとの判定!$AN$3:$AN$1850,1238),{"利用可","両方停止","運転がそろわない","判定不能"},0),"○","停","×","－"),"")</f>
        <v>○</v>
      </c>
      <c r="BO55" s="35" t="str">
        <f aca="false">IFERROR(CHOOSE(MATCH(INDEX(時間ごとの判定!$AN$3:$AN$1850,1239),{"利用可","両方停止","運転がそろわない","判定不能"},0),"○","停","×","－"),"")</f>
        <v>○</v>
      </c>
      <c r="BP55" s="35" t="str">
        <f aca="false">IFERROR(CHOOSE(MATCH(INDEX(時間ごとの判定!$AN$3:$AN$1850,1240),{"利用可","両方停止","運転がそろわない","判定不能"},0),"○","停","×","－"),"")</f>
        <v>○</v>
      </c>
      <c r="BQ55" s="35" t="str">
        <f aca="false">IFERROR(CHOOSE(MATCH(INDEX(時間ごとの判定!$AN$3:$AN$1850,1241),{"利用可","両方停止","運転がそろわない","判定不能"},0),"○","停","×","－"),"")</f>
        <v>○</v>
      </c>
      <c r="BR55" s="35" t="str">
        <f aca="false">IFERROR(CHOOSE(MATCH(INDEX(時間ごとの判定!$AN$3:$AN$1850,1242),{"利用可","両方停止","運転がそろわない","判定不能"},0),"○","停","×","－"),"")</f>
        <v>○</v>
      </c>
      <c r="BS55" s="35" t="str">
        <f aca="false">IFERROR(CHOOSE(MATCH(INDEX(時間ごとの判定!$AN$3:$AN$1850,1243),{"利用可","両方停止","運転がそろわない","判定不能"},0),"○","停","×","－"),"")</f>
        <v>×</v>
      </c>
      <c r="BT55" s="35" t="str">
        <f aca="false">IFERROR(CHOOSE(MATCH(INDEX(時間ごとの判定!$AN$3:$AN$1850,1244),{"利用可","両方停止","運転がそろわない","判定不能"},0),"○","停","×","－"),"")</f>
        <v>○</v>
      </c>
      <c r="BU55" s="35" t="str">
        <f aca="false">IFERROR(CHOOSE(MATCH(INDEX(時間ごとの判定!$AN$3:$AN$1850,1245),{"利用可","両方停止","運転がそろわない","判定不能"},0),"○","停","×","－"),"")</f>
        <v>×</v>
      </c>
      <c r="BV55" s="35" t="str">
        <f aca="false">IFERROR(CHOOSE(MATCH(INDEX(時間ごとの判定!$AN$3:$AN$1850,1246),{"利用可","両方停止","運転がそろわない","判定不能"},0),"○","停","×","－"),"")</f>
        <v>停</v>
      </c>
      <c r="BW55" s="35" t="str">
        <f aca="false">IFERROR(CHOOSE(MATCH(INDEX(時間ごとの判定!$AN$3:$AN$1850,1247),{"利用可","両方停止","運転がそろわない","判定不能"},0),"○","停","×","－"),"")</f>
        <v>停</v>
      </c>
      <c r="BX55" s="35" t="str">
        <f aca="false">IFERROR(CHOOSE(MATCH(INDEX(時間ごとの判定!$AN$3:$AN$1850,1248),{"利用可","両方停止","運転がそろわない","判定不能"},0),"○","停","×","－"),"")</f>
        <v>停</v>
      </c>
    </row>
    <row r="56" customFormat="false" ht="15" hidden="false" customHeight="false" outlineLevel="0" collapsed="false">
      <c r="A56" s="33" t="n">
        <v>46284</v>
      </c>
      <c r="B56" s="36" t="s">
        <v>63</v>
      </c>
      <c r="C56" s="35" t="str">
        <f aca="false">IFERROR(CHOOSE(MATCH(INDEX(時間ごとの判定!$AH$3:$AH$1850,1249),{"利用可","両方停止","運転がそろわない","判定不能"},0),"○","停","×","－"),"")</f>
        <v>停</v>
      </c>
      <c r="D56" s="35" t="str">
        <f aca="false">IFERROR(CHOOSE(MATCH(INDEX(時間ごとの判定!$AH$3:$AH$1850,1250),{"利用可","両方停止","運転がそろわない","判定不能"},0),"○","停","×","－"),"")</f>
        <v>停</v>
      </c>
      <c r="E56" s="35" t="str">
        <f aca="false">IFERROR(CHOOSE(MATCH(INDEX(時間ごとの判定!$AH$3:$AH$1850,1251),{"利用可","両方停止","運転がそろわない","判定不能"},0),"○","停","×","－"),"")</f>
        <v>停</v>
      </c>
      <c r="F56" s="35" t="str">
        <f aca="false">IFERROR(CHOOSE(MATCH(INDEX(時間ごとの判定!$AH$3:$AH$1850,1252),{"利用可","両方停止","運転がそろわない","判定不能"},0),"○","停","×","－"),"")</f>
        <v>停</v>
      </c>
      <c r="G56" s="35" t="str">
        <f aca="false">IFERROR(CHOOSE(MATCH(INDEX(時間ごとの判定!$AH$3:$AH$1850,1253),{"利用可","両方停止","運転がそろわない","判定不能"},0),"○","停","×","－"),"")</f>
        <v>停</v>
      </c>
      <c r="H56" s="35" t="str">
        <f aca="false">IFERROR(CHOOSE(MATCH(INDEX(時間ごとの判定!$AH$3:$AH$1850,1254),{"利用可","両方停止","運転がそろわない","判定不能"},0),"○","停","×","－"),"")</f>
        <v>停</v>
      </c>
      <c r="I56" s="35" t="str">
        <f aca="false">IFERROR(CHOOSE(MATCH(INDEX(時間ごとの判定!$AH$3:$AH$1850,1255),{"利用可","両方停止","運転がそろわない","判定不能"},0),"○","停","×","－"),"")</f>
        <v>停</v>
      </c>
      <c r="J56" s="35" t="str">
        <f aca="false">IFERROR(CHOOSE(MATCH(INDEX(時間ごとの判定!$AH$3:$AH$1850,1256),{"利用可","両方停止","運転がそろわない","判定不能"},0),"○","停","×","－"),"")</f>
        <v>停</v>
      </c>
      <c r="K56" s="35" t="str">
        <f aca="false">IFERROR(CHOOSE(MATCH(INDEX(時間ごとの判定!$AH$3:$AH$1850,1257),{"利用可","両方停止","運転がそろわない","判定不能"},0),"○","停","×","－"),"")</f>
        <v>停</v>
      </c>
      <c r="L56" s="35" t="str">
        <f aca="false">IFERROR(CHOOSE(MATCH(INDEX(時間ごとの判定!$AH$3:$AH$1850,1258),{"利用可","両方停止","運転がそろわない","判定不能"},0),"○","停","×","－"),"")</f>
        <v>×</v>
      </c>
      <c r="M56" s="35" t="str">
        <f aca="false">IFERROR(CHOOSE(MATCH(INDEX(時間ごとの判定!$AH$3:$AH$1850,1259),{"利用可","両方停止","運転がそろわない","判定不能"},0),"○","停","×","－"),"")</f>
        <v>×</v>
      </c>
      <c r="N56" s="35" t="str">
        <f aca="false">IFERROR(CHOOSE(MATCH(INDEX(時間ごとの判定!$AH$3:$AH$1850,1260),{"利用可","両方停止","運転がそろわない","判定不能"},0),"○","停","×","－"),"")</f>
        <v>停</v>
      </c>
      <c r="O56" s="35" t="str">
        <f aca="false">IFERROR(CHOOSE(MATCH(INDEX(時間ごとの判定!$AH$3:$AH$1850,1261),{"利用可","両方停止","運転がそろわない","判定不能"},0),"○","停","×","－"),"")</f>
        <v>停</v>
      </c>
      <c r="P56" s="35" t="str">
        <f aca="false">IFERROR(CHOOSE(MATCH(INDEX(時間ごとの判定!$AH$3:$AH$1850,1262),{"利用可","両方停止","運転がそろわない","判定不能"},0),"○","停","×","－"),"")</f>
        <v>×</v>
      </c>
      <c r="Q56" s="35" t="str">
        <f aca="false">IFERROR(CHOOSE(MATCH(INDEX(時間ごとの判定!$AH$3:$AH$1850,1263),{"利用可","両方停止","運転がそろわない","判定不能"},0),"○","停","×","－"),"")</f>
        <v>×</v>
      </c>
      <c r="R56" s="35" t="str">
        <f aca="false">IFERROR(CHOOSE(MATCH(INDEX(時間ごとの判定!$AH$3:$AH$1850,1264),{"利用可","両方停止","運転がそろわない","判定不能"},0),"○","停","×","－"),"")</f>
        <v>×</v>
      </c>
      <c r="S56" s="35" t="str">
        <f aca="false">IFERROR(CHOOSE(MATCH(INDEX(時間ごとの判定!$AH$3:$AH$1850,1265),{"利用可","両方停止","運転がそろわない","判定不能"},0),"○","停","×","－"),"")</f>
        <v>×</v>
      </c>
      <c r="T56" s="35" t="str">
        <f aca="false">IFERROR(CHOOSE(MATCH(INDEX(時間ごとの判定!$AH$3:$AH$1850,1266),{"利用可","両方停止","運転がそろわない","判定不能"},0),"○","停","×","－"),"")</f>
        <v>×</v>
      </c>
      <c r="U56" s="35" t="str">
        <f aca="false">IFERROR(CHOOSE(MATCH(INDEX(時間ごとの判定!$AH$3:$AH$1850,1267),{"利用可","両方停止","運転がそろわない","判定不能"},0),"○","停","×","－"),"")</f>
        <v>停</v>
      </c>
      <c r="V56" s="35" t="str">
        <f aca="false">IFERROR(CHOOSE(MATCH(INDEX(時間ごとの判定!$AH$3:$AH$1850,1268),{"利用可","両方停止","運転がそろわない","判定不能"},0),"○","停","×","－"),"")</f>
        <v>×</v>
      </c>
      <c r="W56" s="35" t="str">
        <f aca="false">IFERROR(CHOOSE(MATCH(INDEX(時間ごとの判定!$AH$3:$AH$1850,1269),{"利用可","両方停止","運転がそろわない","判定不能"},0),"○","停","×","－"),"")</f>
        <v>×</v>
      </c>
      <c r="X56" s="35" t="str">
        <f aca="false">IFERROR(CHOOSE(MATCH(INDEX(時間ごとの判定!$AH$3:$AH$1850,1270),{"利用可","両方停止","運転がそろわない","判定不能"},0),"○","停","×","－"),"")</f>
        <v>停</v>
      </c>
      <c r="Y56" s="35" t="str">
        <f aca="false">IFERROR(CHOOSE(MATCH(INDEX(時間ごとの判定!$AH$3:$AH$1850,1271),{"利用可","両方停止","運転がそろわない","判定不能"},0),"○","停","×","－"),"")</f>
        <v>停</v>
      </c>
      <c r="Z56" s="35" t="str">
        <f aca="false">IFERROR(CHOOSE(MATCH(INDEX(時間ごとの判定!$AH$3:$AH$1850,1272),{"利用可","両方停止","運転がそろわない","判定不能"},0),"○","停","×","－"),"")</f>
        <v>停</v>
      </c>
      <c r="AA56" s="35"/>
      <c r="AB56" s="35" t="str">
        <f aca="false">IFERROR(CHOOSE(MATCH(INDEX(時間ごとの判定!$AK$3:$AK$1850,1249),{"利用可","両方停止","運転がそろわない","判定不能"},0),"○","停","×","－"),"")</f>
        <v>－</v>
      </c>
      <c r="AC56" s="35" t="str">
        <f aca="false">IFERROR(CHOOSE(MATCH(INDEX(時間ごとの判定!$AK$3:$AK$1850,1250),{"利用可","両方停止","運転がそろわない","判定不能"},0),"○","停","×","－"),"")</f>
        <v>－</v>
      </c>
      <c r="AD56" s="35" t="str">
        <f aca="false">IFERROR(CHOOSE(MATCH(INDEX(時間ごとの判定!$AK$3:$AK$1850,1251),{"利用可","両方停止","運転がそろわない","判定不能"},0),"○","停","×","－"),"")</f>
        <v>－</v>
      </c>
      <c r="AE56" s="35" t="str">
        <f aca="false">IFERROR(CHOOSE(MATCH(INDEX(時間ごとの判定!$AK$3:$AK$1850,1252),{"利用可","両方停止","運転がそろわない","判定不能"},0),"○","停","×","－"),"")</f>
        <v>－</v>
      </c>
      <c r="AF56" s="35" t="str">
        <f aca="false">IFERROR(CHOOSE(MATCH(INDEX(時間ごとの判定!$AK$3:$AK$1850,1253),{"利用可","両方停止","運転がそろわない","判定不能"},0),"○","停","×","－"),"")</f>
        <v>－</v>
      </c>
      <c r="AG56" s="35" t="str">
        <f aca="false">IFERROR(CHOOSE(MATCH(INDEX(時間ごとの判定!$AK$3:$AK$1850,1254),{"利用可","両方停止","運転がそろわない","判定不能"},0),"○","停","×","－"),"")</f>
        <v>－</v>
      </c>
      <c r="AH56" s="35" t="str">
        <f aca="false">IFERROR(CHOOSE(MATCH(INDEX(時間ごとの判定!$AK$3:$AK$1850,1255),{"利用可","両方停止","運転がそろわない","判定不能"},0),"○","停","×","－"),"")</f>
        <v>－</v>
      </c>
      <c r="AI56" s="35" t="str">
        <f aca="false">IFERROR(CHOOSE(MATCH(INDEX(時間ごとの判定!$AK$3:$AK$1850,1256),{"利用可","両方停止","運転がそろわない","判定不能"},0),"○","停","×","－"),"")</f>
        <v>－</v>
      </c>
      <c r="AJ56" s="35" t="str">
        <f aca="false">IFERROR(CHOOSE(MATCH(INDEX(時間ごとの判定!$AK$3:$AK$1850,1257),{"利用可","両方停止","運転がそろわない","判定不能"},0),"○","停","×","－"),"")</f>
        <v>－</v>
      </c>
      <c r="AK56" s="35" t="str">
        <f aca="false">IFERROR(CHOOSE(MATCH(INDEX(時間ごとの判定!$AK$3:$AK$1850,1258),{"利用可","両方停止","運転がそろわない","判定不能"},0),"○","停","×","－"),"")</f>
        <v>－</v>
      </c>
      <c r="AL56" s="35" t="str">
        <f aca="false">IFERROR(CHOOSE(MATCH(INDEX(時間ごとの判定!$AK$3:$AK$1850,1259),{"利用可","両方停止","運転がそろわない","判定不能"},0),"○","停","×","－"),"")</f>
        <v>－</v>
      </c>
      <c r="AM56" s="35" t="str">
        <f aca="false">IFERROR(CHOOSE(MATCH(INDEX(時間ごとの判定!$AK$3:$AK$1850,1260),{"利用可","両方停止","運転がそろわない","判定不能"},0),"○","停","×","－"),"")</f>
        <v>－</v>
      </c>
      <c r="AN56" s="35" t="str">
        <f aca="false">IFERROR(CHOOSE(MATCH(INDEX(時間ごとの判定!$AK$3:$AK$1850,1261),{"利用可","両方停止","運転がそろわない","判定不能"},0),"○","停","×","－"),"")</f>
        <v>－</v>
      </c>
      <c r="AO56" s="35" t="str">
        <f aca="false">IFERROR(CHOOSE(MATCH(INDEX(時間ごとの判定!$AK$3:$AK$1850,1262),{"利用可","両方停止","運転がそろわない","判定不能"},0),"○","停","×","－"),"")</f>
        <v>－</v>
      </c>
      <c r="AP56" s="35" t="str">
        <f aca="false">IFERROR(CHOOSE(MATCH(INDEX(時間ごとの判定!$AK$3:$AK$1850,1263),{"利用可","両方停止","運転がそろわない","判定不能"},0),"○","停","×","－"),"")</f>
        <v>－</v>
      </c>
      <c r="AQ56" s="35" t="str">
        <f aca="false">IFERROR(CHOOSE(MATCH(INDEX(時間ごとの判定!$AK$3:$AK$1850,1264),{"利用可","両方停止","運転がそろわない","判定不能"},0),"○","停","×","－"),"")</f>
        <v>－</v>
      </c>
      <c r="AR56" s="35" t="str">
        <f aca="false">IFERROR(CHOOSE(MATCH(INDEX(時間ごとの判定!$AK$3:$AK$1850,1265),{"利用可","両方停止","運転がそろわない","判定不能"},0),"○","停","×","－"),"")</f>
        <v>－</v>
      </c>
      <c r="AS56" s="35" t="str">
        <f aca="false">IFERROR(CHOOSE(MATCH(INDEX(時間ごとの判定!$AK$3:$AK$1850,1266),{"利用可","両方停止","運転がそろわない","判定不能"},0),"○","停","×","－"),"")</f>
        <v>－</v>
      </c>
      <c r="AT56" s="35" t="str">
        <f aca="false">IFERROR(CHOOSE(MATCH(INDEX(時間ごとの判定!$AK$3:$AK$1850,1267),{"利用可","両方停止","運転がそろわない","判定不能"},0),"○","停","×","－"),"")</f>
        <v>－</v>
      </c>
      <c r="AU56" s="35" t="str">
        <f aca="false">IFERROR(CHOOSE(MATCH(INDEX(時間ごとの判定!$AK$3:$AK$1850,1268),{"利用可","両方停止","運転がそろわない","判定不能"},0),"○","停","×","－"),"")</f>
        <v>－</v>
      </c>
      <c r="AV56" s="35" t="str">
        <f aca="false">IFERROR(CHOOSE(MATCH(INDEX(時間ごとの判定!$AK$3:$AK$1850,1269),{"利用可","両方停止","運転がそろわない","判定不能"},0),"○","停","×","－"),"")</f>
        <v>－</v>
      </c>
      <c r="AW56" s="35" t="str">
        <f aca="false">IFERROR(CHOOSE(MATCH(INDEX(時間ごとの判定!$AK$3:$AK$1850,1270),{"利用可","両方停止","運転がそろわない","判定不能"},0),"○","停","×","－"),"")</f>
        <v>－</v>
      </c>
      <c r="AX56" s="35" t="str">
        <f aca="false">IFERROR(CHOOSE(MATCH(INDEX(時間ごとの判定!$AK$3:$AK$1850,1271),{"利用可","両方停止","運転がそろわない","判定不能"},0),"○","停","×","－"),"")</f>
        <v>－</v>
      </c>
      <c r="AY56" s="35" t="str">
        <f aca="false">IFERROR(CHOOSE(MATCH(INDEX(時間ごとの判定!$AK$3:$AK$1850,1272),{"利用可","両方停止","運転がそろわない","判定不能"},0),"○","停","×","－"),"")</f>
        <v>－</v>
      </c>
      <c r="AZ56" s="35"/>
      <c r="BA56" s="35" t="str">
        <f aca="false">IFERROR(CHOOSE(MATCH(INDEX(時間ごとの判定!$AN$3:$AN$1850,1249),{"利用可","両方停止","運転がそろわない","判定不能"},0),"○","停","×","－"),"")</f>
        <v>停</v>
      </c>
      <c r="BB56" s="35" t="str">
        <f aca="false">IFERROR(CHOOSE(MATCH(INDEX(時間ごとの判定!$AN$3:$AN$1850,1250),{"利用可","両方停止","運転がそろわない","判定不能"},0),"○","停","×","－"),"")</f>
        <v>停</v>
      </c>
      <c r="BC56" s="35" t="str">
        <f aca="false">IFERROR(CHOOSE(MATCH(INDEX(時間ごとの判定!$AN$3:$AN$1850,1251),{"利用可","両方停止","運転がそろわない","判定不能"},0),"○","停","×","－"),"")</f>
        <v>停</v>
      </c>
      <c r="BD56" s="35" t="str">
        <f aca="false">IFERROR(CHOOSE(MATCH(INDEX(時間ごとの判定!$AN$3:$AN$1850,1252),{"利用可","両方停止","運転がそろわない","判定不能"},0),"○","停","×","－"),"")</f>
        <v>停</v>
      </c>
      <c r="BE56" s="35" t="str">
        <f aca="false">IFERROR(CHOOSE(MATCH(INDEX(時間ごとの判定!$AN$3:$AN$1850,1253),{"利用可","両方停止","運転がそろわない","判定不能"},0),"○","停","×","－"),"")</f>
        <v>停</v>
      </c>
      <c r="BF56" s="35" t="str">
        <f aca="false">IFERROR(CHOOSE(MATCH(INDEX(時間ごとの判定!$AN$3:$AN$1850,1254),{"利用可","両方停止","運転がそろわない","判定不能"},0),"○","停","×","－"),"")</f>
        <v>停</v>
      </c>
      <c r="BG56" s="35" t="str">
        <f aca="false">IFERROR(CHOOSE(MATCH(INDEX(時間ごとの判定!$AN$3:$AN$1850,1255),{"利用可","両方停止","運転がそろわない","判定不能"},0),"○","停","×","－"),"")</f>
        <v>停</v>
      </c>
      <c r="BH56" s="35" t="str">
        <f aca="false">IFERROR(CHOOSE(MATCH(INDEX(時間ごとの判定!$AN$3:$AN$1850,1256),{"利用可","両方停止","運転がそろわない","判定不能"},0),"○","停","×","－"),"")</f>
        <v>停</v>
      </c>
      <c r="BI56" s="35" t="str">
        <f aca="false">IFERROR(CHOOSE(MATCH(INDEX(時間ごとの判定!$AN$3:$AN$1850,1257),{"利用可","両方停止","運転がそろわない","判定不能"},0),"○","停","×","－"),"")</f>
        <v>停</v>
      </c>
      <c r="BJ56" s="35" t="str">
        <f aca="false">IFERROR(CHOOSE(MATCH(INDEX(時間ごとの判定!$AN$3:$AN$1850,1258),{"利用可","両方停止","運転がそろわない","判定不能"},0),"○","停","×","－"),"")</f>
        <v>×</v>
      </c>
      <c r="BK56" s="35" t="str">
        <f aca="false">IFERROR(CHOOSE(MATCH(INDEX(時間ごとの判定!$AN$3:$AN$1850,1259),{"利用可","両方停止","運転がそろわない","判定不能"},0),"○","停","×","－"),"")</f>
        <v>○</v>
      </c>
      <c r="BL56" s="35" t="str">
        <f aca="false">IFERROR(CHOOSE(MATCH(INDEX(時間ごとの判定!$AN$3:$AN$1850,1260),{"利用可","両方停止","運転がそろわない","判定不能"},0),"○","停","×","－"),"")</f>
        <v>○</v>
      </c>
      <c r="BM56" s="35" t="str">
        <f aca="false">IFERROR(CHOOSE(MATCH(INDEX(時間ごとの判定!$AN$3:$AN$1850,1261),{"利用可","両方停止","運転がそろわない","判定不能"},0),"○","停","×","－"),"")</f>
        <v>○</v>
      </c>
      <c r="BN56" s="35" t="str">
        <f aca="false">IFERROR(CHOOSE(MATCH(INDEX(時間ごとの判定!$AN$3:$AN$1850,1262),{"利用可","両方停止","運転がそろわない","判定不能"},0),"○","停","×","－"),"")</f>
        <v>○</v>
      </c>
      <c r="BO56" s="35" t="str">
        <f aca="false">IFERROR(CHOOSE(MATCH(INDEX(時間ごとの判定!$AN$3:$AN$1850,1263),{"利用可","両方停止","運転がそろわない","判定不能"},0),"○","停","×","－"),"")</f>
        <v>×</v>
      </c>
      <c r="BP56" s="35" t="str">
        <f aca="false">IFERROR(CHOOSE(MATCH(INDEX(時間ごとの判定!$AN$3:$AN$1850,1264),{"利用可","両方停止","運転がそろわない","判定不能"},0),"○","停","×","－"),"")</f>
        <v>×</v>
      </c>
      <c r="BQ56" s="35" t="str">
        <f aca="false">IFERROR(CHOOSE(MATCH(INDEX(時間ごとの判定!$AN$3:$AN$1850,1265),{"利用可","両方停止","運転がそろわない","判定不能"},0),"○","停","×","－"),"")</f>
        <v>×</v>
      </c>
      <c r="BR56" s="35" t="str">
        <f aca="false">IFERROR(CHOOSE(MATCH(INDEX(時間ごとの判定!$AN$3:$AN$1850,1266),{"利用可","両方停止","運転がそろわない","判定不能"},0),"○","停","×","－"),"")</f>
        <v>×</v>
      </c>
      <c r="BS56" s="35" t="str">
        <f aca="false">IFERROR(CHOOSE(MATCH(INDEX(時間ごとの判定!$AN$3:$AN$1850,1267),{"利用可","両方停止","運転がそろわない","判定不能"},0),"○","停","×","－"),"")</f>
        <v>×</v>
      </c>
      <c r="BT56" s="35" t="str">
        <f aca="false">IFERROR(CHOOSE(MATCH(INDEX(時間ごとの判定!$AN$3:$AN$1850,1268),{"利用可","両方停止","運転がそろわない","判定不能"},0),"○","停","×","－"),"")</f>
        <v>×</v>
      </c>
      <c r="BU56" s="35" t="str">
        <f aca="false">IFERROR(CHOOSE(MATCH(INDEX(時間ごとの判定!$AN$3:$AN$1850,1269),{"利用可","両方停止","運転がそろわない","判定不能"},0),"○","停","×","－"),"")</f>
        <v>×</v>
      </c>
      <c r="BV56" s="35" t="str">
        <f aca="false">IFERROR(CHOOSE(MATCH(INDEX(時間ごとの判定!$AN$3:$AN$1850,1270),{"利用可","両方停止","運転がそろわない","判定不能"},0),"○","停","×","－"),"")</f>
        <v>停</v>
      </c>
      <c r="BW56" s="35" t="str">
        <f aca="false">IFERROR(CHOOSE(MATCH(INDEX(時間ごとの判定!$AN$3:$AN$1850,1271),{"利用可","両方停止","運転がそろわない","判定不能"},0),"○","停","×","－"),"")</f>
        <v>停</v>
      </c>
      <c r="BX56" s="35" t="str">
        <f aca="false">IFERROR(CHOOSE(MATCH(INDEX(時間ごとの判定!$AN$3:$AN$1850,1272),{"利用可","両方停止","運転がそろわない","判定不能"},0),"○","停","×","－"),"")</f>
        <v>停</v>
      </c>
    </row>
    <row r="57" customFormat="false" ht="15" hidden="false" customHeight="false" outlineLevel="0" collapsed="false">
      <c r="A57" s="33" t="n">
        <v>46285</v>
      </c>
      <c r="B57" s="36" t="s">
        <v>65</v>
      </c>
      <c r="C57" s="35" t="str">
        <f aca="false">IFERROR(CHOOSE(MATCH(INDEX(時間ごとの判定!$AH$3:$AH$1850,1273),{"利用可","両方停止","運転がそろわない","判定不能"},0),"○","停","×","－"),"")</f>
        <v>停</v>
      </c>
      <c r="D57" s="35" t="str">
        <f aca="false">IFERROR(CHOOSE(MATCH(INDEX(時間ごとの判定!$AH$3:$AH$1850,1274),{"利用可","両方停止","運転がそろわない","判定不能"},0),"○","停","×","－"),"")</f>
        <v>停</v>
      </c>
      <c r="E57" s="35" t="str">
        <f aca="false">IFERROR(CHOOSE(MATCH(INDEX(時間ごとの判定!$AH$3:$AH$1850,1275),{"利用可","両方停止","運転がそろわない","判定不能"},0),"○","停","×","－"),"")</f>
        <v>停</v>
      </c>
      <c r="F57" s="35" t="str">
        <f aca="false">IFERROR(CHOOSE(MATCH(INDEX(時間ごとの判定!$AH$3:$AH$1850,1276),{"利用可","両方停止","運転がそろわない","判定不能"},0),"○","停","×","－"),"")</f>
        <v>停</v>
      </c>
      <c r="G57" s="35" t="str">
        <f aca="false">IFERROR(CHOOSE(MATCH(INDEX(時間ごとの判定!$AH$3:$AH$1850,1277),{"利用可","両方停止","運転がそろわない","判定不能"},0),"○","停","×","－"),"")</f>
        <v>停</v>
      </c>
      <c r="H57" s="35" t="str">
        <f aca="false">IFERROR(CHOOSE(MATCH(INDEX(時間ごとの判定!$AH$3:$AH$1850,1278),{"利用可","両方停止","運転がそろわない","判定不能"},0),"○","停","×","－"),"")</f>
        <v>停</v>
      </c>
      <c r="I57" s="35" t="str">
        <f aca="false">IFERROR(CHOOSE(MATCH(INDEX(時間ごとの判定!$AH$3:$AH$1850,1279),{"利用可","両方停止","運転がそろわない","判定不能"},0),"○","停","×","－"),"")</f>
        <v>停</v>
      </c>
      <c r="J57" s="35" t="str">
        <f aca="false">IFERROR(CHOOSE(MATCH(INDEX(時間ごとの判定!$AH$3:$AH$1850,1280),{"利用可","両方停止","運転がそろわない","判定不能"},0),"○","停","×","－"),"")</f>
        <v>停</v>
      </c>
      <c r="K57" s="35" t="str">
        <f aca="false">IFERROR(CHOOSE(MATCH(INDEX(時間ごとの判定!$AH$3:$AH$1850,1281),{"利用可","両方停止","運転がそろわない","判定不能"},0),"○","停","×","－"),"")</f>
        <v>停</v>
      </c>
      <c r="L57" s="35" t="str">
        <f aca="false">IFERROR(CHOOSE(MATCH(INDEX(時間ごとの判定!$AH$3:$AH$1850,1282),{"利用可","両方停止","運転がそろわない","判定不能"},0),"○","停","×","－"),"")</f>
        <v>停</v>
      </c>
      <c r="M57" s="35" t="str">
        <f aca="false">IFERROR(CHOOSE(MATCH(INDEX(時間ごとの判定!$AH$3:$AH$1850,1283),{"利用可","両方停止","運転がそろわない","判定不能"},0),"○","停","×","－"),"")</f>
        <v>×</v>
      </c>
      <c r="N57" s="35" t="str">
        <f aca="false">IFERROR(CHOOSE(MATCH(INDEX(時間ごとの判定!$AH$3:$AH$1850,1284),{"利用可","両方停止","運転がそろわない","判定不能"},0),"○","停","×","－"),"")</f>
        <v>停</v>
      </c>
      <c r="O57" s="35" t="str">
        <f aca="false">IFERROR(CHOOSE(MATCH(INDEX(時間ごとの判定!$AH$3:$AH$1850,1285),{"利用可","両方停止","運転がそろわない","判定不能"},0),"○","停","×","－"),"")</f>
        <v>×</v>
      </c>
      <c r="P57" s="35" t="str">
        <f aca="false">IFERROR(CHOOSE(MATCH(INDEX(時間ごとの判定!$AH$3:$AH$1850,1286),{"利用可","両方停止","運転がそろわない","判定不能"},0),"○","停","×","－"),"")</f>
        <v>×</v>
      </c>
      <c r="Q57" s="35" t="str">
        <f aca="false">IFERROR(CHOOSE(MATCH(INDEX(時間ごとの判定!$AH$3:$AH$1850,1287),{"利用可","両方停止","運転がそろわない","判定不能"},0),"○","停","×","－"),"")</f>
        <v>停</v>
      </c>
      <c r="R57" s="35" t="str">
        <f aca="false">IFERROR(CHOOSE(MATCH(INDEX(時間ごとの判定!$AH$3:$AH$1850,1288),{"利用可","両方停止","運転がそろわない","判定不能"},0),"○","停","×","－"),"")</f>
        <v>停</v>
      </c>
      <c r="S57" s="35" t="str">
        <f aca="false">IFERROR(CHOOSE(MATCH(INDEX(時間ごとの判定!$AH$3:$AH$1850,1289),{"利用可","両方停止","運転がそろわない","判定不能"},0),"○","停","×","－"),"")</f>
        <v>停</v>
      </c>
      <c r="T57" s="35" t="str">
        <f aca="false">IFERROR(CHOOSE(MATCH(INDEX(時間ごとの判定!$AH$3:$AH$1850,1290),{"利用可","両方停止","運転がそろわない","判定不能"},0),"○","停","×","－"),"")</f>
        <v>停</v>
      </c>
      <c r="U57" s="35" t="str">
        <f aca="false">IFERROR(CHOOSE(MATCH(INDEX(時間ごとの判定!$AH$3:$AH$1850,1291),{"利用可","両方停止","運転がそろわない","判定不能"},0),"○","停","×","－"),"")</f>
        <v>停</v>
      </c>
      <c r="V57" s="35" t="str">
        <f aca="false">IFERROR(CHOOSE(MATCH(INDEX(時間ごとの判定!$AH$3:$AH$1850,1292),{"利用可","両方停止","運転がそろわない","判定不能"},0),"○","停","×","－"),"")</f>
        <v>停</v>
      </c>
      <c r="W57" s="35" t="str">
        <f aca="false">IFERROR(CHOOSE(MATCH(INDEX(時間ごとの判定!$AH$3:$AH$1850,1293),{"利用可","両方停止","運転がそろわない","判定不能"},0),"○","停","×","－"),"")</f>
        <v>停</v>
      </c>
      <c r="X57" s="35" t="str">
        <f aca="false">IFERROR(CHOOSE(MATCH(INDEX(時間ごとの判定!$AH$3:$AH$1850,1294),{"利用可","両方停止","運転がそろわない","判定不能"},0),"○","停","×","－"),"")</f>
        <v>停</v>
      </c>
      <c r="Y57" s="35" t="str">
        <f aca="false">IFERROR(CHOOSE(MATCH(INDEX(時間ごとの判定!$AH$3:$AH$1850,1295),{"利用可","両方停止","運転がそろわない","判定不能"},0),"○","停","×","－"),"")</f>
        <v>停</v>
      </c>
      <c r="Z57" s="35" t="str">
        <f aca="false">IFERROR(CHOOSE(MATCH(INDEX(時間ごとの判定!$AH$3:$AH$1850,1296),{"利用可","両方停止","運転がそろわない","判定不能"},0),"○","停","×","－"),"")</f>
        <v>停</v>
      </c>
      <c r="AA57" s="35"/>
      <c r="AB57" s="35" t="str">
        <f aca="false">IFERROR(CHOOSE(MATCH(INDEX(時間ごとの判定!$AK$3:$AK$1850,1273),{"利用可","両方停止","運転がそろわない","判定不能"},0),"○","停","×","－"),"")</f>
        <v>－</v>
      </c>
      <c r="AC57" s="35" t="str">
        <f aca="false">IFERROR(CHOOSE(MATCH(INDEX(時間ごとの判定!$AK$3:$AK$1850,1274),{"利用可","両方停止","運転がそろわない","判定不能"},0),"○","停","×","－"),"")</f>
        <v>－</v>
      </c>
      <c r="AD57" s="35" t="str">
        <f aca="false">IFERROR(CHOOSE(MATCH(INDEX(時間ごとの判定!$AK$3:$AK$1850,1275),{"利用可","両方停止","運転がそろわない","判定不能"},0),"○","停","×","－"),"")</f>
        <v>－</v>
      </c>
      <c r="AE57" s="35" t="str">
        <f aca="false">IFERROR(CHOOSE(MATCH(INDEX(時間ごとの判定!$AK$3:$AK$1850,1276),{"利用可","両方停止","運転がそろわない","判定不能"},0),"○","停","×","－"),"")</f>
        <v>－</v>
      </c>
      <c r="AF57" s="35" t="str">
        <f aca="false">IFERROR(CHOOSE(MATCH(INDEX(時間ごとの判定!$AK$3:$AK$1850,1277),{"利用可","両方停止","運転がそろわない","判定不能"},0),"○","停","×","－"),"")</f>
        <v>－</v>
      </c>
      <c r="AG57" s="35" t="str">
        <f aca="false">IFERROR(CHOOSE(MATCH(INDEX(時間ごとの判定!$AK$3:$AK$1850,1278),{"利用可","両方停止","運転がそろわない","判定不能"},0),"○","停","×","－"),"")</f>
        <v>－</v>
      </c>
      <c r="AH57" s="35" t="str">
        <f aca="false">IFERROR(CHOOSE(MATCH(INDEX(時間ごとの判定!$AK$3:$AK$1850,1279),{"利用可","両方停止","運転がそろわない","判定不能"},0),"○","停","×","－"),"")</f>
        <v>－</v>
      </c>
      <c r="AI57" s="35" t="str">
        <f aca="false">IFERROR(CHOOSE(MATCH(INDEX(時間ごとの判定!$AK$3:$AK$1850,1280),{"利用可","両方停止","運転がそろわない","判定不能"},0),"○","停","×","－"),"")</f>
        <v>－</v>
      </c>
      <c r="AJ57" s="35" t="str">
        <f aca="false">IFERROR(CHOOSE(MATCH(INDEX(時間ごとの判定!$AK$3:$AK$1850,1281),{"利用可","両方停止","運転がそろわない","判定不能"},0),"○","停","×","－"),"")</f>
        <v>－</v>
      </c>
      <c r="AK57" s="35" t="str">
        <f aca="false">IFERROR(CHOOSE(MATCH(INDEX(時間ごとの判定!$AK$3:$AK$1850,1282),{"利用可","両方停止","運転がそろわない","判定不能"},0),"○","停","×","－"),"")</f>
        <v>－</v>
      </c>
      <c r="AL57" s="35" t="str">
        <f aca="false">IFERROR(CHOOSE(MATCH(INDEX(時間ごとの判定!$AK$3:$AK$1850,1283),{"利用可","両方停止","運転がそろわない","判定不能"},0),"○","停","×","－"),"")</f>
        <v>－</v>
      </c>
      <c r="AM57" s="35" t="str">
        <f aca="false">IFERROR(CHOOSE(MATCH(INDEX(時間ごとの判定!$AK$3:$AK$1850,1284),{"利用可","両方停止","運転がそろわない","判定不能"},0),"○","停","×","－"),"")</f>
        <v>－</v>
      </c>
      <c r="AN57" s="35" t="str">
        <f aca="false">IFERROR(CHOOSE(MATCH(INDEX(時間ごとの判定!$AK$3:$AK$1850,1285),{"利用可","両方停止","運転がそろわない","判定不能"},0),"○","停","×","－"),"")</f>
        <v>－</v>
      </c>
      <c r="AO57" s="35" t="str">
        <f aca="false">IFERROR(CHOOSE(MATCH(INDEX(時間ごとの判定!$AK$3:$AK$1850,1286),{"利用可","両方停止","運転がそろわない","判定不能"},0),"○","停","×","－"),"")</f>
        <v>－</v>
      </c>
      <c r="AP57" s="35" t="str">
        <f aca="false">IFERROR(CHOOSE(MATCH(INDEX(時間ごとの判定!$AK$3:$AK$1850,1287),{"利用可","両方停止","運転がそろわない","判定不能"},0),"○","停","×","－"),"")</f>
        <v>－</v>
      </c>
      <c r="AQ57" s="35" t="str">
        <f aca="false">IFERROR(CHOOSE(MATCH(INDEX(時間ごとの判定!$AK$3:$AK$1850,1288),{"利用可","両方停止","運転がそろわない","判定不能"},0),"○","停","×","－"),"")</f>
        <v>－</v>
      </c>
      <c r="AR57" s="35" t="str">
        <f aca="false">IFERROR(CHOOSE(MATCH(INDEX(時間ごとの判定!$AK$3:$AK$1850,1289),{"利用可","両方停止","運転がそろわない","判定不能"},0),"○","停","×","－"),"")</f>
        <v>－</v>
      </c>
      <c r="AS57" s="35" t="str">
        <f aca="false">IFERROR(CHOOSE(MATCH(INDEX(時間ごとの判定!$AK$3:$AK$1850,1290),{"利用可","両方停止","運転がそろわない","判定不能"},0),"○","停","×","－"),"")</f>
        <v>－</v>
      </c>
      <c r="AT57" s="35" t="str">
        <f aca="false">IFERROR(CHOOSE(MATCH(INDEX(時間ごとの判定!$AK$3:$AK$1850,1291),{"利用可","両方停止","運転がそろわない","判定不能"},0),"○","停","×","－"),"")</f>
        <v>－</v>
      </c>
      <c r="AU57" s="35" t="str">
        <f aca="false">IFERROR(CHOOSE(MATCH(INDEX(時間ごとの判定!$AK$3:$AK$1850,1292),{"利用可","両方停止","運転がそろわない","判定不能"},0),"○","停","×","－"),"")</f>
        <v>－</v>
      </c>
      <c r="AV57" s="35" t="str">
        <f aca="false">IFERROR(CHOOSE(MATCH(INDEX(時間ごとの判定!$AK$3:$AK$1850,1293),{"利用可","両方停止","運転がそろわない","判定不能"},0),"○","停","×","－"),"")</f>
        <v>－</v>
      </c>
      <c r="AW57" s="35" t="str">
        <f aca="false">IFERROR(CHOOSE(MATCH(INDEX(時間ごとの判定!$AK$3:$AK$1850,1294),{"利用可","両方停止","運転がそろわない","判定不能"},0),"○","停","×","－"),"")</f>
        <v>－</v>
      </c>
      <c r="AX57" s="35" t="str">
        <f aca="false">IFERROR(CHOOSE(MATCH(INDEX(時間ごとの判定!$AK$3:$AK$1850,1295),{"利用可","両方停止","運転がそろわない","判定不能"},0),"○","停","×","－"),"")</f>
        <v>－</v>
      </c>
      <c r="AY57" s="35" t="str">
        <f aca="false">IFERROR(CHOOSE(MATCH(INDEX(時間ごとの判定!$AK$3:$AK$1850,1296),{"利用可","両方停止","運転がそろわない","判定不能"},0),"○","停","×","－"),"")</f>
        <v>－</v>
      </c>
      <c r="AZ57" s="35"/>
      <c r="BA57" s="35" t="str">
        <f aca="false">IFERROR(CHOOSE(MATCH(INDEX(時間ごとの判定!$AN$3:$AN$1850,1273),{"利用可","両方停止","運転がそろわない","判定不能"},0),"○","停","×","－"),"")</f>
        <v>停</v>
      </c>
      <c r="BB57" s="35" t="str">
        <f aca="false">IFERROR(CHOOSE(MATCH(INDEX(時間ごとの判定!$AN$3:$AN$1850,1274),{"利用可","両方停止","運転がそろわない","判定不能"},0),"○","停","×","－"),"")</f>
        <v>停</v>
      </c>
      <c r="BC57" s="35" t="str">
        <f aca="false">IFERROR(CHOOSE(MATCH(INDEX(時間ごとの判定!$AN$3:$AN$1850,1275),{"利用可","両方停止","運転がそろわない","判定不能"},0),"○","停","×","－"),"")</f>
        <v>停</v>
      </c>
      <c r="BD57" s="35" t="str">
        <f aca="false">IFERROR(CHOOSE(MATCH(INDEX(時間ごとの判定!$AN$3:$AN$1850,1276),{"利用可","両方停止","運転がそろわない","判定不能"},0),"○","停","×","－"),"")</f>
        <v>停</v>
      </c>
      <c r="BE57" s="35" t="str">
        <f aca="false">IFERROR(CHOOSE(MATCH(INDEX(時間ごとの判定!$AN$3:$AN$1850,1277),{"利用可","両方停止","運転がそろわない","判定不能"},0),"○","停","×","－"),"")</f>
        <v>停</v>
      </c>
      <c r="BF57" s="35" t="str">
        <f aca="false">IFERROR(CHOOSE(MATCH(INDEX(時間ごとの判定!$AN$3:$AN$1850,1278),{"利用可","両方停止","運転がそろわない","判定不能"},0),"○","停","×","－"),"")</f>
        <v>停</v>
      </c>
      <c r="BG57" s="35" t="str">
        <f aca="false">IFERROR(CHOOSE(MATCH(INDEX(時間ごとの判定!$AN$3:$AN$1850,1279),{"利用可","両方停止","運転がそろわない","判定不能"},0),"○","停","×","－"),"")</f>
        <v>停</v>
      </c>
      <c r="BH57" s="35" t="str">
        <f aca="false">IFERROR(CHOOSE(MATCH(INDEX(時間ごとの判定!$AN$3:$AN$1850,1280),{"利用可","両方停止","運転がそろわない","判定不能"},0),"○","停","×","－"),"")</f>
        <v>停</v>
      </c>
      <c r="BI57" s="35" t="str">
        <f aca="false">IFERROR(CHOOSE(MATCH(INDEX(時間ごとの判定!$AN$3:$AN$1850,1281),{"利用可","両方停止","運転がそろわない","判定不能"},0),"○","停","×","－"),"")</f>
        <v>停</v>
      </c>
      <c r="BJ57" s="35" t="str">
        <f aca="false">IFERROR(CHOOSE(MATCH(INDEX(時間ごとの判定!$AN$3:$AN$1850,1282),{"利用可","両方停止","運転がそろわない","判定不能"},0),"○","停","×","－"),"")</f>
        <v>停</v>
      </c>
      <c r="BK57" s="35" t="str">
        <f aca="false">IFERROR(CHOOSE(MATCH(INDEX(時間ごとの判定!$AN$3:$AN$1850,1283),{"利用可","両方停止","運転がそろわない","判定不能"},0),"○","停","×","－"),"")</f>
        <v>×</v>
      </c>
      <c r="BL57" s="35" t="str">
        <f aca="false">IFERROR(CHOOSE(MATCH(INDEX(時間ごとの判定!$AN$3:$AN$1850,1284),{"利用可","両方停止","運転がそろわない","判定不能"},0),"○","停","×","－"),"")</f>
        <v>×</v>
      </c>
      <c r="BM57" s="35" t="str">
        <f aca="false">IFERROR(CHOOSE(MATCH(INDEX(時間ごとの判定!$AN$3:$AN$1850,1285),{"利用可","両方停止","運転がそろわない","判定不能"},0),"○","停","×","－"),"")</f>
        <v>×</v>
      </c>
      <c r="BN57" s="35" t="str">
        <f aca="false">IFERROR(CHOOSE(MATCH(INDEX(時間ごとの判定!$AN$3:$AN$1850,1286),{"利用可","両方停止","運転がそろわない","判定不能"},0),"○","停","×","－"),"")</f>
        <v>×</v>
      </c>
      <c r="BO57" s="35" t="str">
        <f aca="false">IFERROR(CHOOSE(MATCH(INDEX(時間ごとの判定!$AN$3:$AN$1850,1287),{"利用可","両方停止","運転がそろわない","判定不能"},0),"○","停","×","－"),"")</f>
        <v>×</v>
      </c>
      <c r="BP57" s="35" t="str">
        <f aca="false">IFERROR(CHOOSE(MATCH(INDEX(時間ごとの判定!$AN$3:$AN$1850,1288),{"利用可","両方停止","運転がそろわない","判定不能"},0),"○","停","×","－"),"")</f>
        <v>×</v>
      </c>
      <c r="BQ57" s="35" t="str">
        <f aca="false">IFERROR(CHOOSE(MATCH(INDEX(時間ごとの判定!$AN$3:$AN$1850,1289),{"利用可","両方停止","運転がそろわない","判定不能"},0),"○","停","×","－"),"")</f>
        <v>×</v>
      </c>
      <c r="BR57" s="35" t="str">
        <f aca="false">IFERROR(CHOOSE(MATCH(INDEX(時間ごとの判定!$AN$3:$AN$1850,1290),{"利用可","両方停止","運転がそろわない","判定不能"},0),"○","停","×","－"),"")</f>
        <v>×</v>
      </c>
      <c r="BS57" s="35" t="str">
        <f aca="false">IFERROR(CHOOSE(MATCH(INDEX(時間ごとの判定!$AN$3:$AN$1850,1291),{"利用可","両方停止","運転がそろわない","判定不能"},0),"○","停","×","－"),"")</f>
        <v>×</v>
      </c>
      <c r="BT57" s="35" t="str">
        <f aca="false">IFERROR(CHOOSE(MATCH(INDEX(時間ごとの判定!$AN$3:$AN$1850,1292),{"利用可","両方停止","運転がそろわない","判定不能"},0),"○","停","×","－"),"")</f>
        <v>停</v>
      </c>
      <c r="BU57" s="35" t="str">
        <f aca="false">IFERROR(CHOOSE(MATCH(INDEX(時間ごとの判定!$AN$3:$AN$1850,1293),{"利用可","両方停止","運転がそろわない","判定不能"},0),"○","停","×","－"),"")</f>
        <v>停</v>
      </c>
      <c r="BV57" s="35" t="str">
        <f aca="false">IFERROR(CHOOSE(MATCH(INDEX(時間ごとの判定!$AN$3:$AN$1850,1294),{"利用可","両方停止","運転がそろわない","判定不能"},0),"○","停","×","－"),"")</f>
        <v>停</v>
      </c>
      <c r="BW57" s="35" t="str">
        <f aca="false">IFERROR(CHOOSE(MATCH(INDEX(時間ごとの判定!$AN$3:$AN$1850,1295),{"利用可","両方停止","運転がそろわない","判定不能"},0),"○","停","×","－"),"")</f>
        <v>停</v>
      </c>
      <c r="BX57" s="35" t="str">
        <f aca="false">IFERROR(CHOOSE(MATCH(INDEX(時間ごとの判定!$AN$3:$AN$1850,1296),{"利用可","両方停止","運転がそろわない","判定不能"},0),"○","停","×","－"),"")</f>
        <v>停</v>
      </c>
    </row>
    <row r="58" customFormat="false" ht="15" hidden="false" customHeight="false" outlineLevel="0" collapsed="false">
      <c r="A58" s="33" t="n">
        <v>46286</v>
      </c>
      <c r="B58" s="36" t="s">
        <v>66</v>
      </c>
      <c r="C58" s="35" t="str">
        <f aca="false">IFERROR(CHOOSE(MATCH(INDEX(時間ごとの判定!$AH$3:$AH$1850,1297),{"利用可","両方停止","運転がそろわない","判定不能"},0),"○","停","×","－"),"")</f>
        <v>停</v>
      </c>
      <c r="D58" s="35" t="str">
        <f aca="false">IFERROR(CHOOSE(MATCH(INDEX(時間ごとの判定!$AH$3:$AH$1850,1298),{"利用可","両方停止","運転がそろわない","判定不能"},0),"○","停","×","－"),"")</f>
        <v>停</v>
      </c>
      <c r="E58" s="35" t="str">
        <f aca="false">IFERROR(CHOOSE(MATCH(INDEX(時間ごとの判定!$AH$3:$AH$1850,1299),{"利用可","両方停止","運転がそろわない","判定不能"},0),"○","停","×","－"),"")</f>
        <v>停</v>
      </c>
      <c r="F58" s="35" t="str">
        <f aca="false">IFERROR(CHOOSE(MATCH(INDEX(時間ごとの判定!$AH$3:$AH$1850,1300),{"利用可","両方停止","運転がそろわない","判定不能"},0),"○","停","×","－"),"")</f>
        <v>停</v>
      </c>
      <c r="G58" s="35" t="str">
        <f aca="false">IFERROR(CHOOSE(MATCH(INDEX(時間ごとの判定!$AH$3:$AH$1850,1301),{"利用可","両方停止","運転がそろわない","判定不能"},0),"○","停","×","－"),"")</f>
        <v>停</v>
      </c>
      <c r="H58" s="35" t="str">
        <f aca="false">IFERROR(CHOOSE(MATCH(INDEX(時間ごとの判定!$AH$3:$AH$1850,1302),{"利用可","両方停止","運転がそろわない","判定不能"},0),"○","停","×","－"),"")</f>
        <v>停</v>
      </c>
      <c r="I58" s="35" t="str">
        <f aca="false">IFERROR(CHOOSE(MATCH(INDEX(時間ごとの判定!$AH$3:$AH$1850,1303),{"利用可","両方停止","運転がそろわない","判定不能"},0),"○","停","×","－"),"")</f>
        <v>停</v>
      </c>
      <c r="J58" s="35" t="str">
        <f aca="false">IFERROR(CHOOSE(MATCH(INDEX(時間ごとの判定!$AH$3:$AH$1850,1304),{"利用可","両方停止","運転がそろわない","判定不能"},0),"○","停","×","－"),"")</f>
        <v>停</v>
      </c>
      <c r="K58" s="35" t="str">
        <f aca="false">IFERROR(CHOOSE(MATCH(INDEX(時間ごとの判定!$AH$3:$AH$1850,1305),{"利用可","両方停止","運転がそろわない","判定不能"},0),"○","停","×","－"),"")</f>
        <v>停</v>
      </c>
      <c r="L58" s="35" t="str">
        <f aca="false">IFERROR(CHOOSE(MATCH(INDEX(時間ごとの判定!$AH$3:$AH$1850,1306),{"利用可","両方停止","運転がそろわない","判定不能"},0),"○","停","×","－"),"")</f>
        <v>×</v>
      </c>
      <c r="M58" s="35" t="str">
        <f aca="false">IFERROR(CHOOSE(MATCH(INDEX(時間ごとの判定!$AH$3:$AH$1850,1307),{"利用可","両方停止","運転がそろわない","判定不能"},0),"○","停","×","－"),"")</f>
        <v>停</v>
      </c>
      <c r="N58" s="35" t="str">
        <f aca="false">IFERROR(CHOOSE(MATCH(INDEX(時間ごとの判定!$AH$3:$AH$1850,1308),{"利用可","両方停止","運転がそろわない","判定不能"},0),"○","停","×","－"),"")</f>
        <v>停</v>
      </c>
      <c r="O58" s="35" t="str">
        <f aca="false">IFERROR(CHOOSE(MATCH(INDEX(時間ごとの判定!$AH$3:$AH$1850,1309),{"利用可","両方停止","運転がそろわない","判定不能"},0),"○","停","×","－"),"")</f>
        <v>停</v>
      </c>
      <c r="P58" s="35" t="str">
        <f aca="false">IFERROR(CHOOSE(MATCH(INDEX(時間ごとの判定!$AH$3:$AH$1850,1310),{"利用可","両方停止","運転がそろわない","判定不能"},0),"○","停","×","－"),"")</f>
        <v>停</v>
      </c>
      <c r="Q58" s="35" t="str">
        <f aca="false">IFERROR(CHOOSE(MATCH(INDEX(時間ごとの判定!$AH$3:$AH$1850,1311),{"利用可","両方停止","運転がそろわない","判定不能"},0),"○","停","×","－"),"")</f>
        <v>停</v>
      </c>
      <c r="R58" s="35" t="str">
        <f aca="false">IFERROR(CHOOSE(MATCH(INDEX(時間ごとの判定!$AH$3:$AH$1850,1312),{"利用可","両方停止","運転がそろわない","判定不能"},0),"○","停","×","－"),"")</f>
        <v>停</v>
      </c>
      <c r="S58" s="35" t="str">
        <f aca="false">IFERROR(CHOOSE(MATCH(INDEX(時間ごとの判定!$AH$3:$AH$1850,1313),{"利用可","両方停止","運転がそろわない","判定不能"},0),"○","停","×","－"),"")</f>
        <v>停</v>
      </c>
      <c r="T58" s="35" t="str">
        <f aca="false">IFERROR(CHOOSE(MATCH(INDEX(時間ごとの判定!$AH$3:$AH$1850,1314),{"利用可","両方停止","運転がそろわない","判定不能"},0),"○","停","×","－"),"")</f>
        <v>停</v>
      </c>
      <c r="U58" s="35" t="str">
        <f aca="false">IFERROR(CHOOSE(MATCH(INDEX(時間ごとの判定!$AH$3:$AH$1850,1315),{"利用可","両方停止","運転がそろわない","判定不能"},0),"○","停","×","－"),"")</f>
        <v>停</v>
      </c>
      <c r="V58" s="35" t="str">
        <f aca="false">IFERROR(CHOOSE(MATCH(INDEX(時間ごとの判定!$AH$3:$AH$1850,1316),{"利用可","両方停止","運転がそろわない","判定不能"},0),"○","停","×","－"),"")</f>
        <v>停</v>
      </c>
      <c r="W58" s="35" t="str">
        <f aca="false">IFERROR(CHOOSE(MATCH(INDEX(時間ごとの判定!$AH$3:$AH$1850,1317),{"利用可","両方停止","運転がそろわない","判定不能"},0),"○","停","×","－"),"")</f>
        <v>停</v>
      </c>
      <c r="X58" s="35" t="str">
        <f aca="false">IFERROR(CHOOSE(MATCH(INDEX(時間ごとの判定!$AH$3:$AH$1850,1318),{"利用可","両方停止","運転がそろわない","判定不能"},0),"○","停","×","－"),"")</f>
        <v>停</v>
      </c>
      <c r="Y58" s="35" t="str">
        <f aca="false">IFERROR(CHOOSE(MATCH(INDEX(時間ごとの判定!$AH$3:$AH$1850,1319),{"利用可","両方停止","運転がそろわない","判定不能"},0),"○","停","×","－"),"")</f>
        <v>停</v>
      </c>
      <c r="Z58" s="35" t="str">
        <f aca="false">IFERROR(CHOOSE(MATCH(INDEX(時間ごとの判定!$AH$3:$AH$1850,1320),{"利用可","両方停止","運転がそろわない","判定不能"},0),"○","停","×","－"),"")</f>
        <v>停</v>
      </c>
      <c r="AA58" s="35"/>
      <c r="AB58" s="35" t="str">
        <f aca="false">IFERROR(CHOOSE(MATCH(INDEX(時間ごとの判定!$AK$3:$AK$1850,1297),{"利用可","両方停止","運転がそろわない","判定不能"},0),"○","停","×","－"),"")</f>
        <v>－</v>
      </c>
      <c r="AC58" s="35" t="str">
        <f aca="false">IFERROR(CHOOSE(MATCH(INDEX(時間ごとの判定!$AK$3:$AK$1850,1298),{"利用可","両方停止","運転がそろわない","判定不能"},0),"○","停","×","－"),"")</f>
        <v>－</v>
      </c>
      <c r="AD58" s="35" t="str">
        <f aca="false">IFERROR(CHOOSE(MATCH(INDEX(時間ごとの判定!$AK$3:$AK$1850,1299),{"利用可","両方停止","運転がそろわない","判定不能"},0),"○","停","×","－"),"")</f>
        <v>－</v>
      </c>
      <c r="AE58" s="35" t="str">
        <f aca="false">IFERROR(CHOOSE(MATCH(INDEX(時間ごとの判定!$AK$3:$AK$1850,1300),{"利用可","両方停止","運転がそろわない","判定不能"},0),"○","停","×","－"),"")</f>
        <v>－</v>
      </c>
      <c r="AF58" s="35" t="str">
        <f aca="false">IFERROR(CHOOSE(MATCH(INDEX(時間ごとの判定!$AK$3:$AK$1850,1301),{"利用可","両方停止","運転がそろわない","判定不能"},0),"○","停","×","－"),"")</f>
        <v>－</v>
      </c>
      <c r="AG58" s="35" t="str">
        <f aca="false">IFERROR(CHOOSE(MATCH(INDEX(時間ごとの判定!$AK$3:$AK$1850,1302),{"利用可","両方停止","運転がそろわない","判定不能"},0),"○","停","×","－"),"")</f>
        <v>－</v>
      </c>
      <c r="AH58" s="35" t="str">
        <f aca="false">IFERROR(CHOOSE(MATCH(INDEX(時間ごとの判定!$AK$3:$AK$1850,1303),{"利用可","両方停止","運転がそろわない","判定不能"},0),"○","停","×","－"),"")</f>
        <v>－</v>
      </c>
      <c r="AI58" s="35" t="str">
        <f aca="false">IFERROR(CHOOSE(MATCH(INDEX(時間ごとの判定!$AK$3:$AK$1850,1304),{"利用可","両方停止","運転がそろわない","判定不能"},0),"○","停","×","－"),"")</f>
        <v>－</v>
      </c>
      <c r="AJ58" s="35" t="str">
        <f aca="false">IFERROR(CHOOSE(MATCH(INDEX(時間ごとの判定!$AK$3:$AK$1850,1305),{"利用可","両方停止","運転がそろわない","判定不能"},0),"○","停","×","－"),"")</f>
        <v>－</v>
      </c>
      <c r="AK58" s="35" t="str">
        <f aca="false">IFERROR(CHOOSE(MATCH(INDEX(時間ごとの判定!$AK$3:$AK$1850,1306),{"利用可","両方停止","運転がそろわない","判定不能"},0),"○","停","×","－"),"")</f>
        <v>－</v>
      </c>
      <c r="AL58" s="35" t="str">
        <f aca="false">IFERROR(CHOOSE(MATCH(INDEX(時間ごとの判定!$AK$3:$AK$1850,1307),{"利用可","両方停止","運転がそろわない","判定不能"},0),"○","停","×","－"),"")</f>
        <v>－</v>
      </c>
      <c r="AM58" s="35" t="str">
        <f aca="false">IFERROR(CHOOSE(MATCH(INDEX(時間ごとの判定!$AK$3:$AK$1850,1308),{"利用可","両方停止","運転がそろわない","判定不能"},0),"○","停","×","－"),"")</f>
        <v>－</v>
      </c>
      <c r="AN58" s="35" t="str">
        <f aca="false">IFERROR(CHOOSE(MATCH(INDEX(時間ごとの判定!$AK$3:$AK$1850,1309),{"利用可","両方停止","運転がそろわない","判定不能"},0),"○","停","×","－"),"")</f>
        <v>－</v>
      </c>
      <c r="AO58" s="35" t="str">
        <f aca="false">IFERROR(CHOOSE(MATCH(INDEX(時間ごとの判定!$AK$3:$AK$1850,1310),{"利用可","両方停止","運転がそろわない","判定不能"},0),"○","停","×","－"),"")</f>
        <v>－</v>
      </c>
      <c r="AP58" s="35" t="str">
        <f aca="false">IFERROR(CHOOSE(MATCH(INDEX(時間ごとの判定!$AK$3:$AK$1850,1311),{"利用可","両方停止","運転がそろわない","判定不能"},0),"○","停","×","－"),"")</f>
        <v>－</v>
      </c>
      <c r="AQ58" s="35" t="str">
        <f aca="false">IFERROR(CHOOSE(MATCH(INDEX(時間ごとの判定!$AK$3:$AK$1850,1312),{"利用可","両方停止","運転がそろわない","判定不能"},0),"○","停","×","－"),"")</f>
        <v>－</v>
      </c>
      <c r="AR58" s="35" t="str">
        <f aca="false">IFERROR(CHOOSE(MATCH(INDEX(時間ごとの判定!$AK$3:$AK$1850,1313),{"利用可","両方停止","運転がそろわない","判定不能"},0),"○","停","×","－"),"")</f>
        <v>－</v>
      </c>
      <c r="AS58" s="35" t="str">
        <f aca="false">IFERROR(CHOOSE(MATCH(INDEX(時間ごとの判定!$AK$3:$AK$1850,1314),{"利用可","両方停止","運転がそろわない","判定不能"},0),"○","停","×","－"),"")</f>
        <v>－</v>
      </c>
      <c r="AT58" s="35" t="str">
        <f aca="false">IFERROR(CHOOSE(MATCH(INDEX(時間ごとの判定!$AK$3:$AK$1850,1315),{"利用可","両方停止","運転がそろわない","判定不能"},0),"○","停","×","－"),"")</f>
        <v>－</v>
      </c>
      <c r="AU58" s="35" t="str">
        <f aca="false">IFERROR(CHOOSE(MATCH(INDEX(時間ごとの判定!$AK$3:$AK$1850,1316),{"利用可","両方停止","運転がそろわない","判定不能"},0),"○","停","×","－"),"")</f>
        <v>－</v>
      </c>
      <c r="AV58" s="35" t="str">
        <f aca="false">IFERROR(CHOOSE(MATCH(INDEX(時間ごとの判定!$AK$3:$AK$1850,1317),{"利用可","両方停止","運転がそろわない","判定不能"},0),"○","停","×","－"),"")</f>
        <v>－</v>
      </c>
      <c r="AW58" s="35" t="str">
        <f aca="false">IFERROR(CHOOSE(MATCH(INDEX(時間ごとの判定!$AK$3:$AK$1850,1318),{"利用可","両方停止","運転がそろわない","判定不能"},0),"○","停","×","－"),"")</f>
        <v>－</v>
      </c>
      <c r="AX58" s="35" t="str">
        <f aca="false">IFERROR(CHOOSE(MATCH(INDEX(時間ごとの判定!$AK$3:$AK$1850,1319),{"利用可","両方停止","運転がそろわない","判定不能"},0),"○","停","×","－"),"")</f>
        <v>－</v>
      </c>
      <c r="AY58" s="35" t="str">
        <f aca="false">IFERROR(CHOOSE(MATCH(INDEX(時間ごとの判定!$AK$3:$AK$1850,1320),{"利用可","両方停止","運転がそろわない","判定不能"},0),"○","停","×","－"),"")</f>
        <v>－</v>
      </c>
      <c r="AZ58" s="35"/>
      <c r="BA58" s="35" t="str">
        <f aca="false">IFERROR(CHOOSE(MATCH(INDEX(時間ごとの判定!$AN$3:$AN$1850,1297),{"利用可","両方停止","運転がそろわない","判定不能"},0),"○","停","×","－"),"")</f>
        <v>停</v>
      </c>
      <c r="BB58" s="35" t="str">
        <f aca="false">IFERROR(CHOOSE(MATCH(INDEX(時間ごとの判定!$AN$3:$AN$1850,1298),{"利用可","両方停止","運転がそろわない","判定不能"},0),"○","停","×","－"),"")</f>
        <v>停</v>
      </c>
      <c r="BC58" s="35" t="str">
        <f aca="false">IFERROR(CHOOSE(MATCH(INDEX(時間ごとの判定!$AN$3:$AN$1850,1299),{"利用可","両方停止","運転がそろわない","判定不能"},0),"○","停","×","－"),"")</f>
        <v>停</v>
      </c>
      <c r="BD58" s="35" t="str">
        <f aca="false">IFERROR(CHOOSE(MATCH(INDEX(時間ごとの判定!$AN$3:$AN$1850,1300),{"利用可","両方停止","運転がそろわない","判定不能"},0),"○","停","×","－"),"")</f>
        <v>停</v>
      </c>
      <c r="BE58" s="35" t="str">
        <f aca="false">IFERROR(CHOOSE(MATCH(INDEX(時間ごとの判定!$AN$3:$AN$1850,1301),{"利用可","両方停止","運転がそろわない","判定不能"},0),"○","停","×","－"),"")</f>
        <v>停</v>
      </c>
      <c r="BF58" s="35" t="str">
        <f aca="false">IFERROR(CHOOSE(MATCH(INDEX(時間ごとの判定!$AN$3:$AN$1850,1302),{"利用可","両方停止","運転がそろわない","判定不能"},0),"○","停","×","－"),"")</f>
        <v>停</v>
      </c>
      <c r="BG58" s="35" t="str">
        <f aca="false">IFERROR(CHOOSE(MATCH(INDEX(時間ごとの判定!$AN$3:$AN$1850,1303),{"利用可","両方停止","運転がそろわない","判定不能"},0),"○","停","×","－"),"")</f>
        <v>停</v>
      </c>
      <c r="BH58" s="35" t="str">
        <f aca="false">IFERROR(CHOOSE(MATCH(INDEX(時間ごとの判定!$AN$3:$AN$1850,1304),{"利用可","両方停止","運転がそろわない","判定不能"},0),"○","停","×","－"),"")</f>
        <v>停</v>
      </c>
      <c r="BI58" s="35" t="str">
        <f aca="false">IFERROR(CHOOSE(MATCH(INDEX(時間ごとの判定!$AN$3:$AN$1850,1305),{"利用可","両方停止","運転がそろわない","判定不能"},0),"○","停","×","－"),"")</f>
        <v>停</v>
      </c>
      <c r="BJ58" s="35" t="str">
        <f aca="false">IFERROR(CHOOSE(MATCH(INDEX(時間ごとの判定!$AN$3:$AN$1850,1306),{"利用可","両方停止","運転がそろわない","判定不能"},0),"○","停","×","－"),"")</f>
        <v>停</v>
      </c>
      <c r="BK58" s="35" t="str">
        <f aca="false">IFERROR(CHOOSE(MATCH(INDEX(時間ごとの判定!$AN$3:$AN$1850,1307),{"利用可","両方停止","運転がそろわない","判定不能"},0),"○","停","×","－"),"")</f>
        <v>停</v>
      </c>
      <c r="BL58" s="35" t="str">
        <f aca="false">IFERROR(CHOOSE(MATCH(INDEX(時間ごとの判定!$AN$3:$AN$1850,1308),{"利用可","両方停止","運転がそろわない","判定不能"},0),"○","停","×","－"),"")</f>
        <v>×</v>
      </c>
      <c r="BM58" s="35" t="str">
        <f aca="false">IFERROR(CHOOSE(MATCH(INDEX(時間ごとの判定!$AN$3:$AN$1850,1309),{"利用可","両方停止","運転がそろわない","判定不能"},0),"○","停","×","－"),"")</f>
        <v>×</v>
      </c>
      <c r="BN58" s="35" t="str">
        <f aca="false">IFERROR(CHOOSE(MATCH(INDEX(時間ごとの判定!$AN$3:$AN$1850,1310),{"利用可","両方停止","運転がそろわない","判定不能"},0),"○","停","×","－"),"")</f>
        <v>×</v>
      </c>
      <c r="BO58" s="35" t="str">
        <f aca="false">IFERROR(CHOOSE(MATCH(INDEX(時間ごとの判定!$AN$3:$AN$1850,1311),{"利用可","両方停止","運転がそろわない","判定不能"},0),"○","停","×","－"),"")</f>
        <v>×</v>
      </c>
      <c r="BP58" s="35" t="str">
        <f aca="false">IFERROR(CHOOSE(MATCH(INDEX(時間ごとの判定!$AN$3:$AN$1850,1312),{"利用可","両方停止","運転がそろわない","判定不能"},0),"○","停","×","－"),"")</f>
        <v>×</v>
      </c>
      <c r="BQ58" s="35" t="str">
        <f aca="false">IFERROR(CHOOSE(MATCH(INDEX(時間ごとの判定!$AN$3:$AN$1850,1313),{"利用可","両方停止","運転がそろわない","判定不能"},0),"○","停","×","－"),"")</f>
        <v>停</v>
      </c>
      <c r="BR58" s="35" t="str">
        <f aca="false">IFERROR(CHOOSE(MATCH(INDEX(時間ごとの判定!$AN$3:$AN$1850,1314),{"利用可","両方停止","運転がそろわない","判定不能"},0),"○","停","×","－"),"")</f>
        <v>停</v>
      </c>
      <c r="BS58" s="35" t="str">
        <f aca="false">IFERROR(CHOOSE(MATCH(INDEX(時間ごとの判定!$AN$3:$AN$1850,1315),{"利用可","両方停止","運転がそろわない","判定不能"},0),"○","停","×","－"),"")</f>
        <v>停</v>
      </c>
      <c r="BT58" s="35" t="str">
        <f aca="false">IFERROR(CHOOSE(MATCH(INDEX(時間ごとの判定!$AN$3:$AN$1850,1316),{"利用可","両方停止","運転がそろわない","判定不能"},0),"○","停","×","－"),"")</f>
        <v>停</v>
      </c>
      <c r="BU58" s="35" t="str">
        <f aca="false">IFERROR(CHOOSE(MATCH(INDEX(時間ごとの判定!$AN$3:$AN$1850,1317),{"利用可","両方停止","運転がそろわない","判定不能"},0),"○","停","×","－"),"")</f>
        <v>停</v>
      </c>
      <c r="BV58" s="35" t="str">
        <f aca="false">IFERROR(CHOOSE(MATCH(INDEX(時間ごとの判定!$AN$3:$AN$1850,1318),{"利用可","両方停止","運転がそろわない","判定不能"},0),"○","停","×","－"),"")</f>
        <v>停</v>
      </c>
      <c r="BW58" s="35" t="str">
        <f aca="false">IFERROR(CHOOSE(MATCH(INDEX(時間ごとの判定!$AN$3:$AN$1850,1319),{"利用可","両方停止","運転がそろわない","判定不能"},0),"○","停","×","－"),"")</f>
        <v>停</v>
      </c>
      <c r="BX58" s="35" t="str">
        <f aca="false">IFERROR(CHOOSE(MATCH(INDEX(時間ごとの判定!$AN$3:$AN$1850,1320),{"利用可","両方停止","運転がそろわない","判定不能"},0),"○","停","×","－"),"")</f>
        <v>停</v>
      </c>
    </row>
    <row r="59" customFormat="false" ht="15" hidden="false" customHeight="false" outlineLevel="0" collapsed="false">
      <c r="A59" s="33" t="n">
        <v>46287</v>
      </c>
      <c r="B59" s="36" t="s">
        <v>67</v>
      </c>
      <c r="C59" s="35" t="str">
        <f aca="false">IFERROR(CHOOSE(MATCH(INDEX(時間ごとの判定!$AH$3:$AH$1850,1321),{"利用可","両方停止","運転がそろわない","判定不能"},0),"○","停","×","－"),"")</f>
        <v>停</v>
      </c>
      <c r="D59" s="35" t="str">
        <f aca="false">IFERROR(CHOOSE(MATCH(INDEX(時間ごとの判定!$AH$3:$AH$1850,1322),{"利用可","両方停止","運転がそろわない","判定不能"},0),"○","停","×","－"),"")</f>
        <v>停</v>
      </c>
      <c r="E59" s="35" t="str">
        <f aca="false">IFERROR(CHOOSE(MATCH(INDEX(時間ごとの判定!$AH$3:$AH$1850,1323),{"利用可","両方停止","運転がそろわない","判定不能"},0),"○","停","×","－"),"")</f>
        <v>×</v>
      </c>
      <c r="F59" s="35" t="str">
        <f aca="false">IFERROR(CHOOSE(MATCH(INDEX(時間ごとの判定!$AH$3:$AH$1850,1324),{"利用可","両方停止","運転がそろわない","判定不能"},0),"○","停","×","－"),"")</f>
        <v>停</v>
      </c>
      <c r="G59" s="35" t="str">
        <f aca="false">IFERROR(CHOOSE(MATCH(INDEX(時間ごとの判定!$AH$3:$AH$1850,1325),{"利用可","両方停止","運転がそろわない","判定不能"},0),"○","停","×","－"),"")</f>
        <v>停</v>
      </c>
      <c r="H59" s="35" t="str">
        <f aca="false">IFERROR(CHOOSE(MATCH(INDEX(時間ごとの判定!$AH$3:$AH$1850,1326),{"利用可","両方停止","運転がそろわない","判定不能"},0),"○","停","×","－"),"")</f>
        <v>停</v>
      </c>
      <c r="I59" s="35" t="str">
        <f aca="false">IFERROR(CHOOSE(MATCH(INDEX(時間ごとの判定!$AH$3:$AH$1850,1327),{"利用可","両方停止","運転がそろわない","判定不能"},0),"○","停","×","－"),"")</f>
        <v>×</v>
      </c>
      <c r="J59" s="35" t="str">
        <f aca="false">IFERROR(CHOOSE(MATCH(INDEX(時間ごとの判定!$AH$3:$AH$1850,1328),{"利用可","両方停止","運転がそろわない","判定不能"},0),"○","停","×","－"),"")</f>
        <v>×</v>
      </c>
      <c r="K59" s="35" t="str">
        <f aca="false">IFERROR(CHOOSE(MATCH(INDEX(時間ごとの判定!$AH$3:$AH$1850,1329),{"利用可","両方停止","運転がそろわない","判定不能"},0),"○","停","×","－"),"")</f>
        <v>○</v>
      </c>
      <c r="L59" s="35" t="str">
        <f aca="false">IFERROR(CHOOSE(MATCH(INDEX(時間ごとの判定!$AH$3:$AH$1850,1330),{"利用可","両方停止","運転がそろわない","判定不能"},0),"○","停","×","－"),"")</f>
        <v>○</v>
      </c>
      <c r="M59" s="35" t="str">
        <f aca="false">IFERROR(CHOOSE(MATCH(INDEX(時間ごとの判定!$AH$3:$AH$1850,1331),{"利用可","両方停止","運転がそろわない","判定不能"},0),"○","停","×","－"),"")</f>
        <v>○</v>
      </c>
      <c r="N59" s="35" t="str">
        <f aca="false">IFERROR(CHOOSE(MATCH(INDEX(時間ごとの判定!$AH$3:$AH$1850,1332),{"利用可","両方停止","運転がそろわない","判定不能"},0),"○","停","×","－"),"")</f>
        <v>○</v>
      </c>
      <c r="O59" s="35" t="str">
        <f aca="false">IFERROR(CHOOSE(MATCH(INDEX(時間ごとの判定!$AH$3:$AH$1850,1333),{"利用可","両方停止","運転がそろわない","判定不能"},0),"○","停","×","－"),"")</f>
        <v>○</v>
      </c>
      <c r="P59" s="35" t="str">
        <f aca="false">IFERROR(CHOOSE(MATCH(INDEX(時間ごとの判定!$AH$3:$AH$1850,1334),{"利用可","両方停止","運転がそろわない","判定不能"},0),"○","停","×","－"),"")</f>
        <v>○</v>
      </c>
      <c r="Q59" s="35" t="str">
        <f aca="false">IFERROR(CHOOSE(MATCH(INDEX(時間ごとの判定!$AH$3:$AH$1850,1335),{"利用可","両方停止","運転がそろわない","判定不能"},0),"○","停","×","－"),"")</f>
        <v>○</v>
      </c>
      <c r="R59" s="35" t="str">
        <f aca="false">IFERROR(CHOOSE(MATCH(INDEX(時間ごとの判定!$AH$3:$AH$1850,1336),{"利用可","両方停止","運転がそろわない","判定不能"},0),"○","停","×","－"),"")</f>
        <v>×</v>
      </c>
      <c r="S59" s="35" t="str">
        <f aca="false">IFERROR(CHOOSE(MATCH(INDEX(時間ごとの判定!$AH$3:$AH$1850,1337),{"利用可","両方停止","運転がそろわない","判定不能"},0),"○","停","×","－"),"")</f>
        <v>×</v>
      </c>
      <c r="T59" s="35" t="str">
        <f aca="false">IFERROR(CHOOSE(MATCH(INDEX(時間ごとの判定!$AH$3:$AH$1850,1338),{"利用可","両方停止","運転がそろわない","判定不能"},0),"○","停","×","－"),"")</f>
        <v>○</v>
      </c>
      <c r="U59" s="35" t="str">
        <f aca="false">IFERROR(CHOOSE(MATCH(INDEX(時間ごとの判定!$AH$3:$AH$1850,1339),{"利用可","両方停止","運転がそろわない","判定不能"},0),"○","停","×","－"),"")</f>
        <v>×</v>
      </c>
      <c r="V59" s="35" t="str">
        <f aca="false">IFERROR(CHOOSE(MATCH(INDEX(時間ごとの判定!$AH$3:$AH$1850,1340),{"利用可","両方停止","運転がそろわない","判定不能"},0),"○","停","×","－"),"")</f>
        <v>×</v>
      </c>
      <c r="W59" s="35" t="str">
        <f aca="false">IFERROR(CHOOSE(MATCH(INDEX(時間ごとの判定!$AH$3:$AH$1850,1341),{"利用可","両方停止","運転がそろわない","判定不能"},0),"○","停","×","－"),"")</f>
        <v>×</v>
      </c>
      <c r="X59" s="35" t="str">
        <f aca="false">IFERROR(CHOOSE(MATCH(INDEX(時間ごとの判定!$AH$3:$AH$1850,1342),{"利用可","両方停止","運転がそろわない","判定不能"},0),"○","停","×","－"),"")</f>
        <v>停</v>
      </c>
      <c r="Y59" s="35" t="str">
        <f aca="false">IFERROR(CHOOSE(MATCH(INDEX(時間ごとの判定!$AH$3:$AH$1850,1343),{"利用可","両方停止","運転がそろわない","判定不能"},0),"○","停","×","－"),"")</f>
        <v>停</v>
      </c>
      <c r="Z59" s="35" t="str">
        <f aca="false">IFERROR(CHOOSE(MATCH(INDEX(時間ごとの判定!$AH$3:$AH$1850,1344),{"利用可","両方停止","運転がそろわない","判定不能"},0),"○","停","×","－"),"")</f>
        <v>停</v>
      </c>
      <c r="AA59" s="35"/>
      <c r="AB59" s="35" t="str">
        <f aca="false">IFERROR(CHOOSE(MATCH(INDEX(時間ごとの判定!$AK$3:$AK$1850,1321),{"利用可","両方停止","運転がそろわない","判定不能"},0),"○","停","×","－"),"")</f>
        <v>－</v>
      </c>
      <c r="AC59" s="35" t="str">
        <f aca="false">IFERROR(CHOOSE(MATCH(INDEX(時間ごとの判定!$AK$3:$AK$1850,1322),{"利用可","両方停止","運転がそろわない","判定不能"},0),"○","停","×","－"),"")</f>
        <v>－</v>
      </c>
      <c r="AD59" s="35" t="str">
        <f aca="false">IFERROR(CHOOSE(MATCH(INDEX(時間ごとの判定!$AK$3:$AK$1850,1323),{"利用可","両方停止","運転がそろわない","判定不能"},0),"○","停","×","－"),"")</f>
        <v>－</v>
      </c>
      <c r="AE59" s="35" t="str">
        <f aca="false">IFERROR(CHOOSE(MATCH(INDEX(時間ごとの判定!$AK$3:$AK$1850,1324),{"利用可","両方停止","運転がそろわない","判定不能"},0),"○","停","×","－"),"")</f>
        <v>－</v>
      </c>
      <c r="AF59" s="35" t="str">
        <f aca="false">IFERROR(CHOOSE(MATCH(INDEX(時間ごとの判定!$AK$3:$AK$1850,1325),{"利用可","両方停止","運転がそろわない","判定不能"},0),"○","停","×","－"),"")</f>
        <v>－</v>
      </c>
      <c r="AG59" s="35" t="str">
        <f aca="false">IFERROR(CHOOSE(MATCH(INDEX(時間ごとの判定!$AK$3:$AK$1850,1326),{"利用可","両方停止","運転がそろわない","判定不能"},0),"○","停","×","－"),"")</f>
        <v>－</v>
      </c>
      <c r="AH59" s="35" t="str">
        <f aca="false">IFERROR(CHOOSE(MATCH(INDEX(時間ごとの判定!$AK$3:$AK$1850,1327),{"利用可","両方停止","運転がそろわない","判定不能"},0),"○","停","×","－"),"")</f>
        <v>－</v>
      </c>
      <c r="AI59" s="35" t="str">
        <f aca="false">IFERROR(CHOOSE(MATCH(INDEX(時間ごとの判定!$AK$3:$AK$1850,1328),{"利用可","両方停止","運転がそろわない","判定不能"},0),"○","停","×","－"),"")</f>
        <v>－</v>
      </c>
      <c r="AJ59" s="35" t="str">
        <f aca="false">IFERROR(CHOOSE(MATCH(INDEX(時間ごとの判定!$AK$3:$AK$1850,1329),{"利用可","両方停止","運転がそろわない","判定不能"},0),"○","停","×","－"),"")</f>
        <v>－</v>
      </c>
      <c r="AK59" s="35" t="str">
        <f aca="false">IFERROR(CHOOSE(MATCH(INDEX(時間ごとの判定!$AK$3:$AK$1850,1330),{"利用可","両方停止","運転がそろわない","判定不能"},0),"○","停","×","－"),"")</f>
        <v>－</v>
      </c>
      <c r="AL59" s="35" t="str">
        <f aca="false">IFERROR(CHOOSE(MATCH(INDEX(時間ごとの判定!$AK$3:$AK$1850,1331),{"利用可","両方停止","運転がそろわない","判定不能"},0),"○","停","×","－"),"")</f>
        <v>－</v>
      </c>
      <c r="AM59" s="35" t="str">
        <f aca="false">IFERROR(CHOOSE(MATCH(INDEX(時間ごとの判定!$AK$3:$AK$1850,1332),{"利用可","両方停止","運転がそろわない","判定不能"},0),"○","停","×","－"),"")</f>
        <v>－</v>
      </c>
      <c r="AN59" s="35" t="str">
        <f aca="false">IFERROR(CHOOSE(MATCH(INDEX(時間ごとの判定!$AK$3:$AK$1850,1333),{"利用可","両方停止","運転がそろわない","判定不能"},0),"○","停","×","－"),"")</f>
        <v>－</v>
      </c>
      <c r="AO59" s="35" t="str">
        <f aca="false">IFERROR(CHOOSE(MATCH(INDEX(時間ごとの判定!$AK$3:$AK$1850,1334),{"利用可","両方停止","運転がそろわない","判定不能"},0),"○","停","×","－"),"")</f>
        <v>○</v>
      </c>
      <c r="AP59" s="35" t="str">
        <f aca="false">IFERROR(CHOOSE(MATCH(INDEX(時間ごとの判定!$AK$3:$AK$1850,1335),{"利用可","両方停止","運転がそろわない","判定不能"},0),"○","停","×","－"),"")</f>
        <v>○</v>
      </c>
      <c r="AQ59" s="35" t="str">
        <f aca="false">IFERROR(CHOOSE(MATCH(INDEX(時間ごとの判定!$AK$3:$AK$1850,1336),{"利用可","両方停止","運転がそろわない","判定不能"},0),"○","停","×","－"),"")</f>
        <v>×</v>
      </c>
      <c r="AR59" s="35" t="str">
        <f aca="false">IFERROR(CHOOSE(MATCH(INDEX(時間ごとの判定!$AK$3:$AK$1850,1337),{"利用可","両方停止","運転がそろわない","判定不能"},0),"○","停","×","－"),"")</f>
        <v>×</v>
      </c>
      <c r="AS59" s="35" t="str">
        <f aca="false">IFERROR(CHOOSE(MATCH(INDEX(時間ごとの判定!$AK$3:$AK$1850,1338),{"利用可","両方停止","運転がそろわない","判定不能"},0),"○","停","×","－"),"")</f>
        <v>×</v>
      </c>
      <c r="AT59" s="35" t="str">
        <f aca="false">IFERROR(CHOOSE(MATCH(INDEX(時間ごとの判定!$AK$3:$AK$1850,1339),{"利用可","両方停止","運転がそろわない","判定不能"},0),"○","停","×","－"),"")</f>
        <v>×</v>
      </c>
      <c r="AU59" s="35" t="str">
        <f aca="false">IFERROR(CHOOSE(MATCH(INDEX(時間ごとの判定!$AK$3:$AK$1850,1340),{"利用可","両方停止","運転がそろわない","判定不能"},0),"○","停","×","－"),"")</f>
        <v>×</v>
      </c>
      <c r="AV59" s="35" t="str">
        <f aca="false">IFERROR(CHOOSE(MATCH(INDEX(時間ごとの判定!$AK$3:$AK$1850,1341),{"利用可","両方停止","運転がそろわない","判定不能"},0),"○","停","×","－"),"")</f>
        <v>×</v>
      </c>
      <c r="AW59" s="35" t="str">
        <f aca="false">IFERROR(CHOOSE(MATCH(INDEX(時間ごとの判定!$AK$3:$AK$1850,1342),{"利用可","両方停止","運転がそろわない","判定不能"},0),"○","停","×","－"),"")</f>
        <v>停</v>
      </c>
      <c r="AX59" s="35" t="str">
        <f aca="false">IFERROR(CHOOSE(MATCH(INDEX(時間ごとの判定!$AK$3:$AK$1850,1343),{"利用可","両方停止","運転がそろわない","判定不能"},0),"○","停","×","－"),"")</f>
        <v>停</v>
      </c>
      <c r="AY59" s="35" t="str">
        <f aca="false">IFERROR(CHOOSE(MATCH(INDEX(時間ごとの判定!$AK$3:$AK$1850,1344),{"利用可","両方停止","運転がそろわない","判定不能"},0),"○","停","×","－"),"")</f>
        <v>停</v>
      </c>
      <c r="AZ59" s="35"/>
      <c r="BA59" s="35" t="str">
        <f aca="false">IFERROR(CHOOSE(MATCH(INDEX(時間ごとの判定!$AN$3:$AN$1850,1321),{"利用可","両方停止","運転がそろわない","判定不能"},0),"○","停","×","－"),"")</f>
        <v>停</v>
      </c>
      <c r="BB59" s="35" t="str">
        <f aca="false">IFERROR(CHOOSE(MATCH(INDEX(時間ごとの判定!$AN$3:$AN$1850,1322),{"利用可","両方停止","運転がそろわない","判定不能"},0),"○","停","×","－"),"")</f>
        <v>停</v>
      </c>
      <c r="BC59" s="35" t="str">
        <f aca="false">IFERROR(CHOOSE(MATCH(INDEX(時間ごとの判定!$AN$3:$AN$1850,1323),{"利用可","両方停止","運転がそろわない","判定不能"},0),"○","停","×","－"),"")</f>
        <v>停</v>
      </c>
      <c r="BD59" s="35" t="str">
        <f aca="false">IFERROR(CHOOSE(MATCH(INDEX(時間ごとの判定!$AN$3:$AN$1850,1324),{"利用可","両方停止","運転がそろわない","判定不能"},0),"○","停","×","－"),"")</f>
        <v>×</v>
      </c>
      <c r="BE59" s="35" t="str">
        <f aca="false">IFERROR(CHOOSE(MATCH(INDEX(時間ごとの判定!$AN$3:$AN$1850,1325),{"利用可","両方停止","運転がそろわない","判定不能"},0),"○","停","×","－"),"")</f>
        <v>停</v>
      </c>
      <c r="BF59" s="35" t="str">
        <f aca="false">IFERROR(CHOOSE(MATCH(INDEX(時間ごとの判定!$AN$3:$AN$1850,1326),{"利用可","両方停止","運転がそろわない","判定不能"},0),"○","停","×","－"),"")</f>
        <v>停</v>
      </c>
      <c r="BG59" s="35" t="str">
        <f aca="false">IFERROR(CHOOSE(MATCH(INDEX(時間ごとの判定!$AN$3:$AN$1850,1327),{"利用可","両方停止","運転がそろわない","判定不能"},0),"○","停","×","－"),"")</f>
        <v>×</v>
      </c>
      <c r="BH59" s="35" t="str">
        <f aca="false">IFERROR(CHOOSE(MATCH(INDEX(時間ごとの判定!$AN$3:$AN$1850,1328),{"利用可","両方停止","運転がそろわない","判定不能"},0),"○","停","×","－"),"")</f>
        <v>×</v>
      </c>
      <c r="BI59" s="35" t="str">
        <f aca="false">IFERROR(CHOOSE(MATCH(INDEX(時間ごとの判定!$AN$3:$AN$1850,1329),{"利用可","両方停止","運転がそろわない","判定不能"},0),"○","停","×","－"),"")</f>
        <v>○</v>
      </c>
      <c r="BJ59" s="35" t="str">
        <f aca="false">IFERROR(CHOOSE(MATCH(INDEX(時間ごとの判定!$AN$3:$AN$1850,1330),{"利用可","両方停止","運転がそろわない","判定不能"},0),"○","停","×","－"),"")</f>
        <v>○</v>
      </c>
      <c r="BK59" s="35" t="str">
        <f aca="false">IFERROR(CHOOSE(MATCH(INDEX(時間ごとの判定!$AN$3:$AN$1850,1331),{"利用可","両方停止","運転がそろわない","判定不能"},0),"○","停","×","－"),"")</f>
        <v>○</v>
      </c>
      <c r="BL59" s="35" t="str">
        <f aca="false">IFERROR(CHOOSE(MATCH(INDEX(時間ごとの判定!$AN$3:$AN$1850,1332),{"利用可","両方停止","運転がそろわない","判定不能"},0),"○","停","×","－"),"")</f>
        <v>○</v>
      </c>
      <c r="BM59" s="35" t="str">
        <f aca="false">IFERROR(CHOOSE(MATCH(INDEX(時間ごとの判定!$AN$3:$AN$1850,1333),{"利用可","両方停止","運転がそろわない","判定不能"},0),"○","停","×","－"),"")</f>
        <v>○</v>
      </c>
      <c r="BN59" s="35" t="str">
        <f aca="false">IFERROR(CHOOSE(MATCH(INDEX(時間ごとの判定!$AN$3:$AN$1850,1334),{"利用可","両方停止","運転がそろわない","判定不能"},0),"○","停","×","－"),"")</f>
        <v>○</v>
      </c>
      <c r="BO59" s="35" t="str">
        <f aca="false">IFERROR(CHOOSE(MATCH(INDEX(時間ごとの判定!$AN$3:$AN$1850,1335),{"利用可","両方停止","運転がそろわない","判定不能"},0),"○","停","×","－"),"")</f>
        <v>×</v>
      </c>
      <c r="BP59" s="35" t="str">
        <f aca="false">IFERROR(CHOOSE(MATCH(INDEX(時間ごとの判定!$AN$3:$AN$1850,1336),{"利用可","両方停止","運転がそろわない","判定不能"},0),"○","停","×","－"),"")</f>
        <v>×</v>
      </c>
      <c r="BQ59" s="35" t="str">
        <f aca="false">IFERROR(CHOOSE(MATCH(INDEX(時間ごとの判定!$AN$3:$AN$1850,1337),{"利用可","両方停止","運転がそろわない","判定不能"},0),"○","停","×","－"),"")</f>
        <v>×</v>
      </c>
      <c r="BR59" s="35" t="str">
        <f aca="false">IFERROR(CHOOSE(MATCH(INDEX(時間ごとの判定!$AN$3:$AN$1850,1338),{"利用可","両方停止","運転がそろわない","判定不能"},0),"○","停","×","－"),"")</f>
        <v>×</v>
      </c>
      <c r="BS59" s="35" t="str">
        <f aca="false">IFERROR(CHOOSE(MATCH(INDEX(時間ごとの判定!$AN$3:$AN$1850,1339),{"利用可","両方停止","運転がそろわない","判定不能"},0),"○","停","×","－"),"")</f>
        <v>×</v>
      </c>
      <c r="BT59" s="35" t="str">
        <f aca="false">IFERROR(CHOOSE(MATCH(INDEX(時間ごとの判定!$AN$3:$AN$1850,1340),{"利用可","両方停止","運転がそろわない","判定不能"},0),"○","停","×","－"),"")</f>
        <v>×</v>
      </c>
      <c r="BU59" s="35" t="str">
        <f aca="false">IFERROR(CHOOSE(MATCH(INDEX(時間ごとの判定!$AN$3:$AN$1850,1341),{"利用可","両方停止","運転がそろわない","判定不能"},0),"○","停","×","－"),"")</f>
        <v>×</v>
      </c>
      <c r="BV59" s="35" t="str">
        <f aca="false">IFERROR(CHOOSE(MATCH(INDEX(時間ごとの判定!$AN$3:$AN$1850,1342),{"利用可","両方停止","運転がそろわない","判定不能"},0),"○","停","×","－"),"")</f>
        <v>停</v>
      </c>
      <c r="BW59" s="35" t="str">
        <f aca="false">IFERROR(CHOOSE(MATCH(INDEX(時間ごとの判定!$AN$3:$AN$1850,1343),{"利用可","両方停止","運転がそろわない","判定不能"},0),"○","停","×","－"),"")</f>
        <v>停</v>
      </c>
      <c r="BX59" s="35" t="str">
        <f aca="false">IFERROR(CHOOSE(MATCH(INDEX(時間ごとの判定!$AN$3:$AN$1850,1344),{"利用可","両方停止","運転がそろわない","判定不能"},0),"○","停","×","－"),"")</f>
        <v>停</v>
      </c>
    </row>
    <row r="60" customFormat="false" ht="15" hidden="false" customHeight="false" outlineLevel="0" collapsed="false">
      <c r="A60" s="33" t="n">
        <v>46288</v>
      </c>
      <c r="B60" s="36" t="s">
        <v>58</v>
      </c>
      <c r="C60" s="35" t="str">
        <f aca="false">IFERROR(CHOOSE(MATCH(INDEX(時間ごとの判定!$AH$3:$AH$1850,1345),{"利用可","両方停止","運転がそろわない","判定不能"},0),"○","停","×","－"),"")</f>
        <v>停</v>
      </c>
      <c r="D60" s="35" t="str">
        <f aca="false">IFERROR(CHOOSE(MATCH(INDEX(時間ごとの判定!$AH$3:$AH$1850,1346),{"利用可","両方停止","運転がそろわない","判定不能"},0),"○","停","×","－"),"")</f>
        <v>停</v>
      </c>
      <c r="E60" s="35" t="str">
        <f aca="false">IFERROR(CHOOSE(MATCH(INDEX(時間ごとの判定!$AH$3:$AH$1850,1347),{"利用可","両方停止","運転がそろわない","判定不能"},0),"○","停","×","－"),"")</f>
        <v>停</v>
      </c>
      <c r="F60" s="35" t="str">
        <f aca="false">IFERROR(CHOOSE(MATCH(INDEX(時間ごとの判定!$AH$3:$AH$1850,1348),{"利用可","両方停止","運転がそろわない","判定不能"},0),"○","停","×","－"),"")</f>
        <v>停</v>
      </c>
      <c r="G60" s="35" t="str">
        <f aca="false">IFERROR(CHOOSE(MATCH(INDEX(時間ごとの判定!$AH$3:$AH$1850,1349),{"利用可","両方停止","運転がそろわない","判定不能"},0),"○","停","×","－"),"")</f>
        <v>停</v>
      </c>
      <c r="H60" s="35" t="str">
        <f aca="false">IFERROR(CHOOSE(MATCH(INDEX(時間ごとの判定!$AH$3:$AH$1850,1350),{"利用可","両方停止","運転がそろわない","判定不能"},0),"○","停","×","－"),"")</f>
        <v>停</v>
      </c>
      <c r="I60" s="35" t="str">
        <f aca="false">IFERROR(CHOOSE(MATCH(INDEX(時間ごとの判定!$AH$3:$AH$1850,1351),{"利用可","両方停止","運転がそろわない","判定不能"},0),"○","停","×","－"),"")</f>
        <v>停</v>
      </c>
      <c r="J60" s="35" t="str">
        <f aca="false">IFERROR(CHOOSE(MATCH(INDEX(時間ごとの判定!$AH$3:$AH$1850,1352),{"利用可","両方停止","運転がそろわない","判定不能"},0),"○","停","×","－"),"")</f>
        <v>停</v>
      </c>
      <c r="K60" s="35" t="str">
        <f aca="false">IFERROR(CHOOSE(MATCH(INDEX(時間ごとの判定!$AH$3:$AH$1850,1353),{"利用可","両方停止","運転がそろわない","判定不能"},0),"○","停","×","－"),"")</f>
        <v>停</v>
      </c>
      <c r="L60" s="35" t="str">
        <f aca="false">IFERROR(CHOOSE(MATCH(INDEX(時間ごとの判定!$AH$3:$AH$1850,1354),{"利用可","両方停止","運転がそろわない","判定不能"},0),"○","停","×","－"),"")</f>
        <v>停</v>
      </c>
      <c r="M60" s="35" t="str">
        <f aca="false">IFERROR(CHOOSE(MATCH(INDEX(時間ごとの判定!$AH$3:$AH$1850,1355),{"利用可","両方停止","運転がそろわない","判定不能"},0),"○","停","×","－"),"")</f>
        <v>停</v>
      </c>
      <c r="N60" s="35" t="str">
        <f aca="false">IFERROR(CHOOSE(MATCH(INDEX(時間ごとの判定!$AH$3:$AH$1850,1356),{"利用可","両方停止","運転がそろわない","判定不能"},0),"○","停","×","－"),"")</f>
        <v>×</v>
      </c>
      <c r="O60" s="35" t="str">
        <f aca="false">IFERROR(CHOOSE(MATCH(INDEX(時間ごとの判定!$AH$3:$AH$1850,1357),{"利用可","両方停止","運転がそろわない","判定不能"},0),"○","停","×","－"),"")</f>
        <v>×</v>
      </c>
      <c r="P60" s="35" t="str">
        <f aca="false">IFERROR(CHOOSE(MATCH(INDEX(時間ごとの判定!$AH$3:$AH$1850,1358),{"利用可","両方停止","運転がそろわない","判定不能"},0),"○","停","×","－"),"")</f>
        <v>停</v>
      </c>
      <c r="Q60" s="35" t="str">
        <f aca="false">IFERROR(CHOOSE(MATCH(INDEX(時間ごとの判定!$AH$3:$AH$1850,1359),{"利用可","両方停止","運転がそろわない","判定不能"},0),"○","停","×","－"),"")</f>
        <v>停</v>
      </c>
      <c r="R60" s="35" t="str">
        <f aca="false">IFERROR(CHOOSE(MATCH(INDEX(時間ごとの判定!$AH$3:$AH$1850,1360),{"利用可","両方停止","運転がそろわない","判定不能"},0),"○","停","×","－"),"")</f>
        <v>停</v>
      </c>
      <c r="S60" s="35" t="str">
        <f aca="false">IFERROR(CHOOSE(MATCH(INDEX(時間ごとの判定!$AH$3:$AH$1850,1361),{"利用可","両方停止","運転がそろわない","判定不能"},0),"○","停","×","－"),"")</f>
        <v>停</v>
      </c>
      <c r="T60" s="35" t="str">
        <f aca="false">IFERROR(CHOOSE(MATCH(INDEX(時間ごとの判定!$AH$3:$AH$1850,1362),{"利用可","両方停止","運転がそろわない","判定不能"},0),"○","停","×","－"),"")</f>
        <v>停</v>
      </c>
      <c r="U60" s="35" t="str">
        <f aca="false">IFERROR(CHOOSE(MATCH(INDEX(時間ごとの判定!$AH$3:$AH$1850,1363),{"利用可","両方停止","運転がそろわない","判定不能"},0),"○","停","×","－"),"")</f>
        <v>停</v>
      </c>
      <c r="V60" s="35" t="str">
        <f aca="false">IFERROR(CHOOSE(MATCH(INDEX(時間ごとの判定!$AH$3:$AH$1850,1364),{"利用可","両方停止","運転がそろわない","判定不能"},0),"○","停","×","－"),"")</f>
        <v>停</v>
      </c>
      <c r="W60" s="35" t="str">
        <f aca="false">IFERROR(CHOOSE(MATCH(INDEX(時間ごとの判定!$AH$3:$AH$1850,1365),{"利用可","両方停止","運転がそろわない","判定不能"},0),"○","停","×","－"),"")</f>
        <v>停</v>
      </c>
      <c r="X60" s="35" t="str">
        <f aca="false">IFERROR(CHOOSE(MATCH(INDEX(時間ごとの判定!$AH$3:$AH$1850,1366),{"利用可","両方停止","運転がそろわない","判定不能"},0),"○","停","×","－"),"")</f>
        <v>停</v>
      </c>
      <c r="Y60" s="35" t="str">
        <f aca="false">IFERROR(CHOOSE(MATCH(INDEX(時間ごとの判定!$AH$3:$AH$1850,1367),{"利用可","両方停止","運転がそろわない","判定不能"},0),"○","停","×","－"),"")</f>
        <v>停</v>
      </c>
      <c r="Z60" s="35" t="str">
        <f aca="false">IFERROR(CHOOSE(MATCH(INDEX(時間ごとの判定!$AH$3:$AH$1850,1368),{"利用可","両方停止","運転がそろわない","判定不能"},0),"○","停","×","－"),"")</f>
        <v>停</v>
      </c>
      <c r="AA60" s="35"/>
      <c r="AB60" s="35" t="str">
        <f aca="false">IFERROR(CHOOSE(MATCH(INDEX(時間ごとの判定!$AK$3:$AK$1850,1345),{"利用可","両方停止","運転がそろわない","判定不能"},0),"○","停","×","－"),"")</f>
        <v>停</v>
      </c>
      <c r="AC60" s="35" t="str">
        <f aca="false">IFERROR(CHOOSE(MATCH(INDEX(時間ごとの判定!$AK$3:$AK$1850,1346),{"利用可","両方停止","運転がそろわない","判定不能"},0),"○","停","×","－"),"")</f>
        <v>停</v>
      </c>
      <c r="AD60" s="35" t="str">
        <f aca="false">IFERROR(CHOOSE(MATCH(INDEX(時間ごとの判定!$AK$3:$AK$1850,1347),{"利用可","両方停止","運転がそろわない","判定不能"},0),"○","停","×","－"),"")</f>
        <v>停</v>
      </c>
      <c r="AE60" s="35" t="str">
        <f aca="false">IFERROR(CHOOSE(MATCH(INDEX(時間ごとの判定!$AK$3:$AK$1850,1348),{"利用可","両方停止","運転がそろわない","判定不能"},0),"○","停","×","－"),"")</f>
        <v>停</v>
      </c>
      <c r="AF60" s="35" t="str">
        <f aca="false">IFERROR(CHOOSE(MATCH(INDEX(時間ごとの判定!$AK$3:$AK$1850,1349),{"利用可","両方停止","運転がそろわない","判定不能"},0),"○","停","×","－"),"")</f>
        <v>停</v>
      </c>
      <c r="AG60" s="35" t="str">
        <f aca="false">IFERROR(CHOOSE(MATCH(INDEX(時間ごとの判定!$AK$3:$AK$1850,1350),{"利用可","両方停止","運転がそろわない","判定不能"},0),"○","停","×","－"),"")</f>
        <v>停</v>
      </c>
      <c r="AH60" s="35" t="str">
        <f aca="false">IFERROR(CHOOSE(MATCH(INDEX(時間ごとの判定!$AK$3:$AK$1850,1351),{"利用可","両方停止","運転がそろわない","判定不能"},0),"○","停","×","－"),"")</f>
        <v>停</v>
      </c>
      <c r="AI60" s="35" t="str">
        <f aca="false">IFERROR(CHOOSE(MATCH(INDEX(時間ごとの判定!$AK$3:$AK$1850,1352),{"利用可","両方停止","運転がそろわない","判定不能"},0),"○","停","×","－"),"")</f>
        <v>停</v>
      </c>
      <c r="AJ60" s="35" t="str">
        <f aca="false">IFERROR(CHOOSE(MATCH(INDEX(時間ごとの判定!$AK$3:$AK$1850,1353),{"利用可","両方停止","運転がそろわない","判定不能"},0),"○","停","×","－"),"")</f>
        <v>×</v>
      </c>
      <c r="AK60" s="35" t="str">
        <f aca="false">IFERROR(CHOOSE(MATCH(INDEX(時間ごとの判定!$AK$3:$AK$1850,1354),{"利用可","両方停止","運転がそろわない","判定不能"},0),"○","停","×","－"),"")</f>
        <v>停</v>
      </c>
      <c r="AL60" s="35" t="str">
        <f aca="false">IFERROR(CHOOSE(MATCH(INDEX(時間ごとの判定!$AK$3:$AK$1850,1355),{"利用可","両方停止","運転がそろわない","判定不能"},0),"○","停","×","－"),"")</f>
        <v>×</v>
      </c>
      <c r="AM60" s="35" t="str">
        <f aca="false">IFERROR(CHOOSE(MATCH(INDEX(時間ごとの判定!$AK$3:$AK$1850,1356),{"利用可","両方停止","運転がそろわない","判定不能"},0),"○","停","×","－"),"")</f>
        <v>×</v>
      </c>
      <c r="AN60" s="35" t="str">
        <f aca="false">IFERROR(CHOOSE(MATCH(INDEX(時間ごとの判定!$AK$3:$AK$1850,1357),{"利用可","両方停止","運転がそろわない","判定不能"},0),"○","停","×","－"),"")</f>
        <v>×</v>
      </c>
      <c r="AO60" s="35" t="str">
        <f aca="false">IFERROR(CHOOSE(MATCH(INDEX(時間ごとの判定!$AK$3:$AK$1850,1358),{"利用可","両方停止","運転がそろわない","判定不能"},0),"○","停","×","－"),"")</f>
        <v>×</v>
      </c>
      <c r="AP60" s="35" t="str">
        <f aca="false">IFERROR(CHOOSE(MATCH(INDEX(時間ごとの判定!$AK$3:$AK$1850,1359),{"利用可","両方停止","運転がそろわない","判定不能"},0),"○","停","×","－"),"")</f>
        <v>×</v>
      </c>
      <c r="AQ60" s="35" t="str">
        <f aca="false">IFERROR(CHOOSE(MATCH(INDEX(時間ごとの判定!$AK$3:$AK$1850,1360),{"利用可","両方停止","運転がそろわない","判定不能"},0),"○","停","×","－"),"")</f>
        <v>×</v>
      </c>
      <c r="AR60" s="35" t="str">
        <f aca="false">IFERROR(CHOOSE(MATCH(INDEX(時間ごとの判定!$AK$3:$AK$1850,1361),{"利用可","両方停止","運転がそろわない","判定不能"},0),"○","停","×","－"),"")</f>
        <v>×</v>
      </c>
      <c r="AS60" s="35" t="str">
        <f aca="false">IFERROR(CHOOSE(MATCH(INDEX(時間ごとの判定!$AK$3:$AK$1850,1362),{"利用可","両方停止","運転がそろわない","判定不能"},0),"○","停","×","－"),"")</f>
        <v>×</v>
      </c>
      <c r="AT60" s="35" t="str">
        <f aca="false">IFERROR(CHOOSE(MATCH(INDEX(時間ごとの判定!$AK$3:$AK$1850,1363),{"利用可","両方停止","運転がそろわない","判定不能"},0),"○","停","×","－"),"")</f>
        <v>×</v>
      </c>
      <c r="AU60" s="35" t="str">
        <f aca="false">IFERROR(CHOOSE(MATCH(INDEX(時間ごとの判定!$AK$3:$AK$1850,1364),{"利用可","両方停止","運転がそろわない","判定不能"},0),"○","停","×","－"),"")</f>
        <v>×</v>
      </c>
      <c r="AV60" s="35" t="str">
        <f aca="false">IFERROR(CHOOSE(MATCH(INDEX(時間ごとの判定!$AK$3:$AK$1850,1365),{"利用可","両方停止","運転がそろわない","判定不能"},0),"○","停","×","－"),"")</f>
        <v>停</v>
      </c>
      <c r="AW60" s="35" t="str">
        <f aca="false">IFERROR(CHOOSE(MATCH(INDEX(時間ごとの判定!$AK$3:$AK$1850,1366),{"利用可","両方停止","運転がそろわない","判定不能"},0),"○","停","×","－"),"")</f>
        <v>停</v>
      </c>
      <c r="AX60" s="35" t="str">
        <f aca="false">IFERROR(CHOOSE(MATCH(INDEX(時間ごとの判定!$AK$3:$AK$1850,1367),{"利用可","両方停止","運転がそろわない","判定不能"},0),"○","停","×","－"),"")</f>
        <v>停</v>
      </c>
      <c r="AY60" s="35" t="str">
        <f aca="false">IFERROR(CHOOSE(MATCH(INDEX(時間ごとの判定!$AK$3:$AK$1850,1368),{"利用可","両方停止","運転がそろわない","判定不能"},0),"○","停","×","－"),"")</f>
        <v>停</v>
      </c>
      <c r="AZ60" s="35"/>
      <c r="BA60" s="35" t="str">
        <f aca="false">IFERROR(CHOOSE(MATCH(INDEX(時間ごとの判定!$AN$3:$AN$1850,1345),{"利用可","両方停止","運転がそろわない","判定不能"},0),"○","停","×","－"),"")</f>
        <v>停</v>
      </c>
      <c r="BB60" s="35" t="str">
        <f aca="false">IFERROR(CHOOSE(MATCH(INDEX(時間ごとの判定!$AN$3:$AN$1850,1346),{"利用可","両方停止","運転がそろわない","判定不能"},0),"○","停","×","－"),"")</f>
        <v>停</v>
      </c>
      <c r="BC60" s="35" t="str">
        <f aca="false">IFERROR(CHOOSE(MATCH(INDEX(時間ごとの判定!$AN$3:$AN$1850,1347),{"利用可","両方停止","運転がそろわない","判定不能"},0),"○","停","×","－"),"")</f>
        <v>停</v>
      </c>
      <c r="BD60" s="35" t="str">
        <f aca="false">IFERROR(CHOOSE(MATCH(INDEX(時間ごとの判定!$AN$3:$AN$1850,1348),{"利用可","両方停止","運転がそろわない","判定不能"},0),"○","停","×","－"),"")</f>
        <v>停</v>
      </c>
      <c r="BE60" s="35" t="str">
        <f aca="false">IFERROR(CHOOSE(MATCH(INDEX(時間ごとの判定!$AN$3:$AN$1850,1349),{"利用可","両方停止","運転がそろわない","判定不能"},0),"○","停","×","－"),"")</f>
        <v>停</v>
      </c>
      <c r="BF60" s="35" t="str">
        <f aca="false">IFERROR(CHOOSE(MATCH(INDEX(時間ごとの判定!$AN$3:$AN$1850,1350),{"利用可","両方停止","運転がそろわない","判定不能"},0),"○","停","×","－"),"")</f>
        <v>停</v>
      </c>
      <c r="BG60" s="35" t="str">
        <f aca="false">IFERROR(CHOOSE(MATCH(INDEX(時間ごとの判定!$AN$3:$AN$1850,1351),{"利用可","両方停止","運転がそろわない","判定不能"},0),"○","停","×","－"),"")</f>
        <v>停</v>
      </c>
      <c r="BH60" s="35" t="str">
        <f aca="false">IFERROR(CHOOSE(MATCH(INDEX(時間ごとの判定!$AN$3:$AN$1850,1352),{"利用可","両方停止","運転がそろわない","判定不能"},0),"○","停","×","－"),"")</f>
        <v>停</v>
      </c>
      <c r="BI60" s="35" t="str">
        <f aca="false">IFERROR(CHOOSE(MATCH(INDEX(時間ごとの判定!$AN$3:$AN$1850,1353),{"利用可","両方停止","運転がそろわない","判定不能"},0),"○","停","×","－"),"")</f>
        <v>×</v>
      </c>
      <c r="BJ60" s="35" t="str">
        <f aca="false">IFERROR(CHOOSE(MATCH(INDEX(時間ごとの判定!$AN$3:$AN$1850,1354),{"利用可","両方停止","運転がそろわない","判定不能"},0),"○","停","×","－"),"")</f>
        <v>×</v>
      </c>
      <c r="BK60" s="35" t="str">
        <f aca="false">IFERROR(CHOOSE(MATCH(INDEX(時間ごとの判定!$AN$3:$AN$1850,1355),{"利用可","両方停止","運転がそろわない","判定不能"},0),"○","停","×","－"),"")</f>
        <v>×</v>
      </c>
      <c r="BL60" s="35" t="str">
        <f aca="false">IFERROR(CHOOSE(MATCH(INDEX(時間ごとの判定!$AN$3:$AN$1850,1356),{"利用可","両方停止","運転がそろわない","判定不能"},0),"○","停","×","－"),"")</f>
        <v>○</v>
      </c>
      <c r="BM60" s="35" t="str">
        <f aca="false">IFERROR(CHOOSE(MATCH(INDEX(時間ごとの判定!$AN$3:$AN$1850,1357),{"利用可","両方停止","運転がそろわない","判定不能"},0),"○","停","×","－"),"")</f>
        <v>×</v>
      </c>
      <c r="BN60" s="35" t="str">
        <f aca="false">IFERROR(CHOOSE(MATCH(INDEX(時間ごとの判定!$AN$3:$AN$1850,1358),{"利用可","両方停止","運転がそろわない","判定不能"},0),"○","停","×","－"),"")</f>
        <v>×</v>
      </c>
      <c r="BO60" s="35" t="str">
        <f aca="false">IFERROR(CHOOSE(MATCH(INDEX(時間ごとの判定!$AN$3:$AN$1850,1359),{"利用可","両方停止","運転がそろわない","判定不能"},0),"○","停","×","－"),"")</f>
        <v>×</v>
      </c>
      <c r="BP60" s="35" t="str">
        <f aca="false">IFERROR(CHOOSE(MATCH(INDEX(時間ごとの判定!$AN$3:$AN$1850,1360),{"利用可","両方停止","運転がそろわない","判定不能"},0),"○","停","×","－"),"")</f>
        <v>×</v>
      </c>
      <c r="BQ60" s="35" t="str">
        <f aca="false">IFERROR(CHOOSE(MATCH(INDEX(時間ごとの判定!$AN$3:$AN$1850,1361),{"利用可","両方停止","運転がそろわない","判定不能"},0),"○","停","×","－"),"")</f>
        <v>×</v>
      </c>
      <c r="BR60" s="35" t="str">
        <f aca="false">IFERROR(CHOOSE(MATCH(INDEX(時間ごとの判定!$AN$3:$AN$1850,1362),{"利用可","両方停止","運転がそろわない","判定不能"},0),"○","停","×","－"),"")</f>
        <v>×</v>
      </c>
      <c r="BS60" s="35" t="str">
        <f aca="false">IFERROR(CHOOSE(MATCH(INDEX(時間ごとの判定!$AN$3:$AN$1850,1363),{"利用可","両方停止","運転がそろわない","判定不能"},0),"○","停","×","－"),"")</f>
        <v>×</v>
      </c>
      <c r="BT60" s="35" t="str">
        <f aca="false">IFERROR(CHOOSE(MATCH(INDEX(時間ごとの判定!$AN$3:$AN$1850,1364),{"利用可","両方停止","運転がそろわない","判定不能"},0),"○","停","×","－"),"")</f>
        <v>×</v>
      </c>
      <c r="BU60" s="35" t="str">
        <f aca="false">IFERROR(CHOOSE(MATCH(INDEX(時間ごとの判定!$AN$3:$AN$1850,1365),{"利用可","両方停止","運転がそろわない","判定不能"},0),"○","停","×","－"),"")</f>
        <v>×</v>
      </c>
      <c r="BV60" s="35" t="str">
        <f aca="false">IFERROR(CHOOSE(MATCH(INDEX(時間ごとの判定!$AN$3:$AN$1850,1366),{"利用可","両方停止","運転がそろわない","判定不能"},0),"○","停","×","－"),"")</f>
        <v>停</v>
      </c>
      <c r="BW60" s="35" t="str">
        <f aca="false">IFERROR(CHOOSE(MATCH(INDEX(時間ごとの判定!$AN$3:$AN$1850,1367),{"利用可","両方停止","運転がそろわない","判定不能"},0),"○","停","×","－"),"")</f>
        <v>停</v>
      </c>
      <c r="BX60" s="35" t="str">
        <f aca="false">IFERROR(CHOOSE(MATCH(INDEX(時間ごとの判定!$AN$3:$AN$1850,1368),{"利用可","両方停止","運転がそろわない","判定不能"},0),"○","停","×","－"),"")</f>
        <v>停</v>
      </c>
    </row>
    <row r="61" customFormat="false" ht="15" hidden="false" customHeight="false" outlineLevel="0" collapsed="false">
      <c r="A61" s="33" t="n">
        <v>46289</v>
      </c>
      <c r="B61" s="34" t="s">
        <v>61</v>
      </c>
      <c r="C61" s="35" t="str">
        <f aca="false">IFERROR(CHOOSE(MATCH(INDEX(時間ごとの判定!$AH$3:$AH$1850,1369),{"利用可","両方停止","運転がそろわない","判定不能"},0),"○","停","×","－"),"")</f>
        <v>停</v>
      </c>
      <c r="D61" s="35" t="str">
        <f aca="false">IFERROR(CHOOSE(MATCH(INDEX(時間ごとの判定!$AH$3:$AH$1850,1370),{"利用可","両方停止","運転がそろわない","判定不能"},0),"○","停","×","－"),"")</f>
        <v>停</v>
      </c>
      <c r="E61" s="35" t="str">
        <f aca="false">IFERROR(CHOOSE(MATCH(INDEX(時間ごとの判定!$AH$3:$AH$1850,1371),{"利用可","両方停止","運転がそろわない","判定不能"},0),"○","停","×","－"),"")</f>
        <v>停</v>
      </c>
      <c r="F61" s="35" t="str">
        <f aca="false">IFERROR(CHOOSE(MATCH(INDEX(時間ごとの判定!$AH$3:$AH$1850,1372),{"利用可","両方停止","運転がそろわない","判定不能"},0),"○","停","×","－"),"")</f>
        <v>停</v>
      </c>
      <c r="G61" s="35" t="str">
        <f aca="false">IFERROR(CHOOSE(MATCH(INDEX(時間ごとの判定!$AH$3:$AH$1850,1373),{"利用可","両方停止","運転がそろわない","判定不能"},0),"○","停","×","－"),"")</f>
        <v>停</v>
      </c>
      <c r="H61" s="35" t="str">
        <f aca="false">IFERROR(CHOOSE(MATCH(INDEX(時間ごとの判定!$AH$3:$AH$1850,1374),{"利用可","両方停止","運転がそろわない","判定不能"},0),"○","停","×","－"),"")</f>
        <v>停</v>
      </c>
      <c r="I61" s="35" t="str">
        <f aca="false">IFERROR(CHOOSE(MATCH(INDEX(時間ごとの判定!$AH$3:$AH$1850,1375),{"利用可","両方停止","運転がそろわない","判定不能"},0),"○","停","×","－"),"")</f>
        <v>停</v>
      </c>
      <c r="J61" s="35" t="str">
        <f aca="false">IFERROR(CHOOSE(MATCH(INDEX(時間ごとの判定!$AH$3:$AH$1850,1376),{"利用可","両方停止","運転がそろわない","判定不能"},0),"○","停","×","－"),"")</f>
        <v>×</v>
      </c>
      <c r="K61" s="35" t="str">
        <f aca="false">IFERROR(CHOOSE(MATCH(INDEX(時間ごとの判定!$AH$3:$AH$1850,1377),{"利用可","両方停止","運転がそろわない","判定不能"},0),"○","停","×","－"),"")</f>
        <v>停</v>
      </c>
      <c r="L61" s="35" t="str">
        <f aca="false">IFERROR(CHOOSE(MATCH(INDEX(時間ごとの判定!$AH$3:$AH$1850,1378),{"利用可","両方停止","運転がそろわない","判定不能"},0),"○","停","×","－"),"")</f>
        <v>○</v>
      </c>
      <c r="M61" s="35" t="str">
        <f aca="false">IFERROR(CHOOSE(MATCH(INDEX(時間ごとの判定!$AH$3:$AH$1850,1379),{"利用可","両方停止","運転がそろわない","判定不能"},0),"○","停","×","－"),"")</f>
        <v>○</v>
      </c>
      <c r="N61" s="35" t="str">
        <f aca="false">IFERROR(CHOOSE(MATCH(INDEX(時間ごとの判定!$AH$3:$AH$1850,1380),{"利用可","両方停止","運転がそろわない","判定不能"},0),"○","停","×","－"),"")</f>
        <v>○</v>
      </c>
      <c r="O61" s="35" t="str">
        <f aca="false">IFERROR(CHOOSE(MATCH(INDEX(時間ごとの判定!$AH$3:$AH$1850,1381),{"利用可","両方停止","運転がそろわない","判定不能"},0),"○","停","×","－"),"")</f>
        <v>○</v>
      </c>
      <c r="P61" s="35" t="str">
        <f aca="false">IFERROR(CHOOSE(MATCH(INDEX(時間ごとの判定!$AH$3:$AH$1850,1382),{"利用可","両方停止","運転がそろわない","判定不能"},0),"○","停","×","－"),"")</f>
        <v>○</v>
      </c>
      <c r="Q61" s="35" t="str">
        <f aca="false">IFERROR(CHOOSE(MATCH(INDEX(時間ごとの判定!$AH$3:$AH$1850,1383),{"利用可","両方停止","運転がそろわない","判定不能"},0),"○","停","×","－"),"")</f>
        <v>○</v>
      </c>
      <c r="R61" s="35" t="str">
        <f aca="false">IFERROR(CHOOSE(MATCH(INDEX(時間ごとの判定!$AH$3:$AH$1850,1384),{"利用可","両方停止","運転がそろわない","判定不能"},0),"○","停","×","－"),"")</f>
        <v>○</v>
      </c>
      <c r="S61" s="35" t="str">
        <f aca="false">IFERROR(CHOOSE(MATCH(INDEX(時間ごとの判定!$AH$3:$AH$1850,1385),{"利用可","両方停止","運転がそろわない","判定不能"},0),"○","停","×","－"),"")</f>
        <v>○</v>
      </c>
      <c r="T61" s="35" t="str">
        <f aca="false">IFERROR(CHOOSE(MATCH(INDEX(時間ごとの判定!$AH$3:$AH$1850,1386),{"利用可","両方停止","運転がそろわない","判定不能"},0),"○","停","×","－"),"")</f>
        <v>○</v>
      </c>
      <c r="U61" s="35" t="str">
        <f aca="false">IFERROR(CHOOSE(MATCH(INDEX(時間ごとの判定!$AH$3:$AH$1850,1387),{"利用可","両方停止","運転がそろわない","判定不能"},0),"○","停","×","－"),"")</f>
        <v>×</v>
      </c>
      <c r="V61" s="35" t="str">
        <f aca="false">IFERROR(CHOOSE(MATCH(INDEX(時間ごとの判定!$AH$3:$AH$1850,1388),{"利用可","両方停止","運転がそろわない","判定不能"},0),"○","停","×","－"),"")</f>
        <v>×</v>
      </c>
      <c r="W61" s="35" t="str">
        <f aca="false">IFERROR(CHOOSE(MATCH(INDEX(時間ごとの判定!$AH$3:$AH$1850,1389),{"利用可","両方停止","運転がそろわない","判定不能"},0),"○","停","×","－"),"")</f>
        <v>×</v>
      </c>
      <c r="X61" s="35" t="str">
        <f aca="false">IFERROR(CHOOSE(MATCH(INDEX(時間ごとの判定!$AH$3:$AH$1850,1390),{"利用可","両方停止","運転がそろわない","判定不能"},0),"○","停","×","－"),"")</f>
        <v>×</v>
      </c>
      <c r="Y61" s="35" t="str">
        <f aca="false">IFERROR(CHOOSE(MATCH(INDEX(時間ごとの判定!$AH$3:$AH$1850,1391),{"利用可","両方停止","運転がそろわない","判定不能"},0),"○","停","×","－"),"")</f>
        <v>×</v>
      </c>
      <c r="Z61" s="35" t="str">
        <f aca="false">IFERROR(CHOOSE(MATCH(INDEX(時間ごとの判定!$AH$3:$AH$1850,1392),{"利用可","両方停止","運転がそろわない","判定不能"},0),"○","停","×","－"),"")</f>
        <v>停</v>
      </c>
      <c r="AA61" s="35"/>
      <c r="AB61" s="35" t="str">
        <f aca="false">IFERROR(CHOOSE(MATCH(INDEX(時間ごとの判定!$AK$3:$AK$1850,1369),{"利用可","両方停止","運転がそろわない","判定不能"},0),"○","停","×","－"),"")</f>
        <v>停</v>
      </c>
      <c r="AC61" s="35" t="str">
        <f aca="false">IFERROR(CHOOSE(MATCH(INDEX(時間ごとの判定!$AK$3:$AK$1850,1370),{"利用可","両方停止","運転がそろわない","判定不能"},0),"○","停","×","－"),"")</f>
        <v>停</v>
      </c>
      <c r="AD61" s="35" t="str">
        <f aca="false">IFERROR(CHOOSE(MATCH(INDEX(時間ごとの判定!$AK$3:$AK$1850,1371),{"利用可","両方停止","運転がそろわない","判定不能"},0),"○","停","×","－"),"")</f>
        <v>停</v>
      </c>
      <c r="AE61" s="35" t="str">
        <f aca="false">IFERROR(CHOOSE(MATCH(INDEX(時間ごとの判定!$AK$3:$AK$1850,1372),{"利用可","両方停止","運転がそろわない","判定不能"},0),"○","停","×","－"),"")</f>
        <v>停</v>
      </c>
      <c r="AF61" s="35" t="str">
        <f aca="false">IFERROR(CHOOSE(MATCH(INDEX(時間ごとの判定!$AK$3:$AK$1850,1373),{"利用可","両方停止","運転がそろわない","判定不能"},0),"○","停","×","－"),"")</f>
        <v>停</v>
      </c>
      <c r="AG61" s="35" t="str">
        <f aca="false">IFERROR(CHOOSE(MATCH(INDEX(時間ごとの判定!$AK$3:$AK$1850,1374),{"利用可","両方停止","運転がそろわない","判定不能"},0),"○","停","×","－"),"")</f>
        <v>停</v>
      </c>
      <c r="AH61" s="35" t="str">
        <f aca="false">IFERROR(CHOOSE(MATCH(INDEX(時間ごとの判定!$AK$3:$AK$1850,1375),{"利用可","両方停止","運転がそろわない","判定不能"},0),"○","停","×","－"),"")</f>
        <v>停</v>
      </c>
      <c r="AI61" s="35" t="str">
        <f aca="false">IFERROR(CHOOSE(MATCH(INDEX(時間ごとの判定!$AK$3:$AK$1850,1376),{"利用可","両方停止","運転がそろわない","判定不能"},0),"○","停","×","－"),"")</f>
        <v>×</v>
      </c>
      <c r="AJ61" s="35" t="str">
        <f aca="false">IFERROR(CHOOSE(MATCH(INDEX(時間ごとの判定!$AK$3:$AK$1850,1377),{"利用可","両方停止","運転がそろわない","判定不能"},0),"○","停","×","－"),"")</f>
        <v>×</v>
      </c>
      <c r="AK61" s="35" t="str">
        <f aca="false">IFERROR(CHOOSE(MATCH(INDEX(時間ごとの判定!$AK$3:$AK$1850,1378),{"利用可","両方停止","運転がそろわない","判定不能"},0),"○","停","×","－"),"")</f>
        <v>○</v>
      </c>
      <c r="AL61" s="35" t="str">
        <f aca="false">IFERROR(CHOOSE(MATCH(INDEX(時間ごとの判定!$AK$3:$AK$1850,1379),{"利用可","両方停止","運転がそろわない","判定不能"},0),"○","停","×","－"),"")</f>
        <v>○</v>
      </c>
      <c r="AM61" s="35" t="str">
        <f aca="false">IFERROR(CHOOSE(MATCH(INDEX(時間ごとの判定!$AK$3:$AK$1850,1380),{"利用可","両方停止","運転がそろわない","判定不能"},0),"○","停","×","－"),"")</f>
        <v>○</v>
      </c>
      <c r="AN61" s="35" t="str">
        <f aca="false">IFERROR(CHOOSE(MATCH(INDEX(時間ごとの判定!$AK$3:$AK$1850,1381),{"利用可","両方停止","運転がそろわない","判定不能"},0),"○","停","×","－"),"")</f>
        <v>○</v>
      </c>
      <c r="AO61" s="35" t="str">
        <f aca="false">IFERROR(CHOOSE(MATCH(INDEX(時間ごとの判定!$AK$3:$AK$1850,1382),{"利用可","両方停止","運転がそろわない","判定不能"},0),"○","停","×","－"),"")</f>
        <v>○</v>
      </c>
      <c r="AP61" s="35" t="str">
        <f aca="false">IFERROR(CHOOSE(MATCH(INDEX(時間ごとの判定!$AK$3:$AK$1850,1383),{"利用可","両方停止","運転がそろわない","判定不能"},0),"○","停","×","－"),"")</f>
        <v>○</v>
      </c>
      <c r="AQ61" s="35" t="str">
        <f aca="false">IFERROR(CHOOSE(MATCH(INDEX(時間ごとの判定!$AK$3:$AK$1850,1384),{"利用可","両方停止","運転がそろわない","判定不能"},0),"○","停","×","－"),"")</f>
        <v>○</v>
      </c>
      <c r="AR61" s="35" t="str">
        <f aca="false">IFERROR(CHOOSE(MATCH(INDEX(時間ごとの判定!$AK$3:$AK$1850,1385),{"利用可","両方停止","運転がそろわない","判定不能"},0),"○","停","×","－"),"")</f>
        <v>○</v>
      </c>
      <c r="AS61" s="35" t="str">
        <f aca="false">IFERROR(CHOOSE(MATCH(INDEX(時間ごとの判定!$AK$3:$AK$1850,1386),{"利用可","両方停止","運転がそろわない","判定不能"},0),"○","停","×","－"),"")</f>
        <v>○</v>
      </c>
      <c r="AT61" s="35" t="str">
        <f aca="false">IFERROR(CHOOSE(MATCH(INDEX(時間ごとの判定!$AK$3:$AK$1850,1387),{"利用可","両方停止","運転がそろわない","判定不能"},0),"○","停","×","－"),"")</f>
        <v>○</v>
      </c>
      <c r="AU61" s="35" t="str">
        <f aca="false">IFERROR(CHOOSE(MATCH(INDEX(時間ごとの判定!$AK$3:$AK$1850,1388),{"利用可","両方停止","運転がそろわない","判定不能"},0),"○","停","×","－"),"")</f>
        <v>○</v>
      </c>
      <c r="AV61" s="35" t="str">
        <f aca="false">IFERROR(CHOOSE(MATCH(INDEX(時間ごとの判定!$AK$3:$AK$1850,1389),{"利用可","両方停止","運転がそろわない","判定不能"},0),"○","停","×","－"),"")</f>
        <v>×</v>
      </c>
      <c r="AW61" s="35" t="str">
        <f aca="false">IFERROR(CHOOSE(MATCH(INDEX(時間ごとの判定!$AK$3:$AK$1850,1390),{"利用可","両方停止","運転がそろわない","判定不能"},0),"○","停","×","－"),"")</f>
        <v>停</v>
      </c>
      <c r="AX61" s="35" t="str">
        <f aca="false">IFERROR(CHOOSE(MATCH(INDEX(時間ごとの判定!$AK$3:$AK$1850,1391),{"利用可","両方停止","運転がそろわない","判定不能"},0),"○","停","×","－"),"")</f>
        <v>停</v>
      </c>
      <c r="AY61" s="35" t="str">
        <f aca="false">IFERROR(CHOOSE(MATCH(INDEX(時間ごとの判定!$AK$3:$AK$1850,1392),{"利用可","両方停止","運転がそろわない","判定不能"},0),"○","停","×","－"),"")</f>
        <v>停</v>
      </c>
      <c r="AZ61" s="35"/>
      <c r="BA61" s="35" t="str">
        <f aca="false">IFERROR(CHOOSE(MATCH(INDEX(時間ごとの判定!$AN$3:$AN$1850,1369),{"利用可","両方停止","運転がそろわない","判定不能"},0),"○","停","×","－"),"")</f>
        <v>停</v>
      </c>
      <c r="BB61" s="35" t="str">
        <f aca="false">IFERROR(CHOOSE(MATCH(INDEX(時間ごとの判定!$AN$3:$AN$1850,1370),{"利用可","両方停止","運転がそろわない","判定不能"},0),"○","停","×","－"),"")</f>
        <v>停</v>
      </c>
      <c r="BC61" s="35" t="str">
        <f aca="false">IFERROR(CHOOSE(MATCH(INDEX(時間ごとの判定!$AN$3:$AN$1850,1371),{"利用可","両方停止","運転がそろわない","判定不能"},0),"○","停","×","－"),"")</f>
        <v>停</v>
      </c>
      <c r="BD61" s="35" t="str">
        <f aca="false">IFERROR(CHOOSE(MATCH(INDEX(時間ごとの判定!$AN$3:$AN$1850,1372),{"利用可","両方停止","運転がそろわない","判定不能"},0),"○","停","×","－"),"")</f>
        <v>停</v>
      </c>
      <c r="BE61" s="35" t="str">
        <f aca="false">IFERROR(CHOOSE(MATCH(INDEX(時間ごとの判定!$AN$3:$AN$1850,1373),{"利用可","両方停止","運転がそろわない","判定不能"},0),"○","停","×","－"),"")</f>
        <v>停</v>
      </c>
      <c r="BF61" s="35" t="str">
        <f aca="false">IFERROR(CHOOSE(MATCH(INDEX(時間ごとの判定!$AN$3:$AN$1850,1374),{"利用可","両方停止","運転がそろわない","判定不能"},0),"○","停","×","－"),"")</f>
        <v>停</v>
      </c>
      <c r="BG61" s="35" t="str">
        <f aca="false">IFERROR(CHOOSE(MATCH(INDEX(時間ごとの判定!$AN$3:$AN$1850,1375),{"利用可","両方停止","運転がそろわない","判定不能"},0),"○","停","×","－"),"")</f>
        <v>停</v>
      </c>
      <c r="BH61" s="35" t="str">
        <f aca="false">IFERROR(CHOOSE(MATCH(INDEX(時間ごとの判定!$AN$3:$AN$1850,1376),{"利用可","両方停止","運転がそろわない","判定不能"},0),"○","停","×","－"),"")</f>
        <v>×</v>
      </c>
      <c r="BI61" s="35" t="str">
        <f aca="false">IFERROR(CHOOSE(MATCH(INDEX(時間ごとの判定!$AN$3:$AN$1850,1377),{"利用可","両方停止","運転がそろわない","判定不能"},0),"○","停","×","－"),"")</f>
        <v>×</v>
      </c>
      <c r="BJ61" s="35" t="str">
        <f aca="false">IFERROR(CHOOSE(MATCH(INDEX(時間ごとの判定!$AN$3:$AN$1850,1378),{"利用可","両方停止","運転がそろわない","判定不能"},0),"○","停","×","－"),"")</f>
        <v>○</v>
      </c>
      <c r="BK61" s="35" t="str">
        <f aca="false">IFERROR(CHOOSE(MATCH(INDEX(時間ごとの判定!$AN$3:$AN$1850,1379),{"利用可","両方停止","運転がそろわない","判定不能"},0),"○","停","×","－"),"")</f>
        <v>○</v>
      </c>
      <c r="BL61" s="35" t="str">
        <f aca="false">IFERROR(CHOOSE(MATCH(INDEX(時間ごとの判定!$AN$3:$AN$1850,1380),{"利用可","両方停止","運転がそろわない","判定不能"},0),"○","停","×","－"),"")</f>
        <v>○</v>
      </c>
      <c r="BM61" s="35" t="str">
        <f aca="false">IFERROR(CHOOSE(MATCH(INDEX(時間ごとの判定!$AN$3:$AN$1850,1381),{"利用可","両方停止","運転がそろわない","判定不能"},0),"○","停","×","－"),"")</f>
        <v>○</v>
      </c>
      <c r="BN61" s="35" t="str">
        <f aca="false">IFERROR(CHOOSE(MATCH(INDEX(時間ごとの判定!$AN$3:$AN$1850,1382),{"利用可","両方停止","運転がそろわない","判定不能"},0),"○","停","×","－"),"")</f>
        <v>○</v>
      </c>
      <c r="BO61" s="35" t="str">
        <f aca="false">IFERROR(CHOOSE(MATCH(INDEX(時間ごとの判定!$AN$3:$AN$1850,1383),{"利用可","両方停止","運転がそろわない","判定不能"},0),"○","停","×","－"),"")</f>
        <v>○</v>
      </c>
      <c r="BP61" s="35" t="str">
        <f aca="false">IFERROR(CHOOSE(MATCH(INDEX(時間ごとの判定!$AN$3:$AN$1850,1384),{"利用可","両方停止","運転がそろわない","判定不能"},0),"○","停","×","－"),"")</f>
        <v>○</v>
      </c>
      <c r="BQ61" s="35" t="str">
        <f aca="false">IFERROR(CHOOSE(MATCH(INDEX(時間ごとの判定!$AN$3:$AN$1850,1385),{"利用可","両方停止","運転がそろわない","判定不能"},0),"○","停","×","－"),"")</f>
        <v>○</v>
      </c>
      <c r="BR61" s="35" t="str">
        <f aca="false">IFERROR(CHOOSE(MATCH(INDEX(時間ごとの判定!$AN$3:$AN$1850,1386),{"利用可","両方停止","運転がそろわない","判定不能"},0),"○","停","×","－"),"")</f>
        <v>○</v>
      </c>
      <c r="BS61" s="35" t="str">
        <f aca="false">IFERROR(CHOOSE(MATCH(INDEX(時間ごとの判定!$AN$3:$AN$1850,1387),{"利用可","両方停止","運転がそろわない","判定不能"},0),"○","停","×","－"),"")</f>
        <v>×</v>
      </c>
      <c r="BT61" s="35" t="str">
        <f aca="false">IFERROR(CHOOSE(MATCH(INDEX(時間ごとの判定!$AN$3:$AN$1850,1388),{"利用可","両方停止","運転がそろわない","判定不能"},0),"○","停","×","－"),"")</f>
        <v>○</v>
      </c>
      <c r="BU61" s="35" t="str">
        <f aca="false">IFERROR(CHOOSE(MATCH(INDEX(時間ごとの判定!$AN$3:$AN$1850,1389),{"利用可","両方停止","運転がそろわない","判定不能"},0),"○","停","×","－"),"")</f>
        <v>×</v>
      </c>
      <c r="BV61" s="35" t="str">
        <f aca="false">IFERROR(CHOOSE(MATCH(INDEX(時間ごとの判定!$AN$3:$AN$1850,1390),{"利用可","両方停止","運転がそろわない","判定不能"},0),"○","停","×","－"),"")</f>
        <v>停</v>
      </c>
      <c r="BW61" s="35" t="str">
        <f aca="false">IFERROR(CHOOSE(MATCH(INDEX(時間ごとの判定!$AN$3:$AN$1850,1391),{"利用可","両方停止","運転がそろわない","判定不能"},0),"○","停","×","－"),"")</f>
        <v>停</v>
      </c>
      <c r="BX61" s="35" t="str">
        <f aca="false">IFERROR(CHOOSE(MATCH(INDEX(時間ごとの判定!$AN$3:$AN$1850,1392),{"利用可","両方停止","運転がそろわない","判定不能"},0),"○","停","×","－"),"")</f>
        <v>停</v>
      </c>
    </row>
    <row r="62" customFormat="false" ht="15" hidden="false" customHeight="false" outlineLevel="0" collapsed="false">
      <c r="A62" s="33" t="n">
        <v>46290</v>
      </c>
      <c r="B62" s="34" t="s">
        <v>62</v>
      </c>
      <c r="C62" s="35" t="str">
        <f aca="false">IFERROR(CHOOSE(MATCH(INDEX(時間ごとの判定!$AH$3:$AH$1850,1393),{"利用可","両方停止","運転がそろわない","判定不能"},0),"○","停","×","－"),"")</f>
        <v>停</v>
      </c>
      <c r="D62" s="35" t="str">
        <f aca="false">IFERROR(CHOOSE(MATCH(INDEX(時間ごとの判定!$AH$3:$AH$1850,1394),{"利用可","両方停止","運転がそろわない","判定不能"},0),"○","停","×","－"),"")</f>
        <v>停</v>
      </c>
      <c r="E62" s="35" t="str">
        <f aca="false">IFERROR(CHOOSE(MATCH(INDEX(時間ごとの判定!$AH$3:$AH$1850,1395),{"利用可","両方停止","運転がそろわない","判定不能"},0),"○","停","×","－"),"")</f>
        <v>停</v>
      </c>
      <c r="F62" s="35" t="str">
        <f aca="false">IFERROR(CHOOSE(MATCH(INDEX(時間ごとの判定!$AH$3:$AH$1850,1396),{"利用可","両方停止","運転がそろわない","判定不能"},0),"○","停","×","－"),"")</f>
        <v>停</v>
      </c>
      <c r="G62" s="35" t="str">
        <f aca="false">IFERROR(CHOOSE(MATCH(INDEX(時間ごとの判定!$AH$3:$AH$1850,1397),{"利用可","両方停止","運転がそろわない","判定不能"},0),"○","停","×","－"),"")</f>
        <v>停</v>
      </c>
      <c r="H62" s="35" t="str">
        <f aca="false">IFERROR(CHOOSE(MATCH(INDEX(時間ごとの判定!$AH$3:$AH$1850,1398),{"利用可","両方停止","運転がそろわない","判定不能"},0),"○","停","×","－"),"")</f>
        <v>停</v>
      </c>
      <c r="I62" s="35" t="str">
        <f aca="false">IFERROR(CHOOSE(MATCH(INDEX(時間ごとの判定!$AH$3:$AH$1850,1399),{"利用可","両方停止","運転がそろわない","判定不能"},0),"○","停","×","－"),"")</f>
        <v>停</v>
      </c>
      <c r="J62" s="35" t="str">
        <f aca="false">IFERROR(CHOOSE(MATCH(INDEX(時間ごとの判定!$AH$3:$AH$1850,1400),{"利用可","両方停止","運転がそろわない","判定不能"},0),"○","停","×","－"),"")</f>
        <v>×</v>
      </c>
      <c r="K62" s="35" t="str">
        <f aca="false">IFERROR(CHOOSE(MATCH(INDEX(時間ごとの判定!$AH$3:$AH$1850,1401),{"利用可","両方停止","運転がそろわない","判定不能"},0),"○","停","×","－"),"")</f>
        <v>○</v>
      </c>
      <c r="L62" s="35" t="str">
        <f aca="false">IFERROR(CHOOSE(MATCH(INDEX(時間ごとの判定!$AH$3:$AH$1850,1402),{"利用可","両方停止","運転がそろわない","判定不能"},0),"○","停","×","－"),"")</f>
        <v>○</v>
      </c>
      <c r="M62" s="35" t="str">
        <f aca="false">IFERROR(CHOOSE(MATCH(INDEX(時間ごとの判定!$AH$3:$AH$1850,1403),{"利用可","両方停止","運転がそろわない","判定不能"},0),"○","停","×","－"),"")</f>
        <v>○</v>
      </c>
      <c r="N62" s="35" t="str">
        <f aca="false">IFERROR(CHOOSE(MATCH(INDEX(時間ごとの判定!$AH$3:$AH$1850,1404),{"利用可","両方停止","運転がそろわない","判定不能"},0),"○","停","×","－"),"")</f>
        <v>○</v>
      </c>
      <c r="O62" s="35" t="str">
        <f aca="false">IFERROR(CHOOSE(MATCH(INDEX(時間ごとの判定!$AH$3:$AH$1850,1405),{"利用可","両方停止","運転がそろわない","判定不能"},0),"○","停","×","－"),"")</f>
        <v>○</v>
      </c>
      <c r="P62" s="35" t="str">
        <f aca="false">IFERROR(CHOOSE(MATCH(INDEX(時間ごとの判定!$AH$3:$AH$1850,1406),{"利用可","両方停止","運転がそろわない","判定不能"},0),"○","停","×","－"),"")</f>
        <v>○</v>
      </c>
      <c r="Q62" s="35" t="str">
        <f aca="false">IFERROR(CHOOSE(MATCH(INDEX(時間ごとの判定!$AH$3:$AH$1850,1407),{"利用可","両方停止","運転がそろわない","判定不能"},0),"○","停","×","－"),"")</f>
        <v>○</v>
      </c>
      <c r="R62" s="35" t="str">
        <f aca="false">IFERROR(CHOOSE(MATCH(INDEX(時間ごとの判定!$AH$3:$AH$1850,1408),{"利用可","両方停止","運転がそろわない","判定不能"},0),"○","停","×","－"),"")</f>
        <v>○</v>
      </c>
      <c r="S62" s="35" t="str">
        <f aca="false">IFERROR(CHOOSE(MATCH(INDEX(時間ごとの判定!$AH$3:$AH$1850,1409),{"利用可","両方停止","運転がそろわない","判定不能"},0),"○","停","×","－"),"")</f>
        <v>○</v>
      </c>
      <c r="T62" s="35" t="str">
        <f aca="false">IFERROR(CHOOSE(MATCH(INDEX(時間ごとの判定!$AH$3:$AH$1850,1410),{"利用可","両方停止","運転がそろわない","判定不能"},0),"○","停","×","－"),"")</f>
        <v>○</v>
      </c>
      <c r="U62" s="35" t="str">
        <f aca="false">IFERROR(CHOOSE(MATCH(INDEX(時間ごとの判定!$AH$3:$AH$1850,1411),{"利用可","両方停止","運転がそろわない","判定不能"},0),"○","停","×","－"),"")</f>
        <v>×</v>
      </c>
      <c r="V62" s="35" t="str">
        <f aca="false">IFERROR(CHOOSE(MATCH(INDEX(時間ごとの判定!$AH$3:$AH$1850,1412),{"利用可","両方停止","運転がそろわない","判定不能"},0),"○","停","×","－"),"")</f>
        <v>×</v>
      </c>
      <c r="W62" s="35" t="str">
        <f aca="false">IFERROR(CHOOSE(MATCH(INDEX(時間ごとの判定!$AH$3:$AH$1850,1413),{"利用可","両方停止","運転がそろわない","判定不能"},0),"○","停","×","－"),"")</f>
        <v>×</v>
      </c>
      <c r="X62" s="35" t="str">
        <f aca="false">IFERROR(CHOOSE(MATCH(INDEX(時間ごとの判定!$AH$3:$AH$1850,1414),{"利用可","両方停止","運転がそろわない","判定不能"},0),"○","停","×","－"),"")</f>
        <v>×</v>
      </c>
      <c r="Y62" s="35" t="str">
        <f aca="false">IFERROR(CHOOSE(MATCH(INDEX(時間ごとの判定!$AH$3:$AH$1850,1415),{"利用可","両方停止","運転がそろわない","判定不能"},0),"○","停","×","－"),"")</f>
        <v>停</v>
      </c>
      <c r="Z62" s="35" t="str">
        <f aca="false">IFERROR(CHOOSE(MATCH(INDEX(時間ごとの判定!$AH$3:$AH$1850,1416),{"利用可","両方停止","運転がそろわない","判定不能"},0),"○","停","×","－"),"")</f>
        <v>停</v>
      </c>
      <c r="AA62" s="35"/>
      <c r="AB62" s="35" t="str">
        <f aca="false">IFERROR(CHOOSE(MATCH(INDEX(時間ごとの判定!$AK$3:$AK$1850,1393),{"利用可","両方停止","運転がそろわない","判定不能"},0),"○","停","×","－"),"")</f>
        <v>停</v>
      </c>
      <c r="AC62" s="35" t="str">
        <f aca="false">IFERROR(CHOOSE(MATCH(INDEX(時間ごとの判定!$AK$3:$AK$1850,1394),{"利用可","両方停止","運転がそろわない","判定不能"},0),"○","停","×","－"),"")</f>
        <v>停</v>
      </c>
      <c r="AD62" s="35" t="str">
        <f aca="false">IFERROR(CHOOSE(MATCH(INDEX(時間ごとの判定!$AK$3:$AK$1850,1395),{"利用可","両方停止","運転がそろわない","判定不能"},0),"○","停","×","－"),"")</f>
        <v>停</v>
      </c>
      <c r="AE62" s="35" t="str">
        <f aca="false">IFERROR(CHOOSE(MATCH(INDEX(時間ごとの判定!$AK$3:$AK$1850,1396),{"利用可","両方停止","運転がそろわない","判定不能"},0),"○","停","×","－"),"")</f>
        <v>停</v>
      </c>
      <c r="AF62" s="35" t="str">
        <f aca="false">IFERROR(CHOOSE(MATCH(INDEX(時間ごとの判定!$AK$3:$AK$1850,1397),{"利用可","両方停止","運転がそろわない","判定不能"},0),"○","停","×","－"),"")</f>
        <v>停</v>
      </c>
      <c r="AG62" s="35" t="str">
        <f aca="false">IFERROR(CHOOSE(MATCH(INDEX(時間ごとの判定!$AK$3:$AK$1850,1398),{"利用可","両方停止","運転がそろわない","判定不能"},0),"○","停","×","－"),"")</f>
        <v>停</v>
      </c>
      <c r="AH62" s="35" t="str">
        <f aca="false">IFERROR(CHOOSE(MATCH(INDEX(時間ごとの判定!$AK$3:$AK$1850,1399),{"利用可","両方停止","運転がそろわない","判定不能"},0),"○","停","×","－"),"")</f>
        <v>停</v>
      </c>
      <c r="AI62" s="35" t="str">
        <f aca="false">IFERROR(CHOOSE(MATCH(INDEX(時間ごとの判定!$AK$3:$AK$1850,1400),{"利用可","両方停止","運転がそろわない","判定不能"},0),"○","停","×","－"),"")</f>
        <v>×</v>
      </c>
      <c r="AJ62" s="35" t="str">
        <f aca="false">IFERROR(CHOOSE(MATCH(INDEX(時間ごとの判定!$AK$3:$AK$1850,1401),{"利用可","両方停止","運転がそろわない","判定不能"},0),"○","停","×","－"),"")</f>
        <v>×</v>
      </c>
      <c r="AK62" s="35" t="str">
        <f aca="false">IFERROR(CHOOSE(MATCH(INDEX(時間ごとの判定!$AK$3:$AK$1850,1402),{"利用可","両方停止","運転がそろわない","判定不能"},0),"○","停","×","－"),"")</f>
        <v>○</v>
      </c>
      <c r="AL62" s="35" t="str">
        <f aca="false">IFERROR(CHOOSE(MATCH(INDEX(時間ごとの判定!$AK$3:$AK$1850,1403),{"利用可","両方停止","運転がそろわない","判定不能"},0),"○","停","×","－"),"")</f>
        <v>○</v>
      </c>
      <c r="AM62" s="35" t="str">
        <f aca="false">IFERROR(CHOOSE(MATCH(INDEX(時間ごとの判定!$AK$3:$AK$1850,1404),{"利用可","両方停止","運転がそろわない","判定不能"},0),"○","停","×","－"),"")</f>
        <v>○</v>
      </c>
      <c r="AN62" s="35" t="str">
        <f aca="false">IFERROR(CHOOSE(MATCH(INDEX(時間ごとの判定!$AK$3:$AK$1850,1405),{"利用可","両方停止","運転がそろわない","判定不能"},0),"○","停","×","－"),"")</f>
        <v>○</v>
      </c>
      <c r="AO62" s="35" t="str">
        <f aca="false">IFERROR(CHOOSE(MATCH(INDEX(時間ごとの判定!$AK$3:$AK$1850,1406),{"利用可","両方停止","運転がそろわない","判定不能"},0),"○","停","×","－"),"")</f>
        <v>○</v>
      </c>
      <c r="AP62" s="35" t="str">
        <f aca="false">IFERROR(CHOOSE(MATCH(INDEX(時間ごとの判定!$AK$3:$AK$1850,1407),{"利用可","両方停止","運転がそろわない","判定不能"},0),"○","停","×","－"),"")</f>
        <v>○</v>
      </c>
      <c r="AQ62" s="35" t="str">
        <f aca="false">IFERROR(CHOOSE(MATCH(INDEX(時間ごとの判定!$AK$3:$AK$1850,1408),{"利用可","両方停止","運転がそろわない","判定不能"},0),"○","停","×","－"),"")</f>
        <v>○</v>
      </c>
      <c r="AR62" s="35" t="str">
        <f aca="false">IFERROR(CHOOSE(MATCH(INDEX(時間ごとの判定!$AK$3:$AK$1850,1409),{"利用可","両方停止","運転がそろわない","判定不能"},0),"○","停","×","－"),"")</f>
        <v>○</v>
      </c>
      <c r="AS62" s="35" t="str">
        <f aca="false">IFERROR(CHOOSE(MATCH(INDEX(時間ごとの判定!$AK$3:$AK$1850,1410),{"利用可","両方停止","運転がそろわない","判定不能"},0),"○","停","×","－"),"")</f>
        <v>○</v>
      </c>
      <c r="AT62" s="35" t="str">
        <f aca="false">IFERROR(CHOOSE(MATCH(INDEX(時間ごとの判定!$AK$3:$AK$1850,1411),{"利用可","両方停止","運転がそろわない","判定不能"},0),"○","停","×","－"),"")</f>
        <v>×</v>
      </c>
      <c r="AU62" s="35" t="str">
        <f aca="false">IFERROR(CHOOSE(MATCH(INDEX(時間ごとの判定!$AK$3:$AK$1850,1412),{"利用可","両方停止","運転がそろわない","判定不能"},0),"○","停","×","－"),"")</f>
        <v>○</v>
      </c>
      <c r="AV62" s="35" t="str">
        <f aca="false">IFERROR(CHOOSE(MATCH(INDEX(時間ごとの判定!$AK$3:$AK$1850,1413),{"利用可","両方停止","運転がそろわない","判定不能"},0),"○","停","×","－"),"")</f>
        <v>×</v>
      </c>
      <c r="AW62" s="35" t="str">
        <f aca="false">IFERROR(CHOOSE(MATCH(INDEX(時間ごとの判定!$AK$3:$AK$1850,1414),{"利用可","両方停止","運転がそろわない","判定不能"},0),"○","停","×","－"),"")</f>
        <v>停</v>
      </c>
      <c r="AX62" s="35" t="str">
        <f aca="false">IFERROR(CHOOSE(MATCH(INDEX(時間ごとの判定!$AK$3:$AK$1850,1415),{"利用可","両方停止","運転がそろわない","判定不能"},0),"○","停","×","－"),"")</f>
        <v>停</v>
      </c>
      <c r="AY62" s="35" t="str">
        <f aca="false">IFERROR(CHOOSE(MATCH(INDEX(時間ごとの判定!$AK$3:$AK$1850,1416),{"利用可","両方停止","運転がそろわない","判定不能"},0),"○","停","×","－"),"")</f>
        <v>停</v>
      </c>
      <c r="AZ62" s="35"/>
      <c r="BA62" s="35" t="str">
        <f aca="false">IFERROR(CHOOSE(MATCH(INDEX(時間ごとの判定!$AN$3:$AN$1850,1393),{"利用可","両方停止","運転がそろわない","判定不能"},0),"○","停","×","－"),"")</f>
        <v>停</v>
      </c>
      <c r="BB62" s="35" t="str">
        <f aca="false">IFERROR(CHOOSE(MATCH(INDEX(時間ごとの判定!$AN$3:$AN$1850,1394),{"利用可","両方停止","運転がそろわない","判定不能"},0),"○","停","×","－"),"")</f>
        <v>停</v>
      </c>
      <c r="BC62" s="35" t="str">
        <f aca="false">IFERROR(CHOOSE(MATCH(INDEX(時間ごとの判定!$AN$3:$AN$1850,1395),{"利用可","両方停止","運転がそろわない","判定不能"},0),"○","停","×","－"),"")</f>
        <v>停</v>
      </c>
      <c r="BD62" s="35" t="str">
        <f aca="false">IFERROR(CHOOSE(MATCH(INDEX(時間ごとの判定!$AN$3:$AN$1850,1396),{"利用可","両方停止","運転がそろわない","判定不能"},0),"○","停","×","－"),"")</f>
        <v>停</v>
      </c>
      <c r="BE62" s="35" t="str">
        <f aca="false">IFERROR(CHOOSE(MATCH(INDEX(時間ごとの判定!$AN$3:$AN$1850,1397),{"利用可","両方停止","運転がそろわない","判定不能"},0),"○","停","×","－"),"")</f>
        <v>停</v>
      </c>
      <c r="BF62" s="35" t="str">
        <f aca="false">IFERROR(CHOOSE(MATCH(INDEX(時間ごとの判定!$AN$3:$AN$1850,1398),{"利用可","両方停止","運転がそろわない","判定不能"},0),"○","停","×","－"),"")</f>
        <v>停</v>
      </c>
      <c r="BG62" s="35" t="str">
        <f aca="false">IFERROR(CHOOSE(MATCH(INDEX(時間ごとの判定!$AN$3:$AN$1850,1399),{"利用可","両方停止","運転がそろわない","判定不能"},0),"○","停","×","－"),"")</f>
        <v>停</v>
      </c>
      <c r="BH62" s="35" t="str">
        <f aca="false">IFERROR(CHOOSE(MATCH(INDEX(時間ごとの判定!$AN$3:$AN$1850,1400),{"利用可","両方停止","運転がそろわない","判定不能"},0),"○","停","×","－"),"")</f>
        <v>×</v>
      </c>
      <c r="BI62" s="35" t="str">
        <f aca="false">IFERROR(CHOOSE(MATCH(INDEX(時間ごとの判定!$AN$3:$AN$1850,1401),{"利用可","両方停止","運転がそろわない","判定不能"},0),"○","停","×","－"),"")</f>
        <v>×</v>
      </c>
      <c r="BJ62" s="35" t="str">
        <f aca="false">IFERROR(CHOOSE(MATCH(INDEX(時間ごとの判定!$AN$3:$AN$1850,1402),{"利用可","両方停止","運転がそろわない","判定不能"},0),"○","停","×","－"),"")</f>
        <v>○</v>
      </c>
      <c r="BK62" s="35" t="str">
        <f aca="false">IFERROR(CHOOSE(MATCH(INDEX(時間ごとの判定!$AN$3:$AN$1850,1403),{"利用可","両方停止","運転がそろわない","判定不能"},0),"○","停","×","－"),"")</f>
        <v>○</v>
      </c>
      <c r="BL62" s="35" t="str">
        <f aca="false">IFERROR(CHOOSE(MATCH(INDEX(時間ごとの判定!$AN$3:$AN$1850,1404),{"利用可","両方停止","運転がそろわない","判定不能"},0),"○","停","×","－"),"")</f>
        <v>○</v>
      </c>
      <c r="BM62" s="35" t="str">
        <f aca="false">IFERROR(CHOOSE(MATCH(INDEX(時間ごとの判定!$AN$3:$AN$1850,1405),{"利用可","両方停止","運転がそろわない","判定不能"},0),"○","停","×","－"),"")</f>
        <v>○</v>
      </c>
      <c r="BN62" s="35" t="str">
        <f aca="false">IFERROR(CHOOSE(MATCH(INDEX(時間ごとの判定!$AN$3:$AN$1850,1406),{"利用可","両方停止","運転がそろわない","判定不能"},0),"○","停","×","－"),"")</f>
        <v>○</v>
      </c>
      <c r="BO62" s="35" t="str">
        <f aca="false">IFERROR(CHOOSE(MATCH(INDEX(時間ごとの判定!$AN$3:$AN$1850,1407),{"利用可","両方停止","運転がそろわない","判定不能"},0),"○","停","×","－"),"")</f>
        <v>○</v>
      </c>
      <c r="BP62" s="35" t="str">
        <f aca="false">IFERROR(CHOOSE(MATCH(INDEX(時間ごとの判定!$AN$3:$AN$1850,1408),{"利用可","両方停止","運転がそろわない","判定不能"},0),"○","停","×","－"),"")</f>
        <v>○</v>
      </c>
      <c r="BQ62" s="35" t="str">
        <f aca="false">IFERROR(CHOOSE(MATCH(INDEX(時間ごとの判定!$AN$3:$AN$1850,1409),{"利用可","両方停止","運転がそろわない","判定不能"},0),"○","停","×","－"),"")</f>
        <v>○</v>
      </c>
      <c r="BR62" s="35" t="str">
        <f aca="false">IFERROR(CHOOSE(MATCH(INDEX(時間ごとの判定!$AN$3:$AN$1850,1410),{"利用可","両方停止","運転がそろわない","判定不能"},0),"○","停","×","－"),"")</f>
        <v>○</v>
      </c>
      <c r="BS62" s="35" t="str">
        <f aca="false">IFERROR(CHOOSE(MATCH(INDEX(時間ごとの判定!$AN$3:$AN$1850,1411),{"利用可","両方停止","運転がそろわない","判定不能"},0),"○","停","×","－"),"")</f>
        <v>×</v>
      </c>
      <c r="BT62" s="35" t="str">
        <f aca="false">IFERROR(CHOOSE(MATCH(INDEX(時間ごとの判定!$AN$3:$AN$1850,1412),{"利用可","両方停止","運転がそろわない","判定不能"},0),"○","停","×","－"),"")</f>
        <v>×</v>
      </c>
      <c r="BU62" s="35" t="str">
        <f aca="false">IFERROR(CHOOSE(MATCH(INDEX(時間ごとの判定!$AN$3:$AN$1850,1413),{"利用可","両方停止","運転がそろわない","判定不能"},0),"○","停","×","－"),"")</f>
        <v>×</v>
      </c>
      <c r="BV62" s="35" t="str">
        <f aca="false">IFERROR(CHOOSE(MATCH(INDEX(時間ごとの判定!$AN$3:$AN$1850,1414),{"利用可","両方停止","運転がそろわない","判定不能"},0),"○","停","×","－"),"")</f>
        <v>停</v>
      </c>
      <c r="BW62" s="35" t="str">
        <f aca="false">IFERROR(CHOOSE(MATCH(INDEX(時間ごとの判定!$AN$3:$AN$1850,1415),{"利用可","両方停止","運転がそろわない","判定不能"},0),"○","停","×","－"),"")</f>
        <v>停</v>
      </c>
      <c r="BX62" s="35" t="str">
        <f aca="false">IFERROR(CHOOSE(MATCH(INDEX(時間ごとの判定!$AN$3:$AN$1850,1416),{"利用可","両方停止","運転がそろわない","判定不能"},0),"○","停","×","－"),"")</f>
        <v>停</v>
      </c>
    </row>
    <row r="63" customFormat="false" ht="15" hidden="false" customHeight="false" outlineLevel="0" collapsed="false">
      <c r="A63" s="33" t="n">
        <v>46291</v>
      </c>
      <c r="B63" s="36" t="s">
        <v>63</v>
      </c>
      <c r="C63" s="35" t="str">
        <f aca="false">IFERROR(CHOOSE(MATCH(INDEX(時間ごとの判定!$AH$3:$AH$1850,1417),{"利用可","両方停止","運転がそろわない","判定不能"},0),"○","停","×","－"),"")</f>
        <v>停</v>
      </c>
      <c r="D63" s="35" t="str">
        <f aca="false">IFERROR(CHOOSE(MATCH(INDEX(時間ごとの判定!$AH$3:$AH$1850,1418),{"利用可","両方停止","運転がそろわない","判定不能"},0),"○","停","×","－"),"")</f>
        <v>停</v>
      </c>
      <c r="E63" s="35" t="str">
        <f aca="false">IFERROR(CHOOSE(MATCH(INDEX(時間ごとの判定!$AH$3:$AH$1850,1419),{"利用可","両方停止","運転がそろわない","判定不能"},0),"○","停","×","－"),"")</f>
        <v>停</v>
      </c>
      <c r="F63" s="35" t="str">
        <f aca="false">IFERROR(CHOOSE(MATCH(INDEX(時間ごとの判定!$AH$3:$AH$1850,1420),{"利用可","両方停止","運転がそろわない","判定不能"},0),"○","停","×","－"),"")</f>
        <v>停</v>
      </c>
      <c r="G63" s="35" t="str">
        <f aca="false">IFERROR(CHOOSE(MATCH(INDEX(時間ごとの判定!$AH$3:$AH$1850,1421),{"利用可","両方停止","運転がそろわない","判定不能"},0),"○","停","×","－"),"")</f>
        <v>停</v>
      </c>
      <c r="H63" s="35" t="str">
        <f aca="false">IFERROR(CHOOSE(MATCH(INDEX(時間ごとの判定!$AH$3:$AH$1850,1422),{"利用可","両方停止","運転がそろわない","判定不能"},0),"○","停","×","－"),"")</f>
        <v>停</v>
      </c>
      <c r="I63" s="35" t="str">
        <f aca="false">IFERROR(CHOOSE(MATCH(INDEX(時間ごとの判定!$AH$3:$AH$1850,1423),{"利用可","両方停止","運転がそろわない","判定不能"},0),"○","停","×","－"),"")</f>
        <v>停</v>
      </c>
      <c r="J63" s="35" t="str">
        <f aca="false">IFERROR(CHOOSE(MATCH(INDEX(時間ごとの判定!$AH$3:$AH$1850,1424),{"利用可","両方停止","運転がそろわない","判定不能"},0),"○","停","×","－"),"")</f>
        <v>停</v>
      </c>
      <c r="K63" s="35" t="str">
        <f aca="false">IFERROR(CHOOSE(MATCH(INDEX(時間ごとの判定!$AH$3:$AH$1850,1425),{"利用可","両方停止","運転がそろわない","判定不能"},0),"○","停","×","－"),"")</f>
        <v>停</v>
      </c>
      <c r="L63" s="35" t="str">
        <f aca="false">IFERROR(CHOOSE(MATCH(INDEX(時間ごとの判定!$AH$3:$AH$1850,1426),{"利用可","両方停止","運転がそろわない","判定不能"},0),"○","停","×","－"),"")</f>
        <v>停</v>
      </c>
      <c r="M63" s="35" t="str">
        <f aca="false">IFERROR(CHOOSE(MATCH(INDEX(時間ごとの判定!$AH$3:$AH$1850,1427),{"利用可","両方停止","運転がそろわない","判定不能"},0),"○","停","×","－"),"")</f>
        <v>停</v>
      </c>
      <c r="N63" s="35" t="str">
        <f aca="false">IFERROR(CHOOSE(MATCH(INDEX(時間ごとの判定!$AH$3:$AH$1850,1428),{"利用可","両方停止","運転がそろわない","判定不能"},0),"○","停","×","－"),"")</f>
        <v>停</v>
      </c>
      <c r="O63" s="35" t="str">
        <f aca="false">IFERROR(CHOOSE(MATCH(INDEX(時間ごとの判定!$AH$3:$AH$1850,1429),{"利用可","両方停止","運転がそろわない","判定不能"},0),"○","停","×","－"),"")</f>
        <v>停</v>
      </c>
      <c r="P63" s="35" t="str">
        <f aca="false">IFERROR(CHOOSE(MATCH(INDEX(時間ごとの判定!$AH$3:$AH$1850,1430),{"利用可","両方停止","運転がそろわない","判定不能"},0),"○","停","×","－"),"")</f>
        <v>×</v>
      </c>
      <c r="Q63" s="35" t="str">
        <f aca="false">IFERROR(CHOOSE(MATCH(INDEX(時間ごとの判定!$AH$3:$AH$1850,1431),{"利用可","両方停止","運転がそろわない","判定不能"},0),"○","停","×","－"),"")</f>
        <v>停</v>
      </c>
      <c r="R63" s="35" t="str">
        <f aca="false">IFERROR(CHOOSE(MATCH(INDEX(時間ごとの判定!$AH$3:$AH$1850,1432),{"利用可","両方停止","運転がそろわない","判定不能"},0),"○","停","×","－"),"")</f>
        <v>停</v>
      </c>
      <c r="S63" s="35" t="str">
        <f aca="false">IFERROR(CHOOSE(MATCH(INDEX(時間ごとの判定!$AH$3:$AH$1850,1433),{"利用可","両方停止","運転がそろわない","判定不能"},0),"○","停","×","－"),"")</f>
        <v>×</v>
      </c>
      <c r="T63" s="35" t="str">
        <f aca="false">IFERROR(CHOOSE(MATCH(INDEX(時間ごとの判定!$AH$3:$AH$1850,1434),{"利用可","両方停止","運転がそろわない","判定不能"},0),"○","停","×","－"),"")</f>
        <v>停</v>
      </c>
      <c r="U63" s="35" t="str">
        <f aca="false">IFERROR(CHOOSE(MATCH(INDEX(時間ごとの判定!$AH$3:$AH$1850,1435),{"利用可","両方停止","運転がそろわない","判定不能"},0),"○","停","×","－"),"")</f>
        <v>停</v>
      </c>
      <c r="V63" s="35" t="str">
        <f aca="false">IFERROR(CHOOSE(MATCH(INDEX(時間ごとの判定!$AH$3:$AH$1850,1436),{"利用可","両方停止","運転がそろわない","判定不能"},0),"○","停","×","－"),"")</f>
        <v>停</v>
      </c>
      <c r="W63" s="35" t="str">
        <f aca="false">IFERROR(CHOOSE(MATCH(INDEX(時間ごとの判定!$AH$3:$AH$1850,1437),{"利用可","両方停止","運転がそろわない","判定不能"},0),"○","停","×","－"),"")</f>
        <v>停</v>
      </c>
      <c r="X63" s="35" t="str">
        <f aca="false">IFERROR(CHOOSE(MATCH(INDEX(時間ごとの判定!$AH$3:$AH$1850,1438),{"利用可","両方停止","運転がそろわない","判定不能"},0),"○","停","×","－"),"")</f>
        <v>停</v>
      </c>
      <c r="Y63" s="35" t="str">
        <f aca="false">IFERROR(CHOOSE(MATCH(INDEX(時間ごとの判定!$AH$3:$AH$1850,1439),{"利用可","両方停止","運転がそろわない","判定不能"},0),"○","停","×","－"),"")</f>
        <v>停</v>
      </c>
      <c r="Z63" s="35" t="str">
        <f aca="false">IFERROR(CHOOSE(MATCH(INDEX(時間ごとの判定!$AH$3:$AH$1850,1440),{"利用可","両方停止","運転がそろわない","判定不能"},0),"○","停","×","－"),"")</f>
        <v>停</v>
      </c>
      <c r="AA63" s="35"/>
      <c r="AB63" s="35" t="str">
        <f aca="false">IFERROR(CHOOSE(MATCH(INDEX(時間ごとの判定!$AK$3:$AK$1850,1417),{"利用可","両方停止","運転がそろわない","判定不能"},0),"○","停","×","－"),"")</f>
        <v>停</v>
      </c>
      <c r="AC63" s="35" t="str">
        <f aca="false">IFERROR(CHOOSE(MATCH(INDEX(時間ごとの判定!$AK$3:$AK$1850,1418),{"利用可","両方停止","運転がそろわない","判定不能"},0),"○","停","×","－"),"")</f>
        <v>停</v>
      </c>
      <c r="AD63" s="35" t="str">
        <f aca="false">IFERROR(CHOOSE(MATCH(INDEX(時間ごとの判定!$AK$3:$AK$1850,1419),{"利用可","両方停止","運転がそろわない","判定不能"},0),"○","停","×","－"),"")</f>
        <v>停</v>
      </c>
      <c r="AE63" s="35" t="str">
        <f aca="false">IFERROR(CHOOSE(MATCH(INDEX(時間ごとの判定!$AK$3:$AK$1850,1420),{"利用可","両方停止","運転がそろわない","判定不能"},0),"○","停","×","－"),"")</f>
        <v>停</v>
      </c>
      <c r="AF63" s="35" t="str">
        <f aca="false">IFERROR(CHOOSE(MATCH(INDEX(時間ごとの判定!$AK$3:$AK$1850,1421),{"利用可","両方停止","運転がそろわない","判定不能"},0),"○","停","×","－"),"")</f>
        <v>停</v>
      </c>
      <c r="AG63" s="35" t="str">
        <f aca="false">IFERROR(CHOOSE(MATCH(INDEX(時間ごとの判定!$AK$3:$AK$1850,1422),{"利用可","両方停止","運転がそろわない","判定不能"},0),"○","停","×","－"),"")</f>
        <v>停</v>
      </c>
      <c r="AH63" s="35" t="str">
        <f aca="false">IFERROR(CHOOSE(MATCH(INDEX(時間ごとの判定!$AK$3:$AK$1850,1423),{"利用可","両方停止","運転がそろわない","判定不能"},0),"○","停","×","－"),"")</f>
        <v>停</v>
      </c>
      <c r="AI63" s="35" t="str">
        <f aca="false">IFERROR(CHOOSE(MATCH(INDEX(時間ごとの判定!$AK$3:$AK$1850,1424),{"利用可","両方停止","運転がそろわない","判定不能"},0),"○","停","×","－"),"")</f>
        <v>停</v>
      </c>
      <c r="AJ63" s="35" t="str">
        <f aca="false">IFERROR(CHOOSE(MATCH(INDEX(時間ごとの判定!$AK$3:$AK$1850,1425),{"利用可","両方停止","運転がそろわない","判定不能"},0),"○","停","×","－"),"")</f>
        <v>停</v>
      </c>
      <c r="AK63" s="35" t="str">
        <f aca="false">IFERROR(CHOOSE(MATCH(INDEX(時間ごとの判定!$AK$3:$AK$1850,1426),{"利用可","両方停止","運転がそろわない","判定不能"},0),"○","停","×","－"),"")</f>
        <v>×</v>
      </c>
      <c r="AL63" s="35" t="str">
        <f aca="false">IFERROR(CHOOSE(MATCH(INDEX(時間ごとの判定!$AK$3:$AK$1850,1427),{"利用可","両方停止","運転がそろわない","判定不能"},0),"○","停","×","－"),"")</f>
        <v>×</v>
      </c>
      <c r="AM63" s="35" t="str">
        <f aca="false">IFERROR(CHOOSE(MATCH(INDEX(時間ごとの判定!$AK$3:$AK$1850,1428),{"利用可","両方停止","運転がそろわない","判定不能"},0),"○","停","×","－"),"")</f>
        <v>×</v>
      </c>
      <c r="AN63" s="35" t="str">
        <f aca="false">IFERROR(CHOOSE(MATCH(INDEX(時間ごとの判定!$AK$3:$AK$1850,1429),{"利用可","両方停止","運転がそろわない","判定不能"},0),"○","停","×","－"),"")</f>
        <v>×</v>
      </c>
      <c r="AO63" s="35" t="str">
        <f aca="false">IFERROR(CHOOSE(MATCH(INDEX(時間ごとの判定!$AK$3:$AK$1850,1430),{"利用可","両方停止","運転がそろわない","判定不能"},0),"○","停","×","－"),"")</f>
        <v>×</v>
      </c>
      <c r="AP63" s="35" t="str">
        <f aca="false">IFERROR(CHOOSE(MATCH(INDEX(時間ごとの判定!$AK$3:$AK$1850,1431),{"利用可","両方停止","運転がそろわない","判定不能"},0),"○","停","×","－"),"")</f>
        <v>×</v>
      </c>
      <c r="AQ63" s="35" t="str">
        <f aca="false">IFERROR(CHOOSE(MATCH(INDEX(時間ごとの判定!$AK$3:$AK$1850,1432),{"利用可","両方停止","運転がそろわない","判定不能"},0),"○","停","×","－"),"")</f>
        <v>×</v>
      </c>
      <c r="AR63" s="35" t="str">
        <f aca="false">IFERROR(CHOOSE(MATCH(INDEX(時間ごとの判定!$AK$3:$AK$1850,1433),{"利用可","両方停止","運転がそろわない","判定不能"},0),"○","停","×","－"),"")</f>
        <v>×</v>
      </c>
      <c r="AS63" s="35" t="str">
        <f aca="false">IFERROR(CHOOSE(MATCH(INDEX(時間ごとの判定!$AK$3:$AK$1850,1434),{"利用可","両方停止","運転がそろわない","判定不能"},0),"○","停","×","－"),"")</f>
        <v>×</v>
      </c>
      <c r="AT63" s="35" t="str">
        <f aca="false">IFERROR(CHOOSE(MATCH(INDEX(時間ごとの判定!$AK$3:$AK$1850,1435),{"利用可","両方停止","運転がそろわない","判定不能"},0),"○","停","×","－"),"")</f>
        <v>×</v>
      </c>
      <c r="AU63" s="35" t="str">
        <f aca="false">IFERROR(CHOOSE(MATCH(INDEX(時間ごとの判定!$AK$3:$AK$1850,1436),{"利用可","両方停止","運転がそろわない","判定不能"},0),"○","停","×","－"),"")</f>
        <v>×</v>
      </c>
      <c r="AV63" s="35" t="str">
        <f aca="false">IFERROR(CHOOSE(MATCH(INDEX(時間ごとの判定!$AK$3:$AK$1850,1437),{"利用可","両方停止","運転がそろわない","判定不能"},0),"○","停","×","－"),"")</f>
        <v>停</v>
      </c>
      <c r="AW63" s="35" t="str">
        <f aca="false">IFERROR(CHOOSE(MATCH(INDEX(時間ごとの判定!$AK$3:$AK$1850,1438),{"利用可","両方停止","運転がそろわない","判定不能"},0),"○","停","×","－"),"")</f>
        <v>停</v>
      </c>
      <c r="AX63" s="35" t="str">
        <f aca="false">IFERROR(CHOOSE(MATCH(INDEX(時間ごとの判定!$AK$3:$AK$1850,1439),{"利用可","両方停止","運転がそろわない","判定不能"},0),"○","停","×","－"),"")</f>
        <v>停</v>
      </c>
      <c r="AY63" s="35" t="str">
        <f aca="false">IFERROR(CHOOSE(MATCH(INDEX(時間ごとの判定!$AK$3:$AK$1850,1440),{"利用可","両方停止","運転がそろわない","判定不能"},0),"○","停","×","－"),"")</f>
        <v>停</v>
      </c>
      <c r="AZ63" s="35"/>
      <c r="BA63" s="35" t="str">
        <f aca="false">IFERROR(CHOOSE(MATCH(INDEX(時間ごとの判定!$AN$3:$AN$1850,1417),{"利用可","両方停止","運転がそろわない","判定不能"},0),"○","停","×","－"),"")</f>
        <v>停</v>
      </c>
      <c r="BB63" s="35" t="str">
        <f aca="false">IFERROR(CHOOSE(MATCH(INDEX(時間ごとの判定!$AN$3:$AN$1850,1418),{"利用可","両方停止","運転がそろわない","判定不能"},0),"○","停","×","－"),"")</f>
        <v>停</v>
      </c>
      <c r="BC63" s="35" t="str">
        <f aca="false">IFERROR(CHOOSE(MATCH(INDEX(時間ごとの判定!$AN$3:$AN$1850,1419),{"利用可","両方停止","運転がそろわない","判定不能"},0),"○","停","×","－"),"")</f>
        <v>停</v>
      </c>
      <c r="BD63" s="35" t="str">
        <f aca="false">IFERROR(CHOOSE(MATCH(INDEX(時間ごとの判定!$AN$3:$AN$1850,1420),{"利用可","両方停止","運転がそろわない","判定不能"},0),"○","停","×","－"),"")</f>
        <v>停</v>
      </c>
      <c r="BE63" s="35" t="str">
        <f aca="false">IFERROR(CHOOSE(MATCH(INDEX(時間ごとの判定!$AN$3:$AN$1850,1421),{"利用可","両方停止","運転がそろわない","判定不能"},0),"○","停","×","－"),"")</f>
        <v>停</v>
      </c>
      <c r="BF63" s="35" t="str">
        <f aca="false">IFERROR(CHOOSE(MATCH(INDEX(時間ごとの判定!$AN$3:$AN$1850,1422),{"利用可","両方停止","運転がそろわない","判定不能"},0),"○","停","×","－"),"")</f>
        <v>停</v>
      </c>
      <c r="BG63" s="35" t="str">
        <f aca="false">IFERROR(CHOOSE(MATCH(INDEX(時間ごとの判定!$AN$3:$AN$1850,1423),{"利用可","両方停止","運転がそろわない","判定不能"},0),"○","停","×","－"),"")</f>
        <v>停</v>
      </c>
      <c r="BH63" s="35" t="str">
        <f aca="false">IFERROR(CHOOSE(MATCH(INDEX(時間ごとの判定!$AN$3:$AN$1850,1424),{"利用可","両方停止","運転がそろわない","判定不能"},0),"○","停","×","－"),"")</f>
        <v>停</v>
      </c>
      <c r="BI63" s="35" t="str">
        <f aca="false">IFERROR(CHOOSE(MATCH(INDEX(時間ごとの判定!$AN$3:$AN$1850,1425),{"利用可","両方停止","運転がそろわない","判定不能"},0),"○","停","×","－"),"")</f>
        <v>×</v>
      </c>
      <c r="BJ63" s="35" t="str">
        <f aca="false">IFERROR(CHOOSE(MATCH(INDEX(時間ごとの判定!$AN$3:$AN$1850,1426),{"利用可","両方停止","運転がそろわない","判定不能"},0),"○","停","×","－"),"")</f>
        <v>×</v>
      </c>
      <c r="BK63" s="35" t="str">
        <f aca="false">IFERROR(CHOOSE(MATCH(INDEX(時間ごとの判定!$AN$3:$AN$1850,1427),{"利用可","両方停止","運転がそろわない","判定不能"},0),"○","停","×","－"),"")</f>
        <v>×</v>
      </c>
      <c r="BL63" s="35" t="str">
        <f aca="false">IFERROR(CHOOSE(MATCH(INDEX(時間ごとの判定!$AN$3:$AN$1850,1428),{"利用可","両方停止","運転がそろわない","判定不能"},0),"○","停","×","－"),"")</f>
        <v>×</v>
      </c>
      <c r="BM63" s="35" t="str">
        <f aca="false">IFERROR(CHOOSE(MATCH(INDEX(時間ごとの判定!$AN$3:$AN$1850,1429),{"利用可","両方停止","運転がそろわない","判定不能"},0),"○","停","×","－"),"")</f>
        <v>×</v>
      </c>
      <c r="BN63" s="35" t="str">
        <f aca="false">IFERROR(CHOOSE(MATCH(INDEX(時間ごとの判定!$AN$3:$AN$1850,1430),{"利用可","両方停止","運転がそろわない","判定不能"},0),"○","停","×","－"),"")</f>
        <v>×</v>
      </c>
      <c r="BO63" s="35" t="str">
        <f aca="false">IFERROR(CHOOSE(MATCH(INDEX(時間ごとの判定!$AN$3:$AN$1850,1431),{"利用可","両方停止","運転がそろわない","判定不能"},0),"○","停","×","－"),"")</f>
        <v>×</v>
      </c>
      <c r="BP63" s="35" t="str">
        <f aca="false">IFERROR(CHOOSE(MATCH(INDEX(時間ごとの判定!$AN$3:$AN$1850,1432),{"利用可","両方停止","運転がそろわない","判定不能"},0),"○","停","×","－"),"")</f>
        <v>×</v>
      </c>
      <c r="BQ63" s="35" t="str">
        <f aca="false">IFERROR(CHOOSE(MATCH(INDEX(時間ごとの判定!$AN$3:$AN$1850,1433),{"利用可","両方停止","運転がそろわない","判定不能"},0),"○","停","×","－"),"")</f>
        <v>×</v>
      </c>
      <c r="BR63" s="35" t="str">
        <f aca="false">IFERROR(CHOOSE(MATCH(INDEX(時間ごとの判定!$AN$3:$AN$1850,1434),{"利用可","両方停止","運転がそろわない","判定不能"},0),"○","停","×","－"),"")</f>
        <v>○</v>
      </c>
      <c r="BS63" s="35" t="str">
        <f aca="false">IFERROR(CHOOSE(MATCH(INDEX(時間ごとの判定!$AN$3:$AN$1850,1435),{"利用可","両方停止","運転がそろわない","判定不能"},0),"○","停","×","－"),"")</f>
        <v>×</v>
      </c>
      <c r="BT63" s="35" t="str">
        <f aca="false">IFERROR(CHOOSE(MATCH(INDEX(時間ごとの判定!$AN$3:$AN$1850,1436),{"利用可","両方停止","運転がそろわない","判定不能"},0),"○","停","×","－"),"")</f>
        <v>×</v>
      </c>
      <c r="BU63" s="35" t="str">
        <f aca="false">IFERROR(CHOOSE(MATCH(INDEX(時間ごとの判定!$AN$3:$AN$1850,1437),{"利用可","両方停止","運転がそろわない","判定不能"},0),"○","停","×","－"),"")</f>
        <v>×</v>
      </c>
      <c r="BV63" s="35" t="str">
        <f aca="false">IFERROR(CHOOSE(MATCH(INDEX(時間ごとの判定!$AN$3:$AN$1850,1438),{"利用可","両方停止","運転がそろわない","判定不能"},0),"○","停","×","－"),"")</f>
        <v>停</v>
      </c>
      <c r="BW63" s="35" t="str">
        <f aca="false">IFERROR(CHOOSE(MATCH(INDEX(時間ごとの判定!$AN$3:$AN$1850,1439),{"利用可","両方停止","運転がそろわない","判定不能"},0),"○","停","×","－"),"")</f>
        <v>停</v>
      </c>
      <c r="BX63" s="35" t="str">
        <f aca="false">IFERROR(CHOOSE(MATCH(INDEX(時間ごとの判定!$AN$3:$AN$1850,1440),{"利用可","両方停止","運転がそろわない","判定不能"},0),"○","停","×","－"),"")</f>
        <v>停</v>
      </c>
    </row>
    <row r="64" customFormat="false" ht="15" hidden="false" customHeight="false" outlineLevel="0" collapsed="false">
      <c r="A64" s="33" t="n">
        <v>46292</v>
      </c>
      <c r="B64" s="36" t="s">
        <v>65</v>
      </c>
      <c r="C64" s="35" t="str">
        <f aca="false">IFERROR(CHOOSE(MATCH(INDEX(時間ごとの判定!$AH$3:$AH$1850,1441),{"利用可","両方停止","運転がそろわない","判定不能"},0),"○","停","×","－"),"")</f>
        <v>停</v>
      </c>
      <c r="D64" s="35" t="str">
        <f aca="false">IFERROR(CHOOSE(MATCH(INDEX(時間ごとの判定!$AH$3:$AH$1850,1442),{"利用可","両方停止","運転がそろわない","判定不能"},0),"○","停","×","－"),"")</f>
        <v>停</v>
      </c>
      <c r="E64" s="35" t="str">
        <f aca="false">IFERROR(CHOOSE(MATCH(INDEX(時間ごとの判定!$AH$3:$AH$1850,1443),{"利用可","両方停止","運転がそろわない","判定不能"},0),"○","停","×","－"),"")</f>
        <v>停</v>
      </c>
      <c r="F64" s="35" t="str">
        <f aca="false">IFERROR(CHOOSE(MATCH(INDEX(時間ごとの判定!$AH$3:$AH$1850,1444),{"利用可","両方停止","運転がそろわない","判定不能"},0),"○","停","×","－"),"")</f>
        <v>停</v>
      </c>
      <c r="G64" s="35" t="str">
        <f aca="false">IFERROR(CHOOSE(MATCH(INDEX(時間ごとの判定!$AH$3:$AH$1850,1445),{"利用可","両方停止","運転がそろわない","判定不能"},0),"○","停","×","－"),"")</f>
        <v>停</v>
      </c>
      <c r="H64" s="35" t="str">
        <f aca="false">IFERROR(CHOOSE(MATCH(INDEX(時間ごとの判定!$AH$3:$AH$1850,1446),{"利用可","両方停止","運転がそろわない","判定不能"},0),"○","停","×","－"),"")</f>
        <v>停</v>
      </c>
      <c r="I64" s="35" t="str">
        <f aca="false">IFERROR(CHOOSE(MATCH(INDEX(時間ごとの判定!$AH$3:$AH$1850,1447),{"利用可","両方停止","運転がそろわない","判定不能"},0),"○","停","×","－"),"")</f>
        <v>停</v>
      </c>
      <c r="J64" s="35" t="str">
        <f aca="false">IFERROR(CHOOSE(MATCH(INDEX(時間ごとの判定!$AH$3:$AH$1850,1448),{"利用可","両方停止","運転がそろわない","判定不能"},0),"○","停","×","－"),"")</f>
        <v>停</v>
      </c>
      <c r="K64" s="35" t="str">
        <f aca="false">IFERROR(CHOOSE(MATCH(INDEX(時間ごとの判定!$AH$3:$AH$1850,1449),{"利用可","両方停止","運転がそろわない","判定不能"},0),"○","停","×","－"),"")</f>
        <v>停</v>
      </c>
      <c r="L64" s="35" t="str">
        <f aca="false">IFERROR(CHOOSE(MATCH(INDEX(時間ごとの判定!$AH$3:$AH$1850,1450),{"利用可","両方停止","運転がそろわない","判定不能"},0),"○","停","×","－"),"")</f>
        <v>×</v>
      </c>
      <c r="M64" s="35" t="str">
        <f aca="false">IFERROR(CHOOSE(MATCH(INDEX(時間ごとの判定!$AH$3:$AH$1850,1451),{"利用可","両方停止","運転がそろわない","判定不能"},0),"○","停","×","－"),"")</f>
        <v>停</v>
      </c>
      <c r="N64" s="35" t="str">
        <f aca="false">IFERROR(CHOOSE(MATCH(INDEX(時間ごとの判定!$AH$3:$AH$1850,1452),{"利用可","両方停止","運転がそろわない","判定不能"},0),"○","停","×","－"),"")</f>
        <v>停</v>
      </c>
      <c r="O64" s="35" t="str">
        <f aca="false">IFERROR(CHOOSE(MATCH(INDEX(時間ごとの判定!$AH$3:$AH$1850,1453),{"利用可","両方停止","運転がそろわない","判定不能"},0),"○","停","×","－"),"")</f>
        <v>×</v>
      </c>
      <c r="P64" s="35" t="str">
        <f aca="false">IFERROR(CHOOSE(MATCH(INDEX(時間ごとの判定!$AH$3:$AH$1850,1454),{"利用可","両方停止","運転がそろわない","判定不能"},0),"○","停","×","－"),"")</f>
        <v>×</v>
      </c>
      <c r="Q64" s="35" t="str">
        <f aca="false">IFERROR(CHOOSE(MATCH(INDEX(時間ごとの判定!$AH$3:$AH$1850,1455),{"利用可","両方停止","運転がそろわない","判定不能"},0),"○","停","×","－"),"")</f>
        <v>○</v>
      </c>
      <c r="R64" s="35" t="str">
        <f aca="false">IFERROR(CHOOSE(MATCH(INDEX(時間ごとの判定!$AH$3:$AH$1850,1456),{"利用可","両方停止","運転がそろわない","判定不能"},0),"○","停","×","－"),"")</f>
        <v>×</v>
      </c>
      <c r="S64" s="35" t="str">
        <f aca="false">IFERROR(CHOOSE(MATCH(INDEX(時間ごとの判定!$AH$3:$AH$1850,1457),{"利用可","両方停止","運転がそろわない","判定不能"},0),"○","停","×","－"),"")</f>
        <v>×</v>
      </c>
      <c r="T64" s="35" t="str">
        <f aca="false">IFERROR(CHOOSE(MATCH(INDEX(時間ごとの判定!$AH$3:$AH$1850,1458),{"利用可","両方停止","運転がそろわない","判定不能"},0),"○","停","×","－"),"")</f>
        <v>×</v>
      </c>
      <c r="U64" s="35" t="str">
        <f aca="false">IFERROR(CHOOSE(MATCH(INDEX(時間ごとの判定!$AH$3:$AH$1850,1459),{"利用可","両方停止","運転がそろわない","判定不能"},0),"○","停","×","－"),"")</f>
        <v>×</v>
      </c>
      <c r="V64" s="35" t="str">
        <f aca="false">IFERROR(CHOOSE(MATCH(INDEX(時間ごとの判定!$AH$3:$AH$1850,1460),{"利用可","両方停止","運転がそろわない","判定不能"},0),"○","停","×","－"),"")</f>
        <v>×</v>
      </c>
      <c r="W64" s="35" t="str">
        <f aca="false">IFERROR(CHOOSE(MATCH(INDEX(時間ごとの判定!$AH$3:$AH$1850,1461),{"利用可","両方停止","運転がそろわない","判定不能"},0),"○","停","×","－"),"")</f>
        <v>×</v>
      </c>
      <c r="X64" s="35" t="str">
        <f aca="false">IFERROR(CHOOSE(MATCH(INDEX(時間ごとの判定!$AH$3:$AH$1850,1462),{"利用可","両方停止","運転がそろわない","判定不能"},0),"○","停","×","－"),"")</f>
        <v>×</v>
      </c>
      <c r="Y64" s="35" t="str">
        <f aca="false">IFERROR(CHOOSE(MATCH(INDEX(時間ごとの判定!$AH$3:$AH$1850,1463),{"利用可","両方停止","運転がそろわない","判定不能"},0),"○","停","×","－"),"")</f>
        <v>停</v>
      </c>
      <c r="Z64" s="35" t="str">
        <f aca="false">IFERROR(CHOOSE(MATCH(INDEX(時間ごとの判定!$AH$3:$AH$1850,1464),{"利用可","両方停止","運転がそろわない","判定不能"},0),"○","停","×","－"),"")</f>
        <v>停</v>
      </c>
      <c r="AA64" s="35"/>
      <c r="AB64" s="35" t="str">
        <f aca="false">IFERROR(CHOOSE(MATCH(INDEX(時間ごとの判定!$AK$3:$AK$1850,1441),{"利用可","両方停止","運転がそろわない","判定不能"},0),"○","停","×","－"),"")</f>
        <v>停</v>
      </c>
      <c r="AC64" s="35" t="str">
        <f aca="false">IFERROR(CHOOSE(MATCH(INDEX(時間ごとの判定!$AK$3:$AK$1850,1442),{"利用可","両方停止","運転がそろわない","判定不能"},0),"○","停","×","－"),"")</f>
        <v>停</v>
      </c>
      <c r="AD64" s="35" t="str">
        <f aca="false">IFERROR(CHOOSE(MATCH(INDEX(時間ごとの判定!$AK$3:$AK$1850,1443),{"利用可","両方停止","運転がそろわない","判定不能"},0),"○","停","×","－"),"")</f>
        <v>停</v>
      </c>
      <c r="AE64" s="35" t="str">
        <f aca="false">IFERROR(CHOOSE(MATCH(INDEX(時間ごとの判定!$AK$3:$AK$1850,1444),{"利用可","両方停止","運転がそろわない","判定不能"},0),"○","停","×","－"),"")</f>
        <v>停</v>
      </c>
      <c r="AF64" s="35" t="str">
        <f aca="false">IFERROR(CHOOSE(MATCH(INDEX(時間ごとの判定!$AK$3:$AK$1850,1445),{"利用可","両方停止","運転がそろわない","判定不能"},0),"○","停","×","－"),"")</f>
        <v>停</v>
      </c>
      <c r="AG64" s="35" t="str">
        <f aca="false">IFERROR(CHOOSE(MATCH(INDEX(時間ごとの判定!$AK$3:$AK$1850,1446),{"利用可","両方停止","運転がそろわない","判定不能"},0),"○","停","×","－"),"")</f>
        <v>停</v>
      </c>
      <c r="AH64" s="35" t="str">
        <f aca="false">IFERROR(CHOOSE(MATCH(INDEX(時間ごとの判定!$AK$3:$AK$1850,1447),{"利用可","両方停止","運転がそろわない","判定不能"},0),"○","停","×","－"),"")</f>
        <v>停</v>
      </c>
      <c r="AI64" s="35" t="str">
        <f aca="false">IFERROR(CHOOSE(MATCH(INDEX(時間ごとの判定!$AK$3:$AK$1850,1448),{"利用可","両方停止","運転がそろわない","判定不能"},0),"○","停","×","－"),"")</f>
        <v>停</v>
      </c>
      <c r="AJ64" s="35" t="str">
        <f aca="false">IFERROR(CHOOSE(MATCH(INDEX(時間ごとの判定!$AK$3:$AK$1850,1449),{"利用可","両方停止","運転がそろわない","判定不能"},0),"○","停","×","－"),"")</f>
        <v>停</v>
      </c>
      <c r="AK64" s="35" t="str">
        <f aca="false">IFERROR(CHOOSE(MATCH(INDEX(時間ごとの判定!$AK$3:$AK$1850,1450),{"利用可","両方停止","運転がそろわない","判定不能"},0),"○","停","×","－"),"")</f>
        <v>×</v>
      </c>
      <c r="AL64" s="35" t="str">
        <f aca="false">IFERROR(CHOOSE(MATCH(INDEX(時間ごとの判定!$AK$3:$AK$1850,1451),{"利用可","両方停止","運転がそろわない","判定不能"},0),"○","停","×","－"),"")</f>
        <v>×</v>
      </c>
      <c r="AM64" s="35" t="str">
        <f aca="false">IFERROR(CHOOSE(MATCH(INDEX(時間ごとの判定!$AK$3:$AK$1850,1452),{"利用可","両方停止","運転がそろわない","判定不能"},0),"○","停","×","－"),"")</f>
        <v>○</v>
      </c>
      <c r="AN64" s="35" t="str">
        <f aca="false">IFERROR(CHOOSE(MATCH(INDEX(時間ごとの判定!$AK$3:$AK$1850,1453),{"利用可","両方停止","運転がそろわない","判定不能"},0),"○","停","×","－"),"")</f>
        <v>○</v>
      </c>
      <c r="AO64" s="35" t="str">
        <f aca="false">IFERROR(CHOOSE(MATCH(INDEX(時間ごとの判定!$AK$3:$AK$1850,1454),{"利用可","両方停止","運転がそろわない","判定不能"},0),"○","停","×","－"),"")</f>
        <v>○</v>
      </c>
      <c r="AP64" s="35" t="str">
        <f aca="false">IFERROR(CHOOSE(MATCH(INDEX(時間ごとの判定!$AK$3:$AK$1850,1455),{"利用可","両方停止","運転がそろわない","判定不能"},0),"○","停","×","－"),"")</f>
        <v>○</v>
      </c>
      <c r="AQ64" s="35" t="str">
        <f aca="false">IFERROR(CHOOSE(MATCH(INDEX(時間ごとの判定!$AK$3:$AK$1850,1456),{"利用可","両方停止","運転がそろわない","判定不能"},0),"○","停","×","－"),"")</f>
        <v>×</v>
      </c>
      <c r="AR64" s="35" t="str">
        <f aca="false">IFERROR(CHOOSE(MATCH(INDEX(時間ごとの判定!$AK$3:$AK$1850,1457),{"利用可","両方停止","運転がそろわない","判定不能"},0),"○","停","×","－"),"")</f>
        <v>×</v>
      </c>
      <c r="AS64" s="35" t="str">
        <f aca="false">IFERROR(CHOOSE(MATCH(INDEX(時間ごとの判定!$AK$3:$AK$1850,1458),{"利用可","両方停止","運転がそろわない","判定不能"},0),"○","停","×","－"),"")</f>
        <v>×</v>
      </c>
      <c r="AT64" s="35" t="str">
        <f aca="false">IFERROR(CHOOSE(MATCH(INDEX(時間ごとの判定!$AK$3:$AK$1850,1459),{"利用可","両方停止","運転がそろわない","判定不能"},0),"○","停","×","－"),"")</f>
        <v>×</v>
      </c>
      <c r="AU64" s="35" t="str">
        <f aca="false">IFERROR(CHOOSE(MATCH(INDEX(時間ごとの判定!$AK$3:$AK$1850,1460),{"利用可","両方停止","運転がそろわない","判定不能"},0),"○","停","×","－"),"")</f>
        <v>×</v>
      </c>
      <c r="AV64" s="35" t="str">
        <f aca="false">IFERROR(CHOOSE(MATCH(INDEX(時間ごとの判定!$AK$3:$AK$1850,1461),{"利用可","両方停止","運転がそろわない","判定不能"},0),"○","停","×","－"),"")</f>
        <v>×</v>
      </c>
      <c r="AW64" s="35" t="str">
        <f aca="false">IFERROR(CHOOSE(MATCH(INDEX(時間ごとの判定!$AK$3:$AK$1850,1462),{"利用可","両方停止","運転がそろわない","判定不能"},0),"○","停","×","－"),"")</f>
        <v>×</v>
      </c>
      <c r="AX64" s="35" t="str">
        <f aca="false">IFERROR(CHOOSE(MATCH(INDEX(時間ごとの判定!$AK$3:$AK$1850,1463),{"利用可","両方停止","運転がそろわない","判定不能"},0),"○","停","×","－"),"")</f>
        <v>停</v>
      </c>
      <c r="AY64" s="35" t="str">
        <f aca="false">IFERROR(CHOOSE(MATCH(INDEX(時間ごとの判定!$AK$3:$AK$1850,1464),{"利用可","両方停止","運転がそろわない","判定不能"},0),"○","停","×","－"),"")</f>
        <v>停</v>
      </c>
      <c r="AZ64" s="35"/>
      <c r="BA64" s="35" t="str">
        <f aca="false">IFERROR(CHOOSE(MATCH(INDEX(時間ごとの判定!$AN$3:$AN$1850,1441),{"利用可","両方停止","運転がそろわない","判定不能"},0),"○","停","×","－"),"")</f>
        <v>停</v>
      </c>
      <c r="BB64" s="35" t="str">
        <f aca="false">IFERROR(CHOOSE(MATCH(INDEX(時間ごとの判定!$AN$3:$AN$1850,1442),{"利用可","両方停止","運転がそろわない","判定不能"},0),"○","停","×","－"),"")</f>
        <v>停</v>
      </c>
      <c r="BC64" s="35" t="str">
        <f aca="false">IFERROR(CHOOSE(MATCH(INDEX(時間ごとの判定!$AN$3:$AN$1850,1443),{"利用可","両方停止","運転がそろわない","判定不能"},0),"○","停","×","－"),"")</f>
        <v>停</v>
      </c>
      <c r="BD64" s="35" t="str">
        <f aca="false">IFERROR(CHOOSE(MATCH(INDEX(時間ごとの判定!$AN$3:$AN$1850,1444),{"利用可","両方停止","運転がそろわない","判定不能"},0),"○","停","×","－"),"")</f>
        <v>停</v>
      </c>
      <c r="BE64" s="35" t="str">
        <f aca="false">IFERROR(CHOOSE(MATCH(INDEX(時間ごとの判定!$AN$3:$AN$1850,1445),{"利用可","両方停止","運転がそろわない","判定不能"},0),"○","停","×","－"),"")</f>
        <v>停</v>
      </c>
      <c r="BF64" s="35" t="str">
        <f aca="false">IFERROR(CHOOSE(MATCH(INDEX(時間ごとの判定!$AN$3:$AN$1850,1446),{"利用可","両方停止","運転がそろわない","判定不能"},0),"○","停","×","－"),"")</f>
        <v>停</v>
      </c>
      <c r="BG64" s="35" t="str">
        <f aca="false">IFERROR(CHOOSE(MATCH(INDEX(時間ごとの判定!$AN$3:$AN$1850,1447),{"利用可","両方停止","運転がそろわない","判定不能"},0),"○","停","×","－"),"")</f>
        <v>停</v>
      </c>
      <c r="BH64" s="35" t="str">
        <f aca="false">IFERROR(CHOOSE(MATCH(INDEX(時間ごとの判定!$AN$3:$AN$1850,1448),{"利用可","両方停止","運転がそろわない","判定不能"},0),"○","停","×","－"),"")</f>
        <v>停</v>
      </c>
      <c r="BI64" s="35" t="str">
        <f aca="false">IFERROR(CHOOSE(MATCH(INDEX(時間ごとの判定!$AN$3:$AN$1850,1449),{"利用可","両方停止","運転がそろわない","判定不能"},0),"○","停","×","－"),"")</f>
        <v>停</v>
      </c>
      <c r="BJ64" s="35" t="str">
        <f aca="false">IFERROR(CHOOSE(MATCH(INDEX(時間ごとの判定!$AN$3:$AN$1850,1450),{"利用可","両方停止","運転がそろわない","判定不能"},0),"○","停","×","－"),"")</f>
        <v>○</v>
      </c>
      <c r="BK64" s="35" t="str">
        <f aca="false">IFERROR(CHOOSE(MATCH(INDEX(時間ごとの判定!$AN$3:$AN$1850,1451),{"利用可","両方停止","運転がそろわない","判定不能"},0),"○","停","×","－"),"")</f>
        <v>×</v>
      </c>
      <c r="BL64" s="35" t="str">
        <f aca="false">IFERROR(CHOOSE(MATCH(INDEX(時間ごとの判定!$AN$3:$AN$1850,1452),{"利用可","両方停止","運転がそろわない","判定不能"},0),"○","停","×","－"),"")</f>
        <v>○</v>
      </c>
      <c r="BM64" s="35" t="str">
        <f aca="false">IFERROR(CHOOSE(MATCH(INDEX(時間ごとの判定!$AN$3:$AN$1850,1453),{"利用可","両方停止","運転がそろわない","判定不能"},0),"○","停","×","－"),"")</f>
        <v>○</v>
      </c>
      <c r="BN64" s="35" t="str">
        <f aca="false">IFERROR(CHOOSE(MATCH(INDEX(時間ごとの判定!$AN$3:$AN$1850,1454),{"利用可","両方停止","運転がそろわない","判定不能"},0),"○","停","×","－"),"")</f>
        <v>○</v>
      </c>
      <c r="BO64" s="35" t="str">
        <f aca="false">IFERROR(CHOOSE(MATCH(INDEX(時間ごとの判定!$AN$3:$AN$1850,1455),{"利用可","両方停止","運転がそろわない","判定不能"},0),"○","停","×","－"),"")</f>
        <v>×</v>
      </c>
      <c r="BP64" s="35" t="str">
        <f aca="false">IFERROR(CHOOSE(MATCH(INDEX(時間ごとの判定!$AN$3:$AN$1850,1456),{"利用可","両方停止","運転がそろわない","判定不能"},0),"○","停","×","－"),"")</f>
        <v>×</v>
      </c>
      <c r="BQ64" s="35" t="str">
        <f aca="false">IFERROR(CHOOSE(MATCH(INDEX(時間ごとの判定!$AN$3:$AN$1850,1457),{"利用可","両方停止","運転がそろわない","判定不能"},0),"○","停","×","－"),"")</f>
        <v>×</v>
      </c>
      <c r="BR64" s="35" t="str">
        <f aca="false">IFERROR(CHOOSE(MATCH(INDEX(時間ごとの判定!$AN$3:$AN$1850,1458),{"利用可","両方停止","運転がそろわない","判定不能"},0),"○","停","×","－"),"")</f>
        <v>×</v>
      </c>
      <c r="BS64" s="35" t="str">
        <f aca="false">IFERROR(CHOOSE(MATCH(INDEX(時間ごとの判定!$AN$3:$AN$1850,1459),{"利用可","両方停止","運転がそろわない","判定不能"},0),"○","停","×","－"),"")</f>
        <v>×</v>
      </c>
      <c r="BT64" s="35" t="str">
        <f aca="false">IFERROR(CHOOSE(MATCH(INDEX(時間ごとの判定!$AN$3:$AN$1850,1460),{"利用可","両方停止","運転がそろわない","判定不能"},0),"○","停","×","－"),"")</f>
        <v>×</v>
      </c>
      <c r="BU64" s="35" t="str">
        <f aca="false">IFERROR(CHOOSE(MATCH(INDEX(時間ごとの判定!$AN$3:$AN$1850,1461),{"利用可","両方停止","運転がそろわない","判定不能"},0),"○","停","×","－"),"")</f>
        <v>×</v>
      </c>
      <c r="BV64" s="35" t="str">
        <f aca="false">IFERROR(CHOOSE(MATCH(INDEX(時間ごとの判定!$AN$3:$AN$1850,1462),{"利用可","両方停止","運転がそろわない","判定不能"},0),"○","停","×","－"),"")</f>
        <v>×</v>
      </c>
      <c r="BW64" s="35" t="str">
        <f aca="false">IFERROR(CHOOSE(MATCH(INDEX(時間ごとの判定!$AN$3:$AN$1850,1463),{"利用可","両方停止","運転がそろわない","判定不能"},0),"○","停","×","－"),"")</f>
        <v>停</v>
      </c>
      <c r="BX64" s="35" t="str">
        <f aca="false">IFERROR(CHOOSE(MATCH(INDEX(時間ごとの判定!$AN$3:$AN$1850,1464),{"利用可","両方停止","運転がそろわない","判定不能"},0),"○","停","×","－"),"")</f>
        <v>停</v>
      </c>
    </row>
    <row r="65" customFormat="false" ht="15" hidden="false" customHeight="false" outlineLevel="0" collapsed="false">
      <c r="A65" s="33" t="n">
        <v>46293</v>
      </c>
      <c r="B65" s="34" t="s">
        <v>66</v>
      </c>
      <c r="C65" s="35" t="str">
        <f aca="false">IFERROR(CHOOSE(MATCH(INDEX(時間ごとの判定!$AH$3:$AH$1850,1465),{"利用可","両方停止","運転がそろわない","判定不能"},0),"○","停","×","－"),"")</f>
        <v>停</v>
      </c>
      <c r="D65" s="35" t="str">
        <f aca="false">IFERROR(CHOOSE(MATCH(INDEX(時間ごとの判定!$AH$3:$AH$1850,1466),{"利用可","両方停止","運転がそろわない","判定不能"},0),"○","停","×","－"),"")</f>
        <v>停</v>
      </c>
      <c r="E65" s="35" t="str">
        <f aca="false">IFERROR(CHOOSE(MATCH(INDEX(時間ごとの判定!$AH$3:$AH$1850,1467),{"利用可","両方停止","運転がそろわない","判定不能"},0),"○","停","×","－"),"")</f>
        <v>停</v>
      </c>
      <c r="F65" s="35" t="str">
        <f aca="false">IFERROR(CHOOSE(MATCH(INDEX(時間ごとの判定!$AH$3:$AH$1850,1468),{"利用可","両方停止","運転がそろわない","判定不能"},0),"○","停","×","－"),"")</f>
        <v>停</v>
      </c>
      <c r="G65" s="35" t="str">
        <f aca="false">IFERROR(CHOOSE(MATCH(INDEX(時間ごとの判定!$AH$3:$AH$1850,1469),{"利用可","両方停止","運転がそろわない","判定不能"},0),"○","停","×","－"),"")</f>
        <v>停</v>
      </c>
      <c r="H65" s="35" t="str">
        <f aca="false">IFERROR(CHOOSE(MATCH(INDEX(時間ごとの判定!$AH$3:$AH$1850,1470),{"利用可","両方停止","運転がそろわない","判定不能"},0),"○","停","×","－"),"")</f>
        <v>停</v>
      </c>
      <c r="I65" s="35" t="str">
        <f aca="false">IFERROR(CHOOSE(MATCH(INDEX(時間ごとの判定!$AH$3:$AH$1850,1471),{"利用可","両方停止","運転がそろわない","判定不能"},0),"○","停","×","－"),"")</f>
        <v>停</v>
      </c>
      <c r="J65" s="35" t="str">
        <f aca="false">IFERROR(CHOOSE(MATCH(INDEX(時間ごとの判定!$AH$3:$AH$1850,1472),{"利用可","両方停止","運転がそろわない","判定不能"},0),"○","停","×","－"),"")</f>
        <v>停</v>
      </c>
      <c r="K65" s="35" t="str">
        <f aca="false">IFERROR(CHOOSE(MATCH(INDEX(時間ごとの判定!$AH$3:$AH$1850,1473),{"利用可","両方停止","運転がそろわない","判定不能"},0),"○","停","×","－"),"")</f>
        <v>×</v>
      </c>
      <c r="L65" s="35" t="str">
        <f aca="false">IFERROR(CHOOSE(MATCH(INDEX(時間ごとの判定!$AH$3:$AH$1850,1474),{"利用可","両方停止","運転がそろわない","判定不能"},0),"○","停","×","－"),"")</f>
        <v>×</v>
      </c>
      <c r="M65" s="35" t="str">
        <f aca="false">IFERROR(CHOOSE(MATCH(INDEX(時間ごとの判定!$AH$3:$AH$1850,1475),{"利用可","両方停止","運転がそろわない","判定不能"},0),"○","停","×","－"),"")</f>
        <v>×</v>
      </c>
      <c r="N65" s="35" t="str">
        <f aca="false">IFERROR(CHOOSE(MATCH(INDEX(時間ごとの判定!$AH$3:$AH$1850,1476),{"利用可","両方停止","運転がそろわない","判定不能"},0),"○","停","×","－"),"")</f>
        <v>○</v>
      </c>
      <c r="O65" s="35" t="str">
        <f aca="false">IFERROR(CHOOSE(MATCH(INDEX(時間ごとの判定!$AH$3:$AH$1850,1477),{"利用可","両方停止","運転がそろわない","判定不能"},0),"○","停","×","－"),"")</f>
        <v>×</v>
      </c>
      <c r="P65" s="35" t="str">
        <f aca="false">IFERROR(CHOOSE(MATCH(INDEX(時間ごとの判定!$AH$3:$AH$1850,1478),{"利用可","両方停止","運転がそろわない","判定不能"},0),"○","停","×","－"),"")</f>
        <v>○</v>
      </c>
      <c r="Q65" s="35" t="str">
        <f aca="false">IFERROR(CHOOSE(MATCH(INDEX(時間ごとの判定!$AH$3:$AH$1850,1479),{"利用可","両方停止","運転がそろわない","判定不能"},0),"○","停","×","－"),"")</f>
        <v>○</v>
      </c>
      <c r="R65" s="35" t="str">
        <f aca="false">IFERROR(CHOOSE(MATCH(INDEX(時間ごとの判定!$AH$3:$AH$1850,1480),{"利用可","両方停止","運転がそろわない","判定不能"},0),"○","停","×","－"),"")</f>
        <v>○</v>
      </c>
      <c r="S65" s="35" t="str">
        <f aca="false">IFERROR(CHOOSE(MATCH(INDEX(時間ごとの判定!$AH$3:$AH$1850,1481),{"利用可","両方停止","運転がそろわない","判定不能"},0),"○","停","×","－"),"")</f>
        <v>×</v>
      </c>
      <c r="T65" s="35" t="str">
        <f aca="false">IFERROR(CHOOSE(MATCH(INDEX(時間ごとの判定!$AH$3:$AH$1850,1482),{"利用可","両方停止","運転がそろわない","判定不能"},0),"○","停","×","－"),"")</f>
        <v>×</v>
      </c>
      <c r="U65" s="35" t="str">
        <f aca="false">IFERROR(CHOOSE(MATCH(INDEX(時間ごとの判定!$AH$3:$AH$1850,1483),{"利用可","両方停止","運転がそろわない","判定不能"},0),"○","停","×","－"),"")</f>
        <v>×</v>
      </c>
      <c r="V65" s="35" t="str">
        <f aca="false">IFERROR(CHOOSE(MATCH(INDEX(時間ごとの判定!$AH$3:$AH$1850,1484),{"利用可","両方停止","運転がそろわない","判定不能"},0),"○","停","×","－"),"")</f>
        <v>停</v>
      </c>
      <c r="W65" s="35" t="str">
        <f aca="false">IFERROR(CHOOSE(MATCH(INDEX(時間ごとの判定!$AH$3:$AH$1850,1485),{"利用可","両方停止","運転がそろわない","判定不能"},0),"○","停","×","－"),"")</f>
        <v>×</v>
      </c>
      <c r="X65" s="35" t="str">
        <f aca="false">IFERROR(CHOOSE(MATCH(INDEX(時間ごとの判定!$AH$3:$AH$1850,1486),{"利用可","両方停止","運転がそろわない","判定不能"},0),"○","停","×","－"),"")</f>
        <v>停</v>
      </c>
      <c r="Y65" s="35" t="str">
        <f aca="false">IFERROR(CHOOSE(MATCH(INDEX(時間ごとの判定!$AH$3:$AH$1850,1487),{"利用可","両方停止","運転がそろわない","判定不能"},0),"○","停","×","－"),"")</f>
        <v>停</v>
      </c>
      <c r="Z65" s="35" t="str">
        <f aca="false">IFERROR(CHOOSE(MATCH(INDEX(時間ごとの判定!$AH$3:$AH$1850,1488),{"利用可","両方停止","運転がそろわない","判定不能"},0),"○","停","×","－"),"")</f>
        <v>停</v>
      </c>
      <c r="AA65" s="35"/>
      <c r="AB65" s="35" t="str">
        <f aca="false">IFERROR(CHOOSE(MATCH(INDEX(時間ごとの判定!$AK$3:$AK$1850,1465),{"利用可","両方停止","運転がそろわない","判定不能"},0),"○","停","×","－"),"")</f>
        <v>停</v>
      </c>
      <c r="AC65" s="35" t="str">
        <f aca="false">IFERROR(CHOOSE(MATCH(INDEX(時間ごとの判定!$AK$3:$AK$1850,1466),{"利用可","両方停止","運転がそろわない","判定不能"},0),"○","停","×","－"),"")</f>
        <v>停</v>
      </c>
      <c r="AD65" s="35" t="str">
        <f aca="false">IFERROR(CHOOSE(MATCH(INDEX(時間ごとの判定!$AK$3:$AK$1850,1467),{"利用可","両方停止","運転がそろわない","判定不能"},0),"○","停","×","－"),"")</f>
        <v>停</v>
      </c>
      <c r="AE65" s="35" t="str">
        <f aca="false">IFERROR(CHOOSE(MATCH(INDEX(時間ごとの判定!$AK$3:$AK$1850,1468),{"利用可","両方停止","運転がそろわない","判定不能"},0),"○","停","×","－"),"")</f>
        <v>停</v>
      </c>
      <c r="AF65" s="35" t="str">
        <f aca="false">IFERROR(CHOOSE(MATCH(INDEX(時間ごとの判定!$AK$3:$AK$1850,1469),{"利用可","両方停止","運転がそろわない","判定不能"},0),"○","停","×","－"),"")</f>
        <v>停</v>
      </c>
      <c r="AG65" s="35" t="str">
        <f aca="false">IFERROR(CHOOSE(MATCH(INDEX(時間ごとの判定!$AK$3:$AK$1850,1470),{"利用可","両方停止","運転がそろわない","判定不能"},0),"○","停","×","－"),"")</f>
        <v>停</v>
      </c>
      <c r="AH65" s="35" t="str">
        <f aca="false">IFERROR(CHOOSE(MATCH(INDEX(時間ごとの判定!$AK$3:$AK$1850,1471),{"利用可","両方停止","運転がそろわない","判定不能"},0),"○","停","×","－"),"")</f>
        <v>停</v>
      </c>
      <c r="AI65" s="35" t="str">
        <f aca="false">IFERROR(CHOOSE(MATCH(INDEX(時間ごとの判定!$AK$3:$AK$1850,1472),{"利用可","両方停止","運転がそろわない","判定不能"},0),"○","停","×","－"),"")</f>
        <v>×</v>
      </c>
      <c r="AJ65" s="35" t="str">
        <f aca="false">IFERROR(CHOOSE(MATCH(INDEX(時間ごとの判定!$AK$3:$AK$1850,1473),{"利用可","両方停止","運転がそろわない","判定不能"},0),"○","停","×","－"),"")</f>
        <v>停</v>
      </c>
      <c r="AK65" s="35" t="str">
        <f aca="false">IFERROR(CHOOSE(MATCH(INDEX(時間ごとの判定!$AK$3:$AK$1850,1474),{"利用可","両方停止","運転がそろわない","判定不能"},0),"○","停","×","－"),"")</f>
        <v>×</v>
      </c>
      <c r="AL65" s="35" t="str">
        <f aca="false">IFERROR(CHOOSE(MATCH(INDEX(時間ごとの判定!$AK$3:$AK$1850,1475),{"利用可","両方停止","運転がそろわない","判定不能"},0),"○","停","×","－"),"")</f>
        <v>×</v>
      </c>
      <c r="AM65" s="35" t="str">
        <f aca="false">IFERROR(CHOOSE(MATCH(INDEX(時間ごとの判定!$AK$3:$AK$1850,1476),{"利用可","両方停止","運転がそろわない","判定不能"},0),"○","停","×","－"),"")</f>
        <v>○</v>
      </c>
      <c r="AN65" s="35" t="str">
        <f aca="false">IFERROR(CHOOSE(MATCH(INDEX(時間ごとの判定!$AK$3:$AK$1850,1477),{"利用可","両方停止","運転がそろわない","判定不能"},0),"○","停","×","－"),"")</f>
        <v>○</v>
      </c>
      <c r="AO65" s="35" t="str">
        <f aca="false">IFERROR(CHOOSE(MATCH(INDEX(時間ごとの判定!$AK$3:$AK$1850,1478),{"利用可","両方停止","運転がそろわない","判定不能"},0),"○","停","×","－"),"")</f>
        <v>○</v>
      </c>
      <c r="AP65" s="35" t="str">
        <f aca="false">IFERROR(CHOOSE(MATCH(INDEX(時間ごとの判定!$AK$3:$AK$1850,1479),{"利用可","両方停止","運転がそろわない","判定不能"},0),"○","停","×","－"),"")</f>
        <v>○</v>
      </c>
      <c r="AQ65" s="35" t="str">
        <f aca="false">IFERROR(CHOOSE(MATCH(INDEX(時間ごとの判定!$AK$3:$AK$1850,1480),{"利用可","両方停止","運転がそろわない","判定不能"},0),"○","停","×","－"),"")</f>
        <v>○</v>
      </c>
      <c r="AR65" s="35" t="str">
        <f aca="false">IFERROR(CHOOSE(MATCH(INDEX(時間ごとの判定!$AK$3:$AK$1850,1481),{"利用可","両方停止","運転がそろわない","判定不能"},0),"○","停","×","－"),"")</f>
        <v>○</v>
      </c>
      <c r="AS65" s="35" t="str">
        <f aca="false">IFERROR(CHOOSE(MATCH(INDEX(時間ごとの判定!$AK$3:$AK$1850,1482),{"利用可","両方停止","運転がそろわない","判定不能"},0),"○","停","×","－"),"")</f>
        <v>×</v>
      </c>
      <c r="AT65" s="35" t="str">
        <f aca="false">IFERROR(CHOOSE(MATCH(INDEX(時間ごとの判定!$AK$3:$AK$1850,1483),{"利用可","両方停止","運転がそろわない","判定不能"},0),"○","停","×","－"),"")</f>
        <v>×</v>
      </c>
      <c r="AU65" s="35" t="str">
        <f aca="false">IFERROR(CHOOSE(MATCH(INDEX(時間ごとの判定!$AK$3:$AK$1850,1484),{"利用可","両方停止","運転がそろわない","判定不能"},0),"○","停","×","－"),"")</f>
        <v>×</v>
      </c>
      <c r="AV65" s="35" t="str">
        <f aca="false">IFERROR(CHOOSE(MATCH(INDEX(時間ごとの判定!$AK$3:$AK$1850,1485),{"利用可","両方停止","運転がそろわない","判定不能"},0),"○","停","×","－"),"")</f>
        <v>×</v>
      </c>
      <c r="AW65" s="35" t="str">
        <f aca="false">IFERROR(CHOOSE(MATCH(INDEX(時間ごとの判定!$AK$3:$AK$1850,1486),{"利用可","両方停止","運転がそろわない","判定不能"},0),"○","停","×","－"),"")</f>
        <v>×</v>
      </c>
      <c r="AX65" s="35" t="str">
        <f aca="false">IFERROR(CHOOSE(MATCH(INDEX(時間ごとの判定!$AK$3:$AK$1850,1487),{"利用可","両方停止","運転がそろわない","判定不能"},0),"○","停","×","－"),"")</f>
        <v>停</v>
      </c>
      <c r="AY65" s="35" t="str">
        <f aca="false">IFERROR(CHOOSE(MATCH(INDEX(時間ごとの判定!$AK$3:$AK$1850,1488),{"利用可","両方停止","運転がそろわない","判定不能"},0),"○","停","×","－"),"")</f>
        <v>停</v>
      </c>
      <c r="AZ65" s="35"/>
      <c r="BA65" s="35" t="str">
        <f aca="false">IFERROR(CHOOSE(MATCH(INDEX(時間ごとの判定!$AN$3:$AN$1850,1465),{"利用可","両方停止","運転がそろわない","判定不能"},0),"○","停","×","－"),"")</f>
        <v>停</v>
      </c>
      <c r="BB65" s="35" t="str">
        <f aca="false">IFERROR(CHOOSE(MATCH(INDEX(時間ごとの判定!$AN$3:$AN$1850,1466),{"利用可","両方停止","運転がそろわない","判定不能"},0),"○","停","×","－"),"")</f>
        <v>停</v>
      </c>
      <c r="BC65" s="35" t="str">
        <f aca="false">IFERROR(CHOOSE(MATCH(INDEX(時間ごとの判定!$AN$3:$AN$1850,1467),{"利用可","両方停止","運転がそろわない","判定不能"},0),"○","停","×","－"),"")</f>
        <v>停</v>
      </c>
      <c r="BD65" s="35" t="str">
        <f aca="false">IFERROR(CHOOSE(MATCH(INDEX(時間ごとの判定!$AN$3:$AN$1850,1468),{"利用可","両方停止","運転がそろわない","判定不能"},0),"○","停","×","－"),"")</f>
        <v>停</v>
      </c>
      <c r="BE65" s="35" t="str">
        <f aca="false">IFERROR(CHOOSE(MATCH(INDEX(時間ごとの判定!$AN$3:$AN$1850,1469),{"利用可","両方停止","運転がそろわない","判定不能"},0),"○","停","×","－"),"")</f>
        <v>停</v>
      </c>
      <c r="BF65" s="35" t="str">
        <f aca="false">IFERROR(CHOOSE(MATCH(INDEX(時間ごとの判定!$AN$3:$AN$1850,1470),{"利用可","両方停止","運転がそろわない","判定不能"},0),"○","停","×","－"),"")</f>
        <v>停</v>
      </c>
      <c r="BG65" s="35" t="str">
        <f aca="false">IFERROR(CHOOSE(MATCH(INDEX(時間ごとの判定!$AN$3:$AN$1850,1471),{"利用可","両方停止","運転がそろわない","判定不能"},0),"○","停","×","－"),"")</f>
        <v>×</v>
      </c>
      <c r="BH65" s="35" t="str">
        <f aca="false">IFERROR(CHOOSE(MATCH(INDEX(時間ごとの判定!$AN$3:$AN$1850,1472),{"利用可","両方停止","運転がそろわない","判定不能"},0),"○","停","×","－"),"")</f>
        <v>×</v>
      </c>
      <c r="BI65" s="35" t="str">
        <f aca="false">IFERROR(CHOOSE(MATCH(INDEX(時間ごとの判定!$AN$3:$AN$1850,1473),{"利用可","両方停止","運転がそろわない","判定不能"},0),"○","停","×","－"),"")</f>
        <v>×</v>
      </c>
      <c r="BJ65" s="35" t="str">
        <f aca="false">IFERROR(CHOOSE(MATCH(INDEX(時間ごとの判定!$AN$3:$AN$1850,1474),{"利用可","両方停止","運転がそろわない","判定不能"},0),"○","停","×","－"),"")</f>
        <v>×</v>
      </c>
      <c r="BK65" s="35" t="str">
        <f aca="false">IFERROR(CHOOSE(MATCH(INDEX(時間ごとの判定!$AN$3:$AN$1850,1475),{"利用可","両方停止","運転がそろわない","判定不能"},0),"○","停","×","－"),"")</f>
        <v>×</v>
      </c>
      <c r="BL65" s="35" t="str">
        <f aca="false">IFERROR(CHOOSE(MATCH(INDEX(時間ごとの判定!$AN$3:$AN$1850,1476),{"利用可","両方停止","運転がそろわない","判定不能"},0),"○","停","×","－"),"")</f>
        <v>○</v>
      </c>
      <c r="BM65" s="35" t="str">
        <f aca="false">IFERROR(CHOOSE(MATCH(INDEX(時間ごとの判定!$AN$3:$AN$1850,1477),{"利用可","両方停止","運転がそろわない","判定不能"},0),"○","停","×","－"),"")</f>
        <v>×</v>
      </c>
      <c r="BN65" s="35" t="str">
        <f aca="false">IFERROR(CHOOSE(MATCH(INDEX(時間ごとの判定!$AN$3:$AN$1850,1478),{"利用可","両方停止","運転がそろわない","判定不能"},0),"○","停","×","－"),"")</f>
        <v>×</v>
      </c>
      <c r="BO65" s="35" t="str">
        <f aca="false">IFERROR(CHOOSE(MATCH(INDEX(時間ごとの判定!$AN$3:$AN$1850,1479),{"利用可","両方停止","運転がそろわない","判定不能"},0),"○","停","×","－"),"")</f>
        <v>○</v>
      </c>
      <c r="BP65" s="35" t="str">
        <f aca="false">IFERROR(CHOOSE(MATCH(INDEX(時間ごとの判定!$AN$3:$AN$1850,1480),{"利用可","両方停止","運転がそろわない","判定不能"},0),"○","停","×","－"),"")</f>
        <v>○</v>
      </c>
      <c r="BQ65" s="35" t="str">
        <f aca="false">IFERROR(CHOOSE(MATCH(INDEX(時間ごとの判定!$AN$3:$AN$1850,1481),{"利用可","両方停止","運転がそろわない","判定不能"},0),"○","停","×","－"),"")</f>
        <v>○</v>
      </c>
      <c r="BR65" s="35" t="str">
        <f aca="false">IFERROR(CHOOSE(MATCH(INDEX(時間ごとの判定!$AN$3:$AN$1850,1482),{"利用可","両方停止","運転がそろわない","判定不能"},0),"○","停","×","－"),"")</f>
        <v>○</v>
      </c>
      <c r="BS65" s="35" t="str">
        <f aca="false">IFERROR(CHOOSE(MATCH(INDEX(時間ごとの判定!$AN$3:$AN$1850,1483),{"利用可","両方停止","運転がそろわない","判定不能"},0),"○","停","×","－"),"")</f>
        <v>×</v>
      </c>
      <c r="BT65" s="35" t="str">
        <f aca="false">IFERROR(CHOOSE(MATCH(INDEX(時間ごとの判定!$AN$3:$AN$1850,1484),{"利用可","両方停止","運転がそろわない","判定不能"},0),"○","停","×","－"),"")</f>
        <v>○</v>
      </c>
      <c r="BU65" s="35" t="str">
        <f aca="false">IFERROR(CHOOSE(MATCH(INDEX(時間ごとの判定!$AN$3:$AN$1850,1485),{"利用可","両方停止","運転がそろわない","判定不能"},0),"○","停","×","－"),"")</f>
        <v>×</v>
      </c>
      <c r="BV65" s="35" t="str">
        <f aca="false">IFERROR(CHOOSE(MATCH(INDEX(時間ごとの判定!$AN$3:$AN$1850,1486),{"利用可","両方停止","運転がそろわない","判定不能"},0),"○","停","×","－"),"")</f>
        <v>×</v>
      </c>
      <c r="BW65" s="35" t="str">
        <f aca="false">IFERROR(CHOOSE(MATCH(INDEX(時間ごとの判定!$AN$3:$AN$1850,1487),{"利用可","両方停止","運転がそろわない","判定不能"},0),"○","停","×","－"),"")</f>
        <v>×</v>
      </c>
      <c r="BX65" s="35" t="str">
        <f aca="false">IFERROR(CHOOSE(MATCH(INDEX(時間ごとの判定!$AN$3:$AN$1850,1488),{"利用可","両方停止","運転がそろわない","判定不能"},0),"○","停","×","－"),"")</f>
        <v>停</v>
      </c>
    </row>
    <row r="66" customFormat="false" ht="15" hidden="false" customHeight="false" outlineLevel="0" collapsed="false">
      <c r="A66" s="33" t="n">
        <v>46294</v>
      </c>
      <c r="B66" s="34" t="s">
        <v>67</v>
      </c>
      <c r="C66" s="35" t="str">
        <f aca="false">IFERROR(CHOOSE(MATCH(INDEX(時間ごとの判定!$AH$3:$AH$1850,1489),{"利用可","両方停止","運転がそろわない","判定不能"},0),"○","停","×","－"),"")</f>
        <v>停</v>
      </c>
      <c r="D66" s="35" t="str">
        <f aca="false">IFERROR(CHOOSE(MATCH(INDEX(時間ごとの判定!$AH$3:$AH$1850,1490),{"利用可","両方停止","運転がそろわない","判定不能"},0),"○","停","×","－"),"")</f>
        <v>停</v>
      </c>
      <c r="E66" s="35" t="str">
        <f aca="false">IFERROR(CHOOSE(MATCH(INDEX(時間ごとの判定!$AH$3:$AH$1850,1491),{"利用可","両方停止","運転がそろわない","判定不能"},0),"○","停","×","－"),"")</f>
        <v>停</v>
      </c>
      <c r="F66" s="35" t="str">
        <f aca="false">IFERROR(CHOOSE(MATCH(INDEX(時間ごとの判定!$AH$3:$AH$1850,1492),{"利用可","両方停止","運転がそろわない","判定不能"},0),"○","停","×","－"),"")</f>
        <v>停</v>
      </c>
      <c r="G66" s="35" t="str">
        <f aca="false">IFERROR(CHOOSE(MATCH(INDEX(時間ごとの判定!$AH$3:$AH$1850,1493),{"利用可","両方停止","運転がそろわない","判定不能"},0),"○","停","×","－"),"")</f>
        <v>停</v>
      </c>
      <c r="H66" s="35" t="str">
        <f aca="false">IFERROR(CHOOSE(MATCH(INDEX(時間ごとの判定!$AH$3:$AH$1850,1494),{"利用可","両方停止","運転がそろわない","判定不能"},0),"○","停","×","－"),"")</f>
        <v>停</v>
      </c>
      <c r="I66" s="35" t="str">
        <f aca="false">IFERROR(CHOOSE(MATCH(INDEX(時間ごとの判定!$AH$3:$AH$1850,1495),{"利用可","両方停止","運転がそろわない","判定不能"},0),"○","停","×","－"),"")</f>
        <v>停</v>
      </c>
      <c r="J66" s="35" t="str">
        <f aca="false">IFERROR(CHOOSE(MATCH(INDEX(時間ごとの判定!$AH$3:$AH$1850,1496),{"利用可","両方停止","運転がそろわない","判定不能"},0),"○","停","×","－"),"")</f>
        <v>停</v>
      </c>
      <c r="K66" s="35" t="str">
        <f aca="false">IFERROR(CHOOSE(MATCH(INDEX(時間ごとの判定!$AH$3:$AH$1850,1497),{"利用可","両方停止","運転がそろわない","判定不能"},0),"○","停","×","－"),"")</f>
        <v>×</v>
      </c>
      <c r="L66" s="35" t="str">
        <f aca="false">IFERROR(CHOOSE(MATCH(INDEX(時間ごとの判定!$AH$3:$AH$1850,1498),{"利用可","両方停止","運転がそろわない","判定不能"},0),"○","停","×","－"),"")</f>
        <v>×</v>
      </c>
      <c r="M66" s="35" t="str">
        <f aca="false">IFERROR(CHOOSE(MATCH(INDEX(時間ごとの判定!$AH$3:$AH$1850,1499),{"利用可","両方停止","運転がそろわない","判定不能"},0),"○","停","×","－"),"")</f>
        <v>×</v>
      </c>
      <c r="N66" s="35" t="str">
        <f aca="false">IFERROR(CHOOSE(MATCH(INDEX(時間ごとの判定!$AH$3:$AH$1850,1500),{"利用可","両方停止","運転がそろわない","判定不能"},0),"○","停","×","－"),"")</f>
        <v>○</v>
      </c>
      <c r="O66" s="35" t="str">
        <f aca="false">IFERROR(CHOOSE(MATCH(INDEX(時間ごとの判定!$AH$3:$AH$1850,1501),{"利用可","両方停止","運転がそろわない","判定不能"},0),"○","停","×","－"),"")</f>
        <v>×</v>
      </c>
      <c r="P66" s="35" t="str">
        <f aca="false">IFERROR(CHOOSE(MATCH(INDEX(時間ごとの判定!$AH$3:$AH$1850,1502),{"利用可","両方停止","運転がそろわない","判定不能"},0),"○","停","×","－"),"")</f>
        <v>×</v>
      </c>
      <c r="Q66" s="35" t="str">
        <f aca="false">IFERROR(CHOOSE(MATCH(INDEX(時間ごとの判定!$AH$3:$AH$1850,1503),{"利用可","両方停止","運転がそろわない","判定不能"},0),"○","停","×","－"),"")</f>
        <v>×</v>
      </c>
      <c r="R66" s="35" t="str">
        <f aca="false">IFERROR(CHOOSE(MATCH(INDEX(時間ごとの判定!$AH$3:$AH$1850,1504),{"利用可","両方停止","運転がそろわない","判定不能"},0),"○","停","×","－"),"")</f>
        <v>×</v>
      </c>
      <c r="S66" s="35" t="str">
        <f aca="false">IFERROR(CHOOSE(MATCH(INDEX(時間ごとの判定!$AH$3:$AH$1850,1505),{"利用可","両方停止","運転がそろわない","判定不能"},0),"○","停","×","－"),"")</f>
        <v>×</v>
      </c>
      <c r="T66" s="35" t="str">
        <f aca="false">IFERROR(CHOOSE(MATCH(INDEX(時間ごとの判定!$AH$3:$AH$1850,1506),{"利用可","両方停止","運転がそろわない","判定不能"},0),"○","停","×","－"),"")</f>
        <v>×</v>
      </c>
      <c r="U66" s="35" t="str">
        <f aca="false">IFERROR(CHOOSE(MATCH(INDEX(時間ごとの判定!$AH$3:$AH$1850,1507),{"利用可","両方停止","運転がそろわない","判定不能"},0),"○","停","×","－"),"")</f>
        <v>×</v>
      </c>
      <c r="V66" s="35" t="str">
        <f aca="false">IFERROR(CHOOSE(MATCH(INDEX(時間ごとの判定!$AH$3:$AH$1850,1508),{"利用可","両方停止","運転がそろわない","判定不能"},0),"○","停","×","－"),"")</f>
        <v>×</v>
      </c>
      <c r="W66" s="35" t="str">
        <f aca="false">IFERROR(CHOOSE(MATCH(INDEX(時間ごとの判定!$AH$3:$AH$1850,1509),{"利用可","両方停止","運転がそろわない","判定不能"},0),"○","停","×","－"),"")</f>
        <v>×</v>
      </c>
      <c r="X66" s="35" t="str">
        <f aca="false">IFERROR(CHOOSE(MATCH(INDEX(時間ごとの判定!$AH$3:$AH$1850,1510),{"利用可","両方停止","運転がそろわない","判定不能"},0),"○","停","×","－"),"")</f>
        <v>停</v>
      </c>
      <c r="Y66" s="35" t="str">
        <f aca="false">IFERROR(CHOOSE(MATCH(INDEX(時間ごとの判定!$AH$3:$AH$1850,1511),{"利用可","両方停止","運転がそろわない","判定不能"},0),"○","停","×","－"),"")</f>
        <v>停</v>
      </c>
      <c r="Z66" s="35" t="str">
        <f aca="false">IFERROR(CHOOSE(MATCH(INDEX(時間ごとの判定!$AH$3:$AH$1850,1512),{"利用可","両方停止","運転がそろわない","判定不能"},0),"○","停","×","－"),"")</f>
        <v>停</v>
      </c>
      <c r="AA66" s="35"/>
      <c r="AB66" s="35" t="str">
        <f aca="false">IFERROR(CHOOSE(MATCH(INDEX(時間ごとの判定!$AK$3:$AK$1850,1489),{"利用可","両方停止","運転がそろわない","判定不能"},0),"○","停","×","－"),"")</f>
        <v>停</v>
      </c>
      <c r="AC66" s="35" t="str">
        <f aca="false">IFERROR(CHOOSE(MATCH(INDEX(時間ごとの判定!$AK$3:$AK$1850,1490),{"利用可","両方停止","運転がそろわない","判定不能"},0),"○","停","×","－"),"")</f>
        <v>停</v>
      </c>
      <c r="AD66" s="35" t="str">
        <f aca="false">IFERROR(CHOOSE(MATCH(INDEX(時間ごとの判定!$AK$3:$AK$1850,1491),{"利用可","両方停止","運転がそろわない","判定不能"},0),"○","停","×","－"),"")</f>
        <v>停</v>
      </c>
      <c r="AE66" s="35" t="str">
        <f aca="false">IFERROR(CHOOSE(MATCH(INDEX(時間ごとの判定!$AK$3:$AK$1850,1492),{"利用可","両方停止","運転がそろわない","判定不能"},0),"○","停","×","－"),"")</f>
        <v>停</v>
      </c>
      <c r="AF66" s="35" t="str">
        <f aca="false">IFERROR(CHOOSE(MATCH(INDEX(時間ごとの判定!$AK$3:$AK$1850,1493),{"利用可","両方停止","運転がそろわない","判定不能"},0),"○","停","×","－"),"")</f>
        <v>停</v>
      </c>
      <c r="AG66" s="35" t="str">
        <f aca="false">IFERROR(CHOOSE(MATCH(INDEX(時間ごとの判定!$AK$3:$AK$1850,1494),{"利用可","両方停止","運転がそろわない","判定不能"},0),"○","停","×","－"),"")</f>
        <v>停</v>
      </c>
      <c r="AH66" s="35" t="str">
        <f aca="false">IFERROR(CHOOSE(MATCH(INDEX(時間ごとの判定!$AK$3:$AK$1850,1495),{"利用可","両方停止","運転がそろわない","判定不能"},0),"○","停","×","－"),"")</f>
        <v>停</v>
      </c>
      <c r="AI66" s="35" t="str">
        <f aca="false">IFERROR(CHOOSE(MATCH(INDEX(時間ごとの判定!$AK$3:$AK$1850,1496),{"利用可","両方停止","運転がそろわない","判定不能"},0),"○","停","×","－"),"")</f>
        <v>×</v>
      </c>
      <c r="AJ66" s="35" t="str">
        <f aca="false">IFERROR(CHOOSE(MATCH(INDEX(時間ごとの判定!$AK$3:$AK$1850,1497),{"利用可","両方停止","運転がそろわない","判定不能"},0),"○","停","×","－"),"")</f>
        <v>×</v>
      </c>
      <c r="AK66" s="35" t="str">
        <f aca="false">IFERROR(CHOOSE(MATCH(INDEX(時間ごとの判定!$AK$3:$AK$1850,1498),{"利用可","両方停止","運転がそろわない","判定不能"},0),"○","停","×","－"),"")</f>
        <v>×</v>
      </c>
      <c r="AL66" s="35" t="str">
        <f aca="false">IFERROR(CHOOSE(MATCH(INDEX(時間ごとの判定!$AK$3:$AK$1850,1499),{"利用可","両方停止","運転がそろわない","判定不能"},0),"○","停","×","－"),"")</f>
        <v>×</v>
      </c>
      <c r="AM66" s="35" t="str">
        <f aca="false">IFERROR(CHOOSE(MATCH(INDEX(時間ごとの判定!$AK$3:$AK$1850,1500),{"利用可","両方停止","運転がそろわない","判定不能"},0),"○","停","×","－"),"")</f>
        <v>○</v>
      </c>
      <c r="AN66" s="35" t="str">
        <f aca="false">IFERROR(CHOOSE(MATCH(INDEX(時間ごとの判定!$AK$3:$AK$1850,1501),{"利用可","両方停止","運転がそろわない","判定不能"},0),"○","停","×","－"),"")</f>
        <v>×</v>
      </c>
      <c r="AO66" s="35" t="str">
        <f aca="false">IFERROR(CHOOSE(MATCH(INDEX(時間ごとの判定!$AK$3:$AK$1850,1502),{"利用可","両方停止","運転がそろわない","判定不能"},0),"○","停","×","－"),"")</f>
        <v>×</v>
      </c>
      <c r="AP66" s="35" t="str">
        <f aca="false">IFERROR(CHOOSE(MATCH(INDEX(時間ごとの判定!$AK$3:$AK$1850,1503),{"利用可","両方停止","運転がそろわない","判定不能"},0),"○","停","×","－"),"")</f>
        <v>×</v>
      </c>
      <c r="AQ66" s="35" t="str">
        <f aca="false">IFERROR(CHOOSE(MATCH(INDEX(時間ごとの判定!$AK$3:$AK$1850,1504),{"利用可","両方停止","運転がそろわない","判定不能"},0),"○","停","×","－"),"")</f>
        <v>×</v>
      </c>
      <c r="AR66" s="35" t="str">
        <f aca="false">IFERROR(CHOOSE(MATCH(INDEX(時間ごとの判定!$AK$3:$AK$1850,1505),{"利用可","両方停止","運転がそろわない","判定不能"},0),"○","停","×","－"),"")</f>
        <v>×</v>
      </c>
      <c r="AS66" s="35" t="str">
        <f aca="false">IFERROR(CHOOSE(MATCH(INDEX(時間ごとの判定!$AK$3:$AK$1850,1506),{"利用可","両方停止","運転がそろわない","判定不能"},0),"○","停","×","－"),"")</f>
        <v>○</v>
      </c>
      <c r="AT66" s="35" t="str">
        <f aca="false">IFERROR(CHOOSE(MATCH(INDEX(時間ごとの判定!$AK$3:$AK$1850,1507),{"利用可","両方停止","運転がそろわない","判定不能"},0),"○","停","×","－"),"")</f>
        <v>×</v>
      </c>
      <c r="AU66" s="35" t="str">
        <f aca="false">IFERROR(CHOOSE(MATCH(INDEX(時間ごとの判定!$AK$3:$AK$1850,1508),{"利用可","両方停止","運転がそろわない","判定不能"},0),"○","停","×","－"),"")</f>
        <v>×</v>
      </c>
      <c r="AV66" s="35" t="str">
        <f aca="false">IFERROR(CHOOSE(MATCH(INDEX(時間ごとの判定!$AK$3:$AK$1850,1509),{"利用可","両方停止","運転がそろわない","判定不能"},0),"○","停","×","－"),"")</f>
        <v>×</v>
      </c>
      <c r="AW66" s="35" t="str">
        <f aca="false">IFERROR(CHOOSE(MATCH(INDEX(時間ごとの判定!$AK$3:$AK$1850,1510),{"利用可","両方停止","運転がそろわない","判定不能"},0),"○","停","×","－"),"")</f>
        <v>停</v>
      </c>
      <c r="AX66" s="35" t="str">
        <f aca="false">IFERROR(CHOOSE(MATCH(INDEX(時間ごとの判定!$AK$3:$AK$1850,1511),{"利用可","両方停止","運転がそろわない","判定不能"},0),"○","停","×","－"),"")</f>
        <v>停</v>
      </c>
      <c r="AY66" s="35" t="str">
        <f aca="false">IFERROR(CHOOSE(MATCH(INDEX(時間ごとの判定!$AK$3:$AK$1850,1512),{"利用可","両方停止","運転がそろわない","判定不能"},0),"○","停","×","－"),"")</f>
        <v>停</v>
      </c>
      <c r="AZ66" s="35"/>
      <c r="BA66" s="35" t="str">
        <f aca="false">IFERROR(CHOOSE(MATCH(INDEX(時間ごとの判定!$AN$3:$AN$1850,1489),{"利用可","両方停止","運転がそろわない","判定不能"},0),"○","停","×","－"),"")</f>
        <v>停</v>
      </c>
      <c r="BB66" s="35" t="str">
        <f aca="false">IFERROR(CHOOSE(MATCH(INDEX(時間ごとの判定!$AN$3:$AN$1850,1490),{"利用可","両方停止","運転がそろわない","判定不能"},0),"○","停","×","－"),"")</f>
        <v>停</v>
      </c>
      <c r="BC66" s="35" t="str">
        <f aca="false">IFERROR(CHOOSE(MATCH(INDEX(時間ごとの判定!$AN$3:$AN$1850,1491),{"利用可","両方停止","運転がそろわない","判定不能"},0),"○","停","×","－"),"")</f>
        <v>停</v>
      </c>
      <c r="BD66" s="35" t="str">
        <f aca="false">IFERROR(CHOOSE(MATCH(INDEX(時間ごとの判定!$AN$3:$AN$1850,1492),{"利用可","両方停止","運転がそろわない","判定不能"},0),"○","停","×","－"),"")</f>
        <v>停</v>
      </c>
      <c r="BE66" s="35" t="str">
        <f aca="false">IFERROR(CHOOSE(MATCH(INDEX(時間ごとの判定!$AN$3:$AN$1850,1493),{"利用可","両方停止","運転がそろわない","判定不能"},0),"○","停","×","－"),"")</f>
        <v>停</v>
      </c>
      <c r="BF66" s="35" t="str">
        <f aca="false">IFERROR(CHOOSE(MATCH(INDEX(時間ごとの判定!$AN$3:$AN$1850,1494),{"利用可","両方停止","運転がそろわない","判定不能"},0),"○","停","×","－"),"")</f>
        <v>停</v>
      </c>
      <c r="BG66" s="35" t="str">
        <f aca="false">IFERROR(CHOOSE(MATCH(INDEX(時間ごとの判定!$AN$3:$AN$1850,1495),{"利用可","両方停止","運転がそろわない","判定不能"},0),"○","停","×","－"),"")</f>
        <v>停</v>
      </c>
      <c r="BH66" s="35" t="str">
        <f aca="false">IFERROR(CHOOSE(MATCH(INDEX(時間ごとの判定!$AN$3:$AN$1850,1496),{"利用可","両方停止","運転がそろわない","判定不能"},0),"○","停","×","－"),"")</f>
        <v>停</v>
      </c>
      <c r="BI66" s="35" t="str">
        <f aca="false">IFERROR(CHOOSE(MATCH(INDEX(時間ごとの判定!$AN$3:$AN$1850,1497),{"利用可","両方停止","運転がそろわない","判定不能"},0),"○","停","×","－"),"")</f>
        <v>×</v>
      </c>
      <c r="BJ66" s="35" t="str">
        <f aca="false">IFERROR(CHOOSE(MATCH(INDEX(時間ごとの判定!$AN$3:$AN$1850,1498),{"利用可","両方停止","運転がそろわない","判定不能"},0),"○","停","×","－"),"")</f>
        <v>×</v>
      </c>
      <c r="BK66" s="35" t="str">
        <f aca="false">IFERROR(CHOOSE(MATCH(INDEX(時間ごとの判定!$AN$3:$AN$1850,1499),{"利用可","両方停止","運転がそろわない","判定不能"},0),"○","停","×","－"),"")</f>
        <v>停</v>
      </c>
      <c r="BL66" s="35" t="str">
        <f aca="false">IFERROR(CHOOSE(MATCH(INDEX(時間ごとの判定!$AN$3:$AN$1850,1500),{"利用可","両方停止","運転がそろわない","判定不能"},0),"○","停","×","－"),"")</f>
        <v>停</v>
      </c>
      <c r="BM66" s="35" t="str">
        <f aca="false">IFERROR(CHOOSE(MATCH(INDEX(時間ごとの判定!$AN$3:$AN$1850,1501),{"利用可","両方停止","運転がそろわない","判定不能"},0),"○","停","×","－"),"")</f>
        <v>×</v>
      </c>
      <c r="BN66" s="35" t="str">
        <f aca="false">IFERROR(CHOOSE(MATCH(INDEX(時間ごとの判定!$AN$3:$AN$1850,1502),{"利用可","両方停止","運転がそろわない","判定不能"},0),"○","停","×","－"),"")</f>
        <v>×</v>
      </c>
      <c r="BO66" s="35" t="str">
        <f aca="false">IFERROR(CHOOSE(MATCH(INDEX(時間ごとの判定!$AN$3:$AN$1850,1503),{"利用可","両方停止","運転がそろわない","判定不能"},0),"○","停","×","－"),"")</f>
        <v>停</v>
      </c>
      <c r="BP66" s="35" t="str">
        <f aca="false">IFERROR(CHOOSE(MATCH(INDEX(時間ごとの判定!$AN$3:$AN$1850,1504),{"利用可","両方停止","運転がそろわない","判定不能"},0),"○","停","×","－"),"")</f>
        <v>×</v>
      </c>
      <c r="BQ66" s="35" t="str">
        <f aca="false">IFERROR(CHOOSE(MATCH(INDEX(時間ごとの判定!$AN$3:$AN$1850,1505),{"利用可","両方停止","運転がそろわない","判定不能"},0),"○","停","×","－"),"")</f>
        <v>×</v>
      </c>
      <c r="BR66" s="35" t="str">
        <f aca="false">IFERROR(CHOOSE(MATCH(INDEX(時間ごとの判定!$AN$3:$AN$1850,1506),{"利用可","両方停止","運転がそろわない","判定不能"},0),"○","停","×","－"),"")</f>
        <v>×</v>
      </c>
      <c r="BS66" s="35" t="str">
        <f aca="false">IFERROR(CHOOSE(MATCH(INDEX(時間ごとの判定!$AN$3:$AN$1850,1507),{"利用可","両方停止","運転がそろわない","判定不能"},0),"○","停","×","－"),"")</f>
        <v>停</v>
      </c>
      <c r="BT66" s="35" t="str">
        <f aca="false">IFERROR(CHOOSE(MATCH(INDEX(時間ごとの判定!$AN$3:$AN$1850,1508),{"利用可","両方停止","運転がそろわない","判定不能"},0),"○","停","×","－"),"")</f>
        <v>停</v>
      </c>
      <c r="BU66" s="35" t="str">
        <f aca="false">IFERROR(CHOOSE(MATCH(INDEX(時間ごとの判定!$AN$3:$AN$1850,1509),{"利用可","両方停止","運転がそろわない","判定不能"},0),"○","停","×","－"),"")</f>
        <v>停</v>
      </c>
      <c r="BV66" s="35" t="str">
        <f aca="false">IFERROR(CHOOSE(MATCH(INDEX(時間ごとの判定!$AN$3:$AN$1850,1510),{"利用可","両方停止","運転がそろわない","判定不能"},0),"○","停","×","－"),"")</f>
        <v>停</v>
      </c>
      <c r="BW66" s="35" t="str">
        <f aca="false">IFERROR(CHOOSE(MATCH(INDEX(時間ごとの判定!$AN$3:$AN$1850,1511),{"利用可","両方停止","運転がそろわない","判定不能"},0),"○","停","×","－"),"")</f>
        <v>停</v>
      </c>
      <c r="BX66" s="35" t="str">
        <f aca="false">IFERROR(CHOOSE(MATCH(INDEX(時間ごとの判定!$AN$3:$AN$1850,1512),{"利用可","両方停止","運転がそろわない","判定不能"},0),"○","停","×","－"),"")</f>
        <v>停</v>
      </c>
    </row>
    <row r="67" customFormat="false" ht="15" hidden="false" customHeight="false" outlineLevel="0" collapsed="false">
      <c r="A67" s="33" t="n">
        <v>46295</v>
      </c>
      <c r="B67" s="34" t="s">
        <v>58</v>
      </c>
      <c r="C67" s="35" t="str">
        <f aca="false">IFERROR(CHOOSE(MATCH(INDEX(時間ごとの判定!$AH$3:$AH$1850,1513),{"利用可","両方停止","運転がそろわない","判定不能"},0),"○","停","×","－"),"")</f>
        <v>停</v>
      </c>
      <c r="D67" s="35" t="str">
        <f aca="false">IFERROR(CHOOSE(MATCH(INDEX(時間ごとの判定!$AH$3:$AH$1850,1514),{"利用可","両方停止","運転がそろわない","判定不能"},0),"○","停","×","－"),"")</f>
        <v>停</v>
      </c>
      <c r="E67" s="35" t="str">
        <f aca="false">IFERROR(CHOOSE(MATCH(INDEX(時間ごとの判定!$AH$3:$AH$1850,1515),{"利用可","両方停止","運転がそろわない","判定不能"},0),"○","停","×","－"),"")</f>
        <v>停</v>
      </c>
      <c r="F67" s="35" t="str">
        <f aca="false">IFERROR(CHOOSE(MATCH(INDEX(時間ごとの判定!$AH$3:$AH$1850,1516),{"利用可","両方停止","運転がそろわない","判定不能"},0),"○","停","×","－"),"")</f>
        <v>停</v>
      </c>
      <c r="G67" s="35" t="str">
        <f aca="false">IFERROR(CHOOSE(MATCH(INDEX(時間ごとの判定!$AH$3:$AH$1850,1517),{"利用可","両方停止","運転がそろわない","判定不能"},0),"○","停","×","－"),"")</f>
        <v>停</v>
      </c>
      <c r="H67" s="35" t="str">
        <f aca="false">IFERROR(CHOOSE(MATCH(INDEX(時間ごとの判定!$AH$3:$AH$1850,1518),{"利用可","両方停止","運転がそろわない","判定不能"},0),"○","停","×","－"),"")</f>
        <v>停</v>
      </c>
      <c r="I67" s="35" t="str">
        <f aca="false">IFERROR(CHOOSE(MATCH(INDEX(時間ごとの判定!$AH$3:$AH$1850,1519),{"利用可","両方停止","運転がそろわない","判定不能"},0),"○","停","×","－"),"")</f>
        <v>停</v>
      </c>
      <c r="J67" s="35" t="str">
        <f aca="false">IFERROR(CHOOSE(MATCH(INDEX(時間ごとの判定!$AH$3:$AH$1850,1520),{"利用可","両方停止","運転がそろわない","判定不能"},0),"○","停","×","－"),"")</f>
        <v>停</v>
      </c>
      <c r="K67" s="35" t="str">
        <f aca="false">IFERROR(CHOOSE(MATCH(INDEX(時間ごとの判定!$AH$3:$AH$1850,1521),{"利用可","両方停止","運転がそろわない","判定不能"},0),"○","停","×","－"),"")</f>
        <v>停</v>
      </c>
      <c r="L67" s="35" t="str">
        <f aca="false">IFERROR(CHOOSE(MATCH(INDEX(時間ごとの判定!$AH$3:$AH$1850,1522),{"利用可","両方停止","運転がそろわない","判定不能"},0),"○","停","×","－"),"")</f>
        <v>×</v>
      </c>
      <c r="M67" s="35" t="str">
        <f aca="false">IFERROR(CHOOSE(MATCH(INDEX(時間ごとの判定!$AH$3:$AH$1850,1523),{"利用可","両方停止","運転がそろわない","判定不能"},0),"○","停","×","－"),"")</f>
        <v>×</v>
      </c>
      <c r="N67" s="35" t="str">
        <f aca="false">IFERROR(CHOOSE(MATCH(INDEX(時間ごとの判定!$AH$3:$AH$1850,1524),{"利用可","両方停止","運転がそろわない","判定不能"},0),"○","停","×","－"),"")</f>
        <v>停</v>
      </c>
      <c r="O67" s="35" t="str">
        <f aca="false">IFERROR(CHOOSE(MATCH(INDEX(時間ごとの判定!$AH$3:$AH$1850,1525),{"利用可","両方停止","運転がそろわない","判定不能"},0),"○","停","×","－"),"")</f>
        <v>×</v>
      </c>
      <c r="P67" s="35" t="str">
        <f aca="false">IFERROR(CHOOSE(MATCH(INDEX(時間ごとの判定!$AH$3:$AH$1850,1526),{"利用可","両方停止","運転がそろわない","判定不能"},0),"○","停","×","－"),"")</f>
        <v>停</v>
      </c>
      <c r="Q67" s="35" t="str">
        <f aca="false">IFERROR(CHOOSE(MATCH(INDEX(時間ごとの判定!$AH$3:$AH$1850,1527),{"利用可","両方停止","運転がそろわない","判定不能"},0),"○","停","×","－"),"")</f>
        <v>停</v>
      </c>
      <c r="R67" s="35" t="str">
        <f aca="false">IFERROR(CHOOSE(MATCH(INDEX(時間ごとの判定!$AH$3:$AH$1850,1528),{"利用可","両方停止","運転がそろわない","判定不能"},0),"○","停","×","－"),"")</f>
        <v>×</v>
      </c>
      <c r="S67" s="35" t="str">
        <f aca="false">IFERROR(CHOOSE(MATCH(INDEX(時間ごとの判定!$AH$3:$AH$1850,1529),{"利用可","両方停止","運転がそろわない","判定不能"},0),"○","停","×","－"),"")</f>
        <v>×</v>
      </c>
      <c r="T67" s="35" t="str">
        <f aca="false">IFERROR(CHOOSE(MATCH(INDEX(時間ごとの判定!$AH$3:$AH$1850,1530),{"利用可","両方停止","運転がそろわない","判定不能"},0),"○","停","×","－"),"")</f>
        <v>停</v>
      </c>
      <c r="U67" s="35" t="str">
        <f aca="false">IFERROR(CHOOSE(MATCH(INDEX(時間ごとの判定!$AH$3:$AH$1850,1531),{"利用可","両方停止","運転がそろわない","判定不能"},0),"○","停","×","－"),"")</f>
        <v>停</v>
      </c>
      <c r="V67" s="35" t="str">
        <f aca="false">IFERROR(CHOOSE(MATCH(INDEX(時間ごとの判定!$AH$3:$AH$1850,1532),{"利用可","両方停止","運転がそろわない","判定不能"},0),"○","停","×","－"),"")</f>
        <v>停</v>
      </c>
      <c r="W67" s="35" t="str">
        <f aca="false">IFERROR(CHOOSE(MATCH(INDEX(時間ごとの判定!$AH$3:$AH$1850,1533),{"利用可","両方停止","運転がそろわない","判定不能"},0),"○","停","×","－"),"")</f>
        <v>停</v>
      </c>
      <c r="X67" s="35" t="str">
        <f aca="false">IFERROR(CHOOSE(MATCH(INDEX(時間ごとの判定!$AH$3:$AH$1850,1534),{"利用可","両方停止","運転がそろわない","判定不能"},0),"○","停","×","－"),"")</f>
        <v>停</v>
      </c>
      <c r="Y67" s="35" t="str">
        <f aca="false">IFERROR(CHOOSE(MATCH(INDEX(時間ごとの判定!$AH$3:$AH$1850,1535),{"利用可","両方停止","運転がそろわない","判定不能"},0),"○","停","×","－"),"")</f>
        <v>停</v>
      </c>
      <c r="Z67" s="35" t="str">
        <f aca="false">IFERROR(CHOOSE(MATCH(INDEX(時間ごとの判定!$AH$3:$AH$1850,1536),{"利用可","両方停止","運転がそろわない","判定不能"},0),"○","停","×","－"),"")</f>
        <v>停</v>
      </c>
      <c r="AA67" s="35"/>
      <c r="AB67" s="35" t="str">
        <f aca="false">IFERROR(CHOOSE(MATCH(INDEX(時間ごとの判定!$AK$3:$AK$1850,1513),{"利用可","両方停止","運転がそろわない","判定不能"},0),"○","停","×","－"),"")</f>
        <v>停</v>
      </c>
      <c r="AC67" s="35" t="str">
        <f aca="false">IFERROR(CHOOSE(MATCH(INDEX(時間ごとの判定!$AK$3:$AK$1850,1514),{"利用可","両方停止","運転がそろわない","判定不能"},0),"○","停","×","－"),"")</f>
        <v>停</v>
      </c>
      <c r="AD67" s="35" t="str">
        <f aca="false">IFERROR(CHOOSE(MATCH(INDEX(時間ごとの判定!$AK$3:$AK$1850,1515),{"利用可","両方停止","運転がそろわない","判定不能"},0),"○","停","×","－"),"")</f>
        <v>停</v>
      </c>
      <c r="AE67" s="35" t="str">
        <f aca="false">IFERROR(CHOOSE(MATCH(INDEX(時間ごとの判定!$AK$3:$AK$1850,1516),{"利用可","両方停止","運転がそろわない","判定不能"},0),"○","停","×","－"),"")</f>
        <v>停</v>
      </c>
      <c r="AF67" s="35" t="str">
        <f aca="false">IFERROR(CHOOSE(MATCH(INDEX(時間ごとの判定!$AK$3:$AK$1850,1517),{"利用可","両方停止","運転がそろわない","判定不能"},0),"○","停","×","－"),"")</f>
        <v>停</v>
      </c>
      <c r="AG67" s="35" t="str">
        <f aca="false">IFERROR(CHOOSE(MATCH(INDEX(時間ごとの判定!$AK$3:$AK$1850,1518),{"利用可","両方停止","運転がそろわない","判定不能"},0),"○","停","×","－"),"")</f>
        <v>停</v>
      </c>
      <c r="AH67" s="35" t="str">
        <f aca="false">IFERROR(CHOOSE(MATCH(INDEX(時間ごとの判定!$AK$3:$AK$1850,1519),{"利用可","両方停止","運転がそろわない","判定不能"},0),"○","停","×","－"),"")</f>
        <v>停</v>
      </c>
      <c r="AI67" s="35" t="str">
        <f aca="false">IFERROR(CHOOSE(MATCH(INDEX(時間ごとの判定!$AK$3:$AK$1850,1520),{"利用可","両方停止","運転がそろわない","判定不能"},0),"○","停","×","－"),"")</f>
        <v>停</v>
      </c>
      <c r="AJ67" s="35" t="str">
        <f aca="false">IFERROR(CHOOSE(MATCH(INDEX(時間ごとの判定!$AK$3:$AK$1850,1521),{"利用可","両方停止","運転がそろわない","判定不能"},0),"○","停","×","－"),"")</f>
        <v>停</v>
      </c>
      <c r="AK67" s="35" t="str">
        <f aca="false">IFERROR(CHOOSE(MATCH(INDEX(時間ごとの判定!$AK$3:$AK$1850,1522),{"利用可","両方停止","運転がそろわない","判定不能"},0),"○","停","×","－"),"")</f>
        <v>×</v>
      </c>
      <c r="AL67" s="35" t="str">
        <f aca="false">IFERROR(CHOOSE(MATCH(INDEX(時間ごとの判定!$AK$3:$AK$1850,1523),{"利用可","両方停止","運転がそろわない","判定不能"},0),"○","停","×","－"),"")</f>
        <v>×</v>
      </c>
      <c r="AM67" s="35" t="str">
        <f aca="false">IFERROR(CHOOSE(MATCH(INDEX(時間ごとの判定!$AK$3:$AK$1850,1524),{"利用可","両方停止","運転がそろわない","判定不能"},0),"○","停","×","－"),"")</f>
        <v>×</v>
      </c>
      <c r="AN67" s="35" t="str">
        <f aca="false">IFERROR(CHOOSE(MATCH(INDEX(時間ごとの判定!$AK$3:$AK$1850,1525),{"利用可","両方停止","運転がそろわない","判定不能"},0),"○","停","×","－"),"")</f>
        <v>×</v>
      </c>
      <c r="AO67" s="35" t="str">
        <f aca="false">IFERROR(CHOOSE(MATCH(INDEX(時間ごとの判定!$AK$3:$AK$1850,1526),{"利用可","両方停止","運転がそろわない","判定不能"},0),"○","停","×","－"),"")</f>
        <v>×</v>
      </c>
      <c r="AP67" s="35" t="str">
        <f aca="false">IFERROR(CHOOSE(MATCH(INDEX(時間ごとの判定!$AK$3:$AK$1850,1527),{"利用可","両方停止","運転がそろわない","判定不能"},0),"○","停","×","－"),"")</f>
        <v>×</v>
      </c>
      <c r="AQ67" s="35" t="str">
        <f aca="false">IFERROR(CHOOSE(MATCH(INDEX(時間ごとの判定!$AK$3:$AK$1850,1528),{"利用可","両方停止","運転がそろわない","判定不能"},0),"○","停","×","－"),"")</f>
        <v>×</v>
      </c>
      <c r="AR67" s="35" t="str">
        <f aca="false">IFERROR(CHOOSE(MATCH(INDEX(時間ごとの判定!$AK$3:$AK$1850,1529),{"利用可","両方停止","運転がそろわない","判定不能"},0),"○","停","×","－"),"")</f>
        <v>×</v>
      </c>
      <c r="AS67" s="35" t="str">
        <f aca="false">IFERROR(CHOOSE(MATCH(INDEX(時間ごとの判定!$AK$3:$AK$1850,1530),{"利用可","両方停止","運転がそろわない","判定不能"},0),"○","停","×","－"),"")</f>
        <v>停</v>
      </c>
      <c r="AT67" s="35" t="str">
        <f aca="false">IFERROR(CHOOSE(MATCH(INDEX(時間ごとの判定!$AK$3:$AK$1850,1531),{"利用可","両方停止","運転がそろわない","判定不能"},0),"○","停","×","－"),"")</f>
        <v>停</v>
      </c>
      <c r="AU67" s="35" t="str">
        <f aca="false">IFERROR(CHOOSE(MATCH(INDEX(時間ごとの判定!$AK$3:$AK$1850,1532),{"利用可","両方停止","運転がそろわない","判定不能"},0),"○","停","×","－"),"")</f>
        <v>×</v>
      </c>
      <c r="AV67" s="35" t="str">
        <f aca="false">IFERROR(CHOOSE(MATCH(INDEX(時間ごとの判定!$AK$3:$AK$1850,1533),{"利用可","両方停止","運転がそろわない","判定不能"},0),"○","停","×","－"),"")</f>
        <v>停</v>
      </c>
      <c r="AW67" s="35" t="str">
        <f aca="false">IFERROR(CHOOSE(MATCH(INDEX(時間ごとの判定!$AK$3:$AK$1850,1534),{"利用可","両方停止","運転がそろわない","判定不能"},0),"○","停","×","－"),"")</f>
        <v>停</v>
      </c>
      <c r="AX67" s="35" t="str">
        <f aca="false">IFERROR(CHOOSE(MATCH(INDEX(時間ごとの判定!$AK$3:$AK$1850,1535),{"利用可","両方停止","運転がそろわない","判定不能"},0),"○","停","×","－"),"")</f>
        <v>停</v>
      </c>
      <c r="AY67" s="35" t="str">
        <f aca="false">IFERROR(CHOOSE(MATCH(INDEX(時間ごとの判定!$AK$3:$AK$1850,1536),{"利用可","両方停止","運転がそろわない","判定不能"},0),"○","停","×","－"),"")</f>
        <v>停</v>
      </c>
      <c r="AZ67" s="35"/>
      <c r="BA67" s="35" t="str">
        <f aca="false">IFERROR(CHOOSE(MATCH(INDEX(時間ごとの判定!$AN$3:$AN$1850,1513),{"利用可","両方停止","運転がそろわない","判定不能"},0),"○","停","×","－"),"")</f>
        <v>停</v>
      </c>
      <c r="BB67" s="35" t="str">
        <f aca="false">IFERROR(CHOOSE(MATCH(INDEX(時間ごとの判定!$AN$3:$AN$1850,1514),{"利用可","両方停止","運転がそろわない","判定不能"},0),"○","停","×","－"),"")</f>
        <v>停</v>
      </c>
      <c r="BC67" s="35" t="str">
        <f aca="false">IFERROR(CHOOSE(MATCH(INDEX(時間ごとの判定!$AN$3:$AN$1850,1515),{"利用可","両方停止","運転がそろわない","判定不能"},0),"○","停","×","－"),"")</f>
        <v>停</v>
      </c>
      <c r="BD67" s="35" t="str">
        <f aca="false">IFERROR(CHOOSE(MATCH(INDEX(時間ごとの判定!$AN$3:$AN$1850,1516),{"利用可","両方停止","運転がそろわない","判定不能"},0),"○","停","×","－"),"")</f>
        <v>停</v>
      </c>
      <c r="BE67" s="35" t="str">
        <f aca="false">IFERROR(CHOOSE(MATCH(INDEX(時間ごとの判定!$AN$3:$AN$1850,1517),{"利用可","両方停止","運転がそろわない","判定不能"},0),"○","停","×","－"),"")</f>
        <v>停</v>
      </c>
      <c r="BF67" s="35" t="str">
        <f aca="false">IFERROR(CHOOSE(MATCH(INDEX(時間ごとの判定!$AN$3:$AN$1850,1518),{"利用可","両方停止","運転がそろわない","判定不能"},0),"○","停","×","－"),"")</f>
        <v>停</v>
      </c>
      <c r="BG67" s="35" t="str">
        <f aca="false">IFERROR(CHOOSE(MATCH(INDEX(時間ごとの判定!$AN$3:$AN$1850,1519),{"利用可","両方停止","運転がそろわない","判定不能"},0),"○","停","×","－"),"")</f>
        <v>停</v>
      </c>
      <c r="BH67" s="35" t="str">
        <f aca="false">IFERROR(CHOOSE(MATCH(INDEX(時間ごとの判定!$AN$3:$AN$1850,1520),{"利用可","両方停止","運転がそろわない","判定不能"},0),"○","停","×","－"),"")</f>
        <v>停</v>
      </c>
      <c r="BI67" s="35" t="str">
        <f aca="false">IFERROR(CHOOSE(MATCH(INDEX(時間ごとの判定!$AN$3:$AN$1850,1521),{"利用可","両方停止","運転がそろわない","判定不能"},0),"○","停","×","－"),"")</f>
        <v>停</v>
      </c>
      <c r="BJ67" s="35" t="str">
        <f aca="false">IFERROR(CHOOSE(MATCH(INDEX(時間ごとの判定!$AN$3:$AN$1850,1522),{"利用可","両方停止","運転がそろわない","判定不能"},0),"○","停","×","－"),"")</f>
        <v>×</v>
      </c>
      <c r="BK67" s="35" t="str">
        <f aca="false">IFERROR(CHOOSE(MATCH(INDEX(時間ごとの判定!$AN$3:$AN$1850,1523),{"利用可","両方停止","運転がそろわない","判定不能"},0),"○","停","×","－"),"")</f>
        <v>×</v>
      </c>
      <c r="BL67" s="35" t="str">
        <f aca="false">IFERROR(CHOOSE(MATCH(INDEX(時間ごとの判定!$AN$3:$AN$1850,1524),{"利用可","両方停止","運転がそろわない","判定不能"},0),"○","停","×","－"),"")</f>
        <v>×</v>
      </c>
      <c r="BM67" s="35" t="str">
        <f aca="false">IFERROR(CHOOSE(MATCH(INDEX(時間ごとの判定!$AN$3:$AN$1850,1525),{"利用可","両方停止","運転がそろわない","判定不能"},0),"○","停","×","－"),"")</f>
        <v>○</v>
      </c>
      <c r="BN67" s="35" t="str">
        <f aca="false">IFERROR(CHOOSE(MATCH(INDEX(時間ごとの判定!$AN$3:$AN$1850,1526),{"利用可","両方停止","運転がそろわない","判定不能"},0),"○","停","×","－"),"")</f>
        <v>×</v>
      </c>
      <c r="BO67" s="35" t="str">
        <f aca="false">IFERROR(CHOOSE(MATCH(INDEX(時間ごとの判定!$AN$3:$AN$1850,1527),{"利用可","両方停止","運転がそろわない","判定不能"},0),"○","停","×","－"),"")</f>
        <v>○</v>
      </c>
      <c r="BP67" s="35" t="str">
        <f aca="false">IFERROR(CHOOSE(MATCH(INDEX(時間ごとの判定!$AN$3:$AN$1850,1528),{"利用可","両方停止","運転がそろわない","判定不能"},0),"○","停","×","－"),"")</f>
        <v>×</v>
      </c>
      <c r="BQ67" s="35" t="str">
        <f aca="false">IFERROR(CHOOSE(MATCH(INDEX(時間ごとの判定!$AN$3:$AN$1850,1529),{"利用可","両方停止","運転がそろわない","判定不能"},0),"○","停","×","－"),"")</f>
        <v>×</v>
      </c>
      <c r="BR67" s="35" t="str">
        <f aca="false">IFERROR(CHOOSE(MATCH(INDEX(時間ごとの判定!$AN$3:$AN$1850,1530),{"利用可","両方停止","運転がそろわない","判定不能"},0),"○","停","×","－"),"")</f>
        <v>×</v>
      </c>
      <c r="BS67" s="35" t="str">
        <f aca="false">IFERROR(CHOOSE(MATCH(INDEX(時間ごとの判定!$AN$3:$AN$1850,1531),{"利用可","両方停止","運転がそろわない","判定不能"},0),"○","停","×","－"),"")</f>
        <v>×</v>
      </c>
      <c r="BT67" s="35" t="str">
        <f aca="false">IFERROR(CHOOSE(MATCH(INDEX(時間ごとの判定!$AN$3:$AN$1850,1532),{"利用可","両方停止","運転がそろわない","判定不能"},0),"○","停","×","－"),"")</f>
        <v>×</v>
      </c>
      <c r="BU67" s="35" t="str">
        <f aca="false">IFERROR(CHOOSE(MATCH(INDEX(時間ごとの判定!$AN$3:$AN$1850,1533),{"利用可","両方停止","運転がそろわない","判定不能"},0),"○","停","×","－"),"")</f>
        <v>×</v>
      </c>
      <c r="BV67" s="35" t="str">
        <f aca="false">IFERROR(CHOOSE(MATCH(INDEX(時間ごとの判定!$AN$3:$AN$1850,1534),{"利用可","両方停止","運転がそろわない","判定不能"},0),"○","停","×","－"),"")</f>
        <v>停</v>
      </c>
      <c r="BW67" s="35" t="str">
        <f aca="false">IFERROR(CHOOSE(MATCH(INDEX(時間ごとの判定!$AN$3:$AN$1850,1535),{"利用可","両方停止","運転がそろわない","判定不能"},0),"○","停","×","－"),"")</f>
        <v>停</v>
      </c>
      <c r="BX67" s="35" t="str">
        <f aca="false">IFERROR(CHOOSE(MATCH(INDEX(時間ごとの判定!$AN$3:$AN$1850,1536),{"利用可","両方停止","運転がそろわない","判定不能"},0),"○","停","×","－"),"")</f>
        <v>停</v>
      </c>
    </row>
    <row r="68" customFormat="false" ht="15" hidden="false" customHeight="false" outlineLevel="0" collapsed="false">
      <c r="A68" s="33" t="n">
        <v>46296</v>
      </c>
      <c r="B68" s="34" t="s">
        <v>61</v>
      </c>
      <c r="C68" s="35" t="str">
        <f aca="false">IFERROR(CHOOSE(MATCH(INDEX(時間ごとの判定!$AH$3:$AH$1850,1537),{"利用可","両方停止","運転がそろわない","判定不能"},0),"○","停","×","－"),"")</f>
        <v>停</v>
      </c>
      <c r="D68" s="35" t="str">
        <f aca="false">IFERROR(CHOOSE(MATCH(INDEX(時間ごとの判定!$AH$3:$AH$1850,1538),{"利用可","両方停止","運転がそろわない","判定不能"},0),"○","停","×","－"),"")</f>
        <v>停</v>
      </c>
      <c r="E68" s="35" t="str">
        <f aca="false">IFERROR(CHOOSE(MATCH(INDEX(時間ごとの判定!$AH$3:$AH$1850,1539),{"利用可","両方停止","運転がそろわない","判定不能"},0),"○","停","×","－"),"")</f>
        <v>停</v>
      </c>
      <c r="F68" s="35" t="str">
        <f aca="false">IFERROR(CHOOSE(MATCH(INDEX(時間ごとの判定!$AH$3:$AH$1850,1540),{"利用可","両方停止","運転がそろわない","判定不能"},0),"○","停","×","－"),"")</f>
        <v>停</v>
      </c>
      <c r="G68" s="35" t="str">
        <f aca="false">IFERROR(CHOOSE(MATCH(INDEX(時間ごとの判定!$AH$3:$AH$1850,1541),{"利用可","両方停止","運転がそろわない","判定不能"},0),"○","停","×","－"),"")</f>
        <v>停</v>
      </c>
      <c r="H68" s="35" t="str">
        <f aca="false">IFERROR(CHOOSE(MATCH(INDEX(時間ごとの判定!$AH$3:$AH$1850,1542),{"利用可","両方停止","運転がそろわない","判定不能"},0),"○","停","×","－"),"")</f>
        <v>停</v>
      </c>
      <c r="I68" s="35" t="str">
        <f aca="false">IFERROR(CHOOSE(MATCH(INDEX(時間ごとの判定!$AH$3:$AH$1850,1543),{"利用可","両方停止","運転がそろわない","判定不能"},0),"○","停","×","－"),"")</f>
        <v>停</v>
      </c>
      <c r="J68" s="35" t="str">
        <f aca="false">IFERROR(CHOOSE(MATCH(INDEX(時間ごとの判定!$AH$3:$AH$1850,1544),{"利用可","両方停止","運転がそろわない","判定不能"},0),"○","停","×","－"),"")</f>
        <v>停</v>
      </c>
      <c r="K68" s="35" t="str">
        <f aca="false">IFERROR(CHOOSE(MATCH(INDEX(時間ごとの判定!$AH$3:$AH$1850,1545),{"利用可","両方停止","運転がそろわない","判定不能"},0),"○","停","×","－"),"")</f>
        <v>×</v>
      </c>
      <c r="L68" s="35" t="str">
        <f aca="false">IFERROR(CHOOSE(MATCH(INDEX(時間ごとの判定!$AH$3:$AH$1850,1546),{"利用可","両方停止","運転がそろわない","判定不能"},0),"○","停","×","－"),"")</f>
        <v>○</v>
      </c>
      <c r="M68" s="35" t="str">
        <f aca="false">IFERROR(CHOOSE(MATCH(INDEX(時間ごとの判定!$AH$3:$AH$1850,1547),{"利用可","両方停止","運転がそろわない","判定不能"},0),"○","停","×","－"),"")</f>
        <v>×</v>
      </c>
      <c r="N68" s="35" t="str">
        <f aca="false">IFERROR(CHOOSE(MATCH(INDEX(時間ごとの判定!$AH$3:$AH$1850,1548),{"利用可","両方停止","運転がそろわない","判定不能"},0),"○","停","×","－"),"")</f>
        <v>○</v>
      </c>
      <c r="O68" s="35" t="str">
        <f aca="false">IFERROR(CHOOSE(MATCH(INDEX(時間ごとの判定!$AH$3:$AH$1850,1549),{"利用可","両方停止","運転がそろわない","判定不能"},0),"○","停","×","－"),"")</f>
        <v>○</v>
      </c>
      <c r="P68" s="35" t="str">
        <f aca="false">IFERROR(CHOOSE(MATCH(INDEX(時間ごとの判定!$AH$3:$AH$1850,1550),{"利用可","両方停止","運転がそろわない","判定不能"},0),"○","停","×","－"),"")</f>
        <v>○</v>
      </c>
      <c r="Q68" s="35" t="str">
        <f aca="false">IFERROR(CHOOSE(MATCH(INDEX(時間ごとの判定!$AH$3:$AH$1850,1551),{"利用可","両方停止","運転がそろわない","判定不能"},0),"○","停","×","－"),"")</f>
        <v>○</v>
      </c>
      <c r="R68" s="35" t="str">
        <f aca="false">IFERROR(CHOOSE(MATCH(INDEX(時間ごとの判定!$AH$3:$AH$1850,1552),{"利用可","両方停止","運転がそろわない","判定不能"},0),"○","停","×","－"),"")</f>
        <v>○</v>
      </c>
      <c r="S68" s="35" t="str">
        <f aca="false">IFERROR(CHOOSE(MATCH(INDEX(時間ごとの判定!$AH$3:$AH$1850,1553),{"利用可","両方停止","運転がそろわない","判定不能"},0),"○","停","×","－"),"")</f>
        <v>○</v>
      </c>
      <c r="T68" s="35" t="str">
        <f aca="false">IFERROR(CHOOSE(MATCH(INDEX(時間ごとの判定!$AH$3:$AH$1850,1554),{"利用可","両方停止","運転がそろわない","判定不能"},0),"○","停","×","－"),"")</f>
        <v>○</v>
      </c>
      <c r="U68" s="35" t="str">
        <f aca="false">IFERROR(CHOOSE(MATCH(INDEX(時間ごとの判定!$AH$3:$AH$1850,1555),{"利用可","両方停止","運転がそろわない","判定不能"},0),"○","停","×","－"),"")</f>
        <v>×</v>
      </c>
      <c r="V68" s="35" t="str">
        <f aca="false">IFERROR(CHOOSE(MATCH(INDEX(時間ごとの判定!$AH$3:$AH$1850,1556),{"利用可","両方停止","運転がそろわない","判定不能"},0),"○","停","×","－"),"")</f>
        <v>×</v>
      </c>
      <c r="W68" s="35" t="str">
        <f aca="false">IFERROR(CHOOSE(MATCH(INDEX(時間ごとの判定!$AH$3:$AH$1850,1557),{"利用可","両方停止","運転がそろわない","判定不能"},0),"○","停","×","－"),"")</f>
        <v>×</v>
      </c>
      <c r="X68" s="35" t="str">
        <f aca="false">IFERROR(CHOOSE(MATCH(INDEX(時間ごとの判定!$AH$3:$AH$1850,1558),{"利用可","両方停止","運転がそろわない","判定不能"},0),"○","停","×","－"),"")</f>
        <v>停</v>
      </c>
      <c r="Y68" s="35" t="str">
        <f aca="false">IFERROR(CHOOSE(MATCH(INDEX(時間ごとの判定!$AH$3:$AH$1850,1559),{"利用可","両方停止","運転がそろわない","判定不能"},0),"○","停","×","－"),"")</f>
        <v>停</v>
      </c>
      <c r="Z68" s="35" t="str">
        <f aca="false">IFERROR(CHOOSE(MATCH(INDEX(時間ごとの判定!$AH$3:$AH$1850,1560),{"利用可","両方停止","運転がそろわない","判定不能"},0),"○","停","×","－"),"")</f>
        <v>停</v>
      </c>
      <c r="AA68" s="35"/>
      <c r="AB68" s="35" t="str">
        <f aca="false">IFERROR(CHOOSE(MATCH(INDEX(時間ごとの判定!$AK$3:$AK$1850,1537),{"利用可","両方停止","運転がそろわない","判定不能"},0),"○","停","×","－"),"")</f>
        <v>停</v>
      </c>
      <c r="AC68" s="35" t="str">
        <f aca="false">IFERROR(CHOOSE(MATCH(INDEX(時間ごとの判定!$AK$3:$AK$1850,1538),{"利用可","両方停止","運転がそろわない","判定不能"},0),"○","停","×","－"),"")</f>
        <v>停</v>
      </c>
      <c r="AD68" s="35" t="str">
        <f aca="false">IFERROR(CHOOSE(MATCH(INDEX(時間ごとの判定!$AK$3:$AK$1850,1539),{"利用可","両方停止","運転がそろわない","判定不能"},0),"○","停","×","－"),"")</f>
        <v>停</v>
      </c>
      <c r="AE68" s="35" t="str">
        <f aca="false">IFERROR(CHOOSE(MATCH(INDEX(時間ごとの判定!$AK$3:$AK$1850,1540),{"利用可","両方停止","運転がそろわない","判定不能"},0),"○","停","×","－"),"")</f>
        <v>停</v>
      </c>
      <c r="AF68" s="35" t="str">
        <f aca="false">IFERROR(CHOOSE(MATCH(INDEX(時間ごとの判定!$AK$3:$AK$1850,1541),{"利用可","両方停止","運転がそろわない","判定不能"},0),"○","停","×","－"),"")</f>
        <v>停</v>
      </c>
      <c r="AG68" s="35" t="str">
        <f aca="false">IFERROR(CHOOSE(MATCH(INDEX(時間ごとの判定!$AK$3:$AK$1850,1542),{"利用可","両方停止","運転がそろわない","判定不能"},0),"○","停","×","－"),"")</f>
        <v>停</v>
      </c>
      <c r="AH68" s="35" t="str">
        <f aca="false">IFERROR(CHOOSE(MATCH(INDEX(時間ごとの判定!$AK$3:$AK$1850,1543),{"利用可","両方停止","運転がそろわない","判定不能"},0),"○","停","×","－"),"")</f>
        <v>停</v>
      </c>
      <c r="AI68" s="35" t="str">
        <f aca="false">IFERROR(CHOOSE(MATCH(INDEX(時間ごとの判定!$AK$3:$AK$1850,1544),{"利用可","両方停止","運転がそろわない","判定不能"},0),"○","停","×","－"),"")</f>
        <v>停</v>
      </c>
      <c r="AJ68" s="35" t="str">
        <f aca="false">IFERROR(CHOOSE(MATCH(INDEX(時間ごとの判定!$AK$3:$AK$1850,1545),{"利用可","両方停止","運転がそろわない","判定不能"},0),"○","停","×","－"),"")</f>
        <v>×</v>
      </c>
      <c r="AK68" s="35" t="str">
        <f aca="false">IFERROR(CHOOSE(MATCH(INDEX(時間ごとの判定!$AK$3:$AK$1850,1546),{"利用可","両方停止","運転がそろわない","判定不能"},0),"○","停","×","－"),"")</f>
        <v>×</v>
      </c>
      <c r="AL68" s="35" t="str">
        <f aca="false">IFERROR(CHOOSE(MATCH(INDEX(時間ごとの判定!$AK$3:$AK$1850,1547),{"利用可","両方停止","運転がそろわない","判定不能"},0),"○","停","×","－"),"")</f>
        <v>○</v>
      </c>
      <c r="AM68" s="35" t="str">
        <f aca="false">IFERROR(CHOOSE(MATCH(INDEX(時間ごとの判定!$AK$3:$AK$1850,1548),{"利用可","両方停止","運転がそろわない","判定不能"},0),"○","停","×","－"),"")</f>
        <v>○</v>
      </c>
      <c r="AN68" s="35" t="str">
        <f aca="false">IFERROR(CHOOSE(MATCH(INDEX(時間ごとの判定!$AK$3:$AK$1850,1549),{"利用可","両方停止","運転がそろわない","判定不能"},0),"○","停","×","－"),"")</f>
        <v>○</v>
      </c>
      <c r="AO68" s="35" t="str">
        <f aca="false">IFERROR(CHOOSE(MATCH(INDEX(時間ごとの判定!$AK$3:$AK$1850,1550),{"利用可","両方停止","運転がそろわない","判定不能"},0),"○","停","×","－"),"")</f>
        <v>○</v>
      </c>
      <c r="AP68" s="35" t="str">
        <f aca="false">IFERROR(CHOOSE(MATCH(INDEX(時間ごとの判定!$AK$3:$AK$1850,1551),{"利用可","両方停止","運転がそろわない","判定不能"},0),"○","停","×","－"),"")</f>
        <v>○</v>
      </c>
      <c r="AQ68" s="35" t="str">
        <f aca="false">IFERROR(CHOOSE(MATCH(INDEX(時間ごとの判定!$AK$3:$AK$1850,1552),{"利用可","両方停止","運転がそろわない","判定不能"},0),"○","停","×","－"),"")</f>
        <v>○</v>
      </c>
      <c r="AR68" s="35" t="str">
        <f aca="false">IFERROR(CHOOSE(MATCH(INDEX(時間ごとの判定!$AK$3:$AK$1850,1553),{"利用可","両方停止","運転がそろわない","判定不能"},0),"○","停","×","－"),"")</f>
        <v>○</v>
      </c>
      <c r="AS68" s="35" t="str">
        <f aca="false">IFERROR(CHOOSE(MATCH(INDEX(時間ごとの判定!$AK$3:$AK$1850,1554),{"利用可","両方停止","運転がそろわない","判定不能"},0),"○","停","×","－"),"")</f>
        <v>○</v>
      </c>
      <c r="AT68" s="35" t="str">
        <f aca="false">IFERROR(CHOOSE(MATCH(INDEX(時間ごとの判定!$AK$3:$AK$1850,1555),{"利用可","両方停止","運転がそろわない","判定不能"},0),"○","停","×","－"),"")</f>
        <v>×</v>
      </c>
      <c r="AU68" s="35" t="str">
        <f aca="false">IFERROR(CHOOSE(MATCH(INDEX(時間ごとの判定!$AK$3:$AK$1850,1556),{"利用可","両方停止","運転がそろわない","判定不能"},0),"○","停","×","－"),"")</f>
        <v>×</v>
      </c>
      <c r="AV68" s="35" t="str">
        <f aca="false">IFERROR(CHOOSE(MATCH(INDEX(時間ごとの判定!$AK$3:$AK$1850,1557),{"利用可","両方停止","運転がそろわない","判定不能"},0),"○","停","×","－"),"")</f>
        <v>×</v>
      </c>
      <c r="AW68" s="35" t="str">
        <f aca="false">IFERROR(CHOOSE(MATCH(INDEX(時間ごとの判定!$AK$3:$AK$1850,1558),{"利用可","両方停止","運転がそろわない","判定不能"},0),"○","停","×","－"),"")</f>
        <v>停</v>
      </c>
      <c r="AX68" s="35" t="str">
        <f aca="false">IFERROR(CHOOSE(MATCH(INDEX(時間ごとの判定!$AK$3:$AK$1850,1559),{"利用可","両方停止","運転がそろわない","判定不能"},0),"○","停","×","－"),"")</f>
        <v>停</v>
      </c>
      <c r="AY68" s="35" t="str">
        <f aca="false">IFERROR(CHOOSE(MATCH(INDEX(時間ごとの判定!$AK$3:$AK$1850,1560),{"利用可","両方停止","運転がそろわない","判定不能"},0),"○","停","×","－"),"")</f>
        <v>停</v>
      </c>
      <c r="AZ68" s="35"/>
      <c r="BA68" s="35" t="str">
        <f aca="false">IFERROR(CHOOSE(MATCH(INDEX(時間ごとの判定!$AN$3:$AN$1850,1537),{"利用可","両方停止","運転がそろわない","判定不能"},0),"○","停","×","－"),"")</f>
        <v>停</v>
      </c>
      <c r="BB68" s="35" t="str">
        <f aca="false">IFERROR(CHOOSE(MATCH(INDEX(時間ごとの判定!$AN$3:$AN$1850,1538),{"利用可","両方停止","運転がそろわない","判定不能"},0),"○","停","×","－"),"")</f>
        <v>停</v>
      </c>
      <c r="BC68" s="35" t="str">
        <f aca="false">IFERROR(CHOOSE(MATCH(INDEX(時間ごとの判定!$AN$3:$AN$1850,1539),{"利用可","両方停止","運転がそろわない","判定不能"},0),"○","停","×","－"),"")</f>
        <v>停</v>
      </c>
      <c r="BD68" s="35" t="str">
        <f aca="false">IFERROR(CHOOSE(MATCH(INDEX(時間ごとの判定!$AN$3:$AN$1850,1540),{"利用可","両方停止","運転がそろわない","判定不能"},0),"○","停","×","－"),"")</f>
        <v>停</v>
      </c>
      <c r="BE68" s="35" t="str">
        <f aca="false">IFERROR(CHOOSE(MATCH(INDEX(時間ごとの判定!$AN$3:$AN$1850,1541),{"利用可","両方停止","運転がそろわない","判定不能"},0),"○","停","×","－"),"")</f>
        <v>停</v>
      </c>
      <c r="BF68" s="35" t="str">
        <f aca="false">IFERROR(CHOOSE(MATCH(INDEX(時間ごとの判定!$AN$3:$AN$1850,1542),{"利用可","両方停止","運転がそろわない","判定不能"},0),"○","停","×","－"),"")</f>
        <v>停</v>
      </c>
      <c r="BG68" s="35" t="str">
        <f aca="false">IFERROR(CHOOSE(MATCH(INDEX(時間ごとの判定!$AN$3:$AN$1850,1543),{"利用可","両方停止","運転がそろわない","判定不能"},0),"○","停","×","－"),"")</f>
        <v>停</v>
      </c>
      <c r="BH68" s="35" t="str">
        <f aca="false">IFERROR(CHOOSE(MATCH(INDEX(時間ごとの判定!$AN$3:$AN$1850,1544),{"利用可","両方停止","運転がそろわない","判定不能"},0),"○","停","×","－"),"")</f>
        <v>停</v>
      </c>
      <c r="BI68" s="35" t="str">
        <f aca="false">IFERROR(CHOOSE(MATCH(INDEX(時間ごとの判定!$AN$3:$AN$1850,1545),{"利用可","両方停止","運転がそろわない","判定不能"},0),"○","停","×","－"),"")</f>
        <v>×</v>
      </c>
      <c r="BJ68" s="35" t="str">
        <f aca="false">IFERROR(CHOOSE(MATCH(INDEX(時間ごとの判定!$AN$3:$AN$1850,1546),{"利用可","両方停止","運転がそろわない","判定不能"},0),"○","停","×","－"),"")</f>
        <v>×</v>
      </c>
      <c r="BK68" s="35" t="str">
        <f aca="false">IFERROR(CHOOSE(MATCH(INDEX(時間ごとの判定!$AN$3:$AN$1850,1547),{"利用可","両方停止","運転がそろわない","判定不能"},0),"○","停","×","－"),"")</f>
        <v>○</v>
      </c>
      <c r="BL68" s="35" t="str">
        <f aca="false">IFERROR(CHOOSE(MATCH(INDEX(時間ごとの判定!$AN$3:$AN$1850,1548),{"利用可","両方停止","運転がそろわない","判定不能"},0),"○","停","×","－"),"")</f>
        <v>○</v>
      </c>
      <c r="BM68" s="35" t="str">
        <f aca="false">IFERROR(CHOOSE(MATCH(INDEX(時間ごとの判定!$AN$3:$AN$1850,1549),{"利用可","両方停止","運転がそろわない","判定不能"},0),"○","停","×","－"),"")</f>
        <v>○</v>
      </c>
      <c r="BN68" s="35" t="str">
        <f aca="false">IFERROR(CHOOSE(MATCH(INDEX(時間ごとの判定!$AN$3:$AN$1850,1550),{"利用可","両方停止","運転がそろわない","判定不能"},0),"○","停","×","－"),"")</f>
        <v>○</v>
      </c>
      <c r="BO68" s="35" t="str">
        <f aca="false">IFERROR(CHOOSE(MATCH(INDEX(時間ごとの判定!$AN$3:$AN$1850,1551),{"利用可","両方停止","運転がそろわない","判定不能"},0),"○","停","×","－"),"")</f>
        <v>○</v>
      </c>
      <c r="BP68" s="35" t="str">
        <f aca="false">IFERROR(CHOOSE(MATCH(INDEX(時間ごとの判定!$AN$3:$AN$1850,1552),{"利用可","両方停止","運転がそろわない","判定不能"},0),"○","停","×","－"),"")</f>
        <v>○</v>
      </c>
      <c r="BQ68" s="35" t="str">
        <f aca="false">IFERROR(CHOOSE(MATCH(INDEX(時間ごとの判定!$AN$3:$AN$1850,1553),{"利用可","両方停止","運転がそろわない","判定不能"},0),"○","停","×","－"),"")</f>
        <v>○</v>
      </c>
      <c r="BR68" s="35" t="str">
        <f aca="false">IFERROR(CHOOSE(MATCH(INDEX(時間ごとの判定!$AN$3:$AN$1850,1554),{"利用可","両方停止","運転がそろわない","判定不能"},0),"○","停","×","－"),"")</f>
        <v>○</v>
      </c>
      <c r="BS68" s="35" t="str">
        <f aca="false">IFERROR(CHOOSE(MATCH(INDEX(時間ごとの判定!$AN$3:$AN$1850,1555),{"利用可","両方停止","運転がそろわない","判定不能"},0),"○","停","×","－"),"")</f>
        <v>×</v>
      </c>
      <c r="BT68" s="35" t="str">
        <f aca="false">IFERROR(CHOOSE(MATCH(INDEX(時間ごとの判定!$AN$3:$AN$1850,1556),{"利用可","両方停止","運転がそろわない","判定不能"},0),"○","停","×","－"),"")</f>
        <v>×</v>
      </c>
      <c r="BU68" s="35" t="str">
        <f aca="false">IFERROR(CHOOSE(MATCH(INDEX(時間ごとの判定!$AN$3:$AN$1850,1557),{"利用可","両方停止","運転がそろわない","判定不能"},0),"○","停","×","－"),"")</f>
        <v>×</v>
      </c>
      <c r="BV68" s="35" t="str">
        <f aca="false">IFERROR(CHOOSE(MATCH(INDEX(時間ごとの判定!$AN$3:$AN$1850,1558),{"利用可","両方停止","運転がそろわない","判定不能"},0),"○","停","×","－"),"")</f>
        <v>停</v>
      </c>
      <c r="BW68" s="35" t="str">
        <f aca="false">IFERROR(CHOOSE(MATCH(INDEX(時間ごとの判定!$AN$3:$AN$1850,1559),{"利用可","両方停止","運転がそろわない","判定不能"},0),"○","停","×","－"),"")</f>
        <v>停</v>
      </c>
      <c r="BX68" s="35" t="str">
        <f aca="false">IFERROR(CHOOSE(MATCH(INDEX(時間ごとの判定!$AN$3:$AN$1850,1560),{"利用可","両方停止","運転がそろわない","判定不能"},0),"○","停","×","－"),"")</f>
        <v>停</v>
      </c>
    </row>
    <row r="69" customFormat="false" ht="15" hidden="false" customHeight="false" outlineLevel="0" collapsed="false">
      <c r="A69" s="33" t="n">
        <v>46297</v>
      </c>
      <c r="B69" s="34" t="s">
        <v>62</v>
      </c>
      <c r="C69" s="35" t="str">
        <f aca="false">IFERROR(CHOOSE(MATCH(INDEX(時間ごとの判定!$AH$3:$AH$1850,1561),{"利用可","両方停止","運転がそろわない","判定不能"},0),"○","停","×","－"),"")</f>
        <v>停</v>
      </c>
      <c r="D69" s="35" t="str">
        <f aca="false">IFERROR(CHOOSE(MATCH(INDEX(時間ごとの判定!$AH$3:$AH$1850,1562),{"利用可","両方停止","運転がそろわない","判定不能"},0),"○","停","×","－"),"")</f>
        <v>停</v>
      </c>
      <c r="E69" s="35" t="str">
        <f aca="false">IFERROR(CHOOSE(MATCH(INDEX(時間ごとの判定!$AH$3:$AH$1850,1563),{"利用可","両方停止","運転がそろわない","判定不能"},0),"○","停","×","－"),"")</f>
        <v>停</v>
      </c>
      <c r="F69" s="35" t="str">
        <f aca="false">IFERROR(CHOOSE(MATCH(INDEX(時間ごとの判定!$AH$3:$AH$1850,1564),{"利用可","両方停止","運転がそろわない","判定不能"},0),"○","停","×","－"),"")</f>
        <v>停</v>
      </c>
      <c r="G69" s="35" t="str">
        <f aca="false">IFERROR(CHOOSE(MATCH(INDEX(時間ごとの判定!$AH$3:$AH$1850,1565),{"利用可","両方停止","運転がそろわない","判定不能"},0),"○","停","×","－"),"")</f>
        <v>停</v>
      </c>
      <c r="H69" s="35" t="str">
        <f aca="false">IFERROR(CHOOSE(MATCH(INDEX(時間ごとの判定!$AH$3:$AH$1850,1566),{"利用可","両方停止","運転がそろわない","判定不能"},0),"○","停","×","－"),"")</f>
        <v>停</v>
      </c>
      <c r="I69" s="35" t="str">
        <f aca="false">IFERROR(CHOOSE(MATCH(INDEX(時間ごとの判定!$AH$3:$AH$1850,1567),{"利用可","両方停止","運転がそろわない","判定不能"},0),"○","停","×","－"),"")</f>
        <v>停</v>
      </c>
      <c r="J69" s="35" t="str">
        <f aca="false">IFERROR(CHOOSE(MATCH(INDEX(時間ごとの判定!$AH$3:$AH$1850,1568),{"利用可","両方停止","運転がそろわない","判定不能"},0),"○","停","×","－"),"")</f>
        <v>停</v>
      </c>
      <c r="K69" s="35" t="str">
        <f aca="false">IFERROR(CHOOSE(MATCH(INDEX(時間ごとの判定!$AH$3:$AH$1850,1569),{"利用可","両方停止","運転がそろわない","判定不能"},0),"○","停","×","－"),"")</f>
        <v>停</v>
      </c>
      <c r="L69" s="35" t="str">
        <f aca="false">IFERROR(CHOOSE(MATCH(INDEX(時間ごとの判定!$AH$3:$AH$1850,1570),{"利用可","両方停止","運転がそろわない","判定不能"},0),"○","停","×","－"),"")</f>
        <v>×</v>
      </c>
      <c r="M69" s="35" t="str">
        <f aca="false">IFERROR(CHOOSE(MATCH(INDEX(時間ごとの判定!$AH$3:$AH$1850,1571),{"利用可","両方停止","運転がそろわない","判定不能"},0),"○","停","×","－"),"")</f>
        <v>×</v>
      </c>
      <c r="N69" s="35" t="str">
        <f aca="false">IFERROR(CHOOSE(MATCH(INDEX(時間ごとの判定!$AH$3:$AH$1850,1572),{"利用可","両方停止","運転がそろわない","判定不能"},0),"○","停","×","－"),"")</f>
        <v>×</v>
      </c>
      <c r="O69" s="35" t="str">
        <f aca="false">IFERROR(CHOOSE(MATCH(INDEX(時間ごとの判定!$AH$3:$AH$1850,1573),{"利用可","両方停止","運転がそろわない","判定不能"},0),"○","停","×","－"),"")</f>
        <v>×</v>
      </c>
      <c r="P69" s="35" t="str">
        <f aca="false">IFERROR(CHOOSE(MATCH(INDEX(時間ごとの判定!$AH$3:$AH$1850,1574),{"利用可","両方停止","運転がそろわない","判定不能"},0),"○","停","×","－"),"")</f>
        <v>×</v>
      </c>
      <c r="Q69" s="35" t="str">
        <f aca="false">IFERROR(CHOOSE(MATCH(INDEX(時間ごとの判定!$AH$3:$AH$1850,1575),{"利用可","両方停止","運転がそろわない","判定不能"},0),"○","停","×","－"),"")</f>
        <v>×</v>
      </c>
      <c r="R69" s="35" t="str">
        <f aca="false">IFERROR(CHOOSE(MATCH(INDEX(時間ごとの判定!$AH$3:$AH$1850,1576),{"利用可","両方停止","運転がそろわない","判定不能"},0),"○","停","×","－"),"")</f>
        <v>×</v>
      </c>
      <c r="S69" s="35" t="str">
        <f aca="false">IFERROR(CHOOSE(MATCH(INDEX(時間ごとの判定!$AH$3:$AH$1850,1577),{"利用可","両方停止","運転がそろわない","判定不能"},0),"○","停","×","－"),"")</f>
        <v>×</v>
      </c>
      <c r="T69" s="35" t="str">
        <f aca="false">IFERROR(CHOOSE(MATCH(INDEX(時間ごとの判定!$AH$3:$AH$1850,1578),{"利用可","両方停止","運転がそろわない","判定不能"},0),"○","停","×","－"),"")</f>
        <v>×</v>
      </c>
      <c r="U69" s="35" t="str">
        <f aca="false">IFERROR(CHOOSE(MATCH(INDEX(時間ごとの判定!$AH$3:$AH$1850,1579),{"利用可","両方停止","運転がそろわない","判定不能"},0),"○","停","×","－"),"")</f>
        <v>×</v>
      </c>
      <c r="V69" s="35" t="str">
        <f aca="false">IFERROR(CHOOSE(MATCH(INDEX(時間ごとの判定!$AH$3:$AH$1850,1580),{"利用可","両方停止","運転がそろわない","判定不能"},0),"○","停","×","－"),"")</f>
        <v>×</v>
      </c>
      <c r="W69" s="35" t="str">
        <f aca="false">IFERROR(CHOOSE(MATCH(INDEX(時間ごとの判定!$AH$3:$AH$1850,1581),{"利用可","両方停止","運転がそろわない","判定不能"},0),"○","停","×","－"),"")</f>
        <v>×</v>
      </c>
      <c r="X69" s="35" t="str">
        <f aca="false">IFERROR(CHOOSE(MATCH(INDEX(時間ごとの判定!$AH$3:$AH$1850,1582),{"利用可","両方停止","運転がそろわない","判定不能"},0),"○","停","×","－"),"")</f>
        <v>停</v>
      </c>
      <c r="Y69" s="35" t="str">
        <f aca="false">IFERROR(CHOOSE(MATCH(INDEX(時間ごとの判定!$AH$3:$AH$1850,1583),{"利用可","両方停止","運転がそろわない","判定不能"},0),"○","停","×","－"),"")</f>
        <v>停</v>
      </c>
      <c r="Z69" s="35" t="str">
        <f aca="false">IFERROR(CHOOSE(MATCH(INDEX(時間ごとの判定!$AH$3:$AH$1850,1584),{"利用可","両方停止","運転がそろわない","判定不能"},0),"○","停","×","－"),"")</f>
        <v>停</v>
      </c>
      <c r="AA69" s="35"/>
      <c r="AB69" s="35" t="str">
        <f aca="false">IFERROR(CHOOSE(MATCH(INDEX(時間ごとの判定!$AK$3:$AK$1850,1561),{"利用可","両方停止","運転がそろわない","判定不能"},0),"○","停","×","－"),"")</f>
        <v>停</v>
      </c>
      <c r="AC69" s="35" t="str">
        <f aca="false">IFERROR(CHOOSE(MATCH(INDEX(時間ごとの判定!$AK$3:$AK$1850,1562),{"利用可","両方停止","運転がそろわない","判定不能"},0),"○","停","×","－"),"")</f>
        <v>停</v>
      </c>
      <c r="AD69" s="35" t="str">
        <f aca="false">IFERROR(CHOOSE(MATCH(INDEX(時間ごとの判定!$AK$3:$AK$1850,1563),{"利用可","両方停止","運転がそろわない","判定不能"},0),"○","停","×","－"),"")</f>
        <v>停</v>
      </c>
      <c r="AE69" s="35" t="str">
        <f aca="false">IFERROR(CHOOSE(MATCH(INDEX(時間ごとの判定!$AK$3:$AK$1850,1564),{"利用可","両方停止","運転がそろわない","判定不能"},0),"○","停","×","－"),"")</f>
        <v>停</v>
      </c>
      <c r="AF69" s="35" t="str">
        <f aca="false">IFERROR(CHOOSE(MATCH(INDEX(時間ごとの判定!$AK$3:$AK$1850,1565),{"利用可","両方停止","運転がそろわない","判定不能"},0),"○","停","×","－"),"")</f>
        <v>停</v>
      </c>
      <c r="AG69" s="35" t="str">
        <f aca="false">IFERROR(CHOOSE(MATCH(INDEX(時間ごとの判定!$AK$3:$AK$1850,1566),{"利用可","両方停止","運転がそろわない","判定不能"},0),"○","停","×","－"),"")</f>
        <v>停</v>
      </c>
      <c r="AH69" s="35" t="str">
        <f aca="false">IFERROR(CHOOSE(MATCH(INDEX(時間ごとの判定!$AK$3:$AK$1850,1567),{"利用可","両方停止","運転がそろわない","判定不能"},0),"○","停","×","－"),"")</f>
        <v>停</v>
      </c>
      <c r="AI69" s="35" t="str">
        <f aca="false">IFERROR(CHOOSE(MATCH(INDEX(時間ごとの判定!$AK$3:$AK$1850,1568),{"利用可","両方停止","運転がそろわない","判定不能"},0),"○","停","×","－"),"")</f>
        <v>×</v>
      </c>
      <c r="AJ69" s="35" t="str">
        <f aca="false">IFERROR(CHOOSE(MATCH(INDEX(時間ごとの判定!$AK$3:$AK$1850,1569),{"利用可","両方停止","運転がそろわない","判定不能"},0),"○","停","×","－"),"")</f>
        <v>停</v>
      </c>
      <c r="AK69" s="35" t="str">
        <f aca="false">IFERROR(CHOOSE(MATCH(INDEX(時間ごとの判定!$AK$3:$AK$1850,1570),{"利用可","両方停止","運転がそろわない","判定不能"},0),"○","停","×","－"),"")</f>
        <v>×</v>
      </c>
      <c r="AL69" s="35" t="str">
        <f aca="false">IFERROR(CHOOSE(MATCH(INDEX(時間ごとの判定!$AK$3:$AK$1850,1571),{"利用可","両方停止","運転がそろわない","判定不能"},0),"○","停","×","－"),"")</f>
        <v>×</v>
      </c>
      <c r="AM69" s="35" t="str">
        <f aca="false">IFERROR(CHOOSE(MATCH(INDEX(時間ごとの判定!$AK$3:$AK$1850,1572),{"利用可","両方停止","運転がそろわない","判定不能"},0),"○","停","×","－"),"")</f>
        <v>×</v>
      </c>
      <c r="AN69" s="35" t="str">
        <f aca="false">IFERROR(CHOOSE(MATCH(INDEX(時間ごとの判定!$AK$3:$AK$1850,1573),{"利用可","両方停止","運転がそろわない","判定不能"},0),"○","停","×","－"),"")</f>
        <v>○</v>
      </c>
      <c r="AO69" s="35" t="str">
        <f aca="false">IFERROR(CHOOSE(MATCH(INDEX(時間ごとの判定!$AK$3:$AK$1850,1574),{"利用可","両方停止","運転がそろわない","判定不能"},0),"○","停","×","－"),"")</f>
        <v>○</v>
      </c>
      <c r="AP69" s="35" t="str">
        <f aca="false">IFERROR(CHOOSE(MATCH(INDEX(時間ごとの判定!$AK$3:$AK$1850,1575),{"利用可","両方停止","運転がそろわない","判定不能"},0),"○","停","×","－"),"")</f>
        <v>×</v>
      </c>
      <c r="AQ69" s="35" t="str">
        <f aca="false">IFERROR(CHOOSE(MATCH(INDEX(時間ごとの判定!$AK$3:$AK$1850,1576),{"利用可","両方停止","運転がそろわない","判定不能"},0),"○","停","×","－"),"")</f>
        <v>×</v>
      </c>
      <c r="AR69" s="35" t="str">
        <f aca="false">IFERROR(CHOOSE(MATCH(INDEX(時間ごとの判定!$AK$3:$AK$1850,1577),{"利用可","両方停止","運転がそろわない","判定不能"},0),"○","停","×","－"),"")</f>
        <v>×</v>
      </c>
      <c r="AS69" s="35" t="str">
        <f aca="false">IFERROR(CHOOSE(MATCH(INDEX(時間ごとの判定!$AK$3:$AK$1850,1578),{"利用可","両方停止","運転がそろわない","判定不能"},0),"○","停","×","－"),"")</f>
        <v>×</v>
      </c>
      <c r="AT69" s="35" t="str">
        <f aca="false">IFERROR(CHOOSE(MATCH(INDEX(時間ごとの判定!$AK$3:$AK$1850,1579),{"利用可","両方停止","運転がそろわない","判定不能"},0),"○","停","×","－"),"")</f>
        <v>×</v>
      </c>
      <c r="AU69" s="35" t="str">
        <f aca="false">IFERROR(CHOOSE(MATCH(INDEX(時間ごとの判定!$AK$3:$AK$1850,1580),{"利用可","両方停止","運転がそろわない","判定不能"},0),"○","停","×","－"),"")</f>
        <v>×</v>
      </c>
      <c r="AV69" s="35" t="str">
        <f aca="false">IFERROR(CHOOSE(MATCH(INDEX(時間ごとの判定!$AK$3:$AK$1850,1581),{"利用可","両方停止","運転がそろわない","判定不能"},0),"○","停","×","－"),"")</f>
        <v>停</v>
      </c>
      <c r="AW69" s="35" t="str">
        <f aca="false">IFERROR(CHOOSE(MATCH(INDEX(時間ごとの判定!$AK$3:$AK$1850,1582),{"利用可","両方停止","運転がそろわない","判定不能"},0),"○","停","×","－"),"")</f>
        <v>×</v>
      </c>
      <c r="AX69" s="35" t="str">
        <f aca="false">IFERROR(CHOOSE(MATCH(INDEX(時間ごとの判定!$AK$3:$AK$1850,1583),{"利用可","両方停止","運転がそろわない","判定不能"},0),"○","停","×","－"),"")</f>
        <v>停</v>
      </c>
      <c r="AY69" s="35" t="str">
        <f aca="false">IFERROR(CHOOSE(MATCH(INDEX(時間ごとの判定!$AK$3:$AK$1850,1584),{"利用可","両方停止","運転がそろわない","判定不能"},0),"○","停","×","－"),"")</f>
        <v>停</v>
      </c>
      <c r="AZ69" s="35"/>
      <c r="BA69" s="35" t="str">
        <f aca="false">IFERROR(CHOOSE(MATCH(INDEX(時間ごとの判定!$AN$3:$AN$1850,1561),{"利用可","両方停止","運転がそろわない","判定不能"},0),"○","停","×","－"),"")</f>
        <v>停</v>
      </c>
      <c r="BB69" s="35" t="str">
        <f aca="false">IFERROR(CHOOSE(MATCH(INDEX(時間ごとの判定!$AN$3:$AN$1850,1562),{"利用可","両方停止","運転がそろわない","判定不能"},0),"○","停","×","－"),"")</f>
        <v>停</v>
      </c>
      <c r="BC69" s="35" t="str">
        <f aca="false">IFERROR(CHOOSE(MATCH(INDEX(時間ごとの判定!$AN$3:$AN$1850,1563),{"利用可","両方停止","運転がそろわない","判定不能"},0),"○","停","×","－"),"")</f>
        <v>停</v>
      </c>
      <c r="BD69" s="35" t="str">
        <f aca="false">IFERROR(CHOOSE(MATCH(INDEX(時間ごとの判定!$AN$3:$AN$1850,1564),{"利用可","両方停止","運転がそろわない","判定不能"},0),"○","停","×","－"),"")</f>
        <v>停</v>
      </c>
      <c r="BE69" s="35" t="str">
        <f aca="false">IFERROR(CHOOSE(MATCH(INDEX(時間ごとの判定!$AN$3:$AN$1850,1565),{"利用可","両方停止","運転がそろわない","判定不能"},0),"○","停","×","－"),"")</f>
        <v>停</v>
      </c>
      <c r="BF69" s="35" t="str">
        <f aca="false">IFERROR(CHOOSE(MATCH(INDEX(時間ごとの判定!$AN$3:$AN$1850,1566),{"利用可","両方停止","運転がそろわない","判定不能"},0),"○","停","×","－"),"")</f>
        <v>停</v>
      </c>
      <c r="BG69" s="35" t="str">
        <f aca="false">IFERROR(CHOOSE(MATCH(INDEX(時間ごとの判定!$AN$3:$AN$1850,1567),{"利用可","両方停止","運転がそろわない","判定不能"},0),"○","停","×","－"),"")</f>
        <v>停</v>
      </c>
      <c r="BH69" s="35" t="str">
        <f aca="false">IFERROR(CHOOSE(MATCH(INDEX(時間ごとの判定!$AN$3:$AN$1850,1568),{"利用可","両方停止","運転がそろわない","判定不能"},0),"○","停","×","－"),"")</f>
        <v>停</v>
      </c>
      <c r="BI69" s="35" t="str">
        <f aca="false">IFERROR(CHOOSE(MATCH(INDEX(時間ごとの判定!$AN$3:$AN$1850,1569),{"利用可","両方停止","運転がそろわない","判定不能"},0),"○","停","×","－"),"")</f>
        <v>×</v>
      </c>
      <c r="BJ69" s="35" t="str">
        <f aca="false">IFERROR(CHOOSE(MATCH(INDEX(時間ごとの判定!$AN$3:$AN$1850,1570),{"利用可","両方停止","運転がそろわない","判定不能"},0),"○","停","×","－"),"")</f>
        <v>×</v>
      </c>
      <c r="BK69" s="35" t="str">
        <f aca="false">IFERROR(CHOOSE(MATCH(INDEX(時間ごとの判定!$AN$3:$AN$1850,1571),{"利用可","両方停止","運転がそろわない","判定不能"},0),"○","停","×","－"),"")</f>
        <v>×</v>
      </c>
      <c r="BL69" s="35" t="str">
        <f aca="false">IFERROR(CHOOSE(MATCH(INDEX(時間ごとの判定!$AN$3:$AN$1850,1572),{"利用可","両方停止","運転がそろわない","判定不能"},0),"○","停","×","－"),"")</f>
        <v>×</v>
      </c>
      <c r="BM69" s="35" t="str">
        <f aca="false">IFERROR(CHOOSE(MATCH(INDEX(時間ごとの判定!$AN$3:$AN$1850,1573),{"利用可","両方停止","運転がそろわない","判定不能"},0),"○","停","×","－"),"")</f>
        <v>×</v>
      </c>
      <c r="BN69" s="35" t="str">
        <f aca="false">IFERROR(CHOOSE(MATCH(INDEX(時間ごとの判定!$AN$3:$AN$1850,1574),{"利用可","両方停止","運転がそろわない","判定不能"},0),"○","停","×","－"),"")</f>
        <v>○</v>
      </c>
      <c r="BO69" s="35" t="str">
        <f aca="false">IFERROR(CHOOSE(MATCH(INDEX(時間ごとの判定!$AN$3:$AN$1850,1575),{"利用可","両方停止","運転がそろわない","判定不能"},0),"○","停","×","－"),"")</f>
        <v>×</v>
      </c>
      <c r="BP69" s="35" t="str">
        <f aca="false">IFERROR(CHOOSE(MATCH(INDEX(時間ごとの判定!$AN$3:$AN$1850,1576),{"利用可","両方停止","運転がそろわない","判定不能"},0),"○","停","×","－"),"")</f>
        <v>×</v>
      </c>
      <c r="BQ69" s="35" t="str">
        <f aca="false">IFERROR(CHOOSE(MATCH(INDEX(時間ごとの判定!$AN$3:$AN$1850,1577),{"利用可","両方停止","運転がそろわない","判定不能"},0),"○","停","×","－"),"")</f>
        <v>○</v>
      </c>
      <c r="BR69" s="35" t="str">
        <f aca="false">IFERROR(CHOOSE(MATCH(INDEX(時間ごとの判定!$AN$3:$AN$1850,1578),{"利用可","両方停止","運転がそろわない","判定不能"},0),"○","停","×","－"),"")</f>
        <v>×</v>
      </c>
      <c r="BS69" s="35" t="str">
        <f aca="false">IFERROR(CHOOSE(MATCH(INDEX(時間ごとの判定!$AN$3:$AN$1850,1579),{"利用可","両方停止","運転がそろわない","判定不能"},0),"○","停","×","－"),"")</f>
        <v>停</v>
      </c>
      <c r="BT69" s="35" t="str">
        <f aca="false">IFERROR(CHOOSE(MATCH(INDEX(時間ごとの判定!$AN$3:$AN$1850,1580),{"利用可","両方停止","運転がそろわない","判定不能"},0),"○","停","×","－"),"")</f>
        <v>×</v>
      </c>
      <c r="BU69" s="35" t="str">
        <f aca="false">IFERROR(CHOOSE(MATCH(INDEX(時間ごとの判定!$AN$3:$AN$1850,1581),{"利用可","両方停止","運転がそろわない","判定不能"},0),"○","停","×","－"),"")</f>
        <v>×</v>
      </c>
      <c r="BV69" s="35" t="str">
        <f aca="false">IFERROR(CHOOSE(MATCH(INDEX(時間ごとの判定!$AN$3:$AN$1850,1582),{"利用可","両方停止","運転がそろわない","判定不能"},0),"○","停","×","－"),"")</f>
        <v>×</v>
      </c>
      <c r="BW69" s="35" t="str">
        <f aca="false">IFERROR(CHOOSE(MATCH(INDEX(時間ごとの判定!$AN$3:$AN$1850,1583),{"利用可","両方停止","運転がそろわない","判定不能"},0),"○","停","×","－"),"")</f>
        <v>停</v>
      </c>
      <c r="BX69" s="35" t="str">
        <f aca="false">IFERROR(CHOOSE(MATCH(INDEX(時間ごとの判定!$AN$3:$AN$1850,1584),{"利用可","両方停止","運転がそろわない","判定不能"},0),"○","停","×","－"),"")</f>
        <v>停</v>
      </c>
    </row>
    <row r="70" customFormat="false" ht="15" hidden="false" customHeight="false" outlineLevel="0" collapsed="false">
      <c r="A70" s="33" t="n">
        <v>46298</v>
      </c>
      <c r="B70" s="36" t="s">
        <v>63</v>
      </c>
      <c r="C70" s="35" t="str">
        <f aca="false">IFERROR(CHOOSE(MATCH(INDEX(時間ごとの判定!$AH$3:$AH$1850,1585),{"利用可","両方停止","運転がそろわない","判定不能"},0),"○","停","×","－"),"")</f>
        <v>停</v>
      </c>
      <c r="D70" s="35" t="str">
        <f aca="false">IFERROR(CHOOSE(MATCH(INDEX(時間ごとの判定!$AH$3:$AH$1850,1586),{"利用可","両方停止","運転がそろわない","判定不能"},0),"○","停","×","－"),"")</f>
        <v>停</v>
      </c>
      <c r="E70" s="35" t="str">
        <f aca="false">IFERROR(CHOOSE(MATCH(INDEX(時間ごとの判定!$AH$3:$AH$1850,1587),{"利用可","両方停止","運転がそろわない","判定不能"},0),"○","停","×","－"),"")</f>
        <v>停</v>
      </c>
      <c r="F70" s="35" t="str">
        <f aca="false">IFERROR(CHOOSE(MATCH(INDEX(時間ごとの判定!$AH$3:$AH$1850,1588),{"利用可","両方停止","運転がそろわない","判定不能"},0),"○","停","×","－"),"")</f>
        <v>停</v>
      </c>
      <c r="G70" s="35" t="str">
        <f aca="false">IFERROR(CHOOSE(MATCH(INDEX(時間ごとの判定!$AH$3:$AH$1850,1589),{"利用可","両方停止","運転がそろわない","判定不能"},0),"○","停","×","－"),"")</f>
        <v>停</v>
      </c>
      <c r="H70" s="35" t="str">
        <f aca="false">IFERROR(CHOOSE(MATCH(INDEX(時間ごとの判定!$AH$3:$AH$1850,1590),{"利用可","両方停止","運転がそろわない","判定不能"},0),"○","停","×","－"),"")</f>
        <v>停</v>
      </c>
      <c r="I70" s="35" t="str">
        <f aca="false">IFERROR(CHOOSE(MATCH(INDEX(時間ごとの判定!$AH$3:$AH$1850,1591),{"利用可","両方停止","運転がそろわない","判定不能"},0),"○","停","×","－"),"")</f>
        <v>停</v>
      </c>
      <c r="J70" s="35" t="str">
        <f aca="false">IFERROR(CHOOSE(MATCH(INDEX(時間ごとの判定!$AH$3:$AH$1850,1592),{"利用可","両方停止","運転がそろわない","判定不能"},0),"○","停","×","－"),"")</f>
        <v>停</v>
      </c>
      <c r="K70" s="35" t="str">
        <f aca="false">IFERROR(CHOOSE(MATCH(INDEX(時間ごとの判定!$AH$3:$AH$1850,1593),{"利用可","両方停止","運転がそろわない","判定不能"},0),"○","停","×","－"),"")</f>
        <v>○</v>
      </c>
      <c r="L70" s="35" t="str">
        <f aca="false">IFERROR(CHOOSE(MATCH(INDEX(時間ごとの判定!$AH$3:$AH$1850,1594),{"利用可","両方停止","運転がそろわない","判定不能"},0),"○","停","×","－"),"")</f>
        <v>○</v>
      </c>
      <c r="M70" s="35" t="str">
        <f aca="false">IFERROR(CHOOSE(MATCH(INDEX(時間ごとの判定!$AH$3:$AH$1850,1595),{"利用可","両方停止","運転がそろわない","判定不能"},0),"○","停","×","－"),"")</f>
        <v>○</v>
      </c>
      <c r="N70" s="35" t="str">
        <f aca="false">IFERROR(CHOOSE(MATCH(INDEX(時間ごとの判定!$AH$3:$AH$1850,1596),{"利用可","両方停止","運転がそろわない","判定不能"},0),"○","停","×","－"),"")</f>
        <v>○</v>
      </c>
      <c r="O70" s="35" t="str">
        <f aca="false">IFERROR(CHOOSE(MATCH(INDEX(時間ごとの判定!$AH$3:$AH$1850,1597),{"利用可","両方停止","運転がそろわない","判定不能"},0),"○","停","×","－"),"")</f>
        <v>×</v>
      </c>
      <c r="P70" s="35" t="str">
        <f aca="false">IFERROR(CHOOSE(MATCH(INDEX(時間ごとの判定!$AH$3:$AH$1850,1598),{"利用可","両方停止","運転がそろわない","判定不能"},0),"○","停","×","－"),"")</f>
        <v>×</v>
      </c>
      <c r="Q70" s="35" t="str">
        <f aca="false">IFERROR(CHOOSE(MATCH(INDEX(時間ごとの判定!$AH$3:$AH$1850,1599),{"利用可","両方停止","運転がそろわない","判定不能"},0),"○","停","×","－"),"")</f>
        <v>×</v>
      </c>
      <c r="R70" s="35" t="str">
        <f aca="false">IFERROR(CHOOSE(MATCH(INDEX(時間ごとの判定!$AH$3:$AH$1850,1600),{"利用可","両方停止","運転がそろわない","判定不能"},0),"○","停","×","－"),"")</f>
        <v>×</v>
      </c>
      <c r="S70" s="35" t="str">
        <f aca="false">IFERROR(CHOOSE(MATCH(INDEX(時間ごとの判定!$AH$3:$AH$1850,1601),{"利用可","両方停止","運転がそろわない","判定不能"},0),"○","停","×","－"),"")</f>
        <v>×</v>
      </c>
      <c r="T70" s="35" t="str">
        <f aca="false">IFERROR(CHOOSE(MATCH(INDEX(時間ごとの判定!$AH$3:$AH$1850,1602),{"利用可","両方停止","運転がそろわない","判定不能"},0),"○","停","×","－"),"")</f>
        <v>×</v>
      </c>
      <c r="U70" s="35" t="str">
        <f aca="false">IFERROR(CHOOSE(MATCH(INDEX(時間ごとの判定!$AH$3:$AH$1850,1603),{"利用可","両方停止","運転がそろわない","判定不能"},0),"○","停","×","－"),"")</f>
        <v>×</v>
      </c>
      <c r="V70" s="35" t="str">
        <f aca="false">IFERROR(CHOOSE(MATCH(INDEX(時間ごとの判定!$AH$3:$AH$1850,1604),{"利用可","両方停止","運転がそろわない","判定不能"},0),"○","停","×","－"),"")</f>
        <v>×</v>
      </c>
      <c r="W70" s="35" t="str">
        <f aca="false">IFERROR(CHOOSE(MATCH(INDEX(時間ごとの判定!$AH$3:$AH$1850,1605),{"利用可","両方停止","運転がそろわない","判定不能"},0),"○","停","×","－"),"")</f>
        <v>×</v>
      </c>
      <c r="X70" s="35" t="str">
        <f aca="false">IFERROR(CHOOSE(MATCH(INDEX(時間ごとの判定!$AH$3:$AH$1850,1606),{"利用可","両方停止","運転がそろわない","判定不能"},0),"○","停","×","－"),"")</f>
        <v>停</v>
      </c>
      <c r="Y70" s="35" t="str">
        <f aca="false">IFERROR(CHOOSE(MATCH(INDEX(時間ごとの判定!$AH$3:$AH$1850,1607),{"利用可","両方停止","運転がそろわない","判定不能"},0),"○","停","×","－"),"")</f>
        <v>停</v>
      </c>
      <c r="Z70" s="35" t="str">
        <f aca="false">IFERROR(CHOOSE(MATCH(INDEX(時間ごとの判定!$AH$3:$AH$1850,1608),{"利用可","両方停止","運転がそろわない","判定不能"},0),"○","停","×","－"),"")</f>
        <v>停</v>
      </c>
      <c r="AA70" s="35"/>
      <c r="AB70" s="35" t="str">
        <f aca="false">IFERROR(CHOOSE(MATCH(INDEX(時間ごとの判定!$AK$3:$AK$1850,1585),{"利用可","両方停止","運転がそろわない","判定不能"},0),"○","停","×","－"),"")</f>
        <v>停</v>
      </c>
      <c r="AC70" s="35" t="str">
        <f aca="false">IFERROR(CHOOSE(MATCH(INDEX(時間ごとの判定!$AK$3:$AK$1850,1586),{"利用可","両方停止","運転がそろわない","判定不能"},0),"○","停","×","－"),"")</f>
        <v>停</v>
      </c>
      <c r="AD70" s="35" t="str">
        <f aca="false">IFERROR(CHOOSE(MATCH(INDEX(時間ごとの判定!$AK$3:$AK$1850,1587),{"利用可","両方停止","運転がそろわない","判定不能"},0),"○","停","×","－"),"")</f>
        <v>停</v>
      </c>
      <c r="AE70" s="35" t="str">
        <f aca="false">IFERROR(CHOOSE(MATCH(INDEX(時間ごとの判定!$AK$3:$AK$1850,1588),{"利用可","両方停止","運転がそろわない","判定不能"},0),"○","停","×","－"),"")</f>
        <v>停</v>
      </c>
      <c r="AF70" s="35" t="str">
        <f aca="false">IFERROR(CHOOSE(MATCH(INDEX(時間ごとの判定!$AK$3:$AK$1850,1589),{"利用可","両方停止","運転がそろわない","判定不能"},0),"○","停","×","－"),"")</f>
        <v>停</v>
      </c>
      <c r="AG70" s="35" t="str">
        <f aca="false">IFERROR(CHOOSE(MATCH(INDEX(時間ごとの判定!$AK$3:$AK$1850,1590),{"利用可","両方停止","運転がそろわない","判定不能"},0),"○","停","×","－"),"")</f>
        <v>停</v>
      </c>
      <c r="AH70" s="35" t="str">
        <f aca="false">IFERROR(CHOOSE(MATCH(INDEX(時間ごとの判定!$AK$3:$AK$1850,1591),{"利用可","両方停止","運転がそろわない","判定不能"},0),"○","停","×","－"),"")</f>
        <v>停</v>
      </c>
      <c r="AI70" s="35" t="str">
        <f aca="false">IFERROR(CHOOSE(MATCH(INDEX(時間ごとの判定!$AK$3:$AK$1850,1592),{"利用可","両方停止","運転がそろわない","判定不能"},0),"○","停","×","－"),"")</f>
        <v>停</v>
      </c>
      <c r="AJ70" s="35" t="str">
        <f aca="false">IFERROR(CHOOSE(MATCH(INDEX(時間ごとの判定!$AK$3:$AK$1850,1593),{"利用可","両方停止","運転がそろわない","判定不能"},0),"○","停","×","－"),"")</f>
        <v>×</v>
      </c>
      <c r="AK70" s="35" t="str">
        <f aca="false">IFERROR(CHOOSE(MATCH(INDEX(時間ごとの判定!$AK$3:$AK$1850,1594),{"利用可","両方停止","運転がそろわない","判定不能"},0),"○","停","×","－"),"")</f>
        <v>×</v>
      </c>
      <c r="AL70" s="35" t="str">
        <f aca="false">IFERROR(CHOOSE(MATCH(INDEX(時間ごとの判定!$AK$3:$AK$1850,1595),{"利用可","両方停止","運転がそろわない","判定不能"},0),"○","停","×","－"),"")</f>
        <v>○</v>
      </c>
      <c r="AM70" s="35" t="str">
        <f aca="false">IFERROR(CHOOSE(MATCH(INDEX(時間ごとの判定!$AK$3:$AK$1850,1596),{"利用可","両方停止","運転がそろわない","判定不能"},0),"○","停","×","－"),"")</f>
        <v>○</v>
      </c>
      <c r="AN70" s="35" t="str">
        <f aca="false">IFERROR(CHOOSE(MATCH(INDEX(時間ごとの判定!$AK$3:$AK$1850,1597),{"利用可","両方停止","運転がそろわない","判定不能"},0),"○","停","×","－"),"")</f>
        <v>×</v>
      </c>
      <c r="AO70" s="35" t="str">
        <f aca="false">IFERROR(CHOOSE(MATCH(INDEX(時間ごとの判定!$AK$3:$AK$1850,1598),{"利用可","両方停止","運転がそろわない","判定不能"},0),"○","停","×","－"),"")</f>
        <v>×</v>
      </c>
      <c r="AP70" s="35" t="str">
        <f aca="false">IFERROR(CHOOSE(MATCH(INDEX(時間ごとの判定!$AK$3:$AK$1850,1599),{"利用可","両方停止","運転がそろわない","判定不能"},0),"○","停","×","－"),"")</f>
        <v>×</v>
      </c>
      <c r="AQ70" s="35" t="str">
        <f aca="false">IFERROR(CHOOSE(MATCH(INDEX(時間ごとの判定!$AK$3:$AK$1850,1600),{"利用可","両方停止","運転がそろわない","判定不能"},0),"○","停","×","－"),"")</f>
        <v>×</v>
      </c>
      <c r="AR70" s="35" t="str">
        <f aca="false">IFERROR(CHOOSE(MATCH(INDEX(時間ごとの判定!$AK$3:$AK$1850,1601),{"利用可","両方停止","運転がそろわない","判定不能"},0),"○","停","×","－"),"")</f>
        <v>×</v>
      </c>
      <c r="AS70" s="35" t="str">
        <f aca="false">IFERROR(CHOOSE(MATCH(INDEX(時間ごとの判定!$AK$3:$AK$1850,1602),{"利用可","両方停止","運転がそろわない","判定不能"},0),"○","停","×","－"),"")</f>
        <v>×</v>
      </c>
      <c r="AT70" s="35" t="str">
        <f aca="false">IFERROR(CHOOSE(MATCH(INDEX(時間ごとの判定!$AK$3:$AK$1850,1603),{"利用可","両方停止","運転がそろわない","判定不能"},0),"○","停","×","－"),"")</f>
        <v>×</v>
      </c>
      <c r="AU70" s="35" t="str">
        <f aca="false">IFERROR(CHOOSE(MATCH(INDEX(時間ごとの判定!$AK$3:$AK$1850,1604),{"利用可","両方停止","運転がそろわない","判定不能"},0),"○","停","×","－"),"")</f>
        <v>×</v>
      </c>
      <c r="AV70" s="35" t="str">
        <f aca="false">IFERROR(CHOOSE(MATCH(INDEX(時間ごとの判定!$AK$3:$AK$1850,1605),{"利用可","両方停止","運転がそろわない","判定不能"},0),"○","停","×","－"),"")</f>
        <v>×</v>
      </c>
      <c r="AW70" s="35" t="str">
        <f aca="false">IFERROR(CHOOSE(MATCH(INDEX(時間ごとの判定!$AK$3:$AK$1850,1606),{"利用可","両方停止","運転がそろわない","判定不能"},0),"○","停","×","－"),"")</f>
        <v>停</v>
      </c>
      <c r="AX70" s="35" t="str">
        <f aca="false">IFERROR(CHOOSE(MATCH(INDEX(時間ごとの判定!$AK$3:$AK$1850,1607),{"利用可","両方停止","運転がそろわない","判定不能"},0),"○","停","×","－"),"")</f>
        <v>停</v>
      </c>
      <c r="AY70" s="35" t="str">
        <f aca="false">IFERROR(CHOOSE(MATCH(INDEX(時間ごとの判定!$AK$3:$AK$1850,1608),{"利用可","両方停止","運転がそろわない","判定不能"},0),"○","停","×","－"),"")</f>
        <v>停</v>
      </c>
      <c r="AZ70" s="35"/>
      <c r="BA70" s="35" t="str">
        <f aca="false">IFERROR(CHOOSE(MATCH(INDEX(時間ごとの判定!$AN$3:$AN$1850,1585),{"利用可","両方停止","運転がそろわない","判定不能"},0),"○","停","×","－"),"")</f>
        <v>停</v>
      </c>
      <c r="BB70" s="35" t="str">
        <f aca="false">IFERROR(CHOOSE(MATCH(INDEX(時間ごとの判定!$AN$3:$AN$1850,1586),{"利用可","両方停止","運転がそろわない","判定不能"},0),"○","停","×","－"),"")</f>
        <v>停</v>
      </c>
      <c r="BC70" s="35" t="str">
        <f aca="false">IFERROR(CHOOSE(MATCH(INDEX(時間ごとの判定!$AN$3:$AN$1850,1587),{"利用可","両方停止","運転がそろわない","判定不能"},0),"○","停","×","－"),"")</f>
        <v>停</v>
      </c>
      <c r="BD70" s="35" t="str">
        <f aca="false">IFERROR(CHOOSE(MATCH(INDEX(時間ごとの判定!$AN$3:$AN$1850,1588),{"利用可","両方停止","運転がそろわない","判定不能"},0),"○","停","×","－"),"")</f>
        <v>停</v>
      </c>
      <c r="BE70" s="35" t="str">
        <f aca="false">IFERROR(CHOOSE(MATCH(INDEX(時間ごとの判定!$AN$3:$AN$1850,1589),{"利用可","両方停止","運転がそろわない","判定不能"},0),"○","停","×","－"),"")</f>
        <v>停</v>
      </c>
      <c r="BF70" s="35" t="str">
        <f aca="false">IFERROR(CHOOSE(MATCH(INDEX(時間ごとの判定!$AN$3:$AN$1850,1590),{"利用可","両方停止","運転がそろわない","判定不能"},0),"○","停","×","－"),"")</f>
        <v>停</v>
      </c>
      <c r="BG70" s="35" t="str">
        <f aca="false">IFERROR(CHOOSE(MATCH(INDEX(時間ごとの判定!$AN$3:$AN$1850,1591),{"利用可","両方停止","運転がそろわない","判定不能"},0),"○","停","×","－"),"")</f>
        <v>停</v>
      </c>
      <c r="BH70" s="35" t="str">
        <f aca="false">IFERROR(CHOOSE(MATCH(INDEX(時間ごとの判定!$AN$3:$AN$1850,1592),{"利用可","両方停止","運転がそろわない","判定不能"},0),"○","停","×","－"),"")</f>
        <v>停</v>
      </c>
      <c r="BI70" s="35" t="str">
        <f aca="false">IFERROR(CHOOSE(MATCH(INDEX(時間ごとの判定!$AN$3:$AN$1850,1593),{"利用可","両方停止","運転がそろわない","判定不能"},0),"○","停","×","－"),"")</f>
        <v>×</v>
      </c>
      <c r="BJ70" s="35" t="str">
        <f aca="false">IFERROR(CHOOSE(MATCH(INDEX(時間ごとの判定!$AN$3:$AN$1850,1594),{"利用可","両方停止","運転がそろわない","判定不能"},0),"○","停","×","－"),"")</f>
        <v>○</v>
      </c>
      <c r="BK70" s="35" t="str">
        <f aca="false">IFERROR(CHOOSE(MATCH(INDEX(時間ごとの判定!$AN$3:$AN$1850,1595),{"利用可","両方停止","運転がそろわない","判定不能"},0),"○","停","×","－"),"")</f>
        <v>○</v>
      </c>
      <c r="BL70" s="35" t="str">
        <f aca="false">IFERROR(CHOOSE(MATCH(INDEX(時間ごとの判定!$AN$3:$AN$1850,1596),{"利用可","両方停止","運転がそろわない","判定不能"},0),"○","停","×","－"),"")</f>
        <v>○</v>
      </c>
      <c r="BM70" s="35" t="str">
        <f aca="false">IFERROR(CHOOSE(MATCH(INDEX(時間ごとの判定!$AN$3:$AN$1850,1597),{"利用可","両方停止","運転がそろわない","判定不能"},0),"○","停","×","－"),"")</f>
        <v>○</v>
      </c>
      <c r="BN70" s="35" t="str">
        <f aca="false">IFERROR(CHOOSE(MATCH(INDEX(時間ごとの判定!$AN$3:$AN$1850,1598),{"利用可","両方停止","運転がそろわない","判定不能"},0),"○","停","×","－"),"")</f>
        <v>×</v>
      </c>
      <c r="BO70" s="35" t="str">
        <f aca="false">IFERROR(CHOOSE(MATCH(INDEX(時間ごとの判定!$AN$3:$AN$1850,1599),{"利用可","両方停止","運転がそろわない","判定不能"},0),"○","停","×","－"),"")</f>
        <v>×</v>
      </c>
      <c r="BP70" s="35" t="str">
        <f aca="false">IFERROR(CHOOSE(MATCH(INDEX(時間ごとの判定!$AN$3:$AN$1850,1600),{"利用可","両方停止","運転がそろわない","判定不能"},0),"○","停","×","－"),"")</f>
        <v>×</v>
      </c>
      <c r="BQ70" s="35" t="str">
        <f aca="false">IFERROR(CHOOSE(MATCH(INDEX(時間ごとの判定!$AN$3:$AN$1850,1601),{"利用可","両方停止","運転がそろわない","判定不能"},0),"○","停","×","－"),"")</f>
        <v>×</v>
      </c>
      <c r="BR70" s="35" t="str">
        <f aca="false">IFERROR(CHOOSE(MATCH(INDEX(時間ごとの判定!$AN$3:$AN$1850,1602),{"利用可","両方停止","運転がそろわない","判定不能"},0),"○","停","×","－"),"")</f>
        <v>停</v>
      </c>
      <c r="BS70" s="35" t="str">
        <f aca="false">IFERROR(CHOOSE(MATCH(INDEX(時間ごとの判定!$AN$3:$AN$1850,1603),{"利用可","両方停止","運転がそろわない","判定不能"},0),"○","停","×","－"),"")</f>
        <v>×</v>
      </c>
      <c r="BT70" s="35" t="str">
        <f aca="false">IFERROR(CHOOSE(MATCH(INDEX(時間ごとの判定!$AN$3:$AN$1850,1604),{"利用可","両方停止","運転がそろわない","判定不能"},0),"○","停","×","－"),"")</f>
        <v>×</v>
      </c>
      <c r="BU70" s="35" t="str">
        <f aca="false">IFERROR(CHOOSE(MATCH(INDEX(時間ごとの判定!$AN$3:$AN$1850,1605),{"利用可","両方停止","運転がそろわない","判定不能"},0),"○","停","×","－"),"")</f>
        <v>×</v>
      </c>
      <c r="BV70" s="35" t="str">
        <f aca="false">IFERROR(CHOOSE(MATCH(INDEX(時間ごとの判定!$AN$3:$AN$1850,1606),{"利用可","両方停止","運転がそろわない","判定不能"},0),"○","停","×","－"),"")</f>
        <v>×</v>
      </c>
      <c r="BW70" s="35" t="str">
        <f aca="false">IFERROR(CHOOSE(MATCH(INDEX(時間ごとの判定!$AN$3:$AN$1850,1607),{"利用可","両方停止","運転がそろわない","判定不能"},0),"○","停","×","－"),"")</f>
        <v>停</v>
      </c>
      <c r="BX70" s="35" t="str">
        <f aca="false">IFERROR(CHOOSE(MATCH(INDEX(時間ごとの判定!$AN$3:$AN$1850,1608),{"利用可","両方停止","運転がそろわない","判定不能"},0),"○","停","×","－"),"")</f>
        <v>停</v>
      </c>
    </row>
    <row r="71" customFormat="false" ht="15" hidden="false" customHeight="false" outlineLevel="0" collapsed="false">
      <c r="A71" s="33" t="n">
        <v>46299</v>
      </c>
      <c r="B71" s="36" t="s">
        <v>65</v>
      </c>
      <c r="C71" s="35" t="str">
        <f aca="false">IFERROR(CHOOSE(MATCH(INDEX(時間ごとの判定!$AH$3:$AH$1850,1609),{"利用可","両方停止","運転がそろわない","判定不能"},0),"○","停","×","－"),"")</f>
        <v>停</v>
      </c>
      <c r="D71" s="35" t="str">
        <f aca="false">IFERROR(CHOOSE(MATCH(INDEX(時間ごとの判定!$AH$3:$AH$1850,1610),{"利用可","両方停止","運転がそろわない","判定不能"},0),"○","停","×","－"),"")</f>
        <v>停</v>
      </c>
      <c r="E71" s="35" t="str">
        <f aca="false">IFERROR(CHOOSE(MATCH(INDEX(時間ごとの判定!$AH$3:$AH$1850,1611),{"利用可","両方停止","運転がそろわない","判定不能"},0),"○","停","×","－"),"")</f>
        <v>停</v>
      </c>
      <c r="F71" s="35" t="str">
        <f aca="false">IFERROR(CHOOSE(MATCH(INDEX(時間ごとの判定!$AH$3:$AH$1850,1612),{"利用可","両方停止","運転がそろわない","判定不能"},0),"○","停","×","－"),"")</f>
        <v>停</v>
      </c>
      <c r="G71" s="35" t="str">
        <f aca="false">IFERROR(CHOOSE(MATCH(INDEX(時間ごとの判定!$AH$3:$AH$1850,1613),{"利用可","両方停止","運転がそろわない","判定不能"},0),"○","停","×","－"),"")</f>
        <v>停</v>
      </c>
      <c r="H71" s="35" t="str">
        <f aca="false">IFERROR(CHOOSE(MATCH(INDEX(時間ごとの判定!$AH$3:$AH$1850,1614),{"利用可","両方停止","運転がそろわない","判定不能"},0),"○","停","×","－"),"")</f>
        <v>停</v>
      </c>
      <c r="I71" s="35" t="str">
        <f aca="false">IFERROR(CHOOSE(MATCH(INDEX(時間ごとの判定!$AH$3:$AH$1850,1615),{"利用可","両方停止","運転がそろわない","判定不能"},0),"○","停","×","－"),"")</f>
        <v>停</v>
      </c>
      <c r="J71" s="35" t="str">
        <f aca="false">IFERROR(CHOOSE(MATCH(INDEX(時間ごとの判定!$AH$3:$AH$1850,1616),{"利用可","両方停止","運転がそろわない","判定不能"},0),"○","停","×","－"),"")</f>
        <v>停</v>
      </c>
      <c r="K71" s="35" t="str">
        <f aca="false">IFERROR(CHOOSE(MATCH(INDEX(時間ごとの判定!$AH$3:$AH$1850,1617),{"利用可","両方停止","運転がそろわない","判定不能"},0),"○","停","×","－"),"")</f>
        <v>×</v>
      </c>
      <c r="L71" s="35" t="str">
        <f aca="false">IFERROR(CHOOSE(MATCH(INDEX(時間ごとの判定!$AH$3:$AH$1850,1618),{"利用可","両方停止","運転がそろわない","判定不能"},0),"○","停","×","－"),"")</f>
        <v>×</v>
      </c>
      <c r="M71" s="35" t="str">
        <f aca="false">IFERROR(CHOOSE(MATCH(INDEX(時間ごとの判定!$AH$3:$AH$1850,1619),{"利用可","両方停止","運転がそろわない","判定不能"},0),"○","停","×","－"),"")</f>
        <v>×</v>
      </c>
      <c r="N71" s="35" t="str">
        <f aca="false">IFERROR(CHOOSE(MATCH(INDEX(時間ごとの判定!$AH$3:$AH$1850,1620),{"利用可","両方停止","運転がそろわない","判定不能"},0),"○","停","×","－"),"")</f>
        <v>×</v>
      </c>
      <c r="O71" s="35" t="str">
        <f aca="false">IFERROR(CHOOSE(MATCH(INDEX(時間ごとの判定!$AH$3:$AH$1850,1621),{"利用可","両方停止","運転がそろわない","判定不能"},0),"○","停","×","－"),"")</f>
        <v>×</v>
      </c>
      <c r="P71" s="35" t="str">
        <f aca="false">IFERROR(CHOOSE(MATCH(INDEX(時間ごとの判定!$AH$3:$AH$1850,1622),{"利用可","両方停止","運転がそろわない","判定不能"},0),"○","停","×","－"),"")</f>
        <v>×</v>
      </c>
      <c r="Q71" s="35" t="str">
        <f aca="false">IFERROR(CHOOSE(MATCH(INDEX(時間ごとの判定!$AH$3:$AH$1850,1623),{"利用可","両方停止","運転がそろわない","判定不能"},0),"○","停","×","－"),"")</f>
        <v>×</v>
      </c>
      <c r="R71" s="35" t="str">
        <f aca="false">IFERROR(CHOOSE(MATCH(INDEX(時間ごとの判定!$AH$3:$AH$1850,1624),{"利用可","両方停止","運転がそろわない","判定不能"},0),"○","停","×","－"),"")</f>
        <v>×</v>
      </c>
      <c r="S71" s="35" t="str">
        <f aca="false">IFERROR(CHOOSE(MATCH(INDEX(時間ごとの判定!$AH$3:$AH$1850,1625),{"利用可","両方停止","運転がそろわない","判定不能"},0),"○","停","×","－"),"")</f>
        <v>×</v>
      </c>
      <c r="T71" s="35" t="str">
        <f aca="false">IFERROR(CHOOSE(MATCH(INDEX(時間ごとの判定!$AH$3:$AH$1850,1626),{"利用可","両方停止","運転がそろわない","判定不能"},0),"○","停","×","－"),"")</f>
        <v>停</v>
      </c>
      <c r="U71" s="35" t="str">
        <f aca="false">IFERROR(CHOOSE(MATCH(INDEX(時間ごとの判定!$AH$3:$AH$1850,1627),{"利用可","両方停止","運転がそろわない","判定不能"},0),"○","停","×","－"),"")</f>
        <v>停</v>
      </c>
      <c r="V71" s="35" t="str">
        <f aca="false">IFERROR(CHOOSE(MATCH(INDEX(時間ごとの判定!$AH$3:$AH$1850,1628),{"利用可","両方停止","運転がそろわない","判定不能"},0),"○","停","×","－"),"")</f>
        <v>停</v>
      </c>
      <c r="W71" s="35" t="str">
        <f aca="false">IFERROR(CHOOSE(MATCH(INDEX(時間ごとの判定!$AH$3:$AH$1850,1629),{"利用可","両方停止","運転がそろわない","判定不能"},0),"○","停","×","－"),"")</f>
        <v>停</v>
      </c>
      <c r="X71" s="35" t="str">
        <f aca="false">IFERROR(CHOOSE(MATCH(INDEX(時間ごとの判定!$AH$3:$AH$1850,1630),{"利用可","両方停止","運転がそろわない","判定不能"},0),"○","停","×","－"),"")</f>
        <v>停</v>
      </c>
      <c r="Y71" s="35" t="str">
        <f aca="false">IFERROR(CHOOSE(MATCH(INDEX(時間ごとの判定!$AH$3:$AH$1850,1631),{"利用可","両方停止","運転がそろわない","判定不能"},0),"○","停","×","－"),"")</f>
        <v>停</v>
      </c>
      <c r="Z71" s="35" t="str">
        <f aca="false">IFERROR(CHOOSE(MATCH(INDEX(時間ごとの判定!$AH$3:$AH$1850,1632),{"利用可","両方停止","運転がそろわない","判定不能"},0),"○","停","×","－"),"")</f>
        <v>停</v>
      </c>
      <c r="AA71" s="35"/>
      <c r="AB71" s="35" t="str">
        <f aca="false">IFERROR(CHOOSE(MATCH(INDEX(時間ごとの判定!$AK$3:$AK$1850,1609),{"利用可","両方停止","運転がそろわない","判定不能"},0),"○","停","×","－"),"")</f>
        <v>停</v>
      </c>
      <c r="AC71" s="35" t="str">
        <f aca="false">IFERROR(CHOOSE(MATCH(INDEX(時間ごとの判定!$AK$3:$AK$1850,1610),{"利用可","両方停止","運転がそろわない","判定不能"},0),"○","停","×","－"),"")</f>
        <v>停</v>
      </c>
      <c r="AD71" s="35" t="str">
        <f aca="false">IFERROR(CHOOSE(MATCH(INDEX(時間ごとの判定!$AK$3:$AK$1850,1611),{"利用可","両方停止","運転がそろわない","判定不能"},0),"○","停","×","－"),"")</f>
        <v>停</v>
      </c>
      <c r="AE71" s="35" t="str">
        <f aca="false">IFERROR(CHOOSE(MATCH(INDEX(時間ごとの判定!$AK$3:$AK$1850,1612),{"利用可","両方停止","運転がそろわない","判定不能"},0),"○","停","×","－"),"")</f>
        <v>停</v>
      </c>
      <c r="AF71" s="35" t="str">
        <f aca="false">IFERROR(CHOOSE(MATCH(INDEX(時間ごとの判定!$AK$3:$AK$1850,1613),{"利用可","両方停止","運転がそろわない","判定不能"},0),"○","停","×","－"),"")</f>
        <v>停</v>
      </c>
      <c r="AG71" s="35" t="str">
        <f aca="false">IFERROR(CHOOSE(MATCH(INDEX(時間ごとの判定!$AK$3:$AK$1850,1614),{"利用可","両方停止","運転がそろわない","判定不能"},0),"○","停","×","－"),"")</f>
        <v>停</v>
      </c>
      <c r="AH71" s="35" t="str">
        <f aca="false">IFERROR(CHOOSE(MATCH(INDEX(時間ごとの判定!$AK$3:$AK$1850,1615),{"利用可","両方停止","運転がそろわない","判定不能"},0),"○","停","×","－"),"")</f>
        <v>停</v>
      </c>
      <c r="AI71" s="35" t="str">
        <f aca="false">IFERROR(CHOOSE(MATCH(INDEX(時間ごとの判定!$AK$3:$AK$1850,1616),{"利用可","両方停止","運転がそろわない","判定不能"},0),"○","停","×","－"),"")</f>
        <v>停</v>
      </c>
      <c r="AJ71" s="35" t="str">
        <f aca="false">IFERROR(CHOOSE(MATCH(INDEX(時間ごとの判定!$AK$3:$AK$1850,1617),{"利用可","両方停止","運転がそろわない","判定不能"},0),"○","停","×","－"),"")</f>
        <v>×</v>
      </c>
      <c r="AK71" s="35" t="str">
        <f aca="false">IFERROR(CHOOSE(MATCH(INDEX(時間ごとの判定!$AK$3:$AK$1850,1618),{"利用可","両方停止","運転がそろわない","判定不能"},0),"○","停","×","－"),"")</f>
        <v>×</v>
      </c>
      <c r="AL71" s="35" t="str">
        <f aca="false">IFERROR(CHOOSE(MATCH(INDEX(時間ごとの判定!$AK$3:$AK$1850,1619),{"利用可","両方停止","運転がそろわない","判定不能"},0),"○","停","×","－"),"")</f>
        <v>×</v>
      </c>
      <c r="AM71" s="35" t="str">
        <f aca="false">IFERROR(CHOOSE(MATCH(INDEX(時間ごとの判定!$AK$3:$AK$1850,1620),{"利用可","両方停止","運転がそろわない","判定不能"},0),"○","停","×","－"),"")</f>
        <v>×</v>
      </c>
      <c r="AN71" s="35" t="str">
        <f aca="false">IFERROR(CHOOSE(MATCH(INDEX(時間ごとの判定!$AK$3:$AK$1850,1621),{"利用可","両方停止","運転がそろわない","判定不能"},0),"○","停","×","－"),"")</f>
        <v>×</v>
      </c>
      <c r="AO71" s="35" t="str">
        <f aca="false">IFERROR(CHOOSE(MATCH(INDEX(時間ごとの判定!$AK$3:$AK$1850,1622),{"利用可","両方停止","運転がそろわない","判定不能"},0),"○","停","×","－"),"")</f>
        <v>×</v>
      </c>
      <c r="AP71" s="35" t="str">
        <f aca="false">IFERROR(CHOOSE(MATCH(INDEX(時間ごとの判定!$AK$3:$AK$1850,1623),{"利用可","両方停止","運転がそろわない","判定不能"},0),"○","停","×","－"),"")</f>
        <v>×</v>
      </c>
      <c r="AQ71" s="35" t="str">
        <f aca="false">IFERROR(CHOOSE(MATCH(INDEX(時間ごとの判定!$AK$3:$AK$1850,1624),{"利用可","両方停止","運転がそろわない","判定不能"},0),"○","停","×","－"),"")</f>
        <v>×</v>
      </c>
      <c r="AR71" s="35" t="str">
        <f aca="false">IFERROR(CHOOSE(MATCH(INDEX(時間ごとの判定!$AK$3:$AK$1850,1625),{"利用可","両方停止","運転がそろわない","判定不能"},0),"○","停","×","－"),"")</f>
        <v>×</v>
      </c>
      <c r="AS71" s="35" t="str">
        <f aca="false">IFERROR(CHOOSE(MATCH(INDEX(時間ごとの判定!$AK$3:$AK$1850,1626),{"利用可","両方停止","運転がそろわない","判定不能"},0),"○","停","×","－"),"")</f>
        <v>×</v>
      </c>
      <c r="AT71" s="35" t="str">
        <f aca="false">IFERROR(CHOOSE(MATCH(INDEX(時間ごとの判定!$AK$3:$AK$1850,1627),{"利用可","両方停止","運転がそろわない","判定不能"},0),"○","停","×","－"),"")</f>
        <v>停</v>
      </c>
      <c r="AU71" s="35" t="str">
        <f aca="false">IFERROR(CHOOSE(MATCH(INDEX(時間ごとの判定!$AK$3:$AK$1850,1628),{"利用可","両方停止","運転がそろわない","判定不能"},0),"○","停","×","－"),"")</f>
        <v>停</v>
      </c>
      <c r="AV71" s="35" t="str">
        <f aca="false">IFERROR(CHOOSE(MATCH(INDEX(時間ごとの判定!$AK$3:$AK$1850,1629),{"利用可","両方停止","運転がそろわない","判定不能"},0),"○","停","×","－"),"")</f>
        <v>停</v>
      </c>
      <c r="AW71" s="35" t="str">
        <f aca="false">IFERROR(CHOOSE(MATCH(INDEX(時間ごとの判定!$AK$3:$AK$1850,1630),{"利用可","両方停止","運転がそろわない","判定不能"},0),"○","停","×","－"),"")</f>
        <v>停</v>
      </c>
      <c r="AX71" s="35" t="str">
        <f aca="false">IFERROR(CHOOSE(MATCH(INDEX(時間ごとの判定!$AK$3:$AK$1850,1631),{"利用可","両方停止","運転がそろわない","判定不能"},0),"○","停","×","－"),"")</f>
        <v>停</v>
      </c>
      <c r="AY71" s="35" t="str">
        <f aca="false">IFERROR(CHOOSE(MATCH(INDEX(時間ごとの判定!$AK$3:$AK$1850,1632),{"利用可","両方停止","運転がそろわない","判定不能"},0),"○","停","×","－"),"")</f>
        <v>停</v>
      </c>
      <c r="AZ71" s="35"/>
      <c r="BA71" s="35" t="str">
        <f aca="false">IFERROR(CHOOSE(MATCH(INDEX(時間ごとの判定!$AN$3:$AN$1850,1609),{"利用可","両方停止","運転がそろわない","判定不能"},0),"○","停","×","－"),"")</f>
        <v>停</v>
      </c>
      <c r="BB71" s="35" t="str">
        <f aca="false">IFERROR(CHOOSE(MATCH(INDEX(時間ごとの判定!$AN$3:$AN$1850,1610),{"利用可","両方停止","運転がそろわない","判定不能"},0),"○","停","×","－"),"")</f>
        <v>停</v>
      </c>
      <c r="BC71" s="35" t="str">
        <f aca="false">IFERROR(CHOOSE(MATCH(INDEX(時間ごとの判定!$AN$3:$AN$1850,1611),{"利用可","両方停止","運転がそろわない","判定不能"},0),"○","停","×","－"),"")</f>
        <v>停</v>
      </c>
      <c r="BD71" s="35" t="str">
        <f aca="false">IFERROR(CHOOSE(MATCH(INDEX(時間ごとの判定!$AN$3:$AN$1850,1612),{"利用可","両方停止","運転がそろわない","判定不能"},0),"○","停","×","－"),"")</f>
        <v>停</v>
      </c>
      <c r="BE71" s="35" t="str">
        <f aca="false">IFERROR(CHOOSE(MATCH(INDEX(時間ごとの判定!$AN$3:$AN$1850,1613),{"利用可","両方停止","運転がそろわない","判定不能"},0),"○","停","×","－"),"")</f>
        <v>停</v>
      </c>
      <c r="BF71" s="35" t="str">
        <f aca="false">IFERROR(CHOOSE(MATCH(INDEX(時間ごとの判定!$AN$3:$AN$1850,1614),{"利用可","両方停止","運転がそろわない","判定不能"},0),"○","停","×","－"),"")</f>
        <v>停</v>
      </c>
      <c r="BG71" s="35" t="str">
        <f aca="false">IFERROR(CHOOSE(MATCH(INDEX(時間ごとの判定!$AN$3:$AN$1850,1615),{"利用可","両方停止","運転がそろわない","判定不能"},0),"○","停","×","－"),"")</f>
        <v>停</v>
      </c>
      <c r="BH71" s="35" t="str">
        <f aca="false">IFERROR(CHOOSE(MATCH(INDEX(時間ごとの判定!$AN$3:$AN$1850,1616),{"利用可","両方停止","運転がそろわない","判定不能"},0),"○","停","×","－"),"")</f>
        <v>停</v>
      </c>
      <c r="BI71" s="35" t="str">
        <f aca="false">IFERROR(CHOOSE(MATCH(INDEX(時間ごとの判定!$AN$3:$AN$1850,1617),{"利用可","両方停止","運転がそろわない","判定不能"},0),"○","停","×","－"),"")</f>
        <v>×</v>
      </c>
      <c r="BJ71" s="35" t="str">
        <f aca="false">IFERROR(CHOOSE(MATCH(INDEX(時間ごとの判定!$AN$3:$AN$1850,1618),{"利用可","両方停止","運転がそろわない","判定不能"},0),"○","停","×","－"),"")</f>
        <v>×</v>
      </c>
      <c r="BK71" s="35" t="str">
        <f aca="false">IFERROR(CHOOSE(MATCH(INDEX(時間ごとの判定!$AN$3:$AN$1850,1619),{"利用可","両方停止","運転がそろわない","判定不能"},0),"○","停","×","－"),"")</f>
        <v>×</v>
      </c>
      <c r="BL71" s="35" t="str">
        <f aca="false">IFERROR(CHOOSE(MATCH(INDEX(時間ごとの判定!$AN$3:$AN$1850,1620),{"利用可","両方停止","運転がそろわない","判定不能"},0),"○","停","×","－"),"")</f>
        <v>×</v>
      </c>
      <c r="BM71" s="35" t="str">
        <f aca="false">IFERROR(CHOOSE(MATCH(INDEX(時間ごとの判定!$AN$3:$AN$1850,1621),{"利用可","両方停止","運転がそろわない","判定不能"},0),"○","停","×","－"),"")</f>
        <v>×</v>
      </c>
      <c r="BN71" s="35" t="str">
        <f aca="false">IFERROR(CHOOSE(MATCH(INDEX(時間ごとの判定!$AN$3:$AN$1850,1622),{"利用可","両方停止","運転がそろわない","判定不能"},0),"○","停","×","－"),"")</f>
        <v>×</v>
      </c>
      <c r="BO71" s="35" t="str">
        <f aca="false">IFERROR(CHOOSE(MATCH(INDEX(時間ごとの判定!$AN$3:$AN$1850,1623),{"利用可","両方停止","運転がそろわない","判定不能"},0),"○","停","×","－"),"")</f>
        <v>×</v>
      </c>
      <c r="BP71" s="35" t="str">
        <f aca="false">IFERROR(CHOOSE(MATCH(INDEX(時間ごとの判定!$AN$3:$AN$1850,1624),{"利用可","両方停止","運転がそろわない","判定不能"},0),"○","停","×","－"),"")</f>
        <v>×</v>
      </c>
      <c r="BQ71" s="35" t="str">
        <f aca="false">IFERROR(CHOOSE(MATCH(INDEX(時間ごとの判定!$AN$3:$AN$1850,1625),{"利用可","両方停止","運転がそろわない","判定不能"},0),"○","停","×","－"),"")</f>
        <v>○</v>
      </c>
      <c r="BR71" s="35" t="str">
        <f aca="false">IFERROR(CHOOSE(MATCH(INDEX(時間ごとの判定!$AN$3:$AN$1850,1626),{"利用可","両方停止","運転がそろわない","判定不能"},0),"○","停","×","－"),"")</f>
        <v>○</v>
      </c>
      <c r="BS71" s="35" t="str">
        <f aca="false">IFERROR(CHOOSE(MATCH(INDEX(時間ごとの判定!$AN$3:$AN$1850,1627),{"利用可","両方停止","運転がそろわない","判定不能"},0),"○","停","×","－"),"")</f>
        <v>×</v>
      </c>
      <c r="BT71" s="35" t="str">
        <f aca="false">IFERROR(CHOOSE(MATCH(INDEX(時間ごとの判定!$AN$3:$AN$1850,1628),{"利用可","両方停止","運転がそろわない","判定不能"},0),"○","停","×","－"),"")</f>
        <v>×</v>
      </c>
      <c r="BU71" s="35" t="str">
        <f aca="false">IFERROR(CHOOSE(MATCH(INDEX(時間ごとの判定!$AN$3:$AN$1850,1629),{"利用可","両方停止","運転がそろわない","判定不能"},0),"○","停","×","－"),"")</f>
        <v>×</v>
      </c>
      <c r="BV71" s="35" t="str">
        <f aca="false">IFERROR(CHOOSE(MATCH(INDEX(時間ごとの判定!$AN$3:$AN$1850,1630),{"利用可","両方停止","運転がそろわない","判定不能"},0),"○","停","×","－"),"")</f>
        <v>停</v>
      </c>
      <c r="BW71" s="35" t="str">
        <f aca="false">IFERROR(CHOOSE(MATCH(INDEX(時間ごとの判定!$AN$3:$AN$1850,1631),{"利用可","両方停止","運転がそろわない","判定不能"},0),"○","停","×","－"),"")</f>
        <v>停</v>
      </c>
      <c r="BX71" s="35" t="str">
        <f aca="false">IFERROR(CHOOSE(MATCH(INDEX(時間ごとの判定!$AN$3:$AN$1850,1632),{"利用可","両方停止","運転がそろわない","判定不能"},0),"○","停","×","－"),"")</f>
        <v>停</v>
      </c>
    </row>
    <row r="72" customFormat="false" ht="15" hidden="false" customHeight="false" outlineLevel="0" collapsed="false">
      <c r="A72" s="33" t="n">
        <v>46300</v>
      </c>
      <c r="B72" s="34" t="s">
        <v>66</v>
      </c>
      <c r="C72" s="35" t="str">
        <f aca="false">IFERROR(CHOOSE(MATCH(INDEX(時間ごとの判定!$AH$3:$AH$1850,1633),{"利用可","両方停止","運転がそろわない","判定不能"},0),"○","停","×","－"),"")</f>
        <v>停</v>
      </c>
      <c r="D72" s="35" t="str">
        <f aca="false">IFERROR(CHOOSE(MATCH(INDEX(時間ごとの判定!$AH$3:$AH$1850,1634),{"利用可","両方停止","運転がそろわない","判定不能"},0),"○","停","×","－"),"")</f>
        <v>停</v>
      </c>
      <c r="E72" s="35" t="str">
        <f aca="false">IFERROR(CHOOSE(MATCH(INDEX(時間ごとの判定!$AH$3:$AH$1850,1635),{"利用可","両方停止","運転がそろわない","判定不能"},0),"○","停","×","－"),"")</f>
        <v>停</v>
      </c>
      <c r="F72" s="35" t="str">
        <f aca="false">IFERROR(CHOOSE(MATCH(INDEX(時間ごとの判定!$AH$3:$AH$1850,1636),{"利用可","両方停止","運転がそろわない","判定不能"},0),"○","停","×","－"),"")</f>
        <v>停</v>
      </c>
      <c r="G72" s="35" t="str">
        <f aca="false">IFERROR(CHOOSE(MATCH(INDEX(時間ごとの判定!$AH$3:$AH$1850,1637),{"利用可","両方停止","運転がそろわない","判定不能"},0),"○","停","×","－"),"")</f>
        <v>停</v>
      </c>
      <c r="H72" s="35" t="str">
        <f aca="false">IFERROR(CHOOSE(MATCH(INDEX(時間ごとの判定!$AH$3:$AH$1850,1638),{"利用可","両方停止","運転がそろわない","判定不能"},0),"○","停","×","－"),"")</f>
        <v>停</v>
      </c>
      <c r="I72" s="35" t="str">
        <f aca="false">IFERROR(CHOOSE(MATCH(INDEX(時間ごとの判定!$AH$3:$AH$1850,1639),{"利用可","両方停止","運転がそろわない","判定不能"},0),"○","停","×","－"),"")</f>
        <v>停</v>
      </c>
      <c r="J72" s="35" t="str">
        <f aca="false">IFERROR(CHOOSE(MATCH(INDEX(時間ごとの判定!$AH$3:$AH$1850,1640),{"利用可","両方停止","運転がそろわない","判定不能"},0),"○","停","×","－"),"")</f>
        <v>停</v>
      </c>
      <c r="K72" s="35" t="str">
        <f aca="false">IFERROR(CHOOSE(MATCH(INDEX(時間ごとの判定!$AH$3:$AH$1850,1641),{"利用可","両方停止","運転がそろわない","判定不能"},0),"○","停","×","－"),"")</f>
        <v>×</v>
      </c>
      <c r="L72" s="35" t="str">
        <f aca="false">IFERROR(CHOOSE(MATCH(INDEX(時間ごとの判定!$AH$3:$AH$1850,1642),{"利用可","両方停止","運転がそろわない","判定不能"},0),"○","停","×","－"),"")</f>
        <v>停</v>
      </c>
      <c r="M72" s="35" t="str">
        <f aca="false">IFERROR(CHOOSE(MATCH(INDEX(時間ごとの判定!$AH$3:$AH$1850,1643),{"利用可","両方停止","運転がそろわない","判定不能"},0),"○","停","×","－"),"")</f>
        <v>×</v>
      </c>
      <c r="N72" s="35" t="str">
        <f aca="false">IFERROR(CHOOSE(MATCH(INDEX(時間ごとの判定!$AH$3:$AH$1850,1644),{"利用可","両方停止","運転がそろわない","判定不能"},0),"○","停","×","－"),"")</f>
        <v>×</v>
      </c>
      <c r="O72" s="35" t="str">
        <f aca="false">IFERROR(CHOOSE(MATCH(INDEX(時間ごとの判定!$AH$3:$AH$1850,1645),{"利用可","両方停止","運転がそろわない","判定不能"},0),"○","停","×","－"),"")</f>
        <v>×</v>
      </c>
      <c r="P72" s="35" t="str">
        <f aca="false">IFERROR(CHOOSE(MATCH(INDEX(時間ごとの判定!$AH$3:$AH$1850,1646),{"利用可","両方停止","運転がそろわない","判定不能"},0),"○","停","×","－"),"")</f>
        <v>停</v>
      </c>
      <c r="Q72" s="35" t="str">
        <f aca="false">IFERROR(CHOOSE(MATCH(INDEX(時間ごとの判定!$AH$3:$AH$1850,1647),{"利用可","両方停止","運転がそろわない","判定不能"},0),"○","停","×","－"),"")</f>
        <v>×</v>
      </c>
      <c r="R72" s="35" t="str">
        <f aca="false">IFERROR(CHOOSE(MATCH(INDEX(時間ごとの判定!$AH$3:$AH$1850,1648),{"利用可","両方停止","運転がそろわない","判定不能"},0),"○","停","×","－"),"")</f>
        <v>停</v>
      </c>
      <c r="S72" s="35" t="str">
        <f aca="false">IFERROR(CHOOSE(MATCH(INDEX(時間ごとの判定!$AH$3:$AH$1850,1649),{"利用可","両方停止","運転がそろわない","判定不能"},0),"○","停","×","－"),"")</f>
        <v>×</v>
      </c>
      <c r="T72" s="35" t="str">
        <f aca="false">IFERROR(CHOOSE(MATCH(INDEX(時間ごとの判定!$AH$3:$AH$1850,1650),{"利用可","両方停止","運転がそろわない","判定不能"},0),"○","停","×","－"),"")</f>
        <v>停</v>
      </c>
      <c r="U72" s="35" t="str">
        <f aca="false">IFERROR(CHOOSE(MATCH(INDEX(時間ごとの判定!$AH$3:$AH$1850,1651),{"利用可","両方停止","運転がそろわない","判定不能"},0),"○","停","×","－"),"")</f>
        <v>停</v>
      </c>
      <c r="V72" s="35" t="str">
        <f aca="false">IFERROR(CHOOSE(MATCH(INDEX(時間ごとの判定!$AH$3:$AH$1850,1652),{"利用可","両方停止","運転がそろわない","判定不能"},0),"○","停","×","－"),"")</f>
        <v>×</v>
      </c>
      <c r="W72" s="35" t="str">
        <f aca="false">IFERROR(CHOOSE(MATCH(INDEX(時間ごとの判定!$AH$3:$AH$1850,1653),{"利用可","両方停止","運転がそろわない","判定不能"},0),"○","停","×","－"),"")</f>
        <v>停</v>
      </c>
      <c r="X72" s="35" t="str">
        <f aca="false">IFERROR(CHOOSE(MATCH(INDEX(時間ごとの判定!$AH$3:$AH$1850,1654),{"利用可","両方停止","運転がそろわない","判定不能"},0),"○","停","×","－"),"")</f>
        <v>停</v>
      </c>
      <c r="Y72" s="35" t="str">
        <f aca="false">IFERROR(CHOOSE(MATCH(INDEX(時間ごとの判定!$AH$3:$AH$1850,1655),{"利用可","両方停止","運転がそろわない","判定不能"},0),"○","停","×","－"),"")</f>
        <v>停</v>
      </c>
      <c r="Z72" s="35" t="str">
        <f aca="false">IFERROR(CHOOSE(MATCH(INDEX(時間ごとの判定!$AH$3:$AH$1850,1656),{"利用可","両方停止","運転がそろわない","判定不能"},0),"○","停","×","－"),"")</f>
        <v>停</v>
      </c>
      <c r="AA72" s="35"/>
      <c r="AB72" s="35" t="str">
        <f aca="false">IFERROR(CHOOSE(MATCH(INDEX(時間ごとの判定!$AK$3:$AK$1850,1633),{"利用可","両方停止","運転がそろわない","判定不能"},0),"○","停","×","－"),"")</f>
        <v>停</v>
      </c>
      <c r="AC72" s="35" t="str">
        <f aca="false">IFERROR(CHOOSE(MATCH(INDEX(時間ごとの判定!$AK$3:$AK$1850,1634),{"利用可","両方停止","運転がそろわない","判定不能"},0),"○","停","×","－"),"")</f>
        <v>停</v>
      </c>
      <c r="AD72" s="35" t="str">
        <f aca="false">IFERROR(CHOOSE(MATCH(INDEX(時間ごとの判定!$AK$3:$AK$1850,1635),{"利用可","両方停止","運転がそろわない","判定不能"},0),"○","停","×","－"),"")</f>
        <v>停</v>
      </c>
      <c r="AE72" s="35" t="str">
        <f aca="false">IFERROR(CHOOSE(MATCH(INDEX(時間ごとの判定!$AK$3:$AK$1850,1636),{"利用可","両方停止","運転がそろわない","判定不能"},0),"○","停","×","－"),"")</f>
        <v>停</v>
      </c>
      <c r="AF72" s="35" t="str">
        <f aca="false">IFERROR(CHOOSE(MATCH(INDEX(時間ごとの判定!$AK$3:$AK$1850,1637),{"利用可","両方停止","運転がそろわない","判定不能"},0),"○","停","×","－"),"")</f>
        <v>停</v>
      </c>
      <c r="AG72" s="35" t="str">
        <f aca="false">IFERROR(CHOOSE(MATCH(INDEX(時間ごとの判定!$AK$3:$AK$1850,1638),{"利用可","両方停止","運転がそろわない","判定不能"},0),"○","停","×","－"),"")</f>
        <v>停</v>
      </c>
      <c r="AH72" s="35" t="str">
        <f aca="false">IFERROR(CHOOSE(MATCH(INDEX(時間ごとの判定!$AK$3:$AK$1850,1639),{"利用可","両方停止","運転がそろわない","判定不能"},0),"○","停","×","－"),"")</f>
        <v>停</v>
      </c>
      <c r="AI72" s="35" t="str">
        <f aca="false">IFERROR(CHOOSE(MATCH(INDEX(時間ごとの判定!$AK$3:$AK$1850,1640),{"利用可","両方停止","運転がそろわない","判定不能"},0),"○","停","×","－"),"")</f>
        <v>×</v>
      </c>
      <c r="AJ72" s="35" t="str">
        <f aca="false">IFERROR(CHOOSE(MATCH(INDEX(時間ごとの判定!$AK$3:$AK$1850,1641),{"利用可","両方停止","運転がそろわない","判定不能"},0),"○","停","×","－"),"")</f>
        <v>×</v>
      </c>
      <c r="AK72" s="35" t="str">
        <f aca="false">IFERROR(CHOOSE(MATCH(INDEX(時間ごとの判定!$AK$3:$AK$1850,1642),{"利用可","両方停止","運転がそろわない","判定不能"},0),"○","停","×","－"),"")</f>
        <v>×</v>
      </c>
      <c r="AL72" s="35" t="str">
        <f aca="false">IFERROR(CHOOSE(MATCH(INDEX(時間ごとの判定!$AK$3:$AK$1850,1643),{"利用可","両方停止","運転がそろわない","判定不能"},0),"○","停","×","－"),"")</f>
        <v>×</v>
      </c>
      <c r="AM72" s="35" t="str">
        <f aca="false">IFERROR(CHOOSE(MATCH(INDEX(時間ごとの判定!$AK$3:$AK$1850,1644),{"利用可","両方停止","運転がそろわない","判定不能"},0),"○","停","×","－"),"")</f>
        <v>×</v>
      </c>
      <c r="AN72" s="35" t="str">
        <f aca="false">IFERROR(CHOOSE(MATCH(INDEX(時間ごとの判定!$AK$3:$AK$1850,1645),{"利用可","両方停止","運転がそろわない","判定不能"},0),"○","停","×","－"),"")</f>
        <v>×</v>
      </c>
      <c r="AO72" s="35" t="str">
        <f aca="false">IFERROR(CHOOSE(MATCH(INDEX(時間ごとの判定!$AK$3:$AK$1850,1646),{"利用可","両方停止","運転がそろわない","判定不能"},0),"○","停","×","－"),"")</f>
        <v>×</v>
      </c>
      <c r="AP72" s="35" t="str">
        <f aca="false">IFERROR(CHOOSE(MATCH(INDEX(時間ごとの判定!$AK$3:$AK$1850,1647),{"利用可","両方停止","運転がそろわない","判定不能"},0),"○","停","×","－"),"")</f>
        <v>○</v>
      </c>
      <c r="AQ72" s="35" t="str">
        <f aca="false">IFERROR(CHOOSE(MATCH(INDEX(時間ごとの判定!$AK$3:$AK$1850,1648),{"利用可","両方停止","運転がそろわない","判定不能"},0),"○","停","×","－"),"")</f>
        <v>×</v>
      </c>
      <c r="AR72" s="35" t="str">
        <f aca="false">IFERROR(CHOOSE(MATCH(INDEX(時間ごとの判定!$AK$3:$AK$1850,1649),{"利用可","両方停止","運転がそろわない","判定不能"},0),"○","停","×","－"),"")</f>
        <v>○</v>
      </c>
      <c r="AS72" s="35" t="str">
        <f aca="false">IFERROR(CHOOSE(MATCH(INDEX(時間ごとの判定!$AK$3:$AK$1850,1650),{"利用可","両方停止","運転がそろわない","判定不能"},0),"○","停","×","－"),"")</f>
        <v>×</v>
      </c>
      <c r="AT72" s="35" t="str">
        <f aca="false">IFERROR(CHOOSE(MATCH(INDEX(時間ごとの判定!$AK$3:$AK$1850,1651),{"利用可","両方停止","運転がそろわない","判定不能"},0),"○","停","×","－"),"")</f>
        <v>×</v>
      </c>
      <c r="AU72" s="35" t="str">
        <f aca="false">IFERROR(CHOOSE(MATCH(INDEX(時間ごとの判定!$AK$3:$AK$1850,1652),{"利用可","両方停止","運転がそろわない","判定不能"},0),"○","停","×","－"),"")</f>
        <v>×</v>
      </c>
      <c r="AV72" s="35" t="str">
        <f aca="false">IFERROR(CHOOSE(MATCH(INDEX(時間ごとの判定!$AK$3:$AK$1850,1653),{"利用可","両方停止","運転がそろわない","判定不能"},0),"○","停","×","－"),"")</f>
        <v>停</v>
      </c>
      <c r="AW72" s="35" t="str">
        <f aca="false">IFERROR(CHOOSE(MATCH(INDEX(時間ごとの判定!$AK$3:$AK$1850,1654),{"利用可","両方停止","運転がそろわない","判定不能"},0),"○","停","×","－"),"")</f>
        <v>停</v>
      </c>
      <c r="AX72" s="35" t="str">
        <f aca="false">IFERROR(CHOOSE(MATCH(INDEX(時間ごとの判定!$AK$3:$AK$1850,1655),{"利用可","両方停止","運転がそろわない","判定不能"},0),"○","停","×","－"),"")</f>
        <v>停</v>
      </c>
      <c r="AY72" s="35" t="str">
        <f aca="false">IFERROR(CHOOSE(MATCH(INDEX(時間ごとの判定!$AK$3:$AK$1850,1656),{"利用可","両方停止","運転がそろわない","判定不能"},0),"○","停","×","－"),"")</f>
        <v>停</v>
      </c>
      <c r="AZ72" s="35"/>
      <c r="BA72" s="35" t="str">
        <f aca="false">IFERROR(CHOOSE(MATCH(INDEX(時間ごとの判定!$AN$3:$AN$1850,1633),{"利用可","両方停止","運転がそろわない","判定不能"},0),"○","停","×","－"),"")</f>
        <v>停</v>
      </c>
      <c r="BB72" s="35" t="str">
        <f aca="false">IFERROR(CHOOSE(MATCH(INDEX(時間ごとの判定!$AN$3:$AN$1850,1634),{"利用可","両方停止","運転がそろわない","判定不能"},0),"○","停","×","－"),"")</f>
        <v>停</v>
      </c>
      <c r="BC72" s="35" t="str">
        <f aca="false">IFERROR(CHOOSE(MATCH(INDEX(時間ごとの判定!$AN$3:$AN$1850,1635),{"利用可","両方停止","運転がそろわない","判定不能"},0),"○","停","×","－"),"")</f>
        <v>停</v>
      </c>
      <c r="BD72" s="35" t="str">
        <f aca="false">IFERROR(CHOOSE(MATCH(INDEX(時間ごとの判定!$AN$3:$AN$1850,1636),{"利用可","両方停止","運転がそろわない","判定不能"},0),"○","停","×","－"),"")</f>
        <v>停</v>
      </c>
      <c r="BE72" s="35" t="str">
        <f aca="false">IFERROR(CHOOSE(MATCH(INDEX(時間ごとの判定!$AN$3:$AN$1850,1637),{"利用可","両方停止","運転がそろわない","判定不能"},0),"○","停","×","－"),"")</f>
        <v>停</v>
      </c>
      <c r="BF72" s="35" t="str">
        <f aca="false">IFERROR(CHOOSE(MATCH(INDEX(時間ごとの判定!$AN$3:$AN$1850,1638),{"利用可","両方停止","運転がそろわない","判定不能"},0),"○","停","×","－"),"")</f>
        <v>停</v>
      </c>
      <c r="BG72" s="35" t="str">
        <f aca="false">IFERROR(CHOOSE(MATCH(INDEX(時間ごとの判定!$AN$3:$AN$1850,1639),{"利用可","両方停止","運転がそろわない","判定不能"},0),"○","停","×","－"),"")</f>
        <v>停</v>
      </c>
      <c r="BH72" s="35" t="str">
        <f aca="false">IFERROR(CHOOSE(MATCH(INDEX(時間ごとの判定!$AN$3:$AN$1850,1640),{"利用可","両方停止","運転がそろわない","判定不能"},0),"○","停","×","－"),"")</f>
        <v>×</v>
      </c>
      <c r="BI72" s="35" t="str">
        <f aca="false">IFERROR(CHOOSE(MATCH(INDEX(時間ごとの判定!$AN$3:$AN$1850,1641),{"利用可","両方停止","運転がそろわない","判定不能"},0),"○","停","×","－"),"")</f>
        <v>停</v>
      </c>
      <c r="BJ72" s="35" t="str">
        <f aca="false">IFERROR(CHOOSE(MATCH(INDEX(時間ごとの判定!$AN$3:$AN$1850,1642),{"利用可","両方停止","運転がそろわない","判定不能"},0),"○","停","×","－"),"")</f>
        <v>×</v>
      </c>
      <c r="BK72" s="35" t="str">
        <f aca="false">IFERROR(CHOOSE(MATCH(INDEX(時間ごとの判定!$AN$3:$AN$1850,1643),{"利用可","両方停止","運転がそろわない","判定不能"},0),"○","停","×","－"),"")</f>
        <v>×</v>
      </c>
      <c r="BL72" s="35" t="str">
        <f aca="false">IFERROR(CHOOSE(MATCH(INDEX(時間ごとの判定!$AN$3:$AN$1850,1644),{"利用可","両方停止","運転がそろわない","判定不能"},0),"○","停","×","－"),"")</f>
        <v>×</v>
      </c>
      <c r="BM72" s="35" t="str">
        <f aca="false">IFERROR(CHOOSE(MATCH(INDEX(時間ごとの判定!$AN$3:$AN$1850,1645),{"利用可","両方停止","運転がそろわない","判定不能"},0),"○","停","×","－"),"")</f>
        <v>○</v>
      </c>
      <c r="BN72" s="35" t="str">
        <f aca="false">IFERROR(CHOOSE(MATCH(INDEX(時間ごとの判定!$AN$3:$AN$1850,1646),{"利用可","両方停止","運転がそろわない","判定不能"},0),"○","停","×","－"),"")</f>
        <v>○</v>
      </c>
      <c r="BO72" s="35" t="str">
        <f aca="false">IFERROR(CHOOSE(MATCH(INDEX(時間ごとの判定!$AN$3:$AN$1850,1647),{"利用可","両方停止","運転がそろわない","判定不能"},0),"○","停","×","－"),"")</f>
        <v>○</v>
      </c>
      <c r="BP72" s="35" t="str">
        <f aca="false">IFERROR(CHOOSE(MATCH(INDEX(時間ごとの判定!$AN$3:$AN$1850,1648),{"利用可","両方停止","運転がそろわない","判定不能"},0),"○","停","×","－"),"")</f>
        <v>○</v>
      </c>
      <c r="BQ72" s="35" t="str">
        <f aca="false">IFERROR(CHOOSE(MATCH(INDEX(時間ごとの判定!$AN$3:$AN$1850,1649),{"利用可","両方停止","運転がそろわない","判定不能"},0),"○","停","×","－"),"")</f>
        <v>×</v>
      </c>
      <c r="BR72" s="35" t="str">
        <f aca="false">IFERROR(CHOOSE(MATCH(INDEX(時間ごとの判定!$AN$3:$AN$1850,1650),{"利用可","両方停止","運転がそろわない","判定不能"},0),"○","停","×","－"),"")</f>
        <v>×</v>
      </c>
      <c r="BS72" s="35" t="str">
        <f aca="false">IFERROR(CHOOSE(MATCH(INDEX(時間ごとの判定!$AN$3:$AN$1850,1651),{"利用可","両方停止","運転がそろわない","判定不能"},0),"○","停","×","－"),"")</f>
        <v>×</v>
      </c>
      <c r="BT72" s="35" t="str">
        <f aca="false">IFERROR(CHOOSE(MATCH(INDEX(時間ごとの判定!$AN$3:$AN$1850,1652),{"利用可","両方停止","運転がそろわない","判定不能"},0),"○","停","×","－"),"")</f>
        <v>×</v>
      </c>
      <c r="BU72" s="35" t="str">
        <f aca="false">IFERROR(CHOOSE(MATCH(INDEX(時間ごとの判定!$AN$3:$AN$1850,1653),{"利用可","両方停止","運転がそろわない","判定不能"},0),"○","停","×","－"),"")</f>
        <v>×</v>
      </c>
      <c r="BV72" s="35" t="str">
        <f aca="false">IFERROR(CHOOSE(MATCH(INDEX(時間ごとの判定!$AN$3:$AN$1850,1654),{"利用可","両方停止","運転がそろわない","判定不能"},0),"○","停","×","－"),"")</f>
        <v>停</v>
      </c>
      <c r="BW72" s="35" t="str">
        <f aca="false">IFERROR(CHOOSE(MATCH(INDEX(時間ごとの判定!$AN$3:$AN$1850,1655),{"利用可","両方停止","運転がそろわない","判定不能"},0),"○","停","×","－"),"")</f>
        <v>停</v>
      </c>
      <c r="BX72" s="35" t="str">
        <f aca="false">IFERROR(CHOOSE(MATCH(INDEX(時間ごとの判定!$AN$3:$AN$1850,1656),{"利用可","両方停止","運転がそろわない","判定不能"},0),"○","停","×","－"),"")</f>
        <v>停</v>
      </c>
    </row>
    <row r="73" customFormat="false" ht="15" hidden="false" customHeight="false" outlineLevel="0" collapsed="false">
      <c r="A73" s="33" t="n">
        <v>46301</v>
      </c>
      <c r="B73" s="34" t="s">
        <v>67</v>
      </c>
      <c r="C73" s="35" t="str">
        <f aca="false">IFERROR(CHOOSE(MATCH(INDEX(時間ごとの判定!$AH$3:$AH$1850,1657),{"利用可","両方停止","運転がそろわない","判定不能"},0),"○","停","×","－"),"")</f>
        <v>停</v>
      </c>
      <c r="D73" s="35" t="str">
        <f aca="false">IFERROR(CHOOSE(MATCH(INDEX(時間ごとの判定!$AH$3:$AH$1850,1658),{"利用可","両方停止","運転がそろわない","判定不能"},0),"○","停","×","－"),"")</f>
        <v>停</v>
      </c>
      <c r="E73" s="35" t="str">
        <f aca="false">IFERROR(CHOOSE(MATCH(INDEX(時間ごとの判定!$AH$3:$AH$1850,1659),{"利用可","両方停止","運転がそろわない","判定不能"},0),"○","停","×","－"),"")</f>
        <v>停</v>
      </c>
      <c r="F73" s="35" t="str">
        <f aca="false">IFERROR(CHOOSE(MATCH(INDEX(時間ごとの判定!$AH$3:$AH$1850,1660),{"利用可","両方停止","運転がそろわない","判定不能"},0),"○","停","×","－"),"")</f>
        <v>停</v>
      </c>
      <c r="G73" s="35" t="str">
        <f aca="false">IFERROR(CHOOSE(MATCH(INDEX(時間ごとの判定!$AH$3:$AH$1850,1661),{"利用可","両方停止","運転がそろわない","判定不能"},0),"○","停","×","－"),"")</f>
        <v>停</v>
      </c>
      <c r="H73" s="35" t="str">
        <f aca="false">IFERROR(CHOOSE(MATCH(INDEX(時間ごとの判定!$AH$3:$AH$1850,1662),{"利用可","両方停止","運転がそろわない","判定不能"},0),"○","停","×","－"),"")</f>
        <v>停</v>
      </c>
      <c r="I73" s="35" t="str">
        <f aca="false">IFERROR(CHOOSE(MATCH(INDEX(時間ごとの判定!$AH$3:$AH$1850,1663),{"利用可","両方停止","運転がそろわない","判定不能"},0),"○","停","×","－"),"")</f>
        <v>停</v>
      </c>
      <c r="J73" s="35" t="str">
        <f aca="false">IFERROR(CHOOSE(MATCH(INDEX(時間ごとの判定!$AH$3:$AH$1850,1664),{"利用可","両方停止","運転がそろわない","判定不能"},0),"○","停","×","－"),"")</f>
        <v>停</v>
      </c>
      <c r="K73" s="35" t="str">
        <f aca="false">IFERROR(CHOOSE(MATCH(INDEX(時間ごとの判定!$AH$3:$AH$1850,1665),{"利用可","両方停止","運転がそろわない","判定不能"},0),"○","停","×","－"),"")</f>
        <v>×</v>
      </c>
      <c r="L73" s="35" t="str">
        <f aca="false">IFERROR(CHOOSE(MATCH(INDEX(時間ごとの判定!$AH$3:$AH$1850,1666),{"利用可","両方停止","運転がそろわない","判定不能"},0),"○","停","×","－"),"")</f>
        <v>×</v>
      </c>
      <c r="M73" s="35" t="str">
        <f aca="false">IFERROR(CHOOSE(MATCH(INDEX(時間ごとの判定!$AH$3:$AH$1850,1667),{"利用可","両方停止","運転がそろわない","判定不能"},0),"○","停","×","－"),"")</f>
        <v>○</v>
      </c>
      <c r="N73" s="35" t="str">
        <f aca="false">IFERROR(CHOOSE(MATCH(INDEX(時間ごとの判定!$AH$3:$AH$1850,1668),{"利用可","両方停止","運転がそろわない","判定不能"},0),"○","停","×","－"),"")</f>
        <v>○</v>
      </c>
      <c r="O73" s="35" t="str">
        <f aca="false">IFERROR(CHOOSE(MATCH(INDEX(時間ごとの判定!$AH$3:$AH$1850,1669),{"利用可","両方停止","運転がそろわない","判定不能"},0),"○","停","×","－"),"")</f>
        <v>×</v>
      </c>
      <c r="P73" s="35" t="str">
        <f aca="false">IFERROR(CHOOSE(MATCH(INDEX(時間ごとの判定!$AH$3:$AH$1850,1670),{"利用可","両方停止","運転がそろわない","判定不能"},0),"○","停","×","－"),"")</f>
        <v>×</v>
      </c>
      <c r="Q73" s="35" t="str">
        <f aca="false">IFERROR(CHOOSE(MATCH(INDEX(時間ごとの判定!$AH$3:$AH$1850,1671),{"利用可","両方停止","運転がそろわない","判定不能"},0),"○","停","×","－"),"")</f>
        <v>×</v>
      </c>
      <c r="R73" s="35" t="str">
        <f aca="false">IFERROR(CHOOSE(MATCH(INDEX(時間ごとの判定!$AH$3:$AH$1850,1672),{"利用可","両方停止","運転がそろわない","判定不能"},0),"○","停","×","－"),"")</f>
        <v>○</v>
      </c>
      <c r="S73" s="35" t="str">
        <f aca="false">IFERROR(CHOOSE(MATCH(INDEX(時間ごとの判定!$AH$3:$AH$1850,1673),{"利用可","両方停止","運転がそろわない","判定不能"},0),"○","停","×","－"),"")</f>
        <v>×</v>
      </c>
      <c r="T73" s="35" t="str">
        <f aca="false">IFERROR(CHOOSE(MATCH(INDEX(時間ごとの判定!$AH$3:$AH$1850,1674),{"利用可","両方停止","運転がそろわない","判定不能"},0),"○","停","×","－"),"")</f>
        <v>×</v>
      </c>
      <c r="U73" s="35" t="str">
        <f aca="false">IFERROR(CHOOSE(MATCH(INDEX(時間ごとの判定!$AH$3:$AH$1850,1675),{"利用可","両方停止","運転がそろわない","判定不能"},0),"○","停","×","－"),"")</f>
        <v>×</v>
      </c>
      <c r="V73" s="35" t="str">
        <f aca="false">IFERROR(CHOOSE(MATCH(INDEX(時間ごとの判定!$AH$3:$AH$1850,1676),{"利用可","両方停止","運転がそろわない","判定不能"},0),"○","停","×","－"),"")</f>
        <v>停</v>
      </c>
      <c r="W73" s="35" t="str">
        <f aca="false">IFERROR(CHOOSE(MATCH(INDEX(時間ごとの判定!$AH$3:$AH$1850,1677),{"利用可","両方停止","運転がそろわない","判定不能"},0),"○","停","×","－"),"")</f>
        <v>停</v>
      </c>
      <c r="X73" s="35" t="str">
        <f aca="false">IFERROR(CHOOSE(MATCH(INDEX(時間ごとの判定!$AH$3:$AH$1850,1678),{"利用可","両方停止","運転がそろわない","判定不能"},0),"○","停","×","－"),"")</f>
        <v>停</v>
      </c>
      <c r="Y73" s="35" t="str">
        <f aca="false">IFERROR(CHOOSE(MATCH(INDEX(時間ごとの判定!$AH$3:$AH$1850,1679),{"利用可","両方停止","運転がそろわない","判定不能"},0),"○","停","×","－"),"")</f>
        <v>停</v>
      </c>
      <c r="Z73" s="35" t="str">
        <f aca="false">IFERROR(CHOOSE(MATCH(INDEX(時間ごとの判定!$AH$3:$AH$1850,1680),{"利用可","両方停止","運転がそろわない","判定不能"},0),"○","停","×","－"),"")</f>
        <v>停</v>
      </c>
      <c r="AA73" s="35"/>
      <c r="AB73" s="35" t="str">
        <f aca="false">IFERROR(CHOOSE(MATCH(INDEX(時間ごとの判定!$AK$3:$AK$1850,1657),{"利用可","両方停止","運転がそろわない","判定不能"},0),"○","停","×","－"),"")</f>
        <v>停</v>
      </c>
      <c r="AC73" s="35" t="str">
        <f aca="false">IFERROR(CHOOSE(MATCH(INDEX(時間ごとの判定!$AK$3:$AK$1850,1658),{"利用可","両方停止","運転がそろわない","判定不能"},0),"○","停","×","－"),"")</f>
        <v>停</v>
      </c>
      <c r="AD73" s="35" t="str">
        <f aca="false">IFERROR(CHOOSE(MATCH(INDEX(時間ごとの判定!$AK$3:$AK$1850,1659),{"利用可","両方停止","運転がそろわない","判定不能"},0),"○","停","×","－"),"")</f>
        <v>停</v>
      </c>
      <c r="AE73" s="35" t="str">
        <f aca="false">IFERROR(CHOOSE(MATCH(INDEX(時間ごとの判定!$AK$3:$AK$1850,1660),{"利用可","両方停止","運転がそろわない","判定不能"},0),"○","停","×","－"),"")</f>
        <v>停</v>
      </c>
      <c r="AF73" s="35" t="str">
        <f aca="false">IFERROR(CHOOSE(MATCH(INDEX(時間ごとの判定!$AK$3:$AK$1850,1661),{"利用可","両方停止","運転がそろわない","判定不能"},0),"○","停","×","－"),"")</f>
        <v>停</v>
      </c>
      <c r="AG73" s="35" t="str">
        <f aca="false">IFERROR(CHOOSE(MATCH(INDEX(時間ごとの判定!$AK$3:$AK$1850,1662),{"利用可","両方停止","運転がそろわない","判定不能"},0),"○","停","×","－"),"")</f>
        <v>停</v>
      </c>
      <c r="AH73" s="35" t="str">
        <f aca="false">IFERROR(CHOOSE(MATCH(INDEX(時間ごとの判定!$AK$3:$AK$1850,1663),{"利用可","両方停止","運転がそろわない","判定不能"},0),"○","停","×","－"),"")</f>
        <v>停</v>
      </c>
      <c r="AI73" s="35" t="str">
        <f aca="false">IFERROR(CHOOSE(MATCH(INDEX(時間ごとの判定!$AK$3:$AK$1850,1664),{"利用可","両方停止","運転がそろわない","判定不能"},0),"○","停","×","－"),"")</f>
        <v>×</v>
      </c>
      <c r="AJ73" s="35" t="str">
        <f aca="false">IFERROR(CHOOSE(MATCH(INDEX(時間ごとの判定!$AK$3:$AK$1850,1665),{"利用可","両方停止","運転がそろわない","判定不能"},0),"○","停","×","－"),"")</f>
        <v>×</v>
      </c>
      <c r="AK73" s="35" t="str">
        <f aca="false">IFERROR(CHOOSE(MATCH(INDEX(時間ごとの判定!$AK$3:$AK$1850,1666),{"利用可","両方停止","運転がそろわない","判定不能"},0),"○","停","×","－"),"")</f>
        <v>×</v>
      </c>
      <c r="AL73" s="35" t="str">
        <f aca="false">IFERROR(CHOOSE(MATCH(INDEX(時間ごとの判定!$AK$3:$AK$1850,1667),{"利用可","両方停止","運転がそろわない","判定不能"},0),"○","停","×","－"),"")</f>
        <v>○</v>
      </c>
      <c r="AM73" s="35" t="str">
        <f aca="false">IFERROR(CHOOSE(MATCH(INDEX(時間ごとの判定!$AK$3:$AK$1850,1668),{"利用可","両方停止","運転がそろわない","判定不能"},0),"○","停","×","－"),"")</f>
        <v>○</v>
      </c>
      <c r="AN73" s="35" t="str">
        <f aca="false">IFERROR(CHOOSE(MATCH(INDEX(時間ごとの判定!$AK$3:$AK$1850,1669),{"利用可","両方停止","運転がそろわない","判定不能"},0),"○","停","×","－"),"")</f>
        <v>○</v>
      </c>
      <c r="AO73" s="35" t="str">
        <f aca="false">IFERROR(CHOOSE(MATCH(INDEX(時間ごとの判定!$AK$3:$AK$1850,1670),{"利用可","両方停止","運転がそろわない","判定不能"},0),"○","停","×","－"),"")</f>
        <v>○</v>
      </c>
      <c r="AP73" s="35" t="str">
        <f aca="false">IFERROR(CHOOSE(MATCH(INDEX(時間ごとの判定!$AK$3:$AK$1850,1671),{"利用可","両方停止","運転がそろわない","判定不能"},0),"○","停","×","－"),"")</f>
        <v>○</v>
      </c>
      <c r="AQ73" s="35" t="str">
        <f aca="false">IFERROR(CHOOSE(MATCH(INDEX(時間ごとの判定!$AK$3:$AK$1850,1672),{"利用可","両方停止","運転がそろわない","判定不能"},0),"○","停","×","－"),"")</f>
        <v>○</v>
      </c>
      <c r="AR73" s="35" t="str">
        <f aca="false">IFERROR(CHOOSE(MATCH(INDEX(時間ごとの判定!$AK$3:$AK$1850,1673),{"利用可","両方停止","運転がそろわない","判定不能"},0),"○","停","×","－"),"")</f>
        <v>○</v>
      </c>
      <c r="AS73" s="35" t="str">
        <f aca="false">IFERROR(CHOOSE(MATCH(INDEX(時間ごとの判定!$AK$3:$AK$1850,1674),{"利用可","両方停止","運転がそろわない","判定不能"},0),"○","停","×","－"),"")</f>
        <v>×</v>
      </c>
      <c r="AT73" s="35" t="str">
        <f aca="false">IFERROR(CHOOSE(MATCH(INDEX(時間ごとの判定!$AK$3:$AK$1850,1675),{"利用可","両方停止","運転がそろわない","判定不能"},0),"○","停","×","－"),"")</f>
        <v>×</v>
      </c>
      <c r="AU73" s="35" t="str">
        <f aca="false">IFERROR(CHOOSE(MATCH(INDEX(時間ごとの判定!$AK$3:$AK$1850,1676),{"利用可","両方停止","運転がそろわない","判定不能"},0),"○","停","×","－"),"")</f>
        <v>×</v>
      </c>
      <c r="AV73" s="35" t="str">
        <f aca="false">IFERROR(CHOOSE(MATCH(INDEX(時間ごとの判定!$AK$3:$AK$1850,1677),{"利用可","両方停止","運転がそろわない","判定不能"},0),"○","停","×","－"),"")</f>
        <v>×</v>
      </c>
      <c r="AW73" s="35" t="str">
        <f aca="false">IFERROR(CHOOSE(MATCH(INDEX(時間ごとの判定!$AK$3:$AK$1850,1678),{"利用可","両方停止","運転がそろわない","判定不能"},0),"○","停","×","－"),"")</f>
        <v>停</v>
      </c>
      <c r="AX73" s="35" t="str">
        <f aca="false">IFERROR(CHOOSE(MATCH(INDEX(時間ごとの判定!$AK$3:$AK$1850,1679),{"利用可","両方停止","運転がそろわない","判定不能"},0),"○","停","×","－"),"")</f>
        <v>停</v>
      </c>
      <c r="AY73" s="35" t="str">
        <f aca="false">IFERROR(CHOOSE(MATCH(INDEX(時間ごとの判定!$AK$3:$AK$1850,1680),{"利用可","両方停止","運転がそろわない","判定不能"},0),"○","停","×","－"),"")</f>
        <v>停</v>
      </c>
      <c r="AZ73" s="35"/>
      <c r="BA73" s="35" t="str">
        <f aca="false">IFERROR(CHOOSE(MATCH(INDEX(時間ごとの判定!$AN$3:$AN$1850,1657),{"利用可","両方停止","運転がそろわない","判定不能"},0),"○","停","×","－"),"")</f>
        <v>停</v>
      </c>
      <c r="BB73" s="35" t="str">
        <f aca="false">IFERROR(CHOOSE(MATCH(INDEX(時間ごとの判定!$AN$3:$AN$1850,1658),{"利用可","両方停止","運転がそろわない","判定不能"},0),"○","停","×","－"),"")</f>
        <v>停</v>
      </c>
      <c r="BC73" s="35" t="str">
        <f aca="false">IFERROR(CHOOSE(MATCH(INDEX(時間ごとの判定!$AN$3:$AN$1850,1659),{"利用可","両方停止","運転がそろわない","判定不能"},0),"○","停","×","－"),"")</f>
        <v>停</v>
      </c>
      <c r="BD73" s="35" t="str">
        <f aca="false">IFERROR(CHOOSE(MATCH(INDEX(時間ごとの判定!$AN$3:$AN$1850,1660),{"利用可","両方停止","運転がそろわない","判定不能"},0),"○","停","×","－"),"")</f>
        <v>停</v>
      </c>
      <c r="BE73" s="35" t="str">
        <f aca="false">IFERROR(CHOOSE(MATCH(INDEX(時間ごとの判定!$AN$3:$AN$1850,1661),{"利用可","両方停止","運転がそろわない","判定不能"},0),"○","停","×","－"),"")</f>
        <v>停</v>
      </c>
      <c r="BF73" s="35" t="str">
        <f aca="false">IFERROR(CHOOSE(MATCH(INDEX(時間ごとの判定!$AN$3:$AN$1850,1662),{"利用可","両方停止","運転がそろわない","判定不能"},0),"○","停","×","－"),"")</f>
        <v>停</v>
      </c>
      <c r="BG73" s="35" t="str">
        <f aca="false">IFERROR(CHOOSE(MATCH(INDEX(時間ごとの判定!$AN$3:$AN$1850,1663),{"利用可","両方停止","運転がそろわない","判定不能"},0),"○","停","×","－"),"")</f>
        <v>停</v>
      </c>
      <c r="BH73" s="35" t="str">
        <f aca="false">IFERROR(CHOOSE(MATCH(INDEX(時間ごとの判定!$AN$3:$AN$1850,1664),{"利用可","両方停止","運転がそろわない","判定不能"},0),"○","停","×","－"),"")</f>
        <v>×</v>
      </c>
      <c r="BI73" s="35" t="str">
        <f aca="false">IFERROR(CHOOSE(MATCH(INDEX(時間ごとの判定!$AN$3:$AN$1850,1665),{"利用可","両方停止","運転がそろわない","判定不能"},0),"○","停","×","－"),"")</f>
        <v>×</v>
      </c>
      <c r="BJ73" s="35" t="str">
        <f aca="false">IFERROR(CHOOSE(MATCH(INDEX(時間ごとの判定!$AN$3:$AN$1850,1666),{"利用可","両方停止","運転がそろわない","判定不能"},0),"○","停","×","－"),"")</f>
        <v>○</v>
      </c>
      <c r="BK73" s="35" t="str">
        <f aca="false">IFERROR(CHOOSE(MATCH(INDEX(時間ごとの判定!$AN$3:$AN$1850,1667),{"利用可","両方停止","運転がそろわない","判定不能"},0),"○","停","×","－"),"")</f>
        <v>○</v>
      </c>
      <c r="BL73" s="35" t="str">
        <f aca="false">IFERROR(CHOOSE(MATCH(INDEX(時間ごとの判定!$AN$3:$AN$1850,1668),{"利用可","両方停止","運転がそろわない","判定不能"},0),"○","停","×","－"),"")</f>
        <v>○</v>
      </c>
      <c r="BM73" s="35" t="str">
        <f aca="false">IFERROR(CHOOSE(MATCH(INDEX(時間ごとの判定!$AN$3:$AN$1850,1669),{"利用可","両方停止","運転がそろわない","判定不能"},0),"○","停","×","－"),"")</f>
        <v>○</v>
      </c>
      <c r="BN73" s="35" t="str">
        <f aca="false">IFERROR(CHOOSE(MATCH(INDEX(時間ごとの判定!$AN$3:$AN$1850,1670),{"利用可","両方停止","運転がそろわない","判定不能"},0),"○","停","×","－"),"")</f>
        <v>○</v>
      </c>
      <c r="BO73" s="35" t="str">
        <f aca="false">IFERROR(CHOOSE(MATCH(INDEX(時間ごとの判定!$AN$3:$AN$1850,1671),{"利用可","両方停止","運転がそろわない","判定不能"},0),"○","停","×","－"),"")</f>
        <v>○</v>
      </c>
      <c r="BP73" s="35" t="str">
        <f aca="false">IFERROR(CHOOSE(MATCH(INDEX(時間ごとの判定!$AN$3:$AN$1850,1672),{"利用可","両方停止","運転がそろわない","判定不能"},0),"○","停","×","－"),"")</f>
        <v>○</v>
      </c>
      <c r="BQ73" s="35" t="str">
        <f aca="false">IFERROR(CHOOSE(MATCH(INDEX(時間ごとの判定!$AN$3:$AN$1850,1673),{"利用可","両方停止","運転がそろわない","判定不能"},0),"○","停","×","－"),"")</f>
        <v>○</v>
      </c>
      <c r="BR73" s="35" t="str">
        <f aca="false">IFERROR(CHOOSE(MATCH(INDEX(時間ごとの判定!$AN$3:$AN$1850,1674),{"利用可","両方停止","運転がそろわない","判定不能"},0),"○","停","×","－"),"")</f>
        <v>○</v>
      </c>
      <c r="BS73" s="35" t="str">
        <f aca="false">IFERROR(CHOOSE(MATCH(INDEX(時間ごとの判定!$AN$3:$AN$1850,1675),{"利用可","両方停止","運転がそろわない","判定不能"},0),"○","停","×","－"),"")</f>
        <v>×</v>
      </c>
      <c r="BT73" s="35" t="str">
        <f aca="false">IFERROR(CHOOSE(MATCH(INDEX(時間ごとの判定!$AN$3:$AN$1850,1676),{"利用可","両方停止","運転がそろわない","判定不能"},0),"○","停","×","－"),"")</f>
        <v>×</v>
      </c>
      <c r="BU73" s="35" t="str">
        <f aca="false">IFERROR(CHOOSE(MATCH(INDEX(時間ごとの判定!$AN$3:$AN$1850,1677),{"利用可","両方停止","運転がそろわない","判定不能"},0),"○","停","×","－"),"")</f>
        <v>×</v>
      </c>
      <c r="BV73" s="35" t="str">
        <f aca="false">IFERROR(CHOOSE(MATCH(INDEX(時間ごとの判定!$AN$3:$AN$1850,1678),{"利用可","両方停止","運転がそろわない","判定不能"},0),"○","停","×","－"),"")</f>
        <v>停</v>
      </c>
      <c r="BW73" s="35" t="str">
        <f aca="false">IFERROR(CHOOSE(MATCH(INDEX(時間ごとの判定!$AN$3:$AN$1850,1679),{"利用可","両方停止","運転がそろわない","判定不能"},0),"○","停","×","－"),"")</f>
        <v>停</v>
      </c>
      <c r="BX73" s="35" t="str">
        <f aca="false">IFERROR(CHOOSE(MATCH(INDEX(時間ごとの判定!$AN$3:$AN$1850,1680),{"利用可","両方停止","運転がそろわない","判定不能"},0),"○","停","×","－"),"")</f>
        <v>停</v>
      </c>
    </row>
    <row r="74" customFormat="false" ht="15" hidden="false" customHeight="false" outlineLevel="0" collapsed="false">
      <c r="A74" s="33" t="n">
        <v>46302</v>
      </c>
      <c r="B74" s="34" t="s">
        <v>58</v>
      </c>
      <c r="C74" s="35" t="str">
        <f aca="false">IFERROR(CHOOSE(MATCH(INDEX(時間ごとの判定!$AH$3:$AH$1850,1681),{"利用可","両方停止","運転がそろわない","判定不能"},0),"○","停","×","－"),"")</f>
        <v>停</v>
      </c>
      <c r="D74" s="35" t="str">
        <f aca="false">IFERROR(CHOOSE(MATCH(INDEX(時間ごとの判定!$AH$3:$AH$1850,1682),{"利用可","両方停止","運転がそろわない","判定不能"},0),"○","停","×","－"),"")</f>
        <v>停</v>
      </c>
      <c r="E74" s="35" t="str">
        <f aca="false">IFERROR(CHOOSE(MATCH(INDEX(時間ごとの判定!$AH$3:$AH$1850,1683),{"利用可","両方停止","運転がそろわない","判定不能"},0),"○","停","×","－"),"")</f>
        <v>停</v>
      </c>
      <c r="F74" s="35" t="str">
        <f aca="false">IFERROR(CHOOSE(MATCH(INDEX(時間ごとの判定!$AH$3:$AH$1850,1684),{"利用可","両方停止","運転がそろわない","判定不能"},0),"○","停","×","－"),"")</f>
        <v>停</v>
      </c>
      <c r="G74" s="35" t="str">
        <f aca="false">IFERROR(CHOOSE(MATCH(INDEX(時間ごとの判定!$AH$3:$AH$1850,1685),{"利用可","両方停止","運転がそろわない","判定不能"},0),"○","停","×","－"),"")</f>
        <v>停</v>
      </c>
      <c r="H74" s="35" t="str">
        <f aca="false">IFERROR(CHOOSE(MATCH(INDEX(時間ごとの判定!$AH$3:$AH$1850,1686),{"利用可","両方停止","運転がそろわない","判定不能"},0),"○","停","×","－"),"")</f>
        <v>停</v>
      </c>
      <c r="I74" s="35" t="str">
        <f aca="false">IFERROR(CHOOSE(MATCH(INDEX(時間ごとの判定!$AH$3:$AH$1850,1687),{"利用可","両方停止","運転がそろわない","判定不能"},0),"○","停","×","－"),"")</f>
        <v>停</v>
      </c>
      <c r="J74" s="35" t="str">
        <f aca="false">IFERROR(CHOOSE(MATCH(INDEX(時間ごとの判定!$AH$3:$AH$1850,1688),{"利用可","両方停止","運転がそろわない","判定不能"},0),"○","停","×","－"),"")</f>
        <v>停</v>
      </c>
      <c r="K74" s="35" t="str">
        <f aca="false">IFERROR(CHOOSE(MATCH(INDEX(時間ごとの判定!$AH$3:$AH$1850,1689),{"利用可","両方停止","運転がそろわない","判定不能"},0),"○","停","×","－"),"")</f>
        <v>停</v>
      </c>
      <c r="L74" s="35" t="str">
        <f aca="false">IFERROR(CHOOSE(MATCH(INDEX(時間ごとの判定!$AH$3:$AH$1850,1690),{"利用可","両方停止","運転がそろわない","判定不能"},0),"○","停","×","－"),"")</f>
        <v>×</v>
      </c>
      <c r="M74" s="35" t="str">
        <f aca="false">IFERROR(CHOOSE(MATCH(INDEX(時間ごとの判定!$AH$3:$AH$1850,1691),{"利用可","両方停止","運転がそろわない","判定不能"},0),"○","停","×","－"),"")</f>
        <v>×</v>
      </c>
      <c r="N74" s="35" t="str">
        <f aca="false">IFERROR(CHOOSE(MATCH(INDEX(時間ごとの判定!$AH$3:$AH$1850,1692),{"利用可","両方停止","運転がそろわない","判定不能"},0),"○","停","×","－"),"")</f>
        <v>×</v>
      </c>
      <c r="O74" s="35" t="str">
        <f aca="false">IFERROR(CHOOSE(MATCH(INDEX(時間ごとの判定!$AH$3:$AH$1850,1693),{"利用可","両方停止","運転がそろわない","判定不能"},0),"○","停","×","－"),"")</f>
        <v>×</v>
      </c>
      <c r="P74" s="35" t="str">
        <f aca="false">IFERROR(CHOOSE(MATCH(INDEX(時間ごとの判定!$AH$3:$AH$1850,1694),{"利用可","両方停止","運転がそろわない","判定不能"},0),"○","停","×","－"),"")</f>
        <v>×</v>
      </c>
      <c r="Q74" s="35" t="str">
        <f aca="false">IFERROR(CHOOSE(MATCH(INDEX(時間ごとの判定!$AH$3:$AH$1850,1695),{"利用可","両方停止","運転がそろわない","判定不能"},0),"○","停","×","－"),"")</f>
        <v>○</v>
      </c>
      <c r="R74" s="35" t="str">
        <f aca="false">IFERROR(CHOOSE(MATCH(INDEX(時間ごとの判定!$AH$3:$AH$1850,1696),{"利用可","両方停止","運転がそろわない","判定不能"},0),"○","停","×","－"),"")</f>
        <v>×</v>
      </c>
      <c r="S74" s="35" t="str">
        <f aca="false">IFERROR(CHOOSE(MATCH(INDEX(時間ごとの判定!$AH$3:$AH$1850,1697),{"利用可","両方停止","運転がそろわない","判定不能"},0),"○","停","×","－"),"")</f>
        <v>×</v>
      </c>
      <c r="T74" s="35" t="str">
        <f aca="false">IFERROR(CHOOSE(MATCH(INDEX(時間ごとの判定!$AH$3:$AH$1850,1698),{"利用可","両方停止","運転がそろわない","判定不能"},0),"○","停","×","－"),"")</f>
        <v>×</v>
      </c>
      <c r="U74" s="35" t="str">
        <f aca="false">IFERROR(CHOOSE(MATCH(INDEX(時間ごとの判定!$AH$3:$AH$1850,1699),{"利用可","両方停止","運転がそろわない","判定不能"},0),"○","停","×","－"),"")</f>
        <v>×</v>
      </c>
      <c r="V74" s="35" t="str">
        <f aca="false">IFERROR(CHOOSE(MATCH(INDEX(時間ごとの判定!$AH$3:$AH$1850,1700),{"利用可","両方停止","運転がそろわない","判定不能"},0),"○","停","×","－"),"")</f>
        <v>×</v>
      </c>
      <c r="W74" s="35" t="str">
        <f aca="false">IFERROR(CHOOSE(MATCH(INDEX(時間ごとの判定!$AH$3:$AH$1850,1701),{"利用可","両方停止","運転がそろわない","判定不能"},0),"○","停","×","－"),"")</f>
        <v>停</v>
      </c>
      <c r="X74" s="35" t="str">
        <f aca="false">IFERROR(CHOOSE(MATCH(INDEX(時間ごとの判定!$AH$3:$AH$1850,1702),{"利用可","両方停止","運転がそろわない","判定不能"},0),"○","停","×","－"),"")</f>
        <v>停</v>
      </c>
      <c r="Y74" s="35" t="str">
        <f aca="false">IFERROR(CHOOSE(MATCH(INDEX(時間ごとの判定!$AH$3:$AH$1850,1703),{"利用可","両方停止","運転がそろわない","判定不能"},0),"○","停","×","－"),"")</f>
        <v>停</v>
      </c>
      <c r="Z74" s="35" t="str">
        <f aca="false">IFERROR(CHOOSE(MATCH(INDEX(時間ごとの判定!$AH$3:$AH$1850,1704),{"利用可","両方停止","運転がそろわない","判定不能"},0),"○","停","×","－"),"")</f>
        <v>停</v>
      </c>
      <c r="AA74" s="35"/>
      <c r="AB74" s="35" t="str">
        <f aca="false">IFERROR(CHOOSE(MATCH(INDEX(時間ごとの判定!$AK$3:$AK$1850,1681),{"利用可","両方停止","運転がそろわない","判定不能"},0),"○","停","×","－"),"")</f>
        <v>停</v>
      </c>
      <c r="AC74" s="35" t="str">
        <f aca="false">IFERROR(CHOOSE(MATCH(INDEX(時間ごとの判定!$AK$3:$AK$1850,1682),{"利用可","両方停止","運転がそろわない","判定不能"},0),"○","停","×","－"),"")</f>
        <v>停</v>
      </c>
      <c r="AD74" s="35" t="str">
        <f aca="false">IFERROR(CHOOSE(MATCH(INDEX(時間ごとの判定!$AK$3:$AK$1850,1683),{"利用可","両方停止","運転がそろわない","判定不能"},0),"○","停","×","－"),"")</f>
        <v>停</v>
      </c>
      <c r="AE74" s="35" t="str">
        <f aca="false">IFERROR(CHOOSE(MATCH(INDEX(時間ごとの判定!$AK$3:$AK$1850,1684),{"利用可","両方停止","運転がそろわない","判定不能"},0),"○","停","×","－"),"")</f>
        <v>停</v>
      </c>
      <c r="AF74" s="35" t="str">
        <f aca="false">IFERROR(CHOOSE(MATCH(INDEX(時間ごとの判定!$AK$3:$AK$1850,1685),{"利用可","両方停止","運転がそろわない","判定不能"},0),"○","停","×","－"),"")</f>
        <v>停</v>
      </c>
      <c r="AG74" s="35" t="str">
        <f aca="false">IFERROR(CHOOSE(MATCH(INDEX(時間ごとの判定!$AK$3:$AK$1850,1686),{"利用可","両方停止","運転がそろわない","判定不能"},0),"○","停","×","－"),"")</f>
        <v>停</v>
      </c>
      <c r="AH74" s="35" t="str">
        <f aca="false">IFERROR(CHOOSE(MATCH(INDEX(時間ごとの判定!$AK$3:$AK$1850,1687),{"利用可","両方停止","運転がそろわない","判定不能"},0),"○","停","×","－"),"")</f>
        <v>停</v>
      </c>
      <c r="AI74" s="35" t="str">
        <f aca="false">IFERROR(CHOOSE(MATCH(INDEX(時間ごとの判定!$AK$3:$AK$1850,1688),{"利用可","両方停止","運転がそろわない","判定不能"},0),"○","停","×","－"),"")</f>
        <v>停</v>
      </c>
      <c r="AJ74" s="35" t="str">
        <f aca="false">IFERROR(CHOOSE(MATCH(INDEX(時間ごとの判定!$AK$3:$AK$1850,1689),{"利用可","両方停止","運転がそろわない","判定不能"},0),"○","停","×","－"),"")</f>
        <v>×</v>
      </c>
      <c r="AK74" s="35" t="str">
        <f aca="false">IFERROR(CHOOSE(MATCH(INDEX(時間ごとの判定!$AK$3:$AK$1850,1690),{"利用可","両方停止","運転がそろわない","判定不能"},0),"○","停","×","－"),"")</f>
        <v>×</v>
      </c>
      <c r="AL74" s="35" t="str">
        <f aca="false">IFERROR(CHOOSE(MATCH(INDEX(時間ごとの判定!$AK$3:$AK$1850,1691),{"利用可","両方停止","運転がそろわない","判定不能"},0),"○","停","×","－"),"")</f>
        <v>×</v>
      </c>
      <c r="AM74" s="35" t="str">
        <f aca="false">IFERROR(CHOOSE(MATCH(INDEX(時間ごとの判定!$AK$3:$AK$1850,1692),{"利用可","両方停止","運転がそろわない","判定不能"},0),"○","停","×","－"),"")</f>
        <v>×</v>
      </c>
      <c r="AN74" s="35" t="str">
        <f aca="false">IFERROR(CHOOSE(MATCH(INDEX(時間ごとの判定!$AK$3:$AK$1850,1693),{"利用可","両方停止","運転がそろわない","判定不能"},0),"○","停","×","－"),"")</f>
        <v>○</v>
      </c>
      <c r="AO74" s="35" t="str">
        <f aca="false">IFERROR(CHOOSE(MATCH(INDEX(時間ごとの判定!$AK$3:$AK$1850,1694),{"利用可","両方停止","運転がそろわない","判定不能"},0),"○","停","×","－"),"")</f>
        <v>○</v>
      </c>
      <c r="AP74" s="35" t="str">
        <f aca="false">IFERROR(CHOOSE(MATCH(INDEX(時間ごとの判定!$AK$3:$AK$1850,1695),{"利用可","両方停止","運転がそろわない","判定不能"},0),"○","停","×","－"),"")</f>
        <v>○</v>
      </c>
      <c r="AQ74" s="35" t="str">
        <f aca="false">IFERROR(CHOOSE(MATCH(INDEX(時間ごとの判定!$AK$3:$AK$1850,1696),{"利用可","両方停止","運転がそろわない","判定不能"},0),"○","停","×","－"),"")</f>
        <v>○</v>
      </c>
      <c r="AR74" s="35" t="str">
        <f aca="false">IFERROR(CHOOSE(MATCH(INDEX(時間ごとの判定!$AK$3:$AK$1850,1697),{"利用可","両方停止","運転がそろわない","判定不能"},0),"○","停","×","－"),"")</f>
        <v>×</v>
      </c>
      <c r="AS74" s="35" t="str">
        <f aca="false">IFERROR(CHOOSE(MATCH(INDEX(時間ごとの判定!$AK$3:$AK$1850,1698),{"利用可","両方停止","運転がそろわない","判定不能"},0),"○","停","×","－"),"")</f>
        <v>×</v>
      </c>
      <c r="AT74" s="35" t="str">
        <f aca="false">IFERROR(CHOOSE(MATCH(INDEX(時間ごとの判定!$AK$3:$AK$1850,1699),{"利用可","両方停止","運転がそろわない","判定不能"},0),"○","停","×","－"),"")</f>
        <v>×</v>
      </c>
      <c r="AU74" s="35" t="str">
        <f aca="false">IFERROR(CHOOSE(MATCH(INDEX(時間ごとの判定!$AK$3:$AK$1850,1700),{"利用可","両方停止","運転がそろわない","判定不能"},0),"○","停","×","－"),"")</f>
        <v>停</v>
      </c>
      <c r="AV74" s="35" t="str">
        <f aca="false">IFERROR(CHOOSE(MATCH(INDEX(時間ごとの判定!$AK$3:$AK$1850,1701),{"利用可","両方停止","運転がそろわない","判定不能"},0),"○","停","×","－"),"")</f>
        <v>停</v>
      </c>
      <c r="AW74" s="35" t="str">
        <f aca="false">IFERROR(CHOOSE(MATCH(INDEX(時間ごとの判定!$AK$3:$AK$1850,1702),{"利用可","両方停止","運転がそろわない","判定不能"},0),"○","停","×","－"),"")</f>
        <v>停</v>
      </c>
      <c r="AX74" s="35" t="str">
        <f aca="false">IFERROR(CHOOSE(MATCH(INDEX(時間ごとの判定!$AK$3:$AK$1850,1703),{"利用可","両方停止","運転がそろわない","判定不能"},0),"○","停","×","－"),"")</f>
        <v>停</v>
      </c>
      <c r="AY74" s="35" t="str">
        <f aca="false">IFERROR(CHOOSE(MATCH(INDEX(時間ごとの判定!$AK$3:$AK$1850,1704),{"利用可","両方停止","運転がそろわない","判定不能"},0),"○","停","×","－"),"")</f>
        <v>停</v>
      </c>
      <c r="AZ74" s="35"/>
      <c r="BA74" s="35" t="str">
        <f aca="false">IFERROR(CHOOSE(MATCH(INDEX(時間ごとの判定!$AN$3:$AN$1850,1681),{"利用可","両方停止","運転がそろわない","判定不能"},0),"○","停","×","－"),"")</f>
        <v>停</v>
      </c>
      <c r="BB74" s="35" t="str">
        <f aca="false">IFERROR(CHOOSE(MATCH(INDEX(時間ごとの判定!$AN$3:$AN$1850,1682),{"利用可","両方停止","運転がそろわない","判定不能"},0),"○","停","×","－"),"")</f>
        <v>停</v>
      </c>
      <c r="BC74" s="35" t="str">
        <f aca="false">IFERROR(CHOOSE(MATCH(INDEX(時間ごとの判定!$AN$3:$AN$1850,1683),{"利用可","両方停止","運転がそろわない","判定不能"},0),"○","停","×","－"),"")</f>
        <v>停</v>
      </c>
      <c r="BD74" s="35" t="str">
        <f aca="false">IFERROR(CHOOSE(MATCH(INDEX(時間ごとの判定!$AN$3:$AN$1850,1684),{"利用可","両方停止","運転がそろわない","判定不能"},0),"○","停","×","－"),"")</f>
        <v>停</v>
      </c>
      <c r="BE74" s="35" t="str">
        <f aca="false">IFERROR(CHOOSE(MATCH(INDEX(時間ごとの判定!$AN$3:$AN$1850,1685),{"利用可","両方停止","運転がそろわない","判定不能"},0),"○","停","×","－"),"")</f>
        <v>停</v>
      </c>
      <c r="BF74" s="35" t="str">
        <f aca="false">IFERROR(CHOOSE(MATCH(INDEX(時間ごとの判定!$AN$3:$AN$1850,1686),{"利用可","両方停止","運転がそろわない","判定不能"},0),"○","停","×","－"),"")</f>
        <v>停</v>
      </c>
      <c r="BG74" s="35" t="str">
        <f aca="false">IFERROR(CHOOSE(MATCH(INDEX(時間ごとの判定!$AN$3:$AN$1850,1687),{"利用可","両方停止","運転がそろわない","判定不能"},0),"○","停","×","－"),"")</f>
        <v>停</v>
      </c>
      <c r="BH74" s="35" t="str">
        <f aca="false">IFERROR(CHOOSE(MATCH(INDEX(時間ごとの判定!$AN$3:$AN$1850,1688),{"利用可","両方停止","運転がそろわない","判定不能"},0),"○","停","×","－"),"")</f>
        <v>停</v>
      </c>
      <c r="BI74" s="35" t="str">
        <f aca="false">IFERROR(CHOOSE(MATCH(INDEX(時間ごとの判定!$AN$3:$AN$1850,1689),{"利用可","両方停止","運転がそろわない","判定不能"},0),"○","停","×","－"),"")</f>
        <v>停</v>
      </c>
      <c r="BJ74" s="35" t="str">
        <f aca="false">IFERROR(CHOOSE(MATCH(INDEX(時間ごとの判定!$AN$3:$AN$1850,1690),{"利用可","両方停止","運転がそろわない","判定不能"},0),"○","停","×","－"),"")</f>
        <v>×</v>
      </c>
      <c r="BK74" s="35" t="str">
        <f aca="false">IFERROR(CHOOSE(MATCH(INDEX(時間ごとの判定!$AN$3:$AN$1850,1691),{"利用可","両方停止","運転がそろわない","判定不能"},0),"○","停","×","－"),"")</f>
        <v>×</v>
      </c>
      <c r="BL74" s="35" t="str">
        <f aca="false">IFERROR(CHOOSE(MATCH(INDEX(時間ごとの判定!$AN$3:$AN$1850,1692),{"利用可","両方停止","運転がそろわない","判定不能"},0),"○","停","×","－"),"")</f>
        <v>×</v>
      </c>
      <c r="BM74" s="35" t="str">
        <f aca="false">IFERROR(CHOOSE(MATCH(INDEX(時間ごとの判定!$AN$3:$AN$1850,1693),{"利用可","両方停止","運転がそろわない","判定不能"},0),"○","停","×","－"),"")</f>
        <v>○</v>
      </c>
      <c r="BN74" s="35" t="str">
        <f aca="false">IFERROR(CHOOSE(MATCH(INDEX(時間ごとの判定!$AN$3:$AN$1850,1694),{"利用可","両方停止","運転がそろわない","判定不能"},0),"○","停","×","－"),"")</f>
        <v>○</v>
      </c>
      <c r="BO74" s="35" t="str">
        <f aca="false">IFERROR(CHOOSE(MATCH(INDEX(時間ごとの判定!$AN$3:$AN$1850,1695),{"利用可","両方停止","運転がそろわない","判定不能"},0),"○","停","×","－"),"")</f>
        <v>○</v>
      </c>
      <c r="BP74" s="35" t="str">
        <f aca="false">IFERROR(CHOOSE(MATCH(INDEX(時間ごとの判定!$AN$3:$AN$1850,1696),{"利用可","両方停止","運転がそろわない","判定不能"},0),"○","停","×","－"),"")</f>
        <v>○</v>
      </c>
      <c r="BQ74" s="35" t="str">
        <f aca="false">IFERROR(CHOOSE(MATCH(INDEX(時間ごとの判定!$AN$3:$AN$1850,1697),{"利用可","両方停止","運転がそろわない","判定不能"},0),"○","停","×","－"),"")</f>
        <v>×</v>
      </c>
      <c r="BR74" s="35" t="str">
        <f aca="false">IFERROR(CHOOSE(MATCH(INDEX(時間ごとの判定!$AN$3:$AN$1850,1698),{"利用可","両方停止","運転がそろわない","判定不能"},0),"○","停","×","－"),"")</f>
        <v>○</v>
      </c>
      <c r="BS74" s="35" t="str">
        <f aca="false">IFERROR(CHOOSE(MATCH(INDEX(時間ごとの判定!$AN$3:$AN$1850,1699),{"利用可","両方停止","運転がそろわない","判定不能"},0),"○","停","×","－"),"")</f>
        <v>×</v>
      </c>
      <c r="BT74" s="35" t="str">
        <f aca="false">IFERROR(CHOOSE(MATCH(INDEX(時間ごとの判定!$AN$3:$AN$1850,1700),{"利用可","両方停止","運転がそろわない","判定不能"},0),"○","停","×","－"),"")</f>
        <v>×</v>
      </c>
      <c r="BU74" s="35" t="str">
        <f aca="false">IFERROR(CHOOSE(MATCH(INDEX(時間ごとの判定!$AN$3:$AN$1850,1701),{"利用可","両方停止","運転がそろわない","判定不能"},0),"○","停","×","－"),"")</f>
        <v>×</v>
      </c>
      <c r="BV74" s="35" t="str">
        <f aca="false">IFERROR(CHOOSE(MATCH(INDEX(時間ごとの判定!$AN$3:$AN$1850,1702),{"利用可","両方停止","運転がそろわない","判定不能"},0),"○","停","×","－"),"")</f>
        <v>停</v>
      </c>
      <c r="BW74" s="35" t="str">
        <f aca="false">IFERROR(CHOOSE(MATCH(INDEX(時間ごとの判定!$AN$3:$AN$1850,1703),{"利用可","両方停止","運転がそろわない","判定不能"},0),"○","停","×","－"),"")</f>
        <v>停</v>
      </c>
      <c r="BX74" s="35" t="str">
        <f aca="false">IFERROR(CHOOSE(MATCH(INDEX(時間ごとの判定!$AN$3:$AN$1850,1704),{"利用可","両方停止","運転がそろわない","判定不能"},0),"○","停","×","－"),"")</f>
        <v>停</v>
      </c>
    </row>
    <row r="75" customFormat="false" ht="15" hidden="false" customHeight="false" outlineLevel="0" collapsed="false">
      <c r="A75" s="33" t="n">
        <v>46303</v>
      </c>
      <c r="B75" s="34" t="s">
        <v>61</v>
      </c>
      <c r="C75" s="35" t="str">
        <f aca="false">IFERROR(CHOOSE(MATCH(INDEX(時間ごとの判定!$AH$3:$AH$1850,1705),{"利用可","両方停止","運転がそろわない","判定不能"},0),"○","停","×","－"),"")</f>
        <v>停</v>
      </c>
      <c r="D75" s="35" t="str">
        <f aca="false">IFERROR(CHOOSE(MATCH(INDEX(時間ごとの判定!$AH$3:$AH$1850,1706),{"利用可","両方停止","運転がそろわない","判定不能"},0),"○","停","×","－"),"")</f>
        <v>停</v>
      </c>
      <c r="E75" s="35" t="str">
        <f aca="false">IFERROR(CHOOSE(MATCH(INDEX(時間ごとの判定!$AH$3:$AH$1850,1707),{"利用可","両方停止","運転がそろわない","判定不能"},0),"○","停","×","－"),"")</f>
        <v>停</v>
      </c>
      <c r="F75" s="35" t="str">
        <f aca="false">IFERROR(CHOOSE(MATCH(INDEX(時間ごとの判定!$AH$3:$AH$1850,1708),{"利用可","両方停止","運転がそろわない","判定不能"},0),"○","停","×","－"),"")</f>
        <v>停</v>
      </c>
      <c r="G75" s="35" t="str">
        <f aca="false">IFERROR(CHOOSE(MATCH(INDEX(時間ごとの判定!$AH$3:$AH$1850,1709),{"利用可","両方停止","運転がそろわない","判定不能"},0),"○","停","×","－"),"")</f>
        <v>停</v>
      </c>
      <c r="H75" s="35" t="str">
        <f aca="false">IFERROR(CHOOSE(MATCH(INDEX(時間ごとの判定!$AH$3:$AH$1850,1710),{"利用可","両方停止","運転がそろわない","判定不能"},0),"○","停","×","－"),"")</f>
        <v>停</v>
      </c>
      <c r="I75" s="35" t="str">
        <f aca="false">IFERROR(CHOOSE(MATCH(INDEX(時間ごとの判定!$AH$3:$AH$1850,1711),{"利用可","両方停止","運転がそろわない","判定不能"},0),"○","停","×","－"),"")</f>
        <v>停</v>
      </c>
      <c r="J75" s="35" t="str">
        <f aca="false">IFERROR(CHOOSE(MATCH(INDEX(時間ごとの判定!$AH$3:$AH$1850,1712),{"利用可","両方停止","運転がそろわない","判定不能"},0),"○","停","×","－"),"")</f>
        <v>×</v>
      </c>
      <c r="K75" s="35" t="str">
        <f aca="false">IFERROR(CHOOSE(MATCH(INDEX(時間ごとの判定!$AH$3:$AH$1850,1713),{"利用可","両方停止","運転がそろわない","判定不能"},0),"○","停","×","－"),"")</f>
        <v>×</v>
      </c>
      <c r="L75" s="35" t="str">
        <f aca="false">IFERROR(CHOOSE(MATCH(INDEX(時間ごとの判定!$AH$3:$AH$1850,1714),{"利用可","両方停止","運転がそろわない","判定不能"},0),"○","停","×","－"),"")</f>
        <v>○</v>
      </c>
      <c r="M75" s="35" t="str">
        <f aca="false">IFERROR(CHOOSE(MATCH(INDEX(時間ごとの判定!$AH$3:$AH$1850,1715),{"利用可","両方停止","運転がそろわない","判定不能"},0),"○","停","×","－"),"")</f>
        <v>×</v>
      </c>
      <c r="N75" s="35" t="str">
        <f aca="false">IFERROR(CHOOSE(MATCH(INDEX(時間ごとの判定!$AH$3:$AH$1850,1716),{"利用可","両方停止","運転がそろわない","判定不能"},0),"○","停","×","－"),"")</f>
        <v>○</v>
      </c>
      <c r="O75" s="35" t="str">
        <f aca="false">IFERROR(CHOOSE(MATCH(INDEX(時間ごとの判定!$AH$3:$AH$1850,1717),{"利用可","両方停止","運転がそろわない","判定不能"},0),"○","停","×","－"),"")</f>
        <v>○</v>
      </c>
      <c r="P75" s="35" t="str">
        <f aca="false">IFERROR(CHOOSE(MATCH(INDEX(時間ごとの判定!$AH$3:$AH$1850,1718),{"利用可","両方停止","運転がそろわない","判定不能"},0),"○","停","×","－"),"")</f>
        <v>○</v>
      </c>
      <c r="Q75" s="35" t="str">
        <f aca="false">IFERROR(CHOOSE(MATCH(INDEX(時間ごとの判定!$AH$3:$AH$1850,1719),{"利用可","両方停止","運転がそろわない","判定不能"},0),"○","停","×","－"),"")</f>
        <v>○</v>
      </c>
      <c r="R75" s="35" t="str">
        <f aca="false">IFERROR(CHOOSE(MATCH(INDEX(時間ごとの判定!$AH$3:$AH$1850,1720),{"利用可","両方停止","運転がそろわない","判定不能"},0),"○","停","×","－"),"")</f>
        <v>○</v>
      </c>
      <c r="S75" s="35" t="str">
        <f aca="false">IFERROR(CHOOSE(MATCH(INDEX(時間ごとの判定!$AH$3:$AH$1850,1721),{"利用可","両方停止","運転がそろわない","判定不能"},0),"○","停","×","－"),"")</f>
        <v>×</v>
      </c>
      <c r="T75" s="35" t="str">
        <f aca="false">IFERROR(CHOOSE(MATCH(INDEX(時間ごとの判定!$AH$3:$AH$1850,1722),{"利用可","両方停止","運転がそろわない","判定不能"},0),"○","停","×","－"),"")</f>
        <v>×</v>
      </c>
      <c r="U75" s="35" t="str">
        <f aca="false">IFERROR(CHOOSE(MATCH(INDEX(時間ごとの判定!$AH$3:$AH$1850,1723),{"利用可","両方停止","運転がそろわない","判定不能"},0),"○","停","×","－"),"")</f>
        <v>×</v>
      </c>
      <c r="V75" s="35" t="str">
        <f aca="false">IFERROR(CHOOSE(MATCH(INDEX(時間ごとの判定!$AH$3:$AH$1850,1724),{"利用可","両方停止","運転がそろわない","判定不能"},0),"○","停","×","－"),"")</f>
        <v>×</v>
      </c>
      <c r="W75" s="35" t="str">
        <f aca="false">IFERROR(CHOOSE(MATCH(INDEX(時間ごとの判定!$AH$3:$AH$1850,1725),{"利用可","両方停止","運転がそろわない","判定不能"},0),"○","停","×","－"),"")</f>
        <v>×</v>
      </c>
      <c r="X75" s="35" t="str">
        <f aca="false">IFERROR(CHOOSE(MATCH(INDEX(時間ごとの判定!$AH$3:$AH$1850,1726),{"利用可","両方停止","運転がそろわない","判定不能"},0),"○","停","×","－"),"")</f>
        <v>停</v>
      </c>
      <c r="Y75" s="35" t="str">
        <f aca="false">IFERROR(CHOOSE(MATCH(INDEX(時間ごとの判定!$AH$3:$AH$1850,1727),{"利用可","両方停止","運転がそろわない","判定不能"},0),"○","停","×","－"),"")</f>
        <v>停</v>
      </c>
      <c r="Z75" s="35" t="str">
        <f aca="false">IFERROR(CHOOSE(MATCH(INDEX(時間ごとの判定!$AH$3:$AH$1850,1728),{"利用可","両方停止","運転がそろわない","判定不能"},0),"○","停","×","－"),"")</f>
        <v>停</v>
      </c>
      <c r="AA75" s="35"/>
      <c r="AB75" s="35" t="str">
        <f aca="false">IFERROR(CHOOSE(MATCH(INDEX(時間ごとの判定!$AK$3:$AK$1850,1705),{"利用可","両方停止","運転がそろわない","判定不能"},0),"○","停","×","－"),"")</f>
        <v>停</v>
      </c>
      <c r="AC75" s="35" t="str">
        <f aca="false">IFERROR(CHOOSE(MATCH(INDEX(時間ごとの判定!$AK$3:$AK$1850,1706),{"利用可","両方停止","運転がそろわない","判定不能"},0),"○","停","×","－"),"")</f>
        <v>停</v>
      </c>
      <c r="AD75" s="35" t="str">
        <f aca="false">IFERROR(CHOOSE(MATCH(INDEX(時間ごとの判定!$AK$3:$AK$1850,1707),{"利用可","両方停止","運転がそろわない","判定不能"},0),"○","停","×","－"),"")</f>
        <v>停</v>
      </c>
      <c r="AE75" s="35" t="str">
        <f aca="false">IFERROR(CHOOSE(MATCH(INDEX(時間ごとの判定!$AK$3:$AK$1850,1708),{"利用可","両方停止","運転がそろわない","判定不能"},0),"○","停","×","－"),"")</f>
        <v>停</v>
      </c>
      <c r="AF75" s="35" t="str">
        <f aca="false">IFERROR(CHOOSE(MATCH(INDEX(時間ごとの判定!$AK$3:$AK$1850,1709),{"利用可","両方停止","運転がそろわない","判定不能"},0),"○","停","×","－"),"")</f>
        <v>停</v>
      </c>
      <c r="AG75" s="35" t="str">
        <f aca="false">IFERROR(CHOOSE(MATCH(INDEX(時間ごとの判定!$AK$3:$AK$1850,1710),{"利用可","両方停止","運転がそろわない","判定不能"},0),"○","停","×","－"),"")</f>
        <v>停</v>
      </c>
      <c r="AH75" s="35" t="str">
        <f aca="false">IFERROR(CHOOSE(MATCH(INDEX(時間ごとの判定!$AK$3:$AK$1850,1711),{"利用可","両方停止","運転がそろわない","判定不能"},0),"○","停","×","－"),"")</f>
        <v>停</v>
      </c>
      <c r="AI75" s="35" t="str">
        <f aca="false">IFERROR(CHOOSE(MATCH(INDEX(時間ごとの判定!$AK$3:$AK$1850,1712),{"利用可","両方停止","運転がそろわない","判定不能"},0),"○","停","×","－"),"")</f>
        <v>×</v>
      </c>
      <c r="AJ75" s="35" t="str">
        <f aca="false">IFERROR(CHOOSE(MATCH(INDEX(時間ごとの判定!$AK$3:$AK$1850,1713),{"利用可","両方停止","運転がそろわない","判定不能"},0),"○","停","×","－"),"")</f>
        <v>×</v>
      </c>
      <c r="AK75" s="35" t="str">
        <f aca="false">IFERROR(CHOOSE(MATCH(INDEX(時間ごとの判定!$AK$3:$AK$1850,1714),{"利用可","両方停止","運転がそろわない","判定不能"},0),"○","停","×","－"),"")</f>
        <v>×</v>
      </c>
      <c r="AL75" s="35" t="str">
        <f aca="false">IFERROR(CHOOSE(MATCH(INDEX(時間ごとの判定!$AK$3:$AK$1850,1715),{"利用可","両方停止","運転がそろわない","判定不能"},0),"○","停","×","－"),"")</f>
        <v>○</v>
      </c>
      <c r="AM75" s="35" t="str">
        <f aca="false">IFERROR(CHOOSE(MATCH(INDEX(時間ごとの判定!$AK$3:$AK$1850,1716),{"利用可","両方停止","運転がそろわない","判定不能"},0),"○","停","×","－"),"")</f>
        <v>○</v>
      </c>
      <c r="AN75" s="35" t="str">
        <f aca="false">IFERROR(CHOOSE(MATCH(INDEX(時間ごとの判定!$AK$3:$AK$1850,1717),{"利用可","両方停止","運転がそろわない","判定不能"},0),"○","停","×","－"),"")</f>
        <v>○</v>
      </c>
      <c r="AO75" s="35" t="str">
        <f aca="false">IFERROR(CHOOSE(MATCH(INDEX(時間ごとの判定!$AK$3:$AK$1850,1718),{"利用可","両方停止","運転がそろわない","判定不能"},0),"○","停","×","－"),"")</f>
        <v>○</v>
      </c>
      <c r="AP75" s="35" t="str">
        <f aca="false">IFERROR(CHOOSE(MATCH(INDEX(時間ごとの判定!$AK$3:$AK$1850,1719),{"利用可","両方停止","運転がそろわない","判定不能"},0),"○","停","×","－"),"")</f>
        <v>○</v>
      </c>
      <c r="AQ75" s="35" t="str">
        <f aca="false">IFERROR(CHOOSE(MATCH(INDEX(時間ごとの判定!$AK$3:$AK$1850,1720),{"利用可","両方停止","運転がそろわない","判定不能"},0),"○","停","×","－"),"")</f>
        <v>○</v>
      </c>
      <c r="AR75" s="35" t="str">
        <f aca="false">IFERROR(CHOOSE(MATCH(INDEX(時間ごとの判定!$AK$3:$AK$1850,1721),{"利用可","両方停止","運転がそろわない","判定不能"},0),"○","停","×","－"),"")</f>
        <v>×</v>
      </c>
      <c r="AS75" s="35" t="str">
        <f aca="false">IFERROR(CHOOSE(MATCH(INDEX(時間ごとの判定!$AK$3:$AK$1850,1722),{"利用可","両方停止","運転がそろわない","判定不能"},0),"○","停","×","－"),"")</f>
        <v>停</v>
      </c>
      <c r="AT75" s="35" t="str">
        <f aca="false">IFERROR(CHOOSE(MATCH(INDEX(時間ごとの判定!$AK$3:$AK$1850,1723),{"利用可","両方停止","運転がそろわない","判定不能"},0),"○","停","×","－"),"")</f>
        <v>停</v>
      </c>
      <c r="AU75" s="35" t="str">
        <f aca="false">IFERROR(CHOOSE(MATCH(INDEX(時間ごとの判定!$AK$3:$AK$1850,1724),{"利用可","両方停止","運転がそろわない","判定不能"},0),"○","停","×","－"),"")</f>
        <v>×</v>
      </c>
      <c r="AV75" s="35" t="str">
        <f aca="false">IFERROR(CHOOSE(MATCH(INDEX(時間ごとの判定!$AK$3:$AK$1850,1725),{"利用可","両方停止","運転がそろわない","判定不能"},0),"○","停","×","－"),"")</f>
        <v>×</v>
      </c>
      <c r="AW75" s="35" t="str">
        <f aca="false">IFERROR(CHOOSE(MATCH(INDEX(時間ごとの判定!$AK$3:$AK$1850,1726),{"利用可","両方停止","運転がそろわない","判定不能"},0),"○","停","×","－"),"")</f>
        <v>停</v>
      </c>
      <c r="AX75" s="35" t="str">
        <f aca="false">IFERROR(CHOOSE(MATCH(INDEX(時間ごとの判定!$AK$3:$AK$1850,1727),{"利用可","両方停止","運転がそろわない","判定不能"},0),"○","停","×","－"),"")</f>
        <v>停</v>
      </c>
      <c r="AY75" s="35" t="str">
        <f aca="false">IFERROR(CHOOSE(MATCH(INDEX(時間ごとの判定!$AK$3:$AK$1850,1728),{"利用可","両方停止","運転がそろわない","判定不能"},0),"○","停","×","－"),"")</f>
        <v>停</v>
      </c>
      <c r="AZ75" s="35"/>
      <c r="BA75" s="35" t="str">
        <f aca="false">IFERROR(CHOOSE(MATCH(INDEX(時間ごとの判定!$AN$3:$AN$1850,1705),{"利用可","両方停止","運転がそろわない","判定不能"},0),"○","停","×","－"),"")</f>
        <v>停</v>
      </c>
      <c r="BB75" s="35" t="str">
        <f aca="false">IFERROR(CHOOSE(MATCH(INDEX(時間ごとの判定!$AN$3:$AN$1850,1706),{"利用可","両方停止","運転がそろわない","判定不能"},0),"○","停","×","－"),"")</f>
        <v>停</v>
      </c>
      <c r="BC75" s="35" t="str">
        <f aca="false">IFERROR(CHOOSE(MATCH(INDEX(時間ごとの判定!$AN$3:$AN$1850,1707),{"利用可","両方停止","運転がそろわない","判定不能"},0),"○","停","×","－"),"")</f>
        <v>停</v>
      </c>
      <c r="BD75" s="35" t="str">
        <f aca="false">IFERROR(CHOOSE(MATCH(INDEX(時間ごとの判定!$AN$3:$AN$1850,1708),{"利用可","両方停止","運転がそろわない","判定不能"},0),"○","停","×","－"),"")</f>
        <v>停</v>
      </c>
      <c r="BE75" s="35" t="str">
        <f aca="false">IFERROR(CHOOSE(MATCH(INDEX(時間ごとの判定!$AN$3:$AN$1850,1709),{"利用可","両方停止","運転がそろわない","判定不能"},0),"○","停","×","－"),"")</f>
        <v>停</v>
      </c>
      <c r="BF75" s="35" t="str">
        <f aca="false">IFERROR(CHOOSE(MATCH(INDEX(時間ごとの判定!$AN$3:$AN$1850,1710),{"利用可","両方停止","運転がそろわない","判定不能"},0),"○","停","×","－"),"")</f>
        <v>停</v>
      </c>
      <c r="BG75" s="35" t="str">
        <f aca="false">IFERROR(CHOOSE(MATCH(INDEX(時間ごとの判定!$AN$3:$AN$1850,1711),{"利用可","両方停止","運転がそろわない","判定不能"},0),"○","停","×","－"),"")</f>
        <v>停</v>
      </c>
      <c r="BH75" s="35" t="str">
        <f aca="false">IFERROR(CHOOSE(MATCH(INDEX(時間ごとの判定!$AN$3:$AN$1850,1712),{"利用可","両方停止","運転がそろわない","判定不能"},0),"○","停","×","－"),"")</f>
        <v>停</v>
      </c>
      <c r="BI75" s="35" t="str">
        <f aca="false">IFERROR(CHOOSE(MATCH(INDEX(時間ごとの判定!$AN$3:$AN$1850,1713),{"利用可","両方停止","運転がそろわない","判定不能"},0),"○","停","×","－"),"")</f>
        <v>×</v>
      </c>
      <c r="BJ75" s="35" t="str">
        <f aca="false">IFERROR(CHOOSE(MATCH(INDEX(時間ごとの判定!$AN$3:$AN$1850,1714),{"利用可","両方停止","運転がそろわない","判定不能"},0),"○","停","×","－"),"")</f>
        <v>×</v>
      </c>
      <c r="BK75" s="35" t="str">
        <f aca="false">IFERROR(CHOOSE(MATCH(INDEX(時間ごとの判定!$AN$3:$AN$1850,1715),{"利用可","両方停止","運転がそろわない","判定不能"},0),"○","停","×","－"),"")</f>
        <v>○</v>
      </c>
      <c r="BL75" s="35" t="str">
        <f aca="false">IFERROR(CHOOSE(MATCH(INDEX(時間ごとの判定!$AN$3:$AN$1850,1716),{"利用可","両方停止","運転がそろわない","判定不能"},0),"○","停","×","－"),"")</f>
        <v>○</v>
      </c>
      <c r="BM75" s="35" t="str">
        <f aca="false">IFERROR(CHOOSE(MATCH(INDEX(時間ごとの判定!$AN$3:$AN$1850,1717),{"利用可","両方停止","運転がそろわない","判定不能"},0),"○","停","×","－"),"")</f>
        <v>○</v>
      </c>
      <c r="BN75" s="35" t="str">
        <f aca="false">IFERROR(CHOOSE(MATCH(INDEX(時間ごとの判定!$AN$3:$AN$1850,1718),{"利用可","両方停止","運転がそろわない","判定不能"},0),"○","停","×","－"),"")</f>
        <v>×</v>
      </c>
      <c r="BO75" s="35" t="str">
        <f aca="false">IFERROR(CHOOSE(MATCH(INDEX(時間ごとの判定!$AN$3:$AN$1850,1719),{"利用可","両方停止","運転がそろわない","判定不能"},0),"○","停","×","－"),"")</f>
        <v>×</v>
      </c>
      <c r="BP75" s="35" t="str">
        <f aca="false">IFERROR(CHOOSE(MATCH(INDEX(時間ごとの判定!$AN$3:$AN$1850,1720),{"利用可","両方停止","運転がそろわない","判定不能"},0),"○","停","×","－"),"")</f>
        <v>×</v>
      </c>
      <c r="BQ75" s="35" t="str">
        <f aca="false">IFERROR(CHOOSE(MATCH(INDEX(時間ごとの判定!$AN$3:$AN$1850,1721),{"利用可","両方停止","運転がそろわない","判定不能"},0),"○","停","×","－"),"")</f>
        <v>×</v>
      </c>
      <c r="BR75" s="35" t="str">
        <f aca="false">IFERROR(CHOOSE(MATCH(INDEX(時間ごとの判定!$AN$3:$AN$1850,1722),{"利用可","両方停止","運転がそろわない","判定不能"},0),"○","停","×","－"),"")</f>
        <v>×</v>
      </c>
      <c r="BS75" s="35" t="str">
        <f aca="false">IFERROR(CHOOSE(MATCH(INDEX(時間ごとの判定!$AN$3:$AN$1850,1723),{"利用可","両方停止","運転がそろわない","判定不能"},0),"○","停","×","－"),"")</f>
        <v>停</v>
      </c>
      <c r="BT75" s="35" t="str">
        <f aca="false">IFERROR(CHOOSE(MATCH(INDEX(時間ごとの判定!$AN$3:$AN$1850,1724),{"利用可","両方停止","運転がそろわない","判定不能"},0),"○","停","×","－"),"")</f>
        <v>停</v>
      </c>
      <c r="BU75" s="35" t="str">
        <f aca="false">IFERROR(CHOOSE(MATCH(INDEX(時間ごとの判定!$AN$3:$AN$1850,1725),{"利用可","両方停止","運転がそろわない","判定不能"},0),"○","停","×","－"),"")</f>
        <v>停</v>
      </c>
      <c r="BV75" s="35" t="str">
        <f aca="false">IFERROR(CHOOSE(MATCH(INDEX(時間ごとの判定!$AN$3:$AN$1850,1726),{"利用可","両方停止","運転がそろわない","判定不能"},0),"○","停","×","－"),"")</f>
        <v>停</v>
      </c>
      <c r="BW75" s="35" t="str">
        <f aca="false">IFERROR(CHOOSE(MATCH(INDEX(時間ごとの判定!$AN$3:$AN$1850,1727),{"利用可","両方停止","運転がそろわない","判定不能"},0),"○","停","×","－"),"")</f>
        <v>停</v>
      </c>
      <c r="BX75" s="35" t="str">
        <f aca="false">IFERROR(CHOOSE(MATCH(INDEX(時間ごとの判定!$AN$3:$AN$1850,1728),{"利用可","両方停止","運転がそろわない","判定不能"},0),"○","停","×","－"),"")</f>
        <v>停</v>
      </c>
    </row>
    <row r="76" customFormat="false" ht="15" hidden="false" customHeight="false" outlineLevel="0" collapsed="false">
      <c r="A76" s="33" t="n">
        <v>46304</v>
      </c>
      <c r="B76" s="34" t="s">
        <v>62</v>
      </c>
      <c r="C76" s="35" t="str">
        <f aca="false">IFERROR(CHOOSE(MATCH(INDEX(時間ごとの判定!$AH$3:$AH$1850,1729),{"利用可","両方停止","運転がそろわない","判定不能"},0),"○","停","×","－"),"")</f>
        <v>停</v>
      </c>
      <c r="D76" s="35" t="str">
        <f aca="false">IFERROR(CHOOSE(MATCH(INDEX(時間ごとの判定!$AH$3:$AH$1850,1730),{"利用可","両方停止","運転がそろわない","判定不能"},0),"○","停","×","－"),"")</f>
        <v>停</v>
      </c>
      <c r="E76" s="35" t="str">
        <f aca="false">IFERROR(CHOOSE(MATCH(INDEX(時間ごとの判定!$AH$3:$AH$1850,1731),{"利用可","両方停止","運転がそろわない","判定不能"},0),"○","停","×","－"),"")</f>
        <v>停</v>
      </c>
      <c r="F76" s="35" t="str">
        <f aca="false">IFERROR(CHOOSE(MATCH(INDEX(時間ごとの判定!$AH$3:$AH$1850,1732),{"利用可","両方停止","運転がそろわない","判定不能"},0),"○","停","×","－"),"")</f>
        <v>停</v>
      </c>
      <c r="G76" s="35" t="str">
        <f aca="false">IFERROR(CHOOSE(MATCH(INDEX(時間ごとの判定!$AH$3:$AH$1850,1733),{"利用可","両方停止","運転がそろわない","判定不能"},0),"○","停","×","－"),"")</f>
        <v>停</v>
      </c>
      <c r="H76" s="35" t="str">
        <f aca="false">IFERROR(CHOOSE(MATCH(INDEX(時間ごとの判定!$AH$3:$AH$1850,1734),{"利用可","両方停止","運転がそろわない","判定不能"},0),"○","停","×","－"),"")</f>
        <v>停</v>
      </c>
      <c r="I76" s="35" t="str">
        <f aca="false">IFERROR(CHOOSE(MATCH(INDEX(時間ごとの判定!$AH$3:$AH$1850,1735),{"利用可","両方停止","運転がそろわない","判定不能"},0),"○","停","×","－"),"")</f>
        <v>停</v>
      </c>
      <c r="J76" s="35" t="str">
        <f aca="false">IFERROR(CHOOSE(MATCH(INDEX(時間ごとの判定!$AH$3:$AH$1850,1736),{"利用可","両方停止","運転がそろわない","判定不能"},0),"○","停","×","－"),"")</f>
        <v>停</v>
      </c>
      <c r="K76" s="35" t="str">
        <f aca="false">IFERROR(CHOOSE(MATCH(INDEX(時間ごとの判定!$AH$3:$AH$1850,1737),{"利用可","両方停止","運転がそろわない","判定不能"},0),"○","停","×","－"),"")</f>
        <v>×</v>
      </c>
      <c r="L76" s="35" t="str">
        <f aca="false">IFERROR(CHOOSE(MATCH(INDEX(時間ごとの判定!$AH$3:$AH$1850,1738),{"利用可","両方停止","運転がそろわない","判定不能"},0),"○","停","×","－"),"")</f>
        <v>○</v>
      </c>
      <c r="M76" s="35" t="str">
        <f aca="false">IFERROR(CHOOSE(MATCH(INDEX(時間ごとの判定!$AH$3:$AH$1850,1739),{"利用可","両方停止","運転がそろわない","判定不能"},0),"○","停","×","－"),"")</f>
        <v>○</v>
      </c>
      <c r="N76" s="35" t="str">
        <f aca="false">IFERROR(CHOOSE(MATCH(INDEX(時間ごとの判定!$AH$3:$AH$1850,1740),{"利用可","両方停止","運転がそろわない","判定不能"},0),"○","停","×","－"),"")</f>
        <v>○</v>
      </c>
      <c r="O76" s="35" t="str">
        <f aca="false">IFERROR(CHOOSE(MATCH(INDEX(時間ごとの判定!$AH$3:$AH$1850,1741),{"利用可","両方停止","運転がそろわない","判定不能"},0),"○","停","×","－"),"")</f>
        <v>○</v>
      </c>
      <c r="P76" s="35" t="str">
        <f aca="false">IFERROR(CHOOSE(MATCH(INDEX(時間ごとの判定!$AH$3:$AH$1850,1742),{"利用可","両方停止","運転がそろわない","判定不能"},0),"○","停","×","－"),"")</f>
        <v>○</v>
      </c>
      <c r="Q76" s="35" t="str">
        <f aca="false">IFERROR(CHOOSE(MATCH(INDEX(時間ごとの判定!$AH$3:$AH$1850,1743),{"利用可","両方停止","運転がそろわない","判定不能"},0),"○","停","×","－"),"")</f>
        <v>○</v>
      </c>
      <c r="R76" s="35" t="str">
        <f aca="false">IFERROR(CHOOSE(MATCH(INDEX(時間ごとの判定!$AH$3:$AH$1850,1744),{"利用可","両方停止","運転がそろわない","判定不能"},0),"○","停","×","－"),"")</f>
        <v>○</v>
      </c>
      <c r="S76" s="35" t="str">
        <f aca="false">IFERROR(CHOOSE(MATCH(INDEX(時間ごとの判定!$AH$3:$AH$1850,1745),{"利用可","両方停止","運転がそろわない","判定不能"},0),"○","停","×","－"),"")</f>
        <v>×</v>
      </c>
      <c r="T76" s="35" t="str">
        <f aca="false">IFERROR(CHOOSE(MATCH(INDEX(時間ごとの判定!$AH$3:$AH$1850,1746),{"利用可","両方停止","運転がそろわない","判定不能"},0),"○","停","×","－"),"")</f>
        <v>×</v>
      </c>
      <c r="U76" s="35" t="str">
        <f aca="false">IFERROR(CHOOSE(MATCH(INDEX(時間ごとの判定!$AH$3:$AH$1850,1747),{"利用可","両方停止","運転がそろわない","判定不能"},0),"○","停","×","－"),"")</f>
        <v>×</v>
      </c>
      <c r="V76" s="35" t="str">
        <f aca="false">IFERROR(CHOOSE(MATCH(INDEX(時間ごとの判定!$AH$3:$AH$1850,1748),{"利用可","両方停止","運転がそろわない","判定不能"},0),"○","停","×","－"),"")</f>
        <v>×</v>
      </c>
      <c r="W76" s="35" t="str">
        <f aca="false">IFERROR(CHOOSE(MATCH(INDEX(時間ごとの判定!$AH$3:$AH$1850,1749),{"利用可","両方停止","運転がそろわない","判定不能"},0),"○","停","×","－"),"")</f>
        <v>×</v>
      </c>
      <c r="X76" s="35" t="str">
        <f aca="false">IFERROR(CHOOSE(MATCH(INDEX(時間ごとの判定!$AH$3:$AH$1850,1750),{"利用可","両方停止","運転がそろわない","判定不能"},0),"○","停","×","－"),"")</f>
        <v>停</v>
      </c>
      <c r="Y76" s="35" t="str">
        <f aca="false">IFERROR(CHOOSE(MATCH(INDEX(時間ごとの判定!$AH$3:$AH$1850,1751),{"利用可","両方停止","運転がそろわない","判定不能"},0),"○","停","×","－"),"")</f>
        <v>停</v>
      </c>
      <c r="Z76" s="35" t="str">
        <f aca="false">IFERROR(CHOOSE(MATCH(INDEX(時間ごとの判定!$AH$3:$AH$1850,1752),{"利用可","両方停止","運転がそろわない","判定不能"},0),"○","停","×","－"),"")</f>
        <v>停</v>
      </c>
      <c r="AA76" s="35"/>
      <c r="AB76" s="35" t="str">
        <f aca="false">IFERROR(CHOOSE(MATCH(INDEX(時間ごとの判定!$AK$3:$AK$1850,1729),{"利用可","両方停止","運転がそろわない","判定不能"},0),"○","停","×","－"),"")</f>
        <v>停</v>
      </c>
      <c r="AC76" s="35" t="str">
        <f aca="false">IFERROR(CHOOSE(MATCH(INDEX(時間ごとの判定!$AK$3:$AK$1850,1730),{"利用可","両方停止","運転がそろわない","判定不能"},0),"○","停","×","－"),"")</f>
        <v>停</v>
      </c>
      <c r="AD76" s="35" t="str">
        <f aca="false">IFERROR(CHOOSE(MATCH(INDEX(時間ごとの判定!$AK$3:$AK$1850,1731),{"利用可","両方停止","運転がそろわない","判定不能"},0),"○","停","×","－"),"")</f>
        <v>停</v>
      </c>
      <c r="AE76" s="35" t="str">
        <f aca="false">IFERROR(CHOOSE(MATCH(INDEX(時間ごとの判定!$AK$3:$AK$1850,1732),{"利用可","両方停止","運転がそろわない","判定不能"},0),"○","停","×","－"),"")</f>
        <v>停</v>
      </c>
      <c r="AF76" s="35" t="str">
        <f aca="false">IFERROR(CHOOSE(MATCH(INDEX(時間ごとの判定!$AK$3:$AK$1850,1733),{"利用可","両方停止","運転がそろわない","判定不能"},0),"○","停","×","－"),"")</f>
        <v>停</v>
      </c>
      <c r="AG76" s="35" t="str">
        <f aca="false">IFERROR(CHOOSE(MATCH(INDEX(時間ごとの判定!$AK$3:$AK$1850,1734),{"利用可","両方停止","運転がそろわない","判定不能"},0),"○","停","×","－"),"")</f>
        <v>停</v>
      </c>
      <c r="AH76" s="35" t="str">
        <f aca="false">IFERROR(CHOOSE(MATCH(INDEX(時間ごとの判定!$AK$3:$AK$1850,1735),{"利用可","両方停止","運転がそろわない","判定不能"},0),"○","停","×","－"),"")</f>
        <v>停</v>
      </c>
      <c r="AI76" s="35" t="str">
        <f aca="false">IFERROR(CHOOSE(MATCH(INDEX(時間ごとの判定!$AK$3:$AK$1850,1736),{"利用可","両方停止","運転がそろわない","判定不能"},0),"○","停","×","－"),"")</f>
        <v>停</v>
      </c>
      <c r="AJ76" s="35" t="str">
        <f aca="false">IFERROR(CHOOSE(MATCH(INDEX(時間ごとの判定!$AK$3:$AK$1850,1737),{"利用可","両方停止","運転がそろわない","判定不能"},0),"○","停","×","－"),"")</f>
        <v>×</v>
      </c>
      <c r="AK76" s="35" t="str">
        <f aca="false">IFERROR(CHOOSE(MATCH(INDEX(時間ごとの判定!$AK$3:$AK$1850,1738),{"利用可","両方停止","運転がそろわない","判定不能"},0),"○","停","×","－"),"")</f>
        <v>×</v>
      </c>
      <c r="AL76" s="35" t="str">
        <f aca="false">IFERROR(CHOOSE(MATCH(INDEX(時間ごとの判定!$AK$3:$AK$1850,1739),{"利用可","両方停止","運転がそろわない","判定不能"},0),"○","停","×","－"),"")</f>
        <v>○</v>
      </c>
      <c r="AM76" s="35" t="str">
        <f aca="false">IFERROR(CHOOSE(MATCH(INDEX(時間ごとの判定!$AK$3:$AK$1850,1740),{"利用可","両方停止","運転がそろわない","判定不能"},0),"○","停","×","－"),"")</f>
        <v>○</v>
      </c>
      <c r="AN76" s="35" t="str">
        <f aca="false">IFERROR(CHOOSE(MATCH(INDEX(時間ごとの判定!$AK$3:$AK$1850,1741),{"利用可","両方停止","運転がそろわない","判定不能"},0),"○","停","×","－"),"")</f>
        <v>○</v>
      </c>
      <c r="AO76" s="35" t="str">
        <f aca="false">IFERROR(CHOOSE(MATCH(INDEX(時間ごとの判定!$AK$3:$AK$1850,1742),{"利用可","両方停止","運転がそろわない","判定不能"},0),"○","停","×","－"),"")</f>
        <v>○</v>
      </c>
      <c r="AP76" s="35" t="str">
        <f aca="false">IFERROR(CHOOSE(MATCH(INDEX(時間ごとの判定!$AK$3:$AK$1850,1743),{"利用可","両方停止","運転がそろわない","判定不能"},0),"○","停","×","－"),"")</f>
        <v>○</v>
      </c>
      <c r="AQ76" s="35" t="str">
        <f aca="false">IFERROR(CHOOSE(MATCH(INDEX(時間ごとの判定!$AK$3:$AK$1850,1744),{"利用可","両方停止","運転がそろわない","判定不能"},0),"○","停","×","－"),"")</f>
        <v>○</v>
      </c>
      <c r="AR76" s="35" t="str">
        <f aca="false">IFERROR(CHOOSE(MATCH(INDEX(時間ごとの判定!$AK$3:$AK$1850,1745),{"利用可","両方停止","運転がそろわない","判定不能"},0),"○","停","×","－"),"")</f>
        <v>×</v>
      </c>
      <c r="AS76" s="35" t="str">
        <f aca="false">IFERROR(CHOOSE(MATCH(INDEX(時間ごとの判定!$AK$3:$AK$1850,1746),{"利用可","両方停止","運転がそろわない","判定不能"},0),"○","停","×","－"),"")</f>
        <v>×</v>
      </c>
      <c r="AT76" s="35" t="str">
        <f aca="false">IFERROR(CHOOSE(MATCH(INDEX(時間ごとの判定!$AK$3:$AK$1850,1747),{"利用可","両方停止","運転がそろわない","判定不能"},0),"○","停","×","－"),"")</f>
        <v>×</v>
      </c>
      <c r="AU76" s="35" t="str">
        <f aca="false">IFERROR(CHOOSE(MATCH(INDEX(時間ごとの判定!$AK$3:$AK$1850,1748),{"利用可","両方停止","運転がそろわない","判定不能"},0),"○","停","×","－"),"")</f>
        <v>×</v>
      </c>
      <c r="AV76" s="35" t="str">
        <f aca="false">IFERROR(CHOOSE(MATCH(INDEX(時間ごとの判定!$AK$3:$AK$1850,1749),{"利用可","両方停止","運転がそろわない","判定不能"},0),"○","停","×","－"),"")</f>
        <v>停</v>
      </c>
      <c r="AW76" s="35" t="str">
        <f aca="false">IFERROR(CHOOSE(MATCH(INDEX(時間ごとの判定!$AK$3:$AK$1850,1750),{"利用可","両方停止","運転がそろわない","判定不能"},0),"○","停","×","－"),"")</f>
        <v>停</v>
      </c>
      <c r="AX76" s="35" t="str">
        <f aca="false">IFERROR(CHOOSE(MATCH(INDEX(時間ごとの判定!$AK$3:$AK$1850,1751),{"利用可","両方停止","運転がそろわない","判定不能"},0),"○","停","×","－"),"")</f>
        <v>停</v>
      </c>
      <c r="AY76" s="35" t="str">
        <f aca="false">IFERROR(CHOOSE(MATCH(INDEX(時間ごとの判定!$AK$3:$AK$1850,1752),{"利用可","両方停止","運転がそろわない","判定不能"},0),"○","停","×","－"),"")</f>
        <v>停</v>
      </c>
      <c r="AZ76" s="35"/>
      <c r="BA76" s="35" t="str">
        <f aca="false">IFERROR(CHOOSE(MATCH(INDEX(時間ごとの判定!$AN$3:$AN$1850,1729),{"利用可","両方停止","運転がそろわない","判定不能"},0),"○","停","×","－"),"")</f>
        <v>停</v>
      </c>
      <c r="BB76" s="35" t="str">
        <f aca="false">IFERROR(CHOOSE(MATCH(INDEX(時間ごとの判定!$AN$3:$AN$1850,1730),{"利用可","両方停止","運転がそろわない","判定不能"},0),"○","停","×","－"),"")</f>
        <v>停</v>
      </c>
      <c r="BC76" s="35" t="str">
        <f aca="false">IFERROR(CHOOSE(MATCH(INDEX(時間ごとの判定!$AN$3:$AN$1850,1731),{"利用可","両方停止","運転がそろわない","判定不能"},0),"○","停","×","－"),"")</f>
        <v>停</v>
      </c>
      <c r="BD76" s="35" t="str">
        <f aca="false">IFERROR(CHOOSE(MATCH(INDEX(時間ごとの判定!$AN$3:$AN$1850,1732),{"利用可","両方停止","運転がそろわない","判定不能"},0),"○","停","×","－"),"")</f>
        <v>停</v>
      </c>
      <c r="BE76" s="35" t="str">
        <f aca="false">IFERROR(CHOOSE(MATCH(INDEX(時間ごとの判定!$AN$3:$AN$1850,1733),{"利用可","両方停止","運転がそろわない","判定不能"},0),"○","停","×","－"),"")</f>
        <v>停</v>
      </c>
      <c r="BF76" s="35" t="str">
        <f aca="false">IFERROR(CHOOSE(MATCH(INDEX(時間ごとの判定!$AN$3:$AN$1850,1734),{"利用可","両方停止","運転がそろわない","判定不能"},0),"○","停","×","－"),"")</f>
        <v>停</v>
      </c>
      <c r="BG76" s="35" t="str">
        <f aca="false">IFERROR(CHOOSE(MATCH(INDEX(時間ごとの判定!$AN$3:$AN$1850,1735),{"利用可","両方停止","運転がそろわない","判定不能"},0),"○","停","×","－"),"")</f>
        <v>停</v>
      </c>
      <c r="BH76" s="35" t="str">
        <f aca="false">IFERROR(CHOOSE(MATCH(INDEX(時間ごとの判定!$AN$3:$AN$1850,1736),{"利用可","両方停止","運転がそろわない","判定不能"},0),"○","停","×","－"),"")</f>
        <v>停</v>
      </c>
      <c r="BI76" s="35" t="str">
        <f aca="false">IFERROR(CHOOSE(MATCH(INDEX(時間ごとの判定!$AN$3:$AN$1850,1737),{"利用可","両方停止","運転がそろわない","判定不能"},0),"○","停","×","－"),"")</f>
        <v>×</v>
      </c>
      <c r="BJ76" s="35" t="str">
        <f aca="false">IFERROR(CHOOSE(MATCH(INDEX(時間ごとの判定!$AN$3:$AN$1850,1738),{"利用可","両方停止","運転がそろわない","判定不能"},0),"○","停","×","－"),"")</f>
        <v>○</v>
      </c>
      <c r="BK76" s="35" t="str">
        <f aca="false">IFERROR(CHOOSE(MATCH(INDEX(時間ごとの判定!$AN$3:$AN$1850,1739),{"利用可","両方停止","運転がそろわない","判定不能"},0),"○","停","×","－"),"")</f>
        <v>○</v>
      </c>
      <c r="BL76" s="35" t="str">
        <f aca="false">IFERROR(CHOOSE(MATCH(INDEX(時間ごとの判定!$AN$3:$AN$1850,1740),{"利用可","両方停止","運転がそろわない","判定不能"},0),"○","停","×","－"),"")</f>
        <v>○</v>
      </c>
      <c r="BM76" s="35" t="str">
        <f aca="false">IFERROR(CHOOSE(MATCH(INDEX(時間ごとの判定!$AN$3:$AN$1850,1741),{"利用可","両方停止","運転がそろわない","判定不能"},0),"○","停","×","－"),"")</f>
        <v>○</v>
      </c>
      <c r="BN76" s="35" t="str">
        <f aca="false">IFERROR(CHOOSE(MATCH(INDEX(時間ごとの判定!$AN$3:$AN$1850,1742),{"利用可","両方停止","運転がそろわない","判定不能"},0),"○","停","×","－"),"")</f>
        <v>○</v>
      </c>
      <c r="BO76" s="35" t="str">
        <f aca="false">IFERROR(CHOOSE(MATCH(INDEX(時間ごとの判定!$AN$3:$AN$1850,1743),{"利用可","両方停止","運転がそろわない","判定不能"},0),"○","停","×","－"),"")</f>
        <v>○</v>
      </c>
      <c r="BP76" s="35" t="str">
        <f aca="false">IFERROR(CHOOSE(MATCH(INDEX(時間ごとの判定!$AN$3:$AN$1850,1744),{"利用可","両方停止","運転がそろわない","判定不能"},0),"○","停","×","－"),"")</f>
        <v>○</v>
      </c>
      <c r="BQ76" s="35" t="str">
        <f aca="false">IFERROR(CHOOSE(MATCH(INDEX(時間ごとの判定!$AN$3:$AN$1850,1745),{"利用可","両方停止","運転がそろわない","判定不能"},0),"○","停","×","－"),"")</f>
        <v>○</v>
      </c>
      <c r="BR76" s="35" t="str">
        <f aca="false">IFERROR(CHOOSE(MATCH(INDEX(時間ごとの判定!$AN$3:$AN$1850,1746),{"利用可","両方停止","運転がそろわない","判定不能"},0),"○","停","×","－"),"")</f>
        <v>○</v>
      </c>
      <c r="BS76" s="35" t="str">
        <f aca="false">IFERROR(CHOOSE(MATCH(INDEX(時間ごとの判定!$AN$3:$AN$1850,1747),{"利用可","両方停止","運転がそろわない","判定不能"},0),"○","停","×","－"),"")</f>
        <v>×</v>
      </c>
      <c r="BT76" s="35" t="str">
        <f aca="false">IFERROR(CHOOSE(MATCH(INDEX(時間ごとの判定!$AN$3:$AN$1850,1748),{"利用可","両方停止","運転がそろわない","判定不能"},0),"○","停","×","－"),"")</f>
        <v>×</v>
      </c>
      <c r="BU76" s="35" t="str">
        <f aca="false">IFERROR(CHOOSE(MATCH(INDEX(時間ごとの判定!$AN$3:$AN$1850,1749),{"利用可","両方停止","運転がそろわない","判定不能"},0),"○","停","×","－"),"")</f>
        <v>×</v>
      </c>
      <c r="BV76" s="35" t="str">
        <f aca="false">IFERROR(CHOOSE(MATCH(INDEX(時間ごとの判定!$AN$3:$AN$1850,1750),{"利用可","両方停止","運転がそろわない","判定不能"},0),"○","停","×","－"),"")</f>
        <v>停</v>
      </c>
      <c r="BW76" s="35" t="str">
        <f aca="false">IFERROR(CHOOSE(MATCH(INDEX(時間ごとの判定!$AN$3:$AN$1850,1751),{"利用可","両方停止","運転がそろわない","判定不能"},0),"○","停","×","－"),"")</f>
        <v>停</v>
      </c>
      <c r="BX76" s="35" t="str">
        <f aca="false">IFERROR(CHOOSE(MATCH(INDEX(時間ごとの判定!$AN$3:$AN$1850,1752),{"利用可","両方停止","運転がそろわない","判定不能"},0),"○","停","×","－"),"")</f>
        <v>停</v>
      </c>
    </row>
    <row r="77" customFormat="false" ht="15" hidden="false" customHeight="false" outlineLevel="0" collapsed="false">
      <c r="A77" s="33" t="n">
        <v>46305</v>
      </c>
      <c r="B77" s="36" t="s">
        <v>63</v>
      </c>
      <c r="C77" s="35" t="str">
        <f aca="false">IFERROR(CHOOSE(MATCH(INDEX(時間ごとの判定!$AH$3:$AH$1850,1753),{"利用可","両方停止","運転がそろわない","判定不能"},0),"○","停","×","－"),"")</f>
        <v>停</v>
      </c>
      <c r="D77" s="35" t="str">
        <f aca="false">IFERROR(CHOOSE(MATCH(INDEX(時間ごとの判定!$AH$3:$AH$1850,1754),{"利用可","両方停止","運転がそろわない","判定不能"},0),"○","停","×","－"),"")</f>
        <v>停</v>
      </c>
      <c r="E77" s="35" t="str">
        <f aca="false">IFERROR(CHOOSE(MATCH(INDEX(時間ごとの判定!$AH$3:$AH$1850,1755),{"利用可","両方停止","運転がそろわない","判定不能"},0),"○","停","×","－"),"")</f>
        <v>停</v>
      </c>
      <c r="F77" s="35" t="str">
        <f aca="false">IFERROR(CHOOSE(MATCH(INDEX(時間ごとの判定!$AH$3:$AH$1850,1756),{"利用可","両方停止","運転がそろわない","判定不能"},0),"○","停","×","－"),"")</f>
        <v>停</v>
      </c>
      <c r="G77" s="35" t="str">
        <f aca="false">IFERROR(CHOOSE(MATCH(INDEX(時間ごとの判定!$AH$3:$AH$1850,1757),{"利用可","両方停止","運転がそろわない","判定不能"},0),"○","停","×","－"),"")</f>
        <v>停</v>
      </c>
      <c r="H77" s="35" t="str">
        <f aca="false">IFERROR(CHOOSE(MATCH(INDEX(時間ごとの判定!$AH$3:$AH$1850,1758),{"利用可","両方停止","運転がそろわない","判定不能"},0),"○","停","×","－"),"")</f>
        <v>停</v>
      </c>
      <c r="I77" s="35" t="str">
        <f aca="false">IFERROR(CHOOSE(MATCH(INDEX(時間ごとの判定!$AH$3:$AH$1850,1759),{"利用可","両方停止","運転がそろわない","判定不能"},0),"○","停","×","－"),"")</f>
        <v>停</v>
      </c>
      <c r="J77" s="35" t="str">
        <f aca="false">IFERROR(CHOOSE(MATCH(INDEX(時間ごとの判定!$AH$3:$AH$1850,1760),{"利用可","両方停止","運転がそろわない","判定不能"},0),"○","停","×","－"),"")</f>
        <v>停</v>
      </c>
      <c r="K77" s="35" t="str">
        <f aca="false">IFERROR(CHOOSE(MATCH(INDEX(時間ごとの判定!$AH$3:$AH$1850,1761),{"利用可","両方停止","運転がそろわない","判定不能"},0),"○","停","×","－"),"")</f>
        <v>×</v>
      </c>
      <c r="L77" s="35" t="str">
        <f aca="false">IFERROR(CHOOSE(MATCH(INDEX(時間ごとの判定!$AH$3:$AH$1850,1762),{"利用可","両方停止","運転がそろわない","判定不能"},0),"○","停","×","－"),"")</f>
        <v>○</v>
      </c>
      <c r="M77" s="35" t="str">
        <f aca="false">IFERROR(CHOOSE(MATCH(INDEX(時間ごとの判定!$AH$3:$AH$1850,1763),{"利用可","両方停止","運転がそろわない","判定不能"},0),"○","停","×","－"),"")</f>
        <v>×</v>
      </c>
      <c r="N77" s="35" t="str">
        <f aca="false">IFERROR(CHOOSE(MATCH(INDEX(時間ごとの判定!$AH$3:$AH$1850,1764),{"利用可","両方停止","運転がそろわない","判定不能"},0),"○","停","×","－"),"")</f>
        <v>○</v>
      </c>
      <c r="O77" s="35" t="str">
        <f aca="false">IFERROR(CHOOSE(MATCH(INDEX(時間ごとの判定!$AH$3:$AH$1850,1765),{"利用可","両方停止","運転がそろわない","判定不能"},0),"○","停","×","－"),"")</f>
        <v>○</v>
      </c>
      <c r="P77" s="35" t="str">
        <f aca="false">IFERROR(CHOOSE(MATCH(INDEX(時間ごとの判定!$AH$3:$AH$1850,1766),{"利用可","両方停止","運転がそろわない","判定不能"},0),"○","停","×","－"),"")</f>
        <v>○</v>
      </c>
      <c r="Q77" s="35" t="str">
        <f aca="false">IFERROR(CHOOSE(MATCH(INDEX(時間ごとの判定!$AH$3:$AH$1850,1767),{"利用可","両方停止","運転がそろわない","判定不能"},0),"○","停","×","－"),"")</f>
        <v>○</v>
      </c>
      <c r="R77" s="35" t="str">
        <f aca="false">IFERROR(CHOOSE(MATCH(INDEX(時間ごとの判定!$AH$3:$AH$1850,1768),{"利用可","両方停止","運転がそろわない","判定不能"},0),"○","停","×","－"),"")</f>
        <v>○</v>
      </c>
      <c r="S77" s="35" t="str">
        <f aca="false">IFERROR(CHOOSE(MATCH(INDEX(時間ごとの判定!$AH$3:$AH$1850,1769),{"利用可","両方停止","運転がそろわない","判定不能"},0),"○","停","×","－"),"")</f>
        <v>×</v>
      </c>
      <c r="T77" s="35" t="str">
        <f aca="false">IFERROR(CHOOSE(MATCH(INDEX(時間ごとの判定!$AH$3:$AH$1850,1770),{"利用可","両方停止","運転がそろわない","判定不能"},0),"○","停","×","－"),"")</f>
        <v>停</v>
      </c>
      <c r="U77" s="35" t="str">
        <f aca="false">IFERROR(CHOOSE(MATCH(INDEX(時間ごとの判定!$AH$3:$AH$1850,1771),{"利用可","両方停止","運転がそろわない","判定不能"},0),"○","停","×","－"),"")</f>
        <v>×</v>
      </c>
      <c r="V77" s="35" t="str">
        <f aca="false">IFERROR(CHOOSE(MATCH(INDEX(時間ごとの判定!$AH$3:$AH$1850,1772),{"利用可","両方停止","運転がそろわない","判定不能"},0),"○","停","×","－"),"")</f>
        <v>×</v>
      </c>
      <c r="W77" s="35" t="str">
        <f aca="false">IFERROR(CHOOSE(MATCH(INDEX(時間ごとの判定!$AH$3:$AH$1850,1773),{"利用可","両方停止","運転がそろわない","判定不能"},0),"○","停","×","－"),"")</f>
        <v>×</v>
      </c>
      <c r="X77" s="35" t="str">
        <f aca="false">IFERROR(CHOOSE(MATCH(INDEX(時間ごとの判定!$AH$3:$AH$1850,1774),{"利用可","両方停止","運転がそろわない","判定不能"},0),"○","停","×","－"),"")</f>
        <v>停</v>
      </c>
      <c r="Y77" s="35" t="str">
        <f aca="false">IFERROR(CHOOSE(MATCH(INDEX(時間ごとの判定!$AH$3:$AH$1850,1775),{"利用可","両方停止","運転がそろわない","判定不能"},0),"○","停","×","－"),"")</f>
        <v>停</v>
      </c>
      <c r="Z77" s="35" t="str">
        <f aca="false">IFERROR(CHOOSE(MATCH(INDEX(時間ごとの判定!$AH$3:$AH$1850,1776),{"利用可","両方停止","運転がそろわない","判定不能"},0),"○","停","×","－"),"")</f>
        <v>停</v>
      </c>
      <c r="AA77" s="35"/>
      <c r="AB77" s="35" t="str">
        <f aca="false">IFERROR(CHOOSE(MATCH(INDEX(時間ごとの判定!$AK$3:$AK$1850,1753),{"利用可","両方停止","運転がそろわない","判定不能"},0),"○","停","×","－"),"")</f>
        <v>停</v>
      </c>
      <c r="AC77" s="35" t="str">
        <f aca="false">IFERROR(CHOOSE(MATCH(INDEX(時間ごとの判定!$AK$3:$AK$1850,1754),{"利用可","両方停止","運転がそろわない","判定不能"},0),"○","停","×","－"),"")</f>
        <v>停</v>
      </c>
      <c r="AD77" s="35" t="str">
        <f aca="false">IFERROR(CHOOSE(MATCH(INDEX(時間ごとの判定!$AK$3:$AK$1850,1755),{"利用可","両方停止","運転がそろわない","判定不能"},0),"○","停","×","－"),"")</f>
        <v>停</v>
      </c>
      <c r="AE77" s="35" t="str">
        <f aca="false">IFERROR(CHOOSE(MATCH(INDEX(時間ごとの判定!$AK$3:$AK$1850,1756),{"利用可","両方停止","運転がそろわない","判定不能"},0),"○","停","×","－"),"")</f>
        <v>停</v>
      </c>
      <c r="AF77" s="35" t="str">
        <f aca="false">IFERROR(CHOOSE(MATCH(INDEX(時間ごとの判定!$AK$3:$AK$1850,1757),{"利用可","両方停止","運転がそろわない","判定不能"},0),"○","停","×","－"),"")</f>
        <v>停</v>
      </c>
      <c r="AG77" s="35" t="str">
        <f aca="false">IFERROR(CHOOSE(MATCH(INDEX(時間ごとの判定!$AK$3:$AK$1850,1758),{"利用可","両方停止","運転がそろわない","判定不能"},0),"○","停","×","－"),"")</f>
        <v>停</v>
      </c>
      <c r="AH77" s="35" t="str">
        <f aca="false">IFERROR(CHOOSE(MATCH(INDEX(時間ごとの判定!$AK$3:$AK$1850,1759),{"利用可","両方停止","運転がそろわない","判定不能"},0),"○","停","×","－"),"")</f>
        <v>停</v>
      </c>
      <c r="AI77" s="35" t="str">
        <f aca="false">IFERROR(CHOOSE(MATCH(INDEX(時間ごとの判定!$AK$3:$AK$1850,1760),{"利用可","両方停止","運転がそろわない","判定不能"},0),"○","停","×","－"),"")</f>
        <v>停</v>
      </c>
      <c r="AJ77" s="35" t="str">
        <f aca="false">IFERROR(CHOOSE(MATCH(INDEX(時間ごとの判定!$AK$3:$AK$1850,1761),{"利用可","両方停止","運転がそろわない","判定不能"},0),"○","停","×","－"),"")</f>
        <v>×</v>
      </c>
      <c r="AK77" s="35" t="str">
        <f aca="false">IFERROR(CHOOSE(MATCH(INDEX(時間ごとの判定!$AK$3:$AK$1850,1762),{"利用可","両方停止","運転がそろわない","判定不能"},0),"○","停","×","－"),"")</f>
        <v>×</v>
      </c>
      <c r="AL77" s="35" t="str">
        <f aca="false">IFERROR(CHOOSE(MATCH(INDEX(時間ごとの判定!$AK$3:$AK$1850,1763),{"利用可","両方停止","運転がそろわない","判定不能"},0),"○","停","×","－"),"")</f>
        <v>○</v>
      </c>
      <c r="AM77" s="35" t="str">
        <f aca="false">IFERROR(CHOOSE(MATCH(INDEX(時間ごとの判定!$AK$3:$AK$1850,1764),{"利用可","両方停止","運転がそろわない","判定不能"},0),"○","停","×","－"),"")</f>
        <v>○</v>
      </c>
      <c r="AN77" s="35" t="str">
        <f aca="false">IFERROR(CHOOSE(MATCH(INDEX(時間ごとの判定!$AK$3:$AK$1850,1765),{"利用可","両方停止","運転がそろわない","判定不能"},0),"○","停","×","－"),"")</f>
        <v>○</v>
      </c>
      <c r="AO77" s="35" t="str">
        <f aca="false">IFERROR(CHOOSE(MATCH(INDEX(時間ごとの判定!$AK$3:$AK$1850,1766),{"利用可","両方停止","運転がそろわない","判定不能"},0),"○","停","×","－"),"")</f>
        <v>○</v>
      </c>
      <c r="AP77" s="35" t="str">
        <f aca="false">IFERROR(CHOOSE(MATCH(INDEX(時間ごとの判定!$AK$3:$AK$1850,1767),{"利用可","両方停止","運転がそろわない","判定不能"},0),"○","停","×","－"),"")</f>
        <v>×</v>
      </c>
      <c r="AQ77" s="35" t="str">
        <f aca="false">IFERROR(CHOOSE(MATCH(INDEX(時間ごとの判定!$AK$3:$AK$1850,1768),{"利用可","両方停止","運転がそろわない","判定不能"},0),"○","停","×","－"),"")</f>
        <v>○</v>
      </c>
      <c r="AR77" s="35" t="str">
        <f aca="false">IFERROR(CHOOSE(MATCH(INDEX(時間ごとの判定!$AK$3:$AK$1850,1769),{"利用可","両方停止","運転がそろわない","判定不能"},0),"○","停","×","－"),"")</f>
        <v>×</v>
      </c>
      <c r="AS77" s="35" t="str">
        <f aca="false">IFERROR(CHOOSE(MATCH(INDEX(時間ごとの判定!$AK$3:$AK$1850,1770),{"利用可","両方停止","運転がそろわない","判定不能"},0),"○","停","×","－"),"")</f>
        <v>×</v>
      </c>
      <c r="AT77" s="35" t="str">
        <f aca="false">IFERROR(CHOOSE(MATCH(INDEX(時間ごとの判定!$AK$3:$AK$1850,1771),{"利用可","両方停止","運転がそろわない","判定不能"},0),"○","停","×","－"),"")</f>
        <v>×</v>
      </c>
      <c r="AU77" s="35" t="str">
        <f aca="false">IFERROR(CHOOSE(MATCH(INDEX(時間ごとの判定!$AK$3:$AK$1850,1772),{"利用可","両方停止","運転がそろわない","判定不能"},0),"○","停","×","－"),"")</f>
        <v>×</v>
      </c>
      <c r="AV77" s="35" t="str">
        <f aca="false">IFERROR(CHOOSE(MATCH(INDEX(時間ごとの判定!$AK$3:$AK$1850,1773),{"利用可","両方停止","運転がそろわない","判定不能"},0),"○","停","×","－"),"")</f>
        <v>停</v>
      </c>
      <c r="AW77" s="35" t="str">
        <f aca="false">IFERROR(CHOOSE(MATCH(INDEX(時間ごとの判定!$AK$3:$AK$1850,1774),{"利用可","両方停止","運転がそろわない","判定不能"},0),"○","停","×","－"),"")</f>
        <v>停</v>
      </c>
      <c r="AX77" s="35" t="str">
        <f aca="false">IFERROR(CHOOSE(MATCH(INDEX(時間ごとの判定!$AK$3:$AK$1850,1775),{"利用可","両方停止","運転がそろわない","判定不能"},0),"○","停","×","－"),"")</f>
        <v>停</v>
      </c>
      <c r="AY77" s="35" t="str">
        <f aca="false">IFERROR(CHOOSE(MATCH(INDEX(時間ごとの判定!$AK$3:$AK$1850,1776),{"利用可","両方停止","運転がそろわない","判定不能"},0),"○","停","×","－"),"")</f>
        <v>停</v>
      </c>
      <c r="AZ77" s="35"/>
      <c r="BA77" s="35" t="str">
        <f aca="false">IFERROR(CHOOSE(MATCH(INDEX(時間ごとの判定!$AN$3:$AN$1850,1753),{"利用可","両方停止","運転がそろわない","判定不能"},0),"○","停","×","－"),"")</f>
        <v>停</v>
      </c>
      <c r="BB77" s="35" t="str">
        <f aca="false">IFERROR(CHOOSE(MATCH(INDEX(時間ごとの判定!$AN$3:$AN$1850,1754),{"利用可","両方停止","運転がそろわない","判定不能"},0),"○","停","×","－"),"")</f>
        <v>停</v>
      </c>
      <c r="BC77" s="35" t="str">
        <f aca="false">IFERROR(CHOOSE(MATCH(INDEX(時間ごとの判定!$AN$3:$AN$1850,1755),{"利用可","両方停止","運転がそろわない","判定不能"},0),"○","停","×","－"),"")</f>
        <v>停</v>
      </c>
      <c r="BD77" s="35" t="str">
        <f aca="false">IFERROR(CHOOSE(MATCH(INDEX(時間ごとの判定!$AN$3:$AN$1850,1756),{"利用可","両方停止","運転がそろわない","判定不能"},0),"○","停","×","－"),"")</f>
        <v>停</v>
      </c>
      <c r="BE77" s="35" t="str">
        <f aca="false">IFERROR(CHOOSE(MATCH(INDEX(時間ごとの判定!$AN$3:$AN$1850,1757),{"利用可","両方停止","運転がそろわない","判定不能"},0),"○","停","×","－"),"")</f>
        <v>停</v>
      </c>
      <c r="BF77" s="35" t="str">
        <f aca="false">IFERROR(CHOOSE(MATCH(INDEX(時間ごとの判定!$AN$3:$AN$1850,1758),{"利用可","両方停止","運転がそろわない","判定不能"},0),"○","停","×","－"),"")</f>
        <v>停</v>
      </c>
      <c r="BG77" s="35" t="str">
        <f aca="false">IFERROR(CHOOSE(MATCH(INDEX(時間ごとの判定!$AN$3:$AN$1850,1759),{"利用可","両方停止","運転がそろわない","判定不能"},0),"○","停","×","－"),"")</f>
        <v>停</v>
      </c>
      <c r="BH77" s="35" t="str">
        <f aca="false">IFERROR(CHOOSE(MATCH(INDEX(時間ごとの判定!$AN$3:$AN$1850,1760),{"利用可","両方停止","運転がそろわない","判定不能"},0),"○","停","×","－"),"")</f>
        <v>停</v>
      </c>
      <c r="BI77" s="35" t="str">
        <f aca="false">IFERROR(CHOOSE(MATCH(INDEX(時間ごとの判定!$AN$3:$AN$1850,1761),{"利用可","両方停止","運転がそろわない","判定不能"},0),"○","停","×","－"),"")</f>
        <v>×</v>
      </c>
      <c r="BJ77" s="35" t="str">
        <f aca="false">IFERROR(CHOOSE(MATCH(INDEX(時間ごとの判定!$AN$3:$AN$1850,1762),{"利用可","両方停止","運転がそろわない","判定不能"},0),"○","停","×","－"),"")</f>
        <v>○</v>
      </c>
      <c r="BK77" s="35" t="str">
        <f aca="false">IFERROR(CHOOSE(MATCH(INDEX(時間ごとの判定!$AN$3:$AN$1850,1763),{"利用可","両方停止","運転がそろわない","判定不能"},0),"○","停","×","－"),"")</f>
        <v>○</v>
      </c>
      <c r="BL77" s="35" t="str">
        <f aca="false">IFERROR(CHOOSE(MATCH(INDEX(時間ごとの判定!$AN$3:$AN$1850,1764),{"利用可","両方停止","運転がそろわない","判定不能"},0),"○","停","×","－"),"")</f>
        <v>○</v>
      </c>
      <c r="BM77" s="35" t="str">
        <f aca="false">IFERROR(CHOOSE(MATCH(INDEX(時間ごとの判定!$AN$3:$AN$1850,1765),{"利用可","両方停止","運転がそろわない","判定不能"},0),"○","停","×","－"),"")</f>
        <v>×</v>
      </c>
      <c r="BN77" s="35" t="str">
        <f aca="false">IFERROR(CHOOSE(MATCH(INDEX(時間ごとの判定!$AN$3:$AN$1850,1766),{"利用可","両方停止","運転がそろわない","判定不能"},0),"○","停","×","－"),"")</f>
        <v>○</v>
      </c>
      <c r="BO77" s="35" t="str">
        <f aca="false">IFERROR(CHOOSE(MATCH(INDEX(時間ごとの判定!$AN$3:$AN$1850,1767),{"利用可","両方停止","運転がそろわない","判定不能"},0),"○","停","×","－"),"")</f>
        <v>○</v>
      </c>
      <c r="BP77" s="35" t="str">
        <f aca="false">IFERROR(CHOOSE(MATCH(INDEX(時間ごとの判定!$AN$3:$AN$1850,1768),{"利用可","両方停止","運転がそろわない","判定不能"},0),"○","停","×","－"),"")</f>
        <v>○</v>
      </c>
      <c r="BQ77" s="35" t="str">
        <f aca="false">IFERROR(CHOOSE(MATCH(INDEX(時間ごとの判定!$AN$3:$AN$1850,1769),{"利用可","両方停止","運転がそろわない","判定不能"},0),"○","停","×","－"),"")</f>
        <v>○</v>
      </c>
      <c r="BR77" s="35" t="str">
        <f aca="false">IFERROR(CHOOSE(MATCH(INDEX(時間ごとの判定!$AN$3:$AN$1850,1770),{"利用可","両方停止","運転がそろわない","判定不能"},0),"○","停","×","－"),"")</f>
        <v>×</v>
      </c>
      <c r="BS77" s="35" t="str">
        <f aca="false">IFERROR(CHOOSE(MATCH(INDEX(時間ごとの判定!$AN$3:$AN$1850,1771),{"利用可","両方停止","運転がそろわない","判定不能"},0),"○","停","×","－"),"")</f>
        <v>停</v>
      </c>
      <c r="BT77" s="35" t="str">
        <f aca="false">IFERROR(CHOOSE(MATCH(INDEX(時間ごとの判定!$AN$3:$AN$1850,1772),{"利用可","両方停止","運転がそろわない","判定不能"},0),"○","停","×","－"),"")</f>
        <v>停</v>
      </c>
      <c r="BU77" s="35" t="str">
        <f aca="false">IFERROR(CHOOSE(MATCH(INDEX(時間ごとの判定!$AN$3:$AN$1850,1773),{"利用可","両方停止","運転がそろわない","判定不能"},0),"○","停","×","－"),"")</f>
        <v>×</v>
      </c>
      <c r="BV77" s="35" t="str">
        <f aca="false">IFERROR(CHOOSE(MATCH(INDEX(時間ごとの判定!$AN$3:$AN$1850,1774),{"利用可","両方停止","運転がそろわない","判定不能"},0),"○","停","×","－"),"")</f>
        <v>×</v>
      </c>
      <c r="BW77" s="35" t="str">
        <f aca="false">IFERROR(CHOOSE(MATCH(INDEX(時間ごとの判定!$AN$3:$AN$1850,1775),{"利用可","両方停止","運転がそろわない","判定不能"},0),"○","停","×","－"),"")</f>
        <v>停</v>
      </c>
      <c r="BX77" s="35" t="str">
        <f aca="false">IFERROR(CHOOSE(MATCH(INDEX(時間ごとの判定!$AN$3:$AN$1850,1776),{"利用可","両方停止","運転がそろわない","判定不能"},0),"○","停","×","－"),"")</f>
        <v>停</v>
      </c>
    </row>
    <row r="78" customFormat="false" ht="15" hidden="false" customHeight="false" outlineLevel="0" collapsed="false">
      <c r="A78" s="33" t="n">
        <v>46306</v>
      </c>
      <c r="B78" s="36" t="s">
        <v>65</v>
      </c>
      <c r="C78" s="35" t="str">
        <f aca="false">IFERROR(CHOOSE(MATCH(INDEX(時間ごとの判定!$AH$3:$AH$1850,1777),{"利用可","両方停止","運転がそろわない","判定不能"},0),"○","停","×","－"),"")</f>
        <v>停</v>
      </c>
      <c r="D78" s="35" t="str">
        <f aca="false">IFERROR(CHOOSE(MATCH(INDEX(時間ごとの判定!$AH$3:$AH$1850,1778),{"利用可","両方停止","運転がそろわない","判定不能"},0),"○","停","×","－"),"")</f>
        <v>停</v>
      </c>
      <c r="E78" s="35" t="str">
        <f aca="false">IFERROR(CHOOSE(MATCH(INDEX(時間ごとの判定!$AH$3:$AH$1850,1779),{"利用可","両方停止","運転がそろわない","判定不能"},0),"○","停","×","－"),"")</f>
        <v>停</v>
      </c>
      <c r="F78" s="35" t="str">
        <f aca="false">IFERROR(CHOOSE(MATCH(INDEX(時間ごとの判定!$AH$3:$AH$1850,1780),{"利用可","両方停止","運転がそろわない","判定不能"},0),"○","停","×","－"),"")</f>
        <v>停</v>
      </c>
      <c r="G78" s="35" t="str">
        <f aca="false">IFERROR(CHOOSE(MATCH(INDEX(時間ごとの判定!$AH$3:$AH$1850,1781),{"利用可","両方停止","運転がそろわない","判定不能"},0),"○","停","×","－"),"")</f>
        <v>停</v>
      </c>
      <c r="H78" s="35" t="str">
        <f aca="false">IFERROR(CHOOSE(MATCH(INDEX(時間ごとの判定!$AH$3:$AH$1850,1782),{"利用可","両方停止","運転がそろわない","判定不能"},0),"○","停","×","－"),"")</f>
        <v>停</v>
      </c>
      <c r="I78" s="35" t="str">
        <f aca="false">IFERROR(CHOOSE(MATCH(INDEX(時間ごとの判定!$AH$3:$AH$1850,1783),{"利用可","両方停止","運転がそろわない","判定不能"},0),"○","停","×","－"),"")</f>
        <v>停</v>
      </c>
      <c r="J78" s="35" t="str">
        <f aca="false">IFERROR(CHOOSE(MATCH(INDEX(時間ごとの判定!$AH$3:$AH$1850,1784),{"利用可","両方停止","運転がそろわない","判定不能"},0),"○","停","×","－"),"")</f>
        <v>停</v>
      </c>
      <c r="K78" s="35" t="str">
        <f aca="false">IFERROR(CHOOSE(MATCH(INDEX(時間ごとの判定!$AH$3:$AH$1850,1785),{"利用可","両方停止","運転がそろわない","判定不能"},0),"○","停","×","－"),"")</f>
        <v>○</v>
      </c>
      <c r="L78" s="35" t="str">
        <f aca="false">IFERROR(CHOOSE(MATCH(INDEX(時間ごとの判定!$AH$3:$AH$1850,1786),{"利用可","両方停止","運転がそろわない","判定不能"},0),"○","停","×","－"),"")</f>
        <v>○</v>
      </c>
      <c r="M78" s="35" t="str">
        <f aca="false">IFERROR(CHOOSE(MATCH(INDEX(時間ごとの判定!$AH$3:$AH$1850,1787),{"利用可","両方停止","運転がそろわない","判定不能"},0),"○","停","×","－"),"")</f>
        <v>×</v>
      </c>
      <c r="N78" s="35" t="str">
        <f aca="false">IFERROR(CHOOSE(MATCH(INDEX(時間ごとの判定!$AH$3:$AH$1850,1788),{"利用可","両方停止","運転がそろわない","判定不能"},0),"○","停","×","－"),"")</f>
        <v>○</v>
      </c>
      <c r="O78" s="35" t="str">
        <f aca="false">IFERROR(CHOOSE(MATCH(INDEX(時間ごとの判定!$AH$3:$AH$1850,1789),{"利用可","両方停止","運転がそろわない","判定不能"},0),"○","停","×","－"),"")</f>
        <v>○</v>
      </c>
      <c r="P78" s="35" t="str">
        <f aca="false">IFERROR(CHOOSE(MATCH(INDEX(時間ごとの判定!$AH$3:$AH$1850,1790),{"利用可","両方停止","運転がそろわない","判定不能"},0),"○","停","×","－"),"")</f>
        <v>○</v>
      </c>
      <c r="Q78" s="35" t="str">
        <f aca="false">IFERROR(CHOOSE(MATCH(INDEX(時間ごとの判定!$AH$3:$AH$1850,1791),{"利用可","両方停止","運転がそろわない","判定不能"},0),"○","停","×","－"),"")</f>
        <v>○</v>
      </c>
      <c r="R78" s="35" t="str">
        <f aca="false">IFERROR(CHOOSE(MATCH(INDEX(時間ごとの判定!$AH$3:$AH$1850,1792),{"利用可","両方停止","運転がそろわない","判定不能"},0),"○","停","×","－"),"")</f>
        <v>○</v>
      </c>
      <c r="S78" s="35" t="str">
        <f aca="false">IFERROR(CHOOSE(MATCH(INDEX(時間ごとの判定!$AH$3:$AH$1850,1793),{"利用可","両方停止","運転がそろわない","判定不能"},0),"○","停","×","－"),"")</f>
        <v>×</v>
      </c>
      <c r="T78" s="35" t="str">
        <f aca="false">IFERROR(CHOOSE(MATCH(INDEX(時間ごとの判定!$AH$3:$AH$1850,1794),{"利用可","両方停止","運転がそろわない","判定不能"},0),"○","停","×","－"),"")</f>
        <v>×</v>
      </c>
      <c r="U78" s="35" t="str">
        <f aca="false">IFERROR(CHOOSE(MATCH(INDEX(時間ごとの判定!$AH$3:$AH$1850,1795),{"利用可","両方停止","運転がそろわない","判定不能"},0),"○","停","×","－"),"")</f>
        <v>×</v>
      </c>
      <c r="V78" s="35" t="str">
        <f aca="false">IFERROR(CHOOSE(MATCH(INDEX(時間ごとの判定!$AH$3:$AH$1850,1796),{"利用可","両方停止","運転がそろわない","判定不能"},0),"○","停","×","－"),"")</f>
        <v>停</v>
      </c>
      <c r="W78" s="35" t="str">
        <f aca="false">IFERROR(CHOOSE(MATCH(INDEX(時間ごとの判定!$AH$3:$AH$1850,1797),{"利用可","両方停止","運転がそろわない","判定不能"},0),"○","停","×","－"),"")</f>
        <v>停</v>
      </c>
      <c r="X78" s="35" t="str">
        <f aca="false">IFERROR(CHOOSE(MATCH(INDEX(時間ごとの判定!$AH$3:$AH$1850,1798),{"利用可","両方停止","運転がそろわない","判定不能"},0),"○","停","×","－"),"")</f>
        <v>停</v>
      </c>
      <c r="Y78" s="35" t="str">
        <f aca="false">IFERROR(CHOOSE(MATCH(INDEX(時間ごとの判定!$AH$3:$AH$1850,1799),{"利用可","両方停止","運転がそろわない","判定不能"},0),"○","停","×","－"),"")</f>
        <v>停</v>
      </c>
      <c r="Z78" s="35" t="str">
        <f aca="false">IFERROR(CHOOSE(MATCH(INDEX(時間ごとの判定!$AH$3:$AH$1850,1800),{"利用可","両方停止","運転がそろわない","判定不能"},0),"○","停","×","－"),"")</f>
        <v>停</v>
      </c>
      <c r="AA78" s="35"/>
      <c r="AB78" s="35" t="str">
        <f aca="false">IFERROR(CHOOSE(MATCH(INDEX(時間ごとの判定!$AK$3:$AK$1850,1777),{"利用可","両方停止","運転がそろわない","判定不能"},0),"○","停","×","－"),"")</f>
        <v>停</v>
      </c>
      <c r="AC78" s="35" t="str">
        <f aca="false">IFERROR(CHOOSE(MATCH(INDEX(時間ごとの判定!$AK$3:$AK$1850,1778),{"利用可","両方停止","運転がそろわない","判定不能"},0),"○","停","×","－"),"")</f>
        <v>停</v>
      </c>
      <c r="AD78" s="35" t="str">
        <f aca="false">IFERROR(CHOOSE(MATCH(INDEX(時間ごとの判定!$AK$3:$AK$1850,1779),{"利用可","両方停止","運転がそろわない","判定不能"},0),"○","停","×","－"),"")</f>
        <v>停</v>
      </c>
      <c r="AE78" s="35" t="str">
        <f aca="false">IFERROR(CHOOSE(MATCH(INDEX(時間ごとの判定!$AK$3:$AK$1850,1780),{"利用可","両方停止","運転がそろわない","判定不能"},0),"○","停","×","－"),"")</f>
        <v>停</v>
      </c>
      <c r="AF78" s="35" t="str">
        <f aca="false">IFERROR(CHOOSE(MATCH(INDEX(時間ごとの判定!$AK$3:$AK$1850,1781),{"利用可","両方停止","運転がそろわない","判定不能"},0),"○","停","×","－"),"")</f>
        <v>停</v>
      </c>
      <c r="AG78" s="35" t="str">
        <f aca="false">IFERROR(CHOOSE(MATCH(INDEX(時間ごとの判定!$AK$3:$AK$1850,1782),{"利用可","両方停止","運転がそろわない","判定不能"},0),"○","停","×","－"),"")</f>
        <v>停</v>
      </c>
      <c r="AH78" s="35" t="str">
        <f aca="false">IFERROR(CHOOSE(MATCH(INDEX(時間ごとの判定!$AK$3:$AK$1850,1783),{"利用可","両方停止","運転がそろわない","判定不能"},0),"○","停","×","－"),"")</f>
        <v>停</v>
      </c>
      <c r="AI78" s="35" t="str">
        <f aca="false">IFERROR(CHOOSE(MATCH(INDEX(時間ごとの判定!$AK$3:$AK$1850,1784),{"利用可","両方停止","運転がそろわない","判定不能"},0),"○","停","×","－"),"")</f>
        <v>停</v>
      </c>
      <c r="AJ78" s="35" t="str">
        <f aca="false">IFERROR(CHOOSE(MATCH(INDEX(時間ごとの判定!$AK$3:$AK$1850,1785),{"利用可","両方停止","運転がそろわない","判定不能"},0),"○","停","×","－"),"")</f>
        <v>×</v>
      </c>
      <c r="AK78" s="35" t="str">
        <f aca="false">IFERROR(CHOOSE(MATCH(INDEX(時間ごとの判定!$AK$3:$AK$1850,1786),{"利用可","両方停止","運転がそろわない","判定不能"},0),"○","停","×","－"),"")</f>
        <v>×</v>
      </c>
      <c r="AL78" s="35" t="str">
        <f aca="false">IFERROR(CHOOSE(MATCH(INDEX(時間ごとの判定!$AK$3:$AK$1850,1787),{"利用可","両方停止","運転がそろわない","判定不能"},0),"○","停","×","－"),"")</f>
        <v>○</v>
      </c>
      <c r="AM78" s="35" t="str">
        <f aca="false">IFERROR(CHOOSE(MATCH(INDEX(時間ごとの判定!$AK$3:$AK$1850,1788),{"利用可","両方停止","運転がそろわない","判定不能"},0),"○","停","×","－"),"")</f>
        <v>○</v>
      </c>
      <c r="AN78" s="35" t="str">
        <f aca="false">IFERROR(CHOOSE(MATCH(INDEX(時間ごとの判定!$AK$3:$AK$1850,1789),{"利用可","両方停止","運転がそろわない","判定不能"},0),"○","停","×","－"),"")</f>
        <v>○</v>
      </c>
      <c r="AO78" s="35" t="str">
        <f aca="false">IFERROR(CHOOSE(MATCH(INDEX(時間ごとの判定!$AK$3:$AK$1850,1790),{"利用可","両方停止","運転がそろわない","判定不能"},0),"○","停","×","－"),"")</f>
        <v>○</v>
      </c>
      <c r="AP78" s="35" t="str">
        <f aca="false">IFERROR(CHOOSE(MATCH(INDEX(時間ごとの判定!$AK$3:$AK$1850,1791),{"利用可","両方停止","運転がそろわない","判定不能"},0),"○","停","×","－"),"")</f>
        <v>×</v>
      </c>
      <c r="AQ78" s="35" t="str">
        <f aca="false">IFERROR(CHOOSE(MATCH(INDEX(時間ごとの判定!$AK$3:$AK$1850,1792),{"利用可","両方停止","運転がそろわない","判定不能"},0),"○","停","×","－"),"")</f>
        <v>○</v>
      </c>
      <c r="AR78" s="35" t="str">
        <f aca="false">IFERROR(CHOOSE(MATCH(INDEX(時間ごとの判定!$AK$3:$AK$1850,1793),{"利用可","両方停止","運転がそろわない","判定不能"},0),"○","停","×","－"),"")</f>
        <v>×</v>
      </c>
      <c r="AS78" s="35" t="str">
        <f aca="false">IFERROR(CHOOSE(MATCH(INDEX(時間ごとの判定!$AK$3:$AK$1850,1794),{"利用可","両方停止","運転がそろわない","判定不能"},0),"○","停","×","－"),"")</f>
        <v>×</v>
      </c>
      <c r="AT78" s="35" t="str">
        <f aca="false">IFERROR(CHOOSE(MATCH(INDEX(時間ごとの判定!$AK$3:$AK$1850,1795),{"利用可","両方停止","運転がそろわない","判定不能"},0),"○","停","×","－"),"")</f>
        <v>×</v>
      </c>
      <c r="AU78" s="35" t="str">
        <f aca="false">IFERROR(CHOOSE(MATCH(INDEX(時間ごとの判定!$AK$3:$AK$1850,1796),{"利用可","両方停止","運転がそろわない","判定不能"},0),"○","停","×","－"),"")</f>
        <v>×</v>
      </c>
      <c r="AV78" s="35" t="str">
        <f aca="false">IFERROR(CHOOSE(MATCH(INDEX(時間ごとの判定!$AK$3:$AK$1850,1797),{"利用可","両方停止","運転がそろわない","判定不能"},0),"○","停","×","－"),"")</f>
        <v>停</v>
      </c>
      <c r="AW78" s="35" t="str">
        <f aca="false">IFERROR(CHOOSE(MATCH(INDEX(時間ごとの判定!$AK$3:$AK$1850,1798),{"利用可","両方停止","運転がそろわない","判定不能"},0),"○","停","×","－"),"")</f>
        <v>停</v>
      </c>
      <c r="AX78" s="35" t="str">
        <f aca="false">IFERROR(CHOOSE(MATCH(INDEX(時間ごとの判定!$AK$3:$AK$1850,1799),{"利用可","両方停止","運転がそろわない","判定不能"},0),"○","停","×","－"),"")</f>
        <v>停</v>
      </c>
      <c r="AY78" s="35" t="str">
        <f aca="false">IFERROR(CHOOSE(MATCH(INDEX(時間ごとの判定!$AK$3:$AK$1850,1800),{"利用可","両方停止","運転がそろわない","判定不能"},0),"○","停","×","－"),"")</f>
        <v>停</v>
      </c>
      <c r="AZ78" s="35"/>
      <c r="BA78" s="35" t="str">
        <f aca="false">IFERROR(CHOOSE(MATCH(INDEX(時間ごとの判定!$AN$3:$AN$1850,1777),{"利用可","両方停止","運転がそろわない","判定不能"},0),"○","停","×","－"),"")</f>
        <v>停</v>
      </c>
      <c r="BB78" s="35" t="str">
        <f aca="false">IFERROR(CHOOSE(MATCH(INDEX(時間ごとの判定!$AN$3:$AN$1850,1778),{"利用可","両方停止","運転がそろわない","判定不能"},0),"○","停","×","－"),"")</f>
        <v>停</v>
      </c>
      <c r="BC78" s="35" t="str">
        <f aca="false">IFERROR(CHOOSE(MATCH(INDEX(時間ごとの判定!$AN$3:$AN$1850,1779),{"利用可","両方停止","運転がそろわない","判定不能"},0),"○","停","×","－"),"")</f>
        <v>停</v>
      </c>
      <c r="BD78" s="35" t="str">
        <f aca="false">IFERROR(CHOOSE(MATCH(INDEX(時間ごとの判定!$AN$3:$AN$1850,1780),{"利用可","両方停止","運転がそろわない","判定不能"},0),"○","停","×","－"),"")</f>
        <v>停</v>
      </c>
      <c r="BE78" s="35" t="str">
        <f aca="false">IFERROR(CHOOSE(MATCH(INDEX(時間ごとの判定!$AN$3:$AN$1850,1781),{"利用可","両方停止","運転がそろわない","判定不能"},0),"○","停","×","－"),"")</f>
        <v>停</v>
      </c>
      <c r="BF78" s="35" t="str">
        <f aca="false">IFERROR(CHOOSE(MATCH(INDEX(時間ごとの判定!$AN$3:$AN$1850,1782),{"利用可","両方停止","運転がそろわない","判定不能"},0),"○","停","×","－"),"")</f>
        <v>停</v>
      </c>
      <c r="BG78" s="35" t="str">
        <f aca="false">IFERROR(CHOOSE(MATCH(INDEX(時間ごとの判定!$AN$3:$AN$1850,1783),{"利用可","両方停止","運転がそろわない","判定不能"},0),"○","停","×","－"),"")</f>
        <v>停</v>
      </c>
      <c r="BH78" s="35" t="str">
        <f aca="false">IFERROR(CHOOSE(MATCH(INDEX(時間ごとの判定!$AN$3:$AN$1850,1784),{"利用可","両方停止","運転がそろわない","判定不能"},0),"○","停","×","－"),"")</f>
        <v>停</v>
      </c>
      <c r="BI78" s="35" t="str">
        <f aca="false">IFERROR(CHOOSE(MATCH(INDEX(時間ごとの判定!$AN$3:$AN$1850,1785),{"利用可","両方停止","運転がそろわない","判定不能"},0),"○","停","×","－"),"")</f>
        <v>×</v>
      </c>
      <c r="BJ78" s="35" t="str">
        <f aca="false">IFERROR(CHOOSE(MATCH(INDEX(時間ごとの判定!$AN$3:$AN$1850,1786),{"利用可","両方停止","運転がそろわない","判定不能"},0),"○","停","×","－"),"")</f>
        <v>○</v>
      </c>
      <c r="BK78" s="35" t="str">
        <f aca="false">IFERROR(CHOOSE(MATCH(INDEX(時間ごとの判定!$AN$3:$AN$1850,1787),{"利用可","両方停止","運転がそろわない","判定不能"},0),"○","停","×","－"),"")</f>
        <v>○</v>
      </c>
      <c r="BL78" s="35" t="str">
        <f aca="false">IFERROR(CHOOSE(MATCH(INDEX(時間ごとの判定!$AN$3:$AN$1850,1788),{"利用可","両方停止","運転がそろわない","判定不能"},0),"○","停","×","－"),"")</f>
        <v>○</v>
      </c>
      <c r="BM78" s="35" t="str">
        <f aca="false">IFERROR(CHOOSE(MATCH(INDEX(時間ごとの判定!$AN$3:$AN$1850,1789),{"利用可","両方停止","運転がそろわない","判定不能"},0),"○","停","×","－"),"")</f>
        <v>×</v>
      </c>
      <c r="BN78" s="35" t="str">
        <f aca="false">IFERROR(CHOOSE(MATCH(INDEX(時間ごとの判定!$AN$3:$AN$1850,1790),{"利用可","両方停止","運転がそろわない","判定不能"},0),"○","停","×","－"),"")</f>
        <v>×</v>
      </c>
      <c r="BO78" s="35" t="str">
        <f aca="false">IFERROR(CHOOSE(MATCH(INDEX(時間ごとの判定!$AN$3:$AN$1850,1791),{"利用可","両方停止","運転がそろわない","判定不能"},0),"○","停","×","－"),"")</f>
        <v>×</v>
      </c>
      <c r="BP78" s="35" t="str">
        <f aca="false">IFERROR(CHOOSE(MATCH(INDEX(時間ごとの判定!$AN$3:$AN$1850,1792),{"利用可","両方停止","運転がそろわない","判定不能"},0),"○","停","×","－"),"")</f>
        <v>×</v>
      </c>
      <c r="BQ78" s="35" t="str">
        <f aca="false">IFERROR(CHOOSE(MATCH(INDEX(時間ごとの判定!$AN$3:$AN$1850,1793),{"利用可","両方停止","運転がそろわない","判定不能"},0),"○","停","×","－"),"")</f>
        <v>×</v>
      </c>
      <c r="BR78" s="35" t="str">
        <f aca="false">IFERROR(CHOOSE(MATCH(INDEX(時間ごとの判定!$AN$3:$AN$1850,1794),{"利用可","両方停止","運転がそろわない","判定不能"},0),"○","停","×","－"),"")</f>
        <v>×</v>
      </c>
      <c r="BS78" s="35" t="str">
        <f aca="false">IFERROR(CHOOSE(MATCH(INDEX(時間ごとの判定!$AN$3:$AN$1850,1795),{"利用可","両方停止","運転がそろわない","判定不能"},0),"○","停","×","－"),"")</f>
        <v>停</v>
      </c>
      <c r="BT78" s="35" t="str">
        <f aca="false">IFERROR(CHOOSE(MATCH(INDEX(時間ごとの判定!$AN$3:$AN$1850,1796),{"利用可","両方停止","運転がそろわない","判定不能"},0),"○","停","×","－"),"")</f>
        <v>停</v>
      </c>
      <c r="BU78" s="35" t="str">
        <f aca="false">IFERROR(CHOOSE(MATCH(INDEX(時間ごとの判定!$AN$3:$AN$1850,1797),{"利用可","両方停止","運転がそろわない","判定不能"},0),"○","停","×","－"),"")</f>
        <v>停</v>
      </c>
      <c r="BV78" s="35" t="str">
        <f aca="false">IFERROR(CHOOSE(MATCH(INDEX(時間ごとの判定!$AN$3:$AN$1850,1798),{"利用可","両方停止","運転がそろわない","判定不能"},0),"○","停","×","－"),"")</f>
        <v>停</v>
      </c>
      <c r="BW78" s="35" t="str">
        <f aca="false">IFERROR(CHOOSE(MATCH(INDEX(時間ごとの判定!$AN$3:$AN$1850,1799),{"利用可","両方停止","運転がそろわない","判定不能"},0),"○","停","×","－"),"")</f>
        <v>停</v>
      </c>
      <c r="BX78" s="35" t="str">
        <f aca="false">IFERROR(CHOOSE(MATCH(INDEX(時間ごとの判定!$AN$3:$AN$1850,1800),{"利用可","両方停止","運転がそろわない","判定不能"},0),"○","停","×","－"),"")</f>
        <v>停</v>
      </c>
    </row>
    <row r="79" customFormat="false" ht="15" hidden="false" customHeight="false" outlineLevel="0" collapsed="false">
      <c r="A79" s="33" t="n">
        <v>46307</v>
      </c>
      <c r="B79" s="36" t="s">
        <v>66</v>
      </c>
      <c r="C79" s="35" t="str">
        <f aca="false">IFERROR(CHOOSE(MATCH(INDEX(時間ごとの判定!$AH$3:$AH$1850,1801),{"利用可","両方停止","運転がそろわない","判定不能"},0),"○","停","×","－"),"")</f>
        <v>停</v>
      </c>
      <c r="D79" s="35" t="str">
        <f aca="false">IFERROR(CHOOSE(MATCH(INDEX(時間ごとの判定!$AH$3:$AH$1850,1802),{"利用可","両方停止","運転がそろわない","判定不能"},0),"○","停","×","－"),"")</f>
        <v>停</v>
      </c>
      <c r="E79" s="35" t="str">
        <f aca="false">IFERROR(CHOOSE(MATCH(INDEX(時間ごとの判定!$AH$3:$AH$1850,1803),{"利用可","両方停止","運転がそろわない","判定不能"},0),"○","停","×","－"),"")</f>
        <v>停</v>
      </c>
      <c r="F79" s="35" t="str">
        <f aca="false">IFERROR(CHOOSE(MATCH(INDEX(時間ごとの判定!$AH$3:$AH$1850,1804),{"利用可","両方停止","運転がそろわない","判定不能"},0),"○","停","×","－"),"")</f>
        <v>停</v>
      </c>
      <c r="G79" s="35" t="str">
        <f aca="false">IFERROR(CHOOSE(MATCH(INDEX(時間ごとの判定!$AH$3:$AH$1850,1805),{"利用可","両方停止","運転がそろわない","判定不能"},0),"○","停","×","－"),"")</f>
        <v>停</v>
      </c>
      <c r="H79" s="35" t="str">
        <f aca="false">IFERROR(CHOOSE(MATCH(INDEX(時間ごとの判定!$AH$3:$AH$1850,1806),{"利用可","両方停止","運転がそろわない","判定不能"},0),"○","停","×","－"),"")</f>
        <v>停</v>
      </c>
      <c r="I79" s="35" t="str">
        <f aca="false">IFERROR(CHOOSE(MATCH(INDEX(時間ごとの判定!$AH$3:$AH$1850,1807),{"利用可","両方停止","運転がそろわない","判定不能"},0),"○","停","×","－"),"")</f>
        <v>停</v>
      </c>
      <c r="J79" s="35" t="str">
        <f aca="false">IFERROR(CHOOSE(MATCH(INDEX(時間ごとの判定!$AH$3:$AH$1850,1808),{"利用可","両方停止","運転がそろわない","判定不能"},0),"○","停","×","－"),"")</f>
        <v>停</v>
      </c>
      <c r="K79" s="35" t="str">
        <f aca="false">IFERROR(CHOOSE(MATCH(INDEX(時間ごとの判定!$AH$3:$AH$1850,1809),{"利用可","両方停止","運転がそろわない","判定不能"},0),"○","停","×","－"),"")</f>
        <v>○</v>
      </c>
      <c r="L79" s="35" t="str">
        <f aca="false">IFERROR(CHOOSE(MATCH(INDEX(時間ごとの判定!$AH$3:$AH$1850,1810),{"利用可","両方停止","運転がそろわない","判定不能"},0),"○","停","×","－"),"")</f>
        <v>○</v>
      </c>
      <c r="M79" s="35" t="str">
        <f aca="false">IFERROR(CHOOSE(MATCH(INDEX(時間ごとの判定!$AH$3:$AH$1850,1811),{"利用可","両方停止","運転がそろわない","判定不能"},0),"○","停","×","－"),"")</f>
        <v>○</v>
      </c>
      <c r="N79" s="35" t="str">
        <f aca="false">IFERROR(CHOOSE(MATCH(INDEX(時間ごとの判定!$AH$3:$AH$1850,1812),{"利用可","両方停止","運転がそろわない","判定不能"},0),"○","停","×","－"),"")</f>
        <v>○</v>
      </c>
      <c r="O79" s="35" t="str">
        <f aca="false">IFERROR(CHOOSE(MATCH(INDEX(時間ごとの判定!$AH$3:$AH$1850,1813),{"利用可","両方停止","運転がそろわない","判定不能"},0),"○","停","×","－"),"")</f>
        <v>○</v>
      </c>
      <c r="P79" s="35" t="str">
        <f aca="false">IFERROR(CHOOSE(MATCH(INDEX(時間ごとの判定!$AH$3:$AH$1850,1814),{"利用可","両方停止","運転がそろわない","判定不能"},0),"○","停","×","－"),"")</f>
        <v>○</v>
      </c>
      <c r="Q79" s="35" t="str">
        <f aca="false">IFERROR(CHOOSE(MATCH(INDEX(時間ごとの判定!$AH$3:$AH$1850,1815),{"利用可","両方停止","運転がそろわない","判定不能"},0),"○","停","×","－"),"")</f>
        <v>○</v>
      </c>
      <c r="R79" s="35" t="str">
        <f aca="false">IFERROR(CHOOSE(MATCH(INDEX(時間ごとの判定!$AH$3:$AH$1850,1816),{"利用可","両方停止","運転がそろわない","判定不能"},0),"○","停","×","－"),"")</f>
        <v>○</v>
      </c>
      <c r="S79" s="35" t="str">
        <f aca="false">IFERROR(CHOOSE(MATCH(INDEX(時間ごとの判定!$AH$3:$AH$1850,1817),{"利用可","両方停止","運転がそろわない","判定不能"},0),"○","停","×","－"),"")</f>
        <v>×</v>
      </c>
      <c r="T79" s="35" t="str">
        <f aca="false">IFERROR(CHOOSE(MATCH(INDEX(時間ごとの判定!$AH$3:$AH$1850,1818),{"利用可","両方停止","運転がそろわない","判定不能"},0),"○","停","×","－"),"")</f>
        <v>停</v>
      </c>
      <c r="U79" s="35" t="str">
        <f aca="false">IFERROR(CHOOSE(MATCH(INDEX(時間ごとの判定!$AH$3:$AH$1850,1819),{"利用可","両方停止","運転がそろわない","判定不能"},0),"○","停","×","－"),"")</f>
        <v>×</v>
      </c>
      <c r="V79" s="35" t="str">
        <f aca="false">IFERROR(CHOOSE(MATCH(INDEX(時間ごとの判定!$AH$3:$AH$1850,1820),{"利用可","両方停止","運転がそろわない","判定不能"},0),"○","停","×","－"),"")</f>
        <v>停</v>
      </c>
      <c r="W79" s="35" t="str">
        <f aca="false">IFERROR(CHOOSE(MATCH(INDEX(時間ごとの判定!$AH$3:$AH$1850,1821),{"利用可","両方停止","運転がそろわない","判定不能"},0),"○","停","×","－"),"")</f>
        <v>停</v>
      </c>
      <c r="X79" s="35" t="str">
        <f aca="false">IFERROR(CHOOSE(MATCH(INDEX(時間ごとの判定!$AH$3:$AH$1850,1822),{"利用可","両方停止","運転がそろわない","判定不能"},0),"○","停","×","－"),"")</f>
        <v>停</v>
      </c>
      <c r="Y79" s="35" t="str">
        <f aca="false">IFERROR(CHOOSE(MATCH(INDEX(時間ごとの判定!$AH$3:$AH$1850,1823),{"利用可","両方停止","運転がそろわない","判定不能"},0),"○","停","×","－"),"")</f>
        <v>停</v>
      </c>
      <c r="Z79" s="35" t="str">
        <f aca="false">IFERROR(CHOOSE(MATCH(INDEX(時間ごとの判定!$AH$3:$AH$1850,1824),{"利用可","両方停止","運転がそろわない","判定不能"},0),"○","停","×","－"),"")</f>
        <v>停</v>
      </c>
      <c r="AA79" s="35"/>
      <c r="AB79" s="35" t="str">
        <f aca="false">IFERROR(CHOOSE(MATCH(INDEX(時間ごとの判定!$AK$3:$AK$1850,1801),{"利用可","両方停止","運転がそろわない","判定不能"},0),"○","停","×","－"),"")</f>
        <v>停</v>
      </c>
      <c r="AC79" s="35" t="str">
        <f aca="false">IFERROR(CHOOSE(MATCH(INDEX(時間ごとの判定!$AK$3:$AK$1850,1802),{"利用可","両方停止","運転がそろわない","判定不能"},0),"○","停","×","－"),"")</f>
        <v>停</v>
      </c>
      <c r="AD79" s="35" t="str">
        <f aca="false">IFERROR(CHOOSE(MATCH(INDEX(時間ごとの判定!$AK$3:$AK$1850,1803),{"利用可","両方停止","運転がそろわない","判定不能"},0),"○","停","×","－"),"")</f>
        <v>停</v>
      </c>
      <c r="AE79" s="35" t="str">
        <f aca="false">IFERROR(CHOOSE(MATCH(INDEX(時間ごとの判定!$AK$3:$AK$1850,1804),{"利用可","両方停止","運転がそろわない","判定不能"},0),"○","停","×","－"),"")</f>
        <v>停</v>
      </c>
      <c r="AF79" s="35" t="str">
        <f aca="false">IFERROR(CHOOSE(MATCH(INDEX(時間ごとの判定!$AK$3:$AK$1850,1805),{"利用可","両方停止","運転がそろわない","判定不能"},0),"○","停","×","－"),"")</f>
        <v>停</v>
      </c>
      <c r="AG79" s="35" t="str">
        <f aca="false">IFERROR(CHOOSE(MATCH(INDEX(時間ごとの判定!$AK$3:$AK$1850,1806),{"利用可","両方停止","運転がそろわない","判定不能"},0),"○","停","×","－"),"")</f>
        <v>停</v>
      </c>
      <c r="AH79" s="35" t="str">
        <f aca="false">IFERROR(CHOOSE(MATCH(INDEX(時間ごとの判定!$AK$3:$AK$1850,1807),{"利用可","両方停止","運転がそろわない","判定不能"},0),"○","停","×","－"),"")</f>
        <v>停</v>
      </c>
      <c r="AI79" s="35" t="str">
        <f aca="false">IFERROR(CHOOSE(MATCH(INDEX(時間ごとの判定!$AK$3:$AK$1850,1808),{"利用可","両方停止","運転がそろわない","判定不能"},0),"○","停","×","－"),"")</f>
        <v>停</v>
      </c>
      <c r="AJ79" s="35" t="str">
        <f aca="false">IFERROR(CHOOSE(MATCH(INDEX(時間ごとの判定!$AK$3:$AK$1850,1809),{"利用可","両方停止","運転がそろわない","判定不能"},0),"○","停","×","－"),"")</f>
        <v>×</v>
      </c>
      <c r="AK79" s="35" t="str">
        <f aca="false">IFERROR(CHOOSE(MATCH(INDEX(時間ごとの判定!$AK$3:$AK$1850,1810),{"利用可","両方停止","運転がそろわない","判定不能"},0),"○","停","×","－"),"")</f>
        <v>×</v>
      </c>
      <c r="AL79" s="35" t="str">
        <f aca="false">IFERROR(CHOOSE(MATCH(INDEX(時間ごとの判定!$AK$3:$AK$1850,1811),{"利用可","両方停止","運転がそろわない","判定不能"},0),"○","停","×","－"),"")</f>
        <v>○</v>
      </c>
      <c r="AM79" s="35" t="str">
        <f aca="false">IFERROR(CHOOSE(MATCH(INDEX(時間ごとの判定!$AK$3:$AK$1850,1812),{"利用可","両方停止","運転がそろわない","判定不能"},0),"○","停","×","－"),"")</f>
        <v>○</v>
      </c>
      <c r="AN79" s="35" t="str">
        <f aca="false">IFERROR(CHOOSE(MATCH(INDEX(時間ごとの判定!$AK$3:$AK$1850,1813),{"利用可","両方停止","運転がそろわない","判定不能"},0),"○","停","×","－"),"")</f>
        <v>○</v>
      </c>
      <c r="AO79" s="35" t="str">
        <f aca="false">IFERROR(CHOOSE(MATCH(INDEX(時間ごとの判定!$AK$3:$AK$1850,1814),{"利用可","両方停止","運転がそろわない","判定不能"},0),"○","停","×","－"),"")</f>
        <v>×</v>
      </c>
      <c r="AP79" s="35" t="str">
        <f aca="false">IFERROR(CHOOSE(MATCH(INDEX(時間ごとの判定!$AK$3:$AK$1850,1815),{"利用可","両方停止","運転がそろわない","判定不能"},0),"○","停","×","－"),"")</f>
        <v>×</v>
      </c>
      <c r="AQ79" s="35" t="str">
        <f aca="false">IFERROR(CHOOSE(MATCH(INDEX(時間ごとの判定!$AK$3:$AK$1850,1816),{"利用可","両方停止","運転がそろわない","判定不能"},0),"○","停","×","－"),"")</f>
        <v>○</v>
      </c>
      <c r="AR79" s="35" t="str">
        <f aca="false">IFERROR(CHOOSE(MATCH(INDEX(時間ごとの判定!$AK$3:$AK$1850,1817),{"利用可","両方停止","運転がそろわない","判定不能"},0),"○","停","×","－"),"")</f>
        <v>×</v>
      </c>
      <c r="AS79" s="35" t="str">
        <f aca="false">IFERROR(CHOOSE(MATCH(INDEX(時間ごとの判定!$AK$3:$AK$1850,1818),{"利用可","両方停止","運転がそろわない","判定不能"},0),"○","停","×","－"),"")</f>
        <v>×</v>
      </c>
      <c r="AT79" s="35" t="str">
        <f aca="false">IFERROR(CHOOSE(MATCH(INDEX(時間ごとの判定!$AK$3:$AK$1850,1819),{"利用可","両方停止","運転がそろわない","判定不能"},0),"○","停","×","－"),"")</f>
        <v>×</v>
      </c>
      <c r="AU79" s="35" t="str">
        <f aca="false">IFERROR(CHOOSE(MATCH(INDEX(時間ごとの判定!$AK$3:$AK$1850,1820),{"利用可","両方停止","運転がそろわない","判定不能"},0),"○","停","×","－"),"")</f>
        <v>停</v>
      </c>
      <c r="AV79" s="35" t="str">
        <f aca="false">IFERROR(CHOOSE(MATCH(INDEX(時間ごとの判定!$AK$3:$AK$1850,1821),{"利用可","両方停止","運転がそろわない","判定不能"},0),"○","停","×","－"),"")</f>
        <v>停</v>
      </c>
      <c r="AW79" s="35" t="str">
        <f aca="false">IFERROR(CHOOSE(MATCH(INDEX(時間ごとの判定!$AK$3:$AK$1850,1822),{"利用可","両方停止","運転がそろわない","判定不能"},0),"○","停","×","－"),"")</f>
        <v>停</v>
      </c>
      <c r="AX79" s="35" t="str">
        <f aca="false">IFERROR(CHOOSE(MATCH(INDEX(時間ごとの判定!$AK$3:$AK$1850,1823),{"利用可","両方停止","運転がそろわない","判定不能"},0),"○","停","×","－"),"")</f>
        <v>停</v>
      </c>
      <c r="AY79" s="35" t="str">
        <f aca="false">IFERROR(CHOOSE(MATCH(INDEX(時間ごとの判定!$AK$3:$AK$1850,1824),{"利用可","両方停止","運転がそろわない","判定不能"},0),"○","停","×","－"),"")</f>
        <v>停</v>
      </c>
      <c r="AZ79" s="35"/>
      <c r="BA79" s="35" t="str">
        <f aca="false">IFERROR(CHOOSE(MATCH(INDEX(時間ごとの判定!$AN$3:$AN$1850,1801),{"利用可","両方停止","運転がそろわない","判定不能"},0),"○","停","×","－"),"")</f>
        <v>停</v>
      </c>
      <c r="BB79" s="35" t="str">
        <f aca="false">IFERROR(CHOOSE(MATCH(INDEX(時間ごとの判定!$AN$3:$AN$1850,1802),{"利用可","両方停止","運転がそろわない","判定不能"},0),"○","停","×","－"),"")</f>
        <v>停</v>
      </c>
      <c r="BC79" s="35" t="str">
        <f aca="false">IFERROR(CHOOSE(MATCH(INDEX(時間ごとの判定!$AN$3:$AN$1850,1803),{"利用可","両方停止","運転がそろわない","判定不能"},0),"○","停","×","－"),"")</f>
        <v>停</v>
      </c>
      <c r="BD79" s="35" t="str">
        <f aca="false">IFERROR(CHOOSE(MATCH(INDEX(時間ごとの判定!$AN$3:$AN$1850,1804),{"利用可","両方停止","運転がそろわない","判定不能"},0),"○","停","×","－"),"")</f>
        <v>停</v>
      </c>
      <c r="BE79" s="35" t="str">
        <f aca="false">IFERROR(CHOOSE(MATCH(INDEX(時間ごとの判定!$AN$3:$AN$1850,1805),{"利用可","両方停止","運転がそろわない","判定不能"},0),"○","停","×","－"),"")</f>
        <v>停</v>
      </c>
      <c r="BF79" s="35" t="str">
        <f aca="false">IFERROR(CHOOSE(MATCH(INDEX(時間ごとの判定!$AN$3:$AN$1850,1806),{"利用可","両方停止","運転がそろわない","判定不能"},0),"○","停","×","－"),"")</f>
        <v>停</v>
      </c>
      <c r="BG79" s="35" t="str">
        <f aca="false">IFERROR(CHOOSE(MATCH(INDEX(時間ごとの判定!$AN$3:$AN$1850,1807),{"利用可","両方停止","運転がそろわない","判定不能"},0),"○","停","×","－"),"")</f>
        <v>停</v>
      </c>
      <c r="BH79" s="35" t="str">
        <f aca="false">IFERROR(CHOOSE(MATCH(INDEX(時間ごとの判定!$AN$3:$AN$1850,1808),{"利用可","両方停止","運転がそろわない","判定不能"},0),"○","停","×","－"),"")</f>
        <v>停</v>
      </c>
      <c r="BI79" s="35" t="str">
        <f aca="false">IFERROR(CHOOSE(MATCH(INDEX(時間ごとの判定!$AN$3:$AN$1850,1809),{"利用可","両方停止","運転がそろわない","判定不能"},0),"○","停","×","－"),"")</f>
        <v>×</v>
      </c>
      <c r="BJ79" s="35" t="str">
        <f aca="false">IFERROR(CHOOSE(MATCH(INDEX(時間ごとの判定!$AN$3:$AN$1850,1810),{"利用可","両方停止","運転がそろわない","判定不能"},0),"○","停","×","－"),"")</f>
        <v>○</v>
      </c>
      <c r="BK79" s="35" t="str">
        <f aca="false">IFERROR(CHOOSE(MATCH(INDEX(時間ごとの判定!$AN$3:$AN$1850,1811),{"利用可","両方停止","運転がそろわない","判定不能"},0),"○","停","×","－"),"")</f>
        <v>○</v>
      </c>
      <c r="BL79" s="35" t="str">
        <f aca="false">IFERROR(CHOOSE(MATCH(INDEX(時間ごとの判定!$AN$3:$AN$1850,1812),{"利用可","両方停止","運転がそろわない","判定不能"},0),"○","停","×","－"),"")</f>
        <v>○</v>
      </c>
      <c r="BM79" s="35" t="str">
        <f aca="false">IFERROR(CHOOSE(MATCH(INDEX(時間ごとの判定!$AN$3:$AN$1850,1813),{"利用可","両方停止","運転がそろわない","判定不能"},0),"○","停","×","－"),"")</f>
        <v>○</v>
      </c>
      <c r="BN79" s="35" t="str">
        <f aca="false">IFERROR(CHOOSE(MATCH(INDEX(時間ごとの判定!$AN$3:$AN$1850,1814),{"利用可","両方停止","運転がそろわない","判定不能"},0),"○","停","×","－"),"")</f>
        <v>○</v>
      </c>
      <c r="BO79" s="35" t="str">
        <f aca="false">IFERROR(CHOOSE(MATCH(INDEX(時間ごとの判定!$AN$3:$AN$1850,1815),{"利用可","両方停止","運転がそろわない","判定不能"},0),"○","停","×","－"),"")</f>
        <v>○</v>
      </c>
      <c r="BP79" s="35" t="str">
        <f aca="false">IFERROR(CHOOSE(MATCH(INDEX(時間ごとの判定!$AN$3:$AN$1850,1816),{"利用可","両方停止","運転がそろわない","判定不能"},0),"○","停","×","－"),"")</f>
        <v>○</v>
      </c>
      <c r="BQ79" s="35" t="str">
        <f aca="false">IFERROR(CHOOSE(MATCH(INDEX(時間ごとの判定!$AN$3:$AN$1850,1817),{"利用可","両方停止","運転がそろわない","判定不能"},0),"○","停","×","－"),"")</f>
        <v>×</v>
      </c>
      <c r="BR79" s="35" t="str">
        <f aca="false">IFERROR(CHOOSE(MATCH(INDEX(時間ごとの判定!$AN$3:$AN$1850,1818),{"利用可","両方停止","運転がそろわない","判定不能"},0),"○","停","×","－"),"")</f>
        <v>停</v>
      </c>
      <c r="BS79" s="35" t="str">
        <f aca="false">IFERROR(CHOOSE(MATCH(INDEX(時間ごとの判定!$AN$3:$AN$1850,1819),{"利用可","両方停止","運転がそろわない","判定不能"},0),"○","停","×","－"),"")</f>
        <v>停</v>
      </c>
      <c r="BT79" s="35" t="str">
        <f aca="false">IFERROR(CHOOSE(MATCH(INDEX(時間ごとの判定!$AN$3:$AN$1850,1820),{"利用可","両方停止","運転がそろわない","判定不能"},0),"○","停","×","－"),"")</f>
        <v>停</v>
      </c>
      <c r="BU79" s="35" t="str">
        <f aca="false">IFERROR(CHOOSE(MATCH(INDEX(時間ごとの判定!$AN$3:$AN$1850,1821),{"利用可","両方停止","運転がそろわない","判定不能"},0),"○","停","×","－"),"")</f>
        <v>停</v>
      </c>
      <c r="BV79" s="35" t="str">
        <f aca="false">IFERROR(CHOOSE(MATCH(INDEX(時間ごとの判定!$AN$3:$AN$1850,1822),{"利用可","両方停止","運転がそろわない","判定不能"},0),"○","停","×","－"),"")</f>
        <v>停</v>
      </c>
      <c r="BW79" s="35" t="str">
        <f aca="false">IFERROR(CHOOSE(MATCH(INDEX(時間ごとの判定!$AN$3:$AN$1850,1823),{"利用可","両方停止","運転がそろわない","判定不能"},0),"○","停","×","－"),"")</f>
        <v>停</v>
      </c>
      <c r="BX79" s="35" t="str">
        <f aca="false">IFERROR(CHOOSE(MATCH(INDEX(時間ごとの判定!$AN$3:$AN$1850,1824),{"利用可","両方停止","運転がそろわない","判定不能"},0),"○","停","×","－"),"")</f>
        <v>×</v>
      </c>
    </row>
    <row r="80" customFormat="false" ht="15" hidden="false" customHeight="false" outlineLevel="0" collapsed="false">
      <c r="A80" s="33" t="n">
        <v>46308</v>
      </c>
      <c r="B80" s="34" t="s">
        <v>67</v>
      </c>
      <c r="C80" s="35" t="str">
        <f aca="false">IFERROR(CHOOSE(MATCH(INDEX(時間ごとの判定!$AH$3:$AH$1850,1825),{"利用可","両方停止","運転がそろわない","判定不能"},0),"○","停","×","－"),"")</f>
        <v>停</v>
      </c>
      <c r="D80" s="35" t="str">
        <f aca="false">IFERROR(CHOOSE(MATCH(INDEX(時間ごとの判定!$AH$3:$AH$1850,1826),{"利用可","両方停止","運転がそろわない","判定不能"},0),"○","停","×","－"),"")</f>
        <v>停</v>
      </c>
      <c r="E80" s="35" t="str">
        <f aca="false">IFERROR(CHOOSE(MATCH(INDEX(時間ごとの判定!$AH$3:$AH$1850,1827),{"利用可","両方停止","運転がそろわない","判定不能"},0),"○","停","×","－"),"")</f>
        <v>停</v>
      </c>
      <c r="F80" s="35" t="str">
        <f aca="false">IFERROR(CHOOSE(MATCH(INDEX(時間ごとの判定!$AH$3:$AH$1850,1828),{"利用可","両方停止","運転がそろわない","判定不能"},0),"○","停","×","－"),"")</f>
        <v>停</v>
      </c>
      <c r="G80" s="35" t="str">
        <f aca="false">IFERROR(CHOOSE(MATCH(INDEX(時間ごとの判定!$AH$3:$AH$1850,1829),{"利用可","両方停止","運転がそろわない","判定不能"},0),"○","停","×","－"),"")</f>
        <v>停</v>
      </c>
      <c r="H80" s="35" t="str">
        <f aca="false">IFERROR(CHOOSE(MATCH(INDEX(時間ごとの判定!$AH$3:$AH$1850,1830),{"利用可","両方停止","運転がそろわない","判定不能"},0),"○","停","×","－"),"")</f>
        <v>停</v>
      </c>
      <c r="I80" s="35" t="str">
        <f aca="false">IFERROR(CHOOSE(MATCH(INDEX(時間ごとの判定!$AH$3:$AH$1850,1831),{"利用可","両方停止","運転がそろわない","判定不能"},0),"○","停","×","－"),"")</f>
        <v>停</v>
      </c>
      <c r="J80" s="35" t="str">
        <f aca="false">IFERROR(CHOOSE(MATCH(INDEX(時間ごとの判定!$AH$3:$AH$1850,1832),{"利用可","両方停止","運転がそろわない","判定不能"},0),"○","停","×","－"),"")</f>
        <v>停</v>
      </c>
      <c r="K80" s="35" t="str">
        <f aca="false">IFERROR(CHOOSE(MATCH(INDEX(時間ごとの判定!$AH$3:$AH$1850,1833),{"利用可","両方停止","運転がそろわない","判定不能"},0),"○","停","×","－"),"")</f>
        <v>×</v>
      </c>
      <c r="L80" s="35" t="str">
        <f aca="false">IFERROR(CHOOSE(MATCH(INDEX(時間ごとの判定!$AH$3:$AH$1850,1834),{"利用可","両方停止","運転がそろわない","判定不能"},0),"○","停","×","－"),"")</f>
        <v>×</v>
      </c>
      <c r="M80" s="35" t="str">
        <f aca="false">IFERROR(CHOOSE(MATCH(INDEX(時間ごとの判定!$AH$3:$AH$1850,1835),{"利用可","両方停止","運転がそろわない","判定不能"},0),"○","停","×","－"),"")</f>
        <v>×</v>
      </c>
      <c r="N80" s="35" t="str">
        <f aca="false">IFERROR(CHOOSE(MATCH(INDEX(時間ごとの判定!$AH$3:$AH$1850,1836),{"利用可","両方停止","運転がそろわない","判定不能"},0),"○","停","×","－"),"")</f>
        <v>○</v>
      </c>
      <c r="O80" s="35" t="str">
        <f aca="false">IFERROR(CHOOSE(MATCH(INDEX(時間ごとの判定!$AH$3:$AH$1850,1837),{"利用可","両方停止","運転がそろわない","判定不能"},0),"○","停","×","－"),"")</f>
        <v>×</v>
      </c>
      <c r="P80" s="35" t="str">
        <f aca="false">IFERROR(CHOOSE(MATCH(INDEX(時間ごとの判定!$AH$3:$AH$1850,1838),{"利用可","両方停止","運転がそろわない","判定不能"},0),"○","停","×","－"),"")</f>
        <v>－</v>
      </c>
      <c r="Q80" s="35" t="str">
        <f aca="false">IFERROR(CHOOSE(MATCH(INDEX(時間ごとの判定!$AH$3:$AH$1850,1839),{"利用可","両方停止","運転がそろわない","判定不能"},0),"○","停","×","－"),"")</f>
        <v>－</v>
      </c>
      <c r="R80" s="35" t="str">
        <f aca="false">IFERROR(CHOOSE(MATCH(INDEX(時間ごとの判定!$AH$3:$AH$1850,1840),{"利用可","両方停止","運転がそろわない","判定不能"},0),"○","停","×","－"),"")</f>
        <v>－</v>
      </c>
      <c r="S80" s="35" t="str">
        <f aca="false">IFERROR(CHOOSE(MATCH(INDEX(時間ごとの判定!$AH$3:$AH$1850,1841),{"利用可","両方停止","運転がそろわない","判定不能"},0),"○","停","×","－"),"")</f>
        <v>－</v>
      </c>
      <c r="T80" s="35" t="str">
        <f aca="false">IFERROR(CHOOSE(MATCH(INDEX(時間ごとの判定!$AH$3:$AH$1850,1842),{"利用可","両方停止","運転がそろわない","判定不能"},0),"○","停","×","－"),"")</f>
        <v>－</v>
      </c>
      <c r="U80" s="35" t="str">
        <f aca="false">IFERROR(CHOOSE(MATCH(INDEX(時間ごとの判定!$AH$3:$AH$1850,1843),{"利用可","両方停止","運転がそろわない","判定不能"},0),"○","停","×","－"),"")</f>
        <v>－</v>
      </c>
      <c r="V80" s="35" t="str">
        <f aca="false">IFERROR(CHOOSE(MATCH(INDEX(時間ごとの判定!$AH$3:$AH$1850,1844),{"利用可","両方停止","運転がそろわない","判定不能"},0),"○","停","×","－"),"")</f>
        <v>－</v>
      </c>
      <c r="W80" s="35" t="str">
        <f aca="false">IFERROR(CHOOSE(MATCH(INDEX(時間ごとの判定!$AH$3:$AH$1850,1845),{"利用可","両方停止","運転がそろわない","判定不能"},0),"○","停","×","－"),"")</f>
        <v>－</v>
      </c>
      <c r="X80" s="35" t="str">
        <f aca="false">IFERROR(CHOOSE(MATCH(INDEX(時間ごとの判定!$AH$3:$AH$1850,1846),{"利用可","両方停止","運転がそろわない","判定不能"},0),"○","停","×","－"),"")</f>
        <v>－</v>
      </c>
      <c r="Y80" s="35" t="str">
        <f aca="false">IFERROR(CHOOSE(MATCH(INDEX(時間ごとの判定!$AH$3:$AH$1850,1847),{"利用可","両方停止","運転がそろわない","判定不能"},0),"○","停","×","－"),"")</f>
        <v>－</v>
      </c>
      <c r="Z80" s="35" t="str">
        <f aca="false">IFERROR(CHOOSE(MATCH(INDEX(時間ごとの判定!$AH$3:$AH$1850,1848),{"利用可","両方停止","運転がそろわない","判定不能"},0),"○","停","×","－"),"")</f>
        <v>－</v>
      </c>
      <c r="AA80" s="35"/>
      <c r="AB80" s="35" t="str">
        <f aca="false">IFERROR(CHOOSE(MATCH(INDEX(時間ごとの判定!$AK$3:$AK$1850,1825),{"利用可","両方停止","運転がそろわない","判定不能"},0),"○","停","×","－"),"")</f>
        <v>×</v>
      </c>
      <c r="AC80" s="35" t="str">
        <f aca="false">IFERROR(CHOOSE(MATCH(INDEX(時間ごとの判定!$AK$3:$AK$1850,1826),{"利用可","両方停止","運転がそろわない","判定不能"},0),"○","停","×","－"),"")</f>
        <v>停</v>
      </c>
      <c r="AD80" s="35" t="str">
        <f aca="false">IFERROR(CHOOSE(MATCH(INDEX(時間ごとの判定!$AK$3:$AK$1850,1827),{"利用可","両方停止","運転がそろわない","判定不能"},0),"○","停","×","－"),"")</f>
        <v>停</v>
      </c>
      <c r="AE80" s="35" t="str">
        <f aca="false">IFERROR(CHOOSE(MATCH(INDEX(時間ごとの判定!$AK$3:$AK$1850,1828),{"利用可","両方停止","運転がそろわない","判定不能"},0),"○","停","×","－"),"")</f>
        <v>停</v>
      </c>
      <c r="AF80" s="35" t="str">
        <f aca="false">IFERROR(CHOOSE(MATCH(INDEX(時間ごとの判定!$AK$3:$AK$1850,1829),{"利用可","両方停止","運転がそろわない","判定不能"},0),"○","停","×","－"),"")</f>
        <v>停</v>
      </c>
      <c r="AG80" s="35" t="str">
        <f aca="false">IFERROR(CHOOSE(MATCH(INDEX(時間ごとの判定!$AK$3:$AK$1850,1830),{"利用可","両方停止","運転がそろわない","判定不能"},0),"○","停","×","－"),"")</f>
        <v>停</v>
      </c>
      <c r="AH80" s="35" t="str">
        <f aca="false">IFERROR(CHOOSE(MATCH(INDEX(時間ごとの判定!$AK$3:$AK$1850,1831),{"利用可","両方停止","運転がそろわない","判定不能"},0),"○","停","×","－"),"")</f>
        <v>×</v>
      </c>
      <c r="AI80" s="35" t="str">
        <f aca="false">IFERROR(CHOOSE(MATCH(INDEX(時間ごとの判定!$AK$3:$AK$1850,1832),{"利用可","両方停止","運転がそろわない","判定不能"},0),"○","停","×","－"),"")</f>
        <v>停</v>
      </c>
      <c r="AJ80" s="35" t="str">
        <f aca="false">IFERROR(CHOOSE(MATCH(INDEX(時間ごとの判定!$AK$3:$AK$1850,1833),{"利用可","両方停止","運転がそろわない","判定不能"},0),"○","停","×","－"),"")</f>
        <v>×</v>
      </c>
      <c r="AK80" s="35" t="str">
        <f aca="false">IFERROR(CHOOSE(MATCH(INDEX(時間ごとの判定!$AK$3:$AK$1850,1834),{"利用可","両方停止","運転がそろわない","判定不能"},0),"○","停","×","－"),"")</f>
        <v>×</v>
      </c>
      <c r="AL80" s="35" t="str">
        <f aca="false">IFERROR(CHOOSE(MATCH(INDEX(時間ごとの判定!$AK$3:$AK$1850,1835),{"利用可","両方停止","運転がそろわない","判定不能"},0),"○","停","×","－"),"")</f>
        <v>×</v>
      </c>
      <c r="AM80" s="35" t="str">
        <f aca="false">IFERROR(CHOOSE(MATCH(INDEX(時間ごとの判定!$AK$3:$AK$1850,1836),{"利用可","両方停止","運転がそろわない","判定不能"},0),"○","停","×","－"),"")</f>
        <v>○</v>
      </c>
      <c r="AN80" s="35" t="str">
        <f aca="false">IFERROR(CHOOSE(MATCH(INDEX(時間ごとの判定!$AK$3:$AK$1850,1837),{"利用可","両方停止","運転がそろわない","判定不能"},0),"○","停","×","－"),"")</f>
        <v>○</v>
      </c>
      <c r="AO80" s="35" t="str">
        <f aca="false">IFERROR(CHOOSE(MATCH(INDEX(時間ごとの判定!$AK$3:$AK$1850,1838),{"利用可","両方停止","運転がそろわない","判定不能"},0),"○","停","×","－"),"")</f>
        <v>－</v>
      </c>
      <c r="AP80" s="35" t="str">
        <f aca="false">IFERROR(CHOOSE(MATCH(INDEX(時間ごとの判定!$AK$3:$AK$1850,1839),{"利用可","両方停止","運転がそろわない","判定不能"},0),"○","停","×","－"),"")</f>
        <v>－</v>
      </c>
      <c r="AQ80" s="35" t="str">
        <f aca="false">IFERROR(CHOOSE(MATCH(INDEX(時間ごとの判定!$AK$3:$AK$1850,1840),{"利用可","両方停止","運転がそろわない","判定不能"},0),"○","停","×","－"),"")</f>
        <v>－</v>
      </c>
      <c r="AR80" s="35" t="str">
        <f aca="false">IFERROR(CHOOSE(MATCH(INDEX(時間ごとの判定!$AK$3:$AK$1850,1841),{"利用可","両方停止","運転がそろわない","判定不能"},0),"○","停","×","－"),"")</f>
        <v>－</v>
      </c>
      <c r="AS80" s="35" t="str">
        <f aca="false">IFERROR(CHOOSE(MATCH(INDEX(時間ごとの判定!$AK$3:$AK$1850,1842),{"利用可","両方停止","運転がそろわない","判定不能"},0),"○","停","×","－"),"")</f>
        <v>－</v>
      </c>
      <c r="AT80" s="35" t="str">
        <f aca="false">IFERROR(CHOOSE(MATCH(INDEX(時間ごとの判定!$AK$3:$AK$1850,1843),{"利用可","両方停止","運転がそろわない","判定不能"},0),"○","停","×","－"),"")</f>
        <v>－</v>
      </c>
      <c r="AU80" s="35" t="str">
        <f aca="false">IFERROR(CHOOSE(MATCH(INDEX(時間ごとの判定!$AK$3:$AK$1850,1844),{"利用可","両方停止","運転がそろわない","判定不能"},0),"○","停","×","－"),"")</f>
        <v>－</v>
      </c>
      <c r="AV80" s="35" t="str">
        <f aca="false">IFERROR(CHOOSE(MATCH(INDEX(時間ごとの判定!$AK$3:$AK$1850,1845),{"利用可","両方停止","運転がそろわない","判定不能"},0),"○","停","×","－"),"")</f>
        <v>－</v>
      </c>
      <c r="AW80" s="35" t="str">
        <f aca="false">IFERROR(CHOOSE(MATCH(INDEX(時間ごとの判定!$AK$3:$AK$1850,1846),{"利用可","両方停止","運転がそろわない","判定不能"},0),"○","停","×","－"),"")</f>
        <v>－</v>
      </c>
      <c r="AX80" s="35" t="str">
        <f aca="false">IFERROR(CHOOSE(MATCH(INDEX(時間ごとの判定!$AK$3:$AK$1850,1847),{"利用可","両方停止","運転がそろわない","判定不能"},0),"○","停","×","－"),"")</f>
        <v>－</v>
      </c>
      <c r="AY80" s="35" t="str">
        <f aca="false">IFERROR(CHOOSE(MATCH(INDEX(時間ごとの判定!$AK$3:$AK$1850,1848),{"利用可","両方停止","運転がそろわない","判定不能"},0),"○","停","×","－"),"")</f>
        <v>－</v>
      </c>
      <c r="AZ80" s="35"/>
      <c r="BA80" s="35" t="str">
        <f aca="false">IFERROR(CHOOSE(MATCH(INDEX(時間ごとの判定!$AN$3:$AN$1850,1825),{"利用可","両方停止","運転がそろわない","判定不能"},0),"○","停","×","－"),"")</f>
        <v>×</v>
      </c>
      <c r="BB80" s="35" t="str">
        <f aca="false">IFERROR(CHOOSE(MATCH(INDEX(時間ごとの判定!$AN$3:$AN$1850,1826),{"利用可","両方停止","運転がそろわない","判定不能"},0),"○","停","×","－"),"")</f>
        <v>×</v>
      </c>
      <c r="BC80" s="35" t="str">
        <f aca="false">IFERROR(CHOOSE(MATCH(INDEX(時間ごとの判定!$AN$3:$AN$1850,1827),{"利用可","両方停止","運転がそろわない","判定不能"},0),"○","停","×","－"),"")</f>
        <v>×</v>
      </c>
      <c r="BD80" s="35" t="str">
        <f aca="false">IFERROR(CHOOSE(MATCH(INDEX(時間ごとの判定!$AN$3:$AN$1850,1828),{"利用可","両方停止","運転がそろわない","判定不能"},0),"○","停","×","－"),"")</f>
        <v>停</v>
      </c>
      <c r="BE80" s="35" t="str">
        <f aca="false">IFERROR(CHOOSE(MATCH(INDEX(時間ごとの判定!$AN$3:$AN$1850,1829),{"利用可","両方停止","運転がそろわない","判定不能"},0),"○","停","×","－"),"")</f>
        <v>停</v>
      </c>
      <c r="BF80" s="35" t="str">
        <f aca="false">IFERROR(CHOOSE(MATCH(INDEX(時間ごとの判定!$AN$3:$AN$1850,1830),{"利用可","両方停止","運転がそろわない","判定不能"},0),"○","停","×","－"),"")</f>
        <v>停</v>
      </c>
      <c r="BG80" s="35" t="str">
        <f aca="false">IFERROR(CHOOSE(MATCH(INDEX(時間ごとの判定!$AN$3:$AN$1850,1831),{"利用可","両方停止","運転がそろわない","判定不能"},0),"○","停","×","－"),"")</f>
        <v>×</v>
      </c>
      <c r="BH80" s="35" t="str">
        <f aca="false">IFERROR(CHOOSE(MATCH(INDEX(時間ごとの判定!$AN$3:$AN$1850,1832),{"利用可","両方停止","運転がそろわない","判定不能"},0),"○","停","×","－"),"")</f>
        <v>×</v>
      </c>
      <c r="BI80" s="35" t="str">
        <f aca="false">IFERROR(CHOOSE(MATCH(INDEX(時間ごとの判定!$AN$3:$AN$1850,1833),{"利用可","両方停止","運転がそろわない","判定不能"},0),"○","停","×","－"),"")</f>
        <v>×</v>
      </c>
      <c r="BJ80" s="35" t="str">
        <f aca="false">IFERROR(CHOOSE(MATCH(INDEX(時間ごとの判定!$AN$3:$AN$1850,1834),{"利用可","両方停止","運転がそろわない","判定不能"},0),"○","停","×","－"),"")</f>
        <v>×</v>
      </c>
      <c r="BK80" s="35" t="str">
        <f aca="false">IFERROR(CHOOSE(MATCH(INDEX(時間ごとの判定!$AN$3:$AN$1850,1835),{"利用可","両方停止","運転がそろわない","判定不能"},0),"○","停","×","－"),"")</f>
        <v>○</v>
      </c>
      <c r="BL80" s="35" t="str">
        <f aca="false">IFERROR(CHOOSE(MATCH(INDEX(時間ごとの判定!$AN$3:$AN$1850,1836),{"利用可","両方停止","運転がそろわない","判定不能"},0),"○","停","×","－"),"")</f>
        <v>○</v>
      </c>
      <c r="BM80" s="35" t="str">
        <f aca="false">IFERROR(CHOOSE(MATCH(INDEX(時間ごとの判定!$AN$3:$AN$1850,1837),{"利用可","両方停止","運転がそろわない","判定不能"},0),"○","停","×","－"),"")</f>
        <v>○</v>
      </c>
      <c r="BN80" s="35" t="str">
        <f aca="false">IFERROR(CHOOSE(MATCH(INDEX(時間ごとの判定!$AN$3:$AN$1850,1838),{"利用可","両方停止","運転がそろわない","判定不能"},0),"○","停","×","－"),"")</f>
        <v>－</v>
      </c>
      <c r="BO80" s="35" t="str">
        <f aca="false">IFERROR(CHOOSE(MATCH(INDEX(時間ごとの判定!$AN$3:$AN$1850,1839),{"利用可","両方停止","運転がそろわない","判定不能"},0),"○","停","×","－"),"")</f>
        <v>－</v>
      </c>
      <c r="BP80" s="35" t="str">
        <f aca="false">IFERROR(CHOOSE(MATCH(INDEX(時間ごとの判定!$AN$3:$AN$1850,1840),{"利用可","両方停止","運転がそろわない","判定不能"},0),"○","停","×","－"),"")</f>
        <v>－</v>
      </c>
      <c r="BQ80" s="35" t="str">
        <f aca="false">IFERROR(CHOOSE(MATCH(INDEX(時間ごとの判定!$AN$3:$AN$1850,1841),{"利用可","両方停止","運転がそろわない","判定不能"},0),"○","停","×","－"),"")</f>
        <v>－</v>
      </c>
      <c r="BR80" s="35" t="str">
        <f aca="false">IFERROR(CHOOSE(MATCH(INDEX(時間ごとの判定!$AN$3:$AN$1850,1842),{"利用可","両方停止","運転がそろわない","判定不能"},0),"○","停","×","－"),"")</f>
        <v>－</v>
      </c>
      <c r="BS80" s="35" t="str">
        <f aca="false">IFERROR(CHOOSE(MATCH(INDEX(時間ごとの判定!$AN$3:$AN$1850,1843),{"利用可","両方停止","運転がそろわない","判定不能"},0),"○","停","×","－"),"")</f>
        <v>－</v>
      </c>
      <c r="BT80" s="35" t="str">
        <f aca="false">IFERROR(CHOOSE(MATCH(INDEX(時間ごとの判定!$AN$3:$AN$1850,1844),{"利用可","両方停止","運転がそろわない","判定不能"},0),"○","停","×","－"),"")</f>
        <v>－</v>
      </c>
      <c r="BU80" s="35" t="str">
        <f aca="false">IFERROR(CHOOSE(MATCH(INDEX(時間ごとの判定!$AN$3:$AN$1850,1845),{"利用可","両方停止","運転がそろわない","判定不能"},0),"○","停","×","－"),"")</f>
        <v>－</v>
      </c>
      <c r="BV80" s="35" t="str">
        <f aca="false">IFERROR(CHOOSE(MATCH(INDEX(時間ごとの判定!$AN$3:$AN$1850,1846),{"利用可","両方停止","運転がそろわない","判定不能"},0),"○","停","×","－"),"")</f>
        <v>－</v>
      </c>
      <c r="BW80" s="35" t="str">
        <f aca="false">IFERROR(CHOOSE(MATCH(INDEX(時間ごとの判定!$AN$3:$AN$1850,1847),{"利用可","両方停止","運転がそろわない","判定不能"},0),"○","停","×","－"),"")</f>
        <v>－</v>
      </c>
      <c r="BX80" s="35" t="str">
        <f aca="false">IFERROR(CHOOSE(MATCH(INDEX(時間ごとの判定!$AN$3:$AN$1850,1848),{"利用可","両方停止","運転がそろわない","判定不能"},0),"○","停","×","－"),"")</f>
        <v>－</v>
      </c>
    </row>
  </sheetData>
  <mergeCells count="3">
    <mergeCell ref="C2:Z2"/>
    <mergeCell ref="AB2:AY2"/>
    <mergeCell ref="BA2:BX2"/>
  </mergeCells>
  <conditionalFormatting sqref="C4:BX80">
    <cfRule type="cellIs" priority="2" operator="equal" aboveAverage="0" equalAverage="0" bottom="0" percent="0" rank="0" text="" dxfId="13">
      <formula>"○"</formula>
    </cfRule>
    <cfRule type="cellIs" priority="3" operator="equal" aboveAverage="0" equalAverage="0" bottom="0" percent="0" rank="0" text="" dxfId="14">
      <formula>"停"</formula>
    </cfRule>
    <cfRule type="cellIs" priority="4" operator="equal" aboveAverage="0" equalAverage="0" bottom="0" percent="0" rank="0" text="" dxfId="15">
      <formula>"×"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X8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"/>
    <col collapsed="false" customWidth="true" hidden="false" outlineLevel="0" max="26" min="3" style="0" width="2.6"/>
    <col collapsed="false" customWidth="true" hidden="false" outlineLevel="0" max="27" min="27" style="0" width="1.5"/>
    <col collapsed="false" customWidth="true" hidden="false" outlineLevel="0" max="51" min="28" style="0" width="2.6"/>
    <col collapsed="false" customWidth="true" hidden="false" outlineLevel="0" max="52" min="52" style="0" width="1.5"/>
    <col collapsed="false" customWidth="true" hidden="false" outlineLevel="0" max="76" min="53" style="0" width="2.6"/>
    <col collapsed="false" customWidth="true" hidden="false" outlineLevel="0" max="77" min="77" style="0" width="1.5"/>
  </cols>
  <sheetData>
    <row r="1" customFormat="false" ht="15" hidden="false" customHeight="false" outlineLevel="0" collapsed="false">
      <c r="A1" s="11" t="s">
        <v>103</v>
      </c>
    </row>
    <row r="2" customFormat="false" ht="15" hidden="false" customHeight="true" outlineLevel="0" collapsed="false">
      <c r="C2" s="18" t="s">
        <v>50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B2" s="18" t="s">
        <v>51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BA2" s="18" t="s">
        <v>52</v>
      </c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</row>
    <row r="3" customFormat="false" ht="15" hidden="false" customHeight="false" outlineLevel="0" collapsed="false">
      <c r="C3" s="32" t="n">
        <v>0</v>
      </c>
      <c r="D3" s="32" t="n">
        <v>1</v>
      </c>
      <c r="E3" s="32" t="n">
        <v>2</v>
      </c>
      <c r="F3" s="32" t="n">
        <v>3</v>
      </c>
      <c r="G3" s="32" t="n">
        <v>4</v>
      </c>
      <c r="H3" s="32" t="n">
        <v>5</v>
      </c>
      <c r="I3" s="32" t="n">
        <v>6</v>
      </c>
      <c r="J3" s="32" t="n">
        <v>7</v>
      </c>
      <c r="K3" s="32" t="n">
        <v>8</v>
      </c>
      <c r="L3" s="32" t="n">
        <v>9</v>
      </c>
      <c r="M3" s="32" t="n">
        <v>10</v>
      </c>
      <c r="N3" s="32" t="n">
        <v>11</v>
      </c>
      <c r="O3" s="32" t="n">
        <v>12</v>
      </c>
      <c r="P3" s="32" t="n">
        <v>13</v>
      </c>
      <c r="Q3" s="32" t="n">
        <v>14</v>
      </c>
      <c r="R3" s="32" t="n">
        <v>15</v>
      </c>
      <c r="S3" s="32" t="n">
        <v>16</v>
      </c>
      <c r="T3" s="32" t="n">
        <v>17</v>
      </c>
      <c r="U3" s="32" t="n">
        <v>18</v>
      </c>
      <c r="V3" s="32" t="n">
        <v>19</v>
      </c>
      <c r="W3" s="32" t="n">
        <v>20</v>
      </c>
      <c r="X3" s="32" t="n">
        <v>21</v>
      </c>
      <c r="Y3" s="32" t="n">
        <v>22</v>
      </c>
      <c r="Z3" s="32" t="n">
        <v>23</v>
      </c>
      <c r="AB3" s="32" t="n">
        <v>0</v>
      </c>
      <c r="AC3" s="32" t="n">
        <v>1</v>
      </c>
      <c r="AD3" s="32" t="n">
        <v>2</v>
      </c>
      <c r="AE3" s="32" t="n">
        <v>3</v>
      </c>
      <c r="AF3" s="32" t="n">
        <v>4</v>
      </c>
      <c r="AG3" s="32" t="n">
        <v>5</v>
      </c>
      <c r="AH3" s="32" t="n">
        <v>6</v>
      </c>
      <c r="AI3" s="32" t="n">
        <v>7</v>
      </c>
      <c r="AJ3" s="32" t="n">
        <v>8</v>
      </c>
      <c r="AK3" s="32" t="n">
        <v>9</v>
      </c>
      <c r="AL3" s="32" t="n">
        <v>10</v>
      </c>
      <c r="AM3" s="32" t="n">
        <v>11</v>
      </c>
      <c r="AN3" s="32" t="n">
        <v>12</v>
      </c>
      <c r="AO3" s="32" t="n">
        <v>13</v>
      </c>
      <c r="AP3" s="32" t="n">
        <v>14</v>
      </c>
      <c r="AQ3" s="32" t="n">
        <v>15</v>
      </c>
      <c r="AR3" s="32" t="n">
        <v>16</v>
      </c>
      <c r="AS3" s="32" t="n">
        <v>17</v>
      </c>
      <c r="AT3" s="32" t="n">
        <v>18</v>
      </c>
      <c r="AU3" s="32" t="n">
        <v>19</v>
      </c>
      <c r="AV3" s="32" t="n">
        <v>20</v>
      </c>
      <c r="AW3" s="32" t="n">
        <v>21</v>
      </c>
      <c r="AX3" s="32" t="n">
        <v>22</v>
      </c>
      <c r="AY3" s="32" t="n">
        <v>23</v>
      </c>
      <c r="BA3" s="32" t="n">
        <v>0</v>
      </c>
      <c r="BB3" s="32" t="n">
        <v>1</v>
      </c>
      <c r="BC3" s="32" t="n">
        <v>2</v>
      </c>
      <c r="BD3" s="32" t="n">
        <v>3</v>
      </c>
      <c r="BE3" s="32" t="n">
        <v>4</v>
      </c>
      <c r="BF3" s="32" t="n">
        <v>5</v>
      </c>
      <c r="BG3" s="32" t="n">
        <v>6</v>
      </c>
      <c r="BH3" s="32" t="n">
        <v>7</v>
      </c>
      <c r="BI3" s="32" t="n">
        <v>8</v>
      </c>
      <c r="BJ3" s="32" t="n">
        <v>9</v>
      </c>
      <c r="BK3" s="32" t="n">
        <v>10</v>
      </c>
      <c r="BL3" s="32" t="n">
        <v>11</v>
      </c>
      <c r="BM3" s="32" t="n">
        <v>12</v>
      </c>
      <c r="BN3" s="32" t="n">
        <v>13</v>
      </c>
      <c r="BO3" s="32" t="n">
        <v>14</v>
      </c>
      <c r="BP3" s="32" t="n">
        <v>15</v>
      </c>
      <c r="BQ3" s="32" t="n">
        <v>16</v>
      </c>
      <c r="BR3" s="32" t="n">
        <v>17</v>
      </c>
      <c r="BS3" s="32" t="n">
        <v>18</v>
      </c>
      <c r="BT3" s="32" t="n">
        <v>19</v>
      </c>
      <c r="BU3" s="32" t="n">
        <v>20</v>
      </c>
      <c r="BV3" s="32" t="n">
        <v>21</v>
      </c>
      <c r="BW3" s="32" t="n">
        <v>22</v>
      </c>
      <c r="BX3" s="32" t="n">
        <v>23</v>
      </c>
    </row>
    <row r="4" customFormat="false" ht="15" hidden="false" customHeight="false" outlineLevel="0" collapsed="false">
      <c r="A4" s="33" t="n">
        <v>46232</v>
      </c>
      <c r="B4" s="34" t="s">
        <v>58</v>
      </c>
      <c r="C4" s="35" t="str">
        <f aca="false">IFERROR(CHOOSE(MATCH(INDEX(時間ごとの判定!$AQ$3:$AQ$1850,1),{"利用可","両方停止","運転がそろわない","判定不能"},0),"○","停","×","－"),"")</f>
        <v>－</v>
      </c>
      <c r="D4" s="35" t="str">
        <f aca="false">IFERROR(CHOOSE(MATCH(INDEX(時間ごとの判定!$AQ$3:$AQ$1850,2),{"利用可","両方停止","運転がそろわない","判定不能"},0),"○","停","×","－"),"")</f>
        <v>－</v>
      </c>
      <c r="E4" s="35" t="str">
        <f aca="false">IFERROR(CHOOSE(MATCH(INDEX(時間ごとの判定!$AQ$3:$AQ$1850,3),{"利用可","両方停止","運転がそろわない","判定不能"},0),"○","停","×","－"),"")</f>
        <v>－</v>
      </c>
      <c r="F4" s="35" t="str">
        <f aca="false">IFERROR(CHOOSE(MATCH(INDEX(時間ごとの判定!$AQ$3:$AQ$1850,4),{"利用可","両方停止","運転がそろわない","判定不能"},0),"○","停","×","－"),"")</f>
        <v>－</v>
      </c>
      <c r="G4" s="35" t="str">
        <f aca="false">IFERROR(CHOOSE(MATCH(INDEX(時間ごとの判定!$AQ$3:$AQ$1850,5),{"利用可","両方停止","運転がそろわない","判定不能"},0),"○","停","×","－"),"")</f>
        <v>－</v>
      </c>
      <c r="H4" s="35" t="str">
        <f aca="false">IFERROR(CHOOSE(MATCH(INDEX(時間ごとの判定!$AQ$3:$AQ$1850,6),{"利用可","両方停止","運転がそろわない","判定不能"},0),"○","停","×","－"),"")</f>
        <v>－</v>
      </c>
      <c r="I4" s="35" t="str">
        <f aca="false">IFERROR(CHOOSE(MATCH(INDEX(時間ごとの判定!$AQ$3:$AQ$1850,7),{"利用可","両方停止","運転がそろわない","判定不能"},0),"○","停","×","－"),"")</f>
        <v>－</v>
      </c>
      <c r="J4" s="35" t="str">
        <f aca="false">IFERROR(CHOOSE(MATCH(INDEX(時間ごとの判定!$AQ$3:$AQ$1850,8),{"利用可","両方停止","運転がそろわない","判定不能"},0),"○","停","×","－"),"")</f>
        <v>－</v>
      </c>
      <c r="K4" s="35" t="str">
        <f aca="false">IFERROR(CHOOSE(MATCH(INDEX(時間ごとの判定!$AQ$3:$AQ$1850,9),{"利用可","両方停止","運転がそろわない","判定不能"},0),"○","停","×","－"),"")</f>
        <v>－</v>
      </c>
      <c r="L4" s="35" t="str">
        <f aca="false">IFERROR(CHOOSE(MATCH(INDEX(時間ごとの判定!$AQ$3:$AQ$1850,10),{"利用可","両方停止","運転がそろわない","判定不能"},0),"○","停","×","－"),"")</f>
        <v>－</v>
      </c>
      <c r="M4" s="35" t="str">
        <f aca="false">IFERROR(CHOOSE(MATCH(INDEX(時間ごとの判定!$AQ$3:$AQ$1850,11),{"利用可","両方停止","運転がそろわない","判定不能"},0),"○","停","×","－"),"")</f>
        <v>－</v>
      </c>
      <c r="N4" s="35" t="str">
        <f aca="false">IFERROR(CHOOSE(MATCH(INDEX(時間ごとの判定!$AQ$3:$AQ$1850,12),{"利用可","両方停止","運転がそろわない","判定不能"},0),"○","停","×","－"),"")</f>
        <v>－</v>
      </c>
      <c r="O4" s="35" t="str">
        <f aca="false">IFERROR(CHOOSE(MATCH(INDEX(時間ごとの判定!$AQ$3:$AQ$1850,13),{"利用可","両方停止","運転がそろわない","判定不能"},0),"○","停","×","－"),"")</f>
        <v>－</v>
      </c>
      <c r="P4" s="35" t="str">
        <f aca="false">IFERROR(CHOOSE(MATCH(INDEX(時間ごとの判定!$AQ$3:$AQ$1850,14),{"利用可","両方停止","運転がそろわない","判定不能"},0),"○","停","×","－"),"")</f>
        <v>－</v>
      </c>
      <c r="Q4" s="35" t="str">
        <f aca="false">IFERROR(CHOOSE(MATCH(INDEX(時間ごとの判定!$AQ$3:$AQ$1850,15),{"利用可","両方停止","運転がそろわない","判定不能"},0),"○","停","×","－"),"")</f>
        <v>－</v>
      </c>
      <c r="R4" s="35" t="str">
        <f aca="false">IFERROR(CHOOSE(MATCH(INDEX(時間ごとの判定!$AQ$3:$AQ$1850,16),{"利用可","両方停止","運転がそろわない","判定不能"},0),"○","停","×","－"),"")</f>
        <v>－</v>
      </c>
      <c r="S4" s="35" t="str">
        <f aca="false">IFERROR(CHOOSE(MATCH(INDEX(時間ごとの判定!$AQ$3:$AQ$1850,17),{"利用可","両方停止","運転がそろわない","判定不能"},0),"○","停","×","－"),"")</f>
        <v>－</v>
      </c>
      <c r="T4" s="35" t="str">
        <f aca="false">IFERROR(CHOOSE(MATCH(INDEX(時間ごとの判定!$AQ$3:$AQ$1850,18),{"利用可","両方停止","運転がそろわない","判定不能"},0),"○","停","×","－"),"")</f>
        <v>×</v>
      </c>
      <c r="U4" s="35" t="str">
        <f aca="false">IFERROR(CHOOSE(MATCH(INDEX(時間ごとの判定!$AQ$3:$AQ$1850,19),{"利用可","両方停止","運転がそろわない","判定不能"},0),"○","停","×","－"),"")</f>
        <v>○</v>
      </c>
      <c r="V4" s="35" t="str">
        <f aca="false">IFERROR(CHOOSE(MATCH(INDEX(時間ごとの判定!$AQ$3:$AQ$1850,20),{"利用可","両方停止","運転がそろわない","判定不能"},0),"○","停","×","－"),"")</f>
        <v>×</v>
      </c>
      <c r="W4" s="35" t="str">
        <f aca="false">IFERROR(CHOOSE(MATCH(INDEX(時間ごとの判定!$AQ$3:$AQ$1850,21),{"利用可","両方停止","運転がそろわない","判定不能"},0),"○","停","×","－"),"")</f>
        <v>×</v>
      </c>
      <c r="X4" s="35" t="str">
        <f aca="false">IFERROR(CHOOSE(MATCH(INDEX(時間ごとの判定!$AQ$3:$AQ$1850,22),{"利用可","両方停止","運転がそろわない","判定不能"},0),"○","停","×","－"),"")</f>
        <v>停</v>
      </c>
      <c r="Y4" s="35" t="str">
        <f aca="false">IFERROR(CHOOSE(MATCH(INDEX(時間ごとの判定!$AQ$3:$AQ$1850,23),{"利用可","両方停止","運転がそろわない","判定不能"},0),"○","停","×","－"),"")</f>
        <v>停</v>
      </c>
      <c r="Z4" s="35" t="str">
        <f aca="false">IFERROR(CHOOSE(MATCH(INDEX(時間ごとの判定!$AQ$3:$AQ$1850,24),{"利用可","両方停止","運転がそろわない","判定不能"},0),"○","停","×","－"),"")</f>
        <v>停</v>
      </c>
      <c r="AA4" s="35"/>
      <c r="AB4" s="35" t="str">
        <f aca="false">IFERROR(CHOOSE(MATCH(INDEX(時間ごとの判定!$AT$3:$AT$1850,1),{"利用可","両方停止","運転がそろわない","判定不能"},0),"○","停","×","－"),"")</f>
        <v>－</v>
      </c>
      <c r="AC4" s="35" t="str">
        <f aca="false">IFERROR(CHOOSE(MATCH(INDEX(時間ごとの判定!$AT$3:$AT$1850,2),{"利用可","両方停止","運転がそろわない","判定不能"},0),"○","停","×","－"),"")</f>
        <v>－</v>
      </c>
      <c r="AD4" s="35" t="str">
        <f aca="false">IFERROR(CHOOSE(MATCH(INDEX(時間ごとの判定!$AT$3:$AT$1850,3),{"利用可","両方停止","運転がそろわない","判定不能"},0),"○","停","×","－"),"")</f>
        <v>－</v>
      </c>
      <c r="AE4" s="35" t="str">
        <f aca="false">IFERROR(CHOOSE(MATCH(INDEX(時間ごとの判定!$AT$3:$AT$1850,4),{"利用可","両方停止","運転がそろわない","判定不能"},0),"○","停","×","－"),"")</f>
        <v>－</v>
      </c>
      <c r="AF4" s="35" t="str">
        <f aca="false">IFERROR(CHOOSE(MATCH(INDEX(時間ごとの判定!$AT$3:$AT$1850,5),{"利用可","両方停止","運転がそろわない","判定不能"},0),"○","停","×","－"),"")</f>
        <v>－</v>
      </c>
      <c r="AG4" s="35" t="str">
        <f aca="false">IFERROR(CHOOSE(MATCH(INDEX(時間ごとの判定!$AT$3:$AT$1850,6),{"利用可","両方停止","運転がそろわない","判定不能"},0),"○","停","×","－"),"")</f>
        <v>－</v>
      </c>
      <c r="AH4" s="35" t="str">
        <f aca="false">IFERROR(CHOOSE(MATCH(INDEX(時間ごとの判定!$AT$3:$AT$1850,7),{"利用可","両方停止","運転がそろわない","判定不能"},0),"○","停","×","－"),"")</f>
        <v>－</v>
      </c>
      <c r="AI4" s="35" t="str">
        <f aca="false">IFERROR(CHOOSE(MATCH(INDEX(時間ごとの判定!$AT$3:$AT$1850,8),{"利用可","両方停止","運転がそろわない","判定不能"},0),"○","停","×","－"),"")</f>
        <v>－</v>
      </c>
      <c r="AJ4" s="35" t="str">
        <f aca="false">IFERROR(CHOOSE(MATCH(INDEX(時間ごとの判定!$AT$3:$AT$1850,9),{"利用可","両方停止","運転がそろわない","判定不能"},0),"○","停","×","－"),"")</f>
        <v>－</v>
      </c>
      <c r="AK4" s="35" t="str">
        <f aca="false">IFERROR(CHOOSE(MATCH(INDEX(時間ごとの判定!$AT$3:$AT$1850,10),{"利用可","両方停止","運転がそろわない","判定不能"},0),"○","停","×","－"),"")</f>
        <v>－</v>
      </c>
      <c r="AL4" s="35" t="str">
        <f aca="false">IFERROR(CHOOSE(MATCH(INDEX(時間ごとの判定!$AT$3:$AT$1850,11),{"利用可","両方停止","運転がそろわない","判定不能"},0),"○","停","×","－"),"")</f>
        <v>－</v>
      </c>
      <c r="AM4" s="35" t="str">
        <f aca="false">IFERROR(CHOOSE(MATCH(INDEX(時間ごとの判定!$AT$3:$AT$1850,12),{"利用可","両方停止","運転がそろわない","判定不能"},0),"○","停","×","－"),"")</f>
        <v>－</v>
      </c>
      <c r="AN4" s="35" t="str">
        <f aca="false">IFERROR(CHOOSE(MATCH(INDEX(時間ごとの判定!$AT$3:$AT$1850,13),{"利用可","両方停止","運転がそろわない","判定不能"},0),"○","停","×","－"),"")</f>
        <v>－</v>
      </c>
      <c r="AO4" s="35" t="str">
        <f aca="false">IFERROR(CHOOSE(MATCH(INDEX(時間ごとの判定!$AT$3:$AT$1850,14),{"利用可","両方停止","運転がそろわない","判定不能"},0),"○","停","×","－"),"")</f>
        <v>－</v>
      </c>
      <c r="AP4" s="35" t="str">
        <f aca="false">IFERROR(CHOOSE(MATCH(INDEX(時間ごとの判定!$AT$3:$AT$1850,15),{"利用可","両方停止","運転がそろわない","判定不能"},0),"○","停","×","－"),"")</f>
        <v>－</v>
      </c>
      <c r="AQ4" s="35" t="str">
        <f aca="false">IFERROR(CHOOSE(MATCH(INDEX(時間ごとの判定!$AT$3:$AT$1850,16),{"利用可","両方停止","運転がそろわない","判定不能"},0),"○","停","×","－"),"")</f>
        <v>－</v>
      </c>
      <c r="AR4" s="35" t="str">
        <f aca="false">IFERROR(CHOOSE(MATCH(INDEX(時間ごとの判定!$AT$3:$AT$1850,17),{"利用可","両方停止","運転がそろわない","判定不能"},0),"○","停","×","－"),"")</f>
        <v>－</v>
      </c>
      <c r="AS4" s="35" t="str">
        <f aca="false">IFERROR(CHOOSE(MATCH(INDEX(時間ごとの判定!$AT$3:$AT$1850,18),{"利用可","両方停止","運転がそろわない","判定不能"},0),"○","停","×","－"),"")</f>
        <v>○</v>
      </c>
      <c r="AT4" s="35" t="str">
        <f aca="false">IFERROR(CHOOSE(MATCH(INDEX(時間ごとの判定!$AT$3:$AT$1850,19),{"利用可","両方停止","運転がそろわない","判定不能"},0),"○","停","×","－"),"")</f>
        <v>×</v>
      </c>
      <c r="AU4" s="35" t="str">
        <f aca="false">IFERROR(CHOOSE(MATCH(INDEX(時間ごとの判定!$AT$3:$AT$1850,20),{"利用可","両方停止","運転がそろわない","判定不能"},0),"○","停","×","－"),"")</f>
        <v>×</v>
      </c>
      <c r="AV4" s="35" t="str">
        <f aca="false">IFERROR(CHOOSE(MATCH(INDEX(時間ごとの判定!$AT$3:$AT$1850,21),{"利用可","両方停止","運転がそろわない","判定不能"},0),"○","停","×","－"),"")</f>
        <v>×</v>
      </c>
      <c r="AW4" s="35" t="str">
        <f aca="false">IFERROR(CHOOSE(MATCH(INDEX(時間ごとの判定!$AT$3:$AT$1850,22),{"利用可","両方停止","運転がそろわない","判定不能"},0),"○","停","×","－"),"")</f>
        <v>停</v>
      </c>
      <c r="AX4" s="35" t="str">
        <f aca="false">IFERROR(CHOOSE(MATCH(INDEX(時間ごとの判定!$AT$3:$AT$1850,23),{"利用可","両方停止","運転がそろわない","判定不能"},0),"○","停","×","－"),"")</f>
        <v>停</v>
      </c>
      <c r="AY4" s="35" t="str">
        <f aca="false">IFERROR(CHOOSE(MATCH(INDEX(時間ごとの判定!$AT$3:$AT$1850,24),{"利用可","両方停止","運転がそろわない","判定不能"},0),"○","停","×","－"),"")</f>
        <v>×</v>
      </c>
      <c r="AZ4" s="35"/>
      <c r="BA4" s="35" t="str">
        <f aca="false">IFERROR(CHOOSE(MATCH(INDEX(時間ごとの判定!$AW$3:$AW$1850,1),{"利用可","両方停止","運転がそろわない","判定不能"},0),"○","停","×","－"),"")</f>
        <v>－</v>
      </c>
      <c r="BB4" s="35" t="str">
        <f aca="false">IFERROR(CHOOSE(MATCH(INDEX(時間ごとの判定!$AW$3:$AW$1850,2),{"利用可","両方停止","運転がそろわない","判定不能"},0),"○","停","×","－"),"")</f>
        <v>－</v>
      </c>
      <c r="BC4" s="35" t="str">
        <f aca="false">IFERROR(CHOOSE(MATCH(INDEX(時間ごとの判定!$AW$3:$AW$1850,3),{"利用可","両方停止","運転がそろわない","判定不能"},0),"○","停","×","－"),"")</f>
        <v>－</v>
      </c>
      <c r="BD4" s="35" t="str">
        <f aca="false">IFERROR(CHOOSE(MATCH(INDEX(時間ごとの判定!$AW$3:$AW$1850,4),{"利用可","両方停止","運転がそろわない","判定不能"},0),"○","停","×","－"),"")</f>
        <v>－</v>
      </c>
      <c r="BE4" s="35" t="str">
        <f aca="false">IFERROR(CHOOSE(MATCH(INDEX(時間ごとの判定!$AW$3:$AW$1850,5),{"利用可","両方停止","運転がそろわない","判定不能"},0),"○","停","×","－"),"")</f>
        <v>－</v>
      </c>
      <c r="BF4" s="35" t="str">
        <f aca="false">IFERROR(CHOOSE(MATCH(INDEX(時間ごとの判定!$AW$3:$AW$1850,6),{"利用可","両方停止","運転がそろわない","判定不能"},0),"○","停","×","－"),"")</f>
        <v>－</v>
      </c>
      <c r="BG4" s="35" t="str">
        <f aca="false">IFERROR(CHOOSE(MATCH(INDEX(時間ごとの判定!$AW$3:$AW$1850,7),{"利用可","両方停止","運転がそろわない","判定不能"},0),"○","停","×","－"),"")</f>
        <v>－</v>
      </c>
      <c r="BH4" s="35" t="str">
        <f aca="false">IFERROR(CHOOSE(MATCH(INDEX(時間ごとの判定!$AW$3:$AW$1850,8),{"利用可","両方停止","運転がそろわない","判定不能"},0),"○","停","×","－"),"")</f>
        <v>－</v>
      </c>
      <c r="BI4" s="35" t="str">
        <f aca="false">IFERROR(CHOOSE(MATCH(INDEX(時間ごとの判定!$AW$3:$AW$1850,9),{"利用可","両方停止","運転がそろわない","判定不能"},0),"○","停","×","－"),"")</f>
        <v>－</v>
      </c>
      <c r="BJ4" s="35" t="str">
        <f aca="false">IFERROR(CHOOSE(MATCH(INDEX(時間ごとの判定!$AW$3:$AW$1850,10),{"利用可","両方停止","運転がそろわない","判定不能"},0),"○","停","×","－"),"")</f>
        <v>－</v>
      </c>
      <c r="BK4" s="35" t="str">
        <f aca="false">IFERROR(CHOOSE(MATCH(INDEX(時間ごとの判定!$AW$3:$AW$1850,11),{"利用可","両方停止","運転がそろわない","判定不能"},0),"○","停","×","－"),"")</f>
        <v>－</v>
      </c>
      <c r="BL4" s="35" t="str">
        <f aca="false">IFERROR(CHOOSE(MATCH(INDEX(時間ごとの判定!$AW$3:$AW$1850,12),{"利用可","両方停止","運転がそろわない","判定不能"},0),"○","停","×","－"),"")</f>
        <v>－</v>
      </c>
      <c r="BM4" s="35" t="str">
        <f aca="false">IFERROR(CHOOSE(MATCH(INDEX(時間ごとの判定!$AW$3:$AW$1850,13),{"利用可","両方停止","運転がそろわない","判定不能"},0),"○","停","×","－"),"")</f>
        <v>－</v>
      </c>
      <c r="BN4" s="35" t="str">
        <f aca="false">IFERROR(CHOOSE(MATCH(INDEX(時間ごとの判定!$AW$3:$AW$1850,14),{"利用可","両方停止","運転がそろわない","判定不能"},0),"○","停","×","－"),"")</f>
        <v>－</v>
      </c>
      <c r="BO4" s="35" t="str">
        <f aca="false">IFERROR(CHOOSE(MATCH(INDEX(時間ごとの判定!$AW$3:$AW$1850,15),{"利用可","両方停止","運転がそろわない","判定不能"},0),"○","停","×","－"),"")</f>
        <v>－</v>
      </c>
      <c r="BP4" s="35" t="str">
        <f aca="false">IFERROR(CHOOSE(MATCH(INDEX(時間ごとの判定!$AW$3:$AW$1850,16),{"利用可","両方停止","運転がそろわない","判定不能"},0),"○","停","×","－"),"")</f>
        <v>－</v>
      </c>
      <c r="BQ4" s="35" t="str">
        <f aca="false">IFERROR(CHOOSE(MATCH(INDEX(時間ごとの判定!$AW$3:$AW$1850,17),{"利用可","両方停止","運転がそろわない","判定不能"},0),"○","停","×","－"),"")</f>
        <v>－</v>
      </c>
      <c r="BR4" s="35" t="str">
        <f aca="false">IFERROR(CHOOSE(MATCH(INDEX(時間ごとの判定!$AW$3:$AW$1850,18),{"利用可","両方停止","運転がそろわない","判定不能"},0),"○","停","×","－"),"")</f>
        <v>○</v>
      </c>
      <c r="BS4" s="35" t="str">
        <f aca="false">IFERROR(CHOOSE(MATCH(INDEX(時間ごとの判定!$AW$3:$AW$1850,19),{"利用可","両方停止","運転がそろわない","判定不能"},0),"○","停","×","－"),"")</f>
        <v>○</v>
      </c>
      <c r="BT4" s="35" t="str">
        <f aca="false">IFERROR(CHOOSE(MATCH(INDEX(時間ごとの判定!$AW$3:$AW$1850,20),{"利用可","両方停止","運転がそろわない","判定不能"},0),"○","停","×","－"),"")</f>
        <v>×</v>
      </c>
      <c r="BU4" s="35" t="str">
        <f aca="false">IFERROR(CHOOSE(MATCH(INDEX(時間ごとの判定!$AW$3:$AW$1850,21),{"利用可","両方停止","運転がそろわない","判定不能"},0),"○","停","×","－"),"")</f>
        <v>×</v>
      </c>
      <c r="BV4" s="35" t="str">
        <f aca="false">IFERROR(CHOOSE(MATCH(INDEX(時間ごとの判定!$AW$3:$AW$1850,22),{"利用可","両方停止","運転がそろわない","判定不能"},0),"○","停","×","－"),"")</f>
        <v>×</v>
      </c>
      <c r="BW4" s="35" t="str">
        <f aca="false">IFERROR(CHOOSE(MATCH(INDEX(時間ごとの判定!$AW$3:$AW$1850,23),{"利用可","両方停止","運転がそろわない","判定不能"},0),"○","停","×","－"),"")</f>
        <v>×</v>
      </c>
      <c r="BX4" s="35" t="str">
        <f aca="false">IFERROR(CHOOSE(MATCH(INDEX(時間ごとの判定!$AW$3:$AW$1850,24),{"利用可","両方停止","運転がそろわない","判定不能"},0),"○","停","×","－"),"")</f>
        <v>×</v>
      </c>
    </row>
    <row r="5" customFormat="false" ht="15" hidden="false" customHeight="false" outlineLevel="0" collapsed="false">
      <c r="A5" s="33" t="n">
        <v>46233</v>
      </c>
      <c r="B5" s="34" t="s">
        <v>61</v>
      </c>
      <c r="C5" s="35" t="str">
        <f aca="false">IFERROR(CHOOSE(MATCH(INDEX(時間ごとの判定!$AQ$3:$AQ$1850,25),{"利用可","両方停止","運転がそろわない","判定不能"},0),"○","停","×","－"),"")</f>
        <v>停</v>
      </c>
      <c r="D5" s="35" t="str">
        <f aca="false">IFERROR(CHOOSE(MATCH(INDEX(時間ごとの判定!$AQ$3:$AQ$1850,26),{"利用可","両方停止","運転がそろわない","判定不能"},0),"○","停","×","－"),"")</f>
        <v>停</v>
      </c>
      <c r="E5" s="35" t="str">
        <f aca="false">IFERROR(CHOOSE(MATCH(INDEX(時間ごとの判定!$AQ$3:$AQ$1850,27),{"利用可","両方停止","運転がそろわない","判定不能"},0),"○","停","×","－"),"")</f>
        <v>停</v>
      </c>
      <c r="F5" s="35" t="str">
        <f aca="false">IFERROR(CHOOSE(MATCH(INDEX(時間ごとの判定!$AQ$3:$AQ$1850,28),{"利用可","両方停止","運転がそろわない","判定不能"},0),"○","停","×","－"),"")</f>
        <v>停</v>
      </c>
      <c r="G5" s="35" t="str">
        <f aca="false">IFERROR(CHOOSE(MATCH(INDEX(時間ごとの判定!$AQ$3:$AQ$1850,29),{"利用可","両方停止","運転がそろわない","判定不能"},0),"○","停","×","－"),"")</f>
        <v>停</v>
      </c>
      <c r="H5" s="35" t="str">
        <f aca="false">IFERROR(CHOOSE(MATCH(INDEX(時間ごとの判定!$AQ$3:$AQ$1850,30),{"利用可","両方停止","運転がそろわない","判定不能"},0),"○","停","×","－"),"")</f>
        <v>停</v>
      </c>
      <c r="I5" s="35" t="str">
        <f aca="false">IFERROR(CHOOSE(MATCH(INDEX(時間ごとの判定!$AQ$3:$AQ$1850,31),{"利用可","両方停止","運転がそろわない","判定不能"},0),"○","停","×","－"),"")</f>
        <v>×</v>
      </c>
      <c r="J5" s="35" t="str">
        <f aca="false">IFERROR(CHOOSE(MATCH(INDEX(時間ごとの判定!$AQ$3:$AQ$1850,32),{"利用可","両方停止","運転がそろわない","判定不能"},0),"○","停","×","－"),"")</f>
        <v>×</v>
      </c>
      <c r="K5" s="35" t="str">
        <f aca="false">IFERROR(CHOOSE(MATCH(INDEX(時間ごとの判定!$AQ$3:$AQ$1850,33),{"利用可","両方停止","運転がそろわない","判定不能"},0),"○","停","×","－"),"")</f>
        <v>×</v>
      </c>
      <c r="L5" s="35" t="str">
        <f aca="false">IFERROR(CHOOSE(MATCH(INDEX(時間ごとの判定!$AQ$3:$AQ$1850,34),{"利用可","両方停止","運転がそろわない","判定不能"},0),"○","停","×","－"),"")</f>
        <v>○</v>
      </c>
      <c r="M5" s="35" t="str">
        <f aca="false">IFERROR(CHOOSE(MATCH(INDEX(時間ごとの判定!$AQ$3:$AQ$1850,35),{"利用可","両方停止","運転がそろわない","判定不能"},0),"○","停","×","－"),"")</f>
        <v>○</v>
      </c>
      <c r="N5" s="35" t="str">
        <f aca="false">IFERROR(CHOOSE(MATCH(INDEX(時間ごとの判定!$AQ$3:$AQ$1850,36),{"利用可","両方停止","運転がそろわない","判定不能"},0),"○","停","×","－"),"")</f>
        <v>○</v>
      </c>
      <c r="O5" s="35" t="str">
        <f aca="false">IFERROR(CHOOSE(MATCH(INDEX(時間ごとの判定!$AQ$3:$AQ$1850,37),{"利用可","両方停止","運転がそろわない","判定不能"},0),"○","停","×","－"),"")</f>
        <v>○</v>
      </c>
      <c r="P5" s="35" t="str">
        <f aca="false">IFERROR(CHOOSE(MATCH(INDEX(時間ごとの判定!$AQ$3:$AQ$1850,38),{"利用可","両方停止","運転がそろわない","判定不能"},0),"○","停","×","－"),"")</f>
        <v>○</v>
      </c>
      <c r="Q5" s="35" t="str">
        <f aca="false">IFERROR(CHOOSE(MATCH(INDEX(時間ごとの判定!$AQ$3:$AQ$1850,39),{"利用可","両方停止","運転がそろわない","判定不能"},0),"○","停","×","－"),"")</f>
        <v>○</v>
      </c>
      <c r="R5" s="35" t="str">
        <f aca="false">IFERROR(CHOOSE(MATCH(INDEX(時間ごとの判定!$AQ$3:$AQ$1850,40),{"利用可","両方停止","運転がそろわない","判定不能"},0),"○","停","×","－"),"")</f>
        <v>○</v>
      </c>
      <c r="S5" s="35" t="str">
        <f aca="false">IFERROR(CHOOSE(MATCH(INDEX(時間ごとの判定!$AQ$3:$AQ$1850,41),{"利用可","両方停止","運転がそろわない","判定不能"},0),"○","停","×","－"),"")</f>
        <v>○</v>
      </c>
      <c r="T5" s="35" t="str">
        <f aca="false">IFERROR(CHOOSE(MATCH(INDEX(時間ごとの判定!$AQ$3:$AQ$1850,42),{"利用可","両方停止","運転がそろわない","判定不能"},0),"○","停","×","－"),"")</f>
        <v>○</v>
      </c>
      <c r="U5" s="35" t="str">
        <f aca="false">IFERROR(CHOOSE(MATCH(INDEX(時間ごとの判定!$AQ$3:$AQ$1850,43),{"利用可","両方停止","運転がそろわない","判定不能"},0),"○","停","×","－"),"")</f>
        <v>○</v>
      </c>
      <c r="V5" s="35" t="str">
        <f aca="false">IFERROR(CHOOSE(MATCH(INDEX(時間ごとの判定!$AQ$3:$AQ$1850,44),{"利用可","両方停止","運転がそろわない","判定不能"},0),"○","停","×","－"),"")</f>
        <v>×</v>
      </c>
      <c r="W5" s="35" t="str">
        <f aca="false">IFERROR(CHOOSE(MATCH(INDEX(時間ごとの判定!$AQ$3:$AQ$1850,45),{"利用可","両方停止","運転がそろわない","判定不能"},0),"○","停","×","－"),"")</f>
        <v>×</v>
      </c>
      <c r="X5" s="35" t="str">
        <f aca="false">IFERROR(CHOOSE(MATCH(INDEX(時間ごとの判定!$AQ$3:$AQ$1850,46),{"利用可","両方停止","運転がそろわない","判定不能"},0),"○","停","×","－"),"")</f>
        <v>×</v>
      </c>
      <c r="Y5" s="35" t="str">
        <f aca="false">IFERROR(CHOOSE(MATCH(INDEX(時間ごとの判定!$AQ$3:$AQ$1850,47),{"利用可","両方停止","運転がそろわない","判定不能"},0),"○","停","×","－"),"")</f>
        <v>停</v>
      </c>
      <c r="Z5" s="35" t="str">
        <f aca="false">IFERROR(CHOOSE(MATCH(INDEX(時間ごとの判定!$AQ$3:$AQ$1850,48),{"利用可","両方停止","運転がそろわない","判定不能"},0),"○","停","×","－"),"")</f>
        <v>停</v>
      </c>
      <c r="AA5" s="35"/>
      <c r="AB5" s="35" t="str">
        <f aca="false">IFERROR(CHOOSE(MATCH(INDEX(時間ごとの判定!$AT$3:$AT$1850,25),{"利用可","両方停止","運転がそろわない","判定不能"},0),"○","停","×","－"),"")</f>
        <v>停</v>
      </c>
      <c r="AC5" s="35" t="str">
        <f aca="false">IFERROR(CHOOSE(MATCH(INDEX(時間ごとの判定!$AT$3:$AT$1850,26),{"利用可","両方停止","運転がそろわない","判定不能"},0),"○","停","×","－"),"")</f>
        <v>停</v>
      </c>
      <c r="AD5" s="35" t="str">
        <f aca="false">IFERROR(CHOOSE(MATCH(INDEX(時間ごとの判定!$AT$3:$AT$1850,27),{"利用可","両方停止","運転がそろわない","判定不能"},0),"○","停","×","－"),"")</f>
        <v>停</v>
      </c>
      <c r="AE5" s="35" t="str">
        <f aca="false">IFERROR(CHOOSE(MATCH(INDEX(時間ごとの判定!$AT$3:$AT$1850,28),{"利用可","両方停止","運転がそろわない","判定不能"},0),"○","停","×","－"),"")</f>
        <v>停</v>
      </c>
      <c r="AF5" s="35" t="str">
        <f aca="false">IFERROR(CHOOSE(MATCH(INDEX(時間ごとの判定!$AT$3:$AT$1850,29),{"利用可","両方停止","運転がそろわない","判定不能"},0),"○","停","×","－"),"")</f>
        <v>停</v>
      </c>
      <c r="AG5" s="35" t="str">
        <f aca="false">IFERROR(CHOOSE(MATCH(INDEX(時間ごとの判定!$AT$3:$AT$1850,30),{"利用可","両方停止","運転がそろわない","判定不能"},0),"○","停","×","－"),"")</f>
        <v>停</v>
      </c>
      <c r="AH5" s="35" t="str">
        <f aca="false">IFERROR(CHOOSE(MATCH(INDEX(時間ごとの判定!$AT$3:$AT$1850,31),{"利用可","両方停止","運転がそろわない","判定不能"},0),"○","停","×","－"),"")</f>
        <v>×</v>
      </c>
      <c r="AI5" s="35" t="str">
        <f aca="false">IFERROR(CHOOSE(MATCH(INDEX(時間ごとの判定!$AT$3:$AT$1850,32),{"利用可","両方停止","運転がそろわない","判定不能"},0),"○","停","×","－"),"")</f>
        <v>×</v>
      </c>
      <c r="AJ5" s="35" t="str">
        <f aca="false">IFERROR(CHOOSE(MATCH(INDEX(時間ごとの判定!$AT$3:$AT$1850,33),{"利用可","両方停止","運転がそろわない","判定不能"},0),"○","停","×","－"),"")</f>
        <v>○</v>
      </c>
      <c r="AK5" s="35" t="str">
        <f aca="false">IFERROR(CHOOSE(MATCH(INDEX(時間ごとの判定!$AT$3:$AT$1850,34),{"利用可","両方停止","運転がそろわない","判定不能"},0),"○","停","×","－"),"")</f>
        <v>○</v>
      </c>
      <c r="AL5" s="35" t="str">
        <f aca="false">IFERROR(CHOOSE(MATCH(INDEX(時間ごとの判定!$AT$3:$AT$1850,35),{"利用可","両方停止","運転がそろわない","判定不能"},0),"○","停","×","－"),"")</f>
        <v>○</v>
      </c>
      <c r="AM5" s="35" t="str">
        <f aca="false">IFERROR(CHOOSE(MATCH(INDEX(時間ごとの判定!$AT$3:$AT$1850,36),{"利用可","両方停止","運転がそろわない","判定不能"},0),"○","停","×","－"),"")</f>
        <v>○</v>
      </c>
      <c r="AN5" s="35" t="str">
        <f aca="false">IFERROR(CHOOSE(MATCH(INDEX(時間ごとの判定!$AT$3:$AT$1850,37),{"利用可","両方停止","運転がそろわない","判定不能"},0),"○","停","×","－"),"")</f>
        <v>○</v>
      </c>
      <c r="AO5" s="35" t="str">
        <f aca="false">IFERROR(CHOOSE(MATCH(INDEX(時間ごとの判定!$AT$3:$AT$1850,38),{"利用可","両方停止","運転がそろわない","判定不能"},0),"○","停","×","－"),"")</f>
        <v>○</v>
      </c>
      <c r="AP5" s="35" t="str">
        <f aca="false">IFERROR(CHOOSE(MATCH(INDEX(時間ごとの判定!$AT$3:$AT$1850,39),{"利用可","両方停止","運転がそろわない","判定不能"},0),"○","停","×","－"),"")</f>
        <v>○</v>
      </c>
      <c r="AQ5" s="35" t="str">
        <f aca="false">IFERROR(CHOOSE(MATCH(INDEX(時間ごとの判定!$AT$3:$AT$1850,40),{"利用可","両方停止","運転がそろわない","判定不能"},0),"○","停","×","－"),"")</f>
        <v>○</v>
      </c>
      <c r="AR5" s="35" t="str">
        <f aca="false">IFERROR(CHOOSE(MATCH(INDEX(時間ごとの判定!$AT$3:$AT$1850,41),{"利用可","両方停止","運転がそろわない","判定不能"},0),"○","停","×","－"),"")</f>
        <v>○</v>
      </c>
      <c r="AS5" s="35" t="str">
        <f aca="false">IFERROR(CHOOSE(MATCH(INDEX(時間ごとの判定!$AT$3:$AT$1850,42),{"利用可","両方停止","運転がそろわない","判定不能"},0),"○","停","×","－"),"")</f>
        <v>○</v>
      </c>
      <c r="AT5" s="35" t="str">
        <f aca="false">IFERROR(CHOOSE(MATCH(INDEX(時間ごとの判定!$AT$3:$AT$1850,43),{"利用可","両方停止","運転がそろわない","判定不能"},0),"○","停","×","－"),"")</f>
        <v>○</v>
      </c>
      <c r="AU5" s="35" t="str">
        <f aca="false">IFERROR(CHOOSE(MATCH(INDEX(時間ごとの判定!$AT$3:$AT$1850,44),{"利用可","両方停止","運転がそろわない","判定不能"},0),"○","停","×","－"),"")</f>
        <v>×</v>
      </c>
      <c r="AV5" s="35" t="str">
        <f aca="false">IFERROR(CHOOSE(MATCH(INDEX(時間ごとの判定!$AT$3:$AT$1850,45),{"利用可","両方停止","運転がそろわない","判定不能"},0),"○","停","×","－"),"")</f>
        <v>○</v>
      </c>
      <c r="AW5" s="35" t="str">
        <f aca="false">IFERROR(CHOOSE(MATCH(INDEX(時間ごとの判定!$AT$3:$AT$1850,46),{"利用可","両方停止","運転がそろわない","判定不能"},0),"○","停","×","－"),"")</f>
        <v>×</v>
      </c>
      <c r="AX5" s="35" t="str">
        <f aca="false">IFERROR(CHOOSE(MATCH(INDEX(時間ごとの判定!$AT$3:$AT$1850,47),{"利用可","両方停止","運転がそろわない","判定不能"},0),"○","停","×","－"),"")</f>
        <v>×</v>
      </c>
      <c r="AY5" s="35" t="str">
        <f aca="false">IFERROR(CHOOSE(MATCH(INDEX(時間ごとの判定!$AT$3:$AT$1850,48),{"利用可","両方停止","運転がそろわない","判定不能"},0),"○","停","×","－"),"")</f>
        <v>停</v>
      </c>
      <c r="AZ5" s="35"/>
      <c r="BA5" s="35" t="str">
        <f aca="false">IFERROR(CHOOSE(MATCH(INDEX(時間ごとの判定!$AW$3:$AW$1850,25),{"利用可","両方停止","運転がそろわない","判定不能"},0),"○","停","×","－"),"")</f>
        <v>×</v>
      </c>
      <c r="BB5" s="35" t="str">
        <f aca="false">IFERROR(CHOOSE(MATCH(INDEX(時間ごとの判定!$AW$3:$AW$1850,26),{"利用可","両方停止","運転がそろわない","判定不能"},0),"○","停","×","－"),"")</f>
        <v>×</v>
      </c>
      <c r="BC5" s="35" t="str">
        <f aca="false">IFERROR(CHOOSE(MATCH(INDEX(時間ごとの判定!$AW$3:$AW$1850,27),{"利用可","両方停止","運転がそろわない","判定不能"},0),"○","停","×","－"),"")</f>
        <v>×</v>
      </c>
      <c r="BD5" s="35" t="str">
        <f aca="false">IFERROR(CHOOSE(MATCH(INDEX(時間ごとの判定!$AW$3:$AW$1850,28),{"利用可","両方停止","運転がそろわない","判定不能"},0),"○","停","×","－"),"")</f>
        <v>×</v>
      </c>
      <c r="BE5" s="35" t="str">
        <f aca="false">IFERROR(CHOOSE(MATCH(INDEX(時間ごとの判定!$AW$3:$AW$1850,29),{"利用可","両方停止","運転がそろわない","判定不能"},0),"○","停","×","－"),"")</f>
        <v>×</v>
      </c>
      <c r="BF5" s="35" t="str">
        <f aca="false">IFERROR(CHOOSE(MATCH(INDEX(時間ごとの判定!$AW$3:$AW$1850,30),{"利用可","両方停止","運転がそろわない","判定不能"},0),"○","停","×","－"),"")</f>
        <v>×</v>
      </c>
      <c r="BG5" s="35" t="str">
        <f aca="false">IFERROR(CHOOSE(MATCH(INDEX(時間ごとの判定!$AW$3:$AW$1850,31),{"利用可","両方停止","運転がそろわない","判定不能"},0),"○","停","×","－"),"")</f>
        <v>○</v>
      </c>
      <c r="BH5" s="35" t="str">
        <f aca="false">IFERROR(CHOOSE(MATCH(INDEX(時間ごとの判定!$AW$3:$AW$1850,32),{"利用可","両方停止","運転がそろわない","判定不能"},0),"○","停","×","－"),"")</f>
        <v>○</v>
      </c>
      <c r="BI5" s="35" t="str">
        <f aca="false">IFERROR(CHOOSE(MATCH(INDEX(時間ごとの判定!$AW$3:$AW$1850,33),{"利用可","両方停止","運転がそろわない","判定不能"},0),"○","停","×","－"),"")</f>
        <v>○</v>
      </c>
      <c r="BJ5" s="35" t="str">
        <f aca="false">IFERROR(CHOOSE(MATCH(INDEX(時間ごとの判定!$AW$3:$AW$1850,34),{"利用可","両方停止","運転がそろわない","判定不能"},0),"○","停","×","－"),"")</f>
        <v>○</v>
      </c>
      <c r="BK5" s="35" t="str">
        <f aca="false">IFERROR(CHOOSE(MATCH(INDEX(時間ごとの判定!$AW$3:$AW$1850,35),{"利用可","両方停止","運転がそろわない","判定不能"},0),"○","停","×","－"),"")</f>
        <v>○</v>
      </c>
      <c r="BL5" s="35" t="str">
        <f aca="false">IFERROR(CHOOSE(MATCH(INDEX(時間ごとの判定!$AW$3:$AW$1850,36),{"利用可","両方停止","運転がそろわない","判定不能"},0),"○","停","×","－"),"")</f>
        <v>○</v>
      </c>
      <c r="BM5" s="35" t="str">
        <f aca="false">IFERROR(CHOOSE(MATCH(INDEX(時間ごとの判定!$AW$3:$AW$1850,37),{"利用可","両方停止","運転がそろわない","判定不能"},0),"○","停","×","－"),"")</f>
        <v>○</v>
      </c>
      <c r="BN5" s="35" t="str">
        <f aca="false">IFERROR(CHOOSE(MATCH(INDEX(時間ごとの判定!$AW$3:$AW$1850,38),{"利用可","両方停止","運転がそろわない","判定不能"},0),"○","停","×","－"),"")</f>
        <v>○</v>
      </c>
      <c r="BO5" s="35" t="str">
        <f aca="false">IFERROR(CHOOSE(MATCH(INDEX(時間ごとの判定!$AW$3:$AW$1850,39),{"利用可","両方停止","運転がそろわない","判定不能"},0),"○","停","×","－"),"")</f>
        <v>○</v>
      </c>
      <c r="BP5" s="35" t="str">
        <f aca="false">IFERROR(CHOOSE(MATCH(INDEX(時間ごとの判定!$AW$3:$AW$1850,40),{"利用可","両方停止","運転がそろわない","判定不能"},0),"○","停","×","－"),"")</f>
        <v>○</v>
      </c>
      <c r="BQ5" s="35" t="str">
        <f aca="false">IFERROR(CHOOSE(MATCH(INDEX(時間ごとの判定!$AW$3:$AW$1850,41),{"利用可","両方停止","運転がそろわない","判定不能"},0),"○","停","×","－"),"")</f>
        <v>○</v>
      </c>
      <c r="BR5" s="35" t="str">
        <f aca="false">IFERROR(CHOOSE(MATCH(INDEX(時間ごとの判定!$AW$3:$AW$1850,42),{"利用可","両方停止","運転がそろわない","判定不能"},0),"○","停","×","－"),"")</f>
        <v>○</v>
      </c>
      <c r="BS5" s="35" t="str">
        <f aca="false">IFERROR(CHOOSE(MATCH(INDEX(時間ごとの判定!$AW$3:$AW$1850,43),{"利用可","両方停止","運転がそろわない","判定不能"},0),"○","停","×","－"),"")</f>
        <v>○</v>
      </c>
      <c r="BT5" s="35" t="str">
        <f aca="false">IFERROR(CHOOSE(MATCH(INDEX(時間ごとの判定!$AW$3:$AW$1850,44),{"利用可","両方停止","運転がそろわない","判定不能"},0),"○","停","×","－"),"")</f>
        <v>×</v>
      </c>
      <c r="BU5" s="35" t="str">
        <f aca="false">IFERROR(CHOOSE(MATCH(INDEX(時間ごとの判定!$AW$3:$AW$1850,45),{"利用可","両方停止","運転がそろわない","判定不能"},0),"○","停","×","－"),"")</f>
        <v>×</v>
      </c>
      <c r="BV5" s="35" t="str">
        <f aca="false">IFERROR(CHOOSE(MATCH(INDEX(時間ごとの判定!$AW$3:$AW$1850,46),{"利用可","両方停止","運転がそろわない","判定不能"},0),"○","停","×","－"),"")</f>
        <v>×</v>
      </c>
      <c r="BW5" s="35" t="str">
        <f aca="false">IFERROR(CHOOSE(MATCH(INDEX(時間ごとの判定!$AW$3:$AW$1850,47),{"利用可","両方停止","運転がそろわない","判定不能"},0),"○","停","×","－"),"")</f>
        <v>×</v>
      </c>
      <c r="BX5" s="35" t="str">
        <f aca="false">IFERROR(CHOOSE(MATCH(INDEX(時間ごとの判定!$AW$3:$AW$1850,48),{"利用可","両方停止","運転がそろわない","判定不能"},0),"○","停","×","－"),"")</f>
        <v>×</v>
      </c>
    </row>
    <row r="6" customFormat="false" ht="15" hidden="false" customHeight="false" outlineLevel="0" collapsed="false">
      <c r="A6" s="33" t="n">
        <v>46234</v>
      </c>
      <c r="B6" s="34" t="s">
        <v>62</v>
      </c>
      <c r="C6" s="35" t="str">
        <f aca="false">IFERROR(CHOOSE(MATCH(INDEX(時間ごとの判定!$AQ$3:$AQ$1850,49),{"利用可","両方停止","運転がそろわない","判定不能"},0),"○","停","×","－"),"")</f>
        <v>停</v>
      </c>
      <c r="D6" s="35" t="str">
        <f aca="false">IFERROR(CHOOSE(MATCH(INDEX(時間ごとの判定!$AQ$3:$AQ$1850,50),{"利用可","両方停止","運転がそろわない","判定不能"},0),"○","停","×","－"),"")</f>
        <v>停</v>
      </c>
      <c r="E6" s="35" t="str">
        <f aca="false">IFERROR(CHOOSE(MATCH(INDEX(時間ごとの判定!$AQ$3:$AQ$1850,51),{"利用可","両方停止","運転がそろわない","判定不能"},0),"○","停","×","－"),"")</f>
        <v>停</v>
      </c>
      <c r="F6" s="35" t="str">
        <f aca="false">IFERROR(CHOOSE(MATCH(INDEX(時間ごとの判定!$AQ$3:$AQ$1850,52),{"利用可","両方停止","運転がそろわない","判定不能"},0),"○","停","×","－"),"")</f>
        <v>停</v>
      </c>
      <c r="G6" s="35" t="str">
        <f aca="false">IFERROR(CHOOSE(MATCH(INDEX(時間ごとの判定!$AQ$3:$AQ$1850,53),{"利用可","両方停止","運転がそろわない","判定不能"},0),"○","停","×","－"),"")</f>
        <v>停</v>
      </c>
      <c r="H6" s="35" t="str">
        <f aca="false">IFERROR(CHOOSE(MATCH(INDEX(時間ごとの判定!$AQ$3:$AQ$1850,54),{"利用可","両方停止","運転がそろわない","判定不能"},0),"○","停","×","－"),"")</f>
        <v>停</v>
      </c>
      <c r="I6" s="35" t="str">
        <f aca="false">IFERROR(CHOOSE(MATCH(INDEX(時間ごとの判定!$AQ$3:$AQ$1850,55),{"利用可","両方停止","運転がそろわない","判定不能"},0),"○","停","×","－"),"")</f>
        <v>×</v>
      </c>
      <c r="J6" s="35" t="str">
        <f aca="false">IFERROR(CHOOSE(MATCH(INDEX(時間ごとの判定!$AQ$3:$AQ$1850,56),{"利用可","両方停止","運転がそろわない","判定不能"},0),"○","停","×","－"),"")</f>
        <v>×</v>
      </c>
      <c r="K6" s="35" t="str">
        <f aca="false">IFERROR(CHOOSE(MATCH(INDEX(時間ごとの判定!$AQ$3:$AQ$1850,57),{"利用可","両方停止","運転がそろわない","判定不能"},0),"○","停","×","－"),"")</f>
        <v>×</v>
      </c>
      <c r="L6" s="35" t="str">
        <f aca="false">IFERROR(CHOOSE(MATCH(INDEX(時間ごとの判定!$AQ$3:$AQ$1850,58),{"利用可","両方停止","運転がそろわない","判定不能"},0),"○","停","×","－"),"")</f>
        <v>○</v>
      </c>
      <c r="M6" s="35" t="str">
        <f aca="false">IFERROR(CHOOSE(MATCH(INDEX(時間ごとの判定!$AQ$3:$AQ$1850,59),{"利用可","両方停止","運転がそろわない","判定不能"},0),"○","停","×","－"),"")</f>
        <v>○</v>
      </c>
      <c r="N6" s="35" t="str">
        <f aca="false">IFERROR(CHOOSE(MATCH(INDEX(時間ごとの判定!$AQ$3:$AQ$1850,60),{"利用可","両方停止","運転がそろわない","判定不能"},0),"○","停","×","－"),"")</f>
        <v>○</v>
      </c>
      <c r="O6" s="35" t="str">
        <f aca="false">IFERROR(CHOOSE(MATCH(INDEX(時間ごとの判定!$AQ$3:$AQ$1850,61),{"利用可","両方停止","運転がそろわない","判定不能"},0),"○","停","×","－"),"")</f>
        <v>○</v>
      </c>
      <c r="P6" s="35" t="str">
        <f aca="false">IFERROR(CHOOSE(MATCH(INDEX(時間ごとの判定!$AQ$3:$AQ$1850,62),{"利用可","両方停止","運転がそろわない","判定不能"},0),"○","停","×","－"),"")</f>
        <v>○</v>
      </c>
      <c r="Q6" s="35" t="str">
        <f aca="false">IFERROR(CHOOSE(MATCH(INDEX(時間ごとの判定!$AQ$3:$AQ$1850,63),{"利用可","両方停止","運転がそろわない","判定不能"},0),"○","停","×","－"),"")</f>
        <v>○</v>
      </c>
      <c r="R6" s="35" t="str">
        <f aca="false">IFERROR(CHOOSE(MATCH(INDEX(時間ごとの判定!$AQ$3:$AQ$1850,64),{"利用可","両方停止","運転がそろわない","判定不能"},0),"○","停","×","－"),"")</f>
        <v>○</v>
      </c>
      <c r="S6" s="35" t="str">
        <f aca="false">IFERROR(CHOOSE(MATCH(INDEX(時間ごとの判定!$AQ$3:$AQ$1850,65),{"利用可","両方停止","運転がそろわない","判定不能"},0),"○","停","×","－"),"")</f>
        <v>○</v>
      </c>
      <c r="T6" s="35" t="str">
        <f aca="false">IFERROR(CHOOSE(MATCH(INDEX(時間ごとの判定!$AQ$3:$AQ$1850,66),{"利用可","両方停止","運転がそろわない","判定不能"},0),"○","停","×","－"),"")</f>
        <v>○</v>
      </c>
      <c r="U6" s="35" t="str">
        <f aca="false">IFERROR(CHOOSE(MATCH(INDEX(時間ごとの判定!$AQ$3:$AQ$1850,67),{"利用可","両方停止","運転がそろわない","判定不能"},0),"○","停","×","－"),"")</f>
        <v>○</v>
      </c>
      <c r="V6" s="35" t="str">
        <f aca="false">IFERROR(CHOOSE(MATCH(INDEX(時間ごとの判定!$AQ$3:$AQ$1850,68),{"利用可","両方停止","運転がそろわない","判定不能"},0),"○","停","×","－"),"")</f>
        <v>×</v>
      </c>
      <c r="W6" s="35" t="str">
        <f aca="false">IFERROR(CHOOSE(MATCH(INDEX(時間ごとの判定!$AQ$3:$AQ$1850,69),{"利用可","両方停止","運転がそろわない","判定不能"},0),"○","停","×","－"),"")</f>
        <v>×</v>
      </c>
      <c r="X6" s="35" t="str">
        <f aca="false">IFERROR(CHOOSE(MATCH(INDEX(時間ごとの判定!$AQ$3:$AQ$1850,70),{"利用可","両方停止","運転がそろわない","判定不能"},0),"○","停","×","－"),"")</f>
        <v>停</v>
      </c>
      <c r="Y6" s="35" t="str">
        <f aca="false">IFERROR(CHOOSE(MATCH(INDEX(時間ごとの判定!$AQ$3:$AQ$1850,71),{"利用可","両方停止","運転がそろわない","判定不能"},0),"○","停","×","－"),"")</f>
        <v>停</v>
      </c>
      <c r="Z6" s="35" t="str">
        <f aca="false">IFERROR(CHOOSE(MATCH(INDEX(時間ごとの判定!$AQ$3:$AQ$1850,72),{"利用可","両方停止","運転がそろわない","判定不能"},0),"○","停","×","－"),"")</f>
        <v>停</v>
      </c>
      <c r="AA6" s="35"/>
      <c r="AB6" s="35" t="str">
        <f aca="false">IFERROR(CHOOSE(MATCH(INDEX(時間ごとの判定!$AT$3:$AT$1850,49),{"利用可","両方停止","運転がそろわない","判定不能"},0),"○","停","×","－"),"")</f>
        <v>停</v>
      </c>
      <c r="AC6" s="35" t="str">
        <f aca="false">IFERROR(CHOOSE(MATCH(INDEX(時間ごとの判定!$AT$3:$AT$1850,50),{"利用可","両方停止","運転がそろわない","判定不能"},0),"○","停","×","－"),"")</f>
        <v>停</v>
      </c>
      <c r="AD6" s="35" t="str">
        <f aca="false">IFERROR(CHOOSE(MATCH(INDEX(時間ごとの判定!$AT$3:$AT$1850,51),{"利用可","両方停止","運転がそろわない","判定不能"},0),"○","停","×","－"),"")</f>
        <v>停</v>
      </c>
      <c r="AE6" s="35" t="str">
        <f aca="false">IFERROR(CHOOSE(MATCH(INDEX(時間ごとの判定!$AT$3:$AT$1850,52),{"利用可","両方停止","運転がそろわない","判定不能"},0),"○","停","×","－"),"")</f>
        <v>停</v>
      </c>
      <c r="AF6" s="35" t="str">
        <f aca="false">IFERROR(CHOOSE(MATCH(INDEX(時間ごとの判定!$AT$3:$AT$1850,53),{"利用可","両方停止","運転がそろわない","判定不能"},0),"○","停","×","－"),"")</f>
        <v>停</v>
      </c>
      <c r="AG6" s="35" t="str">
        <f aca="false">IFERROR(CHOOSE(MATCH(INDEX(時間ごとの判定!$AT$3:$AT$1850,54),{"利用可","両方停止","運転がそろわない","判定不能"},0),"○","停","×","－"),"")</f>
        <v>停</v>
      </c>
      <c r="AH6" s="35" t="str">
        <f aca="false">IFERROR(CHOOSE(MATCH(INDEX(時間ごとの判定!$AT$3:$AT$1850,55),{"利用可","両方停止","運転がそろわない","判定不能"},0),"○","停","×","－"),"")</f>
        <v>×</v>
      </c>
      <c r="AI6" s="35" t="str">
        <f aca="false">IFERROR(CHOOSE(MATCH(INDEX(時間ごとの判定!$AT$3:$AT$1850,56),{"利用可","両方停止","運転がそろわない","判定不能"},0),"○","停","×","－"),"")</f>
        <v>×</v>
      </c>
      <c r="AJ6" s="35" t="str">
        <f aca="false">IFERROR(CHOOSE(MATCH(INDEX(時間ごとの判定!$AT$3:$AT$1850,57),{"利用可","両方停止","運転がそろわない","判定不能"},0),"○","停","×","－"),"")</f>
        <v>×</v>
      </c>
      <c r="AK6" s="35" t="str">
        <f aca="false">IFERROR(CHOOSE(MATCH(INDEX(時間ごとの判定!$AT$3:$AT$1850,58),{"利用可","両方停止","運転がそろわない","判定不能"},0),"○","停","×","－"),"")</f>
        <v>○</v>
      </c>
      <c r="AL6" s="35" t="str">
        <f aca="false">IFERROR(CHOOSE(MATCH(INDEX(時間ごとの判定!$AT$3:$AT$1850,59),{"利用可","両方停止","運転がそろわない","判定不能"},0),"○","停","×","－"),"")</f>
        <v>○</v>
      </c>
      <c r="AM6" s="35" t="str">
        <f aca="false">IFERROR(CHOOSE(MATCH(INDEX(時間ごとの判定!$AT$3:$AT$1850,60),{"利用可","両方停止","運転がそろわない","判定不能"},0),"○","停","×","－"),"")</f>
        <v>○</v>
      </c>
      <c r="AN6" s="35" t="str">
        <f aca="false">IFERROR(CHOOSE(MATCH(INDEX(時間ごとの判定!$AT$3:$AT$1850,61),{"利用可","両方停止","運転がそろわない","判定不能"},0),"○","停","×","－"),"")</f>
        <v>○</v>
      </c>
      <c r="AO6" s="35" t="str">
        <f aca="false">IFERROR(CHOOSE(MATCH(INDEX(時間ごとの判定!$AT$3:$AT$1850,62),{"利用可","両方停止","運転がそろわない","判定不能"},0),"○","停","×","－"),"")</f>
        <v>○</v>
      </c>
      <c r="AP6" s="35" t="str">
        <f aca="false">IFERROR(CHOOSE(MATCH(INDEX(時間ごとの判定!$AT$3:$AT$1850,63),{"利用可","両方停止","運転がそろわない","判定不能"},0),"○","停","×","－"),"")</f>
        <v>○</v>
      </c>
      <c r="AQ6" s="35" t="str">
        <f aca="false">IFERROR(CHOOSE(MATCH(INDEX(時間ごとの判定!$AT$3:$AT$1850,64),{"利用可","両方停止","運転がそろわない","判定不能"},0),"○","停","×","－"),"")</f>
        <v>○</v>
      </c>
      <c r="AR6" s="35" t="str">
        <f aca="false">IFERROR(CHOOSE(MATCH(INDEX(時間ごとの判定!$AT$3:$AT$1850,65),{"利用可","両方停止","運転がそろわない","判定不能"},0),"○","停","×","－"),"")</f>
        <v>○</v>
      </c>
      <c r="AS6" s="35" t="str">
        <f aca="false">IFERROR(CHOOSE(MATCH(INDEX(時間ごとの判定!$AT$3:$AT$1850,66),{"利用可","両方停止","運転がそろわない","判定不能"},0),"○","停","×","－"),"")</f>
        <v>○</v>
      </c>
      <c r="AT6" s="35" t="str">
        <f aca="false">IFERROR(CHOOSE(MATCH(INDEX(時間ごとの判定!$AT$3:$AT$1850,67),{"利用可","両方停止","運転がそろわない","判定不能"},0),"○","停","×","－"),"")</f>
        <v>○</v>
      </c>
      <c r="AU6" s="35" t="str">
        <f aca="false">IFERROR(CHOOSE(MATCH(INDEX(時間ごとの判定!$AT$3:$AT$1850,68),{"利用可","両方停止","運転がそろわない","判定不能"},0),"○","停","×","－"),"")</f>
        <v>×</v>
      </c>
      <c r="AV6" s="35" t="str">
        <f aca="false">IFERROR(CHOOSE(MATCH(INDEX(時間ごとの判定!$AT$3:$AT$1850,69),{"利用可","両方停止","運転がそろわない","判定不能"},0),"○","停","×","－"),"")</f>
        <v>×</v>
      </c>
      <c r="AW6" s="35" t="str">
        <f aca="false">IFERROR(CHOOSE(MATCH(INDEX(時間ごとの判定!$AT$3:$AT$1850,70),{"利用可","両方停止","運転がそろわない","判定不能"},0),"○","停","×","－"),"")</f>
        <v>停</v>
      </c>
      <c r="AX6" s="35" t="str">
        <f aca="false">IFERROR(CHOOSE(MATCH(INDEX(時間ごとの判定!$AT$3:$AT$1850,71),{"利用可","両方停止","運転がそろわない","判定不能"},0),"○","停","×","－"),"")</f>
        <v>停</v>
      </c>
      <c r="AY6" s="35" t="str">
        <f aca="false">IFERROR(CHOOSE(MATCH(INDEX(時間ごとの判定!$AT$3:$AT$1850,72),{"利用可","両方停止","運転がそろわない","判定不能"},0),"○","停","×","－"),"")</f>
        <v>停</v>
      </c>
      <c r="AZ6" s="35"/>
      <c r="BA6" s="35" t="str">
        <f aca="false">IFERROR(CHOOSE(MATCH(INDEX(時間ごとの判定!$AW$3:$AW$1850,49),{"利用可","両方停止","運転がそろわない","判定不能"},0),"○","停","×","－"),"")</f>
        <v>×</v>
      </c>
      <c r="BB6" s="35" t="str">
        <f aca="false">IFERROR(CHOOSE(MATCH(INDEX(時間ごとの判定!$AW$3:$AW$1850,50),{"利用可","両方停止","運転がそろわない","判定不能"},0),"○","停","×","－"),"")</f>
        <v>×</v>
      </c>
      <c r="BC6" s="35" t="str">
        <f aca="false">IFERROR(CHOOSE(MATCH(INDEX(時間ごとの判定!$AW$3:$AW$1850,51),{"利用可","両方停止","運転がそろわない","判定不能"},0),"○","停","×","－"),"")</f>
        <v>×</v>
      </c>
      <c r="BD6" s="35" t="str">
        <f aca="false">IFERROR(CHOOSE(MATCH(INDEX(時間ごとの判定!$AW$3:$AW$1850,52),{"利用可","両方停止","運転がそろわない","判定不能"},0),"○","停","×","－"),"")</f>
        <v>×</v>
      </c>
      <c r="BE6" s="35" t="str">
        <f aca="false">IFERROR(CHOOSE(MATCH(INDEX(時間ごとの判定!$AW$3:$AW$1850,53),{"利用可","両方停止","運転がそろわない","判定不能"},0),"○","停","×","－"),"")</f>
        <v>×</v>
      </c>
      <c r="BF6" s="35" t="str">
        <f aca="false">IFERROR(CHOOSE(MATCH(INDEX(時間ごとの判定!$AW$3:$AW$1850,54),{"利用可","両方停止","運転がそろわない","判定不能"},0),"○","停","×","－"),"")</f>
        <v>×</v>
      </c>
      <c r="BG6" s="35" t="str">
        <f aca="false">IFERROR(CHOOSE(MATCH(INDEX(時間ごとの判定!$AW$3:$AW$1850,55),{"利用可","両方停止","運転がそろわない","判定不能"},0),"○","停","×","－"),"")</f>
        <v>○</v>
      </c>
      <c r="BH6" s="35" t="str">
        <f aca="false">IFERROR(CHOOSE(MATCH(INDEX(時間ごとの判定!$AW$3:$AW$1850,56),{"利用可","両方停止","運転がそろわない","判定不能"},0),"○","停","×","－"),"")</f>
        <v>○</v>
      </c>
      <c r="BI6" s="35" t="str">
        <f aca="false">IFERROR(CHOOSE(MATCH(INDEX(時間ごとの判定!$AW$3:$AW$1850,57),{"利用可","両方停止","運転がそろわない","判定不能"},0),"○","停","×","－"),"")</f>
        <v>○</v>
      </c>
      <c r="BJ6" s="35" t="str">
        <f aca="false">IFERROR(CHOOSE(MATCH(INDEX(時間ごとの判定!$AW$3:$AW$1850,58),{"利用可","両方停止","運転がそろわない","判定不能"},0),"○","停","×","－"),"")</f>
        <v>○</v>
      </c>
      <c r="BK6" s="35" t="str">
        <f aca="false">IFERROR(CHOOSE(MATCH(INDEX(時間ごとの判定!$AW$3:$AW$1850,59),{"利用可","両方停止","運転がそろわない","判定不能"},0),"○","停","×","－"),"")</f>
        <v>○</v>
      </c>
      <c r="BL6" s="35" t="str">
        <f aca="false">IFERROR(CHOOSE(MATCH(INDEX(時間ごとの判定!$AW$3:$AW$1850,60),{"利用可","両方停止","運転がそろわない","判定不能"},0),"○","停","×","－"),"")</f>
        <v>○</v>
      </c>
      <c r="BM6" s="35" t="str">
        <f aca="false">IFERROR(CHOOSE(MATCH(INDEX(時間ごとの判定!$AW$3:$AW$1850,61),{"利用可","両方停止","運転がそろわない","判定不能"},0),"○","停","×","－"),"")</f>
        <v>○</v>
      </c>
      <c r="BN6" s="35" t="str">
        <f aca="false">IFERROR(CHOOSE(MATCH(INDEX(時間ごとの判定!$AW$3:$AW$1850,62),{"利用可","両方停止","運転がそろわない","判定不能"},0),"○","停","×","－"),"")</f>
        <v>○</v>
      </c>
      <c r="BO6" s="35" t="str">
        <f aca="false">IFERROR(CHOOSE(MATCH(INDEX(時間ごとの判定!$AW$3:$AW$1850,63),{"利用可","両方停止","運転がそろわない","判定不能"},0),"○","停","×","－"),"")</f>
        <v>○</v>
      </c>
      <c r="BP6" s="35" t="str">
        <f aca="false">IFERROR(CHOOSE(MATCH(INDEX(時間ごとの判定!$AW$3:$AW$1850,64),{"利用可","両方停止","運転がそろわない","判定不能"},0),"○","停","×","－"),"")</f>
        <v>○</v>
      </c>
      <c r="BQ6" s="35" t="str">
        <f aca="false">IFERROR(CHOOSE(MATCH(INDEX(時間ごとの判定!$AW$3:$AW$1850,65),{"利用可","両方停止","運転がそろわない","判定不能"},0),"○","停","×","－"),"")</f>
        <v>○</v>
      </c>
      <c r="BR6" s="35" t="str">
        <f aca="false">IFERROR(CHOOSE(MATCH(INDEX(時間ごとの判定!$AW$3:$AW$1850,66),{"利用可","両方停止","運転がそろわない","判定不能"},0),"○","停","×","－"),"")</f>
        <v>○</v>
      </c>
      <c r="BS6" s="35" t="str">
        <f aca="false">IFERROR(CHOOSE(MATCH(INDEX(時間ごとの判定!$AW$3:$AW$1850,67),{"利用可","両方停止","運転がそろわない","判定不能"},0),"○","停","×","－"),"")</f>
        <v>○</v>
      </c>
      <c r="BT6" s="35" t="str">
        <f aca="false">IFERROR(CHOOSE(MATCH(INDEX(時間ごとの判定!$AW$3:$AW$1850,68),{"利用可","両方停止","運転がそろわない","判定不能"},0),"○","停","×","－"),"")</f>
        <v>×</v>
      </c>
      <c r="BU6" s="35" t="str">
        <f aca="false">IFERROR(CHOOSE(MATCH(INDEX(時間ごとの判定!$AW$3:$AW$1850,69),{"利用可","両方停止","運転がそろわない","判定不能"},0),"○","停","×","－"),"")</f>
        <v>×</v>
      </c>
      <c r="BV6" s="35" t="str">
        <f aca="false">IFERROR(CHOOSE(MATCH(INDEX(時間ごとの判定!$AW$3:$AW$1850,70),{"利用可","両方停止","運転がそろわない","判定不能"},0),"○","停","×","－"),"")</f>
        <v>×</v>
      </c>
      <c r="BW6" s="35" t="str">
        <f aca="false">IFERROR(CHOOSE(MATCH(INDEX(時間ごとの判定!$AW$3:$AW$1850,71),{"利用可","両方停止","運転がそろわない","判定不能"},0),"○","停","×","－"),"")</f>
        <v>×</v>
      </c>
      <c r="BX6" s="35" t="str">
        <f aca="false">IFERROR(CHOOSE(MATCH(INDEX(時間ごとの判定!$AW$3:$AW$1850,72),{"利用可","両方停止","運転がそろわない","判定不能"},0),"○","停","×","－"),"")</f>
        <v>×</v>
      </c>
    </row>
    <row r="7" customFormat="false" ht="15" hidden="false" customHeight="false" outlineLevel="0" collapsed="false">
      <c r="A7" s="33" t="n">
        <v>46235</v>
      </c>
      <c r="B7" s="36" t="s">
        <v>63</v>
      </c>
      <c r="C7" s="35" t="str">
        <f aca="false">IFERROR(CHOOSE(MATCH(INDEX(時間ごとの判定!$AQ$3:$AQ$1850,73),{"利用可","両方停止","運転がそろわない","判定不能"},0),"○","停","×","－"),"")</f>
        <v>停</v>
      </c>
      <c r="D7" s="35" t="str">
        <f aca="false">IFERROR(CHOOSE(MATCH(INDEX(時間ごとの判定!$AQ$3:$AQ$1850,74),{"利用可","両方停止","運転がそろわない","判定不能"},0),"○","停","×","－"),"")</f>
        <v>停</v>
      </c>
      <c r="E7" s="35" t="str">
        <f aca="false">IFERROR(CHOOSE(MATCH(INDEX(時間ごとの判定!$AQ$3:$AQ$1850,75),{"利用可","両方停止","運転がそろわない","判定不能"},0),"○","停","×","－"),"")</f>
        <v>停</v>
      </c>
      <c r="F7" s="35" t="str">
        <f aca="false">IFERROR(CHOOSE(MATCH(INDEX(時間ごとの判定!$AQ$3:$AQ$1850,76),{"利用可","両方停止","運転がそろわない","判定不能"},0),"○","停","×","－"),"")</f>
        <v>停</v>
      </c>
      <c r="G7" s="35" t="str">
        <f aca="false">IFERROR(CHOOSE(MATCH(INDEX(時間ごとの判定!$AQ$3:$AQ$1850,77),{"利用可","両方停止","運転がそろわない","判定不能"},0),"○","停","×","－"),"")</f>
        <v>停</v>
      </c>
      <c r="H7" s="35" t="str">
        <f aca="false">IFERROR(CHOOSE(MATCH(INDEX(時間ごとの判定!$AQ$3:$AQ$1850,78),{"利用可","両方停止","運転がそろわない","判定不能"},0),"○","停","×","－"),"")</f>
        <v>停</v>
      </c>
      <c r="I7" s="35" t="str">
        <f aca="false">IFERROR(CHOOSE(MATCH(INDEX(時間ごとの判定!$AQ$3:$AQ$1850,79),{"利用可","両方停止","運転がそろわない","判定不能"},0),"○","停","×","－"),"")</f>
        <v>停</v>
      </c>
      <c r="J7" s="35" t="str">
        <f aca="false">IFERROR(CHOOSE(MATCH(INDEX(時間ごとの判定!$AQ$3:$AQ$1850,80),{"利用可","両方停止","運転がそろわない","判定不能"},0),"○","停","×","－"),"")</f>
        <v>停</v>
      </c>
      <c r="K7" s="35" t="str">
        <f aca="false">IFERROR(CHOOSE(MATCH(INDEX(時間ごとの判定!$AQ$3:$AQ$1850,81),{"利用可","両方停止","運転がそろわない","判定不能"},0),"○","停","×","－"),"")</f>
        <v>×</v>
      </c>
      <c r="L7" s="35" t="str">
        <f aca="false">IFERROR(CHOOSE(MATCH(INDEX(時間ごとの判定!$AQ$3:$AQ$1850,82),{"利用可","両方停止","運転がそろわない","判定不能"},0),"○","停","×","－"),"")</f>
        <v>○</v>
      </c>
      <c r="M7" s="35" t="str">
        <f aca="false">IFERROR(CHOOSE(MATCH(INDEX(時間ごとの判定!$AQ$3:$AQ$1850,83),{"利用可","両方停止","運転がそろわない","判定不能"},0),"○","停","×","－"),"")</f>
        <v>○</v>
      </c>
      <c r="N7" s="35" t="str">
        <f aca="false">IFERROR(CHOOSE(MATCH(INDEX(時間ごとの判定!$AQ$3:$AQ$1850,84),{"利用可","両方停止","運転がそろわない","判定不能"},0),"○","停","×","－"),"")</f>
        <v>○</v>
      </c>
      <c r="O7" s="35" t="str">
        <f aca="false">IFERROR(CHOOSE(MATCH(INDEX(時間ごとの判定!$AQ$3:$AQ$1850,85),{"利用可","両方停止","運転がそろわない","判定不能"},0),"○","停","×","－"),"")</f>
        <v>○</v>
      </c>
      <c r="P7" s="35" t="str">
        <f aca="false">IFERROR(CHOOSE(MATCH(INDEX(時間ごとの判定!$AQ$3:$AQ$1850,86),{"利用可","両方停止","運転がそろわない","判定不能"},0),"○","停","×","－"),"")</f>
        <v>○</v>
      </c>
      <c r="Q7" s="35" t="str">
        <f aca="false">IFERROR(CHOOSE(MATCH(INDEX(時間ごとの判定!$AQ$3:$AQ$1850,87),{"利用可","両方停止","運転がそろわない","判定不能"},0),"○","停","×","－"),"")</f>
        <v>○</v>
      </c>
      <c r="R7" s="35" t="str">
        <f aca="false">IFERROR(CHOOSE(MATCH(INDEX(時間ごとの判定!$AQ$3:$AQ$1850,88),{"利用可","両方停止","運転がそろわない","判定不能"},0),"○","停","×","－"),"")</f>
        <v>○</v>
      </c>
      <c r="S7" s="35" t="str">
        <f aca="false">IFERROR(CHOOSE(MATCH(INDEX(時間ごとの判定!$AQ$3:$AQ$1850,89),{"利用可","両方停止","運転がそろわない","判定不能"},0),"○","停","×","－"),"")</f>
        <v>○</v>
      </c>
      <c r="T7" s="35" t="str">
        <f aca="false">IFERROR(CHOOSE(MATCH(INDEX(時間ごとの判定!$AQ$3:$AQ$1850,90),{"利用可","両方停止","運転がそろわない","判定不能"},0),"○","停","×","－"),"")</f>
        <v>○</v>
      </c>
      <c r="U7" s="35" t="str">
        <f aca="false">IFERROR(CHOOSE(MATCH(INDEX(時間ごとの判定!$AQ$3:$AQ$1850,91),{"利用可","両方停止","運転がそろわない","判定不能"},0),"○","停","×","－"),"")</f>
        <v>×</v>
      </c>
      <c r="V7" s="35" t="str">
        <f aca="false">IFERROR(CHOOSE(MATCH(INDEX(時間ごとの判定!$AQ$3:$AQ$1850,92),{"利用可","両方停止","運転がそろわない","判定不能"},0),"○","停","×","－"),"")</f>
        <v>×</v>
      </c>
      <c r="W7" s="35" t="str">
        <f aca="false">IFERROR(CHOOSE(MATCH(INDEX(時間ごとの判定!$AQ$3:$AQ$1850,93),{"利用可","両方停止","運転がそろわない","判定不能"},0),"○","停","×","－"),"")</f>
        <v>×</v>
      </c>
      <c r="X7" s="35" t="str">
        <f aca="false">IFERROR(CHOOSE(MATCH(INDEX(時間ごとの判定!$AQ$3:$AQ$1850,94),{"利用可","両方停止","運転がそろわない","判定不能"},0),"○","停","×","－"),"")</f>
        <v>停</v>
      </c>
      <c r="Y7" s="35" t="str">
        <f aca="false">IFERROR(CHOOSE(MATCH(INDEX(時間ごとの判定!$AQ$3:$AQ$1850,95),{"利用可","両方停止","運転がそろわない","判定不能"},0),"○","停","×","－"),"")</f>
        <v>停</v>
      </c>
      <c r="Z7" s="35" t="str">
        <f aca="false">IFERROR(CHOOSE(MATCH(INDEX(時間ごとの判定!$AQ$3:$AQ$1850,96),{"利用可","両方停止","運転がそろわない","判定不能"},0),"○","停","×","－"),"")</f>
        <v>停</v>
      </c>
      <c r="AA7" s="35"/>
      <c r="AB7" s="35" t="str">
        <f aca="false">IFERROR(CHOOSE(MATCH(INDEX(時間ごとの判定!$AT$3:$AT$1850,73),{"利用可","両方停止","運転がそろわない","判定不能"},0),"○","停","×","－"),"")</f>
        <v>停</v>
      </c>
      <c r="AC7" s="35" t="str">
        <f aca="false">IFERROR(CHOOSE(MATCH(INDEX(時間ごとの判定!$AT$3:$AT$1850,74),{"利用可","両方停止","運転がそろわない","判定不能"},0),"○","停","×","－"),"")</f>
        <v>停</v>
      </c>
      <c r="AD7" s="35" t="str">
        <f aca="false">IFERROR(CHOOSE(MATCH(INDEX(時間ごとの判定!$AT$3:$AT$1850,75),{"利用可","両方停止","運転がそろわない","判定不能"},0),"○","停","×","－"),"")</f>
        <v>停</v>
      </c>
      <c r="AE7" s="35" t="str">
        <f aca="false">IFERROR(CHOOSE(MATCH(INDEX(時間ごとの判定!$AT$3:$AT$1850,76),{"利用可","両方停止","運転がそろわない","判定不能"},0),"○","停","×","－"),"")</f>
        <v>停</v>
      </c>
      <c r="AF7" s="35" t="str">
        <f aca="false">IFERROR(CHOOSE(MATCH(INDEX(時間ごとの判定!$AT$3:$AT$1850,77),{"利用可","両方停止","運転がそろわない","判定不能"},0),"○","停","×","－"),"")</f>
        <v>停</v>
      </c>
      <c r="AG7" s="35" t="str">
        <f aca="false">IFERROR(CHOOSE(MATCH(INDEX(時間ごとの判定!$AT$3:$AT$1850,78),{"利用可","両方停止","運転がそろわない","判定不能"},0),"○","停","×","－"),"")</f>
        <v>停</v>
      </c>
      <c r="AH7" s="35" t="str">
        <f aca="false">IFERROR(CHOOSE(MATCH(INDEX(時間ごとの判定!$AT$3:$AT$1850,79),{"利用可","両方停止","運転がそろわない","判定不能"},0),"○","停","×","－"),"")</f>
        <v>停</v>
      </c>
      <c r="AI7" s="35" t="str">
        <f aca="false">IFERROR(CHOOSE(MATCH(INDEX(時間ごとの判定!$AT$3:$AT$1850,80),{"利用可","両方停止","運転がそろわない","判定不能"},0),"○","停","×","－"),"")</f>
        <v>停</v>
      </c>
      <c r="AJ7" s="35" t="str">
        <f aca="false">IFERROR(CHOOSE(MATCH(INDEX(時間ごとの判定!$AT$3:$AT$1850,81),{"利用可","両方停止","運転がそろわない","判定不能"},0),"○","停","×","－"),"")</f>
        <v>×</v>
      </c>
      <c r="AK7" s="35" t="str">
        <f aca="false">IFERROR(CHOOSE(MATCH(INDEX(時間ごとの判定!$AT$3:$AT$1850,82),{"利用可","両方停止","運転がそろわない","判定不能"},0),"○","停","×","－"),"")</f>
        <v>○</v>
      </c>
      <c r="AL7" s="35" t="str">
        <f aca="false">IFERROR(CHOOSE(MATCH(INDEX(時間ごとの判定!$AT$3:$AT$1850,83),{"利用可","両方停止","運転がそろわない","判定不能"},0),"○","停","×","－"),"")</f>
        <v>○</v>
      </c>
      <c r="AM7" s="35" t="str">
        <f aca="false">IFERROR(CHOOSE(MATCH(INDEX(時間ごとの判定!$AT$3:$AT$1850,84),{"利用可","両方停止","運転がそろわない","判定不能"},0),"○","停","×","－"),"")</f>
        <v>○</v>
      </c>
      <c r="AN7" s="35" t="str">
        <f aca="false">IFERROR(CHOOSE(MATCH(INDEX(時間ごとの判定!$AT$3:$AT$1850,85),{"利用可","両方停止","運転がそろわない","判定不能"},0),"○","停","×","－"),"")</f>
        <v>○</v>
      </c>
      <c r="AO7" s="35" t="str">
        <f aca="false">IFERROR(CHOOSE(MATCH(INDEX(時間ごとの判定!$AT$3:$AT$1850,86),{"利用可","両方停止","運転がそろわない","判定不能"},0),"○","停","×","－"),"")</f>
        <v>○</v>
      </c>
      <c r="AP7" s="35" t="str">
        <f aca="false">IFERROR(CHOOSE(MATCH(INDEX(時間ごとの判定!$AT$3:$AT$1850,87),{"利用可","両方停止","運転がそろわない","判定不能"},0),"○","停","×","－"),"")</f>
        <v>○</v>
      </c>
      <c r="AQ7" s="35" t="str">
        <f aca="false">IFERROR(CHOOSE(MATCH(INDEX(時間ごとの判定!$AT$3:$AT$1850,88),{"利用可","両方停止","運転がそろわない","判定不能"},0),"○","停","×","－"),"")</f>
        <v>○</v>
      </c>
      <c r="AR7" s="35" t="str">
        <f aca="false">IFERROR(CHOOSE(MATCH(INDEX(時間ごとの判定!$AT$3:$AT$1850,89),{"利用可","両方停止","運転がそろわない","判定不能"},0),"○","停","×","－"),"")</f>
        <v>○</v>
      </c>
      <c r="AS7" s="35" t="str">
        <f aca="false">IFERROR(CHOOSE(MATCH(INDEX(時間ごとの判定!$AT$3:$AT$1850,90),{"利用可","両方停止","運転がそろわない","判定不能"},0),"○","停","×","－"),"")</f>
        <v>○</v>
      </c>
      <c r="AT7" s="35" t="str">
        <f aca="false">IFERROR(CHOOSE(MATCH(INDEX(時間ごとの判定!$AT$3:$AT$1850,91),{"利用可","両方停止","運転がそろわない","判定不能"},0),"○","停","×","－"),"")</f>
        <v>×</v>
      </c>
      <c r="AU7" s="35" t="str">
        <f aca="false">IFERROR(CHOOSE(MATCH(INDEX(時間ごとの判定!$AT$3:$AT$1850,92),{"利用可","両方停止","運転がそろわない","判定不能"},0),"○","停","×","－"),"")</f>
        <v>×</v>
      </c>
      <c r="AV7" s="35" t="str">
        <f aca="false">IFERROR(CHOOSE(MATCH(INDEX(時間ごとの判定!$AT$3:$AT$1850,93),{"利用可","両方停止","運転がそろわない","判定不能"},0),"○","停","×","－"),"")</f>
        <v>×</v>
      </c>
      <c r="AW7" s="35" t="str">
        <f aca="false">IFERROR(CHOOSE(MATCH(INDEX(時間ごとの判定!$AT$3:$AT$1850,94),{"利用可","両方停止","運転がそろわない","判定不能"},0),"○","停","×","－"),"")</f>
        <v>停</v>
      </c>
      <c r="AX7" s="35" t="str">
        <f aca="false">IFERROR(CHOOSE(MATCH(INDEX(時間ごとの判定!$AT$3:$AT$1850,95),{"利用可","両方停止","運転がそろわない","判定不能"},0),"○","停","×","－"),"")</f>
        <v>停</v>
      </c>
      <c r="AY7" s="35" t="str">
        <f aca="false">IFERROR(CHOOSE(MATCH(INDEX(時間ごとの判定!$AT$3:$AT$1850,96),{"利用可","両方停止","運転がそろわない","判定不能"},0),"○","停","×","－"),"")</f>
        <v>停</v>
      </c>
      <c r="AZ7" s="35"/>
      <c r="BA7" s="35" t="str">
        <f aca="false">IFERROR(CHOOSE(MATCH(INDEX(時間ごとの判定!$AW$3:$AW$1850,73),{"利用可","両方停止","運転がそろわない","判定不能"},0),"○","停","×","－"),"")</f>
        <v>×</v>
      </c>
      <c r="BB7" s="35" t="str">
        <f aca="false">IFERROR(CHOOSE(MATCH(INDEX(時間ごとの判定!$AW$3:$AW$1850,74),{"利用可","両方停止","運転がそろわない","判定不能"},0),"○","停","×","－"),"")</f>
        <v>×</v>
      </c>
      <c r="BC7" s="35" t="str">
        <f aca="false">IFERROR(CHOOSE(MATCH(INDEX(時間ごとの判定!$AW$3:$AW$1850,75),{"利用可","両方停止","運転がそろわない","判定不能"},0),"○","停","×","－"),"")</f>
        <v>×</v>
      </c>
      <c r="BD7" s="35" t="str">
        <f aca="false">IFERROR(CHOOSE(MATCH(INDEX(時間ごとの判定!$AW$3:$AW$1850,76),{"利用可","両方停止","運転がそろわない","判定不能"},0),"○","停","×","－"),"")</f>
        <v>×</v>
      </c>
      <c r="BE7" s="35" t="str">
        <f aca="false">IFERROR(CHOOSE(MATCH(INDEX(時間ごとの判定!$AW$3:$AW$1850,77),{"利用可","両方停止","運転がそろわない","判定不能"},0),"○","停","×","－"),"")</f>
        <v>×</v>
      </c>
      <c r="BF7" s="35" t="str">
        <f aca="false">IFERROR(CHOOSE(MATCH(INDEX(時間ごとの判定!$AW$3:$AW$1850,78),{"利用可","両方停止","運転がそろわない","判定不能"},0),"○","停","×","－"),"")</f>
        <v>×</v>
      </c>
      <c r="BG7" s="35" t="str">
        <f aca="false">IFERROR(CHOOSE(MATCH(INDEX(時間ごとの判定!$AW$3:$AW$1850,79),{"利用可","両方停止","運転がそろわない","判定不能"},0),"○","停","×","－"),"")</f>
        <v>×</v>
      </c>
      <c r="BH7" s="35" t="str">
        <f aca="false">IFERROR(CHOOSE(MATCH(INDEX(時間ごとの判定!$AW$3:$AW$1850,80),{"利用可","両方停止","運転がそろわない","判定不能"},0),"○","停","×","－"),"")</f>
        <v>×</v>
      </c>
      <c r="BI7" s="35" t="str">
        <f aca="false">IFERROR(CHOOSE(MATCH(INDEX(時間ごとの判定!$AW$3:$AW$1850,81),{"利用可","両方停止","運転がそろわない","判定不能"},0),"○","停","×","－"),"")</f>
        <v>○</v>
      </c>
      <c r="BJ7" s="35" t="str">
        <f aca="false">IFERROR(CHOOSE(MATCH(INDEX(時間ごとの判定!$AW$3:$AW$1850,82),{"利用可","両方停止","運転がそろわない","判定不能"},0),"○","停","×","－"),"")</f>
        <v>○</v>
      </c>
      <c r="BK7" s="35" t="str">
        <f aca="false">IFERROR(CHOOSE(MATCH(INDEX(時間ごとの判定!$AW$3:$AW$1850,83),{"利用可","両方停止","運転がそろわない","判定不能"},0),"○","停","×","－"),"")</f>
        <v>○</v>
      </c>
      <c r="BL7" s="35" t="str">
        <f aca="false">IFERROR(CHOOSE(MATCH(INDEX(時間ごとの判定!$AW$3:$AW$1850,84),{"利用可","両方停止","運転がそろわない","判定不能"},0),"○","停","×","－"),"")</f>
        <v>○</v>
      </c>
      <c r="BM7" s="35" t="str">
        <f aca="false">IFERROR(CHOOSE(MATCH(INDEX(時間ごとの判定!$AW$3:$AW$1850,85),{"利用可","両方停止","運転がそろわない","判定不能"},0),"○","停","×","－"),"")</f>
        <v>○</v>
      </c>
      <c r="BN7" s="35" t="str">
        <f aca="false">IFERROR(CHOOSE(MATCH(INDEX(時間ごとの判定!$AW$3:$AW$1850,86),{"利用可","両方停止","運転がそろわない","判定不能"},0),"○","停","×","－"),"")</f>
        <v>○</v>
      </c>
      <c r="BO7" s="35" t="str">
        <f aca="false">IFERROR(CHOOSE(MATCH(INDEX(時間ごとの判定!$AW$3:$AW$1850,87),{"利用可","両方停止","運転がそろわない","判定不能"},0),"○","停","×","－"),"")</f>
        <v>○</v>
      </c>
      <c r="BP7" s="35" t="str">
        <f aca="false">IFERROR(CHOOSE(MATCH(INDEX(時間ごとの判定!$AW$3:$AW$1850,88),{"利用可","両方停止","運転がそろわない","判定不能"},0),"○","停","×","－"),"")</f>
        <v>○</v>
      </c>
      <c r="BQ7" s="35" t="str">
        <f aca="false">IFERROR(CHOOSE(MATCH(INDEX(時間ごとの判定!$AW$3:$AW$1850,89),{"利用可","両方停止","運転がそろわない","判定不能"},0),"○","停","×","－"),"")</f>
        <v>○</v>
      </c>
      <c r="BR7" s="35" t="str">
        <f aca="false">IFERROR(CHOOSE(MATCH(INDEX(時間ごとの判定!$AW$3:$AW$1850,90),{"利用可","両方停止","運転がそろわない","判定不能"},0),"○","停","×","－"),"")</f>
        <v>○</v>
      </c>
      <c r="BS7" s="35" t="str">
        <f aca="false">IFERROR(CHOOSE(MATCH(INDEX(時間ごとの判定!$AW$3:$AW$1850,91),{"利用可","両方停止","運転がそろわない","判定不能"},0),"○","停","×","－"),"")</f>
        <v>×</v>
      </c>
      <c r="BT7" s="35" t="str">
        <f aca="false">IFERROR(CHOOSE(MATCH(INDEX(時間ごとの判定!$AW$3:$AW$1850,92),{"利用可","両方停止","運転がそろわない","判定不能"},0),"○","停","×","－"),"")</f>
        <v>×</v>
      </c>
      <c r="BU7" s="35" t="str">
        <f aca="false">IFERROR(CHOOSE(MATCH(INDEX(時間ごとの判定!$AW$3:$AW$1850,93),{"利用可","両方停止","運転がそろわない","判定不能"},0),"○","停","×","－"),"")</f>
        <v>×</v>
      </c>
      <c r="BV7" s="35" t="str">
        <f aca="false">IFERROR(CHOOSE(MATCH(INDEX(時間ごとの判定!$AW$3:$AW$1850,94),{"利用可","両方停止","運転がそろわない","判定不能"},0),"○","停","×","－"),"")</f>
        <v>×</v>
      </c>
      <c r="BW7" s="35" t="str">
        <f aca="false">IFERROR(CHOOSE(MATCH(INDEX(時間ごとの判定!$AW$3:$AW$1850,95),{"利用可","両方停止","運転がそろわない","判定不能"},0),"○","停","×","－"),"")</f>
        <v>×</v>
      </c>
      <c r="BX7" s="35" t="str">
        <f aca="false">IFERROR(CHOOSE(MATCH(INDEX(時間ごとの判定!$AW$3:$AW$1850,96),{"利用可","両方停止","運転がそろわない","判定不能"},0),"○","停","×","－"),"")</f>
        <v>×</v>
      </c>
    </row>
    <row r="8" customFormat="false" ht="15" hidden="false" customHeight="false" outlineLevel="0" collapsed="false">
      <c r="A8" s="33" t="n">
        <v>46236</v>
      </c>
      <c r="B8" s="36" t="s">
        <v>65</v>
      </c>
      <c r="C8" s="35" t="str">
        <f aca="false">IFERROR(CHOOSE(MATCH(INDEX(時間ごとの判定!$AQ$3:$AQ$1850,97),{"利用可","両方停止","運転がそろわない","判定不能"},0),"○","停","×","－"),"")</f>
        <v>停</v>
      </c>
      <c r="D8" s="35" t="str">
        <f aca="false">IFERROR(CHOOSE(MATCH(INDEX(時間ごとの判定!$AQ$3:$AQ$1850,98),{"利用可","両方停止","運転がそろわない","判定不能"},0),"○","停","×","－"),"")</f>
        <v>停</v>
      </c>
      <c r="E8" s="35" t="str">
        <f aca="false">IFERROR(CHOOSE(MATCH(INDEX(時間ごとの判定!$AQ$3:$AQ$1850,99),{"利用可","両方停止","運転がそろわない","判定不能"},0),"○","停","×","－"),"")</f>
        <v>停</v>
      </c>
      <c r="F8" s="35" t="str">
        <f aca="false">IFERROR(CHOOSE(MATCH(INDEX(時間ごとの判定!$AQ$3:$AQ$1850,100),{"利用可","両方停止","運転がそろわない","判定不能"},0),"○","停","×","－"),"")</f>
        <v>停</v>
      </c>
      <c r="G8" s="35" t="str">
        <f aca="false">IFERROR(CHOOSE(MATCH(INDEX(時間ごとの判定!$AQ$3:$AQ$1850,101),{"利用可","両方停止","運転がそろわない","判定不能"},0),"○","停","×","－"),"")</f>
        <v>停</v>
      </c>
      <c r="H8" s="35" t="str">
        <f aca="false">IFERROR(CHOOSE(MATCH(INDEX(時間ごとの判定!$AQ$3:$AQ$1850,102),{"利用可","両方停止","運転がそろわない","判定不能"},0),"○","停","×","－"),"")</f>
        <v>停</v>
      </c>
      <c r="I8" s="35" t="str">
        <f aca="false">IFERROR(CHOOSE(MATCH(INDEX(時間ごとの判定!$AQ$3:$AQ$1850,103),{"利用可","両方停止","運転がそろわない","判定不能"},0),"○","停","×","－"),"")</f>
        <v>停</v>
      </c>
      <c r="J8" s="35" t="str">
        <f aca="false">IFERROR(CHOOSE(MATCH(INDEX(時間ごとの判定!$AQ$3:$AQ$1850,104),{"利用可","両方停止","運転がそろわない","判定不能"},0),"○","停","×","－"),"")</f>
        <v>停</v>
      </c>
      <c r="K8" s="35" t="str">
        <f aca="false">IFERROR(CHOOSE(MATCH(INDEX(時間ごとの判定!$AQ$3:$AQ$1850,105),{"利用可","両方停止","運転がそろわない","判定不能"},0),"○","停","×","－"),"")</f>
        <v>○</v>
      </c>
      <c r="L8" s="35" t="str">
        <f aca="false">IFERROR(CHOOSE(MATCH(INDEX(時間ごとの判定!$AQ$3:$AQ$1850,106),{"利用可","両方停止","運転がそろわない","判定不能"},0),"○","停","×","－"),"")</f>
        <v>○</v>
      </c>
      <c r="M8" s="35" t="str">
        <f aca="false">IFERROR(CHOOSE(MATCH(INDEX(時間ごとの判定!$AQ$3:$AQ$1850,107),{"利用可","両方停止","運転がそろわない","判定不能"},0),"○","停","×","－"),"")</f>
        <v>○</v>
      </c>
      <c r="N8" s="35" t="str">
        <f aca="false">IFERROR(CHOOSE(MATCH(INDEX(時間ごとの判定!$AQ$3:$AQ$1850,108),{"利用可","両方停止","運転がそろわない","判定不能"},0),"○","停","×","－"),"")</f>
        <v>○</v>
      </c>
      <c r="O8" s="35" t="str">
        <f aca="false">IFERROR(CHOOSE(MATCH(INDEX(時間ごとの判定!$AQ$3:$AQ$1850,109),{"利用可","両方停止","運転がそろわない","判定不能"},0),"○","停","×","－"),"")</f>
        <v>○</v>
      </c>
      <c r="P8" s="35" t="str">
        <f aca="false">IFERROR(CHOOSE(MATCH(INDEX(時間ごとの判定!$AQ$3:$AQ$1850,110),{"利用可","両方停止","運転がそろわない","判定不能"},0),"○","停","×","－"),"")</f>
        <v>○</v>
      </c>
      <c r="Q8" s="35" t="str">
        <f aca="false">IFERROR(CHOOSE(MATCH(INDEX(時間ごとの判定!$AQ$3:$AQ$1850,111),{"利用可","両方停止","運転がそろわない","判定不能"},0),"○","停","×","－"),"")</f>
        <v>○</v>
      </c>
      <c r="R8" s="35" t="str">
        <f aca="false">IFERROR(CHOOSE(MATCH(INDEX(時間ごとの判定!$AQ$3:$AQ$1850,112),{"利用可","両方停止","運転がそろわない","判定不能"},0),"○","停","×","－"),"")</f>
        <v>○</v>
      </c>
      <c r="S8" s="35" t="str">
        <f aca="false">IFERROR(CHOOSE(MATCH(INDEX(時間ごとの判定!$AQ$3:$AQ$1850,113),{"利用可","両方停止","運転がそろわない","判定不能"},0),"○","停","×","－"),"")</f>
        <v>○</v>
      </c>
      <c r="T8" s="35" t="str">
        <f aca="false">IFERROR(CHOOSE(MATCH(INDEX(時間ごとの判定!$AQ$3:$AQ$1850,114),{"利用可","両方停止","運転がそろわない","判定不能"},0),"○","停","×","－"),"")</f>
        <v>○</v>
      </c>
      <c r="U8" s="35" t="str">
        <f aca="false">IFERROR(CHOOSE(MATCH(INDEX(時間ごとの判定!$AQ$3:$AQ$1850,115),{"利用可","両方停止","運転がそろわない","判定不能"},0),"○","停","×","－"),"")</f>
        <v>×</v>
      </c>
      <c r="V8" s="35" t="str">
        <f aca="false">IFERROR(CHOOSE(MATCH(INDEX(時間ごとの判定!$AQ$3:$AQ$1850,116),{"利用可","両方停止","運転がそろわない","判定不能"},0),"○","停","×","－"),"")</f>
        <v>×</v>
      </c>
      <c r="W8" s="35" t="str">
        <f aca="false">IFERROR(CHOOSE(MATCH(INDEX(時間ごとの判定!$AQ$3:$AQ$1850,117),{"利用可","両方停止","運転がそろわない","判定不能"},0),"○","停","×","－"),"")</f>
        <v>×</v>
      </c>
      <c r="X8" s="35" t="str">
        <f aca="false">IFERROR(CHOOSE(MATCH(INDEX(時間ごとの判定!$AQ$3:$AQ$1850,118),{"利用可","両方停止","運転がそろわない","判定不能"},0),"○","停","×","－"),"")</f>
        <v>停</v>
      </c>
      <c r="Y8" s="35" t="str">
        <f aca="false">IFERROR(CHOOSE(MATCH(INDEX(時間ごとの判定!$AQ$3:$AQ$1850,119),{"利用可","両方停止","運転がそろわない","判定不能"},0),"○","停","×","－"),"")</f>
        <v>停</v>
      </c>
      <c r="Z8" s="35" t="str">
        <f aca="false">IFERROR(CHOOSE(MATCH(INDEX(時間ごとの判定!$AQ$3:$AQ$1850,120),{"利用可","両方停止","運転がそろわない","判定不能"},0),"○","停","×","－"),"")</f>
        <v>停</v>
      </c>
      <c r="AA8" s="35"/>
      <c r="AB8" s="35" t="str">
        <f aca="false">IFERROR(CHOOSE(MATCH(INDEX(時間ごとの判定!$AT$3:$AT$1850,97),{"利用可","両方停止","運転がそろわない","判定不能"},0),"○","停","×","－"),"")</f>
        <v>停</v>
      </c>
      <c r="AC8" s="35" t="str">
        <f aca="false">IFERROR(CHOOSE(MATCH(INDEX(時間ごとの判定!$AT$3:$AT$1850,98),{"利用可","両方停止","運転がそろわない","判定不能"},0),"○","停","×","－"),"")</f>
        <v>停</v>
      </c>
      <c r="AD8" s="35" t="str">
        <f aca="false">IFERROR(CHOOSE(MATCH(INDEX(時間ごとの判定!$AT$3:$AT$1850,99),{"利用可","両方停止","運転がそろわない","判定不能"},0),"○","停","×","－"),"")</f>
        <v>停</v>
      </c>
      <c r="AE8" s="35" t="str">
        <f aca="false">IFERROR(CHOOSE(MATCH(INDEX(時間ごとの判定!$AT$3:$AT$1850,100),{"利用可","両方停止","運転がそろわない","判定不能"},0),"○","停","×","－"),"")</f>
        <v>停</v>
      </c>
      <c r="AF8" s="35" t="str">
        <f aca="false">IFERROR(CHOOSE(MATCH(INDEX(時間ごとの判定!$AT$3:$AT$1850,101),{"利用可","両方停止","運転がそろわない","判定不能"},0),"○","停","×","－"),"")</f>
        <v>停</v>
      </c>
      <c r="AG8" s="35" t="str">
        <f aca="false">IFERROR(CHOOSE(MATCH(INDEX(時間ごとの判定!$AT$3:$AT$1850,102),{"利用可","両方停止","運転がそろわない","判定不能"},0),"○","停","×","－"),"")</f>
        <v>停</v>
      </c>
      <c r="AH8" s="35" t="str">
        <f aca="false">IFERROR(CHOOSE(MATCH(INDEX(時間ごとの判定!$AT$3:$AT$1850,103),{"利用可","両方停止","運転がそろわない","判定不能"},0),"○","停","×","－"),"")</f>
        <v>停</v>
      </c>
      <c r="AI8" s="35" t="str">
        <f aca="false">IFERROR(CHOOSE(MATCH(INDEX(時間ごとの判定!$AT$3:$AT$1850,104),{"利用可","両方停止","運転がそろわない","判定不能"},0),"○","停","×","－"),"")</f>
        <v>停</v>
      </c>
      <c r="AJ8" s="35" t="str">
        <f aca="false">IFERROR(CHOOSE(MATCH(INDEX(時間ごとの判定!$AT$3:$AT$1850,105),{"利用可","両方停止","運転がそろわない","判定不能"},0),"○","停","×","－"),"")</f>
        <v>○</v>
      </c>
      <c r="AK8" s="35" t="str">
        <f aca="false">IFERROR(CHOOSE(MATCH(INDEX(時間ごとの判定!$AT$3:$AT$1850,106),{"利用可","両方停止","運転がそろわない","判定不能"},0),"○","停","×","－"),"")</f>
        <v>○</v>
      </c>
      <c r="AL8" s="35" t="str">
        <f aca="false">IFERROR(CHOOSE(MATCH(INDEX(時間ごとの判定!$AT$3:$AT$1850,107),{"利用可","両方停止","運転がそろわない","判定不能"},0),"○","停","×","－"),"")</f>
        <v>○</v>
      </c>
      <c r="AM8" s="35" t="str">
        <f aca="false">IFERROR(CHOOSE(MATCH(INDEX(時間ごとの判定!$AT$3:$AT$1850,108),{"利用可","両方停止","運転がそろわない","判定不能"},0),"○","停","×","－"),"")</f>
        <v>○</v>
      </c>
      <c r="AN8" s="35" t="str">
        <f aca="false">IFERROR(CHOOSE(MATCH(INDEX(時間ごとの判定!$AT$3:$AT$1850,109),{"利用可","両方停止","運転がそろわない","判定不能"},0),"○","停","×","－"),"")</f>
        <v>○</v>
      </c>
      <c r="AO8" s="35" t="str">
        <f aca="false">IFERROR(CHOOSE(MATCH(INDEX(時間ごとの判定!$AT$3:$AT$1850,110),{"利用可","両方停止","運転がそろわない","判定不能"},0),"○","停","×","－"),"")</f>
        <v>○</v>
      </c>
      <c r="AP8" s="35" t="str">
        <f aca="false">IFERROR(CHOOSE(MATCH(INDEX(時間ごとの判定!$AT$3:$AT$1850,111),{"利用可","両方停止","運転がそろわない","判定不能"},0),"○","停","×","－"),"")</f>
        <v>○</v>
      </c>
      <c r="AQ8" s="35" t="str">
        <f aca="false">IFERROR(CHOOSE(MATCH(INDEX(時間ごとの判定!$AT$3:$AT$1850,112),{"利用可","両方停止","運転がそろわない","判定不能"},0),"○","停","×","－"),"")</f>
        <v>○</v>
      </c>
      <c r="AR8" s="35" t="str">
        <f aca="false">IFERROR(CHOOSE(MATCH(INDEX(時間ごとの判定!$AT$3:$AT$1850,113),{"利用可","両方停止","運転がそろわない","判定不能"},0),"○","停","×","－"),"")</f>
        <v>○</v>
      </c>
      <c r="AS8" s="35" t="str">
        <f aca="false">IFERROR(CHOOSE(MATCH(INDEX(時間ごとの判定!$AT$3:$AT$1850,114),{"利用可","両方停止","運転がそろわない","判定不能"},0),"○","停","×","－"),"")</f>
        <v>○</v>
      </c>
      <c r="AT8" s="35" t="str">
        <f aca="false">IFERROR(CHOOSE(MATCH(INDEX(時間ごとの判定!$AT$3:$AT$1850,115),{"利用可","両方停止","運転がそろわない","判定不能"},0),"○","停","×","－"),"")</f>
        <v>×</v>
      </c>
      <c r="AU8" s="35" t="str">
        <f aca="false">IFERROR(CHOOSE(MATCH(INDEX(時間ごとの判定!$AT$3:$AT$1850,116),{"利用可","両方停止","運転がそろわない","判定不能"},0),"○","停","×","－"),"")</f>
        <v>×</v>
      </c>
      <c r="AV8" s="35" t="str">
        <f aca="false">IFERROR(CHOOSE(MATCH(INDEX(時間ごとの判定!$AT$3:$AT$1850,117),{"利用可","両方停止","運転がそろわない","判定不能"},0),"○","停","×","－"),"")</f>
        <v>×</v>
      </c>
      <c r="AW8" s="35" t="str">
        <f aca="false">IFERROR(CHOOSE(MATCH(INDEX(時間ごとの判定!$AT$3:$AT$1850,118),{"利用可","両方停止","運転がそろわない","判定不能"},0),"○","停","×","－"),"")</f>
        <v>停</v>
      </c>
      <c r="AX8" s="35" t="str">
        <f aca="false">IFERROR(CHOOSE(MATCH(INDEX(時間ごとの判定!$AT$3:$AT$1850,119),{"利用可","両方停止","運転がそろわない","判定不能"},0),"○","停","×","－"),"")</f>
        <v>停</v>
      </c>
      <c r="AY8" s="35" t="str">
        <f aca="false">IFERROR(CHOOSE(MATCH(INDEX(時間ごとの判定!$AT$3:$AT$1850,120),{"利用可","両方停止","運転がそろわない","判定不能"},0),"○","停","×","－"),"")</f>
        <v>停</v>
      </c>
      <c r="AZ8" s="35"/>
      <c r="BA8" s="35" t="str">
        <f aca="false">IFERROR(CHOOSE(MATCH(INDEX(時間ごとの判定!$AW$3:$AW$1850,97),{"利用可","両方停止","運転がそろわない","判定不能"},0),"○","停","×","－"),"")</f>
        <v>×</v>
      </c>
      <c r="BB8" s="35" t="str">
        <f aca="false">IFERROR(CHOOSE(MATCH(INDEX(時間ごとの判定!$AW$3:$AW$1850,98),{"利用可","両方停止","運転がそろわない","判定不能"},0),"○","停","×","－"),"")</f>
        <v>×</v>
      </c>
      <c r="BC8" s="35" t="str">
        <f aca="false">IFERROR(CHOOSE(MATCH(INDEX(時間ごとの判定!$AW$3:$AW$1850,99),{"利用可","両方停止","運転がそろわない","判定不能"},0),"○","停","×","－"),"")</f>
        <v>×</v>
      </c>
      <c r="BD8" s="35" t="str">
        <f aca="false">IFERROR(CHOOSE(MATCH(INDEX(時間ごとの判定!$AW$3:$AW$1850,100),{"利用可","両方停止","運転がそろわない","判定不能"},0),"○","停","×","－"),"")</f>
        <v>×</v>
      </c>
      <c r="BE8" s="35" t="str">
        <f aca="false">IFERROR(CHOOSE(MATCH(INDEX(時間ごとの判定!$AW$3:$AW$1850,101),{"利用可","両方停止","運転がそろわない","判定不能"},0),"○","停","×","－"),"")</f>
        <v>×</v>
      </c>
      <c r="BF8" s="35" t="str">
        <f aca="false">IFERROR(CHOOSE(MATCH(INDEX(時間ごとの判定!$AW$3:$AW$1850,102),{"利用可","両方停止","運転がそろわない","判定不能"},0),"○","停","×","－"),"")</f>
        <v>×</v>
      </c>
      <c r="BG8" s="35" t="str">
        <f aca="false">IFERROR(CHOOSE(MATCH(INDEX(時間ごとの判定!$AW$3:$AW$1850,103),{"利用可","両方停止","運転がそろわない","判定不能"},0),"○","停","×","－"),"")</f>
        <v>×</v>
      </c>
      <c r="BH8" s="35" t="str">
        <f aca="false">IFERROR(CHOOSE(MATCH(INDEX(時間ごとの判定!$AW$3:$AW$1850,104),{"利用可","両方停止","運転がそろわない","判定不能"},0),"○","停","×","－"),"")</f>
        <v>×</v>
      </c>
      <c r="BI8" s="35" t="str">
        <f aca="false">IFERROR(CHOOSE(MATCH(INDEX(時間ごとの判定!$AW$3:$AW$1850,105),{"利用可","両方停止","運転がそろわない","判定不能"},0),"○","停","×","－"),"")</f>
        <v>○</v>
      </c>
      <c r="BJ8" s="35" t="str">
        <f aca="false">IFERROR(CHOOSE(MATCH(INDEX(時間ごとの判定!$AW$3:$AW$1850,106),{"利用可","両方停止","運転がそろわない","判定不能"},0),"○","停","×","－"),"")</f>
        <v>○</v>
      </c>
      <c r="BK8" s="35" t="str">
        <f aca="false">IFERROR(CHOOSE(MATCH(INDEX(時間ごとの判定!$AW$3:$AW$1850,107),{"利用可","両方停止","運転がそろわない","判定不能"},0),"○","停","×","－"),"")</f>
        <v>○</v>
      </c>
      <c r="BL8" s="35" t="str">
        <f aca="false">IFERROR(CHOOSE(MATCH(INDEX(時間ごとの判定!$AW$3:$AW$1850,108),{"利用可","両方停止","運転がそろわない","判定不能"},0),"○","停","×","－"),"")</f>
        <v>○</v>
      </c>
      <c r="BM8" s="35" t="str">
        <f aca="false">IFERROR(CHOOSE(MATCH(INDEX(時間ごとの判定!$AW$3:$AW$1850,109),{"利用可","両方停止","運転がそろわない","判定不能"},0),"○","停","×","－"),"")</f>
        <v>○</v>
      </c>
      <c r="BN8" s="35" t="str">
        <f aca="false">IFERROR(CHOOSE(MATCH(INDEX(時間ごとの判定!$AW$3:$AW$1850,110),{"利用可","両方停止","運転がそろわない","判定不能"},0),"○","停","×","－"),"")</f>
        <v>○</v>
      </c>
      <c r="BO8" s="35" t="str">
        <f aca="false">IFERROR(CHOOSE(MATCH(INDEX(時間ごとの判定!$AW$3:$AW$1850,111),{"利用可","両方停止","運転がそろわない","判定不能"},0),"○","停","×","－"),"")</f>
        <v>○</v>
      </c>
      <c r="BP8" s="35" t="str">
        <f aca="false">IFERROR(CHOOSE(MATCH(INDEX(時間ごとの判定!$AW$3:$AW$1850,112),{"利用可","両方停止","運転がそろわない","判定不能"},0),"○","停","×","－"),"")</f>
        <v>○</v>
      </c>
      <c r="BQ8" s="35" t="str">
        <f aca="false">IFERROR(CHOOSE(MATCH(INDEX(時間ごとの判定!$AW$3:$AW$1850,113),{"利用可","両方停止","運転がそろわない","判定不能"},0),"○","停","×","－"),"")</f>
        <v>○</v>
      </c>
      <c r="BR8" s="35" t="str">
        <f aca="false">IFERROR(CHOOSE(MATCH(INDEX(時間ごとの判定!$AW$3:$AW$1850,114),{"利用可","両方停止","運転がそろわない","判定不能"},0),"○","停","×","－"),"")</f>
        <v>○</v>
      </c>
      <c r="BS8" s="35" t="str">
        <f aca="false">IFERROR(CHOOSE(MATCH(INDEX(時間ごとの判定!$AW$3:$AW$1850,115),{"利用可","両方停止","運転がそろわない","判定不能"},0),"○","停","×","－"),"")</f>
        <v>×</v>
      </c>
      <c r="BT8" s="35" t="str">
        <f aca="false">IFERROR(CHOOSE(MATCH(INDEX(時間ごとの判定!$AW$3:$AW$1850,116),{"利用可","両方停止","運転がそろわない","判定不能"},0),"○","停","×","－"),"")</f>
        <v>×</v>
      </c>
      <c r="BU8" s="35" t="str">
        <f aca="false">IFERROR(CHOOSE(MATCH(INDEX(時間ごとの判定!$AW$3:$AW$1850,117),{"利用可","両方停止","運転がそろわない","判定不能"},0),"○","停","×","－"),"")</f>
        <v>×</v>
      </c>
      <c r="BV8" s="35" t="str">
        <f aca="false">IFERROR(CHOOSE(MATCH(INDEX(時間ごとの判定!$AW$3:$AW$1850,118),{"利用可","両方停止","運転がそろわない","判定不能"},0),"○","停","×","－"),"")</f>
        <v>×</v>
      </c>
      <c r="BW8" s="35" t="str">
        <f aca="false">IFERROR(CHOOSE(MATCH(INDEX(時間ごとの判定!$AW$3:$AW$1850,119),{"利用可","両方停止","運転がそろわない","判定不能"},0),"○","停","×","－"),"")</f>
        <v>×</v>
      </c>
      <c r="BX8" s="35" t="str">
        <f aca="false">IFERROR(CHOOSE(MATCH(INDEX(時間ごとの判定!$AW$3:$AW$1850,120),{"利用可","両方停止","運転がそろわない","判定不能"},0),"○","停","×","－"),"")</f>
        <v>×</v>
      </c>
    </row>
    <row r="9" customFormat="false" ht="15" hidden="false" customHeight="false" outlineLevel="0" collapsed="false">
      <c r="A9" s="33" t="n">
        <v>46237</v>
      </c>
      <c r="B9" s="34" t="s">
        <v>66</v>
      </c>
      <c r="C9" s="35" t="str">
        <f aca="false">IFERROR(CHOOSE(MATCH(INDEX(時間ごとの判定!$AQ$3:$AQ$1850,121),{"利用可","両方停止","運転がそろわない","判定不能"},0),"○","停","×","－"),"")</f>
        <v>停</v>
      </c>
      <c r="D9" s="35" t="str">
        <f aca="false">IFERROR(CHOOSE(MATCH(INDEX(時間ごとの判定!$AQ$3:$AQ$1850,122),{"利用可","両方停止","運転がそろわない","判定不能"},0),"○","停","×","－"),"")</f>
        <v>停</v>
      </c>
      <c r="E9" s="35" t="str">
        <f aca="false">IFERROR(CHOOSE(MATCH(INDEX(時間ごとの判定!$AQ$3:$AQ$1850,123),{"利用可","両方停止","運転がそろわない","判定不能"},0),"○","停","×","－"),"")</f>
        <v>停</v>
      </c>
      <c r="F9" s="35" t="str">
        <f aca="false">IFERROR(CHOOSE(MATCH(INDEX(時間ごとの判定!$AQ$3:$AQ$1850,124),{"利用可","両方停止","運転がそろわない","判定不能"},0),"○","停","×","－"),"")</f>
        <v>停</v>
      </c>
      <c r="G9" s="35" t="str">
        <f aca="false">IFERROR(CHOOSE(MATCH(INDEX(時間ごとの判定!$AQ$3:$AQ$1850,125),{"利用可","両方停止","運転がそろわない","判定不能"},0),"○","停","×","－"),"")</f>
        <v>停</v>
      </c>
      <c r="H9" s="35" t="str">
        <f aca="false">IFERROR(CHOOSE(MATCH(INDEX(時間ごとの判定!$AQ$3:$AQ$1850,126),{"利用可","両方停止","運転がそろわない","判定不能"},0),"○","停","×","－"),"")</f>
        <v>×</v>
      </c>
      <c r="I9" s="35" t="str">
        <f aca="false">IFERROR(CHOOSE(MATCH(INDEX(時間ごとの判定!$AQ$3:$AQ$1850,127),{"利用可","両方停止","運転がそろわない","判定不能"},0),"○","停","×","－"),"")</f>
        <v>×</v>
      </c>
      <c r="J9" s="35" t="str">
        <f aca="false">IFERROR(CHOOSE(MATCH(INDEX(時間ごとの判定!$AQ$3:$AQ$1850,128),{"利用可","両方停止","運転がそろわない","判定不能"},0),"○","停","×","－"),"")</f>
        <v>×</v>
      </c>
      <c r="K9" s="35" t="str">
        <f aca="false">IFERROR(CHOOSE(MATCH(INDEX(時間ごとの判定!$AQ$3:$AQ$1850,129),{"利用可","両方停止","運転がそろわない","判定不能"},0),"○","停","×","－"),"")</f>
        <v>○</v>
      </c>
      <c r="L9" s="35" t="str">
        <f aca="false">IFERROR(CHOOSE(MATCH(INDEX(時間ごとの判定!$AQ$3:$AQ$1850,130),{"利用可","両方停止","運転がそろわない","判定不能"},0),"○","停","×","－"),"")</f>
        <v>○</v>
      </c>
      <c r="M9" s="35" t="str">
        <f aca="false">IFERROR(CHOOSE(MATCH(INDEX(時間ごとの判定!$AQ$3:$AQ$1850,131),{"利用可","両方停止","運転がそろわない","判定不能"},0),"○","停","×","－"),"")</f>
        <v>○</v>
      </c>
      <c r="N9" s="35" t="str">
        <f aca="false">IFERROR(CHOOSE(MATCH(INDEX(時間ごとの判定!$AQ$3:$AQ$1850,132),{"利用可","両方停止","運転がそろわない","判定不能"},0),"○","停","×","－"),"")</f>
        <v>○</v>
      </c>
      <c r="O9" s="35" t="str">
        <f aca="false">IFERROR(CHOOSE(MATCH(INDEX(時間ごとの判定!$AQ$3:$AQ$1850,133),{"利用可","両方停止","運転がそろわない","判定不能"},0),"○","停","×","－"),"")</f>
        <v>○</v>
      </c>
      <c r="P9" s="35" t="str">
        <f aca="false">IFERROR(CHOOSE(MATCH(INDEX(時間ごとの判定!$AQ$3:$AQ$1850,134),{"利用可","両方停止","運転がそろわない","判定不能"},0),"○","停","×","－"),"")</f>
        <v>○</v>
      </c>
      <c r="Q9" s="35" t="str">
        <f aca="false">IFERROR(CHOOSE(MATCH(INDEX(時間ごとの判定!$AQ$3:$AQ$1850,135),{"利用可","両方停止","運転がそろわない","判定不能"},0),"○","停","×","－"),"")</f>
        <v>○</v>
      </c>
      <c r="R9" s="35" t="str">
        <f aca="false">IFERROR(CHOOSE(MATCH(INDEX(時間ごとの判定!$AQ$3:$AQ$1850,136),{"利用可","両方停止","運転がそろわない","判定不能"},0),"○","停","×","－"),"")</f>
        <v>○</v>
      </c>
      <c r="S9" s="35" t="str">
        <f aca="false">IFERROR(CHOOSE(MATCH(INDEX(時間ごとの判定!$AQ$3:$AQ$1850,137),{"利用可","両方停止","運転がそろわない","判定不能"},0),"○","停","×","－"),"")</f>
        <v>×</v>
      </c>
      <c r="T9" s="35" t="str">
        <f aca="false">IFERROR(CHOOSE(MATCH(INDEX(時間ごとの判定!$AQ$3:$AQ$1850,138),{"利用可","両方停止","運転がそろわない","判定不能"},0),"○","停","×","－"),"")</f>
        <v>○</v>
      </c>
      <c r="U9" s="35" t="str">
        <f aca="false">IFERROR(CHOOSE(MATCH(INDEX(時間ごとの判定!$AQ$3:$AQ$1850,139),{"利用可","両方停止","運転がそろわない","判定不能"},0),"○","停","×","－"),"")</f>
        <v>○</v>
      </c>
      <c r="V9" s="35" t="str">
        <f aca="false">IFERROR(CHOOSE(MATCH(INDEX(時間ごとの判定!$AQ$3:$AQ$1850,140),{"利用可","両方停止","運転がそろわない","判定不能"},0),"○","停","×","－"),"")</f>
        <v>×</v>
      </c>
      <c r="W9" s="35" t="str">
        <f aca="false">IFERROR(CHOOSE(MATCH(INDEX(時間ごとの判定!$AQ$3:$AQ$1850,141),{"利用可","両方停止","運転がそろわない","判定不能"},0),"○","停","×","－"),"")</f>
        <v>×</v>
      </c>
      <c r="X9" s="35" t="str">
        <f aca="false">IFERROR(CHOOSE(MATCH(INDEX(時間ごとの判定!$AQ$3:$AQ$1850,142),{"利用可","両方停止","運転がそろわない","判定不能"},0),"○","停","×","－"),"")</f>
        <v>×</v>
      </c>
      <c r="Y9" s="35" t="str">
        <f aca="false">IFERROR(CHOOSE(MATCH(INDEX(時間ごとの判定!$AQ$3:$AQ$1850,143),{"利用可","両方停止","運転がそろわない","判定不能"},0),"○","停","×","－"),"")</f>
        <v>×</v>
      </c>
      <c r="Z9" s="35" t="str">
        <f aca="false">IFERROR(CHOOSE(MATCH(INDEX(時間ごとの判定!$AQ$3:$AQ$1850,144),{"利用可","両方停止","運転がそろわない","判定不能"},0),"○","停","×","－"),"")</f>
        <v>×</v>
      </c>
      <c r="AA9" s="35"/>
      <c r="AB9" s="35" t="str">
        <f aca="false">IFERROR(CHOOSE(MATCH(INDEX(時間ごとの判定!$AT$3:$AT$1850,121),{"利用可","両方停止","運転がそろわない","判定不能"},0),"○","停","×","－"),"")</f>
        <v>停</v>
      </c>
      <c r="AC9" s="35" t="str">
        <f aca="false">IFERROR(CHOOSE(MATCH(INDEX(時間ごとの判定!$AT$3:$AT$1850,122),{"利用可","両方停止","運転がそろわない","判定不能"},0),"○","停","×","－"),"")</f>
        <v>停</v>
      </c>
      <c r="AD9" s="35" t="str">
        <f aca="false">IFERROR(CHOOSE(MATCH(INDEX(時間ごとの判定!$AT$3:$AT$1850,123),{"利用可","両方停止","運転がそろわない","判定不能"},0),"○","停","×","－"),"")</f>
        <v>停</v>
      </c>
      <c r="AE9" s="35" t="str">
        <f aca="false">IFERROR(CHOOSE(MATCH(INDEX(時間ごとの判定!$AT$3:$AT$1850,124),{"利用可","両方停止","運転がそろわない","判定不能"},0),"○","停","×","－"),"")</f>
        <v>停</v>
      </c>
      <c r="AF9" s="35" t="str">
        <f aca="false">IFERROR(CHOOSE(MATCH(INDEX(時間ごとの判定!$AT$3:$AT$1850,125),{"利用可","両方停止","運転がそろわない","判定不能"},0),"○","停","×","－"),"")</f>
        <v>停</v>
      </c>
      <c r="AG9" s="35" t="str">
        <f aca="false">IFERROR(CHOOSE(MATCH(INDEX(時間ごとの判定!$AT$3:$AT$1850,126),{"利用可","両方停止","運転がそろわない","判定不能"},0),"○","停","×","－"),"")</f>
        <v>停</v>
      </c>
      <c r="AH9" s="35" t="str">
        <f aca="false">IFERROR(CHOOSE(MATCH(INDEX(時間ごとの判定!$AT$3:$AT$1850,127),{"利用可","両方停止","運転がそろわない","判定不能"},0),"○","停","×","－"),"")</f>
        <v>×</v>
      </c>
      <c r="AI9" s="35" t="str">
        <f aca="false">IFERROR(CHOOSE(MATCH(INDEX(時間ごとの判定!$AT$3:$AT$1850,128),{"利用可","両方停止","運転がそろわない","判定不能"},0),"○","停","×","－"),"")</f>
        <v>×</v>
      </c>
      <c r="AJ9" s="35" t="str">
        <f aca="false">IFERROR(CHOOSE(MATCH(INDEX(時間ごとの判定!$AT$3:$AT$1850,129),{"利用可","両方停止","運転がそろわない","判定不能"},0),"○","停","×","－"),"")</f>
        <v>○</v>
      </c>
      <c r="AK9" s="35" t="str">
        <f aca="false">IFERROR(CHOOSE(MATCH(INDEX(時間ごとの判定!$AT$3:$AT$1850,130),{"利用可","両方停止","運転がそろわない","判定不能"},0),"○","停","×","－"),"")</f>
        <v>○</v>
      </c>
      <c r="AL9" s="35" t="str">
        <f aca="false">IFERROR(CHOOSE(MATCH(INDEX(時間ごとの判定!$AT$3:$AT$1850,131),{"利用可","両方停止","運転がそろわない","判定不能"},0),"○","停","×","－"),"")</f>
        <v>○</v>
      </c>
      <c r="AM9" s="35" t="str">
        <f aca="false">IFERROR(CHOOSE(MATCH(INDEX(時間ごとの判定!$AT$3:$AT$1850,132),{"利用可","両方停止","運転がそろわない","判定不能"},0),"○","停","×","－"),"")</f>
        <v>○</v>
      </c>
      <c r="AN9" s="35" t="str">
        <f aca="false">IFERROR(CHOOSE(MATCH(INDEX(時間ごとの判定!$AT$3:$AT$1850,133),{"利用可","両方停止","運転がそろわない","判定不能"},0),"○","停","×","－"),"")</f>
        <v>○</v>
      </c>
      <c r="AO9" s="35" t="str">
        <f aca="false">IFERROR(CHOOSE(MATCH(INDEX(時間ごとの判定!$AT$3:$AT$1850,134),{"利用可","両方停止","運転がそろわない","判定不能"},0),"○","停","×","－"),"")</f>
        <v>○</v>
      </c>
      <c r="AP9" s="35" t="str">
        <f aca="false">IFERROR(CHOOSE(MATCH(INDEX(時間ごとの判定!$AT$3:$AT$1850,135),{"利用可","両方停止","運転がそろわない","判定不能"},0),"○","停","×","－"),"")</f>
        <v>○</v>
      </c>
      <c r="AQ9" s="35" t="str">
        <f aca="false">IFERROR(CHOOSE(MATCH(INDEX(時間ごとの判定!$AT$3:$AT$1850,136),{"利用可","両方停止","運転がそろわない","判定不能"},0),"○","停","×","－"),"")</f>
        <v>○</v>
      </c>
      <c r="AR9" s="35" t="str">
        <f aca="false">IFERROR(CHOOSE(MATCH(INDEX(時間ごとの判定!$AT$3:$AT$1850,137),{"利用可","両方停止","運転がそろわない","判定不能"},0),"○","停","×","－"),"")</f>
        <v>○</v>
      </c>
      <c r="AS9" s="35" t="str">
        <f aca="false">IFERROR(CHOOSE(MATCH(INDEX(時間ごとの判定!$AT$3:$AT$1850,138),{"利用可","両方停止","運転がそろわない","判定不能"},0),"○","停","×","－"),"")</f>
        <v>○</v>
      </c>
      <c r="AT9" s="35" t="str">
        <f aca="false">IFERROR(CHOOSE(MATCH(INDEX(時間ごとの判定!$AT$3:$AT$1850,139),{"利用可","両方停止","運転がそろわない","判定不能"},0),"○","停","×","－"),"")</f>
        <v>×</v>
      </c>
      <c r="AU9" s="35" t="str">
        <f aca="false">IFERROR(CHOOSE(MATCH(INDEX(時間ごとの判定!$AT$3:$AT$1850,140),{"利用可","両方停止","運転がそろわない","判定不能"},0),"○","停","×","－"),"")</f>
        <v>×</v>
      </c>
      <c r="AV9" s="35" t="str">
        <f aca="false">IFERROR(CHOOSE(MATCH(INDEX(時間ごとの判定!$AT$3:$AT$1850,141),{"利用可","両方停止","運転がそろわない","判定不能"},0),"○","停","×","－"),"")</f>
        <v>×</v>
      </c>
      <c r="AW9" s="35" t="str">
        <f aca="false">IFERROR(CHOOSE(MATCH(INDEX(時間ごとの判定!$AT$3:$AT$1850,142),{"利用可","両方停止","運転がそろわない","判定不能"},0),"○","停","×","－"),"")</f>
        <v>停</v>
      </c>
      <c r="AX9" s="35" t="str">
        <f aca="false">IFERROR(CHOOSE(MATCH(INDEX(時間ごとの判定!$AT$3:$AT$1850,143),{"利用可","両方停止","運転がそろわない","判定不能"},0),"○","停","×","－"),"")</f>
        <v>停</v>
      </c>
      <c r="AY9" s="35" t="str">
        <f aca="false">IFERROR(CHOOSE(MATCH(INDEX(時間ごとの判定!$AT$3:$AT$1850,144),{"利用可","両方停止","運転がそろわない","判定不能"},0),"○","停","×","－"),"")</f>
        <v>停</v>
      </c>
      <c r="AZ9" s="35"/>
      <c r="BA9" s="35" t="str">
        <f aca="false">IFERROR(CHOOSE(MATCH(INDEX(時間ごとの判定!$AW$3:$AW$1850,121),{"利用可","両方停止","運転がそろわない","判定不能"},0),"○","停","×","－"),"")</f>
        <v>×</v>
      </c>
      <c r="BB9" s="35" t="str">
        <f aca="false">IFERROR(CHOOSE(MATCH(INDEX(時間ごとの判定!$AW$3:$AW$1850,122),{"利用可","両方停止","運転がそろわない","判定不能"},0),"○","停","×","－"),"")</f>
        <v>×</v>
      </c>
      <c r="BC9" s="35" t="str">
        <f aca="false">IFERROR(CHOOSE(MATCH(INDEX(時間ごとの判定!$AW$3:$AW$1850,123),{"利用可","両方停止","運転がそろわない","判定不能"},0),"○","停","×","－"),"")</f>
        <v>×</v>
      </c>
      <c r="BD9" s="35" t="str">
        <f aca="false">IFERROR(CHOOSE(MATCH(INDEX(時間ごとの判定!$AW$3:$AW$1850,124),{"利用可","両方停止","運転がそろわない","判定不能"},0),"○","停","×","－"),"")</f>
        <v>×</v>
      </c>
      <c r="BE9" s="35" t="str">
        <f aca="false">IFERROR(CHOOSE(MATCH(INDEX(時間ごとの判定!$AW$3:$AW$1850,125),{"利用可","両方停止","運転がそろわない","判定不能"},0),"○","停","×","－"),"")</f>
        <v>×</v>
      </c>
      <c r="BF9" s="35" t="str">
        <f aca="false">IFERROR(CHOOSE(MATCH(INDEX(時間ごとの判定!$AW$3:$AW$1850,126),{"利用可","両方停止","運転がそろわない","判定不能"},0),"○","停","×","－"),"")</f>
        <v>×</v>
      </c>
      <c r="BG9" s="35" t="str">
        <f aca="false">IFERROR(CHOOSE(MATCH(INDEX(時間ごとの判定!$AW$3:$AW$1850,127),{"利用可","両方停止","運転がそろわない","判定不能"},0),"○","停","×","－"),"")</f>
        <v>○</v>
      </c>
      <c r="BH9" s="35" t="str">
        <f aca="false">IFERROR(CHOOSE(MATCH(INDEX(時間ごとの判定!$AW$3:$AW$1850,128),{"利用可","両方停止","運転がそろわない","判定不能"},0),"○","停","×","－"),"")</f>
        <v>○</v>
      </c>
      <c r="BI9" s="35" t="str">
        <f aca="false">IFERROR(CHOOSE(MATCH(INDEX(時間ごとの判定!$AW$3:$AW$1850,129),{"利用可","両方停止","運転がそろわない","判定不能"},0),"○","停","×","－"),"")</f>
        <v>○</v>
      </c>
      <c r="BJ9" s="35" t="str">
        <f aca="false">IFERROR(CHOOSE(MATCH(INDEX(時間ごとの判定!$AW$3:$AW$1850,130),{"利用可","両方停止","運転がそろわない","判定不能"},0),"○","停","×","－"),"")</f>
        <v>○</v>
      </c>
      <c r="BK9" s="35" t="str">
        <f aca="false">IFERROR(CHOOSE(MATCH(INDEX(時間ごとの判定!$AW$3:$AW$1850,131),{"利用可","両方停止","運転がそろわない","判定不能"},0),"○","停","×","－"),"")</f>
        <v>○</v>
      </c>
      <c r="BL9" s="35" t="str">
        <f aca="false">IFERROR(CHOOSE(MATCH(INDEX(時間ごとの判定!$AW$3:$AW$1850,132),{"利用可","両方停止","運転がそろわない","判定不能"},0),"○","停","×","－"),"")</f>
        <v>○</v>
      </c>
      <c r="BM9" s="35" t="str">
        <f aca="false">IFERROR(CHOOSE(MATCH(INDEX(時間ごとの判定!$AW$3:$AW$1850,133),{"利用可","両方停止","運転がそろわない","判定不能"},0),"○","停","×","－"),"")</f>
        <v>○</v>
      </c>
      <c r="BN9" s="35" t="str">
        <f aca="false">IFERROR(CHOOSE(MATCH(INDEX(時間ごとの判定!$AW$3:$AW$1850,134),{"利用可","両方停止","運転がそろわない","判定不能"},0),"○","停","×","－"),"")</f>
        <v>○</v>
      </c>
      <c r="BO9" s="35" t="str">
        <f aca="false">IFERROR(CHOOSE(MATCH(INDEX(時間ごとの判定!$AW$3:$AW$1850,135),{"利用可","両方停止","運転がそろわない","判定不能"},0),"○","停","×","－"),"")</f>
        <v>○</v>
      </c>
      <c r="BP9" s="35" t="str">
        <f aca="false">IFERROR(CHOOSE(MATCH(INDEX(時間ごとの判定!$AW$3:$AW$1850,136),{"利用可","両方停止","運転がそろわない","判定不能"},0),"○","停","×","－"),"")</f>
        <v>○</v>
      </c>
      <c r="BQ9" s="35" t="str">
        <f aca="false">IFERROR(CHOOSE(MATCH(INDEX(時間ごとの判定!$AW$3:$AW$1850,137),{"利用可","両方停止","運転がそろわない","判定不能"},0),"○","停","×","－"),"")</f>
        <v>○</v>
      </c>
      <c r="BR9" s="35" t="str">
        <f aca="false">IFERROR(CHOOSE(MATCH(INDEX(時間ごとの判定!$AW$3:$AW$1850,138),{"利用可","両方停止","運転がそろわない","判定不能"},0),"○","停","×","－"),"")</f>
        <v>○</v>
      </c>
      <c r="BS9" s="35" t="str">
        <f aca="false">IFERROR(CHOOSE(MATCH(INDEX(時間ごとの判定!$AW$3:$AW$1850,139),{"利用可","両方停止","運転がそろわない","判定不能"},0),"○","停","×","－"),"")</f>
        <v>○</v>
      </c>
      <c r="BT9" s="35" t="str">
        <f aca="false">IFERROR(CHOOSE(MATCH(INDEX(時間ごとの判定!$AW$3:$AW$1850,140),{"利用可","両方停止","運転がそろわない","判定不能"},0),"○","停","×","－"),"")</f>
        <v>×</v>
      </c>
      <c r="BU9" s="35" t="str">
        <f aca="false">IFERROR(CHOOSE(MATCH(INDEX(時間ごとの判定!$AW$3:$AW$1850,141),{"利用可","両方停止","運転がそろわない","判定不能"},0),"○","停","×","－"),"")</f>
        <v>×</v>
      </c>
      <c r="BV9" s="35" t="str">
        <f aca="false">IFERROR(CHOOSE(MATCH(INDEX(時間ごとの判定!$AW$3:$AW$1850,142),{"利用可","両方停止","運転がそろわない","判定不能"},0),"○","停","×","－"),"")</f>
        <v>×</v>
      </c>
      <c r="BW9" s="35" t="str">
        <f aca="false">IFERROR(CHOOSE(MATCH(INDEX(時間ごとの判定!$AW$3:$AW$1850,143),{"利用可","両方停止","運転がそろわない","判定不能"},0),"○","停","×","－"),"")</f>
        <v>×</v>
      </c>
      <c r="BX9" s="35" t="str">
        <f aca="false">IFERROR(CHOOSE(MATCH(INDEX(時間ごとの判定!$AW$3:$AW$1850,144),{"利用可","両方停止","運転がそろわない","判定不能"},0),"○","停","×","－"),"")</f>
        <v>×</v>
      </c>
    </row>
    <row r="10" customFormat="false" ht="15" hidden="false" customHeight="false" outlineLevel="0" collapsed="false">
      <c r="A10" s="33" t="n">
        <v>46238</v>
      </c>
      <c r="B10" s="34" t="s">
        <v>67</v>
      </c>
      <c r="C10" s="35" t="str">
        <f aca="false">IFERROR(CHOOSE(MATCH(INDEX(時間ごとの判定!$AQ$3:$AQ$1850,145),{"利用可","両方停止","運転がそろわない","判定不能"},0),"○","停","×","－"),"")</f>
        <v>停</v>
      </c>
      <c r="D10" s="35" t="str">
        <f aca="false">IFERROR(CHOOSE(MATCH(INDEX(時間ごとの判定!$AQ$3:$AQ$1850,146),{"利用可","両方停止","運転がそろわない","判定不能"},0),"○","停","×","－"),"")</f>
        <v>停</v>
      </c>
      <c r="E10" s="35" t="str">
        <f aca="false">IFERROR(CHOOSE(MATCH(INDEX(時間ごとの判定!$AQ$3:$AQ$1850,147),{"利用可","両方停止","運転がそろわない","判定不能"},0),"○","停","×","－"),"")</f>
        <v>停</v>
      </c>
      <c r="F10" s="35" t="str">
        <f aca="false">IFERROR(CHOOSE(MATCH(INDEX(時間ごとの判定!$AQ$3:$AQ$1850,148),{"利用可","両方停止","運転がそろわない","判定不能"},0),"○","停","×","－"),"")</f>
        <v>停</v>
      </c>
      <c r="G10" s="35" t="str">
        <f aca="false">IFERROR(CHOOSE(MATCH(INDEX(時間ごとの判定!$AQ$3:$AQ$1850,149),{"利用可","両方停止","運転がそろわない","判定不能"},0),"○","停","×","－"),"")</f>
        <v>停</v>
      </c>
      <c r="H10" s="35" t="str">
        <f aca="false">IFERROR(CHOOSE(MATCH(INDEX(時間ごとの判定!$AQ$3:$AQ$1850,150),{"利用可","両方停止","運転がそろわない","判定不能"},0),"○","停","×","－"),"")</f>
        <v>×</v>
      </c>
      <c r="I10" s="35" t="str">
        <f aca="false">IFERROR(CHOOSE(MATCH(INDEX(時間ごとの判定!$AQ$3:$AQ$1850,151),{"利用可","両方停止","運転がそろわない","判定不能"},0),"○","停","×","－"),"")</f>
        <v>×</v>
      </c>
      <c r="J10" s="35" t="str">
        <f aca="false">IFERROR(CHOOSE(MATCH(INDEX(時間ごとの判定!$AQ$3:$AQ$1850,152),{"利用可","両方停止","運転がそろわない","判定不能"},0),"○","停","×","－"),"")</f>
        <v>×</v>
      </c>
      <c r="K10" s="35" t="str">
        <f aca="false">IFERROR(CHOOSE(MATCH(INDEX(時間ごとの判定!$AQ$3:$AQ$1850,153),{"利用可","両方停止","運転がそろわない","判定不能"},0),"○","停","×","－"),"")</f>
        <v>×</v>
      </c>
      <c r="L10" s="35" t="str">
        <f aca="false">IFERROR(CHOOSE(MATCH(INDEX(時間ごとの判定!$AQ$3:$AQ$1850,154),{"利用可","両方停止","運転がそろわない","判定不能"},0),"○","停","×","－"),"")</f>
        <v>○</v>
      </c>
      <c r="M10" s="35" t="str">
        <f aca="false">IFERROR(CHOOSE(MATCH(INDEX(時間ごとの判定!$AQ$3:$AQ$1850,155),{"利用可","両方停止","運転がそろわない","判定不能"},0),"○","停","×","－"),"")</f>
        <v>○</v>
      </c>
      <c r="N10" s="35" t="str">
        <f aca="false">IFERROR(CHOOSE(MATCH(INDEX(時間ごとの判定!$AQ$3:$AQ$1850,156),{"利用可","両方停止","運転がそろわない","判定不能"},0),"○","停","×","－"),"")</f>
        <v>○</v>
      </c>
      <c r="O10" s="35" t="str">
        <f aca="false">IFERROR(CHOOSE(MATCH(INDEX(時間ごとの判定!$AQ$3:$AQ$1850,157),{"利用可","両方停止","運転がそろわない","判定不能"},0),"○","停","×","－"),"")</f>
        <v>○</v>
      </c>
      <c r="P10" s="35" t="str">
        <f aca="false">IFERROR(CHOOSE(MATCH(INDEX(時間ごとの判定!$AQ$3:$AQ$1850,158),{"利用可","両方停止","運転がそろわない","判定不能"},0),"○","停","×","－"),"")</f>
        <v>○</v>
      </c>
      <c r="Q10" s="35" t="str">
        <f aca="false">IFERROR(CHOOSE(MATCH(INDEX(時間ごとの判定!$AQ$3:$AQ$1850,159),{"利用可","両方停止","運転がそろわない","判定不能"},0),"○","停","×","－"),"")</f>
        <v>○</v>
      </c>
      <c r="R10" s="35" t="str">
        <f aca="false">IFERROR(CHOOSE(MATCH(INDEX(時間ごとの判定!$AQ$3:$AQ$1850,160),{"利用可","両方停止","運転がそろわない","判定不能"},0),"○","停","×","－"),"")</f>
        <v>○</v>
      </c>
      <c r="S10" s="35" t="str">
        <f aca="false">IFERROR(CHOOSE(MATCH(INDEX(時間ごとの判定!$AQ$3:$AQ$1850,161),{"利用可","両方停止","運転がそろわない","判定不能"},0),"○","停","×","－"),"")</f>
        <v>○</v>
      </c>
      <c r="T10" s="35" t="str">
        <f aca="false">IFERROR(CHOOSE(MATCH(INDEX(時間ごとの判定!$AQ$3:$AQ$1850,162),{"利用可","両方停止","運転がそろわない","判定不能"},0),"○","停","×","－"),"")</f>
        <v>○</v>
      </c>
      <c r="U10" s="35" t="str">
        <f aca="false">IFERROR(CHOOSE(MATCH(INDEX(時間ごとの判定!$AQ$3:$AQ$1850,163),{"利用可","両方停止","運転がそろわない","判定不能"},0),"○","停","×","－"),"")</f>
        <v>○</v>
      </c>
      <c r="V10" s="35" t="str">
        <f aca="false">IFERROR(CHOOSE(MATCH(INDEX(時間ごとの判定!$AQ$3:$AQ$1850,164),{"利用可","両方停止","運転がそろわない","判定不能"},0),"○","停","×","－"),"")</f>
        <v>×</v>
      </c>
      <c r="W10" s="35" t="str">
        <f aca="false">IFERROR(CHOOSE(MATCH(INDEX(時間ごとの判定!$AQ$3:$AQ$1850,165),{"利用可","両方停止","運転がそろわない","判定不能"},0),"○","停","×","－"),"")</f>
        <v>×</v>
      </c>
      <c r="X10" s="35" t="str">
        <f aca="false">IFERROR(CHOOSE(MATCH(INDEX(時間ごとの判定!$AQ$3:$AQ$1850,166),{"利用可","両方停止","運転がそろわない","判定不能"},0),"○","停","×","－"),"")</f>
        <v>停</v>
      </c>
      <c r="Y10" s="35" t="str">
        <f aca="false">IFERROR(CHOOSE(MATCH(INDEX(時間ごとの判定!$AQ$3:$AQ$1850,167),{"利用可","両方停止","運転がそろわない","判定不能"},0),"○","停","×","－"),"")</f>
        <v>停</v>
      </c>
      <c r="Z10" s="35" t="str">
        <f aca="false">IFERROR(CHOOSE(MATCH(INDEX(時間ごとの判定!$AQ$3:$AQ$1850,168),{"利用可","両方停止","運転がそろわない","判定不能"},0),"○","停","×","－"),"")</f>
        <v>停</v>
      </c>
      <c r="AA10" s="35"/>
      <c r="AB10" s="35" t="str">
        <f aca="false">IFERROR(CHOOSE(MATCH(INDEX(時間ごとの判定!$AT$3:$AT$1850,145),{"利用可","両方停止","運転がそろわない","判定不能"},0),"○","停","×","－"),"")</f>
        <v>停</v>
      </c>
      <c r="AC10" s="35" t="str">
        <f aca="false">IFERROR(CHOOSE(MATCH(INDEX(時間ごとの判定!$AT$3:$AT$1850,146),{"利用可","両方停止","運転がそろわない","判定不能"},0),"○","停","×","－"),"")</f>
        <v>停</v>
      </c>
      <c r="AD10" s="35" t="str">
        <f aca="false">IFERROR(CHOOSE(MATCH(INDEX(時間ごとの判定!$AT$3:$AT$1850,147),{"利用可","両方停止","運転がそろわない","判定不能"},0),"○","停","×","－"),"")</f>
        <v>停</v>
      </c>
      <c r="AE10" s="35" t="str">
        <f aca="false">IFERROR(CHOOSE(MATCH(INDEX(時間ごとの判定!$AT$3:$AT$1850,148),{"利用可","両方停止","運転がそろわない","判定不能"},0),"○","停","×","－"),"")</f>
        <v>停</v>
      </c>
      <c r="AF10" s="35" t="str">
        <f aca="false">IFERROR(CHOOSE(MATCH(INDEX(時間ごとの判定!$AT$3:$AT$1850,149),{"利用可","両方停止","運転がそろわない","判定不能"},0),"○","停","×","－"),"")</f>
        <v>停</v>
      </c>
      <c r="AG10" s="35" t="str">
        <f aca="false">IFERROR(CHOOSE(MATCH(INDEX(時間ごとの判定!$AT$3:$AT$1850,150),{"利用可","両方停止","運転がそろわない","判定不能"},0),"○","停","×","－"),"")</f>
        <v>×</v>
      </c>
      <c r="AH10" s="35" t="str">
        <f aca="false">IFERROR(CHOOSE(MATCH(INDEX(時間ごとの判定!$AT$3:$AT$1850,151),{"利用可","両方停止","運転がそろわない","判定不能"},0),"○","停","×","－"),"")</f>
        <v>×</v>
      </c>
      <c r="AI10" s="35" t="str">
        <f aca="false">IFERROR(CHOOSE(MATCH(INDEX(時間ごとの判定!$AT$3:$AT$1850,152),{"利用可","両方停止","運転がそろわない","判定不能"},0),"○","停","×","－"),"")</f>
        <v>×</v>
      </c>
      <c r="AJ10" s="35" t="str">
        <f aca="false">IFERROR(CHOOSE(MATCH(INDEX(時間ごとの判定!$AT$3:$AT$1850,153),{"利用可","両方停止","運転がそろわない","判定不能"},0),"○","停","×","－"),"")</f>
        <v>×</v>
      </c>
      <c r="AK10" s="35" t="str">
        <f aca="false">IFERROR(CHOOSE(MATCH(INDEX(時間ごとの判定!$AT$3:$AT$1850,154),{"利用可","両方停止","運転がそろわない","判定不能"},0),"○","停","×","－"),"")</f>
        <v>○</v>
      </c>
      <c r="AL10" s="35" t="str">
        <f aca="false">IFERROR(CHOOSE(MATCH(INDEX(時間ごとの判定!$AT$3:$AT$1850,155),{"利用可","両方停止","運転がそろわない","判定不能"},0),"○","停","×","－"),"")</f>
        <v>○</v>
      </c>
      <c r="AM10" s="35" t="str">
        <f aca="false">IFERROR(CHOOSE(MATCH(INDEX(時間ごとの判定!$AT$3:$AT$1850,156),{"利用可","両方停止","運転がそろわない","判定不能"},0),"○","停","×","－"),"")</f>
        <v>○</v>
      </c>
      <c r="AN10" s="35" t="str">
        <f aca="false">IFERROR(CHOOSE(MATCH(INDEX(時間ごとの判定!$AT$3:$AT$1850,157),{"利用可","両方停止","運転がそろわない","判定不能"},0),"○","停","×","－"),"")</f>
        <v>○</v>
      </c>
      <c r="AO10" s="35" t="str">
        <f aca="false">IFERROR(CHOOSE(MATCH(INDEX(時間ごとの判定!$AT$3:$AT$1850,158),{"利用可","両方停止","運転がそろわない","判定不能"},0),"○","停","×","－"),"")</f>
        <v>○</v>
      </c>
      <c r="AP10" s="35" t="str">
        <f aca="false">IFERROR(CHOOSE(MATCH(INDEX(時間ごとの判定!$AT$3:$AT$1850,159),{"利用可","両方停止","運転がそろわない","判定不能"},0),"○","停","×","－"),"")</f>
        <v>○</v>
      </c>
      <c r="AQ10" s="35" t="str">
        <f aca="false">IFERROR(CHOOSE(MATCH(INDEX(時間ごとの判定!$AT$3:$AT$1850,160),{"利用可","両方停止","運転がそろわない","判定不能"},0),"○","停","×","－"),"")</f>
        <v>×</v>
      </c>
      <c r="AR10" s="35" t="str">
        <f aca="false">IFERROR(CHOOSE(MATCH(INDEX(時間ごとの判定!$AT$3:$AT$1850,161),{"利用可","両方停止","運転がそろわない","判定不能"},0),"○","停","×","－"),"")</f>
        <v>○</v>
      </c>
      <c r="AS10" s="35" t="str">
        <f aca="false">IFERROR(CHOOSE(MATCH(INDEX(時間ごとの判定!$AT$3:$AT$1850,162),{"利用可","両方停止","運転がそろわない","判定不能"},0),"○","停","×","－"),"")</f>
        <v>○</v>
      </c>
      <c r="AT10" s="35" t="str">
        <f aca="false">IFERROR(CHOOSE(MATCH(INDEX(時間ごとの判定!$AT$3:$AT$1850,163),{"利用可","両方停止","運転がそろわない","判定不能"},0),"○","停","×","－"),"")</f>
        <v>○</v>
      </c>
      <c r="AU10" s="35" t="str">
        <f aca="false">IFERROR(CHOOSE(MATCH(INDEX(時間ごとの判定!$AT$3:$AT$1850,164),{"利用可","両方停止","運転がそろわない","判定不能"},0),"○","停","×","－"),"")</f>
        <v>×</v>
      </c>
      <c r="AV10" s="35" t="str">
        <f aca="false">IFERROR(CHOOSE(MATCH(INDEX(時間ごとの判定!$AT$3:$AT$1850,165),{"利用可","両方停止","運転がそろわない","判定不能"},0),"○","停","×","－"),"")</f>
        <v>×</v>
      </c>
      <c r="AW10" s="35" t="str">
        <f aca="false">IFERROR(CHOOSE(MATCH(INDEX(時間ごとの判定!$AT$3:$AT$1850,166),{"利用可","両方停止","運転がそろわない","判定不能"},0),"○","停","×","－"),"")</f>
        <v>停</v>
      </c>
      <c r="AX10" s="35" t="str">
        <f aca="false">IFERROR(CHOOSE(MATCH(INDEX(時間ごとの判定!$AT$3:$AT$1850,167),{"利用可","両方停止","運転がそろわない","判定不能"},0),"○","停","×","－"),"")</f>
        <v>停</v>
      </c>
      <c r="AY10" s="35" t="str">
        <f aca="false">IFERROR(CHOOSE(MATCH(INDEX(時間ごとの判定!$AT$3:$AT$1850,168),{"利用可","両方停止","運転がそろわない","判定不能"},0),"○","停","×","－"),"")</f>
        <v>停</v>
      </c>
      <c r="AZ10" s="35"/>
      <c r="BA10" s="35" t="str">
        <f aca="false">IFERROR(CHOOSE(MATCH(INDEX(時間ごとの判定!$AW$3:$AW$1850,145),{"利用可","両方停止","運転がそろわない","判定不能"},0),"○","停","×","－"),"")</f>
        <v>×</v>
      </c>
      <c r="BB10" s="35" t="str">
        <f aca="false">IFERROR(CHOOSE(MATCH(INDEX(時間ごとの判定!$AW$3:$AW$1850,146),{"利用可","両方停止","運転がそろわない","判定不能"},0),"○","停","×","－"),"")</f>
        <v>×</v>
      </c>
      <c r="BC10" s="35" t="str">
        <f aca="false">IFERROR(CHOOSE(MATCH(INDEX(時間ごとの判定!$AW$3:$AW$1850,147),{"利用可","両方停止","運転がそろわない","判定不能"},0),"○","停","×","－"),"")</f>
        <v>×</v>
      </c>
      <c r="BD10" s="35" t="str">
        <f aca="false">IFERROR(CHOOSE(MATCH(INDEX(時間ごとの判定!$AW$3:$AW$1850,148),{"利用可","両方停止","運転がそろわない","判定不能"},0),"○","停","×","－"),"")</f>
        <v>×</v>
      </c>
      <c r="BE10" s="35" t="str">
        <f aca="false">IFERROR(CHOOSE(MATCH(INDEX(時間ごとの判定!$AW$3:$AW$1850,149),{"利用可","両方停止","運転がそろわない","判定不能"},0),"○","停","×","－"),"")</f>
        <v>×</v>
      </c>
      <c r="BF10" s="35" t="str">
        <f aca="false">IFERROR(CHOOSE(MATCH(INDEX(時間ごとの判定!$AW$3:$AW$1850,150),{"利用可","両方停止","運転がそろわない","判定不能"},0),"○","停","×","－"),"")</f>
        <v>○</v>
      </c>
      <c r="BG10" s="35" t="str">
        <f aca="false">IFERROR(CHOOSE(MATCH(INDEX(時間ごとの判定!$AW$3:$AW$1850,151),{"利用可","両方停止","運転がそろわない","判定不能"},0),"○","停","×","－"),"")</f>
        <v>○</v>
      </c>
      <c r="BH10" s="35" t="str">
        <f aca="false">IFERROR(CHOOSE(MATCH(INDEX(時間ごとの判定!$AW$3:$AW$1850,152),{"利用可","両方停止","運転がそろわない","判定不能"},0),"○","停","×","－"),"")</f>
        <v>○</v>
      </c>
      <c r="BI10" s="35" t="str">
        <f aca="false">IFERROR(CHOOSE(MATCH(INDEX(時間ごとの判定!$AW$3:$AW$1850,153),{"利用可","両方停止","運転がそろわない","判定不能"},0),"○","停","×","－"),"")</f>
        <v>○</v>
      </c>
      <c r="BJ10" s="35" t="str">
        <f aca="false">IFERROR(CHOOSE(MATCH(INDEX(時間ごとの判定!$AW$3:$AW$1850,154),{"利用可","両方停止","運転がそろわない","判定不能"},0),"○","停","×","－"),"")</f>
        <v>○</v>
      </c>
      <c r="BK10" s="35" t="str">
        <f aca="false">IFERROR(CHOOSE(MATCH(INDEX(時間ごとの判定!$AW$3:$AW$1850,155),{"利用可","両方停止","運転がそろわない","判定不能"},0),"○","停","×","－"),"")</f>
        <v>○</v>
      </c>
      <c r="BL10" s="35" t="str">
        <f aca="false">IFERROR(CHOOSE(MATCH(INDEX(時間ごとの判定!$AW$3:$AW$1850,156),{"利用可","両方停止","運転がそろわない","判定不能"},0),"○","停","×","－"),"")</f>
        <v>○</v>
      </c>
      <c r="BM10" s="35" t="str">
        <f aca="false">IFERROR(CHOOSE(MATCH(INDEX(時間ごとの判定!$AW$3:$AW$1850,157),{"利用可","両方停止","運転がそろわない","判定不能"},0),"○","停","×","－"),"")</f>
        <v>○</v>
      </c>
      <c r="BN10" s="35" t="str">
        <f aca="false">IFERROR(CHOOSE(MATCH(INDEX(時間ごとの判定!$AW$3:$AW$1850,158),{"利用可","両方停止","運転がそろわない","判定不能"},0),"○","停","×","－"),"")</f>
        <v>○</v>
      </c>
      <c r="BO10" s="35" t="str">
        <f aca="false">IFERROR(CHOOSE(MATCH(INDEX(時間ごとの判定!$AW$3:$AW$1850,159),{"利用可","両方停止","運転がそろわない","判定不能"},0),"○","停","×","－"),"")</f>
        <v>○</v>
      </c>
      <c r="BP10" s="35" t="str">
        <f aca="false">IFERROR(CHOOSE(MATCH(INDEX(時間ごとの判定!$AW$3:$AW$1850,160),{"利用可","両方停止","運転がそろわない","判定不能"},0),"○","停","×","－"),"")</f>
        <v>○</v>
      </c>
      <c r="BQ10" s="35" t="str">
        <f aca="false">IFERROR(CHOOSE(MATCH(INDEX(時間ごとの判定!$AW$3:$AW$1850,161),{"利用可","両方停止","運転がそろわない","判定不能"},0),"○","停","×","－"),"")</f>
        <v>○</v>
      </c>
      <c r="BR10" s="35" t="str">
        <f aca="false">IFERROR(CHOOSE(MATCH(INDEX(時間ごとの判定!$AW$3:$AW$1850,162),{"利用可","両方停止","運転がそろわない","判定不能"},0),"○","停","×","－"),"")</f>
        <v>○</v>
      </c>
      <c r="BS10" s="35" t="str">
        <f aca="false">IFERROR(CHOOSE(MATCH(INDEX(時間ごとの判定!$AW$3:$AW$1850,163),{"利用可","両方停止","運転がそろわない","判定不能"},0),"○","停","×","－"),"")</f>
        <v>○</v>
      </c>
      <c r="BT10" s="35" t="str">
        <f aca="false">IFERROR(CHOOSE(MATCH(INDEX(時間ごとの判定!$AW$3:$AW$1850,164),{"利用可","両方停止","運転がそろわない","判定不能"},0),"○","停","×","－"),"")</f>
        <v>×</v>
      </c>
      <c r="BU10" s="35" t="str">
        <f aca="false">IFERROR(CHOOSE(MATCH(INDEX(時間ごとの判定!$AW$3:$AW$1850,165),{"利用可","両方停止","運転がそろわない","判定不能"},0),"○","停","×","－"),"")</f>
        <v>×</v>
      </c>
      <c r="BV10" s="35" t="str">
        <f aca="false">IFERROR(CHOOSE(MATCH(INDEX(時間ごとの判定!$AW$3:$AW$1850,166),{"利用可","両方停止","運転がそろわない","判定不能"},0),"○","停","×","－"),"")</f>
        <v>×</v>
      </c>
      <c r="BW10" s="35" t="str">
        <f aca="false">IFERROR(CHOOSE(MATCH(INDEX(時間ごとの判定!$AW$3:$AW$1850,167),{"利用可","両方停止","運転がそろわない","判定不能"},0),"○","停","×","－"),"")</f>
        <v>×</v>
      </c>
      <c r="BX10" s="35" t="str">
        <f aca="false">IFERROR(CHOOSE(MATCH(INDEX(時間ごとの判定!$AW$3:$AW$1850,168),{"利用可","両方停止","運転がそろわない","判定不能"},0),"○","停","×","－"),"")</f>
        <v>×</v>
      </c>
    </row>
    <row r="11" customFormat="false" ht="15" hidden="false" customHeight="false" outlineLevel="0" collapsed="false">
      <c r="A11" s="33" t="n">
        <v>46239</v>
      </c>
      <c r="B11" s="34" t="s">
        <v>58</v>
      </c>
      <c r="C11" s="35" t="str">
        <f aca="false">IFERROR(CHOOSE(MATCH(INDEX(時間ごとの判定!$AQ$3:$AQ$1850,169),{"利用可","両方停止","運転がそろわない","判定不能"},0),"○","停","×","－"),"")</f>
        <v>停</v>
      </c>
      <c r="D11" s="35" t="str">
        <f aca="false">IFERROR(CHOOSE(MATCH(INDEX(時間ごとの判定!$AQ$3:$AQ$1850,170),{"利用可","両方停止","運転がそろわない","判定不能"},0),"○","停","×","－"),"")</f>
        <v>停</v>
      </c>
      <c r="E11" s="35" t="str">
        <f aca="false">IFERROR(CHOOSE(MATCH(INDEX(時間ごとの判定!$AQ$3:$AQ$1850,171),{"利用可","両方停止","運転がそろわない","判定不能"},0),"○","停","×","－"),"")</f>
        <v>停</v>
      </c>
      <c r="F11" s="35" t="str">
        <f aca="false">IFERROR(CHOOSE(MATCH(INDEX(時間ごとの判定!$AQ$3:$AQ$1850,172),{"利用可","両方停止","運転がそろわない","判定不能"},0),"○","停","×","－"),"")</f>
        <v>停</v>
      </c>
      <c r="G11" s="35" t="str">
        <f aca="false">IFERROR(CHOOSE(MATCH(INDEX(時間ごとの判定!$AQ$3:$AQ$1850,173),{"利用可","両方停止","運転がそろわない","判定不能"},0),"○","停","×","－"),"")</f>
        <v>停</v>
      </c>
      <c r="H11" s="35" t="str">
        <f aca="false">IFERROR(CHOOSE(MATCH(INDEX(時間ごとの判定!$AQ$3:$AQ$1850,174),{"利用可","両方停止","運転がそろわない","判定不能"},0),"○","停","×","－"),"")</f>
        <v>停</v>
      </c>
      <c r="I11" s="35" t="str">
        <f aca="false">IFERROR(CHOOSE(MATCH(INDEX(時間ごとの判定!$AQ$3:$AQ$1850,175),{"利用可","両方停止","運転がそろわない","判定不能"},0),"○","停","×","－"),"")</f>
        <v>×</v>
      </c>
      <c r="J11" s="35" t="str">
        <f aca="false">IFERROR(CHOOSE(MATCH(INDEX(時間ごとの判定!$AQ$3:$AQ$1850,176),{"利用可","両方停止","運転がそろわない","判定不能"},0),"○","停","×","－"),"")</f>
        <v>×</v>
      </c>
      <c r="K11" s="35" t="str">
        <f aca="false">IFERROR(CHOOSE(MATCH(INDEX(時間ごとの判定!$AQ$3:$AQ$1850,177),{"利用可","両方停止","運転がそろわない","判定不能"},0),"○","停","×","－"),"")</f>
        <v>×</v>
      </c>
      <c r="L11" s="35" t="str">
        <f aca="false">IFERROR(CHOOSE(MATCH(INDEX(時間ごとの判定!$AQ$3:$AQ$1850,178),{"利用可","両方停止","運転がそろわない","判定不能"},0),"○","停","×","－"),"")</f>
        <v>○</v>
      </c>
      <c r="M11" s="35" t="str">
        <f aca="false">IFERROR(CHOOSE(MATCH(INDEX(時間ごとの判定!$AQ$3:$AQ$1850,179),{"利用可","両方停止","運転がそろわない","判定不能"},0),"○","停","×","－"),"")</f>
        <v>○</v>
      </c>
      <c r="N11" s="35" t="str">
        <f aca="false">IFERROR(CHOOSE(MATCH(INDEX(時間ごとの判定!$AQ$3:$AQ$1850,180),{"利用可","両方停止","運転がそろわない","判定不能"},0),"○","停","×","－"),"")</f>
        <v>○</v>
      </c>
      <c r="O11" s="35" t="str">
        <f aca="false">IFERROR(CHOOSE(MATCH(INDEX(時間ごとの判定!$AQ$3:$AQ$1850,181),{"利用可","両方停止","運転がそろわない","判定不能"},0),"○","停","×","－"),"")</f>
        <v>○</v>
      </c>
      <c r="P11" s="35" t="str">
        <f aca="false">IFERROR(CHOOSE(MATCH(INDEX(時間ごとの判定!$AQ$3:$AQ$1850,182),{"利用可","両方停止","運転がそろわない","判定不能"},0),"○","停","×","－"),"")</f>
        <v>○</v>
      </c>
      <c r="Q11" s="35" t="str">
        <f aca="false">IFERROR(CHOOSE(MATCH(INDEX(時間ごとの判定!$AQ$3:$AQ$1850,183),{"利用可","両方停止","運転がそろわない","判定不能"},0),"○","停","×","－"),"")</f>
        <v>○</v>
      </c>
      <c r="R11" s="35" t="str">
        <f aca="false">IFERROR(CHOOSE(MATCH(INDEX(時間ごとの判定!$AQ$3:$AQ$1850,184),{"利用可","両方停止","運転がそろわない","判定不能"},0),"○","停","×","－"),"")</f>
        <v>○</v>
      </c>
      <c r="S11" s="35" t="str">
        <f aca="false">IFERROR(CHOOSE(MATCH(INDEX(時間ごとの判定!$AQ$3:$AQ$1850,185),{"利用可","両方停止","運転がそろわない","判定不能"},0),"○","停","×","－"),"")</f>
        <v>○</v>
      </c>
      <c r="T11" s="35" t="str">
        <f aca="false">IFERROR(CHOOSE(MATCH(INDEX(時間ごとの判定!$AQ$3:$AQ$1850,186),{"利用可","両方停止","運転がそろわない","判定不能"},0),"○","停","×","－"),"")</f>
        <v>○</v>
      </c>
      <c r="U11" s="35" t="str">
        <f aca="false">IFERROR(CHOOSE(MATCH(INDEX(時間ごとの判定!$AQ$3:$AQ$1850,187),{"利用可","両方停止","運転がそろわない","判定不能"},0),"○","停","×","－"),"")</f>
        <v>○</v>
      </c>
      <c r="V11" s="35" t="str">
        <f aca="false">IFERROR(CHOOSE(MATCH(INDEX(時間ごとの判定!$AQ$3:$AQ$1850,188),{"利用可","両方停止","運転がそろわない","判定不能"},0),"○","停","×","－"),"")</f>
        <v>×</v>
      </c>
      <c r="W11" s="35" t="str">
        <f aca="false">IFERROR(CHOOSE(MATCH(INDEX(時間ごとの判定!$AQ$3:$AQ$1850,189),{"利用可","両方停止","運転がそろわない","判定不能"},0),"○","停","×","－"),"")</f>
        <v>×</v>
      </c>
      <c r="X11" s="35" t="str">
        <f aca="false">IFERROR(CHOOSE(MATCH(INDEX(時間ごとの判定!$AQ$3:$AQ$1850,190),{"利用可","両方停止","運転がそろわない","判定不能"},0),"○","停","×","－"),"")</f>
        <v>停</v>
      </c>
      <c r="Y11" s="35" t="str">
        <f aca="false">IFERROR(CHOOSE(MATCH(INDEX(時間ごとの判定!$AQ$3:$AQ$1850,191),{"利用可","両方停止","運転がそろわない","判定不能"},0),"○","停","×","－"),"")</f>
        <v>停</v>
      </c>
      <c r="Z11" s="35" t="str">
        <f aca="false">IFERROR(CHOOSE(MATCH(INDEX(時間ごとの判定!$AQ$3:$AQ$1850,192),{"利用可","両方停止","運転がそろわない","判定不能"},0),"○","停","×","－"),"")</f>
        <v>停</v>
      </c>
      <c r="AA11" s="35"/>
      <c r="AB11" s="35" t="str">
        <f aca="false">IFERROR(CHOOSE(MATCH(INDEX(時間ごとの判定!$AT$3:$AT$1850,169),{"利用可","両方停止","運転がそろわない","判定不能"},0),"○","停","×","－"),"")</f>
        <v>停</v>
      </c>
      <c r="AC11" s="35" t="str">
        <f aca="false">IFERROR(CHOOSE(MATCH(INDEX(時間ごとの判定!$AT$3:$AT$1850,170),{"利用可","両方停止","運転がそろわない","判定不能"},0),"○","停","×","－"),"")</f>
        <v>停</v>
      </c>
      <c r="AD11" s="35" t="str">
        <f aca="false">IFERROR(CHOOSE(MATCH(INDEX(時間ごとの判定!$AT$3:$AT$1850,171),{"利用可","両方停止","運転がそろわない","判定不能"},0),"○","停","×","－"),"")</f>
        <v>停</v>
      </c>
      <c r="AE11" s="35" t="str">
        <f aca="false">IFERROR(CHOOSE(MATCH(INDEX(時間ごとの判定!$AT$3:$AT$1850,172),{"利用可","両方停止","運転がそろわない","判定不能"},0),"○","停","×","－"),"")</f>
        <v>停</v>
      </c>
      <c r="AF11" s="35" t="str">
        <f aca="false">IFERROR(CHOOSE(MATCH(INDEX(時間ごとの判定!$AT$3:$AT$1850,173),{"利用可","両方停止","運転がそろわない","判定不能"},0),"○","停","×","－"),"")</f>
        <v>停</v>
      </c>
      <c r="AG11" s="35" t="str">
        <f aca="false">IFERROR(CHOOSE(MATCH(INDEX(時間ごとの判定!$AT$3:$AT$1850,174),{"利用可","両方停止","運転がそろわない","判定不能"},0),"○","停","×","－"),"")</f>
        <v>停</v>
      </c>
      <c r="AH11" s="35" t="str">
        <f aca="false">IFERROR(CHOOSE(MATCH(INDEX(時間ごとの判定!$AT$3:$AT$1850,175),{"利用可","両方停止","運転がそろわない","判定不能"},0),"○","停","×","－"),"")</f>
        <v>×</v>
      </c>
      <c r="AI11" s="35" t="str">
        <f aca="false">IFERROR(CHOOSE(MATCH(INDEX(時間ごとの判定!$AT$3:$AT$1850,176),{"利用可","両方停止","運転がそろわない","判定不能"},0),"○","停","×","－"),"")</f>
        <v>×</v>
      </c>
      <c r="AJ11" s="35" t="str">
        <f aca="false">IFERROR(CHOOSE(MATCH(INDEX(時間ごとの判定!$AT$3:$AT$1850,177),{"利用可","両方停止","運転がそろわない","判定不能"},0),"○","停","×","－"),"")</f>
        <v>×</v>
      </c>
      <c r="AK11" s="35" t="str">
        <f aca="false">IFERROR(CHOOSE(MATCH(INDEX(時間ごとの判定!$AT$3:$AT$1850,178),{"利用可","両方停止","運転がそろわない","判定不能"},0),"○","停","×","－"),"")</f>
        <v>○</v>
      </c>
      <c r="AL11" s="35" t="str">
        <f aca="false">IFERROR(CHOOSE(MATCH(INDEX(時間ごとの判定!$AT$3:$AT$1850,179),{"利用可","両方停止","運転がそろわない","判定不能"},0),"○","停","×","－"),"")</f>
        <v>○</v>
      </c>
      <c r="AM11" s="35" t="str">
        <f aca="false">IFERROR(CHOOSE(MATCH(INDEX(時間ごとの判定!$AT$3:$AT$1850,180),{"利用可","両方停止","運転がそろわない","判定不能"},0),"○","停","×","－"),"")</f>
        <v>○</v>
      </c>
      <c r="AN11" s="35" t="str">
        <f aca="false">IFERROR(CHOOSE(MATCH(INDEX(時間ごとの判定!$AT$3:$AT$1850,181),{"利用可","両方停止","運転がそろわない","判定不能"},0),"○","停","×","－"),"")</f>
        <v>○</v>
      </c>
      <c r="AO11" s="35" t="str">
        <f aca="false">IFERROR(CHOOSE(MATCH(INDEX(時間ごとの判定!$AT$3:$AT$1850,182),{"利用可","両方停止","運転がそろわない","判定不能"},0),"○","停","×","－"),"")</f>
        <v>○</v>
      </c>
      <c r="AP11" s="35" t="str">
        <f aca="false">IFERROR(CHOOSE(MATCH(INDEX(時間ごとの判定!$AT$3:$AT$1850,183),{"利用可","両方停止","運転がそろわない","判定不能"},0),"○","停","×","－"),"")</f>
        <v>○</v>
      </c>
      <c r="AQ11" s="35" t="str">
        <f aca="false">IFERROR(CHOOSE(MATCH(INDEX(時間ごとの判定!$AT$3:$AT$1850,184),{"利用可","両方停止","運転がそろわない","判定不能"},0),"○","停","×","－"),"")</f>
        <v>○</v>
      </c>
      <c r="AR11" s="35" t="str">
        <f aca="false">IFERROR(CHOOSE(MATCH(INDEX(時間ごとの判定!$AT$3:$AT$1850,185),{"利用可","両方停止","運転がそろわない","判定不能"},0),"○","停","×","－"),"")</f>
        <v>○</v>
      </c>
      <c r="AS11" s="35" t="str">
        <f aca="false">IFERROR(CHOOSE(MATCH(INDEX(時間ごとの判定!$AT$3:$AT$1850,186),{"利用可","両方停止","運転がそろわない","判定不能"},0),"○","停","×","－"),"")</f>
        <v>○</v>
      </c>
      <c r="AT11" s="35" t="str">
        <f aca="false">IFERROR(CHOOSE(MATCH(INDEX(時間ごとの判定!$AT$3:$AT$1850,187),{"利用可","両方停止","運転がそろわない","判定不能"},0),"○","停","×","－"),"")</f>
        <v>○</v>
      </c>
      <c r="AU11" s="35" t="str">
        <f aca="false">IFERROR(CHOOSE(MATCH(INDEX(時間ごとの判定!$AT$3:$AT$1850,188),{"利用可","両方停止","運転がそろわない","判定不能"},0),"○","停","×","－"),"")</f>
        <v>×</v>
      </c>
      <c r="AV11" s="35" t="str">
        <f aca="false">IFERROR(CHOOSE(MATCH(INDEX(時間ごとの判定!$AT$3:$AT$1850,189),{"利用可","両方停止","運転がそろわない","判定不能"},0),"○","停","×","－"),"")</f>
        <v>×</v>
      </c>
      <c r="AW11" s="35" t="str">
        <f aca="false">IFERROR(CHOOSE(MATCH(INDEX(時間ごとの判定!$AT$3:$AT$1850,190),{"利用可","両方停止","運転がそろわない","判定不能"},0),"○","停","×","－"),"")</f>
        <v>停</v>
      </c>
      <c r="AX11" s="35" t="str">
        <f aca="false">IFERROR(CHOOSE(MATCH(INDEX(時間ごとの判定!$AT$3:$AT$1850,191),{"利用可","両方停止","運転がそろわない","判定不能"},0),"○","停","×","－"),"")</f>
        <v>停</v>
      </c>
      <c r="AY11" s="35" t="str">
        <f aca="false">IFERROR(CHOOSE(MATCH(INDEX(時間ごとの判定!$AT$3:$AT$1850,192),{"利用可","両方停止","運転がそろわない","判定不能"},0),"○","停","×","－"),"")</f>
        <v>停</v>
      </c>
      <c r="AZ11" s="35"/>
      <c r="BA11" s="35" t="str">
        <f aca="false">IFERROR(CHOOSE(MATCH(INDEX(時間ごとの判定!$AW$3:$AW$1850,169),{"利用可","両方停止","運転がそろわない","判定不能"},0),"○","停","×","－"),"")</f>
        <v>×</v>
      </c>
      <c r="BB11" s="35" t="str">
        <f aca="false">IFERROR(CHOOSE(MATCH(INDEX(時間ごとの判定!$AW$3:$AW$1850,170),{"利用可","両方停止","運転がそろわない","判定不能"},0),"○","停","×","－"),"")</f>
        <v>×</v>
      </c>
      <c r="BC11" s="35" t="str">
        <f aca="false">IFERROR(CHOOSE(MATCH(INDEX(時間ごとの判定!$AW$3:$AW$1850,171),{"利用可","両方停止","運転がそろわない","判定不能"},0),"○","停","×","－"),"")</f>
        <v>×</v>
      </c>
      <c r="BD11" s="35" t="str">
        <f aca="false">IFERROR(CHOOSE(MATCH(INDEX(時間ごとの判定!$AW$3:$AW$1850,172),{"利用可","両方停止","運転がそろわない","判定不能"},0),"○","停","×","－"),"")</f>
        <v>×</v>
      </c>
      <c r="BE11" s="35" t="str">
        <f aca="false">IFERROR(CHOOSE(MATCH(INDEX(時間ごとの判定!$AW$3:$AW$1850,173),{"利用可","両方停止","運転がそろわない","判定不能"},0),"○","停","×","－"),"")</f>
        <v>×</v>
      </c>
      <c r="BF11" s="35" t="str">
        <f aca="false">IFERROR(CHOOSE(MATCH(INDEX(時間ごとの判定!$AW$3:$AW$1850,174),{"利用可","両方停止","運転がそろわない","判定不能"},0),"○","停","×","－"),"")</f>
        <v>×</v>
      </c>
      <c r="BG11" s="35" t="str">
        <f aca="false">IFERROR(CHOOSE(MATCH(INDEX(時間ごとの判定!$AW$3:$AW$1850,175),{"利用可","両方停止","運転がそろわない","判定不能"},0),"○","停","×","－"),"")</f>
        <v>○</v>
      </c>
      <c r="BH11" s="35" t="str">
        <f aca="false">IFERROR(CHOOSE(MATCH(INDEX(時間ごとの判定!$AW$3:$AW$1850,176),{"利用可","両方停止","運転がそろわない","判定不能"},0),"○","停","×","－"),"")</f>
        <v>○</v>
      </c>
      <c r="BI11" s="35" t="str">
        <f aca="false">IFERROR(CHOOSE(MATCH(INDEX(時間ごとの判定!$AW$3:$AW$1850,177),{"利用可","両方停止","運転がそろわない","判定不能"},0),"○","停","×","－"),"")</f>
        <v>○</v>
      </c>
      <c r="BJ11" s="35" t="str">
        <f aca="false">IFERROR(CHOOSE(MATCH(INDEX(時間ごとの判定!$AW$3:$AW$1850,178),{"利用可","両方停止","運転がそろわない","判定不能"},0),"○","停","×","－"),"")</f>
        <v>○</v>
      </c>
      <c r="BK11" s="35" t="str">
        <f aca="false">IFERROR(CHOOSE(MATCH(INDEX(時間ごとの判定!$AW$3:$AW$1850,179),{"利用可","両方停止","運転がそろわない","判定不能"},0),"○","停","×","－"),"")</f>
        <v>○</v>
      </c>
      <c r="BL11" s="35" t="str">
        <f aca="false">IFERROR(CHOOSE(MATCH(INDEX(時間ごとの判定!$AW$3:$AW$1850,180),{"利用可","両方停止","運転がそろわない","判定不能"},0),"○","停","×","－"),"")</f>
        <v>○</v>
      </c>
      <c r="BM11" s="35" t="str">
        <f aca="false">IFERROR(CHOOSE(MATCH(INDEX(時間ごとの判定!$AW$3:$AW$1850,181),{"利用可","両方停止","運転がそろわない","判定不能"},0),"○","停","×","－"),"")</f>
        <v>○</v>
      </c>
      <c r="BN11" s="35" t="str">
        <f aca="false">IFERROR(CHOOSE(MATCH(INDEX(時間ごとの判定!$AW$3:$AW$1850,182),{"利用可","両方停止","運転がそろわない","判定不能"},0),"○","停","×","－"),"")</f>
        <v>○</v>
      </c>
      <c r="BO11" s="35" t="str">
        <f aca="false">IFERROR(CHOOSE(MATCH(INDEX(時間ごとの判定!$AW$3:$AW$1850,183),{"利用可","両方停止","運転がそろわない","判定不能"},0),"○","停","×","－"),"")</f>
        <v>○</v>
      </c>
      <c r="BP11" s="35" t="str">
        <f aca="false">IFERROR(CHOOSE(MATCH(INDEX(時間ごとの判定!$AW$3:$AW$1850,184),{"利用可","両方停止","運転がそろわない","判定不能"},0),"○","停","×","－"),"")</f>
        <v>○</v>
      </c>
      <c r="BQ11" s="35" t="str">
        <f aca="false">IFERROR(CHOOSE(MATCH(INDEX(時間ごとの判定!$AW$3:$AW$1850,185),{"利用可","両方停止","運転がそろわない","判定不能"},0),"○","停","×","－"),"")</f>
        <v>○</v>
      </c>
      <c r="BR11" s="35" t="str">
        <f aca="false">IFERROR(CHOOSE(MATCH(INDEX(時間ごとの判定!$AW$3:$AW$1850,186),{"利用可","両方停止","運転がそろわない","判定不能"},0),"○","停","×","－"),"")</f>
        <v>○</v>
      </c>
      <c r="BS11" s="35" t="str">
        <f aca="false">IFERROR(CHOOSE(MATCH(INDEX(時間ごとの判定!$AW$3:$AW$1850,187),{"利用可","両方停止","運転がそろわない","判定不能"},0),"○","停","×","－"),"")</f>
        <v>○</v>
      </c>
      <c r="BT11" s="35" t="str">
        <f aca="false">IFERROR(CHOOSE(MATCH(INDEX(時間ごとの判定!$AW$3:$AW$1850,188),{"利用可","両方停止","運転がそろわない","判定不能"},0),"○","停","×","－"),"")</f>
        <v>×</v>
      </c>
      <c r="BU11" s="35" t="str">
        <f aca="false">IFERROR(CHOOSE(MATCH(INDEX(時間ごとの判定!$AW$3:$AW$1850,189),{"利用可","両方停止","運転がそろわない","判定不能"},0),"○","停","×","－"),"")</f>
        <v>×</v>
      </c>
      <c r="BV11" s="35" t="str">
        <f aca="false">IFERROR(CHOOSE(MATCH(INDEX(時間ごとの判定!$AW$3:$AW$1850,190),{"利用可","両方停止","運転がそろわない","判定不能"},0),"○","停","×","－"),"")</f>
        <v>×</v>
      </c>
      <c r="BW11" s="35" t="str">
        <f aca="false">IFERROR(CHOOSE(MATCH(INDEX(時間ごとの判定!$AW$3:$AW$1850,191),{"利用可","両方停止","運転がそろわない","判定不能"},0),"○","停","×","－"),"")</f>
        <v>×</v>
      </c>
      <c r="BX11" s="35" t="str">
        <f aca="false">IFERROR(CHOOSE(MATCH(INDEX(時間ごとの判定!$AW$3:$AW$1850,192),{"利用可","両方停止","運転がそろわない","判定不能"},0),"○","停","×","－"),"")</f>
        <v>×</v>
      </c>
    </row>
    <row r="12" customFormat="false" ht="15" hidden="false" customHeight="false" outlineLevel="0" collapsed="false">
      <c r="A12" s="33" t="n">
        <v>46240</v>
      </c>
      <c r="B12" s="34" t="s">
        <v>61</v>
      </c>
      <c r="C12" s="35" t="str">
        <f aca="false">IFERROR(CHOOSE(MATCH(INDEX(時間ごとの判定!$AQ$3:$AQ$1850,193),{"利用可","両方停止","運転がそろわない","判定不能"},0),"○","停","×","－"),"")</f>
        <v>停</v>
      </c>
      <c r="D12" s="35" t="str">
        <f aca="false">IFERROR(CHOOSE(MATCH(INDEX(時間ごとの判定!$AQ$3:$AQ$1850,194),{"利用可","両方停止","運転がそろわない","判定不能"},0),"○","停","×","－"),"")</f>
        <v>停</v>
      </c>
      <c r="E12" s="35" t="str">
        <f aca="false">IFERROR(CHOOSE(MATCH(INDEX(時間ごとの判定!$AQ$3:$AQ$1850,195),{"利用可","両方停止","運転がそろわない","判定不能"},0),"○","停","×","－"),"")</f>
        <v>停</v>
      </c>
      <c r="F12" s="35" t="str">
        <f aca="false">IFERROR(CHOOSE(MATCH(INDEX(時間ごとの判定!$AQ$3:$AQ$1850,196),{"利用可","両方停止","運転がそろわない","判定不能"},0),"○","停","×","－"),"")</f>
        <v>停</v>
      </c>
      <c r="G12" s="35" t="str">
        <f aca="false">IFERROR(CHOOSE(MATCH(INDEX(時間ごとの判定!$AQ$3:$AQ$1850,197),{"利用可","両方停止","運転がそろわない","判定不能"},0),"○","停","×","－"),"")</f>
        <v>停</v>
      </c>
      <c r="H12" s="35" t="str">
        <f aca="false">IFERROR(CHOOSE(MATCH(INDEX(時間ごとの判定!$AQ$3:$AQ$1850,198),{"利用可","両方停止","運転がそろわない","判定不能"},0),"○","停","×","－"),"")</f>
        <v>停</v>
      </c>
      <c r="I12" s="35" t="str">
        <f aca="false">IFERROR(CHOOSE(MATCH(INDEX(時間ごとの判定!$AQ$3:$AQ$1850,199),{"利用可","両方停止","運転がそろわない","判定不能"},0),"○","停","×","－"),"")</f>
        <v>×</v>
      </c>
      <c r="J12" s="35" t="str">
        <f aca="false">IFERROR(CHOOSE(MATCH(INDEX(時間ごとの判定!$AQ$3:$AQ$1850,200),{"利用可","両方停止","運転がそろわない","判定不能"},0),"○","停","×","－"),"")</f>
        <v>×</v>
      </c>
      <c r="K12" s="35" t="str">
        <f aca="false">IFERROR(CHOOSE(MATCH(INDEX(時間ごとの判定!$AQ$3:$AQ$1850,201),{"利用可","両方停止","運転がそろわない","判定不能"},0),"○","停","×","－"),"")</f>
        <v>×</v>
      </c>
      <c r="L12" s="35" t="str">
        <f aca="false">IFERROR(CHOOSE(MATCH(INDEX(時間ごとの判定!$AQ$3:$AQ$1850,202),{"利用可","両方停止","運転がそろわない","判定不能"},0),"○","停","×","－"),"")</f>
        <v>○</v>
      </c>
      <c r="M12" s="35" t="str">
        <f aca="false">IFERROR(CHOOSE(MATCH(INDEX(時間ごとの判定!$AQ$3:$AQ$1850,203),{"利用可","両方停止","運転がそろわない","判定不能"},0),"○","停","×","－"),"")</f>
        <v>○</v>
      </c>
      <c r="N12" s="35" t="str">
        <f aca="false">IFERROR(CHOOSE(MATCH(INDEX(時間ごとの判定!$AQ$3:$AQ$1850,204),{"利用可","両方停止","運転がそろわない","判定不能"},0),"○","停","×","－"),"")</f>
        <v>○</v>
      </c>
      <c r="O12" s="35" t="str">
        <f aca="false">IFERROR(CHOOSE(MATCH(INDEX(時間ごとの判定!$AQ$3:$AQ$1850,205),{"利用可","両方停止","運転がそろわない","判定不能"},0),"○","停","×","－"),"")</f>
        <v>○</v>
      </c>
      <c r="P12" s="35" t="str">
        <f aca="false">IFERROR(CHOOSE(MATCH(INDEX(時間ごとの判定!$AQ$3:$AQ$1850,206),{"利用可","両方停止","運転がそろわない","判定不能"},0),"○","停","×","－"),"")</f>
        <v>○</v>
      </c>
      <c r="Q12" s="35" t="str">
        <f aca="false">IFERROR(CHOOSE(MATCH(INDEX(時間ごとの判定!$AQ$3:$AQ$1850,207),{"利用可","両方停止","運転がそろわない","判定不能"},0),"○","停","×","－"),"")</f>
        <v>○</v>
      </c>
      <c r="R12" s="35" t="str">
        <f aca="false">IFERROR(CHOOSE(MATCH(INDEX(時間ごとの判定!$AQ$3:$AQ$1850,208),{"利用可","両方停止","運転がそろわない","判定不能"},0),"○","停","×","－"),"")</f>
        <v>○</v>
      </c>
      <c r="S12" s="35" t="str">
        <f aca="false">IFERROR(CHOOSE(MATCH(INDEX(時間ごとの判定!$AQ$3:$AQ$1850,209),{"利用可","両方停止","運転がそろわない","判定不能"},0),"○","停","×","－"),"")</f>
        <v>○</v>
      </c>
      <c r="T12" s="35" t="str">
        <f aca="false">IFERROR(CHOOSE(MATCH(INDEX(時間ごとの判定!$AQ$3:$AQ$1850,210),{"利用可","両方停止","運転がそろわない","判定不能"},0),"○","停","×","－"),"")</f>
        <v>○</v>
      </c>
      <c r="U12" s="35" t="str">
        <f aca="false">IFERROR(CHOOSE(MATCH(INDEX(時間ごとの判定!$AQ$3:$AQ$1850,211),{"利用可","両方停止","運転がそろわない","判定不能"},0),"○","停","×","－"),"")</f>
        <v>○</v>
      </c>
      <c r="V12" s="35" t="str">
        <f aca="false">IFERROR(CHOOSE(MATCH(INDEX(時間ごとの判定!$AQ$3:$AQ$1850,212),{"利用可","両方停止","運転がそろわない","判定不能"},0),"○","停","×","－"),"")</f>
        <v>×</v>
      </c>
      <c r="W12" s="35" t="str">
        <f aca="false">IFERROR(CHOOSE(MATCH(INDEX(時間ごとの判定!$AQ$3:$AQ$1850,213),{"利用可","両方停止","運転がそろわない","判定不能"},0),"○","停","×","－"),"")</f>
        <v>×</v>
      </c>
      <c r="X12" s="35" t="str">
        <f aca="false">IFERROR(CHOOSE(MATCH(INDEX(時間ごとの判定!$AQ$3:$AQ$1850,214),{"利用可","両方停止","運転がそろわない","判定不能"},0),"○","停","×","－"),"")</f>
        <v>停</v>
      </c>
      <c r="Y12" s="35" t="str">
        <f aca="false">IFERROR(CHOOSE(MATCH(INDEX(時間ごとの判定!$AQ$3:$AQ$1850,215),{"利用可","両方停止","運転がそろわない","判定不能"},0),"○","停","×","－"),"")</f>
        <v>停</v>
      </c>
      <c r="Z12" s="35" t="str">
        <f aca="false">IFERROR(CHOOSE(MATCH(INDEX(時間ごとの判定!$AQ$3:$AQ$1850,216),{"利用可","両方停止","運転がそろわない","判定不能"},0),"○","停","×","－"),"")</f>
        <v>停</v>
      </c>
      <c r="AA12" s="35"/>
      <c r="AB12" s="35" t="str">
        <f aca="false">IFERROR(CHOOSE(MATCH(INDEX(時間ごとの判定!$AT$3:$AT$1850,193),{"利用可","両方停止","運転がそろわない","判定不能"},0),"○","停","×","－"),"")</f>
        <v>停</v>
      </c>
      <c r="AC12" s="35" t="str">
        <f aca="false">IFERROR(CHOOSE(MATCH(INDEX(時間ごとの判定!$AT$3:$AT$1850,194),{"利用可","両方停止","運転がそろわない","判定不能"},0),"○","停","×","－"),"")</f>
        <v>停</v>
      </c>
      <c r="AD12" s="35" t="str">
        <f aca="false">IFERROR(CHOOSE(MATCH(INDEX(時間ごとの判定!$AT$3:$AT$1850,195),{"利用可","両方停止","運転がそろわない","判定不能"},0),"○","停","×","－"),"")</f>
        <v>停</v>
      </c>
      <c r="AE12" s="35" t="str">
        <f aca="false">IFERROR(CHOOSE(MATCH(INDEX(時間ごとの判定!$AT$3:$AT$1850,196),{"利用可","両方停止","運転がそろわない","判定不能"},0),"○","停","×","－"),"")</f>
        <v>停</v>
      </c>
      <c r="AF12" s="35" t="str">
        <f aca="false">IFERROR(CHOOSE(MATCH(INDEX(時間ごとの判定!$AT$3:$AT$1850,197),{"利用可","両方停止","運転がそろわない","判定不能"},0),"○","停","×","－"),"")</f>
        <v>停</v>
      </c>
      <c r="AG12" s="35" t="str">
        <f aca="false">IFERROR(CHOOSE(MATCH(INDEX(時間ごとの判定!$AT$3:$AT$1850,198),{"利用可","両方停止","運転がそろわない","判定不能"},0),"○","停","×","－"),"")</f>
        <v>停</v>
      </c>
      <c r="AH12" s="35" t="str">
        <f aca="false">IFERROR(CHOOSE(MATCH(INDEX(時間ごとの判定!$AT$3:$AT$1850,199),{"利用可","両方停止","運転がそろわない","判定不能"},0),"○","停","×","－"),"")</f>
        <v>×</v>
      </c>
      <c r="AI12" s="35" t="str">
        <f aca="false">IFERROR(CHOOSE(MATCH(INDEX(時間ごとの判定!$AT$3:$AT$1850,200),{"利用可","両方停止","運転がそろわない","判定不能"},0),"○","停","×","－"),"")</f>
        <v>×</v>
      </c>
      <c r="AJ12" s="35" t="str">
        <f aca="false">IFERROR(CHOOSE(MATCH(INDEX(時間ごとの判定!$AT$3:$AT$1850,201),{"利用可","両方停止","運転がそろわない","判定不能"},0),"○","停","×","－"),"")</f>
        <v>×</v>
      </c>
      <c r="AK12" s="35" t="str">
        <f aca="false">IFERROR(CHOOSE(MATCH(INDEX(時間ごとの判定!$AT$3:$AT$1850,202),{"利用可","両方停止","運転がそろわない","判定不能"},0),"○","停","×","－"),"")</f>
        <v>○</v>
      </c>
      <c r="AL12" s="35" t="str">
        <f aca="false">IFERROR(CHOOSE(MATCH(INDEX(時間ごとの判定!$AT$3:$AT$1850,203),{"利用可","両方停止","運転がそろわない","判定不能"},0),"○","停","×","－"),"")</f>
        <v>○</v>
      </c>
      <c r="AM12" s="35" t="str">
        <f aca="false">IFERROR(CHOOSE(MATCH(INDEX(時間ごとの判定!$AT$3:$AT$1850,204),{"利用可","両方停止","運転がそろわない","判定不能"},0),"○","停","×","－"),"")</f>
        <v>○</v>
      </c>
      <c r="AN12" s="35" t="str">
        <f aca="false">IFERROR(CHOOSE(MATCH(INDEX(時間ごとの判定!$AT$3:$AT$1850,205),{"利用可","両方停止","運転がそろわない","判定不能"},0),"○","停","×","－"),"")</f>
        <v>○</v>
      </c>
      <c r="AO12" s="35" t="str">
        <f aca="false">IFERROR(CHOOSE(MATCH(INDEX(時間ごとの判定!$AT$3:$AT$1850,206),{"利用可","両方停止","運転がそろわない","判定不能"},0),"○","停","×","－"),"")</f>
        <v>○</v>
      </c>
      <c r="AP12" s="35" t="str">
        <f aca="false">IFERROR(CHOOSE(MATCH(INDEX(時間ごとの判定!$AT$3:$AT$1850,207),{"利用可","両方停止","運転がそろわない","判定不能"},0),"○","停","×","－"),"")</f>
        <v>○</v>
      </c>
      <c r="AQ12" s="35" t="str">
        <f aca="false">IFERROR(CHOOSE(MATCH(INDEX(時間ごとの判定!$AT$3:$AT$1850,208),{"利用可","両方停止","運転がそろわない","判定不能"},0),"○","停","×","－"),"")</f>
        <v>○</v>
      </c>
      <c r="AR12" s="35" t="str">
        <f aca="false">IFERROR(CHOOSE(MATCH(INDEX(時間ごとの判定!$AT$3:$AT$1850,209),{"利用可","両方停止","運転がそろわない","判定不能"},0),"○","停","×","－"),"")</f>
        <v>○</v>
      </c>
      <c r="AS12" s="35" t="str">
        <f aca="false">IFERROR(CHOOSE(MATCH(INDEX(時間ごとの判定!$AT$3:$AT$1850,210),{"利用可","両方停止","運転がそろわない","判定不能"},0),"○","停","×","－"),"")</f>
        <v>○</v>
      </c>
      <c r="AT12" s="35" t="str">
        <f aca="false">IFERROR(CHOOSE(MATCH(INDEX(時間ごとの判定!$AT$3:$AT$1850,211),{"利用可","両方停止","運転がそろわない","判定不能"},0),"○","停","×","－"),"")</f>
        <v>○</v>
      </c>
      <c r="AU12" s="35" t="str">
        <f aca="false">IFERROR(CHOOSE(MATCH(INDEX(時間ごとの判定!$AT$3:$AT$1850,212),{"利用可","両方停止","運転がそろわない","判定不能"},0),"○","停","×","－"),"")</f>
        <v>○</v>
      </c>
      <c r="AV12" s="35" t="str">
        <f aca="false">IFERROR(CHOOSE(MATCH(INDEX(時間ごとの判定!$AT$3:$AT$1850,213),{"利用可","両方停止","運転がそろわない","判定不能"},0),"○","停","×","－"),"")</f>
        <v>×</v>
      </c>
      <c r="AW12" s="35" t="str">
        <f aca="false">IFERROR(CHOOSE(MATCH(INDEX(時間ごとの判定!$AT$3:$AT$1850,214),{"利用可","両方停止","運転がそろわない","判定不能"},0),"○","停","×","－"),"")</f>
        <v>×</v>
      </c>
      <c r="AX12" s="35" t="str">
        <f aca="false">IFERROR(CHOOSE(MATCH(INDEX(時間ごとの判定!$AT$3:$AT$1850,215),{"利用可","両方停止","運転がそろわない","判定不能"},0),"○","停","×","－"),"")</f>
        <v>×</v>
      </c>
      <c r="AY12" s="35" t="str">
        <f aca="false">IFERROR(CHOOSE(MATCH(INDEX(時間ごとの判定!$AT$3:$AT$1850,216),{"利用可","両方停止","運転がそろわない","判定不能"},0),"○","停","×","－"),"")</f>
        <v>停</v>
      </c>
      <c r="AZ12" s="35"/>
      <c r="BA12" s="35" t="str">
        <f aca="false">IFERROR(CHOOSE(MATCH(INDEX(時間ごとの判定!$AW$3:$AW$1850,193),{"利用可","両方停止","運転がそろわない","判定不能"},0),"○","停","×","－"),"")</f>
        <v>×</v>
      </c>
      <c r="BB12" s="35" t="str">
        <f aca="false">IFERROR(CHOOSE(MATCH(INDEX(時間ごとの判定!$AW$3:$AW$1850,194),{"利用可","両方停止","運転がそろわない","判定不能"},0),"○","停","×","－"),"")</f>
        <v>×</v>
      </c>
      <c r="BC12" s="35" t="str">
        <f aca="false">IFERROR(CHOOSE(MATCH(INDEX(時間ごとの判定!$AW$3:$AW$1850,195),{"利用可","両方停止","運転がそろわない","判定不能"},0),"○","停","×","－"),"")</f>
        <v>×</v>
      </c>
      <c r="BD12" s="35" t="str">
        <f aca="false">IFERROR(CHOOSE(MATCH(INDEX(時間ごとの判定!$AW$3:$AW$1850,196),{"利用可","両方停止","運転がそろわない","判定不能"},0),"○","停","×","－"),"")</f>
        <v>×</v>
      </c>
      <c r="BE12" s="35" t="str">
        <f aca="false">IFERROR(CHOOSE(MATCH(INDEX(時間ごとの判定!$AW$3:$AW$1850,197),{"利用可","両方停止","運転がそろわない","判定不能"},0),"○","停","×","－"),"")</f>
        <v>×</v>
      </c>
      <c r="BF12" s="35" t="str">
        <f aca="false">IFERROR(CHOOSE(MATCH(INDEX(時間ごとの判定!$AW$3:$AW$1850,198),{"利用可","両方停止","運転がそろわない","判定不能"},0),"○","停","×","－"),"")</f>
        <v>×</v>
      </c>
      <c r="BG12" s="35" t="str">
        <f aca="false">IFERROR(CHOOSE(MATCH(INDEX(時間ごとの判定!$AW$3:$AW$1850,199),{"利用可","両方停止","運転がそろわない","判定不能"},0),"○","停","×","－"),"")</f>
        <v>○</v>
      </c>
      <c r="BH12" s="35" t="str">
        <f aca="false">IFERROR(CHOOSE(MATCH(INDEX(時間ごとの判定!$AW$3:$AW$1850,200),{"利用可","両方停止","運転がそろわない","判定不能"},0),"○","停","×","－"),"")</f>
        <v>○</v>
      </c>
      <c r="BI12" s="35" t="str">
        <f aca="false">IFERROR(CHOOSE(MATCH(INDEX(時間ごとの判定!$AW$3:$AW$1850,201),{"利用可","両方停止","運転がそろわない","判定不能"},0),"○","停","×","－"),"")</f>
        <v>○</v>
      </c>
      <c r="BJ12" s="35" t="str">
        <f aca="false">IFERROR(CHOOSE(MATCH(INDEX(時間ごとの判定!$AW$3:$AW$1850,202),{"利用可","両方停止","運転がそろわない","判定不能"},0),"○","停","×","－"),"")</f>
        <v>○</v>
      </c>
      <c r="BK12" s="35" t="str">
        <f aca="false">IFERROR(CHOOSE(MATCH(INDEX(時間ごとの判定!$AW$3:$AW$1850,203),{"利用可","両方停止","運転がそろわない","判定不能"},0),"○","停","×","－"),"")</f>
        <v>○</v>
      </c>
      <c r="BL12" s="35" t="str">
        <f aca="false">IFERROR(CHOOSE(MATCH(INDEX(時間ごとの判定!$AW$3:$AW$1850,204),{"利用可","両方停止","運転がそろわない","判定不能"},0),"○","停","×","－"),"")</f>
        <v>○</v>
      </c>
      <c r="BM12" s="35" t="str">
        <f aca="false">IFERROR(CHOOSE(MATCH(INDEX(時間ごとの判定!$AW$3:$AW$1850,205),{"利用可","両方停止","運転がそろわない","判定不能"},0),"○","停","×","－"),"")</f>
        <v>○</v>
      </c>
      <c r="BN12" s="35" t="str">
        <f aca="false">IFERROR(CHOOSE(MATCH(INDEX(時間ごとの判定!$AW$3:$AW$1850,206),{"利用可","両方停止","運転がそろわない","判定不能"},0),"○","停","×","－"),"")</f>
        <v>○</v>
      </c>
      <c r="BO12" s="35" t="str">
        <f aca="false">IFERROR(CHOOSE(MATCH(INDEX(時間ごとの判定!$AW$3:$AW$1850,207),{"利用可","両方停止","運転がそろわない","判定不能"},0),"○","停","×","－"),"")</f>
        <v>○</v>
      </c>
      <c r="BP12" s="35" t="str">
        <f aca="false">IFERROR(CHOOSE(MATCH(INDEX(時間ごとの判定!$AW$3:$AW$1850,208),{"利用可","両方停止","運転がそろわない","判定不能"},0),"○","停","×","－"),"")</f>
        <v>○</v>
      </c>
      <c r="BQ12" s="35" t="str">
        <f aca="false">IFERROR(CHOOSE(MATCH(INDEX(時間ごとの判定!$AW$3:$AW$1850,209),{"利用可","両方停止","運転がそろわない","判定不能"},0),"○","停","×","－"),"")</f>
        <v>○</v>
      </c>
      <c r="BR12" s="35" t="str">
        <f aca="false">IFERROR(CHOOSE(MATCH(INDEX(時間ごとの判定!$AW$3:$AW$1850,210),{"利用可","両方停止","運転がそろわない","判定不能"},0),"○","停","×","－"),"")</f>
        <v>○</v>
      </c>
      <c r="BS12" s="35" t="str">
        <f aca="false">IFERROR(CHOOSE(MATCH(INDEX(時間ごとの判定!$AW$3:$AW$1850,211),{"利用可","両方停止","運転がそろわない","判定不能"},0),"○","停","×","－"),"")</f>
        <v>○</v>
      </c>
      <c r="BT12" s="35" t="str">
        <f aca="false">IFERROR(CHOOSE(MATCH(INDEX(時間ごとの判定!$AW$3:$AW$1850,212),{"利用可","両方停止","運転がそろわない","判定不能"},0),"○","停","×","－"),"")</f>
        <v>×</v>
      </c>
      <c r="BU12" s="35" t="str">
        <f aca="false">IFERROR(CHOOSE(MATCH(INDEX(時間ごとの判定!$AW$3:$AW$1850,213),{"利用可","両方停止","運転がそろわない","判定不能"},0),"○","停","×","－"),"")</f>
        <v>×</v>
      </c>
      <c r="BV12" s="35" t="str">
        <f aca="false">IFERROR(CHOOSE(MATCH(INDEX(時間ごとの判定!$AW$3:$AW$1850,214),{"利用可","両方停止","運転がそろわない","判定不能"},0),"○","停","×","－"),"")</f>
        <v>×</v>
      </c>
      <c r="BW12" s="35" t="str">
        <f aca="false">IFERROR(CHOOSE(MATCH(INDEX(時間ごとの判定!$AW$3:$AW$1850,215),{"利用可","両方停止","運転がそろわない","判定不能"},0),"○","停","×","－"),"")</f>
        <v>×</v>
      </c>
      <c r="BX12" s="35" t="str">
        <f aca="false">IFERROR(CHOOSE(MATCH(INDEX(時間ごとの判定!$AW$3:$AW$1850,216),{"利用可","両方停止","運転がそろわない","判定不能"},0),"○","停","×","－"),"")</f>
        <v>×</v>
      </c>
    </row>
    <row r="13" customFormat="false" ht="15" hidden="false" customHeight="false" outlineLevel="0" collapsed="false">
      <c r="A13" s="33" t="n">
        <v>46241</v>
      </c>
      <c r="B13" s="34" t="s">
        <v>62</v>
      </c>
      <c r="C13" s="35" t="str">
        <f aca="false">IFERROR(CHOOSE(MATCH(INDEX(時間ごとの判定!$AQ$3:$AQ$1850,217),{"利用可","両方停止","運転がそろわない","判定不能"},0),"○","停","×","－"),"")</f>
        <v>停</v>
      </c>
      <c r="D13" s="35" t="str">
        <f aca="false">IFERROR(CHOOSE(MATCH(INDEX(時間ごとの判定!$AQ$3:$AQ$1850,218),{"利用可","両方停止","運転がそろわない","判定不能"},0),"○","停","×","－"),"")</f>
        <v>停</v>
      </c>
      <c r="E13" s="35" t="str">
        <f aca="false">IFERROR(CHOOSE(MATCH(INDEX(時間ごとの判定!$AQ$3:$AQ$1850,219),{"利用可","両方停止","運転がそろわない","判定不能"},0),"○","停","×","－"),"")</f>
        <v>停</v>
      </c>
      <c r="F13" s="35" t="str">
        <f aca="false">IFERROR(CHOOSE(MATCH(INDEX(時間ごとの判定!$AQ$3:$AQ$1850,220),{"利用可","両方停止","運転がそろわない","判定不能"},0),"○","停","×","－"),"")</f>
        <v>停</v>
      </c>
      <c r="G13" s="35" t="str">
        <f aca="false">IFERROR(CHOOSE(MATCH(INDEX(時間ごとの判定!$AQ$3:$AQ$1850,221),{"利用可","両方停止","運転がそろわない","判定不能"},0),"○","停","×","－"),"")</f>
        <v>停</v>
      </c>
      <c r="H13" s="35" t="str">
        <f aca="false">IFERROR(CHOOSE(MATCH(INDEX(時間ごとの判定!$AQ$3:$AQ$1850,222),{"利用可","両方停止","運転がそろわない","判定不能"},0),"○","停","×","－"),"")</f>
        <v>停</v>
      </c>
      <c r="I13" s="35" t="str">
        <f aca="false">IFERROR(CHOOSE(MATCH(INDEX(時間ごとの判定!$AQ$3:$AQ$1850,223),{"利用可","両方停止","運転がそろわない","判定不能"},0),"○","停","×","－"),"")</f>
        <v>×</v>
      </c>
      <c r="J13" s="35" t="str">
        <f aca="false">IFERROR(CHOOSE(MATCH(INDEX(時間ごとの判定!$AQ$3:$AQ$1850,224),{"利用可","両方停止","運転がそろわない","判定不能"},0),"○","停","×","－"),"")</f>
        <v>×</v>
      </c>
      <c r="K13" s="35" t="str">
        <f aca="false">IFERROR(CHOOSE(MATCH(INDEX(時間ごとの判定!$AQ$3:$AQ$1850,225),{"利用可","両方停止","運転がそろわない","判定不能"},0),"○","停","×","－"),"")</f>
        <v>○</v>
      </c>
      <c r="L13" s="35" t="str">
        <f aca="false">IFERROR(CHOOSE(MATCH(INDEX(時間ごとの判定!$AQ$3:$AQ$1850,226),{"利用可","両方停止","運転がそろわない","判定不能"},0),"○","停","×","－"),"")</f>
        <v>○</v>
      </c>
      <c r="M13" s="35" t="str">
        <f aca="false">IFERROR(CHOOSE(MATCH(INDEX(時間ごとの判定!$AQ$3:$AQ$1850,227),{"利用可","両方停止","運転がそろわない","判定不能"},0),"○","停","×","－"),"")</f>
        <v>○</v>
      </c>
      <c r="N13" s="35" t="str">
        <f aca="false">IFERROR(CHOOSE(MATCH(INDEX(時間ごとの判定!$AQ$3:$AQ$1850,228),{"利用可","両方停止","運転がそろわない","判定不能"},0),"○","停","×","－"),"")</f>
        <v>○</v>
      </c>
      <c r="O13" s="35" t="str">
        <f aca="false">IFERROR(CHOOSE(MATCH(INDEX(時間ごとの判定!$AQ$3:$AQ$1850,229),{"利用可","両方停止","運転がそろわない","判定不能"},0),"○","停","×","－"),"")</f>
        <v>○</v>
      </c>
      <c r="P13" s="35" t="str">
        <f aca="false">IFERROR(CHOOSE(MATCH(INDEX(時間ごとの判定!$AQ$3:$AQ$1850,230),{"利用可","両方停止","運転がそろわない","判定不能"},0),"○","停","×","－"),"")</f>
        <v>○</v>
      </c>
      <c r="Q13" s="35" t="str">
        <f aca="false">IFERROR(CHOOSE(MATCH(INDEX(時間ごとの判定!$AQ$3:$AQ$1850,231),{"利用可","両方停止","運転がそろわない","判定不能"},0),"○","停","×","－"),"")</f>
        <v>○</v>
      </c>
      <c r="R13" s="35" t="str">
        <f aca="false">IFERROR(CHOOSE(MATCH(INDEX(時間ごとの判定!$AQ$3:$AQ$1850,232),{"利用可","両方停止","運転がそろわない","判定不能"},0),"○","停","×","－"),"")</f>
        <v>○</v>
      </c>
      <c r="S13" s="35" t="str">
        <f aca="false">IFERROR(CHOOSE(MATCH(INDEX(時間ごとの判定!$AQ$3:$AQ$1850,233),{"利用可","両方停止","運転がそろわない","判定不能"},0),"○","停","×","－"),"")</f>
        <v>○</v>
      </c>
      <c r="T13" s="35" t="str">
        <f aca="false">IFERROR(CHOOSE(MATCH(INDEX(時間ごとの判定!$AQ$3:$AQ$1850,234),{"利用可","両方停止","運転がそろわない","判定不能"},0),"○","停","×","－"),"")</f>
        <v>○</v>
      </c>
      <c r="U13" s="35" t="str">
        <f aca="false">IFERROR(CHOOSE(MATCH(INDEX(時間ごとの判定!$AQ$3:$AQ$1850,235),{"利用可","両方停止","運転がそろわない","判定不能"},0),"○","停","×","－"),"")</f>
        <v>○</v>
      </c>
      <c r="V13" s="35" t="str">
        <f aca="false">IFERROR(CHOOSE(MATCH(INDEX(時間ごとの判定!$AQ$3:$AQ$1850,236),{"利用可","両方停止","運転がそろわない","判定不能"},0),"○","停","×","－"),"")</f>
        <v>×</v>
      </c>
      <c r="W13" s="35" t="str">
        <f aca="false">IFERROR(CHOOSE(MATCH(INDEX(時間ごとの判定!$AQ$3:$AQ$1850,237),{"利用可","両方停止","運転がそろわない","判定不能"},0),"○","停","×","－"),"")</f>
        <v>×</v>
      </c>
      <c r="X13" s="35" t="str">
        <f aca="false">IFERROR(CHOOSE(MATCH(INDEX(時間ごとの判定!$AQ$3:$AQ$1850,238),{"利用可","両方停止","運転がそろわない","判定不能"},0),"○","停","×","－"),"")</f>
        <v>停</v>
      </c>
      <c r="Y13" s="35" t="str">
        <f aca="false">IFERROR(CHOOSE(MATCH(INDEX(時間ごとの判定!$AQ$3:$AQ$1850,239),{"利用可","両方停止","運転がそろわない","判定不能"},0),"○","停","×","－"),"")</f>
        <v>停</v>
      </c>
      <c r="Z13" s="35" t="str">
        <f aca="false">IFERROR(CHOOSE(MATCH(INDEX(時間ごとの判定!$AQ$3:$AQ$1850,240),{"利用可","両方停止","運転がそろわない","判定不能"},0),"○","停","×","－"),"")</f>
        <v>停</v>
      </c>
      <c r="AA13" s="35"/>
      <c r="AB13" s="35" t="str">
        <f aca="false">IFERROR(CHOOSE(MATCH(INDEX(時間ごとの判定!$AT$3:$AT$1850,217),{"利用可","両方停止","運転がそろわない","判定不能"},0),"○","停","×","－"),"")</f>
        <v>停</v>
      </c>
      <c r="AC13" s="35" t="str">
        <f aca="false">IFERROR(CHOOSE(MATCH(INDEX(時間ごとの判定!$AT$3:$AT$1850,218),{"利用可","両方停止","運転がそろわない","判定不能"},0),"○","停","×","－"),"")</f>
        <v>停</v>
      </c>
      <c r="AD13" s="35" t="str">
        <f aca="false">IFERROR(CHOOSE(MATCH(INDEX(時間ごとの判定!$AT$3:$AT$1850,219),{"利用可","両方停止","運転がそろわない","判定不能"},0),"○","停","×","－"),"")</f>
        <v>停</v>
      </c>
      <c r="AE13" s="35" t="str">
        <f aca="false">IFERROR(CHOOSE(MATCH(INDEX(時間ごとの判定!$AT$3:$AT$1850,220),{"利用可","両方停止","運転がそろわない","判定不能"},0),"○","停","×","－"),"")</f>
        <v>停</v>
      </c>
      <c r="AF13" s="35" t="str">
        <f aca="false">IFERROR(CHOOSE(MATCH(INDEX(時間ごとの判定!$AT$3:$AT$1850,221),{"利用可","両方停止","運転がそろわない","判定不能"},0),"○","停","×","－"),"")</f>
        <v>停</v>
      </c>
      <c r="AG13" s="35" t="str">
        <f aca="false">IFERROR(CHOOSE(MATCH(INDEX(時間ごとの判定!$AT$3:$AT$1850,222),{"利用可","両方停止","運転がそろわない","判定不能"},0),"○","停","×","－"),"")</f>
        <v>停</v>
      </c>
      <c r="AH13" s="35" t="str">
        <f aca="false">IFERROR(CHOOSE(MATCH(INDEX(時間ごとの判定!$AT$3:$AT$1850,223),{"利用可","両方停止","運転がそろわない","判定不能"},0),"○","停","×","－"),"")</f>
        <v>×</v>
      </c>
      <c r="AI13" s="35" t="str">
        <f aca="false">IFERROR(CHOOSE(MATCH(INDEX(時間ごとの判定!$AT$3:$AT$1850,224),{"利用可","両方停止","運転がそろわない","判定不能"},0),"○","停","×","－"),"")</f>
        <v>×</v>
      </c>
      <c r="AJ13" s="35" t="str">
        <f aca="false">IFERROR(CHOOSE(MATCH(INDEX(時間ごとの判定!$AT$3:$AT$1850,225),{"利用可","両方停止","運転がそろわない","判定不能"},0),"○","停","×","－"),"")</f>
        <v>○</v>
      </c>
      <c r="AK13" s="35" t="str">
        <f aca="false">IFERROR(CHOOSE(MATCH(INDEX(時間ごとの判定!$AT$3:$AT$1850,226),{"利用可","両方停止","運転がそろわない","判定不能"},0),"○","停","×","－"),"")</f>
        <v>○</v>
      </c>
      <c r="AL13" s="35" t="str">
        <f aca="false">IFERROR(CHOOSE(MATCH(INDEX(時間ごとの判定!$AT$3:$AT$1850,227),{"利用可","両方停止","運転がそろわない","判定不能"},0),"○","停","×","－"),"")</f>
        <v>○</v>
      </c>
      <c r="AM13" s="35" t="str">
        <f aca="false">IFERROR(CHOOSE(MATCH(INDEX(時間ごとの判定!$AT$3:$AT$1850,228),{"利用可","両方停止","運転がそろわない","判定不能"},0),"○","停","×","－"),"")</f>
        <v>○</v>
      </c>
      <c r="AN13" s="35" t="str">
        <f aca="false">IFERROR(CHOOSE(MATCH(INDEX(時間ごとの判定!$AT$3:$AT$1850,229),{"利用可","両方停止","運転がそろわない","判定不能"},0),"○","停","×","－"),"")</f>
        <v>○</v>
      </c>
      <c r="AO13" s="35" t="str">
        <f aca="false">IFERROR(CHOOSE(MATCH(INDEX(時間ごとの判定!$AT$3:$AT$1850,230),{"利用可","両方停止","運転がそろわない","判定不能"},0),"○","停","×","－"),"")</f>
        <v>○</v>
      </c>
      <c r="AP13" s="35" t="str">
        <f aca="false">IFERROR(CHOOSE(MATCH(INDEX(時間ごとの判定!$AT$3:$AT$1850,231),{"利用可","両方停止","運転がそろわない","判定不能"},0),"○","停","×","－"),"")</f>
        <v>○</v>
      </c>
      <c r="AQ13" s="35" t="str">
        <f aca="false">IFERROR(CHOOSE(MATCH(INDEX(時間ごとの判定!$AT$3:$AT$1850,232),{"利用可","両方停止","運転がそろわない","判定不能"},0),"○","停","×","－"),"")</f>
        <v>○</v>
      </c>
      <c r="AR13" s="35" t="str">
        <f aca="false">IFERROR(CHOOSE(MATCH(INDEX(時間ごとの判定!$AT$3:$AT$1850,233),{"利用可","両方停止","運転がそろわない","判定不能"},0),"○","停","×","－"),"")</f>
        <v>○</v>
      </c>
      <c r="AS13" s="35" t="str">
        <f aca="false">IFERROR(CHOOSE(MATCH(INDEX(時間ごとの判定!$AT$3:$AT$1850,234),{"利用可","両方停止","運転がそろわない","判定不能"},0),"○","停","×","－"),"")</f>
        <v>○</v>
      </c>
      <c r="AT13" s="35" t="str">
        <f aca="false">IFERROR(CHOOSE(MATCH(INDEX(時間ごとの判定!$AT$3:$AT$1850,235),{"利用可","両方停止","運転がそろわない","判定不能"},0),"○","停","×","－"),"")</f>
        <v>×</v>
      </c>
      <c r="AU13" s="35" t="str">
        <f aca="false">IFERROR(CHOOSE(MATCH(INDEX(時間ごとの判定!$AT$3:$AT$1850,236),{"利用可","両方停止","運転がそろわない","判定不能"},0),"○","停","×","－"),"")</f>
        <v>×</v>
      </c>
      <c r="AV13" s="35" t="str">
        <f aca="false">IFERROR(CHOOSE(MATCH(INDEX(時間ごとの判定!$AT$3:$AT$1850,237),{"利用可","両方停止","運転がそろわない","判定不能"},0),"○","停","×","－"),"")</f>
        <v>×</v>
      </c>
      <c r="AW13" s="35" t="str">
        <f aca="false">IFERROR(CHOOSE(MATCH(INDEX(時間ごとの判定!$AT$3:$AT$1850,238),{"利用可","両方停止","運転がそろわない","判定不能"},0),"○","停","×","－"),"")</f>
        <v>×</v>
      </c>
      <c r="AX13" s="35" t="str">
        <f aca="false">IFERROR(CHOOSE(MATCH(INDEX(時間ごとの判定!$AT$3:$AT$1850,239),{"利用可","両方停止","運転がそろわない","判定不能"},0),"○","停","×","－"),"")</f>
        <v>×</v>
      </c>
      <c r="AY13" s="35" t="str">
        <f aca="false">IFERROR(CHOOSE(MATCH(INDEX(時間ごとの判定!$AT$3:$AT$1850,240),{"利用可","両方停止","運転がそろわない","判定不能"},0),"○","停","×","－"),"")</f>
        <v>停</v>
      </c>
      <c r="AZ13" s="35"/>
      <c r="BA13" s="35" t="str">
        <f aca="false">IFERROR(CHOOSE(MATCH(INDEX(時間ごとの判定!$AW$3:$AW$1850,217),{"利用可","両方停止","運転がそろわない","判定不能"},0),"○","停","×","－"),"")</f>
        <v>×</v>
      </c>
      <c r="BB13" s="35" t="str">
        <f aca="false">IFERROR(CHOOSE(MATCH(INDEX(時間ごとの判定!$AW$3:$AW$1850,218),{"利用可","両方停止","運転がそろわない","判定不能"},0),"○","停","×","－"),"")</f>
        <v>×</v>
      </c>
      <c r="BC13" s="35" t="str">
        <f aca="false">IFERROR(CHOOSE(MATCH(INDEX(時間ごとの判定!$AW$3:$AW$1850,219),{"利用可","両方停止","運転がそろわない","判定不能"},0),"○","停","×","－"),"")</f>
        <v>×</v>
      </c>
      <c r="BD13" s="35" t="str">
        <f aca="false">IFERROR(CHOOSE(MATCH(INDEX(時間ごとの判定!$AW$3:$AW$1850,220),{"利用可","両方停止","運転がそろわない","判定不能"},0),"○","停","×","－"),"")</f>
        <v>×</v>
      </c>
      <c r="BE13" s="35" t="str">
        <f aca="false">IFERROR(CHOOSE(MATCH(INDEX(時間ごとの判定!$AW$3:$AW$1850,221),{"利用可","両方停止","運転がそろわない","判定不能"},0),"○","停","×","－"),"")</f>
        <v>×</v>
      </c>
      <c r="BF13" s="35" t="str">
        <f aca="false">IFERROR(CHOOSE(MATCH(INDEX(時間ごとの判定!$AW$3:$AW$1850,222),{"利用可","両方停止","運転がそろわない","判定不能"},0),"○","停","×","－"),"")</f>
        <v>×</v>
      </c>
      <c r="BG13" s="35" t="str">
        <f aca="false">IFERROR(CHOOSE(MATCH(INDEX(時間ごとの判定!$AW$3:$AW$1850,223),{"利用可","両方停止","運転がそろわない","判定不能"},0),"○","停","×","－"),"")</f>
        <v>○</v>
      </c>
      <c r="BH13" s="35" t="str">
        <f aca="false">IFERROR(CHOOSE(MATCH(INDEX(時間ごとの判定!$AW$3:$AW$1850,224),{"利用可","両方停止","運転がそろわない","判定不能"},0),"○","停","×","－"),"")</f>
        <v>○</v>
      </c>
      <c r="BI13" s="35" t="str">
        <f aca="false">IFERROR(CHOOSE(MATCH(INDEX(時間ごとの判定!$AW$3:$AW$1850,225),{"利用可","両方停止","運転がそろわない","判定不能"},0),"○","停","×","－"),"")</f>
        <v>○</v>
      </c>
      <c r="BJ13" s="35" t="str">
        <f aca="false">IFERROR(CHOOSE(MATCH(INDEX(時間ごとの判定!$AW$3:$AW$1850,226),{"利用可","両方停止","運転がそろわない","判定不能"},0),"○","停","×","－"),"")</f>
        <v>○</v>
      </c>
      <c r="BK13" s="35" t="str">
        <f aca="false">IFERROR(CHOOSE(MATCH(INDEX(時間ごとの判定!$AW$3:$AW$1850,227),{"利用可","両方停止","運転がそろわない","判定不能"},0),"○","停","×","－"),"")</f>
        <v>○</v>
      </c>
      <c r="BL13" s="35" t="str">
        <f aca="false">IFERROR(CHOOSE(MATCH(INDEX(時間ごとの判定!$AW$3:$AW$1850,228),{"利用可","両方停止","運転がそろわない","判定不能"},0),"○","停","×","－"),"")</f>
        <v>○</v>
      </c>
      <c r="BM13" s="35" t="str">
        <f aca="false">IFERROR(CHOOSE(MATCH(INDEX(時間ごとの判定!$AW$3:$AW$1850,229),{"利用可","両方停止","運転がそろわない","判定不能"},0),"○","停","×","－"),"")</f>
        <v>○</v>
      </c>
      <c r="BN13" s="35" t="str">
        <f aca="false">IFERROR(CHOOSE(MATCH(INDEX(時間ごとの判定!$AW$3:$AW$1850,230),{"利用可","両方停止","運転がそろわない","判定不能"},0),"○","停","×","－"),"")</f>
        <v>○</v>
      </c>
      <c r="BO13" s="35" t="str">
        <f aca="false">IFERROR(CHOOSE(MATCH(INDEX(時間ごとの判定!$AW$3:$AW$1850,231),{"利用可","両方停止","運転がそろわない","判定不能"},0),"○","停","×","－"),"")</f>
        <v>○</v>
      </c>
      <c r="BP13" s="35" t="str">
        <f aca="false">IFERROR(CHOOSE(MATCH(INDEX(時間ごとの判定!$AW$3:$AW$1850,232),{"利用可","両方停止","運転がそろわない","判定不能"},0),"○","停","×","－"),"")</f>
        <v>○</v>
      </c>
      <c r="BQ13" s="35" t="str">
        <f aca="false">IFERROR(CHOOSE(MATCH(INDEX(時間ごとの判定!$AW$3:$AW$1850,233),{"利用可","両方停止","運転がそろわない","判定不能"},0),"○","停","×","－"),"")</f>
        <v>○</v>
      </c>
      <c r="BR13" s="35" t="str">
        <f aca="false">IFERROR(CHOOSE(MATCH(INDEX(時間ごとの判定!$AW$3:$AW$1850,234),{"利用可","両方停止","運転がそろわない","判定不能"},0),"○","停","×","－"),"")</f>
        <v>○</v>
      </c>
      <c r="BS13" s="35" t="str">
        <f aca="false">IFERROR(CHOOSE(MATCH(INDEX(時間ごとの判定!$AW$3:$AW$1850,235),{"利用可","両方停止","運転がそろわない","判定不能"},0),"○","停","×","－"),"")</f>
        <v>○</v>
      </c>
      <c r="BT13" s="35" t="str">
        <f aca="false">IFERROR(CHOOSE(MATCH(INDEX(時間ごとの判定!$AW$3:$AW$1850,236),{"利用可","両方停止","運転がそろわない","判定不能"},0),"○","停","×","－"),"")</f>
        <v>×</v>
      </c>
      <c r="BU13" s="35" t="str">
        <f aca="false">IFERROR(CHOOSE(MATCH(INDEX(時間ごとの判定!$AW$3:$AW$1850,237),{"利用可","両方停止","運転がそろわない","判定不能"},0),"○","停","×","－"),"")</f>
        <v>×</v>
      </c>
      <c r="BV13" s="35" t="str">
        <f aca="false">IFERROR(CHOOSE(MATCH(INDEX(時間ごとの判定!$AW$3:$AW$1850,238),{"利用可","両方停止","運転がそろわない","判定不能"},0),"○","停","×","－"),"")</f>
        <v>○</v>
      </c>
      <c r="BW13" s="35" t="str">
        <f aca="false">IFERROR(CHOOSE(MATCH(INDEX(時間ごとの判定!$AW$3:$AW$1850,239),{"利用可","両方停止","運転がそろわない","判定不能"},0),"○","停","×","－"),"")</f>
        <v>○</v>
      </c>
      <c r="BX13" s="35" t="str">
        <f aca="false">IFERROR(CHOOSE(MATCH(INDEX(時間ごとの判定!$AW$3:$AW$1850,240),{"利用可","両方停止","運転がそろわない","判定不能"},0),"○","停","×","－"),"")</f>
        <v>×</v>
      </c>
    </row>
    <row r="14" customFormat="false" ht="15" hidden="false" customHeight="false" outlineLevel="0" collapsed="false">
      <c r="A14" s="33" t="n">
        <v>46242</v>
      </c>
      <c r="B14" s="36" t="s">
        <v>63</v>
      </c>
      <c r="C14" s="35" t="str">
        <f aca="false">IFERROR(CHOOSE(MATCH(INDEX(時間ごとの判定!$AQ$3:$AQ$1850,241),{"利用可","両方停止","運転がそろわない","判定不能"},0),"○","停","×","－"),"")</f>
        <v>停</v>
      </c>
      <c r="D14" s="35" t="str">
        <f aca="false">IFERROR(CHOOSE(MATCH(INDEX(時間ごとの判定!$AQ$3:$AQ$1850,242),{"利用可","両方停止","運転がそろわない","判定不能"},0),"○","停","×","－"),"")</f>
        <v>停</v>
      </c>
      <c r="E14" s="35" t="str">
        <f aca="false">IFERROR(CHOOSE(MATCH(INDEX(時間ごとの判定!$AQ$3:$AQ$1850,243),{"利用可","両方停止","運転がそろわない","判定不能"},0),"○","停","×","－"),"")</f>
        <v>停</v>
      </c>
      <c r="F14" s="35" t="str">
        <f aca="false">IFERROR(CHOOSE(MATCH(INDEX(時間ごとの判定!$AQ$3:$AQ$1850,244),{"利用可","両方停止","運転がそろわない","判定不能"},0),"○","停","×","－"),"")</f>
        <v>停</v>
      </c>
      <c r="G14" s="35" t="str">
        <f aca="false">IFERROR(CHOOSE(MATCH(INDEX(時間ごとの判定!$AQ$3:$AQ$1850,245),{"利用可","両方停止","運転がそろわない","判定不能"},0),"○","停","×","－"),"")</f>
        <v>停</v>
      </c>
      <c r="H14" s="35" t="str">
        <f aca="false">IFERROR(CHOOSE(MATCH(INDEX(時間ごとの判定!$AQ$3:$AQ$1850,246),{"利用可","両方停止","運転がそろわない","判定不能"},0),"○","停","×","－"),"")</f>
        <v>停</v>
      </c>
      <c r="I14" s="35" t="str">
        <f aca="false">IFERROR(CHOOSE(MATCH(INDEX(時間ごとの判定!$AQ$3:$AQ$1850,247),{"利用可","両方停止","運転がそろわない","判定不能"},0),"○","停","×","－"),"")</f>
        <v>停</v>
      </c>
      <c r="J14" s="35" t="str">
        <f aca="false">IFERROR(CHOOSE(MATCH(INDEX(時間ごとの判定!$AQ$3:$AQ$1850,248),{"利用可","両方停止","運転がそろわない","判定不能"},0),"○","停","×","－"),"")</f>
        <v>停</v>
      </c>
      <c r="K14" s="35" t="str">
        <f aca="false">IFERROR(CHOOSE(MATCH(INDEX(時間ごとの判定!$AQ$3:$AQ$1850,249),{"利用可","両方停止","運転がそろわない","判定不能"},0),"○","停","×","－"),"")</f>
        <v>○</v>
      </c>
      <c r="L14" s="35" t="str">
        <f aca="false">IFERROR(CHOOSE(MATCH(INDEX(時間ごとの判定!$AQ$3:$AQ$1850,250),{"利用可","両方停止","運転がそろわない","判定不能"},0),"○","停","×","－"),"")</f>
        <v>○</v>
      </c>
      <c r="M14" s="35" t="str">
        <f aca="false">IFERROR(CHOOSE(MATCH(INDEX(時間ごとの判定!$AQ$3:$AQ$1850,251),{"利用可","両方停止","運転がそろわない","判定不能"},0),"○","停","×","－"),"")</f>
        <v>○</v>
      </c>
      <c r="N14" s="35" t="str">
        <f aca="false">IFERROR(CHOOSE(MATCH(INDEX(時間ごとの判定!$AQ$3:$AQ$1850,252),{"利用可","両方停止","運転がそろわない","判定不能"},0),"○","停","×","－"),"")</f>
        <v>○</v>
      </c>
      <c r="O14" s="35" t="str">
        <f aca="false">IFERROR(CHOOSE(MATCH(INDEX(時間ごとの判定!$AQ$3:$AQ$1850,253),{"利用可","両方停止","運転がそろわない","判定不能"},0),"○","停","×","－"),"")</f>
        <v>○</v>
      </c>
      <c r="P14" s="35" t="str">
        <f aca="false">IFERROR(CHOOSE(MATCH(INDEX(時間ごとの判定!$AQ$3:$AQ$1850,254),{"利用可","両方停止","運転がそろわない","判定不能"},0),"○","停","×","－"),"")</f>
        <v>○</v>
      </c>
      <c r="Q14" s="35" t="str">
        <f aca="false">IFERROR(CHOOSE(MATCH(INDEX(時間ごとの判定!$AQ$3:$AQ$1850,255),{"利用可","両方停止","運転がそろわない","判定不能"},0),"○","停","×","－"),"")</f>
        <v>○</v>
      </c>
      <c r="R14" s="35" t="str">
        <f aca="false">IFERROR(CHOOSE(MATCH(INDEX(時間ごとの判定!$AQ$3:$AQ$1850,256),{"利用可","両方停止","運転がそろわない","判定不能"},0),"○","停","×","－"),"")</f>
        <v>○</v>
      </c>
      <c r="S14" s="35" t="str">
        <f aca="false">IFERROR(CHOOSE(MATCH(INDEX(時間ごとの判定!$AQ$3:$AQ$1850,257),{"利用可","両方停止","運転がそろわない","判定不能"},0),"○","停","×","－"),"")</f>
        <v>×</v>
      </c>
      <c r="T14" s="35" t="str">
        <f aca="false">IFERROR(CHOOSE(MATCH(INDEX(時間ごとの判定!$AQ$3:$AQ$1850,258),{"利用可","両方停止","運転がそろわない","判定不能"},0),"○","停","×","－"),"")</f>
        <v>○</v>
      </c>
      <c r="U14" s="35" t="str">
        <f aca="false">IFERROR(CHOOSE(MATCH(INDEX(時間ごとの判定!$AQ$3:$AQ$1850,259),{"利用可","両方停止","運転がそろわない","判定不能"},0),"○","停","×","－"),"")</f>
        <v>×</v>
      </c>
      <c r="V14" s="35" t="str">
        <f aca="false">IFERROR(CHOOSE(MATCH(INDEX(時間ごとの判定!$AQ$3:$AQ$1850,260),{"利用可","両方停止","運転がそろわない","判定不能"},0),"○","停","×","－"),"")</f>
        <v>×</v>
      </c>
      <c r="W14" s="35" t="str">
        <f aca="false">IFERROR(CHOOSE(MATCH(INDEX(時間ごとの判定!$AQ$3:$AQ$1850,261),{"利用可","両方停止","運転がそろわない","判定不能"},0),"○","停","×","－"),"")</f>
        <v>×</v>
      </c>
      <c r="X14" s="35" t="str">
        <f aca="false">IFERROR(CHOOSE(MATCH(INDEX(時間ごとの判定!$AQ$3:$AQ$1850,262),{"利用可","両方停止","運転がそろわない","判定不能"},0),"○","停","×","－"),"")</f>
        <v>停</v>
      </c>
      <c r="Y14" s="35" t="str">
        <f aca="false">IFERROR(CHOOSE(MATCH(INDEX(時間ごとの判定!$AQ$3:$AQ$1850,263),{"利用可","両方停止","運転がそろわない","判定不能"},0),"○","停","×","－"),"")</f>
        <v>停</v>
      </c>
      <c r="Z14" s="35" t="str">
        <f aca="false">IFERROR(CHOOSE(MATCH(INDEX(時間ごとの判定!$AQ$3:$AQ$1850,264),{"利用可","両方停止","運転がそろわない","判定不能"},0),"○","停","×","－"),"")</f>
        <v>停</v>
      </c>
      <c r="AA14" s="35"/>
      <c r="AB14" s="35" t="str">
        <f aca="false">IFERROR(CHOOSE(MATCH(INDEX(時間ごとの判定!$AT$3:$AT$1850,241),{"利用可","両方停止","運転がそろわない","判定不能"},0),"○","停","×","－"),"")</f>
        <v>停</v>
      </c>
      <c r="AC14" s="35" t="str">
        <f aca="false">IFERROR(CHOOSE(MATCH(INDEX(時間ごとの判定!$AT$3:$AT$1850,242),{"利用可","両方停止","運転がそろわない","判定不能"},0),"○","停","×","－"),"")</f>
        <v>停</v>
      </c>
      <c r="AD14" s="35" t="str">
        <f aca="false">IFERROR(CHOOSE(MATCH(INDEX(時間ごとの判定!$AT$3:$AT$1850,243),{"利用可","両方停止","運転がそろわない","判定不能"},0),"○","停","×","－"),"")</f>
        <v>停</v>
      </c>
      <c r="AE14" s="35" t="str">
        <f aca="false">IFERROR(CHOOSE(MATCH(INDEX(時間ごとの判定!$AT$3:$AT$1850,244),{"利用可","両方停止","運転がそろわない","判定不能"},0),"○","停","×","－"),"")</f>
        <v>停</v>
      </c>
      <c r="AF14" s="35" t="str">
        <f aca="false">IFERROR(CHOOSE(MATCH(INDEX(時間ごとの判定!$AT$3:$AT$1850,245),{"利用可","両方停止","運転がそろわない","判定不能"},0),"○","停","×","－"),"")</f>
        <v>停</v>
      </c>
      <c r="AG14" s="35" t="str">
        <f aca="false">IFERROR(CHOOSE(MATCH(INDEX(時間ごとの判定!$AT$3:$AT$1850,246),{"利用可","両方停止","運転がそろわない","判定不能"},0),"○","停","×","－"),"")</f>
        <v>停</v>
      </c>
      <c r="AH14" s="35" t="str">
        <f aca="false">IFERROR(CHOOSE(MATCH(INDEX(時間ごとの判定!$AT$3:$AT$1850,247),{"利用可","両方停止","運転がそろわない","判定不能"},0),"○","停","×","－"),"")</f>
        <v>停</v>
      </c>
      <c r="AI14" s="35" t="str">
        <f aca="false">IFERROR(CHOOSE(MATCH(INDEX(時間ごとの判定!$AT$3:$AT$1850,248),{"利用可","両方停止","運転がそろわない","判定不能"},0),"○","停","×","－"),"")</f>
        <v>停</v>
      </c>
      <c r="AJ14" s="35" t="str">
        <f aca="false">IFERROR(CHOOSE(MATCH(INDEX(時間ごとの判定!$AT$3:$AT$1850,249),{"利用可","両方停止","運転がそろわない","判定不能"},0),"○","停","×","－"),"")</f>
        <v>○</v>
      </c>
      <c r="AK14" s="35" t="str">
        <f aca="false">IFERROR(CHOOSE(MATCH(INDEX(時間ごとの判定!$AT$3:$AT$1850,250),{"利用可","両方停止","運転がそろわない","判定不能"},0),"○","停","×","－"),"")</f>
        <v>○</v>
      </c>
      <c r="AL14" s="35" t="str">
        <f aca="false">IFERROR(CHOOSE(MATCH(INDEX(時間ごとの判定!$AT$3:$AT$1850,251),{"利用可","両方停止","運転がそろわない","判定不能"},0),"○","停","×","－"),"")</f>
        <v>○</v>
      </c>
      <c r="AM14" s="35" t="str">
        <f aca="false">IFERROR(CHOOSE(MATCH(INDEX(時間ごとの判定!$AT$3:$AT$1850,252),{"利用可","両方停止","運転がそろわない","判定不能"},0),"○","停","×","－"),"")</f>
        <v>○</v>
      </c>
      <c r="AN14" s="35" t="str">
        <f aca="false">IFERROR(CHOOSE(MATCH(INDEX(時間ごとの判定!$AT$3:$AT$1850,253),{"利用可","両方停止","運転がそろわない","判定不能"},0),"○","停","×","－"),"")</f>
        <v>○</v>
      </c>
      <c r="AO14" s="35" t="str">
        <f aca="false">IFERROR(CHOOSE(MATCH(INDEX(時間ごとの判定!$AT$3:$AT$1850,254),{"利用可","両方停止","運転がそろわない","判定不能"},0),"○","停","×","－"),"")</f>
        <v>○</v>
      </c>
      <c r="AP14" s="35" t="str">
        <f aca="false">IFERROR(CHOOSE(MATCH(INDEX(時間ごとの判定!$AT$3:$AT$1850,255),{"利用可","両方停止","運転がそろわない","判定不能"},0),"○","停","×","－"),"")</f>
        <v>○</v>
      </c>
      <c r="AQ14" s="35" t="str">
        <f aca="false">IFERROR(CHOOSE(MATCH(INDEX(時間ごとの判定!$AT$3:$AT$1850,256),{"利用可","両方停止","運転がそろわない","判定不能"},0),"○","停","×","－"),"")</f>
        <v>○</v>
      </c>
      <c r="AR14" s="35" t="str">
        <f aca="false">IFERROR(CHOOSE(MATCH(INDEX(時間ごとの判定!$AT$3:$AT$1850,257),{"利用可","両方停止","運転がそろわない","判定不能"},0),"○","停","×","－"),"")</f>
        <v>○</v>
      </c>
      <c r="AS14" s="35" t="str">
        <f aca="false">IFERROR(CHOOSE(MATCH(INDEX(時間ごとの判定!$AT$3:$AT$1850,258),{"利用可","両方停止","運転がそろわない","判定不能"},0),"○","停","×","－"),"")</f>
        <v>○</v>
      </c>
      <c r="AT14" s="35" t="str">
        <f aca="false">IFERROR(CHOOSE(MATCH(INDEX(時間ごとの判定!$AT$3:$AT$1850,259),{"利用可","両方停止","運転がそろわない","判定不能"},0),"○","停","×","－"),"")</f>
        <v>×</v>
      </c>
      <c r="AU14" s="35" t="str">
        <f aca="false">IFERROR(CHOOSE(MATCH(INDEX(時間ごとの判定!$AT$3:$AT$1850,260),{"利用可","両方停止","運転がそろわない","判定不能"},0),"○","停","×","－"),"")</f>
        <v>×</v>
      </c>
      <c r="AV14" s="35" t="str">
        <f aca="false">IFERROR(CHOOSE(MATCH(INDEX(時間ごとの判定!$AT$3:$AT$1850,261),{"利用可","両方停止","運転がそろわない","判定不能"},0),"○","停","×","－"),"")</f>
        <v>×</v>
      </c>
      <c r="AW14" s="35" t="str">
        <f aca="false">IFERROR(CHOOSE(MATCH(INDEX(時間ごとの判定!$AT$3:$AT$1850,262),{"利用可","両方停止","運転がそろわない","判定不能"},0),"○","停","×","－"),"")</f>
        <v>停</v>
      </c>
      <c r="AX14" s="35" t="str">
        <f aca="false">IFERROR(CHOOSE(MATCH(INDEX(時間ごとの判定!$AT$3:$AT$1850,263),{"利用可","両方停止","運転がそろわない","判定不能"},0),"○","停","×","－"),"")</f>
        <v>停</v>
      </c>
      <c r="AY14" s="35" t="str">
        <f aca="false">IFERROR(CHOOSE(MATCH(INDEX(時間ごとの判定!$AT$3:$AT$1850,264),{"利用可","両方停止","運転がそろわない","判定不能"},0),"○","停","×","－"),"")</f>
        <v>停</v>
      </c>
      <c r="AZ14" s="35"/>
      <c r="BA14" s="35" t="str">
        <f aca="false">IFERROR(CHOOSE(MATCH(INDEX(時間ごとの判定!$AW$3:$AW$1850,241),{"利用可","両方停止","運転がそろわない","判定不能"},0),"○","停","×","－"),"")</f>
        <v>×</v>
      </c>
      <c r="BB14" s="35" t="str">
        <f aca="false">IFERROR(CHOOSE(MATCH(INDEX(時間ごとの判定!$AW$3:$AW$1850,242),{"利用可","両方停止","運転がそろわない","判定不能"},0),"○","停","×","－"),"")</f>
        <v>×</v>
      </c>
      <c r="BC14" s="35" t="str">
        <f aca="false">IFERROR(CHOOSE(MATCH(INDEX(時間ごとの判定!$AW$3:$AW$1850,243),{"利用可","両方停止","運転がそろわない","判定不能"},0),"○","停","×","－"),"")</f>
        <v>×</v>
      </c>
      <c r="BD14" s="35" t="str">
        <f aca="false">IFERROR(CHOOSE(MATCH(INDEX(時間ごとの判定!$AW$3:$AW$1850,244),{"利用可","両方停止","運転がそろわない","判定不能"},0),"○","停","×","－"),"")</f>
        <v>×</v>
      </c>
      <c r="BE14" s="35" t="str">
        <f aca="false">IFERROR(CHOOSE(MATCH(INDEX(時間ごとの判定!$AW$3:$AW$1850,245),{"利用可","両方停止","運転がそろわない","判定不能"},0),"○","停","×","－"),"")</f>
        <v>×</v>
      </c>
      <c r="BF14" s="35" t="str">
        <f aca="false">IFERROR(CHOOSE(MATCH(INDEX(時間ごとの判定!$AW$3:$AW$1850,246),{"利用可","両方停止","運転がそろわない","判定不能"},0),"○","停","×","－"),"")</f>
        <v>×</v>
      </c>
      <c r="BG14" s="35" t="str">
        <f aca="false">IFERROR(CHOOSE(MATCH(INDEX(時間ごとの判定!$AW$3:$AW$1850,247),{"利用可","両方停止","運転がそろわない","判定不能"},0),"○","停","×","－"),"")</f>
        <v>×</v>
      </c>
      <c r="BH14" s="35" t="str">
        <f aca="false">IFERROR(CHOOSE(MATCH(INDEX(時間ごとの判定!$AW$3:$AW$1850,248),{"利用可","両方停止","運転がそろわない","判定不能"},0),"○","停","×","－"),"")</f>
        <v>×</v>
      </c>
      <c r="BI14" s="35" t="str">
        <f aca="false">IFERROR(CHOOSE(MATCH(INDEX(時間ごとの判定!$AW$3:$AW$1850,249),{"利用可","両方停止","運転がそろわない","判定不能"},0),"○","停","×","－"),"")</f>
        <v>○</v>
      </c>
      <c r="BJ14" s="35" t="str">
        <f aca="false">IFERROR(CHOOSE(MATCH(INDEX(時間ごとの判定!$AW$3:$AW$1850,250),{"利用可","両方停止","運転がそろわない","判定不能"},0),"○","停","×","－"),"")</f>
        <v>○</v>
      </c>
      <c r="BK14" s="35" t="str">
        <f aca="false">IFERROR(CHOOSE(MATCH(INDEX(時間ごとの判定!$AW$3:$AW$1850,251),{"利用可","両方停止","運転がそろわない","判定不能"},0),"○","停","×","－"),"")</f>
        <v>○</v>
      </c>
      <c r="BL14" s="35" t="str">
        <f aca="false">IFERROR(CHOOSE(MATCH(INDEX(時間ごとの判定!$AW$3:$AW$1850,252),{"利用可","両方停止","運転がそろわない","判定不能"},0),"○","停","×","－"),"")</f>
        <v>○</v>
      </c>
      <c r="BM14" s="35" t="str">
        <f aca="false">IFERROR(CHOOSE(MATCH(INDEX(時間ごとの判定!$AW$3:$AW$1850,253),{"利用可","両方停止","運転がそろわない","判定不能"},0),"○","停","×","－"),"")</f>
        <v>○</v>
      </c>
      <c r="BN14" s="35" t="str">
        <f aca="false">IFERROR(CHOOSE(MATCH(INDEX(時間ごとの判定!$AW$3:$AW$1850,254),{"利用可","両方停止","運転がそろわない","判定不能"},0),"○","停","×","－"),"")</f>
        <v>○</v>
      </c>
      <c r="BO14" s="35" t="str">
        <f aca="false">IFERROR(CHOOSE(MATCH(INDEX(時間ごとの判定!$AW$3:$AW$1850,255),{"利用可","両方停止","運転がそろわない","判定不能"},0),"○","停","×","－"),"")</f>
        <v>○</v>
      </c>
      <c r="BP14" s="35" t="str">
        <f aca="false">IFERROR(CHOOSE(MATCH(INDEX(時間ごとの判定!$AW$3:$AW$1850,256),{"利用可","両方停止","運転がそろわない","判定不能"},0),"○","停","×","－"),"")</f>
        <v>○</v>
      </c>
      <c r="BQ14" s="35" t="str">
        <f aca="false">IFERROR(CHOOSE(MATCH(INDEX(時間ごとの判定!$AW$3:$AW$1850,257),{"利用可","両方停止","運転がそろわない","判定不能"},0),"○","停","×","－"),"")</f>
        <v>○</v>
      </c>
      <c r="BR14" s="35" t="str">
        <f aca="false">IFERROR(CHOOSE(MATCH(INDEX(時間ごとの判定!$AW$3:$AW$1850,258),{"利用可","両方停止","運転がそろわない","判定不能"},0),"○","停","×","－"),"")</f>
        <v>○</v>
      </c>
      <c r="BS14" s="35" t="str">
        <f aca="false">IFERROR(CHOOSE(MATCH(INDEX(時間ごとの判定!$AW$3:$AW$1850,259),{"利用可","両方停止","運転がそろわない","判定不能"},0),"○","停","×","－"),"")</f>
        <v>×</v>
      </c>
      <c r="BT14" s="35" t="str">
        <f aca="false">IFERROR(CHOOSE(MATCH(INDEX(時間ごとの判定!$AW$3:$AW$1850,260),{"利用可","両方停止","運転がそろわない","判定不能"},0),"○","停","×","－"),"")</f>
        <v>×</v>
      </c>
      <c r="BU14" s="35" t="str">
        <f aca="false">IFERROR(CHOOSE(MATCH(INDEX(時間ごとの判定!$AW$3:$AW$1850,261),{"利用可","両方停止","運転がそろわない","判定不能"},0),"○","停","×","－"),"")</f>
        <v>×</v>
      </c>
      <c r="BV14" s="35" t="str">
        <f aca="false">IFERROR(CHOOSE(MATCH(INDEX(時間ごとの判定!$AW$3:$AW$1850,262),{"利用可","両方停止","運転がそろわない","判定不能"},0),"○","停","×","－"),"")</f>
        <v>×</v>
      </c>
      <c r="BW14" s="35" t="str">
        <f aca="false">IFERROR(CHOOSE(MATCH(INDEX(時間ごとの判定!$AW$3:$AW$1850,263),{"利用可","両方停止","運転がそろわない","判定不能"},0),"○","停","×","－"),"")</f>
        <v>×</v>
      </c>
      <c r="BX14" s="35" t="str">
        <f aca="false">IFERROR(CHOOSE(MATCH(INDEX(時間ごとの判定!$AW$3:$AW$1850,264),{"利用可","両方停止","運転がそろわない","判定不能"},0),"○","停","×","－"),"")</f>
        <v>×</v>
      </c>
    </row>
    <row r="15" customFormat="false" ht="15" hidden="false" customHeight="false" outlineLevel="0" collapsed="false">
      <c r="A15" s="33" t="n">
        <v>46243</v>
      </c>
      <c r="B15" s="36" t="s">
        <v>65</v>
      </c>
      <c r="C15" s="35" t="str">
        <f aca="false">IFERROR(CHOOSE(MATCH(INDEX(時間ごとの判定!$AQ$3:$AQ$1850,265),{"利用可","両方停止","運転がそろわない","判定不能"},0),"○","停","×","－"),"")</f>
        <v>停</v>
      </c>
      <c r="D15" s="35" t="str">
        <f aca="false">IFERROR(CHOOSE(MATCH(INDEX(時間ごとの判定!$AQ$3:$AQ$1850,266),{"利用可","両方停止","運転がそろわない","判定不能"},0),"○","停","×","－"),"")</f>
        <v>停</v>
      </c>
      <c r="E15" s="35" t="str">
        <f aca="false">IFERROR(CHOOSE(MATCH(INDEX(時間ごとの判定!$AQ$3:$AQ$1850,267),{"利用可","両方停止","運転がそろわない","判定不能"},0),"○","停","×","－"),"")</f>
        <v>停</v>
      </c>
      <c r="F15" s="35" t="str">
        <f aca="false">IFERROR(CHOOSE(MATCH(INDEX(時間ごとの判定!$AQ$3:$AQ$1850,268),{"利用可","両方停止","運転がそろわない","判定不能"},0),"○","停","×","－"),"")</f>
        <v>停</v>
      </c>
      <c r="G15" s="35" t="str">
        <f aca="false">IFERROR(CHOOSE(MATCH(INDEX(時間ごとの判定!$AQ$3:$AQ$1850,269),{"利用可","両方停止","運転がそろわない","判定不能"},0),"○","停","×","－"),"")</f>
        <v>停</v>
      </c>
      <c r="H15" s="35" t="str">
        <f aca="false">IFERROR(CHOOSE(MATCH(INDEX(時間ごとの判定!$AQ$3:$AQ$1850,270),{"利用可","両方停止","運転がそろわない","判定不能"},0),"○","停","×","－"),"")</f>
        <v>停</v>
      </c>
      <c r="I15" s="35" t="str">
        <f aca="false">IFERROR(CHOOSE(MATCH(INDEX(時間ごとの判定!$AQ$3:$AQ$1850,271),{"利用可","両方停止","運転がそろわない","判定不能"},0),"○","停","×","－"),"")</f>
        <v>×</v>
      </c>
      <c r="J15" s="35" t="str">
        <f aca="false">IFERROR(CHOOSE(MATCH(INDEX(時間ごとの判定!$AQ$3:$AQ$1850,272),{"利用可","両方停止","運転がそろわない","判定不能"},0),"○","停","×","－"),"")</f>
        <v>×</v>
      </c>
      <c r="K15" s="35" t="str">
        <f aca="false">IFERROR(CHOOSE(MATCH(INDEX(時間ごとの判定!$AQ$3:$AQ$1850,273),{"利用可","両方停止","運転がそろわない","判定不能"},0),"○","停","×","－"),"")</f>
        <v>×</v>
      </c>
      <c r="L15" s="35" t="str">
        <f aca="false">IFERROR(CHOOSE(MATCH(INDEX(時間ごとの判定!$AQ$3:$AQ$1850,274),{"利用可","両方停止","運転がそろわない","判定不能"},0),"○","停","×","－"),"")</f>
        <v>○</v>
      </c>
      <c r="M15" s="35" t="str">
        <f aca="false">IFERROR(CHOOSE(MATCH(INDEX(時間ごとの判定!$AQ$3:$AQ$1850,275),{"利用可","両方停止","運転がそろわない","判定不能"},0),"○","停","×","－"),"")</f>
        <v>○</v>
      </c>
      <c r="N15" s="35" t="str">
        <f aca="false">IFERROR(CHOOSE(MATCH(INDEX(時間ごとの判定!$AQ$3:$AQ$1850,276),{"利用可","両方停止","運転がそろわない","判定不能"},0),"○","停","×","－"),"")</f>
        <v>○</v>
      </c>
      <c r="O15" s="35" t="str">
        <f aca="false">IFERROR(CHOOSE(MATCH(INDEX(時間ごとの判定!$AQ$3:$AQ$1850,277),{"利用可","両方停止","運転がそろわない","判定不能"},0),"○","停","×","－"),"")</f>
        <v>○</v>
      </c>
      <c r="P15" s="35" t="str">
        <f aca="false">IFERROR(CHOOSE(MATCH(INDEX(時間ごとの判定!$AQ$3:$AQ$1850,278),{"利用可","両方停止","運転がそろわない","判定不能"},0),"○","停","×","－"),"")</f>
        <v>○</v>
      </c>
      <c r="Q15" s="35" t="str">
        <f aca="false">IFERROR(CHOOSE(MATCH(INDEX(時間ごとの判定!$AQ$3:$AQ$1850,279),{"利用可","両方停止","運転がそろわない","判定不能"},0),"○","停","×","－"),"")</f>
        <v>○</v>
      </c>
      <c r="R15" s="35" t="str">
        <f aca="false">IFERROR(CHOOSE(MATCH(INDEX(時間ごとの判定!$AQ$3:$AQ$1850,280),{"利用可","両方停止","運転がそろわない","判定不能"},0),"○","停","×","－"),"")</f>
        <v>×</v>
      </c>
      <c r="S15" s="35" t="str">
        <f aca="false">IFERROR(CHOOSE(MATCH(INDEX(時間ごとの判定!$AQ$3:$AQ$1850,281),{"利用可","両方停止","運転がそろわない","判定不能"},0),"○","停","×","－"),"")</f>
        <v>○</v>
      </c>
      <c r="T15" s="35" t="str">
        <f aca="false">IFERROR(CHOOSE(MATCH(INDEX(時間ごとの判定!$AQ$3:$AQ$1850,282),{"利用可","両方停止","運転がそろわない","判定不能"},0),"○","停","×","－"),"")</f>
        <v>○</v>
      </c>
      <c r="U15" s="35" t="str">
        <f aca="false">IFERROR(CHOOSE(MATCH(INDEX(時間ごとの判定!$AQ$3:$AQ$1850,283),{"利用可","両方停止","運転がそろわない","判定不能"},0),"○","停","×","－"),"")</f>
        <v>×</v>
      </c>
      <c r="V15" s="35" t="str">
        <f aca="false">IFERROR(CHOOSE(MATCH(INDEX(時間ごとの判定!$AQ$3:$AQ$1850,284),{"利用可","両方停止","運転がそろわない","判定不能"},0),"○","停","×","－"),"")</f>
        <v>×</v>
      </c>
      <c r="W15" s="35" t="str">
        <f aca="false">IFERROR(CHOOSE(MATCH(INDEX(時間ごとの判定!$AQ$3:$AQ$1850,285),{"利用可","両方停止","運転がそろわない","判定不能"},0),"○","停","×","－"),"")</f>
        <v>×</v>
      </c>
      <c r="X15" s="35" t="str">
        <f aca="false">IFERROR(CHOOSE(MATCH(INDEX(時間ごとの判定!$AQ$3:$AQ$1850,286),{"利用可","両方停止","運転がそろわない","判定不能"},0),"○","停","×","－"),"")</f>
        <v>停</v>
      </c>
      <c r="Y15" s="35" t="str">
        <f aca="false">IFERROR(CHOOSE(MATCH(INDEX(時間ごとの判定!$AQ$3:$AQ$1850,287),{"利用可","両方停止","運転がそろわない","判定不能"},0),"○","停","×","－"),"")</f>
        <v>×</v>
      </c>
      <c r="Z15" s="35" t="str">
        <f aca="false">IFERROR(CHOOSE(MATCH(INDEX(時間ごとの判定!$AQ$3:$AQ$1850,288),{"利用可","両方停止","運転がそろわない","判定不能"},0),"○","停","×","－"),"")</f>
        <v>停</v>
      </c>
      <c r="AA15" s="35"/>
      <c r="AB15" s="35" t="str">
        <f aca="false">IFERROR(CHOOSE(MATCH(INDEX(時間ごとの判定!$AT$3:$AT$1850,265),{"利用可","両方停止","運転がそろわない","判定不能"},0),"○","停","×","－"),"")</f>
        <v>停</v>
      </c>
      <c r="AC15" s="35" t="str">
        <f aca="false">IFERROR(CHOOSE(MATCH(INDEX(時間ごとの判定!$AT$3:$AT$1850,266),{"利用可","両方停止","運転がそろわない","判定不能"},0),"○","停","×","－"),"")</f>
        <v>停</v>
      </c>
      <c r="AD15" s="35" t="str">
        <f aca="false">IFERROR(CHOOSE(MATCH(INDEX(時間ごとの判定!$AT$3:$AT$1850,267),{"利用可","両方停止","運転がそろわない","判定不能"},0),"○","停","×","－"),"")</f>
        <v>停</v>
      </c>
      <c r="AE15" s="35" t="str">
        <f aca="false">IFERROR(CHOOSE(MATCH(INDEX(時間ごとの判定!$AT$3:$AT$1850,268),{"利用可","両方停止","運転がそろわない","判定不能"},0),"○","停","×","－"),"")</f>
        <v>停</v>
      </c>
      <c r="AF15" s="35" t="str">
        <f aca="false">IFERROR(CHOOSE(MATCH(INDEX(時間ごとの判定!$AT$3:$AT$1850,269),{"利用可","両方停止","運転がそろわない","判定不能"},0),"○","停","×","－"),"")</f>
        <v>停</v>
      </c>
      <c r="AG15" s="35" t="str">
        <f aca="false">IFERROR(CHOOSE(MATCH(INDEX(時間ごとの判定!$AT$3:$AT$1850,270),{"利用可","両方停止","運転がそろわない","判定不能"},0),"○","停","×","－"),"")</f>
        <v>停</v>
      </c>
      <c r="AH15" s="35" t="str">
        <f aca="false">IFERROR(CHOOSE(MATCH(INDEX(時間ごとの判定!$AT$3:$AT$1850,271),{"利用可","両方停止","運転がそろわない","判定不能"},0),"○","停","×","－"),"")</f>
        <v>停</v>
      </c>
      <c r="AI15" s="35" t="str">
        <f aca="false">IFERROR(CHOOSE(MATCH(INDEX(時間ごとの判定!$AT$3:$AT$1850,272),{"利用可","両方停止","運転がそろわない","判定不能"},0),"○","停","×","－"),"")</f>
        <v>停</v>
      </c>
      <c r="AJ15" s="35" t="str">
        <f aca="false">IFERROR(CHOOSE(MATCH(INDEX(時間ごとの判定!$AT$3:$AT$1850,273),{"利用可","両方停止","運転がそろわない","判定不能"},0),"○","停","×","－"),"")</f>
        <v>×</v>
      </c>
      <c r="AK15" s="35" t="str">
        <f aca="false">IFERROR(CHOOSE(MATCH(INDEX(時間ごとの判定!$AT$3:$AT$1850,274),{"利用可","両方停止","運転がそろわない","判定不能"},0),"○","停","×","－"),"")</f>
        <v>○</v>
      </c>
      <c r="AL15" s="35" t="str">
        <f aca="false">IFERROR(CHOOSE(MATCH(INDEX(時間ごとの判定!$AT$3:$AT$1850,275),{"利用可","両方停止","運転がそろわない","判定不能"},0),"○","停","×","－"),"")</f>
        <v>○</v>
      </c>
      <c r="AM15" s="35" t="str">
        <f aca="false">IFERROR(CHOOSE(MATCH(INDEX(時間ごとの判定!$AT$3:$AT$1850,276),{"利用可","両方停止","運転がそろわない","判定不能"},0),"○","停","×","－"),"")</f>
        <v>○</v>
      </c>
      <c r="AN15" s="35" t="str">
        <f aca="false">IFERROR(CHOOSE(MATCH(INDEX(時間ごとの判定!$AT$3:$AT$1850,277),{"利用可","両方停止","運転がそろわない","判定不能"},0),"○","停","×","－"),"")</f>
        <v>○</v>
      </c>
      <c r="AO15" s="35" t="str">
        <f aca="false">IFERROR(CHOOSE(MATCH(INDEX(時間ごとの判定!$AT$3:$AT$1850,278),{"利用可","両方停止","運転がそろわない","判定不能"},0),"○","停","×","－"),"")</f>
        <v>○</v>
      </c>
      <c r="AP15" s="35" t="str">
        <f aca="false">IFERROR(CHOOSE(MATCH(INDEX(時間ごとの判定!$AT$3:$AT$1850,279),{"利用可","両方停止","運転がそろわない","判定不能"},0),"○","停","×","－"),"")</f>
        <v>○</v>
      </c>
      <c r="AQ15" s="35" t="str">
        <f aca="false">IFERROR(CHOOSE(MATCH(INDEX(時間ごとの判定!$AT$3:$AT$1850,280),{"利用可","両方停止","運転がそろわない","判定不能"},0),"○","停","×","－"),"")</f>
        <v>○</v>
      </c>
      <c r="AR15" s="35" t="str">
        <f aca="false">IFERROR(CHOOSE(MATCH(INDEX(時間ごとの判定!$AT$3:$AT$1850,281),{"利用可","両方停止","運転がそろわない","判定不能"},0),"○","停","×","－"),"")</f>
        <v>○</v>
      </c>
      <c r="AS15" s="35" t="str">
        <f aca="false">IFERROR(CHOOSE(MATCH(INDEX(時間ごとの判定!$AT$3:$AT$1850,282),{"利用可","両方停止","運転がそろわない","判定不能"},0),"○","停","×","－"),"")</f>
        <v>○</v>
      </c>
      <c r="AT15" s="35" t="str">
        <f aca="false">IFERROR(CHOOSE(MATCH(INDEX(時間ごとの判定!$AT$3:$AT$1850,283),{"利用可","両方停止","運転がそろわない","判定不能"},0),"○","停","×","－"),"")</f>
        <v>×</v>
      </c>
      <c r="AU15" s="35" t="str">
        <f aca="false">IFERROR(CHOOSE(MATCH(INDEX(時間ごとの判定!$AT$3:$AT$1850,284),{"利用可","両方停止","運転がそろわない","判定不能"},0),"○","停","×","－"),"")</f>
        <v>×</v>
      </c>
      <c r="AV15" s="35" t="str">
        <f aca="false">IFERROR(CHOOSE(MATCH(INDEX(時間ごとの判定!$AT$3:$AT$1850,285),{"利用可","両方停止","運転がそろわない","判定不能"},0),"○","停","×","－"),"")</f>
        <v>×</v>
      </c>
      <c r="AW15" s="35" t="str">
        <f aca="false">IFERROR(CHOOSE(MATCH(INDEX(時間ごとの判定!$AT$3:$AT$1850,286),{"利用可","両方停止","運転がそろわない","判定不能"},0),"○","停","×","－"),"")</f>
        <v>停</v>
      </c>
      <c r="AX15" s="35" t="str">
        <f aca="false">IFERROR(CHOOSE(MATCH(INDEX(時間ごとの判定!$AT$3:$AT$1850,287),{"利用可","両方停止","運転がそろわない","判定不能"},0),"○","停","×","－"),"")</f>
        <v>停</v>
      </c>
      <c r="AY15" s="35" t="str">
        <f aca="false">IFERROR(CHOOSE(MATCH(INDEX(時間ごとの判定!$AT$3:$AT$1850,288),{"利用可","両方停止","運転がそろわない","判定不能"},0),"○","停","×","－"),"")</f>
        <v>停</v>
      </c>
      <c r="AZ15" s="35"/>
      <c r="BA15" s="35" t="str">
        <f aca="false">IFERROR(CHOOSE(MATCH(INDEX(時間ごとの判定!$AW$3:$AW$1850,265),{"利用可","両方停止","運転がそろわない","判定不能"},0),"○","停","×","－"),"")</f>
        <v>×</v>
      </c>
      <c r="BB15" s="35" t="str">
        <f aca="false">IFERROR(CHOOSE(MATCH(INDEX(時間ごとの判定!$AW$3:$AW$1850,266),{"利用可","両方停止","運転がそろわない","判定不能"},0),"○","停","×","－"),"")</f>
        <v>×</v>
      </c>
      <c r="BC15" s="35" t="str">
        <f aca="false">IFERROR(CHOOSE(MATCH(INDEX(時間ごとの判定!$AW$3:$AW$1850,267),{"利用可","両方停止","運転がそろわない","判定不能"},0),"○","停","×","－"),"")</f>
        <v>×</v>
      </c>
      <c r="BD15" s="35" t="str">
        <f aca="false">IFERROR(CHOOSE(MATCH(INDEX(時間ごとの判定!$AW$3:$AW$1850,268),{"利用可","両方停止","運転がそろわない","判定不能"},0),"○","停","×","－"),"")</f>
        <v>×</v>
      </c>
      <c r="BE15" s="35" t="str">
        <f aca="false">IFERROR(CHOOSE(MATCH(INDEX(時間ごとの判定!$AW$3:$AW$1850,269),{"利用可","両方停止","運転がそろわない","判定不能"},0),"○","停","×","－"),"")</f>
        <v>×</v>
      </c>
      <c r="BF15" s="35" t="str">
        <f aca="false">IFERROR(CHOOSE(MATCH(INDEX(時間ごとの判定!$AW$3:$AW$1850,270),{"利用可","両方停止","運転がそろわない","判定不能"},0),"○","停","×","－"),"")</f>
        <v>×</v>
      </c>
      <c r="BG15" s="35" t="str">
        <f aca="false">IFERROR(CHOOSE(MATCH(INDEX(時間ごとの判定!$AW$3:$AW$1850,271),{"利用可","両方停止","運転がそろわない","判定不能"},0),"○","停","×","－"),"")</f>
        <v>×</v>
      </c>
      <c r="BH15" s="35" t="str">
        <f aca="false">IFERROR(CHOOSE(MATCH(INDEX(時間ごとの判定!$AW$3:$AW$1850,272),{"利用可","両方停止","運転がそろわない","判定不能"},0),"○","停","×","－"),"")</f>
        <v>×</v>
      </c>
      <c r="BI15" s="35" t="str">
        <f aca="false">IFERROR(CHOOSE(MATCH(INDEX(時間ごとの判定!$AW$3:$AW$1850,273),{"利用可","両方停止","運転がそろわない","判定不能"},0),"○","停","×","－"),"")</f>
        <v>○</v>
      </c>
      <c r="BJ15" s="35" t="str">
        <f aca="false">IFERROR(CHOOSE(MATCH(INDEX(時間ごとの判定!$AW$3:$AW$1850,274),{"利用可","両方停止","運転がそろわない","判定不能"},0),"○","停","×","－"),"")</f>
        <v>○</v>
      </c>
      <c r="BK15" s="35" t="str">
        <f aca="false">IFERROR(CHOOSE(MATCH(INDEX(時間ごとの判定!$AW$3:$AW$1850,275),{"利用可","両方停止","運転がそろわない","判定不能"},0),"○","停","×","－"),"")</f>
        <v>○</v>
      </c>
      <c r="BL15" s="35" t="str">
        <f aca="false">IFERROR(CHOOSE(MATCH(INDEX(時間ごとの判定!$AW$3:$AW$1850,276),{"利用可","両方停止","運転がそろわない","判定不能"},0),"○","停","×","－"),"")</f>
        <v>○</v>
      </c>
      <c r="BM15" s="35" t="str">
        <f aca="false">IFERROR(CHOOSE(MATCH(INDEX(時間ごとの判定!$AW$3:$AW$1850,277),{"利用可","両方停止","運転がそろわない","判定不能"},0),"○","停","×","－"),"")</f>
        <v>○</v>
      </c>
      <c r="BN15" s="35" t="str">
        <f aca="false">IFERROR(CHOOSE(MATCH(INDEX(時間ごとの判定!$AW$3:$AW$1850,278),{"利用可","両方停止","運転がそろわない","判定不能"},0),"○","停","×","－"),"")</f>
        <v>○</v>
      </c>
      <c r="BO15" s="35" t="str">
        <f aca="false">IFERROR(CHOOSE(MATCH(INDEX(時間ごとの判定!$AW$3:$AW$1850,279),{"利用可","両方停止","運転がそろわない","判定不能"},0),"○","停","×","－"),"")</f>
        <v>○</v>
      </c>
      <c r="BP15" s="35" t="str">
        <f aca="false">IFERROR(CHOOSE(MATCH(INDEX(時間ごとの判定!$AW$3:$AW$1850,280),{"利用可","両方停止","運転がそろわない","判定不能"},0),"○","停","×","－"),"")</f>
        <v>○</v>
      </c>
      <c r="BQ15" s="35" t="str">
        <f aca="false">IFERROR(CHOOSE(MATCH(INDEX(時間ごとの判定!$AW$3:$AW$1850,281),{"利用可","両方停止","運転がそろわない","判定不能"},0),"○","停","×","－"),"")</f>
        <v>○</v>
      </c>
      <c r="BR15" s="35" t="str">
        <f aca="false">IFERROR(CHOOSE(MATCH(INDEX(時間ごとの判定!$AW$3:$AW$1850,282),{"利用可","両方停止","運転がそろわない","判定不能"},0),"○","停","×","－"),"")</f>
        <v>○</v>
      </c>
      <c r="BS15" s="35" t="str">
        <f aca="false">IFERROR(CHOOSE(MATCH(INDEX(時間ごとの判定!$AW$3:$AW$1850,283),{"利用可","両方停止","運転がそろわない","判定不能"},0),"○","停","×","－"),"")</f>
        <v>×</v>
      </c>
      <c r="BT15" s="35" t="str">
        <f aca="false">IFERROR(CHOOSE(MATCH(INDEX(時間ごとの判定!$AW$3:$AW$1850,284),{"利用可","両方停止","運転がそろわない","判定不能"},0),"○","停","×","－"),"")</f>
        <v>×</v>
      </c>
      <c r="BU15" s="35" t="str">
        <f aca="false">IFERROR(CHOOSE(MATCH(INDEX(時間ごとの判定!$AW$3:$AW$1850,285),{"利用可","両方停止","運転がそろわない","判定不能"},0),"○","停","×","－"),"")</f>
        <v>×</v>
      </c>
      <c r="BV15" s="35" t="str">
        <f aca="false">IFERROR(CHOOSE(MATCH(INDEX(時間ごとの判定!$AW$3:$AW$1850,286),{"利用可","両方停止","運転がそろわない","判定不能"},0),"○","停","×","－"),"")</f>
        <v>×</v>
      </c>
      <c r="BW15" s="35" t="str">
        <f aca="false">IFERROR(CHOOSE(MATCH(INDEX(時間ごとの判定!$AW$3:$AW$1850,287),{"利用可","両方停止","運転がそろわない","判定不能"},0),"○","停","×","－"),"")</f>
        <v>×</v>
      </c>
      <c r="BX15" s="35" t="str">
        <f aca="false">IFERROR(CHOOSE(MATCH(INDEX(時間ごとの判定!$AW$3:$AW$1850,288),{"利用可","両方停止","運転がそろわない","判定不能"},0),"○","停","×","－"),"")</f>
        <v>×</v>
      </c>
    </row>
    <row r="16" customFormat="false" ht="15" hidden="false" customHeight="false" outlineLevel="0" collapsed="false">
      <c r="A16" s="33" t="n">
        <v>46244</v>
      </c>
      <c r="B16" s="34" t="s">
        <v>66</v>
      </c>
      <c r="C16" s="35" t="str">
        <f aca="false">IFERROR(CHOOSE(MATCH(INDEX(時間ごとの判定!$AQ$3:$AQ$1850,289),{"利用可","両方停止","運転がそろわない","判定不能"},0),"○","停","×","－"),"")</f>
        <v>停</v>
      </c>
      <c r="D16" s="35" t="str">
        <f aca="false">IFERROR(CHOOSE(MATCH(INDEX(時間ごとの判定!$AQ$3:$AQ$1850,290),{"利用可","両方停止","運転がそろわない","判定不能"},0),"○","停","×","－"),"")</f>
        <v>停</v>
      </c>
      <c r="E16" s="35" t="str">
        <f aca="false">IFERROR(CHOOSE(MATCH(INDEX(時間ごとの判定!$AQ$3:$AQ$1850,291),{"利用可","両方停止","運転がそろわない","判定不能"},0),"○","停","×","－"),"")</f>
        <v>停</v>
      </c>
      <c r="F16" s="35" t="str">
        <f aca="false">IFERROR(CHOOSE(MATCH(INDEX(時間ごとの判定!$AQ$3:$AQ$1850,292),{"利用可","両方停止","運転がそろわない","判定不能"},0),"○","停","×","－"),"")</f>
        <v>停</v>
      </c>
      <c r="G16" s="35" t="str">
        <f aca="false">IFERROR(CHOOSE(MATCH(INDEX(時間ごとの判定!$AQ$3:$AQ$1850,293),{"利用可","両方停止","運転がそろわない","判定不能"},0),"○","停","×","－"),"")</f>
        <v>停</v>
      </c>
      <c r="H16" s="35" t="str">
        <f aca="false">IFERROR(CHOOSE(MATCH(INDEX(時間ごとの判定!$AQ$3:$AQ$1850,294),{"利用可","両方停止","運転がそろわない","判定不能"},0),"○","停","×","－"),"")</f>
        <v>×</v>
      </c>
      <c r="I16" s="35" t="str">
        <f aca="false">IFERROR(CHOOSE(MATCH(INDEX(時間ごとの判定!$AQ$3:$AQ$1850,295),{"利用可","両方停止","運転がそろわない","判定不能"},0),"○","停","×","－"),"")</f>
        <v>×</v>
      </c>
      <c r="J16" s="35" t="str">
        <f aca="false">IFERROR(CHOOSE(MATCH(INDEX(時間ごとの判定!$AQ$3:$AQ$1850,296),{"利用可","両方停止","運転がそろわない","判定不能"},0),"○","停","×","－"),"")</f>
        <v>×</v>
      </c>
      <c r="K16" s="35" t="str">
        <f aca="false">IFERROR(CHOOSE(MATCH(INDEX(時間ごとの判定!$AQ$3:$AQ$1850,297),{"利用可","両方停止","運転がそろわない","判定不能"},0),"○","停","×","－"),"")</f>
        <v>×</v>
      </c>
      <c r="L16" s="35" t="str">
        <f aca="false">IFERROR(CHOOSE(MATCH(INDEX(時間ごとの判定!$AQ$3:$AQ$1850,298),{"利用可","両方停止","運転がそろわない","判定不能"},0),"○","停","×","－"),"")</f>
        <v>○</v>
      </c>
      <c r="M16" s="35" t="str">
        <f aca="false">IFERROR(CHOOSE(MATCH(INDEX(時間ごとの判定!$AQ$3:$AQ$1850,299),{"利用可","両方停止","運転がそろわない","判定不能"},0),"○","停","×","－"),"")</f>
        <v>○</v>
      </c>
      <c r="N16" s="35" t="str">
        <f aca="false">IFERROR(CHOOSE(MATCH(INDEX(時間ごとの判定!$AQ$3:$AQ$1850,300),{"利用可","両方停止","運転がそろわない","判定不能"},0),"○","停","×","－"),"")</f>
        <v>○</v>
      </c>
      <c r="O16" s="35" t="str">
        <f aca="false">IFERROR(CHOOSE(MATCH(INDEX(時間ごとの判定!$AQ$3:$AQ$1850,301),{"利用可","両方停止","運転がそろわない","判定不能"},0),"○","停","×","－"),"")</f>
        <v>○</v>
      </c>
      <c r="P16" s="35" t="str">
        <f aca="false">IFERROR(CHOOSE(MATCH(INDEX(時間ごとの判定!$AQ$3:$AQ$1850,302),{"利用可","両方停止","運転がそろわない","判定不能"},0),"○","停","×","－"),"")</f>
        <v>○</v>
      </c>
      <c r="Q16" s="35" t="str">
        <f aca="false">IFERROR(CHOOSE(MATCH(INDEX(時間ごとの判定!$AQ$3:$AQ$1850,303),{"利用可","両方停止","運転がそろわない","判定不能"},0),"○","停","×","－"),"")</f>
        <v>○</v>
      </c>
      <c r="R16" s="35" t="str">
        <f aca="false">IFERROR(CHOOSE(MATCH(INDEX(時間ごとの判定!$AQ$3:$AQ$1850,304),{"利用可","両方停止","運転がそろわない","判定不能"},0),"○","停","×","－"),"")</f>
        <v>○</v>
      </c>
      <c r="S16" s="35" t="str">
        <f aca="false">IFERROR(CHOOSE(MATCH(INDEX(時間ごとの判定!$AQ$3:$AQ$1850,305),{"利用可","両方停止","運転がそろわない","判定不能"},0),"○","停","×","－"),"")</f>
        <v>○</v>
      </c>
      <c r="T16" s="35" t="str">
        <f aca="false">IFERROR(CHOOSE(MATCH(INDEX(時間ごとの判定!$AQ$3:$AQ$1850,306),{"利用可","両方停止","運転がそろわない","判定不能"},0),"○","停","×","－"),"")</f>
        <v>○</v>
      </c>
      <c r="U16" s="35" t="str">
        <f aca="false">IFERROR(CHOOSE(MATCH(INDEX(時間ごとの判定!$AQ$3:$AQ$1850,307),{"利用可","両方停止","運転がそろわない","判定不能"},0),"○","停","×","－"),"")</f>
        <v>○</v>
      </c>
      <c r="V16" s="35" t="str">
        <f aca="false">IFERROR(CHOOSE(MATCH(INDEX(時間ごとの判定!$AQ$3:$AQ$1850,308),{"利用可","両方停止","運転がそろわない","判定不能"},0),"○","停","×","－"),"")</f>
        <v>×</v>
      </c>
      <c r="W16" s="35" t="str">
        <f aca="false">IFERROR(CHOOSE(MATCH(INDEX(時間ごとの判定!$AQ$3:$AQ$1850,309),{"利用可","両方停止","運転がそろわない","判定不能"},0),"○","停","×","－"),"")</f>
        <v>×</v>
      </c>
      <c r="X16" s="35" t="str">
        <f aca="false">IFERROR(CHOOSE(MATCH(INDEX(時間ごとの判定!$AQ$3:$AQ$1850,310),{"利用可","両方停止","運転がそろわない","判定不能"},0),"○","停","×","－"),"")</f>
        <v>停</v>
      </c>
      <c r="Y16" s="35" t="str">
        <f aca="false">IFERROR(CHOOSE(MATCH(INDEX(時間ごとの判定!$AQ$3:$AQ$1850,311),{"利用可","両方停止","運転がそろわない","判定不能"},0),"○","停","×","－"),"")</f>
        <v>停</v>
      </c>
      <c r="Z16" s="35" t="str">
        <f aca="false">IFERROR(CHOOSE(MATCH(INDEX(時間ごとの判定!$AQ$3:$AQ$1850,312),{"利用可","両方停止","運転がそろわない","判定不能"},0),"○","停","×","－"),"")</f>
        <v>停</v>
      </c>
      <c r="AA16" s="35"/>
      <c r="AB16" s="35" t="str">
        <f aca="false">IFERROR(CHOOSE(MATCH(INDEX(時間ごとの判定!$AT$3:$AT$1850,289),{"利用可","両方停止","運転がそろわない","判定不能"},0),"○","停","×","－"),"")</f>
        <v>停</v>
      </c>
      <c r="AC16" s="35" t="str">
        <f aca="false">IFERROR(CHOOSE(MATCH(INDEX(時間ごとの判定!$AT$3:$AT$1850,290),{"利用可","両方停止","運転がそろわない","判定不能"},0),"○","停","×","－"),"")</f>
        <v>停</v>
      </c>
      <c r="AD16" s="35" t="str">
        <f aca="false">IFERROR(CHOOSE(MATCH(INDEX(時間ごとの判定!$AT$3:$AT$1850,291),{"利用可","両方停止","運転がそろわない","判定不能"},0),"○","停","×","－"),"")</f>
        <v>停</v>
      </c>
      <c r="AE16" s="35" t="str">
        <f aca="false">IFERROR(CHOOSE(MATCH(INDEX(時間ごとの判定!$AT$3:$AT$1850,292),{"利用可","両方停止","運転がそろわない","判定不能"},0),"○","停","×","－"),"")</f>
        <v>停</v>
      </c>
      <c r="AF16" s="35" t="str">
        <f aca="false">IFERROR(CHOOSE(MATCH(INDEX(時間ごとの判定!$AT$3:$AT$1850,293),{"利用可","両方停止","運転がそろわない","判定不能"},0),"○","停","×","－"),"")</f>
        <v>停</v>
      </c>
      <c r="AG16" s="35" t="str">
        <f aca="false">IFERROR(CHOOSE(MATCH(INDEX(時間ごとの判定!$AT$3:$AT$1850,294),{"利用可","両方停止","運転がそろわない","判定不能"},0),"○","停","×","－"),"")</f>
        <v>停</v>
      </c>
      <c r="AH16" s="35" t="str">
        <f aca="false">IFERROR(CHOOSE(MATCH(INDEX(時間ごとの判定!$AT$3:$AT$1850,295),{"利用可","両方停止","運転がそろわない","判定不能"},0),"○","停","×","－"),"")</f>
        <v>停</v>
      </c>
      <c r="AI16" s="35" t="str">
        <f aca="false">IFERROR(CHOOSE(MATCH(INDEX(時間ごとの判定!$AT$3:$AT$1850,296),{"利用可","両方停止","運転がそろわない","判定不能"},0),"○","停","×","－"),"")</f>
        <v>×</v>
      </c>
      <c r="AJ16" s="35" t="str">
        <f aca="false">IFERROR(CHOOSE(MATCH(INDEX(時間ごとの判定!$AT$3:$AT$1850,297),{"利用可","両方停止","運転がそろわない","判定不能"},0),"○","停","×","－"),"")</f>
        <v>×</v>
      </c>
      <c r="AK16" s="35" t="str">
        <f aca="false">IFERROR(CHOOSE(MATCH(INDEX(時間ごとの判定!$AT$3:$AT$1850,298),{"利用可","両方停止","運転がそろわない","判定不能"},0),"○","停","×","－"),"")</f>
        <v>○</v>
      </c>
      <c r="AL16" s="35" t="str">
        <f aca="false">IFERROR(CHOOSE(MATCH(INDEX(時間ごとの判定!$AT$3:$AT$1850,299),{"利用可","両方停止","運転がそろわない","判定不能"},0),"○","停","×","－"),"")</f>
        <v>○</v>
      </c>
      <c r="AM16" s="35" t="str">
        <f aca="false">IFERROR(CHOOSE(MATCH(INDEX(時間ごとの判定!$AT$3:$AT$1850,300),{"利用可","両方停止","運転がそろわない","判定不能"},0),"○","停","×","－"),"")</f>
        <v>○</v>
      </c>
      <c r="AN16" s="35" t="str">
        <f aca="false">IFERROR(CHOOSE(MATCH(INDEX(時間ごとの判定!$AT$3:$AT$1850,301),{"利用可","両方停止","運転がそろわない","判定不能"},0),"○","停","×","－"),"")</f>
        <v>○</v>
      </c>
      <c r="AO16" s="35" t="str">
        <f aca="false">IFERROR(CHOOSE(MATCH(INDEX(時間ごとの判定!$AT$3:$AT$1850,302),{"利用可","両方停止","運転がそろわない","判定不能"},0),"○","停","×","－"),"")</f>
        <v>○</v>
      </c>
      <c r="AP16" s="35" t="str">
        <f aca="false">IFERROR(CHOOSE(MATCH(INDEX(時間ごとの判定!$AT$3:$AT$1850,303),{"利用可","両方停止","運転がそろわない","判定不能"},0),"○","停","×","－"),"")</f>
        <v>○</v>
      </c>
      <c r="AQ16" s="35" t="str">
        <f aca="false">IFERROR(CHOOSE(MATCH(INDEX(時間ごとの判定!$AT$3:$AT$1850,304),{"利用可","両方停止","運転がそろわない","判定不能"},0),"○","停","×","－"),"")</f>
        <v>○</v>
      </c>
      <c r="AR16" s="35" t="str">
        <f aca="false">IFERROR(CHOOSE(MATCH(INDEX(時間ごとの判定!$AT$3:$AT$1850,305),{"利用可","両方停止","運転がそろわない","判定不能"},0),"○","停","×","－"),"")</f>
        <v>○</v>
      </c>
      <c r="AS16" s="35" t="str">
        <f aca="false">IFERROR(CHOOSE(MATCH(INDEX(時間ごとの判定!$AT$3:$AT$1850,306),{"利用可","両方停止","運転がそろわない","判定不能"},0),"○","停","×","－"),"")</f>
        <v>×</v>
      </c>
      <c r="AT16" s="35" t="str">
        <f aca="false">IFERROR(CHOOSE(MATCH(INDEX(時間ごとの判定!$AT$3:$AT$1850,307),{"利用可","両方停止","運転がそろわない","判定不能"},0),"○","停","×","－"),"")</f>
        <v>○</v>
      </c>
      <c r="AU16" s="35" t="str">
        <f aca="false">IFERROR(CHOOSE(MATCH(INDEX(時間ごとの判定!$AT$3:$AT$1850,308),{"利用可","両方停止","運転がそろわない","判定不能"},0),"○","停","×","－"),"")</f>
        <v>×</v>
      </c>
      <c r="AV16" s="35" t="str">
        <f aca="false">IFERROR(CHOOSE(MATCH(INDEX(時間ごとの判定!$AT$3:$AT$1850,309),{"利用可","両方停止","運転がそろわない","判定不能"},0),"○","停","×","－"),"")</f>
        <v>×</v>
      </c>
      <c r="AW16" s="35" t="str">
        <f aca="false">IFERROR(CHOOSE(MATCH(INDEX(時間ごとの判定!$AT$3:$AT$1850,310),{"利用可","両方停止","運転がそろわない","判定不能"},0),"○","停","×","－"),"")</f>
        <v>停</v>
      </c>
      <c r="AX16" s="35" t="str">
        <f aca="false">IFERROR(CHOOSE(MATCH(INDEX(時間ごとの判定!$AT$3:$AT$1850,311),{"利用可","両方停止","運転がそろわない","判定不能"},0),"○","停","×","－"),"")</f>
        <v>停</v>
      </c>
      <c r="AY16" s="35" t="str">
        <f aca="false">IFERROR(CHOOSE(MATCH(INDEX(時間ごとの判定!$AT$3:$AT$1850,312),{"利用可","両方停止","運転がそろわない","判定不能"},0),"○","停","×","－"),"")</f>
        <v>停</v>
      </c>
      <c r="AZ16" s="35"/>
      <c r="BA16" s="35" t="str">
        <f aca="false">IFERROR(CHOOSE(MATCH(INDEX(時間ごとの判定!$AW$3:$AW$1850,289),{"利用可","両方停止","運転がそろわない","判定不能"},0),"○","停","×","－"),"")</f>
        <v>×</v>
      </c>
      <c r="BB16" s="35" t="str">
        <f aca="false">IFERROR(CHOOSE(MATCH(INDEX(時間ごとの判定!$AW$3:$AW$1850,290),{"利用可","両方停止","運転がそろわない","判定不能"},0),"○","停","×","－"),"")</f>
        <v>×</v>
      </c>
      <c r="BC16" s="35" t="str">
        <f aca="false">IFERROR(CHOOSE(MATCH(INDEX(時間ごとの判定!$AW$3:$AW$1850,291),{"利用可","両方停止","運転がそろわない","判定不能"},0),"○","停","×","－"),"")</f>
        <v>×</v>
      </c>
      <c r="BD16" s="35" t="str">
        <f aca="false">IFERROR(CHOOSE(MATCH(INDEX(時間ごとの判定!$AW$3:$AW$1850,292),{"利用可","両方停止","運転がそろわない","判定不能"},0),"○","停","×","－"),"")</f>
        <v>×</v>
      </c>
      <c r="BE16" s="35" t="str">
        <f aca="false">IFERROR(CHOOSE(MATCH(INDEX(時間ごとの判定!$AW$3:$AW$1850,293),{"利用可","両方停止","運転がそろわない","判定不能"},0),"○","停","×","－"),"")</f>
        <v>×</v>
      </c>
      <c r="BF16" s="35" t="str">
        <f aca="false">IFERROR(CHOOSE(MATCH(INDEX(時間ごとの判定!$AW$3:$AW$1850,294),{"利用可","両方停止","運転がそろわない","判定不能"},0),"○","停","×","－"),"")</f>
        <v>×</v>
      </c>
      <c r="BG16" s="35" t="str">
        <f aca="false">IFERROR(CHOOSE(MATCH(INDEX(時間ごとの判定!$AW$3:$AW$1850,295),{"利用可","両方停止","運転がそろわない","判定不能"},0),"○","停","×","－"),"")</f>
        <v>×</v>
      </c>
      <c r="BH16" s="35" t="str">
        <f aca="false">IFERROR(CHOOSE(MATCH(INDEX(時間ごとの判定!$AW$3:$AW$1850,296),{"利用可","両方停止","運転がそろわない","判定不能"},0),"○","停","×","－"),"")</f>
        <v>○</v>
      </c>
      <c r="BI16" s="35" t="str">
        <f aca="false">IFERROR(CHOOSE(MATCH(INDEX(時間ごとの判定!$AW$3:$AW$1850,297),{"利用可","両方停止","運転がそろわない","判定不能"},0),"○","停","×","－"),"")</f>
        <v>○</v>
      </c>
      <c r="BJ16" s="35" t="str">
        <f aca="false">IFERROR(CHOOSE(MATCH(INDEX(時間ごとの判定!$AW$3:$AW$1850,298),{"利用可","両方停止","運転がそろわない","判定不能"},0),"○","停","×","－"),"")</f>
        <v>○</v>
      </c>
      <c r="BK16" s="35" t="str">
        <f aca="false">IFERROR(CHOOSE(MATCH(INDEX(時間ごとの判定!$AW$3:$AW$1850,299),{"利用可","両方停止","運転がそろわない","判定不能"},0),"○","停","×","－"),"")</f>
        <v>○</v>
      </c>
      <c r="BL16" s="35" t="str">
        <f aca="false">IFERROR(CHOOSE(MATCH(INDEX(時間ごとの判定!$AW$3:$AW$1850,300),{"利用可","両方停止","運転がそろわない","判定不能"},0),"○","停","×","－"),"")</f>
        <v>○</v>
      </c>
      <c r="BM16" s="35" t="str">
        <f aca="false">IFERROR(CHOOSE(MATCH(INDEX(時間ごとの判定!$AW$3:$AW$1850,301),{"利用可","両方停止","運転がそろわない","判定不能"},0),"○","停","×","－"),"")</f>
        <v>○</v>
      </c>
      <c r="BN16" s="35" t="str">
        <f aca="false">IFERROR(CHOOSE(MATCH(INDEX(時間ごとの判定!$AW$3:$AW$1850,302),{"利用可","両方停止","運転がそろわない","判定不能"},0),"○","停","×","－"),"")</f>
        <v>○</v>
      </c>
      <c r="BO16" s="35" t="str">
        <f aca="false">IFERROR(CHOOSE(MATCH(INDEX(時間ごとの判定!$AW$3:$AW$1850,303),{"利用可","両方停止","運転がそろわない","判定不能"},0),"○","停","×","－"),"")</f>
        <v>○</v>
      </c>
      <c r="BP16" s="35" t="str">
        <f aca="false">IFERROR(CHOOSE(MATCH(INDEX(時間ごとの判定!$AW$3:$AW$1850,304),{"利用可","両方停止","運転がそろわない","判定不能"},0),"○","停","×","－"),"")</f>
        <v>○</v>
      </c>
      <c r="BQ16" s="35" t="str">
        <f aca="false">IFERROR(CHOOSE(MATCH(INDEX(時間ごとの判定!$AW$3:$AW$1850,305),{"利用可","両方停止","運転がそろわない","判定不能"},0),"○","停","×","－"),"")</f>
        <v>○</v>
      </c>
      <c r="BR16" s="35" t="str">
        <f aca="false">IFERROR(CHOOSE(MATCH(INDEX(時間ごとの判定!$AW$3:$AW$1850,306),{"利用可","両方停止","運転がそろわない","判定不能"},0),"○","停","×","－"),"")</f>
        <v>○</v>
      </c>
      <c r="BS16" s="35" t="str">
        <f aca="false">IFERROR(CHOOSE(MATCH(INDEX(時間ごとの判定!$AW$3:$AW$1850,307),{"利用可","両方停止","運転がそろわない","判定不能"},0),"○","停","×","－"),"")</f>
        <v>○</v>
      </c>
      <c r="BT16" s="35" t="str">
        <f aca="false">IFERROR(CHOOSE(MATCH(INDEX(時間ごとの判定!$AW$3:$AW$1850,308),{"利用可","両方停止","運転がそろわない","判定不能"},0),"○","停","×","－"),"")</f>
        <v>×</v>
      </c>
      <c r="BU16" s="35" t="str">
        <f aca="false">IFERROR(CHOOSE(MATCH(INDEX(時間ごとの判定!$AW$3:$AW$1850,309),{"利用可","両方停止","運転がそろわない","判定不能"},0),"○","停","×","－"),"")</f>
        <v>×</v>
      </c>
      <c r="BV16" s="35" t="str">
        <f aca="false">IFERROR(CHOOSE(MATCH(INDEX(時間ごとの判定!$AW$3:$AW$1850,310),{"利用可","両方停止","運転がそろわない","判定不能"},0),"○","停","×","－"),"")</f>
        <v>×</v>
      </c>
      <c r="BW16" s="35" t="str">
        <f aca="false">IFERROR(CHOOSE(MATCH(INDEX(時間ごとの判定!$AW$3:$AW$1850,311),{"利用可","両方停止","運転がそろわない","判定不能"},0),"○","停","×","－"),"")</f>
        <v>×</v>
      </c>
      <c r="BX16" s="35" t="str">
        <f aca="false">IFERROR(CHOOSE(MATCH(INDEX(時間ごとの判定!$AW$3:$AW$1850,312),{"利用可","両方停止","運転がそろわない","判定不能"},0),"○","停","×","－"),"")</f>
        <v>×</v>
      </c>
    </row>
    <row r="17" customFormat="false" ht="15" hidden="false" customHeight="false" outlineLevel="0" collapsed="false">
      <c r="A17" s="33" t="n">
        <v>46245</v>
      </c>
      <c r="B17" s="36" t="s">
        <v>67</v>
      </c>
      <c r="C17" s="35" t="str">
        <f aca="false">IFERROR(CHOOSE(MATCH(INDEX(時間ごとの判定!$AQ$3:$AQ$1850,313),{"利用可","両方停止","運転がそろわない","判定不能"},0),"○","停","×","－"),"")</f>
        <v>停</v>
      </c>
      <c r="D17" s="35" t="str">
        <f aca="false">IFERROR(CHOOSE(MATCH(INDEX(時間ごとの判定!$AQ$3:$AQ$1850,314),{"利用可","両方停止","運転がそろわない","判定不能"},0),"○","停","×","－"),"")</f>
        <v>停</v>
      </c>
      <c r="E17" s="35" t="str">
        <f aca="false">IFERROR(CHOOSE(MATCH(INDEX(時間ごとの判定!$AQ$3:$AQ$1850,315),{"利用可","両方停止","運転がそろわない","判定不能"},0),"○","停","×","－"),"")</f>
        <v>停</v>
      </c>
      <c r="F17" s="35" t="str">
        <f aca="false">IFERROR(CHOOSE(MATCH(INDEX(時間ごとの判定!$AQ$3:$AQ$1850,316),{"利用可","両方停止","運転がそろわない","判定不能"},0),"○","停","×","－"),"")</f>
        <v>停</v>
      </c>
      <c r="G17" s="35" t="str">
        <f aca="false">IFERROR(CHOOSE(MATCH(INDEX(時間ごとの判定!$AQ$3:$AQ$1850,317),{"利用可","両方停止","運転がそろわない","判定不能"},0),"○","停","×","－"),"")</f>
        <v>停</v>
      </c>
      <c r="H17" s="35" t="str">
        <f aca="false">IFERROR(CHOOSE(MATCH(INDEX(時間ごとの判定!$AQ$3:$AQ$1850,318),{"利用可","両方停止","運転がそろわない","判定不能"},0),"○","停","×","－"),"")</f>
        <v>停</v>
      </c>
      <c r="I17" s="35" t="str">
        <f aca="false">IFERROR(CHOOSE(MATCH(INDEX(時間ごとの判定!$AQ$3:$AQ$1850,319),{"利用可","両方停止","運転がそろわない","判定不能"},0),"○","停","×","－"),"")</f>
        <v>停</v>
      </c>
      <c r="J17" s="35" t="str">
        <f aca="false">IFERROR(CHOOSE(MATCH(INDEX(時間ごとの判定!$AQ$3:$AQ$1850,320),{"利用可","両方停止","運転がそろわない","判定不能"},0),"○","停","×","－"),"")</f>
        <v>×</v>
      </c>
      <c r="K17" s="35" t="str">
        <f aca="false">IFERROR(CHOOSE(MATCH(INDEX(時間ごとの判定!$AQ$3:$AQ$1850,321),{"利用可","両方停止","運転がそろわない","判定不能"},0),"○","停","×","－"),"")</f>
        <v>×</v>
      </c>
      <c r="L17" s="35" t="str">
        <f aca="false">IFERROR(CHOOSE(MATCH(INDEX(時間ごとの判定!$AQ$3:$AQ$1850,322),{"利用可","両方停止","運転がそろわない","判定不能"},0),"○","停","×","－"),"")</f>
        <v>○</v>
      </c>
      <c r="M17" s="35" t="str">
        <f aca="false">IFERROR(CHOOSE(MATCH(INDEX(時間ごとの判定!$AQ$3:$AQ$1850,323),{"利用可","両方停止","運転がそろわない","判定不能"},0),"○","停","×","－"),"")</f>
        <v>○</v>
      </c>
      <c r="N17" s="35" t="str">
        <f aca="false">IFERROR(CHOOSE(MATCH(INDEX(時間ごとの判定!$AQ$3:$AQ$1850,324),{"利用可","両方停止","運転がそろわない","判定不能"},0),"○","停","×","－"),"")</f>
        <v>○</v>
      </c>
      <c r="O17" s="35" t="str">
        <f aca="false">IFERROR(CHOOSE(MATCH(INDEX(時間ごとの判定!$AQ$3:$AQ$1850,325),{"利用可","両方停止","運転がそろわない","判定不能"},0),"○","停","×","－"),"")</f>
        <v>×</v>
      </c>
      <c r="P17" s="35" t="str">
        <f aca="false">IFERROR(CHOOSE(MATCH(INDEX(時間ごとの判定!$AQ$3:$AQ$1850,326),{"利用可","両方停止","運転がそろわない","判定不能"},0),"○","停","×","－"),"")</f>
        <v>○</v>
      </c>
      <c r="Q17" s="35" t="str">
        <f aca="false">IFERROR(CHOOSE(MATCH(INDEX(時間ごとの判定!$AQ$3:$AQ$1850,327),{"利用可","両方停止","運転がそろわない","判定不能"},0),"○","停","×","－"),"")</f>
        <v>○</v>
      </c>
      <c r="R17" s="35" t="str">
        <f aca="false">IFERROR(CHOOSE(MATCH(INDEX(時間ごとの判定!$AQ$3:$AQ$1850,328),{"利用可","両方停止","運転がそろわない","判定不能"},0),"○","停","×","－"),"")</f>
        <v>×</v>
      </c>
      <c r="S17" s="35" t="str">
        <f aca="false">IFERROR(CHOOSE(MATCH(INDEX(時間ごとの判定!$AQ$3:$AQ$1850,329),{"利用可","両方停止","運転がそろわない","判定不能"},0),"○","停","×","－"),"")</f>
        <v>×</v>
      </c>
      <c r="T17" s="35" t="str">
        <f aca="false">IFERROR(CHOOSE(MATCH(INDEX(時間ごとの判定!$AQ$3:$AQ$1850,330),{"利用可","両方停止","運転がそろわない","判定不能"},0),"○","停","×","－"),"")</f>
        <v>×</v>
      </c>
      <c r="U17" s="35" t="str">
        <f aca="false">IFERROR(CHOOSE(MATCH(INDEX(時間ごとの判定!$AQ$3:$AQ$1850,331),{"利用可","両方停止","運転がそろわない","判定不能"},0),"○","停","×","－"),"")</f>
        <v>×</v>
      </c>
      <c r="V17" s="35" t="str">
        <f aca="false">IFERROR(CHOOSE(MATCH(INDEX(時間ごとの判定!$AQ$3:$AQ$1850,332),{"利用可","両方停止","運転がそろわない","判定不能"},0),"○","停","×","－"),"")</f>
        <v>×</v>
      </c>
      <c r="W17" s="35" t="str">
        <f aca="false">IFERROR(CHOOSE(MATCH(INDEX(時間ごとの判定!$AQ$3:$AQ$1850,333),{"利用可","両方停止","運転がそろわない","判定不能"},0),"○","停","×","－"),"")</f>
        <v>×</v>
      </c>
      <c r="X17" s="35" t="str">
        <f aca="false">IFERROR(CHOOSE(MATCH(INDEX(時間ごとの判定!$AQ$3:$AQ$1850,334),{"利用可","両方停止","運転がそろわない","判定不能"},0),"○","停","×","－"),"")</f>
        <v>停</v>
      </c>
      <c r="Y17" s="35" t="str">
        <f aca="false">IFERROR(CHOOSE(MATCH(INDEX(時間ごとの判定!$AQ$3:$AQ$1850,335),{"利用可","両方停止","運転がそろわない","判定不能"},0),"○","停","×","－"),"")</f>
        <v>停</v>
      </c>
      <c r="Z17" s="35" t="str">
        <f aca="false">IFERROR(CHOOSE(MATCH(INDEX(時間ごとの判定!$AQ$3:$AQ$1850,336),{"利用可","両方停止","運転がそろわない","判定不能"},0),"○","停","×","－"),"")</f>
        <v>停</v>
      </c>
      <c r="AA17" s="35"/>
      <c r="AB17" s="35" t="str">
        <f aca="false">IFERROR(CHOOSE(MATCH(INDEX(時間ごとの判定!$AT$3:$AT$1850,313),{"利用可","両方停止","運転がそろわない","判定不能"},0),"○","停","×","－"),"")</f>
        <v>停</v>
      </c>
      <c r="AC17" s="35" t="str">
        <f aca="false">IFERROR(CHOOSE(MATCH(INDEX(時間ごとの判定!$AT$3:$AT$1850,314),{"利用可","両方停止","運転がそろわない","判定不能"},0),"○","停","×","－"),"")</f>
        <v>停</v>
      </c>
      <c r="AD17" s="35" t="str">
        <f aca="false">IFERROR(CHOOSE(MATCH(INDEX(時間ごとの判定!$AT$3:$AT$1850,315),{"利用可","両方停止","運転がそろわない","判定不能"},0),"○","停","×","－"),"")</f>
        <v>停</v>
      </c>
      <c r="AE17" s="35" t="str">
        <f aca="false">IFERROR(CHOOSE(MATCH(INDEX(時間ごとの判定!$AT$3:$AT$1850,316),{"利用可","両方停止","運転がそろわない","判定不能"},0),"○","停","×","－"),"")</f>
        <v>停</v>
      </c>
      <c r="AF17" s="35" t="str">
        <f aca="false">IFERROR(CHOOSE(MATCH(INDEX(時間ごとの判定!$AT$3:$AT$1850,317),{"利用可","両方停止","運転がそろわない","判定不能"},0),"○","停","×","－"),"")</f>
        <v>停</v>
      </c>
      <c r="AG17" s="35" t="str">
        <f aca="false">IFERROR(CHOOSE(MATCH(INDEX(時間ごとの判定!$AT$3:$AT$1850,318),{"利用可","両方停止","運転がそろわない","判定不能"},0),"○","停","×","－"),"")</f>
        <v>停</v>
      </c>
      <c r="AH17" s="35" t="str">
        <f aca="false">IFERROR(CHOOSE(MATCH(INDEX(時間ごとの判定!$AT$3:$AT$1850,319),{"利用可","両方停止","運転がそろわない","判定不能"},0),"○","停","×","－"),"")</f>
        <v>停</v>
      </c>
      <c r="AI17" s="35" t="str">
        <f aca="false">IFERROR(CHOOSE(MATCH(INDEX(時間ごとの判定!$AT$3:$AT$1850,320),{"利用可","両方停止","運転がそろわない","判定不能"},0),"○","停","×","－"),"")</f>
        <v>×</v>
      </c>
      <c r="AJ17" s="35" t="str">
        <f aca="false">IFERROR(CHOOSE(MATCH(INDEX(時間ごとの判定!$AT$3:$AT$1850,321),{"利用可","両方停止","運転がそろわない","判定不能"},0),"○","停","×","－"),"")</f>
        <v>×</v>
      </c>
      <c r="AK17" s="35" t="str">
        <f aca="false">IFERROR(CHOOSE(MATCH(INDEX(時間ごとの判定!$AT$3:$AT$1850,322),{"利用可","両方停止","運転がそろわない","判定不能"},0),"○","停","×","－"),"")</f>
        <v>×</v>
      </c>
      <c r="AL17" s="35" t="str">
        <f aca="false">IFERROR(CHOOSE(MATCH(INDEX(時間ごとの判定!$AT$3:$AT$1850,323),{"利用可","両方停止","運転がそろわない","判定不能"},0),"○","停","×","－"),"")</f>
        <v>○</v>
      </c>
      <c r="AM17" s="35" t="str">
        <f aca="false">IFERROR(CHOOSE(MATCH(INDEX(時間ごとの判定!$AT$3:$AT$1850,324),{"利用可","両方停止","運転がそろわない","判定不能"},0),"○","停","×","－"),"")</f>
        <v>○</v>
      </c>
      <c r="AN17" s="35" t="str">
        <f aca="false">IFERROR(CHOOSE(MATCH(INDEX(時間ごとの判定!$AT$3:$AT$1850,325),{"利用可","両方停止","運転がそろわない","判定不能"},0),"○","停","×","－"),"")</f>
        <v>○</v>
      </c>
      <c r="AO17" s="35" t="str">
        <f aca="false">IFERROR(CHOOSE(MATCH(INDEX(時間ごとの判定!$AT$3:$AT$1850,326),{"利用可","両方停止","運転がそろわない","判定不能"},0),"○","停","×","－"),"")</f>
        <v>○</v>
      </c>
      <c r="AP17" s="35" t="str">
        <f aca="false">IFERROR(CHOOSE(MATCH(INDEX(時間ごとの判定!$AT$3:$AT$1850,327),{"利用可","両方停止","運転がそろわない","判定不能"},0),"○","停","×","－"),"")</f>
        <v>×</v>
      </c>
      <c r="AQ17" s="35" t="str">
        <f aca="false">IFERROR(CHOOSE(MATCH(INDEX(時間ごとの判定!$AT$3:$AT$1850,328),{"利用可","両方停止","運転がそろわない","判定不能"},0),"○","停","×","－"),"")</f>
        <v>×</v>
      </c>
      <c r="AR17" s="35" t="str">
        <f aca="false">IFERROR(CHOOSE(MATCH(INDEX(時間ごとの判定!$AT$3:$AT$1850,329),{"利用可","両方停止","運転がそろわない","判定不能"},0),"○","停","×","－"),"")</f>
        <v>×</v>
      </c>
      <c r="AS17" s="35" t="str">
        <f aca="false">IFERROR(CHOOSE(MATCH(INDEX(時間ごとの判定!$AT$3:$AT$1850,330),{"利用可","両方停止","運転がそろわない","判定不能"},0),"○","停","×","－"),"")</f>
        <v>×</v>
      </c>
      <c r="AT17" s="35" t="str">
        <f aca="false">IFERROR(CHOOSE(MATCH(INDEX(時間ごとの判定!$AT$3:$AT$1850,331),{"利用可","両方停止","運転がそろわない","判定不能"},0),"○","停","×","－"),"")</f>
        <v>×</v>
      </c>
      <c r="AU17" s="35" t="str">
        <f aca="false">IFERROR(CHOOSE(MATCH(INDEX(時間ごとの判定!$AT$3:$AT$1850,332),{"利用可","両方停止","運転がそろわない","判定不能"},0),"○","停","×","－"),"")</f>
        <v>×</v>
      </c>
      <c r="AV17" s="35" t="str">
        <f aca="false">IFERROR(CHOOSE(MATCH(INDEX(時間ごとの判定!$AT$3:$AT$1850,333),{"利用可","両方停止","運転がそろわない","判定不能"},0),"○","停","×","－"),"")</f>
        <v>×</v>
      </c>
      <c r="AW17" s="35" t="str">
        <f aca="false">IFERROR(CHOOSE(MATCH(INDEX(時間ごとの判定!$AT$3:$AT$1850,334),{"利用可","両方停止","運転がそろわない","判定不能"},0),"○","停","×","－"),"")</f>
        <v>停</v>
      </c>
      <c r="AX17" s="35" t="str">
        <f aca="false">IFERROR(CHOOSE(MATCH(INDEX(時間ごとの判定!$AT$3:$AT$1850,335),{"利用可","両方停止","運転がそろわない","判定不能"},0),"○","停","×","－"),"")</f>
        <v>停</v>
      </c>
      <c r="AY17" s="35" t="str">
        <f aca="false">IFERROR(CHOOSE(MATCH(INDEX(時間ごとの判定!$AT$3:$AT$1850,336),{"利用可","両方停止","運転がそろわない","判定不能"},0),"○","停","×","－"),"")</f>
        <v>停</v>
      </c>
      <c r="AZ17" s="35"/>
      <c r="BA17" s="35" t="str">
        <f aca="false">IFERROR(CHOOSE(MATCH(INDEX(時間ごとの判定!$AW$3:$AW$1850,313),{"利用可","両方停止","運転がそろわない","判定不能"},0),"○","停","×","－"),"")</f>
        <v>×</v>
      </c>
      <c r="BB17" s="35" t="str">
        <f aca="false">IFERROR(CHOOSE(MATCH(INDEX(時間ごとの判定!$AW$3:$AW$1850,314),{"利用可","両方停止","運転がそろわない","判定不能"},0),"○","停","×","－"),"")</f>
        <v>×</v>
      </c>
      <c r="BC17" s="35" t="str">
        <f aca="false">IFERROR(CHOOSE(MATCH(INDEX(時間ごとの判定!$AW$3:$AW$1850,315),{"利用可","両方停止","運転がそろわない","判定不能"},0),"○","停","×","－"),"")</f>
        <v>×</v>
      </c>
      <c r="BD17" s="35" t="str">
        <f aca="false">IFERROR(CHOOSE(MATCH(INDEX(時間ごとの判定!$AW$3:$AW$1850,316),{"利用可","両方停止","運転がそろわない","判定不能"},0),"○","停","×","－"),"")</f>
        <v>×</v>
      </c>
      <c r="BE17" s="35" t="str">
        <f aca="false">IFERROR(CHOOSE(MATCH(INDEX(時間ごとの判定!$AW$3:$AW$1850,317),{"利用可","両方停止","運転がそろわない","判定不能"},0),"○","停","×","－"),"")</f>
        <v>×</v>
      </c>
      <c r="BF17" s="35" t="str">
        <f aca="false">IFERROR(CHOOSE(MATCH(INDEX(時間ごとの判定!$AW$3:$AW$1850,318),{"利用可","両方停止","運転がそろわない","判定不能"},0),"○","停","×","－"),"")</f>
        <v>×</v>
      </c>
      <c r="BG17" s="35" t="str">
        <f aca="false">IFERROR(CHOOSE(MATCH(INDEX(時間ごとの判定!$AW$3:$AW$1850,319),{"利用可","両方停止","運転がそろわない","判定不能"},0),"○","停","×","－"),"")</f>
        <v>×</v>
      </c>
      <c r="BH17" s="35" t="str">
        <f aca="false">IFERROR(CHOOSE(MATCH(INDEX(時間ごとの判定!$AW$3:$AW$1850,320),{"利用可","両方停止","運転がそろわない","判定不能"},0),"○","停","×","－"),"")</f>
        <v>○</v>
      </c>
      <c r="BI17" s="35" t="str">
        <f aca="false">IFERROR(CHOOSE(MATCH(INDEX(時間ごとの判定!$AW$3:$AW$1850,321),{"利用可","両方停止","運転がそろわない","判定不能"},0),"○","停","×","－"),"")</f>
        <v>○</v>
      </c>
      <c r="BJ17" s="35" t="str">
        <f aca="false">IFERROR(CHOOSE(MATCH(INDEX(時間ごとの判定!$AW$3:$AW$1850,322),{"利用可","両方停止","運転がそろわない","判定不能"},0),"○","停","×","－"),"")</f>
        <v>○</v>
      </c>
      <c r="BK17" s="35" t="str">
        <f aca="false">IFERROR(CHOOSE(MATCH(INDEX(時間ごとの判定!$AW$3:$AW$1850,323),{"利用可","両方停止","運転がそろわない","判定不能"},0),"○","停","×","－"),"")</f>
        <v>○</v>
      </c>
      <c r="BL17" s="35" t="str">
        <f aca="false">IFERROR(CHOOSE(MATCH(INDEX(時間ごとの判定!$AW$3:$AW$1850,324),{"利用可","両方停止","運転がそろわない","判定不能"},0),"○","停","×","－"),"")</f>
        <v>○</v>
      </c>
      <c r="BM17" s="35" t="str">
        <f aca="false">IFERROR(CHOOSE(MATCH(INDEX(時間ごとの判定!$AW$3:$AW$1850,325),{"利用可","両方停止","運転がそろわない","判定不能"},0),"○","停","×","－"),"")</f>
        <v>○</v>
      </c>
      <c r="BN17" s="35" t="str">
        <f aca="false">IFERROR(CHOOSE(MATCH(INDEX(時間ごとの判定!$AW$3:$AW$1850,326),{"利用可","両方停止","運転がそろわない","判定不能"},0),"○","停","×","－"),"")</f>
        <v>○</v>
      </c>
      <c r="BO17" s="35" t="str">
        <f aca="false">IFERROR(CHOOSE(MATCH(INDEX(時間ごとの判定!$AW$3:$AW$1850,327),{"利用可","両方停止","運転がそろわない","判定不能"},0),"○","停","×","－"),"")</f>
        <v>○</v>
      </c>
      <c r="BP17" s="35" t="str">
        <f aca="false">IFERROR(CHOOSE(MATCH(INDEX(時間ごとの判定!$AW$3:$AW$1850,328),{"利用可","両方停止","運転がそろわない","判定不能"},0),"○","停","×","－"),"")</f>
        <v>○</v>
      </c>
      <c r="BQ17" s="35" t="str">
        <f aca="false">IFERROR(CHOOSE(MATCH(INDEX(時間ごとの判定!$AW$3:$AW$1850,329),{"利用可","両方停止","運転がそろわない","判定不能"},0),"○","停","×","－"),"")</f>
        <v>○</v>
      </c>
      <c r="BR17" s="35" t="str">
        <f aca="false">IFERROR(CHOOSE(MATCH(INDEX(時間ごとの判定!$AW$3:$AW$1850,330),{"利用可","両方停止","運転がそろわない","判定不能"},0),"○","停","×","－"),"")</f>
        <v>○</v>
      </c>
      <c r="BS17" s="35" t="str">
        <f aca="false">IFERROR(CHOOSE(MATCH(INDEX(時間ごとの判定!$AW$3:$AW$1850,331),{"利用可","両方停止","運転がそろわない","判定不能"},0),"○","停","×","－"),"")</f>
        <v>○</v>
      </c>
      <c r="BT17" s="35" t="str">
        <f aca="false">IFERROR(CHOOSE(MATCH(INDEX(時間ごとの判定!$AW$3:$AW$1850,332),{"利用可","両方停止","運転がそろわない","判定不能"},0),"○","停","×","－"),"")</f>
        <v>×</v>
      </c>
      <c r="BU17" s="35" t="str">
        <f aca="false">IFERROR(CHOOSE(MATCH(INDEX(時間ごとの判定!$AW$3:$AW$1850,333),{"利用可","両方停止","運転がそろわない","判定不能"},0),"○","停","×","－"),"")</f>
        <v>×</v>
      </c>
      <c r="BV17" s="35" t="str">
        <f aca="false">IFERROR(CHOOSE(MATCH(INDEX(時間ごとの判定!$AW$3:$AW$1850,334),{"利用可","両方停止","運転がそろわない","判定不能"},0),"○","停","×","－"),"")</f>
        <v>×</v>
      </c>
      <c r="BW17" s="35" t="str">
        <f aca="false">IFERROR(CHOOSE(MATCH(INDEX(時間ごとの判定!$AW$3:$AW$1850,335),{"利用可","両方停止","運転がそろわない","判定不能"},0),"○","停","×","－"),"")</f>
        <v>×</v>
      </c>
      <c r="BX17" s="35" t="str">
        <f aca="false">IFERROR(CHOOSE(MATCH(INDEX(時間ごとの判定!$AW$3:$AW$1850,336),{"利用可","両方停止","運転がそろわない","判定不能"},0),"○","停","×","－"),"")</f>
        <v>×</v>
      </c>
    </row>
    <row r="18" customFormat="false" ht="15" hidden="false" customHeight="false" outlineLevel="0" collapsed="false">
      <c r="A18" s="33" t="n">
        <v>46246</v>
      </c>
      <c r="B18" s="34" t="s">
        <v>58</v>
      </c>
      <c r="C18" s="35" t="str">
        <f aca="false">IFERROR(CHOOSE(MATCH(INDEX(時間ごとの判定!$AQ$3:$AQ$1850,337),{"利用可","両方停止","運転がそろわない","判定不能"},0),"○","停","×","－"),"")</f>
        <v>停</v>
      </c>
      <c r="D18" s="35" t="str">
        <f aca="false">IFERROR(CHOOSE(MATCH(INDEX(時間ごとの判定!$AQ$3:$AQ$1850,338),{"利用可","両方停止","運転がそろわない","判定不能"},0),"○","停","×","－"),"")</f>
        <v>停</v>
      </c>
      <c r="E18" s="35" t="str">
        <f aca="false">IFERROR(CHOOSE(MATCH(INDEX(時間ごとの判定!$AQ$3:$AQ$1850,339),{"利用可","両方停止","運転がそろわない","判定不能"},0),"○","停","×","－"),"")</f>
        <v>停</v>
      </c>
      <c r="F18" s="35" t="str">
        <f aca="false">IFERROR(CHOOSE(MATCH(INDEX(時間ごとの判定!$AQ$3:$AQ$1850,340),{"利用可","両方停止","運転がそろわない","判定不能"},0),"○","停","×","－"),"")</f>
        <v>停</v>
      </c>
      <c r="G18" s="35" t="str">
        <f aca="false">IFERROR(CHOOSE(MATCH(INDEX(時間ごとの判定!$AQ$3:$AQ$1850,341),{"利用可","両方停止","運転がそろわない","判定不能"},0),"○","停","×","－"),"")</f>
        <v>停</v>
      </c>
      <c r="H18" s="35" t="str">
        <f aca="false">IFERROR(CHOOSE(MATCH(INDEX(時間ごとの判定!$AQ$3:$AQ$1850,342),{"利用可","両方停止","運転がそろわない","判定不能"},0),"○","停","×","－"),"")</f>
        <v>停</v>
      </c>
      <c r="I18" s="35" t="str">
        <f aca="false">IFERROR(CHOOSE(MATCH(INDEX(時間ごとの判定!$AQ$3:$AQ$1850,343),{"利用可","両方停止","運転がそろわない","判定不能"},0),"○","停","×","－"),"")</f>
        <v>×</v>
      </c>
      <c r="J18" s="35" t="str">
        <f aca="false">IFERROR(CHOOSE(MATCH(INDEX(時間ごとの判定!$AQ$3:$AQ$1850,344),{"利用可","両方停止","運転がそろわない","判定不能"},0),"○","停","×","－"),"")</f>
        <v>×</v>
      </c>
      <c r="K18" s="35" t="str">
        <f aca="false">IFERROR(CHOOSE(MATCH(INDEX(時間ごとの判定!$AQ$3:$AQ$1850,345),{"利用可","両方停止","運転がそろわない","判定不能"},0),"○","停","×","－"),"")</f>
        <v>×</v>
      </c>
      <c r="L18" s="35" t="str">
        <f aca="false">IFERROR(CHOOSE(MATCH(INDEX(時間ごとの判定!$AQ$3:$AQ$1850,346),{"利用可","両方停止","運転がそろわない","判定不能"},0),"○","停","×","－"),"")</f>
        <v>○</v>
      </c>
      <c r="M18" s="35" t="str">
        <f aca="false">IFERROR(CHOOSE(MATCH(INDEX(時間ごとの判定!$AQ$3:$AQ$1850,347),{"利用可","両方停止","運転がそろわない","判定不能"},0),"○","停","×","－"),"")</f>
        <v>○</v>
      </c>
      <c r="N18" s="35" t="str">
        <f aca="false">IFERROR(CHOOSE(MATCH(INDEX(時間ごとの判定!$AQ$3:$AQ$1850,348),{"利用可","両方停止","運転がそろわない","判定不能"},0),"○","停","×","－"),"")</f>
        <v>○</v>
      </c>
      <c r="O18" s="35" t="str">
        <f aca="false">IFERROR(CHOOSE(MATCH(INDEX(時間ごとの判定!$AQ$3:$AQ$1850,349),{"利用可","両方停止","運転がそろわない","判定不能"},0),"○","停","×","－"),"")</f>
        <v>○</v>
      </c>
      <c r="P18" s="35" t="str">
        <f aca="false">IFERROR(CHOOSE(MATCH(INDEX(時間ごとの判定!$AQ$3:$AQ$1850,350),{"利用可","両方停止","運転がそろわない","判定不能"},0),"○","停","×","－"),"")</f>
        <v>○</v>
      </c>
      <c r="Q18" s="35" t="str">
        <f aca="false">IFERROR(CHOOSE(MATCH(INDEX(時間ごとの判定!$AQ$3:$AQ$1850,351),{"利用可","両方停止","運転がそろわない","判定不能"},0),"○","停","×","－"),"")</f>
        <v>○</v>
      </c>
      <c r="R18" s="35" t="str">
        <f aca="false">IFERROR(CHOOSE(MATCH(INDEX(時間ごとの判定!$AQ$3:$AQ$1850,352),{"利用可","両方停止","運転がそろわない","判定不能"},0),"○","停","×","－"),"")</f>
        <v>○</v>
      </c>
      <c r="S18" s="35" t="str">
        <f aca="false">IFERROR(CHOOSE(MATCH(INDEX(時間ごとの判定!$AQ$3:$AQ$1850,353),{"利用可","両方停止","運転がそろわない","判定不能"},0),"○","停","×","－"),"")</f>
        <v>○</v>
      </c>
      <c r="T18" s="35" t="str">
        <f aca="false">IFERROR(CHOOSE(MATCH(INDEX(時間ごとの判定!$AQ$3:$AQ$1850,354),{"利用可","両方停止","運転がそろわない","判定不能"},0),"○","停","×","－"),"")</f>
        <v>○</v>
      </c>
      <c r="U18" s="35" t="str">
        <f aca="false">IFERROR(CHOOSE(MATCH(INDEX(時間ごとの判定!$AQ$3:$AQ$1850,355),{"利用可","両方停止","運転がそろわない","判定不能"},0),"○","停","×","－"),"")</f>
        <v>○</v>
      </c>
      <c r="V18" s="35" t="str">
        <f aca="false">IFERROR(CHOOSE(MATCH(INDEX(時間ごとの判定!$AQ$3:$AQ$1850,356),{"利用可","両方停止","運転がそろわない","判定不能"},0),"○","停","×","－"),"")</f>
        <v>×</v>
      </c>
      <c r="W18" s="35" t="str">
        <f aca="false">IFERROR(CHOOSE(MATCH(INDEX(時間ごとの判定!$AQ$3:$AQ$1850,357),{"利用可","両方停止","運転がそろわない","判定不能"},0),"○","停","×","－"),"")</f>
        <v>×</v>
      </c>
      <c r="X18" s="35" t="str">
        <f aca="false">IFERROR(CHOOSE(MATCH(INDEX(時間ごとの判定!$AQ$3:$AQ$1850,358),{"利用可","両方停止","運転がそろわない","判定不能"},0),"○","停","×","－"),"")</f>
        <v>停</v>
      </c>
      <c r="Y18" s="35" t="str">
        <f aca="false">IFERROR(CHOOSE(MATCH(INDEX(時間ごとの判定!$AQ$3:$AQ$1850,359),{"利用可","両方停止","運転がそろわない","判定不能"},0),"○","停","×","－"),"")</f>
        <v>停</v>
      </c>
      <c r="Z18" s="35" t="str">
        <f aca="false">IFERROR(CHOOSE(MATCH(INDEX(時間ごとの判定!$AQ$3:$AQ$1850,360),{"利用可","両方停止","運転がそろわない","判定不能"},0),"○","停","×","－"),"")</f>
        <v>停</v>
      </c>
      <c r="AA18" s="35"/>
      <c r="AB18" s="35" t="str">
        <f aca="false">IFERROR(CHOOSE(MATCH(INDEX(時間ごとの判定!$AT$3:$AT$1850,337),{"利用可","両方停止","運転がそろわない","判定不能"},0),"○","停","×","－"),"")</f>
        <v>停</v>
      </c>
      <c r="AC18" s="35" t="str">
        <f aca="false">IFERROR(CHOOSE(MATCH(INDEX(時間ごとの判定!$AT$3:$AT$1850,338),{"利用可","両方停止","運転がそろわない","判定不能"},0),"○","停","×","－"),"")</f>
        <v>停</v>
      </c>
      <c r="AD18" s="35" t="str">
        <f aca="false">IFERROR(CHOOSE(MATCH(INDEX(時間ごとの判定!$AT$3:$AT$1850,339),{"利用可","両方停止","運転がそろわない","判定不能"},0),"○","停","×","－"),"")</f>
        <v>停</v>
      </c>
      <c r="AE18" s="35" t="str">
        <f aca="false">IFERROR(CHOOSE(MATCH(INDEX(時間ごとの判定!$AT$3:$AT$1850,340),{"利用可","両方停止","運転がそろわない","判定不能"},0),"○","停","×","－"),"")</f>
        <v>停</v>
      </c>
      <c r="AF18" s="35" t="str">
        <f aca="false">IFERROR(CHOOSE(MATCH(INDEX(時間ごとの判定!$AT$3:$AT$1850,341),{"利用可","両方停止","運転がそろわない","判定不能"},0),"○","停","×","－"),"")</f>
        <v>停</v>
      </c>
      <c r="AG18" s="35" t="str">
        <f aca="false">IFERROR(CHOOSE(MATCH(INDEX(時間ごとの判定!$AT$3:$AT$1850,342),{"利用可","両方停止","運転がそろわない","判定不能"},0),"○","停","×","－"),"")</f>
        <v>停</v>
      </c>
      <c r="AH18" s="35" t="str">
        <f aca="false">IFERROR(CHOOSE(MATCH(INDEX(時間ごとの判定!$AT$3:$AT$1850,343),{"利用可","両方停止","運転がそろわない","判定不能"},0),"○","停","×","－"),"")</f>
        <v>×</v>
      </c>
      <c r="AI18" s="35" t="str">
        <f aca="false">IFERROR(CHOOSE(MATCH(INDEX(時間ごとの判定!$AT$3:$AT$1850,344),{"利用可","両方停止","運転がそろわない","判定不能"},0),"○","停","×","－"),"")</f>
        <v>停</v>
      </c>
      <c r="AJ18" s="35" t="str">
        <f aca="false">IFERROR(CHOOSE(MATCH(INDEX(時間ごとの判定!$AT$3:$AT$1850,345),{"利用可","両方停止","運転がそろわない","判定不能"},0),"○","停","×","－"),"")</f>
        <v>×</v>
      </c>
      <c r="AK18" s="35" t="str">
        <f aca="false">IFERROR(CHOOSE(MATCH(INDEX(時間ごとの判定!$AT$3:$AT$1850,346),{"利用可","両方停止","運転がそろわない","判定不能"},0),"○","停","×","－"),"")</f>
        <v>○</v>
      </c>
      <c r="AL18" s="35" t="str">
        <f aca="false">IFERROR(CHOOSE(MATCH(INDEX(時間ごとの判定!$AT$3:$AT$1850,347),{"利用可","両方停止","運転がそろわない","判定不能"},0),"○","停","×","－"),"")</f>
        <v>○</v>
      </c>
      <c r="AM18" s="35" t="str">
        <f aca="false">IFERROR(CHOOSE(MATCH(INDEX(時間ごとの判定!$AT$3:$AT$1850,348),{"利用可","両方停止","運転がそろわない","判定不能"},0),"○","停","×","－"),"")</f>
        <v>○</v>
      </c>
      <c r="AN18" s="35" t="str">
        <f aca="false">IFERROR(CHOOSE(MATCH(INDEX(時間ごとの判定!$AT$3:$AT$1850,349),{"利用可","両方停止","運転がそろわない","判定不能"},0),"○","停","×","－"),"")</f>
        <v>○</v>
      </c>
      <c r="AO18" s="35" t="str">
        <f aca="false">IFERROR(CHOOSE(MATCH(INDEX(時間ごとの判定!$AT$3:$AT$1850,350),{"利用可","両方停止","運転がそろわない","判定不能"},0),"○","停","×","－"),"")</f>
        <v>○</v>
      </c>
      <c r="AP18" s="35" t="str">
        <f aca="false">IFERROR(CHOOSE(MATCH(INDEX(時間ごとの判定!$AT$3:$AT$1850,351),{"利用可","両方停止","運転がそろわない","判定不能"},0),"○","停","×","－"),"")</f>
        <v>○</v>
      </c>
      <c r="AQ18" s="35" t="str">
        <f aca="false">IFERROR(CHOOSE(MATCH(INDEX(時間ごとの判定!$AT$3:$AT$1850,352),{"利用可","両方停止","運転がそろわない","判定不能"},0),"○","停","×","－"),"")</f>
        <v>○</v>
      </c>
      <c r="AR18" s="35" t="str">
        <f aca="false">IFERROR(CHOOSE(MATCH(INDEX(時間ごとの判定!$AT$3:$AT$1850,353),{"利用可","両方停止","運転がそろわない","判定不能"},0),"○","停","×","－"),"")</f>
        <v>○</v>
      </c>
      <c r="AS18" s="35" t="str">
        <f aca="false">IFERROR(CHOOSE(MATCH(INDEX(時間ごとの判定!$AT$3:$AT$1850,354),{"利用可","両方停止","運転がそろわない","判定不能"},0),"○","停","×","－"),"")</f>
        <v>○</v>
      </c>
      <c r="AT18" s="35" t="str">
        <f aca="false">IFERROR(CHOOSE(MATCH(INDEX(時間ごとの判定!$AT$3:$AT$1850,355),{"利用可","両方停止","運転がそろわない","判定不能"},0),"○","停","×","－"),"")</f>
        <v>×</v>
      </c>
      <c r="AU18" s="35" t="str">
        <f aca="false">IFERROR(CHOOSE(MATCH(INDEX(時間ごとの判定!$AT$3:$AT$1850,356),{"利用可","両方停止","運転がそろわない","判定不能"},0),"○","停","×","－"),"")</f>
        <v>×</v>
      </c>
      <c r="AV18" s="35" t="str">
        <f aca="false">IFERROR(CHOOSE(MATCH(INDEX(時間ごとの判定!$AT$3:$AT$1850,357),{"利用可","両方停止","運転がそろわない","判定不能"},0),"○","停","×","－"),"")</f>
        <v>×</v>
      </c>
      <c r="AW18" s="35" t="str">
        <f aca="false">IFERROR(CHOOSE(MATCH(INDEX(時間ごとの判定!$AT$3:$AT$1850,358),{"利用可","両方停止","運転がそろわない","判定不能"},0),"○","停","×","－"),"")</f>
        <v>停</v>
      </c>
      <c r="AX18" s="35" t="str">
        <f aca="false">IFERROR(CHOOSE(MATCH(INDEX(時間ごとの判定!$AT$3:$AT$1850,359),{"利用可","両方停止","運転がそろわない","判定不能"},0),"○","停","×","－"),"")</f>
        <v>停</v>
      </c>
      <c r="AY18" s="35" t="str">
        <f aca="false">IFERROR(CHOOSE(MATCH(INDEX(時間ごとの判定!$AT$3:$AT$1850,360),{"利用可","両方停止","運転がそろわない","判定不能"},0),"○","停","×","－"),"")</f>
        <v>停</v>
      </c>
      <c r="AZ18" s="35"/>
      <c r="BA18" s="35" t="str">
        <f aca="false">IFERROR(CHOOSE(MATCH(INDEX(時間ごとの判定!$AW$3:$AW$1850,337),{"利用可","両方停止","運転がそろわない","判定不能"},0),"○","停","×","－"),"")</f>
        <v>×</v>
      </c>
      <c r="BB18" s="35" t="str">
        <f aca="false">IFERROR(CHOOSE(MATCH(INDEX(時間ごとの判定!$AW$3:$AW$1850,338),{"利用可","両方停止","運転がそろわない","判定不能"},0),"○","停","×","－"),"")</f>
        <v>×</v>
      </c>
      <c r="BC18" s="35" t="str">
        <f aca="false">IFERROR(CHOOSE(MATCH(INDEX(時間ごとの判定!$AW$3:$AW$1850,339),{"利用可","両方停止","運転がそろわない","判定不能"},0),"○","停","×","－"),"")</f>
        <v>×</v>
      </c>
      <c r="BD18" s="35" t="str">
        <f aca="false">IFERROR(CHOOSE(MATCH(INDEX(時間ごとの判定!$AW$3:$AW$1850,340),{"利用可","両方停止","運転がそろわない","判定不能"},0),"○","停","×","－"),"")</f>
        <v>×</v>
      </c>
      <c r="BE18" s="35" t="str">
        <f aca="false">IFERROR(CHOOSE(MATCH(INDEX(時間ごとの判定!$AW$3:$AW$1850,341),{"利用可","両方停止","運転がそろわない","判定不能"},0),"○","停","×","－"),"")</f>
        <v>×</v>
      </c>
      <c r="BF18" s="35" t="str">
        <f aca="false">IFERROR(CHOOSE(MATCH(INDEX(時間ごとの判定!$AW$3:$AW$1850,342),{"利用可","両方停止","運転がそろわない","判定不能"},0),"○","停","×","－"),"")</f>
        <v>×</v>
      </c>
      <c r="BG18" s="35" t="str">
        <f aca="false">IFERROR(CHOOSE(MATCH(INDEX(時間ごとの判定!$AW$3:$AW$1850,343),{"利用可","両方停止","運転がそろわない","判定不能"},0),"○","停","×","－"),"")</f>
        <v>○</v>
      </c>
      <c r="BH18" s="35" t="str">
        <f aca="false">IFERROR(CHOOSE(MATCH(INDEX(時間ごとの判定!$AW$3:$AW$1850,344),{"利用可","両方停止","運転がそろわない","判定不能"},0),"○","停","×","－"),"")</f>
        <v>○</v>
      </c>
      <c r="BI18" s="35" t="str">
        <f aca="false">IFERROR(CHOOSE(MATCH(INDEX(時間ごとの判定!$AW$3:$AW$1850,345),{"利用可","両方停止","運転がそろわない","判定不能"},0),"○","停","×","－"),"")</f>
        <v>○</v>
      </c>
      <c r="BJ18" s="35" t="str">
        <f aca="false">IFERROR(CHOOSE(MATCH(INDEX(時間ごとの判定!$AW$3:$AW$1850,346),{"利用可","両方停止","運転がそろわない","判定不能"},0),"○","停","×","－"),"")</f>
        <v>○</v>
      </c>
      <c r="BK18" s="35" t="str">
        <f aca="false">IFERROR(CHOOSE(MATCH(INDEX(時間ごとの判定!$AW$3:$AW$1850,347),{"利用可","両方停止","運転がそろわない","判定不能"},0),"○","停","×","－"),"")</f>
        <v>○</v>
      </c>
      <c r="BL18" s="35" t="str">
        <f aca="false">IFERROR(CHOOSE(MATCH(INDEX(時間ごとの判定!$AW$3:$AW$1850,348),{"利用可","両方停止","運転がそろわない","判定不能"},0),"○","停","×","－"),"")</f>
        <v>○</v>
      </c>
      <c r="BM18" s="35" t="str">
        <f aca="false">IFERROR(CHOOSE(MATCH(INDEX(時間ごとの判定!$AW$3:$AW$1850,349),{"利用可","両方停止","運転がそろわない","判定不能"},0),"○","停","×","－"),"")</f>
        <v>○</v>
      </c>
      <c r="BN18" s="35" t="str">
        <f aca="false">IFERROR(CHOOSE(MATCH(INDEX(時間ごとの判定!$AW$3:$AW$1850,350),{"利用可","両方停止","運転がそろわない","判定不能"},0),"○","停","×","－"),"")</f>
        <v>○</v>
      </c>
      <c r="BO18" s="35" t="str">
        <f aca="false">IFERROR(CHOOSE(MATCH(INDEX(時間ごとの判定!$AW$3:$AW$1850,351),{"利用可","両方停止","運転がそろわない","判定不能"},0),"○","停","×","－"),"")</f>
        <v>○</v>
      </c>
      <c r="BP18" s="35" t="str">
        <f aca="false">IFERROR(CHOOSE(MATCH(INDEX(時間ごとの判定!$AW$3:$AW$1850,352),{"利用可","両方停止","運転がそろわない","判定不能"},0),"○","停","×","－"),"")</f>
        <v>○</v>
      </c>
      <c r="BQ18" s="35" t="str">
        <f aca="false">IFERROR(CHOOSE(MATCH(INDEX(時間ごとの判定!$AW$3:$AW$1850,353),{"利用可","両方停止","運転がそろわない","判定不能"},0),"○","停","×","－"),"")</f>
        <v>○</v>
      </c>
      <c r="BR18" s="35" t="str">
        <f aca="false">IFERROR(CHOOSE(MATCH(INDEX(時間ごとの判定!$AW$3:$AW$1850,354),{"利用可","両方停止","運転がそろわない","判定不能"},0),"○","停","×","－"),"")</f>
        <v>○</v>
      </c>
      <c r="BS18" s="35" t="str">
        <f aca="false">IFERROR(CHOOSE(MATCH(INDEX(時間ごとの判定!$AW$3:$AW$1850,355),{"利用可","両方停止","運転がそろわない","判定不能"},0),"○","停","×","－"),"")</f>
        <v>○</v>
      </c>
      <c r="BT18" s="35" t="str">
        <f aca="false">IFERROR(CHOOSE(MATCH(INDEX(時間ごとの判定!$AW$3:$AW$1850,356),{"利用可","両方停止","運転がそろわない","判定不能"},0),"○","停","×","－"),"")</f>
        <v>×</v>
      </c>
      <c r="BU18" s="35" t="str">
        <f aca="false">IFERROR(CHOOSE(MATCH(INDEX(時間ごとの判定!$AW$3:$AW$1850,357),{"利用可","両方停止","運転がそろわない","判定不能"},0),"○","停","×","－"),"")</f>
        <v>×</v>
      </c>
      <c r="BV18" s="35" t="str">
        <f aca="false">IFERROR(CHOOSE(MATCH(INDEX(時間ごとの判定!$AW$3:$AW$1850,358),{"利用可","両方停止","運転がそろわない","判定不能"},0),"○","停","×","－"),"")</f>
        <v>×</v>
      </c>
      <c r="BW18" s="35" t="str">
        <f aca="false">IFERROR(CHOOSE(MATCH(INDEX(時間ごとの判定!$AW$3:$AW$1850,359),{"利用可","両方停止","運転がそろわない","判定不能"},0),"○","停","×","－"),"")</f>
        <v>×</v>
      </c>
      <c r="BX18" s="35" t="str">
        <f aca="false">IFERROR(CHOOSE(MATCH(INDEX(時間ごとの判定!$AW$3:$AW$1850,360),{"利用可","両方停止","運転がそろわない","判定不能"},0),"○","停","×","－"),"")</f>
        <v>×</v>
      </c>
    </row>
    <row r="19" customFormat="false" ht="15" hidden="false" customHeight="false" outlineLevel="0" collapsed="false">
      <c r="A19" s="33" t="n">
        <v>46247</v>
      </c>
      <c r="B19" s="34" t="s">
        <v>61</v>
      </c>
      <c r="C19" s="35" t="str">
        <f aca="false">IFERROR(CHOOSE(MATCH(INDEX(時間ごとの判定!$AQ$3:$AQ$1850,361),{"利用可","両方停止","運転がそろわない","判定不能"},0),"○","停","×","－"),"")</f>
        <v>停</v>
      </c>
      <c r="D19" s="35" t="str">
        <f aca="false">IFERROR(CHOOSE(MATCH(INDEX(時間ごとの判定!$AQ$3:$AQ$1850,362),{"利用可","両方停止","運転がそろわない","判定不能"},0),"○","停","×","－"),"")</f>
        <v>停</v>
      </c>
      <c r="E19" s="35" t="str">
        <f aca="false">IFERROR(CHOOSE(MATCH(INDEX(時間ごとの判定!$AQ$3:$AQ$1850,363),{"利用可","両方停止","運転がそろわない","判定不能"},0),"○","停","×","－"),"")</f>
        <v>停</v>
      </c>
      <c r="F19" s="35" t="str">
        <f aca="false">IFERROR(CHOOSE(MATCH(INDEX(時間ごとの判定!$AQ$3:$AQ$1850,364),{"利用可","両方停止","運転がそろわない","判定不能"},0),"○","停","×","－"),"")</f>
        <v>停</v>
      </c>
      <c r="G19" s="35" t="str">
        <f aca="false">IFERROR(CHOOSE(MATCH(INDEX(時間ごとの判定!$AQ$3:$AQ$1850,365),{"利用可","両方停止","運転がそろわない","判定不能"},0),"○","停","×","－"),"")</f>
        <v>停</v>
      </c>
      <c r="H19" s="35" t="str">
        <f aca="false">IFERROR(CHOOSE(MATCH(INDEX(時間ごとの判定!$AQ$3:$AQ$1850,366),{"利用可","両方停止","運転がそろわない","判定不能"},0),"○","停","×","－"),"")</f>
        <v>停</v>
      </c>
      <c r="I19" s="35" t="str">
        <f aca="false">IFERROR(CHOOSE(MATCH(INDEX(時間ごとの判定!$AQ$3:$AQ$1850,367),{"利用可","両方停止","運転がそろわない","判定不能"},0),"○","停","×","－"),"")</f>
        <v>×</v>
      </c>
      <c r="J19" s="35" t="str">
        <f aca="false">IFERROR(CHOOSE(MATCH(INDEX(時間ごとの判定!$AQ$3:$AQ$1850,368),{"利用可","両方停止","運転がそろわない","判定不能"},0),"○","停","×","－"),"")</f>
        <v>×</v>
      </c>
      <c r="K19" s="35" t="str">
        <f aca="false">IFERROR(CHOOSE(MATCH(INDEX(時間ごとの判定!$AQ$3:$AQ$1850,369),{"利用可","両方停止","運転がそろわない","判定不能"},0),"○","停","×","－"),"")</f>
        <v>×</v>
      </c>
      <c r="L19" s="35" t="str">
        <f aca="false">IFERROR(CHOOSE(MATCH(INDEX(時間ごとの判定!$AQ$3:$AQ$1850,370),{"利用可","両方停止","運転がそろわない","判定不能"},0),"○","停","×","－"),"")</f>
        <v>○</v>
      </c>
      <c r="M19" s="35" t="str">
        <f aca="false">IFERROR(CHOOSE(MATCH(INDEX(時間ごとの判定!$AQ$3:$AQ$1850,371),{"利用可","両方停止","運転がそろわない","判定不能"},0),"○","停","×","－"),"")</f>
        <v>○</v>
      </c>
      <c r="N19" s="35" t="str">
        <f aca="false">IFERROR(CHOOSE(MATCH(INDEX(時間ごとの判定!$AQ$3:$AQ$1850,372),{"利用可","両方停止","運転がそろわない","判定不能"},0),"○","停","×","－"),"")</f>
        <v>○</v>
      </c>
      <c r="O19" s="35" t="str">
        <f aca="false">IFERROR(CHOOSE(MATCH(INDEX(時間ごとの判定!$AQ$3:$AQ$1850,373),{"利用可","両方停止","運転がそろわない","判定不能"},0),"○","停","×","－"),"")</f>
        <v>○</v>
      </c>
      <c r="P19" s="35" t="str">
        <f aca="false">IFERROR(CHOOSE(MATCH(INDEX(時間ごとの判定!$AQ$3:$AQ$1850,374),{"利用可","両方停止","運転がそろわない","判定不能"},0),"○","停","×","－"),"")</f>
        <v>○</v>
      </c>
      <c r="Q19" s="35" t="str">
        <f aca="false">IFERROR(CHOOSE(MATCH(INDEX(時間ごとの判定!$AQ$3:$AQ$1850,375),{"利用可","両方停止","運転がそろわない","判定不能"},0),"○","停","×","－"),"")</f>
        <v>○</v>
      </c>
      <c r="R19" s="35" t="str">
        <f aca="false">IFERROR(CHOOSE(MATCH(INDEX(時間ごとの判定!$AQ$3:$AQ$1850,376),{"利用可","両方停止","運転がそろわない","判定不能"},0),"○","停","×","－"),"")</f>
        <v>○</v>
      </c>
      <c r="S19" s="35" t="str">
        <f aca="false">IFERROR(CHOOSE(MATCH(INDEX(時間ごとの判定!$AQ$3:$AQ$1850,377),{"利用可","両方停止","運転がそろわない","判定不能"},0),"○","停","×","－"),"")</f>
        <v>○</v>
      </c>
      <c r="T19" s="35" t="str">
        <f aca="false">IFERROR(CHOOSE(MATCH(INDEX(時間ごとの判定!$AQ$3:$AQ$1850,378),{"利用可","両方停止","運転がそろわない","判定不能"},0),"○","停","×","－"),"")</f>
        <v>×</v>
      </c>
      <c r="U19" s="35" t="str">
        <f aca="false">IFERROR(CHOOSE(MATCH(INDEX(時間ごとの判定!$AQ$3:$AQ$1850,379),{"利用可","両方停止","運転がそろわない","判定不能"},0),"○","停","×","－"),"")</f>
        <v>○</v>
      </c>
      <c r="V19" s="35" t="str">
        <f aca="false">IFERROR(CHOOSE(MATCH(INDEX(時間ごとの判定!$AQ$3:$AQ$1850,380),{"利用可","両方停止","運転がそろわない","判定不能"},0),"○","停","×","－"),"")</f>
        <v>×</v>
      </c>
      <c r="W19" s="35" t="str">
        <f aca="false">IFERROR(CHOOSE(MATCH(INDEX(時間ごとの判定!$AQ$3:$AQ$1850,381),{"利用可","両方停止","運転がそろわない","判定不能"},0),"○","停","×","－"),"")</f>
        <v>×</v>
      </c>
      <c r="X19" s="35" t="str">
        <f aca="false">IFERROR(CHOOSE(MATCH(INDEX(時間ごとの判定!$AQ$3:$AQ$1850,382),{"利用可","両方停止","運転がそろわない","判定不能"},0),"○","停","×","－"),"")</f>
        <v>停</v>
      </c>
      <c r="Y19" s="35" t="str">
        <f aca="false">IFERROR(CHOOSE(MATCH(INDEX(時間ごとの判定!$AQ$3:$AQ$1850,383),{"利用可","両方停止","運転がそろわない","判定不能"},0),"○","停","×","－"),"")</f>
        <v>停</v>
      </c>
      <c r="Z19" s="35" t="str">
        <f aca="false">IFERROR(CHOOSE(MATCH(INDEX(時間ごとの判定!$AQ$3:$AQ$1850,384),{"利用可","両方停止","運転がそろわない","判定不能"},0),"○","停","×","－"),"")</f>
        <v>停</v>
      </c>
      <c r="AA19" s="35"/>
      <c r="AB19" s="35" t="str">
        <f aca="false">IFERROR(CHOOSE(MATCH(INDEX(時間ごとの判定!$AT$3:$AT$1850,361),{"利用可","両方停止","運転がそろわない","判定不能"},0),"○","停","×","－"),"")</f>
        <v>停</v>
      </c>
      <c r="AC19" s="35" t="str">
        <f aca="false">IFERROR(CHOOSE(MATCH(INDEX(時間ごとの判定!$AT$3:$AT$1850,362),{"利用可","両方停止","運転がそろわない","判定不能"},0),"○","停","×","－"),"")</f>
        <v>停</v>
      </c>
      <c r="AD19" s="35" t="str">
        <f aca="false">IFERROR(CHOOSE(MATCH(INDEX(時間ごとの判定!$AT$3:$AT$1850,363),{"利用可","両方停止","運転がそろわない","判定不能"},0),"○","停","×","－"),"")</f>
        <v>停</v>
      </c>
      <c r="AE19" s="35" t="str">
        <f aca="false">IFERROR(CHOOSE(MATCH(INDEX(時間ごとの判定!$AT$3:$AT$1850,364),{"利用可","両方停止","運転がそろわない","判定不能"},0),"○","停","×","－"),"")</f>
        <v>停</v>
      </c>
      <c r="AF19" s="35" t="str">
        <f aca="false">IFERROR(CHOOSE(MATCH(INDEX(時間ごとの判定!$AT$3:$AT$1850,365),{"利用可","両方停止","運転がそろわない","判定不能"},0),"○","停","×","－"),"")</f>
        <v>停</v>
      </c>
      <c r="AG19" s="35" t="str">
        <f aca="false">IFERROR(CHOOSE(MATCH(INDEX(時間ごとの判定!$AT$3:$AT$1850,366),{"利用可","両方停止","運転がそろわない","判定不能"},0),"○","停","×","－"),"")</f>
        <v>停</v>
      </c>
      <c r="AH19" s="35" t="str">
        <f aca="false">IFERROR(CHOOSE(MATCH(INDEX(時間ごとの判定!$AT$3:$AT$1850,367),{"利用可","両方停止","運転がそろわない","判定不能"},0),"○","停","×","－"),"")</f>
        <v>×</v>
      </c>
      <c r="AI19" s="35" t="str">
        <f aca="false">IFERROR(CHOOSE(MATCH(INDEX(時間ごとの判定!$AT$3:$AT$1850,368),{"利用可","両方停止","運転がそろわない","判定不能"},0),"○","停","×","－"),"")</f>
        <v>停</v>
      </c>
      <c r="AJ19" s="35" t="str">
        <f aca="false">IFERROR(CHOOSE(MATCH(INDEX(時間ごとの判定!$AT$3:$AT$1850,369),{"利用可","両方停止","運転がそろわない","判定不能"},0),"○","停","×","－"),"")</f>
        <v>○</v>
      </c>
      <c r="AK19" s="35" t="str">
        <f aca="false">IFERROR(CHOOSE(MATCH(INDEX(時間ごとの判定!$AT$3:$AT$1850,370),{"利用可","両方停止","運転がそろわない","判定不能"},0),"○","停","×","－"),"")</f>
        <v>○</v>
      </c>
      <c r="AL19" s="35" t="str">
        <f aca="false">IFERROR(CHOOSE(MATCH(INDEX(時間ごとの判定!$AT$3:$AT$1850,371),{"利用可","両方停止","運転がそろわない","判定不能"},0),"○","停","×","－"),"")</f>
        <v>○</v>
      </c>
      <c r="AM19" s="35" t="str">
        <f aca="false">IFERROR(CHOOSE(MATCH(INDEX(時間ごとの判定!$AT$3:$AT$1850,372),{"利用可","両方停止","運転がそろわない","判定不能"},0),"○","停","×","－"),"")</f>
        <v>○</v>
      </c>
      <c r="AN19" s="35" t="str">
        <f aca="false">IFERROR(CHOOSE(MATCH(INDEX(時間ごとの判定!$AT$3:$AT$1850,373),{"利用可","両方停止","運転がそろわない","判定不能"},0),"○","停","×","－"),"")</f>
        <v>○</v>
      </c>
      <c r="AO19" s="35" t="str">
        <f aca="false">IFERROR(CHOOSE(MATCH(INDEX(時間ごとの判定!$AT$3:$AT$1850,374),{"利用可","両方停止","運転がそろわない","判定不能"},0),"○","停","×","－"),"")</f>
        <v>○</v>
      </c>
      <c r="AP19" s="35" t="str">
        <f aca="false">IFERROR(CHOOSE(MATCH(INDEX(時間ごとの判定!$AT$3:$AT$1850,375),{"利用可","両方停止","運転がそろわない","判定不能"},0),"○","停","×","－"),"")</f>
        <v>○</v>
      </c>
      <c r="AQ19" s="35" t="str">
        <f aca="false">IFERROR(CHOOSE(MATCH(INDEX(時間ごとの判定!$AT$3:$AT$1850,376),{"利用可","両方停止","運転がそろわない","判定不能"},0),"○","停","×","－"),"")</f>
        <v>○</v>
      </c>
      <c r="AR19" s="35" t="str">
        <f aca="false">IFERROR(CHOOSE(MATCH(INDEX(時間ごとの判定!$AT$3:$AT$1850,377),{"利用可","両方停止","運転がそろわない","判定不能"},0),"○","停","×","－"),"")</f>
        <v>×</v>
      </c>
      <c r="AS19" s="35" t="str">
        <f aca="false">IFERROR(CHOOSE(MATCH(INDEX(時間ごとの判定!$AT$3:$AT$1850,378),{"利用可","両方停止","運転がそろわない","判定不能"},0),"○","停","×","－"),"")</f>
        <v>×</v>
      </c>
      <c r="AT19" s="35" t="str">
        <f aca="false">IFERROR(CHOOSE(MATCH(INDEX(時間ごとの判定!$AT$3:$AT$1850,379),{"利用可","両方停止","運転がそろわない","判定不能"},0),"○","停","×","－"),"")</f>
        <v>×</v>
      </c>
      <c r="AU19" s="35" t="str">
        <f aca="false">IFERROR(CHOOSE(MATCH(INDEX(時間ごとの判定!$AT$3:$AT$1850,380),{"利用可","両方停止","運転がそろわない","判定不能"},0),"○","停","×","－"),"")</f>
        <v>×</v>
      </c>
      <c r="AV19" s="35" t="str">
        <f aca="false">IFERROR(CHOOSE(MATCH(INDEX(時間ごとの判定!$AT$3:$AT$1850,381),{"利用可","両方停止","運転がそろわない","判定不能"},0),"○","停","×","－"),"")</f>
        <v>×</v>
      </c>
      <c r="AW19" s="35" t="str">
        <f aca="false">IFERROR(CHOOSE(MATCH(INDEX(時間ごとの判定!$AT$3:$AT$1850,382),{"利用可","両方停止","運転がそろわない","判定不能"},0),"○","停","×","－"),"")</f>
        <v>停</v>
      </c>
      <c r="AX19" s="35" t="str">
        <f aca="false">IFERROR(CHOOSE(MATCH(INDEX(時間ごとの判定!$AT$3:$AT$1850,383),{"利用可","両方停止","運転がそろわない","判定不能"},0),"○","停","×","－"),"")</f>
        <v>停</v>
      </c>
      <c r="AY19" s="35" t="str">
        <f aca="false">IFERROR(CHOOSE(MATCH(INDEX(時間ごとの判定!$AT$3:$AT$1850,384),{"利用可","両方停止","運転がそろわない","判定不能"},0),"○","停","×","－"),"")</f>
        <v>停</v>
      </c>
      <c r="AZ19" s="35"/>
      <c r="BA19" s="35" t="str">
        <f aca="false">IFERROR(CHOOSE(MATCH(INDEX(時間ごとの判定!$AW$3:$AW$1850,361),{"利用可","両方停止","運転がそろわない","判定不能"},0),"○","停","×","－"),"")</f>
        <v>×</v>
      </c>
      <c r="BB19" s="35" t="str">
        <f aca="false">IFERROR(CHOOSE(MATCH(INDEX(時間ごとの判定!$AW$3:$AW$1850,362),{"利用可","両方停止","運転がそろわない","判定不能"},0),"○","停","×","－"),"")</f>
        <v>×</v>
      </c>
      <c r="BC19" s="35" t="str">
        <f aca="false">IFERROR(CHOOSE(MATCH(INDEX(時間ごとの判定!$AW$3:$AW$1850,363),{"利用可","両方停止","運転がそろわない","判定不能"},0),"○","停","×","－"),"")</f>
        <v>×</v>
      </c>
      <c r="BD19" s="35" t="str">
        <f aca="false">IFERROR(CHOOSE(MATCH(INDEX(時間ごとの判定!$AW$3:$AW$1850,364),{"利用可","両方停止","運転がそろわない","判定不能"},0),"○","停","×","－"),"")</f>
        <v>×</v>
      </c>
      <c r="BE19" s="35" t="str">
        <f aca="false">IFERROR(CHOOSE(MATCH(INDEX(時間ごとの判定!$AW$3:$AW$1850,365),{"利用可","両方停止","運転がそろわない","判定不能"},0),"○","停","×","－"),"")</f>
        <v>×</v>
      </c>
      <c r="BF19" s="35" t="str">
        <f aca="false">IFERROR(CHOOSE(MATCH(INDEX(時間ごとの判定!$AW$3:$AW$1850,366),{"利用可","両方停止","運転がそろわない","判定不能"},0),"○","停","×","－"),"")</f>
        <v>×</v>
      </c>
      <c r="BG19" s="35" t="str">
        <f aca="false">IFERROR(CHOOSE(MATCH(INDEX(時間ごとの判定!$AW$3:$AW$1850,367),{"利用可","両方停止","運転がそろわない","判定不能"},0),"○","停","×","－"),"")</f>
        <v>○</v>
      </c>
      <c r="BH19" s="35" t="str">
        <f aca="false">IFERROR(CHOOSE(MATCH(INDEX(時間ごとの判定!$AW$3:$AW$1850,368),{"利用可","両方停止","運転がそろわない","判定不能"},0),"○","停","×","－"),"")</f>
        <v>○</v>
      </c>
      <c r="BI19" s="35" t="str">
        <f aca="false">IFERROR(CHOOSE(MATCH(INDEX(時間ごとの判定!$AW$3:$AW$1850,369),{"利用可","両方停止","運転がそろわない","判定不能"},0),"○","停","×","－"),"")</f>
        <v>○</v>
      </c>
      <c r="BJ19" s="35" t="str">
        <f aca="false">IFERROR(CHOOSE(MATCH(INDEX(時間ごとの判定!$AW$3:$AW$1850,370),{"利用可","両方停止","運転がそろわない","判定不能"},0),"○","停","×","－"),"")</f>
        <v>○</v>
      </c>
      <c r="BK19" s="35" t="str">
        <f aca="false">IFERROR(CHOOSE(MATCH(INDEX(時間ごとの判定!$AW$3:$AW$1850,371),{"利用可","両方停止","運転がそろわない","判定不能"},0),"○","停","×","－"),"")</f>
        <v>○</v>
      </c>
      <c r="BL19" s="35" t="str">
        <f aca="false">IFERROR(CHOOSE(MATCH(INDEX(時間ごとの判定!$AW$3:$AW$1850,372),{"利用可","両方停止","運転がそろわない","判定不能"},0),"○","停","×","－"),"")</f>
        <v>○</v>
      </c>
      <c r="BM19" s="35" t="str">
        <f aca="false">IFERROR(CHOOSE(MATCH(INDEX(時間ごとの判定!$AW$3:$AW$1850,373),{"利用可","両方停止","運転がそろわない","判定不能"},0),"○","停","×","－"),"")</f>
        <v>○</v>
      </c>
      <c r="BN19" s="35" t="str">
        <f aca="false">IFERROR(CHOOSE(MATCH(INDEX(時間ごとの判定!$AW$3:$AW$1850,374),{"利用可","両方停止","運転がそろわない","判定不能"},0),"○","停","×","－"),"")</f>
        <v>○</v>
      </c>
      <c r="BO19" s="35" t="str">
        <f aca="false">IFERROR(CHOOSE(MATCH(INDEX(時間ごとの判定!$AW$3:$AW$1850,375),{"利用可","両方停止","運転がそろわない","判定不能"},0),"○","停","×","－"),"")</f>
        <v>○</v>
      </c>
      <c r="BP19" s="35" t="str">
        <f aca="false">IFERROR(CHOOSE(MATCH(INDEX(時間ごとの判定!$AW$3:$AW$1850,376),{"利用可","両方停止","運転がそろわない","判定不能"},0),"○","停","×","－"),"")</f>
        <v>○</v>
      </c>
      <c r="BQ19" s="35" t="str">
        <f aca="false">IFERROR(CHOOSE(MATCH(INDEX(時間ごとの判定!$AW$3:$AW$1850,377),{"利用可","両方停止","運転がそろわない","判定不能"},0),"○","停","×","－"),"")</f>
        <v>○</v>
      </c>
      <c r="BR19" s="35" t="str">
        <f aca="false">IFERROR(CHOOSE(MATCH(INDEX(時間ごとの判定!$AW$3:$AW$1850,378),{"利用可","両方停止","運転がそろわない","判定不能"},0),"○","停","×","－"),"")</f>
        <v>○</v>
      </c>
      <c r="BS19" s="35" t="str">
        <f aca="false">IFERROR(CHOOSE(MATCH(INDEX(時間ごとの判定!$AW$3:$AW$1850,379),{"利用可","両方停止","運転がそろわない","判定不能"},0),"○","停","×","－"),"")</f>
        <v>○</v>
      </c>
      <c r="BT19" s="35" t="str">
        <f aca="false">IFERROR(CHOOSE(MATCH(INDEX(時間ごとの判定!$AW$3:$AW$1850,380),{"利用可","両方停止","運転がそろわない","判定不能"},0),"○","停","×","－"),"")</f>
        <v>×</v>
      </c>
      <c r="BU19" s="35" t="str">
        <f aca="false">IFERROR(CHOOSE(MATCH(INDEX(時間ごとの判定!$AW$3:$AW$1850,381),{"利用可","両方停止","運転がそろわない","判定不能"},0),"○","停","×","－"),"")</f>
        <v>×</v>
      </c>
      <c r="BV19" s="35" t="str">
        <f aca="false">IFERROR(CHOOSE(MATCH(INDEX(時間ごとの判定!$AW$3:$AW$1850,382),{"利用可","両方停止","運転がそろわない","判定不能"},0),"○","停","×","－"),"")</f>
        <v>×</v>
      </c>
      <c r="BW19" s="35" t="str">
        <f aca="false">IFERROR(CHOOSE(MATCH(INDEX(時間ごとの判定!$AW$3:$AW$1850,383),{"利用可","両方停止","運転がそろわない","判定不能"},0),"○","停","×","－"),"")</f>
        <v>×</v>
      </c>
      <c r="BX19" s="35" t="str">
        <f aca="false">IFERROR(CHOOSE(MATCH(INDEX(時間ごとの判定!$AW$3:$AW$1850,384),{"利用可","両方停止","運転がそろわない","判定不能"},0),"○","停","×","－"),"")</f>
        <v>×</v>
      </c>
    </row>
    <row r="20" customFormat="false" ht="15" hidden="false" customHeight="false" outlineLevel="0" collapsed="false">
      <c r="A20" s="33" t="n">
        <v>46248</v>
      </c>
      <c r="B20" s="34" t="s">
        <v>62</v>
      </c>
      <c r="C20" s="35" t="str">
        <f aca="false">IFERROR(CHOOSE(MATCH(INDEX(時間ごとの判定!$AQ$3:$AQ$1850,385),{"利用可","両方停止","運転がそろわない","判定不能"},0),"○","停","×","－"),"")</f>
        <v>停</v>
      </c>
      <c r="D20" s="35" t="str">
        <f aca="false">IFERROR(CHOOSE(MATCH(INDEX(時間ごとの判定!$AQ$3:$AQ$1850,386),{"利用可","両方停止","運転がそろわない","判定不能"},0),"○","停","×","－"),"")</f>
        <v>停</v>
      </c>
      <c r="E20" s="35" t="str">
        <f aca="false">IFERROR(CHOOSE(MATCH(INDEX(時間ごとの判定!$AQ$3:$AQ$1850,387),{"利用可","両方停止","運転がそろわない","判定不能"},0),"○","停","×","－"),"")</f>
        <v>停</v>
      </c>
      <c r="F20" s="35" t="str">
        <f aca="false">IFERROR(CHOOSE(MATCH(INDEX(時間ごとの判定!$AQ$3:$AQ$1850,388),{"利用可","両方停止","運転がそろわない","判定不能"},0),"○","停","×","－"),"")</f>
        <v>停</v>
      </c>
      <c r="G20" s="35" t="str">
        <f aca="false">IFERROR(CHOOSE(MATCH(INDEX(時間ごとの判定!$AQ$3:$AQ$1850,389),{"利用可","両方停止","運転がそろわない","判定不能"},0),"○","停","×","－"),"")</f>
        <v>停</v>
      </c>
      <c r="H20" s="35" t="str">
        <f aca="false">IFERROR(CHOOSE(MATCH(INDEX(時間ごとの判定!$AQ$3:$AQ$1850,390),{"利用可","両方停止","運転がそろわない","判定不能"},0),"○","停","×","－"),"")</f>
        <v>停</v>
      </c>
      <c r="I20" s="35" t="str">
        <f aca="false">IFERROR(CHOOSE(MATCH(INDEX(時間ごとの判定!$AQ$3:$AQ$1850,391),{"利用可","両方停止","運転がそろわない","判定不能"},0),"○","停","×","－"),"")</f>
        <v>×</v>
      </c>
      <c r="J20" s="35" t="str">
        <f aca="false">IFERROR(CHOOSE(MATCH(INDEX(時間ごとの判定!$AQ$3:$AQ$1850,392),{"利用可","両方停止","運転がそろわない","判定不能"},0),"○","停","×","－"),"")</f>
        <v>×</v>
      </c>
      <c r="K20" s="35" t="str">
        <f aca="false">IFERROR(CHOOSE(MATCH(INDEX(時間ごとの判定!$AQ$3:$AQ$1850,393),{"利用可","両方停止","運転がそろわない","判定不能"},0),"○","停","×","－"),"")</f>
        <v>×</v>
      </c>
      <c r="L20" s="35" t="str">
        <f aca="false">IFERROR(CHOOSE(MATCH(INDEX(時間ごとの判定!$AQ$3:$AQ$1850,394),{"利用可","両方停止","運転がそろわない","判定不能"},0),"○","停","×","－"),"")</f>
        <v>○</v>
      </c>
      <c r="M20" s="35" t="str">
        <f aca="false">IFERROR(CHOOSE(MATCH(INDEX(時間ごとの判定!$AQ$3:$AQ$1850,395),{"利用可","両方停止","運転がそろわない","判定不能"},0),"○","停","×","－"),"")</f>
        <v>○</v>
      </c>
      <c r="N20" s="35" t="str">
        <f aca="false">IFERROR(CHOOSE(MATCH(INDEX(時間ごとの判定!$AQ$3:$AQ$1850,396),{"利用可","両方停止","運転がそろわない","判定不能"},0),"○","停","×","－"),"")</f>
        <v>○</v>
      </c>
      <c r="O20" s="35" t="str">
        <f aca="false">IFERROR(CHOOSE(MATCH(INDEX(時間ごとの判定!$AQ$3:$AQ$1850,397),{"利用可","両方停止","運転がそろわない","判定不能"},0),"○","停","×","－"),"")</f>
        <v>○</v>
      </c>
      <c r="P20" s="35" t="str">
        <f aca="false">IFERROR(CHOOSE(MATCH(INDEX(時間ごとの判定!$AQ$3:$AQ$1850,398),{"利用可","両方停止","運転がそろわない","判定不能"},0),"○","停","×","－"),"")</f>
        <v>○</v>
      </c>
      <c r="Q20" s="35" t="str">
        <f aca="false">IFERROR(CHOOSE(MATCH(INDEX(時間ごとの判定!$AQ$3:$AQ$1850,399),{"利用可","両方停止","運転がそろわない","判定不能"},0),"○","停","×","－"),"")</f>
        <v>－</v>
      </c>
      <c r="R20" s="35" t="str">
        <f aca="false">IFERROR(CHOOSE(MATCH(INDEX(時間ごとの判定!$AQ$3:$AQ$1850,400),{"利用可","両方停止","運転がそろわない","判定不能"},0),"○","停","×","－"),"")</f>
        <v>×</v>
      </c>
      <c r="S20" s="35" t="str">
        <f aca="false">IFERROR(CHOOSE(MATCH(INDEX(時間ごとの判定!$AQ$3:$AQ$1850,401),{"利用可","両方停止","運転がそろわない","判定不能"},0),"○","停","×","－"),"")</f>
        <v>○</v>
      </c>
      <c r="T20" s="35" t="str">
        <f aca="false">IFERROR(CHOOSE(MATCH(INDEX(時間ごとの判定!$AQ$3:$AQ$1850,402),{"利用可","両方停止","運転がそろわない","判定不能"},0),"○","停","×","－"),"")</f>
        <v>○</v>
      </c>
      <c r="U20" s="35" t="str">
        <f aca="false">IFERROR(CHOOSE(MATCH(INDEX(時間ごとの判定!$AQ$3:$AQ$1850,403),{"利用可","両方停止","運転がそろわない","判定不能"},0),"○","停","×","－"),"")</f>
        <v>×</v>
      </c>
      <c r="V20" s="35" t="str">
        <f aca="false">IFERROR(CHOOSE(MATCH(INDEX(時間ごとの判定!$AQ$3:$AQ$1850,404),{"利用可","両方停止","運転がそろわない","判定不能"},0),"○","停","×","－"),"")</f>
        <v>×</v>
      </c>
      <c r="W20" s="35" t="str">
        <f aca="false">IFERROR(CHOOSE(MATCH(INDEX(時間ごとの判定!$AQ$3:$AQ$1850,405),{"利用可","両方停止","運転がそろわない","判定不能"},0),"○","停","×","－"),"")</f>
        <v>×</v>
      </c>
      <c r="X20" s="35" t="str">
        <f aca="false">IFERROR(CHOOSE(MATCH(INDEX(時間ごとの判定!$AQ$3:$AQ$1850,406),{"利用可","両方停止","運転がそろわない","判定不能"},0),"○","停","×","－"),"")</f>
        <v>×</v>
      </c>
      <c r="Y20" s="35" t="str">
        <f aca="false">IFERROR(CHOOSE(MATCH(INDEX(時間ごとの判定!$AQ$3:$AQ$1850,407),{"利用可","両方停止","運転がそろわない","判定不能"},0),"○","停","×","－"),"")</f>
        <v>停</v>
      </c>
      <c r="Z20" s="35" t="str">
        <f aca="false">IFERROR(CHOOSE(MATCH(INDEX(時間ごとの判定!$AQ$3:$AQ$1850,408),{"利用可","両方停止","運転がそろわない","判定不能"},0),"○","停","×","－"),"")</f>
        <v>停</v>
      </c>
      <c r="AA20" s="35"/>
      <c r="AB20" s="35" t="str">
        <f aca="false">IFERROR(CHOOSE(MATCH(INDEX(時間ごとの判定!$AT$3:$AT$1850,385),{"利用可","両方停止","運転がそろわない","判定不能"},0),"○","停","×","－"),"")</f>
        <v>停</v>
      </c>
      <c r="AC20" s="35" t="str">
        <f aca="false">IFERROR(CHOOSE(MATCH(INDEX(時間ごとの判定!$AT$3:$AT$1850,386),{"利用可","両方停止","運転がそろわない","判定不能"},0),"○","停","×","－"),"")</f>
        <v>停</v>
      </c>
      <c r="AD20" s="35" t="str">
        <f aca="false">IFERROR(CHOOSE(MATCH(INDEX(時間ごとの判定!$AT$3:$AT$1850,387),{"利用可","両方停止","運転がそろわない","判定不能"},0),"○","停","×","－"),"")</f>
        <v>停</v>
      </c>
      <c r="AE20" s="35" t="str">
        <f aca="false">IFERROR(CHOOSE(MATCH(INDEX(時間ごとの判定!$AT$3:$AT$1850,388),{"利用可","両方停止","運転がそろわない","判定不能"},0),"○","停","×","－"),"")</f>
        <v>停</v>
      </c>
      <c r="AF20" s="35" t="str">
        <f aca="false">IFERROR(CHOOSE(MATCH(INDEX(時間ごとの判定!$AT$3:$AT$1850,389),{"利用可","両方停止","運転がそろわない","判定不能"},0),"○","停","×","－"),"")</f>
        <v>停</v>
      </c>
      <c r="AG20" s="35" t="str">
        <f aca="false">IFERROR(CHOOSE(MATCH(INDEX(時間ごとの判定!$AT$3:$AT$1850,390),{"利用可","両方停止","運転がそろわない","判定不能"},0),"○","停","×","－"),"")</f>
        <v>停</v>
      </c>
      <c r="AH20" s="35" t="str">
        <f aca="false">IFERROR(CHOOSE(MATCH(INDEX(時間ごとの判定!$AT$3:$AT$1850,391),{"利用可","両方停止","運転がそろわない","判定不能"},0),"○","停","×","－"),"")</f>
        <v>×</v>
      </c>
      <c r="AI20" s="35" t="str">
        <f aca="false">IFERROR(CHOOSE(MATCH(INDEX(時間ごとの判定!$AT$3:$AT$1850,392),{"利用可","両方停止","運転がそろわない","判定不能"},0),"○","停","×","－"),"")</f>
        <v>停</v>
      </c>
      <c r="AJ20" s="35" t="str">
        <f aca="false">IFERROR(CHOOSE(MATCH(INDEX(時間ごとの判定!$AT$3:$AT$1850,393),{"利用可","両方停止","運転がそろわない","判定不能"},0),"○","停","×","－"),"")</f>
        <v>×</v>
      </c>
      <c r="AK20" s="35" t="str">
        <f aca="false">IFERROR(CHOOSE(MATCH(INDEX(時間ごとの判定!$AT$3:$AT$1850,394),{"利用可","両方停止","運転がそろわない","判定不能"},0),"○","停","×","－"),"")</f>
        <v>○</v>
      </c>
      <c r="AL20" s="35" t="str">
        <f aca="false">IFERROR(CHOOSE(MATCH(INDEX(時間ごとの判定!$AT$3:$AT$1850,395),{"利用可","両方停止","運転がそろわない","判定不能"},0),"○","停","×","－"),"")</f>
        <v>○</v>
      </c>
      <c r="AM20" s="35" t="str">
        <f aca="false">IFERROR(CHOOSE(MATCH(INDEX(時間ごとの判定!$AT$3:$AT$1850,396),{"利用可","両方停止","運転がそろわない","判定不能"},0),"○","停","×","－"),"")</f>
        <v>○</v>
      </c>
      <c r="AN20" s="35" t="str">
        <f aca="false">IFERROR(CHOOSE(MATCH(INDEX(時間ごとの判定!$AT$3:$AT$1850,397),{"利用可","両方停止","運転がそろわない","判定不能"},0),"○","停","×","－"),"")</f>
        <v>○</v>
      </c>
      <c r="AO20" s="35" t="str">
        <f aca="false">IFERROR(CHOOSE(MATCH(INDEX(時間ごとの判定!$AT$3:$AT$1850,398),{"利用可","両方停止","運転がそろわない","判定不能"},0),"○","停","×","－"),"")</f>
        <v>○</v>
      </c>
      <c r="AP20" s="35" t="str">
        <f aca="false">IFERROR(CHOOSE(MATCH(INDEX(時間ごとの判定!$AT$3:$AT$1850,399),{"利用可","両方停止","運転がそろわない","判定不能"},0),"○","停","×","－"),"")</f>
        <v>－</v>
      </c>
      <c r="AQ20" s="35" t="str">
        <f aca="false">IFERROR(CHOOSE(MATCH(INDEX(時間ごとの判定!$AT$3:$AT$1850,400),{"利用可","両方停止","運転がそろわない","判定不能"},0),"○","停","×","－"),"")</f>
        <v>○</v>
      </c>
      <c r="AR20" s="35" t="str">
        <f aca="false">IFERROR(CHOOSE(MATCH(INDEX(時間ごとの判定!$AT$3:$AT$1850,401),{"利用可","両方停止","運転がそろわない","判定不能"},0),"○","停","×","－"),"")</f>
        <v>×</v>
      </c>
      <c r="AS20" s="35" t="str">
        <f aca="false">IFERROR(CHOOSE(MATCH(INDEX(時間ごとの判定!$AT$3:$AT$1850,402),{"利用可","両方停止","運転がそろわない","判定不能"},0),"○","停","×","－"),"")</f>
        <v>○</v>
      </c>
      <c r="AT20" s="35" t="str">
        <f aca="false">IFERROR(CHOOSE(MATCH(INDEX(時間ごとの判定!$AT$3:$AT$1850,403),{"利用可","両方停止","運転がそろわない","判定不能"},0),"○","停","×","－"),"")</f>
        <v>×</v>
      </c>
      <c r="AU20" s="35" t="str">
        <f aca="false">IFERROR(CHOOSE(MATCH(INDEX(時間ごとの判定!$AT$3:$AT$1850,404),{"利用可","両方停止","運転がそろわない","判定不能"},0),"○","停","×","－"),"")</f>
        <v>×</v>
      </c>
      <c r="AV20" s="35" t="str">
        <f aca="false">IFERROR(CHOOSE(MATCH(INDEX(時間ごとの判定!$AT$3:$AT$1850,405),{"利用可","両方停止","運転がそろわない","判定不能"},0),"○","停","×","－"),"")</f>
        <v>×</v>
      </c>
      <c r="AW20" s="35" t="str">
        <f aca="false">IFERROR(CHOOSE(MATCH(INDEX(時間ごとの判定!$AT$3:$AT$1850,406),{"利用可","両方停止","運転がそろわない","判定不能"},0),"○","停","×","－"),"")</f>
        <v>停</v>
      </c>
      <c r="AX20" s="35" t="str">
        <f aca="false">IFERROR(CHOOSE(MATCH(INDEX(時間ごとの判定!$AT$3:$AT$1850,407),{"利用可","両方停止","運転がそろわない","判定不能"},0),"○","停","×","－"),"")</f>
        <v>停</v>
      </c>
      <c r="AY20" s="35" t="str">
        <f aca="false">IFERROR(CHOOSE(MATCH(INDEX(時間ごとの判定!$AT$3:$AT$1850,408),{"利用可","両方停止","運転がそろわない","判定不能"},0),"○","停","×","－"),"")</f>
        <v>停</v>
      </c>
      <c r="AZ20" s="35"/>
      <c r="BA20" s="35" t="str">
        <f aca="false">IFERROR(CHOOSE(MATCH(INDEX(時間ごとの判定!$AW$3:$AW$1850,385),{"利用可","両方停止","運転がそろわない","判定不能"},0),"○","停","×","－"),"")</f>
        <v>×</v>
      </c>
      <c r="BB20" s="35" t="str">
        <f aca="false">IFERROR(CHOOSE(MATCH(INDEX(時間ごとの判定!$AW$3:$AW$1850,386),{"利用可","両方停止","運転がそろわない","判定不能"},0),"○","停","×","－"),"")</f>
        <v>×</v>
      </c>
      <c r="BC20" s="35" t="str">
        <f aca="false">IFERROR(CHOOSE(MATCH(INDEX(時間ごとの判定!$AW$3:$AW$1850,387),{"利用可","両方停止","運転がそろわない","判定不能"},0),"○","停","×","－"),"")</f>
        <v>×</v>
      </c>
      <c r="BD20" s="35" t="str">
        <f aca="false">IFERROR(CHOOSE(MATCH(INDEX(時間ごとの判定!$AW$3:$AW$1850,388),{"利用可","両方停止","運転がそろわない","判定不能"},0),"○","停","×","－"),"")</f>
        <v>×</v>
      </c>
      <c r="BE20" s="35" t="str">
        <f aca="false">IFERROR(CHOOSE(MATCH(INDEX(時間ごとの判定!$AW$3:$AW$1850,389),{"利用可","両方停止","運転がそろわない","判定不能"},0),"○","停","×","－"),"")</f>
        <v>×</v>
      </c>
      <c r="BF20" s="35" t="str">
        <f aca="false">IFERROR(CHOOSE(MATCH(INDEX(時間ごとの判定!$AW$3:$AW$1850,390),{"利用可","両方停止","運転がそろわない","判定不能"},0),"○","停","×","－"),"")</f>
        <v>×</v>
      </c>
      <c r="BG20" s="35" t="str">
        <f aca="false">IFERROR(CHOOSE(MATCH(INDEX(時間ごとの判定!$AW$3:$AW$1850,391),{"利用可","両方停止","運転がそろわない","判定不能"},0),"○","停","×","－"),"")</f>
        <v>○</v>
      </c>
      <c r="BH20" s="35" t="str">
        <f aca="false">IFERROR(CHOOSE(MATCH(INDEX(時間ごとの判定!$AW$3:$AW$1850,392),{"利用可","両方停止","運転がそろわない","判定不能"},0),"○","停","×","－"),"")</f>
        <v>○</v>
      </c>
      <c r="BI20" s="35" t="str">
        <f aca="false">IFERROR(CHOOSE(MATCH(INDEX(時間ごとの判定!$AW$3:$AW$1850,393),{"利用可","両方停止","運転がそろわない","判定不能"},0),"○","停","×","－"),"")</f>
        <v>○</v>
      </c>
      <c r="BJ20" s="35" t="str">
        <f aca="false">IFERROR(CHOOSE(MATCH(INDEX(時間ごとの判定!$AW$3:$AW$1850,394),{"利用可","両方停止","運転がそろわない","判定不能"},0),"○","停","×","－"),"")</f>
        <v>○</v>
      </c>
      <c r="BK20" s="35" t="str">
        <f aca="false">IFERROR(CHOOSE(MATCH(INDEX(時間ごとの判定!$AW$3:$AW$1850,395),{"利用可","両方停止","運転がそろわない","判定不能"},0),"○","停","×","－"),"")</f>
        <v>○</v>
      </c>
      <c r="BL20" s="35" t="str">
        <f aca="false">IFERROR(CHOOSE(MATCH(INDEX(時間ごとの判定!$AW$3:$AW$1850,396),{"利用可","両方停止","運転がそろわない","判定不能"},0),"○","停","×","－"),"")</f>
        <v>○</v>
      </c>
      <c r="BM20" s="35" t="str">
        <f aca="false">IFERROR(CHOOSE(MATCH(INDEX(時間ごとの判定!$AW$3:$AW$1850,397),{"利用可","両方停止","運転がそろわない","判定不能"},0),"○","停","×","－"),"")</f>
        <v>○</v>
      </c>
      <c r="BN20" s="35" t="str">
        <f aca="false">IFERROR(CHOOSE(MATCH(INDEX(時間ごとの判定!$AW$3:$AW$1850,398),{"利用可","両方停止","運転がそろわない","判定不能"},0),"○","停","×","－"),"")</f>
        <v>○</v>
      </c>
      <c r="BO20" s="35" t="str">
        <f aca="false">IFERROR(CHOOSE(MATCH(INDEX(時間ごとの判定!$AW$3:$AW$1850,399),{"利用可","両方停止","運転がそろわない","判定不能"},0),"○","停","×","－"),"")</f>
        <v>－</v>
      </c>
      <c r="BP20" s="35" t="str">
        <f aca="false">IFERROR(CHOOSE(MATCH(INDEX(時間ごとの判定!$AW$3:$AW$1850,400),{"利用可","両方停止","運転がそろわない","判定不能"},0),"○","停","×","－"),"")</f>
        <v>○</v>
      </c>
      <c r="BQ20" s="35" t="str">
        <f aca="false">IFERROR(CHOOSE(MATCH(INDEX(時間ごとの判定!$AW$3:$AW$1850,401),{"利用可","両方停止","運転がそろわない","判定不能"},0),"○","停","×","－"),"")</f>
        <v>○</v>
      </c>
      <c r="BR20" s="35" t="str">
        <f aca="false">IFERROR(CHOOSE(MATCH(INDEX(時間ごとの判定!$AW$3:$AW$1850,402),{"利用可","両方停止","運転がそろわない","判定不能"},0),"○","停","×","－"),"")</f>
        <v>○</v>
      </c>
      <c r="BS20" s="35" t="str">
        <f aca="false">IFERROR(CHOOSE(MATCH(INDEX(時間ごとの判定!$AW$3:$AW$1850,403),{"利用可","両方停止","運転がそろわない","判定不能"},0),"○","停","×","－"),"")</f>
        <v>○</v>
      </c>
      <c r="BT20" s="35" t="str">
        <f aca="false">IFERROR(CHOOSE(MATCH(INDEX(時間ごとの判定!$AW$3:$AW$1850,404),{"利用可","両方停止","運転がそろわない","判定不能"},0),"○","停","×","－"),"")</f>
        <v>×</v>
      </c>
      <c r="BU20" s="35" t="str">
        <f aca="false">IFERROR(CHOOSE(MATCH(INDEX(時間ごとの判定!$AW$3:$AW$1850,405),{"利用可","両方停止","運転がそろわない","判定不能"},0),"○","停","×","－"),"")</f>
        <v>×</v>
      </c>
      <c r="BV20" s="35" t="str">
        <f aca="false">IFERROR(CHOOSE(MATCH(INDEX(時間ごとの判定!$AW$3:$AW$1850,406),{"利用可","両方停止","運転がそろわない","判定不能"},0),"○","停","×","－"),"")</f>
        <v>停</v>
      </c>
      <c r="BW20" s="35" t="str">
        <f aca="false">IFERROR(CHOOSE(MATCH(INDEX(時間ごとの判定!$AW$3:$AW$1850,407),{"利用可","両方停止","運転がそろわない","判定不能"},0),"○","停","×","－"),"")</f>
        <v>停</v>
      </c>
      <c r="BX20" s="35" t="str">
        <f aca="false">IFERROR(CHOOSE(MATCH(INDEX(時間ごとの判定!$AW$3:$AW$1850,408),{"利用可","両方停止","運転がそろわない","判定不能"},0),"○","停","×","－"),"")</f>
        <v>停</v>
      </c>
    </row>
    <row r="21" customFormat="false" ht="15" hidden="false" customHeight="false" outlineLevel="0" collapsed="false">
      <c r="A21" s="33" t="n">
        <v>46249</v>
      </c>
      <c r="B21" s="36" t="s">
        <v>63</v>
      </c>
      <c r="C21" s="35" t="str">
        <f aca="false">IFERROR(CHOOSE(MATCH(INDEX(時間ごとの判定!$AQ$3:$AQ$1850,409),{"利用可","両方停止","運転がそろわない","判定不能"},0),"○","停","×","－"),"")</f>
        <v>停</v>
      </c>
      <c r="D21" s="35" t="str">
        <f aca="false">IFERROR(CHOOSE(MATCH(INDEX(時間ごとの判定!$AQ$3:$AQ$1850,410),{"利用可","両方停止","運転がそろわない","判定不能"},0),"○","停","×","－"),"")</f>
        <v>停</v>
      </c>
      <c r="E21" s="35" t="str">
        <f aca="false">IFERROR(CHOOSE(MATCH(INDEX(時間ごとの判定!$AQ$3:$AQ$1850,411),{"利用可","両方停止","運転がそろわない","判定不能"},0),"○","停","×","－"),"")</f>
        <v>停</v>
      </c>
      <c r="F21" s="35" t="str">
        <f aca="false">IFERROR(CHOOSE(MATCH(INDEX(時間ごとの判定!$AQ$3:$AQ$1850,412),{"利用可","両方停止","運転がそろわない","判定不能"},0),"○","停","×","－"),"")</f>
        <v>停</v>
      </c>
      <c r="G21" s="35" t="str">
        <f aca="false">IFERROR(CHOOSE(MATCH(INDEX(時間ごとの判定!$AQ$3:$AQ$1850,413),{"利用可","両方停止","運転がそろわない","判定不能"},0),"○","停","×","－"),"")</f>
        <v>停</v>
      </c>
      <c r="H21" s="35" t="str">
        <f aca="false">IFERROR(CHOOSE(MATCH(INDEX(時間ごとの判定!$AQ$3:$AQ$1850,414),{"利用可","両方停止","運転がそろわない","判定不能"},0),"○","停","×","－"),"")</f>
        <v>停</v>
      </c>
      <c r="I21" s="35" t="str">
        <f aca="false">IFERROR(CHOOSE(MATCH(INDEX(時間ごとの判定!$AQ$3:$AQ$1850,415),{"利用可","両方停止","運転がそろわない","判定不能"},0),"○","停","×","－"),"")</f>
        <v>停</v>
      </c>
      <c r="J21" s="35" t="str">
        <f aca="false">IFERROR(CHOOSE(MATCH(INDEX(時間ごとの判定!$AQ$3:$AQ$1850,416),{"利用可","両方停止","運転がそろわない","判定不能"},0),"○","停","×","－"),"")</f>
        <v>停</v>
      </c>
      <c r="K21" s="35" t="str">
        <f aca="false">IFERROR(CHOOSE(MATCH(INDEX(時間ごとの判定!$AQ$3:$AQ$1850,417),{"利用可","両方停止","運転がそろわない","判定不能"},0),"○","停","×","－"),"")</f>
        <v>○</v>
      </c>
      <c r="L21" s="35" t="str">
        <f aca="false">IFERROR(CHOOSE(MATCH(INDEX(時間ごとの判定!$AQ$3:$AQ$1850,418),{"利用可","両方停止","運転がそろわない","判定不能"},0),"○","停","×","－"),"")</f>
        <v>○</v>
      </c>
      <c r="M21" s="35" t="str">
        <f aca="false">IFERROR(CHOOSE(MATCH(INDEX(時間ごとの判定!$AQ$3:$AQ$1850,419),{"利用可","両方停止","運転がそろわない","判定不能"},0),"○","停","×","－"),"")</f>
        <v>○</v>
      </c>
      <c r="N21" s="35" t="str">
        <f aca="false">IFERROR(CHOOSE(MATCH(INDEX(時間ごとの判定!$AQ$3:$AQ$1850,420),{"利用可","両方停止","運転がそろわない","判定不能"},0),"○","停","×","－"),"")</f>
        <v>○</v>
      </c>
      <c r="O21" s="35" t="str">
        <f aca="false">IFERROR(CHOOSE(MATCH(INDEX(時間ごとの判定!$AQ$3:$AQ$1850,421),{"利用可","両方停止","運転がそろわない","判定不能"},0),"○","停","×","－"),"")</f>
        <v>○</v>
      </c>
      <c r="P21" s="35" t="str">
        <f aca="false">IFERROR(CHOOSE(MATCH(INDEX(時間ごとの判定!$AQ$3:$AQ$1850,422),{"利用可","両方停止","運転がそろわない","判定不能"},0),"○","停","×","－"),"")</f>
        <v>○</v>
      </c>
      <c r="Q21" s="35" t="str">
        <f aca="false">IFERROR(CHOOSE(MATCH(INDEX(時間ごとの判定!$AQ$3:$AQ$1850,423),{"利用可","両方停止","運転がそろわない","判定不能"},0),"○","停","×","－"),"")</f>
        <v>○</v>
      </c>
      <c r="R21" s="35" t="str">
        <f aca="false">IFERROR(CHOOSE(MATCH(INDEX(時間ごとの判定!$AQ$3:$AQ$1850,424),{"利用可","両方停止","運転がそろわない","判定不能"},0),"○","停","×","－"),"")</f>
        <v>○</v>
      </c>
      <c r="S21" s="35" t="str">
        <f aca="false">IFERROR(CHOOSE(MATCH(INDEX(時間ごとの判定!$AQ$3:$AQ$1850,425),{"利用可","両方停止","運転がそろわない","判定不能"},0),"○","停","×","－"),"")</f>
        <v>○</v>
      </c>
      <c r="T21" s="35" t="str">
        <f aca="false">IFERROR(CHOOSE(MATCH(INDEX(時間ごとの判定!$AQ$3:$AQ$1850,426),{"利用可","両方停止","運転がそろわない","判定不能"},0),"○","停","×","－"),"")</f>
        <v>○</v>
      </c>
      <c r="U21" s="35" t="str">
        <f aca="false">IFERROR(CHOOSE(MATCH(INDEX(時間ごとの判定!$AQ$3:$AQ$1850,427),{"利用可","両方停止","運転がそろわない","判定不能"},0),"○","停","×","－"),"")</f>
        <v>×</v>
      </c>
      <c r="V21" s="35" t="str">
        <f aca="false">IFERROR(CHOOSE(MATCH(INDEX(時間ごとの判定!$AQ$3:$AQ$1850,428),{"利用可","両方停止","運転がそろわない","判定不能"},0),"○","停","×","－"),"")</f>
        <v>×</v>
      </c>
      <c r="W21" s="35" t="str">
        <f aca="false">IFERROR(CHOOSE(MATCH(INDEX(時間ごとの判定!$AQ$3:$AQ$1850,429),{"利用可","両方停止","運転がそろわない","判定不能"},0),"○","停","×","－"),"")</f>
        <v>×</v>
      </c>
      <c r="X21" s="35" t="str">
        <f aca="false">IFERROR(CHOOSE(MATCH(INDEX(時間ごとの判定!$AQ$3:$AQ$1850,430),{"利用可","両方停止","運転がそろわない","判定不能"},0),"○","停","×","－"),"")</f>
        <v>停</v>
      </c>
      <c r="Y21" s="35" t="str">
        <f aca="false">IFERROR(CHOOSE(MATCH(INDEX(時間ごとの判定!$AQ$3:$AQ$1850,431),{"利用可","両方停止","運転がそろわない","判定不能"},0),"○","停","×","－"),"")</f>
        <v>停</v>
      </c>
      <c r="Z21" s="35" t="str">
        <f aca="false">IFERROR(CHOOSE(MATCH(INDEX(時間ごとの判定!$AQ$3:$AQ$1850,432),{"利用可","両方停止","運転がそろわない","判定不能"},0),"○","停","×","－"),"")</f>
        <v>停</v>
      </c>
      <c r="AA21" s="35"/>
      <c r="AB21" s="35" t="str">
        <f aca="false">IFERROR(CHOOSE(MATCH(INDEX(時間ごとの判定!$AT$3:$AT$1850,409),{"利用可","両方停止","運転がそろわない","判定不能"},0),"○","停","×","－"),"")</f>
        <v>停</v>
      </c>
      <c r="AC21" s="35" t="str">
        <f aca="false">IFERROR(CHOOSE(MATCH(INDEX(時間ごとの判定!$AT$3:$AT$1850,410),{"利用可","両方停止","運転がそろわない","判定不能"},0),"○","停","×","－"),"")</f>
        <v>停</v>
      </c>
      <c r="AD21" s="35" t="str">
        <f aca="false">IFERROR(CHOOSE(MATCH(INDEX(時間ごとの判定!$AT$3:$AT$1850,411),{"利用可","両方停止","運転がそろわない","判定不能"},0),"○","停","×","－"),"")</f>
        <v>停</v>
      </c>
      <c r="AE21" s="35" t="str">
        <f aca="false">IFERROR(CHOOSE(MATCH(INDEX(時間ごとの判定!$AT$3:$AT$1850,412),{"利用可","両方停止","運転がそろわない","判定不能"},0),"○","停","×","－"),"")</f>
        <v>停</v>
      </c>
      <c r="AF21" s="35" t="str">
        <f aca="false">IFERROR(CHOOSE(MATCH(INDEX(時間ごとの判定!$AT$3:$AT$1850,413),{"利用可","両方停止","運転がそろわない","判定不能"},0),"○","停","×","－"),"")</f>
        <v>停</v>
      </c>
      <c r="AG21" s="35" t="str">
        <f aca="false">IFERROR(CHOOSE(MATCH(INDEX(時間ごとの判定!$AT$3:$AT$1850,414),{"利用可","両方停止","運転がそろわない","判定不能"},0),"○","停","×","－"),"")</f>
        <v>停</v>
      </c>
      <c r="AH21" s="35" t="str">
        <f aca="false">IFERROR(CHOOSE(MATCH(INDEX(時間ごとの判定!$AT$3:$AT$1850,415),{"利用可","両方停止","運転がそろわない","判定不能"},0),"○","停","×","－"),"")</f>
        <v>停</v>
      </c>
      <c r="AI21" s="35" t="str">
        <f aca="false">IFERROR(CHOOSE(MATCH(INDEX(時間ごとの判定!$AT$3:$AT$1850,416),{"利用可","両方停止","運転がそろわない","判定不能"},0),"○","停","×","－"),"")</f>
        <v>×</v>
      </c>
      <c r="AJ21" s="35" t="str">
        <f aca="false">IFERROR(CHOOSE(MATCH(INDEX(時間ごとの判定!$AT$3:$AT$1850,417),{"利用可","両方停止","運転がそろわない","判定不能"},0),"○","停","×","－"),"")</f>
        <v>○</v>
      </c>
      <c r="AK21" s="35" t="str">
        <f aca="false">IFERROR(CHOOSE(MATCH(INDEX(時間ごとの判定!$AT$3:$AT$1850,418),{"利用可","両方停止","運転がそろわない","判定不能"},0),"○","停","×","－"),"")</f>
        <v>○</v>
      </c>
      <c r="AL21" s="35" t="str">
        <f aca="false">IFERROR(CHOOSE(MATCH(INDEX(時間ごとの判定!$AT$3:$AT$1850,419),{"利用可","両方停止","運転がそろわない","判定不能"},0),"○","停","×","－"),"")</f>
        <v>○</v>
      </c>
      <c r="AM21" s="35" t="str">
        <f aca="false">IFERROR(CHOOSE(MATCH(INDEX(時間ごとの判定!$AT$3:$AT$1850,420),{"利用可","両方停止","運転がそろわない","判定不能"},0),"○","停","×","－"),"")</f>
        <v>○</v>
      </c>
      <c r="AN21" s="35" t="str">
        <f aca="false">IFERROR(CHOOSE(MATCH(INDEX(時間ごとの判定!$AT$3:$AT$1850,421),{"利用可","両方停止","運転がそろわない","判定不能"},0),"○","停","×","－"),"")</f>
        <v>×</v>
      </c>
      <c r="AO21" s="35" t="str">
        <f aca="false">IFERROR(CHOOSE(MATCH(INDEX(時間ごとの判定!$AT$3:$AT$1850,422),{"利用可","両方停止","運転がそろわない","判定不能"},0),"○","停","×","－"),"")</f>
        <v>○</v>
      </c>
      <c r="AP21" s="35" t="str">
        <f aca="false">IFERROR(CHOOSE(MATCH(INDEX(時間ごとの判定!$AT$3:$AT$1850,423),{"利用可","両方停止","運転がそろわない","判定不能"},0),"○","停","×","－"),"")</f>
        <v>×</v>
      </c>
      <c r="AQ21" s="35" t="str">
        <f aca="false">IFERROR(CHOOSE(MATCH(INDEX(時間ごとの判定!$AT$3:$AT$1850,424),{"利用可","両方停止","運転がそろわない","判定不能"},0),"○","停","×","－"),"")</f>
        <v>×</v>
      </c>
      <c r="AR21" s="35" t="str">
        <f aca="false">IFERROR(CHOOSE(MATCH(INDEX(時間ごとの判定!$AT$3:$AT$1850,425),{"利用可","両方停止","運転がそろわない","判定不能"},0),"○","停","×","－"),"")</f>
        <v>×</v>
      </c>
      <c r="AS21" s="35" t="str">
        <f aca="false">IFERROR(CHOOSE(MATCH(INDEX(時間ごとの判定!$AT$3:$AT$1850,426),{"利用可","両方停止","運転がそろわない","判定不能"},0),"○","停","×","－"),"")</f>
        <v>×</v>
      </c>
      <c r="AT21" s="35" t="str">
        <f aca="false">IFERROR(CHOOSE(MATCH(INDEX(時間ごとの判定!$AT$3:$AT$1850,427),{"利用可","両方停止","運転がそろわない","判定不能"},0),"○","停","×","－"),"")</f>
        <v>×</v>
      </c>
      <c r="AU21" s="35" t="str">
        <f aca="false">IFERROR(CHOOSE(MATCH(INDEX(時間ごとの判定!$AT$3:$AT$1850,428),{"利用可","両方停止","運転がそろわない","判定不能"},0),"○","停","×","－"),"")</f>
        <v>×</v>
      </c>
      <c r="AV21" s="35" t="str">
        <f aca="false">IFERROR(CHOOSE(MATCH(INDEX(時間ごとの判定!$AT$3:$AT$1850,429),{"利用可","両方停止","運転がそろわない","判定不能"},0),"○","停","×","－"),"")</f>
        <v>×</v>
      </c>
      <c r="AW21" s="35" t="str">
        <f aca="false">IFERROR(CHOOSE(MATCH(INDEX(時間ごとの判定!$AT$3:$AT$1850,430),{"利用可","両方停止","運転がそろわない","判定不能"},0),"○","停","×","－"),"")</f>
        <v>停</v>
      </c>
      <c r="AX21" s="35" t="str">
        <f aca="false">IFERROR(CHOOSE(MATCH(INDEX(時間ごとの判定!$AT$3:$AT$1850,431),{"利用可","両方停止","運転がそろわない","判定不能"},0),"○","停","×","－"),"")</f>
        <v>停</v>
      </c>
      <c r="AY21" s="35" t="str">
        <f aca="false">IFERROR(CHOOSE(MATCH(INDEX(時間ごとの判定!$AT$3:$AT$1850,432),{"利用可","両方停止","運転がそろわない","判定不能"},0),"○","停","×","－"),"")</f>
        <v>停</v>
      </c>
      <c r="AZ21" s="35"/>
      <c r="BA21" s="35" t="str">
        <f aca="false">IFERROR(CHOOSE(MATCH(INDEX(時間ごとの判定!$AW$3:$AW$1850,409),{"利用可","両方停止","運転がそろわない","判定不能"},0),"○","停","×","－"),"")</f>
        <v>停</v>
      </c>
      <c r="BB21" s="35" t="str">
        <f aca="false">IFERROR(CHOOSE(MATCH(INDEX(時間ごとの判定!$AW$3:$AW$1850,410),{"利用可","両方停止","運転がそろわない","判定不能"},0),"○","停","×","－"),"")</f>
        <v>停</v>
      </c>
      <c r="BC21" s="35" t="str">
        <f aca="false">IFERROR(CHOOSE(MATCH(INDEX(時間ごとの判定!$AW$3:$AW$1850,411),{"利用可","両方停止","運転がそろわない","判定不能"},0),"○","停","×","－"),"")</f>
        <v>停</v>
      </c>
      <c r="BD21" s="35" t="str">
        <f aca="false">IFERROR(CHOOSE(MATCH(INDEX(時間ごとの判定!$AW$3:$AW$1850,412),{"利用可","両方停止","運転がそろわない","判定不能"},0),"○","停","×","－"),"")</f>
        <v>停</v>
      </c>
      <c r="BE21" s="35" t="str">
        <f aca="false">IFERROR(CHOOSE(MATCH(INDEX(時間ごとの判定!$AW$3:$AW$1850,413),{"利用可","両方停止","運転がそろわない","判定不能"},0),"○","停","×","－"),"")</f>
        <v>停</v>
      </c>
      <c r="BF21" s="35" t="str">
        <f aca="false">IFERROR(CHOOSE(MATCH(INDEX(時間ごとの判定!$AW$3:$AW$1850,414),{"利用可","両方停止","運転がそろわない","判定不能"},0),"○","停","×","－"),"")</f>
        <v>停</v>
      </c>
      <c r="BG21" s="35" t="str">
        <f aca="false">IFERROR(CHOOSE(MATCH(INDEX(時間ごとの判定!$AW$3:$AW$1850,415),{"利用可","両方停止","運転がそろわない","判定不能"},0),"○","停","×","－"),"")</f>
        <v>停</v>
      </c>
      <c r="BH21" s="35" t="str">
        <f aca="false">IFERROR(CHOOSE(MATCH(INDEX(時間ごとの判定!$AW$3:$AW$1850,416),{"利用可","両方停止","運転がそろわない","判定不能"},0),"○","停","×","－"),"")</f>
        <v>×</v>
      </c>
      <c r="BI21" s="35" t="str">
        <f aca="false">IFERROR(CHOOSE(MATCH(INDEX(時間ごとの判定!$AW$3:$AW$1850,417),{"利用可","両方停止","運転がそろわない","判定不能"},0),"○","停","×","－"),"")</f>
        <v>○</v>
      </c>
      <c r="BJ21" s="35" t="str">
        <f aca="false">IFERROR(CHOOSE(MATCH(INDEX(時間ごとの判定!$AW$3:$AW$1850,418),{"利用可","両方停止","運転がそろわない","判定不能"},0),"○","停","×","－"),"")</f>
        <v>○</v>
      </c>
      <c r="BK21" s="35" t="str">
        <f aca="false">IFERROR(CHOOSE(MATCH(INDEX(時間ごとの判定!$AW$3:$AW$1850,419),{"利用可","両方停止","運転がそろわない","判定不能"},0),"○","停","×","－"),"")</f>
        <v>○</v>
      </c>
      <c r="BL21" s="35" t="str">
        <f aca="false">IFERROR(CHOOSE(MATCH(INDEX(時間ごとの判定!$AW$3:$AW$1850,420),{"利用可","両方停止","運転がそろわない","判定不能"},0),"○","停","×","－"),"")</f>
        <v>○</v>
      </c>
      <c r="BM21" s="35" t="str">
        <f aca="false">IFERROR(CHOOSE(MATCH(INDEX(時間ごとの判定!$AW$3:$AW$1850,421),{"利用可","両方停止","運転がそろわない","判定不能"},0),"○","停","×","－"),"")</f>
        <v>○</v>
      </c>
      <c r="BN21" s="35" t="str">
        <f aca="false">IFERROR(CHOOSE(MATCH(INDEX(時間ごとの判定!$AW$3:$AW$1850,422),{"利用可","両方停止","運転がそろわない","判定不能"},0),"○","停","×","－"),"")</f>
        <v>○</v>
      </c>
      <c r="BO21" s="35" t="str">
        <f aca="false">IFERROR(CHOOSE(MATCH(INDEX(時間ごとの判定!$AW$3:$AW$1850,423),{"利用可","両方停止","運転がそろわない","判定不能"},0),"○","停","×","－"),"")</f>
        <v>○</v>
      </c>
      <c r="BP21" s="35" t="str">
        <f aca="false">IFERROR(CHOOSE(MATCH(INDEX(時間ごとの判定!$AW$3:$AW$1850,424),{"利用可","両方停止","運転がそろわない","判定不能"},0),"○","停","×","－"),"")</f>
        <v>○</v>
      </c>
      <c r="BQ21" s="35" t="str">
        <f aca="false">IFERROR(CHOOSE(MATCH(INDEX(時間ごとの判定!$AW$3:$AW$1850,425),{"利用可","両方停止","運転がそろわない","判定不能"},0),"○","停","×","－"),"")</f>
        <v>○</v>
      </c>
      <c r="BR21" s="35" t="str">
        <f aca="false">IFERROR(CHOOSE(MATCH(INDEX(時間ごとの判定!$AW$3:$AW$1850,426),{"利用可","両方停止","運転がそろわない","判定不能"},0),"○","停","×","－"),"")</f>
        <v>○</v>
      </c>
      <c r="BS21" s="35" t="str">
        <f aca="false">IFERROR(CHOOSE(MATCH(INDEX(時間ごとの判定!$AW$3:$AW$1850,427),{"利用可","両方停止","運転がそろわない","判定不能"},0),"○","停","×","－"),"")</f>
        <v>×</v>
      </c>
      <c r="BT21" s="35" t="str">
        <f aca="false">IFERROR(CHOOSE(MATCH(INDEX(時間ごとの判定!$AW$3:$AW$1850,428),{"利用可","両方停止","運転がそろわない","判定不能"},0),"○","停","×","－"),"")</f>
        <v>×</v>
      </c>
      <c r="BU21" s="35" t="str">
        <f aca="false">IFERROR(CHOOSE(MATCH(INDEX(時間ごとの判定!$AW$3:$AW$1850,429),{"利用可","両方停止","運転がそろわない","判定不能"},0),"○","停","×","－"),"")</f>
        <v>×</v>
      </c>
      <c r="BV21" s="35" t="str">
        <f aca="false">IFERROR(CHOOSE(MATCH(INDEX(時間ごとの判定!$AW$3:$AW$1850,430),{"利用可","両方停止","運転がそろわない","判定不能"},0),"○","停","×","－"),"")</f>
        <v>停</v>
      </c>
      <c r="BW21" s="35" t="str">
        <f aca="false">IFERROR(CHOOSE(MATCH(INDEX(時間ごとの判定!$AW$3:$AW$1850,431),{"利用可","両方停止","運転がそろわない","判定不能"},0),"○","停","×","－"),"")</f>
        <v>停</v>
      </c>
      <c r="BX21" s="35" t="str">
        <f aca="false">IFERROR(CHOOSE(MATCH(INDEX(時間ごとの判定!$AW$3:$AW$1850,432),{"利用可","両方停止","運転がそろわない","判定不能"},0),"○","停","×","－"),"")</f>
        <v>停</v>
      </c>
    </row>
    <row r="22" customFormat="false" ht="15" hidden="false" customHeight="false" outlineLevel="0" collapsed="false">
      <c r="A22" s="33" t="n">
        <v>46250</v>
      </c>
      <c r="B22" s="36" t="s">
        <v>65</v>
      </c>
      <c r="C22" s="35" t="str">
        <f aca="false">IFERROR(CHOOSE(MATCH(INDEX(時間ごとの判定!$AQ$3:$AQ$1850,433),{"利用可","両方停止","運転がそろわない","判定不能"},0),"○","停","×","－"),"")</f>
        <v>停</v>
      </c>
      <c r="D22" s="35" t="str">
        <f aca="false">IFERROR(CHOOSE(MATCH(INDEX(時間ごとの判定!$AQ$3:$AQ$1850,434),{"利用可","両方停止","運転がそろわない","判定不能"},0),"○","停","×","－"),"")</f>
        <v>停</v>
      </c>
      <c r="E22" s="35" t="str">
        <f aca="false">IFERROR(CHOOSE(MATCH(INDEX(時間ごとの判定!$AQ$3:$AQ$1850,435),{"利用可","両方停止","運転がそろわない","判定不能"},0),"○","停","×","－"),"")</f>
        <v>停</v>
      </c>
      <c r="F22" s="35" t="str">
        <f aca="false">IFERROR(CHOOSE(MATCH(INDEX(時間ごとの判定!$AQ$3:$AQ$1850,436),{"利用可","両方停止","運転がそろわない","判定不能"},0),"○","停","×","－"),"")</f>
        <v>停</v>
      </c>
      <c r="G22" s="35" t="str">
        <f aca="false">IFERROR(CHOOSE(MATCH(INDEX(時間ごとの判定!$AQ$3:$AQ$1850,437),{"利用可","両方停止","運転がそろわない","判定不能"},0),"○","停","×","－"),"")</f>
        <v>停</v>
      </c>
      <c r="H22" s="35" t="str">
        <f aca="false">IFERROR(CHOOSE(MATCH(INDEX(時間ごとの判定!$AQ$3:$AQ$1850,438),{"利用可","両方停止","運転がそろわない","判定不能"},0),"○","停","×","－"),"")</f>
        <v>停</v>
      </c>
      <c r="I22" s="35" t="str">
        <f aca="false">IFERROR(CHOOSE(MATCH(INDEX(時間ごとの判定!$AQ$3:$AQ$1850,439),{"利用可","両方停止","運転がそろわない","判定不能"},0),"○","停","×","－"),"")</f>
        <v>×</v>
      </c>
      <c r="J22" s="35" t="str">
        <f aca="false">IFERROR(CHOOSE(MATCH(INDEX(時間ごとの判定!$AQ$3:$AQ$1850,440),{"利用可","両方停止","運転がそろわない","判定不能"},0),"○","停","×","－"),"")</f>
        <v>×</v>
      </c>
      <c r="K22" s="35" t="str">
        <f aca="false">IFERROR(CHOOSE(MATCH(INDEX(時間ごとの判定!$AQ$3:$AQ$1850,441),{"利用可","両方停止","運転がそろわない","判定不能"},0),"○","停","×","－"),"")</f>
        <v>○</v>
      </c>
      <c r="L22" s="35" t="str">
        <f aca="false">IFERROR(CHOOSE(MATCH(INDEX(時間ごとの判定!$AQ$3:$AQ$1850,442),{"利用可","両方停止","運転がそろわない","判定不能"},0),"○","停","×","－"),"")</f>
        <v>○</v>
      </c>
      <c r="M22" s="35" t="str">
        <f aca="false">IFERROR(CHOOSE(MATCH(INDEX(時間ごとの判定!$AQ$3:$AQ$1850,443),{"利用可","両方停止","運転がそろわない","判定不能"},0),"○","停","×","－"),"")</f>
        <v>○</v>
      </c>
      <c r="N22" s="35" t="str">
        <f aca="false">IFERROR(CHOOSE(MATCH(INDEX(時間ごとの判定!$AQ$3:$AQ$1850,444),{"利用可","両方停止","運転がそろわない","判定不能"},0),"○","停","×","－"),"")</f>
        <v>○</v>
      </c>
      <c r="O22" s="35" t="str">
        <f aca="false">IFERROR(CHOOSE(MATCH(INDEX(時間ごとの判定!$AQ$3:$AQ$1850,445),{"利用可","両方停止","運転がそろわない","判定不能"},0),"○","停","×","－"),"")</f>
        <v>○</v>
      </c>
      <c r="P22" s="35" t="str">
        <f aca="false">IFERROR(CHOOSE(MATCH(INDEX(時間ごとの判定!$AQ$3:$AQ$1850,446),{"利用可","両方停止","運転がそろわない","判定不能"},0),"○","停","×","－"),"")</f>
        <v>○</v>
      </c>
      <c r="Q22" s="35" t="str">
        <f aca="false">IFERROR(CHOOSE(MATCH(INDEX(時間ごとの判定!$AQ$3:$AQ$1850,447),{"利用可","両方停止","運転がそろわない","判定不能"},0),"○","停","×","－"),"")</f>
        <v>○</v>
      </c>
      <c r="R22" s="35" t="str">
        <f aca="false">IFERROR(CHOOSE(MATCH(INDEX(時間ごとの判定!$AQ$3:$AQ$1850,448),{"利用可","両方停止","運転がそろわない","判定不能"},0),"○","停","×","－"),"")</f>
        <v>○</v>
      </c>
      <c r="S22" s="35" t="str">
        <f aca="false">IFERROR(CHOOSE(MATCH(INDEX(時間ごとの判定!$AQ$3:$AQ$1850,449),{"利用可","両方停止","運転がそろわない","判定不能"},0),"○","停","×","－"),"")</f>
        <v>○</v>
      </c>
      <c r="T22" s="35" t="str">
        <f aca="false">IFERROR(CHOOSE(MATCH(INDEX(時間ごとの判定!$AQ$3:$AQ$1850,450),{"利用可","両方停止","運転がそろわない","判定不能"},0),"○","停","×","－"),"")</f>
        <v>○</v>
      </c>
      <c r="U22" s="35" t="str">
        <f aca="false">IFERROR(CHOOSE(MATCH(INDEX(時間ごとの判定!$AQ$3:$AQ$1850,451),{"利用可","両方停止","運転がそろわない","判定不能"},0),"○","停","×","－"),"")</f>
        <v>×</v>
      </c>
      <c r="V22" s="35" t="str">
        <f aca="false">IFERROR(CHOOSE(MATCH(INDEX(時間ごとの判定!$AQ$3:$AQ$1850,452),{"利用可","両方停止","運転がそろわない","判定不能"},0),"○","停","×","－"),"")</f>
        <v>×</v>
      </c>
      <c r="W22" s="35" t="str">
        <f aca="false">IFERROR(CHOOSE(MATCH(INDEX(時間ごとの判定!$AQ$3:$AQ$1850,453),{"利用可","両方停止","運転がそろわない","判定不能"},0),"○","停","×","－"),"")</f>
        <v>×</v>
      </c>
      <c r="X22" s="35" t="str">
        <f aca="false">IFERROR(CHOOSE(MATCH(INDEX(時間ごとの判定!$AQ$3:$AQ$1850,454),{"利用可","両方停止","運転がそろわない","判定不能"},0),"○","停","×","－"),"")</f>
        <v>×</v>
      </c>
      <c r="Y22" s="35" t="str">
        <f aca="false">IFERROR(CHOOSE(MATCH(INDEX(時間ごとの判定!$AQ$3:$AQ$1850,455),{"利用可","両方停止","運転がそろわない","判定不能"},0),"○","停","×","－"),"")</f>
        <v>停</v>
      </c>
      <c r="Z22" s="35" t="str">
        <f aca="false">IFERROR(CHOOSE(MATCH(INDEX(時間ごとの判定!$AQ$3:$AQ$1850,456),{"利用可","両方停止","運転がそろわない","判定不能"},0),"○","停","×","－"),"")</f>
        <v>停</v>
      </c>
      <c r="AA22" s="35"/>
      <c r="AB22" s="35" t="str">
        <f aca="false">IFERROR(CHOOSE(MATCH(INDEX(時間ごとの判定!$AT$3:$AT$1850,433),{"利用可","両方停止","運転がそろわない","判定不能"},0),"○","停","×","－"),"")</f>
        <v>停</v>
      </c>
      <c r="AC22" s="35" t="str">
        <f aca="false">IFERROR(CHOOSE(MATCH(INDEX(時間ごとの判定!$AT$3:$AT$1850,434),{"利用可","両方停止","運転がそろわない","判定不能"},0),"○","停","×","－"),"")</f>
        <v>停</v>
      </c>
      <c r="AD22" s="35" t="str">
        <f aca="false">IFERROR(CHOOSE(MATCH(INDEX(時間ごとの判定!$AT$3:$AT$1850,435),{"利用可","両方停止","運転がそろわない","判定不能"},0),"○","停","×","－"),"")</f>
        <v>停</v>
      </c>
      <c r="AE22" s="35" t="str">
        <f aca="false">IFERROR(CHOOSE(MATCH(INDEX(時間ごとの判定!$AT$3:$AT$1850,436),{"利用可","両方停止","運転がそろわない","判定不能"},0),"○","停","×","－"),"")</f>
        <v>停</v>
      </c>
      <c r="AF22" s="35" t="str">
        <f aca="false">IFERROR(CHOOSE(MATCH(INDEX(時間ごとの判定!$AT$3:$AT$1850,437),{"利用可","両方停止","運転がそろわない","判定不能"},0),"○","停","×","－"),"")</f>
        <v>停</v>
      </c>
      <c r="AG22" s="35" t="str">
        <f aca="false">IFERROR(CHOOSE(MATCH(INDEX(時間ごとの判定!$AT$3:$AT$1850,438),{"利用可","両方停止","運転がそろわない","判定不能"},0),"○","停","×","－"),"")</f>
        <v>停</v>
      </c>
      <c r="AH22" s="35" t="str">
        <f aca="false">IFERROR(CHOOSE(MATCH(INDEX(時間ごとの判定!$AT$3:$AT$1850,439),{"利用可","両方停止","運転がそろわない","判定不能"},0),"○","停","×","－"),"")</f>
        <v>×</v>
      </c>
      <c r="AI22" s="35" t="str">
        <f aca="false">IFERROR(CHOOSE(MATCH(INDEX(時間ごとの判定!$AT$3:$AT$1850,440),{"利用可","両方停止","運転がそろわない","判定不能"},0),"○","停","×","－"),"")</f>
        <v>×</v>
      </c>
      <c r="AJ22" s="35" t="str">
        <f aca="false">IFERROR(CHOOSE(MATCH(INDEX(時間ごとの判定!$AT$3:$AT$1850,441),{"利用可","両方停止","運転がそろわない","判定不能"},0),"○","停","×","－"),"")</f>
        <v>○</v>
      </c>
      <c r="AK22" s="35" t="str">
        <f aca="false">IFERROR(CHOOSE(MATCH(INDEX(時間ごとの判定!$AT$3:$AT$1850,442),{"利用可","両方停止","運転がそろわない","判定不能"},0),"○","停","×","－"),"")</f>
        <v>○</v>
      </c>
      <c r="AL22" s="35" t="str">
        <f aca="false">IFERROR(CHOOSE(MATCH(INDEX(時間ごとの判定!$AT$3:$AT$1850,443),{"利用可","両方停止","運転がそろわない","判定不能"},0),"○","停","×","－"),"")</f>
        <v>○</v>
      </c>
      <c r="AM22" s="35" t="str">
        <f aca="false">IFERROR(CHOOSE(MATCH(INDEX(時間ごとの判定!$AT$3:$AT$1850,444),{"利用可","両方停止","運転がそろわない","判定不能"},0),"○","停","×","－"),"")</f>
        <v>○</v>
      </c>
      <c r="AN22" s="35" t="str">
        <f aca="false">IFERROR(CHOOSE(MATCH(INDEX(時間ごとの判定!$AT$3:$AT$1850,445),{"利用可","両方停止","運転がそろわない","判定不能"},0),"○","停","×","－"),"")</f>
        <v>×</v>
      </c>
      <c r="AO22" s="35" t="str">
        <f aca="false">IFERROR(CHOOSE(MATCH(INDEX(時間ごとの判定!$AT$3:$AT$1850,446),{"利用可","両方停止","運転がそろわない","判定不能"},0),"○","停","×","－"),"")</f>
        <v>×</v>
      </c>
      <c r="AP22" s="35" t="str">
        <f aca="false">IFERROR(CHOOSE(MATCH(INDEX(時間ごとの判定!$AT$3:$AT$1850,447),{"利用可","両方停止","運転がそろわない","判定不能"},0),"○","停","×","－"),"")</f>
        <v>×</v>
      </c>
      <c r="AQ22" s="35" t="str">
        <f aca="false">IFERROR(CHOOSE(MATCH(INDEX(時間ごとの判定!$AT$3:$AT$1850,448),{"利用可","両方停止","運転がそろわない","判定不能"},0),"○","停","×","－"),"")</f>
        <v>×</v>
      </c>
      <c r="AR22" s="35" t="str">
        <f aca="false">IFERROR(CHOOSE(MATCH(INDEX(時間ごとの判定!$AT$3:$AT$1850,449),{"利用可","両方停止","運転がそろわない","判定不能"},0),"○","停","×","－"),"")</f>
        <v>×</v>
      </c>
      <c r="AS22" s="35" t="str">
        <f aca="false">IFERROR(CHOOSE(MATCH(INDEX(時間ごとの判定!$AT$3:$AT$1850,450),{"利用可","両方停止","運転がそろわない","判定不能"},0),"○","停","×","－"),"")</f>
        <v>○</v>
      </c>
      <c r="AT22" s="35" t="str">
        <f aca="false">IFERROR(CHOOSE(MATCH(INDEX(時間ごとの判定!$AT$3:$AT$1850,451),{"利用可","両方停止","運転がそろわない","判定不能"},0),"○","停","×","－"),"")</f>
        <v>×</v>
      </c>
      <c r="AU22" s="35" t="str">
        <f aca="false">IFERROR(CHOOSE(MATCH(INDEX(時間ごとの判定!$AT$3:$AT$1850,452),{"利用可","両方停止","運転がそろわない","判定不能"},0),"○","停","×","－"),"")</f>
        <v>×</v>
      </c>
      <c r="AV22" s="35" t="str">
        <f aca="false">IFERROR(CHOOSE(MATCH(INDEX(時間ごとの判定!$AT$3:$AT$1850,453),{"利用可","両方停止","運転がそろわない","判定不能"},0),"○","停","×","－"),"")</f>
        <v>×</v>
      </c>
      <c r="AW22" s="35" t="str">
        <f aca="false">IFERROR(CHOOSE(MATCH(INDEX(時間ごとの判定!$AT$3:$AT$1850,454),{"利用可","両方停止","運転がそろわない","判定不能"},0),"○","停","×","－"),"")</f>
        <v>停</v>
      </c>
      <c r="AX22" s="35" t="str">
        <f aca="false">IFERROR(CHOOSE(MATCH(INDEX(時間ごとの判定!$AT$3:$AT$1850,455),{"利用可","両方停止","運転がそろわない","判定不能"},0),"○","停","×","－"),"")</f>
        <v>停</v>
      </c>
      <c r="AY22" s="35" t="str">
        <f aca="false">IFERROR(CHOOSE(MATCH(INDEX(時間ごとの判定!$AT$3:$AT$1850,456),{"利用可","両方停止","運転がそろわない","判定不能"},0),"○","停","×","－"),"")</f>
        <v>停</v>
      </c>
      <c r="AZ22" s="35"/>
      <c r="BA22" s="35" t="str">
        <f aca="false">IFERROR(CHOOSE(MATCH(INDEX(時間ごとの判定!$AW$3:$AW$1850,433),{"利用可","両方停止","運転がそろわない","判定不能"},0),"○","停","×","－"),"")</f>
        <v>停</v>
      </c>
      <c r="BB22" s="35" t="str">
        <f aca="false">IFERROR(CHOOSE(MATCH(INDEX(時間ごとの判定!$AW$3:$AW$1850,434),{"利用可","両方停止","運転がそろわない","判定不能"},0),"○","停","×","－"),"")</f>
        <v>停</v>
      </c>
      <c r="BC22" s="35" t="str">
        <f aca="false">IFERROR(CHOOSE(MATCH(INDEX(時間ごとの判定!$AW$3:$AW$1850,435),{"利用可","両方停止","運転がそろわない","判定不能"},0),"○","停","×","－"),"")</f>
        <v>停</v>
      </c>
      <c r="BD22" s="35" t="str">
        <f aca="false">IFERROR(CHOOSE(MATCH(INDEX(時間ごとの判定!$AW$3:$AW$1850,436),{"利用可","両方停止","運転がそろわない","判定不能"},0),"○","停","×","－"),"")</f>
        <v>停</v>
      </c>
      <c r="BE22" s="35" t="str">
        <f aca="false">IFERROR(CHOOSE(MATCH(INDEX(時間ごとの判定!$AW$3:$AW$1850,437),{"利用可","両方停止","運転がそろわない","判定不能"},0),"○","停","×","－"),"")</f>
        <v>停</v>
      </c>
      <c r="BF22" s="35" t="str">
        <f aca="false">IFERROR(CHOOSE(MATCH(INDEX(時間ごとの判定!$AW$3:$AW$1850,438),{"利用可","両方停止","運転がそろわない","判定不能"},0),"○","停","×","－"),"")</f>
        <v>停</v>
      </c>
      <c r="BG22" s="35" t="str">
        <f aca="false">IFERROR(CHOOSE(MATCH(INDEX(時間ごとの判定!$AW$3:$AW$1850,439),{"利用可","両方停止","運転がそろわない","判定不能"},0),"○","停","×","－"),"")</f>
        <v>停</v>
      </c>
      <c r="BH22" s="35" t="str">
        <f aca="false">IFERROR(CHOOSE(MATCH(INDEX(時間ごとの判定!$AW$3:$AW$1850,440),{"利用可","両方停止","運転がそろわない","判定不能"},0),"○","停","×","－"),"")</f>
        <v>×</v>
      </c>
      <c r="BI22" s="35" t="str">
        <f aca="false">IFERROR(CHOOSE(MATCH(INDEX(時間ごとの判定!$AW$3:$AW$1850,441),{"利用可","両方停止","運転がそろわない","判定不能"},0),"○","停","×","－"),"")</f>
        <v>○</v>
      </c>
      <c r="BJ22" s="35" t="str">
        <f aca="false">IFERROR(CHOOSE(MATCH(INDEX(時間ごとの判定!$AW$3:$AW$1850,442),{"利用可","両方停止","運転がそろわない","判定不能"},0),"○","停","×","－"),"")</f>
        <v>○</v>
      </c>
      <c r="BK22" s="35" t="str">
        <f aca="false">IFERROR(CHOOSE(MATCH(INDEX(時間ごとの判定!$AW$3:$AW$1850,443),{"利用可","両方停止","運転がそろわない","判定不能"},0),"○","停","×","－"),"")</f>
        <v>○</v>
      </c>
      <c r="BL22" s="35" t="str">
        <f aca="false">IFERROR(CHOOSE(MATCH(INDEX(時間ごとの判定!$AW$3:$AW$1850,444),{"利用可","両方停止","運転がそろわない","判定不能"},0),"○","停","×","－"),"")</f>
        <v>○</v>
      </c>
      <c r="BM22" s="35" t="str">
        <f aca="false">IFERROR(CHOOSE(MATCH(INDEX(時間ごとの判定!$AW$3:$AW$1850,445),{"利用可","両方停止","運転がそろわない","判定不能"},0),"○","停","×","－"),"")</f>
        <v>○</v>
      </c>
      <c r="BN22" s="35" t="str">
        <f aca="false">IFERROR(CHOOSE(MATCH(INDEX(時間ごとの判定!$AW$3:$AW$1850,446),{"利用可","両方停止","運転がそろわない","判定不能"},0),"○","停","×","－"),"")</f>
        <v>○</v>
      </c>
      <c r="BO22" s="35" t="str">
        <f aca="false">IFERROR(CHOOSE(MATCH(INDEX(時間ごとの判定!$AW$3:$AW$1850,447),{"利用可","両方停止","運転がそろわない","判定不能"},0),"○","停","×","－"),"")</f>
        <v>○</v>
      </c>
      <c r="BP22" s="35" t="str">
        <f aca="false">IFERROR(CHOOSE(MATCH(INDEX(時間ごとの判定!$AW$3:$AW$1850,448),{"利用可","両方停止","運転がそろわない","判定不能"},0),"○","停","×","－"),"")</f>
        <v>○</v>
      </c>
      <c r="BQ22" s="35" t="str">
        <f aca="false">IFERROR(CHOOSE(MATCH(INDEX(時間ごとの判定!$AW$3:$AW$1850,449),{"利用可","両方停止","運転がそろわない","判定不能"},0),"○","停","×","－"),"")</f>
        <v>○</v>
      </c>
      <c r="BR22" s="35" t="str">
        <f aca="false">IFERROR(CHOOSE(MATCH(INDEX(時間ごとの判定!$AW$3:$AW$1850,450),{"利用可","両方停止","運転がそろわない","判定不能"},0),"○","停","×","－"),"")</f>
        <v>○</v>
      </c>
      <c r="BS22" s="35" t="str">
        <f aca="false">IFERROR(CHOOSE(MATCH(INDEX(時間ごとの判定!$AW$3:$AW$1850,451),{"利用可","両方停止","運転がそろわない","判定不能"},0),"○","停","×","－"),"")</f>
        <v>○</v>
      </c>
      <c r="BT22" s="35" t="str">
        <f aca="false">IFERROR(CHOOSE(MATCH(INDEX(時間ごとの判定!$AW$3:$AW$1850,452),{"利用可","両方停止","運転がそろわない","判定不能"},0),"○","停","×","－"),"")</f>
        <v>×</v>
      </c>
      <c r="BU22" s="35" t="str">
        <f aca="false">IFERROR(CHOOSE(MATCH(INDEX(時間ごとの判定!$AW$3:$AW$1850,453),{"利用可","両方停止","運転がそろわない","判定不能"},0),"○","停","×","－"),"")</f>
        <v>×</v>
      </c>
      <c r="BV22" s="35" t="str">
        <f aca="false">IFERROR(CHOOSE(MATCH(INDEX(時間ごとの判定!$AW$3:$AW$1850,454),{"利用可","両方停止","運転がそろわない","判定不能"},0),"○","停","×","－"),"")</f>
        <v>停</v>
      </c>
      <c r="BW22" s="35" t="str">
        <f aca="false">IFERROR(CHOOSE(MATCH(INDEX(時間ごとの判定!$AW$3:$AW$1850,455),{"利用可","両方停止","運転がそろわない","判定不能"},0),"○","停","×","－"),"")</f>
        <v>停</v>
      </c>
      <c r="BX22" s="35" t="str">
        <f aca="false">IFERROR(CHOOSE(MATCH(INDEX(時間ごとの判定!$AW$3:$AW$1850,456),{"利用可","両方停止","運転がそろわない","判定不能"},0),"○","停","×","－"),"")</f>
        <v>停</v>
      </c>
    </row>
    <row r="23" customFormat="false" ht="15" hidden="false" customHeight="false" outlineLevel="0" collapsed="false">
      <c r="A23" s="33" t="n">
        <v>46251</v>
      </c>
      <c r="B23" s="34" t="s">
        <v>66</v>
      </c>
      <c r="C23" s="35" t="str">
        <f aca="false">IFERROR(CHOOSE(MATCH(INDEX(時間ごとの判定!$AQ$3:$AQ$1850,457),{"利用可","両方停止","運転がそろわない","判定不能"},0),"○","停","×","－"),"")</f>
        <v>停</v>
      </c>
      <c r="D23" s="35" t="str">
        <f aca="false">IFERROR(CHOOSE(MATCH(INDEX(時間ごとの判定!$AQ$3:$AQ$1850,458),{"利用可","両方停止","運転がそろわない","判定不能"},0),"○","停","×","－"),"")</f>
        <v>停</v>
      </c>
      <c r="E23" s="35" t="str">
        <f aca="false">IFERROR(CHOOSE(MATCH(INDEX(時間ごとの判定!$AQ$3:$AQ$1850,459),{"利用可","両方停止","運転がそろわない","判定不能"},0),"○","停","×","－"),"")</f>
        <v>停</v>
      </c>
      <c r="F23" s="35" t="str">
        <f aca="false">IFERROR(CHOOSE(MATCH(INDEX(時間ごとの判定!$AQ$3:$AQ$1850,460),{"利用可","両方停止","運転がそろわない","判定不能"},0),"○","停","×","－"),"")</f>
        <v>停</v>
      </c>
      <c r="G23" s="35" t="str">
        <f aca="false">IFERROR(CHOOSE(MATCH(INDEX(時間ごとの判定!$AQ$3:$AQ$1850,461),{"利用可","両方停止","運転がそろわない","判定不能"},0),"○","停","×","－"),"")</f>
        <v>停</v>
      </c>
      <c r="H23" s="35" t="str">
        <f aca="false">IFERROR(CHOOSE(MATCH(INDEX(時間ごとの判定!$AQ$3:$AQ$1850,462),{"利用可","両方停止","運転がそろわない","判定不能"},0),"○","停","×","－"),"")</f>
        <v>×</v>
      </c>
      <c r="I23" s="35" t="str">
        <f aca="false">IFERROR(CHOOSE(MATCH(INDEX(時間ごとの判定!$AQ$3:$AQ$1850,463),{"利用可","両方停止","運転がそろわない","判定不能"},0),"○","停","×","－"),"")</f>
        <v>×</v>
      </c>
      <c r="J23" s="35" t="str">
        <f aca="false">IFERROR(CHOOSE(MATCH(INDEX(時間ごとの判定!$AQ$3:$AQ$1850,464),{"利用可","両方停止","運転がそろわない","判定不能"},0),"○","停","×","－"),"")</f>
        <v>×</v>
      </c>
      <c r="K23" s="35" t="str">
        <f aca="false">IFERROR(CHOOSE(MATCH(INDEX(時間ごとの判定!$AQ$3:$AQ$1850,465),{"利用可","両方停止","運転がそろわない","判定不能"},0),"○","停","×","－"),"")</f>
        <v>×</v>
      </c>
      <c r="L23" s="35" t="str">
        <f aca="false">IFERROR(CHOOSE(MATCH(INDEX(時間ごとの判定!$AQ$3:$AQ$1850,466),{"利用可","両方停止","運転がそろわない","判定不能"},0),"○","停","×","－"),"")</f>
        <v>○</v>
      </c>
      <c r="M23" s="35" t="str">
        <f aca="false">IFERROR(CHOOSE(MATCH(INDEX(時間ごとの判定!$AQ$3:$AQ$1850,467),{"利用可","両方停止","運転がそろわない","判定不能"},0),"○","停","×","－"),"")</f>
        <v>○</v>
      </c>
      <c r="N23" s="35" t="str">
        <f aca="false">IFERROR(CHOOSE(MATCH(INDEX(時間ごとの判定!$AQ$3:$AQ$1850,468),{"利用可","両方停止","運転がそろわない","判定不能"},0),"○","停","×","－"),"")</f>
        <v>○</v>
      </c>
      <c r="O23" s="35" t="str">
        <f aca="false">IFERROR(CHOOSE(MATCH(INDEX(時間ごとの判定!$AQ$3:$AQ$1850,469),{"利用可","両方停止","運転がそろわない","判定不能"},0),"○","停","×","－"),"")</f>
        <v>○</v>
      </c>
      <c r="P23" s="35" t="str">
        <f aca="false">IFERROR(CHOOSE(MATCH(INDEX(時間ごとの判定!$AQ$3:$AQ$1850,470),{"利用可","両方停止","運転がそろわない","判定不能"},0),"○","停","×","－"),"")</f>
        <v>○</v>
      </c>
      <c r="Q23" s="35" t="str">
        <f aca="false">IFERROR(CHOOSE(MATCH(INDEX(時間ごとの判定!$AQ$3:$AQ$1850,471),{"利用可","両方停止","運転がそろわない","判定不能"},0),"○","停","×","－"),"")</f>
        <v>○</v>
      </c>
      <c r="R23" s="35" t="str">
        <f aca="false">IFERROR(CHOOSE(MATCH(INDEX(時間ごとの判定!$AQ$3:$AQ$1850,472),{"利用可","両方停止","運転がそろわない","判定不能"},0),"○","停","×","－"),"")</f>
        <v>○</v>
      </c>
      <c r="S23" s="35" t="str">
        <f aca="false">IFERROR(CHOOSE(MATCH(INDEX(時間ごとの判定!$AQ$3:$AQ$1850,473),{"利用可","両方停止","運転がそろわない","判定不能"},0),"○","停","×","－"),"")</f>
        <v>○</v>
      </c>
      <c r="T23" s="35" t="str">
        <f aca="false">IFERROR(CHOOSE(MATCH(INDEX(時間ごとの判定!$AQ$3:$AQ$1850,474),{"利用可","両方停止","運転がそろわない","判定不能"},0),"○","停","×","－"),"")</f>
        <v>○</v>
      </c>
      <c r="U23" s="35" t="str">
        <f aca="false">IFERROR(CHOOSE(MATCH(INDEX(時間ごとの判定!$AQ$3:$AQ$1850,475),{"利用可","両方停止","運転がそろわない","判定不能"},0),"○","停","×","－"),"")</f>
        <v>○</v>
      </c>
      <c r="V23" s="35" t="str">
        <f aca="false">IFERROR(CHOOSE(MATCH(INDEX(時間ごとの判定!$AQ$3:$AQ$1850,476),{"利用可","両方停止","運転がそろわない","判定不能"},0),"○","停","×","－"),"")</f>
        <v>×</v>
      </c>
      <c r="W23" s="35" t="str">
        <f aca="false">IFERROR(CHOOSE(MATCH(INDEX(時間ごとの判定!$AQ$3:$AQ$1850,477),{"利用可","両方停止","運転がそろわない","判定不能"},0),"○","停","×","－"),"")</f>
        <v>×</v>
      </c>
      <c r="X23" s="35" t="str">
        <f aca="false">IFERROR(CHOOSE(MATCH(INDEX(時間ごとの判定!$AQ$3:$AQ$1850,478),{"利用可","両方停止","運転がそろわない","判定不能"},0),"○","停","×","－"),"")</f>
        <v>停</v>
      </c>
      <c r="Y23" s="35" t="str">
        <f aca="false">IFERROR(CHOOSE(MATCH(INDEX(時間ごとの判定!$AQ$3:$AQ$1850,479),{"利用可","両方停止","運転がそろわない","判定不能"},0),"○","停","×","－"),"")</f>
        <v>停</v>
      </c>
      <c r="Z23" s="35" t="str">
        <f aca="false">IFERROR(CHOOSE(MATCH(INDEX(時間ごとの判定!$AQ$3:$AQ$1850,480),{"利用可","両方停止","運転がそろわない","判定不能"},0),"○","停","×","－"),"")</f>
        <v>停</v>
      </c>
      <c r="AA23" s="35"/>
      <c r="AB23" s="35" t="str">
        <f aca="false">IFERROR(CHOOSE(MATCH(INDEX(時間ごとの判定!$AT$3:$AT$1850,457),{"利用可","両方停止","運転がそろわない","判定不能"},0),"○","停","×","－"),"")</f>
        <v>停</v>
      </c>
      <c r="AC23" s="35" t="str">
        <f aca="false">IFERROR(CHOOSE(MATCH(INDEX(時間ごとの判定!$AT$3:$AT$1850,458),{"利用可","両方停止","運転がそろわない","判定不能"},0),"○","停","×","－"),"")</f>
        <v>停</v>
      </c>
      <c r="AD23" s="35" t="str">
        <f aca="false">IFERROR(CHOOSE(MATCH(INDEX(時間ごとの判定!$AT$3:$AT$1850,459),{"利用可","両方停止","運転がそろわない","判定不能"},0),"○","停","×","－"),"")</f>
        <v>停</v>
      </c>
      <c r="AE23" s="35" t="str">
        <f aca="false">IFERROR(CHOOSE(MATCH(INDEX(時間ごとの判定!$AT$3:$AT$1850,460),{"利用可","両方停止","運転がそろわない","判定不能"},0),"○","停","×","－"),"")</f>
        <v>停</v>
      </c>
      <c r="AF23" s="35" t="str">
        <f aca="false">IFERROR(CHOOSE(MATCH(INDEX(時間ごとの判定!$AT$3:$AT$1850,461),{"利用可","両方停止","運転がそろわない","判定不能"},0),"○","停","×","－"),"")</f>
        <v>停</v>
      </c>
      <c r="AG23" s="35" t="str">
        <f aca="false">IFERROR(CHOOSE(MATCH(INDEX(時間ごとの判定!$AT$3:$AT$1850,462),{"利用可","両方停止","運転がそろわない","判定不能"},0),"○","停","×","－"),"")</f>
        <v>停</v>
      </c>
      <c r="AH23" s="35" t="str">
        <f aca="false">IFERROR(CHOOSE(MATCH(INDEX(時間ごとの判定!$AT$3:$AT$1850,463),{"利用可","両方停止","運転がそろわない","判定不能"},0),"○","停","×","－"),"")</f>
        <v>停</v>
      </c>
      <c r="AI23" s="35" t="str">
        <f aca="false">IFERROR(CHOOSE(MATCH(INDEX(時間ごとの判定!$AT$3:$AT$1850,464),{"利用可","両方停止","運転がそろわない","判定不能"},0),"○","停","×","－"),"")</f>
        <v>×</v>
      </c>
      <c r="AJ23" s="35" t="str">
        <f aca="false">IFERROR(CHOOSE(MATCH(INDEX(時間ごとの判定!$AT$3:$AT$1850,465),{"利用可","両方停止","運転がそろわない","判定不能"},0),"○","停","×","－"),"")</f>
        <v>×</v>
      </c>
      <c r="AK23" s="35" t="str">
        <f aca="false">IFERROR(CHOOSE(MATCH(INDEX(時間ごとの判定!$AT$3:$AT$1850,466),{"利用可","両方停止","運転がそろわない","判定不能"},0),"○","停","×","－"),"")</f>
        <v>○</v>
      </c>
      <c r="AL23" s="35" t="str">
        <f aca="false">IFERROR(CHOOSE(MATCH(INDEX(時間ごとの判定!$AT$3:$AT$1850,467),{"利用可","両方停止","運転がそろわない","判定不能"},0),"○","停","×","－"),"")</f>
        <v>○</v>
      </c>
      <c r="AM23" s="35" t="str">
        <f aca="false">IFERROR(CHOOSE(MATCH(INDEX(時間ごとの判定!$AT$3:$AT$1850,468),{"利用可","両方停止","運転がそろわない","判定不能"},0),"○","停","×","－"),"")</f>
        <v>○</v>
      </c>
      <c r="AN23" s="35" t="str">
        <f aca="false">IFERROR(CHOOSE(MATCH(INDEX(時間ごとの判定!$AT$3:$AT$1850,469),{"利用可","両方停止","運転がそろわない","判定不能"},0),"○","停","×","－"),"")</f>
        <v>○</v>
      </c>
      <c r="AO23" s="35" t="str">
        <f aca="false">IFERROR(CHOOSE(MATCH(INDEX(時間ごとの判定!$AT$3:$AT$1850,470),{"利用可","両方停止","運転がそろわない","判定不能"},0),"○","停","×","－"),"")</f>
        <v>○</v>
      </c>
      <c r="AP23" s="35" t="str">
        <f aca="false">IFERROR(CHOOSE(MATCH(INDEX(時間ごとの判定!$AT$3:$AT$1850,471),{"利用可","両方停止","運転がそろわない","判定不能"},0),"○","停","×","－"),"")</f>
        <v>○</v>
      </c>
      <c r="AQ23" s="35" t="str">
        <f aca="false">IFERROR(CHOOSE(MATCH(INDEX(時間ごとの判定!$AT$3:$AT$1850,472),{"利用可","両方停止","運転がそろわない","判定不能"},0),"○","停","×","－"),"")</f>
        <v>○</v>
      </c>
      <c r="AR23" s="35" t="str">
        <f aca="false">IFERROR(CHOOSE(MATCH(INDEX(時間ごとの判定!$AT$3:$AT$1850,473),{"利用可","両方停止","運転がそろわない","判定不能"},0),"○","停","×","－"),"")</f>
        <v>○</v>
      </c>
      <c r="AS23" s="35" t="str">
        <f aca="false">IFERROR(CHOOSE(MATCH(INDEX(時間ごとの判定!$AT$3:$AT$1850,474),{"利用可","両方停止","運転がそろわない","判定不能"},0),"○","停","×","－"),"")</f>
        <v>×</v>
      </c>
      <c r="AT23" s="35" t="str">
        <f aca="false">IFERROR(CHOOSE(MATCH(INDEX(時間ごとの判定!$AT$3:$AT$1850,475),{"利用可","両方停止","運転がそろわない","判定不能"},0),"○","停","×","－"),"")</f>
        <v>○</v>
      </c>
      <c r="AU23" s="35" t="str">
        <f aca="false">IFERROR(CHOOSE(MATCH(INDEX(時間ごとの判定!$AT$3:$AT$1850,476),{"利用可","両方停止","運転がそろわない","判定不能"},0),"○","停","×","－"),"")</f>
        <v>×</v>
      </c>
      <c r="AV23" s="35" t="str">
        <f aca="false">IFERROR(CHOOSE(MATCH(INDEX(時間ごとの判定!$AT$3:$AT$1850,477),{"利用可","両方停止","運転がそろわない","判定不能"},0),"○","停","×","－"),"")</f>
        <v>×</v>
      </c>
      <c r="AW23" s="35" t="str">
        <f aca="false">IFERROR(CHOOSE(MATCH(INDEX(時間ごとの判定!$AT$3:$AT$1850,478),{"利用可","両方停止","運転がそろわない","判定不能"},0),"○","停","×","－"),"")</f>
        <v>停</v>
      </c>
      <c r="AX23" s="35" t="str">
        <f aca="false">IFERROR(CHOOSE(MATCH(INDEX(時間ごとの判定!$AT$3:$AT$1850,479),{"利用可","両方停止","運転がそろわない","判定不能"},0),"○","停","×","－"),"")</f>
        <v>停</v>
      </c>
      <c r="AY23" s="35" t="str">
        <f aca="false">IFERROR(CHOOSE(MATCH(INDEX(時間ごとの判定!$AT$3:$AT$1850,480),{"利用可","両方停止","運転がそろわない","判定不能"},0),"○","停","×","－"),"")</f>
        <v>停</v>
      </c>
      <c r="AZ23" s="35"/>
      <c r="BA23" s="35" t="str">
        <f aca="false">IFERROR(CHOOSE(MATCH(INDEX(時間ごとの判定!$AW$3:$AW$1850,457),{"利用可","両方停止","運転がそろわない","判定不能"},0),"○","停","×","－"),"")</f>
        <v>停</v>
      </c>
      <c r="BB23" s="35" t="str">
        <f aca="false">IFERROR(CHOOSE(MATCH(INDEX(時間ごとの判定!$AW$3:$AW$1850,458),{"利用可","両方停止","運転がそろわない","判定不能"},0),"○","停","×","－"),"")</f>
        <v>停</v>
      </c>
      <c r="BC23" s="35" t="str">
        <f aca="false">IFERROR(CHOOSE(MATCH(INDEX(時間ごとの判定!$AW$3:$AW$1850,459),{"利用可","両方停止","運転がそろわない","判定不能"},0),"○","停","×","－"),"")</f>
        <v>停</v>
      </c>
      <c r="BD23" s="35" t="str">
        <f aca="false">IFERROR(CHOOSE(MATCH(INDEX(時間ごとの判定!$AW$3:$AW$1850,460),{"利用可","両方停止","運転がそろわない","判定不能"},0),"○","停","×","－"),"")</f>
        <v>停</v>
      </c>
      <c r="BE23" s="35" t="str">
        <f aca="false">IFERROR(CHOOSE(MATCH(INDEX(時間ごとの判定!$AW$3:$AW$1850,461),{"利用可","両方停止","運転がそろわない","判定不能"},0),"○","停","×","－"),"")</f>
        <v>停</v>
      </c>
      <c r="BF23" s="35" t="str">
        <f aca="false">IFERROR(CHOOSE(MATCH(INDEX(時間ごとの判定!$AW$3:$AW$1850,462),{"利用可","両方停止","運転がそろわない","判定不能"},0),"○","停","×","－"),"")</f>
        <v>停</v>
      </c>
      <c r="BG23" s="35" t="str">
        <f aca="false">IFERROR(CHOOSE(MATCH(INDEX(時間ごとの判定!$AW$3:$AW$1850,463),{"利用可","両方停止","運転がそろわない","判定不能"},0),"○","停","×","－"),"")</f>
        <v>停</v>
      </c>
      <c r="BH23" s="35" t="str">
        <f aca="false">IFERROR(CHOOSE(MATCH(INDEX(時間ごとの判定!$AW$3:$AW$1850,464),{"利用可","両方停止","運転がそろわない","判定不能"},0),"○","停","×","－"),"")</f>
        <v>×</v>
      </c>
      <c r="BI23" s="35" t="str">
        <f aca="false">IFERROR(CHOOSE(MATCH(INDEX(時間ごとの判定!$AW$3:$AW$1850,465),{"利用可","両方停止","運転がそろわない","判定不能"},0),"○","停","×","－"),"")</f>
        <v>×</v>
      </c>
      <c r="BJ23" s="35" t="str">
        <f aca="false">IFERROR(CHOOSE(MATCH(INDEX(時間ごとの判定!$AW$3:$AW$1850,466),{"利用可","両方停止","運転がそろわない","判定不能"},0),"○","停","×","－"),"")</f>
        <v>○</v>
      </c>
      <c r="BK23" s="35" t="str">
        <f aca="false">IFERROR(CHOOSE(MATCH(INDEX(時間ごとの判定!$AW$3:$AW$1850,467),{"利用可","両方停止","運転がそろわない","判定不能"},0),"○","停","×","－"),"")</f>
        <v>○</v>
      </c>
      <c r="BL23" s="35" t="str">
        <f aca="false">IFERROR(CHOOSE(MATCH(INDEX(時間ごとの判定!$AW$3:$AW$1850,468),{"利用可","両方停止","運転がそろわない","判定不能"},0),"○","停","×","－"),"")</f>
        <v>○</v>
      </c>
      <c r="BM23" s="35" t="str">
        <f aca="false">IFERROR(CHOOSE(MATCH(INDEX(時間ごとの判定!$AW$3:$AW$1850,469),{"利用可","両方停止","運転がそろわない","判定不能"},0),"○","停","×","－"),"")</f>
        <v>○</v>
      </c>
      <c r="BN23" s="35" t="str">
        <f aca="false">IFERROR(CHOOSE(MATCH(INDEX(時間ごとの判定!$AW$3:$AW$1850,470),{"利用可","両方停止","運転がそろわない","判定不能"},0),"○","停","×","－"),"")</f>
        <v>○</v>
      </c>
      <c r="BO23" s="35" t="str">
        <f aca="false">IFERROR(CHOOSE(MATCH(INDEX(時間ごとの判定!$AW$3:$AW$1850,471),{"利用可","両方停止","運転がそろわない","判定不能"},0),"○","停","×","－"),"")</f>
        <v>○</v>
      </c>
      <c r="BP23" s="35" t="str">
        <f aca="false">IFERROR(CHOOSE(MATCH(INDEX(時間ごとの判定!$AW$3:$AW$1850,472),{"利用可","両方停止","運転がそろわない","判定不能"},0),"○","停","×","－"),"")</f>
        <v>○</v>
      </c>
      <c r="BQ23" s="35" t="str">
        <f aca="false">IFERROR(CHOOSE(MATCH(INDEX(時間ごとの判定!$AW$3:$AW$1850,473),{"利用可","両方停止","運転がそろわない","判定不能"},0),"○","停","×","－"),"")</f>
        <v>○</v>
      </c>
      <c r="BR23" s="35" t="str">
        <f aca="false">IFERROR(CHOOSE(MATCH(INDEX(時間ごとの判定!$AW$3:$AW$1850,474),{"利用可","両方停止","運転がそろわない","判定不能"},0),"○","停","×","－"),"")</f>
        <v>○</v>
      </c>
      <c r="BS23" s="35" t="str">
        <f aca="false">IFERROR(CHOOSE(MATCH(INDEX(時間ごとの判定!$AW$3:$AW$1850,475),{"利用可","両方停止","運転がそろわない","判定不能"},0),"○","停","×","－"),"")</f>
        <v>○</v>
      </c>
      <c r="BT23" s="35" t="str">
        <f aca="false">IFERROR(CHOOSE(MATCH(INDEX(時間ごとの判定!$AW$3:$AW$1850,476),{"利用可","両方停止","運転がそろわない","判定不能"},0),"○","停","×","－"),"")</f>
        <v>×</v>
      </c>
      <c r="BU23" s="35" t="str">
        <f aca="false">IFERROR(CHOOSE(MATCH(INDEX(時間ごとの判定!$AW$3:$AW$1850,477),{"利用可","両方停止","運転がそろわない","判定不能"},0),"○","停","×","－"),"")</f>
        <v>×</v>
      </c>
      <c r="BV23" s="35" t="str">
        <f aca="false">IFERROR(CHOOSE(MATCH(INDEX(時間ごとの判定!$AW$3:$AW$1850,478),{"利用可","両方停止","運転がそろわない","判定不能"},0),"○","停","×","－"),"")</f>
        <v>停</v>
      </c>
      <c r="BW23" s="35" t="str">
        <f aca="false">IFERROR(CHOOSE(MATCH(INDEX(時間ごとの判定!$AW$3:$AW$1850,479),{"利用可","両方停止","運転がそろわない","判定不能"},0),"○","停","×","－"),"")</f>
        <v>停</v>
      </c>
      <c r="BX23" s="35" t="str">
        <f aca="false">IFERROR(CHOOSE(MATCH(INDEX(時間ごとの判定!$AW$3:$AW$1850,480),{"利用可","両方停止","運転がそろわない","判定不能"},0),"○","停","×","－"),"")</f>
        <v>停</v>
      </c>
    </row>
    <row r="24" customFormat="false" ht="15" hidden="false" customHeight="false" outlineLevel="0" collapsed="false">
      <c r="A24" s="33" t="n">
        <v>46252</v>
      </c>
      <c r="B24" s="34" t="s">
        <v>67</v>
      </c>
      <c r="C24" s="35" t="str">
        <f aca="false">IFERROR(CHOOSE(MATCH(INDEX(時間ごとの判定!$AQ$3:$AQ$1850,481),{"利用可","両方停止","運転がそろわない","判定不能"},0),"○","停","×","－"),"")</f>
        <v>停</v>
      </c>
      <c r="D24" s="35" t="str">
        <f aca="false">IFERROR(CHOOSE(MATCH(INDEX(時間ごとの判定!$AQ$3:$AQ$1850,482),{"利用可","両方停止","運転がそろわない","判定不能"},0),"○","停","×","－"),"")</f>
        <v>停</v>
      </c>
      <c r="E24" s="35" t="str">
        <f aca="false">IFERROR(CHOOSE(MATCH(INDEX(時間ごとの判定!$AQ$3:$AQ$1850,483),{"利用可","両方停止","運転がそろわない","判定不能"},0),"○","停","×","－"),"")</f>
        <v>停</v>
      </c>
      <c r="F24" s="35" t="str">
        <f aca="false">IFERROR(CHOOSE(MATCH(INDEX(時間ごとの判定!$AQ$3:$AQ$1850,484),{"利用可","両方停止","運転がそろわない","判定不能"},0),"○","停","×","－"),"")</f>
        <v>停</v>
      </c>
      <c r="G24" s="35" t="str">
        <f aca="false">IFERROR(CHOOSE(MATCH(INDEX(時間ごとの判定!$AQ$3:$AQ$1850,485),{"利用可","両方停止","運転がそろわない","判定不能"},0),"○","停","×","－"),"")</f>
        <v>停</v>
      </c>
      <c r="H24" s="35" t="str">
        <f aca="false">IFERROR(CHOOSE(MATCH(INDEX(時間ごとの判定!$AQ$3:$AQ$1850,486),{"利用可","両方停止","運転がそろわない","判定不能"},0),"○","停","×","－"),"")</f>
        <v>×</v>
      </c>
      <c r="I24" s="35" t="str">
        <f aca="false">IFERROR(CHOOSE(MATCH(INDEX(時間ごとの判定!$AQ$3:$AQ$1850,487),{"利用可","両方停止","運転がそろわない","判定不能"},0),"○","停","×","－"),"")</f>
        <v>×</v>
      </c>
      <c r="J24" s="35" t="str">
        <f aca="false">IFERROR(CHOOSE(MATCH(INDEX(時間ごとの判定!$AQ$3:$AQ$1850,488),{"利用可","両方停止","運転がそろわない","判定不能"},0),"○","停","×","－"),"")</f>
        <v>×</v>
      </c>
      <c r="K24" s="35" t="str">
        <f aca="false">IFERROR(CHOOSE(MATCH(INDEX(時間ごとの判定!$AQ$3:$AQ$1850,489),{"利用可","両方停止","運転がそろわない","判定不能"},0),"○","停","×","－"),"")</f>
        <v>○</v>
      </c>
      <c r="L24" s="35" t="str">
        <f aca="false">IFERROR(CHOOSE(MATCH(INDEX(時間ごとの判定!$AQ$3:$AQ$1850,490),{"利用可","両方停止","運転がそろわない","判定不能"},0),"○","停","×","－"),"")</f>
        <v>○</v>
      </c>
      <c r="M24" s="35" t="str">
        <f aca="false">IFERROR(CHOOSE(MATCH(INDEX(時間ごとの判定!$AQ$3:$AQ$1850,491),{"利用可","両方停止","運転がそろわない","判定不能"},0),"○","停","×","－"),"")</f>
        <v>○</v>
      </c>
      <c r="N24" s="35" t="str">
        <f aca="false">IFERROR(CHOOSE(MATCH(INDEX(時間ごとの判定!$AQ$3:$AQ$1850,492),{"利用可","両方停止","運転がそろわない","判定不能"},0),"○","停","×","－"),"")</f>
        <v>○</v>
      </c>
      <c r="O24" s="35" t="str">
        <f aca="false">IFERROR(CHOOSE(MATCH(INDEX(時間ごとの判定!$AQ$3:$AQ$1850,493),{"利用可","両方停止","運転がそろわない","判定不能"},0),"○","停","×","－"),"")</f>
        <v>○</v>
      </c>
      <c r="P24" s="35" t="str">
        <f aca="false">IFERROR(CHOOSE(MATCH(INDEX(時間ごとの判定!$AQ$3:$AQ$1850,494),{"利用可","両方停止","運転がそろわない","判定不能"},0),"○","停","×","－"),"")</f>
        <v>○</v>
      </c>
      <c r="Q24" s="35" t="str">
        <f aca="false">IFERROR(CHOOSE(MATCH(INDEX(時間ごとの判定!$AQ$3:$AQ$1850,495),{"利用可","両方停止","運転がそろわない","判定不能"},0),"○","停","×","－"),"")</f>
        <v>○</v>
      </c>
      <c r="R24" s="35" t="str">
        <f aca="false">IFERROR(CHOOSE(MATCH(INDEX(時間ごとの判定!$AQ$3:$AQ$1850,496),{"利用可","両方停止","運転がそろわない","判定不能"},0),"○","停","×","－"),"")</f>
        <v>○</v>
      </c>
      <c r="S24" s="35" t="str">
        <f aca="false">IFERROR(CHOOSE(MATCH(INDEX(時間ごとの判定!$AQ$3:$AQ$1850,497),{"利用可","両方停止","運転がそろわない","判定不能"},0),"○","停","×","－"),"")</f>
        <v>○</v>
      </c>
      <c r="T24" s="35" t="str">
        <f aca="false">IFERROR(CHOOSE(MATCH(INDEX(時間ごとの判定!$AQ$3:$AQ$1850,498),{"利用可","両方停止","運転がそろわない","判定不能"},0),"○","停","×","－"),"")</f>
        <v>○</v>
      </c>
      <c r="U24" s="35" t="str">
        <f aca="false">IFERROR(CHOOSE(MATCH(INDEX(時間ごとの判定!$AQ$3:$AQ$1850,499),{"利用可","両方停止","運転がそろわない","判定不能"},0),"○","停","×","－"),"")</f>
        <v>○</v>
      </c>
      <c r="V24" s="35" t="str">
        <f aca="false">IFERROR(CHOOSE(MATCH(INDEX(時間ごとの判定!$AQ$3:$AQ$1850,500),{"利用可","両方停止","運転がそろわない","判定不能"},0),"○","停","×","－"),"")</f>
        <v>×</v>
      </c>
      <c r="W24" s="35" t="str">
        <f aca="false">IFERROR(CHOOSE(MATCH(INDEX(時間ごとの判定!$AQ$3:$AQ$1850,501),{"利用可","両方停止","運転がそろわない","判定不能"},0),"○","停","×","－"),"")</f>
        <v>○</v>
      </c>
      <c r="X24" s="35" t="str">
        <f aca="false">IFERROR(CHOOSE(MATCH(INDEX(時間ごとの判定!$AQ$3:$AQ$1850,502),{"利用可","両方停止","運転がそろわない","判定不能"},0),"○","停","×","－"),"")</f>
        <v>停</v>
      </c>
      <c r="Y24" s="35" t="str">
        <f aca="false">IFERROR(CHOOSE(MATCH(INDEX(時間ごとの判定!$AQ$3:$AQ$1850,503),{"利用可","両方停止","運転がそろわない","判定不能"},0),"○","停","×","－"),"")</f>
        <v>停</v>
      </c>
      <c r="Z24" s="35" t="str">
        <f aca="false">IFERROR(CHOOSE(MATCH(INDEX(時間ごとの判定!$AQ$3:$AQ$1850,504),{"利用可","両方停止","運転がそろわない","判定不能"},0),"○","停","×","－"),"")</f>
        <v>停</v>
      </c>
      <c r="AA24" s="35"/>
      <c r="AB24" s="35" t="str">
        <f aca="false">IFERROR(CHOOSE(MATCH(INDEX(時間ごとの判定!$AT$3:$AT$1850,481),{"利用可","両方停止","運転がそろわない","判定不能"},0),"○","停","×","－"),"")</f>
        <v>停</v>
      </c>
      <c r="AC24" s="35" t="str">
        <f aca="false">IFERROR(CHOOSE(MATCH(INDEX(時間ごとの判定!$AT$3:$AT$1850,482),{"利用可","両方停止","運転がそろわない","判定不能"},0),"○","停","×","－"),"")</f>
        <v>停</v>
      </c>
      <c r="AD24" s="35" t="str">
        <f aca="false">IFERROR(CHOOSE(MATCH(INDEX(時間ごとの判定!$AT$3:$AT$1850,483),{"利用可","両方停止","運転がそろわない","判定不能"},0),"○","停","×","－"),"")</f>
        <v>停</v>
      </c>
      <c r="AE24" s="35" t="str">
        <f aca="false">IFERROR(CHOOSE(MATCH(INDEX(時間ごとの判定!$AT$3:$AT$1850,484),{"利用可","両方停止","運転がそろわない","判定不能"},0),"○","停","×","－"),"")</f>
        <v>停</v>
      </c>
      <c r="AF24" s="35" t="str">
        <f aca="false">IFERROR(CHOOSE(MATCH(INDEX(時間ごとの判定!$AT$3:$AT$1850,485),{"利用可","両方停止","運転がそろわない","判定不能"},0),"○","停","×","－"),"")</f>
        <v>停</v>
      </c>
      <c r="AG24" s="35" t="str">
        <f aca="false">IFERROR(CHOOSE(MATCH(INDEX(時間ごとの判定!$AT$3:$AT$1850,486),{"利用可","両方停止","運転がそろわない","判定不能"},0),"○","停","×","－"),"")</f>
        <v>停</v>
      </c>
      <c r="AH24" s="35" t="str">
        <f aca="false">IFERROR(CHOOSE(MATCH(INDEX(時間ごとの判定!$AT$3:$AT$1850,487),{"利用可","両方停止","運転がそろわない","判定不能"},0),"○","停","×","－"),"")</f>
        <v>×</v>
      </c>
      <c r="AI24" s="35" t="str">
        <f aca="false">IFERROR(CHOOSE(MATCH(INDEX(時間ごとの判定!$AT$3:$AT$1850,488),{"利用可","両方停止","運転がそろわない","判定不能"},0),"○","停","×","－"),"")</f>
        <v>×</v>
      </c>
      <c r="AJ24" s="35" t="str">
        <f aca="false">IFERROR(CHOOSE(MATCH(INDEX(時間ごとの判定!$AT$3:$AT$1850,489),{"利用可","両方停止","運転がそろわない","判定不能"},0),"○","停","×","－"),"")</f>
        <v>×</v>
      </c>
      <c r="AK24" s="35" t="str">
        <f aca="false">IFERROR(CHOOSE(MATCH(INDEX(時間ごとの判定!$AT$3:$AT$1850,490),{"利用可","両方停止","運転がそろわない","判定不能"},0),"○","停","×","－"),"")</f>
        <v>○</v>
      </c>
      <c r="AL24" s="35" t="str">
        <f aca="false">IFERROR(CHOOSE(MATCH(INDEX(時間ごとの判定!$AT$3:$AT$1850,491),{"利用可","両方停止","運転がそろわない","判定不能"},0),"○","停","×","－"),"")</f>
        <v>○</v>
      </c>
      <c r="AM24" s="35" t="str">
        <f aca="false">IFERROR(CHOOSE(MATCH(INDEX(時間ごとの判定!$AT$3:$AT$1850,492),{"利用可","両方停止","運転がそろわない","判定不能"},0),"○","停","×","－"),"")</f>
        <v>○</v>
      </c>
      <c r="AN24" s="35" t="str">
        <f aca="false">IFERROR(CHOOSE(MATCH(INDEX(時間ごとの判定!$AT$3:$AT$1850,493),{"利用可","両方停止","運転がそろわない","判定不能"},0),"○","停","×","－"),"")</f>
        <v>○</v>
      </c>
      <c r="AO24" s="35" t="str">
        <f aca="false">IFERROR(CHOOSE(MATCH(INDEX(時間ごとの判定!$AT$3:$AT$1850,494),{"利用可","両方停止","運転がそろわない","判定不能"},0),"○","停","×","－"),"")</f>
        <v>○</v>
      </c>
      <c r="AP24" s="35" t="str">
        <f aca="false">IFERROR(CHOOSE(MATCH(INDEX(時間ごとの判定!$AT$3:$AT$1850,495),{"利用可","両方停止","運転がそろわない","判定不能"},0),"○","停","×","－"),"")</f>
        <v>○</v>
      </c>
      <c r="AQ24" s="35" t="str">
        <f aca="false">IFERROR(CHOOSE(MATCH(INDEX(時間ごとの判定!$AT$3:$AT$1850,496),{"利用可","両方停止","運転がそろわない","判定不能"},0),"○","停","×","－"),"")</f>
        <v>○</v>
      </c>
      <c r="AR24" s="35" t="str">
        <f aca="false">IFERROR(CHOOSE(MATCH(INDEX(時間ごとの判定!$AT$3:$AT$1850,497),{"利用可","両方停止","運転がそろわない","判定不能"},0),"○","停","×","－"),"")</f>
        <v>○</v>
      </c>
      <c r="AS24" s="35" t="str">
        <f aca="false">IFERROR(CHOOSE(MATCH(INDEX(時間ごとの判定!$AT$3:$AT$1850,498),{"利用可","両方停止","運転がそろわない","判定不能"},0),"○","停","×","－"),"")</f>
        <v>○</v>
      </c>
      <c r="AT24" s="35" t="str">
        <f aca="false">IFERROR(CHOOSE(MATCH(INDEX(時間ごとの判定!$AT$3:$AT$1850,499),{"利用可","両方停止","運転がそろわない","判定不能"},0),"○","停","×","－"),"")</f>
        <v>○</v>
      </c>
      <c r="AU24" s="35" t="str">
        <f aca="false">IFERROR(CHOOSE(MATCH(INDEX(時間ごとの判定!$AT$3:$AT$1850,500),{"利用可","両方停止","運転がそろわない","判定不能"},0),"○","停","×","－"),"")</f>
        <v>×</v>
      </c>
      <c r="AV24" s="35" t="str">
        <f aca="false">IFERROR(CHOOSE(MATCH(INDEX(時間ごとの判定!$AT$3:$AT$1850,501),{"利用可","両方停止","運転がそろわない","判定不能"},0),"○","停","×","－"),"")</f>
        <v>×</v>
      </c>
      <c r="AW24" s="35" t="str">
        <f aca="false">IFERROR(CHOOSE(MATCH(INDEX(時間ごとの判定!$AT$3:$AT$1850,502),{"利用可","両方停止","運転がそろわない","判定不能"},0),"○","停","×","－"),"")</f>
        <v>停</v>
      </c>
      <c r="AX24" s="35" t="str">
        <f aca="false">IFERROR(CHOOSE(MATCH(INDEX(時間ごとの判定!$AT$3:$AT$1850,503),{"利用可","両方停止","運転がそろわない","判定不能"},0),"○","停","×","－"),"")</f>
        <v>停</v>
      </c>
      <c r="AY24" s="35" t="str">
        <f aca="false">IFERROR(CHOOSE(MATCH(INDEX(時間ごとの判定!$AT$3:$AT$1850,504),{"利用可","両方停止","運転がそろわない","判定不能"},0),"○","停","×","－"),"")</f>
        <v>停</v>
      </c>
      <c r="AZ24" s="35"/>
      <c r="BA24" s="35" t="str">
        <f aca="false">IFERROR(CHOOSE(MATCH(INDEX(時間ごとの判定!$AW$3:$AW$1850,481),{"利用可","両方停止","運転がそろわない","判定不能"},0),"○","停","×","－"),"")</f>
        <v>×</v>
      </c>
      <c r="BB24" s="35" t="str">
        <f aca="false">IFERROR(CHOOSE(MATCH(INDEX(時間ごとの判定!$AW$3:$AW$1850,482),{"利用可","両方停止","運転がそろわない","判定不能"},0),"○","停","×","－"),"")</f>
        <v>×</v>
      </c>
      <c r="BC24" s="35" t="str">
        <f aca="false">IFERROR(CHOOSE(MATCH(INDEX(時間ごとの判定!$AW$3:$AW$1850,483),{"利用可","両方停止","運転がそろわない","判定不能"},0),"○","停","×","－"),"")</f>
        <v>停</v>
      </c>
      <c r="BD24" s="35" t="str">
        <f aca="false">IFERROR(CHOOSE(MATCH(INDEX(時間ごとの判定!$AW$3:$AW$1850,484),{"利用可","両方停止","運転がそろわない","判定不能"},0),"○","停","×","－"),"")</f>
        <v>停</v>
      </c>
      <c r="BE24" s="35" t="str">
        <f aca="false">IFERROR(CHOOSE(MATCH(INDEX(時間ごとの判定!$AW$3:$AW$1850,485),{"利用可","両方停止","運転がそろわない","判定不能"},0),"○","停","×","－"),"")</f>
        <v>停</v>
      </c>
      <c r="BF24" s="35" t="str">
        <f aca="false">IFERROR(CHOOSE(MATCH(INDEX(時間ごとの判定!$AW$3:$AW$1850,486),{"利用可","両方停止","運転がそろわない","判定不能"},0),"○","停","×","－"),"")</f>
        <v>停</v>
      </c>
      <c r="BG24" s="35" t="str">
        <f aca="false">IFERROR(CHOOSE(MATCH(INDEX(時間ごとの判定!$AW$3:$AW$1850,487),{"利用可","両方停止","運転がそろわない","判定不能"},0),"○","停","×","－"),"")</f>
        <v>×</v>
      </c>
      <c r="BH24" s="35" t="str">
        <f aca="false">IFERROR(CHOOSE(MATCH(INDEX(時間ごとの判定!$AW$3:$AW$1850,488),{"利用可","両方停止","運転がそろわない","判定不能"},0),"○","停","×","－"),"")</f>
        <v>×</v>
      </c>
      <c r="BI24" s="35" t="str">
        <f aca="false">IFERROR(CHOOSE(MATCH(INDEX(時間ごとの判定!$AW$3:$AW$1850,489),{"利用可","両方停止","運転がそろわない","判定不能"},0),"○","停","×","－"),"")</f>
        <v>○</v>
      </c>
      <c r="BJ24" s="35" t="str">
        <f aca="false">IFERROR(CHOOSE(MATCH(INDEX(時間ごとの判定!$AW$3:$AW$1850,490),{"利用可","両方停止","運転がそろわない","判定不能"},0),"○","停","×","－"),"")</f>
        <v>○</v>
      </c>
      <c r="BK24" s="35" t="str">
        <f aca="false">IFERROR(CHOOSE(MATCH(INDEX(時間ごとの判定!$AW$3:$AW$1850,491),{"利用可","両方停止","運転がそろわない","判定不能"},0),"○","停","×","－"),"")</f>
        <v>○</v>
      </c>
      <c r="BL24" s="35" t="str">
        <f aca="false">IFERROR(CHOOSE(MATCH(INDEX(時間ごとの判定!$AW$3:$AW$1850,492),{"利用可","両方停止","運転がそろわない","判定不能"},0),"○","停","×","－"),"")</f>
        <v>○</v>
      </c>
      <c r="BM24" s="35" t="str">
        <f aca="false">IFERROR(CHOOSE(MATCH(INDEX(時間ごとの判定!$AW$3:$AW$1850,493),{"利用可","両方停止","運転がそろわない","判定不能"},0),"○","停","×","－"),"")</f>
        <v>○</v>
      </c>
      <c r="BN24" s="35" t="str">
        <f aca="false">IFERROR(CHOOSE(MATCH(INDEX(時間ごとの判定!$AW$3:$AW$1850,494),{"利用可","両方停止","運転がそろわない","判定不能"},0),"○","停","×","－"),"")</f>
        <v>○</v>
      </c>
      <c r="BO24" s="35" t="str">
        <f aca="false">IFERROR(CHOOSE(MATCH(INDEX(時間ごとの判定!$AW$3:$AW$1850,495),{"利用可","両方停止","運転がそろわない","判定不能"},0),"○","停","×","－"),"")</f>
        <v>○</v>
      </c>
      <c r="BP24" s="35" t="str">
        <f aca="false">IFERROR(CHOOSE(MATCH(INDEX(時間ごとの判定!$AW$3:$AW$1850,496),{"利用可","両方停止","運転がそろわない","判定不能"},0),"○","停","×","－"),"")</f>
        <v>○</v>
      </c>
      <c r="BQ24" s="35" t="str">
        <f aca="false">IFERROR(CHOOSE(MATCH(INDEX(時間ごとの判定!$AW$3:$AW$1850,497),{"利用可","両方停止","運転がそろわない","判定不能"},0),"○","停","×","－"),"")</f>
        <v>○</v>
      </c>
      <c r="BR24" s="35" t="str">
        <f aca="false">IFERROR(CHOOSE(MATCH(INDEX(時間ごとの判定!$AW$3:$AW$1850,498),{"利用可","両方停止","運転がそろわない","判定不能"},0),"○","停","×","－"),"")</f>
        <v>○</v>
      </c>
      <c r="BS24" s="35" t="str">
        <f aca="false">IFERROR(CHOOSE(MATCH(INDEX(時間ごとの判定!$AW$3:$AW$1850,499),{"利用可","両方停止","運転がそろわない","判定不能"},0),"○","停","×","－"),"")</f>
        <v>○</v>
      </c>
      <c r="BT24" s="35" t="str">
        <f aca="false">IFERROR(CHOOSE(MATCH(INDEX(時間ごとの判定!$AW$3:$AW$1850,500),{"利用可","両方停止","運転がそろわない","判定不能"},0),"○","停","×","－"),"")</f>
        <v>×</v>
      </c>
      <c r="BU24" s="35" t="str">
        <f aca="false">IFERROR(CHOOSE(MATCH(INDEX(時間ごとの判定!$AW$3:$AW$1850,501),{"利用可","両方停止","運転がそろわない","判定不能"},0),"○","停","×","－"),"")</f>
        <v>×</v>
      </c>
      <c r="BV24" s="35" t="str">
        <f aca="false">IFERROR(CHOOSE(MATCH(INDEX(時間ごとの判定!$AW$3:$AW$1850,502),{"利用可","両方停止","運転がそろわない","判定不能"},0),"○","停","×","－"),"")</f>
        <v>停</v>
      </c>
      <c r="BW24" s="35" t="str">
        <f aca="false">IFERROR(CHOOSE(MATCH(INDEX(時間ごとの判定!$AW$3:$AW$1850,503),{"利用可","両方停止","運転がそろわない","判定不能"},0),"○","停","×","－"),"")</f>
        <v>停</v>
      </c>
      <c r="BX24" s="35" t="str">
        <f aca="false">IFERROR(CHOOSE(MATCH(INDEX(時間ごとの判定!$AW$3:$AW$1850,504),{"利用可","両方停止","運転がそろわない","判定不能"},0),"○","停","×","－"),"")</f>
        <v>停</v>
      </c>
    </row>
    <row r="25" customFormat="false" ht="15" hidden="false" customHeight="false" outlineLevel="0" collapsed="false">
      <c r="A25" s="33" t="n">
        <v>46253</v>
      </c>
      <c r="B25" s="34" t="s">
        <v>58</v>
      </c>
      <c r="C25" s="35" t="str">
        <f aca="false">IFERROR(CHOOSE(MATCH(INDEX(時間ごとの判定!$AQ$3:$AQ$1850,505),{"利用可","両方停止","運転がそろわない","判定不能"},0),"○","停","×","－"),"")</f>
        <v>停</v>
      </c>
      <c r="D25" s="35" t="str">
        <f aca="false">IFERROR(CHOOSE(MATCH(INDEX(時間ごとの判定!$AQ$3:$AQ$1850,506),{"利用可","両方停止","運転がそろわない","判定不能"},0),"○","停","×","－"),"")</f>
        <v>停</v>
      </c>
      <c r="E25" s="35" t="str">
        <f aca="false">IFERROR(CHOOSE(MATCH(INDEX(時間ごとの判定!$AQ$3:$AQ$1850,507),{"利用可","両方停止","運転がそろわない","判定不能"},0),"○","停","×","－"),"")</f>
        <v>停</v>
      </c>
      <c r="F25" s="35" t="str">
        <f aca="false">IFERROR(CHOOSE(MATCH(INDEX(時間ごとの判定!$AQ$3:$AQ$1850,508),{"利用可","両方停止","運転がそろわない","判定不能"},0),"○","停","×","－"),"")</f>
        <v>停</v>
      </c>
      <c r="G25" s="35" t="str">
        <f aca="false">IFERROR(CHOOSE(MATCH(INDEX(時間ごとの判定!$AQ$3:$AQ$1850,509),{"利用可","両方停止","運転がそろわない","判定不能"},0),"○","停","×","－"),"")</f>
        <v>停</v>
      </c>
      <c r="H25" s="35" t="str">
        <f aca="false">IFERROR(CHOOSE(MATCH(INDEX(時間ごとの判定!$AQ$3:$AQ$1850,510),{"利用可","両方停止","運転がそろわない","判定不能"},0),"○","停","×","－"),"")</f>
        <v>停</v>
      </c>
      <c r="I25" s="35" t="str">
        <f aca="false">IFERROR(CHOOSE(MATCH(INDEX(時間ごとの判定!$AQ$3:$AQ$1850,511),{"利用可","両方停止","運転がそろわない","判定不能"},0),"○","停","×","－"),"")</f>
        <v>×</v>
      </c>
      <c r="J25" s="35" t="str">
        <f aca="false">IFERROR(CHOOSE(MATCH(INDEX(時間ごとの判定!$AQ$3:$AQ$1850,512),{"利用可","両方停止","運転がそろわない","判定不能"},0),"○","停","×","－"),"")</f>
        <v>×</v>
      </c>
      <c r="K25" s="35" t="str">
        <f aca="false">IFERROR(CHOOSE(MATCH(INDEX(時間ごとの判定!$AQ$3:$AQ$1850,513),{"利用可","両方停止","運転がそろわない","判定不能"},0),"○","停","×","－"),"")</f>
        <v>○</v>
      </c>
      <c r="L25" s="35" t="str">
        <f aca="false">IFERROR(CHOOSE(MATCH(INDEX(時間ごとの判定!$AQ$3:$AQ$1850,514),{"利用可","両方停止","運転がそろわない","判定不能"},0),"○","停","×","－"),"")</f>
        <v>○</v>
      </c>
      <c r="M25" s="35" t="str">
        <f aca="false">IFERROR(CHOOSE(MATCH(INDEX(時間ごとの判定!$AQ$3:$AQ$1850,515),{"利用可","両方停止","運転がそろわない","判定不能"},0),"○","停","×","－"),"")</f>
        <v>○</v>
      </c>
      <c r="N25" s="35" t="str">
        <f aca="false">IFERROR(CHOOSE(MATCH(INDEX(時間ごとの判定!$AQ$3:$AQ$1850,516),{"利用可","両方停止","運転がそろわない","判定不能"},0),"○","停","×","－"),"")</f>
        <v>○</v>
      </c>
      <c r="O25" s="35" t="str">
        <f aca="false">IFERROR(CHOOSE(MATCH(INDEX(時間ごとの判定!$AQ$3:$AQ$1850,517),{"利用可","両方停止","運転がそろわない","判定不能"},0),"○","停","×","－"),"")</f>
        <v>○</v>
      </c>
      <c r="P25" s="35" t="str">
        <f aca="false">IFERROR(CHOOSE(MATCH(INDEX(時間ごとの判定!$AQ$3:$AQ$1850,518),{"利用可","両方停止","運転がそろわない","判定不能"},0),"○","停","×","－"),"")</f>
        <v>○</v>
      </c>
      <c r="Q25" s="35" t="str">
        <f aca="false">IFERROR(CHOOSE(MATCH(INDEX(時間ごとの判定!$AQ$3:$AQ$1850,519),{"利用可","両方停止","運転がそろわない","判定不能"},0),"○","停","×","－"),"")</f>
        <v>○</v>
      </c>
      <c r="R25" s="35" t="str">
        <f aca="false">IFERROR(CHOOSE(MATCH(INDEX(時間ごとの判定!$AQ$3:$AQ$1850,520),{"利用可","両方停止","運転がそろわない","判定不能"},0),"○","停","×","－"),"")</f>
        <v>○</v>
      </c>
      <c r="S25" s="35" t="str">
        <f aca="false">IFERROR(CHOOSE(MATCH(INDEX(時間ごとの判定!$AQ$3:$AQ$1850,521),{"利用可","両方停止","運転がそろわない","判定不能"},0),"○","停","×","－"),"")</f>
        <v>○</v>
      </c>
      <c r="T25" s="35" t="str">
        <f aca="false">IFERROR(CHOOSE(MATCH(INDEX(時間ごとの判定!$AQ$3:$AQ$1850,522),{"利用可","両方停止","運転がそろわない","判定不能"},0),"○","停","×","－"),"")</f>
        <v>○</v>
      </c>
      <c r="U25" s="35" t="str">
        <f aca="false">IFERROR(CHOOSE(MATCH(INDEX(時間ごとの判定!$AQ$3:$AQ$1850,523),{"利用可","両方停止","運転がそろわない","判定不能"},0),"○","停","×","－"),"")</f>
        <v>○</v>
      </c>
      <c r="V25" s="35" t="str">
        <f aca="false">IFERROR(CHOOSE(MATCH(INDEX(時間ごとの判定!$AQ$3:$AQ$1850,524),{"利用可","両方停止","運転がそろわない","判定不能"},0),"○","停","×","－"),"")</f>
        <v>×</v>
      </c>
      <c r="W25" s="35" t="str">
        <f aca="false">IFERROR(CHOOSE(MATCH(INDEX(時間ごとの判定!$AQ$3:$AQ$1850,525),{"利用可","両方停止","運転がそろわない","判定不能"},0),"○","停","×","－"),"")</f>
        <v>×</v>
      </c>
      <c r="X25" s="35" t="str">
        <f aca="false">IFERROR(CHOOSE(MATCH(INDEX(時間ごとの判定!$AQ$3:$AQ$1850,526),{"利用可","両方停止","運転がそろわない","判定不能"},0),"○","停","×","－"),"")</f>
        <v>×</v>
      </c>
      <c r="Y25" s="35" t="str">
        <f aca="false">IFERROR(CHOOSE(MATCH(INDEX(時間ごとの判定!$AQ$3:$AQ$1850,527),{"利用可","両方停止","運転がそろわない","判定不能"},0),"○","停","×","－"),"")</f>
        <v>×</v>
      </c>
      <c r="Z25" s="35" t="str">
        <f aca="false">IFERROR(CHOOSE(MATCH(INDEX(時間ごとの判定!$AQ$3:$AQ$1850,528),{"利用可","両方停止","運転がそろわない","判定不能"},0),"○","停","×","－"),"")</f>
        <v>停</v>
      </c>
      <c r="AA25" s="35"/>
      <c r="AB25" s="35" t="str">
        <f aca="false">IFERROR(CHOOSE(MATCH(INDEX(時間ごとの判定!$AT$3:$AT$1850,505),{"利用可","両方停止","運転がそろわない","判定不能"},0),"○","停","×","－"),"")</f>
        <v>停</v>
      </c>
      <c r="AC25" s="35" t="str">
        <f aca="false">IFERROR(CHOOSE(MATCH(INDEX(時間ごとの判定!$AT$3:$AT$1850,506),{"利用可","両方停止","運転がそろわない","判定不能"},0),"○","停","×","－"),"")</f>
        <v>停</v>
      </c>
      <c r="AD25" s="35" t="str">
        <f aca="false">IFERROR(CHOOSE(MATCH(INDEX(時間ごとの判定!$AT$3:$AT$1850,507),{"利用可","両方停止","運転がそろわない","判定不能"},0),"○","停","×","－"),"")</f>
        <v>停</v>
      </c>
      <c r="AE25" s="35" t="str">
        <f aca="false">IFERROR(CHOOSE(MATCH(INDEX(時間ごとの判定!$AT$3:$AT$1850,508),{"利用可","両方停止","運転がそろわない","判定不能"},0),"○","停","×","－"),"")</f>
        <v>停</v>
      </c>
      <c r="AF25" s="35" t="str">
        <f aca="false">IFERROR(CHOOSE(MATCH(INDEX(時間ごとの判定!$AT$3:$AT$1850,509),{"利用可","両方停止","運転がそろわない","判定不能"},0),"○","停","×","－"),"")</f>
        <v>停</v>
      </c>
      <c r="AG25" s="35" t="str">
        <f aca="false">IFERROR(CHOOSE(MATCH(INDEX(時間ごとの判定!$AT$3:$AT$1850,510),{"利用可","両方停止","運転がそろわない","判定不能"},0),"○","停","×","－"),"")</f>
        <v>停</v>
      </c>
      <c r="AH25" s="35" t="str">
        <f aca="false">IFERROR(CHOOSE(MATCH(INDEX(時間ごとの判定!$AT$3:$AT$1850,511),{"利用可","両方停止","運転がそろわない","判定不能"},0),"○","停","×","－"),"")</f>
        <v>×</v>
      </c>
      <c r="AI25" s="35" t="str">
        <f aca="false">IFERROR(CHOOSE(MATCH(INDEX(時間ごとの判定!$AT$3:$AT$1850,512),{"利用可","両方停止","運転がそろわない","判定不能"},0),"○","停","×","－"),"")</f>
        <v>×</v>
      </c>
      <c r="AJ25" s="35" t="str">
        <f aca="false">IFERROR(CHOOSE(MATCH(INDEX(時間ごとの判定!$AT$3:$AT$1850,513),{"利用可","両方停止","運転がそろわない","判定不能"},0),"○","停","×","－"),"")</f>
        <v>○</v>
      </c>
      <c r="AK25" s="35" t="str">
        <f aca="false">IFERROR(CHOOSE(MATCH(INDEX(時間ごとの判定!$AT$3:$AT$1850,514),{"利用可","両方停止","運転がそろわない","判定不能"},0),"○","停","×","－"),"")</f>
        <v>○</v>
      </c>
      <c r="AL25" s="35" t="str">
        <f aca="false">IFERROR(CHOOSE(MATCH(INDEX(時間ごとの判定!$AT$3:$AT$1850,515),{"利用可","両方停止","運転がそろわない","判定不能"},0),"○","停","×","－"),"")</f>
        <v>○</v>
      </c>
      <c r="AM25" s="35" t="str">
        <f aca="false">IFERROR(CHOOSE(MATCH(INDEX(時間ごとの判定!$AT$3:$AT$1850,516),{"利用可","両方停止","運転がそろわない","判定不能"},0),"○","停","×","－"),"")</f>
        <v>○</v>
      </c>
      <c r="AN25" s="35" t="str">
        <f aca="false">IFERROR(CHOOSE(MATCH(INDEX(時間ごとの判定!$AT$3:$AT$1850,517),{"利用可","両方停止","運転がそろわない","判定不能"},0),"○","停","×","－"),"")</f>
        <v>○</v>
      </c>
      <c r="AO25" s="35" t="str">
        <f aca="false">IFERROR(CHOOSE(MATCH(INDEX(時間ごとの判定!$AT$3:$AT$1850,518),{"利用可","両方停止","運転がそろわない","判定不能"},0),"○","停","×","－"),"")</f>
        <v>○</v>
      </c>
      <c r="AP25" s="35" t="str">
        <f aca="false">IFERROR(CHOOSE(MATCH(INDEX(時間ごとの判定!$AT$3:$AT$1850,519),{"利用可","両方停止","運転がそろわない","判定不能"},0),"○","停","×","－"),"")</f>
        <v>○</v>
      </c>
      <c r="AQ25" s="35" t="str">
        <f aca="false">IFERROR(CHOOSE(MATCH(INDEX(時間ごとの判定!$AT$3:$AT$1850,520),{"利用可","両方停止","運転がそろわない","判定不能"},0),"○","停","×","－"),"")</f>
        <v>○</v>
      </c>
      <c r="AR25" s="35" t="str">
        <f aca="false">IFERROR(CHOOSE(MATCH(INDEX(時間ごとの判定!$AT$3:$AT$1850,521),{"利用可","両方停止","運転がそろわない","判定不能"},0),"○","停","×","－"),"")</f>
        <v>○</v>
      </c>
      <c r="AS25" s="35" t="str">
        <f aca="false">IFERROR(CHOOSE(MATCH(INDEX(時間ごとの判定!$AT$3:$AT$1850,522),{"利用可","両方停止","運転がそろわない","判定不能"},0),"○","停","×","－"),"")</f>
        <v>×</v>
      </c>
      <c r="AT25" s="35" t="str">
        <f aca="false">IFERROR(CHOOSE(MATCH(INDEX(時間ごとの判定!$AT$3:$AT$1850,523),{"利用可","両方停止","運転がそろわない","判定不能"},0),"○","停","×","－"),"")</f>
        <v>○</v>
      </c>
      <c r="AU25" s="35" t="str">
        <f aca="false">IFERROR(CHOOSE(MATCH(INDEX(時間ごとの判定!$AT$3:$AT$1850,524),{"利用可","両方停止","運転がそろわない","判定不能"},0),"○","停","×","－"),"")</f>
        <v>×</v>
      </c>
      <c r="AV25" s="35" t="str">
        <f aca="false">IFERROR(CHOOSE(MATCH(INDEX(時間ごとの判定!$AT$3:$AT$1850,525),{"利用可","両方停止","運転がそろわない","判定不能"},0),"○","停","×","－"),"")</f>
        <v>×</v>
      </c>
      <c r="AW25" s="35" t="str">
        <f aca="false">IFERROR(CHOOSE(MATCH(INDEX(時間ごとの判定!$AT$3:$AT$1850,526),{"利用可","両方停止","運転がそろわない","判定不能"},0),"○","停","×","－"),"")</f>
        <v>×</v>
      </c>
      <c r="AX25" s="35" t="str">
        <f aca="false">IFERROR(CHOOSE(MATCH(INDEX(時間ごとの判定!$AT$3:$AT$1850,527),{"利用可","両方停止","運転がそろわない","判定不能"},0),"○","停","×","－"),"")</f>
        <v>×</v>
      </c>
      <c r="AY25" s="35" t="str">
        <f aca="false">IFERROR(CHOOSE(MATCH(INDEX(時間ごとの判定!$AT$3:$AT$1850,528),{"利用可","両方停止","運転がそろわない","判定不能"},0),"○","停","×","－"),"")</f>
        <v>停</v>
      </c>
      <c r="AZ25" s="35"/>
      <c r="BA25" s="35" t="str">
        <f aca="false">IFERROR(CHOOSE(MATCH(INDEX(時間ごとの判定!$AW$3:$AW$1850,505),{"利用可","両方停止","運転がそろわない","判定不能"},0),"○","停","×","－"),"")</f>
        <v>停</v>
      </c>
      <c r="BB25" s="35" t="str">
        <f aca="false">IFERROR(CHOOSE(MATCH(INDEX(時間ごとの判定!$AW$3:$AW$1850,506),{"利用可","両方停止","運転がそろわない","判定不能"},0),"○","停","×","－"),"")</f>
        <v>停</v>
      </c>
      <c r="BC25" s="35" t="str">
        <f aca="false">IFERROR(CHOOSE(MATCH(INDEX(時間ごとの判定!$AW$3:$AW$1850,507),{"利用可","両方停止","運転がそろわない","判定不能"},0),"○","停","×","－"),"")</f>
        <v>停</v>
      </c>
      <c r="BD25" s="35" t="str">
        <f aca="false">IFERROR(CHOOSE(MATCH(INDEX(時間ごとの判定!$AW$3:$AW$1850,508),{"利用可","両方停止","運転がそろわない","判定不能"},0),"○","停","×","－"),"")</f>
        <v>停</v>
      </c>
      <c r="BE25" s="35" t="str">
        <f aca="false">IFERROR(CHOOSE(MATCH(INDEX(時間ごとの判定!$AW$3:$AW$1850,509),{"利用可","両方停止","運転がそろわない","判定不能"},0),"○","停","×","－"),"")</f>
        <v>停</v>
      </c>
      <c r="BF25" s="35" t="str">
        <f aca="false">IFERROR(CHOOSE(MATCH(INDEX(時間ごとの判定!$AW$3:$AW$1850,510),{"利用可","両方停止","運転がそろわない","判定不能"},0),"○","停","×","－"),"")</f>
        <v>停</v>
      </c>
      <c r="BG25" s="35" t="str">
        <f aca="false">IFERROR(CHOOSE(MATCH(INDEX(時間ごとの判定!$AW$3:$AW$1850,511),{"利用可","両方停止","運転がそろわない","判定不能"},0),"○","停","×","－"),"")</f>
        <v>×</v>
      </c>
      <c r="BH25" s="35" t="str">
        <f aca="false">IFERROR(CHOOSE(MATCH(INDEX(時間ごとの判定!$AW$3:$AW$1850,512),{"利用可","両方停止","運転がそろわない","判定不能"},0),"○","停","×","－"),"")</f>
        <v>×</v>
      </c>
      <c r="BI25" s="35" t="str">
        <f aca="false">IFERROR(CHOOSE(MATCH(INDEX(時間ごとの判定!$AW$3:$AW$1850,513),{"利用可","両方停止","運転がそろわない","判定不能"},0),"○","停","×","－"),"")</f>
        <v>○</v>
      </c>
      <c r="BJ25" s="35" t="str">
        <f aca="false">IFERROR(CHOOSE(MATCH(INDEX(時間ごとの判定!$AW$3:$AW$1850,514),{"利用可","両方停止","運転がそろわない","判定不能"},0),"○","停","×","－"),"")</f>
        <v>○</v>
      </c>
      <c r="BK25" s="35" t="str">
        <f aca="false">IFERROR(CHOOSE(MATCH(INDEX(時間ごとの判定!$AW$3:$AW$1850,515),{"利用可","両方停止","運転がそろわない","判定不能"},0),"○","停","×","－"),"")</f>
        <v>○</v>
      </c>
      <c r="BL25" s="35" t="str">
        <f aca="false">IFERROR(CHOOSE(MATCH(INDEX(時間ごとの判定!$AW$3:$AW$1850,516),{"利用可","両方停止","運転がそろわない","判定不能"},0),"○","停","×","－"),"")</f>
        <v>○</v>
      </c>
      <c r="BM25" s="35" t="str">
        <f aca="false">IFERROR(CHOOSE(MATCH(INDEX(時間ごとの判定!$AW$3:$AW$1850,517),{"利用可","両方停止","運転がそろわない","判定不能"},0),"○","停","×","－"),"")</f>
        <v>○</v>
      </c>
      <c r="BN25" s="35" t="str">
        <f aca="false">IFERROR(CHOOSE(MATCH(INDEX(時間ごとの判定!$AW$3:$AW$1850,518),{"利用可","両方停止","運転がそろわない","判定不能"},0),"○","停","×","－"),"")</f>
        <v>○</v>
      </c>
      <c r="BO25" s="35" t="str">
        <f aca="false">IFERROR(CHOOSE(MATCH(INDEX(時間ごとの判定!$AW$3:$AW$1850,519),{"利用可","両方停止","運転がそろわない","判定不能"},0),"○","停","×","－"),"")</f>
        <v>○</v>
      </c>
      <c r="BP25" s="35" t="str">
        <f aca="false">IFERROR(CHOOSE(MATCH(INDEX(時間ごとの判定!$AW$3:$AW$1850,520),{"利用可","両方停止","運転がそろわない","判定不能"},0),"○","停","×","－"),"")</f>
        <v>○</v>
      </c>
      <c r="BQ25" s="35" t="str">
        <f aca="false">IFERROR(CHOOSE(MATCH(INDEX(時間ごとの判定!$AW$3:$AW$1850,521),{"利用可","両方停止","運転がそろわない","判定不能"},0),"○","停","×","－"),"")</f>
        <v>○</v>
      </c>
      <c r="BR25" s="35" t="str">
        <f aca="false">IFERROR(CHOOSE(MATCH(INDEX(時間ごとの判定!$AW$3:$AW$1850,522),{"利用可","両方停止","運転がそろわない","判定不能"},0),"○","停","×","－"),"")</f>
        <v>○</v>
      </c>
      <c r="BS25" s="35" t="str">
        <f aca="false">IFERROR(CHOOSE(MATCH(INDEX(時間ごとの判定!$AW$3:$AW$1850,523),{"利用可","両方停止","運転がそろわない","判定不能"},0),"○","停","×","－"),"")</f>
        <v>○</v>
      </c>
      <c r="BT25" s="35" t="str">
        <f aca="false">IFERROR(CHOOSE(MATCH(INDEX(時間ごとの判定!$AW$3:$AW$1850,524),{"利用可","両方停止","運転がそろわない","判定不能"},0),"○","停","×","－"),"")</f>
        <v>×</v>
      </c>
      <c r="BU25" s="35" t="str">
        <f aca="false">IFERROR(CHOOSE(MATCH(INDEX(時間ごとの判定!$AW$3:$AW$1850,525),{"利用可","両方停止","運転がそろわない","判定不能"},0),"○","停","×","－"),"")</f>
        <v>×</v>
      </c>
      <c r="BV25" s="35" t="str">
        <f aca="false">IFERROR(CHOOSE(MATCH(INDEX(時間ごとの判定!$AW$3:$AW$1850,526),{"利用可","両方停止","運転がそろわない","判定不能"},0),"○","停","×","－"),"")</f>
        <v>停</v>
      </c>
      <c r="BW25" s="35" t="str">
        <f aca="false">IFERROR(CHOOSE(MATCH(INDEX(時間ごとの判定!$AW$3:$AW$1850,527),{"利用可","両方停止","運転がそろわない","判定不能"},0),"○","停","×","－"),"")</f>
        <v>停</v>
      </c>
      <c r="BX25" s="35" t="str">
        <f aca="false">IFERROR(CHOOSE(MATCH(INDEX(時間ごとの判定!$AW$3:$AW$1850,528),{"利用可","両方停止","運転がそろわない","判定不能"},0),"○","停","×","－"),"")</f>
        <v>停</v>
      </c>
    </row>
    <row r="26" customFormat="false" ht="15" hidden="false" customHeight="false" outlineLevel="0" collapsed="false">
      <c r="A26" s="33" t="n">
        <v>46254</v>
      </c>
      <c r="B26" s="34" t="s">
        <v>61</v>
      </c>
      <c r="C26" s="35" t="str">
        <f aca="false">IFERROR(CHOOSE(MATCH(INDEX(時間ごとの判定!$AQ$3:$AQ$1850,529),{"利用可","両方停止","運転がそろわない","判定不能"},0),"○","停","×","－"),"")</f>
        <v>停</v>
      </c>
      <c r="D26" s="35" t="str">
        <f aca="false">IFERROR(CHOOSE(MATCH(INDEX(時間ごとの判定!$AQ$3:$AQ$1850,530),{"利用可","両方停止","運転がそろわない","判定不能"},0),"○","停","×","－"),"")</f>
        <v>停</v>
      </c>
      <c r="E26" s="35" t="str">
        <f aca="false">IFERROR(CHOOSE(MATCH(INDEX(時間ごとの判定!$AQ$3:$AQ$1850,531),{"利用可","両方停止","運転がそろわない","判定不能"},0),"○","停","×","－"),"")</f>
        <v>停</v>
      </c>
      <c r="F26" s="35" t="str">
        <f aca="false">IFERROR(CHOOSE(MATCH(INDEX(時間ごとの判定!$AQ$3:$AQ$1850,532),{"利用可","両方停止","運転がそろわない","判定不能"},0),"○","停","×","－"),"")</f>
        <v>停</v>
      </c>
      <c r="G26" s="35" t="str">
        <f aca="false">IFERROR(CHOOSE(MATCH(INDEX(時間ごとの判定!$AQ$3:$AQ$1850,533),{"利用可","両方停止","運転がそろわない","判定不能"},0),"○","停","×","－"),"")</f>
        <v>停</v>
      </c>
      <c r="H26" s="35" t="str">
        <f aca="false">IFERROR(CHOOSE(MATCH(INDEX(時間ごとの判定!$AQ$3:$AQ$1850,534),{"利用可","両方停止","運転がそろわない","判定不能"},0),"○","停","×","－"),"")</f>
        <v>×</v>
      </c>
      <c r="I26" s="35" t="str">
        <f aca="false">IFERROR(CHOOSE(MATCH(INDEX(時間ごとの判定!$AQ$3:$AQ$1850,535),{"利用可","両方停止","運転がそろわない","判定不能"},0),"○","停","×","－"),"")</f>
        <v>×</v>
      </c>
      <c r="J26" s="35" t="str">
        <f aca="false">IFERROR(CHOOSE(MATCH(INDEX(時間ごとの判定!$AQ$3:$AQ$1850,536),{"利用可","両方停止","運転がそろわない","判定不能"},0),"○","停","×","－"),"")</f>
        <v>×</v>
      </c>
      <c r="K26" s="35" t="str">
        <f aca="false">IFERROR(CHOOSE(MATCH(INDEX(時間ごとの判定!$AQ$3:$AQ$1850,537),{"利用可","両方停止","運転がそろわない","判定不能"},0),"○","停","×","－"),"")</f>
        <v>○</v>
      </c>
      <c r="L26" s="35" t="str">
        <f aca="false">IFERROR(CHOOSE(MATCH(INDEX(時間ごとの判定!$AQ$3:$AQ$1850,538),{"利用可","両方停止","運転がそろわない","判定不能"},0),"○","停","×","－"),"")</f>
        <v>○</v>
      </c>
      <c r="M26" s="35" t="str">
        <f aca="false">IFERROR(CHOOSE(MATCH(INDEX(時間ごとの判定!$AQ$3:$AQ$1850,539),{"利用可","両方停止","運転がそろわない","判定不能"},0),"○","停","×","－"),"")</f>
        <v>○</v>
      </c>
      <c r="N26" s="35" t="str">
        <f aca="false">IFERROR(CHOOSE(MATCH(INDEX(時間ごとの判定!$AQ$3:$AQ$1850,540),{"利用可","両方停止","運転がそろわない","判定不能"},0),"○","停","×","－"),"")</f>
        <v>○</v>
      </c>
      <c r="O26" s="35" t="str">
        <f aca="false">IFERROR(CHOOSE(MATCH(INDEX(時間ごとの判定!$AQ$3:$AQ$1850,541),{"利用可","両方停止","運転がそろわない","判定不能"},0),"○","停","×","－"),"")</f>
        <v>○</v>
      </c>
      <c r="P26" s="35" t="str">
        <f aca="false">IFERROR(CHOOSE(MATCH(INDEX(時間ごとの判定!$AQ$3:$AQ$1850,542),{"利用可","両方停止","運転がそろわない","判定不能"},0),"○","停","×","－"),"")</f>
        <v>○</v>
      </c>
      <c r="Q26" s="35" t="str">
        <f aca="false">IFERROR(CHOOSE(MATCH(INDEX(時間ごとの判定!$AQ$3:$AQ$1850,543),{"利用可","両方停止","運転がそろわない","判定不能"},0),"○","停","×","－"),"")</f>
        <v>○</v>
      </c>
      <c r="R26" s="35" t="str">
        <f aca="false">IFERROR(CHOOSE(MATCH(INDEX(時間ごとの判定!$AQ$3:$AQ$1850,544),{"利用可","両方停止","運転がそろわない","判定不能"},0),"○","停","×","－"),"")</f>
        <v>○</v>
      </c>
      <c r="S26" s="35" t="str">
        <f aca="false">IFERROR(CHOOSE(MATCH(INDEX(時間ごとの判定!$AQ$3:$AQ$1850,545),{"利用可","両方停止","運転がそろわない","判定不能"},0),"○","停","×","－"),"")</f>
        <v>○</v>
      </c>
      <c r="T26" s="35" t="str">
        <f aca="false">IFERROR(CHOOSE(MATCH(INDEX(時間ごとの判定!$AQ$3:$AQ$1850,546),{"利用可","両方停止","運転がそろわない","判定不能"},0),"○","停","×","－"),"")</f>
        <v>○</v>
      </c>
      <c r="U26" s="35" t="str">
        <f aca="false">IFERROR(CHOOSE(MATCH(INDEX(時間ごとの判定!$AQ$3:$AQ$1850,547),{"利用可","両方停止","運転がそろわない","判定不能"},0),"○","停","×","－"),"")</f>
        <v>○</v>
      </c>
      <c r="V26" s="35" t="str">
        <f aca="false">IFERROR(CHOOSE(MATCH(INDEX(時間ごとの判定!$AQ$3:$AQ$1850,548),{"利用可","両方停止","運転がそろわない","判定不能"},0),"○","停","×","－"),"")</f>
        <v>○</v>
      </c>
      <c r="W26" s="35" t="str">
        <f aca="false">IFERROR(CHOOSE(MATCH(INDEX(時間ごとの判定!$AQ$3:$AQ$1850,549),{"利用可","両方停止","運転がそろわない","判定不能"},0),"○","停","×","－"),"")</f>
        <v>○</v>
      </c>
      <c r="X26" s="35" t="str">
        <f aca="false">IFERROR(CHOOSE(MATCH(INDEX(時間ごとの判定!$AQ$3:$AQ$1850,550),{"利用可","両方停止","運転がそろわない","判定不能"},0),"○","停","×","－"),"")</f>
        <v>×</v>
      </c>
      <c r="Y26" s="35" t="str">
        <f aca="false">IFERROR(CHOOSE(MATCH(INDEX(時間ごとの判定!$AQ$3:$AQ$1850,551),{"利用可","両方停止","運転がそろわない","判定不能"},0),"○","停","×","－"),"")</f>
        <v>停</v>
      </c>
      <c r="Z26" s="35" t="str">
        <f aca="false">IFERROR(CHOOSE(MATCH(INDEX(時間ごとの判定!$AQ$3:$AQ$1850,552),{"利用可","両方停止","運転がそろわない","判定不能"},0),"○","停","×","－"),"")</f>
        <v>停</v>
      </c>
      <c r="AA26" s="35"/>
      <c r="AB26" s="35" t="str">
        <f aca="false">IFERROR(CHOOSE(MATCH(INDEX(時間ごとの判定!$AT$3:$AT$1850,529),{"利用可","両方停止","運転がそろわない","判定不能"},0),"○","停","×","－"),"")</f>
        <v>停</v>
      </c>
      <c r="AC26" s="35" t="str">
        <f aca="false">IFERROR(CHOOSE(MATCH(INDEX(時間ごとの判定!$AT$3:$AT$1850,530),{"利用可","両方停止","運転がそろわない","判定不能"},0),"○","停","×","－"),"")</f>
        <v>停</v>
      </c>
      <c r="AD26" s="35" t="str">
        <f aca="false">IFERROR(CHOOSE(MATCH(INDEX(時間ごとの判定!$AT$3:$AT$1850,531),{"利用可","両方停止","運転がそろわない","判定不能"},0),"○","停","×","－"),"")</f>
        <v>停</v>
      </c>
      <c r="AE26" s="35" t="str">
        <f aca="false">IFERROR(CHOOSE(MATCH(INDEX(時間ごとの判定!$AT$3:$AT$1850,532),{"利用可","両方停止","運転がそろわない","判定不能"},0),"○","停","×","－"),"")</f>
        <v>停</v>
      </c>
      <c r="AF26" s="35" t="str">
        <f aca="false">IFERROR(CHOOSE(MATCH(INDEX(時間ごとの判定!$AT$3:$AT$1850,533),{"利用可","両方停止","運転がそろわない","判定不能"},0),"○","停","×","－"),"")</f>
        <v>停</v>
      </c>
      <c r="AG26" s="35" t="str">
        <f aca="false">IFERROR(CHOOSE(MATCH(INDEX(時間ごとの判定!$AT$3:$AT$1850,534),{"利用可","両方停止","運転がそろわない","判定不能"},0),"○","停","×","－"),"")</f>
        <v>停</v>
      </c>
      <c r="AH26" s="35" t="str">
        <f aca="false">IFERROR(CHOOSE(MATCH(INDEX(時間ごとの判定!$AT$3:$AT$1850,535),{"利用可","両方停止","運転がそろわない","判定不能"},0),"○","停","×","－"),"")</f>
        <v>停</v>
      </c>
      <c r="AI26" s="35" t="str">
        <f aca="false">IFERROR(CHOOSE(MATCH(INDEX(時間ごとの判定!$AT$3:$AT$1850,536),{"利用可","両方停止","運転がそろわない","判定不能"},0),"○","停","×","－"),"")</f>
        <v>×</v>
      </c>
      <c r="AJ26" s="35" t="str">
        <f aca="false">IFERROR(CHOOSE(MATCH(INDEX(時間ごとの判定!$AT$3:$AT$1850,537),{"利用可","両方停止","運転がそろわない","判定不能"},0),"○","停","×","－"),"")</f>
        <v>○</v>
      </c>
      <c r="AK26" s="35" t="str">
        <f aca="false">IFERROR(CHOOSE(MATCH(INDEX(時間ごとの判定!$AT$3:$AT$1850,538),{"利用可","両方停止","運転がそろわない","判定不能"},0),"○","停","×","－"),"")</f>
        <v>○</v>
      </c>
      <c r="AL26" s="35" t="str">
        <f aca="false">IFERROR(CHOOSE(MATCH(INDEX(時間ごとの判定!$AT$3:$AT$1850,539),{"利用可","両方停止","運転がそろわない","判定不能"},0),"○","停","×","－"),"")</f>
        <v>○</v>
      </c>
      <c r="AM26" s="35" t="str">
        <f aca="false">IFERROR(CHOOSE(MATCH(INDEX(時間ごとの判定!$AT$3:$AT$1850,540),{"利用可","両方停止","運転がそろわない","判定不能"},0),"○","停","×","－"),"")</f>
        <v>○</v>
      </c>
      <c r="AN26" s="35" t="str">
        <f aca="false">IFERROR(CHOOSE(MATCH(INDEX(時間ごとの判定!$AT$3:$AT$1850,541),{"利用可","両方停止","運転がそろわない","判定不能"},0),"○","停","×","－"),"")</f>
        <v>○</v>
      </c>
      <c r="AO26" s="35" t="str">
        <f aca="false">IFERROR(CHOOSE(MATCH(INDEX(時間ごとの判定!$AT$3:$AT$1850,542),{"利用可","両方停止","運転がそろわない","判定不能"},0),"○","停","×","－"),"")</f>
        <v>○</v>
      </c>
      <c r="AP26" s="35" t="str">
        <f aca="false">IFERROR(CHOOSE(MATCH(INDEX(時間ごとの判定!$AT$3:$AT$1850,543),{"利用可","両方停止","運転がそろわない","判定不能"},0),"○","停","×","－"),"")</f>
        <v>○</v>
      </c>
      <c r="AQ26" s="35" t="str">
        <f aca="false">IFERROR(CHOOSE(MATCH(INDEX(時間ごとの判定!$AT$3:$AT$1850,544),{"利用可","両方停止","運転がそろわない","判定不能"},0),"○","停","×","－"),"")</f>
        <v>○</v>
      </c>
      <c r="AR26" s="35" t="str">
        <f aca="false">IFERROR(CHOOSE(MATCH(INDEX(時間ごとの判定!$AT$3:$AT$1850,545),{"利用可","両方停止","運転がそろわない","判定不能"},0),"○","停","×","－"),"")</f>
        <v>○</v>
      </c>
      <c r="AS26" s="35" t="str">
        <f aca="false">IFERROR(CHOOSE(MATCH(INDEX(時間ごとの判定!$AT$3:$AT$1850,546),{"利用可","両方停止","運転がそろわない","判定不能"},0),"○","停","×","－"),"")</f>
        <v>×</v>
      </c>
      <c r="AT26" s="35" t="str">
        <f aca="false">IFERROR(CHOOSE(MATCH(INDEX(時間ごとの判定!$AT$3:$AT$1850,547),{"利用可","両方停止","運転がそろわない","判定不能"},0),"○","停","×","－"),"")</f>
        <v>○</v>
      </c>
      <c r="AU26" s="35" t="str">
        <f aca="false">IFERROR(CHOOSE(MATCH(INDEX(時間ごとの判定!$AT$3:$AT$1850,548),{"利用可","両方停止","運転がそろわない","判定不能"},0),"○","停","×","－"),"")</f>
        <v>×</v>
      </c>
      <c r="AV26" s="35" t="str">
        <f aca="false">IFERROR(CHOOSE(MATCH(INDEX(時間ごとの判定!$AT$3:$AT$1850,549),{"利用可","両方停止","運転がそろわない","判定不能"},0),"○","停","×","－"),"")</f>
        <v>○</v>
      </c>
      <c r="AW26" s="35" t="str">
        <f aca="false">IFERROR(CHOOSE(MATCH(INDEX(時間ごとの判定!$AT$3:$AT$1850,550),{"利用可","両方停止","運転がそろわない","判定不能"},0),"○","停","×","－"),"")</f>
        <v>×</v>
      </c>
      <c r="AX26" s="35" t="str">
        <f aca="false">IFERROR(CHOOSE(MATCH(INDEX(時間ごとの判定!$AT$3:$AT$1850,551),{"利用可","両方停止","運転がそろわない","判定不能"},0),"○","停","×","－"),"")</f>
        <v>停</v>
      </c>
      <c r="AY26" s="35" t="str">
        <f aca="false">IFERROR(CHOOSE(MATCH(INDEX(時間ごとの判定!$AT$3:$AT$1850,552),{"利用可","両方停止","運転がそろわない","判定不能"},0),"○","停","×","－"),"")</f>
        <v>停</v>
      </c>
      <c r="AZ26" s="35"/>
      <c r="BA26" s="35" t="str">
        <f aca="false">IFERROR(CHOOSE(MATCH(INDEX(時間ごとの判定!$AW$3:$AW$1850,529),{"利用可","両方停止","運転がそろわない","判定不能"},0),"○","停","×","－"),"")</f>
        <v>停</v>
      </c>
      <c r="BB26" s="35" t="str">
        <f aca="false">IFERROR(CHOOSE(MATCH(INDEX(時間ごとの判定!$AW$3:$AW$1850,530),{"利用可","両方停止","運転がそろわない","判定不能"},0),"○","停","×","－"),"")</f>
        <v>停</v>
      </c>
      <c r="BC26" s="35" t="str">
        <f aca="false">IFERROR(CHOOSE(MATCH(INDEX(時間ごとの判定!$AW$3:$AW$1850,531),{"利用可","両方停止","運転がそろわない","判定不能"},0),"○","停","×","－"),"")</f>
        <v>停</v>
      </c>
      <c r="BD26" s="35" t="str">
        <f aca="false">IFERROR(CHOOSE(MATCH(INDEX(時間ごとの判定!$AW$3:$AW$1850,532),{"利用可","両方停止","運転がそろわない","判定不能"},0),"○","停","×","－"),"")</f>
        <v>停</v>
      </c>
      <c r="BE26" s="35" t="str">
        <f aca="false">IFERROR(CHOOSE(MATCH(INDEX(時間ごとの判定!$AW$3:$AW$1850,533),{"利用可","両方停止","運転がそろわない","判定不能"},0),"○","停","×","－"),"")</f>
        <v>停</v>
      </c>
      <c r="BF26" s="35" t="str">
        <f aca="false">IFERROR(CHOOSE(MATCH(INDEX(時間ごとの判定!$AW$3:$AW$1850,534),{"利用可","両方停止","運転がそろわない","判定不能"},0),"○","停","×","－"),"")</f>
        <v>停</v>
      </c>
      <c r="BG26" s="35" t="str">
        <f aca="false">IFERROR(CHOOSE(MATCH(INDEX(時間ごとの判定!$AW$3:$AW$1850,535),{"利用可","両方停止","運転がそろわない","判定不能"},0),"○","停","×","－"),"")</f>
        <v>×</v>
      </c>
      <c r="BH26" s="35" t="str">
        <f aca="false">IFERROR(CHOOSE(MATCH(INDEX(時間ごとの判定!$AW$3:$AW$1850,536),{"利用可","両方停止","運転がそろわない","判定不能"},0),"○","停","×","－"),"")</f>
        <v>×</v>
      </c>
      <c r="BI26" s="35" t="str">
        <f aca="false">IFERROR(CHOOSE(MATCH(INDEX(時間ごとの判定!$AW$3:$AW$1850,537),{"利用可","両方停止","運転がそろわない","判定不能"},0),"○","停","×","－"),"")</f>
        <v>○</v>
      </c>
      <c r="BJ26" s="35" t="str">
        <f aca="false">IFERROR(CHOOSE(MATCH(INDEX(時間ごとの判定!$AW$3:$AW$1850,538),{"利用可","両方停止","運転がそろわない","判定不能"},0),"○","停","×","－"),"")</f>
        <v>○</v>
      </c>
      <c r="BK26" s="35" t="str">
        <f aca="false">IFERROR(CHOOSE(MATCH(INDEX(時間ごとの判定!$AW$3:$AW$1850,539),{"利用可","両方停止","運転がそろわない","判定不能"},0),"○","停","×","－"),"")</f>
        <v>○</v>
      </c>
      <c r="BL26" s="35" t="str">
        <f aca="false">IFERROR(CHOOSE(MATCH(INDEX(時間ごとの判定!$AW$3:$AW$1850,540),{"利用可","両方停止","運転がそろわない","判定不能"},0),"○","停","×","－"),"")</f>
        <v>○</v>
      </c>
      <c r="BM26" s="35" t="str">
        <f aca="false">IFERROR(CHOOSE(MATCH(INDEX(時間ごとの判定!$AW$3:$AW$1850,541),{"利用可","両方停止","運転がそろわない","判定不能"},0),"○","停","×","－"),"")</f>
        <v>○</v>
      </c>
      <c r="BN26" s="35" t="str">
        <f aca="false">IFERROR(CHOOSE(MATCH(INDEX(時間ごとの判定!$AW$3:$AW$1850,542),{"利用可","両方停止","運転がそろわない","判定不能"},0),"○","停","×","－"),"")</f>
        <v>○</v>
      </c>
      <c r="BO26" s="35" t="str">
        <f aca="false">IFERROR(CHOOSE(MATCH(INDEX(時間ごとの判定!$AW$3:$AW$1850,543),{"利用可","両方停止","運転がそろわない","判定不能"},0),"○","停","×","－"),"")</f>
        <v>○</v>
      </c>
      <c r="BP26" s="35" t="str">
        <f aca="false">IFERROR(CHOOSE(MATCH(INDEX(時間ごとの判定!$AW$3:$AW$1850,544),{"利用可","両方停止","運転がそろわない","判定不能"},0),"○","停","×","－"),"")</f>
        <v>○</v>
      </c>
      <c r="BQ26" s="35" t="str">
        <f aca="false">IFERROR(CHOOSE(MATCH(INDEX(時間ごとの判定!$AW$3:$AW$1850,545),{"利用可","両方停止","運転がそろわない","判定不能"},0),"○","停","×","－"),"")</f>
        <v>○</v>
      </c>
      <c r="BR26" s="35" t="str">
        <f aca="false">IFERROR(CHOOSE(MATCH(INDEX(時間ごとの判定!$AW$3:$AW$1850,546),{"利用可","両方停止","運転がそろわない","判定不能"},0),"○","停","×","－"),"")</f>
        <v>○</v>
      </c>
      <c r="BS26" s="35" t="str">
        <f aca="false">IFERROR(CHOOSE(MATCH(INDEX(時間ごとの判定!$AW$3:$AW$1850,547),{"利用可","両方停止","運転がそろわない","判定不能"},0),"○","停","×","－"),"")</f>
        <v>○</v>
      </c>
      <c r="BT26" s="35" t="str">
        <f aca="false">IFERROR(CHOOSE(MATCH(INDEX(時間ごとの判定!$AW$3:$AW$1850,548),{"利用可","両方停止","運転がそろわない","判定不能"},0),"○","停","×","－"),"")</f>
        <v>×</v>
      </c>
      <c r="BU26" s="35" t="str">
        <f aca="false">IFERROR(CHOOSE(MATCH(INDEX(時間ごとの判定!$AW$3:$AW$1850,549),{"利用可","両方停止","運転がそろわない","判定不能"},0),"○","停","×","－"),"")</f>
        <v>×</v>
      </c>
      <c r="BV26" s="35" t="str">
        <f aca="false">IFERROR(CHOOSE(MATCH(INDEX(時間ごとの判定!$AW$3:$AW$1850,550),{"利用可","両方停止","運転がそろわない","判定不能"},0),"○","停","×","－"),"")</f>
        <v>停</v>
      </c>
      <c r="BW26" s="35" t="str">
        <f aca="false">IFERROR(CHOOSE(MATCH(INDEX(時間ごとの判定!$AW$3:$AW$1850,551),{"利用可","両方停止","運転がそろわない","判定不能"},0),"○","停","×","－"),"")</f>
        <v>停</v>
      </c>
      <c r="BX26" s="35" t="str">
        <f aca="false">IFERROR(CHOOSE(MATCH(INDEX(時間ごとの判定!$AW$3:$AW$1850,552),{"利用可","両方停止","運転がそろわない","判定不能"},0),"○","停","×","－"),"")</f>
        <v>停</v>
      </c>
    </row>
    <row r="27" customFormat="false" ht="15" hidden="false" customHeight="false" outlineLevel="0" collapsed="false">
      <c r="A27" s="33" t="n">
        <v>46255</v>
      </c>
      <c r="B27" s="34" t="s">
        <v>62</v>
      </c>
      <c r="C27" s="35" t="str">
        <f aca="false">IFERROR(CHOOSE(MATCH(INDEX(時間ごとの判定!$AQ$3:$AQ$1850,553),{"利用可","両方停止","運転がそろわない","判定不能"},0),"○","停","×","－"),"")</f>
        <v>停</v>
      </c>
      <c r="D27" s="35" t="str">
        <f aca="false">IFERROR(CHOOSE(MATCH(INDEX(時間ごとの判定!$AQ$3:$AQ$1850,554),{"利用可","両方停止","運転がそろわない","判定不能"},0),"○","停","×","－"),"")</f>
        <v>停</v>
      </c>
      <c r="E27" s="35" t="str">
        <f aca="false">IFERROR(CHOOSE(MATCH(INDEX(時間ごとの判定!$AQ$3:$AQ$1850,555),{"利用可","両方停止","運転がそろわない","判定不能"},0),"○","停","×","－"),"")</f>
        <v>停</v>
      </c>
      <c r="F27" s="35" t="str">
        <f aca="false">IFERROR(CHOOSE(MATCH(INDEX(時間ごとの判定!$AQ$3:$AQ$1850,556),{"利用可","両方停止","運転がそろわない","判定不能"},0),"○","停","×","－"),"")</f>
        <v>停</v>
      </c>
      <c r="G27" s="35" t="str">
        <f aca="false">IFERROR(CHOOSE(MATCH(INDEX(時間ごとの判定!$AQ$3:$AQ$1850,557),{"利用可","両方停止","運転がそろわない","判定不能"},0),"○","停","×","－"),"")</f>
        <v>停</v>
      </c>
      <c r="H27" s="35" t="str">
        <f aca="false">IFERROR(CHOOSE(MATCH(INDEX(時間ごとの判定!$AQ$3:$AQ$1850,558),{"利用可","両方停止","運転がそろわない","判定不能"},0),"○","停","×","－"),"")</f>
        <v>停</v>
      </c>
      <c r="I27" s="35" t="str">
        <f aca="false">IFERROR(CHOOSE(MATCH(INDEX(時間ごとの判定!$AQ$3:$AQ$1850,559),{"利用可","両方停止","運転がそろわない","判定不能"},0),"○","停","×","－"),"")</f>
        <v>×</v>
      </c>
      <c r="J27" s="35" t="str">
        <f aca="false">IFERROR(CHOOSE(MATCH(INDEX(時間ごとの判定!$AQ$3:$AQ$1850,560),{"利用可","両方停止","運転がそろわない","判定不能"},0),"○","停","×","－"),"")</f>
        <v>×</v>
      </c>
      <c r="K27" s="35" t="str">
        <f aca="false">IFERROR(CHOOSE(MATCH(INDEX(時間ごとの判定!$AQ$3:$AQ$1850,561),{"利用可","両方停止","運転がそろわない","判定不能"},0),"○","停","×","－"),"")</f>
        <v>×</v>
      </c>
      <c r="L27" s="35" t="str">
        <f aca="false">IFERROR(CHOOSE(MATCH(INDEX(時間ごとの判定!$AQ$3:$AQ$1850,562),{"利用可","両方停止","運転がそろわない","判定不能"},0),"○","停","×","－"),"")</f>
        <v>○</v>
      </c>
      <c r="M27" s="35" t="str">
        <f aca="false">IFERROR(CHOOSE(MATCH(INDEX(時間ごとの判定!$AQ$3:$AQ$1850,563),{"利用可","両方停止","運転がそろわない","判定不能"},0),"○","停","×","－"),"")</f>
        <v>○</v>
      </c>
      <c r="N27" s="35" t="str">
        <f aca="false">IFERROR(CHOOSE(MATCH(INDEX(時間ごとの判定!$AQ$3:$AQ$1850,564),{"利用可","両方停止","運転がそろわない","判定不能"},0),"○","停","×","－"),"")</f>
        <v>○</v>
      </c>
      <c r="O27" s="35" t="str">
        <f aca="false">IFERROR(CHOOSE(MATCH(INDEX(時間ごとの判定!$AQ$3:$AQ$1850,565),{"利用可","両方停止","運転がそろわない","判定不能"},0),"○","停","×","－"),"")</f>
        <v>○</v>
      </c>
      <c r="P27" s="35" t="str">
        <f aca="false">IFERROR(CHOOSE(MATCH(INDEX(時間ごとの判定!$AQ$3:$AQ$1850,566),{"利用可","両方停止","運転がそろわない","判定不能"},0),"○","停","×","－"),"")</f>
        <v>○</v>
      </c>
      <c r="Q27" s="35" t="str">
        <f aca="false">IFERROR(CHOOSE(MATCH(INDEX(時間ごとの判定!$AQ$3:$AQ$1850,567),{"利用可","両方停止","運転がそろわない","判定不能"},0),"○","停","×","－"),"")</f>
        <v>○</v>
      </c>
      <c r="R27" s="35" t="str">
        <f aca="false">IFERROR(CHOOSE(MATCH(INDEX(時間ごとの判定!$AQ$3:$AQ$1850,568),{"利用可","両方停止","運転がそろわない","判定不能"},0),"○","停","×","－"),"")</f>
        <v>○</v>
      </c>
      <c r="S27" s="35" t="str">
        <f aca="false">IFERROR(CHOOSE(MATCH(INDEX(時間ごとの判定!$AQ$3:$AQ$1850,569),{"利用可","両方停止","運転がそろわない","判定不能"},0),"○","停","×","－"),"")</f>
        <v>○</v>
      </c>
      <c r="T27" s="35" t="str">
        <f aca="false">IFERROR(CHOOSE(MATCH(INDEX(時間ごとの判定!$AQ$3:$AQ$1850,570),{"利用可","両方停止","運転がそろわない","判定不能"},0),"○","停","×","－"),"")</f>
        <v>○</v>
      </c>
      <c r="U27" s="35" t="str">
        <f aca="false">IFERROR(CHOOSE(MATCH(INDEX(時間ごとの判定!$AQ$3:$AQ$1850,571),{"利用可","両方停止","運転がそろわない","判定不能"},0),"○","停","×","－"),"")</f>
        <v>○</v>
      </c>
      <c r="V27" s="35" t="str">
        <f aca="false">IFERROR(CHOOSE(MATCH(INDEX(時間ごとの判定!$AQ$3:$AQ$1850,572),{"利用可","両方停止","運転がそろわない","判定不能"},0),"○","停","×","－"),"")</f>
        <v>×</v>
      </c>
      <c r="W27" s="35" t="str">
        <f aca="false">IFERROR(CHOOSE(MATCH(INDEX(時間ごとの判定!$AQ$3:$AQ$1850,573),{"利用可","両方停止","運転がそろわない","判定不能"},0),"○","停","×","－"),"")</f>
        <v>×</v>
      </c>
      <c r="X27" s="35" t="str">
        <f aca="false">IFERROR(CHOOSE(MATCH(INDEX(時間ごとの判定!$AQ$3:$AQ$1850,574),{"利用可","両方停止","運転がそろわない","判定不能"},0),"○","停","×","－"),"")</f>
        <v>停</v>
      </c>
      <c r="Y27" s="35" t="str">
        <f aca="false">IFERROR(CHOOSE(MATCH(INDEX(時間ごとの判定!$AQ$3:$AQ$1850,575),{"利用可","両方停止","運転がそろわない","判定不能"},0),"○","停","×","－"),"")</f>
        <v>停</v>
      </c>
      <c r="Z27" s="35" t="str">
        <f aca="false">IFERROR(CHOOSE(MATCH(INDEX(時間ごとの判定!$AQ$3:$AQ$1850,576),{"利用可","両方停止","運転がそろわない","判定不能"},0),"○","停","×","－"),"")</f>
        <v>停</v>
      </c>
      <c r="AA27" s="35"/>
      <c r="AB27" s="35" t="str">
        <f aca="false">IFERROR(CHOOSE(MATCH(INDEX(時間ごとの判定!$AT$3:$AT$1850,553),{"利用可","両方停止","運転がそろわない","判定不能"},0),"○","停","×","－"),"")</f>
        <v>停</v>
      </c>
      <c r="AC27" s="35" t="str">
        <f aca="false">IFERROR(CHOOSE(MATCH(INDEX(時間ごとの判定!$AT$3:$AT$1850,554),{"利用可","両方停止","運転がそろわない","判定不能"},0),"○","停","×","－"),"")</f>
        <v>停</v>
      </c>
      <c r="AD27" s="35" t="str">
        <f aca="false">IFERROR(CHOOSE(MATCH(INDEX(時間ごとの判定!$AT$3:$AT$1850,555),{"利用可","両方停止","運転がそろわない","判定不能"},0),"○","停","×","－"),"")</f>
        <v>停</v>
      </c>
      <c r="AE27" s="35" t="str">
        <f aca="false">IFERROR(CHOOSE(MATCH(INDEX(時間ごとの判定!$AT$3:$AT$1850,556),{"利用可","両方停止","運転がそろわない","判定不能"},0),"○","停","×","－"),"")</f>
        <v>停</v>
      </c>
      <c r="AF27" s="35" t="str">
        <f aca="false">IFERROR(CHOOSE(MATCH(INDEX(時間ごとの判定!$AT$3:$AT$1850,557),{"利用可","両方停止","運転がそろわない","判定不能"},0),"○","停","×","－"),"")</f>
        <v>停</v>
      </c>
      <c r="AG27" s="35" t="str">
        <f aca="false">IFERROR(CHOOSE(MATCH(INDEX(時間ごとの判定!$AT$3:$AT$1850,558),{"利用可","両方停止","運転がそろわない","判定不能"},0),"○","停","×","－"),"")</f>
        <v>停</v>
      </c>
      <c r="AH27" s="35" t="str">
        <f aca="false">IFERROR(CHOOSE(MATCH(INDEX(時間ごとの判定!$AT$3:$AT$1850,559),{"利用可","両方停止","運転がそろわない","判定不能"},0),"○","停","×","－"),"")</f>
        <v>×</v>
      </c>
      <c r="AI27" s="35" t="str">
        <f aca="false">IFERROR(CHOOSE(MATCH(INDEX(時間ごとの判定!$AT$3:$AT$1850,560),{"利用可","両方停止","運転がそろわない","判定不能"},0),"○","停","×","－"),"")</f>
        <v>×</v>
      </c>
      <c r="AJ27" s="35" t="str">
        <f aca="false">IFERROR(CHOOSE(MATCH(INDEX(時間ごとの判定!$AT$3:$AT$1850,561),{"利用可","両方停止","運転がそろわない","判定不能"},0),"○","停","×","－"),"")</f>
        <v>×</v>
      </c>
      <c r="AK27" s="35" t="str">
        <f aca="false">IFERROR(CHOOSE(MATCH(INDEX(時間ごとの判定!$AT$3:$AT$1850,562),{"利用可","両方停止","運転がそろわない","判定不能"},0),"○","停","×","－"),"")</f>
        <v>○</v>
      </c>
      <c r="AL27" s="35" t="str">
        <f aca="false">IFERROR(CHOOSE(MATCH(INDEX(時間ごとの判定!$AT$3:$AT$1850,563),{"利用可","両方停止","運転がそろわない","判定不能"},0),"○","停","×","－"),"")</f>
        <v>○</v>
      </c>
      <c r="AM27" s="35" t="str">
        <f aca="false">IFERROR(CHOOSE(MATCH(INDEX(時間ごとの判定!$AT$3:$AT$1850,564),{"利用可","両方停止","運転がそろわない","判定不能"},0),"○","停","×","－"),"")</f>
        <v>○</v>
      </c>
      <c r="AN27" s="35" t="str">
        <f aca="false">IFERROR(CHOOSE(MATCH(INDEX(時間ごとの判定!$AT$3:$AT$1850,565),{"利用可","両方停止","運転がそろわない","判定不能"},0),"○","停","×","－"),"")</f>
        <v>○</v>
      </c>
      <c r="AO27" s="35" t="str">
        <f aca="false">IFERROR(CHOOSE(MATCH(INDEX(時間ごとの判定!$AT$3:$AT$1850,566),{"利用可","両方停止","運転がそろわない","判定不能"},0),"○","停","×","－"),"")</f>
        <v>○</v>
      </c>
      <c r="AP27" s="35" t="str">
        <f aca="false">IFERROR(CHOOSE(MATCH(INDEX(時間ごとの判定!$AT$3:$AT$1850,567),{"利用可","両方停止","運転がそろわない","判定不能"},0),"○","停","×","－"),"")</f>
        <v>○</v>
      </c>
      <c r="AQ27" s="35" t="str">
        <f aca="false">IFERROR(CHOOSE(MATCH(INDEX(時間ごとの判定!$AT$3:$AT$1850,568),{"利用可","両方停止","運転がそろわない","判定不能"},0),"○","停","×","－"),"")</f>
        <v>○</v>
      </c>
      <c r="AR27" s="35" t="str">
        <f aca="false">IFERROR(CHOOSE(MATCH(INDEX(時間ごとの判定!$AT$3:$AT$1850,569),{"利用可","両方停止","運転がそろわない","判定不能"},0),"○","停","×","－"),"")</f>
        <v>○</v>
      </c>
      <c r="AS27" s="35" t="str">
        <f aca="false">IFERROR(CHOOSE(MATCH(INDEX(時間ごとの判定!$AT$3:$AT$1850,570),{"利用可","両方停止","運転がそろわない","判定不能"},0),"○","停","×","－"),"")</f>
        <v>○</v>
      </c>
      <c r="AT27" s="35" t="str">
        <f aca="false">IFERROR(CHOOSE(MATCH(INDEX(時間ごとの判定!$AT$3:$AT$1850,571),{"利用可","両方停止","運転がそろわない","判定不能"},0),"○","停","×","－"),"")</f>
        <v>○</v>
      </c>
      <c r="AU27" s="35" t="str">
        <f aca="false">IFERROR(CHOOSE(MATCH(INDEX(時間ごとの判定!$AT$3:$AT$1850,572),{"利用可","両方停止","運転がそろわない","判定不能"},0),"○","停","×","－"),"")</f>
        <v>×</v>
      </c>
      <c r="AV27" s="35" t="str">
        <f aca="false">IFERROR(CHOOSE(MATCH(INDEX(時間ごとの判定!$AT$3:$AT$1850,573),{"利用可","両方停止","運転がそろわない","判定不能"},0),"○","停","×","－"),"")</f>
        <v>×</v>
      </c>
      <c r="AW27" s="35" t="str">
        <f aca="false">IFERROR(CHOOSE(MATCH(INDEX(時間ごとの判定!$AT$3:$AT$1850,574),{"利用可","両方停止","運転がそろわない","判定不能"},0),"○","停","×","－"),"")</f>
        <v>停</v>
      </c>
      <c r="AX27" s="35" t="str">
        <f aca="false">IFERROR(CHOOSE(MATCH(INDEX(時間ごとの判定!$AT$3:$AT$1850,575),{"利用可","両方停止","運転がそろわない","判定不能"},0),"○","停","×","－"),"")</f>
        <v>停</v>
      </c>
      <c r="AY27" s="35" t="str">
        <f aca="false">IFERROR(CHOOSE(MATCH(INDEX(時間ごとの判定!$AT$3:$AT$1850,576),{"利用可","両方停止","運転がそろわない","判定不能"},0),"○","停","×","－"),"")</f>
        <v>停</v>
      </c>
      <c r="AZ27" s="35"/>
      <c r="BA27" s="35" t="str">
        <f aca="false">IFERROR(CHOOSE(MATCH(INDEX(時間ごとの判定!$AW$3:$AW$1850,553),{"利用可","両方停止","運転がそろわない","判定不能"},0),"○","停","×","－"),"")</f>
        <v>停</v>
      </c>
      <c r="BB27" s="35" t="str">
        <f aca="false">IFERROR(CHOOSE(MATCH(INDEX(時間ごとの判定!$AW$3:$AW$1850,554),{"利用可","両方停止","運転がそろわない","判定不能"},0),"○","停","×","－"),"")</f>
        <v>停</v>
      </c>
      <c r="BC27" s="35" t="str">
        <f aca="false">IFERROR(CHOOSE(MATCH(INDEX(時間ごとの判定!$AW$3:$AW$1850,555),{"利用可","両方停止","運転がそろわない","判定不能"},0),"○","停","×","－"),"")</f>
        <v>停</v>
      </c>
      <c r="BD27" s="35" t="str">
        <f aca="false">IFERROR(CHOOSE(MATCH(INDEX(時間ごとの判定!$AW$3:$AW$1850,556),{"利用可","両方停止","運転がそろわない","判定不能"},0),"○","停","×","－"),"")</f>
        <v>停</v>
      </c>
      <c r="BE27" s="35" t="str">
        <f aca="false">IFERROR(CHOOSE(MATCH(INDEX(時間ごとの判定!$AW$3:$AW$1850,557),{"利用可","両方停止","運転がそろわない","判定不能"},0),"○","停","×","－"),"")</f>
        <v>停</v>
      </c>
      <c r="BF27" s="35" t="str">
        <f aca="false">IFERROR(CHOOSE(MATCH(INDEX(時間ごとの判定!$AW$3:$AW$1850,558),{"利用可","両方停止","運転がそろわない","判定不能"},0),"○","停","×","－"),"")</f>
        <v>停</v>
      </c>
      <c r="BG27" s="35" t="str">
        <f aca="false">IFERROR(CHOOSE(MATCH(INDEX(時間ごとの判定!$AW$3:$AW$1850,559),{"利用可","両方停止","運転がそろわない","判定不能"},0),"○","停","×","－"),"")</f>
        <v>×</v>
      </c>
      <c r="BH27" s="35" t="str">
        <f aca="false">IFERROR(CHOOSE(MATCH(INDEX(時間ごとの判定!$AW$3:$AW$1850,560),{"利用可","両方停止","運転がそろわない","判定不能"},0),"○","停","×","－"),"")</f>
        <v>×</v>
      </c>
      <c r="BI27" s="35" t="str">
        <f aca="false">IFERROR(CHOOSE(MATCH(INDEX(時間ごとの判定!$AW$3:$AW$1850,561),{"利用可","両方停止","運転がそろわない","判定不能"},0),"○","停","×","－"),"")</f>
        <v>×</v>
      </c>
      <c r="BJ27" s="35" t="str">
        <f aca="false">IFERROR(CHOOSE(MATCH(INDEX(時間ごとの判定!$AW$3:$AW$1850,562),{"利用可","両方停止","運転がそろわない","判定不能"},0),"○","停","×","－"),"")</f>
        <v>○</v>
      </c>
      <c r="BK27" s="35" t="str">
        <f aca="false">IFERROR(CHOOSE(MATCH(INDEX(時間ごとの判定!$AW$3:$AW$1850,563),{"利用可","両方停止","運転がそろわない","判定不能"},0),"○","停","×","－"),"")</f>
        <v>○</v>
      </c>
      <c r="BL27" s="35" t="str">
        <f aca="false">IFERROR(CHOOSE(MATCH(INDEX(時間ごとの判定!$AW$3:$AW$1850,564),{"利用可","両方停止","運転がそろわない","判定不能"},0),"○","停","×","－"),"")</f>
        <v>○</v>
      </c>
      <c r="BM27" s="35" t="str">
        <f aca="false">IFERROR(CHOOSE(MATCH(INDEX(時間ごとの判定!$AW$3:$AW$1850,565),{"利用可","両方停止","運転がそろわない","判定不能"},0),"○","停","×","－"),"")</f>
        <v>○</v>
      </c>
      <c r="BN27" s="35" t="str">
        <f aca="false">IFERROR(CHOOSE(MATCH(INDEX(時間ごとの判定!$AW$3:$AW$1850,566),{"利用可","両方停止","運転がそろわない","判定不能"},0),"○","停","×","－"),"")</f>
        <v>○</v>
      </c>
      <c r="BO27" s="35" t="str">
        <f aca="false">IFERROR(CHOOSE(MATCH(INDEX(時間ごとの判定!$AW$3:$AW$1850,567),{"利用可","両方停止","運転がそろわない","判定不能"},0),"○","停","×","－"),"")</f>
        <v>○</v>
      </c>
      <c r="BP27" s="35" t="str">
        <f aca="false">IFERROR(CHOOSE(MATCH(INDEX(時間ごとの判定!$AW$3:$AW$1850,568),{"利用可","両方停止","運転がそろわない","判定不能"},0),"○","停","×","－"),"")</f>
        <v>○</v>
      </c>
      <c r="BQ27" s="35" t="str">
        <f aca="false">IFERROR(CHOOSE(MATCH(INDEX(時間ごとの判定!$AW$3:$AW$1850,569),{"利用可","両方停止","運転がそろわない","判定不能"},0),"○","停","×","－"),"")</f>
        <v>○</v>
      </c>
      <c r="BR27" s="35" t="str">
        <f aca="false">IFERROR(CHOOSE(MATCH(INDEX(時間ごとの判定!$AW$3:$AW$1850,570),{"利用可","両方停止","運転がそろわない","判定不能"},0),"○","停","×","－"),"")</f>
        <v>○</v>
      </c>
      <c r="BS27" s="35" t="str">
        <f aca="false">IFERROR(CHOOSE(MATCH(INDEX(時間ごとの判定!$AW$3:$AW$1850,571),{"利用可","両方停止","運転がそろわない","判定不能"},0),"○","停","×","－"),"")</f>
        <v>○</v>
      </c>
      <c r="BT27" s="35" t="str">
        <f aca="false">IFERROR(CHOOSE(MATCH(INDEX(時間ごとの判定!$AW$3:$AW$1850,572),{"利用可","両方停止","運転がそろわない","判定不能"},0),"○","停","×","－"),"")</f>
        <v>×</v>
      </c>
      <c r="BU27" s="35" t="str">
        <f aca="false">IFERROR(CHOOSE(MATCH(INDEX(時間ごとの判定!$AW$3:$AW$1850,573),{"利用可","両方停止","運転がそろわない","判定不能"},0),"○","停","×","－"),"")</f>
        <v>×</v>
      </c>
      <c r="BV27" s="35" t="str">
        <f aca="false">IFERROR(CHOOSE(MATCH(INDEX(時間ごとの判定!$AW$3:$AW$1850,574),{"利用可","両方停止","運転がそろわない","判定不能"},0),"○","停","×","－"),"")</f>
        <v>停</v>
      </c>
      <c r="BW27" s="35" t="str">
        <f aca="false">IFERROR(CHOOSE(MATCH(INDEX(時間ごとの判定!$AW$3:$AW$1850,575),{"利用可","両方停止","運転がそろわない","判定不能"},0),"○","停","×","－"),"")</f>
        <v>停</v>
      </c>
      <c r="BX27" s="35" t="str">
        <f aca="false">IFERROR(CHOOSE(MATCH(INDEX(時間ごとの判定!$AW$3:$AW$1850,576),{"利用可","両方停止","運転がそろわない","判定不能"},0),"○","停","×","－"),"")</f>
        <v>停</v>
      </c>
    </row>
    <row r="28" customFormat="false" ht="15" hidden="false" customHeight="false" outlineLevel="0" collapsed="false">
      <c r="A28" s="33" t="n">
        <v>46256</v>
      </c>
      <c r="B28" s="36" t="s">
        <v>63</v>
      </c>
      <c r="C28" s="35" t="str">
        <f aca="false">IFERROR(CHOOSE(MATCH(INDEX(時間ごとの判定!$AQ$3:$AQ$1850,577),{"利用可","両方停止","運転がそろわない","判定不能"},0),"○","停","×","－"),"")</f>
        <v>停</v>
      </c>
      <c r="D28" s="35" t="str">
        <f aca="false">IFERROR(CHOOSE(MATCH(INDEX(時間ごとの判定!$AQ$3:$AQ$1850,578),{"利用可","両方停止","運転がそろわない","判定不能"},0),"○","停","×","－"),"")</f>
        <v>停</v>
      </c>
      <c r="E28" s="35" t="str">
        <f aca="false">IFERROR(CHOOSE(MATCH(INDEX(時間ごとの判定!$AQ$3:$AQ$1850,579),{"利用可","両方停止","運転がそろわない","判定不能"},0),"○","停","×","－"),"")</f>
        <v>停</v>
      </c>
      <c r="F28" s="35" t="str">
        <f aca="false">IFERROR(CHOOSE(MATCH(INDEX(時間ごとの判定!$AQ$3:$AQ$1850,580),{"利用可","両方停止","運転がそろわない","判定不能"},0),"○","停","×","－"),"")</f>
        <v>停</v>
      </c>
      <c r="G28" s="35" t="str">
        <f aca="false">IFERROR(CHOOSE(MATCH(INDEX(時間ごとの判定!$AQ$3:$AQ$1850,581),{"利用可","両方停止","運転がそろわない","判定不能"},0),"○","停","×","－"),"")</f>
        <v>停</v>
      </c>
      <c r="H28" s="35" t="str">
        <f aca="false">IFERROR(CHOOSE(MATCH(INDEX(時間ごとの判定!$AQ$3:$AQ$1850,582),{"利用可","両方停止","運転がそろわない","判定不能"},0),"○","停","×","－"),"")</f>
        <v>停</v>
      </c>
      <c r="I28" s="35" t="str">
        <f aca="false">IFERROR(CHOOSE(MATCH(INDEX(時間ごとの判定!$AQ$3:$AQ$1850,583),{"利用可","両方停止","運転がそろわない","判定不能"},0),"○","停","×","－"),"")</f>
        <v>停</v>
      </c>
      <c r="J28" s="35" t="str">
        <f aca="false">IFERROR(CHOOSE(MATCH(INDEX(時間ごとの判定!$AQ$3:$AQ$1850,584),{"利用可","両方停止","運転がそろわない","判定不能"},0),"○","停","×","－"),"")</f>
        <v>停</v>
      </c>
      <c r="K28" s="35" t="str">
        <f aca="false">IFERROR(CHOOSE(MATCH(INDEX(時間ごとの判定!$AQ$3:$AQ$1850,585),{"利用可","両方停止","運転がそろわない","判定不能"},0),"○","停","×","－"),"")</f>
        <v>○</v>
      </c>
      <c r="L28" s="35" t="str">
        <f aca="false">IFERROR(CHOOSE(MATCH(INDEX(時間ごとの判定!$AQ$3:$AQ$1850,586),{"利用可","両方停止","運転がそろわない","判定不能"},0),"○","停","×","－"),"")</f>
        <v>○</v>
      </c>
      <c r="M28" s="35" t="str">
        <f aca="false">IFERROR(CHOOSE(MATCH(INDEX(時間ごとの判定!$AQ$3:$AQ$1850,587),{"利用可","両方停止","運転がそろわない","判定不能"},0),"○","停","×","－"),"")</f>
        <v>○</v>
      </c>
      <c r="N28" s="35" t="str">
        <f aca="false">IFERROR(CHOOSE(MATCH(INDEX(時間ごとの判定!$AQ$3:$AQ$1850,588),{"利用可","両方停止","運転がそろわない","判定不能"},0),"○","停","×","－"),"")</f>
        <v>○</v>
      </c>
      <c r="O28" s="35" t="str">
        <f aca="false">IFERROR(CHOOSE(MATCH(INDEX(時間ごとの判定!$AQ$3:$AQ$1850,589),{"利用可","両方停止","運転がそろわない","判定不能"},0),"○","停","×","－"),"")</f>
        <v>○</v>
      </c>
      <c r="P28" s="35" t="str">
        <f aca="false">IFERROR(CHOOSE(MATCH(INDEX(時間ごとの判定!$AQ$3:$AQ$1850,590),{"利用可","両方停止","運転がそろわない","判定不能"},0),"○","停","×","－"),"")</f>
        <v>○</v>
      </c>
      <c r="Q28" s="35" t="str">
        <f aca="false">IFERROR(CHOOSE(MATCH(INDEX(時間ごとの判定!$AQ$3:$AQ$1850,591),{"利用可","両方停止","運転がそろわない","判定不能"},0),"○","停","×","－"),"")</f>
        <v>○</v>
      </c>
      <c r="R28" s="35" t="str">
        <f aca="false">IFERROR(CHOOSE(MATCH(INDEX(時間ごとの判定!$AQ$3:$AQ$1850,592),{"利用可","両方停止","運転がそろわない","判定不能"},0),"○","停","×","－"),"")</f>
        <v>○</v>
      </c>
      <c r="S28" s="35" t="str">
        <f aca="false">IFERROR(CHOOSE(MATCH(INDEX(時間ごとの判定!$AQ$3:$AQ$1850,593),{"利用可","両方停止","運転がそろわない","判定不能"},0),"○","停","×","－"),"")</f>
        <v>○</v>
      </c>
      <c r="T28" s="35" t="str">
        <f aca="false">IFERROR(CHOOSE(MATCH(INDEX(時間ごとの判定!$AQ$3:$AQ$1850,594),{"利用可","両方停止","運転がそろわない","判定不能"},0),"○","停","×","－"),"")</f>
        <v>×</v>
      </c>
      <c r="U28" s="35" t="str">
        <f aca="false">IFERROR(CHOOSE(MATCH(INDEX(時間ごとの判定!$AQ$3:$AQ$1850,595),{"利用可","両方停止","運転がそろわない","判定不能"},0),"○","停","×","－"),"")</f>
        <v>×</v>
      </c>
      <c r="V28" s="35" t="str">
        <f aca="false">IFERROR(CHOOSE(MATCH(INDEX(時間ごとの判定!$AQ$3:$AQ$1850,596),{"利用可","両方停止","運転がそろわない","判定不能"},0),"○","停","×","－"),"")</f>
        <v>×</v>
      </c>
      <c r="W28" s="35" t="str">
        <f aca="false">IFERROR(CHOOSE(MATCH(INDEX(時間ごとの判定!$AQ$3:$AQ$1850,597),{"利用可","両方停止","運転がそろわない","判定不能"},0),"○","停","×","－"),"")</f>
        <v>×</v>
      </c>
      <c r="X28" s="35" t="str">
        <f aca="false">IFERROR(CHOOSE(MATCH(INDEX(時間ごとの判定!$AQ$3:$AQ$1850,598),{"利用可","両方停止","運転がそろわない","判定不能"},0),"○","停","×","－"),"")</f>
        <v>停</v>
      </c>
      <c r="Y28" s="35" t="str">
        <f aca="false">IFERROR(CHOOSE(MATCH(INDEX(時間ごとの判定!$AQ$3:$AQ$1850,599),{"利用可","両方停止","運転がそろわない","判定不能"},0),"○","停","×","－"),"")</f>
        <v>停</v>
      </c>
      <c r="Z28" s="35" t="str">
        <f aca="false">IFERROR(CHOOSE(MATCH(INDEX(時間ごとの判定!$AQ$3:$AQ$1850,600),{"利用可","両方停止","運転がそろわない","判定不能"},0),"○","停","×","－"),"")</f>
        <v>停</v>
      </c>
      <c r="AA28" s="35"/>
      <c r="AB28" s="35" t="str">
        <f aca="false">IFERROR(CHOOSE(MATCH(INDEX(時間ごとの判定!$AT$3:$AT$1850,577),{"利用可","両方停止","運転がそろわない","判定不能"},0),"○","停","×","－"),"")</f>
        <v>停</v>
      </c>
      <c r="AC28" s="35" t="str">
        <f aca="false">IFERROR(CHOOSE(MATCH(INDEX(時間ごとの判定!$AT$3:$AT$1850,578),{"利用可","両方停止","運転がそろわない","判定不能"},0),"○","停","×","－"),"")</f>
        <v>停</v>
      </c>
      <c r="AD28" s="35" t="str">
        <f aca="false">IFERROR(CHOOSE(MATCH(INDEX(時間ごとの判定!$AT$3:$AT$1850,579),{"利用可","両方停止","運転がそろわない","判定不能"},0),"○","停","×","－"),"")</f>
        <v>停</v>
      </c>
      <c r="AE28" s="35" t="str">
        <f aca="false">IFERROR(CHOOSE(MATCH(INDEX(時間ごとの判定!$AT$3:$AT$1850,580),{"利用可","両方停止","運転がそろわない","判定不能"},0),"○","停","×","－"),"")</f>
        <v>停</v>
      </c>
      <c r="AF28" s="35" t="str">
        <f aca="false">IFERROR(CHOOSE(MATCH(INDEX(時間ごとの判定!$AT$3:$AT$1850,581),{"利用可","両方停止","運転がそろわない","判定不能"},0),"○","停","×","－"),"")</f>
        <v>停</v>
      </c>
      <c r="AG28" s="35" t="str">
        <f aca="false">IFERROR(CHOOSE(MATCH(INDEX(時間ごとの判定!$AT$3:$AT$1850,582),{"利用可","両方停止","運転がそろわない","判定不能"},0),"○","停","×","－"),"")</f>
        <v>停</v>
      </c>
      <c r="AH28" s="35" t="str">
        <f aca="false">IFERROR(CHOOSE(MATCH(INDEX(時間ごとの判定!$AT$3:$AT$1850,583),{"利用可","両方停止","運転がそろわない","判定不能"},0),"○","停","×","－"),"")</f>
        <v>停</v>
      </c>
      <c r="AI28" s="35" t="str">
        <f aca="false">IFERROR(CHOOSE(MATCH(INDEX(時間ごとの判定!$AT$3:$AT$1850,584),{"利用可","両方停止","運転がそろわない","判定不能"},0),"○","停","×","－"),"")</f>
        <v>×</v>
      </c>
      <c r="AJ28" s="35" t="str">
        <f aca="false">IFERROR(CHOOSE(MATCH(INDEX(時間ごとの判定!$AT$3:$AT$1850,585),{"利用可","両方停止","運転がそろわない","判定不能"},0),"○","停","×","－"),"")</f>
        <v>×</v>
      </c>
      <c r="AK28" s="35" t="str">
        <f aca="false">IFERROR(CHOOSE(MATCH(INDEX(時間ごとの判定!$AT$3:$AT$1850,586),{"利用可","両方停止","運転がそろわない","判定不能"},0),"○","停","×","－"),"")</f>
        <v>○</v>
      </c>
      <c r="AL28" s="35" t="str">
        <f aca="false">IFERROR(CHOOSE(MATCH(INDEX(時間ごとの判定!$AT$3:$AT$1850,587),{"利用可","両方停止","運転がそろわない","判定不能"},0),"○","停","×","－"),"")</f>
        <v>○</v>
      </c>
      <c r="AM28" s="35" t="str">
        <f aca="false">IFERROR(CHOOSE(MATCH(INDEX(時間ごとの判定!$AT$3:$AT$1850,588),{"利用可","両方停止","運転がそろわない","判定不能"},0),"○","停","×","－"),"")</f>
        <v>○</v>
      </c>
      <c r="AN28" s="35" t="str">
        <f aca="false">IFERROR(CHOOSE(MATCH(INDEX(時間ごとの判定!$AT$3:$AT$1850,589),{"利用可","両方停止","運転がそろわない","判定不能"},0),"○","停","×","－"),"")</f>
        <v>×</v>
      </c>
      <c r="AO28" s="35" t="str">
        <f aca="false">IFERROR(CHOOSE(MATCH(INDEX(時間ごとの判定!$AT$3:$AT$1850,590),{"利用可","両方停止","運転がそろわない","判定不能"},0),"○","停","×","－"),"")</f>
        <v>○</v>
      </c>
      <c r="AP28" s="35" t="str">
        <f aca="false">IFERROR(CHOOSE(MATCH(INDEX(時間ごとの判定!$AT$3:$AT$1850,591),{"利用可","両方停止","運転がそろわない","判定不能"},0),"○","停","×","－"),"")</f>
        <v>○</v>
      </c>
      <c r="AQ28" s="35" t="str">
        <f aca="false">IFERROR(CHOOSE(MATCH(INDEX(時間ごとの判定!$AT$3:$AT$1850,592),{"利用可","両方停止","運転がそろわない","判定不能"},0),"○","停","×","－"),"")</f>
        <v>○</v>
      </c>
      <c r="AR28" s="35" t="str">
        <f aca="false">IFERROR(CHOOSE(MATCH(INDEX(時間ごとの判定!$AT$3:$AT$1850,593),{"利用可","両方停止","運転がそろわない","判定不能"},0),"○","停","×","－"),"")</f>
        <v>×</v>
      </c>
      <c r="AS28" s="35" t="str">
        <f aca="false">IFERROR(CHOOSE(MATCH(INDEX(時間ごとの判定!$AT$3:$AT$1850,594),{"利用可","両方停止","運転がそろわない","判定不能"},0),"○","停","×","－"),"")</f>
        <v>×</v>
      </c>
      <c r="AT28" s="35" t="str">
        <f aca="false">IFERROR(CHOOSE(MATCH(INDEX(時間ごとの判定!$AT$3:$AT$1850,595),{"利用可","両方停止","運転がそろわない","判定不能"},0),"○","停","×","－"),"")</f>
        <v>×</v>
      </c>
      <c r="AU28" s="35" t="str">
        <f aca="false">IFERROR(CHOOSE(MATCH(INDEX(時間ごとの判定!$AT$3:$AT$1850,596),{"利用可","両方停止","運転がそろわない","判定不能"},0),"○","停","×","－"),"")</f>
        <v>×</v>
      </c>
      <c r="AV28" s="35" t="str">
        <f aca="false">IFERROR(CHOOSE(MATCH(INDEX(時間ごとの判定!$AT$3:$AT$1850,597),{"利用可","両方停止","運転がそろわない","判定不能"},0),"○","停","×","－"),"")</f>
        <v>×</v>
      </c>
      <c r="AW28" s="35" t="str">
        <f aca="false">IFERROR(CHOOSE(MATCH(INDEX(時間ごとの判定!$AT$3:$AT$1850,598),{"利用可","両方停止","運転がそろわない","判定不能"},0),"○","停","×","－"),"")</f>
        <v>停</v>
      </c>
      <c r="AX28" s="35" t="str">
        <f aca="false">IFERROR(CHOOSE(MATCH(INDEX(時間ごとの判定!$AT$3:$AT$1850,599),{"利用可","両方停止","運転がそろわない","判定不能"},0),"○","停","×","－"),"")</f>
        <v>停</v>
      </c>
      <c r="AY28" s="35" t="str">
        <f aca="false">IFERROR(CHOOSE(MATCH(INDEX(時間ごとの判定!$AT$3:$AT$1850,600),{"利用可","両方停止","運転がそろわない","判定不能"},0),"○","停","×","－"),"")</f>
        <v>停</v>
      </c>
      <c r="AZ28" s="35"/>
      <c r="BA28" s="35" t="str">
        <f aca="false">IFERROR(CHOOSE(MATCH(INDEX(時間ごとの判定!$AW$3:$AW$1850,577),{"利用可","両方停止","運転がそろわない","判定不能"},0),"○","停","×","－"),"")</f>
        <v>停</v>
      </c>
      <c r="BB28" s="35" t="str">
        <f aca="false">IFERROR(CHOOSE(MATCH(INDEX(時間ごとの判定!$AW$3:$AW$1850,578),{"利用可","両方停止","運転がそろわない","判定不能"},0),"○","停","×","－"),"")</f>
        <v>停</v>
      </c>
      <c r="BC28" s="35" t="str">
        <f aca="false">IFERROR(CHOOSE(MATCH(INDEX(時間ごとの判定!$AW$3:$AW$1850,579),{"利用可","両方停止","運転がそろわない","判定不能"},0),"○","停","×","－"),"")</f>
        <v>停</v>
      </c>
      <c r="BD28" s="35" t="str">
        <f aca="false">IFERROR(CHOOSE(MATCH(INDEX(時間ごとの判定!$AW$3:$AW$1850,580),{"利用可","両方停止","運転がそろわない","判定不能"},0),"○","停","×","－"),"")</f>
        <v>停</v>
      </c>
      <c r="BE28" s="35" t="str">
        <f aca="false">IFERROR(CHOOSE(MATCH(INDEX(時間ごとの判定!$AW$3:$AW$1850,581),{"利用可","両方停止","運転がそろわない","判定不能"},0),"○","停","×","－"),"")</f>
        <v>停</v>
      </c>
      <c r="BF28" s="35" t="str">
        <f aca="false">IFERROR(CHOOSE(MATCH(INDEX(時間ごとの判定!$AW$3:$AW$1850,582),{"利用可","両方停止","運転がそろわない","判定不能"},0),"○","停","×","－"),"")</f>
        <v>停</v>
      </c>
      <c r="BG28" s="35" t="str">
        <f aca="false">IFERROR(CHOOSE(MATCH(INDEX(時間ごとの判定!$AW$3:$AW$1850,583),{"利用可","両方停止","運転がそろわない","判定不能"},0),"○","停","×","－"),"")</f>
        <v>停</v>
      </c>
      <c r="BH28" s="35" t="str">
        <f aca="false">IFERROR(CHOOSE(MATCH(INDEX(時間ごとの判定!$AW$3:$AW$1850,584),{"利用可","両方停止","運転がそろわない","判定不能"},0),"○","停","×","－"),"")</f>
        <v>×</v>
      </c>
      <c r="BI28" s="35" t="str">
        <f aca="false">IFERROR(CHOOSE(MATCH(INDEX(時間ごとの判定!$AW$3:$AW$1850,585),{"利用可","両方停止","運転がそろわない","判定不能"},0),"○","停","×","－"),"")</f>
        <v>×</v>
      </c>
      <c r="BJ28" s="35" t="str">
        <f aca="false">IFERROR(CHOOSE(MATCH(INDEX(時間ごとの判定!$AW$3:$AW$1850,586),{"利用可","両方停止","運転がそろわない","判定不能"},0),"○","停","×","－"),"")</f>
        <v>○</v>
      </c>
      <c r="BK28" s="35" t="str">
        <f aca="false">IFERROR(CHOOSE(MATCH(INDEX(時間ごとの判定!$AW$3:$AW$1850,587),{"利用可","両方停止","運転がそろわない","判定不能"},0),"○","停","×","－"),"")</f>
        <v>○</v>
      </c>
      <c r="BL28" s="35" t="str">
        <f aca="false">IFERROR(CHOOSE(MATCH(INDEX(時間ごとの判定!$AW$3:$AW$1850,588),{"利用可","両方停止","運転がそろわない","判定不能"},0),"○","停","×","－"),"")</f>
        <v>○</v>
      </c>
      <c r="BM28" s="35" t="str">
        <f aca="false">IFERROR(CHOOSE(MATCH(INDEX(時間ごとの判定!$AW$3:$AW$1850,589),{"利用可","両方停止","運転がそろわない","判定不能"},0),"○","停","×","－"),"")</f>
        <v>○</v>
      </c>
      <c r="BN28" s="35" t="str">
        <f aca="false">IFERROR(CHOOSE(MATCH(INDEX(時間ごとの判定!$AW$3:$AW$1850,590),{"利用可","両方停止","運転がそろわない","判定不能"},0),"○","停","×","－"),"")</f>
        <v>○</v>
      </c>
      <c r="BO28" s="35" t="str">
        <f aca="false">IFERROR(CHOOSE(MATCH(INDEX(時間ごとの判定!$AW$3:$AW$1850,591),{"利用可","両方停止","運転がそろわない","判定不能"},0),"○","停","×","－"),"")</f>
        <v>○</v>
      </c>
      <c r="BP28" s="35" t="str">
        <f aca="false">IFERROR(CHOOSE(MATCH(INDEX(時間ごとの判定!$AW$3:$AW$1850,592),{"利用可","両方停止","運転がそろわない","判定不能"},0),"○","停","×","－"),"")</f>
        <v>○</v>
      </c>
      <c r="BQ28" s="35" t="str">
        <f aca="false">IFERROR(CHOOSE(MATCH(INDEX(時間ごとの判定!$AW$3:$AW$1850,593),{"利用可","両方停止","運転がそろわない","判定不能"},0),"○","停","×","－"),"")</f>
        <v>○</v>
      </c>
      <c r="BR28" s="35" t="str">
        <f aca="false">IFERROR(CHOOSE(MATCH(INDEX(時間ごとの判定!$AW$3:$AW$1850,594),{"利用可","両方停止","運転がそろわない","判定不能"},0),"○","停","×","－"),"")</f>
        <v>○</v>
      </c>
      <c r="BS28" s="35" t="str">
        <f aca="false">IFERROR(CHOOSE(MATCH(INDEX(時間ごとの判定!$AW$3:$AW$1850,595),{"利用可","両方停止","運転がそろわない","判定不能"},0),"○","停","×","－"),"")</f>
        <v>×</v>
      </c>
      <c r="BT28" s="35" t="str">
        <f aca="false">IFERROR(CHOOSE(MATCH(INDEX(時間ごとの判定!$AW$3:$AW$1850,596),{"利用可","両方停止","運転がそろわない","判定不能"},0),"○","停","×","－"),"")</f>
        <v>×</v>
      </c>
      <c r="BU28" s="35" t="str">
        <f aca="false">IFERROR(CHOOSE(MATCH(INDEX(時間ごとの判定!$AW$3:$AW$1850,597),{"利用可","両方停止","運転がそろわない","判定不能"},0),"○","停","×","－"),"")</f>
        <v>×</v>
      </c>
      <c r="BV28" s="35" t="str">
        <f aca="false">IFERROR(CHOOSE(MATCH(INDEX(時間ごとの判定!$AW$3:$AW$1850,598),{"利用可","両方停止","運転がそろわない","判定不能"},0),"○","停","×","－"),"")</f>
        <v>×</v>
      </c>
      <c r="BW28" s="35" t="str">
        <f aca="false">IFERROR(CHOOSE(MATCH(INDEX(時間ごとの判定!$AW$3:$AW$1850,599),{"利用可","両方停止","運転がそろわない","判定不能"},0),"○","停","×","－"),"")</f>
        <v>停</v>
      </c>
      <c r="BX28" s="35" t="str">
        <f aca="false">IFERROR(CHOOSE(MATCH(INDEX(時間ごとの判定!$AW$3:$AW$1850,600),{"利用可","両方停止","運転がそろわない","判定不能"},0),"○","停","×","－"),"")</f>
        <v>停</v>
      </c>
    </row>
    <row r="29" customFormat="false" ht="15" hidden="false" customHeight="false" outlineLevel="0" collapsed="false">
      <c r="A29" s="33" t="n">
        <v>46257</v>
      </c>
      <c r="B29" s="36" t="s">
        <v>65</v>
      </c>
      <c r="C29" s="35" t="str">
        <f aca="false">IFERROR(CHOOSE(MATCH(INDEX(時間ごとの判定!$AQ$3:$AQ$1850,601),{"利用可","両方停止","運転がそろわない","判定不能"},0),"○","停","×","－"),"")</f>
        <v>停</v>
      </c>
      <c r="D29" s="35" t="str">
        <f aca="false">IFERROR(CHOOSE(MATCH(INDEX(時間ごとの判定!$AQ$3:$AQ$1850,602),{"利用可","両方停止","運転がそろわない","判定不能"},0),"○","停","×","－"),"")</f>
        <v>停</v>
      </c>
      <c r="E29" s="35" t="str">
        <f aca="false">IFERROR(CHOOSE(MATCH(INDEX(時間ごとの判定!$AQ$3:$AQ$1850,603),{"利用可","両方停止","運転がそろわない","判定不能"},0),"○","停","×","－"),"")</f>
        <v>停</v>
      </c>
      <c r="F29" s="35" t="str">
        <f aca="false">IFERROR(CHOOSE(MATCH(INDEX(時間ごとの判定!$AQ$3:$AQ$1850,604),{"利用可","両方停止","運転がそろわない","判定不能"},0),"○","停","×","－"),"")</f>
        <v>停</v>
      </c>
      <c r="G29" s="35" t="str">
        <f aca="false">IFERROR(CHOOSE(MATCH(INDEX(時間ごとの判定!$AQ$3:$AQ$1850,605),{"利用可","両方停止","運転がそろわない","判定不能"},0),"○","停","×","－"),"")</f>
        <v>停</v>
      </c>
      <c r="H29" s="35" t="str">
        <f aca="false">IFERROR(CHOOSE(MATCH(INDEX(時間ごとの判定!$AQ$3:$AQ$1850,606),{"利用可","両方停止","運転がそろわない","判定不能"},0),"○","停","×","－"),"")</f>
        <v>停</v>
      </c>
      <c r="I29" s="35" t="str">
        <f aca="false">IFERROR(CHOOSE(MATCH(INDEX(時間ごとの判定!$AQ$3:$AQ$1850,607),{"利用可","両方停止","運転がそろわない","判定不能"},0),"○","停","×","－"),"")</f>
        <v>停</v>
      </c>
      <c r="J29" s="35" t="str">
        <f aca="false">IFERROR(CHOOSE(MATCH(INDEX(時間ごとの判定!$AQ$3:$AQ$1850,608),{"利用可","両方停止","運転がそろわない","判定不能"},0),"○","停","×","－"),"")</f>
        <v>停</v>
      </c>
      <c r="K29" s="35" t="str">
        <f aca="false">IFERROR(CHOOSE(MATCH(INDEX(時間ごとの判定!$AQ$3:$AQ$1850,609),{"利用可","両方停止","運転がそろわない","判定不能"},0),"○","停","×","－"),"")</f>
        <v>○</v>
      </c>
      <c r="L29" s="35" t="str">
        <f aca="false">IFERROR(CHOOSE(MATCH(INDEX(時間ごとの判定!$AQ$3:$AQ$1850,610),{"利用可","両方停止","運転がそろわない","判定不能"},0),"○","停","×","－"),"")</f>
        <v>○</v>
      </c>
      <c r="M29" s="35" t="str">
        <f aca="false">IFERROR(CHOOSE(MATCH(INDEX(時間ごとの判定!$AQ$3:$AQ$1850,611),{"利用可","両方停止","運転がそろわない","判定不能"},0),"○","停","×","－"),"")</f>
        <v>○</v>
      </c>
      <c r="N29" s="35" t="str">
        <f aca="false">IFERROR(CHOOSE(MATCH(INDEX(時間ごとの判定!$AQ$3:$AQ$1850,612),{"利用可","両方停止","運転がそろわない","判定不能"},0),"○","停","×","－"),"")</f>
        <v>○</v>
      </c>
      <c r="O29" s="35" t="str">
        <f aca="false">IFERROR(CHOOSE(MATCH(INDEX(時間ごとの判定!$AQ$3:$AQ$1850,613),{"利用可","両方停止","運転がそろわない","判定不能"},0),"○","停","×","－"),"")</f>
        <v>○</v>
      </c>
      <c r="P29" s="35" t="str">
        <f aca="false">IFERROR(CHOOSE(MATCH(INDEX(時間ごとの判定!$AQ$3:$AQ$1850,614),{"利用可","両方停止","運転がそろわない","判定不能"},0),"○","停","×","－"),"")</f>
        <v>○</v>
      </c>
      <c r="Q29" s="35" t="str">
        <f aca="false">IFERROR(CHOOSE(MATCH(INDEX(時間ごとの判定!$AQ$3:$AQ$1850,615),{"利用可","両方停止","運転がそろわない","判定不能"},0),"○","停","×","－"),"")</f>
        <v>×</v>
      </c>
      <c r="R29" s="35" t="str">
        <f aca="false">IFERROR(CHOOSE(MATCH(INDEX(時間ごとの判定!$AQ$3:$AQ$1850,616),{"利用可","両方停止","運転がそろわない","判定不能"},0),"○","停","×","－"),"")</f>
        <v>×</v>
      </c>
      <c r="S29" s="35" t="str">
        <f aca="false">IFERROR(CHOOSE(MATCH(INDEX(時間ごとの判定!$AQ$3:$AQ$1850,617),{"利用可","両方停止","運転がそろわない","判定不能"},0),"○","停","×","－"),"")</f>
        <v>○</v>
      </c>
      <c r="T29" s="35" t="str">
        <f aca="false">IFERROR(CHOOSE(MATCH(INDEX(時間ごとの判定!$AQ$3:$AQ$1850,618),{"利用可","両方停止","運転がそろわない","判定不能"},0),"○","停","×","－"),"")</f>
        <v>○</v>
      </c>
      <c r="U29" s="35" t="str">
        <f aca="false">IFERROR(CHOOSE(MATCH(INDEX(時間ごとの判定!$AQ$3:$AQ$1850,619),{"利用可","両方停止","運転がそろわない","判定不能"},0),"○","停","×","－"),"")</f>
        <v>×</v>
      </c>
      <c r="V29" s="35" t="str">
        <f aca="false">IFERROR(CHOOSE(MATCH(INDEX(時間ごとの判定!$AQ$3:$AQ$1850,620),{"利用可","両方停止","運転がそろわない","判定不能"},0),"○","停","×","－"),"")</f>
        <v>×</v>
      </c>
      <c r="W29" s="35" t="str">
        <f aca="false">IFERROR(CHOOSE(MATCH(INDEX(時間ごとの判定!$AQ$3:$AQ$1850,621),{"利用可","両方停止","運転がそろわない","判定不能"},0),"○","停","×","－"),"")</f>
        <v>×</v>
      </c>
      <c r="X29" s="35" t="str">
        <f aca="false">IFERROR(CHOOSE(MATCH(INDEX(時間ごとの判定!$AQ$3:$AQ$1850,622),{"利用可","両方停止","運転がそろわない","判定不能"},0),"○","停","×","－"),"")</f>
        <v>停</v>
      </c>
      <c r="Y29" s="35" t="str">
        <f aca="false">IFERROR(CHOOSE(MATCH(INDEX(時間ごとの判定!$AQ$3:$AQ$1850,623),{"利用可","両方停止","運転がそろわない","判定不能"},0),"○","停","×","－"),"")</f>
        <v>停</v>
      </c>
      <c r="Z29" s="35" t="str">
        <f aca="false">IFERROR(CHOOSE(MATCH(INDEX(時間ごとの判定!$AQ$3:$AQ$1850,624),{"利用可","両方停止","運転がそろわない","判定不能"},0),"○","停","×","－"),"")</f>
        <v>停</v>
      </c>
      <c r="AA29" s="35"/>
      <c r="AB29" s="35" t="str">
        <f aca="false">IFERROR(CHOOSE(MATCH(INDEX(時間ごとの判定!$AT$3:$AT$1850,601),{"利用可","両方停止","運転がそろわない","判定不能"},0),"○","停","×","－"),"")</f>
        <v>停</v>
      </c>
      <c r="AC29" s="35" t="str">
        <f aca="false">IFERROR(CHOOSE(MATCH(INDEX(時間ごとの判定!$AT$3:$AT$1850,602),{"利用可","両方停止","運転がそろわない","判定不能"},0),"○","停","×","－"),"")</f>
        <v>停</v>
      </c>
      <c r="AD29" s="35" t="str">
        <f aca="false">IFERROR(CHOOSE(MATCH(INDEX(時間ごとの判定!$AT$3:$AT$1850,603),{"利用可","両方停止","運転がそろわない","判定不能"},0),"○","停","×","－"),"")</f>
        <v>停</v>
      </c>
      <c r="AE29" s="35" t="str">
        <f aca="false">IFERROR(CHOOSE(MATCH(INDEX(時間ごとの判定!$AT$3:$AT$1850,604),{"利用可","両方停止","運転がそろわない","判定不能"},0),"○","停","×","－"),"")</f>
        <v>停</v>
      </c>
      <c r="AF29" s="35" t="str">
        <f aca="false">IFERROR(CHOOSE(MATCH(INDEX(時間ごとの判定!$AT$3:$AT$1850,605),{"利用可","両方停止","運転がそろわない","判定不能"},0),"○","停","×","－"),"")</f>
        <v>停</v>
      </c>
      <c r="AG29" s="35" t="str">
        <f aca="false">IFERROR(CHOOSE(MATCH(INDEX(時間ごとの判定!$AT$3:$AT$1850,606),{"利用可","両方停止","運転がそろわない","判定不能"},0),"○","停","×","－"),"")</f>
        <v>停</v>
      </c>
      <c r="AH29" s="35" t="str">
        <f aca="false">IFERROR(CHOOSE(MATCH(INDEX(時間ごとの判定!$AT$3:$AT$1850,607),{"利用可","両方停止","運転がそろわない","判定不能"},0),"○","停","×","－"),"")</f>
        <v>停</v>
      </c>
      <c r="AI29" s="35" t="str">
        <f aca="false">IFERROR(CHOOSE(MATCH(INDEX(時間ごとの判定!$AT$3:$AT$1850,608),{"利用可","両方停止","運転がそろわない","判定不能"},0),"○","停","×","－"),"")</f>
        <v>停</v>
      </c>
      <c r="AJ29" s="35" t="str">
        <f aca="false">IFERROR(CHOOSE(MATCH(INDEX(時間ごとの判定!$AT$3:$AT$1850,609),{"利用可","両方停止","運転がそろわない","判定不能"},0),"○","停","×","－"),"")</f>
        <v>○</v>
      </c>
      <c r="AK29" s="35" t="str">
        <f aca="false">IFERROR(CHOOSE(MATCH(INDEX(時間ごとの判定!$AT$3:$AT$1850,610),{"利用可","両方停止","運転がそろわない","判定不能"},0),"○","停","×","－"),"")</f>
        <v>×</v>
      </c>
      <c r="AL29" s="35" t="str">
        <f aca="false">IFERROR(CHOOSE(MATCH(INDEX(時間ごとの判定!$AT$3:$AT$1850,611),{"利用可","両方停止","運転がそろわない","判定不能"},0),"○","停","×","－"),"")</f>
        <v>×</v>
      </c>
      <c r="AM29" s="35" t="str">
        <f aca="false">IFERROR(CHOOSE(MATCH(INDEX(時間ごとの判定!$AT$3:$AT$1850,612),{"利用可","両方停止","運転がそろわない","判定不能"},0),"○","停","×","－"),"")</f>
        <v>○</v>
      </c>
      <c r="AN29" s="35" t="str">
        <f aca="false">IFERROR(CHOOSE(MATCH(INDEX(時間ごとの判定!$AT$3:$AT$1850,613),{"利用可","両方停止","運転がそろわない","判定不能"},0),"○","停","×","－"),"")</f>
        <v>○</v>
      </c>
      <c r="AO29" s="35" t="str">
        <f aca="false">IFERROR(CHOOSE(MATCH(INDEX(時間ごとの判定!$AT$3:$AT$1850,614),{"利用可","両方停止","運転がそろわない","判定不能"},0),"○","停","×","－"),"")</f>
        <v>○</v>
      </c>
      <c r="AP29" s="35" t="str">
        <f aca="false">IFERROR(CHOOSE(MATCH(INDEX(時間ごとの判定!$AT$3:$AT$1850,615),{"利用可","両方停止","運転がそろわない","判定不能"},0),"○","停","×","－"),"")</f>
        <v>○</v>
      </c>
      <c r="AQ29" s="35" t="str">
        <f aca="false">IFERROR(CHOOSE(MATCH(INDEX(時間ごとの判定!$AT$3:$AT$1850,616),{"利用可","両方停止","運転がそろわない","判定不能"},0),"○","停","×","－"),"")</f>
        <v>○</v>
      </c>
      <c r="AR29" s="35" t="str">
        <f aca="false">IFERROR(CHOOSE(MATCH(INDEX(時間ごとの判定!$AT$3:$AT$1850,617),{"利用可","両方停止","運転がそろわない","判定不能"},0),"○","停","×","－"),"")</f>
        <v>×</v>
      </c>
      <c r="AS29" s="35" t="str">
        <f aca="false">IFERROR(CHOOSE(MATCH(INDEX(時間ごとの判定!$AT$3:$AT$1850,618),{"利用可","両方停止","運転がそろわない","判定不能"},0),"○","停","×","－"),"")</f>
        <v>×</v>
      </c>
      <c r="AT29" s="35" t="str">
        <f aca="false">IFERROR(CHOOSE(MATCH(INDEX(時間ごとの判定!$AT$3:$AT$1850,619),{"利用可","両方停止","運転がそろわない","判定不能"},0),"○","停","×","－"),"")</f>
        <v>×</v>
      </c>
      <c r="AU29" s="35" t="str">
        <f aca="false">IFERROR(CHOOSE(MATCH(INDEX(時間ごとの判定!$AT$3:$AT$1850,620),{"利用可","両方停止","運転がそろわない","判定不能"},0),"○","停","×","－"),"")</f>
        <v>×</v>
      </c>
      <c r="AV29" s="35" t="str">
        <f aca="false">IFERROR(CHOOSE(MATCH(INDEX(時間ごとの判定!$AT$3:$AT$1850,621),{"利用可","両方停止","運転がそろわない","判定不能"},0),"○","停","×","－"),"")</f>
        <v>×</v>
      </c>
      <c r="AW29" s="35" t="str">
        <f aca="false">IFERROR(CHOOSE(MATCH(INDEX(時間ごとの判定!$AT$3:$AT$1850,622),{"利用可","両方停止","運転がそろわない","判定不能"},0),"○","停","×","－"),"")</f>
        <v>停</v>
      </c>
      <c r="AX29" s="35" t="str">
        <f aca="false">IFERROR(CHOOSE(MATCH(INDEX(時間ごとの判定!$AT$3:$AT$1850,623),{"利用可","両方停止","運転がそろわない","判定不能"},0),"○","停","×","－"),"")</f>
        <v>停</v>
      </c>
      <c r="AY29" s="35" t="str">
        <f aca="false">IFERROR(CHOOSE(MATCH(INDEX(時間ごとの判定!$AT$3:$AT$1850,624),{"利用可","両方停止","運転がそろわない","判定不能"},0),"○","停","×","－"),"")</f>
        <v>停</v>
      </c>
      <c r="AZ29" s="35"/>
      <c r="BA29" s="35" t="str">
        <f aca="false">IFERROR(CHOOSE(MATCH(INDEX(時間ごとの判定!$AW$3:$AW$1850,601),{"利用可","両方停止","運転がそろわない","判定不能"},0),"○","停","×","－"),"")</f>
        <v>停</v>
      </c>
      <c r="BB29" s="35" t="str">
        <f aca="false">IFERROR(CHOOSE(MATCH(INDEX(時間ごとの判定!$AW$3:$AW$1850,602),{"利用可","両方停止","運転がそろわない","判定不能"},0),"○","停","×","－"),"")</f>
        <v>停</v>
      </c>
      <c r="BC29" s="35" t="str">
        <f aca="false">IFERROR(CHOOSE(MATCH(INDEX(時間ごとの判定!$AW$3:$AW$1850,603),{"利用可","両方停止","運転がそろわない","判定不能"},0),"○","停","×","－"),"")</f>
        <v>停</v>
      </c>
      <c r="BD29" s="35" t="str">
        <f aca="false">IFERROR(CHOOSE(MATCH(INDEX(時間ごとの判定!$AW$3:$AW$1850,604),{"利用可","両方停止","運転がそろわない","判定不能"},0),"○","停","×","－"),"")</f>
        <v>停</v>
      </c>
      <c r="BE29" s="35" t="str">
        <f aca="false">IFERROR(CHOOSE(MATCH(INDEX(時間ごとの判定!$AW$3:$AW$1850,605),{"利用可","両方停止","運転がそろわない","判定不能"},0),"○","停","×","－"),"")</f>
        <v>停</v>
      </c>
      <c r="BF29" s="35" t="str">
        <f aca="false">IFERROR(CHOOSE(MATCH(INDEX(時間ごとの判定!$AW$3:$AW$1850,606),{"利用可","両方停止","運転がそろわない","判定不能"},0),"○","停","×","－"),"")</f>
        <v>停</v>
      </c>
      <c r="BG29" s="35" t="str">
        <f aca="false">IFERROR(CHOOSE(MATCH(INDEX(時間ごとの判定!$AW$3:$AW$1850,607),{"利用可","両方停止","運転がそろわない","判定不能"},0),"○","停","×","－"),"")</f>
        <v>停</v>
      </c>
      <c r="BH29" s="35" t="str">
        <f aca="false">IFERROR(CHOOSE(MATCH(INDEX(時間ごとの判定!$AW$3:$AW$1850,608),{"利用可","両方停止","運転がそろわない","判定不能"},0),"○","停","×","－"),"")</f>
        <v>停</v>
      </c>
      <c r="BI29" s="35" t="str">
        <f aca="false">IFERROR(CHOOSE(MATCH(INDEX(時間ごとの判定!$AW$3:$AW$1850,609),{"利用可","両方停止","運転がそろわない","判定不能"},0),"○","停","×","－"),"")</f>
        <v>○</v>
      </c>
      <c r="BJ29" s="35" t="str">
        <f aca="false">IFERROR(CHOOSE(MATCH(INDEX(時間ごとの判定!$AW$3:$AW$1850,610),{"利用可","両方停止","運転がそろわない","判定不能"},0),"○","停","×","－"),"")</f>
        <v>○</v>
      </c>
      <c r="BK29" s="35" t="str">
        <f aca="false">IFERROR(CHOOSE(MATCH(INDEX(時間ごとの判定!$AW$3:$AW$1850,611),{"利用可","両方停止","運転がそろわない","判定不能"},0),"○","停","×","－"),"")</f>
        <v>○</v>
      </c>
      <c r="BL29" s="35" t="str">
        <f aca="false">IFERROR(CHOOSE(MATCH(INDEX(時間ごとの判定!$AW$3:$AW$1850,612),{"利用可","両方停止","運転がそろわない","判定不能"},0),"○","停","×","－"),"")</f>
        <v>○</v>
      </c>
      <c r="BM29" s="35" t="str">
        <f aca="false">IFERROR(CHOOSE(MATCH(INDEX(時間ごとの判定!$AW$3:$AW$1850,613),{"利用可","両方停止","運転がそろわない","判定不能"},0),"○","停","×","－"),"")</f>
        <v>○</v>
      </c>
      <c r="BN29" s="35" t="str">
        <f aca="false">IFERROR(CHOOSE(MATCH(INDEX(時間ごとの判定!$AW$3:$AW$1850,614),{"利用可","両方停止","運転がそろわない","判定不能"},0),"○","停","×","－"),"")</f>
        <v>○</v>
      </c>
      <c r="BO29" s="35" t="str">
        <f aca="false">IFERROR(CHOOSE(MATCH(INDEX(時間ごとの判定!$AW$3:$AW$1850,615),{"利用可","両方停止","運転がそろわない","判定不能"},0),"○","停","×","－"),"")</f>
        <v>○</v>
      </c>
      <c r="BP29" s="35" t="str">
        <f aca="false">IFERROR(CHOOSE(MATCH(INDEX(時間ごとの判定!$AW$3:$AW$1850,616),{"利用可","両方停止","運転がそろわない","判定不能"},0),"○","停","×","－"),"")</f>
        <v>○</v>
      </c>
      <c r="BQ29" s="35" t="str">
        <f aca="false">IFERROR(CHOOSE(MATCH(INDEX(時間ごとの判定!$AW$3:$AW$1850,617),{"利用可","両方停止","運転がそろわない","判定不能"},0),"○","停","×","－"),"")</f>
        <v>○</v>
      </c>
      <c r="BR29" s="35" t="str">
        <f aca="false">IFERROR(CHOOSE(MATCH(INDEX(時間ごとの判定!$AW$3:$AW$1850,618),{"利用可","両方停止","運転がそろわない","判定不能"},0),"○","停","×","－"),"")</f>
        <v>○</v>
      </c>
      <c r="BS29" s="35" t="str">
        <f aca="false">IFERROR(CHOOSE(MATCH(INDEX(時間ごとの判定!$AW$3:$AW$1850,619),{"利用可","両方停止","運転がそろわない","判定不能"},0),"○","停","×","－"),"")</f>
        <v>×</v>
      </c>
      <c r="BT29" s="35" t="str">
        <f aca="false">IFERROR(CHOOSE(MATCH(INDEX(時間ごとの判定!$AW$3:$AW$1850,620),{"利用可","両方停止","運転がそろわない","判定不能"},0),"○","停","×","－"),"")</f>
        <v>×</v>
      </c>
      <c r="BU29" s="35" t="str">
        <f aca="false">IFERROR(CHOOSE(MATCH(INDEX(時間ごとの判定!$AW$3:$AW$1850,621),{"利用可","両方停止","運転がそろわない","判定不能"},0),"○","停","×","－"),"")</f>
        <v>×</v>
      </c>
      <c r="BV29" s="35" t="str">
        <f aca="false">IFERROR(CHOOSE(MATCH(INDEX(時間ごとの判定!$AW$3:$AW$1850,622),{"利用可","両方停止","運転がそろわない","判定不能"},0),"○","停","×","－"),"")</f>
        <v>停</v>
      </c>
      <c r="BW29" s="35" t="str">
        <f aca="false">IFERROR(CHOOSE(MATCH(INDEX(時間ごとの判定!$AW$3:$AW$1850,623),{"利用可","両方停止","運転がそろわない","判定不能"},0),"○","停","×","－"),"")</f>
        <v>停</v>
      </c>
      <c r="BX29" s="35" t="str">
        <f aca="false">IFERROR(CHOOSE(MATCH(INDEX(時間ごとの判定!$AW$3:$AW$1850,624),{"利用可","両方停止","運転がそろわない","判定不能"},0),"○","停","×","－"),"")</f>
        <v>停</v>
      </c>
    </row>
    <row r="30" customFormat="false" ht="15" hidden="false" customHeight="false" outlineLevel="0" collapsed="false">
      <c r="A30" s="33" t="n">
        <v>46258</v>
      </c>
      <c r="B30" s="34" t="s">
        <v>66</v>
      </c>
      <c r="C30" s="35" t="str">
        <f aca="false">IFERROR(CHOOSE(MATCH(INDEX(時間ごとの判定!$AQ$3:$AQ$1850,625),{"利用可","両方停止","運転がそろわない","判定不能"},0),"○","停","×","－"),"")</f>
        <v>停</v>
      </c>
      <c r="D30" s="35" t="str">
        <f aca="false">IFERROR(CHOOSE(MATCH(INDEX(時間ごとの判定!$AQ$3:$AQ$1850,626),{"利用可","両方停止","運転がそろわない","判定不能"},0),"○","停","×","－"),"")</f>
        <v>停</v>
      </c>
      <c r="E30" s="35" t="str">
        <f aca="false">IFERROR(CHOOSE(MATCH(INDEX(時間ごとの判定!$AQ$3:$AQ$1850,627),{"利用可","両方停止","運転がそろわない","判定不能"},0),"○","停","×","－"),"")</f>
        <v>停</v>
      </c>
      <c r="F30" s="35" t="str">
        <f aca="false">IFERROR(CHOOSE(MATCH(INDEX(時間ごとの判定!$AQ$3:$AQ$1850,628),{"利用可","両方停止","運転がそろわない","判定不能"},0),"○","停","×","－"),"")</f>
        <v>停</v>
      </c>
      <c r="G30" s="35" t="str">
        <f aca="false">IFERROR(CHOOSE(MATCH(INDEX(時間ごとの判定!$AQ$3:$AQ$1850,629),{"利用可","両方停止","運転がそろわない","判定不能"},0),"○","停","×","－"),"")</f>
        <v>停</v>
      </c>
      <c r="H30" s="35" t="str">
        <f aca="false">IFERROR(CHOOSE(MATCH(INDEX(時間ごとの判定!$AQ$3:$AQ$1850,630),{"利用可","両方停止","運転がそろわない","判定不能"},0),"○","停","×","－"),"")</f>
        <v>停</v>
      </c>
      <c r="I30" s="35" t="str">
        <f aca="false">IFERROR(CHOOSE(MATCH(INDEX(時間ごとの判定!$AQ$3:$AQ$1850,631),{"利用可","両方停止","運転がそろわない","判定不能"},0),"○","停","×","－"),"")</f>
        <v>×</v>
      </c>
      <c r="J30" s="35" t="str">
        <f aca="false">IFERROR(CHOOSE(MATCH(INDEX(時間ごとの判定!$AQ$3:$AQ$1850,632),{"利用可","両方停止","運転がそろわない","判定不能"},0),"○","停","×","－"),"")</f>
        <v>×</v>
      </c>
      <c r="K30" s="35" t="str">
        <f aca="false">IFERROR(CHOOSE(MATCH(INDEX(時間ごとの判定!$AQ$3:$AQ$1850,633),{"利用可","両方停止","運転がそろわない","判定不能"},0),"○","停","×","－"),"")</f>
        <v>○</v>
      </c>
      <c r="L30" s="35" t="str">
        <f aca="false">IFERROR(CHOOSE(MATCH(INDEX(時間ごとの判定!$AQ$3:$AQ$1850,634),{"利用可","両方停止","運転がそろわない","判定不能"},0),"○","停","×","－"),"")</f>
        <v>○</v>
      </c>
      <c r="M30" s="35" t="str">
        <f aca="false">IFERROR(CHOOSE(MATCH(INDEX(時間ごとの判定!$AQ$3:$AQ$1850,635),{"利用可","両方停止","運転がそろわない","判定不能"},0),"○","停","×","－"),"")</f>
        <v>○</v>
      </c>
      <c r="N30" s="35" t="str">
        <f aca="false">IFERROR(CHOOSE(MATCH(INDEX(時間ごとの判定!$AQ$3:$AQ$1850,636),{"利用可","両方停止","運転がそろわない","判定不能"},0),"○","停","×","－"),"")</f>
        <v>○</v>
      </c>
      <c r="O30" s="35" t="str">
        <f aca="false">IFERROR(CHOOSE(MATCH(INDEX(時間ごとの判定!$AQ$3:$AQ$1850,637),{"利用可","両方停止","運転がそろわない","判定不能"},0),"○","停","×","－"),"")</f>
        <v>○</v>
      </c>
      <c r="P30" s="35" t="str">
        <f aca="false">IFERROR(CHOOSE(MATCH(INDEX(時間ごとの判定!$AQ$3:$AQ$1850,638),{"利用可","両方停止","運転がそろわない","判定不能"},0),"○","停","×","－"),"")</f>
        <v>○</v>
      </c>
      <c r="Q30" s="35" t="str">
        <f aca="false">IFERROR(CHOOSE(MATCH(INDEX(時間ごとの判定!$AQ$3:$AQ$1850,639),{"利用可","両方停止","運転がそろわない","判定不能"},0),"○","停","×","－"),"")</f>
        <v>○</v>
      </c>
      <c r="R30" s="35" t="str">
        <f aca="false">IFERROR(CHOOSE(MATCH(INDEX(時間ごとの判定!$AQ$3:$AQ$1850,640),{"利用可","両方停止","運転がそろわない","判定不能"},0),"○","停","×","－"),"")</f>
        <v>○</v>
      </c>
      <c r="S30" s="35" t="str">
        <f aca="false">IFERROR(CHOOSE(MATCH(INDEX(時間ごとの判定!$AQ$3:$AQ$1850,641),{"利用可","両方停止","運転がそろわない","判定不能"},0),"○","停","×","－"),"")</f>
        <v>○</v>
      </c>
      <c r="T30" s="35" t="str">
        <f aca="false">IFERROR(CHOOSE(MATCH(INDEX(時間ごとの判定!$AQ$3:$AQ$1850,642),{"利用可","両方停止","運転がそろわない","判定不能"},0),"○","停","×","－"),"")</f>
        <v>○</v>
      </c>
      <c r="U30" s="35" t="str">
        <f aca="false">IFERROR(CHOOSE(MATCH(INDEX(時間ごとの判定!$AQ$3:$AQ$1850,643),{"利用可","両方停止","運転がそろわない","判定不能"},0),"○","停","×","－"),"")</f>
        <v>○</v>
      </c>
      <c r="V30" s="35" t="str">
        <f aca="false">IFERROR(CHOOSE(MATCH(INDEX(時間ごとの判定!$AQ$3:$AQ$1850,644),{"利用可","両方停止","運転がそろわない","判定不能"},0),"○","停","×","－"),"")</f>
        <v>×</v>
      </c>
      <c r="W30" s="35" t="str">
        <f aca="false">IFERROR(CHOOSE(MATCH(INDEX(時間ごとの判定!$AQ$3:$AQ$1850,645),{"利用可","両方停止","運転がそろわない","判定不能"},0),"○","停","×","－"),"")</f>
        <v>×</v>
      </c>
      <c r="X30" s="35" t="str">
        <f aca="false">IFERROR(CHOOSE(MATCH(INDEX(時間ごとの判定!$AQ$3:$AQ$1850,646),{"利用可","両方停止","運転がそろわない","判定不能"},0),"○","停","×","－"),"")</f>
        <v>×</v>
      </c>
      <c r="Y30" s="35" t="str">
        <f aca="false">IFERROR(CHOOSE(MATCH(INDEX(時間ごとの判定!$AQ$3:$AQ$1850,647),{"利用可","両方停止","運転がそろわない","判定不能"},0),"○","停","×","－"),"")</f>
        <v>停</v>
      </c>
      <c r="Z30" s="35" t="str">
        <f aca="false">IFERROR(CHOOSE(MATCH(INDEX(時間ごとの判定!$AQ$3:$AQ$1850,648),{"利用可","両方停止","運転がそろわない","判定不能"},0),"○","停","×","－"),"")</f>
        <v>停</v>
      </c>
      <c r="AA30" s="35"/>
      <c r="AB30" s="35" t="str">
        <f aca="false">IFERROR(CHOOSE(MATCH(INDEX(時間ごとの判定!$AT$3:$AT$1850,625),{"利用可","両方停止","運転がそろわない","判定不能"},0),"○","停","×","－"),"")</f>
        <v>停</v>
      </c>
      <c r="AC30" s="35" t="str">
        <f aca="false">IFERROR(CHOOSE(MATCH(INDEX(時間ごとの判定!$AT$3:$AT$1850,626),{"利用可","両方停止","運転がそろわない","判定不能"},0),"○","停","×","－"),"")</f>
        <v>停</v>
      </c>
      <c r="AD30" s="35" t="str">
        <f aca="false">IFERROR(CHOOSE(MATCH(INDEX(時間ごとの判定!$AT$3:$AT$1850,627),{"利用可","両方停止","運転がそろわない","判定不能"},0),"○","停","×","－"),"")</f>
        <v>停</v>
      </c>
      <c r="AE30" s="35" t="str">
        <f aca="false">IFERROR(CHOOSE(MATCH(INDEX(時間ごとの判定!$AT$3:$AT$1850,628),{"利用可","両方停止","運転がそろわない","判定不能"},0),"○","停","×","－"),"")</f>
        <v>停</v>
      </c>
      <c r="AF30" s="35" t="str">
        <f aca="false">IFERROR(CHOOSE(MATCH(INDEX(時間ごとの判定!$AT$3:$AT$1850,629),{"利用可","両方停止","運転がそろわない","判定不能"},0),"○","停","×","－"),"")</f>
        <v>停</v>
      </c>
      <c r="AG30" s="35" t="str">
        <f aca="false">IFERROR(CHOOSE(MATCH(INDEX(時間ごとの判定!$AT$3:$AT$1850,630),{"利用可","両方停止","運転がそろわない","判定不能"},0),"○","停","×","－"),"")</f>
        <v>停</v>
      </c>
      <c r="AH30" s="35" t="str">
        <f aca="false">IFERROR(CHOOSE(MATCH(INDEX(時間ごとの判定!$AT$3:$AT$1850,631),{"利用可","両方停止","運転がそろわない","判定不能"},0),"○","停","×","－"),"")</f>
        <v>×</v>
      </c>
      <c r="AI30" s="35" t="str">
        <f aca="false">IFERROR(CHOOSE(MATCH(INDEX(時間ごとの判定!$AT$3:$AT$1850,632),{"利用可","両方停止","運転がそろわない","判定不能"},0),"○","停","×","－"),"")</f>
        <v>×</v>
      </c>
      <c r="AJ30" s="35" t="str">
        <f aca="false">IFERROR(CHOOSE(MATCH(INDEX(時間ごとの判定!$AT$3:$AT$1850,633),{"利用可","両方停止","運転がそろわない","判定不能"},0),"○","停","×","－"),"")</f>
        <v>×</v>
      </c>
      <c r="AK30" s="35" t="str">
        <f aca="false">IFERROR(CHOOSE(MATCH(INDEX(時間ごとの判定!$AT$3:$AT$1850,634),{"利用可","両方停止","運転がそろわない","判定不能"},0),"○","停","×","－"),"")</f>
        <v>○</v>
      </c>
      <c r="AL30" s="35" t="str">
        <f aca="false">IFERROR(CHOOSE(MATCH(INDEX(時間ごとの判定!$AT$3:$AT$1850,635),{"利用可","両方停止","運転がそろわない","判定不能"},0),"○","停","×","－"),"")</f>
        <v>○</v>
      </c>
      <c r="AM30" s="35" t="str">
        <f aca="false">IFERROR(CHOOSE(MATCH(INDEX(時間ごとの判定!$AT$3:$AT$1850,636),{"利用可","両方停止","運転がそろわない","判定不能"},0),"○","停","×","－"),"")</f>
        <v>○</v>
      </c>
      <c r="AN30" s="35" t="str">
        <f aca="false">IFERROR(CHOOSE(MATCH(INDEX(時間ごとの判定!$AT$3:$AT$1850,637),{"利用可","両方停止","運転がそろわない","判定不能"},0),"○","停","×","－"),"")</f>
        <v>○</v>
      </c>
      <c r="AO30" s="35" t="str">
        <f aca="false">IFERROR(CHOOSE(MATCH(INDEX(時間ごとの判定!$AT$3:$AT$1850,638),{"利用可","両方停止","運転がそろわない","判定不能"},0),"○","停","×","－"),"")</f>
        <v>○</v>
      </c>
      <c r="AP30" s="35" t="str">
        <f aca="false">IFERROR(CHOOSE(MATCH(INDEX(時間ごとの判定!$AT$3:$AT$1850,639),{"利用可","両方停止","運転がそろわない","判定不能"},0),"○","停","×","－"),"")</f>
        <v>○</v>
      </c>
      <c r="AQ30" s="35" t="str">
        <f aca="false">IFERROR(CHOOSE(MATCH(INDEX(時間ごとの判定!$AT$3:$AT$1850,640),{"利用可","両方停止","運転がそろわない","判定不能"},0),"○","停","×","－"),"")</f>
        <v>○</v>
      </c>
      <c r="AR30" s="35" t="str">
        <f aca="false">IFERROR(CHOOSE(MATCH(INDEX(時間ごとの判定!$AT$3:$AT$1850,641),{"利用可","両方停止","運転がそろわない","判定不能"},0),"○","停","×","－"),"")</f>
        <v>○</v>
      </c>
      <c r="AS30" s="35" t="str">
        <f aca="false">IFERROR(CHOOSE(MATCH(INDEX(時間ごとの判定!$AT$3:$AT$1850,642),{"利用可","両方停止","運転がそろわない","判定不能"},0),"○","停","×","－"),"")</f>
        <v>○</v>
      </c>
      <c r="AT30" s="35" t="str">
        <f aca="false">IFERROR(CHOOSE(MATCH(INDEX(時間ごとの判定!$AT$3:$AT$1850,643),{"利用可","両方停止","運転がそろわない","判定不能"},0),"○","停","×","－"),"")</f>
        <v>○</v>
      </c>
      <c r="AU30" s="35" t="str">
        <f aca="false">IFERROR(CHOOSE(MATCH(INDEX(時間ごとの判定!$AT$3:$AT$1850,644),{"利用可","両方停止","運転がそろわない","判定不能"},0),"○","停","×","－"),"")</f>
        <v>○</v>
      </c>
      <c r="AV30" s="35" t="str">
        <f aca="false">IFERROR(CHOOSE(MATCH(INDEX(時間ごとの判定!$AT$3:$AT$1850,645),{"利用可","両方停止","運転がそろわない","判定不能"},0),"○","停","×","－"),"")</f>
        <v>○</v>
      </c>
      <c r="AW30" s="35" t="str">
        <f aca="false">IFERROR(CHOOSE(MATCH(INDEX(時間ごとの判定!$AT$3:$AT$1850,646),{"利用可","両方停止","運転がそろわない","判定不能"},0),"○","停","×","－"),"")</f>
        <v>×</v>
      </c>
      <c r="AX30" s="35" t="str">
        <f aca="false">IFERROR(CHOOSE(MATCH(INDEX(時間ごとの判定!$AT$3:$AT$1850,647),{"利用可","両方停止","運転がそろわない","判定不能"},0),"○","停","×","－"),"")</f>
        <v>×</v>
      </c>
      <c r="AY30" s="35" t="str">
        <f aca="false">IFERROR(CHOOSE(MATCH(INDEX(時間ごとの判定!$AT$3:$AT$1850,648),{"利用可","両方停止","運転がそろわない","判定不能"},0),"○","停","×","－"),"")</f>
        <v>停</v>
      </c>
      <c r="AZ30" s="35"/>
      <c r="BA30" s="35" t="str">
        <f aca="false">IFERROR(CHOOSE(MATCH(INDEX(時間ごとの判定!$AW$3:$AW$1850,625),{"利用可","両方停止","運転がそろわない","判定不能"},0),"○","停","×","－"),"")</f>
        <v>停</v>
      </c>
      <c r="BB30" s="35" t="str">
        <f aca="false">IFERROR(CHOOSE(MATCH(INDEX(時間ごとの判定!$AW$3:$AW$1850,626),{"利用可","両方停止","運転がそろわない","判定不能"},0),"○","停","×","－"),"")</f>
        <v>停</v>
      </c>
      <c r="BC30" s="35" t="str">
        <f aca="false">IFERROR(CHOOSE(MATCH(INDEX(時間ごとの判定!$AW$3:$AW$1850,627),{"利用可","両方停止","運転がそろわない","判定不能"},0),"○","停","×","－"),"")</f>
        <v>停</v>
      </c>
      <c r="BD30" s="35" t="str">
        <f aca="false">IFERROR(CHOOSE(MATCH(INDEX(時間ごとの判定!$AW$3:$AW$1850,628),{"利用可","両方停止","運転がそろわない","判定不能"},0),"○","停","×","－"),"")</f>
        <v>停</v>
      </c>
      <c r="BE30" s="35" t="str">
        <f aca="false">IFERROR(CHOOSE(MATCH(INDEX(時間ごとの判定!$AW$3:$AW$1850,629),{"利用可","両方停止","運転がそろわない","判定不能"},0),"○","停","×","－"),"")</f>
        <v>停</v>
      </c>
      <c r="BF30" s="35" t="str">
        <f aca="false">IFERROR(CHOOSE(MATCH(INDEX(時間ごとの判定!$AW$3:$AW$1850,630),{"利用可","両方停止","運転がそろわない","判定不能"},0),"○","停","×","－"),"")</f>
        <v>停</v>
      </c>
      <c r="BG30" s="35" t="str">
        <f aca="false">IFERROR(CHOOSE(MATCH(INDEX(時間ごとの判定!$AW$3:$AW$1850,631),{"利用可","両方停止","運転がそろわない","判定不能"},0),"○","停","×","－"),"")</f>
        <v>×</v>
      </c>
      <c r="BH30" s="35" t="str">
        <f aca="false">IFERROR(CHOOSE(MATCH(INDEX(時間ごとの判定!$AW$3:$AW$1850,632),{"利用可","両方停止","運転がそろわない","判定不能"},0),"○","停","×","－"),"")</f>
        <v>×</v>
      </c>
      <c r="BI30" s="35" t="str">
        <f aca="false">IFERROR(CHOOSE(MATCH(INDEX(時間ごとの判定!$AW$3:$AW$1850,633),{"利用可","両方停止","運転がそろわない","判定不能"},0),"○","停","×","－"),"")</f>
        <v>×</v>
      </c>
      <c r="BJ30" s="35" t="str">
        <f aca="false">IFERROR(CHOOSE(MATCH(INDEX(時間ごとの判定!$AW$3:$AW$1850,634),{"利用可","両方停止","運転がそろわない","判定不能"},0),"○","停","×","－"),"")</f>
        <v>○</v>
      </c>
      <c r="BK30" s="35" t="str">
        <f aca="false">IFERROR(CHOOSE(MATCH(INDEX(時間ごとの判定!$AW$3:$AW$1850,635),{"利用可","両方停止","運転がそろわない","判定不能"},0),"○","停","×","－"),"")</f>
        <v>○</v>
      </c>
      <c r="BL30" s="35" t="str">
        <f aca="false">IFERROR(CHOOSE(MATCH(INDEX(時間ごとの判定!$AW$3:$AW$1850,636),{"利用可","両方停止","運転がそろわない","判定不能"},0),"○","停","×","－"),"")</f>
        <v>○</v>
      </c>
      <c r="BM30" s="35" t="str">
        <f aca="false">IFERROR(CHOOSE(MATCH(INDEX(時間ごとの判定!$AW$3:$AW$1850,637),{"利用可","両方停止","運転がそろわない","判定不能"},0),"○","停","×","－"),"")</f>
        <v>○</v>
      </c>
      <c r="BN30" s="35" t="str">
        <f aca="false">IFERROR(CHOOSE(MATCH(INDEX(時間ごとの判定!$AW$3:$AW$1850,638),{"利用可","両方停止","運転がそろわない","判定不能"},0),"○","停","×","－"),"")</f>
        <v>○</v>
      </c>
      <c r="BO30" s="35" t="str">
        <f aca="false">IFERROR(CHOOSE(MATCH(INDEX(時間ごとの判定!$AW$3:$AW$1850,639),{"利用可","両方停止","運転がそろわない","判定不能"},0),"○","停","×","－"),"")</f>
        <v>○</v>
      </c>
      <c r="BP30" s="35" t="str">
        <f aca="false">IFERROR(CHOOSE(MATCH(INDEX(時間ごとの判定!$AW$3:$AW$1850,640),{"利用可","両方停止","運転がそろわない","判定不能"},0),"○","停","×","－"),"")</f>
        <v>○</v>
      </c>
      <c r="BQ30" s="35" t="str">
        <f aca="false">IFERROR(CHOOSE(MATCH(INDEX(時間ごとの判定!$AW$3:$AW$1850,641),{"利用可","両方停止","運転がそろわない","判定不能"},0),"○","停","×","－"),"")</f>
        <v>○</v>
      </c>
      <c r="BR30" s="35" t="str">
        <f aca="false">IFERROR(CHOOSE(MATCH(INDEX(時間ごとの判定!$AW$3:$AW$1850,642),{"利用可","両方停止","運転がそろわない","判定不能"},0),"○","停","×","－"),"")</f>
        <v>○</v>
      </c>
      <c r="BS30" s="35" t="str">
        <f aca="false">IFERROR(CHOOSE(MATCH(INDEX(時間ごとの判定!$AW$3:$AW$1850,643),{"利用可","両方停止","運転がそろわない","判定不能"},0),"○","停","×","－"),"")</f>
        <v>○</v>
      </c>
      <c r="BT30" s="35" t="str">
        <f aca="false">IFERROR(CHOOSE(MATCH(INDEX(時間ごとの判定!$AW$3:$AW$1850,644),{"利用可","両方停止","運転がそろわない","判定不能"},0),"○","停","×","－"),"")</f>
        <v>×</v>
      </c>
      <c r="BU30" s="35" t="str">
        <f aca="false">IFERROR(CHOOSE(MATCH(INDEX(時間ごとの判定!$AW$3:$AW$1850,645),{"利用可","両方停止","運転がそろわない","判定不能"},0),"○","停","×","－"),"")</f>
        <v>×</v>
      </c>
      <c r="BV30" s="35" t="str">
        <f aca="false">IFERROR(CHOOSE(MATCH(INDEX(時間ごとの判定!$AW$3:$AW$1850,646),{"利用可","両方停止","運転がそろわない","判定不能"},0),"○","停","×","－"),"")</f>
        <v>停</v>
      </c>
      <c r="BW30" s="35" t="str">
        <f aca="false">IFERROR(CHOOSE(MATCH(INDEX(時間ごとの判定!$AW$3:$AW$1850,647),{"利用可","両方停止","運転がそろわない","判定不能"},0),"○","停","×","－"),"")</f>
        <v>停</v>
      </c>
      <c r="BX30" s="35" t="str">
        <f aca="false">IFERROR(CHOOSE(MATCH(INDEX(時間ごとの判定!$AW$3:$AW$1850,648),{"利用可","両方停止","運転がそろわない","判定不能"},0),"○","停","×","－"),"")</f>
        <v>停</v>
      </c>
    </row>
    <row r="31" customFormat="false" ht="15" hidden="false" customHeight="false" outlineLevel="0" collapsed="false">
      <c r="A31" s="33" t="n">
        <v>46259</v>
      </c>
      <c r="B31" s="34" t="s">
        <v>67</v>
      </c>
      <c r="C31" s="35" t="str">
        <f aca="false">IFERROR(CHOOSE(MATCH(INDEX(時間ごとの判定!$AQ$3:$AQ$1850,649),{"利用可","両方停止","運転がそろわない","判定不能"},0),"○","停","×","－"),"")</f>
        <v>停</v>
      </c>
      <c r="D31" s="35" t="str">
        <f aca="false">IFERROR(CHOOSE(MATCH(INDEX(時間ごとの判定!$AQ$3:$AQ$1850,650),{"利用可","両方停止","運転がそろわない","判定不能"},0),"○","停","×","－"),"")</f>
        <v>停</v>
      </c>
      <c r="E31" s="35" t="str">
        <f aca="false">IFERROR(CHOOSE(MATCH(INDEX(時間ごとの判定!$AQ$3:$AQ$1850,651),{"利用可","両方停止","運転がそろわない","判定不能"},0),"○","停","×","－"),"")</f>
        <v>停</v>
      </c>
      <c r="F31" s="35" t="str">
        <f aca="false">IFERROR(CHOOSE(MATCH(INDEX(時間ごとの判定!$AQ$3:$AQ$1850,652),{"利用可","両方停止","運転がそろわない","判定不能"},0),"○","停","×","－"),"")</f>
        <v>停</v>
      </c>
      <c r="G31" s="35" t="str">
        <f aca="false">IFERROR(CHOOSE(MATCH(INDEX(時間ごとの判定!$AQ$3:$AQ$1850,653),{"利用可","両方停止","運転がそろわない","判定不能"},0),"○","停","×","－"),"")</f>
        <v>停</v>
      </c>
      <c r="H31" s="35" t="str">
        <f aca="false">IFERROR(CHOOSE(MATCH(INDEX(時間ごとの判定!$AQ$3:$AQ$1850,654),{"利用可","両方停止","運転がそろわない","判定不能"},0),"○","停","×","－"),"")</f>
        <v>停</v>
      </c>
      <c r="I31" s="35" t="str">
        <f aca="false">IFERROR(CHOOSE(MATCH(INDEX(時間ごとの判定!$AQ$3:$AQ$1850,655),{"利用可","両方停止","運転がそろわない","判定不能"},0),"○","停","×","－"),"")</f>
        <v>×</v>
      </c>
      <c r="J31" s="35" t="str">
        <f aca="false">IFERROR(CHOOSE(MATCH(INDEX(時間ごとの判定!$AQ$3:$AQ$1850,656),{"利用可","両方停止","運転がそろわない","判定不能"},0),"○","停","×","－"),"")</f>
        <v>×</v>
      </c>
      <c r="K31" s="35" t="str">
        <f aca="false">IFERROR(CHOOSE(MATCH(INDEX(時間ごとの判定!$AQ$3:$AQ$1850,657),{"利用可","両方停止","運転がそろわない","判定不能"},0),"○","停","×","－"),"")</f>
        <v>○</v>
      </c>
      <c r="L31" s="35" t="str">
        <f aca="false">IFERROR(CHOOSE(MATCH(INDEX(時間ごとの判定!$AQ$3:$AQ$1850,658),{"利用可","両方停止","運転がそろわない","判定不能"},0),"○","停","×","－"),"")</f>
        <v>○</v>
      </c>
      <c r="M31" s="35" t="str">
        <f aca="false">IFERROR(CHOOSE(MATCH(INDEX(時間ごとの判定!$AQ$3:$AQ$1850,659),{"利用可","両方停止","運転がそろわない","判定不能"},0),"○","停","×","－"),"")</f>
        <v>○</v>
      </c>
      <c r="N31" s="35" t="str">
        <f aca="false">IFERROR(CHOOSE(MATCH(INDEX(時間ごとの判定!$AQ$3:$AQ$1850,660),{"利用可","両方停止","運転がそろわない","判定不能"},0),"○","停","×","－"),"")</f>
        <v>○</v>
      </c>
      <c r="O31" s="35" t="str">
        <f aca="false">IFERROR(CHOOSE(MATCH(INDEX(時間ごとの判定!$AQ$3:$AQ$1850,661),{"利用可","両方停止","運転がそろわない","判定不能"},0),"○","停","×","－"),"")</f>
        <v>○</v>
      </c>
      <c r="P31" s="35" t="str">
        <f aca="false">IFERROR(CHOOSE(MATCH(INDEX(時間ごとの判定!$AQ$3:$AQ$1850,662),{"利用可","両方停止","運転がそろわない","判定不能"},0),"○","停","×","－"),"")</f>
        <v>○</v>
      </c>
      <c r="Q31" s="35" t="str">
        <f aca="false">IFERROR(CHOOSE(MATCH(INDEX(時間ごとの判定!$AQ$3:$AQ$1850,663),{"利用可","両方停止","運転がそろわない","判定不能"},0),"○","停","×","－"),"")</f>
        <v>○</v>
      </c>
      <c r="R31" s="35" t="str">
        <f aca="false">IFERROR(CHOOSE(MATCH(INDEX(時間ごとの判定!$AQ$3:$AQ$1850,664),{"利用可","両方停止","運転がそろわない","判定不能"},0),"○","停","×","－"),"")</f>
        <v>○</v>
      </c>
      <c r="S31" s="35" t="str">
        <f aca="false">IFERROR(CHOOSE(MATCH(INDEX(時間ごとの判定!$AQ$3:$AQ$1850,665),{"利用可","両方停止","運転がそろわない","判定不能"},0),"○","停","×","－"),"")</f>
        <v>○</v>
      </c>
      <c r="T31" s="35" t="str">
        <f aca="false">IFERROR(CHOOSE(MATCH(INDEX(時間ごとの判定!$AQ$3:$AQ$1850,666),{"利用可","両方停止","運転がそろわない","判定不能"},0),"○","停","×","－"),"")</f>
        <v>○</v>
      </c>
      <c r="U31" s="35" t="str">
        <f aca="false">IFERROR(CHOOSE(MATCH(INDEX(時間ごとの判定!$AQ$3:$AQ$1850,667),{"利用可","両方停止","運転がそろわない","判定不能"},0),"○","停","×","－"),"")</f>
        <v>○</v>
      </c>
      <c r="V31" s="35" t="str">
        <f aca="false">IFERROR(CHOOSE(MATCH(INDEX(時間ごとの判定!$AQ$3:$AQ$1850,668),{"利用可","両方停止","運転がそろわない","判定不能"},0),"○","停","×","－"),"")</f>
        <v>×</v>
      </c>
      <c r="W31" s="35" t="str">
        <f aca="false">IFERROR(CHOOSE(MATCH(INDEX(時間ごとの判定!$AQ$3:$AQ$1850,669),{"利用可","両方停止","運転がそろわない","判定不能"},0),"○","停","×","－"),"")</f>
        <v>×</v>
      </c>
      <c r="X31" s="35" t="str">
        <f aca="false">IFERROR(CHOOSE(MATCH(INDEX(時間ごとの判定!$AQ$3:$AQ$1850,670),{"利用可","両方停止","運転がそろわない","判定不能"},0),"○","停","×","－"),"")</f>
        <v>停</v>
      </c>
      <c r="Y31" s="35" t="str">
        <f aca="false">IFERROR(CHOOSE(MATCH(INDEX(時間ごとの判定!$AQ$3:$AQ$1850,671),{"利用可","両方停止","運転がそろわない","判定不能"},0),"○","停","×","－"),"")</f>
        <v>停</v>
      </c>
      <c r="Z31" s="35" t="str">
        <f aca="false">IFERROR(CHOOSE(MATCH(INDEX(時間ごとの判定!$AQ$3:$AQ$1850,672),{"利用可","両方停止","運転がそろわない","判定不能"},0),"○","停","×","－"),"")</f>
        <v>停</v>
      </c>
      <c r="AA31" s="35"/>
      <c r="AB31" s="35" t="str">
        <f aca="false">IFERROR(CHOOSE(MATCH(INDEX(時間ごとの判定!$AT$3:$AT$1850,649),{"利用可","両方停止","運転がそろわない","判定不能"},0),"○","停","×","－"),"")</f>
        <v>停</v>
      </c>
      <c r="AC31" s="35" t="str">
        <f aca="false">IFERROR(CHOOSE(MATCH(INDEX(時間ごとの判定!$AT$3:$AT$1850,650),{"利用可","両方停止","運転がそろわない","判定不能"},0),"○","停","×","－"),"")</f>
        <v>停</v>
      </c>
      <c r="AD31" s="35" t="str">
        <f aca="false">IFERROR(CHOOSE(MATCH(INDEX(時間ごとの判定!$AT$3:$AT$1850,651),{"利用可","両方停止","運転がそろわない","判定不能"},0),"○","停","×","－"),"")</f>
        <v>停</v>
      </c>
      <c r="AE31" s="35" t="str">
        <f aca="false">IFERROR(CHOOSE(MATCH(INDEX(時間ごとの判定!$AT$3:$AT$1850,652),{"利用可","両方停止","運転がそろわない","判定不能"},0),"○","停","×","－"),"")</f>
        <v>停</v>
      </c>
      <c r="AF31" s="35" t="str">
        <f aca="false">IFERROR(CHOOSE(MATCH(INDEX(時間ごとの判定!$AT$3:$AT$1850,653),{"利用可","両方停止","運転がそろわない","判定不能"},0),"○","停","×","－"),"")</f>
        <v>停</v>
      </c>
      <c r="AG31" s="35" t="str">
        <f aca="false">IFERROR(CHOOSE(MATCH(INDEX(時間ごとの判定!$AT$3:$AT$1850,654),{"利用可","両方停止","運転がそろわない","判定不能"},0),"○","停","×","－"),"")</f>
        <v>停</v>
      </c>
      <c r="AH31" s="35" t="str">
        <f aca="false">IFERROR(CHOOSE(MATCH(INDEX(時間ごとの判定!$AT$3:$AT$1850,655),{"利用可","両方停止","運転がそろわない","判定不能"},0),"○","停","×","－"),"")</f>
        <v>×</v>
      </c>
      <c r="AI31" s="35" t="str">
        <f aca="false">IFERROR(CHOOSE(MATCH(INDEX(時間ごとの判定!$AT$3:$AT$1850,656),{"利用可","両方停止","運転がそろわない","判定不能"},0),"○","停","×","－"),"")</f>
        <v>×</v>
      </c>
      <c r="AJ31" s="35" t="str">
        <f aca="false">IFERROR(CHOOSE(MATCH(INDEX(時間ごとの判定!$AT$3:$AT$1850,657),{"利用可","両方停止","運転がそろわない","判定不能"},0),"○","停","×","－"),"")</f>
        <v>○</v>
      </c>
      <c r="AK31" s="35" t="str">
        <f aca="false">IFERROR(CHOOSE(MATCH(INDEX(時間ごとの判定!$AT$3:$AT$1850,658),{"利用可","両方停止","運転がそろわない","判定不能"},0),"○","停","×","－"),"")</f>
        <v>○</v>
      </c>
      <c r="AL31" s="35" t="str">
        <f aca="false">IFERROR(CHOOSE(MATCH(INDEX(時間ごとの判定!$AT$3:$AT$1850,659),{"利用可","両方停止","運転がそろわない","判定不能"},0),"○","停","×","－"),"")</f>
        <v>○</v>
      </c>
      <c r="AM31" s="35" t="str">
        <f aca="false">IFERROR(CHOOSE(MATCH(INDEX(時間ごとの判定!$AT$3:$AT$1850,660),{"利用可","両方停止","運転がそろわない","判定不能"},0),"○","停","×","－"),"")</f>
        <v>○</v>
      </c>
      <c r="AN31" s="35" t="str">
        <f aca="false">IFERROR(CHOOSE(MATCH(INDEX(時間ごとの判定!$AT$3:$AT$1850,661),{"利用可","両方停止","運転がそろわない","判定不能"},0),"○","停","×","－"),"")</f>
        <v>○</v>
      </c>
      <c r="AO31" s="35" t="str">
        <f aca="false">IFERROR(CHOOSE(MATCH(INDEX(時間ごとの判定!$AT$3:$AT$1850,662),{"利用可","両方停止","運転がそろわない","判定不能"},0),"○","停","×","－"),"")</f>
        <v>○</v>
      </c>
      <c r="AP31" s="35" t="str">
        <f aca="false">IFERROR(CHOOSE(MATCH(INDEX(時間ごとの判定!$AT$3:$AT$1850,663),{"利用可","両方停止","運転がそろわない","判定不能"},0),"○","停","×","－"),"")</f>
        <v>○</v>
      </c>
      <c r="AQ31" s="35" t="str">
        <f aca="false">IFERROR(CHOOSE(MATCH(INDEX(時間ごとの判定!$AT$3:$AT$1850,664),{"利用可","両方停止","運転がそろわない","判定不能"},0),"○","停","×","－"),"")</f>
        <v>○</v>
      </c>
      <c r="AR31" s="35" t="str">
        <f aca="false">IFERROR(CHOOSE(MATCH(INDEX(時間ごとの判定!$AT$3:$AT$1850,665),{"利用可","両方停止","運転がそろわない","判定不能"},0),"○","停","×","－"),"")</f>
        <v>○</v>
      </c>
      <c r="AS31" s="35" t="str">
        <f aca="false">IFERROR(CHOOSE(MATCH(INDEX(時間ごとの判定!$AT$3:$AT$1850,666),{"利用可","両方停止","運転がそろわない","判定不能"},0),"○","停","×","－"),"")</f>
        <v>○</v>
      </c>
      <c r="AT31" s="35" t="str">
        <f aca="false">IFERROR(CHOOSE(MATCH(INDEX(時間ごとの判定!$AT$3:$AT$1850,667),{"利用可","両方停止","運転がそろわない","判定不能"},0),"○","停","×","－"),"")</f>
        <v>○</v>
      </c>
      <c r="AU31" s="35" t="str">
        <f aca="false">IFERROR(CHOOSE(MATCH(INDEX(時間ごとの判定!$AT$3:$AT$1850,668),{"利用可","両方停止","運転がそろわない","判定不能"},0),"○","停","×","－"),"")</f>
        <v>×</v>
      </c>
      <c r="AV31" s="35" t="str">
        <f aca="false">IFERROR(CHOOSE(MATCH(INDEX(時間ごとの判定!$AT$3:$AT$1850,669),{"利用可","両方停止","運転がそろわない","判定不能"},0),"○","停","×","－"),"")</f>
        <v>×</v>
      </c>
      <c r="AW31" s="35" t="str">
        <f aca="false">IFERROR(CHOOSE(MATCH(INDEX(時間ごとの判定!$AT$3:$AT$1850,670),{"利用可","両方停止","運転がそろわない","判定不能"},0),"○","停","×","－"),"")</f>
        <v>停</v>
      </c>
      <c r="AX31" s="35" t="str">
        <f aca="false">IFERROR(CHOOSE(MATCH(INDEX(時間ごとの判定!$AT$3:$AT$1850,671),{"利用可","両方停止","運転がそろわない","判定不能"},0),"○","停","×","－"),"")</f>
        <v>停</v>
      </c>
      <c r="AY31" s="35" t="str">
        <f aca="false">IFERROR(CHOOSE(MATCH(INDEX(時間ごとの判定!$AT$3:$AT$1850,672),{"利用可","両方停止","運転がそろわない","判定不能"},0),"○","停","×","－"),"")</f>
        <v>停</v>
      </c>
      <c r="AZ31" s="35"/>
      <c r="BA31" s="35" t="str">
        <f aca="false">IFERROR(CHOOSE(MATCH(INDEX(時間ごとの判定!$AW$3:$AW$1850,649),{"利用可","両方停止","運転がそろわない","判定不能"},0),"○","停","×","－"),"")</f>
        <v>停</v>
      </c>
      <c r="BB31" s="35" t="str">
        <f aca="false">IFERROR(CHOOSE(MATCH(INDEX(時間ごとの判定!$AW$3:$AW$1850,650),{"利用可","両方停止","運転がそろわない","判定不能"},0),"○","停","×","－"),"")</f>
        <v>停</v>
      </c>
      <c r="BC31" s="35" t="str">
        <f aca="false">IFERROR(CHOOSE(MATCH(INDEX(時間ごとの判定!$AW$3:$AW$1850,651),{"利用可","両方停止","運転がそろわない","判定不能"},0),"○","停","×","－"),"")</f>
        <v>停</v>
      </c>
      <c r="BD31" s="35" t="str">
        <f aca="false">IFERROR(CHOOSE(MATCH(INDEX(時間ごとの判定!$AW$3:$AW$1850,652),{"利用可","両方停止","運転がそろわない","判定不能"},0),"○","停","×","－"),"")</f>
        <v>停</v>
      </c>
      <c r="BE31" s="35" t="str">
        <f aca="false">IFERROR(CHOOSE(MATCH(INDEX(時間ごとの判定!$AW$3:$AW$1850,653),{"利用可","両方停止","運転がそろわない","判定不能"},0),"○","停","×","－"),"")</f>
        <v>停</v>
      </c>
      <c r="BF31" s="35" t="str">
        <f aca="false">IFERROR(CHOOSE(MATCH(INDEX(時間ごとの判定!$AW$3:$AW$1850,654),{"利用可","両方停止","運転がそろわない","判定不能"},0),"○","停","×","－"),"")</f>
        <v>停</v>
      </c>
      <c r="BG31" s="35" t="str">
        <f aca="false">IFERROR(CHOOSE(MATCH(INDEX(時間ごとの判定!$AW$3:$AW$1850,655),{"利用可","両方停止","運転がそろわない","判定不能"},0),"○","停","×","－"),"")</f>
        <v>×</v>
      </c>
      <c r="BH31" s="35" t="str">
        <f aca="false">IFERROR(CHOOSE(MATCH(INDEX(時間ごとの判定!$AW$3:$AW$1850,656),{"利用可","両方停止","運転がそろわない","判定不能"},0),"○","停","×","－"),"")</f>
        <v>×</v>
      </c>
      <c r="BI31" s="35" t="str">
        <f aca="false">IFERROR(CHOOSE(MATCH(INDEX(時間ごとの判定!$AW$3:$AW$1850,657),{"利用可","両方停止","運転がそろわない","判定不能"},0),"○","停","×","－"),"")</f>
        <v>○</v>
      </c>
      <c r="BJ31" s="35" t="str">
        <f aca="false">IFERROR(CHOOSE(MATCH(INDEX(時間ごとの判定!$AW$3:$AW$1850,658),{"利用可","両方停止","運転がそろわない","判定不能"},0),"○","停","×","－"),"")</f>
        <v>○</v>
      </c>
      <c r="BK31" s="35" t="str">
        <f aca="false">IFERROR(CHOOSE(MATCH(INDEX(時間ごとの判定!$AW$3:$AW$1850,659),{"利用可","両方停止","運転がそろわない","判定不能"},0),"○","停","×","－"),"")</f>
        <v>○</v>
      </c>
      <c r="BL31" s="35" t="str">
        <f aca="false">IFERROR(CHOOSE(MATCH(INDEX(時間ごとの判定!$AW$3:$AW$1850,660),{"利用可","両方停止","運転がそろわない","判定不能"},0),"○","停","×","－"),"")</f>
        <v>○</v>
      </c>
      <c r="BM31" s="35" t="str">
        <f aca="false">IFERROR(CHOOSE(MATCH(INDEX(時間ごとの判定!$AW$3:$AW$1850,661),{"利用可","両方停止","運転がそろわない","判定不能"},0),"○","停","×","－"),"")</f>
        <v>○</v>
      </c>
      <c r="BN31" s="35" t="str">
        <f aca="false">IFERROR(CHOOSE(MATCH(INDEX(時間ごとの判定!$AW$3:$AW$1850,662),{"利用可","両方停止","運転がそろわない","判定不能"},0),"○","停","×","－"),"")</f>
        <v>○</v>
      </c>
      <c r="BO31" s="35" t="str">
        <f aca="false">IFERROR(CHOOSE(MATCH(INDEX(時間ごとの判定!$AW$3:$AW$1850,663),{"利用可","両方停止","運転がそろわない","判定不能"},0),"○","停","×","－"),"")</f>
        <v>○</v>
      </c>
      <c r="BP31" s="35" t="str">
        <f aca="false">IFERROR(CHOOSE(MATCH(INDEX(時間ごとの判定!$AW$3:$AW$1850,664),{"利用可","両方停止","運転がそろわない","判定不能"},0),"○","停","×","－"),"")</f>
        <v>○</v>
      </c>
      <c r="BQ31" s="35" t="str">
        <f aca="false">IFERROR(CHOOSE(MATCH(INDEX(時間ごとの判定!$AW$3:$AW$1850,665),{"利用可","両方停止","運転がそろわない","判定不能"},0),"○","停","×","－"),"")</f>
        <v>○</v>
      </c>
      <c r="BR31" s="35" t="str">
        <f aca="false">IFERROR(CHOOSE(MATCH(INDEX(時間ごとの判定!$AW$3:$AW$1850,666),{"利用可","両方停止","運転がそろわない","判定不能"},0),"○","停","×","－"),"")</f>
        <v>○</v>
      </c>
      <c r="BS31" s="35" t="str">
        <f aca="false">IFERROR(CHOOSE(MATCH(INDEX(時間ごとの判定!$AW$3:$AW$1850,667),{"利用可","両方停止","運転がそろわない","判定不能"},0),"○","停","×","－"),"")</f>
        <v>○</v>
      </c>
      <c r="BT31" s="35" t="str">
        <f aca="false">IFERROR(CHOOSE(MATCH(INDEX(時間ごとの判定!$AW$3:$AW$1850,668),{"利用可","両方停止","運転がそろわない","判定不能"},0),"○","停","×","－"),"")</f>
        <v>×</v>
      </c>
      <c r="BU31" s="35" t="str">
        <f aca="false">IFERROR(CHOOSE(MATCH(INDEX(時間ごとの判定!$AW$3:$AW$1850,669),{"利用可","両方停止","運転がそろわない","判定不能"},0),"○","停","×","－"),"")</f>
        <v>×</v>
      </c>
      <c r="BV31" s="35" t="str">
        <f aca="false">IFERROR(CHOOSE(MATCH(INDEX(時間ごとの判定!$AW$3:$AW$1850,670),{"利用可","両方停止","運転がそろわない","判定不能"},0),"○","停","×","－"),"")</f>
        <v>停</v>
      </c>
      <c r="BW31" s="35" t="str">
        <f aca="false">IFERROR(CHOOSE(MATCH(INDEX(時間ごとの判定!$AW$3:$AW$1850,671),{"利用可","両方停止","運転がそろわない","判定不能"},0),"○","停","×","－"),"")</f>
        <v>停</v>
      </c>
      <c r="BX31" s="35" t="str">
        <f aca="false">IFERROR(CHOOSE(MATCH(INDEX(時間ごとの判定!$AW$3:$AW$1850,672),{"利用可","両方停止","運転がそろわない","判定不能"},0),"○","停","×","－"),"")</f>
        <v>停</v>
      </c>
    </row>
    <row r="32" customFormat="false" ht="15" hidden="false" customHeight="false" outlineLevel="0" collapsed="false">
      <c r="A32" s="33" t="n">
        <v>46260</v>
      </c>
      <c r="B32" s="34" t="s">
        <v>58</v>
      </c>
      <c r="C32" s="35" t="str">
        <f aca="false">IFERROR(CHOOSE(MATCH(INDEX(時間ごとの判定!$AQ$3:$AQ$1850,673),{"利用可","両方停止","運転がそろわない","判定不能"},0),"○","停","×","－"),"")</f>
        <v>停</v>
      </c>
      <c r="D32" s="35" t="str">
        <f aca="false">IFERROR(CHOOSE(MATCH(INDEX(時間ごとの判定!$AQ$3:$AQ$1850,674),{"利用可","両方停止","運転がそろわない","判定不能"},0),"○","停","×","－"),"")</f>
        <v>停</v>
      </c>
      <c r="E32" s="35" t="str">
        <f aca="false">IFERROR(CHOOSE(MATCH(INDEX(時間ごとの判定!$AQ$3:$AQ$1850,675),{"利用可","両方停止","運転がそろわない","判定不能"},0),"○","停","×","－"),"")</f>
        <v>停</v>
      </c>
      <c r="F32" s="35" t="str">
        <f aca="false">IFERROR(CHOOSE(MATCH(INDEX(時間ごとの判定!$AQ$3:$AQ$1850,676),{"利用可","両方停止","運転がそろわない","判定不能"},0),"○","停","×","－"),"")</f>
        <v>停</v>
      </c>
      <c r="G32" s="35" t="str">
        <f aca="false">IFERROR(CHOOSE(MATCH(INDEX(時間ごとの判定!$AQ$3:$AQ$1850,677),{"利用可","両方停止","運転がそろわない","判定不能"},0),"○","停","×","－"),"")</f>
        <v>停</v>
      </c>
      <c r="H32" s="35" t="str">
        <f aca="false">IFERROR(CHOOSE(MATCH(INDEX(時間ごとの判定!$AQ$3:$AQ$1850,678),{"利用可","両方停止","運転がそろわない","判定不能"},0),"○","停","×","－"),"")</f>
        <v>停</v>
      </c>
      <c r="I32" s="35" t="str">
        <f aca="false">IFERROR(CHOOSE(MATCH(INDEX(時間ごとの判定!$AQ$3:$AQ$1850,679),{"利用可","両方停止","運転がそろわない","判定不能"},0),"○","停","×","－"),"")</f>
        <v>×</v>
      </c>
      <c r="J32" s="35" t="str">
        <f aca="false">IFERROR(CHOOSE(MATCH(INDEX(時間ごとの判定!$AQ$3:$AQ$1850,680),{"利用可","両方停止","運転がそろわない","判定不能"},0),"○","停","×","－"),"")</f>
        <v>×</v>
      </c>
      <c r="K32" s="35" t="str">
        <f aca="false">IFERROR(CHOOSE(MATCH(INDEX(時間ごとの判定!$AQ$3:$AQ$1850,681),{"利用可","両方停止","運転がそろわない","判定不能"},0),"○","停","×","－"),"")</f>
        <v>○</v>
      </c>
      <c r="L32" s="35" t="str">
        <f aca="false">IFERROR(CHOOSE(MATCH(INDEX(時間ごとの判定!$AQ$3:$AQ$1850,682),{"利用可","両方停止","運転がそろわない","判定不能"},0),"○","停","×","－"),"")</f>
        <v>○</v>
      </c>
      <c r="M32" s="35" t="str">
        <f aca="false">IFERROR(CHOOSE(MATCH(INDEX(時間ごとの判定!$AQ$3:$AQ$1850,683),{"利用可","両方停止","運転がそろわない","判定不能"},0),"○","停","×","－"),"")</f>
        <v>○</v>
      </c>
      <c r="N32" s="35" t="str">
        <f aca="false">IFERROR(CHOOSE(MATCH(INDEX(時間ごとの判定!$AQ$3:$AQ$1850,684),{"利用可","両方停止","運転がそろわない","判定不能"},0),"○","停","×","－"),"")</f>
        <v>○</v>
      </c>
      <c r="O32" s="35" t="str">
        <f aca="false">IFERROR(CHOOSE(MATCH(INDEX(時間ごとの判定!$AQ$3:$AQ$1850,685),{"利用可","両方停止","運転がそろわない","判定不能"},0),"○","停","×","－"),"")</f>
        <v>○</v>
      </c>
      <c r="P32" s="35" t="str">
        <f aca="false">IFERROR(CHOOSE(MATCH(INDEX(時間ごとの判定!$AQ$3:$AQ$1850,686),{"利用可","両方停止","運転がそろわない","判定不能"},0),"○","停","×","－"),"")</f>
        <v>○</v>
      </c>
      <c r="Q32" s="35" t="str">
        <f aca="false">IFERROR(CHOOSE(MATCH(INDEX(時間ごとの判定!$AQ$3:$AQ$1850,687),{"利用可","両方停止","運転がそろわない","判定不能"},0),"○","停","×","－"),"")</f>
        <v>○</v>
      </c>
      <c r="R32" s="35" t="str">
        <f aca="false">IFERROR(CHOOSE(MATCH(INDEX(時間ごとの判定!$AQ$3:$AQ$1850,688),{"利用可","両方停止","運転がそろわない","判定不能"},0),"○","停","×","－"),"")</f>
        <v>○</v>
      </c>
      <c r="S32" s="35" t="str">
        <f aca="false">IFERROR(CHOOSE(MATCH(INDEX(時間ごとの判定!$AQ$3:$AQ$1850,689),{"利用可","両方停止","運転がそろわない","判定不能"},0),"○","停","×","－"),"")</f>
        <v>○</v>
      </c>
      <c r="T32" s="35" t="str">
        <f aca="false">IFERROR(CHOOSE(MATCH(INDEX(時間ごとの判定!$AQ$3:$AQ$1850,690),{"利用可","両方停止","運転がそろわない","判定不能"},0),"○","停","×","－"),"")</f>
        <v>○</v>
      </c>
      <c r="U32" s="35" t="str">
        <f aca="false">IFERROR(CHOOSE(MATCH(INDEX(時間ごとの判定!$AQ$3:$AQ$1850,691),{"利用可","両方停止","運転がそろわない","判定不能"},0),"○","停","×","－"),"")</f>
        <v>○</v>
      </c>
      <c r="V32" s="35" t="str">
        <f aca="false">IFERROR(CHOOSE(MATCH(INDEX(時間ごとの判定!$AQ$3:$AQ$1850,692),{"利用可","両方停止","運転がそろわない","判定不能"},0),"○","停","×","－"),"")</f>
        <v>×</v>
      </c>
      <c r="W32" s="35" t="str">
        <f aca="false">IFERROR(CHOOSE(MATCH(INDEX(時間ごとの判定!$AQ$3:$AQ$1850,693),{"利用可","両方停止","運転がそろわない","判定不能"},0),"○","停","×","－"),"")</f>
        <v>○</v>
      </c>
      <c r="X32" s="35" t="str">
        <f aca="false">IFERROR(CHOOSE(MATCH(INDEX(時間ごとの判定!$AQ$3:$AQ$1850,694),{"利用可","両方停止","運転がそろわない","判定不能"},0),"○","停","×","－"),"")</f>
        <v>×</v>
      </c>
      <c r="Y32" s="35" t="str">
        <f aca="false">IFERROR(CHOOSE(MATCH(INDEX(時間ごとの判定!$AQ$3:$AQ$1850,695),{"利用可","両方停止","運転がそろわない","判定不能"},0),"○","停","×","－"),"")</f>
        <v>停</v>
      </c>
      <c r="Z32" s="35" t="str">
        <f aca="false">IFERROR(CHOOSE(MATCH(INDEX(時間ごとの判定!$AQ$3:$AQ$1850,696),{"利用可","両方停止","運転がそろわない","判定不能"},0),"○","停","×","－"),"")</f>
        <v>停</v>
      </c>
      <c r="AA32" s="35"/>
      <c r="AB32" s="35" t="str">
        <f aca="false">IFERROR(CHOOSE(MATCH(INDEX(時間ごとの判定!$AT$3:$AT$1850,673),{"利用可","両方停止","運転がそろわない","判定不能"},0),"○","停","×","－"),"")</f>
        <v>停</v>
      </c>
      <c r="AC32" s="35" t="str">
        <f aca="false">IFERROR(CHOOSE(MATCH(INDEX(時間ごとの判定!$AT$3:$AT$1850,674),{"利用可","両方停止","運転がそろわない","判定不能"},0),"○","停","×","－"),"")</f>
        <v>停</v>
      </c>
      <c r="AD32" s="35" t="str">
        <f aca="false">IFERROR(CHOOSE(MATCH(INDEX(時間ごとの判定!$AT$3:$AT$1850,675),{"利用可","両方停止","運転がそろわない","判定不能"},0),"○","停","×","－"),"")</f>
        <v>停</v>
      </c>
      <c r="AE32" s="35" t="str">
        <f aca="false">IFERROR(CHOOSE(MATCH(INDEX(時間ごとの判定!$AT$3:$AT$1850,676),{"利用可","両方停止","運転がそろわない","判定不能"},0),"○","停","×","－"),"")</f>
        <v>停</v>
      </c>
      <c r="AF32" s="35" t="str">
        <f aca="false">IFERROR(CHOOSE(MATCH(INDEX(時間ごとの判定!$AT$3:$AT$1850,677),{"利用可","両方停止","運転がそろわない","判定不能"},0),"○","停","×","－"),"")</f>
        <v>停</v>
      </c>
      <c r="AG32" s="35" t="str">
        <f aca="false">IFERROR(CHOOSE(MATCH(INDEX(時間ごとの判定!$AT$3:$AT$1850,678),{"利用可","両方停止","運転がそろわない","判定不能"},0),"○","停","×","－"),"")</f>
        <v>停</v>
      </c>
      <c r="AH32" s="35" t="str">
        <f aca="false">IFERROR(CHOOSE(MATCH(INDEX(時間ごとの判定!$AT$3:$AT$1850,679),{"利用可","両方停止","運転がそろわない","判定不能"},0),"○","停","×","－"),"")</f>
        <v>×</v>
      </c>
      <c r="AI32" s="35" t="str">
        <f aca="false">IFERROR(CHOOSE(MATCH(INDEX(時間ごとの判定!$AT$3:$AT$1850,680),{"利用可","両方停止","運転がそろわない","判定不能"},0),"○","停","×","－"),"")</f>
        <v>×</v>
      </c>
      <c r="AJ32" s="35" t="str">
        <f aca="false">IFERROR(CHOOSE(MATCH(INDEX(時間ごとの判定!$AT$3:$AT$1850,681),{"利用可","両方停止","運転がそろわない","判定不能"},0),"○","停","×","－"),"")</f>
        <v>○</v>
      </c>
      <c r="AK32" s="35" t="str">
        <f aca="false">IFERROR(CHOOSE(MATCH(INDEX(時間ごとの判定!$AT$3:$AT$1850,682),{"利用可","両方停止","運転がそろわない","判定不能"},0),"○","停","×","－"),"")</f>
        <v>○</v>
      </c>
      <c r="AL32" s="35" t="str">
        <f aca="false">IFERROR(CHOOSE(MATCH(INDEX(時間ごとの判定!$AT$3:$AT$1850,683),{"利用可","両方停止","運転がそろわない","判定不能"},0),"○","停","×","－"),"")</f>
        <v>○</v>
      </c>
      <c r="AM32" s="35" t="str">
        <f aca="false">IFERROR(CHOOSE(MATCH(INDEX(時間ごとの判定!$AT$3:$AT$1850,684),{"利用可","両方停止","運転がそろわない","判定不能"},0),"○","停","×","－"),"")</f>
        <v>○</v>
      </c>
      <c r="AN32" s="35" t="str">
        <f aca="false">IFERROR(CHOOSE(MATCH(INDEX(時間ごとの判定!$AT$3:$AT$1850,685),{"利用可","両方停止","運転がそろわない","判定不能"},0),"○","停","×","－"),"")</f>
        <v>○</v>
      </c>
      <c r="AO32" s="35" t="str">
        <f aca="false">IFERROR(CHOOSE(MATCH(INDEX(時間ごとの判定!$AT$3:$AT$1850,686),{"利用可","両方停止","運転がそろわない","判定不能"},0),"○","停","×","－"),"")</f>
        <v>○</v>
      </c>
      <c r="AP32" s="35" t="str">
        <f aca="false">IFERROR(CHOOSE(MATCH(INDEX(時間ごとの判定!$AT$3:$AT$1850,687),{"利用可","両方停止","運転がそろわない","判定不能"},0),"○","停","×","－"),"")</f>
        <v>○</v>
      </c>
      <c r="AQ32" s="35" t="str">
        <f aca="false">IFERROR(CHOOSE(MATCH(INDEX(時間ごとの判定!$AT$3:$AT$1850,688),{"利用可","両方停止","運転がそろわない","判定不能"},0),"○","停","×","－"),"")</f>
        <v>○</v>
      </c>
      <c r="AR32" s="35" t="str">
        <f aca="false">IFERROR(CHOOSE(MATCH(INDEX(時間ごとの判定!$AT$3:$AT$1850,689),{"利用可","両方停止","運転がそろわない","判定不能"},0),"○","停","×","－"),"")</f>
        <v>○</v>
      </c>
      <c r="AS32" s="35" t="str">
        <f aca="false">IFERROR(CHOOSE(MATCH(INDEX(時間ごとの判定!$AT$3:$AT$1850,690),{"利用可","両方停止","運転がそろわない","判定不能"},0),"○","停","×","－"),"")</f>
        <v>○</v>
      </c>
      <c r="AT32" s="35" t="str">
        <f aca="false">IFERROR(CHOOSE(MATCH(INDEX(時間ごとの判定!$AT$3:$AT$1850,691),{"利用可","両方停止","運転がそろわない","判定不能"},0),"○","停","×","－"),"")</f>
        <v>○</v>
      </c>
      <c r="AU32" s="35" t="str">
        <f aca="false">IFERROR(CHOOSE(MATCH(INDEX(時間ごとの判定!$AT$3:$AT$1850,692),{"利用可","両方停止","運転がそろわない","判定不能"},0),"○","停","×","－"),"")</f>
        <v>×</v>
      </c>
      <c r="AV32" s="35" t="str">
        <f aca="false">IFERROR(CHOOSE(MATCH(INDEX(時間ごとの判定!$AT$3:$AT$1850,693),{"利用可","両方停止","運転がそろわない","判定不能"},0),"○","停","×","－"),"")</f>
        <v>×</v>
      </c>
      <c r="AW32" s="35" t="str">
        <f aca="false">IFERROR(CHOOSE(MATCH(INDEX(時間ごとの判定!$AT$3:$AT$1850,694),{"利用可","両方停止","運転がそろわない","判定不能"},0),"○","停","×","－"),"")</f>
        <v>停</v>
      </c>
      <c r="AX32" s="35" t="str">
        <f aca="false">IFERROR(CHOOSE(MATCH(INDEX(時間ごとの判定!$AT$3:$AT$1850,695),{"利用可","両方停止","運転がそろわない","判定不能"},0),"○","停","×","－"),"")</f>
        <v>停</v>
      </c>
      <c r="AY32" s="35" t="str">
        <f aca="false">IFERROR(CHOOSE(MATCH(INDEX(時間ごとの判定!$AT$3:$AT$1850,696),{"利用可","両方停止","運転がそろわない","判定不能"},0),"○","停","×","－"),"")</f>
        <v>停</v>
      </c>
      <c r="AZ32" s="35"/>
      <c r="BA32" s="35" t="str">
        <f aca="false">IFERROR(CHOOSE(MATCH(INDEX(時間ごとの判定!$AW$3:$AW$1850,673),{"利用可","両方停止","運転がそろわない","判定不能"},0),"○","停","×","－"),"")</f>
        <v>停</v>
      </c>
      <c r="BB32" s="35" t="str">
        <f aca="false">IFERROR(CHOOSE(MATCH(INDEX(時間ごとの判定!$AW$3:$AW$1850,674),{"利用可","両方停止","運転がそろわない","判定不能"},0),"○","停","×","－"),"")</f>
        <v>停</v>
      </c>
      <c r="BC32" s="35" t="str">
        <f aca="false">IFERROR(CHOOSE(MATCH(INDEX(時間ごとの判定!$AW$3:$AW$1850,675),{"利用可","両方停止","運転がそろわない","判定不能"},0),"○","停","×","－"),"")</f>
        <v>停</v>
      </c>
      <c r="BD32" s="35" t="str">
        <f aca="false">IFERROR(CHOOSE(MATCH(INDEX(時間ごとの判定!$AW$3:$AW$1850,676),{"利用可","両方停止","運転がそろわない","判定不能"},0),"○","停","×","－"),"")</f>
        <v>停</v>
      </c>
      <c r="BE32" s="35" t="str">
        <f aca="false">IFERROR(CHOOSE(MATCH(INDEX(時間ごとの判定!$AW$3:$AW$1850,677),{"利用可","両方停止","運転がそろわない","判定不能"},0),"○","停","×","－"),"")</f>
        <v>停</v>
      </c>
      <c r="BF32" s="35" t="str">
        <f aca="false">IFERROR(CHOOSE(MATCH(INDEX(時間ごとの判定!$AW$3:$AW$1850,678),{"利用可","両方停止","運転がそろわない","判定不能"},0),"○","停","×","－"),"")</f>
        <v>停</v>
      </c>
      <c r="BG32" s="35" t="str">
        <f aca="false">IFERROR(CHOOSE(MATCH(INDEX(時間ごとの判定!$AW$3:$AW$1850,679),{"利用可","両方停止","運転がそろわない","判定不能"},0),"○","停","×","－"),"")</f>
        <v>×</v>
      </c>
      <c r="BH32" s="35" t="str">
        <f aca="false">IFERROR(CHOOSE(MATCH(INDEX(時間ごとの判定!$AW$3:$AW$1850,680),{"利用可","両方停止","運転がそろわない","判定不能"},0),"○","停","×","－"),"")</f>
        <v>×</v>
      </c>
      <c r="BI32" s="35" t="str">
        <f aca="false">IFERROR(CHOOSE(MATCH(INDEX(時間ごとの判定!$AW$3:$AW$1850,681),{"利用可","両方停止","運転がそろわない","判定不能"},0),"○","停","×","－"),"")</f>
        <v>○</v>
      </c>
      <c r="BJ32" s="35" t="str">
        <f aca="false">IFERROR(CHOOSE(MATCH(INDEX(時間ごとの判定!$AW$3:$AW$1850,682),{"利用可","両方停止","運転がそろわない","判定不能"},0),"○","停","×","－"),"")</f>
        <v>○</v>
      </c>
      <c r="BK32" s="35" t="str">
        <f aca="false">IFERROR(CHOOSE(MATCH(INDEX(時間ごとの判定!$AW$3:$AW$1850,683),{"利用可","両方停止","運転がそろわない","判定不能"},0),"○","停","×","－"),"")</f>
        <v>○</v>
      </c>
      <c r="BL32" s="35" t="str">
        <f aca="false">IFERROR(CHOOSE(MATCH(INDEX(時間ごとの判定!$AW$3:$AW$1850,684),{"利用可","両方停止","運転がそろわない","判定不能"},0),"○","停","×","－"),"")</f>
        <v>○</v>
      </c>
      <c r="BM32" s="35" t="str">
        <f aca="false">IFERROR(CHOOSE(MATCH(INDEX(時間ごとの判定!$AW$3:$AW$1850,685),{"利用可","両方停止","運転がそろわない","判定不能"},0),"○","停","×","－"),"")</f>
        <v>○</v>
      </c>
      <c r="BN32" s="35" t="str">
        <f aca="false">IFERROR(CHOOSE(MATCH(INDEX(時間ごとの判定!$AW$3:$AW$1850,686),{"利用可","両方停止","運転がそろわない","判定不能"},0),"○","停","×","－"),"")</f>
        <v>○</v>
      </c>
      <c r="BO32" s="35" t="str">
        <f aca="false">IFERROR(CHOOSE(MATCH(INDEX(時間ごとの判定!$AW$3:$AW$1850,687),{"利用可","両方停止","運転がそろわない","判定不能"},0),"○","停","×","－"),"")</f>
        <v>○</v>
      </c>
      <c r="BP32" s="35" t="str">
        <f aca="false">IFERROR(CHOOSE(MATCH(INDEX(時間ごとの判定!$AW$3:$AW$1850,688),{"利用可","両方停止","運転がそろわない","判定不能"},0),"○","停","×","－"),"")</f>
        <v>○</v>
      </c>
      <c r="BQ32" s="35" t="str">
        <f aca="false">IFERROR(CHOOSE(MATCH(INDEX(時間ごとの判定!$AW$3:$AW$1850,689),{"利用可","両方停止","運転がそろわない","判定不能"},0),"○","停","×","－"),"")</f>
        <v>○</v>
      </c>
      <c r="BR32" s="35" t="str">
        <f aca="false">IFERROR(CHOOSE(MATCH(INDEX(時間ごとの判定!$AW$3:$AW$1850,690),{"利用可","両方停止","運転がそろわない","判定不能"},0),"○","停","×","－"),"")</f>
        <v>○</v>
      </c>
      <c r="BS32" s="35" t="str">
        <f aca="false">IFERROR(CHOOSE(MATCH(INDEX(時間ごとの判定!$AW$3:$AW$1850,691),{"利用可","両方停止","運転がそろわない","判定不能"},0),"○","停","×","－"),"")</f>
        <v>○</v>
      </c>
      <c r="BT32" s="35" t="str">
        <f aca="false">IFERROR(CHOOSE(MATCH(INDEX(時間ごとの判定!$AW$3:$AW$1850,692),{"利用可","両方停止","運転がそろわない","判定不能"},0),"○","停","×","－"),"")</f>
        <v>×</v>
      </c>
      <c r="BU32" s="35" t="str">
        <f aca="false">IFERROR(CHOOSE(MATCH(INDEX(時間ごとの判定!$AW$3:$AW$1850,693),{"利用可","両方停止","運転がそろわない","判定不能"},0),"○","停","×","－"),"")</f>
        <v>×</v>
      </c>
      <c r="BV32" s="35" t="str">
        <f aca="false">IFERROR(CHOOSE(MATCH(INDEX(時間ごとの判定!$AW$3:$AW$1850,694),{"利用可","両方停止","運転がそろわない","判定不能"},0),"○","停","×","－"),"")</f>
        <v>停</v>
      </c>
      <c r="BW32" s="35" t="str">
        <f aca="false">IFERROR(CHOOSE(MATCH(INDEX(時間ごとの判定!$AW$3:$AW$1850,695),{"利用可","両方停止","運転がそろわない","判定不能"},0),"○","停","×","－"),"")</f>
        <v>停</v>
      </c>
      <c r="BX32" s="35" t="str">
        <f aca="false">IFERROR(CHOOSE(MATCH(INDEX(時間ごとの判定!$AW$3:$AW$1850,696),{"利用可","両方停止","運転がそろわない","判定不能"},0),"○","停","×","－"),"")</f>
        <v>停</v>
      </c>
    </row>
    <row r="33" customFormat="false" ht="15" hidden="false" customHeight="false" outlineLevel="0" collapsed="false">
      <c r="A33" s="33" t="n">
        <v>46261</v>
      </c>
      <c r="B33" s="34" t="s">
        <v>61</v>
      </c>
      <c r="C33" s="35" t="str">
        <f aca="false">IFERROR(CHOOSE(MATCH(INDEX(時間ごとの判定!$AQ$3:$AQ$1850,697),{"利用可","両方停止","運転がそろわない","判定不能"},0),"○","停","×","－"),"")</f>
        <v>停</v>
      </c>
      <c r="D33" s="35" t="str">
        <f aca="false">IFERROR(CHOOSE(MATCH(INDEX(時間ごとの判定!$AQ$3:$AQ$1850,698),{"利用可","両方停止","運転がそろわない","判定不能"},0),"○","停","×","－"),"")</f>
        <v>停</v>
      </c>
      <c r="E33" s="35" t="str">
        <f aca="false">IFERROR(CHOOSE(MATCH(INDEX(時間ごとの判定!$AQ$3:$AQ$1850,699),{"利用可","両方停止","運転がそろわない","判定不能"},0),"○","停","×","－"),"")</f>
        <v>停</v>
      </c>
      <c r="F33" s="35" t="str">
        <f aca="false">IFERROR(CHOOSE(MATCH(INDEX(時間ごとの判定!$AQ$3:$AQ$1850,700),{"利用可","両方停止","運転がそろわない","判定不能"},0),"○","停","×","－"),"")</f>
        <v>停</v>
      </c>
      <c r="G33" s="35" t="str">
        <f aca="false">IFERROR(CHOOSE(MATCH(INDEX(時間ごとの判定!$AQ$3:$AQ$1850,701),{"利用可","両方停止","運転がそろわない","判定不能"},0),"○","停","×","－"),"")</f>
        <v>停</v>
      </c>
      <c r="H33" s="35" t="str">
        <f aca="false">IFERROR(CHOOSE(MATCH(INDEX(時間ごとの判定!$AQ$3:$AQ$1850,702),{"利用可","両方停止","運転がそろわない","判定不能"},0),"○","停","×","－"),"")</f>
        <v>停</v>
      </c>
      <c r="I33" s="35" t="str">
        <f aca="false">IFERROR(CHOOSE(MATCH(INDEX(時間ごとの判定!$AQ$3:$AQ$1850,703),{"利用可","両方停止","運転がそろわない","判定不能"},0),"○","停","×","－"),"")</f>
        <v>×</v>
      </c>
      <c r="J33" s="35" t="str">
        <f aca="false">IFERROR(CHOOSE(MATCH(INDEX(時間ごとの判定!$AQ$3:$AQ$1850,704),{"利用可","両方停止","運転がそろわない","判定不能"},0),"○","停","×","－"),"")</f>
        <v>×</v>
      </c>
      <c r="K33" s="35" t="str">
        <f aca="false">IFERROR(CHOOSE(MATCH(INDEX(時間ごとの判定!$AQ$3:$AQ$1850,705),{"利用可","両方停止","運転がそろわない","判定不能"},0),"○","停","×","－"),"")</f>
        <v>○</v>
      </c>
      <c r="L33" s="35" t="str">
        <f aca="false">IFERROR(CHOOSE(MATCH(INDEX(時間ごとの判定!$AQ$3:$AQ$1850,706),{"利用可","両方停止","運転がそろわない","判定不能"},0),"○","停","×","－"),"")</f>
        <v>○</v>
      </c>
      <c r="M33" s="35" t="str">
        <f aca="false">IFERROR(CHOOSE(MATCH(INDEX(時間ごとの判定!$AQ$3:$AQ$1850,707),{"利用可","両方停止","運転がそろわない","判定不能"},0),"○","停","×","－"),"")</f>
        <v>○</v>
      </c>
      <c r="N33" s="35" t="str">
        <f aca="false">IFERROR(CHOOSE(MATCH(INDEX(時間ごとの判定!$AQ$3:$AQ$1850,708),{"利用可","両方停止","運転がそろわない","判定不能"},0),"○","停","×","－"),"")</f>
        <v>○</v>
      </c>
      <c r="O33" s="35" t="str">
        <f aca="false">IFERROR(CHOOSE(MATCH(INDEX(時間ごとの判定!$AQ$3:$AQ$1850,709),{"利用可","両方停止","運転がそろわない","判定不能"},0),"○","停","×","－"),"")</f>
        <v>○</v>
      </c>
      <c r="P33" s="35" t="str">
        <f aca="false">IFERROR(CHOOSE(MATCH(INDEX(時間ごとの判定!$AQ$3:$AQ$1850,710),{"利用可","両方停止","運転がそろわない","判定不能"},0),"○","停","×","－"),"")</f>
        <v>○</v>
      </c>
      <c r="Q33" s="35" t="str">
        <f aca="false">IFERROR(CHOOSE(MATCH(INDEX(時間ごとの判定!$AQ$3:$AQ$1850,711),{"利用可","両方停止","運転がそろわない","判定不能"},0),"○","停","×","－"),"")</f>
        <v>○</v>
      </c>
      <c r="R33" s="35" t="str">
        <f aca="false">IFERROR(CHOOSE(MATCH(INDEX(時間ごとの判定!$AQ$3:$AQ$1850,712),{"利用可","両方停止","運転がそろわない","判定不能"},0),"○","停","×","－"),"")</f>
        <v>○</v>
      </c>
      <c r="S33" s="35" t="str">
        <f aca="false">IFERROR(CHOOSE(MATCH(INDEX(時間ごとの判定!$AQ$3:$AQ$1850,713),{"利用可","両方停止","運転がそろわない","判定不能"},0),"○","停","×","－"),"")</f>
        <v>○</v>
      </c>
      <c r="T33" s="35" t="str">
        <f aca="false">IFERROR(CHOOSE(MATCH(INDEX(時間ごとの判定!$AQ$3:$AQ$1850,714),{"利用可","両方停止","運転がそろわない","判定不能"},0),"○","停","×","－"),"")</f>
        <v>○</v>
      </c>
      <c r="U33" s="35" t="str">
        <f aca="false">IFERROR(CHOOSE(MATCH(INDEX(時間ごとの判定!$AQ$3:$AQ$1850,715),{"利用可","両方停止","運転がそろわない","判定不能"},0),"○","停","×","－"),"")</f>
        <v>○</v>
      </c>
      <c r="V33" s="35" t="str">
        <f aca="false">IFERROR(CHOOSE(MATCH(INDEX(時間ごとの判定!$AQ$3:$AQ$1850,716),{"利用可","両方停止","運転がそろわない","判定不能"},0),"○","停","×","－"),"")</f>
        <v>×</v>
      </c>
      <c r="W33" s="35" t="str">
        <f aca="false">IFERROR(CHOOSE(MATCH(INDEX(時間ごとの判定!$AQ$3:$AQ$1850,717),{"利用可","両方停止","運転がそろわない","判定不能"},0),"○","停","×","－"),"")</f>
        <v>×</v>
      </c>
      <c r="X33" s="35" t="str">
        <f aca="false">IFERROR(CHOOSE(MATCH(INDEX(時間ごとの判定!$AQ$3:$AQ$1850,718),{"利用可","両方停止","運転がそろわない","判定不能"},0),"○","停","×","－"),"")</f>
        <v>停</v>
      </c>
      <c r="Y33" s="35" t="str">
        <f aca="false">IFERROR(CHOOSE(MATCH(INDEX(時間ごとの判定!$AQ$3:$AQ$1850,719),{"利用可","両方停止","運転がそろわない","判定不能"},0),"○","停","×","－"),"")</f>
        <v>停</v>
      </c>
      <c r="Z33" s="35" t="str">
        <f aca="false">IFERROR(CHOOSE(MATCH(INDEX(時間ごとの判定!$AQ$3:$AQ$1850,720),{"利用可","両方停止","運転がそろわない","判定不能"},0),"○","停","×","－"),"")</f>
        <v>停</v>
      </c>
      <c r="AA33" s="35"/>
      <c r="AB33" s="35" t="str">
        <f aca="false">IFERROR(CHOOSE(MATCH(INDEX(時間ごとの判定!$AT$3:$AT$1850,697),{"利用可","両方停止","運転がそろわない","判定不能"},0),"○","停","×","－"),"")</f>
        <v>停</v>
      </c>
      <c r="AC33" s="35" t="str">
        <f aca="false">IFERROR(CHOOSE(MATCH(INDEX(時間ごとの判定!$AT$3:$AT$1850,698),{"利用可","両方停止","運転がそろわない","判定不能"},0),"○","停","×","－"),"")</f>
        <v>停</v>
      </c>
      <c r="AD33" s="35" t="str">
        <f aca="false">IFERROR(CHOOSE(MATCH(INDEX(時間ごとの判定!$AT$3:$AT$1850,699),{"利用可","両方停止","運転がそろわない","判定不能"},0),"○","停","×","－"),"")</f>
        <v>停</v>
      </c>
      <c r="AE33" s="35" t="str">
        <f aca="false">IFERROR(CHOOSE(MATCH(INDEX(時間ごとの判定!$AT$3:$AT$1850,700),{"利用可","両方停止","運転がそろわない","判定不能"},0),"○","停","×","－"),"")</f>
        <v>停</v>
      </c>
      <c r="AF33" s="35" t="str">
        <f aca="false">IFERROR(CHOOSE(MATCH(INDEX(時間ごとの判定!$AT$3:$AT$1850,701),{"利用可","両方停止","運転がそろわない","判定不能"},0),"○","停","×","－"),"")</f>
        <v>停</v>
      </c>
      <c r="AG33" s="35" t="str">
        <f aca="false">IFERROR(CHOOSE(MATCH(INDEX(時間ごとの判定!$AT$3:$AT$1850,702),{"利用可","両方停止","運転がそろわない","判定不能"},0),"○","停","×","－"),"")</f>
        <v>停</v>
      </c>
      <c r="AH33" s="35" t="str">
        <f aca="false">IFERROR(CHOOSE(MATCH(INDEX(時間ごとの判定!$AT$3:$AT$1850,703),{"利用可","両方停止","運転がそろわない","判定不能"},0),"○","停","×","－"),"")</f>
        <v>×</v>
      </c>
      <c r="AI33" s="35" t="str">
        <f aca="false">IFERROR(CHOOSE(MATCH(INDEX(時間ごとの判定!$AT$3:$AT$1850,704),{"利用可","両方停止","運転がそろわない","判定不能"},0),"○","停","×","－"),"")</f>
        <v>×</v>
      </c>
      <c r="AJ33" s="35" t="str">
        <f aca="false">IFERROR(CHOOSE(MATCH(INDEX(時間ごとの判定!$AT$3:$AT$1850,705),{"利用可","両方停止","運転がそろわない","判定不能"},0),"○","停","×","－"),"")</f>
        <v>○</v>
      </c>
      <c r="AK33" s="35" t="str">
        <f aca="false">IFERROR(CHOOSE(MATCH(INDEX(時間ごとの判定!$AT$3:$AT$1850,706),{"利用可","両方停止","運転がそろわない","判定不能"},0),"○","停","×","－"),"")</f>
        <v>○</v>
      </c>
      <c r="AL33" s="35" t="str">
        <f aca="false">IFERROR(CHOOSE(MATCH(INDEX(時間ごとの判定!$AT$3:$AT$1850,707),{"利用可","両方停止","運転がそろわない","判定不能"},0),"○","停","×","－"),"")</f>
        <v>○</v>
      </c>
      <c r="AM33" s="35" t="str">
        <f aca="false">IFERROR(CHOOSE(MATCH(INDEX(時間ごとの判定!$AT$3:$AT$1850,708),{"利用可","両方停止","運転がそろわない","判定不能"},0),"○","停","×","－"),"")</f>
        <v>○</v>
      </c>
      <c r="AN33" s="35" t="str">
        <f aca="false">IFERROR(CHOOSE(MATCH(INDEX(時間ごとの判定!$AT$3:$AT$1850,709),{"利用可","両方停止","運転がそろわない","判定不能"},0),"○","停","×","－"),"")</f>
        <v>○</v>
      </c>
      <c r="AO33" s="35" t="str">
        <f aca="false">IFERROR(CHOOSE(MATCH(INDEX(時間ごとの判定!$AT$3:$AT$1850,710),{"利用可","両方停止","運転がそろわない","判定不能"},0),"○","停","×","－"),"")</f>
        <v>○</v>
      </c>
      <c r="AP33" s="35" t="str">
        <f aca="false">IFERROR(CHOOSE(MATCH(INDEX(時間ごとの判定!$AT$3:$AT$1850,711),{"利用可","両方停止","運転がそろわない","判定不能"},0),"○","停","×","－"),"")</f>
        <v>○</v>
      </c>
      <c r="AQ33" s="35" t="str">
        <f aca="false">IFERROR(CHOOSE(MATCH(INDEX(時間ごとの判定!$AT$3:$AT$1850,712),{"利用可","両方停止","運転がそろわない","判定不能"},0),"○","停","×","－"),"")</f>
        <v>○</v>
      </c>
      <c r="AR33" s="35" t="str">
        <f aca="false">IFERROR(CHOOSE(MATCH(INDEX(時間ごとの判定!$AT$3:$AT$1850,713),{"利用可","両方停止","運転がそろわない","判定不能"},0),"○","停","×","－"),"")</f>
        <v>○</v>
      </c>
      <c r="AS33" s="35" t="str">
        <f aca="false">IFERROR(CHOOSE(MATCH(INDEX(時間ごとの判定!$AT$3:$AT$1850,714),{"利用可","両方停止","運転がそろわない","判定不能"},0),"○","停","×","－"),"")</f>
        <v>○</v>
      </c>
      <c r="AT33" s="35" t="str">
        <f aca="false">IFERROR(CHOOSE(MATCH(INDEX(時間ごとの判定!$AT$3:$AT$1850,715),{"利用可","両方停止","運転がそろわない","判定不能"},0),"○","停","×","－"),"")</f>
        <v>○</v>
      </c>
      <c r="AU33" s="35" t="str">
        <f aca="false">IFERROR(CHOOSE(MATCH(INDEX(時間ごとの判定!$AT$3:$AT$1850,716),{"利用可","両方停止","運転がそろわない","判定不能"},0),"○","停","×","－"),"")</f>
        <v>×</v>
      </c>
      <c r="AV33" s="35" t="str">
        <f aca="false">IFERROR(CHOOSE(MATCH(INDEX(時間ごとの判定!$AT$3:$AT$1850,717),{"利用可","両方停止","運転がそろわない","判定不能"},0),"○","停","×","－"),"")</f>
        <v>×</v>
      </c>
      <c r="AW33" s="35" t="str">
        <f aca="false">IFERROR(CHOOSE(MATCH(INDEX(時間ごとの判定!$AT$3:$AT$1850,718),{"利用可","両方停止","運転がそろわない","判定不能"},0),"○","停","×","－"),"")</f>
        <v>停</v>
      </c>
      <c r="AX33" s="35" t="str">
        <f aca="false">IFERROR(CHOOSE(MATCH(INDEX(時間ごとの判定!$AT$3:$AT$1850,719),{"利用可","両方停止","運転がそろわない","判定不能"},0),"○","停","×","－"),"")</f>
        <v>停</v>
      </c>
      <c r="AY33" s="35" t="str">
        <f aca="false">IFERROR(CHOOSE(MATCH(INDEX(時間ごとの判定!$AT$3:$AT$1850,720),{"利用可","両方停止","運転がそろわない","判定不能"},0),"○","停","×","－"),"")</f>
        <v>停</v>
      </c>
      <c r="AZ33" s="35"/>
      <c r="BA33" s="35" t="str">
        <f aca="false">IFERROR(CHOOSE(MATCH(INDEX(時間ごとの判定!$AW$3:$AW$1850,697),{"利用可","両方停止","運転がそろわない","判定不能"},0),"○","停","×","－"),"")</f>
        <v>停</v>
      </c>
      <c r="BB33" s="35" t="str">
        <f aca="false">IFERROR(CHOOSE(MATCH(INDEX(時間ごとの判定!$AW$3:$AW$1850,698),{"利用可","両方停止","運転がそろわない","判定不能"},0),"○","停","×","－"),"")</f>
        <v>停</v>
      </c>
      <c r="BC33" s="35" t="str">
        <f aca="false">IFERROR(CHOOSE(MATCH(INDEX(時間ごとの判定!$AW$3:$AW$1850,699),{"利用可","両方停止","運転がそろわない","判定不能"},0),"○","停","×","－"),"")</f>
        <v>停</v>
      </c>
      <c r="BD33" s="35" t="str">
        <f aca="false">IFERROR(CHOOSE(MATCH(INDEX(時間ごとの判定!$AW$3:$AW$1850,700),{"利用可","両方停止","運転がそろわない","判定不能"},0),"○","停","×","－"),"")</f>
        <v>停</v>
      </c>
      <c r="BE33" s="35" t="str">
        <f aca="false">IFERROR(CHOOSE(MATCH(INDEX(時間ごとの判定!$AW$3:$AW$1850,701),{"利用可","両方停止","運転がそろわない","判定不能"},0),"○","停","×","－"),"")</f>
        <v>停</v>
      </c>
      <c r="BF33" s="35" t="str">
        <f aca="false">IFERROR(CHOOSE(MATCH(INDEX(時間ごとの判定!$AW$3:$AW$1850,702),{"利用可","両方停止","運転がそろわない","判定不能"},0),"○","停","×","－"),"")</f>
        <v>停</v>
      </c>
      <c r="BG33" s="35" t="str">
        <f aca="false">IFERROR(CHOOSE(MATCH(INDEX(時間ごとの判定!$AW$3:$AW$1850,703),{"利用可","両方停止","運転がそろわない","判定不能"},0),"○","停","×","－"),"")</f>
        <v>×</v>
      </c>
      <c r="BH33" s="35" t="str">
        <f aca="false">IFERROR(CHOOSE(MATCH(INDEX(時間ごとの判定!$AW$3:$AW$1850,704),{"利用可","両方停止","運転がそろわない","判定不能"},0),"○","停","×","－"),"")</f>
        <v>×</v>
      </c>
      <c r="BI33" s="35" t="str">
        <f aca="false">IFERROR(CHOOSE(MATCH(INDEX(時間ごとの判定!$AW$3:$AW$1850,705),{"利用可","両方停止","運転がそろわない","判定不能"},0),"○","停","×","－"),"")</f>
        <v>×</v>
      </c>
      <c r="BJ33" s="35" t="str">
        <f aca="false">IFERROR(CHOOSE(MATCH(INDEX(時間ごとの判定!$AW$3:$AW$1850,706),{"利用可","両方停止","運転がそろわない","判定不能"},0),"○","停","×","－"),"")</f>
        <v>○</v>
      </c>
      <c r="BK33" s="35" t="str">
        <f aca="false">IFERROR(CHOOSE(MATCH(INDEX(時間ごとの判定!$AW$3:$AW$1850,707),{"利用可","両方停止","運転がそろわない","判定不能"},0),"○","停","×","－"),"")</f>
        <v>○</v>
      </c>
      <c r="BL33" s="35" t="str">
        <f aca="false">IFERROR(CHOOSE(MATCH(INDEX(時間ごとの判定!$AW$3:$AW$1850,708),{"利用可","両方停止","運転がそろわない","判定不能"},0),"○","停","×","－"),"")</f>
        <v>○</v>
      </c>
      <c r="BM33" s="35" t="str">
        <f aca="false">IFERROR(CHOOSE(MATCH(INDEX(時間ごとの判定!$AW$3:$AW$1850,709),{"利用可","両方停止","運転がそろわない","判定不能"},0),"○","停","×","－"),"")</f>
        <v>○</v>
      </c>
      <c r="BN33" s="35" t="str">
        <f aca="false">IFERROR(CHOOSE(MATCH(INDEX(時間ごとの判定!$AW$3:$AW$1850,710),{"利用可","両方停止","運転がそろわない","判定不能"},0),"○","停","×","－"),"")</f>
        <v>○</v>
      </c>
      <c r="BO33" s="35" t="str">
        <f aca="false">IFERROR(CHOOSE(MATCH(INDEX(時間ごとの判定!$AW$3:$AW$1850,711),{"利用可","両方停止","運転がそろわない","判定不能"},0),"○","停","×","－"),"")</f>
        <v>○</v>
      </c>
      <c r="BP33" s="35" t="str">
        <f aca="false">IFERROR(CHOOSE(MATCH(INDEX(時間ごとの判定!$AW$3:$AW$1850,712),{"利用可","両方停止","運転がそろわない","判定不能"},0),"○","停","×","－"),"")</f>
        <v>○</v>
      </c>
      <c r="BQ33" s="35" t="str">
        <f aca="false">IFERROR(CHOOSE(MATCH(INDEX(時間ごとの判定!$AW$3:$AW$1850,713),{"利用可","両方停止","運転がそろわない","判定不能"},0),"○","停","×","－"),"")</f>
        <v>○</v>
      </c>
      <c r="BR33" s="35" t="str">
        <f aca="false">IFERROR(CHOOSE(MATCH(INDEX(時間ごとの判定!$AW$3:$AW$1850,714),{"利用可","両方停止","運転がそろわない","判定不能"},0),"○","停","×","－"),"")</f>
        <v>○</v>
      </c>
      <c r="BS33" s="35" t="str">
        <f aca="false">IFERROR(CHOOSE(MATCH(INDEX(時間ごとの判定!$AW$3:$AW$1850,715),{"利用可","両方停止","運転がそろわない","判定不能"},0),"○","停","×","－"),"")</f>
        <v>○</v>
      </c>
      <c r="BT33" s="35" t="str">
        <f aca="false">IFERROR(CHOOSE(MATCH(INDEX(時間ごとの判定!$AW$3:$AW$1850,716),{"利用可","両方停止","運転がそろわない","判定不能"},0),"○","停","×","－"),"")</f>
        <v>×</v>
      </c>
      <c r="BU33" s="35" t="str">
        <f aca="false">IFERROR(CHOOSE(MATCH(INDEX(時間ごとの判定!$AW$3:$AW$1850,717),{"利用可","両方停止","運転がそろわない","判定不能"},0),"○","停","×","－"),"")</f>
        <v>×</v>
      </c>
      <c r="BV33" s="35" t="str">
        <f aca="false">IFERROR(CHOOSE(MATCH(INDEX(時間ごとの判定!$AW$3:$AW$1850,718),{"利用可","両方停止","運転がそろわない","判定不能"},0),"○","停","×","－"),"")</f>
        <v>停</v>
      </c>
      <c r="BW33" s="35" t="str">
        <f aca="false">IFERROR(CHOOSE(MATCH(INDEX(時間ごとの判定!$AW$3:$AW$1850,719),{"利用可","両方停止","運転がそろわない","判定不能"},0),"○","停","×","－"),"")</f>
        <v>停</v>
      </c>
      <c r="BX33" s="35" t="str">
        <f aca="false">IFERROR(CHOOSE(MATCH(INDEX(時間ごとの判定!$AW$3:$AW$1850,720),{"利用可","両方停止","運転がそろわない","判定不能"},0),"○","停","×","－"),"")</f>
        <v>停</v>
      </c>
    </row>
    <row r="34" customFormat="false" ht="15" hidden="false" customHeight="false" outlineLevel="0" collapsed="false">
      <c r="A34" s="33" t="n">
        <v>46262</v>
      </c>
      <c r="B34" s="34" t="s">
        <v>62</v>
      </c>
      <c r="C34" s="35" t="str">
        <f aca="false">IFERROR(CHOOSE(MATCH(INDEX(時間ごとの判定!$AQ$3:$AQ$1850,721),{"利用可","両方停止","運転がそろわない","判定不能"},0),"○","停","×","－"),"")</f>
        <v>停</v>
      </c>
      <c r="D34" s="35" t="str">
        <f aca="false">IFERROR(CHOOSE(MATCH(INDEX(時間ごとの判定!$AQ$3:$AQ$1850,722),{"利用可","両方停止","運転がそろわない","判定不能"},0),"○","停","×","－"),"")</f>
        <v>停</v>
      </c>
      <c r="E34" s="35" t="str">
        <f aca="false">IFERROR(CHOOSE(MATCH(INDEX(時間ごとの判定!$AQ$3:$AQ$1850,723),{"利用可","両方停止","運転がそろわない","判定不能"},0),"○","停","×","－"),"")</f>
        <v>停</v>
      </c>
      <c r="F34" s="35" t="str">
        <f aca="false">IFERROR(CHOOSE(MATCH(INDEX(時間ごとの判定!$AQ$3:$AQ$1850,724),{"利用可","両方停止","運転がそろわない","判定不能"},0),"○","停","×","－"),"")</f>
        <v>停</v>
      </c>
      <c r="G34" s="35" t="str">
        <f aca="false">IFERROR(CHOOSE(MATCH(INDEX(時間ごとの判定!$AQ$3:$AQ$1850,725),{"利用可","両方停止","運転がそろわない","判定不能"},0),"○","停","×","－"),"")</f>
        <v>停</v>
      </c>
      <c r="H34" s="35" t="str">
        <f aca="false">IFERROR(CHOOSE(MATCH(INDEX(時間ごとの判定!$AQ$3:$AQ$1850,726),{"利用可","両方停止","運転がそろわない","判定不能"},0),"○","停","×","－"),"")</f>
        <v>停</v>
      </c>
      <c r="I34" s="35" t="str">
        <f aca="false">IFERROR(CHOOSE(MATCH(INDEX(時間ごとの判定!$AQ$3:$AQ$1850,727),{"利用可","両方停止","運転がそろわない","判定不能"},0),"○","停","×","－"),"")</f>
        <v>×</v>
      </c>
      <c r="J34" s="35" t="str">
        <f aca="false">IFERROR(CHOOSE(MATCH(INDEX(時間ごとの判定!$AQ$3:$AQ$1850,728),{"利用可","両方停止","運転がそろわない","判定不能"},0),"○","停","×","－"),"")</f>
        <v>×</v>
      </c>
      <c r="K34" s="35" t="str">
        <f aca="false">IFERROR(CHOOSE(MATCH(INDEX(時間ごとの判定!$AQ$3:$AQ$1850,729),{"利用可","両方停止","運転がそろわない","判定不能"},0),"○","停","×","－"),"")</f>
        <v>○</v>
      </c>
      <c r="L34" s="35" t="str">
        <f aca="false">IFERROR(CHOOSE(MATCH(INDEX(時間ごとの判定!$AQ$3:$AQ$1850,730),{"利用可","両方停止","運転がそろわない","判定不能"},0),"○","停","×","－"),"")</f>
        <v>○</v>
      </c>
      <c r="M34" s="35" t="str">
        <f aca="false">IFERROR(CHOOSE(MATCH(INDEX(時間ごとの判定!$AQ$3:$AQ$1850,731),{"利用可","両方停止","運転がそろわない","判定不能"},0),"○","停","×","－"),"")</f>
        <v>○</v>
      </c>
      <c r="N34" s="35" t="str">
        <f aca="false">IFERROR(CHOOSE(MATCH(INDEX(時間ごとの判定!$AQ$3:$AQ$1850,732),{"利用可","両方停止","運転がそろわない","判定不能"},0),"○","停","×","－"),"")</f>
        <v>○</v>
      </c>
      <c r="O34" s="35" t="str">
        <f aca="false">IFERROR(CHOOSE(MATCH(INDEX(時間ごとの判定!$AQ$3:$AQ$1850,733),{"利用可","両方停止","運転がそろわない","判定不能"},0),"○","停","×","－"),"")</f>
        <v>○</v>
      </c>
      <c r="P34" s="35" t="str">
        <f aca="false">IFERROR(CHOOSE(MATCH(INDEX(時間ごとの判定!$AQ$3:$AQ$1850,734),{"利用可","両方停止","運転がそろわない","判定不能"},0),"○","停","×","－"),"")</f>
        <v>○</v>
      </c>
      <c r="Q34" s="35" t="str">
        <f aca="false">IFERROR(CHOOSE(MATCH(INDEX(時間ごとの判定!$AQ$3:$AQ$1850,735),{"利用可","両方停止","運転がそろわない","判定不能"},0),"○","停","×","－"),"")</f>
        <v>○</v>
      </c>
      <c r="R34" s="35" t="str">
        <f aca="false">IFERROR(CHOOSE(MATCH(INDEX(時間ごとの判定!$AQ$3:$AQ$1850,736),{"利用可","両方停止","運転がそろわない","判定不能"},0),"○","停","×","－"),"")</f>
        <v>○</v>
      </c>
      <c r="S34" s="35" t="str">
        <f aca="false">IFERROR(CHOOSE(MATCH(INDEX(時間ごとの判定!$AQ$3:$AQ$1850,737),{"利用可","両方停止","運転がそろわない","判定不能"},0),"○","停","×","－"),"")</f>
        <v>○</v>
      </c>
      <c r="T34" s="35" t="str">
        <f aca="false">IFERROR(CHOOSE(MATCH(INDEX(時間ごとの判定!$AQ$3:$AQ$1850,738),{"利用可","両方停止","運転がそろわない","判定不能"},0),"○","停","×","－"),"")</f>
        <v>○</v>
      </c>
      <c r="U34" s="35" t="str">
        <f aca="false">IFERROR(CHOOSE(MATCH(INDEX(時間ごとの判定!$AQ$3:$AQ$1850,739),{"利用可","両方停止","運転がそろわない","判定不能"},0),"○","停","×","－"),"")</f>
        <v>○</v>
      </c>
      <c r="V34" s="35" t="str">
        <f aca="false">IFERROR(CHOOSE(MATCH(INDEX(時間ごとの判定!$AQ$3:$AQ$1850,740),{"利用可","両方停止","運転がそろわない","判定不能"},0),"○","停","×","－"),"")</f>
        <v>×</v>
      </c>
      <c r="W34" s="35" t="str">
        <f aca="false">IFERROR(CHOOSE(MATCH(INDEX(時間ごとの判定!$AQ$3:$AQ$1850,741),{"利用可","両方停止","運転がそろわない","判定不能"},0),"○","停","×","－"),"")</f>
        <v>×</v>
      </c>
      <c r="X34" s="35" t="str">
        <f aca="false">IFERROR(CHOOSE(MATCH(INDEX(時間ごとの判定!$AQ$3:$AQ$1850,742),{"利用可","両方停止","運転がそろわない","判定不能"},0),"○","停","×","－"),"")</f>
        <v>停</v>
      </c>
      <c r="Y34" s="35" t="str">
        <f aca="false">IFERROR(CHOOSE(MATCH(INDEX(時間ごとの判定!$AQ$3:$AQ$1850,743),{"利用可","両方停止","運転がそろわない","判定不能"},0),"○","停","×","－"),"")</f>
        <v>停</v>
      </c>
      <c r="Z34" s="35" t="str">
        <f aca="false">IFERROR(CHOOSE(MATCH(INDEX(時間ごとの判定!$AQ$3:$AQ$1850,744),{"利用可","両方停止","運転がそろわない","判定不能"},0),"○","停","×","－"),"")</f>
        <v>停</v>
      </c>
      <c r="AA34" s="35"/>
      <c r="AB34" s="35" t="str">
        <f aca="false">IFERROR(CHOOSE(MATCH(INDEX(時間ごとの判定!$AT$3:$AT$1850,721),{"利用可","両方停止","運転がそろわない","判定不能"},0),"○","停","×","－"),"")</f>
        <v>停</v>
      </c>
      <c r="AC34" s="35" t="str">
        <f aca="false">IFERROR(CHOOSE(MATCH(INDEX(時間ごとの判定!$AT$3:$AT$1850,722),{"利用可","両方停止","運転がそろわない","判定不能"},0),"○","停","×","－"),"")</f>
        <v>停</v>
      </c>
      <c r="AD34" s="35" t="str">
        <f aca="false">IFERROR(CHOOSE(MATCH(INDEX(時間ごとの判定!$AT$3:$AT$1850,723),{"利用可","両方停止","運転がそろわない","判定不能"},0),"○","停","×","－"),"")</f>
        <v>停</v>
      </c>
      <c r="AE34" s="35" t="str">
        <f aca="false">IFERROR(CHOOSE(MATCH(INDEX(時間ごとの判定!$AT$3:$AT$1850,724),{"利用可","両方停止","運転がそろわない","判定不能"},0),"○","停","×","－"),"")</f>
        <v>停</v>
      </c>
      <c r="AF34" s="35" t="str">
        <f aca="false">IFERROR(CHOOSE(MATCH(INDEX(時間ごとの判定!$AT$3:$AT$1850,725),{"利用可","両方停止","運転がそろわない","判定不能"},0),"○","停","×","－"),"")</f>
        <v>停</v>
      </c>
      <c r="AG34" s="35" t="str">
        <f aca="false">IFERROR(CHOOSE(MATCH(INDEX(時間ごとの判定!$AT$3:$AT$1850,726),{"利用可","両方停止","運転がそろわない","判定不能"},0),"○","停","×","－"),"")</f>
        <v>停</v>
      </c>
      <c r="AH34" s="35" t="str">
        <f aca="false">IFERROR(CHOOSE(MATCH(INDEX(時間ごとの判定!$AT$3:$AT$1850,727),{"利用可","両方停止","運転がそろわない","判定不能"},0),"○","停","×","－"),"")</f>
        <v>×</v>
      </c>
      <c r="AI34" s="35" t="str">
        <f aca="false">IFERROR(CHOOSE(MATCH(INDEX(時間ごとの判定!$AT$3:$AT$1850,728),{"利用可","両方停止","運転がそろわない","判定不能"},0),"○","停","×","－"),"")</f>
        <v>×</v>
      </c>
      <c r="AJ34" s="35" t="str">
        <f aca="false">IFERROR(CHOOSE(MATCH(INDEX(時間ごとの判定!$AT$3:$AT$1850,729),{"利用可","両方停止","運転がそろわない","判定不能"},0),"○","停","×","－"),"")</f>
        <v>×</v>
      </c>
      <c r="AK34" s="35" t="str">
        <f aca="false">IFERROR(CHOOSE(MATCH(INDEX(時間ごとの判定!$AT$3:$AT$1850,730),{"利用可","両方停止","運転がそろわない","判定不能"},0),"○","停","×","－"),"")</f>
        <v>○</v>
      </c>
      <c r="AL34" s="35" t="str">
        <f aca="false">IFERROR(CHOOSE(MATCH(INDEX(時間ごとの判定!$AT$3:$AT$1850,731),{"利用可","両方停止","運転がそろわない","判定不能"},0),"○","停","×","－"),"")</f>
        <v>○</v>
      </c>
      <c r="AM34" s="35" t="str">
        <f aca="false">IFERROR(CHOOSE(MATCH(INDEX(時間ごとの判定!$AT$3:$AT$1850,732),{"利用可","両方停止","運転がそろわない","判定不能"},0),"○","停","×","－"),"")</f>
        <v>○</v>
      </c>
      <c r="AN34" s="35" t="str">
        <f aca="false">IFERROR(CHOOSE(MATCH(INDEX(時間ごとの判定!$AT$3:$AT$1850,733),{"利用可","両方停止","運転がそろわない","判定不能"},0),"○","停","×","－"),"")</f>
        <v>○</v>
      </c>
      <c r="AO34" s="35" t="str">
        <f aca="false">IFERROR(CHOOSE(MATCH(INDEX(時間ごとの判定!$AT$3:$AT$1850,734),{"利用可","両方停止","運転がそろわない","判定不能"},0),"○","停","×","－"),"")</f>
        <v>○</v>
      </c>
      <c r="AP34" s="35" t="str">
        <f aca="false">IFERROR(CHOOSE(MATCH(INDEX(時間ごとの判定!$AT$3:$AT$1850,735),{"利用可","両方停止","運転がそろわない","判定不能"},0),"○","停","×","－"),"")</f>
        <v>○</v>
      </c>
      <c r="AQ34" s="35" t="str">
        <f aca="false">IFERROR(CHOOSE(MATCH(INDEX(時間ごとの判定!$AT$3:$AT$1850,736),{"利用可","両方停止","運転がそろわない","判定不能"},0),"○","停","×","－"),"")</f>
        <v>○</v>
      </c>
      <c r="AR34" s="35" t="str">
        <f aca="false">IFERROR(CHOOSE(MATCH(INDEX(時間ごとの判定!$AT$3:$AT$1850,737),{"利用可","両方停止","運転がそろわない","判定不能"},0),"○","停","×","－"),"")</f>
        <v>○</v>
      </c>
      <c r="AS34" s="35" t="str">
        <f aca="false">IFERROR(CHOOSE(MATCH(INDEX(時間ごとの判定!$AT$3:$AT$1850,738),{"利用可","両方停止","運転がそろわない","判定不能"},0),"○","停","×","－"),"")</f>
        <v>○</v>
      </c>
      <c r="AT34" s="35" t="str">
        <f aca="false">IFERROR(CHOOSE(MATCH(INDEX(時間ごとの判定!$AT$3:$AT$1850,739),{"利用可","両方停止","運転がそろわない","判定不能"},0),"○","停","×","－"),"")</f>
        <v>○</v>
      </c>
      <c r="AU34" s="35" t="str">
        <f aca="false">IFERROR(CHOOSE(MATCH(INDEX(時間ごとの判定!$AT$3:$AT$1850,740),{"利用可","両方停止","運転がそろわない","判定不能"},0),"○","停","×","－"),"")</f>
        <v>×</v>
      </c>
      <c r="AV34" s="35" t="str">
        <f aca="false">IFERROR(CHOOSE(MATCH(INDEX(時間ごとの判定!$AT$3:$AT$1850,741),{"利用可","両方停止","運転がそろわない","判定不能"},0),"○","停","×","－"),"")</f>
        <v>×</v>
      </c>
      <c r="AW34" s="35" t="str">
        <f aca="false">IFERROR(CHOOSE(MATCH(INDEX(時間ごとの判定!$AT$3:$AT$1850,742),{"利用可","両方停止","運転がそろわない","判定不能"},0),"○","停","×","－"),"")</f>
        <v>停</v>
      </c>
      <c r="AX34" s="35" t="str">
        <f aca="false">IFERROR(CHOOSE(MATCH(INDEX(時間ごとの判定!$AT$3:$AT$1850,743),{"利用可","両方停止","運転がそろわない","判定不能"},0),"○","停","×","－"),"")</f>
        <v>停</v>
      </c>
      <c r="AY34" s="35" t="str">
        <f aca="false">IFERROR(CHOOSE(MATCH(INDEX(時間ごとの判定!$AT$3:$AT$1850,744),{"利用可","両方停止","運転がそろわない","判定不能"},0),"○","停","×","－"),"")</f>
        <v>停</v>
      </c>
      <c r="AZ34" s="35"/>
      <c r="BA34" s="35" t="str">
        <f aca="false">IFERROR(CHOOSE(MATCH(INDEX(時間ごとの判定!$AW$3:$AW$1850,721),{"利用可","両方停止","運転がそろわない","判定不能"},0),"○","停","×","－"),"")</f>
        <v>停</v>
      </c>
      <c r="BB34" s="35" t="str">
        <f aca="false">IFERROR(CHOOSE(MATCH(INDEX(時間ごとの判定!$AW$3:$AW$1850,722),{"利用可","両方停止","運転がそろわない","判定不能"},0),"○","停","×","－"),"")</f>
        <v>停</v>
      </c>
      <c r="BC34" s="35" t="str">
        <f aca="false">IFERROR(CHOOSE(MATCH(INDEX(時間ごとの判定!$AW$3:$AW$1850,723),{"利用可","両方停止","運転がそろわない","判定不能"},0),"○","停","×","－"),"")</f>
        <v>停</v>
      </c>
      <c r="BD34" s="35" t="str">
        <f aca="false">IFERROR(CHOOSE(MATCH(INDEX(時間ごとの判定!$AW$3:$AW$1850,724),{"利用可","両方停止","運転がそろわない","判定不能"},0),"○","停","×","－"),"")</f>
        <v>停</v>
      </c>
      <c r="BE34" s="35" t="str">
        <f aca="false">IFERROR(CHOOSE(MATCH(INDEX(時間ごとの判定!$AW$3:$AW$1850,725),{"利用可","両方停止","運転がそろわない","判定不能"},0),"○","停","×","－"),"")</f>
        <v>停</v>
      </c>
      <c r="BF34" s="35" t="str">
        <f aca="false">IFERROR(CHOOSE(MATCH(INDEX(時間ごとの判定!$AW$3:$AW$1850,726),{"利用可","両方停止","運転がそろわない","判定不能"},0),"○","停","×","－"),"")</f>
        <v>停</v>
      </c>
      <c r="BG34" s="35" t="str">
        <f aca="false">IFERROR(CHOOSE(MATCH(INDEX(時間ごとの判定!$AW$3:$AW$1850,727),{"利用可","両方停止","運転がそろわない","判定不能"},0),"○","停","×","－"),"")</f>
        <v>×</v>
      </c>
      <c r="BH34" s="35" t="str">
        <f aca="false">IFERROR(CHOOSE(MATCH(INDEX(時間ごとの判定!$AW$3:$AW$1850,728),{"利用可","両方停止","運転がそろわない","判定不能"},0),"○","停","×","－"),"")</f>
        <v>×</v>
      </c>
      <c r="BI34" s="35" t="str">
        <f aca="false">IFERROR(CHOOSE(MATCH(INDEX(時間ごとの判定!$AW$3:$AW$1850,729),{"利用可","両方停止","運転がそろわない","判定不能"},0),"○","停","×","－"),"")</f>
        <v>×</v>
      </c>
      <c r="BJ34" s="35" t="str">
        <f aca="false">IFERROR(CHOOSE(MATCH(INDEX(時間ごとの判定!$AW$3:$AW$1850,730),{"利用可","両方停止","運転がそろわない","判定不能"},0),"○","停","×","－"),"")</f>
        <v>○</v>
      </c>
      <c r="BK34" s="35" t="str">
        <f aca="false">IFERROR(CHOOSE(MATCH(INDEX(時間ごとの判定!$AW$3:$AW$1850,731),{"利用可","両方停止","運転がそろわない","判定不能"},0),"○","停","×","－"),"")</f>
        <v>○</v>
      </c>
      <c r="BL34" s="35" t="str">
        <f aca="false">IFERROR(CHOOSE(MATCH(INDEX(時間ごとの判定!$AW$3:$AW$1850,732),{"利用可","両方停止","運転がそろわない","判定不能"},0),"○","停","×","－"),"")</f>
        <v>○</v>
      </c>
      <c r="BM34" s="35" t="str">
        <f aca="false">IFERROR(CHOOSE(MATCH(INDEX(時間ごとの判定!$AW$3:$AW$1850,733),{"利用可","両方停止","運転がそろわない","判定不能"},0),"○","停","×","－"),"")</f>
        <v>○</v>
      </c>
      <c r="BN34" s="35" t="str">
        <f aca="false">IFERROR(CHOOSE(MATCH(INDEX(時間ごとの判定!$AW$3:$AW$1850,734),{"利用可","両方停止","運転がそろわない","判定不能"},0),"○","停","×","－"),"")</f>
        <v>○</v>
      </c>
      <c r="BO34" s="35" t="str">
        <f aca="false">IFERROR(CHOOSE(MATCH(INDEX(時間ごとの判定!$AW$3:$AW$1850,735),{"利用可","両方停止","運転がそろわない","判定不能"},0),"○","停","×","－"),"")</f>
        <v>○</v>
      </c>
      <c r="BP34" s="35" t="str">
        <f aca="false">IFERROR(CHOOSE(MATCH(INDEX(時間ごとの判定!$AW$3:$AW$1850,736),{"利用可","両方停止","運転がそろわない","判定不能"},0),"○","停","×","－"),"")</f>
        <v>○</v>
      </c>
      <c r="BQ34" s="35" t="str">
        <f aca="false">IFERROR(CHOOSE(MATCH(INDEX(時間ごとの判定!$AW$3:$AW$1850,737),{"利用可","両方停止","運転がそろわない","判定不能"},0),"○","停","×","－"),"")</f>
        <v>○</v>
      </c>
      <c r="BR34" s="35" t="str">
        <f aca="false">IFERROR(CHOOSE(MATCH(INDEX(時間ごとの判定!$AW$3:$AW$1850,738),{"利用可","両方停止","運転がそろわない","判定不能"},0),"○","停","×","－"),"")</f>
        <v>○</v>
      </c>
      <c r="BS34" s="35" t="str">
        <f aca="false">IFERROR(CHOOSE(MATCH(INDEX(時間ごとの判定!$AW$3:$AW$1850,739),{"利用可","両方停止","運転がそろわない","判定不能"},0),"○","停","×","－"),"")</f>
        <v>○</v>
      </c>
      <c r="BT34" s="35" t="str">
        <f aca="false">IFERROR(CHOOSE(MATCH(INDEX(時間ごとの判定!$AW$3:$AW$1850,740),{"利用可","両方停止","運転がそろわない","判定不能"},0),"○","停","×","－"),"")</f>
        <v>×</v>
      </c>
      <c r="BU34" s="35" t="str">
        <f aca="false">IFERROR(CHOOSE(MATCH(INDEX(時間ごとの判定!$AW$3:$AW$1850,741),{"利用可","両方停止","運転がそろわない","判定不能"},0),"○","停","×","－"),"")</f>
        <v>×</v>
      </c>
      <c r="BV34" s="35" t="str">
        <f aca="false">IFERROR(CHOOSE(MATCH(INDEX(時間ごとの判定!$AW$3:$AW$1850,742),{"利用可","両方停止","運転がそろわない","判定不能"},0),"○","停","×","－"),"")</f>
        <v>停</v>
      </c>
      <c r="BW34" s="35" t="str">
        <f aca="false">IFERROR(CHOOSE(MATCH(INDEX(時間ごとの判定!$AW$3:$AW$1850,743),{"利用可","両方停止","運転がそろわない","判定不能"},0),"○","停","×","－"),"")</f>
        <v>停</v>
      </c>
      <c r="BX34" s="35" t="str">
        <f aca="false">IFERROR(CHOOSE(MATCH(INDEX(時間ごとの判定!$AW$3:$AW$1850,744),{"利用可","両方停止","運転がそろわない","判定不能"},0),"○","停","×","－"),"")</f>
        <v>停</v>
      </c>
    </row>
    <row r="35" customFormat="false" ht="15" hidden="false" customHeight="false" outlineLevel="0" collapsed="false">
      <c r="A35" s="33" t="n">
        <v>46263</v>
      </c>
      <c r="B35" s="36" t="s">
        <v>63</v>
      </c>
      <c r="C35" s="35" t="str">
        <f aca="false">IFERROR(CHOOSE(MATCH(INDEX(時間ごとの判定!$AQ$3:$AQ$1850,745),{"利用可","両方停止","運転がそろわない","判定不能"},0),"○","停","×","－"),"")</f>
        <v>停</v>
      </c>
      <c r="D35" s="35" t="str">
        <f aca="false">IFERROR(CHOOSE(MATCH(INDEX(時間ごとの判定!$AQ$3:$AQ$1850,746),{"利用可","両方停止","運転がそろわない","判定不能"},0),"○","停","×","－"),"")</f>
        <v>停</v>
      </c>
      <c r="E35" s="35" t="str">
        <f aca="false">IFERROR(CHOOSE(MATCH(INDEX(時間ごとの判定!$AQ$3:$AQ$1850,747),{"利用可","両方停止","運転がそろわない","判定不能"},0),"○","停","×","－"),"")</f>
        <v>停</v>
      </c>
      <c r="F35" s="35" t="str">
        <f aca="false">IFERROR(CHOOSE(MATCH(INDEX(時間ごとの判定!$AQ$3:$AQ$1850,748),{"利用可","両方停止","運転がそろわない","判定不能"},0),"○","停","×","－"),"")</f>
        <v>停</v>
      </c>
      <c r="G35" s="35" t="str">
        <f aca="false">IFERROR(CHOOSE(MATCH(INDEX(時間ごとの判定!$AQ$3:$AQ$1850,749),{"利用可","両方停止","運転がそろわない","判定不能"},0),"○","停","×","－"),"")</f>
        <v>停</v>
      </c>
      <c r="H35" s="35" t="str">
        <f aca="false">IFERROR(CHOOSE(MATCH(INDEX(時間ごとの判定!$AQ$3:$AQ$1850,750),{"利用可","両方停止","運転がそろわない","判定不能"},0),"○","停","×","－"),"")</f>
        <v>停</v>
      </c>
      <c r="I35" s="35" t="str">
        <f aca="false">IFERROR(CHOOSE(MATCH(INDEX(時間ごとの判定!$AQ$3:$AQ$1850,751),{"利用可","両方停止","運転がそろわない","判定不能"},0),"○","停","×","－"),"")</f>
        <v>停</v>
      </c>
      <c r="J35" s="35" t="str">
        <f aca="false">IFERROR(CHOOSE(MATCH(INDEX(時間ごとの判定!$AQ$3:$AQ$1850,752),{"利用可","両方停止","運転がそろわない","判定不能"},0),"○","停","×","－"),"")</f>
        <v>停</v>
      </c>
      <c r="K35" s="35" t="str">
        <f aca="false">IFERROR(CHOOSE(MATCH(INDEX(時間ごとの判定!$AQ$3:$AQ$1850,753),{"利用可","両方停止","運転がそろわない","判定不能"},0),"○","停","×","－"),"")</f>
        <v>×</v>
      </c>
      <c r="L35" s="35" t="str">
        <f aca="false">IFERROR(CHOOSE(MATCH(INDEX(時間ごとの判定!$AQ$3:$AQ$1850,754),{"利用可","両方停止","運転がそろわない","判定不能"},0),"○","停","×","－"),"")</f>
        <v>○</v>
      </c>
      <c r="M35" s="35" t="str">
        <f aca="false">IFERROR(CHOOSE(MATCH(INDEX(時間ごとの判定!$AQ$3:$AQ$1850,755),{"利用可","両方停止","運転がそろわない","判定不能"},0),"○","停","×","－"),"")</f>
        <v>○</v>
      </c>
      <c r="N35" s="35" t="str">
        <f aca="false">IFERROR(CHOOSE(MATCH(INDEX(時間ごとの判定!$AQ$3:$AQ$1850,756),{"利用可","両方停止","運転がそろわない","判定不能"},0),"○","停","×","－"),"")</f>
        <v>×</v>
      </c>
      <c r="O35" s="35" t="str">
        <f aca="false">IFERROR(CHOOSE(MATCH(INDEX(時間ごとの判定!$AQ$3:$AQ$1850,757),{"利用可","両方停止","運転がそろわない","判定不能"},0),"○","停","×","－"),"")</f>
        <v>○</v>
      </c>
      <c r="P35" s="35" t="str">
        <f aca="false">IFERROR(CHOOSE(MATCH(INDEX(時間ごとの判定!$AQ$3:$AQ$1850,758),{"利用可","両方停止","運転がそろわない","判定不能"},0),"○","停","×","－"),"")</f>
        <v>○</v>
      </c>
      <c r="Q35" s="35" t="str">
        <f aca="false">IFERROR(CHOOSE(MATCH(INDEX(時間ごとの判定!$AQ$3:$AQ$1850,759),{"利用可","両方停止","運転がそろわない","判定不能"},0),"○","停","×","－"),"")</f>
        <v>○</v>
      </c>
      <c r="R35" s="35" t="str">
        <f aca="false">IFERROR(CHOOSE(MATCH(INDEX(時間ごとの判定!$AQ$3:$AQ$1850,760),{"利用可","両方停止","運転がそろわない","判定不能"},0),"○","停","×","－"),"")</f>
        <v>×</v>
      </c>
      <c r="S35" s="35" t="str">
        <f aca="false">IFERROR(CHOOSE(MATCH(INDEX(時間ごとの判定!$AQ$3:$AQ$1850,761),{"利用可","両方停止","運転がそろわない","判定不能"},0),"○","停","×","－"),"")</f>
        <v>○</v>
      </c>
      <c r="T35" s="35" t="str">
        <f aca="false">IFERROR(CHOOSE(MATCH(INDEX(時間ごとの判定!$AQ$3:$AQ$1850,762),{"利用可","両方停止","運転がそろわない","判定不能"},0),"○","停","×","－"),"")</f>
        <v>○</v>
      </c>
      <c r="U35" s="35" t="str">
        <f aca="false">IFERROR(CHOOSE(MATCH(INDEX(時間ごとの判定!$AQ$3:$AQ$1850,763),{"利用可","両方停止","運転がそろわない","判定不能"},0),"○","停","×","－"),"")</f>
        <v>×</v>
      </c>
      <c r="V35" s="35" t="str">
        <f aca="false">IFERROR(CHOOSE(MATCH(INDEX(時間ごとの判定!$AQ$3:$AQ$1850,764),{"利用可","両方停止","運転がそろわない","判定不能"},0),"○","停","×","－"),"")</f>
        <v>×</v>
      </c>
      <c r="W35" s="35" t="str">
        <f aca="false">IFERROR(CHOOSE(MATCH(INDEX(時間ごとの判定!$AQ$3:$AQ$1850,765),{"利用可","両方停止","運転がそろわない","判定不能"},0),"○","停","×","－"),"")</f>
        <v>停</v>
      </c>
      <c r="X35" s="35" t="str">
        <f aca="false">IFERROR(CHOOSE(MATCH(INDEX(時間ごとの判定!$AQ$3:$AQ$1850,766),{"利用可","両方停止","運転がそろわない","判定不能"},0),"○","停","×","－"),"")</f>
        <v>停</v>
      </c>
      <c r="Y35" s="35" t="str">
        <f aca="false">IFERROR(CHOOSE(MATCH(INDEX(時間ごとの判定!$AQ$3:$AQ$1850,767),{"利用可","両方停止","運転がそろわない","判定不能"},0),"○","停","×","－"),"")</f>
        <v>停</v>
      </c>
      <c r="Z35" s="35" t="str">
        <f aca="false">IFERROR(CHOOSE(MATCH(INDEX(時間ごとの判定!$AQ$3:$AQ$1850,768),{"利用可","両方停止","運転がそろわない","判定不能"},0),"○","停","×","－"),"")</f>
        <v>停</v>
      </c>
      <c r="AA35" s="35"/>
      <c r="AB35" s="35" t="str">
        <f aca="false">IFERROR(CHOOSE(MATCH(INDEX(時間ごとの判定!$AT$3:$AT$1850,745),{"利用可","両方停止","運転がそろわない","判定不能"},0),"○","停","×","－"),"")</f>
        <v>停</v>
      </c>
      <c r="AC35" s="35" t="str">
        <f aca="false">IFERROR(CHOOSE(MATCH(INDEX(時間ごとの判定!$AT$3:$AT$1850,746),{"利用可","両方停止","運転がそろわない","判定不能"},0),"○","停","×","－"),"")</f>
        <v>停</v>
      </c>
      <c r="AD35" s="35" t="str">
        <f aca="false">IFERROR(CHOOSE(MATCH(INDEX(時間ごとの判定!$AT$3:$AT$1850,747),{"利用可","両方停止","運転がそろわない","判定不能"},0),"○","停","×","－"),"")</f>
        <v>停</v>
      </c>
      <c r="AE35" s="35" t="str">
        <f aca="false">IFERROR(CHOOSE(MATCH(INDEX(時間ごとの判定!$AT$3:$AT$1850,748),{"利用可","両方停止","運転がそろわない","判定不能"},0),"○","停","×","－"),"")</f>
        <v>停</v>
      </c>
      <c r="AF35" s="35" t="str">
        <f aca="false">IFERROR(CHOOSE(MATCH(INDEX(時間ごとの判定!$AT$3:$AT$1850,749),{"利用可","両方停止","運転がそろわない","判定不能"},0),"○","停","×","－"),"")</f>
        <v>停</v>
      </c>
      <c r="AG35" s="35" t="str">
        <f aca="false">IFERROR(CHOOSE(MATCH(INDEX(時間ごとの判定!$AT$3:$AT$1850,750),{"利用可","両方停止","運転がそろわない","判定不能"},0),"○","停","×","－"),"")</f>
        <v>停</v>
      </c>
      <c r="AH35" s="35" t="str">
        <f aca="false">IFERROR(CHOOSE(MATCH(INDEX(時間ごとの判定!$AT$3:$AT$1850,751),{"利用可","両方停止","運転がそろわない","判定不能"},0),"○","停","×","－"),"")</f>
        <v>停</v>
      </c>
      <c r="AI35" s="35" t="str">
        <f aca="false">IFERROR(CHOOSE(MATCH(INDEX(時間ごとの判定!$AT$3:$AT$1850,752),{"利用可","両方停止","運転がそろわない","判定不能"},0),"○","停","×","－"),"")</f>
        <v>停</v>
      </c>
      <c r="AJ35" s="35" t="str">
        <f aca="false">IFERROR(CHOOSE(MATCH(INDEX(時間ごとの判定!$AT$3:$AT$1850,753),{"利用可","両方停止","運転がそろわない","判定不能"},0),"○","停","×","－"),"")</f>
        <v>×</v>
      </c>
      <c r="AK35" s="35" t="str">
        <f aca="false">IFERROR(CHOOSE(MATCH(INDEX(時間ごとの判定!$AT$3:$AT$1850,754),{"利用可","両方停止","運転がそろわない","判定不能"},0),"○","停","×","－"),"")</f>
        <v>○</v>
      </c>
      <c r="AL35" s="35" t="str">
        <f aca="false">IFERROR(CHOOSE(MATCH(INDEX(時間ごとの判定!$AT$3:$AT$1850,755),{"利用可","両方停止","運転がそろわない","判定不能"},0),"○","停","×","－"),"")</f>
        <v>○</v>
      </c>
      <c r="AM35" s="35" t="str">
        <f aca="false">IFERROR(CHOOSE(MATCH(INDEX(時間ごとの判定!$AT$3:$AT$1850,756),{"利用可","両方停止","運転がそろわない","判定不能"},0),"○","停","×","－"),"")</f>
        <v>×</v>
      </c>
      <c r="AN35" s="35" t="str">
        <f aca="false">IFERROR(CHOOSE(MATCH(INDEX(時間ごとの判定!$AT$3:$AT$1850,757),{"利用可","両方停止","運転がそろわない","判定不能"},0),"○","停","×","－"),"")</f>
        <v>○</v>
      </c>
      <c r="AO35" s="35" t="str">
        <f aca="false">IFERROR(CHOOSE(MATCH(INDEX(時間ごとの判定!$AT$3:$AT$1850,758),{"利用可","両方停止","運転がそろわない","判定不能"},0),"○","停","×","－"),"")</f>
        <v>×</v>
      </c>
      <c r="AP35" s="35" t="str">
        <f aca="false">IFERROR(CHOOSE(MATCH(INDEX(時間ごとの判定!$AT$3:$AT$1850,759),{"利用可","両方停止","運転がそろわない","判定不能"},0),"○","停","×","－"),"")</f>
        <v>×</v>
      </c>
      <c r="AQ35" s="35" t="str">
        <f aca="false">IFERROR(CHOOSE(MATCH(INDEX(時間ごとの判定!$AT$3:$AT$1850,760),{"利用可","両方停止","運転がそろわない","判定不能"},0),"○","停","×","－"),"")</f>
        <v>×</v>
      </c>
      <c r="AR35" s="35" t="str">
        <f aca="false">IFERROR(CHOOSE(MATCH(INDEX(時間ごとの判定!$AT$3:$AT$1850,761),{"利用可","両方停止","運転がそろわない","判定不能"},0),"○","停","×","－"),"")</f>
        <v>×</v>
      </c>
      <c r="AS35" s="35" t="str">
        <f aca="false">IFERROR(CHOOSE(MATCH(INDEX(時間ごとの判定!$AT$3:$AT$1850,762),{"利用可","両方停止","運転がそろわない","判定不能"},0),"○","停","×","－"),"")</f>
        <v>×</v>
      </c>
      <c r="AT35" s="35" t="str">
        <f aca="false">IFERROR(CHOOSE(MATCH(INDEX(時間ごとの判定!$AT$3:$AT$1850,763),{"利用可","両方停止","運転がそろわない","判定不能"},0),"○","停","×","－"),"")</f>
        <v>×</v>
      </c>
      <c r="AU35" s="35" t="str">
        <f aca="false">IFERROR(CHOOSE(MATCH(INDEX(時間ごとの判定!$AT$3:$AT$1850,764),{"利用可","両方停止","運転がそろわない","判定不能"},0),"○","停","×","－"),"")</f>
        <v>×</v>
      </c>
      <c r="AV35" s="35" t="str">
        <f aca="false">IFERROR(CHOOSE(MATCH(INDEX(時間ごとの判定!$AT$3:$AT$1850,765),{"利用可","両方停止","運転がそろわない","判定不能"},0),"○","停","×","－"),"")</f>
        <v>×</v>
      </c>
      <c r="AW35" s="35" t="str">
        <f aca="false">IFERROR(CHOOSE(MATCH(INDEX(時間ごとの判定!$AT$3:$AT$1850,766),{"利用可","両方停止","運転がそろわない","判定不能"},0),"○","停","×","－"),"")</f>
        <v>停</v>
      </c>
      <c r="AX35" s="35" t="str">
        <f aca="false">IFERROR(CHOOSE(MATCH(INDEX(時間ごとの判定!$AT$3:$AT$1850,767),{"利用可","両方停止","運転がそろわない","判定不能"},0),"○","停","×","－"),"")</f>
        <v>停</v>
      </c>
      <c r="AY35" s="35" t="str">
        <f aca="false">IFERROR(CHOOSE(MATCH(INDEX(時間ごとの判定!$AT$3:$AT$1850,768),{"利用可","両方停止","運転がそろわない","判定不能"},0),"○","停","×","－"),"")</f>
        <v>停</v>
      </c>
      <c r="AZ35" s="35"/>
      <c r="BA35" s="35" t="str">
        <f aca="false">IFERROR(CHOOSE(MATCH(INDEX(時間ごとの判定!$AW$3:$AW$1850,745),{"利用可","両方停止","運転がそろわない","判定不能"},0),"○","停","×","－"),"")</f>
        <v>停</v>
      </c>
      <c r="BB35" s="35" t="str">
        <f aca="false">IFERROR(CHOOSE(MATCH(INDEX(時間ごとの判定!$AW$3:$AW$1850,746),{"利用可","両方停止","運転がそろわない","判定不能"},0),"○","停","×","－"),"")</f>
        <v>停</v>
      </c>
      <c r="BC35" s="35" t="str">
        <f aca="false">IFERROR(CHOOSE(MATCH(INDEX(時間ごとの判定!$AW$3:$AW$1850,747),{"利用可","両方停止","運転がそろわない","判定不能"},0),"○","停","×","－"),"")</f>
        <v>停</v>
      </c>
      <c r="BD35" s="35" t="str">
        <f aca="false">IFERROR(CHOOSE(MATCH(INDEX(時間ごとの判定!$AW$3:$AW$1850,748),{"利用可","両方停止","運転がそろわない","判定不能"},0),"○","停","×","－"),"")</f>
        <v>停</v>
      </c>
      <c r="BE35" s="35" t="str">
        <f aca="false">IFERROR(CHOOSE(MATCH(INDEX(時間ごとの判定!$AW$3:$AW$1850,749),{"利用可","両方停止","運転がそろわない","判定不能"},0),"○","停","×","－"),"")</f>
        <v>停</v>
      </c>
      <c r="BF35" s="35" t="str">
        <f aca="false">IFERROR(CHOOSE(MATCH(INDEX(時間ごとの判定!$AW$3:$AW$1850,750),{"利用可","両方停止","運転がそろわない","判定不能"},0),"○","停","×","－"),"")</f>
        <v>停</v>
      </c>
      <c r="BG35" s="35" t="str">
        <f aca="false">IFERROR(CHOOSE(MATCH(INDEX(時間ごとの判定!$AW$3:$AW$1850,751),{"利用可","両方停止","運転がそろわない","判定不能"},0),"○","停","×","－"),"")</f>
        <v>停</v>
      </c>
      <c r="BH35" s="35" t="str">
        <f aca="false">IFERROR(CHOOSE(MATCH(INDEX(時間ごとの判定!$AW$3:$AW$1850,752),{"利用可","両方停止","運転がそろわない","判定不能"},0),"○","停","×","－"),"")</f>
        <v>停</v>
      </c>
      <c r="BI35" s="35" t="str">
        <f aca="false">IFERROR(CHOOSE(MATCH(INDEX(時間ごとの判定!$AW$3:$AW$1850,753),{"利用可","両方停止","運転がそろわない","判定不能"},0),"○","停","×","－"),"")</f>
        <v>×</v>
      </c>
      <c r="BJ35" s="35" t="str">
        <f aca="false">IFERROR(CHOOSE(MATCH(INDEX(時間ごとの判定!$AW$3:$AW$1850,754),{"利用可","両方停止","運転がそろわない","判定不能"},0),"○","停","×","－"),"")</f>
        <v>○</v>
      </c>
      <c r="BK35" s="35" t="str">
        <f aca="false">IFERROR(CHOOSE(MATCH(INDEX(時間ごとの判定!$AW$3:$AW$1850,755),{"利用可","両方停止","運転がそろわない","判定不能"},0),"○","停","×","－"),"")</f>
        <v>○</v>
      </c>
      <c r="BL35" s="35" t="str">
        <f aca="false">IFERROR(CHOOSE(MATCH(INDEX(時間ごとの判定!$AW$3:$AW$1850,756),{"利用可","両方停止","運転がそろわない","判定不能"},0),"○","停","×","－"),"")</f>
        <v>○</v>
      </c>
      <c r="BM35" s="35" t="str">
        <f aca="false">IFERROR(CHOOSE(MATCH(INDEX(時間ごとの判定!$AW$3:$AW$1850,757),{"利用可","両方停止","運転がそろわない","判定不能"},0),"○","停","×","－"),"")</f>
        <v>○</v>
      </c>
      <c r="BN35" s="35" t="str">
        <f aca="false">IFERROR(CHOOSE(MATCH(INDEX(時間ごとの判定!$AW$3:$AW$1850,758),{"利用可","両方停止","運転がそろわない","判定不能"},0),"○","停","×","－"),"")</f>
        <v>○</v>
      </c>
      <c r="BO35" s="35" t="str">
        <f aca="false">IFERROR(CHOOSE(MATCH(INDEX(時間ごとの判定!$AW$3:$AW$1850,759),{"利用可","両方停止","運転がそろわない","判定不能"},0),"○","停","×","－"),"")</f>
        <v>○</v>
      </c>
      <c r="BP35" s="35" t="str">
        <f aca="false">IFERROR(CHOOSE(MATCH(INDEX(時間ごとの判定!$AW$3:$AW$1850,760),{"利用可","両方停止","運転がそろわない","判定不能"},0),"○","停","×","－"),"")</f>
        <v>○</v>
      </c>
      <c r="BQ35" s="35" t="str">
        <f aca="false">IFERROR(CHOOSE(MATCH(INDEX(時間ごとの判定!$AW$3:$AW$1850,761),{"利用可","両方停止","運転がそろわない","判定不能"},0),"○","停","×","－"),"")</f>
        <v>○</v>
      </c>
      <c r="BR35" s="35" t="str">
        <f aca="false">IFERROR(CHOOSE(MATCH(INDEX(時間ごとの判定!$AW$3:$AW$1850,762),{"利用可","両方停止","運転がそろわない","判定不能"},0),"○","停","×","－"),"")</f>
        <v>○</v>
      </c>
      <c r="BS35" s="35" t="str">
        <f aca="false">IFERROR(CHOOSE(MATCH(INDEX(時間ごとの判定!$AW$3:$AW$1850,763),{"利用可","両方停止","運転がそろわない","判定不能"},0),"○","停","×","－"),"")</f>
        <v>×</v>
      </c>
      <c r="BT35" s="35" t="str">
        <f aca="false">IFERROR(CHOOSE(MATCH(INDEX(時間ごとの判定!$AW$3:$AW$1850,764),{"利用可","両方停止","運転がそろわない","判定不能"},0),"○","停","×","－"),"")</f>
        <v>×</v>
      </c>
      <c r="BU35" s="35" t="str">
        <f aca="false">IFERROR(CHOOSE(MATCH(INDEX(時間ごとの判定!$AW$3:$AW$1850,765),{"利用可","両方停止","運転がそろわない","判定不能"},0),"○","停","×","－"),"")</f>
        <v>×</v>
      </c>
      <c r="BV35" s="35" t="str">
        <f aca="false">IFERROR(CHOOSE(MATCH(INDEX(時間ごとの判定!$AW$3:$AW$1850,766),{"利用可","両方停止","運転がそろわない","判定不能"},0),"○","停","×","－"),"")</f>
        <v>停</v>
      </c>
      <c r="BW35" s="35" t="str">
        <f aca="false">IFERROR(CHOOSE(MATCH(INDEX(時間ごとの判定!$AW$3:$AW$1850,767),{"利用可","両方停止","運転がそろわない","判定不能"},0),"○","停","×","－"),"")</f>
        <v>停</v>
      </c>
      <c r="BX35" s="35" t="str">
        <f aca="false">IFERROR(CHOOSE(MATCH(INDEX(時間ごとの判定!$AW$3:$AW$1850,768),{"利用可","両方停止","運転がそろわない","判定不能"},0),"○","停","×","－"),"")</f>
        <v>停</v>
      </c>
    </row>
    <row r="36" customFormat="false" ht="15" hidden="false" customHeight="false" outlineLevel="0" collapsed="false">
      <c r="A36" s="33" t="n">
        <v>46264</v>
      </c>
      <c r="B36" s="36" t="s">
        <v>65</v>
      </c>
      <c r="C36" s="35" t="str">
        <f aca="false">IFERROR(CHOOSE(MATCH(INDEX(時間ごとの判定!$AQ$3:$AQ$1850,769),{"利用可","両方停止","運転がそろわない","判定不能"},0),"○","停","×","－"),"")</f>
        <v>停</v>
      </c>
      <c r="D36" s="35" t="str">
        <f aca="false">IFERROR(CHOOSE(MATCH(INDEX(時間ごとの判定!$AQ$3:$AQ$1850,770),{"利用可","両方停止","運転がそろわない","判定不能"},0),"○","停","×","－"),"")</f>
        <v>停</v>
      </c>
      <c r="E36" s="35" t="str">
        <f aca="false">IFERROR(CHOOSE(MATCH(INDEX(時間ごとの判定!$AQ$3:$AQ$1850,771),{"利用可","両方停止","運転がそろわない","判定不能"},0),"○","停","×","－"),"")</f>
        <v>停</v>
      </c>
      <c r="F36" s="35" t="str">
        <f aca="false">IFERROR(CHOOSE(MATCH(INDEX(時間ごとの判定!$AQ$3:$AQ$1850,772),{"利用可","両方停止","運転がそろわない","判定不能"},0),"○","停","×","－"),"")</f>
        <v>停</v>
      </c>
      <c r="G36" s="35" t="str">
        <f aca="false">IFERROR(CHOOSE(MATCH(INDEX(時間ごとの判定!$AQ$3:$AQ$1850,773),{"利用可","両方停止","運転がそろわない","判定不能"},0),"○","停","×","－"),"")</f>
        <v>停</v>
      </c>
      <c r="H36" s="35" t="str">
        <f aca="false">IFERROR(CHOOSE(MATCH(INDEX(時間ごとの判定!$AQ$3:$AQ$1850,774),{"利用可","両方停止","運転がそろわない","判定不能"},0),"○","停","×","－"),"")</f>
        <v>停</v>
      </c>
      <c r="I36" s="35" t="str">
        <f aca="false">IFERROR(CHOOSE(MATCH(INDEX(時間ごとの判定!$AQ$3:$AQ$1850,775),{"利用可","両方停止","運転がそろわない","判定不能"},0),"○","停","×","－"),"")</f>
        <v>停</v>
      </c>
      <c r="J36" s="35" t="str">
        <f aca="false">IFERROR(CHOOSE(MATCH(INDEX(時間ごとの判定!$AQ$3:$AQ$1850,776),{"利用可","両方停止","運転がそろわない","判定不能"},0),"○","停","×","－"),"")</f>
        <v>×</v>
      </c>
      <c r="K36" s="35" t="str">
        <f aca="false">IFERROR(CHOOSE(MATCH(INDEX(時間ごとの判定!$AQ$3:$AQ$1850,777),{"利用可","両方停止","運転がそろわない","判定不能"},0),"○","停","×","－"),"")</f>
        <v>×</v>
      </c>
      <c r="L36" s="35" t="str">
        <f aca="false">IFERROR(CHOOSE(MATCH(INDEX(時間ごとの判定!$AQ$3:$AQ$1850,778),{"利用可","両方停止","運転がそろわない","判定不能"},0),"○","停","×","－"),"")</f>
        <v>×</v>
      </c>
      <c r="M36" s="35" t="str">
        <f aca="false">IFERROR(CHOOSE(MATCH(INDEX(時間ごとの判定!$AQ$3:$AQ$1850,779),{"利用可","両方停止","運転がそろわない","判定不能"},0),"○","停","×","－"),"")</f>
        <v>○</v>
      </c>
      <c r="N36" s="35" t="str">
        <f aca="false">IFERROR(CHOOSE(MATCH(INDEX(時間ごとの判定!$AQ$3:$AQ$1850,780),{"利用可","両方停止","運転がそろわない","判定不能"},0),"○","停","×","－"),"")</f>
        <v>○</v>
      </c>
      <c r="O36" s="35" t="str">
        <f aca="false">IFERROR(CHOOSE(MATCH(INDEX(時間ごとの判定!$AQ$3:$AQ$1850,781),{"利用可","両方停止","運転がそろわない","判定不能"},0),"○","停","×","－"),"")</f>
        <v>○</v>
      </c>
      <c r="P36" s="35" t="str">
        <f aca="false">IFERROR(CHOOSE(MATCH(INDEX(時間ごとの判定!$AQ$3:$AQ$1850,782),{"利用可","両方停止","運転がそろわない","判定不能"},0),"○","停","×","－"),"")</f>
        <v>○</v>
      </c>
      <c r="Q36" s="35" t="str">
        <f aca="false">IFERROR(CHOOSE(MATCH(INDEX(時間ごとの判定!$AQ$3:$AQ$1850,783),{"利用可","両方停止","運転がそろわない","判定不能"},0),"○","停","×","－"),"")</f>
        <v>○</v>
      </c>
      <c r="R36" s="35" t="str">
        <f aca="false">IFERROR(CHOOSE(MATCH(INDEX(時間ごとの判定!$AQ$3:$AQ$1850,784),{"利用可","両方停止","運転がそろわない","判定不能"},0),"○","停","×","－"),"")</f>
        <v>×</v>
      </c>
      <c r="S36" s="35" t="str">
        <f aca="false">IFERROR(CHOOSE(MATCH(INDEX(時間ごとの判定!$AQ$3:$AQ$1850,785),{"利用可","両方停止","運転がそろわない","判定不能"},0),"○","停","×","－"),"")</f>
        <v>○</v>
      </c>
      <c r="T36" s="35" t="str">
        <f aca="false">IFERROR(CHOOSE(MATCH(INDEX(時間ごとの判定!$AQ$3:$AQ$1850,786),{"利用可","両方停止","運転がそろわない","判定不能"},0),"○","停","×","－"),"")</f>
        <v>○</v>
      </c>
      <c r="U36" s="35" t="str">
        <f aca="false">IFERROR(CHOOSE(MATCH(INDEX(時間ごとの判定!$AQ$3:$AQ$1850,787),{"利用可","両方停止","運転がそろわない","判定不能"},0),"○","停","×","－"),"")</f>
        <v>×</v>
      </c>
      <c r="V36" s="35" t="str">
        <f aca="false">IFERROR(CHOOSE(MATCH(INDEX(時間ごとの判定!$AQ$3:$AQ$1850,788),{"利用可","両方停止","運転がそろわない","判定不能"},0),"○","停","×","－"),"")</f>
        <v>×</v>
      </c>
      <c r="W36" s="35" t="str">
        <f aca="false">IFERROR(CHOOSE(MATCH(INDEX(時間ごとの判定!$AQ$3:$AQ$1850,789),{"利用可","両方停止","運転がそろわない","判定不能"},0),"○","停","×","－"),"")</f>
        <v>×</v>
      </c>
      <c r="X36" s="35" t="str">
        <f aca="false">IFERROR(CHOOSE(MATCH(INDEX(時間ごとの判定!$AQ$3:$AQ$1850,790),{"利用可","両方停止","運転がそろわない","判定不能"},0),"○","停","×","－"),"")</f>
        <v>×</v>
      </c>
      <c r="Y36" s="35" t="str">
        <f aca="false">IFERROR(CHOOSE(MATCH(INDEX(時間ごとの判定!$AQ$3:$AQ$1850,791),{"利用可","両方停止","運転がそろわない","判定不能"},0),"○","停","×","－"),"")</f>
        <v>停</v>
      </c>
      <c r="Z36" s="35" t="str">
        <f aca="false">IFERROR(CHOOSE(MATCH(INDEX(時間ごとの判定!$AQ$3:$AQ$1850,792),{"利用可","両方停止","運転がそろわない","判定不能"},0),"○","停","×","－"),"")</f>
        <v>停</v>
      </c>
      <c r="AA36" s="35"/>
      <c r="AB36" s="35" t="str">
        <f aca="false">IFERROR(CHOOSE(MATCH(INDEX(時間ごとの判定!$AT$3:$AT$1850,769),{"利用可","両方停止","運転がそろわない","判定不能"},0),"○","停","×","－"),"")</f>
        <v>停</v>
      </c>
      <c r="AC36" s="35" t="str">
        <f aca="false">IFERROR(CHOOSE(MATCH(INDEX(時間ごとの判定!$AT$3:$AT$1850,770),{"利用可","両方停止","運転がそろわない","判定不能"},0),"○","停","×","－"),"")</f>
        <v>停</v>
      </c>
      <c r="AD36" s="35" t="str">
        <f aca="false">IFERROR(CHOOSE(MATCH(INDEX(時間ごとの判定!$AT$3:$AT$1850,771),{"利用可","両方停止","運転がそろわない","判定不能"},0),"○","停","×","－"),"")</f>
        <v>停</v>
      </c>
      <c r="AE36" s="35" t="str">
        <f aca="false">IFERROR(CHOOSE(MATCH(INDEX(時間ごとの判定!$AT$3:$AT$1850,772),{"利用可","両方停止","運転がそろわない","判定不能"},0),"○","停","×","－"),"")</f>
        <v>停</v>
      </c>
      <c r="AF36" s="35" t="str">
        <f aca="false">IFERROR(CHOOSE(MATCH(INDEX(時間ごとの判定!$AT$3:$AT$1850,773),{"利用可","両方停止","運転がそろわない","判定不能"},0),"○","停","×","－"),"")</f>
        <v>－</v>
      </c>
      <c r="AG36" s="35" t="str">
        <f aca="false">IFERROR(CHOOSE(MATCH(INDEX(時間ごとの判定!$AT$3:$AT$1850,774),{"利用可","両方停止","運転がそろわない","判定不能"},0),"○","停","×","－"),"")</f>
        <v>－</v>
      </c>
      <c r="AH36" s="35" t="str">
        <f aca="false">IFERROR(CHOOSE(MATCH(INDEX(時間ごとの判定!$AT$3:$AT$1850,775),{"利用可","両方停止","運転がそろわない","判定不能"},0),"○","停","×","－"),"")</f>
        <v>－</v>
      </c>
      <c r="AI36" s="35" t="str">
        <f aca="false">IFERROR(CHOOSE(MATCH(INDEX(時間ごとの判定!$AT$3:$AT$1850,776),{"利用可","両方停止","運転がそろわない","判定不能"},0),"○","停","×","－"),"")</f>
        <v>－</v>
      </c>
      <c r="AJ36" s="35" t="str">
        <f aca="false">IFERROR(CHOOSE(MATCH(INDEX(時間ごとの判定!$AT$3:$AT$1850,777),{"利用可","両方停止","運転がそろわない","判定不能"},0),"○","停","×","－"),"")</f>
        <v>－</v>
      </c>
      <c r="AK36" s="35" t="str">
        <f aca="false">IFERROR(CHOOSE(MATCH(INDEX(時間ごとの判定!$AT$3:$AT$1850,778),{"利用可","両方停止","運転がそろわない","判定不能"},0),"○","停","×","－"),"")</f>
        <v>－</v>
      </c>
      <c r="AL36" s="35" t="str">
        <f aca="false">IFERROR(CHOOSE(MATCH(INDEX(時間ごとの判定!$AT$3:$AT$1850,779),{"利用可","両方停止","運転がそろわない","判定不能"},0),"○","停","×","－"),"")</f>
        <v>－</v>
      </c>
      <c r="AM36" s="35" t="str">
        <f aca="false">IFERROR(CHOOSE(MATCH(INDEX(時間ごとの判定!$AT$3:$AT$1850,780),{"利用可","両方停止","運転がそろわない","判定不能"},0),"○","停","×","－"),"")</f>
        <v>－</v>
      </c>
      <c r="AN36" s="35" t="str">
        <f aca="false">IFERROR(CHOOSE(MATCH(INDEX(時間ごとの判定!$AT$3:$AT$1850,781),{"利用可","両方停止","運転がそろわない","判定不能"},0),"○","停","×","－"),"")</f>
        <v>－</v>
      </c>
      <c r="AO36" s="35" t="str">
        <f aca="false">IFERROR(CHOOSE(MATCH(INDEX(時間ごとの判定!$AT$3:$AT$1850,782),{"利用可","両方停止","運転がそろわない","判定不能"},0),"○","停","×","－"),"")</f>
        <v>－</v>
      </c>
      <c r="AP36" s="35" t="str">
        <f aca="false">IFERROR(CHOOSE(MATCH(INDEX(時間ごとの判定!$AT$3:$AT$1850,783),{"利用可","両方停止","運転がそろわない","判定不能"},0),"○","停","×","－"),"")</f>
        <v>－</v>
      </c>
      <c r="AQ36" s="35" t="str">
        <f aca="false">IFERROR(CHOOSE(MATCH(INDEX(時間ごとの判定!$AT$3:$AT$1850,784),{"利用可","両方停止","運転がそろわない","判定不能"},0),"○","停","×","－"),"")</f>
        <v>－</v>
      </c>
      <c r="AR36" s="35" t="str">
        <f aca="false">IFERROR(CHOOSE(MATCH(INDEX(時間ごとの判定!$AT$3:$AT$1850,785),{"利用可","両方停止","運転がそろわない","判定不能"},0),"○","停","×","－"),"")</f>
        <v>－</v>
      </c>
      <c r="AS36" s="35" t="str">
        <f aca="false">IFERROR(CHOOSE(MATCH(INDEX(時間ごとの判定!$AT$3:$AT$1850,786),{"利用可","両方停止","運転がそろわない","判定不能"},0),"○","停","×","－"),"")</f>
        <v>－</v>
      </c>
      <c r="AT36" s="35" t="str">
        <f aca="false">IFERROR(CHOOSE(MATCH(INDEX(時間ごとの判定!$AT$3:$AT$1850,787),{"利用可","両方停止","運転がそろわない","判定不能"},0),"○","停","×","－"),"")</f>
        <v>－</v>
      </c>
      <c r="AU36" s="35" t="str">
        <f aca="false">IFERROR(CHOOSE(MATCH(INDEX(時間ごとの判定!$AT$3:$AT$1850,788),{"利用可","両方停止","運転がそろわない","判定不能"},0),"○","停","×","－"),"")</f>
        <v>－</v>
      </c>
      <c r="AV36" s="35" t="str">
        <f aca="false">IFERROR(CHOOSE(MATCH(INDEX(時間ごとの判定!$AT$3:$AT$1850,789),{"利用可","両方停止","運転がそろわない","判定不能"},0),"○","停","×","－"),"")</f>
        <v>－</v>
      </c>
      <c r="AW36" s="35" t="str">
        <f aca="false">IFERROR(CHOOSE(MATCH(INDEX(時間ごとの判定!$AT$3:$AT$1850,790),{"利用可","両方停止","運転がそろわない","判定不能"},0),"○","停","×","－"),"")</f>
        <v>－</v>
      </c>
      <c r="AX36" s="35" t="str">
        <f aca="false">IFERROR(CHOOSE(MATCH(INDEX(時間ごとの判定!$AT$3:$AT$1850,791),{"利用可","両方停止","運転がそろわない","判定不能"},0),"○","停","×","－"),"")</f>
        <v>－</v>
      </c>
      <c r="AY36" s="35" t="str">
        <f aca="false">IFERROR(CHOOSE(MATCH(INDEX(時間ごとの判定!$AT$3:$AT$1850,792),{"利用可","両方停止","運転がそろわない","判定不能"},0),"○","停","×","－"),"")</f>
        <v>－</v>
      </c>
      <c r="AZ36" s="35"/>
      <c r="BA36" s="35" t="str">
        <f aca="false">IFERROR(CHOOSE(MATCH(INDEX(時間ごとの判定!$AW$3:$AW$1850,769),{"利用可","両方停止","運転がそろわない","判定不能"},0),"○","停","×","－"),"")</f>
        <v>停</v>
      </c>
      <c r="BB36" s="35" t="str">
        <f aca="false">IFERROR(CHOOSE(MATCH(INDEX(時間ごとの判定!$AW$3:$AW$1850,770),{"利用可","両方停止","運転がそろわない","判定不能"},0),"○","停","×","－"),"")</f>
        <v>停</v>
      </c>
      <c r="BC36" s="35" t="str">
        <f aca="false">IFERROR(CHOOSE(MATCH(INDEX(時間ごとの判定!$AW$3:$AW$1850,771),{"利用可","両方停止","運転がそろわない","判定不能"},0),"○","停","×","－"),"")</f>
        <v>停</v>
      </c>
      <c r="BD36" s="35" t="str">
        <f aca="false">IFERROR(CHOOSE(MATCH(INDEX(時間ごとの判定!$AW$3:$AW$1850,772),{"利用可","両方停止","運転がそろわない","判定不能"},0),"○","停","×","－"),"")</f>
        <v>停</v>
      </c>
      <c r="BE36" s="35" t="str">
        <f aca="false">IFERROR(CHOOSE(MATCH(INDEX(時間ごとの判定!$AW$3:$AW$1850,773),{"利用可","両方停止","運転がそろわない","判定不能"},0),"○","停","×","－"),"")</f>
        <v>停</v>
      </c>
      <c r="BF36" s="35" t="str">
        <f aca="false">IFERROR(CHOOSE(MATCH(INDEX(時間ごとの判定!$AW$3:$AW$1850,774),{"利用可","両方停止","運転がそろわない","判定不能"},0),"○","停","×","－"),"")</f>
        <v>停</v>
      </c>
      <c r="BG36" s="35" t="str">
        <f aca="false">IFERROR(CHOOSE(MATCH(INDEX(時間ごとの判定!$AW$3:$AW$1850,775),{"利用可","両方停止","運転がそろわない","判定不能"},0),"○","停","×","－"),"")</f>
        <v>停</v>
      </c>
      <c r="BH36" s="35" t="str">
        <f aca="false">IFERROR(CHOOSE(MATCH(INDEX(時間ごとの判定!$AW$3:$AW$1850,776),{"利用可","両方停止","運転がそろわない","判定不能"},0),"○","停","×","－"),"")</f>
        <v>停</v>
      </c>
      <c r="BI36" s="35" t="str">
        <f aca="false">IFERROR(CHOOSE(MATCH(INDEX(時間ごとの判定!$AW$3:$AW$1850,777),{"利用可","両方停止","運転がそろわない","判定不能"},0),"○","停","×","－"),"")</f>
        <v>×</v>
      </c>
      <c r="BJ36" s="35" t="str">
        <f aca="false">IFERROR(CHOOSE(MATCH(INDEX(時間ごとの判定!$AW$3:$AW$1850,778),{"利用可","両方停止","運転がそろわない","判定不能"},0),"○","停","×","－"),"")</f>
        <v>○</v>
      </c>
      <c r="BK36" s="35" t="str">
        <f aca="false">IFERROR(CHOOSE(MATCH(INDEX(時間ごとの判定!$AW$3:$AW$1850,779),{"利用可","両方停止","運転がそろわない","判定不能"},0),"○","停","×","－"),"")</f>
        <v>○</v>
      </c>
      <c r="BL36" s="35" t="str">
        <f aca="false">IFERROR(CHOOSE(MATCH(INDEX(時間ごとの判定!$AW$3:$AW$1850,780),{"利用可","両方停止","運転がそろわない","判定不能"},0),"○","停","×","－"),"")</f>
        <v>○</v>
      </c>
      <c r="BM36" s="35" t="str">
        <f aca="false">IFERROR(CHOOSE(MATCH(INDEX(時間ごとの判定!$AW$3:$AW$1850,781),{"利用可","両方停止","運転がそろわない","判定不能"},0),"○","停","×","－"),"")</f>
        <v>○</v>
      </c>
      <c r="BN36" s="35" t="str">
        <f aca="false">IFERROR(CHOOSE(MATCH(INDEX(時間ごとの判定!$AW$3:$AW$1850,782),{"利用可","両方停止","運転がそろわない","判定不能"},0),"○","停","×","－"),"")</f>
        <v>○</v>
      </c>
      <c r="BO36" s="35" t="str">
        <f aca="false">IFERROR(CHOOSE(MATCH(INDEX(時間ごとの判定!$AW$3:$AW$1850,783),{"利用可","両方停止","運転がそろわない","判定不能"},0),"○","停","×","－"),"")</f>
        <v>○</v>
      </c>
      <c r="BP36" s="35" t="str">
        <f aca="false">IFERROR(CHOOSE(MATCH(INDEX(時間ごとの判定!$AW$3:$AW$1850,784),{"利用可","両方停止","運転がそろわない","判定不能"},0),"○","停","×","－"),"")</f>
        <v>×</v>
      </c>
      <c r="BQ36" s="35" t="str">
        <f aca="false">IFERROR(CHOOSE(MATCH(INDEX(時間ごとの判定!$AW$3:$AW$1850,785),{"利用可","両方停止","運転がそろわない","判定不能"},0),"○","停","×","－"),"")</f>
        <v>○</v>
      </c>
      <c r="BR36" s="35" t="str">
        <f aca="false">IFERROR(CHOOSE(MATCH(INDEX(時間ごとの判定!$AW$3:$AW$1850,786),{"利用可","両方停止","運転がそろわない","判定不能"},0),"○","停","×","－"),"")</f>
        <v>○</v>
      </c>
      <c r="BS36" s="35" t="str">
        <f aca="false">IFERROR(CHOOSE(MATCH(INDEX(時間ごとの判定!$AW$3:$AW$1850,787),{"利用可","両方停止","運転がそろわない","判定不能"},0),"○","停","×","－"),"")</f>
        <v>×</v>
      </c>
      <c r="BT36" s="35" t="str">
        <f aca="false">IFERROR(CHOOSE(MATCH(INDEX(時間ごとの判定!$AW$3:$AW$1850,788),{"利用可","両方停止","運転がそろわない","判定不能"},0),"○","停","×","－"),"")</f>
        <v>×</v>
      </c>
      <c r="BU36" s="35" t="str">
        <f aca="false">IFERROR(CHOOSE(MATCH(INDEX(時間ごとの判定!$AW$3:$AW$1850,789),{"利用可","両方停止","運転がそろわない","判定不能"},0),"○","停","×","－"),"")</f>
        <v>×</v>
      </c>
      <c r="BV36" s="35" t="str">
        <f aca="false">IFERROR(CHOOSE(MATCH(INDEX(時間ごとの判定!$AW$3:$AW$1850,790),{"利用可","両方停止","運転がそろわない","判定不能"},0),"○","停","×","－"),"")</f>
        <v>×</v>
      </c>
      <c r="BW36" s="35" t="str">
        <f aca="false">IFERROR(CHOOSE(MATCH(INDEX(時間ごとの判定!$AW$3:$AW$1850,791),{"利用可","両方停止","運転がそろわない","判定不能"},0),"○","停","×","－"),"")</f>
        <v>停</v>
      </c>
      <c r="BX36" s="35" t="str">
        <f aca="false">IFERROR(CHOOSE(MATCH(INDEX(時間ごとの判定!$AW$3:$AW$1850,792),{"利用可","両方停止","運転がそろわない","判定不能"},0),"○","停","×","－"),"")</f>
        <v>停</v>
      </c>
    </row>
    <row r="37" customFormat="false" ht="15" hidden="false" customHeight="false" outlineLevel="0" collapsed="false">
      <c r="A37" s="33" t="n">
        <v>46265</v>
      </c>
      <c r="B37" s="34" t="s">
        <v>66</v>
      </c>
      <c r="C37" s="35" t="str">
        <f aca="false">IFERROR(CHOOSE(MATCH(INDEX(時間ごとの判定!$AQ$3:$AQ$1850,793),{"利用可","両方停止","運転がそろわない","判定不能"},0),"○","停","×","－"),"")</f>
        <v>停</v>
      </c>
      <c r="D37" s="35" t="str">
        <f aca="false">IFERROR(CHOOSE(MATCH(INDEX(時間ごとの判定!$AQ$3:$AQ$1850,794),{"利用可","両方停止","運転がそろわない","判定不能"},0),"○","停","×","－"),"")</f>
        <v>停</v>
      </c>
      <c r="E37" s="35" t="str">
        <f aca="false">IFERROR(CHOOSE(MATCH(INDEX(時間ごとの判定!$AQ$3:$AQ$1850,795),{"利用可","両方停止","運転がそろわない","判定不能"},0),"○","停","×","－"),"")</f>
        <v>停</v>
      </c>
      <c r="F37" s="35" t="str">
        <f aca="false">IFERROR(CHOOSE(MATCH(INDEX(時間ごとの判定!$AQ$3:$AQ$1850,796),{"利用可","両方停止","運転がそろわない","判定不能"},0),"○","停","×","－"),"")</f>
        <v>停</v>
      </c>
      <c r="G37" s="35" t="str">
        <f aca="false">IFERROR(CHOOSE(MATCH(INDEX(時間ごとの判定!$AQ$3:$AQ$1850,797),{"利用可","両方停止","運転がそろわない","判定不能"},0),"○","停","×","－"),"")</f>
        <v>×</v>
      </c>
      <c r="H37" s="35" t="str">
        <f aca="false">IFERROR(CHOOSE(MATCH(INDEX(時間ごとの判定!$AQ$3:$AQ$1850,798),{"利用可","両方停止","運転がそろわない","判定不能"},0),"○","停","×","－"),"")</f>
        <v>×</v>
      </c>
      <c r="I37" s="35" t="str">
        <f aca="false">IFERROR(CHOOSE(MATCH(INDEX(時間ごとの判定!$AQ$3:$AQ$1850,799),{"利用可","両方停止","運転がそろわない","判定不能"},0),"○","停","×","－"),"")</f>
        <v>×</v>
      </c>
      <c r="J37" s="35" t="str">
        <f aca="false">IFERROR(CHOOSE(MATCH(INDEX(時間ごとの判定!$AQ$3:$AQ$1850,800),{"利用可","両方停止","運転がそろわない","判定不能"},0),"○","停","×","－"),"")</f>
        <v>×</v>
      </c>
      <c r="K37" s="35" t="str">
        <f aca="false">IFERROR(CHOOSE(MATCH(INDEX(時間ごとの判定!$AQ$3:$AQ$1850,801),{"利用可","両方停止","運転がそろわない","判定不能"},0),"○","停","×","－"),"")</f>
        <v>×</v>
      </c>
      <c r="L37" s="35" t="str">
        <f aca="false">IFERROR(CHOOSE(MATCH(INDEX(時間ごとの判定!$AQ$3:$AQ$1850,802),{"利用可","両方停止","運転がそろわない","判定不能"},0),"○","停","×","－"),"")</f>
        <v>×</v>
      </c>
      <c r="M37" s="35" t="str">
        <f aca="false">IFERROR(CHOOSE(MATCH(INDEX(時間ごとの判定!$AQ$3:$AQ$1850,803),{"利用可","両方停止","運転がそろわない","判定不能"},0),"○","停","×","－"),"")</f>
        <v>○</v>
      </c>
      <c r="N37" s="35" t="str">
        <f aca="false">IFERROR(CHOOSE(MATCH(INDEX(時間ごとの判定!$AQ$3:$AQ$1850,804),{"利用可","両方停止","運転がそろわない","判定不能"},0),"○","停","×","－"),"")</f>
        <v>○</v>
      </c>
      <c r="O37" s="35" t="str">
        <f aca="false">IFERROR(CHOOSE(MATCH(INDEX(時間ごとの判定!$AQ$3:$AQ$1850,805),{"利用可","両方停止","運転がそろわない","判定不能"},0),"○","停","×","－"),"")</f>
        <v>○</v>
      </c>
      <c r="P37" s="35" t="str">
        <f aca="false">IFERROR(CHOOSE(MATCH(INDEX(時間ごとの判定!$AQ$3:$AQ$1850,806),{"利用可","両方停止","運転がそろわない","判定不能"},0),"○","停","×","－"),"")</f>
        <v>○</v>
      </c>
      <c r="Q37" s="35" t="str">
        <f aca="false">IFERROR(CHOOSE(MATCH(INDEX(時間ごとの判定!$AQ$3:$AQ$1850,807),{"利用可","両方停止","運転がそろわない","判定不能"},0),"○","停","×","－"),"")</f>
        <v>○</v>
      </c>
      <c r="R37" s="35" t="str">
        <f aca="false">IFERROR(CHOOSE(MATCH(INDEX(時間ごとの判定!$AQ$3:$AQ$1850,808),{"利用可","両方停止","運転がそろわない","判定不能"},0),"○","停","×","－"),"")</f>
        <v>○</v>
      </c>
      <c r="S37" s="35" t="str">
        <f aca="false">IFERROR(CHOOSE(MATCH(INDEX(時間ごとの判定!$AQ$3:$AQ$1850,809),{"利用可","両方停止","運転がそろわない","判定不能"},0),"○","停","×","－"),"")</f>
        <v>○</v>
      </c>
      <c r="T37" s="35" t="str">
        <f aca="false">IFERROR(CHOOSE(MATCH(INDEX(時間ごとの判定!$AQ$3:$AQ$1850,810),{"利用可","両方停止","運転がそろわない","判定不能"},0),"○","停","×","－"),"")</f>
        <v>○</v>
      </c>
      <c r="U37" s="35" t="str">
        <f aca="false">IFERROR(CHOOSE(MATCH(INDEX(時間ごとの判定!$AQ$3:$AQ$1850,811),{"利用可","両方停止","運転がそろわない","判定不能"},0),"○","停","×","－"),"")</f>
        <v>○</v>
      </c>
      <c r="V37" s="35" t="str">
        <f aca="false">IFERROR(CHOOSE(MATCH(INDEX(時間ごとの判定!$AQ$3:$AQ$1850,812),{"利用可","両方停止","運転がそろわない","判定不能"},0),"○","停","×","－"),"")</f>
        <v>×</v>
      </c>
      <c r="W37" s="35" t="str">
        <f aca="false">IFERROR(CHOOSE(MATCH(INDEX(時間ごとの判定!$AQ$3:$AQ$1850,813),{"利用可","両方停止","運転がそろわない","判定不能"},0),"○","停","×","－"),"")</f>
        <v>○</v>
      </c>
      <c r="X37" s="35" t="str">
        <f aca="false">IFERROR(CHOOSE(MATCH(INDEX(時間ごとの判定!$AQ$3:$AQ$1850,814),{"利用可","両方停止","運転がそろわない","判定不能"},0),"○","停","×","－"),"")</f>
        <v>×</v>
      </c>
      <c r="Y37" s="35" t="str">
        <f aca="false">IFERROR(CHOOSE(MATCH(INDEX(時間ごとの判定!$AQ$3:$AQ$1850,815),{"利用可","両方停止","運転がそろわない","判定不能"},0),"○","停","×","－"),"")</f>
        <v>停</v>
      </c>
      <c r="Z37" s="35" t="str">
        <f aca="false">IFERROR(CHOOSE(MATCH(INDEX(時間ごとの判定!$AQ$3:$AQ$1850,816),{"利用可","両方停止","運転がそろわない","判定不能"},0),"○","停","×","－"),"")</f>
        <v>停</v>
      </c>
      <c r="AA37" s="35"/>
      <c r="AB37" s="35" t="str">
        <f aca="false">IFERROR(CHOOSE(MATCH(INDEX(時間ごとの判定!$AT$3:$AT$1850,793),{"利用可","両方停止","運転がそろわない","判定不能"},0),"○","停","×","－"),"")</f>
        <v>－</v>
      </c>
      <c r="AC37" s="35" t="str">
        <f aca="false">IFERROR(CHOOSE(MATCH(INDEX(時間ごとの判定!$AT$3:$AT$1850,794),{"利用可","両方停止","運転がそろわない","判定不能"},0),"○","停","×","－"),"")</f>
        <v>－</v>
      </c>
      <c r="AD37" s="35" t="str">
        <f aca="false">IFERROR(CHOOSE(MATCH(INDEX(時間ごとの判定!$AT$3:$AT$1850,795),{"利用可","両方停止","運転がそろわない","判定不能"},0),"○","停","×","－"),"")</f>
        <v>－</v>
      </c>
      <c r="AE37" s="35" t="str">
        <f aca="false">IFERROR(CHOOSE(MATCH(INDEX(時間ごとの判定!$AT$3:$AT$1850,796),{"利用可","両方停止","運転がそろわない","判定不能"},0),"○","停","×","－"),"")</f>
        <v>－</v>
      </c>
      <c r="AF37" s="35" t="str">
        <f aca="false">IFERROR(CHOOSE(MATCH(INDEX(時間ごとの判定!$AT$3:$AT$1850,797),{"利用可","両方停止","運転がそろわない","判定不能"},0),"○","停","×","－"),"")</f>
        <v>－</v>
      </c>
      <c r="AG37" s="35" t="str">
        <f aca="false">IFERROR(CHOOSE(MATCH(INDEX(時間ごとの判定!$AT$3:$AT$1850,798),{"利用可","両方停止","運転がそろわない","判定不能"},0),"○","停","×","－"),"")</f>
        <v>－</v>
      </c>
      <c r="AH37" s="35" t="str">
        <f aca="false">IFERROR(CHOOSE(MATCH(INDEX(時間ごとの判定!$AT$3:$AT$1850,799),{"利用可","両方停止","運転がそろわない","判定不能"},0),"○","停","×","－"),"")</f>
        <v>－</v>
      </c>
      <c r="AI37" s="35" t="str">
        <f aca="false">IFERROR(CHOOSE(MATCH(INDEX(時間ごとの判定!$AT$3:$AT$1850,800),{"利用可","両方停止","運転がそろわない","判定不能"},0),"○","停","×","－"),"")</f>
        <v>－</v>
      </c>
      <c r="AJ37" s="35" t="str">
        <f aca="false">IFERROR(CHOOSE(MATCH(INDEX(時間ごとの判定!$AT$3:$AT$1850,801),{"利用可","両方停止","運転がそろわない","判定不能"},0),"○","停","×","－"),"")</f>
        <v>－</v>
      </c>
      <c r="AK37" s="35" t="str">
        <f aca="false">IFERROR(CHOOSE(MATCH(INDEX(時間ごとの判定!$AT$3:$AT$1850,802),{"利用可","両方停止","運転がそろわない","判定不能"},0),"○","停","×","－"),"")</f>
        <v>－</v>
      </c>
      <c r="AL37" s="35" t="str">
        <f aca="false">IFERROR(CHOOSE(MATCH(INDEX(時間ごとの判定!$AT$3:$AT$1850,803),{"利用可","両方停止","運転がそろわない","判定不能"},0),"○","停","×","－"),"")</f>
        <v>－</v>
      </c>
      <c r="AM37" s="35" t="str">
        <f aca="false">IFERROR(CHOOSE(MATCH(INDEX(時間ごとの判定!$AT$3:$AT$1850,804),{"利用可","両方停止","運転がそろわない","判定不能"},0),"○","停","×","－"),"")</f>
        <v>－</v>
      </c>
      <c r="AN37" s="35" t="str">
        <f aca="false">IFERROR(CHOOSE(MATCH(INDEX(時間ごとの判定!$AT$3:$AT$1850,805),{"利用可","両方停止","運転がそろわない","判定不能"},0),"○","停","×","－"),"")</f>
        <v>－</v>
      </c>
      <c r="AO37" s="35" t="str">
        <f aca="false">IFERROR(CHOOSE(MATCH(INDEX(時間ごとの判定!$AT$3:$AT$1850,806),{"利用可","両方停止","運転がそろわない","判定不能"},0),"○","停","×","－"),"")</f>
        <v>－</v>
      </c>
      <c r="AP37" s="35" t="str">
        <f aca="false">IFERROR(CHOOSE(MATCH(INDEX(時間ごとの判定!$AT$3:$AT$1850,807),{"利用可","両方停止","運転がそろわない","判定不能"},0),"○","停","×","－"),"")</f>
        <v>－</v>
      </c>
      <c r="AQ37" s="35" t="str">
        <f aca="false">IFERROR(CHOOSE(MATCH(INDEX(時間ごとの判定!$AT$3:$AT$1850,808),{"利用可","両方停止","運転がそろわない","判定不能"},0),"○","停","×","－"),"")</f>
        <v>－</v>
      </c>
      <c r="AR37" s="35" t="str">
        <f aca="false">IFERROR(CHOOSE(MATCH(INDEX(時間ごとの判定!$AT$3:$AT$1850,809),{"利用可","両方停止","運転がそろわない","判定不能"},0),"○","停","×","－"),"")</f>
        <v>－</v>
      </c>
      <c r="AS37" s="35" t="str">
        <f aca="false">IFERROR(CHOOSE(MATCH(INDEX(時間ごとの判定!$AT$3:$AT$1850,810),{"利用可","両方停止","運転がそろわない","判定不能"},0),"○","停","×","－"),"")</f>
        <v>－</v>
      </c>
      <c r="AT37" s="35" t="str">
        <f aca="false">IFERROR(CHOOSE(MATCH(INDEX(時間ごとの判定!$AT$3:$AT$1850,811),{"利用可","両方停止","運転がそろわない","判定不能"},0),"○","停","×","－"),"")</f>
        <v>－</v>
      </c>
      <c r="AU37" s="35" t="str">
        <f aca="false">IFERROR(CHOOSE(MATCH(INDEX(時間ごとの判定!$AT$3:$AT$1850,812),{"利用可","両方停止","運転がそろわない","判定不能"},0),"○","停","×","－"),"")</f>
        <v>－</v>
      </c>
      <c r="AV37" s="35" t="str">
        <f aca="false">IFERROR(CHOOSE(MATCH(INDEX(時間ごとの判定!$AT$3:$AT$1850,813),{"利用可","両方停止","運転がそろわない","判定不能"},0),"○","停","×","－"),"")</f>
        <v>－</v>
      </c>
      <c r="AW37" s="35" t="str">
        <f aca="false">IFERROR(CHOOSE(MATCH(INDEX(時間ごとの判定!$AT$3:$AT$1850,814),{"利用可","両方停止","運転がそろわない","判定不能"},0),"○","停","×","－"),"")</f>
        <v>－</v>
      </c>
      <c r="AX37" s="35" t="str">
        <f aca="false">IFERROR(CHOOSE(MATCH(INDEX(時間ごとの判定!$AT$3:$AT$1850,815),{"利用可","両方停止","運転がそろわない","判定不能"},0),"○","停","×","－"),"")</f>
        <v>－</v>
      </c>
      <c r="AY37" s="35" t="str">
        <f aca="false">IFERROR(CHOOSE(MATCH(INDEX(時間ごとの判定!$AT$3:$AT$1850,816),{"利用可","両方停止","運転がそろわない","判定不能"},0),"○","停","×","－"),"")</f>
        <v>－</v>
      </c>
      <c r="AZ37" s="35"/>
      <c r="BA37" s="35" t="str">
        <f aca="false">IFERROR(CHOOSE(MATCH(INDEX(時間ごとの判定!$AW$3:$AW$1850,793),{"利用可","両方停止","運転がそろわない","判定不能"},0),"○","停","×","－"),"")</f>
        <v>停</v>
      </c>
      <c r="BB37" s="35" t="str">
        <f aca="false">IFERROR(CHOOSE(MATCH(INDEX(時間ごとの判定!$AW$3:$AW$1850,794),{"利用可","両方停止","運転がそろわない","判定不能"},0),"○","停","×","－"),"")</f>
        <v>停</v>
      </c>
      <c r="BC37" s="35" t="str">
        <f aca="false">IFERROR(CHOOSE(MATCH(INDEX(時間ごとの判定!$AW$3:$AW$1850,795),{"利用可","両方停止","運転がそろわない","判定不能"},0),"○","停","×","－"),"")</f>
        <v>停</v>
      </c>
      <c r="BD37" s="35" t="str">
        <f aca="false">IFERROR(CHOOSE(MATCH(INDEX(時間ごとの判定!$AW$3:$AW$1850,796),{"利用可","両方停止","運転がそろわない","判定不能"},0),"○","停","×","－"),"")</f>
        <v>停</v>
      </c>
      <c r="BE37" s="35" t="str">
        <f aca="false">IFERROR(CHOOSE(MATCH(INDEX(時間ごとの判定!$AW$3:$AW$1850,797),{"利用可","両方停止","運転がそろわない","判定不能"},0),"○","停","×","－"),"")</f>
        <v>×</v>
      </c>
      <c r="BF37" s="35" t="str">
        <f aca="false">IFERROR(CHOOSE(MATCH(INDEX(時間ごとの判定!$AW$3:$AW$1850,798),{"利用可","両方停止","運転がそろわない","判定不能"},0),"○","停","×","－"),"")</f>
        <v>×</v>
      </c>
      <c r="BG37" s="35" t="str">
        <f aca="false">IFERROR(CHOOSE(MATCH(INDEX(時間ごとの判定!$AW$3:$AW$1850,799),{"利用可","両方停止","運転がそろわない","判定不能"},0),"○","停","×","－"),"")</f>
        <v>×</v>
      </c>
      <c r="BH37" s="35" t="str">
        <f aca="false">IFERROR(CHOOSE(MATCH(INDEX(時間ごとの判定!$AW$3:$AW$1850,800),{"利用可","両方停止","運転がそろわない","判定不能"},0),"○","停","×","－"),"")</f>
        <v>×</v>
      </c>
      <c r="BI37" s="35" t="str">
        <f aca="false">IFERROR(CHOOSE(MATCH(INDEX(時間ごとの判定!$AW$3:$AW$1850,801),{"利用可","両方停止","運転がそろわない","判定不能"},0),"○","停","×","－"),"")</f>
        <v>×</v>
      </c>
      <c r="BJ37" s="35" t="str">
        <f aca="false">IFERROR(CHOOSE(MATCH(INDEX(時間ごとの判定!$AW$3:$AW$1850,802),{"利用可","両方停止","運転がそろわない","判定不能"},0),"○","停","×","－"),"")</f>
        <v>○</v>
      </c>
      <c r="BK37" s="35" t="str">
        <f aca="false">IFERROR(CHOOSE(MATCH(INDEX(時間ごとの判定!$AW$3:$AW$1850,803),{"利用可","両方停止","運転がそろわない","判定不能"},0),"○","停","×","－"),"")</f>
        <v>○</v>
      </c>
      <c r="BL37" s="35" t="str">
        <f aca="false">IFERROR(CHOOSE(MATCH(INDEX(時間ごとの判定!$AW$3:$AW$1850,804),{"利用可","両方停止","運転がそろわない","判定不能"},0),"○","停","×","－"),"")</f>
        <v>○</v>
      </c>
      <c r="BM37" s="35" t="str">
        <f aca="false">IFERROR(CHOOSE(MATCH(INDEX(時間ごとの判定!$AW$3:$AW$1850,805),{"利用可","両方停止","運転がそろわない","判定不能"},0),"○","停","×","－"),"")</f>
        <v>○</v>
      </c>
      <c r="BN37" s="35" t="str">
        <f aca="false">IFERROR(CHOOSE(MATCH(INDEX(時間ごとの判定!$AW$3:$AW$1850,806),{"利用可","両方停止","運転がそろわない","判定不能"},0),"○","停","×","－"),"")</f>
        <v>○</v>
      </c>
      <c r="BO37" s="35" t="str">
        <f aca="false">IFERROR(CHOOSE(MATCH(INDEX(時間ごとの判定!$AW$3:$AW$1850,807),{"利用可","両方停止","運転がそろわない","判定不能"},0),"○","停","×","－"),"")</f>
        <v>○</v>
      </c>
      <c r="BP37" s="35" t="str">
        <f aca="false">IFERROR(CHOOSE(MATCH(INDEX(時間ごとの判定!$AW$3:$AW$1850,808),{"利用可","両方停止","運転がそろわない","判定不能"},0),"○","停","×","－"),"")</f>
        <v>○</v>
      </c>
      <c r="BQ37" s="35" t="str">
        <f aca="false">IFERROR(CHOOSE(MATCH(INDEX(時間ごとの判定!$AW$3:$AW$1850,809),{"利用可","両方停止","運転がそろわない","判定不能"},0),"○","停","×","－"),"")</f>
        <v>○</v>
      </c>
      <c r="BR37" s="35" t="str">
        <f aca="false">IFERROR(CHOOSE(MATCH(INDEX(時間ごとの判定!$AW$3:$AW$1850,810),{"利用可","両方停止","運転がそろわない","判定不能"},0),"○","停","×","－"),"")</f>
        <v>○</v>
      </c>
      <c r="BS37" s="35" t="str">
        <f aca="false">IFERROR(CHOOSE(MATCH(INDEX(時間ごとの判定!$AW$3:$AW$1850,811),{"利用可","両方停止","運転がそろわない","判定不能"},0),"○","停","×","－"),"")</f>
        <v>○</v>
      </c>
      <c r="BT37" s="35" t="str">
        <f aca="false">IFERROR(CHOOSE(MATCH(INDEX(時間ごとの判定!$AW$3:$AW$1850,812),{"利用可","両方停止","運転がそろわない","判定不能"},0),"○","停","×","－"),"")</f>
        <v>×</v>
      </c>
      <c r="BU37" s="35" t="str">
        <f aca="false">IFERROR(CHOOSE(MATCH(INDEX(時間ごとの判定!$AW$3:$AW$1850,813),{"利用可","両方停止","運転がそろわない","判定不能"},0),"○","停","×","－"),"")</f>
        <v>×</v>
      </c>
      <c r="BV37" s="35" t="str">
        <f aca="false">IFERROR(CHOOSE(MATCH(INDEX(時間ごとの判定!$AW$3:$AW$1850,814),{"利用可","両方停止","運転がそろわない","判定不能"},0),"○","停","×","－"),"")</f>
        <v>停</v>
      </c>
      <c r="BW37" s="35" t="str">
        <f aca="false">IFERROR(CHOOSE(MATCH(INDEX(時間ごとの判定!$AW$3:$AW$1850,815),{"利用可","両方停止","運転がそろわない","判定不能"},0),"○","停","×","－"),"")</f>
        <v>停</v>
      </c>
      <c r="BX37" s="35" t="str">
        <f aca="false">IFERROR(CHOOSE(MATCH(INDEX(時間ごとの判定!$AW$3:$AW$1850,816),{"利用可","両方停止","運転がそろわない","判定不能"},0),"○","停","×","－"),"")</f>
        <v>停</v>
      </c>
    </row>
    <row r="38" customFormat="false" ht="15" hidden="false" customHeight="false" outlineLevel="0" collapsed="false">
      <c r="A38" s="33" t="n">
        <v>46266</v>
      </c>
      <c r="B38" s="34" t="s">
        <v>67</v>
      </c>
      <c r="C38" s="35" t="str">
        <f aca="false">IFERROR(CHOOSE(MATCH(INDEX(時間ごとの判定!$AQ$3:$AQ$1850,817),{"利用可","両方停止","運転がそろわない","判定不能"},0),"○","停","×","－"),"")</f>
        <v>停</v>
      </c>
      <c r="D38" s="35" t="str">
        <f aca="false">IFERROR(CHOOSE(MATCH(INDEX(時間ごとの判定!$AQ$3:$AQ$1850,818),{"利用可","両方停止","運転がそろわない","判定不能"},0),"○","停","×","－"),"")</f>
        <v>停</v>
      </c>
      <c r="E38" s="35" t="str">
        <f aca="false">IFERROR(CHOOSE(MATCH(INDEX(時間ごとの判定!$AQ$3:$AQ$1850,819),{"利用可","両方停止","運転がそろわない","判定不能"},0),"○","停","×","－"),"")</f>
        <v>停</v>
      </c>
      <c r="F38" s="35" t="str">
        <f aca="false">IFERROR(CHOOSE(MATCH(INDEX(時間ごとの判定!$AQ$3:$AQ$1850,820),{"利用可","両方停止","運転がそろわない","判定不能"},0),"○","停","×","－"),"")</f>
        <v>停</v>
      </c>
      <c r="G38" s="35" t="str">
        <f aca="false">IFERROR(CHOOSE(MATCH(INDEX(時間ごとの判定!$AQ$3:$AQ$1850,821),{"利用可","両方停止","運転がそろわない","判定不能"},0),"○","停","×","－"),"")</f>
        <v>停</v>
      </c>
      <c r="H38" s="35" t="str">
        <f aca="false">IFERROR(CHOOSE(MATCH(INDEX(時間ごとの判定!$AQ$3:$AQ$1850,822),{"利用可","両方停止","運転がそろわない","判定不能"},0),"○","停","×","－"),"")</f>
        <v>停</v>
      </c>
      <c r="I38" s="35" t="str">
        <f aca="false">IFERROR(CHOOSE(MATCH(INDEX(時間ごとの判定!$AQ$3:$AQ$1850,823),{"利用可","両方停止","運転がそろわない","判定不能"},0),"○","停","×","－"),"")</f>
        <v>×</v>
      </c>
      <c r="J38" s="35" t="str">
        <f aca="false">IFERROR(CHOOSE(MATCH(INDEX(時間ごとの判定!$AQ$3:$AQ$1850,824),{"利用可","両方停止","運転がそろわない","判定不能"},0),"○","停","×","－"),"")</f>
        <v>×</v>
      </c>
      <c r="K38" s="35" t="str">
        <f aca="false">IFERROR(CHOOSE(MATCH(INDEX(時間ごとの判定!$AQ$3:$AQ$1850,825),{"利用可","両方停止","運転がそろわない","判定不能"},0),"○","停","×","－"),"")</f>
        <v>×</v>
      </c>
      <c r="L38" s="35" t="str">
        <f aca="false">IFERROR(CHOOSE(MATCH(INDEX(時間ごとの判定!$AQ$3:$AQ$1850,826),{"利用可","両方停止","運転がそろわない","判定不能"},0),"○","停","×","－"),"")</f>
        <v>○</v>
      </c>
      <c r="M38" s="35" t="str">
        <f aca="false">IFERROR(CHOOSE(MATCH(INDEX(時間ごとの判定!$AQ$3:$AQ$1850,827),{"利用可","両方停止","運転がそろわない","判定不能"},0),"○","停","×","－"),"")</f>
        <v>○</v>
      </c>
      <c r="N38" s="35" t="str">
        <f aca="false">IFERROR(CHOOSE(MATCH(INDEX(時間ごとの判定!$AQ$3:$AQ$1850,828),{"利用可","両方停止","運転がそろわない","判定不能"},0),"○","停","×","－"),"")</f>
        <v>○</v>
      </c>
      <c r="O38" s="35" t="str">
        <f aca="false">IFERROR(CHOOSE(MATCH(INDEX(時間ごとの判定!$AQ$3:$AQ$1850,829),{"利用可","両方停止","運転がそろわない","判定不能"},0),"○","停","×","－"),"")</f>
        <v>×</v>
      </c>
      <c r="P38" s="35" t="str">
        <f aca="false">IFERROR(CHOOSE(MATCH(INDEX(時間ごとの判定!$AQ$3:$AQ$1850,830),{"利用可","両方停止","運転がそろわない","判定不能"},0),"○","停","×","－"),"")</f>
        <v>○</v>
      </c>
      <c r="Q38" s="35" t="str">
        <f aca="false">IFERROR(CHOOSE(MATCH(INDEX(時間ごとの判定!$AQ$3:$AQ$1850,831),{"利用可","両方停止","運転がそろわない","判定不能"},0),"○","停","×","－"),"")</f>
        <v>○</v>
      </c>
      <c r="R38" s="35" t="str">
        <f aca="false">IFERROR(CHOOSE(MATCH(INDEX(時間ごとの判定!$AQ$3:$AQ$1850,832),{"利用可","両方停止","運転がそろわない","判定不能"},0),"○","停","×","－"),"")</f>
        <v>○</v>
      </c>
      <c r="S38" s="35" t="str">
        <f aca="false">IFERROR(CHOOSE(MATCH(INDEX(時間ごとの判定!$AQ$3:$AQ$1850,833),{"利用可","両方停止","運転がそろわない","判定不能"},0),"○","停","×","－"),"")</f>
        <v>○</v>
      </c>
      <c r="T38" s="35" t="str">
        <f aca="false">IFERROR(CHOOSE(MATCH(INDEX(時間ごとの判定!$AQ$3:$AQ$1850,834),{"利用可","両方停止","運転がそろわない","判定不能"},0),"○","停","×","－"),"")</f>
        <v>○</v>
      </c>
      <c r="U38" s="35" t="str">
        <f aca="false">IFERROR(CHOOSE(MATCH(INDEX(時間ごとの判定!$AQ$3:$AQ$1850,835),{"利用可","両方停止","運転がそろわない","判定不能"},0),"○","停","×","－"),"")</f>
        <v>○</v>
      </c>
      <c r="V38" s="35" t="str">
        <f aca="false">IFERROR(CHOOSE(MATCH(INDEX(時間ごとの判定!$AQ$3:$AQ$1850,836),{"利用可","両方停止","運転がそろわない","判定不能"},0),"○","停","×","－"),"")</f>
        <v>×</v>
      </c>
      <c r="W38" s="35" t="str">
        <f aca="false">IFERROR(CHOOSE(MATCH(INDEX(時間ごとの判定!$AQ$3:$AQ$1850,837),{"利用可","両方停止","運転がそろわない","判定不能"},0),"○","停","×","－"),"")</f>
        <v>×</v>
      </c>
      <c r="X38" s="35" t="str">
        <f aca="false">IFERROR(CHOOSE(MATCH(INDEX(時間ごとの判定!$AQ$3:$AQ$1850,838),{"利用可","両方停止","運転がそろわない","判定不能"},0),"○","停","×","－"),"")</f>
        <v>×</v>
      </c>
      <c r="Y38" s="35" t="str">
        <f aca="false">IFERROR(CHOOSE(MATCH(INDEX(時間ごとの判定!$AQ$3:$AQ$1850,839),{"利用可","両方停止","運転がそろわない","判定不能"},0),"○","停","×","－"),"")</f>
        <v>停</v>
      </c>
      <c r="Z38" s="35" t="str">
        <f aca="false">IFERROR(CHOOSE(MATCH(INDEX(時間ごとの判定!$AQ$3:$AQ$1850,840),{"利用可","両方停止","運転がそろわない","判定不能"},0),"○","停","×","－"),"")</f>
        <v>停</v>
      </c>
      <c r="AA38" s="35"/>
      <c r="AB38" s="35" t="str">
        <f aca="false">IFERROR(CHOOSE(MATCH(INDEX(時間ごとの判定!$AT$3:$AT$1850,817),{"利用可","両方停止","運転がそろわない","判定不能"},0),"○","停","×","－"),"")</f>
        <v>－</v>
      </c>
      <c r="AC38" s="35" t="str">
        <f aca="false">IFERROR(CHOOSE(MATCH(INDEX(時間ごとの判定!$AT$3:$AT$1850,818),{"利用可","両方停止","運転がそろわない","判定不能"},0),"○","停","×","－"),"")</f>
        <v>－</v>
      </c>
      <c r="AD38" s="35" t="str">
        <f aca="false">IFERROR(CHOOSE(MATCH(INDEX(時間ごとの判定!$AT$3:$AT$1850,819),{"利用可","両方停止","運転がそろわない","判定不能"},0),"○","停","×","－"),"")</f>
        <v>－</v>
      </c>
      <c r="AE38" s="35" t="str">
        <f aca="false">IFERROR(CHOOSE(MATCH(INDEX(時間ごとの判定!$AT$3:$AT$1850,820),{"利用可","両方停止","運転がそろわない","判定不能"},0),"○","停","×","－"),"")</f>
        <v>－</v>
      </c>
      <c r="AF38" s="35" t="str">
        <f aca="false">IFERROR(CHOOSE(MATCH(INDEX(時間ごとの判定!$AT$3:$AT$1850,821),{"利用可","両方停止","運転がそろわない","判定不能"},0),"○","停","×","－"),"")</f>
        <v>－</v>
      </c>
      <c r="AG38" s="35" t="str">
        <f aca="false">IFERROR(CHOOSE(MATCH(INDEX(時間ごとの判定!$AT$3:$AT$1850,822),{"利用可","両方停止","運転がそろわない","判定不能"},0),"○","停","×","－"),"")</f>
        <v>－</v>
      </c>
      <c r="AH38" s="35" t="str">
        <f aca="false">IFERROR(CHOOSE(MATCH(INDEX(時間ごとの判定!$AT$3:$AT$1850,823),{"利用可","両方停止","運転がそろわない","判定不能"},0),"○","停","×","－"),"")</f>
        <v>－</v>
      </c>
      <c r="AI38" s="35" t="str">
        <f aca="false">IFERROR(CHOOSE(MATCH(INDEX(時間ごとの判定!$AT$3:$AT$1850,824),{"利用可","両方停止","運転がそろわない","判定不能"},0),"○","停","×","－"),"")</f>
        <v>－</v>
      </c>
      <c r="AJ38" s="35" t="str">
        <f aca="false">IFERROR(CHOOSE(MATCH(INDEX(時間ごとの判定!$AT$3:$AT$1850,825),{"利用可","両方停止","運転がそろわない","判定不能"},0),"○","停","×","－"),"")</f>
        <v>－</v>
      </c>
      <c r="AK38" s="35" t="str">
        <f aca="false">IFERROR(CHOOSE(MATCH(INDEX(時間ごとの判定!$AT$3:$AT$1850,826),{"利用可","両方停止","運転がそろわない","判定不能"},0),"○","停","×","－"),"")</f>
        <v>－</v>
      </c>
      <c r="AL38" s="35" t="str">
        <f aca="false">IFERROR(CHOOSE(MATCH(INDEX(時間ごとの判定!$AT$3:$AT$1850,827),{"利用可","両方停止","運転がそろわない","判定不能"},0),"○","停","×","－"),"")</f>
        <v>－</v>
      </c>
      <c r="AM38" s="35" t="str">
        <f aca="false">IFERROR(CHOOSE(MATCH(INDEX(時間ごとの判定!$AT$3:$AT$1850,828),{"利用可","両方停止","運転がそろわない","判定不能"},0),"○","停","×","－"),"")</f>
        <v>－</v>
      </c>
      <c r="AN38" s="35" t="str">
        <f aca="false">IFERROR(CHOOSE(MATCH(INDEX(時間ごとの判定!$AT$3:$AT$1850,829),{"利用可","両方停止","運転がそろわない","判定不能"},0),"○","停","×","－"),"")</f>
        <v>－</v>
      </c>
      <c r="AO38" s="35" t="str">
        <f aca="false">IFERROR(CHOOSE(MATCH(INDEX(時間ごとの判定!$AT$3:$AT$1850,830),{"利用可","両方停止","運転がそろわない","判定不能"},0),"○","停","×","－"),"")</f>
        <v>－</v>
      </c>
      <c r="AP38" s="35" t="str">
        <f aca="false">IFERROR(CHOOSE(MATCH(INDEX(時間ごとの判定!$AT$3:$AT$1850,831),{"利用可","両方停止","運転がそろわない","判定不能"},0),"○","停","×","－"),"")</f>
        <v>－</v>
      </c>
      <c r="AQ38" s="35" t="str">
        <f aca="false">IFERROR(CHOOSE(MATCH(INDEX(時間ごとの判定!$AT$3:$AT$1850,832),{"利用可","両方停止","運転がそろわない","判定不能"},0),"○","停","×","－"),"")</f>
        <v>－</v>
      </c>
      <c r="AR38" s="35" t="str">
        <f aca="false">IFERROR(CHOOSE(MATCH(INDEX(時間ごとの判定!$AT$3:$AT$1850,833),{"利用可","両方停止","運転がそろわない","判定不能"},0),"○","停","×","－"),"")</f>
        <v>－</v>
      </c>
      <c r="AS38" s="35" t="str">
        <f aca="false">IFERROR(CHOOSE(MATCH(INDEX(時間ごとの判定!$AT$3:$AT$1850,834),{"利用可","両方停止","運転がそろわない","判定不能"},0),"○","停","×","－"),"")</f>
        <v>－</v>
      </c>
      <c r="AT38" s="35" t="str">
        <f aca="false">IFERROR(CHOOSE(MATCH(INDEX(時間ごとの判定!$AT$3:$AT$1850,835),{"利用可","両方停止","運転がそろわない","判定不能"},0),"○","停","×","－"),"")</f>
        <v>－</v>
      </c>
      <c r="AU38" s="35" t="str">
        <f aca="false">IFERROR(CHOOSE(MATCH(INDEX(時間ごとの判定!$AT$3:$AT$1850,836),{"利用可","両方停止","運転がそろわない","判定不能"},0),"○","停","×","－"),"")</f>
        <v>－</v>
      </c>
      <c r="AV38" s="35" t="str">
        <f aca="false">IFERROR(CHOOSE(MATCH(INDEX(時間ごとの判定!$AT$3:$AT$1850,837),{"利用可","両方停止","運転がそろわない","判定不能"},0),"○","停","×","－"),"")</f>
        <v>－</v>
      </c>
      <c r="AW38" s="35" t="str">
        <f aca="false">IFERROR(CHOOSE(MATCH(INDEX(時間ごとの判定!$AT$3:$AT$1850,838),{"利用可","両方停止","運転がそろわない","判定不能"},0),"○","停","×","－"),"")</f>
        <v>－</v>
      </c>
      <c r="AX38" s="35" t="str">
        <f aca="false">IFERROR(CHOOSE(MATCH(INDEX(時間ごとの判定!$AT$3:$AT$1850,839),{"利用可","両方停止","運転がそろわない","判定不能"},0),"○","停","×","－"),"")</f>
        <v>－</v>
      </c>
      <c r="AY38" s="35" t="str">
        <f aca="false">IFERROR(CHOOSE(MATCH(INDEX(時間ごとの判定!$AT$3:$AT$1850,840),{"利用可","両方停止","運転がそろわない","判定不能"},0),"○","停","×","－"),"")</f>
        <v>－</v>
      </c>
      <c r="AZ38" s="35"/>
      <c r="BA38" s="35" t="str">
        <f aca="false">IFERROR(CHOOSE(MATCH(INDEX(時間ごとの判定!$AW$3:$AW$1850,817),{"利用可","両方停止","運転がそろわない","判定不能"},0),"○","停","×","－"),"")</f>
        <v>停</v>
      </c>
      <c r="BB38" s="35" t="str">
        <f aca="false">IFERROR(CHOOSE(MATCH(INDEX(時間ごとの判定!$AW$3:$AW$1850,818),{"利用可","両方停止","運転がそろわない","判定不能"},0),"○","停","×","－"),"")</f>
        <v>停</v>
      </c>
      <c r="BC38" s="35" t="str">
        <f aca="false">IFERROR(CHOOSE(MATCH(INDEX(時間ごとの判定!$AW$3:$AW$1850,819),{"利用可","両方停止","運転がそろわない","判定不能"},0),"○","停","×","－"),"")</f>
        <v>停</v>
      </c>
      <c r="BD38" s="35" t="str">
        <f aca="false">IFERROR(CHOOSE(MATCH(INDEX(時間ごとの判定!$AW$3:$AW$1850,820),{"利用可","両方停止","運転がそろわない","判定不能"},0),"○","停","×","－"),"")</f>
        <v>停</v>
      </c>
      <c r="BE38" s="35" t="str">
        <f aca="false">IFERROR(CHOOSE(MATCH(INDEX(時間ごとの判定!$AW$3:$AW$1850,821),{"利用可","両方停止","運転がそろわない","判定不能"},0),"○","停","×","－"),"")</f>
        <v>停</v>
      </c>
      <c r="BF38" s="35" t="str">
        <f aca="false">IFERROR(CHOOSE(MATCH(INDEX(時間ごとの判定!$AW$3:$AW$1850,822),{"利用可","両方停止","運転がそろわない","判定不能"},0),"○","停","×","－"),"")</f>
        <v>停</v>
      </c>
      <c r="BG38" s="35" t="str">
        <f aca="false">IFERROR(CHOOSE(MATCH(INDEX(時間ごとの判定!$AW$3:$AW$1850,823),{"利用可","両方停止","運転がそろわない","判定不能"},0),"○","停","×","－"),"")</f>
        <v>×</v>
      </c>
      <c r="BH38" s="35" t="str">
        <f aca="false">IFERROR(CHOOSE(MATCH(INDEX(時間ごとの判定!$AW$3:$AW$1850,824),{"利用可","両方停止","運転がそろわない","判定不能"},0),"○","停","×","－"),"")</f>
        <v>×</v>
      </c>
      <c r="BI38" s="35" t="str">
        <f aca="false">IFERROR(CHOOSE(MATCH(INDEX(時間ごとの判定!$AW$3:$AW$1850,825),{"利用可","両方停止","運転がそろわない","判定不能"},0),"○","停","×","－"),"")</f>
        <v>×</v>
      </c>
      <c r="BJ38" s="35" t="str">
        <f aca="false">IFERROR(CHOOSE(MATCH(INDEX(時間ごとの判定!$AW$3:$AW$1850,826),{"利用可","両方停止","運転がそろわない","判定不能"},0),"○","停","×","－"),"")</f>
        <v>○</v>
      </c>
      <c r="BK38" s="35" t="str">
        <f aca="false">IFERROR(CHOOSE(MATCH(INDEX(時間ごとの判定!$AW$3:$AW$1850,827),{"利用可","両方停止","運転がそろわない","判定不能"},0),"○","停","×","－"),"")</f>
        <v>○</v>
      </c>
      <c r="BL38" s="35" t="str">
        <f aca="false">IFERROR(CHOOSE(MATCH(INDEX(時間ごとの判定!$AW$3:$AW$1850,828),{"利用可","両方停止","運転がそろわない","判定不能"},0),"○","停","×","－"),"")</f>
        <v>○</v>
      </c>
      <c r="BM38" s="35" t="str">
        <f aca="false">IFERROR(CHOOSE(MATCH(INDEX(時間ごとの判定!$AW$3:$AW$1850,829),{"利用可","両方停止","運転がそろわない","判定不能"},0),"○","停","×","－"),"")</f>
        <v>○</v>
      </c>
      <c r="BN38" s="35" t="str">
        <f aca="false">IFERROR(CHOOSE(MATCH(INDEX(時間ごとの判定!$AW$3:$AW$1850,830),{"利用可","両方停止","運転がそろわない","判定不能"},0),"○","停","×","－"),"")</f>
        <v>○</v>
      </c>
      <c r="BO38" s="35" t="str">
        <f aca="false">IFERROR(CHOOSE(MATCH(INDEX(時間ごとの判定!$AW$3:$AW$1850,831),{"利用可","両方停止","運転がそろわない","判定不能"},0),"○","停","×","－"),"")</f>
        <v>○</v>
      </c>
      <c r="BP38" s="35" t="str">
        <f aca="false">IFERROR(CHOOSE(MATCH(INDEX(時間ごとの判定!$AW$3:$AW$1850,832),{"利用可","両方停止","運転がそろわない","判定不能"},0),"○","停","×","－"),"")</f>
        <v>○</v>
      </c>
      <c r="BQ38" s="35" t="str">
        <f aca="false">IFERROR(CHOOSE(MATCH(INDEX(時間ごとの判定!$AW$3:$AW$1850,833),{"利用可","両方停止","運転がそろわない","判定不能"},0),"○","停","×","－"),"")</f>
        <v>○</v>
      </c>
      <c r="BR38" s="35" t="str">
        <f aca="false">IFERROR(CHOOSE(MATCH(INDEX(時間ごとの判定!$AW$3:$AW$1850,834),{"利用可","両方停止","運転がそろわない","判定不能"},0),"○","停","×","－"),"")</f>
        <v>○</v>
      </c>
      <c r="BS38" s="35" t="str">
        <f aca="false">IFERROR(CHOOSE(MATCH(INDEX(時間ごとの判定!$AW$3:$AW$1850,835),{"利用可","両方停止","運転がそろわない","判定不能"},0),"○","停","×","－"),"")</f>
        <v>○</v>
      </c>
      <c r="BT38" s="35" t="str">
        <f aca="false">IFERROR(CHOOSE(MATCH(INDEX(時間ごとの判定!$AW$3:$AW$1850,836),{"利用可","両方停止","運転がそろわない","判定不能"},0),"○","停","×","－"),"")</f>
        <v>×</v>
      </c>
      <c r="BU38" s="35" t="str">
        <f aca="false">IFERROR(CHOOSE(MATCH(INDEX(時間ごとの判定!$AW$3:$AW$1850,837),{"利用可","両方停止","運転がそろわない","判定不能"},0),"○","停","×","－"),"")</f>
        <v>×</v>
      </c>
      <c r="BV38" s="35" t="str">
        <f aca="false">IFERROR(CHOOSE(MATCH(INDEX(時間ごとの判定!$AW$3:$AW$1850,838),{"利用可","両方停止","運転がそろわない","判定不能"},0),"○","停","×","－"),"")</f>
        <v>×</v>
      </c>
      <c r="BW38" s="35" t="str">
        <f aca="false">IFERROR(CHOOSE(MATCH(INDEX(時間ごとの判定!$AW$3:$AW$1850,839),{"利用可","両方停止","運転がそろわない","判定不能"},0),"○","停","×","－"),"")</f>
        <v>×</v>
      </c>
      <c r="BX38" s="35" t="str">
        <f aca="false">IFERROR(CHOOSE(MATCH(INDEX(時間ごとの判定!$AW$3:$AW$1850,840),{"利用可","両方停止","運転がそろわない","判定不能"},0),"○","停","×","－"),"")</f>
        <v>×</v>
      </c>
    </row>
    <row r="39" customFormat="false" ht="15" hidden="false" customHeight="false" outlineLevel="0" collapsed="false">
      <c r="A39" s="33" t="n">
        <v>46267</v>
      </c>
      <c r="B39" s="34" t="s">
        <v>58</v>
      </c>
      <c r="C39" s="35" t="str">
        <f aca="false">IFERROR(CHOOSE(MATCH(INDEX(時間ごとの判定!$AQ$3:$AQ$1850,841),{"利用可","両方停止","運転がそろわない","判定不能"},0),"○","停","×","－"),"")</f>
        <v>停</v>
      </c>
      <c r="D39" s="35" t="str">
        <f aca="false">IFERROR(CHOOSE(MATCH(INDEX(時間ごとの判定!$AQ$3:$AQ$1850,842),{"利用可","両方停止","運転がそろわない","判定不能"},0),"○","停","×","－"),"")</f>
        <v>停</v>
      </c>
      <c r="E39" s="35" t="str">
        <f aca="false">IFERROR(CHOOSE(MATCH(INDEX(時間ごとの判定!$AQ$3:$AQ$1850,843),{"利用可","両方停止","運転がそろわない","判定不能"},0),"○","停","×","－"),"")</f>
        <v>停</v>
      </c>
      <c r="F39" s="35" t="str">
        <f aca="false">IFERROR(CHOOSE(MATCH(INDEX(時間ごとの判定!$AQ$3:$AQ$1850,844),{"利用可","両方停止","運転がそろわない","判定不能"},0),"○","停","×","－"),"")</f>
        <v>停</v>
      </c>
      <c r="G39" s="35" t="str">
        <f aca="false">IFERROR(CHOOSE(MATCH(INDEX(時間ごとの判定!$AQ$3:$AQ$1850,845),{"利用可","両方停止","運転がそろわない","判定不能"},0),"○","停","×","－"),"")</f>
        <v>停</v>
      </c>
      <c r="H39" s="35" t="str">
        <f aca="false">IFERROR(CHOOSE(MATCH(INDEX(時間ごとの判定!$AQ$3:$AQ$1850,846),{"利用可","両方停止","運転がそろわない","判定不能"},0),"○","停","×","－"),"")</f>
        <v>×</v>
      </c>
      <c r="I39" s="35" t="str">
        <f aca="false">IFERROR(CHOOSE(MATCH(INDEX(時間ごとの判定!$AQ$3:$AQ$1850,847),{"利用可","両方停止","運転がそろわない","判定不能"},0),"○","停","×","－"),"")</f>
        <v>×</v>
      </c>
      <c r="J39" s="35" t="str">
        <f aca="false">IFERROR(CHOOSE(MATCH(INDEX(時間ごとの判定!$AQ$3:$AQ$1850,848),{"利用可","両方停止","運転がそろわない","判定不能"},0),"○","停","×","－"),"")</f>
        <v>×</v>
      </c>
      <c r="K39" s="35" t="str">
        <f aca="false">IFERROR(CHOOSE(MATCH(INDEX(時間ごとの判定!$AQ$3:$AQ$1850,849),{"利用可","両方停止","運転がそろわない","判定不能"},0),"○","停","×","－"),"")</f>
        <v>○</v>
      </c>
      <c r="L39" s="35" t="str">
        <f aca="false">IFERROR(CHOOSE(MATCH(INDEX(時間ごとの判定!$AQ$3:$AQ$1850,850),{"利用可","両方停止","運転がそろわない","判定不能"},0),"○","停","×","－"),"")</f>
        <v>○</v>
      </c>
      <c r="M39" s="35" t="str">
        <f aca="false">IFERROR(CHOOSE(MATCH(INDEX(時間ごとの判定!$AQ$3:$AQ$1850,851),{"利用可","両方停止","運転がそろわない","判定不能"},0),"○","停","×","－"),"")</f>
        <v>○</v>
      </c>
      <c r="N39" s="35" t="str">
        <f aca="false">IFERROR(CHOOSE(MATCH(INDEX(時間ごとの判定!$AQ$3:$AQ$1850,852),{"利用可","両方停止","運転がそろわない","判定不能"},0),"○","停","×","－"),"")</f>
        <v>○</v>
      </c>
      <c r="O39" s="35" t="str">
        <f aca="false">IFERROR(CHOOSE(MATCH(INDEX(時間ごとの判定!$AQ$3:$AQ$1850,853),{"利用可","両方停止","運転がそろわない","判定不能"},0),"○","停","×","－"),"")</f>
        <v>○</v>
      </c>
      <c r="P39" s="35" t="str">
        <f aca="false">IFERROR(CHOOSE(MATCH(INDEX(時間ごとの判定!$AQ$3:$AQ$1850,854),{"利用可","両方停止","運転がそろわない","判定不能"},0),"○","停","×","－"),"")</f>
        <v>○</v>
      </c>
      <c r="Q39" s="35" t="str">
        <f aca="false">IFERROR(CHOOSE(MATCH(INDEX(時間ごとの判定!$AQ$3:$AQ$1850,855),{"利用可","両方停止","運転がそろわない","判定不能"},0),"○","停","×","－"),"")</f>
        <v>○</v>
      </c>
      <c r="R39" s="35" t="str">
        <f aca="false">IFERROR(CHOOSE(MATCH(INDEX(時間ごとの判定!$AQ$3:$AQ$1850,856),{"利用可","両方停止","運転がそろわない","判定不能"},0),"○","停","×","－"),"")</f>
        <v>○</v>
      </c>
      <c r="S39" s="35" t="str">
        <f aca="false">IFERROR(CHOOSE(MATCH(INDEX(時間ごとの判定!$AQ$3:$AQ$1850,857),{"利用可","両方停止","運転がそろわない","判定不能"},0),"○","停","×","－"),"")</f>
        <v>○</v>
      </c>
      <c r="T39" s="35" t="str">
        <f aca="false">IFERROR(CHOOSE(MATCH(INDEX(時間ごとの判定!$AQ$3:$AQ$1850,858),{"利用可","両方停止","運転がそろわない","判定不能"},0),"○","停","×","－"),"")</f>
        <v>○</v>
      </c>
      <c r="U39" s="35" t="str">
        <f aca="false">IFERROR(CHOOSE(MATCH(INDEX(時間ごとの判定!$AQ$3:$AQ$1850,859),{"利用可","両方停止","運転がそろわない","判定不能"},0),"○","停","×","－"),"")</f>
        <v>○</v>
      </c>
      <c r="V39" s="35" t="str">
        <f aca="false">IFERROR(CHOOSE(MATCH(INDEX(時間ごとの判定!$AQ$3:$AQ$1850,860),{"利用可","両方停止","運転がそろわない","判定不能"},0),"○","停","×","－"),"")</f>
        <v>×</v>
      </c>
      <c r="W39" s="35" t="str">
        <f aca="false">IFERROR(CHOOSE(MATCH(INDEX(時間ごとの判定!$AQ$3:$AQ$1850,861),{"利用可","両方停止","運転がそろわない","判定不能"},0),"○","停","×","－"),"")</f>
        <v>×</v>
      </c>
      <c r="X39" s="35" t="str">
        <f aca="false">IFERROR(CHOOSE(MATCH(INDEX(時間ごとの判定!$AQ$3:$AQ$1850,862),{"利用可","両方停止","運転がそろわない","判定不能"},0),"○","停","×","－"),"")</f>
        <v>×</v>
      </c>
      <c r="Y39" s="35" t="str">
        <f aca="false">IFERROR(CHOOSE(MATCH(INDEX(時間ごとの判定!$AQ$3:$AQ$1850,863),{"利用可","両方停止","運転がそろわない","判定不能"},0),"○","停","×","－"),"")</f>
        <v>×</v>
      </c>
      <c r="Z39" s="35" t="str">
        <f aca="false">IFERROR(CHOOSE(MATCH(INDEX(時間ごとの判定!$AQ$3:$AQ$1850,864),{"利用可","両方停止","運転がそろわない","判定不能"},0),"○","停","×","－"),"")</f>
        <v>停</v>
      </c>
      <c r="AA39" s="35"/>
      <c r="AB39" s="35" t="str">
        <f aca="false">IFERROR(CHOOSE(MATCH(INDEX(時間ごとの判定!$AT$3:$AT$1850,841),{"利用可","両方停止","運転がそろわない","判定不能"},0),"○","停","×","－"),"")</f>
        <v>－</v>
      </c>
      <c r="AC39" s="35" t="str">
        <f aca="false">IFERROR(CHOOSE(MATCH(INDEX(時間ごとの判定!$AT$3:$AT$1850,842),{"利用可","両方停止","運転がそろわない","判定不能"},0),"○","停","×","－"),"")</f>
        <v>－</v>
      </c>
      <c r="AD39" s="35" t="str">
        <f aca="false">IFERROR(CHOOSE(MATCH(INDEX(時間ごとの判定!$AT$3:$AT$1850,843),{"利用可","両方停止","運転がそろわない","判定不能"},0),"○","停","×","－"),"")</f>
        <v>－</v>
      </c>
      <c r="AE39" s="35" t="str">
        <f aca="false">IFERROR(CHOOSE(MATCH(INDEX(時間ごとの判定!$AT$3:$AT$1850,844),{"利用可","両方停止","運転がそろわない","判定不能"},0),"○","停","×","－"),"")</f>
        <v>－</v>
      </c>
      <c r="AF39" s="35" t="str">
        <f aca="false">IFERROR(CHOOSE(MATCH(INDEX(時間ごとの判定!$AT$3:$AT$1850,845),{"利用可","両方停止","運転がそろわない","判定不能"},0),"○","停","×","－"),"")</f>
        <v>－</v>
      </c>
      <c r="AG39" s="35" t="str">
        <f aca="false">IFERROR(CHOOSE(MATCH(INDEX(時間ごとの判定!$AT$3:$AT$1850,846),{"利用可","両方停止","運転がそろわない","判定不能"},0),"○","停","×","－"),"")</f>
        <v>－</v>
      </c>
      <c r="AH39" s="35" t="str">
        <f aca="false">IFERROR(CHOOSE(MATCH(INDEX(時間ごとの判定!$AT$3:$AT$1850,847),{"利用可","両方停止","運転がそろわない","判定不能"},0),"○","停","×","－"),"")</f>
        <v>－</v>
      </c>
      <c r="AI39" s="35" t="str">
        <f aca="false">IFERROR(CHOOSE(MATCH(INDEX(時間ごとの判定!$AT$3:$AT$1850,848),{"利用可","両方停止","運転がそろわない","判定不能"},0),"○","停","×","－"),"")</f>
        <v>－</v>
      </c>
      <c r="AJ39" s="35" t="str">
        <f aca="false">IFERROR(CHOOSE(MATCH(INDEX(時間ごとの判定!$AT$3:$AT$1850,849),{"利用可","両方停止","運転がそろわない","判定不能"},0),"○","停","×","－"),"")</f>
        <v>－</v>
      </c>
      <c r="AK39" s="35" t="str">
        <f aca="false">IFERROR(CHOOSE(MATCH(INDEX(時間ごとの判定!$AT$3:$AT$1850,850),{"利用可","両方停止","運転がそろわない","判定不能"},0),"○","停","×","－"),"")</f>
        <v>－</v>
      </c>
      <c r="AL39" s="35" t="str">
        <f aca="false">IFERROR(CHOOSE(MATCH(INDEX(時間ごとの判定!$AT$3:$AT$1850,851),{"利用可","両方停止","運転がそろわない","判定不能"},0),"○","停","×","－"),"")</f>
        <v>－</v>
      </c>
      <c r="AM39" s="35" t="str">
        <f aca="false">IFERROR(CHOOSE(MATCH(INDEX(時間ごとの判定!$AT$3:$AT$1850,852),{"利用可","両方停止","運転がそろわない","判定不能"},0),"○","停","×","－"),"")</f>
        <v>－</v>
      </c>
      <c r="AN39" s="35" t="str">
        <f aca="false">IFERROR(CHOOSE(MATCH(INDEX(時間ごとの判定!$AT$3:$AT$1850,853),{"利用可","両方停止","運転がそろわない","判定不能"},0),"○","停","×","－"),"")</f>
        <v>－</v>
      </c>
      <c r="AO39" s="35" t="str">
        <f aca="false">IFERROR(CHOOSE(MATCH(INDEX(時間ごとの判定!$AT$3:$AT$1850,854),{"利用可","両方停止","運転がそろわない","判定不能"},0),"○","停","×","－"),"")</f>
        <v>－</v>
      </c>
      <c r="AP39" s="35" t="str">
        <f aca="false">IFERROR(CHOOSE(MATCH(INDEX(時間ごとの判定!$AT$3:$AT$1850,855),{"利用可","両方停止","運転がそろわない","判定不能"},0),"○","停","×","－"),"")</f>
        <v>－</v>
      </c>
      <c r="AQ39" s="35" t="str">
        <f aca="false">IFERROR(CHOOSE(MATCH(INDEX(時間ごとの判定!$AT$3:$AT$1850,856),{"利用可","両方停止","運転がそろわない","判定不能"},0),"○","停","×","－"),"")</f>
        <v>－</v>
      </c>
      <c r="AR39" s="35" t="str">
        <f aca="false">IFERROR(CHOOSE(MATCH(INDEX(時間ごとの判定!$AT$3:$AT$1850,857),{"利用可","両方停止","運転がそろわない","判定不能"},0),"○","停","×","－"),"")</f>
        <v>－</v>
      </c>
      <c r="AS39" s="35" t="str">
        <f aca="false">IFERROR(CHOOSE(MATCH(INDEX(時間ごとの判定!$AT$3:$AT$1850,858),{"利用可","両方停止","運転がそろわない","判定不能"},0),"○","停","×","－"),"")</f>
        <v>－</v>
      </c>
      <c r="AT39" s="35" t="str">
        <f aca="false">IFERROR(CHOOSE(MATCH(INDEX(時間ごとの判定!$AT$3:$AT$1850,859),{"利用可","両方停止","運転がそろわない","判定不能"},0),"○","停","×","－"),"")</f>
        <v>－</v>
      </c>
      <c r="AU39" s="35" t="str">
        <f aca="false">IFERROR(CHOOSE(MATCH(INDEX(時間ごとの判定!$AT$3:$AT$1850,860),{"利用可","両方停止","運転がそろわない","判定不能"},0),"○","停","×","－"),"")</f>
        <v>－</v>
      </c>
      <c r="AV39" s="35" t="str">
        <f aca="false">IFERROR(CHOOSE(MATCH(INDEX(時間ごとの判定!$AT$3:$AT$1850,861),{"利用可","両方停止","運転がそろわない","判定不能"},0),"○","停","×","－"),"")</f>
        <v>－</v>
      </c>
      <c r="AW39" s="35" t="str">
        <f aca="false">IFERROR(CHOOSE(MATCH(INDEX(時間ごとの判定!$AT$3:$AT$1850,862),{"利用可","両方停止","運転がそろわない","判定不能"},0),"○","停","×","－"),"")</f>
        <v>－</v>
      </c>
      <c r="AX39" s="35" t="str">
        <f aca="false">IFERROR(CHOOSE(MATCH(INDEX(時間ごとの判定!$AT$3:$AT$1850,863),{"利用可","両方停止","運転がそろわない","判定不能"},0),"○","停","×","－"),"")</f>
        <v>－</v>
      </c>
      <c r="AY39" s="35" t="str">
        <f aca="false">IFERROR(CHOOSE(MATCH(INDEX(時間ごとの判定!$AT$3:$AT$1850,864),{"利用可","両方停止","運転がそろわない","判定不能"},0),"○","停","×","－"),"")</f>
        <v>－</v>
      </c>
      <c r="AZ39" s="35"/>
      <c r="BA39" s="35" t="str">
        <f aca="false">IFERROR(CHOOSE(MATCH(INDEX(時間ごとの判定!$AW$3:$AW$1850,841),{"利用可","両方停止","運転がそろわない","判定不能"},0),"○","停","×","－"),"")</f>
        <v>×</v>
      </c>
      <c r="BB39" s="35" t="str">
        <f aca="false">IFERROR(CHOOSE(MATCH(INDEX(時間ごとの判定!$AW$3:$AW$1850,842),{"利用可","両方停止","運転がそろわない","判定不能"},0),"○","停","×","－"),"")</f>
        <v>×</v>
      </c>
      <c r="BC39" s="35" t="str">
        <f aca="false">IFERROR(CHOOSE(MATCH(INDEX(時間ごとの判定!$AW$3:$AW$1850,843),{"利用可","両方停止","運転がそろわない","判定不能"},0),"○","停","×","－"),"")</f>
        <v>×</v>
      </c>
      <c r="BD39" s="35" t="str">
        <f aca="false">IFERROR(CHOOSE(MATCH(INDEX(時間ごとの判定!$AW$3:$AW$1850,844),{"利用可","両方停止","運転がそろわない","判定不能"},0),"○","停","×","－"),"")</f>
        <v>×</v>
      </c>
      <c r="BE39" s="35" t="str">
        <f aca="false">IFERROR(CHOOSE(MATCH(INDEX(時間ごとの判定!$AW$3:$AW$1850,845),{"利用可","両方停止","運転がそろわない","判定不能"},0),"○","停","×","－"),"")</f>
        <v>×</v>
      </c>
      <c r="BF39" s="35" t="str">
        <f aca="false">IFERROR(CHOOSE(MATCH(INDEX(時間ごとの判定!$AW$3:$AW$1850,846),{"利用可","両方停止","運転がそろわない","判定不能"},0),"○","停","×","－"),"")</f>
        <v>×</v>
      </c>
      <c r="BG39" s="35" t="str">
        <f aca="false">IFERROR(CHOOSE(MATCH(INDEX(時間ごとの判定!$AW$3:$AW$1850,847),{"利用可","両方停止","運転がそろわない","判定不能"},0),"○","停","×","－"),"")</f>
        <v>○</v>
      </c>
      <c r="BH39" s="35" t="str">
        <f aca="false">IFERROR(CHOOSE(MATCH(INDEX(時間ごとの判定!$AW$3:$AW$1850,848),{"利用可","両方停止","運転がそろわない","判定不能"},0),"○","停","×","－"),"")</f>
        <v>○</v>
      </c>
      <c r="BI39" s="35" t="str">
        <f aca="false">IFERROR(CHOOSE(MATCH(INDEX(時間ごとの判定!$AW$3:$AW$1850,849),{"利用可","両方停止","運転がそろわない","判定不能"},0),"○","停","×","－"),"")</f>
        <v>○</v>
      </c>
      <c r="BJ39" s="35" t="str">
        <f aca="false">IFERROR(CHOOSE(MATCH(INDEX(時間ごとの判定!$AW$3:$AW$1850,850),{"利用可","両方停止","運転がそろわない","判定不能"},0),"○","停","×","－"),"")</f>
        <v>○</v>
      </c>
      <c r="BK39" s="35" t="str">
        <f aca="false">IFERROR(CHOOSE(MATCH(INDEX(時間ごとの判定!$AW$3:$AW$1850,851),{"利用可","両方停止","運転がそろわない","判定不能"},0),"○","停","×","－"),"")</f>
        <v>○</v>
      </c>
      <c r="BL39" s="35" t="str">
        <f aca="false">IFERROR(CHOOSE(MATCH(INDEX(時間ごとの判定!$AW$3:$AW$1850,852),{"利用可","両方停止","運転がそろわない","判定不能"},0),"○","停","×","－"),"")</f>
        <v>○</v>
      </c>
      <c r="BM39" s="35" t="str">
        <f aca="false">IFERROR(CHOOSE(MATCH(INDEX(時間ごとの判定!$AW$3:$AW$1850,853),{"利用可","両方停止","運転がそろわない","判定不能"},0),"○","停","×","－"),"")</f>
        <v>○</v>
      </c>
      <c r="BN39" s="35" t="str">
        <f aca="false">IFERROR(CHOOSE(MATCH(INDEX(時間ごとの判定!$AW$3:$AW$1850,854),{"利用可","両方停止","運転がそろわない","判定不能"},0),"○","停","×","－"),"")</f>
        <v>○</v>
      </c>
      <c r="BO39" s="35" t="str">
        <f aca="false">IFERROR(CHOOSE(MATCH(INDEX(時間ごとの判定!$AW$3:$AW$1850,855),{"利用可","両方停止","運転がそろわない","判定不能"},0),"○","停","×","－"),"")</f>
        <v>○</v>
      </c>
      <c r="BP39" s="35" t="str">
        <f aca="false">IFERROR(CHOOSE(MATCH(INDEX(時間ごとの判定!$AW$3:$AW$1850,856),{"利用可","両方停止","運転がそろわない","判定不能"},0),"○","停","×","－"),"")</f>
        <v>○</v>
      </c>
      <c r="BQ39" s="35" t="str">
        <f aca="false">IFERROR(CHOOSE(MATCH(INDEX(時間ごとの判定!$AW$3:$AW$1850,857),{"利用可","両方停止","運転がそろわない","判定不能"},0),"○","停","×","－"),"")</f>
        <v>○</v>
      </c>
      <c r="BR39" s="35" t="str">
        <f aca="false">IFERROR(CHOOSE(MATCH(INDEX(時間ごとの判定!$AW$3:$AW$1850,858),{"利用可","両方停止","運転がそろわない","判定不能"},0),"○","停","×","－"),"")</f>
        <v>○</v>
      </c>
      <c r="BS39" s="35" t="str">
        <f aca="false">IFERROR(CHOOSE(MATCH(INDEX(時間ごとの判定!$AW$3:$AW$1850,859),{"利用可","両方停止","運転がそろわない","判定不能"},0),"○","停","×","－"),"")</f>
        <v>○</v>
      </c>
      <c r="BT39" s="35" t="str">
        <f aca="false">IFERROR(CHOOSE(MATCH(INDEX(時間ごとの判定!$AW$3:$AW$1850,860),{"利用可","両方停止","運転がそろわない","判定不能"},0),"○","停","×","－"),"")</f>
        <v>×</v>
      </c>
      <c r="BU39" s="35" t="str">
        <f aca="false">IFERROR(CHOOSE(MATCH(INDEX(時間ごとの判定!$AW$3:$AW$1850,861),{"利用可","両方停止","運転がそろわない","判定不能"},0),"○","停","×","－"),"")</f>
        <v>×</v>
      </c>
      <c r="BV39" s="35" t="str">
        <f aca="false">IFERROR(CHOOSE(MATCH(INDEX(時間ごとの判定!$AW$3:$AW$1850,862),{"利用可","両方停止","運転がそろわない","判定不能"},0),"○","停","×","－"),"")</f>
        <v>×</v>
      </c>
      <c r="BW39" s="35" t="str">
        <f aca="false">IFERROR(CHOOSE(MATCH(INDEX(時間ごとの判定!$AW$3:$AW$1850,863),{"利用可","両方停止","運転がそろわない","判定不能"},0),"○","停","×","－"),"")</f>
        <v>×</v>
      </c>
      <c r="BX39" s="35" t="str">
        <f aca="false">IFERROR(CHOOSE(MATCH(INDEX(時間ごとの判定!$AW$3:$AW$1850,864),{"利用可","両方停止","運転がそろわない","判定不能"},0),"○","停","×","－"),"")</f>
        <v>×</v>
      </c>
    </row>
    <row r="40" customFormat="false" ht="15" hidden="false" customHeight="false" outlineLevel="0" collapsed="false">
      <c r="A40" s="33" t="n">
        <v>46268</v>
      </c>
      <c r="B40" s="34" t="s">
        <v>61</v>
      </c>
      <c r="C40" s="35" t="str">
        <f aca="false">IFERROR(CHOOSE(MATCH(INDEX(時間ごとの判定!$AQ$3:$AQ$1850,865),{"利用可","両方停止","運転がそろわない","判定不能"},0),"○","停","×","－"),"")</f>
        <v>停</v>
      </c>
      <c r="D40" s="35" t="str">
        <f aca="false">IFERROR(CHOOSE(MATCH(INDEX(時間ごとの判定!$AQ$3:$AQ$1850,866),{"利用可","両方停止","運転がそろわない","判定不能"},0),"○","停","×","－"),"")</f>
        <v>停</v>
      </c>
      <c r="E40" s="35" t="str">
        <f aca="false">IFERROR(CHOOSE(MATCH(INDEX(時間ごとの判定!$AQ$3:$AQ$1850,867),{"利用可","両方停止","運転がそろわない","判定不能"},0),"○","停","×","－"),"")</f>
        <v>停</v>
      </c>
      <c r="F40" s="35" t="str">
        <f aca="false">IFERROR(CHOOSE(MATCH(INDEX(時間ごとの判定!$AQ$3:$AQ$1850,868),{"利用可","両方停止","運転がそろわない","判定不能"},0),"○","停","×","－"),"")</f>
        <v>停</v>
      </c>
      <c r="G40" s="35" t="str">
        <f aca="false">IFERROR(CHOOSE(MATCH(INDEX(時間ごとの判定!$AQ$3:$AQ$1850,869),{"利用可","両方停止","運転がそろわない","判定不能"},0),"○","停","×","－"),"")</f>
        <v>停</v>
      </c>
      <c r="H40" s="35" t="str">
        <f aca="false">IFERROR(CHOOSE(MATCH(INDEX(時間ごとの判定!$AQ$3:$AQ$1850,870),{"利用可","両方停止","運転がそろわない","判定不能"},0),"○","停","×","－"),"")</f>
        <v>停</v>
      </c>
      <c r="I40" s="35" t="str">
        <f aca="false">IFERROR(CHOOSE(MATCH(INDEX(時間ごとの判定!$AQ$3:$AQ$1850,871),{"利用可","両方停止","運転がそろわない","判定不能"},0),"○","停","×","－"),"")</f>
        <v>×</v>
      </c>
      <c r="J40" s="35" t="str">
        <f aca="false">IFERROR(CHOOSE(MATCH(INDEX(時間ごとの判定!$AQ$3:$AQ$1850,872),{"利用可","両方停止","運転がそろわない","判定不能"},0),"○","停","×","－"),"")</f>
        <v>×</v>
      </c>
      <c r="K40" s="35" t="str">
        <f aca="false">IFERROR(CHOOSE(MATCH(INDEX(時間ごとの判定!$AQ$3:$AQ$1850,873),{"利用可","両方停止","運転がそろわない","判定不能"},0),"○","停","×","－"),"")</f>
        <v>×</v>
      </c>
      <c r="L40" s="35" t="str">
        <f aca="false">IFERROR(CHOOSE(MATCH(INDEX(時間ごとの判定!$AQ$3:$AQ$1850,874),{"利用可","両方停止","運転がそろわない","判定不能"},0),"○","停","×","－"),"")</f>
        <v>○</v>
      </c>
      <c r="M40" s="35" t="str">
        <f aca="false">IFERROR(CHOOSE(MATCH(INDEX(時間ごとの判定!$AQ$3:$AQ$1850,875),{"利用可","両方停止","運転がそろわない","判定不能"},0),"○","停","×","－"),"")</f>
        <v>○</v>
      </c>
      <c r="N40" s="35" t="str">
        <f aca="false">IFERROR(CHOOSE(MATCH(INDEX(時間ごとの判定!$AQ$3:$AQ$1850,876),{"利用可","両方停止","運転がそろわない","判定不能"},0),"○","停","×","－"),"")</f>
        <v>○</v>
      </c>
      <c r="O40" s="35" t="str">
        <f aca="false">IFERROR(CHOOSE(MATCH(INDEX(時間ごとの判定!$AQ$3:$AQ$1850,877),{"利用可","両方停止","運転がそろわない","判定不能"},0),"○","停","×","－"),"")</f>
        <v>○</v>
      </c>
      <c r="P40" s="35" t="str">
        <f aca="false">IFERROR(CHOOSE(MATCH(INDEX(時間ごとの判定!$AQ$3:$AQ$1850,878),{"利用可","両方停止","運転がそろわない","判定不能"},0),"○","停","×","－"),"")</f>
        <v>○</v>
      </c>
      <c r="Q40" s="35" t="str">
        <f aca="false">IFERROR(CHOOSE(MATCH(INDEX(時間ごとの判定!$AQ$3:$AQ$1850,879),{"利用可","両方停止","運転がそろわない","判定不能"},0),"○","停","×","－"),"")</f>
        <v>○</v>
      </c>
      <c r="R40" s="35" t="str">
        <f aca="false">IFERROR(CHOOSE(MATCH(INDEX(時間ごとの判定!$AQ$3:$AQ$1850,880),{"利用可","両方停止","運転がそろわない","判定不能"},0),"○","停","×","－"),"")</f>
        <v>○</v>
      </c>
      <c r="S40" s="35" t="str">
        <f aca="false">IFERROR(CHOOSE(MATCH(INDEX(時間ごとの判定!$AQ$3:$AQ$1850,881),{"利用可","両方停止","運転がそろわない","判定不能"},0),"○","停","×","－"),"")</f>
        <v>×</v>
      </c>
      <c r="T40" s="35" t="str">
        <f aca="false">IFERROR(CHOOSE(MATCH(INDEX(時間ごとの判定!$AQ$3:$AQ$1850,882),{"利用可","両方停止","運転がそろわない","判定不能"},0),"○","停","×","－"),"")</f>
        <v>○</v>
      </c>
      <c r="U40" s="35" t="str">
        <f aca="false">IFERROR(CHOOSE(MATCH(INDEX(時間ごとの判定!$AQ$3:$AQ$1850,883),{"利用可","両方停止","運転がそろわない","判定不能"},0),"○","停","×","－"),"")</f>
        <v>○</v>
      </c>
      <c r="V40" s="35" t="str">
        <f aca="false">IFERROR(CHOOSE(MATCH(INDEX(時間ごとの判定!$AQ$3:$AQ$1850,884),{"利用可","両方停止","運転がそろわない","判定不能"},0),"○","停","×","－"),"")</f>
        <v>×</v>
      </c>
      <c r="W40" s="35" t="str">
        <f aca="false">IFERROR(CHOOSE(MATCH(INDEX(時間ごとの判定!$AQ$3:$AQ$1850,885),{"利用可","両方停止","運転がそろわない","判定不能"},0),"○","停","×","－"),"")</f>
        <v>×</v>
      </c>
      <c r="X40" s="35" t="str">
        <f aca="false">IFERROR(CHOOSE(MATCH(INDEX(時間ごとの判定!$AQ$3:$AQ$1850,886),{"利用可","両方停止","運転がそろわない","判定不能"},0),"○","停","×","－"),"")</f>
        <v>停</v>
      </c>
      <c r="Y40" s="35" t="str">
        <f aca="false">IFERROR(CHOOSE(MATCH(INDEX(時間ごとの判定!$AQ$3:$AQ$1850,887),{"利用可","両方停止","運転がそろわない","判定不能"},0),"○","停","×","－"),"")</f>
        <v>停</v>
      </c>
      <c r="Z40" s="35" t="str">
        <f aca="false">IFERROR(CHOOSE(MATCH(INDEX(時間ごとの判定!$AQ$3:$AQ$1850,888),{"利用可","両方停止","運転がそろわない","判定不能"},0),"○","停","×","－"),"")</f>
        <v>停</v>
      </c>
      <c r="AA40" s="35"/>
      <c r="AB40" s="35" t="str">
        <f aca="false">IFERROR(CHOOSE(MATCH(INDEX(時間ごとの判定!$AT$3:$AT$1850,865),{"利用可","両方停止","運転がそろわない","判定不能"},0),"○","停","×","－"),"")</f>
        <v>－</v>
      </c>
      <c r="AC40" s="35" t="str">
        <f aca="false">IFERROR(CHOOSE(MATCH(INDEX(時間ごとの判定!$AT$3:$AT$1850,866),{"利用可","両方停止","運転がそろわない","判定不能"},0),"○","停","×","－"),"")</f>
        <v>－</v>
      </c>
      <c r="AD40" s="35" t="str">
        <f aca="false">IFERROR(CHOOSE(MATCH(INDEX(時間ごとの判定!$AT$3:$AT$1850,867),{"利用可","両方停止","運転がそろわない","判定不能"},0),"○","停","×","－"),"")</f>
        <v>－</v>
      </c>
      <c r="AE40" s="35" t="str">
        <f aca="false">IFERROR(CHOOSE(MATCH(INDEX(時間ごとの判定!$AT$3:$AT$1850,868),{"利用可","両方停止","運転がそろわない","判定不能"},0),"○","停","×","－"),"")</f>
        <v>－</v>
      </c>
      <c r="AF40" s="35" t="str">
        <f aca="false">IFERROR(CHOOSE(MATCH(INDEX(時間ごとの判定!$AT$3:$AT$1850,869),{"利用可","両方停止","運転がそろわない","判定不能"},0),"○","停","×","－"),"")</f>
        <v>－</v>
      </c>
      <c r="AG40" s="35" t="str">
        <f aca="false">IFERROR(CHOOSE(MATCH(INDEX(時間ごとの判定!$AT$3:$AT$1850,870),{"利用可","両方停止","運転がそろわない","判定不能"},0),"○","停","×","－"),"")</f>
        <v>－</v>
      </c>
      <c r="AH40" s="35" t="str">
        <f aca="false">IFERROR(CHOOSE(MATCH(INDEX(時間ごとの判定!$AT$3:$AT$1850,871),{"利用可","両方停止","運転がそろわない","判定不能"},0),"○","停","×","－"),"")</f>
        <v>－</v>
      </c>
      <c r="AI40" s="35" t="str">
        <f aca="false">IFERROR(CHOOSE(MATCH(INDEX(時間ごとの判定!$AT$3:$AT$1850,872),{"利用可","両方停止","運転がそろわない","判定不能"},0),"○","停","×","－"),"")</f>
        <v>－</v>
      </c>
      <c r="AJ40" s="35" t="str">
        <f aca="false">IFERROR(CHOOSE(MATCH(INDEX(時間ごとの判定!$AT$3:$AT$1850,873),{"利用可","両方停止","運転がそろわない","判定不能"},0),"○","停","×","－"),"")</f>
        <v>－</v>
      </c>
      <c r="AK40" s="35" t="str">
        <f aca="false">IFERROR(CHOOSE(MATCH(INDEX(時間ごとの判定!$AT$3:$AT$1850,874),{"利用可","両方停止","運転がそろわない","判定不能"},0),"○","停","×","－"),"")</f>
        <v>－</v>
      </c>
      <c r="AL40" s="35" t="str">
        <f aca="false">IFERROR(CHOOSE(MATCH(INDEX(時間ごとの判定!$AT$3:$AT$1850,875),{"利用可","両方停止","運転がそろわない","判定不能"},0),"○","停","×","－"),"")</f>
        <v>－</v>
      </c>
      <c r="AM40" s="35" t="str">
        <f aca="false">IFERROR(CHOOSE(MATCH(INDEX(時間ごとの判定!$AT$3:$AT$1850,876),{"利用可","両方停止","運転がそろわない","判定不能"},0),"○","停","×","－"),"")</f>
        <v>－</v>
      </c>
      <c r="AN40" s="35" t="str">
        <f aca="false">IFERROR(CHOOSE(MATCH(INDEX(時間ごとの判定!$AT$3:$AT$1850,877),{"利用可","両方停止","運転がそろわない","判定不能"},0),"○","停","×","－"),"")</f>
        <v>－</v>
      </c>
      <c r="AO40" s="35" t="str">
        <f aca="false">IFERROR(CHOOSE(MATCH(INDEX(時間ごとの判定!$AT$3:$AT$1850,878),{"利用可","両方停止","運転がそろわない","判定不能"},0),"○","停","×","－"),"")</f>
        <v>－</v>
      </c>
      <c r="AP40" s="35" t="str">
        <f aca="false">IFERROR(CHOOSE(MATCH(INDEX(時間ごとの判定!$AT$3:$AT$1850,879),{"利用可","両方停止","運転がそろわない","判定不能"},0),"○","停","×","－"),"")</f>
        <v>－</v>
      </c>
      <c r="AQ40" s="35" t="str">
        <f aca="false">IFERROR(CHOOSE(MATCH(INDEX(時間ごとの判定!$AT$3:$AT$1850,880),{"利用可","両方停止","運転がそろわない","判定不能"},0),"○","停","×","－"),"")</f>
        <v>－</v>
      </c>
      <c r="AR40" s="35" t="str">
        <f aca="false">IFERROR(CHOOSE(MATCH(INDEX(時間ごとの判定!$AT$3:$AT$1850,881),{"利用可","両方停止","運転がそろわない","判定不能"},0),"○","停","×","－"),"")</f>
        <v>－</v>
      </c>
      <c r="AS40" s="35" t="str">
        <f aca="false">IFERROR(CHOOSE(MATCH(INDEX(時間ごとの判定!$AT$3:$AT$1850,882),{"利用可","両方停止","運転がそろわない","判定不能"},0),"○","停","×","－"),"")</f>
        <v>－</v>
      </c>
      <c r="AT40" s="35" t="str">
        <f aca="false">IFERROR(CHOOSE(MATCH(INDEX(時間ごとの判定!$AT$3:$AT$1850,883),{"利用可","両方停止","運転がそろわない","判定不能"},0),"○","停","×","－"),"")</f>
        <v>－</v>
      </c>
      <c r="AU40" s="35" t="str">
        <f aca="false">IFERROR(CHOOSE(MATCH(INDEX(時間ごとの判定!$AT$3:$AT$1850,884),{"利用可","両方停止","運転がそろわない","判定不能"},0),"○","停","×","－"),"")</f>
        <v>－</v>
      </c>
      <c r="AV40" s="35" t="str">
        <f aca="false">IFERROR(CHOOSE(MATCH(INDEX(時間ごとの判定!$AT$3:$AT$1850,885),{"利用可","両方停止","運転がそろわない","判定不能"},0),"○","停","×","－"),"")</f>
        <v>－</v>
      </c>
      <c r="AW40" s="35" t="str">
        <f aca="false">IFERROR(CHOOSE(MATCH(INDEX(時間ごとの判定!$AT$3:$AT$1850,886),{"利用可","両方停止","運転がそろわない","判定不能"},0),"○","停","×","－"),"")</f>
        <v>－</v>
      </c>
      <c r="AX40" s="35" t="str">
        <f aca="false">IFERROR(CHOOSE(MATCH(INDEX(時間ごとの判定!$AT$3:$AT$1850,887),{"利用可","両方停止","運転がそろわない","判定不能"},0),"○","停","×","－"),"")</f>
        <v>－</v>
      </c>
      <c r="AY40" s="35" t="str">
        <f aca="false">IFERROR(CHOOSE(MATCH(INDEX(時間ごとの判定!$AT$3:$AT$1850,888),{"利用可","両方停止","運転がそろわない","判定不能"},0),"○","停","×","－"),"")</f>
        <v>－</v>
      </c>
      <c r="AZ40" s="35"/>
      <c r="BA40" s="35" t="str">
        <f aca="false">IFERROR(CHOOSE(MATCH(INDEX(時間ごとの判定!$AW$3:$AW$1850,865),{"利用可","両方停止","運転がそろわない","判定不能"},0),"○","停","×","－"),"")</f>
        <v>×</v>
      </c>
      <c r="BB40" s="35" t="str">
        <f aca="false">IFERROR(CHOOSE(MATCH(INDEX(時間ごとの判定!$AW$3:$AW$1850,866),{"利用可","両方停止","運転がそろわない","判定不能"},0),"○","停","×","－"),"")</f>
        <v>×</v>
      </c>
      <c r="BC40" s="35" t="str">
        <f aca="false">IFERROR(CHOOSE(MATCH(INDEX(時間ごとの判定!$AW$3:$AW$1850,867),{"利用可","両方停止","運転がそろわない","判定不能"},0),"○","停","×","－"),"")</f>
        <v>×</v>
      </c>
      <c r="BD40" s="35" t="str">
        <f aca="false">IFERROR(CHOOSE(MATCH(INDEX(時間ごとの判定!$AW$3:$AW$1850,868),{"利用可","両方停止","運転がそろわない","判定不能"},0),"○","停","×","－"),"")</f>
        <v>×</v>
      </c>
      <c r="BE40" s="35" t="str">
        <f aca="false">IFERROR(CHOOSE(MATCH(INDEX(時間ごとの判定!$AW$3:$AW$1850,869),{"利用可","両方停止","運転がそろわない","判定不能"},0),"○","停","×","－"),"")</f>
        <v>×</v>
      </c>
      <c r="BF40" s="35" t="str">
        <f aca="false">IFERROR(CHOOSE(MATCH(INDEX(時間ごとの判定!$AW$3:$AW$1850,870),{"利用可","両方停止","運転がそろわない","判定不能"},0),"○","停","×","－"),"")</f>
        <v>×</v>
      </c>
      <c r="BG40" s="35" t="str">
        <f aca="false">IFERROR(CHOOSE(MATCH(INDEX(時間ごとの判定!$AW$3:$AW$1850,871),{"利用可","両方停止","運転がそろわない","判定不能"},0),"○","停","×","－"),"")</f>
        <v>○</v>
      </c>
      <c r="BH40" s="35" t="str">
        <f aca="false">IFERROR(CHOOSE(MATCH(INDEX(時間ごとの判定!$AW$3:$AW$1850,872),{"利用可","両方停止","運転がそろわない","判定不能"},0),"○","停","×","－"),"")</f>
        <v>○</v>
      </c>
      <c r="BI40" s="35" t="str">
        <f aca="false">IFERROR(CHOOSE(MATCH(INDEX(時間ごとの判定!$AW$3:$AW$1850,873),{"利用可","両方停止","運転がそろわない","判定不能"},0),"○","停","×","－"),"")</f>
        <v>○</v>
      </c>
      <c r="BJ40" s="35" t="str">
        <f aca="false">IFERROR(CHOOSE(MATCH(INDEX(時間ごとの判定!$AW$3:$AW$1850,874),{"利用可","両方停止","運転がそろわない","判定不能"},0),"○","停","×","－"),"")</f>
        <v>○</v>
      </c>
      <c r="BK40" s="35" t="str">
        <f aca="false">IFERROR(CHOOSE(MATCH(INDEX(時間ごとの判定!$AW$3:$AW$1850,875),{"利用可","両方停止","運転がそろわない","判定不能"},0),"○","停","×","－"),"")</f>
        <v>○</v>
      </c>
      <c r="BL40" s="35" t="str">
        <f aca="false">IFERROR(CHOOSE(MATCH(INDEX(時間ごとの判定!$AW$3:$AW$1850,876),{"利用可","両方停止","運転がそろわない","判定不能"},0),"○","停","×","－"),"")</f>
        <v>○</v>
      </c>
      <c r="BM40" s="35" t="str">
        <f aca="false">IFERROR(CHOOSE(MATCH(INDEX(時間ごとの判定!$AW$3:$AW$1850,877),{"利用可","両方停止","運転がそろわない","判定不能"},0),"○","停","×","－"),"")</f>
        <v>○</v>
      </c>
      <c r="BN40" s="35" t="str">
        <f aca="false">IFERROR(CHOOSE(MATCH(INDEX(時間ごとの判定!$AW$3:$AW$1850,878),{"利用可","両方停止","運転がそろわない","判定不能"},0),"○","停","×","－"),"")</f>
        <v>○</v>
      </c>
      <c r="BO40" s="35" t="str">
        <f aca="false">IFERROR(CHOOSE(MATCH(INDEX(時間ごとの判定!$AW$3:$AW$1850,879),{"利用可","両方停止","運転がそろわない","判定不能"},0),"○","停","×","－"),"")</f>
        <v>○</v>
      </c>
      <c r="BP40" s="35" t="str">
        <f aca="false">IFERROR(CHOOSE(MATCH(INDEX(時間ごとの判定!$AW$3:$AW$1850,880),{"利用可","両方停止","運転がそろわない","判定不能"},0),"○","停","×","－"),"")</f>
        <v>○</v>
      </c>
      <c r="BQ40" s="35" t="str">
        <f aca="false">IFERROR(CHOOSE(MATCH(INDEX(時間ごとの判定!$AW$3:$AW$1850,881),{"利用可","両方停止","運転がそろわない","判定不能"},0),"○","停","×","－"),"")</f>
        <v>○</v>
      </c>
      <c r="BR40" s="35" t="str">
        <f aca="false">IFERROR(CHOOSE(MATCH(INDEX(時間ごとの判定!$AW$3:$AW$1850,882),{"利用可","両方停止","運転がそろわない","判定不能"},0),"○","停","×","－"),"")</f>
        <v>○</v>
      </c>
      <c r="BS40" s="35" t="str">
        <f aca="false">IFERROR(CHOOSE(MATCH(INDEX(時間ごとの判定!$AW$3:$AW$1850,883),{"利用可","両方停止","運転がそろわない","判定不能"},0),"○","停","×","－"),"")</f>
        <v>○</v>
      </c>
      <c r="BT40" s="35" t="str">
        <f aca="false">IFERROR(CHOOSE(MATCH(INDEX(時間ごとの判定!$AW$3:$AW$1850,884),{"利用可","両方停止","運転がそろわない","判定不能"},0),"○","停","×","－"),"")</f>
        <v>×</v>
      </c>
      <c r="BU40" s="35" t="str">
        <f aca="false">IFERROR(CHOOSE(MATCH(INDEX(時間ごとの判定!$AW$3:$AW$1850,885),{"利用可","両方停止","運転がそろわない","判定不能"},0),"○","停","×","－"),"")</f>
        <v>×</v>
      </c>
      <c r="BV40" s="35" t="str">
        <f aca="false">IFERROR(CHOOSE(MATCH(INDEX(時間ごとの判定!$AW$3:$AW$1850,886),{"利用可","両方停止","運転がそろわない","判定不能"},0),"○","停","×","－"),"")</f>
        <v>×</v>
      </c>
      <c r="BW40" s="35" t="str">
        <f aca="false">IFERROR(CHOOSE(MATCH(INDEX(時間ごとの判定!$AW$3:$AW$1850,887),{"利用可","両方停止","運転がそろわない","判定不能"},0),"○","停","×","－"),"")</f>
        <v>×</v>
      </c>
      <c r="BX40" s="35" t="str">
        <f aca="false">IFERROR(CHOOSE(MATCH(INDEX(時間ごとの判定!$AW$3:$AW$1850,888),{"利用可","両方停止","運転がそろわない","判定不能"},0),"○","停","×","－"),"")</f>
        <v>×</v>
      </c>
    </row>
    <row r="41" customFormat="false" ht="15" hidden="false" customHeight="false" outlineLevel="0" collapsed="false">
      <c r="A41" s="33" t="n">
        <v>46269</v>
      </c>
      <c r="B41" s="34" t="s">
        <v>62</v>
      </c>
      <c r="C41" s="35" t="str">
        <f aca="false">IFERROR(CHOOSE(MATCH(INDEX(時間ごとの判定!$AQ$3:$AQ$1850,889),{"利用可","両方停止","運転がそろわない","判定不能"},0),"○","停","×","－"),"")</f>
        <v>停</v>
      </c>
      <c r="D41" s="35" t="str">
        <f aca="false">IFERROR(CHOOSE(MATCH(INDEX(時間ごとの判定!$AQ$3:$AQ$1850,890),{"利用可","両方停止","運転がそろわない","判定不能"},0),"○","停","×","－"),"")</f>
        <v>停</v>
      </c>
      <c r="E41" s="35" t="str">
        <f aca="false">IFERROR(CHOOSE(MATCH(INDEX(時間ごとの判定!$AQ$3:$AQ$1850,891),{"利用可","両方停止","運転がそろわない","判定不能"},0),"○","停","×","－"),"")</f>
        <v>停</v>
      </c>
      <c r="F41" s="35" t="str">
        <f aca="false">IFERROR(CHOOSE(MATCH(INDEX(時間ごとの判定!$AQ$3:$AQ$1850,892),{"利用可","両方停止","運転がそろわない","判定不能"},0),"○","停","×","－"),"")</f>
        <v>停</v>
      </c>
      <c r="G41" s="35" t="str">
        <f aca="false">IFERROR(CHOOSE(MATCH(INDEX(時間ごとの判定!$AQ$3:$AQ$1850,893),{"利用可","両方停止","運転がそろわない","判定不能"},0),"○","停","×","－"),"")</f>
        <v>停</v>
      </c>
      <c r="H41" s="35" t="str">
        <f aca="false">IFERROR(CHOOSE(MATCH(INDEX(時間ごとの判定!$AQ$3:$AQ$1850,894),{"利用可","両方停止","運転がそろわない","判定不能"},0),"○","停","×","－"),"")</f>
        <v>停</v>
      </c>
      <c r="I41" s="35" t="str">
        <f aca="false">IFERROR(CHOOSE(MATCH(INDEX(時間ごとの判定!$AQ$3:$AQ$1850,895),{"利用可","両方停止","運転がそろわない","判定不能"},0),"○","停","×","－"),"")</f>
        <v>×</v>
      </c>
      <c r="J41" s="35" t="str">
        <f aca="false">IFERROR(CHOOSE(MATCH(INDEX(時間ごとの判定!$AQ$3:$AQ$1850,896),{"利用可","両方停止","運転がそろわない","判定不能"},0),"○","停","×","－"),"")</f>
        <v>×</v>
      </c>
      <c r="K41" s="35" t="str">
        <f aca="false">IFERROR(CHOOSE(MATCH(INDEX(時間ごとの判定!$AQ$3:$AQ$1850,897),{"利用可","両方停止","運転がそろわない","判定不能"},0),"○","停","×","－"),"")</f>
        <v>×</v>
      </c>
      <c r="L41" s="35" t="str">
        <f aca="false">IFERROR(CHOOSE(MATCH(INDEX(時間ごとの判定!$AQ$3:$AQ$1850,898),{"利用可","両方停止","運転がそろわない","判定不能"},0),"○","停","×","－"),"")</f>
        <v>×</v>
      </c>
      <c r="M41" s="35" t="str">
        <f aca="false">IFERROR(CHOOSE(MATCH(INDEX(時間ごとの判定!$AQ$3:$AQ$1850,899),{"利用可","両方停止","運転がそろわない","判定不能"},0),"○","停","×","－"),"")</f>
        <v>×</v>
      </c>
      <c r="N41" s="35" t="str">
        <f aca="false">IFERROR(CHOOSE(MATCH(INDEX(時間ごとの判定!$AQ$3:$AQ$1850,900),{"利用可","両方停止","運転がそろわない","判定不能"},0),"○","停","×","－"),"")</f>
        <v>○</v>
      </c>
      <c r="O41" s="35" t="str">
        <f aca="false">IFERROR(CHOOSE(MATCH(INDEX(時間ごとの判定!$AQ$3:$AQ$1850,901),{"利用可","両方停止","運転がそろわない","判定不能"},0),"○","停","×","－"),"")</f>
        <v>○</v>
      </c>
      <c r="P41" s="35" t="str">
        <f aca="false">IFERROR(CHOOSE(MATCH(INDEX(時間ごとの判定!$AQ$3:$AQ$1850,902),{"利用可","両方停止","運転がそろわない","判定不能"},0),"○","停","×","－"),"")</f>
        <v>○</v>
      </c>
      <c r="Q41" s="35" t="str">
        <f aca="false">IFERROR(CHOOSE(MATCH(INDEX(時間ごとの判定!$AQ$3:$AQ$1850,903),{"利用可","両方停止","運転がそろわない","判定不能"},0),"○","停","×","－"),"")</f>
        <v>○</v>
      </c>
      <c r="R41" s="35" t="str">
        <f aca="false">IFERROR(CHOOSE(MATCH(INDEX(時間ごとの判定!$AQ$3:$AQ$1850,904),{"利用可","両方停止","運転がそろわない","判定不能"},0),"○","停","×","－"),"")</f>
        <v>○</v>
      </c>
      <c r="S41" s="35" t="str">
        <f aca="false">IFERROR(CHOOSE(MATCH(INDEX(時間ごとの判定!$AQ$3:$AQ$1850,905),{"利用可","両方停止","運転がそろわない","判定不能"},0),"○","停","×","－"),"")</f>
        <v>×</v>
      </c>
      <c r="T41" s="35" t="str">
        <f aca="false">IFERROR(CHOOSE(MATCH(INDEX(時間ごとの判定!$AQ$3:$AQ$1850,906),{"利用可","両方停止","運転がそろわない","判定不能"},0),"○","停","×","－"),"")</f>
        <v>○</v>
      </c>
      <c r="U41" s="35" t="str">
        <f aca="false">IFERROR(CHOOSE(MATCH(INDEX(時間ごとの判定!$AQ$3:$AQ$1850,907),{"利用可","両方停止","運転がそろわない","判定不能"},0),"○","停","×","－"),"")</f>
        <v>○</v>
      </c>
      <c r="V41" s="35" t="str">
        <f aca="false">IFERROR(CHOOSE(MATCH(INDEX(時間ごとの判定!$AQ$3:$AQ$1850,908),{"利用可","両方停止","運転がそろわない","判定不能"},0),"○","停","×","－"),"")</f>
        <v>×</v>
      </c>
      <c r="W41" s="35" t="str">
        <f aca="false">IFERROR(CHOOSE(MATCH(INDEX(時間ごとの判定!$AQ$3:$AQ$1850,909),{"利用可","両方停止","運転がそろわない","判定不能"},0),"○","停","×","－"),"")</f>
        <v>×</v>
      </c>
      <c r="X41" s="35" t="str">
        <f aca="false">IFERROR(CHOOSE(MATCH(INDEX(時間ごとの判定!$AQ$3:$AQ$1850,910),{"利用可","両方停止","運転がそろわない","判定不能"},0),"○","停","×","－"),"")</f>
        <v>×</v>
      </c>
      <c r="Y41" s="35" t="str">
        <f aca="false">IFERROR(CHOOSE(MATCH(INDEX(時間ごとの判定!$AQ$3:$AQ$1850,911),{"利用可","両方停止","運転がそろわない","判定不能"},0),"○","停","×","－"),"")</f>
        <v>×</v>
      </c>
      <c r="Z41" s="35" t="str">
        <f aca="false">IFERROR(CHOOSE(MATCH(INDEX(時間ごとの判定!$AQ$3:$AQ$1850,912),{"利用可","両方停止","運転がそろわない","判定不能"},0),"○","停","×","－"),"")</f>
        <v>×</v>
      </c>
      <c r="AA41" s="35"/>
      <c r="AB41" s="35" t="str">
        <f aca="false">IFERROR(CHOOSE(MATCH(INDEX(時間ごとの判定!$AT$3:$AT$1850,889),{"利用可","両方停止","運転がそろわない","判定不能"},0),"○","停","×","－"),"")</f>
        <v>－</v>
      </c>
      <c r="AC41" s="35" t="str">
        <f aca="false">IFERROR(CHOOSE(MATCH(INDEX(時間ごとの判定!$AT$3:$AT$1850,890),{"利用可","両方停止","運転がそろわない","判定不能"},0),"○","停","×","－"),"")</f>
        <v>－</v>
      </c>
      <c r="AD41" s="35" t="str">
        <f aca="false">IFERROR(CHOOSE(MATCH(INDEX(時間ごとの判定!$AT$3:$AT$1850,891),{"利用可","両方停止","運転がそろわない","判定不能"},0),"○","停","×","－"),"")</f>
        <v>－</v>
      </c>
      <c r="AE41" s="35" t="str">
        <f aca="false">IFERROR(CHOOSE(MATCH(INDEX(時間ごとの判定!$AT$3:$AT$1850,892),{"利用可","両方停止","運転がそろわない","判定不能"},0),"○","停","×","－"),"")</f>
        <v>－</v>
      </c>
      <c r="AF41" s="35" t="str">
        <f aca="false">IFERROR(CHOOSE(MATCH(INDEX(時間ごとの判定!$AT$3:$AT$1850,893),{"利用可","両方停止","運転がそろわない","判定不能"},0),"○","停","×","－"),"")</f>
        <v>－</v>
      </c>
      <c r="AG41" s="35" t="str">
        <f aca="false">IFERROR(CHOOSE(MATCH(INDEX(時間ごとの判定!$AT$3:$AT$1850,894),{"利用可","両方停止","運転がそろわない","判定不能"},0),"○","停","×","－"),"")</f>
        <v>－</v>
      </c>
      <c r="AH41" s="35" t="str">
        <f aca="false">IFERROR(CHOOSE(MATCH(INDEX(時間ごとの判定!$AT$3:$AT$1850,895),{"利用可","両方停止","運転がそろわない","判定不能"},0),"○","停","×","－"),"")</f>
        <v>－</v>
      </c>
      <c r="AI41" s="35" t="str">
        <f aca="false">IFERROR(CHOOSE(MATCH(INDEX(時間ごとの判定!$AT$3:$AT$1850,896),{"利用可","両方停止","運転がそろわない","判定不能"},0),"○","停","×","－"),"")</f>
        <v>－</v>
      </c>
      <c r="AJ41" s="35" t="str">
        <f aca="false">IFERROR(CHOOSE(MATCH(INDEX(時間ごとの判定!$AT$3:$AT$1850,897),{"利用可","両方停止","運転がそろわない","判定不能"},0),"○","停","×","－"),"")</f>
        <v>－</v>
      </c>
      <c r="AK41" s="35" t="str">
        <f aca="false">IFERROR(CHOOSE(MATCH(INDEX(時間ごとの判定!$AT$3:$AT$1850,898),{"利用可","両方停止","運転がそろわない","判定不能"},0),"○","停","×","－"),"")</f>
        <v>－</v>
      </c>
      <c r="AL41" s="35" t="str">
        <f aca="false">IFERROR(CHOOSE(MATCH(INDEX(時間ごとの判定!$AT$3:$AT$1850,899),{"利用可","両方停止","運転がそろわない","判定不能"},0),"○","停","×","－"),"")</f>
        <v>－</v>
      </c>
      <c r="AM41" s="35" t="str">
        <f aca="false">IFERROR(CHOOSE(MATCH(INDEX(時間ごとの判定!$AT$3:$AT$1850,900),{"利用可","両方停止","運転がそろわない","判定不能"},0),"○","停","×","－"),"")</f>
        <v>－</v>
      </c>
      <c r="AN41" s="35" t="str">
        <f aca="false">IFERROR(CHOOSE(MATCH(INDEX(時間ごとの判定!$AT$3:$AT$1850,901),{"利用可","両方停止","運転がそろわない","判定不能"},0),"○","停","×","－"),"")</f>
        <v>－</v>
      </c>
      <c r="AO41" s="35" t="str">
        <f aca="false">IFERROR(CHOOSE(MATCH(INDEX(時間ごとの判定!$AT$3:$AT$1850,902),{"利用可","両方停止","運転がそろわない","判定不能"},0),"○","停","×","－"),"")</f>
        <v>－</v>
      </c>
      <c r="AP41" s="35" t="str">
        <f aca="false">IFERROR(CHOOSE(MATCH(INDEX(時間ごとの判定!$AT$3:$AT$1850,903),{"利用可","両方停止","運転がそろわない","判定不能"},0),"○","停","×","－"),"")</f>
        <v>－</v>
      </c>
      <c r="AQ41" s="35" t="str">
        <f aca="false">IFERROR(CHOOSE(MATCH(INDEX(時間ごとの判定!$AT$3:$AT$1850,904),{"利用可","両方停止","運転がそろわない","判定不能"},0),"○","停","×","－"),"")</f>
        <v>－</v>
      </c>
      <c r="AR41" s="35" t="str">
        <f aca="false">IFERROR(CHOOSE(MATCH(INDEX(時間ごとの判定!$AT$3:$AT$1850,905),{"利用可","両方停止","運転がそろわない","判定不能"},0),"○","停","×","－"),"")</f>
        <v>－</v>
      </c>
      <c r="AS41" s="35" t="str">
        <f aca="false">IFERROR(CHOOSE(MATCH(INDEX(時間ごとの判定!$AT$3:$AT$1850,906),{"利用可","両方停止","運転がそろわない","判定不能"},0),"○","停","×","－"),"")</f>
        <v>－</v>
      </c>
      <c r="AT41" s="35" t="str">
        <f aca="false">IFERROR(CHOOSE(MATCH(INDEX(時間ごとの判定!$AT$3:$AT$1850,907),{"利用可","両方停止","運転がそろわない","判定不能"},0),"○","停","×","－"),"")</f>
        <v>－</v>
      </c>
      <c r="AU41" s="35" t="str">
        <f aca="false">IFERROR(CHOOSE(MATCH(INDEX(時間ごとの判定!$AT$3:$AT$1850,908),{"利用可","両方停止","運転がそろわない","判定不能"},0),"○","停","×","－"),"")</f>
        <v>－</v>
      </c>
      <c r="AV41" s="35" t="str">
        <f aca="false">IFERROR(CHOOSE(MATCH(INDEX(時間ごとの判定!$AT$3:$AT$1850,909),{"利用可","両方停止","運転がそろわない","判定不能"},0),"○","停","×","－"),"")</f>
        <v>－</v>
      </c>
      <c r="AW41" s="35" t="str">
        <f aca="false">IFERROR(CHOOSE(MATCH(INDEX(時間ごとの判定!$AT$3:$AT$1850,910),{"利用可","両方停止","運転がそろわない","判定不能"},0),"○","停","×","－"),"")</f>
        <v>－</v>
      </c>
      <c r="AX41" s="35" t="str">
        <f aca="false">IFERROR(CHOOSE(MATCH(INDEX(時間ごとの判定!$AT$3:$AT$1850,911),{"利用可","両方停止","運転がそろわない","判定不能"},0),"○","停","×","－"),"")</f>
        <v>－</v>
      </c>
      <c r="AY41" s="35" t="str">
        <f aca="false">IFERROR(CHOOSE(MATCH(INDEX(時間ごとの判定!$AT$3:$AT$1850,912),{"利用可","両方停止","運転がそろわない","判定不能"},0),"○","停","×","－"),"")</f>
        <v>－</v>
      </c>
      <c r="AZ41" s="35"/>
      <c r="BA41" s="35" t="str">
        <f aca="false">IFERROR(CHOOSE(MATCH(INDEX(時間ごとの判定!$AW$3:$AW$1850,889),{"利用可","両方停止","運転がそろわない","判定不能"},0),"○","停","×","－"),"")</f>
        <v>×</v>
      </c>
      <c r="BB41" s="35" t="str">
        <f aca="false">IFERROR(CHOOSE(MATCH(INDEX(時間ごとの判定!$AW$3:$AW$1850,890),{"利用可","両方停止","運転がそろわない","判定不能"},0),"○","停","×","－"),"")</f>
        <v>×</v>
      </c>
      <c r="BC41" s="35" t="str">
        <f aca="false">IFERROR(CHOOSE(MATCH(INDEX(時間ごとの判定!$AW$3:$AW$1850,891),{"利用可","両方停止","運転がそろわない","判定不能"},0),"○","停","×","－"),"")</f>
        <v>×</v>
      </c>
      <c r="BD41" s="35" t="str">
        <f aca="false">IFERROR(CHOOSE(MATCH(INDEX(時間ごとの判定!$AW$3:$AW$1850,892),{"利用可","両方停止","運転がそろわない","判定不能"},0),"○","停","×","－"),"")</f>
        <v>×</v>
      </c>
      <c r="BE41" s="35" t="str">
        <f aca="false">IFERROR(CHOOSE(MATCH(INDEX(時間ごとの判定!$AW$3:$AW$1850,893),{"利用可","両方停止","運転がそろわない","判定不能"},0),"○","停","×","－"),"")</f>
        <v>×</v>
      </c>
      <c r="BF41" s="35" t="str">
        <f aca="false">IFERROR(CHOOSE(MATCH(INDEX(時間ごとの判定!$AW$3:$AW$1850,894),{"利用可","両方停止","運転がそろわない","判定不能"},0),"○","停","×","－"),"")</f>
        <v>×</v>
      </c>
      <c r="BG41" s="35" t="str">
        <f aca="false">IFERROR(CHOOSE(MATCH(INDEX(時間ごとの判定!$AW$3:$AW$1850,895),{"利用可","両方停止","運転がそろわない","判定不能"},0),"○","停","×","－"),"")</f>
        <v>○</v>
      </c>
      <c r="BH41" s="35" t="str">
        <f aca="false">IFERROR(CHOOSE(MATCH(INDEX(時間ごとの判定!$AW$3:$AW$1850,896),{"利用可","両方停止","運転がそろわない","判定不能"},0),"○","停","×","－"),"")</f>
        <v>○</v>
      </c>
      <c r="BI41" s="35" t="str">
        <f aca="false">IFERROR(CHOOSE(MATCH(INDEX(時間ごとの判定!$AW$3:$AW$1850,897),{"利用可","両方停止","運転がそろわない","判定不能"},0),"○","停","×","－"),"")</f>
        <v>○</v>
      </c>
      <c r="BJ41" s="35" t="str">
        <f aca="false">IFERROR(CHOOSE(MATCH(INDEX(時間ごとの判定!$AW$3:$AW$1850,898),{"利用可","両方停止","運転がそろわない","判定不能"},0),"○","停","×","－"),"")</f>
        <v>○</v>
      </c>
      <c r="BK41" s="35" t="str">
        <f aca="false">IFERROR(CHOOSE(MATCH(INDEX(時間ごとの判定!$AW$3:$AW$1850,899),{"利用可","両方停止","運転がそろわない","判定不能"},0),"○","停","×","－"),"")</f>
        <v>○</v>
      </c>
      <c r="BL41" s="35" t="str">
        <f aca="false">IFERROR(CHOOSE(MATCH(INDEX(時間ごとの判定!$AW$3:$AW$1850,900),{"利用可","両方停止","運転がそろわない","判定不能"},0),"○","停","×","－"),"")</f>
        <v>○</v>
      </c>
      <c r="BM41" s="35" t="str">
        <f aca="false">IFERROR(CHOOSE(MATCH(INDEX(時間ごとの判定!$AW$3:$AW$1850,901),{"利用可","両方停止","運転がそろわない","判定不能"},0),"○","停","×","－"),"")</f>
        <v>○</v>
      </c>
      <c r="BN41" s="35" t="str">
        <f aca="false">IFERROR(CHOOSE(MATCH(INDEX(時間ごとの判定!$AW$3:$AW$1850,902),{"利用可","両方停止","運転がそろわない","判定不能"},0),"○","停","×","－"),"")</f>
        <v>○</v>
      </c>
      <c r="BO41" s="35" t="str">
        <f aca="false">IFERROR(CHOOSE(MATCH(INDEX(時間ごとの判定!$AW$3:$AW$1850,903),{"利用可","両方停止","運転がそろわない","判定不能"},0),"○","停","×","－"),"")</f>
        <v>○</v>
      </c>
      <c r="BP41" s="35" t="str">
        <f aca="false">IFERROR(CHOOSE(MATCH(INDEX(時間ごとの判定!$AW$3:$AW$1850,904),{"利用可","両方停止","運転がそろわない","判定不能"},0),"○","停","×","－"),"")</f>
        <v>○</v>
      </c>
      <c r="BQ41" s="35" t="str">
        <f aca="false">IFERROR(CHOOSE(MATCH(INDEX(時間ごとの判定!$AW$3:$AW$1850,905),{"利用可","両方停止","運転がそろわない","判定不能"},0),"○","停","×","－"),"")</f>
        <v>○</v>
      </c>
      <c r="BR41" s="35" t="str">
        <f aca="false">IFERROR(CHOOSE(MATCH(INDEX(時間ごとの判定!$AW$3:$AW$1850,906),{"利用可","両方停止","運転がそろわない","判定不能"},0),"○","停","×","－"),"")</f>
        <v>○</v>
      </c>
      <c r="BS41" s="35" t="str">
        <f aca="false">IFERROR(CHOOSE(MATCH(INDEX(時間ごとの判定!$AW$3:$AW$1850,907),{"利用可","両方停止","運転がそろわない","判定不能"},0),"○","停","×","－"),"")</f>
        <v>○</v>
      </c>
      <c r="BT41" s="35" t="str">
        <f aca="false">IFERROR(CHOOSE(MATCH(INDEX(時間ごとの判定!$AW$3:$AW$1850,908),{"利用可","両方停止","運転がそろわない","判定不能"},0),"○","停","×","－"),"")</f>
        <v>×</v>
      </c>
      <c r="BU41" s="35" t="str">
        <f aca="false">IFERROR(CHOOSE(MATCH(INDEX(時間ごとの判定!$AW$3:$AW$1850,909),{"利用可","両方停止","運転がそろわない","判定不能"},0),"○","停","×","－"),"")</f>
        <v>×</v>
      </c>
      <c r="BV41" s="35" t="str">
        <f aca="false">IFERROR(CHOOSE(MATCH(INDEX(時間ごとの判定!$AW$3:$AW$1850,910),{"利用可","両方停止","運転がそろわない","判定不能"},0),"○","停","×","－"),"")</f>
        <v>×</v>
      </c>
      <c r="BW41" s="35" t="str">
        <f aca="false">IFERROR(CHOOSE(MATCH(INDEX(時間ごとの判定!$AW$3:$AW$1850,911),{"利用可","両方停止","運転がそろわない","判定不能"},0),"○","停","×","－"),"")</f>
        <v>×</v>
      </c>
      <c r="BX41" s="35" t="str">
        <f aca="false">IFERROR(CHOOSE(MATCH(INDEX(時間ごとの判定!$AW$3:$AW$1850,912),{"利用可","両方停止","運転がそろわない","判定不能"},0),"○","停","×","－"),"")</f>
        <v>×</v>
      </c>
    </row>
    <row r="42" customFormat="false" ht="15" hidden="false" customHeight="false" outlineLevel="0" collapsed="false">
      <c r="A42" s="33" t="n">
        <v>46270</v>
      </c>
      <c r="B42" s="36" t="s">
        <v>63</v>
      </c>
      <c r="C42" s="35" t="str">
        <f aca="false">IFERROR(CHOOSE(MATCH(INDEX(時間ごとの判定!$AQ$3:$AQ$1850,913),{"利用可","両方停止","運転がそろわない","判定不能"},0),"○","停","×","－"),"")</f>
        <v>停</v>
      </c>
      <c r="D42" s="35" t="str">
        <f aca="false">IFERROR(CHOOSE(MATCH(INDEX(時間ごとの判定!$AQ$3:$AQ$1850,914),{"利用可","両方停止","運転がそろわない","判定不能"},0),"○","停","×","－"),"")</f>
        <v>停</v>
      </c>
      <c r="E42" s="35" t="str">
        <f aca="false">IFERROR(CHOOSE(MATCH(INDEX(時間ごとの判定!$AQ$3:$AQ$1850,915),{"利用可","両方停止","運転がそろわない","判定不能"},0),"○","停","×","－"),"")</f>
        <v>停</v>
      </c>
      <c r="F42" s="35" t="str">
        <f aca="false">IFERROR(CHOOSE(MATCH(INDEX(時間ごとの判定!$AQ$3:$AQ$1850,916),{"利用可","両方停止","運転がそろわない","判定不能"},0),"○","停","×","－"),"")</f>
        <v>停</v>
      </c>
      <c r="G42" s="35" t="str">
        <f aca="false">IFERROR(CHOOSE(MATCH(INDEX(時間ごとの判定!$AQ$3:$AQ$1850,917),{"利用可","両方停止","運転がそろわない","判定不能"},0),"○","停","×","－"),"")</f>
        <v>停</v>
      </c>
      <c r="H42" s="35" t="str">
        <f aca="false">IFERROR(CHOOSE(MATCH(INDEX(時間ごとの判定!$AQ$3:$AQ$1850,918),{"利用可","両方停止","運転がそろわない","判定不能"},0),"○","停","×","－"),"")</f>
        <v>停</v>
      </c>
      <c r="I42" s="35" t="str">
        <f aca="false">IFERROR(CHOOSE(MATCH(INDEX(時間ごとの判定!$AQ$3:$AQ$1850,919),{"利用可","両方停止","運転がそろわない","判定不能"},0),"○","停","×","－"),"")</f>
        <v>停</v>
      </c>
      <c r="J42" s="35" t="str">
        <f aca="false">IFERROR(CHOOSE(MATCH(INDEX(時間ごとの判定!$AQ$3:$AQ$1850,920),{"利用可","両方停止","運転がそろわない","判定不能"},0),"○","停","×","－"),"")</f>
        <v>停</v>
      </c>
      <c r="K42" s="35" t="str">
        <f aca="false">IFERROR(CHOOSE(MATCH(INDEX(時間ごとの判定!$AQ$3:$AQ$1850,921),{"利用可","両方停止","運転がそろわない","判定不能"},0),"○","停","×","－"),"")</f>
        <v>×</v>
      </c>
      <c r="L42" s="35" t="str">
        <f aca="false">IFERROR(CHOOSE(MATCH(INDEX(時間ごとの判定!$AQ$3:$AQ$1850,922),{"利用可","両方停止","運転がそろわない","判定不能"},0),"○","停","×","－"),"")</f>
        <v>×</v>
      </c>
      <c r="M42" s="35" t="str">
        <f aca="false">IFERROR(CHOOSE(MATCH(INDEX(時間ごとの判定!$AQ$3:$AQ$1850,923),{"利用可","両方停止","運転がそろわない","判定不能"},0),"○","停","×","－"),"")</f>
        <v>×</v>
      </c>
      <c r="N42" s="35" t="str">
        <f aca="false">IFERROR(CHOOSE(MATCH(INDEX(時間ごとの判定!$AQ$3:$AQ$1850,924),{"利用可","両方停止","運転がそろわない","判定不能"},0),"○","停","×","－"),"")</f>
        <v>×</v>
      </c>
      <c r="O42" s="35" t="str">
        <f aca="false">IFERROR(CHOOSE(MATCH(INDEX(時間ごとの判定!$AQ$3:$AQ$1850,925),{"利用可","両方停止","運転がそろわない","判定不能"},0),"○","停","×","－"),"")</f>
        <v>○</v>
      </c>
      <c r="P42" s="35" t="str">
        <f aca="false">IFERROR(CHOOSE(MATCH(INDEX(時間ごとの判定!$AQ$3:$AQ$1850,926),{"利用可","両方停止","運転がそろわない","判定不能"},0),"○","停","×","－"),"")</f>
        <v>○</v>
      </c>
      <c r="Q42" s="35" t="str">
        <f aca="false">IFERROR(CHOOSE(MATCH(INDEX(時間ごとの判定!$AQ$3:$AQ$1850,927),{"利用可","両方停止","運転がそろわない","判定不能"},0),"○","停","×","－"),"")</f>
        <v>○</v>
      </c>
      <c r="R42" s="35" t="str">
        <f aca="false">IFERROR(CHOOSE(MATCH(INDEX(時間ごとの判定!$AQ$3:$AQ$1850,928),{"利用可","両方停止","運転がそろわない","判定不能"},0),"○","停","×","－"),"")</f>
        <v>○</v>
      </c>
      <c r="S42" s="35" t="str">
        <f aca="false">IFERROR(CHOOSE(MATCH(INDEX(時間ごとの判定!$AQ$3:$AQ$1850,929),{"利用可","両方停止","運転がそろわない","判定不能"},0),"○","停","×","－"),"")</f>
        <v>×</v>
      </c>
      <c r="T42" s="35" t="str">
        <f aca="false">IFERROR(CHOOSE(MATCH(INDEX(時間ごとの判定!$AQ$3:$AQ$1850,930),{"利用可","両方停止","運転がそろわない","判定不能"},0),"○","停","×","－"),"")</f>
        <v>○</v>
      </c>
      <c r="U42" s="35" t="str">
        <f aca="false">IFERROR(CHOOSE(MATCH(INDEX(時間ごとの判定!$AQ$3:$AQ$1850,931),{"利用可","両方停止","運転がそろわない","判定不能"},0),"○","停","×","－"),"")</f>
        <v>×</v>
      </c>
      <c r="V42" s="35" t="str">
        <f aca="false">IFERROR(CHOOSE(MATCH(INDEX(時間ごとの判定!$AQ$3:$AQ$1850,932),{"利用可","両方停止","運転がそろわない","判定不能"},0),"○","停","×","－"),"")</f>
        <v>×</v>
      </c>
      <c r="W42" s="35" t="str">
        <f aca="false">IFERROR(CHOOSE(MATCH(INDEX(時間ごとの判定!$AQ$3:$AQ$1850,933),{"利用可","両方停止","運転がそろわない","判定不能"},0),"○","停","×","－"),"")</f>
        <v>×</v>
      </c>
      <c r="X42" s="35" t="str">
        <f aca="false">IFERROR(CHOOSE(MATCH(INDEX(時間ごとの判定!$AQ$3:$AQ$1850,934),{"利用可","両方停止","運転がそろわない","判定不能"},0),"○","停","×","－"),"")</f>
        <v>停</v>
      </c>
      <c r="Y42" s="35" t="str">
        <f aca="false">IFERROR(CHOOSE(MATCH(INDEX(時間ごとの判定!$AQ$3:$AQ$1850,935),{"利用可","両方停止","運転がそろわない","判定不能"},0),"○","停","×","－"),"")</f>
        <v>停</v>
      </c>
      <c r="Z42" s="35" t="str">
        <f aca="false">IFERROR(CHOOSE(MATCH(INDEX(時間ごとの判定!$AQ$3:$AQ$1850,936),{"利用可","両方停止","運転がそろわない","判定不能"},0),"○","停","×","－"),"")</f>
        <v>停</v>
      </c>
      <c r="AA42" s="35"/>
      <c r="AB42" s="35" t="str">
        <f aca="false">IFERROR(CHOOSE(MATCH(INDEX(時間ごとの判定!$AT$3:$AT$1850,913),{"利用可","両方停止","運転がそろわない","判定不能"},0),"○","停","×","－"),"")</f>
        <v>－</v>
      </c>
      <c r="AC42" s="35" t="str">
        <f aca="false">IFERROR(CHOOSE(MATCH(INDEX(時間ごとの判定!$AT$3:$AT$1850,914),{"利用可","両方停止","運転がそろわない","判定不能"},0),"○","停","×","－"),"")</f>
        <v>－</v>
      </c>
      <c r="AD42" s="35" t="str">
        <f aca="false">IFERROR(CHOOSE(MATCH(INDEX(時間ごとの判定!$AT$3:$AT$1850,915),{"利用可","両方停止","運転がそろわない","判定不能"},0),"○","停","×","－"),"")</f>
        <v>－</v>
      </c>
      <c r="AE42" s="35" t="str">
        <f aca="false">IFERROR(CHOOSE(MATCH(INDEX(時間ごとの判定!$AT$3:$AT$1850,916),{"利用可","両方停止","運転がそろわない","判定不能"},0),"○","停","×","－"),"")</f>
        <v>－</v>
      </c>
      <c r="AF42" s="35" t="str">
        <f aca="false">IFERROR(CHOOSE(MATCH(INDEX(時間ごとの判定!$AT$3:$AT$1850,917),{"利用可","両方停止","運転がそろわない","判定不能"},0),"○","停","×","－"),"")</f>
        <v>停</v>
      </c>
      <c r="AG42" s="35" t="str">
        <f aca="false">IFERROR(CHOOSE(MATCH(INDEX(時間ごとの判定!$AT$3:$AT$1850,918),{"利用可","両方停止","運転がそろわない","判定不能"},0),"○","停","×","－"),"")</f>
        <v>停</v>
      </c>
      <c r="AH42" s="35" t="str">
        <f aca="false">IFERROR(CHOOSE(MATCH(INDEX(時間ごとの判定!$AT$3:$AT$1850,919),{"利用可","両方停止","運転がそろわない","判定不能"},0),"○","停","×","－"),"")</f>
        <v>停</v>
      </c>
      <c r="AI42" s="35" t="str">
        <f aca="false">IFERROR(CHOOSE(MATCH(INDEX(時間ごとの判定!$AT$3:$AT$1850,920),{"利用可","両方停止","運転がそろわない","判定不能"},0),"○","停","×","－"),"")</f>
        <v>停</v>
      </c>
      <c r="AJ42" s="35" t="str">
        <f aca="false">IFERROR(CHOOSE(MATCH(INDEX(時間ごとの判定!$AT$3:$AT$1850,921),{"利用可","両方停止","運転がそろわない","判定不能"},0),"○","停","×","－"),"")</f>
        <v>×</v>
      </c>
      <c r="AK42" s="35" t="str">
        <f aca="false">IFERROR(CHOOSE(MATCH(INDEX(時間ごとの判定!$AT$3:$AT$1850,922),{"利用可","両方停止","運転がそろわない","判定不能"},0),"○","停","×","－"),"")</f>
        <v>×</v>
      </c>
      <c r="AL42" s="35" t="str">
        <f aca="false">IFERROR(CHOOSE(MATCH(INDEX(時間ごとの判定!$AT$3:$AT$1850,923),{"利用可","両方停止","運転がそろわない","判定不能"},0),"○","停","×","－"),"")</f>
        <v>×</v>
      </c>
      <c r="AM42" s="35" t="str">
        <f aca="false">IFERROR(CHOOSE(MATCH(INDEX(時間ごとの判定!$AT$3:$AT$1850,924),{"利用可","両方停止","運転がそろわない","判定不能"},0),"○","停","×","－"),"")</f>
        <v>×</v>
      </c>
      <c r="AN42" s="35" t="str">
        <f aca="false">IFERROR(CHOOSE(MATCH(INDEX(時間ごとの判定!$AT$3:$AT$1850,925),{"利用可","両方停止","運転がそろわない","判定不能"},0),"○","停","×","－"),"")</f>
        <v>○</v>
      </c>
      <c r="AO42" s="35" t="str">
        <f aca="false">IFERROR(CHOOSE(MATCH(INDEX(時間ごとの判定!$AT$3:$AT$1850,926),{"利用可","両方停止","運転がそろわない","判定不能"},0),"○","停","×","－"),"")</f>
        <v>○</v>
      </c>
      <c r="AP42" s="35" t="str">
        <f aca="false">IFERROR(CHOOSE(MATCH(INDEX(時間ごとの判定!$AT$3:$AT$1850,927),{"利用可","両方停止","運転がそろわない","判定不能"},0),"○","停","×","－"),"")</f>
        <v>×</v>
      </c>
      <c r="AQ42" s="35" t="str">
        <f aca="false">IFERROR(CHOOSE(MATCH(INDEX(時間ごとの判定!$AT$3:$AT$1850,928),{"利用可","両方停止","運転がそろわない","判定不能"},0),"○","停","×","－"),"")</f>
        <v>×</v>
      </c>
      <c r="AR42" s="35" t="str">
        <f aca="false">IFERROR(CHOOSE(MATCH(INDEX(時間ごとの判定!$AT$3:$AT$1850,929),{"利用可","両方停止","運転がそろわない","判定不能"},0),"○","停","×","－"),"")</f>
        <v>×</v>
      </c>
      <c r="AS42" s="35" t="str">
        <f aca="false">IFERROR(CHOOSE(MATCH(INDEX(時間ごとの判定!$AT$3:$AT$1850,930),{"利用可","両方停止","運転がそろわない","判定不能"},0),"○","停","×","－"),"")</f>
        <v>○</v>
      </c>
      <c r="AT42" s="35" t="str">
        <f aca="false">IFERROR(CHOOSE(MATCH(INDEX(時間ごとの判定!$AT$3:$AT$1850,931),{"利用可","両方停止","運転がそろわない","判定不能"},0),"○","停","×","－"),"")</f>
        <v>×</v>
      </c>
      <c r="AU42" s="35" t="str">
        <f aca="false">IFERROR(CHOOSE(MATCH(INDEX(時間ごとの判定!$AT$3:$AT$1850,932),{"利用可","両方停止","運転がそろわない","判定不能"},0),"○","停","×","－"),"")</f>
        <v>×</v>
      </c>
      <c r="AV42" s="35" t="str">
        <f aca="false">IFERROR(CHOOSE(MATCH(INDEX(時間ごとの判定!$AT$3:$AT$1850,933),{"利用可","両方停止","運転がそろわない","判定不能"},0),"○","停","×","－"),"")</f>
        <v>×</v>
      </c>
      <c r="AW42" s="35" t="str">
        <f aca="false">IFERROR(CHOOSE(MATCH(INDEX(時間ごとの判定!$AT$3:$AT$1850,934),{"利用可","両方停止","運転がそろわない","判定不能"},0),"○","停","×","－"),"")</f>
        <v>停</v>
      </c>
      <c r="AX42" s="35" t="str">
        <f aca="false">IFERROR(CHOOSE(MATCH(INDEX(時間ごとの判定!$AT$3:$AT$1850,935),{"利用可","両方停止","運転がそろわない","判定不能"},0),"○","停","×","－"),"")</f>
        <v>停</v>
      </c>
      <c r="AY42" s="35" t="str">
        <f aca="false">IFERROR(CHOOSE(MATCH(INDEX(時間ごとの判定!$AT$3:$AT$1850,936),{"利用可","両方停止","運転がそろわない","判定不能"},0),"○","停","×","－"),"")</f>
        <v>停</v>
      </c>
      <c r="AZ42" s="35"/>
      <c r="BA42" s="35" t="str">
        <f aca="false">IFERROR(CHOOSE(MATCH(INDEX(時間ごとの判定!$AW$3:$AW$1850,913),{"利用可","両方停止","運転がそろわない","判定不能"},0),"○","停","×","－"),"")</f>
        <v>×</v>
      </c>
      <c r="BB42" s="35" t="str">
        <f aca="false">IFERROR(CHOOSE(MATCH(INDEX(時間ごとの判定!$AW$3:$AW$1850,914),{"利用可","両方停止","運転がそろわない","判定不能"},0),"○","停","×","－"),"")</f>
        <v>×</v>
      </c>
      <c r="BC42" s="35" t="str">
        <f aca="false">IFERROR(CHOOSE(MATCH(INDEX(時間ごとの判定!$AW$3:$AW$1850,915),{"利用可","両方停止","運転がそろわない","判定不能"},0),"○","停","×","－"),"")</f>
        <v>×</v>
      </c>
      <c r="BD42" s="35" t="str">
        <f aca="false">IFERROR(CHOOSE(MATCH(INDEX(時間ごとの判定!$AW$3:$AW$1850,916),{"利用可","両方停止","運転がそろわない","判定不能"},0),"○","停","×","－"),"")</f>
        <v>×</v>
      </c>
      <c r="BE42" s="35" t="str">
        <f aca="false">IFERROR(CHOOSE(MATCH(INDEX(時間ごとの判定!$AW$3:$AW$1850,917),{"利用可","両方停止","運転がそろわない","判定不能"},0),"○","停","×","－"),"")</f>
        <v>×</v>
      </c>
      <c r="BF42" s="35" t="str">
        <f aca="false">IFERROR(CHOOSE(MATCH(INDEX(時間ごとの判定!$AW$3:$AW$1850,918),{"利用可","両方停止","運転がそろわない","判定不能"},0),"○","停","×","－"),"")</f>
        <v>×</v>
      </c>
      <c r="BG42" s="35" t="str">
        <f aca="false">IFERROR(CHOOSE(MATCH(INDEX(時間ごとの判定!$AW$3:$AW$1850,919),{"利用可","両方停止","運転がそろわない","判定不能"},0),"○","停","×","－"),"")</f>
        <v>×</v>
      </c>
      <c r="BH42" s="35" t="str">
        <f aca="false">IFERROR(CHOOSE(MATCH(INDEX(時間ごとの判定!$AW$3:$AW$1850,920),{"利用可","両方停止","運転がそろわない","判定不能"},0),"○","停","×","－"),"")</f>
        <v>×</v>
      </c>
      <c r="BI42" s="35" t="str">
        <f aca="false">IFERROR(CHOOSE(MATCH(INDEX(時間ごとの判定!$AW$3:$AW$1850,921),{"利用可","両方停止","運転がそろわない","判定不能"},0),"○","停","×","－"),"")</f>
        <v>○</v>
      </c>
      <c r="BJ42" s="35" t="str">
        <f aca="false">IFERROR(CHOOSE(MATCH(INDEX(時間ごとの判定!$AW$3:$AW$1850,922),{"利用可","両方停止","運転がそろわない","判定不能"},0),"○","停","×","－"),"")</f>
        <v>○</v>
      </c>
      <c r="BK42" s="35" t="str">
        <f aca="false">IFERROR(CHOOSE(MATCH(INDEX(時間ごとの判定!$AW$3:$AW$1850,923),{"利用可","両方停止","運転がそろわない","判定不能"},0),"○","停","×","－"),"")</f>
        <v>○</v>
      </c>
      <c r="BL42" s="35" t="str">
        <f aca="false">IFERROR(CHOOSE(MATCH(INDEX(時間ごとの判定!$AW$3:$AW$1850,924),{"利用可","両方停止","運転がそろわない","判定不能"},0),"○","停","×","－"),"")</f>
        <v>○</v>
      </c>
      <c r="BM42" s="35" t="str">
        <f aca="false">IFERROR(CHOOSE(MATCH(INDEX(時間ごとの判定!$AW$3:$AW$1850,925),{"利用可","両方停止","運転がそろわない","判定不能"},0),"○","停","×","－"),"")</f>
        <v>○</v>
      </c>
      <c r="BN42" s="35" t="str">
        <f aca="false">IFERROR(CHOOSE(MATCH(INDEX(時間ごとの判定!$AW$3:$AW$1850,926),{"利用可","両方停止","運転がそろわない","判定不能"},0),"○","停","×","－"),"")</f>
        <v>○</v>
      </c>
      <c r="BO42" s="35" t="str">
        <f aca="false">IFERROR(CHOOSE(MATCH(INDEX(時間ごとの判定!$AW$3:$AW$1850,927),{"利用可","両方停止","運転がそろわない","判定不能"},0),"○","停","×","－"),"")</f>
        <v>○</v>
      </c>
      <c r="BP42" s="35" t="str">
        <f aca="false">IFERROR(CHOOSE(MATCH(INDEX(時間ごとの判定!$AW$3:$AW$1850,928),{"利用可","両方停止","運転がそろわない","判定不能"},0),"○","停","×","－"),"")</f>
        <v>○</v>
      </c>
      <c r="BQ42" s="35" t="str">
        <f aca="false">IFERROR(CHOOSE(MATCH(INDEX(時間ごとの判定!$AW$3:$AW$1850,929),{"利用可","両方停止","運転がそろわない","判定不能"},0),"○","停","×","－"),"")</f>
        <v>○</v>
      </c>
      <c r="BR42" s="35" t="str">
        <f aca="false">IFERROR(CHOOSE(MATCH(INDEX(時間ごとの判定!$AW$3:$AW$1850,930),{"利用可","両方停止","運転がそろわない","判定不能"},0),"○","停","×","－"),"")</f>
        <v>○</v>
      </c>
      <c r="BS42" s="35" t="str">
        <f aca="false">IFERROR(CHOOSE(MATCH(INDEX(時間ごとの判定!$AW$3:$AW$1850,931),{"利用可","両方停止","運転がそろわない","判定不能"},0),"○","停","×","－"),"")</f>
        <v>×</v>
      </c>
      <c r="BT42" s="35" t="str">
        <f aca="false">IFERROR(CHOOSE(MATCH(INDEX(時間ごとの判定!$AW$3:$AW$1850,932),{"利用可","両方停止","運転がそろわない","判定不能"},0),"○","停","×","－"),"")</f>
        <v>×</v>
      </c>
      <c r="BU42" s="35" t="str">
        <f aca="false">IFERROR(CHOOSE(MATCH(INDEX(時間ごとの判定!$AW$3:$AW$1850,933),{"利用可","両方停止","運転がそろわない","判定不能"},0),"○","停","×","－"),"")</f>
        <v>×</v>
      </c>
      <c r="BV42" s="35" t="str">
        <f aca="false">IFERROR(CHOOSE(MATCH(INDEX(時間ごとの判定!$AW$3:$AW$1850,934),{"利用可","両方停止","運転がそろわない","判定不能"},0),"○","停","×","－"),"")</f>
        <v>×</v>
      </c>
      <c r="BW42" s="35" t="str">
        <f aca="false">IFERROR(CHOOSE(MATCH(INDEX(時間ごとの判定!$AW$3:$AW$1850,935),{"利用可","両方停止","運転がそろわない","判定不能"},0),"○","停","×","－"),"")</f>
        <v>×</v>
      </c>
      <c r="BX42" s="35" t="str">
        <f aca="false">IFERROR(CHOOSE(MATCH(INDEX(時間ごとの判定!$AW$3:$AW$1850,936),{"利用可","両方停止","運転がそろわない","判定不能"},0),"○","停","×","－"),"")</f>
        <v>×</v>
      </c>
    </row>
    <row r="43" customFormat="false" ht="15" hidden="false" customHeight="false" outlineLevel="0" collapsed="false">
      <c r="A43" s="33" t="n">
        <v>46271</v>
      </c>
      <c r="B43" s="36" t="s">
        <v>65</v>
      </c>
      <c r="C43" s="35" t="str">
        <f aca="false">IFERROR(CHOOSE(MATCH(INDEX(時間ごとの判定!$AQ$3:$AQ$1850,937),{"利用可","両方停止","運転がそろわない","判定不能"},0),"○","停","×","－"),"")</f>
        <v>停</v>
      </c>
      <c r="D43" s="35" t="str">
        <f aca="false">IFERROR(CHOOSE(MATCH(INDEX(時間ごとの判定!$AQ$3:$AQ$1850,938),{"利用可","両方停止","運転がそろわない","判定不能"},0),"○","停","×","－"),"")</f>
        <v>停</v>
      </c>
      <c r="E43" s="35" t="str">
        <f aca="false">IFERROR(CHOOSE(MATCH(INDEX(時間ごとの判定!$AQ$3:$AQ$1850,939),{"利用可","両方停止","運転がそろわない","判定不能"},0),"○","停","×","－"),"")</f>
        <v>停</v>
      </c>
      <c r="F43" s="35" t="str">
        <f aca="false">IFERROR(CHOOSE(MATCH(INDEX(時間ごとの判定!$AQ$3:$AQ$1850,940),{"利用可","両方停止","運転がそろわない","判定不能"},0),"○","停","×","－"),"")</f>
        <v>停</v>
      </c>
      <c r="G43" s="35" t="str">
        <f aca="false">IFERROR(CHOOSE(MATCH(INDEX(時間ごとの判定!$AQ$3:$AQ$1850,941),{"利用可","両方停止","運転がそろわない","判定不能"},0),"○","停","×","－"),"")</f>
        <v>停</v>
      </c>
      <c r="H43" s="35" t="str">
        <f aca="false">IFERROR(CHOOSE(MATCH(INDEX(時間ごとの判定!$AQ$3:$AQ$1850,942),{"利用可","両方停止","運転がそろわない","判定不能"},0),"○","停","×","－"),"")</f>
        <v>停</v>
      </c>
      <c r="I43" s="35" t="str">
        <f aca="false">IFERROR(CHOOSE(MATCH(INDEX(時間ごとの判定!$AQ$3:$AQ$1850,943),{"利用可","両方停止","運転がそろわない","判定不能"},0),"○","停","×","－"),"")</f>
        <v>停</v>
      </c>
      <c r="J43" s="35" t="str">
        <f aca="false">IFERROR(CHOOSE(MATCH(INDEX(時間ごとの判定!$AQ$3:$AQ$1850,944),{"利用可","両方停止","運転がそろわない","判定不能"},0),"○","停","×","－"),"")</f>
        <v>停</v>
      </c>
      <c r="K43" s="35" t="str">
        <f aca="false">IFERROR(CHOOSE(MATCH(INDEX(時間ごとの判定!$AQ$3:$AQ$1850,945),{"利用可","両方停止","運転がそろわない","判定不能"},0),"○","停","×","－"),"")</f>
        <v>×</v>
      </c>
      <c r="L43" s="35" t="str">
        <f aca="false">IFERROR(CHOOSE(MATCH(INDEX(時間ごとの判定!$AQ$3:$AQ$1850,946),{"利用可","両方停止","運転がそろわない","判定不能"},0),"○","停","×","－"),"")</f>
        <v>停</v>
      </c>
      <c r="M43" s="35" t="str">
        <f aca="false">IFERROR(CHOOSE(MATCH(INDEX(時間ごとの判定!$AQ$3:$AQ$1850,947),{"利用可","両方停止","運転がそろわない","判定不能"},0),"○","停","×","－"),"")</f>
        <v>×</v>
      </c>
      <c r="N43" s="35" t="str">
        <f aca="false">IFERROR(CHOOSE(MATCH(INDEX(時間ごとの判定!$AQ$3:$AQ$1850,948),{"利用可","両方停止","運転がそろわない","判定不能"},0),"○","停","×","－"),"")</f>
        <v>停</v>
      </c>
      <c r="O43" s="35" t="str">
        <f aca="false">IFERROR(CHOOSE(MATCH(INDEX(時間ごとの判定!$AQ$3:$AQ$1850,949),{"利用可","両方停止","運転がそろわない","判定不能"},0),"○","停","×","－"),"")</f>
        <v>×</v>
      </c>
      <c r="P43" s="35" t="str">
        <f aca="false">IFERROR(CHOOSE(MATCH(INDEX(時間ごとの判定!$AQ$3:$AQ$1850,950),{"利用可","両方停止","運転がそろわない","判定不能"},0),"○","停","×","－"),"")</f>
        <v>停</v>
      </c>
      <c r="Q43" s="35" t="str">
        <f aca="false">IFERROR(CHOOSE(MATCH(INDEX(時間ごとの判定!$AQ$3:$AQ$1850,951),{"利用可","両方停止","運転がそろわない","判定不能"},0),"○","停","×","－"),"")</f>
        <v>×</v>
      </c>
      <c r="R43" s="35" t="str">
        <f aca="false">IFERROR(CHOOSE(MATCH(INDEX(時間ごとの判定!$AQ$3:$AQ$1850,952),{"利用可","両方停止","運転がそろわない","判定不能"},0),"○","停","×","－"),"")</f>
        <v>停</v>
      </c>
      <c r="S43" s="35" t="str">
        <f aca="false">IFERROR(CHOOSE(MATCH(INDEX(時間ごとの判定!$AQ$3:$AQ$1850,953),{"利用可","両方停止","運転がそろわない","判定不能"},0),"○","停","×","－"),"")</f>
        <v>×</v>
      </c>
      <c r="T43" s="35" t="str">
        <f aca="false">IFERROR(CHOOSE(MATCH(INDEX(時間ごとの判定!$AQ$3:$AQ$1850,954),{"利用可","両方停止","運転がそろわない","判定不能"},0),"○","停","×","－"),"")</f>
        <v>停</v>
      </c>
      <c r="U43" s="35" t="str">
        <f aca="false">IFERROR(CHOOSE(MATCH(INDEX(時間ごとの判定!$AQ$3:$AQ$1850,955),{"利用可","両方停止","運転がそろわない","判定不能"},0),"○","停","×","－"),"")</f>
        <v>停</v>
      </c>
      <c r="V43" s="35" t="str">
        <f aca="false">IFERROR(CHOOSE(MATCH(INDEX(時間ごとの判定!$AQ$3:$AQ$1850,956),{"利用可","両方停止","運転がそろわない","判定不能"},0),"○","停","×","－"),"")</f>
        <v>停</v>
      </c>
      <c r="W43" s="35" t="str">
        <f aca="false">IFERROR(CHOOSE(MATCH(INDEX(時間ごとの判定!$AQ$3:$AQ$1850,957),{"利用可","両方停止","運転がそろわない","判定不能"},0),"○","停","×","－"),"")</f>
        <v>停</v>
      </c>
      <c r="X43" s="35" t="str">
        <f aca="false">IFERROR(CHOOSE(MATCH(INDEX(時間ごとの判定!$AQ$3:$AQ$1850,958),{"利用可","両方停止","運転がそろわない","判定不能"},0),"○","停","×","－"),"")</f>
        <v>停</v>
      </c>
      <c r="Y43" s="35" t="str">
        <f aca="false">IFERROR(CHOOSE(MATCH(INDEX(時間ごとの判定!$AQ$3:$AQ$1850,959),{"利用可","両方停止","運転がそろわない","判定不能"},0),"○","停","×","－"),"")</f>
        <v>停</v>
      </c>
      <c r="Z43" s="35" t="str">
        <f aca="false">IFERROR(CHOOSE(MATCH(INDEX(時間ごとの判定!$AQ$3:$AQ$1850,960),{"利用可","両方停止","運転がそろわない","判定不能"},0),"○","停","×","－"),"")</f>
        <v>停</v>
      </c>
      <c r="AA43" s="35"/>
      <c r="AB43" s="35" t="str">
        <f aca="false">IFERROR(CHOOSE(MATCH(INDEX(時間ごとの判定!$AT$3:$AT$1850,937),{"利用可","両方停止","運転がそろわない","判定不能"},0),"○","停","×","－"),"")</f>
        <v>停</v>
      </c>
      <c r="AC43" s="35" t="str">
        <f aca="false">IFERROR(CHOOSE(MATCH(INDEX(時間ごとの判定!$AT$3:$AT$1850,938),{"利用可","両方停止","運転がそろわない","判定不能"},0),"○","停","×","－"),"")</f>
        <v>停</v>
      </c>
      <c r="AD43" s="35" t="str">
        <f aca="false">IFERROR(CHOOSE(MATCH(INDEX(時間ごとの判定!$AT$3:$AT$1850,939),{"利用可","両方停止","運転がそろわない","判定不能"},0),"○","停","×","－"),"")</f>
        <v>停</v>
      </c>
      <c r="AE43" s="35" t="str">
        <f aca="false">IFERROR(CHOOSE(MATCH(INDEX(時間ごとの判定!$AT$3:$AT$1850,940),{"利用可","両方停止","運転がそろわない","判定不能"},0),"○","停","×","－"),"")</f>
        <v>停</v>
      </c>
      <c r="AF43" s="35" t="str">
        <f aca="false">IFERROR(CHOOSE(MATCH(INDEX(時間ごとの判定!$AT$3:$AT$1850,941),{"利用可","両方停止","運転がそろわない","判定不能"},0),"○","停","×","－"),"")</f>
        <v>停</v>
      </c>
      <c r="AG43" s="35" t="str">
        <f aca="false">IFERROR(CHOOSE(MATCH(INDEX(時間ごとの判定!$AT$3:$AT$1850,942),{"利用可","両方停止","運転がそろわない","判定不能"},0),"○","停","×","－"),"")</f>
        <v>停</v>
      </c>
      <c r="AH43" s="35" t="str">
        <f aca="false">IFERROR(CHOOSE(MATCH(INDEX(時間ごとの判定!$AT$3:$AT$1850,943),{"利用可","両方停止","運転がそろわない","判定不能"},0),"○","停","×","－"),"")</f>
        <v>停</v>
      </c>
      <c r="AI43" s="35" t="str">
        <f aca="false">IFERROR(CHOOSE(MATCH(INDEX(時間ごとの判定!$AT$3:$AT$1850,944),{"利用可","両方停止","運転がそろわない","判定不能"},0),"○","停","×","－"),"")</f>
        <v>停</v>
      </c>
      <c r="AJ43" s="35" t="str">
        <f aca="false">IFERROR(CHOOSE(MATCH(INDEX(時間ごとの判定!$AT$3:$AT$1850,945),{"利用可","両方停止","運転がそろわない","判定不能"},0),"○","停","×","－"),"")</f>
        <v>停</v>
      </c>
      <c r="AK43" s="35" t="str">
        <f aca="false">IFERROR(CHOOSE(MATCH(INDEX(時間ごとの判定!$AT$3:$AT$1850,946),{"利用可","両方停止","運転がそろわない","判定不能"},0),"○","停","×","－"),"")</f>
        <v>×</v>
      </c>
      <c r="AL43" s="35" t="str">
        <f aca="false">IFERROR(CHOOSE(MATCH(INDEX(時間ごとの判定!$AT$3:$AT$1850,947),{"利用可","両方停止","運転がそろわない","判定不能"},0),"○","停","×","－"),"")</f>
        <v>－</v>
      </c>
      <c r="AM43" s="35" t="str">
        <f aca="false">IFERROR(CHOOSE(MATCH(INDEX(時間ごとの判定!$AT$3:$AT$1850,948),{"利用可","両方停止","運転がそろわない","判定不能"},0),"○","停","×","－"),"")</f>
        <v>－</v>
      </c>
      <c r="AN43" s="35" t="str">
        <f aca="false">IFERROR(CHOOSE(MATCH(INDEX(時間ごとの判定!$AT$3:$AT$1850,949),{"利用可","両方停止","運転がそろわない","判定不能"},0),"○","停","×","－"),"")</f>
        <v>－</v>
      </c>
      <c r="AO43" s="35" t="str">
        <f aca="false">IFERROR(CHOOSE(MATCH(INDEX(時間ごとの判定!$AT$3:$AT$1850,950),{"利用可","両方停止","運転がそろわない","判定不能"},0),"○","停","×","－"),"")</f>
        <v>－</v>
      </c>
      <c r="AP43" s="35" t="str">
        <f aca="false">IFERROR(CHOOSE(MATCH(INDEX(時間ごとの判定!$AT$3:$AT$1850,951),{"利用可","両方停止","運転がそろわない","判定不能"},0),"○","停","×","－"),"")</f>
        <v>－</v>
      </c>
      <c r="AQ43" s="35" t="str">
        <f aca="false">IFERROR(CHOOSE(MATCH(INDEX(時間ごとの判定!$AT$3:$AT$1850,952),{"利用可","両方停止","運転がそろわない","判定不能"},0),"○","停","×","－"),"")</f>
        <v>－</v>
      </c>
      <c r="AR43" s="35" t="str">
        <f aca="false">IFERROR(CHOOSE(MATCH(INDEX(時間ごとの判定!$AT$3:$AT$1850,953),{"利用可","両方停止","運転がそろわない","判定不能"},0),"○","停","×","－"),"")</f>
        <v>－</v>
      </c>
      <c r="AS43" s="35" t="str">
        <f aca="false">IFERROR(CHOOSE(MATCH(INDEX(時間ごとの判定!$AT$3:$AT$1850,954),{"利用可","両方停止","運転がそろわない","判定不能"},0),"○","停","×","－"),"")</f>
        <v>－</v>
      </c>
      <c r="AT43" s="35" t="str">
        <f aca="false">IFERROR(CHOOSE(MATCH(INDEX(時間ごとの判定!$AT$3:$AT$1850,955),{"利用可","両方停止","運転がそろわない","判定不能"},0),"○","停","×","－"),"")</f>
        <v>－</v>
      </c>
      <c r="AU43" s="35" t="str">
        <f aca="false">IFERROR(CHOOSE(MATCH(INDEX(時間ごとの判定!$AT$3:$AT$1850,956),{"利用可","両方停止","運転がそろわない","判定不能"},0),"○","停","×","－"),"")</f>
        <v>停</v>
      </c>
      <c r="AV43" s="35" t="str">
        <f aca="false">IFERROR(CHOOSE(MATCH(INDEX(時間ごとの判定!$AT$3:$AT$1850,957),{"利用可","両方停止","運転がそろわない","判定不能"},0),"○","停","×","－"),"")</f>
        <v>×</v>
      </c>
      <c r="AW43" s="35" t="str">
        <f aca="false">IFERROR(CHOOSE(MATCH(INDEX(時間ごとの判定!$AT$3:$AT$1850,958),{"利用可","両方停止","運転がそろわない","判定不能"},0),"○","停","×","－"),"")</f>
        <v>停</v>
      </c>
      <c r="AX43" s="35" t="str">
        <f aca="false">IFERROR(CHOOSE(MATCH(INDEX(時間ごとの判定!$AT$3:$AT$1850,959),{"利用可","両方停止","運転がそろわない","判定不能"},0),"○","停","×","－"),"")</f>
        <v>停</v>
      </c>
      <c r="AY43" s="35" t="str">
        <f aca="false">IFERROR(CHOOSE(MATCH(INDEX(時間ごとの判定!$AT$3:$AT$1850,960),{"利用可","両方停止","運転がそろわない","判定不能"},0),"○","停","×","－"),"")</f>
        <v>停</v>
      </c>
      <c r="AZ43" s="35"/>
      <c r="BA43" s="35" t="str">
        <f aca="false">IFERROR(CHOOSE(MATCH(INDEX(時間ごとの判定!$AW$3:$AW$1850,937),{"利用可","両方停止","運転がそろわない","判定不能"},0),"○","停","×","－"),"")</f>
        <v>×</v>
      </c>
      <c r="BB43" s="35" t="str">
        <f aca="false">IFERROR(CHOOSE(MATCH(INDEX(時間ごとの判定!$AW$3:$AW$1850,938),{"利用可","両方停止","運転がそろわない","判定不能"},0),"○","停","×","－"),"")</f>
        <v>×</v>
      </c>
      <c r="BC43" s="35" t="str">
        <f aca="false">IFERROR(CHOOSE(MATCH(INDEX(時間ごとの判定!$AW$3:$AW$1850,939),{"利用可","両方停止","運転がそろわない","判定不能"},0),"○","停","×","－"),"")</f>
        <v>×</v>
      </c>
      <c r="BD43" s="35" t="str">
        <f aca="false">IFERROR(CHOOSE(MATCH(INDEX(時間ごとの判定!$AW$3:$AW$1850,940),{"利用可","両方停止","運転がそろわない","判定不能"},0),"○","停","×","－"),"")</f>
        <v>×</v>
      </c>
      <c r="BE43" s="35" t="str">
        <f aca="false">IFERROR(CHOOSE(MATCH(INDEX(時間ごとの判定!$AW$3:$AW$1850,941),{"利用可","両方停止","運転がそろわない","判定不能"},0),"○","停","×","－"),"")</f>
        <v>×</v>
      </c>
      <c r="BF43" s="35" t="str">
        <f aca="false">IFERROR(CHOOSE(MATCH(INDEX(時間ごとの判定!$AW$3:$AW$1850,942),{"利用可","両方停止","運転がそろわない","判定不能"},0),"○","停","×","－"),"")</f>
        <v>×</v>
      </c>
      <c r="BG43" s="35" t="str">
        <f aca="false">IFERROR(CHOOSE(MATCH(INDEX(時間ごとの判定!$AW$3:$AW$1850,943),{"利用可","両方停止","運転がそろわない","判定不能"},0),"○","停","×","－"),"")</f>
        <v>×</v>
      </c>
      <c r="BH43" s="35" t="str">
        <f aca="false">IFERROR(CHOOSE(MATCH(INDEX(時間ごとの判定!$AW$3:$AW$1850,944),{"利用可","両方停止","運転がそろわない","判定不能"},0),"○","停","×","－"),"")</f>
        <v>×</v>
      </c>
      <c r="BI43" s="35" t="str">
        <f aca="false">IFERROR(CHOOSE(MATCH(INDEX(時間ごとの判定!$AW$3:$AW$1850,945),{"利用可","両方停止","運転がそろわない","判定不能"},0),"○","停","×","－"),"")</f>
        <v>○</v>
      </c>
      <c r="BJ43" s="35" t="str">
        <f aca="false">IFERROR(CHOOSE(MATCH(INDEX(時間ごとの判定!$AW$3:$AW$1850,946),{"利用可","両方停止","運転がそろわない","判定不能"},0),"○","停","×","－"),"")</f>
        <v>○</v>
      </c>
      <c r="BK43" s="35" t="str">
        <f aca="false">IFERROR(CHOOSE(MATCH(INDEX(時間ごとの判定!$AW$3:$AW$1850,947),{"利用可","両方停止","運転がそろわない","判定不能"},0),"○","停","×","－"),"")</f>
        <v>○</v>
      </c>
      <c r="BL43" s="35" t="str">
        <f aca="false">IFERROR(CHOOSE(MATCH(INDEX(時間ごとの判定!$AW$3:$AW$1850,948),{"利用可","両方停止","運転がそろわない","判定不能"},0),"○","停","×","－"),"")</f>
        <v>○</v>
      </c>
      <c r="BM43" s="35" t="str">
        <f aca="false">IFERROR(CHOOSE(MATCH(INDEX(時間ごとの判定!$AW$3:$AW$1850,949),{"利用可","両方停止","運転がそろわない","判定不能"},0),"○","停","×","－"),"")</f>
        <v>○</v>
      </c>
      <c r="BN43" s="35" t="str">
        <f aca="false">IFERROR(CHOOSE(MATCH(INDEX(時間ごとの判定!$AW$3:$AW$1850,950),{"利用可","両方停止","運転がそろわない","判定不能"},0),"○","停","×","－"),"")</f>
        <v>○</v>
      </c>
      <c r="BO43" s="35" t="str">
        <f aca="false">IFERROR(CHOOSE(MATCH(INDEX(時間ごとの判定!$AW$3:$AW$1850,951),{"利用可","両方停止","運転がそろわない","判定不能"},0),"○","停","×","－"),"")</f>
        <v>○</v>
      </c>
      <c r="BP43" s="35" t="str">
        <f aca="false">IFERROR(CHOOSE(MATCH(INDEX(時間ごとの判定!$AW$3:$AW$1850,952),{"利用可","両方停止","運転がそろわない","判定不能"},0),"○","停","×","－"),"")</f>
        <v>○</v>
      </c>
      <c r="BQ43" s="35" t="str">
        <f aca="false">IFERROR(CHOOSE(MATCH(INDEX(時間ごとの判定!$AW$3:$AW$1850,953),{"利用可","両方停止","運転がそろわない","判定不能"},0),"○","停","×","－"),"")</f>
        <v>○</v>
      </c>
      <c r="BR43" s="35" t="str">
        <f aca="false">IFERROR(CHOOSE(MATCH(INDEX(時間ごとの判定!$AW$3:$AW$1850,954),{"利用可","両方停止","運転がそろわない","判定不能"},0),"○","停","×","－"),"")</f>
        <v>○</v>
      </c>
      <c r="BS43" s="35" t="str">
        <f aca="false">IFERROR(CHOOSE(MATCH(INDEX(時間ごとの判定!$AW$3:$AW$1850,955),{"利用可","両方停止","運転がそろわない","判定不能"},0),"○","停","×","－"),"")</f>
        <v>×</v>
      </c>
      <c r="BT43" s="35" t="str">
        <f aca="false">IFERROR(CHOOSE(MATCH(INDEX(時間ごとの判定!$AW$3:$AW$1850,956),{"利用可","両方停止","運転がそろわない","判定不能"},0),"○","停","×","－"),"")</f>
        <v>×</v>
      </c>
      <c r="BU43" s="35" t="str">
        <f aca="false">IFERROR(CHOOSE(MATCH(INDEX(時間ごとの判定!$AW$3:$AW$1850,957),{"利用可","両方停止","運転がそろわない","判定不能"},0),"○","停","×","－"),"")</f>
        <v>×</v>
      </c>
      <c r="BV43" s="35" t="str">
        <f aca="false">IFERROR(CHOOSE(MATCH(INDEX(時間ごとの判定!$AW$3:$AW$1850,958),{"利用可","両方停止","運転がそろわない","判定不能"},0),"○","停","×","－"),"")</f>
        <v>×</v>
      </c>
      <c r="BW43" s="35" t="str">
        <f aca="false">IFERROR(CHOOSE(MATCH(INDEX(時間ごとの判定!$AW$3:$AW$1850,959),{"利用可","両方停止","運転がそろわない","判定不能"},0),"○","停","×","－"),"")</f>
        <v>×</v>
      </c>
      <c r="BX43" s="35" t="str">
        <f aca="false">IFERROR(CHOOSE(MATCH(INDEX(時間ごとの判定!$AW$3:$AW$1850,960),{"利用可","両方停止","運転がそろわない","判定不能"},0),"○","停","×","－"),"")</f>
        <v>×</v>
      </c>
    </row>
    <row r="44" customFormat="false" ht="15" hidden="false" customHeight="false" outlineLevel="0" collapsed="false">
      <c r="A44" s="33" t="n">
        <v>46272</v>
      </c>
      <c r="B44" s="34" t="s">
        <v>66</v>
      </c>
      <c r="C44" s="35" t="str">
        <f aca="false">IFERROR(CHOOSE(MATCH(INDEX(時間ごとの判定!$AQ$3:$AQ$1850,961),{"利用可","両方停止","運転がそろわない","判定不能"},0),"○","停","×","－"),"")</f>
        <v>停</v>
      </c>
      <c r="D44" s="35" t="str">
        <f aca="false">IFERROR(CHOOSE(MATCH(INDEX(時間ごとの判定!$AQ$3:$AQ$1850,962),{"利用可","両方停止","運転がそろわない","判定不能"},0),"○","停","×","－"),"")</f>
        <v>停</v>
      </c>
      <c r="E44" s="35" t="str">
        <f aca="false">IFERROR(CHOOSE(MATCH(INDEX(時間ごとの判定!$AQ$3:$AQ$1850,963),{"利用可","両方停止","運転がそろわない","判定不能"},0),"○","停","×","－"),"")</f>
        <v>停</v>
      </c>
      <c r="F44" s="35" t="str">
        <f aca="false">IFERROR(CHOOSE(MATCH(INDEX(時間ごとの判定!$AQ$3:$AQ$1850,964),{"利用可","両方停止","運転がそろわない","判定不能"},0),"○","停","×","－"),"")</f>
        <v>停</v>
      </c>
      <c r="G44" s="35" t="str">
        <f aca="false">IFERROR(CHOOSE(MATCH(INDEX(時間ごとの判定!$AQ$3:$AQ$1850,965),{"利用可","両方停止","運転がそろわない","判定不能"},0),"○","停","×","－"),"")</f>
        <v>停</v>
      </c>
      <c r="H44" s="35" t="str">
        <f aca="false">IFERROR(CHOOSE(MATCH(INDEX(時間ごとの判定!$AQ$3:$AQ$1850,966),{"利用可","両方停止","運転がそろわない","判定不能"},0),"○","停","×","－"),"")</f>
        <v>停</v>
      </c>
      <c r="I44" s="35" t="str">
        <f aca="false">IFERROR(CHOOSE(MATCH(INDEX(時間ごとの判定!$AQ$3:$AQ$1850,967),{"利用可","両方停止","運転がそろわない","判定不能"},0),"○","停","×","－"),"")</f>
        <v>停</v>
      </c>
      <c r="J44" s="35" t="str">
        <f aca="false">IFERROR(CHOOSE(MATCH(INDEX(時間ごとの判定!$AQ$3:$AQ$1850,968),{"利用可","両方停止","運転がそろわない","判定不能"},0),"○","停","×","－"),"")</f>
        <v>停</v>
      </c>
      <c r="K44" s="35" t="str">
        <f aca="false">IFERROR(CHOOSE(MATCH(INDEX(時間ごとの判定!$AQ$3:$AQ$1850,969),{"利用可","両方停止","運転がそろわない","判定不能"},0),"○","停","×","－"),"")</f>
        <v>×</v>
      </c>
      <c r="L44" s="35" t="str">
        <f aca="false">IFERROR(CHOOSE(MATCH(INDEX(時間ごとの判定!$AQ$3:$AQ$1850,970),{"利用可","両方停止","運転がそろわない","判定不能"},0),"○","停","×","－"),"")</f>
        <v>×</v>
      </c>
      <c r="M44" s="35" t="str">
        <f aca="false">IFERROR(CHOOSE(MATCH(INDEX(時間ごとの判定!$AQ$3:$AQ$1850,971),{"利用可","両方停止","運転がそろわない","判定不能"},0),"○","停","×","－"),"")</f>
        <v>○</v>
      </c>
      <c r="N44" s="35" t="str">
        <f aca="false">IFERROR(CHOOSE(MATCH(INDEX(時間ごとの判定!$AQ$3:$AQ$1850,972),{"利用可","両方停止","運転がそろわない","判定不能"},0),"○","停","×","－"),"")</f>
        <v>○</v>
      </c>
      <c r="O44" s="35" t="str">
        <f aca="false">IFERROR(CHOOSE(MATCH(INDEX(時間ごとの判定!$AQ$3:$AQ$1850,973),{"利用可","両方停止","運転がそろわない","判定不能"},0),"○","停","×","－"),"")</f>
        <v>×</v>
      </c>
      <c r="P44" s="35" t="str">
        <f aca="false">IFERROR(CHOOSE(MATCH(INDEX(時間ごとの判定!$AQ$3:$AQ$1850,974),{"利用可","両方停止","運転がそろわない","判定不能"},0),"○","停","×","－"),"")</f>
        <v>×</v>
      </c>
      <c r="Q44" s="35" t="str">
        <f aca="false">IFERROR(CHOOSE(MATCH(INDEX(時間ごとの判定!$AQ$3:$AQ$1850,975),{"利用可","両方停止","運転がそろわない","判定不能"},0),"○","停","×","－"),"")</f>
        <v>×</v>
      </c>
      <c r="R44" s="35" t="str">
        <f aca="false">IFERROR(CHOOSE(MATCH(INDEX(時間ごとの判定!$AQ$3:$AQ$1850,976),{"利用可","両方停止","運転がそろわない","判定不能"},0),"○","停","×","－"),"")</f>
        <v>×</v>
      </c>
      <c r="S44" s="35" t="str">
        <f aca="false">IFERROR(CHOOSE(MATCH(INDEX(時間ごとの判定!$AQ$3:$AQ$1850,977),{"利用可","両方停止","運転がそろわない","判定不能"},0),"○","停","×","－"),"")</f>
        <v>－</v>
      </c>
      <c r="T44" s="35" t="str">
        <f aca="false">IFERROR(CHOOSE(MATCH(INDEX(時間ごとの判定!$AQ$3:$AQ$1850,978),{"利用可","両方停止","運転がそろわない","判定不能"},0),"○","停","×","－"),"")</f>
        <v>－</v>
      </c>
      <c r="U44" s="35" t="str">
        <f aca="false">IFERROR(CHOOSE(MATCH(INDEX(時間ごとの判定!$AQ$3:$AQ$1850,979),{"利用可","両方停止","運転がそろわない","判定不能"},0),"○","停","×","－"),"")</f>
        <v>×</v>
      </c>
      <c r="V44" s="35" t="str">
        <f aca="false">IFERROR(CHOOSE(MATCH(INDEX(時間ごとの判定!$AQ$3:$AQ$1850,980),{"利用可","両方停止","運転がそろわない","判定不能"},0),"○","停","×","－"),"")</f>
        <v>×</v>
      </c>
      <c r="W44" s="35" t="str">
        <f aca="false">IFERROR(CHOOSE(MATCH(INDEX(時間ごとの判定!$AQ$3:$AQ$1850,981),{"利用可","両方停止","運転がそろわない","判定不能"},0),"○","停","×","－"),"")</f>
        <v>×</v>
      </c>
      <c r="X44" s="35" t="str">
        <f aca="false">IFERROR(CHOOSE(MATCH(INDEX(時間ごとの判定!$AQ$3:$AQ$1850,982),{"利用可","両方停止","運転がそろわない","判定不能"},0),"○","停","×","－"),"")</f>
        <v>×</v>
      </c>
      <c r="Y44" s="35" t="str">
        <f aca="false">IFERROR(CHOOSE(MATCH(INDEX(時間ごとの判定!$AQ$3:$AQ$1850,983),{"利用可","両方停止","運転がそろわない","判定不能"},0),"○","停","×","－"),"")</f>
        <v>×</v>
      </c>
      <c r="Z44" s="35" t="str">
        <f aca="false">IFERROR(CHOOSE(MATCH(INDEX(時間ごとの判定!$AQ$3:$AQ$1850,984),{"利用可","両方停止","運転がそろわない","判定不能"},0),"○","停","×","－"),"")</f>
        <v>停</v>
      </c>
      <c r="AA44" s="35"/>
      <c r="AB44" s="35" t="str">
        <f aca="false">IFERROR(CHOOSE(MATCH(INDEX(時間ごとの判定!$AT$3:$AT$1850,961),{"利用可","両方停止","運転がそろわない","判定不能"},0),"○","停","×","－"),"")</f>
        <v>停</v>
      </c>
      <c r="AC44" s="35" t="str">
        <f aca="false">IFERROR(CHOOSE(MATCH(INDEX(時間ごとの判定!$AT$3:$AT$1850,962),{"利用可","両方停止","運転がそろわない","判定不能"},0),"○","停","×","－"),"")</f>
        <v>停</v>
      </c>
      <c r="AD44" s="35" t="str">
        <f aca="false">IFERROR(CHOOSE(MATCH(INDEX(時間ごとの判定!$AT$3:$AT$1850,963),{"利用可","両方停止","運転がそろわない","判定不能"},0),"○","停","×","－"),"")</f>
        <v>停</v>
      </c>
      <c r="AE44" s="35" t="str">
        <f aca="false">IFERROR(CHOOSE(MATCH(INDEX(時間ごとの判定!$AT$3:$AT$1850,964),{"利用可","両方停止","運転がそろわない","判定不能"},0),"○","停","×","－"),"")</f>
        <v>停</v>
      </c>
      <c r="AF44" s="35" t="str">
        <f aca="false">IFERROR(CHOOSE(MATCH(INDEX(時間ごとの判定!$AT$3:$AT$1850,965),{"利用可","両方停止","運転がそろわない","判定不能"},0),"○","停","×","－"),"")</f>
        <v>停</v>
      </c>
      <c r="AG44" s="35" t="str">
        <f aca="false">IFERROR(CHOOSE(MATCH(INDEX(時間ごとの判定!$AT$3:$AT$1850,966),{"利用可","両方停止","運転がそろわない","判定不能"},0),"○","停","×","－"),"")</f>
        <v>停</v>
      </c>
      <c r="AH44" s="35" t="str">
        <f aca="false">IFERROR(CHOOSE(MATCH(INDEX(時間ごとの判定!$AT$3:$AT$1850,967),{"利用可","両方停止","運転がそろわない","判定不能"},0),"○","停","×","－"),"")</f>
        <v>停</v>
      </c>
      <c r="AI44" s="35" t="str">
        <f aca="false">IFERROR(CHOOSE(MATCH(INDEX(時間ごとの判定!$AT$3:$AT$1850,968),{"利用可","両方停止","運転がそろわない","判定不能"},0),"○","停","×","－"),"")</f>
        <v>停</v>
      </c>
      <c r="AJ44" s="35" t="str">
        <f aca="false">IFERROR(CHOOSE(MATCH(INDEX(時間ごとの判定!$AT$3:$AT$1850,969),{"利用可","両方停止","運転がそろわない","判定不能"},0),"○","停","×","－"),"")</f>
        <v>－</v>
      </c>
      <c r="AK44" s="35" t="str">
        <f aca="false">IFERROR(CHOOSE(MATCH(INDEX(時間ごとの判定!$AT$3:$AT$1850,970),{"利用可","両方停止","運転がそろわない","判定不能"},0),"○","停","×","－"),"")</f>
        <v>－</v>
      </c>
      <c r="AL44" s="35" t="str">
        <f aca="false">IFERROR(CHOOSE(MATCH(INDEX(時間ごとの判定!$AT$3:$AT$1850,971),{"利用可","両方停止","運転がそろわない","判定不能"},0),"○","停","×","－"),"")</f>
        <v>－</v>
      </c>
      <c r="AM44" s="35" t="str">
        <f aca="false">IFERROR(CHOOSE(MATCH(INDEX(時間ごとの判定!$AT$3:$AT$1850,972),{"利用可","両方停止","運転がそろわない","判定不能"},0),"○","停","×","－"),"")</f>
        <v>－</v>
      </c>
      <c r="AN44" s="35" t="str">
        <f aca="false">IFERROR(CHOOSE(MATCH(INDEX(時間ごとの判定!$AT$3:$AT$1850,973),{"利用可","両方停止","運転がそろわない","判定不能"},0),"○","停","×","－"),"")</f>
        <v>－</v>
      </c>
      <c r="AO44" s="35" t="str">
        <f aca="false">IFERROR(CHOOSE(MATCH(INDEX(時間ごとの判定!$AT$3:$AT$1850,974),{"利用可","両方停止","運転がそろわない","判定不能"},0),"○","停","×","－"),"")</f>
        <v>－</v>
      </c>
      <c r="AP44" s="35" t="str">
        <f aca="false">IFERROR(CHOOSE(MATCH(INDEX(時間ごとの判定!$AT$3:$AT$1850,975),{"利用可","両方停止","運転がそろわない","判定不能"},0),"○","停","×","－"),"")</f>
        <v>－</v>
      </c>
      <c r="AQ44" s="35" t="str">
        <f aca="false">IFERROR(CHOOSE(MATCH(INDEX(時間ごとの判定!$AT$3:$AT$1850,976),{"利用可","両方停止","運転がそろわない","判定不能"},0),"○","停","×","－"),"")</f>
        <v>－</v>
      </c>
      <c r="AR44" s="35" t="str">
        <f aca="false">IFERROR(CHOOSE(MATCH(INDEX(時間ごとの判定!$AT$3:$AT$1850,977),{"利用可","両方停止","運転がそろわない","判定不能"},0),"○","停","×","－"),"")</f>
        <v>－</v>
      </c>
      <c r="AS44" s="35" t="str">
        <f aca="false">IFERROR(CHOOSE(MATCH(INDEX(時間ごとの判定!$AT$3:$AT$1850,978),{"利用可","両方停止","運転がそろわない","判定不能"},0),"○","停","×","－"),"")</f>
        <v>－</v>
      </c>
      <c r="AT44" s="35" t="str">
        <f aca="false">IFERROR(CHOOSE(MATCH(INDEX(時間ごとの判定!$AT$3:$AT$1850,979),{"利用可","両方停止","運転がそろわない","判定不能"},0),"○","停","×","－"),"")</f>
        <v>－</v>
      </c>
      <c r="AU44" s="35" t="str">
        <f aca="false">IFERROR(CHOOSE(MATCH(INDEX(時間ごとの判定!$AT$3:$AT$1850,980),{"利用可","両方停止","運転がそろわない","判定不能"},0),"○","停","×","－"),"")</f>
        <v>－</v>
      </c>
      <c r="AV44" s="35" t="str">
        <f aca="false">IFERROR(CHOOSE(MATCH(INDEX(時間ごとの判定!$AT$3:$AT$1850,981),{"利用可","両方停止","運転がそろわない","判定不能"},0),"○","停","×","－"),"")</f>
        <v>－</v>
      </c>
      <c r="AW44" s="35" t="str">
        <f aca="false">IFERROR(CHOOSE(MATCH(INDEX(時間ごとの判定!$AT$3:$AT$1850,982),{"利用可","両方停止","運転がそろわない","判定不能"},0),"○","停","×","－"),"")</f>
        <v>－</v>
      </c>
      <c r="AX44" s="35" t="str">
        <f aca="false">IFERROR(CHOOSE(MATCH(INDEX(時間ごとの判定!$AT$3:$AT$1850,983),{"利用可","両方停止","運転がそろわない","判定不能"},0),"○","停","×","－"),"")</f>
        <v>－</v>
      </c>
      <c r="AY44" s="35" t="str">
        <f aca="false">IFERROR(CHOOSE(MATCH(INDEX(時間ごとの判定!$AT$3:$AT$1850,984),{"利用可","両方停止","運転がそろわない","判定不能"},0),"○","停","×","－"),"")</f>
        <v>－</v>
      </c>
      <c r="AZ44" s="35"/>
      <c r="BA44" s="35" t="str">
        <f aca="false">IFERROR(CHOOSE(MATCH(INDEX(時間ごとの判定!$AW$3:$AW$1850,961),{"利用可","両方停止","運転がそろわない","判定不能"},0),"○","停","×","－"),"")</f>
        <v>×</v>
      </c>
      <c r="BB44" s="35" t="str">
        <f aca="false">IFERROR(CHOOSE(MATCH(INDEX(時間ごとの判定!$AW$3:$AW$1850,962),{"利用可","両方停止","運転がそろわない","判定不能"},0),"○","停","×","－"),"")</f>
        <v>×</v>
      </c>
      <c r="BC44" s="35" t="str">
        <f aca="false">IFERROR(CHOOSE(MATCH(INDEX(時間ごとの判定!$AW$3:$AW$1850,963),{"利用可","両方停止","運転がそろわない","判定不能"},0),"○","停","×","－"),"")</f>
        <v>×</v>
      </c>
      <c r="BD44" s="35" t="str">
        <f aca="false">IFERROR(CHOOSE(MATCH(INDEX(時間ごとの判定!$AW$3:$AW$1850,964),{"利用可","両方停止","運転がそろわない","判定不能"},0),"○","停","×","－"),"")</f>
        <v>×</v>
      </c>
      <c r="BE44" s="35" t="str">
        <f aca="false">IFERROR(CHOOSE(MATCH(INDEX(時間ごとの判定!$AW$3:$AW$1850,965),{"利用可","両方停止","運転がそろわない","判定不能"},0),"○","停","×","－"),"")</f>
        <v>×</v>
      </c>
      <c r="BF44" s="35" t="str">
        <f aca="false">IFERROR(CHOOSE(MATCH(INDEX(時間ごとの判定!$AW$3:$AW$1850,966),{"利用可","両方停止","運転がそろわない","判定不能"},0),"○","停","×","－"),"")</f>
        <v>×</v>
      </c>
      <c r="BG44" s="35" t="str">
        <f aca="false">IFERROR(CHOOSE(MATCH(INDEX(時間ごとの判定!$AW$3:$AW$1850,967),{"利用可","両方停止","運転がそろわない","判定不能"},0),"○","停","×","－"),"")</f>
        <v>×</v>
      </c>
      <c r="BH44" s="35" t="str">
        <f aca="false">IFERROR(CHOOSE(MATCH(INDEX(時間ごとの判定!$AW$3:$AW$1850,968),{"利用可","両方停止","運転がそろわない","判定不能"},0),"○","停","×","－"),"")</f>
        <v>○</v>
      </c>
      <c r="BI44" s="35" t="str">
        <f aca="false">IFERROR(CHOOSE(MATCH(INDEX(時間ごとの判定!$AW$3:$AW$1850,969),{"利用可","両方停止","運転がそろわない","判定不能"},0),"○","停","×","－"),"")</f>
        <v>○</v>
      </c>
      <c r="BJ44" s="35" t="str">
        <f aca="false">IFERROR(CHOOSE(MATCH(INDEX(時間ごとの判定!$AW$3:$AW$1850,970),{"利用可","両方停止","運転がそろわない","判定不能"},0),"○","停","×","－"),"")</f>
        <v>○</v>
      </c>
      <c r="BK44" s="35" t="str">
        <f aca="false">IFERROR(CHOOSE(MATCH(INDEX(時間ごとの判定!$AW$3:$AW$1850,971),{"利用可","両方停止","運転がそろわない","判定不能"},0),"○","停","×","－"),"")</f>
        <v>○</v>
      </c>
      <c r="BL44" s="35" t="str">
        <f aca="false">IFERROR(CHOOSE(MATCH(INDEX(時間ごとの判定!$AW$3:$AW$1850,972),{"利用可","両方停止","運転がそろわない","判定不能"},0),"○","停","×","－"),"")</f>
        <v>○</v>
      </c>
      <c r="BM44" s="35" t="str">
        <f aca="false">IFERROR(CHOOSE(MATCH(INDEX(時間ごとの判定!$AW$3:$AW$1850,973),{"利用可","両方停止","運転がそろわない","判定不能"},0),"○","停","×","－"),"")</f>
        <v>○</v>
      </c>
      <c r="BN44" s="35" t="str">
        <f aca="false">IFERROR(CHOOSE(MATCH(INDEX(時間ごとの判定!$AW$3:$AW$1850,974),{"利用可","両方停止","運転がそろわない","判定不能"},0),"○","停","×","－"),"")</f>
        <v>○</v>
      </c>
      <c r="BO44" s="35" t="str">
        <f aca="false">IFERROR(CHOOSE(MATCH(INDEX(時間ごとの判定!$AW$3:$AW$1850,975),{"利用可","両方停止","運転がそろわない","判定不能"},0),"○","停","×","－"),"")</f>
        <v>○</v>
      </c>
      <c r="BP44" s="35" t="str">
        <f aca="false">IFERROR(CHOOSE(MATCH(INDEX(時間ごとの判定!$AW$3:$AW$1850,976),{"利用可","両方停止","運転がそろわない","判定不能"},0),"○","停","×","－"),"")</f>
        <v>○</v>
      </c>
      <c r="BQ44" s="35" t="str">
        <f aca="false">IFERROR(CHOOSE(MATCH(INDEX(時間ごとの判定!$AW$3:$AW$1850,977),{"利用可","両方停止","運転がそろわない","判定不能"},0),"○","停","×","－"),"")</f>
        <v>－</v>
      </c>
      <c r="BR44" s="35" t="str">
        <f aca="false">IFERROR(CHOOSE(MATCH(INDEX(時間ごとの判定!$AW$3:$AW$1850,978),{"利用可","両方停止","運転がそろわない","判定不能"},0),"○","停","×","－"),"")</f>
        <v>－</v>
      </c>
      <c r="BS44" s="35" t="str">
        <f aca="false">IFERROR(CHOOSE(MATCH(INDEX(時間ごとの判定!$AW$3:$AW$1850,979),{"利用可","両方停止","運転がそろわない","判定不能"},0),"○","停","×","－"),"")</f>
        <v>○</v>
      </c>
      <c r="BT44" s="35" t="str">
        <f aca="false">IFERROR(CHOOSE(MATCH(INDEX(時間ごとの判定!$AW$3:$AW$1850,980),{"利用可","両方停止","運転がそろわない","判定不能"},0),"○","停","×","－"),"")</f>
        <v>×</v>
      </c>
      <c r="BU44" s="35" t="str">
        <f aca="false">IFERROR(CHOOSE(MATCH(INDEX(時間ごとの判定!$AW$3:$AW$1850,981),{"利用可","両方停止","運転がそろわない","判定不能"},0),"○","停","×","－"),"")</f>
        <v>×</v>
      </c>
      <c r="BV44" s="35" t="str">
        <f aca="false">IFERROR(CHOOSE(MATCH(INDEX(時間ごとの判定!$AW$3:$AW$1850,982),{"利用可","両方停止","運転がそろわない","判定不能"},0),"○","停","×","－"),"")</f>
        <v>×</v>
      </c>
      <c r="BW44" s="35" t="str">
        <f aca="false">IFERROR(CHOOSE(MATCH(INDEX(時間ごとの判定!$AW$3:$AW$1850,983),{"利用可","両方停止","運転がそろわない","判定不能"},0),"○","停","×","－"),"")</f>
        <v>停</v>
      </c>
      <c r="BX44" s="35" t="str">
        <f aca="false">IFERROR(CHOOSE(MATCH(INDEX(時間ごとの判定!$AW$3:$AW$1850,984),{"利用可","両方停止","運転がそろわない","判定不能"},0),"○","停","×","－"),"")</f>
        <v>停</v>
      </c>
    </row>
    <row r="45" customFormat="false" ht="15" hidden="false" customHeight="false" outlineLevel="0" collapsed="false">
      <c r="A45" s="33" t="n">
        <v>46273</v>
      </c>
      <c r="B45" s="34" t="s">
        <v>67</v>
      </c>
      <c r="C45" s="35" t="str">
        <f aca="false">IFERROR(CHOOSE(MATCH(INDEX(時間ごとの判定!$AQ$3:$AQ$1850,985),{"利用可","両方停止","運転がそろわない","判定不能"},0),"○","停","×","－"),"")</f>
        <v>停</v>
      </c>
      <c r="D45" s="35" t="str">
        <f aca="false">IFERROR(CHOOSE(MATCH(INDEX(時間ごとの判定!$AQ$3:$AQ$1850,986),{"利用可","両方停止","運転がそろわない","判定不能"},0),"○","停","×","－"),"")</f>
        <v>停</v>
      </c>
      <c r="E45" s="35" t="str">
        <f aca="false">IFERROR(CHOOSE(MATCH(INDEX(時間ごとの判定!$AQ$3:$AQ$1850,987),{"利用可","両方停止","運転がそろわない","判定不能"},0),"○","停","×","－"),"")</f>
        <v>停</v>
      </c>
      <c r="F45" s="35" t="str">
        <f aca="false">IFERROR(CHOOSE(MATCH(INDEX(時間ごとの判定!$AQ$3:$AQ$1850,988),{"利用可","両方停止","運転がそろわない","判定不能"},0),"○","停","×","－"),"")</f>
        <v>停</v>
      </c>
      <c r="G45" s="35" t="str">
        <f aca="false">IFERROR(CHOOSE(MATCH(INDEX(時間ごとの判定!$AQ$3:$AQ$1850,989),{"利用可","両方停止","運転がそろわない","判定不能"},0),"○","停","×","－"),"")</f>
        <v>停</v>
      </c>
      <c r="H45" s="35" t="str">
        <f aca="false">IFERROR(CHOOSE(MATCH(INDEX(時間ごとの判定!$AQ$3:$AQ$1850,990),{"利用可","両方停止","運転がそろわない","判定不能"},0),"○","停","×","－"),"")</f>
        <v>×</v>
      </c>
      <c r="I45" s="35" t="str">
        <f aca="false">IFERROR(CHOOSE(MATCH(INDEX(時間ごとの判定!$AQ$3:$AQ$1850,991),{"利用可","両方停止","運転がそろわない","判定不能"},0),"○","停","×","－"),"")</f>
        <v>×</v>
      </c>
      <c r="J45" s="35" t="str">
        <f aca="false">IFERROR(CHOOSE(MATCH(INDEX(時間ごとの判定!$AQ$3:$AQ$1850,992),{"利用可","両方停止","運転がそろわない","判定不能"},0),"○","停","×","－"),"")</f>
        <v>×</v>
      </c>
      <c r="K45" s="35" t="str">
        <f aca="false">IFERROR(CHOOSE(MATCH(INDEX(時間ごとの判定!$AQ$3:$AQ$1850,993),{"利用可","両方停止","運転がそろわない","判定不能"},0),"○","停","×","－"),"")</f>
        <v>○</v>
      </c>
      <c r="L45" s="35" t="str">
        <f aca="false">IFERROR(CHOOSE(MATCH(INDEX(時間ごとの判定!$AQ$3:$AQ$1850,994),{"利用可","両方停止","運転がそろわない","判定不能"},0),"○","停","×","－"),"")</f>
        <v>×</v>
      </c>
      <c r="M45" s="35" t="str">
        <f aca="false">IFERROR(CHOOSE(MATCH(INDEX(時間ごとの判定!$AQ$3:$AQ$1850,995),{"利用可","両方停止","運転がそろわない","判定不能"},0),"○","停","×","－"),"")</f>
        <v>○</v>
      </c>
      <c r="N45" s="35" t="str">
        <f aca="false">IFERROR(CHOOSE(MATCH(INDEX(時間ごとの判定!$AQ$3:$AQ$1850,996),{"利用可","両方停止","運転がそろわない","判定不能"},0),"○","停","×","－"),"")</f>
        <v>○</v>
      </c>
      <c r="O45" s="35" t="str">
        <f aca="false">IFERROR(CHOOSE(MATCH(INDEX(時間ごとの判定!$AQ$3:$AQ$1850,997),{"利用可","両方停止","運転がそろわない","判定不能"},0),"○","停","×","－"),"")</f>
        <v>○</v>
      </c>
      <c r="P45" s="35" t="str">
        <f aca="false">IFERROR(CHOOSE(MATCH(INDEX(時間ごとの判定!$AQ$3:$AQ$1850,998),{"利用可","両方停止","運転がそろわない","判定不能"},0),"○","停","×","－"),"")</f>
        <v>○</v>
      </c>
      <c r="Q45" s="35" t="str">
        <f aca="false">IFERROR(CHOOSE(MATCH(INDEX(時間ごとの判定!$AQ$3:$AQ$1850,999),{"利用可","両方停止","運転がそろわない","判定不能"},0),"○","停","×","－"),"")</f>
        <v>○</v>
      </c>
      <c r="R45" s="35" t="str">
        <f aca="false">IFERROR(CHOOSE(MATCH(INDEX(時間ごとの判定!$AQ$3:$AQ$1850,1000),{"利用可","両方停止","運転がそろわない","判定不能"},0),"○","停","×","－"),"")</f>
        <v>○</v>
      </c>
      <c r="S45" s="35" t="str">
        <f aca="false">IFERROR(CHOOSE(MATCH(INDEX(時間ごとの判定!$AQ$3:$AQ$1850,1001),{"利用可","両方停止","運転がそろわない","判定不能"},0),"○","停","×","－"),"")</f>
        <v>○</v>
      </c>
      <c r="T45" s="35" t="str">
        <f aca="false">IFERROR(CHOOSE(MATCH(INDEX(時間ごとの判定!$AQ$3:$AQ$1850,1002),{"利用可","両方停止","運転がそろわない","判定不能"},0),"○","停","×","－"),"")</f>
        <v>○</v>
      </c>
      <c r="U45" s="35" t="str">
        <f aca="false">IFERROR(CHOOSE(MATCH(INDEX(時間ごとの判定!$AQ$3:$AQ$1850,1003),{"利用可","両方停止","運転がそろわない","判定不能"},0),"○","停","×","－"),"")</f>
        <v>○</v>
      </c>
      <c r="V45" s="35" t="str">
        <f aca="false">IFERROR(CHOOSE(MATCH(INDEX(時間ごとの判定!$AQ$3:$AQ$1850,1004),{"利用可","両方停止","運転がそろわない","判定不能"},0),"○","停","×","－"),"")</f>
        <v>×</v>
      </c>
      <c r="W45" s="35" t="str">
        <f aca="false">IFERROR(CHOOSE(MATCH(INDEX(時間ごとの判定!$AQ$3:$AQ$1850,1005),{"利用可","両方停止","運転がそろわない","判定不能"},0),"○","停","×","－"),"")</f>
        <v>×</v>
      </c>
      <c r="X45" s="35" t="str">
        <f aca="false">IFERROR(CHOOSE(MATCH(INDEX(時間ごとの判定!$AQ$3:$AQ$1850,1006),{"利用可","両方停止","運転がそろわない","判定不能"},0),"○","停","×","－"),"")</f>
        <v>停</v>
      </c>
      <c r="Y45" s="35" t="str">
        <f aca="false">IFERROR(CHOOSE(MATCH(INDEX(時間ごとの判定!$AQ$3:$AQ$1850,1007),{"利用可","両方停止","運転がそろわない","判定不能"},0),"○","停","×","－"),"")</f>
        <v>×</v>
      </c>
      <c r="Z45" s="35" t="str">
        <f aca="false">IFERROR(CHOOSE(MATCH(INDEX(時間ごとの判定!$AQ$3:$AQ$1850,1008),{"利用可","両方停止","運転がそろわない","判定不能"},0),"○","停","×","－"),"")</f>
        <v>停</v>
      </c>
      <c r="AA45" s="35"/>
      <c r="AB45" s="35" t="str">
        <f aca="false">IFERROR(CHOOSE(MATCH(INDEX(時間ごとの判定!$AT$3:$AT$1850,985),{"利用可","両方停止","運転がそろわない","判定不能"},0),"○","停","×","－"),"")</f>
        <v>－</v>
      </c>
      <c r="AC45" s="35" t="str">
        <f aca="false">IFERROR(CHOOSE(MATCH(INDEX(時間ごとの判定!$AT$3:$AT$1850,986),{"利用可","両方停止","運転がそろわない","判定不能"},0),"○","停","×","－"),"")</f>
        <v>停</v>
      </c>
      <c r="AD45" s="35" t="str">
        <f aca="false">IFERROR(CHOOSE(MATCH(INDEX(時間ごとの判定!$AT$3:$AT$1850,987),{"利用可","両方停止","運転がそろわない","判定不能"},0),"○","停","×","－"),"")</f>
        <v>停</v>
      </c>
      <c r="AE45" s="35" t="str">
        <f aca="false">IFERROR(CHOOSE(MATCH(INDEX(時間ごとの判定!$AT$3:$AT$1850,988),{"利用可","両方停止","運転がそろわない","判定不能"},0),"○","停","×","－"),"")</f>
        <v>停</v>
      </c>
      <c r="AF45" s="35" t="str">
        <f aca="false">IFERROR(CHOOSE(MATCH(INDEX(時間ごとの判定!$AT$3:$AT$1850,989),{"利用可","両方停止","運転がそろわない","判定不能"},0),"○","停","×","－"),"")</f>
        <v>停</v>
      </c>
      <c r="AG45" s="35" t="str">
        <f aca="false">IFERROR(CHOOSE(MATCH(INDEX(時間ごとの判定!$AT$3:$AT$1850,990),{"利用可","両方停止","運転がそろわない","判定不能"},0),"○","停","×","－"),"")</f>
        <v>停</v>
      </c>
      <c r="AH45" s="35" t="str">
        <f aca="false">IFERROR(CHOOSE(MATCH(INDEX(時間ごとの判定!$AT$3:$AT$1850,991),{"利用可","両方停止","運転がそろわない","判定不能"},0),"○","停","×","－"),"")</f>
        <v>停</v>
      </c>
      <c r="AI45" s="35" t="str">
        <f aca="false">IFERROR(CHOOSE(MATCH(INDEX(時間ごとの判定!$AT$3:$AT$1850,992),{"利用可","両方停止","運転がそろわない","判定不能"},0),"○","停","×","－"),"")</f>
        <v>×</v>
      </c>
      <c r="AJ45" s="35" t="str">
        <f aca="false">IFERROR(CHOOSE(MATCH(INDEX(時間ごとの判定!$AT$3:$AT$1850,993),{"利用可","両方停止","運転がそろわない","判定不能"},0),"○","停","×","－"),"")</f>
        <v>×</v>
      </c>
      <c r="AK45" s="35" t="str">
        <f aca="false">IFERROR(CHOOSE(MATCH(INDEX(時間ごとの判定!$AT$3:$AT$1850,994),{"利用可","両方停止","運転がそろわない","判定不能"},0),"○","停","×","－"),"")</f>
        <v>○</v>
      </c>
      <c r="AL45" s="35" t="str">
        <f aca="false">IFERROR(CHOOSE(MATCH(INDEX(時間ごとの判定!$AT$3:$AT$1850,995),{"利用可","両方停止","運転がそろわない","判定不能"},0),"○","停","×","－"),"")</f>
        <v>○</v>
      </c>
      <c r="AM45" s="35" t="str">
        <f aca="false">IFERROR(CHOOSE(MATCH(INDEX(時間ごとの判定!$AT$3:$AT$1850,996),{"利用可","両方停止","運転がそろわない","判定不能"},0),"○","停","×","－"),"")</f>
        <v>○</v>
      </c>
      <c r="AN45" s="35" t="str">
        <f aca="false">IFERROR(CHOOSE(MATCH(INDEX(時間ごとの判定!$AT$3:$AT$1850,997),{"利用可","両方停止","運転がそろわない","判定不能"},0),"○","停","×","－"),"")</f>
        <v>○</v>
      </c>
      <c r="AO45" s="35" t="str">
        <f aca="false">IFERROR(CHOOSE(MATCH(INDEX(時間ごとの判定!$AT$3:$AT$1850,998),{"利用可","両方停止","運転がそろわない","判定不能"},0),"○","停","×","－"),"")</f>
        <v>○</v>
      </c>
      <c r="AP45" s="35" t="str">
        <f aca="false">IFERROR(CHOOSE(MATCH(INDEX(時間ごとの判定!$AT$3:$AT$1850,999),{"利用可","両方停止","運転がそろわない","判定不能"},0),"○","停","×","－"),"")</f>
        <v>○</v>
      </c>
      <c r="AQ45" s="35" t="str">
        <f aca="false">IFERROR(CHOOSE(MATCH(INDEX(時間ごとの判定!$AT$3:$AT$1850,1000),{"利用可","両方停止","運転がそろわない","判定不能"},0),"○","停","×","－"),"")</f>
        <v>○</v>
      </c>
      <c r="AR45" s="35" t="str">
        <f aca="false">IFERROR(CHOOSE(MATCH(INDEX(時間ごとの判定!$AT$3:$AT$1850,1001),{"利用可","両方停止","運転がそろわない","判定不能"},0),"○","停","×","－"),"")</f>
        <v>○</v>
      </c>
      <c r="AS45" s="35" t="str">
        <f aca="false">IFERROR(CHOOSE(MATCH(INDEX(時間ごとの判定!$AT$3:$AT$1850,1002),{"利用可","両方停止","運転がそろわない","判定不能"},0),"○","停","×","－"),"")</f>
        <v>×</v>
      </c>
      <c r="AT45" s="35" t="str">
        <f aca="false">IFERROR(CHOOSE(MATCH(INDEX(時間ごとの判定!$AT$3:$AT$1850,1003),{"利用可","両方停止","運転がそろわない","判定不能"},0),"○","停","×","－"),"")</f>
        <v>○</v>
      </c>
      <c r="AU45" s="35" t="str">
        <f aca="false">IFERROR(CHOOSE(MATCH(INDEX(時間ごとの判定!$AT$3:$AT$1850,1004),{"利用可","両方停止","運転がそろわない","判定不能"},0),"○","停","×","－"),"")</f>
        <v>×</v>
      </c>
      <c r="AV45" s="35" t="str">
        <f aca="false">IFERROR(CHOOSE(MATCH(INDEX(時間ごとの判定!$AT$3:$AT$1850,1005),{"利用可","両方停止","運転がそろわない","判定不能"},0),"○","停","×","－"),"")</f>
        <v>×</v>
      </c>
      <c r="AW45" s="35" t="str">
        <f aca="false">IFERROR(CHOOSE(MATCH(INDEX(時間ごとの判定!$AT$3:$AT$1850,1006),{"利用可","両方停止","運転がそろわない","判定不能"},0),"○","停","×","－"),"")</f>
        <v>×</v>
      </c>
      <c r="AX45" s="35" t="str">
        <f aca="false">IFERROR(CHOOSE(MATCH(INDEX(時間ごとの判定!$AT$3:$AT$1850,1007),{"利用可","両方停止","運転がそろわない","判定不能"},0),"○","停","×","－"),"")</f>
        <v>×</v>
      </c>
      <c r="AY45" s="35" t="str">
        <f aca="false">IFERROR(CHOOSE(MATCH(INDEX(時間ごとの判定!$AT$3:$AT$1850,1008),{"利用可","両方停止","運転がそろわない","判定不能"},0),"○","停","×","－"),"")</f>
        <v>停</v>
      </c>
      <c r="AZ45" s="35"/>
      <c r="BA45" s="35" t="str">
        <f aca="false">IFERROR(CHOOSE(MATCH(INDEX(時間ごとの判定!$AW$3:$AW$1850,985),{"利用可","両方停止","運転がそろわない","判定不能"},0),"○","停","×","－"),"")</f>
        <v>停</v>
      </c>
      <c r="BB45" s="35" t="str">
        <f aca="false">IFERROR(CHOOSE(MATCH(INDEX(時間ごとの判定!$AW$3:$AW$1850,986),{"利用可","両方停止","運転がそろわない","判定不能"},0),"○","停","×","－"),"")</f>
        <v>停</v>
      </c>
      <c r="BC45" s="35" t="str">
        <f aca="false">IFERROR(CHOOSE(MATCH(INDEX(時間ごとの判定!$AW$3:$AW$1850,987),{"利用可","両方停止","運転がそろわない","判定不能"},0),"○","停","×","－"),"")</f>
        <v>停</v>
      </c>
      <c r="BD45" s="35" t="str">
        <f aca="false">IFERROR(CHOOSE(MATCH(INDEX(時間ごとの判定!$AW$3:$AW$1850,988),{"利用可","両方停止","運転がそろわない","判定不能"},0),"○","停","×","－"),"")</f>
        <v>停</v>
      </c>
      <c r="BE45" s="35" t="str">
        <f aca="false">IFERROR(CHOOSE(MATCH(INDEX(時間ごとの判定!$AW$3:$AW$1850,989),{"利用可","両方停止","運転がそろわない","判定不能"},0),"○","停","×","－"),"")</f>
        <v>停</v>
      </c>
      <c r="BF45" s="35" t="str">
        <f aca="false">IFERROR(CHOOSE(MATCH(INDEX(時間ごとの判定!$AW$3:$AW$1850,990),{"利用可","両方停止","運転がそろわない","判定不能"},0),"○","停","×","－"),"")</f>
        <v>停</v>
      </c>
      <c r="BG45" s="35" t="str">
        <f aca="false">IFERROR(CHOOSE(MATCH(INDEX(時間ごとの判定!$AW$3:$AW$1850,991),{"利用可","両方停止","運転がそろわない","判定不能"},0),"○","停","×","－"),"")</f>
        <v>×</v>
      </c>
      <c r="BH45" s="35" t="str">
        <f aca="false">IFERROR(CHOOSE(MATCH(INDEX(時間ごとの判定!$AW$3:$AW$1850,992),{"利用可","両方停止","運転がそろわない","判定不能"},0),"○","停","×","－"),"")</f>
        <v>×</v>
      </c>
      <c r="BI45" s="35" t="str">
        <f aca="false">IFERROR(CHOOSE(MATCH(INDEX(時間ごとの判定!$AW$3:$AW$1850,993),{"利用可","両方停止","運転がそろわない","判定不能"},0),"○","停","×","－"),"")</f>
        <v>○</v>
      </c>
      <c r="BJ45" s="35" t="str">
        <f aca="false">IFERROR(CHOOSE(MATCH(INDEX(時間ごとの判定!$AW$3:$AW$1850,994),{"利用可","両方停止","運転がそろわない","判定不能"},0),"○","停","×","－"),"")</f>
        <v>○</v>
      </c>
      <c r="BK45" s="35" t="str">
        <f aca="false">IFERROR(CHOOSE(MATCH(INDEX(時間ごとの判定!$AW$3:$AW$1850,995),{"利用可","両方停止","運転がそろわない","判定不能"},0),"○","停","×","－"),"")</f>
        <v>○</v>
      </c>
      <c r="BL45" s="35" t="str">
        <f aca="false">IFERROR(CHOOSE(MATCH(INDEX(時間ごとの判定!$AW$3:$AW$1850,996),{"利用可","両方停止","運転がそろわない","判定不能"},0),"○","停","×","－"),"")</f>
        <v>○</v>
      </c>
      <c r="BM45" s="35" t="str">
        <f aca="false">IFERROR(CHOOSE(MATCH(INDEX(時間ごとの判定!$AW$3:$AW$1850,997),{"利用可","両方停止","運転がそろわない","判定不能"},0),"○","停","×","－"),"")</f>
        <v>○</v>
      </c>
      <c r="BN45" s="35" t="str">
        <f aca="false">IFERROR(CHOOSE(MATCH(INDEX(時間ごとの判定!$AW$3:$AW$1850,998),{"利用可","両方停止","運転がそろわない","判定不能"},0),"○","停","×","－"),"")</f>
        <v>○</v>
      </c>
      <c r="BO45" s="35" t="str">
        <f aca="false">IFERROR(CHOOSE(MATCH(INDEX(時間ごとの判定!$AW$3:$AW$1850,999),{"利用可","両方停止","運転がそろわない","判定不能"},0),"○","停","×","－"),"")</f>
        <v>○</v>
      </c>
      <c r="BP45" s="35" t="str">
        <f aca="false">IFERROR(CHOOSE(MATCH(INDEX(時間ごとの判定!$AW$3:$AW$1850,1000),{"利用可","両方停止","運転がそろわない","判定不能"},0),"○","停","×","－"),"")</f>
        <v>○</v>
      </c>
      <c r="BQ45" s="35" t="str">
        <f aca="false">IFERROR(CHOOSE(MATCH(INDEX(時間ごとの判定!$AW$3:$AW$1850,1001),{"利用可","両方停止","運転がそろわない","判定不能"},0),"○","停","×","－"),"")</f>
        <v>○</v>
      </c>
      <c r="BR45" s="35" t="str">
        <f aca="false">IFERROR(CHOOSE(MATCH(INDEX(時間ごとの判定!$AW$3:$AW$1850,1002),{"利用可","両方停止","運転がそろわない","判定不能"},0),"○","停","×","－"),"")</f>
        <v>○</v>
      </c>
      <c r="BS45" s="35" t="str">
        <f aca="false">IFERROR(CHOOSE(MATCH(INDEX(時間ごとの判定!$AW$3:$AW$1850,1003),{"利用可","両方停止","運転がそろわない","判定不能"},0),"○","停","×","－"),"")</f>
        <v>○</v>
      </c>
      <c r="BT45" s="35" t="str">
        <f aca="false">IFERROR(CHOOSE(MATCH(INDEX(時間ごとの判定!$AW$3:$AW$1850,1004),{"利用可","両方停止","運転がそろわない","判定不能"},0),"○","停","×","－"),"")</f>
        <v>×</v>
      </c>
      <c r="BU45" s="35" t="str">
        <f aca="false">IFERROR(CHOOSE(MATCH(INDEX(時間ごとの判定!$AW$3:$AW$1850,1005),{"利用可","両方停止","運転がそろわない","判定不能"},0),"○","停","×","－"),"")</f>
        <v>×</v>
      </c>
      <c r="BV45" s="35" t="str">
        <f aca="false">IFERROR(CHOOSE(MATCH(INDEX(時間ごとの判定!$AW$3:$AW$1850,1006),{"利用可","両方停止","運転がそろわない","判定不能"},0),"○","停","×","－"),"")</f>
        <v>×</v>
      </c>
      <c r="BW45" s="35" t="str">
        <f aca="false">IFERROR(CHOOSE(MATCH(INDEX(時間ごとの判定!$AW$3:$AW$1850,1007),{"利用可","両方停止","運転がそろわない","判定不能"},0),"○","停","×","－"),"")</f>
        <v>×</v>
      </c>
      <c r="BX45" s="35" t="str">
        <f aca="false">IFERROR(CHOOSE(MATCH(INDEX(時間ごとの判定!$AW$3:$AW$1850,1008),{"利用可","両方停止","運転がそろわない","判定不能"},0),"○","停","×","－"),"")</f>
        <v>×</v>
      </c>
    </row>
    <row r="46" customFormat="false" ht="15" hidden="false" customHeight="false" outlineLevel="0" collapsed="false">
      <c r="A46" s="33" t="n">
        <v>46274</v>
      </c>
      <c r="B46" s="34" t="s">
        <v>58</v>
      </c>
      <c r="C46" s="35" t="str">
        <f aca="false">IFERROR(CHOOSE(MATCH(INDEX(時間ごとの判定!$AQ$3:$AQ$1850,1009),{"利用可","両方停止","運転がそろわない","判定不能"},0),"○","停","×","－"),"")</f>
        <v>停</v>
      </c>
      <c r="D46" s="35" t="str">
        <f aca="false">IFERROR(CHOOSE(MATCH(INDEX(時間ごとの判定!$AQ$3:$AQ$1850,1010),{"利用可","両方停止","運転がそろわない","判定不能"},0),"○","停","×","－"),"")</f>
        <v>停</v>
      </c>
      <c r="E46" s="35" t="str">
        <f aca="false">IFERROR(CHOOSE(MATCH(INDEX(時間ごとの判定!$AQ$3:$AQ$1850,1011),{"利用可","両方停止","運転がそろわない","判定不能"},0),"○","停","×","－"),"")</f>
        <v>停</v>
      </c>
      <c r="F46" s="35" t="str">
        <f aca="false">IFERROR(CHOOSE(MATCH(INDEX(時間ごとの判定!$AQ$3:$AQ$1850,1012),{"利用可","両方停止","運転がそろわない","判定不能"},0),"○","停","×","－"),"")</f>
        <v>停</v>
      </c>
      <c r="G46" s="35" t="str">
        <f aca="false">IFERROR(CHOOSE(MATCH(INDEX(時間ごとの判定!$AQ$3:$AQ$1850,1013),{"利用可","両方停止","運転がそろわない","判定不能"},0),"○","停","×","－"),"")</f>
        <v>停</v>
      </c>
      <c r="H46" s="35" t="str">
        <f aca="false">IFERROR(CHOOSE(MATCH(INDEX(時間ごとの判定!$AQ$3:$AQ$1850,1014),{"利用可","両方停止","運転がそろわない","判定不能"},0),"○","停","×","－"),"")</f>
        <v>停</v>
      </c>
      <c r="I46" s="35" t="str">
        <f aca="false">IFERROR(CHOOSE(MATCH(INDEX(時間ごとの判定!$AQ$3:$AQ$1850,1015),{"利用可","両方停止","運転がそろわない","判定不能"},0),"○","停","×","－"),"")</f>
        <v>×</v>
      </c>
      <c r="J46" s="35" t="str">
        <f aca="false">IFERROR(CHOOSE(MATCH(INDEX(時間ごとの判定!$AQ$3:$AQ$1850,1016),{"利用可","両方停止","運転がそろわない","判定不能"},0),"○","停","×","－"),"")</f>
        <v>×</v>
      </c>
      <c r="K46" s="35" t="str">
        <f aca="false">IFERROR(CHOOSE(MATCH(INDEX(時間ごとの判定!$AQ$3:$AQ$1850,1017),{"利用可","両方停止","運転がそろわない","判定不能"},0),"○","停","×","－"),"")</f>
        <v>○</v>
      </c>
      <c r="L46" s="35" t="str">
        <f aca="false">IFERROR(CHOOSE(MATCH(INDEX(時間ごとの判定!$AQ$3:$AQ$1850,1018),{"利用可","両方停止","運転がそろわない","判定不能"},0),"○","停","×","－"),"")</f>
        <v>○</v>
      </c>
      <c r="M46" s="35" t="str">
        <f aca="false">IFERROR(CHOOSE(MATCH(INDEX(時間ごとの判定!$AQ$3:$AQ$1850,1019),{"利用可","両方停止","運転がそろわない","判定不能"},0),"○","停","×","－"),"")</f>
        <v>○</v>
      </c>
      <c r="N46" s="35" t="str">
        <f aca="false">IFERROR(CHOOSE(MATCH(INDEX(時間ごとの判定!$AQ$3:$AQ$1850,1020),{"利用可","両方停止","運転がそろわない","判定不能"},0),"○","停","×","－"),"")</f>
        <v>○</v>
      </c>
      <c r="O46" s="35" t="str">
        <f aca="false">IFERROR(CHOOSE(MATCH(INDEX(時間ごとの判定!$AQ$3:$AQ$1850,1021),{"利用可","両方停止","運転がそろわない","判定不能"},0),"○","停","×","－"),"")</f>
        <v>○</v>
      </c>
      <c r="P46" s="35" t="str">
        <f aca="false">IFERROR(CHOOSE(MATCH(INDEX(時間ごとの判定!$AQ$3:$AQ$1850,1022),{"利用可","両方停止","運転がそろわない","判定不能"},0),"○","停","×","－"),"")</f>
        <v>×</v>
      </c>
      <c r="Q46" s="35" t="str">
        <f aca="false">IFERROR(CHOOSE(MATCH(INDEX(時間ごとの判定!$AQ$3:$AQ$1850,1023),{"利用可","両方停止","運転がそろわない","判定不能"},0),"○","停","×","－"),"")</f>
        <v>○</v>
      </c>
      <c r="R46" s="35" t="str">
        <f aca="false">IFERROR(CHOOSE(MATCH(INDEX(時間ごとの判定!$AQ$3:$AQ$1850,1024),{"利用可","両方停止","運転がそろわない","判定不能"},0),"○","停","×","－"),"")</f>
        <v>○</v>
      </c>
      <c r="S46" s="35" t="str">
        <f aca="false">IFERROR(CHOOSE(MATCH(INDEX(時間ごとの判定!$AQ$3:$AQ$1850,1025),{"利用可","両方停止","運転がそろわない","判定不能"},0),"○","停","×","－"),"")</f>
        <v>○</v>
      </c>
      <c r="T46" s="35" t="str">
        <f aca="false">IFERROR(CHOOSE(MATCH(INDEX(時間ごとの判定!$AQ$3:$AQ$1850,1026),{"利用可","両方停止","運転がそろわない","判定不能"},0),"○","停","×","－"),"")</f>
        <v>×</v>
      </c>
      <c r="U46" s="35" t="str">
        <f aca="false">IFERROR(CHOOSE(MATCH(INDEX(時間ごとの判定!$AQ$3:$AQ$1850,1027),{"利用可","両方停止","運転がそろわない","判定不能"},0),"○","停","×","－"),"")</f>
        <v>×</v>
      </c>
      <c r="V46" s="35" t="str">
        <f aca="false">IFERROR(CHOOSE(MATCH(INDEX(時間ごとの判定!$AQ$3:$AQ$1850,1028),{"利用可","両方停止","運転がそろわない","判定不能"},0),"○","停","×","－"),"")</f>
        <v>×</v>
      </c>
      <c r="W46" s="35" t="str">
        <f aca="false">IFERROR(CHOOSE(MATCH(INDEX(時間ごとの判定!$AQ$3:$AQ$1850,1029),{"利用可","両方停止","運転がそろわない","判定不能"},0),"○","停","×","－"),"")</f>
        <v>×</v>
      </c>
      <c r="X46" s="35" t="str">
        <f aca="false">IFERROR(CHOOSE(MATCH(INDEX(時間ごとの判定!$AQ$3:$AQ$1850,1030),{"利用可","両方停止","運転がそろわない","判定不能"},0),"○","停","×","－"),"")</f>
        <v>停</v>
      </c>
      <c r="Y46" s="35" t="str">
        <f aca="false">IFERROR(CHOOSE(MATCH(INDEX(時間ごとの判定!$AQ$3:$AQ$1850,1031),{"利用可","両方停止","運転がそろわない","判定不能"},0),"○","停","×","－"),"")</f>
        <v>停</v>
      </c>
      <c r="Z46" s="35" t="str">
        <f aca="false">IFERROR(CHOOSE(MATCH(INDEX(時間ごとの判定!$AQ$3:$AQ$1850,1032),{"利用可","両方停止","運転がそろわない","判定不能"},0),"○","停","×","－"),"")</f>
        <v>停</v>
      </c>
      <c r="AA46" s="35"/>
      <c r="AB46" s="35" t="str">
        <f aca="false">IFERROR(CHOOSE(MATCH(INDEX(時間ごとの判定!$AT$3:$AT$1850,1009),{"利用可","両方停止","運転がそろわない","判定不能"},0),"○","停","×","－"),"")</f>
        <v>停</v>
      </c>
      <c r="AC46" s="35" t="str">
        <f aca="false">IFERROR(CHOOSE(MATCH(INDEX(時間ごとの判定!$AT$3:$AT$1850,1010),{"利用可","両方停止","運転がそろわない","判定不能"},0),"○","停","×","－"),"")</f>
        <v>停</v>
      </c>
      <c r="AD46" s="35" t="str">
        <f aca="false">IFERROR(CHOOSE(MATCH(INDEX(時間ごとの判定!$AT$3:$AT$1850,1011),{"利用可","両方停止","運転がそろわない","判定不能"},0),"○","停","×","－"),"")</f>
        <v>停</v>
      </c>
      <c r="AE46" s="35" t="str">
        <f aca="false">IFERROR(CHOOSE(MATCH(INDEX(時間ごとの判定!$AT$3:$AT$1850,1012),{"利用可","両方停止","運転がそろわない","判定不能"},0),"○","停","×","－"),"")</f>
        <v>停</v>
      </c>
      <c r="AF46" s="35" t="str">
        <f aca="false">IFERROR(CHOOSE(MATCH(INDEX(時間ごとの判定!$AT$3:$AT$1850,1013),{"利用可","両方停止","運転がそろわない","判定不能"},0),"○","停","×","－"),"")</f>
        <v>停</v>
      </c>
      <c r="AG46" s="35" t="str">
        <f aca="false">IFERROR(CHOOSE(MATCH(INDEX(時間ごとの判定!$AT$3:$AT$1850,1014),{"利用可","両方停止","運転がそろわない","判定不能"},0),"○","停","×","－"),"")</f>
        <v>停</v>
      </c>
      <c r="AH46" s="35" t="str">
        <f aca="false">IFERROR(CHOOSE(MATCH(INDEX(時間ごとの判定!$AT$3:$AT$1850,1015),{"利用可","両方停止","運転がそろわない","判定不能"},0),"○","停","×","－"),"")</f>
        <v>×</v>
      </c>
      <c r="AI46" s="35" t="str">
        <f aca="false">IFERROR(CHOOSE(MATCH(INDEX(時間ごとの判定!$AT$3:$AT$1850,1016),{"利用可","両方停止","運転がそろわない","判定不能"},0),"○","停","×","－"),"")</f>
        <v>×</v>
      </c>
      <c r="AJ46" s="35" t="str">
        <f aca="false">IFERROR(CHOOSE(MATCH(INDEX(時間ごとの判定!$AT$3:$AT$1850,1017),{"利用可","両方停止","運転がそろわない","判定不能"},0),"○","停","×","－"),"")</f>
        <v>×</v>
      </c>
      <c r="AK46" s="35" t="str">
        <f aca="false">IFERROR(CHOOSE(MATCH(INDEX(時間ごとの判定!$AT$3:$AT$1850,1018),{"利用可","両方停止","運転がそろわない","判定不能"},0),"○","停","×","－"),"")</f>
        <v>○</v>
      </c>
      <c r="AL46" s="35" t="str">
        <f aca="false">IFERROR(CHOOSE(MATCH(INDEX(時間ごとの判定!$AT$3:$AT$1850,1019),{"利用可","両方停止","運転がそろわない","判定不能"},0),"○","停","×","－"),"")</f>
        <v>○</v>
      </c>
      <c r="AM46" s="35" t="str">
        <f aca="false">IFERROR(CHOOSE(MATCH(INDEX(時間ごとの判定!$AT$3:$AT$1850,1020),{"利用可","両方停止","運転がそろわない","判定不能"},0),"○","停","×","－"),"")</f>
        <v>○</v>
      </c>
      <c r="AN46" s="35" t="str">
        <f aca="false">IFERROR(CHOOSE(MATCH(INDEX(時間ごとの判定!$AT$3:$AT$1850,1021),{"利用可","両方停止","運転がそろわない","判定不能"},0),"○","停","×","－"),"")</f>
        <v>○</v>
      </c>
      <c r="AO46" s="35" t="str">
        <f aca="false">IFERROR(CHOOSE(MATCH(INDEX(時間ごとの判定!$AT$3:$AT$1850,1022),{"利用可","両方停止","運転がそろわない","判定不能"},0),"○","停","×","－"),"")</f>
        <v>○</v>
      </c>
      <c r="AP46" s="35" t="str">
        <f aca="false">IFERROR(CHOOSE(MATCH(INDEX(時間ごとの判定!$AT$3:$AT$1850,1023),{"利用可","両方停止","運転がそろわない","判定不能"},0),"○","停","×","－"),"")</f>
        <v>○</v>
      </c>
      <c r="AQ46" s="35" t="str">
        <f aca="false">IFERROR(CHOOSE(MATCH(INDEX(時間ごとの判定!$AT$3:$AT$1850,1024),{"利用可","両方停止","運転がそろわない","判定不能"},0),"○","停","×","－"),"")</f>
        <v>×</v>
      </c>
      <c r="AR46" s="35" t="str">
        <f aca="false">IFERROR(CHOOSE(MATCH(INDEX(時間ごとの判定!$AT$3:$AT$1850,1025),{"利用可","両方停止","運転がそろわない","判定不能"},0),"○","停","×","－"),"")</f>
        <v>○</v>
      </c>
      <c r="AS46" s="35" t="str">
        <f aca="false">IFERROR(CHOOSE(MATCH(INDEX(時間ごとの判定!$AT$3:$AT$1850,1026),{"利用可","両方停止","運転がそろわない","判定不能"},0),"○","停","×","－"),"")</f>
        <v>×</v>
      </c>
      <c r="AT46" s="35" t="str">
        <f aca="false">IFERROR(CHOOSE(MATCH(INDEX(時間ごとの判定!$AT$3:$AT$1850,1027),{"利用可","両方停止","運転がそろわない","判定不能"},0),"○","停","×","－"),"")</f>
        <v>×</v>
      </c>
      <c r="AU46" s="35" t="str">
        <f aca="false">IFERROR(CHOOSE(MATCH(INDEX(時間ごとの判定!$AT$3:$AT$1850,1028),{"利用可","両方停止","運転がそろわない","判定不能"},0),"○","停","×","－"),"")</f>
        <v>停</v>
      </c>
      <c r="AV46" s="35" t="str">
        <f aca="false">IFERROR(CHOOSE(MATCH(INDEX(時間ごとの判定!$AT$3:$AT$1850,1029),{"利用可","両方停止","運転がそろわない","判定不能"},0),"○","停","×","－"),"")</f>
        <v>×</v>
      </c>
      <c r="AW46" s="35" t="str">
        <f aca="false">IFERROR(CHOOSE(MATCH(INDEX(時間ごとの判定!$AT$3:$AT$1850,1030),{"利用可","両方停止","運転がそろわない","判定不能"},0),"○","停","×","－"),"")</f>
        <v>停</v>
      </c>
      <c r="AX46" s="35" t="str">
        <f aca="false">IFERROR(CHOOSE(MATCH(INDEX(時間ごとの判定!$AT$3:$AT$1850,1031),{"利用可","両方停止","運転がそろわない","判定不能"},0),"○","停","×","－"),"")</f>
        <v>停</v>
      </c>
      <c r="AY46" s="35" t="str">
        <f aca="false">IFERROR(CHOOSE(MATCH(INDEX(時間ごとの判定!$AT$3:$AT$1850,1032),{"利用可","両方停止","運転がそろわない","判定不能"},0),"○","停","×","－"),"")</f>
        <v>停</v>
      </c>
      <c r="AZ46" s="35"/>
      <c r="BA46" s="35" t="str">
        <f aca="false">IFERROR(CHOOSE(MATCH(INDEX(時間ごとの判定!$AW$3:$AW$1850,1009),{"利用可","両方停止","運転がそろわない","判定不能"},0),"○","停","×","－"),"")</f>
        <v>停</v>
      </c>
      <c r="BB46" s="35" t="str">
        <f aca="false">IFERROR(CHOOSE(MATCH(INDEX(時間ごとの判定!$AW$3:$AW$1850,1010),{"利用可","両方停止","運転がそろわない","判定不能"},0),"○","停","×","－"),"")</f>
        <v>停</v>
      </c>
      <c r="BC46" s="35" t="str">
        <f aca="false">IFERROR(CHOOSE(MATCH(INDEX(時間ごとの判定!$AW$3:$AW$1850,1011),{"利用可","両方停止","運転がそろわない","判定不能"},0),"○","停","×","－"),"")</f>
        <v>停</v>
      </c>
      <c r="BD46" s="35" t="str">
        <f aca="false">IFERROR(CHOOSE(MATCH(INDEX(時間ごとの判定!$AW$3:$AW$1850,1012),{"利用可","両方停止","運転がそろわない","判定不能"},0),"○","停","×","－"),"")</f>
        <v>停</v>
      </c>
      <c r="BE46" s="35" t="str">
        <f aca="false">IFERROR(CHOOSE(MATCH(INDEX(時間ごとの判定!$AW$3:$AW$1850,1013),{"利用可","両方停止","運転がそろわない","判定不能"},0),"○","停","×","－"),"")</f>
        <v>停</v>
      </c>
      <c r="BF46" s="35" t="str">
        <f aca="false">IFERROR(CHOOSE(MATCH(INDEX(時間ごとの判定!$AW$3:$AW$1850,1014),{"利用可","両方停止","運転がそろわない","判定不能"},0),"○","停","×","－"),"")</f>
        <v>停</v>
      </c>
      <c r="BG46" s="35" t="str">
        <f aca="false">IFERROR(CHOOSE(MATCH(INDEX(時間ごとの判定!$AW$3:$AW$1850,1015),{"利用可","両方停止","運転がそろわない","判定不能"},0),"○","停","×","－"),"")</f>
        <v>×</v>
      </c>
      <c r="BH46" s="35" t="str">
        <f aca="false">IFERROR(CHOOSE(MATCH(INDEX(時間ごとの判定!$AW$3:$AW$1850,1016),{"利用可","両方停止","運転がそろわない","判定不能"},0),"○","停","×","－"),"")</f>
        <v>×</v>
      </c>
      <c r="BI46" s="35" t="str">
        <f aca="false">IFERROR(CHOOSE(MATCH(INDEX(時間ごとの判定!$AW$3:$AW$1850,1017),{"利用可","両方停止","運転がそろわない","判定不能"},0),"○","停","×","－"),"")</f>
        <v>○</v>
      </c>
      <c r="BJ46" s="35" t="str">
        <f aca="false">IFERROR(CHOOSE(MATCH(INDEX(時間ごとの判定!$AW$3:$AW$1850,1018),{"利用可","両方停止","運転がそろわない","判定不能"},0),"○","停","×","－"),"")</f>
        <v>○</v>
      </c>
      <c r="BK46" s="35" t="str">
        <f aca="false">IFERROR(CHOOSE(MATCH(INDEX(時間ごとの判定!$AW$3:$AW$1850,1019),{"利用可","両方停止","運転がそろわない","判定不能"},0),"○","停","×","－"),"")</f>
        <v>○</v>
      </c>
      <c r="BL46" s="35" t="str">
        <f aca="false">IFERROR(CHOOSE(MATCH(INDEX(時間ごとの判定!$AW$3:$AW$1850,1020),{"利用可","両方停止","運転がそろわない","判定不能"},0),"○","停","×","－"),"")</f>
        <v>○</v>
      </c>
      <c r="BM46" s="35" t="str">
        <f aca="false">IFERROR(CHOOSE(MATCH(INDEX(時間ごとの判定!$AW$3:$AW$1850,1021),{"利用可","両方停止","運転がそろわない","判定不能"},0),"○","停","×","－"),"")</f>
        <v>○</v>
      </c>
      <c r="BN46" s="35" t="str">
        <f aca="false">IFERROR(CHOOSE(MATCH(INDEX(時間ごとの判定!$AW$3:$AW$1850,1022),{"利用可","両方停止","運転がそろわない","判定不能"},0),"○","停","×","－"),"")</f>
        <v>○</v>
      </c>
      <c r="BO46" s="35" t="str">
        <f aca="false">IFERROR(CHOOSE(MATCH(INDEX(時間ごとの判定!$AW$3:$AW$1850,1023),{"利用可","両方停止","運転がそろわない","判定不能"},0),"○","停","×","－"),"")</f>
        <v>○</v>
      </c>
      <c r="BP46" s="35" t="str">
        <f aca="false">IFERROR(CHOOSE(MATCH(INDEX(時間ごとの判定!$AW$3:$AW$1850,1024),{"利用可","両方停止","運転がそろわない","判定不能"},0),"○","停","×","－"),"")</f>
        <v>○</v>
      </c>
      <c r="BQ46" s="35" t="str">
        <f aca="false">IFERROR(CHOOSE(MATCH(INDEX(時間ごとの判定!$AW$3:$AW$1850,1025),{"利用可","両方停止","運転がそろわない","判定不能"},0),"○","停","×","－"),"")</f>
        <v>○</v>
      </c>
      <c r="BR46" s="35" t="str">
        <f aca="false">IFERROR(CHOOSE(MATCH(INDEX(時間ごとの判定!$AW$3:$AW$1850,1026),{"利用可","両方停止","運転がそろわない","判定不能"},0),"○","停","×","－"),"")</f>
        <v>○</v>
      </c>
      <c r="BS46" s="35" t="str">
        <f aca="false">IFERROR(CHOOSE(MATCH(INDEX(時間ごとの判定!$AW$3:$AW$1850,1027),{"利用可","両方停止","運転がそろわない","判定不能"},0),"○","停","×","－"),"")</f>
        <v>×</v>
      </c>
      <c r="BT46" s="35" t="str">
        <f aca="false">IFERROR(CHOOSE(MATCH(INDEX(時間ごとの判定!$AW$3:$AW$1850,1028),{"利用可","両方停止","運転がそろわない","判定不能"},0),"○","停","×","－"),"")</f>
        <v>×</v>
      </c>
      <c r="BU46" s="35" t="str">
        <f aca="false">IFERROR(CHOOSE(MATCH(INDEX(時間ごとの判定!$AW$3:$AW$1850,1029),{"利用可","両方停止","運転がそろわない","判定不能"},0),"○","停","×","－"),"")</f>
        <v>×</v>
      </c>
      <c r="BV46" s="35" t="str">
        <f aca="false">IFERROR(CHOOSE(MATCH(INDEX(時間ごとの判定!$AW$3:$AW$1850,1030),{"利用可","両方停止","運転がそろわない","判定不能"},0),"○","停","×","－"),"")</f>
        <v>停</v>
      </c>
      <c r="BW46" s="35" t="str">
        <f aca="false">IFERROR(CHOOSE(MATCH(INDEX(時間ごとの判定!$AW$3:$AW$1850,1031),{"利用可","両方停止","運転がそろわない","判定不能"},0),"○","停","×","－"),"")</f>
        <v>停</v>
      </c>
      <c r="BX46" s="35" t="str">
        <f aca="false">IFERROR(CHOOSE(MATCH(INDEX(時間ごとの判定!$AW$3:$AW$1850,1032),{"利用可","両方停止","運転がそろわない","判定不能"},0),"○","停","×","－"),"")</f>
        <v>停</v>
      </c>
    </row>
    <row r="47" customFormat="false" ht="15" hidden="false" customHeight="false" outlineLevel="0" collapsed="false">
      <c r="A47" s="33" t="n">
        <v>46275</v>
      </c>
      <c r="B47" s="34" t="s">
        <v>61</v>
      </c>
      <c r="C47" s="35" t="str">
        <f aca="false">IFERROR(CHOOSE(MATCH(INDEX(時間ごとの判定!$AQ$3:$AQ$1850,1033),{"利用可","両方停止","運転がそろわない","判定不能"},0),"○","停","×","－"),"")</f>
        <v>停</v>
      </c>
      <c r="D47" s="35" t="str">
        <f aca="false">IFERROR(CHOOSE(MATCH(INDEX(時間ごとの判定!$AQ$3:$AQ$1850,1034),{"利用可","両方停止","運転がそろわない","判定不能"},0),"○","停","×","－"),"")</f>
        <v>停</v>
      </c>
      <c r="E47" s="35" t="str">
        <f aca="false">IFERROR(CHOOSE(MATCH(INDEX(時間ごとの判定!$AQ$3:$AQ$1850,1035),{"利用可","両方停止","運転がそろわない","判定不能"},0),"○","停","×","－"),"")</f>
        <v>停</v>
      </c>
      <c r="F47" s="35" t="str">
        <f aca="false">IFERROR(CHOOSE(MATCH(INDEX(時間ごとの判定!$AQ$3:$AQ$1850,1036),{"利用可","両方停止","運転がそろわない","判定不能"},0),"○","停","×","－"),"")</f>
        <v>停</v>
      </c>
      <c r="G47" s="35" t="str">
        <f aca="false">IFERROR(CHOOSE(MATCH(INDEX(時間ごとの判定!$AQ$3:$AQ$1850,1037),{"利用可","両方停止","運転がそろわない","判定不能"},0),"○","停","×","－"),"")</f>
        <v>×</v>
      </c>
      <c r="H47" s="35" t="str">
        <f aca="false">IFERROR(CHOOSE(MATCH(INDEX(時間ごとの判定!$AQ$3:$AQ$1850,1038),{"利用可","両方停止","運転がそろわない","判定不能"},0),"○","停","×","－"),"")</f>
        <v>停</v>
      </c>
      <c r="I47" s="35" t="str">
        <f aca="false">IFERROR(CHOOSE(MATCH(INDEX(時間ごとの判定!$AQ$3:$AQ$1850,1039),{"利用可","両方停止","運転がそろわない","判定不能"},0),"○","停","×","－"),"")</f>
        <v>停</v>
      </c>
      <c r="J47" s="35" t="str">
        <f aca="false">IFERROR(CHOOSE(MATCH(INDEX(時間ごとの判定!$AQ$3:$AQ$1850,1040),{"利用可","両方停止","運転がそろわない","判定不能"},0),"○","停","×","－"),"")</f>
        <v>停</v>
      </c>
      <c r="K47" s="35" t="str">
        <f aca="false">IFERROR(CHOOSE(MATCH(INDEX(時間ごとの判定!$AQ$3:$AQ$1850,1041),{"利用可","両方停止","運転がそろわない","判定不能"},0),"○","停","×","－"),"")</f>
        <v>停</v>
      </c>
      <c r="L47" s="35" t="str">
        <f aca="false">IFERROR(CHOOSE(MATCH(INDEX(時間ごとの判定!$AQ$3:$AQ$1850,1042),{"利用可","両方停止","運転がそろわない","判定不能"},0),"○","停","×","－"),"")</f>
        <v>×</v>
      </c>
      <c r="M47" s="35" t="str">
        <f aca="false">IFERROR(CHOOSE(MATCH(INDEX(時間ごとの判定!$AQ$3:$AQ$1850,1043),{"利用可","両方停止","運転がそろわない","判定不能"},0),"○","停","×","－"),"")</f>
        <v>×</v>
      </c>
      <c r="N47" s="35" t="str">
        <f aca="false">IFERROR(CHOOSE(MATCH(INDEX(時間ごとの判定!$AQ$3:$AQ$1850,1044),{"利用可","両方停止","運転がそろわない","判定不能"},0),"○","停","×","－"),"")</f>
        <v>×</v>
      </c>
      <c r="O47" s="35" t="str">
        <f aca="false">IFERROR(CHOOSE(MATCH(INDEX(時間ごとの判定!$AQ$3:$AQ$1850,1045),{"利用可","両方停止","運転がそろわない","判定不能"},0),"○","停","×","－"),"")</f>
        <v>×</v>
      </c>
      <c r="P47" s="35" t="str">
        <f aca="false">IFERROR(CHOOSE(MATCH(INDEX(時間ごとの判定!$AQ$3:$AQ$1850,1046),{"利用可","両方停止","運転がそろわない","判定不能"},0),"○","停","×","－"),"")</f>
        <v>×</v>
      </c>
      <c r="Q47" s="35" t="str">
        <f aca="false">IFERROR(CHOOSE(MATCH(INDEX(時間ごとの判定!$AQ$3:$AQ$1850,1047),{"利用可","両方停止","運転がそろわない","判定不能"},0),"○","停","×","－"),"")</f>
        <v>×</v>
      </c>
      <c r="R47" s="35" t="str">
        <f aca="false">IFERROR(CHOOSE(MATCH(INDEX(時間ごとの判定!$AQ$3:$AQ$1850,1048),{"利用可","両方停止","運転がそろわない","判定不能"},0),"○","停","×","－"),"")</f>
        <v>×</v>
      </c>
      <c r="S47" s="35" t="str">
        <f aca="false">IFERROR(CHOOSE(MATCH(INDEX(時間ごとの判定!$AQ$3:$AQ$1850,1049),{"利用可","両方停止","運転がそろわない","判定不能"},0),"○","停","×","－"),"")</f>
        <v>×</v>
      </c>
      <c r="T47" s="35" t="str">
        <f aca="false">IFERROR(CHOOSE(MATCH(INDEX(時間ごとの判定!$AQ$3:$AQ$1850,1050),{"利用可","両方停止","運転がそろわない","判定不能"},0),"○","停","×","－"),"")</f>
        <v>×</v>
      </c>
      <c r="U47" s="35" t="str">
        <f aca="false">IFERROR(CHOOSE(MATCH(INDEX(時間ごとの判定!$AQ$3:$AQ$1850,1051),{"利用可","両方停止","運転がそろわない","判定不能"},0),"○","停","×","－"),"")</f>
        <v>停</v>
      </c>
      <c r="V47" s="35" t="str">
        <f aca="false">IFERROR(CHOOSE(MATCH(INDEX(時間ごとの判定!$AQ$3:$AQ$1850,1052),{"利用可","両方停止","運転がそろわない","判定不能"},0),"○","停","×","－"),"")</f>
        <v>×</v>
      </c>
      <c r="W47" s="35" t="str">
        <f aca="false">IFERROR(CHOOSE(MATCH(INDEX(時間ごとの判定!$AQ$3:$AQ$1850,1053),{"利用可","両方停止","運転がそろわない","判定不能"},0),"○","停","×","－"),"")</f>
        <v>停</v>
      </c>
      <c r="X47" s="35" t="str">
        <f aca="false">IFERROR(CHOOSE(MATCH(INDEX(時間ごとの判定!$AQ$3:$AQ$1850,1054),{"利用可","両方停止","運転がそろわない","判定不能"},0),"○","停","×","－"),"")</f>
        <v>停</v>
      </c>
      <c r="Y47" s="35" t="str">
        <f aca="false">IFERROR(CHOOSE(MATCH(INDEX(時間ごとの判定!$AQ$3:$AQ$1850,1055),{"利用可","両方停止","運転がそろわない","判定不能"},0),"○","停","×","－"),"")</f>
        <v>停</v>
      </c>
      <c r="Z47" s="35" t="str">
        <f aca="false">IFERROR(CHOOSE(MATCH(INDEX(時間ごとの判定!$AQ$3:$AQ$1850,1056),{"利用可","両方停止","運転がそろわない","判定不能"},0),"○","停","×","－"),"")</f>
        <v>停</v>
      </c>
      <c r="AA47" s="35"/>
      <c r="AB47" s="35" t="str">
        <f aca="false">IFERROR(CHOOSE(MATCH(INDEX(時間ごとの判定!$AT$3:$AT$1850,1033),{"利用可","両方停止","運転がそろわない","判定不能"},0),"○","停","×","－"),"")</f>
        <v>停</v>
      </c>
      <c r="AC47" s="35" t="str">
        <f aca="false">IFERROR(CHOOSE(MATCH(INDEX(時間ごとの判定!$AT$3:$AT$1850,1034),{"利用可","両方停止","運転がそろわない","判定不能"},0),"○","停","×","－"),"")</f>
        <v>停</v>
      </c>
      <c r="AD47" s="35" t="str">
        <f aca="false">IFERROR(CHOOSE(MATCH(INDEX(時間ごとの判定!$AT$3:$AT$1850,1035),{"利用可","両方停止","運転がそろわない","判定不能"},0),"○","停","×","－"),"")</f>
        <v>停</v>
      </c>
      <c r="AE47" s="35" t="str">
        <f aca="false">IFERROR(CHOOSE(MATCH(INDEX(時間ごとの判定!$AT$3:$AT$1850,1036),{"利用可","両方停止","運転がそろわない","判定不能"},0),"○","停","×","－"),"")</f>
        <v>停</v>
      </c>
      <c r="AF47" s="35" t="str">
        <f aca="false">IFERROR(CHOOSE(MATCH(INDEX(時間ごとの判定!$AT$3:$AT$1850,1037),{"利用可","両方停止","運転がそろわない","判定不能"},0),"○","停","×","－"),"")</f>
        <v>停</v>
      </c>
      <c r="AG47" s="35" t="str">
        <f aca="false">IFERROR(CHOOSE(MATCH(INDEX(時間ごとの判定!$AT$3:$AT$1850,1038),{"利用可","両方停止","運転がそろわない","判定不能"},0),"○","停","×","－"),"")</f>
        <v>停</v>
      </c>
      <c r="AH47" s="35" t="str">
        <f aca="false">IFERROR(CHOOSE(MATCH(INDEX(時間ごとの判定!$AT$3:$AT$1850,1039),{"利用可","両方停止","運転がそろわない","判定不能"},0),"○","停","×","－"),"")</f>
        <v>×</v>
      </c>
      <c r="AI47" s="35" t="str">
        <f aca="false">IFERROR(CHOOSE(MATCH(INDEX(時間ごとの判定!$AT$3:$AT$1850,1040),{"利用可","両方停止","運転がそろわない","判定不能"},0),"○","停","×","－"),"")</f>
        <v>×</v>
      </c>
      <c r="AJ47" s="35" t="str">
        <f aca="false">IFERROR(CHOOSE(MATCH(INDEX(時間ごとの判定!$AT$3:$AT$1850,1041),{"利用可","両方停止","運転がそろわない","判定不能"},0),"○","停","×","－"),"")</f>
        <v>×</v>
      </c>
      <c r="AK47" s="35" t="str">
        <f aca="false">IFERROR(CHOOSE(MATCH(INDEX(時間ごとの判定!$AT$3:$AT$1850,1042),{"利用可","両方停止","運転がそろわない","判定不能"},0),"○","停","×","－"),"")</f>
        <v>×</v>
      </c>
      <c r="AL47" s="35" t="str">
        <f aca="false">IFERROR(CHOOSE(MATCH(INDEX(時間ごとの判定!$AT$3:$AT$1850,1043),{"利用可","両方停止","運転がそろわない","判定不能"},0),"○","停","×","－"),"")</f>
        <v>○</v>
      </c>
      <c r="AM47" s="35" t="str">
        <f aca="false">IFERROR(CHOOSE(MATCH(INDEX(時間ごとの判定!$AT$3:$AT$1850,1044),{"利用可","両方停止","運転がそろわない","判定不能"},0),"○","停","×","－"),"")</f>
        <v>○</v>
      </c>
      <c r="AN47" s="35" t="str">
        <f aca="false">IFERROR(CHOOSE(MATCH(INDEX(時間ごとの判定!$AT$3:$AT$1850,1045),{"利用可","両方停止","運転がそろわない","判定不能"},0),"○","停","×","－"),"")</f>
        <v>○</v>
      </c>
      <c r="AO47" s="35" t="str">
        <f aca="false">IFERROR(CHOOSE(MATCH(INDEX(時間ごとの判定!$AT$3:$AT$1850,1046),{"利用可","両方停止","運転がそろわない","判定不能"},0),"○","停","×","－"),"")</f>
        <v>○</v>
      </c>
      <c r="AP47" s="35" t="str">
        <f aca="false">IFERROR(CHOOSE(MATCH(INDEX(時間ごとの判定!$AT$3:$AT$1850,1047),{"利用可","両方停止","運転がそろわない","判定不能"},0),"○","停","×","－"),"")</f>
        <v>○</v>
      </c>
      <c r="AQ47" s="35" t="str">
        <f aca="false">IFERROR(CHOOSE(MATCH(INDEX(時間ごとの判定!$AT$3:$AT$1850,1048),{"利用可","両方停止","運転がそろわない","判定不能"},0),"○","停","×","－"),"")</f>
        <v>○</v>
      </c>
      <c r="AR47" s="35" t="str">
        <f aca="false">IFERROR(CHOOSE(MATCH(INDEX(時間ごとの判定!$AT$3:$AT$1850,1049),{"利用可","両方停止","運転がそろわない","判定不能"},0),"○","停","×","－"),"")</f>
        <v>○</v>
      </c>
      <c r="AS47" s="35" t="str">
        <f aca="false">IFERROR(CHOOSE(MATCH(INDEX(時間ごとの判定!$AT$3:$AT$1850,1050),{"利用可","両方停止","運転がそろわない","判定不能"},0),"○","停","×","－"),"")</f>
        <v>×</v>
      </c>
      <c r="AT47" s="35" t="str">
        <f aca="false">IFERROR(CHOOSE(MATCH(INDEX(時間ごとの判定!$AT$3:$AT$1850,1051),{"利用可","両方停止","運転がそろわない","判定不能"},0),"○","停","×","－"),"")</f>
        <v>○</v>
      </c>
      <c r="AU47" s="35" t="str">
        <f aca="false">IFERROR(CHOOSE(MATCH(INDEX(時間ごとの判定!$AT$3:$AT$1850,1052),{"利用可","両方停止","運転がそろわない","判定不能"},0),"○","停","×","－"),"")</f>
        <v>×</v>
      </c>
      <c r="AV47" s="35" t="str">
        <f aca="false">IFERROR(CHOOSE(MATCH(INDEX(時間ごとの判定!$AT$3:$AT$1850,1053),{"利用可","両方停止","運転がそろわない","判定不能"},0),"○","停","×","－"),"")</f>
        <v>停</v>
      </c>
      <c r="AW47" s="35" t="str">
        <f aca="false">IFERROR(CHOOSE(MATCH(INDEX(時間ごとの判定!$AT$3:$AT$1850,1054),{"利用可","両方停止","運転がそろわない","判定不能"},0),"○","停","×","－"),"")</f>
        <v>停</v>
      </c>
      <c r="AX47" s="35" t="str">
        <f aca="false">IFERROR(CHOOSE(MATCH(INDEX(時間ごとの判定!$AT$3:$AT$1850,1055),{"利用可","両方停止","運転がそろわない","判定不能"},0),"○","停","×","－"),"")</f>
        <v>停</v>
      </c>
      <c r="AY47" s="35" t="str">
        <f aca="false">IFERROR(CHOOSE(MATCH(INDEX(時間ごとの判定!$AT$3:$AT$1850,1056),{"利用可","両方停止","運転がそろわない","判定不能"},0),"○","停","×","－"),"")</f>
        <v>停</v>
      </c>
      <c r="AZ47" s="35"/>
      <c r="BA47" s="35" t="str">
        <f aca="false">IFERROR(CHOOSE(MATCH(INDEX(時間ごとの判定!$AW$3:$AW$1850,1033),{"利用可","両方停止","運転がそろわない","判定不能"},0),"○","停","×","－"),"")</f>
        <v>停</v>
      </c>
      <c r="BB47" s="35" t="str">
        <f aca="false">IFERROR(CHOOSE(MATCH(INDEX(時間ごとの判定!$AW$3:$AW$1850,1034),{"利用可","両方停止","運転がそろわない","判定不能"},0),"○","停","×","－"),"")</f>
        <v>停</v>
      </c>
      <c r="BC47" s="35" t="str">
        <f aca="false">IFERROR(CHOOSE(MATCH(INDEX(時間ごとの判定!$AW$3:$AW$1850,1035),{"利用可","両方停止","運転がそろわない","判定不能"},0),"○","停","×","－"),"")</f>
        <v>停</v>
      </c>
      <c r="BD47" s="35" t="str">
        <f aca="false">IFERROR(CHOOSE(MATCH(INDEX(時間ごとの判定!$AW$3:$AW$1850,1036),{"利用可","両方停止","運転がそろわない","判定不能"},0),"○","停","×","－"),"")</f>
        <v>停</v>
      </c>
      <c r="BE47" s="35" t="str">
        <f aca="false">IFERROR(CHOOSE(MATCH(INDEX(時間ごとの判定!$AW$3:$AW$1850,1037),{"利用可","両方停止","運転がそろわない","判定不能"},0),"○","停","×","－"),"")</f>
        <v>停</v>
      </c>
      <c r="BF47" s="35" t="str">
        <f aca="false">IFERROR(CHOOSE(MATCH(INDEX(時間ごとの判定!$AW$3:$AW$1850,1038),{"利用可","両方停止","運転がそろわない","判定不能"},0),"○","停","×","－"),"")</f>
        <v>停</v>
      </c>
      <c r="BG47" s="35" t="str">
        <f aca="false">IFERROR(CHOOSE(MATCH(INDEX(時間ごとの判定!$AW$3:$AW$1850,1039),{"利用可","両方停止","運転がそろわない","判定不能"},0),"○","停","×","－"),"")</f>
        <v>×</v>
      </c>
      <c r="BH47" s="35" t="str">
        <f aca="false">IFERROR(CHOOSE(MATCH(INDEX(時間ごとの判定!$AW$3:$AW$1850,1040),{"利用可","両方停止","運転がそろわない","判定不能"},0),"○","停","×","－"),"")</f>
        <v>×</v>
      </c>
      <c r="BI47" s="35" t="str">
        <f aca="false">IFERROR(CHOOSE(MATCH(INDEX(時間ごとの判定!$AW$3:$AW$1850,1041),{"利用可","両方停止","運転がそろわない","判定不能"},0),"○","停","×","－"),"")</f>
        <v>×</v>
      </c>
      <c r="BJ47" s="35" t="str">
        <f aca="false">IFERROR(CHOOSE(MATCH(INDEX(時間ごとの判定!$AW$3:$AW$1850,1042),{"利用可","両方停止","運転がそろわない","判定不能"},0),"○","停","×","－"),"")</f>
        <v>×</v>
      </c>
      <c r="BK47" s="35" t="str">
        <f aca="false">IFERROR(CHOOSE(MATCH(INDEX(時間ごとの判定!$AW$3:$AW$1850,1043),{"利用可","両方停止","運転がそろわない","判定不能"},0),"○","停","×","－"),"")</f>
        <v>○</v>
      </c>
      <c r="BL47" s="35" t="str">
        <f aca="false">IFERROR(CHOOSE(MATCH(INDEX(時間ごとの判定!$AW$3:$AW$1850,1044),{"利用可","両方停止","運転がそろわない","判定不能"},0),"○","停","×","－"),"")</f>
        <v>○</v>
      </c>
      <c r="BM47" s="35" t="str">
        <f aca="false">IFERROR(CHOOSE(MATCH(INDEX(時間ごとの判定!$AW$3:$AW$1850,1045),{"利用可","両方停止","運転がそろわない","判定不能"},0),"○","停","×","－"),"")</f>
        <v>○</v>
      </c>
      <c r="BN47" s="35" t="str">
        <f aca="false">IFERROR(CHOOSE(MATCH(INDEX(時間ごとの判定!$AW$3:$AW$1850,1046),{"利用可","両方停止","運転がそろわない","判定不能"},0),"○","停","×","－"),"")</f>
        <v>○</v>
      </c>
      <c r="BO47" s="35" t="str">
        <f aca="false">IFERROR(CHOOSE(MATCH(INDEX(時間ごとの判定!$AW$3:$AW$1850,1047),{"利用可","両方停止","運転がそろわない","判定不能"},0),"○","停","×","－"),"")</f>
        <v>○</v>
      </c>
      <c r="BP47" s="35" t="str">
        <f aca="false">IFERROR(CHOOSE(MATCH(INDEX(時間ごとの判定!$AW$3:$AW$1850,1048),{"利用可","両方停止","運転がそろわない","判定不能"},0),"○","停","×","－"),"")</f>
        <v>○</v>
      </c>
      <c r="BQ47" s="35" t="str">
        <f aca="false">IFERROR(CHOOSE(MATCH(INDEX(時間ごとの判定!$AW$3:$AW$1850,1049),{"利用可","両方停止","運転がそろわない","判定不能"},0),"○","停","×","－"),"")</f>
        <v>○</v>
      </c>
      <c r="BR47" s="35" t="str">
        <f aca="false">IFERROR(CHOOSE(MATCH(INDEX(時間ごとの判定!$AW$3:$AW$1850,1050),{"利用可","両方停止","運転がそろわない","判定不能"},0),"○","停","×","－"),"")</f>
        <v>×</v>
      </c>
      <c r="BS47" s="35" t="str">
        <f aca="false">IFERROR(CHOOSE(MATCH(INDEX(時間ごとの判定!$AW$3:$AW$1850,1051),{"利用可","両方停止","運転がそろわない","判定不能"},0),"○","停","×","－"),"")</f>
        <v>×</v>
      </c>
      <c r="BT47" s="35" t="str">
        <f aca="false">IFERROR(CHOOSE(MATCH(INDEX(時間ごとの判定!$AW$3:$AW$1850,1052),{"利用可","両方停止","運転がそろわない","判定不能"},0),"○","停","×","－"),"")</f>
        <v>×</v>
      </c>
      <c r="BU47" s="35" t="str">
        <f aca="false">IFERROR(CHOOSE(MATCH(INDEX(時間ごとの判定!$AW$3:$AW$1850,1053),{"利用可","両方停止","運転がそろわない","判定不能"},0),"○","停","×","－"),"")</f>
        <v>×</v>
      </c>
      <c r="BV47" s="35" t="str">
        <f aca="false">IFERROR(CHOOSE(MATCH(INDEX(時間ごとの判定!$AW$3:$AW$1850,1054),{"利用可","両方停止","運転がそろわない","判定不能"},0),"○","停","×","－"),"")</f>
        <v>×</v>
      </c>
      <c r="BW47" s="35" t="str">
        <f aca="false">IFERROR(CHOOSE(MATCH(INDEX(時間ごとの判定!$AW$3:$AW$1850,1055),{"利用可","両方停止","運転がそろわない","判定不能"},0),"○","停","×","－"),"")</f>
        <v>停</v>
      </c>
      <c r="BX47" s="35" t="str">
        <f aca="false">IFERROR(CHOOSE(MATCH(INDEX(時間ごとの判定!$AW$3:$AW$1850,1056),{"利用可","両方停止","運転がそろわない","判定不能"},0),"○","停","×","－"),"")</f>
        <v>停</v>
      </c>
    </row>
    <row r="48" customFormat="false" ht="15" hidden="false" customHeight="false" outlineLevel="0" collapsed="false">
      <c r="A48" s="33" t="n">
        <v>46276</v>
      </c>
      <c r="B48" s="34" t="s">
        <v>62</v>
      </c>
      <c r="C48" s="35" t="str">
        <f aca="false">IFERROR(CHOOSE(MATCH(INDEX(時間ごとの判定!$AQ$3:$AQ$1850,1057),{"利用可","両方停止","運転がそろわない","判定不能"},0),"○","停","×","－"),"")</f>
        <v>停</v>
      </c>
      <c r="D48" s="35" t="str">
        <f aca="false">IFERROR(CHOOSE(MATCH(INDEX(時間ごとの判定!$AQ$3:$AQ$1850,1058),{"利用可","両方停止","運転がそろわない","判定不能"},0),"○","停","×","－"),"")</f>
        <v>停</v>
      </c>
      <c r="E48" s="35" t="str">
        <f aca="false">IFERROR(CHOOSE(MATCH(INDEX(時間ごとの判定!$AQ$3:$AQ$1850,1059),{"利用可","両方停止","運転がそろわない","判定不能"},0),"○","停","×","－"),"")</f>
        <v>停</v>
      </c>
      <c r="F48" s="35" t="str">
        <f aca="false">IFERROR(CHOOSE(MATCH(INDEX(時間ごとの判定!$AQ$3:$AQ$1850,1060),{"利用可","両方停止","運転がそろわない","判定不能"},0),"○","停","×","－"),"")</f>
        <v>停</v>
      </c>
      <c r="G48" s="35" t="str">
        <f aca="false">IFERROR(CHOOSE(MATCH(INDEX(時間ごとの判定!$AQ$3:$AQ$1850,1061),{"利用可","両方停止","運転がそろわない","判定不能"},0),"○","停","×","－"),"")</f>
        <v>停</v>
      </c>
      <c r="H48" s="35" t="str">
        <f aca="false">IFERROR(CHOOSE(MATCH(INDEX(時間ごとの判定!$AQ$3:$AQ$1850,1062),{"利用可","両方停止","運転がそろわない","判定不能"},0),"○","停","×","－"),"")</f>
        <v>停</v>
      </c>
      <c r="I48" s="35" t="str">
        <f aca="false">IFERROR(CHOOSE(MATCH(INDEX(時間ごとの判定!$AQ$3:$AQ$1850,1063),{"利用可","両方停止","運転がそろわない","判定不能"},0),"○","停","×","－"),"")</f>
        <v>停</v>
      </c>
      <c r="J48" s="35" t="str">
        <f aca="false">IFERROR(CHOOSE(MATCH(INDEX(時間ごとの判定!$AQ$3:$AQ$1850,1064),{"利用可","両方停止","運転がそろわない","判定不能"},0),"○","停","×","－"),"")</f>
        <v>停</v>
      </c>
      <c r="K48" s="35" t="str">
        <f aca="false">IFERROR(CHOOSE(MATCH(INDEX(時間ごとの判定!$AQ$3:$AQ$1850,1065),{"利用可","両方停止","運転がそろわない","判定不能"},0),"○","停","×","－"),"")</f>
        <v>×</v>
      </c>
      <c r="L48" s="35" t="str">
        <f aca="false">IFERROR(CHOOSE(MATCH(INDEX(時間ごとの判定!$AQ$3:$AQ$1850,1066),{"利用可","両方停止","運転がそろわない","判定不能"},0),"○","停","×","－"),"")</f>
        <v>×</v>
      </c>
      <c r="M48" s="35" t="str">
        <f aca="false">IFERROR(CHOOSE(MATCH(INDEX(時間ごとの判定!$AQ$3:$AQ$1850,1067),{"利用可","両方停止","運転がそろわない","判定不能"},0),"○","停","×","－"),"")</f>
        <v>×</v>
      </c>
      <c r="N48" s="35" t="str">
        <f aca="false">IFERROR(CHOOSE(MATCH(INDEX(時間ごとの判定!$AQ$3:$AQ$1850,1068),{"利用可","両方停止","運転がそろわない","判定不能"},0),"○","停","×","－"),"")</f>
        <v>×</v>
      </c>
      <c r="O48" s="35" t="str">
        <f aca="false">IFERROR(CHOOSE(MATCH(INDEX(時間ごとの判定!$AQ$3:$AQ$1850,1069),{"利用可","両方停止","運転がそろわない","判定不能"},0),"○","停","×","－"),"")</f>
        <v>×</v>
      </c>
      <c r="P48" s="35" t="str">
        <f aca="false">IFERROR(CHOOSE(MATCH(INDEX(時間ごとの判定!$AQ$3:$AQ$1850,1070),{"利用可","両方停止","運転がそろわない","判定不能"},0),"○","停","×","－"),"")</f>
        <v>×</v>
      </c>
      <c r="Q48" s="35" t="str">
        <f aca="false">IFERROR(CHOOSE(MATCH(INDEX(時間ごとの判定!$AQ$3:$AQ$1850,1071),{"利用可","両方停止","運転がそろわない","判定不能"},0),"○","停","×","－"),"")</f>
        <v>×</v>
      </c>
      <c r="R48" s="35" t="str">
        <f aca="false">IFERROR(CHOOSE(MATCH(INDEX(時間ごとの判定!$AQ$3:$AQ$1850,1072),{"利用可","両方停止","運転がそろわない","判定不能"},0),"○","停","×","－"),"")</f>
        <v>×</v>
      </c>
      <c r="S48" s="35" t="str">
        <f aca="false">IFERROR(CHOOSE(MATCH(INDEX(時間ごとの判定!$AQ$3:$AQ$1850,1073),{"利用可","両方停止","運転がそろわない","判定不能"},0),"○","停","×","－"),"")</f>
        <v>×</v>
      </c>
      <c r="T48" s="35" t="str">
        <f aca="false">IFERROR(CHOOSE(MATCH(INDEX(時間ごとの判定!$AQ$3:$AQ$1850,1074),{"利用可","両方停止","運転がそろわない","判定不能"},0),"○","停","×","－"),"")</f>
        <v>×</v>
      </c>
      <c r="U48" s="35" t="str">
        <f aca="false">IFERROR(CHOOSE(MATCH(INDEX(時間ごとの判定!$AQ$3:$AQ$1850,1075),{"利用可","両方停止","運転がそろわない","判定不能"},0),"○","停","×","－"),"")</f>
        <v>×</v>
      </c>
      <c r="V48" s="35" t="str">
        <f aca="false">IFERROR(CHOOSE(MATCH(INDEX(時間ごとの判定!$AQ$3:$AQ$1850,1076),{"利用可","両方停止","運転がそろわない","判定不能"},0),"○","停","×","－"),"")</f>
        <v>停</v>
      </c>
      <c r="W48" s="35" t="str">
        <f aca="false">IFERROR(CHOOSE(MATCH(INDEX(時間ごとの判定!$AQ$3:$AQ$1850,1077),{"利用可","両方停止","運転がそろわない","判定不能"},0),"○","停","×","－"),"")</f>
        <v>停</v>
      </c>
      <c r="X48" s="35" t="str">
        <f aca="false">IFERROR(CHOOSE(MATCH(INDEX(時間ごとの判定!$AQ$3:$AQ$1850,1078),{"利用可","両方停止","運転がそろわない","判定不能"},0),"○","停","×","－"),"")</f>
        <v>停</v>
      </c>
      <c r="Y48" s="35" t="str">
        <f aca="false">IFERROR(CHOOSE(MATCH(INDEX(時間ごとの判定!$AQ$3:$AQ$1850,1079),{"利用可","両方停止","運転がそろわない","判定不能"},0),"○","停","×","－"),"")</f>
        <v>停</v>
      </c>
      <c r="Z48" s="35" t="str">
        <f aca="false">IFERROR(CHOOSE(MATCH(INDEX(時間ごとの判定!$AQ$3:$AQ$1850,1080),{"利用可","両方停止","運転がそろわない","判定不能"},0),"○","停","×","－"),"")</f>
        <v>停</v>
      </c>
      <c r="AA48" s="35"/>
      <c r="AB48" s="35" t="str">
        <f aca="false">IFERROR(CHOOSE(MATCH(INDEX(時間ごとの判定!$AT$3:$AT$1850,1057),{"利用可","両方停止","運転がそろわない","判定不能"},0),"○","停","×","－"),"")</f>
        <v>停</v>
      </c>
      <c r="AC48" s="35" t="str">
        <f aca="false">IFERROR(CHOOSE(MATCH(INDEX(時間ごとの判定!$AT$3:$AT$1850,1058),{"利用可","両方停止","運転がそろわない","判定不能"},0),"○","停","×","－"),"")</f>
        <v>停</v>
      </c>
      <c r="AD48" s="35" t="str">
        <f aca="false">IFERROR(CHOOSE(MATCH(INDEX(時間ごとの判定!$AT$3:$AT$1850,1059),{"利用可","両方停止","運転がそろわない","判定不能"},0),"○","停","×","－"),"")</f>
        <v>停</v>
      </c>
      <c r="AE48" s="35" t="str">
        <f aca="false">IFERROR(CHOOSE(MATCH(INDEX(時間ごとの判定!$AT$3:$AT$1850,1060),{"利用可","両方停止","運転がそろわない","判定不能"},0),"○","停","×","－"),"")</f>
        <v>停</v>
      </c>
      <c r="AF48" s="35" t="str">
        <f aca="false">IFERROR(CHOOSE(MATCH(INDEX(時間ごとの判定!$AT$3:$AT$1850,1061),{"利用可","両方停止","運転がそろわない","判定不能"},0),"○","停","×","－"),"")</f>
        <v>停</v>
      </c>
      <c r="AG48" s="35" t="str">
        <f aca="false">IFERROR(CHOOSE(MATCH(INDEX(時間ごとの判定!$AT$3:$AT$1850,1062),{"利用可","両方停止","運転がそろわない","判定不能"},0),"○","停","×","－"),"")</f>
        <v>停</v>
      </c>
      <c r="AH48" s="35" t="str">
        <f aca="false">IFERROR(CHOOSE(MATCH(INDEX(時間ごとの判定!$AT$3:$AT$1850,1063),{"利用可","両方停止","運転がそろわない","判定不能"},0),"○","停","×","－"),"")</f>
        <v>停</v>
      </c>
      <c r="AI48" s="35" t="str">
        <f aca="false">IFERROR(CHOOSE(MATCH(INDEX(時間ごとの判定!$AT$3:$AT$1850,1064),{"利用可","両方停止","運転がそろわない","判定不能"},0),"○","停","×","－"),"")</f>
        <v>停</v>
      </c>
      <c r="AJ48" s="35" t="str">
        <f aca="false">IFERROR(CHOOSE(MATCH(INDEX(時間ごとの判定!$AT$3:$AT$1850,1065),{"利用可","両方停止","運転がそろわない","判定不能"},0),"○","停","×","－"),"")</f>
        <v>停</v>
      </c>
      <c r="AK48" s="35" t="str">
        <f aca="false">IFERROR(CHOOSE(MATCH(INDEX(時間ごとの判定!$AT$3:$AT$1850,1066),{"利用可","両方停止","運転がそろわない","判定不能"},0),"○","停","×","－"),"")</f>
        <v>×</v>
      </c>
      <c r="AL48" s="35" t="str">
        <f aca="false">IFERROR(CHOOSE(MATCH(INDEX(時間ごとの判定!$AT$3:$AT$1850,1067),{"利用可","両方停止","運転がそろわない","判定不能"},0),"○","停","×","－"),"")</f>
        <v>×</v>
      </c>
      <c r="AM48" s="35" t="str">
        <f aca="false">IFERROR(CHOOSE(MATCH(INDEX(時間ごとの判定!$AT$3:$AT$1850,1068),{"利用可","両方停止","運転がそろわない","判定不能"},0),"○","停","×","－"),"")</f>
        <v>×</v>
      </c>
      <c r="AN48" s="35" t="str">
        <f aca="false">IFERROR(CHOOSE(MATCH(INDEX(時間ごとの判定!$AT$3:$AT$1850,1069),{"利用可","両方停止","運転がそろわない","判定不能"},0),"○","停","×","－"),"")</f>
        <v>×</v>
      </c>
      <c r="AO48" s="35" t="str">
        <f aca="false">IFERROR(CHOOSE(MATCH(INDEX(時間ごとの判定!$AT$3:$AT$1850,1070),{"利用可","両方停止","運転がそろわない","判定不能"},0),"○","停","×","－"),"")</f>
        <v>×</v>
      </c>
      <c r="AP48" s="35" t="str">
        <f aca="false">IFERROR(CHOOSE(MATCH(INDEX(時間ごとの判定!$AT$3:$AT$1850,1071),{"利用可","両方停止","運転がそろわない","判定不能"},0),"○","停","×","－"),"")</f>
        <v>○</v>
      </c>
      <c r="AQ48" s="35" t="str">
        <f aca="false">IFERROR(CHOOSE(MATCH(INDEX(時間ごとの判定!$AT$3:$AT$1850,1072),{"利用可","両方停止","運転がそろわない","判定不能"},0),"○","停","×","－"),"")</f>
        <v>×</v>
      </c>
      <c r="AR48" s="35" t="str">
        <f aca="false">IFERROR(CHOOSE(MATCH(INDEX(時間ごとの判定!$AT$3:$AT$1850,1073),{"利用可","両方停止","運転がそろわない","判定不能"},0),"○","停","×","－"),"")</f>
        <v>×</v>
      </c>
      <c r="AS48" s="35" t="str">
        <f aca="false">IFERROR(CHOOSE(MATCH(INDEX(時間ごとの判定!$AT$3:$AT$1850,1074),{"利用可","両方停止","運転がそろわない","判定不能"},0),"○","停","×","－"),"")</f>
        <v>×</v>
      </c>
      <c r="AT48" s="35" t="str">
        <f aca="false">IFERROR(CHOOSE(MATCH(INDEX(時間ごとの判定!$AT$3:$AT$1850,1075),{"利用可","両方停止","運転がそろわない","判定不能"},0),"○","停","×","－"),"")</f>
        <v>×</v>
      </c>
      <c r="AU48" s="35" t="str">
        <f aca="false">IFERROR(CHOOSE(MATCH(INDEX(時間ごとの判定!$AT$3:$AT$1850,1076),{"利用可","両方停止","運転がそろわない","判定不能"},0),"○","停","×","－"),"")</f>
        <v>×</v>
      </c>
      <c r="AV48" s="35" t="str">
        <f aca="false">IFERROR(CHOOSE(MATCH(INDEX(時間ごとの判定!$AT$3:$AT$1850,1077),{"利用可","両方停止","運転がそろわない","判定不能"},0),"○","停","×","－"),"")</f>
        <v>停</v>
      </c>
      <c r="AW48" s="35" t="str">
        <f aca="false">IFERROR(CHOOSE(MATCH(INDEX(時間ごとの判定!$AT$3:$AT$1850,1078),{"利用可","両方停止","運転がそろわない","判定不能"},0),"○","停","×","－"),"")</f>
        <v>停</v>
      </c>
      <c r="AX48" s="35" t="str">
        <f aca="false">IFERROR(CHOOSE(MATCH(INDEX(時間ごとの判定!$AT$3:$AT$1850,1079),{"利用可","両方停止","運転がそろわない","判定不能"},0),"○","停","×","－"),"")</f>
        <v>停</v>
      </c>
      <c r="AY48" s="35" t="str">
        <f aca="false">IFERROR(CHOOSE(MATCH(INDEX(時間ごとの判定!$AT$3:$AT$1850,1080),{"利用可","両方停止","運転がそろわない","判定不能"},0),"○","停","×","－"),"")</f>
        <v>停</v>
      </c>
      <c r="AZ48" s="35"/>
      <c r="BA48" s="35" t="str">
        <f aca="false">IFERROR(CHOOSE(MATCH(INDEX(時間ごとの判定!$AW$3:$AW$1850,1057),{"利用可","両方停止","運転がそろわない","判定不能"},0),"○","停","×","－"),"")</f>
        <v>停</v>
      </c>
      <c r="BB48" s="35" t="str">
        <f aca="false">IFERROR(CHOOSE(MATCH(INDEX(時間ごとの判定!$AW$3:$AW$1850,1058),{"利用可","両方停止","運転がそろわない","判定不能"},0),"○","停","×","－"),"")</f>
        <v>停</v>
      </c>
      <c r="BC48" s="35" t="str">
        <f aca="false">IFERROR(CHOOSE(MATCH(INDEX(時間ごとの判定!$AW$3:$AW$1850,1059),{"利用可","両方停止","運転がそろわない","判定不能"},0),"○","停","×","－"),"")</f>
        <v>停</v>
      </c>
      <c r="BD48" s="35" t="str">
        <f aca="false">IFERROR(CHOOSE(MATCH(INDEX(時間ごとの判定!$AW$3:$AW$1850,1060),{"利用可","両方停止","運転がそろわない","判定不能"},0),"○","停","×","－"),"")</f>
        <v>停</v>
      </c>
      <c r="BE48" s="35" t="str">
        <f aca="false">IFERROR(CHOOSE(MATCH(INDEX(時間ごとの判定!$AW$3:$AW$1850,1061),{"利用可","両方停止","運転がそろわない","判定不能"},0),"○","停","×","－"),"")</f>
        <v>停</v>
      </c>
      <c r="BF48" s="35" t="str">
        <f aca="false">IFERROR(CHOOSE(MATCH(INDEX(時間ごとの判定!$AW$3:$AW$1850,1062),{"利用可","両方停止","運転がそろわない","判定不能"},0),"○","停","×","－"),"")</f>
        <v>停</v>
      </c>
      <c r="BG48" s="35" t="str">
        <f aca="false">IFERROR(CHOOSE(MATCH(INDEX(時間ごとの判定!$AW$3:$AW$1850,1063),{"利用可","両方停止","運転がそろわない","判定不能"},0),"○","停","×","－"),"")</f>
        <v>×</v>
      </c>
      <c r="BH48" s="35" t="str">
        <f aca="false">IFERROR(CHOOSE(MATCH(INDEX(時間ごとの判定!$AW$3:$AW$1850,1064),{"利用可","両方停止","運転がそろわない","判定不能"},0),"○","停","×","－"),"")</f>
        <v>×</v>
      </c>
      <c r="BI48" s="35" t="str">
        <f aca="false">IFERROR(CHOOSE(MATCH(INDEX(時間ごとの判定!$AW$3:$AW$1850,1065),{"利用可","両方停止","運転がそろわない","判定不能"},0),"○","停","×","－"),"")</f>
        <v>×</v>
      </c>
      <c r="BJ48" s="35" t="str">
        <f aca="false">IFERROR(CHOOSE(MATCH(INDEX(時間ごとの判定!$AW$3:$AW$1850,1066),{"利用可","両方停止","運転がそろわない","判定不能"},0),"○","停","×","－"),"")</f>
        <v>×</v>
      </c>
      <c r="BK48" s="35" t="str">
        <f aca="false">IFERROR(CHOOSE(MATCH(INDEX(時間ごとの判定!$AW$3:$AW$1850,1067),{"利用可","両方停止","運転がそろわない","判定不能"},0),"○","停","×","－"),"")</f>
        <v>×</v>
      </c>
      <c r="BL48" s="35" t="str">
        <f aca="false">IFERROR(CHOOSE(MATCH(INDEX(時間ごとの判定!$AW$3:$AW$1850,1068),{"利用可","両方停止","運転がそろわない","判定不能"},0),"○","停","×","－"),"")</f>
        <v>×</v>
      </c>
      <c r="BM48" s="35" t="str">
        <f aca="false">IFERROR(CHOOSE(MATCH(INDEX(時間ごとの判定!$AW$3:$AW$1850,1069),{"利用可","両方停止","運転がそろわない","判定不能"},0),"○","停","×","－"),"")</f>
        <v>○</v>
      </c>
      <c r="BN48" s="35" t="str">
        <f aca="false">IFERROR(CHOOSE(MATCH(INDEX(時間ごとの判定!$AW$3:$AW$1850,1070),{"利用可","両方停止","運転がそろわない","判定不能"},0),"○","停","×","－"),"")</f>
        <v>○</v>
      </c>
      <c r="BO48" s="35" t="str">
        <f aca="false">IFERROR(CHOOSE(MATCH(INDEX(時間ごとの判定!$AW$3:$AW$1850,1071),{"利用可","両方停止","運転がそろわない","判定不能"},0),"○","停","×","－"),"")</f>
        <v>○</v>
      </c>
      <c r="BP48" s="35" t="str">
        <f aca="false">IFERROR(CHOOSE(MATCH(INDEX(時間ごとの判定!$AW$3:$AW$1850,1072),{"利用可","両方停止","運転がそろわない","判定不能"},0),"○","停","×","－"),"")</f>
        <v>○</v>
      </c>
      <c r="BQ48" s="35" t="str">
        <f aca="false">IFERROR(CHOOSE(MATCH(INDEX(時間ごとの判定!$AW$3:$AW$1850,1073),{"利用可","両方停止","運転がそろわない","判定不能"},0),"○","停","×","－"),"")</f>
        <v>○</v>
      </c>
      <c r="BR48" s="35" t="str">
        <f aca="false">IFERROR(CHOOSE(MATCH(INDEX(時間ごとの判定!$AW$3:$AW$1850,1074),{"利用可","両方停止","運転がそろわない","判定不能"},0),"○","停","×","－"),"")</f>
        <v>○</v>
      </c>
      <c r="BS48" s="35" t="str">
        <f aca="false">IFERROR(CHOOSE(MATCH(INDEX(時間ごとの判定!$AW$3:$AW$1850,1075),{"利用可","両方停止","運転がそろわない","判定不能"},0),"○","停","×","－"),"")</f>
        <v>○</v>
      </c>
      <c r="BT48" s="35" t="str">
        <f aca="false">IFERROR(CHOOSE(MATCH(INDEX(時間ごとの判定!$AW$3:$AW$1850,1076),{"利用可","両方停止","運転がそろわない","判定不能"},0),"○","停","×","－"),"")</f>
        <v>×</v>
      </c>
      <c r="BU48" s="35" t="str">
        <f aca="false">IFERROR(CHOOSE(MATCH(INDEX(時間ごとの判定!$AW$3:$AW$1850,1077),{"利用可","両方停止","運転がそろわない","判定不能"},0),"○","停","×","－"),"")</f>
        <v>停</v>
      </c>
      <c r="BV48" s="35" t="str">
        <f aca="false">IFERROR(CHOOSE(MATCH(INDEX(時間ごとの判定!$AW$3:$AW$1850,1078),{"利用可","両方停止","運転がそろわない","判定不能"},0),"○","停","×","－"),"")</f>
        <v>停</v>
      </c>
      <c r="BW48" s="35" t="str">
        <f aca="false">IFERROR(CHOOSE(MATCH(INDEX(時間ごとの判定!$AW$3:$AW$1850,1079),{"利用可","両方停止","運転がそろわない","判定不能"},0),"○","停","×","－"),"")</f>
        <v>停</v>
      </c>
      <c r="BX48" s="35" t="str">
        <f aca="false">IFERROR(CHOOSE(MATCH(INDEX(時間ごとの判定!$AW$3:$AW$1850,1080),{"利用可","両方停止","運転がそろわない","判定不能"},0),"○","停","×","－"),"")</f>
        <v>停</v>
      </c>
    </row>
    <row r="49" customFormat="false" ht="15" hidden="false" customHeight="false" outlineLevel="0" collapsed="false">
      <c r="A49" s="33" t="n">
        <v>46277</v>
      </c>
      <c r="B49" s="36" t="s">
        <v>63</v>
      </c>
      <c r="C49" s="35" t="str">
        <f aca="false">IFERROR(CHOOSE(MATCH(INDEX(時間ごとの判定!$AQ$3:$AQ$1850,1081),{"利用可","両方停止","運転がそろわない","判定不能"},0),"○","停","×","－"),"")</f>
        <v>停</v>
      </c>
      <c r="D49" s="35" t="str">
        <f aca="false">IFERROR(CHOOSE(MATCH(INDEX(時間ごとの判定!$AQ$3:$AQ$1850,1082),{"利用可","両方停止","運転がそろわない","判定不能"},0),"○","停","×","－"),"")</f>
        <v>停</v>
      </c>
      <c r="E49" s="35" t="str">
        <f aca="false">IFERROR(CHOOSE(MATCH(INDEX(時間ごとの判定!$AQ$3:$AQ$1850,1083),{"利用可","両方停止","運転がそろわない","判定不能"},0),"○","停","×","－"),"")</f>
        <v>停</v>
      </c>
      <c r="F49" s="35" t="str">
        <f aca="false">IFERROR(CHOOSE(MATCH(INDEX(時間ごとの判定!$AQ$3:$AQ$1850,1084),{"利用可","両方停止","運転がそろわない","判定不能"},0),"○","停","×","－"),"")</f>
        <v>停</v>
      </c>
      <c r="G49" s="35" t="str">
        <f aca="false">IFERROR(CHOOSE(MATCH(INDEX(時間ごとの判定!$AQ$3:$AQ$1850,1085),{"利用可","両方停止","運転がそろわない","判定不能"},0),"○","停","×","－"),"")</f>
        <v>停</v>
      </c>
      <c r="H49" s="35" t="str">
        <f aca="false">IFERROR(CHOOSE(MATCH(INDEX(時間ごとの判定!$AQ$3:$AQ$1850,1086),{"利用可","両方停止","運転がそろわない","判定不能"},0),"○","停","×","－"),"")</f>
        <v>停</v>
      </c>
      <c r="I49" s="35" t="str">
        <f aca="false">IFERROR(CHOOSE(MATCH(INDEX(時間ごとの判定!$AQ$3:$AQ$1850,1087),{"利用可","両方停止","運転がそろわない","判定不能"},0),"○","停","×","－"),"")</f>
        <v>停</v>
      </c>
      <c r="J49" s="35" t="str">
        <f aca="false">IFERROR(CHOOSE(MATCH(INDEX(時間ごとの判定!$AQ$3:$AQ$1850,1088),{"利用可","両方停止","運転がそろわない","判定不能"},0),"○","停","×","－"),"")</f>
        <v>停</v>
      </c>
      <c r="K49" s="35" t="str">
        <f aca="false">IFERROR(CHOOSE(MATCH(INDEX(時間ごとの判定!$AQ$3:$AQ$1850,1089),{"利用可","両方停止","運転がそろわない","判定不能"},0),"○","停","×","－"),"")</f>
        <v>×</v>
      </c>
      <c r="L49" s="35" t="str">
        <f aca="false">IFERROR(CHOOSE(MATCH(INDEX(時間ごとの判定!$AQ$3:$AQ$1850,1090),{"利用可","両方停止","運転がそろわない","判定不能"},0),"○","停","×","－"),"")</f>
        <v>×</v>
      </c>
      <c r="M49" s="35" t="str">
        <f aca="false">IFERROR(CHOOSE(MATCH(INDEX(時間ごとの判定!$AQ$3:$AQ$1850,1091),{"利用可","両方停止","運転がそろわない","判定不能"},0),"○","停","×","－"),"")</f>
        <v>×</v>
      </c>
      <c r="N49" s="35" t="str">
        <f aca="false">IFERROR(CHOOSE(MATCH(INDEX(時間ごとの判定!$AQ$3:$AQ$1850,1092),{"利用可","両方停止","運転がそろわない","判定不能"},0),"○","停","×","－"),"")</f>
        <v>×</v>
      </c>
      <c r="O49" s="35" t="str">
        <f aca="false">IFERROR(CHOOSE(MATCH(INDEX(時間ごとの判定!$AQ$3:$AQ$1850,1093),{"利用可","両方停止","運転がそろわない","判定不能"},0),"○","停","×","－"),"")</f>
        <v>×</v>
      </c>
      <c r="P49" s="35" t="str">
        <f aca="false">IFERROR(CHOOSE(MATCH(INDEX(時間ごとの判定!$AQ$3:$AQ$1850,1094),{"利用可","両方停止","運転がそろわない","判定不能"},0),"○","停","×","－"),"")</f>
        <v>×</v>
      </c>
      <c r="Q49" s="35" t="str">
        <f aca="false">IFERROR(CHOOSE(MATCH(INDEX(時間ごとの判定!$AQ$3:$AQ$1850,1095),{"利用可","両方停止","運転がそろわない","判定不能"},0),"○","停","×","－"),"")</f>
        <v>○</v>
      </c>
      <c r="R49" s="35" t="str">
        <f aca="false">IFERROR(CHOOSE(MATCH(INDEX(時間ごとの判定!$AQ$3:$AQ$1850,1096),{"利用可","両方停止","運転がそろわない","判定不能"},0),"○","停","×","－"),"")</f>
        <v>○</v>
      </c>
      <c r="S49" s="35" t="str">
        <f aca="false">IFERROR(CHOOSE(MATCH(INDEX(時間ごとの判定!$AQ$3:$AQ$1850,1097),{"利用可","両方停止","運転がそろわない","判定不能"},0),"○","停","×","－"),"")</f>
        <v>×</v>
      </c>
      <c r="T49" s="35" t="str">
        <f aca="false">IFERROR(CHOOSE(MATCH(INDEX(時間ごとの判定!$AQ$3:$AQ$1850,1098),{"利用可","両方停止","運転がそろわない","判定不能"},0),"○","停","×","－"),"")</f>
        <v>×</v>
      </c>
      <c r="U49" s="35" t="str">
        <f aca="false">IFERROR(CHOOSE(MATCH(INDEX(時間ごとの判定!$AQ$3:$AQ$1850,1099),{"利用可","両方停止","運転がそろわない","判定不能"},0),"○","停","×","－"),"")</f>
        <v>×</v>
      </c>
      <c r="V49" s="35" t="str">
        <f aca="false">IFERROR(CHOOSE(MATCH(INDEX(時間ごとの判定!$AQ$3:$AQ$1850,1100),{"利用可","両方停止","運転がそろわない","判定不能"},0),"○","停","×","－"),"")</f>
        <v>×</v>
      </c>
      <c r="W49" s="35" t="str">
        <f aca="false">IFERROR(CHOOSE(MATCH(INDEX(時間ごとの判定!$AQ$3:$AQ$1850,1101),{"利用可","両方停止","運転がそろわない","判定不能"},0),"○","停","×","－"),"")</f>
        <v>×</v>
      </c>
      <c r="X49" s="35" t="str">
        <f aca="false">IFERROR(CHOOSE(MATCH(INDEX(時間ごとの判定!$AQ$3:$AQ$1850,1102),{"利用可","両方停止","運転がそろわない","判定不能"},0),"○","停","×","－"),"")</f>
        <v>停</v>
      </c>
      <c r="Y49" s="35" t="str">
        <f aca="false">IFERROR(CHOOSE(MATCH(INDEX(時間ごとの判定!$AQ$3:$AQ$1850,1103),{"利用可","両方停止","運転がそろわない","判定不能"},0),"○","停","×","－"),"")</f>
        <v>停</v>
      </c>
      <c r="Z49" s="35" t="str">
        <f aca="false">IFERROR(CHOOSE(MATCH(INDEX(時間ごとの判定!$AQ$3:$AQ$1850,1104),{"利用可","両方停止","運転がそろわない","判定不能"},0),"○","停","×","－"),"")</f>
        <v>停</v>
      </c>
      <c r="AA49" s="35"/>
      <c r="AB49" s="35" t="str">
        <f aca="false">IFERROR(CHOOSE(MATCH(INDEX(時間ごとの判定!$AT$3:$AT$1850,1081),{"利用可","両方停止","運転がそろわない","判定不能"},0),"○","停","×","－"),"")</f>
        <v>停</v>
      </c>
      <c r="AC49" s="35" t="str">
        <f aca="false">IFERROR(CHOOSE(MATCH(INDEX(時間ごとの判定!$AT$3:$AT$1850,1082),{"利用可","両方停止","運転がそろわない","判定不能"},0),"○","停","×","－"),"")</f>
        <v>停</v>
      </c>
      <c r="AD49" s="35" t="str">
        <f aca="false">IFERROR(CHOOSE(MATCH(INDEX(時間ごとの判定!$AT$3:$AT$1850,1083),{"利用可","両方停止","運転がそろわない","判定不能"},0),"○","停","×","－"),"")</f>
        <v>停</v>
      </c>
      <c r="AE49" s="35" t="str">
        <f aca="false">IFERROR(CHOOSE(MATCH(INDEX(時間ごとの判定!$AT$3:$AT$1850,1084),{"利用可","両方停止","運転がそろわない","判定不能"},0),"○","停","×","－"),"")</f>
        <v>停</v>
      </c>
      <c r="AF49" s="35" t="str">
        <f aca="false">IFERROR(CHOOSE(MATCH(INDEX(時間ごとの判定!$AT$3:$AT$1850,1085),{"利用可","両方停止","運転がそろわない","判定不能"},0),"○","停","×","－"),"")</f>
        <v>停</v>
      </c>
      <c r="AG49" s="35" t="str">
        <f aca="false">IFERROR(CHOOSE(MATCH(INDEX(時間ごとの判定!$AT$3:$AT$1850,1086),{"利用可","両方停止","運転がそろわない","判定不能"},0),"○","停","×","－"),"")</f>
        <v>停</v>
      </c>
      <c r="AH49" s="35" t="str">
        <f aca="false">IFERROR(CHOOSE(MATCH(INDEX(時間ごとの判定!$AT$3:$AT$1850,1087),{"利用可","両方停止","運転がそろわない","判定不能"},0),"○","停","×","－"),"")</f>
        <v>停</v>
      </c>
      <c r="AI49" s="35" t="str">
        <f aca="false">IFERROR(CHOOSE(MATCH(INDEX(時間ごとの判定!$AT$3:$AT$1850,1088),{"利用可","両方停止","運転がそろわない","判定不能"},0),"○","停","×","－"),"")</f>
        <v>停</v>
      </c>
      <c r="AJ49" s="35" t="str">
        <f aca="false">IFERROR(CHOOSE(MATCH(INDEX(時間ごとの判定!$AT$3:$AT$1850,1089),{"利用可","両方停止","運転がそろわない","判定不能"},0),"○","停","×","－"),"")</f>
        <v>停</v>
      </c>
      <c r="AK49" s="35" t="str">
        <f aca="false">IFERROR(CHOOSE(MATCH(INDEX(時間ごとの判定!$AT$3:$AT$1850,1090),{"利用可","両方停止","運転がそろわない","判定不能"},0),"○","停","×","－"),"")</f>
        <v>×</v>
      </c>
      <c r="AL49" s="35" t="str">
        <f aca="false">IFERROR(CHOOSE(MATCH(INDEX(時間ごとの判定!$AT$3:$AT$1850,1091),{"利用可","両方停止","運転がそろわない","判定不能"},0),"○","停","×","－"),"")</f>
        <v>×</v>
      </c>
      <c r="AM49" s="35" t="str">
        <f aca="false">IFERROR(CHOOSE(MATCH(INDEX(時間ごとの判定!$AT$3:$AT$1850,1092),{"利用可","両方停止","運転がそろわない","判定不能"},0),"○","停","×","－"),"")</f>
        <v>×</v>
      </c>
      <c r="AN49" s="35" t="str">
        <f aca="false">IFERROR(CHOOSE(MATCH(INDEX(時間ごとの判定!$AT$3:$AT$1850,1093),{"利用可","両方停止","運転がそろわない","判定不能"},0),"○","停","×","－"),"")</f>
        <v>×</v>
      </c>
      <c r="AO49" s="35" t="str">
        <f aca="false">IFERROR(CHOOSE(MATCH(INDEX(時間ごとの判定!$AT$3:$AT$1850,1094),{"利用可","両方停止","運転がそろわない","判定不能"},0),"○","停","×","－"),"")</f>
        <v>○</v>
      </c>
      <c r="AP49" s="35" t="str">
        <f aca="false">IFERROR(CHOOSE(MATCH(INDEX(時間ごとの判定!$AT$3:$AT$1850,1095),{"利用可","両方停止","運転がそろわない","判定不能"},0),"○","停","×","－"),"")</f>
        <v>○</v>
      </c>
      <c r="AQ49" s="35" t="str">
        <f aca="false">IFERROR(CHOOSE(MATCH(INDEX(時間ごとの判定!$AT$3:$AT$1850,1096),{"利用可","両方停止","運転がそろわない","判定不能"},0),"○","停","×","－"),"")</f>
        <v>×</v>
      </c>
      <c r="AR49" s="35" t="str">
        <f aca="false">IFERROR(CHOOSE(MATCH(INDEX(時間ごとの判定!$AT$3:$AT$1850,1097),{"利用可","両方停止","運転がそろわない","判定不能"},0),"○","停","×","－"),"")</f>
        <v>×</v>
      </c>
      <c r="AS49" s="35" t="str">
        <f aca="false">IFERROR(CHOOSE(MATCH(INDEX(時間ごとの判定!$AT$3:$AT$1850,1098),{"利用可","両方停止","運転がそろわない","判定不能"},0),"○","停","×","－"),"")</f>
        <v>×</v>
      </c>
      <c r="AT49" s="35" t="str">
        <f aca="false">IFERROR(CHOOSE(MATCH(INDEX(時間ごとの判定!$AT$3:$AT$1850,1099),{"利用可","両方停止","運転がそろわない","判定不能"},0),"○","停","×","－"),"")</f>
        <v>停</v>
      </c>
      <c r="AU49" s="35" t="str">
        <f aca="false">IFERROR(CHOOSE(MATCH(INDEX(時間ごとの判定!$AT$3:$AT$1850,1100),{"利用可","両方停止","運転がそろわない","判定不能"},0),"○","停","×","－"),"")</f>
        <v>×</v>
      </c>
      <c r="AV49" s="35" t="str">
        <f aca="false">IFERROR(CHOOSE(MATCH(INDEX(時間ごとの判定!$AT$3:$AT$1850,1101),{"利用可","両方停止","運転がそろわない","判定不能"},0),"○","停","×","－"),"")</f>
        <v>×</v>
      </c>
      <c r="AW49" s="35" t="str">
        <f aca="false">IFERROR(CHOOSE(MATCH(INDEX(時間ごとの判定!$AT$3:$AT$1850,1102),{"利用可","両方停止","運転がそろわない","判定不能"},0),"○","停","×","－"),"")</f>
        <v>停</v>
      </c>
      <c r="AX49" s="35" t="str">
        <f aca="false">IFERROR(CHOOSE(MATCH(INDEX(時間ごとの判定!$AT$3:$AT$1850,1103),{"利用可","両方停止","運転がそろわない","判定不能"},0),"○","停","×","－"),"")</f>
        <v>停</v>
      </c>
      <c r="AY49" s="35" t="str">
        <f aca="false">IFERROR(CHOOSE(MATCH(INDEX(時間ごとの判定!$AT$3:$AT$1850,1104),{"利用可","両方停止","運転がそろわない","判定不能"},0),"○","停","×","－"),"")</f>
        <v>停</v>
      </c>
      <c r="AZ49" s="35"/>
      <c r="BA49" s="35" t="str">
        <f aca="false">IFERROR(CHOOSE(MATCH(INDEX(時間ごとの判定!$AW$3:$AW$1850,1081),{"利用可","両方停止","運転がそろわない","判定不能"},0),"○","停","×","－"),"")</f>
        <v>停</v>
      </c>
      <c r="BB49" s="35" t="str">
        <f aca="false">IFERROR(CHOOSE(MATCH(INDEX(時間ごとの判定!$AW$3:$AW$1850,1082),{"利用可","両方停止","運転がそろわない","判定不能"},0),"○","停","×","－"),"")</f>
        <v>停</v>
      </c>
      <c r="BC49" s="35" t="str">
        <f aca="false">IFERROR(CHOOSE(MATCH(INDEX(時間ごとの判定!$AW$3:$AW$1850,1083),{"利用可","両方停止","運転がそろわない","判定不能"},0),"○","停","×","－"),"")</f>
        <v>停</v>
      </c>
      <c r="BD49" s="35" t="str">
        <f aca="false">IFERROR(CHOOSE(MATCH(INDEX(時間ごとの判定!$AW$3:$AW$1850,1084),{"利用可","両方停止","運転がそろわない","判定不能"},0),"○","停","×","－"),"")</f>
        <v>停</v>
      </c>
      <c r="BE49" s="35" t="str">
        <f aca="false">IFERROR(CHOOSE(MATCH(INDEX(時間ごとの判定!$AW$3:$AW$1850,1085),{"利用可","両方停止","運転がそろわない","判定不能"},0),"○","停","×","－"),"")</f>
        <v>停</v>
      </c>
      <c r="BF49" s="35" t="str">
        <f aca="false">IFERROR(CHOOSE(MATCH(INDEX(時間ごとの判定!$AW$3:$AW$1850,1086),{"利用可","両方停止","運転がそろわない","判定不能"},0),"○","停","×","－"),"")</f>
        <v>停</v>
      </c>
      <c r="BG49" s="35" t="str">
        <f aca="false">IFERROR(CHOOSE(MATCH(INDEX(時間ごとの判定!$AW$3:$AW$1850,1087),{"利用可","両方停止","運転がそろわない","判定不能"},0),"○","停","×","－"),"")</f>
        <v>停</v>
      </c>
      <c r="BH49" s="35" t="str">
        <f aca="false">IFERROR(CHOOSE(MATCH(INDEX(時間ごとの判定!$AW$3:$AW$1850,1088),{"利用可","両方停止","運転がそろわない","判定不能"},0),"○","停","×","－"),"")</f>
        <v>停</v>
      </c>
      <c r="BI49" s="35" t="str">
        <f aca="false">IFERROR(CHOOSE(MATCH(INDEX(時間ごとの判定!$AW$3:$AW$1850,1089),{"利用可","両方停止","運転がそろわない","判定不能"},0),"○","停","×","－"),"")</f>
        <v>×</v>
      </c>
      <c r="BJ49" s="35" t="str">
        <f aca="false">IFERROR(CHOOSE(MATCH(INDEX(時間ごとの判定!$AW$3:$AW$1850,1090),{"利用可","両方停止","運転がそろわない","判定不能"},0),"○","停","×","－"),"")</f>
        <v>×</v>
      </c>
      <c r="BK49" s="35" t="str">
        <f aca="false">IFERROR(CHOOSE(MATCH(INDEX(時間ごとの判定!$AW$3:$AW$1850,1091),{"利用可","両方停止","運転がそろわない","判定不能"},0),"○","停","×","－"),"")</f>
        <v>○</v>
      </c>
      <c r="BL49" s="35" t="str">
        <f aca="false">IFERROR(CHOOSE(MATCH(INDEX(時間ごとの判定!$AW$3:$AW$1850,1092),{"利用可","両方停止","運転がそろわない","判定不能"},0),"○","停","×","－"),"")</f>
        <v>○</v>
      </c>
      <c r="BM49" s="35" t="str">
        <f aca="false">IFERROR(CHOOSE(MATCH(INDEX(時間ごとの判定!$AW$3:$AW$1850,1093),{"利用可","両方停止","運転がそろわない","判定不能"},0),"○","停","×","－"),"")</f>
        <v>○</v>
      </c>
      <c r="BN49" s="35" t="str">
        <f aca="false">IFERROR(CHOOSE(MATCH(INDEX(時間ごとの判定!$AW$3:$AW$1850,1094),{"利用可","両方停止","運転がそろわない","判定不能"},0),"○","停","×","－"),"")</f>
        <v>○</v>
      </c>
      <c r="BO49" s="35" t="str">
        <f aca="false">IFERROR(CHOOSE(MATCH(INDEX(時間ごとの判定!$AW$3:$AW$1850,1095),{"利用可","両方停止","運転がそろわない","判定不能"},0),"○","停","×","－"),"")</f>
        <v>○</v>
      </c>
      <c r="BP49" s="35" t="str">
        <f aca="false">IFERROR(CHOOSE(MATCH(INDEX(時間ごとの判定!$AW$3:$AW$1850,1096),{"利用可","両方停止","運転がそろわない","判定不能"},0),"○","停","×","－"),"")</f>
        <v>○</v>
      </c>
      <c r="BQ49" s="35" t="str">
        <f aca="false">IFERROR(CHOOSE(MATCH(INDEX(時間ごとの判定!$AW$3:$AW$1850,1097),{"利用可","両方停止","運転がそろわない","判定不能"},0),"○","停","×","－"),"")</f>
        <v>×</v>
      </c>
      <c r="BR49" s="35" t="str">
        <f aca="false">IFERROR(CHOOSE(MATCH(INDEX(時間ごとの判定!$AW$3:$AW$1850,1098),{"利用可","両方停止","運転がそろわない","判定不能"},0),"○","停","×","－"),"")</f>
        <v>○</v>
      </c>
      <c r="BS49" s="35" t="str">
        <f aca="false">IFERROR(CHOOSE(MATCH(INDEX(時間ごとの判定!$AW$3:$AW$1850,1099),{"利用可","両方停止","運転がそろわない","判定不能"},0),"○","停","×","－"),"")</f>
        <v>×</v>
      </c>
      <c r="BT49" s="35" t="str">
        <f aca="false">IFERROR(CHOOSE(MATCH(INDEX(時間ごとの判定!$AW$3:$AW$1850,1100),{"利用可","両方停止","運転がそろわない","判定不能"},0),"○","停","×","－"),"")</f>
        <v>停</v>
      </c>
      <c r="BU49" s="35" t="str">
        <f aca="false">IFERROR(CHOOSE(MATCH(INDEX(時間ごとの判定!$AW$3:$AW$1850,1101),{"利用可","両方停止","運転がそろわない","判定不能"},0),"○","停","×","－"),"")</f>
        <v>×</v>
      </c>
      <c r="BV49" s="35" t="str">
        <f aca="false">IFERROR(CHOOSE(MATCH(INDEX(時間ごとの判定!$AW$3:$AW$1850,1102),{"利用可","両方停止","運転がそろわない","判定不能"},0),"○","停","×","－"),"")</f>
        <v>×</v>
      </c>
      <c r="BW49" s="35" t="str">
        <f aca="false">IFERROR(CHOOSE(MATCH(INDEX(時間ごとの判定!$AW$3:$AW$1850,1103),{"利用可","両方停止","運転がそろわない","判定不能"},0),"○","停","×","－"),"")</f>
        <v>停</v>
      </c>
      <c r="BX49" s="35" t="str">
        <f aca="false">IFERROR(CHOOSE(MATCH(INDEX(時間ごとの判定!$AW$3:$AW$1850,1104),{"利用可","両方停止","運転がそろわない","判定不能"},0),"○","停","×","－"),"")</f>
        <v>停</v>
      </c>
    </row>
    <row r="50" customFormat="false" ht="15" hidden="false" customHeight="false" outlineLevel="0" collapsed="false">
      <c r="A50" s="33" t="n">
        <v>46278</v>
      </c>
      <c r="B50" s="36" t="s">
        <v>65</v>
      </c>
      <c r="C50" s="35" t="str">
        <f aca="false">IFERROR(CHOOSE(MATCH(INDEX(時間ごとの判定!$AQ$3:$AQ$1850,1105),{"利用可","両方停止","運転がそろわない","判定不能"},0),"○","停","×","－"),"")</f>
        <v>停</v>
      </c>
      <c r="D50" s="35" t="str">
        <f aca="false">IFERROR(CHOOSE(MATCH(INDEX(時間ごとの判定!$AQ$3:$AQ$1850,1106),{"利用可","両方停止","運転がそろわない","判定不能"},0),"○","停","×","－"),"")</f>
        <v>停</v>
      </c>
      <c r="E50" s="35" t="str">
        <f aca="false">IFERROR(CHOOSE(MATCH(INDEX(時間ごとの判定!$AQ$3:$AQ$1850,1107),{"利用可","両方停止","運転がそろわない","判定不能"},0),"○","停","×","－"),"")</f>
        <v>停</v>
      </c>
      <c r="F50" s="35" t="str">
        <f aca="false">IFERROR(CHOOSE(MATCH(INDEX(時間ごとの判定!$AQ$3:$AQ$1850,1108),{"利用可","両方停止","運転がそろわない","判定不能"},0),"○","停","×","－"),"")</f>
        <v>停</v>
      </c>
      <c r="G50" s="35" t="str">
        <f aca="false">IFERROR(CHOOSE(MATCH(INDEX(時間ごとの判定!$AQ$3:$AQ$1850,1109),{"利用可","両方停止","運転がそろわない","判定不能"},0),"○","停","×","－"),"")</f>
        <v>停</v>
      </c>
      <c r="H50" s="35" t="str">
        <f aca="false">IFERROR(CHOOSE(MATCH(INDEX(時間ごとの判定!$AQ$3:$AQ$1850,1110),{"利用可","両方停止","運転がそろわない","判定不能"},0),"○","停","×","－"),"")</f>
        <v>停</v>
      </c>
      <c r="I50" s="35" t="str">
        <f aca="false">IFERROR(CHOOSE(MATCH(INDEX(時間ごとの判定!$AQ$3:$AQ$1850,1111),{"利用可","両方停止","運転がそろわない","判定不能"},0),"○","停","×","－"),"")</f>
        <v>停</v>
      </c>
      <c r="J50" s="35" t="str">
        <f aca="false">IFERROR(CHOOSE(MATCH(INDEX(時間ごとの判定!$AQ$3:$AQ$1850,1112),{"利用可","両方停止","運転がそろわない","判定不能"},0),"○","停","×","－"),"")</f>
        <v>×</v>
      </c>
      <c r="K50" s="35" t="str">
        <f aca="false">IFERROR(CHOOSE(MATCH(INDEX(時間ごとの判定!$AQ$3:$AQ$1850,1113),{"利用可","両方停止","運転がそろわない","判定不能"},0),"○","停","×","－"),"")</f>
        <v>×</v>
      </c>
      <c r="L50" s="35" t="str">
        <f aca="false">IFERROR(CHOOSE(MATCH(INDEX(時間ごとの判定!$AQ$3:$AQ$1850,1114),{"利用可","両方停止","運転がそろわない","判定不能"},0),"○","停","×","－"),"")</f>
        <v>×</v>
      </c>
      <c r="M50" s="35" t="str">
        <f aca="false">IFERROR(CHOOSE(MATCH(INDEX(時間ごとの判定!$AQ$3:$AQ$1850,1115),{"利用可","両方停止","運転がそろわない","判定不能"},0),"○","停","×","－"),"")</f>
        <v>×</v>
      </c>
      <c r="N50" s="35" t="str">
        <f aca="false">IFERROR(CHOOSE(MATCH(INDEX(時間ごとの判定!$AQ$3:$AQ$1850,1116),{"利用可","両方停止","運転がそろわない","判定不能"},0),"○","停","×","－"),"")</f>
        <v>×</v>
      </c>
      <c r="O50" s="35" t="str">
        <f aca="false">IFERROR(CHOOSE(MATCH(INDEX(時間ごとの判定!$AQ$3:$AQ$1850,1117),{"利用可","両方停止","運転がそろわない","判定不能"},0),"○","停","×","－"),"")</f>
        <v>○</v>
      </c>
      <c r="P50" s="35" t="str">
        <f aca="false">IFERROR(CHOOSE(MATCH(INDEX(時間ごとの判定!$AQ$3:$AQ$1850,1118),{"利用可","両方停止","運転がそろわない","判定不能"},0),"○","停","×","－"),"")</f>
        <v>○</v>
      </c>
      <c r="Q50" s="35" t="str">
        <f aca="false">IFERROR(CHOOSE(MATCH(INDEX(時間ごとの判定!$AQ$3:$AQ$1850,1119),{"利用可","両方停止","運転がそろわない","判定不能"},0),"○","停","×","－"),"")</f>
        <v>○</v>
      </c>
      <c r="R50" s="35" t="str">
        <f aca="false">IFERROR(CHOOSE(MATCH(INDEX(時間ごとの判定!$AQ$3:$AQ$1850,1120),{"利用可","両方停止","運転がそろわない","判定不能"},0),"○","停","×","－"),"")</f>
        <v>○</v>
      </c>
      <c r="S50" s="35" t="str">
        <f aca="false">IFERROR(CHOOSE(MATCH(INDEX(時間ごとの判定!$AQ$3:$AQ$1850,1121),{"利用可","両方停止","運転がそろわない","判定不能"},0),"○","停","×","－"),"")</f>
        <v>×</v>
      </c>
      <c r="T50" s="35" t="str">
        <f aca="false">IFERROR(CHOOSE(MATCH(INDEX(時間ごとの判定!$AQ$3:$AQ$1850,1122),{"利用可","両方停止","運転がそろわない","判定不能"},0),"○","停","×","－"),"")</f>
        <v>○</v>
      </c>
      <c r="U50" s="35" t="str">
        <f aca="false">IFERROR(CHOOSE(MATCH(INDEX(時間ごとの判定!$AQ$3:$AQ$1850,1123),{"利用可","両方停止","運転がそろわない","判定不能"},0),"○","停","×","－"),"")</f>
        <v>停</v>
      </c>
      <c r="V50" s="35" t="str">
        <f aca="false">IFERROR(CHOOSE(MATCH(INDEX(時間ごとの判定!$AQ$3:$AQ$1850,1124),{"利用可","両方停止","運転がそろわない","判定不能"},0),"○","停","×","－"),"")</f>
        <v>×</v>
      </c>
      <c r="W50" s="35" t="str">
        <f aca="false">IFERROR(CHOOSE(MATCH(INDEX(時間ごとの判定!$AQ$3:$AQ$1850,1125),{"利用可","両方停止","運転がそろわない","判定不能"},0),"○","停","×","－"),"")</f>
        <v>×</v>
      </c>
      <c r="X50" s="35" t="str">
        <f aca="false">IFERROR(CHOOSE(MATCH(INDEX(時間ごとの判定!$AQ$3:$AQ$1850,1126),{"利用可","両方停止","運転がそろわない","判定不能"},0),"○","停","×","－"),"")</f>
        <v>停</v>
      </c>
      <c r="Y50" s="35" t="str">
        <f aca="false">IFERROR(CHOOSE(MATCH(INDEX(時間ごとの判定!$AQ$3:$AQ$1850,1127),{"利用可","両方停止","運転がそろわない","判定不能"},0),"○","停","×","－"),"")</f>
        <v>停</v>
      </c>
      <c r="Z50" s="35" t="str">
        <f aca="false">IFERROR(CHOOSE(MATCH(INDEX(時間ごとの判定!$AQ$3:$AQ$1850,1128),{"利用可","両方停止","運転がそろわない","判定不能"},0),"○","停","×","－"),"")</f>
        <v>停</v>
      </c>
      <c r="AA50" s="35"/>
      <c r="AB50" s="35" t="str">
        <f aca="false">IFERROR(CHOOSE(MATCH(INDEX(時間ごとの判定!$AT$3:$AT$1850,1105),{"利用可","両方停止","運転がそろわない","判定不能"},0),"○","停","×","－"),"")</f>
        <v>停</v>
      </c>
      <c r="AC50" s="35" t="str">
        <f aca="false">IFERROR(CHOOSE(MATCH(INDEX(時間ごとの判定!$AT$3:$AT$1850,1106),{"利用可","両方停止","運転がそろわない","判定不能"},0),"○","停","×","－"),"")</f>
        <v>停</v>
      </c>
      <c r="AD50" s="35" t="str">
        <f aca="false">IFERROR(CHOOSE(MATCH(INDEX(時間ごとの判定!$AT$3:$AT$1850,1107),{"利用可","両方停止","運転がそろわない","判定不能"},0),"○","停","×","－"),"")</f>
        <v>停</v>
      </c>
      <c r="AE50" s="35" t="str">
        <f aca="false">IFERROR(CHOOSE(MATCH(INDEX(時間ごとの判定!$AT$3:$AT$1850,1108),{"利用可","両方停止","運転がそろわない","判定不能"},0),"○","停","×","－"),"")</f>
        <v>停</v>
      </c>
      <c r="AF50" s="35" t="str">
        <f aca="false">IFERROR(CHOOSE(MATCH(INDEX(時間ごとの判定!$AT$3:$AT$1850,1109),{"利用可","両方停止","運転がそろわない","判定不能"},0),"○","停","×","－"),"")</f>
        <v>停</v>
      </c>
      <c r="AG50" s="35" t="str">
        <f aca="false">IFERROR(CHOOSE(MATCH(INDEX(時間ごとの判定!$AT$3:$AT$1850,1110),{"利用可","両方停止","運転がそろわない","判定不能"},0),"○","停","×","－"),"")</f>
        <v>停</v>
      </c>
      <c r="AH50" s="35" t="str">
        <f aca="false">IFERROR(CHOOSE(MATCH(INDEX(時間ごとの判定!$AT$3:$AT$1850,1111),{"利用可","両方停止","運転がそろわない","判定不能"},0),"○","停","×","－"),"")</f>
        <v>停</v>
      </c>
      <c r="AI50" s="35" t="str">
        <f aca="false">IFERROR(CHOOSE(MATCH(INDEX(時間ごとの判定!$AT$3:$AT$1850,1112),{"利用可","両方停止","運転がそろわない","判定不能"},0),"○","停","×","－"),"")</f>
        <v>×</v>
      </c>
      <c r="AJ50" s="35" t="str">
        <f aca="false">IFERROR(CHOOSE(MATCH(INDEX(時間ごとの判定!$AT$3:$AT$1850,1113),{"利用可","両方停止","運転がそろわない","判定不能"},0),"○","停","×","－"),"")</f>
        <v>×</v>
      </c>
      <c r="AK50" s="35" t="str">
        <f aca="false">IFERROR(CHOOSE(MATCH(INDEX(時間ごとの判定!$AT$3:$AT$1850,1114),{"利用可","両方停止","運転がそろわない","判定不能"},0),"○","停","×","－"),"")</f>
        <v>×</v>
      </c>
      <c r="AL50" s="35" t="str">
        <f aca="false">IFERROR(CHOOSE(MATCH(INDEX(時間ごとの判定!$AT$3:$AT$1850,1115),{"利用可","両方停止","運転がそろわない","判定不能"},0),"○","停","×","－"),"")</f>
        <v>×</v>
      </c>
      <c r="AM50" s="35" t="str">
        <f aca="false">IFERROR(CHOOSE(MATCH(INDEX(時間ごとの判定!$AT$3:$AT$1850,1116),{"利用可","両方停止","運転がそろわない","判定不能"},0),"○","停","×","－"),"")</f>
        <v>×</v>
      </c>
      <c r="AN50" s="35" t="str">
        <f aca="false">IFERROR(CHOOSE(MATCH(INDEX(時間ごとの判定!$AT$3:$AT$1850,1117),{"利用可","両方停止","運転がそろわない","判定不能"},0),"○","停","×","－"),"")</f>
        <v>○</v>
      </c>
      <c r="AO50" s="35" t="str">
        <f aca="false">IFERROR(CHOOSE(MATCH(INDEX(時間ごとの判定!$AT$3:$AT$1850,1118),{"利用可","両方停止","運転がそろわない","判定不能"},0),"○","停","×","－"),"")</f>
        <v>○</v>
      </c>
      <c r="AP50" s="35" t="str">
        <f aca="false">IFERROR(CHOOSE(MATCH(INDEX(時間ごとの判定!$AT$3:$AT$1850,1119),{"利用可","両方停止","運転がそろわない","判定不能"},0),"○","停","×","－"),"")</f>
        <v>○</v>
      </c>
      <c r="AQ50" s="35" t="str">
        <f aca="false">IFERROR(CHOOSE(MATCH(INDEX(時間ごとの判定!$AT$3:$AT$1850,1120),{"利用可","両方停止","運転がそろわない","判定不能"},0),"○","停","×","－"),"")</f>
        <v>×</v>
      </c>
      <c r="AR50" s="35" t="str">
        <f aca="false">IFERROR(CHOOSE(MATCH(INDEX(時間ごとの判定!$AT$3:$AT$1850,1121),{"利用可","両方停止","運転がそろわない","判定不能"},0),"○","停","×","－"),"")</f>
        <v>×</v>
      </c>
      <c r="AS50" s="35" t="str">
        <f aca="false">IFERROR(CHOOSE(MATCH(INDEX(時間ごとの判定!$AT$3:$AT$1850,1122),{"利用可","両方停止","運転がそろわない","判定不能"},0),"○","停","×","－"),"")</f>
        <v>×</v>
      </c>
      <c r="AT50" s="35" t="str">
        <f aca="false">IFERROR(CHOOSE(MATCH(INDEX(時間ごとの判定!$AT$3:$AT$1850,1123),{"利用可","両方停止","運転がそろわない","判定不能"},0),"○","停","×","－"),"")</f>
        <v>停</v>
      </c>
      <c r="AU50" s="35" t="str">
        <f aca="false">IFERROR(CHOOSE(MATCH(INDEX(時間ごとの判定!$AT$3:$AT$1850,1124),{"利用可","両方停止","運転がそろわない","判定不能"},0),"○","停","×","－"),"")</f>
        <v>×</v>
      </c>
      <c r="AV50" s="35" t="str">
        <f aca="false">IFERROR(CHOOSE(MATCH(INDEX(時間ごとの判定!$AT$3:$AT$1850,1125),{"利用可","両方停止","運転がそろわない","判定不能"},0),"○","停","×","－"),"")</f>
        <v>×</v>
      </c>
      <c r="AW50" s="35" t="str">
        <f aca="false">IFERROR(CHOOSE(MATCH(INDEX(時間ごとの判定!$AT$3:$AT$1850,1126),{"利用可","両方停止","運転がそろわない","判定不能"},0),"○","停","×","－"),"")</f>
        <v>停</v>
      </c>
      <c r="AX50" s="35" t="str">
        <f aca="false">IFERROR(CHOOSE(MATCH(INDEX(時間ごとの判定!$AT$3:$AT$1850,1127),{"利用可","両方停止","運転がそろわない","判定不能"},0),"○","停","×","－"),"")</f>
        <v>停</v>
      </c>
      <c r="AY50" s="35" t="str">
        <f aca="false">IFERROR(CHOOSE(MATCH(INDEX(時間ごとの判定!$AT$3:$AT$1850,1128),{"利用可","両方停止","運転がそろわない","判定不能"},0),"○","停","×","－"),"")</f>
        <v>停</v>
      </c>
      <c r="AZ50" s="35"/>
      <c r="BA50" s="35" t="str">
        <f aca="false">IFERROR(CHOOSE(MATCH(INDEX(時間ごとの判定!$AW$3:$AW$1850,1105),{"利用可","両方停止","運転がそろわない","判定不能"},0),"○","停","×","－"),"")</f>
        <v>停</v>
      </c>
      <c r="BB50" s="35" t="str">
        <f aca="false">IFERROR(CHOOSE(MATCH(INDEX(時間ごとの判定!$AW$3:$AW$1850,1106),{"利用可","両方停止","運転がそろわない","判定不能"},0),"○","停","×","－"),"")</f>
        <v>停</v>
      </c>
      <c r="BC50" s="35" t="str">
        <f aca="false">IFERROR(CHOOSE(MATCH(INDEX(時間ごとの判定!$AW$3:$AW$1850,1107),{"利用可","両方停止","運転がそろわない","判定不能"},0),"○","停","×","－"),"")</f>
        <v>停</v>
      </c>
      <c r="BD50" s="35" t="str">
        <f aca="false">IFERROR(CHOOSE(MATCH(INDEX(時間ごとの判定!$AW$3:$AW$1850,1108),{"利用可","両方停止","運転がそろわない","判定不能"},0),"○","停","×","－"),"")</f>
        <v>停</v>
      </c>
      <c r="BE50" s="35" t="str">
        <f aca="false">IFERROR(CHOOSE(MATCH(INDEX(時間ごとの判定!$AW$3:$AW$1850,1109),{"利用可","両方停止","運転がそろわない","判定不能"},0),"○","停","×","－"),"")</f>
        <v>停</v>
      </c>
      <c r="BF50" s="35" t="str">
        <f aca="false">IFERROR(CHOOSE(MATCH(INDEX(時間ごとの判定!$AW$3:$AW$1850,1110),{"利用可","両方停止","運転がそろわない","判定不能"},0),"○","停","×","－"),"")</f>
        <v>停</v>
      </c>
      <c r="BG50" s="35" t="str">
        <f aca="false">IFERROR(CHOOSE(MATCH(INDEX(時間ごとの判定!$AW$3:$AW$1850,1111),{"利用可","両方停止","運転がそろわない","判定不能"},0),"○","停","×","－"),"")</f>
        <v>停</v>
      </c>
      <c r="BH50" s="35" t="str">
        <f aca="false">IFERROR(CHOOSE(MATCH(INDEX(時間ごとの判定!$AW$3:$AW$1850,1112),{"利用可","両方停止","運転がそろわない","判定不能"},0),"○","停","×","－"),"")</f>
        <v>×</v>
      </c>
      <c r="BI50" s="35" t="str">
        <f aca="false">IFERROR(CHOOSE(MATCH(INDEX(時間ごとの判定!$AW$3:$AW$1850,1113),{"利用可","両方停止","運転がそろわない","判定不能"},0),"○","停","×","－"),"")</f>
        <v>×</v>
      </c>
      <c r="BJ50" s="35" t="str">
        <f aca="false">IFERROR(CHOOSE(MATCH(INDEX(時間ごとの判定!$AW$3:$AW$1850,1114),{"利用可","両方停止","運転がそろわない","判定不能"},0),"○","停","×","－"),"")</f>
        <v>×</v>
      </c>
      <c r="BK50" s="35" t="str">
        <f aca="false">IFERROR(CHOOSE(MATCH(INDEX(時間ごとの判定!$AW$3:$AW$1850,1115),{"利用可","両方停止","運転がそろわない","判定不能"},0),"○","停","×","－"),"")</f>
        <v>×</v>
      </c>
      <c r="BL50" s="35" t="str">
        <f aca="false">IFERROR(CHOOSE(MATCH(INDEX(時間ごとの判定!$AW$3:$AW$1850,1116),{"利用可","両方停止","運転がそろわない","判定不能"},0),"○","停","×","－"),"")</f>
        <v>×</v>
      </c>
      <c r="BM50" s="35" t="str">
        <f aca="false">IFERROR(CHOOSE(MATCH(INDEX(時間ごとの判定!$AW$3:$AW$1850,1117),{"利用可","両方停止","運転がそろわない","判定不能"},0),"○","停","×","－"),"")</f>
        <v>○</v>
      </c>
      <c r="BN50" s="35" t="str">
        <f aca="false">IFERROR(CHOOSE(MATCH(INDEX(時間ごとの判定!$AW$3:$AW$1850,1118),{"利用可","両方停止","運転がそろわない","判定不能"},0),"○","停","×","－"),"")</f>
        <v>○</v>
      </c>
      <c r="BO50" s="35" t="str">
        <f aca="false">IFERROR(CHOOSE(MATCH(INDEX(時間ごとの判定!$AW$3:$AW$1850,1119),{"利用可","両方停止","運転がそろわない","判定不能"},0),"○","停","×","－"),"")</f>
        <v>○</v>
      </c>
      <c r="BP50" s="35" t="str">
        <f aca="false">IFERROR(CHOOSE(MATCH(INDEX(時間ごとの判定!$AW$3:$AW$1850,1120),{"利用可","両方停止","運転がそろわない","判定不能"},0),"○","停","×","－"),"")</f>
        <v>×</v>
      </c>
      <c r="BQ50" s="35" t="str">
        <f aca="false">IFERROR(CHOOSE(MATCH(INDEX(時間ごとの判定!$AW$3:$AW$1850,1121),{"利用可","両方停止","運転がそろわない","判定不能"},0),"○","停","×","－"),"")</f>
        <v>○</v>
      </c>
      <c r="BR50" s="35" t="str">
        <f aca="false">IFERROR(CHOOSE(MATCH(INDEX(時間ごとの判定!$AW$3:$AW$1850,1122),{"利用可","両方停止","運転がそろわない","判定不能"},0),"○","停","×","－"),"")</f>
        <v>○</v>
      </c>
      <c r="BS50" s="35" t="str">
        <f aca="false">IFERROR(CHOOSE(MATCH(INDEX(時間ごとの判定!$AW$3:$AW$1850,1123),{"利用可","両方停止","運転がそろわない","判定不能"},0),"○","停","×","－"),"")</f>
        <v>○</v>
      </c>
      <c r="BT50" s="35" t="str">
        <f aca="false">IFERROR(CHOOSE(MATCH(INDEX(時間ごとの判定!$AW$3:$AW$1850,1124),{"利用可","両方停止","運転がそろわない","判定不能"},0),"○","停","×","－"),"")</f>
        <v>×</v>
      </c>
      <c r="BU50" s="35" t="str">
        <f aca="false">IFERROR(CHOOSE(MATCH(INDEX(時間ごとの判定!$AW$3:$AW$1850,1125),{"利用可","両方停止","運転がそろわない","判定不能"},0),"○","停","×","－"),"")</f>
        <v>×</v>
      </c>
      <c r="BV50" s="35" t="str">
        <f aca="false">IFERROR(CHOOSE(MATCH(INDEX(時間ごとの判定!$AW$3:$AW$1850,1126),{"利用可","両方停止","運転がそろわない","判定不能"},0),"○","停","×","－"),"")</f>
        <v>停</v>
      </c>
      <c r="BW50" s="35" t="str">
        <f aca="false">IFERROR(CHOOSE(MATCH(INDEX(時間ごとの判定!$AW$3:$AW$1850,1127),{"利用可","両方停止","運転がそろわない","判定不能"},0),"○","停","×","－"),"")</f>
        <v>停</v>
      </c>
      <c r="BX50" s="35" t="str">
        <f aca="false">IFERROR(CHOOSE(MATCH(INDEX(時間ごとの判定!$AW$3:$AW$1850,1128),{"利用可","両方停止","運転がそろわない","判定不能"},0),"○","停","×","－"),"")</f>
        <v>停</v>
      </c>
    </row>
    <row r="51" customFormat="false" ht="15" hidden="false" customHeight="false" outlineLevel="0" collapsed="false">
      <c r="A51" s="33" t="n">
        <v>46279</v>
      </c>
      <c r="B51" s="34" t="s">
        <v>66</v>
      </c>
      <c r="C51" s="35" t="str">
        <f aca="false">IFERROR(CHOOSE(MATCH(INDEX(時間ごとの判定!$AQ$3:$AQ$1850,1129),{"利用可","両方停止","運転がそろわない","判定不能"},0),"○","停","×","－"),"")</f>
        <v>停</v>
      </c>
      <c r="D51" s="35" t="str">
        <f aca="false">IFERROR(CHOOSE(MATCH(INDEX(時間ごとの判定!$AQ$3:$AQ$1850,1130),{"利用可","両方停止","運転がそろわない","判定不能"},0),"○","停","×","－"),"")</f>
        <v>停</v>
      </c>
      <c r="E51" s="35" t="str">
        <f aca="false">IFERROR(CHOOSE(MATCH(INDEX(時間ごとの判定!$AQ$3:$AQ$1850,1131),{"利用可","両方停止","運転がそろわない","判定不能"},0),"○","停","×","－"),"")</f>
        <v>停</v>
      </c>
      <c r="F51" s="35" t="str">
        <f aca="false">IFERROR(CHOOSE(MATCH(INDEX(時間ごとの判定!$AQ$3:$AQ$1850,1132),{"利用可","両方停止","運転がそろわない","判定不能"},0),"○","停","×","－"),"")</f>
        <v>停</v>
      </c>
      <c r="G51" s="35" t="str">
        <f aca="false">IFERROR(CHOOSE(MATCH(INDEX(時間ごとの判定!$AQ$3:$AQ$1850,1133),{"利用可","両方停止","運転がそろわない","判定不能"},0),"○","停","×","－"),"")</f>
        <v>停</v>
      </c>
      <c r="H51" s="35" t="str">
        <f aca="false">IFERROR(CHOOSE(MATCH(INDEX(時間ごとの判定!$AQ$3:$AQ$1850,1134),{"利用可","両方停止","運転がそろわない","判定不能"},0),"○","停","×","－"),"")</f>
        <v>×</v>
      </c>
      <c r="I51" s="35" t="str">
        <f aca="false">IFERROR(CHOOSE(MATCH(INDEX(時間ごとの判定!$AQ$3:$AQ$1850,1135),{"利用可","両方停止","運転がそろわない","判定不能"},0),"○","停","×","－"),"")</f>
        <v>×</v>
      </c>
      <c r="J51" s="35" t="str">
        <f aca="false">IFERROR(CHOOSE(MATCH(INDEX(時間ごとの判定!$AQ$3:$AQ$1850,1136),{"利用可","両方停止","運転がそろわない","判定不能"},0),"○","停","×","－"),"")</f>
        <v>○</v>
      </c>
      <c r="K51" s="35" t="str">
        <f aca="false">IFERROR(CHOOSE(MATCH(INDEX(時間ごとの判定!$AQ$3:$AQ$1850,1137),{"利用可","両方停止","運転がそろわない","判定不能"},0),"○","停","×","－"),"")</f>
        <v>○</v>
      </c>
      <c r="L51" s="35" t="str">
        <f aca="false">IFERROR(CHOOSE(MATCH(INDEX(時間ごとの判定!$AQ$3:$AQ$1850,1138),{"利用可","両方停止","運転がそろわない","判定不能"},0),"○","停","×","－"),"")</f>
        <v>○</v>
      </c>
      <c r="M51" s="35" t="str">
        <f aca="false">IFERROR(CHOOSE(MATCH(INDEX(時間ごとの判定!$AQ$3:$AQ$1850,1139),{"利用可","両方停止","運転がそろわない","判定不能"},0),"○","停","×","－"),"")</f>
        <v>○</v>
      </c>
      <c r="N51" s="35" t="str">
        <f aca="false">IFERROR(CHOOSE(MATCH(INDEX(時間ごとの判定!$AQ$3:$AQ$1850,1140),{"利用可","両方停止","運転がそろわない","判定不能"},0),"○","停","×","－"),"")</f>
        <v>○</v>
      </c>
      <c r="O51" s="35" t="str">
        <f aca="false">IFERROR(CHOOSE(MATCH(INDEX(時間ごとの判定!$AQ$3:$AQ$1850,1141),{"利用可","両方停止","運転がそろわない","判定不能"},0),"○","停","×","－"),"")</f>
        <v>○</v>
      </c>
      <c r="P51" s="35" t="str">
        <f aca="false">IFERROR(CHOOSE(MATCH(INDEX(時間ごとの判定!$AQ$3:$AQ$1850,1142),{"利用可","両方停止","運転がそろわない","判定不能"},0),"○","停","×","－"),"")</f>
        <v>○</v>
      </c>
      <c r="Q51" s="35" t="str">
        <f aca="false">IFERROR(CHOOSE(MATCH(INDEX(時間ごとの判定!$AQ$3:$AQ$1850,1143),{"利用可","両方停止","運転がそろわない","判定不能"},0),"○","停","×","－"),"")</f>
        <v>○</v>
      </c>
      <c r="R51" s="35" t="str">
        <f aca="false">IFERROR(CHOOSE(MATCH(INDEX(時間ごとの判定!$AQ$3:$AQ$1850,1144),{"利用可","両方停止","運転がそろわない","判定不能"},0),"○","停","×","－"),"")</f>
        <v>○</v>
      </c>
      <c r="S51" s="35" t="str">
        <f aca="false">IFERROR(CHOOSE(MATCH(INDEX(時間ごとの判定!$AQ$3:$AQ$1850,1145),{"利用可","両方停止","運転がそろわない","判定不能"},0),"○","停","×","－"),"")</f>
        <v>○</v>
      </c>
      <c r="T51" s="35" t="str">
        <f aca="false">IFERROR(CHOOSE(MATCH(INDEX(時間ごとの判定!$AQ$3:$AQ$1850,1146),{"利用可","両方停止","運転がそろわない","判定不能"},0),"○","停","×","－"),"")</f>
        <v>－</v>
      </c>
      <c r="U51" s="35" t="str">
        <f aca="false">IFERROR(CHOOSE(MATCH(INDEX(時間ごとの判定!$AQ$3:$AQ$1850,1147),{"利用可","両方停止","運転がそろわない","判定不能"},0),"○","停","×","－"),"")</f>
        <v>－</v>
      </c>
      <c r="V51" s="35" t="str">
        <f aca="false">IFERROR(CHOOSE(MATCH(INDEX(時間ごとの判定!$AQ$3:$AQ$1850,1148),{"利用可","両方停止","運転がそろわない","判定不能"},0),"○","停","×","－"),"")</f>
        <v>－</v>
      </c>
      <c r="W51" s="35" t="str">
        <f aca="false">IFERROR(CHOOSE(MATCH(INDEX(時間ごとの判定!$AQ$3:$AQ$1850,1149),{"利用可","両方停止","運転がそろわない","判定不能"},0),"○","停","×","－"),"")</f>
        <v>－</v>
      </c>
      <c r="X51" s="35" t="str">
        <f aca="false">IFERROR(CHOOSE(MATCH(INDEX(時間ごとの判定!$AQ$3:$AQ$1850,1150),{"利用可","両方停止","運転がそろわない","判定不能"},0),"○","停","×","－"),"")</f>
        <v>－</v>
      </c>
      <c r="Y51" s="35" t="str">
        <f aca="false">IFERROR(CHOOSE(MATCH(INDEX(時間ごとの判定!$AQ$3:$AQ$1850,1151),{"利用可","両方停止","運転がそろわない","判定不能"},0),"○","停","×","－"),"")</f>
        <v>－</v>
      </c>
      <c r="Z51" s="35" t="str">
        <f aca="false">IFERROR(CHOOSE(MATCH(INDEX(時間ごとの判定!$AQ$3:$AQ$1850,1152),{"利用可","両方停止","運転がそろわない","判定不能"},0),"○","停","×","－"),"")</f>
        <v>－</v>
      </c>
      <c r="AA51" s="35"/>
      <c r="AB51" s="35" t="str">
        <f aca="false">IFERROR(CHOOSE(MATCH(INDEX(時間ごとの判定!$AT$3:$AT$1850,1129),{"利用可","両方停止","運転がそろわない","判定不能"},0),"○","停","×","－"),"")</f>
        <v>停</v>
      </c>
      <c r="AC51" s="35" t="str">
        <f aca="false">IFERROR(CHOOSE(MATCH(INDEX(時間ごとの判定!$AT$3:$AT$1850,1130),{"利用可","両方停止","運転がそろわない","判定不能"},0),"○","停","×","－"),"")</f>
        <v>停</v>
      </c>
      <c r="AD51" s="35" t="str">
        <f aca="false">IFERROR(CHOOSE(MATCH(INDEX(時間ごとの判定!$AT$3:$AT$1850,1131),{"利用可","両方停止","運転がそろわない","判定不能"},0),"○","停","×","－"),"")</f>
        <v>停</v>
      </c>
      <c r="AE51" s="35" t="str">
        <f aca="false">IFERROR(CHOOSE(MATCH(INDEX(時間ごとの判定!$AT$3:$AT$1850,1132),{"利用可","両方停止","運転がそろわない","判定不能"},0),"○","停","×","－"),"")</f>
        <v>停</v>
      </c>
      <c r="AF51" s="35" t="str">
        <f aca="false">IFERROR(CHOOSE(MATCH(INDEX(時間ごとの判定!$AT$3:$AT$1850,1133),{"利用可","両方停止","運転がそろわない","判定不能"},0),"○","停","×","－"),"")</f>
        <v>停</v>
      </c>
      <c r="AG51" s="35" t="str">
        <f aca="false">IFERROR(CHOOSE(MATCH(INDEX(時間ごとの判定!$AT$3:$AT$1850,1134),{"利用可","両方停止","運転がそろわない","判定不能"},0),"○","停","×","－"),"")</f>
        <v>停</v>
      </c>
      <c r="AH51" s="35" t="str">
        <f aca="false">IFERROR(CHOOSE(MATCH(INDEX(時間ごとの判定!$AT$3:$AT$1850,1135),{"利用可","両方停止","運転がそろわない","判定不能"},0),"○","停","×","－"),"")</f>
        <v>×</v>
      </c>
      <c r="AI51" s="35" t="str">
        <f aca="false">IFERROR(CHOOSE(MATCH(INDEX(時間ごとの判定!$AT$3:$AT$1850,1136),{"利用可","両方停止","運転がそろわない","判定不能"},0),"○","停","×","－"),"")</f>
        <v>○</v>
      </c>
      <c r="AJ51" s="35" t="str">
        <f aca="false">IFERROR(CHOOSE(MATCH(INDEX(時間ごとの判定!$AT$3:$AT$1850,1137),{"利用可","両方停止","運転がそろわない","判定不能"},0),"○","停","×","－"),"")</f>
        <v>○</v>
      </c>
      <c r="AK51" s="35" t="str">
        <f aca="false">IFERROR(CHOOSE(MATCH(INDEX(時間ごとの判定!$AT$3:$AT$1850,1138),{"利用可","両方停止","運転がそろわない","判定不能"},0),"○","停","×","－"),"")</f>
        <v>○</v>
      </c>
      <c r="AL51" s="35" t="str">
        <f aca="false">IFERROR(CHOOSE(MATCH(INDEX(時間ごとの判定!$AT$3:$AT$1850,1139),{"利用可","両方停止","運転がそろわない","判定不能"},0),"○","停","×","－"),"")</f>
        <v>○</v>
      </c>
      <c r="AM51" s="35" t="str">
        <f aca="false">IFERROR(CHOOSE(MATCH(INDEX(時間ごとの判定!$AT$3:$AT$1850,1140),{"利用可","両方停止","運転がそろわない","判定不能"},0),"○","停","×","－"),"")</f>
        <v>○</v>
      </c>
      <c r="AN51" s="35" t="str">
        <f aca="false">IFERROR(CHOOSE(MATCH(INDEX(時間ごとの判定!$AT$3:$AT$1850,1141),{"利用可","両方停止","運転がそろわない","判定不能"},0),"○","停","×","－"),"")</f>
        <v>○</v>
      </c>
      <c r="AO51" s="35" t="str">
        <f aca="false">IFERROR(CHOOSE(MATCH(INDEX(時間ごとの判定!$AT$3:$AT$1850,1142),{"利用可","両方停止","運転がそろわない","判定不能"},0),"○","停","×","－"),"")</f>
        <v>○</v>
      </c>
      <c r="AP51" s="35" t="str">
        <f aca="false">IFERROR(CHOOSE(MATCH(INDEX(時間ごとの判定!$AT$3:$AT$1850,1143),{"利用可","両方停止","運転がそろわない","判定不能"},0),"○","停","×","－"),"")</f>
        <v>○</v>
      </c>
      <c r="AQ51" s="35" t="str">
        <f aca="false">IFERROR(CHOOSE(MATCH(INDEX(時間ごとの判定!$AT$3:$AT$1850,1144),{"利用可","両方停止","運転がそろわない","判定不能"},0),"○","停","×","－"),"")</f>
        <v>○</v>
      </c>
      <c r="AR51" s="35" t="str">
        <f aca="false">IFERROR(CHOOSE(MATCH(INDEX(時間ごとの判定!$AT$3:$AT$1850,1145),{"利用可","両方停止","運転がそろわない","判定不能"},0),"○","停","×","－"),"")</f>
        <v>○</v>
      </c>
      <c r="AS51" s="35" t="str">
        <f aca="false">IFERROR(CHOOSE(MATCH(INDEX(時間ごとの判定!$AT$3:$AT$1850,1146),{"利用可","両方停止","運転がそろわない","判定不能"},0),"○","停","×","－"),"")</f>
        <v>－</v>
      </c>
      <c r="AT51" s="35" t="str">
        <f aca="false">IFERROR(CHOOSE(MATCH(INDEX(時間ごとの判定!$AT$3:$AT$1850,1147),{"利用可","両方停止","運転がそろわない","判定不能"},0),"○","停","×","－"),"")</f>
        <v>－</v>
      </c>
      <c r="AU51" s="35" t="str">
        <f aca="false">IFERROR(CHOOSE(MATCH(INDEX(時間ごとの判定!$AT$3:$AT$1850,1148),{"利用可","両方停止","運転がそろわない","判定不能"},0),"○","停","×","－"),"")</f>
        <v>－</v>
      </c>
      <c r="AV51" s="35" t="str">
        <f aca="false">IFERROR(CHOOSE(MATCH(INDEX(時間ごとの判定!$AT$3:$AT$1850,1149),{"利用可","両方停止","運転がそろわない","判定不能"},0),"○","停","×","－"),"")</f>
        <v>－</v>
      </c>
      <c r="AW51" s="35" t="str">
        <f aca="false">IFERROR(CHOOSE(MATCH(INDEX(時間ごとの判定!$AT$3:$AT$1850,1150),{"利用可","両方停止","運転がそろわない","判定不能"},0),"○","停","×","－"),"")</f>
        <v>－</v>
      </c>
      <c r="AX51" s="35" t="str">
        <f aca="false">IFERROR(CHOOSE(MATCH(INDEX(時間ごとの判定!$AT$3:$AT$1850,1151),{"利用可","両方停止","運転がそろわない","判定不能"},0),"○","停","×","－"),"")</f>
        <v>－</v>
      </c>
      <c r="AY51" s="35" t="str">
        <f aca="false">IFERROR(CHOOSE(MATCH(INDEX(時間ごとの判定!$AT$3:$AT$1850,1152),{"利用可","両方停止","運転がそろわない","判定不能"},0),"○","停","×","－"),"")</f>
        <v>－</v>
      </c>
      <c r="AZ51" s="35"/>
      <c r="BA51" s="35" t="str">
        <f aca="false">IFERROR(CHOOSE(MATCH(INDEX(時間ごとの判定!$AW$3:$AW$1850,1129),{"利用可","両方停止","運転がそろわない","判定不能"},0),"○","停","×","－"),"")</f>
        <v>停</v>
      </c>
      <c r="BB51" s="35" t="str">
        <f aca="false">IFERROR(CHOOSE(MATCH(INDEX(時間ごとの判定!$AW$3:$AW$1850,1130),{"利用可","両方停止","運転がそろわない","判定不能"},0),"○","停","×","－"),"")</f>
        <v>停</v>
      </c>
      <c r="BC51" s="35" t="str">
        <f aca="false">IFERROR(CHOOSE(MATCH(INDEX(時間ごとの判定!$AW$3:$AW$1850,1131),{"利用可","両方停止","運転がそろわない","判定不能"},0),"○","停","×","－"),"")</f>
        <v>停</v>
      </c>
      <c r="BD51" s="35" t="str">
        <f aca="false">IFERROR(CHOOSE(MATCH(INDEX(時間ごとの判定!$AW$3:$AW$1850,1132),{"利用可","両方停止","運転がそろわない","判定不能"},0),"○","停","×","－"),"")</f>
        <v>停</v>
      </c>
      <c r="BE51" s="35" t="str">
        <f aca="false">IFERROR(CHOOSE(MATCH(INDEX(時間ごとの判定!$AW$3:$AW$1850,1133),{"利用可","両方停止","運転がそろわない","判定不能"},0),"○","停","×","－"),"")</f>
        <v>停</v>
      </c>
      <c r="BF51" s="35" t="str">
        <f aca="false">IFERROR(CHOOSE(MATCH(INDEX(時間ごとの判定!$AW$3:$AW$1850,1134),{"利用可","両方停止","運転がそろわない","判定不能"},0),"○","停","×","－"),"")</f>
        <v>停</v>
      </c>
      <c r="BG51" s="35" t="str">
        <f aca="false">IFERROR(CHOOSE(MATCH(INDEX(時間ごとの判定!$AW$3:$AW$1850,1135),{"利用可","両方停止","運転がそろわない","判定不能"},0),"○","停","×","－"),"")</f>
        <v>×</v>
      </c>
      <c r="BH51" s="35" t="str">
        <f aca="false">IFERROR(CHOOSE(MATCH(INDEX(時間ごとの判定!$AW$3:$AW$1850,1136),{"利用可","両方停止","運転がそろわない","判定不能"},0),"○","停","×","－"),"")</f>
        <v>○</v>
      </c>
      <c r="BI51" s="35" t="str">
        <f aca="false">IFERROR(CHOOSE(MATCH(INDEX(時間ごとの判定!$AW$3:$AW$1850,1137),{"利用可","両方停止","運転がそろわない","判定不能"},0),"○","停","×","－"),"")</f>
        <v>○</v>
      </c>
      <c r="BJ51" s="35" t="str">
        <f aca="false">IFERROR(CHOOSE(MATCH(INDEX(時間ごとの判定!$AW$3:$AW$1850,1138),{"利用可","両方停止","運転がそろわない","判定不能"},0),"○","停","×","－"),"")</f>
        <v>○</v>
      </c>
      <c r="BK51" s="35" t="str">
        <f aca="false">IFERROR(CHOOSE(MATCH(INDEX(時間ごとの判定!$AW$3:$AW$1850,1139),{"利用可","両方停止","運転がそろわない","判定不能"},0),"○","停","×","－"),"")</f>
        <v>○</v>
      </c>
      <c r="BL51" s="35" t="str">
        <f aca="false">IFERROR(CHOOSE(MATCH(INDEX(時間ごとの判定!$AW$3:$AW$1850,1140),{"利用可","両方停止","運転がそろわない","判定不能"},0),"○","停","×","－"),"")</f>
        <v>○</v>
      </c>
      <c r="BM51" s="35" t="str">
        <f aca="false">IFERROR(CHOOSE(MATCH(INDEX(時間ごとの判定!$AW$3:$AW$1850,1141),{"利用可","両方停止","運転がそろわない","判定不能"},0),"○","停","×","－"),"")</f>
        <v>○</v>
      </c>
      <c r="BN51" s="35" t="str">
        <f aca="false">IFERROR(CHOOSE(MATCH(INDEX(時間ごとの判定!$AW$3:$AW$1850,1142),{"利用可","両方停止","運転がそろわない","判定不能"},0),"○","停","×","－"),"")</f>
        <v>○</v>
      </c>
      <c r="BO51" s="35" t="str">
        <f aca="false">IFERROR(CHOOSE(MATCH(INDEX(時間ごとの判定!$AW$3:$AW$1850,1143),{"利用可","両方停止","運転がそろわない","判定不能"},0),"○","停","×","－"),"")</f>
        <v>○</v>
      </c>
      <c r="BP51" s="35" t="str">
        <f aca="false">IFERROR(CHOOSE(MATCH(INDEX(時間ごとの判定!$AW$3:$AW$1850,1144),{"利用可","両方停止","運転がそろわない","判定不能"},0),"○","停","×","－"),"")</f>
        <v>○</v>
      </c>
      <c r="BQ51" s="35" t="str">
        <f aca="false">IFERROR(CHOOSE(MATCH(INDEX(時間ごとの判定!$AW$3:$AW$1850,1145),{"利用可","両方停止","運転がそろわない","判定不能"},0),"○","停","×","－"),"")</f>
        <v>○</v>
      </c>
      <c r="BR51" s="35" t="str">
        <f aca="false">IFERROR(CHOOSE(MATCH(INDEX(時間ごとの判定!$AW$3:$AW$1850,1146),{"利用可","両方停止","運転がそろわない","判定不能"},0),"○","停","×","－"),"")</f>
        <v>－</v>
      </c>
      <c r="BS51" s="35" t="str">
        <f aca="false">IFERROR(CHOOSE(MATCH(INDEX(時間ごとの判定!$AW$3:$AW$1850,1147),{"利用可","両方停止","運転がそろわない","判定不能"},0),"○","停","×","－"),"")</f>
        <v>－</v>
      </c>
      <c r="BT51" s="35" t="str">
        <f aca="false">IFERROR(CHOOSE(MATCH(INDEX(時間ごとの判定!$AW$3:$AW$1850,1148),{"利用可","両方停止","運転がそろわない","判定不能"},0),"○","停","×","－"),"")</f>
        <v>－</v>
      </c>
      <c r="BU51" s="35" t="str">
        <f aca="false">IFERROR(CHOOSE(MATCH(INDEX(時間ごとの判定!$AW$3:$AW$1850,1149),{"利用可","両方停止","運転がそろわない","判定不能"},0),"○","停","×","－"),"")</f>
        <v>－</v>
      </c>
      <c r="BV51" s="35" t="str">
        <f aca="false">IFERROR(CHOOSE(MATCH(INDEX(時間ごとの判定!$AW$3:$AW$1850,1150),{"利用可","両方停止","運転がそろわない","判定不能"},0),"○","停","×","－"),"")</f>
        <v>－</v>
      </c>
      <c r="BW51" s="35" t="str">
        <f aca="false">IFERROR(CHOOSE(MATCH(INDEX(時間ごとの判定!$AW$3:$AW$1850,1151),{"利用可","両方停止","運転がそろわない","判定不能"},0),"○","停","×","－"),"")</f>
        <v>－</v>
      </c>
      <c r="BX51" s="35" t="str">
        <f aca="false">IFERROR(CHOOSE(MATCH(INDEX(時間ごとの判定!$AW$3:$AW$1850,1152),{"利用可","両方停止","運転がそろわない","判定不能"},0),"○","停","×","－"),"")</f>
        <v>－</v>
      </c>
    </row>
    <row r="52" customFormat="false" ht="15" hidden="false" customHeight="false" outlineLevel="0" collapsed="false">
      <c r="A52" s="33" t="n">
        <v>46280</v>
      </c>
      <c r="B52" s="34" t="s">
        <v>67</v>
      </c>
      <c r="C52" s="35" t="str">
        <f aca="false">IFERROR(CHOOSE(MATCH(INDEX(時間ごとの判定!$AQ$3:$AQ$1850,1153),{"利用可","両方停止","運転がそろわない","判定不能"},0),"○","停","×","－"),"")</f>
        <v>－</v>
      </c>
      <c r="D52" s="35" t="str">
        <f aca="false">IFERROR(CHOOSE(MATCH(INDEX(時間ごとの判定!$AQ$3:$AQ$1850,1154),{"利用可","両方停止","運転がそろわない","判定不能"},0),"○","停","×","－"),"")</f>
        <v>－</v>
      </c>
      <c r="E52" s="35" t="str">
        <f aca="false">IFERROR(CHOOSE(MATCH(INDEX(時間ごとの判定!$AQ$3:$AQ$1850,1155),{"利用可","両方停止","運転がそろわない","判定不能"},0),"○","停","×","－"),"")</f>
        <v>－</v>
      </c>
      <c r="F52" s="35" t="str">
        <f aca="false">IFERROR(CHOOSE(MATCH(INDEX(時間ごとの判定!$AQ$3:$AQ$1850,1156),{"利用可","両方停止","運転がそろわない","判定不能"},0),"○","停","×","－"),"")</f>
        <v>－</v>
      </c>
      <c r="G52" s="35" t="str">
        <f aca="false">IFERROR(CHOOSE(MATCH(INDEX(時間ごとの判定!$AQ$3:$AQ$1850,1157),{"利用可","両方停止","運転がそろわない","判定不能"},0),"○","停","×","－"),"")</f>
        <v>－</v>
      </c>
      <c r="H52" s="35" t="str">
        <f aca="false">IFERROR(CHOOSE(MATCH(INDEX(時間ごとの判定!$AQ$3:$AQ$1850,1158),{"利用可","両方停止","運転がそろわない","判定不能"},0),"○","停","×","－"),"")</f>
        <v>－</v>
      </c>
      <c r="I52" s="35" t="str">
        <f aca="false">IFERROR(CHOOSE(MATCH(INDEX(時間ごとの判定!$AQ$3:$AQ$1850,1159),{"利用可","両方停止","運転がそろわない","判定不能"},0),"○","停","×","－"),"")</f>
        <v>－</v>
      </c>
      <c r="J52" s="35" t="str">
        <f aca="false">IFERROR(CHOOSE(MATCH(INDEX(時間ごとの判定!$AQ$3:$AQ$1850,1160),{"利用可","両方停止","運転がそろわない","判定不能"},0),"○","停","×","－"),"")</f>
        <v>－</v>
      </c>
      <c r="K52" s="35" t="str">
        <f aca="false">IFERROR(CHOOSE(MATCH(INDEX(時間ごとの判定!$AQ$3:$AQ$1850,1161),{"利用可","両方停止","運転がそろわない","判定不能"},0),"○","停","×","－"),"")</f>
        <v>－</v>
      </c>
      <c r="L52" s="35" t="str">
        <f aca="false">IFERROR(CHOOSE(MATCH(INDEX(時間ごとの判定!$AQ$3:$AQ$1850,1162),{"利用可","両方停止","運転がそろわない","判定不能"},0),"○","停","×","－"),"")</f>
        <v>－</v>
      </c>
      <c r="M52" s="35" t="str">
        <f aca="false">IFERROR(CHOOSE(MATCH(INDEX(時間ごとの判定!$AQ$3:$AQ$1850,1163),{"利用可","両方停止","運転がそろわない","判定不能"},0),"○","停","×","－"),"")</f>
        <v>－</v>
      </c>
      <c r="N52" s="35" t="str">
        <f aca="false">IFERROR(CHOOSE(MATCH(INDEX(時間ごとの判定!$AQ$3:$AQ$1850,1164),{"利用可","両方停止","運転がそろわない","判定不能"},0),"○","停","×","－"),"")</f>
        <v>－</v>
      </c>
      <c r="O52" s="35" t="str">
        <f aca="false">IFERROR(CHOOSE(MATCH(INDEX(時間ごとの判定!$AQ$3:$AQ$1850,1165),{"利用可","両方停止","運転がそろわない","判定不能"},0),"○","停","×","－"),"")</f>
        <v>－</v>
      </c>
      <c r="P52" s="35" t="str">
        <f aca="false">IFERROR(CHOOSE(MATCH(INDEX(時間ごとの判定!$AQ$3:$AQ$1850,1166),{"利用可","両方停止","運転がそろわない","判定不能"},0),"○","停","×","－"),"")</f>
        <v>－</v>
      </c>
      <c r="Q52" s="35" t="str">
        <f aca="false">IFERROR(CHOOSE(MATCH(INDEX(時間ごとの判定!$AQ$3:$AQ$1850,1167),{"利用可","両方停止","運転がそろわない","判定不能"},0),"○","停","×","－"),"")</f>
        <v>－</v>
      </c>
      <c r="R52" s="35" t="str">
        <f aca="false">IFERROR(CHOOSE(MATCH(INDEX(時間ごとの判定!$AQ$3:$AQ$1850,1168),{"利用可","両方停止","運転がそろわない","判定不能"},0),"○","停","×","－"),"")</f>
        <v>－</v>
      </c>
      <c r="S52" s="35" t="str">
        <f aca="false">IFERROR(CHOOSE(MATCH(INDEX(時間ごとの判定!$AQ$3:$AQ$1850,1169),{"利用可","両方停止","運転がそろわない","判定不能"},0),"○","停","×","－"),"")</f>
        <v>－</v>
      </c>
      <c r="T52" s="35" t="str">
        <f aca="false">IFERROR(CHOOSE(MATCH(INDEX(時間ごとの判定!$AQ$3:$AQ$1850,1170),{"利用可","両方停止","運転がそろわない","判定不能"},0),"○","停","×","－"),"")</f>
        <v>－</v>
      </c>
      <c r="U52" s="35" t="str">
        <f aca="false">IFERROR(CHOOSE(MATCH(INDEX(時間ごとの判定!$AQ$3:$AQ$1850,1171),{"利用可","両方停止","運転がそろわない","判定不能"},0),"○","停","×","－"),"")</f>
        <v>－</v>
      </c>
      <c r="V52" s="35" t="str">
        <f aca="false">IFERROR(CHOOSE(MATCH(INDEX(時間ごとの判定!$AQ$3:$AQ$1850,1172),{"利用可","両方停止","運転がそろわない","判定不能"},0),"○","停","×","－"),"")</f>
        <v>－</v>
      </c>
      <c r="W52" s="35" t="str">
        <f aca="false">IFERROR(CHOOSE(MATCH(INDEX(時間ごとの判定!$AQ$3:$AQ$1850,1173),{"利用可","両方停止","運転がそろわない","判定不能"},0),"○","停","×","－"),"")</f>
        <v>－</v>
      </c>
      <c r="X52" s="35" t="str">
        <f aca="false">IFERROR(CHOOSE(MATCH(INDEX(時間ごとの判定!$AQ$3:$AQ$1850,1174),{"利用可","両方停止","運転がそろわない","判定不能"},0),"○","停","×","－"),"")</f>
        <v>－</v>
      </c>
      <c r="Y52" s="35" t="str">
        <f aca="false">IFERROR(CHOOSE(MATCH(INDEX(時間ごとの判定!$AQ$3:$AQ$1850,1175),{"利用可","両方停止","運転がそろわない","判定不能"},0),"○","停","×","－"),"")</f>
        <v>－</v>
      </c>
      <c r="Z52" s="35" t="str">
        <f aca="false">IFERROR(CHOOSE(MATCH(INDEX(時間ごとの判定!$AQ$3:$AQ$1850,1176),{"利用可","両方停止","運転がそろわない","判定不能"},0),"○","停","×","－"),"")</f>
        <v>－</v>
      </c>
      <c r="AA52" s="35"/>
      <c r="AB52" s="35" t="str">
        <f aca="false">IFERROR(CHOOSE(MATCH(INDEX(時間ごとの判定!$AT$3:$AT$1850,1153),{"利用可","両方停止","運転がそろわない","判定不能"},0),"○","停","×","－"),"")</f>
        <v>－</v>
      </c>
      <c r="AC52" s="35" t="str">
        <f aca="false">IFERROR(CHOOSE(MATCH(INDEX(時間ごとの判定!$AT$3:$AT$1850,1154),{"利用可","両方停止","運転がそろわない","判定不能"},0),"○","停","×","－"),"")</f>
        <v>－</v>
      </c>
      <c r="AD52" s="35" t="str">
        <f aca="false">IFERROR(CHOOSE(MATCH(INDEX(時間ごとの判定!$AT$3:$AT$1850,1155),{"利用可","両方停止","運転がそろわない","判定不能"},0),"○","停","×","－"),"")</f>
        <v>－</v>
      </c>
      <c r="AE52" s="35" t="str">
        <f aca="false">IFERROR(CHOOSE(MATCH(INDEX(時間ごとの判定!$AT$3:$AT$1850,1156),{"利用可","両方停止","運転がそろわない","判定不能"},0),"○","停","×","－"),"")</f>
        <v>－</v>
      </c>
      <c r="AF52" s="35" t="str">
        <f aca="false">IFERROR(CHOOSE(MATCH(INDEX(時間ごとの判定!$AT$3:$AT$1850,1157),{"利用可","両方停止","運転がそろわない","判定不能"},0),"○","停","×","－"),"")</f>
        <v>－</v>
      </c>
      <c r="AG52" s="35" t="str">
        <f aca="false">IFERROR(CHOOSE(MATCH(INDEX(時間ごとの判定!$AT$3:$AT$1850,1158),{"利用可","両方停止","運転がそろわない","判定不能"},0),"○","停","×","－"),"")</f>
        <v>－</v>
      </c>
      <c r="AH52" s="35" t="str">
        <f aca="false">IFERROR(CHOOSE(MATCH(INDEX(時間ごとの判定!$AT$3:$AT$1850,1159),{"利用可","両方停止","運転がそろわない","判定不能"},0),"○","停","×","－"),"")</f>
        <v>－</v>
      </c>
      <c r="AI52" s="35" t="str">
        <f aca="false">IFERROR(CHOOSE(MATCH(INDEX(時間ごとの判定!$AT$3:$AT$1850,1160),{"利用可","両方停止","運転がそろわない","判定不能"},0),"○","停","×","－"),"")</f>
        <v>－</v>
      </c>
      <c r="AJ52" s="35" t="str">
        <f aca="false">IFERROR(CHOOSE(MATCH(INDEX(時間ごとの判定!$AT$3:$AT$1850,1161),{"利用可","両方停止","運転がそろわない","判定不能"},0),"○","停","×","－"),"")</f>
        <v>－</v>
      </c>
      <c r="AK52" s="35" t="str">
        <f aca="false">IFERROR(CHOOSE(MATCH(INDEX(時間ごとの判定!$AT$3:$AT$1850,1162),{"利用可","両方停止","運転がそろわない","判定不能"},0),"○","停","×","－"),"")</f>
        <v>－</v>
      </c>
      <c r="AL52" s="35" t="str">
        <f aca="false">IFERROR(CHOOSE(MATCH(INDEX(時間ごとの判定!$AT$3:$AT$1850,1163),{"利用可","両方停止","運転がそろわない","判定不能"},0),"○","停","×","－"),"")</f>
        <v>－</v>
      </c>
      <c r="AM52" s="35" t="str">
        <f aca="false">IFERROR(CHOOSE(MATCH(INDEX(時間ごとの判定!$AT$3:$AT$1850,1164),{"利用可","両方停止","運転がそろわない","判定不能"},0),"○","停","×","－"),"")</f>
        <v>－</v>
      </c>
      <c r="AN52" s="35" t="str">
        <f aca="false">IFERROR(CHOOSE(MATCH(INDEX(時間ごとの判定!$AT$3:$AT$1850,1165),{"利用可","両方停止","運転がそろわない","判定不能"},0),"○","停","×","－"),"")</f>
        <v>－</v>
      </c>
      <c r="AO52" s="35" t="str">
        <f aca="false">IFERROR(CHOOSE(MATCH(INDEX(時間ごとの判定!$AT$3:$AT$1850,1166),{"利用可","両方停止","運転がそろわない","判定不能"},0),"○","停","×","－"),"")</f>
        <v>－</v>
      </c>
      <c r="AP52" s="35" t="str">
        <f aca="false">IFERROR(CHOOSE(MATCH(INDEX(時間ごとの判定!$AT$3:$AT$1850,1167),{"利用可","両方停止","運転がそろわない","判定不能"},0),"○","停","×","－"),"")</f>
        <v>－</v>
      </c>
      <c r="AQ52" s="35" t="str">
        <f aca="false">IFERROR(CHOOSE(MATCH(INDEX(時間ごとの判定!$AT$3:$AT$1850,1168),{"利用可","両方停止","運転がそろわない","判定不能"},0),"○","停","×","－"),"")</f>
        <v>－</v>
      </c>
      <c r="AR52" s="35" t="str">
        <f aca="false">IFERROR(CHOOSE(MATCH(INDEX(時間ごとの判定!$AT$3:$AT$1850,1169),{"利用可","両方停止","運転がそろわない","判定不能"},0),"○","停","×","－"),"")</f>
        <v>－</v>
      </c>
      <c r="AS52" s="35" t="str">
        <f aca="false">IFERROR(CHOOSE(MATCH(INDEX(時間ごとの判定!$AT$3:$AT$1850,1170),{"利用可","両方停止","運転がそろわない","判定不能"},0),"○","停","×","－"),"")</f>
        <v>－</v>
      </c>
      <c r="AT52" s="35" t="str">
        <f aca="false">IFERROR(CHOOSE(MATCH(INDEX(時間ごとの判定!$AT$3:$AT$1850,1171),{"利用可","両方停止","運転がそろわない","判定不能"},0),"○","停","×","－"),"")</f>
        <v>－</v>
      </c>
      <c r="AU52" s="35" t="str">
        <f aca="false">IFERROR(CHOOSE(MATCH(INDEX(時間ごとの判定!$AT$3:$AT$1850,1172),{"利用可","両方停止","運転がそろわない","判定不能"},0),"○","停","×","－"),"")</f>
        <v>－</v>
      </c>
      <c r="AV52" s="35" t="str">
        <f aca="false">IFERROR(CHOOSE(MATCH(INDEX(時間ごとの判定!$AT$3:$AT$1850,1173),{"利用可","両方停止","運転がそろわない","判定不能"},0),"○","停","×","－"),"")</f>
        <v>－</v>
      </c>
      <c r="AW52" s="35" t="str">
        <f aca="false">IFERROR(CHOOSE(MATCH(INDEX(時間ごとの判定!$AT$3:$AT$1850,1174),{"利用可","両方停止","運転がそろわない","判定不能"},0),"○","停","×","－"),"")</f>
        <v>－</v>
      </c>
      <c r="AX52" s="35" t="str">
        <f aca="false">IFERROR(CHOOSE(MATCH(INDEX(時間ごとの判定!$AT$3:$AT$1850,1175),{"利用可","両方停止","運転がそろわない","判定不能"},0),"○","停","×","－"),"")</f>
        <v>－</v>
      </c>
      <c r="AY52" s="35" t="str">
        <f aca="false">IFERROR(CHOOSE(MATCH(INDEX(時間ごとの判定!$AT$3:$AT$1850,1176),{"利用可","両方停止","運転がそろわない","判定不能"},0),"○","停","×","－"),"")</f>
        <v>－</v>
      </c>
      <c r="AZ52" s="35"/>
      <c r="BA52" s="35" t="str">
        <f aca="false">IFERROR(CHOOSE(MATCH(INDEX(時間ごとの判定!$AW$3:$AW$1850,1153),{"利用可","両方停止","運転がそろわない","判定不能"},0),"○","停","×","－"),"")</f>
        <v>－</v>
      </c>
      <c r="BB52" s="35" t="str">
        <f aca="false">IFERROR(CHOOSE(MATCH(INDEX(時間ごとの判定!$AW$3:$AW$1850,1154),{"利用可","両方停止","運転がそろわない","判定不能"},0),"○","停","×","－"),"")</f>
        <v>－</v>
      </c>
      <c r="BC52" s="35" t="str">
        <f aca="false">IFERROR(CHOOSE(MATCH(INDEX(時間ごとの判定!$AW$3:$AW$1850,1155),{"利用可","両方停止","運転がそろわない","判定不能"},0),"○","停","×","－"),"")</f>
        <v>－</v>
      </c>
      <c r="BD52" s="35" t="str">
        <f aca="false">IFERROR(CHOOSE(MATCH(INDEX(時間ごとの判定!$AW$3:$AW$1850,1156),{"利用可","両方停止","運転がそろわない","判定不能"},0),"○","停","×","－"),"")</f>
        <v>－</v>
      </c>
      <c r="BE52" s="35" t="str">
        <f aca="false">IFERROR(CHOOSE(MATCH(INDEX(時間ごとの判定!$AW$3:$AW$1850,1157),{"利用可","両方停止","運転がそろわない","判定不能"},0),"○","停","×","－"),"")</f>
        <v>－</v>
      </c>
      <c r="BF52" s="35" t="str">
        <f aca="false">IFERROR(CHOOSE(MATCH(INDEX(時間ごとの判定!$AW$3:$AW$1850,1158),{"利用可","両方停止","運転がそろわない","判定不能"},0),"○","停","×","－"),"")</f>
        <v>－</v>
      </c>
      <c r="BG52" s="35" t="str">
        <f aca="false">IFERROR(CHOOSE(MATCH(INDEX(時間ごとの判定!$AW$3:$AW$1850,1159),{"利用可","両方停止","運転がそろわない","判定不能"},0),"○","停","×","－"),"")</f>
        <v>－</v>
      </c>
      <c r="BH52" s="35" t="str">
        <f aca="false">IFERROR(CHOOSE(MATCH(INDEX(時間ごとの判定!$AW$3:$AW$1850,1160),{"利用可","両方停止","運転がそろわない","判定不能"},0),"○","停","×","－"),"")</f>
        <v>－</v>
      </c>
      <c r="BI52" s="35" t="str">
        <f aca="false">IFERROR(CHOOSE(MATCH(INDEX(時間ごとの判定!$AW$3:$AW$1850,1161),{"利用可","両方停止","運転がそろわない","判定不能"},0),"○","停","×","－"),"")</f>
        <v>－</v>
      </c>
      <c r="BJ52" s="35" t="str">
        <f aca="false">IFERROR(CHOOSE(MATCH(INDEX(時間ごとの判定!$AW$3:$AW$1850,1162),{"利用可","両方停止","運転がそろわない","判定不能"},0),"○","停","×","－"),"")</f>
        <v>－</v>
      </c>
      <c r="BK52" s="35" t="str">
        <f aca="false">IFERROR(CHOOSE(MATCH(INDEX(時間ごとの判定!$AW$3:$AW$1850,1163),{"利用可","両方停止","運転がそろわない","判定不能"},0),"○","停","×","－"),"")</f>
        <v>－</v>
      </c>
      <c r="BL52" s="35" t="str">
        <f aca="false">IFERROR(CHOOSE(MATCH(INDEX(時間ごとの判定!$AW$3:$AW$1850,1164),{"利用可","両方停止","運転がそろわない","判定不能"},0),"○","停","×","－"),"")</f>
        <v>－</v>
      </c>
      <c r="BM52" s="35" t="str">
        <f aca="false">IFERROR(CHOOSE(MATCH(INDEX(時間ごとの判定!$AW$3:$AW$1850,1165),{"利用可","両方停止","運転がそろわない","判定不能"},0),"○","停","×","－"),"")</f>
        <v>－</v>
      </c>
      <c r="BN52" s="35" t="str">
        <f aca="false">IFERROR(CHOOSE(MATCH(INDEX(時間ごとの判定!$AW$3:$AW$1850,1166),{"利用可","両方停止","運転がそろわない","判定不能"},0),"○","停","×","－"),"")</f>
        <v>－</v>
      </c>
      <c r="BO52" s="35" t="str">
        <f aca="false">IFERROR(CHOOSE(MATCH(INDEX(時間ごとの判定!$AW$3:$AW$1850,1167),{"利用可","両方停止","運転がそろわない","判定不能"},0),"○","停","×","－"),"")</f>
        <v>－</v>
      </c>
      <c r="BP52" s="35" t="str">
        <f aca="false">IFERROR(CHOOSE(MATCH(INDEX(時間ごとの判定!$AW$3:$AW$1850,1168),{"利用可","両方停止","運転がそろわない","判定不能"},0),"○","停","×","－"),"")</f>
        <v>－</v>
      </c>
      <c r="BQ52" s="35" t="str">
        <f aca="false">IFERROR(CHOOSE(MATCH(INDEX(時間ごとの判定!$AW$3:$AW$1850,1169),{"利用可","両方停止","運転がそろわない","判定不能"},0),"○","停","×","－"),"")</f>
        <v>－</v>
      </c>
      <c r="BR52" s="35" t="str">
        <f aca="false">IFERROR(CHOOSE(MATCH(INDEX(時間ごとの判定!$AW$3:$AW$1850,1170),{"利用可","両方停止","運転がそろわない","判定不能"},0),"○","停","×","－"),"")</f>
        <v>－</v>
      </c>
      <c r="BS52" s="35" t="str">
        <f aca="false">IFERROR(CHOOSE(MATCH(INDEX(時間ごとの判定!$AW$3:$AW$1850,1171),{"利用可","両方停止","運転がそろわない","判定不能"},0),"○","停","×","－"),"")</f>
        <v>－</v>
      </c>
      <c r="BT52" s="35" t="str">
        <f aca="false">IFERROR(CHOOSE(MATCH(INDEX(時間ごとの判定!$AW$3:$AW$1850,1172),{"利用可","両方停止","運転がそろわない","判定不能"},0),"○","停","×","－"),"")</f>
        <v>－</v>
      </c>
      <c r="BU52" s="35" t="str">
        <f aca="false">IFERROR(CHOOSE(MATCH(INDEX(時間ごとの判定!$AW$3:$AW$1850,1173),{"利用可","両方停止","運転がそろわない","判定不能"},0),"○","停","×","－"),"")</f>
        <v>－</v>
      </c>
      <c r="BV52" s="35" t="str">
        <f aca="false">IFERROR(CHOOSE(MATCH(INDEX(時間ごとの判定!$AW$3:$AW$1850,1174),{"利用可","両方停止","運転がそろわない","判定不能"},0),"○","停","×","－"),"")</f>
        <v>－</v>
      </c>
      <c r="BW52" s="35" t="str">
        <f aca="false">IFERROR(CHOOSE(MATCH(INDEX(時間ごとの判定!$AW$3:$AW$1850,1175),{"利用可","両方停止","運転がそろわない","判定不能"},0),"○","停","×","－"),"")</f>
        <v>－</v>
      </c>
      <c r="BX52" s="35" t="str">
        <f aca="false">IFERROR(CHOOSE(MATCH(INDEX(時間ごとの判定!$AW$3:$AW$1850,1176),{"利用可","両方停止","運転がそろわない","判定不能"},0),"○","停","×","－"),"")</f>
        <v>－</v>
      </c>
    </row>
    <row r="53" customFormat="false" ht="15" hidden="false" customHeight="false" outlineLevel="0" collapsed="false">
      <c r="A53" s="33" t="n">
        <v>46281</v>
      </c>
      <c r="B53" s="34" t="s">
        <v>58</v>
      </c>
      <c r="C53" s="35" t="str">
        <f aca="false">IFERROR(CHOOSE(MATCH(INDEX(時間ごとの判定!$AQ$3:$AQ$1850,1177),{"利用可","両方停止","運転がそろわない","判定不能"},0),"○","停","×","－"),"")</f>
        <v>－</v>
      </c>
      <c r="D53" s="35" t="str">
        <f aca="false">IFERROR(CHOOSE(MATCH(INDEX(時間ごとの判定!$AQ$3:$AQ$1850,1178),{"利用可","両方停止","運転がそろわない","判定不能"},0),"○","停","×","－"),"")</f>
        <v>－</v>
      </c>
      <c r="E53" s="35" t="str">
        <f aca="false">IFERROR(CHOOSE(MATCH(INDEX(時間ごとの判定!$AQ$3:$AQ$1850,1179),{"利用可","両方停止","運転がそろわない","判定不能"},0),"○","停","×","－"),"")</f>
        <v>－</v>
      </c>
      <c r="F53" s="35" t="str">
        <f aca="false">IFERROR(CHOOSE(MATCH(INDEX(時間ごとの判定!$AQ$3:$AQ$1850,1180),{"利用可","両方停止","運転がそろわない","判定不能"},0),"○","停","×","－"),"")</f>
        <v>－</v>
      </c>
      <c r="G53" s="35" t="str">
        <f aca="false">IFERROR(CHOOSE(MATCH(INDEX(時間ごとの判定!$AQ$3:$AQ$1850,1181),{"利用可","両方停止","運転がそろわない","判定不能"},0),"○","停","×","－"),"")</f>
        <v>－</v>
      </c>
      <c r="H53" s="35" t="str">
        <f aca="false">IFERROR(CHOOSE(MATCH(INDEX(時間ごとの判定!$AQ$3:$AQ$1850,1182),{"利用可","両方停止","運転がそろわない","判定不能"},0),"○","停","×","－"),"")</f>
        <v>－</v>
      </c>
      <c r="I53" s="35" t="str">
        <f aca="false">IFERROR(CHOOSE(MATCH(INDEX(時間ごとの判定!$AQ$3:$AQ$1850,1183),{"利用可","両方停止","運転がそろわない","判定不能"},0),"○","停","×","－"),"")</f>
        <v>－</v>
      </c>
      <c r="J53" s="35" t="str">
        <f aca="false">IFERROR(CHOOSE(MATCH(INDEX(時間ごとの判定!$AQ$3:$AQ$1850,1184),{"利用可","両方停止","運転がそろわない","判定不能"},0),"○","停","×","－"),"")</f>
        <v>－</v>
      </c>
      <c r="K53" s="35" t="str">
        <f aca="false">IFERROR(CHOOSE(MATCH(INDEX(時間ごとの判定!$AQ$3:$AQ$1850,1185),{"利用可","両方停止","運転がそろわない","判定不能"},0),"○","停","×","－"),"")</f>
        <v>－</v>
      </c>
      <c r="L53" s="35" t="str">
        <f aca="false">IFERROR(CHOOSE(MATCH(INDEX(時間ごとの判定!$AQ$3:$AQ$1850,1186),{"利用可","両方停止","運転がそろわない","判定不能"},0),"○","停","×","－"),"")</f>
        <v>－</v>
      </c>
      <c r="M53" s="35" t="str">
        <f aca="false">IFERROR(CHOOSE(MATCH(INDEX(時間ごとの判定!$AQ$3:$AQ$1850,1187),{"利用可","両方停止","運転がそろわない","判定不能"},0),"○","停","×","－"),"")</f>
        <v>－</v>
      </c>
      <c r="N53" s="35" t="str">
        <f aca="false">IFERROR(CHOOSE(MATCH(INDEX(時間ごとの判定!$AQ$3:$AQ$1850,1188),{"利用可","両方停止","運転がそろわない","判定不能"},0),"○","停","×","－"),"")</f>
        <v>－</v>
      </c>
      <c r="O53" s="35" t="str">
        <f aca="false">IFERROR(CHOOSE(MATCH(INDEX(時間ごとの判定!$AQ$3:$AQ$1850,1189),{"利用可","両方停止","運転がそろわない","判定不能"},0),"○","停","×","－"),"")</f>
        <v>－</v>
      </c>
      <c r="P53" s="35" t="str">
        <f aca="false">IFERROR(CHOOSE(MATCH(INDEX(時間ごとの判定!$AQ$3:$AQ$1850,1190),{"利用可","両方停止","運転がそろわない","判定不能"},0),"○","停","×","－"),"")</f>
        <v>－</v>
      </c>
      <c r="Q53" s="35" t="str">
        <f aca="false">IFERROR(CHOOSE(MATCH(INDEX(時間ごとの判定!$AQ$3:$AQ$1850,1191),{"利用可","両方停止","運転がそろわない","判定不能"},0),"○","停","×","－"),"")</f>
        <v>－</v>
      </c>
      <c r="R53" s="35" t="str">
        <f aca="false">IFERROR(CHOOSE(MATCH(INDEX(時間ごとの判定!$AQ$3:$AQ$1850,1192),{"利用可","両方停止","運転がそろわない","判定不能"},0),"○","停","×","－"),"")</f>
        <v>－</v>
      </c>
      <c r="S53" s="35" t="str">
        <f aca="false">IFERROR(CHOOSE(MATCH(INDEX(時間ごとの判定!$AQ$3:$AQ$1850,1193),{"利用可","両方停止","運転がそろわない","判定不能"},0),"○","停","×","－"),"")</f>
        <v>－</v>
      </c>
      <c r="T53" s="35" t="str">
        <f aca="false">IFERROR(CHOOSE(MATCH(INDEX(時間ごとの判定!$AQ$3:$AQ$1850,1194),{"利用可","両方停止","運転がそろわない","判定不能"},0),"○","停","×","－"),"")</f>
        <v>－</v>
      </c>
      <c r="U53" s="35" t="str">
        <f aca="false">IFERROR(CHOOSE(MATCH(INDEX(時間ごとの判定!$AQ$3:$AQ$1850,1195),{"利用可","両方停止","運転がそろわない","判定不能"},0),"○","停","×","－"),"")</f>
        <v>－</v>
      </c>
      <c r="V53" s="35" t="str">
        <f aca="false">IFERROR(CHOOSE(MATCH(INDEX(時間ごとの判定!$AQ$3:$AQ$1850,1196),{"利用可","両方停止","運転がそろわない","判定不能"},0),"○","停","×","－"),"")</f>
        <v>－</v>
      </c>
      <c r="W53" s="35" t="str">
        <f aca="false">IFERROR(CHOOSE(MATCH(INDEX(時間ごとの判定!$AQ$3:$AQ$1850,1197),{"利用可","両方停止","運転がそろわない","判定不能"},0),"○","停","×","－"),"")</f>
        <v>－</v>
      </c>
      <c r="X53" s="35" t="str">
        <f aca="false">IFERROR(CHOOSE(MATCH(INDEX(時間ごとの判定!$AQ$3:$AQ$1850,1198),{"利用可","両方停止","運転がそろわない","判定不能"},0),"○","停","×","－"),"")</f>
        <v>－</v>
      </c>
      <c r="Y53" s="35" t="str">
        <f aca="false">IFERROR(CHOOSE(MATCH(INDEX(時間ごとの判定!$AQ$3:$AQ$1850,1199),{"利用可","両方停止","運転がそろわない","判定不能"},0),"○","停","×","－"),"")</f>
        <v>－</v>
      </c>
      <c r="Z53" s="35" t="str">
        <f aca="false">IFERROR(CHOOSE(MATCH(INDEX(時間ごとの判定!$AQ$3:$AQ$1850,1200),{"利用可","両方停止","運転がそろわない","判定不能"},0),"○","停","×","－"),"")</f>
        <v>－</v>
      </c>
      <c r="AA53" s="35"/>
      <c r="AB53" s="35" t="str">
        <f aca="false">IFERROR(CHOOSE(MATCH(INDEX(時間ごとの判定!$AT$3:$AT$1850,1177),{"利用可","両方停止","運転がそろわない","判定不能"},0),"○","停","×","－"),"")</f>
        <v>－</v>
      </c>
      <c r="AC53" s="35" t="str">
        <f aca="false">IFERROR(CHOOSE(MATCH(INDEX(時間ごとの判定!$AT$3:$AT$1850,1178),{"利用可","両方停止","運転がそろわない","判定不能"},0),"○","停","×","－"),"")</f>
        <v>－</v>
      </c>
      <c r="AD53" s="35" t="str">
        <f aca="false">IFERROR(CHOOSE(MATCH(INDEX(時間ごとの判定!$AT$3:$AT$1850,1179),{"利用可","両方停止","運転がそろわない","判定不能"},0),"○","停","×","－"),"")</f>
        <v>－</v>
      </c>
      <c r="AE53" s="35" t="str">
        <f aca="false">IFERROR(CHOOSE(MATCH(INDEX(時間ごとの判定!$AT$3:$AT$1850,1180),{"利用可","両方停止","運転がそろわない","判定不能"},0),"○","停","×","－"),"")</f>
        <v>－</v>
      </c>
      <c r="AF53" s="35" t="str">
        <f aca="false">IFERROR(CHOOSE(MATCH(INDEX(時間ごとの判定!$AT$3:$AT$1850,1181),{"利用可","両方停止","運転がそろわない","判定不能"},0),"○","停","×","－"),"")</f>
        <v>－</v>
      </c>
      <c r="AG53" s="35" t="str">
        <f aca="false">IFERROR(CHOOSE(MATCH(INDEX(時間ごとの判定!$AT$3:$AT$1850,1182),{"利用可","両方停止","運転がそろわない","判定不能"},0),"○","停","×","－"),"")</f>
        <v>－</v>
      </c>
      <c r="AH53" s="35" t="str">
        <f aca="false">IFERROR(CHOOSE(MATCH(INDEX(時間ごとの判定!$AT$3:$AT$1850,1183),{"利用可","両方停止","運転がそろわない","判定不能"},0),"○","停","×","－"),"")</f>
        <v>－</v>
      </c>
      <c r="AI53" s="35" t="str">
        <f aca="false">IFERROR(CHOOSE(MATCH(INDEX(時間ごとの判定!$AT$3:$AT$1850,1184),{"利用可","両方停止","運転がそろわない","判定不能"},0),"○","停","×","－"),"")</f>
        <v>－</v>
      </c>
      <c r="AJ53" s="35" t="str">
        <f aca="false">IFERROR(CHOOSE(MATCH(INDEX(時間ごとの判定!$AT$3:$AT$1850,1185),{"利用可","両方停止","運転がそろわない","判定不能"},0),"○","停","×","－"),"")</f>
        <v>－</v>
      </c>
      <c r="AK53" s="35" t="str">
        <f aca="false">IFERROR(CHOOSE(MATCH(INDEX(時間ごとの判定!$AT$3:$AT$1850,1186),{"利用可","両方停止","運転がそろわない","判定不能"},0),"○","停","×","－"),"")</f>
        <v>－</v>
      </c>
      <c r="AL53" s="35" t="str">
        <f aca="false">IFERROR(CHOOSE(MATCH(INDEX(時間ごとの判定!$AT$3:$AT$1850,1187),{"利用可","両方停止","運転がそろわない","判定不能"},0),"○","停","×","－"),"")</f>
        <v>－</v>
      </c>
      <c r="AM53" s="35" t="str">
        <f aca="false">IFERROR(CHOOSE(MATCH(INDEX(時間ごとの判定!$AT$3:$AT$1850,1188),{"利用可","両方停止","運転がそろわない","判定不能"},0),"○","停","×","－"),"")</f>
        <v>－</v>
      </c>
      <c r="AN53" s="35" t="str">
        <f aca="false">IFERROR(CHOOSE(MATCH(INDEX(時間ごとの判定!$AT$3:$AT$1850,1189),{"利用可","両方停止","運転がそろわない","判定不能"},0),"○","停","×","－"),"")</f>
        <v>－</v>
      </c>
      <c r="AO53" s="35" t="str">
        <f aca="false">IFERROR(CHOOSE(MATCH(INDEX(時間ごとの判定!$AT$3:$AT$1850,1190),{"利用可","両方停止","運転がそろわない","判定不能"},0),"○","停","×","－"),"")</f>
        <v>－</v>
      </c>
      <c r="AP53" s="35" t="str">
        <f aca="false">IFERROR(CHOOSE(MATCH(INDEX(時間ごとの判定!$AT$3:$AT$1850,1191),{"利用可","両方停止","運転がそろわない","判定不能"},0),"○","停","×","－"),"")</f>
        <v>－</v>
      </c>
      <c r="AQ53" s="35" t="str">
        <f aca="false">IFERROR(CHOOSE(MATCH(INDEX(時間ごとの判定!$AT$3:$AT$1850,1192),{"利用可","両方停止","運転がそろわない","判定不能"},0),"○","停","×","－"),"")</f>
        <v>－</v>
      </c>
      <c r="AR53" s="35" t="str">
        <f aca="false">IFERROR(CHOOSE(MATCH(INDEX(時間ごとの判定!$AT$3:$AT$1850,1193),{"利用可","両方停止","運転がそろわない","判定不能"},0),"○","停","×","－"),"")</f>
        <v>－</v>
      </c>
      <c r="AS53" s="35" t="str">
        <f aca="false">IFERROR(CHOOSE(MATCH(INDEX(時間ごとの判定!$AT$3:$AT$1850,1194),{"利用可","両方停止","運転がそろわない","判定不能"},0),"○","停","×","－"),"")</f>
        <v>－</v>
      </c>
      <c r="AT53" s="35" t="str">
        <f aca="false">IFERROR(CHOOSE(MATCH(INDEX(時間ごとの判定!$AT$3:$AT$1850,1195),{"利用可","両方停止","運転がそろわない","判定不能"},0),"○","停","×","－"),"")</f>
        <v>－</v>
      </c>
      <c r="AU53" s="35" t="str">
        <f aca="false">IFERROR(CHOOSE(MATCH(INDEX(時間ごとの判定!$AT$3:$AT$1850,1196),{"利用可","両方停止","運転がそろわない","判定不能"},0),"○","停","×","－"),"")</f>
        <v>－</v>
      </c>
      <c r="AV53" s="35" t="str">
        <f aca="false">IFERROR(CHOOSE(MATCH(INDEX(時間ごとの判定!$AT$3:$AT$1850,1197),{"利用可","両方停止","運転がそろわない","判定不能"},0),"○","停","×","－"),"")</f>
        <v>－</v>
      </c>
      <c r="AW53" s="35" t="str">
        <f aca="false">IFERROR(CHOOSE(MATCH(INDEX(時間ごとの判定!$AT$3:$AT$1850,1198),{"利用可","両方停止","運転がそろわない","判定不能"},0),"○","停","×","－"),"")</f>
        <v>－</v>
      </c>
      <c r="AX53" s="35" t="str">
        <f aca="false">IFERROR(CHOOSE(MATCH(INDEX(時間ごとの判定!$AT$3:$AT$1850,1199),{"利用可","両方停止","運転がそろわない","判定不能"},0),"○","停","×","－"),"")</f>
        <v>－</v>
      </c>
      <c r="AY53" s="35" t="str">
        <f aca="false">IFERROR(CHOOSE(MATCH(INDEX(時間ごとの判定!$AT$3:$AT$1850,1200),{"利用可","両方停止","運転がそろわない","判定不能"},0),"○","停","×","－"),"")</f>
        <v>－</v>
      </c>
      <c r="AZ53" s="35"/>
      <c r="BA53" s="35" t="str">
        <f aca="false">IFERROR(CHOOSE(MATCH(INDEX(時間ごとの判定!$AW$3:$AW$1850,1177),{"利用可","両方停止","運転がそろわない","判定不能"},0),"○","停","×","－"),"")</f>
        <v>－</v>
      </c>
      <c r="BB53" s="35" t="str">
        <f aca="false">IFERROR(CHOOSE(MATCH(INDEX(時間ごとの判定!$AW$3:$AW$1850,1178),{"利用可","両方停止","運転がそろわない","判定不能"},0),"○","停","×","－"),"")</f>
        <v>－</v>
      </c>
      <c r="BC53" s="35" t="str">
        <f aca="false">IFERROR(CHOOSE(MATCH(INDEX(時間ごとの判定!$AW$3:$AW$1850,1179),{"利用可","両方停止","運転がそろわない","判定不能"},0),"○","停","×","－"),"")</f>
        <v>－</v>
      </c>
      <c r="BD53" s="35" t="str">
        <f aca="false">IFERROR(CHOOSE(MATCH(INDEX(時間ごとの判定!$AW$3:$AW$1850,1180),{"利用可","両方停止","運転がそろわない","判定不能"},0),"○","停","×","－"),"")</f>
        <v>－</v>
      </c>
      <c r="BE53" s="35" t="str">
        <f aca="false">IFERROR(CHOOSE(MATCH(INDEX(時間ごとの判定!$AW$3:$AW$1850,1181),{"利用可","両方停止","運転がそろわない","判定不能"},0),"○","停","×","－"),"")</f>
        <v>－</v>
      </c>
      <c r="BF53" s="35" t="str">
        <f aca="false">IFERROR(CHOOSE(MATCH(INDEX(時間ごとの判定!$AW$3:$AW$1850,1182),{"利用可","両方停止","運転がそろわない","判定不能"},0),"○","停","×","－"),"")</f>
        <v>－</v>
      </c>
      <c r="BG53" s="35" t="str">
        <f aca="false">IFERROR(CHOOSE(MATCH(INDEX(時間ごとの判定!$AW$3:$AW$1850,1183),{"利用可","両方停止","運転がそろわない","判定不能"},0),"○","停","×","－"),"")</f>
        <v>－</v>
      </c>
      <c r="BH53" s="35" t="str">
        <f aca="false">IFERROR(CHOOSE(MATCH(INDEX(時間ごとの判定!$AW$3:$AW$1850,1184),{"利用可","両方停止","運転がそろわない","判定不能"},0),"○","停","×","－"),"")</f>
        <v>－</v>
      </c>
      <c r="BI53" s="35" t="str">
        <f aca="false">IFERROR(CHOOSE(MATCH(INDEX(時間ごとの判定!$AW$3:$AW$1850,1185),{"利用可","両方停止","運転がそろわない","判定不能"},0),"○","停","×","－"),"")</f>
        <v>－</v>
      </c>
      <c r="BJ53" s="35" t="str">
        <f aca="false">IFERROR(CHOOSE(MATCH(INDEX(時間ごとの判定!$AW$3:$AW$1850,1186),{"利用可","両方停止","運転がそろわない","判定不能"},0),"○","停","×","－"),"")</f>
        <v>－</v>
      </c>
      <c r="BK53" s="35" t="str">
        <f aca="false">IFERROR(CHOOSE(MATCH(INDEX(時間ごとの判定!$AW$3:$AW$1850,1187),{"利用可","両方停止","運転がそろわない","判定不能"},0),"○","停","×","－"),"")</f>
        <v>－</v>
      </c>
      <c r="BL53" s="35" t="str">
        <f aca="false">IFERROR(CHOOSE(MATCH(INDEX(時間ごとの判定!$AW$3:$AW$1850,1188),{"利用可","両方停止","運転がそろわない","判定不能"},0),"○","停","×","－"),"")</f>
        <v>－</v>
      </c>
      <c r="BM53" s="35" t="str">
        <f aca="false">IFERROR(CHOOSE(MATCH(INDEX(時間ごとの判定!$AW$3:$AW$1850,1189),{"利用可","両方停止","運転がそろわない","判定不能"},0),"○","停","×","－"),"")</f>
        <v>－</v>
      </c>
      <c r="BN53" s="35" t="str">
        <f aca="false">IFERROR(CHOOSE(MATCH(INDEX(時間ごとの判定!$AW$3:$AW$1850,1190),{"利用可","両方停止","運転がそろわない","判定不能"},0),"○","停","×","－"),"")</f>
        <v>－</v>
      </c>
      <c r="BO53" s="35" t="str">
        <f aca="false">IFERROR(CHOOSE(MATCH(INDEX(時間ごとの判定!$AW$3:$AW$1850,1191),{"利用可","両方停止","運転がそろわない","判定不能"},0),"○","停","×","－"),"")</f>
        <v>－</v>
      </c>
      <c r="BP53" s="35" t="str">
        <f aca="false">IFERROR(CHOOSE(MATCH(INDEX(時間ごとの判定!$AW$3:$AW$1850,1192),{"利用可","両方停止","運転がそろわない","判定不能"},0),"○","停","×","－"),"")</f>
        <v>－</v>
      </c>
      <c r="BQ53" s="35" t="str">
        <f aca="false">IFERROR(CHOOSE(MATCH(INDEX(時間ごとの判定!$AW$3:$AW$1850,1193),{"利用可","両方停止","運転がそろわない","判定不能"},0),"○","停","×","－"),"")</f>
        <v>－</v>
      </c>
      <c r="BR53" s="35" t="str">
        <f aca="false">IFERROR(CHOOSE(MATCH(INDEX(時間ごとの判定!$AW$3:$AW$1850,1194),{"利用可","両方停止","運転がそろわない","判定不能"},0),"○","停","×","－"),"")</f>
        <v>－</v>
      </c>
      <c r="BS53" s="35" t="str">
        <f aca="false">IFERROR(CHOOSE(MATCH(INDEX(時間ごとの判定!$AW$3:$AW$1850,1195),{"利用可","両方停止","運転がそろわない","判定不能"},0),"○","停","×","－"),"")</f>
        <v>－</v>
      </c>
      <c r="BT53" s="35" t="str">
        <f aca="false">IFERROR(CHOOSE(MATCH(INDEX(時間ごとの判定!$AW$3:$AW$1850,1196),{"利用可","両方停止","運転がそろわない","判定不能"},0),"○","停","×","－"),"")</f>
        <v>－</v>
      </c>
      <c r="BU53" s="35" t="str">
        <f aca="false">IFERROR(CHOOSE(MATCH(INDEX(時間ごとの判定!$AW$3:$AW$1850,1197),{"利用可","両方停止","運転がそろわない","判定不能"},0),"○","停","×","－"),"")</f>
        <v>－</v>
      </c>
      <c r="BV53" s="35" t="str">
        <f aca="false">IFERROR(CHOOSE(MATCH(INDEX(時間ごとの判定!$AW$3:$AW$1850,1198),{"利用可","両方停止","運転がそろわない","判定不能"},0),"○","停","×","－"),"")</f>
        <v>－</v>
      </c>
      <c r="BW53" s="35" t="str">
        <f aca="false">IFERROR(CHOOSE(MATCH(INDEX(時間ごとの判定!$AW$3:$AW$1850,1199),{"利用可","両方停止","運転がそろわない","判定不能"},0),"○","停","×","－"),"")</f>
        <v>－</v>
      </c>
      <c r="BX53" s="35" t="str">
        <f aca="false">IFERROR(CHOOSE(MATCH(INDEX(時間ごとの判定!$AW$3:$AW$1850,1200),{"利用可","両方停止","運転がそろわない","判定不能"},0),"○","停","×","－"),"")</f>
        <v>－</v>
      </c>
    </row>
    <row r="54" customFormat="false" ht="15" hidden="false" customHeight="false" outlineLevel="0" collapsed="false">
      <c r="A54" s="33" t="n">
        <v>46282</v>
      </c>
      <c r="B54" s="34" t="s">
        <v>61</v>
      </c>
      <c r="C54" s="35" t="str">
        <f aca="false">IFERROR(CHOOSE(MATCH(INDEX(時間ごとの判定!$AQ$3:$AQ$1850,1201),{"利用可","両方停止","運転がそろわない","判定不能"},0),"○","停","×","－"),"")</f>
        <v>－</v>
      </c>
      <c r="D54" s="35" t="str">
        <f aca="false">IFERROR(CHOOSE(MATCH(INDEX(時間ごとの判定!$AQ$3:$AQ$1850,1202),{"利用可","両方停止","運転がそろわない","判定不能"},0),"○","停","×","－"),"")</f>
        <v>－</v>
      </c>
      <c r="E54" s="35" t="str">
        <f aca="false">IFERROR(CHOOSE(MATCH(INDEX(時間ごとの判定!$AQ$3:$AQ$1850,1203),{"利用可","両方停止","運転がそろわない","判定不能"},0),"○","停","×","－"),"")</f>
        <v>－</v>
      </c>
      <c r="F54" s="35" t="str">
        <f aca="false">IFERROR(CHOOSE(MATCH(INDEX(時間ごとの判定!$AQ$3:$AQ$1850,1204),{"利用可","両方停止","運転がそろわない","判定不能"},0),"○","停","×","－"),"")</f>
        <v>－</v>
      </c>
      <c r="G54" s="35" t="str">
        <f aca="false">IFERROR(CHOOSE(MATCH(INDEX(時間ごとの判定!$AQ$3:$AQ$1850,1205),{"利用可","両方停止","運転がそろわない","判定不能"},0),"○","停","×","－"),"")</f>
        <v>－</v>
      </c>
      <c r="H54" s="35" t="str">
        <f aca="false">IFERROR(CHOOSE(MATCH(INDEX(時間ごとの判定!$AQ$3:$AQ$1850,1206),{"利用可","両方停止","運転がそろわない","判定不能"},0),"○","停","×","－"),"")</f>
        <v>－</v>
      </c>
      <c r="I54" s="35" t="str">
        <f aca="false">IFERROR(CHOOSE(MATCH(INDEX(時間ごとの判定!$AQ$3:$AQ$1850,1207),{"利用可","両方停止","運転がそろわない","判定不能"},0),"○","停","×","－"),"")</f>
        <v>－</v>
      </c>
      <c r="J54" s="35" t="str">
        <f aca="false">IFERROR(CHOOSE(MATCH(INDEX(時間ごとの判定!$AQ$3:$AQ$1850,1208),{"利用可","両方停止","運転がそろわない","判定不能"},0),"○","停","×","－"),"")</f>
        <v>－</v>
      </c>
      <c r="K54" s="35" t="str">
        <f aca="false">IFERROR(CHOOSE(MATCH(INDEX(時間ごとの判定!$AQ$3:$AQ$1850,1209),{"利用可","両方停止","運転がそろわない","判定不能"},0),"○","停","×","－"),"")</f>
        <v>－</v>
      </c>
      <c r="L54" s="35" t="str">
        <f aca="false">IFERROR(CHOOSE(MATCH(INDEX(時間ごとの判定!$AQ$3:$AQ$1850,1210),{"利用可","両方停止","運転がそろわない","判定不能"},0),"○","停","×","－"),"")</f>
        <v>－</v>
      </c>
      <c r="M54" s="35" t="str">
        <f aca="false">IFERROR(CHOOSE(MATCH(INDEX(時間ごとの判定!$AQ$3:$AQ$1850,1211),{"利用可","両方停止","運転がそろわない","判定不能"},0),"○","停","×","－"),"")</f>
        <v>－</v>
      </c>
      <c r="N54" s="35" t="str">
        <f aca="false">IFERROR(CHOOSE(MATCH(INDEX(時間ごとの判定!$AQ$3:$AQ$1850,1212),{"利用可","両方停止","運転がそろわない","判定不能"},0),"○","停","×","－"),"")</f>
        <v>－</v>
      </c>
      <c r="O54" s="35" t="str">
        <f aca="false">IFERROR(CHOOSE(MATCH(INDEX(時間ごとの判定!$AQ$3:$AQ$1850,1213),{"利用可","両方停止","運転がそろわない","判定不能"},0),"○","停","×","－"),"")</f>
        <v>－</v>
      </c>
      <c r="P54" s="35" t="str">
        <f aca="false">IFERROR(CHOOSE(MATCH(INDEX(時間ごとの判定!$AQ$3:$AQ$1850,1214),{"利用可","両方停止","運転がそろわない","判定不能"},0),"○","停","×","－"),"")</f>
        <v>－</v>
      </c>
      <c r="Q54" s="35" t="str">
        <f aca="false">IFERROR(CHOOSE(MATCH(INDEX(時間ごとの判定!$AQ$3:$AQ$1850,1215),{"利用可","両方停止","運転がそろわない","判定不能"},0),"○","停","×","－"),"")</f>
        <v>－</v>
      </c>
      <c r="R54" s="35" t="str">
        <f aca="false">IFERROR(CHOOSE(MATCH(INDEX(時間ごとの判定!$AQ$3:$AQ$1850,1216),{"利用可","両方停止","運転がそろわない","判定不能"},0),"○","停","×","－"),"")</f>
        <v>－</v>
      </c>
      <c r="S54" s="35" t="str">
        <f aca="false">IFERROR(CHOOSE(MATCH(INDEX(時間ごとの判定!$AQ$3:$AQ$1850,1217),{"利用可","両方停止","運転がそろわない","判定不能"},0),"○","停","×","－"),"")</f>
        <v>－</v>
      </c>
      <c r="T54" s="35" t="str">
        <f aca="false">IFERROR(CHOOSE(MATCH(INDEX(時間ごとの判定!$AQ$3:$AQ$1850,1218),{"利用可","両方停止","運転がそろわない","判定不能"},0),"○","停","×","－"),"")</f>
        <v>－</v>
      </c>
      <c r="U54" s="35" t="str">
        <f aca="false">IFERROR(CHOOSE(MATCH(INDEX(時間ごとの判定!$AQ$3:$AQ$1850,1219),{"利用可","両方停止","運転がそろわない","判定不能"},0),"○","停","×","－"),"")</f>
        <v>－</v>
      </c>
      <c r="V54" s="35" t="str">
        <f aca="false">IFERROR(CHOOSE(MATCH(INDEX(時間ごとの判定!$AQ$3:$AQ$1850,1220),{"利用可","両方停止","運転がそろわない","判定不能"},0),"○","停","×","－"),"")</f>
        <v>－</v>
      </c>
      <c r="W54" s="35" t="str">
        <f aca="false">IFERROR(CHOOSE(MATCH(INDEX(時間ごとの判定!$AQ$3:$AQ$1850,1221),{"利用可","両方停止","運転がそろわない","判定不能"},0),"○","停","×","－"),"")</f>
        <v>－</v>
      </c>
      <c r="X54" s="35" t="str">
        <f aca="false">IFERROR(CHOOSE(MATCH(INDEX(時間ごとの判定!$AQ$3:$AQ$1850,1222),{"利用可","両方停止","運転がそろわない","判定不能"},0),"○","停","×","－"),"")</f>
        <v>－</v>
      </c>
      <c r="Y54" s="35" t="str">
        <f aca="false">IFERROR(CHOOSE(MATCH(INDEX(時間ごとの判定!$AQ$3:$AQ$1850,1223),{"利用可","両方停止","運転がそろわない","判定不能"},0),"○","停","×","－"),"")</f>
        <v>－</v>
      </c>
      <c r="Z54" s="35" t="str">
        <f aca="false">IFERROR(CHOOSE(MATCH(INDEX(時間ごとの判定!$AQ$3:$AQ$1850,1224),{"利用可","両方停止","運転がそろわない","判定不能"},0),"○","停","×","－"),"")</f>
        <v>－</v>
      </c>
      <c r="AA54" s="35"/>
      <c r="AB54" s="35" t="str">
        <f aca="false">IFERROR(CHOOSE(MATCH(INDEX(時間ごとの判定!$AT$3:$AT$1850,1201),{"利用可","両方停止","運転がそろわない","判定不能"},0),"○","停","×","－"),"")</f>
        <v>－</v>
      </c>
      <c r="AC54" s="35" t="str">
        <f aca="false">IFERROR(CHOOSE(MATCH(INDEX(時間ごとの判定!$AT$3:$AT$1850,1202),{"利用可","両方停止","運転がそろわない","判定不能"},0),"○","停","×","－"),"")</f>
        <v>－</v>
      </c>
      <c r="AD54" s="35" t="str">
        <f aca="false">IFERROR(CHOOSE(MATCH(INDEX(時間ごとの判定!$AT$3:$AT$1850,1203),{"利用可","両方停止","運転がそろわない","判定不能"},0),"○","停","×","－"),"")</f>
        <v>－</v>
      </c>
      <c r="AE54" s="35" t="str">
        <f aca="false">IFERROR(CHOOSE(MATCH(INDEX(時間ごとの判定!$AT$3:$AT$1850,1204),{"利用可","両方停止","運転がそろわない","判定不能"},0),"○","停","×","－"),"")</f>
        <v>－</v>
      </c>
      <c r="AF54" s="35" t="str">
        <f aca="false">IFERROR(CHOOSE(MATCH(INDEX(時間ごとの判定!$AT$3:$AT$1850,1205),{"利用可","両方停止","運転がそろわない","判定不能"},0),"○","停","×","－"),"")</f>
        <v>－</v>
      </c>
      <c r="AG54" s="35" t="str">
        <f aca="false">IFERROR(CHOOSE(MATCH(INDEX(時間ごとの判定!$AT$3:$AT$1850,1206),{"利用可","両方停止","運転がそろわない","判定不能"},0),"○","停","×","－"),"")</f>
        <v>－</v>
      </c>
      <c r="AH54" s="35" t="str">
        <f aca="false">IFERROR(CHOOSE(MATCH(INDEX(時間ごとの判定!$AT$3:$AT$1850,1207),{"利用可","両方停止","運転がそろわない","判定不能"},0),"○","停","×","－"),"")</f>
        <v>－</v>
      </c>
      <c r="AI54" s="35" t="str">
        <f aca="false">IFERROR(CHOOSE(MATCH(INDEX(時間ごとの判定!$AT$3:$AT$1850,1208),{"利用可","両方停止","運転がそろわない","判定不能"},0),"○","停","×","－"),"")</f>
        <v>－</v>
      </c>
      <c r="AJ54" s="35" t="str">
        <f aca="false">IFERROR(CHOOSE(MATCH(INDEX(時間ごとの判定!$AT$3:$AT$1850,1209),{"利用可","両方停止","運転がそろわない","判定不能"},0),"○","停","×","－"),"")</f>
        <v>－</v>
      </c>
      <c r="AK54" s="35" t="str">
        <f aca="false">IFERROR(CHOOSE(MATCH(INDEX(時間ごとの判定!$AT$3:$AT$1850,1210),{"利用可","両方停止","運転がそろわない","判定不能"},0),"○","停","×","－"),"")</f>
        <v>－</v>
      </c>
      <c r="AL54" s="35" t="str">
        <f aca="false">IFERROR(CHOOSE(MATCH(INDEX(時間ごとの判定!$AT$3:$AT$1850,1211),{"利用可","両方停止","運転がそろわない","判定不能"},0),"○","停","×","－"),"")</f>
        <v>－</v>
      </c>
      <c r="AM54" s="35" t="str">
        <f aca="false">IFERROR(CHOOSE(MATCH(INDEX(時間ごとの判定!$AT$3:$AT$1850,1212),{"利用可","両方停止","運転がそろわない","判定不能"},0),"○","停","×","－"),"")</f>
        <v>－</v>
      </c>
      <c r="AN54" s="35" t="str">
        <f aca="false">IFERROR(CHOOSE(MATCH(INDEX(時間ごとの判定!$AT$3:$AT$1850,1213),{"利用可","両方停止","運転がそろわない","判定不能"},0),"○","停","×","－"),"")</f>
        <v>－</v>
      </c>
      <c r="AO54" s="35" t="str">
        <f aca="false">IFERROR(CHOOSE(MATCH(INDEX(時間ごとの判定!$AT$3:$AT$1850,1214),{"利用可","両方停止","運転がそろわない","判定不能"},0),"○","停","×","－"),"")</f>
        <v>－</v>
      </c>
      <c r="AP54" s="35" t="str">
        <f aca="false">IFERROR(CHOOSE(MATCH(INDEX(時間ごとの判定!$AT$3:$AT$1850,1215),{"利用可","両方停止","運転がそろわない","判定不能"},0),"○","停","×","－"),"")</f>
        <v>－</v>
      </c>
      <c r="AQ54" s="35" t="str">
        <f aca="false">IFERROR(CHOOSE(MATCH(INDEX(時間ごとの判定!$AT$3:$AT$1850,1216),{"利用可","両方停止","運転がそろわない","判定不能"},0),"○","停","×","－"),"")</f>
        <v>－</v>
      </c>
      <c r="AR54" s="35" t="str">
        <f aca="false">IFERROR(CHOOSE(MATCH(INDEX(時間ごとの判定!$AT$3:$AT$1850,1217),{"利用可","両方停止","運転がそろわない","判定不能"},0),"○","停","×","－"),"")</f>
        <v>－</v>
      </c>
      <c r="AS54" s="35" t="str">
        <f aca="false">IFERROR(CHOOSE(MATCH(INDEX(時間ごとの判定!$AT$3:$AT$1850,1218),{"利用可","両方停止","運転がそろわない","判定不能"},0),"○","停","×","－"),"")</f>
        <v>－</v>
      </c>
      <c r="AT54" s="35" t="str">
        <f aca="false">IFERROR(CHOOSE(MATCH(INDEX(時間ごとの判定!$AT$3:$AT$1850,1219),{"利用可","両方停止","運転がそろわない","判定不能"},0),"○","停","×","－"),"")</f>
        <v>－</v>
      </c>
      <c r="AU54" s="35" t="str">
        <f aca="false">IFERROR(CHOOSE(MATCH(INDEX(時間ごとの判定!$AT$3:$AT$1850,1220),{"利用可","両方停止","運転がそろわない","判定不能"},0),"○","停","×","－"),"")</f>
        <v>－</v>
      </c>
      <c r="AV54" s="35" t="str">
        <f aca="false">IFERROR(CHOOSE(MATCH(INDEX(時間ごとの判定!$AT$3:$AT$1850,1221),{"利用可","両方停止","運転がそろわない","判定不能"},0),"○","停","×","－"),"")</f>
        <v>－</v>
      </c>
      <c r="AW54" s="35" t="str">
        <f aca="false">IFERROR(CHOOSE(MATCH(INDEX(時間ごとの判定!$AT$3:$AT$1850,1222),{"利用可","両方停止","運転がそろわない","判定不能"},0),"○","停","×","－"),"")</f>
        <v>－</v>
      </c>
      <c r="AX54" s="35" t="str">
        <f aca="false">IFERROR(CHOOSE(MATCH(INDEX(時間ごとの判定!$AT$3:$AT$1850,1223),{"利用可","両方停止","運転がそろわない","判定不能"},0),"○","停","×","－"),"")</f>
        <v>－</v>
      </c>
      <c r="AY54" s="35" t="str">
        <f aca="false">IFERROR(CHOOSE(MATCH(INDEX(時間ごとの判定!$AT$3:$AT$1850,1224),{"利用可","両方停止","運転がそろわない","判定不能"},0),"○","停","×","－"),"")</f>
        <v>－</v>
      </c>
      <c r="AZ54" s="35"/>
      <c r="BA54" s="35" t="str">
        <f aca="false">IFERROR(CHOOSE(MATCH(INDEX(時間ごとの判定!$AW$3:$AW$1850,1201),{"利用可","両方停止","運転がそろわない","判定不能"},0),"○","停","×","－"),"")</f>
        <v>－</v>
      </c>
      <c r="BB54" s="35" t="str">
        <f aca="false">IFERROR(CHOOSE(MATCH(INDEX(時間ごとの判定!$AW$3:$AW$1850,1202),{"利用可","両方停止","運転がそろわない","判定不能"},0),"○","停","×","－"),"")</f>
        <v>－</v>
      </c>
      <c r="BC54" s="35" t="str">
        <f aca="false">IFERROR(CHOOSE(MATCH(INDEX(時間ごとの判定!$AW$3:$AW$1850,1203),{"利用可","両方停止","運転がそろわない","判定不能"},0),"○","停","×","－"),"")</f>
        <v>－</v>
      </c>
      <c r="BD54" s="35" t="str">
        <f aca="false">IFERROR(CHOOSE(MATCH(INDEX(時間ごとの判定!$AW$3:$AW$1850,1204),{"利用可","両方停止","運転がそろわない","判定不能"},0),"○","停","×","－"),"")</f>
        <v>－</v>
      </c>
      <c r="BE54" s="35" t="str">
        <f aca="false">IFERROR(CHOOSE(MATCH(INDEX(時間ごとの判定!$AW$3:$AW$1850,1205),{"利用可","両方停止","運転がそろわない","判定不能"},0),"○","停","×","－"),"")</f>
        <v>－</v>
      </c>
      <c r="BF54" s="35" t="str">
        <f aca="false">IFERROR(CHOOSE(MATCH(INDEX(時間ごとの判定!$AW$3:$AW$1850,1206),{"利用可","両方停止","運転がそろわない","判定不能"},0),"○","停","×","－"),"")</f>
        <v>－</v>
      </c>
      <c r="BG54" s="35" t="str">
        <f aca="false">IFERROR(CHOOSE(MATCH(INDEX(時間ごとの判定!$AW$3:$AW$1850,1207),{"利用可","両方停止","運転がそろわない","判定不能"},0),"○","停","×","－"),"")</f>
        <v>－</v>
      </c>
      <c r="BH54" s="35" t="str">
        <f aca="false">IFERROR(CHOOSE(MATCH(INDEX(時間ごとの判定!$AW$3:$AW$1850,1208),{"利用可","両方停止","運転がそろわない","判定不能"},0),"○","停","×","－"),"")</f>
        <v>－</v>
      </c>
      <c r="BI54" s="35" t="str">
        <f aca="false">IFERROR(CHOOSE(MATCH(INDEX(時間ごとの判定!$AW$3:$AW$1850,1209),{"利用可","両方停止","運転がそろわない","判定不能"},0),"○","停","×","－"),"")</f>
        <v>－</v>
      </c>
      <c r="BJ54" s="35" t="str">
        <f aca="false">IFERROR(CHOOSE(MATCH(INDEX(時間ごとの判定!$AW$3:$AW$1850,1210),{"利用可","両方停止","運転がそろわない","判定不能"},0),"○","停","×","－"),"")</f>
        <v>－</v>
      </c>
      <c r="BK54" s="35" t="str">
        <f aca="false">IFERROR(CHOOSE(MATCH(INDEX(時間ごとの判定!$AW$3:$AW$1850,1211),{"利用可","両方停止","運転がそろわない","判定不能"},0),"○","停","×","－"),"")</f>
        <v>－</v>
      </c>
      <c r="BL54" s="35" t="str">
        <f aca="false">IFERROR(CHOOSE(MATCH(INDEX(時間ごとの判定!$AW$3:$AW$1850,1212),{"利用可","両方停止","運転がそろわない","判定不能"},0),"○","停","×","－"),"")</f>
        <v>－</v>
      </c>
      <c r="BM54" s="35" t="str">
        <f aca="false">IFERROR(CHOOSE(MATCH(INDEX(時間ごとの判定!$AW$3:$AW$1850,1213),{"利用可","両方停止","運転がそろわない","判定不能"},0),"○","停","×","－"),"")</f>
        <v>－</v>
      </c>
      <c r="BN54" s="35" t="str">
        <f aca="false">IFERROR(CHOOSE(MATCH(INDEX(時間ごとの判定!$AW$3:$AW$1850,1214),{"利用可","両方停止","運転がそろわない","判定不能"},0),"○","停","×","－"),"")</f>
        <v>－</v>
      </c>
      <c r="BO54" s="35" t="str">
        <f aca="false">IFERROR(CHOOSE(MATCH(INDEX(時間ごとの判定!$AW$3:$AW$1850,1215),{"利用可","両方停止","運転がそろわない","判定不能"},0),"○","停","×","－"),"")</f>
        <v>－</v>
      </c>
      <c r="BP54" s="35" t="str">
        <f aca="false">IFERROR(CHOOSE(MATCH(INDEX(時間ごとの判定!$AW$3:$AW$1850,1216),{"利用可","両方停止","運転がそろわない","判定不能"},0),"○","停","×","－"),"")</f>
        <v>－</v>
      </c>
      <c r="BQ54" s="35" t="str">
        <f aca="false">IFERROR(CHOOSE(MATCH(INDEX(時間ごとの判定!$AW$3:$AW$1850,1217),{"利用可","両方停止","運転がそろわない","判定不能"},0),"○","停","×","－"),"")</f>
        <v>－</v>
      </c>
      <c r="BR54" s="35" t="str">
        <f aca="false">IFERROR(CHOOSE(MATCH(INDEX(時間ごとの判定!$AW$3:$AW$1850,1218),{"利用可","両方停止","運転がそろわない","判定不能"},0),"○","停","×","－"),"")</f>
        <v>－</v>
      </c>
      <c r="BS54" s="35" t="str">
        <f aca="false">IFERROR(CHOOSE(MATCH(INDEX(時間ごとの判定!$AW$3:$AW$1850,1219),{"利用可","両方停止","運転がそろわない","判定不能"},0),"○","停","×","－"),"")</f>
        <v>－</v>
      </c>
      <c r="BT54" s="35" t="str">
        <f aca="false">IFERROR(CHOOSE(MATCH(INDEX(時間ごとの判定!$AW$3:$AW$1850,1220),{"利用可","両方停止","運転がそろわない","判定不能"},0),"○","停","×","－"),"")</f>
        <v>－</v>
      </c>
      <c r="BU54" s="35" t="str">
        <f aca="false">IFERROR(CHOOSE(MATCH(INDEX(時間ごとの判定!$AW$3:$AW$1850,1221),{"利用可","両方停止","運転がそろわない","判定不能"},0),"○","停","×","－"),"")</f>
        <v>－</v>
      </c>
      <c r="BV54" s="35" t="str">
        <f aca="false">IFERROR(CHOOSE(MATCH(INDEX(時間ごとの判定!$AW$3:$AW$1850,1222),{"利用可","両方停止","運転がそろわない","判定不能"},0),"○","停","×","－"),"")</f>
        <v>－</v>
      </c>
      <c r="BW54" s="35" t="str">
        <f aca="false">IFERROR(CHOOSE(MATCH(INDEX(時間ごとの判定!$AW$3:$AW$1850,1223),{"利用可","両方停止","運転がそろわない","判定不能"},0),"○","停","×","－"),"")</f>
        <v>－</v>
      </c>
      <c r="BX54" s="35" t="str">
        <f aca="false">IFERROR(CHOOSE(MATCH(INDEX(時間ごとの判定!$AW$3:$AW$1850,1224),{"利用可","両方停止","運転がそろわない","判定不能"},0),"○","停","×","－"),"")</f>
        <v>－</v>
      </c>
    </row>
    <row r="55" customFormat="false" ht="15" hidden="false" customHeight="false" outlineLevel="0" collapsed="false">
      <c r="A55" s="33" t="n">
        <v>46283</v>
      </c>
      <c r="B55" s="34" t="s">
        <v>62</v>
      </c>
      <c r="C55" s="35" t="str">
        <f aca="false">IFERROR(CHOOSE(MATCH(INDEX(時間ごとの判定!$AQ$3:$AQ$1850,1225),{"利用可","両方停止","運転がそろわない","判定不能"},0),"○","停","×","－"),"")</f>
        <v>－</v>
      </c>
      <c r="D55" s="35" t="str">
        <f aca="false">IFERROR(CHOOSE(MATCH(INDEX(時間ごとの判定!$AQ$3:$AQ$1850,1226),{"利用可","両方停止","運転がそろわない","判定不能"},0),"○","停","×","－"),"")</f>
        <v>－</v>
      </c>
      <c r="E55" s="35" t="str">
        <f aca="false">IFERROR(CHOOSE(MATCH(INDEX(時間ごとの判定!$AQ$3:$AQ$1850,1227),{"利用可","両方停止","運転がそろわない","判定不能"},0),"○","停","×","－"),"")</f>
        <v>－</v>
      </c>
      <c r="F55" s="35" t="str">
        <f aca="false">IFERROR(CHOOSE(MATCH(INDEX(時間ごとの判定!$AQ$3:$AQ$1850,1228),{"利用可","両方停止","運転がそろわない","判定不能"},0),"○","停","×","－"),"")</f>
        <v>－</v>
      </c>
      <c r="G55" s="35" t="str">
        <f aca="false">IFERROR(CHOOSE(MATCH(INDEX(時間ごとの判定!$AQ$3:$AQ$1850,1229),{"利用可","両方停止","運転がそろわない","判定不能"},0),"○","停","×","－"),"")</f>
        <v>－</v>
      </c>
      <c r="H55" s="35" t="str">
        <f aca="false">IFERROR(CHOOSE(MATCH(INDEX(時間ごとの判定!$AQ$3:$AQ$1850,1230),{"利用可","両方停止","運転がそろわない","判定不能"},0),"○","停","×","－"),"")</f>
        <v>－</v>
      </c>
      <c r="I55" s="35" t="str">
        <f aca="false">IFERROR(CHOOSE(MATCH(INDEX(時間ごとの判定!$AQ$3:$AQ$1850,1231),{"利用可","両方停止","運転がそろわない","判定不能"},0),"○","停","×","－"),"")</f>
        <v>－</v>
      </c>
      <c r="J55" s="35" t="str">
        <f aca="false">IFERROR(CHOOSE(MATCH(INDEX(時間ごとの判定!$AQ$3:$AQ$1850,1232),{"利用可","両方停止","運転がそろわない","判定不能"},0),"○","停","×","－"),"")</f>
        <v>－</v>
      </c>
      <c r="K55" s="35" t="str">
        <f aca="false">IFERROR(CHOOSE(MATCH(INDEX(時間ごとの判定!$AQ$3:$AQ$1850,1233),{"利用可","両方停止","運転がそろわない","判定不能"},0),"○","停","×","－"),"")</f>
        <v>－</v>
      </c>
      <c r="L55" s="35" t="str">
        <f aca="false">IFERROR(CHOOSE(MATCH(INDEX(時間ごとの判定!$AQ$3:$AQ$1850,1234),{"利用可","両方停止","運転がそろわない","判定不能"},0),"○","停","×","－"),"")</f>
        <v>－</v>
      </c>
      <c r="M55" s="35" t="str">
        <f aca="false">IFERROR(CHOOSE(MATCH(INDEX(時間ごとの判定!$AQ$3:$AQ$1850,1235),{"利用可","両方停止","運転がそろわない","判定不能"},0),"○","停","×","－"),"")</f>
        <v>－</v>
      </c>
      <c r="N55" s="35" t="str">
        <f aca="false">IFERROR(CHOOSE(MATCH(INDEX(時間ごとの判定!$AQ$3:$AQ$1850,1236),{"利用可","両方停止","運転がそろわない","判定不能"},0),"○","停","×","－"),"")</f>
        <v>－</v>
      </c>
      <c r="O55" s="35" t="str">
        <f aca="false">IFERROR(CHOOSE(MATCH(INDEX(時間ごとの判定!$AQ$3:$AQ$1850,1237),{"利用可","両方停止","運転がそろわない","判定不能"},0),"○","停","×","－"),"")</f>
        <v>－</v>
      </c>
      <c r="P55" s="35" t="str">
        <f aca="false">IFERROR(CHOOSE(MATCH(INDEX(時間ごとの判定!$AQ$3:$AQ$1850,1238),{"利用可","両方停止","運転がそろわない","判定不能"},0),"○","停","×","－"),"")</f>
        <v>－</v>
      </c>
      <c r="Q55" s="35" t="str">
        <f aca="false">IFERROR(CHOOSE(MATCH(INDEX(時間ごとの判定!$AQ$3:$AQ$1850,1239),{"利用可","両方停止","運転がそろわない","判定不能"},0),"○","停","×","－"),"")</f>
        <v>－</v>
      </c>
      <c r="R55" s="35" t="str">
        <f aca="false">IFERROR(CHOOSE(MATCH(INDEX(時間ごとの判定!$AQ$3:$AQ$1850,1240),{"利用可","両方停止","運転がそろわない","判定不能"},0),"○","停","×","－"),"")</f>
        <v>－</v>
      </c>
      <c r="S55" s="35" t="str">
        <f aca="false">IFERROR(CHOOSE(MATCH(INDEX(時間ごとの判定!$AQ$3:$AQ$1850,1241),{"利用可","両方停止","運転がそろわない","判定不能"},0),"○","停","×","－"),"")</f>
        <v>－</v>
      </c>
      <c r="T55" s="35" t="str">
        <f aca="false">IFERROR(CHOOSE(MATCH(INDEX(時間ごとの判定!$AQ$3:$AQ$1850,1242),{"利用可","両方停止","運転がそろわない","判定不能"},0),"○","停","×","－"),"")</f>
        <v>－</v>
      </c>
      <c r="U55" s="35" t="str">
        <f aca="false">IFERROR(CHOOSE(MATCH(INDEX(時間ごとの判定!$AQ$3:$AQ$1850,1243),{"利用可","両方停止","運転がそろわない","判定不能"},0),"○","停","×","－"),"")</f>
        <v>－</v>
      </c>
      <c r="V55" s="35" t="str">
        <f aca="false">IFERROR(CHOOSE(MATCH(INDEX(時間ごとの判定!$AQ$3:$AQ$1850,1244),{"利用可","両方停止","運転がそろわない","判定不能"},0),"○","停","×","－"),"")</f>
        <v>－</v>
      </c>
      <c r="W55" s="35" t="str">
        <f aca="false">IFERROR(CHOOSE(MATCH(INDEX(時間ごとの判定!$AQ$3:$AQ$1850,1245),{"利用可","両方停止","運転がそろわない","判定不能"},0),"○","停","×","－"),"")</f>
        <v>－</v>
      </c>
      <c r="X55" s="35" t="str">
        <f aca="false">IFERROR(CHOOSE(MATCH(INDEX(時間ごとの判定!$AQ$3:$AQ$1850,1246),{"利用可","両方停止","運転がそろわない","判定不能"},0),"○","停","×","－"),"")</f>
        <v>－</v>
      </c>
      <c r="Y55" s="35" t="str">
        <f aca="false">IFERROR(CHOOSE(MATCH(INDEX(時間ごとの判定!$AQ$3:$AQ$1850,1247),{"利用可","両方停止","運転がそろわない","判定不能"},0),"○","停","×","－"),"")</f>
        <v>－</v>
      </c>
      <c r="Z55" s="35" t="str">
        <f aca="false">IFERROR(CHOOSE(MATCH(INDEX(時間ごとの判定!$AQ$3:$AQ$1850,1248),{"利用可","両方停止","運転がそろわない","判定不能"},0),"○","停","×","－"),"")</f>
        <v>－</v>
      </c>
      <c r="AA55" s="35"/>
      <c r="AB55" s="35" t="str">
        <f aca="false">IFERROR(CHOOSE(MATCH(INDEX(時間ごとの判定!$AT$3:$AT$1850,1225),{"利用可","両方停止","運転がそろわない","判定不能"},0),"○","停","×","－"),"")</f>
        <v>－</v>
      </c>
      <c r="AC55" s="35" t="str">
        <f aca="false">IFERROR(CHOOSE(MATCH(INDEX(時間ごとの判定!$AT$3:$AT$1850,1226),{"利用可","両方停止","運転がそろわない","判定不能"},0),"○","停","×","－"),"")</f>
        <v>－</v>
      </c>
      <c r="AD55" s="35" t="str">
        <f aca="false">IFERROR(CHOOSE(MATCH(INDEX(時間ごとの判定!$AT$3:$AT$1850,1227),{"利用可","両方停止","運転がそろわない","判定不能"},0),"○","停","×","－"),"")</f>
        <v>－</v>
      </c>
      <c r="AE55" s="35" t="str">
        <f aca="false">IFERROR(CHOOSE(MATCH(INDEX(時間ごとの判定!$AT$3:$AT$1850,1228),{"利用可","両方停止","運転がそろわない","判定不能"},0),"○","停","×","－"),"")</f>
        <v>－</v>
      </c>
      <c r="AF55" s="35" t="str">
        <f aca="false">IFERROR(CHOOSE(MATCH(INDEX(時間ごとの判定!$AT$3:$AT$1850,1229),{"利用可","両方停止","運転がそろわない","判定不能"},0),"○","停","×","－"),"")</f>
        <v>－</v>
      </c>
      <c r="AG55" s="35" t="str">
        <f aca="false">IFERROR(CHOOSE(MATCH(INDEX(時間ごとの判定!$AT$3:$AT$1850,1230),{"利用可","両方停止","運転がそろわない","判定不能"},0),"○","停","×","－"),"")</f>
        <v>－</v>
      </c>
      <c r="AH55" s="35" t="str">
        <f aca="false">IFERROR(CHOOSE(MATCH(INDEX(時間ごとの判定!$AT$3:$AT$1850,1231),{"利用可","両方停止","運転がそろわない","判定不能"},0),"○","停","×","－"),"")</f>
        <v>－</v>
      </c>
      <c r="AI55" s="35" t="str">
        <f aca="false">IFERROR(CHOOSE(MATCH(INDEX(時間ごとの判定!$AT$3:$AT$1850,1232),{"利用可","両方停止","運転がそろわない","判定不能"},0),"○","停","×","－"),"")</f>
        <v>－</v>
      </c>
      <c r="AJ55" s="35" t="str">
        <f aca="false">IFERROR(CHOOSE(MATCH(INDEX(時間ごとの判定!$AT$3:$AT$1850,1233),{"利用可","両方停止","運転がそろわない","判定不能"},0),"○","停","×","－"),"")</f>
        <v>－</v>
      </c>
      <c r="AK55" s="35" t="str">
        <f aca="false">IFERROR(CHOOSE(MATCH(INDEX(時間ごとの判定!$AT$3:$AT$1850,1234),{"利用可","両方停止","運転がそろわない","判定不能"},0),"○","停","×","－"),"")</f>
        <v>－</v>
      </c>
      <c r="AL55" s="35" t="str">
        <f aca="false">IFERROR(CHOOSE(MATCH(INDEX(時間ごとの判定!$AT$3:$AT$1850,1235),{"利用可","両方停止","運転がそろわない","判定不能"},0),"○","停","×","－"),"")</f>
        <v>－</v>
      </c>
      <c r="AM55" s="35" t="str">
        <f aca="false">IFERROR(CHOOSE(MATCH(INDEX(時間ごとの判定!$AT$3:$AT$1850,1236),{"利用可","両方停止","運転がそろわない","判定不能"},0),"○","停","×","－"),"")</f>
        <v>－</v>
      </c>
      <c r="AN55" s="35" t="str">
        <f aca="false">IFERROR(CHOOSE(MATCH(INDEX(時間ごとの判定!$AT$3:$AT$1850,1237),{"利用可","両方停止","運転がそろわない","判定不能"},0),"○","停","×","－"),"")</f>
        <v>－</v>
      </c>
      <c r="AO55" s="35" t="str">
        <f aca="false">IFERROR(CHOOSE(MATCH(INDEX(時間ごとの判定!$AT$3:$AT$1850,1238),{"利用可","両方停止","運転がそろわない","判定不能"},0),"○","停","×","－"),"")</f>
        <v>－</v>
      </c>
      <c r="AP55" s="35" t="str">
        <f aca="false">IFERROR(CHOOSE(MATCH(INDEX(時間ごとの判定!$AT$3:$AT$1850,1239),{"利用可","両方停止","運転がそろわない","判定不能"},0),"○","停","×","－"),"")</f>
        <v>－</v>
      </c>
      <c r="AQ55" s="35" t="str">
        <f aca="false">IFERROR(CHOOSE(MATCH(INDEX(時間ごとの判定!$AT$3:$AT$1850,1240),{"利用可","両方停止","運転がそろわない","判定不能"},0),"○","停","×","－"),"")</f>
        <v>－</v>
      </c>
      <c r="AR55" s="35" t="str">
        <f aca="false">IFERROR(CHOOSE(MATCH(INDEX(時間ごとの判定!$AT$3:$AT$1850,1241),{"利用可","両方停止","運転がそろわない","判定不能"},0),"○","停","×","－"),"")</f>
        <v>－</v>
      </c>
      <c r="AS55" s="35" t="str">
        <f aca="false">IFERROR(CHOOSE(MATCH(INDEX(時間ごとの判定!$AT$3:$AT$1850,1242),{"利用可","両方停止","運転がそろわない","判定不能"},0),"○","停","×","－"),"")</f>
        <v>－</v>
      </c>
      <c r="AT55" s="35" t="str">
        <f aca="false">IFERROR(CHOOSE(MATCH(INDEX(時間ごとの判定!$AT$3:$AT$1850,1243),{"利用可","両方停止","運転がそろわない","判定不能"},0),"○","停","×","－"),"")</f>
        <v>－</v>
      </c>
      <c r="AU55" s="35" t="str">
        <f aca="false">IFERROR(CHOOSE(MATCH(INDEX(時間ごとの判定!$AT$3:$AT$1850,1244),{"利用可","両方停止","運転がそろわない","判定不能"},0),"○","停","×","－"),"")</f>
        <v>－</v>
      </c>
      <c r="AV55" s="35" t="str">
        <f aca="false">IFERROR(CHOOSE(MATCH(INDEX(時間ごとの判定!$AT$3:$AT$1850,1245),{"利用可","両方停止","運転がそろわない","判定不能"},0),"○","停","×","－"),"")</f>
        <v>－</v>
      </c>
      <c r="AW55" s="35" t="str">
        <f aca="false">IFERROR(CHOOSE(MATCH(INDEX(時間ごとの判定!$AT$3:$AT$1850,1246),{"利用可","両方停止","運転がそろわない","判定不能"},0),"○","停","×","－"),"")</f>
        <v>－</v>
      </c>
      <c r="AX55" s="35" t="str">
        <f aca="false">IFERROR(CHOOSE(MATCH(INDEX(時間ごとの判定!$AT$3:$AT$1850,1247),{"利用可","両方停止","運転がそろわない","判定不能"},0),"○","停","×","－"),"")</f>
        <v>－</v>
      </c>
      <c r="AY55" s="35" t="str">
        <f aca="false">IFERROR(CHOOSE(MATCH(INDEX(時間ごとの判定!$AT$3:$AT$1850,1248),{"利用可","両方停止","運転がそろわない","判定不能"},0),"○","停","×","－"),"")</f>
        <v>－</v>
      </c>
      <c r="AZ55" s="35"/>
      <c r="BA55" s="35" t="str">
        <f aca="false">IFERROR(CHOOSE(MATCH(INDEX(時間ごとの判定!$AW$3:$AW$1850,1225),{"利用可","両方停止","運転がそろわない","判定不能"},0),"○","停","×","－"),"")</f>
        <v>－</v>
      </c>
      <c r="BB55" s="35" t="str">
        <f aca="false">IFERROR(CHOOSE(MATCH(INDEX(時間ごとの判定!$AW$3:$AW$1850,1226),{"利用可","両方停止","運転がそろわない","判定不能"},0),"○","停","×","－"),"")</f>
        <v>－</v>
      </c>
      <c r="BC55" s="35" t="str">
        <f aca="false">IFERROR(CHOOSE(MATCH(INDEX(時間ごとの判定!$AW$3:$AW$1850,1227),{"利用可","両方停止","運転がそろわない","判定不能"},0),"○","停","×","－"),"")</f>
        <v>－</v>
      </c>
      <c r="BD55" s="35" t="str">
        <f aca="false">IFERROR(CHOOSE(MATCH(INDEX(時間ごとの判定!$AW$3:$AW$1850,1228),{"利用可","両方停止","運転がそろわない","判定不能"},0),"○","停","×","－"),"")</f>
        <v>－</v>
      </c>
      <c r="BE55" s="35" t="str">
        <f aca="false">IFERROR(CHOOSE(MATCH(INDEX(時間ごとの判定!$AW$3:$AW$1850,1229),{"利用可","両方停止","運転がそろわない","判定不能"},0),"○","停","×","－"),"")</f>
        <v>－</v>
      </c>
      <c r="BF55" s="35" t="str">
        <f aca="false">IFERROR(CHOOSE(MATCH(INDEX(時間ごとの判定!$AW$3:$AW$1850,1230),{"利用可","両方停止","運転がそろわない","判定不能"},0),"○","停","×","－"),"")</f>
        <v>－</v>
      </c>
      <c r="BG55" s="35" t="str">
        <f aca="false">IFERROR(CHOOSE(MATCH(INDEX(時間ごとの判定!$AW$3:$AW$1850,1231),{"利用可","両方停止","運転がそろわない","判定不能"},0),"○","停","×","－"),"")</f>
        <v>－</v>
      </c>
      <c r="BH55" s="35" t="str">
        <f aca="false">IFERROR(CHOOSE(MATCH(INDEX(時間ごとの判定!$AW$3:$AW$1850,1232),{"利用可","両方停止","運転がそろわない","判定不能"},0),"○","停","×","－"),"")</f>
        <v>－</v>
      </c>
      <c r="BI55" s="35" t="str">
        <f aca="false">IFERROR(CHOOSE(MATCH(INDEX(時間ごとの判定!$AW$3:$AW$1850,1233),{"利用可","両方停止","運転がそろわない","判定不能"},0),"○","停","×","－"),"")</f>
        <v>－</v>
      </c>
      <c r="BJ55" s="35" t="str">
        <f aca="false">IFERROR(CHOOSE(MATCH(INDEX(時間ごとの判定!$AW$3:$AW$1850,1234),{"利用可","両方停止","運転がそろわない","判定不能"},0),"○","停","×","－"),"")</f>
        <v>－</v>
      </c>
      <c r="BK55" s="35" t="str">
        <f aca="false">IFERROR(CHOOSE(MATCH(INDEX(時間ごとの判定!$AW$3:$AW$1850,1235),{"利用可","両方停止","運転がそろわない","判定不能"},0),"○","停","×","－"),"")</f>
        <v>－</v>
      </c>
      <c r="BL55" s="35" t="str">
        <f aca="false">IFERROR(CHOOSE(MATCH(INDEX(時間ごとの判定!$AW$3:$AW$1850,1236),{"利用可","両方停止","運転がそろわない","判定不能"},0),"○","停","×","－"),"")</f>
        <v>－</v>
      </c>
      <c r="BM55" s="35" t="str">
        <f aca="false">IFERROR(CHOOSE(MATCH(INDEX(時間ごとの判定!$AW$3:$AW$1850,1237),{"利用可","両方停止","運転がそろわない","判定不能"},0),"○","停","×","－"),"")</f>
        <v>－</v>
      </c>
      <c r="BN55" s="35" t="str">
        <f aca="false">IFERROR(CHOOSE(MATCH(INDEX(時間ごとの判定!$AW$3:$AW$1850,1238),{"利用可","両方停止","運転がそろわない","判定不能"},0),"○","停","×","－"),"")</f>
        <v>－</v>
      </c>
      <c r="BO55" s="35" t="str">
        <f aca="false">IFERROR(CHOOSE(MATCH(INDEX(時間ごとの判定!$AW$3:$AW$1850,1239),{"利用可","両方停止","運転がそろわない","判定不能"},0),"○","停","×","－"),"")</f>
        <v>－</v>
      </c>
      <c r="BP55" s="35" t="str">
        <f aca="false">IFERROR(CHOOSE(MATCH(INDEX(時間ごとの判定!$AW$3:$AW$1850,1240),{"利用可","両方停止","運転がそろわない","判定不能"},0),"○","停","×","－"),"")</f>
        <v>－</v>
      </c>
      <c r="BQ55" s="35" t="str">
        <f aca="false">IFERROR(CHOOSE(MATCH(INDEX(時間ごとの判定!$AW$3:$AW$1850,1241),{"利用可","両方停止","運転がそろわない","判定不能"},0),"○","停","×","－"),"")</f>
        <v>－</v>
      </c>
      <c r="BR55" s="35" t="str">
        <f aca="false">IFERROR(CHOOSE(MATCH(INDEX(時間ごとの判定!$AW$3:$AW$1850,1242),{"利用可","両方停止","運転がそろわない","判定不能"},0),"○","停","×","－"),"")</f>
        <v>－</v>
      </c>
      <c r="BS55" s="35" t="str">
        <f aca="false">IFERROR(CHOOSE(MATCH(INDEX(時間ごとの判定!$AW$3:$AW$1850,1243),{"利用可","両方停止","運転がそろわない","判定不能"},0),"○","停","×","－"),"")</f>
        <v>－</v>
      </c>
      <c r="BT55" s="35" t="str">
        <f aca="false">IFERROR(CHOOSE(MATCH(INDEX(時間ごとの判定!$AW$3:$AW$1850,1244),{"利用可","両方停止","運転がそろわない","判定不能"},0),"○","停","×","－"),"")</f>
        <v>－</v>
      </c>
      <c r="BU55" s="35" t="str">
        <f aca="false">IFERROR(CHOOSE(MATCH(INDEX(時間ごとの判定!$AW$3:$AW$1850,1245),{"利用可","両方停止","運転がそろわない","判定不能"},0),"○","停","×","－"),"")</f>
        <v>－</v>
      </c>
      <c r="BV55" s="35" t="str">
        <f aca="false">IFERROR(CHOOSE(MATCH(INDEX(時間ごとの判定!$AW$3:$AW$1850,1246),{"利用可","両方停止","運転がそろわない","判定不能"},0),"○","停","×","－"),"")</f>
        <v>－</v>
      </c>
      <c r="BW55" s="35" t="str">
        <f aca="false">IFERROR(CHOOSE(MATCH(INDEX(時間ごとの判定!$AW$3:$AW$1850,1247),{"利用可","両方停止","運転がそろわない","判定不能"},0),"○","停","×","－"),"")</f>
        <v>－</v>
      </c>
      <c r="BX55" s="35" t="str">
        <f aca="false">IFERROR(CHOOSE(MATCH(INDEX(時間ごとの判定!$AW$3:$AW$1850,1248),{"利用可","両方停止","運転がそろわない","判定不能"},0),"○","停","×","－"),"")</f>
        <v>－</v>
      </c>
    </row>
    <row r="56" customFormat="false" ht="15" hidden="false" customHeight="false" outlineLevel="0" collapsed="false">
      <c r="A56" s="33" t="n">
        <v>46284</v>
      </c>
      <c r="B56" s="36" t="s">
        <v>63</v>
      </c>
      <c r="C56" s="35" t="str">
        <f aca="false">IFERROR(CHOOSE(MATCH(INDEX(時間ごとの判定!$AQ$3:$AQ$1850,1249),{"利用可","両方停止","運転がそろわない","判定不能"},0),"○","停","×","－"),"")</f>
        <v>－</v>
      </c>
      <c r="D56" s="35" t="str">
        <f aca="false">IFERROR(CHOOSE(MATCH(INDEX(時間ごとの判定!$AQ$3:$AQ$1850,1250),{"利用可","両方停止","運転がそろわない","判定不能"},0),"○","停","×","－"),"")</f>
        <v>－</v>
      </c>
      <c r="E56" s="35" t="str">
        <f aca="false">IFERROR(CHOOSE(MATCH(INDEX(時間ごとの判定!$AQ$3:$AQ$1850,1251),{"利用可","両方停止","運転がそろわない","判定不能"},0),"○","停","×","－"),"")</f>
        <v>－</v>
      </c>
      <c r="F56" s="35" t="str">
        <f aca="false">IFERROR(CHOOSE(MATCH(INDEX(時間ごとの判定!$AQ$3:$AQ$1850,1252),{"利用可","両方停止","運転がそろわない","判定不能"},0),"○","停","×","－"),"")</f>
        <v>－</v>
      </c>
      <c r="G56" s="35" t="str">
        <f aca="false">IFERROR(CHOOSE(MATCH(INDEX(時間ごとの判定!$AQ$3:$AQ$1850,1253),{"利用可","両方停止","運転がそろわない","判定不能"},0),"○","停","×","－"),"")</f>
        <v>－</v>
      </c>
      <c r="H56" s="35" t="str">
        <f aca="false">IFERROR(CHOOSE(MATCH(INDEX(時間ごとの判定!$AQ$3:$AQ$1850,1254),{"利用可","両方停止","運転がそろわない","判定不能"},0),"○","停","×","－"),"")</f>
        <v>－</v>
      </c>
      <c r="I56" s="35" t="str">
        <f aca="false">IFERROR(CHOOSE(MATCH(INDEX(時間ごとの判定!$AQ$3:$AQ$1850,1255),{"利用可","両方停止","運転がそろわない","判定不能"},0),"○","停","×","－"),"")</f>
        <v>－</v>
      </c>
      <c r="J56" s="35" t="str">
        <f aca="false">IFERROR(CHOOSE(MATCH(INDEX(時間ごとの判定!$AQ$3:$AQ$1850,1256),{"利用可","両方停止","運転がそろわない","判定不能"},0),"○","停","×","－"),"")</f>
        <v>－</v>
      </c>
      <c r="K56" s="35" t="str">
        <f aca="false">IFERROR(CHOOSE(MATCH(INDEX(時間ごとの判定!$AQ$3:$AQ$1850,1257),{"利用可","両方停止","運転がそろわない","判定不能"},0),"○","停","×","－"),"")</f>
        <v>－</v>
      </c>
      <c r="L56" s="35" t="str">
        <f aca="false">IFERROR(CHOOSE(MATCH(INDEX(時間ごとの判定!$AQ$3:$AQ$1850,1258),{"利用可","両方停止","運転がそろわない","判定不能"},0),"○","停","×","－"),"")</f>
        <v>－</v>
      </c>
      <c r="M56" s="35" t="str">
        <f aca="false">IFERROR(CHOOSE(MATCH(INDEX(時間ごとの判定!$AQ$3:$AQ$1850,1259),{"利用可","両方停止","運転がそろわない","判定不能"},0),"○","停","×","－"),"")</f>
        <v>－</v>
      </c>
      <c r="N56" s="35" t="str">
        <f aca="false">IFERROR(CHOOSE(MATCH(INDEX(時間ごとの判定!$AQ$3:$AQ$1850,1260),{"利用可","両方停止","運転がそろわない","判定不能"},0),"○","停","×","－"),"")</f>
        <v>－</v>
      </c>
      <c r="O56" s="35" t="str">
        <f aca="false">IFERROR(CHOOSE(MATCH(INDEX(時間ごとの判定!$AQ$3:$AQ$1850,1261),{"利用可","両方停止","運転がそろわない","判定不能"},0),"○","停","×","－"),"")</f>
        <v>－</v>
      </c>
      <c r="P56" s="35" t="str">
        <f aca="false">IFERROR(CHOOSE(MATCH(INDEX(時間ごとの判定!$AQ$3:$AQ$1850,1262),{"利用可","両方停止","運転がそろわない","判定不能"},0),"○","停","×","－"),"")</f>
        <v>－</v>
      </c>
      <c r="Q56" s="35" t="str">
        <f aca="false">IFERROR(CHOOSE(MATCH(INDEX(時間ごとの判定!$AQ$3:$AQ$1850,1263),{"利用可","両方停止","運転がそろわない","判定不能"},0),"○","停","×","－"),"")</f>
        <v>－</v>
      </c>
      <c r="R56" s="35" t="str">
        <f aca="false">IFERROR(CHOOSE(MATCH(INDEX(時間ごとの判定!$AQ$3:$AQ$1850,1264),{"利用可","両方停止","運転がそろわない","判定不能"},0),"○","停","×","－"),"")</f>
        <v>－</v>
      </c>
      <c r="S56" s="35" t="str">
        <f aca="false">IFERROR(CHOOSE(MATCH(INDEX(時間ごとの判定!$AQ$3:$AQ$1850,1265),{"利用可","両方停止","運転がそろわない","判定不能"},0),"○","停","×","－"),"")</f>
        <v>－</v>
      </c>
      <c r="T56" s="35" t="str">
        <f aca="false">IFERROR(CHOOSE(MATCH(INDEX(時間ごとの判定!$AQ$3:$AQ$1850,1266),{"利用可","両方停止","運転がそろわない","判定不能"},0),"○","停","×","－"),"")</f>
        <v>－</v>
      </c>
      <c r="U56" s="35" t="str">
        <f aca="false">IFERROR(CHOOSE(MATCH(INDEX(時間ごとの判定!$AQ$3:$AQ$1850,1267),{"利用可","両方停止","運転がそろわない","判定不能"},0),"○","停","×","－"),"")</f>
        <v>－</v>
      </c>
      <c r="V56" s="35" t="str">
        <f aca="false">IFERROR(CHOOSE(MATCH(INDEX(時間ごとの判定!$AQ$3:$AQ$1850,1268),{"利用可","両方停止","運転がそろわない","判定不能"},0),"○","停","×","－"),"")</f>
        <v>－</v>
      </c>
      <c r="W56" s="35" t="str">
        <f aca="false">IFERROR(CHOOSE(MATCH(INDEX(時間ごとの判定!$AQ$3:$AQ$1850,1269),{"利用可","両方停止","運転がそろわない","判定不能"},0),"○","停","×","－"),"")</f>
        <v>－</v>
      </c>
      <c r="X56" s="35" t="str">
        <f aca="false">IFERROR(CHOOSE(MATCH(INDEX(時間ごとの判定!$AQ$3:$AQ$1850,1270),{"利用可","両方停止","運転がそろわない","判定不能"},0),"○","停","×","－"),"")</f>
        <v>－</v>
      </c>
      <c r="Y56" s="35" t="str">
        <f aca="false">IFERROR(CHOOSE(MATCH(INDEX(時間ごとの判定!$AQ$3:$AQ$1850,1271),{"利用可","両方停止","運転がそろわない","判定不能"},0),"○","停","×","－"),"")</f>
        <v>－</v>
      </c>
      <c r="Z56" s="35" t="str">
        <f aca="false">IFERROR(CHOOSE(MATCH(INDEX(時間ごとの判定!$AQ$3:$AQ$1850,1272),{"利用可","両方停止","運転がそろわない","判定不能"},0),"○","停","×","－"),"")</f>
        <v>－</v>
      </c>
      <c r="AA56" s="35"/>
      <c r="AB56" s="35" t="str">
        <f aca="false">IFERROR(CHOOSE(MATCH(INDEX(時間ごとの判定!$AT$3:$AT$1850,1249),{"利用可","両方停止","運転がそろわない","判定不能"},0),"○","停","×","－"),"")</f>
        <v>－</v>
      </c>
      <c r="AC56" s="35" t="str">
        <f aca="false">IFERROR(CHOOSE(MATCH(INDEX(時間ごとの判定!$AT$3:$AT$1850,1250),{"利用可","両方停止","運転がそろわない","判定不能"},0),"○","停","×","－"),"")</f>
        <v>－</v>
      </c>
      <c r="AD56" s="35" t="str">
        <f aca="false">IFERROR(CHOOSE(MATCH(INDEX(時間ごとの判定!$AT$3:$AT$1850,1251),{"利用可","両方停止","運転がそろわない","判定不能"},0),"○","停","×","－"),"")</f>
        <v>－</v>
      </c>
      <c r="AE56" s="35" t="str">
        <f aca="false">IFERROR(CHOOSE(MATCH(INDEX(時間ごとの判定!$AT$3:$AT$1850,1252),{"利用可","両方停止","運転がそろわない","判定不能"},0),"○","停","×","－"),"")</f>
        <v>－</v>
      </c>
      <c r="AF56" s="35" t="str">
        <f aca="false">IFERROR(CHOOSE(MATCH(INDEX(時間ごとの判定!$AT$3:$AT$1850,1253),{"利用可","両方停止","運転がそろわない","判定不能"},0),"○","停","×","－"),"")</f>
        <v>－</v>
      </c>
      <c r="AG56" s="35" t="str">
        <f aca="false">IFERROR(CHOOSE(MATCH(INDEX(時間ごとの判定!$AT$3:$AT$1850,1254),{"利用可","両方停止","運転がそろわない","判定不能"},0),"○","停","×","－"),"")</f>
        <v>－</v>
      </c>
      <c r="AH56" s="35" t="str">
        <f aca="false">IFERROR(CHOOSE(MATCH(INDEX(時間ごとの判定!$AT$3:$AT$1850,1255),{"利用可","両方停止","運転がそろわない","判定不能"},0),"○","停","×","－"),"")</f>
        <v>－</v>
      </c>
      <c r="AI56" s="35" t="str">
        <f aca="false">IFERROR(CHOOSE(MATCH(INDEX(時間ごとの判定!$AT$3:$AT$1850,1256),{"利用可","両方停止","運転がそろわない","判定不能"},0),"○","停","×","－"),"")</f>
        <v>－</v>
      </c>
      <c r="AJ56" s="35" t="str">
        <f aca="false">IFERROR(CHOOSE(MATCH(INDEX(時間ごとの判定!$AT$3:$AT$1850,1257),{"利用可","両方停止","運転がそろわない","判定不能"},0),"○","停","×","－"),"")</f>
        <v>－</v>
      </c>
      <c r="AK56" s="35" t="str">
        <f aca="false">IFERROR(CHOOSE(MATCH(INDEX(時間ごとの判定!$AT$3:$AT$1850,1258),{"利用可","両方停止","運転がそろわない","判定不能"},0),"○","停","×","－"),"")</f>
        <v>－</v>
      </c>
      <c r="AL56" s="35" t="str">
        <f aca="false">IFERROR(CHOOSE(MATCH(INDEX(時間ごとの判定!$AT$3:$AT$1850,1259),{"利用可","両方停止","運転がそろわない","判定不能"},0),"○","停","×","－"),"")</f>
        <v>－</v>
      </c>
      <c r="AM56" s="35" t="str">
        <f aca="false">IFERROR(CHOOSE(MATCH(INDEX(時間ごとの判定!$AT$3:$AT$1850,1260),{"利用可","両方停止","運転がそろわない","判定不能"},0),"○","停","×","－"),"")</f>
        <v>－</v>
      </c>
      <c r="AN56" s="35" t="str">
        <f aca="false">IFERROR(CHOOSE(MATCH(INDEX(時間ごとの判定!$AT$3:$AT$1850,1261),{"利用可","両方停止","運転がそろわない","判定不能"},0),"○","停","×","－"),"")</f>
        <v>－</v>
      </c>
      <c r="AO56" s="35" t="str">
        <f aca="false">IFERROR(CHOOSE(MATCH(INDEX(時間ごとの判定!$AT$3:$AT$1850,1262),{"利用可","両方停止","運転がそろわない","判定不能"},0),"○","停","×","－"),"")</f>
        <v>－</v>
      </c>
      <c r="AP56" s="35" t="str">
        <f aca="false">IFERROR(CHOOSE(MATCH(INDEX(時間ごとの判定!$AT$3:$AT$1850,1263),{"利用可","両方停止","運転がそろわない","判定不能"},0),"○","停","×","－"),"")</f>
        <v>－</v>
      </c>
      <c r="AQ56" s="35" t="str">
        <f aca="false">IFERROR(CHOOSE(MATCH(INDEX(時間ごとの判定!$AT$3:$AT$1850,1264),{"利用可","両方停止","運転がそろわない","判定不能"},0),"○","停","×","－"),"")</f>
        <v>－</v>
      </c>
      <c r="AR56" s="35" t="str">
        <f aca="false">IFERROR(CHOOSE(MATCH(INDEX(時間ごとの判定!$AT$3:$AT$1850,1265),{"利用可","両方停止","運転がそろわない","判定不能"},0),"○","停","×","－"),"")</f>
        <v>－</v>
      </c>
      <c r="AS56" s="35" t="str">
        <f aca="false">IFERROR(CHOOSE(MATCH(INDEX(時間ごとの判定!$AT$3:$AT$1850,1266),{"利用可","両方停止","運転がそろわない","判定不能"},0),"○","停","×","－"),"")</f>
        <v>－</v>
      </c>
      <c r="AT56" s="35" t="str">
        <f aca="false">IFERROR(CHOOSE(MATCH(INDEX(時間ごとの判定!$AT$3:$AT$1850,1267),{"利用可","両方停止","運転がそろわない","判定不能"},0),"○","停","×","－"),"")</f>
        <v>－</v>
      </c>
      <c r="AU56" s="35" t="str">
        <f aca="false">IFERROR(CHOOSE(MATCH(INDEX(時間ごとの判定!$AT$3:$AT$1850,1268),{"利用可","両方停止","運転がそろわない","判定不能"},0),"○","停","×","－"),"")</f>
        <v>－</v>
      </c>
      <c r="AV56" s="35" t="str">
        <f aca="false">IFERROR(CHOOSE(MATCH(INDEX(時間ごとの判定!$AT$3:$AT$1850,1269),{"利用可","両方停止","運転がそろわない","判定不能"},0),"○","停","×","－"),"")</f>
        <v>－</v>
      </c>
      <c r="AW56" s="35" t="str">
        <f aca="false">IFERROR(CHOOSE(MATCH(INDEX(時間ごとの判定!$AT$3:$AT$1850,1270),{"利用可","両方停止","運転がそろわない","判定不能"},0),"○","停","×","－"),"")</f>
        <v>－</v>
      </c>
      <c r="AX56" s="35" t="str">
        <f aca="false">IFERROR(CHOOSE(MATCH(INDEX(時間ごとの判定!$AT$3:$AT$1850,1271),{"利用可","両方停止","運転がそろわない","判定不能"},0),"○","停","×","－"),"")</f>
        <v>－</v>
      </c>
      <c r="AY56" s="35" t="str">
        <f aca="false">IFERROR(CHOOSE(MATCH(INDEX(時間ごとの判定!$AT$3:$AT$1850,1272),{"利用可","両方停止","運転がそろわない","判定不能"},0),"○","停","×","－"),"")</f>
        <v>－</v>
      </c>
      <c r="AZ56" s="35"/>
      <c r="BA56" s="35" t="str">
        <f aca="false">IFERROR(CHOOSE(MATCH(INDEX(時間ごとの判定!$AW$3:$AW$1850,1249),{"利用可","両方停止","運転がそろわない","判定不能"},0),"○","停","×","－"),"")</f>
        <v>－</v>
      </c>
      <c r="BB56" s="35" t="str">
        <f aca="false">IFERROR(CHOOSE(MATCH(INDEX(時間ごとの判定!$AW$3:$AW$1850,1250),{"利用可","両方停止","運転がそろわない","判定不能"},0),"○","停","×","－"),"")</f>
        <v>－</v>
      </c>
      <c r="BC56" s="35" t="str">
        <f aca="false">IFERROR(CHOOSE(MATCH(INDEX(時間ごとの判定!$AW$3:$AW$1850,1251),{"利用可","両方停止","運転がそろわない","判定不能"},0),"○","停","×","－"),"")</f>
        <v>－</v>
      </c>
      <c r="BD56" s="35" t="str">
        <f aca="false">IFERROR(CHOOSE(MATCH(INDEX(時間ごとの判定!$AW$3:$AW$1850,1252),{"利用可","両方停止","運転がそろわない","判定不能"},0),"○","停","×","－"),"")</f>
        <v>－</v>
      </c>
      <c r="BE56" s="35" t="str">
        <f aca="false">IFERROR(CHOOSE(MATCH(INDEX(時間ごとの判定!$AW$3:$AW$1850,1253),{"利用可","両方停止","運転がそろわない","判定不能"},0),"○","停","×","－"),"")</f>
        <v>－</v>
      </c>
      <c r="BF56" s="35" t="str">
        <f aca="false">IFERROR(CHOOSE(MATCH(INDEX(時間ごとの判定!$AW$3:$AW$1850,1254),{"利用可","両方停止","運転がそろわない","判定不能"},0),"○","停","×","－"),"")</f>
        <v>－</v>
      </c>
      <c r="BG56" s="35" t="str">
        <f aca="false">IFERROR(CHOOSE(MATCH(INDEX(時間ごとの判定!$AW$3:$AW$1850,1255),{"利用可","両方停止","運転がそろわない","判定不能"},0),"○","停","×","－"),"")</f>
        <v>－</v>
      </c>
      <c r="BH56" s="35" t="str">
        <f aca="false">IFERROR(CHOOSE(MATCH(INDEX(時間ごとの判定!$AW$3:$AW$1850,1256),{"利用可","両方停止","運転がそろわない","判定不能"},0),"○","停","×","－"),"")</f>
        <v>－</v>
      </c>
      <c r="BI56" s="35" t="str">
        <f aca="false">IFERROR(CHOOSE(MATCH(INDEX(時間ごとの判定!$AW$3:$AW$1850,1257),{"利用可","両方停止","運転がそろわない","判定不能"},0),"○","停","×","－"),"")</f>
        <v>－</v>
      </c>
      <c r="BJ56" s="35" t="str">
        <f aca="false">IFERROR(CHOOSE(MATCH(INDEX(時間ごとの判定!$AW$3:$AW$1850,1258),{"利用可","両方停止","運転がそろわない","判定不能"},0),"○","停","×","－"),"")</f>
        <v>－</v>
      </c>
      <c r="BK56" s="35" t="str">
        <f aca="false">IFERROR(CHOOSE(MATCH(INDEX(時間ごとの判定!$AW$3:$AW$1850,1259),{"利用可","両方停止","運転がそろわない","判定不能"},0),"○","停","×","－"),"")</f>
        <v>－</v>
      </c>
      <c r="BL56" s="35" t="str">
        <f aca="false">IFERROR(CHOOSE(MATCH(INDEX(時間ごとの判定!$AW$3:$AW$1850,1260),{"利用可","両方停止","運転がそろわない","判定不能"},0),"○","停","×","－"),"")</f>
        <v>－</v>
      </c>
      <c r="BM56" s="35" t="str">
        <f aca="false">IFERROR(CHOOSE(MATCH(INDEX(時間ごとの判定!$AW$3:$AW$1850,1261),{"利用可","両方停止","運転がそろわない","判定不能"},0),"○","停","×","－"),"")</f>
        <v>－</v>
      </c>
      <c r="BN56" s="35" t="str">
        <f aca="false">IFERROR(CHOOSE(MATCH(INDEX(時間ごとの判定!$AW$3:$AW$1850,1262),{"利用可","両方停止","運転がそろわない","判定不能"},0),"○","停","×","－"),"")</f>
        <v>－</v>
      </c>
      <c r="BO56" s="35" t="str">
        <f aca="false">IFERROR(CHOOSE(MATCH(INDEX(時間ごとの判定!$AW$3:$AW$1850,1263),{"利用可","両方停止","運転がそろわない","判定不能"},0),"○","停","×","－"),"")</f>
        <v>－</v>
      </c>
      <c r="BP56" s="35" t="str">
        <f aca="false">IFERROR(CHOOSE(MATCH(INDEX(時間ごとの判定!$AW$3:$AW$1850,1264),{"利用可","両方停止","運転がそろわない","判定不能"},0),"○","停","×","－"),"")</f>
        <v>－</v>
      </c>
      <c r="BQ56" s="35" t="str">
        <f aca="false">IFERROR(CHOOSE(MATCH(INDEX(時間ごとの判定!$AW$3:$AW$1850,1265),{"利用可","両方停止","運転がそろわない","判定不能"},0),"○","停","×","－"),"")</f>
        <v>－</v>
      </c>
      <c r="BR56" s="35" t="str">
        <f aca="false">IFERROR(CHOOSE(MATCH(INDEX(時間ごとの判定!$AW$3:$AW$1850,1266),{"利用可","両方停止","運転がそろわない","判定不能"},0),"○","停","×","－"),"")</f>
        <v>－</v>
      </c>
      <c r="BS56" s="35" t="str">
        <f aca="false">IFERROR(CHOOSE(MATCH(INDEX(時間ごとの判定!$AW$3:$AW$1850,1267),{"利用可","両方停止","運転がそろわない","判定不能"},0),"○","停","×","－"),"")</f>
        <v>－</v>
      </c>
      <c r="BT56" s="35" t="str">
        <f aca="false">IFERROR(CHOOSE(MATCH(INDEX(時間ごとの判定!$AW$3:$AW$1850,1268),{"利用可","両方停止","運転がそろわない","判定不能"},0),"○","停","×","－"),"")</f>
        <v>－</v>
      </c>
      <c r="BU56" s="35" t="str">
        <f aca="false">IFERROR(CHOOSE(MATCH(INDEX(時間ごとの判定!$AW$3:$AW$1850,1269),{"利用可","両方停止","運転がそろわない","判定不能"},0),"○","停","×","－"),"")</f>
        <v>－</v>
      </c>
      <c r="BV56" s="35" t="str">
        <f aca="false">IFERROR(CHOOSE(MATCH(INDEX(時間ごとの判定!$AW$3:$AW$1850,1270),{"利用可","両方停止","運転がそろわない","判定不能"},0),"○","停","×","－"),"")</f>
        <v>－</v>
      </c>
      <c r="BW56" s="35" t="str">
        <f aca="false">IFERROR(CHOOSE(MATCH(INDEX(時間ごとの判定!$AW$3:$AW$1850,1271),{"利用可","両方停止","運転がそろわない","判定不能"},0),"○","停","×","－"),"")</f>
        <v>－</v>
      </c>
      <c r="BX56" s="35" t="str">
        <f aca="false">IFERROR(CHOOSE(MATCH(INDEX(時間ごとの判定!$AW$3:$AW$1850,1272),{"利用可","両方停止","運転がそろわない","判定不能"},0),"○","停","×","－"),"")</f>
        <v>－</v>
      </c>
    </row>
    <row r="57" customFormat="false" ht="15" hidden="false" customHeight="false" outlineLevel="0" collapsed="false">
      <c r="A57" s="33" t="n">
        <v>46285</v>
      </c>
      <c r="B57" s="36" t="s">
        <v>65</v>
      </c>
      <c r="C57" s="35" t="str">
        <f aca="false">IFERROR(CHOOSE(MATCH(INDEX(時間ごとの判定!$AQ$3:$AQ$1850,1273),{"利用可","両方停止","運転がそろわない","判定不能"},0),"○","停","×","－"),"")</f>
        <v>－</v>
      </c>
      <c r="D57" s="35" t="str">
        <f aca="false">IFERROR(CHOOSE(MATCH(INDEX(時間ごとの判定!$AQ$3:$AQ$1850,1274),{"利用可","両方停止","運転がそろわない","判定不能"},0),"○","停","×","－"),"")</f>
        <v>－</v>
      </c>
      <c r="E57" s="35" t="str">
        <f aca="false">IFERROR(CHOOSE(MATCH(INDEX(時間ごとの判定!$AQ$3:$AQ$1850,1275),{"利用可","両方停止","運転がそろわない","判定不能"},0),"○","停","×","－"),"")</f>
        <v>－</v>
      </c>
      <c r="F57" s="35" t="str">
        <f aca="false">IFERROR(CHOOSE(MATCH(INDEX(時間ごとの判定!$AQ$3:$AQ$1850,1276),{"利用可","両方停止","運転がそろわない","判定不能"},0),"○","停","×","－"),"")</f>
        <v>－</v>
      </c>
      <c r="G57" s="35" t="str">
        <f aca="false">IFERROR(CHOOSE(MATCH(INDEX(時間ごとの判定!$AQ$3:$AQ$1850,1277),{"利用可","両方停止","運転がそろわない","判定不能"},0),"○","停","×","－"),"")</f>
        <v>－</v>
      </c>
      <c r="H57" s="35" t="str">
        <f aca="false">IFERROR(CHOOSE(MATCH(INDEX(時間ごとの判定!$AQ$3:$AQ$1850,1278),{"利用可","両方停止","運転がそろわない","判定不能"},0),"○","停","×","－"),"")</f>
        <v>－</v>
      </c>
      <c r="I57" s="35" t="str">
        <f aca="false">IFERROR(CHOOSE(MATCH(INDEX(時間ごとの判定!$AQ$3:$AQ$1850,1279),{"利用可","両方停止","運転がそろわない","判定不能"},0),"○","停","×","－"),"")</f>
        <v>－</v>
      </c>
      <c r="J57" s="35" t="str">
        <f aca="false">IFERROR(CHOOSE(MATCH(INDEX(時間ごとの判定!$AQ$3:$AQ$1850,1280),{"利用可","両方停止","運転がそろわない","判定不能"},0),"○","停","×","－"),"")</f>
        <v>－</v>
      </c>
      <c r="K57" s="35" t="str">
        <f aca="false">IFERROR(CHOOSE(MATCH(INDEX(時間ごとの判定!$AQ$3:$AQ$1850,1281),{"利用可","両方停止","運転がそろわない","判定不能"},0),"○","停","×","－"),"")</f>
        <v>－</v>
      </c>
      <c r="L57" s="35" t="str">
        <f aca="false">IFERROR(CHOOSE(MATCH(INDEX(時間ごとの判定!$AQ$3:$AQ$1850,1282),{"利用可","両方停止","運転がそろわない","判定不能"},0),"○","停","×","－"),"")</f>
        <v>－</v>
      </c>
      <c r="M57" s="35" t="str">
        <f aca="false">IFERROR(CHOOSE(MATCH(INDEX(時間ごとの判定!$AQ$3:$AQ$1850,1283),{"利用可","両方停止","運転がそろわない","判定不能"},0),"○","停","×","－"),"")</f>
        <v>－</v>
      </c>
      <c r="N57" s="35" t="str">
        <f aca="false">IFERROR(CHOOSE(MATCH(INDEX(時間ごとの判定!$AQ$3:$AQ$1850,1284),{"利用可","両方停止","運転がそろわない","判定不能"},0),"○","停","×","－"),"")</f>
        <v>－</v>
      </c>
      <c r="O57" s="35" t="str">
        <f aca="false">IFERROR(CHOOSE(MATCH(INDEX(時間ごとの判定!$AQ$3:$AQ$1850,1285),{"利用可","両方停止","運転がそろわない","判定不能"},0),"○","停","×","－"),"")</f>
        <v>－</v>
      </c>
      <c r="P57" s="35" t="str">
        <f aca="false">IFERROR(CHOOSE(MATCH(INDEX(時間ごとの判定!$AQ$3:$AQ$1850,1286),{"利用可","両方停止","運転がそろわない","判定不能"},0),"○","停","×","－"),"")</f>
        <v>－</v>
      </c>
      <c r="Q57" s="35" t="str">
        <f aca="false">IFERROR(CHOOSE(MATCH(INDEX(時間ごとの判定!$AQ$3:$AQ$1850,1287),{"利用可","両方停止","運転がそろわない","判定不能"},0),"○","停","×","－"),"")</f>
        <v>－</v>
      </c>
      <c r="R57" s="35" t="str">
        <f aca="false">IFERROR(CHOOSE(MATCH(INDEX(時間ごとの判定!$AQ$3:$AQ$1850,1288),{"利用可","両方停止","運転がそろわない","判定不能"},0),"○","停","×","－"),"")</f>
        <v>－</v>
      </c>
      <c r="S57" s="35" t="str">
        <f aca="false">IFERROR(CHOOSE(MATCH(INDEX(時間ごとの判定!$AQ$3:$AQ$1850,1289),{"利用可","両方停止","運転がそろわない","判定不能"},0),"○","停","×","－"),"")</f>
        <v>－</v>
      </c>
      <c r="T57" s="35" t="str">
        <f aca="false">IFERROR(CHOOSE(MATCH(INDEX(時間ごとの判定!$AQ$3:$AQ$1850,1290),{"利用可","両方停止","運転がそろわない","判定不能"},0),"○","停","×","－"),"")</f>
        <v>－</v>
      </c>
      <c r="U57" s="35" t="str">
        <f aca="false">IFERROR(CHOOSE(MATCH(INDEX(時間ごとの判定!$AQ$3:$AQ$1850,1291),{"利用可","両方停止","運転がそろわない","判定不能"},0),"○","停","×","－"),"")</f>
        <v>－</v>
      </c>
      <c r="V57" s="35" t="str">
        <f aca="false">IFERROR(CHOOSE(MATCH(INDEX(時間ごとの判定!$AQ$3:$AQ$1850,1292),{"利用可","両方停止","運転がそろわない","判定不能"},0),"○","停","×","－"),"")</f>
        <v>－</v>
      </c>
      <c r="W57" s="35" t="str">
        <f aca="false">IFERROR(CHOOSE(MATCH(INDEX(時間ごとの判定!$AQ$3:$AQ$1850,1293),{"利用可","両方停止","運転がそろわない","判定不能"},0),"○","停","×","－"),"")</f>
        <v>－</v>
      </c>
      <c r="X57" s="35" t="str">
        <f aca="false">IFERROR(CHOOSE(MATCH(INDEX(時間ごとの判定!$AQ$3:$AQ$1850,1294),{"利用可","両方停止","運転がそろわない","判定不能"},0),"○","停","×","－"),"")</f>
        <v>－</v>
      </c>
      <c r="Y57" s="35" t="str">
        <f aca="false">IFERROR(CHOOSE(MATCH(INDEX(時間ごとの判定!$AQ$3:$AQ$1850,1295),{"利用可","両方停止","運転がそろわない","判定不能"},0),"○","停","×","－"),"")</f>
        <v>－</v>
      </c>
      <c r="Z57" s="35" t="str">
        <f aca="false">IFERROR(CHOOSE(MATCH(INDEX(時間ごとの判定!$AQ$3:$AQ$1850,1296),{"利用可","両方停止","運転がそろわない","判定不能"},0),"○","停","×","－"),"")</f>
        <v>－</v>
      </c>
      <c r="AA57" s="35"/>
      <c r="AB57" s="35" t="str">
        <f aca="false">IFERROR(CHOOSE(MATCH(INDEX(時間ごとの判定!$AT$3:$AT$1850,1273),{"利用可","両方停止","運転がそろわない","判定不能"},0),"○","停","×","－"),"")</f>
        <v>－</v>
      </c>
      <c r="AC57" s="35" t="str">
        <f aca="false">IFERROR(CHOOSE(MATCH(INDEX(時間ごとの判定!$AT$3:$AT$1850,1274),{"利用可","両方停止","運転がそろわない","判定不能"},0),"○","停","×","－"),"")</f>
        <v>－</v>
      </c>
      <c r="AD57" s="35" t="str">
        <f aca="false">IFERROR(CHOOSE(MATCH(INDEX(時間ごとの判定!$AT$3:$AT$1850,1275),{"利用可","両方停止","運転がそろわない","判定不能"},0),"○","停","×","－"),"")</f>
        <v>－</v>
      </c>
      <c r="AE57" s="35" t="str">
        <f aca="false">IFERROR(CHOOSE(MATCH(INDEX(時間ごとの判定!$AT$3:$AT$1850,1276),{"利用可","両方停止","運転がそろわない","判定不能"},0),"○","停","×","－"),"")</f>
        <v>－</v>
      </c>
      <c r="AF57" s="35" t="str">
        <f aca="false">IFERROR(CHOOSE(MATCH(INDEX(時間ごとの判定!$AT$3:$AT$1850,1277),{"利用可","両方停止","運転がそろわない","判定不能"},0),"○","停","×","－"),"")</f>
        <v>－</v>
      </c>
      <c r="AG57" s="35" t="str">
        <f aca="false">IFERROR(CHOOSE(MATCH(INDEX(時間ごとの判定!$AT$3:$AT$1850,1278),{"利用可","両方停止","運転がそろわない","判定不能"},0),"○","停","×","－"),"")</f>
        <v>－</v>
      </c>
      <c r="AH57" s="35" t="str">
        <f aca="false">IFERROR(CHOOSE(MATCH(INDEX(時間ごとの判定!$AT$3:$AT$1850,1279),{"利用可","両方停止","運転がそろわない","判定不能"},0),"○","停","×","－"),"")</f>
        <v>－</v>
      </c>
      <c r="AI57" s="35" t="str">
        <f aca="false">IFERROR(CHOOSE(MATCH(INDEX(時間ごとの判定!$AT$3:$AT$1850,1280),{"利用可","両方停止","運転がそろわない","判定不能"},0),"○","停","×","－"),"")</f>
        <v>－</v>
      </c>
      <c r="AJ57" s="35" t="str">
        <f aca="false">IFERROR(CHOOSE(MATCH(INDEX(時間ごとの判定!$AT$3:$AT$1850,1281),{"利用可","両方停止","運転がそろわない","判定不能"},0),"○","停","×","－"),"")</f>
        <v>－</v>
      </c>
      <c r="AK57" s="35" t="str">
        <f aca="false">IFERROR(CHOOSE(MATCH(INDEX(時間ごとの判定!$AT$3:$AT$1850,1282),{"利用可","両方停止","運転がそろわない","判定不能"},0),"○","停","×","－"),"")</f>
        <v>－</v>
      </c>
      <c r="AL57" s="35" t="str">
        <f aca="false">IFERROR(CHOOSE(MATCH(INDEX(時間ごとの判定!$AT$3:$AT$1850,1283),{"利用可","両方停止","運転がそろわない","判定不能"},0),"○","停","×","－"),"")</f>
        <v>－</v>
      </c>
      <c r="AM57" s="35" t="str">
        <f aca="false">IFERROR(CHOOSE(MATCH(INDEX(時間ごとの判定!$AT$3:$AT$1850,1284),{"利用可","両方停止","運転がそろわない","判定不能"},0),"○","停","×","－"),"")</f>
        <v>－</v>
      </c>
      <c r="AN57" s="35" t="str">
        <f aca="false">IFERROR(CHOOSE(MATCH(INDEX(時間ごとの判定!$AT$3:$AT$1850,1285),{"利用可","両方停止","運転がそろわない","判定不能"},0),"○","停","×","－"),"")</f>
        <v>－</v>
      </c>
      <c r="AO57" s="35" t="str">
        <f aca="false">IFERROR(CHOOSE(MATCH(INDEX(時間ごとの判定!$AT$3:$AT$1850,1286),{"利用可","両方停止","運転がそろわない","判定不能"},0),"○","停","×","－"),"")</f>
        <v>－</v>
      </c>
      <c r="AP57" s="35" t="str">
        <f aca="false">IFERROR(CHOOSE(MATCH(INDEX(時間ごとの判定!$AT$3:$AT$1850,1287),{"利用可","両方停止","運転がそろわない","判定不能"},0),"○","停","×","－"),"")</f>
        <v>－</v>
      </c>
      <c r="AQ57" s="35" t="str">
        <f aca="false">IFERROR(CHOOSE(MATCH(INDEX(時間ごとの判定!$AT$3:$AT$1850,1288),{"利用可","両方停止","運転がそろわない","判定不能"},0),"○","停","×","－"),"")</f>
        <v>－</v>
      </c>
      <c r="AR57" s="35" t="str">
        <f aca="false">IFERROR(CHOOSE(MATCH(INDEX(時間ごとの判定!$AT$3:$AT$1850,1289),{"利用可","両方停止","運転がそろわない","判定不能"},0),"○","停","×","－"),"")</f>
        <v>－</v>
      </c>
      <c r="AS57" s="35" t="str">
        <f aca="false">IFERROR(CHOOSE(MATCH(INDEX(時間ごとの判定!$AT$3:$AT$1850,1290),{"利用可","両方停止","運転がそろわない","判定不能"},0),"○","停","×","－"),"")</f>
        <v>－</v>
      </c>
      <c r="AT57" s="35" t="str">
        <f aca="false">IFERROR(CHOOSE(MATCH(INDEX(時間ごとの判定!$AT$3:$AT$1850,1291),{"利用可","両方停止","運転がそろわない","判定不能"},0),"○","停","×","－"),"")</f>
        <v>－</v>
      </c>
      <c r="AU57" s="35" t="str">
        <f aca="false">IFERROR(CHOOSE(MATCH(INDEX(時間ごとの判定!$AT$3:$AT$1850,1292),{"利用可","両方停止","運転がそろわない","判定不能"},0),"○","停","×","－"),"")</f>
        <v>－</v>
      </c>
      <c r="AV57" s="35" t="str">
        <f aca="false">IFERROR(CHOOSE(MATCH(INDEX(時間ごとの判定!$AT$3:$AT$1850,1293),{"利用可","両方停止","運転がそろわない","判定不能"},0),"○","停","×","－"),"")</f>
        <v>－</v>
      </c>
      <c r="AW57" s="35" t="str">
        <f aca="false">IFERROR(CHOOSE(MATCH(INDEX(時間ごとの判定!$AT$3:$AT$1850,1294),{"利用可","両方停止","運転がそろわない","判定不能"},0),"○","停","×","－"),"")</f>
        <v>－</v>
      </c>
      <c r="AX57" s="35" t="str">
        <f aca="false">IFERROR(CHOOSE(MATCH(INDEX(時間ごとの判定!$AT$3:$AT$1850,1295),{"利用可","両方停止","運転がそろわない","判定不能"},0),"○","停","×","－"),"")</f>
        <v>－</v>
      </c>
      <c r="AY57" s="35" t="str">
        <f aca="false">IFERROR(CHOOSE(MATCH(INDEX(時間ごとの判定!$AT$3:$AT$1850,1296),{"利用可","両方停止","運転がそろわない","判定不能"},0),"○","停","×","－"),"")</f>
        <v>－</v>
      </c>
      <c r="AZ57" s="35"/>
      <c r="BA57" s="35" t="str">
        <f aca="false">IFERROR(CHOOSE(MATCH(INDEX(時間ごとの判定!$AW$3:$AW$1850,1273),{"利用可","両方停止","運転がそろわない","判定不能"},0),"○","停","×","－"),"")</f>
        <v>－</v>
      </c>
      <c r="BB57" s="35" t="str">
        <f aca="false">IFERROR(CHOOSE(MATCH(INDEX(時間ごとの判定!$AW$3:$AW$1850,1274),{"利用可","両方停止","運転がそろわない","判定不能"},0),"○","停","×","－"),"")</f>
        <v>－</v>
      </c>
      <c r="BC57" s="35" t="str">
        <f aca="false">IFERROR(CHOOSE(MATCH(INDEX(時間ごとの判定!$AW$3:$AW$1850,1275),{"利用可","両方停止","運転がそろわない","判定不能"},0),"○","停","×","－"),"")</f>
        <v>－</v>
      </c>
      <c r="BD57" s="35" t="str">
        <f aca="false">IFERROR(CHOOSE(MATCH(INDEX(時間ごとの判定!$AW$3:$AW$1850,1276),{"利用可","両方停止","運転がそろわない","判定不能"},0),"○","停","×","－"),"")</f>
        <v>－</v>
      </c>
      <c r="BE57" s="35" t="str">
        <f aca="false">IFERROR(CHOOSE(MATCH(INDEX(時間ごとの判定!$AW$3:$AW$1850,1277),{"利用可","両方停止","運転がそろわない","判定不能"},0),"○","停","×","－"),"")</f>
        <v>－</v>
      </c>
      <c r="BF57" s="35" t="str">
        <f aca="false">IFERROR(CHOOSE(MATCH(INDEX(時間ごとの判定!$AW$3:$AW$1850,1278),{"利用可","両方停止","運転がそろわない","判定不能"},0),"○","停","×","－"),"")</f>
        <v>－</v>
      </c>
      <c r="BG57" s="35" t="str">
        <f aca="false">IFERROR(CHOOSE(MATCH(INDEX(時間ごとの判定!$AW$3:$AW$1850,1279),{"利用可","両方停止","運転がそろわない","判定不能"},0),"○","停","×","－"),"")</f>
        <v>－</v>
      </c>
      <c r="BH57" s="35" t="str">
        <f aca="false">IFERROR(CHOOSE(MATCH(INDEX(時間ごとの判定!$AW$3:$AW$1850,1280),{"利用可","両方停止","運転がそろわない","判定不能"},0),"○","停","×","－"),"")</f>
        <v>－</v>
      </c>
      <c r="BI57" s="35" t="str">
        <f aca="false">IFERROR(CHOOSE(MATCH(INDEX(時間ごとの判定!$AW$3:$AW$1850,1281),{"利用可","両方停止","運転がそろわない","判定不能"},0),"○","停","×","－"),"")</f>
        <v>－</v>
      </c>
      <c r="BJ57" s="35" t="str">
        <f aca="false">IFERROR(CHOOSE(MATCH(INDEX(時間ごとの判定!$AW$3:$AW$1850,1282),{"利用可","両方停止","運転がそろわない","判定不能"},0),"○","停","×","－"),"")</f>
        <v>－</v>
      </c>
      <c r="BK57" s="35" t="str">
        <f aca="false">IFERROR(CHOOSE(MATCH(INDEX(時間ごとの判定!$AW$3:$AW$1850,1283),{"利用可","両方停止","運転がそろわない","判定不能"},0),"○","停","×","－"),"")</f>
        <v>－</v>
      </c>
      <c r="BL57" s="35" t="str">
        <f aca="false">IFERROR(CHOOSE(MATCH(INDEX(時間ごとの判定!$AW$3:$AW$1850,1284),{"利用可","両方停止","運転がそろわない","判定不能"},0),"○","停","×","－"),"")</f>
        <v>－</v>
      </c>
      <c r="BM57" s="35" t="str">
        <f aca="false">IFERROR(CHOOSE(MATCH(INDEX(時間ごとの判定!$AW$3:$AW$1850,1285),{"利用可","両方停止","運転がそろわない","判定不能"},0),"○","停","×","－"),"")</f>
        <v>－</v>
      </c>
      <c r="BN57" s="35" t="str">
        <f aca="false">IFERROR(CHOOSE(MATCH(INDEX(時間ごとの判定!$AW$3:$AW$1850,1286),{"利用可","両方停止","運転がそろわない","判定不能"},0),"○","停","×","－"),"")</f>
        <v>－</v>
      </c>
      <c r="BO57" s="35" t="str">
        <f aca="false">IFERROR(CHOOSE(MATCH(INDEX(時間ごとの判定!$AW$3:$AW$1850,1287),{"利用可","両方停止","運転がそろわない","判定不能"},0),"○","停","×","－"),"")</f>
        <v>－</v>
      </c>
      <c r="BP57" s="35" t="str">
        <f aca="false">IFERROR(CHOOSE(MATCH(INDEX(時間ごとの判定!$AW$3:$AW$1850,1288),{"利用可","両方停止","運転がそろわない","判定不能"},0),"○","停","×","－"),"")</f>
        <v>－</v>
      </c>
      <c r="BQ57" s="35" t="str">
        <f aca="false">IFERROR(CHOOSE(MATCH(INDEX(時間ごとの判定!$AW$3:$AW$1850,1289),{"利用可","両方停止","運転がそろわない","判定不能"},0),"○","停","×","－"),"")</f>
        <v>－</v>
      </c>
      <c r="BR57" s="35" t="str">
        <f aca="false">IFERROR(CHOOSE(MATCH(INDEX(時間ごとの判定!$AW$3:$AW$1850,1290),{"利用可","両方停止","運転がそろわない","判定不能"},0),"○","停","×","－"),"")</f>
        <v>－</v>
      </c>
      <c r="BS57" s="35" t="str">
        <f aca="false">IFERROR(CHOOSE(MATCH(INDEX(時間ごとの判定!$AW$3:$AW$1850,1291),{"利用可","両方停止","運転がそろわない","判定不能"},0),"○","停","×","－"),"")</f>
        <v>－</v>
      </c>
      <c r="BT57" s="35" t="str">
        <f aca="false">IFERROR(CHOOSE(MATCH(INDEX(時間ごとの判定!$AW$3:$AW$1850,1292),{"利用可","両方停止","運転がそろわない","判定不能"},0),"○","停","×","－"),"")</f>
        <v>－</v>
      </c>
      <c r="BU57" s="35" t="str">
        <f aca="false">IFERROR(CHOOSE(MATCH(INDEX(時間ごとの判定!$AW$3:$AW$1850,1293),{"利用可","両方停止","運転がそろわない","判定不能"},0),"○","停","×","－"),"")</f>
        <v>－</v>
      </c>
      <c r="BV57" s="35" t="str">
        <f aca="false">IFERROR(CHOOSE(MATCH(INDEX(時間ごとの判定!$AW$3:$AW$1850,1294),{"利用可","両方停止","運転がそろわない","判定不能"},0),"○","停","×","－"),"")</f>
        <v>－</v>
      </c>
      <c r="BW57" s="35" t="str">
        <f aca="false">IFERROR(CHOOSE(MATCH(INDEX(時間ごとの判定!$AW$3:$AW$1850,1295),{"利用可","両方停止","運転がそろわない","判定不能"},0),"○","停","×","－"),"")</f>
        <v>－</v>
      </c>
      <c r="BX57" s="35" t="str">
        <f aca="false">IFERROR(CHOOSE(MATCH(INDEX(時間ごとの判定!$AW$3:$AW$1850,1296),{"利用可","両方停止","運転がそろわない","判定不能"},0),"○","停","×","－"),"")</f>
        <v>－</v>
      </c>
    </row>
    <row r="58" customFormat="false" ht="15" hidden="false" customHeight="false" outlineLevel="0" collapsed="false">
      <c r="A58" s="33" t="n">
        <v>46286</v>
      </c>
      <c r="B58" s="36" t="s">
        <v>66</v>
      </c>
      <c r="C58" s="35" t="str">
        <f aca="false">IFERROR(CHOOSE(MATCH(INDEX(時間ごとの判定!$AQ$3:$AQ$1850,1297),{"利用可","両方停止","運転がそろわない","判定不能"},0),"○","停","×","－"),"")</f>
        <v>－</v>
      </c>
      <c r="D58" s="35" t="str">
        <f aca="false">IFERROR(CHOOSE(MATCH(INDEX(時間ごとの判定!$AQ$3:$AQ$1850,1298),{"利用可","両方停止","運転がそろわない","判定不能"},0),"○","停","×","－"),"")</f>
        <v>－</v>
      </c>
      <c r="E58" s="35" t="str">
        <f aca="false">IFERROR(CHOOSE(MATCH(INDEX(時間ごとの判定!$AQ$3:$AQ$1850,1299),{"利用可","両方停止","運転がそろわない","判定不能"},0),"○","停","×","－"),"")</f>
        <v>－</v>
      </c>
      <c r="F58" s="35" t="str">
        <f aca="false">IFERROR(CHOOSE(MATCH(INDEX(時間ごとの判定!$AQ$3:$AQ$1850,1300),{"利用可","両方停止","運転がそろわない","判定不能"},0),"○","停","×","－"),"")</f>
        <v>－</v>
      </c>
      <c r="G58" s="35" t="str">
        <f aca="false">IFERROR(CHOOSE(MATCH(INDEX(時間ごとの判定!$AQ$3:$AQ$1850,1301),{"利用可","両方停止","運転がそろわない","判定不能"},0),"○","停","×","－"),"")</f>
        <v>－</v>
      </c>
      <c r="H58" s="35" t="str">
        <f aca="false">IFERROR(CHOOSE(MATCH(INDEX(時間ごとの判定!$AQ$3:$AQ$1850,1302),{"利用可","両方停止","運転がそろわない","判定不能"},0),"○","停","×","－"),"")</f>
        <v>－</v>
      </c>
      <c r="I58" s="35" t="str">
        <f aca="false">IFERROR(CHOOSE(MATCH(INDEX(時間ごとの判定!$AQ$3:$AQ$1850,1303),{"利用可","両方停止","運転がそろわない","判定不能"},0),"○","停","×","－"),"")</f>
        <v>－</v>
      </c>
      <c r="J58" s="35" t="str">
        <f aca="false">IFERROR(CHOOSE(MATCH(INDEX(時間ごとの判定!$AQ$3:$AQ$1850,1304),{"利用可","両方停止","運転がそろわない","判定不能"},0),"○","停","×","－"),"")</f>
        <v>－</v>
      </c>
      <c r="K58" s="35" t="str">
        <f aca="false">IFERROR(CHOOSE(MATCH(INDEX(時間ごとの判定!$AQ$3:$AQ$1850,1305),{"利用可","両方停止","運転がそろわない","判定不能"},0),"○","停","×","－"),"")</f>
        <v>－</v>
      </c>
      <c r="L58" s="35" t="str">
        <f aca="false">IFERROR(CHOOSE(MATCH(INDEX(時間ごとの判定!$AQ$3:$AQ$1850,1306),{"利用可","両方停止","運転がそろわない","判定不能"},0),"○","停","×","－"),"")</f>
        <v>－</v>
      </c>
      <c r="M58" s="35" t="str">
        <f aca="false">IFERROR(CHOOSE(MATCH(INDEX(時間ごとの判定!$AQ$3:$AQ$1850,1307),{"利用可","両方停止","運転がそろわない","判定不能"},0),"○","停","×","－"),"")</f>
        <v>－</v>
      </c>
      <c r="N58" s="35" t="str">
        <f aca="false">IFERROR(CHOOSE(MATCH(INDEX(時間ごとの判定!$AQ$3:$AQ$1850,1308),{"利用可","両方停止","運転がそろわない","判定不能"},0),"○","停","×","－"),"")</f>
        <v>－</v>
      </c>
      <c r="O58" s="35" t="str">
        <f aca="false">IFERROR(CHOOSE(MATCH(INDEX(時間ごとの判定!$AQ$3:$AQ$1850,1309),{"利用可","両方停止","運転がそろわない","判定不能"},0),"○","停","×","－"),"")</f>
        <v>－</v>
      </c>
      <c r="P58" s="35" t="str">
        <f aca="false">IFERROR(CHOOSE(MATCH(INDEX(時間ごとの判定!$AQ$3:$AQ$1850,1310),{"利用可","両方停止","運転がそろわない","判定不能"},0),"○","停","×","－"),"")</f>
        <v>－</v>
      </c>
      <c r="Q58" s="35" t="str">
        <f aca="false">IFERROR(CHOOSE(MATCH(INDEX(時間ごとの判定!$AQ$3:$AQ$1850,1311),{"利用可","両方停止","運転がそろわない","判定不能"},0),"○","停","×","－"),"")</f>
        <v>－</v>
      </c>
      <c r="R58" s="35" t="str">
        <f aca="false">IFERROR(CHOOSE(MATCH(INDEX(時間ごとの判定!$AQ$3:$AQ$1850,1312),{"利用可","両方停止","運転がそろわない","判定不能"},0),"○","停","×","－"),"")</f>
        <v>－</v>
      </c>
      <c r="S58" s="35" t="str">
        <f aca="false">IFERROR(CHOOSE(MATCH(INDEX(時間ごとの判定!$AQ$3:$AQ$1850,1313),{"利用可","両方停止","運転がそろわない","判定不能"},0),"○","停","×","－"),"")</f>
        <v>－</v>
      </c>
      <c r="T58" s="35" t="str">
        <f aca="false">IFERROR(CHOOSE(MATCH(INDEX(時間ごとの判定!$AQ$3:$AQ$1850,1314),{"利用可","両方停止","運転がそろわない","判定不能"},0),"○","停","×","－"),"")</f>
        <v>－</v>
      </c>
      <c r="U58" s="35" t="str">
        <f aca="false">IFERROR(CHOOSE(MATCH(INDEX(時間ごとの判定!$AQ$3:$AQ$1850,1315),{"利用可","両方停止","運転がそろわない","判定不能"},0),"○","停","×","－"),"")</f>
        <v>－</v>
      </c>
      <c r="V58" s="35" t="str">
        <f aca="false">IFERROR(CHOOSE(MATCH(INDEX(時間ごとの判定!$AQ$3:$AQ$1850,1316),{"利用可","両方停止","運転がそろわない","判定不能"},0),"○","停","×","－"),"")</f>
        <v>－</v>
      </c>
      <c r="W58" s="35" t="str">
        <f aca="false">IFERROR(CHOOSE(MATCH(INDEX(時間ごとの判定!$AQ$3:$AQ$1850,1317),{"利用可","両方停止","運転がそろわない","判定不能"},0),"○","停","×","－"),"")</f>
        <v>－</v>
      </c>
      <c r="X58" s="35" t="str">
        <f aca="false">IFERROR(CHOOSE(MATCH(INDEX(時間ごとの判定!$AQ$3:$AQ$1850,1318),{"利用可","両方停止","運転がそろわない","判定不能"},0),"○","停","×","－"),"")</f>
        <v>－</v>
      </c>
      <c r="Y58" s="35" t="str">
        <f aca="false">IFERROR(CHOOSE(MATCH(INDEX(時間ごとの判定!$AQ$3:$AQ$1850,1319),{"利用可","両方停止","運転がそろわない","判定不能"},0),"○","停","×","－"),"")</f>
        <v>－</v>
      </c>
      <c r="Z58" s="35" t="str">
        <f aca="false">IFERROR(CHOOSE(MATCH(INDEX(時間ごとの判定!$AQ$3:$AQ$1850,1320),{"利用可","両方停止","運転がそろわない","判定不能"},0),"○","停","×","－"),"")</f>
        <v>－</v>
      </c>
      <c r="AA58" s="35"/>
      <c r="AB58" s="35" t="str">
        <f aca="false">IFERROR(CHOOSE(MATCH(INDEX(時間ごとの判定!$AT$3:$AT$1850,1297),{"利用可","両方停止","運転がそろわない","判定不能"},0),"○","停","×","－"),"")</f>
        <v>－</v>
      </c>
      <c r="AC58" s="35" t="str">
        <f aca="false">IFERROR(CHOOSE(MATCH(INDEX(時間ごとの判定!$AT$3:$AT$1850,1298),{"利用可","両方停止","運転がそろわない","判定不能"},0),"○","停","×","－"),"")</f>
        <v>－</v>
      </c>
      <c r="AD58" s="35" t="str">
        <f aca="false">IFERROR(CHOOSE(MATCH(INDEX(時間ごとの判定!$AT$3:$AT$1850,1299),{"利用可","両方停止","運転がそろわない","判定不能"},0),"○","停","×","－"),"")</f>
        <v>－</v>
      </c>
      <c r="AE58" s="35" t="str">
        <f aca="false">IFERROR(CHOOSE(MATCH(INDEX(時間ごとの判定!$AT$3:$AT$1850,1300),{"利用可","両方停止","運転がそろわない","判定不能"},0),"○","停","×","－"),"")</f>
        <v>－</v>
      </c>
      <c r="AF58" s="35" t="str">
        <f aca="false">IFERROR(CHOOSE(MATCH(INDEX(時間ごとの判定!$AT$3:$AT$1850,1301),{"利用可","両方停止","運転がそろわない","判定不能"},0),"○","停","×","－"),"")</f>
        <v>－</v>
      </c>
      <c r="AG58" s="35" t="str">
        <f aca="false">IFERROR(CHOOSE(MATCH(INDEX(時間ごとの判定!$AT$3:$AT$1850,1302),{"利用可","両方停止","運転がそろわない","判定不能"},0),"○","停","×","－"),"")</f>
        <v>－</v>
      </c>
      <c r="AH58" s="35" t="str">
        <f aca="false">IFERROR(CHOOSE(MATCH(INDEX(時間ごとの判定!$AT$3:$AT$1850,1303),{"利用可","両方停止","運転がそろわない","判定不能"},0),"○","停","×","－"),"")</f>
        <v>－</v>
      </c>
      <c r="AI58" s="35" t="str">
        <f aca="false">IFERROR(CHOOSE(MATCH(INDEX(時間ごとの判定!$AT$3:$AT$1850,1304),{"利用可","両方停止","運転がそろわない","判定不能"},0),"○","停","×","－"),"")</f>
        <v>－</v>
      </c>
      <c r="AJ58" s="35" t="str">
        <f aca="false">IFERROR(CHOOSE(MATCH(INDEX(時間ごとの判定!$AT$3:$AT$1850,1305),{"利用可","両方停止","運転がそろわない","判定不能"},0),"○","停","×","－"),"")</f>
        <v>－</v>
      </c>
      <c r="AK58" s="35" t="str">
        <f aca="false">IFERROR(CHOOSE(MATCH(INDEX(時間ごとの判定!$AT$3:$AT$1850,1306),{"利用可","両方停止","運転がそろわない","判定不能"},0),"○","停","×","－"),"")</f>
        <v>－</v>
      </c>
      <c r="AL58" s="35" t="str">
        <f aca="false">IFERROR(CHOOSE(MATCH(INDEX(時間ごとの判定!$AT$3:$AT$1850,1307),{"利用可","両方停止","運転がそろわない","判定不能"},0),"○","停","×","－"),"")</f>
        <v>－</v>
      </c>
      <c r="AM58" s="35" t="str">
        <f aca="false">IFERROR(CHOOSE(MATCH(INDEX(時間ごとの判定!$AT$3:$AT$1850,1308),{"利用可","両方停止","運転がそろわない","判定不能"},0),"○","停","×","－"),"")</f>
        <v>－</v>
      </c>
      <c r="AN58" s="35" t="str">
        <f aca="false">IFERROR(CHOOSE(MATCH(INDEX(時間ごとの判定!$AT$3:$AT$1850,1309),{"利用可","両方停止","運転がそろわない","判定不能"},0),"○","停","×","－"),"")</f>
        <v>－</v>
      </c>
      <c r="AO58" s="35" t="str">
        <f aca="false">IFERROR(CHOOSE(MATCH(INDEX(時間ごとの判定!$AT$3:$AT$1850,1310),{"利用可","両方停止","運転がそろわない","判定不能"},0),"○","停","×","－"),"")</f>
        <v>－</v>
      </c>
      <c r="AP58" s="35" t="str">
        <f aca="false">IFERROR(CHOOSE(MATCH(INDEX(時間ごとの判定!$AT$3:$AT$1850,1311),{"利用可","両方停止","運転がそろわない","判定不能"},0),"○","停","×","－"),"")</f>
        <v>－</v>
      </c>
      <c r="AQ58" s="35" t="str">
        <f aca="false">IFERROR(CHOOSE(MATCH(INDEX(時間ごとの判定!$AT$3:$AT$1850,1312),{"利用可","両方停止","運転がそろわない","判定不能"},0),"○","停","×","－"),"")</f>
        <v>－</v>
      </c>
      <c r="AR58" s="35" t="str">
        <f aca="false">IFERROR(CHOOSE(MATCH(INDEX(時間ごとの判定!$AT$3:$AT$1850,1313),{"利用可","両方停止","運転がそろわない","判定不能"},0),"○","停","×","－"),"")</f>
        <v>－</v>
      </c>
      <c r="AS58" s="35" t="str">
        <f aca="false">IFERROR(CHOOSE(MATCH(INDEX(時間ごとの判定!$AT$3:$AT$1850,1314),{"利用可","両方停止","運転がそろわない","判定不能"},0),"○","停","×","－"),"")</f>
        <v>－</v>
      </c>
      <c r="AT58" s="35" t="str">
        <f aca="false">IFERROR(CHOOSE(MATCH(INDEX(時間ごとの判定!$AT$3:$AT$1850,1315),{"利用可","両方停止","運転がそろわない","判定不能"},0),"○","停","×","－"),"")</f>
        <v>－</v>
      </c>
      <c r="AU58" s="35" t="str">
        <f aca="false">IFERROR(CHOOSE(MATCH(INDEX(時間ごとの判定!$AT$3:$AT$1850,1316),{"利用可","両方停止","運転がそろわない","判定不能"},0),"○","停","×","－"),"")</f>
        <v>－</v>
      </c>
      <c r="AV58" s="35" t="str">
        <f aca="false">IFERROR(CHOOSE(MATCH(INDEX(時間ごとの判定!$AT$3:$AT$1850,1317),{"利用可","両方停止","運転がそろわない","判定不能"},0),"○","停","×","－"),"")</f>
        <v>－</v>
      </c>
      <c r="AW58" s="35" t="str">
        <f aca="false">IFERROR(CHOOSE(MATCH(INDEX(時間ごとの判定!$AT$3:$AT$1850,1318),{"利用可","両方停止","運転がそろわない","判定不能"},0),"○","停","×","－"),"")</f>
        <v>－</v>
      </c>
      <c r="AX58" s="35" t="str">
        <f aca="false">IFERROR(CHOOSE(MATCH(INDEX(時間ごとの判定!$AT$3:$AT$1850,1319),{"利用可","両方停止","運転がそろわない","判定不能"},0),"○","停","×","－"),"")</f>
        <v>－</v>
      </c>
      <c r="AY58" s="35" t="str">
        <f aca="false">IFERROR(CHOOSE(MATCH(INDEX(時間ごとの判定!$AT$3:$AT$1850,1320),{"利用可","両方停止","運転がそろわない","判定不能"},0),"○","停","×","－"),"")</f>
        <v>－</v>
      </c>
      <c r="AZ58" s="35"/>
      <c r="BA58" s="35" t="str">
        <f aca="false">IFERROR(CHOOSE(MATCH(INDEX(時間ごとの判定!$AW$3:$AW$1850,1297),{"利用可","両方停止","運転がそろわない","判定不能"},0),"○","停","×","－"),"")</f>
        <v>－</v>
      </c>
      <c r="BB58" s="35" t="str">
        <f aca="false">IFERROR(CHOOSE(MATCH(INDEX(時間ごとの判定!$AW$3:$AW$1850,1298),{"利用可","両方停止","運転がそろわない","判定不能"},0),"○","停","×","－"),"")</f>
        <v>－</v>
      </c>
      <c r="BC58" s="35" t="str">
        <f aca="false">IFERROR(CHOOSE(MATCH(INDEX(時間ごとの判定!$AW$3:$AW$1850,1299),{"利用可","両方停止","運転がそろわない","判定不能"},0),"○","停","×","－"),"")</f>
        <v>－</v>
      </c>
      <c r="BD58" s="35" t="str">
        <f aca="false">IFERROR(CHOOSE(MATCH(INDEX(時間ごとの判定!$AW$3:$AW$1850,1300),{"利用可","両方停止","運転がそろわない","判定不能"},0),"○","停","×","－"),"")</f>
        <v>－</v>
      </c>
      <c r="BE58" s="35" t="str">
        <f aca="false">IFERROR(CHOOSE(MATCH(INDEX(時間ごとの判定!$AW$3:$AW$1850,1301),{"利用可","両方停止","運転がそろわない","判定不能"},0),"○","停","×","－"),"")</f>
        <v>－</v>
      </c>
      <c r="BF58" s="35" t="str">
        <f aca="false">IFERROR(CHOOSE(MATCH(INDEX(時間ごとの判定!$AW$3:$AW$1850,1302),{"利用可","両方停止","運転がそろわない","判定不能"},0),"○","停","×","－"),"")</f>
        <v>－</v>
      </c>
      <c r="BG58" s="35" t="str">
        <f aca="false">IFERROR(CHOOSE(MATCH(INDEX(時間ごとの判定!$AW$3:$AW$1850,1303),{"利用可","両方停止","運転がそろわない","判定不能"},0),"○","停","×","－"),"")</f>
        <v>－</v>
      </c>
      <c r="BH58" s="35" t="str">
        <f aca="false">IFERROR(CHOOSE(MATCH(INDEX(時間ごとの判定!$AW$3:$AW$1850,1304),{"利用可","両方停止","運転がそろわない","判定不能"},0),"○","停","×","－"),"")</f>
        <v>－</v>
      </c>
      <c r="BI58" s="35" t="str">
        <f aca="false">IFERROR(CHOOSE(MATCH(INDEX(時間ごとの判定!$AW$3:$AW$1850,1305),{"利用可","両方停止","運転がそろわない","判定不能"},0),"○","停","×","－"),"")</f>
        <v>－</v>
      </c>
      <c r="BJ58" s="35" t="str">
        <f aca="false">IFERROR(CHOOSE(MATCH(INDEX(時間ごとの判定!$AW$3:$AW$1850,1306),{"利用可","両方停止","運転がそろわない","判定不能"},0),"○","停","×","－"),"")</f>
        <v>－</v>
      </c>
      <c r="BK58" s="35" t="str">
        <f aca="false">IFERROR(CHOOSE(MATCH(INDEX(時間ごとの判定!$AW$3:$AW$1850,1307),{"利用可","両方停止","運転がそろわない","判定不能"},0),"○","停","×","－"),"")</f>
        <v>－</v>
      </c>
      <c r="BL58" s="35" t="str">
        <f aca="false">IFERROR(CHOOSE(MATCH(INDEX(時間ごとの判定!$AW$3:$AW$1850,1308),{"利用可","両方停止","運転がそろわない","判定不能"},0),"○","停","×","－"),"")</f>
        <v>－</v>
      </c>
      <c r="BM58" s="35" t="str">
        <f aca="false">IFERROR(CHOOSE(MATCH(INDEX(時間ごとの判定!$AW$3:$AW$1850,1309),{"利用可","両方停止","運転がそろわない","判定不能"},0),"○","停","×","－"),"")</f>
        <v>－</v>
      </c>
      <c r="BN58" s="35" t="str">
        <f aca="false">IFERROR(CHOOSE(MATCH(INDEX(時間ごとの判定!$AW$3:$AW$1850,1310),{"利用可","両方停止","運転がそろわない","判定不能"},0),"○","停","×","－"),"")</f>
        <v>－</v>
      </c>
      <c r="BO58" s="35" t="str">
        <f aca="false">IFERROR(CHOOSE(MATCH(INDEX(時間ごとの判定!$AW$3:$AW$1850,1311),{"利用可","両方停止","運転がそろわない","判定不能"},0),"○","停","×","－"),"")</f>
        <v>－</v>
      </c>
      <c r="BP58" s="35" t="str">
        <f aca="false">IFERROR(CHOOSE(MATCH(INDEX(時間ごとの判定!$AW$3:$AW$1850,1312),{"利用可","両方停止","運転がそろわない","判定不能"},0),"○","停","×","－"),"")</f>
        <v>－</v>
      </c>
      <c r="BQ58" s="35" t="str">
        <f aca="false">IFERROR(CHOOSE(MATCH(INDEX(時間ごとの判定!$AW$3:$AW$1850,1313),{"利用可","両方停止","運転がそろわない","判定不能"},0),"○","停","×","－"),"")</f>
        <v>－</v>
      </c>
      <c r="BR58" s="35" t="str">
        <f aca="false">IFERROR(CHOOSE(MATCH(INDEX(時間ごとの判定!$AW$3:$AW$1850,1314),{"利用可","両方停止","運転がそろわない","判定不能"},0),"○","停","×","－"),"")</f>
        <v>－</v>
      </c>
      <c r="BS58" s="35" t="str">
        <f aca="false">IFERROR(CHOOSE(MATCH(INDEX(時間ごとの判定!$AW$3:$AW$1850,1315),{"利用可","両方停止","運転がそろわない","判定不能"},0),"○","停","×","－"),"")</f>
        <v>－</v>
      </c>
      <c r="BT58" s="35" t="str">
        <f aca="false">IFERROR(CHOOSE(MATCH(INDEX(時間ごとの判定!$AW$3:$AW$1850,1316),{"利用可","両方停止","運転がそろわない","判定不能"},0),"○","停","×","－"),"")</f>
        <v>－</v>
      </c>
      <c r="BU58" s="35" t="str">
        <f aca="false">IFERROR(CHOOSE(MATCH(INDEX(時間ごとの判定!$AW$3:$AW$1850,1317),{"利用可","両方停止","運転がそろわない","判定不能"},0),"○","停","×","－"),"")</f>
        <v>－</v>
      </c>
      <c r="BV58" s="35" t="str">
        <f aca="false">IFERROR(CHOOSE(MATCH(INDEX(時間ごとの判定!$AW$3:$AW$1850,1318),{"利用可","両方停止","運転がそろわない","判定不能"},0),"○","停","×","－"),"")</f>
        <v>－</v>
      </c>
      <c r="BW58" s="35" t="str">
        <f aca="false">IFERROR(CHOOSE(MATCH(INDEX(時間ごとの判定!$AW$3:$AW$1850,1319),{"利用可","両方停止","運転がそろわない","判定不能"},0),"○","停","×","－"),"")</f>
        <v>－</v>
      </c>
      <c r="BX58" s="35" t="str">
        <f aca="false">IFERROR(CHOOSE(MATCH(INDEX(時間ごとの判定!$AW$3:$AW$1850,1320),{"利用可","両方停止","運転がそろわない","判定不能"},0),"○","停","×","－"),"")</f>
        <v>－</v>
      </c>
    </row>
    <row r="59" customFormat="false" ht="15" hidden="false" customHeight="false" outlineLevel="0" collapsed="false">
      <c r="A59" s="33" t="n">
        <v>46287</v>
      </c>
      <c r="B59" s="36" t="s">
        <v>67</v>
      </c>
      <c r="C59" s="35" t="str">
        <f aca="false">IFERROR(CHOOSE(MATCH(INDEX(時間ごとの判定!$AQ$3:$AQ$1850,1321),{"利用可","両方停止","運転がそろわない","判定不能"},0),"○","停","×","－"),"")</f>
        <v>－</v>
      </c>
      <c r="D59" s="35" t="str">
        <f aca="false">IFERROR(CHOOSE(MATCH(INDEX(時間ごとの判定!$AQ$3:$AQ$1850,1322),{"利用可","両方停止","運転がそろわない","判定不能"},0),"○","停","×","－"),"")</f>
        <v>－</v>
      </c>
      <c r="E59" s="35" t="str">
        <f aca="false">IFERROR(CHOOSE(MATCH(INDEX(時間ごとの判定!$AQ$3:$AQ$1850,1323),{"利用可","両方停止","運転がそろわない","判定不能"},0),"○","停","×","－"),"")</f>
        <v>－</v>
      </c>
      <c r="F59" s="35" t="str">
        <f aca="false">IFERROR(CHOOSE(MATCH(INDEX(時間ごとの判定!$AQ$3:$AQ$1850,1324),{"利用可","両方停止","運転がそろわない","判定不能"},0),"○","停","×","－"),"")</f>
        <v>－</v>
      </c>
      <c r="G59" s="35" t="str">
        <f aca="false">IFERROR(CHOOSE(MATCH(INDEX(時間ごとの判定!$AQ$3:$AQ$1850,1325),{"利用可","両方停止","運転がそろわない","判定不能"},0),"○","停","×","－"),"")</f>
        <v>－</v>
      </c>
      <c r="H59" s="35" t="str">
        <f aca="false">IFERROR(CHOOSE(MATCH(INDEX(時間ごとの判定!$AQ$3:$AQ$1850,1326),{"利用可","両方停止","運転がそろわない","判定不能"},0),"○","停","×","－"),"")</f>
        <v>－</v>
      </c>
      <c r="I59" s="35" t="str">
        <f aca="false">IFERROR(CHOOSE(MATCH(INDEX(時間ごとの判定!$AQ$3:$AQ$1850,1327),{"利用可","両方停止","運転がそろわない","判定不能"},0),"○","停","×","－"),"")</f>
        <v>－</v>
      </c>
      <c r="J59" s="35" t="str">
        <f aca="false">IFERROR(CHOOSE(MATCH(INDEX(時間ごとの判定!$AQ$3:$AQ$1850,1328),{"利用可","両方停止","運転がそろわない","判定不能"},0),"○","停","×","－"),"")</f>
        <v>－</v>
      </c>
      <c r="K59" s="35" t="str">
        <f aca="false">IFERROR(CHOOSE(MATCH(INDEX(時間ごとの判定!$AQ$3:$AQ$1850,1329),{"利用可","両方停止","運転がそろわない","判定不能"},0),"○","停","×","－"),"")</f>
        <v>－</v>
      </c>
      <c r="L59" s="35" t="str">
        <f aca="false">IFERROR(CHOOSE(MATCH(INDEX(時間ごとの判定!$AQ$3:$AQ$1850,1330),{"利用可","両方停止","運転がそろわない","判定不能"},0),"○","停","×","－"),"")</f>
        <v>－</v>
      </c>
      <c r="M59" s="35" t="str">
        <f aca="false">IFERROR(CHOOSE(MATCH(INDEX(時間ごとの判定!$AQ$3:$AQ$1850,1331),{"利用可","両方停止","運転がそろわない","判定不能"},0),"○","停","×","－"),"")</f>
        <v>－</v>
      </c>
      <c r="N59" s="35" t="str">
        <f aca="false">IFERROR(CHOOSE(MATCH(INDEX(時間ごとの判定!$AQ$3:$AQ$1850,1332),{"利用可","両方停止","運転がそろわない","判定不能"},0),"○","停","×","－"),"")</f>
        <v>－</v>
      </c>
      <c r="O59" s="35" t="str">
        <f aca="false">IFERROR(CHOOSE(MATCH(INDEX(時間ごとの判定!$AQ$3:$AQ$1850,1333),{"利用可","両方停止","運転がそろわない","判定不能"},0),"○","停","×","－"),"")</f>
        <v>－</v>
      </c>
      <c r="P59" s="35" t="str">
        <f aca="false">IFERROR(CHOOSE(MATCH(INDEX(時間ごとの判定!$AQ$3:$AQ$1850,1334),{"利用可","両方停止","運転がそろわない","判定不能"},0),"○","停","×","－"),"")</f>
        <v>－</v>
      </c>
      <c r="Q59" s="35" t="str">
        <f aca="false">IFERROR(CHOOSE(MATCH(INDEX(時間ごとの判定!$AQ$3:$AQ$1850,1335),{"利用可","両方停止","運転がそろわない","判定不能"},0),"○","停","×","－"),"")</f>
        <v>－</v>
      </c>
      <c r="R59" s="35" t="str">
        <f aca="false">IFERROR(CHOOSE(MATCH(INDEX(時間ごとの判定!$AQ$3:$AQ$1850,1336),{"利用可","両方停止","運転がそろわない","判定不能"},0),"○","停","×","－"),"")</f>
        <v>－</v>
      </c>
      <c r="S59" s="35" t="str">
        <f aca="false">IFERROR(CHOOSE(MATCH(INDEX(時間ごとの判定!$AQ$3:$AQ$1850,1337),{"利用可","両方停止","運転がそろわない","判定不能"},0),"○","停","×","－"),"")</f>
        <v>－</v>
      </c>
      <c r="T59" s="35" t="str">
        <f aca="false">IFERROR(CHOOSE(MATCH(INDEX(時間ごとの判定!$AQ$3:$AQ$1850,1338),{"利用可","両方停止","運転がそろわない","判定不能"},0),"○","停","×","－"),"")</f>
        <v>－</v>
      </c>
      <c r="U59" s="35" t="str">
        <f aca="false">IFERROR(CHOOSE(MATCH(INDEX(時間ごとの判定!$AQ$3:$AQ$1850,1339),{"利用可","両方停止","運転がそろわない","判定不能"},0),"○","停","×","－"),"")</f>
        <v>－</v>
      </c>
      <c r="V59" s="35" t="str">
        <f aca="false">IFERROR(CHOOSE(MATCH(INDEX(時間ごとの判定!$AQ$3:$AQ$1850,1340),{"利用可","両方停止","運転がそろわない","判定不能"},0),"○","停","×","－"),"")</f>
        <v>－</v>
      </c>
      <c r="W59" s="35" t="str">
        <f aca="false">IFERROR(CHOOSE(MATCH(INDEX(時間ごとの判定!$AQ$3:$AQ$1850,1341),{"利用可","両方停止","運転がそろわない","判定不能"},0),"○","停","×","－"),"")</f>
        <v>－</v>
      </c>
      <c r="X59" s="35" t="str">
        <f aca="false">IFERROR(CHOOSE(MATCH(INDEX(時間ごとの判定!$AQ$3:$AQ$1850,1342),{"利用可","両方停止","運転がそろわない","判定不能"},0),"○","停","×","－"),"")</f>
        <v>－</v>
      </c>
      <c r="Y59" s="35" t="str">
        <f aca="false">IFERROR(CHOOSE(MATCH(INDEX(時間ごとの判定!$AQ$3:$AQ$1850,1343),{"利用可","両方停止","運転がそろわない","判定不能"},0),"○","停","×","－"),"")</f>
        <v>－</v>
      </c>
      <c r="Z59" s="35" t="str">
        <f aca="false">IFERROR(CHOOSE(MATCH(INDEX(時間ごとの判定!$AQ$3:$AQ$1850,1344),{"利用可","両方停止","運転がそろわない","判定不能"},0),"○","停","×","－"),"")</f>
        <v>－</v>
      </c>
      <c r="AA59" s="35"/>
      <c r="AB59" s="35" t="str">
        <f aca="false">IFERROR(CHOOSE(MATCH(INDEX(時間ごとの判定!$AT$3:$AT$1850,1321),{"利用可","両方停止","運転がそろわない","判定不能"},0),"○","停","×","－"),"")</f>
        <v>－</v>
      </c>
      <c r="AC59" s="35" t="str">
        <f aca="false">IFERROR(CHOOSE(MATCH(INDEX(時間ごとの判定!$AT$3:$AT$1850,1322),{"利用可","両方停止","運転がそろわない","判定不能"},0),"○","停","×","－"),"")</f>
        <v>－</v>
      </c>
      <c r="AD59" s="35" t="str">
        <f aca="false">IFERROR(CHOOSE(MATCH(INDEX(時間ごとの判定!$AT$3:$AT$1850,1323),{"利用可","両方停止","運転がそろわない","判定不能"},0),"○","停","×","－"),"")</f>
        <v>－</v>
      </c>
      <c r="AE59" s="35" t="str">
        <f aca="false">IFERROR(CHOOSE(MATCH(INDEX(時間ごとの判定!$AT$3:$AT$1850,1324),{"利用可","両方停止","運転がそろわない","判定不能"},0),"○","停","×","－"),"")</f>
        <v>－</v>
      </c>
      <c r="AF59" s="35" t="str">
        <f aca="false">IFERROR(CHOOSE(MATCH(INDEX(時間ごとの判定!$AT$3:$AT$1850,1325),{"利用可","両方停止","運転がそろわない","判定不能"},0),"○","停","×","－"),"")</f>
        <v>－</v>
      </c>
      <c r="AG59" s="35" t="str">
        <f aca="false">IFERROR(CHOOSE(MATCH(INDEX(時間ごとの判定!$AT$3:$AT$1850,1326),{"利用可","両方停止","運転がそろわない","判定不能"},0),"○","停","×","－"),"")</f>
        <v>－</v>
      </c>
      <c r="AH59" s="35" t="str">
        <f aca="false">IFERROR(CHOOSE(MATCH(INDEX(時間ごとの判定!$AT$3:$AT$1850,1327),{"利用可","両方停止","運転がそろわない","判定不能"},0),"○","停","×","－"),"")</f>
        <v>－</v>
      </c>
      <c r="AI59" s="35" t="str">
        <f aca="false">IFERROR(CHOOSE(MATCH(INDEX(時間ごとの判定!$AT$3:$AT$1850,1328),{"利用可","両方停止","運転がそろわない","判定不能"},0),"○","停","×","－"),"")</f>
        <v>－</v>
      </c>
      <c r="AJ59" s="35" t="str">
        <f aca="false">IFERROR(CHOOSE(MATCH(INDEX(時間ごとの判定!$AT$3:$AT$1850,1329),{"利用可","両方停止","運転がそろわない","判定不能"},0),"○","停","×","－"),"")</f>
        <v>－</v>
      </c>
      <c r="AK59" s="35" t="str">
        <f aca="false">IFERROR(CHOOSE(MATCH(INDEX(時間ごとの判定!$AT$3:$AT$1850,1330),{"利用可","両方停止","運転がそろわない","判定不能"},0),"○","停","×","－"),"")</f>
        <v>－</v>
      </c>
      <c r="AL59" s="35" t="str">
        <f aca="false">IFERROR(CHOOSE(MATCH(INDEX(時間ごとの判定!$AT$3:$AT$1850,1331),{"利用可","両方停止","運転がそろわない","判定不能"},0),"○","停","×","－"),"")</f>
        <v>－</v>
      </c>
      <c r="AM59" s="35" t="str">
        <f aca="false">IFERROR(CHOOSE(MATCH(INDEX(時間ごとの判定!$AT$3:$AT$1850,1332),{"利用可","両方停止","運転がそろわない","判定不能"},0),"○","停","×","－"),"")</f>
        <v>－</v>
      </c>
      <c r="AN59" s="35" t="str">
        <f aca="false">IFERROR(CHOOSE(MATCH(INDEX(時間ごとの判定!$AT$3:$AT$1850,1333),{"利用可","両方停止","運転がそろわない","判定不能"},0),"○","停","×","－"),"")</f>
        <v>－</v>
      </c>
      <c r="AO59" s="35" t="str">
        <f aca="false">IFERROR(CHOOSE(MATCH(INDEX(時間ごとの判定!$AT$3:$AT$1850,1334),{"利用可","両方停止","運転がそろわない","判定不能"},0),"○","停","×","－"),"")</f>
        <v>－</v>
      </c>
      <c r="AP59" s="35" t="str">
        <f aca="false">IFERROR(CHOOSE(MATCH(INDEX(時間ごとの判定!$AT$3:$AT$1850,1335),{"利用可","両方停止","運転がそろわない","判定不能"},0),"○","停","×","－"),"")</f>
        <v>－</v>
      </c>
      <c r="AQ59" s="35" t="str">
        <f aca="false">IFERROR(CHOOSE(MATCH(INDEX(時間ごとの判定!$AT$3:$AT$1850,1336),{"利用可","両方停止","運転がそろわない","判定不能"},0),"○","停","×","－"),"")</f>
        <v>－</v>
      </c>
      <c r="AR59" s="35" t="str">
        <f aca="false">IFERROR(CHOOSE(MATCH(INDEX(時間ごとの判定!$AT$3:$AT$1850,1337),{"利用可","両方停止","運転がそろわない","判定不能"},0),"○","停","×","－"),"")</f>
        <v>－</v>
      </c>
      <c r="AS59" s="35" t="str">
        <f aca="false">IFERROR(CHOOSE(MATCH(INDEX(時間ごとの判定!$AT$3:$AT$1850,1338),{"利用可","両方停止","運転がそろわない","判定不能"},0),"○","停","×","－"),"")</f>
        <v>－</v>
      </c>
      <c r="AT59" s="35" t="str">
        <f aca="false">IFERROR(CHOOSE(MATCH(INDEX(時間ごとの判定!$AT$3:$AT$1850,1339),{"利用可","両方停止","運転がそろわない","判定不能"},0),"○","停","×","－"),"")</f>
        <v>－</v>
      </c>
      <c r="AU59" s="35" t="str">
        <f aca="false">IFERROR(CHOOSE(MATCH(INDEX(時間ごとの判定!$AT$3:$AT$1850,1340),{"利用可","両方停止","運転がそろわない","判定不能"},0),"○","停","×","－"),"")</f>
        <v>－</v>
      </c>
      <c r="AV59" s="35" t="str">
        <f aca="false">IFERROR(CHOOSE(MATCH(INDEX(時間ごとの判定!$AT$3:$AT$1850,1341),{"利用可","両方停止","運転がそろわない","判定不能"},0),"○","停","×","－"),"")</f>
        <v>－</v>
      </c>
      <c r="AW59" s="35" t="str">
        <f aca="false">IFERROR(CHOOSE(MATCH(INDEX(時間ごとの判定!$AT$3:$AT$1850,1342),{"利用可","両方停止","運転がそろわない","判定不能"},0),"○","停","×","－"),"")</f>
        <v>－</v>
      </c>
      <c r="AX59" s="35" t="str">
        <f aca="false">IFERROR(CHOOSE(MATCH(INDEX(時間ごとの判定!$AT$3:$AT$1850,1343),{"利用可","両方停止","運転がそろわない","判定不能"},0),"○","停","×","－"),"")</f>
        <v>－</v>
      </c>
      <c r="AY59" s="35" t="str">
        <f aca="false">IFERROR(CHOOSE(MATCH(INDEX(時間ごとの判定!$AT$3:$AT$1850,1344),{"利用可","両方停止","運転がそろわない","判定不能"},0),"○","停","×","－"),"")</f>
        <v>－</v>
      </c>
      <c r="AZ59" s="35"/>
      <c r="BA59" s="35" t="str">
        <f aca="false">IFERROR(CHOOSE(MATCH(INDEX(時間ごとの判定!$AW$3:$AW$1850,1321),{"利用可","両方停止","運転がそろわない","判定不能"},0),"○","停","×","－"),"")</f>
        <v>－</v>
      </c>
      <c r="BB59" s="35" t="str">
        <f aca="false">IFERROR(CHOOSE(MATCH(INDEX(時間ごとの判定!$AW$3:$AW$1850,1322),{"利用可","両方停止","運転がそろわない","判定不能"},0),"○","停","×","－"),"")</f>
        <v>－</v>
      </c>
      <c r="BC59" s="35" t="str">
        <f aca="false">IFERROR(CHOOSE(MATCH(INDEX(時間ごとの判定!$AW$3:$AW$1850,1323),{"利用可","両方停止","運転がそろわない","判定不能"},0),"○","停","×","－"),"")</f>
        <v>－</v>
      </c>
      <c r="BD59" s="35" t="str">
        <f aca="false">IFERROR(CHOOSE(MATCH(INDEX(時間ごとの判定!$AW$3:$AW$1850,1324),{"利用可","両方停止","運転がそろわない","判定不能"},0),"○","停","×","－"),"")</f>
        <v>－</v>
      </c>
      <c r="BE59" s="35" t="str">
        <f aca="false">IFERROR(CHOOSE(MATCH(INDEX(時間ごとの判定!$AW$3:$AW$1850,1325),{"利用可","両方停止","運転がそろわない","判定不能"},0),"○","停","×","－"),"")</f>
        <v>－</v>
      </c>
      <c r="BF59" s="35" t="str">
        <f aca="false">IFERROR(CHOOSE(MATCH(INDEX(時間ごとの判定!$AW$3:$AW$1850,1326),{"利用可","両方停止","運転がそろわない","判定不能"},0),"○","停","×","－"),"")</f>
        <v>－</v>
      </c>
      <c r="BG59" s="35" t="str">
        <f aca="false">IFERROR(CHOOSE(MATCH(INDEX(時間ごとの判定!$AW$3:$AW$1850,1327),{"利用可","両方停止","運転がそろわない","判定不能"},0),"○","停","×","－"),"")</f>
        <v>－</v>
      </c>
      <c r="BH59" s="35" t="str">
        <f aca="false">IFERROR(CHOOSE(MATCH(INDEX(時間ごとの判定!$AW$3:$AW$1850,1328),{"利用可","両方停止","運転がそろわない","判定不能"},0),"○","停","×","－"),"")</f>
        <v>－</v>
      </c>
      <c r="BI59" s="35" t="str">
        <f aca="false">IFERROR(CHOOSE(MATCH(INDEX(時間ごとの判定!$AW$3:$AW$1850,1329),{"利用可","両方停止","運転がそろわない","判定不能"},0),"○","停","×","－"),"")</f>
        <v>－</v>
      </c>
      <c r="BJ59" s="35" t="str">
        <f aca="false">IFERROR(CHOOSE(MATCH(INDEX(時間ごとの判定!$AW$3:$AW$1850,1330),{"利用可","両方停止","運転がそろわない","判定不能"},0),"○","停","×","－"),"")</f>
        <v>－</v>
      </c>
      <c r="BK59" s="35" t="str">
        <f aca="false">IFERROR(CHOOSE(MATCH(INDEX(時間ごとの判定!$AW$3:$AW$1850,1331),{"利用可","両方停止","運転がそろわない","判定不能"},0),"○","停","×","－"),"")</f>
        <v>－</v>
      </c>
      <c r="BL59" s="35" t="str">
        <f aca="false">IFERROR(CHOOSE(MATCH(INDEX(時間ごとの判定!$AW$3:$AW$1850,1332),{"利用可","両方停止","運転がそろわない","判定不能"},0),"○","停","×","－"),"")</f>
        <v>－</v>
      </c>
      <c r="BM59" s="35" t="str">
        <f aca="false">IFERROR(CHOOSE(MATCH(INDEX(時間ごとの判定!$AW$3:$AW$1850,1333),{"利用可","両方停止","運転がそろわない","判定不能"},0),"○","停","×","－"),"")</f>
        <v>－</v>
      </c>
      <c r="BN59" s="35" t="str">
        <f aca="false">IFERROR(CHOOSE(MATCH(INDEX(時間ごとの判定!$AW$3:$AW$1850,1334),{"利用可","両方停止","運転がそろわない","判定不能"},0),"○","停","×","－"),"")</f>
        <v>－</v>
      </c>
      <c r="BO59" s="35" t="str">
        <f aca="false">IFERROR(CHOOSE(MATCH(INDEX(時間ごとの判定!$AW$3:$AW$1850,1335),{"利用可","両方停止","運転がそろわない","判定不能"},0),"○","停","×","－"),"")</f>
        <v>－</v>
      </c>
      <c r="BP59" s="35" t="str">
        <f aca="false">IFERROR(CHOOSE(MATCH(INDEX(時間ごとの判定!$AW$3:$AW$1850,1336),{"利用可","両方停止","運転がそろわない","判定不能"},0),"○","停","×","－"),"")</f>
        <v>－</v>
      </c>
      <c r="BQ59" s="35" t="str">
        <f aca="false">IFERROR(CHOOSE(MATCH(INDEX(時間ごとの判定!$AW$3:$AW$1850,1337),{"利用可","両方停止","運転がそろわない","判定不能"},0),"○","停","×","－"),"")</f>
        <v>－</v>
      </c>
      <c r="BR59" s="35" t="str">
        <f aca="false">IFERROR(CHOOSE(MATCH(INDEX(時間ごとの判定!$AW$3:$AW$1850,1338),{"利用可","両方停止","運転がそろわない","判定不能"},0),"○","停","×","－"),"")</f>
        <v>－</v>
      </c>
      <c r="BS59" s="35" t="str">
        <f aca="false">IFERROR(CHOOSE(MATCH(INDEX(時間ごとの判定!$AW$3:$AW$1850,1339),{"利用可","両方停止","運転がそろわない","判定不能"},0),"○","停","×","－"),"")</f>
        <v>－</v>
      </c>
      <c r="BT59" s="35" t="str">
        <f aca="false">IFERROR(CHOOSE(MATCH(INDEX(時間ごとの判定!$AW$3:$AW$1850,1340),{"利用可","両方停止","運転がそろわない","判定不能"},0),"○","停","×","－"),"")</f>
        <v>－</v>
      </c>
      <c r="BU59" s="35" t="str">
        <f aca="false">IFERROR(CHOOSE(MATCH(INDEX(時間ごとの判定!$AW$3:$AW$1850,1341),{"利用可","両方停止","運転がそろわない","判定不能"},0),"○","停","×","－"),"")</f>
        <v>－</v>
      </c>
      <c r="BV59" s="35" t="str">
        <f aca="false">IFERROR(CHOOSE(MATCH(INDEX(時間ごとの判定!$AW$3:$AW$1850,1342),{"利用可","両方停止","運転がそろわない","判定不能"},0),"○","停","×","－"),"")</f>
        <v>－</v>
      </c>
      <c r="BW59" s="35" t="str">
        <f aca="false">IFERROR(CHOOSE(MATCH(INDEX(時間ごとの判定!$AW$3:$AW$1850,1343),{"利用可","両方停止","運転がそろわない","判定不能"},0),"○","停","×","－"),"")</f>
        <v>－</v>
      </c>
      <c r="BX59" s="35" t="str">
        <f aca="false">IFERROR(CHOOSE(MATCH(INDEX(時間ごとの判定!$AW$3:$AW$1850,1344),{"利用可","両方停止","運転がそろわない","判定不能"},0),"○","停","×","－"),"")</f>
        <v>－</v>
      </c>
    </row>
    <row r="60" customFormat="false" ht="15" hidden="false" customHeight="false" outlineLevel="0" collapsed="false">
      <c r="A60" s="33" t="n">
        <v>46288</v>
      </c>
      <c r="B60" s="36" t="s">
        <v>58</v>
      </c>
      <c r="C60" s="35" t="str">
        <f aca="false">IFERROR(CHOOSE(MATCH(INDEX(時間ごとの判定!$AQ$3:$AQ$1850,1345),{"利用可","両方停止","運転がそろわない","判定不能"},0),"○","停","×","－"),"")</f>
        <v>－</v>
      </c>
      <c r="D60" s="35" t="str">
        <f aca="false">IFERROR(CHOOSE(MATCH(INDEX(時間ごとの判定!$AQ$3:$AQ$1850,1346),{"利用可","両方停止","運転がそろわない","判定不能"},0),"○","停","×","－"),"")</f>
        <v>－</v>
      </c>
      <c r="E60" s="35" t="str">
        <f aca="false">IFERROR(CHOOSE(MATCH(INDEX(時間ごとの判定!$AQ$3:$AQ$1850,1347),{"利用可","両方停止","運転がそろわない","判定不能"},0),"○","停","×","－"),"")</f>
        <v>－</v>
      </c>
      <c r="F60" s="35" t="str">
        <f aca="false">IFERROR(CHOOSE(MATCH(INDEX(時間ごとの判定!$AQ$3:$AQ$1850,1348),{"利用可","両方停止","運転がそろわない","判定不能"},0),"○","停","×","－"),"")</f>
        <v>－</v>
      </c>
      <c r="G60" s="35" t="str">
        <f aca="false">IFERROR(CHOOSE(MATCH(INDEX(時間ごとの判定!$AQ$3:$AQ$1850,1349),{"利用可","両方停止","運転がそろわない","判定不能"},0),"○","停","×","－"),"")</f>
        <v>－</v>
      </c>
      <c r="H60" s="35" t="str">
        <f aca="false">IFERROR(CHOOSE(MATCH(INDEX(時間ごとの判定!$AQ$3:$AQ$1850,1350),{"利用可","両方停止","運転がそろわない","判定不能"},0),"○","停","×","－"),"")</f>
        <v>－</v>
      </c>
      <c r="I60" s="35" t="str">
        <f aca="false">IFERROR(CHOOSE(MATCH(INDEX(時間ごとの判定!$AQ$3:$AQ$1850,1351),{"利用可","両方停止","運転がそろわない","判定不能"},0),"○","停","×","－"),"")</f>
        <v>－</v>
      </c>
      <c r="J60" s="35" t="str">
        <f aca="false">IFERROR(CHOOSE(MATCH(INDEX(時間ごとの判定!$AQ$3:$AQ$1850,1352),{"利用可","両方停止","運転がそろわない","判定不能"},0),"○","停","×","－"),"")</f>
        <v>－</v>
      </c>
      <c r="K60" s="35" t="str">
        <f aca="false">IFERROR(CHOOSE(MATCH(INDEX(時間ごとの判定!$AQ$3:$AQ$1850,1353),{"利用可","両方停止","運転がそろわない","判定不能"},0),"○","停","×","－"),"")</f>
        <v>－</v>
      </c>
      <c r="L60" s="35" t="str">
        <f aca="false">IFERROR(CHOOSE(MATCH(INDEX(時間ごとの判定!$AQ$3:$AQ$1850,1354),{"利用可","両方停止","運転がそろわない","判定不能"},0),"○","停","×","－"),"")</f>
        <v>－</v>
      </c>
      <c r="M60" s="35" t="str">
        <f aca="false">IFERROR(CHOOSE(MATCH(INDEX(時間ごとの判定!$AQ$3:$AQ$1850,1355),{"利用可","両方停止","運転がそろわない","判定不能"},0),"○","停","×","－"),"")</f>
        <v>－</v>
      </c>
      <c r="N60" s="35" t="str">
        <f aca="false">IFERROR(CHOOSE(MATCH(INDEX(時間ごとの判定!$AQ$3:$AQ$1850,1356),{"利用可","両方停止","運転がそろわない","判定不能"},0),"○","停","×","－"),"")</f>
        <v>－</v>
      </c>
      <c r="O60" s="35" t="str">
        <f aca="false">IFERROR(CHOOSE(MATCH(INDEX(時間ごとの判定!$AQ$3:$AQ$1850,1357),{"利用可","両方停止","運転がそろわない","判定不能"},0),"○","停","×","－"),"")</f>
        <v>－</v>
      </c>
      <c r="P60" s="35" t="str">
        <f aca="false">IFERROR(CHOOSE(MATCH(INDEX(時間ごとの判定!$AQ$3:$AQ$1850,1358),{"利用可","両方停止","運転がそろわない","判定不能"},0),"○","停","×","－"),"")</f>
        <v>－</v>
      </c>
      <c r="Q60" s="35" t="str">
        <f aca="false">IFERROR(CHOOSE(MATCH(INDEX(時間ごとの判定!$AQ$3:$AQ$1850,1359),{"利用可","両方停止","運転がそろわない","判定不能"},0),"○","停","×","－"),"")</f>
        <v>－</v>
      </c>
      <c r="R60" s="35" t="str">
        <f aca="false">IFERROR(CHOOSE(MATCH(INDEX(時間ごとの判定!$AQ$3:$AQ$1850,1360),{"利用可","両方停止","運転がそろわない","判定不能"},0),"○","停","×","－"),"")</f>
        <v>－</v>
      </c>
      <c r="S60" s="35" t="str">
        <f aca="false">IFERROR(CHOOSE(MATCH(INDEX(時間ごとの判定!$AQ$3:$AQ$1850,1361),{"利用可","両方停止","運転がそろわない","判定不能"},0),"○","停","×","－"),"")</f>
        <v>－</v>
      </c>
      <c r="T60" s="35" t="str">
        <f aca="false">IFERROR(CHOOSE(MATCH(INDEX(時間ごとの判定!$AQ$3:$AQ$1850,1362),{"利用可","両方停止","運転がそろわない","判定不能"},0),"○","停","×","－"),"")</f>
        <v>－</v>
      </c>
      <c r="U60" s="35" t="str">
        <f aca="false">IFERROR(CHOOSE(MATCH(INDEX(時間ごとの判定!$AQ$3:$AQ$1850,1363),{"利用可","両方停止","運転がそろわない","判定不能"},0),"○","停","×","－"),"")</f>
        <v>－</v>
      </c>
      <c r="V60" s="35" t="str">
        <f aca="false">IFERROR(CHOOSE(MATCH(INDEX(時間ごとの判定!$AQ$3:$AQ$1850,1364),{"利用可","両方停止","運転がそろわない","判定不能"},0),"○","停","×","－"),"")</f>
        <v>－</v>
      </c>
      <c r="W60" s="35" t="str">
        <f aca="false">IFERROR(CHOOSE(MATCH(INDEX(時間ごとの判定!$AQ$3:$AQ$1850,1365),{"利用可","両方停止","運転がそろわない","判定不能"},0),"○","停","×","－"),"")</f>
        <v>－</v>
      </c>
      <c r="X60" s="35" t="str">
        <f aca="false">IFERROR(CHOOSE(MATCH(INDEX(時間ごとの判定!$AQ$3:$AQ$1850,1366),{"利用可","両方停止","運転がそろわない","判定不能"},0),"○","停","×","－"),"")</f>
        <v>－</v>
      </c>
      <c r="Y60" s="35" t="str">
        <f aca="false">IFERROR(CHOOSE(MATCH(INDEX(時間ごとの判定!$AQ$3:$AQ$1850,1367),{"利用可","両方停止","運転がそろわない","判定不能"},0),"○","停","×","－"),"")</f>
        <v>－</v>
      </c>
      <c r="Z60" s="35" t="str">
        <f aca="false">IFERROR(CHOOSE(MATCH(INDEX(時間ごとの判定!$AQ$3:$AQ$1850,1368),{"利用可","両方停止","運転がそろわない","判定不能"},0),"○","停","×","－"),"")</f>
        <v>－</v>
      </c>
      <c r="AA60" s="35"/>
      <c r="AB60" s="35" t="str">
        <f aca="false">IFERROR(CHOOSE(MATCH(INDEX(時間ごとの判定!$AT$3:$AT$1850,1345),{"利用可","両方停止","運転がそろわない","判定不能"},0),"○","停","×","－"),"")</f>
        <v>－</v>
      </c>
      <c r="AC60" s="35" t="str">
        <f aca="false">IFERROR(CHOOSE(MATCH(INDEX(時間ごとの判定!$AT$3:$AT$1850,1346),{"利用可","両方停止","運転がそろわない","判定不能"},0),"○","停","×","－"),"")</f>
        <v>－</v>
      </c>
      <c r="AD60" s="35" t="str">
        <f aca="false">IFERROR(CHOOSE(MATCH(INDEX(時間ごとの判定!$AT$3:$AT$1850,1347),{"利用可","両方停止","運転がそろわない","判定不能"},0),"○","停","×","－"),"")</f>
        <v>－</v>
      </c>
      <c r="AE60" s="35" t="str">
        <f aca="false">IFERROR(CHOOSE(MATCH(INDEX(時間ごとの判定!$AT$3:$AT$1850,1348),{"利用可","両方停止","運転がそろわない","判定不能"},0),"○","停","×","－"),"")</f>
        <v>－</v>
      </c>
      <c r="AF60" s="35" t="str">
        <f aca="false">IFERROR(CHOOSE(MATCH(INDEX(時間ごとの判定!$AT$3:$AT$1850,1349),{"利用可","両方停止","運転がそろわない","判定不能"},0),"○","停","×","－"),"")</f>
        <v>－</v>
      </c>
      <c r="AG60" s="35" t="str">
        <f aca="false">IFERROR(CHOOSE(MATCH(INDEX(時間ごとの判定!$AT$3:$AT$1850,1350),{"利用可","両方停止","運転がそろわない","判定不能"},0),"○","停","×","－"),"")</f>
        <v>－</v>
      </c>
      <c r="AH60" s="35" t="str">
        <f aca="false">IFERROR(CHOOSE(MATCH(INDEX(時間ごとの判定!$AT$3:$AT$1850,1351),{"利用可","両方停止","運転がそろわない","判定不能"},0),"○","停","×","－"),"")</f>
        <v>－</v>
      </c>
      <c r="AI60" s="35" t="str">
        <f aca="false">IFERROR(CHOOSE(MATCH(INDEX(時間ごとの判定!$AT$3:$AT$1850,1352),{"利用可","両方停止","運転がそろわない","判定不能"},0),"○","停","×","－"),"")</f>
        <v>－</v>
      </c>
      <c r="AJ60" s="35" t="str">
        <f aca="false">IFERROR(CHOOSE(MATCH(INDEX(時間ごとの判定!$AT$3:$AT$1850,1353),{"利用可","両方停止","運転がそろわない","判定不能"},0),"○","停","×","－"),"")</f>
        <v>－</v>
      </c>
      <c r="AK60" s="35" t="str">
        <f aca="false">IFERROR(CHOOSE(MATCH(INDEX(時間ごとの判定!$AT$3:$AT$1850,1354),{"利用可","両方停止","運転がそろわない","判定不能"},0),"○","停","×","－"),"")</f>
        <v>－</v>
      </c>
      <c r="AL60" s="35" t="str">
        <f aca="false">IFERROR(CHOOSE(MATCH(INDEX(時間ごとの判定!$AT$3:$AT$1850,1355),{"利用可","両方停止","運転がそろわない","判定不能"},0),"○","停","×","－"),"")</f>
        <v>－</v>
      </c>
      <c r="AM60" s="35" t="str">
        <f aca="false">IFERROR(CHOOSE(MATCH(INDEX(時間ごとの判定!$AT$3:$AT$1850,1356),{"利用可","両方停止","運転がそろわない","判定不能"},0),"○","停","×","－"),"")</f>
        <v>－</v>
      </c>
      <c r="AN60" s="35" t="str">
        <f aca="false">IFERROR(CHOOSE(MATCH(INDEX(時間ごとの判定!$AT$3:$AT$1850,1357),{"利用可","両方停止","運転がそろわない","判定不能"},0),"○","停","×","－"),"")</f>
        <v>－</v>
      </c>
      <c r="AO60" s="35" t="str">
        <f aca="false">IFERROR(CHOOSE(MATCH(INDEX(時間ごとの判定!$AT$3:$AT$1850,1358),{"利用可","両方停止","運転がそろわない","判定不能"},0),"○","停","×","－"),"")</f>
        <v>－</v>
      </c>
      <c r="AP60" s="35" t="str">
        <f aca="false">IFERROR(CHOOSE(MATCH(INDEX(時間ごとの判定!$AT$3:$AT$1850,1359),{"利用可","両方停止","運転がそろわない","判定不能"},0),"○","停","×","－"),"")</f>
        <v>－</v>
      </c>
      <c r="AQ60" s="35" t="str">
        <f aca="false">IFERROR(CHOOSE(MATCH(INDEX(時間ごとの判定!$AT$3:$AT$1850,1360),{"利用可","両方停止","運転がそろわない","判定不能"},0),"○","停","×","－"),"")</f>
        <v>－</v>
      </c>
      <c r="AR60" s="35" t="str">
        <f aca="false">IFERROR(CHOOSE(MATCH(INDEX(時間ごとの判定!$AT$3:$AT$1850,1361),{"利用可","両方停止","運転がそろわない","判定不能"},0),"○","停","×","－"),"")</f>
        <v>－</v>
      </c>
      <c r="AS60" s="35" t="str">
        <f aca="false">IFERROR(CHOOSE(MATCH(INDEX(時間ごとの判定!$AT$3:$AT$1850,1362),{"利用可","両方停止","運転がそろわない","判定不能"},0),"○","停","×","－"),"")</f>
        <v>－</v>
      </c>
      <c r="AT60" s="35" t="str">
        <f aca="false">IFERROR(CHOOSE(MATCH(INDEX(時間ごとの判定!$AT$3:$AT$1850,1363),{"利用可","両方停止","運転がそろわない","判定不能"},0),"○","停","×","－"),"")</f>
        <v>－</v>
      </c>
      <c r="AU60" s="35" t="str">
        <f aca="false">IFERROR(CHOOSE(MATCH(INDEX(時間ごとの判定!$AT$3:$AT$1850,1364),{"利用可","両方停止","運転がそろわない","判定不能"},0),"○","停","×","－"),"")</f>
        <v>－</v>
      </c>
      <c r="AV60" s="35" t="str">
        <f aca="false">IFERROR(CHOOSE(MATCH(INDEX(時間ごとの判定!$AT$3:$AT$1850,1365),{"利用可","両方停止","運転がそろわない","判定不能"},0),"○","停","×","－"),"")</f>
        <v>－</v>
      </c>
      <c r="AW60" s="35" t="str">
        <f aca="false">IFERROR(CHOOSE(MATCH(INDEX(時間ごとの判定!$AT$3:$AT$1850,1366),{"利用可","両方停止","運転がそろわない","判定不能"},0),"○","停","×","－"),"")</f>
        <v>－</v>
      </c>
      <c r="AX60" s="35" t="str">
        <f aca="false">IFERROR(CHOOSE(MATCH(INDEX(時間ごとの判定!$AT$3:$AT$1850,1367),{"利用可","両方停止","運転がそろわない","判定不能"},0),"○","停","×","－"),"")</f>
        <v>－</v>
      </c>
      <c r="AY60" s="35" t="str">
        <f aca="false">IFERROR(CHOOSE(MATCH(INDEX(時間ごとの判定!$AT$3:$AT$1850,1368),{"利用可","両方停止","運転がそろわない","判定不能"},0),"○","停","×","－"),"")</f>
        <v>－</v>
      </c>
      <c r="AZ60" s="35"/>
      <c r="BA60" s="35" t="str">
        <f aca="false">IFERROR(CHOOSE(MATCH(INDEX(時間ごとの判定!$AW$3:$AW$1850,1345),{"利用可","両方停止","運転がそろわない","判定不能"},0),"○","停","×","－"),"")</f>
        <v>－</v>
      </c>
      <c r="BB60" s="35" t="str">
        <f aca="false">IFERROR(CHOOSE(MATCH(INDEX(時間ごとの判定!$AW$3:$AW$1850,1346),{"利用可","両方停止","運転がそろわない","判定不能"},0),"○","停","×","－"),"")</f>
        <v>－</v>
      </c>
      <c r="BC60" s="35" t="str">
        <f aca="false">IFERROR(CHOOSE(MATCH(INDEX(時間ごとの判定!$AW$3:$AW$1850,1347),{"利用可","両方停止","運転がそろわない","判定不能"},0),"○","停","×","－"),"")</f>
        <v>－</v>
      </c>
      <c r="BD60" s="35" t="str">
        <f aca="false">IFERROR(CHOOSE(MATCH(INDEX(時間ごとの判定!$AW$3:$AW$1850,1348),{"利用可","両方停止","運転がそろわない","判定不能"},0),"○","停","×","－"),"")</f>
        <v>－</v>
      </c>
      <c r="BE60" s="35" t="str">
        <f aca="false">IFERROR(CHOOSE(MATCH(INDEX(時間ごとの判定!$AW$3:$AW$1850,1349),{"利用可","両方停止","運転がそろわない","判定不能"},0),"○","停","×","－"),"")</f>
        <v>－</v>
      </c>
      <c r="BF60" s="35" t="str">
        <f aca="false">IFERROR(CHOOSE(MATCH(INDEX(時間ごとの判定!$AW$3:$AW$1850,1350),{"利用可","両方停止","運転がそろわない","判定不能"},0),"○","停","×","－"),"")</f>
        <v>－</v>
      </c>
      <c r="BG60" s="35" t="str">
        <f aca="false">IFERROR(CHOOSE(MATCH(INDEX(時間ごとの判定!$AW$3:$AW$1850,1351),{"利用可","両方停止","運転がそろわない","判定不能"},0),"○","停","×","－"),"")</f>
        <v>－</v>
      </c>
      <c r="BH60" s="35" t="str">
        <f aca="false">IFERROR(CHOOSE(MATCH(INDEX(時間ごとの判定!$AW$3:$AW$1850,1352),{"利用可","両方停止","運転がそろわない","判定不能"},0),"○","停","×","－"),"")</f>
        <v>－</v>
      </c>
      <c r="BI60" s="35" t="str">
        <f aca="false">IFERROR(CHOOSE(MATCH(INDEX(時間ごとの判定!$AW$3:$AW$1850,1353),{"利用可","両方停止","運転がそろわない","判定不能"},0),"○","停","×","－"),"")</f>
        <v>－</v>
      </c>
      <c r="BJ60" s="35" t="str">
        <f aca="false">IFERROR(CHOOSE(MATCH(INDEX(時間ごとの判定!$AW$3:$AW$1850,1354),{"利用可","両方停止","運転がそろわない","判定不能"},0),"○","停","×","－"),"")</f>
        <v>－</v>
      </c>
      <c r="BK60" s="35" t="str">
        <f aca="false">IFERROR(CHOOSE(MATCH(INDEX(時間ごとの判定!$AW$3:$AW$1850,1355),{"利用可","両方停止","運転がそろわない","判定不能"},0),"○","停","×","－"),"")</f>
        <v>－</v>
      </c>
      <c r="BL60" s="35" t="str">
        <f aca="false">IFERROR(CHOOSE(MATCH(INDEX(時間ごとの判定!$AW$3:$AW$1850,1356),{"利用可","両方停止","運転がそろわない","判定不能"},0),"○","停","×","－"),"")</f>
        <v>－</v>
      </c>
      <c r="BM60" s="35" t="str">
        <f aca="false">IFERROR(CHOOSE(MATCH(INDEX(時間ごとの判定!$AW$3:$AW$1850,1357),{"利用可","両方停止","運転がそろわない","判定不能"},0),"○","停","×","－"),"")</f>
        <v>－</v>
      </c>
      <c r="BN60" s="35" t="str">
        <f aca="false">IFERROR(CHOOSE(MATCH(INDEX(時間ごとの判定!$AW$3:$AW$1850,1358),{"利用可","両方停止","運転がそろわない","判定不能"},0),"○","停","×","－"),"")</f>
        <v>－</v>
      </c>
      <c r="BO60" s="35" t="str">
        <f aca="false">IFERROR(CHOOSE(MATCH(INDEX(時間ごとの判定!$AW$3:$AW$1850,1359),{"利用可","両方停止","運転がそろわない","判定不能"},0),"○","停","×","－"),"")</f>
        <v>－</v>
      </c>
      <c r="BP60" s="35" t="str">
        <f aca="false">IFERROR(CHOOSE(MATCH(INDEX(時間ごとの判定!$AW$3:$AW$1850,1360),{"利用可","両方停止","運転がそろわない","判定不能"},0),"○","停","×","－"),"")</f>
        <v>－</v>
      </c>
      <c r="BQ60" s="35" t="str">
        <f aca="false">IFERROR(CHOOSE(MATCH(INDEX(時間ごとの判定!$AW$3:$AW$1850,1361),{"利用可","両方停止","運転がそろわない","判定不能"},0),"○","停","×","－"),"")</f>
        <v>－</v>
      </c>
      <c r="BR60" s="35" t="str">
        <f aca="false">IFERROR(CHOOSE(MATCH(INDEX(時間ごとの判定!$AW$3:$AW$1850,1362),{"利用可","両方停止","運転がそろわない","判定不能"},0),"○","停","×","－"),"")</f>
        <v>－</v>
      </c>
      <c r="BS60" s="35" t="str">
        <f aca="false">IFERROR(CHOOSE(MATCH(INDEX(時間ごとの判定!$AW$3:$AW$1850,1363),{"利用可","両方停止","運転がそろわない","判定不能"},0),"○","停","×","－"),"")</f>
        <v>－</v>
      </c>
      <c r="BT60" s="35" t="str">
        <f aca="false">IFERROR(CHOOSE(MATCH(INDEX(時間ごとの判定!$AW$3:$AW$1850,1364),{"利用可","両方停止","運転がそろわない","判定不能"},0),"○","停","×","－"),"")</f>
        <v>－</v>
      </c>
      <c r="BU60" s="35" t="str">
        <f aca="false">IFERROR(CHOOSE(MATCH(INDEX(時間ごとの判定!$AW$3:$AW$1850,1365),{"利用可","両方停止","運転がそろわない","判定不能"},0),"○","停","×","－"),"")</f>
        <v>－</v>
      </c>
      <c r="BV60" s="35" t="str">
        <f aca="false">IFERROR(CHOOSE(MATCH(INDEX(時間ごとの判定!$AW$3:$AW$1850,1366),{"利用可","両方停止","運転がそろわない","判定不能"},0),"○","停","×","－"),"")</f>
        <v>－</v>
      </c>
      <c r="BW60" s="35" t="str">
        <f aca="false">IFERROR(CHOOSE(MATCH(INDEX(時間ごとの判定!$AW$3:$AW$1850,1367),{"利用可","両方停止","運転がそろわない","判定不能"},0),"○","停","×","－"),"")</f>
        <v>－</v>
      </c>
      <c r="BX60" s="35" t="str">
        <f aca="false">IFERROR(CHOOSE(MATCH(INDEX(時間ごとの判定!$AW$3:$AW$1850,1368),{"利用可","両方停止","運転がそろわない","判定不能"},0),"○","停","×","－"),"")</f>
        <v>－</v>
      </c>
    </row>
    <row r="61" customFormat="false" ht="15" hidden="false" customHeight="false" outlineLevel="0" collapsed="false">
      <c r="A61" s="33" t="n">
        <v>46289</v>
      </c>
      <c r="B61" s="34" t="s">
        <v>61</v>
      </c>
      <c r="C61" s="35" t="str">
        <f aca="false">IFERROR(CHOOSE(MATCH(INDEX(時間ごとの判定!$AQ$3:$AQ$1850,1369),{"利用可","両方停止","運転がそろわない","判定不能"},0),"○","停","×","－"),"")</f>
        <v>－</v>
      </c>
      <c r="D61" s="35" t="str">
        <f aca="false">IFERROR(CHOOSE(MATCH(INDEX(時間ごとの判定!$AQ$3:$AQ$1850,1370),{"利用可","両方停止","運転がそろわない","判定不能"},0),"○","停","×","－"),"")</f>
        <v>－</v>
      </c>
      <c r="E61" s="35" t="str">
        <f aca="false">IFERROR(CHOOSE(MATCH(INDEX(時間ごとの判定!$AQ$3:$AQ$1850,1371),{"利用可","両方停止","運転がそろわない","判定不能"},0),"○","停","×","－"),"")</f>
        <v>－</v>
      </c>
      <c r="F61" s="35" t="str">
        <f aca="false">IFERROR(CHOOSE(MATCH(INDEX(時間ごとの判定!$AQ$3:$AQ$1850,1372),{"利用可","両方停止","運転がそろわない","判定不能"},0),"○","停","×","－"),"")</f>
        <v>－</v>
      </c>
      <c r="G61" s="35" t="str">
        <f aca="false">IFERROR(CHOOSE(MATCH(INDEX(時間ごとの判定!$AQ$3:$AQ$1850,1373),{"利用可","両方停止","運転がそろわない","判定不能"},0),"○","停","×","－"),"")</f>
        <v>－</v>
      </c>
      <c r="H61" s="35" t="str">
        <f aca="false">IFERROR(CHOOSE(MATCH(INDEX(時間ごとの判定!$AQ$3:$AQ$1850,1374),{"利用可","両方停止","運転がそろわない","判定不能"},0),"○","停","×","－"),"")</f>
        <v>－</v>
      </c>
      <c r="I61" s="35" t="str">
        <f aca="false">IFERROR(CHOOSE(MATCH(INDEX(時間ごとの判定!$AQ$3:$AQ$1850,1375),{"利用可","両方停止","運転がそろわない","判定不能"},0),"○","停","×","－"),"")</f>
        <v>－</v>
      </c>
      <c r="J61" s="35" t="str">
        <f aca="false">IFERROR(CHOOSE(MATCH(INDEX(時間ごとの判定!$AQ$3:$AQ$1850,1376),{"利用可","両方停止","運転がそろわない","判定不能"},0),"○","停","×","－"),"")</f>
        <v>－</v>
      </c>
      <c r="K61" s="35" t="str">
        <f aca="false">IFERROR(CHOOSE(MATCH(INDEX(時間ごとの判定!$AQ$3:$AQ$1850,1377),{"利用可","両方停止","運転がそろわない","判定不能"},0),"○","停","×","－"),"")</f>
        <v>－</v>
      </c>
      <c r="L61" s="35" t="str">
        <f aca="false">IFERROR(CHOOSE(MATCH(INDEX(時間ごとの判定!$AQ$3:$AQ$1850,1378),{"利用可","両方停止","運転がそろわない","判定不能"},0),"○","停","×","－"),"")</f>
        <v>－</v>
      </c>
      <c r="M61" s="35" t="str">
        <f aca="false">IFERROR(CHOOSE(MATCH(INDEX(時間ごとの判定!$AQ$3:$AQ$1850,1379),{"利用可","両方停止","運転がそろわない","判定不能"},0),"○","停","×","－"),"")</f>
        <v>－</v>
      </c>
      <c r="N61" s="35" t="str">
        <f aca="false">IFERROR(CHOOSE(MATCH(INDEX(時間ごとの判定!$AQ$3:$AQ$1850,1380),{"利用可","両方停止","運転がそろわない","判定不能"},0),"○","停","×","－"),"")</f>
        <v>－</v>
      </c>
      <c r="O61" s="35" t="str">
        <f aca="false">IFERROR(CHOOSE(MATCH(INDEX(時間ごとの判定!$AQ$3:$AQ$1850,1381),{"利用可","両方停止","運転がそろわない","判定不能"},0),"○","停","×","－"),"")</f>
        <v>－</v>
      </c>
      <c r="P61" s="35" t="str">
        <f aca="false">IFERROR(CHOOSE(MATCH(INDEX(時間ごとの判定!$AQ$3:$AQ$1850,1382),{"利用可","両方停止","運転がそろわない","判定不能"},0),"○","停","×","－"),"")</f>
        <v>－</v>
      </c>
      <c r="Q61" s="35" t="str">
        <f aca="false">IFERROR(CHOOSE(MATCH(INDEX(時間ごとの判定!$AQ$3:$AQ$1850,1383),{"利用可","両方停止","運転がそろわない","判定不能"},0),"○","停","×","－"),"")</f>
        <v>－</v>
      </c>
      <c r="R61" s="35" t="str">
        <f aca="false">IFERROR(CHOOSE(MATCH(INDEX(時間ごとの判定!$AQ$3:$AQ$1850,1384),{"利用可","両方停止","運転がそろわない","判定不能"},0),"○","停","×","－"),"")</f>
        <v>－</v>
      </c>
      <c r="S61" s="35" t="str">
        <f aca="false">IFERROR(CHOOSE(MATCH(INDEX(時間ごとの判定!$AQ$3:$AQ$1850,1385),{"利用可","両方停止","運転がそろわない","判定不能"},0),"○","停","×","－"),"")</f>
        <v>－</v>
      </c>
      <c r="T61" s="35" t="str">
        <f aca="false">IFERROR(CHOOSE(MATCH(INDEX(時間ごとの判定!$AQ$3:$AQ$1850,1386),{"利用可","両方停止","運転がそろわない","判定不能"},0),"○","停","×","－"),"")</f>
        <v>－</v>
      </c>
      <c r="U61" s="35" t="str">
        <f aca="false">IFERROR(CHOOSE(MATCH(INDEX(時間ごとの判定!$AQ$3:$AQ$1850,1387),{"利用可","両方停止","運転がそろわない","判定不能"},0),"○","停","×","－"),"")</f>
        <v>－</v>
      </c>
      <c r="V61" s="35" t="str">
        <f aca="false">IFERROR(CHOOSE(MATCH(INDEX(時間ごとの判定!$AQ$3:$AQ$1850,1388),{"利用可","両方停止","運転がそろわない","判定不能"},0),"○","停","×","－"),"")</f>
        <v>－</v>
      </c>
      <c r="W61" s="35" t="str">
        <f aca="false">IFERROR(CHOOSE(MATCH(INDEX(時間ごとの判定!$AQ$3:$AQ$1850,1389),{"利用可","両方停止","運転がそろわない","判定不能"},0),"○","停","×","－"),"")</f>
        <v>－</v>
      </c>
      <c r="X61" s="35" t="str">
        <f aca="false">IFERROR(CHOOSE(MATCH(INDEX(時間ごとの判定!$AQ$3:$AQ$1850,1390),{"利用可","両方停止","運転がそろわない","判定不能"},0),"○","停","×","－"),"")</f>
        <v>－</v>
      </c>
      <c r="Y61" s="35" t="str">
        <f aca="false">IFERROR(CHOOSE(MATCH(INDEX(時間ごとの判定!$AQ$3:$AQ$1850,1391),{"利用可","両方停止","運転がそろわない","判定不能"},0),"○","停","×","－"),"")</f>
        <v>－</v>
      </c>
      <c r="Z61" s="35" t="str">
        <f aca="false">IFERROR(CHOOSE(MATCH(INDEX(時間ごとの判定!$AQ$3:$AQ$1850,1392),{"利用可","両方停止","運転がそろわない","判定不能"},0),"○","停","×","－"),"")</f>
        <v>－</v>
      </c>
      <c r="AA61" s="35"/>
      <c r="AB61" s="35" t="str">
        <f aca="false">IFERROR(CHOOSE(MATCH(INDEX(時間ごとの判定!$AT$3:$AT$1850,1369),{"利用可","両方停止","運転がそろわない","判定不能"},0),"○","停","×","－"),"")</f>
        <v>－</v>
      </c>
      <c r="AC61" s="35" t="str">
        <f aca="false">IFERROR(CHOOSE(MATCH(INDEX(時間ごとの判定!$AT$3:$AT$1850,1370),{"利用可","両方停止","運転がそろわない","判定不能"},0),"○","停","×","－"),"")</f>
        <v>－</v>
      </c>
      <c r="AD61" s="35" t="str">
        <f aca="false">IFERROR(CHOOSE(MATCH(INDEX(時間ごとの判定!$AT$3:$AT$1850,1371),{"利用可","両方停止","運転がそろわない","判定不能"},0),"○","停","×","－"),"")</f>
        <v>－</v>
      </c>
      <c r="AE61" s="35" t="str">
        <f aca="false">IFERROR(CHOOSE(MATCH(INDEX(時間ごとの判定!$AT$3:$AT$1850,1372),{"利用可","両方停止","運転がそろわない","判定不能"},0),"○","停","×","－"),"")</f>
        <v>－</v>
      </c>
      <c r="AF61" s="35" t="str">
        <f aca="false">IFERROR(CHOOSE(MATCH(INDEX(時間ごとの判定!$AT$3:$AT$1850,1373),{"利用可","両方停止","運転がそろわない","判定不能"},0),"○","停","×","－"),"")</f>
        <v>－</v>
      </c>
      <c r="AG61" s="35" t="str">
        <f aca="false">IFERROR(CHOOSE(MATCH(INDEX(時間ごとの判定!$AT$3:$AT$1850,1374),{"利用可","両方停止","運転がそろわない","判定不能"},0),"○","停","×","－"),"")</f>
        <v>－</v>
      </c>
      <c r="AH61" s="35" t="str">
        <f aca="false">IFERROR(CHOOSE(MATCH(INDEX(時間ごとの判定!$AT$3:$AT$1850,1375),{"利用可","両方停止","運転がそろわない","判定不能"},0),"○","停","×","－"),"")</f>
        <v>－</v>
      </c>
      <c r="AI61" s="35" t="str">
        <f aca="false">IFERROR(CHOOSE(MATCH(INDEX(時間ごとの判定!$AT$3:$AT$1850,1376),{"利用可","両方停止","運転がそろわない","判定不能"},0),"○","停","×","－"),"")</f>
        <v>－</v>
      </c>
      <c r="AJ61" s="35" t="str">
        <f aca="false">IFERROR(CHOOSE(MATCH(INDEX(時間ごとの判定!$AT$3:$AT$1850,1377),{"利用可","両方停止","運転がそろわない","判定不能"},0),"○","停","×","－"),"")</f>
        <v>－</v>
      </c>
      <c r="AK61" s="35" t="str">
        <f aca="false">IFERROR(CHOOSE(MATCH(INDEX(時間ごとの判定!$AT$3:$AT$1850,1378),{"利用可","両方停止","運転がそろわない","判定不能"},0),"○","停","×","－"),"")</f>
        <v>－</v>
      </c>
      <c r="AL61" s="35" t="str">
        <f aca="false">IFERROR(CHOOSE(MATCH(INDEX(時間ごとの判定!$AT$3:$AT$1850,1379),{"利用可","両方停止","運転がそろわない","判定不能"},0),"○","停","×","－"),"")</f>
        <v>－</v>
      </c>
      <c r="AM61" s="35" t="str">
        <f aca="false">IFERROR(CHOOSE(MATCH(INDEX(時間ごとの判定!$AT$3:$AT$1850,1380),{"利用可","両方停止","運転がそろわない","判定不能"},0),"○","停","×","－"),"")</f>
        <v>－</v>
      </c>
      <c r="AN61" s="35" t="str">
        <f aca="false">IFERROR(CHOOSE(MATCH(INDEX(時間ごとの判定!$AT$3:$AT$1850,1381),{"利用可","両方停止","運転がそろわない","判定不能"},0),"○","停","×","－"),"")</f>
        <v>－</v>
      </c>
      <c r="AO61" s="35" t="str">
        <f aca="false">IFERROR(CHOOSE(MATCH(INDEX(時間ごとの判定!$AT$3:$AT$1850,1382),{"利用可","両方停止","運転がそろわない","判定不能"},0),"○","停","×","－"),"")</f>
        <v>－</v>
      </c>
      <c r="AP61" s="35" t="str">
        <f aca="false">IFERROR(CHOOSE(MATCH(INDEX(時間ごとの判定!$AT$3:$AT$1850,1383),{"利用可","両方停止","運転がそろわない","判定不能"},0),"○","停","×","－"),"")</f>
        <v>－</v>
      </c>
      <c r="AQ61" s="35" t="str">
        <f aca="false">IFERROR(CHOOSE(MATCH(INDEX(時間ごとの判定!$AT$3:$AT$1850,1384),{"利用可","両方停止","運転がそろわない","判定不能"},0),"○","停","×","－"),"")</f>
        <v>－</v>
      </c>
      <c r="AR61" s="35" t="str">
        <f aca="false">IFERROR(CHOOSE(MATCH(INDEX(時間ごとの判定!$AT$3:$AT$1850,1385),{"利用可","両方停止","運転がそろわない","判定不能"},0),"○","停","×","－"),"")</f>
        <v>－</v>
      </c>
      <c r="AS61" s="35" t="str">
        <f aca="false">IFERROR(CHOOSE(MATCH(INDEX(時間ごとの判定!$AT$3:$AT$1850,1386),{"利用可","両方停止","運転がそろわない","判定不能"},0),"○","停","×","－"),"")</f>
        <v>－</v>
      </c>
      <c r="AT61" s="35" t="str">
        <f aca="false">IFERROR(CHOOSE(MATCH(INDEX(時間ごとの判定!$AT$3:$AT$1850,1387),{"利用可","両方停止","運転がそろわない","判定不能"},0),"○","停","×","－"),"")</f>
        <v>－</v>
      </c>
      <c r="AU61" s="35" t="str">
        <f aca="false">IFERROR(CHOOSE(MATCH(INDEX(時間ごとの判定!$AT$3:$AT$1850,1388),{"利用可","両方停止","運転がそろわない","判定不能"},0),"○","停","×","－"),"")</f>
        <v>－</v>
      </c>
      <c r="AV61" s="35" t="str">
        <f aca="false">IFERROR(CHOOSE(MATCH(INDEX(時間ごとの判定!$AT$3:$AT$1850,1389),{"利用可","両方停止","運転がそろわない","判定不能"},0),"○","停","×","－"),"")</f>
        <v>－</v>
      </c>
      <c r="AW61" s="35" t="str">
        <f aca="false">IFERROR(CHOOSE(MATCH(INDEX(時間ごとの判定!$AT$3:$AT$1850,1390),{"利用可","両方停止","運転がそろわない","判定不能"},0),"○","停","×","－"),"")</f>
        <v>－</v>
      </c>
      <c r="AX61" s="35" t="str">
        <f aca="false">IFERROR(CHOOSE(MATCH(INDEX(時間ごとの判定!$AT$3:$AT$1850,1391),{"利用可","両方停止","運転がそろわない","判定不能"},0),"○","停","×","－"),"")</f>
        <v>－</v>
      </c>
      <c r="AY61" s="35" t="str">
        <f aca="false">IFERROR(CHOOSE(MATCH(INDEX(時間ごとの判定!$AT$3:$AT$1850,1392),{"利用可","両方停止","運転がそろわない","判定不能"},0),"○","停","×","－"),"")</f>
        <v>－</v>
      </c>
      <c r="AZ61" s="35"/>
      <c r="BA61" s="35" t="str">
        <f aca="false">IFERROR(CHOOSE(MATCH(INDEX(時間ごとの判定!$AW$3:$AW$1850,1369),{"利用可","両方停止","運転がそろわない","判定不能"},0),"○","停","×","－"),"")</f>
        <v>－</v>
      </c>
      <c r="BB61" s="35" t="str">
        <f aca="false">IFERROR(CHOOSE(MATCH(INDEX(時間ごとの判定!$AW$3:$AW$1850,1370),{"利用可","両方停止","運転がそろわない","判定不能"},0),"○","停","×","－"),"")</f>
        <v>－</v>
      </c>
      <c r="BC61" s="35" t="str">
        <f aca="false">IFERROR(CHOOSE(MATCH(INDEX(時間ごとの判定!$AW$3:$AW$1850,1371),{"利用可","両方停止","運転がそろわない","判定不能"},0),"○","停","×","－"),"")</f>
        <v>－</v>
      </c>
      <c r="BD61" s="35" t="str">
        <f aca="false">IFERROR(CHOOSE(MATCH(INDEX(時間ごとの判定!$AW$3:$AW$1850,1372),{"利用可","両方停止","運転がそろわない","判定不能"},0),"○","停","×","－"),"")</f>
        <v>－</v>
      </c>
      <c r="BE61" s="35" t="str">
        <f aca="false">IFERROR(CHOOSE(MATCH(INDEX(時間ごとの判定!$AW$3:$AW$1850,1373),{"利用可","両方停止","運転がそろわない","判定不能"},0),"○","停","×","－"),"")</f>
        <v>－</v>
      </c>
      <c r="BF61" s="35" t="str">
        <f aca="false">IFERROR(CHOOSE(MATCH(INDEX(時間ごとの判定!$AW$3:$AW$1850,1374),{"利用可","両方停止","運転がそろわない","判定不能"},0),"○","停","×","－"),"")</f>
        <v>－</v>
      </c>
      <c r="BG61" s="35" t="str">
        <f aca="false">IFERROR(CHOOSE(MATCH(INDEX(時間ごとの判定!$AW$3:$AW$1850,1375),{"利用可","両方停止","運転がそろわない","判定不能"},0),"○","停","×","－"),"")</f>
        <v>－</v>
      </c>
      <c r="BH61" s="35" t="str">
        <f aca="false">IFERROR(CHOOSE(MATCH(INDEX(時間ごとの判定!$AW$3:$AW$1850,1376),{"利用可","両方停止","運転がそろわない","判定不能"},0),"○","停","×","－"),"")</f>
        <v>－</v>
      </c>
      <c r="BI61" s="35" t="str">
        <f aca="false">IFERROR(CHOOSE(MATCH(INDEX(時間ごとの判定!$AW$3:$AW$1850,1377),{"利用可","両方停止","運転がそろわない","判定不能"},0),"○","停","×","－"),"")</f>
        <v>－</v>
      </c>
      <c r="BJ61" s="35" t="str">
        <f aca="false">IFERROR(CHOOSE(MATCH(INDEX(時間ごとの判定!$AW$3:$AW$1850,1378),{"利用可","両方停止","運転がそろわない","判定不能"},0),"○","停","×","－"),"")</f>
        <v>－</v>
      </c>
      <c r="BK61" s="35" t="str">
        <f aca="false">IFERROR(CHOOSE(MATCH(INDEX(時間ごとの判定!$AW$3:$AW$1850,1379),{"利用可","両方停止","運転がそろわない","判定不能"},0),"○","停","×","－"),"")</f>
        <v>－</v>
      </c>
      <c r="BL61" s="35" t="str">
        <f aca="false">IFERROR(CHOOSE(MATCH(INDEX(時間ごとの判定!$AW$3:$AW$1850,1380),{"利用可","両方停止","運転がそろわない","判定不能"},0),"○","停","×","－"),"")</f>
        <v>－</v>
      </c>
      <c r="BM61" s="35" t="str">
        <f aca="false">IFERROR(CHOOSE(MATCH(INDEX(時間ごとの判定!$AW$3:$AW$1850,1381),{"利用可","両方停止","運転がそろわない","判定不能"},0),"○","停","×","－"),"")</f>
        <v>－</v>
      </c>
      <c r="BN61" s="35" t="str">
        <f aca="false">IFERROR(CHOOSE(MATCH(INDEX(時間ごとの判定!$AW$3:$AW$1850,1382),{"利用可","両方停止","運転がそろわない","判定不能"},0),"○","停","×","－"),"")</f>
        <v>－</v>
      </c>
      <c r="BO61" s="35" t="str">
        <f aca="false">IFERROR(CHOOSE(MATCH(INDEX(時間ごとの判定!$AW$3:$AW$1850,1383),{"利用可","両方停止","運転がそろわない","判定不能"},0),"○","停","×","－"),"")</f>
        <v>－</v>
      </c>
      <c r="BP61" s="35" t="str">
        <f aca="false">IFERROR(CHOOSE(MATCH(INDEX(時間ごとの判定!$AW$3:$AW$1850,1384),{"利用可","両方停止","運転がそろわない","判定不能"},0),"○","停","×","－"),"")</f>
        <v>－</v>
      </c>
      <c r="BQ61" s="35" t="str">
        <f aca="false">IFERROR(CHOOSE(MATCH(INDEX(時間ごとの判定!$AW$3:$AW$1850,1385),{"利用可","両方停止","運転がそろわない","判定不能"},0),"○","停","×","－"),"")</f>
        <v>－</v>
      </c>
      <c r="BR61" s="35" t="str">
        <f aca="false">IFERROR(CHOOSE(MATCH(INDEX(時間ごとの判定!$AW$3:$AW$1850,1386),{"利用可","両方停止","運転がそろわない","判定不能"},0),"○","停","×","－"),"")</f>
        <v>－</v>
      </c>
      <c r="BS61" s="35" t="str">
        <f aca="false">IFERROR(CHOOSE(MATCH(INDEX(時間ごとの判定!$AW$3:$AW$1850,1387),{"利用可","両方停止","運転がそろわない","判定不能"},0),"○","停","×","－"),"")</f>
        <v>－</v>
      </c>
      <c r="BT61" s="35" t="str">
        <f aca="false">IFERROR(CHOOSE(MATCH(INDEX(時間ごとの判定!$AW$3:$AW$1850,1388),{"利用可","両方停止","運転がそろわない","判定不能"},0),"○","停","×","－"),"")</f>
        <v>－</v>
      </c>
      <c r="BU61" s="35" t="str">
        <f aca="false">IFERROR(CHOOSE(MATCH(INDEX(時間ごとの判定!$AW$3:$AW$1850,1389),{"利用可","両方停止","運転がそろわない","判定不能"},0),"○","停","×","－"),"")</f>
        <v>－</v>
      </c>
      <c r="BV61" s="35" t="str">
        <f aca="false">IFERROR(CHOOSE(MATCH(INDEX(時間ごとの判定!$AW$3:$AW$1850,1390),{"利用可","両方停止","運転がそろわない","判定不能"},0),"○","停","×","－"),"")</f>
        <v>－</v>
      </c>
      <c r="BW61" s="35" t="str">
        <f aca="false">IFERROR(CHOOSE(MATCH(INDEX(時間ごとの判定!$AW$3:$AW$1850,1391),{"利用可","両方停止","運転がそろわない","判定不能"},0),"○","停","×","－"),"")</f>
        <v>－</v>
      </c>
      <c r="BX61" s="35" t="str">
        <f aca="false">IFERROR(CHOOSE(MATCH(INDEX(時間ごとの判定!$AW$3:$AW$1850,1392),{"利用可","両方停止","運転がそろわない","判定不能"},0),"○","停","×","－"),"")</f>
        <v>－</v>
      </c>
    </row>
    <row r="62" customFormat="false" ht="15" hidden="false" customHeight="false" outlineLevel="0" collapsed="false">
      <c r="A62" s="33" t="n">
        <v>46290</v>
      </c>
      <c r="B62" s="34" t="s">
        <v>62</v>
      </c>
      <c r="C62" s="35" t="str">
        <f aca="false">IFERROR(CHOOSE(MATCH(INDEX(時間ごとの判定!$AQ$3:$AQ$1850,1393),{"利用可","両方停止","運転がそろわない","判定不能"},0),"○","停","×","－"),"")</f>
        <v>－</v>
      </c>
      <c r="D62" s="35" t="str">
        <f aca="false">IFERROR(CHOOSE(MATCH(INDEX(時間ごとの判定!$AQ$3:$AQ$1850,1394),{"利用可","両方停止","運転がそろわない","判定不能"},0),"○","停","×","－"),"")</f>
        <v>－</v>
      </c>
      <c r="E62" s="35" t="str">
        <f aca="false">IFERROR(CHOOSE(MATCH(INDEX(時間ごとの判定!$AQ$3:$AQ$1850,1395),{"利用可","両方停止","運転がそろわない","判定不能"},0),"○","停","×","－"),"")</f>
        <v>－</v>
      </c>
      <c r="F62" s="35" t="str">
        <f aca="false">IFERROR(CHOOSE(MATCH(INDEX(時間ごとの判定!$AQ$3:$AQ$1850,1396),{"利用可","両方停止","運転がそろわない","判定不能"},0),"○","停","×","－"),"")</f>
        <v>－</v>
      </c>
      <c r="G62" s="35" t="str">
        <f aca="false">IFERROR(CHOOSE(MATCH(INDEX(時間ごとの判定!$AQ$3:$AQ$1850,1397),{"利用可","両方停止","運転がそろわない","判定不能"},0),"○","停","×","－"),"")</f>
        <v>－</v>
      </c>
      <c r="H62" s="35" t="str">
        <f aca="false">IFERROR(CHOOSE(MATCH(INDEX(時間ごとの判定!$AQ$3:$AQ$1850,1398),{"利用可","両方停止","運転がそろわない","判定不能"},0),"○","停","×","－"),"")</f>
        <v>－</v>
      </c>
      <c r="I62" s="35" t="str">
        <f aca="false">IFERROR(CHOOSE(MATCH(INDEX(時間ごとの判定!$AQ$3:$AQ$1850,1399),{"利用可","両方停止","運転がそろわない","判定不能"},0),"○","停","×","－"),"")</f>
        <v>－</v>
      </c>
      <c r="J62" s="35" t="str">
        <f aca="false">IFERROR(CHOOSE(MATCH(INDEX(時間ごとの判定!$AQ$3:$AQ$1850,1400),{"利用可","両方停止","運転がそろわない","判定不能"},0),"○","停","×","－"),"")</f>
        <v>－</v>
      </c>
      <c r="K62" s="35" t="str">
        <f aca="false">IFERROR(CHOOSE(MATCH(INDEX(時間ごとの判定!$AQ$3:$AQ$1850,1401),{"利用可","両方停止","運転がそろわない","判定不能"},0),"○","停","×","－"),"")</f>
        <v>－</v>
      </c>
      <c r="L62" s="35" t="str">
        <f aca="false">IFERROR(CHOOSE(MATCH(INDEX(時間ごとの判定!$AQ$3:$AQ$1850,1402),{"利用可","両方停止","運転がそろわない","判定不能"},0),"○","停","×","－"),"")</f>
        <v>－</v>
      </c>
      <c r="M62" s="35" t="str">
        <f aca="false">IFERROR(CHOOSE(MATCH(INDEX(時間ごとの判定!$AQ$3:$AQ$1850,1403),{"利用可","両方停止","運転がそろわない","判定不能"},0),"○","停","×","－"),"")</f>
        <v>－</v>
      </c>
      <c r="N62" s="35" t="str">
        <f aca="false">IFERROR(CHOOSE(MATCH(INDEX(時間ごとの判定!$AQ$3:$AQ$1850,1404),{"利用可","両方停止","運転がそろわない","判定不能"},0),"○","停","×","－"),"")</f>
        <v>－</v>
      </c>
      <c r="O62" s="35" t="str">
        <f aca="false">IFERROR(CHOOSE(MATCH(INDEX(時間ごとの判定!$AQ$3:$AQ$1850,1405),{"利用可","両方停止","運転がそろわない","判定不能"},0),"○","停","×","－"),"")</f>
        <v>－</v>
      </c>
      <c r="P62" s="35" t="str">
        <f aca="false">IFERROR(CHOOSE(MATCH(INDEX(時間ごとの判定!$AQ$3:$AQ$1850,1406),{"利用可","両方停止","運転がそろわない","判定不能"},0),"○","停","×","－"),"")</f>
        <v>－</v>
      </c>
      <c r="Q62" s="35" t="str">
        <f aca="false">IFERROR(CHOOSE(MATCH(INDEX(時間ごとの判定!$AQ$3:$AQ$1850,1407),{"利用可","両方停止","運転がそろわない","判定不能"},0),"○","停","×","－"),"")</f>
        <v>－</v>
      </c>
      <c r="R62" s="35" t="str">
        <f aca="false">IFERROR(CHOOSE(MATCH(INDEX(時間ごとの判定!$AQ$3:$AQ$1850,1408),{"利用可","両方停止","運転がそろわない","判定不能"},0),"○","停","×","－"),"")</f>
        <v>－</v>
      </c>
      <c r="S62" s="35" t="str">
        <f aca="false">IFERROR(CHOOSE(MATCH(INDEX(時間ごとの判定!$AQ$3:$AQ$1850,1409),{"利用可","両方停止","運転がそろわない","判定不能"},0),"○","停","×","－"),"")</f>
        <v>－</v>
      </c>
      <c r="T62" s="35" t="str">
        <f aca="false">IFERROR(CHOOSE(MATCH(INDEX(時間ごとの判定!$AQ$3:$AQ$1850,1410),{"利用可","両方停止","運転がそろわない","判定不能"},0),"○","停","×","－"),"")</f>
        <v>－</v>
      </c>
      <c r="U62" s="35" t="str">
        <f aca="false">IFERROR(CHOOSE(MATCH(INDEX(時間ごとの判定!$AQ$3:$AQ$1850,1411),{"利用可","両方停止","運転がそろわない","判定不能"},0),"○","停","×","－"),"")</f>
        <v>－</v>
      </c>
      <c r="V62" s="35" t="str">
        <f aca="false">IFERROR(CHOOSE(MATCH(INDEX(時間ごとの判定!$AQ$3:$AQ$1850,1412),{"利用可","両方停止","運転がそろわない","判定不能"},0),"○","停","×","－"),"")</f>
        <v>－</v>
      </c>
      <c r="W62" s="35" t="str">
        <f aca="false">IFERROR(CHOOSE(MATCH(INDEX(時間ごとの判定!$AQ$3:$AQ$1850,1413),{"利用可","両方停止","運転がそろわない","判定不能"},0),"○","停","×","－"),"")</f>
        <v>－</v>
      </c>
      <c r="X62" s="35" t="str">
        <f aca="false">IFERROR(CHOOSE(MATCH(INDEX(時間ごとの判定!$AQ$3:$AQ$1850,1414),{"利用可","両方停止","運転がそろわない","判定不能"},0),"○","停","×","－"),"")</f>
        <v>－</v>
      </c>
      <c r="Y62" s="35" t="str">
        <f aca="false">IFERROR(CHOOSE(MATCH(INDEX(時間ごとの判定!$AQ$3:$AQ$1850,1415),{"利用可","両方停止","運転がそろわない","判定不能"},0),"○","停","×","－"),"")</f>
        <v>－</v>
      </c>
      <c r="Z62" s="35" t="str">
        <f aca="false">IFERROR(CHOOSE(MATCH(INDEX(時間ごとの判定!$AQ$3:$AQ$1850,1416),{"利用可","両方停止","運転がそろわない","判定不能"},0),"○","停","×","－"),"")</f>
        <v>－</v>
      </c>
      <c r="AA62" s="35"/>
      <c r="AB62" s="35" t="str">
        <f aca="false">IFERROR(CHOOSE(MATCH(INDEX(時間ごとの判定!$AT$3:$AT$1850,1393),{"利用可","両方停止","運転がそろわない","判定不能"},0),"○","停","×","－"),"")</f>
        <v>－</v>
      </c>
      <c r="AC62" s="35" t="str">
        <f aca="false">IFERROR(CHOOSE(MATCH(INDEX(時間ごとの判定!$AT$3:$AT$1850,1394),{"利用可","両方停止","運転がそろわない","判定不能"},0),"○","停","×","－"),"")</f>
        <v>－</v>
      </c>
      <c r="AD62" s="35" t="str">
        <f aca="false">IFERROR(CHOOSE(MATCH(INDEX(時間ごとの判定!$AT$3:$AT$1850,1395),{"利用可","両方停止","運転がそろわない","判定不能"},0),"○","停","×","－"),"")</f>
        <v>－</v>
      </c>
      <c r="AE62" s="35" t="str">
        <f aca="false">IFERROR(CHOOSE(MATCH(INDEX(時間ごとの判定!$AT$3:$AT$1850,1396),{"利用可","両方停止","運転がそろわない","判定不能"},0),"○","停","×","－"),"")</f>
        <v>－</v>
      </c>
      <c r="AF62" s="35" t="str">
        <f aca="false">IFERROR(CHOOSE(MATCH(INDEX(時間ごとの判定!$AT$3:$AT$1850,1397),{"利用可","両方停止","運転がそろわない","判定不能"},0),"○","停","×","－"),"")</f>
        <v>－</v>
      </c>
      <c r="AG62" s="35" t="str">
        <f aca="false">IFERROR(CHOOSE(MATCH(INDEX(時間ごとの判定!$AT$3:$AT$1850,1398),{"利用可","両方停止","運転がそろわない","判定不能"},0),"○","停","×","－"),"")</f>
        <v>－</v>
      </c>
      <c r="AH62" s="35" t="str">
        <f aca="false">IFERROR(CHOOSE(MATCH(INDEX(時間ごとの判定!$AT$3:$AT$1850,1399),{"利用可","両方停止","運転がそろわない","判定不能"},0),"○","停","×","－"),"")</f>
        <v>－</v>
      </c>
      <c r="AI62" s="35" t="str">
        <f aca="false">IFERROR(CHOOSE(MATCH(INDEX(時間ごとの判定!$AT$3:$AT$1850,1400),{"利用可","両方停止","運転がそろわない","判定不能"},0),"○","停","×","－"),"")</f>
        <v>－</v>
      </c>
      <c r="AJ62" s="35" t="str">
        <f aca="false">IFERROR(CHOOSE(MATCH(INDEX(時間ごとの判定!$AT$3:$AT$1850,1401),{"利用可","両方停止","運転がそろわない","判定不能"},0),"○","停","×","－"),"")</f>
        <v>－</v>
      </c>
      <c r="AK62" s="35" t="str">
        <f aca="false">IFERROR(CHOOSE(MATCH(INDEX(時間ごとの判定!$AT$3:$AT$1850,1402),{"利用可","両方停止","運転がそろわない","判定不能"},0),"○","停","×","－"),"")</f>
        <v>－</v>
      </c>
      <c r="AL62" s="35" t="str">
        <f aca="false">IFERROR(CHOOSE(MATCH(INDEX(時間ごとの判定!$AT$3:$AT$1850,1403),{"利用可","両方停止","運転がそろわない","判定不能"},0),"○","停","×","－"),"")</f>
        <v>－</v>
      </c>
      <c r="AM62" s="35" t="str">
        <f aca="false">IFERROR(CHOOSE(MATCH(INDEX(時間ごとの判定!$AT$3:$AT$1850,1404),{"利用可","両方停止","運転がそろわない","判定不能"},0),"○","停","×","－"),"")</f>
        <v>－</v>
      </c>
      <c r="AN62" s="35" t="str">
        <f aca="false">IFERROR(CHOOSE(MATCH(INDEX(時間ごとの判定!$AT$3:$AT$1850,1405),{"利用可","両方停止","運転がそろわない","判定不能"},0),"○","停","×","－"),"")</f>
        <v>－</v>
      </c>
      <c r="AO62" s="35" t="str">
        <f aca="false">IFERROR(CHOOSE(MATCH(INDEX(時間ごとの判定!$AT$3:$AT$1850,1406),{"利用可","両方停止","運転がそろわない","判定不能"},0),"○","停","×","－"),"")</f>
        <v>－</v>
      </c>
      <c r="AP62" s="35" t="str">
        <f aca="false">IFERROR(CHOOSE(MATCH(INDEX(時間ごとの判定!$AT$3:$AT$1850,1407),{"利用可","両方停止","運転がそろわない","判定不能"},0),"○","停","×","－"),"")</f>
        <v>－</v>
      </c>
      <c r="AQ62" s="35" t="str">
        <f aca="false">IFERROR(CHOOSE(MATCH(INDEX(時間ごとの判定!$AT$3:$AT$1850,1408),{"利用可","両方停止","運転がそろわない","判定不能"},0),"○","停","×","－"),"")</f>
        <v>－</v>
      </c>
      <c r="AR62" s="35" t="str">
        <f aca="false">IFERROR(CHOOSE(MATCH(INDEX(時間ごとの判定!$AT$3:$AT$1850,1409),{"利用可","両方停止","運転がそろわない","判定不能"},0),"○","停","×","－"),"")</f>
        <v>－</v>
      </c>
      <c r="AS62" s="35" t="str">
        <f aca="false">IFERROR(CHOOSE(MATCH(INDEX(時間ごとの判定!$AT$3:$AT$1850,1410),{"利用可","両方停止","運転がそろわない","判定不能"},0),"○","停","×","－"),"")</f>
        <v>－</v>
      </c>
      <c r="AT62" s="35" t="str">
        <f aca="false">IFERROR(CHOOSE(MATCH(INDEX(時間ごとの判定!$AT$3:$AT$1850,1411),{"利用可","両方停止","運転がそろわない","判定不能"},0),"○","停","×","－"),"")</f>
        <v>－</v>
      </c>
      <c r="AU62" s="35" t="str">
        <f aca="false">IFERROR(CHOOSE(MATCH(INDEX(時間ごとの判定!$AT$3:$AT$1850,1412),{"利用可","両方停止","運転がそろわない","判定不能"},0),"○","停","×","－"),"")</f>
        <v>－</v>
      </c>
      <c r="AV62" s="35" t="str">
        <f aca="false">IFERROR(CHOOSE(MATCH(INDEX(時間ごとの判定!$AT$3:$AT$1850,1413),{"利用可","両方停止","運転がそろわない","判定不能"},0),"○","停","×","－"),"")</f>
        <v>－</v>
      </c>
      <c r="AW62" s="35" t="str">
        <f aca="false">IFERROR(CHOOSE(MATCH(INDEX(時間ごとの判定!$AT$3:$AT$1850,1414),{"利用可","両方停止","運転がそろわない","判定不能"},0),"○","停","×","－"),"")</f>
        <v>－</v>
      </c>
      <c r="AX62" s="35" t="str">
        <f aca="false">IFERROR(CHOOSE(MATCH(INDEX(時間ごとの判定!$AT$3:$AT$1850,1415),{"利用可","両方停止","運転がそろわない","判定不能"},0),"○","停","×","－"),"")</f>
        <v>－</v>
      </c>
      <c r="AY62" s="35" t="str">
        <f aca="false">IFERROR(CHOOSE(MATCH(INDEX(時間ごとの判定!$AT$3:$AT$1850,1416),{"利用可","両方停止","運転がそろわない","判定不能"},0),"○","停","×","－"),"")</f>
        <v>－</v>
      </c>
      <c r="AZ62" s="35"/>
      <c r="BA62" s="35" t="str">
        <f aca="false">IFERROR(CHOOSE(MATCH(INDEX(時間ごとの判定!$AW$3:$AW$1850,1393),{"利用可","両方停止","運転がそろわない","判定不能"},0),"○","停","×","－"),"")</f>
        <v>－</v>
      </c>
      <c r="BB62" s="35" t="str">
        <f aca="false">IFERROR(CHOOSE(MATCH(INDEX(時間ごとの判定!$AW$3:$AW$1850,1394),{"利用可","両方停止","運転がそろわない","判定不能"},0),"○","停","×","－"),"")</f>
        <v>－</v>
      </c>
      <c r="BC62" s="35" t="str">
        <f aca="false">IFERROR(CHOOSE(MATCH(INDEX(時間ごとの判定!$AW$3:$AW$1850,1395),{"利用可","両方停止","運転がそろわない","判定不能"},0),"○","停","×","－"),"")</f>
        <v>－</v>
      </c>
      <c r="BD62" s="35" t="str">
        <f aca="false">IFERROR(CHOOSE(MATCH(INDEX(時間ごとの判定!$AW$3:$AW$1850,1396),{"利用可","両方停止","運転がそろわない","判定不能"},0),"○","停","×","－"),"")</f>
        <v>－</v>
      </c>
      <c r="BE62" s="35" t="str">
        <f aca="false">IFERROR(CHOOSE(MATCH(INDEX(時間ごとの判定!$AW$3:$AW$1850,1397),{"利用可","両方停止","運転がそろわない","判定不能"},0),"○","停","×","－"),"")</f>
        <v>－</v>
      </c>
      <c r="BF62" s="35" t="str">
        <f aca="false">IFERROR(CHOOSE(MATCH(INDEX(時間ごとの判定!$AW$3:$AW$1850,1398),{"利用可","両方停止","運転がそろわない","判定不能"},0),"○","停","×","－"),"")</f>
        <v>－</v>
      </c>
      <c r="BG62" s="35" t="str">
        <f aca="false">IFERROR(CHOOSE(MATCH(INDEX(時間ごとの判定!$AW$3:$AW$1850,1399),{"利用可","両方停止","運転がそろわない","判定不能"},0),"○","停","×","－"),"")</f>
        <v>－</v>
      </c>
      <c r="BH62" s="35" t="str">
        <f aca="false">IFERROR(CHOOSE(MATCH(INDEX(時間ごとの判定!$AW$3:$AW$1850,1400),{"利用可","両方停止","運転がそろわない","判定不能"},0),"○","停","×","－"),"")</f>
        <v>－</v>
      </c>
      <c r="BI62" s="35" t="str">
        <f aca="false">IFERROR(CHOOSE(MATCH(INDEX(時間ごとの判定!$AW$3:$AW$1850,1401),{"利用可","両方停止","運転がそろわない","判定不能"},0),"○","停","×","－"),"")</f>
        <v>－</v>
      </c>
      <c r="BJ62" s="35" t="str">
        <f aca="false">IFERROR(CHOOSE(MATCH(INDEX(時間ごとの判定!$AW$3:$AW$1850,1402),{"利用可","両方停止","運転がそろわない","判定不能"},0),"○","停","×","－"),"")</f>
        <v>－</v>
      </c>
      <c r="BK62" s="35" t="str">
        <f aca="false">IFERROR(CHOOSE(MATCH(INDEX(時間ごとの判定!$AW$3:$AW$1850,1403),{"利用可","両方停止","運転がそろわない","判定不能"},0),"○","停","×","－"),"")</f>
        <v>－</v>
      </c>
      <c r="BL62" s="35" t="str">
        <f aca="false">IFERROR(CHOOSE(MATCH(INDEX(時間ごとの判定!$AW$3:$AW$1850,1404),{"利用可","両方停止","運転がそろわない","判定不能"},0),"○","停","×","－"),"")</f>
        <v>－</v>
      </c>
      <c r="BM62" s="35" t="str">
        <f aca="false">IFERROR(CHOOSE(MATCH(INDEX(時間ごとの判定!$AW$3:$AW$1850,1405),{"利用可","両方停止","運転がそろわない","判定不能"},0),"○","停","×","－"),"")</f>
        <v>－</v>
      </c>
      <c r="BN62" s="35" t="str">
        <f aca="false">IFERROR(CHOOSE(MATCH(INDEX(時間ごとの判定!$AW$3:$AW$1850,1406),{"利用可","両方停止","運転がそろわない","判定不能"},0),"○","停","×","－"),"")</f>
        <v>－</v>
      </c>
      <c r="BO62" s="35" t="str">
        <f aca="false">IFERROR(CHOOSE(MATCH(INDEX(時間ごとの判定!$AW$3:$AW$1850,1407),{"利用可","両方停止","運転がそろわない","判定不能"},0),"○","停","×","－"),"")</f>
        <v>－</v>
      </c>
      <c r="BP62" s="35" t="str">
        <f aca="false">IFERROR(CHOOSE(MATCH(INDEX(時間ごとの判定!$AW$3:$AW$1850,1408),{"利用可","両方停止","運転がそろわない","判定不能"},0),"○","停","×","－"),"")</f>
        <v>－</v>
      </c>
      <c r="BQ62" s="35" t="str">
        <f aca="false">IFERROR(CHOOSE(MATCH(INDEX(時間ごとの判定!$AW$3:$AW$1850,1409),{"利用可","両方停止","運転がそろわない","判定不能"},0),"○","停","×","－"),"")</f>
        <v>－</v>
      </c>
      <c r="BR62" s="35" t="str">
        <f aca="false">IFERROR(CHOOSE(MATCH(INDEX(時間ごとの判定!$AW$3:$AW$1850,1410),{"利用可","両方停止","運転がそろわない","判定不能"},0),"○","停","×","－"),"")</f>
        <v>－</v>
      </c>
      <c r="BS62" s="35" t="str">
        <f aca="false">IFERROR(CHOOSE(MATCH(INDEX(時間ごとの判定!$AW$3:$AW$1850,1411),{"利用可","両方停止","運転がそろわない","判定不能"},0),"○","停","×","－"),"")</f>
        <v>－</v>
      </c>
      <c r="BT62" s="35" t="str">
        <f aca="false">IFERROR(CHOOSE(MATCH(INDEX(時間ごとの判定!$AW$3:$AW$1850,1412),{"利用可","両方停止","運転がそろわない","判定不能"},0),"○","停","×","－"),"")</f>
        <v>－</v>
      </c>
      <c r="BU62" s="35" t="str">
        <f aca="false">IFERROR(CHOOSE(MATCH(INDEX(時間ごとの判定!$AW$3:$AW$1850,1413),{"利用可","両方停止","運転がそろわない","判定不能"},0),"○","停","×","－"),"")</f>
        <v>－</v>
      </c>
      <c r="BV62" s="35" t="str">
        <f aca="false">IFERROR(CHOOSE(MATCH(INDEX(時間ごとの判定!$AW$3:$AW$1850,1414),{"利用可","両方停止","運転がそろわない","判定不能"},0),"○","停","×","－"),"")</f>
        <v>－</v>
      </c>
      <c r="BW62" s="35" t="str">
        <f aca="false">IFERROR(CHOOSE(MATCH(INDEX(時間ごとの判定!$AW$3:$AW$1850,1415),{"利用可","両方停止","運転がそろわない","判定不能"},0),"○","停","×","－"),"")</f>
        <v>－</v>
      </c>
      <c r="BX62" s="35" t="str">
        <f aca="false">IFERROR(CHOOSE(MATCH(INDEX(時間ごとの判定!$AW$3:$AW$1850,1416),{"利用可","両方停止","運転がそろわない","判定不能"},0),"○","停","×","－"),"")</f>
        <v>－</v>
      </c>
    </row>
    <row r="63" customFormat="false" ht="15" hidden="false" customHeight="false" outlineLevel="0" collapsed="false">
      <c r="A63" s="33" t="n">
        <v>46291</v>
      </c>
      <c r="B63" s="36" t="s">
        <v>63</v>
      </c>
      <c r="C63" s="35" t="str">
        <f aca="false">IFERROR(CHOOSE(MATCH(INDEX(時間ごとの判定!$AQ$3:$AQ$1850,1417),{"利用可","両方停止","運転がそろわない","判定不能"},0),"○","停","×","－"),"")</f>
        <v>－</v>
      </c>
      <c r="D63" s="35" t="str">
        <f aca="false">IFERROR(CHOOSE(MATCH(INDEX(時間ごとの判定!$AQ$3:$AQ$1850,1418),{"利用可","両方停止","運転がそろわない","判定不能"},0),"○","停","×","－"),"")</f>
        <v>－</v>
      </c>
      <c r="E63" s="35" t="str">
        <f aca="false">IFERROR(CHOOSE(MATCH(INDEX(時間ごとの判定!$AQ$3:$AQ$1850,1419),{"利用可","両方停止","運転がそろわない","判定不能"},0),"○","停","×","－"),"")</f>
        <v>－</v>
      </c>
      <c r="F63" s="35" t="str">
        <f aca="false">IFERROR(CHOOSE(MATCH(INDEX(時間ごとの判定!$AQ$3:$AQ$1850,1420),{"利用可","両方停止","運転がそろわない","判定不能"},0),"○","停","×","－"),"")</f>
        <v>－</v>
      </c>
      <c r="G63" s="35" t="str">
        <f aca="false">IFERROR(CHOOSE(MATCH(INDEX(時間ごとの判定!$AQ$3:$AQ$1850,1421),{"利用可","両方停止","運転がそろわない","判定不能"},0),"○","停","×","－"),"")</f>
        <v>－</v>
      </c>
      <c r="H63" s="35" t="str">
        <f aca="false">IFERROR(CHOOSE(MATCH(INDEX(時間ごとの判定!$AQ$3:$AQ$1850,1422),{"利用可","両方停止","運転がそろわない","判定不能"},0),"○","停","×","－"),"")</f>
        <v>－</v>
      </c>
      <c r="I63" s="35" t="str">
        <f aca="false">IFERROR(CHOOSE(MATCH(INDEX(時間ごとの判定!$AQ$3:$AQ$1850,1423),{"利用可","両方停止","運転がそろわない","判定不能"},0),"○","停","×","－"),"")</f>
        <v>－</v>
      </c>
      <c r="J63" s="35" t="str">
        <f aca="false">IFERROR(CHOOSE(MATCH(INDEX(時間ごとの判定!$AQ$3:$AQ$1850,1424),{"利用可","両方停止","運転がそろわない","判定不能"},0),"○","停","×","－"),"")</f>
        <v>－</v>
      </c>
      <c r="K63" s="35" t="str">
        <f aca="false">IFERROR(CHOOSE(MATCH(INDEX(時間ごとの判定!$AQ$3:$AQ$1850,1425),{"利用可","両方停止","運転がそろわない","判定不能"},0),"○","停","×","－"),"")</f>
        <v>－</v>
      </c>
      <c r="L63" s="35" t="str">
        <f aca="false">IFERROR(CHOOSE(MATCH(INDEX(時間ごとの判定!$AQ$3:$AQ$1850,1426),{"利用可","両方停止","運転がそろわない","判定不能"},0),"○","停","×","－"),"")</f>
        <v>－</v>
      </c>
      <c r="M63" s="35" t="str">
        <f aca="false">IFERROR(CHOOSE(MATCH(INDEX(時間ごとの判定!$AQ$3:$AQ$1850,1427),{"利用可","両方停止","運転がそろわない","判定不能"},0),"○","停","×","－"),"")</f>
        <v>－</v>
      </c>
      <c r="N63" s="35" t="str">
        <f aca="false">IFERROR(CHOOSE(MATCH(INDEX(時間ごとの判定!$AQ$3:$AQ$1850,1428),{"利用可","両方停止","運転がそろわない","判定不能"},0),"○","停","×","－"),"")</f>
        <v>－</v>
      </c>
      <c r="O63" s="35" t="str">
        <f aca="false">IFERROR(CHOOSE(MATCH(INDEX(時間ごとの判定!$AQ$3:$AQ$1850,1429),{"利用可","両方停止","運転がそろわない","判定不能"},0),"○","停","×","－"),"")</f>
        <v>－</v>
      </c>
      <c r="P63" s="35" t="str">
        <f aca="false">IFERROR(CHOOSE(MATCH(INDEX(時間ごとの判定!$AQ$3:$AQ$1850,1430),{"利用可","両方停止","運転がそろわない","判定不能"},0),"○","停","×","－"),"")</f>
        <v>－</v>
      </c>
      <c r="Q63" s="35" t="str">
        <f aca="false">IFERROR(CHOOSE(MATCH(INDEX(時間ごとの判定!$AQ$3:$AQ$1850,1431),{"利用可","両方停止","運転がそろわない","判定不能"},0),"○","停","×","－"),"")</f>
        <v>－</v>
      </c>
      <c r="R63" s="35" t="str">
        <f aca="false">IFERROR(CHOOSE(MATCH(INDEX(時間ごとの判定!$AQ$3:$AQ$1850,1432),{"利用可","両方停止","運転がそろわない","判定不能"},0),"○","停","×","－"),"")</f>
        <v>－</v>
      </c>
      <c r="S63" s="35" t="str">
        <f aca="false">IFERROR(CHOOSE(MATCH(INDEX(時間ごとの判定!$AQ$3:$AQ$1850,1433),{"利用可","両方停止","運転がそろわない","判定不能"},0),"○","停","×","－"),"")</f>
        <v>－</v>
      </c>
      <c r="T63" s="35" t="str">
        <f aca="false">IFERROR(CHOOSE(MATCH(INDEX(時間ごとの判定!$AQ$3:$AQ$1850,1434),{"利用可","両方停止","運転がそろわない","判定不能"},0),"○","停","×","－"),"")</f>
        <v>－</v>
      </c>
      <c r="U63" s="35" t="str">
        <f aca="false">IFERROR(CHOOSE(MATCH(INDEX(時間ごとの判定!$AQ$3:$AQ$1850,1435),{"利用可","両方停止","運転がそろわない","判定不能"},0),"○","停","×","－"),"")</f>
        <v>－</v>
      </c>
      <c r="V63" s="35" t="str">
        <f aca="false">IFERROR(CHOOSE(MATCH(INDEX(時間ごとの判定!$AQ$3:$AQ$1850,1436),{"利用可","両方停止","運転がそろわない","判定不能"},0),"○","停","×","－"),"")</f>
        <v>－</v>
      </c>
      <c r="W63" s="35" t="str">
        <f aca="false">IFERROR(CHOOSE(MATCH(INDEX(時間ごとの判定!$AQ$3:$AQ$1850,1437),{"利用可","両方停止","運転がそろわない","判定不能"},0),"○","停","×","－"),"")</f>
        <v>－</v>
      </c>
      <c r="X63" s="35" t="str">
        <f aca="false">IFERROR(CHOOSE(MATCH(INDEX(時間ごとの判定!$AQ$3:$AQ$1850,1438),{"利用可","両方停止","運転がそろわない","判定不能"},0),"○","停","×","－"),"")</f>
        <v>－</v>
      </c>
      <c r="Y63" s="35" t="str">
        <f aca="false">IFERROR(CHOOSE(MATCH(INDEX(時間ごとの判定!$AQ$3:$AQ$1850,1439),{"利用可","両方停止","運転がそろわない","判定不能"},0),"○","停","×","－"),"")</f>
        <v>－</v>
      </c>
      <c r="Z63" s="35" t="str">
        <f aca="false">IFERROR(CHOOSE(MATCH(INDEX(時間ごとの判定!$AQ$3:$AQ$1850,1440),{"利用可","両方停止","運転がそろわない","判定不能"},0),"○","停","×","－"),"")</f>
        <v>－</v>
      </c>
      <c r="AA63" s="35"/>
      <c r="AB63" s="35" t="str">
        <f aca="false">IFERROR(CHOOSE(MATCH(INDEX(時間ごとの判定!$AT$3:$AT$1850,1417),{"利用可","両方停止","運転がそろわない","判定不能"},0),"○","停","×","－"),"")</f>
        <v>－</v>
      </c>
      <c r="AC63" s="35" t="str">
        <f aca="false">IFERROR(CHOOSE(MATCH(INDEX(時間ごとの判定!$AT$3:$AT$1850,1418),{"利用可","両方停止","運転がそろわない","判定不能"},0),"○","停","×","－"),"")</f>
        <v>－</v>
      </c>
      <c r="AD63" s="35" t="str">
        <f aca="false">IFERROR(CHOOSE(MATCH(INDEX(時間ごとの判定!$AT$3:$AT$1850,1419),{"利用可","両方停止","運転がそろわない","判定不能"},0),"○","停","×","－"),"")</f>
        <v>－</v>
      </c>
      <c r="AE63" s="35" t="str">
        <f aca="false">IFERROR(CHOOSE(MATCH(INDEX(時間ごとの判定!$AT$3:$AT$1850,1420),{"利用可","両方停止","運転がそろわない","判定不能"},0),"○","停","×","－"),"")</f>
        <v>－</v>
      </c>
      <c r="AF63" s="35" t="str">
        <f aca="false">IFERROR(CHOOSE(MATCH(INDEX(時間ごとの判定!$AT$3:$AT$1850,1421),{"利用可","両方停止","運転がそろわない","判定不能"},0),"○","停","×","－"),"")</f>
        <v>－</v>
      </c>
      <c r="AG63" s="35" t="str">
        <f aca="false">IFERROR(CHOOSE(MATCH(INDEX(時間ごとの判定!$AT$3:$AT$1850,1422),{"利用可","両方停止","運転がそろわない","判定不能"},0),"○","停","×","－"),"")</f>
        <v>－</v>
      </c>
      <c r="AH63" s="35" t="str">
        <f aca="false">IFERROR(CHOOSE(MATCH(INDEX(時間ごとの判定!$AT$3:$AT$1850,1423),{"利用可","両方停止","運転がそろわない","判定不能"},0),"○","停","×","－"),"")</f>
        <v>－</v>
      </c>
      <c r="AI63" s="35" t="str">
        <f aca="false">IFERROR(CHOOSE(MATCH(INDEX(時間ごとの判定!$AT$3:$AT$1850,1424),{"利用可","両方停止","運転がそろわない","判定不能"},0),"○","停","×","－"),"")</f>
        <v>－</v>
      </c>
      <c r="AJ63" s="35" t="str">
        <f aca="false">IFERROR(CHOOSE(MATCH(INDEX(時間ごとの判定!$AT$3:$AT$1850,1425),{"利用可","両方停止","運転がそろわない","判定不能"},0),"○","停","×","－"),"")</f>
        <v>－</v>
      </c>
      <c r="AK63" s="35" t="str">
        <f aca="false">IFERROR(CHOOSE(MATCH(INDEX(時間ごとの判定!$AT$3:$AT$1850,1426),{"利用可","両方停止","運転がそろわない","判定不能"},0),"○","停","×","－"),"")</f>
        <v>－</v>
      </c>
      <c r="AL63" s="35" t="str">
        <f aca="false">IFERROR(CHOOSE(MATCH(INDEX(時間ごとの判定!$AT$3:$AT$1850,1427),{"利用可","両方停止","運転がそろわない","判定不能"},0),"○","停","×","－"),"")</f>
        <v>－</v>
      </c>
      <c r="AM63" s="35" t="str">
        <f aca="false">IFERROR(CHOOSE(MATCH(INDEX(時間ごとの判定!$AT$3:$AT$1850,1428),{"利用可","両方停止","運転がそろわない","判定不能"},0),"○","停","×","－"),"")</f>
        <v>－</v>
      </c>
      <c r="AN63" s="35" t="str">
        <f aca="false">IFERROR(CHOOSE(MATCH(INDEX(時間ごとの判定!$AT$3:$AT$1850,1429),{"利用可","両方停止","運転がそろわない","判定不能"},0),"○","停","×","－"),"")</f>
        <v>－</v>
      </c>
      <c r="AO63" s="35" t="str">
        <f aca="false">IFERROR(CHOOSE(MATCH(INDEX(時間ごとの判定!$AT$3:$AT$1850,1430),{"利用可","両方停止","運転がそろわない","判定不能"},0),"○","停","×","－"),"")</f>
        <v>－</v>
      </c>
      <c r="AP63" s="35" t="str">
        <f aca="false">IFERROR(CHOOSE(MATCH(INDEX(時間ごとの判定!$AT$3:$AT$1850,1431),{"利用可","両方停止","運転がそろわない","判定不能"},0),"○","停","×","－"),"")</f>
        <v>－</v>
      </c>
      <c r="AQ63" s="35" t="str">
        <f aca="false">IFERROR(CHOOSE(MATCH(INDEX(時間ごとの判定!$AT$3:$AT$1850,1432),{"利用可","両方停止","運転がそろわない","判定不能"},0),"○","停","×","－"),"")</f>
        <v>－</v>
      </c>
      <c r="AR63" s="35" t="str">
        <f aca="false">IFERROR(CHOOSE(MATCH(INDEX(時間ごとの判定!$AT$3:$AT$1850,1433),{"利用可","両方停止","運転がそろわない","判定不能"},0),"○","停","×","－"),"")</f>
        <v>－</v>
      </c>
      <c r="AS63" s="35" t="str">
        <f aca="false">IFERROR(CHOOSE(MATCH(INDEX(時間ごとの判定!$AT$3:$AT$1850,1434),{"利用可","両方停止","運転がそろわない","判定不能"},0),"○","停","×","－"),"")</f>
        <v>－</v>
      </c>
      <c r="AT63" s="35" t="str">
        <f aca="false">IFERROR(CHOOSE(MATCH(INDEX(時間ごとの判定!$AT$3:$AT$1850,1435),{"利用可","両方停止","運転がそろわない","判定不能"},0),"○","停","×","－"),"")</f>
        <v>－</v>
      </c>
      <c r="AU63" s="35" t="str">
        <f aca="false">IFERROR(CHOOSE(MATCH(INDEX(時間ごとの判定!$AT$3:$AT$1850,1436),{"利用可","両方停止","運転がそろわない","判定不能"},0),"○","停","×","－"),"")</f>
        <v>－</v>
      </c>
      <c r="AV63" s="35" t="str">
        <f aca="false">IFERROR(CHOOSE(MATCH(INDEX(時間ごとの判定!$AT$3:$AT$1850,1437),{"利用可","両方停止","運転がそろわない","判定不能"},0),"○","停","×","－"),"")</f>
        <v>－</v>
      </c>
      <c r="AW63" s="35" t="str">
        <f aca="false">IFERROR(CHOOSE(MATCH(INDEX(時間ごとの判定!$AT$3:$AT$1850,1438),{"利用可","両方停止","運転がそろわない","判定不能"},0),"○","停","×","－"),"")</f>
        <v>－</v>
      </c>
      <c r="AX63" s="35" t="str">
        <f aca="false">IFERROR(CHOOSE(MATCH(INDEX(時間ごとの判定!$AT$3:$AT$1850,1439),{"利用可","両方停止","運転がそろわない","判定不能"},0),"○","停","×","－"),"")</f>
        <v>－</v>
      </c>
      <c r="AY63" s="35" t="str">
        <f aca="false">IFERROR(CHOOSE(MATCH(INDEX(時間ごとの判定!$AT$3:$AT$1850,1440),{"利用可","両方停止","運転がそろわない","判定不能"},0),"○","停","×","－"),"")</f>
        <v>－</v>
      </c>
      <c r="AZ63" s="35"/>
      <c r="BA63" s="35" t="str">
        <f aca="false">IFERROR(CHOOSE(MATCH(INDEX(時間ごとの判定!$AW$3:$AW$1850,1417),{"利用可","両方停止","運転がそろわない","判定不能"},0),"○","停","×","－"),"")</f>
        <v>－</v>
      </c>
      <c r="BB63" s="35" t="str">
        <f aca="false">IFERROR(CHOOSE(MATCH(INDEX(時間ごとの判定!$AW$3:$AW$1850,1418),{"利用可","両方停止","運転がそろわない","判定不能"},0),"○","停","×","－"),"")</f>
        <v>－</v>
      </c>
      <c r="BC63" s="35" t="str">
        <f aca="false">IFERROR(CHOOSE(MATCH(INDEX(時間ごとの判定!$AW$3:$AW$1850,1419),{"利用可","両方停止","運転がそろわない","判定不能"},0),"○","停","×","－"),"")</f>
        <v>－</v>
      </c>
      <c r="BD63" s="35" t="str">
        <f aca="false">IFERROR(CHOOSE(MATCH(INDEX(時間ごとの判定!$AW$3:$AW$1850,1420),{"利用可","両方停止","運転がそろわない","判定不能"},0),"○","停","×","－"),"")</f>
        <v>－</v>
      </c>
      <c r="BE63" s="35" t="str">
        <f aca="false">IFERROR(CHOOSE(MATCH(INDEX(時間ごとの判定!$AW$3:$AW$1850,1421),{"利用可","両方停止","運転がそろわない","判定不能"},0),"○","停","×","－"),"")</f>
        <v>－</v>
      </c>
      <c r="BF63" s="35" t="str">
        <f aca="false">IFERROR(CHOOSE(MATCH(INDEX(時間ごとの判定!$AW$3:$AW$1850,1422),{"利用可","両方停止","運転がそろわない","判定不能"},0),"○","停","×","－"),"")</f>
        <v>－</v>
      </c>
      <c r="BG63" s="35" t="str">
        <f aca="false">IFERROR(CHOOSE(MATCH(INDEX(時間ごとの判定!$AW$3:$AW$1850,1423),{"利用可","両方停止","運転がそろわない","判定不能"},0),"○","停","×","－"),"")</f>
        <v>－</v>
      </c>
      <c r="BH63" s="35" t="str">
        <f aca="false">IFERROR(CHOOSE(MATCH(INDEX(時間ごとの判定!$AW$3:$AW$1850,1424),{"利用可","両方停止","運転がそろわない","判定不能"},0),"○","停","×","－"),"")</f>
        <v>－</v>
      </c>
      <c r="BI63" s="35" t="str">
        <f aca="false">IFERROR(CHOOSE(MATCH(INDEX(時間ごとの判定!$AW$3:$AW$1850,1425),{"利用可","両方停止","運転がそろわない","判定不能"},0),"○","停","×","－"),"")</f>
        <v>－</v>
      </c>
      <c r="BJ63" s="35" t="str">
        <f aca="false">IFERROR(CHOOSE(MATCH(INDEX(時間ごとの判定!$AW$3:$AW$1850,1426),{"利用可","両方停止","運転がそろわない","判定不能"},0),"○","停","×","－"),"")</f>
        <v>－</v>
      </c>
      <c r="BK63" s="35" t="str">
        <f aca="false">IFERROR(CHOOSE(MATCH(INDEX(時間ごとの判定!$AW$3:$AW$1850,1427),{"利用可","両方停止","運転がそろわない","判定不能"},0),"○","停","×","－"),"")</f>
        <v>－</v>
      </c>
      <c r="BL63" s="35" t="str">
        <f aca="false">IFERROR(CHOOSE(MATCH(INDEX(時間ごとの判定!$AW$3:$AW$1850,1428),{"利用可","両方停止","運転がそろわない","判定不能"},0),"○","停","×","－"),"")</f>
        <v>－</v>
      </c>
      <c r="BM63" s="35" t="str">
        <f aca="false">IFERROR(CHOOSE(MATCH(INDEX(時間ごとの判定!$AW$3:$AW$1850,1429),{"利用可","両方停止","運転がそろわない","判定不能"},0),"○","停","×","－"),"")</f>
        <v>－</v>
      </c>
      <c r="BN63" s="35" t="str">
        <f aca="false">IFERROR(CHOOSE(MATCH(INDEX(時間ごとの判定!$AW$3:$AW$1850,1430),{"利用可","両方停止","運転がそろわない","判定不能"},0),"○","停","×","－"),"")</f>
        <v>－</v>
      </c>
      <c r="BO63" s="35" t="str">
        <f aca="false">IFERROR(CHOOSE(MATCH(INDEX(時間ごとの判定!$AW$3:$AW$1850,1431),{"利用可","両方停止","運転がそろわない","判定不能"},0),"○","停","×","－"),"")</f>
        <v>－</v>
      </c>
      <c r="BP63" s="35" t="str">
        <f aca="false">IFERROR(CHOOSE(MATCH(INDEX(時間ごとの判定!$AW$3:$AW$1850,1432),{"利用可","両方停止","運転がそろわない","判定不能"},0),"○","停","×","－"),"")</f>
        <v>－</v>
      </c>
      <c r="BQ63" s="35" t="str">
        <f aca="false">IFERROR(CHOOSE(MATCH(INDEX(時間ごとの判定!$AW$3:$AW$1850,1433),{"利用可","両方停止","運転がそろわない","判定不能"},0),"○","停","×","－"),"")</f>
        <v>－</v>
      </c>
      <c r="BR63" s="35" t="str">
        <f aca="false">IFERROR(CHOOSE(MATCH(INDEX(時間ごとの判定!$AW$3:$AW$1850,1434),{"利用可","両方停止","運転がそろわない","判定不能"},0),"○","停","×","－"),"")</f>
        <v>－</v>
      </c>
      <c r="BS63" s="35" t="str">
        <f aca="false">IFERROR(CHOOSE(MATCH(INDEX(時間ごとの判定!$AW$3:$AW$1850,1435),{"利用可","両方停止","運転がそろわない","判定不能"},0),"○","停","×","－"),"")</f>
        <v>－</v>
      </c>
      <c r="BT63" s="35" t="str">
        <f aca="false">IFERROR(CHOOSE(MATCH(INDEX(時間ごとの判定!$AW$3:$AW$1850,1436),{"利用可","両方停止","運転がそろわない","判定不能"},0),"○","停","×","－"),"")</f>
        <v>－</v>
      </c>
      <c r="BU63" s="35" t="str">
        <f aca="false">IFERROR(CHOOSE(MATCH(INDEX(時間ごとの判定!$AW$3:$AW$1850,1437),{"利用可","両方停止","運転がそろわない","判定不能"},0),"○","停","×","－"),"")</f>
        <v>－</v>
      </c>
      <c r="BV63" s="35" t="str">
        <f aca="false">IFERROR(CHOOSE(MATCH(INDEX(時間ごとの判定!$AW$3:$AW$1850,1438),{"利用可","両方停止","運転がそろわない","判定不能"},0),"○","停","×","－"),"")</f>
        <v>－</v>
      </c>
      <c r="BW63" s="35" t="str">
        <f aca="false">IFERROR(CHOOSE(MATCH(INDEX(時間ごとの判定!$AW$3:$AW$1850,1439),{"利用可","両方停止","運転がそろわない","判定不能"},0),"○","停","×","－"),"")</f>
        <v>－</v>
      </c>
      <c r="BX63" s="35" t="str">
        <f aca="false">IFERROR(CHOOSE(MATCH(INDEX(時間ごとの判定!$AW$3:$AW$1850,1440),{"利用可","両方停止","運転がそろわない","判定不能"},0),"○","停","×","－"),"")</f>
        <v>－</v>
      </c>
    </row>
    <row r="64" customFormat="false" ht="15" hidden="false" customHeight="false" outlineLevel="0" collapsed="false">
      <c r="A64" s="33" t="n">
        <v>46292</v>
      </c>
      <c r="B64" s="36" t="s">
        <v>65</v>
      </c>
      <c r="C64" s="35" t="str">
        <f aca="false">IFERROR(CHOOSE(MATCH(INDEX(時間ごとの判定!$AQ$3:$AQ$1850,1441),{"利用可","両方停止","運転がそろわない","判定不能"},0),"○","停","×","－"),"")</f>
        <v>－</v>
      </c>
      <c r="D64" s="35" t="str">
        <f aca="false">IFERROR(CHOOSE(MATCH(INDEX(時間ごとの判定!$AQ$3:$AQ$1850,1442),{"利用可","両方停止","運転がそろわない","判定不能"},0),"○","停","×","－"),"")</f>
        <v>－</v>
      </c>
      <c r="E64" s="35" t="str">
        <f aca="false">IFERROR(CHOOSE(MATCH(INDEX(時間ごとの判定!$AQ$3:$AQ$1850,1443),{"利用可","両方停止","運転がそろわない","判定不能"},0),"○","停","×","－"),"")</f>
        <v>－</v>
      </c>
      <c r="F64" s="35" t="str">
        <f aca="false">IFERROR(CHOOSE(MATCH(INDEX(時間ごとの判定!$AQ$3:$AQ$1850,1444),{"利用可","両方停止","運転がそろわない","判定不能"},0),"○","停","×","－"),"")</f>
        <v>－</v>
      </c>
      <c r="G64" s="35" t="str">
        <f aca="false">IFERROR(CHOOSE(MATCH(INDEX(時間ごとの判定!$AQ$3:$AQ$1850,1445),{"利用可","両方停止","運転がそろわない","判定不能"},0),"○","停","×","－"),"")</f>
        <v>－</v>
      </c>
      <c r="H64" s="35" t="str">
        <f aca="false">IFERROR(CHOOSE(MATCH(INDEX(時間ごとの判定!$AQ$3:$AQ$1850,1446),{"利用可","両方停止","運転がそろわない","判定不能"},0),"○","停","×","－"),"")</f>
        <v>－</v>
      </c>
      <c r="I64" s="35" t="str">
        <f aca="false">IFERROR(CHOOSE(MATCH(INDEX(時間ごとの判定!$AQ$3:$AQ$1850,1447),{"利用可","両方停止","運転がそろわない","判定不能"},0),"○","停","×","－"),"")</f>
        <v>－</v>
      </c>
      <c r="J64" s="35" t="str">
        <f aca="false">IFERROR(CHOOSE(MATCH(INDEX(時間ごとの判定!$AQ$3:$AQ$1850,1448),{"利用可","両方停止","運転がそろわない","判定不能"},0),"○","停","×","－"),"")</f>
        <v>－</v>
      </c>
      <c r="K64" s="35" t="str">
        <f aca="false">IFERROR(CHOOSE(MATCH(INDEX(時間ごとの判定!$AQ$3:$AQ$1850,1449),{"利用可","両方停止","運転がそろわない","判定不能"},0),"○","停","×","－"),"")</f>
        <v>－</v>
      </c>
      <c r="L64" s="35" t="str">
        <f aca="false">IFERROR(CHOOSE(MATCH(INDEX(時間ごとの判定!$AQ$3:$AQ$1850,1450),{"利用可","両方停止","運転がそろわない","判定不能"},0),"○","停","×","－"),"")</f>
        <v>－</v>
      </c>
      <c r="M64" s="35" t="str">
        <f aca="false">IFERROR(CHOOSE(MATCH(INDEX(時間ごとの判定!$AQ$3:$AQ$1850,1451),{"利用可","両方停止","運転がそろわない","判定不能"},0),"○","停","×","－"),"")</f>
        <v>－</v>
      </c>
      <c r="N64" s="35" t="str">
        <f aca="false">IFERROR(CHOOSE(MATCH(INDEX(時間ごとの判定!$AQ$3:$AQ$1850,1452),{"利用可","両方停止","運転がそろわない","判定不能"},0),"○","停","×","－"),"")</f>
        <v>－</v>
      </c>
      <c r="O64" s="35" t="str">
        <f aca="false">IFERROR(CHOOSE(MATCH(INDEX(時間ごとの判定!$AQ$3:$AQ$1850,1453),{"利用可","両方停止","運転がそろわない","判定不能"},0),"○","停","×","－"),"")</f>
        <v>－</v>
      </c>
      <c r="P64" s="35" t="str">
        <f aca="false">IFERROR(CHOOSE(MATCH(INDEX(時間ごとの判定!$AQ$3:$AQ$1850,1454),{"利用可","両方停止","運転がそろわない","判定不能"},0),"○","停","×","－"),"")</f>
        <v>－</v>
      </c>
      <c r="Q64" s="35" t="str">
        <f aca="false">IFERROR(CHOOSE(MATCH(INDEX(時間ごとの判定!$AQ$3:$AQ$1850,1455),{"利用可","両方停止","運転がそろわない","判定不能"},0),"○","停","×","－"),"")</f>
        <v>－</v>
      </c>
      <c r="R64" s="35" t="str">
        <f aca="false">IFERROR(CHOOSE(MATCH(INDEX(時間ごとの判定!$AQ$3:$AQ$1850,1456),{"利用可","両方停止","運転がそろわない","判定不能"},0),"○","停","×","－"),"")</f>
        <v>－</v>
      </c>
      <c r="S64" s="35" t="str">
        <f aca="false">IFERROR(CHOOSE(MATCH(INDEX(時間ごとの判定!$AQ$3:$AQ$1850,1457),{"利用可","両方停止","運転がそろわない","判定不能"},0),"○","停","×","－"),"")</f>
        <v>－</v>
      </c>
      <c r="T64" s="35" t="str">
        <f aca="false">IFERROR(CHOOSE(MATCH(INDEX(時間ごとの判定!$AQ$3:$AQ$1850,1458),{"利用可","両方停止","運転がそろわない","判定不能"},0),"○","停","×","－"),"")</f>
        <v>－</v>
      </c>
      <c r="U64" s="35" t="str">
        <f aca="false">IFERROR(CHOOSE(MATCH(INDEX(時間ごとの判定!$AQ$3:$AQ$1850,1459),{"利用可","両方停止","運転がそろわない","判定不能"},0),"○","停","×","－"),"")</f>
        <v>－</v>
      </c>
      <c r="V64" s="35" t="str">
        <f aca="false">IFERROR(CHOOSE(MATCH(INDEX(時間ごとの判定!$AQ$3:$AQ$1850,1460),{"利用可","両方停止","運転がそろわない","判定不能"},0),"○","停","×","－"),"")</f>
        <v>－</v>
      </c>
      <c r="W64" s="35" t="str">
        <f aca="false">IFERROR(CHOOSE(MATCH(INDEX(時間ごとの判定!$AQ$3:$AQ$1850,1461),{"利用可","両方停止","運転がそろわない","判定不能"},0),"○","停","×","－"),"")</f>
        <v>－</v>
      </c>
      <c r="X64" s="35" t="str">
        <f aca="false">IFERROR(CHOOSE(MATCH(INDEX(時間ごとの判定!$AQ$3:$AQ$1850,1462),{"利用可","両方停止","運転がそろわない","判定不能"},0),"○","停","×","－"),"")</f>
        <v>－</v>
      </c>
      <c r="Y64" s="35" t="str">
        <f aca="false">IFERROR(CHOOSE(MATCH(INDEX(時間ごとの判定!$AQ$3:$AQ$1850,1463),{"利用可","両方停止","運転がそろわない","判定不能"},0),"○","停","×","－"),"")</f>
        <v>－</v>
      </c>
      <c r="Z64" s="35" t="str">
        <f aca="false">IFERROR(CHOOSE(MATCH(INDEX(時間ごとの判定!$AQ$3:$AQ$1850,1464),{"利用可","両方停止","運転がそろわない","判定不能"},0),"○","停","×","－"),"")</f>
        <v>－</v>
      </c>
      <c r="AA64" s="35"/>
      <c r="AB64" s="35" t="str">
        <f aca="false">IFERROR(CHOOSE(MATCH(INDEX(時間ごとの判定!$AT$3:$AT$1850,1441),{"利用可","両方停止","運転がそろわない","判定不能"},0),"○","停","×","－"),"")</f>
        <v>－</v>
      </c>
      <c r="AC64" s="35" t="str">
        <f aca="false">IFERROR(CHOOSE(MATCH(INDEX(時間ごとの判定!$AT$3:$AT$1850,1442),{"利用可","両方停止","運転がそろわない","判定不能"},0),"○","停","×","－"),"")</f>
        <v>－</v>
      </c>
      <c r="AD64" s="35" t="str">
        <f aca="false">IFERROR(CHOOSE(MATCH(INDEX(時間ごとの判定!$AT$3:$AT$1850,1443),{"利用可","両方停止","運転がそろわない","判定不能"},0),"○","停","×","－"),"")</f>
        <v>－</v>
      </c>
      <c r="AE64" s="35" t="str">
        <f aca="false">IFERROR(CHOOSE(MATCH(INDEX(時間ごとの判定!$AT$3:$AT$1850,1444),{"利用可","両方停止","運転がそろわない","判定不能"},0),"○","停","×","－"),"")</f>
        <v>－</v>
      </c>
      <c r="AF64" s="35" t="str">
        <f aca="false">IFERROR(CHOOSE(MATCH(INDEX(時間ごとの判定!$AT$3:$AT$1850,1445),{"利用可","両方停止","運転がそろわない","判定不能"},0),"○","停","×","－"),"")</f>
        <v>－</v>
      </c>
      <c r="AG64" s="35" t="str">
        <f aca="false">IFERROR(CHOOSE(MATCH(INDEX(時間ごとの判定!$AT$3:$AT$1850,1446),{"利用可","両方停止","運転がそろわない","判定不能"},0),"○","停","×","－"),"")</f>
        <v>－</v>
      </c>
      <c r="AH64" s="35" t="str">
        <f aca="false">IFERROR(CHOOSE(MATCH(INDEX(時間ごとの判定!$AT$3:$AT$1850,1447),{"利用可","両方停止","運転がそろわない","判定不能"},0),"○","停","×","－"),"")</f>
        <v>－</v>
      </c>
      <c r="AI64" s="35" t="str">
        <f aca="false">IFERROR(CHOOSE(MATCH(INDEX(時間ごとの判定!$AT$3:$AT$1850,1448),{"利用可","両方停止","運転がそろわない","判定不能"},0),"○","停","×","－"),"")</f>
        <v>－</v>
      </c>
      <c r="AJ64" s="35" t="str">
        <f aca="false">IFERROR(CHOOSE(MATCH(INDEX(時間ごとの判定!$AT$3:$AT$1850,1449),{"利用可","両方停止","運転がそろわない","判定不能"},0),"○","停","×","－"),"")</f>
        <v>－</v>
      </c>
      <c r="AK64" s="35" t="str">
        <f aca="false">IFERROR(CHOOSE(MATCH(INDEX(時間ごとの判定!$AT$3:$AT$1850,1450),{"利用可","両方停止","運転がそろわない","判定不能"},0),"○","停","×","－"),"")</f>
        <v>－</v>
      </c>
      <c r="AL64" s="35" t="str">
        <f aca="false">IFERROR(CHOOSE(MATCH(INDEX(時間ごとの判定!$AT$3:$AT$1850,1451),{"利用可","両方停止","運転がそろわない","判定不能"},0),"○","停","×","－"),"")</f>
        <v>－</v>
      </c>
      <c r="AM64" s="35" t="str">
        <f aca="false">IFERROR(CHOOSE(MATCH(INDEX(時間ごとの判定!$AT$3:$AT$1850,1452),{"利用可","両方停止","運転がそろわない","判定不能"},0),"○","停","×","－"),"")</f>
        <v>－</v>
      </c>
      <c r="AN64" s="35" t="str">
        <f aca="false">IFERROR(CHOOSE(MATCH(INDEX(時間ごとの判定!$AT$3:$AT$1850,1453),{"利用可","両方停止","運転がそろわない","判定不能"},0),"○","停","×","－"),"")</f>
        <v>－</v>
      </c>
      <c r="AO64" s="35" t="str">
        <f aca="false">IFERROR(CHOOSE(MATCH(INDEX(時間ごとの判定!$AT$3:$AT$1850,1454),{"利用可","両方停止","運転がそろわない","判定不能"},0),"○","停","×","－"),"")</f>
        <v>－</v>
      </c>
      <c r="AP64" s="35" t="str">
        <f aca="false">IFERROR(CHOOSE(MATCH(INDEX(時間ごとの判定!$AT$3:$AT$1850,1455),{"利用可","両方停止","運転がそろわない","判定不能"},0),"○","停","×","－"),"")</f>
        <v>－</v>
      </c>
      <c r="AQ64" s="35" t="str">
        <f aca="false">IFERROR(CHOOSE(MATCH(INDEX(時間ごとの判定!$AT$3:$AT$1850,1456),{"利用可","両方停止","運転がそろわない","判定不能"},0),"○","停","×","－"),"")</f>
        <v>－</v>
      </c>
      <c r="AR64" s="35" t="str">
        <f aca="false">IFERROR(CHOOSE(MATCH(INDEX(時間ごとの判定!$AT$3:$AT$1850,1457),{"利用可","両方停止","運転がそろわない","判定不能"},0),"○","停","×","－"),"")</f>
        <v>－</v>
      </c>
      <c r="AS64" s="35" t="str">
        <f aca="false">IFERROR(CHOOSE(MATCH(INDEX(時間ごとの判定!$AT$3:$AT$1850,1458),{"利用可","両方停止","運転がそろわない","判定不能"},0),"○","停","×","－"),"")</f>
        <v>－</v>
      </c>
      <c r="AT64" s="35" t="str">
        <f aca="false">IFERROR(CHOOSE(MATCH(INDEX(時間ごとの判定!$AT$3:$AT$1850,1459),{"利用可","両方停止","運転がそろわない","判定不能"},0),"○","停","×","－"),"")</f>
        <v>－</v>
      </c>
      <c r="AU64" s="35" t="str">
        <f aca="false">IFERROR(CHOOSE(MATCH(INDEX(時間ごとの判定!$AT$3:$AT$1850,1460),{"利用可","両方停止","運転がそろわない","判定不能"},0),"○","停","×","－"),"")</f>
        <v>－</v>
      </c>
      <c r="AV64" s="35" t="str">
        <f aca="false">IFERROR(CHOOSE(MATCH(INDEX(時間ごとの判定!$AT$3:$AT$1850,1461),{"利用可","両方停止","運転がそろわない","判定不能"},0),"○","停","×","－"),"")</f>
        <v>－</v>
      </c>
      <c r="AW64" s="35" t="str">
        <f aca="false">IFERROR(CHOOSE(MATCH(INDEX(時間ごとの判定!$AT$3:$AT$1850,1462),{"利用可","両方停止","運転がそろわない","判定不能"},0),"○","停","×","－"),"")</f>
        <v>－</v>
      </c>
      <c r="AX64" s="35" t="str">
        <f aca="false">IFERROR(CHOOSE(MATCH(INDEX(時間ごとの判定!$AT$3:$AT$1850,1463),{"利用可","両方停止","運転がそろわない","判定不能"},0),"○","停","×","－"),"")</f>
        <v>－</v>
      </c>
      <c r="AY64" s="35" t="str">
        <f aca="false">IFERROR(CHOOSE(MATCH(INDEX(時間ごとの判定!$AT$3:$AT$1850,1464),{"利用可","両方停止","運転がそろわない","判定不能"},0),"○","停","×","－"),"")</f>
        <v>－</v>
      </c>
      <c r="AZ64" s="35"/>
      <c r="BA64" s="35" t="str">
        <f aca="false">IFERROR(CHOOSE(MATCH(INDEX(時間ごとの判定!$AW$3:$AW$1850,1441),{"利用可","両方停止","運転がそろわない","判定不能"},0),"○","停","×","－"),"")</f>
        <v>－</v>
      </c>
      <c r="BB64" s="35" t="str">
        <f aca="false">IFERROR(CHOOSE(MATCH(INDEX(時間ごとの判定!$AW$3:$AW$1850,1442),{"利用可","両方停止","運転がそろわない","判定不能"},0),"○","停","×","－"),"")</f>
        <v>－</v>
      </c>
      <c r="BC64" s="35" t="str">
        <f aca="false">IFERROR(CHOOSE(MATCH(INDEX(時間ごとの判定!$AW$3:$AW$1850,1443),{"利用可","両方停止","運転がそろわない","判定不能"},0),"○","停","×","－"),"")</f>
        <v>－</v>
      </c>
      <c r="BD64" s="35" t="str">
        <f aca="false">IFERROR(CHOOSE(MATCH(INDEX(時間ごとの判定!$AW$3:$AW$1850,1444),{"利用可","両方停止","運転がそろわない","判定不能"},0),"○","停","×","－"),"")</f>
        <v>－</v>
      </c>
      <c r="BE64" s="35" t="str">
        <f aca="false">IFERROR(CHOOSE(MATCH(INDEX(時間ごとの判定!$AW$3:$AW$1850,1445),{"利用可","両方停止","運転がそろわない","判定不能"},0),"○","停","×","－"),"")</f>
        <v>－</v>
      </c>
      <c r="BF64" s="35" t="str">
        <f aca="false">IFERROR(CHOOSE(MATCH(INDEX(時間ごとの判定!$AW$3:$AW$1850,1446),{"利用可","両方停止","運転がそろわない","判定不能"},0),"○","停","×","－"),"")</f>
        <v>－</v>
      </c>
      <c r="BG64" s="35" t="str">
        <f aca="false">IFERROR(CHOOSE(MATCH(INDEX(時間ごとの判定!$AW$3:$AW$1850,1447),{"利用可","両方停止","運転がそろわない","判定不能"},0),"○","停","×","－"),"")</f>
        <v>－</v>
      </c>
      <c r="BH64" s="35" t="str">
        <f aca="false">IFERROR(CHOOSE(MATCH(INDEX(時間ごとの判定!$AW$3:$AW$1850,1448),{"利用可","両方停止","運転がそろわない","判定不能"},0),"○","停","×","－"),"")</f>
        <v>－</v>
      </c>
      <c r="BI64" s="35" t="str">
        <f aca="false">IFERROR(CHOOSE(MATCH(INDEX(時間ごとの判定!$AW$3:$AW$1850,1449),{"利用可","両方停止","運転がそろわない","判定不能"},0),"○","停","×","－"),"")</f>
        <v>－</v>
      </c>
      <c r="BJ64" s="35" t="str">
        <f aca="false">IFERROR(CHOOSE(MATCH(INDEX(時間ごとの判定!$AW$3:$AW$1850,1450),{"利用可","両方停止","運転がそろわない","判定不能"},0),"○","停","×","－"),"")</f>
        <v>－</v>
      </c>
      <c r="BK64" s="35" t="str">
        <f aca="false">IFERROR(CHOOSE(MATCH(INDEX(時間ごとの判定!$AW$3:$AW$1850,1451),{"利用可","両方停止","運転がそろわない","判定不能"},0),"○","停","×","－"),"")</f>
        <v>－</v>
      </c>
      <c r="BL64" s="35" t="str">
        <f aca="false">IFERROR(CHOOSE(MATCH(INDEX(時間ごとの判定!$AW$3:$AW$1850,1452),{"利用可","両方停止","運転がそろわない","判定不能"},0),"○","停","×","－"),"")</f>
        <v>－</v>
      </c>
      <c r="BM64" s="35" t="str">
        <f aca="false">IFERROR(CHOOSE(MATCH(INDEX(時間ごとの判定!$AW$3:$AW$1850,1453),{"利用可","両方停止","運転がそろわない","判定不能"},0),"○","停","×","－"),"")</f>
        <v>－</v>
      </c>
      <c r="BN64" s="35" t="str">
        <f aca="false">IFERROR(CHOOSE(MATCH(INDEX(時間ごとの判定!$AW$3:$AW$1850,1454),{"利用可","両方停止","運転がそろわない","判定不能"},0),"○","停","×","－"),"")</f>
        <v>－</v>
      </c>
      <c r="BO64" s="35" t="str">
        <f aca="false">IFERROR(CHOOSE(MATCH(INDEX(時間ごとの判定!$AW$3:$AW$1850,1455),{"利用可","両方停止","運転がそろわない","判定不能"},0),"○","停","×","－"),"")</f>
        <v>－</v>
      </c>
      <c r="BP64" s="35" t="str">
        <f aca="false">IFERROR(CHOOSE(MATCH(INDEX(時間ごとの判定!$AW$3:$AW$1850,1456),{"利用可","両方停止","運転がそろわない","判定不能"},0),"○","停","×","－"),"")</f>
        <v>－</v>
      </c>
      <c r="BQ64" s="35" t="str">
        <f aca="false">IFERROR(CHOOSE(MATCH(INDEX(時間ごとの判定!$AW$3:$AW$1850,1457),{"利用可","両方停止","運転がそろわない","判定不能"},0),"○","停","×","－"),"")</f>
        <v>－</v>
      </c>
      <c r="BR64" s="35" t="str">
        <f aca="false">IFERROR(CHOOSE(MATCH(INDEX(時間ごとの判定!$AW$3:$AW$1850,1458),{"利用可","両方停止","運転がそろわない","判定不能"},0),"○","停","×","－"),"")</f>
        <v>－</v>
      </c>
      <c r="BS64" s="35" t="str">
        <f aca="false">IFERROR(CHOOSE(MATCH(INDEX(時間ごとの判定!$AW$3:$AW$1850,1459),{"利用可","両方停止","運転がそろわない","判定不能"},0),"○","停","×","－"),"")</f>
        <v>－</v>
      </c>
      <c r="BT64" s="35" t="str">
        <f aca="false">IFERROR(CHOOSE(MATCH(INDEX(時間ごとの判定!$AW$3:$AW$1850,1460),{"利用可","両方停止","運転がそろわない","判定不能"},0),"○","停","×","－"),"")</f>
        <v>－</v>
      </c>
      <c r="BU64" s="35" t="str">
        <f aca="false">IFERROR(CHOOSE(MATCH(INDEX(時間ごとの判定!$AW$3:$AW$1850,1461),{"利用可","両方停止","運転がそろわない","判定不能"},0),"○","停","×","－"),"")</f>
        <v>－</v>
      </c>
      <c r="BV64" s="35" t="str">
        <f aca="false">IFERROR(CHOOSE(MATCH(INDEX(時間ごとの判定!$AW$3:$AW$1850,1462),{"利用可","両方停止","運転がそろわない","判定不能"},0),"○","停","×","－"),"")</f>
        <v>－</v>
      </c>
      <c r="BW64" s="35" t="str">
        <f aca="false">IFERROR(CHOOSE(MATCH(INDEX(時間ごとの判定!$AW$3:$AW$1850,1463),{"利用可","両方停止","運転がそろわない","判定不能"},0),"○","停","×","－"),"")</f>
        <v>－</v>
      </c>
      <c r="BX64" s="35" t="str">
        <f aca="false">IFERROR(CHOOSE(MATCH(INDEX(時間ごとの判定!$AW$3:$AW$1850,1464),{"利用可","両方停止","運転がそろわない","判定不能"},0),"○","停","×","－"),"")</f>
        <v>－</v>
      </c>
    </row>
    <row r="65" customFormat="false" ht="15" hidden="false" customHeight="false" outlineLevel="0" collapsed="false">
      <c r="A65" s="33" t="n">
        <v>46293</v>
      </c>
      <c r="B65" s="34" t="s">
        <v>66</v>
      </c>
      <c r="C65" s="35" t="str">
        <f aca="false">IFERROR(CHOOSE(MATCH(INDEX(時間ごとの判定!$AQ$3:$AQ$1850,1465),{"利用可","両方停止","運転がそろわない","判定不能"},0),"○","停","×","－"),"")</f>
        <v>－</v>
      </c>
      <c r="D65" s="35" t="str">
        <f aca="false">IFERROR(CHOOSE(MATCH(INDEX(時間ごとの判定!$AQ$3:$AQ$1850,1466),{"利用可","両方停止","運転がそろわない","判定不能"},0),"○","停","×","－"),"")</f>
        <v>－</v>
      </c>
      <c r="E65" s="35" t="str">
        <f aca="false">IFERROR(CHOOSE(MATCH(INDEX(時間ごとの判定!$AQ$3:$AQ$1850,1467),{"利用可","両方停止","運転がそろわない","判定不能"},0),"○","停","×","－"),"")</f>
        <v>－</v>
      </c>
      <c r="F65" s="35" t="str">
        <f aca="false">IFERROR(CHOOSE(MATCH(INDEX(時間ごとの判定!$AQ$3:$AQ$1850,1468),{"利用可","両方停止","運転がそろわない","判定不能"},0),"○","停","×","－"),"")</f>
        <v>－</v>
      </c>
      <c r="G65" s="35" t="str">
        <f aca="false">IFERROR(CHOOSE(MATCH(INDEX(時間ごとの判定!$AQ$3:$AQ$1850,1469),{"利用可","両方停止","運転がそろわない","判定不能"},0),"○","停","×","－"),"")</f>
        <v>－</v>
      </c>
      <c r="H65" s="35" t="str">
        <f aca="false">IFERROR(CHOOSE(MATCH(INDEX(時間ごとの判定!$AQ$3:$AQ$1850,1470),{"利用可","両方停止","運転がそろわない","判定不能"},0),"○","停","×","－"),"")</f>
        <v>－</v>
      </c>
      <c r="I65" s="35" t="str">
        <f aca="false">IFERROR(CHOOSE(MATCH(INDEX(時間ごとの判定!$AQ$3:$AQ$1850,1471),{"利用可","両方停止","運転がそろわない","判定不能"},0),"○","停","×","－"),"")</f>
        <v>－</v>
      </c>
      <c r="J65" s="35" t="str">
        <f aca="false">IFERROR(CHOOSE(MATCH(INDEX(時間ごとの判定!$AQ$3:$AQ$1850,1472),{"利用可","両方停止","運転がそろわない","判定不能"},0),"○","停","×","－"),"")</f>
        <v>－</v>
      </c>
      <c r="K65" s="35" t="str">
        <f aca="false">IFERROR(CHOOSE(MATCH(INDEX(時間ごとの判定!$AQ$3:$AQ$1850,1473),{"利用可","両方停止","運転がそろわない","判定不能"},0),"○","停","×","－"),"")</f>
        <v>－</v>
      </c>
      <c r="L65" s="35" t="str">
        <f aca="false">IFERROR(CHOOSE(MATCH(INDEX(時間ごとの判定!$AQ$3:$AQ$1850,1474),{"利用可","両方停止","運転がそろわない","判定不能"},0),"○","停","×","－"),"")</f>
        <v>－</v>
      </c>
      <c r="M65" s="35" t="str">
        <f aca="false">IFERROR(CHOOSE(MATCH(INDEX(時間ごとの判定!$AQ$3:$AQ$1850,1475),{"利用可","両方停止","運転がそろわない","判定不能"},0),"○","停","×","－"),"")</f>
        <v>－</v>
      </c>
      <c r="N65" s="35" t="str">
        <f aca="false">IFERROR(CHOOSE(MATCH(INDEX(時間ごとの判定!$AQ$3:$AQ$1850,1476),{"利用可","両方停止","運転がそろわない","判定不能"},0),"○","停","×","－"),"")</f>
        <v>－</v>
      </c>
      <c r="O65" s="35" t="str">
        <f aca="false">IFERROR(CHOOSE(MATCH(INDEX(時間ごとの判定!$AQ$3:$AQ$1850,1477),{"利用可","両方停止","運転がそろわない","判定不能"},0),"○","停","×","－"),"")</f>
        <v>－</v>
      </c>
      <c r="P65" s="35" t="str">
        <f aca="false">IFERROR(CHOOSE(MATCH(INDEX(時間ごとの判定!$AQ$3:$AQ$1850,1478),{"利用可","両方停止","運転がそろわない","判定不能"},0),"○","停","×","－"),"")</f>
        <v>－</v>
      </c>
      <c r="Q65" s="35" t="str">
        <f aca="false">IFERROR(CHOOSE(MATCH(INDEX(時間ごとの判定!$AQ$3:$AQ$1850,1479),{"利用可","両方停止","運転がそろわない","判定不能"},0),"○","停","×","－"),"")</f>
        <v>－</v>
      </c>
      <c r="R65" s="35" t="str">
        <f aca="false">IFERROR(CHOOSE(MATCH(INDEX(時間ごとの判定!$AQ$3:$AQ$1850,1480),{"利用可","両方停止","運転がそろわない","判定不能"},0),"○","停","×","－"),"")</f>
        <v>－</v>
      </c>
      <c r="S65" s="35" t="str">
        <f aca="false">IFERROR(CHOOSE(MATCH(INDEX(時間ごとの判定!$AQ$3:$AQ$1850,1481),{"利用可","両方停止","運転がそろわない","判定不能"},0),"○","停","×","－"),"")</f>
        <v>－</v>
      </c>
      <c r="T65" s="35" t="str">
        <f aca="false">IFERROR(CHOOSE(MATCH(INDEX(時間ごとの判定!$AQ$3:$AQ$1850,1482),{"利用可","両方停止","運転がそろわない","判定不能"},0),"○","停","×","－"),"")</f>
        <v>－</v>
      </c>
      <c r="U65" s="35" t="str">
        <f aca="false">IFERROR(CHOOSE(MATCH(INDEX(時間ごとの判定!$AQ$3:$AQ$1850,1483),{"利用可","両方停止","運転がそろわない","判定不能"},0),"○","停","×","－"),"")</f>
        <v>－</v>
      </c>
      <c r="V65" s="35" t="str">
        <f aca="false">IFERROR(CHOOSE(MATCH(INDEX(時間ごとの判定!$AQ$3:$AQ$1850,1484),{"利用可","両方停止","運転がそろわない","判定不能"},0),"○","停","×","－"),"")</f>
        <v>－</v>
      </c>
      <c r="W65" s="35" t="str">
        <f aca="false">IFERROR(CHOOSE(MATCH(INDEX(時間ごとの判定!$AQ$3:$AQ$1850,1485),{"利用可","両方停止","運転がそろわない","判定不能"},0),"○","停","×","－"),"")</f>
        <v>－</v>
      </c>
      <c r="X65" s="35" t="str">
        <f aca="false">IFERROR(CHOOSE(MATCH(INDEX(時間ごとの判定!$AQ$3:$AQ$1850,1486),{"利用可","両方停止","運転がそろわない","判定不能"},0),"○","停","×","－"),"")</f>
        <v>－</v>
      </c>
      <c r="Y65" s="35" t="str">
        <f aca="false">IFERROR(CHOOSE(MATCH(INDEX(時間ごとの判定!$AQ$3:$AQ$1850,1487),{"利用可","両方停止","運転がそろわない","判定不能"},0),"○","停","×","－"),"")</f>
        <v>－</v>
      </c>
      <c r="Z65" s="35" t="str">
        <f aca="false">IFERROR(CHOOSE(MATCH(INDEX(時間ごとの判定!$AQ$3:$AQ$1850,1488),{"利用可","両方停止","運転がそろわない","判定不能"},0),"○","停","×","－"),"")</f>
        <v>－</v>
      </c>
      <c r="AA65" s="35"/>
      <c r="AB65" s="35" t="str">
        <f aca="false">IFERROR(CHOOSE(MATCH(INDEX(時間ごとの判定!$AT$3:$AT$1850,1465),{"利用可","両方停止","運転がそろわない","判定不能"},0),"○","停","×","－"),"")</f>
        <v>－</v>
      </c>
      <c r="AC65" s="35" t="str">
        <f aca="false">IFERROR(CHOOSE(MATCH(INDEX(時間ごとの判定!$AT$3:$AT$1850,1466),{"利用可","両方停止","運転がそろわない","判定不能"},0),"○","停","×","－"),"")</f>
        <v>－</v>
      </c>
      <c r="AD65" s="35" t="str">
        <f aca="false">IFERROR(CHOOSE(MATCH(INDEX(時間ごとの判定!$AT$3:$AT$1850,1467),{"利用可","両方停止","運転がそろわない","判定不能"},0),"○","停","×","－"),"")</f>
        <v>－</v>
      </c>
      <c r="AE65" s="35" t="str">
        <f aca="false">IFERROR(CHOOSE(MATCH(INDEX(時間ごとの判定!$AT$3:$AT$1850,1468),{"利用可","両方停止","運転がそろわない","判定不能"},0),"○","停","×","－"),"")</f>
        <v>－</v>
      </c>
      <c r="AF65" s="35" t="str">
        <f aca="false">IFERROR(CHOOSE(MATCH(INDEX(時間ごとの判定!$AT$3:$AT$1850,1469),{"利用可","両方停止","運転がそろわない","判定不能"},0),"○","停","×","－"),"")</f>
        <v>－</v>
      </c>
      <c r="AG65" s="35" t="str">
        <f aca="false">IFERROR(CHOOSE(MATCH(INDEX(時間ごとの判定!$AT$3:$AT$1850,1470),{"利用可","両方停止","運転がそろわない","判定不能"},0),"○","停","×","－"),"")</f>
        <v>－</v>
      </c>
      <c r="AH65" s="35" t="str">
        <f aca="false">IFERROR(CHOOSE(MATCH(INDEX(時間ごとの判定!$AT$3:$AT$1850,1471),{"利用可","両方停止","運転がそろわない","判定不能"},0),"○","停","×","－"),"")</f>
        <v>－</v>
      </c>
      <c r="AI65" s="35" t="str">
        <f aca="false">IFERROR(CHOOSE(MATCH(INDEX(時間ごとの判定!$AT$3:$AT$1850,1472),{"利用可","両方停止","運転がそろわない","判定不能"},0),"○","停","×","－"),"")</f>
        <v>－</v>
      </c>
      <c r="AJ65" s="35" t="str">
        <f aca="false">IFERROR(CHOOSE(MATCH(INDEX(時間ごとの判定!$AT$3:$AT$1850,1473),{"利用可","両方停止","運転がそろわない","判定不能"},0),"○","停","×","－"),"")</f>
        <v>－</v>
      </c>
      <c r="AK65" s="35" t="str">
        <f aca="false">IFERROR(CHOOSE(MATCH(INDEX(時間ごとの判定!$AT$3:$AT$1850,1474),{"利用可","両方停止","運転がそろわない","判定不能"},0),"○","停","×","－"),"")</f>
        <v>－</v>
      </c>
      <c r="AL65" s="35" t="str">
        <f aca="false">IFERROR(CHOOSE(MATCH(INDEX(時間ごとの判定!$AT$3:$AT$1850,1475),{"利用可","両方停止","運転がそろわない","判定不能"},0),"○","停","×","－"),"")</f>
        <v>－</v>
      </c>
      <c r="AM65" s="35" t="str">
        <f aca="false">IFERROR(CHOOSE(MATCH(INDEX(時間ごとの判定!$AT$3:$AT$1850,1476),{"利用可","両方停止","運転がそろわない","判定不能"},0),"○","停","×","－"),"")</f>
        <v>－</v>
      </c>
      <c r="AN65" s="35" t="str">
        <f aca="false">IFERROR(CHOOSE(MATCH(INDEX(時間ごとの判定!$AT$3:$AT$1850,1477),{"利用可","両方停止","運転がそろわない","判定不能"},0),"○","停","×","－"),"")</f>
        <v>－</v>
      </c>
      <c r="AO65" s="35" t="str">
        <f aca="false">IFERROR(CHOOSE(MATCH(INDEX(時間ごとの判定!$AT$3:$AT$1850,1478),{"利用可","両方停止","運転がそろわない","判定不能"},0),"○","停","×","－"),"")</f>
        <v>－</v>
      </c>
      <c r="AP65" s="35" t="str">
        <f aca="false">IFERROR(CHOOSE(MATCH(INDEX(時間ごとの判定!$AT$3:$AT$1850,1479),{"利用可","両方停止","運転がそろわない","判定不能"},0),"○","停","×","－"),"")</f>
        <v>－</v>
      </c>
      <c r="AQ65" s="35" t="str">
        <f aca="false">IFERROR(CHOOSE(MATCH(INDEX(時間ごとの判定!$AT$3:$AT$1850,1480),{"利用可","両方停止","運転がそろわない","判定不能"},0),"○","停","×","－"),"")</f>
        <v>－</v>
      </c>
      <c r="AR65" s="35" t="str">
        <f aca="false">IFERROR(CHOOSE(MATCH(INDEX(時間ごとの判定!$AT$3:$AT$1850,1481),{"利用可","両方停止","運転がそろわない","判定不能"},0),"○","停","×","－"),"")</f>
        <v>－</v>
      </c>
      <c r="AS65" s="35" t="str">
        <f aca="false">IFERROR(CHOOSE(MATCH(INDEX(時間ごとの判定!$AT$3:$AT$1850,1482),{"利用可","両方停止","運転がそろわない","判定不能"},0),"○","停","×","－"),"")</f>
        <v>－</v>
      </c>
      <c r="AT65" s="35" t="str">
        <f aca="false">IFERROR(CHOOSE(MATCH(INDEX(時間ごとの判定!$AT$3:$AT$1850,1483),{"利用可","両方停止","運転がそろわない","判定不能"},0),"○","停","×","－"),"")</f>
        <v>－</v>
      </c>
      <c r="AU65" s="35" t="str">
        <f aca="false">IFERROR(CHOOSE(MATCH(INDEX(時間ごとの判定!$AT$3:$AT$1850,1484),{"利用可","両方停止","運転がそろわない","判定不能"},0),"○","停","×","－"),"")</f>
        <v>－</v>
      </c>
      <c r="AV65" s="35" t="str">
        <f aca="false">IFERROR(CHOOSE(MATCH(INDEX(時間ごとの判定!$AT$3:$AT$1850,1485),{"利用可","両方停止","運転がそろわない","判定不能"},0),"○","停","×","－"),"")</f>
        <v>－</v>
      </c>
      <c r="AW65" s="35" t="str">
        <f aca="false">IFERROR(CHOOSE(MATCH(INDEX(時間ごとの判定!$AT$3:$AT$1850,1486),{"利用可","両方停止","運転がそろわない","判定不能"},0),"○","停","×","－"),"")</f>
        <v>－</v>
      </c>
      <c r="AX65" s="35" t="str">
        <f aca="false">IFERROR(CHOOSE(MATCH(INDEX(時間ごとの判定!$AT$3:$AT$1850,1487),{"利用可","両方停止","運転がそろわない","判定不能"},0),"○","停","×","－"),"")</f>
        <v>－</v>
      </c>
      <c r="AY65" s="35" t="str">
        <f aca="false">IFERROR(CHOOSE(MATCH(INDEX(時間ごとの判定!$AT$3:$AT$1850,1488),{"利用可","両方停止","運転がそろわない","判定不能"},0),"○","停","×","－"),"")</f>
        <v>－</v>
      </c>
      <c r="AZ65" s="35"/>
      <c r="BA65" s="35" t="str">
        <f aca="false">IFERROR(CHOOSE(MATCH(INDEX(時間ごとの判定!$AW$3:$AW$1850,1465),{"利用可","両方停止","運転がそろわない","判定不能"},0),"○","停","×","－"),"")</f>
        <v>－</v>
      </c>
      <c r="BB65" s="35" t="str">
        <f aca="false">IFERROR(CHOOSE(MATCH(INDEX(時間ごとの判定!$AW$3:$AW$1850,1466),{"利用可","両方停止","運転がそろわない","判定不能"},0),"○","停","×","－"),"")</f>
        <v>－</v>
      </c>
      <c r="BC65" s="35" t="str">
        <f aca="false">IFERROR(CHOOSE(MATCH(INDEX(時間ごとの判定!$AW$3:$AW$1850,1467),{"利用可","両方停止","運転がそろわない","判定不能"},0),"○","停","×","－"),"")</f>
        <v>－</v>
      </c>
      <c r="BD65" s="35" t="str">
        <f aca="false">IFERROR(CHOOSE(MATCH(INDEX(時間ごとの判定!$AW$3:$AW$1850,1468),{"利用可","両方停止","運転がそろわない","判定不能"},0),"○","停","×","－"),"")</f>
        <v>－</v>
      </c>
      <c r="BE65" s="35" t="str">
        <f aca="false">IFERROR(CHOOSE(MATCH(INDEX(時間ごとの判定!$AW$3:$AW$1850,1469),{"利用可","両方停止","運転がそろわない","判定不能"},0),"○","停","×","－"),"")</f>
        <v>－</v>
      </c>
      <c r="BF65" s="35" t="str">
        <f aca="false">IFERROR(CHOOSE(MATCH(INDEX(時間ごとの判定!$AW$3:$AW$1850,1470),{"利用可","両方停止","運転がそろわない","判定不能"},0),"○","停","×","－"),"")</f>
        <v>－</v>
      </c>
      <c r="BG65" s="35" t="str">
        <f aca="false">IFERROR(CHOOSE(MATCH(INDEX(時間ごとの判定!$AW$3:$AW$1850,1471),{"利用可","両方停止","運転がそろわない","判定不能"},0),"○","停","×","－"),"")</f>
        <v>－</v>
      </c>
      <c r="BH65" s="35" t="str">
        <f aca="false">IFERROR(CHOOSE(MATCH(INDEX(時間ごとの判定!$AW$3:$AW$1850,1472),{"利用可","両方停止","運転がそろわない","判定不能"},0),"○","停","×","－"),"")</f>
        <v>－</v>
      </c>
      <c r="BI65" s="35" t="str">
        <f aca="false">IFERROR(CHOOSE(MATCH(INDEX(時間ごとの判定!$AW$3:$AW$1850,1473),{"利用可","両方停止","運転がそろわない","判定不能"},0),"○","停","×","－"),"")</f>
        <v>－</v>
      </c>
      <c r="BJ65" s="35" t="str">
        <f aca="false">IFERROR(CHOOSE(MATCH(INDEX(時間ごとの判定!$AW$3:$AW$1850,1474),{"利用可","両方停止","運転がそろわない","判定不能"},0),"○","停","×","－"),"")</f>
        <v>－</v>
      </c>
      <c r="BK65" s="35" t="str">
        <f aca="false">IFERROR(CHOOSE(MATCH(INDEX(時間ごとの判定!$AW$3:$AW$1850,1475),{"利用可","両方停止","運転がそろわない","判定不能"},0),"○","停","×","－"),"")</f>
        <v>－</v>
      </c>
      <c r="BL65" s="35" t="str">
        <f aca="false">IFERROR(CHOOSE(MATCH(INDEX(時間ごとの判定!$AW$3:$AW$1850,1476),{"利用可","両方停止","運転がそろわない","判定不能"},0),"○","停","×","－"),"")</f>
        <v>－</v>
      </c>
      <c r="BM65" s="35" t="str">
        <f aca="false">IFERROR(CHOOSE(MATCH(INDEX(時間ごとの判定!$AW$3:$AW$1850,1477),{"利用可","両方停止","運転がそろわない","判定不能"},0),"○","停","×","－"),"")</f>
        <v>－</v>
      </c>
      <c r="BN65" s="35" t="str">
        <f aca="false">IFERROR(CHOOSE(MATCH(INDEX(時間ごとの判定!$AW$3:$AW$1850,1478),{"利用可","両方停止","運転がそろわない","判定不能"},0),"○","停","×","－"),"")</f>
        <v>－</v>
      </c>
      <c r="BO65" s="35" t="str">
        <f aca="false">IFERROR(CHOOSE(MATCH(INDEX(時間ごとの判定!$AW$3:$AW$1850,1479),{"利用可","両方停止","運転がそろわない","判定不能"},0),"○","停","×","－"),"")</f>
        <v>－</v>
      </c>
      <c r="BP65" s="35" t="str">
        <f aca="false">IFERROR(CHOOSE(MATCH(INDEX(時間ごとの判定!$AW$3:$AW$1850,1480),{"利用可","両方停止","運転がそろわない","判定不能"},0),"○","停","×","－"),"")</f>
        <v>－</v>
      </c>
      <c r="BQ65" s="35" t="str">
        <f aca="false">IFERROR(CHOOSE(MATCH(INDEX(時間ごとの判定!$AW$3:$AW$1850,1481),{"利用可","両方停止","運転がそろわない","判定不能"},0),"○","停","×","－"),"")</f>
        <v>－</v>
      </c>
      <c r="BR65" s="35" t="str">
        <f aca="false">IFERROR(CHOOSE(MATCH(INDEX(時間ごとの判定!$AW$3:$AW$1850,1482),{"利用可","両方停止","運転がそろわない","判定不能"},0),"○","停","×","－"),"")</f>
        <v>－</v>
      </c>
      <c r="BS65" s="35" t="str">
        <f aca="false">IFERROR(CHOOSE(MATCH(INDEX(時間ごとの判定!$AW$3:$AW$1850,1483),{"利用可","両方停止","運転がそろわない","判定不能"},0),"○","停","×","－"),"")</f>
        <v>－</v>
      </c>
      <c r="BT65" s="35" t="str">
        <f aca="false">IFERROR(CHOOSE(MATCH(INDEX(時間ごとの判定!$AW$3:$AW$1850,1484),{"利用可","両方停止","運転がそろわない","判定不能"},0),"○","停","×","－"),"")</f>
        <v>－</v>
      </c>
      <c r="BU65" s="35" t="str">
        <f aca="false">IFERROR(CHOOSE(MATCH(INDEX(時間ごとの判定!$AW$3:$AW$1850,1485),{"利用可","両方停止","運転がそろわない","判定不能"},0),"○","停","×","－"),"")</f>
        <v>－</v>
      </c>
      <c r="BV65" s="35" t="str">
        <f aca="false">IFERROR(CHOOSE(MATCH(INDEX(時間ごとの判定!$AW$3:$AW$1850,1486),{"利用可","両方停止","運転がそろわない","判定不能"},0),"○","停","×","－"),"")</f>
        <v>－</v>
      </c>
      <c r="BW65" s="35" t="str">
        <f aca="false">IFERROR(CHOOSE(MATCH(INDEX(時間ごとの判定!$AW$3:$AW$1850,1487),{"利用可","両方停止","運転がそろわない","判定不能"},0),"○","停","×","－"),"")</f>
        <v>－</v>
      </c>
      <c r="BX65" s="35" t="str">
        <f aca="false">IFERROR(CHOOSE(MATCH(INDEX(時間ごとの判定!$AW$3:$AW$1850,1488),{"利用可","両方停止","運転がそろわない","判定不能"},0),"○","停","×","－"),"")</f>
        <v>－</v>
      </c>
    </row>
    <row r="66" customFormat="false" ht="15" hidden="false" customHeight="false" outlineLevel="0" collapsed="false">
      <c r="A66" s="33" t="n">
        <v>46294</v>
      </c>
      <c r="B66" s="34" t="s">
        <v>67</v>
      </c>
      <c r="C66" s="35" t="str">
        <f aca="false">IFERROR(CHOOSE(MATCH(INDEX(時間ごとの判定!$AQ$3:$AQ$1850,1489),{"利用可","両方停止","運転がそろわない","判定不能"},0),"○","停","×","－"),"")</f>
        <v>－</v>
      </c>
      <c r="D66" s="35" t="str">
        <f aca="false">IFERROR(CHOOSE(MATCH(INDEX(時間ごとの判定!$AQ$3:$AQ$1850,1490),{"利用可","両方停止","運転がそろわない","判定不能"},0),"○","停","×","－"),"")</f>
        <v>－</v>
      </c>
      <c r="E66" s="35" t="str">
        <f aca="false">IFERROR(CHOOSE(MATCH(INDEX(時間ごとの判定!$AQ$3:$AQ$1850,1491),{"利用可","両方停止","運転がそろわない","判定不能"},0),"○","停","×","－"),"")</f>
        <v>－</v>
      </c>
      <c r="F66" s="35" t="str">
        <f aca="false">IFERROR(CHOOSE(MATCH(INDEX(時間ごとの判定!$AQ$3:$AQ$1850,1492),{"利用可","両方停止","運転がそろわない","判定不能"},0),"○","停","×","－"),"")</f>
        <v>－</v>
      </c>
      <c r="G66" s="35" t="str">
        <f aca="false">IFERROR(CHOOSE(MATCH(INDEX(時間ごとの判定!$AQ$3:$AQ$1850,1493),{"利用可","両方停止","運転がそろわない","判定不能"},0),"○","停","×","－"),"")</f>
        <v>－</v>
      </c>
      <c r="H66" s="35" t="str">
        <f aca="false">IFERROR(CHOOSE(MATCH(INDEX(時間ごとの判定!$AQ$3:$AQ$1850,1494),{"利用可","両方停止","運転がそろわない","判定不能"},0),"○","停","×","－"),"")</f>
        <v>－</v>
      </c>
      <c r="I66" s="35" t="str">
        <f aca="false">IFERROR(CHOOSE(MATCH(INDEX(時間ごとの判定!$AQ$3:$AQ$1850,1495),{"利用可","両方停止","運転がそろわない","判定不能"},0),"○","停","×","－"),"")</f>
        <v>－</v>
      </c>
      <c r="J66" s="35" t="str">
        <f aca="false">IFERROR(CHOOSE(MATCH(INDEX(時間ごとの判定!$AQ$3:$AQ$1850,1496),{"利用可","両方停止","運転がそろわない","判定不能"},0),"○","停","×","－"),"")</f>
        <v>－</v>
      </c>
      <c r="K66" s="35" t="str">
        <f aca="false">IFERROR(CHOOSE(MATCH(INDEX(時間ごとの判定!$AQ$3:$AQ$1850,1497),{"利用可","両方停止","運転がそろわない","判定不能"},0),"○","停","×","－"),"")</f>
        <v>－</v>
      </c>
      <c r="L66" s="35" t="str">
        <f aca="false">IFERROR(CHOOSE(MATCH(INDEX(時間ごとの判定!$AQ$3:$AQ$1850,1498),{"利用可","両方停止","運転がそろわない","判定不能"},0),"○","停","×","－"),"")</f>
        <v>－</v>
      </c>
      <c r="M66" s="35" t="str">
        <f aca="false">IFERROR(CHOOSE(MATCH(INDEX(時間ごとの判定!$AQ$3:$AQ$1850,1499),{"利用可","両方停止","運転がそろわない","判定不能"},0),"○","停","×","－"),"")</f>
        <v>－</v>
      </c>
      <c r="N66" s="35" t="str">
        <f aca="false">IFERROR(CHOOSE(MATCH(INDEX(時間ごとの判定!$AQ$3:$AQ$1850,1500),{"利用可","両方停止","運転がそろわない","判定不能"},0),"○","停","×","－"),"")</f>
        <v>－</v>
      </c>
      <c r="O66" s="35" t="str">
        <f aca="false">IFERROR(CHOOSE(MATCH(INDEX(時間ごとの判定!$AQ$3:$AQ$1850,1501),{"利用可","両方停止","運転がそろわない","判定不能"},0),"○","停","×","－"),"")</f>
        <v>－</v>
      </c>
      <c r="P66" s="35" t="str">
        <f aca="false">IFERROR(CHOOSE(MATCH(INDEX(時間ごとの判定!$AQ$3:$AQ$1850,1502),{"利用可","両方停止","運転がそろわない","判定不能"},0),"○","停","×","－"),"")</f>
        <v>－</v>
      </c>
      <c r="Q66" s="35" t="str">
        <f aca="false">IFERROR(CHOOSE(MATCH(INDEX(時間ごとの判定!$AQ$3:$AQ$1850,1503),{"利用可","両方停止","運転がそろわない","判定不能"},0),"○","停","×","－"),"")</f>
        <v>－</v>
      </c>
      <c r="R66" s="35" t="str">
        <f aca="false">IFERROR(CHOOSE(MATCH(INDEX(時間ごとの判定!$AQ$3:$AQ$1850,1504),{"利用可","両方停止","運転がそろわない","判定不能"},0),"○","停","×","－"),"")</f>
        <v>－</v>
      </c>
      <c r="S66" s="35" t="str">
        <f aca="false">IFERROR(CHOOSE(MATCH(INDEX(時間ごとの判定!$AQ$3:$AQ$1850,1505),{"利用可","両方停止","運転がそろわない","判定不能"},0),"○","停","×","－"),"")</f>
        <v>－</v>
      </c>
      <c r="T66" s="35" t="str">
        <f aca="false">IFERROR(CHOOSE(MATCH(INDEX(時間ごとの判定!$AQ$3:$AQ$1850,1506),{"利用可","両方停止","運転がそろわない","判定不能"},0),"○","停","×","－"),"")</f>
        <v>－</v>
      </c>
      <c r="U66" s="35" t="str">
        <f aca="false">IFERROR(CHOOSE(MATCH(INDEX(時間ごとの判定!$AQ$3:$AQ$1850,1507),{"利用可","両方停止","運転がそろわない","判定不能"},0),"○","停","×","－"),"")</f>
        <v>－</v>
      </c>
      <c r="V66" s="35" t="str">
        <f aca="false">IFERROR(CHOOSE(MATCH(INDEX(時間ごとの判定!$AQ$3:$AQ$1850,1508),{"利用可","両方停止","運転がそろわない","判定不能"},0),"○","停","×","－"),"")</f>
        <v>－</v>
      </c>
      <c r="W66" s="35" t="str">
        <f aca="false">IFERROR(CHOOSE(MATCH(INDEX(時間ごとの判定!$AQ$3:$AQ$1850,1509),{"利用可","両方停止","運転がそろわない","判定不能"},0),"○","停","×","－"),"")</f>
        <v>－</v>
      </c>
      <c r="X66" s="35" t="str">
        <f aca="false">IFERROR(CHOOSE(MATCH(INDEX(時間ごとの判定!$AQ$3:$AQ$1850,1510),{"利用可","両方停止","運転がそろわない","判定不能"},0),"○","停","×","－"),"")</f>
        <v>－</v>
      </c>
      <c r="Y66" s="35" t="str">
        <f aca="false">IFERROR(CHOOSE(MATCH(INDEX(時間ごとの判定!$AQ$3:$AQ$1850,1511),{"利用可","両方停止","運転がそろわない","判定不能"},0),"○","停","×","－"),"")</f>
        <v>－</v>
      </c>
      <c r="Z66" s="35" t="str">
        <f aca="false">IFERROR(CHOOSE(MATCH(INDEX(時間ごとの判定!$AQ$3:$AQ$1850,1512),{"利用可","両方停止","運転がそろわない","判定不能"},0),"○","停","×","－"),"")</f>
        <v>－</v>
      </c>
      <c r="AA66" s="35"/>
      <c r="AB66" s="35" t="str">
        <f aca="false">IFERROR(CHOOSE(MATCH(INDEX(時間ごとの判定!$AT$3:$AT$1850,1489),{"利用可","両方停止","運転がそろわない","判定不能"},0),"○","停","×","－"),"")</f>
        <v>－</v>
      </c>
      <c r="AC66" s="35" t="str">
        <f aca="false">IFERROR(CHOOSE(MATCH(INDEX(時間ごとの判定!$AT$3:$AT$1850,1490),{"利用可","両方停止","運転がそろわない","判定不能"},0),"○","停","×","－"),"")</f>
        <v>－</v>
      </c>
      <c r="AD66" s="35" t="str">
        <f aca="false">IFERROR(CHOOSE(MATCH(INDEX(時間ごとの判定!$AT$3:$AT$1850,1491),{"利用可","両方停止","運転がそろわない","判定不能"},0),"○","停","×","－"),"")</f>
        <v>－</v>
      </c>
      <c r="AE66" s="35" t="str">
        <f aca="false">IFERROR(CHOOSE(MATCH(INDEX(時間ごとの判定!$AT$3:$AT$1850,1492),{"利用可","両方停止","運転がそろわない","判定不能"},0),"○","停","×","－"),"")</f>
        <v>－</v>
      </c>
      <c r="AF66" s="35" t="str">
        <f aca="false">IFERROR(CHOOSE(MATCH(INDEX(時間ごとの判定!$AT$3:$AT$1850,1493),{"利用可","両方停止","運転がそろわない","判定不能"},0),"○","停","×","－"),"")</f>
        <v>－</v>
      </c>
      <c r="AG66" s="35" t="str">
        <f aca="false">IFERROR(CHOOSE(MATCH(INDEX(時間ごとの判定!$AT$3:$AT$1850,1494),{"利用可","両方停止","運転がそろわない","判定不能"},0),"○","停","×","－"),"")</f>
        <v>－</v>
      </c>
      <c r="AH66" s="35" t="str">
        <f aca="false">IFERROR(CHOOSE(MATCH(INDEX(時間ごとの判定!$AT$3:$AT$1850,1495),{"利用可","両方停止","運転がそろわない","判定不能"},0),"○","停","×","－"),"")</f>
        <v>－</v>
      </c>
      <c r="AI66" s="35" t="str">
        <f aca="false">IFERROR(CHOOSE(MATCH(INDEX(時間ごとの判定!$AT$3:$AT$1850,1496),{"利用可","両方停止","運転がそろわない","判定不能"},0),"○","停","×","－"),"")</f>
        <v>－</v>
      </c>
      <c r="AJ66" s="35" t="str">
        <f aca="false">IFERROR(CHOOSE(MATCH(INDEX(時間ごとの判定!$AT$3:$AT$1850,1497),{"利用可","両方停止","運転がそろわない","判定不能"},0),"○","停","×","－"),"")</f>
        <v>－</v>
      </c>
      <c r="AK66" s="35" t="str">
        <f aca="false">IFERROR(CHOOSE(MATCH(INDEX(時間ごとの判定!$AT$3:$AT$1850,1498),{"利用可","両方停止","運転がそろわない","判定不能"},0),"○","停","×","－"),"")</f>
        <v>－</v>
      </c>
      <c r="AL66" s="35" t="str">
        <f aca="false">IFERROR(CHOOSE(MATCH(INDEX(時間ごとの判定!$AT$3:$AT$1850,1499),{"利用可","両方停止","運転がそろわない","判定不能"},0),"○","停","×","－"),"")</f>
        <v>－</v>
      </c>
      <c r="AM66" s="35" t="str">
        <f aca="false">IFERROR(CHOOSE(MATCH(INDEX(時間ごとの判定!$AT$3:$AT$1850,1500),{"利用可","両方停止","運転がそろわない","判定不能"},0),"○","停","×","－"),"")</f>
        <v>－</v>
      </c>
      <c r="AN66" s="35" t="str">
        <f aca="false">IFERROR(CHOOSE(MATCH(INDEX(時間ごとの判定!$AT$3:$AT$1850,1501),{"利用可","両方停止","運転がそろわない","判定不能"},0),"○","停","×","－"),"")</f>
        <v>－</v>
      </c>
      <c r="AO66" s="35" t="str">
        <f aca="false">IFERROR(CHOOSE(MATCH(INDEX(時間ごとの判定!$AT$3:$AT$1850,1502),{"利用可","両方停止","運転がそろわない","判定不能"},0),"○","停","×","－"),"")</f>
        <v>－</v>
      </c>
      <c r="AP66" s="35" t="str">
        <f aca="false">IFERROR(CHOOSE(MATCH(INDEX(時間ごとの判定!$AT$3:$AT$1850,1503),{"利用可","両方停止","運転がそろわない","判定不能"},0),"○","停","×","－"),"")</f>
        <v>－</v>
      </c>
      <c r="AQ66" s="35" t="str">
        <f aca="false">IFERROR(CHOOSE(MATCH(INDEX(時間ごとの判定!$AT$3:$AT$1850,1504),{"利用可","両方停止","運転がそろわない","判定不能"},0),"○","停","×","－"),"")</f>
        <v>－</v>
      </c>
      <c r="AR66" s="35" t="str">
        <f aca="false">IFERROR(CHOOSE(MATCH(INDEX(時間ごとの判定!$AT$3:$AT$1850,1505),{"利用可","両方停止","運転がそろわない","判定不能"},0),"○","停","×","－"),"")</f>
        <v>－</v>
      </c>
      <c r="AS66" s="35" t="str">
        <f aca="false">IFERROR(CHOOSE(MATCH(INDEX(時間ごとの判定!$AT$3:$AT$1850,1506),{"利用可","両方停止","運転がそろわない","判定不能"},0),"○","停","×","－"),"")</f>
        <v>－</v>
      </c>
      <c r="AT66" s="35" t="str">
        <f aca="false">IFERROR(CHOOSE(MATCH(INDEX(時間ごとの判定!$AT$3:$AT$1850,1507),{"利用可","両方停止","運転がそろわない","判定不能"},0),"○","停","×","－"),"")</f>
        <v>－</v>
      </c>
      <c r="AU66" s="35" t="str">
        <f aca="false">IFERROR(CHOOSE(MATCH(INDEX(時間ごとの判定!$AT$3:$AT$1850,1508),{"利用可","両方停止","運転がそろわない","判定不能"},0),"○","停","×","－"),"")</f>
        <v>－</v>
      </c>
      <c r="AV66" s="35" t="str">
        <f aca="false">IFERROR(CHOOSE(MATCH(INDEX(時間ごとの判定!$AT$3:$AT$1850,1509),{"利用可","両方停止","運転がそろわない","判定不能"},0),"○","停","×","－"),"")</f>
        <v>－</v>
      </c>
      <c r="AW66" s="35" t="str">
        <f aca="false">IFERROR(CHOOSE(MATCH(INDEX(時間ごとの判定!$AT$3:$AT$1850,1510),{"利用可","両方停止","運転がそろわない","判定不能"},0),"○","停","×","－"),"")</f>
        <v>－</v>
      </c>
      <c r="AX66" s="35" t="str">
        <f aca="false">IFERROR(CHOOSE(MATCH(INDEX(時間ごとの判定!$AT$3:$AT$1850,1511),{"利用可","両方停止","運転がそろわない","判定不能"},0),"○","停","×","－"),"")</f>
        <v>－</v>
      </c>
      <c r="AY66" s="35" t="str">
        <f aca="false">IFERROR(CHOOSE(MATCH(INDEX(時間ごとの判定!$AT$3:$AT$1850,1512),{"利用可","両方停止","運転がそろわない","判定不能"},0),"○","停","×","－"),"")</f>
        <v>－</v>
      </c>
      <c r="AZ66" s="35"/>
      <c r="BA66" s="35" t="str">
        <f aca="false">IFERROR(CHOOSE(MATCH(INDEX(時間ごとの判定!$AW$3:$AW$1850,1489),{"利用可","両方停止","運転がそろわない","判定不能"},0),"○","停","×","－"),"")</f>
        <v>－</v>
      </c>
      <c r="BB66" s="35" t="str">
        <f aca="false">IFERROR(CHOOSE(MATCH(INDEX(時間ごとの判定!$AW$3:$AW$1850,1490),{"利用可","両方停止","運転がそろわない","判定不能"},0),"○","停","×","－"),"")</f>
        <v>－</v>
      </c>
      <c r="BC66" s="35" t="str">
        <f aca="false">IFERROR(CHOOSE(MATCH(INDEX(時間ごとの判定!$AW$3:$AW$1850,1491),{"利用可","両方停止","運転がそろわない","判定不能"},0),"○","停","×","－"),"")</f>
        <v>－</v>
      </c>
      <c r="BD66" s="35" t="str">
        <f aca="false">IFERROR(CHOOSE(MATCH(INDEX(時間ごとの判定!$AW$3:$AW$1850,1492),{"利用可","両方停止","運転がそろわない","判定不能"},0),"○","停","×","－"),"")</f>
        <v>－</v>
      </c>
      <c r="BE66" s="35" t="str">
        <f aca="false">IFERROR(CHOOSE(MATCH(INDEX(時間ごとの判定!$AW$3:$AW$1850,1493),{"利用可","両方停止","運転がそろわない","判定不能"},0),"○","停","×","－"),"")</f>
        <v>－</v>
      </c>
      <c r="BF66" s="35" t="str">
        <f aca="false">IFERROR(CHOOSE(MATCH(INDEX(時間ごとの判定!$AW$3:$AW$1850,1494),{"利用可","両方停止","運転がそろわない","判定不能"},0),"○","停","×","－"),"")</f>
        <v>－</v>
      </c>
      <c r="BG66" s="35" t="str">
        <f aca="false">IFERROR(CHOOSE(MATCH(INDEX(時間ごとの判定!$AW$3:$AW$1850,1495),{"利用可","両方停止","運転がそろわない","判定不能"},0),"○","停","×","－"),"")</f>
        <v>－</v>
      </c>
      <c r="BH66" s="35" t="str">
        <f aca="false">IFERROR(CHOOSE(MATCH(INDEX(時間ごとの判定!$AW$3:$AW$1850,1496),{"利用可","両方停止","運転がそろわない","判定不能"},0),"○","停","×","－"),"")</f>
        <v>－</v>
      </c>
      <c r="BI66" s="35" t="str">
        <f aca="false">IFERROR(CHOOSE(MATCH(INDEX(時間ごとの判定!$AW$3:$AW$1850,1497),{"利用可","両方停止","運転がそろわない","判定不能"},0),"○","停","×","－"),"")</f>
        <v>－</v>
      </c>
      <c r="BJ66" s="35" t="str">
        <f aca="false">IFERROR(CHOOSE(MATCH(INDEX(時間ごとの判定!$AW$3:$AW$1850,1498),{"利用可","両方停止","運転がそろわない","判定不能"},0),"○","停","×","－"),"")</f>
        <v>－</v>
      </c>
      <c r="BK66" s="35" t="str">
        <f aca="false">IFERROR(CHOOSE(MATCH(INDEX(時間ごとの判定!$AW$3:$AW$1850,1499),{"利用可","両方停止","運転がそろわない","判定不能"},0),"○","停","×","－"),"")</f>
        <v>－</v>
      </c>
      <c r="BL66" s="35" t="str">
        <f aca="false">IFERROR(CHOOSE(MATCH(INDEX(時間ごとの判定!$AW$3:$AW$1850,1500),{"利用可","両方停止","運転がそろわない","判定不能"},0),"○","停","×","－"),"")</f>
        <v>－</v>
      </c>
      <c r="BM66" s="35" t="str">
        <f aca="false">IFERROR(CHOOSE(MATCH(INDEX(時間ごとの判定!$AW$3:$AW$1850,1501),{"利用可","両方停止","運転がそろわない","判定不能"},0),"○","停","×","－"),"")</f>
        <v>－</v>
      </c>
      <c r="BN66" s="35" t="str">
        <f aca="false">IFERROR(CHOOSE(MATCH(INDEX(時間ごとの判定!$AW$3:$AW$1850,1502),{"利用可","両方停止","運転がそろわない","判定不能"},0),"○","停","×","－"),"")</f>
        <v>－</v>
      </c>
      <c r="BO66" s="35" t="str">
        <f aca="false">IFERROR(CHOOSE(MATCH(INDEX(時間ごとの判定!$AW$3:$AW$1850,1503),{"利用可","両方停止","運転がそろわない","判定不能"},0),"○","停","×","－"),"")</f>
        <v>－</v>
      </c>
      <c r="BP66" s="35" t="str">
        <f aca="false">IFERROR(CHOOSE(MATCH(INDEX(時間ごとの判定!$AW$3:$AW$1850,1504),{"利用可","両方停止","運転がそろわない","判定不能"},0),"○","停","×","－"),"")</f>
        <v>－</v>
      </c>
      <c r="BQ66" s="35" t="str">
        <f aca="false">IFERROR(CHOOSE(MATCH(INDEX(時間ごとの判定!$AW$3:$AW$1850,1505),{"利用可","両方停止","運転がそろわない","判定不能"},0),"○","停","×","－"),"")</f>
        <v>－</v>
      </c>
      <c r="BR66" s="35" t="str">
        <f aca="false">IFERROR(CHOOSE(MATCH(INDEX(時間ごとの判定!$AW$3:$AW$1850,1506),{"利用可","両方停止","運転がそろわない","判定不能"},0),"○","停","×","－"),"")</f>
        <v>－</v>
      </c>
      <c r="BS66" s="35" t="str">
        <f aca="false">IFERROR(CHOOSE(MATCH(INDEX(時間ごとの判定!$AW$3:$AW$1850,1507),{"利用可","両方停止","運転がそろわない","判定不能"},0),"○","停","×","－"),"")</f>
        <v>－</v>
      </c>
      <c r="BT66" s="35" t="str">
        <f aca="false">IFERROR(CHOOSE(MATCH(INDEX(時間ごとの判定!$AW$3:$AW$1850,1508),{"利用可","両方停止","運転がそろわない","判定不能"},0),"○","停","×","－"),"")</f>
        <v>－</v>
      </c>
      <c r="BU66" s="35" t="str">
        <f aca="false">IFERROR(CHOOSE(MATCH(INDEX(時間ごとの判定!$AW$3:$AW$1850,1509),{"利用可","両方停止","運転がそろわない","判定不能"},0),"○","停","×","－"),"")</f>
        <v>－</v>
      </c>
      <c r="BV66" s="35" t="str">
        <f aca="false">IFERROR(CHOOSE(MATCH(INDEX(時間ごとの判定!$AW$3:$AW$1850,1510),{"利用可","両方停止","運転がそろわない","判定不能"},0),"○","停","×","－"),"")</f>
        <v>－</v>
      </c>
      <c r="BW66" s="35" t="str">
        <f aca="false">IFERROR(CHOOSE(MATCH(INDEX(時間ごとの判定!$AW$3:$AW$1850,1511),{"利用可","両方停止","運転がそろわない","判定不能"},0),"○","停","×","－"),"")</f>
        <v>－</v>
      </c>
      <c r="BX66" s="35" t="str">
        <f aca="false">IFERROR(CHOOSE(MATCH(INDEX(時間ごとの判定!$AW$3:$AW$1850,1512),{"利用可","両方停止","運転がそろわない","判定不能"},0),"○","停","×","－"),"")</f>
        <v>－</v>
      </c>
    </row>
    <row r="67" customFormat="false" ht="15" hidden="false" customHeight="false" outlineLevel="0" collapsed="false">
      <c r="A67" s="33" t="n">
        <v>46295</v>
      </c>
      <c r="B67" s="34" t="s">
        <v>58</v>
      </c>
      <c r="C67" s="35" t="str">
        <f aca="false">IFERROR(CHOOSE(MATCH(INDEX(時間ごとの判定!$AQ$3:$AQ$1850,1513),{"利用可","両方停止","運転がそろわない","判定不能"},0),"○","停","×","－"),"")</f>
        <v>－</v>
      </c>
      <c r="D67" s="35" t="str">
        <f aca="false">IFERROR(CHOOSE(MATCH(INDEX(時間ごとの判定!$AQ$3:$AQ$1850,1514),{"利用可","両方停止","運転がそろわない","判定不能"},0),"○","停","×","－"),"")</f>
        <v>－</v>
      </c>
      <c r="E67" s="35" t="str">
        <f aca="false">IFERROR(CHOOSE(MATCH(INDEX(時間ごとの判定!$AQ$3:$AQ$1850,1515),{"利用可","両方停止","運転がそろわない","判定不能"},0),"○","停","×","－"),"")</f>
        <v>－</v>
      </c>
      <c r="F67" s="35" t="str">
        <f aca="false">IFERROR(CHOOSE(MATCH(INDEX(時間ごとの判定!$AQ$3:$AQ$1850,1516),{"利用可","両方停止","運転がそろわない","判定不能"},0),"○","停","×","－"),"")</f>
        <v>－</v>
      </c>
      <c r="G67" s="35" t="str">
        <f aca="false">IFERROR(CHOOSE(MATCH(INDEX(時間ごとの判定!$AQ$3:$AQ$1850,1517),{"利用可","両方停止","運転がそろわない","判定不能"},0),"○","停","×","－"),"")</f>
        <v>－</v>
      </c>
      <c r="H67" s="35" t="str">
        <f aca="false">IFERROR(CHOOSE(MATCH(INDEX(時間ごとの判定!$AQ$3:$AQ$1850,1518),{"利用可","両方停止","運転がそろわない","判定不能"},0),"○","停","×","－"),"")</f>
        <v>－</v>
      </c>
      <c r="I67" s="35" t="str">
        <f aca="false">IFERROR(CHOOSE(MATCH(INDEX(時間ごとの判定!$AQ$3:$AQ$1850,1519),{"利用可","両方停止","運転がそろわない","判定不能"},0),"○","停","×","－"),"")</f>
        <v>－</v>
      </c>
      <c r="J67" s="35" t="str">
        <f aca="false">IFERROR(CHOOSE(MATCH(INDEX(時間ごとの判定!$AQ$3:$AQ$1850,1520),{"利用可","両方停止","運転がそろわない","判定不能"},0),"○","停","×","－"),"")</f>
        <v>－</v>
      </c>
      <c r="K67" s="35" t="str">
        <f aca="false">IFERROR(CHOOSE(MATCH(INDEX(時間ごとの判定!$AQ$3:$AQ$1850,1521),{"利用可","両方停止","運転がそろわない","判定不能"},0),"○","停","×","－"),"")</f>
        <v>－</v>
      </c>
      <c r="L67" s="35" t="str">
        <f aca="false">IFERROR(CHOOSE(MATCH(INDEX(時間ごとの判定!$AQ$3:$AQ$1850,1522),{"利用可","両方停止","運転がそろわない","判定不能"},0),"○","停","×","－"),"")</f>
        <v>－</v>
      </c>
      <c r="M67" s="35" t="str">
        <f aca="false">IFERROR(CHOOSE(MATCH(INDEX(時間ごとの判定!$AQ$3:$AQ$1850,1523),{"利用可","両方停止","運転がそろわない","判定不能"},0),"○","停","×","－"),"")</f>
        <v>－</v>
      </c>
      <c r="N67" s="35" t="str">
        <f aca="false">IFERROR(CHOOSE(MATCH(INDEX(時間ごとの判定!$AQ$3:$AQ$1850,1524),{"利用可","両方停止","運転がそろわない","判定不能"},0),"○","停","×","－"),"")</f>
        <v>－</v>
      </c>
      <c r="O67" s="35" t="str">
        <f aca="false">IFERROR(CHOOSE(MATCH(INDEX(時間ごとの判定!$AQ$3:$AQ$1850,1525),{"利用可","両方停止","運転がそろわない","判定不能"},0),"○","停","×","－"),"")</f>
        <v>－</v>
      </c>
      <c r="P67" s="35" t="str">
        <f aca="false">IFERROR(CHOOSE(MATCH(INDEX(時間ごとの判定!$AQ$3:$AQ$1850,1526),{"利用可","両方停止","運転がそろわない","判定不能"},0),"○","停","×","－"),"")</f>
        <v>－</v>
      </c>
      <c r="Q67" s="35" t="str">
        <f aca="false">IFERROR(CHOOSE(MATCH(INDEX(時間ごとの判定!$AQ$3:$AQ$1850,1527),{"利用可","両方停止","運転がそろわない","判定不能"},0),"○","停","×","－"),"")</f>
        <v>－</v>
      </c>
      <c r="R67" s="35" t="str">
        <f aca="false">IFERROR(CHOOSE(MATCH(INDEX(時間ごとの判定!$AQ$3:$AQ$1850,1528),{"利用可","両方停止","運転がそろわない","判定不能"},0),"○","停","×","－"),"")</f>
        <v>－</v>
      </c>
      <c r="S67" s="35" t="str">
        <f aca="false">IFERROR(CHOOSE(MATCH(INDEX(時間ごとの判定!$AQ$3:$AQ$1850,1529),{"利用可","両方停止","運転がそろわない","判定不能"},0),"○","停","×","－"),"")</f>
        <v>－</v>
      </c>
      <c r="T67" s="35" t="str">
        <f aca="false">IFERROR(CHOOSE(MATCH(INDEX(時間ごとの判定!$AQ$3:$AQ$1850,1530),{"利用可","両方停止","運転がそろわない","判定不能"},0),"○","停","×","－"),"")</f>
        <v>－</v>
      </c>
      <c r="U67" s="35" t="str">
        <f aca="false">IFERROR(CHOOSE(MATCH(INDEX(時間ごとの判定!$AQ$3:$AQ$1850,1531),{"利用可","両方停止","運転がそろわない","判定不能"},0),"○","停","×","－"),"")</f>
        <v>－</v>
      </c>
      <c r="V67" s="35" t="str">
        <f aca="false">IFERROR(CHOOSE(MATCH(INDEX(時間ごとの判定!$AQ$3:$AQ$1850,1532),{"利用可","両方停止","運転がそろわない","判定不能"},0),"○","停","×","－"),"")</f>
        <v>－</v>
      </c>
      <c r="W67" s="35" t="str">
        <f aca="false">IFERROR(CHOOSE(MATCH(INDEX(時間ごとの判定!$AQ$3:$AQ$1850,1533),{"利用可","両方停止","運転がそろわない","判定不能"},0),"○","停","×","－"),"")</f>
        <v>－</v>
      </c>
      <c r="X67" s="35" t="str">
        <f aca="false">IFERROR(CHOOSE(MATCH(INDEX(時間ごとの判定!$AQ$3:$AQ$1850,1534),{"利用可","両方停止","運転がそろわない","判定不能"},0),"○","停","×","－"),"")</f>
        <v>－</v>
      </c>
      <c r="Y67" s="35" t="str">
        <f aca="false">IFERROR(CHOOSE(MATCH(INDEX(時間ごとの判定!$AQ$3:$AQ$1850,1535),{"利用可","両方停止","運転がそろわない","判定不能"},0),"○","停","×","－"),"")</f>
        <v>－</v>
      </c>
      <c r="Z67" s="35" t="str">
        <f aca="false">IFERROR(CHOOSE(MATCH(INDEX(時間ごとの判定!$AQ$3:$AQ$1850,1536),{"利用可","両方停止","運転がそろわない","判定不能"},0),"○","停","×","－"),"")</f>
        <v>－</v>
      </c>
      <c r="AA67" s="35"/>
      <c r="AB67" s="35" t="str">
        <f aca="false">IFERROR(CHOOSE(MATCH(INDEX(時間ごとの判定!$AT$3:$AT$1850,1513),{"利用可","両方停止","運転がそろわない","判定不能"},0),"○","停","×","－"),"")</f>
        <v>－</v>
      </c>
      <c r="AC67" s="35" t="str">
        <f aca="false">IFERROR(CHOOSE(MATCH(INDEX(時間ごとの判定!$AT$3:$AT$1850,1514),{"利用可","両方停止","運転がそろわない","判定不能"},0),"○","停","×","－"),"")</f>
        <v>－</v>
      </c>
      <c r="AD67" s="35" t="str">
        <f aca="false">IFERROR(CHOOSE(MATCH(INDEX(時間ごとの判定!$AT$3:$AT$1850,1515),{"利用可","両方停止","運転がそろわない","判定不能"},0),"○","停","×","－"),"")</f>
        <v>－</v>
      </c>
      <c r="AE67" s="35" t="str">
        <f aca="false">IFERROR(CHOOSE(MATCH(INDEX(時間ごとの判定!$AT$3:$AT$1850,1516),{"利用可","両方停止","運転がそろわない","判定不能"},0),"○","停","×","－"),"")</f>
        <v>－</v>
      </c>
      <c r="AF67" s="35" t="str">
        <f aca="false">IFERROR(CHOOSE(MATCH(INDEX(時間ごとの判定!$AT$3:$AT$1850,1517),{"利用可","両方停止","運転がそろわない","判定不能"},0),"○","停","×","－"),"")</f>
        <v>－</v>
      </c>
      <c r="AG67" s="35" t="str">
        <f aca="false">IFERROR(CHOOSE(MATCH(INDEX(時間ごとの判定!$AT$3:$AT$1850,1518),{"利用可","両方停止","運転がそろわない","判定不能"},0),"○","停","×","－"),"")</f>
        <v>－</v>
      </c>
      <c r="AH67" s="35" t="str">
        <f aca="false">IFERROR(CHOOSE(MATCH(INDEX(時間ごとの判定!$AT$3:$AT$1850,1519),{"利用可","両方停止","運転がそろわない","判定不能"},0),"○","停","×","－"),"")</f>
        <v>－</v>
      </c>
      <c r="AI67" s="35" t="str">
        <f aca="false">IFERROR(CHOOSE(MATCH(INDEX(時間ごとの判定!$AT$3:$AT$1850,1520),{"利用可","両方停止","運転がそろわない","判定不能"},0),"○","停","×","－"),"")</f>
        <v>－</v>
      </c>
      <c r="AJ67" s="35" t="str">
        <f aca="false">IFERROR(CHOOSE(MATCH(INDEX(時間ごとの判定!$AT$3:$AT$1850,1521),{"利用可","両方停止","運転がそろわない","判定不能"},0),"○","停","×","－"),"")</f>
        <v>－</v>
      </c>
      <c r="AK67" s="35" t="str">
        <f aca="false">IFERROR(CHOOSE(MATCH(INDEX(時間ごとの判定!$AT$3:$AT$1850,1522),{"利用可","両方停止","運転がそろわない","判定不能"},0),"○","停","×","－"),"")</f>
        <v>－</v>
      </c>
      <c r="AL67" s="35" t="str">
        <f aca="false">IFERROR(CHOOSE(MATCH(INDEX(時間ごとの判定!$AT$3:$AT$1850,1523),{"利用可","両方停止","運転がそろわない","判定不能"},0),"○","停","×","－"),"")</f>
        <v>－</v>
      </c>
      <c r="AM67" s="35" t="str">
        <f aca="false">IFERROR(CHOOSE(MATCH(INDEX(時間ごとの判定!$AT$3:$AT$1850,1524),{"利用可","両方停止","運転がそろわない","判定不能"},0),"○","停","×","－"),"")</f>
        <v>－</v>
      </c>
      <c r="AN67" s="35" t="str">
        <f aca="false">IFERROR(CHOOSE(MATCH(INDEX(時間ごとの判定!$AT$3:$AT$1850,1525),{"利用可","両方停止","運転がそろわない","判定不能"},0),"○","停","×","－"),"")</f>
        <v>－</v>
      </c>
      <c r="AO67" s="35" t="str">
        <f aca="false">IFERROR(CHOOSE(MATCH(INDEX(時間ごとの判定!$AT$3:$AT$1850,1526),{"利用可","両方停止","運転がそろわない","判定不能"},0),"○","停","×","－"),"")</f>
        <v>－</v>
      </c>
      <c r="AP67" s="35" t="str">
        <f aca="false">IFERROR(CHOOSE(MATCH(INDEX(時間ごとの判定!$AT$3:$AT$1850,1527),{"利用可","両方停止","運転がそろわない","判定不能"},0),"○","停","×","－"),"")</f>
        <v>－</v>
      </c>
      <c r="AQ67" s="35" t="str">
        <f aca="false">IFERROR(CHOOSE(MATCH(INDEX(時間ごとの判定!$AT$3:$AT$1850,1528),{"利用可","両方停止","運転がそろわない","判定不能"},0),"○","停","×","－"),"")</f>
        <v>－</v>
      </c>
      <c r="AR67" s="35" t="str">
        <f aca="false">IFERROR(CHOOSE(MATCH(INDEX(時間ごとの判定!$AT$3:$AT$1850,1529),{"利用可","両方停止","運転がそろわない","判定不能"},0),"○","停","×","－"),"")</f>
        <v>－</v>
      </c>
      <c r="AS67" s="35" t="str">
        <f aca="false">IFERROR(CHOOSE(MATCH(INDEX(時間ごとの判定!$AT$3:$AT$1850,1530),{"利用可","両方停止","運転がそろわない","判定不能"},0),"○","停","×","－"),"")</f>
        <v>－</v>
      </c>
      <c r="AT67" s="35" t="str">
        <f aca="false">IFERROR(CHOOSE(MATCH(INDEX(時間ごとの判定!$AT$3:$AT$1850,1531),{"利用可","両方停止","運転がそろわない","判定不能"},0),"○","停","×","－"),"")</f>
        <v>－</v>
      </c>
      <c r="AU67" s="35" t="str">
        <f aca="false">IFERROR(CHOOSE(MATCH(INDEX(時間ごとの判定!$AT$3:$AT$1850,1532),{"利用可","両方停止","運転がそろわない","判定不能"},0),"○","停","×","－"),"")</f>
        <v>－</v>
      </c>
      <c r="AV67" s="35" t="str">
        <f aca="false">IFERROR(CHOOSE(MATCH(INDEX(時間ごとの判定!$AT$3:$AT$1850,1533),{"利用可","両方停止","運転がそろわない","判定不能"},0),"○","停","×","－"),"")</f>
        <v>－</v>
      </c>
      <c r="AW67" s="35" t="str">
        <f aca="false">IFERROR(CHOOSE(MATCH(INDEX(時間ごとの判定!$AT$3:$AT$1850,1534),{"利用可","両方停止","運転がそろわない","判定不能"},0),"○","停","×","－"),"")</f>
        <v>－</v>
      </c>
      <c r="AX67" s="35" t="str">
        <f aca="false">IFERROR(CHOOSE(MATCH(INDEX(時間ごとの判定!$AT$3:$AT$1850,1535),{"利用可","両方停止","運転がそろわない","判定不能"},0),"○","停","×","－"),"")</f>
        <v>－</v>
      </c>
      <c r="AY67" s="35" t="str">
        <f aca="false">IFERROR(CHOOSE(MATCH(INDEX(時間ごとの判定!$AT$3:$AT$1850,1536),{"利用可","両方停止","運転がそろわない","判定不能"},0),"○","停","×","－"),"")</f>
        <v>－</v>
      </c>
      <c r="AZ67" s="35"/>
      <c r="BA67" s="35" t="str">
        <f aca="false">IFERROR(CHOOSE(MATCH(INDEX(時間ごとの判定!$AW$3:$AW$1850,1513),{"利用可","両方停止","運転がそろわない","判定不能"},0),"○","停","×","－"),"")</f>
        <v>－</v>
      </c>
      <c r="BB67" s="35" t="str">
        <f aca="false">IFERROR(CHOOSE(MATCH(INDEX(時間ごとの判定!$AW$3:$AW$1850,1514),{"利用可","両方停止","運転がそろわない","判定不能"},0),"○","停","×","－"),"")</f>
        <v>－</v>
      </c>
      <c r="BC67" s="35" t="str">
        <f aca="false">IFERROR(CHOOSE(MATCH(INDEX(時間ごとの判定!$AW$3:$AW$1850,1515),{"利用可","両方停止","運転がそろわない","判定不能"},0),"○","停","×","－"),"")</f>
        <v>－</v>
      </c>
      <c r="BD67" s="35" t="str">
        <f aca="false">IFERROR(CHOOSE(MATCH(INDEX(時間ごとの判定!$AW$3:$AW$1850,1516),{"利用可","両方停止","運転がそろわない","判定不能"},0),"○","停","×","－"),"")</f>
        <v>－</v>
      </c>
      <c r="BE67" s="35" t="str">
        <f aca="false">IFERROR(CHOOSE(MATCH(INDEX(時間ごとの判定!$AW$3:$AW$1850,1517),{"利用可","両方停止","運転がそろわない","判定不能"},0),"○","停","×","－"),"")</f>
        <v>－</v>
      </c>
      <c r="BF67" s="35" t="str">
        <f aca="false">IFERROR(CHOOSE(MATCH(INDEX(時間ごとの判定!$AW$3:$AW$1850,1518),{"利用可","両方停止","運転がそろわない","判定不能"},0),"○","停","×","－"),"")</f>
        <v>－</v>
      </c>
      <c r="BG67" s="35" t="str">
        <f aca="false">IFERROR(CHOOSE(MATCH(INDEX(時間ごとの判定!$AW$3:$AW$1850,1519),{"利用可","両方停止","運転がそろわない","判定不能"},0),"○","停","×","－"),"")</f>
        <v>－</v>
      </c>
      <c r="BH67" s="35" t="str">
        <f aca="false">IFERROR(CHOOSE(MATCH(INDEX(時間ごとの判定!$AW$3:$AW$1850,1520),{"利用可","両方停止","運転がそろわない","判定不能"},0),"○","停","×","－"),"")</f>
        <v>－</v>
      </c>
      <c r="BI67" s="35" t="str">
        <f aca="false">IFERROR(CHOOSE(MATCH(INDEX(時間ごとの判定!$AW$3:$AW$1850,1521),{"利用可","両方停止","運転がそろわない","判定不能"},0),"○","停","×","－"),"")</f>
        <v>－</v>
      </c>
      <c r="BJ67" s="35" t="str">
        <f aca="false">IFERROR(CHOOSE(MATCH(INDEX(時間ごとの判定!$AW$3:$AW$1850,1522),{"利用可","両方停止","運転がそろわない","判定不能"},0),"○","停","×","－"),"")</f>
        <v>－</v>
      </c>
      <c r="BK67" s="35" t="str">
        <f aca="false">IFERROR(CHOOSE(MATCH(INDEX(時間ごとの判定!$AW$3:$AW$1850,1523),{"利用可","両方停止","運転がそろわない","判定不能"},0),"○","停","×","－"),"")</f>
        <v>－</v>
      </c>
      <c r="BL67" s="35" t="str">
        <f aca="false">IFERROR(CHOOSE(MATCH(INDEX(時間ごとの判定!$AW$3:$AW$1850,1524),{"利用可","両方停止","運転がそろわない","判定不能"},0),"○","停","×","－"),"")</f>
        <v>－</v>
      </c>
      <c r="BM67" s="35" t="str">
        <f aca="false">IFERROR(CHOOSE(MATCH(INDEX(時間ごとの判定!$AW$3:$AW$1850,1525),{"利用可","両方停止","運転がそろわない","判定不能"},0),"○","停","×","－"),"")</f>
        <v>－</v>
      </c>
      <c r="BN67" s="35" t="str">
        <f aca="false">IFERROR(CHOOSE(MATCH(INDEX(時間ごとの判定!$AW$3:$AW$1850,1526),{"利用可","両方停止","運転がそろわない","判定不能"},0),"○","停","×","－"),"")</f>
        <v>－</v>
      </c>
      <c r="BO67" s="35" t="str">
        <f aca="false">IFERROR(CHOOSE(MATCH(INDEX(時間ごとの判定!$AW$3:$AW$1850,1527),{"利用可","両方停止","運転がそろわない","判定不能"},0),"○","停","×","－"),"")</f>
        <v>－</v>
      </c>
      <c r="BP67" s="35" t="str">
        <f aca="false">IFERROR(CHOOSE(MATCH(INDEX(時間ごとの判定!$AW$3:$AW$1850,1528),{"利用可","両方停止","運転がそろわない","判定不能"},0),"○","停","×","－"),"")</f>
        <v>－</v>
      </c>
      <c r="BQ67" s="35" t="str">
        <f aca="false">IFERROR(CHOOSE(MATCH(INDEX(時間ごとの判定!$AW$3:$AW$1850,1529),{"利用可","両方停止","運転がそろわない","判定不能"},0),"○","停","×","－"),"")</f>
        <v>－</v>
      </c>
      <c r="BR67" s="35" t="str">
        <f aca="false">IFERROR(CHOOSE(MATCH(INDEX(時間ごとの判定!$AW$3:$AW$1850,1530),{"利用可","両方停止","運転がそろわない","判定不能"},0),"○","停","×","－"),"")</f>
        <v>－</v>
      </c>
      <c r="BS67" s="35" t="str">
        <f aca="false">IFERROR(CHOOSE(MATCH(INDEX(時間ごとの判定!$AW$3:$AW$1850,1531),{"利用可","両方停止","運転がそろわない","判定不能"},0),"○","停","×","－"),"")</f>
        <v>－</v>
      </c>
      <c r="BT67" s="35" t="str">
        <f aca="false">IFERROR(CHOOSE(MATCH(INDEX(時間ごとの判定!$AW$3:$AW$1850,1532),{"利用可","両方停止","運転がそろわない","判定不能"},0),"○","停","×","－"),"")</f>
        <v>－</v>
      </c>
      <c r="BU67" s="35" t="str">
        <f aca="false">IFERROR(CHOOSE(MATCH(INDEX(時間ごとの判定!$AW$3:$AW$1850,1533),{"利用可","両方停止","運転がそろわない","判定不能"},0),"○","停","×","－"),"")</f>
        <v>－</v>
      </c>
      <c r="BV67" s="35" t="str">
        <f aca="false">IFERROR(CHOOSE(MATCH(INDEX(時間ごとの判定!$AW$3:$AW$1850,1534),{"利用可","両方停止","運転がそろわない","判定不能"},0),"○","停","×","－"),"")</f>
        <v>－</v>
      </c>
      <c r="BW67" s="35" t="str">
        <f aca="false">IFERROR(CHOOSE(MATCH(INDEX(時間ごとの判定!$AW$3:$AW$1850,1535),{"利用可","両方停止","運転がそろわない","判定不能"},0),"○","停","×","－"),"")</f>
        <v>－</v>
      </c>
      <c r="BX67" s="35" t="str">
        <f aca="false">IFERROR(CHOOSE(MATCH(INDEX(時間ごとの判定!$AW$3:$AW$1850,1536),{"利用可","両方停止","運転がそろわない","判定不能"},0),"○","停","×","－"),"")</f>
        <v>－</v>
      </c>
    </row>
    <row r="68" customFormat="false" ht="15" hidden="false" customHeight="false" outlineLevel="0" collapsed="false">
      <c r="A68" s="33" t="n">
        <v>46296</v>
      </c>
      <c r="B68" s="34" t="s">
        <v>61</v>
      </c>
      <c r="C68" s="35" t="str">
        <f aca="false">IFERROR(CHOOSE(MATCH(INDEX(時間ごとの判定!$AQ$3:$AQ$1850,1537),{"利用可","両方停止","運転がそろわない","判定不能"},0),"○","停","×","－"),"")</f>
        <v>－</v>
      </c>
      <c r="D68" s="35" t="str">
        <f aca="false">IFERROR(CHOOSE(MATCH(INDEX(時間ごとの判定!$AQ$3:$AQ$1850,1538),{"利用可","両方停止","運転がそろわない","判定不能"},0),"○","停","×","－"),"")</f>
        <v>－</v>
      </c>
      <c r="E68" s="35" t="str">
        <f aca="false">IFERROR(CHOOSE(MATCH(INDEX(時間ごとの判定!$AQ$3:$AQ$1850,1539),{"利用可","両方停止","運転がそろわない","判定不能"},0),"○","停","×","－"),"")</f>
        <v>－</v>
      </c>
      <c r="F68" s="35" t="str">
        <f aca="false">IFERROR(CHOOSE(MATCH(INDEX(時間ごとの判定!$AQ$3:$AQ$1850,1540),{"利用可","両方停止","運転がそろわない","判定不能"},0),"○","停","×","－"),"")</f>
        <v>－</v>
      </c>
      <c r="G68" s="35" t="str">
        <f aca="false">IFERROR(CHOOSE(MATCH(INDEX(時間ごとの判定!$AQ$3:$AQ$1850,1541),{"利用可","両方停止","運転がそろわない","判定不能"},0),"○","停","×","－"),"")</f>
        <v>－</v>
      </c>
      <c r="H68" s="35" t="str">
        <f aca="false">IFERROR(CHOOSE(MATCH(INDEX(時間ごとの判定!$AQ$3:$AQ$1850,1542),{"利用可","両方停止","運転がそろわない","判定不能"},0),"○","停","×","－"),"")</f>
        <v>－</v>
      </c>
      <c r="I68" s="35" t="str">
        <f aca="false">IFERROR(CHOOSE(MATCH(INDEX(時間ごとの判定!$AQ$3:$AQ$1850,1543),{"利用可","両方停止","運転がそろわない","判定不能"},0),"○","停","×","－"),"")</f>
        <v>－</v>
      </c>
      <c r="J68" s="35" t="str">
        <f aca="false">IFERROR(CHOOSE(MATCH(INDEX(時間ごとの判定!$AQ$3:$AQ$1850,1544),{"利用可","両方停止","運転がそろわない","判定不能"},0),"○","停","×","－"),"")</f>
        <v>－</v>
      </c>
      <c r="K68" s="35" t="str">
        <f aca="false">IFERROR(CHOOSE(MATCH(INDEX(時間ごとの判定!$AQ$3:$AQ$1850,1545),{"利用可","両方停止","運転がそろわない","判定不能"},0),"○","停","×","－"),"")</f>
        <v>－</v>
      </c>
      <c r="L68" s="35" t="str">
        <f aca="false">IFERROR(CHOOSE(MATCH(INDEX(時間ごとの判定!$AQ$3:$AQ$1850,1546),{"利用可","両方停止","運転がそろわない","判定不能"},0),"○","停","×","－"),"")</f>
        <v>－</v>
      </c>
      <c r="M68" s="35" t="str">
        <f aca="false">IFERROR(CHOOSE(MATCH(INDEX(時間ごとの判定!$AQ$3:$AQ$1850,1547),{"利用可","両方停止","運転がそろわない","判定不能"},0),"○","停","×","－"),"")</f>
        <v>－</v>
      </c>
      <c r="N68" s="35" t="str">
        <f aca="false">IFERROR(CHOOSE(MATCH(INDEX(時間ごとの判定!$AQ$3:$AQ$1850,1548),{"利用可","両方停止","運転がそろわない","判定不能"},0),"○","停","×","－"),"")</f>
        <v>－</v>
      </c>
      <c r="O68" s="35" t="str">
        <f aca="false">IFERROR(CHOOSE(MATCH(INDEX(時間ごとの判定!$AQ$3:$AQ$1850,1549),{"利用可","両方停止","運転がそろわない","判定不能"},0),"○","停","×","－"),"")</f>
        <v>－</v>
      </c>
      <c r="P68" s="35" t="str">
        <f aca="false">IFERROR(CHOOSE(MATCH(INDEX(時間ごとの判定!$AQ$3:$AQ$1850,1550),{"利用可","両方停止","運転がそろわない","判定不能"},0),"○","停","×","－"),"")</f>
        <v>－</v>
      </c>
      <c r="Q68" s="35" t="str">
        <f aca="false">IFERROR(CHOOSE(MATCH(INDEX(時間ごとの判定!$AQ$3:$AQ$1850,1551),{"利用可","両方停止","運転がそろわない","判定不能"},0),"○","停","×","－"),"")</f>
        <v>－</v>
      </c>
      <c r="R68" s="35" t="str">
        <f aca="false">IFERROR(CHOOSE(MATCH(INDEX(時間ごとの判定!$AQ$3:$AQ$1850,1552),{"利用可","両方停止","運転がそろわない","判定不能"},0),"○","停","×","－"),"")</f>
        <v>○</v>
      </c>
      <c r="S68" s="35" t="str">
        <f aca="false">IFERROR(CHOOSE(MATCH(INDEX(時間ごとの判定!$AQ$3:$AQ$1850,1553),{"利用可","両方停止","運転がそろわない","判定不能"},0),"○","停","×","－"),"")</f>
        <v>○</v>
      </c>
      <c r="T68" s="35" t="str">
        <f aca="false">IFERROR(CHOOSE(MATCH(INDEX(時間ごとの判定!$AQ$3:$AQ$1850,1554),{"利用可","両方停止","運転がそろわない","判定不能"},0),"○","停","×","－"),"")</f>
        <v>○</v>
      </c>
      <c r="U68" s="35" t="str">
        <f aca="false">IFERROR(CHOOSE(MATCH(INDEX(時間ごとの判定!$AQ$3:$AQ$1850,1555),{"利用可","両方停止","運転がそろわない","判定不能"},0),"○","停","×","－"),"")</f>
        <v>○</v>
      </c>
      <c r="V68" s="35" t="str">
        <f aca="false">IFERROR(CHOOSE(MATCH(INDEX(時間ごとの判定!$AQ$3:$AQ$1850,1556),{"利用可","両方停止","運転がそろわない","判定不能"},0),"○","停","×","－"),"")</f>
        <v>×</v>
      </c>
      <c r="W68" s="35" t="str">
        <f aca="false">IFERROR(CHOOSE(MATCH(INDEX(時間ごとの判定!$AQ$3:$AQ$1850,1557),{"利用可","両方停止","運転がそろわない","判定不能"},0),"○","停","×","－"),"")</f>
        <v>×</v>
      </c>
      <c r="X68" s="35" t="str">
        <f aca="false">IFERROR(CHOOSE(MATCH(INDEX(時間ごとの判定!$AQ$3:$AQ$1850,1558),{"利用可","両方停止","運転がそろわない","判定不能"},0),"○","停","×","－"),"")</f>
        <v>停</v>
      </c>
      <c r="Y68" s="35" t="str">
        <f aca="false">IFERROR(CHOOSE(MATCH(INDEX(時間ごとの判定!$AQ$3:$AQ$1850,1559),{"利用可","両方停止","運転がそろわない","判定不能"},0),"○","停","×","－"),"")</f>
        <v>×</v>
      </c>
      <c r="Z68" s="35" t="str">
        <f aca="false">IFERROR(CHOOSE(MATCH(INDEX(時間ごとの判定!$AQ$3:$AQ$1850,1560),{"利用可","両方停止","運転がそろわない","判定不能"},0),"○","停","×","－"),"")</f>
        <v>停</v>
      </c>
      <c r="AA68" s="35"/>
      <c r="AB68" s="35" t="str">
        <f aca="false">IFERROR(CHOOSE(MATCH(INDEX(時間ごとの判定!$AT$3:$AT$1850,1537),{"利用可","両方停止","運転がそろわない","判定不能"},0),"○","停","×","－"),"")</f>
        <v>－</v>
      </c>
      <c r="AC68" s="35" t="str">
        <f aca="false">IFERROR(CHOOSE(MATCH(INDEX(時間ごとの判定!$AT$3:$AT$1850,1538),{"利用可","両方停止","運転がそろわない","判定不能"},0),"○","停","×","－"),"")</f>
        <v>－</v>
      </c>
      <c r="AD68" s="35" t="str">
        <f aca="false">IFERROR(CHOOSE(MATCH(INDEX(時間ごとの判定!$AT$3:$AT$1850,1539),{"利用可","両方停止","運転がそろわない","判定不能"},0),"○","停","×","－"),"")</f>
        <v>－</v>
      </c>
      <c r="AE68" s="35" t="str">
        <f aca="false">IFERROR(CHOOSE(MATCH(INDEX(時間ごとの判定!$AT$3:$AT$1850,1540),{"利用可","両方停止","運転がそろわない","判定不能"},0),"○","停","×","－"),"")</f>
        <v>－</v>
      </c>
      <c r="AF68" s="35" t="str">
        <f aca="false">IFERROR(CHOOSE(MATCH(INDEX(時間ごとの判定!$AT$3:$AT$1850,1541),{"利用可","両方停止","運転がそろわない","判定不能"},0),"○","停","×","－"),"")</f>
        <v>－</v>
      </c>
      <c r="AG68" s="35" t="str">
        <f aca="false">IFERROR(CHOOSE(MATCH(INDEX(時間ごとの判定!$AT$3:$AT$1850,1542),{"利用可","両方停止","運転がそろわない","判定不能"},0),"○","停","×","－"),"")</f>
        <v>－</v>
      </c>
      <c r="AH68" s="35" t="str">
        <f aca="false">IFERROR(CHOOSE(MATCH(INDEX(時間ごとの判定!$AT$3:$AT$1850,1543),{"利用可","両方停止","運転がそろわない","判定不能"},0),"○","停","×","－"),"")</f>
        <v>－</v>
      </c>
      <c r="AI68" s="35" t="str">
        <f aca="false">IFERROR(CHOOSE(MATCH(INDEX(時間ごとの判定!$AT$3:$AT$1850,1544),{"利用可","両方停止","運転がそろわない","判定不能"},0),"○","停","×","－"),"")</f>
        <v>－</v>
      </c>
      <c r="AJ68" s="35" t="str">
        <f aca="false">IFERROR(CHOOSE(MATCH(INDEX(時間ごとの判定!$AT$3:$AT$1850,1545),{"利用可","両方停止","運転がそろわない","判定不能"},0),"○","停","×","－"),"")</f>
        <v>－</v>
      </c>
      <c r="AK68" s="35" t="str">
        <f aca="false">IFERROR(CHOOSE(MATCH(INDEX(時間ごとの判定!$AT$3:$AT$1850,1546),{"利用可","両方停止","運転がそろわない","判定不能"},0),"○","停","×","－"),"")</f>
        <v>－</v>
      </c>
      <c r="AL68" s="35" t="str">
        <f aca="false">IFERROR(CHOOSE(MATCH(INDEX(時間ごとの判定!$AT$3:$AT$1850,1547),{"利用可","両方停止","運転がそろわない","判定不能"},0),"○","停","×","－"),"")</f>
        <v>－</v>
      </c>
      <c r="AM68" s="35" t="str">
        <f aca="false">IFERROR(CHOOSE(MATCH(INDEX(時間ごとの判定!$AT$3:$AT$1850,1548),{"利用可","両方停止","運転がそろわない","判定不能"},0),"○","停","×","－"),"")</f>
        <v>－</v>
      </c>
      <c r="AN68" s="35" t="str">
        <f aca="false">IFERROR(CHOOSE(MATCH(INDEX(時間ごとの判定!$AT$3:$AT$1850,1549),{"利用可","両方停止","運転がそろわない","判定不能"},0),"○","停","×","－"),"")</f>
        <v>－</v>
      </c>
      <c r="AO68" s="35" t="str">
        <f aca="false">IFERROR(CHOOSE(MATCH(INDEX(時間ごとの判定!$AT$3:$AT$1850,1550),{"利用可","両方停止","運転がそろわない","判定不能"},0),"○","停","×","－"),"")</f>
        <v>－</v>
      </c>
      <c r="AP68" s="35" t="str">
        <f aca="false">IFERROR(CHOOSE(MATCH(INDEX(時間ごとの判定!$AT$3:$AT$1850,1551),{"利用可","両方停止","運転がそろわない","判定不能"},0),"○","停","×","－"),"")</f>
        <v>－</v>
      </c>
      <c r="AQ68" s="35" t="str">
        <f aca="false">IFERROR(CHOOSE(MATCH(INDEX(時間ごとの判定!$AT$3:$AT$1850,1552),{"利用可","両方停止","運転がそろわない","判定不能"},0),"○","停","×","－"),"")</f>
        <v>○</v>
      </c>
      <c r="AR68" s="35" t="str">
        <f aca="false">IFERROR(CHOOSE(MATCH(INDEX(時間ごとの判定!$AT$3:$AT$1850,1553),{"利用可","両方停止","運転がそろわない","判定不能"},0),"○","停","×","－"),"")</f>
        <v>○</v>
      </c>
      <c r="AS68" s="35" t="str">
        <f aca="false">IFERROR(CHOOSE(MATCH(INDEX(時間ごとの判定!$AT$3:$AT$1850,1554),{"利用可","両方停止","運転がそろわない","判定不能"},0),"○","停","×","－"),"")</f>
        <v>○</v>
      </c>
      <c r="AT68" s="35" t="str">
        <f aca="false">IFERROR(CHOOSE(MATCH(INDEX(時間ごとの判定!$AT$3:$AT$1850,1555),{"利用可","両方停止","運転がそろわない","判定不能"},0),"○","停","×","－"),"")</f>
        <v>○</v>
      </c>
      <c r="AU68" s="35" t="str">
        <f aca="false">IFERROR(CHOOSE(MATCH(INDEX(時間ごとの判定!$AT$3:$AT$1850,1556),{"利用可","両方停止","運転がそろわない","判定不能"},0),"○","停","×","－"),"")</f>
        <v>×</v>
      </c>
      <c r="AV68" s="35" t="str">
        <f aca="false">IFERROR(CHOOSE(MATCH(INDEX(時間ごとの判定!$AT$3:$AT$1850,1557),{"利用可","両方停止","運転がそろわない","判定不能"},0),"○","停","×","－"),"")</f>
        <v>×</v>
      </c>
      <c r="AW68" s="35" t="str">
        <f aca="false">IFERROR(CHOOSE(MATCH(INDEX(時間ごとの判定!$AT$3:$AT$1850,1558),{"利用可","両方停止","運転がそろわない","判定不能"},0),"○","停","×","－"),"")</f>
        <v>×</v>
      </c>
      <c r="AX68" s="35" t="str">
        <f aca="false">IFERROR(CHOOSE(MATCH(INDEX(時間ごとの判定!$AT$3:$AT$1850,1559),{"利用可","両方停止","運転がそろわない","判定不能"},0),"○","停","×","－"),"")</f>
        <v>×</v>
      </c>
      <c r="AY68" s="35" t="str">
        <f aca="false">IFERROR(CHOOSE(MATCH(INDEX(時間ごとの判定!$AT$3:$AT$1850,1560),{"利用可","両方停止","運転がそろわない","判定不能"},0),"○","停","×","－"),"")</f>
        <v>停</v>
      </c>
      <c r="AZ68" s="35"/>
      <c r="BA68" s="35" t="str">
        <f aca="false">IFERROR(CHOOSE(MATCH(INDEX(時間ごとの判定!$AW$3:$AW$1850,1537),{"利用可","両方停止","運転がそろわない","判定不能"},0),"○","停","×","－"),"")</f>
        <v>－</v>
      </c>
      <c r="BB68" s="35" t="str">
        <f aca="false">IFERROR(CHOOSE(MATCH(INDEX(時間ごとの判定!$AW$3:$AW$1850,1538),{"利用可","両方停止","運転がそろわない","判定不能"},0),"○","停","×","－"),"")</f>
        <v>－</v>
      </c>
      <c r="BC68" s="35" t="str">
        <f aca="false">IFERROR(CHOOSE(MATCH(INDEX(時間ごとの判定!$AW$3:$AW$1850,1539),{"利用可","両方停止","運転がそろわない","判定不能"},0),"○","停","×","－"),"")</f>
        <v>－</v>
      </c>
      <c r="BD68" s="35" t="str">
        <f aca="false">IFERROR(CHOOSE(MATCH(INDEX(時間ごとの判定!$AW$3:$AW$1850,1540),{"利用可","両方停止","運転がそろわない","判定不能"},0),"○","停","×","－"),"")</f>
        <v>－</v>
      </c>
      <c r="BE68" s="35" t="str">
        <f aca="false">IFERROR(CHOOSE(MATCH(INDEX(時間ごとの判定!$AW$3:$AW$1850,1541),{"利用可","両方停止","運転がそろわない","判定不能"},0),"○","停","×","－"),"")</f>
        <v>－</v>
      </c>
      <c r="BF68" s="35" t="str">
        <f aca="false">IFERROR(CHOOSE(MATCH(INDEX(時間ごとの判定!$AW$3:$AW$1850,1542),{"利用可","両方停止","運転がそろわない","判定不能"},0),"○","停","×","－"),"")</f>
        <v>－</v>
      </c>
      <c r="BG68" s="35" t="str">
        <f aca="false">IFERROR(CHOOSE(MATCH(INDEX(時間ごとの判定!$AW$3:$AW$1850,1543),{"利用可","両方停止","運転がそろわない","判定不能"},0),"○","停","×","－"),"")</f>
        <v>－</v>
      </c>
      <c r="BH68" s="35" t="str">
        <f aca="false">IFERROR(CHOOSE(MATCH(INDEX(時間ごとの判定!$AW$3:$AW$1850,1544),{"利用可","両方停止","運転がそろわない","判定不能"},0),"○","停","×","－"),"")</f>
        <v>－</v>
      </c>
      <c r="BI68" s="35" t="str">
        <f aca="false">IFERROR(CHOOSE(MATCH(INDEX(時間ごとの判定!$AW$3:$AW$1850,1545),{"利用可","両方停止","運転がそろわない","判定不能"},0),"○","停","×","－"),"")</f>
        <v>－</v>
      </c>
      <c r="BJ68" s="35" t="str">
        <f aca="false">IFERROR(CHOOSE(MATCH(INDEX(時間ごとの判定!$AW$3:$AW$1850,1546),{"利用可","両方停止","運転がそろわない","判定不能"},0),"○","停","×","－"),"")</f>
        <v>－</v>
      </c>
      <c r="BK68" s="35" t="str">
        <f aca="false">IFERROR(CHOOSE(MATCH(INDEX(時間ごとの判定!$AW$3:$AW$1850,1547),{"利用可","両方停止","運転がそろわない","判定不能"},0),"○","停","×","－"),"")</f>
        <v>－</v>
      </c>
      <c r="BL68" s="35" t="str">
        <f aca="false">IFERROR(CHOOSE(MATCH(INDEX(時間ごとの判定!$AW$3:$AW$1850,1548),{"利用可","両方停止","運転がそろわない","判定不能"},0),"○","停","×","－"),"")</f>
        <v>－</v>
      </c>
      <c r="BM68" s="35" t="str">
        <f aca="false">IFERROR(CHOOSE(MATCH(INDEX(時間ごとの判定!$AW$3:$AW$1850,1549),{"利用可","両方停止","運転がそろわない","判定不能"},0),"○","停","×","－"),"")</f>
        <v>－</v>
      </c>
      <c r="BN68" s="35" t="str">
        <f aca="false">IFERROR(CHOOSE(MATCH(INDEX(時間ごとの判定!$AW$3:$AW$1850,1550),{"利用可","両方停止","運転がそろわない","判定不能"},0),"○","停","×","－"),"")</f>
        <v>－</v>
      </c>
      <c r="BO68" s="35" t="str">
        <f aca="false">IFERROR(CHOOSE(MATCH(INDEX(時間ごとの判定!$AW$3:$AW$1850,1551),{"利用可","両方停止","運転がそろわない","判定不能"},0),"○","停","×","－"),"")</f>
        <v>－</v>
      </c>
      <c r="BP68" s="35" t="str">
        <f aca="false">IFERROR(CHOOSE(MATCH(INDEX(時間ごとの判定!$AW$3:$AW$1850,1552),{"利用可","両方停止","運転がそろわない","判定不能"},0),"○","停","×","－"),"")</f>
        <v>○</v>
      </c>
      <c r="BQ68" s="35" t="str">
        <f aca="false">IFERROR(CHOOSE(MATCH(INDEX(時間ごとの判定!$AW$3:$AW$1850,1553),{"利用可","両方停止","運転がそろわない","判定不能"},0),"○","停","×","－"),"")</f>
        <v>×</v>
      </c>
      <c r="BR68" s="35" t="str">
        <f aca="false">IFERROR(CHOOSE(MATCH(INDEX(時間ごとの判定!$AW$3:$AW$1850,1554),{"利用可","両方停止","運転がそろわない","判定不能"},0),"○","停","×","－"),"")</f>
        <v>○</v>
      </c>
      <c r="BS68" s="35" t="str">
        <f aca="false">IFERROR(CHOOSE(MATCH(INDEX(時間ごとの判定!$AW$3:$AW$1850,1555),{"利用可","両方停止","運転がそろわない","判定不能"},0),"○","停","×","－"),"")</f>
        <v>×</v>
      </c>
      <c r="BT68" s="35" t="str">
        <f aca="false">IFERROR(CHOOSE(MATCH(INDEX(時間ごとの判定!$AW$3:$AW$1850,1556),{"利用可","両方停止","運転がそろわない","判定不能"},0),"○","停","×","－"),"")</f>
        <v>×</v>
      </c>
      <c r="BU68" s="35" t="str">
        <f aca="false">IFERROR(CHOOSE(MATCH(INDEX(時間ごとの判定!$AW$3:$AW$1850,1557),{"利用可","両方停止","運転がそろわない","判定不能"},0),"○","停","×","－"),"")</f>
        <v>×</v>
      </c>
      <c r="BV68" s="35" t="str">
        <f aca="false">IFERROR(CHOOSE(MATCH(INDEX(時間ごとの判定!$AW$3:$AW$1850,1558),{"利用可","両方停止","運転がそろわない","判定不能"},0),"○","停","×","－"),"")</f>
        <v>停</v>
      </c>
      <c r="BW68" s="35" t="str">
        <f aca="false">IFERROR(CHOOSE(MATCH(INDEX(時間ごとの判定!$AW$3:$AW$1850,1559),{"利用可","両方停止","運転がそろわない","判定不能"},0),"○","停","×","－"),"")</f>
        <v>停</v>
      </c>
      <c r="BX68" s="35" t="str">
        <f aca="false">IFERROR(CHOOSE(MATCH(INDEX(時間ごとの判定!$AW$3:$AW$1850,1560),{"利用可","両方停止","運転がそろわない","判定不能"},0),"○","停","×","－"),"")</f>
        <v>停</v>
      </c>
    </row>
    <row r="69" customFormat="false" ht="15" hidden="false" customHeight="false" outlineLevel="0" collapsed="false">
      <c r="A69" s="33" t="n">
        <v>46297</v>
      </c>
      <c r="B69" s="34" t="s">
        <v>62</v>
      </c>
      <c r="C69" s="35" t="str">
        <f aca="false">IFERROR(CHOOSE(MATCH(INDEX(時間ごとの判定!$AQ$3:$AQ$1850,1561),{"利用可","両方停止","運転がそろわない","判定不能"},0),"○","停","×","－"),"")</f>
        <v>停</v>
      </c>
      <c r="D69" s="35" t="str">
        <f aca="false">IFERROR(CHOOSE(MATCH(INDEX(時間ごとの判定!$AQ$3:$AQ$1850,1562),{"利用可","両方停止","運転がそろわない","判定不能"},0),"○","停","×","－"),"")</f>
        <v>停</v>
      </c>
      <c r="E69" s="35" t="str">
        <f aca="false">IFERROR(CHOOSE(MATCH(INDEX(時間ごとの判定!$AQ$3:$AQ$1850,1563),{"利用可","両方停止","運転がそろわない","判定不能"},0),"○","停","×","－"),"")</f>
        <v>停</v>
      </c>
      <c r="F69" s="35" t="str">
        <f aca="false">IFERROR(CHOOSE(MATCH(INDEX(時間ごとの判定!$AQ$3:$AQ$1850,1564),{"利用可","両方停止","運転がそろわない","判定不能"},0),"○","停","×","－"),"")</f>
        <v>停</v>
      </c>
      <c r="G69" s="35" t="str">
        <f aca="false">IFERROR(CHOOSE(MATCH(INDEX(時間ごとの判定!$AQ$3:$AQ$1850,1565),{"利用可","両方停止","運転がそろわない","判定不能"},0),"○","停","×","－"),"")</f>
        <v>停</v>
      </c>
      <c r="H69" s="35" t="str">
        <f aca="false">IFERROR(CHOOSE(MATCH(INDEX(時間ごとの判定!$AQ$3:$AQ$1850,1566),{"利用可","両方停止","運転がそろわない","判定不能"},0),"○","停","×","－"),"")</f>
        <v>停</v>
      </c>
      <c r="I69" s="35" t="str">
        <f aca="false">IFERROR(CHOOSE(MATCH(INDEX(時間ごとの判定!$AQ$3:$AQ$1850,1567),{"利用可","両方停止","運転がそろわない","判定不能"},0),"○","停","×","－"),"")</f>
        <v>停</v>
      </c>
      <c r="J69" s="35" t="str">
        <f aca="false">IFERROR(CHOOSE(MATCH(INDEX(時間ごとの判定!$AQ$3:$AQ$1850,1568),{"利用可","両方停止","運転がそろわない","判定不能"},0),"○","停","×","－"),"")</f>
        <v>×</v>
      </c>
      <c r="K69" s="35" t="str">
        <f aca="false">IFERROR(CHOOSE(MATCH(INDEX(時間ごとの判定!$AQ$3:$AQ$1850,1569),{"利用可","両方停止","運転がそろわない","判定不能"},0),"○","停","×","－"),"")</f>
        <v>×</v>
      </c>
      <c r="L69" s="35" t="str">
        <f aca="false">IFERROR(CHOOSE(MATCH(INDEX(時間ごとの判定!$AQ$3:$AQ$1850,1570),{"利用可","両方停止","運転がそろわない","判定不能"},0),"○","停","×","－"),"")</f>
        <v>×</v>
      </c>
      <c r="M69" s="35" t="str">
        <f aca="false">IFERROR(CHOOSE(MATCH(INDEX(時間ごとの判定!$AQ$3:$AQ$1850,1571),{"利用可","両方停止","運転がそろわない","判定不能"},0),"○","停","×","－"),"")</f>
        <v>×</v>
      </c>
      <c r="N69" s="35" t="str">
        <f aca="false">IFERROR(CHOOSE(MATCH(INDEX(時間ごとの判定!$AQ$3:$AQ$1850,1572),{"利用可","両方停止","運転がそろわない","判定不能"},0),"○","停","×","－"),"")</f>
        <v>×</v>
      </c>
      <c r="O69" s="35" t="str">
        <f aca="false">IFERROR(CHOOSE(MATCH(INDEX(時間ごとの判定!$AQ$3:$AQ$1850,1573),{"利用可","両方停止","運転がそろわない","判定不能"},0),"○","停","×","－"),"")</f>
        <v>×</v>
      </c>
      <c r="P69" s="35" t="str">
        <f aca="false">IFERROR(CHOOSE(MATCH(INDEX(時間ごとの判定!$AQ$3:$AQ$1850,1574),{"利用可","両方停止","運転がそろわない","判定不能"},0),"○","停","×","－"),"")</f>
        <v>×</v>
      </c>
      <c r="Q69" s="35" t="str">
        <f aca="false">IFERROR(CHOOSE(MATCH(INDEX(時間ごとの判定!$AQ$3:$AQ$1850,1575),{"利用可","両方停止","運転がそろわない","判定不能"},0),"○","停","×","－"),"")</f>
        <v>×</v>
      </c>
      <c r="R69" s="35" t="str">
        <f aca="false">IFERROR(CHOOSE(MATCH(INDEX(時間ごとの判定!$AQ$3:$AQ$1850,1576),{"利用可","両方停止","運転がそろわない","判定不能"},0),"○","停","×","－"),"")</f>
        <v>×</v>
      </c>
      <c r="S69" s="35" t="str">
        <f aca="false">IFERROR(CHOOSE(MATCH(INDEX(時間ごとの判定!$AQ$3:$AQ$1850,1577),{"利用可","両方停止","運転がそろわない","判定不能"},0),"○","停","×","－"),"")</f>
        <v>×</v>
      </c>
      <c r="T69" s="35" t="str">
        <f aca="false">IFERROR(CHOOSE(MATCH(INDEX(時間ごとの判定!$AQ$3:$AQ$1850,1578),{"利用可","両方停止","運転がそろわない","判定不能"},0),"○","停","×","－"),"")</f>
        <v>×</v>
      </c>
      <c r="U69" s="35" t="str">
        <f aca="false">IFERROR(CHOOSE(MATCH(INDEX(時間ごとの判定!$AQ$3:$AQ$1850,1579),{"利用可","両方停止","運転がそろわない","判定不能"},0),"○","停","×","－"),"")</f>
        <v>○</v>
      </c>
      <c r="V69" s="35" t="str">
        <f aca="false">IFERROR(CHOOSE(MATCH(INDEX(時間ごとの判定!$AQ$3:$AQ$1850,1580),{"利用可","両方停止","運転がそろわない","判定不能"},0),"○","停","×","－"),"")</f>
        <v>×</v>
      </c>
      <c r="W69" s="35" t="str">
        <f aca="false">IFERROR(CHOOSE(MATCH(INDEX(時間ごとの判定!$AQ$3:$AQ$1850,1581),{"利用可","両方停止","運転がそろわない","判定不能"},0),"○","停","×","－"),"")</f>
        <v>×</v>
      </c>
      <c r="X69" s="35" t="str">
        <f aca="false">IFERROR(CHOOSE(MATCH(INDEX(時間ごとの判定!$AQ$3:$AQ$1850,1582),{"利用可","両方停止","運転がそろわない","判定不能"},0),"○","停","×","－"),"")</f>
        <v>×</v>
      </c>
      <c r="Y69" s="35" t="str">
        <f aca="false">IFERROR(CHOOSE(MATCH(INDEX(時間ごとの判定!$AQ$3:$AQ$1850,1583),{"利用可","両方停止","運転がそろわない","判定不能"},0),"○","停","×","－"),"")</f>
        <v>×</v>
      </c>
      <c r="Z69" s="35" t="str">
        <f aca="false">IFERROR(CHOOSE(MATCH(INDEX(時間ごとの判定!$AQ$3:$AQ$1850,1584),{"利用可","両方停止","運転がそろわない","判定不能"},0),"○","停","×","－"),"")</f>
        <v>停</v>
      </c>
      <c r="AA69" s="35"/>
      <c r="AB69" s="35" t="str">
        <f aca="false">IFERROR(CHOOSE(MATCH(INDEX(時間ごとの判定!$AT$3:$AT$1850,1561),{"利用可","両方停止","運転がそろわない","判定不能"},0),"○","停","×","－"),"")</f>
        <v>停</v>
      </c>
      <c r="AC69" s="35" t="str">
        <f aca="false">IFERROR(CHOOSE(MATCH(INDEX(時間ごとの判定!$AT$3:$AT$1850,1562),{"利用可","両方停止","運転がそろわない","判定不能"},0),"○","停","×","－"),"")</f>
        <v>停</v>
      </c>
      <c r="AD69" s="35" t="str">
        <f aca="false">IFERROR(CHOOSE(MATCH(INDEX(時間ごとの判定!$AT$3:$AT$1850,1563),{"利用可","両方停止","運転がそろわない","判定不能"},0),"○","停","×","－"),"")</f>
        <v>停</v>
      </c>
      <c r="AE69" s="35" t="str">
        <f aca="false">IFERROR(CHOOSE(MATCH(INDEX(時間ごとの判定!$AT$3:$AT$1850,1564),{"利用可","両方停止","運転がそろわない","判定不能"},0),"○","停","×","－"),"")</f>
        <v>停</v>
      </c>
      <c r="AF69" s="35" t="str">
        <f aca="false">IFERROR(CHOOSE(MATCH(INDEX(時間ごとの判定!$AT$3:$AT$1850,1565),{"利用可","両方停止","運転がそろわない","判定不能"},0),"○","停","×","－"),"")</f>
        <v>停</v>
      </c>
      <c r="AG69" s="35" t="str">
        <f aca="false">IFERROR(CHOOSE(MATCH(INDEX(時間ごとの判定!$AT$3:$AT$1850,1566),{"利用可","両方停止","運転がそろわない","判定不能"},0),"○","停","×","－"),"")</f>
        <v>停</v>
      </c>
      <c r="AH69" s="35" t="str">
        <f aca="false">IFERROR(CHOOSE(MATCH(INDEX(時間ごとの判定!$AT$3:$AT$1850,1567),{"利用可","両方停止","運転がそろわない","判定不能"},0),"○","停","×","－"),"")</f>
        <v>停</v>
      </c>
      <c r="AI69" s="35" t="str">
        <f aca="false">IFERROR(CHOOSE(MATCH(INDEX(時間ごとの判定!$AT$3:$AT$1850,1568),{"利用可","両方停止","運転がそろわない","判定不能"},0),"○","停","×","－"),"")</f>
        <v>×</v>
      </c>
      <c r="AJ69" s="35" t="str">
        <f aca="false">IFERROR(CHOOSE(MATCH(INDEX(時間ごとの判定!$AT$3:$AT$1850,1569),{"利用可","両方停止","運転がそろわない","判定不能"},0),"○","停","×","－"),"")</f>
        <v>×</v>
      </c>
      <c r="AK69" s="35" t="str">
        <f aca="false">IFERROR(CHOOSE(MATCH(INDEX(時間ごとの判定!$AT$3:$AT$1850,1570),{"利用可","両方停止","運転がそろわない","判定不能"},0),"○","停","×","－"),"")</f>
        <v>×</v>
      </c>
      <c r="AL69" s="35" t="str">
        <f aca="false">IFERROR(CHOOSE(MATCH(INDEX(時間ごとの判定!$AT$3:$AT$1850,1571),{"利用可","両方停止","運転がそろわない","判定不能"},0),"○","停","×","－"),"")</f>
        <v>×</v>
      </c>
      <c r="AM69" s="35" t="str">
        <f aca="false">IFERROR(CHOOSE(MATCH(INDEX(時間ごとの判定!$AT$3:$AT$1850,1572),{"利用可","両方停止","運転がそろわない","判定不能"},0),"○","停","×","－"),"")</f>
        <v>×</v>
      </c>
      <c r="AN69" s="35" t="str">
        <f aca="false">IFERROR(CHOOSE(MATCH(INDEX(時間ごとの判定!$AT$3:$AT$1850,1573),{"利用可","両方停止","運転がそろわない","判定不能"},0),"○","停","×","－"),"")</f>
        <v>○</v>
      </c>
      <c r="AO69" s="35" t="str">
        <f aca="false">IFERROR(CHOOSE(MATCH(INDEX(時間ごとの判定!$AT$3:$AT$1850,1574),{"利用可","両方停止","運転がそろわない","判定不能"},0),"○","停","×","－"),"")</f>
        <v>×</v>
      </c>
      <c r="AP69" s="35" t="str">
        <f aca="false">IFERROR(CHOOSE(MATCH(INDEX(時間ごとの判定!$AT$3:$AT$1850,1575),{"利用可","両方停止","運転がそろわない","判定不能"},0),"○","停","×","－"),"")</f>
        <v>×</v>
      </c>
      <c r="AQ69" s="35" t="str">
        <f aca="false">IFERROR(CHOOSE(MATCH(INDEX(時間ごとの判定!$AT$3:$AT$1850,1576),{"利用可","両方停止","運転がそろわない","判定不能"},0),"○","停","×","－"),"")</f>
        <v>×</v>
      </c>
      <c r="AR69" s="35" t="str">
        <f aca="false">IFERROR(CHOOSE(MATCH(INDEX(時間ごとの判定!$AT$3:$AT$1850,1577),{"利用可","両方停止","運転がそろわない","判定不能"},0),"○","停","×","－"),"")</f>
        <v>×</v>
      </c>
      <c r="AS69" s="35" t="str">
        <f aca="false">IFERROR(CHOOSE(MATCH(INDEX(時間ごとの判定!$AT$3:$AT$1850,1578),{"利用可","両方停止","運転がそろわない","判定不能"},0),"○","停","×","－"),"")</f>
        <v>×</v>
      </c>
      <c r="AT69" s="35" t="str">
        <f aca="false">IFERROR(CHOOSE(MATCH(INDEX(時間ごとの判定!$AT$3:$AT$1850,1579),{"利用可","両方停止","運転がそろわない","判定不能"},0),"○","停","×","－"),"")</f>
        <v>×</v>
      </c>
      <c r="AU69" s="35" t="str">
        <f aca="false">IFERROR(CHOOSE(MATCH(INDEX(時間ごとの判定!$AT$3:$AT$1850,1580),{"利用可","両方停止","運転がそろわない","判定不能"},0),"○","停","×","－"),"")</f>
        <v>×</v>
      </c>
      <c r="AV69" s="35" t="str">
        <f aca="false">IFERROR(CHOOSE(MATCH(INDEX(時間ごとの判定!$AT$3:$AT$1850,1581),{"利用可","両方停止","運転がそろわない","判定不能"},0),"○","停","×","－"),"")</f>
        <v>×</v>
      </c>
      <c r="AW69" s="35" t="str">
        <f aca="false">IFERROR(CHOOSE(MATCH(INDEX(時間ごとの判定!$AT$3:$AT$1850,1582),{"利用可","両方停止","運転がそろわない","判定不能"},0),"○","停","×","－"),"")</f>
        <v>×</v>
      </c>
      <c r="AX69" s="35" t="str">
        <f aca="false">IFERROR(CHOOSE(MATCH(INDEX(時間ごとの判定!$AT$3:$AT$1850,1583),{"利用可","両方停止","運転がそろわない","判定不能"},0),"○","停","×","－"),"")</f>
        <v>×</v>
      </c>
      <c r="AY69" s="35" t="str">
        <f aca="false">IFERROR(CHOOSE(MATCH(INDEX(時間ごとの判定!$AT$3:$AT$1850,1584),{"利用可","両方停止","運転がそろわない","判定不能"},0),"○","停","×","－"),"")</f>
        <v>×</v>
      </c>
      <c r="AZ69" s="35"/>
      <c r="BA69" s="35" t="str">
        <f aca="false">IFERROR(CHOOSE(MATCH(INDEX(時間ごとの判定!$AW$3:$AW$1850,1561),{"利用可","両方停止","運転がそろわない","判定不能"},0),"○","停","×","－"),"")</f>
        <v>停</v>
      </c>
      <c r="BB69" s="35" t="str">
        <f aca="false">IFERROR(CHOOSE(MATCH(INDEX(時間ごとの判定!$AW$3:$AW$1850,1562),{"利用可","両方停止","運転がそろわない","判定不能"},0),"○","停","×","－"),"")</f>
        <v>停</v>
      </c>
      <c r="BC69" s="35" t="str">
        <f aca="false">IFERROR(CHOOSE(MATCH(INDEX(時間ごとの判定!$AW$3:$AW$1850,1563),{"利用可","両方停止","運転がそろわない","判定不能"},0),"○","停","×","－"),"")</f>
        <v>停</v>
      </c>
      <c r="BD69" s="35" t="str">
        <f aca="false">IFERROR(CHOOSE(MATCH(INDEX(時間ごとの判定!$AW$3:$AW$1850,1564),{"利用可","両方停止","運転がそろわない","判定不能"},0),"○","停","×","－"),"")</f>
        <v>停</v>
      </c>
      <c r="BE69" s="35" t="str">
        <f aca="false">IFERROR(CHOOSE(MATCH(INDEX(時間ごとの判定!$AW$3:$AW$1850,1565),{"利用可","両方停止","運転がそろわない","判定不能"},0),"○","停","×","－"),"")</f>
        <v>停</v>
      </c>
      <c r="BF69" s="35" t="str">
        <f aca="false">IFERROR(CHOOSE(MATCH(INDEX(時間ごとの判定!$AW$3:$AW$1850,1566),{"利用可","両方停止","運転がそろわない","判定不能"},0),"○","停","×","－"),"")</f>
        <v>停</v>
      </c>
      <c r="BG69" s="35" t="str">
        <f aca="false">IFERROR(CHOOSE(MATCH(INDEX(時間ごとの判定!$AW$3:$AW$1850,1567),{"利用可","両方停止","運転がそろわない","判定不能"},0),"○","停","×","－"),"")</f>
        <v>停</v>
      </c>
      <c r="BH69" s="35" t="str">
        <f aca="false">IFERROR(CHOOSE(MATCH(INDEX(時間ごとの判定!$AW$3:$AW$1850,1568),{"利用可","両方停止","運転がそろわない","判定不能"},0),"○","停","×","－"),"")</f>
        <v>×</v>
      </c>
      <c r="BI69" s="35" t="str">
        <f aca="false">IFERROR(CHOOSE(MATCH(INDEX(時間ごとの判定!$AW$3:$AW$1850,1569),{"利用可","両方停止","運転がそろわない","判定不能"},0),"○","停","×","－"),"")</f>
        <v>×</v>
      </c>
      <c r="BJ69" s="35" t="str">
        <f aca="false">IFERROR(CHOOSE(MATCH(INDEX(時間ごとの判定!$AW$3:$AW$1850,1570),{"利用可","両方停止","運転がそろわない","判定不能"},0),"○","停","×","－"),"")</f>
        <v>×</v>
      </c>
      <c r="BK69" s="35" t="str">
        <f aca="false">IFERROR(CHOOSE(MATCH(INDEX(時間ごとの判定!$AW$3:$AW$1850,1571),{"利用可","両方停止","運転がそろわない","判定不能"},0),"○","停","×","－"),"")</f>
        <v>×</v>
      </c>
      <c r="BL69" s="35" t="str">
        <f aca="false">IFERROR(CHOOSE(MATCH(INDEX(時間ごとの判定!$AW$3:$AW$1850,1572),{"利用可","両方停止","運転がそろわない","判定不能"},0),"○","停","×","－"),"")</f>
        <v>×</v>
      </c>
      <c r="BM69" s="35" t="str">
        <f aca="false">IFERROR(CHOOSE(MATCH(INDEX(時間ごとの判定!$AW$3:$AW$1850,1573),{"利用可","両方停止","運転がそろわない","判定不能"},0),"○","停","×","－"),"")</f>
        <v>○</v>
      </c>
      <c r="BN69" s="35" t="str">
        <f aca="false">IFERROR(CHOOSE(MATCH(INDEX(時間ごとの判定!$AW$3:$AW$1850,1574),{"利用可","両方停止","運転がそろわない","判定不能"},0),"○","停","×","－"),"")</f>
        <v>○</v>
      </c>
      <c r="BO69" s="35" t="str">
        <f aca="false">IFERROR(CHOOSE(MATCH(INDEX(時間ごとの判定!$AW$3:$AW$1850,1575),{"利用可","両方停止","運転がそろわない","判定不能"},0),"○","停","×","－"),"")</f>
        <v>○</v>
      </c>
      <c r="BP69" s="35" t="str">
        <f aca="false">IFERROR(CHOOSE(MATCH(INDEX(時間ごとの判定!$AW$3:$AW$1850,1576),{"利用可","両方停止","運転がそろわない","判定不能"},0),"○","停","×","－"),"")</f>
        <v>×</v>
      </c>
      <c r="BQ69" s="35" t="str">
        <f aca="false">IFERROR(CHOOSE(MATCH(INDEX(時間ごとの判定!$AW$3:$AW$1850,1577),{"利用可","両方停止","運転がそろわない","判定不能"},0),"○","停","×","－"),"")</f>
        <v>×</v>
      </c>
      <c r="BR69" s="35" t="str">
        <f aca="false">IFERROR(CHOOSE(MATCH(INDEX(時間ごとの判定!$AW$3:$AW$1850,1578),{"利用可","両方停止","運転がそろわない","判定不能"},0),"○","停","×","－"),"")</f>
        <v>×</v>
      </c>
      <c r="BS69" s="35" t="str">
        <f aca="false">IFERROR(CHOOSE(MATCH(INDEX(時間ごとの判定!$AW$3:$AW$1850,1579),{"利用可","両方停止","運転がそろわない","判定不能"},0),"○","停","×","－"),"")</f>
        <v>×</v>
      </c>
      <c r="BT69" s="35" t="str">
        <f aca="false">IFERROR(CHOOSE(MATCH(INDEX(時間ごとの判定!$AW$3:$AW$1850,1580),{"利用可","両方停止","運転がそろわない","判定不能"},0),"○","停","×","－"),"")</f>
        <v>×</v>
      </c>
      <c r="BU69" s="35" t="str">
        <f aca="false">IFERROR(CHOOSE(MATCH(INDEX(時間ごとの判定!$AW$3:$AW$1850,1581),{"利用可","両方停止","運転がそろわない","判定不能"},0),"○","停","×","－"),"")</f>
        <v>×</v>
      </c>
      <c r="BV69" s="35" t="str">
        <f aca="false">IFERROR(CHOOSE(MATCH(INDEX(時間ごとの判定!$AW$3:$AW$1850,1582),{"利用可","両方停止","運転がそろわない","判定不能"},0),"○","停","×","－"),"")</f>
        <v>停</v>
      </c>
      <c r="BW69" s="35" t="str">
        <f aca="false">IFERROR(CHOOSE(MATCH(INDEX(時間ごとの判定!$AW$3:$AW$1850,1583),{"利用可","両方停止","運転がそろわない","判定不能"},0),"○","停","×","－"),"")</f>
        <v>停</v>
      </c>
      <c r="BX69" s="35" t="str">
        <f aca="false">IFERROR(CHOOSE(MATCH(INDEX(時間ごとの判定!$AW$3:$AW$1850,1584),{"利用可","両方停止","運転がそろわない","判定不能"},0),"○","停","×","－"),"")</f>
        <v>停</v>
      </c>
    </row>
    <row r="70" customFormat="false" ht="15" hidden="false" customHeight="false" outlineLevel="0" collapsed="false">
      <c r="A70" s="33" t="n">
        <v>46298</v>
      </c>
      <c r="B70" s="36" t="s">
        <v>63</v>
      </c>
      <c r="C70" s="35" t="str">
        <f aca="false">IFERROR(CHOOSE(MATCH(INDEX(時間ごとの判定!$AQ$3:$AQ$1850,1585),{"利用可","両方停止","運転がそろわない","判定不能"},0),"○","停","×","－"),"")</f>
        <v>停</v>
      </c>
      <c r="D70" s="35" t="str">
        <f aca="false">IFERROR(CHOOSE(MATCH(INDEX(時間ごとの判定!$AQ$3:$AQ$1850,1586),{"利用可","両方停止","運転がそろわない","判定不能"},0),"○","停","×","－"),"")</f>
        <v>停</v>
      </c>
      <c r="E70" s="35" t="str">
        <f aca="false">IFERROR(CHOOSE(MATCH(INDEX(時間ごとの判定!$AQ$3:$AQ$1850,1587),{"利用可","両方停止","運転がそろわない","判定不能"},0),"○","停","×","－"),"")</f>
        <v>停</v>
      </c>
      <c r="F70" s="35" t="str">
        <f aca="false">IFERROR(CHOOSE(MATCH(INDEX(時間ごとの判定!$AQ$3:$AQ$1850,1588),{"利用可","両方停止","運転がそろわない","判定不能"},0),"○","停","×","－"),"")</f>
        <v>停</v>
      </c>
      <c r="G70" s="35" t="str">
        <f aca="false">IFERROR(CHOOSE(MATCH(INDEX(時間ごとの判定!$AQ$3:$AQ$1850,1589),{"利用可","両方停止","運転がそろわない","判定不能"},0),"○","停","×","－"),"")</f>
        <v>停</v>
      </c>
      <c r="H70" s="35" t="str">
        <f aca="false">IFERROR(CHOOSE(MATCH(INDEX(時間ごとの判定!$AQ$3:$AQ$1850,1590),{"利用可","両方停止","運転がそろわない","判定不能"},0),"○","停","×","－"),"")</f>
        <v>停</v>
      </c>
      <c r="I70" s="35" t="str">
        <f aca="false">IFERROR(CHOOSE(MATCH(INDEX(時間ごとの判定!$AQ$3:$AQ$1850,1591),{"利用可","両方停止","運転がそろわない","判定不能"},0),"○","停","×","－"),"")</f>
        <v>停</v>
      </c>
      <c r="J70" s="35" t="str">
        <f aca="false">IFERROR(CHOOSE(MATCH(INDEX(時間ごとの判定!$AQ$3:$AQ$1850,1592),{"利用可","両方停止","運転がそろわない","判定不能"},0),"○","停","×","－"),"")</f>
        <v>停</v>
      </c>
      <c r="K70" s="35" t="str">
        <f aca="false">IFERROR(CHOOSE(MATCH(INDEX(時間ごとの判定!$AQ$3:$AQ$1850,1593),{"利用可","両方停止","運転がそろわない","判定不能"},0),"○","停","×","－"),"")</f>
        <v>○</v>
      </c>
      <c r="L70" s="35" t="str">
        <f aca="false">IFERROR(CHOOSE(MATCH(INDEX(時間ごとの判定!$AQ$3:$AQ$1850,1594),{"利用可","両方停止","運転がそろわない","判定不能"},0),"○","停","×","－"),"")</f>
        <v>○</v>
      </c>
      <c r="M70" s="35" t="str">
        <f aca="false">IFERROR(CHOOSE(MATCH(INDEX(時間ごとの判定!$AQ$3:$AQ$1850,1595),{"利用可","両方停止","運転がそろわない","判定不能"},0),"○","停","×","－"),"")</f>
        <v>○</v>
      </c>
      <c r="N70" s="35" t="str">
        <f aca="false">IFERROR(CHOOSE(MATCH(INDEX(時間ごとの判定!$AQ$3:$AQ$1850,1596),{"利用可","両方停止","運転がそろわない","判定不能"},0),"○","停","×","－"),"")</f>
        <v>○</v>
      </c>
      <c r="O70" s="35" t="str">
        <f aca="false">IFERROR(CHOOSE(MATCH(INDEX(時間ごとの判定!$AQ$3:$AQ$1850,1597),{"利用可","両方停止","運転がそろわない","判定不能"},0),"○","停","×","－"),"")</f>
        <v>×</v>
      </c>
      <c r="P70" s="35" t="str">
        <f aca="false">IFERROR(CHOOSE(MATCH(INDEX(時間ごとの判定!$AQ$3:$AQ$1850,1598),{"利用可","両方停止","運転がそろわない","判定不能"},0),"○","停","×","－"),"")</f>
        <v>○</v>
      </c>
      <c r="Q70" s="35" t="str">
        <f aca="false">IFERROR(CHOOSE(MATCH(INDEX(時間ごとの判定!$AQ$3:$AQ$1850,1599),{"利用可","両方停止","運転がそろわない","判定不能"},0),"○","停","×","－"),"")</f>
        <v>○</v>
      </c>
      <c r="R70" s="35" t="str">
        <f aca="false">IFERROR(CHOOSE(MATCH(INDEX(時間ごとの判定!$AQ$3:$AQ$1850,1600),{"利用可","両方停止","運転がそろわない","判定不能"},0),"○","停","×","－"),"")</f>
        <v>×</v>
      </c>
      <c r="S70" s="35" t="str">
        <f aca="false">IFERROR(CHOOSE(MATCH(INDEX(時間ごとの判定!$AQ$3:$AQ$1850,1601),{"利用可","両方停止","運転がそろわない","判定不能"},0),"○","停","×","－"),"")</f>
        <v>×</v>
      </c>
      <c r="T70" s="35" t="str">
        <f aca="false">IFERROR(CHOOSE(MATCH(INDEX(時間ごとの判定!$AQ$3:$AQ$1850,1602),{"利用可","両方停止","運転がそろわない","判定不能"},0),"○","停","×","－"),"")</f>
        <v>×</v>
      </c>
      <c r="U70" s="35" t="str">
        <f aca="false">IFERROR(CHOOSE(MATCH(INDEX(時間ごとの判定!$AQ$3:$AQ$1850,1603),{"利用可","両方停止","運転がそろわない","判定不能"},0),"○","停","×","－"),"")</f>
        <v>×</v>
      </c>
      <c r="V70" s="35" t="str">
        <f aca="false">IFERROR(CHOOSE(MATCH(INDEX(時間ごとの判定!$AQ$3:$AQ$1850,1604),{"利用可","両方停止","運転がそろわない","判定不能"},0),"○","停","×","－"),"")</f>
        <v>×</v>
      </c>
      <c r="W70" s="35" t="str">
        <f aca="false">IFERROR(CHOOSE(MATCH(INDEX(時間ごとの判定!$AQ$3:$AQ$1850,1605),{"利用可","両方停止","運転がそろわない","判定不能"},0),"○","停","×","－"),"")</f>
        <v>×</v>
      </c>
      <c r="X70" s="35" t="str">
        <f aca="false">IFERROR(CHOOSE(MATCH(INDEX(時間ごとの判定!$AQ$3:$AQ$1850,1606),{"利用可","両方停止","運転がそろわない","判定不能"},0),"○","停","×","－"),"")</f>
        <v>停</v>
      </c>
      <c r="Y70" s="35" t="str">
        <f aca="false">IFERROR(CHOOSE(MATCH(INDEX(時間ごとの判定!$AQ$3:$AQ$1850,1607),{"利用可","両方停止","運転がそろわない","判定不能"},0),"○","停","×","－"),"")</f>
        <v>停</v>
      </c>
      <c r="Z70" s="35" t="str">
        <f aca="false">IFERROR(CHOOSE(MATCH(INDEX(時間ごとの判定!$AQ$3:$AQ$1850,1608),{"利用可","両方停止","運転がそろわない","判定不能"},0),"○","停","×","－"),"")</f>
        <v>停</v>
      </c>
      <c r="AA70" s="35"/>
      <c r="AB70" s="35" t="str">
        <f aca="false">IFERROR(CHOOSE(MATCH(INDEX(時間ごとの判定!$AT$3:$AT$1850,1585),{"利用可","両方停止","運転がそろわない","判定不能"},0),"○","停","×","－"),"")</f>
        <v>停</v>
      </c>
      <c r="AC70" s="35" t="str">
        <f aca="false">IFERROR(CHOOSE(MATCH(INDEX(時間ごとの判定!$AT$3:$AT$1850,1586),{"利用可","両方停止","運転がそろわない","判定不能"},0),"○","停","×","－"),"")</f>
        <v>停</v>
      </c>
      <c r="AD70" s="35" t="str">
        <f aca="false">IFERROR(CHOOSE(MATCH(INDEX(時間ごとの判定!$AT$3:$AT$1850,1587),{"利用可","両方停止","運転がそろわない","判定不能"},0),"○","停","×","－"),"")</f>
        <v>停</v>
      </c>
      <c r="AE70" s="35" t="str">
        <f aca="false">IFERROR(CHOOSE(MATCH(INDEX(時間ごとの判定!$AT$3:$AT$1850,1588),{"利用可","両方停止","運転がそろわない","判定不能"},0),"○","停","×","－"),"")</f>
        <v>停</v>
      </c>
      <c r="AF70" s="35" t="str">
        <f aca="false">IFERROR(CHOOSE(MATCH(INDEX(時間ごとの判定!$AT$3:$AT$1850,1589),{"利用可","両方停止","運転がそろわない","判定不能"},0),"○","停","×","－"),"")</f>
        <v>停</v>
      </c>
      <c r="AG70" s="35" t="str">
        <f aca="false">IFERROR(CHOOSE(MATCH(INDEX(時間ごとの判定!$AT$3:$AT$1850,1590),{"利用可","両方停止","運転がそろわない","判定不能"},0),"○","停","×","－"),"")</f>
        <v>停</v>
      </c>
      <c r="AH70" s="35" t="str">
        <f aca="false">IFERROR(CHOOSE(MATCH(INDEX(時間ごとの判定!$AT$3:$AT$1850,1591),{"利用可","両方停止","運転がそろわない","判定不能"},0),"○","停","×","－"),"")</f>
        <v>停</v>
      </c>
      <c r="AI70" s="35" t="str">
        <f aca="false">IFERROR(CHOOSE(MATCH(INDEX(時間ごとの判定!$AT$3:$AT$1850,1592),{"利用可","両方停止","運転がそろわない","判定不能"},0),"○","停","×","－"),"")</f>
        <v>停</v>
      </c>
      <c r="AJ70" s="35" t="str">
        <f aca="false">IFERROR(CHOOSE(MATCH(INDEX(時間ごとの判定!$AT$3:$AT$1850,1593),{"利用可","両方停止","運転がそろわない","判定不能"},0),"○","停","×","－"),"")</f>
        <v>×</v>
      </c>
      <c r="AK70" s="35" t="str">
        <f aca="false">IFERROR(CHOOSE(MATCH(INDEX(時間ごとの判定!$AT$3:$AT$1850,1594),{"利用可","両方停止","運転がそろわない","判定不能"},0),"○","停","×","－"),"")</f>
        <v>×</v>
      </c>
      <c r="AL70" s="35" t="str">
        <f aca="false">IFERROR(CHOOSE(MATCH(INDEX(時間ごとの判定!$AT$3:$AT$1850,1595),{"利用可","両方停止","運転がそろわない","判定不能"},0),"○","停","×","－"),"")</f>
        <v>○</v>
      </c>
      <c r="AM70" s="35" t="str">
        <f aca="false">IFERROR(CHOOSE(MATCH(INDEX(時間ごとの判定!$AT$3:$AT$1850,1596),{"利用可","両方停止","運転がそろわない","判定不能"},0),"○","停","×","－"),"")</f>
        <v>○</v>
      </c>
      <c r="AN70" s="35" t="str">
        <f aca="false">IFERROR(CHOOSE(MATCH(INDEX(時間ごとの判定!$AT$3:$AT$1850,1597),{"利用可","両方停止","運転がそろわない","判定不能"},0),"○","停","×","－"),"")</f>
        <v>○</v>
      </c>
      <c r="AO70" s="35" t="str">
        <f aca="false">IFERROR(CHOOSE(MATCH(INDEX(時間ごとの判定!$AT$3:$AT$1850,1598),{"利用可","両方停止","運転がそろわない","判定不能"},0),"○","停","×","－"),"")</f>
        <v>×</v>
      </c>
      <c r="AP70" s="35" t="str">
        <f aca="false">IFERROR(CHOOSE(MATCH(INDEX(時間ごとの判定!$AT$3:$AT$1850,1599),{"利用可","両方停止","運転がそろわない","判定不能"},0),"○","停","×","－"),"")</f>
        <v>○</v>
      </c>
      <c r="AQ70" s="35" t="str">
        <f aca="false">IFERROR(CHOOSE(MATCH(INDEX(時間ごとの判定!$AT$3:$AT$1850,1600),{"利用可","両方停止","運転がそろわない","判定不能"},0),"○","停","×","－"),"")</f>
        <v>×</v>
      </c>
      <c r="AR70" s="35" t="str">
        <f aca="false">IFERROR(CHOOSE(MATCH(INDEX(時間ごとの判定!$AT$3:$AT$1850,1601),{"利用可","両方停止","運転がそろわない","判定不能"},0),"○","停","×","－"),"")</f>
        <v>×</v>
      </c>
      <c r="AS70" s="35" t="str">
        <f aca="false">IFERROR(CHOOSE(MATCH(INDEX(時間ごとの判定!$AT$3:$AT$1850,1602),{"利用可","両方停止","運転がそろわない","判定不能"},0),"○","停","×","－"),"")</f>
        <v>×</v>
      </c>
      <c r="AT70" s="35" t="str">
        <f aca="false">IFERROR(CHOOSE(MATCH(INDEX(時間ごとの判定!$AT$3:$AT$1850,1603),{"利用可","両方停止","運転がそろわない","判定不能"},0),"○","停","×","－"),"")</f>
        <v>×</v>
      </c>
      <c r="AU70" s="35" t="str">
        <f aca="false">IFERROR(CHOOSE(MATCH(INDEX(時間ごとの判定!$AT$3:$AT$1850,1604),{"利用可","両方停止","運転がそろわない","判定不能"},0),"○","停","×","－"),"")</f>
        <v>×</v>
      </c>
      <c r="AV70" s="35" t="str">
        <f aca="false">IFERROR(CHOOSE(MATCH(INDEX(時間ごとの判定!$AT$3:$AT$1850,1605),{"利用可","両方停止","運転がそろわない","判定不能"},0),"○","停","×","－"),"")</f>
        <v>×</v>
      </c>
      <c r="AW70" s="35" t="str">
        <f aca="false">IFERROR(CHOOSE(MATCH(INDEX(時間ごとの判定!$AT$3:$AT$1850,1606),{"利用可","両方停止","運転がそろわない","判定不能"},0),"○","停","×","－"),"")</f>
        <v>停</v>
      </c>
      <c r="AX70" s="35" t="str">
        <f aca="false">IFERROR(CHOOSE(MATCH(INDEX(時間ごとの判定!$AT$3:$AT$1850,1607),{"利用可","両方停止","運転がそろわない","判定不能"},0),"○","停","×","－"),"")</f>
        <v>停</v>
      </c>
      <c r="AY70" s="35" t="str">
        <f aca="false">IFERROR(CHOOSE(MATCH(INDEX(時間ごとの判定!$AT$3:$AT$1850,1608),{"利用可","両方停止","運転がそろわない","判定不能"},0),"○","停","×","－"),"")</f>
        <v>停</v>
      </c>
      <c r="AZ70" s="35"/>
      <c r="BA70" s="35" t="str">
        <f aca="false">IFERROR(CHOOSE(MATCH(INDEX(時間ごとの判定!$AW$3:$AW$1850,1585),{"利用可","両方停止","運転がそろわない","判定不能"},0),"○","停","×","－"),"")</f>
        <v>停</v>
      </c>
      <c r="BB70" s="35" t="str">
        <f aca="false">IFERROR(CHOOSE(MATCH(INDEX(時間ごとの判定!$AW$3:$AW$1850,1586),{"利用可","両方停止","運転がそろわない","判定不能"},0),"○","停","×","－"),"")</f>
        <v>停</v>
      </c>
      <c r="BC70" s="35" t="str">
        <f aca="false">IFERROR(CHOOSE(MATCH(INDEX(時間ごとの判定!$AW$3:$AW$1850,1587),{"利用可","両方停止","運転がそろわない","判定不能"},0),"○","停","×","－"),"")</f>
        <v>停</v>
      </c>
      <c r="BD70" s="35" t="str">
        <f aca="false">IFERROR(CHOOSE(MATCH(INDEX(時間ごとの判定!$AW$3:$AW$1850,1588),{"利用可","両方停止","運転がそろわない","判定不能"},0),"○","停","×","－"),"")</f>
        <v>停</v>
      </c>
      <c r="BE70" s="35" t="str">
        <f aca="false">IFERROR(CHOOSE(MATCH(INDEX(時間ごとの判定!$AW$3:$AW$1850,1589),{"利用可","両方停止","運転がそろわない","判定不能"},0),"○","停","×","－"),"")</f>
        <v>停</v>
      </c>
      <c r="BF70" s="35" t="str">
        <f aca="false">IFERROR(CHOOSE(MATCH(INDEX(時間ごとの判定!$AW$3:$AW$1850,1590),{"利用可","両方停止","運転がそろわない","判定不能"},0),"○","停","×","－"),"")</f>
        <v>停</v>
      </c>
      <c r="BG70" s="35" t="str">
        <f aca="false">IFERROR(CHOOSE(MATCH(INDEX(時間ごとの判定!$AW$3:$AW$1850,1591),{"利用可","両方停止","運転がそろわない","判定不能"},0),"○","停","×","－"),"")</f>
        <v>停</v>
      </c>
      <c r="BH70" s="35" t="str">
        <f aca="false">IFERROR(CHOOSE(MATCH(INDEX(時間ごとの判定!$AW$3:$AW$1850,1592),{"利用可","両方停止","運転がそろわない","判定不能"},0),"○","停","×","－"),"")</f>
        <v>停</v>
      </c>
      <c r="BI70" s="35" t="str">
        <f aca="false">IFERROR(CHOOSE(MATCH(INDEX(時間ごとの判定!$AW$3:$AW$1850,1593),{"利用可","両方停止","運転がそろわない","判定不能"},0),"○","停","×","－"),"")</f>
        <v>×</v>
      </c>
      <c r="BJ70" s="35" t="str">
        <f aca="false">IFERROR(CHOOSE(MATCH(INDEX(時間ごとの判定!$AW$3:$AW$1850,1594),{"利用可","両方停止","運転がそろわない","判定不能"},0),"○","停","×","－"),"")</f>
        <v>○</v>
      </c>
      <c r="BK70" s="35" t="str">
        <f aca="false">IFERROR(CHOOSE(MATCH(INDEX(時間ごとの判定!$AW$3:$AW$1850,1595),{"利用可","両方停止","運転がそろわない","判定不能"},0),"○","停","×","－"),"")</f>
        <v>○</v>
      </c>
      <c r="BL70" s="35" t="str">
        <f aca="false">IFERROR(CHOOSE(MATCH(INDEX(時間ごとの判定!$AW$3:$AW$1850,1596),{"利用可","両方停止","運転がそろわない","判定不能"},0),"○","停","×","－"),"")</f>
        <v>○</v>
      </c>
      <c r="BM70" s="35" t="str">
        <f aca="false">IFERROR(CHOOSE(MATCH(INDEX(時間ごとの判定!$AW$3:$AW$1850,1597),{"利用可","両方停止","運転がそろわない","判定不能"},0),"○","停","×","－"),"")</f>
        <v>○</v>
      </c>
      <c r="BN70" s="35" t="str">
        <f aca="false">IFERROR(CHOOSE(MATCH(INDEX(時間ごとの判定!$AW$3:$AW$1850,1598),{"利用可","両方停止","運転がそろわない","判定不能"},0),"○","停","×","－"),"")</f>
        <v>×</v>
      </c>
      <c r="BO70" s="35" t="str">
        <f aca="false">IFERROR(CHOOSE(MATCH(INDEX(時間ごとの判定!$AW$3:$AW$1850,1599),{"利用可","両方停止","運転がそろわない","判定不能"},0),"○","停","×","－"),"")</f>
        <v>×</v>
      </c>
      <c r="BP70" s="35" t="str">
        <f aca="false">IFERROR(CHOOSE(MATCH(INDEX(時間ごとの判定!$AW$3:$AW$1850,1600),{"利用可","両方停止","運転がそろわない","判定不能"},0),"○","停","×","－"),"")</f>
        <v>×</v>
      </c>
      <c r="BQ70" s="35" t="str">
        <f aca="false">IFERROR(CHOOSE(MATCH(INDEX(時間ごとの判定!$AW$3:$AW$1850,1601),{"利用可","両方停止","運転がそろわない","判定不能"},0),"○","停","×","－"),"")</f>
        <v>×</v>
      </c>
      <c r="BR70" s="35" t="str">
        <f aca="false">IFERROR(CHOOSE(MATCH(INDEX(時間ごとの判定!$AW$3:$AW$1850,1602),{"利用可","両方停止","運転がそろわない","判定不能"},0),"○","停","×","－"),"")</f>
        <v>×</v>
      </c>
      <c r="BS70" s="35" t="str">
        <f aca="false">IFERROR(CHOOSE(MATCH(INDEX(時間ごとの判定!$AW$3:$AW$1850,1603),{"利用可","両方停止","運転がそろわない","判定不能"},0),"○","停","×","－"),"")</f>
        <v>×</v>
      </c>
      <c r="BT70" s="35" t="str">
        <f aca="false">IFERROR(CHOOSE(MATCH(INDEX(時間ごとの判定!$AW$3:$AW$1850,1604),{"利用可","両方停止","運転がそろわない","判定不能"},0),"○","停","×","－"),"")</f>
        <v>×</v>
      </c>
      <c r="BU70" s="35" t="str">
        <f aca="false">IFERROR(CHOOSE(MATCH(INDEX(時間ごとの判定!$AW$3:$AW$1850,1605),{"利用可","両方停止","運転がそろわない","判定不能"},0),"○","停","×","－"),"")</f>
        <v>×</v>
      </c>
      <c r="BV70" s="35" t="str">
        <f aca="false">IFERROR(CHOOSE(MATCH(INDEX(時間ごとの判定!$AW$3:$AW$1850,1606),{"利用可","両方停止","運転がそろわない","判定不能"},0),"○","停","×","－"),"")</f>
        <v>×</v>
      </c>
      <c r="BW70" s="35" t="str">
        <f aca="false">IFERROR(CHOOSE(MATCH(INDEX(時間ごとの判定!$AW$3:$AW$1850,1607),{"利用可","両方停止","運転がそろわない","判定不能"},0),"○","停","×","－"),"")</f>
        <v>停</v>
      </c>
      <c r="BX70" s="35" t="str">
        <f aca="false">IFERROR(CHOOSE(MATCH(INDEX(時間ごとの判定!$AW$3:$AW$1850,1608),{"利用可","両方停止","運転がそろわない","判定不能"},0),"○","停","×","－"),"")</f>
        <v>停</v>
      </c>
    </row>
    <row r="71" customFormat="false" ht="15" hidden="false" customHeight="false" outlineLevel="0" collapsed="false">
      <c r="A71" s="33" t="n">
        <v>46299</v>
      </c>
      <c r="B71" s="36" t="s">
        <v>65</v>
      </c>
      <c r="C71" s="35" t="str">
        <f aca="false">IFERROR(CHOOSE(MATCH(INDEX(時間ごとの判定!$AQ$3:$AQ$1850,1609),{"利用可","両方停止","運転がそろわない","判定不能"},0),"○","停","×","－"),"")</f>
        <v>停</v>
      </c>
      <c r="D71" s="35" t="str">
        <f aca="false">IFERROR(CHOOSE(MATCH(INDEX(時間ごとの判定!$AQ$3:$AQ$1850,1610),{"利用可","両方停止","運転がそろわない","判定不能"},0),"○","停","×","－"),"")</f>
        <v>停</v>
      </c>
      <c r="E71" s="35" t="str">
        <f aca="false">IFERROR(CHOOSE(MATCH(INDEX(時間ごとの判定!$AQ$3:$AQ$1850,1611),{"利用可","両方停止","運転がそろわない","判定不能"},0),"○","停","×","－"),"")</f>
        <v>停</v>
      </c>
      <c r="F71" s="35" t="str">
        <f aca="false">IFERROR(CHOOSE(MATCH(INDEX(時間ごとの判定!$AQ$3:$AQ$1850,1612),{"利用可","両方停止","運転がそろわない","判定不能"},0),"○","停","×","－"),"")</f>
        <v>停</v>
      </c>
      <c r="G71" s="35" t="str">
        <f aca="false">IFERROR(CHOOSE(MATCH(INDEX(時間ごとの判定!$AQ$3:$AQ$1850,1613),{"利用可","両方停止","運転がそろわない","判定不能"},0),"○","停","×","－"),"")</f>
        <v>停</v>
      </c>
      <c r="H71" s="35" t="str">
        <f aca="false">IFERROR(CHOOSE(MATCH(INDEX(時間ごとの判定!$AQ$3:$AQ$1850,1614),{"利用可","両方停止","運転がそろわない","判定不能"},0),"○","停","×","－"),"")</f>
        <v>停</v>
      </c>
      <c r="I71" s="35" t="str">
        <f aca="false">IFERROR(CHOOSE(MATCH(INDEX(時間ごとの判定!$AQ$3:$AQ$1850,1615),{"利用可","両方停止","運転がそろわない","判定不能"},0),"○","停","×","－"),"")</f>
        <v>停</v>
      </c>
      <c r="J71" s="35" t="str">
        <f aca="false">IFERROR(CHOOSE(MATCH(INDEX(時間ごとの判定!$AQ$3:$AQ$1850,1616),{"利用可","両方停止","運転がそろわない","判定不能"},0),"○","停","×","－"),"")</f>
        <v>×</v>
      </c>
      <c r="K71" s="35" t="str">
        <f aca="false">IFERROR(CHOOSE(MATCH(INDEX(時間ごとの判定!$AQ$3:$AQ$1850,1617),{"利用可","両方停止","運転がそろわない","判定不能"},0),"○","停","×","－"),"")</f>
        <v>×</v>
      </c>
      <c r="L71" s="35" t="str">
        <f aca="false">IFERROR(CHOOSE(MATCH(INDEX(時間ごとの判定!$AQ$3:$AQ$1850,1618),{"利用可","両方停止","運転がそろわない","判定不能"},0),"○","停","×","－"),"")</f>
        <v>×</v>
      </c>
      <c r="M71" s="35" t="str">
        <f aca="false">IFERROR(CHOOSE(MATCH(INDEX(時間ごとの判定!$AQ$3:$AQ$1850,1619),{"利用可","両方停止","運転がそろわない","判定不能"},0),"○","停","×","－"),"")</f>
        <v>×</v>
      </c>
      <c r="N71" s="35" t="str">
        <f aca="false">IFERROR(CHOOSE(MATCH(INDEX(時間ごとの判定!$AQ$3:$AQ$1850,1620),{"利用可","両方停止","運転がそろわない","判定不能"},0),"○","停","×","－"),"")</f>
        <v>×</v>
      </c>
      <c r="O71" s="35" t="str">
        <f aca="false">IFERROR(CHOOSE(MATCH(INDEX(時間ごとの判定!$AQ$3:$AQ$1850,1621),{"利用可","両方停止","運転がそろわない","判定不能"},0),"○","停","×","－"),"")</f>
        <v>×</v>
      </c>
      <c r="P71" s="35" t="str">
        <f aca="false">IFERROR(CHOOSE(MATCH(INDEX(時間ごとの判定!$AQ$3:$AQ$1850,1622),{"利用可","両方停止","運転がそろわない","判定不能"},0),"○","停","×","－"),"")</f>
        <v>○</v>
      </c>
      <c r="Q71" s="35" t="str">
        <f aca="false">IFERROR(CHOOSE(MATCH(INDEX(時間ごとの判定!$AQ$3:$AQ$1850,1623),{"利用可","両方停止","運転がそろわない","判定不能"},0),"○","停","×","－"),"")</f>
        <v>×</v>
      </c>
      <c r="R71" s="35" t="str">
        <f aca="false">IFERROR(CHOOSE(MATCH(INDEX(時間ごとの判定!$AQ$3:$AQ$1850,1624),{"利用可","両方停止","運転がそろわない","判定不能"},0),"○","停","×","－"),"")</f>
        <v>×</v>
      </c>
      <c r="S71" s="35" t="str">
        <f aca="false">IFERROR(CHOOSE(MATCH(INDEX(時間ごとの判定!$AQ$3:$AQ$1850,1625),{"利用可","両方停止","運転がそろわない","判定不能"},0),"○","停","×","－"),"")</f>
        <v>停</v>
      </c>
      <c r="T71" s="35" t="str">
        <f aca="false">IFERROR(CHOOSE(MATCH(INDEX(時間ごとの判定!$AQ$3:$AQ$1850,1626),{"利用可","両方停止","運転がそろわない","判定不能"},0),"○","停","×","－"),"")</f>
        <v>×</v>
      </c>
      <c r="U71" s="35" t="str">
        <f aca="false">IFERROR(CHOOSE(MATCH(INDEX(時間ごとの判定!$AQ$3:$AQ$1850,1627),{"利用可","両方停止","運転がそろわない","判定不能"},0),"○","停","×","－"),"")</f>
        <v>停</v>
      </c>
      <c r="V71" s="35" t="str">
        <f aca="false">IFERROR(CHOOSE(MATCH(INDEX(時間ごとの判定!$AQ$3:$AQ$1850,1628),{"利用可","両方停止","運転がそろわない","判定不能"},0),"○","停","×","－"),"")</f>
        <v>停</v>
      </c>
      <c r="W71" s="35" t="str">
        <f aca="false">IFERROR(CHOOSE(MATCH(INDEX(時間ごとの判定!$AQ$3:$AQ$1850,1629),{"利用可","両方停止","運転がそろわない","判定不能"},0),"○","停","×","－"),"")</f>
        <v>停</v>
      </c>
      <c r="X71" s="35" t="str">
        <f aca="false">IFERROR(CHOOSE(MATCH(INDEX(時間ごとの判定!$AQ$3:$AQ$1850,1630),{"利用可","両方停止","運転がそろわない","判定不能"},0),"○","停","×","－"),"")</f>
        <v>停</v>
      </c>
      <c r="Y71" s="35" t="str">
        <f aca="false">IFERROR(CHOOSE(MATCH(INDEX(時間ごとの判定!$AQ$3:$AQ$1850,1631),{"利用可","両方停止","運転がそろわない","判定不能"},0),"○","停","×","－"),"")</f>
        <v>停</v>
      </c>
      <c r="Z71" s="35" t="str">
        <f aca="false">IFERROR(CHOOSE(MATCH(INDEX(時間ごとの判定!$AQ$3:$AQ$1850,1632),{"利用可","両方停止","運転がそろわない","判定不能"},0),"○","停","×","－"),"")</f>
        <v>停</v>
      </c>
      <c r="AA71" s="35"/>
      <c r="AB71" s="35" t="str">
        <f aca="false">IFERROR(CHOOSE(MATCH(INDEX(時間ごとの判定!$AT$3:$AT$1850,1609),{"利用可","両方停止","運転がそろわない","判定不能"},0),"○","停","×","－"),"")</f>
        <v>停</v>
      </c>
      <c r="AC71" s="35" t="str">
        <f aca="false">IFERROR(CHOOSE(MATCH(INDEX(時間ごとの判定!$AT$3:$AT$1850,1610),{"利用可","両方停止","運転がそろわない","判定不能"},0),"○","停","×","－"),"")</f>
        <v>停</v>
      </c>
      <c r="AD71" s="35" t="str">
        <f aca="false">IFERROR(CHOOSE(MATCH(INDEX(時間ごとの判定!$AT$3:$AT$1850,1611),{"利用可","両方停止","運転がそろわない","判定不能"},0),"○","停","×","－"),"")</f>
        <v>停</v>
      </c>
      <c r="AE71" s="35" t="str">
        <f aca="false">IFERROR(CHOOSE(MATCH(INDEX(時間ごとの判定!$AT$3:$AT$1850,1612),{"利用可","両方停止","運転がそろわない","判定不能"},0),"○","停","×","－"),"")</f>
        <v>停</v>
      </c>
      <c r="AF71" s="35" t="str">
        <f aca="false">IFERROR(CHOOSE(MATCH(INDEX(時間ごとの判定!$AT$3:$AT$1850,1613),{"利用可","両方停止","運転がそろわない","判定不能"},0),"○","停","×","－"),"")</f>
        <v>停</v>
      </c>
      <c r="AG71" s="35" t="str">
        <f aca="false">IFERROR(CHOOSE(MATCH(INDEX(時間ごとの判定!$AT$3:$AT$1850,1614),{"利用可","両方停止","運転がそろわない","判定不能"},0),"○","停","×","－"),"")</f>
        <v>停</v>
      </c>
      <c r="AH71" s="35" t="str">
        <f aca="false">IFERROR(CHOOSE(MATCH(INDEX(時間ごとの判定!$AT$3:$AT$1850,1615),{"利用可","両方停止","運転がそろわない","判定不能"},0),"○","停","×","－"),"")</f>
        <v>停</v>
      </c>
      <c r="AI71" s="35" t="str">
        <f aca="false">IFERROR(CHOOSE(MATCH(INDEX(時間ごとの判定!$AT$3:$AT$1850,1616),{"利用可","両方停止","運転がそろわない","判定不能"},0),"○","停","×","－"),"")</f>
        <v>×</v>
      </c>
      <c r="AJ71" s="35" t="str">
        <f aca="false">IFERROR(CHOOSE(MATCH(INDEX(時間ごとの判定!$AT$3:$AT$1850,1617),{"利用可","両方停止","運転がそろわない","判定不能"},0),"○","停","×","－"),"")</f>
        <v>×</v>
      </c>
      <c r="AK71" s="35" t="str">
        <f aca="false">IFERROR(CHOOSE(MATCH(INDEX(時間ごとの判定!$AT$3:$AT$1850,1618),{"利用可","両方停止","運転がそろわない","判定不能"},0),"○","停","×","－"),"")</f>
        <v>×</v>
      </c>
      <c r="AL71" s="35" t="str">
        <f aca="false">IFERROR(CHOOSE(MATCH(INDEX(時間ごとの判定!$AT$3:$AT$1850,1619),{"利用可","両方停止","運転がそろわない","判定不能"},0),"○","停","×","－"),"")</f>
        <v>×</v>
      </c>
      <c r="AM71" s="35" t="str">
        <f aca="false">IFERROR(CHOOSE(MATCH(INDEX(時間ごとの判定!$AT$3:$AT$1850,1620),{"利用可","両方停止","運転がそろわない","判定不能"},0),"○","停","×","－"),"")</f>
        <v>×</v>
      </c>
      <c r="AN71" s="35" t="str">
        <f aca="false">IFERROR(CHOOSE(MATCH(INDEX(時間ごとの判定!$AT$3:$AT$1850,1621),{"利用可","両方停止","運転がそろわない","判定不能"},0),"○","停","×","－"),"")</f>
        <v>×</v>
      </c>
      <c r="AO71" s="35" t="str">
        <f aca="false">IFERROR(CHOOSE(MATCH(INDEX(時間ごとの判定!$AT$3:$AT$1850,1622),{"利用可","両方停止","運転がそろわない","判定不能"},0),"○","停","×","－"),"")</f>
        <v>○</v>
      </c>
      <c r="AP71" s="35" t="str">
        <f aca="false">IFERROR(CHOOSE(MATCH(INDEX(時間ごとの判定!$AT$3:$AT$1850,1623),{"利用可","両方停止","運転がそろわない","判定不能"},0),"○","停","×","－"),"")</f>
        <v>○</v>
      </c>
      <c r="AQ71" s="35" t="str">
        <f aca="false">IFERROR(CHOOSE(MATCH(INDEX(時間ごとの判定!$AT$3:$AT$1850,1624),{"利用可","両方停止","運転がそろわない","判定不能"},0),"○","停","×","－"),"")</f>
        <v>×</v>
      </c>
      <c r="AR71" s="35" t="str">
        <f aca="false">IFERROR(CHOOSE(MATCH(INDEX(時間ごとの判定!$AT$3:$AT$1850,1625),{"利用可","両方停止","運転がそろわない","判定不能"},0),"○","停","×","－"),"")</f>
        <v>×</v>
      </c>
      <c r="AS71" s="35" t="str">
        <f aca="false">IFERROR(CHOOSE(MATCH(INDEX(時間ごとの判定!$AT$3:$AT$1850,1626),{"利用可","両方停止","運転がそろわない","判定不能"},0),"○","停","×","－"),"")</f>
        <v>×</v>
      </c>
      <c r="AT71" s="35" t="str">
        <f aca="false">IFERROR(CHOOSE(MATCH(INDEX(時間ごとの判定!$AT$3:$AT$1850,1627),{"利用可","両方停止","運転がそろわない","判定不能"},0),"○","停","×","－"),"")</f>
        <v>×</v>
      </c>
      <c r="AU71" s="35" t="str">
        <f aca="false">IFERROR(CHOOSE(MATCH(INDEX(時間ごとの判定!$AT$3:$AT$1850,1628),{"利用可","両方停止","運転がそろわない","判定不能"},0),"○","停","×","－"),"")</f>
        <v>停</v>
      </c>
      <c r="AV71" s="35" t="str">
        <f aca="false">IFERROR(CHOOSE(MATCH(INDEX(時間ごとの判定!$AT$3:$AT$1850,1629),{"利用可","両方停止","運転がそろわない","判定不能"},0),"○","停","×","－"),"")</f>
        <v>停</v>
      </c>
      <c r="AW71" s="35" t="str">
        <f aca="false">IFERROR(CHOOSE(MATCH(INDEX(時間ごとの判定!$AT$3:$AT$1850,1630),{"利用可","両方停止","運転がそろわない","判定不能"},0),"○","停","×","－"),"")</f>
        <v>停</v>
      </c>
      <c r="AX71" s="35" t="str">
        <f aca="false">IFERROR(CHOOSE(MATCH(INDEX(時間ごとの判定!$AT$3:$AT$1850,1631),{"利用可","両方停止","運転がそろわない","判定不能"},0),"○","停","×","－"),"")</f>
        <v>停</v>
      </c>
      <c r="AY71" s="35" t="str">
        <f aca="false">IFERROR(CHOOSE(MATCH(INDEX(時間ごとの判定!$AT$3:$AT$1850,1632),{"利用可","両方停止","運転がそろわない","判定不能"},0),"○","停","×","－"),"")</f>
        <v>停</v>
      </c>
      <c r="AZ71" s="35"/>
      <c r="BA71" s="35" t="str">
        <f aca="false">IFERROR(CHOOSE(MATCH(INDEX(時間ごとの判定!$AW$3:$AW$1850,1609),{"利用可","両方停止","運転がそろわない","判定不能"},0),"○","停","×","－"),"")</f>
        <v>停</v>
      </c>
      <c r="BB71" s="35" t="str">
        <f aca="false">IFERROR(CHOOSE(MATCH(INDEX(時間ごとの判定!$AW$3:$AW$1850,1610),{"利用可","両方停止","運転がそろわない","判定不能"},0),"○","停","×","－"),"")</f>
        <v>停</v>
      </c>
      <c r="BC71" s="35" t="str">
        <f aca="false">IFERROR(CHOOSE(MATCH(INDEX(時間ごとの判定!$AW$3:$AW$1850,1611),{"利用可","両方停止","運転がそろわない","判定不能"},0),"○","停","×","－"),"")</f>
        <v>停</v>
      </c>
      <c r="BD71" s="35" t="str">
        <f aca="false">IFERROR(CHOOSE(MATCH(INDEX(時間ごとの判定!$AW$3:$AW$1850,1612),{"利用可","両方停止","運転がそろわない","判定不能"},0),"○","停","×","－"),"")</f>
        <v>停</v>
      </c>
      <c r="BE71" s="35" t="str">
        <f aca="false">IFERROR(CHOOSE(MATCH(INDEX(時間ごとの判定!$AW$3:$AW$1850,1613),{"利用可","両方停止","運転がそろわない","判定不能"},0),"○","停","×","－"),"")</f>
        <v>停</v>
      </c>
      <c r="BF71" s="35" t="str">
        <f aca="false">IFERROR(CHOOSE(MATCH(INDEX(時間ごとの判定!$AW$3:$AW$1850,1614),{"利用可","両方停止","運転がそろわない","判定不能"},0),"○","停","×","－"),"")</f>
        <v>停</v>
      </c>
      <c r="BG71" s="35" t="str">
        <f aca="false">IFERROR(CHOOSE(MATCH(INDEX(時間ごとの判定!$AW$3:$AW$1850,1615),{"利用可","両方停止","運転がそろわない","判定不能"},0),"○","停","×","－"),"")</f>
        <v>停</v>
      </c>
      <c r="BH71" s="35" t="str">
        <f aca="false">IFERROR(CHOOSE(MATCH(INDEX(時間ごとの判定!$AW$3:$AW$1850,1616),{"利用可","両方停止","運転がそろわない","判定不能"},0),"○","停","×","－"),"")</f>
        <v>停</v>
      </c>
      <c r="BI71" s="35" t="str">
        <f aca="false">IFERROR(CHOOSE(MATCH(INDEX(時間ごとの判定!$AW$3:$AW$1850,1617),{"利用可","両方停止","運転がそろわない","判定不能"},0),"○","停","×","－"),"")</f>
        <v>×</v>
      </c>
      <c r="BJ71" s="35" t="str">
        <f aca="false">IFERROR(CHOOSE(MATCH(INDEX(時間ごとの判定!$AW$3:$AW$1850,1618),{"利用可","両方停止","運転がそろわない","判定不能"},0),"○","停","×","－"),"")</f>
        <v>×</v>
      </c>
      <c r="BK71" s="35" t="str">
        <f aca="false">IFERROR(CHOOSE(MATCH(INDEX(時間ごとの判定!$AW$3:$AW$1850,1619),{"利用可","両方停止","運転がそろわない","判定不能"},0),"○","停","×","－"),"")</f>
        <v>×</v>
      </c>
      <c r="BL71" s="35" t="str">
        <f aca="false">IFERROR(CHOOSE(MATCH(INDEX(時間ごとの判定!$AW$3:$AW$1850,1620),{"利用可","両方停止","運転がそろわない","判定不能"},0),"○","停","×","－"),"")</f>
        <v>×</v>
      </c>
      <c r="BM71" s="35" t="str">
        <f aca="false">IFERROR(CHOOSE(MATCH(INDEX(時間ごとの判定!$AW$3:$AW$1850,1621),{"利用可","両方停止","運転がそろわない","判定不能"},0),"○","停","×","－"),"")</f>
        <v>×</v>
      </c>
      <c r="BN71" s="35" t="str">
        <f aca="false">IFERROR(CHOOSE(MATCH(INDEX(時間ごとの判定!$AW$3:$AW$1850,1622),{"利用可","両方停止","運転がそろわない","判定不能"},0),"○","停","×","－"),"")</f>
        <v>×</v>
      </c>
      <c r="BO71" s="35" t="str">
        <f aca="false">IFERROR(CHOOSE(MATCH(INDEX(時間ごとの判定!$AW$3:$AW$1850,1623),{"利用可","両方停止","運転がそろわない","判定不能"},0),"○","停","×","－"),"")</f>
        <v>×</v>
      </c>
      <c r="BP71" s="35" t="str">
        <f aca="false">IFERROR(CHOOSE(MATCH(INDEX(時間ごとの判定!$AW$3:$AW$1850,1624),{"利用可","両方停止","運転がそろわない","判定不能"},0),"○","停","×","－"),"")</f>
        <v>×</v>
      </c>
      <c r="BQ71" s="35" t="str">
        <f aca="false">IFERROR(CHOOSE(MATCH(INDEX(時間ごとの判定!$AW$3:$AW$1850,1625),{"利用可","両方停止","運転がそろわない","判定不能"},0),"○","停","×","－"),"")</f>
        <v>×</v>
      </c>
      <c r="BR71" s="35" t="str">
        <f aca="false">IFERROR(CHOOSE(MATCH(INDEX(時間ごとの判定!$AW$3:$AW$1850,1626),{"利用可","両方停止","運転がそろわない","判定不能"},0),"○","停","×","－"),"")</f>
        <v>×</v>
      </c>
      <c r="BS71" s="35" t="str">
        <f aca="false">IFERROR(CHOOSE(MATCH(INDEX(時間ごとの判定!$AW$3:$AW$1850,1627),{"利用可","両方停止","運転がそろわない","判定不能"},0),"○","停","×","－"),"")</f>
        <v>×</v>
      </c>
      <c r="BT71" s="35" t="str">
        <f aca="false">IFERROR(CHOOSE(MATCH(INDEX(時間ごとの判定!$AW$3:$AW$1850,1628),{"利用可","両方停止","運転がそろわない","判定不能"},0),"○","停","×","－"),"")</f>
        <v>×</v>
      </c>
      <c r="BU71" s="35" t="str">
        <f aca="false">IFERROR(CHOOSE(MATCH(INDEX(時間ごとの判定!$AW$3:$AW$1850,1629),{"利用可","両方停止","運転がそろわない","判定不能"},0),"○","停","×","－"),"")</f>
        <v>×</v>
      </c>
      <c r="BV71" s="35" t="str">
        <f aca="false">IFERROR(CHOOSE(MATCH(INDEX(時間ごとの判定!$AW$3:$AW$1850,1630),{"利用可","両方停止","運転がそろわない","判定不能"},0),"○","停","×","－"),"")</f>
        <v>停</v>
      </c>
      <c r="BW71" s="35" t="str">
        <f aca="false">IFERROR(CHOOSE(MATCH(INDEX(時間ごとの判定!$AW$3:$AW$1850,1631),{"利用可","両方停止","運転がそろわない","判定不能"},0),"○","停","×","－"),"")</f>
        <v>停</v>
      </c>
      <c r="BX71" s="35" t="str">
        <f aca="false">IFERROR(CHOOSE(MATCH(INDEX(時間ごとの判定!$AW$3:$AW$1850,1632),{"利用可","両方停止","運転がそろわない","判定不能"},0),"○","停","×","－"),"")</f>
        <v>停</v>
      </c>
    </row>
    <row r="72" customFormat="false" ht="15" hidden="false" customHeight="false" outlineLevel="0" collapsed="false">
      <c r="A72" s="33" t="n">
        <v>46300</v>
      </c>
      <c r="B72" s="34" t="s">
        <v>66</v>
      </c>
      <c r="C72" s="35" t="str">
        <f aca="false">IFERROR(CHOOSE(MATCH(INDEX(時間ごとの判定!$AQ$3:$AQ$1850,1633),{"利用可","両方停止","運転がそろわない","判定不能"},0),"○","停","×","－"),"")</f>
        <v>停</v>
      </c>
      <c r="D72" s="35" t="str">
        <f aca="false">IFERROR(CHOOSE(MATCH(INDEX(時間ごとの判定!$AQ$3:$AQ$1850,1634),{"利用可","両方停止","運転がそろわない","判定不能"},0),"○","停","×","－"),"")</f>
        <v>停</v>
      </c>
      <c r="E72" s="35" t="str">
        <f aca="false">IFERROR(CHOOSE(MATCH(INDEX(時間ごとの判定!$AQ$3:$AQ$1850,1635),{"利用可","両方停止","運転がそろわない","判定不能"},0),"○","停","×","－"),"")</f>
        <v>停</v>
      </c>
      <c r="F72" s="35" t="str">
        <f aca="false">IFERROR(CHOOSE(MATCH(INDEX(時間ごとの判定!$AQ$3:$AQ$1850,1636),{"利用可","両方停止","運転がそろわない","判定不能"},0),"○","停","×","－"),"")</f>
        <v>停</v>
      </c>
      <c r="G72" s="35" t="str">
        <f aca="false">IFERROR(CHOOSE(MATCH(INDEX(時間ごとの判定!$AQ$3:$AQ$1850,1637),{"利用可","両方停止","運転がそろわない","判定不能"},0),"○","停","×","－"),"")</f>
        <v>停</v>
      </c>
      <c r="H72" s="35" t="str">
        <f aca="false">IFERROR(CHOOSE(MATCH(INDEX(時間ごとの判定!$AQ$3:$AQ$1850,1638),{"利用可","両方停止","運転がそろわない","判定不能"},0),"○","停","×","－"),"")</f>
        <v>停</v>
      </c>
      <c r="I72" s="35" t="str">
        <f aca="false">IFERROR(CHOOSE(MATCH(INDEX(時間ごとの判定!$AQ$3:$AQ$1850,1639),{"利用可","両方停止","運転がそろわない","判定不能"},0),"○","停","×","－"),"")</f>
        <v>停</v>
      </c>
      <c r="J72" s="35" t="str">
        <f aca="false">IFERROR(CHOOSE(MATCH(INDEX(時間ごとの判定!$AQ$3:$AQ$1850,1640),{"利用可","両方停止","運転がそろわない","判定不能"},0),"○","停","×","－"),"")</f>
        <v>停</v>
      </c>
      <c r="K72" s="35" t="str">
        <f aca="false">IFERROR(CHOOSE(MATCH(INDEX(時間ごとの判定!$AQ$3:$AQ$1850,1641),{"利用可","両方停止","運転がそろわない","判定不能"},0),"○","停","×","－"),"")</f>
        <v>×</v>
      </c>
      <c r="L72" s="35" t="str">
        <f aca="false">IFERROR(CHOOSE(MATCH(INDEX(時間ごとの判定!$AQ$3:$AQ$1850,1642),{"利用可","両方停止","運転がそろわない","判定不能"},0),"○","停","×","－"),"")</f>
        <v>×</v>
      </c>
      <c r="M72" s="35" t="str">
        <f aca="false">IFERROR(CHOOSE(MATCH(INDEX(時間ごとの判定!$AQ$3:$AQ$1850,1643),{"利用可","両方停止","運転がそろわない","判定不能"},0),"○","停","×","－"),"")</f>
        <v>×</v>
      </c>
      <c r="N72" s="35" t="str">
        <f aca="false">IFERROR(CHOOSE(MATCH(INDEX(時間ごとの判定!$AQ$3:$AQ$1850,1644),{"利用可","両方停止","運転がそろわない","判定不能"},0),"○","停","×","－"),"")</f>
        <v>×</v>
      </c>
      <c r="O72" s="35" t="str">
        <f aca="false">IFERROR(CHOOSE(MATCH(INDEX(時間ごとの判定!$AQ$3:$AQ$1850,1645),{"利用可","両方停止","運転がそろわない","判定不能"},0),"○","停","×","－"),"")</f>
        <v>×</v>
      </c>
      <c r="P72" s="35" t="str">
        <f aca="false">IFERROR(CHOOSE(MATCH(INDEX(時間ごとの判定!$AQ$3:$AQ$1850,1646),{"利用可","両方停止","運転がそろわない","判定不能"},0),"○","停","×","－"),"")</f>
        <v>×</v>
      </c>
      <c r="Q72" s="35" t="str">
        <f aca="false">IFERROR(CHOOSE(MATCH(INDEX(時間ごとの判定!$AQ$3:$AQ$1850,1647),{"利用可","両方停止","運転がそろわない","判定不能"},0),"○","停","×","－"),"")</f>
        <v>×</v>
      </c>
      <c r="R72" s="35" t="str">
        <f aca="false">IFERROR(CHOOSE(MATCH(INDEX(時間ごとの判定!$AQ$3:$AQ$1850,1648),{"利用可","両方停止","運転がそろわない","判定不能"},0),"○","停","×","－"),"")</f>
        <v>×</v>
      </c>
      <c r="S72" s="35" t="str">
        <f aca="false">IFERROR(CHOOSE(MATCH(INDEX(時間ごとの判定!$AQ$3:$AQ$1850,1649),{"利用可","両方停止","運転がそろわない","判定不能"},0),"○","停","×","－"),"")</f>
        <v>×</v>
      </c>
      <c r="T72" s="35" t="str">
        <f aca="false">IFERROR(CHOOSE(MATCH(INDEX(時間ごとの判定!$AQ$3:$AQ$1850,1650),{"利用可","両方停止","運転がそろわない","判定不能"},0),"○","停","×","－"),"")</f>
        <v>×</v>
      </c>
      <c r="U72" s="35" t="str">
        <f aca="false">IFERROR(CHOOSE(MATCH(INDEX(時間ごとの判定!$AQ$3:$AQ$1850,1651),{"利用可","両方停止","運転がそろわない","判定不能"},0),"○","停","×","－"),"")</f>
        <v>停</v>
      </c>
      <c r="V72" s="35" t="str">
        <f aca="false">IFERROR(CHOOSE(MATCH(INDEX(時間ごとの判定!$AQ$3:$AQ$1850,1652),{"利用可","両方停止","運転がそろわない","判定不能"},0),"○","停","×","－"),"")</f>
        <v>×</v>
      </c>
      <c r="W72" s="35" t="str">
        <f aca="false">IFERROR(CHOOSE(MATCH(INDEX(時間ごとの判定!$AQ$3:$AQ$1850,1653),{"利用可","両方停止","運転がそろわない","判定不能"},0),"○","停","×","－"),"")</f>
        <v>停</v>
      </c>
      <c r="X72" s="35" t="str">
        <f aca="false">IFERROR(CHOOSE(MATCH(INDEX(時間ごとの判定!$AQ$3:$AQ$1850,1654),{"利用可","両方停止","運転がそろわない","判定不能"},0),"○","停","×","－"),"")</f>
        <v>停</v>
      </c>
      <c r="Y72" s="35" t="str">
        <f aca="false">IFERROR(CHOOSE(MATCH(INDEX(時間ごとの判定!$AQ$3:$AQ$1850,1655),{"利用可","両方停止","運転がそろわない","判定不能"},0),"○","停","×","－"),"")</f>
        <v>停</v>
      </c>
      <c r="Z72" s="35" t="str">
        <f aca="false">IFERROR(CHOOSE(MATCH(INDEX(時間ごとの判定!$AQ$3:$AQ$1850,1656),{"利用可","両方停止","運転がそろわない","判定不能"},0),"○","停","×","－"),"")</f>
        <v>停</v>
      </c>
      <c r="AA72" s="35"/>
      <c r="AB72" s="35" t="str">
        <f aca="false">IFERROR(CHOOSE(MATCH(INDEX(時間ごとの判定!$AT$3:$AT$1850,1633),{"利用可","両方停止","運転がそろわない","判定不能"},0),"○","停","×","－"),"")</f>
        <v>停</v>
      </c>
      <c r="AC72" s="35" t="str">
        <f aca="false">IFERROR(CHOOSE(MATCH(INDEX(時間ごとの判定!$AT$3:$AT$1850,1634),{"利用可","両方停止","運転がそろわない","判定不能"},0),"○","停","×","－"),"")</f>
        <v>停</v>
      </c>
      <c r="AD72" s="35" t="str">
        <f aca="false">IFERROR(CHOOSE(MATCH(INDEX(時間ごとの判定!$AT$3:$AT$1850,1635),{"利用可","両方停止","運転がそろわない","判定不能"},0),"○","停","×","－"),"")</f>
        <v>停</v>
      </c>
      <c r="AE72" s="35" t="str">
        <f aca="false">IFERROR(CHOOSE(MATCH(INDEX(時間ごとの判定!$AT$3:$AT$1850,1636),{"利用可","両方停止","運転がそろわない","判定不能"},0),"○","停","×","－"),"")</f>
        <v>停</v>
      </c>
      <c r="AF72" s="35" t="str">
        <f aca="false">IFERROR(CHOOSE(MATCH(INDEX(時間ごとの判定!$AT$3:$AT$1850,1637),{"利用可","両方停止","運転がそろわない","判定不能"},0),"○","停","×","－"),"")</f>
        <v>停</v>
      </c>
      <c r="AG72" s="35" t="str">
        <f aca="false">IFERROR(CHOOSE(MATCH(INDEX(時間ごとの判定!$AT$3:$AT$1850,1638),{"利用可","両方停止","運転がそろわない","判定不能"},0),"○","停","×","－"),"")</f>
        <v>停</v>
      </c>
      <c r="AH72" s="35" t="str">
        <f aca="false">IFERROR(CHOOSE(MATCH(INDEX(時間ごとの判定!$AT$3:$AT$1850,1639),{"利用可","両方停止","運転がそろわない","判定不能"},0),"○","停","×","－"),"")</f>
        <v>停</v>
      </c>
      <c r="AI72" s="35" t="str">
        <f aca="false">IFERROR(CHOOSE(MATCH(INDEX(時間ごとの判定!$AT$3:$AT$1850,1640),{"利用可","両方停止","運転がそろわない","判定不能"},0),"○","停","×","－"),"")</f>
        <v>停</v>
      </c>
      <c r="AJ72" s="35" t="str">
        <f aca="false">IFERROR(CHOOSE(MATCH(INDEX(時間ごとの判定!$AT$3:$AT$1850,1641),{"利用可","両方停止","運転がそろわない","判定不能"},0),"○","停","×","－"),"")</f>
        <v>×</v>
      </c>
      <c r="AK72" s="35" t="str">
        <f aca="false">IFERROR(CHOOSE(MATCH(INDEX(時間ごとの判定!$AT$3:$AT$1850,1642),{"利用可","両方停止","運転がそろわない","判定不能"},0),"○","停","×","－"),"")</f>
        <v>×</v>
      </c>
      <c r="AL72" s="35" t="str">
        <f aca="false">IFERROR(CHOOSE(MATCH(INDEX(時間ごとの判定!$AT$3:$AT$1850,1643),{"利用可","両方停止","運転がそろわない","判定不能"},0),"○","停","×","－"),"")</f>
        <v>×</v>
      </c>
      <c r="AM72" s="35" t="str">
        <f aca="false">IFERROR(CHOOSE(MATCH(INDEX(時間ごとの判定!$AT$3:$AT$1850,1644),{"利用可","両方停止","運転がそろわない","判定不能"},0),"○","停","×","－"),"")</f>
        <v>×</v>
      </c>
      <c r="AN72" s="35" t="str">
        <f aca="false">IFERROR(CHOOSE(MATCH(INDEX(時間ごとの判定!$AT$3:$AT$1850,1645),{"利用可","両方停止","運転がそろわない","判定不能"},0),"○","停","×","－"),"")</f>
        <v>×</v>
      </c>
      <c r="AO72" s="35" t="str">
        <f aca="false">IFERROR(CHOOSE(MATCH(INDEX(時間ごとの判定!$AT$3:$AT$1850,1646),{"利用可","両方停止","運転がそろわない","判定不能"},0),"○","停","×","－"),"")</f>
        <v>×</v>
      </c>
      <c r="AP72" s="35" t="str">
        <f aca="false">IFERROR(CHOOSE(MATCH(INDEX(時間ごとの判定!$AT$3:$AT$1850,1647),{"利用可","両方停止","運転がそろわない","判定不能"},0),"○","停","×","－"),"")</f>
        <v>○</v>
      </c>
      <c r="AQ72" s="35" t="str">
        <f aca="false">IFERROR(CHOOSE(MATCH(INDEX(時間ごとの判定!$AT$3:$AT$1850,1648),{"利用可","両方停止","運転がそろわない","判定不能"},0),"○","停","×","－"),"")</f>
        <v>×</v>
      </c>
      <c r="AR72" s="35" t="str">
        <f aca="false">IFERROR(CHOOSE(MATCH(INDEX(時間ごとの判定!$AT$3:$AT$1850,1649),{"利用可","両方停止","運転がそろわない","判定不能"},0),"○","停","×","－"),"")</f>
        <v>○</v>
      </c>
      <c r="AS72" s="35" t="str">
        <f aca="false">IFERROR(CHOOSE(MATCH(INDEX(時間ごとの判定!$AT$3:$AT$1850,1650),{"利用可","両方停止","運転がそろわない","判定不能"},0),"○","停","×","－"),"")</f>
        <v>×</v>
      </c>
      <c r="AT72" s="35" t="str">
        <f aca="false">IFERROR(CHOOSE(MATCH(INDEX(時間ごとの判定!$AT$3:$AT$1850,1651),{"利用可","両方停止","運転がそろわない","判定不能"},0),"○","停","×","－"),"")</f>
        <v>×</v>
      </c>
      <c r="AU72" s="35" t="str">
        <f aca="false">IFERROR(CHOOSE(MATCH(INDEX(時間ごとの判定!$AT$3:$AT$1850,1652),{"利用可","両方停止","運転がそろわない","判定不能"},0),"○","停","×","－"),"")</f>
        <v>×</v>
      </c>
      <c r="AV72" s="35" t="str">
        <f aca="false">IFERROR(CHOOSE(MATCH(INDEX(時間ごとの判定!$AT$3:$AT$1850,1653),{"利用可","両方停止","運転がそろわない","判定不能"},0),"○","停","×","－"),"")</f>
        <v>停</v>
      </c>
      <c r="AW72" s="35" t="str">
        <f aca="false">IFERROR(CHOOSE(MATCH(INDEX(時間ごとの判定!$AT$3:$AT$1850,1654),{"利用可","両方停止","運転がそろわない","判定不能"},0),"○","停","×","－"),"")</f>
        <v>停</v>
      </c>
      <c r="AX72" s="35" t="str">
        <f aca="false">IFERROR(CHOOSE(MATCH(INDEX(時間ごとの判定!$AT$3:$AT$1850,1655),{"利用可","両方停止","運転がそろわない","判定不能"},0),"○","停","×","－"),"")</f>
        <v>停</v>
      </c>
      <c r="AY72" s="35" t="str">
        <f aca="false">IFERROR(CHOOSE(MATCH(INDEX(時間ごとの判定!$AT$3:$AT$1850,1656),{"利用可","両方停止","運転がそろわない","判定不能"},0),"○","停","×","－"),"")</f>
        <v>停</v>
      </c>
      <c r="AZ72" s="35"/>
      <c r="BA72" s="35" t="str">
        <f aca="false">IFERROR(CHOOSE(MATCH(INDEX(時間ごとの判定!$AW$3:$AW$1850,1633),{"利用可","両方停止","運転がそろわない","判定不能"},0),"○","停","×","－"),"")</f>
        <v>停</v>
      </c>
      <c r="BB72" s="35" t="str">
        <f aca="false">IFERROR(CHOOSE(MATCH(INDEX(時間ごとの判定!$AW$3:$AW$1850,1634),{"利用可","両方停止","運転がそろわない","判定不能"},0),"○","停","×","－"),"")</f>
        <v>停</v>
      </c>
      <c r="BC72" s="35" t="str">
        <f aca="false">IFERROR(CHOOSE(MATCH(INDEX(時間ごとの判定!$AW$3:$AW$1850,1635),{"利用可","両方停止","運転がそろわない","判定不能"},0),"○","停","×","－"),"")</f>
        <v>停</v>
      </c>
      <c r="BD72" s="35" t="str">
        <f aca="false">IFERROR(CHOOSE(MATCH(INDEX(時間ごとの判定!$AW$3:$AW$1850,1636),{"利用可","両方停止","運転がそろわない","判定不能"},0),"○","停","×","－"),"")</f>
        <v>停</v>
      </c>
      <c r="BE72" s="35" t="str">
        <f aca="false">IFERROR(CHOOSE(MATCH(INDEX(時間ごとの判定!$AW$3:$AW$1850,1637),{"利用可","両方停止","運転がそろわない","判定不能"},0),"○","停","×","－"),"")</f>
        <v>停</v>
      </c>
      <c r="BF72" s="35" t="str">
        <f aca="false">IFERROR(CHOOSE(MATCH(INDEX(時間ごとの判定!$AW$3:$AW$1850,1638),{"利用可","両方停止","運転がそろわない","判定不能"},0),"○","停","×","－"),"")</f>
        <v>×</v>
      </c>
      <c r="BG72" s="35" t="str">
        <f aca="false">IFERROR(CHOOSE(MATCH(INDEX(時間ごとの判定!$AW$3:$AW$1850,1639),{"利用可","両方停止","運転がそろわない","判定不能"},0),"○","停","×","－"),"")</f>
        <v>×</v>
      </c>
      <c r="BH72" s="35" t="str">
        <f aca="false">IFERROR(CHOOSE(MATCH(INDEX(時間ごとの判定!$AW$3:$AW$1850,1640),{"利用可","両方停止","運転がそろわない","判定不能"},0),"○","停","×","－"),"")</f>
        <v>×</v>
      </c>
      <c r="BI72" s="35" t="str">
        <f aca="false">IFERROR(CHOOSE(MATCH(INDEX(時間ごとの判定!$AW$3:$AW$1850,1641),{"利用可","両方停止","運転がそろわない","判定不能"},0),"○","停","×","－"),"")</f>
        <v>×</v>
      </c>
      <c r="BJ72" s="35" t="str">
        <f aca="false">IFERROR(CHOOSE(MATCH(INDEX(時間ごとの判定!$AW$3:$AW$1850,1642),{"利用可","両方停止","運転がそろわない","判定不能"},0),"○","停","×","－"),"")</f>
        <v>×</v>
      </c>
      <c r="BK72" s="35" t="str">
        <f aca="false">IFERROR(CHOOSE(MATCH(INDEX(時間ごとの判定!$AW$3:$AW$1850,1643),{"利用可","両方停止","運転がそろわない","判定不能"},0),"○","停","×","－"),"")</f>
        <v>×</v>
      </c>
      <c r="BL72" s="35" t="str">
        <f aca="false">IFERROR(CHOOSE(MATCH(INDEX(時間ごとの判定!$AW$3:$AW$1850,1644),{"利用可","両方停止","運転がそろわない","判定不能"},0),"○","停","×","－"),"")</f>
        <v>×</v>
      </c>
      <c r="BM72" s="35" t="str">
        <f aca="false">IFERROR(CHOOSE(MATCH(INDEX(時間ごとの判定!$AW$3:$AW$1850,1645),{"利用可","両方停止","運転がそろわない","判定不能"},0),"○","停","×","－"),"")</f>
        <v>○</v>
      </c>
      <c r="BN72" s="35" t="str">
        <f aca="false">IFERROR(CHOOSE(MATCH(INDEX(時間ごとの判定!$AW$3:$AW$1850,1646),{"利用可","両方停止","運転がそろわない","判定不能"},0),"○","停","×","－"),"")</f>
        <v>○</v>
      </c>
      <c r="BO72" s="35" t="str">
        <f aca="false">IFERROR(CHOOSE(MATCH(INDEX(時間ごとの判定!$AW$3:$AW$1850,1647),{"利用可","両方停止","運転がそろわない","判定不能"},0),"○","停","×","－"),"")</f>
        <v>○</v>
      </c>
      <c r="BP72" s="35" t="str">
        <f aca="false">IFERROR(CHOOSE(MATCH(INDEX(時間ごとの判定!$AW$3:$AW$1850,1648),{"利用可","両方停止","運転がそろわない","判定不能"},0),"○","停","×","－"),"")</f>
        <v>×</v>
      </c>
      <c r="BQ72" s="35" t="str">
        <f aca="false">IFERROR(CHOOSE(MATCH(INDEX(時間ごとの判定!$AW$3:$AW$1850,1649),{"利用可","両方停止","運転がそろわない","判定不能"},0),"○","停","×","－"),"")</f>
        <v>×</v>
      </c>
      <c r="BR72" s="35" t="str">
        <f aca="false">IFERROR(CHOOSE(MATCH(INDEX(時間ごとの判定!$AW$3:$AW$1850,1650),{"利用可","両方停止","運転がそろわない","判定不能"},0),"○","停","×","－"),"")</f>
        <v>×</v>
      </c>
      <c r="BS72" s="35" t="str">
        <f aca="false">IFERROR(CHOOSE(MATCH(INDEX(時間ごとの判定!$AW$3:$AW$1850,1651),{"利用可","両方停止","運転がそろわない","判定不能"},0),"○","停","×","－"),"")</f>
        <v>×</v>
      </c>
      <c r="BT72" s="35" t="str">
        <f aca="false">IFERROR(CHOOSE(MATCH(INDEX(時間ごとの判定!$AW$3:$AW$1850,1652),{"利用可","両方停止","運転がそろわない","判定不能"},0),"○","停","×","－"),"")</f>
        <v>×</v>
      </c>
      <c r="BU72" s="35" t="str">
        <f aca="false">IFERROR(CHOOSE(MATCH(INDEX(時間ごとの判定!$AW$3:$AW$1850,1653),{"利用可","両方停止","運転がそろわない","判定不能"},0),"○","停","×","－"),"")</f>
        <v>×</v>
      </c>
      <c r="BV72" s="35" t="str">
        <f aca="false">IFERROR(CHOOSE(MATCH(INDEX(時間ごとの判定!$AW$3:$AW$1850,1654),{"利用可","両方停止","運転がそろわない","判定不能"},0),"○","停","×","－"),"")</f>
        <v>停</v>
      </c>
      <c r="BW72" s="35" t="str">
        <f aca="false">IFERROR(CHOOSE(MATCH(INDEX(時間ごとの判定!$AW$3:$AW$1850,1655),{"利用可","両方停止","運転がそろわない","判定不能"},0),"○","停","×","－"),"")</f>
        <v>停</v>
      </c>
      <c r="BX72" s="35" t="str">
        <f aca="false">IFERROR(CHOOSE(MATCH(INDEX(時間ごとの判定!$AW$3:$AW$1850,1656),{"利用可","両方停止","運転がそろわない","判定不能"},0),"○","停","×","－"),"")</f>
        <v>停</v>
      </c>
    </row>
    <row r="73" customFormat="false" ht="15" hidden="false" customHeight="false" outlineLevel="0" collapsed="false">
      <c r="A73" s="33" t="n">
        <v>46301</v>
      </c>
      <c r="B73" s="34" t="s">
        <v>67</v>
      </c>
      <c r="C73" s="35" t="str">
        <f aca="false">IFERROR(CHOOSE(MATCH(INDEX(時間ごとの判定!$AQ$3:$AQ$1850,1657),{"利用可","両方停止","運転がそろわない","判定不能"},0),"○","停","×","－"),"")</f>
        <v>停</v>
      </c>
      <c r="D73" s="35" t="str">
        <f aca="false">IFERROR(CHOOSE(MATCH(INDEX(時間ごとの判定!$AQ$3:$AQ$1850,1658),{"利用可","両方停止","運転がそろわない","判定不能"},0),"○","停","×","－"),"")</f>
        <v>停</v>
      </c>
      <c r="E73" s="35" t="str">
        <f aca="false">IFERROR(CHOOSE(MATCH(INDEX(時間ごとの判定!$AQ$3:$AQ$1850,1659),{"利用可","両方停止","運転がそろわない","判定不能"},0),"○","停","×","－"),"")</f>
        <v>停</v>
      </c>
      <c r="F73" s="35" t="str">
        <f aca="false">IFERROR(CHOOSE(MATCH(INDEX(時間ごとの判定!$AQ$3:$AQ$1850,1660),{"利用可","両方停止","運転がそろわない","判定不能"},0),"○","停","×","－"),"")</f>
        <v>停</v>
      </c>
      <c r="G73" s="35" t="str">
        <f aca="false">IFERROR(CHOOSE(MATCH(INDEX(時間ごとの判定!$AQ$3:$AQ$1850,1661),{"利用可","両方停止","運転がそろわない","判定不能"},0),"○","停","×","－"),"")</f>
        <v>停</v>
      </c>
      <c r="H73" s="35" t="str">
        <f aca="false">IFERROR(CHOOSE(MATCH(INDEX(時間ごとの判定!$AQ$3:$AQ$1850,1662),{"利用可","両方停止","運転がそろわない","判定不能"},0),"○","停","×","－"),"")</f>
        <v>停</v>
      </c>
      <c r="I73" s="35" t="str">
        <f aca="false">IFERROR(CHOOSE(MATCH(INDEX(時間ごとの判定!$AQ$3:$AQ$1850,1663),{"利用可","両方停止","運転がそろわない","判定不能"},0),"○","停","×","－"),"")</f>
        <v>停</v>
      </c>
      <c r="J73" s="35" t="str">
        <f aca="false">IFERROR(CHOOSE(MATCH(INDEX(時間ごとの判定!$AQ$3:$AQ$1850,1664),{"利用可","両方停止","運転がそろわない","判定不能"},0),"○","停","×","－"),"")</f>
        <v>×</v>
      </c>
      <c r="K73" s="35" t="str">
        <f aca="false">IFERROR(CHOOSE(MATCH(INDEX(時間ごとの判定!$AQ$3:$AQ$1850,1665),{"利用可","両方停止","運転がそろわない","判定不能"},0),"○","停","×","－"),"")</f>
        <v>×</v>
      </c>
      <c r="L73" s="35" t="str">
        <f aca="false">IFERROR(CHOOSE(MATCH(INDEX(時間ごとの判定!$AQ$3:$AQ$1850,1666),{"利用可","両方停止","運転がそろわない","判定不能"},0),"○","停","×","－"),"")</f>
        <v>×</v>
      </c>
      <c r="M73" s="35" t="str">
        <f aca="false">IFERROR(CHOOSE(MATCH(INDEX(時間ごとの判定!$AQ$3:$AQ$1850,1667),{"利用可","両方停止","運転がそろわない","判定不能"},0),"○","停","×","－"),"")</f>
        <v>○</v>
      </c>
      <c r="N73" s="35" t="str">
        <f aca="false">IFERROR(CHOOSE(MATCH(INDEX(時間ごとの判定!$AQ$3:$AQ$1850,1668),{"利用可","両方停止","運転がそろわない","判定不能"},0),"○","停","×","－"),"")</f>
        <v>○</v>
      </c>
      <c r="O73" s="35" t="str">
        <f aca="false">IFERROR(CHOOSE(MATCH(INDEX(時間ごとの判定!$AQ$3:$AQ$1850,1669),{"利用可","両方停止","運転がそろわない","判定不能"},0),"○","停","×","－"),"")</f>
        <v>○</v>
      </c>
      <c r="P73" s="35" t="str">
        <f aca="false">IFERROR(CHOOSE(MATCH(INDEX(時間ごとの判定!$AQ$3:$AQ$1850,1670),{"利用可","両方停止","運転がそろわない","判定不能"},0),"○","停","×","－"),"")</f>
        <v>○</v>
      </c>
      <c r="Q73" s="35" t="str">
        <f aca="false">IFERROR(CHOOSE(MATCH(INDEX(時間ごとの判定!$AQ$3:$AQ$1850,1671),{"利用可","両方停止","運転がそろわない","判定不能"},0),"○","停","×","－"),"")</f>
        <v>○</v>
      </c>
      <c r="R73" s="35" t="str">
        <f aca="false">IFERROR(CHOOSE(MATCH(INDEX(時間ごとの判定!$AQ$3:$AQ$1850,1672),{"利用可","両方停止","運転がそろわない","判定不能"},0),"○","停","×","－"),"")</f>
        <v>○</v>
      </c>
      <c r="S73" s="35" t="str">
        <f aca="false">IFERROR(CHOOSE(MATCH(INDEX(時間ごとの判定!$AQ$3:$AQ$1850,1673),{"利用可","両方停止","運転がそろわない","判定不能"},0),"○","停","×","－"),"")</f>
        <v>×</v>
      </c>
      <c r="T73" s="35" t="str">
        <f aca="false">IFERROR(CHOOSE(MATCH(INDEX(時間ごとの判定!$AQ$3:$AQ$1850,1674),{"利用可","両方停止","運転がそろわない","判定不能"},0),"○","停","×","－"),"")</f>
        <v>×</v>
      </c>
      <c r="U73" s="35" t="str">
        <f aca="false">IFERROR(CHOOSE(MATCH(INDEX(時間ごとの判定!$AQ$3:$AQ$1850,1675),{"利用可","両方停止","運転がそろわない","判定不能"},0),"○","停","×","－"),"")</f>
        <v>×</v>
      </c>
      <c r="V73" s="35" t="str">
        <f aca="false">IFERROR(CHOOSE(MATCH(INDEX(時間ごとの判定!$AQ$3:$AQ$1850,1676),{"利用可","両方停止","運転がそろわない","判定不能"},0),"○","停","×","－"),"")</f>
        <v>停</v>
      </c>
      <c r="W73" s="35" t="str">
        <f aca="false">IFERROR(CHOOSE(MATCH(INDEX(時間ごとの判定!$AQ$3:$AQ$1850,1677),{"利用可","両方停止","運転がそろわない","判定不能"},0),"○","停","×","－"),"")</f>
        <v>停</v>
      </c>
      <c r="X73" s="35" t="str">
        <f aca="false">IFERROR(CHOOSE(MATCH(INDEX(時間ごとの判定!$AQ$3:$AQ$1850,1678),{"利用可","両方停止","運転がそろわない","判定不能"},0),"○","停","×","－"),"")</f>
        <v>停</v>
      </c>
      <c r="Y73" s="35" t="str">
        <f aca="false">IFERROR(CHOOSE(MATCH(INDEX(時間ごとの判定!$AQ$3:$AQ$1850,1679),{"利用可","両方停止","運転がそろわない","判定不能"},0),"○","停","×","－"),"")</f>
        <v>停</v>
      </c>
      <c r="Z73" s="35" t="str">
        <f aca="false">IFERROR(CHOOSE(MATCH(INDEX(時間ごとの判定!$AQ$3:$AQ$1850,1680),{"利用可","両方停止","運転がそろわない","判定不能"},0),"○","停","×","－"),"")</f>
        <v>停</v>
      </c>
      <c r="AA73" s="35"/>
      <c r="AB73" s="35" t="str">
        <f aca="false">IFERROR(CHOOSE(MATCH(INDEX(時間ごとの判定!$AT$3:$AT$1850,1657),{"利用可","両方停止","運転がそろわない","判定不能"},0),"○","停","×","－"),"")</f>
        <v>停</v>
      </c>
      <c r="AC73" s="35" t="str">
        <f aca="false">IFERROR(CHOOSE(MATCH(INDEX(時間ごとの判定!$AT$3:$AT$1850,1658),{"利用可","両方停止","運転がそろわない","判定不能"},0),"○","停","×","－"),"")</f>
        <v>停</v>
      </c>
      <c r="AD73" s="35" t="str">
        <f aca="false">IFERROR(CHOOSE(MATCH(INDEX(時間ごとの判定!$AT$3:$AT$1850,1659),{"利用可","両方停止","運転がそろわない","判定不能"},0),"○","停","×","－"),"")</f>
        <v>停</v>
      </c>
      <c r="AE73" s="35" t="str">
        <f aca="false">IFERROR(CHOOSE(MATCH(INDEX(時間ごとの判定!$AT$3:$AT$1850,1660),{"利用可","両方停止","運転がそろわない","判定不能"},0),"○","停","×","－"),"")</f>
        <v>停</v>
      </c>
      <c r="AF73" s="35" t="str">
        <f aca="false">IFERROR(CHOOSE(MATCH(INDEX(時間ごとの判定!$AT$3:$AT$1850,1661),{"利用可","両方停止","運転がそろわない","判定不能"},0),"○","停","×","－"),"")</f>
        <v>停</v>
      </c>
      <c r="AG73" s="35" t="str">
        <f aca="false">IFERROR(CHOOSE(MATCH(INDEX(時間ごとの判定!$AT$3:$AT$1850,1662),{"利用可","両方停止","運転がそろわない","判定不能"},0),"○","停","×","－"),"")</f>
        <v>停</v>
      </c>
      <c r="AH73" s="35" t="str">
        <f aca="false">IFERROR(CHOOSE(MATCH(INDEX(時間ごとの判定!$AT$3:$AT$1850,1663),{"利用可","両方停止","運転がそろわない","判定不能"},0),"○","停","×","－"),"")</f>
        <v>停</v>
      </c>
      <c r="AI73" s="35" t="str">
        <f aca="false">IFERROR(CHOOSE(MATCH(INDEX(時間ごとの判定!$AT$3:$AT$1850,1664),{"利用可","両方停止","運転がそろわない","判定不能"},0),"○","停","×","－"),"")</f>
        <v>×</v>
      </c>
      <c r="AJ73" s="35" t="str">
        <f aca="false">IFERROR(CHOOSE(MATCH(INDEX(時間ごとの判定!$AT$3:$AT$1850,1665),{"利用可","両方停止","運転がそろわない","判定不能"},0),"○","停","×","－"),"")</f>
        <v>×</v>
      </c>
      <c r="AK73" s="35" t="str">
        <f aca="false">IFERROR(CHOOSE(MATCH(INDEX(時間ごとの判定!$AT$3:$AT$1850,1666),{"利用可","両方停止","運転がそろわない","判定不能"},0),"○","停","×","－"),"")</f>
        <v>×</v>
      </c>
      <c r="AL73" s="35" t="str">
        <f aca="false">IFERROR(CHOOSE(MATCH(INDEX(時間ごとの判定!$AT$3:$AT$1850,1667),{"利用可","両方停止","運転がそろわない","判定不能"},0),"○","停","×","－"),"")</f>
        <v>○</v>
      </c>
      <c r="AM73" s="35" t="str">
        <f aca="false">IFERROR(CHOOSE(MATCH(INDEX(時間ごとの判定!$AT$3:$AT$1850,1668),{"利用可","両方停止","運転がそろわない","判定不能"},0),"○","停","×","－"),"")</f>
        <v>○</v>
      </c>
      <c r="AN73" s="35" t="str">
        <f aca="false">IFERROR(CHOOSE(MATCH(INDEX(時間ごとの判定!$AT$3:$AT$1850,1669),{"利用可","両方停止","運転がそろわない","判定不能"},0),"○","停","×","－"),"")</f>
        <v>○</v>
      </c>
      <c r="AO73" s="35" t="str">
        <f aca="false">IFERROR(CHOOSE(MATCH(INDEX(時間ごとの判定!$AT$3:$AT$1850,1670),{"利用可","両方停止","運転がそろわない","判定不能"},0),"○","停","×","－"),"")</f>
        <v>○</v>
      </c>
      <c r="AP73" s="35" t="str">
        <f aca="false">IFERROR(CHOOSE(MATCH(INDEX(時間ごとの判定!$AT$3:$AT$1850,1671),{"利用可","両方停止","運転がそろわない","判定不能"},0),"○","停","×","－"),"")</f>
        <v>○</v>
      </c>
      <c r="AQ73" s="35" t="str">
        <f aca="false">IFERROR(CHOOSE(MATCH(INDEX(時間ごとの判定!$AT$3:$AT$1850,1672),{"利用可","両方停止","運転がそろわない","判定不能"},0),"○","停","×","－"),"")</f>
        <v>○</v>
      </c>
      <c r="AR73" s="35" t="str">
        <f aca="false">IFERROR(CHOOSE(MATCH(INDEX(時間ごとの判定!$AT$3:$AT$1850,1673),{"利用可","両方停止","運転がそろわない","判定不能"},0),"○","停","×","－"),"")</f>
        <v>○</v>
      </c>
      <c r="AS73" s="35" t="str">
        <f aca="false">IFERROR(CHOOSE(MATCH(INDEX(時間ごとの判定!$AT$3:$AT$1850,1674),{"利用可","両方停止","運転がそろわない","判定不能"},0),"○","停","×","－"),"")</f>
        <v>×</v>
      </c>
      <c r="AT73" s="35" t="str">
        <f aca="false">IFERROR(CHOOSE(MATCH(INDEX(時間ごとの判定!$AT$3:$AT$1850,1675),{"利用可","両方停止","運転がそろわない","判定不能"},0),"○","停","×","－"),"")</f>
        <v>×</v>
      </c>
      <c r="AU73" s="35" t="str">
        <f aca="false">IFERROR(CHOOSE(MATCH(INDEX(時間ごとの判定!$AT$3:$AT$1850,1676),{"利用可","両方停止","運転がそろわない","判定不能"},0),"○","停","×","－"),"")</f>
        <v>×</v>
      </c>
      <c r="AV73" s="35" t="str">
        <f aca="false">IFERROR(CHOOSE(MATCH(INDEX(時間ごとの判定!$AT$3:$AT$1850,1677),{"利用可","両方停止","運転がそろわない","判定不能"},0),"○","停","×","－"),"")</f>
        <v>×</v>
      </c>
      <c r="AW73" s="35" t="str">
        <f aca="false">IFERROR(CHOOSE(MATCH(INDEX(時間ごとの判定!$AT$3:$AT$1850,1678),{"利用可","両方停止","運転がそろわない","判定不能"},0),"○","停","×","－"),"")</f>
        <v>停</v>
      </c>
      <c r="AX73" s="35" t="str">
        <f aca="false">IFERROR(CHOOSE(MATCH(INDEX(時間ごとの判定!$AT$3:$AT$1850,1679),{"利用可","両方停止","運転がそろわない","判定不能"},0),"○","停","×","－"),"")</f>
        <v>停</v>
      </c>
      <c r="AY73" s="35" t="str">
        <f aca="false">IFERROR(CHOOSE(MATCH(INDEX(時間ごとの判定!$AT$3:$AT$1850,1680),{"利用可","両方停止","運転がそろわない","判定不能"},0),"○","停","×","－"),"")</f>
        <v>停</v>
      </c>
      <c r="AZ73" s="35"/>
      <c r="BA73" s="35" t="str">
        <f aca="false">IFERROR(CHOOSE(MATCH(INDEX(時間ごとの判定!$AW$3:$AW$1850,1657),{"利用可","両方停止","運転がそろわない","判定不能"},0),"○","停","×","－"),"")</f>
        <v>停</v>
      </c>
      <c r="BB73" s="35" t="str">
        <f aca="false">IFERROR(CHOOSE(MATCH(INDEX(時間ごとの判定!$AW$3:$AW$1850,1658),{"利用可","両方停止","運転がそろわない","判定不能"},0),"○","停","×","－"),"")</f>
        <v>停</v>
      </c>
      <c r="BC73" s="35" t="str">
        <f aca="false">IFERROR(CHOOSE(MATCH(INDEX(時間ごとの判定!$AW$3:$AW$1850,1659),{"利用可","両方停止","運転がそろわない","判定不能"},0),"○","停","×","－"),"")</f>
        <v>停</v>
      </c>
      <c r="BD73" s="35" t="str">
        <f aca="false">IFERROR(CHOOSE(MATCH(INDEX(時間ごとの判定!$AW$3:$AW$1850,1660),{"利用可","両方停止","運転がそろわない","判定不能"},0),"○","停","×","－"),"")</f>
        <v>停</v>
      </c>
      <c r="BE73" s="35" t="str">
        <f aca="false">IFERROR(CHOOSE(MATCH(INDEX(時間ごとの判定!$AW$3:$AW$1850,1661),{"利用可","両方停止","運転がそろわない","判定不能"},0),"○","停","×","－"),"")</f>
        <v>停</v>
      </c>
      <c r="BF73" s="35" t="str">
        <f aca="false">IFERROR(CHOOSE(MATCH(INDEX(時間ごとの判定!$AW$3:$AW$1850,1662),{"利用可","両方停止","運転がそろわない","判定不能"},0),"○","停","×","－"),"")</f>
        <v>停</v>
      </c>
      <c r="BG73" s="35" t="str">
        <f aca="false">IFERROR(CHOOSE(MATCH(INDEX(時間ごとの判定!$AW$3:$AW$1850,1663),{"利用可","両方停止","運転がそろわない","判定不能"},0),"○","停","×","－"),"")</f>
        <v>停</v>
      </c>
      <c r="BH73" s="35" t="str">
        <f aca="false">IFERROR(CHOOSE(MATCH(INDEX(時間ごとの判定!$AW$3:$AW$1850,1664),{"利用可","両方停止","運転がそろわない","判定不能"},0),"○","停","×","－"),"")</f>
        <v>×</v>
      </c>
      <c r="BI73" s="35" t="str">
        <f aca="false">IFERROR(CHOOSE(MATCH(INDEX(時間ごとの判定!$AW$3:$AW$1850,1665),{"利用可","両方停止","運転がそろわない","判定不能"},0),"○","停","×","－"),"")</f>
        <v>×</v>
      </c>
      <c r="BJ73" s="35" t="str">
        <f aca="false">IFERROR(CHOOSE(MATCH(INDEX(時間ごとの判定!$AW$3:$AW$1850,1666),{"利用可","両方停止","運転がそろわない","判定不能"},0),"○","停","×","－"),"")</f>
        <v>○</v>
      </c>
      <c r="BK73" s="35" t="str">
        <f aca="false">IFERROR(CHOOSE(MATCH(INDEX(時間ごとの判定!$AW$3:$AW$1850,1667),{"利用可","両方停止","運転がそろわない","判定不能"},0),"○","停","×","－"),"")</f>
        <v>○</v>
      </c>
      <c r="BL73" s="35" t="str">
        <f aca="false">IFERROR(CHOOSE(MATCH(INDEX(時間ごとの判定!$AW$3:$AW$1850,1668),{"利用可","両方停止","運転がそろわない","判定不能"},0),"○","停","×","－"),"")</f>
        <v>○</v>
      </c>
      <c r="BM73" s="35" t="str">
        <f aca="false">IFERROR(CHOOSE(MATCH(INDEX(時間ごとの判定!$AW$3:$AW$1850,1669),{"利用可","両方停止","運転がそろわない","判定不能"},0),"○","停","×","－"),"")</f>
        <v>○</v>
      </c>
      <c r="BN73" s="35" t="str">
        <f aca="false">IFERROR(CHOOSE(MATCH(INDEX(時間ごとの判定!$AW$3:$AW$1850,1670),{"利用可","両方停止","運転がそろわない","判定不能"},0),"○","停","×","－"),"")</f>
        <v>○</v>
      </c>
      <c r="BO73" s="35" t="str">
        <f aca="false">IFERROR(CHOOSE(MATCH(INDEX(時間ごとの判定!$AW$3:$AW$1850,1671),{"利用可","両方停止","運転がそろわない","判定不能"},0),"○","停","×","－"),"")</f>
        <v>○</v>
      </c>
      <c r="BP73" s="35" t="str">
        <f aca="false">IFERROR(CHOOSE(MATCH(INDEX(時間ごとの判定!$AW$3:$AW$1850,1672),{"利用可","両方停止","運転がそろわない","判定不能"},0),"○","停","×","－"),"")</f>
        <v>○</v>
      </c>
      <c r="BQ73" s="35" t="str">
        <f aca="false">IFERROR(CHOOSE(MATCH(INDEX(時間ごとの判定!$AW$3:$AW$1850,1673),{"利用可","両方停止","運転がそろわない","判定不能"},0),"○","停","×","－"),"")</f>
        <v>○</v>
      </c>
      <c r="BR73" s="35" t="str">
        <f aca="false">IFERROR(CHOOSE(MATCH(INDEX(時間ごとの判定!$AW$3:$AW$1850,1674),{"利用可","両方停止","運転がそろわない","判定不能"},0),"○","停","×","－"),"")</f>
        <v>○</v>
      </c>
      <c r="BS73" s="35" t="str">
        <f aca="false">IFERROR(CHOOSE(MATCH(INDEX(時間ごとの判定!$AW$3:$AW$1850,1675),{"利用可","両方停止","運転がそろわない","判定不能"},0),"○","停","×","－"),"")</f>
        <v>×</v>
      </c>
      <c r="BT73" s="35" t="str">
        <f aca="false">IFERROR(CHOOSE(MATCH(INDEX(時間ごとの判定!$AW$3:$AW$1850,1676),{"利用可","両方停止","運転がそろわない","判定不能"},0),"○","停","×","－"),"")</f>
        <v>×</v>
      </c>
      <c r="BU73" s="35" t="str">
        <f aca="false">IFERROR(CHOOSE(MATCH(INDEX(時間ごとの判定!$AW$3:$AW$1850,1677),{"利用可","両方停止","運転がそろわない","判定不能"},0),"○","停","×","－"),"")</f>
        <v>×</v>
      </c>
      <c r="BV73" s="35" t="str">
        <f aca="false">IFERROR(CHOOSE(MATCH(INDEX(時間ごとの判定!$AW$3:$AW$1850,1678),{"利用可","両方停止","運転がそろわない","判定不能"},0),"○","停","×","－"),"")</f>
        <v>停</v>
      </c>
      <c r="BW73" s="35" t="str">
        <f aca="false">IFERROR(CHOOSE(MATCH(INDEX(時間ごとの判定!$AW$3:$AW$1850,1679),{"利用可","両方停止","運転がそろわない","判定不能"},0),"○","停","×","－"),"")</f>
        <v>停</v>
      </c>
      <c r="BX73" s="35" t="str">
        <f aca="false">IFERROR(CHOOSE(MATCH(INDEX(時間ごとの判定!$AW$3:$AW$1850,1680),{"利用可","両方停止","運転がそろわない","判定不能"},0),"○","停","×","－"),"")</f>
        <v>停</v>
      </c>
    </row>
    <row r="74" customFormat="false" ht="15" hidden="false" customHeight="false" outlineLevel="0" collapsed="false">
      <c r="A74" s="33" t="n">
        <v>46302</v>
      </c>
      <c r="B74" s="34" t="s">
        <v>58</v>
      </c>
      <c r="C74" s="35" t="str">
        <f aca="false">IFERROR(CHOOSE(MATCH(INDEX(時間ごとの判定!$AQ$3:$AQ$1850,1681),{"利用可","両方停止","運転がそろわない","判定不能"},0),"○","停","×","－"),"")</f>
        <v>停</v>
      </c>
      <c r="D74" s="35" t="str">
        <f aca="false">IFERROR(CHOOSE(MATCH(INDEX(時間ごとの判定!$AQ$3:$AQ$1850,1682),{"利用可","両方停止","運転がそろわない","判定不能"},0),"○","停","×","－"),"")</f>
        <v>停</v>
      </c>
      <c r="E74" s="35" t="str">
        <f aca="false">IFERROR(CHOOSE(MATCH(INDEX(時間ごとの判定!$AQ$3:$AQ$1850,1683),{"利用可","両方停止","運転がそろわない","判定不能"},0),"○","停","×","－"),"")</f>
        <v>停</v>
      </c>
      <c r="F74" s="35" t="str">
        <f aca="false">IFERROR(CHOOSE(MATCH(INDEX(時間ごとの判定!$AQ$3:$AQ$1850,1684),{"利用可","両方停止","運転がそろわない","判定不能"},0),"○","停","×","－"),"")</f>
        <v>停</v>
      </c>
      <c r="G74" s="35" t="str">
        <f aca="false">IFERROR(CHOOSE(MATCH(INDEX(時間ごとの判定!$AQ$3:$AQ$1850,1685),{"利用可","両方停止","運転がそろわない","判定不能"},0),"○","停","×","－"),"")</f>
        <v>停</v>
      </c>
      <c r="H74" s="35" t="str">
        <f aca="false">IFERROR(CHOOSE(MATCH(INDEX(時間ごとの判定!$AQ$3:$AQ$1850,1686),{"利用可","両方停止","運転がそろわない","判定不能"},0),"○","停","×","－"),"")</f>
        <v>停</v>
      </c>
      <c r="I74" s="35" t="str">
        <f aca="false">IFERROR(CHOOSE(MATCH(INDEX(時間ごとの判定!$AQ$3:$AQ$1850,1687),{"利用可","両方停止","運転がそろわない","判定不能"},0),"○","停","×","－"),"")</f>
        <v>×</v>
      </c>
      <c r="J74" s="35" t="str">
        <f aca="false">IFERROR(CHOOSE(MATCH(INDEX(時間ごとの判定!$AQ$3:$AQ$1850,1688),{"利用可","両方停止","運転がそろわない","判定不能"},0),"○","停","×","－"),"")</f>
        <v>×</v>
      </c>
      <c r="K74" s="35" t="str">
        <f aca="false">IFERROR(CHOOSE(MATCH(INDEX(時間ごとの判定!$AQ$3:$AQ$1850,1689),{"利用可","両方停止","運転がそろわない","判定不能"},0),"○","停","×","－"),"")</f>
        <v>停</v>
      </c>
      <c r="L74" s="35" t="str">
        <f aca="false">IFERROR(CHOOSE(MATCH(INDEX(時間ごとの判定!$AQ$3:$AQ$1850,1690),{"利用可","両方停止","運転がそろわない","判定不能"},0),"○","停","×","－"),"")</f>
        <v>×</v>
      </c>
      <c r="M74" s="35" t="str">
        <f aca="false">IFERROR(CHOOSE(MATCH(INDEX(時間ごとの判定!$AQ$3:$AQ$1850,1691),{"利用可","両方停止","運転がそろわない","判定不能"},0),"○","停","×","－"),"")</f>
        <v>×</v>
      </c>
      <c r="N74" s="35" t="str">
        <f aca="false">IFERROR(CHOOSE(MATCH(INDEX(時間ごとの判定!$AQ$3:$AQ$1850,1692),{"利用可","両方停止","運転がそろわない","判定不能"},0),"○","停","×","－"),"")</f>
        <v>×</v>
      </c>
      <c r="O74" s="35" t="str">
        <f aca="false">IFERROR(CHOOSE(MATCH(INDEX(時間ごとの判定!$AQ$3:$AQ$1850,1693),{"利用可","両方停止","運転がそろわない","判定不能"},0),"○","停","×","－"),"")</f>
        <v>×</v>
      </c>
      <c r="P74" s="35" t="str">
        <f aca="false">IFERROR(CHOOSE(MATCH(INDEX(時間ごとの判定!$AQ$3:$AQ$1850,1694),{"利用可","両方停止","運転がそろわない","判定不能"},0),"○","停","×","－"),"")</f>
        <v>×</v>
      </c>
      <c r="Q74" s="35" t="str">
        <f aca="false">IFERROR(CHOOSE(MATCH(INDEX(時間ごとの判定!$AQ$3:$AQ$1850,1695),{"利用可","両方停止","運転がそろわない","判定不能"},0),"○","停","×","－"),"")</f>
        <v>○</v>
      </c>
      <c r="R74" s="35" t="str">
        <f aca="false">IFERROR(CHOOSE(MATCH(INDEX(時間ごとの判定!$AQ$3:$AQ$1850,1696),{"利用可","両方停止","運転がそろわない","判定不能"},0),"○","停","×","－"),"")</f>
        <v>○</v>
      </c>
      <c r="S74" s="35" t="str">
        <f aca="false">IFERROR(CHOOSE(MATCH(INDEX(時間ごとの判定!$AQ$3:$AQ$1850,1697),{"利用可","両方停止","運転がそろわない","判定不能"},0),"○","停","×","－"),"")</f>
        <v>×</v>
      </c>
      <c r="T74" s="35" t="str">
        <f aca="false">IFERROR(CHOOSE(MATCH(INDEX(時間ごとの判定!$AQ$3:$AQ$1850,1698),{"利用可","両方停止","運転がそろわない","判定不能"},0),"○","停","×","－"),"")</f>
        <v>○</v>
      </c>
      <c r="U74" s="35" t="str">
        <f aca="false">IFERROR(CHOOSE(MATCH(INDEX(時間ごとの判定!$AQ$3:$AQ$1850,1699),{"利用可","両方停止","運転がそろわない","判定不能"},0),"○","停","×","－"),"")</f>
        <v>○</v>
      </c>
      <c r="V74" s="35" t="str">
        <f aca="false">IFERROR(CHOOSE(MATCH(INDEX(時間ごとの判定!$AQ$3:$AQ$1850,1700),{"利用可","両方停止","運転がそろわない","判定不能"},0),"○","停","×","－"),"")</f>
        <v>×</v>
      </c>
      <c r="W74" s="35" t="str">
        <f aca="false">IFERROR(CHOOSE(MATCH(INDEX(時間ごとの判定!$AQ$3:$AQ$1850,1701),{"利用可","両方停止","運転がそろわない","判定不能"},0),"○","停","×","－"),"")</f>
        <v>停</v>
      </c>
      <c r="X74" s="35" t="str">
        <f aca="false">IFERROR(CHOOSE(MATCH(INDEX(時間ごとの判定!$AQ$3:$AQ$1850,1702),{"利用可","両方停止","運転がそろわない","判定不能"},0),"○","停","×","－"),"")</f>
        <v>停</v>
      </c>
      <c r="Y74" s="35" t="str">
        <f aca="false">IFERROR(CHOOSE(MATCH(INDEX(時間ごとの判定!$AQ$3:$AQ$1850,1703),{"利用可","両方停止","運転がそろわない","判定不能"},0),"○","停","×","－"),"")</f>
        <v>停</v>
      </c>
      <c r="Z74" s="35" t="str">
        <f aca="false">IFERROR(CHOOSE(MATCH(INDEX(時間ごとの判定!$AQ$3:$AQ$1850,1704),{"利用可","両方停止","運転がそろわない","判定不能"},0),"○","停","×","－"),"")</f>
        <v>停</v>
      </c>
      <c r="AA74" s="35"/>
      <c r="AB74" s="35" t="str">
        <f aca="false">IFERROR(CHOOSE(MATCH(INDEX(時間ごとの判定!$AT$3:$AT$1850,1681),{"利用可","両方停止","運転がそろわない","判定不能"},0),"○","停","×","－"),"")</f>
        <v>停</v>
      </c>
      <c r="AC74" s="35" t="str">
        <f aca="false">IFERROR(CHOOSE(MATCH(INDEX(時間ごとの判定!$AT$3:$AT$1850,1682),{"利用可","両方停止","運転がそろわない","判定不能"},0),"○","停","×","－"),"")</f>
        <v>停</v>
      </c>
      <c r="AD74" s="35" t="str">
        <f aca="false">IFERROR(CHOOSE(MATCH(INDEX(時間ごとの判定!$AT$3:$AT$1850,1683),{"利用可","両方停止","運転がそろわない","判定不能"},0),"○","停","×","－"),"")</f>
        <v>停</v>
      </c>
      <c r="AE74" s="35" t="str">
        <f aca="false">IFERROR(CHOOSE(MATCH(INDEX(時間ごとの判定!$AT$3:$AT$1850,1684),{"利用可","両方停止","運転がそろわない","判定不能"},0),"○","停","×","－"),"")</f>
        <v>停</v>
      </c>
      <c r="AF74" s="35" t="str">
        <f aca="false">IFERROR(CHOOSE(MATCH(INDEX(時間ごとの判定!$AT$3:$AT$1850,1685),{"利用可","両方停止","運転がそろわない","判定不能"},0),"○","停","×","－"),"")</f>
        <v>停</v>
      </c>
      <c r="AG74" s="35" t="str">
        <f aca="false">IFERROR(CHOOSE(MATCH(INDEX(時間ごとの判定!$AT$3:$AT$1850,1686),{"利用可","両方停止","運転がそろわない","判定不能"},0),"○","停","×","－"),"")</f>
        <v>停</v>
      </c>
      <c r="AH74" s="35" t="str">
        <f aca="false">IFERROR(CHOOSE(MATCH(INDEX(時間ごとの判定!$AT$3:$AT$1850,1687),{"利用可","両方停止","運転がそろわない","判定不能"},0),"○","停","×","－"),"")</f>
        <v>×</v>
      </c>
      <c r="AI74" s="35" t="str">
        <f aca="false">IFERROR(CHOOSE(MATCH(INDEX(時間ごとの判定!$AT$3:$AT$1850,1688),{"利用可","両方停止","運転がそろわない","判定不能"},0),"○","停","×","－"),"")</f>
        <v>×</v>
      </c>
      <c r="AJ74" s="35" t="str">
        <f aca="false">IFERROR(CHOOSE(MATCH(INDEX(時間ごとの判定!$AT$3:$AT$1850,1689),{"利用可","両方停止","運転がそろわない","判定不能"},0),"○","停","×","－"),"")</f>
        <v>×</v>
      </c>
      <c r="AK74" s="35" t="str">
        <f aca="false">IFERROR(CHOOSE(MATCH(INDEX(時間ごとの判定!$AT$3:$AT$1850,1690),{"利用可","両方停止","運転がそろわない","判定不能"},0),"○","停","×","－"),"")</f>
        <v>×</v>
      </c>
      <c r="AL74" s="35" t="str">
        <f aca="false">IFERROR(CHOOSE(MATCH(INDEX(時間ごとの判定!$AT$3:$AT$1850,1691),{"利用可","両方停止","運転がそろわない","判定不能"},0),"○","停","×","－"),"")</f>
        <v>×</v>
      </c>
      <c r="AM74" s="35" t="str">
        <f aca="false">IFERROR(CHOOSE(MATCH(INDEX(時間ごとの判定!$AT$3:$AT$1850,1692),{"利用可","両方停止","運転がそろわない","判定不能"},0),"○","停","×","－"),"")</f>
        <v>×</v>
      </c>
      <c r="AN74" s="35" t="str">
        <f aca="false">IFERROR(CHOOSE(MATCH(INDEX(時間ごとの判定!$AT$3:$AT$1850,1693),{"利用可","両方停止","運転がそろわない","判定不能"},0),"○","停","×","－"),"")</f>
        <v>○</v>
      </c>
      <c r="AO74" s="35" t="str">
        <f aca="false">IFERROR(CHOOSE(MATCH(INDEX(時間ごとの判定!$AT$3:$AT$1850,1694),{"利用可","両方停止","運転がそろわない","判定不能"},0),"○","停","×","－"),"")</f>
        <v>○</v>
      </c>
      <c r="AP74" s="35" t="str">
        <f aca="false">IFERROR(CHOOSE(MATCH(INDEX(時間ごとの判定!$AT$3:$AT$1850,1695),{"利用可","両方停止","運転がそろわない","判定不能"},0),"○","停","×","－"),"")</f>
        <v>○</v>
      </c>
      <c r="AQ74" s="35" t="str">
        <f aca="false">IFERROR(CHOOSE(MATCH(INDEX(時間ごとの判定!$AT$3:$AT$1850,1696),{"利用可","両方停止","運転がそろわない","判定不能"},0),"○","停","×","－"),"")</f>
        <v>○</v>
      </c>
      <c r="AR74" s="35" t="str">
        <f aca="false">IFERROR(CHOOSE(MATCH(INDEX(時間ごとの判定!$AT$3:$AT$1850,1697),{"利用可","両方停止","運転がそろわない","判定不能"},0),"○","停","×","－"),"")</f>
        <v>×</v>
      </c>
      <c r="AS74" s="35" t="str">
        <f aca="false">IFERROR(CHOOSE(MATCH(INDEX(時間ごとの判定!$AT$3:$AT$1850,1698),{"利用可","両方停止","運転がそろわない","判定不能"},0),"○","停","×","－"),"")</f>
        <v>×</v>
      </c>
      <c r="AT74" s="35" t="str">
        <f aca="false">IFERROR(CHOOSE(MATCH(INDEX(時間ごとの判定!$AT$3:$AT$1850,1699),{"利用可","両方停止","運転がそろわない","判定不能"},0),"○","停","×","－"),"")</f>
        <v>×</v>
      </c>
      <c r="AU74" s="35" t="str">
        <f aca="false">IFERROR(CHOOSE(MATCH(INDEX(時間ごとの判定!$AT$3:$AT$1850,1700),{"利用可","両方停止","運転がそろわない","判定不能"},0),"○","停","×","－"),"")</f>
        <v>停</v>
      </c>
      <c r="AV74" s="35" t="str">
        <f aca="false">IFERROR(CHOOSE(MATCH(INDEX(時間ごとの判定!$AT$3:$AT$1850,1701),{"利用可","両方停止","運転がそろわない","判定不能"},0),"○","停","×","－"),"")</f>
        <v>停</v>
      </c>
      <c r="AW74" s="35" t="str">
        <f aca="false">IFERROR(CHOOSE(MATCH(INDEX(時間ごとの判定!$AT$3:$AT$1850,1702),{"利用可","両方停止","運転がそろわない","判定不能"},0),"○","停","×","－"),"")</f>
        <v>停</v>
      </c>
      <c r="AX74" s="35" t="str">
        <f aca="false">IFERROR(CHOOSE(MATCH(INDEX(時間ごとの判定!$AT$3:$AT$1850,1703),{"利用可","両方停止","運転がそろわない","判定不能"},0),"○","停","×","－"),"")</f>
        <v>停</v>
      </c>
      <c r="AY74" s="35" t="str">
        <f aca="false">IFERROR(CHOOSE(MATCH(INDEX(時間ごとの判定!$AT$3:$AT$1850,1704),{"利用可","両方停止","運転がそろわない","判定不能"},0),"○","停","×","－"),"")</f>
        <v>停</v>
      </c>
      <c r="AZ74" s="35"/>
      <c r="BA74" s="35" t="str">
        <f aca="false">IFERROR(CHOOSE(MATCH(INDEX(時間ごとの判定!$AW$3:$AW$1850,1681),{"利用可","両方停止","運転がそろわない","判定不能"},0),"○","停","×","－"),"")</f>
        <v>停</v>
      </c>
      <c r="BB74" s="35" t="str">
        <f aca="false">IFERROR(CHOOSE(MATCH(INDEX(時間ごとの判定!$AW$3:$AW$1850,1682),{"利用可","両方停止","運転がそろわない","判定不能"},0),"○","停","×","－"),"")</f>
        <v>停</v>
      </c>
      <c r="BC74" s="35" t="str">
        <f aca="false">IFERROR(CHOOSE(MATCH(INDEX(時間ごとの判定!$AW$3:$AW$1850,1683),{"利用可","両方停止","運転がそろわない","判定不能"},0),"○","停","×","－"),"")</f>
        <v>停</v>
      </c>
      <c r="BD74" s="35" t="str">
        <f aca="false">IFERROR(CHOOSE(MATCH(INDEX(時間ごとの判定!$AW$3:$AW$1850,1684),{"利用可","両方停止","運転がそろわない","判定不能"},0),"○","停","×","－"),"")</f>
        <v>停</v>
      </c>
      <c r="BE74" s="35" t="str">
        <f aca="false">IFERROR(CHOOSE(MATCH(INDEX(時間ごとの判定!$AW$3:$AW$1850,1685),{"利用可","両方停止","運転がそろわない","判定不能"},0),"○","停","×","－"),"")</f>
        <v>停</v>
      </c>
      <c r="BF74" s="35" t="str">
        <f aca="false">IFERROR(CHOOSE(MATCH(INDEX(時間ごとの判定!$AW$3:$AW$1850,1686),{"利用可","両方停止","運転がそろわない","判定不能"},0),"○","停","×","－"),"")</f>
        <v>停</v>
      </c>
      <c r="BG74" s="35" t="str">
        <f aca="false">IFERROR(CHOOSE(MATCH(INDEX(時間ごとの判定!$AW$3:$AW$1850,1687),{"利用可","両方停止","運転がそろわない","判定不能"},0),"○","停","×","－"),"")</f>
        <v>×</v>
      </c>
      <c r="BH74" s="35" t="str">
        <f aca="false">IFERROR(CHOOSE(MATCH(INDEX(時間ごとの判定!$AW$3:$AW$1850,1688),{"利用可","両方停止","運転がそろわない","判定不能"},0),"○","停","×","－"),"")</f>
        <v>×</v>
      </c>
      <c r="BI74" s="35" t="str">
        <f aca="false">IFERROR(CHOOSE(MATCH(INDEX(時間ごとの判定!$AW$3:$AW$1850,1689),{"利用可","両方停止","運転がそろわない","判定不能"},0),"○","停","×","－"),"")</f>
        <v>×</v>
      </c>
      <c r="BJ74" s="35" t="str">
        <f aca="false">IFERROR(CHOOSE(MATCH(INDEX(時間ごとの判定!$AW$3:$AW$1850,1690),{"利用可","両方停止","運転がそろわない","判定不能"},0),"○","停","×","－"),"")</f>
        <v>×</v>
      </c>
      <c r="BK74" s="35" t="str">
        <f aca="false">IFERROR(CHOOSE(MATCH(INDEX(時間ごとの判定!$AW$3:$AW$1850,1691),{"利用可","両方停止","運転がそろわない","判定不能"},0),"○","停","×","－"),"")</f>
        <v>×</v>
      </c>
      <c r="BL74" s="35" t="str">
        <f aca="false">IFERROR(CHOOSE(MATCH(INDEX(時間ごとの判定!$AW$3:$AW$1850,1692),{"利用可","両方停止","運転がそろわない","判定不能"},0),"○","停","×","－"),"")</f>
        <v>×</v>
      </c>
      <c r="BM74" s="35" t="str">
        <f aca="false">IFERROR(CHOOSE(MATCH(INDEX(時間ごとの判定!$AW$3:$AW$1850,1693),{"利用可","両方停止","運転がそろわない","判定不能"},0),"○","停","×","－"),"")</f>
        <v>○</v>
      </c>
      <c r="BN74" s="35" t="str">
        <f aca="false">IFERROR(CHOOSE(MATCH(INDEX(時間ごとの判定!$AW$3:$AW$1850,1694),{"利用可","両方停止","運転がそろわない","判定不能"},0),"○","停","×","－"),"")</f>
        <v>○</v>
      </c>
      <c r="BO74" s="35" t="str">
        <f aca="false">IFERROR(CHOOSE(MATCH(INDEX(時間ごとの判定!$AW$3:$AW$1850,1695),{"利用可","両方停止","運転がそろわない","判定不能"},0),"○","停","×","－"),"")</f>
        <v>○</v>
      </c>
      <c r="BP74" s="35" t="str">
        <f aca="false">IFERROR(CHOOSE(MATCH(INDEX(時間ごとの判定!$AW$3:$AW$1850,1696),{"利用可","両方停止","運転がそろわない","判定不能"},0),"○","停","×","－"),"")</f>
        <v>○</v>
      </c>
      <c r="BQ74" s="35" t="str">
        <f aca="false">IFERROR(CHOOSE(MATCH(INDEX(時間ごとの判定!$AW$3:$AW$1850,1697),{"利用可","両方停止","運転がそろわない","判定不能"},0),"○","停","×","－"),"")</f>
        <v>×</v>
      </c>
      <c r="BR74" s="35" t="str">
        <f aca="false">IFERROR(CHOOSE(MATCH(INDEX(時間ごとの判定!$AW$3:$AW$1850,1698),{"利用可","両方停止","運転がそろわない","判定不能"},0),"○","停","×","－"),"")</f>
        <v>×</v>
      </c>
      <c r="BS74" s="35" t="str">
        <f aca="false">IFERROR(CHOOSE(MATCH(INDEX(時間ごとの判定!$AW$3:$AW$1850,1699),{"利用可","両方停止","運転がそろわない","判定不能"},0),"○","停","×","－"),"")</f>
        <v>×</v>
      </c>
      <c r="BT74" s="35" t="str">
        <f aca="false">IFERROR(CHOOSE(MATCH(INDEX(時間ごとの判定!$AW$3:$AW$1850,1700),{"利用可","両方停止","運転がそろわない","判定不能"},0),"○","停","×","－"),"")</f>
        <v>×</v>
      </c>
      <c r="BU74" s="35" t="str">
        <f aca="false">IFERROR(CHOOSE(MATCH(INDEX(時間ごとの判定!$AW$3:$AW$1850,1701),{"利用可","両方停止","運転がそろわない","判定不能"},0),"○","停","×","－"),"")</f>
        <v>×</v>
      </c>
      <c r="BV74" s="35" t="str">
        <f aca="false">IFERROR(CHOOSE(MATCH(INDEX(時間ごとの判定!$AW$3:$AW$1850,1702),{"利用可","両方停止","運転がそろわない","判定不能"},0),"○","停","×","－"),"")</f>
        <v>停</v>
      </c>
      <c r="BW74" s="35" t="str">
        <f aca="false">IFERROR(CHOOSE(MATCH(INDEX(時間ごとの判定!$AW$3:$AW$1850,1703),{"利用可","両方停止","運転がそろわない","判定不能"},0),"○","停","×","－"),"")</f>
        <v>停</v>
      </c>
      <c r="BX74" s="35" t="str">
        <f aca="false">IFERROR(CHOOSE(MATCH(INDEX(時間ごとの判定!$AW$3:$AW$1850,1704),{"利用可","両方停止","運転がそろわない","判定不能"},0),"○","停","×","－"),"")</f>
        <v>停</v>
      </c>
    </row>
    <row r="75" customFormat="false" ht="15" hidden="false" customHeight="false" outlineLevel="0" collapsed="false">
      <c r="A75" s="33" t="n">
        <v>46303</v>
      </c>
      <c r="B75" s="34" t="s">
        <v>61</v>
      </c>
      <c r="C75" s="35" t="str">
        <f aca="false">IFERROR(CHOOSE(MATCH(INDEX(時間ごとの判定!$AQ$3:$AQ$1850,1705),{"利用可","両方停止","運転がそろわない","判定不能"},0),"○","停","×","－"),"")</f>
        <v>停</v>
      </c>
      <c r="D75" s="35" t="str">
        <f aca="false">IFERROR(CHOOSE(MATCH(INDEX(時間ごとの判定!$AQ$3:$AQ$1850,1706),{"利用可","両方停止","運転がそろわない","判定不能"},0),"○","停","×","－"),"")</f>
        <v>停</v>
      </c>
      <c r="E75" s="35" t="str">
        <f aca="false">IFERROR(CHOOSE(MATCH(INDEX(時間ごとの判定!$AQ$3:$AQ$1850,1707),{"利用可","両方停止","運転がそろわない","判定不能"},0),"○","停","×","－"),"")</f>
        <v>停</v>
      </c>
      <c r="F75" s="35" t="str">
        <f aca="false">IFERROR(CHOOSE(MATCH(INDEX(時間ごとの判定!$AQ$3:$AQ$1850,1708),{"利用可","両方停止","運転がそろわない","判定不能"},0),"○","停","×","－"),"")</f>
        <v>停</v>
      </c>
      <c r="G75" s="35" t="str">
        <f aca="false">IFERROR(CHOOSE(MATCH(INDEX(時間ごとの判定!$AQ$3:$AQ$1850,1709),{"利用可","両方停止","運転がそろわない","判定不能"},0),"○","停","×","－"),"")</f>
        <v>停</v>
      </c>
      <c r="H75" s="35" t="str">
        <f aca="false">IFERROR(CHOOSE(MATCH(INDEX(時間ごとの判定!$AQ$3:$AQ$1850,1710),{"利用可","両方停止","運転がそろわない","判定不能"},0),"○","停","×","－"),"")</f>
        <v>停</v>
      </c>
      <c r="I75" s="35" t="str">
        <f aca="false">IFERROR(CHOOSE(MATCH(INDEX(時間ごとの判定!$AQ$3:$AQ$1850,1711),{"利用可","両方停止","運転がそろわない","判定不能"},0),"○","停","×","－"),"")</f>
        <v>停</v>
      </c>
      <c r="J75" s="35" t="str">
        <f aca="false">IFERROR(CHOOSE(MATCH(INDEX(時間ごとの判定!$AQ$3:$AQ$1850,1712),{"利用可","両方停止","運転がそろわない","判定不能"},0),"○","停","×","－"),"")</f>
        <v>×</v>
      </c>
      <c r="K75" s="35" t="str">
        <f aca="false">IFERROR(CHOOSE(MATCH(INDEX(時間ごとの判定!$AQ$3:$AQ$1850,1713),{"利用可","両方停止","運転がそろわない","判定不能"},0),"○","停","×","－"),"")</f>
        <v>×</v>
      </c>
      <c r="L75" s="35" t="str">
        <f aca="false">IFERROR(CHOOSE(MATCH(INDEX(時間ごとの判定!$AQ$3:$AQ$1850,1714),{"利用可","両方停止","運転がそろわない","判定不能"},0),"○","停","×","－"),"")</f>
        <v>○</v>
      </c>
      <c r="M75" s="35" t="str">
        <f aca="false">IFERROR(CHOOSE(MATCH(INDEX(時間ごとの判定!$AQ$3:$AQ$1850,1715),{"利用可","両方停止","運転がそろわない","判定不能"},0),"○","停","×","－"),"")</f>
        <v>×</v>
      </c>
      <c r="N75" s="35" t="str">
        <f aca="false">IFERROR(CHOOSE(MATCH(INDEX(時間ごとの判定!$AQ$3:$AQ$1850,1716),{"利用可","両方停止","運転がそろわない","判定不能"},0),"○","停","×","－"),"")</f>
        <v>○</v>
      </c>
      <c r="O75" s="35" t="str">
        <f aca="false">IFERROR(CHOOSE(MATCH(INDEX(時間ごとの判定!$AQ$3:$AQ$1850,1717),{"利用可","両方停止","運転がそろわない","判定不能"},0),"○","停","×","－"),"")</f>
        <v>○</v>
      </c>
      <c r="P75" s="35" t="str">
        <f aca="false">IFERROR(CHOOSE(MATCH(INDEX(時間ごとの判定!$AQ$3:$AQ$1850,1718),{"利用可","両方停止","運転がそろわない","判定不能"},0),"○","停","×","－"),"")</f>
        <v>○</v>
      </c>
      <c r="Q75" s="35" t="str">
        <f aca="false">IFERROR(CHOOSE(MATCH(INDEX(時間ごとの判定!$AQ$3:$AQ$1850,1719),{"利用可","両方停止","運転がそろわない","判定不能"},0),"○","停","×","－"),"")</f>
        <v>○</v>
      </c>
      <c r="R75" s="35" t="str">
        <f aca="false">IFERROR(CHOOSE(MATCH(INDEX(時間ごとの判定!$AQ$3:$AQ$1850,1720),{"利用可","両方停止","運転がそろわない","判定不能"},0),"○","停","×","－"),"")</f>
        <v>○</v>
      </c>
      <c r="S75" s="35" t="str">
        <f aca="false">IFERROR(CHOOSE(MATCH(INDEX(時間ごとの判定!$AQ$3:$AQ$1850,1721),{"利用可","両方停止","運転がそろわない","判定不能"},0),"○","停","×","－"),"")</f>
        <v>○</v>
      </c>
      <c r="T75" s="35" t="str">
        <f aca="false">IFERROR(CHOOSE(MATCH(INDEX(時間ごとの判定!$AQ$3:$AQ$1850,1722),{"利用可","両方停止","運転がそろわない","判定不能"},0),"○","停","×","－"),"")</f>
        <v>×</v>
      </c>
      <c r="U75" s="35" t="str">
        <f aca="false">IFERROR(CHOOSE(MATCH(INDEX(時間ごとの判定!$AQ$3:$AQ$1850,1723),{"利用可","両方停止","運転がそろわない","判定不能"},0),"○","停","×","－"),"")</f>
        <v>×</v>
      </c>
      <c r="V75" s="35" t="str">
        <f aca="false">IFERROR(CHOOSE(MATCH(INDEX(時間ごとの判定!$AQ$3:$AQ$1850,1724),{"利用可","両方停止","運転がそろわない","判定不能"},0),"○","停","×","－"),"")</f>
        <v>×</v>
      </c>
      <c r="W75" s="35" t="str">
        <f aca="false">IFERROR(CHOOSE(MATCH(INDEX(時間ごとの判定!$AQ$3:$AQ$1850,1725),{"利用可","両方停止","運転がそろわない","判定不能"},0),"○","停","×","－"),"")</f>
        <v>×</v>
      </c>
      <c r="X75" s="35" t="str">
        <f aca="false">IFERROR(CHOOSE(MATCH(INDEX(時間ごとの判定!$AQ$3:$AQ$1850,1726),{"利用可","両方停止","運転がそろわない","判定不能"},0),"○","停","×","－"),"")</f>
        <v>停</v>
      </c>
      <c r="Y75" s="35" t="str">
        <f aca="false">IFERROR(CHOOSE(MATCH(INDEX(時間ごとの判定!$AQ$3:$AQ$1850,1727),{"利用可","両方停止","運転がそろわない","判定不能"},0),"○","停","×","－"),"")</f>
        <v>停</v>
      </c>
      <c r="Z75" s="35" t="str">
        <f aca="false">IFERROR(CHOOSE(MATCH(INDEX(時間ごとの判定!$AQ$3:$AQ$1850,1728),{"利用可","両方停止","運転がそろわない","判定不能"},0),"○","停","×","－"),"")</f>
        <v>停</v>
      </c>
      <c r="AA75" s="35"/>
      <c r="AB75" s="35" t="str">
        <f aca="false">IFERROR(CHOOSE(MATCH(INDEX(時間ごとの判定!$AT$3:$AT$1850,1705),{"利用可","両方停止","運転がそろわない","判定不能"},0),"○","停","×","－"),"")</f>
        <v>停</v>
      </c>
      <c r="AC75" s="35" t="str">
        <f aca="false">IFERROR(CHOOSE(MATCH(INDEX(時間ごとの判定!$AT$3:$AT$1850,1706),{"利用可","両方停止","運転がそろわない","判定不能"},0),"○","停","×","－"),"")</f>
        <v>停</v>
      </c>
      <c r="AD75" s="35" t="str">
        <f aca="false">IFERROR(CHOOSE(MATCH(INDEX(時間ごとの判定!$AT$3:$AT$1850,1707),{"利用可","両方停止","運転がそろわない","判定不能"},0),"○","停","×","－"),"")</f>
        <v>停</v>
      </c>
      <c r="AE75" s="35" t="str">
        <f aca="false">IFERROR(CHOOSE(MATCH(INDEX(時間ごとの判定!$AT$3:$AT$1850,1708),{"利用可","両方停止","運転がそろわない","判定不能"},0),"○","停","×","－"),"")</f>
        <v>停</v>
      </c>
      <c r="AF75" s="35" t="str">
        <f aca="false">IFERROR(CHOOSE(MATCH(INDEX(時間ごとの判定!$AT$3:$AT$1850,1709),{"利用可","両方停止","運転がそろわない","判定不能"},0),"○","停","×","－"),"")</f>
        <v>停</v>
      </c>
      <c r="AG75" s="35" t="str">
        <f aca="false">IFERROR(CHOOSE(MATCH(INDEX(時間ごとの判定!$AT$3:$AT$1850,1710),{"利用可","両方停止","運転がそろわない","判定不能"},0),"○","停","×","－"),"")</f>
        <v>停</v>
      </c>
      <c r="AH75" s="35" t="str">
        <f aca="false">IFERROR(CHOOSE(MATCH(INDEX(時間ごとの判定!$AT$3:$AT$1850,1711),{"利用可","両方停止","運転がそろわない","判定不能"},0),"○","停","×","－"),"")</f>
        <v>×</v>
      </c>
      <c r="AI75" s="35" t="str">
        <f aca="false">IFERROR(CHOOSE(MATCH(INDEX(時間ごとの判定!$AT$3:$AT$1850,1712),{"利用可","両方停止","運転がそろわない","判定不能"},0),"○","停","×","－"),"")</f>
        <v>×</v>
      </c>
      <c r="AJ75" s="35" t="str">
        <f aca="false">IFERROR(CHOOSE(MATCH(INDEX(時間ごとの判定!$AT$3:$AT$1850,1713),{"利用可","両方停止","運転がそろわない","判定不能"},0),"○","停","×","－"),"")</f>
        <v>×</v>
      </c>
      <c r="AK75" s="35" t="str">
        <f aca="false">IFERROR(CHOOSE(MATCH(INDEX(時間ごとの判定!$AT$3:$AT$1850,1714),{"利用可","両方停止","運転がそろわない","判定不能"},0),"○","停","×","－"),"")</f>
        <v>×</v>
      </c>
      <c r="AL75" s="35" t="str">
        <f aca="false">IFERROR(CHOOSE(MATCH(INDEX(時間ごとの判定!$AT$3:$AT$1850,1715),{"利用可","両方停止","運転がそろわない","判定不能"},0),"○","停","×","－"),"")</f>
        <v>○</v>
      </c>
      <c r="AM75" s="35" t="str">
        <f aca="false">IFERROR(CHOOSE(MATCH(INDEX(時間ごとの判定!$AT$3:$AT$1850,1716),{"利用可","両方停止","運転がそろわない","判定不能"},0),"○","停","×","－"),"")</f>
        <v>○</v>
      </c>
      <c r="AN75" s="35" t="str">
        <f aca="false">IFERROR(CHOOSE(MATCH(INDEX(時間ごとの判定!$AT$3:$AT$1850,1717),{"利用可","両方停止","運転がそろわない","判定不能"},0),"○","停","×","－"),"")</f>
        <v>○</v>
      </c>
      <c r="AO75" s="35" t="str">
        <f aca="false">IFERROR(CHOOSE(MATCH(INDEX(時間ごとの判定!$AT$3:$AT$1850,1718),{"利用可","両方停止","運転がそろわない","判定不能"},0),"○","停","×","－"),"")</f>
        <v>○</v>
      </c>
      <c r="AP75" s="35" t="str">
        <f aca="false">IFERROR(CHOOSE(MATCH(INDEX(時間ごとの判定!$AT$3:$AT$1850,1719),{"利用可","両方停止","運転がそろわない","判定不能"},0),"○","停","×","－"),"")</f>
        <v>○</v>
      </c>
      <c r="AQ75" s="35" t="str">
        <f aca="false">IFERROR(CHOOSE(MATCH(INDEX(時間ごとの判定!$AT$3:$AT$1850,1720),{"利用可","両方停止","運転がそろわない","判定不能"},0),"○","停","×","－"),"")</f>
        <v>○</v>
      </c>
      <c r="AR75" s="35" t="str">
        <f aca="false">IFERROR(CHOOSE(MATCH(INDEX(時間ごとの判定!$AT$3:$AT$1850,1721),{"利用可","両方停止","運転がそろわない","判定不能"},0),"○","停","×","－"),"")</f>
        <v>×</v>
      </c>
      <c r="AS75" s="35" t="str">
        <f aca="false">IFERROR(CHOOSE(MATCH(INDEX(時間ごとの判定!$AT$3:$AT$1850,1722),{"利用可","両方停止","運転がそろわない","判定不能"},0),"○","停","×","－"),"")</f>
        <v>×</v>
      </c>
      <c r="AT75" s="35" t="str">
        <f aca="false">IFERROR(CHOOSE(MATCH(INDEX(時間ごとの判定!$AT$3:$AT$1850,1723),{"利用可","両方停止","運転がそろわない","判定不能"},0),"○","停","×","－"),"")</f>
        <v>×</v>
      </c>
      <c r="AU75" s="35" t="str">
        <f aca="false">IFERROR(CHOOSE(MATCH(INDEX(時間ごとの判定!$AT$3:$AT$1850,1724),{"利用可","両方停止","運転がそろわない","判定不能"},0),"○","停","×","－"),"")</f>
        <v>×</v>
      </c>
      <c r="AV75" s="35" t="str">
        <f aca="false">IFERROR(CHOOSE(MATCH(INDEX(時間ごとの判定!$AT$3:$AT$1850,1725),{"利用可","両方停止","運転がそろわない","判定不能"},0),"○","停","×","－"),"")</f>
        <v>×</v>
      </c>
      <c r="AW75" s="35" t="str">
        <f aca="false">IFERROR(CHOOSE(MATCH(INDEX(時間ごとの判定!$AT$3:$AT$1850,1726),{"利用可","両方停止","運転がそろわない","判定不能"},0),"○","停","×","－"),"")</f>
        <v>停</v>
      </c>
      <c r="AX75" s="35" t="str">
        <f aca="false">IFERROR(CHOOSE(MATCH(INDEX(時間ごとの判定!$AT$3:$AT$1850,1727),{"利用可","両方停止","運転がそろわない","判定不能"},0),"○","停","×","－"),"")</f>
        <v>停</v>
      </c>
      <c r="AY75" s="35" t="str">
        <f aca="false">IFERROR(CHOOSE(MATCH(INDEX(時間ごとの判定!$AT$3:$AT$1850,1728),{"利用可","両方停止","運転がそろわない","判定不能"},0),"○","停","×","－"),"")</f>
        <v>停</v>
      </c>
      <c r="AZ75" s="35"/>
      <c r="BA75" s="35" t="str">
        <f aca="false">IFERROR(CHOOSE(MATCH(INDEX(時間ごとの判定!$AW$3:$AW$1850,1705),{"利用可","両方停止","運転がそろわない","判定不能"},0),"○","停","×","－"),"")</f>
        <v>停</v>
      </c>
      <c r="BB75" s="35" t="str">
        <f aca="false">IFERROR(CHOOSE(MATCH(INDEX(時間ごとの判定!$AW$3:$AW$1850,1706),{"利用可","両方停止","運転がそろわない","判定不能"},0),"○","停","×","－"),"")</f>
        <v>停</v>
      </c>
      <c r="BC75" s="35" t="str">
        <f aca="false">IFERROR(CHOOSE(MATCH(INDEX(時間ごとの判定!$AW$3:$AW$1850,1707),{"利用可","両方停止","運転がそろわない","判定不能"},0),"○","停","×","－"),"")</f>
        <v>停</v>
      </c>
      <c r="BD75" s="35" t="str">
        <f aca="false">IFERROR(CHOOSE(MATCH(INDEX(時間ごとの判定!$AW$3:$AW$1850,1708),{"利用可","両方停止","運転がそろわない","判定不能"},0),"○","停","×","－"),"")</f>
        <v>停</v>
      </c>
      <c r="BE75" s="35" t="str">
        <f aca="false">IFERROR(CHOOSE(MATCH(INDEX(時間ごとの判定!$AW$3:$AW$1850,1709),{"利用可","両方停止","運転がそろわない","判定不能"},0),"○","停","×","－"),"")</f>
        <v>停</v>
      </c>
      <c r="BF75" s="35" t="str">
        <f aca="false">IFERROR(CHOOSE(MATCH(INDEX(時間ごとの判定!$AW$3:$AW$1850,1710),{"利用可","両方停止","運転がそろわない","判定不能"},0),"○","停","×","－"),"")</f>
        <v>停</v>
      </c>
      <c r="BG75" s="35" t="str">
        <f aca="false">IFERROR(CHOOSE(MATCH(INDEX(時間ごとの判定!$AW$3:$AW$1850,1711),{"利用可","両方停止","運転がそろわない","判定不能"},0),"○","停","×","－"),"")</f>
        <v>×</v>
      </c>
      <c r="BH75" s="35" t="str">
        <f aca="false">IFERROR(CHOOSE(MATCH(INDEX(時間ごとの判定!$AW$3:$AW$1850,1712),{"利用可","両方停止","運転がそろわない","判定不能"},0),"○","停","×","－"),"")</f>
        <v>×</v>
      </c>
      <c r="BI75" s="35" t="str">
        <f aca="false">IFERROR(CHOOSE(MATCH(INDEX(時間ごとの判定!$AW$3:$AW$1850,1713),{"利用可","両方停止","運転がそろわない","判定不能"},0),"○","停","×","－"),"")</f>
        <v>×</v>
      </c>
      <c r="BJ75" s="35" t="str">
        <f aca="false">IFERROR(CHOOSE(MATCH(INDEX(時間ごとの判定!$AW$3:$AW$1850,1714),{"利用可","両方停止","運転がそろわない","判定不能"},0),"○","停","×","－"),"")</f>
        <v>×</v>
      </c>
      <c r="BK75" s="35" t="str">
        <f aca="false">IFERROR(CHOOSE(MATCH(INDEX(時間ごとの判定!$AW$3:$AW$1850,1715),{"利用可","両方停止","運転がそろわない","判定不能"},0),"○","停","×","－"),"")</f>
        <v>○</v>
      </c>
      <c r="BL75" s="35" t="str">
        <f aca="false">IFERROR(CHOOSE(MATCH(INDEX(時間ごとの判定!$AW$3:$AW$1850,1716),{"利用可","両方停止","運転がそろわない","判定不能"},0),"○","停","×","－"),"")</f>
        <v>○</v>
      </c>
      <c r="BM75" s="35" t="str">
        <f aca="false">IFERROR(CHOOSE(MATCH(INDEX(時間ごとの判定!$AW$3:$AW$1850,1717),{"利用可","両方停止","運転がそろわない","判定不能"},0),"○","停","×","－"),"")</f>
        <v>○</v>
      </c>
      <c r="BN75" s="35" t="str">
        <f aca="false">IFERROR(CHOOSE(MATCH(INDEX(時間ごとの判定!$AW$3:$AW$1850,1718),{"利用可","両方停止","運転がそろわない","判定不能"},0),"○","停","×","－"),"")</f>
        <v>×</v>
      </c>
      <c r="BO75" s="35" t="str">
        <f aca="false">IFERROR(CHOOSE(MATCH(INDEX(時間ごとの判定!$AW$3:$AW$1850,1719),{"利用可","両方停止","運転がそろわない","判定不能"},0),"○","停","×","－"),"")</f>
        <v>×</v>
      </c>
      <c r="BP75" s="35" t="str">
        <f aca="false">IFERROR(CHOOSE(MATCH(INDEX(時間ごとの判定!$AW$3:$AW$1850,1720),{"利用可","両方停止","運転がそろわない","判定不能"},0),"○","停","×","－"),"")</f>
        <v>×</v>
      </c>
      <c r="BQ75" s="35" t="str">
        <f aca="false">IFERROR(CHOOSE(MATCH(INDEX(時間ごとの判定!$AW$3:$AW$1850,1721),{"利用可","両方停止","運転がそろわない","判定不能"},0),"○","停","×","－"),"")</f>
        <v>×</v>
      </c>
      <c r="BR75" s="35" t="str">
        <f aca="false">IFERROR(CHOOSE(MATCH(INDEX(時間ごとの判定!$AW$3:$AW$1850,1722),{"利用可","両方停止","運転がそろわない","判定不能"},0),"○","停","×","－"),"")</f>
        <v>×</v>
      </c>
      <c r="BS75" s="35" t="str">
        <f aca="false">IFERROR(CHOOSE(MATCH(INDEX(時間ごとの判定!$AW$3:$AW$1850,1723),{"利用可","両方停止","運転がそろわない","判定不能"},0),"○","停","×","－"),"")</f>
        <v>×</v>
      </c>
      <c r="BT75" s="35" t="str">
        <f aca="false">IFERROR(CHOOSE(MATCH(INDEX(時間ごとの判定!$AW$3:$AW$1850,1724),{"利用可","両方停止","運転がそろわない","判定不能"},0),"○","停","×","－"),"")</f>
        <v>停</v>
      </c>
      <c r="BU75" s="35" t="str">
        <f aca="false">IFERROR(CHOOSE(MATCH(INDEX(時間ごとの判定!$AW$3:$AW$1850,1725),{"利用可","両方停止","運転がそろわない","判定不能"},0),"○","停","×","－"),"")</f>
        <v>停</v>
      </c>
      <c r="BV75" s="35" t="str">
        <f aca="false">IFERROR(CHOOSE(MATCH(INDEX(時間ごとの判定!$AW$3:$AW$1850,1726),{"利用可","両方停止","運転がそろわない","判定不能"},0),"○","停","×","－"),"")</f>
        <v>停</v>
      </c>
      <c r="BW75" s="35" t="str">
        <f aca="false">IFERROR(CHOOSE(MATCH(INDEX(時間ごとの判定!$AW$3:$AW$1850,1727),{"利用可","両方停止","運転がそろわない","判定不能"},0),"○","停","×","－"),"")</f>
        <v>停</v>
      </c>
      <c r="BX75" s="35" t="str">
        <f aca="false">IFERROR(CHOOSE(MATCH(INDEX(時間ごとの判定!$AW$3:$AW$1850,1728),{"利用可","両方停止","運転がそろわない","判定不能"},0),"○","停","×","－"),"")</f>
        <v>停</v>
      </c>
    </row>
    <row r="76" customFormat="false" ht="15" hidden="false" customHeight="false" outlineLevel="0" collapsed="false">
      <c r="A76" s="33" t="n">
        <v>46304</v>
      </c>
      <c r="B76" s="34" t="s">
        <v>62</v>
      </c>
      <c r="C76" s="35" t="str">
        <f aca="false">IFERROR(CHOOSE(MATCH(INDEX(時間ごとの判定!$AQ$3:$AQ$1850,1729),{"利用可","両方停止","運転がそろわない","判定不能"},0),"○","停","×","－"),"")</f>
        <v>停</v>
      </c>
      <c r="D76" s="35" t="str">
        <f aca="false">IFERROR(CHOOSE(MATCH(INDEX(時間ごとの判定!$AQ$3:$AQ$1850,1730),{"利用可","両方停止","運転がそろわない","判定不能"},0),"○","停","×","－"),"")</f>
        <v>停</v>
      </c>
      <c r="E76" s="35" t="str">
        <f aca="false">IFERROR(CHOOSE(MATCH(INDEX(時間ごとの判定!$AQ$3:$AQ$1850,1731),{"利用可","両方停止","運転がそろわない","判定不能"},0),"○","停","×","－"),"")</f>
        <v>停</v>
      </c>
      <c r="F76" s="35" t="str">
        <f aca="false">IFERROR(CHOOSE(MATCH(INDEX(時間ごとの判定!$AQ$3:$AQ$1850,1732),{"利用可","両方停止","運転がそろわない","判定不能"},0),"○","停","×","－"),"")</f>
        <v>停</v>
      </c>
      <c r="G76" s="35" t="str">
        <f aca="false">IFERROR(CHOOSE(MATCH(INDEX(時間ごとの判定!$AQ$3:$AQ$1850,1733),{"利用可","両方停止","運転がそろわない","判定不能"},0),"○","停","×","－"),"")</f>
        <v>停</v>
      </c>
      <c r="H76" s="35" t="str">
        <f aca="false">IFERROR(CHOOSE(MATCH(INDEX(時間ごとの判定!$AQ$3:$AQ$1850,1734),{"利用可","両方停止","運転がそろわない","判定不能"},0),"○","停","×","－"),"")</f>
        <v>停</v>
      </c>
      <c r="I76" s="35" t="str">
        <f aca="false">IFERROR(CHOOSE(MATCH(INDEX(時間ごとの判定!$AQ$3:$AQ$1850,1735),{"利用可","両方停止","運転がそろわない","判定不能"},0),"○","停","×","－"),"")</f>
        <v>停</v>
      </c>
      <c r="J76" s="35" t="str">
        <f aca="false">IFERROR(CHOOSE(MATCH(INDEX(時間ごとの判定!$AQ$3:$AQ$1850,1736),{"利用可","両方停止","運転がそろわない","判定不能"},0),"○","停","×","－"),"")</f>
        <v>×</v>
      </c>
      <c r="K76" s="35" t="str">
        <f aca="false">IFERROR(CHOOSE(MATCH(INDEX(時間ごとの判定!$AQ$3:$AQ$1850,1737),{"利用可","両方停止","運転がそろわない","判定不能"},0),"○","停","×","－"),"")</f>
        <v>×</v>
      </c>
      <c r="L76" s="35" t="str">
        <f aca="false">IFERROR(CHOOSE(MATCH(INDEX(時間ごとの判定!$AQ$3:$AQ$1850,1738),{"利用可","両方停止","運転がそろわない","判定不能"},0),"○","停","×","－"),"")</f>
        <v>○</v>
      </c>
      <c r="M76" s="35" t="str">
        <f aca="false">IFERROR(CHOOSE(MATCH(INDEX(時間ごとの判定!$AQ$3:$AQ$1850,1739),{"利用可","両方停止","運転がそろわない","判定不能"},0),"○","停","×","－"),"")</f>
        <v>○</v>
      </c>
      <c r="N76" s="35" t="str">
        <f aca="false">IFERROR(CHOOSE(MATCH(INDEX(時間ごとの判定!$AQ$3:$AQ$1850,1740),{"利用可","両方停止","運転がそろわない","判定不能"},0),"○","停","×","－"),"")</f>
        <v>○</v>
      </c>
      <c r="O76" s="35" t="str">
        <f aca="false">IFERROR(CHOOSE(MATCH(INDEX(時間ごとの判定!$AQ$3:$AQ$1850,1741),{"利用可","両方停止","運転がそろわない","判定不能"},0),"○","停","×","－"),"")</f>
        <v>○</v>
      </c>
      <c r="P76" s="35" t="str">
        <f aca="false">IFERROR(CHOOSE(MATCH(INDEX(時間ごとの判定!$AQ$3:$AQ$1850,1742),{"利用可","両方停止","運転がそろわない","判定不能"},0),"○","停","×","－"),"")</f>
        <v>○</v>
      </c>
      <c r="Q76" s="35" t="str">
        <f aca="false">IFERROR(CHOOSE(MATCH(INDEX(時間ごとの判定!$AQ$3:$AQ$1850,1743),{"利用可","両方停止","運転がそろわない","判定不能"},0),"○","停","×","－"),"")</f>
        <v>○</v>
      </c>
      <c r="R76" s="35" t="str">
        <f aca="false">IFERROR(CHOOSE(MATCH(INDEX(時間ごとの判定!$AQ$3:$AQ$1850,1744),{"利用可","両方停止","運転がそろわない","判定不能"},0),"○","停","×","－"),"")</f>
        <v>○</v>
      </c>
      <c r="S76" s="35" t="str">
        <f aca="false">IFERROR(CHOOSE(MATCH(INDEX(時間ごとの判定!$AQ$3:$AQ$1850,1745),{"利用可","両方停止","運転がそろわない","判定不能"},0),"○","停","×","－"),"")</f>
        <v>×</v>
      </c>
      <c r="T76" s="35" t="str">
        <f aca="false">IFERROR(CHOOSE(MATCH(INDEX(時間ごとの判定!$AQ$3:$AQ$1850,1746),{"利用可","両方停止","運転がそろわない","判定不能"},0),"○","停","×","－"),"")</f>
        <v>×</v>
      </c>
      <c r="U76" s="35" t="str">
        <f aca="false">IFERROR(CHOOSE(MATCH(INDEX(時間ごとの判定!$AQ$3:$AQ$1850,1747),{"利用可","両方停止","運転がそろわない","判定不能"},0),"○","停","×","－"),"")</f>
        <v>×</v>
      </c>
      <c r="V76" s="35" t="str">
        <f aca="false">IFERROR(CHOOSE(MATCH(INDEX(時間ごとの判定!$AQ$3:$AQ$1850,1748),{"利用可","両方停止","運転がそろわない","判定不能"},0),"○","停","×","－"),"")</f>
        <v>×</v>
      </c>
      <c r="W76" s="35" t="str">
        <f aca="false">IFERROR(CHOOSE(MATCH(INDEX(時間ごとの判定!$AQ$3:$AQ$1850,1749),{"利用可","両方停止","運転がそろわない","判定不能"},0),"○","停","×","－"),"")</f>
        <v>×</v>
      </c>
      <c r="X76" s="35" t="str">
        <f aca="false">IFERROR(CHOOSE(MATCH(INDEX(時間ごとの判定!$AQ$3:$AQ$1850,1750),{"利用可","両方停止","運転がそろわない","判定不能"},0),"○","停","×","－"),"")</f>
        <v>停</v>
      </c>
      <c r="Y76" s="35" t="str">
        <f aca="false">IFERROR(CHOOSE(MATCH(INDEX(時間ごとの判定!$AQ$3:$AQ$1850,1751),{"利用可","両方停止","運転がそろわない","判定不能"},0),"○","停","×","－"),"")</f>
        <v>停</v>
      </c>
      <c r="Z76" s="35" t="str">
        <f aca="false">IFERROR(CHOOSE(MATCH(INDEX(時間ごとの判定!$AQ$3:$AQ$1850,1752),{"利用可","両方停止","運転がそろわない","判定不能"},0),"○","停","×","－"),"")</f>
        <v>停</v>
      </c>
      <c r="AA76" s="35"/>
      <c r="AB76" s="35" t="str">
        <f aca="false">IFERROR(CHOOSE(MATCH(INDEX(時間ごとの判定!$AT$3:$AT$1850,1729),{"利用可","両方停止","運転がそろわない","判定不能"},0),"○","停","×","－"),"")</f>
        <v>停</v>
      </c>
      <c r="AC76" s="35" t="str">
        <f aca="false">IFERROR(CHOOSE(MATCH(INDEX(時間ごとの判定!$AT$3:$AT$1850,1730),{"利用可","両方停止","運転がそろわない","判定不能"},0),"○","停","×","－"),"")</f>
        <v>停</v>
      </c>
      <c r="AD76" s="35" t="str">
        <f aca="false">IFERROR(CHOOSE(MATCH(INDEX(時間ごとの判定!$AT$3:$AT$1850,1731),{"利用可","両方停止","運転がそろわない","判定不能"},0),"○","停","×","－"),"")</f>
        <v>停</v>
      </c>
      <c r="AE76" s="35" t="str">
        <f aca="false">IFERROR(CHOOSE(MATCH(INDEX(時間ごとの判定!$AT$3:$AT$1850,1732),{"利用可","両方停止","運転がそろわない","判定不能"},0),"○","停","×","－"),"")</f>
        <v>停</v>
      </c>
      <c r="AF76" s="35" t="str">
        <f aca="false">IFERROR(CHOOSE(MATCH(INDEX(時間ごとの判定!$AT$3:$AT$1850,1733),{"利用可","両方停止","運転がそろわない","判定不能"},0),"○","停","×","－"),"")</f>
        <v>停</v>
      </c>
      <c r="AG76" s="35" t="str">
        <f aca="false">IFERROR(CHOOSE(MATCH(INDEX(時間ごとの判定!$AT$3:$AT$1850,1734),{"利用可","両方停止","運転がそろわない","判定不能"},0),"○","停","×","－"),"")</f>
        <v>停</v>
      </c>
      <c r="AH76" s="35" t="str">
        <f aca="false">IFERROR(CHOOSE(MATCH(INDEX(時間ごとの判定!$AT$3:$AT$1850,1735),{"利用可","両方停止","運転がそろわない","判定不能"},0),"○","停","×","－"),"")</f>
        <v>×</v>
      </c>
      <c r="AI76" s="35" t="str">
        <f aca="false">IFERROR(CHOOSE(MATCH(INDEX(時間ごとの判定!$AT$3:$AT$1850,1736),{"利用可","両方停止","運転がそろわない","判定不能"},0),"○","停","×","－"),"")</f>
        <v>×</v>
      </c>
      <c r="AJ76" s="35" t="str">
        <f aca="false">IFERROR(CHOOSE(MATCH(INDEX(時間ごとの判定!$AT$3:$AT$1850,1737),{"利用可","両方停止","運転がそろわない","判定不能"},0),"○","停","×","－"),"")</f>
        <v>×</v>
      </c>
      <c r="AK76" s="35" t="str">
        <f aca="false">IFERROR(CHOOSE(MATCH(INDEX(時間ごとの判定!$AT$3:$AT$1850,1738),{"利用可","両方停止","運転がそろわない","判定不能"},0),"○","停","×","－"),"")</f>
        <v>×</v>
      </c>
      <c r="AL76" s="35" t="str">
        <f aca="false">IFERROR(CHOOSE(MATCH(INDEX(時間ごとの判定!$AT$3:$AT$1850,1739),{"利用可","両方停止","運転がそろわない","判定不能"},0),"○","停","×","－"),"")</f>
        <v>○</v>
      </c>
      <c r="AM76" s="35" t="str">
        <f aca="false">IFERROR(CHOOSE(MATCH(INDEX(時間ごとの判定!$AT$3:$AT$1850,1740),{"利用可","両方停止","運転がそろわない","判定不能"},0),"○","停","×","－"),"")</f>
        <v>○</v>
      </c>
      <c r="AN76" s="35" t="str">
        <f aca="false">IFERROR(CHOOSE(MATCH(INDEX(時間ごとの判定!$AT$3:$AT$1850,1741),{"利用可","両方停止","運転がそろわない","判定不能"},0),"○","停","×","－"),"")</f>
        <v>○</v>
      </c>
      <c r="AO76" s="35" t="str">
        <f aca="false">IFERROR(CHOOSE(MATCH(INDEX(時間ごとの判定!$AT$3:$AT$1850,1742),{"利用可","両方停止","運転がそろわない","判定不能"},0),"○","停","×","－"),"")</f>
        <v>○</v>
      </c>
      <c r="AP76" s="35" t="str">
        <f aca="false">IFERROR(CHOOSE(MATCH(INDEX(時間ごとの判定!$AT$3:$AT$1850,1743),{"利用可","両方停止","運転がそろわない","判定不能"},0),"○","停","×","－"),"")</f>
        <v>○</v>
      </c>
      <c r="AQ76" s="35" t="str">
        <f aca="false">IFERROR(CHOOSE(MATCH(INDEX(時間ごとの判定!$AT$3:$AT$1850,1744),{"利用可","両方停止","運転がそろわない","判定不能"},0),"○","停","×","－"),"")</f>
        <v>○</v>
      </c>
      <c r="AR76" s="35" t="str">
        <f aca="false">IFERROR(CHOOSE(MATCH(INDEX(時間ごとの判定!$AT$3:$AT$1850,1745),{"利用可","両方停止","運転がそろわない","判定不能"},0),"○","停","×","－"),"")</f>
        <v>×</v>
      </c>
      <c r="AS76" s="35" t="str">
        <f aca="false">IFERROR(CHOOSE(MATCH(INDEX(時間ごとの判定!$AT$3:$AT$1850,1746),{"利用可","両方停止","運転がそろわない","判定不能"},0),"○","停","×","－"),"")</f>
        <v>×</v>
      </c>
      <c r="AT76" s="35" t="str">
        <f aca="false">IFERROR(CHOOSE(MATCH(INDEX(時間ごとの判定!$AT$3:$AT$1850,1747),{"利用可","両方停止","運転がそろわない","判定不能"},0),"○","停","×","－"),"")</f>
        <v>×</v>
      </c>
      <c r="AU76" s="35" t="str">
        <f aca="false">IFERROR(CHOOSE(MATCH(INDEX(時間ごとの判定!$AT$3:$AT$1850,1748),{"利用可","両方停止","運転がそろわない","判定不能"},0),"○","停","×","－"),"")</f>
        <v>×</v>
      </c>
      <c r="AV76" s="35" t="str">
        <f aca="false">IFERROR(CHOOSE(MATCH(INDEX(時間ごとの判定!$AT$3:$AT$1850,1749),{"利用可","両方停止","運転がそろわない","判定不能"},0),"○","停","×","－"),"")</f>
        <v>停</v>
      </c>
      <c r="AW76" s="35" t="str">
        <f aca="false">IFERROR(CHOOSE(MATCH(INDEX(時間ごとの判定!$AT$3:$AT$1850,1750),{"利用可","両方停止","運転がそろわない","判定不能"},0),"○","停","×","－"),"")</f>
        <v>×</v>
      </c>
      <c r="AX76" s="35" t="str">
        <f aca="false">IFERROR(CHOOSE(MATCH(INDEX(時間ごとの判定!$AT$3:$AT$1850,1751),{"利用可","両方停止","運転がそろわない","判定不能"},0),"○","停","×","－"),"")</f>
        <v>×</v>
      </c>
      <c r="AY76" s="35" t="str">
        <f aca="false">IFERROR(CHOOSE(MATCH(INDEX(時間ごとの判定!$AT$3:$AT$1850,1752),{"利用可","両方停止","運転がそろわない","判定不能"},0),"○","停","×","－"),"")</f>
        <v>×</v>
      </c>
      <c r="AZ76" s="35"/>
      <c r="BA76" s="35" t="str">
        <f aca="false">IFERROR(CHOOSE(MATCH(INDEX(時間ごとの判定!$AW$3:$AW$1850,1729),{"利用可","両方停止","運転がそろわない","判定不能"},0),"○","停","×","－"),"")</f>
        <v>停</v>
      </c>
      <c r="BB76" s="35" t="str">
        <f aca="false">IFERROR(CHOOSE(MATCH(INDEX(時間ごとの判定!$AW$3:$AW$1850,1730),{"利用可","両方停止","運転がそろわない","判定不能"},0),"○","停","×","－"),"")</f>
        <v>停</v>
      </c>
      <c r="BC76" s="35" t="str">
        <f aca="false">IFERROR(CHOOSE(MATCH(INDEX(時間ごとの判定!$AW$3:$AW$1850,1731),{"利用可","両方停止","運転がそろわない","判定不能"},0),"○","停","×","－"),"")</f>
        <v>停</v>
      </c>
      <c r="BD76" s="35" t="str">
        <f aca="false">IFERROR(CHOOSE(MATCH(INDEX(時間ごとの判定!$AW$3:$AW$1850,1732),{"利用可","両方停止","運転がそろわない","判定不能"},0),"○","停","×","－"),"")</f>
        <v>停</v>
      </c>
      <c r="BE76" s="35" t="str">
        <f aca="false">IFERROR(CHOOSE(MATCH(INDEX(時間ごとの判定!$AW$3:$AW$1850,1733),{"利用可","両方停止","運転がそろわない","判定不能"},0),"○","停","×","－"),"")</f>
        <v>停</v>
      </c>
      <c r="BF76" s="35" t="str">
        <f aca="false">IFERROR(CHOOSE(MATCH(INDEX(時間ごとの判定!$AW$3:$AW$1850,1734),{"利用可","両方停止","運転がそろわない","判定不能"},0),"○","停","×","－"),"")</f>
        <v>停</v>
      </c>
      <c r="BG76" s="35" t="str">
        <f aca="false">IFERROR(CHOOSE(MATCH(INDEX(時間ごとの判定!$AW$3:$AW$1850,1735),{"利用可","両方停止","運転がそろわない","判定不能"},0),"○","停","×","－"),"")</f>
        <v>×</v>
      </c>
      <c r="BH76" s="35" t="str">
        <f aca="false">IFERROR(CHOOSE(MATCH(INDEX(時間ごとの判定!$AW$3:$AW$1850,1736),{"利用可","両方停止","運転がそろわない","判定不能"},0),"○","停","×","－"),"")</f>
        <v>×</v>
      </c>
      <c r="BI76" s="35" t="str">
        <f aca="false">IFERROR(CHOOSE(MATCH(INDEX(時間ごとの判定!$AW$3:$AW$1850,1737),{"利用可","両方停止","運転がそろわない","判定不能"},0),"○","停","×","－"),"")</f>
        <v>×</v>
      </c>
      <c r="BJ76" s="35" t="str">
        <f aca="false">IFERROR(CHOOSE(MATCH(INDEX(時間ごとの判定!$AW$3:$AW$1850,1738),{"利用可","両方停止","運転がそろわない","判定不能"},0),"○","停","×","－"),"")</f>
        <v>○</v>
      </c>
      <c r="BK76" s="35" t="str">
        <f aca="false">IFERROR(CHOOSE(MATCH(INDEX(時間ごとの判定!$AW$3:$AW$1850,1739),{"利用可","両方停止","運転がそろわない","判定不能"},0),"○","停","×","－"),"")</f>
        <v>○</v>
      </c>
      <c r="BL76" s="35" t="str">
        <f aca="false">IFERROR(CHOOSE(MATCH(INDEX(時間ごとの判定!$AW$3:$AW$1850,1740),{"利用可","両方停止","運転がそろわない","判定不能"},0),"○","停","×","－"),"")</f>
        <v>○</v>
      </c>
      <c r="BM76" s="35" t="str">
        <f aca="false">IFERROR(CHOOSE(MATCH(INDEX(時間ごとの判定!$AW$3:$AW$1850,1741),{"利用可","両方停止","運転がそろわない","判定不能"},0),"○","停","×","－"),"")</f>
        <v>○</v>
      </c>
      <c r="BN76" s="35" t="str">
        <f aca="false">IFERROR(CHOOSE(MATCH(INDEX(時間ごとの判定!$AW$3:$AW$1850,1742),{"利用可","両方停止","運転がそろわない","判定不能"},0),"○","停","×","－"),"")</f>
        <v>○</v>
      </c>
      <c r="BO76" s="35" t="str">
        <f aca="false">IFERROR(CHOOSE(MATCH(INDEX(時間ごとの判定!$AW$3:$AW$1850,1743),{"利用可","両方停止","運転がそろわない","判定不能"},0),"○","停","×","－"),"")</f>
        <v>○</v>
      </c>
      <c r="BP76" s="35" t="str">
        <f aca="false">IFERROR(CHOOSE(MATCH(INDEX(時間ごとの判定!$AW$3:$AW$1850,1744),{"利用可","両方停止","運転がそろわない","判定不能"},0),"○","停","×","－"),"")</f>
        <v>○</v>
      </c>
      <c r="BQ76" s="35" t="str">
        <f aca="false">IFERROR(CHOOSE(MATCH(INDEX(時間ごとの判定!$AW$3:$AW$1850,1745),{"利用可","両方停止","運転がそろわない","判定不能"},0),"○","停","×","－"),"")</f>
        <v>○</v>
      </c>
      <c r="BR76" s="35" t="str">
        <f aca="false">IFERROR(CHOOSE(MATCH(INDEX(時間ごとの判定!$AW$3:$AW$1850,1746),{"利用可","両方停止","運転がそろわない","判定不能"},0),"○","停","×","－"),"")</f>
        <v>○</v>
      </c>
      <c r="BS76" s="35" t="str">
        <f aca="false">IFERROR(CHOOSE(MATCH(INDEX(時間ごとの判定!$AW$3:$AW$1850,1747),{"利用可","両方停止","運転がそろわない","判定不能"},0),"○","停","×","－"),"")</f>
        <v>×</v>
      </c>
      <c r="BT76" s="35" t="str">
        <f aca="false">IFERROR(CHOOSE(MATCH(INDEX(時間ごとの判定!$AW$3:$AW$1850,1748),{"利用可","両方停止","運転がそろわない","判定不能"},0),"○","停","×","－"),"")</f>
        <v>×</v>
      </c>
      <c r="BU76" s="35" t="str">
        <f aca="false">IFERROR(CHOOSE(MATCH(INDEX(時間ごとの判定!$AW$3:$AW$1850,1749),{"利用可","両方停止","運転がそろわない","判定不能"},0),"○","停","×","－"),"")</f>
        <v>×</v>
      </c>
      <c r="BV76" s="35" t="str">
        <f aca="false">IFERROR(CHOOSE(MATCH(INDEX(時間ごとの判定!$AW$3:$AW$1850,1750),{"利用可","両方停止","運転がそろわない","判定不能"},0),"○","停","×","－"),"")</f>
        <v>停</v>
      </c>
      <c r="BW76" s="35" t="str">
        <f aca="false">IFERROR(CHOOSE(MATCH(INDEX(時間ごとの判定!$AW$3:$AW$1850,1751),{"利用可","両方停止","運転がそろわない","判定不能"},0),"○","停","×","－"),"")</f>
        <v>停</v>
      </c>
      <c r="BX76" s="35" t="str">
        <f aca="false">IFERROR(CHOOSE(MATCH(INDEX(時間ごとの判定!$AW$3:$AW$1850,1752),{"利用可","両方停止","運転がそろわない","判定不能"},0),"○","停","×","－"),"")</f>
        <v>停</v>
      </c>
    </row>
    <row r="77" customFormat="false" ht="15" hidden="false" customHeight="false" outlineLevel="0" collapsed="false">
      <c r="A77" s="33" t="n">
        <v>46305</v>
      </c>
      <c r="B77" s="36" t="s">
        <v>63</v>
      </c>
      <c r="C77" s="35" t="str">
        <f aca="false">IFERROR(CHOOSE(MATCH(INDEX(時間ごとの判定!$AQ$3:$AQ$1850,1753),{"利用可","両方停止","運転がそろわない","判定不能"},0),"○","停","×","－"),"")</f>
        <v>停</v>
      </c>
      <c r="D77" s="35" t="str">
        <f aca="false">IFERROR(CHOOSE(MATCH(INDEX(時間ごとの判定!$AQ$3:$AQ$1850,1754),{"利用可","両方停止","運転がそろわない","判定不能"},0),"○","停","×","－"),"")</f>
        <v>停</v>
      </c>
      <c r="E77" s="35" t="str">
        <f aca="false">IFERROR(CHOOSE(MATCH(INDEX(時間ごとの判定!$AQ$3:$AQ$1850,1755),{"利用可","両方停止","運転がそろわない","判定不能"},0),"○","停","×","－"),"")</f>
        <v>停</v>
      </c>
      <c r="F77" s="35" t="str">
        <f aca="false">IFERROR(CHOOSE(MATCH(INDEX(時間ごとの判定!$AQ$3:$AQ$1850,1756),{"利用可","両方停止","運転がそろわない","判定不能"},0),"○","停","×","－"),"")</f>
        <v>停</v>
      </c>
      <c r="G77" s="35" t="str">
        <f aca="false">IFERROR(CHOOSE(MATCH(INDEX(時間ごとの判定!$AQ$3:$AQ$1850,1757),{"利用可","両方停止","運転がそろわない","判定不能"},0),"○","停","×","－"),"")</f>
        <v>停</v>
      </c>
      <c r="H77" s="35" t="str">
        <f aca="false">IFERROR(CHOOSE(MATCH(INDEX(時間ごとの判定!$AQ$3:$AQ$1850,1758),{"利用可","両方停止","運転がそろわない","判定不能"},0),"○","停","×","－"),"")</f>
        <v>停</v>
      </c>
      <c r="I77" s="35" t="str">
        <f aca="false">IFERROR(CHOOSE(MATCH(INDEX(時間ごとの判定!$AQ$3:$AQ$1850,1759),{"利用可","両方停止","運転がそろわない","判定不能"},0),"○","停","×","－"),"")</f>
        <v>停</v>
      </c>
      <c r="J77" s="35" t="str">
        <f aca="false">IFERROR(CHOOSE(MATCH(INDEX(時間ごとの判定!$AQ$3:$AQ$1850,1760),{"利用可","両方停止","運転がそろわない","判定不能"},0),"○","停","×","－"),"")</f>
        <v>停</v>
      </c>
      <c r="K77" s="35" t="str">
        <f aca="false">IFERROR(CHOOSE(MATCH(INDEX(時間ごとの判定!$AQ$3:$AQ$1850,1761),{"利用可","両方停止","運転がそろわない","判定不能"},0),"○","停","×","－"),"")</f>
        <v>×</v>
      </c>
      <c r="L77" s="35" t="str">
        <f aca="false">IFERROR(CHOOSE(MATCH(INDEX(時間ごとの判定!$AQ$3:$AQ$1850,1762),{"利用可","両方停止","運転がそろわない","判定不能"},0),"○","停","×","－"),"")</f>
        <v>○</v>
      </c>
      <c r="M77" s="35" t="str">
        <f aca="false">IFERROR(CHOOSE(MATCH(INDEX(時間ごとの判定!$AQ$3:$AQ$1850,1763),{"利用可","両方停止","運転がそろわない","判定不能"},0),"○","停","×","－"),"")</f>
        <v>×</v>
      </c>
      <c r="N77" s="35" t="str">
        <f aca="false">IFERROR(CHOOSE(MATCH(INDEX(時間ごとの判定!$AQ$3:$AQ$1850,1764),{"利用可","両方停止","運転がそろわない","判定不能"},0),"○","停","×","－"),"")</f>
        <v>○</v>
      </c>
      <c r="O77" s="35" t="str">
        <f aca="false">IFERROR(CHOOSE(MATCH(INDEX(時間ごとの判定!$AQ$3:$AQ$1850,1765),{"利用可","両方停止","運転がそろわない","判定不能"},0),"○","停","×","－"),"")</f>
        <v>○</v>
      </c>
      <c r="P77" s="35" t="str">
        <f aca="false">IFERROR(CHOOSE(MATCH(INDEX(時間ごとの判定!$AQ$3:$AQ$1850,1766),{"利用可","両方停止","運転がそろわない","判定不能"},0),"○","停","×","－"),"")</f>
        <v>○</v>
      </c>
      <c r="Q77" s="35" t="str">
        <f aca="false">IFERROR(CHOOSE(MATCH(INDEX(時間ごとの判定!$AQ$3:$AQ$1850,1767),{"利用可","両方停止","運転がそろわない","判定不能"},0),"○","停","×","－"),"")</f>
        <v>○</v>
      </c>
      <c r="R77" s="35" t="str">
        <f aca="false">IFERROR(CHOOSE(MATCH(INDEX(時間ごとの判定!$AQ$3:$AQ$1850,1768),{"利用可","両方停止","運転がそろわない","判定不能"},0),"○","停","×","－"),"")</f>
        <v>○</v>
      </c>
      <c r="S77" s="35" t="str">
        <f aca="false">IFERROR(CHOOSE(MATCH(INDEX(時間ごとの判定!$AQ$3:$AQ$1850,1769),{"利用可","両方停止","運転がそろわない","判定不能"},0),"○","停","×","－"),"")</f>
        <v>×</v>
      </c>
      <c r="T77" s="35" t="str">
        <f aca="false">IFERROR(CHOOSE(MATCH(INDEX(時間ごとの判定!$AQ$3:$AQ$1850,1770),{"利用可","両方停止","運転がそろわない","判定不能"},0),"○","停","×","－"),"")</f>
        <v>停</v>
      </c>
      <c r="U77" s="35" t="str">
        <f aca="false">IFERROR(CHOOSE(MATCH(INDEX(時間ごとの判定!$AQ$3:$AQ$1850,1771),{"利用可","両方停止","運転がそろわない","判定不能"},0),"○","停","×","－"),"")</f>
        <v>停</v>
      </c>
      <c r="V77" s="35" t="str">
        <f aca="false">IFERROR(CHOOSE(MATCH(INDEX(時間ごとの判定!$AQ$3:$AQ$1850,1772),{"利用可","両方停止","運転がそろわない","判定不能"},0),"○","停","×","－"),"")</f>
        <v>×</v>
      </c>
      <c r="W77" s="35" t="str">
        <f aca="false">IFERROR(CHOOSE(MATCH(INDEX(時間ごとの判定!$AQ$3:$AQ$1850,1773),{"利用可","両方停止","運転がそろわない","判定不能"},0),"○","停","×","－"),"")</f>
        <v>×</v>
      </c>
      <c r="X77" s="35" t="str">
        <f aca="false">IFERROR(CHOOSE(MATCH(INDEX(時間ごとの判定!$AQ$3:$AQ$1850,1774),{"利用可","両方停止","運転がそろわない","判定不能"},0),"○","停","×","－"),"")</f>
        <v>停</v>
      </c>
      <c r="Y77" s="35" t="str">
        <f aca="false">IFERROR(CHOOSE(MATCH(INDEX(時間ごとの判定!$AQ$3:$AQ$1850,1775),{"利用可","両方停止","運転がそろわない","判定不能"},0),"○","停","×","－"),"")</f>
        <v>停</v>
      </c>
      <c r="Z77" s="35" t="str">
        <f aca="false">IFERROR(CHOOSE(MATCH(INDEX(時間ごとの判定!$AQ$3:$AQ$1850,1776),{"利用可","両方停止","運転がそろわない","判定不能"},0),"○","停","×","－"),"")</f>
        <v>停</v>
      </c>
      <c r="AA77" s="35"/>
      <c r="AB77" s="35" t="str">
        <f aca="false">IFERROR(CHOOSE(MATCH(INDEX(時間ごとの判定!$AT$3:$AT$1850,1753),{"利用可","両方停止","運転がそろわない","判定不能"},0),"○","停","×","－"),"")</f>
        <v>停</v>
      </c>
      <c r="AC77" s="35" t="str">
        <f aca="false">IFERROR(CHOOSE(MATCH(INDEX(時間ごとの判定!$AT$3:$AT$1850,1754),{"利用可","両方停止","運転がそろわない","判定不能"},0),"○","停","×","－"),"")</f>
        <v>停</v>
      </c>
      <c r="AD77" s="35" t="str">
        <f aca="false">IFERROR(CHOOSE(MATCH(INDEX(時間ごとの判定!$AT$3:$AT$1850,1755),{"利用可","両方停止","運転がそろわない","判定不能"},0),"○","停","×","－"),"")</f>
        <v>停</v>
      </c>
      <c r="AE77" s="35" t="str">
        <f aca="false">IFERROR(CHOOSE(MATCH(INDEX(時間ごとの判定!$AT$3:$AT$1850,1756),{"利用可","両方停止","運転がそろわない","判定不能"},0),"○","停","×","－"),"")</f>
        <v>停</v>
      </c>
      <c r="AF77" s="35" t="str">
        <f aca="false">IFERROR(CHOOSE(MATCH(INDEX(時間ごとの判定!$AT$3:$AT$1850,1757),{"利用可","両方停止","運転がそろわない","判定不能"},0),"○","停","×","－"),"")</f>
        <v>停</v>
      </c>
      <c r="AG77" s="35" t="str">
        <f aca="false">IFERROR(CHOOSE(MATCH(INDEX(時間ごとの判定!$AT$3:$AT$1850,1758),{"利用可","両方停止","運転がそろわない","判定不能"},0),"○","停","×","－"),"")</f>
        <v>停</v>
      </c>
      <c r="AH77" s="35" t="str">
        <f aca="false">IFERROR(CHOOSE(MATCH(INDEX(時間ごとの判定!$AT$3:$AT$1850,1759),{"利用可","両方停止","運転がそろわない","判定不能"},0),"○","停","×","－"),"")</f>
        <v>停</v>
      </c>
      <c r="AI77" s="35" t="str">
        <f aca="false">IFERROR(CHOOSE(MATCH(INDEX(時間ごとの判定!$AT$3:$AT$1850,1760),{"利用可","両方停止","運転がそろわない","判定不能"},0),"○","停","×","－"),"")</f>
        <v>停</v>
      </c>
      <c r="AJ77" s="35" t="str">
        <f aca="false">IFERROR(CHOOSE(MATCH(INDEX(時間ごとの判定!$AT$3:$AT$1850,1761),{"利用可","両方停止","運転がそろわない","判定不能"},0),"○","停","×","－"),"")</f>
        <v>×</v>
      </c>
      <c r="AK77" s="35" t="str">
        <f aca="false">IFERROR(CHOOSE(MATCH(INDEX(時間ごとの判定!$AT$3:$AT$1850,1762),{"利用可","両方停止","運転がそろわない","判定不能"},0),"○","停","×","－"),"")</f>
        <v>×</v>
      </c>
      <c r="AL77" s="35" t="str">
        <f aca="false">IFERROR(CHOOSE(MATCH(INDEX(時間ごとの判定!$AT$3:$AT$1850,1763),{"利用可","両方停止","運転がそろわない","判定不能"},0),"○","停","×","－"),"")</f>
        <v>○</v>
      </c>
      <c r="AM77" s="35" t="str">
        <f aca="false">IFERROR(CHOOSE(MATCH(INDEX(時間ごとの判定!$AT$3:$AT$1850,1764),{"利用可","両方停止","運転がそろわない","判定不能"},0),"○","停","×","－"),"")</f>
        <v>○</v>
      </c>
      <c r="AN77" s="35" t="str">
        <f aca="false">IFERROR(CHOOSE(MATCH(INDEX(時間ごとの判定!$AT$3:$AT$1850,1765),{"利用可","両方停止","運転がそろわない","判定不能"},0),"○","停","×","－"),"")</f>
        <v>○</v>
      </c>
      <c r="AO77" s="35" t="str">
        <f aca="false">IFERROR(CHOOSE(MATCH(INDEX(時間ごとの判定!$AT$3:$AT$1850,1766),{"利用可","両方停止","運転がそろわない","判定不能"},0),"○","停","×","－"),"")</f>
        <v>○</v>
      </c>
      <c r="AP77" s="35" t="str">
        <f aca="false">IFERROR(CHOOSE(MATCH(INDEX(時間ごとの判定!$AT$3:$AT$1850,1767),{"利用可","両方停止","運転がそろわない","判定不能"},0),"○","停","×","－"),"")</f>
        <v>○</v>
      </c>
      <c r="AQ77" s="35" t="str">
        <f aca="false">IFERROR(CHOOSE(MATCH(INDEX(時間ごとの判定!$AT$3:$AT$1850,1768),{"利用可","両方停止","運転がそろわない","判定不能"},0),"○","停","×","－"),"")</f>
        <v>○</v>
      </c>
      <c r="AR77" s="35" t="str">
        <f aca="false">IFERROR(CHOOSE(MATCH(INDEX(時間ごとの判定!$AT$3:$AT$1850,1769),{"利用可","両方停止","運転がそろわない","判定不能"},0),"○","停","×","－"),"")</f>
        <v>○</v>
      </c>
      <c r="AS77" s="35" t="str">
        <f aca="false">IFERROR(CHOOSE(MATCH(INDEX(時間ごとの判定!$AT$3:$AT$1850,1770),{"利用可","両方停止","運転がそろわない","判定不能"},0),"○","停","×","－"),"")</f>
        <v>×</v>
      </c>
      <c r="AT77" s="35" t="str">
        <f aca="false">IFERROR(CHOOSE(MATCH(INDEX(時間ごとの判定!$AT$3:$AT$1850,1771),{"利用可","両方停止","運転がそろわない","判定不能"},0),"○","停","×","－"),"")</f>
        <v>停</v>
      </c>
      <c r="AU77" s="35" t="str">
        <f aca="false">IFERROR(CHOOSE(MATCH(INDEX(時間ごとの判定!$AT$3:$AT$1850,1772),{"利用可","両方停止","運転がそろわない","判定不能"},0),"○","停","×","－"),"")</f>
        <v>×</v>
      </c>
      <c r="AV77" s="35" t="str">
        <f aca="false">IFERROR(CHOOSE(MATCH(INDEX(時間ごとの判定!$AT$3:$AT$1850,1773),{"利用可","両方停止","運転がそろわない","判定不能"},0),"○","停","×","－"),"")</f>
        <v>停</v>
      </c>
      <c r="AW77" s="35" t="str">
        <f aca="false">IFERROR(CHOOSE(MATCH(INDEX(時間ごとの判定!$AT$3:$AT$1850,1774),{"利用可","両方停止","運転がそろわない","判定不能"},0),"○","停","×","－"),"")</f>
        <v>停</v>
      </c>
      <c r="AX77" s="35" t="str">
        <f aca="false">IFERROR(CHOOSE(MATCH(INDEX(時間ごとの判定!$AT$3:$AT$1850,1775),{"利用可","両方停止","運転がそろわない","判定不能"},0),"○","停","×","－"),"")</f>
        <v>停</v>
      </c>
      <c r="AY77" s="35" t="str">
        <f aca="false">IFERROR(CHOOSE(MATCH(INDEX(時間ごとの判定!$AT$3:$AT$1850,1776),{"利用可","両方停止","運転がそろわない","判定不能"},0),"○","停","×","－"),"")</f>
        <v>停</v>
      </c>
      <c r="AZ77" s="35"/>
      <c r="BA77" s="35" t="str">
        <f aca="false">IFERROR(CHOOSE(MATCH(INDEX(時間ごとの判定!$AW$3:$AW$1850,1753),{"利用可","両方停止","運転がそろわない","判定不能"},0),"○","停","×","－"),"")</f>
        <v>停</v>
      </c>
      <c r="BB77" s="35" t="str">
        <f aca="false">IFERROR(CHOOSE(MATCH(INDEX(時間ごとの判定!$AW$3:$AW$1850,1754),{"利用可","両方停止","運転がそろわない","判定不能"},0),"○","停","×","－"),"")</f>
        <v>停</v>
      </c>
      <c r="BC77" s="35" t="str">
        <f aca="false">IFERROR(CHOOSE(MATCH(INDEX(時間ごとの判定!$AW$3:$AW$1850,1755),{"利用可","両方停止","運転がそろわない","判定不能"},0),"○","停","×","－"),"")</f>
        <v>停</v>
      </c>
      <c r="BD77" s="35" t="str">
        <f aca="false">IFERROR(CHOOSE(MATCH(INDEX(時間ごとの判定!$AW$3:$AW$1850,1756),{"利用可","両方停止","運転がそろわない","判定不能"},0),"○","停","×","－"),"")</f>
        <v>停</v>
      </c>
      <c r="BE77" s="35" t="str">
        <f aca="false">IFERROR(CHOOSE(MATCH(INDEX(時間ごとの判定!$AW$3:$AW$1850,1757),{"利用可","両方停止","運転がそろわない","判定不能"},0),"○","停","×","－"),"")</f>
        <v>停</v>
      </c>
      <c r="BF77" s="35" t="str">
        <f aca="false">IFERROR(CHOOSE(MATCH(INDEX(時間ごとの判定!$AW$3:$AW$1850,1758),{"利用可","両方停止","運転がそろわない","判定不能"},0),"○","停","×","－"),"")</f>
        <v>停</v>
      </c>
      <c r="BG77" s="35" t="str">
        <f aca="false">IFERROR(CHOOSE(MATCH(INDEX(時間ごとの判定!$AW$3:$AW$1850,1759),{"利用可","両方停止","運転がそろわない","判定不能"},0),"○","停","×","－"),"")</f>
        <v>停</v>
      </c>
      <c r="BH77" s="35" t="str">
        <f aca="false">IFERROR(CHOOSE(MATCH(INDEX(時間ごとの判定!$AW$3:$AW$1850,1760),{"利用可","両方停止","運転がそろわない","判定不能"},0),"○","停","×","－"),"")</f>
        <v>停</v>
      </c>
      <c r="BI77" s="35" t="str">
        <f aca="false">IFERROR(CHOOSE(MATCH(INDEX(時間ごとの判定!$AW$3:$AW$1850,1761),{"利用可","両方停止","運転がそろわない","判定不能"},0),"○","停","×","－"),"")</f>
        <v>×</v>
      </c>
      <c r="BJ77" s="35" t="str">
        <f aca="false">IFERROR(CHOOSE(MATCH(INDEX(時間ごとの判定!$AW$3:$AW$1850,1762),{"利用可","両方停止","運転がそろわない","判定不能"},0),"○","停","×","－"),"")</f>
        <v>○</v>
      </c>
      <c r="BK77" s="35" t="str">
        <f aca="false">IFERROR(CHOOSE(MATCH(INDEX(時間ごとの判定!$AW$3:$AW$1850,1763),{"利用可","両方停止","運転がそろわない","判定不能"},0),"○","停","×","－"),"")</f>
        <v>○</v>
      </c>
      <c r="BL77" s="35" t="str">
        <f aca="false">IFERROR(CHOOSE(MATCH(INDEX(時間ごとの判定!$AW$3:$AW$1850,1764),{"利用可","両方停止","運転がそろわない","判定不能"},0),"○","停","×","－"),"")</f>
        <v>○</v>
      </c>
      <c r="BM77" s="35" t="str">
        <f aca="false">IFERROR(CHOOSE(MATCH(INDEX(時間ごとの判定!$AW$3:$AW$1850,1765),{"利用可","両方停止","運転がそろわない","判定不能"},0),"○","停","×","－"),"")</f>
        <v>○</v>
      </c>
      <c r="BN77" s="35" t="str">
        <f aca="false">IFERROR(CHOOSE(MATCH(INDEX(時間ごとの判定!$AW$3:$AW$1850,1766),{"利用可","両方停止","運転がそろわない","判定不能"},0),"○","停","×","－"),"")</f>
        <v>○</v>
      </c>
      <c r="BO77" s="35" t="str">
        <f aca="false">IFERROR(CHOOSE(MATCH(INDEX(時間ごとの判定!$AW$3:$AW$1850,1767),{"利用可","両方停止","運転がそろわない","判定不能"},0),"○","停","×","－"),"")</f>
        <v>○</v>
      </c>
      <c r="BP77" s="35" t="str">
        <f aca="false">IFERROR(CHOOSE(MATCH(INDEX(時間ごとの判定!$AW$3:$AW$1850,1768),{"利用可","両方停止","運転がそろわない","判定不能"},0),"○","停","×","－"),"")</f>
        <v>○</v>
      </c>
      <c r="BQ77" s="35" t="str">
        <f aca="false">IFERROR(CHOOSE(MATCH(INDEX(時間ごとの判定!$AW$3:$AW$1850,1769),{"利用可","両方停止","運転がそろわない","判定不能"},0),"○","停","×","－"),"")</f>
        <v>○</v>
      </c>
      <c r="BR77" s="35" t="str">
        <f aca="false">IFERROR(CHOOSE(MATCH(INDEX(時間ごとの判定!$AW$3:$AW$1850,1770),{"利用可","両方停止","運転がそろわない","判定不能"},0),"○","停","×","－"),"")</f>
        <v>○</v>
      </c>
      <c r="BS77" s="35" t="str">
        <f aca="false">IFERROR(CHOOSE(MATCH(INDEX(時間ごとの判定!$AW$3:$AW$1850,1771),{"利用可","両方停止","運転がそろわない","判定不能"},0),"○","停","×","－"),"")</f>
        <v>停</v>
      </c>
      <c r="BT77" s="35" t="str">
        <f aca="false">IFERROR(CHOOSE(MATCH(INDEX(時間ごとの判定!$AW$3:$AW$1850,1772),{"利用可","両方停止","運転がそろわない","判定不能"},0),"○","停","×","－"),"")</f>
        <v>停</v>
      </c>
      <c r="BU77" s="35" t="str">
        <f aca="false">IFERROR(CHOOSE(MATCH(INDEX(時間ごとの判定!$AW$3:$AW$1850,1773),{"利用可","両方停止","運転がそろわない","判定不能"},0),"○","停","×","－"),"")</f>
        <v>×</v>
      </c>
      <c r="BV77" s="35" t="str">
        <f aca="false">IFERROR(CHOOSE(MATCH(INDEX(時間ごとの判定!$AW$3:$AW$1850,1774),{"利用可","両方停止","運転がそろわない","判定不能"},0),"○","停","×","－"),"")</f>
        <v>×</v>
      </c>
      <c r="BW77" s="35" t="str">
        <f aca="false">IFERROR(CHOOSE(MATCH(INDEX(時間ごとの判定!$AW$3:$AW$1850,1775),{"利用可","両方停止","運転がそろわない","判定不能"},0),"○","停","×","－"),"")</f>
        <v>停</v>
      </c>
      <c r="BX77" s="35" t="str">
        <f aca="false">IFERROR(CHOOSE(MATCH(INDEX(時間ごとの判定!$AW$3:$AW$1850,1776),{"利用可","両方停止","運転がそろわない","判定不能"},0),"○","停","×","－"),"")</f>
        <v>停</v>
      </c>
    </row>
    <row r="78" customFormat="false" ht="15" hidden="false" customHeight="false" outlineLevel="0" collapsed="false">
      <c r="A78" s="33" t="n">
        <v>46306</v>
      </c>
      <c r="B78" s="36" t="s">
        <v>65</v>
      </c>
      <c r="C78" s="35" t="str">
        <f aca="false">IFERROR(CHOOSE(MATCH(INDEX(時間ごとの判定!$AQ$3:$AQ$1850,1777),{"利用可","両方停止","運転がそろわない","判定不能"},0),"○","停","×","－"),"")</f>
        <v>停</v>
      </c>
      <c r="D78" s="35" t="str">
        <f aca="false">IFERROR(CHOOSE(MATCH(INDEX(時間ごとの判定!$AQ$3:$AQ$1850,1778),{"利用可","両方停止","運転がそろわない","判定不能"},0),"○","停","×","－"),"")</f>
        <v>停</v>
      </c>
      <c r="E78" s="35" t="str">
        <f aca="false">IFERROR(CHOOSE(MATCH(INDEX(時間ごとの判定!$AQ$3:$AQ$1850,1779),{"利用可","両方停止","運転がそろわない","判定不能"},0),"○","停","×","－"),"")</f>
        <v>停</v>
      </c>
      <c r="F78" s="35" t="str">
        <f aca="false">IFERROR(CHOOSE(MATCH(INDEX(時間ごとの判定!$AQ$3:$AQ$1850,1780),{"利用可","両方停止","運転がそろわない","判定不能"},0),"○","停","×","－"),"")</f>
        <v>停</v>
      </c>
      <c r="G78" s="35" t="str">
        <f aca="false">IFERROR(CHOOSE(MATCH(INDEX(時間ごとの判定!$AQ$3:$AQ$1850,1781),{"利用可","両方停止","運転がそろわない","判定不能"},0),"○","停","×","－"),"")</f>
        <v>停</v>
      </c>
      <c r="H78" s="35" t="str">
        <f aca="false">IFERROR(CHOOSE(MATCH(INDEX(時間ごとの判定!$AQ$3:$AQ$1850,1782),{"利用可","両方停止","運転がそろわない","判定不能"},0),"○","停","×","－"),"")</f>
        <v>停</v>
      </c>
      <c r="I78" s="35" t="str">
        <f aca="false">IFERROR(CHOOSE(MATCH(INDEX(時間ごとの判定!$AQ$3:$AQ$1850,1783),{"利用可","両方停止","運転がそろわない","判定不能"},0),"○","停","×","－"),"")</f>
        <v>停</v>
      </c>
      <c r="J78" s="35" t="str">
        <f aca="false">IFERROR(CHOOSE(MATCH(INDEX(時間ごとの判定!$AQ$3:$AQ$1850,1784),{"利用可","両方停止","運転がそろわない","判定不能"},0),"○","停","×","－"),"")</f>
        <v>停</v>
      </c>
      <c r="K78" s="35" t="str">
        <f aca="false">IFERROR(CHOOSE(MATCH(INDEX(時間ごとの判定!$AQ$3:$AQ$1850,1785),{"利用可","両方停止","運転がそろわない","判定不能"},0),"○","停","×","－"),"")</f>
        <v>○</v>
      </c>
      <c r="L78" s="35" t="str">
        <f aca="false">IFERROR(CHOOSE(MATCH(INDEX(時間ごとの判定!$AQ$3:$AQ$1850,1786),{"利用可","両方停止","運転がそろわない","判定不能"},0),"○","停","×","－"),"")</f>
        <v>○</v>
      </c>
      <c r="M78" s="35" t="str">
        <f aca="false">IFERROR(CHOOSE(MATCH(INDEX(時間ごとの判定!$AQ$3:$AQ$1850,1787),{"利用可","両方停止","運転がそろわない","判定不能"},0),"○","停","×","－"),"")</f>
        <v>×</v>
      </c>
      <c r="N78" s="35" t="str">
        <f aca="false">IFERROR(CHOOSE(MATCH(INDEX(時間ごとの判定!$AQ$3:$AQ$1850,1788),{"利用可","両方停止","運転がそろわない","判定不能"},0),"○","停","×","－"),"")</f>
        <v>○</v>
      </c>
      <c r="O78" s="35" t="str">
        <f aca="false">IFERROR(CHOOSE(MATCH(INDEX(時間ごとの判定!$AQ$3:$AQ$1850,1789),{"利用可","両方停止","運転がそろわない","判定不能"},0),"○","停","×","－"),"")</f>
        <v>○</v>
      </c>
      <c r="P78" s="35" t="str">
        <f aca="false">IFERROR(CHOOSE(MATCH(INDEX(時間ごとの判定!$AQ$3:$AQ$1850,1790),{"利用可","両方停止","運転がそろわない","判定不能"},0),"○","停","×","－"),"")</f>
        <v>○</v>
      </c>
      <c r="Q78" s="35" t="str">
        <f aca="false">IFERROR(CHOOSE(MATCH(INDEX(時間ごとの判定!$AQ$3:$AQ$1850,1791),{"利用可","両方停止","運転がそろわない","判定不能"},0),"○","停","×","－"),"")</f>
        <v>○</v>
      </c>
      <c r="R78" s="35" t="str">
        <f aca="false">IFERROR(CHOOSE(MATCH(INDEX(時間ごとの判定!$AQ$3:$AQ$1850,1792),{"利用可","両方停止","運転がそろわない","判定不能"},0),"○","停","×","－"),"")</f>
        <v>○</v>
      </c>
      <c r="S78" s="35" t="str">
        <f aca="false">IFERROR(CHOOSE(MATCH(INDEX(時間ごとの判定!$AQ$3:$AQ$1850,1793),{"利用可","両方停止","運転がそろわない","判定不能"},0),"○","停","×","－"),"")</f>
        <v>×</v>
      </c>
      <c r="T78" s="35" t="str">
        <f aca="false">IFERROR(CHOOSE(MATCH(INDEX(時間ごとの判定!$AQ$3:$AQ$1850,1794),{"利用可","両方停止","運転がそろわない","判定不能"},0),"○","停","×","－"),"")</f>
        <v>×</v>
      </c>
      <c r="U78" s="35" t="str">
        <f aca="false">IFERROR(CHOOSE(MATCH(INDEX(時間ごとの判定!$AQ$3:$AQ$1850,1795),{"利用可","両方停止","運転がそろわない","判定不能"},0),"○","停","×","－"),"")</f>
        <v>×</v>
      </c>
      <c r="V78" s="35" t="str">
        <f aca="false">IFERROR(CHOOSE(MATCH(INDEX(時間ごとの判定!$AQ$3:$AQ$1850,1796),{"利用可","両方停止","運転がそろわない","判定不能"},0),"○","停","×","－"),"")</f>
        <v>停</v>
      </c>
      <c r="W78" s="35" t="str">
        <f aca="false">IFERROR(CHOOSE(MATCH(INDEX(時間ごとの判定!$AQ$3:$AQ$1850,1797),{"利用可","両方停止","運転がそろわない","判定不能"},0),"○","停","×","－"),"")</f>
        <v>停</v>
      </c>
      <c r="X78" s="35" t="str">
        <f aca="false">IFERROR(CHOOSE(MATCH(INDEX(時間ごとの判定!$AQ$3:$AQ$1850,1798),{"利用可","両方停止","運転がそろわない","判定不能"},0),"○","停","×","－"),"")</f>
        <v>停</v>
      </c>
      <c r="Y78" s="35" t="str">
        <f aca="false">IFERROR(CHOOSE(MATCH(INDEX(時間ごとの判定!$AQ$3:$AQ$1850,1799),{"利用可","両方停止","運転がそろわない","判定不能"},0),"○","停","×","－"),"")</f>
        <v>停</v>
      </c>
      <c r="Z78" s="35" t="str">
        <f aca="false">IFERROR(CHOOSE(MATCH(INDEX(時間ごとの判定!$AQ$3:$AQ$1850,1800),{"利用可","両方停止","運転がそろわない","判定不能"},0),"○","停","×","－"),"")</f>
        <v>停</v>
      </c>
      <c r="AA78" s="35"/>
      <c r="AB78" s="35" t="str">
        <f aca="false">IFERROR(CHOOSE(MATCH(INDEX(時間ごとの判定!$AT$3:$AT$1850,1777),{"利用可","両方停止","運転がそろわない","判定不能"},0),"○","停","×","－"),"")</f>
        <v>停</v>
      </c>
      <c r="AC78" s="35" t="str">
        <f aca="false">IFERROR(CHOOSE(MATCH(INDEX(時間ごとの判定!$AT$3:$AT$1850,1778),{"利用可","両方停止","運転がそろわない","判定不能"},0),"○","停","×","－"),"")</f>
        <v>停</v>
      </c>
      <c r="AD78" s="35" t="str">
        <f aca="false">IFERROR(CHOOSE(MATCH(INDEX(時間ごとの判定!$AT$3:$AT$1850,1779),{"利用可","両方停止","運転がそろわない","判定不能"},0),"○","停","×","－"),"")</f>
        <v>停</v>
      </c>
      <c r="AE78" s="35" t="str">
        <f aca="false">IFERROR(CHOOSE(MATCH(INDEX(時間ごとの判定!$AT$3:$AT$1850,1780),{"利用可","両方停止","運転がそろわない","判定不能"},0),"○","停","×","－"),"")</f>
        <v>停</v>
      </c>
      <c r="AF78" s="35" t="str">
        <f aca="false">IFERROR(CHOOSE(MATCH(INDEX(時間ごとの判定!$AT$3:$AT$1850,1781),{"利用可","両方停止","運転がそろわない","判定不能"},0),"○","停","×","－"),"")</f>
        <v>停</v>
      </c>
      <c r="AG78" s="35" t="str">
        <f aca="false">IFERROR(CHOOSE(MATCH(INDEX(時間ごとの判定!$AT$3:$AT$1850,1782),{"利用可","両方停止","運転がそろわない","判定不能"},0),"○","停","×","－"),"")</f>
        <v>停</v>
      </c>
      <c r="AH78" s="35" t="str">
        <f aca="false">IFERROR(CHOOSE(MATCH(INDEX(時間ごとの判定!$AT$3:$AT$1850,1783),{"利用可","両方停止","運転がそろわない","判定不能"},0),"○","停","×","－"),"")</f>
        <v>停</v>
      </c>
      <c r="AI78" s="35" t="str">
        <f aca="false">IFERROR(CHOOSE(MATCH(INDEX(時間ごとの判定!$AT$3:$AT$1850,1784),{"利用可","両方停止","運転がそろわない","判定不能"},0),"○","停","×","－"),"")</f>
        <v>停</v>
      </c>
      <c r="AJ78" s="35" t="str">
        <f aca="false">IFERROR(CHOOSE(MATCH(INDEX(時間ごとの判定!$AT$3:$AT$1850,1785),{"利用可","両方停止","運転がそろわない","判定不能"},0),"○","停","×","－"),"")</f>
        <v>×</v>
      </c>
      <c r="AK78" s="35" t="str">
        <f aca="false">IFERROR(CHOOSE(MATCH(INDEX(時間ごとの判定!$AT$3:$AT$1850,1786),{"利用可","両方停止","運転がそろわない","判定不能"},0),"○","停","×","－"),"")</f>
        <v>×</v>
      </c>
      <c r="AL78" s="35" t="str">
        <f aca="false">IFERROR(CHOOSE(MATCH(INDEX(時間ごとの判定!$AT$3:$AT$1850,1787),{"利用可","両方停止","運転がそろわない","判定不能"},0),"○","停","×","－"),"")</f>
        <v>○</v>
      </c>
      <c r="AM78" s="35" t="str">
        <f aca="false">IFERROR(CHOOSE(MATCH(INDEX(時間ごとの判定!$AT$3:$AT$1850,1788),{"利用可","両方停止","運転がそろわない","判定不能"},0),"○","停","×","－"),"")</f>
        <v>○</v>
      </c>
      <c r="AN78" s="35" t="str">
        <f aca="false">IFERROR(CHOOSE(MATCH(INDEX(時間ごとの判定!$AT$3:$AT$1850,1789),{"利用可","両方停止","運転がそろわない","判定不能"},0),"○","停","×","－"),"")</f>
        <v>○</v>
      </c>
      <c r="AO78" s="35" t="str">
        <f aca="false">IFERROR(CHOOSE(MATCH(INDEX(時間ごとの判定!$AT$3:$AT$1850,1790),{"利用可","両方停止","運転がそろわない","判定不能"},0),"○","停","×","－"),"")</f>
        <v>○</v>
      </c>
      <c r="AP78" s="35" t="str">
        <f aca="false">IFERROR(CHOOSE(MATCH(INDEX(時間ごとの判定!$AT$3:$AT$1850,1791),{"利用可","両方停止","運転がそろわない","判定不能"},0),"○","停","×","－"),"")</f>
        <v>○</v>
      </c>
      <c r="AQ78" s="35" t="str">
        <f aca="false">IFERROR(CHOOSE(MATCH(INDEX(時間ごとの判定!$AT$3:$AT$1850,1792),{"利用可","両方停止","運転がそろわない","判定不能"},0),"○","停","×","－"),"")</f>
        <v>○</v>
      </c>
      <c r="AR78" s="35" t="str">
        <f aca="false">IFERROR(CHOOSE(MATCH(INDEX(時間ごとの判定!$AT$3:$AT$1850,1793),{"利用可","両方停止","運転がそろわない","判定不能"},0),"○","停","×","－"),"")</f>
        <v>×</v>
      </c>
      <c r="AS78" s="35" t="str">
        <f aca="false">IFERROR(CHOOSE(MATCH(INDEX(時間ごとの判定!$AT$3:$AT$1850,1794),{"利用可","両方停止","運転がそろわない","判定不能"},0),"○","停","×","－"),"")</f>
        <v>×</v>
      </c>
      <c r="AT78" s="35" t="str">
        <f aca="false">IFERROR(CHOOSE(MATCH(INDEX(時間ごとの判定!$AT$3:$AT$1850,1795),{"利用可","両方停止","運転がそろわない","判定不能"},0),"○","停","×","－"),"")</f>
        <v>×</v>
      </c>
      <c r="AU78" s="35" t="str">
        <f aca="false">IFERROR(CHOOSE(MATCH(INDEX(時間ごとの判定!$AT$3:$AT$1850,1796),{"利用可","両方停止","運転がそろわない","判定不能"},0),"○","停","×","－"),"")</f>
        <v>×</v>
      </c>
      <c r="AV78" s="35" t="str">
        <f aca="false">IFERROR(CHOOSE(MATCH(INDEX(時間ごとの判定!$AT$3:$AT$1850,1797),{"利用可","両方停止","運転がそろわない","判定不能"},0),"○","停","×","－"),"")</f>
        <v>停</v>
      </c>
      <c r="AW78" s="35" t="str">
        <f aca="false">IFERROR(CHOOSE(MATCH(INDEX(時間ごとの判定!$AT$3:$AT$1850,1798),{"利用可","両方停止","運転がそろわない","判定不能"},0),"○","停","×","－"),"")</f>
        <v>停</v>
      </c>
      <c r="AX78" s="35" t="str">
        <f aca="false">IFERROR(CHOOSE(MATCH(INDEX(時間ごとの判定!$AT$3:$AT$1850,1799),{"利用可","両方停止","運転がそろわない","判定不能"},0),"○","停","×","－"),"")</f>
        <v>停</v>
      </c>
      <c r="AY78" s="35" t="str">
        <f aca="false">IFERROR(CHOOSE(MATCH(INDEX(時間ごとの判定!$AT$3:$AT$1850,1800),{"利用可","両方停止","運転がそろわない","判定不能"},0),"○","停","×","－"),"")</f>
        <v>停</v>
      </c>
      <c r="AZ78" s="35"/>
      <c r="BA78" s="35" t="str">
        <f aca="false">IFERROR(CHOOSE(MATCH(INDEX(時間ごとの判定!$AW$3:$AW$1850,1777),{"利用可","両方停止","運転がそろわない","判定不能"},0),"○","停","×","－"),"")</f>
        <v>停</v>
      </c>
      <c r="BB78" s="35" t="str">
        <f aca="false">IFERROR(CHOOSE(MATCH(INDEX(時間ごとの判定!$AW$3:$AW$1850,1778),{"利用可","両方停止","運転がそろわない","判定不能"},0),"○","停","×","－"),"")</f>
        <v>停</v>
      </c>
      <c r="BC78" s="35" t="str">
        <f aca="false">IFERROR(CHOOSE(MATCH(INDEX(時間ごとの判定!$AW$3:$AW$1850,1779),{"利用可","両方停止","運転がそろわない","判定不能"},0),"○","停","×","－"),"")</f>
        <v>停</v>
      </c>
      <c r="BD78" s="35" t="str">
        <f aca="false">IFERROR(CHOOSE(MATCH(INDEX(時間ごとの判定!$AW$3:$AW$1850,1780),{"利用可","両方停止","運転がそろわない","判定不能"},0),"○","停","×","－"),"")</f>
        <v>停</v>
      </c>
      <c r="BE78" s="35" t="str">
        <f aca="false">IFERROR(CHOOSE(MATCH(INDEX(時間ごとの判定!$AW$3:$AW$1850,1781),{"利用可","両方停止","運転がそろわない","判定不能"},0),"○","停","×","－"),"")</f>
        <v>停</v>
      </c>
      <c r="BF78" s="35" t="str">
        <f aca="false">IFERROR(CHOOSE(MATCH(INDEX(時間ごとの判定!$AW$3:$AW$1850,1782),{"利用可","両方停止","運転がそろわない","判定不能"},0),"○","停","×","－"),"")</f>
        <v>停</v>
      </c>
      <c r="BG78" s="35" t="str">
        <f aca="false">IFERROR(CHOOSE(MATCH(INDEX(時間ごとの判定!$AW$3:$AW$1850,1783),{"利用可","両方停止","運転がそろわない","判定不能"},0),"○","停","×","－"),"")</f>
        <v>停</v>
      </c>
      <c r="BH78" s="35" t="str">
        <f aca="false">IFERROR(CHOOSE(MATCH(INDEX(時間ごとの判定!$AW$3:$AW$1850,1784),{"利用可","両方停止","運転がそろわない","判定不能"},0),"○","停","×","－"),"")</f>
        <v>停</v>
      </c>
      <c r="BI78" s="35" t="str">
        <f aca="false">IFERROR(CHOOSE(MATCH(INDEX(時間ごとの判定!$AW$3:$AW$1850,1785),{"利用可","両方停止","運転がそろわない","判定不能"},0),"○","停","×","－"),"")</f>
        <v>×</v>
      </c>
      <c r="BJ78" s="35" t="str">
        <f aca="false">IFERROR(CHOOSE(MATCH(INDEX(時間ごとの判定!$AW$3:$AW$1850,1786),{"利用可","両方停止","運転がそろわない","判定不能"},0),"○","停","×","－"),"")</f>
        <v>○</v>
      </c>
      <c r="BK78" s="35" t="str">
        <f aca="false">IFERROR(CHOOSE(MATCH(INDEX(時間ごとの判定!$AW$3:$AW$1850,1787),{"利用可","両方停止","運転がそろわない","判定不能"},0),"○","停","×","－"),"")</f>
        <v>○</v>
      </c>
      <c r="BL78" s="35" t="str">
        <f aca="false">IFERROR(CHOOSE(MATCH(INDEX(時間ごとの判定!$AW$3:$AW$1850,1788),{"利用可","両方停止","運転がそろわない","判定不能"},0),"○","停","×","－"),"")</f>
        <v>○</v>
      </c>
      <c r="BM78" s="35" t="str">
        <f aca="false">IFERROR(CHOOSE(MATCH(INDEX(時間ごとの判定!$AW$3:$AW$1850,1789),{"利用可","両方停止","運転がそろわない","判定不能"},0),"○","停","×","－"),"")</f>
        <v>○</v>
      </c>
      <c r="BN78" s="35" t="str">
        <f aca="false">IFERROR(CHOOSE(MATCH(INDEX(時間ごとの判定!$AW$3:$AW$1850,1790),{"利用可","両方停止","運転がそろわない","判定不能"},0),"○","停","×","－"),"")</f>
        <v>○</v>
      </c>
      <c r="BO78" s="35" t="str">
        <f aca="false">IFERROR(CHOOSE(MATCH(INDEX(時間ごとの判定!$AW$3:$AW$1850,1791),{"利用可","両方停止","運転がそろわない","判定不能"},0),"○","停","×","－"),"")</f>
        <v>○</v>
      </c>
      <c r="BP78" s="35" t="str">
        <f aca="false">IFERROR(CHOOSE(MATCH(INDEX(時間ごとの判定!$AW$3:$AW$1850,1792),{"利用可","両方停止","運転がそろわない","判定不能"},0),"○","停","×","－"),"")</f>
        <v>○</v>
      </c>
      <c r="BQ78" s="35" t="str">
        <f aca="false">IFERROR(CHOOSE(MATCH(INDEX(時間ごとの判定!$AW$3:$AW$1850,1793),{"利用可","両方停止","運転がそろわない","判定不能"},0),"○","停","×","－"),"")</f>
        <v>○</v>
      </c>
      <c r="BR78" s="35" t="str">
        <f aca="false">IFERROR(CHOOSE(MATCH(INDEX(時間ごとの判定!$AW$3:$AW$1850,1794),{"利用可","両方停止","運転がそろわない","判定不能"},0),"○","停","×","－"),"")</f>
        <v>×</v>
      </c>
      <c r="BS78" s="35" t="str">
        <f aca="false">IFERROR(CHOOSE(MATCH(INDEX(時間ごとの判定!$AW$3:$AW$1850,1795),{"利用可","両方停止","運転がそろわない","判定不能"},0),"○","停","×","－"),"")</f>
        <v>停</v>
      </c>
      <c r="BT78" s="35" t="str">
        <f aca="false">IFERROR(CHOOSE(MATCH(INDEX(時間ごとの判定!$AW$3:$AW$1850,1796),{"利用可","両方停止","運転がそろわない","判定不能"},0),"○","停","×","－"),"")</f>
        <v>停</v>
      </c>
      <c r="BU78" s="35" t="str">
        <f aca="false">IFERROR(CHOOSE(MATCH(INDEX(時間ごとの判定!$AW$3:$AW$1850,1797),{"利用可","両方停止","運転がそろわない","判定不能"},0),"○","停","×","－"),"")</f>
        <v>停</v>
      </c>
      <c r="BV78" s="35" t="str">
        <f aca="false">IFERROR(CHOOSE(MATCH(INDEX(時間ごとの判定!$AW$3:$AW$1850,1798),{"利用可","両方停止","運転がそろわない","判定不能"},0),"○","停","×","－"),"")</f>
        <v>停</v>
      </c>
      <c r="BW78" s="35" t="str">
        <f aca="false">IFERROR(CHOOSE(MATCH(INDEX(時間ごとの判定!$AW$3:$AW$1850,1799),{"利用可","両方停止","運転がそろわない","判定不能"},0),"○","停","×","－"),"")</f>
        <v>停</v>
      </c>
      <c r="BX78" s="35" t="str">
        <f aca="false">IFERROR(CHOOSE(MATCH(INDEX(時間ごとの判定!$AW$3:$AW$1850,1800),{"利用可","両方停止","運転がそろわない","判定不能"},0),"○","停","×","－"),"")</f>
        <v>停</v>
      </c>
    </row>
    <row r="79" customFormat="false" ht="15" hidden="false" customHeight="false" outlineLevel="0" collapsed="false">
      <c r="A79" s="33" t="n">
        <v>46307</v>
      </c>
      <c r="B79" s="36" t="s">
        <v>66</v>
      </c>
      <c r="C79" s="35" t="str">
        <f aca="false">IFERROR(CHOOSE(MATCH(INDEX(時間ごとの判定!$AQ$3:$AQ$1850,1801),{"利用可","両方停止","運転がそろわない","判定不能"},0),"○","停","×","－"),"")</f>
        <v>停</v>
      </c>
      <c r="D79" s="35" t="str">
        <f aca="false">IFERROR(CHOOSE(MATCH(INDEX(時間ごとの判定!$AQ$3:$AQ$1850,1802),{"利用可","両方停止","運転がそろわない","判定不能"},0),"○","停","×","－"),"")</f>
        <v>停</v>
      </c>
      <c r="E79" s="35" t="str">
        <f aca="false">IFERROR(CHOOSE(MATCH(INDEX(時間ごとの判定!$AQ$3:$AQ$1850,1803),{"利用可","両方停止","運転がそろわない","判定不能"},0),"○","停","×","－"),"")</f>
        <v>停</v>
      </c>
      <c r="F79" s="35" t="str">
        <f aca="false">IFERROR(CHOOSE(MATCH(INDEX(時間ごとの判定!$AQ$3:$AQ$1850,1804),{"利用可","両方停止","運転がそろわない","判定不能"},0),"○","停","×","－"),"")</f>
        <v>停</v>
      </c>
      <c r="G79" s="35" t="str">
        <f aca="false">IFERROR(CHOOSE(MATCH(INDEX(時間ごとの判定!$AQ$3:$AQ$1850,1805),{"利用可","両方停止","運転がそろわない","判定不能"},0),"○","停","×","－"),"")</f>
        <v>停</v>
      </c>
      <c r="H79" s="35" t="str">
        <f aca="false">IFERROR(CHOOSE(MATCH(INDEX(時間ごとの判定!$AQ$3:$AQ$1850,1806),{"利用可","両方停止","運転がそろわない","判定不能"},0),"○","停","×","－"),"")</f>
        <v>停</v>
      </c>
      <c r="I79" s="35" t="str">
        <f aca="false">IFERROR(CHOOSE(MATCH(INDEX(時間ごとの判定!$AQ$3:$AQ$1850,1807),{"利用可","両方停止","運転がそろわない","判定不能"},0),"○","停","×","－"),"")</f>
        <v>停</v>
      </c>
      <c r="J79" s="35" t="str">
        <f aca="false">IFERROR(CHOOSE(MATCH(INDEX(時間ごとの判定!$AQ$3:$AQ$1850,1808),{"利用可","両方停止","運転がそろわない","判定不能"},0),"○","停","×","－"),"")</f>
        <v>×</v>
      </c>
      <c r="K79" s="35" t="str">
        <f aca="false">IFERROR(CHOOSE(MATCH(INDEX(時間ごとの判定!$AQ$3:$AQ$1850,1809),{"利用可","両方停止","運転がそろわない","判定不能"},0),"○","停","×","－"),"")</f>
        <v>○</v>
      </c>
      <c r="L79" s="35" t="str">
        <f aca="false">IFERROR(CHOOSE(MATCH(INDEX(時間ごとの判定!$AQ$3:$AQ$1850,1810),{"利用可","両方停止","運転がそろわない","判定不能"},0),"○","停","×","－"),"")</f>
        <v>○</v>
      </c>
      <c r="M79" s="35" t="str">
        <f aca="false">IFERROR(CHOOSE(MATCH(INDEX(時間ごとの判定!$AQ$3:$AQ$1850,1811),{"利用可","両方停止","運転がそろわない","判定不能"},0),"○","停","×","－"),"")</f>
        <v>○</v>
      </c>
      <c r="N79" s="35" t="str">
        <f aca="false">IFERROR(CHOOSE(MATCH(INDEX(時間ごとの判定!$AQ$3:$AQ$1850,1812),{"利用可","両方停止","運転がそろわない","判定不能"},0),"○","停","×","－"),"")</f>
        <v>○</v>
      </c>
      <c r="O79" s="35" t="str">
        <f aca="false">IFERROR(CHOOSE(MATCH(INDEX(時間ごとの判定!$AQ$3:$AQ$1850,1813),{"利用可","両方停止","運転がそろわない","判定不能"},0),"○","停","×","－"),"")</f>
        <v>○</v>
      </c>
      <c r="P79" s="35" t="str">
        <f aca="false">IFERROR(CHOOSE(MATCH(INDEX(時間ごとの判定!$AQ$3:$AQ$1850,1814),{"利用可","両方停止","運転がそろわない","判定不能"},0),"○","停","×","－"),"")</f>
        <v>○</v>
      </c>
      <c r="Q79" s="35" t="str">
        <f aca="false">IFERROR(CHOOSE(MATCH(INDEX(時間ごとの判定!$AQ$3:$AQ$1850,1815),{"利用可","両方停止","運転がそろわない","判定不能"},0),"○","停","×","－"),"")</f>
        <v>○</v>
      </c>
      <c r="R79" s="35" t="str">
        <f aca="false">IFERROR(CHOOSE(MATCH(INDEX(時間ごとの判定!$AQ$3:$AQ$1850,1816),{"利用可","両方停止","運転がそろわない","判定不能"},0),"○","停","×","－"),"")</f>
        <v>○</v>
      </c>
      <c r="S79" s="35" t="str">
        <f aca="false">IFERROR(CHOOSE(MATCH(INDEX(時間ごとの判定!$AQ$3:$AQ$1850,1817),{"利用可","両方停止","運転がそろわない","判定不能"},0),"○","停","×","－"),"")</f>
        <v>×</v>
      </c>
      <c r="T79" s="35" t="str">
        <f aca="false">IFERROR(CHOOSE(MATCH(INDEX(時間ごとの判定!$AQ$3:$AQ$1850,1818),{"利用可","両方停止","運転がそろわない","判定不能"},0),"○","停","×","－"),"")</f>
        <v>停</v>
      </c>
      <c r="U79" s="35" t="str">
        <f aca="false">IFERROR(CHOOSE(MATCH(INDEX(時間ごとの判定!$AQ$3:$AQ$1850,1819),{"利用可","両方停止","運転がそろわない","判定不能"},0),"○","停","×","－"),"")</f>
        <v>×</v>
      </c>
      <c r="V79" s="35" t="str">
        <f aca="false">IFERROR(CHOOSE(MATCH(INDEX(時間ごとの判定!$AQ$3:$AQ$1850,1820),{"利用可","両方停止","運転がそろわない","判定不能"},0),"○","停","×","－"),"")</f>
        <v>停</v>
      </c>
      <c r="W79" s="35" t="str">
        <f aca="false">IFERROR(CHOOSE(MATCH(INDEX(時間ごとの判定!$AQ$3:$AQ$1850,1821),{"利用可","両方停止","運転がそろわない","判定不能"},0),"○","停","×","－"),"")</f>
        <v>停</v>
      </c>
      <c r="X79" s="35" t="str">
        <f aca="false">IFERROR(CHOOSE(MATCH(INDEX(時間ごとの判定!$AQ$3:$AQ$1850,1822),{"利用可","両方停止","運転がそろわない","判定不能"},0),"○","停","×","－"),"")</f>
        <v>停</v>
      </c>
      <c r="Y79" s="35" t="str">
        <f aca="false">IFERROR(CHOOSE(MATCH(INDEX(時間ごとの判定!$AQ$3:$AQ$1850,1823),{"利用可","両方停止","運転がそろわない","判定不能"},0),"○","停","×","－"),"")</f>
        <v>停</v>
      </c>
      <c r="Z79" s="35" t="str">
        <f aca="false">IFERROR(CHOOSE(MATCH(INDEX(時間ごとの判定!$AQ$3:$AQ$1850,1824),{"利用可","両方停止","運転がそろわない","判定不能"},0),"○","停","×","－"),"")</f>
        <v>停</v>
      </c>
      <c r="AA79" s="35"/>
      <c r="AB79" s="35" t="str">
        <f aca="false">IFERROR(CHOOSE(MATCH(INDEX(時間ごとの判定!$AT$3:$AT$1850,1801),{"利用可","両方停止","運転がそろわない","判定不能"},0),"○","停","×","－"),"")</f>
        <v>停</v>
      </c>
      <c r="AC79" s="35" t="str">
        <f aca="false">IFERROR(CHOOSE(MATCH(INDEX(時間ごとの判定!$AT$3:$AT$1850,1802),{"利用可","両方停止","運転がそろわない","判定不能"},0),"○","停","×","－"),"")</f>
        <v>停</v>
      </c>
      <c r="AD79" s="35" t="str">
        <f aca="false">IFERROR(CHOOSE(MATCH(INDEX(時間ごとの判定!$AT$3:$AT$1850,1803),{"利用可","両方停止","運転がそろわない","判定不能"},0),"○","停","×","－"),"")</f>
        <v>停</v>
      </c>
      <c r="AE79" s="35" t="str">
        <f aca="false">IFERROR(CHOOSE(MATCH(INDEX(時間ごとの判定!$AT$3:$AT$1850,1804),{"利用可","両方停止","運転がそろわない","判定不能"},0),"○","停","×","－"),"")</f>
        <v>停</v>
      </c>
      <c r="AF79" s="35" t="str">
        <f aca="false">IFERROR(CHOOSE(MATCH(INDEX(時間ごとの判定!$AT$3:$AT$1850,1805),{"利用可","両方停止","運転がそろわない","判定不能"},0),"○","停","×","－"),"")</f>
        <v>停</v>
      </c>
      <c r="AG79" s="35" t="str">
        <f aca="false">IFERROR(CHOOSE(MATCH(INDEX(時間ごとの判定!$AT$3:$AT$1850,1806),{"利用可","両方停止","運転がそろわない","判定不能"},0),"○","停","×","－"),"")</f>
        <v>停</v>
      </c>
      <c r="AH79" s="35" t="str">
        <f aca="false">IFERROR(CHOOSE(MATCH(INDEX(時間ごとの判定!$AT$3:$AT$1850,1807),{"利用可","両方停止","運転がそろわない","判定不能"},0),"○","停","×","－"),"")</f>
        <v>停</v>
      </c>
      <c r="AI79" s="35" t="str">
        <f aca="false">IFERROR(CHOOSE(MATCH(INDEX(時間ごとの判定!$AT$3:$AT$1850,1808),{"利用可","両方停止","運転がそろわない","判定不能"},0),"○","停","×","－"),"")</f>
        <v>×</v>
      </c>
      <c r="AJ79" s="35" t="str">
        <f aca="false">IFERROR(CHOOSE(MATCH(INDEX(時間ごとの判定!$AT$3:$AT$1850,1809),{"利用可","両方停止","運転がそろわない","判定不能"},0),"○","停","×","－"),"")</f>
        <v>×</v>
      </c>
      <c r="AK79" s="35" t="str">
        <f aca="false">IFERROR(CHOOSE(MATCH(INDEX(時間ごとの判定!$AT$3:$AT$1850,1810),{"利用可","両方停止","運転がそろわない","判定不能"},0),"○","停","×","－"),"")</f>
        <v>×</v>
      </c>
      <c r="AL79" s="35" t="str">
        <f aca="false">IFERROR(CHOOSE(MATCH(INDEX(時間ごとの判定!$AT$3:$AT$1850,1811),{"利用可","両方停止","運転がそろわない","判定不能"},0),"○","停","×","－"),"")</f>
        <v>○</v>
      </c>
      <c r="AM79" s="35" t="str">
        <f aca="false">IFERROR(CHOOSE(MATCH(INDEX(時間ごとの判定!$AT$3:$AT$1850,1812),{"利用可","両方停止","運転がそろわない","判定不能"},0),"○","停","×","－"),"")</f>
        <v>○</v>
      </c>
      <c r="AN79" s="35" t="str">
        <f aca="false">IFERROR(CHOOSE(MATCH(INDEX(時間ごとの判定!$AT$3:$AT$1850,1813),{"利用可","両方停止","運転がそろわない","判定不能"},0),"○","停","×","－"),"")</f>
        <v>○</v>
      </c>
      <c r="AO79" s="35" t="str">
        <f aca="false">IFERROR(CHOOSE(MATCH(INDEX(時間ごとの判定!$AT$3:$AT$1850,1814),{"利用可","両方停止","運転がそろわない","判定不能"},0),"○","停","×","－"),"")</f>
        <v>○</v>
      </c>
      <c r="AP79" s="35" t="str">
        <f aca="false">IFERROR(CHOOSE(MATCH(INDEX(時間ごとの判定!$AT$3:$AT$1850,1815),{"利用可","両方停止","運転がそろわない","判定不能"},0),"○","停","×","－"),"")</f>
        <v>○</v>
      </c>
      <c r="AQ79" s="35" t="str">
        <f aca="false">IFERROR(CHOOSE(MATCH(INDEX(時間ごとの判定!$AT$3:$AT$1850,1816),{"利用可","両方停止","運転がそろわない","判定不能"},0),"○","停","×","－"),"")</f>
        <v>○</v>
      </c>
      <c r="AR79" s="35" t="str">
        <f aca="false">IFERROR(CHOOSE(MATCH(INDEX(時間ごとの判定!$AT$3:$AT$1850,1817),{"利用可","両方停止","運転がそろわない","判定不能"},0),"○","停","×","－"),"")</f>
        <v>×</v>
      </c>
      <c r="AS79" s="35" t="str">
        <f aca="false">IFERROR(CHOOSE(MATCH(INDEX(時間ごとの判定!$AT$3:$AT$1850,1818),{"利用可","両方停止","運転がそろわない","判定不能"},0),"○","停","×","－"),"")</f>
        <v>×</v>
      </c>
      <c r="AT79" s="35" t="str">
        <f aca="false">IFERROR(CHOOSE(MATCH(INDEX(時間ごとの判定!$AT$3:$AT$1850,1819),{"利用可","両方停止","運転がそろわない","判定不能"},0),"○","停","×","－"),"")</f>
        <v>×</v>
      </c>
      <c r="AU79" s="35" t="str">
        <f aca="false">IFERROR(CHOOSE(MATCH(INDEX(時間ごとの判定!$AT$3:$AT$1850,1820),{"利用可","両方停止","運転がそろわない","判定不能"},0),"○","停","×","－"),"")</f>
        <v>停</v>
      </c>
      <c r="AV79" s="35" t="str">
        <f aca="false">IFERROR(CHOOSE(MATCH(INDEX(時間ごとの判定!$AT$3:$AT$1850,1821),{"利用可","両方停止","運転がそろわない","判定不能"},0),"○","停","×","－"),"")</f>
        <v>停</v>
      </c>
      <c r="AW79" s="35" t="str">
        <f aca="false">IFERROR(CHOOSE(MATCH(INDEX(時間ごとの判定!$AT$3:$AT$1850,1822),{"利用可","両方停止","運転がそろわない","判定不能"},0),"○","停","×","－"),"")</f>
        <v>停</v>
      </c>
      <c r="AX79" s="35" t="str">
        <f aca="false">IFERROR(CHOOSE(MATCH(INDEX(時間ごとの判定!$AT$3:$AT$1850,1823),{"利用可","両方停止","運転がそろわない","判定不能"},0),"○","停","×","－"),"")</f>
        <v>停</v>
      </c>
      <c r="AY79" s="35" t="str">
        <f aca="false">IFERROR(CHOOSE(MATCH(INDEX(時間ごとの判定!$AT$3:$AT$1850,1824),{"利用可","両方停止","運転がそろわない","判定不能"},0),"○","停","×","－"),"")</f>
        <v>停</v>
      </c>
      <c r="AZ79" s="35"/>
      <c r="BA79" s="35" t="str">
        <f aca="false">IFERROR(CHOOSE(MATCH(INDEX(時間ごとの判定!$AW$3:$AW$1850,1801),{"利用可","両方停止","運転がそろわない","判定不能"},0),"○","停","×","－"),"")</f>
        <v>停</v>
      </c>
      <c r="BB79" s="35" t="str">
        <f aca="false">IFERROR(CHOOSE(MATCH(INDEX(時間ごとの判定!$AW$3:$AW$1850,1802),{"利用可","両方停止","運転がそろわない","判定不能"},0),"○","停","×","－"),"")</f>
        <v>停</v>
      </c>
      <c r="BC79" s="35" t="str">
        <f aca="false">IFERROR(CHOOSE(MATCH(INDEX(時間ごとの判定!$AW$3:$AW$1850,1803),{"利用可","両方停止","運転がそろわない","判定不能"},0),"○","停","×","－"),"")</f>
        <v>停</v>
      </c>
      <c r="BD79" s="35" t="str">
        <f aca="false">IFERROR(CHOOSE(MATCH(INDEX(時間ごとの判定!$AW$3:$AW$1850,1804),{"利用可","両方停止","運転がそろわない","判定不能"},0),"○","停","×","－"),"")</f>
        <v>停</v>
      </c>
      <c r="BE79" s="35" t="str">
        <f aca="false">IFERROR(CHOOSE(MATCH(INDEX(時間ごとの判定!$AW$3:$AW$1850,1805),{"利用可","両方停止","運転がそろわない","判定不能"},0),"○","停","×","－"),"")</f>
        <v>停</v>
      </c>
      <c r="BF79" s="35" t="str">
        <f aca="false">IFERROR(CHOOSE(MATCH(INDEX(時間ごとの判定!$AW$3:$AW$1850,1806),{"利用可","両方停止","運転がそろわない","判定不能"},0),"○","停","×","－"),"")</f>
        <v>停</v>
      </c>
      <c r="BG79" s="35" t="str">
        <f aca="false">IFERROR(CHOOSE(MATCH(INDEX(時間ごとの判定!$AW$3:$AW$1850,1807),{"利用可","両方停止","運転がそろわない","判定不能"},0),"○","停","×","－"),"")</f>
        <v>停</v>
      </c>
      <c r="BH79" s="35" t="str">
        <f aca="false">IFERROR(CHOOSE(MATCH(INDEX(時間ごとの判定!$AW$3:$AW$1850,1808),{"利用可","両方停止","運転がそろわない","判定不能"},0),"○","停","×","－"),"")</f>
        <v>×</v>
      </c>
      <c r="BI79" s="35" t="str">
        <f aca="false">IFERROR(CHOOSE(MATCH(INDEX(時間ごとの判定!$AW$3:$AW$1850,1809),{"利用可","両方停止","運転がそろわない","判定不能"},0),"○","停","×","－"),"")</f>
        <v>×</v>
      </c>
      <c r="BJ79" s="35" t="str">
        <f aca="false">IFERROR(CHOOSE(MATCH(INDEX(時間ごとの判定!$AW$3:$AW$1850,1810),{"利用可","両方停止","運転がそろわない","判定不能"},0),"○","停","×","－"),"")</f>
        <v>○</v>
      </c>
      <c r="BK79" s="35" t="str">
        <f aca="false">IFERROR(CHOOSE(MATCH(INDEX(時間ごとの判定!$AW$3:$AW$1850,1811),{"利用可","両方停止","運転がそろわない","判定不能"},0),"○","停","×","－"),"")</f>
        <v>○</v>
      </c>
      <c r="BL79" s="35" t="str">
        <f aca="false">IFERROR(CHOOSE(MATCH(INDEX(時間ごとの判定!$AW$3:$AW$1850,1812),{"利用可","両方停止","運転がそろわない","判定不能"},0),"○","停","×","－"),"")</f>
        <v>○</v>
      </c>
      <c r="BM79" s="35" t="str">
        <f aca="false">IFERROR(CHOOSE(MATCH(INDEX(時間ごとの判定!$AW$3:$AW$1850,1813),{"利用可","両方停止","運転がそろわない","判定不能"},0),"○","停","×","－"),"")</f>
        <v>○</v>
      </c>
      <c r="BN79" s="35" t="str">
        <f aca="false">IFERROR(CHOOSE(MATCH(INDEX(時間ごとの判定!$AW$3:$AW$1850,1814),{"利用可","両方停止","運転がそろわない","判定不能"},0),"○","停","×","－"),"")</f>
        <v>○</v>
      </c>
      <c r="BO79" s="35" t="str">
        <f aca="false">IFERROR(CHOOSE(MATCH(INDEX(時間ごとの判定!$AW$3:$AW$1850,1815),{"利用可","両方停止","運転がそろわない","判定不能"},0),"○","停","×","－"),"")</f>
        <v>○</v>
      </c>
      <c r="BP79" s="35" t="str">
        <f aca="false">IFERROR(CHOOSE(MATCH(INDEX(時間ごとの判定!$AW$3:$AW$1850,1816),{"利用可","両方停止","運転がそろわない","判定不能"},0),"○","停","×","－"),"")</f>
        <v>○</v>
      </c>
      <c r="BQ79" s="35" t="str">
        <f aca="false">IFERROR(CHOOSE(MATCH(INDEX(時間ごとの判定!$AW$3:$AW$1850,1817),{"利用可","両方停止","運転がそろわない","判定不能"},0),"○","停","×","－"),"")</f>
        <v>○</v>
      </c>
      <c r="BR79" s="35" t="str">
        <f aca="false">IFERROR(CHOOSE(MATCH(INDEX(時間ごとの判定!$AW$3:$AW$1850,1818),{"利用可","両方停止","運転がそろわない","判定不能"},0),"○","停","×","－"),"")</f>
        <v>×</v>
      </c>
      <c r="BS79" s="35" t="str">
        <f aca="false">IFERROR(CHOOSE(MATCH(INDEX(時間ごとの判定!$AW$3:$AW$1850,1819),{"利用可","両方停止","運転がそろわない","判定不能"},0),"○","停","×","－"),"")</f>
        <v>×</v>
      </c>
      <c r="BT79" s="35" t="str">
        <f aca="false">IFERROR(CHOOSE(MATCH(INDEX(時間ごとの判定!$AW$3:$AW$1850,1820),{"利用可","両方停止","運転がそろわない","判定不能"},0),"○","停","×","－"),"")</f>
        <v>停</v>
      </c>
      <c r="BU79" s="35" t="str">
        <f aca="false">IFERROR(CHOOSE(MATCH(INDEX(時間ごとの判定!$AW$3:$AW$1850,1821),{"利用可","両方停止","運転がそろわない","判定不能"},0),"○","停","×","－"),"")</f>
        <v>停</v>
      </c>
      <c r="BV79" s="35" t="str">
        <f aca="false">IFERROR(CHOOSE(MATCH(INDEX(時間ごとの判定!$AW$3:$AW$1850,1822),{"利用可","両方停止","運転がそろわない","判定不能"},0),"○","停","×","－"),"")</f>
        <v>停</v>
      </c>
      <c r="BW79" s="35" t="str">
        <f aca="false">IFERROR(CHOOSE(MATCH(INDEX(時間ごとの判定!$AW$3:$AW$1850,1823),{"利用可","両方停止","運転がそろわない","判定不能"},0),"○","停","×","－"),"")</f>
        <v>停</v>
      </c>
      <c r="BX79" s="35" t="str">
        <f aca="false">IFERROR(CHOOSE(MATCH(INDEX(時間ごとの判定!$AW$3:$AW$1850,1824),{"利用可","両方停止","運転がそろわない","判定不能"},0),"○","停","×","－"),"")</f>
        <v>×</v>
      </c>
    </row>
    <row r="80" customFormat="false" ht="15" hidden="false" customHeight="false" outlineLevel="0" collapsed="false">
      <c r="A80" s="33" t="n">
        <v>46308</v>
      </c>
      <c r="B80" s="34" t="s">
        <v>67</v>
      </c>
      <c r="C80" s="35" t="str">
        <f aca="false">IFERROR(CHOOSE(MATCH(INDEX(時間ごとの判定!$AQ$3:$AQ$1850,1825),{"利用可","両方停止","運転がそろわない","判定不能"},0),"○","停","×","－"),"")</f>
        <v>停</v>
      </c>
      <c r="D80" s="35" t="str">
        <f aca="false">IFERROR(CHOOSE(MATCH(INDEX(時間ごとの判定!$AQ$3:$AQ$1850,1826),{"利用可","両方停止","運転がそろわない","判定不能"},0),"○","停","×","－"),"")</f>
        <v>停</v>
      </c>
      <c r="E80" s="35" t="str">
        <f aca="false">IFERROR(CHOOSE(MATCH(INDEX(時間ごとの判定!$AQ$3:$AQ$1850,1827),{"利用可","両方停止","運転がそろわない","判定不能"},0),"○","停","×","－"),"")</f>
        <v>停</v>
      </c>
      <c r="F80" s="35" t="str">
        <f aca="false">IFERROR(CHOOSE(MATCH(INDEX(時間ごとの判定!$AQ$3:$AQ$1850,1828),{"利用可","両方停止","運転がそろわない","判定不能"},0),"○","停","×","－"),"")</f>
        <v>停</v>
      </c>
      <c r="G80" s="35" t="str">
        <f aca="false">IFERROR(CHOOSE(MATCH(INDEX(時間ごとの判定!$AQ$3:$AQ$1850,1829),{"利用可","両方停止","運転がそろわない","判定不能"},0),"○","停","×","－"),"")</f>
        <v>停</v>
      </c>
      <c r="H80" s="35" t="str">
        <f aca="false">IFERROR(CHOOSE(MATCH(INDEX(時間ごとの判定!$AQ$3:$AQ$1850,1830),{"利用可","両方停止","運転がそろわない","判定不能"},0),"○","停","×","－"),"")</f>
        <v>×</v>
      </c>
      <c r="I80" s="35" t="str">
        <f aca="false">IFERROR(CHOOSE(MATCH(INDEX(時間ごとの判定!$AQ$3:$AQ$1850,1831),{"利用可","両方停止","運転がそろわない","判定不能"},0),"○","停","×","－"),"")</f>
        <v>停</v>
      </c>
      <c r="J80" s="35" t="str">
        <f aca="false">IFERROR(CHOOSE(MATCH(INDEX(時間ごとの判定!$AQ$3:$AQ$1850,1832),{"利用可","両方停止","運転がそろわない","判定不能"},0),"○","停","×","－"),"")</f>
        <v>停</v>
      </c>
      <c r="K80" s="35" t="str">
        <f aca="false">IFERROR(CHOOSE(MATCH(INDEX(時間ごとの判定!$AQ$3:$AQ$1850,1833),{"利用可","両方停止","運転がそろわない","判定不能"},0),"○","停","×","－"),"")</f>
        <v>×</v>
      </c>
      <c r="L80" s="35" t="str">
        <f aca="false">IFERROR(CHOOSE(MATCH(INDEX(時間ごとの判定!$AQ$3:$AQ$1850,1834),{"利用可","両方停止","運転がそろわない","判定不能"},0),"○","停","×","－"),"")</f>
        <v>×</v>
      </c>
      <c r="M80" s="35" t="str">
        <f aca="false">IFERROR(CHOOSE(MATCH(INDEX(時間ごとの判定!$AQ$3:$AQ$1850,1835),{"利用可","両方停止","運転がそろわない","判定不能"},0),"○","停","×","－"),"")</f>
        <v>×</v>
      </c>
      <c r="N80" s="35" t="str">
        <f aca="false">IFERROR(CHOOSE(MATCH(INDEX(時間ごとの判定!$AQ$3:$AQ$1850,1836),{"利用可","両方停止","運転がそろわない","判定不能"},0),"○","停","×","－"),"")</f>
        <v>○</v>
      </c>
      <c r="O80" s="35" t="str">
        <f aca="false">IFERROR(CHOOSE(MATCH(INDEX(時間ごとの判定!$AQ$3:$AQ$1850,1837),{"利用可","両方停止","運転がそろわない","判定不能"},0),"○","停","×","－"),"")</f>
        <v>×</v>
      </c>
      <c r="P80" s="35" t="str">
        <f aca="false">IFERROR(CHOOSE(MATCH(INDEX(時間ごとの判定!$AQ$3:$AQ$1850,1838),{"利用可","両方停止","運転がそろわない","判定不能"},0),"○","停","×","－"),"")</f>
        <v>○</v>
      </c>
      <c r="Q80" s="35" t="str">
        <f aca="false">IFERROR(CHOOSE(MATCH(INDEX(時間ごとの判定!$AQ$3:$AQ$1850,1839),{"利用可","両方停止","運転がそろわない","判定不能"},0),"○","停","×","－"),"")</f>
        <v>－</v>
      </c>
      <c r="R80" s="35" t="str">
        <f aca="false">IFERROR(CHOOSE(MATCH(INDEX(時間ごとの判定!$AQ$3:$AQ$1850,1840),{"利用可","両方停止","運転がそろわない","判定不能"},0),"○","停","×","－"),"")</f>
        <v>－</v>
      </c>
      <c r="S80" s="35" t="str">
        <f aca="false">IFERROR(CHOOSE(MATCH(INDEX(時間ごとの判定!$AQ$3:$AQ$1850,1841),{"利用可","両方停止","運転がそろわない","判定不能"},0),"○","停","×","－"),"")</f>
        <v>－</v>
      </c>
      <c r="T80" s="35" t="str">
        <f aca="false">IFERROR(CHOOSE(MATCH(INDEX(時間ごとの判定!$AQ$3:$AQ$1850,1842),{"利用可","両方停止","運転がそろわない","判定不能"},0),"○","停","×","－"),"")</f>
        <v>－</v>
      </c>
      <c r="U80" s="35" t="str">
        <f aca="false">IFERROR(CHOOSE(MATCH(INDEX(時間ごとの判定!$AQ$3:$AQ$1850,1843),{"利用可","両方停止","運転がそろわない","判定不能"},0),"○","停","×","－"),"")</f>
        <v>－</v>
      </c>
      <c r="V80" s="35" t="str">
        <f aca="false">IFERROR(CHOOSE(MATCH(INDEX(時間ごとの判定!$AQ$3:$AQ$1850,1844),{"利用可","両方停止","運転がそろわない","判定不能"},0),"○","停","×","－"),"")</f>
        <v>－</v>
      </c>
      <c r="W80" s="35" t="str">
        <f aca="false">IFERROR(CHOOSE(MATCH(INDEX(時間ごとの判定!$AQ$3:$AQ$1850,1845),{"利用可","両方停止","運転がそろわない","判定不能"},0),"○","停","×","－"),"")</f>
        <v>－</v>
      </c>
      <c r="X80" s="35" t="str">
        <f aca="false">IFERROR(CHOOSE(MATCH(INDEX(時間ごとの判定!$AQ$3:$AQ$1850,1846),{"利用可","両方停止","運転がそろわない","判定不能"},0),"○","停","×","－"),"")</f>
        <v>－</v>
      </c>
      <c r="Y80" s="35" t="str">
        <f aca="false">IFERROR(CHOOSE(MATCH(INDEX(時間ごとの判定!$AQ$3:$AQ$1850,1847),{"利用可","両方停止","運転がそろわない","判定不能"},0),"○","停","×","－"),"")</f>
        <v>－</v>
      </c>
      <c r="Z80" s="35" t="str">
        <f aca="false">IFERROR(CHOOSE(MATCH(INDEX(時間ごとの判定!$AQ$3:$AQ$1850,1848),{"利用可","両方停止","運転がそろわない","判定不能"},0),"○","停","×","－"),"")</f>
        <v>－</v>
      </c>
      <c r="AA80" s="35"/>
      <c r="AB80" s="35" t="str">
        <f aca="false">IFERROR(CHOOSE(MATCH(INDEX(時間ごとの判定!$AT$3:$AT$1850,1825),{"利用可","両方停止","運転がそろわない","判定不能"},0),"○","停","×","－"),"")</f>
        <v>×</v>
      </c>
      <c r="AC80" s="35" t="str">
        <f aca="false">IFERROR(CHOOSE(MATCH(INDEX(時間ごとの判定!$AT$3:$AT$1850,1826),{"利用可","両方停止","運転がそろわない","判定不能"},0),"○","停","×","－"),"")</f>
        <v>停</v>
      </c>
      <c r="AD80" s="35" t="str">
        <f aca="false">IFERROR(CHOOSE(MATCH(INDEX(時間ごとの判定!$AT$3:$AT$1850,1827),{"利用可","両方停止","運転がそろわない","判定不能"},0),"○","停","×","－"),"")</f>
        <v>停</v>
      </c>
      <c r="AE80" s="35" t="str">
        <f aca="false">IFERROR(CHOOSE(MATCH(INDEX(時間ごとの判定!$AT$3:$AT$1850,1828),{"利用可","両方停止","運転がそろわない","判定不能"},0),"○","停","×","－"),"")</f>
        <v>停</v>
      </c>
      <c r="AF80" s="35" t="str">
        <f aca="false">IFERROR(CHOOSE(MATCH(INDEX(時間ごとの判定!$AT$3:$AT$1850,1829),{"利用可","両方停止","運転がそろわない","判定不能"},0),"○","停","×","－"),"")</f>
        <v>停</v>
      </c>
      <c r="AG80" s="35" t="str">
        <f aca="false">IFERROR(CHOOSE(MATCH(INDEX(時間ごとの判定!$AT$3:$AT$1850,1830),{"利用可","両方停止","運転がそろわない","判定不能"},0),"○","停","×","－"),"")</f>
        <v>停</v>
      </c>
      <c r="AH80" s="35" t="str">
        <f aca="false">IFERROR(CHOOSE(MATCH(INDEX(時間ごとの判定!$AT$3:$AT$1850,1831),{"利用可","両方停止","運転がそろわない","判定不能"},0),"○","停","×","－"),"")</f>
        <v>×</v>
      </c>
      <c r="AI80" s="35" t="str">
        <f aca="false">IFERROR(CHOOSE(MATCH(INDEX(時間ごとの判定!$AT$3:$AT$1850,1832),{"利用可","両方停止","運転がそろわない","判定不能"},0),"○","停","×","－"),"")</f>
        <v>×</v>
      </c>
      <c r="AJ80" s="35" t="str">
        <f aca="false">IFERROR(CHOOSE(MATCH(INDEX(時間ごとの判定!$AT$3:$AT$1850,1833),{"利用可","両方停止","運転がそろわない","判定不能"},0),"○","停","×","－"),"")</f>
        <v>×</v>
      </c>
      <c r="AK80" s="35" t="str">
        <f aca="false">IFERROR(CHOOSE(MATCH(INDEX(時間ごとの判定!$AT$3:$AT$1850,1834),{"利用可","両方停止","運転がそろわない","判定不能"},0),"○","停","×","－"),"")</f>
        <v>×</v>
      </c>
      <c r="AL80" s="35" t="str">
        <f aca="false">IFERROR(CHOOSE(MATCH(INDEX(時間ごとの判定!$AT$3:$AT$1850,1835),{"利用可","両方停止","運転がそろわない","判定不能"},0),"○","停","×","－"),"")</f>
        <v>×</v>
      </c>
      <c r="AM80" s="35" t="str">
        <f aca="false">IFERROR(CHOOSE(MATCH(INDEX(時間ごとの判定!$AT$3:$AT$1850,1836),{"利用可","両方停止","運転がそろわない","判定不能"},0),"○","停","×","－"),"")</f>
        <v>○</v>
      </c>
      <c r="AN80" s="35" t="str">
        <f aca="false">IFERROR(CHOOSE(MATCH(INDEX(時間ごとの判定!$AT$3:$AT$1850,1837),{"利用可","両方停止","運転がそろわない","判定不能"},0),"○","停","×","－"),"")</f>
        <v>○</v>
      </c>
      <c r="AO80" s="35" t="str">
        <f aca="false">IFERROR(CHOOSE(MATCH(INDEX(時間ごとの判定!$AT$3:$AT$1850,1838),{"利用可","両方停止","運転がそろわない","判定不能"},0),"○","停","×","－"),"")</f>
        <v>○</v>
      </c>
      <c r="AP80" s="35" t="str">
        <f aca="false">IFERROR(CHOOSE(MATCH(INDEX(時間ごとの判定!$AT$3:$AT$1850,1839),{"利用可","両方停止","運転がそろわない","判定不能"},0),"○","停","×","－"),"")</f>
        <v>－</v>
      </c>
      <c r="AQ80" s="35" t="str">
        <f aca="false">IFERROR(CHOOSE(MATCH(INDEX(時間ごとの判定!$AT$3:$AT$1850,1840),{"利用可","両方停止","運転がそろわない","判定不能"},0),"○","停","×","－"),"")</f>
        <v>－</v>
      </c>
      <c r="AR80" s="35" t="str">
        <f aca="false">IFERROR(CHOOSE(MATCH(INDEX(時間ごとの判定!$AT$3:$AT$1850,1841),{"利用可","両方停止","運転がそろわない","判定不能"},0),"○","停","×","－"),"")</f>
        <v>－</v>
      </c>
      <c r="AS80" s="35" t="str">
        <f aca="false">IFERROR(CHOOSE(MATCH(INDEX(時間ごとの判定!$AT$3:$AT$1850,1842),{"利用可","両方停止","運転がそろわない","判定不能"},0),"○","停","×","－"),"")</f>
        <v>－</v>
      </c>
      <c r="AT80" s="35" t="str">
        <f aca="false">IFERROR(CHOOSE(MATCH(INDEX(時間ごとの判定!$AT$3:$AT$1850,1843),{"利用可","両方停止","運転がそろわない","判定不能"},0),"○","停","×","－"),"")</f>
        <v>－</v>
      </c>
      <c r="AU80" s="35" t="str">
        <f aca="false">IFERROR(CHOOSE(MATCH(INDEX(時間ごとの判定!$AT$3:$AT$1850,1844),{"利用可","両方停止","運転がそろわない","判定不能"},0),"○","停","×","－"),"")</f>
        <v>－</v>
      </c>
      <c r="AV80" s="35" t="str">
        <f aca="false">IFERROR(CHOOSE(MATCH(INDEX(時間ごとの判定!$AT$3:$AT$1850,1845),{"利用可","両方停止","運転がそろわない","判定不能"},0),"○","停","×","－"),"")</f>
        <v>－</v>
      </c>
      <c r="AW80" s="35" t="str">
        <f aca="false">IFERROR(CHOOSE(MATCH(INDEX(時間ごとの判定!$AT$3:$AT$1850,1846),{"利用可","両方停止","運転がそろわない","判定不能"},0),"○","停","×","－"),"")</f>
        <v>－</v>
      </c>
      <c r="AX80" s="35" t="str">
        <f aca="false">IFERROR(CHOOSE(MATCH(INDEX(時間ごとの判定!$AT$3:$AT$1850,1847),{"利用可","両方停止","運転がそろわない","判定不能"},0),"○","停","×","－"),"")</f>
        <v>－</v>
      </c>
      <c r="AY80" s="35" t="str">
        <f aca="false">IFERROR(CHOOSE(MATCH(INDEX(時間ごとの判定!$AT$3:$AT$1850,1848),{"利用可","両方停止","運転がそろわない","判定不能"},0),"○","停","×","－"),"")</f>
        <v>－</v>
      </c>
      <c r="AZ80" s="35"/>
      <c r="BA80" s="35" t="str">
        <f aca="false">IFERROR(CHOOSE(MATCH(INDEX(時間ごとの判定!$AW$3:$AW$1850,1825),{"利用可","両方停止","運転がそろわない","判定不能"},0),"○","停","×","－"),"")</f>
        <v>×</v>
      </c>
      <c r="BB80" s="35" t="str">
        <f aca="false">IFERROR(CHOOSE(MATCH(INDEX(時間ごとの判定!$AW$3:$AW$1850,1826),{"利用可","両方停止","運転がそろわない","判定不能"},0),"○","停","×","－"),"")</f>
        <v>×</v>
      </c>
      <c r="BC80" s="35" t="str">
        <f aca="false">IFERROR(CHOOSE(MATCH(INDEX(時間ごとの判定!$AW$3:$AW$1850,1827),{"利用可","両方停止","運転がそろわない","判定不能"},0),"○","停","×","－"),"")</f>
        <v>×</v>
      </c>
      <c r="BD80" s="35" t="str">
        <f aca="false">IFERROR(CHOOSE(MATCH(INDEX(時間ごとの判定!$AW$3:$AW$1850,1828),{"利用可","両方停止","運転がそろわない","判定不能"},0),"○","停","×","－"),"")</f>
        <v>停</v>
      </c>
      <c r="BE80" s="35" t="str">
        <f aca="false">IFERROR(CHOOSE(MATCH(INDEX(時間ごとの判定!$AW$3:$AW$1850,1829),{"利用可","両方停止","運転がそろわない","判定不能"},0),"○","停","×","－"),"")</f>
        <v>停</v>
      </c>
      <c r="BF80" s="35" t="str">
        <f aca="false">IFERROR(CHOOSE(MATCH(INDEX(時間ごとの判定!$AW$3:$AW$1850,1830),{"利用可","両方停止","運転がそろわない","判定不能"},0),"○","停","×","－"),"")</f>
        <v>停</v>
      </c>
      <c r="BG80" s="35" t="str">
        <f aca="false">IFERROR(CHOOSE(MATCH(INDEX(時間ごとの判定!$AW$3:$AW$1850,1831),{"利用可","両方停止","運転がそろわない","判定不能"},0),"○","停","×","－"),"")</f>
        <v>×</v>
      </c>
      <c r="BH80" s="35" t="str">
        <f aca="false">IFERROR(CHOOSE(MATCH(INDEX(時間ごとの判定!$AW$3:$AW$1850,1832),{"利用可","両方停止","運転がそろわない","判定不能"},0),"○","停","×","－"),"")</f>
        <v>×</v>
      </c>
      <c r="BI80" s="35" t="str">
        <f aca="false">IFERROR(CHOOSE(MATCH(INDEX(時間ごとの判定!$AW$3:$AW$1850,1833),{"利用可","両方停止","運転がそろわない","判定不能"},0),"○","停","×","－"),"")</f>
        <v>×</v>
      </c>
      <c r="BJ80" s="35" t="str">
        <f aca="false">IFERROR(CHOOSE(MATCH(INDEX(時間ごとの判定!$AW$3:$AW$1850,1834),{"利用可","両方停止","運転がそろわない","判定不能"},0),"○","停","×","－"),"")</f>
        <v>×</v>
      </c>
      <c r="BK80" s="35" t="str">
        <f aca="false">IFERROR(CHOOSE(MATCH(INDEX(時間ごとの判定!$AW$3:$AW$1850,1835),{"利用可","両方停止","運転がそろわない","判定不能"},0),"○","停","×","－"),"")</f>
        <v>○</v>
      </c>
      <c r="BL80" s="35" t="str">
        <f aca="false">IFERROR(CHOOSE(MATCH(INDEX(時間ごとの判定!$AW$3:$AW$1850,1836),{"利用可","両方停止","運転がそろわない","判定不能"},0),"○","停","×","－"),"")</f>
        <v>○</v>
      </c>
      <c r="BM80" s="35" t="str">
        <f aca="false">IFERROR(CHOOSE(MATCH(INDEX(時間ごとの判定!$AW$3:$AW$1850,1837),{"利用可","両方停止","運転がそろわない","判定不能"},0),"○","停","×","－"),"")</f>
        <v>○</v>
      </c>
      <c r="BN80" s="35" t="str">
        <f aca="false">IFERROR(CHOOSE(MATCH(INDEX(時間ごとの判定!$AW$3:$AW$1850,1838),{"利用可","両方停止","運転がそろわない","判定不能"},0),"○","停","×","－"),"")</f>
        <v>○</v>
      </c>
      <c r="BO80" s="35" t="str">
        <f aca="false">IFERROR(CHOOSE(MATCH(INDEX(時間ごとの判定!$AW$3:$AW$1850,1839),{"利用可","両方停止","運転がそろわない","判定不能"},0),"○","停","×","－"),"")</f>
        <v>－</v>
      </c>
      <c r="BP80" s="35" t="str">
        <f aca="false">IFERROR(CHOOSE(MATCH(INDEX(時間ごとの判定!$AW$3:$AW$1850,1840),{"利用可","両方停止","運転がそろわない","判定不能"},0),"○","停","×","－"),"")</f>
        <v>－</v>
      </c>
      <c r="BQ80" s="35" t="str">
        <f aca="false">IFERROR(CHOOSE(MATCH(INDEX(時間ごとの判定!$AW$3:$AW$1850,1841),{"利用可","両方停止","運転がそろわない","判定不能"},0),"○","停","×","－"),"")</f>
        <v>－</v>
      </c>
      <c r="BR80" s="35" t="str">
        <f aca="false">IFERROR(CHOOSE(MATCH(INDEX(時間ごとの判定!$AW$3:$AW$1850,1842),{"利用可","両方停止","運転がそろわない","判定不能"},0),"○","停","×","－"),"")</f>
        <v>－</v>
      </c>
      <c r="BS80" s="35" t="str">
        <f aca="false">IFERROR(CHOOSE(MATCH(INDEX(時間ごとの判定!$AW$3:$AW$1850,1843),{"利用可","両方停止","運転がそろわない","判定不能"},0),"○","停","×","－"),"")</f>
        <v>－</v>
      </c>
      <c r="BT80" s="35" t="str">
        <f aca="false">IFERROR(CHOOSE(MATCH(INDEX(時間ごとの判定!$AW$3:$AW$1850,1844),{"利用可","両方停止","運転がそろわない","判定不能"},0),"○","停","×","－"),"")</f>
        <v>－</v>
      </c>
      <c r="BU80" s="35" t="str">
        <f aca="false">IFERROR(CHOOSE(MATCH(INDEX(時間ごとの判定!$AW$3:$AW$1850,1845),{"利用可","両方停止","運転がそろわない","判定不能"},0),"○","停","×","－"),"")</f>
        <v>－</v>
      </c>
      <c r="BV80" s="35" t="str">
        <f aca="false">IFERROR(CHOOSE(MATCH(INDEX(時間ごとの判定!$AW$3:$AW$1850,1846),{"利用可","両方停止","運転がそろわない","判定不能"},0),"○","停","×","－"),"")</f>
        <v>－</v>
      </c>
      <c r="BW80" s="35" t="str">
        <f aca="false">IFERROR(CHOOSE(MATCH(INDEX(時間ごとの判定!$AW$3:$AW$1850,1847),{"利用可","両方停止","運転がそろわない","判定不能"},0),"○","停","×","－"),"")</f>
        <v>－</v>
      </c>
      <c r="BX80" s="35" t="str">
        <f aca="false">IFERROR(CHOOSE(MATCH(INDEX(時間ごとの判定!$AW$3:$AW$1850,1848),{"利用可","両方停止","運転がそろわない","判定不能"},0),"○","停","×","－"),"")</f>
        <v>－</v>
      </c>
    </row>
  </sheetData>
  <mergeCells count="3">
    <mergeCell ref="C2:Z2"/>
    <mergeCell ref="AB2:AY2"/>
    <mergeCell ref="BA2:BX2"/>
  </mergeCells>
  <conditionalFormatting sqref="C4:BX80">
    <cfRule type="cellIs" priority="2" operator="equal" aboveAverage="0" equalAverage="0" bottom="0" percent="0" rank="0" text="" dxfId="13">
      <formula>"○"</formula>
    </cfRule>
    <cfRule type="cellIs" priority="3" operator="equal" aboveAverage="0" equalAverage="0" bottom="0" percent="0" rank="0" text="" dxfId="14">
      <formula>"停"</formula>
    </cfRule>
    <cfRule type="cellIs" priority="4" operator="equal" aboveAverage="0" equalAverage="0" bottom="0" percent="0" rank="0" text="" dxfId="15">
      <formula>"×"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5" min="2" style="0" width="6"/>
  </cols>
  <sheetData>
    <row r="1" customFormat="false" ht="15" hidden="false" customHeight="false" outlineLevel="0" collapsed="false">
      <c r="A1" s="11" t="s">
        <v>104</v>
      </c>
    </row>
    <row r="2" customFormat="false" ht="15" hidden="false" customHeight="false" outlineLevel="0" collapsed="false">
      <c r="A2" s="3" t="s">
        <v>32</v>
      </c>
      <c r="B2" s="28" t="s">
        <v>105</v>
      </c>
      <c r="C2" s="28" t="s">
        <v>106</v>
      </c>
      <c r="D2" s="28" t="s">
        <v>107</v>
      </c>
      <c r="E2" s="28" t="s">
        <v>108</v>
      </c>
      <c r="F2" s="28" t="s">
        <v>109</v>
      </c>
      <c r="G2" s="28" t="s">
        <v>110</v>
      </c>
      <c r="H2" s="28" t="s">
        <v>111</v>
      </c>
      <c r="I2" s="28" t="s">
        <v>112</v>
      </c>
      <c r="J2" s="28" t="s">
        <v>113</v>
      </c>
      <c r="K2" s="28" t="s">
        <v>114</v>
      </c>
      <c r="L2" s="28" t="s">
        <v>115</v>
      </c>
      <c r="M2" s="28" t="s">
        <v>116</v>
      </c>
      <c r="N2" s="28" t="s">
        <v>117</v>
      </c>
      <c r="O2" s="28" t="s">
        <v>118</v>
      </c>
      <c r="P2" s="28" t="s">
        <v>119</v>
      </c>
      <c r="Q2" s="28" t="s">
        <v>120</v>
      </c>
      <c r="R2" s="28" t="s">
        <v>121</v>
      </c>
      <c r="S2" s="28" t="s">
        <v>122</v>
      </c>
      <c r="T2" s="28" t="s">
        <v>123</v>
      </c>
      <c r="U2" s="28" t="s">
        <v>124</v>
      </c>
      <c r="V2" s="28" t="s">
        <v>125</v>
      </c>
      <c r="W2" s="28" t="s">
        <v>126</v>
      </c>
      <c r="X2" s="28" t="s">
        <v>127</v>
      </c>
      <c r="Y2" s="28" t="s">
        <v>128</v>
      </c>
    </row>
    <row r="3" customFormat="false" ht="15" hidden="false" customHeight="false" outlineLevel="0" collapsed="false">
      <c r="A3" s="5" t="s">
        <v>35</v>
      </c>
      <c r="B3" s="37" t="n">
        <f aca="false">COUNTIFS(時間ごとの判定!$A$3:$A$1850,"&gt;="&amp;DATE(2026,7,30),時間ごとの判定!$B$3:$B$1850,0,時間ごとの判定!$AH$3:$AH$1850,"利用可")</f>
        <v>0</v>
      </c>
      <c r="C3" s="37" t="n">
        <f aca="false">COUNTIFS(時間ごとの判定!$A$3:$A$1850,"&gt;="&amp;DATE(2026,7,30),時間ごとの判定!$B$3:$B$1850,1,時間ごとの判定!$AH$3:$AH$1850,"利用可")</f>
        <v>0</v>
      </c>
      <c r="D3" s="37" t="n">
        <f aca="false">COUNTIFS(時間ごとの判定!$A$3:$A$1850,"&gt;="&amp;DATE(2026,7,30),時間ごとの判定!$B$3:$B$1850,2,時間ごとの判定!$AH$3:$AH$1850,"利用可")</f>
        <v>0</v>
      </c>
      <c r="E3" s="37" t="n">
        <f aca="false">COUNTIFS(時間ごとの判定!$A$3:$A$1850,"&gt;="&amp;DATE(2026,7,30),時間ごとの判定!$B$3:$B$1850,3,時間ごとの判定!$AH$3:$AH$1850,"利用可")</f>
        <v>0</v>
      </c>
      <c r="F3" s="37" t="n">
        <f aca="false">COUNTIFS(時間ごとの判定!$A$3:$A$1850,"&gt;="&amp;DATE(2026,7,30),時間ごとの判定!$B$3:$B$1850,4,時間ごとの判定!$AH$3:$AH$1850,"利用可")</f>
        <v>0</v>
      </c>
      <c r="G3" s="37" t="n">
        <f aca="false">COUNTIFS(時間ごとの判定!$A$3:$A$1850,"&gt;="&amp;DATE(2026,7,30),時間ごとの判定!$B$3:$B$1850,5,時間ごとの判定!$AH$3:$AH$1850,"利用可")</f>
        <v>0</v>
      </c>
      <c r="H3" s="37" t="n">
        <f aca="false">COUNTIFS(時間ごとの判定!$A$3:$A$1850,"&gt;="&amp;DATE(2026,7,30),時間ごとの判定!$B$3:$B$1850,6,時間ごとの判定!$AH$3:$AH$1850,"利用可")</f>
        <v>0</v>
      </c>
      <c r="I3" s="37" t="n">
        <f aca="false">COUNTIFS(時間ごとの判定!$A$3:$A$1850,"&gt;="&amp;DATE(2026,7,30),時間ごとの判定!$B$3:$B$1850,7,時間ごとの判定!$AH$3:$AH$1850,"利用可")</f>
        <v>1</v>
      </c>
      <c r="J3" s="37" t="n">
        <f aca="false">COUNTIFS(時間ごとの判定!$A$3:$A$1850,"&gt;="&amp;DATE(2026,7,30),時間ごとの判定!$B$3:$B$1850,8,時間ごとの判定!$AH$3:$AH$1850,"利用可")</f>
        <v>23</v>
      </c>
      <c r="K3" s="37" t="n">
        <f aca="false">COUNTIFS(時間ごとの判定!$A$3:$A$1850,"&gt;="&amp;DATE(2026,7,30),時間ごとの判定!$B$3:$B$1850,9,時間ごとの判定!$AH$3:$AH$1850,"利用可")</f>
        <v>41</v>
      </c>
      <c r="L3" s="37" t="n">
        <f aca="false">COUNTIFS(時間ごとの判定!$A$3:$A$1850,"&gt;="&amp;DATE(2026,7,30),時間ごとの判定!$B$3:$B$1850,10,時間ごとの判定!$AH$3:$AH$1850,"利用可")</f>
        <v>43</v>
      </c>
      <c r="M3" s="37" t="n">
        <f aca="false">COUNTIFS(時間ごとの判定!$A$3:$A$1850,"&gt;="&amp;DATE(2026,7,30),時間ごとの判定!$B$3:$B$1850,11,時間ごとの判定!$AH$3:$AH$1850,"利用可")</f>
        <v>50</v>
      </c>
      <c r="N3" s="37" t="n">
        <f aca="false">COUNTIFS(時間ごとの判定!$A$3:$A$1850,"&gt;="&amp;DATE(2026,7,30),時間ごとの判定!$B$3:$B$1850,12,時間ごとの判定!$AH$3:$AH$1850,"利用可")</f>
        <v>51</v>
      </c>
      <c r="O3" s="37" t="n">
        <f aca="false">COUNTIFS(時間ごとの判定!$A$3:$A$1850,"&gt;="&amp;DATE(2026,7,30),時間ごとの判定!$B$3:$B$1850,13,時間ごとの判定!$AH$3:$AH$1850,"利用可")</f>
        <v>52</v>
      </c>
      <c r="P3" s="37" t="n">
        <f aca="false">COUNTIFS(時間ごとの判定!$A$3:$A$1850,"&gt;="&amp;DATE(2026,7,30),時間ごとの判定!$B$3:$B$1850,14,時間ごとの判定!$AH$3:$AH$1850,"利用可")</f>
        <v>51</v>
      </c>
      <c r="Q3" s="37" t="n">
        <f aca="false">COUNTIFS(時間ごとの判定!$A$3:$A$1850,"&gt;="&amp;DATE(2026,7,30),時間ごとの判定!$B$3:$B$1850,15,時間ごとの判定!$AH$3:$AH$1850,"利用可")</f>
        <v>46</v>
      </c>
      <c r="R3" s="37" t="n">
        <f aca="false">COUNTIFS(時間ごとの判定!$A$3:$A$1850,"&gt;="&amp;DATE(2026,7,30),時間ごとの判定!$B$3:$B$1850,16,時間ごとの判定!$AH$3:$AH$1850,"利用可")</f>
        <v>39</v>
      </c>
      <c r="S3" s="37" t="n">
        <f aca="false">COUNTIFS(時間ごとの判定!$A$3:$A$1850,"&gt;="&amp;DATE(2026,7,30),時間ごとの判定!$B$3:$B$1850,17,時間ごとの判定!$AH$3:$AH$1850,"利用可")</f>
        <v>38</v>
      </c>
      <c r="T3" s="37" t="n">
        <f aca="false">COUNTIFS(時間ごとの判定!$A$3:$A$1850,"&gt;="&amp;DATE(2026,7,30),時間ごとの判定!$B$3:$B$1850,18,時間ごとの判定!$AH$3:$AH$1850,"利用可")</f>
        <v>7</v>
      </c>
      <c r="U3" s="37" t="n">
        <f aca="false">COUNTIFS(時間ごとの判定!$A$3:$A$1850,"&gt;="&amp;DATE(2026,7,30),時間ごとの判定!$B$3:$B$1850,19,時間ごとの判定!$AH$3:$AH$1850,"利用可")</f>
        <v>12</v>
      </c>
      <c r="V3" s="37" t="n">
        <f aca="false">COUNTIFS(時間ごとの判定!$A$3:$A$1850,"&gt;="&amp;DATE(2026,7,30),時間ごとの判定!$B$3:$B$1850,20,時間ごとの判定!$AH$3:$AH$1850,"利用可")</f>
        <v>3</v>
      </c>
      <c r="W3" s="37" t="n">
        <f aca="false">COUNTIFS(時間ごとの判定!$A$3:$A$1850,"&gt;="&amp;DATE(2026,7,30),時間ごとの判定!$B$3:$B$1850,21,時間ごとの判定!$AH$3:$AH$1850,"利用可")</f>
        <v>0</v>
      </c>
      <c r="X3" s="37" t="n">
        <f aca="false">COUNTIFS(時間ごとの判定!$A$3:$A$1850,"&gt;="&amp;DATE(2026,7,30),時間ごとの判定!$B$3:$B$1850,22,時間ごとの判定!$AH$3:$AH$1850,"利用可")</f>
        <v>0</v>
      </c>
      <c r="Y3" s="37" t="n">
        <f aca="false">COUNTIFS(時間ごとの判定!$A$3:$A$1850,"&gt;="&amp;DATE(2026,7,30),時間ごとの判定!$B$3:$B$1850,23,時間ごとの判定!$AH$3:$AH$1850,"利用可")</f>
        <v>0</v>
      </c>
    </row>
    <row r="4" customFormat="false" ht="15" hidden="false" customHeight="false" outlineLevel="0" collapsed="false">
      <c r="A4" s="5" t="s">
        <v>36</v>
      </c>
      <c r="B4" s="37" t="n">
        <f aca="false">COUNTIFS(時間ごとの判定!$A$3:$A$1850,"&gt;="&amp;DATE(2026,7,30),時間ごとの判定!$B$3:$B$1850,0,時間ごとの判定!$AK$3:$AK$1850,"利用可")</f>
        <v>0</v>
      </c>
      <c r="C4" s="37" t="n">
        <f aca="false">COUNTIFS(時間ごとの判定!$A$3:$A$1850,"&gt;="&amp;DATE(2026,7,30),時間ごとの判定!$B$3:$B$1850,1,時間ごとの判定!$AK$3:$AK$1850,"利用可")</f>
        <v>0</v>
      </c>
      <c r="D4" s="37" t="n">
        <f aca="false">COUNTIFS(時間ごとの判定!$A$3:$A$1850,"&gt;="&amp;DATE(2026,7,30),時間ごとの判定!$B$3:$B$1850,2,時間ごとの判定!$AK$3:$AK$1850,"利用可")</f>
        <v>0</v>
      </c>
      <c r="E4" s="37" t="n">
        <f aca="false">COUNTIFS(時間ごとの判定!$A$3:$A$1850,"&gt;="&amp;DATE(2026,7,30),時間ごとの判定!$B$3:$B$1850,3,時間ごとの判定!$AK$3:$AK$1850,"利用可")</f>
        <v>0</v>
      </c>
      <c r="F4" s="37" t="n">
        <f aca="false">COUNTIFS(時間ごとの判定!$A$3:$A$1850,"&gt;="&amp;DATE(2026,7,30),時間ごとの判定!$B$3:$B$1850,4,時間ごとの判定!$AK$3:$AK$1850,"利用可")</f>
        <v>0</v>
      </c>
      <c r="G4" s="37" t="n">
        <f aca="false">COUNTIFS(時間ごとの判定!$A$3:$A$1850,"&gt;="&amp;DATE(2026,7,30),時間ごとの判定!$B$3:$B$1850,5,時間ごとの判定!$AK$3:$AK$1850,"利用可")</f>
        <v>0</v>
      </c>
      <c r="H4" s="37" t="n">
        <f aca="false">COUNTIFS(時間ごとの判定!$A$3:$A$1850,"&gt;="&amp;DATE(2026,7,30),時間ごとの判定!$B$3:$B$1850,6,時間ごとの判定!$AK$3:$AK$1850,"利用可")</f>
        <v>0</v>
      </c>
      <c r="I4" s="37" t="n">
        <f aca="false">COUNTIFS(時間ごとの判定!$A$3:$A$1850,"&gt;="&amp;DATE(2026,7,30),時間ごとの判定!$B$3:$B$1850,7,時間ごとの判定!$AK$3:$AK$1850,"利用可")</f>
        <v>1</v>
      </c>
      <c r="J4" s="37" t="n">
        <f aca="false">COUNTIFS(時間ごとの判定!$A$3:$A$1850,"&gt;="&amp;DATE(2026,7,30),時間ごとの判定!$B$3:$B$1850,8,時間ごとの判定!$AK$3:$AK$1850,"利用可")</f>
        <v>5</v>
      </c>
      <c r="K4" s="37" t="n">
        <f aca="false">COUNTIFS(時間ごとの判定!$A$3:$A$1850,"&gt;="&amp;DATE(2026,7,30),時間ごとの判定!$B$3:$B$1850,9,時間ごとの判定!$AK$3:$AK$1850,"利用可")</f>
        <v>16</v>
      </c>
      <c r="L4" s="37" t="n">
        <f aca="false">COUNTIFS(時間ごとの判定!$A$3:$A$1850,"&gt;="&amp;DATE(2026,7,30),時間ごとの判定!$B$3:$B$1850,10,時間ごとの判定!$AK$3:$AK$1850,"利用可")</f>
        <v>25</v>
      </c>
      <c r="M4" s="37" t="n">
        <f aca="false">COUNTIFS(時間ごとの判定!$A$3:$A$1850,"&gt;="&amp;DATE(2026,7,30),時間ごとの判定!$B$3:$B$1850,11,時間ごとの判定!$AK$3:$AK$1850,"利用可")</f>
        <v>28</v>
      </c>
      <c r="N4" s="37" t="n">
        <f aca="false">COUNTIFS(時間ごとの判定!$A$3:$A$1850,"&gt;="&amp;DATE(2026,7,30),時間ごとの判定!$B$3:$B$1850,12,時間ごとの判定!$AK$3:$AK$1850,"利用可")</f>
        <v>29</v>
      </c>
      <c r="O4" s="37" t="n">
        <f aca="false">COUNTIFS(時間ごとの判定!$A$3:$A$1850,"&gt;="&amp;DATE(2026,7,30),時間ごとの判定!$B$3:$B$1850,13,時間ごとの判定!$AK$3:$AK$1850,"利用可")</f>
        <v>28</v>
      </c>
      <c r="P4" s="37" t="n">
        <f aca="false">COUNTIFS(時間ごとの判定!$A$3:$A$1850,"&gt;="&amp;DATE(2026,7,30),時間ごとの判定!$B$3:$B$1850,14,時間ごとの判定!$AK$3:$AK$1850,"利用可")</f>
        <v>26</v>
      </c>
      <c r="Q4" s="37" t="n">
        <f aca="false">COUNTIFS(時間ごとの判定!$A$3:$A$1850,"&gt;="&amp;DATE(2026,7,30),時間ごとの判定!$B$3:$B$1850,15,時間ごとの判定!$AK$3:$AK$1850,"利用可")</f>
        <v>25</v>
      </c>
      <c r="R4" s="37" t="n">
        <f aca="false">COUNTIFS(時間ごとの判定!$A$3:$A$1850,"&gt;="&amp;DATE(2026,7,30),時間ごとの判定!$B$3:$B$1850,16,時間ごとの判定!$AK$3:$AK$1850,"利用可")</f>
        <v>20</v>
      </c>
      <c r="S4" s="37" t="n">
        <f aca="false">COUNTIFS(時間ごとの判定!$A$3:$A$1850,"&gt;="&amp;DATE(2026,7,30),時間ごとの判定!$B$3:$B$1850,17,時間ごとの判定!$AK$3:$AK$1850,"利用可")</f>
        <v>14</v>
      </c>
      <c r="T4" s="37" t="n">
        <f aca="false">COUNTIFS(時間ごとの判定!$A$3:$A$1850,"&gt;="&amp;DATE(2026,7,30),時間ごとの判定!$B$3:$B$1850,18,時間ごとの判定!$AK$3:$AK$1850,"利用可")</f>
        <v>7</v>
      </c>
      <c r="U4" s="37" t="n">
        <f aca="false">COUNTIFS(時間ごとの判定!$A$3:$A$1850,"&gt;="&amp;DATE(2026,7,30),時間ごとの判定!$B$3:$B$1850,19,時間ごとの判定!$AK$3:$AK$1850,"利用可")</f>
        <v>8</v>
      </c>
      <c r="V4" s="37" t="n">
        <f aca="false">COUNTIFS(時間ごとの判定!$A$3:$A$1850,"&gt;="&amp;DATE(2026,7,30),時間ごとの判定!$B$3:$B$1850,20,時間ごとの判定!$AK$3:$AK$1850,"利用可")</f>
        <v>2</v>
      </c>
      <c r="W4" s="37" t="n">
        <f aca="false">COUNTIFS(時間ごとの判定!$A$3:$A$1850,"&gt;="&amp;DATE(2026,7,30),時間ごとの判定!$B$3:$B$1850,21,時間ごとの判定!$AK$3:$AK$1850,"利用可")</f>
        <v>0</v>
      </c>
      <c r="X4" s="37" t="n">
        <f aca="false">COUNTIFS(時間ごとの判定!$A$3:$A$1850,"&gt;="&amp;DATE(2026,7,30),時間ごとの判定!$B$3:$B$1850,22,時間ごとの判定!$AK$3:$AK$1850,"利用可")</f>
        <v>0</v>
      </c>
      <c r="Y4" s="37" t="n">
        <f aca="false">COUNTIFS(時間ごとの判定!$A$3:$A$1850,"&gt;="&amp;DATE(2026,7,30),時間ごとの判定!$B$3:$B$1850,23,時間ごとの判定!$AK$3:$AK$1850,"利用可")</f>
        <v>0</v>
      </c>
    </row>
    <row r="5" customFormat="false" ht="15" hidden="false" customHeight="false" outlineLevel="0" collapsed="false">
      <c r="A5" s="5" t="s">
        <v>37</v>
      </c>
      <c r="B5" s="37" t="n">
        <f aca="false">COUNTIFS(時間ごとの判定!$A$3:$A$1850,"&gt;="&amp;DATE(2026,7,30),時間ごとの判定!$B$3:$B$1850,0,時間ごとの判定!$AN$3:$AN$1850,"利用可")</f>
        <v>0</v>
      </c>
      <c r="C5" s="37" t="n">
        <f aca="false">COUNTIFS(時間ごとの判定!$A$3:$A$1850,"&gt;="&amp;DATE(2026,7,30),時間ごとの判定!$B$3:$B$1850,1,時間ごとの判定!$AN$3:$AN$1850,"利用可")</f>
        <v>0</v>
      </c>
      <c r="D5" s="37" t="n">
        <f aca="false">COUNTIFS(時間ごとの判定!$A$3:$A$1850,"&gt;="&amp;DATE(2026,7,30),時間ごとの判定!$B$3:$B$1850,2,時間ごとの判定!$AN$3:$AN$1850,"利用可")</f>
        <v>0</v>
      </c>
      <c r="E5" s="37" t="n">
        <f aca="false">COUNTIFS(時間ごとの判定!$A$3:$A$1850,"&gt;="&amp;DATE(2026,7,30),時間ごとの判定!$B$3:$B$1850,3,時間ごとの判定!$AN$3:$AN$1850,"利用可")</f>
        <v>0</v>
      </c>
      <c r="F5" s="37" t="n">
        <f aca="false">COUNTIFS(時間ごとの判定!$A$3:$A$1850,"&gt;="&amp;DATE(2026,7,30),時間ごとの判定!$B$3:$B$1850,4,時間ごとの判定!$AN$3:$AN$1850,"利用可")</f>
        <v>0</v>
      </c>
      <c r="G5" s="37" t="n">
        <f aca="false">COUNTIFS(時間ごとの判定!$A$3:$A$1850,"&gt;="&amp;DATE(2026,7,30),時間ごとの判定!$B$3:$B$1850,5,時間ごとの判定!$AN$3:$AN$1850,"利用可")</f>
        <v>0</v>
      </c>
      <c r="H5" s="37" t="n">
        <f aca="false">COUNTIFS(時間ごとの判定!$A$3:$A$1850,"&gt;="&amp;DATE(2026,7,30),時間ごとの判定!$B$3:$B$1850,6,時間ごとの判定!$AN$3:$AN$1850,"利用可")</f>
        <v>1</v>
      </c>
      <c r="I5" s="37" t="n">
        <f aca="false">COUNTIFS(時間ごとの判定!$A$3:$A$1850,"&gt;="&amp;DATE(2026,7,30),時間ごとの判定!$B$3:$B$1850,7,時間ごとの判定!$AN$3:$AN$1850,"利用可")</f>
        <v>13</v>
      </c>
      <c r="J5" s="37" t="n">
        <f aca="false">COUNTIFS(時間ごとの判定!$A$3:$A$1850,"&gt;="&amp;DATE(2026,7,30),時間ごとの判定!$B$3:$B$1850,8,時間ごとの判定!$AN$3:$AN$1850,"利用可")</f>
        <v>29</v>
      </c>
      <c r="K5" s="37" t="n">
        <f aca="false">COUNTIFS(時間ごとの判定!$A$3:$A$1850,"&gt;="&amp;DATE(2026,7,30),時間ごとの判定!$B$3:$B$1850,9,時間ごとの判定!$AN$3:$AN$1850,"利用可")</f>
        <v>44</v>
      </c>
      <c r="L5" s="37" t="n">
        <f aca="false">COUNTIFS(時間ごとの判定!$A$3:$A$1850,"&gt;="&amp;DATE(2026,7,30),時間ごとの判定!$B$3:$B$1850,10,時間ごとの判定!$AN$3:$AN$1850,"利用可")</f>
        <v>52</v>
      </c>
      <c r="M5" s="37" t="n">
        <f aca="false">COUNTIFS(時間ごとの判定!$A$3:$A$1850,"&gt;="&amp;DATE(2026,7,30),時間ごとの判定!$B$3:$B$1850,11,時間ごとの判定!$AN$3:$AN$1850,"利用可")</f>
        <v>55</v>
      </c>
      <c r="N5" s="37" t="n">
        <f aca="false">COUNTIFS(時間ごとの判定!$A$3:$A$1850,"&gt;="&amp;DATE(2026,7,30),時間ごとの判定!$B$3:$B$1850,12,時間ごとの判定!$AN$3:$AN$1850,"利用可")</f>
        <v>54</v>
      </c>
      <c r="O5" s="37" t="n">
        <f aca="false">COUNTIFS(時間ごとの判定!$A$3:$A$1850,"&gt;="&amp;DATE(2026,7,30),時間ごとの判定!$B$3:$B$1850,13,時間ごとの判定!$AN$3:$AN$1850,"利用可")</f>
        <v>53</v>
      </c>
      <c r="P5" s="37" t="n">
        <f aca="false">COUNTIFS(時間ごとの判定!$A$3:$A$1850,"&gt;="&amp;DATE(2026,7,30),時間ごとの判定!$B$3:$B$1850,14,時間ごとの判定!$AN$3:$AN$1850,"利用可")</f>
        <v>48</v>
      </c>
      <c r="Q5" s="37" t="n">
        <f aca="false">COUNTIFS(時間ごとの判定!$A$3:$A$1850,"&gt;="&amp;DATE(2026,7,30),時間ごとの判定!$B$3:$B$1850,15,時間ごとの判定!$AN$3:$AN$1850,"利用可")</f>
        <v>48</v>
      </c>
      <c r="R5" s="37" t="n">
        <f aca="false">COUNTIFS(時間ごとの判定!$A$3:$A$1850,"&gt;="&amp;DATE(2026,7,30),時間ごとの判定!$B$3:$B$1850,16,時間ごとの判定!$AN$3:$AN$1850,"利用可")</f>
        <v>48</v>
      </c>
      <c r="S5" s="37" t="n">
        <f aca="false">COUNTIFS(時間ごとの判定!$A$3:$A$1850,"&gt;="&amp;DATE(2026,7,30),時間ごとの判定!$B$3:$B$1850,17,時間ごとの判定!$AN$3:$AN$1850,"利用可")</f>
        <v>43</v>
      </c>
      <c r="T5" s="37" t="n">
        <f aca="false">COUNTIFS(時間ごとの判定!$A$3:$A$1850,"&gt;="&amp;DATE(2026,7,30),時間ごとの判定!$B$3:$B$1850,18,時間ごとの判定!$AN$3:$AN$1850,"利用可")</f>
        <v>5</v>
      </c>
      <c r="U5" s="37" t="n">
        <f aca="false">COUNTIFS(時間ごとの判定!$A$3:$A$1850,"&gt;="&amp;DATE(2026,7,30),時間ごとの判定!$B$3:$B$1850,19,時間ごとの判定!$AN$3:$AN$1850,"利用可")</f>
        <v>26</v>
      </c>
      <c r="V5" s="37" t="n">
        <f aca="false">COUNTIFS(時間ごとの判定!$A$3:$A$1850,"&gt;="&amp;DATE(2026,7,30),時間ごとの判定!$B$3:$B$1850,20,時間ごとの判定!$AN$3:$AN$1850,"利用可")</f>
        <v>8</v>
      </c>
      <c r="W5" s="37" t="n">
        <f aca="false">COUNTIFS(時間ごとの判定!$A$3:$A$1850,"&gt;="&amp;DATE(2026,7,30),時間ごとの判定!$B$3:$B$1850,21,時間ごとの判定!$AN$3:$AN$1850,"利用可")</f>
        <v>5</v>
      </c>
      <c r="X5" s="37" t="n">
        <f aca="false">COUNTIFS(時間ごとの判定!$A$3:$A$1850,"&gt;="&amp;DATE(2026,7,30),時間ごとの判定!$B$3:$B$1850,22,時間ごとの判定!$AN$3:$AN$1850,"利用可")</f>
        <v>1</v>
      </c>
      <c r="Y5" s="37" t="n">
        <f aca="false">COUNTIFS(時間ごとの判定!$A$3:$A$1850,"&gt;="&amp;DATE(2026,7,30),時間ごとの判定!$B$3:$B$1850,23,時間ごとの判定!$AN$3:$AN$1850,"利用可")</f>
        <v>1</v>
      </c>
    </row>
    <row r="6" customFormat="false" ht="15" hidden="false" customHeight="false" outlineLevel="0" collapsed="false">
      <c r="A6" s="5" t="s">
        <v>38</v>
      </c>
      <c r="B6" s="37" t="n">
        <f aca="false">COUNTIFS(時間ごとの判定!$A$3:$A$1850,"&gt;="&amp;DATE(2026,7,30),時間ごとの判定!$B$3:$B$1850,0,時間ごとの判定!$AQ$3:$AQ$1850,"利用可")</f>
        <v>0</v>
      </c>
      <c r="C6" s="37" t="n">
        <f aca="false">COUNTIFS(時間ごとの判定!$A$3:$A$1850,"&gt;="&amp;DATE(2026,7,30),時間ごとの判定!$B$3:$B$1850,1,時間ごとの判定!$AQ$3:$AQ$1850,"利用可")</f>
        <v>0</v>
      </c>
      <c r="D6" s="37" t="n">
        <f aca="false">COUNTIFS(時間ごとの判定!$A$3:$A$1850,"&gt;="&amp;DATE(2026,7,30),時間ごとの判定!$B$3:$B$1850,2,時間ごとの判定!$AQ$3:$AQ$1850,"利用可")</f>
        <v>0</v>
      </c>
      <c r="E6" s="37" t="n">
        <f aca="false">COUNTIFS(時間ごとの判定!$A$3:$A$1850,"&gt;="&amp;DATE(2026,7,30),時間ごとの判定!$B$3:$B$1850,3,時間ごとの判定!$AQ$3:$AQ$1850,"利用可")</f>
        <v>0</v>
      </c>
      <c r="F6" s="37" t="n">
        <f aca="false">COUNTIFS(時間ごとの判定!$A$3:$A$1850,"&gt;="&amp;DATE(2026,7,30),時間ごとの判定!$B$3:$B$1850,4,時間ごとの判定!$AQ$3:$AQ$1850,"利用可")</f>
        <v>0</v>
      </c>
      <c r="G6" s="37" t="n">
        <f aca="false">COUNTIFS(時間ごとの判定!$A$3:$A$1850,"&gt;="&amp;DATE(2026,7,30),時間ごとの判定!$B$3:$B$1850,5,時間ごとの判定!$AQ$3:$AQ$1850,"利用可")</f>
        <v>0</v>
      </c>
      <c r="H6" s="37" t="n">
        <f aca="false">COUNTIFS(時間ごとの判定!$A$3:$A$1850,"&gt;="&amp;DATE(2026,7,30),時間ごとの判定!$B$3:$B$1850,6,時間ごとの判定!$AQ$3:$AQ$1850,"利用可")</f>
        <v>0</v>
      </c>
      <c r="I6" s="37" t="n">
        <f aca="false">COUNTIFS(時間ごとの判定!$A$3:$A$1850,"&gt;="&amp;DATE(2026,7,30),時間ごとの判定!$B$3:$B$1850,7,時間ごとの判定!$AQ$3:$AQ$1850,"利用可")</f>
        <v>1</v>
      </c>
      <c r="J6" s="37" t="n">
        <f aca="false">COUNTIFS(時間ごとの判定!$A$3:$A$1850,"&gt;="&amp;DATE(2026,7,30),時間ごとの判定!$B$3:$B$1850,8,時間ごとの判定!$AQ$3:$AQ$1850,"利用可")</f>
        <v>23</v>
      </c>
      <c r="K6" s="37" t="n">
        <f aca="false">COUNTIFS(時間ごとの判定!$A$3:$A$1850,"&gt;="&amp;DATE(2026,7,30),時間ごとの判定!$B$3:$B$1850,9,時間ごとの判定!$AQ$3:$AQ$1850,"利用可")</f>
        <v>42</v>
      </c>
      <c r="L6" s="37" t="n">
        <f aca="false">COUNTIFS(時間ごとの判定!$A$3:$A$1850,"&gt;="&amp;DATE(2026,7,30),時間ごとの判定!$B$3:$B$1850,10,時間ごとの判定!$AQ$3:$AQ$1850,"利用可")</f>
        <v>44</v>
      </c>
      <c r="M6" s="37" t="n">
        <f aca="false">COUNTIFS(時間ごとの判定!$A$3:$A$1850,"&gt;="&amp;DATE(2026,7,30),時間ごとの判定!$B$3:$B$1850,11,時間ごとの判定!$AQ$3:$AQ$1850,"利用可")</f>
        <v>48</v>
      </c>
      <c r="N6" s="37" t="n">
        <f aca="false">COUNTIFS(時間ごとの判定!$A$3:$A$1850,"&gt;="&amp;DATE(2026,7,30),時間ごとの判定!$B$3:$B$1850,12,時間ごとの判定!$AQ$3:$AQ$1850,"利用可")</f>
        <v>46</v>
      </c>
      <c r="O6" s="37" t="n">
        <f aca="false">COUNTIFS(時間ごとの判定!$A$3:$A$1850,"&gt;="&amp;DATE(2026,7,30),時間ごとの判定!$B$3:$B$1850,13,時間ごとの判定!$AQ$3:$AQ$1850,"利用可")</f>
        <v>50</v>
      </c>
      <c r="P6" s="37" t="n">
        <f aca="false">COUNTIFS(時間ごとの判定!$A$3:$A$1850,"&gt;="&amp;DATE(2026,7,30),時間ごとの判定!$B$3:$B$1850,14,時間ごとの判定!$AQ$3:$AQ$1850,"利用可")</f>
        <v>49</v>
      </c>
      <c r="Q6" s="37" t="n">
        <f aca="false">COUNTIFS(時間ごとの判定!$A$3:$A$1850,"&gt;="&amp;DATE(2026,7,30),時間ごとの判定!$B$3:$B$1850,15,時間ごとの判定!$AQ$3:$AQ$1850,"利用可")</f>
        <v>45</v>
      </c>
      <c r="R6" s="37" t="n">
        <f aca="false">COUNTIFS(時間ごとの判定!$A$3:$A$1850,"&gt;="&amp;DATE(2026,7,30),時間ごとの判定!$B$3:$B$1850,16,時間ごとの判定!$AQ$3:$AQ$1850,"利用可")</f>
        <v>37</v>
      </c>
      <c r="S6" s="37" t="n">
        <f aca="false">COUNTIFS(時間ごとの判定!$A$3:$A$1850,"&gt;="&amp;DATE(2026,7,30),時間ごとの判定!$B$3:$B$1850,17,時間ごとの判定!$AQ$3:$AQ$1850,"利用可")</f>
        <v>39</v>
      </c>
      <c r="T6" s="37" t="n">
        <f aca="false">COUNTIFS(時間ごとの判定!$A$3:$A$1850,"&gt;="&amp;DATE(2026,7,30),時間ごとの判定!$B$3:$B$1850,18,時間ごとの判定!$AQ$3:$AQ$1850,"利用可")</f>
        <v>29</v>
      </c>
      <c r="U6" s="37" t="n">
        <f aca="false">COUNTIFS(時間ごとの判定!$A$3:$A$1850,"&gt;="&amp;DATE(2026,7,30),時間ごとの判定!$B$3:$B$1850,19,時間ごとの判定!$AQ$3:$AQ$1850,"利用可")</f>
        <v>1</v>
      </c>
      <c r="V6" s="37" t="n">
        <f aca="false">COUNTIFS(時間ごとの判定!$A$3:$A$1850,"&gt;="&amp;DATE(2026,7,30),時間ごとの判定!$B$3:$B$1850,20,時間ごとの判定!$AQ$3:$AQ$1850,"利用可")</f>
        <v>4</v>
      </c>
      <c r="W6" s="37" t="n">
        <f aca="false">COUNTIFS(時間ごとの判定!$A$3:$A$1850,"&gt;="&amp;DATE(2026,7,30),時間ごとの判定!$B$3:$B$1850,21,時間ごとの判定!$AQ$3:$AQ$1850,"利用可")</f>
        <v>0</v>
      </c>
      <c r="X6" s="37" t="n">
        <f aca="false">COUNTIFS(時間ごとの判定!$A$3:$A$1850,"&gt;="&amp;DATE(2026,7,30),時間ごとの判定!$B$3:$B$1850,22,時間ごとの判定!$AQ$3:$AQ$1850,"利用可")</f>
        <v>0</v>
      </c>
      <c r="Y6" s="37" t="n">
        <f aca="false">COUNTIFS(時間ごとの判定!$A$3:$A$1850,"&gt;="&amp;DATE(2026,7,30),時間ごとの判定!$B$3:$B$1850,23,時間ごとの判定!$AQ$3:$AQ$1850,"利用可")</f>
        <v>0</v>
      </c>
    </row>
    <row r="7" customFormat="false" ht="15" hidden="false" customHeight="false" outlineLevel="0" collapsed="false">
      <c r="A7" s="5" t="s">
        <v>39</v>
      </c>
      <c r="B7" s="37" t="n">
        <f aca="false">COUNTIFS(時間ごとの判定!$A$3:$A$1850,"&gt;="&amp;DATE(2026,7,30),時間ごとの判定!$B$3:$B$1850,0,時間ごとの判定!$AT$3:$AT$1850,"利用可")</f>
        <v>0</v>
      </c>
      <c r="C7" s="37" t="n">
        <f aca="false">COUNTIFS(時間ごとの判定!$A$3:$A$1850,"&gt;="&amp;DATE(2026,7,30),時間ごとの判定!$B$3:$B$1850,1,時間ごとの判定!$AT$3:$AT$1850,"利用可")</f>
        <v>0</v>
      </c>
      <c r="D7" s="37" t="n">
        <f aca="false">COUNTIFS(時間ごとの判定!$A$3:$A$1850,"&gt;="&amp;DATE(2026,7,30),時間ごとの判定!$B$3:$B$1850,2,時間ごとの判定!$AT$3:$AT$1850,"利用可")</f>
        <v>0</v>
      </c>
      <c r="E7" s="37" t="n">
        <f aca="false">COUNTIFS(時間ごとの判定!$A$3:$A$1850,"&gt;="&amp;DATE(2026,7,30),時間ごとの判定!$B$3:$B$1850,3,時間ごとの判定!$AT$3:$AT$1850,"利用可")</f>
        <v>0</v>
      </c>
      <c r="F7" s="37" t="n">
        <f aca="false">COUNTIFS(時間ごとの判定!$A$3:$A$1850,"&gt;="&amp;DATE(2026,7,30),時間ごとの判定!$B$3:$B$1850,4,時間ごとの判定!$AT$3:$AT$1850,"利用可")</f>
        <v>0</v>
      </c>
      <c r="G7" s="37" t="n">
        <f aca="false">COUNTIFS(時間ごとの判定!$A$3:$A$1850,"&gt;="&amp;DATE(2026,7,30),時間ごとの判定!$B$3:$B$1850,5,時間ごとの判定!$AT$3:$AT$1850,"利用可")</f>
        <v>0</v>
      </c>
      <c r="H7" s="37" t="n">
        <f aca="false">COUNTIFS(時間ごとの判定!$A$3:$A$1850,"&gt;="&amp;DATE(2026,7,30),時間ごとの判定!$B$3:$B$1850,6,時間ごとの判定!$AT$3:$AT$1850,"利用可")</f>
        <v>0</v>
      </c>
      <c r="I7" s="37" t="n">
        <f aca="false">COUNTIFS(時間ごとの判定!$A$3:$A$1850,"&gt;="&amp;DATE(2026,7,30),時間ごとの判定!$B$3:$B$1850,7,時間ごとの判定!$AT$3:$AT$1850,"利用可")</f>
        <v>1</v>
      </c>
      <c r="J7" s="37" t="n">
        <f aca="false">COUNTIFS(時間ごとの判定!$A$3:$A$1850,"&gt;="&amp;DATE(2026,7,30),時間ごとの判定!$B$3:$B$1850,8,時間ごとの判定!$AT$3:$AT$1850,"利用可")</f>
        <v>15</v>
      </c>
      <c r="K7" s="37" t="n">
        <f aca="false">COUNTIFS(時間ごとの判定!$A$3:$A$1850,"&gt;="&amp;DATE(2026,7,30),時間ごとの判定!$B$3:$B$1850,9,時間ごとの判定!$AT$3:$AT$1850,"利用可")</f>
        <v>32</v>
      </c>
      <c r="L7" s="37" t="n">
        <f aca="false">COUNTIFS(時間ごとの判定!$A$3:$A$1850,"&gt;="&amp;DATE(2026,7,30),時間ごとの判定!$B$3:$B$1850,10,時間ごとの判定!$AT$3:$AT$1850,"利用可")</f>
        <v>41</v>
      </c>
      <c r="M7" s="37" t="n">
        <f aca="false">COUNTIFS(時間ごとの判定!$A$3:$A$1850,"&gt;="&amp;DATE(2026,7,30),時間ごとの判定!$B$3:$B$1850,11,時間ごとの判定!$AT$3:$AT$1850,"利用可")</f>
        <v>42</v>
      </c>
      <c r="N7" s="37" t="n">
        <f aca="false">COUNTIFS(時間ごとの判定!$A$3:$A$1850,"&gt;="&amp;DATE(2026,7,30),時間ごとの判定!$B$3:$B$1850,12,時間ごとの判定!$AT$3:$AT$1850,"利用可")</f>
        <v>44</v>
      </c>
      <c r="O7" s="37" t="n">
        <f aca="false">COUNTIFS(時間ごとの判定!$A$3:$A$1850,"&gt;="&amp;DATE(2026,7,30),時間ごとの判定!$B$3:$B$1850,13,時間ごとの判定!$AT$3:$AT$1850,"利用可")</f>
        <v>45</v>
      </c>
      <c r="P7" s="37" t="n">
        <f aca="false">COUNTIFS(時間ごとの判定!$A$3:$A$1850,"&gt;="&amp;DATE(2026,7,30),時間ごとの判定!$B$3:$B$1850,14,時間ごとの判定!$AT$3:$AT$1850,"利用可")</f>
        <v>43</v>
      </c>
      <c r="Q7" s="37" t="n">
        <f aca="false">COUNTIFS(時間ごとの判定!$A$3:$A$1850,"&gt;="&amp;DATE(2026,7,30),時間ごとの判定!$B$3:$B$1850,15,時間ごとの判定!$AT$3:$AT$1850,"利用可")</f>
        <v>37</v>
      </c>
      <c r="R7" s="37" t="n">
        <f aca="false">COUNTIFS(時間ごとの判定!$A$3:$A$1850,"&gt;="&amp;DATE(2026,7,30),時間ごとの判定!$B$3:$B$1850,16,時間ごとの判定!$AT$3:$AT$1850,"利用可")</f>
        <v>31</v>
      </c>
      <c r="S7" s="37" t="n">
        <f aca="false">COUNTIFS(時間ごとの判定!$A$3:$A$1850,"&gt;="&amp;DATE(2026,7,30),時間ごとの判定!$B$3:$B$1850,17,時間ごとの判定!$AT$3:$AT$1850,"利用可")</f>
        <v>23</v>
      </c>
      <c r="T7" s="37" t="n">
        <f aca="false">COUNTIFS(時間ごとの判定!$A$3:$A$1850,"&gt;="&amp;DATE(2026,7,30),時間ごとの判定!$B$3:$B$1850,18,時間ごとの判定!$AT$3:$AT$1850,"利用可")</f>
        <v>19</v>
      </c>
      <c r="U7" s="37" t="n">
        <f aca="false">COUNTIFS(時間ごとの判定!$A$3:$A$1850,"&gt;="&amp;DATE(2026,7,30),時間ごとの判定!$B$3:$B$1850,19,時間ごとの判定!$AT$3:$AT$1850,"利用可")</f>
        <v>2</v>
      </c>
      <c r="V7" s="37" t="n">
        <f aca="false">COUNTIFS(時間ごとの判定!$A$3:$A$1850,"&gt;="&amp;DATE(2026,7,30),時間ごとの判定!$B$3:$B$1850,20,時間ごとの判定!$AT$3:$AT$1850,"利用可")</f>
        <v>3</v>
      </c>
      <c r="W7" s="37" t="n">
        <f aca="false">COUNTIFS(時間ごとの判定!$A$3:$A$1850,"&gt;="&amp;DATE(2026,7,30),時間ごとの判定!$B$3:$B$1850,21,時間ごとの判定!$AT$3:$AT$1850,"利用可")</f>
        <v>0</v>
      </c>
      <c r="X7" s="37" t="n">
        <f aca="false">COUNTIFS(時間ごとの判定!$A$3:$A$1850,"&gt;="&amp;DATE(2026,7,30),時間ごとの判定!$B$3:$B$1850,22,時間ごとの判定!$AT$3:$AT$1850,"利用可")</f>
        <v>0</v>
      </c>
      <c r="Y7" s="37" t="n">
        <f aca="false">COUNTIFS(時間ごとの判定!$A$3:$A$1850,"&gt;="&amp;DATE(2026,7,30),時間ごとの判定!$B$3:$B$1850,23,時間ごとの判定!$AT$3:$AT$1850,"利用可")</f>
        <v>0</v>
      </c>
    </row>
    <row r="8" customFormat="false" ht="15" hidden="false" customHeight="false" outlineLevel="0" collapsed="false">
      <c r="A8" s="5" t="s">
        <v>40</v>
      </c>
      <c r="B8" s="37" t="n">
        <f aca="false">COUNTIFS(時間ごとの判定!$A$3:$A$1850,"&gt;="&amp;DATE(2026,7,30),時間ごとの判定!$B$3:$B$1850,0,時間ごとの判定!$AW$3:$AW$1850,"利用可")</f>
        <v>0</v>
      </c>
      <c r="C8" s="37" t="n">
        <f aca="false">COUNTIFS(時間ごとの判定!$A$3:$A$1850,"&gt;="&amp;DATE(2026,7,30),時間ごとの判定!$B$3:$B$1850,1,時間ごとの判定!$AW$3:$AW$1850,"利用可")</f>
        <v>0</v>
      </c>
      <c r="D8" s="37" t="n">
        <f aca="false">COUNTIFS(時間ごとの判定!$A$3:$A$1850,"&gt;="&amp;DATE(2026,7,30),時間ごとの判定!$B$3:$B$1850,2,時間ごとの判定!$AW$3:$AW$1850,"利用可")</f>
        <v>0</v>
      </c>
      <c r="E8" s="37" t="n">
        <f aca="false">COUNTIFS(時間ごとの判定!$A$3:$A$1850,"&gt;="&amp;DATE(2026,7,30),時間ごとの判定!$B$3:$B$1850,3,時間ごとの判定!$AW$3:$AW$1850,"利用可")</f>
        <v>0</v>
      </c>
      <c r="F8" s="37" t="n">
        <f aca="false">COUNTIFS(時間ごとの判定!$A$3:$A$1850,"&gt;="&amp;DATE(2026,7,30),時間ごとの判定!$B$3:$B$1850,4,時間ごとの判定!$AW$3:$AW$1850,"利用可")</f>
        <v>0</v>
      </c>
      <c r="G8" s="37" t="n">
        <f aca="false">COUNTIFS(時間ごとの判定!$A$3:$A$1850,"&gt;="&amp;DATE(2026,7,30),時間ごとの判定!$B$3:$B$1850,5,時間ごとの判定!$AW$3:$AW$1850,"利用可")</f>
        <v>1</v>
      </c>
      <c r="H8" s="37" t="n">
        <f aca="false">COUNTIFS(時間ごとの判定!$A$3:$A$1850,"&gt;="&amp;DATE(2026,7,30),時間ごとの判定!$B$3:$B$1850,6,時間ごとの判定!$AW$3:$AW$1850,"利用可")</f>
        <v>13</v>
      </c>
      <c r="I8" s="37" t="n">
        <f aca="false">COUNTIFS(時間ごとの判定!$A$3:$A$1850,"&gt;="&amp;DATE(2026,7,30),時間ごとの判定!$B$3:$B$1850,7,時間ごとの判定!$AW$3:$AW$1850,"利用可")</f>
        <v>17</v>
      </c>
      <c r="J8" s="37" t="n">
        <f aca="false">COUNTIFS(時間ごとの判定!$A$3:$A$1850,"&gt;="&amp;DATE(2026,7,30),時間ごとの判定!$B$3:$B$1850,8,時間ごとの判定!$AW$3:$AW$1850,"利用可")</f>
        <v>33</v>
      </c>
      <c r="K8" s="37" t="n">
        <f aca="false">COUNTIFS(時間ごとの判定!$A$3:$A$1850,"&gt;="&amp;DATE(2026,7,30),時間ごとの判定!$B$3:$B$1850,9,時間ごとの判定!$AW$3:$AW$1850,"利用可")</f>
        <v>49</v>
      </c>
      <c r="L8" s="37" t="n">
        <f aca="false">COUNTIFS(時間ごとの判定!$A$3:$A$1850,"&gt;="&amp;DATE(2026,7,30),時間ごとの判定!$B$3:$B$1850,10,時間ごとの判定!$AW$3:$AW$1850,"利用可")</f>
        <v>53</v>
      </c>
      <c r="M8" s="37" t="n">
        <f aca="false">COUNTIFS(時間ごとの判定!$A$3:$A$1850,"&gt;="&amp;DATE(2026,7,30),時間ごとの判定!$B$3:$B$1850,11,時間ごとの判定!$AW$3:$AW$1850,"利用可")</f>
        <v>53</v>
      </c>
      <c r="N8" s="37" t="n">
        <f aca="false">COUNTIFS(時間ごとの判定!$A$3:$A$1850,"&gt;="&amp;DATE(2026,7,30),時間ごとの判定!$B$3:$B$1850,12,時間ごとの判定!$AW$3:$AW$1850,"利用可")</f>
        <v>58</v>
      </c>
      <c r="O8" s="37" t="n">
        <f aca="false">COUNTIFS(時間ごとの判定!$A$3:$A$1850,"&gt;="&amp;DATE(2026,7,30),時間ごとの判定!$B$3:$B$1850,13,時間ごとの判定!$AW$3:$AW$1850,"利用可")</f>
        <v>56</v>
      </c>
      <c r="P8" s="37" t="n">
        <f aca="false">COUNTIFS(時間ごとの判定!$A$3:$A$1850,"&gt;="&amp;DATE(2026,7,30),時間ごとの判定!$B$3:$B$1850,14,時間ごとの判定!$AW$3:$AW$1850,"利用可")</f>
        <v>54</v>
      </c>
      <c r="Q8" s="37" t="n">
        <f aca="false">COUNTIFS(時間ごとの判定!$A$3:$A$1850,"&gt;="&amp;DATE(2026,7,30),時間ごとの判定!$B$3:$B$1850,15,時間ごとの判定!$AW$3:$AW$1850,"利用可")</f>
        <v>52</v>
      </c>
      <c r="R8" s="37" t="n">
        <f aca="false">COUNTIFS(時間ごとの判定!$A$3:$A$1850,"&gt;="&amp;DATE(2026,7,30),時間ごとの判定!$B$3:$B$1850,16,時間ごとの判定!$AW$3:$AW$1850,"利用可")</f>
        <v>50</v>
      </c>
      <c r="S8" s="37" t="n">
        <f aca="false">COUNTIFS(時間ごとの判定!$A$3:$A$1850,"&gt;="&amp;DATE(2026,7,30),時間ごとの判定!$B$3:$B$1850,17,時間ごとの判定!$AW$3:$AW$1850,"利用可")</f>
        <v>48</v>
      </c>
      <c r="T8" s="37" t="n">
        <f aca="false">COUNTIFS(時間ごとの判定!$A$3:$A$1850,"&gt;="&amp;DATE(2026,7,30),時間ごとの判定!$B$3:$B$1850,18,時間ごとの判定!$AW$3:$AW$1850,"利用可")</f>
        <v>32</v>
      </c>
      <c r="U8" s="37" t="n">
        <f aca="false">COUNTIFS(時間ごとの判定!$A$3:$A$1850,"&gt;="&amp;DATE(2026,7,30),時間ごとの判定!$B$3:$B$1850,19,時間ごとの判定!$AW$3:$AW$1850,"利用可")</f>
        <v>0</v>
      </c>
      <c r="V8" s="37" t="n">
        <f aca="false">COUNTIFS(時間ごとの判定!$A$3:$A$1850,"&gt;="&amp;DATE(2026,7,30),時間ごとの判定!$B$3:$B$1850,20,時間ごとの判定!$AW$3:$AW$1850,"利用可")</f>
        <v>0</v>
      </c>
      <c r="W8" s="37" t="n">
        <f aca="false">COUNTIFS(時間ごとの判定!$A$3:$A$1850,"&gt;="&amp;DATE(2026,7,30),時間ごとの判定!$B$3:$B$1850,21,時間ごとの判定!$AW$3:$AW$1850,"利用可")</f>
        <v>1</v>
      </c>
      <c r="X8" s="37" t="n">
        <f aca="false">COUNTIFS(時間ごとの判定!$A$3:$A$1850,"&gt;="&amp;DATE(2026,7,30),時間ごとの判定!$B$3:$B$1850,22,時間ごとの判定!$AW$3:$AW$1850,"利用可")</f>
        <v>1</v>
      </c>
      <c r="Y8" s="37" t="n">
        <f aca="false">COUNTIFS(時間ごとの判定!$A$3:$A$1850,"&gt;="&amp;DATE(2026,7,30),時間ごとの判定!$B$3:$B$1850,23,時間ごとの判定!$AW$3:$AW$1850,"利用可")</f>
        <v>0</v>
      </c>
    </row>
  </sheetData>
  <conditionalFormatting sqref="B3:Y8">
    <cfRule type="colorScale" priority="2">
      <colorScale>
        <cfvo type="num" val="0"/>
        <cfvo type="max" val="0"/>
        <color rgb="FFFFFFFF"/>
        <color rgb="FF5FAF5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1" t="s">
        <v>129</v>
      </c>
    </row>
    <row r="2" customFormat="false" ht="15" hidden="false" customHeight="false" outlineLevel="0" collapsed="false">
      <c r="A2" s="3" t="s">
        <v>130</v>
      </c>
      <c r="B2" s="3" t="s">
        <v>131</v>
      </c>
      <c r="C2" s="3" t="s">
        <v>4</v>
      </c>
      <c r="D2" s="3" t="s">
        <v>132</v>
      </c>
    </row>
    <row r="3" customFormat="false" ht="30" hidden="false" customHeight="true" outlineLevel="0" collapsed="false">
      <c r="A3" s="8" t="s">
        <v>133</v>
      </c>
      <c r="B3" s="8" t="s">
        <v>134</v>
      </c>
      <c r="C3" s="6" t="s">
        <v>135</v>
      </c>
      <c r="D3" s="6" t="s">
        <v>136</v>
      </c>
    </row>
    <row r="4" customFormat="false" ht="30" hidden="false" customHeight="true" outlineLevel="0" collapsed="false">
      <c r="A4" s="8" t="s">
        <v>133</v>
      </c>
      <c r="B4" s="8" t="s">
        <v>137</v>
      </c>
      <c r="C4" s="6" t="s">
        <v>138</v>
      </c>
      <c r="D4" s="6" t="s">
        <v>139</v>
      </c>
    </row>
    <row r="5" customFormat="false" ht="30" hidden="false" customHeight="true" outlineLevel="0" collapsed="false">
      <c r="A5" s="8" t="s">
        <v>140</v>
      </c>
      <c r="B5" s="8" t="s">
        <v>141</v>
      </c>
      <c r="C5" s="6" t="s">
        <v>142</v>
      </c>
      <c r="D5" s="8" t="s">
        <v>143</v>
      </c>
    </row>
    <row r="6" customFormat="false" ht="30" hidden="false" customHeight="true" outlineLevel="0" collapsed="false">
      <c r="A6" s="8" t="s">
        <v>144</v>
      </c>
      <c r="B6" s="8" t="s">
        <v>145</v>
      </c>
      <c r="C6" s="6" t="s">
        <v>146</v>
      </c>
      <c r="D6" s="6" t="s">
        <v>147</v>
      </c>
    </row>
    <row r="7" customFormat="false" ht="30" hidden="false" customHeight="true" outlineLevel="0" collapsed="false">
      <c r="A7" s="8" t="s">
        <v>148</v>
      </c>
      <c r="B7" s="8" t="s">
        <v>149</v>
      </c>
      <c r="C7" s="6" t="s">
        <v>150</v>
      </c>
      <c r="D7" s="6" t="s">
        <v>151</v>
      </c>
    </row>
    <row r="8" customFormat="false" ht="30" hidden="false" customHeight="true" outlineLevel="0" collapsed="false">
      <c r="A8" s="8" t="s">
        <v>152</v>
      </c>
      <c r="B8" s="8" t="s">
        <v>153</v>
      </c>
      <c r="C8" s="8" t="s">
        <v>154</v>
      </c>
      <c r="D8" s="6" t="s">
        <v>155</v>
      </c>
    </row>
    <row r="9" customFormat="false" ht="30" hidden="false" customHeight="true" outlineLevel="0" collapsed="false">
      <c r="A9" s="8" t="s">
        <v>156</v>
      </c>
      <c r="B9" s="8" t="s">
        <v>157</v>
      </c>
      <c r="C9" s="6" t="s">
        <v>158</v>
      </c>
      <c r="D9" s="6" t="s">
        <v>159</v>
      </c>
    </row>
    <row r="10" customFormat="false" ht="30" hidden="false" customHeight="true" outlineLevel="0" collapsed="false">
      <c r="A10" s="6" t="s">
        <v>160</v>
      </c>
      <c r="B10" s="8" t="s">
        <v>161</v>
      </c>
      <c r="C10" s="6" t="s">
        <v>162</v>
      </c>
      <c r="D10" s="6" t="s">
        <v>163</v>
      </c>
    </row>
    <row r="11" customFormat="false" ht="30" hidden="false" customHeight="true" outlineLevel="0" collapsed="false">
      <c r="A11" s="8" t="s">
        <v>164</v>
      </c>
      <c r="B11" s="8" t="s">
        <v>165</v>
      </c>
      <c r="C11" s="6" t="s">
        <v>166</v>
      </c>
      <c r="D11" s="6" t="s">
        <v>29</v>
      </c>
    </row>
    <row r="12" customFormat="false" ht="30" hidden="false" customHeight="true" outlineLevel="0" collapsed="false">
      <c r="A12" s="6" t="s">
        <v>167</v>
      </c>
      <c r="B12" s="8" t="s">
        <v>168</v>
      </c>
      <c r="C12" s="6" t="s">
        <v>169</v>
      </c>
      <c r="D12" s="6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1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11" t="s">
        <v>171</v>
      </c>
    </row>
    <row r="2" customFormat="false" ht="31.5" hidden="false" customHeight="true" outlineLevel="0" collapsed="false">
      <c r="A2" s="3" t="s">
        <v>172</v>
      </c>
      <c r="B2" s="28" t="s">
        <v>47</v>
      </c>
      <c r="C2" s="28" t="s">
        <v>48</v>
      </c>
      <c r="D2" s="28" t="s">
        <v>49</v>
      </c>
      <c r="E2" s="28" t="s">
        <v>50</v>
      </c>
      <c r="F2" s="28" t="s">
        <v>51</v>
      </c>
      <c r="G2" s="28" t="s">
        <v>52</v>
      </c>
      <c r="H2" s="3" t="s">
        <v>173</v>
      </c>
    </row>
    <row r="3" customFormat="false" ht="15" hidden="false" customHeight="false" outlineLevel="0" collapsed="false">
      <c r="A3" s="38" t="n">
        <v>0.5</v>
      </c>
      <c r="B3" s="13" t="n">
        <v>467</v>
      </c>
      <c r="C3" s="13" t="n">
        <v>267</v>
      </c>
      <c r="D3" s="13" t="n">
        <v>484</v>
      </c>
      <c r="E3" s="13" t="n">
        <v>436</v>
      </c>
      <c r="F3" s="13" t="n">
        <v>375</v>
      </c>
      <c r="G3" s="13" t="n">
        <v>487</v>
      </c>
      <c r="H3" s="39" t="n">
        <v>0.125324916450056</v>
      </c>
    </row>
    <row r="4" customFormat="false" ht="15" hidden="false" customHeight="false" outlineLevel="0" collapsed="false">
      <c r="A4" s="38" t="n">
        <v>1</v>
      </c>
      <c r="B4" s="13" t="n">
        <v>411</v>
      </c>
      <c r="C4" s="13" t="n">
        <v>211</v>
      </c>
      <c r="D4" s="13" t="n">
        <v>445</v>
      </c>
      <c r="E4" s="13" t="n">
        <v>400</v>
      </c>
      <c r="F4" s="13" t="n">
        <v>338</v>
      </c>
      <c r="G4" s="13" t="n">
        <v>473</v>
      </c>
      <c r="H4" s="39" t="n">
        <v>0</v>
      </c>
    </row>
    <row r="5" customFormat="false" ht="15" hidden="false" customHeight="false" outlineLevel="0" collapsed="false">
      <c r="A5" s="38" t="n">
        <v>1.5</v>
      </c>
      <c r="B5" s="13" t="n">
        <v>371</v>
      </c>
      <c r="C5" s="13" t="n">
        <v>184</v>
      </c>
      <c r="D5" s="13" t="n">
        <v>385</v>
      </c>
      <c r="E5" s="13" t="n">
        <v>352</v>
      </c>
      <c r="F5" s="13" t="n">
        <v>305</v>
      </c>
      <c r="G5" s="13" t="n">
        <v>460</v>
      </c>
      <c r="H5" s="39" t="n">
        <v>0.11381359079094</v>
      </c>
    </row>
    <row r="6" customFormat="false" ht="15" hidden="false" customHeight="false" outlineLevel="0" collapsed="false">
      <c r="A6" s="38" t="n">
        <v>2</v>
      </c>
      <c r="B6" s="13" t="n">
        <v>334</v>
      </c>
      <c r="C6" s="13" t="n">
        <v>167</v>
      </c>
      <c r="D6" s="13" t="n">
        <v>279</v>
      </c>
      <c r="E6" s="13" t="n">
        <v>330</v>
      </c>
      <c r="F6" s="13" t="n">
        <v>283</v>
      </c>
      <c r="G6" s="13" t="n">
        <v>404</v>
      </c>
      <c r="H6" s="39" t="n">
        <v>0.222614184923877</v>
      </c>
    </row>
    <row r="8" customFormat="false" ht="15" hidden="false" customHeight="false" outlineLevel="0" collapsed="false">
      <c r="A8" s="17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2026-10-15T05:24:53Z</dcterms:created>
  <dc:creator>openpyxl</dc:creator>
  <dc:description/>
  <dc:language>en-US</dc:language>
  <cp:lastModifiedBy/>
  <dcterms:modified xsi:type="dcterms:W3CDTF">2026-10-15T05:24:58Z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